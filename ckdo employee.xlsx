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AMZ_CKDO\#DashboardAI\dashboard HRGA Doc\"/>
    </mc:Choice>
  </mc:AlternateContent>
  <xr:revisionPtr revIDLastSave="0" documentId="8_{4D1D21BA-0CEB-432F-8305-9CA0218BD59D}" xr6:coauthVersionLast="47" xr6:coauthVersionMax="47" xr10:uidLastSave="{00000000-0000-0000-0000-000000000000}"/>
  <bookViews>
    <workbookView xWindow="-120" yWindow="-120" windowWidth="19440" windowHeight="11040" xr2:uid="{02A081B1-8D34-454A-9C8F-C2DD7CABF3A6}"/>
  </bookViews>
  <sheets>
    <sheet name="Employee Data" sheetId="1" r:id="rId1"/>
  </sheets>
  <externalReferences>
    <externalReference r:id="rId2"/>
    <externalReference r:id="rId3"/>
    <externalReference r:id="rId4"/>
    <externalReference r:id="rId5"/>
    <externalReference r:id="rId6"/>
  </externalReferences>
  <definedNames>
    <definedName name="_xlnm._FilterDatabase" localSheetId="0" hidden="1">'Employee Data'!$A$8:$CC$138</definedName>
    <definedName name="AugSun1">DATE(CalendarYear,8,1)-WEEKDAY(DATE(CalendarYear,8,1))+1</definedName>
    <definedName name="BEAK">#REF!</definedName>
    <definedName name="BREAK">#REF!</definedName>
    <definedName name="BTIME">#REF!</definedName>
    <definedName name="CalendarYear">[2]Jan!$K$2</definedName>
    <definedName name="CALENDER">#REF!</definedName>
    <definedName name="ISHOMA">#REF!</definedName>
    <definedName name="ISOMA">#REF!</definedName>
    <definedName name="ISTIRAHAT">#REF!</definedName>
    <definedName name="KALENDER">#REF!</definedName>
    <definedName name="LEMBUR">#REF!</definedName>
    <definedName name="MENIT">[3]TLT!$B$1:$C$10860</definedName>
    <definedName name="OT">#REF!</definedName>
    <definedName name="OVERTIME">[3]Sheet3!$B$1:$C$835</definedName>
    <definedName name="_xlnm.Print_Area" localSheetId="0">'Employee Data'!$C$8:$CC$63</definedName>
    <definedName name="_xlnm.Print_Area">#REF!</definedName>
    <definedName name="SHOLAT">#REF!</definedName>
    <definedName name="SIMBOL">'[4]Data Karyawan'!#REF!</definedName>
    <definedName name="STATUSPJS">'[5]MUTASI, PROMOSI, ROTASI'!$K$1:$K$4</definedName>
    <definedName name="TAMBAHAN">#REF!</definedName>
    <definedName name="TIMEB">#REF!</definedName>
    <definedName name="XXXXX">#REF!</definedName>
    <definedName name="ZZZZZZZZZZ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U138" i="1" l="1"/>
  <c r="BT138" i="1"/>
  <c r="BS138" i="1"/>
  <c r="BO138" i="1"/>
  <c r="BN138" i="1"/>
  <c r="BM138" i="1"/>
  <c r="BI138" i="1"/>
  <c r="BH138" i="1"/>
  <c r="BG138" i="1"/>
  <c r="BB138" i="1"/>
  <c r="AW138" i="1"/>
  <c r="AM138" i="1"/>
  <c r="AA138" i="1"/>
  <c r="Z138" i="1"/>
  <c r="Y138" i="1"/>
  <c r="R138" i="1"/>
  <c r="S138" i="1" s="1"/>
  <c r="T138" i="1" s="1"/>
  <c r="P138" i="1"/>
  <c r="O138" i="1"/>
  <c r="N138" i="1"/>
  <c r="M138" i="1"/>
  <c r="BI137" i="1"/>
  <c r="BH137" i="1"/>
  <c r="BG137" i="1"/>
  <c r="BB137" i="1"/>
  <c r="AW137" i="1"/>
  <c r="AM137" i="1"/>
  <c r="AA137" i="1"/>
  <c r="Z137" i="1"/>
  <c r="Y137" i="1"/>
  <c r="S137" i="1"/>
  <c r="R137" i="1"/>
  <c r="P137" i="1"/>
  <c r="O137" i="1"/>
  <c r="N137" i="1"/>
  <c r="M137" i="1"/>
  <c r="BB136" i="1"/>
  <c r="AW136" i="1"/>
  <c r="AM136" i="1"/>
  <c r="AA136" i="1"/>
  <c r="Z136" i="1"/>
  <c r="Y136" i="1"/>
  <c r="R136" i="1"/>
  <c r="S136" i="1" s="1"/>
  <c r="P136" i="1"/>
  <c r="O136" i="1"/>
  <c r="N136" i="1"/>
  <c r="M136" i="1"/>
  <c r="BB135" i="1"/>
  <c r="AW135" i="1"/>
  <c r="AM135" i="1"/>
  <c r="AA135" i="1"/>
  <c r="Z135" i="1"/>
  <c r="Y135" i="1"/>
  <c r="R135" i="1"/>
  <c r="S135" i="1" s="1"/>
  <c r="P135" i="1"/>
  <c r="O135" i="1"/>
  <c r="N135" i="1"/>
  <c r="M135" i="1"/>
  <c r="BB134" i="1"/>
  <c r="AW134" i="1"/>
  <c r="AM134" i="1"/>
  <c r="AA134" i="1"/>
  <c r="Z134" i="1"/>
  <c r="Y134" i="1"/>
  <c r="T134" i="1"/>
  <c r="R134" i="1"/>
  <c r="P134" i="1"/>
  <c r="O134" i="1"/>
  <c r="N134" i="1"/>
  <c r="M134" i="1"/>
  <c r="AW133" i="1"/>
  <c r="AM133" i="1"/>
  <c r="AA133" i="1"/>
  <c r="Z133" i="1"/>
  <c r="Y133" i="1"/>
  <c r="T133" i="1"/>
  <c r="R133" i="1"/>
  <c r="P133" i="1"/>
  <c r="O133" i="1"/>
  <c r="N133" i="1"/>
  <c r="M133" i="1"/>
  <c r="AW132" i="1"/>
  <c r="AM132" i="1"/>
  <c r="AA132" i="1"/>
  <c r="Z132" i="1"/>
  <c r="Y132" i="1"/>
  <c r="R132" i="1"/>
  <c r="S132" i="1" s="1"/>
  <c r="T132" i="1" s="1"/>
  <c r="P132" i="1"/>
  <c r="O132" i="1"/>
  <c r="N132" i="1"/>
  <c r="M132" i="1"/>
  <c r="AW131" i="1"/>
  <c r="AM131" i="1"/>
  <c r="AA131" i="1"/>
  <c r="Z131" i="1"/>
  <c r="Y131" i="1"/>
  <c r="R131" i="1"/>
  <c r="S131" i="1" s="1"/>
  <c r="T131" i="1" s="1"/>
  <c r="P131" i="1"/>
  <c r="O131" i="1"/>
  <c r="N131" i="1"/>
  <c r="M131" i="1"/>
  <c r="BU130" i="1"/>
  <c r="BT130" i="1"/>
  <c r="BS130" i="1"/>
  <c r="BO130" i="1"/>
  <c r="BN130" i="1"/>
  <c r="BM130" i="1"/>
  <c r="BI130" i="1"/>
  <c r="BH130" i="1"/>
  <c r="BG130" i="1"/>
  <c r="AW130" i="1"/>
  <c r="AA130" i="1"/>
  <c r="Z130" i="1"/>
  <c r="Y130" i="1"/>
  <c r="R130" i="1"/>
  <c r="S130" i="1" s="1"/>
  <c r="T130" i="1" s="1"/>
  <c r="P130" i="1"/>
  <c r="O130" i="1"/>
  <c r="N130" i="1"/>
  <c r="M130" i="1"/>
  <c r="BU129" i="1"/>
  <c r="BT129" i="1"/>
  <c r="BS129" i="1"/>
  <c r="BO129" i="1"/>
  <c r="BN129" i="1"/>
  <c r="BM129" i="1"/>
  <c r="BI129" i="1"/>
  <c r="BH129" i="1"/>
  <c r="BG129" i="1"/>
  <c r="AW129" i="1"/>
  <c r="AA129" i="1"/>
  <c r="Z129" i="1"/>
  <c r="Y129" i="1"/>
  <c r="R129" i="1"/>
  <c r="S129" i="1" s="1"/>
  <c r="T129" i="1" s="1"/>
  <c r="P129" i="1"/>
  <c r="O129" i="1"/>
  <c r="N129" i="1"/>
  <c r="M129" i="1"/>
  <c r="BO128" i="1"/>
  <c r="BN128" i="1"/>
  <c r="BM128" i="1"/>
  <c r="BI128" i="1"/>
  <c r="BH128" i="1"/>
  <c r="BG128" i="1"/>
  <c r="AW128" i="1"/>
  <c r="AM128" i="1"/>
  <c r="AA128" i="1"/>
  <c r="Z128" i="1"/>
  <c r="Y128" i="1"/>
  <c r="T128" i="1"/>
  <c r="S128" i="1"/>
  <c r="R128" i="1"/>
  <c r="P128" i="1"/>
  <c r="O128" i="1"/>
  <c r="N128" i="1"/>
  <c r="M128" i="1"/>
  <c r="AA127" i="1"/>
  <c r="Z127" i="1"/>
  <c r="Y127" i="1"/>
  <c r="R127" i="1"/>
  <c r="S127" i="1" s="1"/>
  <c r="T127" i="1" s="1"/>
  <c r="P127" i="1"/>
  <c r="O127" i="1"/>
  <c r="N127" i="1"/>
  <c r="M127" i="1"/>
  <c r="BO126" i="1"/>
  <c r="BN126" i="1"/>
  <c r="BM126" i="1"/>
  <c r="BI126" i="1"/>
  <c r="BH126" i="1"/>
  <c r="BG126" i="1"/>
  <c r="AW126" i="1"/>
  <c r="AA126" i="1"/>
  <c r="Z126" i="1"/>
  <c r="Y126" i="1"/>
  <c r="R126" i="1"/>
  <c r="S126" i="1" s="1"/>
  <c r="T126" i="1" s="1"/>
  <c r="P126" i="1"/>
  <c r="O126" i="1"/>
  <c r="N126" i="1"/>
  <c r="M126" i="1"/>
  <c r="CA125" i="1"/>
  <c r="BZ125" i="1"/>
  <c r="BY125" i="1"/>
  <c r="BU125" i="1"/>
  <c r="BT125" i="1"/>
  <c r="BS125" i="1"/>
  <c r="BO125" i="1"/>
  <c r="BN125" i="1"/>
  <c r="BM125" i="1"/>
  <c r="BI125" i="1"/>
  <c r="BH125" i="1"/>
  <c r="BG125" i="1"/>
  <c r="AW125" i="1"/>
  <c r="AA125" i="1"/>
  <c r="Z125" i="1"/>
  <c r="Y125" i="1"/>
  <c r="S125" i="1"/>
  <c r="T125" i="1" s="1"/>
  <c r="R125" i="1"/>
  <c r="P125" i="1"/>
  <c r="O125" i="1"/>
  <c r="N125" i="1"/>
  <c r="M125" i="1"/>
  <c r="BU124" i="1"/>
  <c r="BT124" i="1"/>
  <c r="BS124" i="1"/>
  <c r="BO124" i="1"/>
  <c r="BN124" i="1"/>
  <c r="BM124" i="1"/>
  <c r="BI124" i="1"/>
  <c r="BH124" i="1"/>
  <c r="BG124" i="1"/>
  <c r="AW124" i="1"/>
  <c r="AA124" i="1"/>
  <c r="Z124" i="1"/>
  <c r="Y124" i="1"/>
  <c r="S124" i="1"/>
  <c r="T124" i="1" s="1"/>
  <c r="R124" i="1"/>
  <c r="P124" i="1"/>
  <c r="O124" i="1"/>
  <c r="N124" i="1"/>
  <c r="M124" i="1"/>
  <c r="CA123" i="1"/>
  <c r="BZ123" i="1"/>
  <c r="BY123" i="1"/>
  <c r="BU123" i="1"/>
  <c r="BT123" i="1"/>
  <c r="BS123" i="1"/>
  <c r="BO123" i="1"/>
  <c r="BN123" i="1"/>
  <c r="BM123" i="1"/>
  <c r="BI123" i="1"/>
  <c r="BH123" i="1"/>
  <c r="BG123" i="1"/>
  <c r="AW123" i="1"/>
  <c r="AA123" i="1"/>
  <c r="Z123" i="1"/>
  <c r="Y123" i="1"/>
  <c r="R123" i="1"/>
  <c r="S123" i="1" s="1"/>
  <c r="T123" i="1" s="1"/>
  <c r="P123" i="1"/>
  <c r="O123" i="1"/>
  <c r="N123" i="1"/>
  <c r="M123" i="1"/>
  <c r="AW122" i="1"/>
  <c r="AA122" i="1"/>
  <c r="Z122" i="1"/>
  <c r="Y122" i="1"/>
  <c r="R122" i="1"/>
  <c r="S122" i="1" s="1"/>
  <c r="T122" i="1" s="1"/>
  <c r="P122" i="1"/>
  <c r="O122" i="1"/>
  <c r="N122" i="1"/>
  <c r="M122" i="1"/>
  <c r="CA121" i="1"/>
  <c r="BZ121" i="1"/>
  <c r="BY121" i="1"/>
  <c r="BU121" i="1"/>
  <c r="BT121" i="1"/>
  <c r="BS121" i="1"/>
  <c r="BO121" i="1"/>
  <c r="BN121" i="1"/>
  <c r="BM121" i="1"/>
  <c r="BI121" i="1"/>
  <c r="BH121" i="1"/>
  <c r="BG121" i="1"/>
  <c r="AW121" i="1"/>
  <c r="AM121" i="1"/>
  <c r="AA121" i="1"/>
  <c r="Z121" i="1"/>
  <c r="Y121" i="1"/>
  <c r="T121" i="1"/>
  <c r="S121" i="1"/>
  <c r="R121" i="1"/>
  <c r="P121" i="1"/>
  <c r="O121" i="1"/>
  <c r="N121" i="1"/>
  <c r="M121" i="1"/>
  <c r="CA120" i="1"/>
  <c r="BZ120" i="1"/>
  <c r="BY120" i="1"/>
  <c r="BU120" i="1"/>
  <c r="BT120" i="1"/>
  <c r="BS120" i="1"/>
  <c r="BO120" i="1"/>
  <c r="BN120" i="1"/>
  <c r="BM120" i="1"/>
  <c r="BI120" i="1"/>
  <c r="BH120" i="1"/>
  <c r="BG120" i="1"/>
  <c r="AW120" i="1"/>
  <c r="AM120" i="1"/>
  <c r="AA120" i="1"/>
  <c r="Z120" i="1"/>
  <c r="Y120" i="1"/>
  <c r="R120" i="1"/>
  <c r="S120" i="1" s="1"/>
  <c r="T120" i="1" s="1"/>
  <c r="P120" i="1"/>
  <c r="O120" i="1"/>
  <c r="N120" i="1"/>
  <c r="M120" i="1"/>
  <c r="CA119" i="1"/>
  <c r="BZ119" i="1"/>
  <c r="BY119" i="1"/>
  <c r="BU119" i="1"/>
  <c r="BT119" i="1"/>
  <c r="BS119" i="1"/>
  <c r="BO119" i="1"/>
  <c r="BN119" i="1"/>
  <c r="BM119" i="1"/>
  <c r="BI119" i="1"/>
  <c r="BH119" i="1"/>
  <c r="BG119" i="1"/>
  <c r="AW119" i="1"/>
  <c r="AM119" i="1"/>
  <c r="AA119" i="1"/>
  <c r="Z119" i="1"/>
  <c r="Y119" i="1"/>
  <c r="T119" i="1"/>
  <c r="S119" i="1"/>
  <c r="R119" i="1"/>
  <c r="P119" i="1"/>
  <c r="O119" i="1"/>
  <c r="N119" i="1"/>
  <c r="M119" i="1"/>
  <c r="CA118" i="1"/>
  <c r="BZ118" i="1"/>
  <c r="BY118" i="1"/>
  <c r="BU118" i="1"/>
  <c r="BT118" i="1"/>
  <c r="BS118" i="1"/>
  <c r="BO118" i="1"/>
  <c r="BN118" i="1"/>
  <c r="BM118" i="1"/>
  <c r="BI118" i="1"/>
  <c r="BH118" i="1"/>
  <c r="BG118" i="1"/>
  <c r="AW118" i="1"/>
  <c r="AM118" i="1"/>
  <c r="AA118" i="1"/>
  <c r="Z118" i="1"/>
  <c r="Y118" i="1"/>
  <c r="R118" i="1"/>
  <c r="S118" i="1" s="1"/>
  <c r="T118" i="1" s="1"/>
  <c r="P118" i="1"/>
  <c r="O118" i="1"/>
  <c r="N118" i="1"/>
  <c r="M118" i="1"/>
  <c r="CA117" i="1"/>
  <c r="BZ117" i="1"/>
  <c r="BY117" i="1"/>
  <c r="BU117" i="1"/>
  <c r="BT117" i="1"/>
  <c r="BS117" i="1"/>
  <c r="BO117" i="1"/>
  <c r="BN117" i="1"/>
  <c r="BM117" i="1"/>
  <c r="BI117" i="1"/>
  <c r="BH117" i="1"/>
  <c r="BG117" i="1"/>
  <c r="AW117" i="1"/>
  <c r="AM117" i="1"/>
  <c r="AA117" i="1"/>
  <c r="Z117" i="1"/>
  <c r="Y117" i="1"/>
  <c r="T117" i="1"/>
  <c r="S117" i="1"/>
  <c r="R117" i="1"/>
  <c r="P117" i="1"/>
  <c r="O117" i="1"/>
  <c r="N117" i="1"/>
  <c r="M117" i="1"/>
  <c r="CA116" i="1"/>
  <c r="BZ116" i="1"/>
  <c r="BY116" i="1"/>
  <c r="BU116" i="1"/>
  <c r="BT116" i="1"/>
  <c r="BS116" i="1"/>
  <c r="BO116" i="1"/>
  <c r="BN116" i="1"/>
  <c r="BM116" i="1"/>
  <c r="BI116" i="1"/>
  <c r="BH116" i="1"/>
  <c r="BG116" i="1"/>
  <c r="AW116" i="1"/>
  <c r="AM116" i="1"/>
  <c r="AA116" i="1"/>
  <c r="Z116" i="1"/>
  <c r="Y116" i="1"/>
  <c r="R116" i="1"/>
  <c r="S116" i="1" s="1"/>
  <c r="T116" i="1" s="1"/>
  <c r="P116" i="1"/>
  <c r="O116" i="1"/>
  <c r="N116" i="1"/>
  <c r="M116" i="1"/>
  <c r="CA115" i="1"/>
  <c r="BZ115" i="1"/>
  <c r="BY115" i="1"/>
  <c r="BU115" i="1"/>
  <c r="BT115" i="1"/>
  <c r="BS115" i="1"/>
  <c r="BO115" i="1"/>
  <c r="BN115" i="1"/>
  <c r="BM115" i="1"/>
  <c r="BI115" i="1"/>
  <c r="BH115" i="1"/>
  <c r="BG115" i="1"/>
  <c r="AW115" i="1"/>
  <c r="AM115" i="1"/>
  <c r="AA115" i="1"/>
  <c r="Z115" i="1"/>
  <c r="Y115" i="1"/>
  <c r="T115" i="1"/>
  <c r="S115" i="1"/>
  <c r="R115" i="1"/>
  <c r="P115" i="1"/>
  <c r="O115" i="1"/>
  <c r="N115" i="1"/>
  <c r="M115" i="1"/>
  <c r="CA114" i="1"/>
  <c r="BZ114" i="1"/>
  <c r="BY114" i="1"/>
  <c r="BU114" i="1"/>
  <c r="BT114" i="1"/>
  <c r="BS114" i="1"/>
  <c r="BO114" i="1"/>
  <c r="BN114" i="1"/>
  <c r="BM114" i="1"/>
  <c r="BI114" i="1"/>
  <c r="BH114" i="1"/>
  <c r="BG114" i="1"/>
  <c r="AW114" i="1"/>
  <c r="AA114" i="1"/>
  <c r="Z114" i="1"/>
  <c r="Y114" i="1"/>
  <c r="R114" i="1"/>
  <c r="S114" i="1" s="1"/>
  <c r="T114" i="1" s="1"/>
  <c r="P114" i="1"/>
  <c r="O114" i="1"/>
  <c r="N114" i="1"/>
  <c r="M114" i="1"/>
  <c r="CA113" i="1"/>
  <c r="BZ113" i="1"/>
  <c r="BY113" i="1"/>
  <c r="BU113" i="1"/>
  <c r="BT113" i="1"/>
  <c r="BS113" i="1"/>
  <c r="BO113" i="1"/>
  <c r="BN113" i="1"/>
  <c r="BM113" i="1"/>
  <c r="AA113" i="1"/>
  <c r="Z113" i="1"/>
  <c r="Y113" i="1"/>
  <c r="R113" i="1"/>
  <c r="S113" i="1" s="1"/>
  <c r="T113" i="1" s="1"/>
  <c r="P113" i="1"/>
  <c r="O113" i="1"/>
  <c r="N113" i="1"/>
  <c r="M113" i="1"/>
  <c r="CA112" i="1"/>
  <c r="BZ112" i="1"/>
  <c r="BY112" i="1"/>
  <c r="BU112" i="1"/>
  <c r="BT112" i="1"/>
  <c r="BS112" i="1"/>
  <c r="BO112" i="1"/>
  <c r="BN112" i="1"/>
  <c r="BM112" i="1"/>
  <c r="AW112" i="1"/>
  <c r="AA112" i="1"/>
  <c r="Z112" i="1"/>
  <c r="Y112" i="1"/>
  <c r="S112" i="1"/>
  <c r="T112" i="1" s="1"/>
  <c r="R112" i="1"/>
  <c r="P112" i="1"/>
  <c r="O112" i="1"/>
  <c r="N112" i="1"/>
  <c r="M112" i="1"/>
  <c r="CA111" i="1"/>
  <c r="BZ111" i="1"/>
  <c r="BY111" i="1"/>
  <c r="BU111" i="1"/>
  <c r="BT111" i="1"/>
  <c r="BS111" i="1"/>
  <c r="BO111" i="1"/>
  <c r="BN111" i="1"/>
  <c r="BM111" i="1"/>
  <c r="AW111" i="1"/>
  <c r="AA111" i="1"/>
  <c r="Z111" i="1"/>
  <c r="Y111" i="1"/>
  <c r="R111" i="1"/>
  <c r="S111" i="1" s="1"/>
  <c r="T111" i="1" s="1"/>
  <c r="P111" i="1"/>
  <c r="O111" i="1"/>
  <c r="N111" i="1"/>
  <c r="M111" i="1"/>
  <c r="CA110" i="1"/>
  <c r="BZ110" i="1"/>
  <c r="BY110" i="1"/>
  <c r="BU110" i="1"/>
  <c r="BT110" i="1"/>
  <c r="BS110" i="1"/>
  <c r="BO110" i="1"/>
  <c r="BN110" i="1"/>
  <c r="BM110" i="1"/>
  <c r="BI110" i="1"/>
  <c r="BH110" i="1"/>
  <c r="BG110" i="1"/>
  <c r="AW110" i="1"/>
  <c r="AM110" i="1"/>
  <c r="AA110" i="1"/>
  <c r="Z110" i="1"/>
  <c r="Y110" i="1"/>
  <c r="R110" i="1"/>
  <c r="S110" i="1" s="1"/>
  <c r="T110" i="1" s="1"/>
  <c r="P110" i="1"/>
  <c r="O110" i="1"/>
  <c r="N110" i="1"/>
  <c r="M110" i="1"/>
  <c r="CA109" i="1"/>
  <c r="BZ109" i="1"/>
  <c r="BY109" i="1"/>
  <c r="BU109" i="1"/>
  <c r="BT109" i="1"/>
  <c r="BS109" i="1"/>
  <c r="BO109" i="1"/>
  <c r="BN109" i="1"/>
  <c r="BM109" i="1"/>
  <c r="AW109" i="1"/>
  <c r="AM109" i="1"/>
  <c r="AA109" i="1"/>
  <c r="Z109" i="1"/>
  <c r="Y109" i="1"/>
  <c r="T109" i="1"/>
  <c r="S109" i="1"/>
  <c r="R109" i="1"/>
  <c r="P109" i="1"/>
  <c r="O109" i="1"/>
  <c r="N109" i="1"/>
  <c r="M109" i="1"/>
  <c r="CA108" i="1"/>
  <c r="BZ108" i="1"/>
  <c r="BY108" i="1"/>
  <c r="BU108" i="1"/>
  <c r="BT108" i="1"/>
  <c r="BS108" i="1"/>
  <c r="BO108" i="1"/>
  <c r="BN108" i="1"/>
  <c r="BM108" i="1"/>
  <c r="BI108" i="1"/>
  <c r="BH108" i="1"/>
  <c r="BG108" i="1"/>
  <c r="AW108" i="1"/>
  <c r="AM108" i="1"/>
  <c r="AA108" i="1"/>
  <c r="Z108" i="1"/>
  <c r="Y108" i="1"/>
  <c r="R108" i="1"/>
  <c r="S108" i="1" s="1"/>
  <c r="T108" i="1" s="1"/>
  <c r="P108" i="1"/>
  <c r="O108" i="1"/>
  <c r="N108" i="1"/>
  <c r="M108" i="1"/>
  <c r="CA107" i="1"/>
  <c r="BZ107" i="1"/>
  <c r="BY107" i="1"/>
  <c r="BU107" i="1"/>
  <c r="BT107" i="1"/>
  <c r="BS107" i="1"/>
  <c r="BO107" i="1"/>
  <c r="BN107" i="1"/>
  <c r="BM107" i="1"/>
  <c r="BI107" i="1"/>
  <c r="BH107" i="1"/>
  <c r="BG107" i="1"/>
  <c r="AW107" i="1"/>
  <c r="AM107" i="1"/>
  <c r="AM114" i="1" s="1"/>
  <c r="AA107" i="1"/>
  <c r="Z107" i="1"/>
  <c r="Y107" i="1"/>
  <c r="S107" i="1"/>
  <c r="R107" i="1"/>
  <c r="P107" i="1"/>
  <c r="O107" i="1"/>
  <c r="N107" i="1"/>
  <c r="M107" i="1"/>
  <c r="CA106" i="1"/>
  <c r="BZ106" i="1"/>
  <c r="BY106" i="1"/>
  <c r="BU106" i="1"/>
  <c r="BT106" i="1"/>
  <c r="BS106" i="1"/>
  <c r="BO106" i="1"/>
  <c r="BN106" i="1"/>
  <c r="BM106" i="1"/>
  <c r="BI106" i="1"/>
  <c r="BH106" i="1"/>
  <c r="BG106" i="1"/>
  <c r="AW106" i="1"/>
  <c r="AM106" i="1"/>
  <c r="AA106" i="1"/>
  <c r="Z106" i="1"/>
  <c r="Y106" i="1"/>
  <c r="R106" i="1"/>
  <c r="S106" i="1" s="1"/>
  <c r="T106" i="1" s="1"/>
  <c r="P106" i="1"/>
  <c r="O106" i="1"/>
  <c r="N106" i="1"/>
  <c r="M106" i="1"/>
  <c r="CA105" i="1"/>
  <c r="BZ105" i="1"/>
  <c r="BY105" i="1"/>
  <c r="BU105" i="1"/>
  <c r="BT105" i="1"/>
  <c r="BS105" i="1"/>
  <c r="BO105" i="1"/>
  <c r="BN105" i="1"/>
  <c r="BM105" i="1"/>
  <c r="BB105" i="1"/>
  <c r="AW105" i="1"/>
  <c r="AA105" i="1"/>
  <c r="Z105" i="1"/>
  <c r="Y105" i="1"/>
  <c r="R105" i="1"/>
  <c r="S105" i="1" s="1"/>
  <c r="T105" i="1" s="1"/>
  <c r="P105" i="1"/>
  <c r="O105" i="1"/>
  <c r="N105" i="1"/>
  <c r="M105" i="1"/>
  <c r="CA104" i="1"/>
  <c r="BZ104" i="1"/>
  <c r="BY104" i="1"/>
  <c r="BU104" i="1"/>
  <c r="BT104" i="1"/>
  <c r="BS104" i="1"/>
  <c r="BO104" i="1"/>
  <c r="BN104" i="1"/>
  <c r="BM104" i="1"/>
  <c r="BI104" i="1"/>
  <c r="BH104" i="1"/>
  <c r="BG104" i="1"/>
  <c r="AW104" i="1"/>
  <c r="AA104" i="1"/>
  <c r="Z104" i="1"/>
  <c r="Y104" i="1"/>
  <c r="R104" i="1"/>
  <c r="P104" i="1"/>
  <c r="O104" i="1"/>
  <c r="N104" i="1"/>
  <c r="M104" i="1"/>
  <c r="CA103" i="1"/>
  <c r="BZ103" i="1"/>
  <c r="BY103" i="1"/>
  <c r="BU103" i="1"/>
  <c r="BT103" i="1"/>
  <c r="BS103" i="1"/>
  <c r="BO103" i="1"/>
  <c r="BN103" i="1"/>
  <c r="BM103" i="1"/>
  <c r="BI103" i="1"/>
  <c r="BH103" i="1"/>
  <c r="BG103" i="1"/>
  <c r="AA103" i="1"/>
  <c r="Z103" i="1"/>
  <c r="Y103" i="1"/>
  <c r="T103" i="1"/>
  <c r="P103" i="1"/>
  <c r="O103" i="1"/>
  <c r="N103" i="1"/>
  <c r="M103" i="1"/>
  <c r="CA102" i="1"/>
  <c r="BZ102" i="1"/>
  <c r="BY102" i="1"/>
  <c r="BU102" i="1"/>
  <c r="BT102" i="1"/>
  <c r="BS102" i="1"/>
  <c r="BO102" i="1"/>
  <c r="BN102" i="1"/>
  <c r="BM102" i="1"/>
  <c r="BI102" i="1"/>
  <c r="BH102" i="1"/>
  <c r="BG102" i="1"/>
  <c r="AA102" i="1"/>
  <c r="Z102" i="1"/>
  <c r="Y102" i="1"/>
  <c r="T102" i="1"/>
  <c r="P102" i="1"/>
  <c r="O102" i="1"/>
  <c r="N102" i="1"/>
  <c r="M102" i="1"/>
  <c r="CA101" i="1"/>
  <c r="BZ101" i="1"/>
  <c r="BY101" i="1"/>
  <c r="BU101" i="1"/>
  <c r="BT101" i="1"/>
  <c r="BS101" i="1"/>
  <c r="BO101" i="1"/>
  <c r="BN101" i="1"/>
  <c r="BM101" i="1"/>
  <c r="BI101" i="1"/>
  <c r="BH101" i="1"/>
  <c r="BG101" i="1"/>
  <c r="AA101" i="1"/>
  <c r="Z101" i="1"/>
  <c r="Y101" i="1"/>
  <c r="T101" i="1"/>
  <c r="P101" i="1"/>
  <c r="O101" i="1"/>
  <c r="N101" i="1"/>
  <c r="M101" i="1"/>
  <c r="CA100" i="1"/>
  <c r="BZ100" i="1"/>
  <c r="BY100" i="1"/>
  <c r="BU100" i="1"/>
  <c r="BT100" i="1"/>
  <c r="BS100" i="1"/>
  <c r="BO100" i="1"/>
  <c r="BN100" i="1"/>
  <c r="BM100" i="1"/>
  <c r="BI100" i="1"/>
  <c r="BH100" i="1"/>
  <c r="BG100" i="1"/>
  <c r="AA100" i="1"/>
  <c r="Z100" i="1"/>
  <c r="Y100" i="1"/>
  <c r="P100" i="1"/>
  <c r="O100" i="1"/>
  <c r="N100" i="1"/>
  <c r="M100" i="1"/>
  <c r="CA99" i="1"/>
  <c r="BZ99" i="1"/>
  <c r="BY99" i="1"/>
  <c r="BU99" i="1"/>
  <c r="BT99" i="1"/>
  <c r="BS99" i="1"/>
  <c r="BO99" i="1"/>
  <c r="BN99" i="1"/>
  <c r="BM99" i="1"/>
  <c r="BI99" i="1"/>
  <c r="BH99" i="1"/>
  <c r="BG99" i="1"/>
  <c r="AA99" i="1"/>
  <c r="Z99" i="1"/>
  <c r="Y99" i="1"/>
  <c r="P99" i="1"/>
  <c r="O99" i="1"/>
  <c r="N99" i="1"/>
  <c r="M99" i="1"/>
  <c r="CA98" i="1"/>
  <c r="BZ98" i="1"/>
  <c r="BY98" i="1"/>
  <c r="BU98" i="1"/>
  <c r="BT98" i="1"/>
  <c r="BS98" i="1"/>
  <c r="BO98" i="1"/>
  <c r="BN98" i="1"/>
  <c r="BM98" i="1"/>
  <c r="BI98" i="1"/>
  <c r="BH98" i="1"/>
  <c r="BG98" i="1"/>
  <c r="AA98" i="1"/>
  <c r="Z98" i="1"/>
  <c r="Y98" i="1"/>
  <c r="P98" i="1"/>
  <c r="O98" i="1"/>
  <c r="N98" i="1"/>
  <c r="M98" i="1"/>
  <c r="CA97" i="1"/>
  <c r="BZ97" i="1"/>
  <c r="BY97" i="1"/>
  <c r="BU97" i="1"/>
  <c r="BT97" i="1"/>
  <c r="BS97" i="1"/>
  <c r="BO97" i="1"/>
  <c r="BN97" i="1"/>
  <c r="BM97" i="1"/>
  <c r="BI97" i="1"/>
  <c r="BH97" i="1"/>
  <c r="BG97" i="1"/>
  <c r="AW97" i="1"/>
  <c r="AM97" i="1"/>
  <c r="AA97" i="1"/>
  <c r="Z97" i="1"/>
  <c r="Y97" i="1"/>
  <c r="R97" i="1"/>
  <c r="S97" i="1" s="1"/>
  <c r="T97" i="1" s="1"/>
  <c r="P97" i="1"/>
  <c r="O97" i="1"/>
  <c r="N97" i="1"/>
  <c r="M97" i="1"/>
  <c r="CA96" i="1"/>
  <c r="BZ96" i="1"/>
  <c r="BY96" i="1"/>
  <c r="BU96" i="1"/>
  <c r="BT96" i="1"/>
  <c r="BS96" i="1"/>
  <c r="BO96" i="1"/>
  <c r="BN96" i="1"/>
  <c r="BM96" i="1"/>
  <c r="BI96" i="1"/>
  <c r="BH96" i="1"/>
  <c r="BG96" i="1"/>
  <c r="AW96" i="1"/>
  <c r="AM96" i="1"/>
  <c r="AA96" i="1"/>
  <c r="Z96" i="1"/>
  <c r="Y96" i="1"/>
  <c r="R96" i="1"/>
  <c r="S96" i="1" s="1"/>
  <c r="T96" i="1" s="1"/>
  <c r="P96" i="1"/>
  <c r="O96" i="1"/>
  <c r="N96" i="1"/>
  <c r="M96" i="1"/>
  <c r="CA95" i="1"/>
  <c r="BZ95" i="1"/>
  <c r="BY95" i="1"/>
  <c r="BU95" i="1"/>
  <c r="BT95" i="1"/>
  <c r="BS95" i="1"/>
  <c r="BO95" i="1"/>
  <c r="BN95" i="1"/>
  <c r="BM95" i="1"/>
  <c r="BI95" i="1"/>
  <c r="BH95" i="1"/>
  <c r="BG95" i="1"/>
  <c r="AW95" i="1"/>
  <c r="AA95" i="1"/>
  <c r="Z95" i="1"/>
  <c r="Y95" i="1"/>
  <c r="R95" i="1"/>
  <c r="S95" i="1" s="1"/>
  <c r="T95" i="1" s="1"/>
  <c r="P95" i="1"/>
  <c r="O95" i="1"/>
  <c r="N95" i="1"/>
  <c r="M95" i="1"/>
  <c r="CA94" i="1"/>
  <c r="BZ94" i="1"/>
  <c r="BY94" i="1"/>
  <c r="BU94" i="1"/>
  <c r="BT94" i="1"/>
  <c r="BS94" i="1"/>
  <c r="BO94" i="1"/>
  <c r="BN94" i="1"/>
  <c r="BM94" i="1"/>
  <c r="BI94" i="1"/>
  <c r="BH94" i="1"/>
  <c r="BG94" i="1"/>
  <c r="AW94" i="1"/>
  <c r="AM94" i="1"/>
  <c r="AA94" i="1"/>
  <c r="Z94" i="1"/>
  <c r="Y94" i="1"/>
  <c r="R94" i="1"/>
  <c r="S94" i="1" s="1"/>
  <c r="T94" i="1" s="1"/>
  <c r="P94" i="1"/>
  <c r="O94" i="1"/>
  <c r="N94" i="1"/>
  <c r="M94" i="1"/>
  <c r="CA93" i="1"/>
  <c r="BZ93" i="1"/>
  <c r="BY93" i="1"/>
  <c r="BU93" i="1"/>
  <c r="BT93" i="1"/>
  <c r="BS93" i="1"/>
  <c r="BO93" i="1"/>
  <c r="BN93" i="1"/>
  <c r="BM93" i="1"/>
  <c r="BI93" i="1"/>
  <c r="BH93" i="1"/>
  <c r="BG93" i="1"/>
  <c r="AM93" i="1"/>
  <c r="AW93" i="1" s="1"/>
  <c r="AA93" i="1"/>
  <c r="Z93" i="1"/>
  <c r="Y93" i="1"/>
  <c r="R93" i="1"/>
  <c r="S93" i="1" s="1"/>
  <c r="T93" i="1" s="1"/>
  <c r="P93" i="1"/>
  <c r="O93" i="1"/>
  <c r="N93" i="1"/>
  <c r="M93" i="1"/>
  <c r="CA92" i="1"/>
  <c r="BZ92" i="1"/>
  <c r="BY92" i="1"/>
  <c r="BU92" i="1"/>
  <c r="BT92" i="1"/>
  <c r="BS92" i="1"/>
  <c r="BO92" i="1"/>
  <c r="BN92" i="1"/>
  <c r="BM92" i="1"/>
  <c r="BI92" i="1"/>
  <c r="BH92" i="1"/>
  <c r="BG92" i="1"/>
  <c r="AA92" i="1"/>
  <c r="Z92" i="1"/>
  <c r="Y92" i="1"/>
  <c r="S92" i="1"/>
  <c r="R92" i="1"/>
  <c r="P92" i="1"/>
  <c r="O92" i="1"/>
  <c r="N92" i="1"/>
  <c r="M92" i="1"/>
  <c r="CA91" i="1"/>
  <c r="BZ91" i="1"/>
  <c r="BY91" i="1"/>
  <c r="BU91" i="1"/>
  <c r="BT91" i="1"/>
  <c r="BS91" i="1"/>
  <c r="BO91" i="1"/>
  <c r="BN91" i="1"/>
  <c r="BM91" i="1"/>
  <c r="BI91" i="1"/>
  <c r="BH91" i="1"/>
  <c r="BG91" i="1"/>
  <c r="AA91" i="1"/>
  <c r="Z91" i="1"/>
  <c r="Y91" i="1"/>
  <c r="R91" i="1"/>
  <c r="S91" i="1" s="1"/>
  <c r="T91" i="1" s="1"/>
  <c r="P91" i="1"/>
  <c r="O91" i="1"/>
  <c r="N91" i="1"/>
  <c r="M91" i="1"/>
  <c r="CA90" i="1"/>
  <c r="BZ90" i="1"/>
  <c r="BY90" i="1"/>
  <c r="BU90" i="1"/>
  <c r="BT90" i="1"/>
  <c r="BS90" i="1"/>
  <c r="BO90" i="1"/>
  <c r="BN90" i="1"/>
  <c r="BM90" i="1"/>
  <c r="BI90" i="1"/>
  <c r="BH90" i="1"/>
  <c r="BG90" i="1"/>
  <c r="AA90" i="1"/>
  <c r="Z90" i="1"/>
  <c r="Y90" i="1"/>
  <c r="R90" i="1"/>
  <c r="S90" i="1" s="1"/>
  <c r="T90" i="1" s="1"/>
  <c r="P90" i="1"/>
  <c r="O90" i="1"/>
  <c r="N90" i="1"/>
  <c r="M90" i="1"/>
  <c r="CA89" i="1"/>
  <c r="BZ89" i="1"/>
  <c r="BY89" i="1"/>
  <c r="BU89" i="1"/>
  <c r="BT89" i="1"/>
  <c r="BS89" i="1"/>
  <c r="BO89" i="1"/>
  <c r="BN89" i="1"/>
  <c r="BM89" i="1"/>
  <c r="BI89" i="1"/>
  <c r="BH89" i="1"/>
  <c r="BG89" i="1"/>
  <c r="AW89" i="1"/>
  <c r="AA89" i="1"/>
  <c r="Z89" i="1"/>
  <c r="Y89" i="1"/>
  <c r="T89" i="1"/>
  <c r="P89" i="1"/>
  <c r="O89" i="1"/>
  <c r="N89" i="1"/>
  <c r="M89" i="1"/>
  <c r="CA88" i="1"/>
  <c r="BZ88" i="1"/>
  <c r="BY88" i="1"/>
  <c r="BU88" i="1"/>
  <c r="BT88" i="1"/>
  <c r="BS88" i="1"/>
  <c r="BO88" i="1"/>
  <c r="BN88" i="1"/>
  <c r="BM88" i="1"/>
  <c r="BI88" i="1"/>
  <c r="BH88" i="1"/>
  <c r="BG88" i="1"/>
  <c r="AW88" i="1"/>
  <c r="AA88" i="1"/>
  <c r="Z88" i="1"/>
  <c r="Y88" i="1"/>
  <c r="T88" i="1"/>
  <c r="R88" i="1"/>
  <c r="P88" i="1"/>
  <c r="O88" i="1"/>
  <c r="N88" i="1"/>
  <c r="M88" i="1"/>
  <c r="CA87" i="1"/>
  <c r="BZ87" i="1"/>
  <c r="BY87" i="1"/>
  <c r="BU87" i="1"/>
  <c r="BT87" i="1"/>
  <c r="BS87" i="1"/>
  <c r="BO87" i="1"/>
  <c r="BN87" i="1"/>
  <c r="BM87" i="1"/>
  <c r="BI87" i="1"/>
  <c r="BH87" i="1"/>
  <c r="BG87" i="1"/>
  <c r="AW87" i="1"/>
  <c r="AM87" i="1"/>
  <c r="AH87" i="1"/>
  <c r="AA87" i="1"/>
  <c r="Z87" i="1"/>
  <c r="Y87" i="1"/>
  <c r="T87" i="1"/>
  <c r="R87" i="1"/>
  <c r="P87" i="1"/>
  <c r="O87" i="1"/>
  <c r="N87" i="1"/>
  <c r="M87" i="1"/>
  <c r="CA86" i="1"/>
  <c r="BZ86" i="1"/>
  <c r="BY86" i="1"/>
  <c r="BU86" i="1"/>
  <c r="BT86" i="1"/>
  <c r="BS86" i="1"/>
  <c r="BO86" i="1"/>
  <c r="BN86" i="1"/>
  <c r="BM86" i="1"/>
  <c r="BI86" i="1"/>
  <c r="BH86" i="1"/>
  <c r="BG86" i="1"/>
  <c r="AW86" i="1"/>
  <c r="AM86" i="1"/>
  <c r="AA86" i="1"/>
  <c r="Z86" i="1"/>
  <c r="Y86" i="1"/>
  <c r="T86" i="1"/>
  <c r="R86" i="1"/>
  <c r="P86" i="1"/>
  <c r="O86" i="1"/>
  <c r="N86" i="1"/>
  <c r="M86" i="1"/>
  <c r="CA85" i="1"/>
  <c r="BZ85" i="1"/>
  <c r="BY85" i="1"/>
  <c r="BU85" i="1"/>
  <c r="BT85" i="1"/>
  <c r="BS85" i="1"/>
  <c r="BO85" i="1"/>
  <c r="BN85" i="1"/>
  <c r="BM85" i="1"/>
  <c r="BI85" i="1"/>
  <c r="BH85" i="1"/>
  <c r="BG85" i="1"/>
  <c r="AW85" i="1"/>
  <c r="AM85" i="1"/>
  <c r="AA85" i="1"/>
  <c r="Z85" i="1"/>
  <c r="Y85" i="1"/>
  <c r="T85" i="1"/>
  <c r="R85" i="1"/>
  <c r="P85" i="1"/>
  <c r="O85" i="1"/>
  <c r="N85" i="1"/>
  <c r="M85" i="1"/>
  <c r="CA84" i="1"/>
  <c r="BZ84" i="1"/>
  <c r="BY84" i="1"/>
  <c r="BU84" i="1"/>
  <c r="BT84" i="1"/>
  <c r="BS84" i="1"/>
  <c r="BO84" i="1"/>
  <c r="BN84" i="1"/>
  <c r="BM84" i="1"/>
  <c r="BI84" i="1"/>
  <c r="BH84" i="1"/>
  <c r="BG84" i="1"/>
  <c r="AW84" i="1"/>
  <c r="AM84" i="1"/>
  <c r="AA84" i="1"/>
  <c r="Z84" i="1"/>
  <c r="Y84" i="1"/>
  <c r="T84" i="1"/>
  <c r="R84" i="1"/>
  <c r="P84" i="1"/>
  <c r="O84" i="1"/>
  <c r="N84" i="1"/>
  <c r="M84" i="1"/>
  <c r="CA83" i="1"/>
  <c r="BZ83" i="1"/>
  <c r="BY83" i="1"/>
  <c r="BU83" i="1"/>
  <c r="BT83" i="1"/>
  <c r="BS83" i="1"/>
  <c r="BO83" i="1"/>
  <c r="BN83" i="1"/>
  <c r="BM83" i="1"/>
  <c r="BI83" i="1"/>
  <c r="BH83" i="1"/>
  <c r="BG83" i="1"/>
  <c r="AW83" i="1"/>
  <c r="AA83" i="1"/>
  <c r="Z83" i="1"/>
  <c r="Y83" i="1"/>
  <c r="T83" i="1"/>
  <c r="R83" i="1"/>
  <c r="P83" i="1"/>
  <c r="O83" i="1"/>
  <c r="N83" i="1"/>
  <c r="M83" i="1"/>
  <c r="CA82" i="1"/>
  <c r="BZ82" i="1"/>
  <c r="BY82" i="1"/>
  <c r="BU82" i="1"/>
  <c r="BT82" i="1"/>
  <c r="BS82" i="1"/>
  <c r="BO82" i="1"/>
  <c r="BN82" i="1"/>
  <c r="BM82" i="1"/>
  <c r="BI82" i="1"/>
  <c r="BH82" i="1"/>
  <c r="BG82" i="1"/>
  <c r="AW82" i="1"/>
  <c r="AM82" i="1"/>
  <c r="AA82" i="1"/>
  <c r="Z82" i="1"/>
  <c r="Y82" i="1"/>
  <c r="T82" i="1"/>
  <c r="R82" i="1"/>
  <c r="P82" i="1"/>
  <c r="O82" i="1"/>
  <c r="N82" i="1"/>
  <c r="M82" i="1"/>
  <c r="CA81" i="1"/>
  <c r="BZ81" i="1"/>
  <c r="BY81" i="1"/>
  <c r="BU81" i="1"/>
  <c r="BT81" i="1"/>
  <c r="BS81" i="1"/>
  <c r="BO81" i="1"/>
  <c r="BN81" i="1"/>
  <c r="BM81" i="1"/>
  <c r="BI81" i="1"/>
  <c r="BH81" i="1"/>
  <c r="BG81" i="1"/>
  <c r="AW81" i="1"/>
  <c r="AA81" i="1"/>
  <c r="Z81" i="1"/>
  <c r="Y81" i="1"/>
  <c r="R81" i="1"/>
  <c r="S81" i="1" s="1"/>
  <c r="T81" i="1" s="1"/>
  <c r="P81" i="1"/>
  <c r="O81" i="1"/>
  <c r="N81" i="1"/>
  <c r="M81" i="1"/>
  <c r="CA80" i="1"/>
  <c r="BZ80" i="1"/>
  <c r="BY80" i="1"/>
  <c r="BU80" i="1"/>
  <c r="BT80" i="1"/>
  <c r="BS80" i="1"/>
  <c r="BO80" i="1"/>
  <c r="BN80" i="1"/>
  <c r="BM80" i="1"/>
  <c r="BI80" i="1"/>
  <c r="BH80" i="1"/>
  <c r="BG80" i="1"/>
  <c r="AM80" i="1"/>
  <c r="AW80" i="1" s="1"/>
  <c r="AH80" i="1"/>
  <c r="AA80" i="1"/>
  <c r="Z80" i="1"/>
  <c r="Y80" i="1"/>
  <c r="T80" i="1"/>
  <c r="R80" i="1"/>
  <c r="P80" i="1"/>
  <c r="O80" i="1"/>
  <c r="N80" i="1"/>
  <c r="M80" i="1"/>
  <c r="CA79" i="1"/>
  <c r="BZ79" i="1"/>
  <c r="BY79" i="1"/>
  <c r="BU79" i="1"/>
  <c r="BT79" i="1"/>
  <c r="BS79" i="1"/>
  <c r="BO79" i="1"/>
  <c r="BN79" i="1"/>
  <c r="BM79" i="1"/>
  <c r="BI79" i="1"/>
  <c r="BH79" i="1"/>
  <c r="BG79" i="1"/>
  <c r="AM79" i="1"/>
  <c r="AW79" i="1" s="1"/>
  <c r="AA79" i="1"/>
  <c r="Z79" i="1"/>
  <c r="Y79" i="1"/>
  <c r="R79" i="1"/>
  <c r="S79" i="1" s="1"/>
  <c r="T79" i="1" s="1"/>
  <c r="P79" i="1"/>
  <c r="O79" i="1"/>
  <c r="N79" i="1"/>
  <c r="M79" i="1"/>
  <c r="CA78" i="1"/>
  <c r="BZ78" i="1"/>
  <c r="BY78" i="1"/>
  <c r="BU78" i="1"/>
  <c r="BT78" i="1"/>
  <c r="BS78" i="1"/>
  <c r="BO78" i="1"/>
  <c r="BN78" i="1"/>
  <c r="BM78" i="1"/>
  <c r="BI78" i="1"/>
  <c r="BH78" i="1"/>
  <c r="BG78" i="1"/>
  <c r="AM78" i="1"/>
  <c r="AW78" i="1" s="1"/>
  <c r="AA78" i="1"/>
  <c r="Z78" i="1"/>
  <c r="Y78" i="1"/>
  <c r="S78" i="1"/>
  <c r="T78" i="1" s="1"/>
  <c r="R78" i="1"/>
  <c r="P78" i="1"/>
  <c r="O78" i="1"/>
  <c r="N78" i="1"/>
  <c r="M78" i="1"/>
  <c r="CA77" i="1"/>
  <c r="BZ77" i="1"/>
  <c r="BY77" i="1"/>
  <c r="BU77" i="1"/>
  <c r="BT77" i="1"/>
  <c r="BS77" i="1"/>
  <c r="BO77" i="1"/>
  <c r="BN77" i="1"/>
  <c r="BM77" i="1"/>
  <c r="BI77" i="1"/>
  <c r="BH77" i="1"/>
  <c r="BG77" i="1"/>
  <c r="AW77" i="1"/>
  <c r="AA77" i="1"/>
  <c r="Z77" i="1"/>
  <c r="Y77" i="1"/>
  <c r="S77" i="1"/>
  <c r="T77" i="1" s="1"/>
  <c r="R77" i="1"/>
  <c r="P77" i="1"/>
  <c r="O77" i="1"/>
  <c r="N77" i="1"/>
  <c r="M77" i="1"/>
  <c r="CA76" i="1"/>
  <c r="BZ76" i="1"/>
  <c r="BY76" i="1"/>
  <c r="BU76" i="1"/>
  <c r="BT76" i="1"/>
  <c r="BS76" i="1"/>
  <c r="BO76" i="1"/>
  <c r="BN76" i="1"/>
  <c r="BM76" i="1"/>
  <c r="BI76" i="1"/>
  <c r="BH76" i="1"/>
  <c r="BG76" i="1"/>
  <c r="AM76" i="1"/>
  <c r="AW76" i="1" s="1"/>
  <c r="AA76" i="1"/>
  <c r="Z76" i="1"/>
  <c r="Y76" i="1"/>
  <c r="R76" i="1"/>
  <c r="S76" i="1" s="1"/>
  <c r="T76" i="1" s="1"/>
  <c r="P76" i="1"/>
  <c r="O76" i="1"/>
  <c r="N76" i="1"/>
  <c r="M76" i="1"/>
  <c r="CA75" i="1"/>
  <c r="BZ75" i="1"/>
  <c r="BY75" i="1"/>
  <c r="BU75" i="1"/>
  <c r="BT75" i="1"/>
  <c r="BS75" i="1"/>
  <c r="BO75" i="1"/>
  <c r="BN75" i="1"/>
  <c r="BM75" i="1"/>
  <c r="BI75" i="1"/>
  <c r="BH75" i="1"/>
  <c r="BG75" i="1"/>
  <c r="AA75" i="1"/>
  <c r="Z75" i="1"/>
  <c r="Y75" i="1"/>
  <c r="R75" i="1"/>
  <c r="S75" i="1" s="1"/>
  <c r="T75" i="1" s="1"/>
  <c r="P75" i="1"/>
  <c r="O75" i="1"/>
  <c r="N75" i="1"/>
  <c r="M75" i="1"/>
  <c r="CA74" i="1"/>
  <c r="BZ74" i="1"/>
  <c r="BY74" i="1"/>
  <c r="BU74" i="1"/>
  <c r="BT74" i="1"/>
  <c r="BS74" i="1"/>
  <c r="BO74" i="1"/>
  <c r="BN74" i="1"/>
  <c r="BM74" i="1"/>
  <c r="BI74" i="1"/>
  <c r="BH74" i="1"/>
  <c r="BG74" i="1"/>
  <c r="AA74" i="1"/>
  <c r="Z74" i="1"/>
  <c r="Y74" i="1"/>
  <c r="R74" i="1"/>
  <c r="S74" i="1" s="1"/>
  <c r="T74" i="1" s="1"/>
  <c r="P74" i="1"/>
  <c r="O74" i="1"/>
  <c r="N74" i="1"/>
  <c r="M74" i="1"/>
  <c r="CA73" i="1"/>
  <c r="BZ73" i="1"/>
  <c r="BY73" i="1"/>
  <c r="BU73" i="1"/>
  <c r="BT73" i="1"/>
  <c r="BS73" i="1"/>
  <c r="BO73" i="1"/>
  <c r="BN73" i="1"/>
  <c r="BM73" i="1"/>
  <c r="BI73" i="1"/>
  <c r="BH73" i="1"/>
  <c r="BG73" i="1"/>
  <c r="AW73" i="1"/>
  <c r="AA73" i="1"/>
  <c r="Z73" i="1"/>
  <c r="Y73" i="1"/>
  <c r="R73" i="1"/>
  <c r="S73" i="1" s="1"/>
  <c r="T73" i="1" s="1"/>
  <c r="P73" i="1"/>
  <c r="O73" i="1"/>
  <c r="N73" i="1"/>
  <c r="M73" i="1"/>
  <c r="CA72" i="1"/>
  <c r="BZ72" i="1"/>
  <c r="BY72" i="1"/>
  <c r="BU72" i="1"/>
  <c r="BT72" i="1"/>
  <c r="BS72" i="1"/>
  <c r="BO72" i="1"/>
  <c r="BN72" i="1"/>
  <c r="BM72" i="1"/>
  <c r="BI72" i="1"/>
  <c r="BH72" i="1"/>
  <c r="BG72" i="1"/>
  <c r="AA72" i="1"/>
  <c r="Z72" i="1"/>
  <c r="Y72" i="1"/>
  <c r="R72" i="1"/>
  <c r="S72" i="1" s="1"/>
  <c r="T72" i="1" s="1"/>
  <c r="P72" i="1"/>
  <c r="O72" i="1"/>
  <c r="N72" i="1"/>
  <c r="M72" i="1"/>
  <c r="CA71" i="1"/>
  <c r="BZ71" i="1"/>
  <c r="BY71" i="1"/>
  <c r="BU71" i="1"/>
  <c r="BT71" i="1"/>
  <c r="BS71" i="1"/>
  <c r="BO71" i="1"/>
  <c r="BN71" i="1"/>
  <c r="BM71" i="1"/>
  <c r="BI71" i="1"/>
  <c r="BH71" i="1"/>
  <c r="BG71" i="1"/>
  <c r="AM71" i="1"/>
  <c r="AW71" i="1" s="1"/>
  <c r="AA71" i="1"/>
  <c r="Z71" i="1"/>
  <c r="Y71" i="1"/>
  <c r="S71" i="1"/>
  <c r="T71" i="1" s="1"/>
  <c r="R71" i="1"/>
  <c r="P71" i="1"/>
  <c r="O71" i="1"/>
  <c r="N71" i="1"/>
  <c r="M71" i="1"/>
  <c r="CA70" i="1"/>
  <c r="BZ70" i="1"/>
  <c r="BY70" i="1"/>
  <c r="BU70" i="1"/>
  <c r="BT70" i="1"/>
  <c r="BS70" i="1"/>
  <c r="BO70" i="1"/>
  <c r="BN70" i="1"/>
  <c r="BM70" i="1"/>
  <c r="BI70" i="1"/>
  <c r="BH70" i="1"/>
  <c r="BG70" i="1"/>
  <c r="AM70" i="1"/>
  <c r="AA70" i="1"/>
  <c r="Z70" i="1"/>
  <c r="Y70" i="1"/>
  <c r="T70" i="1"/>
  <c r="R70" i="1"/>
  <c r="P70" i="1"/>
  <c r="O70" i="1"/>
  <c r="N70" i="1"/>
  <c r="M70" i="1"/>
  <c r="CA69" i="1"/>
  <c r="BZ69" i="1"/>
  <c r="BY69" i="1"/>
  <c r="BU69" i="1"/>
  <c r="BT69" i="1"/>
  <c r="BS69" i="1"/>
  <c r="BO69" i="1"/>
  <c r="BN69" i="1"/>
  <c r="BM69" i="1"/>
  <c r="BI69" i="1"/>
  <c r="BH69" i="1"/>
  <c r="BG69" i="1"/>
  <c r="AW69" i="1"/>
  <c r="AA69" i="1"/>
  <c r="Z69" i="1"/>
  <c r="Y69" i="1"/>
  <c r="T69" i="1"/>
  <c r="R69" i="1"/>
  <c r="P69" i="1"/>
  <c r="O69" i="1"/>
  <c r="N69" i="1"/>
  <c r="M69" i="1"/>
  <c r="CA68" i="1"/>
  <c r="BZ68" i="1"/>
  <c r="BY68" i="1"/>
  <c r="BU68" i="1"/>
  <c r="BT68" i="1"/>
  <c r="BS68" i="1"/>
  <c r="BO68" i="1"/>
  <c r="BN68" i="1"/>
  <c r="BM68" i="1"/>
  <c r="BI68" i="1"/>
  <c r="BH68" i="1"/>
  <c r="BG68" i="1"/>
  <c r="AA68" i="1"/>
  <c r="Z68" i="1"/>
  <c r="Y68" i="1"/>
  <c r="R68" i="1"/>
  <c r="S68" i="1" s="1"/>
  <c r="T68" i="1" s="1"/>
  <c r="P68" i="1"/>
  <c r="O68" i="1"/>
  <c r="N68" i="1"/>
  <c r="M68" i="1"/>
  <c r="CA67" i="1"/>
  <c r="BZ67" i="1"/>
  <c r="BY67" i="1"/>
  <c r="BU67" i="1"/>
  <c r="BT67" i="1"/>
  <c r="BS67" i="1"/>
  <c r="BO67" i="1"/>
  <c r="BN67" i="1"/>
  <c r="BM67" i="1"/>
  <c r="BI67" i="1"/>
  <c r="BH67" i="1"/>
  <c r="BG67" i="1"/>
  <c r="AM67" i="1"/>
  <c r="AW67" i="1" s="1"/>
  <c r="AA67" i="1"/>
  <c r="Z67" i="1"/>
  <c r="Y67" i="1"/>
  <c r="T67" i="1"/>
  <c r="R67" i="1"/>
  <c r="P67" i="1"/>
  <c r="O67" i="1"/>
  <c r="N67" i="1"/>
  <c r="M67" i="1"/>
  <c r="CA66" i="1"/>
  <c r="BZ66" i="1"/>
  <c r="BY66" i="1"/>
  <c r="BU66" i="1"/>
  <c r="BT66" i="1"/>
  <c r="BS66" i="1"/>
  <c r="BO66" i="1"/>
  <c r="BN66" i="1"/>
  <c r="BM66" i="1"/>
  <c r="BI66" i="1"/>
  <c r="BH66" i="1"/>
  <c r="BG66" i="1"/>
  <c r="AM66" i="1"/>
  <c r="AA66" i="1"/>
  <c r="Z66" i="1"/>
  <c r="Y66" i="1"/>
  <c r="T66" i="1"/>
  <c r="R66" i="1"/>
  <c r="P66" i="1"/>
  <c r="O66" i="1"/>
  <c r="N66" i="1"/>
  <c r="M66" i="1"/>
  <c r="CA65" i="1"/>
  <c r="BZ65" i="1"/>
  <c r="BY65" i="1"/>
  <c r="BU65" i="1"/>
  <c r="BT65" i="1"/>
  <c r="BS65" i="1"/>
  <c r="BO65" i="1"/>
  <c r="BN65" i="1"/>
  <c r="BM65" i="1"/>
  <c r="BI65" i="1"/>
  <c r="BH65" i="1"/>
  <c r="BG65" i="1"/>
  <c r="AM65" i="1"/>
  <c r="AA65" i="1"/>
  <c r="Z65" i="1"/>
  <c r="Y65" i="1"/>
  <c r="R65" i="1"/>
  <c r="S65" i="1" s="1"/>
  <c r="T65" i="1" s="1"/>
  <c r="P65" i="1"/>
  <c r="O65" i="1"/>
  <c r="N65" i="1"/>
  <c r="M65" i="1"/>
  <c r="CA64" i="1"/>
  <c r="BZ64" i="1"/>
  <c r="BY64" i="1"/>
  <c r="BU64" i="1"/>
  <c r="BT64" i="1"/>
  <c r="BS64" i="1"/>
  <c r="BO64" i="1"/>
  <c r="BN64" i="1"/>
  <c r="BM64" i="1"/>
  <c r="BI64" i="1"/>
  <c r="BH64" i="1"/>
  <c r="BG64" i="1"/>
  <c r="AM64" i="1"/>
  <c r="AA64" i="1"/>
  <c r="Z64" i="1"/>
  <c r="Y64" i="1"/>
  <c r="S64" i="1"/>
  <c r="T64" i="1" s="1"/>
  <c r="R64" i="1"/>
  <c r="P64" i="1"/>
  <c r="O64" i="1"/>
  <c r="N64" i="1"/>
  <c r="M64" i="1"/>
  <c r="CA63" i="1"/>
  <c r="BZ63" i="1"/>
  <c r="BY63" i="1"/>
  <c r="BU63" i="1"/>
  <c r="BT63" i="1"/>
  <c r="BS63" i="1"/>
  <c r="BO63" i="1"/>
  <c r="BN63" i="1"/>
  <c r="BM63" i="1"/>
  <c r="BI63" i="1"/>
  <c r="BH63" i="1"/>
  <c r="BG63" i="1"/>
  <c r="AW63" i="1"/>
  <c r="AA63" i="1"/>
  <c r="Z63" i="1"/>
  <c r="Y63" i="1"/>
  <c r="R63" i="1"/>
  <c r="S63" i="1" s="1"/>
  <c r="T63" i="1" s="1"/>
  <c r="P63" i="1"/>
  <c r="O63" i="1"/>
  <c r="N63" i="1"/>
  <c r="M63" i="1"/>
  <c r="CA62" i="1"/>
  <c r="BZ62" i="1"/>
  <c r="BY62" i="1"/>
  <c r="BU62" i="1"/>
  <c r="BT62" i="1"/>
  <c r="BS62" i="1"/>
  <c r="BO62" i="1"/>
  <c r="BN62" i="1"/>
  <c r="BM62" i="1"/>
  <c r="BI62" i="1"/>
  <c r="BH62" i="1"/>
  <c r="BG62" i="1"/>
  <c r="AA62" i="1"/>
  <c r="Z62" i="1"/>
  <c r="Y62" i="1"/>
  <c r="R62" i="1"/>
  <c r="S62" i="1" s="1"/>
  <c r="T62" i="1" s="1"/>
  <c r="P62" i="1"/>
  <c r="O62" i="1"/>
  <c r="N62" i="1"/>
  <c r="M62" i="1"/>
  <c r="CA61" i="1"/>
  <c r="BZ61" i="1"/>
  <c r="BY61" i="1"/>
  <c r="BU61" i="1"/>
  <c r="BT61" i="1"/>
  <c r="BS61" i="1"/>
  <c r="BO61" i="1"/>
  <c r="BN61" i="1"/>
  <c r="BM61" i="1"/>
  <c r="BI61" i="1"/>
  <c r="BH61" i="1"/>
  <c r="BG61" i="1"/>
  <c r="AA61" i="1"/>
  <c r="Z61" i="1"/>
  <c r="Y61" i="1"/>
  <c r="S61" i="1"/>
  <c r="T61" i="1" s="1"/>
  <c r="R61" i="1"/>
  <c r="P61" i="1"/>
  <c r="O61" i="1"/>
  <c r="N61" i="1"/>
  <c r="M61" i="1"/>
  <c r="CA60" i="1"/>
  <c r="BZ60" i="1"/>
  <c r="BY60" i="1"/>
  <c r="BU60" i="1"/>
  <c r="BT60" i="1"/>
  <c r="BS60" i="1"/>
  <c r="BO60" i="1"/>
  <c r="BN60" i="1"/>
  <c r="BM60" i="1"/>
  <c r="BI60" i="1"/>
  <c r="BH60" i="1"/>
  <c r="BG60" i="1"/>
  <c r="AM60" i="1"/>
  <c r="AA60" i="1"/>
  <c r="Z60" i="1"/>
  <c r="Y60" i="1"/>
  <c r="S60" i="1"/>
  <c r="T60" i="1" s="1"/>
  <c r="P60" i="1"/>
  <c r="O60" i="1"/>
  <c r="N60" i="1"/>
  <c r="M60" i="1"/>
  <c r="CA59" i="1"/>
  <c r="BZ59" i="1"/>
  <c r="BY59" i="1"/>
  <c r="BU59" i="1"/>
  <c r="BT59" i="1"/>
  <c r="BS59" i="1"/>
  <c r="BO59" i="1"/>
  <c r="BN59" i="1"/>
  <c r="BM59" i="1"/>
  <c r="BI59" i="1"/>
  <c r="BH59" i="1"/>
  <c r="BG59" i="1"/>
  <c r="AA59" i="1"/>
  <c r="Z59" i="1"/>
  <c r="Y59" i="1"/>
  <c r="S59" i="1"/>
  <c r="T59" i="1" s="1"/>
  <c r="P59" i="1"/>
  <c r="O59" i="1"/>
  <c r="N59" i="1"/>
  <c r="M59" i="1"/>
  <c r="CA58" i="1"/>
  <c r="BZ58" i="1"/>
  <c r="BY58" i="1"/>
  <c r="BU58" i="1"/>
  <c r="BT58" i="1"/>
  <c r="BS58" i="1"/>
  <c r="BO58" i="1"/>
  <c r="BN58" i="1"/>
  <c r="BM58" i="1"/>
  <c r="BI58" i="1"/>
  <c r="BH58" i="1"/>
  <c r="BG58" i="1"/>
  <c r="AA58" i="1"/>
  <c r="Z58" i="1"/>
  <c r="Y58" i="1"/>
  <c r="T58" i="1"/>
  <c r="S58" i="1"/>
  <c r="P58" i="1"/>
  <c r="O58" i="1"/>
  <c r="N58" i="1"/>
  <c r="M58" i="1"/>
  <c r="CA57" i="1"/>
  <c r="BZ57" i="1"/>
  <c r="BY57" i="1"/>
  <c r="BU57" i="1"/>
  <c r="BT57" i="1"/>
  <c r="BS57" i="1"/>
  <c r="BO57" i="1"/>
  <c r="BN57" i="1"/>
  <c r="BM57" i="1"/>
  <c r="BI57" i="1"/>
  <c r="BH57" i="1"/>
  <c r="BG57" i="1"/>
  <c r="AA57" i="1"/>
  <c r="Z57" i="1"/>
  <c r="Y57" i="1"/>
  <c r="R57" i="1"/>
  <c r="S57" i="1" s="1"/>
  <c r="T57" i="1" s="1"/>
  <c r="P57" i="1"/>
  <c r="O57" i="1"/>
  <c r="N57" i="1"/>
  <c r="M57" i="1"/>
  <c r="CA56" i="1"/>
  <c r="BZ56" i="1"/>
  <c r="BY56" i="1"/>
  <c r="BU56" i="1"/>
  <c r="BT56" i="1"/>
  <c r="BS56" i="1"/>
  <c r="BO56" i="1"/>
  <c r="BN56" i="1"/>
  <c r="BM56" i="1"/>
  <c r="BI56" i="1"/>
  <c r="BH56" i="1"/>
  <c r="BG56" i="1"/>
  <c r="AA56" i="1"/>
  <c r="Z56" i="1"/>
  <c r="Y56" i="1"/>
  <c r="R56" i="1"/>
  <c r="S56" i="1" s="1"/>
  <c r="T56" i="1" s="1"/>
  <c r="P56" i="1"/>
  <c r="O56" i="1"/>
  <c r="N56" i="1"/>
  <c r="M56" i="1"/>
  <c r="CA55" i="1"/>
  <c r="BZ55" i="1"/>
  <c r="BY55" i="1"/>
  <c r="BU55" i="1"/>
  <c r="BT55" i="1"/>
  <c r="BS55" i="1"/>
  <c r="BO55" i="1"/>
  <c r="BN55" i="1"/>
  <c r="BM55" i="1"/>
  <c r="BI55" i="1"/>
  <c r="BH55" i="1"/>
  <c r="BG55" i="1"/>
  <c r="AM55" i="1"/>
  <c r="AA55" i="1"/>
  <c r="Z55" i="1"/>
  <c r="Y55" i="1"/>
  <c r="R55" i="1"/>
  <c r="S55" i="1" s="1"/>
  <c r="T55" i="1" s="1"/>
  <c r="P55" i="1"/>
  <c r="O55" i="1"/>
  <c r="N55" i="1"/>
  <c r="M55" i="1"/>
  <c r="CA54" i="1"/>
  <c r="BZ54" i="1"/>
  <c r="BY54" i="1"/>
  <c r="BU54" i="1"/>
  <c r="BT54" i="1"/>
  <c r="BS54" i="1"/>
  <c r="BO54" i="1"/>
  <c r="BN54" i="1"/>
  <c r="BM54" i="1"/>
  <c r="BI54" i="1"/>
  <c r="BH54" i="1"/>
  <c r="BG54" i="1"/>
  <c r="AM54" i="1"/>
  <c r="AA54" i="1"/>
  <c r="Z54" i="1"/>
  <c r="Y54" i="1"/>
  <c r="R54" i="1"/>
  <c r="S54" i="1" s="1"/>
  <c r="T54" i="1" s="1"/>
  <c r="P54" i="1"/>
  <c r="O54" i="1"/>
  <c r="N54" i="1"/>
  <c r="M54" i="1"/>
  <c r="CA53" i="1"/>
  <c r="BZ53" i="1"/>
  <c r="BY53" i="1"/>
  <c r="BU53" i="1"/>
  <c r="BT53" i="1"/>
  <c r="BS53" i="1"/>
  <c r="BO53" i="1"/>
  <c r="BN53" i="1"/>
  <c r="BM53" i="1"/>
  <c r="BI53" i="1"/>
  <c r="BH53" i="1"/>
  <c r="BG53" i="1"/>
  <c r="AA53" i="1"/>
  <c r="Z53" i="1"/>
  <c r="Y53" i="1"/>
  <c r="S53" i="1"/>
  <c r="T53" i="1" s="1"/>
  <c r="R53" i="1"/>
  <c r="P53" i="1"/>
  <c r="O53" i="1"/>
  <c r="N53" i="1"/>
  <c r="M53" i="1"/>
  <c r="CA52" i="1"/>
  <c r="BZ52" i="1"/>
  <c r="BY52" i="1"/>
  <c r="BU52" i="1"/>
  <c r="BT52" i="1"/>
  <c r="BS52" i="1"/>
  <c r="BO52" i="1"/>
  <c r="BN52" i="1"/>
  <c r="BM52" i="1"/>
  <c r="BI52" i="1"/>
  <c r="BH52" i="1"/>
  <c r="BG52" i="1"/>
  <c r="AM52" i="1"/>
  <c r="AA52" i="1"/>
  <c r="Z52" i="1"/>
  <c r="Y52" i="1"/>
  <c r="S52" i="1"/>
  <c r="T52" i="1" s="1"/>
  <c r="P52" i="1"/>
  <c r="O52" i="1"/>
  <c r="N52" i="1"/>
  <c r="M52" i="1"/>
  <c r="CA51" i="1"/>
  <c r="BZ51" i="1"/>
  <c r="BY51" i="1"/>
  <c r="BU51" i="1"/>
  <c r="BT51" i="1"/>
  <c r="BS51" i="1"/>
  <c r="BO51" i="1"/>
  <c r="BN51" i="1"/>
  <c r="BM51" i="1"/>
  <c r="BI51" i="1"/>
  <c r="BH51" i="1"/>
  <c r="BG51" i="1"/>
  <c r="AA51" i="1"/>
  <c r="Z51" i="1"/>
  <c r="Y51" i="1"/>
  <c r="S51" i="1"/>
  <c r="T51" i="1" s="1"/>
  <c r="P51" i="1"/>
  <c r="O51" i="1"/>
  <c r="N51" i="1"/>
  <c r="M51" i="1"/>
  <c r="CA50" i="1"/>
  <c r="BZ50" i="1"/>
  <c r="BY50" i="1"/>
  <c r="BU50" i="1"/>
  <c r="BT50" i="1"/>
  <c r="BS50" i="1"/>
  <c r="BO50" i="1"/>
  <c r="BN50" i="1"/>
  <c r="BM50" i="1"/>
  <c r="BI50" i="1"/>
  <c r="BH50" i="1"/>
  <c r="BG50" i="1"/>
  <c r="AA50" i="1"/>
  <c r="Z50" i="1"/>
  <c r="Y50" i="1"/>
  <c r="T50" i="1"/>
  <c r="S50" i="1"/>
  <c r="P50" i="1"/>
  <c r="O50" i="1"/>
  <c r="N50" i="1"/>
  <c r="M50" i="1"/>
  <c r="CA49" i="1"/>
  <c r="BZ49" i="1"/>
  <c r="BY49" i="1"/>
  <c r="BU49" i="1"/>
  <c r="BT49" i="1"/>
  <c r="BS49" i="1"/>
  <c r="BO49" i="1"/>
  <c r="BN49" i="1"/>
  <c r="BM49" i="1"/>
  <c r="BI49" i="1"/>
  <c r="BH49" i="1"/>
  <c r="BG49" i="1"/>
  <c r="AM49" i="1"/>
  <c r="AA49" i="1"/>
  <c r="Z49" i="1"/>
  <c r="Y49" i="1"/>
  <c r="S49" i="1"/>
  <c r="T49" i="1" s="1"/>
  <c r="R49" i="1"/>
  <c r="P49" i="1"/>
  <c r="O49" i="1"/>
  <c r="N49" i="1"/>
  <c r="M49" i="1"/>
  <c r="CA48" i="1"/>
  <c r="BZ48" i="1"/>
  <c r="BY48" i="1"/>
  <c r="BU48" i="1"/>
  <c r="BT48" i="1"/>
  <c r="BS48" i="1"/>
  <c r="BO48" i="1"/>
  <c r="BN48" i="1"/>
  <c r="BM48" i="1"/>
  <c r="BI48" i="1"/>
  <c r="BH48" i="1"/>
  <c r="BG48" i="1"/>
  <c r="AA48" i="1"/>
  <c r="Z48" i="1"/>
  <c r="Y48" i="1"/>
  <c r="S48" i="1"/>
  <c r="T48" i="1" s="1"/>
  <c r="P48" i="1"/>
  <c r="O48" i="1"/>
  <c r="N48" i="1"/>
  <c r="M48" i="1"/>
  <c r="CA47" i="1"/>
  <c r="BZ47" i="1"/>
  <c r="BY47" i="1"/>
  <c r="BU47" i="1"/>
  <c r="BT47" i="1"/>
  <c r="BS47" i="1"/>
  <c r="BO47" i="1"/>
  <c r="BN47" i="1"/>
  <c r="BM47" i="1"/>
  <c r="BI47" i="1"/>
  <c r="BH47" i="1"/>
  <c r="BG47" i="1"/>
  <c r="AA47" i="1"/>
  <c r="Z47" i="1"/>
  <c r="Y47" i="1"/>
  <c r="S47" i="1"/>
  <c r="T47" i="1" s="1"/>
  <c r="P47" i="1"/>
  <c r="O47" i="1"/>
  <c r="N47" i="1"/>
  <c r="M47" i="1"/>
  <c r="CA46" i="1"/>
  <c r="BZ46" i="1"/>
  <c r="BY46" i="1"/>
  <c r="BU46" i="1"/>
  <c r="BT46" i="1"/>
  <c r="BS46" i="1"/>
  <c r="BO46" i="1"/>
  <c r="BN46" i="1"/>
  <c r="BM46" i="1"/>
  <c r="BI46" i="1"/>
  <c r="BH46" i="1"/>
  <c r="BG46" i="1"/>
  <c r="AA46" i="1"/>
  <c r="Z46" i="1"/>
  <c r="Y46" i="1"/>
  <c r="S46" i="1"/>
  <c r="T46" i="1" s="1"/>
  <c r="P46" i="1"/>
  <c r="O46" i="1"/>
  <c r="N46" i="1"/>
  <c r="M46" i="1"/>
  <c r="CA45" i="1"/>
  <c r="BZ45" i="1"/>
  <c r="BY45" i="1"/>
  <c r="BU45" i="1"/>
  <c r="BT45" i="1"/>
  <c r="BS45" i="1"/>
  <c r="BO45" i="1"/>
  <c r="BN45" i="1"/>
  <c r="BM45" i="1"/>
  <c r="BI45" i="1"/>
  <c r="BH45" i="1"/>
  <c r="BG45" i="1"/>
  <c r="AA45" i="1"/>
  <c r="Z45" i="1"/>
  <c r="Y45" i="1"/>
  <c r="S45" i="1"/>
  <c r="T45" i="1" s="1"/>
  <c r="P45" i="1"/>
  <c r="O45" i="1"/>
  <c r="N45" i="1"/>
  <c r="M45" i="1"/>
  <c r="CA44" i="1"/>
  <c r="BZ44" i="1"/>
  <c r="BY44" i="1"/>
  <c r="BU44" i="1"/>
  <c r="BT44" i="1"/>
  <c r="BS44" i="1"/>
  <c r="BO44" i="1"/>
  <c r="BN44" i="1"/>
  <c r="BM44" i="1"/>
  <c r="BI44" i="1"/>
  <c r="BH44" i="1"/>
  <c r="BG44" i="1"/>
  <c r="AA44" i="1"/>
  <c r="Z44" i="1"/>
  <c r="Y44" i="1"/>
  <c r="T44" i="1"/>
  <c r="S44" i="1"/>
  <c r="P44" i="1"/>
  <c r="O44" i="1"/>
  <c r="N44" i="1"/>
  <c r="M44" i="1"/>
  <c r="CA43" i="1"/>
  <c r="BZ43" i="1"/>
  <c r="BY43" i="1"/>
  <c r="BU43" i="1"/>
  <c r="BT43" i="1"/>
  <c r="BS43" i="1"/>
  <c r="BO43" i="1"/>
  <c r="BN43" i="1"/>
  <c r="BM43" i="1"/>
  <c r="BI43" i="1"/>
  <c r="BH43" i="1"/>
  <c r="BG43" i="1"/>
  <c r="AA43" i="1"/>
  <c r="Z43" i="1"/>
  <c r="Y43" i="1"/>
  <c r="S43" i="1"/>
  <c r="T43" i="1" s="1"/>
  <c r="P43" i="1"/>
  <c r="O43" i="1"/>
  <c r="N43" i="1"/>
  <c r="M43" i="1"/>
  <c r="CA42" i="1"/>
  <c r="BZ42" i="1"/>
  <c r="BY42" i="1"/>
  <c r="BU42" i="1"/>
  <c r="BT42" i="1"/>
  <c r="BS42" i="1"/>
  <c r="BO42" i="1"/>
  <c r="BN42" i="1"/>
  <c r="BM42" i="1"/>
  <c r="BI42" i="1"/>
  <c r="BH42" i="1"/>
  <c r="BG42" i="1"/>
  <c r="AA42" i="1"/>
  <c r="Z42" i="1"/>
  <c r="Y42" i="1"/>
  <c r="S42" i="1"/>
  <c r="T42" i="1" s="1"/>
  <c r="P42" i="1"/>
  <c r="O42" i="1"/>
  <c r="N42" i="1"/>
  <c r="M42" i="1"/>
  <c r="CA41" i="1"/>
  <c r="BZ41" i="1"/>
  <c r="BY41" i="1"/>
  <c r="BU41" i="1"/>
  <c r="BT41" i="1"/>
  <c r="BS41" i="1"/>
  <c r="BO41" i="1"/>
  <c r="BN41" i="1"/>
  <c r="BM41" i="1"/>
  <c r="BI41" i="1"/>
  <c r="BH41" i="1"/>
  <c r="BG41" i="1"/>
  <c r="AM41" i="1"/>
  <c r="AA41" i="1"/>
  <c r="Z41" i="1"/>
  <c r="Y41" i="1"/>
  <c r="T41" i="1"/>
  <c r="S41" i="1"/>
  <c r="P41" i="1"/>
  <c r="O41" i="1"/>
  <c r="N41" i="1"/>
  <c r="M41" i="1"/>
  <c r="CA40" i="1"/>
  <c r="BZ40" i="1"/>
  <c r="BY40" i="1"/>
  <c r="BU40" i="1"/>
  <c r="BT40" i="1"/>
  <c r="BS40" i="1"/>
  <c r="BO40" i="1"/>
  <c r="BN40" i="1"/>
  <c r="BM40" i="1"/>
  <c r="BI40" i="1"/>
  <c r="BH40" i="1"/>
  <c r="BG40" i="1"/>
  <c r="AA40" i="1"/>
  <c r="Z40" i="1"/>
  <c r="Y40" i="1"/>
  <c r="S40" i="1"/>
  <c r="T40" i="1" s="1"/>
  <c r="P40" i="1"/>
  <c r="O40" i="1"/>
  <c r="N40" i="1"/>
  <c r="M40" i="1"/>
  <c r="CA39" i="1"/>
  <c r="BZ39" i="1"/>
  <c r="BY39" i="1"/>
  <c r="BU39" i="1"/>
  <c r="BT39" i="1"/>
  <c r="BS39" i="1"/>
  <c r="BO39" i="1"/>
  <c r="BN39" i="1"/>
  <c r="BM39" i="1"/>
  <c r="BI39" i="1"/>
  <c r="BH39" i="1"/>
  <c r="BG39" i="1"/>
  <c r="AA39" i="1"/>
  <c r="Z39" i="1"/>
  <c r="Y39" i="1"/>
  <c r="S39" i="1"/>
  <c r="T39" i="1" s="1"/>
  <c r="P39" i="1"/>
  <c r="O39" i="1"/>
  <c r="N39" i="1"/>
  <c r="M39" i="1"/>
  <c r="CA38" i="1"/>
  <c r="BZ38" i="1"/>
  <c r="BY38" i="1"/>
  <c r="BU38" i="1"/>
  <c r="BT38" i="1"/>
  <c r="BS38" i="1"/>
  <c r="BO38" i="1"/>
  <c r="BN38" i="1"/>
  <c r="BM38" i="1"/>
  <c r="BI38" i="1"/>
  <c r="BH38" i="1"/>
  <c r="BG38" i="1"/>
  <c r="AA38" i="1"/>
  <c r="Z38" i="1"/>
  <c r="Y38" i="1"/>
  <c r="S38" i="1"/>
  <c r="T38" i="1" s="1"/>
  <c r="P38" i="1"/>
  <c r="O38" i="1"/>
  <c r="N38" i="1"/>
  <c r="M38" i="1"/>
  <c r="CA37" i="1"/>
  <c r="BZ37" i="1"/>
  <c r="BY37" i="1"/>
  <c r="BU37" i="1"/>
  <c r="BT37" i="1"/>
  <c r="BS37" i="1"/>
  <c r="BO37" i="1"/>
  <c r="BN37" i="1"/>
  <c r="BM37" i="1"/>
  <c r="BI37" i="1"/>
  <c r="BH37" i="1"/>
  <c r="BG37" i="1"/>
  <c r="AA37" i="1"/>
  <c r="Z37" i="1"/>
  <c r="Y37" i="1"/>
  <c r="S37" i="1"/>
  <c r="T37" i="1" s="1"/>
  <c r="P37" i="1"/>
  <c r="O37" i="1"/>
  <c r="N37" i="1"/>
  <c r="M37" i="1"/>
  <c r="CA36" i="1"/>
  <c r="BZ36" i="1"/>
  <c r="BY36" i="1"/>
  <c r="BU36" i="1"/>
  <c r="BT36" i="1"/>
  <c r="BS36" i="1"/>
  <c r="BO36" i="1"/>
  <c r="BN36" i="1"/>
  <c r="BM36" i="1"/>
  <c r="BI36" i="1"/>
  <c r="BH36" i="1"/>
  <c r="BG36" i="1"/>
  <c r="AA36" i="1"/>
  <c r="Z36" i="1"/>
  <c r="Y36" i="1"/>
  <c r="S36" i="1"/>
  <c r="T36" i="1" s="1"/>
  <c r="P36" i="1"/>
  <c r="O36" i="1"/>
  <c r="N36" i="1"/>
  <c r="M36" i="1"/>
  <c r="CA35" i="1"/>
  <c r="BZ35" i="1"/>
  <c r="BY35" i="1"/>
  <c r="BU35" i="1"/>
  <c r="BT35" i="1"/>
  <c r="BS35" i="1"/>
  <c r="BO35" i="1"/>
  <c r="BN35" i="1"/>
  <c r="BM35" i="1"/>
  <c r="BI35" i="1"/>
  <c r="BH35" i="1"/>
  <c r="BG35" i="1"/>
  <c r="AA35" i="1"/>
  <c r="Z35" i="1"/>
  <c r="Y35" i="1"/>
  <c r="T35" i="1"/>
  <c r="S35" i="1"/>
  <c r="P35" i="1"/>
  <c r="O35" i="1"/>
  <c r="N35" i="1"/>
  <c r="M35" i="1"/>
  <c r="CA34" i="1"/>
  <c r="BZ34" i="1"/>
  <c r="BY34" i="1"/>
  <c r="BU34" i="1"/>
  <c r="BT34" i="1"/>
  <c r="BS34" i="1"/>
  <c r="BO34" i="1"/>
  <c r="BN34" i="1"/>
  <c r="BM34" i="1"/>
  <c r="BI34" i="1"/>
  <c r="BH34" i="1"/>
  <c r="BG34" i="1"/>
  <c r="AA34" i="1"/>
  <c r="Z34" i="1"/>
  <c r="Y34" i="1"/>
  <c r="R34" i="1"/>
  <c r="S34" i="1" s="1"/>
  <c r="T34" i="1" s="1"/>
  <c r="P34" i="1"/>
  <c r="O34" i="1"/>
  <c r="N34" i="1"/>
  <c r="M34" i="1"/>
  <c r="CA33" i="1"/>
  <c r="BZ33" i="1"/>
  <c r="BY33" i="1"/>
  <c r="BU33" i="1"/>
  <c r="BT33" i="1"/>
  <c r="BS33" i="1"/>
  <c r="BO33" i="1"/>
  <c r="BN33" i="1"/>
  <c r="BM33" i="1"/>
  <c r="BI33" i="1"/>
  <c r="BH33" i="1"/>
  <c r="BG33" i="1"/>
  <c r="AA33" i="1"/>
  <c r="Z33" i="1"/>
  <c r="Y33" i="1"/>
  <c r="S33" i="1"/>
  <c r="T33" i="1" s="1"/>
  <c r="P33" i="1"/>
  <c r="O33" i="1"/>
  <c r="N33" i="1"/>
  <c r="M33" i="1"/>
  <c r="CA32" i="1"/>
  <c r="BZ32" i="1"/>
  <c r="BY32" i="1"/>
  <c r="BU32" i="1"/>
  <c r="BT32" i="1"/>
  <c r="BS32" i="1"/>
  <c r="BO32" i="1"/>
  <c r="BN32" i="1"/>
  <c r="BM32" i="1"/>
  <c r="BI32" i="1"/>
  <c r="BH32" i="1"/>
  <c r="BG32" i="1"/>
  <c r="AA32" i="1"/>
  <c r="Z32" i="1"/>
  <c r="Y32" i="1"/>
  <c r="T32" i="1"/>
  <c r="S32" i="1"/>
  <c r="P32" i="1"/>
  <c r="O32" i="1"/>
  <c r="N32" i="1"/>
  <c r="M32" i="1"/>
  <c r="CA31" i="1"/>
  <c r="BZ31" i="1"/>
  <c r="BY31" i="1"/>
  <c r="BU31" i="1"/>
  <c r="BT31" i="1"/>
  <c r="BS31" i="1"/>
  <c r="BO31" i="1"/>
  <c r="BN31" i="1"/>
  <c r="BM31" i="1"/>
  <c r="BI31" i="1"/>
  <c r="BH31" i="1"/>
  <c r="BG31" i="1"/>
  <c r="AA31" i="1"/>
  <c r="Z31" i="1"/>
  <c r="Y31" i="1"/>
  <c r="S31" i="1"/>
  <c r="T31" i="1" s="1"/>
  <c r="P31" i="1"/>
  <c r="O31" i="1"/>
  <c r="N31" i="1"/>
  <c r="M31" i="1"/>
  <c r="CA30" i="1"/>
  <c r="BZ30" i="1"/>
  <c r="BY30" i="1"/>
  <c r="BU30" i="1"/>
  <c r="BT30" i="1"/>
  <c r="BS30" i="1"/>
  <c r="BO30" i="1"/>
  <c r="BN30" i="1"/>
  <c r="BM30" i="1"/>
  <c r="BI30" i="1"/>
  <c r="BH30" i="1"/>
  <c r="BG30" i="1"/>
  <c r="AA30" i="1"/>
  <c r="Z30" i="1"/>
  <c r="Y30" i="1"/>
  <c r="T30" i="1"/>
  <c r="S30" i="1"/>
  <c r="P30" i="1"/>
  <c r="O30" i="1"/>
  <c r="N30" i="1"/>
  <c r="M30" i="1"/>
  <c r="CA29" i="1"/>
  <c r="BZ29" i="1"/>
  <c r="BY29" i="1"/>
  <c r="BU29" i="1"/>
  <c r="BT29" i="1"/>
  <c r="BS29" i="1"/>
  <c r="BO29" i="1"/>
  <c r="BN29" i="1"/>
  <c r="BM29" i="1"/>
  <c r="BI29" i="1"/>
  <c r="BH29" i="1"/>
  <c r="BG29" i="1"/>
  <c r="AA29" i="1"/>
  <c r="Z29" i="1"/>
  <c r="Y29" i="1"/>
  <c r="T29" i="1"/>
  <c r="S29" i="1"/>
  <c r="P29" i="1"/>
  <c r="O29" i="1"/>
  <c r="N29" i="1"/>
  <c r="M29" i="1"/>
  <c r="CA28" i="1"/>
  <c r="BZ28" i="1"/>
  <c r="BY28" i="1"/>
  <c r="BU28" i="1"/>
  <c r="BT28" i="1"/>
  <c r="BS28" i="1"/>
  <c r="BO28" i="1"/>
  <c r="BN28" i="1"/>
  <c r="BM28" i="1"/>
  <c r="BI28" i="1"/>
  <c r="BH28" i="1"/>
  <c r="BG28" i="1"/>
  <c r="AA28" i="1"/>
  <c r="Z28" i="1"/>
  <c r="Y28" i="1"/>
  <c r="S28" i="1"/>
  <c r="T28" i="1" s="1"/>
  <c r="P28" i="1"/>
  <c r="O28" i="1"/>
  <c r="N28" i="1"/>
  <c r="M28" i="1"/>
  <c r="CA27" i="1"/>
  <c r="BZ27" i="1"/>
  <c r="BY27" i="1"/>
  <c r="BU27" i="1"/>
  <c r="BT27" i="1"/>
  <c r="BS27" i="1"/>
  <c r="BO27" i="1"/>
  <c r="BN27" i="1"/>
  <c r="BM27" i="1"/>
  <c r="BI27" i="1"/>
  <c r="BH27" i="1"/>
  <c r="BG27" i="1"/>
  <c r="AA27" i="1"/>
  <c r="Z27" i="1"/>
  <c r="Y27" i="1"/>
  <c r="T27" i="1"/>
  <c r="S27" i="1"/>
  <c r="P27" i="1"/>
  <c r="O27" i="1"/>
  <c r="N27" i="1"/>
  <c r="M27" i="1"/>
  <c r="CA26" i="1"/>
  <c r="BZ26" i="1"/>
  <c r="BY26" i="1"/>
  <c r="BU26" i="1"/>
  <c r="BT26" i="1"/>
  <c r="BS26" i="1"/>
  <c r="BO26" i="1"/>
  <c r="BN26" i="1"/>
  <c r="BM26" i="1"/>
  <c r="BI26" i="1"/>
  <c r="BH26" i="1"/>
  <c r="BG26" i="1"/>
  <c r="AA26" i="1"/>
  <c r="Z26" i="1"/>
  <c r="Y26" i="1"/>
  <c r="S26" i="1"/>
  <c r="T26" i="1" s="1"/>
  <c r="P26" i="1"/>
  <c r="O26" i="1"/>
  <c r="N26" i="1"/>
  <c r="M26" i="1"/>
  <c r="CA25" i="1"/>
  <c r="BZ25" i="1"/>
  <c r="BY25" i="1"/>
  <c r="BU25" i="1"/>
  <c r="BT25" i="1"/>
  <c r="BS25" i="1"/>
  <c r="BO25" i="1"/>
  <c r="BN25" i="1"/>
  <c r="BM25" i="1"/>
  <c r="BI25" i="1"/>
  <c r="BH25" i="1"/>
  <c r="BG25" i="1"/>
  <c r="AA25" i="1"/>
  <c r="Z25" i="1"/>
  <c r="Y25" i="1"/>
  <c r="S25" i="1"/>
  <c r="T25" i="1" s="1"/>
  <c r="P25" i="1"/>
  <c r="O25" i="1"/>
  <c r="N25" i="1"/>
  <c r="M25" i="1"/>
  <c r="CA24" i="1"/>
  <c r="BZ24" i="1"/>
  <c r="BY24" i="1"/>
  <c r="BU24" i="1"/>
  <c r="BT24" i="1"/>
  <c r="BS24" i="1"/>
  <c r="BO24" i="1"/>
  <c r="BN24" i="1"/>
  <c r="BM24" i="1"/>
  <c r="BI24" i="1"/>
  <c r="BH24" i="1"/>
  <c r="BG24" i="1"/>
  <c r="AA24" i="1"/>
  <c r="Z24" i="1"/>
  <c r="Y24" i="1"/>
  <c r="S24" i="1"/>
  <c r="T24" i="1" s="1"/>
  <c r="P24" i="1"/>
  <c r="O24" i="1"/>
  <c r="N24" i="1"/>
  <c r="M24" i="1"/>
  <c r="CA23" i="1"/>
  <c r="BZ23" i="1"/>
  <c r="BY23" i="1"/>
  <c r="BU23" i="1"/>
  <c r="BT23" i="1"/>
  <c r="BS23" i="1"/>
  <c r="BO23" i="1"/>
  <c r="BN23" i="1"/>
  <c r="BM23" i="1"/>
  <c r="BI23" i="1"/>
  <c r="BH23" i="1"/>
  <c r="BG23" i="1"/>
  <c r="AA23" i="1"/>
  <c r="Z23" i="1"/>
  <c r="Y23" i="1"/>
  <c r="S23" i="1"/>
  <c r="T23" i="1" s="1"/>
  <c r="P23" i="1"/>
  <c r="O23" i="1"/>
  <c r="N23" i="1"/>
  <c r="M23" i="1"/>
  <c r="CA22" i="1"/>
  <c r="BZ22" i="1"/>
  <c r="BY22" i="1"/>
  <c r="BU22" i="1"/>
  <c r="BT22" i="1"/>
  <c r="BS22" i="1"/>
  <c r="BO22" i="1"/>
  <c r="BN22" i="1"/>
  <c r="BM22" i="1"/>
  <c r="BI22" i="1"/>
  <c r="BH22" i="1"/>
  <c r="BG22" i="1"/>
  <c r="AA22" i="1"/>
  <c r="Z22" i="1"/>
  <c r="Y22" i="1"/>
  <c r="T22" i="1"/>
  <c r="S22" i="1"/>
  <c r="P22" i="1"/>
  <c r="O22" i="1"/>
  <c r="N22" i="1"/>
  <c r="M22" i="1"/>
  <c r="CA21" i="1"/>
  <c r="BZ21" i="1"/>
  <c r="BY21" i="1"/>
  <c r="BU21" i="1"/>
  <c r="BT21" i="1"/>
  <c r="BS21" i="1"/>
  <c r="BO21" i="1"/>
  <c r="BN21" i="1"/>
  <c r="BM21" i="1"/>
  <c r="BI21" i="1"/>
  <c r="BH21" i="1"/>
  <c r="BG21" i="1"/>
  <c r="AA21" i="1"/>
  <c r="Z21" i="1"/>
  <c r="Y21" i="1"/>
  <c r="S21" i="1"/>
  <c r="T21" i="1" s="1"/>
  <c r="P21" i="1"/>
  <c r="O21" i="1"/>
  <c r="N21" i="1"/>
  <c r="M21" i="1"/>
  <c r="CA20" i="1"/>
  <c r="BZ20" i="1"/>
  <c r="BY20" i="1"/>
  <c r="BU20" i="1"/>
  <c r="BT20" i="1"/>
  <c r="BS20" i="1"/>
  <c r="BO20" i="1"/>
  <c r="BN20" i="1"/>
  <c r="BM20" i="1"/>
  <c r="BI20" i="1"/>
  <c r="BH20" i="1"/>
  <c r="BG20" i="1"/>
  <c r="AA20" i="1"/>
  <c r="Z20" i="1"/>
  <c r="Y20" i="1"/>
  <c r="S20" i="1"/>
  <c r="T20" i="1" s="1"/>
  <c r="P20" i="1"/>
  <c r="O20" i="1"/>
  <c r="N20" i="1"/>
  <c r="M20" i="1"/>
  <c r="CA19" i="1"/>
  <c r="BZ19" i="1"/>
  <c r="BY19" i="1"/>
  <c r="BU19" i="1"/>
  <c r="BT19" i="1"/>
  <c r="BS19" i="1"/>
  <c r="BO19" i="1"/>
  <c r="BN19" i="1"/>
  <c r="BM19" i="1"/>
  <c r="BI19" i="1"/>
  <c r="BH19" i="1"/>
  <c r="BG19" i="1"/>
  <c r="AA19" i="1"/>
  <c r="Z19" i="1"/>
  <c r="Y19" i="1"/>
  <c r="S19" i="1"/>
  <c r="T19" i="1" s="1"/>
  <c r="P19" i="1"/>
  <c r="O19" i="1"/>
  <c r="N19" i="1"/>
  <c r="M19" i="1"/>
  <c r="CA18" i="1"/>
  <c r="BZ18" i="1"/>
  <c r="BY18" i="1"/>
  <c r="BU18" i="1"/>
  <c r="BT18" i="1"/>
  <c r="BS18" i="1"/>
  <c r="BO18" i="1"/>
  <c r="BN18" i="1"/>
  <c r="BM18" i="1"/>
  <c r="BI18" i="1"/>
  <c r="BH18" i="1"/>
  <c r="BG18" i="1"/>
  <c r="AA18" i="1"/>
  <c r="Z18" i="1"/>
  <c r="Y18" i="1"/>
  <c r="S18" i="1"/>
  <c r="T18" i="1" s="1"/>
  <c r="P18" i="1"/>
  <c r="O18" i="1"/>
  <c r="N18" i="1"/>
  <c r="M18" i="1"/>
  <c r="CA17" i="1"/>
  <c r="BZ17" i="1"/>
  <c r="BY17" i="1"/>
  <c r="BU17" i="1"/>
  <c r="BT17" i="1"/>
  <c r="BS17" i="1"/>
  <c r="BO17" i="1"/>
  <c r="BN17" i="1"/>
  <c r="BM17" i="1"/>
  <c r="BI17" i="1"/>
  <c r="BH17" i="1"/>
  <c r="BG17" i="1"/>
  <c r="AA17" i="1"/>
  <c r="Z17" i="1"/>
  <c r="Y17" i="1"/>
  <c r="S17" i="1"/>
  <c r="T17" i="1" s="1"/>
  <c r="P17" i="1"/>
  <c r="O17" i="1"/>
  <c r="N17" i="1"/>
  <c r="M17" i="1"/>
  <c r="CA16" i="1"/>
  <c r="BZ16" i="1"/>
  <c r="BY16" i="1"/>
  <c r="BU16" i="1"/>
  <c r="BT16" i="1"/>
  <c r="BS16" i="1"/>
  <c r="BO16" i="1"/>
  <c r="BN16" i="1"/>
  <c r="BM16" i="1"/>
  <c r="BI16" i="1"/>
  <c r="BH16" i="1"/>
  <c r="BG16" i="1"/>
  <c r="AA16" i="1"/>
  <c r="Z16" i="1"/>
  <c r="Y16" i="1"/>
  <c r="T16" i="1"/>
  <c r="S16" i="1"/>
  <c r="P16" i="1"/>
  <c r="O16" i="1"/>
  <c r="N16" i="1"/>
  <c r="M16" i="1"/>
  <c r="CA15" i="1"/>
  <c r="BZ15" i="1"/>
  <c r="BY15" i="1"/>
  <c r="BU15" i="1"/>
  <c r="BT15" i="1"/>
  <c r="BS15" i="1"/>
  <c r="BO15" i="1"/>
  <c r="BN15" i="1"/>
  <c r="BM15" i="1"/>
  <c r="BI15" i="1"/>
  <c r="BH15" i="1"/>
  <c r="BG15" i="1"/>
  <c r="AA15" i="1"/>
  <c r="Z15" i="1"/>
  <c r="Y15" i="1"/>
  <c r="S15" i="1"/>
  <c r="T15" i="1" s="1"/>
  <c r="P15" i="1"/>
  <c r="O15" i="1"/>
  <c r="N15" i="1"/>
  <c r="M15" i="1"/>
  <c r="CA14" i="1"/>
  <c r="BZ14" i="1"/>
  <c r="BY14" i="1"/>
  <c r="BU14" i="1"/>
  <c r="BT14" i="1"/>
  <c r="BS14" i="1"/>
  <c r="BO14" i="1"/>
  <c r="BN14" i="1"/>
  <c r="BM14" i="1"/>
  <c r="BI14" i="1"/>
  <c r="BH14" i="1"/>
  <c r="BG14" i="1"/>
  <c r="AA14" i="1"/>
  <c r="Z14" i="1"/>
  <c r="Y14" i="1"/>
  <c r="T14" i="1"/>
  <c r="S14" i="1"/>
  <c r="P14" i="1"/>
  <c r="O14" i="1"/>
  <c r="N14" i="1"/>
  <c r="M14" i="1"/>
  <c r="CA13" i="1"/>
  <c r="BZ13" i="1"/>
  <c r="BY13" i="1"/>
  <c r="BU13" i="1"/>
  <c r="BT13" i="1"/>
  <c r="BS13" i="1"/>
  <c r="BO13" i="1"/>
  <c r="BN13" i="1"/>
  <c r="BM13" i="1"/>
  <c r="BI13" i="1"/>
  <c r="BH13" i="1"/>
  <c r="BG13" i="1"/>
  <c r="AA13" i="1"/>
  <c r="Z13" i="1"/>
  <c r="Y13" i="1"/>
  <c r="P13" i="1"/>
  <c r="O13" i="1"/>
  <c r="N13" i="1"/>
  <c r="M13" i="1"/>
  <c r="CA12" i="1"/>
  <c r="BZ12" i="1"/>
  <c r="BY12" i="1"/>
  <c r="BU12" i="1"/>
  <c r="BT12" i="1"/>
  <c r="BS12" i="1"/>
  <c r="BO12" i="1"/>
  <c r="BN12" i="1"/>
  <c r="BM12" i="1"/>
  <c r="BI12" i="1"/>
  <c r="BH12" i="1"/>
  <c r="BG12" i="1"/>
  <c r="AA12" i="1"/>
  <c r="Z12" i="1"/>
  <c r="Y12" i="1"/>
  <c r="P12" i="1"/>
  <c r="O12" i="1"/>
  <c r="N12" i="1"/>
  <c r="M12" i="1"/>
  <c r="CA11" i="1"/>
  <c r="BZ11" i="1"/>
  <c r="BY11" i="1"/>
  <c r="BU11" i="1"/>
  <c r="BT11" i="1"/>
  <c r="BS11" i="1"/>
  <c r="BO11" i="1"/>
  <c r="BN11" i="1"/>
  <c r="BM11" i="1"/>
  <c r="BI11" i="1"/>
  <c r="BH11" i="1"/>
  <c r="BG11" i="1"/>
  <c r="AA11" i="1"/>
  <c r="Z11" i="1"/>
  <c r="Y11" i="1"/>
  <c r="P11" i="1"/>
  <c r="O11" i="1"/>
  <c r="N11" i="1"/>
  <c r="M11" i="1"/>
  <c r="CA10" i="1"/>
  <c r="BZ10" i="1"/>
  <c r="BY10" i="1"/>
  <c r="BU10" i="1"/>
  <c r="BT10" i="1"/>
  <c r="BS10" i="1"/>
  <c r="BO10" i="1"/>
  <c r="BN10" i="1"/>
  <c r="BM10" i="1"/>
  <c r="BI10" i="1"/>
  <c r="BH10" i="1"/>
  <c r="BG10" i="1"/>
  <c r="AW10" i="1"/>
  <c r="AA10" i="1"/>
  <c r="Z10" i="1"/>
  <c r="Y10" i="1"/>
  <c r="P10" i="1"/>
  <c r="O10" i="1"/>
  <c r="N10" i="1"/>
  <c r="M10" i="1"/>
  <c r="V5" i="1"/>
  <c r="U5" i="1"/>
  <c r="T5" i="1"/>
  <c r="S5" i="1"/>
  <c r="R5" i="1"/>
  <c r="N5" i="1"/>
  <c r="M5" i="1"/>
  <c r="L5" i="1"/>
  <c r="K5" i="1"/>
  <c r="J5" i="1"/>
  <c r="I5" i="1"/>
  <c r="H5" i="1"/>
  <c r="G5" i="1"/>
  <c r="E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Okky</author>
    <author>HP</author>
    <author>User</author>
    <author>Resty</author>
    <author>Denitri</author>
    <author>asus</author>
    <author>CKD OTTO</author>
    <author>CKD OTTO Pharm</author>
  </authors>
  <commentList>
    <comment ref="AK8" authorId="0" shapeId="0" xr:uid="{EBB63331-950D-4737-ABB3-B4F141D32062}">
      <text>
        <r>
          <rPr>
            <b/>
            <sz val="9"/>
            <rFont val="Tahoma"/>
            <family val="2"/>
          </rPr>
          <t>Okky:</t>
        </r>
        <r>
          <rPr>
            <sz val="9"/>
            <rFont val="Tahoma"/>
            <family val="2"/>
          </rPr>
          <t xml:space="preserve">
Current Domicili Employee, not always same in KTP</t>
        </r>
      </text>
    </comment>
    <comment ref="X11" authorId="0" shapeId="0" xr:uid="{BC6D496F-63B7-4D3E-B20B-1A8CA32ACA22}">
      <text>
        <r>
          <rPr>
            <b/>
            <sz val="9"/>
            <rFont val="Tahoma"/>
            <family val="2"/>
          </rPr>
          <t>Birthday in passport :
Nov 29th, 1969</t>
        </r>
      </text>
    </comment>
    <comment ref="I16" authorId="1" shapeId="0" xr:uid="{518A73C9-241D-4CEE-82E2-EBDFF87AC61F}">
      <text>
        <r>
          <rPr>
            <b/>
            <sz val="9"/>
            <rFont val="Tahoma"/>
            <family val="2"/>
          </rPr>
          <t>HP:</t>
        </r>
        <r>
          <rPr>
            <sz val="9"/>
            <rFont val="Tahoma"/>
            <family val="2"/>
          </rPr>
          <t xml:space="preserve">
Promotion to Manager on May 01, 2021
</t>
        </r>
      </text>
    </comment>
    <comment ref="I17" authorId="2" shapeId="0" xr:uid="{99471AD1-F681-4829-AA4A-221215270621}">
      <text>
        <r>
          <rPr>
            <b/>
            <sz val="9"/>
            <rFont val="Tahoma"/>
            <family val="2"/>
          </rPr>
          <t>Resty:</t>
        </r>
        <r>
          <rPr>
            <sz val="9"/>
            <rFont val="Tahoma"/>
            <family val="2"/>
          </rPr>
          <t xml:space="preserve">
Promotion effective from April 1, 2020
Promotion to Supervisor on May 01, 2021</t>
        </r>
      </text>
    </comment>
    <comment ref="I20" authorId="2" shapeId="0" xr:uid="{3023A9B7-DD31-4A87-A88A-9CED00B96CFE}">
      <text>
        <r>
          <rPr>
            <b/>
            <sz val="9"/>
            <rFont val="Tahoma"/>
            <family val="2"/>
          </rPr>
          <t xml:space="preserve">Resty:
</t>
        </r>
        <r>
          <rPr>
            <sz val="9"/>
            <rFont val="Tahoma"/>
            <family val="2"/>
          </rPr>
          <t>Promotion effective from April 1, 2020</t>
        </r>
      </text>
    </comment>
    <comment ref="AB21" authorId="0" shapeId="0" xr:uid="{92F179EB-918D-4B6E-91E6-D1F1D1189EC7}">
      <text>
        <r>
          <rPr>
            <b/>
            <sz val="9"/>
            <rFont val="Tahoma"/>
            <family val="2"/>
          </rPr>
          <t>Register after probation</t>
        </r>
      </text>
    </comment>
    <comment ref="E24" authorId="3" shapeId="0" xr:uid="{9E66BD67-772D-425F-BED6-BE4377A821D3}">
      <text>
        <r>
          <rPr>
            <b/>
            <sz val="9"/>
            <rFont val="Tahoma"/>
            <family val="2"/>
          </rPr>
          <t>Resty:</t>
        </r>
        <r>
          <rPr>
            <sz val="9"/>
            <rFont val="Tahoma"/>
            <family val="2"/>
          </rPr>
          <t xml:space="preserve">
revision from Operator to Staff (based on information from Mr. Budiyana)</t>
        </r>
      </text>
    </comment>
    <comment ref="I24" authorId="3" shapeId="0" xr:uid="{84A7FF66-27C5-4381-A015-9267A7CA6DA0}">
      <text>
        <r>
          <rPr>
            <b/>
            <sz val="9"/>
            <rFont val="Tahoma"/>
            <family val="2"/>
          </rPr>
          <t>Resty:</t>
        </r>
        <r>
          <rPr>
            <sz val="9"/>
            <rFont val="Tahoma"/>
            <family val="2"/>
          </rPr>
          <t xml:space="preserve">
revision from Operator to Staff (based on information from Mr. Budiyana)</t>
        </r>
      </text>
    </comment>
    <comment ref="E25" authorId="3" shapeId="0" xr:uid="{958D27FE-1659-4028-B2AF-9AA2482C47CA}">
      <text>
        <r>
          <rPr>
            <b/>
            <sz val="9"/>
            <rFont val="Tahoma"/>
            <family val="2"/>
          </rPr>
          <t>Resty:</t>
        </r>
        <r>
          <rPr>
            <sz val="9"/>
            <rFont val="Tahoma"/>
            <family val="2"/>
          </rPr>
          <t xml:space="preserve">
revision from Operator to Staff (based on information from Mr. Budiyana)</t>
        </r>
      </text>
    </comment>
    <comment ref="AB27" authorId="4" shapeId="0" xr:uid="{1E78AF4D-EF12-4F8B-997E-24C8AF093EC5}">
      <text>
        <r>
          <rPr>
            <b/>
            <sz val="9"/>
            <rFont val="Tahoma"/>
            <family val="2"/>
          </rPr>
          <t>Denitri:</t>
        </r>
        <r>
          <rPr>
            <sz val="9"/>
            <rFont val="Tahoma"/>
            <family val="2"/>
          </rPr>
          <t xml:space="preserve">
Tunggakan
Resty:
di non aktifkan di bln November atas nama Evi Noviati
di daftarkan kembali atas nama Nanang Arief Rizal di December 2019
As of September 2020 movement already being active again, but will be effective since Oct 1, 2020</t>
        </r>
      </text>
    </comment>
    <comment ref="J29" authorId="5" shapeId="0" xr:uid="{EDCBDD53-0D0B-44E9-A566-E97292607A1A}">
      <text>
        <r>
          <rPr>
            <b/>
            <sz val="9"/>
            <rFont val="Tahoma"/>
            <family val="2"/>
          </rPr>
          <t>asus:</t>
        </r>
        <r>
          <rPr>
            <sz val="9"/>
            <rFont val="Tahoma"/>
            <family val="2"/>
          </rPr>
          <t xml:space="preserve">
starting Sep 1, 2020, Ms Demmie transferred to Jakarta and handle Jakarta area as well </t>
        </r>
      </text>
    </comment>
    <comment ref="E30" authorId="1" shapeId="0" xr:uid="{B92462F5-214A-41F6-80DA-02D610972459}">
      <text>
        <r>
          <rPr>
            <b/>
            <sz val="9"/>
            <rFont val="Tahoma"/>
            <family val="2"/>
          </rPr>
          <t>HP:</t>
        </r>
        <r>
          <rPr>
            <sz val="9"/>
            <rFont val="Tahoma"/>
            <family val="2"/>
          </rPr>
          <t xml:space="preserve">
promoted on 01 May 2021 from Officer to Supervisor</t>
        </r>
      </text>
    </comment>
    <comment ref="J33" authorId="5" shapeId="0" xr:uid="{BB994085-1AFF-4F5E-AE9D-C4729E4D93D1}">
      <text>
        <r>
          <rPr>
            <b/>
            <sz val="9"/>
            <rFont val="Tahoma"/>
            <family val="2"/>
          </rPr>
          <t>asus:</t>
        </r>
        <r>
          <rPr>
            <sz val="9"/>
            <rFont val="Tahoma"/>
            <family val="2"/>
          </rPr>
          <t xml:space="preserve">
starting Sep 1, 2020, Ms Saptorini transferred back again to handle West Java area</t>
        </r>
      </text>
    </comment>
    <comment ref="I35" authorId="2" shapeId="0" xr:uid="{9CB8D279-53A5-4C17-AA64-AB23E02EDF77}">
      <text>
        <r>
          <rPr>
            <b/>
            <sz val="9"/>
            <rFont val="Tahoma"/>
            <family val="2"/>
          </rPr>
          <t xml:space="preserve">Resty:
</t>
        </r>
        <r>
          <rPr>
            <sz val="9"/>
            <rFont val="Tahoma"/>
            <family val="2"/>
          </rPr>
          <t>Promotion effective from April 1, 2020</t>
        </r>
      </text>
    </comment>
    <comment ref="K35" authorId="3" shapeId="0" xr:uid="{97342948-FB5B-4930-BE30-64DEA36B4D9B}">
      <text>
        <r>
          <rPr>
            <b/>
            <sz val="9"/>
            <rFont val="Tahoma"/>
            <family val="2"/>
          </rPr>
          <t>Resty:</t>
        </r>
        <r>
          <rPr>
            <sz val="9"/>
            <rFont val="Tahoma"/>
            <family val="2"/>
          </rPr>
          <t xml:space="preserve">
Permanent employee since Nov 5, 2019
</t>
        </r>
      </text>
    </comment>
    <comment ref="I36" authorId="1" shapeId="0" xr:uid="{6D92B2BD-A137-40AD-9199-CDEDB49E9D68}">
      <text>
        <r>
          <rPr>
            <b/>
            <sz val="9"/>
            <rFont val="Tahoma"/>
            <family val="2"/>
          </rPr>
          <t>HP:</t>
        </r>
        <r>
          <rPr>
            <sz val="9"/>
            <rFont val="Tahoma"/>
            <family val="2"/>
          </rPr>
          <t xml:space="preserve">
Promotion to Manager from May 01, 2021</t>
        </r>
      </text>
    </comment>
    <comment ref="K36" authorId="3" shapeId="0" xr:uid="{F0CCD615-8BB2-4F18-82DF-39073AB5004E}">
      <text>
        <r>
          <rPr>
            <b/>
            <sz val="9"/>
            <rFont val="Tahoma"/>
            <family val="2"/>
          </rPr>
          <t>Resty:</t>
        </r>
        <r>
          <rPr>
            <sz val="9"/>
            <rFont val="Tahoma"/>
            <family val="2"/>
          </rPr>
          <t xml:space="preserve">
Permanent employee since Dec 1,  2019
</t>
        </r>
      </text>
    </comment>
    <comment ref="K38" authorId="2" shapeId="0" xr:uid="{0ABABA15-93B9-43BE-8964-026B45322437}">
      <text>
        <r>
          <rPr>
            <b/>
            <sz val="9"/>
            <rFont val="Tahoma"/>
            <family val="2"/>
          </rPr>
          <t xml:space="preserve">Resty:
</t>
        </r>
        <r>
          <rPr>
            <sz val="9"/>
            <rFont val="Tahoma"/>
            <family val="2"/>
          </rPr>
          <t>Permanent employee since March 9, 2020</t>
        </r>
      </text>
    </comment>
    <comment ref="K39" authorId="2" shapeId="0" xr:uid="{13844EC4-8D27-4952-9E54-51AD23E1101B}">
      <text>
        <r>
          <rPr>
            <b/>
            <sz val="9"/>
            <rFont val="Tahoma"/>
            <family val="2"/>
          </rPr>
          <t xml:space="preserve">Resty:
</t>
        </r>
        <r>
          <rPr>
            <sz val="9"/>
            <rFont val="Tahoma"/>
            <family val="2"/>
          </rPr>
          <t>Permanent employee since April 15, 2020</t>
        </r>
      </text>
    </comment>
    <comment ref="AX39" authorId="3" shapeId="0" xr:uid="{085D7A4F-A9E3-4478-AF28-9EB4B6158FC0}">
      <text>
        <r>
          <rPr>
            <b/>
            <sz val="9"/>
            <rFont val="Tahoma"/>
            <family val="2"/>
          </rPr>
          <t>Resty:</t>
        </r>
        <r>
          <rPr>
            <sz val="9"/>
            <rFont val="Tahoma"/>
            <family val="2"/>
          </rPr>
          <t xml:space="preserve">
in process mutation from Surabaya to Jakarta</t>
        </r>
      </text>
    </comment>
    <comment ref="E40" authorId="1" shapeId="0" xr:uid="{9DB13ECF-1B35-405B-88A5-5AA983D4E11C}">
      <text>
        <r>
          <rPr>
            <b/>
            <sz val="9"/>
            <rFont val="Tahoma"/>
            <family val="2"/>
          </rPr>
          <t>HP:</t>
        </r>
        <r>
          <rPr>
            <sz val="9"/>
            <rFont val="Tahoma"/>
            <family val="2"/>
          </rPr>
          <t xml:space="preserve">
promoted on 01 May 2021 from Staff to Officer</t>
        </r>
      </text>
    </comment>
    <comment ref="I40" authorId="1" shapeId="0" xr:uid="{4CA122C4-ACBB-4E26-8767-A591C121574C}">
      <text>
        <r>
          <rPr>
            <b/>
            <sz val="9"/>
            <rFont val="Tahoma"/>
            <family val="2"/>
          </rPr>
          <t>HP:</t>
        </r>
        <r>
          <rPr>
            <sz val="9"/>
            <rFont val="Tahoma"/>
            <family val="2"/>
          </rPr>
          <t xml:space="preserve">
Promotion to Officer on May 01, 2021
</t>
        </r>
      </text>
    </comment>
    <comment ref="K40" authorId="2" shapeId="0" xr:uid="{1FCAA9C7-6492-4BAE-9C2E-1352F173F0DC}">
      <text>
        <r>
          <rPr>
            <b/>
            <sz val="9"/>
            <rFont val="Tahoma"/>
            <family val="2"/>
          </rPr>
          <t xml:space="preserve">Resty:
</t>
        </r>
        <r>
          <rPr>
            <sz val="9"/>
            <rFont val="Tahoma"/>
            <family val="2"/>
          </rPr>
          <t>Permanent employee since May 10, 2020</t>
        </r>
      </text>
    </comment>
    <comment ref="K42" authorId="3" shapeId="0" xr:uid="{D3D9FD74-232C-4FC5-B6B4-45E3BE823C51}">
      <text>
        <r>
          <rPr>
            <b/>
            <sz val="9"/>
            <rFont val="Tahoma"/>
            <family val="2"/>
          </rPr>
          <t>Resty:</t>
        </r>
        <r>
          <rPr>
            <sz val="9"/>
            <rFont val="Tahoma"/>
            <family val="2"/>
          </rPr>
          <t xml:space="preserve">
on the job training 2 months, after that contract 12 months
1st contract started from July 27, 2020</t>
        </r>
      </text>
    </comment>
    <comment ref="R42" authorId="2" shapeId="0" xr:uid="{A6FC66CC-7748-44DD-B9A3-5877748471CA}">
      <text>
        <r>
          <rPr>
            <b/>
            <sz val="9"/>
            <rFont val="Tahoma"/>
            <family val="2"/>
          </rPr>
          <t>User:</t>
        </r>
        <r>
          <rPr>
            <sz val="9"/>
            <rFont val="Tahoma"/>
            <family val="2"/>
          </rPr>
          <t xml:space="preserve">
July 27, 2020 starting 1 year contract after On The Job Training</t>
        </r>
      </text>
    </comment>
    <comment ref="AB43" authorId="4" shapeId="0" xr:uid="{840BDB71-01D3-4006-B9A6-A363A28EFBF8}">
      <text>
        <r>
          <rPr>
            <b/>
            <sz val="9"/>
            <rFont val="Tahoma"/>
            <family val="2"/>
          </rPr>
          <t>Denitri:
Reactivatoin with 37 or go to bpjs office</t>
        </r>
      </text>
    </comment>
    <comment ref="K44" authorId="5" shapeId="0" xr:uid="{11796725-3E09-41A8-BA43-FB9C2F6A03F9}">
      <text>
        <r>
          <rPr>
            <b/>
            <sz val="9"/>
            <rFont val="Tahoma"/>
            <family val="2"/>
          </rPr>
          <t>asus:</t>
        </r>
        <r>
          <rPr>
            <sz val="9"/>
            <rFont val="Tahoma"/>
            <family val="2"/>
          </rPr>
          <t xml:space="preserve">
Effective from Oct 1, 2020</t>
        </r>
      </text>
    </comment>
    <comment ref="K45" authorId="5" shapeId="0" xr:uid="{4B7FCF4B-79FA-4436-86C0-A4AFA352C09B}">
      <text>
        <r>
          <rPr>
            <b/>
            <sz val="9"/>
            <rFont val="Tahoma"/>
            <family val="2"/>
          </rPr>
          <t>asus:</t>
        </r>
        <r>
          <rPr>
            <sz val="9"/>
            <rFont val="Tahoma"/>
            <family val="2"/>
          </rPr>
          <t xml:space="preserve">
Effective from Oct 13, 2020</t>
        </r>
      </text>
    </comment>
    <comment ref="AC47" authorId="5" shapeId="0" xr:uid="{B7792029-072B-489B-A84B-98CD1D874CC8}">
      <text>
        <r>
          <rPr>
            <b/>
            <sz val="9"/>
            <rFont val="Tahoma"/>
            <family val="2"/>
          </rPr>
          <t>asus:</t>
        </r>
        <r>
          <rPr>
            <sz val="9"/>
            <rFont val="Tahoma"/>
            <family val="2"/>
          </rPr>
          <t xml:space="preserve">
he wants to claim his pension plan first on Oct 2020</t>
        </r>
      </text>
    </comment>
    <comment ref="I85" authorId="6" shapeId="0" xr:uid="{379C1CE7-B989-432F-8643-CF3DA4B23193}">
      <text>
        <r>
          <rPr>
            <b/>
            <sz val="9"/>
            <rFont val="Times New Roman"/>
            <family val="1"/>
          </rPr>
          <t>CKD OTTO:</t>
        </r>
        <r>
          <rPr>
            <sz val="9"/>
            <rFont val="Times New Roman"/>
            <family val="1"/>
          </rPr>
          <t xml:space="preserve">
Mutation to QA as of 21 Oct 2024</t>
        </r>
      </text>
    </comment>
    <comment ref="C88" authorId="7" shapeId="0" xr:uid="{A82983DB-ED7E-4256-A156-3CE530823BF0}">
      <text>
        <r>
          <rPr>
            <b/>
            <sz val="9"/>
            <rFont val="Calibri"/>
            <family val="2"/>
          </rPr>
          <t>CKD OTTO Pharm:</t>
        </r>
        <r>
          <rPr>
            <sz val="9"/>
            <rFont val="Calibri"/>
            <family val="2"/>
          </rPr>
          <t xml:space="preserve">
replaced Nanda eka</t>
        </r>
      </text>
    </comment>
    <comment ref="AR89" authorId="6" shapeId="0" xr:uid="{F3989191-0CDA-4B9C-8AB3-04410773C823}">
      <text>
        <r>
          <rPr>
            <b/>
            <sz val="9"/>
            <rFont val="Tahoma"/>
            <family val="2"/>
          </rPr>
          <t>CKD OTTO:</t>
        </r>
        <r>
          <rPr>
            <sz val="9"/>
            <rFont val="Tahoma"/>
            <family val="2"/>
          </rPr>
          <t xml:space="preserve">
Uncle</t>
        </r>
      </text>
    </comment>
    <comment ref="I129" authorId="1" shapeId="0" xr:uid="{5BFF4B92-6DEF-46D7-806A-9E629D3537F6}">
      <text>
        <r>
          <rPr>
            <b/>
            <sz val="9"/>
            <rFont val="Tahoma"/>
            <family val="2"/>
          </rPr>
          <t>HP:</t>
        </r>
        <r>
          <rPr>
            <sz val="9"/>
            <rFont val="Tahoma"/>
            <family val="2"/>
          </rPr>
          <t xml:space="preserve">
Promotion to Manager on May 01, 2021
</t>
        </r>
      </text>
    </comment>
  </commentList>
</comments>
</file>

<file path=xl/sharedStrings.xml><?xml version="1.0" encoding="utf-8"?>
<sst xmlns="http://schemas.openxmlformats.org/spreadsheetml/2006/main" count="5121" uniqueCount="2423">
  <si>
    <t>EMPLOYEE DATABASE PT CKD OTTO PHARMACEUTICALS</t>
  </si>
  <si>
    <t>Total</t>
  </si>
  <si>
    <t>DIRECTOR</t>
  </si>
  <si>
    <t>GENERAL MANAGER</t>
  </si>
  <si>
    <t>MANAGERIAL</t>
  </si>
  <si>
    <t>ASSISTANT MANAGER</t>
  </si>
  <si>
    <t>SUPERVISOR</t>
  </si>
  <si>
    <t>OFFICER</t>
  </si>
  <si>
    <t>STAFF</t>
  </si>
  <si>
    <t>OPERATOR / CLERK</t>
  </si>
  <si>
    <t>ADMINISTRATION</t>
  </si>
  <si>
    <t>SALES &amp; MARKETING</t>
  </si>
  <si>
    <t>PLANT</t>
  </si>
  <si>
    <t>STRATEGY DEVELOPMENT</t>
  </si>
  <si>
    <t>Total current Employee Updated</t>
  </si>
  <si>
    <t>:</t>
  </si>
  <si>
    <t>NO</t>
  </si>
  <si>
    <t>USER ID</t>
  </si>
  <si>
    <t>FULL NAME</t>
  </si>
  <si>
    <t>SEX</t>
  </si>
  <si>
    <t>LEVEL</t>
  </si>
  <si>
    <t>DEPARTMENT</t>
  </si>
  <si>
    <t>DIVISION</t>
  </si>
  <si>
    <t>TEAM</t>
  </si>
  <si>
    <t>JOB TITLE</t>
  </si>
  <si>
    <t>WORK PLACEMENT</t>
  </si>
  <si>
    <t>STATUS</t>
  </si>
  <si>
    <t>DOJ</t>
  </si>
  <si>
    <t>DURATION OF WORK (YEAR)</t>
  </si>
  <si>
    <t>DURATION OF WORK (MONTH)</t>
  </si>
  <si>
    <t>DURATION OF WORK (DAY)</t>
  </si>
  <si>
    <t>RETIRED
 (AGE 55)</t>
  </si>
  <si>
    <t>PKWT KE-</t>
  </si>
  <si>
    <t>STARTING PKWT</t>
  </si>
  <si>
    <t>END PKWT</t>
  </si>
  <si>
    <t>PERMANENT DATE</t>
  </si>
  <si>
    <t>RESIGN DATE</t>
  </si>
  <si>
    <t>PLACE OF BIRTH</t>
  </si>
  <si>
    <t>Month DOB</t>
  </si>
  <si>
    <t>DATE OF BIRTH</t>
  </si>
  <si>
    <t>AGE (YEAR)</t>
  </si>
  <si>
    <t>AGE (MONTH)</t>
  </si>
  <si>
    <t>AGE (DAY)</t>
  </si>
  <si>
    <t>NO BPJS HEALTH INSURANCE</t>
  </si>
  <si>
    <t>NO BPJS EMPLOYEE BENEFITS</t>
  </si>
  <si>
    <t>LAST EDUCATION BACKROUND</t>
  </si>
  <si>
    <t>EMPLOYEE GRADE</t>
  </si>
  <si>
    <t>WORKING EXPERIENCE</t>
  </si>
  <si>
    <t>PREVIOUS COMPANY</t>
  </si>
  <si>
    <t>KITAS/CIVIL NUMBER</t>
  </si>
  <si>
    <t>KITAS/CIVIL NUMBER ADRESS</t>
  </si>
  <si>
    <t>EXP DATE CIVIL CARD</t>
  </si>
  <si>
    <t>ADRESS/RESIDENT EMPLOYEE</t>
  </si>
  <si>
    <t>STATUS PTKP (2016)</t>
  </si>
  <si>
    <t>STATUS PTKP (2018)</t>
  </si>
  <si>
    <t>MARITAL STATUS</t>
  </si>
  <si>
    <t>PHONE NUMBER/HP</t>
  </si>
  <si>
    <t>PHONE NUMBER/HP (EMERGENCY)</t>
  </si>
  <si>
    <t>RELIGION</t>
  </si>
  <si>
    <t>BLOOD TYPE</t>
  </si>
  <si>
    <t>NPWP NUMBER</t>
  </si>
  <si>
    <t>NPWP ADRESS</t>
  </si>
  <si>
    <t>FAMILY REGISTRATION NO.</t>
  </si>
  <si>
    <t>PASSPORT</t>
  </si>
  <si>
    <t>EXPIRED DATE</t>
  </si>
  <si>
    <t>REKENING NUMBER (BCA)</t>
  </si>
  <si>
    <t>REKENING NAME (BCA)</t>
  </si>
  <si>
    <t>PARENTS NAME (Mother's name)</t>
  </si>
  <si>
    <t>FAMILY</t>
  </si>
  <si>
    <t>DOB</t>
  </si>
  <si>
    <t>YEAR</t>
  </si>
  <si>
    <t>MONTH</t>
  </si>
  <si>
    <t>DAY</t>
  </si>
  <si>
    <t>SON/DAUGHTER 1</t>
  </si>
  <si>
    <t>SON/DAUGHTER 2</t>
  </si>
  <si>
    <t>SON/DAUGHTER 3</t>
  </si>
  <si>
    <t>PERSONAL EMAIL</t>
  </si>
  <si>
    <t>COMPANY EMAIL</t>
  </si>
  <si>
    <t>Degree</t>
  </si>
  <si>
    <t>University/School</t>
  </si>
  <si>
    <t>Major</t>
  </si>
  <si>
    <t>in Years</t>
  </si>
  <si>
    <t>HUSBAND/WIFE</t>
  </si>
  <si>
    <t>1</t>
  </si>
  <si>
    <t>D23001</t>
  </si>
  <si>
    <t>Sang Hyun Baik</t>
  </si>
  <si>
    <t>M</t>
  </si>
  <si>
    <t>Director</t>
  </si>
  <si>
    <t>-</t>
  </si>
  <si>
    <t>President Director</t>
  </si>
  <si>
    <t>Jakarta</t>
  </si>
  <si>
    <t>Permanent</t>
  </si>
  <si>
    <t>Seoul</t>
  </si>
  <si>
    <t>February</t>
  </si>
  <si>
    <t>0003521778884</t>
  </si>
  <si>
    <t>Master</t>
  </si>
  <si>
    <t>Master, Chung-Ang University</t>
  </si>
  <si>
    <t>Industrial Pharmacy</t>
  </si>
  <si>
    <t>Kyongbo Pharmaceutical Cosporation</t>
  </si>
  <si>
    <t>Apartemen Botanica Tower 3 No. Unit 11- B, Jl. Teuku Nyak Arief No. 8, Kel. Grogol Selatan,  Kec. Kebayoran lama, Jakarta Selatan</t>
  </si>
  <si>
    <t>K2</t>
  </si>
  <si>
    <t>Married</t>
  </si>
  <si>
    <t>08155108105</t>
  </si>
  <si>
    <t>M88024472</t>
  </si>
  <si>
    <t>5700302841</t>
  </si>
  <si>
    <t>shbaik@ckd-otto.com</t>
  </si>
  <si>
    <t>2</t>
  </si>
  <si>
    <t>D16001</t>
  </si>
  <si>
    <t>Jin Wook Moon</t>
  </si>
  <si>
    <t>Plant Director</t>
  </si>
  <si>
    <t>Cikarang</t>
  </si>
  <si>
    <t>November</t>
  </si>
  <si>
    <t>0002304587294</t>
  </si>
  <si>
    <t>16035070024</t>
  </si>
  <si>
    <t>2C11JE0159-Q</t>
  </si>
  <si>
    <t>Jl. Demak No 8, Emerald Mansion, Lippo Cikarang, Kelurahan Cibatu, Kecamatan Cikarang Selatan, Kabupaten Bekasi, 17550</t>
  </si>
  <si>
    <t>10 juni 2017</t>
  </si>
  <si>
    <t>Menikah</t>
  </si>
  <si>
    <t>081510332778</t>
  </si>
  <si>
    <t>75.297.292.7-053.000</t>
  </si>
  <si>
    <t>M77178733</t>
  </si>
  <si>
    <t>5700333690</t>
  </si>
  <si>
    <t>Kim Hwaji</t>
  </si>
  <si>
    <t>jwmoon@ckd-otto.com</t>
  </si>
  <si>
    <t>3</t>
  </si>
  <si>
    <t>A15001</t>
  </si>
  <si>
    <t>Sunho Lee</t>
  </si>
  <si>
    <t>General Manager</t>
  </si>
  <si>
    <t>Administration</t>
  </si>
  <si>
    <t>July</t>
  </si>
  <si>
    <t>0002304589127</t>
  </si>
  <si>
    <t>16026729653</t>
  </si>
  <si>
    <t>2C11JE1637AP</t>
  </si>
  <si>
    <t>Apartemen South Hills, Unit 21 C, Jl. Denpasar Raya, Kav 5-7 RT. 016 / RW. 004, Karet Kuningan, Jakarta Selatan</t>
  </si>
  <si>
    <t>16 Maret 2015</t>
  </si>
  <si>
    <t>K1</t>
  </si>
  <si>
    <t>08119774507</t>
  </si>
  <si>
    <t>74.841.620.3-053.000</t>
  </si>
  <si>
    <t>M90281353</t>
  </si>
  <si>
    <t>5700125680</t>
  </si>
  <si>
    <t>Mijung Park</t>
  </si>
  <si>
    <t>Hayule Lee</t>
  </si>
  <si>
    <t>shlee@ckd-otto.com</t>
  </si>
  <si>
    <t>4</t>
  </si>
  <si>
    <t>A15002</t>
  </si>
  <si>
    <t>Sandika Agus Wibowo</t>
  </si>
  <si>
    <t>Operator / Clerk</t>
  </si>
  <si>
    <t>HR &amp; GA</t>
  </si>
  <si>
    <t>Office Boy</t>
  </si>
  <si>
    <t>PKWT-2</t>
  </si>
  <si>
    <t>0001216070627</t>
  </si>
  <si>
    <t>16012161036</t>
  </si>
  <si>
    <t>SMA/K</t>
  </si>
  <si>
    <t>SMK Karya Guna</t>
  </si>
  <si>
    <t>Technic</t>
  </si>
  <si>
    <t>PT. Realita Production</t>
  </si>
  <si>
    <t>3175012611890002</t>
  </si>
  <si>
    <t>Jl. Kesatrian X/49, RT.013, RW.003, Kel/Desa. Kebon Manggis, Kec. Matraman</t>
  </si>
  <si>
    <t>Jl.Kesatrian X RT./RW. 013/003, No. 49, Kebon manggis, Matraman, Jakarta Timur</t>
  </si>
  <si>
    <t>TK</t>
  </si>
  <si>
    <t>Belum Menikah</t>
  </si>
  <si>
    <t>083807115126</t>
  </si>
  <si>
    <t>0895348496286</t>
  </si>
  <si>
    <t>Moslem</t>
  </si>
  <si>
    <t>A</t>
  </si>
  <si>
    <t>75.234.705.4-001.000</t>
  </si>
  <si>
    <t>Jl. Kesatrian X No. 49, RT. 013 RW.03, Kebon Manggis Matraman, Jakarta Timur, DKI Jakarta</t>
  </si>
  <si>
    <t>3175010501094229</t>
  </si>
  <si>
    <t>N/A</t>
  </si>
  <si>
    <t>5700125973</t>
  </si>
  <si>
    <t>Sugiarti Handayani</t>
  </si>
  <si>
    <t>n/a</t>
  </si>
  <si>
    <t>5</t>
  </si>
  <si>
    <t>S16005</t>
  </si>
  <si>
    <t>Suyatmi</t>
  </si>
  <si>
    <t>F</t>
  </si>
  <si>
    <t>Supervisor</t>
  </si>
  <si>
    <t>Sales &amp; Marketing</t>
  </si>
  <si>
    <t>Sales</t>
  </si>
  <si>
    <t>Product Specialist</t>
  </si>
  <si>
    <t>Solo</t>
  </si>
  <si>
    <t>3 Month</t>
  </si>
  <si>
    <t>Klaten</t>
  </si>
  <si>
    <t>0002096347116</t>
  </si>
  <si>
    <t>14016429566</t>
  </si>
  <si>
    <t>Bachelor</t>
  </si>
  <si>
    <t>Diponegoro University</t>
  </si>
  <si>
    <t>Farm</t>
  </si>
  <si>
    <t>PT. Naprod Life Indonesia</t>
  </si>
  <si>
    <t>3273036702730003</t>
  </si>
  <si>
    <t>Komp. Pasadena E4 No. 5, RT/RW. 005/011, Kel/Desa. Margahayu Utara, Kec. Babakan Ciparay</t>
  </si>
  <si>
    <t>Perumahan Pasadena, Jl. Seruni E4 no.5, RT/RW : 005/011, Margahayu Utara, Babakan Ciparay, Bandung</t>
  </si>
  <si>
    <t>0817435556</t>
  </si>
  <si>
    <t>(022) 5437056</t>
  </si>
  <si>
    <t>O</t>
  </si>
  <si>
    <t>48.748.009.7-422.000</t>
  </si>
  <si>
    <t>3273030308100715</t>
  </si>
  <si>
    <t>1571248978</t>
  </si>
  <si>
    <t>Rompyoh</t>
  </si>
  <si>
    <t>Mahyudi</t>
  </si>
  <si>
    <t>Muhammad Faiz Althaf</t>
  </si>
  <si>
    <t>yatmi.naprod@gmail.com</t>
  </si>
  <si>
    <t>suyatmi@ckd-otto.com</t>
  </si>
  <si>
    <t>6</t>
  </si>
  <si>
    <t>S17003</t>
  </si>
  <si>
    <t>Erika Agil Islamiah</t>
  </si>
  <si>
    <t>Assistant Manager</t>
  </si>
  <si>
    <t>Area Sales Manager</t>
  </si>
  <si>
    <t>East Java</t>
  </si>
  <si>
    <t>Surabaya</t>
  </si>
  <si>
    <t>September</t>
  </si>
  <si>
    <t>0001406080383</t>
  </si>
  <si>
    <t>07003444259</t>
  </si>
  <si>
    <t>Airlangga University</t>
  </si>
  <si>
    <t>Kedokteran Hewan</t>
  </si>
  <si>
    <t>PT. Actavis Indonesia</t>
  </si>
  <si>
    <t>3578015109870003</t>
  </si>
  <si>
    <t>Prima Kebraon 10/28 RT.004, RW.008, Kel. Kebraon, Kec. Karang Pilang, Surabaya, 60222</t>
  </si>
  <si>
    <t>Bogangin Baru Blok F No. 23, Surabaya, 60223</t>
  </si>
  <si>
    <t>085645140835</t>
  </si>
  <si>
    <t>085100694689 (Husband)</t>
  </si>
  <si>
    <t>57.087.325.7-618.000</t>
  </si>
  <si>
    <t>Jl. Bogangin Baru BL. F No. 23 RT. 004, RW. 005, Kedurus - Karang Pilang, Surabaya.</t>
  </si>
  <si>
    <t>3575011506150001</t>
  </si>
  <si>
    <t>0887305289</t>
  </si>
  <si>
    <t>Saptunik Kepiarti</t>
  </si>
  <si>
    <t>Eko Wijaksono</t>
  </si>
  <si>
    <t>MUHAMMAD RASYA WIJAKSONO</t>
  </si>
  <si>
    <t>erikaagil28@gmail.com</t>
  </si>
  <si>
    <t>erika@ckd-otto.com</t>
  </si>
  <si>
    <t>7</t>
  </si>
  <si>
    <t>S17008</t>
  </si>
  <si>
    <t>Deddi Rismarwanto</t>
  </si>
  <si>
    <t>Manager</t>
  </si>
  <si>
    <t>Sales Manager</t>
  </si>
  <si>
    <t>Kediri</t>
  </si>
  <si>
    <t>March</t>
  </si>
  <si>
    <t>0001651868987</t>
  </si>
  <si>
    <t>10024652496</t>
  </si>
  <si>
    <t>UPN Surabaya</t>
  </si>
  <si>
    <t>Tek. Industry</t>
  </si>
  <si>
    <t>PT. Roche Indonesia</t>
  </si>
  <si>
    <t>3276051703770009</t>
  </si>
  <si>
    <t>GDC, Gardenia Blok R5 No. 17 RT. 004, RW. 007, Kel/Desa. Tirtajaya, Kec. Sukmajaya</t>
  </si>
  <si>
    <t>Seumur Hidup</t>
  </si>
  <si>
    <t>Jln. Kemakmuran III, Bekasi</t>
  </si>
  <si>
    <t>081281835795</t>
  </si>
  <si>
    <t>08123248284</t>
  </si>
  <si>
    <t>58.174.975.1-028.000</t>
  </si>
  <si>
    <t>Jl. Petojo Enclek XIII No. 16, RT. 008, RW. 007, Petojo Selatan, Gambir, Jakarta Pusat.</t>
  </si>
  <si>
    <t>3276050601110020</t>
  </si>
  <si>
    <t>8691051463</t>
  </si>
  <si>
    <t>Kaslim</t>
  </si>
  <si>
    <t>Iin Krisnandari</t>
  </si>
  <si>
    <t>Fakhri Indi Ramadhan</t>
  </si>
  <si>
    <t>deddirismarwanto12@gmail.com</t>
  </si>
  <si>
    <t>deddi@ckd-otto.com</t>
  </si>
  <si>
    <t>8</t>
  </si>
  <si>
    <t>S17015</t>
  </si>
  <si>
    <t>Dwiani Suciati Pahmi</t>
  </si>
  <si>
    <t>Sales Admin Assistant Manager</t>
  </si>
  <si>
    <t>Sukabumi</t>
  </si>
  <si>
    <t>0000061466861</t>
  </si>
  <si>
    <t>16054385444</t>
  </si>
  <si>
    <t>Muhammadiah Sukabumi University</t>
  </si>
  <si>
    <t>Bussiness Adm.</t>
  </si>
  <si>
    <t>PT. Gentong Indonesia</t>
  </si>
  <si>
    <t>3202246007920003</t>
  </si>
  <si>
    <t>KP. Tugu RT. 007, RW. 003, Kel/Desa. Cipeundeuy, Kec. Surade.</t>
  </si>
  <si>
    <t>Jl. Swadaya 2 No. 44 RT 014 RW 004 Kel. Cempaka Baru Kec. Kemayoran, Jakarta Pusat 10640</t>
  </si>
  <si>
    <t>085759027100 / 083808783472</t>
  </si>
  <si>
    <t>085721281410</t>
  </si>
  <si>
    <t>AB</t>
  </si>
  <si>
    <t>73.683.438.3-405.000</t>
  </si>
  <si>
    <t>Kp. Tugu RT. 007, RW. 003, Cipeundeuy, Surede, Kab. Sukabumi, Jawa Barat.</t>
  </si>
  <si>
    <t>3202240908076076</t>
  </si>
  <si>
    <t>4280016026</t>
  </si>
  <si>
    <t>Paah Rusmawati (Mother)</t>
  </si>
  <si>
    <t>dwiani_suciati@yahoo.com</t>
  </si>
  <si>
    <t>dwi@ckd-otto.com</t>
  </si>
  <si>
    <t>9</t>
  </si>
  <si>
    <t>S17018</t>
  </si>
  <si>
    <t>Rafly Rensa Muhamad Sidik</t>
  </si>
  <si>
    <t>Tasikmalaya</t>
  </si>
  <si>
    <t>June</t>
  </si>
  <si>
    <t>0001695464616</t>
  </si>
  <si>
    <t>17056133923</t>
  </si>
  <si>
    <t>Senior Highschool 6 Jakarta</t>
  </si>
  <si>
    <t>Social</t>
  </si>
  <si>
    <t>PT. Exeltis Nufarindo</t>
  </si>
  <si>
    <t>3205121406860004</t>
  </si>
  <si>
    <t>Kp. Citambal, RT. 004, RW. 002, Desa/Kel. Padasuka, Kec. Cibatu, Kab/Kota. Garut</t>
  </si>
  <si>
    <t>Jl. H. Midar no. 11 RT. 05, RW. 011, Kel. Pondok Pinang, Kec. Kebayoran lama, Jakarta Selatan</t>
  </si>
  <si>
    <t>085311674207 / 087883867492</t>
  </si>
  <si>
    <t>085280365754 (wife)</t>
  </si>
  <si>
    <t>67.033.450.7-009.000</t>
  </si>
  <si>
    <t>Jl. Lubang Buaya, No. 28, RT. 003, RW. 007, Lubang Buaya, Cipayung, Jakarta Timur, DKI Jakarta.</t>
  </si>
  <si>
    <t>3205120808160007</t>
  </si>
  <si>
    <t>6870655191</t>
  </si>
  <si>
    <t>R. Rensa Muhamad Sidik</t>
  </si>
  <si>
    <t>Siti Fatimah (Mother)</t>
  </si>
  <si>
    <t>Susi Fuji Astuti</t>
  </si>
  <si>
    <t>Shakeena Allea Melodya Jasmine</t>
  </si>
  <si>
    <t>rafly.renza@yahoo.com/renza.rhafly@gmail.com</t>
  </si>
  <si>
    <t>rafly@ckd-otto.com</t>
  </si>
  <si>
    <t>10</t>
  </si>
  <si>
    <t>S17023</t>
  </si>
  <si>
    <t>Puput Nurfatmala</t>
  </si>
  <si>
    <t>Blora</t>
  </si>
  <si>
    <t>0000579834281</t>
  </si>
  <si>
    <t>18007983986</t>
  </si>
  <si>
    <t>SMK AN NUR, Blora</t>
  </si>
  <si>
    <t>Accounting</t>
  </si>
  <si>
    <t>PT. Andra Prima Jaya</t>
  </si>
  <si>
    <t>3316115803940003</t>
  </si>
  <si>
    <t>Dukuh Pulo, RT. 012/004, Desa. Mojo Wetan, Kec. Banjarejo, Kab. Blora, 58253, Jawa Tengah</t>
  </si>
  <si>
    <t>Jl. Kemanggisan Ilir 3 L12, Jakarta Barat.</t>
  </si>
  <si>
    <t>081316018799</t>
  </si>
  <si>
    <t>081211740764 (Brother, Achmad Saifudin)</t>
  </si>
  <si>
    <t>73.496.435.6-514.000</t>
  </si>
  <si>
    <t>Dk. Pulo RT.012 RW.004, Mojowetan, Banjarejo, Blora, Jawa Tengah.</t>
  </si>
  <si>
    <t>3316110508030</t>
  </si>
  <si>
    <t>6340276742</t>
  </si>
  <si>
    <t>puputapj@gmail.com</t>
  </si>
  <si>
    <t>puput@ckd-otto.com</t>
  </si>
  <si>
    <t>11</t>
  </si>
  <si>
    <t>P17011</t>
  </si>
  <si>
    <t>Sony Sugiarto</t>
  </si>
  <si>
    <t>Plant</t>
  </si>
  <si>
    <t>Production Management</t>
  </si>
  <si>
    <t>Production</t>
  </si>
  <si>
    <t>Production Assistant Manager</t>
  </si>
  <si>
    <t>Bekasi</t>
  </si>
  <si>
    <t>December</t>
  </si>
  <si>
    <t>0002097599409</t>
  </si>
  <si>
    <t>16054541368</t>
  </si>
  <si>
    <t>Gunadarma University</t>
  </si>
  <si>
    <t>Technic of Machine</t>
  </si>
  <si>
    <t>PT. Feron par pharmaceuticals</t>
  </si>
  <si>
    <t>3216071912940009</t>
  </si>
  <si>
    <t>Kp. Selang Nangka RT 002 RW 030 Kel. Wanasari Kec. Cibitung</t>
  </si>
  <si>
    <t>083807522204</t>
  </si>
  <si>
    <t>081213722552</t>
  </si>
  <si>
    <t>B</t>
  </si>
  <si>
    <t>80.261.452.9-435.000</t>
  </si>
  <si>
    <t>Kp. Selang Nangka No. 166 RT 002 RW 030 Wanasari, Cibitung, Kab. Bekasi Jawa Barat</t>
  </si>
  <si>
    <t>3216070604071218</t>
  </si>
  <si>
    <t>5775304666</t>
  </si>
  <si>
    <t>Sunarni (Mother)</t>
  </si>
  <si>
    <t>sonysugiarto0@gmail.com</t>
  </si>
  <si>
    <t>12</t>
  </si>
  <si>
    <t>P17016</t>
  </si>
  <si>
    <t>Gota Ginantara</t>
  </si>
  <si>
    <t>Senior Staff</t>
  </si>
  <si>
    <t>Engineering</t>
  </si>
  <si>
    <t>Technician</t>
  </si>
  <si>
    <t>Sukoharjo</t>
  </si>
  <si>
    <t>August</t>
  </si>
  <si>
    <t>0001775556955</t>
  </si>
  <si>
    <t>18013059359</t>
  </si>
  <si>
    <t>Diploma</t>
  </si>
  <si>
    <t>Academy Technology Warga, Surakarta</t>
  </si>
  <si>
    <t>PT.FERRON PAR PHARMA</t>
  </si>
  <si>
    <t>3311090908950001</t>
  </si>
  <si>
    <t>Sangrahan RT 004 RW 001 Kel. Grogol Kec. Grogol</t>
  </si>
  <si>
    <t>Sanggrahan RT 04 RW 01 Grogol, Sukoharjo, Jawa Tengah 57552</t>
  </si>
  <si>
    <t>086876644274</t>
  </si>
  <si>
    <t>081226121790</t>
  </si>
  <si>
    <t>80.025.194.4-532.000</t>
  </si>
  <si>
    <t>7735147153</t>
  </si>
  <si>
    <t>Rini Sutanti</t>
  </si>
  <si>
    <t>13</t>
  </si>
  <si>
    <t>S17026</t>
  </si>
  <si>
    <t>Imam Ghozali</t>
  </si>
  <si>
    <t>Tangerang</t>
  </si>
  <si>
    <t>Lumajang</t>
  </si>
  <si>
    <t>January</t>
  </si>
  <si>
    <t>0002231988131</t>
  </si>
  <si>
    <t>17041289723</t>
  </si>
  <si>
    <t>Politechnic LPP, Yogyakarta</t>
  </si>
  <si>
    <t>Chemical Faculty</t>
  </si>
  <si>
    <t xml:space="preserve">PT. ROYAL MEDICA </t>
  </si>
  <si>
    <t>3508173101900001</t>
  </si>
  <si>
    <t>Persil Nyeoran RT 068 RW 017 Kel. Kaliboto Lor Kec. Jatiroto</t>
  </si>
  <si>
    <t>Gg. H. Bilin 3 RT 02 RW 05 No. 60 C Peninggilan Utara, Ciledug Utara, Tangerang</t>
  </si>
  <si>
    <t>K0</t>
  </si>
  <si>
    <t>085729155319</t>
  </si>
  <si>
    <t>08567342319</t>
  </si>
  <si>
    <t>55.889.702.1-625.000</t>
  </si>
  <si>
    <t>Persil Nyeoran RT 068 RW 017 Kaliboto Lor, Jatiroto, Lumajang</t>
  </si>
  <si>
    <t>3671111410160026</t>
  </si>
  <si>
    <t>4564936610</t>
  </si>
  <si>
    <t>Saodah</t>
  </si>
  <si>
    <t>Citra Wulandari</t>
  </si>
  <si>
    <t>imam@ckd-otto.com</t>
  </si>
  <si>
    <t>14</t>
  </si>
  <si>
    <t>P18002</t>
  </si>
  <si>
    <t>Sakinatun Nisa Aulia</t>
  </si>
  <si>
    <t>Quality Management</t>
  </si>
  <si>
    <t>QC</t>
  </si>
  <si>
    <t>Chemical Analyst Sr. Staff</t>
  </si>
  <si>
    <t>0001169711054</t>
  </si>
  <si>
    <t>18039065471</t>
  </si>
  <si>
    <t>SMKN 13, Bandung</t>
  </si>
  <si>
    <t>Chemical Analyst</t>
  </si>
  <si>
    <t>3273246209970006</t>
  </si>
  <si>
    <t>Parakan Saat RT 008 RW 009 Desa Cisaranten Indah Kec. Arcamanik</t>
  </si>
  <si>
    <t>085861142115</t>
  </si>
  <si>
    <t>081214307363</t>
  </si>
  <si>
    <t>75.768.945.0-429.000</t>
  </si>
  <si>
    <t>Parakan Saat RT 006 RW 009 Cisaranten Endah Arcamanik Kota Bandung Jawa Barat</t>
  </si>
  <si>
    <t>2801339893</t>
  </si>
  <si>
    <t>Lilih Kaswati</t>
  </si>
  <si>
    <t>snisa65@gmail.com</t>
  </si>
  <si>
    <t>15</t>
  </si>
  <si>
    <t>P18003</t>
  </si>
  <si>
    <t>Mujito</t>
  </si>
  <si>
    <t>Production Senior Staff</t>
  </si>
  <si>
    <t>Boyolali</t>
  </si>
  <si>
    <t>April</t>
  </si>
  <si>
    <t>0001020441161</t>
  </si>
  <si>
    <t>16036079644</t>
  </si>
  <si>
    <t>SMA Negeri 3, Boyolali</t>
  </si>
  <si>
    <t>3309100704939001</t>
  </si>
  <si>
    <t>Kleco RT 005 RW 003 Desa Cermo Kec. Sambi</t>
  </si>
  <si>
    <t>Kp. Jatimulya RT 007 RW 01 Pasir Gombong, Cikarang Utara 17530</t>
  </si>
  <si>
    <t>083815571476</t>
  </si>
  <si>
    <t>085712777623</t>
  </si>
  <si>
    <t>64.119.895.7-527.000</t>
  </si>
  <si>
    <t>Kleco RT 005 RW 003 Cermo Sambi, Boyolali, Jawa Tengah</t>
  </si>
  <si>
    <t>3309100812069577</t>
  </si>
  <si>
    <t>8760661334</t>
  </si>
  <si>
    <t>Karti</t>
  </si>
  <si>
    <t>Sugeng Pertiwi</t>
  </si>
  <si>
    <t>16</t>
  </si>
  <si>
    <t>P18012</t>
  </si>
  <si>
    <t>Adi Murniawan</t>
  </si>
  <si>
    <t>Magelang</t>
  </si>
  <si>
    <t>0001647927808</t>
  </si>
  <si>
    <t>16048380188</t>
  </si>
  <si>
    <t>SMK Muhammadiyah 1, Muntilan</t>
  </si>
  <si>
    <t>Automotive</t>
  </si>
  <si>
    <t>PT. Honda Logistic Indonesia</t>
  </si>
  <si>
    <t>3308092103920002</t>
  </si>
  <si>
    <t>Clapar RT 005 RW 007 Kel. Ngawen Kec. Muntilan</t>
  </si>
  <si>
    <t>081906663519</t>
  </si>
  <si>
    <t>087705389393</t>
  </si>
  <si>
    <t>35.126.170.6-524.000</t>
  </si>
  <si>
    <t>Dsn. Japun 2 RT 004 RW 011 Paremono, Mungkid, Magelang, Jawa Tengah</t>
  </si>
  <si>
    <t>3308081309160007</t>
  </si>
  <si>
    <t>1040407096</t>
  </si>
  <si>
    <t>Kunjaikah</t>
  </si>
  <si>
    <t>Istikomah Setiyani</t>
  </si>
  <si>
    <t>Annas Rasyid Adisti</t>
  </si>
  <si>
    <t>adieguno19@gmail.com</t>
  </si>
  <si>
    <t>17</t>
  </si>
  <si>
    <t>P18014</t>
  </si>
  <si>
    <t>Rahmat Noval</t>
  </si>
  <si>
    <t>PKWT-1</t>
  </si>
  <si>
    <t>Bandung</t>
  </si>
  <si>
    <t>0001522927754</t>
  </si>
  <si>
    <t>14023941439</t>
  </si>
  <si>
    <t>SMK Karya Pembangunan, Bandung</t>
  </si>
  <si>
    <t>Machine Equipment</t>
  </si>
  <si>
    <t>PT. Sanbe Farma</t>
  </si>
  <si>
    <t>3217082211920008</t>
  </si>
  <si>
    <t>Kp. Pojok RT 002 RW 012 Kel. Ciburuy Kec. Padalarang, Bandung Barat</t>
  </si>
  <si>
    <t>082129462970</t>
  </si>
  <si>
    <t>0895376232670</t>
  </si>
  <si>
    <t>36.711.320.6.421.000</t>
  </si>
  <si>
    <t>Kp. Pojok RT 003 RW 011 Kel. Ciburuy Kec. Padalarang, Bandung, Jawa Barat 40553</t>
  </si>
  <si>
    <t>3217081510150029</t>
  </si>
  <si>
    <t>2780299340</t>
  </si>
  <si>
    <t>Iis Suryani</t>
  </si>
  <si>
    <t>Ina Fitriyanti</t>
  </si>
  <si>
    <t>Rahma Nur Hafizah</t>
  </si>
  <si>
    <t>rahmatnoval35@gmail.com</t>
  </si>
  <si>
    <t>rahmat@ckd-otto.com</t>
  </si>
  <si>
    <t>18</t>
  </si>
  <si>
    <t>S18008</t>
  </si>
  <si>
    <t>Nanang Arief Rizal</t>
  </si>
  <si>
    <t>Bandar Lampung</t>
  </si>
  <si>
    <t>Wonodadi</t>
  </si>
  <si>
    <t>0002263794772</t>
  </si>
  <si>
    <t>19010299709</t>
  </si>
  <si>
    <t>Lampung University</t>
  </si>
  <si>
    <t>Agriculture</t>
  </si>
  <si>
    <t>PT. Abbott Nutrisi Indonesia</t>
  </si>
  <si>
    <t>1810022212810001</t>
  </si>
  <si>
    <t>Wonodadi RT 002 RW 002 Kel. Wonodadi Kec. Gading Rejo, Lampung</t>
  </si>
  <si>
    <t>081314076742</t>
  </si>
  <si>
    <t>081369028714</t>
  </si>
  <si>
    <t>67.272.903.5-325.000</t>
  </si>
  <si>
    <t>Wonodadi RT 001/02 Wonodadi Gading Rejo, Tanggamus</t>
  </si>
  <si>
    <t>1810020204087326</t>
  </si>
  <si>
    <t>0230910936</t>
  </si>
  <si>
    <t>Sudiyo Husodo</t>
  </si>
  <si>
    <t>nanang_naga@yahoo.co.id</t>
  </si>
  <si>
    <t>nanang@ckd-otto.com</t>
  </si>
  <si>
    <t>19</t>
  </si>
  <si>
    <t>S18009</t>
  </si>
  <si>
    <t>Lilik Indrawati</t>
  </si>
  <si>
    <t>East Borneo</t>
  </si>
  <si>
    <t>Porong</t>
  </si>
  <si>
    <t>0001599756028</t>
  </si>
  <si>
    <t>13027152704</t>
  </si>
  <si>
    <t>ITSN</t>
  </si>
  <si>
    <t>Statistic</t>
  </si>
  <si>
    <t>Klinik Denstistika</t>
  </si>
  <si>
    <t>3577034304730001</t>
  </si>
  <si>
    <t>Jl. M. Said Perum Villa Elektrik Mas Blok G-48 RT 025 Kel. Lok Bahu Kec. Sungai Kunjang, Samarinda</t>
  </si>
  <si>
    <t>081254458318</t>
  </si>
  <si>
    <t>081357221769</t>
  </si>
  <si>
    <t>Christian</t>
  </si>
  <si>
    <t>14.820.297.1-722.000</t>
  </si>
  <si>
    <t>Jl. KS. Tubun RT 003 RW 004 Dadi Mulya, Samarinda Ulu, Samarinda</t>
  </si>
  <si>
    <t>6472062910120014</t>
  </si>
  <si>
    <t>0272228416</t>
  </si>
  <si>
    <t>Maria</t>
  </si>
  <si>
    <t>Dwi Wahyono</t>
  </si>
  <si>
    <t>Agatha Christy Wahyono</t>
  </si>
  <si>
    <t>Daniel Setyawan Negara</t>
  </si>
  <si>
    <t>Ari Indra Kusuma</t>
  </si>
  <si>
    <t>lilik.indrawati03@gmail.com</t>
  </si>
  <si>
    <t>lilik@ckd-otto.com</t>
  </si>
  <si>
    <t>20</t>
  </si>
  <si>
    <t>S18010</t>
  </si>
  <si>
    <t>Demmie Octayoesi</t>
  </si>
  <si>
    <t>Soroako</t>
  </si>
  <si>
    <t>October</t>
  </si>
  <si>
    <t>0001599755319</t>
  </si>
  <si>
    <t>05J50011633</t>
  </si>
  <si>
    <t>System Information</t>
  </si>
  <si>
    <t>PT. Tempo Rx Farma</t>
  </si>
  <si>
    <t>3175076310810009</t>
  </si>
  <si>
    <t>Taman Buaran Indah III BL. B8 No. 1 RT 009 RW 013 Klender, Duren Sawit, Jakarta Timur</t>
  </si>
  <si>
    <t>Jl. Masjid Baiturahman No. 59, Karampuang, Pannakukang, Makassar</t>
  </si>
  <si>
    <t>081318747298</t>
  </si>
  <si>
    <t>081288993828</t>
  </si>
  <si>
    <t>49.490.131.7-008.000</t>
  </si>
  <si>
    <t>3175070901099561</t>
  </si>
  <si>
    <t>6070210671</t>
  </si>
  <si>
    <t>May Narty Darusman</t>
  </si>
  <si>
    <t>oct_demi@yahoo.com</t>
  </si>
  <si>
    <t>demmie@ckd-otto.com</t>
  </si>
  <si>
    <t>21</t>
  </si>
  <si>
    <t>S18013</t>
  </si>
  <si>
    <t>Hana Rosanna</t>
  </si>
  <si>
    <t>Strategy Development</t>
  </si>
  <si>
    <t xml:space="preserve">Regulatory Affairs </t>
  </si>
  <si>
    <t>RA Assistant Manager</t>
  </si>
  <si>
    <t>0001315209982</t>
  </si>
  <si>
    <t xml:space="preserve"> 19010299683</t>
  </si>
  <si>
    <t xml:space="preserve">University of Indonesia </t>
  </si>
  <si>
    <t>Apothecary</t>
  </si>
  <si>
    <t>3275084501960020</t>
  </si>
  <si>
    <t>Jl. Binalontar RT 004 RW 015 Kel. Jatiwaringin Kec. Pondok Gede, Bekasi</t>
  </si>
  <si>
    <t>085819579323</t>
  </si>
  <si>
    <t>08151671829</t>
  </si>
  <si>
    <t>86.442.001.3-447.000</t>
  </si>
  <si>
    <t>3275080504100050</t>
  </si>
  <si>
    <t>6871461306</t>
  </si>
  <si>
    <t>Rustinah</t>
  </si>
  <si>
    <t>hanarosanna8763@gmail.com</t>
  </si>
  <si>
    <t>hana@ckd-otto.com</t>
  </si>
  <si>
    <t>22</t>
  </si>
  <si>
    <t>S18014</t>
  </si>
  <si>
    <t>Arief Firmansyah</t>
  </si>
  <si>
    <t>0001774128982</t>
  </si>
  <si>
    <t>15028000295</t>
  </si>
  <si>
    <t>Bina Sarana Informatika</t>
  </si>
  <si>
    <t>Information Management</t>
  </si>
  <si>
    <t>PT. Deka Sari Perkasa</t>
  </si>
  <si>
    <t>3674020508880008</t>
  </si>
  <si>
    <t>Kp. Pondok Serut RT 008 RW 003 Kel. Paku Jaya Kec. Serpong Utara, Tangerang</t>
  </si>
  <si>
    <t>083872524233</t>
  </si>
  <si>
    <t>08128776106</t>
  </si>
  <si>
    <t>47.510.067.3-043.000</t>
  </si>
  <si>
    <t>Jl. Tarian Raya Timur Pegangsaan Dua Kelapa Gading, Jakarta Utara</t>
  </si>
  <si>
    <t>3674021704100021</t>
  </si>
  <si>
    <t>0650682602</t>
  </si>
  <si>
    <t>Ernaningsih</t>
  </si>
  <si>
    <t>reef_siradjfirmansyah23@yahoo.com</t>
  </si>
  <si>
    <t>arief@ckd-otto.com</t>
  </si>
  <si>
    <t>23</t>
  </si>
  <si>
    <t>S18015</t>
  </si>
  <si>
    <t>Pradana Buana Wibowo</t>
  </si>
  <si>
    <t>0001774128137</t>
  </si>
  <si>
    <t>13042960446</t>
  </si>
  <si>
    <t>SMK Farmasi IKIFA</t>
  </si>
  <si>
    <t>Pharmacy</t>
  </si>
  <si>
    <t>PT. Kalbe Farma</t>
  </si>
  <si>
    <t>3275081107930012</t>
  </si>
  <si>
    <t>Jl. Budaya No. 67 RT 001 RW 006 Kel. Jatiwaringin Kec. Pondok Gede, Bekasi</t>
  </si>
  <si>
    <t>082110089076</t>
  </si>
  <si>
    <t>089615655339</t>
  </si>
  <si>
    <t>36.885.061.6-432.000</t>
  </si>
  <si>
    <t>3275082802170038</t>
  </si>
  <si>
    <t>6870849689</t>
  </si>
  <si>
    <t>Yeni Rosmenawati</t>
  </si>
  <si>
    <t>Irma Kusuma Wardani</t>
  </si>
  <si>
    <t>Adeeva De Gea Maheswari</t>
  </si>
  <si>
    <t>pradana.buanaw@gmail.com</t>
  </si>
  <si>
    <t>bowo@ckd-otto.com</t>
  </si>
  <si>
    <t>24</t>
  </si>
  <si>
    <t>S18016</t>
  </si>
  <si>
    <t>Saptorini</t>
  </si>
  <si>
    <t>Karawang</t>
  </si>
  <si>
    <t>0001644857559</t>
  </si>
  <si>
    <t>17059456388</t>
  </si>
  <si>
    <t>University Kebangsaan</t>
  </si>
  <si>
    <t>Communication</t>
  </si>
  <si>
    <t>PT. Dipa Pharmalab Intersains</t>
  </si>
  <si>
    <t>3273105903760002</t>
  </si>
  <si>
    <t>Jl. Ters. Pasirkoja No. 198A/91 RT 003 RW 002 Panjunan - Astana Anyar Bandung</t>
  </si>
  <si>
    <t>081931220763</t>
  </si>
  <si>
    <t>085871776235</t>
  </si>
  <si>
    <t>49.531.028.6-422.000</t>
  </si>
  <si>
    <t>Ters. Pasirkoja No. 198 RT 003 RW 002 Panjunan - Astana Anyar Bandung</t>
  </si>
  <si>
    <t>3273102208105390</t>
  </si>
  <si>
    <t>7771355661</t>
  </si>
  <si>
    <t>Rd. Mien Rukmini</t>
  </si>
  <si>
    <t>A. Leonard</t>
  </si>
  <si>
    <t>Nathania Rossa Adzani</t>
  </si>
  <si>
    <t>Mario Sultan Yusuf</t>
  </si>
  <si>
    <t>rinis.saptorini@gmail.com</t>
  </si>
  <si>
    <t>saptorini@ckd-otto.com</t>
  </si>
  <si>
    <t>25</t>
  </si>
  <si>
    <t>P19007</t>
  </si>
  <si>
    <t>Wahyu Guntoro</t>
  </si>
  <si>
    <t>Staff</t>
  </si>
  <si>
    <t>Validation</t>
  </si>
  <si>
    <t>Validation Staff</t>
  </si>
  <si>
    <t>Banyumas</t>
  </si>
  <si>
    <t>0001599753857</t>
  </si>
  <si>
    <t>19075956987</t>
  </si>
  <si>
    <t>SMK Karya Teknologi 2 Jatilawang</t>
  </si>
  <si>
    <t>PT Kalbe Farma Tbk</t>
  </si>
  <si>
    <t>3302021706950002</t>
  </si>
  <si>
    <t>Desa Jambu RT/RW 03/01, Kec. Wangon, Kabupaten Banyumas</t>
  </si>
  <si>
    <t>Kampung Buaran Desa Lambang Sari RT/RW 02/01, Kec. Tambun Selatan, Bekasi</t>
  </si>
  <si>
    <t>Single</t>
  </si>
  <si>
    <t>087782907127</t>
  </si>
  <si>
    <t>081297980827</t>
  </si>
  <si>
    <t>71.038.205.2-521.000</t>
  </si>
  <si>
    <t>3302020202053649</t>
  </si>
  <si>
    <t>4240391916</t>
  </si>
  <si>
    <t>Ratini</t>
  </si>
  <si>
    <t>wahyugun123@gmail.com</t>
  </si>
  <si>
    <t>26</t>
  </si>
  <si>
    <t>A19006</t>
  </si>
  <si>
    <t>Belinda Sari</t>
  </si>
  <si>
    <t>Global Business</t>
  </si>
  <si>
    <t>GB Manager</t>
  </si>
  <si>
    <t>Pontianak</t>
  </si>
  <si>
    <t>0002909489679</t>
  </si>
  <si>
    <t>Trisakti Institute of Tourism</t>
  </si>
  <si>
    <t>Tourism and Travel Service Management</t>
  </si>
  <si>
    <t>World Newsagency</t>
  </si>
  <si>
    <t>6171045010940006</t>
  </si>
  <si>
    <t>Jalan Gusti Situt Mahmud No. 41, RT 02 RW 21, Siantan Tengah, Pontianak Utara</t>
  </si>
  <si>
    <t>Jalan Karet Sawah 1 No. 92, RT 10 RW 3, Karet Semanggi</t>
  </si>
  <si>
    <t>+6281382609372</t>
  </si>
  <si>
    <t>+6287785629691</t>
  </si>
  <si>
    <t>Buddha</t>
  </si>
  <si>
    <t>92.750.987.7-707.000</t>
  </si>
  <si>
    <t>Jl. Gusti Situt Machmud no.41 Rt002/021, Siantan Tengah, Pontianak Utara, Kota Pontianak, Kalimantan Barat</t>
  </si>
  <si>
    <t>6171040706070066</t>
  </si>
  <si>
    <t>B5105456</t>
  </si>
  <si>
    <t>0291696944</t>
  </si>
  <si>
    <t>Belindasari10@gmail.com</t>
  </si>
  <si>
    <t>belinda@ckd-otto.com</t>
  </si>
  <si>
    <t>27</t>
  </si>
  <si>
    <t>P19010</t>
  </si>
  <si>
    <t>Didit Pradipta</t>
  </si>
  <si>
    <t>Senior Manager</t>
  </si>
  <si>
    <t>Production Management Sr. Manager</t>
  </si>
  <si>
    <t>Jember</t>
  </si>
  <si>
    <t>May</t>
  </si>
  <si>
    <t>0001259130587</t>
  </si>
  <si>
    <t>14009657314</t>
  </si>
  <si>
    <t>PT. Soho Global Health</t>
  </si>
  <si>
    <t xml:space="preserve">3515180605880003 </t>
  </si>
  <si>
    <t>Jl. Bojana Tirta Blok E No. 02, Pisangan Timur, Pulogadung, Jakarta Timur</t>
  </si>
  <si>
    <t>Kirana Rorotan Legacy, Cluster Norfolk, Jl. Norfolk 5, Blok NF3 No.58, Rorotan – Cilincing, Jakarta Utara</t>
  </si>
  <si>
    <t>K3</t>
  </si>
  <si>
    <t>085714900999</t>
  </si>
  <si>
    <t>081310838327</t>
  </si>
  <si>
    <t>44.681.871.8-003.000</t>
  </si>
  <si>
    <t>3175020907131001</t>
  </si>
  <si>
    <t>0640514060</t>
  </si>
  <si>
    <t>Nunik Widyawati</t>
  </si>
  <si>
    <t>Aulia Azizah</t>
  </si>
  <si>
    <t>Chevita Azka YRA Pradipta</t>
  </si>
  <si>
    <t>Muhammad Rasyid Pradipta</t>
  </si>
  <si>
    <t>Muhammad Rashdan Pradipta</t>
  </si>
  <si>
    <t>diditpradipta@gmail.com</t>
  </si>
  <si>
    <t>didit@ckd-otto.com</t>
  </si>
  <si>
    <t>28</t>
  </si>
  <si>
    <t>S19010</t>
  </si>
  <si>
    <t>Pri Hartono</t>
  </si>
  <si>
    <t>Yogyakarta</t>
  </si>
  <si>
    <t>Wonosobo</t>
  </si>
  <si>
    <t>0001655084856</t>
  </si>
  <si>
    <t>14011853802</t>
  </si>
  <si>
    <t>Ahmad Dahlan Yogyakarta University</t>
  </si>
  <si>
    <t>PT. DIPA</t>
  </si>
  <si>
    <t>3307071302810002</t>
  </si>
  <si>
    <t>Celeban Baru RT 031/RW 007 Kel. Tahunan Kec. Umbulharjo, DIY</t>
  </si>
  <si>
    <t>085643402010</t>
  </si>
  <si>
    <t>088225252657</t>
  </si>
  <si>
    <t>34.434.566.5-533.000</t>
  </si>
  <si>
    <t>Lengkongsari Rt.03/10 Kalikajar - Wonosobo</t>
  </si>
  <si>
    <t>347113271118006</t>
  </si>
  <si>
    <t>0372832612</t>
  </si>
  <si>
    <t>Sumijati</t>
  </si>
  <si>
    <t>Riris Lukitosari</t>
  </si>
  <si>
    <t>Raia Ajeng Novradia</t>
  </si>
  <si>
    <t>prihartono@ckd-otto.com</t>
  </si>
  <si>
    <t>29</t>
  </si>
  <si>
    <t>S19011</t>
  </si>
  <si>
    <t>Siti Zulfah</t>
  </si>
  <si>
    <t>Sales Admin Supervisor</t>
  </si>
  <si>
    <t>0000367457185</t>
  </si>
  <si>
    <t>13008748421</t>
  </si>
  <si>
    <t>Mercu Buana University</t>
  </si>
  <si>
    <t>PT Saka Farma Lab</t>
  </si>
  <si>
    <t>3174056510930001</t>
  </si>
  <si>
    <t>Jl. Penghulu RT.002/001 Kel. Cipulir, Kec. Kebayoran Lama, Jakarta Selatan</t>
  </si>
  <si>
    <t>087781943467</t>
  </si>
  <si>
    <t>082113213152</t>
  </si>
  <si>
    <t>71.649.542.9-013.000</t>
  </si>
  <si>
    <t>Jl. Penghulu - No. 26 RT.002 RW 001 Kel.Cipulir Kec. Kebayoran Lama, Jakarta Selatan</t>
  </si>
  <si>
    <t>3174051401092233</t>
  </si>
  <si>
    <t>2481748196</t>
  </si>
  <si>
    <t>Suroyah</t>
  </si>
  <si>
    <t xml:space="preserve">stzlfh.zulfah@gmail.com </t>
  </si>
  <si>
    <t>zulfah@ckd-otto.com</t>
  </si>
  <si>
    <t>30</t>
  </si>
  <si>
    <t>S20001</t>
  </si>
  <si>
    <t>Maskur</t>
  </si>
  <si>
    <t>0002136454479</t>
  </si>
  <si>
    <t>WR Supratman University</t>
  </si>
  <si>
    <t>Tech. of Industry</t>
  </si>
  <si>
    <t>PT Ferron Par Pharmaceuticals</t>
  </si>
  <si>
    <t>3578102501920006</t>
  </si>
  <si>
    <t>Jl. Bogen no.31 Rt.003/002 Kel.Ploso, Kec. Tambaksari, Surabaya</t>
  </si>
  <si>
    <t>Jl. KH. Muhasyim I Gang Aman, Cilandak, Jakarta Selatan</t>
  </si>
  <si>
    <t>082231421585</t>
  </si>
  <si>
    <t>082261111423</t>
  </si>
  <si>
    <t>58.987.931.1-619.000</t>
  </si>
  <si>
    <t>3578100401083307</t>
  </si>
  <si>
    <t>1880512761</t>
  </si>
  <si>
    <t>Misni</t>
  </si>
  <si>
    <t>maskurruksam9287@gmail.com</t>
  </si>
  <si>
    <t>maskur@ckd-otto.com</t>
  </si>
  <si>
    <t>31</t>
  </si>
  <si>
    <t>A20001</t>
  </si>
  <si>
    <t>Usep Hermawan Fajar</t>
  </si>
  <si>
    <t>IT Network &amp; Infra Support Supervisor</t>
  </si>
  <si>
    <t>0001373778764</t>
  </si>
  <si>
    <t>20031957606</t>
  </si>
  <si>
    <t>Sekolah Tinggi Manajemen Informatika</t>
  </si>
  <si>
    <t>Tech. of Informatics</t>
  </si>
  <si>
    <t>PT Fastrata Buana</t>
  </si>
  <si>
    <t>3273122209890003</t>
  </si>
  <si>
    <t>Jl. Veteran Blok CI No. 20 Rt.001/037 Kel. Nagasari Kec. Karawang Barat Kab. Karawang, Jawa Barat</t>
  </si>
  <si>
    <t>085770781945</t>
  </si>
  <si>
    <t>082127223508</t>
  </si>
  <si>
    <t>70.760.339.5-424.000</t>
  </si>
  <si>
    <t>Jl. Babakan Garut No. 295 Rt.002/010 Kel. Cibangkong Kec. Batununggal Kota Bandung, Jawa Barat</t>
  </si>
  <si>
    <t>3215010912160002</t>
  </si>
  <si>
    <t>4381435118</t>
  </si>
  <si>
    <t>Iik Maskiah</t>
  </si>
  <si>
    <t>Nursahadah</t>
  </si>
  <si>
    <t>Muhammad Daffa</t>
  </si>
  <si>
    <t>pcboys@ymail.com</t>
  </si>
  <si>
    <t>usep@ckd-otto.com</t>
  </si>
  <si>
    <t>32</t>
  </si>
  <si>
    <t>S20004</t>
  </si>
  <si>
    <t>I Putu Chandra Wirama</t>
  </si>
  <si>
    <t>Bali</t>
  </si>
  <si>
    <t>Bangli</t>
  </si>
  <si>
    <t>0002048258564</t>
  </si>
  <si>
    <t>20042526853</t>
  </si>
  <si>
    <t>SMKN 1 Bangli , Bali</t>
  </si>
  <si>
    <t>Comp.Tech.&amp; Informatics</t>
  </si>
  <si>
    <t>PT Mahakam Beta Farma</t>
  </si>
  <si>
    <t>5106021206950006</t>
  </si>
  <si>
    <t>Lingk./Br. Blungbang Rt.000/000 Kel. Kawan, Kec. Bangli, Kab. Bangli - Bali</t>
  </si>
  <si>
    <t>087765082101</t>
  </si>
  <si>
    <t>Hindu</t>
  </si>
  <si>
    <t>75.111.026.3-907.000</t>
  </si>
  <si>
    <t>Jl. Serma Meranggi Gang I No.4 Lingk.Br.BlungbangKawan, Bangli-Bali</t>
  </si>
  <si>
    <t>5106020408110006</t>
  </si>
  <si>
    <t>4350252741</t>
  </si>
  <si>
    <t>Ni Nengah Sukerti</t>
  </si>
  <si>
    <t>Depi Setiyani</t>
  </si>
  <si>
    <t>Ni Putu Jyotika Putri Manik</t>
  </si>
  <si>
    <t xml:space="preserve">barongreggae77@gmail.com </t>
  </si>
  <si>
    <t>putu@ckd-otto.com</t>
  </si>
  <si>
    <t>33</t>
  </si>
  <si>
    <t>P20004</t>
  </si>
  <si>
    <t>Mega Utami</t>
  </si>
  <si>
    <t>12 Month</t>
  </si>
  <si>
    <t>Purbalingga</t>
  </si>
  <si>
    <t>0001375443191</t>
  </si>
  <si>
    <t>SMK Negeri 1, Purbalingga</t>
  </si>
  <si>
    <t>PT KDS Indonesia</t>
  </si>
  <si>
    <t>3303145505960002</t>
  </si>
  <si>
    <t>Banjaran Rt.03/02, Purbalingga - Jawa Tengah 53362</t>
  </si>
  <si>
    <t>Kontrakan Bapak Haji Jamal, Kp. Tegal Gede, Desa Pasir Sari Rt.10/04, Cikarang Selatan, Bekasi - Jawa Barat 17853</t>
  </si>
  <si>
    <t>087771383711</t>
  </si>
  <si>
    <t>71.041.730.4-529.000</t>
  </si>
  <si>
    <t>Jl. Desa Banjaran Rt.03 Rw 02 No Rt 03 Rw 02 Kel. Banjaran Kec. Bojongsari Purbalingga Jawa Tengah</t>
  </si>
  <si>
    <t>8760974090</t>
  </si>
  <si>
    <t>Sunarti</t>
  </si>
  <si>
    <t>megaut96@gmail.com, mega_ut14@yahoo.com</t>
  </si>
  <si>
    <t>34</t>
  </si>
  <si>
    <t>A20004</t>
  </si>
  <si>
    <t>Kartika Sari</t>
  </si>
  <si>
    <t>Planning &amp; Coordination</t>
  </si>
  <si>
    <t>PAC Senior Manager</t>
  </si>
  <si>
    <t>0001770024519</t>
  </si>
  <si>
    <t>13008776489</t>
  </si>
  <si>
    <t>BINUS University</t>
  </si>
  <si>
    <t>Mensa Corporate</t>
  </si>
  <si>
    <t>3275066104860021</t>
  </si>
  <si>
    <t>Apt. Gading Mediterania Residences CB/05 B/A RT. 004 RW. 018, Kel/Desa. Kelapa Gading Barat, Kec. Kelapa Gading</t>
  </si>
  <si>
    <t>Apartement Mediterania Kelapa Gading, CB/5/BA, Kelapa Gading, Jakarta Utara</t>
  </si>
  <si>
    <t>0818811987</t>
  </si>
  <si>
    <t>0817726150 (Husband)</t>
  </si>
  <si>
    <t>69.733.582.6-407.000</t>
  </si>
  <si>
    <t>Perum Titian Asri Blok D2 No. 23 RT. 001 RW. 009, Harapan Mulya, Medan Satria, Kotamadya Bekasi.</t>
  </si>
  <si>
    <t>3172060510151011</t>
  </si>
  <si>
    <t>5730163811</t>
  </si>
  <si>
    <t>Cindy</t>
  </si>
  <si>
    <t>CHRISTIAN ADE WIBOWO</t>
  </si>
  <si>
    <t>GRACIELLA KAYLEEN CHRISKA WIBOWO</t>
  </si>
  <si>
    <t>GRACIELLA REINETTA CHRISKA WIBOWO</t>
  </si>
  <si>
    <t>tichesari11@gmail.com</t>
  </si>
  <si>
    <t>tika@ckd-otto.com</t>
  </si>
  <si>
    <t>35</t>
  </si>
  <si>
    <t>S20006</t>
  </si>
  <si>
    <t>Hadyanti</t>
  </si>
  <si>
    <t>Business Development</t>
  </si>
  <si>
    <t>BD Manager</t>
  </si>
  <si>
    <t>0001655378559</t>
  </si>
  <si>
    <t>18058524101</t>
  </si>
  <si>
    <t>University of Indonesia</t>
  </si>
  <si>
    <t>PT Anugerah Pharmindo Lestari (Zuellig Pharma)</t>
  </si>
  <si>
    <t>3173054408860006</t>
  </si>
  <si>
    <t>Gg. H. Darsa No.112 Rt 011/002 Kel. Kebon Jeruk Kec. Kebon Jeruk Jakarta Barat</t>
  </si>
  <si>
    <t>08161183886 / 08129959818</t>
  </si>
  <si>
    <t>082113802829</t>
  </si>
  <si>
    <t>79.657.577.7-035.000</t>
  </si>
  <si>
    <t>Gg. H. Darsa No.112 Rt.011/002 Kel. Kebon Jeruk Kec. Kebon Jeruk, Jakarta Barat</t>
  </si>
  <si>
    <t>3173050501091160</t>
  </si>
  <si>
    <t>4910172382</t>
  </si>
  <si>
    <t>Yeni Mutiarsih</t>
  </si>
  <si>
    <t>hadyanti.sutedja@gmail.com</t>
  </si>
  <si>
    <t>hadyanti@ckd-otto.com</t>
  </si>
  <si>
    <t>36</t>
  </si>
  <si>
    <t>P20008</t>
  </si>
  <si>
    <t>Elvi Rasida Florentina Br Hutapea</t>
  </si>
  <si>
    <t>PPWH</t>
  </si>
  <si>
    <t>PPWH Manager</t>
  </si>
  <si>
    <t>Pangkalan Berandan</t>
  </si>
  <si>
    <t>0001656447028</t>
  </si>
  <si>
    <t>15023044264</t>
  </si>
  <si>
    <t>Sumatera Utara University</t>
  </si>
  <si>
    <t>Chemical Engineering</t>
  </si>
  <si>
    <t>PT Finusolprima International</t>
  </si>
  <si>
    <t>1205154606910003</t>
  </si>
  <si>
    <t>Jl. Seruni 1 No. 62 Tmn Sriwedari Lippo Cikarang Rt.002/009 Kel. Serang Kec. Cikarang Selatan, Kab. Bekasi</t>
  </si>
  <si>
    <t>085691888736</t>
  </si>
  <si>
    <t>085723775048</t>
  </si>
  <si>
    <t>76.767.942.6-119.000</t>
  </si>
  <si>
    <t>Jl. Pelita II No 309 Alur Cempedak Pangkalan Susu Kab. Langkat Sumatera Utara</t>
  </si>
  <si>
    <t>3216192304190013</t>
  </si>
  <si>
    <t>6880253831</t>
  </si>
  <si>
    <t>Elvi Rasida Florentina BR HU</t>
  </si>
  <si>
    <t>Masnauli Sinaga</t>
  </si>
  <si>
    <t>Petrus Topaga</t>
  </si>
  <si>
    <t>Sarah Jovanka Khensahalom Manalu</t>
  </si>
  <si>
    <t>elvirasida66@gmail.com</t>
  </si>
  <si>
    <t>elvi@ckd-otto.com</t>
  </si>
  <si>
    <t>37</t>
  </si>
  <si>
    <t>A20008</t>
  </si>
  <si>
    <t>Dessy Andriani</t>
  </si>
  <si>
    <t>Accounting &amp; Tax</t>
  </si>
  <si>
    <t>Accounting &amp; Tax Manager</t>
  </si>
  <si>
    <t>0001635764771</t>
  </si>
  <si>
    <t>10027460939</t>
  </si>
  <si>
    <t>IBII Jakarta</t>
  </si>
  <si>
    <t>Management</t>
  </si>
  <si>
    <t>PT Indo Rasa Sayang</t>
  </si>
  <si>
    <t>3171036012880002</t>
  </si>
  <si>
    <t>Jl. Kelapa Cengkir Raya EB2/10 Rt.016/009 Kel.Kelapa Gading Timur Kec.Kelapa Gading, Jakarta Utara 14240</t>
  </si>
  <si>
    <t>08998871648</t>
  </si>
  <si>
    <t>08998871649</t>
  </si>
  <si>
    <t>Catholic</t>
  </si>
  <si>
    <t>67.932.969.8-027.000</t>
  </si>
  <si>
    <t>Jl. Utan Panjanga II Rt.008/009 Utan Panjang Kemayoran Jakarta Pusat 10650</t>
  </si>
  <si>
    <t>3172061703151001</t>
  </si>
  <si>
    <t>4780176461</t>
  </si>
  <si>
    <t>Bong Fut Sui</t>
  </si>
  <si>
    <t>Alvin Kurniawan</t>
  </si>
  <si>
    <t>Vivianne Alena Djangkar</t>
  </si>
  <si>
    <t>dessy.andriani20@yahoo.com</t>
  </si>
  <si>
    <t>dessy@ckd-otto.com</t>
  </si>
  <si>
    <t>38</t>
  </si>
  <si>
    <t>S20010</t>
  </si>
  <si>
    <t>Mukti Ali Susanto</t>
  </si>
  <si>
    <t>0001767523509</t>
  </si>
  <si>
    <t>Padjadjaran University</t>
  </si>
  <si>
    <t>PT Novartis Indonesia</t>
  </si>
  <si>
    <t>3309022602770002</t>
  </si>
  <si>
    <t>Nglarang Lor Rt.002/010 Kel. Sidoarum Kec. Godean Sleman Yogyakarta 55264</t>
  </si>
  <si>
    <t>081227577763</t>
  </si>
  <si>
    <t>082221541725</t>
  </si>
  <si>
    <t>08.124.806.4-527.000</t>
  </si>
  <si>
    <t>DK Nyamplung Kidul Urutsewu Ampel Kab Boyolali Jawa Tengah 67632</t>
  </si>
  <si>
    <t>3404022102180006</t>
  </si>
  <si>
    <t>2520849141</t>
  </si>
  <si>
    <t>Sri Muryati</t>
  </si>
  <si>
    <t>Anni Setiawan</t>
  </si>
  <si>
    <t>Gibran Alwi Susanto</t>
  </si>
  <si>
    <t>Aleandra Mikraj Susanto</t>
  </si>
  <si>
    <t>Aisyah Nuhavierr Susanto</t>
  </si>
  <si>
    <t>muktiali260277@gmail.com</t>
  </si>
  <si>
    <t>mukti@ckd-otto.com</t>
  </si>
  <si>
    <t>39</t>
  </si>
  <si>
    <t>P20014</t>
  </si>
  <si>
    <t>Sandyarga Pratama</t>
  </si>
  <si>
    <t>Production Supervisor</t>
  </si>
  <si>
    <t>0001643700745</t>
  </si>
  <si>
    <t>20082734813</t>
  </si>
  <si>
    <t>Gajah Mada University</t>
  </si>
  <si>
    <t>3471141406970001</t>
  </si>
  <si>
    <t>Depokan No.2 Rt.008/002 Kel. Prenggan Kec. Kotagede Kota Yogyakarta 55172</t>
  </si>
  <si>
    <t>081804179213</t>
  </si>
  <si>
    <t>085643048877 (sister)</t>
  </si>
  <si>
    <t>96.369.526.7-541.000</t>
  </si>
  <si>
    <t>Jl. Depokan Baru II no.2 Rt 008/002 Prenggan Kotagede Yogyakarta</t>
  </si>
  <si>
    <t>3471141608960423</t>
  </si>
  <si>
    <t>8465519921</t>
  </si>
  <si>
    <t>Nanuk Sriherawati, SH</t>
  </si>
  <si>
    <t>psandyarga@gmail.com</t>
  </si>
  <si>
    <t>sandyarga@ckd-otto.com</t>
  </si>
  <si>
    <t>40</t>
  </si>
  <si>
    <t>S20012</t>
  </si>
  <si>
    <t>Indah Novy Dwi Ranthy</t>
  </si>
  <si>
    <t>0002137564989</t>
  </si>
  <si>
    <t>20082734789</t>
  </si>
  <si>
    <t>Achmad Dalan University</t>
  </si>
  <si>
    <t>Teknik Kimia</t>
  </si>
  <si>
    <t>PT Sanofi</t>
  </si>
  <si>
    <t>6171016002840002</t>
  </si>
  <si>
    <t>Jl. Kom Yossudarso Gg. Tengkawang no 5A Sungai Beliung, Pontianak, Kalimantan Barat</t>
  </si>
  <si>
    <t>081255512495</t>
  </si>
  <si>
    <t>081262556105 (husband)</t>
  </si>
  <si>
    <t>14.803.841.7-701-000</t>
  </si>
  <si>
    <t>Jl. Purnama No.35 RT.2 RW.20, Parit Tokaya Pontianak Selatan Kota Pontianak Kalimantan Barat</t>
  </si>
  <si>
    <t>6171032802190013</t>
  </si>
  <si>
    <t>1710614730</t>
  </si>
  <si>
    <t>Lenggawaty</t>
  </si>
  <si>
    <t>Ferry Pondang Wirawan N</t>
  </si>
  <si>
    <t>Muhammad Saddam Ul Fikri</t>
  </si>
  <si>
    <t>Sherena Aviva Ravanda</t>
  </si>
  <si>
    <t>Ferdino Hamiz Nainggolan</t>
  </si>
  <si>
    <t>indah.ranthy@gmail.com</t>
  </si>
  <si>
    <t>indah@ckd-otto.com</t>
  </si>
  <si>
    <t>41</t>
  </si>
  <si>
    <t>A21003</t>
  </si>
  <si>
    <t>Afni Manggede</t>
  </si>
  <si>
    <t>Accounting &amp; Tax Supervisor</t>
  </si>
  <si>
    <t>Poso</t>
  </si>
  <si>
    <t>0000200708289</t>
  </si>
  <si>
    <t>21037581341</t>
  </si>
  <si>
    <t>Dharma Persada University</t>
  </si>
  <si>
    <t>Persekutuan Perdata Axia Consultant</t>
  </si>
  <si>
    <t>7202036706970001</t>
  </si>
  <si>
    <t>Dusun 01 Rt.001/000 Desa Pandiri Kec. Lage Kab.Poso 94661</t>
  </si>
  <si>
    <t>Jl. Lembah Aren Blok K.19 Pondok Kelapa - Jakarta Timur</t>
  </si>
  <si>
    <t>081288989511</t>
  </si>
  <si>
    <t>081384407481</t>
  </si>
  <si>
    <t>63.399.005.6-008.000</t>
  </si>
  <si>
    <t>7202030801080021</t>
  </si>
  <si>
    <t>5055167190</t>
  </si>
  <si>
    <t>Adelin Kalengkongan</t>
  </si>
  <si>
    <t>afnimanggede@gmail.com</t>
  </si>
  <si>
    <t>afni@ckd-otto.com</t>
  </si>
  <si>
    <t>42</t>
  </si>
  <si>
    <t>S21005</t>
  </si>
  <si>
    <t>Wawan Suryadinata</t>
  </si>
  <si>
    <t>Sumedang</t>
  </si>
  <si>
    <t>0001652923506</t>
  </si>
  <si>
    <t>18042977266</t>
  </si>
  <si>
    <t>Cimalaka High School</t>
  </si>
  <si>
    <t>Science</t>
  </si>
  <si>
    <t>PT. SPN</t>
  </si>
  <si>
    <t>3211152604820022</t>
  </si>
  <si>
    <t>Perum Taman Bukit Makmur, Blok Cendana 6 No. 29, RT.01/RW.11 Desa. Cisempur,
Kec. Jatinangor
Kab. Sumedang, Jawa Barat</t>
  </si>
  <si>
    <t>081223245418</t>
  </si>
  <si>
    <t>081214095335</t>
  </si>
  <si>
    <t>14.449.208.9-446.000</t>
  </si>
  <si>
    <t>Perum Taman Bukit Makmur Jalan Cendana 6 No.29 Rt.001 Rw 011 Cisempur Jatinangor Kab.Sumedang Jawa Barat 45363</t>
  </si>
  <si>
    <t>3211150808110002</t>
  </si>
  <si>
    <t>4370570863</t>
  </si>
  <si>
    <t>Mimin Aminah</t>
  </si>
  <si>
    <t>Tika Wantika</t>
  </si>
  <si>
    <t>Latifah Khairiyah</t>
  </si>
  <si>
    <t>Naila Suryadinata</t>
  </si>
  <si>
    <t>wansuract@yahoo.co.id</t>
  </si>
  <si>
    <t>wawan@ckd-otto.com</t>
  </si>
  <si>
    <t>43</t>
  </si>
  <si>
    <t>P21003</t>
  </si>
  <si>
    <t>Retno Aprilia</t>
  </si>
  <si>
    <t>0001157147638</t>
  </si>
  <si>
    <t>21007418037</t>
  </si>
  <si>
    <t>Esa Unggul University</t>
  </si>
  <si>
    <t>Industrial Engineering</t>
  </si>
  <si>
    <t>PT Kalgen DNA</t>
  </si>
  <si>
    <t>3275024504960026</t>
  </si>
  <si>
    <t>Jl. Bintara 14, rt 03 rw 04 no 70, Kel. Bintara, Kec. Bekasi Barat, Kota Bekasi Jawa Barat</t>
  </si>
  <si>
    <t xml:space="preserve">089652045701 </t>
  </si>
  <si>
    <t>081318439752</t>
  </si>
  <si>
    <t>72.144.452.9-407.000</t>
  </si>
  <si>
    <t>Bintara No.70 Rt 003 Rw 004 Kel. Bintara Kec Bekasi Barat Kota Bekasi Jawa Barat</t>
  </si>
  <si>
    <t>3275023010080015</t>
  </si>
  <si>
    <t>6630522241</t>
  </si>
  <si>
    <t>Nur Hayati</t>
  </si>
  <si>
    <t>retnoaprilial@gmail.com</t>
  </si>
  <si>
    <t>QCanalyst@ckd-otto.com</t>
  </si>
  <si>
    <t>44</t>
  </si>
  <si>
    <t>P21004</t>
  </si>
  <si>
    <t>Muklas Kadafi</t>
  </si>
  <si>
    <t>Warehouse Staff</t>
  </si>
  <si>
    <t>0000369299946</t>
  </si>
  <si>
    <t>Adi Luhur High School</t>
  </si>
  <si>
    <t>PT Bintang Toedjoe</t>
  </si>
  <si>
    <t>3175101306940001</t>
  </si>
  <si>
    <t>Lubang Buaya RT/RW. 001/012 Kel. Lubang Buaya Kec. Cipayung, Jakarta Timur</t>
  </si>
  <si>
    <t>Jalan Harapan Mulia 2 no.14 RT/RW. 001/012 Kel. Lubang Buaya Kec. Cipayung, Jakarta Timur</t>
  </si>
  <si>
    <t xml:space="preserve">089601777915 </t>
  </si>
  <si>
    <t>081296718380</t>
  </si>
  <si>
    <t>71.724.857.9-009.000</t>
  </si>
  <si>
    <t>Lubang Buaya No.7 Rt.005/012 Kel. Lubang Buaya Kec. Cipayung Jakarta Timur DKI Jakarta</t>
  </si>
  <si>
    <t>3175100601098692</t>
  </si>
  <si>
    <t>6871177039</t>
  </si>
  <si>
    <t>Safraini</t>
  </si>
  <si>
    <t>muklaskadafi@gmail.com</t>
  </si>
  <si>
    <t>45</t>
  </si>
  <si>
    <t>P21007</t>
  </si>
  <si>
    <t>Kunto Anjasmoro</t>
  </si>
  <si>
    <t>Production Operator</t>
  </si>
  <si>
    <t>6 Month</t>
  </si>
  <si>
    <t>0000371099147</t>
  </si>
  <si>
    <t>15043241783</t>
  </si>
  <si>
    <t>SMKN 5 Jakarta</t>
  </si>
  <si>
    <t>Light Vehicle Engineering</t>
  </si>
  <si>
    <t>PT Joenoes Ikamulya</t>
  </si>
  <si>
    <t>3175063107971004</t>
  </si>
  <si>
    <t>Kp.Bulak Jaya rt.17 rw.08, Kec.Cakung, Kel.Pulogebang, Jakarta Timur</t>
  </si>
  <si>
    <t>081385269534</t>
  </si>
  <si>
    <t>089638697621</t>
  </si>
  <si>
    <t>81.073.457.4-006.000</t>
  </si>
  <si>
    <t>Bulak Jaya No.48 A Rt.017 Rw.008 Pulo Gebang Cakung, Jakarta Timur DKI Jakarta</t>
  </si>
  <si>
    <t>3175061007121001</t>
  </si>
  <si>
    <t>6331262827</t>
  </si>
  <si>
    <t>Dasyati</t>
  </si>
  <si>
    <t>kuntoanjas7@gmail.com</t>
  </si>
  <si>
    <t>46</t>
  </si>
  <si>
    <t>P21008</t>
  </si>
  <si>
    <t>Sudrajat Edi Puspito</t>
  </si>
  <si>
    <t>0001775084229</t>
  </si>
  <si>
    <t>SMK KAPIN, Jakarta</t>
  </si>
  <si>
    <t xml:space="preserve">Computer Network </t>
  </si>
  <si>
    <t>PT Citra Bhakti Sejahtera</t>
  </si>
  <si>
    <t>3175022410960006</t>
  </si>
  <si>
    <t>Bantargebang, RT.002 RW.002 Kel. Bantargebang Kec. Bantargebang, Bekasi Timur, Kota Bekasi</t>
  </si>
  <si>
    <t>081294686826</t>
  </si>
  <si>
    <t>081213374848</t>
  </si>
  <si>
    <t>84.725.241.8-003.000</t>
  </si>
  <si>
    <t>Jl. Pegambiran No.45 Rt.013 Rw.008 Rawamangun Pulogadung Jakarta Timur DKI Jakarta</t>
  </si>
  <si>
    <t>3275071301210001</t>
  </si>
  <si>
    <t>5680589218</t>
  </si>
  <si>
    <t>Suswati Sutedjo</t>
  </si>
  <si>
    <t>Siti Aminah</t>
  </si>
  <si>
    <t>sudrajatedipuspito06@gmail.com</t>
  </si>
  <si>
    <t>47</t>
  </si>
  <si>
    <t>P21010</t>
  </si>
  <si>
    <t>Antoni Rendragraha</t>
  </si>
  <si>
    <t>0001661772352</t>
  </si>
  <si>
    <t>16018755583</t>
  </si>
  <si>
    <t>Pancasila Univeristy</t>
  </si>
  <si>
    <t>3276022206920009</t>
  </si>
  <si>
    <t xml:space="preserve">Jln. Raflesia 1 Blok E3 no 5 Wisma Harapan 1, Cimanggis – Depok </t>
  </si>
  <si>
    <t xml:space="preserve">Perumahan Citra Indah City, Bukit Orchid Blok BE 3 no 6, Singajaya, Kec. Jonggol, Bogor, Jawa Barat </t>
  </si>
  <si>
    <t>087749123677</t>
  </si>
  <si>
    <t>0811870836</t>
  </si>
  <si>
    <t>75.554.194.3-412.000</t>
  </si>
  <si>
    <t>Wisma Harapan I E-3 No.5 Rt.004 Rw.019 Mekarsari, Cimanggis, Kota Depok Jawa Barat</t>
  </si>
  <si>
    <t>3276021202080005</t>
  </si>
  <si>
    <t>1662593049</t>
  </si>
  <si>
    <t>Lily Sutedjo</t>
  </si>
  <si>
    <t>antonirendragraha22@gmail.com</t>
  </si>
  <si>
    <t>antoni@ckd-otto.com</t>
  </si>
  <si>
    <t>48</t>
  </si>
  <si>
    <t>S21008</t>
  </si>
  <si>
    <t>Viktoria Mardhika Estepane</t>
  </si>
  <si>
    <t>0000038334363</t>
  </si>
  <si>
    <t>19022544589</t>
  </si>
  <si>
    <t>PT Pratapa Nirmala</t>
  </si>
  <si>
    <t>3175096208950002</t>
  </si>
  <si>
    <t>Jl. Manunggal 1 no.49C RT09/12, Cibubur, Jakarta Timur</t>
  </si>
  <si>
    <t>Jl. Flamboyan Raya Blok J2 No.2, Karawaci, Tangerang</t>
  </si>
  <si>
    <t>081316452801</t>
  </si>
  <si>
    <t>082171191191</t>
  </si>
  <si>
    <t>85.909.554.9-009.000</t>
  </si>
  <si>
    <t>Manunggal 1 No.49C Rt.009/012 Cibubur Ciracas Jakarta Timur DKI Jakarta</t>
  </si>
  <si>
    <t>3175091601099888</t>
  </si>
  <si>
    <t>6280809703</t>
  </si>
  <si>
    <t>Dame Ria Munthe</t>
  </si>
  <si>
    <t>viktoria.mardhika@gmail.com</t>
  </si>
  <si>
    <t>viktoria@ckd-otto.com</t>
  </si>
  <si>
    <t>49</t>
  </si>
  <si>
    <t>P21017</t>
  </si>
  <si>
    <t>Widi Ayu Lestari</t>
  </si>
  <si>
    <t>Production Administration Staff</t>
  </si>
  <si>
    <t>0001741086562</t>
  </si>
  <si>
    <t>SMK PGRI Jatibarang</t>
  </si>
  <si>
    <t>Enginering</t>
  </si>
  <si>
    <t>PT Kalbio Global Medika</t>
  </si>
  <si>
    <t>3212084812960001</t>
  </si>
  <si>
    <t>Jalan kali pasir gang tembok RT.001/010 Kel. Kebon sirih kec. Menteng kota Jakarta
Pusat</t>
  </si>
  <si>
    <t>Jalan Pilar 2 RT 001/003 Desa Serang kec. Cikarang selatan kab. Bekasi</t>
  </si>
  <si>
    <t>085778017774</t>
  </si>
  <si>
    <t>75.377.266.4-437.000</t>
  </si>
  <si>
    <t>Blok Pertamina Rt.011 Rw001 Tenajar Kertasemaya, Indramayu-Jawa Barat</t>
  </si>
  <si>
    <t>3020525427</t>
  </si>
  <si>
    <t>Surtinih</t>
  </si>
  <si>
    <t>widi.ayu.lestari.1996@gmail.com</t>
  </si>
  <si>
    <t>50</t>
  </si>
  <si>
    <t>S21010</t>
  </si>
  <si>
    <t>Teguh Susilo</t>
  </si>
  <si>
    <t>Banjarnegara</t>
  </si>
  <si>
    <t>0002260853076</t>
  </si>
  <si>
    <t>16059700373</t>
  </si>
  <si>
    <t>Udayana Bali University</t>
  </si>
  <si>
    <t>Physics Science</t>
  </si>
  <si>
    <t>Gracia Pharmindo</t>
  </si>
  <si>
    <t>3174070111780007</t>
  </si>
  <si>
    <t>Jl. Petogogoan I No.33 RT 003, RW 012, Gandaria Utara, Jakarta Selatan</t>
  </si>
  <si>
    <t>Perum Anyelir 2, Jl. Anyelir 2 no.3, Banjar Dukuh, Tabanan, Bali</t>
  </si>
  <si>
    <t>085954082889</t>
  </si>
  <si>
    <t>68.733.029.0-119.000</t>
  </si>
  <si>
    <t>Jl. Petogogan I No. - RT 003 RW 012 Gandaria Utara, Kebayoran Baru, Jakarta Selatan</t>
  </si>
  <si>
    <t>3174071301090425</t>
  </si>
  <si>
    <t>0490036300</t>
  </si>
  <si>
    <t>Karsiti</t>
  </si>
  <si>
    <t>Titi Wdyanti</t>
  </si>
  <si>
    <t>M. Raihan B. Susilo</t>
  </si>
  <si>
    <t>M. Sakha B. Wijaya</t>
  </si>
  <si>
    <t>teguhsusilo78@gmail.com</t>
  </si>
  <si>
    <t>teguh.susilo@ckd-otto.com</t>
  </si>
  <si>
    <t>51</t>
  </si>
  <si>
    <t>S21013</t>
  </si>
  <si>
    <t>Budi Parsito Bakar</t>
  </si>
  <si>
    <t>Padang</t>
  </si>
  <si>
    <t>0001631715118</t>
  </si>
  <si>
    <t>Andalas University</t>
  </si>
  <si>
    <t>Biology</t>
  </si>
  <si>
    <t>PT Roche Indonesia</t>
  </si>
  <si>
    <t>1371021104760006</t>
  </si>
  <si>
    <t>Komp. Filano Jaya 1 Blok E1 No.4 Rt.005/006 Kubu Dalam Parak Karakah, Padang Timur, Padang</t>
  </si>
  <si>
    <t>081374104826</t>
  </si>
  <si>
    <t>081363409907</t>
  </si>
  <si>
    <t>59.528.489.4-201.000</t>
  </si>
  <si>
    <t>Alang Lawas I No.6 Rt.003 Rw.001, Alang Lawas Padang Selatan, Padang</t>
  </si>
  <si>
    <t>1371062104210010</t>
  </si>
  <si>
    <t>0611473272</t>
  </si>
  <si>
    <t>Nurlaily</t>
  </si>
  <si>
    <t>Dilla Elvina</t>
  </si>
  <si>
    <t>Athaya Ahmad Dickra</t>
  </si>
  <si>
    <t>Muhammad Arsyavin Bakar</t>
  </si>
  <si>
    <t>budiparsitobakar43@gmail.com</t>
  </si>
  <si>
    <t>budi@ckd-otto.com</t>
  </si>
  <si>
    <t>52</t>
  </si>
  <si>
    <t>P22002</t>
  </si>
  <si>
    <t>Farah Dita Ramadhani</t>
  </si>
  <si>
    <t>QA</t>
  </si>
  <si>
    <t>QA Staff</t>
  </si>
  <si>
    <t>0002770906173</t>
  </si>
  <si>
    <t>SMKN 7 Bandung</t>
  </si>
  <si>
    <t>PT Dankos Farma</t>
  </si>
  <si>
    <t>3273226711000004</t>
  </si>
  <si>
    <t>Jl Bahagia Permai VII noo 25 Kota Bandung</t>
  </si>
  <si>
    <t>JL Marga Kencana Tengah no 51 Kota Bandung,RT: 012/ RW:009,Kelurahan</t>
  </si>
  <si>
    <t>081212098652</t>
  </si>
  <si>
    <t>085810335222</t>
  </si>
  <si>
    <t>91.676.969.8-429.000</t>
  </si>
  <si>
    <t>Jl. Bahagia Permai VII No.25 Rt.003 Rw.005 Margasari Buahbatu Bandung, Jawa Barat</t>
  </si>
  <si>
    <t>3273222909104929</t>
  </si>
  <si>
    <t>0083631632</t>
  </si>
  <si>
    <t>Yusfa Akma</t>
  </si>
  <si>
    <t>farahditar27@gmail.com</t>
  </si>
  <si>
    <t>53</t>
  </si>
  <si>
    <t>S22002</t>
  </si>
  <si>
    <t>Ricco Aprilyardo</t>
  </si>
  <si>
    <t>0001804583553</t>
  </si>
  <si>
    <t>18080552344</t>
  </si>
  <si>
    <t>SMK Medica Com, Bandung</t>
  </si>
  <si>
    <t>PT Actavis Indonesia</t>
  </si>
  <si>
    <t>3273261004920002</t>
  </si>
  <si>
    <t>RT:003/RW:005,Kel.Margasari,Kec.Buahbatu,Kota Bandung</t>
  </si>
  <si>
    <t>Cijawura,Kecamatan Buahbatu(Margacinta) Kota Bandung</t>
  </si>
  <si>
    <t>085974314764</t>
  </si>
  <si>
    <t>083825402118</t>
  </si>
  <si>
    <t>35.693.076.8-429.000</t>
  </si>
  <si>
    <t xml:space="preserve">Jl. Kampung Baru No.23A Rt.003 Rw 005 Cigending Ujung Berung, Bandung Jawa Barat </t>
  </si>
  <si>
    <t>3273261409200002</t>
  </si>
  <si>
    <t>2830607741</t>
  </si>
  <si>
    <t>Dian P.Dewi</t>
  </si>
  <si>
    <t>Hilda Sahara</t>
  </si>
  <si>
    <t>Muhammad Ruzain Adskhan Aprilyardo</t>
  </si>
  <si>
    <t>RashiQA Zayna Aretha Aprilyardo</t>
  </si>
  <si>
    <t>riccoact08@gmail.com</t>
  </si>
  <si>
    <t>ricco.a@ckd-otto.com</t>
  </si>
  <si>
    <t>54</t>
  </si>
  <si>
    <t>S22004</t>
  </si>
  <si>
    <t>Nabilla Azka Qonita</t>
  </si>
  <si>
    <t>RA Supervisor</t>
  </si>
  <si>
    <t>Cilacap</t>
  </si>
  <si>
    <t>0002517072974</t>
  </si>
  <si>
    <t>20002759411</t>
  </si>
  <si>
    <t>PT Sanbe Farma</t>
  </si>
  <si>
    <t>3273214305960001</t>
  </si>
  <si>
    <t>Jalan Batu Indah Raya no. 19, RT 001/RW003, Kelurahan Batununggal, Kecamatan Bandung Kidul, Kota Bandung, Provinsi Jawa Barat</t>
  </si>
  <si>
    <t>Apartment Salemba Recidence, Jakarta Pusat</t>
  </si>
  <si>
    <t xml:space="preserve">082120267221 </t>
  </si>
  <si>
    <t>08117507546</t>
  </si>
  <si>
    <t>94.271.718.2-424.000</t>
  </si>
  <si>
    <t>3273212809102757</t>
  </si>
  <si>
    <t>7771472935</t>
  </si>
  <si>
    <t>Nabila Azka Qonita</t>
  </si>
  <si>
    <t>Rina Ummu Toyibah</t>
  </si>
  <si>
    <t>nabillaaq@gmail.com</t>
  </si>
  <si>
    <t>azka@ckd-otto.com</t>
  </si>
  <si>
    <t>55</t>
  </si>
  <si>
    <t>P22007</t>
  </si>
  <si>
    <t>Hans Alif Firmansyah</t>
  </si>
  <si>
    <t>PPWH Supervisor</t>
  </si>
  <si>
    <t>Sidoarjo</t>
  </si>
  <si>
    <t>0000097988951</t>
  </si>
  <si>
    <t>3515121411970001</t>
  </si>
  <si>
    <t>Kepuhsari Rt.002/003 Kel. Gagang Kepuhsari Kec. Balongbendo Kab. Sidoarjo</t>
  </si>
  <si>
    <t>082232677002</t>
  </si>
  <si>
    <t>081553276026</t>
  </si>
  <si>
    <t>3515122501096473</t>
  </si>
  <si>
    <t>5221918020</t>
  </si>
  <si>
    <t>Hasanah</t>
  </si>
  <si>
    <t>hansalif@gmail.com</t>
  </si>
  <si>
    <t>hans@ckd-otto.com</t>
  </si>
  <si>
    <t>56</t>
  </si>
  <si>
    <t>P22008</t>
  </si>
  <si>
    <t>Dina Nurdiana</t>
  </si>
  <si>
    <t>GA</t>
  </si>
  <si>
    <t>GA Sr. Staff</t>
  </si>
  <si>
    <t xml:space="preserve">Cimahi </t>
  </si>
  <si>
    <t>0001157656983</t>
  </si>
  <si>
    <t>Jenderal Achmad Yani University</t>
  </si>
  <si>
    <t>3277025009980009</t>
  </si>
  <si>
    <t>Kp. Cigugur Tengah Rt.004/010 Kel. Cigugur Tengah Kec. Cimahi Tengah Kota Cimahi 40522</t>
  </si>
  <si>
    <t>089630973980</t>
  </si>
  <si>
    <t>085255054418</t>
  </si>
  <si>
    <t>65.073.441.1-421.000</t>
  </si>
  <si>
    <t>Cigugur Tengah No. 141 Rt.004 Rw.010 Cigugur Tengah Cimahi Tengah Kota Cimahi Jawa Barat</t>
  </si>
  <si>
    <t>3277021511060497</t>
  </si>
  <si>
    <t>1393287121</t>
  </si>
  <si>
    <t>Siti Julaeha</t>
  </si>
  <si>
    <t>dinanurdiana93@gmail.com</t>
  </si>
  <si>
    <t>dina@ckd-otto.com</t>
  </si>
  <si>
    <t>57</t>
  </si>
  <si>
    <t>A22003</t>
  </si>
  <si>
    <t>Ellvin</t>
  </si>
  <si>
    <t>HR &amp; GA Senior Manager</t>
  </si>
  <si>
    <t>Sanana</t>
  </si>
  <si>
    <t>0002219112639</t>
  </si>
  <si>
    <t>18059508319</t>
  </si>
  <si>
    <t>Atmajaya University Yogyakarta</t>
  </si>
  <si>
    <t>PT Omron</t>
  </si>
  <si>
    <t>3471124502850001</t>
  </si>
  <si>
    <t>Jl. Teluk Ratai III No.29 RT.005/010 Kel. Kelapa Gadiing Barat Kec. Kelapa Gading Jakarta Utara</t>
  </si>
  <si>
    <t>087885850205</t>
  </si>
  <si>
    <t>08.967.768.6-541.000</t>
  </si>
  <si>
    <t>3172060701099342</t>
  </si>
  <si>
    <t>4670080965</t>
  </si>
  <si>
    <t>Ruth</t>
  </si>
  <si>
    <t>ehkhushia@gmail.com</t>
  </si>
  <si>
    <t>elvin@ckd-otto.com</t>
  </si>
  <si>
    <t>58</t>
  </si>
  <si>
    <t>P22012</t>
  </si>
  <si>
    <t>Revelino Putra Perdana</t>
  </si>
  <si>
    <t>Engineering Manager</t>
  </si>
  <si>
    <t>0001516281028</t>
  </si>
  <si>
    <t>Mechanical Engineering</t>
  </si>
  <si>
    <t>3175030302860006</t>
  </si>
  <si>
    <t>Jl. Murai No/ 198A RT001 RW09 Kel. Jaka Setia, Kec Bekasi Selatan, Kota Bekasi</t>
  </si>
  <si>
    <t>081586509515</t>
  </si>
  <si>
    <t>085711051067</t>
  </si>
  <si>
    <t>24.605.737.6-002.000</t>
  </si>
  <si>
    <t>5221937687</t>
  </si>
  <si>
    <t>Nurfahmi</t>
  </si>
  <si>
    <t>Zenita Ayu</t>
  </si>
  <si>
    <t>Athalla Zevelino Albarri</t>
  </si>
  <si>
    <t>Ayhailla Naina Azzahra</t>
  </si>
  <si>
    <t>revelinoputra@gmail.com</t>
  </si>
  <si>
    <t>revelino@ckd-otto.com</t>
  </si>
  <si>
    <t>59</t>
  </si>
  <si>
    <t>P22013</t>
  </si>
  <si>
    <t>M. Naufal Luthfi Firdaus</t>
  </si>
  <si>
    <t>0001280992599</t>
  </si>
  <si>
    <t>Polman Bandung</t>
  </si>
  <si>
    <t>Automation Engineering</t>
  </si>
  <si>
    <t>3216112406980002</t>
  </si>
  <si>
    <t>Rusa 8 Street No 53, East Cikarang</t>
  </si>
  <si>
    <t>085943553659</t>
  </si>
  <si>
    <t>085973770108</t>
  </si>
  <si>
    <t>3216110604074242</t>
  </si>
  <si>
    <t>8761182668</t>
  </si>
  <si>
    <t>M Naufal Luthfi Firdaus</t>
  </si>
  <si>
    <t>Imas Nurjanah</t>
  </si>
  <si>
    <t>mnaufalluthfif@gmail.com</t>
  </si>
  <si>
    <t>naufal@ckd-otto.com</t>
  </si>
  <si>
    <t>60</t>
  </si>
  <si>
    <t>S22006</t>
  </si>
  <si>
    <t>Rizky Martino Yusuf Baunegoro</t>
  </si>
  <si>
    <t>Medan</t>
  </si>
  <si>
    <t>0001655696261</t>
  </si>
  <si>
    <t>Polytechnic State Medan</t>
  </si>
  <si>
    <t>PT EISAI Indonesia</t>
  </si>
  <si>
    <t>1271072903890003</t>
  </si>
  <si>
    <t>Jln. Panci 52B Medan</t>
  </si>
  <si>
    <t>Perumahan Rorinata tahap 6 Blok A no 15, Jln. Suka Maju Indah, Deli Serdang</t>
  </si>
  <si>
    <t>085262756155</t>
  </si>
  <si>
    <t>081360013836</t>
  </si>
  <si>
    <t>09.892.394.9-121.000</t>
  </si>
  <si>
    <t>1271192109210001</t>
  </si>
  <si>
    <t>3831167295</t>
  </si>
  <si>
    <t>RIZKY MARTINO YUSUF BAUNEGORO</t>
  </si>
  <si>
    <t>Ruth Wattimury</t>
  </si>
  <si>
    <t>Elisa Margaretha Pudjiono</t>
  </si>
  <si>
    <t>rizkymartino29@gmail.com</t>
  </si>
  <si>
    <t>rizky@ckd-otto.com</t>
  </si>
  <si>
    <t>61</t>
  </si>
  <si>
    <t>P22019</t>
  </si>
  <si>
    <t>Yogi Maulana</t>
  </si>
  <si>
    <t>QC Senior Staff</t>
  </si>
  <si>
    <t>Ciamis</t>
  </si>
  <si>
    <t>0000077219335</t>
  </si>
  <si>
    <t>PT Daewoong Inflon</t>
  </si>
  <si>
    <t>3302100206960000</t>
  </si>
  <si>
    <t>Perumahan Kalibagor Indah Blok D8, Central Java</t>
  </si>
  <si>
    <t>082242881050</t>
  </si>
  <si>
    <t>085733245308</t>
  </si>
  <si>
    <t>83.204.001.8-521.000</t>
  </si>
  <si>
    <t>Perumahan Taman Residence Kav 37, Sidoarjo, East Java</t>
  </si>
  <si>
    <t>3302100802059534</t>
  </si>
  <si>
    <t>0101546402</t>
  </si>
  <si>
    <t>YOGI MAULANA</t>
  </si>
  <si>
    <t>Sri Mulyaningsih</t>
  </si>
  <si>
    <t>Nur Anggria Ningtias</t>
  </si>
  <si>
    <t>yogimaulanamaghribi@gmail.com</t>
  </si>
  <si>
    <t>yogi@ckd-otto.com</t>
  </si>
  <si>
    <t>62</t>
  </si>
  <si>
    <t>P22020</t>
  </si>
  <si>
    <t>Moch Iqbal Suryaman</t>
  </si>
  <si>
    <t>Engineering Supervisor</t>
  </si>
  <si>
    <t>0001522147566</t>
  </si>
  <si>
    <t>Electronical Industry</t>
  </si>
  <si>
    <t>327701111920016</t>
  </si>
  <si>
    <t>Jl. Melati 15 No. 12 Taman Sari Puspa, Lippo Cikarang</t>
  </si>
  <si>
    <t>087879151952</t>
  </si>
  <si>
    <t>087895386801</t>
  </si>
  <si>
    <t>98.406.188.7-421.000</t>
  </si>
  <si>
    <t>3216192203210022</t>
  </si>
  <si>
    <t>6880804411</t>
  </si>
  <si>
    <t>MOCH IQBAL SURYAMAN</t>
  </si>
  <si>
    <t>Neneng Sulastri</t>
  </si>
  <si>
    <t>Dwise Maulina</t>
  </si>
  <si>
    <t>Delisha Almahyra Putri</t>
  </si>
  <si>
    <t>muhammadiqballs92@gmail.com</t>
  </si>
  <si>
    <t>iqbal@ckd-otto.com</t>
  </si>
  <si>
    <t>63</t>
  </si>
  <si>
    <t>S22007</t>
  </si>
  <si>
    <t>Khairul Anwar Harahap</t>
  </si>
  <si>
    <t>Rantauprapat</t>
  </si>
  <si>
    <t>0001887180557</t>
  </si>
  <si>
    <t>PTKI Medan</t>
  </si>
  <si>
    <t>Mechanics Engineering</t>
  </si>
  <si>
    <t>PT Dipa Pharmalab Intersains</t>
  </si>
  <si>
    <t>1210080205960012</t>
  </si>
  <si>
    <t>Kampung Tengah I, Desa Tanjung Haloban, Kec Bila Hilir</t>
  </si>
  <si>
    <t>Perumahan Rorinata Tahap X No 18 Blok C, Sei Mencirim Medan</t>
  </si>
  <si>
    <t>082272370422</t>
  </si>
  <si>
    <t>8.897.986.2-116.000</t>
  </si>
  <si>
    <t>1210080608210002</t>
  </si>
  <si>
    <t>8205269467</t>
  </si>
  <si>
    <t>KHAIRUL ANWAR HARAHAP</t>
  </si>
  <si>
    <t>Alm. Herlena</t>
  </si>
  <si>
    <t>Dian Sari</t>
  </si>
  <si>
    <t>Aydan Adnan Harahap</t>
  </si>
  <si>
    <t>anwarharahap730@gmail.com</t>
  </si>
  <si>
    <t>khairul@ckd-otto.com</t>
  </si>
  <si>
    <t>64</t>
  </si>
  <si>
    <t>P22031</t>
  </si>
  <si>
    <t>Ni Made Anggita Laras Hati</t>
  </si>
  <si>
    <t>QC Senior Staff (Microbiology)</t>
  </si>
  <si>
    <t>Negara</t>
  </si>
  <si>
    <t>0000141133511</t>
  </si>
  <si>
    <t>Aphotecary, Sanata Dharma University</t>
  </si>
  <si>
    <t>5101024211990004</t>
  </si>
  <si>
    <t>Lingkungan Petapan Persidi, Tegalcangkring, Mendoyo, Jembrana, Bali.</t>
  </si>
  <si>
    <t>089521308505</t>
  </si>
  <si>
    <t>08124631180</t>
  </si>
  <si>
    <t>60.957.935.4-413.000</t>
  </si>
  <si>
    <t>5101020205090840</t>
  </si>
  <si>
    <t>2360631829</t>
  </si>
  <si>
    <t>Ni Ketut Suwitri</t>
  </si>
  <si>
    <t>anggitalarashati99@gmail.com</t>
  </si>
  <si>
    <t>65</t>
  </si>
  <si>
    <t>S22010</t>
  </si>
  <si>
    <t>Ajeng Meisinta</t>
  </si>
  <si>
    <t>Officer</t>
  </si>
  <si>
    <t>Marketing</t>
  </si>
  <si>
    <t>Marketing Officer</t>
  </si>
  <si>
    <t>0001372443693</t>
  </si>
  <si>
    <t>Budi Luhur University</t>
  </si>
  <si>
    <t>PT Enseval Putera Megatrading</t>
  </si>
  <si>
    <t>317504700596008</t>
  </si>
  <si>
    <t>Komplek Kodam Jaya Cililitan II, Jl. Tanjung VI RT 008/02 Blok CIII No. 3, Kramat Jati, Jakarta Timur</t>
  </si>
  <si>
    <t>082210108903</t>
  </si>
  <si>
    <t>'081381943467</t>
  </si>
  <si>
    <t>84.055.501.5-005.000</t>
  </si>
  <si>
    <t>3175041901090571</t>
  </si>
  <si>
    <t>4740493774</t>
  </si>
  <si>
    <t>Rismayanti</t>
  </si>
  <si>
    <t>ajengmeisinta30@gmail.com</t>
  </si>
  <si>
    <t>ajeng@ckd-otto.com</t>
  </si>
  <si>
    <t>66</t>
  </si>
  <si>
    <t>P22035</t>
  </si>
  <si>
    <t>Ilham Akbar</t>
  </si>
  <si>
    <t>Microbiology Analyst Sr. Staff</t>
  </si>
  <si>
    <t>0001631072575</t>
  </si>
  <si>
    <t>Muhammadiyah Jakarta University</t>
  </si>
  <si>
    <t>PT Kimia Farma Tbk</t>
  </si>
  <si>
    <t>3275062005980014</t>
  </si>
  <si>
    <t>Jl. Ksatria Raya Blok C No. 157 RT06/RW12, Kel. Pejuang, Kec Medan Satria, Kota
Bekasi</t>
  </si>
  <si>
    <t>089652633330</t>
  </si>
  <si>
    <t>81.377.840.4-427.000</t>
  </si>
  <si>
    <t>3275061605070070</t>
  </si>
  <si>
    <t>5210983122</t>
  </si>
  <si>
    <t>Rosfita</t>
  </si>
  <si>
    <t>67</t>
  </si>
  <si>
    <t>P22040</t>
  </si>
  <si>
    <t>Sartina Sinabariba</t>
  </si>
  <si>
    <t>Microbiology Analyst Staff</t>
  </si>
  <si>
    <t>Kampung Toba</t>
  </si>
  <si>
    <t>0002139041812</t>
  </si>
  <si>
    <t>IPB University</t>
  </si>
  <si>
    <t>1408035002990001</t>
  </si>
  <si>
    <t>Jalan Yos Sudarso KM.49, Minas Barat, Kabupaten Siak, Provinsi Riau</t>
  </si>
  <si>
    <t>082122015861</t>
  </si>
  <si>
    <t>082172601845</t>
  </si>
  <si>
    <t>1408031012072545</t>
  </si>
  <si>
    <t>0343530355</t>
  </si>
  <si>
    <t>Esniwati Ginting</t>
  </si>
  <si>
    <t>sinabaribasartina@gmail.com</t>
  </si>
  <si>
    <t>68</t>
  </si>
  <si>
    <t>P22041</t>
  </si>
  <si>
    <t>Novia Mitha Damayanti</t>
  </si>
  <si>
    <t>QC Assistant Manager</t>
  </si>
  <si>
    <t>3 month</t>
  </si>
  <si>
    <t>0001176610926</t>
  </si>
  <si>
    <t>Apothecary, Padjajaran University</t>
  </si>
  <si>
    <t>Aphotecary</t>
  </si>
  <si>
    <t>PT Ethica Industri Farmasi</t>
  </si>
  <si>
    <t>1771065112950001</t>
  </si>
  <si>
    <t>Jalan Flamboyan 1 RT 10 RW 03 No 14
Kelurahan Kebun Kenanga, Kecamatan Ratu Agung, Kota Bengkulu</t>
  </si>
  <si>
    <t>Jalan Kancil V Blok D No 112 RT 24 RW 07, Kelurahan Sertajaya, Kecamatan Cikarang</t>
  </si>
  <si>
    <t>08972211420</t>
  </si>
  <si>
    <t>081274458001</t>
  </si>
  <si>
    <t>92.992.609.5-311.000</t>
  </si>
  <si>
    <t>2831777020</t>
  </si>
  <si>
    <t>Katharina Karsih</t>
  </si>
  <si>
    <t>nmdamayanti@gmail.com</t>
  </si>
  <si>
    <t>novia@ckd-otto.com</t>
  </si>
  <si>
    <t>69</t>
  </si>
  <si>
    <t>S23001</t>
  </si>
  <si>
    <t>Rita Merliana</t>
  </si>
  <si>
    <t>RA Manager</t>
  </si>
  <si>
    <t>0001604196898</t>
  </si>
  <si>
    <t>Aphotecary, Muhamadiyah Prof Hamka University</t>
  </si>
  <si>
    <t>PT Nufarindo</t>
  </si>
  <si>
    <t>3171055305860001</t>
  </si>
  <si>
    <t>Komplek Setneg H-8</t>
  </si>
  <si>
    <t>085780621331</t>
  </si>
  <si>
    <t>081350540869</t>
  </si>
  <si>
    <t>35.240.812.4-024.000</t>
  </si>
  <si>
    <t>3171052107210000</t>
  </si>
  <si>
    <t>7480803200</t>
  </si>
  <si>
    <t>Yenizar</t>
  </si>
  <si>
    <t>Muhammad Gerhamanto</t>
  </si>
  <si>
    <t>liana.lpdh@gmail.com</t>
  </si>
  <si>
    <t>rita@ckd-otto.com</t>
  </si>
  <si>
    <t>70</t>
  </si>
  <si>
    <t>P23002</t>
  </si>
  <si>
    <t>Muhammad Farhan Firdaus</t>
  </si>
  <si>
    <t>0003130334921</t>
  </si>
  <si>
    <t xml:space="preserve"> Bacheloe, Badung Manufacture Polytechnic</t>
  </si>
  <si>
    <t>PT Nadesco Engineering Indonesia</t>
  </si>
  <si>
    <t>3215030310980002</t>
  </si>
  <si>
    <t>Perumnas Bumi Telukjambe Blok/D. 287, RT.04/RW.05, Ds. Sukaluyu, Kec.
Telukjambe Timur, Kab. Karawang</t>
  </si>
  <si>
    <t>089655483138</t>
  </si>
  <si>
    <t>083824298940</t>
  </si>
  <si>
    <t>53.893.825.9-408.000</t>
  </si>
  <si>
    <t>3215030812070049</t>
  </si>
  <si>
    <t>7425396951</t>
  </si>
  <si>
    <t>Tini Hartini</t>
  </si>
  <si>
    <t>farhanfirdaus031098@gmail.com</t>
  </si>
  <si>
    <t>71</t>
  </si>
  <si>
    <t>A23003</t>
  </si>
  <si>
    <t>Maria Emanuela Devi Harsanti</t>
  </si>
  <si>
    <t>Purchasing</t>
  </si>
  <si>
    <t>Purchasing Sr. Manager</t>
  </si>
  <si>
    <t>0001650595612</t>
  </si>
  <si>
    <t>Aphotecary, Gadjah Mada University</t>
  </si>
  <si>
    <t>PT Dexa Medica</t>
  </si>
  <si>
    <t>3301226212880001</t>
  </si>
  <si>
    <t>Perumahan Griya @ Bintaro Blok C 1 Jalan Panti Asuhan, RT 003/RW 012, Kel Jurang
Mangu Timur, Pondok Aren, Tangerang Selatan</t>
  </si>
  <si>
    <t>085643287176</t>
  </si>
  <si>
    <t>89.745.217.3-522.000</t>
  </si>
  <si>
    <t>3674030402161046</t>
  </si>
  <si>
    <t>0960706234</t>
  </si>
  <si>
    <t>Chatarina Supiyah</t>
  </si>
  <si>
    <t>Yusuf Uki Yulianto</t>
  </si>
  <si>
    <t>mariaemmanuela@gmail.com</t>
  </si>
  <si>
    <t>maria@ckd-otto.com</t>
  </si>
  <si>
    <t>72</t>
  </si>
  <si>
    <t>P23004</t>
  </si>
  <si>
    <t>Edo Sadewo</t>
  </si>
  <si>
    <t>12 month</t>
  </si>
  <si>
    <t>Indramayu</t>
  </si>
  <si>
    <t>0002321081752</t>
  </si>
  <si>
    <t>SMK Muhammadiyah Kandanghaur</t>
  </si>
  <si>
    <t>Technical Light Vehicle</t>
  </si>
  <si>
    <t>PT Kalbe Farma</t>
  </si>
  <si>
    <t>.3212211401970005</t>
  </si>
  <si>
    <t>Desa Eretan wetan Blok perempu II Rt 02/Rw 05 Kec Kandanghaur,Kab Indramayu
45254</t>
  </si>
  <si>
    <t>Kampung Penjalin, Desa pasirsari, Kec Cikarang selatan</t>
  </si>
  <si>
    <t>085693323458</t>
  </si>
  <si>
    <t>083824979852</t>
  </si>
  <si>
    <t>76.632.165.7-437.000</t>
  </si>
  <si>
    <t>3212210206092961</t>
  </si>
  <si>
    <t>7745467393</t>
  </si>
  <si>
    <t>Aisyah</t>
  </si>
  <si>
    <t>edosadewo1401@gmail.com</t>
  </si>
  <si>
    <t>73</t>
  </si>
  <si>
    <t>S23005</t>
  </si>
  <si>
    <t>Erwinsyah</t>
  </si>
  <si>
    <t>Palembang</t>
  </si>
  <si>
    <t>Tridinanti University</t>
  </si>
  <si>
    <t>Sanofi</t>
  </si>
  <si>
    <t>1671130505810020</t>
  </si>
  <si>
    <t>Jln abi kusnocs lr serumpun RT06 RW 01 kertapati Palembang</t>
  </si>
  <si>
    <t>081373872500</t>
  </si>
  <si>
    <t>082176664103</t>
  </si>
  <si>
    <t>59.385.455.7-306.000</t>
  </si>
  <si>
    <t>1671131301120010</t>
  </si>
  <si>
    <t>0212810434</t>
  </si>
  <si>
    <t>Erwinsyah AMD</t>
  </si>
  <si>
    <t>Hasnawati</t>
  </si>
  <si>
    <t>Erda Yusnita</t>
  </si>
  <si>
    <t>Erin Syaharani</t>
  </si>
  <si>
    <t xml:space="preserve">Ersha Almahira </t>
  </si>
  <si>
    <t>Erzira Khairunisyah</t>
  </si>
  <si>
    <t>erwinkertapati@gmail.com</t>
  </si>
  <si>
    <t>erwinsyah@ckd-otto.com</t>
  </si>
  <si>
    <t>74</t>
  </si>
  <si>
    <t>S23007</t>
  </si>
  <si>
    <t>Windhu Parjadi</t>
  </si>
  <si>
    <t>0002100559307</t>
  </si>
  <si>
    <t>Pimpinan Perusahaan Deprindag RI Academy</t>
  </si>
  <si>
    <t>Human Resource Management</t>
  </si>
  <si>
    <t>PT Asia Tran Sinergi farma</t>
  </si>
  <si>
    <t>3174090801750010</t>
  </si>
  <si>
    <t>Gg. Haji Idris No 70 Rt 04 RW 02 Kel. Cipedak, Kec. Jagakarsa, Jakarta Selatan</t>
  </si>
  <si>
    <t>Jl. Kampung Sawah No. 13 RT 06 RW 04 Kel. Jati Melati, Kec. Pondok Melati, Bekasi</t>
  </si>
  <si>
    <t>081315183030</t>
  </si>
  <si>
    <t>.08112128175</t>
  </si>
  <si>
    <t>59.561.572.5-027.000</t>
  </si>
  <si>
    <t>3174092112160024</t>
  </si>
  <si>
    <t>2180611803</t>
  </si>
  <si>
    <t>Lidia Sutiyem</t>
  </si>
  <si>
    <t>Henny Junita Nancy Pattiasina</t>
  </si>
  <si>
    <t>Eben Haezer</t>
  </si>
  <si>
    <t>parjadiwindhu@gmail.com</t>
  </si>
  <si>
    <t>windhu@ckd-otto.com</t>
  </si>
  <si>
    <t>75</t>
  </si>
  <si>
    <t>A23005</t>
  </si>
  <si>
    <t>Dewi Aryani</t>
  </si>
  <si>
    <t>Purchasing Supervisor</t>
  </si>
  <si>
    <t>0001620649844</t>
  </si>
  <si>
    <t>National Institute of Science and Technology</t>
  </si>
  <si>
    <t>PT Tempo Nagadi Trading</t>
  </si>
  <si>
    <t>3175055412880000</t>
  </si>
  <si>
    <t>Jl Radar Baru blok E No.5 RT 004 RW 004, Cijantung, East Jakarta</t>
  </si>
  <si>
    <t>089681071822</t>
  </si>
  <si>
    <t>085781071792</t>
  </si>
  <si>
    <t>66.328.199.6-009.000</t>
  </si>
  <si>
    <t>3175052707160017</t>
  </si>
  <si>
    <t>1652403926</t>
  </si>
  <si>
    <t>Suwarti</t>
  </si>
  <si>
    <t>Dicky Candra Tober</t>
  </si>
  <si>
    <t>Namira Ardilani Tober</t>
  </si>
  <si>
    <t>Kairo Isfandiyar Tober</t>
  </si>
  <si>
    <t>dewiaryani212@gmail.com</t>
  </si>
  <si>
    <t>dewi@ckd-otto.com</t>
  </si>
  <si>
    <t>76</t>
  </si>
  <si>
    <t>P23012</t>
  </si>
  <si>
    <t>Arina Syifa Hidayati</t>
  </si>
  <si>
    <t>QA Assistant Manager</t>
  </si>
  <si>
    <t>0001811342237</t>
  </si>
  <si>
    <t>Aphotecary, Padjajaran University</t>
  </si>
  <si>
    <t>Dexa Laboratories Biomolecular Sciences (DLBS)</t>
  </si>
  <si>
    <t>3175075112920002</t>
  </si>
  <si>
    <t>Jl. Raya Kapin No. 5A, Pondok Kelapa, Duren Sawit, Jakarta Timur</t>
  </si>
  <si>
    <t>085603137489</t>
  </si>
  <si>
    <t>08170061871</t>
  </si>
  <si>
    <t>80.013.329.0-008.000</t>
  </si>
  <si>
    <t>3175072501096300</t>
  </si>
  <si>
    <t>2300488989</t>
  </si>
  <si>
    <t>Faizah</t>
  </si>
  <si>
    <t>arina@ckd-otto.com</t>
  </si>
  <si>
    <t>77</t>
  </si>
  <si>
    <t>P23015</t>
  </si>
  <si>
    <t>Selma Soraya Mariska</t>
  </si>
  <si>
    <t>6 month</t>
  </si>
  <si>
    <t>0001790290585</t>
  </si>
  <si>
    <t>State Polytechnic of Jakarta</t>
  </si>
  <si>
    <t>Graphic Engineering</t>
  </si>
  <si>
    <t>3171086612011001</t>
  </si>
  <si>
    <t>Jl. Rawa Selatan 2 No. 08 RT 09 RW 07, Jakarta Pusat, Indonesia.</t>
  </si>
  <si>
    <t>TK0</t>
  </si>
  <si>
    <t>085717342618</t>
  </si>
  <si>
    <t>085775415601</t>
  </si>
  <si>
    <t>62.002.073.5-024.000</t>
  </si>
  <si>
    <t>3171081803120001</t>
  </si>
  <si>
    <t>0941557171</t>
  </si>
  <si>
    <t>Suryati Murni</t>
  </si>
  <si>
    <t>selma.sorayamariska26@gmail.com</t>
  </si>
  <si>
    <t>78</t>
  </si>
  <si>
    <t>S23010</t>
  </si>
  <si>
    <t>Kurnila Mulia Putri</t>
  </si>
  <si>
    <t>0003104959061</t>
  </si>
  <si>
    <t>SMK Farmasi Bhakti Wiyata</t>
  </si>
  <si>
    <t>350609530993008</t>
  </si>
  <si>
    <t>Jl. Medayu Sentosa No.34 – Medokan Ayu, Kec. Rungkut, Surabaya</t>
  </si>
  <si>
    <t>Widow</t>
  </si>
  <si>
    <t>08113773883</t>
  </si>
  <si>
    <t>085735783761</t>
  </si>
  <si>
    <t>44.914.959.0 – 655.000</t>
  </si>
  <si>
    <t>3550092001170006</t>
  </si>
  <si>
    <t>6140293715</t>
  </si>
  <si>
    <t>Khoirul Umah</t>
  </si>
  <si>
    <t>Andini Aqeela Anindya</t>
  </si>
  <si>
    <t>Kurnilamuliap1@gmail.com</t>
  </si>
  <si>
    <t>kurnila@ckd-otto.com</t>
  </si>
  <si>
    <t>79</t>
  </si>
  <si>
    <t>P23016</t>
  </si>
  <si>
    <t xml:space="preserve">Adi Wildan </t>
  </si>
  <si>
    <t>Engineering Sr. Staff</t>
  </si>
  <si>
    <t>Cianjur</t>
  </si>
  <si>
    <t>0001648557876</t>
  </si>
  <si>
    <t>Sahid University</t>
  </si>
  <si>
    <t>Environmental Engineering</t>
  </si>
  <si>
    <t>3203272909950003</t>
  </si>
  <si>
    <t>Kp.Pajagan RT.003 RW.010 Desa Gekbrong Kecamatan Gekbrong Kabupaten Cianjur</t>
  </si>
  <si>
    <t>Jl.Madrasah II no.20 RT.004/010, Duren Sawit, Jakarta Timur</t>
  </si>
  <si>
    <t>085559753802</t>
  </si>
  <si>
    <t>081383418106</t>
  </si>
  <si>
    <t>72.736.436.6-406.000</t>
  </si>
  <si>
    <t>3203022707065630</t>
  </si>
  <si>
    <t>6331469987</t>
  </si>
  <si>
    <t>Adi Wildan</t>
  </si>
  <si>
    <t>Cicih Juarsih</t>
  </si>
  <si>
    <t>adiwildan555@gmail.com</t>
  </si>
  <si>
    <t>adi@ckd-otto.com</t>
  </si>
  <si>
    <t>80</t>
  </si>
  <si>
    <t>A23006</t>
  </si>
  <si>
    <t>Tika Adriyanti</t>
  </si>
  <si>
    <t>PAC Supervisor</t>
  </si>
  <si>
    <t>Depok</t>
  </si>
  <si>
    <t>0001442793756</t>
  </si>
  <si>
    <t>PT Sistem Manajemen Dewarangga</t>
  </si>
  <si>
    <t>3276015003990001</t>
  </si>
  <si>
    <t>Jl Kutilang 1 No. 232 RT 006 RW 011 Kel. Depok Jaya Kec. Pancoran Mas, 16432</t>
  </si>
  <si>
    <t>Permata Depok Regency Cluster Jade Blok E 23 No. 5 RT 004 RW 011 Kel. Ratu
Jaya Kec. Cipayung, 16439</t>
  </si>
  <si>
    <t>081219548696</t>
  </si>
  <si>
    <t>087778080807 / 087880169199</t>
  </si>
  <si>
    <t>96.943.647.6-448.000</t>
  </si>
  <si>
    <t>3276012408070084</t>
  </si>
  <si>
    <t>7151094809</t>
  </si>
  <si>
    <t>Siti Damayanti</t>
  </si>
  <si>
    <t xml:space="preserve"> tikadriyanti@gmail.com</t>
  </si>
  <si>
    <t>Adriyanti@ckd-otto.com</t>
  </si>
  <si>
    <t>81</t>
  </si>
  <si>
    <t>P23019</t>
  </si>
  <si>
    <t>Supardi</t>
  </si>
  <si>
    <t>Validation Manager</t>
  </si>
  <si>
    <t>0001478827743</t>
  </si>
  <si>
    <t>Apothecary, Bandung Institute of Technology</t>
  </si>
  <si>
    <t>PT. Aleyah Sintasint Farma</t>
  </si>
  <si>
    <t>61710102058900000</t>
  </si>
  <si>
    <t>Jl. Gajahmada RT/RW 004/007, Kel. Benua Melayu Darat, Kec. Pontianak Selatan, Kota Pontianak</t>
  </si>
  <si>
    <t>Jl. Industri, Kel. Tuksono, Kec. Sentolo, Kab. Kulonprogo, Yogyakarta</t>
  </si>
  <si>
    <t>08119411234</t>
  </si>
  <si>
    <t>7925049620</t>
  </si>
  <si>
    <t>Ng Khai Tjoe</t>
  </si>
  <si>
    <t>0205.supardi@gmail.com</t>
  </si>
  <si>
    <t>ardi@ckd-otto.com</t>
  </si>
  <si>
    <t>82</t>
  </si>
  <si>
    <t>P24001</t>
  </si>
  <si>
    <t>Rony Wijaya</t>
  </si>
  <si>
    <t>Medical Affair</t>
  </si>
  <si>
    <t>Medical Affair Manager</t>
  </si>
  <si>
    <t>Pekalongan</t>
  </si>
  <si>
    <t>Maranatha Christian University Bandung</t>
  </si>
  <si>
    <t>Medical Science</t>
  </si>
  <si>
    <t>Merz Aesthetics</t>
  </si>
  <si>
    <t>3327132403820000</t>
  </si>
  <si>
    <t>Jalan Rawa Kepa VI No. 579 A, Tomang, Grogol Petamburan, Jakarta Barat</t>
  </si>
  <si>
    <t>08111838882</t>
  </si>
  <si>
    <t>78.114.954.7-445.000</t>
  </si>
  <si>
    <t>3981438718</t>
  </si>
  <si>
    <t>Gouw Giok Lie</t>
  </si>
  <si>
    <t>Muliani Sukiman</t>
  </si>
  <si>
    <t>83</t>
  </si>
  <si>
    <t>P24003</t>
  </si>
  <si>
    <t>Margareta Sinta Marito Limbong</t>
  </si>
  <si>
    <t>PPWH Senior Staff</t>
  </si>
  <si>
    <t>Perbanas Institute</t>
  </si>
  <si>
    <t>PT Panverta Cakrakencana</t>
  </si>
  <si>
    <t>3275025801960015</t>
  </si>
  <si>
    <t>Jalan Nurul Iman Kampung Dua RT.006/RW.001, Keluruhan Jakasampurna, Kecamatan Bekasi Barat</t>
  </si>
  <si>
    <t>Jalan perintis 2 Blok 1B RT.003RW.024 nomor 37, Keluruhan Kaliabang Tengah, Kecamatan Bekasi Utara</t>
  </si>
  <si>
    <t>081292309647</t>
  </si>
  <si>
    <t>081286514006</t>
  </si>
  <si>
    <t>84.873.849.8-427.000</t>
  </si>
  <si>
    <t>5770783161</t>
  </si>
  <si>
    <t>Berta Manalu</t>
  </si>
  <si>
    <t>84</t>
  </si>
  <si>
    <t>P24005</t>
  </si>
  <si>
    <t xml:space="preserve">Rislah Juana Dewi  </t>
  </si>
  <si>
    <t>Universitas Pancasila</t>
  </si>
  <si>
    <t>3671054701010007</t>
  </si>
  <si>
    <t>Jl. Kenanga X Blok D I/12, RT/RW 007/002, Kenanga, Cipondoh</t>
  </si>
  <si>
    <t>085280717882</t>
  </si>
  <si>
    <t>081310148266</t>
  </si>
  <si>
    <t>50.495.663.2-416.000</t>
  </si>
  <si>
    <t>6565460807</t>
  </si>
  <si>
    <t>Nur Hidayati Catur Setyo Dewi</t>
  </si>
  <si>
    <t>rislahjuanadewi@gmail.com</t>
  </si>
  <si>
    <t>85</t>
  </si>
  <si>
    <t>P24006</t>
  </si>
  <si>
    <t>Tesya Almadea</t>
  </si>
  <si>
    <t>QA Sr. Staff</t>
  </si>
  <si>
    <t>Universitas Indonesia</t>
  </si>
  <si>
    <t>PT Abbot Indonesia</t>
  </si>
  <si>
    <t>3216015605990010</t>
  </si>
  <si>
    <t>Villa Mutiara Gading 1 Blok C6/15A, Setia Asih, Tarumajaya, Bekasi, 17215</t>
  </si>
  <si>
    <t>082122744656</t>
  </si>
  <si>
    <t>083895991241/081807495185</t>
  </si>
  <si>
    <t>60.559.299-7.435.000</t>
  </si>
  <si>
    <t>5211902834</t>
  </si>
  <si>
    <t>Marwiyah</t>
  </si>
  <si>
    <t>tesyadea@gmail.com</t>
  </si>
  <si>
    <t>86</t>
  </si>
  <si>
    <t>S24001</t>
  </si>
  <si>
    <t>Manjae Park</t>
  </si>
  <si>
    <t>Kyung Hee University</t>
  </si>
  <si>
    <t>Ch in ese Gl ob al Man ag eme nt</t>
  </si>
  <si>
    <t>2C11JE0850GA</t>
  </si>
  <si>
    <t>Ritz Tower, Unit 2302 Kemang Village Residences Jl Kemang VI RT. 013 / RW. 005 Kel. Bangka, Kec. Mampang Prapatan, Jakarta Selatan 12730</t>
  </si>
  <si>
    <t>08159993778</t>
  </si>
  <si>
    <t>5700322876</t>
  </si>
  <si>
    <t>mjpark@ckd-otto.com</t>
  </si>
  <si>
    <t>87</t>
  </si>
  <si>
    <t>S24002</t>
  </si>
  <si>
    <t>I Made Dimas Budhi Purnama</t>
  </si>
  <si>
    <t>Tabanan</t>
  </si>
  <si>
    <t>UPN</t>
  </si>
  <si>
    <t>International Business</t>
  </si>
  <si>
    <t>PT. Etana Biotechnologies Indonesia</t>
  </si>
  <si>
    <t>5102051404870000</t>
  </si>
  <si>
    <t>Jl. Pulau Nias gg. XVI no 02 Dauh Peken, Tabanan, Bali</t>
  </si>
  <si>
    <t>081999346645</t>
  </si>
  <si>
    <t>081936396973</t>
  </si>
  <si>
    <t>44.151.410.6-908.000</t>
  </si>
  <si>
    <t>1420280382</t>
  </si>
  <si>
    <t>Istri Sunarmi</t>
  </si>
  <si>
    <t>Luh Putu Sriastini</t>
  </si>
  <si>
    <t>I Putu Dimas Arthana Wiguna</t>
  </si>
  <si>
    <t>I Made Pradipta Dimas Wiguna</t>
  </si>
  <si>
    <t>I Komang Santa Agastya Dimas</t>
  </si>
  <si>
    <t xml:space="preserve">dimasbudhi87@gmail.com </t>
  </si>
  <si>
    <t>88</t>
  </si>
  <si>
    <t>P24009</t>
  </si>
  <si>
    <t>Priska Yunaita Irawati</t>
  </si>
  <si>
    <t>QA Supervisor</t>
  </si>
  <si>
    <t>Universitas Gadjah Mada</t>
  </si>
  <si>
    <t>3175084206950002</t>
  </si>
  <si>
    <t>Cipinang Asem No. 6 RT. 012 / RW. 002 Jakarta Timur</t>
  </si>
  <si>
    <t>081319553856</t>
  </si>
  <si>
    <t>90.952.243.3-055.000</t>
  </si>
  <si>
    <t>8705350406</t>
  </si>
  <si>
    <t>Kasiyati</t>
  </si>
  <si>
    <t>Priska@ckd-otto.com</t>
  </si>
  <si>
    <t>89</t>
  </si>
  <si>
    <t>A24010</t>
  </si>
  <si>
    <t>Hardryan Prasetyo Utomo</t>
  </si>
  <si>
    <t>IT</t>
  </si>
  <si>
    <t>IT Assistant Manager</t>
  </si>
  <si>
    <t>Universitas Budi Luhur</t>
  </si>
  <si>
    <t>Information Technology</t>
  </si>
  <si>
    <t>3674030710910006</t>
  </si>
  <si>
    <t xml:space="preserve">Jl. Merak B.21/7 PJMI Kel. Jurangmangu Kec. Pondok Aren </t>
  </si>
  <si>
    <t>085875555912</t>
  </si>
  <si>
    <t>4740363706</t>
  </si>
  <si>
    <t>90</t>
  </si>
  <si>
    <t>S24006</t>
  </si>
  <si>
    <t>Wifaaq Ulima Putri</t>
  </si>
  <si>
    <t>Marketing Manager</t>
  </si>
  <si>
    <t>Febuari</t>
  </si>
  <si>
    <t>Universitas Padjadjaran</t>
  </si>
  <si>
    <t>3671125702980000</t>
  </si>
  <si>
    <t>Jl karyawan II/27 rt 2 rw 5 kel karang tengah kec karang tengah</t>
  </si>
  <si>
    <t>081280972606</t>
  </si>
  <si>
    <t>2831496560</t>
  </si>
  <si>
    <t>Wifaa@ckd-otto.com</t>
  </si>
  <si>
    <t>91</t>
  </si>
  <si>
    <t>A24013</t>
  </si>
  <si>
    <t>Sherlin Nur Fatimah Putri</t>
  </si>
  <si>
    <t>HR &amp; GA Officer</t>
  </si>
  <si>
    <t>Garut</t>
  </si>
  <si>
    <t>Agustus</t>
  </si>
  <si>
    <t>Universitas Darma Persada</t>
  </si>
  <si>
    <t>3275060512050002</t>
  </si>
  <si>
    <t>Jl Kaliabang bungur rt 5 rw 3 kel pejuang kec medan satria, bekasi</t>
  </si>
  <si>
    <t>089602018423</t>
  </si>
  <si>
    <t>3275062312210001</t>
  </si>
  <si>
    <t>7411161777</t>
  </si>
  <si>
    <t>92</t>
  </si>
  <si>
    <t>S24008</t>
  </si>
  <si>
    <t>Lily Lamina</t>
  </si>
  <si>
    <t>Semarang</t>
  </si>
  <si>
    <t>Sambas</t>
  </si>
  <si>
    <t>Universitas Semarang</t>
  </si>
  <si>
    <t>Computer</t>
  </si>
  <si>
    <t>PT. Lapi Laboratories</t>
  </si>
  <si>
    <t>3374074103790003</t>
  </si>
  <si>
    <t>Jl singosari III no 10 RT/RW 008 006 Pleburan Semarang Selatan</t>
  </si>
  <si>
    <t xml:space="preserve"> 08122879778 </t>
  </si>
  <si>
    <t>67.325.005.6-518.000</t>
  </si>
  <si>
    <t>3374071010130002</t>
  </si>
  <si>
    <t>2520602472</t>
  </si>
  <si>
    <t>Alida</t>
  </si>
  <si>
    <t>Rinta Kridalukmana</t>
  </si>
  <si>
    <t>Anastasya Arinta Kridamaranatha</t>
  </si>
  <si>
    <t>Mikael Berinta Kridasaktika</t>
  </si>
  <si>
    <t>lily.lamina@yahoo.com</t>
  </si>
  <si>
    <t>lily@ckd-otto.com</t>
  </si>
  <si>
    <t>93</t>
  </si>
  <si>
    <t>A24014</t>
  </si>
  <si>
    <t>Rosana Dian Ariyati</t>
  </si>
  <si>
    <t>Karang Anyar</t>
  </si>
  <si>
    <t>Universitas Brawijaya</t>
  </si>
  <si>
    <t>PwC Indonesia</t>
  </si>
  <si>
    <t>3313014502960001</t>
  </si>
  <si>
    <t xml:space="preserve">Jl kawi 006/001 kelurahan ngoro kecamatan ngoro </t>
  </si>
  <si>
    <t>Jl Setiabudi V gg.II no. 3, Setiabudi, Jakarta Selatan</t>
  </si>
  <si>
    <t>62 858-4201-7921</t>
  </si>
  <si>
    <t>96.261.179.4-649.000</t>
  </si>
  <si>
    <t>Jl. Kawi RT/RW 006/001, Ngoro Ngroro</t>
  </si>
  <si>
    <t>3517030205190001</t>
  </si>
  <si>
    <t>1490592845</t>
  </si>
  <si>
    <t>rosana@ckd-otto.com</t>
  </si>
  <si>
    <t>94</t>
  </si>
  <si>
    <t>S24010</t>
  </si>
  <si>
    <t>Trianita Sihombing</t>
  </si>
  <si>
    <t>GB Staff</t>
  </si>
  <si>
    <t>Pematangsiantar</t>
  </si>
  <si>
    <t>Manajemen Sumberdaya Perairan</t>
  </si>
  <si>
    <t>Pluit Cold Storage</t>
  </si>
  <si>
    <t>1272045812960001</t>
  </si>
  <si>
    <t>JL Narumonda atas no 58 009/004 martimbang siantar selatan</t>
  </si>
  <si>
    <t>Jl. Pluit Putri 3 no.9 RT 16/ RW 6, Kel. Pluit, Kec. Penjaringan, Kota Jakarta Utara, DKI Jakarta</t>
  </si>
  <si>
    <t>62 831-9631-6495</t>
  </si>
  <si>
    <t>43.447.535.6-117.000</t>
  </si>
  <si>
    <t>Jl. Narumonda atas no. 58 RT/RW 009/004, Martimbang, Siantar Selatan</t>
  </si>
  <si>
    <t>8200826788</t>
  </si>
  <si>
    <t>Mulana Pasaribu</t>
  </si>
  <si>
    <t>trianita@ckd-otto.com</t>
  </si>
  <si>
    <t>95</t>
  </si>
  <si>
    <t>P24017</t>
  </si>
  <si>
    <t>Fitrotul Khasanah</t>
  </si>
  <si>
    <t>Contract</t>
  </si>
  <si>
    <t>Brebes</t>
  </si>
  <si>
    <t>Universitas Amikom Purwokerto</t>
  </si>
  <si>
    <t>3329046311010002</t>
  </si>
  <si>
    <t>Kompleks P.U Sapta Taruna III, Jl. Koperpu II No.67</t>
  </si>
  <si>
    <t>Dusun Sukajaya, Desa Pinayungan Kecamatan Telukjambe timur, Kbupaten Karawang</t>
  </si>
  <si>
    <t>0857-2286-2470</t>
  </si>
  <si>
    <t>20.569.917.6-501.000</t>
  </si>
  <si>
    <t>6881152891</t>
  </si>
  <si>
    <t>Rodiyah</t>
  </si>
  <si>
    <t>fitrotul@ckd-otto.com</t>
  </si>
  <si>
    <t>96</t>
  </si>
  <si>
    <t>P24019</t>
  </si>
  <si>
    <t>Darul Izzatun Nisa</t>
  </si>
  <si>
    <t>QA Senior Staff</t>
  </si>
  <si>
    <t>Demak</t>
  </si>
  <si>
    <t>Universitas Muhammadiyah Surakarta</t>
  </si>
  <si>
    <t>Sanbe Farma</t>
  </si>
  <si>
    <t>3321115605980003</t>
  </si>
  <si>
    <t>Mangunjiwan Permata Asri II L.3, Kel. Mangunjiwan, Kec. Demak, Kab. Demak</t>
  </si>
  <si>
    <t>085826143335</t>
  </si>
  <si>
    <t>42.499.912.6-515.000</t>
  </si>
  <si>
    <t>3321111201220002</t>
  </si>
  <si>
    <t>0311293906</t>
  </si>
  <si>
    <t>Uyami</t>
  </si>
  <si>
    <t>darulizza772@gmail.com</t>
  </si>
  <si>
    <t>darul@ckd-otto.com</t>
  </si>
  <si>
    <t>97</t>
  </si>
  <si>
    <t>S25001</t>
  </si>
  <si>
    <t>Euis Hasmita Putri</t>
  </si>
  <si>
    <t>Samarinda</t>
  </si>
  <si>
    <t>Probation</t>
  </si>
  <si>
    <t>Universitas Mulawarman</t>
  </si>
  <si>
    <t>PT. Pratapa Nirmala</t>
  </si>
  <si>
    <t>6472034404960001</t>
  </si>
  <si>
    <t>Jl. AW Syahrani GG. II, Air Hitam, Samarinda</t>
  </si>
  <si>
    <t>085752634759</t>
  </si>
  <si>
    <t>81.690.257.1-722.000</t>
  </si>
  <si>
    <t>0272667088</t>
  </si>
  <si>
    <t>Sulasmi</t>
  </si>
  <si>
    <t>Dendy Adityawarman Ceko</t>
  </si>
  <si>
    <t>Euis@ckd-otto.com</t>
  </si>
  <si>
    <t>98</t>
  </si>
  <si>
    <t>P25003</t>
  </si>
  <si>
    <t>Alya Dzakya Lutfiani</t>
  </si>
  <si>
    <t>QC Staff</t>
  </si>
  <si>
    <t>SMK Negeri 13</t>
  </si>
  <si>
    <t>PT. Meprofarm Pharmaceutical Industries</t>
  </si>
  <si>
    <t>3273256806020001</t>
  </si>
  <si>
    <t>Komp. Manglayang Sari Blok 9B No 9, RT 02/13, Kel. Palasari, Kec. Cibiru, Kota Bandung, 40615</t>
  </si>
  <si>
    <t>082115630341</t>
  </si>
  <si>
    <t>42.954.666.6-429.000</t>
  </si>
  <si>
    <t>0084345667</t>
  </si>
  <si>
    <t>Dewi Bagus Merdekawati</t>
  </si>
  <si>
    <t>alyadzakyalulu28@gmail.com</t>
  </si>
  <si>
    <t>99</t>
  </si>
  <si>
    <t>P25005</t>
  </si>
  <si>
    <t>Muhammad Andika Perdana</t>
  </si>
  <si>
    <t>Marabahan</t>
  </si>
  <si>
    <t>Universitas Lambung Mangkurat</t>
  </si>
  <si>
    <t>6304152809010001</t>
  </si>
  <si>
    <t>Jl. Pondok Ayu Komplek Griya Megah Blok Adelia No.04, Kota Banjarbaru, Provinsi Kalimantan selatan, 70714</t>
  </si>
  <si>
    <t>081351971547</t>
  </si>
  <si>
    <t>7895909637</t>
  </si>
  <si>
    <t>M. Andika Perdana</t>
  </si>
  <si>
    <t>Enny Mawarni</t>
  </si>
  <si>
    <t>muhandikaperdana28@gmail.com</t>
  </si>
  <si>
    <t>100</t>
  </si>
  <si>
    <t>P25007</t>
  </si>
  <si>
    <t xml:space="preserve">Resna Rerita </t>
  </si>
  <si>
    <t>DI Compliance Staff</t>
  </si>
  <si>
    <t>Tebing Tinggi</t>
  </si>
  <si>
    <t>Universitas Andalas</t>
  </si>
  <si>
    <t xml:space="preserve"> 1219024710010003</t>
  </si>
  <si>
    <t>Kampung V Koto, Balah Hilir, Kec. Lubuk Alung, Kab. Padang Pariaman</t>
  </si>
  <si>
    <t xml:space="preserve">082273579272  </t>
  </si>
  <si>
    <t>8962685554</t>
  </si>
  <si>
    <t>Zaliarnis</t>
  </si>
  <si>
    <t>resnarerita1@gmail.com</t>
  </si>
  <si>
    <t>101</t>
  </si>
  <si>
    <t>S25004</t>
  </si>
  <si>
    <t>Santy Rahmawati</t>
  </si>
  <si>
    <t>RA</t>
  </si>
  <si>
    <t>PT. Tunggal Idaman Abdi</t>
  </si>
  <si>
    <t>3671015312780001</t>
  </si>
  <si>
    <t>Jl. Manunggal XIII No. 2B RT 05/RW 02, Balekambang, Kramat Jati, Jakarta Timur 13530</t>
  </si>
  <si>
    <t>08164847533</t>
  </si>
  <si>
    <t>58.476.391.6-416.000</t>
  </si>
  <si>
    <t>8680592501</t>
  </si>
  <si>
    <t>Santy Rahmawaty</t>
  </si>
  <si>
    <t>Elly Setiawati</t>
  </si>
  <si>
    <t>Ahmad Faisal</t>
  </si>
  <si>
    <t>Keyaan Abqari Faisal</t>
  </si>
  <si>
    <t>santyrahmawati78@gmail.com</t>
  </si>
  <si>
    <t>santy@ckd-otto.com</t>
  </si>
  <si>
    <t>102</t>
  </si>
  <si>
    <t>P25008</t>
  </si>
  <si>
    <t>Syarif Fadil</t>
  </si>
  <si>
    <t>Warehouse Operator</t>
  </si>
  <si>
    <t>Smk Ma’Arif NU Paguyangan</t>
  </si>
  <si>
    <t>Tehnik Kendaraan Ringan (Otomotif)</t>
  </si>
  <si>
    <t>PT. Bintang Toedjoe</t>
  </si>
  <si>
    <t>3329041412990005</t>
  </si>
  <si>
    <t>DK.Mungguhan RT.13.RW.01, Kel. Winduaji, Kec.Paguyangan, Kab. Brebes, Jawa Tengah, 52276</t>
  </si>
  <si>
    <t>Jl. Ujung Krawang RT. 12 RW. 05 Kel. Pulogebang Kec.Cakung Jakarta Timur, 13950</t>
  </si>
  <si>
    <t xml:space="preserve">088223843747 </t>
  </si>
  <si>
    <t>85.189.912.0-501.000</t>
  </si>
  <si>
    <t>7080433683</t>
  </si>
  <si>
    <t>M Syarif Fadil</t>
  </si>
  <si>
    <t>Siti Masruroh</t>
  </si>
  <si>
    <r>
      <t>msyariffadil1423@gmail.com</t>
    </r>
    <r>
      <rPr>
        <sz val="10"/>
        <color indexed="8"/>
        <rFont val="Calibri"/>
        <family val="2"/>
      </rPr>
      <t xml:space="preserve">    </t>
    </r>
  </si>
  <si>
    <t>103</t>
  </si>
  <si>
    <t>P25009</t>
  </si>
  <si>
    <t xml:space="preserve">Syafira Herfina </t>
  </si>
  <si>
    <t>Tarusan</t>
  </si>
  <si>
    <t>1508014709010001</t>
  </si>
  <si>
    <t>Talang Pantai, Kecamatan Bungo Dani, Kabupaten Bungo, Jambi, 37213</t>
  </si>
  <si>
    <t>087894076816</t>
  </si>
  <si>
    <t>5222377129</t>
  </si>
  <si>
    <t>Fitnawati JR</t>
  </si>
  <si>
    <t>syafiraherfina07@gmail.com</t>
  </si>
  <si>
    <t>104</t>
  </si>
  <si>
    <t>S25005</t>
  </si>
  <si>
    <t>Eugenia Sekar Aruna Larasati</t>
  </si>
  <si>
    <t>GB</t>
  </si>
  <si>
    <t>GB Spv</t>
  </si>
  <si>
    <t>Universitas Sanata Dharma</t>
  </si>
  <si>
    <t>3275126002990002</t>
  </si>
  <si>
    <t>Komp. Griya Agung Sentosa blok D1/no. 18, Jatimurni, Pondok Melati, Kota Bekasi</t>
  </si>
  <si>
    <t>081546170809</t>
  </si>
  <si>
    <t>43.939.793.6-447.000</t>
  </si>
  <si>
    <t>6871915978</t>
  </si>
  <si>
    <t>Adelina Simanungkalit</t>
  </si>
  <si>
    <t>eugenia.larasati@gmail.com/laras.sutanto@gmail.com</t>
  </si>
  <si>
    <t>eugenia@ckd-otto.com</t>
  </si>
  <si>
    <t>105</t>
  </si>
  <si>
    <t>S25006</t>
  </si>
  <si>
    <t>Yossi Sartika Pradiyani Putri</t>
  </si>
  <si>
    <t>Purwokerto</t>
  </si>
  <si>
    <t>University Muhammadiyah Purwokerto</t>
  </si>
  <si>
    <t>Nursing</t>
  </si>
  <si>
    <t>3303066212870001</t>
  </si>
  <si>
    <t>Sidabowa RT/RW 003/009, Patikraja, Banyumas, Jawa Tengah 53171</t>
  </si>
  <si>
    <t>085640363967</t>
  </si>
  <si>
    <t>68.514.914.8-529.000</t>
  </si>
  <si>
    <t>0970371397</t>
  </si>
  <si>
    <t>Ening Susmihandayani</t>
  </si>
  <si>
    <t>AGUS PITONO</t>
  </si>
  <si>
    <t>KANIYA NURFAIHA ZAHRA</t>
  </si>
  <si>
    <t>MEDINA SHAZFA AZZAHRA</t>
  </si>
  <si>
    <t>FARZAN AKHTAR SYABANI</t>
  </si>
  <si>
    <t xml:space="preserve">yossisartika388@gmail.com   </t>
  </si>
  <si>
    <t>yossi@ckd-otto.com</t>
  </si>
  <si>
    <t>106</t>
  </si>
  <si>
    <t>S25007</t>
  </si>
  <si>
    <t>Rasul Burhanuddin</t>
  </si>
  <si>
    <t>Makasar</t>
  </si>
  <si>
    <t>Barru</t>
  </si>
  <si>
    <t>University of Makasar</t>
  </si>
  <si>
    <t>PT. Etana Biotechnologies</t>
  </si>
  <si>
    <t>7371032001870003</t>
  </si>
  <si>
    <t>Perumahan Griya Darusalam Resat Pallantikang 92171</t>
  </si>
  <si>
    <t>K/3</t>
  </si>
  <si>
    <t>082197297 257</t>
  </si>
  <si>
    <t>54.082.320.0-805.000</t>
  </si>
  <si>
    <t>0250981694</t>
  </si>
  <si>
    <t>Nanda</t>
  </si>
  <si>
    <t>Dewi Sartika</t>
  </si>
  <si>
    <t>Muh. Fadhil Alqarni Ismail</t>
  </si>
  <si>
    <t xml:space="preserve">Najmah Haura Insyiah </t>
  </si>
  <si>
    <t>Muh Ar Rafif Ismail</t>
  </si>
  <si>
    <t>rasulburhanuddin@yahoo.com</t>
  </si>
  <si>
    <t>rasul@ckd-otto.com</t>
  </si>
  <si>
    <t>107</t>
  </si>
  <si>
    <t>P25010</t>
  </si>
  <si>
    <t>Albert Yusuf</t>
  </si>
  <si>
    <t>GA Assistant Manager</t>
  </si>
  <si>
    <t>Macrh</t>
  </si>
  <si>
    <t>University Singa Perbangsa Karawang</t>
  </si>
  <si>
    <t>PT. Bu Kwang Textile Indonesia</t>
  </si>
  <si>
    <t>3215030603820005</t>
  </si>
  <si>
    <r>
      <t xml:space="preserve">Perumnas Bumi Teluk Jambe Blok U No. 347, Desa. Sukaluyu, Kec. Teluk Jambe Barat. Karawang,   Zip Code / </t>
    </r>
    <r>
      <rPr>
        <i/>
        <sz val="10"/>
        <color indexed="8"/>
        <rFont val="Calibri"/>
        <family val="2"/>
      </rPr>
      <t>Kode Pos</t>
    </r>
    <r>
      <rPr>
        <sz val="10"/>
        <color indexed="8"/>
        <rFont val="Calibri"/>
        <family val="2"/>
      </rPr>
      <t xml:space="preserve"> :   41361     </t>
    </r>
  </si>
  <si>
    <t>K/2</t>
  </si>
  <si>
    <t xml:space="preserve">0812 8042 9530   </t>
  </si>
  <si>
    <t>09.282.085.1-408.000</t>
  </si>
  <si>
    <t>1090778486</t>
  </si>
  <si>
    <t>Ratna Juwita</t>
  </si>
  <si>
    <t>Priscanara Wibrajanti</t>
  </si>
  <si>
    <t>Gatva Tisti Khansa</t>
  </si>
  <si>
    <t>M. Zhafran H</t>
  </si>
  <si>
    <t>albert.yusuf@gmail.com</t>
  </si>
  <si>
    <t>albert@ckd-otto.com</t>
  </si>
  <si>
    <t>108</t>
  </si>
  <si>
    <t>P25011</t>
  </si>
  <si>
    <t>Rifazt Armand Muntaka</t>
  </si>
  <si>
    <t>ITB</t>
  </si>
  <si>
    <t>3671052205010002</t>
  </si>
  <si>
    <r>
      <t>Poris Indah Blok D no</t>
    </r>
    <r>
      <rPr>
        <sz val="10"/>
        <color indexed="8"/>
        <rFont val="Calibri"/>
        <family val="2"/>
      </rPr>
      <t>. 874, RT/RW 002/007, Kel. Cipondoh Indah, Kec. Cipondoh, Kota Tangerang, Prov. Banten</t>
    </r>
  </si>
  <si>
    <t>081511290020</t>
  </si>
  <si>
    <t>Jumini</t>
  </si>
  <si>
    <t>rifaztam22@gmail.com</t>
  </si>
  <si>
    <t>109</t>
  </si>
  <si>
    <t>S25008</t>
  </si>
  <si>
    <t>Muhammad Alvin Abdillah</t>
  </si>
  <si>
    <t>UNIVERSITY JENDERAL ACHMAD YANI</t>
  </si>
  <si>
    <t>Machine Engineering</t>
  </si>
  <si>
    <t>Tunas Ridean</t>
  </si>
  <si>
    <t>3277032609980005</t>
  </si>
  <si>
    <t>BUKIT CIMINDI RAYA BLOK P NO 7 KELURAHAN PASIRKALIKI KECAMATAN CIMAHI UTARA KOTA CIMAHI KODE POS: 40514</t>
  </si>
  <si>
    <t xml:space="preserve">087800091370    </t>
  </si>
  <si>
    <t>65.491.149.4-421.000</t>
  </si>
  <si>
    <t>2820297264</t>
  </si>
  <si>
    <t>YANI MULYANI</t>
  </si>
  <si>
    <t xml:space="preserve">alvinabdillah28@gmail.com    </t>
  </si>
  <si>
    <t>alvin@ckd-otto.com</t>
  </si>
  <si>
    <t>110</t>
  </si>
  <si>
    <t>P25012</t>
  </si>
  <si>
    <t xml:space="preserve">Ahmad Ghazali Alfarizi </t>
  </si>
  <si>
    <t>161101120600001</t>
  </si>
  <si>
    <t>Jl. Perintis I No. 13 , Karet, Setiabudi, Jakarta Selatan</t>
  </si>
  <si>
    <t xml:space="preserve">082193722023   </t>
  </si>
  <si>
    <t>8692709798</t>
  </si>
  <si>
    <t>Merry</t>
  </si>
  <si>
    <t xml:space="preserve">ahmadghazalialfarizi@gmail.com    </t>
  </si>
  <si>
    <t>111</t>
  </si>
  <si>
    <t>S25009</t>
  </si>
  <si>
    <t>Muhammad Ali</t>
  </si>
  <si>
    <t>Banjarmasin</t>
  </si>
  <si>
    <t>Diploma 3</t>
  </si>
  <si>
    <t>PROMED RAHARDJO</t>
  </si>
  <si>
    <t>6371040311820007</t>
  </si>
  <si>
    <t>JL CEMARA WUNG KOMP RAGA BUANA BLOK C RT 45 1 UTARA,BANJARMASIN UTARA,71025 KAUIMANTAN SELATAN</t>
  </si>
  <si>
    <t>081350063459</t>
  </si>
  <si>
    <t>248632721731000</t>
  </si>
  <si>
    <t>RUSNAWATI</t>
  </si>
  <si>
    <t>Novia Efliani</t>
  </si>
  <si>
    <t>Nailah Alya</t>
  </si>
  <si>
    <t>Muhammad Kaisan Ali</t>
  </si>
  <si>
    <t>allalimuhamad765@gmail.com</t>
  </si>
  <si>
    <t>m.ali@ckd-otto.com</t>
  </si>
  <si>
    <t>112</t>
  </si>
  <si>
    <t>P25013</t>
  </si>
  <si>
    <t>Apik Khautsart Miftah</t>
  </si>
  <si>
    <t>QC Sr. Staff</t>
  </si>
  <si>
    <t>Khon Kaen University</t>
  </si>
  <si>
    <t>Industrial Biotechnology</t>
  </si>
  <si>
    <t>Anvita Pharma Indonesia</t>
  </si>
  <si>
    <t>3674061102960006</t>
  </si>
  <si>
    <t xml:space="preserve">Perum Reni Jaya Jl. Bratasena II Blok BB No. 2, Pamulang, Tangerang 15416 </t>
  </si>
  <si>
    <t>082114955232</t>
  </si>
  <si>
    <t>70.984.816.2-411.000</t>
  </si>
  <si>
    <t>8801390749</t>
  </si>
  <si>
    <t>Nurhasniwati</t>
  </si>
  <si>
    <t>Apikkhautsart@gmail.com</t>
  </si>
  <si>
    <t>113</t>
  </si>
  <si>
    <t>A25001</t>
  </si>
  <si>
    <t>Ari Eko Susilo</t>
  </si>
  <si>
    <t>HR &amp; GA Supervisor</t>
  </si>
  <si>
    <t>Batang</t>
  </si>
  <si>
    <t>Psycology</t>
  </si>
  <si>
    <t>PT. Harmoni Panca Utama</t>
  </si>
  <si>
    <t>3325022401970005</t>
  </si>
  <si>
    <t>Dusun Pucanggading Utara RT/RW 02/03, Kelurahan Pucanggading, Kecamatan Bandar, Kabupaten Batang, Jawa Tengah, 51254</t>
  </si>
  <si>
    <t>Jl. Albarokah No. 11, RT/RW 003/006, Kuningan, Setiabudi, Jakarta Selatan 12940</t>
  </si>
  <si>
    <t>085755552423</t>
  </si>
  <si>
    <t>84.446.539.3-513.000</t>
  </si>
  <si>
    <t>2490967306</t>
  </si>
  <si>
    <t>Sutriyah</t>
  </si>
  <si>
    <t>ariekosusilo@gmail.com</t>
  </si>
  <si>
    <t>ari@ckd-otto.com</t>
  </si>
  <si>
    <t>114</t>
  </si>
  <si>
    <t>P25014</t>
  </si>
  <si>
    <t>Tryas Ega Pratiwi</t>
  </si>
  <si>
    <t>PKWT 1</t>
  </si>
  <si>
    <t>Chemical</t>
  </si>
  <si>
    <t>PT Nova Chemie Utama</t>
  </si>
  <si>
    <t>Suruhan, RT 006RW 006, Karangjati, Wonosegoro, Boyolali</t>
  </si>
  <si>
    <t>Jl. H. Jusin NO. 21, RT 013/ RW 014, Susukan, Ciracas, Jakarta Timur</t>
  </si>
  <si>
    <t>081328640743</t>
  </si>
  <si>
    <t>6281841162</t>
  </si>
  <si>
    <t>Sri Hartati</t>
  </si>
  <si>
    <t>115</t>
  </si>
  <si>
    <t>P25015</t>
  </si>
  <si>
    <t>Silvi Meirine Loalita</t>
  </si>
  <si>
    <t>QM Sr. Manager</t>
  </si>
  <si>
    <t>Bogor</t>
  </si>
  <si>
    <t>PT. Mega Lifesciences Indonesia</t>
  </si>
  <si>
    <t>3271015105840004</t>
  </si>
  <si>
    <t>Jalan Letjen Sutoyo, Cililitan,Kramat jati,JakartaTimur</t>
  </si>
  <si>
    <t>Harmony2,blokH12-62,BogorNirwanaResidence,Bogor</t>
  </si>
  <si>
    <t>0856-9027-520</t>
  </si>
  <si>
    <t xml:space="preserve"> 58.484.729.7-404.000</t>
  </si>
  <si>
    <t>7080252239</t>
  </si>
  <si>
    <t>PhanKahLien</t>
  </si>
  <si>
    <t>SuryaDinataPurnama</t>
  </si>
  <si>
    <t>Oswaldo Jaziel Purnama</t>
  </si>
  <si>
    <t>Flovelyn Katriel Purnama</t>
  </si>
  <si>
    <t>meirineloalita@gmail.com</t>
  </si>
  <si>
    <t>meirine@ckd-otto.com</t>
  </si>
  <si>
    <t>116</t>
  </si>
  <si>
    <t>A25002</t>
  </si>
  <si>
    <t>Mashudi</t>
  </si>
  <si>
    <t>IT Manager</t>
  </si>
  <si>
    <t>Univ Gunadarma</t>
  </si>
  <si>
    <t>Information System</t>
  </si>
  <si>
    <t>PT INTIKOM BERLIAN</t>
  </si>
  <si>
    <t>3674041002750008</t>
  </si>
  <si>
    <t>Jl Cendrawasih NO 4 5/6 . Cipayung Ciputat Tangerang Selatan, 15411</t>
  </si>
  <si>
    <t>Jl Bhakti No 40 001/007 Ciputat Tangerang Selatan</t>
  </si>
  <si>
    <t xml:space="preserve">081386999275 </t>
  </si>
  <si>
    <t>081297166882</t>
  </si>
  <si>
    <t>48.169.837.1-013.000</t>
  </si>
  <si>
    <t>6090176518</t>
  </si>
  <si>
    <t>Bandiah</t>
  </si>
  <si>
    <t>TANTI LATIFAH</t>
  </si>
  <si>
    <t>IZZAT INDILLAH</t>
  </si>
  <si>
    <t>FAUZAN SYAMIL</t>
  </si>
  <si>
    <t>ANISAH ZAHRA</t>
  </si>
  <si>
    <t>mashudi.zaini@yahoo.com</t>
  </si>
  <si>
    <t>mashudi@ckd-otto.com</t>
  </si>
  <si>
    <t>117</t>
  </si>
  <si>
    <t>P25016</t>
  </si>
  <si>
    <t>Joko Sambodo</t>
  </si>
  <si>
    <t>Validation Supervisor</t>
  </si>
  <si>
    <t>MUSTIKA RATU</t>
  </si>
  <si>
    <t>3216020711930009</t>
  </si>
  <si>
    <t xml:space="preserve">Ujung Harapan RT 006/015 Kel. Bahagia,  Kec. Babelan, Bekasi 17612 </t>
  </si>
  <si>
    <t>K/1</t>
  </si>
  <si>
    <t xml:space="preserve"> 0859106528828</t>
  </si>
  <si>
    <t>0859106821482</t>
  </si>
  <si>
    <t>46.827.608.4-435.000</t>
  </si>
  <si>
    <t>7411170199</t>
  </si>
  <si>
    <t>Suminah</t>
  </si>
  <si>
    <t>Rizka Fitriany Firdaus</t>
  </si>
  <si>
    <t>Dzakiya Aneira Rahmi</t>
  </si>
  <si>
    <t>jokosambodo07@gmail.com</t>
  </si>
  <si>
    <t>joko@ckd-otto.com</t>
  </si>
  <si>
    <t>118</t>
  </si>
  <si>
    <t>P25017</t>
  </si>
  <si>
    <t>Diana Yuliza Putri</t>
  </si>
  <si>
    <t>Lhokseumawe</t>
  </si>
  <si>
    <t>Institut Teknologi Bandung</t>
  </si>
  <si>
    <t>Pharmacist Professional (Apoteker)</t>
  </si>
  <si>
    <t>1173026507020001</t>
  </si>
  <si>
    <t xml:space="preserve">Jl. Kenari No. 91, Kec. Banda Sakti, Kota Lhokseumawe </t>
  </si>
  <si>
    <t>Jl. Kanayakan Baru No. 40, Kota Bandung</t>
  </si>
  <si>
    <t>082277259311</t>
  </si>
  <si>
    <t xml:space="preserve">081375533586 </t>
  </si>
  <si>
    <t>Mursyidah</t>
  </si>
  <si>
    <t>dyulizaputri@gmail.com</t>
  </si>
  <si>
    <t>119</t>
  </si>
  <si>
    <t>S25010</t>
  </si>
  <si>
    <t xml:space="preserve">Mochammad Nur Aidi Saputra </t>
  </si>
  <si>
    <t>SMAN 05 Jember</t>
  </si>
  <si>
    <t>MIPA</t>
  </si>
  <si>
    <t xml:space="preserve">PT. Etana Biotechnologies Indonesia </t>
  </si>
  <si>
    <t>3509201605000005</t>
  </si>
  <si>
    <t xml:space="preserve">Jl. Ledtjen Sutoyo, Perum d'kebonsari village blok sakura 4 no 16, Jember, 68122                     </t>
  </si>
  <si>
    <t>089686403464</t>
  </si>
  <si>
    <t>93.699.371.6-626.000</t>
  </si>
  <si>
    <t>0240697661</t>
  </si>
  <si>
    <t>Mochammad Nur Aidi Saputra</t>
  </si>
  <si>
    <t>Sutinah</t>
  </si>
  <si>
    <t>Putri Ayu Anggreini</t>
  </si>
  <si>
    <t>Shakierra Alysha Shidqiyah</t>
  </si>
  <si>
    <t>aidisaputra27900@gmail.com</t>
  </si>
  <si>
    <t>aidi@ckd-otto.com</t>
  </si>
  <si>
    <t>120</t>
  </si>
  <si>
    <t>S25011</t>
  </si>
  <si>
    <t>Yohanes Kurniawan Santoso</t>
  </si>
  <si>
    <t>Universitas 17 AGustus 1945</t>
  </si>
  <si>
    <t>PT Wellesta Cpi</t>
  </si>
  <si>
    <t>327315280779000</t>
  </si>
  <si>
    <t>Perumahan Gempol Asri, Jl. Gempol Asri Raya Baru 1 No 22B Bandung</t>
  </si>
  <si>
    <t xml:space="preserve">0817241132  </t>
  </si>
  <si>
    <t>087832270505</t>
  </si>
  <si>
    <t>48.662.437.2-422.000</t>
  </si>
  <si>
    <t>0094679032</t>
  </si>
  <si>
    <t>Naomi Herlina Santoso</t>
  </si>
  <si>
    <t xml:space="preserve">Maya Santoso           </t>
  </si>
  <si>
    <t xml:space="preserve">Nicholas Nathanael Santoso                                                                      </t>
  </si>
  <si>
    <t xml:space="preserve">Jeremiah Gerald Santoso                                                                      </t>
  </si>
  <si>
    <t>yohanesgempolasri@gmail.com</t>
  </si>
  <si>
    <t>yohanes@ckd-otto.com</t>
  </si>
  <si>
    <t>121</t>
  </si>
  <si>
    <t>S25013</t>
  </si>
  <si>
    <t>Ita Puspitasari</t>
  </si>
  <si>
    <t xml:space="preserve">Universitas Padjadjaran </t>
  </si>
  <si>
    <t>PT KALBIO GLOBAL MEDIKA</t>
  </si>
  <si>
    <t>3278096308910001</t>
  </si>
  <si>
    <t xml:space="preserve">Taman Sentosa D12/9, Kel. Pasirsari – Kec. Cikarang Selatan – Kab. Bekasi 17530  </t>
  </si>
  <si>
    <t xml:space="preserve">085793559509 </t>
  </si>
  <si>
    <t>085710111326</t>
  </si>
  <si>
    <t>70.773.334.1-425.000</t>
  </si>
  <si>
    <t>0540944652</t>
  </si>
  <si>
    <t xml:space="preserve"> Eti Rohayati </t>
  </si>
  <si>
    <t>Asrariandy Masda</t>
  </si>
  <si>
    <t xml:space="preserve">Alfi Brianta     </t>
  </si>
  <si>
    <t>Naira Zyan Latifa</t>
  </si>
  <si>
    <t>itapuspitasari23@gmail.com</t>
  </si>
  <si>
    <t>ita@ckd-otto.com</t>
  </si>
  <si>
    <t>122</t>
  </si>
  <si>
    <t>P26001</t>
  </si>
  <si>
    <t>Safira Dena Tsamratul Aini</t>
  </si>
  <si>
    <t>Chemistry</t>
  </si>
  <si>
    <t>3204057103940005</t>
  </si>
  <si>
    <t xml:space="preserve">Komplek Permata Biru blok AM no. 101, RT 07 RW 24, Cinunuk, Cileunyi, Kab. Bandung  </t>
  </si>
  <si>
    <t xml:space="preserve">08982931113  </t>
  </si>
  <si>
    <t xml:space="preserve"> 087722438555</t>
  </si>
  <si>
    <t>39.126.427.2-444.000</t>
  </si>
  <si>
    <t>2832881539</t>
  </si>
  <si>
    <t>Diana Romlah</t>
  </si>
  <si>
    <t>safiradta@gmail.com</t>
  </si>
  <si>
    <t>123</t>
  </si>
  <si>
    <t>P26003</t>
  </si>
  <si>
    <t>Ni Luh Putu Gita Chandrika Saraswati</t>
  </si>
  <si>
    <t>3276054602020007</t>
  </si>
  <si>
    <t xml:space="preserve"> Jln. Haji Kocen RT 1/6 No 76, Kalimulya, Cilodong, Depok, Jawa Barat</t>
  </si>
  <si>
    <t>081290322419</t>
  </si>
  <si>
    <t>6375065251</t>
  </si>
  <si>
    <t>Ni Made Kawi Adnyani</t>
  </si>
  <si>
    <t>Saraswatigita02@gmail.com</t>
  </si>
  <si>
    <t>124</t>
  </si>
  <si>
    <t>S26001</t>
  </si>
  <si>
    <t>Sri Wulan Rhamandhani</t>
  </si>
  <si>
    <t>Marketing Staff</t>
  </si>
  <si>
    <t>Secretary</t>
  </si>
  <si>
    <t>PT Wellesta</t>
  </si>
  <si>
    <t>3276036904870002</t>
  </si>
  <si>
    <t>Reni Jaya Blok D. 13 / 11 RT/RW 003/008, Pondok Petir, Bojong Sari</t>
  </si>
  <si>
    <t xml:space="preserve">081219257020  </t>
  </si>
  <si>
    <t>58.139.126.5-412.000</t>
  </si>
  <si>
    <t>6790265180</t>
  </si>
  <si>
    <t>Sri Wahyuni</t>
  </si>
  <si>
    <t xml:space="preserve">Wulan2929@gmail.com      </t>
  </si>
  <si>
    <t>125</t>
  </si>
  <si>
    <t>P26004</t>
  </si>
  <si>
    <t>Anis Fathonah Mahmudah</t>
  </si>
  <si>
    <t>Universitas Terbuka</t>
  </si>
  <si>
    <t>Food technology</t>
  </si>
  <si>
    <t>PT Sinar Alfa Omega</t>
  </si>
  <si>
    <t>3175054502020003</t>
  </si>
  <si>
    <t>Jl. H. Remaih RT/RW 004/007, Baru, Pasar Rebo</t>
  </si>
  <si>
    <t>089514500301</t>
  </si>
  <si>
    <t>1650567001</t>
  </si>
  <si>
    <t>Sartik</t>
  </si>
  <si>
    <t>anismahmudah66@gmail.com</t>
  </si>
  <si>
    <t>126</t>
  </si>
  <si>
    <t>P26005</t>
  </si>
  <si>
    <t>Lingsen Simamora</t>
  </si>
  <si>
    <t>Ujung Batu</t>
  </si>
  <si>
    <t>SMK</t>
  </si>
  <si>
    <t>PT CKD OTTO Pharmaceuticals</t>
  </si>
  <si>
    <t>1406113009960006</t>
  </si>
  <si>
    <t>Pemayungan rt 4 rw 0 kel pemayungan kec sumay</t>
  </si>
  <si>
    <t>081268827540</t>
  </si>
  <si>
    <t>80.414.912.8-221.000</t>
  </si>
  <si>
    <t>8705241275</t>
  </si>
  <si>
    <t xml:space="preserve">Mihon Br Lumban Gaol </t>
  </si>
  <si>
    <t xml:space="preserve"> Lingsensimamora1@gmail.com  </t>
  </si>
  <si>
    <t>127</t>
  </si>
  <si>
    <t>P26006</t>
  </si>
  <si>
    <t>Amelia Putri Zahro</t>
  </si>
  <si>
    <t>Kebumen</t>
  </si>
  <si>
    <t>Building Design, Modeling and Information</t>
  </si>
  <si>
    <t>PT Hexpharm Jaya</t>
  </si>
  <si>
    <t>3173044405020004</t>
  </si>
  <si>
    <t>Jl Padamulya III RT/RW 005/008, Angke, Tambora</t>
  </si>
  <si>
    <t xml:space="preserve"> 089525577548 </t>
  </si>
  <si>
    <t>60.964.575.9-033.000</t>
  </si>
  <si>
    <t>5222492122</t>
  </si>
  <si>
    <t xml:space="preserve">Ngadirah   </t>
  </si>
  <si>
    <t>ptramelia45@gmail.com</t>
  </si>
  <si>
    <t>128</t>
  </si>
  <si>
    <t>P26007</t>
  </si>
  <si>
    <t>Kardila</t>
  </si>
  <si>
    <t>SMA</t>
  </si>
  <si>
    <t>IPA</t>
  </si>
  <si>
    <t xml:space="preserve">PT Genero Pharmaceuticals </t>
  </si>
  <si>
    <t>3175054608950007</t>
  </si>
  <si>
    <t>Jl. Gandaria RT/RW 002/002, Pekayon, Pasar Rebo</t>
  </si>
  <si>
    <t>08978839464</t>
  </si>
  <si>
    <t>72.636.727.9-009.000</t>
  </si>
  <si>
    <t>1660653283</t>
  </si>
  <si>
    <t>Kasih</t>
  </si>
  <si>
    <t xml:space="preserve">Ikhsan Perdana </t>
  </si>
  <si>
    <t>kardila068@gmail.com</t>
  </si>
  <si>
    <t>129</t>
  </si>
  <si>
    <t>A26001</t>
  </si>
  <si>
    <t>Sanjaya Kusuma</t>
  </si>
  <si>
    <t>PAC Assistant Manager</t>
  </si>
  <si>
    <t>Tanjung Pinang</t>
  </si>
  <si>
    <t>STIE Kasih Bangsa</t>
  </si>
  <si>
    <t>PT Combiphar</t>
  </si>
  <si>
    <t>3173052804910008</t>
  </si>
  <si>
    <t>Jl. Dharma Wanita I RT/RW 011/001, Rawa Buaya, Cengkareng, Jakarat Barat 11740</t>
  </si>
  <si>
    <t>08999092949</t>
  </si>
  <si>
    <t>09.130.859.3-035.000</t>
  </si>
  <si>
    <t>4910354731</t>
  </si>
  <si>
    <t xml:space="preserve">Ernyjanti </t>
  </si>
  <si>
    <t xml:space="preserve">Roshita Septianti  </t>
  </si>
  <si>
    <t xml:space="preserve">Daviel Elvan Kusuma </t>
  </si>
  <si>
    <t>Hizel Ellard Kusuma</t>
  </si>
  <si>
    <t>sanjayakusuma@ymail.com</t>
  </si>
  <si>
    <t>sanjaya@ckd-otto.com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</si>
</sst>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 #,##0.00_-;_-* &quot;-&quot;??_-;_-@_-"/>
    <numFmt numFmtId="165" formatCode="_-* #,##0_-;\-* #,##0_-;_-* &quot;-&quot;??_-;_-@_-"/>
    <numFmt numFmtId="166" formatCode="dd\-mmm\-yy"/>
    <numFmt numFmtId="167" formatCode="_-* #,##0_-;\-* #,##0_-;_-* &quot;-&quot;_-;_-@_-"/>
    <numFmt numFmtId="168" formatCode="dd\-mmm\-yyyy"/>
    <numFmt numFmtId="169" formatCode="[$-409]mmmm\ d\,\ yyyy;@"/>
  </numFmts>
  <fonts count="32" x14ac:knownFonts="1">
    <font>
      <sz val="11"/>
      <color theme="1"/>
      <name val="Calibri"/>
      <family val="2"/>
      <scheme val="minor"/>
    </font>
    <font>
      <sz val="11"/>
      <color theme="1"/>
      <name val="Calibri"/>
      <family val="2"/>
      <scheme val="minor"/>
    </font>
    <font>
      <u/>
      <sz val="11"/>
      <color theme="10"/>
      <name val="Calibri"/>
      <family val="2"/>
      <scheme val="minor"/>
    </font>
    <font>
      <sz val="10"/>
      <name val="Arial"/>
      <family val="2"/>
    </font>
    <font>
      <sz val="10"/>
      <color theme="1"/>
      <name val="Calibri"/>
      <family val="2"/>
      <scheme val="minor"/>
    </font>
    <font>
      <sz val="10"/>
      <name val="Calibri"/>
      <family val="2"/>
      <scheme val="minor"/>
    </font>
    <font>
      <b/>
      <sz val="10"/>
      <name val="Calibri"/>
      <family val="2"/>
      <scheme val="minor"/>
    </font>
    <font>
      <sz val="10"/>
      <color rgb="FFFF0000"/>
      <name val="Calibri"/>
      <family val="2"/>
      <scheme val="minor"/>
    </font>
    <font>
      <b/>
      <u/>
      <sz val="10"/>
      <color theme="8" tint="-0.499984740745262"/>
      <name val="Calibri"/>
      <family val="2"/>
      <scheme val="minor"/>
    </font>
    <font>
      <u/>
      <sz val="10"/>
      <color theme="8" tint="-0.499984740745262"/>
      <name val="Calibri"/>
      <family val="2"/>
      <scheme val="minor"/>
    </font>
    <font>
      <sz val="10"/>
      <color theme="8" tint="-0.499984740745262"/>
      <name val="Calibri"/>
      <family val="2"/>
      <scheme val="minor"/>
    </font>
    <font>
      <sz val="10"/>
      <color rgb="FF3C4043"/>
      <name val="Calibri"/>
      <family val="2"/>
      <scheme val="minor"/>
    </font>
    <font>
      <b/>
      <u/>
      <sz val="10"/>
      <color theme="1"/>
      <name val="Calibri"/>
      <family val="2"/>
      <scheme val="minor"/>
    </font>
    <font>
      <b/>
      <u/>
      <sz val="10"/>
      <color rgb="FFFF0000"/>
      <name val="Calibri"/>
      <family val="2"/>
      <scheme val="minor"/>
    </font>
    <font>
      <b/>
      <sz val="10"/>
      <color theme="8" tint="-0.499984740745262"/>
      <name val="Calibri"/>
      <family val="2"/>
      <scheme val="minor"/>
    </font>
    <font>
      <u/>
      <sz val="10"/>
      <name val="Calibri"/>
      <family val="2"/>
      <scheme val="minor"/>
    </font>
    <font>
      <u/>
      <sz val="10"/>
      <color theme="10"/>
      <name val="Calibri"/>
      <family val="2"/>
      <scheme val="minor"/>
    </font>
    <font>
      <sz val="10"/>
      <color theme="10"/>
      <name val="Calibri"/>
      <family val="2"/>
      <scheme val="minor"/>
    </font>
    <font>
      <sz val="10"/>
      <color indexed="8"/>
      <name val="Calibri"/>
      <family val="2"/>
    </font>
    <font>
      <i/>
      <sz val="10"/>
      <color indexed="8"/>
      <name val="Calibri"/>
      <family val="2"/>
    </font>
    <font>
      <sz val="10"/>
      <color rgb="FF000000"/>
      <name val="Calibri"/>
      <family val="2"/>
      <scheme val="minor"/>
    </font>
    <font>
      <sz val="10"/>
      <color indexed="8"/>
      <name val="Calibri"/>
      <family val="2"/>
      <scheme val="minor"/>
    </font>
    <font>
      <sz val="12"/>
      <color theme="1"/>
      <name val="Times New Roman"/>
      <family val="1"/>
    </font>
    <font>
      <sz val="9"/>
      <color theme="1"/>
      <name val="Times New Roman"/>
      <family val="1"/>
    </font>
    <font>
      <sz val="11"/>
      <color theme="10"/>
      <name val="Calibri"/>
      <family val="2"/>
      <scheme val="minor"/>
    </font>
    <font>
      <sz val="10"/>
      <color theme="8"/>
      <name val="Calibri"/>
      <family val="2"/>
      <scheme val="minor"/>
    </font>
    <font>
      <b/>
      <sz val="9"/>
      <name val="Tahoma"/>
      <family val="2"/>
    </font>
    <font>
      <sz val="9"/>
      <name val="Tahoma"/>
      <family val="2"/>
    </font>
    <font>
      <b/>
      <sz val="9"/>
      <name val="Times New Roman"/>
      <family val="1"/>
    </font>
    <font>
      <sz val="9"/>
      <name val="Times New Roman"/>
      <family val="1"/>
    </font>
    <font>
      <b/>
      <sz val="9"/>
      <name val="Calibri"/>
      <family val="2"/>
    </font>
    <font>
      <sz val="9"/>
      <name val="Calibri"/>
      <family val="2"/>
    </font>
  </fonts>
  <fills count="3">
    <fill>
      <patternFill patternType="none"/>
    </fill>
    <fill>
      <patternFill patternType="gray125"/>
    </fill>
    <fill>
      <patternFill patternType="solid">
        <fgColor theme="4"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s>
  <cellStyleXfs count="8">
    <xf numFmtId="0" fontId="0" fillId="0" borderId="0"/>
    <xf numFmtId="164" fontId="1" fillId="0" borderId="0" applyFont="0" applyFill="0" applyBorder="0" applyAlignment="0" applyProtection="0"/>
    <xf numFmtId="167"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0"/>
    <xf numFmtId="167" fontId="3" fillId="0" borderId="0" applyFont="0" applyFill="0" applyBorder="0" applyAlignment="0" applyProtection="0"/>
    <xf numFmtId="0" fontId="1" fillId="0" borderId="0"/>
  </cellStyleXfs>
  <cellXfs count="140">
    <xf numFmtId="0" fontId="0" fillId="0" borderId="0" xfId="0"/>
    <xf numFmtId="0" fontId="4" fillId="0" borderId="0" xfId="5" applyFont="1" applyAlignment="1">
      <alignment horizontal="center" vertical="center"/>
    </xf>
    <xf numFmtId="0" fontId="5" fillId="0" borderId="0" xfId="5" applyFont="1" applyAlignment="1">
      <alignment horizontal="left" vertical="center"/>
    </xf>
    <xf numFmtId="9" fontId="5" fillId="0" borderId="0" xfId="5" applyNumberFormat="1" applyFont="1" applyAlignment="1">
      <alignment horizontal="left" vertical="center"/>
    </xf>
    <xf numFmtId="0" fontId="5" fillId="0" borderId="0" xfId="5" applyFont="1" applyAlignment="1">
      <alignment horizontal="center" vertical="center"/>
    </xf>
    <xf numFmtId="0" fontId="5" fillId="0" borderId="0" xfId="5" applyFont="1" applyAlignment="1">
      <alignment horizontal="left" vertical="center"/>
    </xf>
    <xf numFmtId="0" fontId="6" fillId="0" borderId="0" xfId="5" applyFont="1" applyAlignment="1">
      <alignment horizontal="left" vertical="center"/>
    </xf>
    <xf numFmtId="165" fontId="5" fillId="0" borderId="0" xfId="1" applyNumberFormat="1" applyFont="1" applyFill="1" applyBorder="1" applyAlignment="1">
      <alignment horizontal="left" vertical="center"/>
    </xf>
    <xf numFmtId="166" fontId="5" fillId="0" borderId="0" xfId="5" applyNumberFormat="1" applyFont="1" applyAlignment="1">
      <alignment horizontal="left" vertical="center"/>
    </xf>
    <xf numFmtId="0" fontId="7" fillId="0" borderId="0" xfId="5" applyFont="1" applyAlignment="1">
      <alignment horizontal="left" vertical="center"/>
    </xf>
    <xf numFmtId="0" fontId="6" fillId="0" borderId="0" xfId="5" applyFont="1" applyAlignment="1">
      <alignment horizontal="left" vertical="center"/>
    </xf>
    <xf numFmtId="0" fontId="8" fillId="0" borderId="0" xfId="5" applyFont="1" applyAlignment="1">
      <alignment horizontal="left" vertical="center"/>
    </xf>
    <xf numFmtId="0" fontId="9" fillId="0" borderId="0" xfId="5" applyFont="1" applyAlignment="1">
      <alignment horizontal="left" vertical="center"/>
    </xf>
    <xf numFmtId="0" fontId="8" fillId="0" borderId="0" xfId="5" applyFont="1" applyAlignment="1">
      <alignment horizontal="center" vertical="center"/>
    </xf>
    <xf numFmtId="0" fontId="10" fillId="0" borderId="0" xfId="5" applyFont="1" applyAlignment="1">
      <alignment horizontal="left" vertical="center"/>
    </xf>
    <xf numFmtId="0" fontId="8" fillId="0" borderId="0" xfId="5" quotePrefix="1" applyFont="1" applyAlignment="1">
      <alignment horizontal="center" vertical="center"/>
    </xf>
    <xf numFmtId="0" fontId="8" fillId="0" borderId="0" xfId="5" applyFont="1" applyAlignment="1">
      <alignment horizontal="center" vertical="center" wrapText="1"/>
    </xf>
    <xf numFmtId="0" fontId="10" fillId="0" borderId="0" xfId="5" applyFont="1" applyAlignment="1">
      <alignment horizontal="center" vertical="center"/>
    </xf>
    <xf numFmtId="165" fontId="10" fillId="0" borderId="0" xfId="1" applyNumberFormat="1" applyFont="1" applyFill="1" applyBorder="1" applyAlignment="1">
      <alignment horizontal="left" vertical="center"/>
    </xf>
    <xf numFmtId="167" fontId="4" fillId="0" borderId="0" xfId="0" applyNumberFormat="1" applyFont="1" applyAlignment="1">
      <alignment horizontal="left" vertical="center"/>
    </xf>
    <xf numFmtId="167" fontId="10" fillId="0" borderId="0" xfId="5" applyNumberFormat="1" applyFont="1" applyAlignment="1">
      <alignment horizontal="left" vertical="center"/>
    </xf>
    <xf numFmtId="10" fontId="10" fillId="0" borderId="0" xfId="3" applyNumberFormat="1" applyFont="1" applyBorder="1" applyAlignment="1">
      <alignment horizontal="left" vertical="center"/>
    </xf>
    <xf numFmtId="164" fontId="11" fillId="0" borderId="0" xfId="1" applyFont="1" applyBorder="1" applyAlignment="1">
      <alignment horizontal="left" vertical="center"/>
    </xf>
    <xf numFmtId="0" fontId="12" fillId="0" borderId="0" xfId="5" applyFont="1" applyAlignment="1">
      <alignment horizontal="left" vertical="center"/>
    </xf>
    <xf numFmtId="166" fontId="8" fillId="0" borderId="0" xfId="5" applyNumberFormat="1" applyFont="1" applyAlignment="1">
      <alignment horizontal="left" vertical="center"/>
    </xf>
    <xf numFmtId="0" fontId="13" fillId="0" borderId="0" xfId="5" applyFont="1" applyAlignment="1">
      <alignment horizontal="left" vertical="center"/>
    </xf>
    <xf numFmtId="166" fontId="10" fillId="0" borderId="0" xfId="5" applyNumberFormat="1" applyFont="1" applyAlignment="1">
      <alignment horizontal="left" vertical="center"/>
    </xf>
    <xf numFmtId="0" fontId="14" fillId="0" borderId="0" xfId="5" applyFont="1" applyAlignment="1">
      <alignment horizontal="left" vertical="center"/>
    </xf>
    <xf numFmtId="0" fontId="14" fillId="2" borderId="0" xfId="5" applyFont="1" applyFill="1" applyAlignment="1">
      <alignment horizontal="center" vertical="center"/>
    </xf>
    <xf numFmtId="0" fontId="6" fillId="0" borderId="0" xfId="5" applyFont="1" applyAlignment="1">
      <alignment horizontal="center" vertical="center"/>
    </xf>
    <xf numFmtId="0" fontId="14" fillId="0" borderId="0" xfId="5" applyFont="1" applyAlignment="1">
      <alignment horizontal="center" vertical="center"/>
    </xf>
    <xf numFmtId="167" fontId="14" fillId="0" borderId="0" xfId="5" applyNumberFormat="1" applyFont="1" applyAlignment="1">
      <alignment horizontal="left" vertical="center"/>
    </xf>
    <xf numFmtId="166" fontId="14" fillId="0" borderId="0" xfId="5" applyNumberFormat="1" applyFont="1" applyAlignment="1">
      <alignment horizontal="left" vertical="center"/>
    </xf>
    <xf numFmtId="0" fontId="5" fillId="0" borderId="0" xfId="5" quotePrefix="1" applyFont="1" applyAlignment="1">
      <alignment horizontal="left" vertical="center"/>
    </xf>
    <xf numFmtId="0" fontId="5" fillId="0" borderId="0" xfId="5" quotePrefix="1" applyFont="1" applyAlignment="1">
      <alignment horizontal="center" vertical="center"/>
    </xf>
    <xf numFmtId="0" fontId="6" fillId="2" borderId="1" xfId="5" applyFont="1" applyFill="1" applyBorder="1" applyAlignment="1">
      <alignment horizontal="center" vertical="center"/>
    </xf>
    <xf numFmtId="0" fontId="6" fillId="2" borderId="2" xfId="5" applyFont="1" applyFill="1" applyBorder="1" applyAlignment="1">
      <alignment horizontal="center" vertical="center"/>
    </xf>
    <xf numFmtId="0" fontId="6" fillId="2" borderId="1" xfId="5" applyFont="1" applyFill="1" applyBorder="1" applyAlignment="1">
      <alignment horizontal="center" vertical="center" wrapText="1"/>
    </xf>
    <xf numFmtId="0" fontId="6" fillId="2" borderId="3" xfId="5" applyFont="1" applyFill="1" applyBorder="1" applyAlignment="1">
      <alignment vertical="center"/>
    </xf>
    <xf numFmtId="0" fontId="6" fillId="2" borderId="4" xfId="5" applyFont="1" applyFill="1" applyBorder="1" applyAlignment="1">
      <alignment vertical="center"/>
    </xf>
    <xf numFmtId="0" fontId="6" fillId="2" borderId="5" xfId="5" applyFont="1" applyFill="1" applyBorder="1" applyAlignment="1">
      <alignment vertical="center"/>
    </xf>
    <xf numFmtId="0" fontId="6" fillId="2" borderId="1" xfId="5" applyFont="1" applyFill="1" applyBorder="1" applyAlignment="1">
      <alignment horizontal="center" vertical="center"/>
    </xf>
    <xf numFmtId="166" fontId="6" fillId="2" borderId="1" xfId="5" applyNumberFormat="1" applyFont="1" applyFill="1" applyBorder="1" applyAlignment="1">
      <alignment horizontal="center" vertical="center"/>
    </xf>
    <xf numFmtId="0" fontId="6" fillId="2" borderId="1" xfId="5" applyFont="1" applyFill="1" applyBorder="1" applyAlignment="1">
      <alignment horizontal="center" vertical="center" wrapText="1" shrinkToFit="1"/>
    </xf>
    <xf numFmtId="0" fontId="6" fillId="2" borderId="6" xfId="5" applyFont="1" applyFill="1" applyBorder="1" applyAlignment="1">
      <alignment horizontal="center" vertical="center"/>
    </xf>
    <xf numFmtId="0" fontId="6" fillId="2" borderId="1" xfId="5" applyFont="1" applyFill="1" applyBorder="1" applyAlignment="1">
      <alignment horizontal="center" vertical="center" wrapText="1"/>
    </xf>
    <xf numFmtId="0" fontId="5" fillId="0" borderId="1" xfId="6" quotePrefix="1" applyNumberFormat="1" applyFont="1" applyFill="1" applyBorder="1" applyAlignment="1" applyProtection="1">
      <alignment horizontal="center" vertical="center"/>
    </xf>
    <xf numFmtId="0" fontId="5" fillId="0" borderId="1" xfId="5" applyFont="1" applyBorder="1" applyAlignment="1">
      <alignment horizontal="left" vertical="center"/>
    </xf>
    <xf numFmtId="0" fontId="5" fillId="0" borderId="1" xfId="5" quotePrefix="1" applyFont="1" applyBorder="1" applyAlignment="1">
      <alignment horizontal="left" vertical="center"/>
    </xf>
    <xf numFmtId="168" fontId="5" fillId="0" borderId="1" xfId="0" applyNumberFormat="1" applyFont="1" applyBorder="1" applyAlignment="1">
      <alignment horizontal="left" vertical="center"/>
    </xf>
    <xf numFmtId="0" fontId="5" fillId="0" borderId="1" xfId="5" applyFont="1" applyBorder="1" applyAlignment="1">
      <alignment horizontal="center" vertical="center"/>
    </xf>
    <xf numFmtId="168" fontId="5" fillId="0" borderId="1" xfId="5" applyNumberFormat="1" applyFont="1" applyBorder="1" applyAlignment="1">
      <alignment horizontal="left" vertical="center"/>
    </xf>
    <xf numFmtId="168" fontId="5" fillId="0" borderId="1" xfId="5" quotePrefix="1" applyNumberFormat="1" applyFont="1" applyBorder="1" applyAlignment="1">
      <alignment horizontal="left" vertical="center"/>
    </xf>
    <xf numFmtId="0" fontId="5" fillId="0" borderId="3" xfId="5" applyFont="1" applyBorder="1" applyAlignment="1">
      <alignment horizontal="left" vertical="center"/>
    </xf>
    <xf numFmtId="0" fontId="5" fillId="0" borderId="1" xfId="5" applyFont="1" applyBorder="1" applyAlignment="1">
      <alignment horizontal="left" vertical="center" wrapText="1"/>
    </xf>
    <xf numFmtId="166" fontId="5" fillId="0" borderId="1" xfId="5" quotePrefix="1" applyNumberFormat="1" applyFont="1" applyBorder="1" applyAlignment="1">
      <alignment horizontal="left" vertical="center"/>
    </xf>
    <xf numFmtId="166" fontId="5" fillId="0" borderId="1" xfId="5" applyNumberFormat="1" applyFont="1" applyBorder="1" applyAlignment="1">
      <alignment horizontal="left" vertical="center"/>
    </xf>
    <xf numFmtId="37" fontId="5" fillId="0" borderId="1" xfId="5" applyNumberFormat="1" applyFont="1" applyBorder="1" applyAlignment="1">
      <alignment horizontal="left" vertical="center"/>
    </xf>
    <xf numFmtId="0" fontId="15" fillId="0" borderId="1" xfId="4" applyFont="1" applyFill="1" applyBorder="1" applyAlignment="1">
      <alignment horizontal="left" vertical="center"/>
    </xf>
    <xf numFmtId="0" fontId="5" fillId="0" borderId="1" xfId="0" applyFont="1" applyBorder="1" applyAlignment="1">
      <alignment horizontal="left" vertical="center"/>
    </xf>
    <xf numFmtId="169" fontId="5" fillId="0" borderId="1" xfId="0" applyNumberFormat="1" applyFont="1" applyBorder="1" applyAlignment="1">
      <alignment horizontal="left" vertical="center"/>
    </xf>
    <xf numFmtId="0" fontId="5" fillId="0" borderId="1" xfId="6" applyNumberFormat="1" applyFont="1" applyFill="1" applyBorder="1" applyAlignment="1" applyProtection="1">
      <alignment horizontal="left" vertical="center"/>
    </xf>
    <xf numFmtId="0" fontId="5" fillId="0" borderId="1" xfId="6" quotePrefix="1" applyNumberFormat="1" applyFont="1" applyFill="1" applyBorder="1" applyAlignment="1" applyProtection="1">
      <alignment horizontal="left" vertical="center"/>
    </xf>
    <xf numFmtId="0" fontId="5" fillId="0" borderId="3" xfId="6" quotePrefix="1" applyNumberFormat="1" applyFont="1" applyFill="1" applyBorder="1" applyAlignment="1" applyProtection="1">
      <alignment horizontal="left" vertical="center"/>
    </xf>
    <xf numFmtId="166" fontId="5" fillId="0" borderId="1" xfId="7" applyNumberFormat="1" applyFont="1" applyBorder="1" applyAlignment="1">
      <alignment horizontal="left" vertical="center"/>
    </xf>
    <xf numFmtId="167" fontId="5" fillId="0" borderId="1" xfId="2" quotePrefix="1" applyFont="1" applyFill="1" applyBorder="1" applyAlignment="1">
      <alignment horizontal="left" vertical="center"/>
    </xf>
    <xf numFmtId="0" fontId="15" fillId="0" borderId="1" xfId="4" applyFont="1" applyFill="1" applyBorder="1" applyAlignment="1" applyProtection="1">
      <alignment horizontal="left" vertical="center"/>
    </xf>
    <xf numFmtId="0" fontId="5" fillId="0" borderId="1" xfId="0" quotePrefix="1" applyFont="1" applyBorder="1" applyAlignment="1">
      <alignment horizontal="left" vertical="center"/>
    </xf>
    <xf numFmtId="0" fontId="5" fillId="0" borderId="1" xfId="5" quotePrefix="1" applyFont="1" applyBorder="1" applyAlignment="1">
      <alignment horizontal="left" vertical="center" wrapText="1"/>
    </xf>
    <xf numFmtId="169" fontId="5" fillId="0" borderId="1" xfId="0" quotePrefix="1" applyNumberFormat="1" applyFont="1" applyBorder="1" applyAlignment="1">
      <alignment horizontal="left" vertical="center"/>
    </xf>
    <xf numFmtId="0" fontId="5" fillId="0" borderId="3" xfId="5" quotePrefix="1" applyFont="1" applyBorder="1" applyAlignment="1">
      <alignment horizontal="left" vertical="center"/>
    </xf>
    <xf numFmtId="37" fontId="5" fillId="0" borderId="1" xfId="4" applyNumberFormat="1" applyFont="1" applyFill="1" applyBorder="1" applyAlignment="1">
      <alignment horizontal="left" vertical="center"/>
    </xf>
    <xf numFmtId="37" fontId="15" fillId="0" borderId="1" xfId="4" applyNumberFormat="1" applyFont="1" applyFill="1" applyBorder="1" applyAlignment="1">
      <alignment horizontal="left" vertical="center"/>
    </xf>
    <xf numFmtId="0" fontId="5" fillId="0" borderId="1" xfId="4" applyFont="1" applyFill="1" applyBorder="1" applyAlignment="1">
      <alignment horizontal="left" vertical="center"/>
    </xf>
    <xf numFmtId="0" fontId="5" fillId="0" borderId="1" xfId="4" applyFont="1" applyFill="1" applyBorder="1" applyAlignment="1">
      <alignment horizontal="left" vertical="center" wrapText="1"/>
    </xf>
    <xf numFmtId="49" fontId="5" fillId="0" borderId="3" xfId="5" applyNumberFormat="1" applyFont="1" applyBorder="1" applyAlignment="1">
      <alignment horizontal="left" vertical="center"/>
    </xf>
    <xf numFmtId="49" fontId="5" fillId="0" borderId="1" xfId="5" quotePrefix="1" applyNumberFormat="1" applyFont="1" applyBorder="1" applyAlignment="1">
      <alignment horizontal="left" vertical="center"/>
    </xf>
    <xf numFmtId="49" fontId="5" fillId="0" borderId="1" xfId="5" applyNumberFormat="1" applyFont="1" applyBorder="1" applyAlignment="1">
      <alignment horizontal="left" vertical="center"/>
    </xf>
    <xf numFmtId="0" fontId="5" fillId="0" borderId="3" xfId="6" applyNumberFormat="1" applyFont="1" applyFill="1" applyBorder="1" applyAlignment="1" applyProtection="1">
      <alignment horizontal="left" vertical="center"/>
    </xf>
    <xf numFmtId="49" fontId="5" fillId="0" borderId="3" xfId="5" quotePrefix="1" applyNumberFormat="1" applyFont="1" applyBorder="1" applyAlignment="1">
      <alignment horizontal="left" vertical="center"/>
    </xf>
    <xf numFmtId="49" fontId="5" fillId="0" borderId="3" xfId="0" applyNumberFormat="1" applyFont="1" applyBorder="1" applyAlignment="1">
      <alignment horizontal="left" vertical="center"/>
    </xf>
    <xf numFmtId="49" fontId="5" fillId="0" borderId="1" xfId="0" applyNumberFormat="1" applyFont="1" applyBorder="1" applyAlignment="1">
      <alignment horizontal="left" vertical="center"/>
    </xf>
    <xf numFmtId="0" fontId="15" fillId="0" borderId="1" xfId="4" quotePrefix="1" applyFont="1" applyFill="1" applyBorder="1" applyAlignment="1">
      <alignment horizontal="left" vertical="center"/>
    </xf>
    <xf numFmtId="0" fontId="5" fillId="0" borderId="3" xfId="0" applyFont="1" applyBorder="1" applyAlignment="1">
      <alignment horizontal="left" vertical="center"/>
    </xf>
    <xf numFmtId="166" fontId="5" fillId="0" borderId="1" xfId="0" applyNumberFormat="1" applyFont="1" applyBorder="1" applyAlignment="1">
      <alignment horizontal="left" vertical="center"/>
    </xf>
    <xf numFmtId="0" fontId="15" fillId="0" borderId="1" xfId="0" applyFont="1" applyBorder="1" applyAlignment="1">
      <alignment horizontal="left" vertical="center"/>
    </xf>
    <xf numFmtId="165" fontId="5" fillId="0" borderId="1" xfId="1" applyNumberFormat="1" applyFont="1" applyFill="1" applyBorder="1" applyAlignment="1" applyProtection="1">
      <alignment horizontal="left" vertical="center"/>
    </xf>
    <xf numFmtId="0" fontId="5" fillId="0" borderId="1" xfId="1" applyNumberFormat="1" applyFont="1" applyFill="1" applyBorder="1" applyAlignment="1" applyProtection="1">
      <alignment horizontal="left" vertical="center"/>
    </xf>
    <xf numFmtId="168" fontId="5" fillId="0" borderId="1" xfId="1" applyNumberFormat="1" applyFont="1" applyFill="1" applyBorder="1" applyAlignment="1" applyProtection="1">
      <alignment horizontal="left" vertical="center"/>
    </xf>
    <xf numFmtId="165" fontId="5" fillId="0" borderId="3" xfId="1" applyNumberFormat="1" applyFont="1" applyFill="1" applyBorder="1" applyAlignment="1" applyProtection="1">
      <alignment horizontal="left" vertical="center"/>
    </xf>
    <xf numFmtId="165" fontId="5" fillId="0" borderId="1" xfId="1" quotePrefix="1" applyNumberFormat="1" applyFont="1" applyFill="1" applyBorder="1" applyAlignment="1" applyProtection="1">
      <alignment horizontal="left" vertical="center"/>
    </xf>
    <xf numFmtId="168" fontId="5" fillId="0" borderId="1" xfId="1" quotePrefix="1" applyNumberFormat="1" applyFont="1" applyFill="1" applyBorder="1" applyAlignment="1" applyProtection="1">
      <alignment horizontal="left" vertical="center"/>
    </xf>
    <xf numFmtId="165" fontId="15" fillId="0" borderId="1" xfId="1" applyNumberFormat="1" applyFont="1" applyFill="1" applyBorder="1" applyAlignment="1" applyProtection="1">
      <alignment horizontal="left" vertical="center"/>
    </xf>
    <xf numFmtId="165" fontId="5" fillId="0" borderId="1" xfId="1" applyNumberFormat="1" applyFont="1" applyFill="1" applyBorder="1" applyAlignment="1">
      <alignment horizontal="left" vertical="center"/>
    </xf>
    <xf numFmtId="0" fontId="5" fillId="0" borderId="1" xfId="1" applyNumberFormat="1" applyFont="1" applyFill="1" applyBorder="1" applyAlignment="1">
      <alignment horizontal="left" vertical="center"/>
    </xf>
    <xf numFmtId="168" fontId="5" fillId="0" borderId="1" xfId="1" applyNumberFormat="1" applyFont="1" applyFill="1" applyBorder="1" applyAlignment="1">
      <alignment horizontal="left" vertical="center"/>
    </xf>
    <xf numFmtId="165" fontId="5" fillId="0" borderId="3" xfId="1" applyNumberFormat="1" applyFont="1" applyFill="1" applyBorder="1" applyAlignment="1">
      <alignment horizontal="left" vertical="center"/>
    </xf>
    <xf numFmtId="165" fontId="5" fillId="0" borderId="1" xfId="1" quotePrefix="1" applyNumberFormat="1" applyFont="1" applyFill="1" applyBorder="1" applyAlignment="1">
      <alignment horizontal="left" vertical="center"/>
    </xf>
    <xf numFmtId="165" fontId="15" fillId="0" borderId="1" xfId="1" applyNumberFormat="1" applyFont="1" applyFill="1" applyBorder="1" applyAlignment="1">
      <alignment horizontal="left" vertical="center"/>
    </xf>
    <xf numFmtId="165" fontId="5" fillId="0" borderId="1" xfId="1" applyNumberFormat="1" applyFont="1" applyFill="1" applyBorder="1" applyAlignment="1">
      <alignment horizontal="left" vertical="center" wrapText="1"/>
    </xf>
    <xf numFmtId="3" fontId="5" fillId="0" borderId="1" xfId="0" applyNumberFormat="1" applyFont="1" applyBorder="1" applyAlignment="1">
      <alignment horizontal="left" vertical="center"/>
    </xf>
    <xf numFmtId="168" fontId="5" fillId="0" borderId="1" xfId="0" quotePrefix="1" applyNumberFormat="1" applyFont="1" applyBorder="1" applyAlignment="1">
      <alignment horizontal="left" vertical="center"/>
    </xf>
    <xf numFmtId="3" fontId="5" fillId="0" borderId="1" xfId="5" applyNumberFormat="1" applyFont="1" applyBorder="1" applyAlignment="1">
      <alignment horizontal="left" vertical="center"/>
    </xf>
    <xf numFmtId="2" fontId="5" fillId="0" borderId="1" xfId="1" applyNumberFormat="1" applyFont="1" applyFill="1" applyBorder="1" applyAlignment="1">
      <alignment horizontal="left" vertical="center"/>
    </xf>
    <xf numFmtId="0" fontId="4" fillId="0" borderId="1" xfId="5" applyFont="1" applyBorder="1" applyAlignment="1">
      <alignment horizontal="left" vertical="center"/>
    </xf>
    <xf numFmtId="0" fontId="16" fillId="0" borderId="1" xfId="4" applyFont="1" applyBorder="1" applyAlignment="1">
      <alignment horizontal="left" vertical="center"/>
    </xf>
    <xf numFmtId="15" fontId="5" fillId="0" borderId="1" xfId="5" applyNumberFormat="1" applyFont="1" applyBorder="1" applyAlignment="1">
      <alignment horizontal="left" vertical="center"/>
    </xf>
    <xf numFmtId="0" fontId="4" fillId="0" borderId="1" xfId="5" quotePrefix="1" applyFont="1" applyBorder="1" applyAlignment="1">
      <alignment horizontal="left" vertical="center"/>
    </xf>
    <xf numFmtId="0" fontId="4" fillId="0" borderId="1" xfId="0" applyFont="1" applyBorder="1" applyAlignment="1">
      <alignment vertical="center"/>
    </xf>
    <xf numFmtId="0" fontId="17" fillId="0" borderId="1" xfId="4" applyFont="1" applyBorder="1" applyAlignment="1">
      <alignment horizontal="left" vertical="center"/>
    </xf>
    <xf numFmtId="0" fontId="17" fillId="0" borderId="1" xfId="4" applyFont="1" applyBorder="1" applyAlignment="1">
      <alignment vertical="center"/>
    </xf>
    <xf numFmtId="0" fontId="20" fillId="0" borderId="1" xfId="0" applyFont="1" applyBorder="1" applyAlignment="1">
      <alignment vertical="center"/>
    </xf>
    <xf numFmtId="0" fontId="7" fillId="0" borderId="1" xfId="5" applyFont="1" applyBorder="1" applyAlignment="1">
      <alignment horizontal="left" vertical="center"/>
    </xf>
    <xf numFmtId="0" fontId="20" fillId="0" borderId="1" xfId="0" applyFont="1" applyBorder="1" applyAlignment="1">
      <alignment horizontal="justify" vertical="center"/>
    </xf>
    <xf numFmtId="0" fontId="21" fillId="0" borderId="1" xfId="0" applyFont="1" applyBorder="1" applyAlignment="1">
      <alignment vertical="center"/>
    </xf>
    <xf numFmtId="0" fontId="4" fillId="0" borderId="1" xfId="0" applyFont="1" applyBorder="1"/>
    <xf numFmtId="0" fontId="22" fillId="0" borderId="1" xfId="0" applyFont="1" applyBorder="1"/>
    <xf numFmtId="0" fontId="23" fillId="0" borderId="1" xfId="0" applyFont="1" applyBorder="1" applyAlignment="1">
      <alignment vertical="center"/>
    </xf>
    <xf numFmtId="0" fontId="23" fillId="0" borderId="1" xfId="0" applyFont="1" applyBorder="1"/>
    <xf numFmtId="0" fontId="2" fillId="0" borderId="1" xfId="4" applyBorder="1" applyAlignment="1">
      <alignment horizontal="left" vertical="center"/>
    </xf>
    <xf numFmtId="0" fontId="0" fillId="0" borderId="1" xfId="0" applyBorder="1"/>
    <xf numFmtId="0" fontId="5" fillId="0" borderId="5" xfId="5" applyFont="1" applyBorder="1" applyAlignment="1">
      <alignment horizontal="left" vertical="center"/>
    </xf>
    <xf numFmtId="165" fontId="5" fillId="0" borderId="1" xfId="1" applyNumberFormat="1" applyFont="1" applyBorder="1" applyAlignment="1">
      <alignment horizontal="left" vertical="center"/>
    </xf>
    <xf numFmtId="0" fontId="5" fillId="0" borderId="2" xfId="5" applyFont="1" applyBorder="1" applyAlignment="1">
      <alignment horizontal="left" vertical="center"/>
    </xf>
    <xf numFmtId="15" fontId="5" fillId="0" borderId="2" xfId="5" applyNumberFormat="1" applyFont="1" applyBorder="1" applyAlignment="1">
      <alignment horizontal="left" vertical="center"/>
    </xf>
    <xf numFmtId="0" fontId="5" fillId="0" borderId="2" xfId="5" applyFont="1" applyBorder="1" applyAlignment="1">
      <alignment horizontal="center" vertical="center"/>
    </xf>
    <xf numFmtId="168" fontId="5" fillId="0" borderId="2" xfId="5" applyNumberFormat="1" applyFont="1" applyBorder="1" applyAlignment="1">
      <alignment horizontal="left" vertical="center"/>
    </xf>
    <xf numFmtId="168" fontId="5" fillId="0" borderId="2" xfId="0" applyNumberFormat="1" applyFont="1" applyBorder="1" applyAlignment="1">
      <alignment horizontal="left" vertical="center"/>
    </xf>
    <xf numFmtId="0" fontId="5" fillId="0" borderId="7" xfId="5" applyFont="1" applyBorder="1" applyAlignment="1">
      <alignment horizontal="left" vertical="center"/>
    </xf>
    <xf numFmtId="0" fontId="5" fillId="0" borderId="2" xfId="5" quotePrefix="1" applyFont="1" applyBorder="1" applyAlignment="1">
      <alignment horizontal="left" vertical="center"/>
    </xf>
    <xf numFmtId="0" fontId="4" fillId="0" borderId="2" xfId="5" quotePrefix="1" applyFont="1" applyBorder="1" applyAlignment="1">
      <alignment horizontal="left" vertical="center"/>
    </xf>
    <xf numFmtId="166" fontId="5" fillId="0" borderId="2" xfId="5" applyNumberFormat="1" applyFont="1" applyBorder="1" applyAlignment="1">
      <alignment horizontal="left" vertical="center"/>
    </xf>
    <xf numFmtId="165" fontId="5" fillId="0" borderId="2" xfId="1" applyNumberFormat="1" applyFont="1" applyBorder="1" applyAlignment="1">
      <alignment horizontal="left" vertical="center"/>
    </xf>
    <xf numFmtId="0" fontId="24" fillId="0" borderId="1" xfId="4" applyFont="1" applyBorder="1" applyAlignment="1">
      <alignment horizontal="left" vertical="center"/>
    </xf>
    <xf numFmtId="0" fontId="25" fillId="0" borderId="1" xfId="5" applyFont="1" applyBorder="1" applyAlignment="1">
      <alignment horizontal="left" vertical="center"/>
    </xf>
    <xf numFmtId="168" fontId="5" fillId="0" borderId="0" xfId="5" applyNumberFormat="1" applyFont="1" applyAlignment="1">
      <alignment horizontal="left" vertical="center"/>
    </xf>
    <xf numFmtId="0" fontId="4" fillId="0" borderId="0" xfId="5" applyFont="1" applyAlignment="1">
      <alignment horizontal="left" vertical="center"/>
    </xf>
    <xf numFmtId="165" fontId="6" fillId="0" borderId="0" xfId="1" applyNumberFormat="1" applyFont="1" applyBorder="1" applyAlignment="1">
      <alignment horizontal="left" vertical="center"/>
    </xf>
    <xf numFmtId="165" fontId="5" fillId="0" borderId="0" xfId="1" applyNumberFormat="1" applyFont="1" applyBorder="1" applyAlignment="1">
      <alignment horizontal="left" vertical="center"/>
    </xf>
    <xf numFmtId="169" fontId="4" fillId="0" borderId="0" xfId="0" applyNumberFormat="1" applyFont="1" applyAlignment="1">
      <alignment horizontal="left" vertical="center"/>
    </xf>
  </cellXfs>
  <cellStyles count="8">
    <cellStyle name="Comma" xfId="1" builtinId="3"/>
    <cellStyle name="Comma [0]" xfId="2" builtinId="6"/>
    <cellStyle name="Comma [0] 2 3" xfId="6" xr:uid="{97234297-6D78-4303-A8AE-A9B0322C5429}"/>
    <cellStyle name="Hyperlink" xfId="4" builtinId="8"/>
    <cellStyle name="Normal" xfId="0" builtinId="0"/>
    <cellStyle name="Normal 2 3 3" xfId="5" xr:uid="{D3B508DD-1BF6-4770-ACFE-361842F40C12}"/>
    <cellStyle name="Normal 4" xfId="7" xr:uid="{41BE4E20-4D12-4857-8699-8FA829AA08E5}"/>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calcChain" Target="calcChain.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28575</xdr:rowOff>
    </xdr:from>
    <xdr:to>
      <xdr:col>2</xdr:col>
      <xdr:colOff>323850</xdr:colOff>
      <xdr:row>2</xdr:row>
      <xdr:rowOff>28575</xdr:rowOff>
    </xdr:to>
    <xdr:pic>
      <xdr:nvPicPr>
        <xdr:cNvPr id="2" name="Picture 3">
          <a:extLst>
            <a:ext uri="{FF2B5EF4-FFF2-40B4-BE49-F238E27FC236}">
              <a16:creationId xmlns:a16="http://schemas.microsoft.com/office/drawing/2014/main" id="{E27E29AF-F86C-4041-8275-2D5724E10F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28575"/>
          <a:ext cx="13716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E:\AMZ_CKDO\%23DashboardAI\dashboard%20HRGA%20Doc\Employee%20Data%20PT%20CKD%20OTTO%20Pharmaceuticals.xls" TargetMode="External"/><Relationship Id="rId1" Type="http://schemas.openxmlformats.org/officeDocument/2006/relationships/externalLinkPath" Target="Employee%20Data%20PT%20CKD%20OTTO%20Pharmaceuticals.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hp/Documents/CKD%202016/Calender/Mr.%20Ferry/Calender%20Bp%20%20Ferry%20(2016).xls" TargetMode="External"/><Relationship Id="rId1" Type="http://schemas.openxmlformats.org/officeDocument/2006/relationships/externalLinkPath" Target="/Users/hp/Documents/CKD%202016/Calender/Mr.%20Ferry/Calender%20Bp%20%20Ferry%20(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warno\My%20Documents\DAILY%20ABSENSI\OKTOBER'13\ABSEN%20SEPT%20~%20OKT'13.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s/okky.PROSPECT/Desktop/PM/DATA%20KARYAWAN-%20NEW%20DATA.xlsx" TargetMode="External"/><Relationship Id="rId1" Type="http://schemas.openxmlformats.org/officeDocument/2006/relationships/externalLinkPath" Target="/Users/okky.PROSPECT/Desktop/PM/DATA%20KARYAWAN-%20NEW%20DATA.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ocuments/DATA%20KARYAWAN.xlsx" TargetMode="External"/><Relationship Id="rId1" Type="http://schemas.openxmlformats.org/officeDocument/2006/relationships/externalLinkPath" Target="/Documents/DATA%20KARYAW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Employee Data"/>
      <sheetName val="Resign"/>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an"/>
      <sheetName val="Feb"/>
      <sheetName val="Mar"/>
      <sheetName val="Apr"/>
      <sheetName val="May"/>
      <sheetName val="Jun"/>
      <sheetName val="Jul"/>
      <sheetName val="Aug"/>
      <sheetName val="Sep"/>
      <sheetName val="Oct"/>
      <sheetName val="Nov"/>
      <sheetName val="Dec"/>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ID"/>
      <sheetName val="23.09.13"/>
      <sheetName val="24.09.13"/>
      <sheetName val="25.09.13"/>
      <sheetName val="26.09.13"/>
      <sheetName val="27.09.13"/>
      <sheetName val="28.09.13"/>
      <sheetName val="29.09.13"/>
      <sheetName val="30.09.13"/>
      <sheetName val="01.10.13"/>
      <sheetName val="02.10.13"/>
      <sheetName val="03.10.13"/>
      <sheetName val="04.10.13"/>
      <sheetName val="05.10.13"/>
      <sheetName val="06.10.13"/>
      <sheetName val="07.10.13"/>
      <sheetName val="08.10.13"/>
      <sheetName val="09.10.13"/>
      <sheetName val="10.10.13"/>
      <sheetName val="11.10.13"/>
      <sheetName val="12.10.13"/>
      <sheetName val="13.10.13"/>
      <sheetName val="14.10.13"/>
      <sheetName val="15.10.13"/>
      <sheetName val="16.10.13"/>
      <sheetName val="17.10.13"/>
      <sheetName val="18.10.13"/>
      <sheetName val="19.10.13"/>
      <sheetName val="20.10.13"/>
      <sheetName val="21.10.13"/>
      <sheetName val="22.10.13"/>
      <sheetName val="blank"/>
      <sheetName val="JAM KEJA"/>
      <sheetName val="LATE"/>
      <sheetName val="Sheet3"/>
      <sheetName val="TLT"/>
      <sheetName val="ABSEN KARTU &amp; ROOSTER"/>
      <sheetName val="UM JU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1">
          <cell r="B1">
            <v>0</v>
          </cell>
          <cell r="C1">
            <v>0</v>
          </cell>
        </row>
        <row r="2">
          <cell r="B2">
            <v>6.9444444444444447E-4</v>
          </cell>
          <cell r="C2">
            <v>0</v>
          </cell>
        </row>
        <row r="3">
          <cell r="B3">
            <v>1.3888888888888889E-3</v>
          </cell>
          <cell r="C3">
            <v>0</v>
          </cell>
        </row>
        <row r="4">
          <cell r="B4">
            <v>2.0833333333333333E-3</v>
          </cell>
          <cell r="C4">
            <v>0</v>
          </cell>
        </row>
        <row r="5">
          <cell r="B5">
            <v>2.7777777777777779E-3</v>
          </cell>
          <cell r="C5">
            <v>0</v>
          </cell>
        </row>
        <row r="6">
          <cell r="B6">
            <v>3.4722222222222225E-3</v>
          </cell>
          <cell r="C6">
            <v>0</v>
          </cell>
        </row>
        <row r="7">
          <cell r="B7">
            <v>4.1666666666666666E-3</v>
          </cell>
          <cell r="C7">
            <v>0</v>
          </cell>
        </row>
        <row r="8">
          <cell r="B8">
            <v>4.8611111111111112E-3</v>
          </cell>
          <cell r="C8">
            <v>0</v>
          </cell>
        </row>
        <row r="9">
          <cell r="B9">
            <v>5.5555555555555558E-3</v>
          </cell>
          <cell r="C9">
            <v>0</v>
          </cell>
        </row>
        <row r="10">
          <cell r="B10">
            <v>6.2500000000000003E-3</v>
          </cell>
          <cell r="C10">
            <v>0</v>
          </cell>
        </row>
        <row r="11">
          <cell r="B11">
            <v>6.9444444444444449E-3</v>
          </cell>
          <cell r="C11">
            <v>0</v>
          </cell>
        </row>
        <row r="12">
          <cell r="B12">
            <v>7.6388888888888895E-3</v>
          </cell>
          <cell r="C12">
            <v>0</v>
          </cell>
        </row>
        <row r="13">
          <cell r="B13">
            <v>8.3333333333333332E-3</v>
          </cell>
          <cell r="C13">
            <v>0</v>
          </cell>
        </row>
        <row r="14">
          <cell r="B14">
            <v>9.0277777777777769E-3</v>
          </cell>
          <cell r="C14">
            <v>0</v>
          </cell>
        </row>
        <row r="15">
          <cell r="B15">
            <v>9.7222222222222206E-3</v>
          </cell>
          <cell r="C15">
            <v>0</v>
          </cell>
        </row>
        <row r="16">
          <cell r="B16">
            <v>1.0416666666666664E-2</v>
          </cell>
          <cell r="C16">
            <v>0</v>
          </cell>
        </row>
        <row r="17">
          <cell r="B17">
            <v>1.1111111111111108E-2</v>
          </cell>
          <cell r="C17">
            <v>0</v>
          </cell>
        </row>
        <row r="18">
          <cell r="B18">
            <v>1.1805555555555552E-2</v>
          </cell>
          <cell r="C18">
            <v>0</v>
          </cell>
        </row>
        <row r="19">
          <cell r="B19">
            <v>1.2499999999999995E-2</v>
          </cell>
          <cell r="C19">
            <v>0</v>
          </cell>
        </row>
        <row r="20">
          <cell r="B20">
            <v>1.3194444444444439E-2</v>
          </cell>
          <cell r="C20">
            <v>0</v>
          </cell>
        </row>
        <row r="21">
          <cell r="B21">
            <v>1.3888888888888883E-2</v>
          </cell>
          <cell r="C21">
            <v>0</v>
          </cell>
        </row>
        <row r="22">
          <cell r="B22">
            <v>1.4583333333333327E-2</v>
          </cell>
          <cell r="C22">
            <v>0</v>
          </cell>
        </row>
        <row r="23">
          <cell r="B23">
            <v>1.527777777777777E-2</v>
          </cell>
          <cell r="C23">
            <v>0</v>
          </cell>
        </row>
        <row r="24">
          <cell r="B24">
            <v>1.5972222222222214E-2</v>
          </cell>
          <cell r="C24">
            <v>0</v>
          </cell>
        </row>
        <row r="25">
          <cell r="B25">
            <v>1.6666666666666659E-2</v>
          </cell>
          <cell r="C25">
            <v>0</v>
          </cell>
        </row>
        <row r="26">
          <cell r="B26">
            <v>1.7361111111111105E-2</v>
          </cell>
          <cell r="C26">
            <v>0.5</v>
          </cell>
        </row>
        <row r="27">
          <cell r="B27">
            <v>1.805555555555555E-2</v>
          </cell>
          <cell r="C27">
            <v>0.5</v>
          </cell>
        </row>
        <row r="28">
          <cell r="B28">
            <v>1.8749999999999996E-2</v>
          </cell>
          <cell r="C28">
            <v>0.5</v>
          </cell>
        </row>
        <row r="29">
          <cell r="B29">
            <v>1.9444444444444441E-2</v>
          </cell>
          <cell r="C29">
            <v>0.5</v>
          </cell>
        </row>
        <row r="30">
          <cell r="B30">
            <v>2.0138888888888887E-2</v>
          </cell>
          <cell r="C30">
            <v>0.5</v>
          </cell>
        </row>
        <row r="31">
          <cell r="B31">
            <v>2.0833333333333332E-2</v>
          </cell>
          <cell r="C31">
            <v>0.5</v>
          </cell>
        </row>
        <row r="32">
          <cell r="B32">
            <v>2.1527777777777778E-2</v>
          </cell>
          <cell r="C32">
            <v>0.5</v>
          </cell>
        </row>
        <row r="33">
          <cell r="B33">
            <v>2.2222222222222223E-2</v>
          </cell>
          <cell r="C33">
            <v>0.5</v>
          </cell>
        </row>
        <row r="34">
          <cell r="B34">
            <v>2.2916666666666669E-2</v>
          </cell>
          <cell r="C34">
            <v>0.5</v>
          </cell>
        </row>
        <row r="35">
          <cell r="B35">
            <v>2.3611111111111114E-2</v>
          </cell>
          <cell r="C35">
            <v>0.5</v>
          </cell>
        </row>
        <row r="36">
          <cell r="B36">
            <v>2.4305555555555559E-2</v>
          </cell>
          <cell r="C36">
            <v>0.5</v>
          </cell>
        </row>
        <row r="37">
          <cell r="B37">
            <v>2.5000000000000005E-2</v>
          </cell>
          <cell r="C37">
            <v>0.5</v>
          </cell>
        </row>
        <row r="38">
          <cell r="B38">
            <v>2.569444444444445E-2</v>
          </cell>
          <cell r="C38">
            <v>0.5</v>
          </cell>
        </row>
        <row r="39">
          <cell r="B39">
            <v>2.6388888888888896E-2</v>
          </cell>
          <cell r="C39">
            <v>0.5</v>
          </cell>
        </row>
        <row r="40">
          <cell r="B40">
            <v>2.7083333333333341E-2</v>
          </cell>
          <cell r="C40">
            <v>0.5</v>
          </cell>
        </row>
        <row r="41">
          <cell r="B41">
            <v>2.7777777777777787E-2</v>
          </cell>
          <cell r="C41">
            <v>0.5</v>
          </cell>
        </row>
        <row r="42">
          <cell r="B42">
            <v>2.8472222222222232E-2</v>
          </cell>
          <cell r="C42">
            <v>0.5</v>
          </cell>
        </row>
        <row r="43">
          <cell r="B43">
            <v>2.9166666666666678E-2</v>
          </cell>
          <cell r="C43">
            <v>0.5</v>
          </cell>
        </row>
        <row r="44">
          <cell r="B44">
            <v>2.9861111111111123E-2</v>
          </cell>
          <cell r="C44">
            <v>0.5</v>
          </cell>
        </row>
        <row r="45">
          <cell r="B45">
            <v>3.0555555555555568E-2</v>
          </cell>
          <cell r="C45">
            <v>0.5</v>
          </cell>
        </row>
        <row r="46">
          <cell r="B46">
            <v>3.1250000000000014E-2</v>
          </cell>
          <cell r="C46">
            <v>0.5</v>
          </cell>
        </row>
        <row r="47">
          <cell r="B47">
            <v>3.1944444444444456E-2</v>
          </cell>
          <cell r="C47">
            <v>0.5</v>
          </cell>
        </row>
        <row r="48">
          <cell r="B48">
            <v>3.2638888888888898E-2</v>
          </cell>
          <cell r="C48">
            <v>0.5</v>
          </cell>
        </row>
        <row r="49">
          <cell r="B49">
            <v>3.333333333333334E-2</v>
          </cell>
          <cell r="C49">
            <v>0.5</v>
          </cell>
        </row>
        <row r="50">
          <cell r="B50">
            <v>3.4027777777777782E-2</v>
          </cell>
          <cell r="C50">
            <v>0.5</v>
          </cell>
        </row>
        <row r="51">
          <cell r="B51">
            <v>3.4722222222222224E-2</v>
          </cell>
          <cell r="C51">
            <v>0.5</v>
          </cell>
        </row>
        <row r="52">
          <cell r="B52">
            <v>3.5416666666666666E-2</v>
          </cell>
          <cell r="C52">
            <v>0.5</v>
          </cell>
        </row>
        <row r="53">
          <cell r="B53">
            <v>3.6111111111111108E-2</v>
          </cell>
          <cell r="C53">
            <v>0.5</v>
          </cell>
        </row>
        <row r="54">
          <cell r="B54">
            <v>3.680555555555555E-2</v>
          </cell>
          <cell r="C54">
            <v>0.5</v>
          </cell>
        </row>
        <row r="55">
          <cell r="B55">
            <v>3.7499999999999992E-2</v>
          </cell>
          <cell r="C55">
            <v>0.5</v>
          </cell>
        </row>
        <row r="56">
          <cell r="B56">
            <v>3.8194444444444434E-2</v>
          </cell>
          <cell r="C56">
            <v>1</v>
          </cell>
        </row>
        <row r="57">
          <cell r="B57">
            <v>3.8888888888888876E-2</v>
          </cell>
          <cell r="C57">
            <v>1</v>
          </cell>
        </row>
        <row r="58">
          <cell r="B58">
            <v>3.9583333333333318E-2</v>
          </cell>
          <cell r="C58">
            <v>1</v>
          </cell>
        </row>
        <row r="59">
          <cell r="B59">
            <v>4.027777777777776E-2</v>
          </cell>
          <cell r="C59">
            <v>1</v>
          </cell>
        </row>
        <row r="60">
          <cell r="B60">
            <v>4.0972222222222202E-2</v>
          </cell>
          <cell r="C60">
            <v>1</v>
          </cell>
        </row>
        <row r="61">
          <cell r="B61">
            <v>4.1666666666666644E-2</v>
          </cell>
          <cell r="C61">
            <v>1</v>
          </cell>
        </row>
        <row r="62">
          <cell r="B62">
            <v>4.2361111111111086E-2</v>
          </cell>
          <cell r="C62">
            <v>1</v>
          </cell>
        </row>
        <row r="63">
          <cell r="B63">
            <v>4.3055555555555527E-2</v>
          </cell>
          <cell r="C63">
            <v>1</v>
          </cell>
        </row>
        <row r="64">
          <cell r="B64">
            <v>4.3749999999999969E-2</v>
          </cell>
          <cell r="C64">
            <v>1</v>
          </cell>
        </row>
        <row r="65">
          <cell r="B65">
            <v>4.4444444444444411E-2</v>
          </cell>
          <cell r="C65">
            <v>1</v>
          </cell>
        </row>
        <row r="66">
          <cell r="B66">
            <v>4.5138888888888853E-2</v>
          </cell>
          <cell r="C66">
            <v>1</v>
          </cell>
        </row>
        <row r="67">
          <cell r="B67">
            <v>4.5833333333333295E-2</v>
          </cell>
          <cell r="C67">
            <v>1</v>
          </cell>
        </row>
        <row r="68">
          <cell r="B68">
            <v>4.6527777777777737E-2</v>
          </cell>
          <cell r="C68">
            <v>1</v>
          </cell>
        </row>
        <row r="69">
          <cell r="B69">
            <v>4.7222222222222179E-2</v>
          </cell>
          <cell r="C69">
            <v>1</v>
          </cell>
        </row>
        <row r="70">
          <cell r="B70">
            <v>4.7916666666666621E-2</v>
          </cell>
          <cell r="C70">
            <v>1</v>
          </cell>
        </row>
        <row r="71">
          <cell r="B71">
            <v>4.8611111111111063E-2</v>
          </cell>
          <cell r="C71">
            <v>1</v>
          </cell>
        </row>
        <row r="72">
          <cell r="B72">
            <v>4.9305555555555505E-2</v>
          </cell>
          <cell r="C72">
            <v>1</v>
          </cell>
        </row>
        <row r="73">
          <cell r="B73">
            <v>4.9999999999999947E-2</v>
          </cell>
          <cell r="C73">
            <v>1</v>
          </cell>
        </row>
        <row r="74">
          <cell r="B74">
            <v>5.0694444444444389E-2</v>
          </cell>
          <cell r="C74">
            <v>1</v>
          </cell>
        </row>
        <row r="75">
          <cell r="B75">
            <v>5.1388888888888831E-2</v>
          </cell>
          <cell r="C75">
            <v>1</v>
          </cell>
        </row>
        <row r="76">
          <cell r="B76">
            <v>5.2083333333333273E-2</v>
          </cell>
          <cell r="C76">
            <v>1</v>
          </cell>
        </row>
        <row r="77">
          <cell r="B77">
            <v>5.2777777777777715E-2</v>
          </cell>
          <cell r="C77">
            <v>1</v>
          </cell>
        </row>
        <row r="78">
          <cell r="B78">
            <v>5.3472222222222157E-2</v>
          </cell>
          <cell r="C78">
            <v>1</v>
          </cell>
        </row>
        <row r="79">
          <cell r="B79">
            <v>5.4166666666666599E-2</v>
          </cell>
          <cell r="C79">
            <v>1</v>
          </cell>
        </row>
        <row r="80">
          <cell r="B80">
            <v>5.4861111111111041E-2</v>
          </cell>
          <cell r="C80">
            <v>1</v>
          </cell>
        </row>
        <row r="81">
          <cell r="B81">
            <v>5.5555555555555483E-2</v>
          </cell>
          <cell r="C81">
            <v>1</v>
          </cell>
        </row>
        <row r="82">
          <cell r="B82">
            <v>5.6249999999999925E-2</v>
          </cell>
          <cell r="C82">
            <v>1</v>
          </cell>
        </row>
        <row r="83">
          <cell r="B83">
            <v>5.6944444444444367E-2</v>
          </cell>
          <cell r="C83">
            <v>1</v>
          </cell>
        </row>
        <row r="84">
          <cell r="B84">
            <v>5.7638888888888809E-2</v>
          </cell>
          <cell r="C84">
            <v>1</v>
          </cell>
        </row>
        <row r="85">
          <cell r="B85">
            <v>5.8333333333333251E-2</v>
          </cell>
          <cell r="C85">
            <v>1</v>
          </cell>
        </row>
        <row r="86">
          <cell r="B86">
            <v>5.9027777777777693E-2</v>
          </cell>
          <cell r="C86">
            <v>1.5</v>
          </cell>
        </row>
        <row r="87">
          <cell r="B87">
            <v>5.9722222222222135E-2</v>
          </cell>
          <cell r="C87">
            <v>1.5</v>
          </cell>
        </row>
        <row r="88">
          <cell r="B88">
            <v>6.0416666666666577E-2</v>
          </cell>
          <cell r="C88">
            <v>1.5</v>
          </cell>
        </row>
        <row r="89">
          <cell r="B89">
            <v>6.1111111111111019E-2</v>
          </cell>
          <cell r="C89">
            <v>1.5</v>
          </cell>
        </row>
        <row r="90">
          <cell r="B90">
            <v>6.1805555555555461E-2</v>
          </cell>
          <cell r="C90">
            <v>1.5</v>
          </cell>
        </row>
        <row r="91">
          <cell r="B91">
            <v>6.2499999999999903E-2</v>
          </cell>
          <cell r="C91">
            <v>1.5</v>
          </cell>
        </row>
        <row r="92">
          <cell r="B92">
            <v>6.3194444444444345E-2</v>
          </cell>
          <cell r="C92">
            <v>1.5</v>
          </cell>
        </row>
        <row r="93">
          <cell r="B93">
            <v>6.3888888888888787E-2</v>
          </cell>
          <cell r="C93">
            <v>1.5</v>
          </cell>
        </row>
        <row r="94">
          <cell r="B94">
            <v>6.4583333333333229E-2</v>
          </cell>
          <cell r="C94">
            <v>1.5</v>
          </cell>
        </row>
        <row r="95">
          <cell r="B95">
            <v>6.5277777777777671E-2</v>
          </cell>
          <cell r="C95">
            <v>1.5</v>
          </cell>
        </row>
        <row r="96">
          <cell r="B96">
            <v>6.5972222222222113E-2</v>
          </cell>
          <cell r="C96">
            <v>1.5</v>
          </cell>
        </row>
        <row r="97">
          <cell r="B97">
            <v>6.6666666666666555E-2</v>
          </cell>
          <cell r="C97">
            <v>1.5</v>
          </cell>
        </row>
        <row r="98">
          <cell r="B98">
            <v>6.7361111111110997E-2</v>
          </cell>
          <cell r="C98">
            <v>1.5</v>
          </cell>
        </row>
        <row r="99">
          <cell r="B99">
            <v>6.8055555555555439E-2</v>
          </cell>
          <cell r="C99">
            <v>1.5</v>
          </cell>
        </row>
        <row r="100">
          <cell r="B100">
            <v>6.8749999999999881E-2</v>
          </cell>
          <cell r="C100">
            <v>1.5</v>
          </cell>
        </row>
        <row r="101">
          <cell r="B101">
            <v>6.9444444444444323E-2</v>
          </cell>
          <cell r="C101">
            <v>1.5</v>
          </cell>
        </row>
        <row r="102">
          <cell r="B102">
            <v>7.0138888888888765E-2</v>
          </cell>
          <cell r="C102">
            <v>1.5</v>
          </cell>
        </row>
        <row r="103">
          <cell r="B103">
            <v>7.0833333333333207E-2</v>
          </cell>
          <cell r="C103">
            <v>1.5</v>
          </cell>
        </row>
        <row r="104">
          <cell r="B104">
            <v>7.1527777777777649E-2</v>
          </cell>
          <cell r="C104">
            <v>1.5</v>
          </cell>
        </row>
        <row r="105">
          <cell r="B105">
            <v>7.2222222222222091E-2</v>
          </cell>
          <cell r="C105">
            <v>1.5</v>
          </cell>
        </row>
        <row r="106">
          <cell r="B106">
            <v>7.2916666666666533E-2</v>
          </cell>
          <cell r="C106">
            <v>1.5</v>
          </cell>
        </row>
        <row r="107">
          <cell r="B107">
            <v>7.3611111111110974E-2</v>
          </cell>
          <cell r="C107">
            <v>1.5</v>
          </cell>
        </row>
        <row r="108">
          <cell r="B108">
            <v>7.4305555555555416E-2</v>
          </cell>
          <cell r="C108">
            <v>1.5</v>
          </cell>
        </row>
        <row r="109">
          <cell r="B109">
            <v>7.4999999999999858E-2</v>
          </cell>
          <cell r="C109">
            <v>1.5</v>
          </cell>
        </row>
        <row r="110">
          <cell r="B110">
            <v>7.56944444444443E-2</v>
          </cell>
          <cell r="C110">
            <v>1.5</v>
          </cell>
        </row>
        <row r="111">
          <cell r="B111">
            <v>7.6388888888888742E-2</v>
          </cell>
          <cell r="C111">
            <v>1.5</v>
          </cell>
        </row>
        <row r="112">
          <cell r="B112">
            <v>7.7083333333333184E-2</v>
          </cell>
          <cell r="C112">
            <v>1.5</v>
          </cell>
        </row>
        <row r="113">
          <cell r="B113">
            <v>7.7777777777777626E-2</v>
          </cell>
          <cell r="C113">
            <v>1.5</v>
          </cell>
        </row>
        <row r="114">
          <cell r="B114">
            <v>7.8472222222222068E-2</v>
          </cell>
          <cell r="C114">
            <v>1.5</v>
          </cell>
        </row>
        <row r="115">
          <cell r="B115">
            <v>7.916666666666651E-2</v>
          </cell>
          <cell r="C115">
            <v>1.5</v>
          </cell>
        </row>
        <row r="116">
          <cell r="B116">
            <v>7.9861111111110952E-2</v>
          </cell>
          <cell r="C116">
            <v>2</v>
          </cell>
        </row>
        <row r="117">
          <cell r="B117">
            <v>8.0555555555555394E-2</v>
          </cell>
          <cell r="C117">
            <v>2</v>
          </cell>
        </row>
        <row r="118">
          <cell r="B118">
            <v>8.1249999999999836E-2</v>
          </cell>
          <cell r="C118">
            <v>2</v>
          </cell>
        </row>
        <row r="119">
          <cell r="B119">
            <v>8.1944444444444278E-2</v>
          </cell>
          <cell r="C119">
            <v>2</v>
          </cell>
        </row>
        <row r="120">
          <cell r="B120">
            <v>8.263888888888872E-2</v>
          </cell>
          <cell r="C120">
            <v>2</v>
          </cell>
        </row>
        <row r="121">
          <cell r="B121">
            <v>8.3333333333333162E-2</v>
          </cell>
          <cell r="C121">
            <v>2</v>
          </cell>
        </row>
        <row r="122">
          <cell r="B122">
            <v>8.4027777777777604E-2</v>
          </cell>
          <cell r="C122">
            <v>2</v>
          </cell>
        </row>
        <row r="123">
          <cell r="B123">
            <v>8.4722222222222046E-2</v>
          </cell>
          <cell r="C123">
            <v>2</v>
          </cell>
        </row>
        <row r="124">
          <cell r="B124">
            <v>8.5416666666666488E-2</v>
          </cell>
          <cell r="C124">
            <v>2</v>
          </cell>
        </row>
        <row r="125">
          <cell r="B125">
            <v>8.611111111111093E-2</v>
          </cell>
          <cell r="C125">
            <v>2</v>
          </cell>
        </row>
        <row r="126">
          <cell r="B126">
            <v>8.6805555555555372E-2</v>
          </cell>
          <cell r="C126">
            <v>2</v>
          </cell>
        </row>
        <row r="127">
          <cell r="B127">
            <v>8.7499999999999814E-2</v>
          </cell>
          <cell r="C127">
            <v>2</v>
          </cell>
        </row>
        <row r="128">
          <cell r="B128">
            <v>8.8194444444444256E-2</v>
          </cell>
          <cell r="C128">
            <v>2</v>
          </cell>
        </row>
        <row r="129">
          <cell r="B129">
            <v>8.8888888888888698E-2</v>
          </cell>
          <cell r="C129">
            <v>2</v>
          </cell>
        </row>
        <row r="130">
          <cell r="B130">
            <v>8.958333333333314E-2</v>
          </cell>
          <cell r="C130">
            <v>2</v>
          </cell>
        </row>
        <row r="131">
          <cell r="B131">
            <v>9.0277777777777582E-2</v>
          </cell>
          <cell r="C131">
            <v>2</v>
          </cell>
        </row>
        <row r="132">
          <cell r="B132">
            <v>9.0972222222222024E-2</v>
          </cell>
          <cell r="C132">
            <v>2</v>
          </cell>
        </row>
        <row r="133">
          <cell r="B133">
            <v>9.1666666666666466E-2</v>
          </cell>
          <cell r="C133">
            <v>2</v>
          </cell>
        </row>
        <row r="134">
          <cell r="B134">
            <v>9.2361111111110908E-2</v>
          </cell>
          <cell r="C134">
            <v>2</v>
          </cell>
        </row>
        <row r="135">
          <cell r="B135">
            <v>9.305555555555535E-2</v>
          </cell>
          <cell r="C135">
            <v>2</v>
          </cell>
        </row>
        <row r="136">
          <cell r="B136">
            <v>9.3749999999999792E-2</v>
          </cell>
          <cell r="C136">
            <v>2</v>
          </cell>
        </row>
        <row r="137">
          <cell r="B137">
            <v>9.4444444444444234E-2</v>
          </cell>
          <cell r="C137">
            <v>2</v>
          </cell>
        </row>
        <row r="138">
          <cell r="B138">
            <v>9.5138888888888676E-2</v>
          </cell>
          <cell r="C138">
            <v>2</v>
          </cell>
        </row>
        <row r="139">
          <cell r="B139">
            <v>9.5833333333333118E-2</v>
          </cell>
          <cell r="C139">
            <v>2</v>
          </cell>
        </row>
        <row r="140">
          <cell r="B140">
            <v>9.652777777777756E-2</v>
          </cell>
          <cell r="C140">
            <v>2</v>
          </cell>
        </row>
        <row r="141">
          <cell r="B141">
            <v>9.7222222222222002E-2</v>
          </cell>
          <cell r="C141">
            <v>2</v>
          </cell>
        </row>
        <row r="142">
          <cell r="B142">
            <v>9.7916666666666444E-2</v>
          </cell>
          <cell r="C142">
            <v>2</v>
          </cell>
        </row>
        <row r="143">
          <cell r="B143">
            <v>9.8611111111110886E-2</v>
          </cell>
          <cell r="C143">
            <v>2</v>
          </cell>
        </row>
        <row r="144">
          <cell r="B144">
            <v>9.9305555555555328E-2</v>
          </cell>
          <cell r="C144">
            <v>2</v>
          </cell>
        </row>
        <row r="145">
          <cell r="B145">
            <v>9.999999999999977E-2</v>
          </cell>
          <cell r="C145">
            <v>2</v>
          </cell>
        </row>
        <row r="146">
          <cell r="B146">
            <v>0.10069444444444421</v>
          </cell>
          <cell r="C146">
            <v>2.5</v>
          </cell>
        </row>
        <row r="147">
          <cell r="B147">
            <v>0.10138888888888865</v>
          </cell>
          <cell r="C147">
            <v>2.5</v>
          </cell>
        </row>
        <row r="148">
          <cell r="B148">
            <v>0.1020833333333331</v>
          </cell>
          <cell r="C148">
            <v>2.5</v>
          </cell>
        </row>
        <row r="149">
          <cell r="B149">
            <v>0.10277777777777754</v>
          </cell>
          <cell r="C149">
            <v>2.5</v>
          </cell>
        </row>
        <row r="150">
          <cell r="B150">
            <v>0.10347222222222198</v>
          </cell>
          <cell r="C150">
            <v>2.5</v>
          </cell>
        </row>
        <row r="151">
          <cell r="B151">
            <v>0.10416666666666642</v>
          </cell>
          <cell r="C151">
            <v>2.5</v>
          </cell>
        </row>
        <row r="152">
          <cell r="B152">
            <v>0.10486111111111086</v>
          </cell>
          <cell r="C152">
            <v>2.5</v>
          </cell>
        </row>
        <row r="153">
          <cell r="B153">
            <v>0.10555555555555531</v>
          </cell>
          <cell r="C153">
            <v>2.5</v>
          </cell>
        </row>
        <row r="154">
          <cell r="B154">
            <v>0.10624999999999975</v>
          </cell>
          <cell r="C154">
            <v>2.5</v>
          </cell>
        </row>
        <row r="155">
          <cell r="B155">
            <v>0.10694444444444419</v>
          </cell>
          <cell r="C155">
            <v>2.5</v>
          </cell>
        </row>
        <row r="156">
          <cell r="B156">
            <v>0.10763888888888863</v>
          </cell>
          <cell r="C156">
            <v>2.5</v>
          </cell>
        </row>
        <row r="157">
          <cell r="B157">
            <v>0.10833333333333307</v>
          </cell>
          <cell r="C157">
            <v>2.5</v>
          </cell>
        </row>
        <row r="158">
          <cell r="B158">
            <v>0.10902777777777752</v>
          </cell>
          <cell r="C158">
            <v>2.5</v>
          </cell>
        </row>
        <row r="159">
          <cell r="B159">
            <v>0.10972222222222196</v>
          </cell>
          <cell r="C159">
            <v>2.5</v>
          </cell>
        </row>
        <row r="160">
          <cell r="B160">
            <v>0.1104166666666664</v>
          </cell>
          <cell r="C160">
            <v>2.5</v>
          </cell>
        </row>
        <row r="161">
          <cell r="B161">
            <v>0.11111111111111084</v>
          </cell>
          <cell r="C161">
            <v>2.5</v>
          </cell>
        </row>
        <row r="162">
          <cell r="B162">
            <v>0.11180555555555528</v>
          </cell>
          <cell r="C162">
            <v>2.5</v>
          </cell>
        </row>
        <row r="163">
          <cell r="B163">
            <v>0.11249999999999973</v>
          </cell>
          <cell r="C163">
            <v>2.5</v>
          </cell>
        </row>
        <row r="164">
          <cell r="B164">
            <v>0.11319444444444417</v>
          </cell>
          <cell r="C164">
            <v>2.5</v>
          </cell>
        </row>
        <row r="165">
          <cell r="B165">
            <v>0.11388888888888861</v>
          </cell>
          <cell r="C165">
            <v>2.5</v>
          </cell>
        </row>
        <row r="166">
          <cell r="B166">
            <v>0.11458333333333305</v>
          </cell>
          <cell r="C166">
            <v>2.5</v>
          </cell>
        </row>
        <row r="167">
          <cell r="B167">
            <v>0.11527777777777749</v>
          </cell>
          <cell r="C167">
            <v>2.5</v>
          </cell>
        </row>
        <row r="168">
          <cell r="B168">
            <v>0.11597222222222194</v>
          </cell>
          <cell r="C168">
            <v>2.5</v>
          </cell>
        </row>
        <row r="169">
          <cell r="B169">
            <v>0.11666666666666638</v>
          </cell>
          <cell r="C169">
            <v>2.5</v>
          </cell>
        </row>
        <row r="170">
          <cell r="B170">
            <v>0.11736111111111082</v>
          </cell>
          <cell r="C170">
            <v>2.5</v>
          </cell>
        </row>
        <row r="171">
          <cell r="B171">
            <v>0.11805555555555526</v>
          </cell>
          <cell r="C171">
            <v>2.5</v>
          </cell>
        </row>
        <row r="172">
          <cell r="B172">
            <v>0.1187499999999997</v>
          </cell>
          <cell r="C172">
            <v>2.5</v>
          </cell>
        </row>
        <row r="173">
          <cell r="B173">
            <v>0.11944444444444414</v>
          </cell>
          <cell r="C173">
            <v>2.5</v>
          </cell>
        </row>
        <row r="174">
          <cell r="B174">
            <v>0.12013888888888859</v>
          </cell>
          <cell r="C174">
            <v>2.5</v>
          </cell>
        </row>
        <row r="175">
          <cell r="B175">
            <v>0.12083333333333303</v>
          </cell>
          <cell r="C175">
            <v>2.5</v>
          </cell>
        </row>
        <row r="176">
          <cell r="B176">
            <v>0.12152777777777747</v>
          </cell>
          <cell r="C176">
            <v>3</v>
          </cell>
        </row>
        <row r="177">
          <cell r="B177">
            <v>0.12222222222222191</v>
          </cell>
          <cell r="C177">
            <v>3</v>
          </cell>
        </row>
        <row r="178">
          <cell r="B178">
            <v>0.12291666666666635</v>
          </cell>
          <cell r="C178">
            <v>3</v>
          </cell>
        </row>
        <row r="179">
          <cell r="B179">
            <v>0.1236111111111108</v>
          </cell>
          <cell r="C179">
            <v>3</v>
          </cell>
        </row>
        <row r="180">
          <cell r="B180">
            <v>0.12430555555555524</v>
          </cell>
          <cell r="C180">
            <v>3</v>
          </cell>
        </row>
        <row r="181">
          <cell r="B181">
            <v>0.12499999999999968</v>
          </cell>
          <cell r="C181">
            <v>3</v>
          </cell>
        </row>
        <row r="182">
          <cell r="B182">
            <v>0.12569444444444414</v>
          </cell>
          <cell r="C182">
            <v>3</v>
          </cell>
        </row>
        <row r="183">
          <cell r="B183">
            <v>0.12638888888888858</v>
          </cell>
          <cell r="C183">
            <v>3</v>
          </cell>
        </row>
        <row r="184">
          <cell r="B184">
            <v>0.12708333333333302</v>
          </cell>
          <cell r="C184">
            <v>3</v>
          </cell>
        </row>
        <row r="185">
          <cell r="B185">
            <v>0.12777777777777746</v>
          </cell>
          <cell r="C185">
            <v>3</v>
          </cell>
        </row>
        <row r="186">
          <cell r="B186">
            <v>0.1284722222222219</v>
          </cell>
          <cell r="C186">
            <v>3</v>
          </cell>
        </row>
        <row r="187">
          <cell r="B187">
            <v>0.12916666666666635</v>
          </cell>
          <cell r="C187">
            <v>3</v>
          </cell>
        </row>
        <row r="188">
          <cell r="B188">
            <v>0.12986111111111079</v>
          </cell>
          <cell r="C188">
            <v>3</v>
          </cell>
        </row>
        <row r="189">
          <cell r="B189">
            <v>0.13055555555555523</v>
          </cell>
          <cell r="C189">
            <v>3</v>
          </cell>
        </row>
        <row r="190">
          <cell r="B190">
            <v>0.13124999999999967</v>
          </cell>
          <cell r="C190">
            <v>3</v>
          </cell>
        </row>
        <row r="191">
          <cell r="B191">
            <v>0.13194444444444411</v>
          </cell>
          <cell r="C191">
            <v>3</v>
          </cell>
        </row>
        <row r="192">
          <cell r="B192">
            <v>0.13263888888888856</v>
          </cell>
          <cell r="C192">
            <v>3</v>
          </cell>
        </row>
        <row r="193">
          <cell r="B193">
            <v>0.133333333333333</v>
          </cell>
          <cell r="C193">
            <v>3</v>
          </cell>
        </row>
        <row r="194">
          <cell r="B194">
            <v>0.13402777777777744</v>
          </cell>
          <cell r="C194">
            <v>3</v>
          </cell>
        </row>
        <row r="195">
          <cell r="B195">
            <v>0.13472222222222188</v>
          </cell>
          <cell r="C195">
            <v>3</v>
          </cell>
        </row>
        <row r="196">
          <cell r="B196">
            <v>0.13541666666666632</v>
          </cell>
          <cell r="C196">
            <v>3</v>
          </cell>
        </row>
        <row r="197">
          <cell r="B197">
            <v>0.13611111111111077</v>
          </cell>
          <cell r="C197">
            <v>3</v>
          </cell>
        </row>
        <row r="198">
          <cell r="B198">
            <v>0.13680555555555521</v>
          </cell>
          <cell r="C198">
            <v>3</v>
          </cell>
        </row>
        <row r="199">
          <cell r="B199">
            <v>0.13749999999999965</v>
          </cell>
          <cell r="C199">
            <v>3</v>
          </cell>
        </row>
        <row r="200">
          <cell r="B200">
            <v>0.13819444444444409</v>
          </cell>
          <cell r="C200">
            <v>3</v>
          </cell>
        </row>
        <row r="201">
          <cell r="B201">
            <v>0.13888888888888853</v>
          </cell>
          <cell r="C201">
            <v>3</v>
          </cell>
        </row>
        <row r="202">
          <cell r="B202">
            <v>0.13958333333333298</v>
          </cell>
          <cell r="C202">
            <v>3</v>
          </cell>
        </row>
        <row r="203">
          <cell r="B203">
            <v>0.14027777777777742</v>
          </cell>
          <cell r="C203">
            <v>3</v>
          </cell>
        </row>
        <row r="204">
          <cell r="B204">
            <v>0.14097222222222186</v>
          </cell>
          <cell r="C204">
            <v>3</v>
          </cell>
        </row>
        <row r="205">
          <cell r="B205">
            <v>0.1416666666666663</v>
          </cell>
          <cell r="C205">
            <v>3</v>
          </cell>
        </row>
        <row r="206">
          <cell r="B206">
            <v>0.14236111111111074</v>
          </cell>
          <cell r="C206">
            <v>3.5</v>
          </cell>
        </row>
        <row r="207">
          <cell r="B207">
            <v>0.14305555555555519</v>
          </cell>
          <cell r="C207">
            <v>3.5</v>
          </cell>
        </row>
        <row r="208">
          <cell r="B208">
            <v>0.14374999999999963</v>
          </cell>
          <cell r="C208">
            <v>3.5</v>
          </cell>
        </row>
        <row r="209">
          <cell r="B209">
            <v>0.14444444444444407</v>
          </cell>
          <cell r="C209">
            <v>3.5</v>
          </cell>
        </row>
        <row r="210">
          <cell r="B210">
            <v>0.14513888888888851</v>
          </cell>
          <cell r="C210">
            <v>3.5</v>
          </cell>
        </row>
        <row r="211">
          <cell r="B211">
            <v>0.14583333333333295</v>
          </cell>
          <cell r="C211">
            <v>3.5</v>
          </cell>
        </row>
        <row r="212">
          <cell r="B212">
            <v>0.1465277777777774</v>
          </cell>
          <cell r="C212">
            <v>3.5</v>
          </cell>
        </row>
        <row r="213">
          <cell r="B213">
            <v>0.14722222222222184</v>
          </cell>
          <cell r="C213">
            <v>3.5</v>
          </cell>
        </row>
        <row r="214">
          <cell r="B214">
            <v>0.14791666666666628</v>
          </cell>
          <cell r="C214">
            <v>3.5</v>
          </cell>
        </row>
        <row r="215">
          <cell r="B215">
            <v>0.14861111111111072</v>
          </cell>
          <cell r="C215">
            <v>3.5</v>
          </cell>
        </row>
        <row r="216">
          <cell r="B216">
            <v>0.14930555555555516</v>
          </cell>
          <cell r="C216">
            <v>3.5</v>
          </cell>
        </row>
        <row r="217">
          <cell r="B217">
            <v>0.14999999999999961</v>
          </cell>
          <cell r="C217">
            <v>3.5</v>
          </cell>
        </row>
        <row r="218">
          <cell r="B218">
            <v>0.15069444444444405</v>
          </cell>
          <cell r="C218">
            <v>3.5</v>
          </cell>
        </row>
        <row r="219">
          <cell r="B219">
            <v>0.15138888888888849</v>
          </cell>
          <cell r="C219">
            <v>3.5</v>
          </cell>
        </row>
        <row r="220">
          <cell r="B220">
            <v>0.15208333333333293</v>
          </cell>
          <cell r="C220">
            <v>3.5</v>
          </cell>
        </row>
        <row r="221">
          <cell r="B221">
            <v>0.15277777777777737</v>
          </cell>
          <cell r="C221">
            <v>3.5</v>
          </cell>
        </row>
        <row r="222">
          <cell r="B222">
            <v>0.15347222222222182</v>
          </cell>
          <cell r="C222">
            <v>3.5</v>
          </cell>
        </row>
        <row r="223">
          <cell r="B223">
            <v>0.15416666666666626</v>
          </cell>
          <cell r="C223">
            <v>3.5</v>
          </cell>
        </row>
        <row r="224">
          <cell r="B224">
            <v>0.1548611111111107</v>
          </cell>
          <cell r="C224">
            <v>3.5</v>
          </cell>
        </row>
        <row r="225">
          <cell r="B225">
            <v>0.15555555555555514</v>
          </cell>
          <cell r="C225">
            <v>3.5</v>
          </cell>
        </row>
        <row r="226">
          <cell r="B226">
            <v>0.15624999999999958</v>
          </cell>
          <cell r="C226">
            <v>3.5</v>
          </cell>
        </row>
        <row r="227">
          <cell r="B227">
            <v>0.15694444444444403</v>
          </cell>
          <cell r="C227">
            <v>3.5</v>
          </cell>
        </row>
        <row r="228">
          <cell r="B228">
            <v>0.15763888888888847</v>
          </cell>
          <cell r="C228">
            <v>3.5</v>
          </cell>
        </row>
        <row r="229">
          <cell r="B229">
            <v>0.15833333333333291</v>
          </cell>
          <cell r="C229">
            <v>3.5</v>
          </cell>
        </row>
        <row r="230">
          <cell r="B230">
            <v>0.15902777777777735</v>
          </cell>
          <cell r="C230">
            <v>3.5</v>
          </cell>
        </row>
        <row r="231">
          <cell r="B231">
            <v>0.15972222222222179</v>
          </cell>
          <cell r="C231">
            <v>3.5</v>
          </cell>
        </row>
        <row r="232">
          <cell r="B232">
            <v>0.16041666666666624</v>
          </cell>
          <cell r="C232">
            <v>3.5</v>
          </cell>
        </row>
        <row r="233">
          <cell r="B233">
            <v>0.16111111111111068</v>
          </cell>
          <cell r="C233">
            <v>3.5</v>
          </cell>
        </row>
        <row r="234">
          <cell r="B234">
            <v>0.16180555555555512</v>
          </cell>
          <cell r="C234">
            <v>3.5</v>
          </cell>
        </row>
        <row r="235">
          <cell r="B235">
            <v>0.16249999999999956</v>
          </cell>
          <cell r="C235">
            <v>3.5</v>
          </cell>
        </row>
        <row r="236">
          <cell r="B236">
            <v>0.163194444444444</v>
          </cell>
          <cell r="C236">
            <v>4</v>
          </cell>
        </row>
        <row r="237">
          <cell r="B237">
            <v>0.16388888888888845</v>
          </cell>
          <cell r="C237">
            <v>4</v>
          </cell>
        </row>
        <row r="238">
          <cell r="B238">
            <v>0.16458333333333289</v>
          </cell>
          <cell r="C238">
            <v>4</v>
          </cell>
        </row>
        <row r="239">
          <cell r="B239">
            <v>0.16527777777777733</v>
          </cell>
          <cell r="C239">
            <v>4</v>
          </cell>
        </row>
        <row r="240">
          <cell r="B240">
            <v>0.16597222222222177</v>
          </cell>
          <cell r="C240">
            <v>4</v>
          </cell>
        </row>
        <row r="241">
          <cell r="B241">
            <v>0.16666666666666621</v>
          </cell>
          <cell r="C241">
            <v>4</v>
          </cell>
        </row>
        <row r="242">
          <cell r="B242">
            <v>0.16736111111111066</v>
          </cell>
          <cell r="C242">
            <v>4</v>
          </cell>
        </row>
        <row r="243">
          <cell r="B243">
            <v>0.1680555555555551</v>
          </cell>
          <cell r="C243">
            <v>4</v>
          </cell>
        </row>
        <row r="244">
          <cell r="B244">
            <v>0.16874999999999954</v>
          </cell>
          <cell r="C244">
            <v>4</v>
          </cell>
        </row>
        <row r="245">
          <cell r="B245">
            <v>0.16944444444444398</v>
          </cell>
          <cell r="C245">
            <v>4</v>
          </cell>
        </row>
        <row r="246">
          <cell r="B246">
            <v>0.17013888888888842</v>
          </cell>
          <cell r="C246">
            <v>4</v>
          </cell>
        </row>
        <row r="247">
          <cell r="B247">
            <v>0.17083333333333287</v>
          </cell>
          <cell r="C247">
            <v>4</v>
          </cell>
        </row>
        <row r="248">
          <cell r="B248">
            <v>0.17152777777777731</v>
          </cell>
          <cell r="C248">
            <v>4</v>
          </cell>
        </row>
        <row r="249">
          <cell r="B249">
            <v>0.17222222222222175</v>
          </cell>
          <cell r="C249">
            <v>4</v>
          </cell>
        </row>
        <row r="250">
          <cell r="B250">
            <v>0.17291666666666619</v>
          </cell>
          <cell r="C250">
            <v>4</v>
          </cell>
        </row>
        <row r="251">
          <cell r="B251">
            <v>0.17361111111111063</v>
          </cell>
          <cell r="C251">
            <v>4</v>
          </cell>
        </row>
        <row r="252">
          <cell r="B252">
            <v>0.17430555555555508</v>
          </cell>
          <cell r="C252">
            <v>4</v>
          </cell>
        </row>
        <row r="253">
          <cell r="B253">
            <v>0.17499999999999952</v>
          </cell>
          <cell r="C253">
            <v>4</v>
          </cell>
        </row>
        <row r="254">
          <cell r="B254">
            <v>0.17569444444444396</v>
          </cell>
          <cell r="C254">
            <v>4</v>
          </cell>
        </row>
        <row r="255">
          <cell r="B255">
            <v>0.1763888888888884</v>
          </cell>
          <cell r="C255">
            <v>4</v>
          </cell>
        </row>
        <row r="256">
          <cell r="B256">
            <v>0.17708333333333284</v>
          </cell>
          <cell r="C256">
            <v>4</v>
          </cell>
        </row>
        <row r="257">
          <cell r="B257">
            <v>0.17777777777777728</v>
          </cell>
          <cell r="C257">
            <v>4</v>
          </cell>
        </row>
        <row r="258">
          <cell r="B258">
            <v>0.17847222222222173</v>
          </cell>
          <cell r="C258">
            <v>4</v>
          </cell>
        </row>
        <row r="259">
          <cell r="B259">
            <v>0.17916666666666617</v>
          </cell>
          <cell r="C259">
            <v>4</v>
          </cell>
        </row>
        <row r="260">
          <cell r="B260">
            <v>0.17986111111111061</v>
          </cell>
          <cell r="C260">
            <v>4</v>
          </cell>
        </row>
        <row r="261">
          <cell r="B261">
            <v>0.18055555555555505</v>
          </cell>
          <cell r="C261">
            <v>4</v>
          </cell>
        </row>
        <row r="262">
          <cell r="B262">
            <v>0.18124999999999949</v>
          </cell>
          <cell r="C262">
            <v>4</v>
          </cell>
        </row>
        <row r="263">
          <cell r="B263">
            <v>0.18194444444444394</v>
          </cell>
          <cell r="C263">
            <v>4</v>
          </cell>
        </row>
        <row r="264">
          <cell r="B264">
            <v>0.18263888888888838</v>
          </cell>
          <cell r="C264">
            <v>4</v>
          </cell>
        </row>
        <row r="265">
          <cell r="B265">
            <v>0.18333333333333282</v>
          </cell>
          <cell r="C265">
            <v>4</v>
          </cell>
        </row>
        <row r="266">
          <cell r="B266">
            <v>0.18402777777777726</v>
          </cell>
          <cell r="C266">
            <v>4.5</v>
          </cell>
        </row>
        <row r="267">
          <cell r="B267">
            <v>0.1847222222222217</v>
          </cell>
          <cell r="C267">
            <v>4.5</v>
          </cell>
        </row>
        <row r="268">
          <cell r="B268">
            <v>0.18541666666666615</v>
          </cell>
          <cell r="C268">
            <v>4.5</v>
          </cell>
        </row>
        <row r="269">
          <cell r="B269">
            <v>0.18611111111111059</v>
          </cell>
          <cell r="C269">
            <v>4.5</v>
          </cell>
        </row>
        <row r="270">
          <cell r="B270">
            <v>0.18680555555555503</v>
          </cell>
          <cell r="C270">
            <v>4.5</v>
          </cell>
        </row>
        <row r="271">
          <cell r="B271">
            <v>0.18749999999999947</v>
          </cell>
          <cell r="C271">
            <v>4.5</v>
          </cell>
        </row>
        <row r="272">
          <cell r="B272">
            <v>0.18819444444444391</v>
          </cell>
          <cell r="C272">
            <v>4.5</v>
          </cell>
        </row>
        <row r="273">
          <cell r="B273">
            <v>0.18888888888888836</v>
          </cell>
          <cell r="C273">
            <v>4.5</v>
          </cell>
        </row>
        <row r="274">
          <cell r="B274">
            <v>0.1895833333333328</v>
          </cell>
          <cell r="C274">
            <v>4.5</v>
          </cell>
        </row>
        <row r="275">
          <cell r="B275">
            <v>0.19027777777777724</v>
          </cell>
          <cell r="C275">
            <v>4.5</v>
          </cell>
        </row>
        <row r="276">
          <cell r="B276">
            <v>0.19097222222222168</v>
          </cell>
          <cell r="C276">
            <v>4.5</v>
          </cell>
        </row>
        <row r="277">
          <cell r="B277">
            <v>0.19166666666666612</v>
          </cell>
          <cell r="C277">
            <v>4.5</v>
          </cell>
        </row>
        <row r="278">
          <cell r="B278">
            <v>0.19236111111111057</v>
          </cell>
          <cell r="C278">
            <v>4.5</v>
          </cell>
        </row>
        <row r="279">
          <cell r="B279">
            <v>0.19305555555555501</v>
          </cell>
          <cell r="C279">
            <v>4.5</v>
          </cell>
        </row>
        <row r="280">
          <cell r="B280">
            <v>0.19374999999999945</v>
          </cell>
          <cell r="C280">
            <v>4.5</v>
          </cell>
        </row>
        <row r="281">
          <cell r="B281">
            <v>0.19444444444444389</v>
          </cell>
          <cell r="C281">
            <v>4.5</v>
          </cell>
        </row>
        <row r="282">
          <cell r="B282">
            <v>0.19513888888888833</v>
          </cell>
          <cell r="C282">
            <v>4.5</v>
          </cell>
        </row>
        <row r="283">
          <cell r="B283">
            <v>0.19583333333333278</v>
          </cell>
          <cell r="C283">
            <v>4.5</v>
          </cell>
        </row>
        <row r="284">
          <cell r="B284">
            <v>0.19652777777777722</v>
          </cell>
          <cell r="C284">
            <v>4.5</v>
          </cell>
        </row>
        <row r="285">
          <cell r="B285">
            <v>0.19722222222222166</v>
          </cell>
          <cell r="C285">
            <v>4.5</v>
          </cell>
        </row>
        <row r="286">
          <cell r="B286">
            <v>0.1979166666666661</v>
          </cell>
          <cell r="C286">
            <v>4.5</v>
          </cell>
        </row>
        <row r="287">
          <cell r="B287">
            <v>0.19861111111111054</v>
          </cell>
          <cell r="C287">
            <v>4.5</v>
          </cell>
        </row>
        <row r="288">
          <cell r="B288">
            <v>0.19930555555555499</v>
          </cell>
          <cell r="C288">
            <v>4.5</v>
          </cell>
        </row>
        <row r="289">
          <cell r="B289">
            <v>0.19999999999999943</v>
          </cell>
          <cell r="C289">
            <v>4.5</v>
          </cell>
        </row>
        <row r="290">
          <cell r="B290">
            <v>0.20069444444444387</v>
          </cell>
          <cell r="C290">
            <v>4.5</v>
          </cell>
        </row>
        <row r="291">
          <cell r="B291">
            <v>0.20138888888888831</v>
          </cell>
          <cell r="C291">
            <v>4.5</v>
          </cell>
        </row>
        <row r="292">
          <cell r="B292">
            <v>0.20208333333333275</v>
          </cell>
          <cell r="C292">
            <v>4.5</v>
          </cell>
        </row>
        <row r="293">
          <cell r="B293">
            <v>0.2027777777777772</v>
          </cell>
          <cell r="C293">
            <v>4.5</v>
          </cell>
        </row>
        <row r="294">
          <cell r="B294">
            <v>0.20347222222222164</v>
          </cell>
          <cell r="C294">
            <v>4.5</v>
          </cell>
        </row>
        <row r="295">
          <cell r="B295">
            <v>0.20416666666666608</v>
          </cell>
          <cell r="C295">
            <v>4.5</v>
          </cell>
        </row>
        <row r="296">
          <cell r="B296">
            <v>0.20486111111111052</v>
          </cell>
          <cell r="C296">
            <v>5</v>
          </cell>
        </row>
        <row r="297">
          <cell r="B297">
            <v>0.20555555555555496</v>
          </cell>
          <cell r="C297">
            <v>5</v>
          </cell>
        </row>
        <row r="298">
          <cell r="B298">
            <v>0.20624999999999941</v>
          </cell>
          <cell r="C298">
            <v>5</v>
          </cell>
        </row>
        <row r="299">
          <cell r="B299">
            <v>0.20694444444444385</v>
          </cell>
          <cell r="C299">
            <v>5</v>
          </cell>
        </row>
        <row r="300">
          <cell r="B300">
            <v>0.20763888888888829</v>
          </cell>
          <cell r="C300">
            <v>5</v>
          </cell>
        </row>
        <row r="301">
          <cell r="B301">
            <v>0.20833333333333273</v>
          </cell>
          <cell r="C301">
            <v>5</v>
          </cell>
        </row>
        <row r="302">
          <cell r="B302">
            <v>0.20902777777777717</v>
          </cell>
          <cell r="C302">
            <v>5</v>
          </cell>
        </row>
        <row r="303">
          <cell r="B303">
            <v>0.20972222222222162</v>
          </cell>
          <cell r="C303">
            <v>5</v>
          </cell>
        </row>
        <row r="304">
          <cell r="B304">
            <v>0.21041666666666606</v>
          </cell>
          <cell r="C304">
            <v>5</v>
          </cell>
        </row>
        <row r="305">
          <cell r="B305">
            <v>0.2111111111111105</v>
          </cell>
          <cell r="C305">
            <v>5</v>
          </cell>
        </row>
        <row r="306">
          <cell r="B306">
            <v>0.21180555555555494</v>
          </cell>
          <cell r="C306">
            <v>5</v>
          </cell>
        </row>
        <row r="307">
          <cell r="B307">
            <v>0.21249999999999938</v>
          </cell>
          <cell r="C307">
            <v>5</v>
          </cell>
        </row>
        <row r="308">
          <cell r="B308">
            <v>0.21319444444444383</v>
          </cell>
          <cell r="C308">
            <v>5</v>
          </cell>
        </row>
        <row r="309">
          <cell r="B309">
            <v>0.21388888888888827</v>
          </cell>
          <cell r="C309">
            <v>5</v>
          </cell>
        </row>
        <row r="310">
          <cell r="B310">
            <v>0.21458333333333271</v>
          </cell>
          <cell r="C310">
            <v>5</v>
          </cell>
        </row>
        <row r="311">
          <cell r="B311">
            <v>0.21527777777777715</v>
          </cell>
          <cell r="C311">
            <v>5</v>
          </cell>
        </row>
        <row r="312">
          <cell r="B312">
            <v>0.21597222222222159</v>
          </cell>
          <cell r="C312">
            <v>5</v>
          </cell>
        </row>
        <row r="313">
          <cell r="B313">
            <v>0.21666666666666604</v>
          </cell>
          <cell r="C313">
            <v>5</v>
          </cell>
        </row>
        <row r="314">
          <cell r="B314">
            <v>0.21736111111111048</v>
          </cell>
          <cell r="C314">
            <v>5</v>
          </cell>
        </row>
        <row r="315">
          <cell r="B315">
            <v>0.21805555555555492</v>
          </cell>
          <cell r="C315">
            <v>5</v>
          </cell>
        </row>
        <row r="316">
          <cell r="B316">
            <v>0.21874999999999936</v>
          </cell>
          <cell r="C316">
            <v>5</v>
          </cell>
        </row>
        <row r="317">
          <cell r="B317">
            <v>0.2194444444444438</v>
          </cell>
          <cell r="C317">
            <v>5</v>
          </cell>
        </row>
        <row r="318">
          <cell r="B318">
            <v>0.22013888888888825</v>
          </cell>
          <cell r="C318">
            <v>5</v>
          </cell>
        </row>
        <row r="319">
          <cell r="B319">
            <v>0.22083333333333269</v>
          </cell>
          <cell r="C319">
            <v>5</v>
          </cell>
        </row>
        <row r="320">
          <cell r="B320">
            <v>0.22152777777777713</v>
          </cell>
          <cell r="C320">
            <v>5</v>
          </cell>
        </row>
        <row r="321">
          <cell r="B321">
            <v>0.22222222222222157</v>
          </cell>
          <cell r="C321">
            <v>5</v>
          </cell>
        </row>
        <row r="322">
          <cell r="B322">
            <v>0.22291666666666601</v>
          </cell>
          <cell r="C322">
            <v>5</v>
          </cell>
        </row>
        <row r="323">
          <cell r="B323">
            <v>0.22361111111111046</v>
          </cell>
          <cell r="C323">
            <v>5</v>
          </cell>
        </row>
        <row r="324">
          <cell r="B324">
            <v>0.2243055555555549</v>
          </cell>
          <cell r="C324">
            <v>5</v>
          </cell>
        </row>
        <row r="325">
          <cell r="B325">
            <v>0.22499999999999934</v>
          </cell>
          <cell r="C325">
            <v>5</v>
          </cell>
        </row>
        <row r="326">
          <cell r="B326">
            <v>0.22569444444444378</v>
          </cell>
          <cell r="C326">
            <v>5.5</v>
          </cell>
        </row>
        <row r="327">
          <cell r="B327">
            <v>0.22638888888888822</v>
          </cell>
          <cell r="C327">
            <v>5.5</v>
          </cell>
        </row>
        <row r="328">
          <cell r="B328">
            <v>0.22708333333333267</v>
          </cell>
          <cell r="C328">
            <v>5.5</v>
          </cell>
        </row>
        <row r="329">
          <cell r="B329">
            <v>0.22777777777777711</v>
          </cell>
          <cell r="C329">
            <v>5.5</v>
          </cell>
        </row>
        <row r="330">
          <cell r="B330">
            <v>0.22847222222222155</v>
          </cell>
          <cell r="C330">
            <v>5.5</v>
          </cell>
        </row>
        <row r="331">
          <cell r="B331">
            <v>0.22916666666666599</v>
          </cell>
          <cell r="C331">
            <v>5.5</v>
          </cell>
        </row>
        <row r="332">
          <cell r="B332">
            <v>0.22986111111111043</v>
          </cell>
          <cell r="C332">
            <v>5.5</v>
          </cell>
        </row>
        <row r="333">
          <cell r="B333">
            <v>0.23055555555555488</v>
          </cell>
          <cell r="C333">
            <v>5.5</v>
          </cell>
        </row>
        <row r="334">
          <cell r="B334">
            <v>0.23124999999999932</v>
          </cell>
          <cell r="C334">
            <v>5.5</v>
          </cell>
        </row>
        <row r="335">
          <cell r="B335">
            <v>0.23194444444444376</v>
          </cell>
          <cell r="C335">
            <v>5.5</v>
          </cell>
        </row>
        <row r="336">
          <cell r="B336">
            <v>0.2326388888888882</v>
          </cell>
          <cell r="C336">
            <v>5.5</v>
          </cell>
        </row>
        <row r="337">
          <cell r="B337">
            <v>0.23333333333333264</v>
          </cell>
          <cell r="C337">
            <v>5.5</v>
          </cell>
        </row>
        <row r="338">
          <cell r="B338">
            <v>0.23402777777777709</v>
          </cell>
          <cell r="C338">
            <v>5.5</v>
          </cell>
        </row>
        <row r="339">
          <cell r="B339">
            <v>0.23472222222222153</v>
          </cell>
          <cell r="C339">
            <v>5.5</v>
          </cell>
        </row>
        <row r="340">
          <cell r="B340">
            <v>0.23541666666666597</v>
          </cell>
          <cell r="C340">
            <v>5.5</v>
          </cell>
        </row>
        <row r="341">
          <cell r="B341">
            <v>0.23611111111111041</v>
          </cell>
          <cell r="C341">
            <v>5.5</v>
          </cell>
        </row>
        <row r="342">
          <cell r="B342">
            <v>0.23680555555555485</v>
          </cell>
          <cell r="C342">
            <v>5.5</v>
          </cell>
        </row>
        <row r="343">
          <cell r="B343">
            <v>0.2374999999999993</v>
          </cell>
          <cell r="C343">
            <v>5.5</v>
          </cell>
        </row>
        <row r="344">
          <cell r="B344">
            <v>0.23819444444444374</v>
          </cell>
          <cell r="C344">
            <v>5.5</v>
          </cell>
        </row>
        <row r="345">
          <cell r="B345">
            <v>0.23888888888888818</v>
          </cell>
          <cell r="C345">
            <v>5.5</v>
          </cell>
        </row>
        <row r="346">
          <cell r="B346">
            <v>0.23958333333333262</v>
          </cell>
          <cell r="C346">
            <v>5.5</v>
          </cell>
        </row>
        <row r="347">
          <cell r="B347">
            <v>0.24027777777777706</v>
          </cell>
          <cell r="C347">
            <v>5.5</v>
          </cell>
        </row>
        <row r="348">
          <cell r="B348">
            <v>0.2409722222222215</v>
          </cell>
          <cell r="C348">
            <v>5.5</v>
          </cell>
        </row>
        <row r="349">
          <cell r="B349">
            <v>0.24166666666666595</v>
          </cell>
          <cell r="C349">
            <v>5.5</v>
          </cell>
        </row>
        <row r="350">
          <cell r="B350">
            <v>0.24236111111111039</v>
          </cell>
          <cell r="C350">
            <v>5.5</v>
          </cell>
        </row>
        <row r="351">
          <cell r="B351">
            <v>0.24305555555555483</v>
          </cell>
          <cell r="C351">
            <v>5.5</v>
          </cell>
        </row>
        <row r="352">
          <cell r="B352">
            <v>0.24374999999999927</v>
          </cell>
          <cell r="C352">
            <v>5.5</v>
          </cell>
        </row>
        <row r="353">
          <cell r="B353">
            <v>0.24444444444444371</v>
          </cell>
          <cell r="C353">
            <v>5.5</v>
          </cell>
        </row>
        <row r="354">
          <cell r="B354">
            <v>0.24513888888888816</v>
          </cell>
          <cell r="C354">
            <v>5.5</v>
          </cell>
        </row>
        <row r="355">
          <cell r="B355">
            <v>0.2458333333333326</v>
          </cell>
          <cell r="C355">
            <v>5.5</v>
          </cell>
        </row>
        <row r="356">
          <cell r="B356">
            <v>0.24652777777777704</v>
          </cell>
          <cell r="C356">
            <v>6</v>
          </cell>
        </row>
        <row r="357">
          <cell r="B357">
            <v>0.24722222222222148</v>
          </cell>
          <cell r="C357">
            <v>6</v>
          </cell>
        </row>
        <row r="358">
          <cell r="B358">
            <v>0.24791666666666592</v>
          </cell>
          <cell r="C358">
            <v>6</v>
          </cell>
        </row>
        <row r="359">
          <cell r="B359">
            <v>0.24861111111111037</v>
          </cell>
          <cell r="C359">
            <v>6</v>
          </cell>
        </row>
        <row r="360">
          <cell r="B360">
            <v>0.24930555555555481</v>
          </cell>
          <cell r="C360">
            <v>6</v>
          </cell>
        </row>
        <row r="361">
          <cell r="B361">
            <v>0.24999999999999925</v>
          </cell>
          <cell r="C361">
            <v>6</v>
          </cell>
        </row>
        <row r="362">
          <cell r="B362">
            <v>0.25069444444444372</v>
          </cell>
          <cell r="C362">
            <v>6</v>
          </cell>
        </row>
        <row r="363">
          <cell r="B363">
            <v>0.25138888888888816</v>
          </cell>
          <cell r="C363">
            <v>6</v>
          </cell>
        </row>
        <row r="364">
          <cell r="B364">
            <v>0.2520833333333326</v>
          </cell>
          <cell r="C364">
            <v>6</v>
          </cell>
        </row>
        <row r="365">
          <cell r="B365">
            <v>0.25277777777777705</v>
          </cell>
          <cell r="C365">
            <v>6</v>
          </cell>
        </row>
        <row r="366">
          <cell r="B366">
            <v>0.25347222222222149</v>
          </cell>
          <cell r="C366">
            <v>6</v>
          </cell>
        </row>
        <row r="367">
          <cell r="B367">
            <v>0.25416666666666593</v>
          </cell>
          <cell r="C367">
            <v>6</v>
          </cell>
        </row>
        <row r="368">
          <cell r="B368">
            <v>0.25486111111111037</v>
          </cell>
          <cell r="C368">
            <v>6</v>
          </cell>
        </row>
        <row r="369">
          <cell r="B369">
            <v>0.25555555555555481</v>
          </cell>
          <cell r="C369">
            <v>6</v>
          </cell>
        </row>
        <row r="370">
          <cell r="B370">
            <v>0.25624999999999926</v>
          </cell>
          <cell r="C370">
            <v>6</v>
          </cell>
        </row>
        <row r="371">
          <cell r="B371">
            <v>0.2569444444444437</v>
          </cell>
          <cell r="C371">
            <v>6</v>
          </cell>
        </row>
        <row r="372">
          <cell r="B372">
            <v>0.25763888888888814</v>
          </cell>
          <cell r="C372">
            <v>6</v>
          </cell>
        </row>
        <row r="373">
          <cell r="B373">
            <v>0.25833333333333258</v>
          </cell>
          <cell r="C373">
            <v>6</v>
          </cell>
        </row>
        <row r="374">
          <cell r="B374">
            <v>0.25902777777777702</v>
          </cell>
          <cell r="C374">
            <v>6</v>
          </cell>
        </row>
        <row r="375">
          <cell r="B375">
            <v>0.25972222222222147</v>
          </cell>
          <cell r="C375">
            <v>6</v>
          </cell>
        </row>
        <row r="376">
          <cell r="B376">
            <v>0.26041666666666591</v>
          </cell>
          <cell r="C376">
            <v>6</v>
          </cell>
        </row>
        <row r="377">
          <cell r="B377">
            <v>0.26111111111111035</v>
          </cell>
          <cell r="C377">
            <v>6</v>
          </cell>
        </row>
        <row r="378">
          <cell r="B378">
            <v>0.26180555555555479</v>
          </cell>
          <cell r="C378">
            <v>6</v>
          </cell>
        </row>
        <row r="379">
          <cell r="B379">
            <v>0.26249999999999923</v>
          </cell>
          <cell r="C379">
            <v>6</v>
          </cell>
        </row>
        <row r="380">
          <cell r="B380">
            <v>0.26319444444444368</v>
          </cell>
          <cell r="C380">
            <v>6</v>
          </cell>
        </row>
        <row r="381">
          <cell r="B381">
            <v>0.26388888888888812</v>
          </cell>
          <cell r="C381">
            <v>6</v>
          </cell>
        </row>
        <row r="382">
          <cell r="B382">
            <v>0.26458333333333256</v>
          </cell>
          <cell r="C382">
            <v>6</v>
          </cell>
        </row>
        <row r="383">
          <cell r="B383">
            <v>0.265277777777777</v>
          </cell>
          <cell r="C383">
            <v>6</v>
          </cell>
        </row>
        <row r="384">
          <cell r="B384">
            <v>0.26597222222222144</v>
          </cell>
          <cell r="C384">
            <v>6</v>
          </cell>
        </row>
        <row r="385">
          <cell r="B385">
            <v>0.26666666666666589</v>
          </cell>
          <cell r="C385">
            <v>6</v>
          </cell>
        </row>
        <row r="386">
          <cell r="B386">
            <v>0.26736111111111033</v>
          </cell>
          <cell r="C386">
            <v>6.5</v>
          </cell>
        </row>
        <row r="387">
          <cell r="B387">
            <v>0.26805555555555477</v>
          </cell>
          <cell r="C387">
            <v>6.5</v>
          </cell>
        </row>
        <row r="388">
          <cell r="B388">
            <v>0.26874999999999921</v>
          </cell>
          <cell r="C388">
            <v>6.5</v>
          </cell>
        </row>
        <row r="389">
          <cell r="B389">
            <v>0.26944444444444365</v>
          </cell>
          <cell r="C389">
            <v>6.5</v>
          </cell>
        </row>
        <row r="390">
          <cell r="B390">
            <v>0.2701388888888881</v>
          </cell>
          <cell r="C390">
            <v>6.5</v>
          </cell>
        </row>
        <row r="391">
          <cell r="B391">
            <v>0.27083333333333254</v>
          </cell>
          <cell r="C391">
            <v>6.5</v>
          </cell>
        </row>
        <row r="392">
          <cell r="B392">
            <v>0.27152777777777698</v>
          </cell>
          <cell r="C392">
            <v>6.5</v>
          </cell>
        </row>
        <row r="393">
          <cell r="B393">
            <v>0.27222222222222142</v>
          </cell>
          <cell r="C393">
            <v>6.5</v>
          </cell>
        </row>
        <row r="394">
          <cell r="B394">
            <v>0.27291666666666586</v>
          </cell>
          <cell r="C394">
            <v>6.5</v>
          </cell>
        </row>
        <row r="395">
          <cell r="B395">
            <v>0.27361111111111031</v>
          </cell>
          <cell r="C395">
            <v>6.5</v>
          </cell>
        </row>
        <row r="396">
          <cell r="B396">
            <v>0.27430555555555475</v>
          </cell>
          <cell r="C396">
            <v>6.5</v>
          </cell>
        </row>
        <row r="397">
          <cell r="B397">
            <v>0.27499999999999919</v>
          </cell>
          <cell r="C397">
            <v>6.5</v>
          </cell>
        </row>
        <row r="398">
          <cell r="B398">
            <v>0.27569444444444363</v>
          </cell>
          <cell r="C398">
            <v>6.5</v>
          </cell>
        </row>
        <row r="399">
          <cell r="B399">
            <v>0.27638888888888807</v>
          </cell>
          <cell r="C399">
            <v>6.5</v>
          </cell>
        </row>
        <row r="400">
          <cell r="B400">
            <v>0.27708333333333252</v>
          </cell>
          <cell r="C400">
            <v>6.5</v>
          </cell>
        </row>
        <row r="401">
          <cell r="B401">
            <v>0.27777777777777696</v>
          </cell>
          <cell r="C401">
            <v>6.5</v>
          </cell>
        </row>
        <row r="402">
          <cell r="B402">
            <v>0.2784722222222214</v>
          </cell>
          <cell r="C402">
            <v>6.5</v>
          </cell>
        </row>
        <row r="403">
          <cell r="B403">
            <v>0.27916666666666584</v>
          </cell>
          <cell r="C403">
            <v>6.5</v>
          </cell>
        </row>
        <row r="404">
          <cell r="B404">
            <v>0.27986111111111028</v>
          </cell>
          <cell r="C404">
            <v>6.5</v>
          </cell>
        </row>
        <row r="405">
          <cell r="B405">
            <v>0.28055555555555473</v>
          </cell>
          <cell r="C405">
            <v>6.5</v>
          </cell>
        </row>
        <row r="406">
          <cell r="B406">
            <v>0.28124999999999917</v>
          </cell>
          <cell r="C406">
            <v>6.5</v>
          </cell>
        </row>
        <row r="407">
          <cell r="B407">
            <v>0.28194444444444361</v>
          </cell>
          <cell r="C407">
            <v>6.5</v>
          </cell>
        </row>
        <row r="408">
          <cell r="B408">
            <v>0.28263888888888805</v>
          </cell>
          <cell r="C408">
            <v>6.5</v>
          </cell>
        </row>
        <row r="409">
          <cell r="B409">
            <v>0.28333333333333249</v>
          </cell>
          <cell r="C409">
            <v>6.5</v>
          </cell>
        </row>
        <row r="410">
          <cell r="B410">
            <v>0.28402777777777694</v>
          </cell>
          <cell r="C410">
            <v>6.5</v>
          </cell>
        </row>
        <row r="411">
          <cell r="B411">
            <v>0.28472222222222138</v>
          </cell>
          <cell r="C411">
            <v>6.5</v>
          </cell>
        </row>
        <row r="412">
          <cell r="B412">
            <v>0.28541666666666582</v>
          </cell>
          <cell r="C412">
            <v>6.5</v>
          </cell>
        </row>
        <row r="413">
          <cell r="B413">
            <v>0.28611111111111026</v>
          </cell>
          <cell r="C413">
            <v>6.5</v>
          </cell>
        </row>
        <row r="414">
          <cell r="B414">
            <v>0.2868055555555547</v>
          </cell>
          <cell r="C414">
            <v>6.5</v>
          </cell>
        </row>
        <row r="415">
          <cell r="B415">
            <v>0.28749999999999915</v>
          </cell>
          <cell r="C415">
            <v>6.5</v>
          </cell>
        </row>
        <row r="416">
          <cell r="B416">
            <v>0.28819444444444359</v>
          </cell>
          <cell r="C416">
            <v>7</v>
          </cell>
        </row>
        <row r="417">
          <cell r="B417">
            <v>0.28888888888888803</v>
          </cell>
          <cell r="C417">
            <v>7</v>
          </cell>
        </row>
        <row r="418">
          <cell r="B418">
            <v>0.28958333333333247</v>
          </cell>
          <cell r="C418">
            <v>7</v>
          </cell>
        </row>
        <row r="419">
          <cell r="B419">
            <v>0.29027777777777691</v>
          </cell>
          <cell r="C419">
            <v>7</v>
          </cell>
        </row>
        <row r="420">
          <cell r="B420">
            <v>0.29097222222222136</v>
          </cell>
          <cell r="C420">
            <v>7</v>
          </cell>
        </row>
        <row r="421">
          <cell r="B421">
            <v>0.2916666666666658</v>
          </cell>
          <cell r="C421">
            <v>7</v>
          </cell>
        </row>
        <row r="422">
          <cell r="B422">
            <v>0.29236111111111024</v>
          </cell>
          <cell r="C422">
            <v>7</v>
          </cell>
        </row>
        <row r="423">
          <cell r="B423">
            <v>0.29305555555555468</v>
          </cell>
          <cell r="C423">
            <v>7</v>
          </cell>
        </row>
        <row r="424">
          <cell r="B424">
            <v>0.29374999999999912</v>
          </cell>
          <cell r="C424">
            <v>7</v>
          </cell>
        </row>
        <row r="425">
          <cell r="B425">
            <v>0.29444444444444356</v>
          </cell>
          <cell r="C425">
            <v>7</v>
          </cell>
        </row>
        <row r="426">
          <cell r="B426">
            <v>0.29513888888888801</v>
          </cell>
          <cell r="C426">
            <v>7</v>
          </cell>
        </row>
        <row r="427">
          <cell r="B427">
            <v>0.29583333333333245</v>
          </cell>
          <cell r="C427">
            <v>7</v>
          </cell>
        </row>
        <row r="428">
          <cell r="B428">
            <v>0.29652777777777689</v>
          </cell>
          <cell r="C428">
            <v>7</v>
          </cell>
        </row>
        <row r="429">
          <cell r="B429">
            <v>0.29722222222222133</v>
          </cell>
          <cell r="C429">
            <v>7</v>
          </cell>
        </row>
        <row r="430">
          <cell r="B430">
            <v>0.29791666666666577</v>
          </cell>
          <cell r="C430">
            <v>7</v>
          </cell>
        </row>
        <row r="431">
          <cell r="B431">
            <v>0.29861111111111022</v>
          </cell>
          <cell r="C431">
            <v>7</v>
          </cell>
        </row>
        <row r="432">
          <cell r="B432">
            <v>0.29930555555555466</v>
          </cell>
          <cell r="C432">
            <v>7</v>
          </cell>
        </row>
        <row r="433">
          <cell r="B433">
            <v>0.2999999999999991</v>
          </cell>
          <cell r="C433">
            <v>7</v>
          </cell>
        </row>
        <row r="434">
          <cell r="B434">
            <v>0.30069444444444354</v>
          </cell>
          <cell r="C434">
            <v>7</v>
          </cell>
        </row>
        <row r="435">
          <cell r="B435">
            <v>0.30138888888888798</v>
          </cell>
          <cell r="C435">
            <v>7</v>
          </cell>
        </row>
        <row r="436">
          <cell r="B436">
            <v>0.30208333333333243</v>
          </cell>
          <cell r="C436">
            <v>7</v>
          </cell>
        </row>
        <row r="437">
          <cell r="B437">
            <v>0.30277777777777687</v>
          </cell>
          <cell r="C437">
            <v>7</v>
          </cell>
        </row>
        <row r="438">
          <cell r="B438">
            <v>0.30347222222222131</v>
          </cell>
          <cell r="C438">
            <v>7</v>
          </cell>
        </row>
        <row r="439">
          <cell r="B439">
            <v>0.30416666666666575</v>
          </cell>
          <cell r="C439">
            <v>7</v>
          </cell>
        </row>
        <row r="440">
          <cell r="B440">
            <v>0.30486111111111019</v>
          </cell>
          <cell r="C440">
            <v>7</v>
          </cell>
        </row>
        <row r="441">
          <cell r="B441">
            <v>0.30555555555555464</v>
          </cell>
          <cell r="C441">
            <v>7</v>
          </cell>
        </row>
        <row r="442">
          <cell r="B442">
            <v>0.30624999999999908</v>
          </cell>
          <cell r="C442">
            <v>7</v>
          </cell>
        </row>
        <row r="443">
          <cell r="B443">
            <v>0.30694444444444352</v>
          </cell>
          <cell r="C443">
            <v>7</v>
          </cell>
        </row>
        <row r="444">
          <cell r="B444">
            <v>0.30763888888888796</v>
          </cell>
          <cell r="C444">
            <v>7</v>
          </cell>
        </row>
        <row r="445">
          <cell r="B445">
            <v>0.3083333333333324</v>
          </cell>
          <cell r="C445">
            <v>7</v>
          </cell>
        </row>
        <row r="446">
          <cell r="B446">
            <v>0.30902777777777685</v>
          </cell>
          <cell r="C446">
            <v>7.5</v>
          </cell>
        </row>
        <row r="447">
          <cell r="B447">
            <v>0.30972222222222129</v>
          </cell>
          <cell r="C447">
            <v>7.5</v>
          </cell>
        </row>
        <row r="448">
          <cell r="B448">
            <v>0.31041666666666573</v>
          </cell>
          <cell r="C448">
            <v>7.5</v>
          </cell>
        </row>
        <row r="449">
          <cell r="B449">
            <v>0.31111111111111017</v>
          </cell>
          <cell r="C449">
            <v>7.5</v>
          </cell>
        </row>
        <row r="450">
          <cell r="B450">
            <v>0.31180555555555461</v>
          </cell>
          <cell r="C450">
            <v>7.5</v>
          </cell>
        </row>
        <row r="451">
          <cell r="B451">
            <v>0.31249999999999906</v>
          </cell>
          <cell r="C451">
            <v>7.5</v>
          </cell>
        </row>
        <row r="452">
          <cell r="B452">
            <v>0.3131944444444435</v>
          </cell>
          <cell r="C452">
            <v>7.5</v>
          </cell>
        </row>
        <row r="453">
          <cell r="B453">
            <v>0.31388888888888794</v>
          </cell>
          <cell r="C453">
            <v>7.5</v>
          </cell>
        </row>
        <row r="454">
          <cell r="B454">
            <v>0.31458333333333238</v>
          </cell>
          <cell r="C454">
            <v>7.5</v>
          </cell>
        </row>
        <row r="455">
          <cell r="B455">
            <v>0.31527777777777682</v>
          </cell>
          <cell r="C455">
            <v>7.5</v>
          </cell>
        </row>
        <row r="456">
          <cell r="B456">
            <v>0.31597222222222127</v>
          </cell>
          <cell r="C456">
            <v>7.5</v>
          </cell>
        </row>
        <row r="457">
          <cell r="B457">
            <v>0.31666666666666571</v>
          </cell>
          <cell r="C457">
            <v>7.5</v>
          </cell>
        </row>
        <row r="458">
          <cell r="B458">
            <v>0.31736111111111015</v>
          </cell>
          <cell r="C458">
            <v>7.5</v>
          </cell>
        </row>
        <row r="459">
          <cell r="B459">
            <v>0.31805555555555459</v>
          </cell>
          <cell r="C459">
            <v>7.5</v>
          </cell>
        </row>
        <row r="460">
          <cell r="B460">
            <v>0.31874999999999903</v>
          </cell>
          <cell r="C460">
            <v>7.5</v>
          </cell>
        </row>
        <row r="461">
          <cell r="B461">
            <v>0.31944444444444348</v>
          </cell>
          <cell r="C461">
            <v>7.5</v>
          </cell>
        </row>
        <row r="462">
          <cell r="B462">
            <v>0.32013888888888792</v>
          </cell>
          <cell r="C462">
            <v>7.5</v>
          </cell>
        </row>
        <row r="463">
          <cell r="B463">
            <v>0.32083333333333236</v>
          </cell>
          <cell r="C463">
            <v>7.5</v>
          </cell>
        </row>
        <row r="464">
          <cell r="B464">
            <v>0.3215277777777768</v>
          </cell>
          <cell r="C464">
            <v>7.5</v>
          </cell>
        </row>
        <row r="465">
          <cell r="B465">
            <v>0.32222222222222124</v>
          </cell>
          <cell r="C465">
            <v>7.5</v>
          </cell>
        </row>
        <row r="466">
          <cell r="B466">
            <v>0.32291666666666569</v>
          </cell>
          <cell r="C466">
            <v>7.5</v>
          </cell>
        </row>
        <row r="467">
          <cell r="B467">
            <v>0.32361111111111013</v>
          </cell>
          <cell r="C467">
            <v>7.5</v>
          </cell>
        </row>
        <row r="468">
          <cell r="B468">
            <v>0.32430555555555457</v>
          </cell>
          <cell r="C468">
            <v>7.5</v>
          </cell>
        </row>
        <row r="469">
          <cell r="B469">
            <v>0.32499999999999901</v>
          </cell>
          <cell r="C469">
            <v>7.5</v>
          </cell>
        </row>
        <row r="470">
          <cell r="B470">
            <v>0.32569444444444345</v>
          </cell>
          <cell r="C470">
            <v>7.5</v>
          </cell>
        </row>
        <row r="471">
          <cell r="B471">
            <v>0.3263888888888879</v>
          </cell>
          <cell r="C471">
            <v>7.5</v>
          </cell>
        </row>
        <row r="472">
          <cell r="B472">
            <v>0.32708333333333234</v>
          </cell>
          <cell r="C472">
            <v>7.5</v>
          </cell>
        </row>
        <row r="473">
          <cell r="B473">
            <v>0.32777777777777678</v>
          </cell>
          <cell r="C473">
            <v>7.5</v>
          </cell>
        </row>
        <row r="474">
          <cell r="B474">
            <v>0.32847222222222122</v>
          </cell>
          <cell r="C474">
            <v>7.5</v>
          </cell>
        </row>
        <row r="475">
          <cell r="B475">
            <v>0.32916666666666566</v>
          </cell>
          <cell r="C475">
            <v>7.5</v>
          </cell>
        </row>
        <row r="476">
          <cell r="B476">
            <v>0.32986111111111011</v>
          </cell>
          <cell r="C476">
            <v>8</v>
          </cell>
        </row>
        <row r="477">
          <cell r="B477">
            <v>0.33055555555555455</v>
          </cell>
          <cell r="C477">
            <v>8</v>
          </cell>
        </row>
        <row r="478">
          <cell r="B478">
            <v>0.33124999999999899</v>
          </cell>
          <cell r="C478">
            <v>8</v>
          </cell>
        </row>
        <row r="479">
          <cell r="B479">
            <v>0.33194444444444343</v>
          </cell>
          <cell r="C479">
            <v>8</v>
          </cell>
        </row>
        <row r="480">
          <cell r="B480">
            <v>0.33263888888888787</v>
          </cell>
          <cell r="C480">
            <v>8</v>
          </cell>
        </row>
        <row r="481">
          <cell r="B481">
            <v>0.33333333333333232</v>
          </cell>
          <cell r="C481">
            <v>8</v>
          </cell>
        </row>
        <row r="482">
          <cell r="B482">
            <v>0.33402777777777676</v>
          </cell>
          <cell r="C482">
            <v>8</v>
          </cell>
        </row>
        <row r="483">
          <cell r="B483">
            <v>0.3347222222222212</v>
          </cell>
          <cell r="C483">
            <v>8</v>
          </cell>
        </row>
        <row r="484">
          <cell r="B484">
            <v>0.33541666666666564</v>
          </cell>
          <cell r="C484">
            <v>8</v>
          </cell>
        </row>
        <row r="485">
          <cell r="B485">
            <v>0.33611111111111008</v>
          </cell>
          <cell r="C485">
            <v>8</v>
          </cell>
        </row>
        <row r="486">
          <cell r="B486">
            <v>0.33680555555555453</v>
          </cell>
          <cell r="C486">
            <v>8</v>
          </cell>
        </row>
        <row r="487">
          <cell r="B487">
            <v>0.33749999999999897</v>
          </cell>
          <cell r="C487">
            <v>8</v>
          </cell>
        </row>
        <row r="488">
          <cell r="B488">
            <v>0.33819444444444341</v>
          </cell>
          <cell r="C488">
            <v>8</v>
          </cell>
        </row>
        <row r="489">
          <cell r="B489">
            <v>0.33888888888888785</v>
          </cell>
          <cell r="C489">
            <v>8</v>
          </cell>
        </row>
        <row r="490">
          <cell r="B490">
            <v>0.33958333333333229</v>
          </cell>
          <cell r="C490">
            <v>8</v>
          </cell>
        </row>
        <row r="491">
          <cell r="B491">
            <v>0.34027777777777674</v>
          </cell>
          <cell r="C491">
            <v>8</v>
          </cell>
        </row>
        <row r="492">
          <cell r="B492">
            <v>0.34097222222222118</v>
          </cell>
          <cell r="C492">
            <v>8</v>
          </cell>
        </row>
        <row r="493">
          <cell r="B493">
            <v>0.34166666666666562</v>
          </cell>
          <cell r="C493">
            <v>8</v>
          </cell>
        </row>
        <row r="494">
          <cell r="B494">
            <v>0.34236111111111006</v>
          </cell>
          <cell r="C494">
            <v>8</v>
          </cell>
        </row>
        <row r="495">
          <cell r="B495">
            <v>0.3430555555555545</v>
          </cell>
          <cell r="C495">
            <v>8</v>
          </cell>
        </row>
        <row r="496">
          <cell r="B496">
            <v>0.34374999999999895</v>
          </cell>
          <cell r="C496">
            <v>8</v>
          </cell>
        </row>
        <row r="497">
          <cell r="B497">
            <v>0.34444444444444339</v>
          </cell>
          <cell r="C497">
            <v>8</v>
          </cell>
        </row>
        <row r="498">
          <cell r="B498">
            <v>0.34513888888888783</v>
          </cell>
          <cell r="C498">
            <v>8</v>
          </cell>
        </row>
        <row r="499">
          <cell r="B499">
            <v>0.34583333333333227</v>
          </cell>
          <cell r="C499">
            <v>8</v>
          </cell>
        </row>
        <row r="500">
          <cell r="B500">
            <v>0.34652777777777671</v>
          </cell>
          <cell r="C500">
            <v>8</v>
          </cell>
        </row>
        <row r="501">
          <cell r="B501">
            <v>0.34722222222222116</v>
          </cell>
          <cell r="C501">
            <v>8</v>
          </cell>
        </row>
        <row r="502">
          <cell r="B502">
            <v>0.3479166666666656</v>
          </cell>
          <cell r="C502">
            <v>8</v>
          </cell>
        </row>
        <row r="503">
          <cell r="B503">
            <v>0.34861111111111004</v>
          </cell>
          <cell r="C503">
            <v>8</v>
          </cell>
        </row>
        <row r="504">
          <cell r="B504">
            <v>0.34930555555555448</v>
          </cell>
          <cell r="C504">
            <v>8</v>
          </cell>
        </row>
        <row r="505">
          <cell r="B505">
            <v>0.34999999999999892</v>
          </cell>
          <cell r="C505">
            <v>8</v>
          </cell>
        </row>
        <row r="506">
          <cell r="B506">
            <v>0.35069444444444337</v>
          </cell>
          <cell r="C506">
            <v>8.5</v>
          </cell>
        </row>
        <row r="507">
          <cell r="B507">
            <v>0.35138888888888781</v>
          </cell>
          <cell r="C507">
            <v>8.5</v>
          </cell>
        </row>
        <row r="508">
          <cell r="B508">
            <v>0.35208333333333225</v>
          </cell>
          <cell r="C508">
            <v>8.5</v>
          </cell>
        </row>
        <row r="509">
          <cell r="B509">
            <v>0.35277777777777669</v>
          </cell>
          <cell r="C509">
            <v>8.5</v>
          </cell>
        </row>
        <row r="510">
          <cell r="B510">
            <v>0.35347222222222113</v>
          </cell>
          <cell r="C510">
            <v>8.5</v>
          </cell>
        </row>
        <row r="511">
          <cell r="B511">
            <v>0.35416666666666557</v>
          </cell>
          <cell r="C511">
            <v>8.5</v>
          </cell>
        </row>
        <row r="512">
          <cell r="B512">
            <v>0.35486111111111002</v>
          </cell>
          <cell r="C512">
            <v>8.5</v>
          </cell>
        </row>
        <row r="513">
          <cell r="B513">
            <v>0.35555555555555446</v>
          </cell>
          <cell r="C513">
            <v>8.5</v>
          </cell>
        </row>
        <row r="514">
          <cell r="B514">
            <v>0.3562499999999989</v>
          </cell>
          <cell r="C514">
            <v>8.5</v>
          </cell>
        </row>
        <row r="515">
          <cell r="B515">
            <v>0.35694444444444334</v>
          </cell>
          <cell r="C515">
            <v>8.5</v>
          </cell>
        </row>
        <row r="516">
          <cell r="B516">
            <v>0.35763888888888778</v>
          </cell>
          <cell r="C516">
            <v>8.5</v>
          </cell>
        </row>
        <row r="517">
          <cell r="B517">
            <v>0.35833333333333223</v>
          </cell>
          <cell r="C517">
            <v>8.5</v>
          </cell>
        </row>
        <row r="518">
          <cell r="B518">
            <v>0.35902777777777667</v>
          </cell>
          <cell r="C518">
            <v>8.5</v>
          </cell>
        </row>
        <row r="519">
          <cell r="B519">
            <v>0.35972222222222111</v>
          </cell>
          <cell r="C519">
            <v>8.5</v>
          </cell>
        </row>
        <row r="520">
          <cell r="B520">
            <v>0.36041666666666555</v>
          </cell>
          <cell r="C520">
            <v>8.5</v>
          </cell>
        </row>
        <row r="521">
          <cell r="B521">
            <v>0.36111111111110999</v>
          </cell>
          <cell r="C521">
            <v>8.5</v>
          </cell>
        </row>
        <row r="522">
          <cell r="B522">
            <v>0.36180555555555444</v>
          </cell>
          <cell r="C522">
            <v>8.5</v>
          </cell>
        </row>
        <row r="523">
          <cell r="B523">
            <v>0.36249999999999888</v>
          </cell>
          <cell r="C523">
            <v>8.5</v>
          </cell>
        </row>
        <row r="524">
          <cell r="B524">
            <v>0.36319444444444332</v>
          </cell>
          <cell r="C524">
            <v>8.5</v>
          </cell>
        </row>
        <row r="525">
          <cell r="B525">
            <v>0.36388888888888776</v>
          </cell>
          <cell r="C525">
            <v>8.5</v>
          </cell>
        </row>
        <row r="526">
          <cell r="B526">
            <v>0.3645833333333322</v>
          </cell>
          <cell r="C526">
            <v>8.5</v>
          </cell>
        </row>
        <row r="527">
          <cell r="B527">
            <v>0.36527777777777665</v>
          </cell>
          <cell r="C527">
            <v>8.5</v>
          </cell>
        </row>
        <row r="528">
          <cell r="B528">
            <v>0.36597222222222109</v>
          </cell>
          <cell r="C528">
            <v>8.5</v>
          </cell>
        </row>
        <row r="529">
          <cell r="B529">
            <v>0.36666666666666553</v>
          </cell>
          <cell r="C529">
            <v>8.5</v>
          </cell>
        </row>
        <row r="530">
          <cell r="B530">
            <v>0.36736111111110997</v>
          </cell>
          <cell r="C530">
            <v>8.5</v>
          </cell>
        </row>
        <row r="531">
          <cell r="B531">
            <v>0.36805555555555441</v>
          </cell>
          <cell r="C531">
            <v>8.5</v>
          </cell>
        </row>
        <row r="532">
          <cell r="B532">
            <v>0.36874999999999886</v>
          </cell>
          <cell r="C532">
            <v>8.5</v>
          </cell>
        </row>
        <row r="533">
          <cell r="B533">
            <v>0.3694444444444433</v>
          </cell>
          <cell r="C533">
            <v>8.5</v>
          </cell>
        </row>
        <row r="534">
          <cell r="B534">
            <v>0.37013888888888774</v>
          </cell>
          <cell r="C534">
            <v>8.5</v>
          </cell>
        </row>
        <row r="535">
          <cell r="B535">
            <v>0.37083333333333218</v>
          </cell>
          <cell r="C535">
            <v>8.5</v>
          </cell>
        </row>
        <row r="536">
          <cell r="B536">
            <v>0.37152777777777662</v>
          </cell>
          <cell r="C536">
            <v>9</v>
          </cell>
        </row>
        <row r="537">
          <cell r="B537">
            <v>0.37222222222222107</v>
          </cell>
          <cell r="C537">
            <v>9</v>
          </cell>
        </row>
        <row r="538">
          <cell r="B538">
            <v>0.37291666666666551</v>
          </cell>
          <cell r="C538">
            <v>9</v>
          </cell>
        </row>
        <row r="539">
          <cell r="B539">
            <v>0.37361111111110995</v>
          </cell>
          <cell r="C539">
            <v>9</v>
          </cell>
        </row>
        <row r="540">
          <cell r="B540">
            <v>0.37430555555555439</v>
          </cell>
          <cell r="C540">
            <v>9</v>
          </cell>
        </row>
        <row r="541">
          <cell r="B541">
            <v>0.37499999999999883</v>
          </cell>
          <cell r="C541">
            <v>9</v>
          </cell>
        </row>
        <row r="542">
          <cell r="B542">
            <v>0.37569444444444328</v>
          </cell>
          <cell r="C542">
            <v>9</v>
          </cell>
        </row>
        <row r="543">
          <cell r="B543">
            <v>0.37638888888888772</v>
          </cell>
          <cell r="C543">
            <v>9</v>
          </cell>
        </row>
        <row r="544">
          <cell r="B544">
            <v>0.37708333333333216</v>
          </cell>
          <cell r="C544">
            <v>9</v>
          </cell>
        </row>
        <row r="545">
          <cell r="B545">
            <v>0.3777777777777766</v>
          </cell>
          <cell r="C545">
            <v>9</v>
          </cell>
        </row>
        <row r="546">
          <cell r="B546">
            <v>0.37847222222222104</v>
          </cell>
          <cell r="C546">
            <v>9</v>
          </cell>
        </row>
        <row r="547">
          <cell r="B547">
            <v>0.37916666666666549</v>
          </cell>
          <cell r="C547">
            <v>9</v>
          </cell>
        </row>
        <row r="548">
          <cell r="B548">
            <v>0.37986111111110993</v>
          </cell>
          <cell r="C548">
            <v>9</v>
          </cell>
        </row>
        <row r="549">
          <cell r="B549">
            <v>0.38055555555555437</v>
          </cell>
          <cell r="C549">
            <v>9</v>
          </cell>
        </row>
        <row r="550">
          <cell r="B550">
            <v>0.38124999999999881</v>
          </cell>
          <cell r="C550">
            <v>9</v>
          </cell>
        </row>
        <row r="551">
          <cell r="B551">
            <v>0.38194444444444325</v>
          </cell>
          <cell r="C551">
            <v>9</v>
          </cell>
        </row>
        <row r="552">
          <cell r="B552">
            <v>0.3826388888888877</v>
          </cell>
          <cell r="C552">
            <v>9</v>
          </cell>
        </row>
        <row r="553">
          <cell r="B553">
            <v>0.38333333333333214</v>
          </cell>
          <cell r="C553">
            <v>9</v>
          </cell>
        </row>
        <row r="554">
          <cell r="B554">
            <v>0.38402777777777658</v>
          </cell>
          <cell r="C554">
            <v>9</v>
          </cell>
        </row>
        <row r="555">
          <cell r="B555">
            <v>0.38472222222222102</v>
          </cell>
          <cell r="C555">
            <v>9</v>
          </cell>
        </row>
        <row r="556">
          <cell r="B556">
            <v>0.38541666666666546</v>
          </cell>
          <cell r="C556">
            <v>9</v>
          </cell>
        </row>
        <row r="557">
          <cell r="B557">
            <v>0.38611111111110991</v>
          </cell>
          <cell r="C557">
            <v>9</v>
          </cell>
        </row>
        <row r="558">
          <cell r="B558">
            <v>0.38680555555555435</v>
          </cell>
          <cell r="C558">
            <v>9</v>
          </cell>
        </row>
        <row r="559">
          <cell r="B559">
            <v>0.38749999999999879</v>
          </cell>
          <cell r="C559">
            <v>9</v>
          </cell>
        </row>
        <row r="560">
          <cell r="B560">
            <v>0.38819444444444323</v>
          </cell>
          <cell r="C560">
            <v>9</v>
          </cell>
        </row>
        <row r="561">
          <cell r="B561">
            <v>0.38888888888888767</v>
          </cell>
          <cell r="C561">
            <v>9</v>
          </cell>
        </row>
        <row r="562">
          <cell r="B562">
            <v>0.38958333333333212</v>
          </cell>
          <cell r="C562">
            <v>9</v>
          </cell>
        </row>
        <row r="563">
          <cell r="B563">
            <v>0.39027777777777656</v>
          </cell>
          <cell r="C563">
            <v>9</v>
          </cell>
        </row>
        <row r="564">
          <cell r="B564">
            <v>0.390972222222221</v>
          </cell>
          <cell r="C564">
            <v>9</v>
          </cell>
        </row>
        <row r="565">
          <cell r="B565">
            <v>0.39166666666666544</v>
          </cell>
          <cell r="C565">
            <v>9</v>
          </cell>
        </row>
        <row r="566">
          <cell r="B566">
            <v>0.39236111111110988</v>
          </cell>
          <cell r="C566">
            <v>9.5</v>
          </cell>
        </row>
        <row r="567">
          <cell r="B567">
            <v>0.39305555555555433</v>
          </cell>
          <cell r="C567">
            <v>9.5</v>
          </cell>
        </row>
        <row r="568">
          <cell r="B568">
            <v>0.39374999999999877</v>
          </cell>
          <cell r="C568">
            <v>9.5</v>
          </cell>
        </row>
        <row r="569">
          <cell r="B569">
            <v>0.39444444444444321</v>
          </cell>
          <cell r="C569">
            <v>9.5</v>
          </cell>
        </row>
        <row r="570">
          <cell r="B570">
            <v>0.39513888888888765</v>
          </cell>
          <cell r="C570">
            <v>9.5</v>
          </cell>
        </row>
        <row r="571">
          <cell r="B571">
            <v>0.39583333333333209</v>
          </cell>
          <cell r="C571">
            <v>9.5</v>
          </cell>
        </row>
        <row r="572">
          <cell r="B572">
            <v>0.39652777777777654</v>
          </cell>
          <cell r="C572">
            <v>9.5</v>
          </cell>
        </row>
        <row r="573">
          <cell r="B573">
            <v>0.39722222222222098</v>
          </cell>
          <cell r="C573">
            <v>9.5</v>
          </cell>
        </row>
        <row r="574">
          <cell r="B574">
            <v>0.39791666666666542</v>
          </cell>
          <cell r="C574">
            <v>9.5</v>
          </cell>
        </row>
        <row r="575">
          <cell r="B575">
            <v>0.39861111111110986</v>
          </cell>
          <cell r="C575">
            <v>9.5</v>
          </cell>
        </row>
        <row r="576">
          <cell r="B576">
            <v>0.3993055555555543</v>
          </cell>
          <cell r="C576">
            <v>9.5</v>
          </cell>
        </row>
        <row r="577">
          <cell r="B577">
            <v>0.39999999999999875</v>
          </cell>
          <cell r="C577">
            <v>9.5</v>
          </cell>
        </row>
        <row r="578">
          <cell r="B578">
            <v>0.40069444444444319</v>
          </cell>
          <cell r="C578">
            <v>9.5</v>
          </cell>
        </row>
        <row r="579">
          <cell r="B579">
            <v>0.40138888888888763</v>
          </cell>
          <cell r="C579">
            <v>9.5</v>
          </cell>
        </row>
        <row r="580">
          <cell r="B580">
            <v>0.40208333333333207</v>
          </cell>
          <cell r="C580">
            <v>9.5</v>
          </cell>
        </row>
        <row r="581">
          <cell r="B581">
            <v>0.40277777777777651</v>
          </cell>
          <cell r="C581">
            <v>9.5</v>
          </cell>
        </row>
        <row r="582">
          <cell r="B582">
            <v>0.40347222222222096</v>
          </cell>
          <cell r="C582">
            <v>9.5</v>
          </cell>
        </row>
        <row r="583">
          <cell r="B583">
            <v>0.4041666666666654</v>
          </cell>
          <cell r="C583">
            <v>9.5</v>
          </cell>
        </row>
        <row r="584">
          <cell r="B584">
            <v>0.40486111111110984</v>
          </cell>
          <cell r="C584">
            <v>9.5</v>
          </cell>
        </row>
        <row r="585">
          <cell r="B585">
            <v>0.40555555555555428</v>
          </cell>
          <cell r="C585">
            <v>9.5</v>
          </cell>
        </row>
        <row r="586">
          <cell r="B586">
            <v>0.40624999999999872</v>
          </cell>
          <cell r="C586">
            <v>9.5</v>
          </cell>
        </row>
        <row r="587">
          <cell r="B587">
            <v>0.40694444444444317</v>
          </cell>
          <cell r="C587">
            <v>9.5</v>
          </cell>
        </row>
        <row r="588">
          <cell r="B588">
            <v>0.40763888888888761</v>
          </cell>
          <cell r="C588">
            <v>9.5</v>
          </cell>
        </row>
        <row r="589">
          <cell r="B589">
            <v>0.40833333333333205</v>
          </cell>
          <cell r="C589">
            <v>9.5</v>
          </cell>
        </row>
        <row r="590">
          <cell r="B590">
            <v>0.40902777777777649</v>
          </cell>
          <cell r="C590">
            <v>9.5</v>
          </cell>
        </row>
        <row r="591">
          <cell r="B591">
            <v>0.40972222222222093</v>
          </cell>
          <cell r="C591">
            <v>9.5</v>
          </cell>
        </row>
        <row r="592">
          <cell r="B592">
            <v>0.41041666666666538</v>
          </cell>
          <cell r="C592">
            <v>9.5</v>
          </cell>
        </row>
        <row r="593">
          <cell r="B593">
            <v>0.41111111111110982</v>
          </cell>
          <cell r="C593">
            <v>9.5</v>
          </cell>
        </row>
        <row r="594">
          <cell r="B594">
            <v>0.41180555555555426</v>
          </cell>
          <cell r="C594">
            <v>9.5</v>
          </cell>
        </row>
        <row r="595">
          <cell r="B595">
            <v>0.4124999999999987</v>
          </cell>
          <cell r="C595">
            <v>9.5</v>
          </cell>
        </row>
        <row r="596">
          <cell r="B596">
            <v>0.41319444444444314</v>
          </cell>
          <cell r="C596">
            <v>10</v>
          </cell>
        </row>
        <row r="597">
          <cell r="B597">
            <v>0.41388888888888758</v>
          </cell>
          <cell r="C597">
            <v>10</v>
          </cell>
        </row>
        <row r="598">
          <cell r="B598">
            <v>0.41458333333333203</v>
          </cell>
          <cell r="C598">
            <v>10</v>
          </cell>
        </row>
        <row r="599">
          <cell r="B599">
            <v>0.41527777777777647</v>
          </cell>
          <cell r="C599">
            <v>10</v>
          </cell>
        </row>
        <row r="600">
          <cell r="B600">
            <v>0.41597222222222091</v>
          </cell>
          <cell r="C600">
            <v>10</v>
          </cell>
        </row>
        <row r="601">
          <cell r="B601">
            <v>0.41666666666666535</v>
          </cell>
          <cell r="C601">
            <v>10</v>
          </cell>
        </row>
        <row r="602">
          <cell r="B602">
            <v>0.41736111111110979</v>
          </cell>
          <cell r="C602">
            <v>10</v>
          </cell>
        </row>
        <row r="603">
          <cell r="B603">
            <v>0.41805555555555424</v>
          </cell>
          <cell r="C603">
            <v>10</v>
          </cell>
        </row>
        <row r="604">
          <cell r="B604">
            <v>0.41874999999999868</v>
          </cell>
          <cell r="C604">
            <v>10</v>
          </cell>
        </row>
        <row r="605">
          <cell r="B605">
            <v>0.41944444444444312</v>
          </cell>
          <cell r="C605">
            <v>10</v>
          </cell>
        </row>
        <row r="606">
          <cell r="B606">
            <v>0.42013888888888756</v>
          </cell>
          <cell r="C606">
            <v>10</v>
          </cell>
        </row>
        <row r="607">
          <cell r="B607">
            <v>0.420833333333332</v>
          </cell>
          <cell r="C607">
            <v>10</v>
          </cell>
        </row>
        <row r="608">
          <cell r="B608">
            <v>0.42152777777777645</v>
          </cell>
          <cell r="C608">
            <v>10</v>
          </cell>
        </row>
        <row r="609">
          <cell r="B609">
            <v>0.42222222222222089</v>
          </cell>
          <cell r="C609">
            <v>10</v>
          </cell>
        </row>
        <row r="610">
          <cell r="B610">
            <v>0.42291666666666533</v>
          </cell>
          <cell r="C610">
            <v>10</v>
          </cell>
        </row>
        <row r="611">
          <cell r="B611">
            <v>0.42361111111110977</v>
          </cell>
          <cell r="C611">
            <v>10</v>
          </cell>
        </row>
        <row r="612">
          <cell r="B612">
            <v>0.42430555555555421</v>
          </cell>
          <cell r="C612">
            <v>10</v>
          </cell>
        </row>
        <row r="613">
          <cell r="B613">
            <v>0.42499999999999866</v>
          </cell>
          <cell r="C613">
            <v>10</v>
          </cell>
        </row>
        <row r="614">
          <cell r="B614">
            <v>0.4256944444444431</v>
          </cell>
          <cell r="C614">
            <v>10</v>
          </cell>
        </row>
        <row r="615">
          <cell r="B615">
            <v>0.42638888888888754</v>
          </cell>
          <cell r="C615">
            <v>10</v>
          </cell>
        </row>
        <row r="616">
          <cell r="B616">
            <v>0.42708333333333198</v>
          </cell>
          <cell r="C616">
            <v>10</v>
          </cell>
        </row>
        <row r="617">
          <cell r="B617">
            <v>0.42777777777777642</v>
          </cell>
          <cell r="C617">
            <v>10</v>
          </cell>
        </row>
        <row r="618">
          <cell r="B618">
            <v>0.42847222222222087</v>
          </cell>
          <cell r="C618">
            <v>10</v>
          </cell>
        </row>
        <row r="619">
          <cell r="B619">
            <v>0.42916666666666531</v>
          </cell>
          <cell r="C619">
            <v>10</v>
          </cell>
        </row>
        <row r="620">
          <cell r="B620">
            <v>0.42986111111110975</v>
          </cell>
          <cell r="C620">
            <v>10</v>
          </cell>
        </row>
        <row r="621">
          <cell r="B621">
            <v>0.43055555555555419</v>
          </cell>
          <cell r="C621">
            <v>10</v>
          </cell>
        </row>
        <row r="622">
          <cell r="B622">
            <v>0.43124999999999863</v>
          </cell>
          <cell r="C622">
            <v>10</v>
          </cell>
        </row>
        <row r="623">
          <cell r="B623">
            <v>0.43194444444444308</v>
          </cell>
          <cell r="C623">
            <v>10</v>
          </cell>
        </row>
        <row r="624">
          <cell r="B624">
            <v>0.43263888888888752</v>
          </cell>
          <cell r="C624">
            <v>10</v>
          </cell>
        </row>
        <row r="625">
          <cell r="B625">
            <v>0.43333333333333196</v>
          </cell>
          <cell r="C625">
            <v>10</v>
          </cell>
        </row>
        <row r="626">
          <cell r="B626">
            <v>0.4340277777777764</v>
          </cell>
          <cell r="C626">
            <v>10.5</v>
          </cell>
        </row>
        <row r="627">
          <cell r="B627">
            <v>0.43472222222222084</v>
          </cell>
          <cell r="C627">
            <v>10.5</v>
          </cell>
        </row>
        <row r="628">
          <cell r="B628">
            <v>0.43541666666666529</v>
          </cell>
          <cell r="C628">
            <v>10.5</v>
          </cell>
        </row>
        <row r="629">
          <cell r="B629">
            <v>0.43611111111110973</v>
          </cell>
          <cell r="C629">
            <v>10.5</v>
          </cell>
        </row>
        <row r="630">
          <cell r="B630">
            <v>0.43680555555555417</v>
          </cell>
          <cell r="C630">
            <v>10.5</v>
          </cell>
        </row>
        <row r="631">
          <cell r="B631">
            <v>0.43749999999999861</v>
          </cell>
          <cell r="C631">
            <v>10.5</v>
          </cell>
        </row>
        <row r="632">
          <cell r="B632">
            <v>0.43819444444444305</v>
          </cell>
          <cell r="C632">
            <v>10.5</v>
          </cell>
        </row>
        <row r="633">
          <cell r="B633">
            <v>0.4388888888888875</v>
          </cell>
          <cell r="C633">
            <v>10.5</v>
          </cell>
        </row>
        <row r="634">
          <cell r="B634">
            <v>0.43958333333333194</v>
          </cell>
          <cell r="C634">
            <v>10.5</v>
          </cell>
        </row>
        <row r="635">
          <cell r="B635">
            <v>0.44027777777777638</v>
          </cell>
          <cell r="C635">
            <v>10.5</v>
          </cell>
        </row>
        <row r="636">
          <cell r="B636">
            <v>0.44097222222222082</v>
          </cell>
          <cell r="C636">
            <v>10.5</v>
          </cell>
        </row>
        <row r="637">
          <cell r="B637">
            <v>0.44166666666666526</v>
          </cell>
          <cell r="C637">
            <v>10.5</v>
          </cell>
        </row>
        <row r="638">
          <cell r="B638">
            <v>0.44236111111110971</v>
          </cell>
          <cell r="C638">
            <v>10.5</v>
          </cell>
        </row>
        <row r="639">
          <cell r="B639">
            <v>0.44305555555555415</v>
          </cell>
          <cell r="C639">
            <v>10.5</v>
          </cell>
        </row>
        <row r="640">
          <cell r="B640">
            <v>0.44374999999999859</v>
          </cell>
          <cell r="C640">
            <v>10.5</v>
          </cell>
        </row>
        <row r="641">
          <cell r="B641">
            <v>0.44444444444444303</v>
          </cell>
          <cell r="C641">
            <v>10.5</v>
          </cell>
        </row>
        <row r="642">
          <cell r="B642">
            <v>0.44513888888888747</v>
          </cell>
          <cell r="C642">
            <v>10.5</v>
          </cell>
        </row>
        <row r="643">
          <cell r="B643">
            <v>0.44583333333333192</v>
          </cell>
          <cell r="C643">
            <v>10.5</v>
          </cell>
        </row>
        <row r="644">
          <cell r="B644">
            <v>0.44652777777777636</v>
          </cell>
          <cell r="C644">
            <v>10.5</v>
          </cell>
        </row>
        <row r="645">
          <cell r="B645">
            <v>0.4472222222222208</v>
          </cell>
          <cell r="C645">
            <v>10.5</v>
          </cell>
        </row>
        <row r="646">
          <cell r="B646">
            <v>0.44791666666666524</v>
          </cell>
          <cell r="C646">
            <v>10.5</v>
          </cell>
        </row>
        <row r="647">
          <cell r="B647">
            <v>0.44861111111110968</v>
          </cell>
          <cell r="C647">
            <v>10.5</v>
          </cell>
        </row>
        <row r="648">
          <cell r="B648">
            <v>0.44930555555555413</v>
          </cell>
          <cell r="C648">
            <v>10.5</v>
          </cell>
        </row>
        <row r="649">
          <cell r="B649">
            <v>0.44999999999999857</v>
          </cell>
          <cell r="C649">
            <v>10.5</v>
          </cell>
        </row>
        <row r="650">
          <cell r="B650">
            <v>0.45069444444444301</v>
          </cell>
          <cell r="C650">
            <v>10.5</v>
          </cell>
        </row>
        <row r="651">
          <cell r="B651">
            <v>0.45138888888888745</v>
          </cell>
          <cell r="C651">
            <v>10.5</v>
          </cell>
        </row>
        <row r="652">
          <cell r="B652">
            <v>0.45208333333333189</v>
          </cell>
          <cell r="C652">
            <v>10.5</v>
          </cell>
        </row>
        <row r="653">
          <cell r="B653">
            <v>0.45277777777777634</v>
          </cell>
          <cell r="C653">
            <v>10.5</v>
          </cell>
        </row>
        <row r="654">
          <cell r="B654">
            <v>0.45347222222222078</v>
          </cell>
          <cell r="C654">
            <v>10.5</v>
          </cell>
        </row>
        <row r="655">
          <cell r="B655">
            <v>0.45416666666666522</v>
          </cell>
          <cell r="C655">
            <v>10.5</v>
          </cell>
        </row>
        <row r="656">
          <cell r="B656">
            <v>0.45486111111110966</v>
          </cell>
          <cell r="C656">
            <v>11</v>
          </cell>
        </row>
        <row r="657">
          <cell r="B657">
            <v>0.4555555555555541</v>
          </cell>
          <cell r="C657">
            <v>11</v>
          </cell>
        </row>
        <row r="658">
          <cell r="B658">
            <v>0.45624999999999855</v>
          </cell>
          <cell r="C658">
            <v>11</v>
          </cell>
        </row>
        <row r="659">
          <cell r="B659">
            <v>0.45694444444444299</v>
          </cell>
          <cell r="C659">
            <v>11</v>
          </cell>
        </row>
        <row r="660">
          <cell r="B660">
            <v>0.45763888888888743</v>
          </cell>
          <cell r="C660">
            <v>11</v>
          </cell>
        </row>
        <row r="661">
          <cell r="B661">
            <v>0.45833333333333187</v>
          </cell>
          <cell r="C661">
            <v>11</v>
          </cell>
        </row>
        <row r="662">
          <cell r="B662">
            <v>0.45902777777777631</v>
          </cell>
          <cell r="C662">
            <v>11</v>
          </cell>
        </row>
        <row r="663">
          <cell r="B663">
            <v>0.45972222222222076</v>
          </cell>
          <cell r="C663">
            <v>11</v>
          </cell>
        </row>
        <row r="664">
          <cell r="B664">
            <v>0.4604166666666652</v>
          </cell>
          <cell r="C664">
            <v>11</v>
          </cell>
        </row>
        <row r="665">
          <cell r="B665">
            <v>0.46111111111110964</v>
          </cell>
          <cell r="C665">
            <v>11</v>
          </cell>
        </row>
        <row r="666">
          <cell r="B666">
            <v>0.46180555555555408</v>
          </cell>
          <cell r="C666">
            <v>11</v>
          </cell>
        </row>
        <row r="667">
          <cell r="B667">
            <v>0.46249999999999852</v>
          </cell>
          <cell r="C667">
            <v>11</v>
          </cell>
        </row>
        <row r="668">
          <cell r="B668">
            <v>0.46319444444444297</v>
          </cell>
          <cell r="C668">
            <v>11</v>
          </cell>
        </row>
        <row r="669">
          <cell r="B669">
            <v>0.46388888888888741</v>
          </cell>
          <cell r="C669">
            <v>11</v>
          </cell>
        </row>
        <row r="670">
          <cell r="B670">
            <v>0.46458333333333185</v>
          </cell>
          <cell r="C670">
            <v>11</v>
          </cell>
        </row>
        <row r="671">
          <cell r="B671">
            <v>0.46527777777777629</v>
          </cell>
          <cell r="C671">
            <v>11</v>
          </cell>
        </row>
        <row r="672">
          <cell r="B672">
            <v>0.46597222222222073</v>
          </cell>
          <cell r="C672">
            <v>11</v>
          </cell>
        </row>
        <row r="673">
          <cell r="B673">
            <v>0.46666666666666518</v>
          </cell>
          <cell r="C673">
            <v>11</v>
          </cell>
        </row>
        <row r="674">
          <cell r="B674">
            <v>0.46736111111110962</v>
          </cell>
          <cell r="C674">
            <v>11</v>
          </cell>
        </row>
        <row r="675">
          <cell r="B675">
            <v>0.46805555555555406</v>
          </cell>
          <cell r="C675">
            <v>11</v>
          </cell>
        </row>
        <row r="676">
          <cell r="B676">
            <v>0.4687499999999985</v>
          </cell>
          <cell r="C676">
            <v>11</v>
          </cell>
        </row>
        <row r="677">
          <cell r="B677">
            <v>0.46944444444444294</v>
          </cell>
          <cell r="C677">
            <v>11</v>
          </cell>
        </row>
        <row r="678">
          <cell r="B678">
            <v>0.47013888888888739</v>
          </cell>
          <cell r="C678">
            <v>11</v>
          </cell>
        </row>
        <row r="679">
          <cell r="B679">
            <v>0.47083333333333183</v>
          </cell>
          <cell r="C679">
            <v>11</v>
          </cell>
        </row>
        <row r="680">
          <cell r="B680">
            <v>0.47152777777777627</v>
          </cell>
          <cell r="C680">
            <v>11</v>
          </cell>
        </row>
        <row r="681">
          <cell r="B681">
            <v>0.47222222222222071</v>
          </cell>
          <cell r="C681">
            <v>11</v>
          </cell>
        </row>
        <row r="682">
          <cell r="B682">
            <v>0.47291666666666515</v>
          </cell>
          <cell r="C682">
            <v>11</v>
          </cell>
        </row>
        <row r="683">
          <cell r="B683">
            <v>0.4736111111111096</v>
          </cell>
          <cell r="C683">
            <v>11</v>
          </cell>
        </row>
        <row r="684">
          <cell r="B684">
            <v>0.47430555555555404</v>
          </cell>
          <cell r="C684">
            <v>11</v>
          </cell>
        </row>
        <row r="685">
          <cell r="B685">
            <v>0.47499999999999848</v>
          </cell>
          <cell r="C685">
            <v>11</v>
          </cell>
        </row>
        <row r="686">
          <cell r="B686">
            <v>0.47569444444444292</v>
          </cell>
          <cell r="C686">
            <v>11.5</v>
          </cell>
        </row>
        <row r="687">
          <cell r="B687">
            <v>0.47638888888888736</v>
          </cell>
          <cell r="C687">
            <v>11.5</v>
          </cell>
        </row>
        <row r="688">
          <cell r="B688">
            <v>0.4770833333333318</v>
          </cell>
          <cell r="C688">
            <v>11.5</v>
          </cell>
        </row>
        <row r="689">
          <cell r="B689">
            <v>0.47777777777777625</v>
          </cell>
          <cell r="C689">
            <v>11.5</v>
          </cell>
        </row>
        <row r="690">
          <cell r="B690">
            <v>0.47847222222222069</v>
          </cell>
          <cell r="C690">
            <v>11.5</v>
          </cell>
        </row>
        <row r="691">
          <cell r="B691">
            <v>0.47916666666666513</v>
          </cell>
          <cell r="C691">
            <v>11.5</v>
          </cell>
        </row>
        <row r="692">
          <cell r="B692">
            <v>0.47986111111110957</v>
          </cell>
          <cell r="C692">
            <v>11.5</v>
          </cell>
        </row>
        <row r="693">
          <cell r="B693">
            <v>0.48055555555555401</v>
          </cell>
          <cell r="C693">
            <v>11.5</v>
          </cell>
        </row>
        <row r="694">
          <cell r="B694">
            <v>0.48124999999999846</v>
          </cell>
          <cell r="C694">
            <v>11.5</v>
          </cell>
        </row>
        <row r="695">
          <cell r="B695">
            <v>0.4819444444444429</v>
          </cell>
          <cell r="C695">
            <v>11.5</v>
          </cell>
        </row>
        <row r="696">
          <cell r="B696">
            <v>0.48263888888888734</v>
          </cell>
          <cell r="C696">
            <v>11.5</v>
          </cell>
        </row>
        <row r="697">
          <cell r="B697">
            <v>0.48333333333333178</v>
          </cell>
          <cell r="C697">
            <v>11.5</v>
          </cell>
        </row>
        <row r="698">
          <cell r="B698">
            <v>0.48402777777777622</v>
          </cell>
          <cell r="C698">
            <v>11.5</v>
          </cell>
        </row>
        <row r="699">
          <cell r="B699">
            <v>0.48472222222222067</v>
          </cell>
          <cell r="C699">
            <v>11.5</v>
          </cell>
        </row>
        <row r="700">
          <cell r="B700">
            <v>0.48541666666666511</v>
          </cell>
          <cell r="C700">
            <v>11.5</v>
          </cell>
        </row>
        <row r="701">
          <cell r="B701">
            <v>0.48611111111110955</v>
          </cell>
          <cell r="C701">
            <v>11.5</v>
          </cell>
        </row>
        <row r="702">
          <cell r="B702">
            <v>0.48680555555555399</v>
          </cell>
          <cell r="C702">
            <v>11.5</v>
          </cell>
        </row>
        <row r="703">
          <cell r="B703">
            <v>0.48749999999999843</v>
          </cell>
          <cell r="C703">
            <v>11.5</v>
          </cell>
        </row>
        <row r="704">
          <cell r="B704">
            <v>0.48819444444444288</v>
          </cell>
          <cell r="C704">
            <v>11.5</v>
          </cell>
        </row>
        <row r="705">
          <cell r="B705">
            <v>0.48888888888888732</v>
          </cell>
          <cell r="C705">
            <v>11.5</v>
          </cell>
        </row>
        <row r="706">
          <cell r="B706">
            <v>0.48958333333333176</v>
          </cell>
          <cell r="C706">
            <v>11.5</v>
          </cell>
        </row>
        <row r="707">
          <cell r="B707">
            <v>0.4902777777777762</v>
          </cell>
          <cell r="C707">
            <v>11.5</v>
          </cell>
        </row>
        <row r="708">
          <cell r="B708">
            <v>0.49097222222222064</v>
          </cell>
          <cell r="C708">
            <v>11.5</v>
          </cell>
        </row>
        <row r="709">
          <cell r="B709">
            <v>0.49166666666666509</v>
          </cell>
          <cell r="C709">
            <v>11.5</v>
          </cell>
        </row>
        <row r="710">
          <cell r="B710">
            <v>0.49236111111110953</v>
          </cell>
          <cell r="C710">
            <v>11.5</v>
          </cell>
        </row>
        <row r="711">
          <cell r="B711">
            <v>0.49305555555555397</v>
          </cell>
          <cell r="C711">
            <v>11.5</v>
          </cell>
        </row>
        <row r="712">
          <cell r="B712">
            <v>0.49374999999999841</v>
          </cell>
          <cell r="C712">
            <v>11.5</v>
          </cell>
        </row>
        <row r="713">
          <cell r="B713">
            <v>0.49444444444444285</v>
          </cell>
          <cell r="C713">
            <v>11.5</v>
          </cell>
        </row>
        <row r="714">
          <cell r="B714">
            <v>0.4951388888888873</v>
          </cell>
          <cell r="C714">
            <v>11.5</v>
          </cell>
        </row>
        <row r="715">
          <cell r="B715">
            <v>0.49583333333333174</v>
          </cell>
          <cell r="C715">
            <v>11.5</v>
          </cell>
        </row>
        <row r="716">
          <cell r="B716">
            <v>0.49652777777777618</v>
          </cell>
          <cell r="C716">
            <v>12</v>
          </cell>
        </row>
        <row r="717">
          <cell r="B717">
            <v>0.49722222222222062</v>
          </cell>
          <cell r="C717">
            <v>12</v>
          </cell>
        </row>
        <row r="718">
          <cell r="B718">
            <v>0.49791666666666506</v>
          </cell>
          <cell r="C718">
            <v>12</v>
          </cell>
        </row>
        <row r="719">
          <cell r="B719">
            <v>0.49861111111110951</v>
          </cell>
          <cell r="C719">
            <v>12</v>
          </cell>
        </row>
        <row r="720">
          <cell r="B720">
            <v>0.49930555555555395</v>
          </cell>
          <cell r="C720">
            <v>12</v>
          </cell>
        </row>
        <row r="721">
          <cell r="B721">
            <v>0.49999999999999839</v>
          </cell>
          <cell r="C721">
            <v>12</v>
          </cell>
        </row>
        <row r="722">
          <cell r="B722">
            <v>0.50069444444444289</v>
          </cell>
          <cell r="C722">
            <v>12</v>
          </cell>
        </row>
        <row r="723">
          <cell r="B723">
            <v>0.50138888888888733</v>
          </cell>
          <cell r="C723">
            <v>12</v>
          </cell>
        </row>
        <row r="724">
          <cell r="B724">
            <v>0.50208333333333177</v>
          </cell>
          <cell r="C724">
            <v>12</v>
          </cell>
        </row>
        <row r="725">
          <cell r="B725">
            <v>0.50277777777777621</v>
          </cell>
          <cell r="C725">
            <v>12</v>
          </cell>
        </row>
        <row r="726">
          <cell r="B726">
            <v>0.50347222222222066</v>
          </cell>
          <cell r="C726">
            <v>12</v>
          </cell>
        </row>
        <row r="727">
          <cell r="B727">
            <v>0.5041666666666651</v>
          </cell>
          <cell r="C727">
            <v>12</v>
          </cell>
        </row>
        <row r="728">
          <cell r="B728">
            <v>0.50486111111110954</v>
          </cell>
          <cell r="C728">
            <v>12</v>
          </cell>
        </row>
        <row r="729">
          <cell r="B729">
            <v>0.50555555555555398</v>
          </cell>
          <cell r="C729">
            <v>12</v>
          </cell>
        </row>
        <row r="730">
          <cell r="B730">
            <v>0.50624999999999842</v>
          </cell>
          <cell r="C730">
            <v>12</v>
          </cell>
        </row>
        <row r="731">
          <cell r="B731">
            <v>0.50694444444444287</v>
          </cell>
          <cell r="C731">
            <v>12</v>
          </cell>
        </row>
        <row r="732">
          <cell r="B732">
            <v>0.50763888888888731</v>
          </cell>
          <cell r="C732">
            <v>12</v>
          </cell>
        </row>
        <row r="733">
          <cell r="B733">
            <v>0.50833333333333175</v>
          </cell>
          <cell r="C733">
            <v>12</v>
          </cell>
        </row>
        <row r="734">
          <cell r="B734">
            <v>0.50902777777777619</v>
          </cell>
          <cell r="C734">
            <v>12</v>
          </cell>
        </row>
        <row r="735">
          <cell r="B735">
            <v>0.50972222222222063</v>
          </cell>
          <cell r="C735">
            <v>12</v>
          </cell>
        </row>
        <row r="736">
          <cell r="B736">
            <v>0.51041666666666508</v>
          </cell>
          <cell r="C736">
            <v>12</v>
          </cell>
        </row>
        <row r="737">
          <cell r="B737">
            <v>0.51111111111110952</v>
          </cell>
          <cell r="C737">
            <v>12</v>
          </cell>
        </row>
        <row r="738">
          <cell r="B738">
            <v>0.51180555555555396</v>
          </cell>
          <cell r="C738">
            <v>12</v>
          </cell>
        </row>
        <row r="739">
          <cell r="B739">
            <v>0.5124999999999984</v>
          </cell>
          <cell r="C739">
            <v>12</v>
          </cell>
        </row>
        <row r="740">
          <cell r="B740">
            <v>0.51319444444444284</v>
          </cell>
          <cell r="C740">
            <v>12</v>
          </cell>
        </row>
        <row r="741">
          <cell r="B741">
            <v>0.51388888888888729</v>
          </cell>
          <cell r="C741">
            <v>12</v>
          </cell>
        </row>
        <row r="742">
          <cell r="B742">
            <v>0.51458333333333173</v>
          </cell>
          <cell r="C742">
            <v>12</v>
          </cell>
        </row>
        <row r="743">
          <cell r="B743">
            <v>0.51527777777777617</v>
          </cell>
          <cell r="C743">
            <v>12</v>
          </cell>
        </row>
        <row r="744">
          <cell r="B744">
            <v>0.51597222222222061</v>
          </cell>
          <cell r="C744">
            <v>12</v>
          </cell>
        </row>
        <row r="745">
          <cell r="B745">
            <v>0.51666666666666505</v>
          </cell>
          <cell r="C745">
            <v>12</v>
          </cell>
        </row>
        <row r="746">
          <cell r="B746">
            <v>0.5173611111111095</v>
          </cell>
          <cell r="C746">
            <v>12.5</v>
          </cell>
        </row>
        <row r="747">
          <cell r="B747">
            <v>0.51805555555555394</v>
          </cell>
          <cell r="C747">
            <v>12.5</v>
          </cell>
        </row>
        <row r="748">
          <cell r="B748">
            <v>0.51874999999999838</v>
          </cell>
          <cell r="C748">
            <v>12.5</v>
          </cell>
        </row>
        <row r="749">
          <cell r="B749">
            <v>0.51944444444444282</v>
          </cell>
          <cell r="C749">
            <v>12.5</v>
          </cell>
        </row>
        <row r="750">
          <cell r="B750">
            <v>0.52013888888888726</v>
          </cell>
          <cell r="C750">
            <v>12.5</v>
          </cell>
        </row>
        <row r="751">
          <cell r="B751">
            <v>0.52083333333333171</v>
          </cell>
          <cell r="C751">
            <v>12.5</v>
          </cell>
        </row>
        <row r="752">
          <cell r="B752">
            <v>0.52152777777777615</v>
          </cell>
          <cell r="C752">
            <v>12.5</v>
          </cell>
        </row>
        <row r="753">
          <cell r="B753">
            <v>0.52222222222222059</v>
          </cell>
          <cell r="C753">
            <v>12.5</v>
          </cell>
        </row>
        <row r="754">
          <cell r="B754">
            <v>0.52291666666666503</v>
          </cell>
          <cell r="C754">
            <v>12.5</v>
          </cell>
        </row>
        <row r="755">
          <cell r="B755">
            <v>0.52361111111110947</v>
          </cell>
          <cell r="C755">
            <v>12.5</v>
          </cell>
        </row>
        <row r="756">
          <cell r="B756">
            <v>0.52430555555555391</v>
          </cell>
          <cell r="C756">
            <v>12.5</v>
          </cell>
        </row>
        <row r="757">
          <cell r="B757">
            <v>0.52499999999999836</v>
          </cell>
          <cell r="C757">
            <v>12.5</v>
          </cell>
        </row>
        <row r="758">
          <cell r="B758">
            <v>0.5256944444444428</v>
          </cell>
          <cell r="C758">
            <v>12.5</v>
          </cell>
        </row>
        <row r="759">
          <cell r="B759">
            <v>0.52638888888888724</v>
          </cell>
          <cell r="C759">
            <v>12.5</v>
          </cell>
        </row>
        <row r="760">
          <cell r="B760">
            <v>0.52708333333333168</v>
          </cell>
          <cell r="C760">
            <v>12.5</v>
          </cell>
        </row>
        <row r="761">
          <cell r="B761">
            <v>0.52777777777777612</v>
          </cell>
          <cell r="C761">
            <v>12.5</v>
          </cell>
        </row>
        <row r="762">
          <cell r="B762">
            <v>0.52847222222222057</v>
          </cell>
          <cell r="C762">
            <v>12.5</v>
          </cell>
        </row>
        <row r="763">
          <cell r="B763">
            <v>0.52916666666666501</v>
          </cell>
          <cell r="C763">
            <v>12.5</v>
          </cell>
        </row>
        <row r="764">
          <cell r="B764">
            <v>0.52986111111110945</v>
          </cell>
          <cell r="C764">
            <v>12.5</v>
          </cell>
        </row>
        <row r="765">
          <cell r="B765">
            <v>0.53055555555555389</v>
          </cell>
          <cell r="C765">
            <v>12.5</v>
          </cell>
        </row>
        <row r="766">
          <cell r="B766">
            <v>0.53124999999999833</v>
          </cell>
          <cell r="C766">
            <v>12.5</v>
          </cell>
        </row>
        <row r="767">
          <cell r="B767">
            <v>0.53194444444444278</v>
          </cell>
          <cell r="C767">
            <v>12.5</v>
          </cell>
        </row>
        <row r="768">
          <cell r="B768">
            <v>0.53263888888888722</v>
          </cell>
          <cell r="C768">
            <v>12.5</v>
          </cell>
        </row>
        <row r="769">
          <cell r="B769">
            <v>0.53333333333333166</v>
          </cell>
          <cell r="C769">
            <v>12.5</v>
          </cell>
        </row>
        <row r="770">
          <cell r="B770">
            <v>0.5340277777777761</v>
          </cell>
          <cell r="C770">
            <v>12.5</v>
          </cell>
        </row>
        <row r="771">
          <cell r="B771">
            <v>0.53472222222222054</v>
          </cell>
          <cell r="C771">
            <v>12.5</v>
          </cell>
        </row>
        <row r="772">
          <cell r="B772">
            <v>0.53541666666666499</v>
          </cell>
          <cell r="C772">
            <v>12.5</v>
          </cell>
        </row>
        <row r="773">
          <cell r="B773">
            <v>0.53611111111110943</v>
          </cell>
          <cell r="C773">
            <v>12.5</v>
          </cell>
        </row>
        <row r="774">
          <cell r="B774">
            <v>0.53680555555555387</v>
          </cell>
          <cell r="C774">
            <v>12.5</v>
          </cell>
        </row>
        <row r="775">
          <cell r="B775">
            <v>0.53749999999999831</v>
          </cell>
          <cell r="C775">
            <v>12.5</v>
          </cell>
        </row>
        <row r="776">
          <cell r="B776">
            <v>0.53819444444444275</v>
          </cell>
          <cell r="C776">
            <v>13</v>
          </cell>
        </row>
        <row r="777">
          <cell r="B777">
            <v>0.5388888888888872</v>
          </cell>
          <cell r="C777">
            <v>13</v>
          </cell>
        </row>
        <row r="778">
          <cell r="B778">
            <v>0.53958333333333164</v>
          </cell>
          <cell r="C778">
            <v>13</v>
          </cell>
        </row>
        <row r="779">
          <cell r="B779">
            <v>0.54027777777777608</v>
          </cell>
          <cell r="C779">
            <v>13</v>
          </cell>
        </row>
        <row r="780">
          <cell r="B780">
            <v>0.54097222222222052</v>
          </cell>
          <cell r="C780">
            <v>13</v>
          </cell>
        </row>
        <row r="781">
          <cell r="B781">
            <v>0.54166666666666496</v>
          </cell>
          <cell r="C781">
            <v>13</v>
          </cell>
        </row>
        <row r="782">
          <cell r="B782">
            <v>0.54236111111110941</v>
          </cell>
          <cell r="C782">
            <v>13</v>
          </cell>
        </row>
        <row r="783">
          <cell r="B783">
            <v>0.54305555555555385</v>
          </cell>
          <cell r="C783">
            <v>13</v>
          </cell>
        </row>
        <row r="784">
          <cell r="B784">
            <v>0.54374999999999829</v>
          </cell>
          <cell r="C784">
            <v>13</v>
          </cell>
        </row>
        <row r="785">
          <cell r="B785">
            <v>0.54444444444444273</v>
          </cell>
          <cell r="C785">
            <v>13</v>
          </cell>
        </row>
        <row r="786">
          <cell r="B786">
            <v>0.54513888888888717</v>
          </cell>
          <cell r="C786">
            <v>13</v>
          </cell>
        </row>
        <row r="787">
          <cell r="B787">
            <v>0.54583333333333162</v>
          </cell>
          <cell r="C787">
            <v>13</v>
          </cell>
        </row>
        <row r="788">
          <cell r="B788">
            <v>0.54652777777777606</v>
          </cell>
          <cell r="C788">
            <v>13</v>
          </cell>
        </row>
        <row r="789">
          <cell r="B789">
            <v>0.5472222222222205</v>
          </cell>
          <cell r="C789">
            <v>13</v>
          </cell>
        </row>
        <row r="790">
          <cell r="B790">
            <v>0.54791666666666494</v>
          </cell>
          <cell r="C790">
            <v>13</v>
          </cell>
        </row>
        <row r="791">
          <cell r="B791">
            <v>0.54861111111110938</v>
          </cell>
          <cell r="C791">
            <v>13</v>
          </cell>
        </row>
        <row r="792">
          <cell r="B792">
            <v>0.54930555555555383</v>
          </cell>
          <cell r="C792">
            <v>13</v>
          </cell>
        </row>
        <row r="793">
          <cell r="B793">
            <v>0.54999999999999827</v>
          </cell>
          <cell r="C793">
            <v>13</v>
          </cell>
        </row>
        <row r="794">
          <cell r="B794">
            <v>0.55069444444444271</v>
          </cell>
          <cell r="C794">
            <v>13</v>
          </cell>
        </row>
        <row r="795">
          <cell r="B795">
            <v>0.55138888888888715</v>
          </cell>
          <cell r="C795">
            <v>13</v>
          </cell>
        </row>
        <row r="796">
          <cell r="B796">
            <v>0.55208333333333159</v>
          </cell>
          <cell r="C796">
            <v>13</v>
          </cell>
        </row>
        <row r="797">
          <cell r="B797">
            <v>0.55277777777777604</v>
          </cell>
          <cell r="C797">
            <v>13</v>
          </cell>
        </row>
        <row r="798">
          <cell r="B798">
            <v>0.55347222222222048</v>
          </cell>
          <cell r="C798">
            <v>13</v>
          </cell>
        </row>
        <row r="799">
          <cell r="B799">
            <v>0.55416666666666492</v>
          </cell>
          <cell r="C799">
            <v>13</v>
          </cell>
        </row>
        <row r="800">
          <cell r="B800">
            <v>0.55486111111110936</v>
          </cell>
          <cell r="C800">
            <v>13</v>
          </cell>
        </row>
        <row r="801">
          <cell r="B801">
            <v>0.5555555555555538</v>
          </cell>
          <cell r="C801">
            <v>13</v>
          </cell>
        </row>
        <row r="802">
          <cell r="B802">
            <v>0.55624999999999825</v>
          </cell>
          <cell r="C802">
            <v>13</v>
          </cell>
        </row>
        <row r="803">
          <cell r="B803">
            <v>0.55694444444444269</v>
          </cell>
          <cell r="C803">
            <v>13</v>
          </cell>
        </row>
        <row r="804">
          <cell r="B804">
            <v>0.55763888888888713</v>
          </cell>
          <cell r="C804">
            <v>13</v>
          </cell>
        </row>
        <row r="805">
          <cell r="B805">
            <v>0.55833333333333157</v>
          </cell>
          <cell r="C805">
            <v>13</v>
          </cell>
        </row>
        <row r="806">
          <cell r="B806">
            <v>0.55902777777777601</v>
          </cell>
          <cell r="C806">
            <v>13.5</v>
          </cell>
        </row>
        <row r="807">
          <cell r="B807">
            <v>0.55972222222222046</v>
          </cell>
          <cell r="C807">
            <v>13.5</v>
          </cell>
        </row>
        <row r="808">
          <cell r="B808">
            <v>0.5604166666666649</v>
          </cell>
          <cell r="C808">
            <v>13.5</v>
          </cell>
        </row>
        <row r="809">
          <cell r="B809">
            <v>0.56111111111110934</v>
          </cell>
          <cell r="C809">
            <v>13.5</v>
          </cell>
        </row>
        <row r="810">
          <cell r="B810">
            <v>0.56180555555555378</v>
          </cell>
          <cell r="C810">
            <v>13.5</v>
          </cell>
        </row>
        <row r="811">
          <cell r="B811">
            <v>0.56249999999999822</v>
          </cell>
          <cell r="C811">
            <v>13.5</v>
          </cell>
        </row>
        <row r="812">
          <cell r="B812">
            <v>0.56319444444444267</v>
          </cell>
          <cell r="C812">
            <v>13.5</v>
          </cell>
        </row>
        <row r="813">
          <cell r="B813">
            <v>0.56388888888888711</v>
          </cell>
          <cell r="C813">
            <v>13.5</v>
          </cell>
        </row>
        <row r="814">
          <cell r="B814">
            <v>0.56458333333333155</v>
          </cell>
          <cell r="C814">
            <v>13.5</v>
          </cell>
        </row>
        <row r="815">
          <cell r="B815">
            <v>0.56527777777777599</v>
          </cell>
          <cell r="C815">
            <v>13.5</v>
          </cell>
        </row>
        <row r="816">
          <cell r="B816">
            <v>0.56597222222222043</v>
          </cell>
          <cell r="C816">
            <v>13.5</v>
          </cell>
        </row>
        <row r="817">
          <cell r="B817">
            <v>0.56666666666666488</v>
          </cell>
          <cell r="C817">
            <v>13.5</v>
          </cell>
        </row>
        <row r="818">
          <cell r="B818">
            <v>0.56736111111110932</v>
          </cell>
          <cell r="C818">
            <v>13.5</v>
          </cell>
        </row>
        <row r="819">
          <cell r="B819">
            <v>0.56805555555555376</v>
          </cell>
          <cell r="C819">
            <v>13.5</v>
          </cell>
        </row>
        <row r="820">
          <cell r="B820">
            <v>0.5687499999999982</v>
          </cell>
          <cell r="C820">
            <v>13.5</v>
          </cell>
        </row>
        <row r="821">
          <cell r="B821">
            <v>0.56944444444444264</v>
          </cell>
          <cell r="C821">
            <v>13.5</v>
          </cell>
        </row>
        <row r="822">
          <cell r="B822">
            <v>0.57013888888888709</v>
          </cell>
          <cell r="C822">
            <v>13.5</v>
          </cell>
        </row>
        <row r="823">
          <cell r="B823">
            <v>0.57083333333333153</v>
          </cell>
          <cell r="C823">
            <v>13.5</v>
          </cell>
        </row>
        <row r="824">
          <cell r="B824">
            <v>0.57152777777777597</v>
          </cell>
          <cell r="C824">
            <v>13.5</v>
          </cell>
        </row>
        <row r="825">
          <cell r="B825">
            <v>0.57222222222222041</v>
          </cell>
          <cell r="C825">
            <v>13.5</v>
          </cell>
        </row>
        <row r="826">
          <cell r="B826">
            <v>0.57291666666666485</v>
          </cell>
          <cell r="C826">
            <v>13.5</v>
          </cell>
        </row>
        <row r="827">
          <cell r="B827">
            <v>0.5736111111111093</v>
          </cell>
          <cell r="C827">
            <v>13.5</v>
          </cell>
        </row>
        <row r="828">
          <cell r="B828">
            <v>0.57430555555555374</v>
          </cell>
          <cell r="C828">
            <v>13.5</v>
          </cell>
        </row>
        <row r="829">
          <cell r="B829">
            <v>0.57499999999999818</v>
          </cell>
          <cell r="C829">
            <v>13.5</v>
          </cell>
        </row>
        <row r="830">
          <cell r="B830">
            <v>0.57569444444444262</v>
          </cell>
          <cell r="C830">
            <v>13.5</v>
          </cell>
        </row>
        <row r="831">
          <cell r="B831">
            <v>0.57638888888888706</v>
          </cell>
          <cell r="C831">
            <v>13.5</v>
          </cell>
        </row>
        <row r="832">
          <cell r="B832">
            <v>0.57708333333333151</v>
          </cell>
          <cell r="C832">
            <v>13.5</v>
          </cell>
        </row>
        <row r="833">
          <cell r="B833">
            <v>0.57777777777777595</v>
          </cell>
          <cell r="C833">
            <v>13.5</v>
          </cell>
        </row>
        <row r="834">
          <cell r="B834">
            <v>0.57847222222222039</v>
          </cell>
          <cell r="C834">
            <v>13.5</v>
          </cell>
        </row>
        <row r="835">
          <cell r="B835">
            <v>0.57916666666666483</v>
          </cell>
          <cell r="C835">
            <v>13.5</v>
          </cell>
        </row>
      </sheetData>
      <sheetData sheetId="35">
        <row r="1">
          <cell r="B1">
            <v>0</v>
          </cell>
          <cell r="C1">
            <v>0</v>
          </cell>
        </row>
        <row r="2">
          <cell r="B2">
            <v>1.1574074074074073E-5</v>
          </cell>
          <cell r="C2">
            <v>0</v>
          </cell>
        </row>
        <row r="3">
          <cell r="B3">
            <v>2.3148148148148147E-5</v>
          </cell>
          <cell r="C3">
            <v>0</v>
          </cell>
        </row>
        <row r="4">
          <cell r="B4">
            <v>3.4722222222222222E-5</v>
          </cell>
          <cell r="C4">
            <v>0</v>
          </cell>
        </row>
        <row r="5">
          <cell r="B5">
            <v>4.6296296296296294E-5</v>
          </cell>
          <cell r="C5">
            <v>0</v>
          </cell>
        </row>
        <row r="6">
          <cell r="B6">
            <v>5.7870370370370366E-5</v>
          </cell>
          <cell r="C6">
            <v>0</v>
          </cell>
        </row>
        <row r="7">
          <cell r="B7">
            <v>6.9444444444444444E-5</v>
          </cell>
          <cell r="C7">
            <v>0</v>
          </cell>
        </row>
        <row r="8">
          <cell r="B8">
            <v>8.1018518518518516E-5</v>
          </cell>
          <cell r="C8">
            <v>0</v>
          </cell>
        </row>
        <row r="9">
          <cell r="B9">
            <v>9.2592592592592588E-5</v>
          </cell>
          <cell r="C9">
            <v>0</v>
          </cell>
        </row>
        <row r="10">
          <cell r="B10">
            <v>1.0416666666666666E-4</v>
          </cell>
          <cell r="C10">
            <v>0</v>
          </cell>
        </row>
        <row r="11">
          <cell r="B11">
            <v>1.1574074074074073E-4</v>
          </cell>
          <cell r="C11">
            <v>0</v>
          </cell>
        </row>
        <row r="12">
          <cell r="B12">
            <v>1.273148148148148E-4</v>
          </cell>
          <cell r="C12">
            <v>0</v>
          </cell>
        </row>
        <row r="13">
          <cell r="B13">
            <v>1.3888888888888889E-4</v>
          </cell>
          <cell r="C13">
            <v>0</v>
          </cell>
        </row>
        <row r="14">
          <cell r="B14">
            <v>1.5046296296296297E-4</v>
          </cell>
          <cell r="C14">
            <v>0</v>
          </cell>
        </row>
        <row r="15">
          <cell r="B15">
            <v>1.6203703703703706E-4</v>
          </cell>
          <cell r="C15">
            <v>0</v>
          </cell>
        </row>
        <row r="16">
          <cell r="B16">
            <v>1.7361111111111114E-4</v>
          </cell>
          <cell r="C16">
            <v>0</v>
          </cell>
        </row>
        <row r="17">
          <cell r="B17">
            <v>1.8518518518518523E-4</v>
          </cell>
          <cell r="C17">
            <v>0</v>
          </cell>
        </row>
        <row r="18">
          <cell r="B18">
            <v>1.9675925925925932E-4</v>
          </cell>
          <cell r="C18">
            <v>0</v>
          </cell>
        </row>
        <row r="19">
          <cell r="B19">
            <v>2.083333333333334E-4</v>
          </cell>
          <cell r="C19">
            <v>0</v>
          </cell>
        </row>
        <row r="20">
          <cell r="B20">
            <v>2.1990740740740749E-4</v>
          </cell>
          <cell r="C20">
            <v>0</v>
          </cell>
        </row>
        <row r="21">
          <cell r="B21">
            <v>2.3148148148148157E-4</v>
          </cell>
          <cell r="C21">
            <v>0</v>
          </cell>
        </row>
        <row r="22">
          <cell r="B22">
            <v>2.4305555555555566E-4</v>
          </cell>
          <cell r="C22">
            <v>0</v>
          </cell>
        </row>
        <row r="23">
          <cell r="B23">
            <v>2.5462962962962972E-4</v>
          </cell>
          <cell r="C23">
            <v>0</v>
          </cell>
        </row>
        <row r="24">
          <cell r="B24">
            <v>2.6620370370370377E-4</v>
          </cell>
          <cell r="C24">
            <v>0</v>
          </cell>
        </row>
        <row r="25">
          <cell r="B25">
            <v>2.7777777777777783E-4</v>
          </cell>
          <cell r="C25">
            <v>0</v>
          </cell>
        </row>
        <row r="26">
          <cell r="B26">
            <v>2.8935185185185189E-4</v>
          </cell>
          <cell r="C26">
            <v>0</v>
          </cell>
        </row>
        <row r="27">
          <cell r="B27">
            <v>3.0092592592592595E-4</v>
          </cell>
          <cell r="C27">
            <v>0</v>
          </cell>
        </row>
        <row r="28">
          <cell r="B28">
            <v>3.1250000000000001E-4</v>
          </cell>
          <cell r="C28">
            <v>0</v>
          </cell>
        </row>
        <row r="29">
          <cell r="B29">
            <v>3.2407407407407406E-4</v>
          </cell>
          <cell r="C29">
            <v>0</v>
          </cell>
        </row>
        <row r="30">
          <cell r="B30">
            <v>3.3564814814814812E-4</v>
          </cell>
          <cell r="C30">
            <v>0</v>
          </cell>
        </row>
        <row r="31">
          <cell r="B31">
            <v>3.4722222222222218E-4</v>
          </cell>
          <cell r="C31">
            <v>0</v>
          </cell>
        </row>
        <row r="32">
          <cell r="B32">
            <v>3.5879629629629624E-4</v>
          </cell>
          <cell r="C32">
            <v>0</v>
          </cell>
        </row>
        <row r="33">
          <cell r="B33">
            <v>3.703703703703703E-4</v>
          </cell>
          <cell r="C33">
            <v>0</v>
          </cell>
        </row>
        <row r="34">
          <cell r="B34">
            <v>3.8194444444444436E-4</v>
          </cell>
          <cell r="C34">
            <v>0</v>
          </cell>
        </row>
        <row r="35">
          <cell r="B35">
            <v>3.9351851851851841E-4</v>
          </cell>
          <cell r="C35">
            <v>0</v>
          </cell>
        </row>
        <row r="36">
          <cell r="B36">
            <v>4.0509259259259247E-4</v>
          </cell>
          <cell r="C36">
            <v>0</v>
          </cell>
        </row>
        <row r="37">
          <cell r="B37">
            <v>4.1666666666666653E-4</v>
          </cell>
          <cell r="C37">
            <v>0</v>
          </cell>
        </row>
        <row r="38">
          <cell r="B38">
            <v>4.2824074074074059E-4</v>
          </cell>
          <cell r="C38">
            <v>0</v>
          </cell>
        </row>
        <row r="39">
          <cell r="B39">
            <v>4.3981481481481465E-4</v>
          </cell>
          <cell r="C39">
            <v>0</v>
          </cell>
        </row>
        <row r="40">
          <cell r="B40">
            <v>4.5138888888888871E-4</v>
          </cell>
          <cell r="C40">
            <v>0</v>
          </cell>
        </row>
        <row r="41">
          <cell r="B41">
            <v>4.6296296296296276E-4</v>
          </cell>
          <cell r="C41">
            <v>0</v>
          </cell>
        </row>
        <row r="42">
          <cell r="B42">
            <v>4.7453703703703682E-4</v>
          </cell>
          <cell r="C42">
            <v>0</v>
          </cell>
        </row>
        <row r="43">
          <cell r="B43">
            <v>4.8611111111111088E-4</v>
          </cell>
          <cell r="C43">
            <v>0</v>
          </cell>
        </row>
        <row r="44">
          <cell r="B44">
            <v>4.9768518518518499E-4</v>
          </cell>
          <cell r="C44">
            <v>0</v>
          </cell>
        </row>
        <row r="45">
          <cell r="B45">
            <v>5.0925925925925911E-4</v>
          </cell>
          <cell r="C45">
            <v>0</v>
          </cell>
        </row>
        <row r="46">
          <cell r="B46">
            <v>5.2083333333333322E-4</v>
          </cell>
          <cell r="C46">
            <v>0</v>
          </cell>
        </row>
        <row r="47">
          <cell r="B47">
            <v>5.3240740740740733E-4</v>
          </cell>
          <cell r="C47">
            <v>0</v>
          </cell>
        </row>
        <row r="48">
          <cell r="B48">
            <v>5.4398148148148144E-4</v>
          </cell>
          <cell r="C48">
            <v>0</v>
          </cell>
        </row>
        <row r="49">
          <cell r="B49">
            <v>5.5555555555555556E-4</v>
          </cell>
          <cell r="C49">
            <v>0</v>
          </cell>
        </row>
        <row r="50">
          <cell r="B50">
            <v>5.6712962962962967E-4</v>
          </cell>
          <cell r="C50">
            <v>0</v>
          </cell>
        </row>
        <row r="51">
          <cell r="B51">
            <v>5.7870370370370378E-4</v>
          </cell>
          <cell r="C51">
            <v>0</v>
          </cell>
        </row>
        <row r="52">
          <cell r="B52">
            <v>5.9027777777777789E-4</v>
          </cell>
          <cell r="C52">
            <v>0</v>
          </cell>
        </row>
        <row r="53">
          <cell r="B53">
            <v>6.01851851851852E-4</v>
          </cell>
          <cell r="C53">
            <v>0</v>
          </cell>
        </row>
        <row r="54">
          <cell r="B54">
            <v>6.1342592592592612E-4</v>
          </cell>
          <cell r="C54">
            <v>0</v>
          </cell>
        </row>
        <row r="55">
          <cell r="B55">
            <v>6.2500000000000023E-4</v>
          </cell>
          <cell r="C55">
            <v>0</v>
          </cell>
        </row>
        <row r="56">
          <cell r="B56">
            <v>6.3657407407407434E-4</v>
          </cell>
          <cell r="C56">
            <v>0</v>
          </cell>
        </row>
        <row r="57">
          <cell r="B57">
            <v>6.4814814814814845E-4</v>
          </cell>
          <cell r="C57">
            <v>0</v>
          </cell>
        </row>
        <row r="58">
          <cell r="B58">
            <v>6.5972222222222257E-4</v>
          </cell>
          <cell r="C58">
            <v>0</v>
          </cell>
        </row>
        <row r="59">
          <cell r="B59">
            <v>6.7129629629629668E-4</v>
          </cell>
          <cell r="C59">
            <v>0</v>
          </cell>
        </row>
        <row r="60">
          <cell r="B60">
            <v>6.8287037037037079E-4</v>
          </cell>
          <cell r="C60">
            <v>0</v>
          </cell>
        </row>
        <row r="61">
          <cell r="B61">
            <v>6.944444444444449E-4</v>
          </cell>
          <cell r="C61">
            <v>1</v>
          </cell>
        </row>
        <row r="62">
          <cell r="B62">
            <v>7.0601851851851902E-4</v>
          </cell>
          <cell r="C62">
            <v>1</v>
          </cell>
        </row>
        <row r="63">
          <cell r="B63">
            <v>7.1759259259259313E-4</v>
          </cell>
          <cell r="C63">
            <v>1</v>
          </cell>
        </row>
        <row r="64">
          <cell r="B64">
            <v>7.2916666666666724E-4</v>
          </cell>
          <cell r="C64">
            <v>1</v>
          </cell>
        </row>
        <row r="65">
          <cell r="B65">
            <v>7.4074074074074135E-4</v>
          </cell>
          <cell r="C65">
            <v>1</v>
          </cell>
        </row>
        <row r="66">
          <cell r="B66">
            <v>7.5231481481481547E-4</v>
          </cell>
          <cell r="C66">
            <v>1</v>
          </cell>
        </row>
        <row r="67">
          <cell r="B67">
            <v>7.6388888888888958E-4</v>
          </cell>
          <cell r="C67">
            <v>1</v>
          </cell>
        </row>
        <row r="68">
          <cell r="B68">
            <v>7.7546296296296369E-4</v>
          </cell>
          <cell r="C68">
            <v>1</v>
          </cell>
        </row>
        <row r="69">
          <cell r="B69">
            <v>7.870370370370378E-4</v>
          </cell>
          <cell r="C69">
            <v>1</v>
          </cell>
        </row>
        <row r="70">
          <cell r="B70">
            <v>7.9861111111111192E-4</v>
          </cell>
          <cell r="C70">
            <v>1</v>
          </cell>
        </row>
        <row r="71">
          <cell r="B71">
            <v>8.1018518518518603E-4</v>
          </cell>
          <cell r="C71">
            <v>1</v>
          </cell>
        </row>
        <row r="72">
          <cell r="B72">
            <v>8.2175925925926014E-4</v>
          </cell>
          <cell r="C72">
            <v>1</v>
          </cell>
        </row>
        <row r="73">
          <cell r="B73">
            <v>8.3333333333333425E-4</v>
          </cell>
          <cell r="C73">
            <v>1</v>
          </cell>
        </row>
        <row r="74">
          <cell r="B74">
            <v>8.4490740740740837E-4</v>
          </cell>
          <cell r="C74">
            <v>1</v>
          </cell>
        </row>
        <row r="75">
          <cell r="B75">
            <v>8.5648148148148248E-4</v>
          </cell>
          <cell r="C75">
            <v>1</v>
          </cell>
        </row>
        <row r="76">
          <cell r="B76">
            <v>8.6805555555555659E-4</v>
          </cell>
          <cell r="C76">
            <v>1</v>
          </cell>
        </row>
        <row r="77">
          <cell r="B77">
            <v>8.796296296296307E-4</v>
          </cell>
          <cell r="C77">
            <v>1</v>
          </cell>
        </row>
        <row r="78">
          <cell r="B78">
            <v>8.9120370370370482E-4</v>
          </cell>
          <cell r="C78">
            <v>1</v>
          </cell>
        </row>
        <row r="79">
          <cell r="B79">
            <v>9.0277777777777893E-4</v>
          </cell>
          <cell r="C79">
            <v>1</v>
          </cell>
        </row>
        <row r="80">
          <cell r="B80">
            <v>9.1435185185185304E-4</v>
          </cell>
          <cell r="C80">
            <v>1</v>
          </cell>
        </row>
        <row r="81">
          <cell r="B81">
            <v>9.2592592592592715E-4</v>
          </cell>
          <cell r="C81">
            <v>1</v>
          </cell>
        </row>
        <row r="82">
          <cell r="B82">
            <v>9.3750000000000127E-4</v>
          </cell>
          <cell r="C82">
            <v>1</v>
          </cell>
        </row>
        <row r="83">
          <cell r="B83">
            <v>9.4907407407407538E-4</v>
          </cell>
          <cell r="C83">
            <v>1</v>
          </cell>
        </row>
        <row r="84">
          <cell r="B84">
            <v>9.6064814814814949E-4</v>
          </cell>
          <cell r="C84">
            <v>1</v>
          </cell>
        </row>
        <row r="85">
          <cell r="B85">
            <v>9.722222222222236E-4</v>
          </cell>
          <cell r="C85">
            <v>1</v>
          </cell>
        </row>
        <row r="86">
          <cell r="B86">
            <v>9.8379629629629772E-4</v>
          </cell>
          <cell r="C86">
            <v>1</v>
          </cell>
        </row>
        <row r="87">
          <cell r="B87">
            <v>9.9537037037037172E-4</v>
          </cell>
          <cell r="C87">
            <v>1</v>
          </cell>
        </row>
        <row r="88">
          <cell r="B88">
            <v>1.0069444444444457E-3</v>
          </cell>
          <cell r="C88">
            <v>1</v>
          </cell>
        </row>
        <row r="89">
          <cell r="B89">
            <v>1.0185185185185197E-3</v>
          </cell>
          <cell r="C89">
            <v>1</v>
          </cell>
        </row>
        <row r="90">
          <cell r="B90">
            <v>1.0300925925925937E-3</v>
          </cell>
          <cell r="C90">
            <v>1</v>
          </cell>
        </row>
        <row r="91">
          <cell r="B91">
            <v>1.0416666666666677E-3</v>
          </cell>
          <cell r="C91">
            <v>1</v>
          </cell>
        </row>
        <row r="92">
          <cell r="B92">
            <v>1.0532407407407417E-3</v>
          </cell>
          <cell r="C92">
            <v>1</v>
          </cell>
        </row>
        <row r="93">
          <cell r="B93">
            <v>1.0648148148148157E-3</v>
          </cell>
          <cell r="C93">
            <v>1</v>
          </cell>
        </row>
        <row r="94">
          <cell r="B94">
            <v>1.0763888888888897E-3</v>
          </cell>
          <cell r="C94">
            <v>1</v>
          </cell>
        </row>
        <row r="95">
          <cell r="B95">
            <v>1.0879629629629638E-3</v>
          </cell>
          <cell r="C95">
            <v>1</v>
          </cell>
        </row>
        <row r="96">
          <cell r="B96">
            <v>1.0995370370370378E-3</v>
          </cell>
          <cell r="C96">
            <v>1</v>
          </cell>
        </row>
        <row r="97">
          <cell r="B97">
            <v>1.1111111111111118E-3</v>
          </cell>
          <cell r="C97">
            <v>1</v>
          </cell>
        </row>
        <row r="98">
          <cell r="B98">
            <v>1.1226851851851858E-3</v>
          </cell>
          <cell r="C98">
            <v>1</v>
          </cell>
        </row>
        <row r="99">
          <cell r="B99">
            <v>1.1342592592592598E-3</v>
          </cell>
          <cell r="C99">
            <v>1</v>
          </cell>
        </row>
        <row r="100">
          <cell r="B100">
            <v>1.1458333333333338E-3</v>
          </cell>
          <cell r="C100">
            <v>1</v>
          </cell>
        </row>
        <row r="101">
          <cell r="B101">
            <v>1.1574074074074078E-3</v>
          </cell>
          <cell r="C101">
            <v>1</v>
          </cell>
        </row>
        <row r="102">
          <cell r="B102">
            <v>1.1689814814814818E-3</v>
          </cell>
          <cell r="C102">
            <v>1</v>
          </cell>
        </row>
        <row r="103">
          <cell r="B103">
            <v>1.1805555555555558E-3</v>
          </cell>
          <cell r="C103">
            <v>1</v>
          </cell>
        </row>
        <row r="104">
          <cell r="B104">
            <v>1.1921296296296298E-3</v>
          </cell>
          <cell r="C104">
            <v>1</v>
          </cell>
        </row>
        <row r="105">
          <cell r="B105">
            <v>1.2037037037037038E-3</v>
          </cell>
          <cell r="C105">
            <v>1</v>
          </cell>
        </row>
        <row r="106">
          <cell r="B106">
            <v>1.2152777777777778E-3</v>
          </cell>
          <cell r="C106">
            <v>1</v>
          </cell>
        </row>
        <row r="107">
          <cell r="B107">
            <v>1.2268518518518518E-3</v>
          </cell>
          <cell r="C107">
            <v>1</v>
          </cell>
        </row>
        <row r="108">
          <cell r="B108">
            <v>1.2384259259259258E-3</v>
          </cell>
          <cell r="C108">
            <v>1</v>
          </cell>
        </row>
        <row r="109">
          <cell r="B109">
            <v>1.2499999999999998E-3</v>
          </cell>
          <cell r="C109">
            <v>1</v>
          </cell>
        </row>
        <row r="110">
          <cell r="B110">
            <v>1.2615740740740738E-3</v>
          </cell>
          <cell r="C110">
            <v>1</v>
          </cell>
        </row>
        <row r="111">
          <cell r="B111">
            <v>1.2731481481481478E-3</v>
          </cell>
          <cell r="C111">
            <v>1</v>
          </cell>
        </row>
        <row r="112">
          <cell r="B112">
            <v>1.2847222222222218E-3</v>
          </cell>
          <cell r="C112">
            <v>1</v>
          </cell>
        </row>
        <row r="113">
          <cell r="B113">
            <v>1.2962962962962958E-3</v>
          </cell>
          <cell r="C113">
            <v>1</v>
          </cell>
        </row>
        <row r="114">
          <cell r="B114">
            <v>1.3078703703703698E-3</v>
          </cell>
          <cell r="C114">
            <v>1</v>
          </cell>
        </row>
        <row r="115">
          <cell r="B115">
            <v>1.3194444444444438E-3</v>
          </cell>
          <cell r="C115">
            <v>1</v>
          </cell>
        </row>
        <row r="116">
          <cell r="B116">
            <v>1.3310185185185178E-3</v>
          </cell>
          <cell r="C116">
            <v>1</v>
          </cell>
        </row>
        <row r="117">
          <cell r="B117">
            <v>1.3425925925925918E-3</v>
          </cell>
          <cell r="C117">
            <v>1</v>
          </cell>
        </row>
        <row r="118">
          <cell r="B118">
            <v>1.3541666666666658E-3</v>
          </cell>
          <cell r="C118">
            <v>1</v>
          </cell>
        </row>
        <row r="119">
          <cell r="B119">
            <v>1.3657407407407398E-3</v>
          </cell>
          <cell r="C119">
            <v>1</v>
          </cell>
        </row>
        <row r="120">
          <cell r="B120">
            <v>1.3773148148148139E-3</v>
          </cell>
          <cell r="C120">
            <v>1</v>
          </cell>
        </row>
        <row r="121">
          <cell r="B121">
            <v>1.3888888888888879E-3</v>
          </cell>
          <cell r="C121">
            <v>2</v>
          </cell>
        </row>
        <row r="122">
          <cell r="B122">
            <v>1.4004629629629619E-3</v>
          </cell>
          <cell r="C122">
            <v>2</v>
          </cell>
        </row>
        <row r="123">
          <cell r="B123">
            <v>1.4120370370370359E-3</v>
          </cell>
          <cell r="C123">
            <v>2</v>
          </cell>
        </row>
        <row r="124">
          <cell r="B124">
            <v>1.4236111111111099E-3</v>
          </cell>
          <cell r="C124">
            <v>2</v>
          </cell>
        </row>
        <row r="125">
          <cell r="B125">
            <v>1.4351851851851839E-3</v>
          </cell>
          <cell r="C125">
            <v>2</v>
          </cell>
        </row>
        <row r="126">
          <cell r="B126">
            <v>1.4467592592592579E-3</v>
          </cell>
          <cell r="C126">
            <v>2</v>
          </cell>
        </row>
        <row r="127">
          <cell r="B127">
            <v>1.4583333333333319E-3</v>
          </cell>
          <cell r="C127">
            <v>2</v>
          </cell>
        </row>
        <row r="128">
          <cell r="B128">
            <v>1.4699074074074059E-3</v>
          </cell>
          <cell r="C128">
            <v>2</v>
          </cell>
        </row>
        <row r="129">
          <cell r="B129">
            <v>1.4814814814814799E-3</v>
          </cell>
          <cell r="C129">
            <v>2</v>
          </cell>
        </row>
        <row r="130">
          <cell r="B130">
            <v>1.4930555555555539E-3</v>
          </cell>
          <cell r="C130">
            <v>2</v>
          </cell>
        </row>
        <row r="131">
          <cell r="B131">
            <v>1.5046296296296279E-3</v>
          </cell>
          <cell r="C131">
            <v>2</v>
          </cell>
        </row>
        <row r="132">
          <cell r="B132">
            <v>1.5162037037037019E-3</v>
          </cell>
          <cell r="C132">
            <v>2</v>
          </cell>
        </row>
        <row r="133">
          <cell r="B133">
            <v>1.5277777777777759E-3</v>
          </cell>
          <cell r="C133">
            <v>2</v>
          </cell>
        </row>
        <row r="134">
          <cell r="B134">
            <v>1.5393518518518499E-3</v>
          </cell>
          <cell r="C134">
            <v>2</v>
          </cell>
        </row>
        <row r="135">
          <cell r="B135">
            <v>1.5509259259259239E-3</v>
          </cell>
          <cell r="C135">
            <v>2</v>
          </cell>
        </row>
        <row r="136">
          <cell r="B136">
            <v>1.5624999999999979E-3</v>
          </cell>
          <cell r="C136">
            <v>2</v>
          </cell>
        </row>
        <row r="137">
          <cell r="B137">
            <v>1.5740740740740719E-3</v>
          </cell>
          <cell r="C137">
            <v>2</v>
          </cell>
        </row>
        <row r="138">
          <cell r="B138">
            <v>1.5856481481481459E-3</v>
          </cell>
          <cell r="C138">
            <v>2</v>
          </cell>
        </row>
        <row r="139">
          <cell r="B139">
            <v>1.5972222222222199E-3</v>
          </cell>
          <cell r="C139">
            <v>2</v>
          </cell>
        </row>
        <row r="140">
          <cell r="B140">
            <v>1.6087962962962939E-3</v>
          </cell>
          <cell r="C140">
            <v>2</v>
          </cell>
        </row>
        <row r="141">
          <cell r="B141">
            <v>1.6203703703703679E-3</v>
          </cell>
          <cell r="C141">
            <v>2</v>
          </cell>
        </row>
        <row r="142">
          <cell r="B142">
            <v>1.6319444444444419E-3</v>
          </cell>
          <cell r="C142">
            <v>2</v>
          </cell>
        </row>
        <row r="143">
          <cell r="B143">
            <v>1.6435185185185159E-3</v>
          </cell>
          <cell r="C143">
            <v>2</v>
          </cell>
        </row>
        <row r="144">
          <cell r="B144">
            <v>1.65509259259259E-3</v>
          </cell>
          <cell r="C144">
            <v>2</v>
          </cell>
        </row>
        <row r="145">
          <cell r="B145">
            <v>1.666666666666664E-3</v>
          </cell>
          <cell r="C145">
            <v>2</v>
          </cell>
        </row>
        <row r="146">
          <cell r="B146">
            <v>1.678240740740738E-3</v>
          </cell>
          <cell r="C146">
            <v>2</v>
          </cell>
        </row>
        <row r="147">
          <cell r="B147">
            <v>1.689814814814812E-3</v>
          </cell>
          <cell r="C147">
            <v>2</v>
          </cell>
        </row>
        <row r="148">
          <cell r="B148">
            <v>1.701388888888886E-3</v>
          </cell>
          <cell r="C148">
            <v>2</v>
          </cell>
        </row>
        <row r="149">
          <cell r="B149">
            <v>1.71296296296296E-3</v>
          </cell>
          <cell r="C149">
            <v>2</v>
          </cell>
        </row>
        <row r="150">
          <cell r="B150">
            <v>1.724537037037034E-3</v>
          </cell>
          <cell r="C150">
            <v>2</v>
          </cell>
        </row>
        <row r="151">
          <cell r="B151">
            <v>1.736111111111108E-3</v>
          </cell>
          <cell r="C151">
            <v>2</v>
          </cell>
        </row>
        <row r="152">
          <cell r="B152">
            <v>1.747685185185182E-3</v>
          </cell>
          <cell r="C152">
            <v>2</v>
          </cell>
        </row>
        <row r="153">
          <cell r="B153">
            <v>1.759259259259256E-3</v>
          </cell>
          <cell r="C153">
            <v>2</v>
          </cell>
        </row>
        <row r="154">
          <cell r="B154">
            <v>1.77083333333333E-3</v>
          </cell>
          <cell r="C154">
            <v>2</v>
          </cell>
        </row>
        <row r="155">
          <cell r="B155">
            <v>1.782407407407404E-3</v>
          </cell>
          <cell r="C155">
            <v>2</v>
          </cell>
        </row>
        <row r="156">
          <cell r="B156">
            <v>1.793981481481478E-3</v>
          </cell>
          <cell r="C156">
            <v>2</v>
          </cell>
        </row>
        <row r="157">
          <cell r="B157">
            <v>1.805555555555552E-3</v>
          </cell>
          <cell r="C157">
            <v>2</v>
          </cell>
        </row>
        <row r="158">
          <cell r="B158">
            <v>1.817129629629626E-3</v>
          </cell>
          <cell r="C158">
            <v>2</v>
          </cell>
        </row>
        <row r="159">
          <cell r="B159">
            <v>1.8287037037037E-3</v>
          </cell>
          <cell r="C159">
            <v>2</v>
          </cell>
        </row>
        <row r="160">
          <cell r="B160">
            <v>1.840277777777774E-3</v>
          </cell>
          <cell r="C160">
            <v>2</v>
          </cell>
        </row>
        <row r="161">
          <cell r="B161">
            <v>1.851851851851848E-3</v>
          </cell>
          <cell r="C161">
            <v>2</v>
          </cell>
        </row>
        <row r="162">
          <cell r="B162">
            <v>1.863425925925922E-3</v>
          </cell>
          <cell r="C162">
            <v>2</v>
          </cell>
        </row>
        <row r="163">
          <cell r="B163">
            <v>1.874999999999996E-3</v>
          </cell>
          <cell r="C163">
            <v>2</v>
          </cell>
        </row>
        <row r="164">
          <cell r="B164">
            <v>1.88657407407407E-3</v>
          </cell>
          <cell r="C164">
            <v>2</v>
          </cell>
        </row>
        <row r="165">
          <cell r="B165">
            <v>1.898148148148144E-3</v>
          </cell>
          <cell r="C165">
            <v>2</v>
          </cell>
        </row>
        <row r="166">
          <cell r="B166">
            <v>1.909722222222218E-3</v>
          </cell>
          <cell r="C166">
            <v>2</v>
          </cell>
        </row>
        <row r="167">
          <cell r="B167">
            <v>1.921296296296292E-3</v>
          </cell>
          <cell r="C167">
            <v>2</v>
          </cell>
        </row>
        <row r="168">
          <cell r="B168">
            <v>1.932870370370366E-3</v>
          </cell>
          <cell r="C168">
            <v>2</v>
          </cell>
        </row>
        <row r="169">
          <cell r="B169">
            <v>1.9444444444444401E-3</v>
          </cell>
          <cell r="C169">
            <v>2</v>
          </cell>
        </row>
        <row r="170">
          <cell r="B170">
            <v>1.9560185185185141E-3</v>
          </cell>
          <cell r="C170">
            <v>2</v>
          </cell>
        </row>
        <row r="171">
          <cell r="B171">
            <v>1.9675925925925881E-3</v>
          </cell>
          <cell r="C171">
            <v>2</v>
          </cell>
        </row>
        <row r="172">
          <cell r="B172">
            <v>1.9791666666666621E-3</v>
          </cell>
          <cell r="C172">
            <v>2</v>
          </cell>
        </row>
        <row r="173">
          <cell r="B173">
            <v>1.9907407407407361E-3</v>
          </cell>
          <cell r="C173">
            <v>2</v>
          </cell>
        </row>
        <row r="174">
          <cell r="B174">
            <v>2.0023148148148101E-3</v>
          </cell>
          <cell r="C174">
            <v>2</v>
          </cell>
        </row>
        <row r="175">
          <cell r="B175">
            <v>2.0138888888888841E-3</v>
          </cell>
          <cell r="C175">
            <v>2</v>
          </cell>
        </row>
        <row r="176">
          <cell r="B176">
            <v>2.0254629629629581E-3</v>
          </cell>
          <cell r="C176">
            <v>2</v>
          </cell>
        </row>
        <row r="177">
          <cell r="B177">
            <v>2.0370370370370321E-3</v>
          </cell>
          <cell r="C177">
            <v>2</v>
          </cell>
        </row>
        <row r="178">
          <cell r="B178">
            <v>2.0486111111111061E-3</v>
          </cell>
          <cell r="C178">
            <v>2</v>
          </cell>
        </row>
        <row r="179">
          <cell r="B179">
            <v>2.0601851851851801E-3</v>
          </cell>
          <cell r="C179">
            <v>2</v>
          </cell>
        </row>
        <row r="180">
          <cell r="B180">
            <v>2.0717592592592541E-3</v>
          </cell>
          <cell r="C180">
            <v>2</v>
          </cell>
        </row>
        <row r="181">
          <cell r="B181">
            <v>2.0833333333333281E-3</v>
          </cell>
          <cell r="C181">
            <v>3</v>
          </cell>
        </row>
        <row r="182">
          <cell r="B182">
            <v>2.0949074074074021E-3</v>
          </cell>
          <cell r="C182">
            <v>3</v>
          </cell>
        </row>
        <row r="183">
          <cell r="B183">
            <v>2.1064814814814761E-3</v>
          </cell>
          <cell r="C183">
            <v>3</v>
          </cell>
        </row>
        <row r="184">
          <cell r="B184">
            <v>2.1180555555555501E-3</v>
          </cell>
          <cell r="C184">
            <v>3</v>
          </cell>
        </row>
        <row r="185">
          <cell r="B185">
            <v>2.1296296296296241E-3</v>
          </cell>
          <cell r="C185">
            <v>3</v>
          </cell>
        </row>
        <row r="186">
          <cell r="B186">
            <v>2.1412037037036981E-3</v>
          </cell>
          <cell r="C186">
            <v>3</v>
          </cell>
        </row>
        <row r="187">
          <cell r="B187">
            <v>2.1527777777777721E-3</v>
          </cell>
          <cell r="C187">
            <v>3</v>
          </cell>
        </row>
        <row r="188">
          <cell r="B188">
            <v>2.1643518518518461E-3</v>
          </cell>
          <cell r="C188">
            <v>3</v>
          </cell>
        </row>
        <row r="189">
          <cell r="B189">
            <v>2.1759259259259201E-3</v>
          </cell>
          <cell r="C189">
            <v>3</v>
          </cell>
        </row>
        <row r="190">
          <cell r="B190">
            <v>2.1874999999999941E-3</v>
          </cell>
          <cell r="C190">
            <v>3</v>
          </cell>
        </row>
        <row r="191">
          <cell r="B191">
            <v>2.1990740740740681E-3</v>
          </cell>
          <cell r="C191">
            <v>3</v>
          </cell>
        </row>
        <row r="192">
          <cell r="B192">
            <v>2.2106481481481421E-3</v>
          </cell>
          <cell r="C192">
            <v>3</v>
          </cell>
        </row>
        <row r="193">
          <cell r="B193">
            <v>2.2222222222222161E-3</v>
          </cell>
          <cell r="C193">
            <v>3</v>
          </cell>
        </row>
        <row r="194">
          <cell r="B194">
            <v>2.2337962962962902E-3</v>
          </cell>
          <cell r="C194">
            <v>3</v>
          </cell>
        </row>
        <row r="195">
          <cell r="B195">
            <v>2.2453703703703642E-3</v>
          </cell>
          <cell r="C195">
            <v>3</v>
          </cell>
        </row>
        <row r="196">
          <cell r="B196">
            <v>2.2569444444444382E-3</v>
          </cell>
          <cell r="C196">
            <v>3</v>
          </cell>
        </row>
        <row r="197">
          <cell r="B197">
            <v>2.2685185185185122E-3</v>
          </cell>
          <cell r="C197">
            <v>3</v>
          </cell>
        </row>
        <row r="198">
          <cell r="B198">
            <v>2.2800925925925862E-3</v>
          </cell>
          <cell r="C198">
            <v>3</v>
          </cell>
        </row>
        <row r="199">
          <cell r="B199">
            <v>2.2916666666666602E-3</v>
          </cell>
          <cell r="C199">
            <v>3</v>
          </cell>
        </row>
        <row r="200">
          <cell r="B200">
            <v>2.3032407407407342E-3</v>
          </cell>
          <cell r="C200">
            <v>3</v>
          </cell>
        </row>
        <row r="201">
          <cell r="B201">
            <v>2.3148148148148082E-3</v>
          </cell>
          <cell r="C201">
            <v>3</v>
          </cell>
        </row>
        <row r="202">
          <cell r="B202">
            <v>2.3263888888888822E-3</v>
          </cell>
          <cell r="C202">
            <v>3</v>
          </cell>
        </row>
        <row r="203">
          <cell r="B203">
            <v>2.3379629629629562E-3</v>
          </cell>
          <cell r="C203">
            <v>3</v>
          </cell>
        </row>
        <row r="204">
          <cell r="B204">
            <v>2.3495370370370302E-3</v>
          </cell>
          <cell r="C204">
            <v>3</v>
          </cell>
        </row>
        <row r="205">
          <cell r="B205">
            <v>2.3611111111111042E-3</v>
          </cell>
          <cell r="C205">
            <v>3</v>
          </cell>
        </row>
        <row r="206">
          <cell r="B206">
            <v>2.3726851851851782E-3</v>
          </cell>
          <cell r="C206">
            <v>3</v>
          </cell>
        </row>
        <row r="207">
          <cell r="B207">
            <v>2.3842592592592522E-3</v>
          </cell>
          <cell r="C207">
            <v>3</v>
          </cell>
        </row>
        <row r="208">
          <cell r="B208">
            <v>2.3958333333333262E-3</v>
          </cell>
          <cell r="C208">
            <v>3</v>
          </cell>
        </row>
        <row r="209">
          <cell r="B209">
            <v>2.4074074074074002E-3</v>
          </cell>
          <cell r="C209">
            <v>3</v>
          </cell>
        </row>
        <row r="210">
          <cell r="B210">
            <v>2.4189814814814742E-3</v>
          </cell>
          <cell r="C210">
            <v>3</v>
          </cell>
        </row>
        <row r="211">
          <cell r="B211">
            <v>2.4305555555555482E-3</v>
          </cell>
          <cell r="C211">
            <v>3</v>
          </cell>
        </row>
        <row r="212">
          <cell r="B212">
            <v>2.4421296296296222E-3</v>
          </cell>
          <cell r="C212">
            <v>3</v>
          </cell>
        </row>
        <row r="213">
          <cell r="B213">
            <v>2.4537037037036962E-3</v>
          </cell>
          <cell r="C213">
            <v>3</v>
          </cell>
        </row>
        <row r="214">
          <cell r="B214">
            <v>2.4652777777777702E-3</v>
          </cell>
          <cell r="C214">
            <v>3</v>
          </cell>
        </row>
        <row r="215">
          <cell r="B215">
            <v>2.4768518518518442E-3</v>
          </cell>
          <cell r="C215">
            <v>3</v>
          </cell>
        </row>
        <row r="216">
          <cell r="B216">
            <v>2.4884259259259182E-3</v>
          </cell>
          <cell r="C216">
            <v>3</v>
          </cell>
        </row>
        <row r="217">
          <cell r="B217">
            <v>2.4999999999999922E-3</v>
          </cell>
          <cell r="C217">
            <v>3</v>
          </cell>
        </row>
        <row r="218">
          <cell r="B218">
            <v>2.5115740740740662E-3</v>
          </cell>
          <cell r="C218">
            <v>3</v>
          </cell>
        </row>
        <row r="219">
          <cell r="B219">
            <v>2.5231481481481403E-3</v>
          </cell>
          <cell r="C219">
            <v>3</v>
          </cell>
        </row>
        <row r="220">
          <cell r="B220">
            <v>2.5347222222222143E-3</v>
          </cell>
          <cell r="C220">
            <v>3</v>
          </cell>
        </row>
        <row r="221">
          <cell r="B221">
            <v>2.5462962962962883E-3</v>
          </cell>
          <cell r="C221">
            <v>3</v>
          </cell>
        </row>
        <row r="222">
          <cell r="B222">
            <v>2.5578703703703623E-3</v>
          </cell>
          <cell r="C222">
            <v>3</v>
          </cell>
        </row>
        <row r="223">
          <cell r="B223">
            <v>2.5694444444444363E-3</v>
          </cell>
          <cell r="C223">
            <v>3</v>
          </cell>
        </row>
        <row r="224">
          <cell r="B224">
            <v>2.5810185185185103E-3</v>
          </cell>
          <cell r="C224">
            <v>3</v>
          </cell>
        </row>
        <row r="225">
          <cell r="B225">
            <v>2.5925925925925843E-3</v>
          </cell>
          <cell r="C225">
            <v>3</v>
          </cell>
        </row>
        <row r="226">
          <cell r="B226">
            <v>2.6041666666666583E-3</v>
          </cell>
          <cell r="C226">
            <v>3</v>
          </cell>
        </row>
        <row r="227">
          <cell r="B227">
            <v>2.6157407407407323E-3</v>
          </cell>
          <cell r="C227">
            <v>3</v>
          </cell>
        </row>
        <row r="228">
          <cell r="B228">
            <v>2.6273148148148063E-3</v>
          </cell>
          <cell r="C228">
            <v>3</v>
          </cell>
        </row>
        <row r="229">
          <cell r="B229">
            <v>2.6388888888888803E-3</v>
          </cell>
          <cell r="C229">
            <v>3</v>
          </cell>
        </row>
        <row r="230">
          <cell r="B230">
            <v>2.6504629629629543E-3</v>
          </cell>
          <cell r="C230">
            <v>3</v>
          </cell>
        </row>
        <row r="231">
          <cell r="B231">
            <v>2.6620370370370283E-3</v>
          </cell>
          <cell r="C231">
            <v>3</v>
          </cell>
        </row>
        <row r="232">
          <cell r="B232">
            <v>2.6736111111111023E-3</v>
          </cell>
          <cell r="C232">
            <v>3</v>
          </cell>
        </row>
        <row r="233">
          <cell r="B233">
            <v>2.6851851851851763E-3</v>
          </cell>
          <cell r="C233">
            <v>3</v>
          </cell>
        </row>
        <row r="234">
          <cell r="B234">
            <v>2.6967592592592503E-3</v>
          </cell>
          <cell r="C234">
            <v>3</v>
          </cell>
        </row>
        <row r="235">
          <cell r="B235">
            <v>2.7083333333333243E-3</v>
          </cell>
          <cell r="C235">
            <v>3</v>
          </cell>
        </row>
        <row r="236">
          <cell r="B236">
            <v>2.7199074074073983E-3</v>
          </cell>
          <cell r="C236">
            <v>3</v>
          </cell>
        </row>
        <row r="237">
          <cell r="B237">
            <v>2.7314814814814723E-3</v>
          </cell>
          <cell r="C237">
            <v>3</v>
          </cell>
        </row>
        <row r="238">
          <cell r="B238">
            <v>2.7430555555555463E-3</v>
          </cell>
          <cell r="C238">
            <v>3</v>
          </cell>
        </row>
        <row r="239">
          <cell r="B239">
            <v>2.7546296296296203E-3</v>
          </cell>
          <cell r="C239">
            <v>3</v>
          </cell>
        </row>
        <row r="240">
          <cell r="B240">
            <v>2.7662037037036943E-3</v>
          </cell>
          <cell r="C240">
            <v>3</v>
          </cell>
        </row>
        <row r="241">
          <cell r="B241">
            <v>2.7777777777777683E-3</v>
          </cell>
          <cell r="C241">
            <v>4</v>
          </cell>
        </row>
        <row r="242">
          <cell r="B242">
            <v>2.7893518518518423E-3</v>
          </cell>
          <cell r="C242">
            <v>4</v>
          </cell>
        </row>
        <row r="243">
          <cell r="B243">
            <v>2.8009259259259164E-3</v>
          </cell>
          <cell r="C243">
            <v>4</v>
          </cell>
        </row>
        <row r="244">
          <cell r="B244">
            <v>2.8124999999999904E-3</v>
          </cell>
          <cell r="C244">
            <v>4</v>
          </cell>
        </row>
        <row r="245">
          <cell r="B245">
            <v>2.8240740740740644E-3</v>
          </cell>
          <cell r="C245">
            <v>4</v>
          </cell>
        </row>
        <row r="246">
          <cell r="B246">
            <v>2.8356481481481384E-3</v>
          </cell>
          <cell r="C246">
            <v>4</v>
          </cell>
        </row>
        <row r="247">
          <cell r="B247">
            <v>2.8472222222222124E-3</v>
          </cell>
          <cell r="C247">
            <v>4</v>
          </cell>
        </row>
        <row r="248">
          <cell r="B248">
            <v>2.8587962962962864E-3</v>
          </cell>
          <cell r="C248">
            <v>4</v>
          </cell>
        </row>
        <row r="249">
          <cell r="B249">
            <v>2.8703703703703604E-3</v>
          </cell>
          <cell r="C249">
            <v>4</v>
          </cell>
        </row>
        <row r="250">
          <cell r="B250">
            <v>2.8819444444444344E-3</v>
          </cell>
          <cell r="C250">
            <v>4</v>
          </cell>
        </row>
        <row r="251">
          <cell r="B251">
            <v>2.8935185185185084E-3</v>
          </cell>
          <cell r="C251">
            <v>4</v>
          </cell>
        </row>
        <row r="252">
          <cell r="B252">
            <v>2.9050925925925824E-3</v>
          </cell>
          <cell r="C252">
            <v>4</v>
          </cell>
        </row>
        <row r="253">
          <cell r="B253">
            <v>2.9166666666666564E-3</v>
          </cell>
          <cell r="C253">
            <v>4</v>
          </cell>
        </row>
        <row r="254">
          <cell r="B254">
            <v>2.9282407407407304E-3</v>
          </cell>
          <cell r="C254">
            <v>4</v>
          </cell>
        </row>
        <row r="255">
          <cell r="B255">
            <v>2.9398148148148044E-3</v>
          </cell>
          <cell r="C255">
            <v>4</v>
          </cell>
        </row>
        <row r="256">
          <cell r="B256">
            <v>2.9513888888888784E-3</v>
          </cell>
          <cell r="C256">
            <v>4</v>
          </cell>
        </row>
        <row r="257">
          <cell r="B257">
            <v>2.9629629629629524E-3</v>
          </cell>
          <cell r="C257">
            <v>4</v>
          </cell>
        </row>
        <row r="258">
          <cell r="B258">
            <v>2.9745370370370264E-3</v>
          </cell>
          <cell r="C258">
            <v>4</v>
          </cell>
        </row>
        <row r="259">
          <cell r="B259">
            <v>2.9861111111111004E-3</v>
          </cell>
          <cell r="C259">
            <v>4</v>
          </cell>
        </row>
        <row r="260">
          <cell r="B260">
            <v>2.9976851851851744E-3</v>
          </cell>
          <cell r="C260">
            <v>4</v>
          </cell>
        </row>
        <row r="261">
          <cell r="B261">
            <v>3.0092592592592484E-3</v>
          </cell>
          <cell r="C261">
            <v>4</v>
          </cell>
        </row>
        <row r="262">
          <cell r="B262">
            <v>3.0208333333333224E-3</v>
          </cell>
          <cell r="C262">
            <v>4</v>
          </cell>
        </row>
        <row r="263">
          <cell r="B263">
            <v>3.0324074074073964E-3</v>
          </cell>
          <cell r="C263">
            <v>4</v>
          </cell>
        </row>
        <row r="264">
          <cell r="B264">
            <v>3.0439814814814704E-3</v>
          </cell>
          <cell r="C264">
            <v>4</v>
          </cell>
        </row>
        <row r="265">
          <cell r="B265">
            <v>3.0555555555555444E-3</v>
          </cell>
          <cell r="C265">
            <v>4</v>
          </cell>
        </row>
        <row r="266">
          <cell r="B266">
            <v>3.0671296296296184E-3</v>
          </cell>
          <cell r="C266">
            <v>4</v>
          </cell>
        </row>
        <row r="267">
          <cell r="B267">
            <v>3.0787037037036924E-3</v>
          </cell>
          <cell r="C267">
            <v>4</v>
          </cell>
        </row>
        <row r="268">
          <cell r="B268">
            <v>3.0902777777777665E-3</v>
          </cell>
          <cell r="C268">
            <v>4</v>
          </cell>
        </row>
        <row r="269">
          <cell r="B269">
            <v>3.1018518518518405E-3</v>
          </cell>
          <cell r="C269">
            <v>4</v>
          </cell>
        </row>
        <row r="270">
          <cell r="B270">
            <v>3.1134259259259145E-3</v>
          </cell>
          <cell r="C270">
            <v>4</v>
          </cell>
        </row>
        <row r="271">
          <cell r="B271">
            <v>3.1249999999999885E-3</v>
          </cell>
          <cell r="C271">
            <v>4</v>
          </cell>
        </row>
        <row r="272">
          <cell r="B272">
            <v>3.1365740740740625E-3</v>
          </cell>
          <cell r="C272">
            <v>4</v>
          </cell>
        </row>
        <row r="273">
          <cell r="B273">
            <v>3.1481481481481365E-3</v>
          </cell>
          <cell r="C273">
            <v>4</v>
          </cell>
        </row>
        <row r="274">
          <cell r="B274">
            <v>3.1597222222222105E-3</v>
          </cell>
          <cell r="C274">
            <v>4</v>
          </cell>
        </row>
        <row r="275">
          <cell r="B275">
            <v>3.1712962962962845E-3</v>
          </cell>
          <cell r="C275">
            <v>4</v>
          </cell>
        </row>
        <row r="276">
          <cell r="B276">
            <v>3.1828703703703585E-3</v>
          </cell>
          <cell r="C276">
            <v>4</v>
          </cell>
        </row>
        <row r="277">
          <cell r="B277">
            <v>3.1944444444444325E-3</v>
          </cell>
          <cell r="C277">
            <v>4</v>
          </cell>
        </row>
        <row r="278">
          <cell r="B278">
            <v>3.2060185185185065E-3</v>
          </cell>
          <cell r="C278">
            <v>4</v>
          </cell>
        </row>
        <row r="279">
          <cell r="B279">
            <v>3.2175925925925805E-3</v>
          </cell>
          <cell r="C279">
            <v>4</v>
          </cell>
        </row>
        <row r="280">
          <cell r="B280">
            <v>3.2291666666666545E-3</v>
          </cell>
          <cell r="C280">
            <v>4</v>
          </cell>
        </row>
        <row r="281">
          <cell r="B281">
            <v>3.2407407407407285E-3</v>
          </cell>
          <cell r="C281">
            <v>4</v>
          </cell>
        </row>
        <row r="282">
          <cell r="B282">
            <v>3.2523148148148025E-3</v>
          </cell>
          <cell r="C282">
            <v>4</v>
          </cell>
        </row>
        <row r="283">
          <cell r="B283">
            <v>3.2638888888888765E-3</v>
          </cell>
          <cell r="C283">
            <v>4</v>
          </cell>
        </row>
        <row r="284">
          <cell r="B284">
            <v>3.2754629629629505E-3</v>
          </cell>
          <cell r="C284">
            <v>4</v>
          </cell>
        </row>
        <row r="285">
          <cell r="B285">
            <v>3.2870370370370245E-3</v>
          </cell>
          <cell r="C285">
            <v>4</v>
          </cell>
        </row>
        <row r="286">
          <cell r="B286">
            <v>3.2986111111110985E-3</v>
          </cell>
          <cell r="C286">
            <v>4</v>
          </cell>
        </row>
        <row r="287">
          <cell r="B287">
            <v>3.3101851851851725E-3</v>
          </cell>
          <cell r="C287">
            <v>4</v>
          </cell>
        </row>
        <row r="288">
          <cell r="B288">
            <v>3.3217592592592465E-3</v>
          </cell>
          <cell r="C288">
            <v>4</v>
          </cell>
        </row>
        <row r="289">
          <cell r="B289">
            <v>3.3333333333333205E-3</v>
          </cell>
          <cell r="C289">
            <v>4</v>
          </cell>
        </row>
        <row r="290">
          <cell r="B290">
            <v>3.3449074074073945E-3</v>
          </cell>
          <cell r="C290">
            <v>4</v>
          </cell>
        </row>
        <row r="291">
          <cell r="B291">
            <v>3.3564814814814685E-3</v>
          </cell>
          <cell r="C291">
            <v>4</v>
          </cell>
        </row>
        <row r="292">
          <cell r="B292">
            <v>3.3680555555555425E-3</v>
          </cell>
          <cell r="C292">
            <v>4</v>
          </cell>
        </row>
        <row r="293">
          <cell r="B293">
            <v>3.3796296296296166E-3</v>
          </cell>
          <cell r="C293">
            <v>4</v>
          </cell>
        </row>
        <row r="294">
          <cell r="B294">
            <v>3.3912037037036906E-3</v>
          </cell>
          <cell r="C294">
            <v>4</v>
          </cell>
        </row>
        <row r="295">
          <cell r="B295">
            <v>3.4027777777777646E-3</v>
          </cell>
          <cell r="C295">
            <v>4</v>
          </cell>
        </row>
        <row r="296">
          <cell r="B296">
            <v>3.4143518518518386E-3</v>
          </cell>
          <cell r="C296">
            <v>4</v>
          </cell>
        </row>
        <row r="297">
          <cell r="B297">
            <v>3.4259259259259126E-3</v>
          </cell>
          <cell r="C297">
            <v>4</v>
          </cell>
        </row>
        <row r="298">
          <cell r="B298">
            <v>3.4374999999999866E-3</v>
          </cell>
          <cell r="C298">
            <v>4</v>
          </cell>
        </row>
        <row r="299">
          <cell r="B299">
            <v>3.4490740740740606E-3</v>
          </cell>
          <cell r="C299">
            <v>4</v>
          </cell>
        </row>
        <row r="300">
          <cell r="B300">
            <v>3.4606481481481346E-3</v>
          </cell>
          <cell r="C300">
            <v>4</v>
          </cell>
        </row>
        <row r="301">
          <cell r="B301">
            <v>3.4722222222222086E-3</v>
          </cell>
          <cell r="C301">
            <v>5</v>
          </cell>
        </row>
        <row r="302">
          <cell r="B302">
            <v>3.4837962962962826E-3</v>
          </cell>
          <cell r="C302">
            <v>5</v>
          </cell>
        </row>
        <row r="303">
          <cell r="B303">
            <v>3.4953703703703566E-3</v>
          </cell>
          <cell r="C303">
            <v>5</v>
          </cell>
        </row>
        <row r="304">
          <cell r="B304">
            <v>3.5069444444444306E-3</v>
          </cell>
          <cell r="C304">
            <v>5</v>
          </cell>
        </row>
        <row r="305">
          <cell r="B305">
            <v>3.5185185185185046E-3</v>
          </cell>
          <cell r="C305">
            <v>5</v>
          </cell>
        </row>
        <row r="306">
          <cell r="B306">
            <v>3.5300925925925786E-3</v>
          </cell>
          <cell r="C306">
            <v>5</v>
          </cell>
        </row>
        <row r="307">
          <cell r="B307">
            <v>3.5416666666666526E-3</v>
          </cell>
          <cell r="C307">
            <v>5</v>
          </cell>
        </row>
        <row r="308">
          <cell r="B308">
            <v>3.5532407407407266E-3</v>
          </cell>
          <cell r="C308">
            <v>5</v>
          </cell>
        </row>
        <row r="309">
          <cell r="B309">
            <v>3.5648148148148006E-3</v>
          </cell>
          <cell r="C309">
            <v>5</v>
          </cell>
        </row>
        <row r="310">
          <cell r="B310">
            <v>3.5763888888888746E-3</v>
          </cell>
          <cell r="C310">
            <v>5</v>
          </cell>
        </row>
        <row r="311">
          <cell r="B311">
            <v>3.5879629629629486E-3</v>
          </cell>
          <cell r="C311">
            <v>5</v>
          </cell>
        </row>
        <row r="312">
          <cell r="B312">
            <v>3.5995370370370226E-3</v>
          </cell>
          <cell r="C312">
            <v>5</v>
          </cell>
        </row>
        <row r="313">
          <cell r="B313">
            <v>3.6111111111110966E-3</v>
          </cell>
          <cell r="C313">
            <v>5</v>
          </cell>
        </row>
        <row r="314">
          <cell r="B314">
            <v>3.6226851851851706E-3</v>
          </cell>
          <cell r="C314">
            <v>5</v>
          </cell>
        </row>
        <row r="315">
          <cell r="B315">
            <v>3.6342592592592446E-3</v>
          </cell>
          <cell r="C315">
            <v>5</v>
          </cell>
        </row>
        <row r="316">
          <cell r="B316">
            <v>3.6458333333333186E-3</v>
          </cell>
          <cell r="C316">
            <v>5</v>
          </cell>
        </row>
        <row r="317">
          <cell r="B317">
            <v>3.6574074074073927E-3</v>
          </cell>
          <cell r="C317">
            <v>5</v>
          </cell>
        </row>
        <row r="318">
          <cell r="B318">
            <v>3.6689814814814667E-3</v>
          </cell>
          <cell r="C318">
            <v>5</v>
          </cell>
        </row>
        <row r="319">
          <cell r="B319">
            <v>3.6805555555555407E-3</v>
          </cell>
          <cell r="C319">
            <v>5</v>
          </cell>
        </row>
        <row r="320">
          <cell r="B320">
            <v>3.6921296296296147E-3</v>
          </cell>
          <cell r="C320">
            <v>5</v>
          </cell>
        </row>
        <row r="321">
          <cell r="B321">
            <v>3.7037037037036887E-3</v>
          </cell>
          <cell r="C321">
            <v>5</v>
          </cell>
        </row>
        <row r="322">
          <cell r="B322">
            <v>3.7152777777777627E-3</v>
          </cell>
          <cell r="C322">
            <v>5</v>
          </cell>
        </row>
        <row r="323">
          <cell r="B323">
            <v>3.7268518518518367E-3</v>
          </cell>
          <cell r="C323">
            <v>5</v>
          </cell>
        </row>
        <row r="324">
          <cell r="B324">
            <v>3.7384259259259107E-3</v>
          </cell>
          <cell r="C324">
            <v>5</v>
          </cell>
        </row>
        <row r="325">
          <cell r="B325">
            <v>3.7499999999999847E-3</v>
          </cell>
          <cell r="C325">
            <v>5</v>
          </cell>
        </row>
        <row r="326">
          <cell r="B326">
            <v>3.7615740740740587E-3</v>
          </cell>
          <cell r="C326">
            <v>5</v>
          </cell>
        </row>
        <row r="327">
          <cell r="B327">
            <v>3.7731481481481327E-3</v>
          </cell>
          <cell r="C327">
            <v>5</v>
          </cell>
        </row>
        <row r="328">
          <cell r="B328">
            <v>3.7847222222222067E-3</v>
          </cell>
          <cell r="C328">
            <v>5</v>
          </cell>
        </row>
        <row r="329">
          <cell r="B329">
            <v>3.7962962962962807E-3</v>
          </cell>
          <cell r="C329">
            <v>5</v>
          </cell>
        </row>
        <row r="330">
          <cell r="B330">
            <v>3.8078703703703547E-3</v>
          </cell>
          <cell r="C330">
            <v>5</v>
          </cell>
        </row>
        <row r="331">
          <cell r="B331">
            <v>3.8194444444444287E-3</v>
          </cell>
          <cell r="C331">
            <v>5</v>
          </cell>
        </row>
        <row r="332">
          <cell r="B332">
            <v>3.8310185185185027E-3</v>
          </cell>
          <cell r="C332">
            <v>5</v>
          </cell>
        </row>
        <row r="333">
          <cell r="B333">
            <v>3.8425925925925767E-3</v>
          </cell>
          <cell r="C333">
            <v>5</v>
          </cell>
        </row>
        <row r="334">
          <cell r="B334">
            <v>3.8541666666666507E-3</v>
          </cell>
          <cell r="C334">
            <v>5</v>
          </cell>
        </row>
        <row r="335">
          <cell r="B335">
            <v>3.8657407407407247E-3</v>
          </cell>
          <cell r="C335">
            <v>5</v>
          </cell>
        </row>
        <row r="336">
          <cell r="B336">
            <v>3.8773148148147987E-3</v>
          </cell>
          <cell r="C336">
            <v>5</v>
          </cell>
        </row>
        <row r="337">
          <cell r="B337">
            <v>3.8888888888888727E-3</v>
          </cell>
          <cell r="C337">
            <v>5</v>
          </cell>
        </row>
        <row r="338">
          <cell r="B338">
            <v>3.9004629629629467E-3</v>
          </cell>
          <cell r="C338">
            <v>5</v>
          </cell>
        </row>
        <row r="339">
          <cell r="B339">
            <v>3.9120370370370212E-3</v>
          </cell>
          <cell r="C339">
            <v>5</v>
          </cell>
        </row>
        <row r="340">
          <cell r="B340">
            <v>3.9236111111110956E-3</v>
          </cell>
          <cell r="C340">
            <v>5</v>
          </cell>
        </row>
        <row r="341">
          <cell r="B341">
            <v>3.93518518518517E-3</v>
          </cell>
          <cell r="C341">
            <v>5</v>
          </cell>
        </row>
        <row r="342">
          <cell r="B342">
            <v>3.9467592592592445E-3</v>
          </cell>
          <cell r="C342">
            <v>5</v>
          </cell>
        </row>
        <row r="343">
          <cell r="B343">
            <v>3.9583333333333189E-3</v>
          </cell>
          <cell r="C343">
            <v>5</v>
          </cell>
        </row>
        <row r="344">
          <cell r="B344">
            <v>3.9699074074073934E-3</v>
          </cell>
          <cell r="C344">
            <v>5</v>
          </cell>
        </row>
        <row r="345">
          <cell r="B345">
            <v>3.9814814814814678E-3</v>
          </cell>
          <cell r="C345">
            <v>5</v>
          </cell>
        </row>
        <row r="346">
          <cell r="B346">
            <v>3.9930555555555422E-3</v>
          </cell>
          <cell r="C346">
            <v>5</v>
          </cell>
        </row>
        <row r="347">
          <cell r="B347">
            <v>4.0046296296296167E-3</v>
          </cell>
          <cell r="C347">
            <v>5</v>
          </cell>
        </row>
        <row r="348">
          <cell r="B348">
            <v>4.0162037037036911E-3</v>
          </cell>
          <cell r="C348">
            <v>5</v>
          </cell>
        </row>
        <row r="349">
          <cell r="B349">
            <v>4.0277777777777655E-3</v>
          </cell>
          <cell r="C349">
            <v>5</v>
          </cell>
        </row>
        <row r="350">
          <cell r="B350">
            <v>4.03935185185184E-3</v>
          </cell>
          <cell r="C350">
            <v>5</v>
          </cell>
        </row>
        <row r="351">
          <cell r="B351">
            <v>4.0509259259259144E-3</v>
          </cell>
          <cell r="C351">
            <v>5</v>
          </cell>
        </row>
        <row r="352">
          <cell r="B352">
            <v>4.0624999999999889E-3</v>
          </cell>
          <cell r="C352">
            <v>5</v>
          </cell>
        </row>
        <row r="353">
          <cell r="B353">
            <v>4.0740740740740633E-3</v>
          </cell>
          <cell r="C353">
            <v>5</v>
          </cell>
        </row>
        <row r="354">
          <cell r="B354">
            <v>4.0856481481481377E-3</v>
          </cell>
          <cell r="C354">
            <v>5</v>
          </cell>
        </row>
        <row r="355">
          <cell r="B355">
            <v>4.0972222222222122E-3</v>
          </cell>
          <cell r="C355">
            <v>5</v>
          </cell>
        </row>
        <row r="356">
          <cell r="B356">
            <v>4.1087962962962866E-3</v>
          </cell>
          <cell r="C356">
            <v>5</v>
          </cell>
        </row>
        <row r="357">
          <cell r="B357">
            <v>4.1203703703703611E-3</v>
          </cell>
          <cell r="C357">
            <v>5</v>
          </cell>
        </row>
        <row r="358">
          <cell r="B358">
            <v>4.1319444444444355E-3</v>
          </cell>
          <cell r="C358">
            <v>5</v>
          </cell>
        </row>
        <row r="359">
          <cell r="B359">
            <v>4.1435185185185099E-3</v>
          </cell>
          <cell r="C359">
            <v>5</v>
          </cell>
        </row>
        <row r="360">
          <cell r="B360">
            <v>4.1550925925925844E-3</v>
          </cell>
          <cell r="C360">
            <v>5</v>
          </cell>
        </row>
        <row r="361">
          <cell r="B361">
            <v>4.1666666666666588E-3</v>
          </cell>
          <cell r="C361">
            <v>6</v>
          </cell>
        </row>
        <row r="362">
          <cell r="B362">
            <v>4.1782407407407332E-3</v>
          </cell>
          <cell r="C362">
            <v>6</v>
          </cell>
        </row>
        <row r="363">
          <cell r="B363">
            <v>4.1898148148148077E-3</v>
          </cell>
          <cell r="C363">
            <v>6</v>
          </cell>
        </row>
        <row r="364">
          <cell r="B364">
            <v>4.2013888888888821E-3</v>
          </cell>
          <cell r="C364">
            <v>6</v>
          </cell>
        </row>
        <row r="365">
          <cell r="B365">
            <v>4.2129629629629566E-3</v>
          </cell>
          <cell r="C365">
            <v>6</v>
          </cell>
        </row>
        <row r="366">
          <cell r="B366">
            <v>4.224537037037031E-3</v>
          </cell>
          <cell r="C366">
            <v>6</v>
          </cell>
        </row>
        <row r="367">
          <cell r="B367">
            <v>4.2361111111111054E-3</v>
          </cell>
          <cell r="C367">
            <v>6</v>
          </cell>
        </row>
        <row r="368">
          <cell r="B368">
            <v>4.2476851851851799E-3</v>
          </cell>
          <cell r="C368">
            <v>6</v>
          </cell>
        </row>
        <row r="369">
          <cell r="B369">
            <v>4.2592592592592543E-3</v>
          </cell>
          <cell r="C369">
            <v>6</v>
          </cell>
        </row>
        <row r="370">
          <cell r="B370">
            <v>4.2708333333333287E-3</v>
          </cell>
          <cell r="C370">
            <v>6</v>
          </cell>
        </row>
        <row r="371">
          <cell r="B371">
            <v>4.2824074074074032E-3</v>
          </cell>
          <cell r="C371">
            <v>6</v>
          </cell>
        </row>
        <row r="372">
          <cell r="B372">
            <v>4.2939814814814776E-3</v>
          </cell>
          <cell r="C372">
            <v>6</v>
          </cell>
        </row>
        <row r="373">
          <cell r="B373">
            <v>4.3055555555555521E-3</v>
          </cell>
          <cell r="C373">
            <v>6</v>
          </cell>
        </row>
        <row r="374">
          <cell r="B374">
            <v>4.3171296296296265E-3</v>
          </cell>
          <cell r="C374">
            <v>6</v>
          </cell>
        </row>
        <row r="375">
          <cell r="B375">
            <v>4.3287037037037009E-3</v>
          </cell>
          <cell r="C375">
            <v>6</v>
          </cell>
        </row>
        <row r="376">
          <cell r="B376">
            <v>4.3402777777777754E-3</v>
          </cell>
          <cell r="C376">
            <v>6</v>
          </cell>
        </row>
        <row r="377">
          <cell r="B377">
            <v>4.3518518518518498E-3</v>
          </cell>
          <cell r="C377">
            <v>6</v>
          </cell>
        </row>
        <row r="378">
          <cell r="B378">
            <v>4.3634259259259242E-3</v>
          </cell>
          <cell r="C378">
            <v>6</v>
          </cell>
        </row>
        <row r="379">
          <cell r="B379">
            <v>4.3749999999999987E-3</v>
          </cell>
          <cell r="C379">
            <v>6</v>
          </cell>
        </row>
        <row r="380">
          <cell r="B380">
            <v>4.3865740740740731E-3</v>
          </cell>
          <cell r="C380">
            <v>6</v>
          </cell>
        </row>
        <row r="381">
          <cell r="B381">
            <v>4.3981481481481476E-3</v>
          </cell>
          <cell r="C381">
            <v>6</v>
          </cell>
        </row>
        <row r="382">
          <cell r="B382">
            <v>4.409722222222222E-3</v>
          </cell>
          <cell r="C382">
            <v>6</v>
          </cell>
        </row>
        <row r="383">
          <cell r="B383">
            <v>4.4212962962962964E-3</v>
          </cell>
          <cell r="C383">
            <v>6</v>
          </cell>
        </row>
        <row r="384">
          <cell r="B384">
            <v>4.4328703703703709E-3</v>
          </cell>
          <cell r="C384">
            <v>6</v>
          </cell>
        </row>
        <row r="385">
          <cell r="B385">
            <v>4.4444444444444453E-3</v>
          </cell>
          <cell r="C385">
            <v>6</v>
          </cell>
        </row>
        <row r="386">
          <cell r="B386">
            <v>4.4560185185185197E-3</v>
          </cell>
          <cell r="C386">
            <v>6</v>
          </cell>
        </row>
        <row r="387">
          <cell r="B387">
            <v>4.4675925925925942E-3</v>
          </cell>
          <cell r="C387">
            <v>6</v>
          </cell>
        </row>
        <row r="388">
          <cell r="B388">
            <v>4.4791666666666686E-3</v>
          </cell>
          <cell r="C388">
            <v>6</v>
          </cell>
        </row>
        <row r="389">
          <cell r="B389">
            <v>4.4907407407407431E-3</v>
          </cell>
          <cell r="C389">
            <v>6</v>
          </cell>
        </row>
        <row r="390">
          <cell r="B390">
            <v>4.5023148148148175E-3</v>
          </cell>
          <cell r="C390">
            <v>6</v>
          </cell>
        </row>
        <row r="391">
          <cell r="B391">
            <v>4.5138888888888919E-3</v>
          </cell>
          <cell r="C391">
            <v>6</v>
          </cell>
        </row>
        <row r="392">
          <cell r="B392">
            <v>4.5254629629629664E-3</v>
          </cell>
          <cell r="C392">
            <v>6</v>
          </cell>
        </row>
        <row r="393">
          <cell r="B393">
            <v>4.5370370370370408E-3</v>
          </cell>
          <cell r="C393">
            <v>6</v>
          </cell>
        </row>
        <row r="394">
          <cell r="B394">
            <v>4.5486111111111152E-3</v>
          </cell>
          <cell r="C394">
            <v>6</v>
          </cell>
        </row>
        <row r="395">
          <cell r="B395">
            <v>4.5601851851851897E-3</v>
          </cell>
          <cell r="C395">
            <v>6</v>
          </cell>
        </row>
        <row r="396">
          <cell r="B396">
            <v>4.5717592592592641E-3</v>
          </cell>
          <cell r="C396">
            <v>6</v>
          </cell>
        </row>
        <row r="397">
          <cell r="B397">
            <v>4.5833333333333386E-3</v>
          </cell>
          <cell r="C397">
            <v>6</v>
          </cell>
        </row>
        <row r="398">
          <cell r="B398">
            <v>4.594907407407413E-3</v>
          </cell>
          <cell r="C398">
            <v>6</v>
          </cell>
        </row>
        <row r="399">
          <cell r="B399">
            <v>4.6064814814814874E-3</v>
          </cell>
          <cell r="C399">
            <v>6</v>
          </cell>
        </row>
        <row r="400">
          <cell r="B400">
            <v>4.6180555555555619E-3</v>
          </cell>
          <cell r="C400">
            <v>6</v>
          </cell>
        </row>
        <row r="401">
          <cell r="B401">
            <v>4.6296296296296363E-3</v>
          </cell>
          <cell r="C401">
            <v>6</v>
          </cell>
        </row>
        <row r="402">
          <cell r="B402">
            <v>4.6412037037037107E-3</v>
          </cell>
          <cell r="C402">
            <v>6</v>
          </cell>
        </row>
        <row r="403">
          <cell r="B403">
            <v>4.6527777777777852E-3</v>
          </cell>
          <cell r="C403">
            <v>6</v>
          </cell>
        </row>
        <row r="404">
          <cell r="B404">
            <v>4.6643518518518596E-3</v>
          </cell>
          <cell r="C404">
            <v>6</v>
          </cell>
        </row>
        <row r="405">
          <cell r="B405">
            <v>4.6759259259259341E-3</v>
          </cell>
          <cell r="C405">
            <v>6</v>
          </cell>
        </row>
        <row r="406">
          <cell r="B406">
            <v>4.6875000000000085E-3</v>
          </cell>
          <cell r="C406">
            <v>6</v>
          </cell>
        </row>
        <row r="407">
          <cell r="B407">
            <v>4.6990740740740829E-3</v>
          </cell>
          <cell r="C407">
            <v>6</v>
          </cell>
        </row>
        <row r="408">
          <cell r="B408">
            <v>4.7106481481481574E-3</v>
          </cell>
          <cell r="C408">
            <v>6</v>
          </cell>
        </row>
        <row r="409">
          <cell r="B409">
            <v>4.7222222222222318E-3</v>
          </cell>
          <cell r="C409">
            <v>6</v>
          </cell>
        </row>
        <row r="410">
          <cell r="B410">
            <v>4.7337962962963063E-3</v>
          </cell>
          <cell r="C410">
            <v>6</v>
          </cell>
        </row>
        <row r="411">
          <cell r="B411">
            <v>4.7453703703703807E-3</v>
          </cell>
          <cell r="C411">
            <v>6</v>
          </cell>
        </row>
        <row r="412">
          <cell r="B412">
            <v>4.7569444444444551E-3</v>
          </cell>
          <cell r="C412">
            <v>6</v>
          </cell>
        </row>
        <row r="413">
          <cell r="B413">
            <v>4.7685185185185296E-3</v>
          </cell>
          <cell r="C413">
            <v>6</v>
          </cell>
        </row>
        <row r="414">
          <cell r="B414">
            <v>4.780092592592604E-3</v>
          </cell>
          <cell r="C414">
            <v>6</v>
          </cell>
        </row>
        <row r="415">
          <cell r="B415">
            <v>4.7916666666666784E-3</v>
          </cell>
          <cell r="C415">
            <v>6</v>
          </cell>
        </row>
        <row r="416">
          <cell r="B416">
            <v>4.8032407407407529E-3</v>
          </cell>
          <cell r="C416">
            <v>6</v>
          </cell>
        </row>
        <row r="417">
          <cell r="B417">
            <v>4.8148148148148273E-3</v>
          </cell>
          <cell r="C417">
            <v>6</v>
          </cell>
        </row>
        <row r="418">
          <cell r="B418">
            <v>4.8263888888889018E-3</v>
          </cell>
          <cell r="C418">
            <v>6</v>
          </cell>
        </row>
        <row r="419">
          <cell r="B419">
            <v>4.8379629629629762E-3</v>
          </cell>
          <cell r="C419">
            <v>6</v>
          </cell>
        </row>
        <row r="420">
          <cell r="B420">
            <v>4.8495370370370506E-3</v>
          </cell>
          <cell r="C420">
            <v>6</v>
          </cell>
        </row>
        <row r="421">
          <cell r="B421">
            <v>4.8611111111111251E-3</v>
          </cell>
          <cell r="C421">
            <v>7</v>
          </cell>
        </row>
        <row r="422">
          <cell r="B422">
            <v>4.8726851851851995E-3</v>
          </cell>
          <cell r="C422">
            <v>7</v>
          </cell>
        </row>
        <row r="423">
          <cell r="B423">
            <v>4.8842592592592739E-3</v>
          </cell>
          <cell r="C423">
            <v>7</v>
          </cell>
        </row>
        <row r="424">
          <cell r="B424">
            <v>4.8958333333333484E-3</v>
          </cell>
          <cell r="C424">
            <v>7</v>
          </cell>
        </row>
        <row r="425">
          <cell r="B425">
            <v>4.9074074074074228E-3</v>
          </cell>
          <cell r="C425">
            <v>7</v>
          </cell>
        </row>
        <row r="426">
          <cell r="B426">
            <v>4.9189814814814973E-3</v>
          </cell>
          <cell r="C426">
            <v>7</v>
          </cell>
        </row>
        <row r="427">
          <cell r="B427">
            <v>4.9305555555555717E-3</v>
          </cell>
          <cell r="C427">
            <v>7</v>
          </cell>
        </row>
        <row r="428">
          <cell r="B428">
            <v>4.9421296296296461E-3</v>
          </cell>
          <cell r="C428">
            <v>7</v>
          </cell>
        </row>
        <row r="429">
          <cell r="B429">
            <v>4.9537037037037206E-3</v>
          </cell>
          <cell r="C429">
            <v>7</v>
          </cell>
        </row>
        <row r="430">
          <cell r="B430">
            <v>4.965277777777795E-3</v>
          </cell>
          <cell r="C430">
            <v>7</v>
          </cell>
        </row>
        <row r="431">
          <cell r="B431">
            <v>4.9768518518518694E-3</v>
          </cell>
          <cell r="C431">
            <v>7</v>
          </cell>
        </row>
        <row r="432">
          <cell r="B432">
            <v>4.9884259259259439E-3</v>
          </cell>
          <cell r="C432">
            <v>7</v>
          </cell>
        </row>
        <row r="433">
          <cell r="B433">
            <v>5.0000000000000183E-3</v>
          </cell>
          <cell r="C433">
            <v>7</v>
          </cell>
        </row>
        <row r="434">
          <cell r="B434">
            <v>5.0115740740740928E-3</v>
          </cell>
          <cell r="C434">
            <v>7</v>
          </cell>
        </row>
        <row r="435">
          <cell r="B435">
            <v>5.0231481481481672E-3</v>
          </cell>
          <cell r="C435">
            <v>7</v>
          </cell>
        </row>
        <row r="436">
          <cell r="B436">
            <v>5.0347222222222416E-3</v>
          </cell>
          <cell r="C436">
            <v>7</v>
          </cell>
        </row>
        <row r="437">
          <cell r="B437">
            <v>5.0462962962963161E-3</v>
          </cell>
          <cell r="C437">
            <v>7</v>
          </cell>
        </row>
        <row r="438">
          <cell r="B438">
            <v>5.0578703703703905E-3</v>
          </cell>
          <cell r="C438">
            <v>7</v>
          </cell>
        </row>
        <row r="439">
          <cell r="B439">
            <v>5.0694444444444649E-3</v>
          </cell>
          <cell r="C439">
            <v>7</v>
          </cell>
        </row>
        <row r="440">
          <cell r="B440">
            <v>5.0810185185185394E-3</v>
          </cell>
          <cell r="C440">
            <v>7</v>
          </cell>
        </row>
        <row r="441">
          <cell r="B441">
            <v>5.0925925925926138E-3</v>
          </cell>
          <cell r="C441">
            <v>7</v>
          </cell>
        </row>
        <row r="442">
          <cell r="B442">
            <v>5.1041666666666883E-3</v>
          </cell>
          <cell r="C442">
            <v>7</v>
          </cell>
        </row>
        <row r="443">
          <cell r="B443">
            <v>5.1157407407407627E-3</v>
          </cell>
          <cell r="C443">
            <v>7</v>
          </cell>
        </row>
        <row r="444">
          <cell r="B444">
            <v>5.1273148148148371E-3</v>
          </cell>
          <cell r="C444">
            <v>7</v>
          </cell>
        </row>
        <row r="445">
          <cell r="B445">
            <v>5.1388888888889116E-3</v>
          </cell>
          <cell r="C445">
            <v>7</v>
          </cell>
        </row>
        <row r="446">
          <cell r="B446">
            <v>5.150462962962986E-3</v>
          </cell>
          <cell r="C446">
            <v>7</v>
          </cell>
        </row>
        <row r="447">
          <cell r="B447">
            <v>5.1620370370370604E-3</v>
          </cell>
          <cell r="C447">
            <v>7</v>
          </cell>
        </row>
        <row r="448">
          <cell r="B448">
            <v>5.1736111111111349E-3</v>
          </cell>
          <cell r="C448">
            <v>7</v>
          </cell>
        </row>
        <row r="449">
          <cell r="B449">
            <v>5.1851851851852093E-3</v>
          </cell>
          <cell r="C449">
            <v>7</v>
          </cell>
        </row>
        <row r="450">
          <cell r="B450">
            <v>5.1967592592592838E-3</v>
          </cell>
          <cell r="C450">
            <v>7</v>
          </cell>
        </row>
        <row r="451">
          <cell r="B451">
            <v>5.2083333333333582E-3</v>
          </cell>
          <cell r="C451">
            <v>7</v>
          </cell>
        </row>
        <row r="452">
          <cell r="B452">
            <v>5.2199074074074326E-3</v>
          </cell>
          <cell r="C452">
            <v>7</v>
          </cell>
        </row>
        <row r="453">
          <cell r="B453">
            <v>5.2314814814815071E-3</v>
          </cell>
          <cell r="C453">
            <v>7</v>
          </cell>
        </row>
        <row r="454">
          <cell r="B454">
            <v>5.2430555555555815E-3</v>
          </cell>
          <cell r="C454">
            <v>7</v>
          </cell>
        </row>
        <row r="455">
          <cell r="B455">
            <v>5.2546296296296559E-3</v>
          </cell>
          <cell r="C455">
            <v>7</v>
          </cell>
        </row>
        <row r="456">
          <cell r="B456">
            <v>5.2662037037037304E-3</v>
          </cell>
          <cell r="C456">
            <v>7</v>
          </cell>
        </row>
        <row r="457">
          <cell r="B457">
            <v>5.2777777777778048E-3</v>
          </cell>
          <cell r="C457">
            <v>7</v>
          </cell>
        </row>
        <row r="458">
          <cell r="B458">
            <v>5.2893518518518793E-3</v>
          </cell>
          <cell r="C458">
            <v>7</v>
          </cell>
        </row>
        <row r="459">
          <cell r="B459">
            <v>5.3009259259259537E-3</v>
          </cell>
          <cell r="C459">
            <v>7</v>
          </cell>
        </row>
        <row r="460">
          <cell r="B460">
            <v>5.3125000000000281E-3</v>
          </cell>
          <cell r="C460">
            <v>7</v>
          </cell>
        </row>
        <row r="461">
          <cell r="B461">
            <v>5.3240740740741026E-3</v>
          </cell>
          <cell r="C461">
            <v>7</v>
          </cell>
        </row>
        <row r="462">
          <cell r="B462">
            <v>5.335648148148177E-3</v>
          </cell>
          <cell r="C462">
            <v>7</v>
          </cell>
        </row>
        <row r="463">
          <cell r="B463">
            <v>5.3472222222222515E-3</v>
          </cell>
          <cell r="C463">
            <v>7</v>
          </cell>
        </row>
        <row r="464">
          <cell r="B464">
            <v>5.3587962962963259E-3</v>
          </cell>
          <cell r="C464">
            <v>7</v>
          </cell>
        </row>
        <row r="465">
          <cell r="B465">
            <v>5.3703703703704003E-3</v>
          </cell>
          <cell r="C465">
            <v>7</v>
          </cell>
        </row>
        <row r="466">
          <cell r="B466">
            <v>5.3819444444444748E-3</v>
          </cell>
          <cell r="C466">
            <v>7</v>
          </cell>
        </row>
        <row r="467">
          <cell r="B467">
            <v>5.3935185185185492E-3</v>
          </cell>
          <cell r="C467">
            <v>7</v>
          </cell>
        </row>
        <row r="468">
          <cell r="B468">
            <v>5.4050925925926236E-3</v>
          </cell>
          <cell r="C468">
            <v>7</v>
          </cell>
        </row>
        <row r="469">
          <cell r="B469">
            <v>5.4166666666666981E-3</v>
          </cell>
          <cell r="C469">
            <v>7</v>
          </cell>
        </row>
        <row r="470">
          <cell r="B470">
            <v>5.4282407407407725E-3</v>
          </cell>
          <cell r="C470">
            <v>7</v>
          </cell>
        </row>
        <row r="471">
          <cell r="B471">
            <v>5.439814814814847E-3</v>
          </cell>
          <cell r="C471">
            <v>7</v>
          </cell>
        </row>
        <row r="472">
          <cell r="B472">
            <v>5.4513888888889214E-3</v>
          </cell>
          <cell r="C472">
            <v>7</v>
          </cell>
        </row>
        <row r="473">
          <cell r="B473">
            <v>5.4629629629629958E-3</v>
          </cell>
          <cell r="C473">
            <v>7</v>
          </cell>
        </row>
        <row r="474">
          <cell r="B474">
            <v>5.4745370370370703E-3</v>
          </cell>
          <cell r="C474">
            <v>7</v>
          </cell>
        </row>
        <row r="475">
          <cell r="B475">
            <v>5.4861111111111447E-3</v>
          </cell>
          <cell r="C475">
            <v>7</v>
          </cell>
        </row>
        <row r="476">
          <cell r="B476">
            <v>5.4976851851852191E-3</v>
          </cell>
          <cell r="C476">
            <v>7</v>
          </cell>
        </row>
        <row r="477">
          <cell r="B477">
            <v>5.5092592592592936E-3</v>
          </cell>
          <cell r="C477">
            <v>7</v>
          </cell>
        </row>
        <row r="478">
          <cell r="B478">
            <v>5.520833333333368E-3</v>
          </cell>
          <cell r="C478">
            <v>7</v>
          </cell>
        </row>
        <row r="479">
          <cell r="B479">
            <v>5.5324074074074425E-3</v>
          </cell>
          <cell r="C479">
            <v>7</v>
          </cell>
        </row>
        <row r="480">
          <cell r="B480">
            <v>5.5439814814815169E-3</v>
          </cell>
          <cell r="C480">
            <v>7</v>
          </cell>
        </row>
        <row r="481">
          <cell r="B481">
            <v>5.5555555555555913E-3</v>
          </cell>
          <cell r="C481">
            <v>8</v>
          </cell>
        </row>
        <row r="482">
          <cell r="B482">
            <v>5.5671296296296658E-3</v>
          </cell>
          <cell r="C482">
            <v>8</v>
          </cell>
        </row>
        <row r="483">
          <cell r="B483">
            <v>5.5787037037037402E-3</v>
          </cell>
          <cell r="C483">
            <v>8</v>
          </cell>
        </row>
        <row r="484">
          <cell r="B484">
            <v>5.5902777777778146E-3</v>
          </cell>
          <cell r="C484">
            <v>8</v>
          </cell>
        </row>
        <row r="485">
          <cell r="B485">
            <v>5.6018518518518891E-3</v>
          </cell>
          <cell r="C485">
            <v>8</v>
          </cell>
        </row>
        <row r="486">
          <cell r="B486">
            <v>5.6134259259259635E-3</v>
          </cell>
          <cell r="C486">
            <v>8</v>
          </cell>
        </row>
        <row r="487">
          <cell r="B487">
            <v>5.625000000000038E-3</v>
          </cell>
          <cell r="C487">
            <v>8</v>
          </cell>
        </row>
        <row r="488">
          <cell r="B488">
            <v>5.6365740740741124E-3</v>
          </cell>
          <cell r="C488">
            <v>8</v>
          </cell>
        </row>
        <row r="489">
          <cell r="B489">
            <v>5.6481481481481868E-3</v>
          </cell>
          <cell r="C489">
            <v>8</v>
          </cell>
        </row>
        <row r="490">
          <cell r="B490">
            <v>5.6597222222222613E-3</v>
          </cell>
          <cell r="C490">
            <v>8</v>
          </cell>
        </row>
        <row r="491">
          <cell r="B491">
            <v>5.6712962962963357E-3</v>
          </cell>
          <cell r="C491">
            <v>8</v>
          </cell>
        </row>
        <row r="492">
          <cell r="B492">
            <v>5.6828703703704101E-3</v>
          </cell>
          <cell r="C492">
            <v>8</v>
          </cell>
        </row>
        <row r="493">
          <cell r="B493">
            <v>5.6944444444444846E-3</v>
          </cell>
          <cell r="C493">
            <v>8</v>
          </cell>
        </row>
        <row r="494">
          <cell r="B494">
            <v>5.706018518518559E-3</v>
          </cell>
          <cell r="C494">
            <v>8</v>
          </cell>
        </row>
        <row r="495">
          <cell r="B495">
            <v>5.7175925925926335E-3</v>
          </cell>
          <cell r="C495">
            <v>8</v>
          </cell>
        </row>
        <row r="496">
          <cell r="B496">
            <v>5.7291666666667079E-3</v>
          </cell>
          <cell r="C496">
            <v>8</v>
          </cell>
        </row>
        <row r="497">
          <cell r="B497">
            <v>5.7407407407407823E-3</v>
          </cell>
          <cell r="C497">
            <v>8</v>
          </cell>
        </row>
        <row r="498">
          <cell r="B498">
            <v>5.7523148148148568E-3</v>
          </cell>
          <cell r="C498">
            <v>8</v>
          </cell>
        </row>
        <row r="499">
          <cell r="B499">
            <v>5.7638888888889312E-3</v>
          </cell>
          <cell r="C499">
            <v>8</v>
          </cell>
        </row>
        <row r="500">
          <cell r="B500">
            <v>5.7754629629630056E-3</v>
          </cell>
          <cell r="C500">
            <v>8</v>
          </cell>
        </row>
        <row r="501">
          <cell r="B501">
            <v>5.7870370370370801E-3</v>
          </cell>
          <cell r="C501">
            <v>8</v>
          </cell>
        </row>
        <row r="502">
          <cell r="B502">
            <v>5.7986111111111545E-3</v>
          </cell>
          <cell r="C502">
            <v>8</v>
          </cell>
        </row>
        <row r="503">
          <cell r="B503">
            <v>5.810185185185229E-3</v>
          </cell>
          <cell r="C503">
            <v>8</v>
          </cell>
        </row>
        <row r="504">
          <cell r="B504">
            <v>5.8217592592593034E-3</v>
          </cell>
          <cell r="C504">
            <v>8</v>
          </cell>
        </row>
        <row r="505">
          <cell r="B505">
            <v>5.8333333333333778E-3</v>
          </cell>
          <cell r="C505">
            <v>8</v>
          </cell>
        </row>
        <row r="506">
          <cell r="B506">
            <v>5.8449074074074523E-3</v>
          </cell>
          <cell r="C506">
            <v>8</v>
          </cell>
        </row>
        <row r="507">
          <cell r="B507">
            <v>5.8564814814815267E-3</v>
          </cell>
          <cell r="C507">
            <v>8</v>
          </cell>
        </row>
        <row r="508">
          <cell r="B508">
            <v>5.8680555555556011E-3</v>
          </cell>
          <cell r="C508">
            <v>8</v>
          </cell>
        </row>
        <row r="509">
          <cell r="B509">
            <v>5.8796296296296756E-3</v>
          </cell>
          <cell r="C509">
            <v>8</v>
          </cell>
        </row>
        <row r="510">
          <cell r="B510">
            <v>5.89120370370375E-3</v>
          </cell>
          <cell r="C510">
            <v>8</v>
          </cell>
        </row>
        <row r="511">
          <cell r="B511">
            <v>5.9027777777778245E-3</v>
          </cell>
          <cell r="C511">
            <v>8</v>
          </cell>
        </row>
        <row r="512">
          <cell r="B512">
            <v>5.9143518518518989E-3</v>
          </cell>
          <cell r="C512">
            <v>8</v>
          </cell>
        </row>
        <row r="513">
          <cell r="B513">
            <v>5.9259259259259733E-3</v>
          </cell>
          <cell r="C513">
            <v>8</v>
          </cell>
        </row>
        <row r="514">
          <cell r="B514">
            <v>5.9375000000000478E-3</v>
          </cell>
          <cell r="C514">
            <v>8</v>
          </cell>
        </row>
        <row r="515">
          <cell r="B515">
            <v>5.9490740740741222E-3</v>
          </cell>
          <cell r="C515">
            <v>8</v>
          </cell>
        </row>
        <row r="516">
          <cell r="B516">
            <v>5.9606481481481966E-3</v>
          </cell>
          <cell r="C516">
            <v>8</v>
          </cell>
        </row>
        <row r="517">
          <cell r="B517">
            <v>5.9722222222222711E-3</v>
          </cell>
          <cell r="C517">
            <v>8</v>
          </cell>
        </row>
        <row r="518">
          <cell r="B518">
            <v>5.9837962962963455E-3</v>
          </cell>
          <cell r="C518">
            <v>8</v>
          </cell>
        </row>
        <row r="519">
          <cell r="B519">
            <v>5.99537037037042E-3</v>
          </cell>
          <cell r="C519">
            <v>8</v>
          </cell>
        </row>
        <row r="520">
          <cell r="B520">
            <v>6.0069444444444944E-3</v>
          </cell>
          <cell r="C520">
            <v>8</v>
          </cell>
        </row>
        <row r="521">
          <cell r="B521">
            <v>6.0185185185185688E-3</v>
          </cell>
          <cell r="C521">
            <v>8</v>
          </cell>
        </row>
        <row r="522">
          <cell r="B522">
            <v>6.0300925925926433E-3</v>
          </cell>
          <cell r="C522">
            <v>8</v>
          </cell>
        </row>
        <row r="523">
          <cell r="B523">
            <v>6.0416666666667177E-3</v>
          </cell>
          <cell r="C523">
            <v>8</v>
          </cell>
        </row>
        <row r="524">
          <cell r="B524">
            <v>6.0532407407407922E-3</v>
          </cell>
          <cell r="C524">
            <v>8</v>
          </cell>
        </row>
        <row r="525">
          <cell r="B525">
            <v>6.0648148148148666E-3</v>
          </cell>
          <cell r="C525">
            <v>8</v>
          </cell>
        </row>
        <row r="526">
          <cell r="B526">
            <v>6.076388888888941E-3</v>
          </cell>
          <cell r="C526">
            <v>8</v>
          </cell>
        </row>
        <row r="527">
          <cell r="B527">
            <v>6.0879629629630155E-3</v>
          </cell>
          <cell r="C527">
            <v>8</v>
          </cell>
        </row>
        <row r="528">
          <cell r="B528">
            <v>6.0995370370370899E-3</v>
          </cell>
          <cell r="C528">
            <v>8</v>
          </cell>
        </row>
        <row r="529">
          <cell r="B529">
            <v>6.1111111111111643E-3</v>
          </cell>
          <cell r="C529">
            <v>8</v>
          </cell>
        </row>
        <row r="530">
          <cell r="B530">
            <v>6.1226851851852388E-3</v>
          </cell>
          <cell r="C530">
            <v>8</v>
          </cell>
        </row>
        <row r="531">
          <cell r="B531">
            <v>6.1342592592593132E-3</v>
          </cell>
          <cell r="C531">
            <v>8</v>
          </cell>
        </row>
        <row r="532">
          <cell r="B532">
            <v>6.1458333333333877E-3</v>
          </cell>
          <cell r="C532">
            <v>8</v>
          </cell>
        </row>
        <row r="533">
          <cell r="B533">
            <v>6.1574074074074621E-3</v>
          </cell>
          <cell r="C533">
            <v>8</v>
          </cell>
        </row>
        <row r="534">
          <cell r="B534">
            <v>6.1689814814815365E-3</v>
          </cell>
          <cell r="C534">
            <v>8</v>
          </cell>
        </row>
        <row r="535">
          <cell r="B535">
            <v>6.180555555555611E-3</v>
          </cell>
          <cell r="C535">
            <v>8</v>
          </cell>
        </row>
        <row r="536">
          <cell r="B536">
            <v>6.1921296296296854E-3</v>
          </cell>
          <cell r="C536">
            <v>8</v>
          </cell>
        </row>
        <row r="537">
          <cell r="B537">
            <v>6.2037037037037598E-3</v>
          </cell>
          <cell r="C537">
            <v>8</v>
          </cell>
        </row>
        <row r="538">
          <cell r="B538">
            <v>6.2152777777778343E-3</v>
          </cell>
          <cell r="C538">
            <v>8</v>
          </cell>
        </row>
        <row r="539">
          <cell r="B539">
            <v>6.2268518518519087E-3</v>
          </cell>
          <cell r="C539">
            <v>8</v>
          </cell>
        </row>
        <row r="540">
          <cell r="B540">
            <v>6.2384259259259832E-3</v>
          </cell>
          <cell r="C540">
            <v>8</v>
          </cell>
        </row>
        <row r="541">
          <cell r="B541">
            <v>6.2500000000000576E-3</v>
          </cell>
          <cell r="C541">
            <v>9</v>
          </cell>
        </row>
        <row r="542">
          <cell r="B542">
            <v>6.261574074074132E-3</v>
          </cell>
          <cell r="C542">
            <v>9</v>
          </cell>
        </row>
        <row r="543">
          <cell r="B543">
            <v>6.2731481481482065E-3</v>
          </cell>
          <cell r="C543">
            <v>9</v>
          </cell>
        </row>
        <row r="544">
          <cell r="B544">
            <v>6.2847222222222809E-3</v>
          </cell>
          <cell r="C544">
            <v>9</v>
          </cell>
        </row>
        <row r="545">
          <cell r="B545">
            <v>6.2962962962963553E-3</v>
          </cell>
          <cell r="C545">
            <v>9</v>
          </cell>
        </row>
        <row r="546">
          <cell r="B546">
            <v>6.3078703703704298E-3</v>
          </cell>
          <cell r="C546">
            <v>9</v>
          </cell>
        </row>
        <row r="547">
          <cell r="B547">
            <v>6.3194444444445042E-3</v>
          </cell>
          <cell r="C547">
            <v>9</v>
          </cell>
        </row>
        <row r="548">
          <cell r="B548">
            <v>6.3310185185185787E-3</v>
          </cell>
          <cell r="C548">
            <v>9</v>
          </cell>
        </row>
        <row r="549">
          <cell r="B549">
            <v>6.3425925925926531E-3</v>
          </cell>
          <cell r="C549">
            <v>9</v>
          </cell>
        </row>
        <row r="550">
          <cell r="B550">
            <v>6.3541666666667275E-3</v>
          </cell>
          <cell r="C550">
            <v>9</v>
          </cell>
        </row>
        <row r="551">
          <cell r="B551">
            <v>6.365740740740802E-3</v>
          </cell>
          <cell r="C551">
            <v>9</v>
          </cell>
        </row>
        <row r="552">
          <cell r="B552">
            <v>6.3773148148148764E-3</v>
          </cell>
          <cell r="C552">
            <v>9</v>
          </cell>
        </row>
        <row r="553">
          <cell r="B553">
            <v>6.3888888888889508E-3</v>
          </cell>
          <cell r="C553">
            <v>9</v>
          </cell>
        </row>
        <row r="554">
          <cell r="B554">
            <v>6.4004629629630253E-3</v>
          </cell>
          <cell r="C554">
            <v>9</v>
          </cell>
        </row>
        <row r="555">
          <cell r="B555">
            <v>6.4120370370370997E-3</v>
          </cell>
          <cell r="C555">
            <v>9</v>
          </cell>
        </row>
        <row r="556">
          <cell r="B556">
            <v>6.4236111111111742E-3</v>
          </cell>
          <cell r="C556">
            <v>9</v>
          </cell>
        </row>
        <row r="557">
          <cell r="B557">
            <v>6.4351851851852486E-3</v>
          </cell>
          <cell r="C557">
            <v>9</v>
          </cell>
        </row>
        <row r="558">
          <cell r="B558">
            <v>6.446759259259323E-3</v>
          </cell>
          <cell r="C558">
            <v>9</v>
          </cell>
        </row>
        <row r="559">
          <cell r="B559">
            <v>6.4583333333333975E-3</v>
          </cell>
          <cell r="C559">
            <v>9</v>
          </cell>
        </row>
        <row r="560">
          <cell r="B560">
            <v>6.4699074074074719E-3</v>
          </cell>
          <cell r="C560">
            <v>9</v>
          </cell>
        </row>
        <row r="561">
          <cell r="B561">
            <v>6.4814814814815463E-3</v>
          </cell>
          <cell r="C561">
            <v>9</v>
          </cell>
        </row>
        <row r="562">
          <cell r="B562">
            <v>6.4930555555556208E-3</v>
          </cell>
          <cell r="C562">
            <v>9</v>
          </cell>
        </row>
        <row r="563">
          <cell r="B563">
            <v>6.5046296296296952E-3</v>
          </cell>
          <cell r="C563">
            <v>9</v>
          </cell>
        </row>
        <row r="564">
          <cell r="B564">
            <v>6.5162037037037697E-3</v>
          </cell>
          <cell r="C564">
            <v>9</v>
          </cell>
        </row>
        <row r="565">
          <cell r="B565">
            <v>6.5277777777778441E-3</v>
          </cell>
          <cell r="C565">
            <v>9</v>
          </cell>
        </row>
        <row r="566">
          <cell r="B566">
            <v>6.5393518518519185E-3</v>
          </cell>
          <cell r="C566">
            <v>9</v>
          </cell>
        </row>
        <row r="567">
          <cell r="B567">
            <v>6.550925925925993E-3</v>
          </cell>
          <cell r="C567">
            <v>9</v>
          </cell>
        </row>
        <row r="568">
          <cell r="B568">
            <v>6.5625000000000674E-3</v>
          </cell>
          <cell r="C568">
            <v>9</v>
          </cell>
        </row>
        <row r="569">
          <cell r="B569">
            <v>6.5740740740741418E-3</v>
          </cell>
          <cell r="C569">
            <v>9</v>
          </cell>
        </row>
        <row r="570">
          <cell r="B570">
            <v>6.5856481481482163E-3</v>
          </cell>
          <cell r="C570">
            <v>9</v>
          </cell>
        </row>
        <row r="571">
          <cell r="B571">
            <v>6.5972222222222907E-3</v>
          </cell>
          <cell r="C571">
            <v>9</v>
          </cell>
        </row>
        <row r="572">
          <cell r="B572">
            <v>6.6087962962963652E-3</v>
          </cell>
          <cell r="C572">
            <v>9</v>
          </cell>
        </row>
        <row r="573">
          <cell r="B573">
            <v>6.6203703703704396E-3</v>
          </cell>
          <cell r="C573">
            <v>9</v>
          </cell>
        </row>
        <row r="574">
          <cell r="B574">
            <v>6.631944444444514E-3</v>
          </cell>
          <cell r="C574">
            <v>9</v>
          </cell>
        </row>
        <row r="575">
          <cell r="B575">
            <v>6.6435185185185885E-3</v>
          </cell>
          <cell r="C575">
            <v>9</v>
          </cell>
        </row>
        <row r="576">
          <cell r="B576">
            <v>6.6550925925926629E-3</v>
          </cell>
          <cell r="C576">
            <v>9</v>
          </cell>
        </row>
        <row r="577">
          <cell r="B577">
            <v>6.6666666666667374E-3</v>
          </cell>
          <cell r="C577">
            <v>9</v>
          </cell>
        </row>
        <row r="578">
          <cell r="B578">
            <v>6.6782407407408118E-3</v>
          </cell>
          <cell r="C578">
            <v>9</v>
          </cell>
        </row>
        <row r="579">
          <cell r="B579">
            <v>6.6898148148148862E-3</v>
          </cell>
          <cell r="C579">
            <v>9</v>
          </cell>
        </row>
        <row r="580">
          <cell r="B580">
            <v>6.7013888888889607E-3</v>
          </cell>
          <cell r="C580">
            <v>9</v>
          </cell>
        </row>
        <row r="581">
          <cell r="B581">
            <v>6.7129629629630351E-3</v>
          </cell>
          <cell r="C581">
            <v>9</v>
          </cell>
        </row>
        <row r="582">
          <cell r="B582">
            <v>6.7245370370371095E-3</v>
          </cell>
          <cell r="C582">
            <v>9</v>
          </cell>
        </row>
        <row r="583">
          <cell r="B583">
            <v>6.736111111111184E-3</v>
          </cell>
          <cell r="C583">
            <v>9</v>
          </cell>
        </row>
        <row r="584">
          <cell r="B584">
            <v>6.7476851851852584E-3</v>
          </cell>
          <cell r="C584">
            <v>9</v>
          </cell>
        </row>
        <row r="585">
          <cell r="B585">
            <v>6.7592592592593329E-3</v>
          </cell>
          <cell r="C585">
            <v>9</v>
          </cell>
        </row>
        <row r="586">
          <cell r="B586">
            <v>6.7708333333334073E-3</v>
          </cell>
          <cell r="C586">
            <v>9</v>
          </cell>
        </row>
        <row r="587">
          <cell r="B587">
            <v>6.7824074074074817E-3</v>
          </cell>
          <cell r="C587">
            <v>9</v>
          </cell>
        </row>
        <row r="588">
          <cell r="B588">
            <v>6.7939814814815562E-3</v>
          </cell>
          <cell r="C588">
            <v>9</v>
          </cell>
        </row>
        <row r="589">
          <cell r="B589">
            <v>6.8055555555556306E-3</v>
          </cell>
          <cell r="C589">
            <v>9</v>
          </cell>
        </row>
        <row r="590">
          <cell r="B590">
            <v>6.817129629629705E-3</v>
          </cell>
          <cell r="C590">
            <v>9</v>
          </cell>
        </row>
        <row r="591">
          <cell r="B591">
            <v>6.8287037037037795E-3</v>
          </cell>
          <cell r="C591">
            <v>9</v>
          </cell>
        </row>
        <row r="592">
          <cell r="B592">
            <v>6.8402777777778539E-3</v>
          </cell>
          <cell r="C592">
            <v>9</v>
          </cell>
        </row>
        <row r="593">
          <cell r="B593">
            <v>6.8518518518519284E-3</v>
          </cell>
          <cell r="C593">
            <v>9</v>
          </cell>
        </row>
        <row r="594">
          <cell r="B594">
            <v>6.8634259259260028E-3</v>
          </cell>
          <cell r="C594">
            <v>9</v>
          </cell>
        </row>
        <row r="595">
          <cell r="B595">
            <v>6.8750000000000772E-3</v>
          </cell>
          <cell r="C595">
            <v>9</v>
          </cell>
        </row>
        <row r="596">
          <cell r="B596">
            <v>6.8865740740741517E-3</v>
          </cell>
          <cell r="C596">
            <v>9</v>
          </cell>
        </row>
        <row r="597">
          <cell r="B597">
            <v>6.8981481481482261E-3</v>
          </cell>
          <cell r="C597">
            <v>9</v>
          </cell>
        </row>
        <row r="598">
          <cell r="B598">
            <v>6.9097222222223005E-3</v>
          </cell>
          <cell r="C598">
            <v>9</v>
          </cell>
        </row>
        <row r="599">
          <cell r="B599">
            <v>6.921296296296375E-3</v>
          </cell>
          <cell r="C599">
            <v>9</v>
          </cell>
        </row>
        <row r="600">
          <cell r="B600">
            <v>6.9328703703704494E-3</v>
          </cell>
          <cell r="C600">
            <v>9</v>
          </cell>
        </row>
        <row r="601">
          <cell r="B601">
            <v>6.9444444444445239E-3</v>
          </cell>
          <cell r="C601">
            <v>10</v>
          </cell>
        </row>
        <row r="602">
          <cell r="B602">
            <v>6.9560185185185983E-3</v>
          </cell>
          <cell r="C602">
            <v>10</v>
          </cell>
        </row>
        <row r="603">
          <cell r="B603">
            <v>6.9675925925926727E-3</v>
          </cell>
          <cell r="C603">
            <v>10</v>
          </cell>
        </row>
        <row r="604">
          <cell r="B604">
            <v>6.9791666666667472E-3</v>
          </cell>
          <cell r="C604">
            <v>10</v>
          </cell>
        </row>
        <row r="605">
          <cell r="B605">
            <v>6.9907407407408216E-3</v>
          </cell>
          <cell r="C605">
            <v>10</v>
          </cell>
        </row>
        <row r="606">
          <cell r="B606">
            <v>7.002314814814896E-3</v>
          </cell>
          <cell r="C606">
            <v>10</v>
          </cell>
        </row>
        <row r="607">
          <cell r="B607">
            <v>7.0138888888889705E-3</v>
          </cell>
          <cell r="C607">
            <v>10</v>
          </cell>
        </row>
        <row r="608">
          <cell r="B608">
            <v>7.0254629629630449E-3</v>
          </cell>
          <cell r="C608">
            <v>10</v>
          </cell>
        </row>
        <row r="609">
          <cell r="B609">
            <v>7.0370370370371194E-3</v>
          </cell>
          <cell r="C609">
            <v>10</v>
          </cell>
        </row>
        <row r="610">
          <cell r="B610">
            <v>7.0486111111111938E-3</v>
          </cell>
          <cell r="C610">
            <v>10</v>
          </cell>
        </row>
        <row r="611">
          <cell r="B611">
            <v>7.0601851851852682E-3</v>
          </cell>
          <cell r="C611">
            <v>10</v>
          </cell>
        </row>
        <row r="612">
          <cell r="B612">
            <v>7.0717592592593427E-3</v>
          </cell>
          <cell r="C612">
            <v>10</v>
          </cell>
        </row>
        <row r="613">
          <cell r="B613">
            <v>7.0833333333334171E-3</v>
          </cell>
          <cell r="C613">
            <v>10</v>
          </cell>
        </row>
        <row r="614">
          <cell r="B614">
            <v>7.0949074074074915E-3</v>
          </cell>
          <cell r="C614">
            <v>10</v>
          </cell>
        </row>
        <row r="615">
          <cell r="B615">
            <v>7.106481481481566E-3</v>
          </cell>
          <cell r="C615">
            <v>10</v>
          </cell>
        </row>
        <row r="616">
          <cell r="B616">
            <v>7.1180555555556404E-3</v>
          </cell>
          <cell r="C616">
            <v>10</v>
          </cell>
        </row>
        <row r="617">
          <cell r="B617">
            <v>7.1296296296297149E-3</v>
          </cell>
          <cell r="C617">
            <v>10</v>
          </cell>
        </row>
        <row r="618">
          <cell r="B618">
            <v>7.1412037037037893E-3</v>
          </cell>
          <cell r="C618">
            <v>10</v>
          </cell>
        </row>
        <row r="619">
          <cell r="B619">
            <v>7.1527777777778637E-3</v>
          </cell>
          <cell r="C619">
            <v>10</v>
          </cell>
        </row>
        <row r="620">
          <cell r="B620">
            <v>7.1643518518519382E-3</v>
          </cell>
          <cell r="C620">
            <v>10</v>
          </cell>
        </row>
        <row r="621">
          <cell r="B621">
            <v>7.1759259259260126E-3</v>
          </cell>
          <cell r="C621">
            <v>10</v>
          </cell>
        </row>
        <row r="622">
          <cell r="B622">
            <v>7.187500000000087E-3</v>
          </cell>
          <cell r="C622">
            <v>10</v>
          </cell>
        </row>
        <row r="623">
          <cell r="B623">
            <v>7.1990740740741615E-3</v>
          </cell>
          <cell r="C623">
            <v>10</v>
          </cell>
        </row>
        <row r="624">
          <cell r="B624">
            <v>7.2106481481482359E-3</v>
          </cell>
          <cell r="C624">
            <v>10</v>
          </cell>
        </row>
        <row r="625">
          <cell r="B625">
            <v>7.2222222222223104E-3</v>
          </cell>
          <cell r="C625">
            <v>10</v>
          </cell>
        </row>
        <row r="626">
          <cell r="B626">
            <v>7.2337962962963848E-3</v>
          </cell>
          <cell r="C626">
            <v>10</v>
          </cell>
        </row>
        <row r="627">
          <cell r="B627">
            <v>7.2453703703704592E-3</v>
          </cell>
          <cell r="C627">
            <v>10</v>
          </cell>
        </row>
        <row r="628">
          <cell r="B628">
            <v>7.2569444444445337E-3</v>
          </cell>
          <cell r="C628">
            <v>10</v>
          </cell>
        </row>
        <row r="629">
          <cell r="B629">
            <v>7.2685185185186081E-3</v>
          </cell>
          <cell r="C629">
            <v>10</v>
          </cell>
        </row>
        <row r="630">
          <cell r="B630">
            <v>7.2800925925926826E-3</v>
          </cell>
          <cell r="C630">
            <v>10</v>
          </cell>
        </row>
        <row r="631">
          <cell r="B631">
            <v>7.291666666666757E-3</v>
          </cell>
          <cell r="C631">
            <v>10</v>
          </cell>
        </row>
        <row r="632">
          <cell r="B632">
            <v>7.3032407407408314E-3</v>
          </cell>
          <cell r="C632">
            <v>10</v>
          </cell>
        </row>
        <row r="633">
          <cell r="B633">
            <v>7.3148148148149059E-3</v>
          </cell>
          <cell r="C633">
            <v>10</v>
          </cell>
        </row>
        <row r="634">
          <cell r="B634">
            <v>7.3263888888889803E-3</v>
          </cell>
          <cell r="C634">
            <v>10</v>
          </cell>
        </row>
        <row r="635">
          <cell r="B635">
            <v>7.3379629629630547E-3</v>
          </cell>
          <cell r="C635">
            <v>10</v>
          </cell>
        </row>
        <row r="636">
          <cell r="B636">
            <v>7.3495370370371292E-3</v>
          </cell>
          <cell r="C636">
            <v>10</v>
          </cell>
        </row>
        <row r="637">
          <cell r="B637">
            <v>7.3611111111112036E-3</v>
          </cell>
          <cell r="C637">
            <v>10</v>
          </cell>
        </row>
        <row r="638">
          <cell r="B638">
            <v>7.3726851851852781E-3</v>
          </cell>
          <cell r="C638">
            <v>10</v>
          </cell>
        </row>
        <row r="639">
          <cell r="B639">
            <v>7.3842592592593525E-3</v>
          </cell>
          <cell r="C639">
            <v>10</v>
          </cell>
        </row>
        <row r="640">
          <cell r="B640">
            <v>7.3958333333334269E-3</v>
          </cell>
          <cell r="C640">
            <v>10</v>
          </cell>
        </row>
        <row r="641">
          <cell r="B641">
            <v>7.4074074074075014E-3</v>
          </cell>
          <cell r="C641">
            <v>10</v>
          </cell>
        </row>
        <row r="642">
          <cell r="B642">
            <v>7.4189814814815758E-3</v>
          </cell>
          <cell r="C642">
            <v>10</v>
          </cell>
        </row>
        <row r="643">
          <cell r="B643">
            <v>7.4305555555556502E-3</v>
          </cell>
          <cell r="C643">
            <v>10</v>
          </cell>
        </row>
        <row r="644">
          <cell r="B644">
            <v>7.4421296296297247E-3</v>
          </cell>
          <cell r="C644">
            <v>10</v>
          </cell>
        </row>
        <row r="645">
          <cell r="B645">
            <v>7.4537037037037991E-3</v>
          </cell>
          <cell r="C645">
            <v>10</v>
          </cell>
        </row>
        <row r="646">
          <cell r="B646">
            <v>7.4652777777778736E-3</v>
          </cell>
          <cell r="C646">
            <v>10</v>
          </cell>
        </row>
        <row r="647">
          <cell r="B647">
            <v>7.476851851851948E-3</v>
          </cell>
          <cell r="C647">
            <v>10</v>
          </cell>
        </row>
        <row r="648">
          <cell r="B648">
            <v>7.4884259259260224E-3</v>
          </cell>
          <cell r="C648">
            <v>10</v>
          </cell>
        </row>
        <row r="649">
          <cell r="B649">
            <v>7.5000000000000969E-3</v>
          </cell>
          <cell r="C649">
            <v>10</v>
          </cell>
        </row>
        <row r="650">
          <cell r="B650">
            <v>7.5115740740741713E-3</v>
          </cell>
          <cell r="C650">
            <v>10</v>
          </cell>
        </row>
        <row r="651">
          <cell r="B651">
            <v>7.5231481481482457E-3</v>
          </cell>
          <cell r="C651">
            <v>10</v>
          </cell>
        </row>
        <row r="652">
          <cell r="B652">
            <v>7.5347222222223202E-3</v>
          </cell>
          <cell r="C652">
            <v>10</v>
          </cell>
        </row>
        <row r="653">
          <cell r="B653">
            <v>7.5462962962963946E-3</v>
          </cell>
          <cell r="C653">
            <v>10</v>
          </cell>
        </row>
        <row r="654">
          <cell r="B654">
            <v>7.5578703703704691E-3</v>
          </cell>
          <cell r="C654">
            <v>10</v>
          </cell>
        </row>
        <row r="655">
          <cell r="B655">
            <v>7.5694444444445435E-3</v>
          </cell>
          <cell r="C655">
            <v>10</v>
          </cell>
        </row>
        <row r="656">
          <cell r="B656">
            <v>7.5810185185186179E-3</v>
          </cell>
          <cell r="C656">
            <v>10</v>
          </cell>
        </row>
        <row r="657">
          <cell r="B657">
            <v>7.5925925925926924E-3</v>
          </cell>
          <cell r="C657">
            <v>10</v>
          </cell>
        </row>
        <row r="658">
          <cell r="B658">
            <v>7.6041666666667668E-3</v>
          </cell>
          <cell r="C658">
            <v>10</v>
          </cell>
        </row>
        <row r="659">
          <cell r="B659">
            <v>7.6157407407408412E-3</v>
          </cell>
          <cell r="C659">
            <v>10</v>
          </cell>
        </row>
        <row r="660">
          <cell r="B660">
            <v>7.6273148148149157E-3</v>
          </cell>
          <cell r="C660">
            <v>10</v>
          </cell>
        </row>
        <row r="661">
          <cell r="B661">
            <v>7.6388888888889901E-3</v>
          </cell>
          <cell r="C661">
            <v>11</v>
          </cell>
        </row>
        <row r="662">
          <cell r="B662">
            <v>7.6504629629630646E-3</v>
          </cell>
          <cell r="C662">
            <v>11</v>
          </cell>
        </row>
        <row r="663">
          <cell r="B663">
            <v>7.662037037037139E-3</v>
          </cell>
          <cell r="C663">
            <v>11</v>
          </cell>
        </row>
        <row r="664">
          <cell r="B664">
            <v>7.6736111111112134E-3</v>
          </cell>
          <cell r="C664">
            <v>11</v>
          </cell>
        </row>
        <row r="665">
          <cell r="B665">
            <v>7.6851851851852879E-3</v>
          </cell>
          <cell r="C665">
            <v>11</v>
          </cell>
        </row>
        <row r="666">
          <cell r="B666">
            <v>7.6967592592593623E-3</v>
          </cell>
          <cell r="C666">
            <v>11</v>
          </cell>
        </row>
        <row r="667">
          <cell r="B667">
            <v>7.7083333333334367E-3</v>
          </cell>
          <cell r="C667">
            <v>11</v>
          </cell>
        </row>
        <row r="668">
          <cell r="B668">
            <v>7.7199074074075112E-3</v>
          </cell>
          <cell r="C668">
            <v>11</v>
          </cell>
        </row>
        <row r="669">
          <cell r="B669">
            <v>7.7314814814815856E-3</v>
          </cell>
          <cell r="C669">
            <v>11</v>
          </cell>
        </row>
        <row r="670">
          <cell r="B670">
            <v>7.7430555555556601E-3</v>
          </cell>
          <cell r="C670">
            <v>11</v>
          </cell>
        </row>
        <row r="671">
          <cell r="B671">
            <v>7.7546296296297345E-3</v>
          </cell>
          <cell r="C671">
            <v>11</v>
          </cell>
        </row>
        <row r="672">
          <cell r="B672">
            <v>7.7662037037038089E-3</v>
          </cell>
          <cell r="C672">
            <v>11</v>
          </cell>
        </row>
        <row r="673">
          <cell r="B673">
            <v>7.7777777777778834E-3</v>
          </cell>
          <cell r="C673">
            <v>11</v>
          </cell>
        </row>
        <row r="674">
          <cell r="B674">
            <v>7.7893518518519578E-3</v>
          </cell>
          <cell r="C674">
            <v>11</v>
          </cell>
        </row>
        <row r="675">
          <cell r="B675">
            <v>7.8009259259260322E-3</v>
          </cell>
          <cell r="C675">
            <v>11</v>
          </cell>
        </row>
        <row r="676">
          <cell r="B676">
            <v>7.8125000000001058E-3</v>
          </cell>
          <cell r="C676">
            <v>11</v>
          </cell>
        </row>
        <row r="677">
          <cell r="B677">
            <v>7.8240740740741794E-3</v>
          </cell>
          <cell r="C677">
            <v>11</v>
          </cell>
        </row>
        <row r="678">
          <cell r="B678">
            <v>7.835648148148253E-3</v>
          </cell>
          <cell r="C678">
            <v>11</v>
          </cell>
        </row>
        <row r="679">
          <cell r="B679">
            <v>7.8472222222223265E-3</v>
          </cell>
          <cell r="C679">
            <v>11</v>
          </cell>
        </row>
        <row r="680">
          <cell r="B680">
            <v>7.8587962962964001E-3</v>
          </cell>
          <cell r="C680">
            <v>11</v>
          </cell>
        </row>
        <row r="681">
          <cell r="B681">
            <v>7.8703703703704737E-3</v>
          </cell>
          <cell r="C681">
            <v>11</v>
          </cell>
        </row>
        <row r="682">
          <cell r="B682">
            <v>7.8819444444445472E-3</v>
          </cell>
          <cell r="C682">
            <v>11</v>
          </cell>
        </row>
        <row r="683">
          <cell r="B683">
            <v>7.8935185185186208E-3</v>
          </cell>
          <cell r="C683">
            <v>11</v>
          </cell>
        </row>
        <row r="684">
          <cell r="B684">
            <v>7.9050925925926944E-3</v>
          </cell>
          <cell r="C684">
            <v>11</v>
          </cell>
        </row>
        <row r="685">
          <cell r="B685">
            <v>7.916666666666768E-3</v>
          </cell>
          <cell r="C685">
            <v>11</v>
          </cell>
        </row>
        <row r="686">
          <cell r="B686">
            <v>7.9282407407408415E-3</v>
          </cell>
          <cell r="C686">
            <v>11</v>
          </cell>
        </row>
        <row r="687">
          <cell r="B687">
            <v>7.9398148148149151E-3</v>
          </cell>
          <cell r="C687">
            <v>11</v>
          </cell>
        </row>
        <row r="688">
          <cell r="B688">
            <v>7.9513888888889887E-3</v>
          </cell>
          <cell r="C688">
            <v>11</v>
          </cell>
        </row>
        <row r="689">
          <cell r="B689">
            <v>7.9629629629630622E-3</v>
          </cell>
          <cell r="C689">
            <v>11</v>
          </cell>
        </row>
        <row r="690">
          <cell r="B690">
            <v>7.9745370370371358E-3</v>
          </cell>
          <cell r="C690">
            <v>11</v>
          </cell>
        </row>
        <row r="691">
          <cell r="B691">
            <v>7.9861111111112094E-3</v>
          </cell>
          <cell r="C691">
            <v>11</v>
          </cell>
        </row>
        <row r="692">
          <cell r="B692">
            <v>7.9976851851852829E-3</v>
          </cell>
          <cell r="C692">
            <v>11</v>
          </cell>
        </row>
        <row r="693">
          <cell r="B693">
            <v>8.0092592592593565E-3</v>
          </cell>
          <cell r="C693">
            <v>11</v>
          </cell>
        </row>
        <row r="694">
          <cell r="B694">
            <v>8.0208333333334301E-3</v>
          </cell>
          <cell r="C694">
            <v>11</v>
          </cell>
        </row>
        <row r="695">
          <cell r="B695">
            <v>8.0324074074075037E-3</v>
          </cell>
          <cell r="C695">
            <v>11</v>
          </cell>
        </row>
        <row r="696">
          <cell r="B696">
            <v>8.0439814814815772E-3</v>
          </cell>
          <cell r="C696">
            <v>11</v>
          </cell>
        </row>
        <row r="697">
          <cell r="B697">
            <v>8.0555555555556508E-3</v>
          </cell>
          <cell r="C697">
            <v>11</v>
          </cell>
        </row>
        <row r="698">
          <cell r="B698">
            <v>8.0671296296297244E-3</v>
          </cell>
          <cell r="C698">
            <v>11</v>
          </cell>
        </row>
        <row r="699">
          <cell r="B699">
            <v>8.0787037037037979E-3</v>
          </cell>
          <cell r="C699">
            <v>11</v>
          </cell>
        </row>
        <row r="700">
          <cell r="B700">
            <v>8.0902777777778715E-3</v>
          </cell>
          <cell r="C700">
            <v>11</v>
          </cell>
        </row>
        <row r="701">
          <cell r="B701">
            <v>8.1018518518519451E-3</v>
          </cell>
          <cell r="C701">
            <v>11</v>
          </cell>
        </row>
        <row r="702">
          <cell r="B702">
            <v>8.1134259259260186E-3</v>
          </cell>
          <cell r="C702">
            <v>11</v>
          </cell>
        </row>
        <row r="703">
          <cell r="B703">
            <v>8.1250000000000922E-3</v>
          </cell>
          <cell r="C703">
            <v>11</v>
          </cell>
        </row>
        <row r="704">
          <cell r="B704">
            <v>8.1365740740741658E-3</v>
          </cell>
          <cell r="C704">
            <v>11</v>
          </cell>
        </row>
        <row r="705">
          <cell r="B705">
            <v>8.1481481481482394E-3</v>
          </cell>
          <cell r="C705">
            <v>11</v>
          </cell>
        </row>
        <row r="706">
          <cell r="B706">
            <v>8.1597222222223129E-3</v>
          </cell>
          <cell r="C706">
            <v>11</v>
          </cell>
        </row>
        <row r="707">
          <cell r="B707">
            <v>8.1712962962963865E-3</v>
          </cell>
          <cell r="C707">
            <v>11</v>
          </cell>
        </row>
        <row r="708">
          <cell r="B708">
            <v>8.1828703703704601E-3</v>
          </cell>
          <cell r="C708">
            <v>11</v>
          </cell>
        </row>
        <row r="709">
          <cell r="B709">
            <v>8.1944444444445336E-3</v>
          </cell>
          <cell r="C709">
            <v>11</v>
          </cell>
        </row>
        <row r="710">
          <cell r="B710">
            <v>8.2060185185186072E-3</v>
          </cell>
          <cell r="C710">
            <v>11</v>
          </cell>
        </row>
        <row r="711">
          <cell r="B711">
            <v>8.2175925925926808E-3</v>
          </cell>
          <cell r="C711">
            <v>11</v>
          </cell>
        </row>
        <row r="712">
          <cell r="B712">
            <v>8.2291666666667544E-3</v>
          </cell>
          <cell r="C712">
            <v>11</v>
          </cell>
        </row>
        <row r="713">
          <cell r="B713">
            <v>8.2407407407408279E-3</v>
          </cell>
          <cell r="C713">
            <v>11</v>
          </cell>
        </row>
        <row r="714">
          <cell r="B714">
            <v>8.2523148148149015E-3</v>
          </cell>
          <cell r="C714">
            <v>11</v>
          </cell>
        </row>
        <row r="715">
          <cell r="B715">
            <v>8.2638888888889751E-3</v>
          </cell>
          <cell r="C715">
            <v>11</v>
          </cell>
        </row>
        <row r="716">
          <cell r="B716">
            <v>8.2754629629630486E-3</v>
          </cell>
          <cell r="C716">
            <v>11</v>
          </cell>
        </row>
        <row r="717">
          <cell r="B717">
            <v>8.2870370370371222E-3</v>
          </cell>
          <cell r="C717">
            <v>11</v>
          </cell>
        </row>
        <row r="718">
          <cell r="B718">
            <v>8.2986111111111958E-3</v>
          </cell>
          <cell r="C718">
            <v>11</v>
          </cell>
        </row>
        <row r="719">
          <cell r="B719">
            <v>8.3101851851852693E-3</v>
          </cell>
          <cell r="C719">
            <v>11</v>
          </cell>
        </row>
        <row r="720">
          <cell r="B720">
            <v>8.3217592592593429E-3</v>
          </cell>
          <cell r="C720">
            <v>11</v>
          </cell>
        </row>
        <row r="721">
          <cell r="B721">
            <v>8.3333333333334165E-3</v>
          </cell>
          <cell r="C721">
            <v>12</v>
          </cell>
        </row>
        <row r="722">
          <cell r="B722">
            <v>8.3449074074074901E-3</v>
          </cell>
          <cell r="C722">
            <v>12</v>
          </cell>
        </row>
        <row r="723">
          <cell r="B723">
            <v>8.3564814814815636E-3</v>
          </cell>
          <cell r="C723">
            <v>12</v>
          </cell>
        </row>
        <row r="724">
          <cell r="B724">
            <v>8.3680555555556372E-3</v>
          </cell>
          <cell r="C724">
            <v>12</v>
          </cell>
        </row>
        <row r="725">
          <cell r="B725">
            <v>8.3796296296297108E-3</v>
          </cell>
          <cell r="C725">
            <v>12</v>
          </cell>
        </row>
        <row r="726">
          <cell r="B726">
            <v>8.3912037037037843E-3</v>
          </cell>
          <cell r="C726">
            <v>12</v>
          </cell>
        </row>
        <row r="727">
          <cell r="B727">
            <v>8.4027777777778579E-3</v>
          </cell>
          <cell r="C727">
            <v>12</v>
          </cell>
        </row>
        <row r="728">
          <cell r="B728">
            <v>8.4143518518519315E-3</v>
          </cell>
          <cell r="C728">
            <v>12</v>
          </cell>
        </row>
        <row r="729">
          <cell r="B729">
            <v>8.425925925926005E-3</v>
          </cell>
          <cell r="C729">
            <v>12</v>
          </cell>
        </row>
        <row r="730">
          <cell r="B730">
            <v>8.4375000000000786E-3</v>
          </cell>
          <cell r="C730">
            <v>12</v>
          </cell>
        </row>
        <row r="731">
          <cell r="B731">
            <v>8.4490740740741522E-3</v>
          </cell>
          <cell r="C731">
            <v>12</v>
          </cell>
        </row>
        <row r="732">
          <cell r="B732">
            <v>8.4606481481482258E-3</v>
          </cell>
          <cell r="C732">
            <v>12</v>
          </cell>
        </row>
        <row r="733">
          <cell r="B733">
            <v>8.4722222222222993E-3</v>
          </cell>
          <cell r="C733">
            <v>12</v>
          </cell>
        </row>
        <row r="734">
          <cell r="B734">
            <v>8.4837962962963729E-3</v>
          </cell>
          <cell r="C734">
            <v>12</v>
          </cell>
        </row>
        <row r="735">
          <cell r="B735">
            <v>8.4953703703704465E-3</v>
          </cell>
          <cell r="C735">
            <v>12</v>
          </cell>
        </row>
        <row r="736">
          <cell r="B736">
            <v>8.50694444444452E-3</v>
          </cell>
          <cell r="C736">
            <v>12</v>
          </cell>
        </row>
        <row r="737">
          <cell r="B737">
            <v>8.5185185185185936E-3</v>
          </cell>
          <cell r="C737">
            <v>12</v>
          </cell>
        </row>
        <row r="738">
          <cell r="B738">
            <v>8.5300925925926672E-3</v>
          </cell>
          <cell r="C738">
            <v>12</v>
          </cell>
        </row>
        <row r="739">
          <cell r="B739">
            <v>8.5416666666667408E-3</v>
          </cell>
          <cell r="C739">
            <v>12</v>
          </cell>
        </row>
        <row r="740">
          <cell r="B740">
            <v>8.5532407407408143E-3</v>
          </cell>
          <cell r="C740">
            <v>12</v>
          </cell>
        </row>
        <row r="741">
          <cell r="B741">
            <v>8.5648148148148879E-3</v>
          </cell>
          <cell r="C741">
            <v>12</v>
          </cell>
        </row>
        <row r="742">
          <cell r="B742">
            <v>8.5763888888889615E-3</v>
          </cell>
          <cell r="C742">
            <v>12</v>
          </cell>
        </row>
        <row r="743">
          <cell r="B743">
            <v>8.587962962963035E-3</v>
          </cell>
          <cell r="C743">
            <v>12</v>
          </cell>
        </row>
        <row r="744">
          <cell r="B744">
            <v>8.5995370370371086E-3</v>
          </cell>
          <cell r="C744">
            <v>12</v>
          </cell>
        </row>
        <row r="745">
          <cell r="B745">
            <v>8.6111111111111822E-3</v>
          </cell>
          <cell r="C745">
            <v>12</v>
          </cell>
        </row>
        <row r="746">
          <cell r="B746">
            <v>8.6226851851852557E-3</v>
          </cell>
          <cell r="C746">
            <v>12</v>
          </cell>
        </row>
        <row r="747">
          <cell r="B747">
            <v>8.6342592592593293E-3</v>
          </cell>
          <cell r="C747">
            <v>12</v>
          </cell>
        </row>
        <row r="748">
          <cell r="B748">
            <v>8.6458333333334029E-3</v>
          </cell>
          <cell r="C748">
            <v>12</v>
          </cell>
        </row>
        <row r="749">
          <cell r="B749">
            <v>8.6574074074074765E-3</v>
          </cell>
          <cell r="C749">
            <v>12</v>
          </cell>
        </row>
        <row r="750">
          <cell r="B750">
            <v>8.66898148148155E-3</v>
          </cell>
          <cell r="C750">
            <v>12</v>
          </cell>
        </row>
        <row r="751">
          <cell r="B751">
            <v>8.6805555555556236E-3</v>
          </cell>
          <cell r="C751">
            <v>12</v>
          </cell>
        </row>
        <row r="752">
          <cell r="B752">
            <v>8.6921296296296972E-3</v>
          </cell>
          <cell r="C752">
            <v>12</v>
          </cell>
        </row>
        <row r="753">
          <cell r="B753">
            <v>8.7037037037037707E-3</v>
          </cell>
          <cell r="C753">
            <v>12</v>
          </cell>
        </row>
        <row r="754">
          <cell r="B754">
            <v>8.7152777777778443E-3</v>
          </cell>
          <cell r="C754">
            <v>12</v>
          </cell>
        </row>
        <row r="755">
          <cell r="B755">
            <v>8.7268518518519179E-3</v>
          </cell>
          <cell r="C755">
            <v>12</v>
          </cell>
        </row>
        <row r="756">
          <cell r="B756">
            <v>8.7384259259259914E-3</v>
          </cell>
          <cell r="C756">
            <v>12</v>
          </cell>
        </row>
        <row r="757">
          <cell r="B757">
            <v>8.750000000000065E-3</v>
          </cell>
          <cell r="C757">
            <v>12</v>
          </cell>
        </row>
        <row r="758">
          <cell r="B758">
            <v>8.7615740740741386E-3</v>
          </cell>
          <cell r="C758">
            <v>12</v>
          </cell>
        </row>
        <row r="759">
          <cell r="B759">
            <v>8.7731481481482122E-3</v>
          </cell>
          <cell r="C759">
            <v>12</v>
          </cell>
        </row>
        <row r="760">
          <cell r="B760">
            <v>8.7847222222222857E-3</v>
          </cell>
          <cell r="C760">
            <v>12</v>
          </cell>
        </row>
        <row r="761">
          <cell r="B761">
            <v>8.7962962962963593E-3</v>
          </cell>
          <cell r="C761">
            <v>12</v>
          </cell>
        </row>
        <row r="762">
          <cell r="B762">
            <v>8.8078703703704329E-3</v>
          </cell>
          <cell r="C762">
            <v>12</v>
          </cell>
        </row>
        <row r="763">
          <cell r="B763">
            <v>8.8194444444445064E-3</v>
          </cell>
          <cell r="C763">
            <v>12</v>
          </cell>
        </row>
        <row r="764">
          <cell r="B764">
            <v>8.83101851851858E-3</v>
          </cell>
          <cell r="C764">
            <v>12</v>
          </cell>
        </row>
        <row r="765">
          <cell r="B765">
            <v>8.8425925925926536E-3</v>
          </cell>
          <cell r="C765">
            <v>12</v>
          </cell>
        </row>
        <row r="766">
          <cell r="B766">
            <v>8.8541666666667272E-3</v>
          </cell>
          <cell r="C766">
            <v>12</v>
          </cell>
        </row>
        <row r="767">
          <cell r="B767">
            <v>8.8657407407408007E-3</v>
          </cell>
          <cell r="C767">
            <v>12</v>
          </cell>
        </row>
        <row r="768">
          <cell r="B768">
            <v>8.8773148148148743E-3</v>
          </cell>
          <cell r="C768">
            <v>12</v>
          </cell>
        </row>
        <row r="769">
          <cell r="B769">
            <v>8.8888888888889479E-3</v>
          </cell>
          <cell r="C769">
            <v>12</v>
          </cell>
        </row>
        <row r="770">
          <cell r="B770">
            <v>8.9004629629630214E-3</v>
          </cell>
          <cell r="C770">
            <v>12</v>
          </cell>
        </row>
        <row r="771">
          <cell r="B771">
            <v>8.912037037037095E-3</v>
          </cell>
          <cell r="C771">
            <v>12</v>
          </cell>
        </row>
        <row r="772">
          <cell r="B772">
            <v>8.9236111111111686E-3</v>
          </cell>
          <cell r="C772">
            <v>12</v>
          </cell>
        </row>
        <row r="773">
          <cell r="B773">
            <v>8.9351851851852421E-3</v>
          </cell>
          <cell r="C773">
            <v>12</v>
          </cell>
        </row>
        <row r="774">
          <cell r="B774">
            <v>8.9467592592593157E-3</v>
          </cell>
          <cell r="C774">
            <v>12</v>
          </cell>
        </row>
        <row r="775">
          <cell r="B775">
            <v>8.9583333333333893E-3</v>
          </cell>
          <cell r="C775">
            <v>12</v>
          </cell>
        </row>
        <row r="776">
          <cell r="B776">
            <v>8.9699074074074629E-3</v>
          </cell>
          <cell r="C776">
            <v>12</v>
          </cell>
        </row>
        <row r="777">
          <cell r="B777">
            <v>8.9814814814815364E-3</v>
          </cell>
          <cell r="C777">
            <v>12</v>
          </cell>
        </row>
        <row r="778">
          <cell r="B778">
            <v>8.99305555555561E-3</v>
          </cell>
          <cell r="C778">
            <v>12</v>
          </cell>
        </row>
        <row r="779">
          <cell r="B779">
            <v>9.0046296296296836E-3</v>
          </cell>
          <cell r="C779">
            <v>12</v>
          </cell>
        </row>
        <row r="780">
          <cell r="B780">
            <v>9.0162037037037571E-3</v>
          </cell>
          <cell r="C780">
            <v>12</v>
          </cell>
        </row>
        <row r="781">
          <cell r="B781">
            <v>9.0277777777778307E-3</v>
          </cell>
          <cell r="C781">
            <v>13</v>
          </cell>
        </row>
        <row r="782">
          <cell r="B782">
            <v>9.0393518518519043E-3</v>
          </cell>
          <cell r="C782">
            <v>13</v>
          </cell>
        </row>
        <row r="783">
          <cell r="B783">
            <v>9.0509259259259778E-3</v>
          </cell>
          <cell r="C783">
            <v>13</v>
          </cell>
        </row>
        <row r="784">
          <cell r="B784">
            <v>9.0625000000000514E-3</v>
          </cell>
          <cell r="C784">
            <v>13</v>
          </cell>
        </row>
        <row r="785">
          <cell r="B785">
            <v>9.074074074074125E-3</v>
          </cell>
          <cell r="C785">
            <v>13</v>
          </cell>
        </row>
        <row r="786">
          <cell r="B786">
            <v>9.0856481481481986E-3</v>
          </cell>
          <cell r="C786">
            <v>13</v>
          </cell>
        </row>
        <row r="787">
          <cell r="B787">
            <v>9.0972222222222721E-3</v>
          </cell>
          <cell r="C787">
            <v>13</v>
          </cell>
        </row>
        <row r="788">
          <cell r="B788">
            <v>9.1087962962963457E-3</v>
          </cell>
          <cell r="C788">
            <v>13</v>
          </cell>
        </row>
        <row r="789">
          <cell r="B789">
            <v>9.1203703703704193E-3</v>
          </cell>
          <cell r="C789">
            <v>13</v>
          </cell>
        </row>
        <row r="790">
          <cell r="B790">
            <v>9.1319444444444928E-3</v>
          </cell>
          <cell r="C790">
            <v>13</v>
          </cell>
        </row>
        <row r="791">
          <cell r="B791">
            <v>9.1435185185185664E-3</v>
          </cell>
          <cell r="C791">
            <v>13</v>
          </cell>
        </row>
        <row r="792">
          <cell r="B792">
            <v>9.15509259259264E-3</v>
          </cell>
          <cell r="C792">
            <v>13</v>
          </cell>
        </row>
        <row r="793">
          <cell r="B793">
            <v>9.1666666666667136E-3</v>
          </cell>
          <cell r="C793">
            <v>13</v>
          </cell>
        </row>
        <row r="794">
          <cell r="B794">
            <v>9.1782407407407871E-3</v>
          </cell>
          <cell r="C794">
            <v>13</v>
          </cell>
        </row>
        <row r="795">
          <cell r="B795">
            <v>9.1898148148148607E-3</v>
          </cell>
          <cell r="C795">
            <v>13</v>
          </cell>
        </row>
        <row r="796">
          <cell r="B796">
            <v>9.2013888888889343E-3</v>
          </cell>
          <cell r="C796">
            <v>13</v>
          </cell>
        </row>
        <row r="797">
          <cell r="B797">
            <v>9.2129629629630078E-3</v>
          </cell>
          <cell r="C797">
            <v>13</v>
          </cell>
        </row>
        <row r="798">
          <cell r="B798">
            <v>9.2245370370370814E-3</v>
          </cell>
          <cell r="C798">
            <v>13</v>
          </cell>
        </row>
        <row r="799">
          <cell r="B799">
            <v>9.236111111111155E-3</v>
          </cell>
          <cell r="C799">
            <v>13</v>
          </cell>
        </row>
        <row r="800">
          <cell r="B800">
            <v>9.2476851851852285E-3</v>
          </cell>
          <cell r="C800">
            <v>13</v>
          </cell>
        </row>
        <row r="801">
          <cell r="B801">
            <v>9.2592592592593021E-3</v>
          </cell>
          <cell r="C801">
            <v>13</v>
          </cell>
        </row>
        <row r="802">
          <cell r="B802">
            <v>9.2708333333333757E-3</v>
          </cell>
          <cell r="C802">
            <v>13</v>
          </cell>
        </row>
        <row r="803">
          <cell r="B803">
            <v>9.2824074074074493E-3</v>
          </cell>
          <cell r="C803">
            <v>13</v>
          </cell>
        </row>
        <row r="804">
          <cell r="B804">
            <v>9.2939814814815228E-3</v>
          </cell>
          <cell r="C804">
            <v>13</v>
          </cell>
        </row>
        <row r="805">
          <cell r="B805">
            <v>9.3055555555555964E-3</v>
          </cell>
          <cell r="C805">
            <v>13</v>
          </cell>
        </row>
        <row r="806">
          <cell r="B806">
            <v>9.31712962962967E-3</v>
          </cell>
          <cell r="C806">
            <v>13</v>
          </cell>
        </row>
        <row r="807">
          <cell r="B807">
            <v>9.3287037037037435E-3</v>
          </cell>
          <cell r="C807">
            <v>13</v>
          </cell>
        </row>
        <row r="808">
          <cell r="B808">
            <v>9.3402777777778171E-3</v>
          </cell>
          <cell r="C808">
            <v>13</v>
          </cell>
        </row>
        <row r="809">
          <cell r="B809">
            <v>9.3518518518518907E-3</v>
          </cell>
          <cell r="C809">
            <v>13</v>
          </cell>
        </row>
        <row r="810">
          <cell r="B810">
            <v>9.3634259259259642E-3</v>
          </cell>
          <cell r="C810">
            <v>13</v>
          </cell>
        </row>
        <row r="811">
          <cell r="B811">
            <v>9.3750000000000378E-3</v>
          </cell>
          <cell r="C811">
            <v>13</v>
          </cell>
        </row>
        <row r="812">
          <cell r="B812">
            <v>9.3865740740741114E-3</v>
          </cell>
          <cell r="C812">
            <v>13</v>
          </cell>
        </row>
        <row r="813">
          <cell r="B813">
            <v>9.398148148148185E-3</v>
          </cell>
          <cell r="C813">
            <v>13</v>
          </cell>
        </row>
        <row r="814">
          <cell r="B814">
            <v>9.4097222222222585E-3</v>
          </cell>
          <cell r="C814">
            <v>13</v>
          </cell>
        </row>
        <row r="815">
          <cell r="B815">
            <v>9.4212962962963321E-3</v>
          </cell>
          <cell r="C815">
            <v>13</v>
          </cell>
        </row>
        <row r="816">
          <cell r="B816">
            <v>9.4328703703704057E-3</v>
          </cell>
          <cell r="C816">
            <v>13</v>
          </cell>
        </row>
        <row r="817">
          <cell r="B817">
            <v>9.4444444444444792E-3</v>
          </cell>
          <cell r="C817">
            <v>13</v>
          </cell>
        </row>
        <row r="818">
          <cell r="B818">
            <v>9.4560185185185528E-3</v>
          </cell>
          <cell r="C818">
            <v>13</v>
          </cell>
        </row>
        <row r="819">
          <cell r="B819">
            <v>9.4675925925926264E-3</v>
          </cell>
          <cell r="C819">
            <v>13</v>
          </cell>
        </row>
        <row r="820">
          <cell r="B820">
            <v>9.4791666666667E-3</v>
          </cell>
          <cell r="C820">
            <v>13</v>
          </cell>
        </row>
        <row r="821">
          <cell r="B821">
            <v>9.4907407407407735E-3</v>
          </cell>
          <cell r="C821">
            <v>13</v>
          </cell>
        </row>
        <row r="822">
          <cell r="B822">
            <v>9.5023148148148471E-3</v>
          </cell>
          <cell r="C822">
            <v>13</v>
          </cell>
        </row>
        <row r="823">
          <cell r="B823">
            <v>9.5138888888889207E-3</v>
          </cell>
          <cell r="C823">
            <v>13</v>
          </cell>
        </row>
        <row r="824">
          <cell r="B824">
            <v>9.5254629629629942E-3</v>
          </cell>
          <cell r="C824">
            <v>13</v>
          </cell>
        </row>
        <row r="825">
          <cell r="B825">
            <v>9.5370370370370678E-3</v>
          </cell>
          <cell r="C825">
            <v>13</v>
          </cell>
        </row>
        <row r="826">
          <cell r="B826">
            <v>9.5486111111111414E-3</v>
          </cell>
          <cell r="C826">
            <v>13</v>
          </cell>
        </row>
        <row r="827">
          <cell r="B827">
            <v>9.5601851851852149E-3</v>
          </cell>
          <cell r="C827">
            <v>13</v>
          </cell>
        </row>
        <row r="828">
          <cell r="B828">
            <v>9.5717592592592885E-3</v>
          </cell>
          <cell r="C828">
            <v>13</v>
          </cell>
        </row>
        <row r="829">
          <cell r="B829">
            <v>9.5833333333333621E-3</v>
          </cell>
          <cell r="C829">
            <v>13</v>
          </cell>
        </row>
        <row r="830">
          <cell r="B830">
            <v>9.5949074074074357E-3</v>
          </cell>
          <cell r="C830">
            <v>13</v>
          </cell>
        </row>
        <row r="831">
          <cell r="B831">
            <v>9.6064814814815092E-3</v>
          </cell>
          <cell r="C831">
            <v>13</v>
          </cell>
        </row>
        <row r="832">
          <cell r="B832">
            <v>9.6180555555555828E-3</v>
          </cell>
          <cell r="C832">
            <v>13</v>
          </cell>
        </row>
        <row r="833">
          <cell r="B833">
            <v>9.6296296296296564E-3</v>
          </cell>
          <cell r="C833">
            <v>13</v>
          </cell>
        </row>
        <row r="834">
          <cell r="B834">
            <v>9.6412037037037299E-3</v>
          </cell>
          <cell r="C834">
            <v>13</v>
          </cell>
        </row>
        <row r="835">
          <cell r="B835">
            <v>9.6527777777778035E-3</v>
          </cell>
          <cell r="C835">
            <v>13</v>
          </cell>
        </row>
        <row r="836">
          <cell r="B836">
            <v>9.6643518518518771E-3</v>
          </cell>
          <cell r="C836">
            <v>13</v>
          </cell>
        </row>
        <row r="837">
          <cell r="B837">
            <v>9.6759259259259506E-3</v>
          </cell>
          <cell r="C837">
            <v>13</v>
          </cell>
        </row>
        <row r="838">
          <cell r="B838">
            <v>9.6875000000000242E-3</v>
          </cell>
          <cell r="C838">
            <v>13</v>
          </cell>
        </row>
        <row r="839">
          <cell r="B839">
            <v>9.6990740740740978E-3</v>
          </cell>
          <cell r="C839">
            <v>13</v>
          </cell>
        </row>
        <row r="840">
          <cell r="B840">
            <v>9.7106481481481714E-3</v>
          </cell>
          <cell r="C840">
            <v>13</v>
          </cell>
        </row>
        <row r="841">
          <cell r="B841">
            <v>9.7222222222222449E-3</v>
          </cell>
          <cell r="C841">
            <v>14</v>
          </cell>
        </row>
        <row r="842">
          <cell r="B842">
            <v>9.7337962962963185E-3</v>
          </cell>
          <cell r="C842">
            <v>14</v>
          </cell>
        </row>
        <row r="843">
          <cell r="B843">
            <v>9.7453703703703921E-3</v>
          </cell>
          <cell r="C843">
            <v>14</v>
          </cell>
        </row>
        <row r="844">
          <cell r="B844">
            <v>9.7569444444444656E-3</v>
          </cell>
          <cell r="C844">
            <v>14</v>
          </cell>
        </row>
        <row r="845">
          <cell r="B845">
            <v>9.7685185185185392E-3</v>
          </cell>
          <cell r="C845">
            <v>14</v>
          </cell>
        </row>
        <row r="846">
          <cell r="B846">
            <v>9.7800925925926128E-3</v>
          </cell>
          <cell r="C846">
            <v>14</v>
          </cell>
        </row>
        <row r="847">
          <cell r="B847">
            <v>9.7916666666666863E-3</v>
          </cell>
          <cell r="C847">
            <v>14</v>
          </cell>
        </row>
        <row r="848">
          <cell r="B848">
            <v>9.8032407407407599E-3</v>
          </cell>
          <cell r="C848">
            <v>14</v>
          </cell>
        </row>
        <row r="849">
          <cell r="B849">
            <v>9.8148148148148335E-3</v>
          </cell>
          <cell r="C849">
            <v>14</v>
          </cell>
        </row>
        <row r="850">
          <cell r="B850">
            <v>9.8263888888889071E-3</v>
          </cell>
          <cell r="C850">
            <v>14</v>
          </cell>
        </row>
        <row r="851">
          <cell r="B851">
            <v>9.8379629629629806E-3</v>
          </cell>
          <cell r="C851">
            <v>14</v>
          </cell>
        </row>
        <row r="852">
          <cell r="B852">
            <v>9.8495370370370542E-3</v>
          </cell>
          <cell r="C852">
            <v>14</v>
          </cell>
        </row>
        <row r="853">
          <cell r="B853">
            <v>9.8611111111111278E-3</v>
          </cell>
          <cell r="C853">
            <v>14</v>
          </cell>
        </row>
        <row r="854">
          <cell r="B854">
            <v>9.8726851851852013E-3</v>
          </cell>
          <cell r="C854">
            <v>14</v>
          </cell>
        </row>
        <row r="855">
          <cell r="B855">
            <v>9.8842592592592749E-3</v>
          </cell>
          <cell r="C855">
            <v>14</v>
          </cell>
        </row>
        <row r="856">
          <cell r="B856">
            <v>9.8958333333333485E-3</v>
          </cell>
          <cell r="C856">
            <v>14</v>
          </cell>
        </row>
        <row r="857">
          <cell r="B857">
            <v>9.9074074074074221E-3</v>
          </cell>
          <cell r="C857">
            <v>14</v>
          </cell>
        </row>
        <row r="858">
          <cell r="B858">
            <v>9.9189814814814956E-3</v>
          </cell>
          <cell r="C858">
            <v>14</v>
          </cell>
        </row>
        <row r="859">
          <cell r="B859">
            <v>9.9305555555555692E-3</v>
          </cell>
          <cell r="C859">
            <v>14</v>
          </cell>
        </row>
        <row r="860">
          <cell r="B860">
            <v>9.9421296296296428E-3</v>
          </cell>
          <cell r="C860">
            <v>14</v>
          </cell>
        </row>
        <row r="861">
          <cell r="B861">
            <v>9.9537037037037163E-3</v>
          </cell>
          <cell r="C861">
            <v>14</v>
          </cell>
        </row>
        <row r="862">
          <cell r="B862">
            <v>9.9652777777777899E-3</v>
          </cell>
          <cell r="C862">
            <v>14</v>
          </cell>
        </row>
        <row r="863">
          <cell r="B863">
            <v>9.9768518518518635E-3</v>
          </cell>
          <cell r="C863">
            <v>14</v>
          </cell>
        </row>
        <row r="864">
          <cell r="B864">
            <v>9.988425925925937E-3</v>
          </cell>
          <cell r="C864">
            <v>14</v>
          </cell>
        </row>
        <row r="865">
          <cell r="B865">
            <v>1.0000000000000011E-2</v>
          </cell>
          <cell r="C865">
            <v>14</v>
          </cell>
        </row>
        <row r="866">
          <cell r="B866">
            <v>1.0011574074074084E-2</v>
          </cell>
          <cell r="C866">
            <v>14</v>
          </cell>
        </row>
        <row r="867">
          <cell r="B867">
            <v>1.0023148148148158E-2</v>
          </cell>
          <cell r="C867">
            <v>14</v>
          </cell>
        </row>
        <row r="868">
          <cell r="B868">
            <v>1.0034722222222231E-2</v>
          </cell>
          <cell r="C868">
            <v>14</v>
          </cell>
        </row>
        <row r="869">
          <cell r="B869">
            <v>1.0046296296296305E-2</v>
          </cell>
          <cell r="C869">
            <v>14</v>
          </cell>
        </row>
        <row r="870">
          <cell r="B870">
            <v>1.0057870370370378E-2</v>
          </cell>
          <cell r="C870">
            <v>14</v>
          </cell>
        </row>
        <row r="871">
          <cell r="B871">
            <v>1.0069444444444452E-2</v>
          </cell>
          <cell r="C871">
            <v>14</v>
          </cell>
        </row>
        <row r="872">
          <cell r="B872">
            <v>1.0081018518518526E-2</v>
          </cell>
          <cell r="C872">
            <v>14</v>
          </cell>
        </row>
        <row r="873">
          <cell r="B873">
            <v>1.0092592592592599E-2</v>
          </cell>
          <cell r="C873">
            <v>14</v>
          </cell>
        </row>
        <row r="874">
          <cell r="B874">
            <v>1.0104166666666673E-2</v>
          </cell>
          <cell r="C874">
            <v>14</v>
          </cell>
        </row>
        <row r="875">
          <cell r="B875">
            <v>1.0115740740740746E-2</v>
          </cell>
          <cell r="C875">
            <v>14</v>
          </cell>
        </row>
        <row r="876">
          <cell r="B876">
            <v>1.012731481481482E-2</v>
          </cell>
          <cell r="C876">
            <v>14</v>
          </cell>
        </row>
        <row r="877">
          <cell r="B877">
            <v>1.0138888888888893E-2</v>
          </cell>
          <cell r="C877">
            <v>14</v>
          </cell>
        </row>
        <row r="878">
          <cell r="B878">
            <v>1.0150462962962967E-2</v>
          </cell>
          <cell r="C878">
            <v>14</v>
          </cell>
        </row>
        <row r="879">
          <cell r="B879">
            <v>1.0162037037037041E-2</v>
          </cell>
          <cell r="C879">
            <v>14</v>
          </cell>
        </row>
        <row r="880">
          <cell r="B880">
            <v>1.0173611111111114E-2</v>
          </cell>
          <cell r="C880">
            <v>14</v>
          </cell>
        </row>
        <row r="881">
          <cell r="B881">
            <v>1.0185185185185188E-2</v>
          </cell>
          <cell r="C881">
            <v>14</v>
          </cell>
        </row>
        <row r="882">
          <cell r="B882">
            <v>1.0196759259259261E-2</v>
          </cell>
          <cell r="C882">
            <v>14</v>
          </cell>
        </row>
        <row r="883">
          <cell r="B883">
            <v>1.0208333333333335E-2</v>
          </cell>
          <cell r="C883">
            <v>14</v>
          </cell>
        </row>
        <row r="884">
          <cell r="B884">
            <v>1.0219907407407408E-2</v>
          </cell>
          <cell r="C884">
            <v>14</v>
          </cell>
        </row>
        <row r="885">
          <cell r="B885">
            <v>1.0231481481481482E-2</v>
          </cell>
          <cell r="C885">
            <v>14</v>
          </cell>
        </row>
        <row r="886">
          <cell r="B886">
            <v>1.0243055555555556E-2</v>
          </cell>
          <cell r="C886">
            <v>14</v>
          </cell>
        </row>
        <row r="887">
          <cell r="B887">
            <v>1.0254629629629629E-2</v>
          </cell>
          <cell r="C887">
            <v>14</v>
          </cell>
        </row>
        <row r="888">
          <cell r="B888">
            <v>1.0266203703703703E-2</v>
          </cell>
          <cell r="C888">
            <v>14</v>
          </cell>
        </row>
        <row r="889">
          <cell r="B889">
            <v>1.0277777777777776E-2</v>
          </cell>
          <cell r="C889">
            <v>14</v>
          </cell>
        </row>
        <row r="890">
          <cell r="B890">
            <v>1.028935185185185E-2</v>
          </cell>
          <cell r="C890">
            <v>14</v>
          </cell>
        </row>
        <row r="891">
          <cell r="B891">
            <v>1.0300925925925923E-2</v>
          </cell>
          <cell r="C891">
            <v>14</v>
          </cell>
        </row>
        <row r="892">
          <cell r="B892">
            <v>1.0312499999999997E-2</v>
          </cell>
          <cell r="C892">
            <v>14</v>
          </cell>
        </row>
        <row r="893">
          <cell r="B893">
            <v>1.0324074074074071E-2</v>
          </cell>
          <cell r="C893">
            <v>14</v>
          </cell>
        </row>
        <row r="894">
          <cell r="B894">
            <v>1.0335648148148144E-2</v>
          </cell>
          <cell r="C894">
            <v>14</v>
          </cell>
        </row>
        <row r="895">
          <cell r="B895">
            <v>1.0347222222222218E-2</v>
          </cell>
          <cell r="C895">
            <v>14</v>
          </cell>
        </row>
        <row r="896">
          <cell r="B896">
            <v>1.0358796296296291E-2</v>
          </cell>
          <cell r="C896">
            <v>14</v>
          </cell>
        </row>
        <row r="897">
          <cell r="B897">
            <v>1.0370370370370365E-2</v>
          </cell>
          <cell r="C897">
            <v>14</v>
          </cell>
        </row>
        <row r="898">
          <cell r="B898">
            <v>1.0381944444444438E-2</v>
          </cell>
          <cell r="C898">
            <v>14</v>
          </cell>
        </row>
        <row r="899">
          <cell r="B899">
            <v>1.0393518518518512E-2</v>
          </cell>
          <cell r="C899">
            <v>14</v>
          </cell>
        </row>
        <row r="900">
          <cell r="B900">
            <v>1.0405092592592586E-2</v>
          </cell>
          <cell r="C900">
            <v>14</v>
          </cell>
        </row>
        <row r="901">
          <cell r="B901">
            <v>1.0416666666666659E-2</v>
          </cell>
          <cell r="C901">
            <v>15</v>
          </cell>
        </row>
        <row r="902">
          <cell r="B902">
            <v>1.0428240740740733E-2</v>
          </cell>
          <cell r="C902">
            <v>15</v>
          </cell>
        </row>
        <row r="903">
          <cell r="B903">
            <v>1.0439814814814806E-2</v>
          </cell>
          <cell r="C903">
            <v>15</v>
          </cell>
        </row>
        <row r="904">
          <cell r="B904">
            <v>1.045138888888888E-2</v>
          </cell>
          <cell r="C904">
            <v>15</v>
          </cell>
        </row>
        <row r="905">
          <cell r="B905">
            <v>1.0462962962962953E-2</v>
          </cell>
          <cell r="C905">
            <v>15</v>
          </cell>
        </row>
        <row r="906">
          <cell r="B906">
            <v>1.0474537037037027E-2</v>
          </cell>
          <cell r="C906">
            <v>15</v>
          </cell>
        </row>
        <row r="907">
          <cell r="B907">
            <v>1.0486111111111101E-2</v>
          </cell>
          <cell r="C907">
            <v>15</v>
          </cell>
        </row>
        <row r="908">
          <cell r="B908">
            <v>1.0497685185185174E-2</v>
          </cell>
          <cell r="C908">
            <v>15</v>
          </cell>
        </row>
        <row r="909">
          <cell r="B909">
            <v>1.0509259259259248E-2</v>
          </cell>
          <cell r="C909">
            <v>15</v>
          </cell>
        </row>
        <row r="910">
          <cell r="B910">
            <v>1.0520833333333321E-2</v>
          </cell>
          <cell r="C910">
            <v>15</v>
          </cell>
        </row>
        <row r="911">
          <cell r="B911">
            <v>1.0532407407407395E-2</v>
          </cell>
          <cell r="C911">
            <v>15</v>
          </cell>
        </row>
        <row r="912">
          <cell r="B912">
            <v>1.0543981481481468E-2</v>
          </cell>
          <cell r="C912">
            <v>15</v>
          </cell>
        </row>
        <row r="913">
          <cell r="B913">
            <v>1.0555555555555542E-2</v>
          </cell>
          <cell r="C913">
            <v>15</v>
          </cell>
        </row>
        <row r="914">
          <cell r="B914">
            <v>1.0567129629629616E-2</v>
          </cell>
          <cell r="C914">
            <v>15</v>
          </cell>
        </row>
        <row r="915">
          <cell r="B915">
            <v>1.0578703703703689E-2</v>
          </cell>
          <cell r="C915">
            <v>15</v>
          </cell>
        </row>
        <row r="916">
          <cell r="B916">
            <v>1.0590277777777763E-2</v>
          </cell>
          <cell r="C916">
            <v>15</v>
          </cell>
        </row>
        <row r="917">
          <cell r="B917">
            <v>1.0601851851851836E-2</v>
          </cell>
          <cell r="C917">
            <v>15</v>
          </cell>
        </row>
        <row r="918">
          <cell r="B918">
            <v>1.061342592592591E-2</v>
          </cell>
          <cell r="C918">
            <v>15</v>
          </cell>
        </row>
        <row r="919">
          <cell r="B919">
            <v>1.0624999999999983E-2</v>
          </cell>
          <cell r="C919">
            <v>15</v>
          </cell>
        </row>
        <row r="920">
          <cell r="B920">
            <v>1.0636574074074057E-2</v>
          </cell>
          <cell r="C920">
            <v>15</v>
          </cell>
        </row>
        <row r="921">
          <cell r="B921">
            <v>1.0648148148148131E-2</v>
          </cell>
          <cell r="C921">
            <v>15</v>
          </cell>
        </row>
        <row r="922">
          <cell r="B922">
            <v>1.0659722222222204E-2</v>
          </cell>
          <cell r="C922">
            <v>15</v>
          </cell>
        </row>
        <row r="923">
          <cell r="B923">
            <v>1.0671296296296278E-2</v>
          </cell>
          <cell r="C923">
            <v>15</v>
          </cell>
        </row>
        <row r="924">
          <cell r="B924">
            <v>1.0682870370370351E-2</v>
          </cell>
          <cell r="C924">
            <v>15</v>
          </cell>
        </row>
        <row r="925">
          <cell r="B925">
            <v>1.0694444444444425E-2</v>
          </cell>
          <cell r="C925">
            <v>15</v>
          </cell>
        </row>
        <row r="926">
          <cell r="B926">
            <v>1.0706018518518498E-2</v>
          </cell>
          <cell r="C926">
            <v>15</v>
          </cell>
        </row>
        <row r="927">
          <cell r="B927">
            <v>1.0717592592592572E-2</v>
          </cell>
          <cell r="C927">
            <v>15</v>
          </cell>
        </row>
        <row r="928">
          <cell r="B928">
            <v>1.0729166666666646E-2</v>
          </cell>
          <cell r="C928">
            <v>15</v>
          </cell>
        </row>
        <row r="929">
          <cell r="B929">
            <v>1.0740740740740719E-2</v>
          </cell>
          <cell r="C929">
            <v>15</v>
          </cell>
        </row>
        <row r="930">
          <cell r="B930">
            <v>1.0752314814814793E-2</v>
          </cell>
          <cell r="C930">
            <v>15</v>
          </cell>
        </row>
        <row r="931">
          <cell r="B931">
            <v>1.0763888888888866E-2</v>
          </cell>
          <cell r="C931">
            <v>15</v>
          </cell>
        </row>
        <row r="932">
          <cell r="B932">
            <v>1.077546296296294E-2</v>
          </cell>
          <cell r="C932">
            <v>15</v>
          </cell>
        </row>
        <row r="933">
          <cell r="B933">
            <v>1.0787037037037013E-2</v>
          </cell>
          <cell r="C933">
            <v>15</v>
          </cell>
        </row>
        <row r="934">
          <cell r="B934">
            <v>1.0798611111111087E-2</v>
          </cell>
          <cell r="C934">
            <v>15</v>
          </cell>
        </row>
        <row r="935">
          <cell r="B935">
            <v>1.0810185185185161E-2</v>
          </cell>
          <cell r="C935">
            <v>15</v>
          </cell>
        </row>
        <row r="936">
          <cell r="B936">
            <v>1.0821759259259234E-2</v>
          </cell>
          <cell r="C936">
            <v>15</v>
          </cell>
        </row>
        <row r="937">
          <cell r="B937">
            <v>1.0833333333333308E-2</v>
          </cell>
          <cell r="C937">
            <v>15</v>
          </cell>
        </row>
        <row r="938">
          <cell r="B938">
            <v>1.0844907407407381E-2</v>
          </cell>
          <cell r="C938">
            <v>15</v>
          </cell>
        </row>
        <row r="939">
          <cell r="B939">
            <v>1.0856481481481455E-2</v>
          </cell>
          <cell r="C939">
            <v>15</v>
          </cell>
        </row>
        <row r="940">
          <cell r="B940">
            <v>1.0868055555555528E-2</v>
          </cell>
          <cell r="C940">
            <v>15</v>
          </cell>
        </row>
        <row r="941">
          <cell r="B941">
            <v>1.0879629629629602E-2</v>
          </cell>
          <cell r="C941">
            <v>15</v>
          </cell>
        </row>
        <row r="942">
          <cell r="B942">
            <v>1.0891203703703676E-2</v>
          </cell>
          <cell r="C942">
            <v>15</v>
          </cell>
        </row>
        <row r="943">
          <cell r="B943">
            <v>1.0902777777777749E-2</v>
          </cell>
          <cell r="C943">
            <v>15</v>
          </cell>
        </row>
        <row r="944">
          <cell r="B944">
            <v>1.0914351851851823E-2</v>
          </cell>
          <cell r="C944">
            <v>15</v>
          </cell>
        </row>
        <row r="945">
          <cell r="B945">
            <v>1.0925925925925896E-2</v>
          </cell>
          <cell r="C945">
            <v>15</v>
          </cell>
        </row>
        <row r="946">
          <cell r="B946">
            <v>1.093749999999997E-2</v>
          </cell>
          <cell r="C946">
            <v>15</v>
          </cell>
        </row>
        <row r="947">
          <cell r="B947">
            <v>1.0949074074074043E-2</v>
          </cell>
          <cell r="C947">
            <v>15</v>
          </cell>
        </row>
        <row r="948">
          <cell r="B948">
            <v>1.0960648148148117E-2</v>
          </cell>
          <cell r="C948">
            <v>15</v>
          </cell>
        </row>
        <row r="949">
          <cell r="B949">
            <v>1.0972222222222191E-2</v>
          </cell>
          <cell r="C949">
            <v>15</v>
          </cell>
        </row>
        <row r="950">
          <cell r="B950">
            <v>1.0983796296296264E-2</v>
          </cell>
          <cell r="C950">
            <v>15</v>
          </cell>
        </row>
        <row r="951">
          <cell r="B951">
            <v>1.0995370370370338E-2</v>
          </cell>
          <cell r="C951">
            <v>15</v>
          </cell>
        </row>
        <row r="952">
          <cell r="B952">
            <v>1.1006944444444411E-2</v>
          </cell>
          <cell r="C952">
            <v>15</v>
          </cell>
        </row>
        <row r="953">
          <cell r="B953">
            <v>1.1018518518518485E-2</v>
          </cell>
          <cell r="C953">
            <v>15</v>
          </cell>
        </row>
        <row r="954">
          <cell r="B954">
            <v>1.1030092592592558E-2</v>
          </cell>
          <cell r="C954">
            <v>15</v>
          </cell>
        </row>
        <row r="955">
          <cell r="B955">
            <v>1.1041666666666632E-2</v>
          </cell>
          <cell r="C955">
            <v>15</v>
          </cell>
        </row>
        <row r="956">
          <cell r="B956">
            <v>1.1053240740740706E-2</v>
          </cell>
          <cell r="C956">
            <v>15</v>
          </cell>
        </row>
        <row r="957">
          <cell r="B957">
            <v>1.1064814814814779E-2</v>
          </cell>
          <cell r="C957">
            <v>15</v>
          </cell>
        </row>
        <row r="958">
          <cell r="B958">
            <v>1.1076388888888853E-2</v>
          </cell>
          <cell r="C958">
            <v>15</v>
          </cell>
        </row>
        <row r="959">
          <cell r="B959">
            <v>1.1087962962962926E-2</v>
          </cell>
          <cell r="C959">
            <v>15</v>
          </cell>
        </row>
        <row r="960">
          <cell r="B960">
            <v>1.1099537037037E-2</v>
          </cell>
          <cell r="C960">
            <v>15</v>
          </cell>
        </row>
        <row r="961">
          <cell r="B961">
            <v>1.1111111111111073E-2</v>
          </cell>
          <cell r="C961">
            <v>16</v>
          </cell>
        </row>
        <row r="962">
          <cell r="B962">
            <v>1.1122685185185147E-2</v>
          </cell>
          <cell r="C962">
            <v>16</v>
          </cell>
        </row>
        <row r="963">
          <cell r="B963">
            <v>1.1134259259259221E-2</v>
          </cell>
          <cell r="C963">
            <v>16</v>
          </cell>
        </row>
        <row r="964">
          <cell r="B964">
            <v>1.1145833333333294E-2</v>
          </cell>
          <cell r="C964">
            <v>16</v>
          </cell>
        </row>
        <row r="965">
          <cell r="B965">
            <v>1.1157407407407368E-2</v>
          </cell>
          <cell r="C965">
            <v>16</v>
          </cell>
        </row>
        <row r="966">
          <cell r="B966">
            <v>1.1168981481481441E-2</v>
          </cell>
          <cell r="C966">
            <v>16</v>
          </cell>
        </row>
        <row r="967">
          <cell r="B967">
            <v>1.1180555555555515E-2</v>
          </cell>
          <cell r="C967">
            <v>16</v>
          </cell>
        </row>
        <row r="968">
          <cell r="B968">
            <v>1.1192129629629588E-2</v>
          </cell>
          <cell r="C968">
            <v>16</v>
          </cell>
        </row>
        <row r="969">
          <cell r="B969">
            <v>1.1203703703703662E-2</v>
          </cell>
          <cell r="C969">
            <v>16</v>
          </cell>
        </row>
        <row r="970">
          <cell r="B970">
            <v>1.1215277777777736E-2</v>
          </cell>
          <cell r="C970">
            <v>16</v>
          </cell>
        </row>
        <row r="971">
          <cell r="B971">
            <v>1.1226851851851809E-2</v>
          </cell>
          <cell r="C971">
            <v>16</v>
          </cell>
        </row>
        <row r="972">
          <cell r="B972">
            <v>1.1238425925925883E-2</v>
          </cell>
          <cell r="C972">
            <v>16</v>
          </cell>
        </row>
        <row r="973">
          <cell r="B973">
            <v>1.1249999999999956E-2</v>
          </cell>
          <cell r="C973">
            <v>16</v>
          </cell>
        </row>
        <row r="974">
          <cell r="B974">
            <v>1.126157407407403E-2</v>
          </cell>
          <cell r="C974">
            <v>16</v>
          </cell>
        </row>
        <row r="975">
          <cell r="B975">
            <v>1.1273148148148103E-2</v>
          </cell>
          <cell r="C975">
            <v>16</v>
          </cell>
        </row>
        <row r="976">
          <cell r="B976">
            <v>1.1284722222222177E-2</v>
          </cell>
          <cell r="C976">
            <v>16</v>
          </cell>
        </row>
        <row r="977">
          <cell r="B977">
            <v>1.129629629629625E-2</v>
          </cell>
          <cell r="C977">
            <v>16</v>
          </cell>
        </row>
        <row r="978">
          <cell r="B978">
            <v>1.1307870370370324E-2</v>
          </cell>
          <cell r="C978">
            <v>16</v>
          </cell>
        </row>
        <row r="979">
          <cell r="B979">
            <v>1.1319444444444398E-2</v>
          </cell>
          <cell r="C979">
            <v>16</v>
          </cell>
        </row>
        <row r="980">
          <cell r="B980">
            <v>1.1331018518518471E-2</v>
          </cell>
          <cell r="C980">
            <v>16</v>
          </cell>
        </row>
        <row r="981">
          <cell r="B981">
            <v>1.1342592592592545E-2</v>
          </cell>
          <cell r="C981">
            <v>16</v>
          </cell>
        </row>
        <row r="982">
          <cell r="B982">
            <v>1.1354166666666618E-2</v>
          </cell>
          <cell r="C982">
            <v>16</v>
          </cell>
        </row>
        <row r="983">
          <cell r="B983">
            <v>1.1365740740740692E-2</v>
          </cell>
          <cell r="C983">
            <v>16</v>
          </cell>
        </row>
        <row r="984">
          <cell r="B984">
            <v>1.1377314814814765E-2</v>
          </cell>
          <cell r="C984">
            <v>16</v>
          </cell>
        </row>
        <row r="985">
          <cell r="B985">
            <v>1.1388888888888839E-2</v>
          </cell>
          <cell r="C985">
            <v>16</v>
          </cell>
        </row>
        <row r="986">
          <cell r="B986">
            <v>1.1400462962962913E-2</v>
          </cell>
          <cell r="C986">
            <v>16</v>
          </cell>
        </row>
        <row r="987">
          <cell r="B987">
            <v>1.1412037037036986E-2</v>
          </cell>
          <cell r="C987">
            <v>16</v>
          </cell>
        </row>
        <row r="988">
          <cell r="B988">
            <v>1.142361111111106E-2</v>
          </cell>
          <cell r="C988">
            <v>16</v>
          </cell>
        </row>
        <row r="989">
          <cell r="B989">
            <v>1.1435185185185133E-2</v>
          </cell>
          <cell r="C989">
            <v>16</v>
          </cell>
        </row>
        <row r="990">
          <cell r="B990">
            <v>1.1446759259259207E-2</v>
          </cell>
          <cell r="C990">
            <v>16</v>
          </cell>
        </row>
        <row r="991">
          <cell r="B991">
            <v>1.145833333333328E-2</v>
          </cell>
          <cell r="C991">
            <v>16</v>
          </cell>
        </row>
        <row r="992">
          <cell r="B992">
            <v>1.1469907407407354E-2</v>
          </cell>
          <cell r="C992">
            <v>16</v>
          </cell>
        </row>
        <row r="993">
          <cell r="B993">
            <v>1.1481481481481428E-2</v>
          </cell>
          <cell r="C993">
            <v>16</v>
          </cell>
        </row>
        <row r="994">
          <cell r="B994">
            <v>1.1493055555555501E-2</v>
          </cell>
          <cell r="C994">
            <v>16</v>
          </cell>
        </row>
        <row r="995">
          <cell r="B995">
            <v>1.1504629629629575E-2</v>
          </cell>
          <cell r="C995">
            <v>16</v>
          </cell>
        </row>
        <row r="996">
          <cell r="B996">
            <v>1.1516203703703648E-2</v>
          </cell>
          <cell r="C996">
            <v>16</v>
          </cell>
        </row>
        <row r="997">
          <cell r="B997">
            <v>1.1527777777777722E-2</v>
          </cell>
          <cell r="C997">
            <v>16</v>
          </cell>
        </row>
        <row r="998">
          <cell r="B998">
            <v>1.1539351851851795E-2</v>
          </cell>
          <cell r="C998">
            <v>16</v>
          </cell>
        </row>
        <row r="999">
          <cell r="B999">
            <v>1.1550925925925869E-2</v>
          </cell>
          <cell r="C999">
            <v>16</v>
          </cell>
        </row>
        <row r="1000">
          <cell r="B1000">
            <v>1.1562499999999943E-2</v>
          </cell>
          <cell r="C1000">
            <v>16</v>
          </cell>
        </row>
        <row r="1001">
          <cell r="B1001">
            <v>1.1574074074074016E-2</v>
          </cell>
          <cell r="C1001">
            <v>16</v>
          </cell>
        </row>
        <row r="1002">
          <cell r="B1002">
            <v>1.158564814814809E-2</v>
          </cell>
          <cell r="C1002">
            <v>16</v>
          </cell>
        </row>
        <row r="1003">
          <cell r="B1003">
            <v>1.1597222222222163E-2</v>
          </cell>
          <cell r="C1003">
            <v>16</v>
          </cell>
        </row>
        <row r="1004">
          <cell r="B1004">
            <v>1.1608796296296237E-2</v>
          </cell>
          <cell r="C1004">
            <v>16</v>
          </cell>
        </row>
        <row r="1005">
          <cell r="B1005">
            <v>1.162037037037031E-2</v>
          </cell>
          <cell r="C1005">
            <v>16</v>
          </cell>
        </row>
        <row r="1006">
          <cell r="B1006">
            <v>1.1631944444444384E-2</v>
          </cell>
          <cell r="C1006">
            <v>16</v>
          </cell>
        </row>
        <row r="1007">
          <cell r="B1007">
            <v>1.1643518518518458E-2</v>
          </cell>
          <cell r="C1007">
            <v>16</v>
          </cell>
        </row>
        <row r="1008">
          <cell r="B1008">
            <v>1.1655092592592531E-2</v>
          </cell>
          <cell r="C1008">
            <v>16</v>
          </cell>
        </row>
        <row r="1009">
          <cell r="B1009">
            <v>1.1666666666666605E-2</v>
          </cell>
          <cell r="C1009">
            <v>16</v>
          </cell>
        </row>
        <row r="1010">
          <cell r="B1010">
            <v>1.1678240740740678E-2</v>
          </cell>
          <cell r="C1010">
            <v>16</v>
          </cell>
        </row>
        <row r="1011">
          <cell r="B1011">
            <v>1.1689814814814752E-2</v>
          </cell>
          <cell r="C1011">
            <v>16</v>
          </cell>
        </row>
        <row r="1012">
          <cell r="B1012">
            <v>1.1701388888888825E-2</v>
          </cell>
          <cell r="C1012">
            <v>16</v>
          </cell>
        </row>
        <row r="1013">
          <cell r="B1013">
            <v>1.1712962962962899E-2</v>
          </cell>
          <cell r="C1013">
            <v>16</v>
          </cell>
        </row>
        <row r="1014">
          <cell r="B1014">
            <v>1.1724537037036973E-2</v>
          </cell>
          <cell r="C1014">
            <v>16</v>
          </cell>
        </row>
        <row r="1015">
          <cell r="B1015">
            <v>1.1736111111111046E-2</v>
          </cell>
          <cell r="C1015">
            <v>16</v>
          </cell>
        </row>
        <row r="1016">
          <cell r="B1016">
            <v>1.174768518518512E-2</v>
          </cell>
          <cell r="C1016">
            <v>16</v>
          </cell>
        </row>
        <row r="1017">
          <cell r="B1017">
            <v>1.1759259259259193E-2</v>
          </cell>
          <cell r="C1017">
            <v>16</v>
          </cell>
        </row>
        <row r="1018">
          <cell r="B1018">
            <v>1.1770833333333267E-2</v>
          </cell>
          <cell r="C1018">
            <v>16</v>
          </cell>
        </row>
        <row r="1019">
          <cell r="B1019">
            <v>1.178240740740734E-2</v>
          </cell>
          <cell r="C1019">
            <v>16</v>
          </cell>
        </row>
        <row r="1020">
          <cell r="B1020">
            <v>1.1793981481481414E-2</v>
          </cell>
          <cell r="C1020">
            <v>16</v>
          </cell>
        </row>
        <row r="1021">
          <cell r="B1021">
            <v>1.1805555555555488E-2</v>
          </cell>
          <cell r="C1021">
            <v>17</v>
          </cell>
        </row>
        <row r="1022">
          <cell r="B1022">
            <v>1.1817129629629561E-2</v>
          </cell>
          <cell r="C1022">
            <v>17</v>
          </cell>
        </row>
        <row r="1023">
          <cell r="B1023">
            <v>1.1828703703703635E-2</v>
          </cell>
          <cell r="C1023">
            <v>17</v>
          </cell>
        </row>
        <row r="1024">
          <cell r="B1024">
            <v>1.1840277777777708E-2</v>
          </cell>
          <cell r="C1024">
            <v>17</v>
          </cell>
        </row>
        <row r="1025">
          <cell r="B1025">
            <v>1.1851851851851782E-2</v>
          </cell>
          <cell r="C1025">
            <v>17</v>
          </cell>
        </row>
        <row r="1026">
          <cell r="B1026">
            <v>1.1863425925925855E-2</v>
          </cell>
          <cell r="C1026">
            <v>17</v>
          </cell>
        </row>
        <row r="1027">
          <cell r="B1027">
            <v>1.1874999999999929E-2</v>
          </cell>
          <cell r="C1027">
            <v>17</v>
          </cell>
        </row>
        <row r="1028">
          <cell r="B1028">
            <v>1.1886574074074003E-2</v>
          </cell>
          <cell r="C1028">
            <v>17</v>
          </cell>
        </row>
        <row r="1029">
          <cell r="B1029">
            <v>1.1898148148148076E-2</v>
          </cell>
          <cell r="C1029">
            <v>17</v>
          </cell>
        </row>
        <row r="1030">
          <cell r="B1030">
            <v>1.190972222222215E-2</v>
          </cell>
          <cell r="C1030">
            <v>17</v>
          </cell>
        </row>
        <row r="1031">
          <cell r="B1031">
            <v>1.1921296296296223E-2</v>
          </cell>
          <cell r="C1031">
            <v>17</v>
          </cell>
        </row>
        <row r="1032">
          <cell r="B1032">
            <v>1.1932870370370297E-2</v>
          </cell>
          <cell r="C1032">
            <v>17</v>
          </cell>
        </row>
        <row r="1033">
          <cell r="B1033">
            <v>1.194444444444437E-2</v>
          </cell>
          <cell r="C1033">
            <v>17</v>
          </cell>
        </row>
        <row r="1034">
          <cell r="B1034">
            <v>1.1956018518518444E-2</v>
          </cell>
          <cell r="C1034">
            <v>17</v>
          </cell>
        </row>
        <row r="1035">
          <cell r="B1035">
            <v>1.1967592592592518E-2</v>
          </cell>
          <cell r="C1035">
            <v>17</v>
          </cell>
        </row>
        <row r="1036">
          <cell r="B1036">
            <v>1.1979166666666591E-2</v>
          </cell>
          <cell r="C1036">
            <v>17</v>
          </cell>
        </row>
        <row r="1037">
          <cell r="B1037">
            <v>1.1990740740740665E-2</v>
          </cell>
          <cell r="C1037">
            <v>17</v>
          </cell>
        </row>
        <row r="1038">
          <cell r="B1038">
            <v>1.2002314814814738E-2</v>
          </cell>
          <cell r="C1038">
            <v>17</v>
          </cell>
        </row>
        <row r="1039">
          <cell r="B1039">
            <v>1.2013888888888812E-2</v>
          </cell>
          <cell r="C1039">
            <v>17</v>
          </cell>
        </row>
        <row r="1040">
          <cell r="B1040">
            <v>1.2025462962962885E-2</v>
          </cell>
          <cell r="C1040">
            <v>17</v>
          </cell>
        </row>
        <row r="1041">
          <cell r="B1041">
            <v>1.2037037037036959E-2</v>
          </cell>
          <cell r="C1041">
            <v>17</v>
          </cell>
        </row>
        <row r="1042">
          <cell r="B1042">
            <v>1.2048611111111033E-2</v>
          </cell>
          <cell r="C1042">
            <v>17</v>
          </cell>
        </row>
        <row r="1043">
          <cell r="B1043">
            <v>1.2060185185185106E-2</v>
          </cell>
          <cell r="C1043">
            <v>17</v>
          </cell>
        </row>
        <row r="1044">
          <cell r="B1044">
            <v>1.207175925925918E-2</v>
          </cell>
          <cell r="C1044">
            <v>17</v>
          </cell>
        </row>
        <row r="1045">
          <cell r="B1045">
            <v>1.2083333333333253E-2</v>
          </cell>
          <cell r="C1045">
            <v>17</v>
          </cell>
        </row>
        <row r="1046">
          <cell r="B1046">
            <v>1.2094907407407327E-2</v>
          </cell>
          <cell r="C1046">
            <v>17</v>
          </cell>
        </row>
        <row r="1047">
          <cell r="B1047">
            <v>1.21064814814814E-2</v>
          </cell>
          <cell r="C1047">
            <v>17</v>
          </cell>
        </row>
        <row r="1048">
          <cell r="B1048">
            <v>1.2118055555555474E-2</v>
          </cell>
          <cell r="C1048">
            <v>17</v>
          </cell>
        </row>
        <row r="1049">
          <cell r="B1049">
            <v>1.2129629629629548E-2</v>
          </cell>
          <cell r="C1049">
            <v>17</v>
          </cell>
        </row>
        <row r="1050">
          <cell r="B1050">
            <v>1.2141203703703621E-2</v>
          </cell>
          <cell r="C1050">
            <v>17</v>
          </cell>
        </row>
        <row r="1051">
          <cell r="B1051">
            <v>1.2152777777777695E-2</v>
          </cell>
          <cell r="C1051">
            <v>17</v>
          </cell>
        </row>
        <row r="1052">
          <cell r="B1052">
            <v>1.2164351851851768E-2</v>
          </cell>
          <cell r="C1052">
            <v>17</v>
          </cell>
        </row>
        <row r="1053">
          <cell r="B1053">
            <v>1.2175925925925842E-2</v>
          </cell>
          <cell r="C1053">
            <v>17</v>
          </cell>
        </row>
        <row r="1054">
          <cell r="B1054">
            <v>1.2187499999999915E-2</v>
          </cell>
          <cell r="C1054">
            <v>17</v>
          </cell>
        </row>
        <row r="1055">
          <cell r="B1055">
            <v>1.2199074074073989E-2</v>
          </cell>
          <cell r="C1055">
            <v>17</v>
          </cell>
        </row>
        <row r="1056">
          <cell r="B1056">
            <v>1.2210648148148063E-2</v>
          </cell>
          <cell r="C1056">
            <v>17</v>
          </cell>
        </row>
        <row r="1057">
          <cell r="B1057">
            <v>1.2222222222222136E-2</v>
          </cell>
          <cell r="C1057">
            <v>17</v>
          </cell>
        </row>
        <row r="1058">
          <cell r="B1058">
            <v>1.223379629629621E-2</v>
          </cell>
          <cell r="C1058">
            <v>17</v>
          </cell>
        </row>
        <row r="1059">
          <cell r="B1059">
            <v>1.2245370370370283E-2</v>
          </cell>
          <cell r="C1059">
            <v>17</v>
          </cell>
        </row>
        <row r="1060">
          <cell r="B1060">
            <v>1.2256944444444357E-2</v>
          </cell>
          <cell r="C1060">
            <v>17</v>
          </cell>
        </row>
        <row r="1061">
          <cell r="B1061">
            <v>1.226851851851843E-2</v>
          </cell>
          <cell r="C1061">
            <v>17</v>
          </cell>
        </row>
        <row r="1062">
          <cell r="B1062">
            <v>1.2280092592592504E-2</v>
          </cell>
          <cell r="C1062">
            <v>17</v>
          </cell>
        </row>
        <row r="1063">
          <cell r="B1063">
            <v>1.2291666666666578E-2</v>
          </cell>
          <cell r="C1063">
            <v>17</v>
          </cell>
        </row>
        <row r="1064">
          <cell r="B1064">
            <v>1.2303240740740651E-2</v>
          </cell>
          <cell r="C1064">
            <v>17</v>
          </cell>
        </row>
        <row r="1065">
          <cell r="B1065">
            <v>1.2314814814814725E-2</v>
          </cell>
          <cell r="C1065">
            <v>17</v>
          </cell>
        </row>
        <row r="1066">
          <cell r="B1066">
            <v>1.2326388888888798E-2</v>
          </cell>
          <cell r="C1066">
            <v>17</v>
          </cell>
        </row>
        <row r="1067">
          <cell r="B1067">
            <v>1.2337962962962872E-2</v>
          </cell>
          <cell r="C1067">
            <v>17</v>
          </cell>
        </row>
        <row r="1068">
          <cell r="B1068">
            <v>1.2349537037036945E-2</v>
          </cell>
          <cell r="C1068">
            <v>17</v>
          </cell>
        </row>
        <row r="1069">
          <cell r="B1069">
            <v>1.2361111111111019E-2</v>
          </cell>
          <cell r="C1069">
            <v>17</v>
          </cell>
        </row>
        <row r="1070">
          <cell r="B1070">
            <v>1.2372685185185093E-2</v>
          </cell>
          <cell r="C1070">
            <v>17</v>
          </cell>
        </row>
        <row r="1071">
          <cell r="B1071">
            <v>1.2384259259259166E-2</v>
          </cell>
          <cell r="C1071">
            <v>17</v>
          </cell>
        </row>
        <row r="1072">
          <cell r="B1072">
            <v>1.239583333333324E-2</v>
          </cell>
          <cell r="C1072">
            <v>17</v>
          </cell>
        </row>
        <row r="1073">
          <cell r="B1073">
            <v>1.2407407407407313E-2</v>
          </cell>
          <cell r="C1073">
            <v>17</v>
          </cell>
        </row>
        <row r="1074">
          <cell r="B1074">
            <v>1.2418981481481387E-2</v>
          </cell>
          <cell r="C1074">
            <v>17</v>
          </cell>
        </row>
        <row r="1075">
          <cell r="B1075">
            <v>1.243055555555546E-2</v>
          </cell>
          <cell r="C1075">
            <v>17</v>
          </cell>
        </row>
        <row r="1076">
          <cell r="B1076">
            <v>1.2442129629629534E-2</v>
          </cell>
          <cell r="C1076">
            <v>17</v>
          </cell>
        </row>
        <row r="1077">
          <cell r="B1077">
            <v>1.2453703703703608E-2</v>
          </cell>
          <cell r="C1077">
            <v>17</v>
          </cell>
        </row>
        <row r="1078">
          <cell r="B1078">
            <v>1.2465277777777681E-2</v>
          </cell>
          <cell r="C1078">
            <v>17</v>
          </cell>
        </row>
        <row r="1079">
          <cell r="B1079">
            <v>1.2476851851851755E-2</v>
          </cell>
          <cell r="C1079">
            <v>17</v>
          </cell>
        </row>
        <row r="1080">
          <cell r="B1080">
            <v>1.2488425925925828E-2</v>
          </cell>
          <cell r="C1080">
            <v>17</v>
          </cell>
        </row>
        <row r="1081">
          <cell r="B1081">
            <v>1.2499999999999902E-2</v>
          </cell>
          <cell r="C1081">
            <v>18</v>
          </cell>
        </row>
        <row r="1082">
          <cell r="B1082">
            <v>1.2511574074073975E-2</v>
          </cell>
          <cell r="C1082">
            <v>18</v>
          </cell>
        </row>
        <row r="1083">
          <cell r="B1083">
            <v>1.2523148148148049E-2</v>
          </cell>
          <cell r="C1083">
            <v>18</v>
          </cell>
        </row>
        <row r="1084">
          <cell r="B1084">
            <v>1.2534722222222123E-2</v>
          </cell>
          <cell r="C1084">
            <v>18</v>
          </cell>
        </row>
        <row r="1085">
          <cell r="B1085">
            <v>1.2546296296296196E-2</v>
          </cell>
          <cell r="C1085">
            <v>18</v>
          </cell>
        </row>
        <row r="1086">
          <cell r="B1086">
            <v>1.255787037037027E-2</v>
          </cell>
          <cell r="C1086">
            <v>18</v>
          </cell>
        </row>
        <row r="1087">
          <cell r="B1087">
            <v>1.2569444444444343E-2</v>
          </cell>
          <cell r="C1087">
            <v>18</v>
          </cell>
        </row>
        <row r="1088">
          <cell r="B1088">
            <v>1.2581018518518417E-2</v>
          </cell>
          <cell r="C1088">
            <v>18</v>
          </cell>
        </row>
        <row r="1089">
          <cell r="B1089">
            <v>1.259259259259249E-2</v>
          </cell>
          <cell r="C1089">
            <v>18</v>
          </cell>
        </row>
        <row r="1090">
          <cell r="B1090">
            <v>1.2604166666666564E-2</v>
          </cell>
          <cell r="C1090">
            <v>18</v>
          </cell>
        </row>
        <row r="1091">
          <cell r="B1091">
            <v>1.2615740740740638E-2</v>
          </cell>
          <cell r="C1091">
            <v>18</v>
          </cell>
        </row>
        <row r="1092">
          <cell r="B1092">
            <v>1.2627314814814711E-2</v>
          </cell>
          <cell r="C1092">
            <v>18</v>
          </cell>
        </row>
        <row r="1093">
          <cell r="B1093">
            <v>1.2638888888888785E-2</v>
          </cell>
          <cell r="C1093">
            <v>18</v>
          </cell>
        </row>
        <row r="1094">
          <cell r="B1094">
            <v>1.2650462962962858E-2</v>
          </cell>
          <cell r="C1094">
            <v>18</v>
          </cell>
        </row>
        <row r="1095">
          <cell r="B1095">
            <v>1.2662037037036932E-2</v>
          </cell>
          <cell r="C1095">
            <v>18</v>
          </cell>
        </row>
        <row r="1096">
          <cell r="B1096">
            <v>1.2673611111111005E-2</v>
          </cell>
          <cell r="C1096">
            <v>18</v>
          </cell>
        </row>
        <row r="1097">
          <cell r="B1097">
            <v>1.2685185185185079E-2</v>
          </cell>
          <cell r="C1097">
            <v>18</v>
          </cell>
        </row>
        <row r="1098">
          <cell r="B1098">
            <v>1.2696759259259153E-2</v>
          </cell>
          <cell r="C1098">
            <v>18</v>
          </cell>
        </row>
        <row r="1099">
          <cell r="B1099">
            <v>1.2708333333333226E-2</v>
          </cell>
          <cell r="C1099">
            <v>18</v>
          </cell>
        </row>
        <row r="1100">
          <cell r="B1100">
            <v>1.27199074074073E-2</v>
          </cell>
          <cell r="C1100">
            <v>18</v>
          </cell>
        </row>
        <row r="1101">
          <cell r="B1101">
            <v>1.2731481481481373E-2</v>
          </cell>
          <cell r="C1101">
            <v>18</v>
          </cell>
        </row>
        <row r="1102">
          <cell r="B1102">
            <v>1.2743055555555447E-2</v>
          </cell>
          <cell r="C1102">
            <v>18</v>
          </cell>
        </row>
        <row r="1103">
          <cell r="B1103">
            <v>1.275462962962952E-2</v>
          </cell>
          <cell r="C1103">
            <v>18</v>
          </cell>
        </row>
        <row r="1104">
          <cell r="B1104">
            <v>1.2766203703703594E-2</v>
          </cell>
          <cell r="C1104">
            <v>18</v>
          </cell>
        </row>
        <row r="1105">
          <cell r="B1105">
            <v>1.2777777777777668E-2</v>
          </cell>
          <cell r="C1105">
            <v>18</v>
          </cell>
        </row>
        <row r="1106">
          <cell r="B1106">
            <v>1.2789351851851741E-2</v>
          </cell>
          <cell r="C1106">
            <v>18</v>
          </cell>
        </row>
        <row r="1107">
          <cell r="B1107">
            <v>1.2800925925925815E-2</v>
          </cell>
          <cell r="C1107">
            <v>18</v>
          </cell>
        </row>
        <row r="1108">
          <cell r="B1108">
            <v>1.2812499999999888E-2</v>
          </cell>
          <cell r="C1108">
            <v>18</v>
          </cell>
        </row>
        <row r="1109">
          <cell r="B1109">
            <v>1.2824074074073962E-2</v>
          </cell>
          <cell r="C1109">
            <v>18</v>
          </cell>
        </row>
        <row r="1110">
          <cell r="B1110">
            <v>1.2835648148148035E-2</v>
          </cell>
          <cell r="C1110">
            <v>18</v>
          </cell>
        </row>
        <row r="1111">
          <cell r="B1111">
            <v>1.2847222222222109E-2</v>
          </cell>
          <cell r="C1111">
            <v>18</v>
          </cell>
        </row>
        <row r="1112">
          <cell r="B1112">
            <v>1.2858796296296182E-2</v>
          </cell>
          <cell r="C1112">
            <v>18</v>
          </cell>
        </row>
        <row r="1113">
          <cell r="B1113">
            <v>1.2870370370370256E-2</v>
          </cell>
          <cell r="C1113">
            <v>18</v>
          </cell>
        </row>
        <row r="1114">
          <cell r="B1114">
            <v>1.288194444444433E-2</v>
          </cell>
          <cell r="C1114">
            <v>18</v>
          </cell>
        </row>
        <row r="1115">
          <cell r="B1115">
            <v>1.2893518518518403E-2</v>
          </cell>
          <cell r="C1115">
            <v>18</v>
          </cell>
        </row>
        <row r="1116">
          <cell r="B1116">
            <v>1.2905092592592477E-2</v>
          </cell>
          <cell r="C1116">
            <v>18</v>
          </cell>
        </row>
        <row r="1117">
          <cell r="B1117">
            <v>1.291666666666655E-2</v>
          </cell>
          <cell r="C1117">
            <v>18</v>
          </cell>
        </row>
        <row r="1118">
          <cell r="B1118">
            <v>1.2928240740740624E-2</v>
          </cell>
          <cell r="C1118">
            <v>18</v>
          </cell>
        </row>
        <row r="1119">
          <cell r="B1119">
            <v>1.2939814814814697E-2</v>
          </cell>
          <cell r="C1119">
            <v>18</v>
          </cell>
        </row>
        <row r="1120">
          <cell r="B1120">
            <v>1.2951388888888771E-2</v>
          </cell>
          <cell r="C1120">
            <v>18</v>
          </cell>
        </row>
        <row r="1121">
          <cell r="B1121">
            <v>1.2962962962962845E-2</v>
          </cell>
          <cell r="C1121">
            <v>18</v>
          </cell>
        </row>
        <row r="1122">
          <cell r="B1122">
            <v>1.2974537037036918E-2</v>
          </cell>
          <cell r="C1122">
            <v>18</v>
          </cell>
        </row>
        <row r="1123">
          <cell r="B1123">
            <v>1.2986111111110992E-2</v>
          </cell>
          <cell r="C1123">
            <v>18</v>
          </cell>
        </row>
        <row r="1124">
          <cell r="B1124">
            <v>1.2997685185185065E-2</v>
          </cell>
          <cell r="C1124">
            <v>18</v>
          </cell>
        </row>
        <row r="1125">
          <cell r="B1125">
            <v>1.3009259259259139E-2</v>
          </cell>
          <cell r="C1125">
            <v>18</v>
          </cell>
        </row>
        <row r="1126">
          <cell r="B1126">
            <v>1.3020833333333212E-2</v>
          </cell>
          <cell r="C1126">
            <v>18</v>
          </cell>
        </row>
        <row r="1127">
          <cell r="B1127">
            <v>1.3032407407407286E-2</v>
          </cell>
          <cell r="C1127">
            <v>18</v>
          </cell>
        </row>
        <row r="1128">
          <cell r="B1128">
            <v>1.304398148148136E-2</v>
          </cell>
          <cell r="C1128">
            <v>18</v>
          </cell>
        </row>
        <row r="1129">
          <cell r="B1129">
            <v>1.3055555555555433E-2</v>
          </cell>
          <cell r="C1129">
            <v>18</v>
          </cell>
        </row>
        <row r="1130">
          <cell r="B1130">
            <v>1.3067129629629507E-2</v>
          </cell>
          <cell r="C1130">
            <v>18</v>
          </cell>
        </row>
        <row r="1131">
          <cell r="B1131">
            <v>1.307870370370358E-2</v>
          </cell>
          <cell r="C1131">
            <v>18</v>
          </cell>
        </row>
        <row r="1132">
          <cell r="B1132">
            <v>1.3090277777777654E-2</v>
          </cell>
          <cell r="C1132">
            <v>18</v>
          </cell>
        </row>
        <row r="1133">
          <cell r="B1133">
            <v>1.3101851851851727E-2</v>
          </cell>
          <cell r="C1133">
            <v>18</v>
          </cell>
        </row>
        <row r="1134">
          <cell r="B1134">
            <v>1.3113425925925801E-2</v>
          </cell>
          <cell r="C1134">
            <v>18</v>
          </cell>
        </row>
        <row r="1135">
          <cell r="B1135">
            <v>1.3124999999999875E-2</v>
          </cell>
          <cell r="C1135">
            <v>18</v>
          </cell>
        </row>
        <row r="1136">
          <cell r="B1136">
            <v>1.3136574074073948E-2</v>
          </cell>
          <cell r="C1136">
            <v>18</v>
          </cell>
        </row>
        <row r="1137">
          <cell r="B1137">
            <v>1.3148148148148022E-2</v>
          </cell>
          <cell r="C1137">
            <v>18</v>
          </cell>
        </row>
        <row r="1138">
          <cell r="B1138">
            <v>1.3159722222222095E-2</v>
          </cell>
          <cell r="C1138">
            <v>18</v>
          </cell>
        </row>
        <row r="1139">
          <cell r="B1139">
            <v>1.3171296296296169E-2</v>
          </cell>
          <cell r="C1139">
            <v>18</v>
          </cell>
        </row>
        <row r="1140">
          <cell r="B1140">
            <v>1.3182870370370242E-2</v>
          </cell>
          <cell r="C1140">
            <v>18</v>
          </cell>
        </row>
        <row r="1141">
          <cell r="B1141">
            <v>1.3194444444444316E-2</v>
          </cell>
          <cell r="C1141">
            <v>19</v>
          </cell>
        </row>
        <row r="1142">
          <cell r="B1142">
            <v>1.320601851851839E-2</v>
          </cell>
          <cell r="C1142">
            <v>19</v>
          </cell>
        </row>
        <row r="1143">
          <cell r="B1143">
            <v>1.3217592592592463E-2</v>
          </cell>
          <cell r="C1143">
            <v>19</v>
          </cell>
        </row>
        <row r="1144">
          <cell r="B1144">
            <v>1.3229166666666537E-2</v>
          </cell>
          <cell r="C1144">
            <v>19</v>
          </cell>
        </row>
        <row r="1145">
          <cell r="B1145">
            <v>1.324074074074061E-2</v>
          </cell>
          <cell r="C1145">
            <v>19</v>
          </cell>
        </row>
        <row r="1146">
          <cell r="B1146">
            <v>1.3252314814814684E-2</v>
          </cell>
          <cell r="C1146">
            <v>19</v>
          </cell>
        </row>
        <row r="1147">
          <cell r="B1147">
            <v>1.3263888888888757E-2</v>
          </cell>
          <cell r="C1147">
            <v>19</v>
          </cell>
        </row>
        <row r="1148">
          <cell r="B1148">
            <v>1.3275462962962831E-2</v>
          </cell>
          <cell r="C1148">
            <v>19</v>
          </cell>
        </row>
        <row r="1149">
          <cell r="B1149">
            <v>1.3287037037036905E-2</v>
          </cell>
          <cell r="C1149">
            <v>19</v>
          </cell>
        </row>
        <row r="1150">
          <cell r="B1150">
            <v>1.3298611111110978E-2</v>
          </cell>
          <cell r="C1150">
            <v>19</v>
          </cell>
        </row>
        <row r="1151">
          <cell r="B1151">
            <v>1.3310185185185052E-2</v>
          </cell>
          <cell r="C1151">
            <v>19</v>
          </cell>
        </row>
        <row r="1152">
          <cell r="B1152">
            <v>1.3321759259259125E-2</v>
          </cell>
          <cell r="C1152">
            <v>19</v>
          </cell>
        </row>
        <row r="1153">
          <cell r="B1153">
            <v>1.3333333333333199E-2</v>
          </cell>
          <cell r="C1153">
            <v>19</v>
          </cell>
        </row>
        <row r="1154">
          <cell r="B1154">
            <v>1.3344907407407272E-2</v>
          </cell>
          <cell r="C1154">
            <v>19</v>
          </cell>
        </row>
        <row r="1155">
          <cell r="B1155">
            <v>1.3356481481481346E-2</v>
          </cell>
          <cell r="C1155">
            <v>19</v>
          </cell>
        </row>
        <row r="1156">
          <cell r="B1156">
            <v>1.336805555555542E-2</v>
          </cell>
          <cell r="C1156">
            <v>19</v>
          </cell>
        </row>
        <row r="1157">
          <cell r="B1157">
            <v>1.3379629629629493E-2</v>
          </cell>
          <cell r="C1157">
            <v>19</v>
          </cell>
        </row>
        <row r="1158">
          <cell r="B1158">
            <v>1.3391203703703567E-2</v>
          </cell>
          <cell r="C1158">
            <v>19</v>
          </cell>
        </row>
        <row r="1159">
          <cell r="B1159">
            <v>1.340277777777764E-2</v>
          </cell>
          <cell r="C1159">
            <v>19</v>
          </cell>
        </row>
        <row r="1160">
          <cell r="B1160">
            <v>1.3414351851851714E-2</v>
          </cell>
          <cell r="C1160">
            <v>19</v>
          </cell>
        </row>
        <row r="1161">
          <cell r="B1161">
            <v>1.3425925925925787E-2</v>
          </cell>
          <cell r="C1161">
            <v>19</v>
          </cell>
        </row>
        <row r="1162">
          <cell r="B1162">
            <v>1.3437499999999861E-2</v>
          </cell>
          <cell r="C1162">
            <v>19</v>
          </cell>
        </row>
        <row r="1163">
          <cell r="B1163">
            <v>1.3449074074073935E-2</v>
          </cell>
          <cell r="C1163">
            <v>19</v>
          </cell>
        </row>
        <row r="1164">
          <cell r="B1164">
            <v>1.3460648148148008E-2</v>
          </cell>
          <cell r="C1164">
            <v>19</v>
          </cell>
        </row>
        <row r="1165">
          <cell r="B1165">
            <v>1.3472222222222082E-2</v>
          </cell>
          <cell r="C1165">
            <v>19</v>
          </cell>
        </row>
        <row r="1166">
          <cell r="B1166">
            <v>1.3483796296296155E-2</v>
          </cell>
          <cell r="C1166">
            <v>19</v>
          </cell>
        </row>
        <row r="1167">
          <cell r="B1167">
            <v>1.3495370370370229E-2</v>
          </cell>
          <cell r="C1167">
            <v>19</v>
          </cell>
        </row>
        <row r="1168">
          <cell r="B1168">
            <v>1.3506944444444302E-2</v>
          </cell>
          <cell r="C1168">
            <v>19</v>
          </cell>
        </row>
        <row r="1169">
          <cell r="B1169">
            <v>1.3518518518518376E-2</v>
          </cell>
          <cell r="C1169">
            <v>19</v>
          </cell>
        </row>
        <row r="1170">
          <cell r="B1170">
            <v>1.353009259259245E-2</v>
          </cell>
          <cell r="C1170">
            <v>19</v>
          </cell>
        </row>
        <row r="1171">
          <cell r="B1171">
            <v>1.3541666666666523E-2</v>
          </cell>
          <cell r="C1171">
            <v>19</v>
          </cell>
        </row>
        <row r="1172">
          <cell r="B1172">
            <v>1.3553240740740597E-2</v>
          </cell>
          <cell r="C1172">
            <v>19</v>
          </cell>
        </row>
        <row r="1173">
          <cell r="B1173">
            <v>1.356481481481467E-2</v>
          </cell>
          <cell r="C1173">
            <v>19</v>
          </cell>
        </row>
        <row r="1174">
          <cell r="B1174">
            <v>1.3576388888888744E-2</v>
          </cell>
          <cell r="C1174">
            <v>19</v>
          </cell>
        </row>
        <row r="1175">
          <cell r="B1175">
            <v>1.3587962962962817E-2</v>
          </cell>
          <cell r="C1175">
            <v>19</v>
          </cell>
        </row>
        <row r="1176">
          <cell r="B1176">
            <v>1.3599537037036891E-2</v>
          </cell>
          <cell r="C1176">
            <v>19</v>
          </cell>
        </row>
        <row r="1177">
          <cell r="B1177">
            <v>1.3611111111110965E-2</v>
          </cell>
          <cell r="C1177">
            <v>19</v>
          </cell>
        </row>
        <row r="1178">
          <cell r="B1178">
            <v>1.3622685185185038E-2</v>
          </cell>
          <cell r="C1178">
            <v>19</v>
          </cell>
        </row>
        <row r="1179">
          <cell r="B1179">
            <v>1.3634259259259112E-2</v>
          </cell>
          <cell r="C1179">
            <v>19</v>
          </cell>
        </row>
        <row r="1180">
          <cell r="B1180">
            <v>1.3645833333333185E-2</v>
          </cell>
          <cell r="C1180">
            <v>19</v>
          </cell>
        </row>
        <row r="1181">
          <cell r="B1181">
            <v>1.3657407407407259E-2</v>
          </cell>
          <cell r="C1181">
            <v>19</v>
          </cell>
        </row>
        <row r="1182">
          <cell r="B1182">
            <v>1.3668981481481332E-2</v>
          </cell>
          <cell r="C1182">
            <v>19</v>
          </cell>
        </row>
        <row r="1183">
          <cell r="B1183">
            <v>1.3680555555555406E-2</v>
          </cell>
          <cell r="C1183">
            <v>19</v>
          </cell>
        </row>
        <row r="1184">
          <cell r="B1184">
            <v>1.369212962962948E-2</v>
          </cell>
          <cell r="C1184">
            <v>19</v>
          </cell>
        </row>
        <row r="1185">
          <cell r="B1185">
            <v>1.3703703703703553E-2</v>
          </cell>
          <cell r="C1185">
            <v>19</v>
          </cell>
        </row>
        <row r="1186">
          <cell r="B1186">
            <v>1.3715277777777627E-2</v>
          </cell>
          <cell r="C1186">
            <v>19</v>
          </cell>
        </row>
        <row r="1187">
          <cell r="B1187">
            <v>1.37268518518517E-2</v>
          </cell>
          <cell r="C1187">
            <v>19</v>
          </cell>
        </row>
        <row r="1188">
          <cell r="B1188">
            <v>1.3738425925925774E-2</v>
          </cell>
          <cell r="C1188">
            <v>19</v>
          </cell>
        </row>
        <row r="1189">
          <cell r="B1189">
            <v>1.3749999999999847E-2</v>
          </cell>
          <cell r="C1189">
            <v>19</v>
          </cell>
        </row>
        <row r="1190">
          <cell r="B1190">
            <v>1.3761574074073921E-2</v>
          </cell>
          <cell r="C1190">
            <v>19</v>
          </cell>
        </row>
        <row r="1191">
          <cell r="B1191">
            <v>1.3773148148147995E-2</v>
          </cell>
          <cell r="C1191">
            <v>19</v>
          </cell>
        </row>
        <row r="1192">
          <cell r="B1192">
            <v>1.3784722222222068E-2</v>
          </cell>
          <cell r="C1192">
            <v>19</v>
          </cell>
        </row>
        <row r="1193">
          <cell r="B1193">
            <v>1.3796296296296142E-2</v>
          </cell>
          <cell r="C1193">
            <v>19</v>
          </cell>
        </row>
        <row r="1194">
          <cell r="B1194">
            <v>1.3807870370370215E-2</v>
          </cell>
          <cell r="C1194">
            <v>19</v>
          </cell>
        </row>
        <row r="1195">
          <cell r="B1195">
            <v>1.3819444444444289E-2</v>
          </cell>
          <cell r="C1195">
            <v>19</v>
          </cell>
        </row>
        <row r="1196">
          <cell r="B1196">
            <v>1.3831018518518362E-2</v>
          </cell>
          <cell r="C1196">
            <v>19</v>
          </cell>
        </row>
        <row r="1197">
          <cell r="B1197">
            <v>1.3842592592592436E-2</v>
          </cell>
          <cell r="C1197">
            <v>19</v>
          </cell>
        </row>
        <row r="1198">
          <cell r="B1198">
            <v>1.385416666666651E-2</v>
          </cell>
          <cell r="C1198">
            <v>19</v>
          </cell>
        </row>
        <row r="1199">
          <cell r="B1199">
            <v>1.3865740740740583E-2</v>
          </cell>
          <cell r="C1199">
            <v>19</v>
          </cell>
        </row>
        <row r="1200">
          <cell r="B1200">
            <v>1.3877314814814657E-2</v>
          </cell>
          <cell r="C1200">
            <v>19</v>
          </cell>
        </row>
        <row r="1201">
          <cell r="B1201">
            <v>1.388888888888873E-2</v>
          </cell>
          <cell r="C1201">
            <v>20</v>
          </cell>
        </row>
        <row r="1202">
          <cell r="B1202">
            <v>1.3900462962962804E-2</v>
          </cell>
          <cell r="C1202">
            <v>20</v>
          </cell>
        </row>
        <row r="1203">
          <cell r="B1203">
            <v>1.3912037037036877E-2</v>
          </cell>
          <cell r="C1203">
            <v>20</v>
          </cell>
        </row>
        <row r="1204">
          <cell r="B1204">
            <v>1.3923611111110951E-2</v>
          </cell>
          <cell r="C1204">
            <v>20</v>
          </cell>
        </row>
        <row r="1205">
          <cell r="B1205">
            <v>1.3935185185185025E-2</v>
          </cell>
          <cell r="C1205">
            <v>20</v>
          </cell>
        </row>
        <row r="1206">
          <cell r="B1206">
            <v>1.3946759259259098E-2</v>
          </cell>
          <cell r="C1206">
            <v>20</v>
          </cell>
        </row>
        <row r="1207">
          <cell r="B1207">
            <v>1.3958333333333172E-2</v>
          </cell>
          <cell r="C1207">
            <v>20</v>
          </cell>
        </row>
        <row r="1208">
          <cell r="B1208">
            <v>1.3969907407407245E-2</v>
          </cell>
          <cell r="C1208">
            <v>20</v>
          </cell>
        </row>
        <row r="1209">
          <cell r="B1209">
            <v>1.3981481481481319E-2</v>
          </cell>
          <cell r="C1209">
            <v>20</v>
          </cell>
        </row>
        <row r="1210">
          <cell r="B1210">
            <v>1.3993055555555392E-2</v>
          </cell>
          <cell r="C1210">
            <v>20</v>
          </cell>
        </row>
        <row r="1211">
          <cell r="B1211">
            <v>1.4004629629629466E-2</v>
          </cell>
          <cell r="C1211">
            <v>20</v>
          </cell>
        </row>
        <row r="1212">
          <cell r="B1212">
            <v>1.401620370370354E-2</v>
          </cell>
          <cell r="C1212">
            <v>20</v>
          </cell>
        </row>
        <row r="1213">
          <cell r="B1213">
            <v>1.4027777777777613E-2</v>
          </cell>
          <cell r="C1213">
            <v>20</v>
          </cell>
        </row>
        <row r="1214">
          <cell r="B1214">
            <v>1.4039351851851687E-2</v>
          </cell>
          <cell r="C1214">
            <v>20</v>
          </cell>
        </row>
        <row r="1215">
          <cell r="B1215">
            <v>1.405092592592576E-2</v>
          </cell>
          <cell r="C1215">
            <v>20</v>
          </cell>
        </row>
        <row r="1216">
          <cell r="B1216">
            <v>1.4062499999999834E-2</v>
          </cell>
          <cell r="C1216">
            <v>20</v>
          </cell>
        </row>
        <row r="1217">
          <cell r="B1217">
            <v>1.4074074074073907E-2</v>
          </cell>
          <cell r="C1217">
            <v>20</v>
          </cell>
        </row>
        <row r="1218">
          <cell r="B1218">
            <v>1.4085648148147981E-2</v>
          </cell>
          <cell r="C1218">
            <v>20</v>
          </cell>
        </row>
        <row r="1219">
          <cell r="B1219">
            <v>1.4097222222222055E-2</v>
          </cell>
          <cell r="C1219">
            <v>20</v>
          </cell>
        </row>
        <row r="1220">
          <cell r="B1220">
            <v>1.4108796296296128E-2</v>
          </cell>
          <cell r="C1220">
            <v>20</v>
          </cell>
        </row>
        <row r="1221">
          <cell r="B1221">
            <v>1.4120370370370202E-2</v>
          </cell>
          <cell r="C1221">
            <v>20</v>
          </cell>
        </row>
        <row r="1222">
          <cell r="B1222">
            <v>1.4131944444444275E-2</v>
          </cell>
          <cell r="C1222">
            <v>20</v>
          </cell>
        </row>
        <row r="1223">
          <cell r="B1223">
            <v>1.4143518518518349E-2</v>
          </cell>
          <cell r="C1223">
            <v>20</v>
          </cell>
        </row>
        <row r="1224">
          <cell r="B1224">
            <v>1.4155092592592422E-2</v>
          </cell>
          <cell r="C1224">
            <v>20</v>
          </cell>
        </row>
        <row r="1225">
          <cell r="B1225">
            <v>1.4166666666666496E-2</v>
          </cell>
          <cell r="C1225">
            <v>20</v>
          </cell>
        </row>
        <row r="1226">
          <cell r="B1226">
            <v>1.417824074074057E-2</v>
          </cell>
          <cell r="C1226">
            <v>20</v>
          </cell>
        </row>
        <row r="1227">
          <cell r="B1227">
            <v>1.4189814814814643E-2</v>
          </cell>
          <cell r="C1227">
            <v>20</v>
          </cell>
        </row>
        <row r="1228">
          <cell r="B1228">
            <v>1.4201388888888717E-2</v>
          </cell>
          <cell r="C1228">
            <v>20</v>
          </cell>
        </row>
        <row r="1229">
          <cell r="B1229">
            <v>1.421296296296279E-2</v>
          </cell>
          <cell r="C1229">
            <v>20</v>
          </cell>
        </row>
        <row r="1230">
          <cell r="B1230">
            <v>1.4224537037036864E-2</v>
          </cell>
          <cell r="C1230">
            <v>20</v>
          </cell>
        </row>
        <row r="1231">
          <cell r="B1231">
            <v>1.4236111111110937E-2</v>
          </cell>
          <cell r="C1231">
            <v>20</v>
          </cell>
        </row>
        <row r="1232">
          <cell r="B1232">
            <v>1.4247685185185011E-2</v>
          </cell>
          <cell r="C1232">
            <v>20</v>
          </cell>
        </row>
        <row r="1233">
          <cell r="B1233">
            <v>1.4259259259259085E-2</v>
          </cell>
          <cell r="C1233">
            <v>20</v>
          </cell>
        </row>
        <row r="1234">
          <cell r="B1234">
            <v>1.4270833333333158E-2</v>
          </cell>
          <cell r="C1234">
            <v>20</v>
          </cell>
        </row>
        <row r="1235">
          <cell r="B1235">
            <v>1.4282407407407232E-2</v>
          </cell>
          <cell r="C1235">
            <v>20</v>
          </cell>
        </row>
        <row r="1236">
          <cell r="B1236">
            <v>1.4293981481481305E-2</v>
          </cell>
          <cell r="C1236">
            <v>20</v>
          </cell>
        </row>
        <row r="1237">
          <cell r="B1237">
            <v>1.4305555555555379E-2</v>
          </cell>
          <cell r="C1237">
            <v>20</v>
          </cell>
        </row>
        <row r="1238">
          <cell r="B1238">
            <v>1.4317129629629452E-2</v>
          </cell>
          <cell r="C1238">
            <v>20</v>
          </cell>
        </row>
        <row r="1239">
          <cell r="B1239">
            <v>1.4328703703703526E-2</v>
          </cell>
          <cell r="C1239">
            <v>20</v>
          </cell>
        </row>
        <row r="1240">
          <cell r="B1240">
            <v>1.43402777777776E-2</v>
          </cell>
          <cell r="C1240">
            <v>20</v>
          </cell>
        </row>
        <row r="1241">
          <cell r="B1241">
            <v>1.4351851851851673E-2</v>
          </cell>
          <cell r="C1241">
            <v>20</v>
          </cell>
        </row>
        <row r="1242">
          <cell r="B1242">
            <v>1.4363425925925747E-2</v>
          </cell>
          <cell r="C1242">
            <v>20</v>
          </cell>
        </row>
        <row r="1243">
          <cell r="B1243">
            <v>1.437499999999982E-2</v>
          </cell>
          <cell r="C1243">
            <v>20</v>
          </cell>
        </row>
        <row r="1244">
          <cell r="B1244">
            <v>1.4386574074073894E-2</v>
          </cell>
          <cell r="C1244">
            <v>20</v>
          </cell>
        </row>
        <row r="1245">
          <cell r="B1245">
            <v>1.4398148148147967E-2</v>
          </cell>
          <cell r="C1245">
            <v>20</v>
          </cell>
        </row>
        <row r="1246">
          <cell r="B1246">
            <v>1.4409722222222041E-2</v>
          </cell>
          <cell r="C1246">
            <v>20</v>
          </cell>
        </row>
        <row r="1247">
          <cell r="B1247">
            <v>1.4421296296296114E-2</v>
          </cell>
          <cell r="C1247">
            <v>20</v>
          </cell>
        </row>
        <row r="1248">
          <cell r="B1248">
            <v>1.4432870370370188E-2</v>
          </cell>
          <cell r="C1248">
            <v>20</v>
          </cell>
        </row>
        <row r="1249">
          <cell r="B1249">
            <v>1.4444444444444262E-2</v>
          </cell>
          <cell r="C1249">
            <v>20</v>
          </cell>
        </row>
        <row r="1250">
          <cell r="B1250">
            <v>1.4456018518518335E-2</v>
          </cell>
          <cell r="C1250">
            <v>20</v>
          </cell>
        </row>
        <row r="1251">
          <cell r="B1251">
            <v>1.4467592592592409E-2</v>
          </cell>
          <cell r="C1251">
            <v>20</v>
          </cell>
        </row>
        <row r="1252">
          <cell r="B1252">
            <v>1.4479166666666482E-2</v>
          </cell>
          <cell r="C1252">
            <v>20</v>
          </cell>
        </row>
        <row r="1253">
          <cell r="B1253">
            <v>1.4490740740740556E-2</v>
          </cell>
          <cell r="C1253">
            <v>20</v>
          </cell>
        </row>
        <row r="1254">
          <cell r="B1254">
            <v>1.4502314814814629E-2</v>
          </cell>
          <cell r="C1254">
            <v>20</v>
          </cell>
        </row>
        <row r="1255">
          <cell r="B1255">
            <v>1.4513888888888703E-2</v>
          </cell>
          <cell r="C1255">
            <v>20</v>
          </cell>
        </row>
        <row r="1256">
          <cell r="B1256">
            <v>1.4525462962962777E-2</v>
          </cell>
          <cell r="C1256">
            <v>20</v>
          </cell>
        </row>
        <row r="1257">
          <cell r="B1257">
            <v>1.453703703703685E-2</v>
          </cell>
          <cell r="C1257">
            <v>20</v>
          </cell>
        </row>
        <row r="1258">
          <cell r="B1258">
            <v>1.4548611111110924E-2</v>
          </cell>
          <cell r="C1258">
            <v>20</v>
          </cell>
        </row>
        <row r="1259">
          <cell r="B1259">
            <v>1.4560185185184997E-2</v>
          </cell>
          <cell r="C1259">
            <v>20</v>
          </cell>
        </row>
        <row r="1260">
          <cell r="B1260">
            <v>1.4571759259259071E-2</v>
          </cell>
          <cell r="C1260">
            <v>20</v>
          </cell>
        </row>
        <row r="1261">
          <cell r="B1261">
            <v>1.4583333333333144E-2</v>
          </cell>
          <cell r="C1261">
            <v>21</v>
          </cell>
        </row>
        <row r="1262">
          <cell r="B1262">
            <v>1.4594907407407218E-2</v>
          </cell>
          <cell r="C1262">
            <v>21</v>
          </cell>
        </row>
        <row r="1263">
          <cell r="B1263">
            <v>1.4606481481481292E-2</v>
          </cell>
          <cell r="C1263">
            <v>21</v>
          </cell>
        </row>
        <row r="1264">
          <cell r="B1264">
            <v>1.4618055555555365E-2</v>
          </cell>
          <cell r="C1264">
            <v>21</v>
          </cell>
        </row>
        <row r="1265">
          <cell r="B1265">
            <v>1.4629629629629439E-2</v>
          </cell>
          <cell r="C1265">
            <v>21</v>
          </cell>
        </row>
        <row r="1266">
          <cell r="B1266">
            <v>1.4641203703703512E-2</v>
          </cell>
          <cell r="C1266">
            <v>21</v>
          </cell>
        </row>
        <row r="1267">
          <cell r="B1267">
            <v>1.4652777777777586E-2</v>
          </cell>
          <cell r="C1267">
            <v>21</v>
          </cell>
        </row>
        <row r="1268">
          <cell r="B1268">
            <v>1.4664351851851659E-2</v>
          </cell>
          <cell r="C1268">
            <v>21</v>
          </cell>
        </row>
        <row r="1269">
          <cell r="B1269">
            <v>1.4675925925925733E-2</v>
          </cell>
          <cell r="C1269">
            <v>21</v>
          </cell>
        </row>
        <row r="1270">
          <cell r="B1270">
            <v>1.4687499999999807E-2</v>
          </cell>
          <cell r="C1270">
            <v>21</v>
          </cell>
        </row>
        <row r="1271">
          <cell r="B1271">
            <v>1.469907407407388E-2</v>
          </cell>
          <cell r="C1271">
            <v>21</v>
          </cell>
        </row>
        <row r="1272">
          <cell r="B1272">
            <v>1.4710648148147954E-2</v>
          </cell>
          <cell r="C1272">
            <v>21</v>
          </cell>
        </row>
        <row r="1273">
          <cell r="B1273">
            <v>1.4722222222222027E-2</v>
          </cell>
          <cell r="C1273">
            <v>21</v>
          </cell>
        </row>
        <row r="1274">
          <cell r="B1274">
            <v>1.4733796296296101E-2</v>
          </cell>
          <cell r="C1274">
            <v>21</v>
          </cell>
        </row>
        <row r="1275">
          <cell r="B1275">
            <v>1.4745370370370174E-2</v>
          </cell>
          <cell r="C1275">
            <v>21</v>
          </cell>
        </row>
        <row r="1276">
          <cell r="B1276">
            <v>1.4756944444444248E-2</v>
          </cell>
          <cell r="C1276">
            <v>21</v>
          </cell>
        </row>
        <row r="1277">
          <cell r="B1277">
            <v>1.4768518518518322E-2</v>
          </cell>
          <cell r="C1277">
            <v>21</v>
          </cell>
        </row>
        <row r="1278">
          <cell r="B1278">
            <v>1.4780092592592395E-2</v>
          </cell>
          <cell r="C1278">
            <v>21</v>
          </cell>
        </row>
        <row r="1279">
          <cell r="B1279">
            <v>1.4791666666666469E-2</v>
          </cell>
          <cell r="C1279">
            <v>21</v>
          </cell>
        </row>
        <row r="1280">
          <cell r="B1280">
            <v>1.4803240740740542E-2</v>
          </cell>
          <cell r="C1280">
            <v>21</v>
          </cell>
        </row>
        <row r="1281">
          <cell r="B1281">
            <v>1.4814814814814616E-2</v>
          </cell>
          <cell r="C1281">
            <v>21</v>
          </cell>
        </row>
        <row r="1282">
          <cell r="B1282">
            <v>1.4826388888888689E-2</v>
          </cell>
          <cell r="C1282">
            <v>21</v>
          </cell>
        </row>
        <row r="1283">
          <cell r="B1283">
            <v>1.4837962962962763E-2</v>
          </cell>
          <cell r="C1283">
            <v>21</v>
          </cell>
        </row>
        <row r="1284">
          <cell r="B1284">
            <v>1.4849537037036837E-2</v>
          </cell>
          <cell r="C1284">
            <v>21</v>
          </cell>
        </row>
        <row r="1285">
          <cell r="B1285">
            <v>1.486111111111091E-2</v>
          </cell>
          <cell r="C1285">
            <v>21</v>
          </cell>
        </row>
        <row r="1286">
          <cell r="B1286">
            <v>1.4872685185184984E-2</v>
          </cell>
          <cell r="C1286">
            <v>21</v>
          </cell>
        </row>
        <row r="1287">
          <cell r="B1287">
            <v>1.4884259259259057E-2</v>
          </cell>
          <cell r="C1287">
            <v>21</v>
          </cell>
        </row>
        <row r="1288">
          <cell r="B1288">
            <v>1.4895833333333131E-2</v>
          </cell>
          <cell r="C1288">
            <v>21</v>
          </cell>
        </row>
        <row r="1289">
          <cell r="B1289">
            <v>1.4907407407407204E-2</v>
          </cell>
          <cell r="C1289">
            <v>21</v>
          </cell>
        </row>
        <row r="1290">
          <cell r="B1290">
            <v>1.4918981481481278E-2</v>
          </cell>
          <cell r="C1290">
            <v>21</v>
          </cell>
        </row>
        <row r="1291">
          <cell r="B1291">
            <v>1.4930555555555352E-2</v>
          </cell>
          <cell r="C1291">
            <v>21</v>
          </cell>
        </row>
        <row r="1292">
          <cell r="B1292">
            <v>1.4942129629629425E-2</v>
          </cell>
          <cell r="C1292">
            <v>21</v>
          </cell>
        </row>
        <row r="1293">
          <cell r="B1293">
            <v>1.4953703703703499E-2</v>
          </cell>
          <cell r="C1293">
            <v>21</v>
          </cell>
        </row>
        <row r="1294">
          <cell r="B1294">
            <v>1.4965277777777572E-2</v>
          </cell>
          <cell r="C1294">
            <v>21</v>
          </cell>
        </row>
        <row r="1295">
          <cell r="B1295">
            <v>1.4976851851851646E-2</v>
          </cell>
          <cell r="C1295">
            <v>21</v>
          </cell>
        </row>
        <row r="1296">
          <cell r="B1296">
            <v>1.4988425925925719E-2</v>
          </cell>
          <cell r="C1296">
            <v>21</v>
          </cell>
        </row>
        <row r="1297">
          <cell r="B1297">
            <v>1.4999999999999793E-2</v>
          </cell>
          <cell r="C1297">
            <v>21</v>
          </cell>
        </row>
        <row r="1298">
          <cell r="B1298">
            <v>1.5011574074073867E-2</v>
          </cell>
          <cell r="C1298">
            <v>21</v>
          </cell>
        </row>
        <row r="1299">
          <cell r="B1299">
            <v>1.502314814814794E-2</v>
          </cell>
          <cell r="C1299">
            <v>21</v>
          </cell>
        </row>
        <row r="1300">
          <cell r="B1300">
            <v>1.5034722222222014E-2</v>
          </cell>
          <cell r="C1300">
            <v>21</v>
          </cell>
        </row>
        <row r="1301">
          <cell r="B1301">
            <v>1.5046296296296087E-2</v>
          </cell>
          <cell r="C1301">
            <v>21</v>
          </cell>
        </row>
        <row r="1302">
          <cell r="B1302">
            <v>1.5057870370370161E-2</v>
          </cell>
          <cell r="C1302">
            <v>21</v>
          </cell>
        </row>
        <row r="1303">
          <cell r="B1303">
            <v>1.5069444444444234E-2</v>
          </cell>
          <cell r="C1303">
            <v>21</v>
          </cell>
        </row>
        <row r="1304">
          <cell r="B1304">
            <v>1.5081018518518308E-2</v>
          </cell>
          <cell r="C1304">
            <v>21</v>
          </cell>
        </row>
        <row r="1305">
          <cell r="B1305">
            <v>1.5092592592592382E-2</v>
          </cell>
          <cell r="C1305">
            <v>21</v>
          </cell>
        </row>
        <row r="1306">
          <cell r="B1306">
            <v>1.5104166666666455E-2</v>
          </cell>
          <cell r="C1306">
            <v>21</v>
          </cell>
        </row>
        <row r="1307">
          <cell r="B1307">
            <v>1.5115740740740529E-2</v>
          </cell>
          <cell r="C1307">
            <v>21</v>
          </cell>
        </row>
        <row r="1308">
          <cell r="B1308">
            <v>1.5127314814814602E-2</v>
          </cell>
          <cell r="C1308">
            <v>21</v>
          </cell>
        </row>
        <row r="1309">
          <cell r="B1309">
            <v>1.5138888888888676E-2</v>
          </cell>
          <cell r="C1309">
            <v>21</v>
          </cell>
        </row>
        <row r="1310">
          <cell r="B1310">
            <v>1.5150462962962749E-2</v>
          </cell>
          <cell r="C1310">
            <v>21</v>
          </cell>
        </row>
        <row r="1311">
          <cell r="B1311">
            <v>1.5162037037036823E-2</v>
          </cell>
          <cell r="C1311">
            <v>21</v>
          </cell>
        </row>
        <row r="1312">
          <cell r="B1312">
            <v>1.5173611111110897E-2</v>
          </cell>
          <cell r="C1312">
            <v>21</v>
          </cell>
        </row>
        <row r="1313">
          <cell r="B1313">
            <v>1.518518518518497E-2</v>
          </cell>
          <cell r="C1313">
            <v>21</v>
          </cell>
        </row>
        <row r="1314">
          <cell r="B1314">
            <v>1.5196759259259044E-2</v>
          </cell>
          <cell r="C1314">
            <v>21</v>
          </cell>
        </row>
        <row r="1315">
          <cell r="B1315">
            <v>1.5208333333333117E-2</v>
          </cell>
          <cell r="C1315">
            <v>21</v>
          </cell>
        </row>
        <row r="1316">
          <cell r="B1316">
            <v>1.5219907407407191E-2</v>
          </cell>
          <cell r="C1316">
            <v>21</v>
          </cell>
        </row>
        <row r="1317">
          <cell r="B1317">
            <v>1.5231481481481264E-2</v>
          </cell>
          <cell r="C1317">
            <v>21</v>
          </cell>
        </row>
        <row r="1318">
          <cell r="B1318">
            <v>1.5243055555555338E-2</v>
          </cell>
          <cell r="C1318">
            <v>21</v>
          </cell>
        </row>
        <row r="1319">
          <cell r="B1319">
            <v>1.5254629629629412E-2</v>
          </cell>
          <cell r="C1319">
            <v>21</v>
          </cell>
        </row>
        <row r="1320">
          <cell r="B1320">
            <v>1.5266203703703485E-2</v>
          </cell>
          <cell r="C1320">
            <v>21</v>
          </cell>
        </row>
        <row r="1321">
          <cell r="B1321">
            <v>1.5277777777777559E-2</v>
          </cell>
          <cell r="C1321">
            <v>22</v>
          </cell>
        </row>
        <row r="1322">
          <cell r="B1322">
            <v>1.5289351851851632E-2</v>
          </cell>
          <cell r="C1322">
            <v>22</v>
          </cell>
        </row>
        <row r="1323">
          <cell r="B1323">
            <v>1.5300925925925706E-2</v>
          </cell>
          <cell r="C1323">
            <v>22</v>
          </cell>
        </row>
        <row r="1324">
          <cell r="B1324">
            <v>1.5312499999999779E-2</v>
          </cell>
          <cell r="C1324">
            <v>22</v>
          </cell>
        </row>
        <row r="1325">
          <cell r="B1325">
            <v>1.5324074074073853E-2</v>
          </cell>
          <cell r="C1325">
            <v>22</v>
          </cell>
        </row>
        <row r="1326">
          <cell r="B1326">
            <v>1.5335648148147927E-2</v>
          </cell>
          <cell r="C1326">
            <v>22</v>
          </cell>
        </row>
        <row r="1327">
          <cell r="B1327">
            <v>1.5347222222222E-2</v>
          </cell>
          <cell r="C1327">
            <v>22</v>
          </cell>
        </row>
        <row r="1328">
          <cell r="B1328">
            <v>1.5358796296296074E-2</v>
          </cell>
          <cell r="C1328">
            <v>22</v>
          </cell>
        </row>
        <row r="1329">
          <cell r="B1329">
            <v>1.5370370370370147E-2</v>
          </cell>
          <cell r="C1329">
            <v>22</v>
          </cell>
        </row>
        <row r="1330">
          <cell r="B1330">
            <v>1.5381944444444221E-2</v>
          </cell>
          <cell r="C1330">
            <v>22</v>
          </cell>
        </row>
        <row r="1331">
          <cell r="B1331">
            <v>1.5393518518518294E-2</v>
          </cell>
          <cell r="C1331">
            <v>22</v>
          </cell>
        </row>
        <row r="1332">
          <cell r="B1332">
            <v>1.5405092592592368E-2</v>
          </cell>
          <cell r="C1332">
            <v>22</v>
          </cell>
        </row>
        <row r="1333">
          <cell r="B1333">
            <v>1.5416666666666442E-2</v>
          </cell>
          <cell r="C1333">
            <v>22</v>
          </cell>
        </row>
        <row r="1334">
          <cell r="B1334">
            <v>1.5428240740740515E-2</v>
          </cell>
          <cell r="C1334">
            <v>22</v>
          </cell>
        </row>
        <row r="1335">
          <cell r="B1335">
            <v>1.5439814814814589E-2</v>
          </cell>
          <cell r="C1335">
            <v>22</v>
          </cell>
        </row>
        <row r="1336">
          <cell r="B1336">
            <v>1.5451388888888662E-2</v>
          </cell>
          <cell r="C1336">
            <v>22</v>
          </cell>
        </row>
        <row r="1337">
          <cell r="B1337">
            <v>1.5462962962962736E-2</v>
          </cell>
          <cell r="C1337">
            <v>22</v>
          </cell>
        </row>
        <row r="1338">
          <cell r="B1338">
            <v>1.5474537037036809E-2</v>
          </cell>
          <cell r="C1338">
            <v>22</v>
          </cell>
        </row>
        <row r="1339">
          <cell r="B1339">
            <v>1.5486111111110883E-2</v>
          </cell>
          <cell r="C1339">
            <v>22</v>
          </cell>
        </row>
        <row r="1340">
          <cell r="B1340">
            <v>1.5497685185184957E-2</v>
          </cell>
          <cell r="C1340">
            <v>22</v>
          </cell>
        </row>
        <row r="1341">
          <cell r="B1341">
            <v>1.550925925925903E-2</v>
          </cell>
          <cell r="C1341">
            <v>22</v>
          </cell>
        </row>
        <row r="1342">
          <cell r="B1342">
            <v>1.5520833333333104E-2</v>
          </cell>
          <cell r="C1342">
            <v>22</v>
          </cell>
        </row>
        <row r="1343">
          <cell r="B1343">
            <v>1.5532407407407177E-2</v>
          </cell>
          <cell r="C1343">
            <v>22</v>
          </cell>
        </row>
        <row r="1344">
          <cell r="B1344">
            <v>1.5543981481481251E-2</v>
          </cell>
          <cell r="C1344">
            <v>22</v>
          </cell>
        </row>
        <row r="1345">
          <cell r="B1345">
            <v>1.5555555555555324E-2</v>
          </cell>
          <cell r="C1345">
            <v>22</v>
          </cell>
        </row>
        <row r="1346">
          <cell r="B1346">
            <v>1.5567129629629398E-2</v>
          </cell>
          <cell r="C1346">
            <v>22</v>
          </cell>
        </row>
        <row r="1347">
          <cell r="B1347">
            <v>1.5578703703703472E-2</v>
          </cell>
          <cell r="C1347">
            <v>22</v>
          </cell>
        </row>
        <row r="1348">
          <cell r="B1348">
            <v>1.5590277777777545E-2</v>
          </cell>
          <cell r="C1348">
            <v>22</v>
          </cell>
        </row>
        <row r="1349">
          <cell r="B1349">
            <v>1.5601851851851619E-2</v>
          </cell>
          <cell r="C1349">
            <v>22</v>
          </cell>
        </row>
        <row r="1350">
          <cell r="B1350">
            <v>1.5613425925925692E-2</v>
          </cell>
          <cell r="C1350">
            <v>22</v>
          </cell>
        </row>
        <row r="1351">
          <cell r="B1351">
            <v>1.5624999999999766E-2</v>
          </cell>
          <cell r="C1351">
            <v>22</v>
          </cell>
        </row>
        <row r="1352">
          <cell r="B1352">
            <v>1.5636574074073841E-2</v>
          </cell>
          <cell r="C1352">
            <v>22</v>
          </cell>
        </row>
        <row r="1353">
          <cell r="B1353">
            <v>1.5648148148147915E-2</v>
          </cell>
          <cell r="C1353">
            <v>22</v>
          </cell>
        </row>
        <row r="1354">
          <cell r="B1354">
            <v>1.5659722222221988E-2</v>
          </cell>
          <cell r="C1354">
            <v>22</v>
          </cell>
        </row>
        <row r="1355">
          <cell r="B1355">
            <v>1.5671296296296062E-2</v>
          </cell>
          <cell r="C1355">
            <v>22</v>
          </cell>
        </row>
        <row r="1356">
          <cell r="B1356">
            <v>1.5682870370370135E-2</v>
          </cell>
          <cell r="C1356">
            <v>22</v>
          </cell>
        </row>
        <row r="1357">
          <cell r="B1357">
            <v>1.5694444444444209E-2</v>
          </cell>
          <cell r="C1357">
            <v>22</v>
          </cell>
        </row>
        <row r="1358">
          <cell r="B1358">
            <v>1.5706018518518283E-2</v>
          </cell>
          <cell r="C1358">
            <v>22</v>
          </cell>
        </row>
        <row r="1359">
          <cell r="B1359">
            <v>1.5717592592592356E-2</v>
          </cell>
          <cell r="C1359">
            <v>22</v>
          </cell>
        </row>
        <row r="1360">
          <cell r="B1360">
            <v>1.572916666666643E-2</v>
          </cell>
          <cell r="C1360">
            <v>22</v>
          </cell>
        </row>
        <row r="1361">
          <cell r="B1361">
            <v>1.5740740740740503E-2</v>
          </cell>
          <cell r="C1361">
            <v>22</v>
          </cell>
        </row>
        <row r="1362">
          <cell r="B1362">
            <v>1.5752314814814577E-2</v>
          </cell>
          <cell r="C1362">
            <v>22</v>
          </cell>
        </row>
        <row r="1363">
          <cell r="B1363">
            <v>1.576388888888865E-2</v>
          </cell>
          <cell r="C1363">
            <v>22</v>
          </cell>
        </row>
        <row r="1364">
          <cell r="B1364">
            <v>1.5775462962962724E-2</v>
          </cell>
          <cell r="C1364">
            <v>22</v>
          </cell>
        </row>
        <row r="1365">
          <cell r="B1365">
            <v>1.5787037037036798E-2</v>
          </cell>
          <cell r="C1365">
            <v>22</v>
          </cell>
        </row>
        <row r="1366">
          <cell r="B1366">
            <v>1.5798611111110871E-2</v>
          </cell>
          <cell r="C1366">
            <v>22</v>
          </cell>
        </row>
        <row r="1367">
          <cell r="B1367">
            <v>1.5810185185184945E-2</v>
          </cell>
          <cell r="C1367">
            <v>22</v>
          </cell>
        </row>
        <row r="1368">
          <cell r="B1368">
            <v>1.5821759259259018E-2</v>
          </cell>
          <cell r="C1368">
            <v>22</v>
          </cell>
        </row>
        <row r="1369">
          <cell r="B1369">
            <v>1.5833333333333092E-2</v>
          </cell>
          <cell r="C1369">
            <v>22</v>
          </cell>
        </row>
        <row r="1370">
          <cell r="B1370">
            <v>1.5844907407407165E-2</v>
          </cell>
          <cell r="C1370">
            <v>22</v>
          </cell>
        </row>
        <row r="1371">
          <cell r="B1371">
            <v>1.5856481481481239E-2</v>
          </cell>
          <cell r="C1371">
            <v>22</v>
          </cell>
        </row>
        <row r="1372">
          <cell r="B1372">
            <v>1.5868055555555313E-2</v>
          </cell>
          <cell r="C1372">
            <v>22</v>
          </cell>
        </row>
        <row r="1373">
          <cell r="B1373">
            <v>1.5879629629629386E-2</v>
          </cell>
          <cell r="C1373">
            <v>22</v>
          </cell>
        </row>
        <row r="1374">
          <cell r="B1374">
            <v>1.589120370370346E-2</v>
          </cell>
          <cell r="C1374">
            <v>22</v>
          </cell>
        </row>
        <row r="1375">
          <cell r="B1375">
            <v>1.5902777777777533E-2</v>
          </cell>
          <cell r="C1375">
            <v>22</v>
          </cell>
        </row>
        <row r="1376">
          <cell r="B1376">
            <v>1.5914351851851607E-2</v>
          </cell>
          <cell r="C1376">
            <v>22</v>
          </cell>
        </row>
        <row r="1377">
          <cell r="B1377">
            <v>1.592592592592568E-2</v>
          </cell>
          <cell r="C1377">
            <v>22</v>
          </cell>
        </row>
        <row r="1378">
          <cell r="B1378">
            <v>1.5937499999999754E-2</v>
          </cell>
          <cell r="C1378">
            <v>22</v>
          </cell>
        </row>
        <row r="1379">
          <cell r="B1379">
            <v>1.5949074074073828E-2</v>
          </cell>
          <cell r="C1379">
            <v>22</v>
          </cell>
        </row>
        <row r="1380">
          <cell r="B1380">
            <v>1.5960648148147901E-2</v>
          </cell>
          <cell r="C1380">
            <v>22</v>
          </cell>
        </row>
        <row r="1381">
          <cell r="B1381">
            <v>1.5972222222221975E-2</v>
          </cell>
          <cell r="C1381">
            <v>23</v>
          </cell>
        </row>
        <row r="1382">
          <cell r="B1382">
            <v>1.5983796296296048E-2</v>
          </cell>
          <cell r="C1382">
            <v>23</v>
          </cell>
        </row>
        <row r="1383">
          <cell r="B1383">
            <v>1.5995370370370122E-2</v>
          </cell>
          <cell r="C1383">
            <v>23</v>
          </cell>
        </row>
        <row r="1384">
          <cell r="B1384">
            <v>1.6006944444444195E-2</v>
          </cell>
          <cell r="C1384">
            <v>23</v>
          </cell>
        </row>
        <row r="1385">
          <cell r="B1385">
            <v>1.6018518518518269E-2</v>
          </cell>
          <cell r="C1385">
            <v>23</v>
          </cell>
        </row>
        <row r="1386">
          <cell r="B1386">
            <v>1.6030092592592343E-2</v>
          </cell>
          <cell r="C1386">
            <v>23</v>
          </cell>
        </row>
        <row r="1387">
          <cell r="B1387">
            <v>1.6041666666666416E-2</v>
          </cell>
          <cell r="C1387">
            <v>23</v>
          </cell>
        </row>
        <row r="1388">
          <cell r="B1388">
            <v>1.605324074074049E-2</v>
          </cell>
          <cell r="C1388">
            <v>23</v>
          </cell>
        </row>
        <row r="1389">
          <cell r="B1389">
            <v>1.6064814814814563E-2</v>
          </cell>
          <cell r="C1389">
            <v>23</v>
          </cell>
        </row>
        <row r="1390">
          <cell r="B1390">
            <v>1.6076388888888637E-2</v>
          </cell>
          <cell r="C1390">
            <v>23</v>
          </cell>
        </row>
        <row r="1391">
          <cell r="B1391">
            <v>1.608796296296271E-2</v>
          </cell>
          <cell r="C1391">
            <v>23</v>
          </cell>
        </row>
        <row r="1392">
          <cell r="B1392">
            <v>1.6099537037036784E-2</v>
          </cell>
          <cell r="C1392">
            <v>23</v>
          </cell>
        </row>
        <row r="1393">
          <cell r="B1393">
            <v>1.6111111111110858E-2</v>
          </cell>
          <cell r="C1393">
            <v>23</v>
          </cell>
        </row>
        <row r="1394">
          <cell r="B1394">
            <v>1.6122685185184931E-2</v>
          </cell>
          <cell r="C1394">
            <v>23</v>
          </cell>
        </row>
        <row r="1395">
          <cell r="B1395">
            <v>1.6134259259259005E-2</v>
          </cell>
          <cell r="C1395">
            <v>23</v>
          </cell>
        </row>
        <row r="1396">
          <cell r="B1396">
            <v>1.6145833333333078E-2</v>
          </cell>
          <cell r="C1396">
            <v>23</v>
          </cell>
        </row>
        <row r="1397">
          <cell r="B1397">
            <v>1.6157407407407152E-2</v>
          </cell>
          <cell r="C1397">
            <v>23</v>
          </cell>
        </row>
        <row r="1398">
          <cell r="B1398">
            <v>1.6168981481481225E-2</v>
          </cell>
          <cell r="C1398">
            <v>23</v>
          </cell>
        </row>
        <row r="1399">
          <cell r="B1399">
            <v>1.6180555555555299E-2</v>
          </cell>
          <cell r="C1399">
            <v>23</v>
          </cell>
        </row>
        <row r="1400">
          <cell r="B1400">
            <v>1.6192129629629372E-2</v>
          </cell>
          <cell r="C1400">
            <v>23</v>
          </cell>
        </row>
        <row r="1401">
          <cell r="B1401">
            <v>1.6203703703703446E-2</v>
          </cell>
          <cell r="C1401">
            <v>23</v>
          </cell>
        </row>
        <row r="1402">
          <cell r="B1402">
            <v>1.621527777777752E-2</v>
          </cell>
          <cell r="C1402">
            <v>23</v>
          </cell>
        </row>
        <row r="1403">
          <cell r="B1403">
            <v>1.6226851851851593E-2</v>
          </cell>
          <cell r="C1403">
            <v>23</v>
          </cell>
        </row>
        <row r="1404">
          <cell r="B1404">
            <v>1.6238425925925667E-2</v>
          </cell>
          <cell r="C1404">
            <v>23</v>
          </cell>
        </row>
        <row r="1405">
          <cell r="B1405">
            <v>1.624999999999974E-2</v>
          </cell>
          <cell r="C1405">
            <v>23</v>
          </cell>
        </row>
        <row r="1406">
          <cell r="B1406">
            <v>1.6261574074073814E-2</v>
          </cell>
          <cell r="C1406">
            <v>23</v>
          </cell>
        </row>
        <row r="1407">
          <cell r="B1407">
            <v>1.6273148148147887E-2</v>
          </cell>
          <cell r="C1407">
            <v>23</v>
          </cell>
        </row>
        <row r="1408">
          <cell r="B1408">
            <v>1.6284722222221961E-2</v>
          </cell>
          <cell r="C1408">
            <v>23</v>
          </cell>
        </row>
        <row r="1409">
          <cell r="B1409">
            <v>1.6296296296296035E-2</v>
          </cell>
          <cell r="C1409">
            <v>23</v>
          </cell>
        </row>
        <row r="1410">
          <cell r="B1410">
            <v>1.6307870370370108E-2</v>
          </cell>
          <cell r="C1410">
            <v>23</v>
          </cell>
        </row>
        <row r="1411">
          <cell r="B1411">
            <v>1.6319444444444182E-2</v>
          </cell>
          <cell r="C1411">
            <v>23</v>
          </cell>
        </row>
        <row r="1412">
          <cell r="B1412">
            <v>1.6331018518518255E-2</v>
          </cell>
          <cell r="C1412">
            <v>23</v>
          </cell>
        </row>
        <row r="1413">
          <cell r="B1413">
            <v>1.6342592592592329E-2</v>
          </cell>
          <cell r="C1413">
            <v>23</v>
          </cell>
        </row>
        <row r="1414">
          <cell r="B1414">
            <v>1.6354166666666402E-2</v>
          </cell>
          <cell r="C1414">
            <v>23</v>
          </cell>
        </row>
        <row r="1415">
          <cell r="B1415">
            <v>1.6365740740740476E-2</v>
          </cell>
          <cell r="C1415">
            <v>23</v>
          </cell>
        </row>
        <row r="1416">
          <cell r="B1416">
            <v>1.637731481481455E-2</v>
          </cell>
          <cell r="C1416">
            <v>23</v>
          </cell>
        </row>
        <row r="1417">
          <cell r="B1417">
            <v>1.6388888888888623E-2</v>
          </cell>
          <cell r="C1417">
            <v>23</v>
          </cell>
        </row>
        <row r="1418">
          <cell r="B1418">
            <v>1.6400462962962697E-2</v>
          </cell>
          <cell r="C1418">
            <v>23</v>
          </cell>
        </row>
        <row r="1419">
          <cell r="B1419">
            <v>1.641203703703677E-2</v>
          </cell>
          <cell r="C1419">
            <v>23</v>
          </cell>
        </row>
        <row r="1420">
          <cell r="B1420">
            <v>1.6423611111110844E-2</v>
          </cell>
          <cell r="C1420">
            <v>23</v>
          </cell>
        </row>
        <row r="1421">
          <cell r="B1421">
            <v>1.6435185185184917E-2</v>
          </cell>
          <cell r="C1421">
            <v>23</v>
          </cell>
        </row>
        <row r="1422">
          <cell r="B1422">
            <v>1.6446759259258991E-2</v>
          </cell>
          <cell r="C1422">
            <v>23</v>
          </cell>
        </row>
        <row r="1423">
          <cell r="B1423">
            <v>1.6458333333333065E-2</v>
          </cell>
          <cell r="C1423">
            <v>23</v>
          </cell>
        </row>
        <row r="1424">
          <cell r="B1424">
            <v>1.6469907407407138E-2</v>
          </cell>
          <cell r="C1424">
            <v>23</v>
          </cell>
        </row>
        <row r="1425">
          <cell r="B1425">
            <v>1.6481481481481212E-2</v>
          </cell>
          <cell r="C1425">
            <v>23</v>
          </cell>
        </row>
        <row r="1426">
          <cell r="B1426">
            <v>1.6493055555555285E-2</v>
          </cell>
          <cell r="C1426">
            <v>23</v>
          </cell>
        </row>
        <row r="1427">
          <cell r="B1427">
            <v>1.6504629629629359E-2</v>
          </cell>
          <cell r="C1427">
            <v>23</v>
          </cell>
        </row>
        <row r="1428">
          <cell r="B1428">
            <v>1.6516203703703432E-2</v>
          </cell>
          <cell r="C1428">
            <v>23</v>
          </cell>
        </row>
        <row r="1429">
          <cell r="B1429">
            <v>1.6527777777777506E-2</v>
          </cell>
          <cell r="C1429">
            <v>23</v>
          </cell>
        </row>
        <row r="1430">
          <cell r="B1430">
            <v>1.653935185185158E-2</v>
          </cell>
          <cell r="C1430">
            <v>23</v>
          </cell>
        </row>
        <row r="1431">
          <cell r="B1431">
            <v>1.6550925925925653E-2</v>
          </cell>
          <cell r="C1431">
            <v>23</v>
          </cell>
        </row>
        <row r="1432">
          <cell r="B1432">
            <v>1.6562499999999727E-2</v>
          </cell>
          <cell r="C1432">
            <v>23</v>
          </cell>
        </row>
        <row r="1433">
          <cell r="B1433">
            <v>1.65740740740738E-2</v>
          </cell>
          <cell r="C1433">
            <v>23</v>
          </cell>
        </row>
        <row r="1434">
          <cell r="B1434">
            <v>1.6585648148147874E-2</v>
          </cell>
          <cell r="C1434">
            <v>23</v>
          </cell>
        </row>
        <row r="1435">
          <cell r="B1435">
            <v>1.6597222222221947E-2</v>
          </cell>
          <cell r="C1435">
            <v>23</v>
          </cell>
        </row>
        <row r="1436">
          <cell r="B1436">
            <v>1.6608796296296021E-2</v>
          </cell>
          <cell r="C1436">
            <v>23</v>
          </cell>
        </row>
        <row r="1437">
          <cell r="B1437">
            <v>1.6620370370370095E-2</v>
          </cell>
          <cell r="C1437">
            <v>23</v>
          </cell>
        </row>
        <row r="1438">
          <cell r="B1438">
            <v>1.6631944444444168E-2</v>
          </cell>
          <cell r="C1438">
            <v>23</v>
          </cell>
        </row>
        <row r="1439">
          <cell r="B1439">
            <v>1.6643518518518242E-2</v>
          </cell>
          <cell r="C1439">
            <v>23</v>
          </cell>
        </row>
        <row r="1440">
          <cell r="B1440">
            <v>1.6655092592592315E-2</v>
          </cell>
          <cell r="C1440">
            <v>23</v>
          </cell>
        </row>
        <row r="1441">
          <cell r="B1441">
            <v>1.6666666666666389E-2</v>
          </cell>
          <cell r="C1441">
            <v>24</v>
          </cell>
        </row>
        <row r="1442">
          <cell r="B1442">
            <v>1.6678240740740462E-2</v>
          </cell>
          <cell r="C1442">
            <v>24</v>
          </cell>
        </row>
        <row r="1443">
          <cell r="B1443">
            <v>1.6689814814814536E-2</v>
          </cell>
          <cell r="C1443">
            <v>24</v>
          </cell>
        </row>
        <row r="1444">
          <cell r="B1444">
            <v>1.670138888888861E-2</v>
          </cell>
          <cell r="C1444">
            <v>24</v>
          </cell>
        </row>
        <row r="1445">
          <cell r="B1445">
            <v>1.6712962962962683E-2</v>
          </cell>
          <cell r="C1445">
            <v>24</v>
          </cell>
        </row>
        <row r="1446">
          <cell r="B1446">
            <v>1.6724537037036757E-2</v>
          </cell>
          <cell r="C1446">
            <v>24</v>
          </cell>
        </row>
        <row r="1447">
          <cell r="B1447">
            <v>1.673611111111083E-2</v>
          </cell>
          <cell r="C1447">
            <v>24</v>
          </cell>
        </row>
        <row r="1448">
          <cell r="B1448">
            <v>1.6747685185184904E-2</v>
          </cell>
          <cell r="C1448">
            <v>24</v>
          </cell>
        </row>
        <row r="1449">
          <cell r="B1449">
            <v>1.6759259259258977E-2</v>
          </cell>
          <cell r="C1449">
            <v>24</v>
          </cell>
        </row>
        <row r="1450">
          <cell r="B1450">
            <v>1.6770833333333051E-2</v>
          </cell>
          <cell r="C1450">
            <v>24</v>
          </cell>
        </row>
        <row r="1451">
          <cell r="B1451">
            <v>1.6782407407407125E-2</v>
          </cell>
          <cell r="C1451">
            <v>24</v>
          </cell>
        </row>
        <row r="1452">
          <cell r="B1452">
            <v>1.6793981481481198E-2</v>
          </cell>
          <cell r="C1452">
            <v>24</v>
          </cell>
        </row>
        <row r="1453">
          <cell r="B1453">
            <v>1.6805555555555272E-2</v>
          </cell>
          <cell r="C1453">
            <v>24</v>
          </cell>
        </row>
        <row r="1454">
          <cell r="B1454">
            <v>1.6817129629629345E-2</v>
          </cell>
          <cell r="C1454">
            <v>24</v>
          </cell>
        </row>
        <row r="1455">
          <cell r="B1455">
            <v>1.6828703703703419E-2</v>
          </cell>
          <cell r="C1455">
            <v>24</v>
          </cell>
        </row>
        <row r="1456">
          <cell r="B1456">
            <v>1.6840277777777492E-2</v>
          </cell>
          <cell r="C1456">
            <v>24</v>
          </cell>
        </row>
        <row r="1457">
          <cell r="B1457">
            <v>1.6851851851851566E-2</v>
          </cell>
          <cell r="C1457">
            <v>24</v>
          </cell>
        </row>
        <row r="1458">
          <cell r="B1458">
            <v>1.686342592592564E-2</v>
          </cell>
          <cell r="C1458">
            <v>24</v>
          </cell>
        </row>
        <row r="1459">
          <cell r="B1459">
            <v>1.6874999999999713E-2</v>
          </cell>
          <cell r="C1459">
            <v>24</v>
          </cell>
        </row>
        <row r="1460">
          <cell r="B1460">
            <v>1.6886574074073787E-2</v>
          </cell>
          <cell r="C1460">
            <v>24</v>
          </cell>
        </row>
        <row r="1461">
          <cell r="B1461">
            <v>1.689814814814786E-2</v>
          </cell>
          <cell r="C1461">
            <v>24</v>
          </cell>
        </row>
        <row r="1462">
          <cell r="B1462">
            <v>1.6909722222221934E-2</v>
          </cell>
          <cell r="C1462">
            <v>24</v>
          </cell>
        </row>
        <row r="1463">
          <cell r="B1463">
            <v>1.6921296296296007E-2</v>
          </cell>
          <cell r="C1463">
            <v>24</v>
          </cell>
        </row>
        <row r="1464">
          <cell r="B1464">
            <v>1.6932870370370081E-2</v>
          </cell>
          <cell r="C1464">
            <v>24</v>
          </cell>
        </row>
        <row r="1465">
          <cell r="B1465">
            <v>1.6944444444444155E-2</v>
          </cell>
          <cell r="C1465">
            <v>24</v>
          </cell>
        </row>
        <row r="1466">
          <cell r="B1466">
            <v>1.6956018518518228E-2</v>
          </cell>
          <cell r="C1466">
            <v>24</v>
          </cell>
        </row>
        <row r="1467">
          <cell r="B1467">
            <v>1.6967592592592302E-2</v>
          </cell>
          <cell r="C1467">
            <v>24</v>
          </cell>
        </row>
        <row r="1468">
          <cell r="B1468">
            <v>1.6979166666666375E-2</v>
          </cell>
          <cell r="C1468">
            <v>24</v>
          </cell>
        </row>
        <row r="1469">
          <cell r="B1469">
            <v>1.6990740740740449E-2</v>
          </cell>
          <cell r="C1469">
            <v>24</v>
          </cell>
        </row>
        <row r="1470">
          <cell r="B1470">
            <v>1.7002314814814522E-2</v>
          </cell>
          <cell r="C1470">
            <v>24</v>
          </cell>
        </row>
        <row r="1471">
          <cell r="B1471">
            <v>1.7013888888888596E-2</v>
          </cell>
          <cell r="C1471">
            <v>24</v>
          </cell>
        </row>
        <row r="1472">
          <cell r="B1472">
            <v>1.702546296296267E-2</v>
          </cell>
          <cell r="C1472">
            <v>24</v>
          </cell>
        </row>
        <row r="1473">
          <cell r="B1473">
            <v>1.7037037037036743E-2</v>
          </cell>
          <cell r="C1473">
            <v>24</v>
          </cell>
        </row>
        <row r="1474">
          <cell r="B1474">
            <v>1.7048611111110817E-2</v>
          </cell>
          <cell r="C1474">
            <v>24</v>
          </cell>
        </row>
        <row r="1475">
          <cell r="B1475">
            <v>1.706018518518489E-2</v>
          </cell>
          <cell r="C1475">
            <v>24</v>
          </cell>
        </row>
        <row r="1476">
          <cell r="B1476">
            <v>1.7071759259258964E-2</v>
          </cell>
          <cell r="C1476">
            <v>24</v>
          </cell>
        </row>
        <row r="1477">
          <cell r="B1477">
            <v>1.7083333333333037E-2</v>
          </cell>
          <cell r="C1477">
            <v>24</v>
          </cell>
        </row>
        <row r="1478">
          <cell r="B1478">
            <v>1.7094907407407111E-2</v>
          </cell>
          <cell r="C1478">
            <v>24</v>
          </cell>
        </row>
        <row r="1479">
          <cell r="B1479">
            <v>1.7106481481481185E-2</v>
          </cell>
          <cell r="C1479">
            <v>24</v>
          </cell>
        </row>
        <row r="1480">
          <cell r="B1480">
            <v>1.7118055555555258E-2</v>
          </cell>
          <cell r="C1480">
            <v>24</v>
          </cell>
        </row>
        <row r="1481">
          <cell r="B1481">
            <v>1.7129629629629332E-2</v>
          </cell>
          <cell r="C1481">
            <v>24</v>
          </cell>
        </row>
        <row r="1482">
          <cell r="B1482">
            <v>1.7141203703703405E-2</v>
          </cell>
          <cell r="C1482">
            <v>24</v>
          </cell>
        </row>
        <row r="1483">
          <cell r="B1483">
            <v>1.7152777777777479E-2</v>
          </cell>
          <cell r="C1483">
            <v>24</v>
          </cell>
        </row>
        <row r="1484">
          <cell r="B1484">
            <v>1.7164351851851552E-2</v>
          </cell>
          <cell r="C1484">
            <v>24</v>
          </cell>
        </row>
        <row r="1485">
          <cell r="B1485">
            <v>1.7175925925925626E-2</v>
          </cell>
          <cell r="C1485">
            <v>24</v>
          </cell>
        </row>
        <row r="1486">
          <cell r="B1486">
            <v>1.71874999999997E-2</v>
          </cell>
          <cell r="C1486">
            <v>24</v>
          </cell>
        </row>
        <row r="1487">
          <cell r="B1487">
            <v>1.7199074074073773E-2</v>
          </cell>
          <cell r="C1487">
            <v>24</v>
          </cell>
        </row>
        <row r="1488">
          <cell r="B1488">
            <v>1.7210648148147847E-2</v>
          </cell>
          <cell r="C1488">
            <v>24</v>
          </cell>
        </row>
        <row r="1489">
          <cell r="B1489">
            <v>1.722222222222192E-2</v>
          </cell>
          <cell r="C1489">
            <v>24</v>
          </cell>
        </row>
        <row r="1490">
          <cell r="B1490">
            <v>1.7233796296295994E-2</v>
          </cell>
          <cell r="C1490">
            <v>24</v>
          </cell>
        </row>
        <row r="1491">
          <cell r="B1491">
            <v>1.7245370370370067E-2</v>
          </cell>
          <cell r="C1491">
            <v>24</v>
          </cell>
        </row>
        <row r="1492">
          <cell r="B1492">
            <v>1.7256944444444141E-2</v>
          </cell>
          <cell r="C1492">
            <v>24</v>
          </cell>
        </row>
        <row r="1493">
          <cell r="B1493">
            <v>1.7268518518518215E-2</v>
          </cell>
          <cell r="C1493">
            <v>24</v>
          </cell>
        </row>
        <row r="1494">
          <cell r="B1494">
            <v>1.7280092592592288E-2</v>
          </cell>
          <cell r="C1494">
            <v>24</v>
          </cell>
        </row>
        <row r="1495">
          <cell r="B1495">
            <v>1.7291666666666362E-2</v>
          </cell>
          <cell r="C1495">
            <v>24</v>
          </cell>
        </row>
        <row r="1496">
          <cell r="B1496">
            <v>1.7303240740740435E-2</v>
          </cell>
          <cell r="C1496">
            <v>24</v>
          </cell>
        </row>
        <row r="1497">
          <cell r="B1497">
            <v>1.7314814814814509E-2</v>
          </cell>
          <cell r="C1497">
            <v>24</v>
          </cell>
        </row>
        <row r="1498">
          <cell r="B1498">
            <v>1.7326388888888582E-2</v>
          </cell>
          <cell r="C1498">
            <v>24</v>
          </cell>
        </row>
        <row r="1499">
          <cell r="B1499">
            <v>1.7337962962962656E-2</v>
          </cell>
          <cell r="C1499">
            <v>24</v>
          </cell>
        </row>
        <row r="1500">
          <cell r="B1500">
            <v>1.734953703703673E-2</v>
          </cell>
          <cell r="C1500">
            <v>24</v>
          </cell>
        </row>
        <row r="1501">
          <cell r="B1501">
            <v>1.7361111111110803E-2</v>
          </cell>
          <cell r="C1501">
            <v>25</v>
          </cell>
        </row>
        <row r="1502">
          <cell r="B1502">
            <v>1.7372685185184877E-2</v>
          </cell>
          <cell r="C1502">
            <v>25</v>
          </cell>
        </row>
        <row r="1503">
          <cell r="B1503">
            <v>1.738425925925895E-2</v>
          </cell>
          <cell r="C1503">
            <v>25</v>
          </cell>
        </row>
        <row r="1504">
          <cell r="B1504">
            <v>1.7395833333333024E-2</v>
          </cell>
          <cell r="C1504">
            <v>25</v>
          </cell>
        </row>
        <row r="1505">
          <cell r="B1505">
            <v>1.7407407407407097E-2</v>
          </cell>
          <cell r="C1505">
            <v>25</v>
          </cell>
        </row>
        <row r="1506">
          <cell r="B1506">
            <v>1.7418981481481171E-2</v>
          </cell>
          <cell r="C1506">
            <v>25</v>
          </cell>
        </row>
        <row r="1507">
          <cell r="B1507">
            <v>1.7430555555555245E-2</v>
          </cell>
          <cell r="C1507">
            <v>25</v>
          </cell>
        </row>
        <row r="1508">
          <cell r="B1508">
            <v>1.7442129629629318E-2</v>
          </cell>
          <cell r="C1508">
            <v>25</v>
          </cell>
        </row>
        <row r="1509">
          <cell r="B1509">
            <v>1.7453703703703392E-2</v>
          </cell>
          <cell r="C1509">
            <v>25</v>
          </cell>
        </row>
        <row r="1510">
          <cell r="B1510">
            <v>1.7465277777777465E-2</v>
          </cell>
          <cell r="C1510">
            <v>25</v>
          </cell>
        </row>
        <row r="1511">
          <cell r="B1511">
            <v>1.7476851851851539E-2</v>
          </cell>
          <cell r="C1511">
            <v>25</v>
          </cell>
        </row>
        <row r="1512">
          <cell r="B1512">
            <v>1.7488425925925612E-2</v>
          </cell>
          <cell r="C1512">
            <v>25</v>
          </cell>
        </row>
        <row r="1513">
          <cell r="B1513">
            <v>1.7499999999999686E-2</v>
          </cell>
          <cell r="C1513">
            <v>25</v>
          </cell>
        </row>
        <row r="1514">
          <cell r="B1514">
            <v>1.751157407407376E-2</v>
          </cell>
          <cell r="C1514">
            <v>25</v>
          </cell>
        </row>
        <row r="1515">
          <cell r="B1515">
            <v>1.7523148148147833E-2</v>
          </cell>
          <cell r="C1515">
            <v>25</v>
          </cell>
        </row>
        <row r="1516">
          <cell r="B1516">
            <v>1.7534722222221907E-2</v>
          </cell>
          <cell r="C1516">
            <v>25</v>
          </cell>
        </row>
        <row r="1517">
          <cell r="B1517">
            <v>1.754629629629598E-2</v>
          </cell>
          <cell r="C1517">
            <v>25</v>
          </cell>
        </row>
        <row r="1518">
          <cell r="B1518">
            <v>1.7557870370370054E-2</v>
          </cell>
          <cell r="C1518">
            <v>25</v>
          </cell>
        </row>
        <row r="1519">
          <cell r="B1519">
            <v>1.7569444444444127E-2</v>
          </cell>
          <cell r="C1519">
            <v>25</v>
          </cell>
        </row>
        <row r="1520">
          <cell r="B1520">
            <v>1.7581018518518201E-2</v>
          </cell>
          <cell r="C1520">
            <v>25</v>
          </cell>
        </row>
        <row r="1521">
          <cell r="B1521">
            <v>1.7592592592592275E-2</v>
          </cell>
          <cell r="C1521">
            <v>25</v>
          </cell>
        </row>
        <row r="1522">
          <cell r="B1522">
            <v>1.7604166666666348E-2</v>
          </cell>
          <cell r="C1522">
            <v>25</v>
          </cell>
        </row>
        <row r="1523">
          <cell r="B1523">
            <v>1.7615740740740422E-2</v>
          </cell>
          <cell r="C1523">
            <v>25</v>
          </cell>
        </row>
        <row r="1524">
          <cell r="B1524">
            <v>1.7627314814814495E-2</v>
          </cell>
          <cell r="C1524">
            <v>25</v>
          </cell>
        </row>
        <row r="1525">
          <cell r="B1525">
            <v>1.7638888888888569E-2</v>
          </cell>
          <cell r="C1525">
            <v>25</v>
          </cell>
        </row>
        <row r="1526">
          <cell r="B1526">
            <v>1.7650462962962642E-2</v>
          </cell>
          <cell r="C1526">
            <v>25</v>
          </cell>
        </row>
        <row r="1527">
          <cell r="B1527">
            <v>1.7662037037036716E-2</v>
          </cell>
          <cell r="C1527">
            <v>25</v>
          </cell>
        </row>
        <row r="1528">
          <cell r="B1528">
            <v>1.767361111111079E-2</v>
          </cell>
          <cell r="C1528">
            <v>25</v>
          </cell>
        </row>
        <row r="1529">
          <cell r="B1529">
            <v>1.7685185185184863E-2</v>
          </cell>
          <cell r="C1529">
            <v>25</v>
          </cell>
        </row>
        <row r="1530">
          <cell r="B1530">
            <v>1.7696759259258937E-2</v>
          </cell>
          <cell r="C1530">
            <v>25</v>
          </cell>
        </row>
        <row r="1531">
          <cell r="B1531">
            <v>1.770833333333301E-2</v>
          </cell>
          <cell r="C1531">
            <v>25</v>
          </cell>
        </row>
        <row r="1532">
          <cell r="B1532">
            <v>1.7719907407407084E-2</v>
          </cell>
          <cell r="C1532">
            <v>25</v>
          </cell>
        </row>
        <row r="1533">
          <cell r="B1533">
            <v>1.7731481481481157E-2</v>
          </cell>
          <cell r="C1533">
            <v>25</v>
          </cell>
        </row>
        <row r="1534">
          <cell r="B1534">
            <v>1.7743055555555231E-2</v>
          </cell>
          <cell r="C1534">
            <v>25</v>
          </cell>
        </row>
        <row r="1535">
          <cell r="B1535">
            <v>1.7754629629629304E-2</v>
          </cell>
          <cell r="C1535">
            <v>25</v>
          </cell>
        </row>
        <row r="1536">
          <cell r="B1536">
            <v>1.7766203703703378E-2</v>
          </cell>
          <cell r="C1536">
            <v>25</v>
          </cell>
        </row>
        <row r="1537">
          <cell r="B1537">
            <v>1.7777777777777452E-2</v>
          </cell>
          <cell r="C1537">
            <v>25</v>
          </cell>
        </row>
        <row r="1538">
          <cell r="B1538">
            <v>1.7789351851851525E-2</v>
          </cell>
          <cell r="C1538">
            <v>25</v>
          </cell>
        </row>
        <row r="1539">
          <cell r="B1539">
            <v>1.7800925925925599E-2</v>
          </cell>
          <cell r="C1539">
            <v>25</v>
          </cell>
        </row>
        <row r="1540">
          <cell r="B1540">
            <v>1.7812499999999672E-2</v>
          </cell>
          <cell r="C1540">
            <v>25</v>
          </cell>
        </row>
        <row r="1541">
          <cell r="B1541">
            <v>1.7824074074073746E-2</v>
          </cell>
          <cell r="C1541">
            <v>25</v>
          </cell>
        </row>
        <row r="1542">
          <cell r="B1542">
            <v>1.7835648148147819E-2</v>
          </cell>
          <cell r="C1542">
            <v>25</v>
          </cell>
        </row>
        <row r="1543">
          <cell r="B1543">
            <v>1.7847222222221893E-2</v>
          </cell>
          <cell r="C1543">
            <v>25</v>
          </cell>
        </row>
        <row r="1544">
          <cell r="B1544">
            <v>1.7858796296295967E-2</v>
          </cell>
          <cell r="C1544">
            <v>25</v>
          </cell>
        </row>
        <row r="1545">
          <cell r="B1545">
            <v>1.787037037037004E-2</v>
          </cell>
          <cell r="C1545">
            <v>25</v>
          </cell>
        </row>
        <row r="1546">
          <cell r="B1546">
            <v>1.7881944444444114E-2</v>
          </cell>
          <cell r="C1546">
            <v>25</v>
          </cell>
        </row>
        <row r="1547">
          <cell r="B1547">
            <v>1.7893518518518187E-2</v>
          </cell>
          <cell r="C1547">
            <v>25</v>
          </cell>
        </row>
        <row r="1548">
          <cell r="B1548">
            <v>1.7905092592592261E-2</v>
          </cell>
          <cell r="C1548">
            <v>25</v>
          </cell>
        </row>
        <row r="1549">
          <cell r="B1549">
            <v>1.7916666666666334E-2</v>
          </cell>
          <cell r="C1549">
            <v>25</v>
          </cell>
        </row>
        <row r="1550">
          <cell r="B1550">
            <v>1.7928240740740408E-2</v>
          </cell>
          <cell r="C1550">
            <v>25</v>
          </cell>
        </row>
        <row r="1551">
          <cell r="B1551">
            <v>1.7939814814814482E-2</v>
          </cell>
          <cell r="C1551">
            <v>25</v>
          </cell>
        </row>
        <row r="1552">
          <cell r="B1552">
            <v>1.7951388888888555E-2</v>
          </cell>
          <cell r="C1552">
            <v>25</v>
          </cell>
        </row>
        <row r="1553">
          <cell r="B1553">
            <v>1.7962962962962629E-2</v>
          </cell>
          <cell r="C1553">
            <v>25</v>
          </cell>
        </row>
        <row r="1554">
          <cell r="B1554">
            <v>1.7974537037036702E-2</v>
          </cell>
          <cell r="C1554">
            <v>25</v>
          </cell>
        </row>
        <row r="1555">
          <cell r="B1555">
            <v>1.7986111111110776E-2</v>
          </cell>
          <cell r="C1555">
            <v>25</v>
          </cell>
        </row>
        <row r="1556">
          <cell r="B1556">
            <v>1.7997685185184849E-2</v>
          </cell>
          <cell r="C1556">
            <v>25</v>
          </cell>
        </row>
        <row r="1557">
          <cell r="B1557">
            <v>1.8009259259258923E-2</v>
          </cell>
          <cell r="C1557">
            <v>25</v>
          </cell>
        </row>
        <row r="1558">
          <cell r="B1558">
            <v>1.8020833333332997E-2</v>
          </cell>
          <cell r="C1558">
            <v>25</v>
          </cell>
        </row>
        <row r="1559">
          <cell r="B1559">
            <v>1.803240740740707E-2</v>
          </cell>
          <cell r="C1559">
            <v>25</v>
          </cell>
        </row>
        <row r="1560">
          <cell r="B1560">
            <v>1.8043981481481144E-2</v>
          </cell>
          <cell r="C1560">
            <v>25</v>
          </cell>
        </row>
        <row r="1561">
          <cell r="B1561">
            <v>1.8055555555555217E-2</v>
          </cell>
          <cell r="C1561">
            <v>26</v>
          </cell>
        </row>
        <row r="1562">
          <cell r="B1562">
            <v>1.8067129629629291E-2</v>
          </cell>
          <cell r="C1562">
            <v>26</v>
          </cell>
        </row>
        <row r="1563">
          <cell r="B1563">
            <v>1.8078703703703364E-2</v>
          </cell>
          <cell r="C1563">
            <v>26</v>
          </cell>
        </row>
        <row r="1564">
          <cell r="B1564">
            <v>1.8090277777777438E-2</v>
          </cell>
          <cell r="C1564">
            <v>26</v>
          </cell>
        </row>
        <row r="1565">
          <cell r="B1565">
            <v>1.8101851851851512E-2</v>
          </cell>
          <cell r="C1565">
            <v>26</v>
          </cell>
        </row>
        <row r="1566">
          <cell r="B1566">
            <v>1.8113425925925585E-2</v>
          </cell>
          <cell r="C1566">
            <v>26</v>
          </cell>
        </row>
        <row r="1567">
          <cell r="B1567">
            <v>1.8124999999999659E-2</v>
          </cell>
          <cell r="C1567">
            <v>26</v>
          </cell>
        </row>
        <row r="1568">
          <cell r="B1568">
            <v>1.8136574074073732E-2</v>
          </cell>
          <cell r="C1568">
            <v>26</v>
          </cell>
        </row>
        <row r="1569">
          <cell r="B1569">
            <v>1.8148148148147806E-2</v>
          </cell>
          <cell r="C1569">
            <v>26</v>
          </cell>
        </row>
        <row r="1570">
          <cell r="B1570">
            <v>1.8159722222221879E-2</v>
          </cell>
          <cell r="C1570">
            <v>26</v>
          </cell>
        </row>
        <row r="1571">
          <cell r="B1571">
            <v>1.8171296296295953E-2</v>
          </cell>
          <cell r="C1571">
            <v>26</v>
          </cell>
        </row>
        <row r="1572">
          <cell r="B1572">
            <v>1.8182870370370027E-2</v>
          </cell>
          <cell r="C1572">
            <v>26</v>
          </cell>
        </row>
        <row r="1573">
          <cell r="B1573">
            <v>1.81944444444441E-2</v>
          </cell>
          <cell r="C1573">
            <v>26</v>
          </cell>
        </row>
        <row r="1574">
          <cell r="B1574">
            <v>1.8206018518518174E-2</v>
          </cell>
          <cell r="C1574">
            <v>26</v>
          </cell>
        </row>
        <row r="1575">
          <cell r="B1575">
            <v>1.8217592592592247E-2</v>
          </cell>
          <cell r="C1575">
            <v>26</v>
          </cell>
        </row>
        <row r="1576">
          <cell r="B1576">
            <v>1.8229166666666321E-2</v>
          </cell>
          <cell r="C1576">
            <v>26</v>
          </cell>
        </row>
        <row r="1577">
          <cell r="B1577">
            <v>1.8240740740740394E-2</v>
          </cell>
          <cell r="C1577">
            <v>26</v>
          </cell>
        </row>
        <row r="1578">
          <cell r="B1578">
            <v>1.8252314814814468E-2</v>
          </cell>
          <cell r="C1578">
            <v>26</v>
          </cell>
        </row>
        <row r="1579">
          <cell r="B1579">
            <v>1.8263888888888542E-2</v>
          </cell>
          <cell r="C1579">
            <v>26</v>
          </cell>
        </row>
        <row r="1580">
          <cell r="B1580">
            <v>1.8275462962962615E-2</v>
          </cell>
          <cell r="C1580">
            <v>26</v>
          </cell>
        </row>
        <row r="1581">
          <cell r="B1581">
            <v>1.8287037037036689E-2</v>
          </cell>
          <cell r="C1581">
            <v>26</v>
          </cell>
        </row>
        <row r="1582">
          <cell r="B1582">
            <v>1.8298611111110762E-2</v>
          </cell>
          <cell r="C1582">
            <v>26</v>
          </cell>
        </row>
        <row r="1583">
          <cell r="B1583">
            <v>1.8310185185184836E-2</v>
          </cell>
          <cell r="C1583">
            <v>26</v>
          </cell>
        </row>
        <row r="1584">
          <cell r="B1584">
            <v>1.8321759259258909E-2</v>
          </cell>
          <cell r="C1584">
            <v>26</v>
          </cell>
        </row>
        <row r="1585">
          <cell r="B1585">
            <v>1.8333333333332983E-2</v>
          </cell>
          <cell r="C1585">
            <v>26</v>
          </cell>
        </row>
        <row r="1586">
          <cell r="B1586">
            <v>1.8344907407407057E-2</v>
          </cell>
          <cell r="C1586">
            <v>26</v>
          </cell>
        </row>
        <row r="1587">
          <cell r="B1587">
            <v>1.835648148148113E-2</v>
          </cell>
          <cell r="C1587">
            <v>26</v>
          </cell>
        </row>
        <row r="1588">
          <cell r="B1588">
            <v>1.8368055555555204E-2</v>
          </cell>
          <cell r="C1588">
            <v>26</v>
          </cell>
        </row>
        <row r="1589">
          <cell r="B1589">
            <v>1.8379629629629277E-2</v>
          </cell>
          <cell r="C1589">
            <v>26</v>
          </cell>
        </row>
        <row r="1590">
          <cell r="B1590">
            <v>1.8391203703703351E-2</v>
          </cell>
          <cell r="C1590">
            <v>26</v>
          </cell>
        </row>
        <row r="1591">
          <cell r="B1591">
            <v>1.8402777777777424E-2</v>
          </cell>
          <cell r="C1591">
            <v>26</v>
          </cell>
        </row>
        <row r="1592">
          <cell r="B1592">
            <v>1.8414351851851498E-2</v>
          </cell>
          <cell r="C1592">
            <v>26</v>
          </cell>
        </row>
        <row r="1593">
          <cell r="B1593">
            <v>1.8425925925925572E-2</v>
          </cell>
          <cell r="C1593">
            <v>26</v>
          </cell>
        </row>
        <row r="1594">
          <cell r="B1594">
            <v>1.8437499999999645E-2</v>
          </cell>
          <cell r="C1594">
            <v>26</v>
          </cell>
        </row>
        <row r="1595">
          <cell r="B1595">
            <v>1.8449074074073719E-2</v>
          </cell>
          <cell r="C1595">
            <v>26</v>
          </cell>
        </row>
        <row r="1596">
          <cell r="B1596">
            <v>1.8460648148147792E-2</v>
          </cell>
          <cell r="C1596">
            <v>26</v>
          </cell>
        </row>
        <row r="1597">
          <cell r="B1597">
            <v>1.8472222222221866E-2</v>
          </cell>
          <cell r="C1597">
            <v>26</v>
          </cell>
        </row>
        <row r="1598">
          <cell r="B1598">
            <v>1.8483796296295939E-2</v>
          </cell>
          <cell r="C1598">
            <v>26</v>
          </cell>
        </row>
        <row r="1599">
          <cell r="B1599">
            <v>1.8495370370370013E-2</v>
          </cell>
          <cell r="C1599">
            <v>26</v>
          </cell>
        </row>
        <row r="1600">
          <cell r="B1600">
            <v>1.8506944444444087E-2</v>
          </cell>
          <cell r="C1600">
            <v>26</v>
          </cell>
        </row>
        <row r="1601">
          <cell r="B1601">
            <v>1.851851851851816E-2</v>
          </cell>
          <cell r="C1601">
            <v>26</v>
          </cell>
        </row>
        <row r="1602">
          <cell r="B1602">
            <v>1.8530092592592234E-2</v>
          </cell>
          <cell r="C1602">
            <v>26</v>
          </cell>
        </row>
        <row r="1603">
          <cell r="B1603">
            <v>1.8541666666666307E-2</v>
          </cell>
          <cell r="C1603">
            <v>26</v>
          </cell>
        </row>
        <row r="1604">
          <cell r="B1604">
            <v>1.8553240740740381E-2</v>
          </cell>
          <cell r="C1604">
            <v>26</v>
          </cell>
        </row>
        <row r="1605">
          <cell r="B1605">
            <v>1.8564814814814454E-2</v>
          </cell>
          <cell r="C1605">
            <v>26</v>
          </cell>
        </row>
        <row r="1606">
          <cell r="B1606">
            <v>1.8576388888888528E-2</v>
          </cell>
          <cell r="C1606">
            <v>26</v>
          </cell>
        </row>
        <row r="1607">
          <cell r="B1607">
            <v>1.8587962962962602E-2</v>
          </cell>
          <cell r="C1607">
            <v>26</v>
          </cell>
        </row>
        <row r="1608">
          <cell r="B1608">
            <v>1.8599537037036675E-2</v>
          </cell>
          <cell r="C1608">
            <v>26</v>
          </cell>
        </row>
        <row r="1609">
          <cell r="B1609">
            <v>1.8611111111110749E-2</v>
          </cell>
          <cell r="C1609">
            <v>26</v>
          </cell>
        </row>
        <row r="1610">
          <cell r="B1610">
            <v>1.8622685185184822E-2</v>
          </cell>
          <cell r="C1610">
            <v>26</v>
          </cell>
        </row>
        <row r="1611">
          <cell r="B1611">
            <v>1.8634259259258896E-2</v>
          </cell>
          <cell r="C1611">
            <v>26</v>
          </cell>
        </row>
        <row r="1612">
          <cell r="B1612">
            <v>1.8645833333332969E-2</v>
          </cell>
          <cell r="C1612">
            <v>26</v>
          </cell>
        </row>
        <row r="1613">
          <cell r="B1613">
            <v>1.8657407407407043E-2</v>
          </cell>
          <cell r="C1613">
            <v>26</v>
          </cell>
        </row>
        <row r="1614">
          <cell r="B1614">
            <v>1.8668981481481117E-2</v>
          </cell>
          <cell r="C1614">
            <v>26</v>
          </cell>
        </row>
        <row r="1615">
          <cell r="B1615">
            <v>1.868055555555519E-2</v>
          </cell>
          <cell r="C1615">
            <v>26</v>
          </cell>
        </row>
        <row r="1616">
          <cell r="B1616">
            <v>1.8692129629629264E-2</v>
          </cell>
          <cell r="C1616">
            <v>26</v>
          </cell>
        </row>
        <row r="1617">
          <cell r="B1617">
            <v>1.8703703703703337E-2</v>
          </cell>
          <cell r="C1617">
            <v>26</v>
          </cell>
        </row>
        <row r="1618">
          <cell r="B1618">
            <v>1.8715277777777411E-2</v>
          </cell>
          <cell r="C1618">
            <v>26</v>
          </cell>
        </row>
        <row r="1619">
          <cell r="B1619">
            <v>1.8726851851851484E-2</v>
          </cell>
          <cell r="C1619">
            <v>26</v>
          </cell>
        </row>
        <row r="1620">
          <cell r="B1620">
            <v>1.8738425925925558E-2</v>
          </cell>
          <cell r="C1620">
            <v>26</v>
          </cell>
        </row>
        <row r="1621">
          <cell r="B1621">
            <v>1.8749999999999632E-2</v>
          </cell>
          <cell r="C1621">
            <v>27</v>
          </cell>
        </row>
        <row r="1622">
          <cell r="B1622">
            <v>1.8761574074073705E-2</v>
          </cell>
          <cell r="C1622">
            <v>27</v>
          </cell>
        </row>
        <row r="1623">
          <cell r="B1623">
            <v>1.8773148148147779E-2</v>
          </cell>
          <cell r="C1623">
            <v>27</v>
          </cell>
        </row>
        <row r="1624">
          <cell r="B1624">
            <v>1.8784722222221852E-2</v>
          </cell>
          <cell r="C1624">
            <v>27</v>
          </cell>
        </row>
        <row r="1625">
          <cell r="B1625">
            <v>1.8796296296295926E-2</v>
          </cell>
          <cell r="C1625">
            <v>27</v>
          </cell>
        </row>
        <row r="1626">
          <cell r="B1626">
            <v>1.8807870370369999E-2</v>
          </cell>
          <cell r="C1626">
            <v>27</v>
          </cell>
        </row>
        <row r="1627">
          <cell r="B1627">
            <v>1.8819444444444073E-2</v>
          </cell>
          <cell r="C1627">
            <v>27</v>
          </cell>
        </row>
        <row r="1628">
          <cell r="B1628">
            <v>1.8831018518518147E-2</v>
          </cell>
          <cell r="C1628">
            <v>27</v>
          </cell>
        </row>
        <row r="1629">
          <cell r="B1629">
            <v>1.884259259259222E-2</v>
          </cell>
          <cell r="C1629">
            <v>27</v>
          </cell>
        </row>
        <row r="1630">
          <cell r="B1630">
            <v>1.8854166666666294E-2</v>
          </cell>
          <cell r="C1630">
            <v>27</v>
          </cell>
        </row>
        <row r="1631">
          <cell r="B1631">
            <v>1.8865740740740367E-2</v>
          </cell>
          <cell r="C1631">
            <v>27</v>
          </cell>
        </row>
        <row r="1632">
          <cell r="B1632">
            <v>1.8877314814814441E-2</v>
          </cell>
          <cell r="C1632">
            <v>27</v>
          </cell>
        </row>
        <row r="1633">
          <cell r="B1633">
            <v>1.8888888888888514E-2</v>
          </cell>
          <cell r="C1633">
            <v>27</v>
          </cell>
        </row>
        <row r="1634">
          <cell r="B1634">
            <v>1.8900462962962588E-2</v>
          </cell>
          <cell r="C1634">
            <v>27</v>
          </cell>
        </row>
        <row r="1635">
          <cell r="B1635">
            <v>1.8912037037036662E-2</v>
          </cell>
          <cell r="C1635">
            <v>27</v>
          </cell>
        </row>
        <row r="1636">
          <cell r="B1636">
            <v>1.8923611111110735E-2</v>
          </cell>
          <cell r="C1636">
            <v>27</v>
          </cell>
        </row>
        <row r="1637">
          <cell r="B1637">
            <v>1.8935185185184809E-2</v>
          </cell>
          <cell r="C1637">
            <v>27</v>
          </cell>
        </row>
        <row r="1638">
          <cell r="B1638">
            <v>1.8946759259258882E-2</v>
          </cell>
          <cell r="C1638">
            <v>27</v>
          </cell>
        </row>
        <row r="1639">
          <cell r="B1639">
            <v>1.8958333333332956E-2</v>
          </cell>
          <cell r="C1639">
            <v>27</v>
          </cell>
        </row>
        <row r="1640">
          <cell r="B1640">
            <v>1.8969907407407029E-2</v>
          </cell>
          <cell r="C1640">
            <v>27</v>
          </cell>
        </row>
        <row r="1641">
          <cell r="B1641">
            <v>1.8981481481481103E-2</v>
          </cell>
          <cell r="C1641">
            <v>27</v>
          </cell>
        </row>
        <row r="1642">
          <cell r="B1642">
            <v>1.8993055555555177E-2</v>
          </cell>
          <cell r="C1642">
            <v>27</v>
          </cell>
        </row>
        <row r="1643">
          <cell r="B1643">
            <v>1.900462962962925E-2</v>
          </cell>
          <cell r="C1643">
            <v>27</v>
          </cell>
        </row>
        <row r="1644">
          <cell r="B1644">
            <v>1.9016203703703324E-2</v>
          </cell>
          <cell r="C1644">
            <v>27</v>
          </cell>
        </row>
        <row r="1645">
          <cell r="B1645">
            <v>1.9027777777777397E-2</v>
          </cell>
          <cell r="C1645">
            <v>27</v>
          </cell>
        </row>
        <row r="1646">
          <cell r="B1646">
            <v>1.9039351851851471E-2</v>
          </cell>
          <cell r="C1646">
            <v>27</v>
          </cell>
        </row>
        <row r="1647">
          <cell r="B1647">
            <v>1.9050925925925544E-2</v>
          </cell>
          <cell r="C1647">
            <v>27</v>
          </cell>
        </row>
        <row r="1648">
          <cell r="B1648">
            <v>1.9062499999999618E-2</v>
          </cell>
          <cell r="C1648">
            <v>27</v>
          </cell>
        </row>
        <row r="1649">
          <cell r="B1649">
            <v>1.9074074074073692E-2</v>
          </cell>
          <cell r="C1649">
            <v>27</v>
          </cell>
        </row>
        <row r="1650">
          <cell r="B1650">
            <v>1.9085648148147765E-2</v>
          </cell>
          <cell r="C1650">
            <v>27</v>
          </cell>
        </row>
        <row r="1651">
          <cell r="B1651">
            <v>1.9097222222221839E-2</v>
          </cell>
          <cell r="C1651">
            <v>27</v>
          </cell>
        </row>
        <row r="1652">
          <cell r="B1652">
            <v>1.9108796296295912E-2</v>
          </cell>
          <cell r="C1652">
            <v>27</v>
          </cell>
        </row>
        <row r="1653">
          <cell r="B1653">
            <v>1.9120370370369986E-2</v>
          </cell>
          <cell r="C1653">
            <v>27</v>
          </cell>
        </row>
        <row r="1654">
          <cell r="B1654">
            <v>1.9131944444444059E-2</v>
          </cell>
          <cell r="C1654">
            <v>27</v>
          </cell>
        </row>
        <row r="1655">
          <cell r="B1655">
            <v>1.9143518518518133E-2</v>
          </cell>
          <cell r="C1655">
            <v>27</v>
          </cell>
        </row>
        <row r="1656">
          <cell r="B1656">
            <v>1.9155092592592207E-2</v>
          </cell>
          <cell r="C1656">
            <v>27</v>
          </cell>
        </row>
        <row r="1657">
          <cell r="B1657">
            <v>1.916666666666628E-2</v>
          </cell>
          <cell r="C1657">
            <v>27</v>
          </cell>
        </row>
        <row r="1658">
          <cell r="B1658">
            <v>1.9178240740740354E-2</v>
          </cell>
          <cell r="C1658">
            <v>27</v>
          </cell>
        </row>
        <row r="1659">
          <cell r="B1659">
            <v>1.9189814814814427E-2</v>
          </cell>
          <cell r="C1659">
            <v>27</v>
          </cell>
        </row>
        <row r="1660">
          <cell r="B1660">
            <v>1.9201388888888501E-2</v>
          </cell>
          <cell r="C1660">
            <v>27</v>
          </cell>
        </row>
        <row r="1661">
          <cell r="B1661">
            <v>1.9212962962962574E-2</v>
          </cell>
          <cell r="C1661">
            <v>27</v>
          </cell>
        </row>
        <row r="1662">
          <cell r="B1662">
            <v>1.9224537037036648E-2</v>
          </cell>
          <cell r="C1662">
            <v>27</v>
          </cell>
        </row>
        <row r="1663">
          <cell r="B1663">
            <v>1.9236111111110721E-2</v>
          </cell>
          <cell r="C1663">
            <v>27</v>
          </cell>
        </row>
        <row r="1664">
          <cell r="B1664">
            <v>1.9247685185184795E-2</v>
          </cell>
          <cell r="C1664">
            <v>27</v>
          </cell>
        </row>
        <row r="1665">
          <cell r="B1665">
            <v>1.9259259259258869E-2</v>
          </cell>
          <cell r="C1665">
            <v>27</v>
          </cell>
        </row>
        <row r="1666">
          <cell r="B1666">
            <v>1.9270833333332942E-2</v>
          </cell>
          <cell r="C1666">
            <v>27</v>
          </cell>
        </row>
        <row r="1667">
          <cell r="B1667">
            <v>1.9282407407407016E-2</v>
          </cell>
          <cell r="C1667">
            <v>27</v>
          </cell>
        </row>
        <row r="1668">
          <cell r="B1668">
            <v>1.9293981481481089E-2</v>
          </cell>
          <cell r="C1668">
            <v>27</v>
          </cell>
        </row>
        <row r="1669">
          <cell r="B1669">
            <v>1.9305555555555163E-2</v>
          </cell>
          <cell r="C1669">
            <v>27</v>
          </cell>
        </row>
        <row r="1670">
          <cell r="B1670">
            <v>1.9317129629629236E-2</v>
          </cell>
          <cell r="C1670">
            <v>27</v>
          </cell>
        </row>
        <row r="1671">
          <cell r="B1671">
            <v>1.932870370370331E-2</v>
          </cell>
          <cell r="C1671">
            <v>27</v>
          </cell>
        </row>
        <row r="1672">
          <cell r="B1672">
            <v>1.9340277777777384E-2</v>
          </cell>
          <cell r="C1672">
            <v>27</v>
          </cell>
        </row>
        <row r="1673">
          <cell r="B1673">
            <v>1.9351851851851457E-2</v>
          </cell>
          <cell r="C1673">
            <v>27</v>
          </cell>
        </row>
        <row r="1674">
          <cell r="B1674">
            <v>1.9363425925925531E-2</v>
          </cell>
          <cell r="C1674">
            <v>27</v>
          </cell>
        </row>
        <row r="1675">
          <cell r="B1675">
            <v>1.9374999999999604E-2</v>
          </cell>
          <cell r="C1675">
            <v>27</v>
          </cell>
        </row>
        <row r="1676">
          <cell r="B1676">
            <v>1.9386574074073678E-2</v>
          </cell>
          <cell r="C1676">
            <v>27</v>
          </cell>
        </row>
        <row r="1677">
          <cell r="B1677">
            <v>1.9398148148147751E-2</v>
          </cell>
          <cell r="C1677">
            <v>27</v>
          </cell>
        </row>
        <row r="1678">
          <cell r="B1678">
            <v>1.9409722222221825E-2</v>
          </cell>
          <cell r="C1678">
            <v>27</v>
          </cell>
        </row>
        <row r="1679">
          <cell r="B1679">
            <v>1.9421296296295899E-2</v>
          </cell>
          <cell r="C1679">
            <v>27</v>
          </cell>
        </row>
        <row r="1680">
          <cell r="B1680">
            <v>1.9432870370369972E-2</v>
          </cell>
          <cell r="C1680">
            <v>27</v>
          </cell>
        </row>
        <row r="1681">
          <cell r="B1681">
            <v>1.9444444444444046E-2</v>
          </cell>
          <cell r="C1681">
            <v>28</v>
          </cell>
        </row>
        <row r="1682">
          <cell r="B1682">
            <v>1.9456018518518119E-2</v>
          </cell>
          <cell r="C1682">
            <v>28</v>
          </cell>
        </row>
        <row r="1683">
          <cell r="B1683">
            <v>1.9467592592592193E-2</v>
          </cell>
          <cell r="C1683">
            <v>28</v>
          </cell>
        </row>
        <row r="1684">
          <cell r="B1684">
            <v>1.9479166666666266E-2</v>
          </cell>
          <cell r="C1684">
            <v>28</v>
          </cell>
        </row>
        <row r="1685">
          <cell r="B1685">
            <v>1.949074074074034E-2</v>
          </cell>
          <cell r="C1685">
            <v>28</v>
          </cell>
        </row>
        <row r="1686">
          <cell r="B1686">
            <v>1.9502314814814414E-2</v>
          </cell>
          <cell r="C1686">
            <v>28</v>
          </cell>
        </row>
        <row r="1687">
          <cell r="B1687">
            <v>1.9513888888888487E-2</v>
          </cell>
          <cell r="C1687">
            <v>28</v>
          </cell>
        </row>
        <row r="1688">
          <cell r="B1688">
            <v>1.9525462962962561E-2</v>
          </cell>
          <cell r="C1688">
            <v>28</v>
          </cell>
        </row>
        <row r="1689">
          <cell r="B1689">
            <v>1.9537037037036634E-2</v>
          </cell>
          <cell r="C1689">
            <v>28</v>
          </cell>
        </row>
        <row r="1690">
          <cell r="B1690">
            <v>1.9548611111110708E-2</v>
          </cell>
          <cell r="C1690">
            <v>28</v>
          </cell>
        </row>
        <row r="1691">
          <cell r="B1691">
            <v>1.9560185185184781E-2</v>
          </cell>
          <cell r="C1691">
            <v>28</v>
          </cell>
        </row>
        <row r="1692">
          <cell r="B1692">
            <v>1.9571759259258855E-2</v>
          </cell>
          <cell r="C1692">
            <v>28</v>
          </cell>
        </row>
        <row r="1693">
          <cell r="B1693">
            <v>1.9583333333332929E-2</v>
          </cell>
          <cell r="C1693">
            <v>28</v>
          </cell>
        </row>
        <row r="1694">
          <cell r="B1694">
            <v>1.9594907407407002E-2</v>
          </cell>
          <cell r="C1694">
            <v>28</v>
          </cell>
        </row>
        <row r="1695">
          <cell r="B1695">
            <v>1.9606481481481076E-2</v>
          </cell>
          <cell r="C1695">
            <v>28</v>
          </cell>
        </row>
        <row r="1696">
          <cell r="B1696">
            <v>1.9618055555555149E-2</v>
          </cell>
          <cell r="C1696">
            <v>28</v>
          </cell>
        </row>
        <row r="1697">
          <cell r="B1697">
            <v>1.9629629629629223E-2</v>
          </cell>
          <cell r="C1697">
            <v>28</v>
          </cell>
        </row>
        <row r="1698">
          <cell r="B1698">
            <v>1.9641203703703296E-2</v>
          </cell>
          <cell r="C1698">
            <v>28</v>
          </cell>
        </row>
        <row r="1699">
          <cell r="B1699">
            <v>1.965277777777737E-2</v>
          </cell>
          <cell r="C1699">
            <v>28</v>
          </cell>
        </row>
        <row r="1700">
          <cell r="B1700">
            <v>1.9664351851851444E-2</v>
          </cell>
          <cell r="C1700">
            <v>28</v>
          </cell>
        </row>
        <row r="1701">
          <cell r="B1701">
            <v>1.9675925925925517E-2</v>
          </cell>
          <cell r="C1701">
            <v>28</v>
          </cell>
        </row>
        <row r="1702">
          <cell r="B1702">
            <v>1.9687499999999591E-2</v>
          </cell>
          <cell r="C1702">
            <v>28</v>
          </cell>
        </row>
        <row r="1703">
          <cell r="B1703">
            <v>1.9699074074073664E-2</v>
          </cell>
          <cell r="C1703">
            <v>28</v>
          </cell>
        </row>
        <row r="1704">
          <cell r="B1704">
            <v>1.9710648148147738E-2</v>
          </cell>
          <cell r="C1704">
            <v>28</v>
          </cell>
        </row>
        <row r="1705">
          <cell r="B1705">
            <v>1.9722222222221811E-2</v>
          </cell>
          <cell r="C1705">
            <v>28</v>
          </cell>
        </row>
        <row r="1706">
          <cell r="B1706">
            <v>1.9733796296295885E-2</v>
          </cell>
          <cell r="C1706">
            <v>28</v>
          </cell>
        </row>
        <row r="1707">
          <cell r="B1707">
            <v>1.9745370370369959E-2</v>
          </cell>
          <cell r="C1707">
            <v>28</v>
          </cell>
        </row>
        <row r="1708">
          <cell r="B1708">
            <v>1.9756944444444032E-2</v>
          </cell>
          <cell r="C1708">
            <v>28</v>
          </cell>
        </row>
        <row r="1709">
          <cell r="B1709">
            <v>1.9768518518518106E-2</v>
          </cell>
          <cell r="C1709">
            <v>28</v>
          </cell>
        </row>
        <row r="1710">
          <cell r="B1710">
            <v>1.9780092592592179E-2</v>
          </cell>
          <cell r="C1710">
            <v>28</v>
          </cell>
        </row>
        <row r="1711">
          <cell r="B1711">
            <v>1.9791666666666253E-2</v>
          </cell>
          <cell r="C1711">
            <v>28</v>
          </cell>
        </row>
        <row r="1712">
          <cell r="B1712">
            <v>1.9803240740740326E-2</v>
          </cell>
          <cell r="C1712">
            <v>28</v>
          </cell>
        </row>
        <row r="1713">
          <cell r="B1713">
            <v>1.98148148148144E-2</v>
          </cell>
          <cell r="C1713">
            <v>28</v>
          </cell>
        </row>
        <row r="1714">
          <cell r="B1714">
            <v>1.9826388888888474E-2</v>
          </cell>
          <cell r="C1714">
            <v>28</v>
          </cell>
        </row>
        <row r="1715">
          <cell r="B1715">
            <v>1.9837962962962547E-2</v>
          </cell>
          <cell r="C1715">
            <v>28</v>
          </cell>
        </row>
        <row r="1716">
          <cell r="B1716">
            <v>1.9849537037036621E-2</v>
          </cell>
          <cell r="C1716">
            <v>28</v>
          </cell>
        </row>
        <row r="1717">
          <cell r="B1717">
            <v>1.9861111111110694E-2</v>
          </cell>
          <cell r="C1717">
            <v>28</v>
          </cell>
        </row>
        <row r="1718">
          <cell r="B1718">
            <v>1.9872685185184768E-2</v>
          </cell>
          <cell r="C1718">
            <v>28</v>
          </cell>
        </row>
        <row r="1719">
          <cell r="B1719">
            <v>1.9884259259258841E-2</v>
          </cell>
          <cell r="C1719">
            <v>28</v>
          </cell>
        </row>
        <row r="1720">
          <cell r="B1720">
            <v>1.9895833333332915E-2</v>
          </cell>
          <cell r="C1720">
            <v>28</v>
          </cell>
        </row>
        <row r="1721">
          <cell r="B1721">
            <v>1.9907407407406989E-2</v>
          </cell>
          <cell r="C1721">
            <v>28</v>
          </cell>
        </row>
        <row r="1722">
          <cell r="B1722">
            <v>1.9918981481481062E-2</v>
          </cell>
          <cell r="C1722">
            <v>28</v>
          </cell>
        </row>
        <row r="1723">
          <cell r="B1723">
            <v>1.9930555555555136E-2</v>
          </cell>
          <cell r="C1723">
            <v>28</v>
          </cell>
        </row>
        <row r="1724">
          <cell r="B1724">
            <v>1.9942129629629209E-2</v>
          </cell>
          <cell r="C1724">
            <v>28</v>
          </cell>
        </row>
        <row r="1725">
          <cell r="B1725">
            <v>1.9953703703703283E-2</v>
          </cell>
          <cell r="C1725">
            <v>28</v>
          </cell>
        </row>
        <row r="1726">
          <cell r="B1726">
            <v>1.9965277777777356E-2</v>
          </cell>
          <cell r="C1726">
            <v>28</v>
          </cell>
        </row>
        <row r="1727">
          <cell r="B1727">
            <v>1.997685185185143E-2</v>
          </cell>
          <cell r="C1727">
            <v>28</v>
          </cell>
        </row>
        <row r="1728">
          <cell r="B1728">
            <v>1.9988425925925504E-2</v>
          </cell>
          <cell r="C1728">
            <v>28</v>
          </cell>
        </row>
        <row r="1729">
          <cell r="B1729">
            <v>1.9999999999999577E-2</v>
          </cell>
          <cell r="C1729">
            <v>28</v>
          </cell>
        </row>
        <row r="1730">
          <cell r="B1730">
            <v>2.0011574074073651E-2</v>
          </cell>
          <cell r="C1730">
            <v>28</v>
          </cell>
        </row>
        <row r="1731">
          <cell r="B1731">
            <v>2.0023148148147724E-2</v>
          </cell>
          <cell r="C1731">
            <v>28</v>
          </cell>
        </row>
        <row r="1732">
          <cell r="B1732">
            <v>2.0034722222221798E-2</v>
          </cell>
          <cell r="C1732">
            <v>28</v>
          </cell>
        </row>
        <row r="1733">
          <cell r="B1733">
            <v>2.0046296296295871E-2</v>
          </cell>
          <cell r="C1733">
            <v>28</v>
          </cell>
        </row>
        <row r="1734">
          <cell r="B1734">
            <v>2.0057870370369945E-2</v>
          </cell>
          <cell r="C1734">
            <v>28</v>
          </cell>
        </row>
        <row r="1735">
          <cell r="B1735">
            <v>2.0069444444444019E-2</v>
          </cell>
          <cell r="C1735">
            <v>28</v>
          </cell>
        </row>
        <row r="1736">
          <cell r="B1736">
            <v>2.0081018518518092E-2</v>
          </cell>
          <cell r="C1736">
            <v>28</v>
          </cell>
        </row>
        <row r="1737">
          <cell r="B1737">
            <v>2.0092592592592166E-2</v>
          </cell>
          <cell r="C1737">
            <v>28</v>
          </cell>
        </row>
        <row r="1738">
          <cell r="B1738">
            <v>2.0104166666666239E-2</v>
          </cell>
          <cell r="C1738">
            <v>28</v>
          </cell>
        </row>
        <row r="1739">
          <cell r="B1739">
            <v>2.0115740740740313E-2</v>
          </cell>
          <cell r="C1739">
            <v>28</v>
          </cell>
        </row>
        <row r="1740">
          <cell r="B1740">
            <v>2.0127314814814386E-2</v>
          </cell>
          <cell r="C1740">
            <v>28</v>
          </cell>
        </row>
        <row r="1741">
          <cell r="B1741">
            <v>2.013888888888846E-2</v>
          </cell>
          <cell r="C1741">
            <v>29</v>
          </cell>
        </row>
        <row r="1742">
          <cell r="B1742">
            <v>2.0150462962962534E-2</v>
          </cell>
          <cell r="C1742">
            <v>29</v>
          </cell>
        </row>
        <row r="1743">
          <cell r="B1743">
            <v>2.0162037037036607E-2</v>
          </cell>
          <cell r="C1743">
            <v>29</v>
          </cell>
        </row>
        <row r="1744">
          <cell r="B1744">
            <v>2.0173611111110681E-2</v>
          </cell>
          <cell r="C1744">
            <v>29</v>
          </cell>
        </row>
        <row r="1745">
          <cell r="B1745">
            <v>2.0185185185184754E-2</v>
          </cell>
          <cell r="C1745">
            <v>29</v>
          </cell>
        </row>
        <row r="1746">
          <cell r="B1746">
            <v>2.0196759259258828E-2</v>
          </cell>
          <cell r="C1746">
            <v>29</v>
          </cell>
        </row>
        <row r="1747">
          <cell r="B1747">
            <v>2.0208333333332901E-2</v>
          </cell>
          <cell r="C1747">
            <v>29</v>
          </cell>
        </row>
        <row r="1748">
          <cell r="B1748">
            <v>2.0219907407406975E-2</v>
          </cell>
          <cell r="C1748">
            <v>29</v>
          </cell>
        </row>
        <row r="1749">
          <cell r="B1749">
            <v>2.0231481481481049E-2</v>
          </cell>
          <cell r="C1749">
            <v>29</v>
          </cell>
        </row>
        <row r="1750">
          <cell r="B1750">
            <v>2.0243055555555122E-2</v>
          </cell>
          <cell r="C1750">
            <v>29</v>
          </cell>
        </row>
        <row r="1751">
          <cell r="B1751">
            <v>2.0254629629629196E-2</v>
          </cell>
          <cell r="C1751">
            <v>29</v>
          </cell>
        </row>
        <row r="1752">
          <cell r="B1752">
            <v>2.0266203703703269E-2</v>
          </cell>
          <cell r="C1752">
            <v>29</v>
          </cell>
        </row>
        <row r="1753">
          <cell r="B1753">
            <v>2.0277777777777343E-2</v>
          </cell>
          <cell r="C1753">
            <v>29</v>
          </cell>
        </row>
        <row r="1754">
          <cell r="B1754">
            <v>2.0289351851851416E-2</v>
          </cell>
          <cell r="C1754">
            <v>29</v>
          </cell>
        </row>
        <row r="1755">
          <cell r="B1755">
            <v>2.030092592592549E-2</v>
          </cell>
          <cell r="C1755">
            <v>29</v>
          </cell>
        </row>
        <row r="1756">
          <cell r="B1756">
            <v>2.0312499999999564E-2</v>
          </cell>
          <cell r="C1756">
            <v>29</v>
          </cell>
        </row>
        <row r="1757">
          <cell r="B1757">
            <v>2.0324074074073637E-2</v>
          </cell>
          <cell r="C1757">
            <v>29</v>
          </cell>
        </row>
        <row r="1758">
          <cell r="B1758">
            <v>2.0335648148147711E-2</v>
          </cell>
          <cell r="C1758">
            <v>29</v>
          </cell>
        </row>
        <row r="1759">
          <cell r="B1759">
            <v>2.0347222222221784E-2</v>
          </cell>
          <cell r="C1759">
            <v>29</v>
          </cell>
        </row>
        <row r="1760">
          <cell r="B1760">
            <v>2.0358796296295858E-2</v>
          </cell>
          <cell r="C1760">
            <v>29</v>
          </cell>
        </row>
        <row r="1761">
          <cell r="B1761">
            <v>2.0370370370369931E-2</v>
          </cell>
          <cell r="C1761">
            <v>29</v>
          </cell>
        </row>
        <row r="1762">
          <cell r="B1762">
            <v>2.0381944444444005E-2</v>
          </cell>
          <cell r="C1762">
            <v>29</v>
          </cell>
        </row>
        <row r="1763">
          <cell r="B1763">
            <v>2.0393518518518079E-2</v>
          </cell>
          <cell r="C1763">
            <v>29</v>
          </cell>
        </row>
        <row r="1764">
          <cell r="B1764">
            <v>2.0405092592592152E-2</v>
          </cell>
          <cell r="C1764">
            <v>29</v>
          </cell>
        </row>
        <row r="1765">
          <cell r="B1765">
            <v>2.0416666666666226E-2</v>
          </cell>
          <cell r="C1765">
            <v>29</v>
          </cell>
        </row>
        <row r="1766">
          <cell r="B1766">
            <v>2.0428240740740299E-2</v>
          </cell>
          <cell r="C1766">
            <v>29</v>
          </cell>
        </row>
        <row r="1767">
          <cell r="B1767">
            <v>2.0439814814814373E-2</v>
          </cell>
          <cell r="C1767">
            <v>29</v>
          </cell>
        </row>
        <row r="1768">
          <cell r="B1768">
            <v>2.0451388888888446E-2</v>
          </cell>
          <cell r="C1768">
            <v>29</v>
          </cell>
        </row>
        <row r="1769">
          <cell r="B1769">
            <v>2.046296296296252E-2</v>
          </cell>
          <cell r="C1769">
            <v>29</v>
          </cell>
        </row>
        <row r="1770">
          <cell r="B1770">
            <v>2.0474537037036594E-2</v>
          </cell>
          <cell r="C1770">
            <v>29</v>
          </cell>
        </row>
        <row r="1771">
          <cell r="B1771">
            <v>2.0486111111110667E-2</v>
          </cell>
          <cell r="C1771">
            <v>29</v>
          </cell>
        </row>
        <row r="1772">
          <cell r="B1772">
            <v>2.0497685185184741E-2</v>
          </cell>
          <cell r="C1772">
            <v>29</v>
          </cell>
        </row>
        <row r="1773">
          <cell r="B1773">
            <v>2.0509259259258814E-2</v>
          </cell>
          <cell r="C1773">
            <v>29</v>
          </cell>
        </row>
        <row r="1774">
          <cell r="B1774">
            <v>2.0520833333332888E-2</v>
          </cell>
          <cell r="C1774">
            <v>29</v>
          </cell>
        </row>
        <row r="1775">
          <cell r="B1775">
            <v>2.0532407407406961E-2</v>
          </cell>
          <cell r="C1775">
            <v>29</v>
          </cell>
        </row>
        <row r="1776">
          <cell r="B1776">
            <v>2.0543981481481035E-2</v>
          </cell>
          <cell r="C1776">
            <v>29</v>
          </cell>
        </row>
        <row r="1777">
          <cell r="B1777">
            <v>2.0555555555555109E-2</v>
          </cell>
          <cell r="C1777">
            <v>29</v>
          </cell>
        </row>
        <row r="1778">
          <cell r="B1778">
            <v>2.0567129629629182E-2</v>
          </cell>
          <cell r="C1778">
            <v>29</v>
          </cell>
        </row>
        <row r="1779">
          <cell r="B1779">
            <v>2.0578703703703256E-2</v>
          </cell>
          <cell r="C1779">
            <v>29</v>
          </cell>
        </row>
        <row r="1780">
          <cell r="B1780">
            <v>2.0590277777777329E-2</v>
          </cell>
          <cell r="C1780">
            <v>29</v>
          </cell>
        </row>
        <row r="1781">
          <cell r="B1781">
            <v>2.0601851851851403E-2</v>
          </cell>
          <cell r="C1781">
            <v>29</v>
          </cell>
        </row>
        <row r="1782">
          <cell r="B1782">
            <v>2.0613425925925476E-2</v>
          </cell>
          <cell r="C1782">
            <v>29</v>
          </cell>
        </row>
        <row r="1783">
          <cell r="B1783">
            <v>2.062499999999955E-2</v>
          </cell>
          <cell r="C1783">
            <v>29</v>
          </cell>
        </row>
        <row r="1784">
          <cell r="B1784">
            <v>2.0636574074073624E-2</v>
          </cell>
          <cell r="C1784">
            <v>29</v>
          </cell>
        </row>
        <row r="1785">
          <cell r="B1785">
            <v>2.0648148148147697E-2</v>
          </cell>
          <cell r="C1785">
            <v>29</v>
          </cell>
        </row>
        <row r="1786">
          <cell r="B1786">
            <v>2.0659722222221771E-2</v>
          </cell>
          <cell r="C1786">
            <v>29</v>
          </cell>
        </row>
        <row r="1787">
          <cell r="B1787">
            <v>2.0671296296295844E-2</v>
          </cell>
          <cell r="C1787">
            <v>29</v>
          </cell>
        </row>
        <row r="1788">
          <cell r="B1788">
            <v>2.0682870370369918E-2</v>
          </cell>
          <cell r="C1788">
            <v>29</v>
          </cell>
        </row>
        <row r="1789">
          <cell r="B1789">
            <v>2.0694444444443991E-2</v>
          </cell>
          <cell r="C1789">
            <v>29</v>
          </cell>
        </row>
        <row r="1790">
          <cell r="B1790">
            <v>2.0706018518518065E-2</v>
          </cell>
          <cell r="C1790">
            <v>29</v>
          </cell>
        </row>
        <row r="1791">
          <cell r="B1791">
            <v>2.0717592592592139E-2</v>
          </cell>
          <cell r="C1791">
            <v>29</v>
          </cell>
        </row>
        <row r="1792">
          <cell r="B1792">
            <v>2.0729166666666212E-2</v>
          </cell>
          <cell r="C1792">
            <v>29</v>
          </cell>
        </row>
        <row r="1793">
          <cell r="B1793">
            <v>2.0740740740740286E-2</v>
          </cell>
          <cell r="C1793">
            <v>29</v>
          </cell>
        </row>
        <row r="1794">
          <cell r="B1794">
            <v>2.0752314814814359E-2</v>
          </cell>
          <cell r="C1794">
            <v>29</v>
          </cell>
        </row>
        <row r="1795">
          <cell r="B1795">
            <v>2.0763888888888433E-2</v>
          </cell>
          <cell r="C1795">
            <v>29</v>
          </cell>
        </row>
        <row r="1796">
          <cell r="B1796">
            <v>2.0775462962962506E-2</v>
          </cell>
          <cell r="C1796">
            <v>29</v>
          </cell>
        </row>
        <row r="1797">
          <cell r="B1797">
            <v>2.078703703703658E-2</v>
          </cell>
          <cell r="C1797">
            <v>29</v>
          </cell>
        </row>
        <row r="1798">
          <cell r="B1798">
            <v>2.0798611111110653E-2</v>
          </cell>
          <cell r="C1798">
            <v>29</v>
          </cell>
        </row>
        <row r="1799">
          <cell r="B1799">
            <v>2.0810185185184727E-2</v>
          </cell>
          <cell r="C1799">
            <v>29</v>
          </cell>
        </row>
        <row r="1800">
          <cell r="B1800">
            <v>2.0821759259258801E-2</v>
          </cell>
          <cell r="C1800">
            <v>29</v>
          </cell>
        </row>
        <row r="1801">
          <cell r="B1801">
            <v>2.0833333333332874E-2</v>
          </cell>
          <cell r="C1801">
            <v>30</v>
          </cell>
        </row>
        <row r="1802">
          <cell r="B1802">
            <v>2.0844907407406948E-2</v>
          </cell>
          <cell r="C1802">
            <v>30</v>
          </cell>
        </row>
        <row r="1803">
          <cell r="B1803">
            <v>2.0856481481481021E-2</v>
          </cell>
          <cell r="C1803">
            <v>30</v>
          </cell>
        </row>
        <row r="1804">
          <cell r="B1804">
            <v>2.0868055555555095E-2</v>
          </cell>
          <cell r="C1804">
            <v>30</v>
          </cell>
        </row>
        <row r="1805">
          <cell r="B1805">
            <v>2.0879629629629168E-2</v>
          </cell>
          <cell r="C1805">
            <v>30</v>
          </cell>
        </row>
        <row r="1806">
          <cell r="B1806">
            <v>2.0891203703703242E-2</v>
          </cell>
          <cell r="C1806">
            <v>30</v>
          </cell>
        </row>
        <row r="1807">
          <cell r="B1807">
            <v>2.0902777777777316E-2</v>
          </cell>
          <cell r="C1807">
            <v>30</v>
          </cell>
        </row>
        <row r="1808">
          <cell r="B1808">
            <v>2.0914351851851389E-2</v>
          </cell>
          <cell r="C1808">
            <v>30</v>
          </cell>
        </row>
        <row r="1809">
          <cell r="B1809">
            <v>2.0925925925925463E-2</v>
          </cell>
          <cell r="C1809">
            <v>30</v>
          </cell>
        </row>
        <row r="1810">
          <cell r="B1810">
            <v>2.0937499999999536E-2</v>
          </cell>
          <cell r="C1810">
            <v>30</v>
          </cell>
        </row>
        <row r="1811">
          <cell r="B1811">
            <v>2.094907407407361E-2</v>
          </cell>
          <cell r="C1811">
            <v>30</v>
          </cell>
        </row>
        <row r="1812">
          <cell r="B1812">
            <v>2.0960648148147683E-2</v>
          </cell>
          <cell r="C1812">
            <v>30</v>
          </cell>
        </row>
        <row r="1813">
          <cell r="B1813">
            <v>2.0972222222221757E-2</v>
          </cell>
          <cell r="C1813">
            <v>30</v>
          </cell>
        </row>
        <row r="1814">
          <cell r="B1814">
            <v>2.0983796296295831E-2</v>
          </cell>
          <cell r="C1814">
            <v>30</v>
          </cell>
        </row>
        <row r="1815">
          <cell r="B1815">
            <v>2.0995370370369904E-2</v>
          </cell>
          <cell r="C1815">
            <v>30</v>
          </cell>
        </row>
        <row r="1816">
          <cell r="B1816">
            <v>2.1006944444443978E-2</v>
          </cell>
          <cell r="C1816">
            <v>30</v>
          </cell>
        </row>
        <row r="1817">
          <cell r="B1817">
            <v>2.1018518518518051E-2</v>
          </cell>
          <cell r="C1817">
            <v>30</v>
          </cell>
        </row>
        <row r="1818">
          <cell r="B1818">
            <v>2.1030092592592125E-2</v>
          </cell>
          <cell r="C1818">
            <v>30</v>
          </cell>
        </row>
        <row r="1819">
          <cell r="B1819">
            <v>2.1041666666666198E-2</v>
          </cell>
          <cell r="C1819">
            <v>30</v>
          </cell>
        </row>
        <row r="1820">
          <cell r="B1820">
            <v>2.1053240740740272E-2</v>
          </cell>
          <cell r="C1820">
            <v>30</v>
          </cell>
        </row>
        <row r="1821">
          <cell r="B1821">
            <v>2.1064814814814346E-2</v>
          </cell>
          <cell r="C1821">
            <v>30</v>
          </cell>
        </row>
        <row r="1822">
          <cell r="B1822">
            <v>2.1076388888888419E-2</v>
          </cell>
          <cell r="C1822">
            <v>30</v>
          </cell>
        </row>
        <row r="1823">
          <cell r="B1823">
            <v>2.1087962962962493E-2</v>
          </cell>
          <cell r="C1823">
            <v>30</v>
          </cell>
        </row>
        <row r="1824">
          <cell r="B1824">
            <v>2.1099537037036566E-2</v>
          </cell>
          <cell r="C1824">
            <v>30</v>
          </cell>
        </row>
        <row r="1825">
          <cell r="B1825">
            <v>2.111111111111064E-2</v>
          </cell>
          <cell r="C1825">
            <v>30</v>
          </cell>
        </row>
        <row r="1826">
          <cell r="B1826">
            <v>2.1122685185184713E-2</v>
          </cell>
          <cell r="C1826">
            <v>30</v>
          </cell>
        </row>
        <row r="1827">
          <cell r="B1827">
            <v>2.1134259259258787E-2</v>
          </cell>
          <cell r="C1827">
            <v>30</v>
          </cell>
        </row>
        <row r="1828">
          <cell r="B1828">
            <v>2.1145833333332861E-2</v>
          </cell>
          <cell r="C1828">
            <v>30</v>
          </cell>
        </row>
        <row r="1829">
          <cell r="B1829">
            <v>2.1157407407406934E-2</v>
          </cell>
          <cell r="C1829">
            <v>30</v>
          </cell>
        </row>
        <row r="1830">
          <cell r="B1830">
            <v>2.1168981481481008E-2</v>
          </cell>
          <cell r="C1830">
            <v>30</v>
          </cell>
        </row>
        <row r="1831">
          <cell r="B1831">
            <v>2.1180555555555081E-2</v>
          </cell>
          <cell r="C1831">
            <v>30</v>
          </cell>
        </row>
        <row r="1832">
          <cell r="B1832">
            <v>2.1192129629629155E-2</v>
          </cell>
          <cell r="C1832">
            <v>30</v>
          </cell>
        </row>
        <row r="1833">
          <cell r="B1833">
            <v>2.1203703703703228E-2</v>
          </cell>
          <cell r="C1833">
            <v>30</v>
          </cell>
        </row>
        <row r="1834">
          <cell r="B1834">
            <v>2.1215277777777302E-2</v>
          </cell>
          <cell r="C1834">
            <v>30</v>
          </cell>
        </row>
        <row r="1835">
          <cell r="B1835">
            <v>2.1226851851851376E-2</v>
          </cell>
          <cell r="C1835">
            <v>30</v>
          </cell>
        </row>
        <row r="1836">
          <cell r="B1836">
            <v>2.1238425925925449E-2</v>
          </cell>
          <cell r="C1836">
            <v>30</v>
          </cell>
        </row>
        <row r="1837">
          <cell r="B1837">
            <v>2.1249999999999523E-2</v>
          </cell>
          <cell r="C1837">
            <v>30</v>
          </cell>
        </row>
        <row r="1838">
          <cell r="B1838">
            <v>2.1261574074073596E-2</v>
          </cell>
          <cell r="C1838">
            <v>30</v>
          </cell>
        </row>
        <row r="1839">
          <cell r="B1839">
            <v>2.127314814814767E-2</v>
          </cell>
          <cell r="C1839">
            <v>30</v>
          </cell>
        </row>
        <row r="1840">
          <cell r="B1840">
            <v>2.1284722222221743E-2</v>
          </cell>
          <cell r="C1840">
            <v>30</v>
          </cell>
        </row>
        <row r="1841">
          <cell r="B1841">
            <v>2.1296296296295817E-2</v>
          </cell>
          <cell r="C1841">
            <v>30</v>
          </cell>
        </row>
        <row r="1842">
          <cell r="B1842">
            <v>2.1307870370369891E-2</v>
          </cell>
          <cell r="C1842">
            <v>30</v>
          </cell>
        </row>
        <row r="1843">
          <cell r="B1843">
            <v>2.1319444444443964E-2</v>
          </cell>
          <cell r="C1843">
            <v>30</v>
          </cell>
        </row>
        <row r="1844">
          <cell r="B1844">
            <v>2.1331018518518038E-2</v>
          </cell>
          <cell r="C1844">
            <v>30</v>
          </cell>
        </row>
        <row r="1845">
          <cell r="B1845">
            <v>2.1342592592592111E-2</v>
          </cell>
          <cell r="C1845">
            <v>30</v>
          </cell>
        </row>
        <row r="1846">
          <cell r="B1846">
            <v>2.1354166666666185E-2</v>
          </cell>
          <cell r="C1846">
            <v>30</v>
          </cell>
        </row>
        <row r="1847">
          <cell r="B1847">
            <v>2.1365740740740258E-2</v>
          </cell>
          <cell r="C1847">
            <v>30</v>
          </cell>
        </row>
        <row r="1848">
          <cell r="B1848">
            <v>2.1377314814814332E-2</v>
          </cell>
          <cell r="C1848">
            <v>30</v>
          </cell>
        </row>
        <row r="1849">
          <cell r="B1849">
            <v>2.1388888888888406E-2</v>
          </cell>
          <cell r="C1849">
            <v>30</v>
          </cell>
        </row>
        <row r="1850">
          <cell r="B1850">
            <v>2.1400462962962479E-2</v>
          </cell>
          <cell r="C1850">
            <v>30</v>
          </cell>
        </row>
        <row r="1851">
          <cell r="B1851">
            <v>2.1412037037036553E-2</v>
          </cell>
          <cell r="C1851">
            <v>30</v>
          </cell>
        </row>
        <row r="1852">
          <cell r="B1852">
            <v>2.1423611111110626E-2</v>
          </cell>
          <cell r="C1852">
            <v>30</v>
          </cell>
        </row>
        <row r="1853">
          <cell r="B1853">
            <v>2.14351851851847E-2</v>
          </cell>
          <cell r="C1853">
            <v>30</v>
          </cell>
        </row>
        <row r="1854">
          <cell r="B1854">
            <v>2.1446759259258773E-2</v>
          </cell>
          <cell r="C1854">
            <v>30</v>
          </cell>
        </row>
        <row r="1855">
          <cell r="B1855">
            <v>2.1458333333332847E-2</v>
          </cell>
          <cell r="C1855">
            <v>30</v>
          </cell>
        </row>
        <row r="1856">
          <cell r="B1856">
            <v>2.1469907407406921E-2</v>
          </cell>
          <cell r="C1856">
            <v>30</v>
          </cell>
        </row>
        <row r="1857">
          <cell r="B1857">
            <v>2.1481481481480994E-2</v>
          </cell>
          <cell r="C1857">
            <v>30</v>
          </cell>
        </row>
        <row r="1858">
          <cell r="B1858">
            <v>2.1493055555555068E-2</v>
          </cell>
          <cell r="C1858">
            <v>30</v>
          </cell>
        </row>
        <row r="1859">
          <cell r="B1859">
            <v>2.1504629629629141E-2</v>
          </cell>
          <cell r="C1859">
            <v>30</v>
          </cell>
        </row>
        <row r="1860">
          <cell r="B1860">
            <v>2.1516203703703215E-2</v>
          </cell>
          <cell r="C1860">
            <v>30</v>
          </cell>
        </row>
        <row r="1861">
          <cell r="B1861">
            <v>2.1527777777777288E-2</v>
          </cell>
          <cell r="C1861">
            <v>31</v>
          </cell>
        </row>
        <row r="1862">
          <cell r="B1862">
            <v>2.1539351851851362E-2</v>
          </cell>
          <cell r="C1862">
            <v>31</v>
          </cell>
        </row>
        <row r="1863">
          <cell r="B1863">
            <v>2.1550925925925436E-2</v>
          </cell>
          <cell r="C1863">
            <v>31</v>
          </cell>
        </row>
        <row r="1864">
          <cell r="B1864">
            <v>2.1562499999999509E-2</v>
          </cell>
          <cell r="C1864">
            <v>31</v>
          </cell>
        </row>
        <row r="1865">
          <cell r="B1865">
            <v>2.1574074074073583E-2</v>
          </cell>
          <cell r="C1865">
            <v>31</v>
          </cell>
        </row>
        <row r="1866">
          <cell r="B1866">
            <v>2.1585648148147656E-2</v>
          </cell>
          <cell r="C1866">
            <v>31</v>
          </cell>
        </row>
        <row r="1867">
          <cell r="B1867">
            <v>2.159722222222173E-2</v>
          </cell>
          <cell r="C1867">
            <v>31</v>
          </cell>
        </row>
        <row r="1868">
          <cell r="B1868">
            <v>2.1608796296295803E-2</v>
          </cell>
          <cell r="C1868">
            <v>31</v>
          </cell>
        </row>
        <row r="1869">
          <cell r="B1869">
            <v>2.1620370370369877E-2</v>
          </cell>
          <cell r="C1869">
            <v>31</v>
          </cell>
        </row>
        <row r="1870">
          <cell r="B1870">
            <v>2.1631944444443951E-2</v>
          </cell>
          <cell r="C1870">
            <v>31</v>
          </cell>
        </row>
        <row r="1871">
          <cell r="B1871">
            <v>2.1643518518518024E-2</v>
          </cell>
          <cell r="C1871">
            <v>31</v>
          </cell>
        </row>
        <row r="1872">
          <cell r="B1872">
            <v>2.1655092592592098E-2</v>
          </cell>
          <cell r="C1872">
            <v>31</v>
          </cell>
        </row>
        <row r="1873">
          <cell r="B1873">
            <v>2.1666666666666171E-2</v>
          </cell>
          <cell r="C1873">
            <v>31</v>
          </cell>
        </row>
        <row r="1874">
          <cell r="B1874">
            <v>2.1678240740740245E-2</v>
          </cell>
          <cell r="C1874">
            <v>31</v>
          </cell>
        </row>
        <row r="1875">
          <cell r="B1875">
            <v>2.1689814814814318E-2</v>
          </cell>
          <cell r="C1875">
            <v>31</v>
          </cell>
        </row>
        <row r="1876">
          <cell r="B1876">
            <v>2.1701388888888392E-2</v>
          </cell>
          <cell r="C1876">
            <v>31</v>
          </cell>
        </row>
        <row r="1877">
          <cell r="B1877">
            <v>2.1712962962962466E-2</v>
          </cell>
          <cell r="C1877">
            <v>31</v>
          </cell>
        </row>
        <row r="1878">
          <cell r="B1878">
            <v>2.1724537037036539E-2</v>
          </cell>
          <cell r="C1878">
            <v>31</v>
          </cell>
        </row>
        <row r="1879">
          <cell r="B1879">
            <v>2.1736111111110613E-2</v>
          </cell>
          <cell r="C1879">
            <v>31</v>
          </cell>
        </row>
        <row r="1880">
          <cell r="B1880">
            <v>2.1747685185184686E-2</v>
          </cell>
          <cell r="C1880">
            <v>31</v>
          </cell>
        </row>
        <row r="1881">
          <cell r="B1881">
            <v>2.175925925925876E-2</v>
          </cell>
          <cell r="C1881">
            <v>31</v>
          </cell>
        </row>
        <row r="1882">
          <cell r="B1882">
            <v>2.1770833333332833E-2</v>
          </cell>
          <cell r="C1882">
            <v>31</v>
          </cell>
        </row>
        <row r="1883">
          <cell r="B1883">
            <v>2.1782407407406907E-2</v>
          </cell>
          <cell r="C1883">
            <v>31</v>
          </cell>
        </row>
        <row r="1884">
          <cell r="B1884">
            <v>2.1793981481480981E-2</v>
          </cell>
          <cell r="C1884">
            <v>31</v>
          </cell>
        </row>
        <row r="1885">
          <cell r="B1885">
            <v>2.1805555555555054E-2</v>
          </cell>
          <cell r="C1885">
            <v>31</v>
          </cell>
        </row>
        <row r="1886">
          <cell r="B1886">
            <v>2.1817129629629128E-2</v>
          </cell>
          <cell r="C1886">
            <v>31</v>
          </cell>
        </row>
        <row r="1887">
          <cell r="B1887">
            <v>2.1828703703703201E-2</v>
          </cell>
          <cell r="C1887">
            <v>31</v>
          </cell>
        </row>
        <row r="1888">
          <cell r="B1888">
            <v>2.1840277777777275E-2</v>
          </cell>
          <cell r="C1888">
            <v>31</v>
          </cell>
        </row>
        <row r="1889">
          <cell r="B1889">
            <v>2.1851851851851348E-2</v>
          </cell>
          <cell r="C1889">
            <v>31</v>
          </cell>
        </row>
        <row r="1890">
          <cell r="B1890">
            <v>2.1863425925925422E-2</v>
          </cell>
          <cell r="C1890">
            <v>31</v>
          </cell>
        </row>
        <row r="1891">
          <cell r="B1891">
            <v>2.1874999999999496E-2</v>
          </cell>
          <cell r="C1891">
            <v>31</v>
          </cell>
        </row>
        <row r="1892">
          <cell r="B1892">
            <v>2.1886574074073569E-2</v>
          </cell>
          <cell r="C1892">
            <v>31</v>
          </cell>
        </row>
        <row r="1893">
          <cell r="B1893">
            <v>2.1898148148147643E-2</v>
          </cell>
          <cell r="C1893">
            <v>31</v>
          </cell>
        </row>
        <row r="1894">
          <cell r="B1894">
            <v>2.1909722222221716E-2</v>
          </cell>
          <cell r="C1894">
            <v>31</v>
          </cell>
        </row>
        <row r="1895">
          <cell r="B1895">
            <v>2.192129629629579E-2</v>
          </cell>
          <cell r="C1895">
            <v>31</v>
          </cell>
        </row>
        <row r="1896">
          <cell r="B1896">
            <v>2.1932870370369863E-2</v>
          </cell>
          <cell r="C1896">
            <v>31</v>
          </cell>
        </row>
        <row r="1897">
          <cell r="B1897">
            <v>2.1944444444443937E-2</v>
          </cell>
          <cell r="C1897">
            <v>31</v>
          </cell>
        </row>
        <row r="1898">
          <cell r="B1898">
            <v>2.1956018518518011E-2</v>
          </cell>
          <cell r="C1898">
            <v>31</v>
          </cell>
        </row>
        <row r="1899">
          <cell r="B1899">
            <v>2.1967592592592084E-2</v>
          </cell>
          <cell r="C1899">
            <v>31</v>
          </cell>
        </row>
        <row r="1900">
          <cell r="B1900">
            <v>2.1979166666666158E-2</v>
          </cell>
          <cell r="C1900">
            <v>31</v>
          </cell>
        </row>
        <row r="1901">
          <cell r="B1901">
            <v>2.1990740740740231E-2</v>
          </cell>
          <cell r="C1901">
            <v>31</v>
          </cell>
        </row>
        <row r="1902">
          <cell r="B1902">
            <v>2.2002314814814305E-2</v>
          </cell>
          <cell r="C1902">
            <v>31</v>
          </cell>
        </row>
        <row r="1903">
          <cell r="B1903">
            <v>2.2013888888888378E-2</v>
          </cell>
          <cell r="C1903">
            <v>31</v>
          </cell>
        </row>
        <row r="1904">
          <cell r="B1904">
            <v>2.2025462962962452E-2</v>
          </cell>
          <cell r="C1904">
            <v>31</v>
          </cell>
        </row>
        <row r="1905">
          <cell r="B1905">
            <v>2.2037037037036526E-2</v>
          </cell>
          <cell r="C1905">
            <v>31</v>
          </cell>
        </row>
        <row r="1906">
          <cell r="B1906">
            <v>2.2048611111110599E-2</v>
          </cell>
          <cell r="C1906">
            <v>31</v>
          </cell>
        </row>
        <row r="1907">
          <cell r="B1907">
            <v>2.2060185185184673E-2</v>
          </cell>
          <cell r="C1907">
            <v>31</v>
          </cell>
        </row>
        <row r="1908">
          <cell r="B1908">
            <v>2.2071759259258746E-2</v>
          </cell>
          <cell r="C1908">
            <v>31</v>
          </cell>
        </row>
        <row r="1909">
          <cell r="B1909">
            <v>2.208333333333282E-2</v>
          </cell>
          <cell r="C1909">
            <v>31</v>
          </cell>
        </row>
        <row r="1910">
          <cell r="B1910">
            <v>2.2094907407406893E-2</v>
          </cell>
          <cell r="C1910">
            <v>31</v>
          </cell>
        </row>
        <row r="1911">
          <cell r="B1911">
            <v>2.2106481481480967E-2</v>
          </cell>
          <cell r="C1911">
            <v>31</v>
          </cell>
        </row>
        <row r="1912">
          <cell r="B1912">
            <v>2.2118055555555041E-2</v>
          </cell>
          <cell r="C1912">
            <v>31</v>
          </cell>
        </row>
        <row r="1913">
          <cell r="B1913">
            <v>2.2129629629629114E-2</v>
          </cell>
          <cell r="C1913">
            <v>31</v>
          </cell>
        </row>
        <row r="1914">
          <cell r="B1914">
            <v>2.2141203703703188E-2</v>
          </cell>
          <cell r="C1914">
            <v>31</v>
          </cell>
        </row>
        <row r="1915">
          <cell r="B1915">
            <v>2.2152777777777261E-2</v>
          </cell>
          <cell r="C1915">
            <v>31</v>
          </cell>
        </row>
        <row r="1916">
          <cell r="B1916">
            <v>2.2164351851851335E-2</v>
          </cell>
          <cell r="C1916">
            <v>31</v>
          </cell>
        </row>
        <row r="1917">
          <cell r="B1917">
            <v>2.2175925925925408E-2</v>
          </cell>
          <cell r="C1917">
            <v>31</v>
          </cell>
        </row>
        <row r="1918">
          <cell r="B1918">
            <v>2.2187499999999482E-2</v>
          </cell>
          <cell r="C1918">
            <v>31</v>
          </cell>
        </row>
        <row r="1919">
          <cell r="B1919">
            <v>2.2199074074073556E-2</v>
          </cell>
          <cell r="C1919">
            <v>31</v>
          </cell>
        </row>
        <row r="1920">
          <cell r="B1920">
            <v>2.2210648148147629E-2</v>
          </cell>
          <cell r="C1920">
            <v>31</v>
          </cell>
        </row>
        <row r="1921">
          <cell r="B1921">
            <v>2.2222222222221703E-2</v>
          </cell>
          <cell r="C1921">
            <v>32</v>
          </cell>
        </row>
        <row r="1922">
          <cell r="B1922">
            <v>2.2233796296295776E-2</v>
          </cell>
          <cell r="C1922">
            <v>32</v>
          </cell>
        </row>
        <row r="1923">
          <cell r="B1923">
            <v>2.224537037036985E-2</v>
          </cell>
          <cell r="C1923">
            <v>32</v>
          </cell>
        </row>
        <row r="1924">
          <cell r="B1924">
            <v>2.2256944444443923E-2</v>
          </cell>
          <cell r="C1924">
            <v>32</v>
          </cell>
        </row>
        <row r="1925">
          <cell r="B1925">
            <v>2.2268518518517997E-2</v>
          </cell>
          <cell r="C1925">
            <v>32</v>
          </cell>
        </row>
        <row r="1926">
          <cell r="B1926">
            <v>2.2280092592592071E-2</v>
          </cell>
          <cell r="C1926">
            <v>32</v>
          </cell>
        </row>
        <row r="1927">
          <cell r="B1927">
            <v>2.2291666666666144E-2</v>
          </cell>
          <cell r="C1927">
            <v>32</v>
          </cell>
        </row>
        <row r="1928">
          <cell r="B1928">
            <v>2.2303240740740218E-2</v>
          </cell>
          <cell r="C1928">
            <v>32</v>
          </cell>
        </row>
        <row r="1929">
          <cell r="B1929">
            <v>2.2314814814814291E-2</v>
          </cell>
          <cell r="C1929">
            <v>32</v>
          </cell>
        </row>
        <row r="1930">
          <cell r="B1930">
            <v>2.2326388888888365E-2</v>
          </cell>
          <cell r="C1930">
            <v>32</v>
          </cell>
        </row>
        <row r="1931">
          <cell r="B1931">
            <v>2.2337962962962438E-2</v>
          </cell>
          <cell r="C1931">
            <v>32</v>
          </cell>
        </row>
        <row r="1932">
          <cell r="B1932">
            <v>2.2349537037036512E-2</v>
          </cell>
          <cell r="C1932">
            <v>32</v>
          </cell>
        </row>
        <row r="1933">
          <cell r="B1933">
            <v>2.2361111111110585E-2</v>
          </cell>
          <cell r="C1933">
            <v>32</v>
          </cell>
        </row>
        <row r="1934">
          <cell r="B1934">
            <v>2.2372685185184659E-2</v>
          </cell>
          <cell r="C1934">
            <v>32</v>
          </cell>
        </row>
        <row r="1935">
          <cell r="B1935">
            <v>2.2384259259258733E-2</v>
          </cell>
          <cell r="C1935">
            <v>32</v>
          </cell>
        </row>
        <row r="1936">
          <cell r="B1936">
            <v>2.2395833333332806E-2</v>
          </cell>
          <cell r="C1936">
            <v>32</v>
          </cell>
        </row>
        <row r="1937">
          <cell r="B1937">
            <v>2.240740740740688E-2</v>
          </cell>
          <cell r="C1937">
            <v>32</v>
          </cell>
        </row>
        <row r="1938">
          <cell r="B1938">
            <v>2.2418981481480953E-2</v>
          </cell>
          <cell r="C1938">
            <v>32</v>
          </cell>
        </row>
        <row r="1939">
          <cell r="B1939">
            <v>2.2430555555555027E-2</v>
          </cell>
          <cell r="C1939">
            <v>32</v>
          </cell>
        </row>
        <row r="1940">
          <cell r="B1940">
            <v>2.24421296296291E-2</v>
          </cell>
          <cell r="C1940">
            <v>32</v>
          </cell>
        </row>
        <row r="1941">
          <cell r="B1941">
            <v>2.2453703703703174E-2</v>
          </cell>
          <cell r="C1941">
            <v>32</v>
          </cell>
        </row>
        <row r="1942">
          <cell r="B1942">
            <v>2.2465277777777248E-2</v>
          </cell>
          <cell r="C1942">
            <v>32</v>
          </cell>
        </row>
        <row r="1943">
          <cell r="B1943">
            <v>2.2476851851851321E-2</v>
          </cell>
          <cell r="C1943">
            <v>32</v>
          </cell>
        </row>
        <row r="1944">
          <cell r="B1944">
            <v>2.2488425925925395E-2</v>
          </cell>
          <cell r="C1944">
            <v>32</v>
          </cell>
        </row>
        <row r="1945">
          <cell r="B1945">
            <v>2.2499999999999468E-2</v>
          </cell>
          <cell r="C1945">
            <v>32</v>
          </cell>
        </row>
        <row r="1946">
          <cell r="B1946">
            <v>2.2511574074073542E-2</v>
          </cell>
          <cell r="C1946">
            <v>32</v>
          </cell>
        </row>
        <row r="1947">
          <cell r="B1947">
            <v>2.2523148148147615E-2</v>
          </cell>
          <cell r="C1947">
            <v>32</v>
          </cell>
        </row>
        <row r="1948">
          <cell r="B1948">
            <v>2.2534722222221689E-2</v>
          </cell>
          <cell r="C1948">
            <v>32</v>
          </cell>
        </row>
        <row r="1949">
          <cell r="B1949">
            <v>2.2546296296295763E-2</v>
          </cell>
          <cell r="C1949">
            <v>32</v>
          </cell>
        </row>
        <row r="1950">
          <cell r="B1950">
            <v>2.2557870370369836E-2</v>
          </cell>
          <cell r="C1950">
            <v>32</v>
          </cell>
        </row>
        <row r="1951">
          <cell r="B1951">
            <v>2.256944444444391E-2</v>
          </cell>
          <cell r="C1951">
            <v>32</v>
          </cell>
        </row>
        <row r="1952">
          <cell r="B1952">
            <v>2.2581018518517983E-2</v>
          </cell>
          <cell r="C1952">
            <v>32</v>
          </cell>
        </row>
        <row r="1953">
          <cell r="B1953">
            <v>2.2592592592592057E-2</v>
          </cell>
          <cell r="C1953">
            <v>32</v>
          </cell>
        </row>
        <row r="1954">
          <cell r="B1954">
            <v>2.260416666666613E-2</v>
          </cell>
          <cell r="C1954">
            <v>32</v>
          </cell>
        </row>
        <row r="1955">
          <cell r="B1955">
            <v>2.2615740740740204E-2</v>
          </cell>
          <cell r="C1955">
            <v>32</v>
          </cell>
        </row>
        <row r="1956">
          <cell r="B1956">
            <v>2.2627314814814278E-2</v>
          </cell>
          <cell r="C1956">
            <v>32</v>
          </cell>
        </row>
        <row r="1957">
          <cell r="B1957">
            <v>2.2638888888888351E-2</v>
          </cell>
          <cell r="C1957">
            <v>32</v>
          </cell>
        </row>
        <row r="1958">
          <cell r="B1958">
            <v>2.2650462962962425E-2</v>
          </cell>
          <cell r="C1958">
            <v>32</v>
          </cell>
        </row>
        <row r="1959">
          <cell r="B1959">
            <v>2.2662037037036498E-2</v>
          </cell>
          <cell r="C1959">
            <v>32</v>
          </cell>
        </row>
        <row r="1960">
          <cell r="B1960">
            <v>2.2673611111110572E-2</v>
          </cell>
          <cell r="C1960">
            <v>32</v>
          </cell>
        </row>
        <row r="1961">
          <cell r="B1961">
            <v>2.2685185185184645E-2</v>
          </cell>
          <cell r="C1961">
            <v>32</v>
          </cell>
        </row>
        <row r="1962">
          <cell r="B1962">
            <v>2.2696759259258719E-2</v>
          </cell>
          <cell r="C1962">
            <v>32</v>
          </cell>
        </row>
        <row r="1963">
          <cell r="B1963">
            <v>2.2708333333332793E-2</v>
          </cell>
          <cell r="C1963">
            <v>32</v>
          </cell>
        </row>
        <row r="1964">
          <cell r="B1964">
            <v>2.2719907407406866E-2</v>
          </cell>
          <cell r="C1964">
            <v>32</v>
          </cell>
        </row>
        <row r="1965">
          <cell r="B1965">
            <v>2.273148148148094E-2</v>
          </cell>
          <cell r="C1965">
            <v>32</v>
          </cell>
        </row>
        <row r="1966">
          <cell r="B1966">
            <v>2.2743055555555013E-2</v>
          </cell>
          <cell r="C1966">
            <v>32</v>
          </cell>
        </row>
        <row r="1967">
          <cell r="B1967">
            <v>2.2754629629629087E-2</v>
          </cell>
          <cell r="C1967">
            <v>32</v>
          </cell>
        </row>
        <row r="1968">
          <cell r="B1968">
            <v>2.276620370370316E-2</v>
          </cell>
          <cell r="C1968">
            <v>32</v>
          </cell>
        </row>
        <row r="1969">
          <cell r="B1969">
            <v>2.2777777777777234E-2</v>
          </cell>
          <cell r="C1969">
            <v>32</v>
          </cell>
        </row>
        <row r="1970">
          <cell r="B1970">
            <v>2.2789351851851308E-2</v>
          </cell>
          <cell r="C1970">
            <v>32</v>
          </cell>
        </row>
        <row r="1971">
          <cell r="B1971">
            <v>2.2800925925925381E-2</v>
          </cell>
          <cell r="C1971">
            <v>32</v>
          </cell>
        </row>
        <row r="1972">
          <cell r="B1972">
            <v>2.2812499999999455E-2</v>
          </cell>
          <cell r="C1972">
            <v>32</v>
          </cell>
        </row>
        <row r="1973">
          <cell r="B1973">
            <v>2.2824074074073528E-2</v>
          </cell>
          <cell r="C1973">
            <v>32</v>
          </cell>
        </row>
        <row r="1974">
          <cell r="B1974">
            <v>2.2835648148147602E-2</v>
          </cell>
          <cell r="C1974">
            <v>32</v>
          </cell>
        </row>
        <row r="1975">
          <cell r="B1975">
            <v>2.2847222222221675E-2</v>
          </cell>
          <cell r="C1975">
            <v>32</v>
          </cell>
        </row>
        <row r="1976">
          <cell r="B1976">
            <v>2.2858796296295749E-2</v>
          </cell>
          <cell r="C1976">
            <v>32</v>
          </cell>
        </row>
        <row r="1977">
          <cell r="B1977">
            <v>2.2870370370369823E-2</v>
          </cell>
          <cell r="C1977">
            <v>32</v>
          </cell>
        </row>
        <row r="1978">
          <cell r="B1978">
            <v>2.2881944444443896E-2</v>
          </cell>
          <cell r="C1978">
            <v>32</v>
          </cell>
        </row>
        <row r="1979">
          <cell r="B1979">
            <v>2.289351851851797E-2</v>
          </cell>
          <cell r="C1979">
            <v>32</v>
          </cell>
        </row>
        <row r="1980">
          <cell r="B1980">
            <v>2.2905092592592043E-2</v>
          </cell>
          <cell r="C1980">
            <v>32</v>
          </cell>
        </row>
        <row r="1981">
          <cell r="B1981">
            <v>2.2916666666666117E-2</v>
          </cell>
          <cell r="C1981">
            <v>33</v>
          </cell>
        </row>
        <row r="1982">
          <cell r="B1982">
            <v>2.292824074074019E-2</v>
          </cell>
          <cell r="C1982">
            <v>33</v>
          </cell>
        </row>
        <row r="1983">
          <cell r="B1983">
            <v>2.2939814814814264E-2</v>
          </cell>
          <cell r="C1983">
            <v>33</v>
          </cell>
        </row>
        <row r="1984">
          <cell r="B1984">
            <v>2.2951388888888338E-2</v>
          </cell>
          <cell r="C1984">
            <v>33</v>
          </cell>
        </row>
        <row r="1985">
          <cell r="B1985">
            <v>2.2962962962962411E-2</v>
          </cell>
          <cell r="C1985">
            <v>33</v>
          </cell>
        </row>
        <row r="1986">
          <cell r="B1986">
            <v>2.2974537037036485E-2</v>
          </cell>
          <cell r="C1986">
            <v>33</v>
          </cell>
        </row>
        <row r="1987">
          <cell r="B1987">
            <v>2.2986111111110558E-2</v>
          </cell>
          <cell r="C1987">
            <v>33</v>
          </cell>
        </row>
        <row r="1988">
          <cell r="B1988">
            <v>2.2997685185184632E-2</v>
          </cell>
          <cell r="C1988">
            <v>33</v>
          </cell>
        </row>
        <row r="1989">
          <cell r="B1989">
            <v>2.3009259259258705E-2</v>
          </cell>
          <cell r="C1989">
            <v>33</v>
          </cell>
        </row>
        <row r="1990">
          <cell r="B1990">
            <v>2.3020833333332779E-2</v>
          </cell>
          <cell r="C1990">
            <v>33</v>
          </cell>
        </row>
        <row r="1991">
          <cell r="B1991">
            <v>2.3032407407406853E-2</v>
          </cell>
          <cell r="C1991">
            <v>33</v>
          </cell>
        </row>
        <row r="1992">
          <cell r="B1992">
            <v>2.3043981481480926E-2</v>
          </cell>
          <cell r="C1992">
            <v>33</v>
          </cell>
        </row>
        <row r="1993">
          <cell r="B1993">
            <v>2.3055555555555E-2</v>
          </cell>
          <cell r="C1993">
            <v>33</v>
          </cell>
        </row>
        <row r="1994">
          <cell r="B1994">
            <v>2.3067129629629073E-2</v>
          </cell>
          <cell r="C1994">
            <v>33</v>
          </cell>
        </row>
        <row r="1995">
          <cell r="B1995">
            <v>2.3078703703703147E-2</v>
          </cell>
          <cell r="C1995">
            <v>33</v>
          </cell>
        </row>
        <row r="1996">
          <cell r="B1996">
            <v>2.309027777777722E-2</v>
          </cell>
          <cell r="C1996">
            <v>33</v>
          </cell>
        </row>
        <row r="1997">
          <cell r="B1997">
            <v>2.3101851851851294E-2</v>
          </cell>
          <cell r="C1997">
            <v>33</v>
          </cell>
        </row>
        <row r="1998">
          <cell r="B1998">
            <v>2.3113425925925368E-2</v>
          </cell>
          <cell r="C1998">
            <v>33</v>
          </cell>
        </row>
        <row r="1999">
          <cell r="B1999">
            <v>2.3124999999999441E-2</v>
          </cell>
          <cell r="C1999">
            <v>33</v>
          </cell>
        </row>
        <row r="2000">
          <cell r="B2000">
            <v>2.3136574074073515E-2</v>
          </cell>
          <cell r="C2000">
            <v>33</v>
          </cell>
        </row>
        <row r="2001">
          <cell r="B2001">
            <v>2.3148148148147588E-2</v>
          </cell>
          <cell r="C2001">
            <v>33</v>
          </cell>
        </row>
        <row r="2002">
          <cell r="B2002">
            <v>2.3159722222221662E-2</v>
          </cell>
          <cell r="C2002">
            <v>33</v>
          </cell>
        </row>
        <row r="2003">
          <cell r="B2003">
            <v>2.3171296296295735E-2</v>
          </cell>
          <cell r="C2003">
            <v>33</v>
          </cell>
        </row>
        <row r="2004">
          <cell r="B2004">
            <v>2.3182870370369809E-2</v>
          </cell>
          <cell r="C2004">
            <v>33</v>
          </cell>
        </row>
        <row r="2005">
          <cell r="B2005">
            <v>2.3194444444443883E-2</v>
          </cell>
          <cell r="C2005">
            <v>33</v>
          </cell>
        </row>
        <row r="2006">
          <cell r="B2006">
            <v>2.3206018518517956E-2</v>
          </cell>
          <cell r="C2006">
            <v>33</v>
          </cell>
        </row>
        <row r="2007">
          <cell r="B2007">
            <v>2.321759259259203E-2</v>
          </cell>
          <cell r="C2007">
            <v>33</v>
          </cell>
        </row>
        <row r="2008">
          <cell r="B2008">
            <v>2.3229166666666103E-2</v>
          </cell>
          <cell r="C2008">
            <v>33</v>
          </cell>
        </row>
        <row r="2009">
          <cell r="B2009">
            <v>2.3240740740740177E-2</v>
          </cell>
          <cell r="C2009">
            <v>33</v>
          </cell>
        </row>
        <row r="2010">
          <cell r="B2010">
            <v>2.325231481481425E-2</v>
          </cell>
          <cell r="C2010">
            <v>33</v>
          </cell>
        </row>
        <row r="2011">
          <cell r="B2011">
            <v>2.3263888888888324E-2</v>
          </cell>
          <cell r="C2011">
            <v>33</v>
          </cell>
        </row>
        <row r="2012">
          <cell r="B2012">
            <v>2.3275462962962398E-2</v>
          </cell>
          <cell r="C2012">
            <v>33</v>
          </cell>
        </row>
        <row r="2013">
          <cell r="B2013">
            <v>2.3287037037036471E-2</v>
          </cell>
          <cell r="C2013">
            <v>33</v>
          </cell>
        </row>
        <row r="2014">
          <cell r="B2014">
            <v>2.3298611111110545E-2</v>
          </cell>
          <cell r="C2014">
            <v>33</v>
          </cell>
        </row>
        <row r="2015">
          <cell r="B2015">
            <v>2.3310185185184618E-2</v>
          </cell>
          <cell r="C2015">
            <v>33</v>
          </cell>
        </row>
        <row r="2016">
          <cell r="B2016">
            <v>2.3321759259258692E-2</v>
          </cell>
          <cell r="C2016">
            <v>33</v>
          </cell>
        </row>
        <row r="2017">
          <cell r="B2017">
            <v>2.3333333333332765E-2</v>
          </cell>
          <cell r="C2017">
            <v>33</v>
          </cell>
        </row>
        <row r="2018">
          <cell r="B2018">
            <v>2.3344907407406839E-2</v>
          </cell>
          <cell r="C2018">
            <v>33</v>
          </cell>
        </row>
        <row r="2019">
          <cell r="B2019">
            <v>2.3356481481480913E-2</v>
          </cell>
          <cell r="C2019">
            <v>33</v>
          </cell>
        </row>
        <row r="2020">
          <cell r="B2020">
            <v>2.3368055555554986E-2</v>
          </cell>
          <cell r="C2020">
            <v>33</v>
          </cell>
        </row>
        <row r="2021">
          <cell r="B2021">
            <v>2.337962962962906E-2</v>
          </cell>
          <cell r="C2021">
            <v>33</v>
          </cell>
        </row>
        <row r="2022">
          <cell r="B2022">
            <v>2.3391203703703133E-2</v>
          </cell>
          <cell r="C2022">
            <v>33</v>
          </cell>
        </row>
        <row r="2023">
          <cell r="B2023">
            <v>2.3402777777777207E-2</v>
          </cell>
          <cell r="C2023">
            <v>33</v>
          </cell>
        </row>
        <row r="2024">
          <cell r="B2024">
            <v>2.341435185185128E-2</v>
          </cell>
          <cell r="C2024">
            <v>33</v>
          </cell>
        </row>
        <row r="2025">
          <cell r="B2025">
            <v>2.3425925925925354E-2</v>
          </cell>
          <cell r="C2025">
            <v>33</v>
          </cell>
        </row>
        <row r="2026">
          <cell r="B2026">
            <v>2.3437499999999428E-2</v>
          </cell>
          <cell r="C2026">
            <v>33</v>
          </cell>
        </row>
        <row r="2027">
          <cell r="B2027">
            <v>2.3449074074073501E-2</v>
          </cell>
          <cell r="C2027">
            <v>33</v>
          </cell>
        </row>
        <row r="2028">
          <cell r="B2028">
            <v>2.3460648148147575E-2</v>
          </cell>
          <cell r="C2028">
            <v>33</v>
          </cell>
        </row>
        <row r="2029">
          <cell r="B2029">
            <v>2.3472222222221648E-2</v>
          </cell>
          <cell r="C2029">
            <v>33</v>
          </cell>
        </row>
        <row r="2030">
          <cell r="B2030">
            <v>2.3483796296295722E-2</v>
          </cell>
          <cell r="C2030">
            <v>33</v>
          </cell>
        </row>
        <row r="2031">
          <cell r="B2031">
            <v>2.3495370370369795E-2</v>
          </cell>
          <cell r="C2031">
            <v>33</v>
          </cell>
        </row>
        <row r="2032">
          <cell r="B2032">
            <v>2.3506944444443869E-2</v>
          </cell>
          <cell r="C2032">
            <v>33</v>
          </cell>
        </row>
        <row r="2033">
          <cell r="B2033">
            <v>2.3518518518517943E-2</v>
          </cell>
          <cell r="C2033">
            <v>33</v>
          </cell>
        </row>
        <row r="2034">
          <cell r="B2034">
            <v>2.3530092592592016E-2</v>
          </cell>
          <cell r="C2034">
            <v>33</v>
          </cell>
        </row>
        <row r="2035">
          <cell r="B2035">
            <v>2.354166666666609E-2</v>
          </cell>
          <cell r="C2035">
            <v>33</v>
          </cell>
        </row>
        <row r="2036">
          <cell r="B2036">
            <v>2.3553240740740163E-2</v>
          </cell>
          <cell r="C2036">
            <v>33</v>
          </cell>
        </row>
        <row r="2037">
          <cell r="B2037">
            <v>2.3564814814814237E-2</v>
          </cell>
          <cell r="C2037">
            <v>33</v>
          </cell>
        </row>
        <row r="2038">
          <cell r="B2038">
            <v>2.357638888888831E-2</v>
          </cell>
          <cell r="C2038">
            <v>33</v>
          </cell>
        </row>
        <row r="2039">
          <cell r="B2039">
            <v>2.3587962962962384E-2</v>
          </cell>
          <cell r="C2039">
            <v>33</v>
          </cell>
        </row>
        <row r="2040">
          <cell r="B2040">
            <v>2.3599537037036458E-2</v>
          </cell>
          <cell r="C2040">
            <v>33</v>
          </cell>
        </row>
        <row r="2041">
          <cell r="B2041">
            <v>2.3611111111110531E-2</v>
          </cell>
          <cell r="C2041">
            <v>34</v>
          </cell>
        </row>
        <row r="2042">
          <cell r="B2042">
            <v>2.3622685185184605E-2</v>
          </cell>
          <cell r="C2042">
            <v>34</v>
          </cell>
        </row>
        <row r="2043">
          <cell r="B2043">
            <v>2.3634259259258678E-2</v>
          </cell>
          <cell r="C2043">
            <v>34</v>
          </cell>
        </row>
        <row r="2044">
          <cell r="B2044">
            <v>2.3645833333332752E-2</v>
          </cell>
          <cell r="C2044">
            <v>34</v>
          </cell>
        </row>
        <row r="2045">
          <cell r="B2045">
            <v>2.3657407407406825E-2</v>
          </cell>
          <cell r="C2045">
            <v>34</v>
          </cell>
        </row>
        <row r="2046">
          <cell r="B2046">
            <v>2.3668981481480899E-2</v>
          </cell>
          <cell r="C2046">
            <v>34</v>
          </cell>
        </row>
        <row r="2047">
          <cell r="B2047">
            <v>2.3680555555554973E-2</v>
          </cell>
          <cell r="C2047">
            <v>34</v>
          </cell>
        </row>
        <row r="2048">
          <cell r="B2048">
            <v>2.3692129629629046E-2</v>
          </cell>
          <cell r="C2048">
            <v>34</v>
          </cell>
        </row>
        <row r="2049">
          <cell r="B2049">
            <v>2.370370370370312E-2</v>
          </cell>
          <cell r="C2049">
            <v>34</v>
          </cell>
        </row>
        <row r="2050">
          <cell r="B2050">
            <v>2.3715277777777193E-2</v>
          </cell>
          <cell r="C2050">
            <v>34</v>
          </cell>
        </row>
        <row r="2051">
          <cell r="B2051">
            <v>2.3726851851851267E-2</v>
          </cell>
          <cell r="C2051">
            <v>34</v>
          </cell>
        </row>
        <row r="2052">
          <cell r="B2052">
            <v>2.373842592592534E-2</v>
          </cell>
          <cell r="C2052">
            <v>34</v>
          </cell>
        </row>
        <row r="2053">
          <cell r="B2053">
            <v>2.3749999999999414E-2</v>
          </cell>
          <cell r="C2053">
            <v>34</v>
          </cell>
        </row>
        <row r="2054">
          <cell r="B2054">
            <v>2.3761574074073488E-2</v>
          </cell>
          <cell r="C2054">
            <v>34</v>
          </cell>
        </row>
        <row r="2055">
          <cell r="B2055">
            <v>2.3773148148147561E-2</v>
          </cell>
          <cell r="C2055">
            <v>34</v>
          </cell>
        </row>
        <row r="2056">
          <cell r="B2056">
            <v>2.3784722222221635E-2</v>
          </cell>
          <cell r="C2056">
            <v>34</v>
          </cell>
        </row>
        <row r="2057">
          <cell r="B2057">
            <v>2.3796296296295708E-2</v>
          </cell>
          <cell r="C2057">
            <v>34</v>
          </cell>
        </row>
        <row r="2058">
          <cell r="B2058">
            <v>2.3807870370369782E-2</v>
          </cell>
          <cell r="C2058">
            <v>34</v>
          </cell>
        </row>
        <row r="2059">
          <cell r="B2059">
            <v>2.3819444444443855E-2</v>
          </cell>
          <cell r="C2059">
            <v>34</v>
          </cell>
        </row>
        <row r="2060">
          <cell r="B2060">
            <v>2.3831018518517929E-2</v>
          </cell>
          <cell r="C2060">
            <v>34</v>
          </cell>
        </row>
        <row r="2061">
          <cell r="B2061">
            <v>2.3842592592592003E-2</v>
          </cell>
          <cell r="C2061">
            <v>34</v>
          </cell>
        </row>
        <row r="2062">
          <cell r="B2062">
            <v>2.3854166666666076E-2</v>
          </cell>
          <cell r="C2062">
            <v>34</v>
          </cell>
        </row>
        <row r="2063">
          <cell r="B2063">
            <v>2.386574074074015E-2</v>
          </cell>
          <cell r="C2063">
            <v>34</v>
          </cell>
        </row>
        <row r="2064">
          <cell r="B2064">
            <v>2.3877314814814223E-2</v>
          </cell>
          <cell r="C2064">
            <v>34</v>
          </cell>
        </row>
        <row r="2065">
          <cell r="B2065">
            <v>2.3888888888888297E-2</v>
          </cell>
          <cell r="C2065">
            <v>34</v>
          </cell>
        </row>
        <row r="2066">
          <cell r="B2066">
            <v>2.390046296296237E-2</v>
          </cell>
          <cell r="C2066">
            <v>34</v>
          </cell>
        </row>
        <row r="2067">
          <cell r="B2067">
            <v>2.3912037037036444E-2</v>
          </cell>
          <cell r="C2067">
            <v>34</v>
          </cell>
        </row>
        <row r="2068">
          <cell r="B2068">
            <v>2.3923611111110517E-2</v>
          </cell>
          <cell r="C2068">
            <v>34</v>
          </cell>
        </row>
        <row r="2069">
          <cell r="B2069">
            <v>2.3935185185184591E-2</v>
          </cell>
          <cell r="C2069">
            <v>34</v>
          </cell>
        </row>
        <row r="2070">
          <cell r="B2070">
            <v>2.3946759259258665E-2</v>
          </cell>
          <cell r="C2070">
            <v>34</v>
          </cell>
        </row>
        <row r="2071">
          <cell r="B2071">
            <v>2.3958333333332738E-2</v>
          </cell>
          <cell r="C2071">
            <v>34</v>
          </cell>
        </row>
        <row r="2072">
          <cell r="B2072">
            <v>2.3969907407406812E-2</v>
          </cell>
          <cell r="C2072">
            <v>34</v>
          </cell>
        </row>
        <row r="2073">
          <cell r="B2073">
            <v>2.3981481481480885E-2</v>
          </cell>
          <cell r="C2073">
            <v>34</v>
          </cell>
        </row>
        <row r="2074">
          <cell r="B2074">
            <v>2.3993055555554959E-2</v>
          </cell>
          <cell r="C2074">
            <v>34</v>
          </cell>
        </row>
        <row r="2075">
          <cell r="B2075">
            <v>2.4004629629629032E-2</v>
          </cell>
          <cell r="C2075">
            <v>34</v>
          </cell>
        </row>
        <row r="2076">
          <cell r="B2076">
            <v>2.4016203703703106E-2</v>
          </cell>
          <cell r="C2076">
            <v>34</v>
          </cell>
        </row>
        <row r="2077">
          <cell r="B2077">
            <v>2.402777777777718E-2</v>
          </cell>
          <cell r="C2077">
            <v>34</v>
          </cell>
        </row>
        <row r="2078">
          <cell r="B2078">
            <v>2.4039351851851253E-2</v>
          </cell>
          <cell r="C2078">
            <v>34</v>
          </cell>
        </row>
        <row r="2079">
          <cell r="B2079">
            <v>2.4050925925925327E-2</v>
          </cell>
          <cell r="C2079">
            <v>34</v>
          </cell>
        </row>
        <row r="2080">
          <cell r="B2080">
            <v>2.40624999999994E-2</v>
          </cell>
          <cell r="C2080">
            <v>34</v>
          </cell>
        </row>
        <row r="2081">
          <cell r="B2081">
            <v>2.4074074074073474E-2</v>
          </cell>
          <cell r="C2081">
            <v>34</v>
          </cell>
        </row>
        <row r="2082">
          <cell r="B2082">
            <v>2.4085648148147547E-2</v>
          </cell>
          <cell r="C2082">
            <v>34</v>
          </cell>
        </row>
        <row r="2083">
          <cell r="B2083">
            <v>2.4097222222221621E-2</v>
          </cell>
          <cell r="C2083">
            <v>34</v>
          </cell>
        </row>
        <row r="2084">
          <cell r="B2084">
            <v>2.4108796296295695E-2</v>
          </cell>
          <cell r="C2084">
            <v>34</v>
          </cell>
        </row>
        <row r="2085">
          <cell r="B2085">
            <v>2.4120370370369768E-2</v>
          </cell>
          <cell r="C2085">
            <v>34</v>
          </cell>
        </row>
        <row r="2086">
          <cell r="B2086">
            <v>2.4131944444443842E-2</v>
          </cell>
          <cell r="C2086">
            <v>34</v>
          </cell>
        </row>
        <row r="2087">
          <cell r="B2087">
            <v>2.4143518518517915E-2</v>
          </cell>
          <cell r="C2087">
            <v>34</v>
          </cell>
        </row>
        <row r="2088">
          <cell r="B2088">
            <v>2.4155092592591989E-2</v>
          </cell>
          <cell r="C2088">
            <v>34</v>
          </cell>
        </row>
        <row r="2089">
          <cell r="B2089">
            <v>2.4166666666666062E-2</v>
          </cell>
          <cell r="C2089">
            <v>34</v>
          </cell>
        </row>
        <row r="2090">
          <cell r="B2090">
            <v>2.4178240740740136E-2</v>
          </cell>
          <cell r="C2090">
            <v>34</v>
          </cell>
        </row>
        <row r="2091">
          <cell r="B2091">
            <v>2.418981481481421E-2</v>
          </cell>
          <cell r="C2091">
            <v>34</v>
          </cell>
        </row>
        <row r="2092">
          <cell r="B2092">
            <v>2.4201388888888283E-2</v>
          </cell>
          <cell r="C2092">
            <v>34</v>
          </cell>
        </row>
        <row r="2093">
          <cell r="B2093">
            <v>2.4212962962962357E-2</v>
          </cell>
          <cell r="C2093">
            <v>34</v>
          </cell>
        </row>
        <row r="2094">
          <cell r="B2094">
            <v>2.422453703703643E-2</v>
          </cell>
          <cell r="C2094">
            <v>34</v>
          </cell>
        </row>
        <row r="2095">
          <cell r="B2095">
            <v>2.4236111111110504E-2</v>
          </cell>
          <cell r="C2095">
            <v>34</v>
          </cell>
        </row>
        <row r="2096">
          <cell r="B2096">
            <v>2.4247685185184577E-2</v>
          </cell>
          <cell r="C2096">
            <v>34</v>
          </cell>
        </row>
        <row r="2097">
          <cell r="B2097">
            <v>2.4259259259258651E-2</v>
          </cell>
          <cell r="C2097">
            <v>34</v>
          </cell>
        </row>
        <row r="2098">
          <cell r="B2098">
            <v>2.4270833333332725E-2</v>
          </cell>
          <cell r="C2098">
            <v>34</v>
          </cell>
        </row>
        <row r="2099">
          <cell r="B2099">
            <v>2.4282407407406798E-2</v>
          </cell>
          <cell r="C2099">
            <v>34</v>
          </cell>
        </row>
        <row r="2100">
          <cell r="B2100">
            <v>2.4293981481480872E-2</v>
          </cell>
          <cell r="C2100">
            <v>34</v>
          </cell>
        </row>
        <row r="2101">
          <cell r="B2101">
            <v>2.4305555555554945E-2</v>
          </cell>
          <cell r="C2101">
            <v>35</v>
          </cell>
        </row>
        <row r="2102">
          <cell r="B2102">
            <v>2.4317129629629019E-2</v>
          </cell>
          <cell r="C2102">
            <v>35</v>
          </cell>
        </row>
        <row r="2103">
          <cell r="B2103">
            <v>2.4328703703703092E-2</v>
          </cell>
          <cell r="C2103">
            <v>35</v>
          </cell>
        </row>
        <row r="2104">
          <cell r="B2104">
            <v>2.4340277777777166E-2</v>
          </cell>
          <cell r="C2104">
            <v>35</v>
          </cell>
        </row>
        <row r="2105">
          <cell r="B2105">
            <v>2.435185185185124E-2</v>
          </cell>
          <cell r="C2105">
            <v>35</v>
          </cell>
        </row>
        <row r="2106">
          <cell r="B2106">
            <v>2.4363425925925313E-2</v>
          </cell>
          <cell r="C2106">
            <v>35</v>
          </cell>
        </row>
        <row r="2107">
          <cell r="B2107">
            <v>2.4374999999999387E-2</v>
          </cell>
          <cell r="C2107">
            <v>35</v>
          </cell>
        </row>
        <row r="2108">
          <cell r="B2108">
            <v>2.438657407407346E-2</v>
          </cell>
          <cell r="C2108">
            <v>35</v>
          </cell>
        </row>
        <row r="2109">
          <cell r="B2109">
            <v>2.4398148148147534E-2</v>
          </cell>
          <cell r="C2109">
            <v>35</v>
          </cell>
        </row>
        <row r="2110">
          <cell r="B2110">
            <v>2.4409722222221607E-2</v>
          </cell>
          <cell r="C2110">
            <v>35</v>
          </cell>
        </row>
        <row r="2111">
          <cell r="B2111">
            <v>2.4421296296295681E-2</v>
          </cell>
          <cell r="C2111">
            <v>35</v>
          </cell>
        </row>
        <row r="2112">
          <cell r="B2112">
            <v>2.4432870370369755E-2</v>
          </cell>
          <cell r="C2112">
            <v>35</v>
          </cell>
        </row>
        <row r="2113">
          <cell r="B2113">
            <v>2.4444444444443828E-2</v>
          </cell>
          <cell r="C2113">
            <v>35</v>
          </cell>
        </row>
        <row r="2114">
          <cell r="B2114">
            <v>2.4456018518517902E-2</v>
          </cell>
          <cell r="C2114">
            <v>35</v>
          </cell>
        </row>
        <row r="2115">
          <cell r="B2115">
            <v>2.4467592592591975E-2</v>
          </cell>
          <cell r="C2115">
            <v>35</v>
          </cell>
        </row>
        <row r="2116">
          <cell r="B2116">
            <v>2.4479166666666049E-2</v>
          </cell>
          <cell r="C2116">
            <v>35</v>
          </cell>
        </row>
        <row r="2117">
          <cell r="B2117">
            <v>2.4490740740740122E-2</v>
          </cell>
          <cell r="C2117">
            <v>35</v>
          </cell>
        </row>
        <row r="2118">
          <cell r="B2118">
            <v>2.4502314814814196E-2</v>
          </cell>
          <cell r="C2118">
            <v>35</v>
          </cell>
        </row>
        <row r="2119">
          <cell r="B2119">
            <v>2.451388888888827E-2</v>
          </cell>
          <cell r="C2119">
            <v>35</v>
          </cell>
        </row>
        <row r="2120">
          <cell r="B2120">
            <v>2.4525462962962343E-2</v>
          </cell>
          <cell r="C2120">
            <v>35</v>
          </cell>
        </row>
        <row r="2121">
          <cell r="B2121">
            <v>2.4537037037036417E-2</v>
          </cell>
          <cell r="C2121">
            <v>35</v>
          </cell>
        </row>
        <row r="2122">
          <cell r="B2122">
            <v>2.454861111111049E-2</v>
          </cell>
          <cell r="C2122">
            <v>35</v>
          </cell>
        </row>
        <row r="2123">
          <cell r="B2123">
            <v>2.4560185185184564E-2</v>
          </cell>
          <cell r="C2123">
            <v>35</v>
          </cell>
        </row>
        <row r="2124">
          <cell r="B2124">
            <v>2.4571759259258637E-2</v>
          </cell>
          <cell r="C2124">
            <v>35</v>
          </cell>
        </row>
        <row r="2125">
          <cell r="B2125">
            <v>2.4583333333332711E-2</v>
          </cell>
          <cell r="C2125">
            <v>35</v>
          </cell>
        </row>
        <row r="2126">
          <cell r="B2126">
            <v>2.4594907407406785E-2</v>
          </cell>
          <cell r="C2126">
            <v>35</v>
          </cell>
        </row>
        <row r="2127">
          <cell r="B2127">
            <v>2.4606481481480858E-2</v>
          </cell>
          <cell r="C2127">
            <v>35</v>
          </cell>
        </row>
        <row r="2128">
          <cell r="B2128">
            <v>2.4618055555554932E-2</v>
          </cell>
          <cell r="C2128">
            <v>35</v>
          </cell>
        </row>
        <row r="2129">
          <cell r="B2129">
            <v>2.4629629629629005E-2</v>
          </cell>
          <cell r="C2129">
            <v>35</v>
          </cell>
        </row>
        <row r="2130">
          <cell r="B2130">
            <v>2.4641203703703079E-2</v>
          </cell>
          <cell r="C2130">
            <v>35</v>
          </cell>
        </row>
        <row r="2131">
          <cell r="B2131">
            <v>2.4652777777777152E-2</v>
          </cell>
          <cell r="C2131">
            <v>35</v>
          </cell>
        </row>
        <row r="2132">
          <cell r="B2132">
            <v>2.4664351851851226E-2</v>
          </cell>
          <cell r="C2132">
            <v>35</v>
          </cell>
        </row>
        <row r="2133">
          <cell r="B2133">
            <v>2.46759259259253E-2</v>
          </cell>
          <cell r="C2133">
            <v>35</v>
          </cell>
        </row>
        <row r="2134">
          <cell r="B2134">
            <v>2.4687499999999373E-2</v>
          </cell>
          <cell r="C2134">
            <v>35</v>
          </cell>
        </row>
        <row r="2135">
          <cell r="B2135">
            <v>2.4699074074073447E-2</v>
          </cell>
          <cell r="C2135">
            <v>35</v>
          </cell>
        </row>
        <row r="2136">
          <cell r="B2136">
            <v>2.471064814814752E-2</v>
          </cell>
          <cell r="C2136">
            <v>35</v>
          </cell>
        </row>
        <row r="2137">
          <cell r="B2137">
            <v>2.4722222222221594E-2</v>
          </cell>
          <cell r="C2137">
            <v>35</v>
          </cell>
        </row>
        <row r="2138">
          <cell r="B2138">
            <v>2.4733796296295667E-2</v>
          </cell>
          <cell r="C2138">
            <v>35</v>
          </cell>
        </row>
        <row r="2139">
          <cell r="B2139">
            <v>2.4745370370369741E-2</v>
          </cell>
          <cell r="C2139">
            <v>35</v>
          </cell>
        </row>
        <row r="2140">
          <cell r="B2140">
            <v>2.4756944444443815E-2</v>
          </cell>
          <cell r="C2140">
            <v>35</v>
          </cell>
        </row>
        <row r="2141">
          <cell r="B2141">
            <v>2.4768518518517888E-2</v>
          </cell>
          <cell r="C2141">
            <v>35</v>
          </cell>
        </row>
        <row r="2142">
          <cell r="B2142">
            <v>2.4780092592591962E-2</v>
          </cell>
          <cell r="C2142">
            <v>35</v>
          </cell>
        </row>
        <row r="2143">
          <cell r="B2143">
            <v>2.4791666666666035E-2</v>
          </cell>
          <cell r="C2143">
            <v>35</v>
          </cell>
        </row>
        <row r="2144">
          <cell r="B2144">
            <v>2.4803240740740109E-2</v>
          </cell>
          <cell r="C2144">
            <v>35</v>
          </cell>
        </row>
        <row r="2145">
          <cell r="B2145">
            <v>2.4814814814814182E-2</v>
          </cell>
          <cell r="C2145">
            <v>35</v>
          </cell>
        </row>
        <row r="2146">
          <cell r="B2146">
            <v>2.4826388888888256E-2</v>
          </cell>
          <cell r="C2146">
            <v>35</v>
          </cell>
        </row>
        <row r="2147">
          <cell r="B2147">
            <v>2.483796296296233E-2</v>
          </cell>
          <cell r="C2147">
            <v>35</v>
          </cell>
        </row>
        <row r="2148">
          <cell r="B2148">
            <v>2.4849537037036403E-2</v>
          </cell>
          <cell r="C2148">
            <v>35</v>
          </cell>
        </row>
        <row r="2149">
          <cell r="B2149">
            <v>2.4861111111110477E-2</v>
          </cell>
          <cell r="C2149">
            <v>35</v>
          </cell>
        </row>
        <row r="2150">
          <cell r="B2150">
            <v>2.487268518518455E-2</v>
          </cell>
          <cell r="C2150">
            <v>35</v>
          </cell>
        </row>
        <row r="2151">
          <cell r="B2151">
            <v>2.4884259259258624E-2</v>
          </cell>
          <cell r="C2151">
            <v>35</v>
          </cell>
        </row>
        <row r="2152">
          <cell r="B2152">
            <v>2.4895833333332697E-2</v>
          </cell>
          <cell r="C2152">
            <v>35</v>
          </cell>
        </row>
        <row r="2153">
          <cell r="B2153">
            <v>2.4907407407406771E-2</v>
          </cell>
          <cell r="C2153">
            <v>35</v>
          </cell>
        </row>
        <row r="2154">
          <cell r="B2154">
            <v>2.4918981481480845E-2</v>
          </cell>
          <cell r="C2154">
            <v>35</v>
          </cell>
        </row>
        <row r="2155">
          <cell r="B2155">
            <v>2.4930555555554918E-2</v>
          </cell>
          <cell r="C2155">
            <v>35</v>
          </cell>
        </row>
        <row r="2156">
          <cell r="B2156">
            <v>2.4942129629628992E-2</v>
          </cell>
          <cell r="C2156">
            <v>35</v>
          </cell>
        </row>
        <row r="2157">
          <cell r="B2157">
            <v>2.4953703703703065E-2</v>
          </cell>
          <cell r="C2157">
            <v>35</v>
          </cell>
        </row>
        <row r="2158">
          <cell r="B2158">
            <v>2.4965277777777139E-2</v>
          </cell>
          <cell r="C2158">
            <v>35</v>
          </cell>
        </row>
        <row r="2159">
          <cell r="B2159">
            <v>2.4976851851851212E-2</v>
          </cell>
          <cell r="C2159">
            <v>35</v>
          </cell>
        </row>
        <row r="2160">
          <cell r="B2160">
            <v>2.4988425925925286E-2</v>
          </cell>
          <cell r="C2160">
            <v>35</v>
          </cell>
        </row>
        <row r="2161">
          <cell r="B2161">
            <v>2.499999999999936E-2</v>
          </cell>
          <cell r="C2161">
            <v>36</v>
          </cell>
        </row>
        <row r="2162">
          <cell r="B2162">
            <v>2.5011574074073433E-2</v>
          </cell>
          <cell r="C2162">
            <v>36</v>
          </cell>
        </row>
        <row r="2163">
          <cell r="B2163">
            <v>2.5023148148147507E-2</v>
          </cell>
          <cell r="C2163">
            <v>36</v>
          </cell>
        </row>
        <row r="2164">
          <cell r="B2164">
            <v>2.503472222222158E-2</v>
          </cell>
          <cell r="C2164">
            <v>36</v>
          </cell>
        </row>
        <row r="2165">
          <cell r="B2165">
            <v>2.5046296296295654E-2</v>
          </cell>
          <cell r="C2165">
            <v>36</v>
          </cell>
        </row>
        <row r="2166">
          <cell r="B2166">
            <v>2.5057870370369727E-2</v>
          </cell>
          <cell r="C2166">
            <v>36</v>
          </cell>
        </row>
        <row r="2167">
          <cell r="B2167">
            <v>2.5069444444443801E-2</v>
          </cell>
          <cell r="C2167">
            <v>36</v>
          </cell>
        </row>
        <row r="2168">
          <cell r="B2168">
            <v>2.5081018518517875E-2</v>
          </cell>
          <cell r="C2168">
            <v>36</v>
          </cell>
        </row>
        <row r="2169">
          <cell r="B2169">
            <v>2.5092592592591948E-2</v>
          </cell>
          <cell r="C2169">
            <v>36</v>
          </cell>
        </row>
        <row r="2170">
          <cell r="B2170">
            <v>2.5104166666666022E-2</v>
          </cell>
          <cell r="C2170">
            <v>36</v>
          </cell>
        </row>
        <row r="2171">
          <cell r="B2171">
            <v>2.5115740740740095E-2</v>
          </cell>
          <cell r="C2171">
            <v>36</v>
          </cell>
        </row>
        <row r="2172">
          <cell r="B2172">
            <v>2.5127314814814169E-2</v>
          </cell>
          <cell r="C2172">
            <v>36</v>
          </cell>
        </row>
        <row r="2173">
          <cell r="B2173">
            <v>2.5138888888888242E-2</v>
          </cell>
          <cell r="C2173">
            <v>36</v>
          </cell>
        </row>
        <row r="2174">
          <cell r="B2174">
            <v>2.5150462962962316E-2</v>
          </cell>
          <cell r="C2174">
            <v>36</v>
          </cell>
        </row>
        <row r="2175">
          <cell r="B2175">
            <v>2.516203703703639E-2</v>
          </cell>
          <cell r="C2175">
            <v>36</v>
          </cell>
        </row>
        <row r="2176">
          <cell r="B2176">
            <v>2.5173611111110463E-2</v>
          </cell>
          <cell r="C2176">
            <v>36</v>
          </cell>
        </row>
        <row r="2177">
          <cell r="B2177">
            <v>2.5185185185184537E-2</v>
          </cell>
          <cell r="C2177">
            <v>36</v>
          </cell>
        </row>
        <row r="2178">
          <cell r="B2178">
            <v>2.519675925925861E-2</v>
          </cell>
          <cell r="C2178">
            <v>36</v>
          </cell>
        </row>
        <row r="2179">
          <cell r="B2179">
            <v>2.5208333333332684E-2</v>
          </cell>
          <cell r="C2179">
            <v>36</v>
          </cell>
        </row>
        <row r="2180">
          <cell r="B2180">
            <v>2.5219907407406757E-2</v>
          </cell>
          <cell r="C2180">
            <v>36</v>
          </cell>
        </row>
        <row r="2181">
          <cell r="B2181">
            <v>2.5231481481480831E-2</v>
          </cell>
          <cell r="C2181">
            <v>36</v>
          </cell>
        </row>
        <row r="2182">
          <cell r="B2182">
            <v>2.5243055555554905E-2</v>
          </cell>
          <cell r="C2182">
            <v>36</v>
          </cell>
        </row>
        <row r="2183">
          <cell r="B2183">
            <v>2.5254629629628978E-2</v>
          </cell>
          <cell r="C2183">
            <v>36</v>
          </cell>
        </row>
        <row r="2184">
          <cell r="B2184">
            <v>2.5266203703703052E-2</v>
          </cell>
          <cell r="C2184">
            <v>36</v>
          </cell>
        </row>
        <row r="2185">
          <cell r="B2185">
            <v>2.5277777777777125E-2</v>
          </cell>
          <cell r="C2185">
            <v>36</v>
          </cell>
        </row>
        <row r="2186">
          <cell r="B2186">
            <v>2.5289351851851199E-2</v>
          </cell>
          <cell r="C2186">
            <v>36</v>
          </cell>
        </row>
        <row r="2187">
          <cell r="B2187">
            <v>2.5300925925925272E-2</v>
          </cell>
          <cell r="C2187">
            <v>36</v>
          </cell>
        </row>
        <row r="2188">
          <cell r="B2188">
            <v>2.5312499999999346E-2</v>
          </cell>
          <cell r="C2188">
            <v>36</v>
          </cell>
        </row>
        <row r="2189">
          <cell r="B2189">
            <v>2.532407407407342E-2</v>
          </cell>
          <cell r="C2189">
            <v>36</v>
          </cell>
        </row>
        <row r="2190">
          <cell r="B2190">
            <v>2.5335648148147493E-2</v>
          </cell>
          <cell r="C2190">
            <v>36</v>
          </cell>
        </row>
        <row r="2191">
          <cell r="B2191">
            <v>2.5347222222221567E-2</v>
          </cell>
          <cell r="C2191">
            <v>36</v>
          </cell>
        </row>
        <row r="2192">
          <cell r="B2192">
            <v>2.535879629629564E-2</v>
          </cell>
          <cell r="C2192">
            <v>36</v>
          </cell>
        </row>
        <row r="2193">
          <cell r="B2193">
            <v>2.5370370370369714E-2</v>
          </cell>
          <cell r="C2193">
            <v>36</v>
          </cell>
        </row>
        <row r="2194">
          <cell r="B2194">
            <v>2.5381944444443787E-2</v>
          </cell>
          <cell r="C2194">
            <v>36</v>
          </cell>
        </row>
        <row r="2195">
          <cell r="B2195">
            <v>2.5393518518517861E-2</v>
          </cell>
          <cell r="C2195">
            <v>36</v>
          </cell>
        </row>
        <row r="2196">
          <cell r="B2196">
            <v>2.5405092592591935E-2</v>
          </cell>
          <cell r="C2196">
            <v>36</v>
          </cell>
        </row>
        <row r="2197">
          <cell r="B2197">
            <v>2.5416666666666008E-2</v>
          </cell>
          <cell r="C2197">
            <v>36</v>
          </cell>
        </row>
        <row r="2198">
          <cell r="B2198">
            <v>2.5428240740740082E-2</v>
          </cell>
          <cell r="C2198">
            <v>36</v>
          </cell>
        </row>
        <row r="2199">
          <cell r="B2199">
            <v>2.5439814814814155E-2</v>
          </cell>
          <cell r="C2199">
            <v>36</v>
          </cell>
        </row>
        <row r="2200">
          <cell r="B2200">
            <v>2.5451388888888229E-2</v>
          </cell>
          <cell r="C2200">
            <v>36</v>
          </cell>
        </row>
        <row r="2201">
          <cell r="B2201">
            <v>2.5462962962962302E-2</v>
          </cell>
          <cell r="C2201">
            <v>36</v>
          </cell>
        </row>
        <row r="2202">
          <cell r="B2202">
            <v>2.5474537037036376E-2</v>
          </cell>
          <cell r="C2202">
            <v>36</v>
          </cell>
        </row>
        <row r="2203">
          <cell r="B2203">
            <v>2.5486111111110449E-2</v>
          </cell>
          <cell r="C2203">
            <v>36</v>
          </cell>
        </row>
        <row r="2204">
          <cell r="B2204">
            <v>2.5497685185184523E-2</v>
          </cell>
          <cell r="C2204">
            <v>36</v>
          </cell>
        </row>
        <row r="2205">
          <cell r="B2205">
            <v>2.5509259259258597E-2</v>
          </cell>
          <cell r="C2205">
            <v>36</v>
          </cell>
        </row>
        <row r="2206">
          <cell r="B2206">
            <v>2.552083333333267E-2</v>
          </cell>
          <cell r="C2206">
            <v>36</v>
          </cell>
        </row>
        <row r="2207">
          <cell r="B2207">
            <v>2.5532407407406744E-2</v>
          </cell>
          <cell r="C2207">
            <v>36</v>
          </cell>
        </row>
        <row r="2208">
          <cell r="B2208">
            <v>2.5543981481480817E-2</v>
          </cell>
          <cell r="C2208">
            <v>36</v>
          </cell>
        </row>
        <row r="2209">
          <cell r="B2209">
            <v>2.5555555555554891E-2</v>
          </cell>
          <cell r="C2209">
            <v>36</v>
          </cell>
        </row>
        <row r="2210">
          <cell r="B2210">
            <v>2.5567129629628964E-2</v>
          </cell>
          <cell r="C2210">
            <v>36</v>
          </cell>
        </row>
        <row r="2211">
          <cell r="B2211">
            <v>2.5578703703703038E-2</v>
          </cell>
          <cell r="C2211">
            <v>36</v>
          </cell>
        </row>
        <row r="2212">
          <cell r="B2212">
            <v>2.5590277777777112E-2</v>
          </cell>
          <cell r="C2212">
            <v>36</v>
          </cell>
        </row>
        <row r="2213">
          <cell r="B2213">
            <v>2.5601851851851185E-2</v>
          </cell>
          <cell r="C2213">
            <v>36</v>
          </cell>
        </row>
        <row r="2214">
          <cell r="B2214">
            <v>2.5613425925925259E-2</v>
          </cell>
          <cell r="C2214">
            <v>36</v>
          </cell>
        </row>
        <row r="2215">
          <cell r="B2215">
            <v>2.5624999999999332E-2</v>
          </cell>
          <cell r="C2215">
            <v>36</v>
          </cell>
        </row>
        <row r="2216">
          <cell r="B2216">
            <v>2.5636574074073406E-2</v>
          </cell>
          <cell r="C2216">
            <v>36</v>
          </cell>
        </row>
        <row r="2217">
          <cell r="B2217">
            <v>2.5648148148147479E-2</v>
          </cell>
          <cell r="C2217">
            <v>36</v>
          </cell>
        </row>
        <row r="2218">
          <cell r="B2218">
            <v>2.5659722222221553E-2</v>
          </cell>
          <cell r="C2218">
            <v>36</v>
          </cell>
        </row>
        <row r="2219">
          <cell r="B2219">
            <v>2.5671296296295627E-2</v>
          </cell>
          <cell r="C2219">
            <v>36</v>
          </cell>
        </row>
        <row r="2220">
          <cell r="B2220">
            <v>2.56828703703697E-2</v>
          </cell>
          <cell r="C2220">
            <v>36</v>
          </cell>
        </row>
        <row r="2221">
          <cell r="B2221">
            <v>2.5694444444443774E-2</v>
          </cell>
          <cell r="C2221">
            <v>37</v>
          </cell>
        </row>
        <row r="2222">
          <cell r="B2222">
            <v>2.5706018518517847E-2</v>
          </cell>
          <cell r="C2222">
            <v>37</v>
          </cell>
        </row>
        <row r="2223">
          <cell r="B2223">
            <v>2.5717592592591921E-2</v>
          </cell>
          <cell r="C2223">
            <v>37</v>
          </cell>
        </row>
        <row r="2224">
          <cell r="B2224">
            <v>2.5729166666665994E-2</v>
          </cell>
          <cell r="C2224">
            <v>37</v>
          </cell>
        </row>
        <row r="2225">
          <cell r="B2225">
            <v>2.5740740740740068E-2</v>
          </cell>
          <cell r="C2225">
            <v>37</v>
          </cell>
        </row>
        <row r="2226">
          <cell r="B2226">
            <v>2.5752314814814142E-2</v>
          </cell>
          <cell r="C2226">
            <v>37</v>
          </cell>
        </row>
        <row r="2227">
          <cell r="B2227">
            <v>2.5763888888888215E-2</v>
          </cell>
          <cell r="C2227">
            <v>37</v>
          </cell>
        </row>
        <row r="2228">
          <cell r="B2228">
            <v>2.5775462962962289E-2</v>
          </cell>
          <cell r="C2228">
            <v>37</v>
          </cell>
        </row>
        <row r="2229">
          <cell r="B2229">
            <v>2.5787037037036362E-2</v>
          </cell>
          <cell r="C2229">
            <v>37</v>
          </cell>
        </row>
        <row r="2230">
          <cell r="B2230">
            <v>2.5798611111110436E-2</v>
          </cell>
          <cell r="C2230">
            <v>37</v>
          </cell>
        </row>
        <row r="2231">
          <cell r="B2231">
            <v>2.5810185185184509E-2</v>
          </cell>
          <cell r="C2231">
            <v>37</v>
          </cell>
        </row>
        <row r="2232">
          <cell r="B2232">
            <v>2.5821759259258583E-2</v>
          </cell>
          <cell r="C2232">
            <v>37</v>
          </cell>
        </row>
        <row r="2233">
          <cell r="B2233">
            <v>2.5833333333332657E-2</v>
          </cell>
          <cell r="C2233">
            <v>37</v>
          </cell>
        </row>
        <row r="2234">
          <cell r="B2234">
            <v>2.584490740740673E-2</v>
          </cell>
          <cell r="C2234">
            <v>37</v>
          </cell>
        </row>
        <row r="2235">
          <cell r="B2235">
            <v>2.5856481481480804E-2</v>
          </cell>
          <cell r="C2235">
            <v>37</v>
          </cell>
        </row>
        <row r="2236">
          <cell r="B2236">
            <v>2.5868055555554877E-2</v>
          </cell>
          <cell r="C2236">
            <v>37</v>
          </cell>
        </row>
        <row r="2237">
          <cell r="B2237">
            <v>2.5879629629628951E-2</v>
          </cell>
          <cell r="C2237">
            <v>37</v>
          </cell>
        </row>
        <row r="2238">
          <cell r="B2238">
            <v>2.5891203703703024E-2</v>
          </cell>
          <cell r="C2238">
            <v>37</v>
          </cell>
        </row>
        <row r="2239">
          <cell r="B2239">
            <v>2.5902777777777098E-2</v>
          </cell>
          <cell r="C2239">
            <v>37</v>
          </cell>
        </row>
        <row r="2240">
          <cell r="B2240">
            <v>2.5914351851851172E-2</v>
          </cell>
          <cell r="C2240">
            <v>37</v>
          </cell>
        </row>
        <row r="2241">
          <cell r="B2241">
            <v>2.5925925925925245E-2</v>
          </cell>
          <cell r="C2241">
            <v>37</v>
          </cell>
        </row>
        <row r="2242">
          <cell r="B2242">
            <v>2.5937499999999319E-2</v>
          </cell>
          <cell r="C2242">
            <v>37</v>
          </cell>
        </row>
        <row r="2243">
          <cell r="B2243">
            <v>2.5949074074073392E-2</v>
          </cell>
          <cell r="C2243">
            <v>37</v>
          </cell>
        </row>
        <row r="2244">
          <cell r="B2244">
            <v>2.5960648148147466E-2</v>
          </cell>
          <cell r="C2244">
            <v>37</v>
          </cell>
        </row>
        <row r="2245">
          <cell r="B2245">
            <v>2.5972222222221539E-2</v>
          </cell>
          <cell r="C2245">
            <v>37</v>
          </cell>
        </row>
        <row r="2246">
          <cell r="B2246">
            <v>2.5983796296295613E-2</v>
          </cell>
          <cell r="C2246">
            <v>37</v>
          </cell>
        </row>
        <row r="2247">
          <cell r="B2247">
            <v>2.5995370370369687E-2</v>
          </cell>
          <cell r="C2247">
            <v>37</v>
          </cell>
        </row>
        <row r="2248">
          <cell r="B2248">
            <v>2.600694444444376E-2</v>
          </cell>
          <cell r="C2248">
            <v>37</v>
          </cell>
        </row>
        <row r="2249">
          <cell r="B2249">
            <v>2.6018518518517834E-2</v>
          </cell>
          <cell r="C2249">
            <v>37</v>
          </cell>
        </row>
        <row r="2250">
          <cell r="B2250">
            <v>2.6030092592591907E-2</v>
          </cell>
          <cell r="C2250">
            <v>37</v>
          </cell>
        </row>
        <row r="2251">
          <cell r="B2251">
            <v>2.6041666666665981E-2</v>
          </cell>
          <cell r="C2251">
            <v>37</v>
          </cell>
        </row>
        <row r="2252">
          <cell r="B2252">
            <v>2.6053240740740054E-2</v>
          </cell>
          <cell r="C2252">
            <v>37</v>
          </cell>
        </row>
        <row r="2253">
          <cell r="B2253">
            <v>2.6064814814814128E-2</v>
          </cell>
          <cell r="C2253">
            <v>37</v>
          </cell>
        </row>
        <row r="2254">
          <cell r="B2254">
            <v>2.6076388888888202E-2</v>
          </cell>
          <cell r="C2254">
            <v>37</v>
          </cell>
        </row>
        <row r="2255">
          <cell r="B2255">
            <v>2.6087962962962275E-2</v>
          </cell>
          <cell r="C2255">
            <v>37</v>
          </cell>
        </row>
        <row r="2256">
          <cell r="B2256">
            <v>2.6099537037036349E-2</v>
          </cell>
          <cell r="C2256">
            <v>37</v>
          </cell>
        </row>
        <row r="2257">
          <cell r="B2257">
            <v>2.6111111111110422E-2</v>
          </cell>
          <cell r="C2257">
            <v>37</v>
          </cell>
        </row>
        <row r="2258">
          <cell r="B2258">
            <v>2.6122685185184496E-2</v>
          </cell>
          <cell r="C2258">
            <v>37</v>
          </cell>
        </row>
        <row r="2259">
          <cell r="B2259">
            <v>2.6134259259258569E-2</v>
          </cell>
          <cell r="C2259">
            <v>37</v>
          </cell>
        </row>
        <row r="2260">
          <cell r="B2260">
            <v>2.6145833333332643E-2</v>
          </cell>
          <cell r="C2260">
            <v>37</v>
          </cell>
        </row>
        <row r="2261">
          <cell r="B2261">
            <v>2.6157407407406717E-2</v>
          </cell>
          <cell r="C2261">
            <v>37</v>
          </cell>
        </row>
        <row r="2262">
          <cell r="B2262">
            <v>2.616898148148079E-2</v>
          </cell>
          <cell r="C2262">
            <v>37</v>
          </cell>
        </row>
        <row r="2263">
          <cell r="B2263">
            <v>2.6180555555554864E-2</v>
          </cell>
          <cell r="C2263">
            <v>37</v>
          </cell>
        </row>
        <row r="2264">
          <cell r="B2264">
            <v>2.6192129629628937E-2</v>
          </cell>
          <cell r="C2264">
            <v>37</v>
          </cell>
        </row>
        <row r="2265">
          <cell r="B2265">
            <v>2.6203703703703011E-2</v>
          </cell>
          <cell r="C2265">
            <v>37</v>
          </cell>
        </row>
        <row r="2266">
          <cell r="B2266">
            <v>2.6215277777777084E-2</v>
          </cell>
          <cell r="C2266">
            <v>37</v>
          </cell>
        </row>
        <row r="2267">
          <cell r="B2267">
            <v>2.6226851851851158E-2</v>
          </cell>
          <cell r="C2267">
            <v>37</v>
          </cell>
        </row>
        <row r="2268">
          <cell r="B2268">
            <v>2.6238425925925232E-2</v>
          </cell>
          <cell r="C2268">
            <v>37</v>
          </cell>
        </row>
        <row r="2269">
          <cell r="B2269">
            <v>2.6249999999999305E-2</v>
          </cell>
          <cell r="C2269">
            <v>37</v>
          </cell>
        </row>
        <row r="2270">
          <cell r="B2270">
            <v>2.6261574074073379E-2</v>
          </cell>
          <cell r="C2270">
            <v>37</v>
          </cell>
        </row>
        <row r="2271">
          <cell r="B2271">
            <v>2.6273148148147452E-2</v>
          </cell>
          <cell r="C2271">
            <v>37</v>
          </cell>
        </row>
        <row r="2272">
          <cell r="B2272">
            <v>2.6284722222221526E-2</v>
          </cell>
          <cell r="C2272">
            <v>37</v>
          </cell>
        </row>
        <row r="2273">
          <cell r="B2273">
            <v>2.6296296296295599E-2</v>
          </cell>
          <cell r="C2273">
            <v>37</v>
          </cell>
        </row>
        <row r="2274">
          <cell r="B2274">
            <v>2.6307870370369673E-2</v>
          </cell>
          <cell r="C2274">
            <v>37</v>
          </cell>
        </row>
        <row r="2275">
          <cell r="B2275">
            <v>2.6319444444443747E-2</v>
          </cell>
          <cell r="C2275">
            <v>37</v>
          </cell>
        </row>
        <row r="2276">
          <cell r="B2276">
            <v>2.633101851851782E-2</v>
          </cell>
          <cell r="C2276">
            <v>37</v>
          </cell>
        </row>
        <row r="2277">
          <cell r="B2277">
            <v>2.6342592592591894E-2</v>
          </cell>
          <cell r="C2277">
            <v>37</v>
          </cell>
        </row>
        <row r="2278">
          <cell r="B2278">
            <v>2.6354166666665967E-2</v>
          </cell>
          <cell r="C2278">
            <v>37</v>
          </cell>
        </row>
        <row r="2279">
          <cell r="B2279">
            <v>2.6365740740740041E-2</v>
          </cell>
          <cell r="C2279">
            <v>37</v>
          </cell>
        </row>
        <row r="2280">
          <cell r="B2280">
            <v>2.6377314814814114E-2</v>
          </cell>
          <cell r="C2280">
            <v>37</v>
          </cell>
        </row>
        <row r="2281">
          <cell r="B2281">
            <v>2.6388888888888188E-2</v>
          </cell>
          <cell r="C2281">
            <v>38</v>
          </cell>
        </row>
        <row r="2282">
          <cell r="B2282">
            <v>2.6400462962962262E-2</v>
          </cell>
          <cell r="C2282">
            <v>38</v>
          </cell>
        </row>
        <row r="2283">
          <cell r="B2283">
            <v>2.6412037037036335E-2</v>
          </cell>
          <cell r="C2283">
            <v>38</v>
          </cell>
        </row>
        <row r="2284">
          <cell r="B2284">
            <v>2.6423611111110409E-2</v>
          </cell>
          <cell r="C2284">
            <v>38</v>
          </cell>
        </row>
        <row r="2285">
          <cell r="B2285">
            <v>2.6435185185184482E-2</v>
          </cell>
          <cell r="C2285">
            <v>38</v>
          </cell>
        </row>
        <row r="2286">
          <cell r="B2286">
            <v>2.6446759259258556E-2</v>
          </cell>
          <cell r="C2286">
            <v>38</v>
          </cell>
        </row>
        <row r="2287">
          <cell r="B2287">
            <v>2.6458333333332629E-2</v>
          </cell>
          <cell r="C2287">
            <v>38</v>
          </cell>
        </row>
        <row r="2288">
          <cell r="B2288">
            <v>2.6469907407406703E-2</v>
          </cell>
          <cell r="C2288">
            <v>38</v>
          </cell>
        </row>
        <row r="2289">
          <cell r="B2289">
            <v>2.6481481481480777E-2</v>
          </cell>
          <cell r="C2289">
            <v>38</v>
          </cell>
        </row>
        <row r="2290">
          <cell r="B2290">
            <v>2.649305555555485E-2</v>
          </cell>
          <cell r="C2290">
            <v>38</v>
          </cell>
        </row>
        <row r="2291">
          <cell r="B2291">
            <v>2.6504629629628924E-2</v>
          </cell>
          <cell r="C2291">
            <v>38</v>
          </cell>
        </row>
        <row r="2292">
          <cell r="B2292">
            <v>2.6516203703702997E-2</v>
          </cell>
          <cell r="C2292">
            <v>38</v>
          </cell>
        </row>
        <row r="2293">
          <cell r="B2293">
            <v>2.6527777777777071E-2</v>
          </cell>
          <cell r="C2293">
            <v>38</v>
          </cell>
        </row>
        <row r="2294">
          <cell r="B2294">
            <v>2.6539351851851144E-2</v>
          </cell>
          <cell r="C2294">
            <v>38</v>
          </cell>
        </row>
        <row r="2295">
          <cell r="B2295">
            <v>2.6550925925925218E-2</v>
          </cell>
          <cell r="C2295">
            <v>38</v>
          </cell>
        </row>
        <row r="2296">
          <cell r="B2296">
            <v>2.6562499999999292E-2</v>
          </cell>
          <cell r="C2296">
            <v>38</v>
          </cell>
        </row>
        <row r="2297">
          <cell r="B2297">
            <v>2.6574074074073365E-2</v>
          </cell>
          <cell r="C2297">
            <v>38</v>
          </cell>
        </row>
        <row r="2298">
          <cell r="B2298">
            <v>2.6585648148147439E-2</v>
          </cell>
          <cell r="C2298">
            <v>38</v>
          </cell>
        </row>
        <row r="2299">
          <cell r="B2299">
            <v>2.6597222222221512E-2</v>
          </cell>
          <cell r="C2299">
            <v>38</v>
          </cell>
        </row>
        <row r="2300">
          <cell r="B2300">
            <v>2.6608796296295586E-2</v>
          </cell>
          <cell r="C2300">
            <v>38</v>
          </cell>
        </row>
        <row r="2301">
          <cell r="B2301">
            <v>2.6620370370369659E-2</v>
          </cell>
          <cell r="C2301">
            <v>38</v>
          </cell>
        </row>
        <row r="2302">
          <cell r="B2302">
            <v>2.6631944444443733E-2</v>
          </cell>
          <cell r="C2302">
            <v>38</v>
          </cell>
        </row>
        <row r="2303">
          <cell r="B2303">
            <v>2.6643518518517807E-2</v>
          </cell>
          <cell r="C2303">
            <v>38</v>
          </cell>
        </row>
        <row r="2304">
          <cell r="B2304">
            <v>2.665509259259188E-2</v>
          </cell>
          <cell r="C2304">
            <v>38</v>
          </cell>
        </row>
        <row r="2305">
          <cell r="B2305">
            <v>2.6666666666665954E-2</v>
          </cell>
          <cell r="C2305">
            <v>38</v>
          </cell>
        </row>
        <row r="2306">
          <cell r="B2306">
            <v>2.6678240740740027E-2</v>
          </cell>
          <cell r="C2306">
            <v>38</v>
          </cell>
        </row>
        <row r="2307">
          <cell r="B2307">
            <v>2.6689814814814101E-2</v>
          </cell>
          <cell r="C2307">
            <v>38</v>
          </cell>
        </row>
        <row r="2308">
          <cell r="B2308">
            <v>2.6701388888888174E-2</v>
          </cell>
          <cell r="C2308">
            <v>38</v>
          </cell>
        </row>
        <row r="2309">
          <cell r="B2309">
            <v>2.6712962962962248E-2</v>
          </cell>
          <cell r="C2309">
            <v>38</v>
          </cell>
        </row>
        <row r="2310">
          <cell r="B2310">
            <v>2.6724537037036322E-2</v>
          </cell>
          <cell r="C2310">
            <v>38</v>
          </cell>
        </row>
        <row r="2311">
          <cell r="B2311">
            <v>2.6736111111110395E-2</v>
          </cell>
          <cell r="C2311">
            <v>38</v>
          </cell>
        </row>
        <row r="2312">
          <cell r="B2312">
            <v>2.6747685185184469E-2</v>
          </cell>
          <cell r="C2312">
            <v>38</v>
          </cell>
        </row>
        <row r="2313">
          <cell r="B2313">
            <v>2.6759259259258542E-2</v>
          </cell>
          <cell r="C2313">
            <v>38</v>
          </cell>
        </row>
        <row r="2314">
          <cell r="B2314">
            <v>2.6770833333332616E-2</v>
          </cell>
          <cell r="C2314">
            <v>38</v>
          </cell>
        </row>
        <row r="2315">
          <cell r="B2315">
            <v>2.6782407407406689E-2</v>
          </cell>
          <cell r="C2315">
            <v>38</v>
          </cell>
        </row>
        <row r="2316">
          <cell r="B2316">
            <v>2.6793981481480763E-2</v>
          </cell>
          <cell r="C2316">
            <v>38</v>
          </cell>
        </row>
        <row r="2317">
          <cell r="B2317">
            <v>2.6805555555554837E-2</v>
          </cell>
          <cell r="C2317">
            <v>38</v>
          </cell>
        </row>
        <row r="2318">
          <cell r="B2318">
            <v>2.681712962962891E-2</v>
          </cell>
          <cell r="C2318">
            <v>38</v>
          </cell>
        </row>
        <row r="2319">
          <cell r="B2319">
            <v>2.6828703703702984E-2</v>
          </cell>
          <cell r="C2319">
            <v>38</v>
          </cell>
        </row>
        <row r="2320">
          <cell r="B2320">
            <v>2.6840277777777057E-2</v>
          </cell>
          <cell r="C2320">
            <v>38</v>
          </cell>
        </row>
        <row r="2321">
          <cell r="B2321">
            <v>2.6851851851851131E-2</v>
          </cell>
          <cell r="C2321">
            <v>38</v>
          </cell>
        </row>
        <row r="2322">
          <cell r="B2322">
            <v>2.6863425925925204E-2</v>
          </cell>
          <cell r="C2322">
            <v>38</v>
          </cell>
        </row>
        <row r="2323">
          <cell r="B2323">
            <v>2.6874999999999278E-2</v>
          </cell>
          <cell r="C2323">
            <v>38</v>
          </cell>
        </row>
        <row r="2324">
          <cell r="B2324">
            <v>2.6886574074073352E-2</v>
          </cell>
          <cell r="C2324">
            <v>38</v>
          </cell>
        </row>
        <row r="2325">
          <cell r="B2325">
            <v>2.6898148148147425E-2</v>
          </cell>
          <cell r="C2325">
            <v>38</v>
          </cell>
        </row>
        <row r="2326">
          <cell r="B2326">
            <v>2.6909722222221499E-2</v>
          </cell>
          <cell r="C2326">
            <v>38</v>
          </cell>
        </row>
        <row r="2327">
          <cell r="B2327">
            <v>2.6921296296295572E-2</v>
          </cell>
          <cell r="C2327">
            <v>38</v>
          </cell>
        </row>
        <row r="2328">
          <cell r="B2328">
            <v>2.6932870370369646E-2</v>
          </cell>
          <cell r="C2328">
            <v>38</v>
          </cell>
        </row>
        <row r="2329">
          <cell r="B2329">
            <v>2.6944444444443719E-2</v>
          </cell>
          <cell r="C2329">
            <v>38</v>
          </cell>
        </row>
        <row r="2330">
          <cell r="B2330">
            <v>2.6956018518517793E-2</v>
          </cell>
          <cell r="C2330">
            <v>38</v>
          </cell>
        </row>
        <row r="2331">
          <cell r="B2331">
            <v>2.6967592592591867E-2</v>
          </cell>
          <cell r="C2331">
            <v>38</v>
          </cell>
        </row>
        <row r="2332">
          <cell r="B2332">
            <v>2.697916666666594E-2</v>
          </cell>
          <cell r="C2332">
            <v>38</v>
          </cell>
        </row>
        <row r="2333">
          <cell r="B2333">
            <v>2.6990740740740014E-2</v>
          </cell>
          <cell r="C2333">
            <v>38</v>
          </cell>
        </row>
        <row r="2334">
          <cell r="B2334">
            <v>2.7002314814814087E-2</v>
          </cell>
          <cell r="C2334">
            <v>38</v>
          </cell>
        </row>
        <row r="2335">
          <cell r="B2335">
            <v>2.7013888888888161E-2</v>
          </cell>
          <cell r="C2335">
            <v>38</v>
          </cell>
        </row>
        <row r="2336">
          <cell r="B2336">
            <v>2.7025462962962234E-2</v>
          </cell>
          <cell r="C2336">
            <v>38</v>
          </cell>
        </row>
        <row r="2337">
          <cell r="B2337">
            <v>2.7037037037036308E-2</v>
          </cell>
          <cell r="C2337">
            <v>38</v>
          </cell>
        </row>
        <row r="2338">
          <cell r="B2338">
            <v>2.7048611111110381E-2</v>
          </cell>
          <cell r="C2338">
            <v>38</v>
          </cell>
        </row>
        <row r="2339">
          <cell r="B2339">
            <v>2.7060185185184455E-2</v>
          </cell>
          <cell r="C2339">
            <v>38</v>
          </cell>
        </row>
        <row r="2340">
          <cell r="B2340">
            <v>2.7071759259258529E-2</v>
          </cell>
          <cell r="C2340">
            <v>38</v>
          </cell>
        </row>
        <row r="2341">
          <cell r="B2341">
            <v>2.7083333333332602E-2</v>
          </cell>
          <cell r="C2341">
            <v>39</v>
          </cell>
        </row>
        <row r="2342">
          <cell r="B2342">
            <v>2.7094907407406676E-2</v>
          </cell>
          <cell r="C2342">
            <v>39</v>
          </cell>
        </row>
        <row r="2343">
          <cell r="B2343">
            <v>2.7106481481480749E-2</v>
          </cell>
          <cell r="C2343">
            <v>39</v>
          </cell>
        </row>
        <row r="2344">
          <cell r="B2344">
            <v>2.7118055555554823E-2</v>
          </cell>
          <cell r="C2344">
            <v>39</v>
          </cell>
        </row>
        <row r="2345">
          <cell r="B2345">
            <v>2.7129629629628896E-2</v>
          </cell>
          <cell r="C2345">
            <v>39</v>
          </cell>
        </row>
        <row r="2346">
          <cell r="B2346">
            <v>2.714120370370297E-2</v>
          </cell>
          <cell r="C2346">
            <v>39</v>
          </cell>
        </row>
        <row r="2347">
          <cell r="B2347">
            <v>2.7152777777777044E-2</v>
          </cell>
          <cell r="C2347">
            <v>39</v>
          </cell>
        </row>
        <row r="2348">
          <cell r="B2348">
            <v>2.7164351851851117E-2</v>
          </cell>
          <cell r="C2348">
            <v>39</v>
          </cell>
        </row>
        <row r="2349">
          <cell r="B2349">
            <v>2.7175925925925191E-2</v>
          </cell>
          <cell r="C2349">
            <v>39</v>
          </cell>
        </row>
        <row r="2350">
          <cell r="B2350">
            <v>2.7187499999999264E-2</v>
          </cell>
          <cell r="C2350">
            <v>39</v>
          </cell>
        </row>
        <row r="2351">
          <cell r="B2351">
            <v>2.7199074074073338E-2</v>
          </cell>
          <cell r="C2351">
            <v>39</v>
          </cell>
        </row>
        <row r="2352">
          <cell r="B2352">
            <v>2.7210648148147411E-2</v>
          </cell>
          <cell r="C2352">
            <v>39</v>
          </cell>
        </row>
        <row r="2353">
          <cell r="B2353">
            <v>2.7222222222221485E-2</v>
          </cell>
          <cell r="C2353">
            <v>39</v>
          </cell>
        </row>
        <row r="2354">
          <cell r="B2354">
            <v>2.7233796296295559E-2</v>
          </cell>
          <cell r="C2354">
            <v>39</v>
          </cell>
        </row>
        <row r="2355">
          <cell r="B2355">
            <v>2.7245370370369632E-2</v>
          </cell>
          <cell r="C2355">
            <v>39</v>
          </cell>
        </row>
        <row r="2356">
          <cell r="B2356">
            <v>2.7256944444443706E-2</v>
          </cell>
          <cell r="C2356">
            <v>39</v>
          </cell>
        </row>
        <row r="2357">
          <cell r="B2357">
            <v>2.7268518518517779E-2</v>
          </cell>
          <cell r="C2357">
            <v>39</v>
          </cell>
        </row>
        <row r="2358">
          <cell r="B2358">
            <v>2.7280092592591853E-2</v>
          </cell>
          <cell r="C2358">
            <v>39</v>
          </cell>
        </row>
        <row r="2359">
          <cell r="B2359">
            <v>2.7291666666665926E-2</v>
          </cell>
          <cell r="C2359">
            <v>39</v>
          </cell>
        </row>
        <row r="2360">
          <cell r="B2360">
            <v>2.730324074074E-2</v>
          </cell>
          <cell r="C2360">
            <v>39</v>
          </cell>
        </row>
        <row r="2361">
          <cell r="B2361">
            <v>2.7314814814814074E-2</v>
          </cell>
          <cell r="C2361">
            <v>39</v>
          </cell>
        </row>
        <row r="2362">
          <cell r="B2362">
            <v>2.7326388888888147E-2</v>
          </cell>
          <cell r="C2362">
            <v>39</v>
          </cell>
        </row>
        <row r="2363">
          <cell r="B2363">
            <v>2.7337962962962221E-2</v>
          </cell>
          <cell r="C2363">
            <v>39</v>
          </cell>
        </row>
        <row r="2364">
          <cell r="B2364">
            <v>2.7349537037036294E-2</v>
          </cell>
          <cell r="C2364">
            <v>39</v>
          </cell>
        </row>
        <row r="2365">
          <cell r="B2365">
            <v>2.7361111111110368E-2</v>
          </cell>
          <cell r="C2365">
            <v>39</v>
          </cell>
        </row>
        <row r="2366">
          <cell r="B2366">
            <v>2.7372685185184441E-2</v>
          </cell>
          <cell r="C2366">
            <v>39</v>
          </cell>
        </row>
        <row r="2367">
          <cell r="B2367">
            <v>2.7384259259258515E-2</v>
          </cell>
          <cell r="C2367">
            <v>39</v>
          </cell>
        </row>
        <row r="2368">
          <cell r="B2368">
            <v>2.7395833333332589E-2</v>
          </cell>
          <cell r="C2368">
            <v>39</v>
          </cell>
        </row>
        <row r="2369">
          <cell r="B2369">
            <v>2.7407407407406662E-2</v>
          </cell>
          <cell r="C2369">
            <v>39</v>
          </cell>
        </row>
        <row r="2370">
          <cell r="B2370">
            <v>2.7418981481480736E-2</v>
          </cell>
          <cell r="C2370">
            <v>39</v>
          </cell>
        </row>
        <row r="2371">
          <cell r="B2371">
            <v>2.7430555555554809E-2</v>
          </cell>
          <cell r="C2371">
            <v>39</v>
          </cell>
        </row>
        <row r="2372">
          <cell r="B2372">
            <v>2.7442129629628883E-2</v>
          </cell>
          <cell r="C2372">
            <v>39</v>
          </cell>
        </row>
        <row r="2373">
          <cell r="B2373">
            <v>2.7453703703702956E-2</v>
          </cell>
          <cell r="C2373">
            <v>39</v>
          </cell>
        </row>
        <row r="2374">
          <cell r="B2374">
            <v>2.746527777777703E-2</v>
          </cell>
          <cell r="C2374">
            <v>39</v>
          </cell>
        </row>
        <row r="2375">
          <cell r="B2375">
            <v>2.7476851851851104E-2</v>
          </cell>
          <cell r="C2375">
            <v>39</v>
          </cell>
        </row>
        <row r="2376">
          <cell r="B2376">
            <v>2.7488425925925177E-2</v>
          </cell>
          <cell r="C2376">
            <v>39</v>
          </cell>
        </row>
        <row r="2377">
          <cell r="B2377">
            <v>2.7499999999999251E-2</v>
          </cell>
          <cell r="C2377">
            <v>39</v>
          </cell>
        </row>
        <row r="2378">
          <cell r="B2378">
            <v>2.7511574074073324E-2</v>
          </cell>
          <cell r="C2378">
            <v>39</v>
          </cell>
        </row>
        <row r="2379">
          <cell r="B2379">
            <v>2.7523148148147398E-2</v>
          </cell>
          <cell r="C2379">
            <v>39</v>
          </cell>
        </row>
        <row r="2380">
          <cell r="B2380">
            <v>2.7534722222221471E-2</v>
          </cell>
          <cell r="C2380">
            <v>39</v>
          </cell>
        </row>
        <row r="2381">
          <cell r="B2381">
            <v>2.7546296296295545E-2</v>
          </cell>
          <cell r="C2381">
            <v>39</v>
          </cell>
        </row>
        <row r="2382">
          <cell r="B2382">
            <v>2.7557870370369619E-2</v>
          </cell>
          <cell r="C2382">
            <v>39</v>
          </cell>
        </row>
        <row r="2383">
          <cell r="B2383">
            <v>2.7569444444443692E-2</v>
          </cell>
          <cell r="C2383">
            <v>39</v>
          </cell>
        </row>
        <row r="2384">
          <cell r="B2384">
            <v>2.7581018518517766E-2</v>
          </cell>
          <cell r="C2384">
            <v>39</v>
          </cell>
        </row>
        <row r="2385">
          <cell r="B2385">
            <v>2.7592592592591839E-2</v>
          </cell>
          <cell r="C2385">
            <v>39</v>
          </cell>
        </row>
        <row r="2386">
          <cell r="B2386">
            <v>2.7604166666665913E-2</v>
          </cell>
          <cell r="C2386">
            <v>39</v>
          </cell>
        </row>
        <row r="2387">
          <cell r="B2387">
            <v>2.7615740740739986E-2</v>
          </cell>
          <cell r="C2387">
            <v>39</v>
          </cell>
        </row>
        <row r="2388">
          <cell r="B2388">
            <v>2.762731481481406E-2</v>
          </cell>
          <cell r="C2388">
            <v>39</v>
          </cell>
        </row>
        <row r="2389">
          <cell r="B2389">
            <v>2.7638888888888134E-2</v>
          </cell>
          <cell r="C2389">
            <v>39</v>
          </cell>
        </row>
        <row r="2390">
          <cell r="B2390">
            <v>2.7650462962962207E-2</v>
          </cell>
          <cell r="C2390">
            <v>39</v>
          </cell>
        </row>
        <row r="2391">
          <cell r="B2391">
            <v>2.7662037037036281E-2</v>
          </cell>
          <cell r="C2391">
            <v>39</v>
          </cell>
        </row>
        <row r="2392">
          <cell r="B2392">
            <v>2.7673611111110354E-2</v>
          </cell>
          <cell r="C2392">
            <v>39</v>
          </cell>
        </row>
        <row r="2393">
          <cell r="B2393">
            <v>2.7685185185184428E-2</v>
          </cell>
          <cell r="C2393">
            <v>39</v>
          </cell>
        </row>
        <row r="2394">
          <cell r="B2394">
            <v>2.7696759259258501E-2</v>
          </cell>
          <cell r="C2394">
            <v>39</v>
          </cell>
        </row>
        <row r="2395">
          <cell r="B2395">
            <v>2.7708333333332575E-2</v>
          </cell>
          <cell r="C2395">
            <v>39</v>
          </cell>
        </row>
        <row r="2396">
          <cell r="B2396">
            <v>2.7719907407406649E-2</v>
          </cell>
          <cell r="C2396">
            <v>39</v>
          </cell>
        </row>
        <row r="2397">
          <cell r="B2397">
            <v>2.7731481481480722E-2</v>
          </cell>
          <cell r="C2397">
            <v>39</v>
          </cell>
        </row>
        <row r="2398">
          <cell r="B2398">
            <v>2.7743055555554796E-2</v>
          </cell>
          <cell r="C2398">
            <v>39</v>
          </cell>
        </row>
        <row r="2399">
          <cell r="B2399">
            <v>2.7754629629628869E-2</v>
          </cell>
          <cell r="C2399">
            <v>39</v>
          </cell>
        </row>
        <row r="2400">
          <cell r="B2400">
            <v>2.7766203703702943E-2</v>
          </cell>
          <cell r="C2400">
            <v>39</v>
          </cell>
        </row>
        <row r="2401">
          <cell r="B2401">
            <v>2.7777777777777016E-2</v>
          </cell>
          <cell r="C2401">
            <v>40</v>
          </cell>
        </row>
        <row r="2402">
          <cell r="B2402">
            <v>2.778935185185109E-2</v>
          </cell>
          <cell r="C2402">
            <v>40</v>
          </cell>
        </row>
        <row r="2403">
          <cell r="B2403">
            <v>2.7800925925925164E-2</v>
          </cell>
          <cell r="C2403">
            <v>40</v>
          </cell>
        </row>
        <row r="2404">
          <cell r="B2404">
            <v>2.7812499999999237E-2</v>
          </cell>
          <cell r="C2404">
            <v>40</v>
          </cell>
        </row>
        <row r="2405">
          <cell r="B2405">
            <v>2.7824074074073311E-2</v>
          </cell>
          <cell r="C2405">
            <v>40</v>
          </cell>
        </row>
        <row r="2406">
          <cell r="B2406">
            <v>2.7835648148147384E-2</v>
          </cell>
          <cell r="C2406">
            <v>40</v>
          </cell>
        </row>
        <row r="2407">
          <cell r="B2407">
            <v>2.7847222222221458E-2</v>
          </cell>
          <cell r="C2407">
            <v>40</v>
          </cell>
        </row>
        <row r="2408">
          <cell r="B2408">
            <v>2.7858796296295531E-2</v>
          </cell>
          <cell r="C2408">
            <v>40</v>
          </cell>
        </row>
        <row r="2409">
          <cell r="B2409">
            <v>2.7870370370369605E-2</v>
          </cell>
          <cell r="C2409">
            <v>40</v>
          </cell>
        </row>
        <row r="2410">
          <cell r="B2410">
            <v>2.7881944444443679E-2</v>
          </cell>
          <cell r="C2410">
            <v>40</v>
          </cell>
        </row>
        <row r="2411">
          <cell r="B2411">
            <v>2.7893518518517752E-2</v>
          </cell>
          <cell r="C2411">
            <v>40</v>
          </cell>
        </row>
        <row r="2412">
          <cell r="B2412">
            <v>2.7905092592591826E-2</v>
          </cell>
          <cell r="C2412">
            <v>40</v>
          </cell>
        </row>
        <row r="2413">
          <cell r="B2413">
            <v>2.7916666666665899E-2</v>
          </cell>
          <cell r="C2413">
            <v>40</v>
          </cell>
        </row>
        <row r="2414">
          <cell r="B2414">
            <v>2.7928240740739973E-2</v>
          </cell>
          <cell r="C2414">
            <v>40</v>
          </cell>
        </row>
        <row r="2415">
          <cell r="B2415">
            <v>2.7939814814814046E-2</v>
          </cell>
          <cell r="C2415">
            <v>40</v>
          </cell>
        </row>
        <row r="2416">
          <cell r="B2416">
            <v>2.795138888888812E-2</v>
          </cell>
          <cell r="C2416">
            <v>40</v>
          </cell>
        </row>
        <row r="2417">
          <cell r="B2417">
            <v>2.7962962962962194E-2</v>
          </cell>
          <cell r="C2417">
            <v>40</v>
          </cell>
        </row>
        <row r="2418">
          <cell r="B2418">
            <v>2.7974537037036267E-2</v>
          </cell>
          <cell r="C2418">
            <v>40</v>
          </cell>
        </row>
        <row r="2419">
          <cell r="B2419">
            <v>2.7986111111110341E-2</v>
          </cell>
          <cell r="C2419">
            <v>40</v>
          </cell>
        </row>
        <row r="2420">
          <cell r="B2420">
            <v>2.7997685185184414E-2</v>
          </cell>
          <cell r="C2420">
            <v>40</v>
          </cell>
        </row>
        <row r="2421">
          <cell r="B2421">
            <v>2.8009259259258488E-2</v>
          </cell>
          <cell r="C2421">
            <v>40</v>
          </cell>
        </row>
        <row r="2422">
          <cell r="B2422">
            <v>2.8020833333332561E-2</v>
          </cell>
          <cell r="C2422">
            <v>40</v>
          </cell>
        </row>
        <row r="2423">
          <cell r="B2423">
            <v>2.8032407407406635E-2</v>
          </cell>
          <cell r="C2423">
            <v>40</v>
          </cell>
        </row>
        <row r="2424">
          <cell r="B2424">
            <v>2.8043981481480709E-2</v>
          </cell>
          <cell r="C2424">
            <v>40</v>
          </cell>
        </row>
        <row r="2425">
          <cell r="B2425">
            <v>2.8055555555554782E-2</v>
          </cell>
          <cell r="C2425">
            <v>40</v>
          </cell>
        </row>
        <row r="2426">
          <cell r="B2426">
            <v>2.8067129629628856E-2</v>
          </cell>
          <cell r="C2426">
            <v>40</v>
          </cell>
        </row>
        <row r="2427">
          <cell r="B2427">
            <v>2.8078703703702929E-2</v>
          </cell>
          <cell r="C2427">
            <v>40</v>
          </cell>
        </row>
        <row r="2428">
          <cell r="B2428">
            <v>2.8090277777777003E-2</v>
          </cell>
          <cell r="C2428">
            <v>40</v>
          </cell>
        </row>
        <row r="2429">
          <cell r="B2429">
            <v>2.8101851851851076E-2</v>
          </cell>
          <cell r="C2429">
            <v>40</v>
          </cell>
        </row>
        <row r="2430">
          <cell r="B2430">
            <v>2.811342592592515E-2</v>
          </cell>
          <cell r="C2430">
            <v>40</v>
          </cell>
        </row>
        <row r="2431">
          <cell r="B2431">
            <v>2.8124999999999224E-2</v>
          </cell>
          <cell r="C2431">
            <v>40</v>
          </cell>
        </row>
        <row r="2432">
          <cell r="B2432">
            <v>2.8136574074073297E-2</v>
          </cell>
          <cell r="C2432">
            <v>40</v>
          </cell>
        </row>
        <row r="2433">
          <cell r="B2433">
            <v>2.8148148148147371E-2</v>
          </cell>
          <cell r="C2433">
            <v>40</v>
          </cell>
        </row>
        <row r="2434">
          <cell r="B2434">
            <v>2.8159722222221444E-2</v>
          </cell>
          <cell r="C2434">
            <v>40</v>
          </cell>
        </row>
        <row r="2435">
          <cell r="B2435">
            <v>2.8171296296295518E-2</v>
          </cell>
          <cell r="C2435">
            <v>40</v>
          </cell>
        </row>
        <row r="2436">
          <cell r="B2436">
            <v>2.8182870370369591E-2</v>
          </cell>
          <cell r="C2436">
            <v>40</v>
          </cell>
        </row>
        <row r="2437">
          <cell r="B2437">
            <v>2.8194444444443665E-2</v>
          </cell>
          <cell r="C2437">
            <v>40</v>
          </cell>
        </row>
        <row r="2438">
          <cell r="B2438">
            <v>2.8206018518517739E-2</v>
          </cell>
          <cell r="C2438">
            <v>40</v>
          </cell>
        </row>
        <row r="2439">
          <cell r="B2439">
            <v>2.8217592592591812E-2</v>
          </cell>
          <cell r="C2439">
            <v>40</v>
          </cell>
        </row>
        <row r="2440">
          <cell r="B2440">
            <v>2.8229166666665886E-2</v>
          </cell>
          <cell r="C2440">
            <v>40</v>
          </cell>
        </row>
        <row r="2441">
          <cell r="B2441">
            <v>2.8240740740739959E-2</v>
          </cell>
          <cell r="C2441">
            <v>40</v>
          </cell>
        </row>
        <row r="2442">
          <cell r="B2442">
            <v>2.8252314814814033E-2</v>
          </cell>
          <cell r="C2442">
            <v>40</v>
          </cell>
        </row>
        <row r="2443">
          <cell r="B2443">
            <v>2.8263888888888106E-2</v>
          </cell>
          <cell r="C2443">
            <v>40</v>
          </cell>
        </row>
        <row r="2444">
          <cell r="B2444">
            <v>2.827546296296218E-2</v>
          </cell>
          <cell r="C2444">
            <v>40</v>
          </cell>
        </row>
        <row r="2445">
          <cell r="B2445">
            <v>2.8287037037036254E-2</v>
          </cell>
          <cell r="C2445">
            <v>40</v>
          </cell>
        </row>
        <row r="2446">
          <cell r="B2446">
            <v>2.8298611111110327E-2</v>
          </cell>
          <cell r="C2446">
            <v>40</v>
          </cell>
        </row>
        <row r="2447">
          <cell r="B2447">
            <v>2.8310185185184401E-2</v>
          </cell>
          <cell r="C2447">
            <v>40</v>
          </cell>
        </row>
        <row r="2448">
          <cell r="B2448">
            <v>2.8321759259258474E-2</v>
          </cell>
          <cell r="C2448">
            <v>40</v>
          </cell>
        </row>
        <row r="2449">
          <cell r="B2449">
            <v>2.8333333333332548E-2</v>
          </cell>
          <cell r="C2449">
            <v>40</v>
          </cell>
        </row>
        <row r="2450">
          <cell r="B2450">
            <v>2.8344907407406621E-2</v>
          </cell>
          <cell r="C2450">
            <v>40</v>
          </cell>
        </row>
        <row r="2451">
          <cell r="B2451">
            <v>2.8356481481480695E-2</v>
          </cell>
          <cell r="C2451">
            <v>40</v>
          </cell>
        </row>
        <row r="2452">
          <cell r="B2452">
            <v>2.8368055555554769E-2</v>
          </cell>
          <cell r="C2452">
            <v>40</v>
          </cell>
        </row>
        <row r="2453">
          <cell r="B2453">
            <v>2.8379629629628842E-2</v>
          </cell>
          <cell r="C2453">
            <v>40</v>
          </cell>
        </row>
        <row r="2454">
          <cell r="B2454">
            <v>2.8391203703702916E-2</v>
          </cell>
          <cell r="C2454">
            <v>40</v>
          </cell>
        </row>
        <row r="2455">
          <cell r="B2455">
            <v>2.8402777777776989E-2</v>
          </cell>
          <cell r="C2455">
            <v>40</v>
          </cell>
        </row>
        <row r="2456">
          <cell r="B2456">
            <v>2.8414351851851063E-2</v>
          </cell>
          <cell r="C2456">
            <v>40</v>
          </cell>
        </row>
        <row r="2457">
          <cell r="B2457">
            <v>2.8425925925925136E-2</v>
          </cell>
          <cell r="C2457">
            <v>40</v>
          </cell>
        </row>
        <row r="2458">
          <cell r="B2458">
            <v>2.843749999999921E-2</v>
          </cell>
          <cell r="C2458">
            <v>40</v>
          </cell>
        </row>
        <row r="2459">
          <cell r="B2459">
            <v>2.8449074074073284E-2</v>
          </cell>
          <cell r="C2459">
            <v>40</v>
          </cell>
        </row>
        <row r="2460">
          <cell r="B2460">
            <v>2.8460648148147357E-2</v>
          </cell>
          <cell r="C2460">
            <v>40</v>
          </cell>
        </row>
        <row r="2461">
          <cell r="B2461">
            <v>2.8472222222221431E-2</v>
          </cell>
          <cell r="C2461">
            <v>41</v>
          </cell>
        </row>
        <row r="2462">
          <cell r="B2462">
            <v>2.8483796296295504E-2</v>
          </cell>
          <cell r="C2462">
            <v>41</v>
          </cell>
        </row>
        <row r="2463">
          <cell r="B2463">
            <v>2.8495370370369578E-2</v>
          </cell>
          <cell r="C2463">
            <v>41</v>
          </cell>
        </row>
        <row r="2464">
          <cell r="B2464">
            <v>2.8506944444443651E-2</v>
          </cell>
          <cell r="C2464">
            <v>41</v>
          </cell>
        </row>
        <row r="2465">
          <cell r="B2465">
            <v>2.8518518518517725E-2</v>
          </cell>
          <cell r="C2465">
            <v>41</v>
          </cell>
        </row>
        <row r="2466">
          <cell r="B2466">
            <v>2.8530092592591799E-2</v>
          </cell>
          <cell r="C2466">
            <v>41</v>
          </cell>
        </row>
        <row r="2467">
          <cell r="B2467">
            <v>2.8541666666665872E-2</v>
          </cell>
          <cell r="C2467">
            <v>41</v>
          </cell>
        </row>
        <row r="2468">
          <cell r="B2468">
            <v>2.8553240740739946E-2</v>
          </cell>
          <cell r="C2468">
            <v>41</v>
          </cell>
        </row>
        <row r="2469">
          <cell r="B2469">
            <v>2.8564814814814019E-2</v>
          </cell>
          <cell r="C2469">
            <v>41</v>
          </cell>
        </row>
        <row r="2470">
          <cell r="B2470">
            <v>2.8576388888888093E-2</v>
          </cell>
          <cell r="C2470">
            <v>41</v>
          </cell>
        </row>
        <row r="2471">
          <cell r="B2471">
            <v>2.8587962962962166E-2</v>
          </cell>
          <cell r="C2471">
            <v>41</v>
          </cell>
        </row>
        <row r="2472">
          <cell r="B2472">
            <v>2.859953703703624E-2</v>
          </cell>
          <cell r="C2472">
            <v>41</v>
          </cell>
        </row>
        <row r="2473">
          <cell r="B2473">
            <v>2.8611111111110313E-2</v>
          </cell>
          <cell r="C2473">
            <v>41</v>
          </cell>
        </row>
        <row r="2474">
          <cell r="B2474">
            <v>2.8622685185184387E-2</v>
          </cell>
          <cell r="C2474">
            <v>41</v>
          </cell>
        </row>
        <row r="2475">
          <cell r="B2475">
            <v>2.8634259259258461E-2</v>
          </cell>
          <cell r="C2475">
            <v>41</v>
          </cell>
        </row>
        <row r="2476">
          <cell r="B2476">
            <v>2.8645833333332534E-2</v>
          </cell>
          <cell r="C2476">
            <v>41</v>
          </cell>
        </row>
        <row r="2477">
          <cell r="B2477">
            <v>2.8657407407406608E-2</v>
          </cell>
          <cell r="C2477">
            <v>41</v>
          </cell>
        </row>
        <row r="2478">
          <cell r="B2478">
            <v>2.8668981481480681E-2</v>
          </cell>
          <cell r="C2478">
            <v>41</v>
          </cell>
        </row>
        <row r="2479">
          <cell r="B2479">
            <v>2.8680555555554755E-2</v>
          </cell>
          <cell r="C2479">
            <v>41</v>
          </cell>
        </row>
        <row r="2480">
          <cell r="B2480">
            <v>2.8692129629628828E-2</v>
          </cell>
          <cell r="C2480">
            <v>41</v>
          </cell>
        </row>
        <row r="2481">
          <cell r="B2481">
            <v>2.8703703703702902E-2</v>
          </cell>
          <cell r="C2481">
            <v>41</v>
          </cell>
        </row>
        <row r="2482">
          <cell r="B2482">
            <v>2.8715277777776976E-2</v>
          </cell>
          <cell r="C2482">
            <v>41</v>
          </cell>
        </row>
        <row r="2483">
          <cell r="B2483">
            <v>2.8726851851851049E-2</v>
          </cell>
          <cell r="C2483">
            <v>41</v>
          </cell>
        </row>
        <row r="2484">
          <cell r="B2484">
            <v>2.8738425925925123E-2</v>
          </cell>
          <cell r="C2484">
            <v>41</v>
          </cell>
        </row>
        <row r="2485">
          <cell r="B2485">
            <v>2.8749999999999196E-2</v>
          </cell>
          <cell r="C2485">
            <v>41</v>
          </cell>
        </row>
        <row r="2486">
          <cell r="B2486">
            <v>2.876157407407327E-2</v>
          </cell>
          <cell r="C2486">
            <v>41</v>
          </cell>
        </row>
        <row r="2487">
          <cell r="B2487">
            <v>2.8773148148147343E-2</v>
          </cell>
          <cell r="C2487">
            <v>41</v>
          </cell>
        </row>
        <row r="2488">
          <cell r="B2488">
            <v>2.8784722222221417E-2</v>
          </cell>
          <cell r="C2488">
            <v>41</v>
          </cell>
        </row>
        <row r="2489">
          <cell r="B2489">
            <v>2.8796296296295491E-2</v>
          </cell>
          <cell r="C2489">
            <v>41</v>
          </cell>
        </row>
        <row r="2490">
          <cell r="B2490">
            <v>2.8807870370369564E-2</v>
          </cell>
          <cell r="C2490">
            <v>41</v>
          </cell>
        </row>
        <row r="2491">
          <cell r="B2491">
            <v>2.8819444444443638E-2</v>
          </cell>
          <cell r="C2491">
            <v>41</v>
          </cell>
        </row>
        <row r="2492">
          <cell r="B2492">
            <v>2.8831018518517711E-2</v>
          </cell>
          <cell r="C2492">
            <v>41</v>
          </cell>
        </row>
        <row r="2493">
          <cell r="B2493">
            <v>2.8842592592591785E-2</v>
          </cell>
          <cell r="C2493">
            <v>41</v>
          </cell>
        </row>
        <row r="2494">
          <cell r="B2494">
            <v>2.8854166666665858E-2</v>
          </cell>
          <cell r="C2494">
            <v>41</v>
          </cell>
        </row>
        <row r="2495">
          <cell r="B2495">
            <v>2.8865740740739932E-2</v>
          </cell>
          <cell r="C2495">
            <v>41</v>
          </cell>
        </row>
        <row r="2496">
          <cell r="B2496">
            <v>2.8877314814814006E-2</v>
          </cell>
          <cell r="C2496">
            <v>41</v>
          </cell>
        </row>
        <row r="2497">
          <cell r="B2497">
            <v>2.8888888888888079E-2</v>
          </cell>
          <cell r="C2497">
            <v>41</v>
          </cell>
        </row>
        <row r="2498">
          <cell r="B2498">
            <v>2.8900462962962153E-2</v>
          </cell>
          <cell r="C2498">
            <v>41</v>
          </cell>
        </row>
        <row r="2499">
          <cell r="B2499">
            <v>2.8912037037036226E-2</v>
          </cell>
          <cell r="C2499">
            <v>41</v>
          </cell>
        </row>
        <row r="2500">
          <cell r="B2500">
            <v>2.89236111111103E-2</v>
          </cell>
          <cell r="C2500">
            <v>41</v>
          </cell>
        </row>
        <row r="2501">
          <cell r="B2501">
            <v>2.8935185185184373E-2</v>
          </cell>
          <cell r="C2501">
            <v>41</v>
          </cell>
        </row>
        <row r="2502">
          <cell r="B2502">
            <v>2.8946759259258447E-2</v>
          </cell>
          <cell r="C2502">
            <v>41</v>
          </cell>
        </row>
        <row r="2503">
          <cell r="B2503">
            <v>2.8958333333332521E-2</v>
          </cell>
          <cell r="C2503">
            <v>41</v>
          </cell>
        </row>
        <row r="2504">
          <cell r="B2504">
            <v>2.8969907407406594E-2</v>
          </cell>
          <cell r="C2504">
            <v>41</v>
          </cell>
        </row>
        <row r="2505">
          <cell r="B2505">
            <v>2.8981481481480668E-2</v>
          </cell>
          <cell r="C2505">
            <v>41</v>
          </cell>
        </row>
        <row r="2506">
          <cell r="B2506">
            <v>2.8993055555554741E-2</v>
          </cell>
          <cell r="C2506">
            <v>41</v>
          </cell>
        </row>
        <row r="2507">
          <cell r="B2507">
            <v>2.9004629629628815E-2</v>
          </cell>
          <cell r="C2507">
            <v>41</v>
          </cell>
        </row>
        <row r="2508">
          <cell r="B2508">
            <v>2.9016203703702888E-2</v>
          </cell>
          <cell r="C2508">
            <v>41</v>
          </cell>
        </row>
        <row r="2509">
          <cell r="B2509">
            <v>2.9027777777776962E-2</v>
          </cell>
          <cell r="C2509">
            <v>41</v>
          </cell>
        </row>
        <row r="2510">
          <cell r="B2510">
            <v>2.9039351851851036E-2</v>
          </cell>
          <cell r="C2510">
            <v>41</v>
          </cell>
        </row>
        <row r="2511">
          <cell r="B2511">
            <v>2.9050925925925109E-2</v>
          </cell>
          <cell r="C2511">
            <v>41</v>
          </cell>
        </row>
        <row r="2512">
          <cell r="B2512">
            <v>2.9062499999999183E-2</v>
          </cell>
          <cell r="C2512">
            <v>41</v>
          </cell>
        </row>
        <row r="2513">
          <cell r="B2513">
            <v>2.9074074074073256E-2</v>
          </cell>
          <cell r="C2513">
            <v>41</v>
          </cell>
        </row>
        <row r="2514">
          <cell r="B2514">
            <v>2.908564814814733E-2</v>
          </cell>
          <cell r="C2514">
            <v>41</v>
          </cell>
        </row>
        <row r="2515">
          <cell r="B2515">
            <v>2.9097222222221403E-2</v>
          </cell>
          <cell r="C2515">
            <v>41</v>
          </cell>
        </row>
        <row r="2516">
          <cell r="B2516">
            <v>2.9108796296295477E-2</v>
          </cell>
          <cell r="C2516">
            <v>41</v>
          </cell>
        </row>
        <row r="2517">
          <cell r="B2517">
            <v>2.9120370370369551E-2</v>
          </cell>
          <cell r="C2517">
            <v>41</v>
          </cell>
        </row>
        <row r="2518">
          <cell r="B2518">
            <v>2.9131944444443624E-2</v>
          </cell>
          <cell r="C2518">
            <v>41</v>
          </cell>
        </row>
        <row r="2519">
          <cell r="B2519">
            <v>2.9143518518517698E-2</v>
          </cell>
          <cell r="C2519">
            <v>41</v>
          </cell>
        </row>
        <row r="2520">
          <cell r="B2520">
            <v>2.9155092592591771E-2</v>
          </cell>
          <cell r="C2520">
            <v>41</v>
          </cell>
        </row>
        <row r="2521">
          <cell r="B2521">
            <v>2.9166666666665845E-2</v>
          </cell>
          <cell r="C2521">
            <v>42</v>
          </cell>
        </row>
        <row r="2522">
          <cell r="B2522">
            <v>2.9178240740739918E-2</v>
          </cell>
          <cell r="C2522">
            <v>42</v>
          </cell>
        </row>
        <row r="2523">
          <cell r="B2523">
            <v>2.9189814814813992E-2</v>
          </cell>
          <cell r="C2523">
            <v>42</v>
          </cell>
        </row>
        <row r="2524">
          <cell r="B2524">
            <v>2.9201388888888066E-2</v>
          </cell>
          <cell r="C2524">
            <v>42</v>
          </cell>
        </row>
        <row r="2525">
          <cell r="B2525">
            <v>2.9212962962962139E-2</v>
          </cell>
          <cell r="C2525">
            <v>42</v>
          </cell>
        </row>
        <row r="2526">
          <cell r="B2526">
            <v>2.9224537037036213E-2</v>
          </cell>
          <cell r="C2526">
            <v>42</v>
          </cell>
        </row>
        <row r="2527">
          <cell r="B2527">
            <v>2.9236111111110286E-2</v>
          </cell>
          <cell r="C2527">
            <v>42</v>
          </cell>
        </row>
        <row r="2528">
          <cell r="B2528">
            <v>2.924768518518436E-2</v>
          </cell>
          <cell r="C2528">
            <v>42</v>
          </cell>
        </row>
        <row r="2529">
          <cell r="B2529">
            <v>2.9259259259258433E-2</v>
          </cell>
          <cell r="C2529">
            <v>42</v>
          </cell>
        </row>
        <row r="2530">
          <cell r="B2530">
            <v>2.9270833333332507E-2</v>
          </cell>
          <cell r="C2530">
            <v>42</v>
          </cell>
        </row>
        <row r="2531">
          <cell r="B2531">
            <v>2.9282407407406581E-2</v>
          </cell>
          <cell r="C2531">
            <v>42</v>
          </cell>
        </row>
        <row r="2532">
          <cell r="B2532">
            <v>2.9293981481480654E-2</v>
          </cell>
          <cell r="C2532">
            <v>42</v>
          </cell>
        </row>
        <row r="2533">
          <cell r="B2533">
            <v>2.9305555555554728E-2</v>
          </cell>
          <cell r="C2533">
            <v>42</v>
          </cell>
        </row>
        <row r="2534">
          <cell r="B2534">
            <v>2.9317129629628801E-2</v>
          </cell>
          <cell r="C2534">
            <v>42</v>
          </cell>
        </row>
        <row r="2535">
          <cell r="B2535">
            <v>2.9328703703702875E-2</v>
          </cell>
          <cell r="C2535">
            <v>42</v>
          </cell>
        </row>
        <row r="2536">
          <cell r="B2536">
            <v>2.9340277777776948E-2</v>
          </cell>
          <cell r="C2536">
            <v>42</v>
          </cell>
        </row>
        <row r="2537">
          <cell r="B2537">
            <v>2.9351851851851022E-2</v>
          </cell>
          <cell r="C2537">
            <v>42</v>
          </cell>
        </row>
        <row r="2538">
          <cell r="B2538">
            <v>2.9363425925925096E-2</v>
          </cell>
          <cell r="C2538">
            <v>42</v>
          </cell>
        </row>
        <row r="2539">
          <cell r="B2539">
            <v>2.9374999999999169E-2</v>
          </cell>
          <cell r="C2539">
            <v>42</v>
          </cell>
        </row>
        <row r="2540">
          <cell r="B2540">
            <v>2.9386574074073243E-2</v>
          </cell>
          <cell r="C2540">
            <v>42</v>
          </cell>
        </row>
        <row r="2541">
          <cell r="B2541">
            <v>2.9398148148147316E-2</v>
          </cell>
          <cell r="C2541">
            <v>42</v>
          </cell>
        </row>
        <row r="2542">
          <cell r="B2542">
            <v>2.940972222222139E-2</v>
          </cell>
          <cell r="C2542">
            <v>42</v>
          </cell>
        </row>
        <row r="2543">
          <cell r="B2543">
            <v>2.9421296296295463E-2</v>
          </cell>
          <cell r="C2543">
            <v>42</v>
          </cell>
        </row>
        <row r="2544">
          <cell r="B2544">
            <v>2.9432870370369537E-2</v>
          </cell>
          <cell r="C2544">
            <v>42</v>
          </cell>
        </row>
        <row r="2545">
          <cell r="B2545">
            <v>2.9444444444443611E-2</v>
          </cell>
          <cell r="C2545">
            <v>42</v>
          </cell>
        </row>
        <row r="2546">
          <cell r="B2546">
            <v>2.9456018518517684E-2</v>
          </cell>
          <cell r="C2546">
            <v>42</v>
          </cell>
        </row>
        <row r="2547">
          <cell r="B2547">
            <v>2.9467592592591758E-2</v>
          </cell>
          <cell r="C2547">
            <v>42</v>
          </cell>
        </row>
        <row r="2548">
          <cell r="B2548">
            <v>2.9479166666665831E-2</v>
          </cell>
          <cell r="C2548">
            <v>42</v>
          </cell>
        </row>
        <row r="2549">
          <cell r="B2549">
            <v>2.9490740740739905E-2</v>
          </cell>
          <cell r="C2549">
            <v>42</v>
          </cell>
        </row>
        <row r="2550">
          <cell r="B2550">
            <v>2.9502314814813978E-2</v>
          </cell>
          <cell r="C2550">
            <v>42</v>
          </cell>
        </row>
        <row r="2551">
          <cell r="B2551">
            <v>2.9513888888888052E-2</v>
          </cell>
          <cell r="C2551">
            <v>42</v>
          </cell>
        </row>
        <row r="2552">
          <cell r="B2552">
            <v>2.9525462962962126E-2</v>
          </cell>
          <cell r="C2552">
            <v>42</v>
          </cell>
        </row>
        <row r="2553">
          <cell r="B2553">
            <v>2.9537037037036199E-2</v>
          </cell>
          <cell r="C2553">
            <v>42</v>
          </cell>
        </row>
        <row r="2554">
          <cell r="B2554">
            <v>2.9548611111110273E-2</v>
          </cell>
          <cell r="C2554">
            <v>42</v>
          </cell>
        </row>
        <row r="2555">
          <cell r="B2555">
            <v>2.9560185185184346E-2</v>
          </cell>
          <cell r="C2555">
            <v>42</v>
          </cell>
        </row>
        <row r="2556">
          <cell r="B2556">
            <v>2.957175925925842E-2</v>
          </cell>
          <cell r="C2556">
            <v>42</v>
          </cell>
        </row>
        <row r="2557">
          <cell r="B2557">
            <v>2.9583333333332493E-2</v>
          </cell>
          <cell r="C2557">
            <v>42</v>
          </cell>
        </row>
        <row r="2558">
          <cell r="B2558">
            <v>2.9594907407406567E-2</v>
          </cell>
          <cell r="C2558">
            <v>42</v>
          </cell>
        </row>
        <row r="2559">
          <cell r="B2559">
            <v>2.9606481481480641E-2</v>
          </cell>
          <cell r="C2559">
            <v>42</v>
          </cell>
        </row>
        <row r="2560">
          <cell r="B2560">
            <v>2.9618055555554714E-2</v>
          </cell>
          <cell r="C2560">
            <v>42</v>
          </cell>
        </row>
        <row r="2561">
          <cell r="B2561">
            <v>2.9629629629628788E-2</v>
          </cell>
          <cell r="C2561">
            <v>42</v>
          </cell>
        </row>
        <row r="2562">
          <cell r="B2562">
            <v>2.9641203703702861E-2</v>
          </cell>
          <cell r="C2562">
            <v>42</v>
          </cell>
        </row>
        <row r="2563">
          <cell r="B2563">
            <v>2.9652777777776935E-2</v>
          </cell>
          <cell r="C2563">
            <v>42</v>
          </cell>
        </row>
        <row r="2564">
          <cell r="B2564">
            <v>2.9664351851851008E-2</v>
          </cell>
          <cell r="C2564">
            <v>42</v>
          </cell>
        </row>
        <row r="2565">
          <cell r="B2565">
            <v>2.9675925925925082E-2</v>
          </cell>
          <cell r="C2565">
            <v>42</v>
          </cell>
        </row>
        <row r="2566">
          <cell r="B2566">
            <v>2.9687499999999156E-2</v>
          </cell>
          <cell r="C2566">
            <v>42</v>
          </cell>
        </row>
        <row r="2567">
          <cell r="B2567">
            <v>2.9699074074073229E-2</v>
          </cell>
          <cell r="C2567">
            <v>42</v>
          </cell>
        </row>
        <row r="2568">
          <cell r="B2568">
            <v>2.9710648148147303E-2</v>
          </cell>
          <cell r="C2568">
            <v>42</v>
          </cell>
        </row>
        <row r="2569">
          <cell r="B2569">
            <v>2.9722222222221376E-2</v>
          </cell>
          <cell r="C2569">
            <v>42</v>
          </cell>
        </row>
        <row r="2570">
          <cell r="B2570">
            <v>2.973379629629545E-2</v>
          </cell>
          <cell r="C2570">
            <v>42</v>
          </cell>
        </row>
        <row r="2571">
          <cell r="B2571">
            <v>2.9745370370369523E-2</v>
          </cell>
          <cell r="C2571">
            <v>42</v>
          </cell>
        </row>
        <row r="2572">
          <cell r="B2572">
            <v>2.9756944444443597E-2</v>
          </cell>
          <cell r="C2572">
            <v>42</v>
          </cell>
        </row>
        <row r="2573">
          <cell r="B2573">
            <v>2.9768518518517671E-2</v>
          </cell>
          <cell r="C2573">
            <v>42</v>
          </cell>
        </row>
        <row r="2574">
          <cell r="B2574">
            <v>2.9780092592591744E-2</v>
          </cell>
          <cell r="C2574">
            <v>42</v>
          </cell>
        </row>
        <row r="2575">
          <cell r="B2575">
            <v>2.9791666666665818E-2</v>
          </cell>
          <cell r="C2575">
            <v>42</v>
          </cell>
        </row>
        <row r="2576">
          <cell r="B2576">
            <v>2.9803240740739891E-2</v>
          </cell>
          <cell r="C2576">
            <v>42</v>
          </cell>
        </row>
        <row r="2577">
          <cell r="B2577">
            <v>2.9814814814813965E-2</v>
          </cell>
          <cell r="C2577">
            <v>42</v>
          </cell>
        </row>
        <row r="2578">
          <cell r="B2578">
            <v>2.9826388888888038E-2</v>
          </cell>
          <cell r="C2578">
            <v>42</v>
          </cell>
        </row>
        <row r="2579">
          <cell r="B2579">
            <v>2.9837962962962112E-2</v>
          </cell>
          <cell r="C2579">
            <v>42</v>
          </cell>
        </row>
        <row r="2580">
          <cell r="B2580">
            <v>2.9849537037036186E-2</v>
          </cell>
          <cell r="C2580">
            <v>42</v>
          </cell>
        </row>
        <row r="2581">
          <cell r="B2581">
            <v>2.9861111111110259E-2</v>
          </cell>
          <cell r="C2581">
            <v>43</v>
          </cell>
        </row>
        <row r="2582">
          <cell r="B2582">
            <v>2.9872685185184333E-2</v>
          </cell>
          <cell r="C2582">
            <v>43</v>
          </cell>
        </row>
        <row r="2583">
          <cell r="B2583">
            <v>2.9884259259258406E-2</v>
          </cell>
          <cell r="C2583">
            <v>43</v>
          </cell>
        </row>
        <row r="2584">
          <cell r="B2584">
            <v>2.989583333333248E-2</v>
          </cell>
          <cell r="C2584">
            <v>43</v>
          </cell>
        </row>
        <row r="2585">
          <cell r="B2585">
            <v>2.9907407407406553E-2</v>
          </cell>
          <cell r="C2585">
            <v>43</v>
          </cell>
        </row>
        <row r="2586">
          <cell r="B2586">
            <v>2.9918981481480627E-2</v>
          </cell>
          <cell r="C2586">
            <v>43</v>
          </cell>
        </row>
        <row r="2587">
          <cell r="B2587">
            <v>2.9930555555554701E-2</v>
          </cell>
          <cell r="C2587">
            <v>43</v>
          </cell>
        </row>
        <row r="2588">
          <cell r="B2588">
            <v>2.9942129629628774E-2</v>
          </cell>
          <cell r="C2588">
            <v>43</v>
          </cell>
        </row>
        <row r="2589">
          <cell r="B2589">
            <v>2.9953703703702848E-2</v>
          </cell>
          <cell r="C2589">
            <v>43</v>
          </cell>
        </row>
        <row r="2590">
          <cell r="B2590">
            <v>2.9965277777776921E-2</v>
          </cell>
          <cell r="C2590">
            <v>43</v>
          </cell>
        </row>
        <row r="2591">
          <cell r="B2591">
            <v>2.9976851851850995E-2</v>
          </cell>
          <cell r="C2591">
            <v>43</v>
          </cell>
        </row>
        <row r="2592">
          <cell r="B2592">
            <v>2.9988425925925068E-2</v>
          </cell>
          <cell r="C2592">
            <v>43</v>
          </cell>
        </row>
        <row r="2593">
          <cell r="B2593">
            <v>2.9999999999999142E-2</v>
          </cell>
          <cell r="C2593">
            <v>43</v>
          </cell>
        </row>
        <row r="2594">
          <cell r="B2594">
            <v>3.0011574074073216E-2</v>
          </cell>
          <cell r="C2594">
            <v>43</v>
          </cell>
        </row>
        <row r="2595">
          <cell r="B2595">
            <v>3.0023148148147289E-2</v>
          </cell>
          <cell r="C2595">
            <v>43</v>
          </cell>
        </row>
        <row r="2596">
          <cell r="B2596">
            <v>3.0034722222221363E-2</v>
          </cell>
          <cell r="C2596">
            <v>43</v>
          </cell>
        </row>
        <row r="2597">
          <cell r="B2597">
            <v>3.0046296296295436E-2</v>
          </cell>
          <cell r="C2597">
            <v>43</v>
          </cell>
        </row>
        <row r="2598">
          <cell r="B2598">
            <v>3.005787037036951E-2</v>
          </cell>
          <cell r="C2598">
            <v>43</v>
          </cell>
        </row>
        <row r="2599">
          <cell r="B2599">
            <v>3.0069444444443583E-2</v>
          </cell>
          <cell r="C2599">
            <v>43</v>
          </cell>
        </row>
        <row r="2600">
          <cell r="B2600">
            <v>3.0081018518517657E-2</v>
          </cell>
          <cell r="C2600">
            <v>43</v>
          </cell>
        </row>
        <row r="2601">
          <cell r="B2601">
            <v>3.009259259259173E-2</v>
          </cell>
          <cell r="C2601">
            <v>43</v>
          </cell>
        </row>
        <row r="2602">
          <cell r="B2602">
            <v>3.0104166666665804E-2</v>
          </cell>
          <cell r="C2602">
            <v>43</v>
          </cell>
        </row>
        <row r="2603">
          <cell r="B2603">
            <v>3.0115740740739878E-2</v>
          </cell>
          <cell r="C2603">
            <v>43</v>
          </cell>
        </row>
        <row r="2604">
          <cell r="B2604">
            <v>3.0127314814813951E-2</v>
          </cell>
          <cell r="C2604">
            <v>43</v>
          </cell>
        </row>
        <row r="2605">
          <cell r="B2605">
            <v>3.0138888888888025E-2</v>
          </cell>
          <cell r="C2605">
            <v>43</v>
          </cell>
        </row>
        <row r="2606">
          <cell r="B2606">
            <v>3.0150462962962098E-2</v>
          </cell>
          <cell r="C2606">
            <v>43</v>
          </cell>
        </row>
        <row r="2607">
          <cell r="B2607">
            <v>3.0162037037036172E-2</v>
          </cell>
          <cell r="C2607">
            <v>43</v>
          </cell>
        </row>
        <row r="2608">
          <cell r="B2608">
            <v>3.0173611111110245E-2</v>
          </cell>
          <cell r="C2608">
            <v>43</v>
          </cell>
        </row>
        <row r="2609">
          <cell r="B2609">
            <v>3.0185185185184319E-2</v>
          </cell>
          <cell r="C2609">
            <v>43</v>
          </cell>
        </row>
        <row r="2610">
          <cell r="B2610">
            <v>3.0196759259258393E-2</v>
          </cell>
          <cell r="C2610">
            <v>43</v>
          </cell>
        </row>
        <row r="2611">
          <cell r="B2611">
            <v>3.0208333333332466E-2</v>
          </cell>
          <cell r="C2611">
            <v>43</v>
          </cell>
        </row>
        <row r="2612">
          <cell r="B2612">
            <v>3.021990740740654E-2</v>
          </cell>
          <cell r="C2612">
            <v>43</v>
          </cell>
        </row>
        <row r="2613">
          <cell r="B2613">
            <v>3.0231481481480613E-2</v>
          </cell>
          <cell r="C2613">
            <v>43</v>
          </cell>
        </row>
        <row r="2614">
          <cell r="B2614">
            <v>3.0243055555554687E-2</v>
          </cell>
          <cell r="C2614">
            <v>43</v>
          </cell>
        </row>
        <row r="2615">
          <cell r="B2615">
            <v>3.025462962962876E-2</v>
          </cell>
          <cell r="C2615">
            <v>43</v>
          </cell>
        </row>
        <row r="2616">
          <cell r="B2616">
            <v>3.0266203703702834E-2</v>
          </cell>
          <cell r="C2616">
            <v>43</v>
          </cell>
        </row>
        <row r="2617">
          <cell r="B2617">
            <v>3.0277777777776908E-2</v>
          </cell>
          <cell r="C2617">
            <v>43</v>
          </cell>
        </row>
        <row r="2618">
          <cell r="B2618">
            <v>3.0289351851850981E-2</v>
          </cell>
          <cell r="C2618">
            <v>43</v>
          </cell>
        </row>
        <row r="2619">
          <cell r="B2619">
            <v>3.0300925925925055E-2</v>
          </cell>
          <cell r="C2619">
            <v>43</v>
          </cell>
        </row>
        <row r="2620">
          <cell r="B2620">
            <v>3.0312499999999128E-2</v>
          </cell>
          <cell r="C2620">
            <v>43</v>
          </cell>
        </row>
        <row r="2621">
          <cell r="B2621">
            <v>3.0324074074073202E-2</v>
          </cell>
          <cell r="C2621">
            <v>43</v>
          </cell>
        </row>
        <row r="2622">
          <cell r="B2622">
            <v>3.0335648148147275E-2</v>
          </cell>
          <cell r="C2622">
            <v>43</v>
          </cell>
        </row>
        <row r="2623">
          <cell r="B2623">
            <v>3.0347222222221349E-2</v>
          </cell>
          <cell r="C2623">
            <v>43</v>
          </cell>
        </row>
        <row r="2624">
          <cell r="B2624">
            <v>3.0358796296295423E-2</v>
          </cell>
          <cell r="C2624">
            <v>43</v>
          </cell>
        </row>
        <row r="2625">
          <cell r="B2625">
            <v>3.0370370370369496E-2</v>
          </cell>
          <cell r="C2625">
            <v>43</v>
          </cell>
        </row>
        <row r="2626">
          <cell r="B2626">
            <v>3.038194444444357E-2</v>
          </cell>
          <cell r="C2626">
            <v>43</v>
          </cell>
        </row>
        <row r="2627">
          <cell r="B2627">
            <v>3.0393518518517643E-2</v>
          </cell>
          <cell r="C2627">
            <v>43</v>
          </cell>
        </row>
        <row r="2628">
          <cell r="B2628">
            <v>3.0405092592591717E-2</v>
          </cell>
          <cell r="C2628">
            <v>43</v>
          </cell>
        </row>
        <row r="2629">
          <cell r="B2629">
            <v>3.041666666666579E-2</v>
          </cell>
          <cell r="C2629">
            <v>43</v>
          </cell>
        </row>
        <row r="2630">
          <cell r="B2630">
            <v>3.0428240740739864E-2</v>
          </cell>
          <cell r="C2630">
            <v>43</v>
          </cell>
        </row>
        <row r="2631">
          <cell r="B2631">
            <v>3.0439814814813938E-2</v>
          </cell>
          <cell r="C2631">
            <v>43</v>
          </cell>
        </row>
        <row r="2632">
          <cell r="B2632">
            <v>3.0451388888888011E-2</v>
          </cell>
          <cell r="C2632">
            <v>43</v>
          </cell>
        </row>
        <row r="2633">
          <cell r="B2633">
            <v>3.0462962962962085E-2</v>
          </cell>
          <cell r="C2633">
            <v>43</v>
          </cell>
        </row>
        <row r="2634">
          <cell r="B2634">
            <v>3.0474537037036158E-2</v>
          </cell>
          <cell r="C2634">
            <v>43</v>
          </cell>
        </row>
        <row r="2635">
          <cell r="B2635">
            <v>3.0486111111110232E-2</v>
          </cell>
          <cell r="C2635">
            <v>43</v>
          </cell>
        </row>
        <row r="2636">
          <cell r="B2636">
            <v>3.0497685185184305E-2</v>
          </cell>
          <cell r="C2636">
            <v>43</v>
          </cell>
        </row>
        <row r="2637">
          <cell r="B2637">
            <v>3.0509259259258379E-2</v>
          </cell>
          <cell r="C2637">
            <v>43</v>
          </cell>
        </row>
        <row r="2638">
          <cell r="B2638">
            <v>3.0520833333332453E-2</v>
          </cell>
          <cell r="C2638">
            <v>43</v>
          </cell>
        </row>
        <row r="2639">
          <cell r="B2639">
            <v>3.0532407407406526E-2</v>
          </cell>
          <cell r="C2639">
            <v>43</v>
          </cell>
        </row>
        <row r="2640">
          <cell r="B2640">
            <v>3.05439814814806E-2</v>
          </cell>
          <cell r="C2640">
            <v>43</v>
          </cell>
        </row>
        <row r="2641">
          <cell r="B2641">
            <v>3.0555555555554673E-2</v>
          </cell>
          <cell r="C2641">
            <v>44</v>
          </cell>
        </row>
        <row r="2642">
          <cell r="B2642">
            <v>3.0567129629628747E-2</v>
          </cell>
          <cell r="C2642">
            <v>44</v>
          </cell>
        </row>
        <row r="2643">
          <cell r="B2643">
            <v>3.057870370370282E-2</v>
          </cell>
          <cell r="C2643">
            <v>44</v>
          </cell>
        </row>
        <row r="2644">
          <cell r="B2644">
            <v>3.0590277777776894E-2</v>
          </cell>
          <cell r="C2644">
            <v>44</v>
          </cell>
        </row>
        <row r="2645">
          <cell r="B2645">
            <v>3.0601851851850968E-2</v>
          </cell>
          <cell r="C2645">
            <v>44</v>
          </cell>
        </row>
        <row r="2646">
          <cell r="B2646">
            <v>3.0613425925925041E-2</v>
          </cell>
          <cell r="C2646">
            <v>44</v>
          </cell>
        </row>
        <row r="2647">
          <cell r="B2647">
            <v>3.0624999999999115E-2</v>
          </cell>
          <cell r="C2647">
            <v>44</v>
          </cell>
        </row>
        <row r="2648">
          <cell r="B2648">
            <v>3.0636574074073188E-2</v>
          </cell>
          <cell r="C2648">
            <v>44</v>
          </cell>
        </row>
        <row r="2649">
          <cell r="B2649">
            <v>3.0648148148147262E-2</v>
          </cell>
          <cell r="C2649">
            <v>44</v>
          </cell>
        </row>
        <row r="2650">
          <cell r="B2650">
            <v>3.0659722222221335E-2</v>
          </cell>
          <cell r="C2650">
            <v>44</v>
          </cell>
        </row>
        <row r="2651">
          <cell r="B2651">
            <v>3.0671296296295409E-2</v>
          </cell>
          <cell r="C2651">
            <v>44</v>
          </cell>
        </row>
        <row r="2652">
          <cell r="B2652">
            <v>3.0682870370369483E-2</v>
          </cell>
          <cell r="C2652">
            <v>44</v>
          </cell>
        </row>
        <row r="2653">
          <cell r="B2653">
            <v>3.0694444444443556E-2</v>
          </cell>
          <cell r="C2653">
            <v>44</v>
          </cell>
        </row>
        <row r="2654">
          <cell r="B2654">
            <v>3.070601851851763E-2</v>
          </cell>
          <cell r="C2654">
            <v>44</v>
          </cell>
        </row>
        <row r="2655">
          <cell r="B2655">
            <v>3.0717592592591703E-2</v>
          </cell>
          <cell r="C2655">
            <v>44</v>
          </cell>
        </row>
        <row r="2656">
          <cell r="B2656">
            <v>3.0729166666665777E-2</v>
          </cell>
          <cell r="C2656">
            <v>44</v>
          </cell>
        </row>
        <row r="2657">
          <cell r="B2657">
            <v>3.074074074073985E-2</v>
          </cell>
          <cell r="C2657">
            <v>44</v>
          </cell>
        </row>
        <row r="2658">
          <cell r="B2658">
            <v>3.0752314814813924E-2</v>
          </cell>
          <cell r="C2658">
            <v>44</v>
          </cell>
        </row>
        <row r="2659">
          <cell r="B2659">
            <v>3.0763888888887998E-2</v>
          </cell>
          <cell r="C2659">
            <v>44</v>
          </cell>
        </row>
        <row r="2660">
          <cell r="B2660">
            <v>3.0775462962962071E-2</v>
          </cell>
          <cell r="C2660">
            <v>44</v>
          </cell>
        </row>
        <row r="2661">
          <cell r="B2661">
            <v>3.0787037037036145E-2</v>
          </cell>
          <cell r="C2661">
            <v>44</v>
          </cell>
        </row>
        <row r="2662">
          <cell r="B2662">
            <v>3.0798611111110218E-2</v>
          </cell>
          <cell r="C2662">
            <v>44</v>
          </cell>
        </row>
        <row r="2663">
          <cell r="B2663">
            <v>3.0810185185184292E-2</v>
          </cell>
          <cell r="C2663">
            <v>44</v>
          </cell>
        </row>
        <row r="2664">
          <cell r="B2664">
            <v>3.0821759259258365E-2</v>
          </cell>
          <cell r="C2664">
            <v>44</v>
          </cell>
        </row>
        <row r="2665">
          <cell r="B2665">
            <v>3.0833333333332439E-2</v>
          </cell>
          <cell r="C2665">
            <v>44</v>
          </cell>
        </row>
        <row r="2666">
          <cell r="B2666">
            <v>3.0844907407406513E-2</v>
          </cell>
          <cell r="C2666">
            <v>44</v>
          </cell>
        </row>
        <row r="2667">
          <cell r="B2667">
            <v>3.0856481481480586E-2</v>
          </cell>
          <cell r="C2667">
            <v>44</v>
          </cell>
        </row>
        <row r="2668">
          <cell r="B2668">
            <v>3.086805555555466E-2</v>
          </cell>
          <cell r="C2668">
            <v>44</v>
          </cell>
        </row>
        <row r="2669">
          <cell r="B2669">
            <v>3.0879629629628733E-2</v>
          </cell>
          <cell r="C2669">
            <v>44</v>
          </cell>
        </row>
        <row r="2670">
          <cell r="B2670">
            <v>3.0891203703702807E-2</v>
          </cell>
          <cell r="C2670">
            <v>44</v>
          </cell>
        </row>
        <row r="2671">
          <cell r="B2671">
            <v>3.090277777777688E-2</v>
          </cell>
          <cell r="C2671">
            <v>44</v>
          </cell>
        </row>
        <row r="2672">
          <cell r="B2672">
            <v>3.0914351851850954E-2</v>
          </cell>
          <cell r="C2672">
            <v>44</v>
          </cell>
        </row>
        <row r="2673">
          <cell r="B2673">
            <v>3.0925925925925028E-2</v>
          </cell>
          <cell r="C2673">
            <v>44</v>
          </cell>
        </row>
        <row r="2674">
          <cell r="B2674">
            <v>3.0937499999999101E-2</v>
          </cell>
          <cell r="C2674">
            <v>44</v>
          </cell>
        </row>
        <row r="2675">
          <cell r="B2675">
            <v>3.0949074074073175E-2</v>
          </cell>
          <cell r="C2675">
            <v>44</v>
          </cell>
        </row>
        <row r="2676">
          <cell r="B2676">
            <v>3.0960648148147248E-2</v>
          </cell>
          <cell r="C2676">
            <v>44</v>
          </cell>
        </row>
        <row r="2677">
          <cell r="B2677">
            <v>3.0972222222221322E-2</v>
          </cell>
          <cell r="C2677">
            <v>44</v>
          </cell>
        </row>
        <row r="2678">
          <cell r="B2678">
            <v>3.0983796296295395E-2</v>
          </cell>
          <cell r="C2678">
            <v>44</v>
          </cell>
        </row>
        <row r="2679">
          <cell r="B2679">
            <v>3.0995370370369469E-2</v>
          </cell>
          <cell r="C2679">
            <v>44</v>
          </cell>
        </row>
        <row r="2680">
          <cell r="B2680">
            <v>3.1006944444443543E-2</v>
          </cell>
          <cell r="C2680">
            <v>44</v>
          </cell>
        </row>
        <row r="2681">
          <cell r="B2681">
            <v>3.1018518518517616E-2</v>
          </cell>
          <cell r="C2681">
            <v>44</v>
          </cell>
        </row>
        <row r="2682">
          <cell r="B2682">
            <v>3.103009259259169E-2</v>
          </cell>
          <cell r="C2682">
            <v>44</v>
          </cell>
        </row>
        <row r="2683">
          <cell r="B2683">
            <v>3.1041666666665763E-2</v>
          </cell>
          <cell r="C2683">
            <v>44</v>
          </cell>
        </row>
        <row r="2684">
          <cell r="B2684">
            <v>3.1053240740739837E-2</v>
          </cell>
          <cell r="C2684">
            <v>44</v>
          </cell>
        </row>
        <row r="2685">
          <cell r="B2685">
            <v>3.106481481481391E-2</v>
          </cell>
          <cell r="C2685">
            <v>44</v>
          </cell>
        </row>
        <row r="2686">
          <cell r="B2686">
            <v>3.1076388888887984E-2</v>
          </cell>
          <cell r="C2686">
            <v>44</v>
          </cell>
        </row>
        <row r="2687">
          <cell r="B2687">
            <v>3.1087962962962058E-2</v>
          </cell>
          <cell r="C2687">
            <v>44</v>
          </cell>
        </row>
        <row r="2688">
          <cell r="B2688">
            <v>3.1099537037036131E-2</v>
          </cell>
          <cell r="C2688">
            <v>44</v>
          </cell>
        </row>
        <row r="2689">
          <cell r="B2689">
            <v>3.1111111111110205E-2</v>
          </cell>
          <cell r="C2689">
            <v>44</v>
          </cell>
        </row>
        <row r="2690">
          <cell r="B2690">
            <v>3.1122685185184278E-2</v>
          </cell>
          <cell r="C2690">
            <v>44</v>
          </cell>
        </row>
        <row r="2691">
          <cell r="B2691">
            <v>3.1134259259258352E-2</v>
          </cell>
          <cell r="C2691">
            <v>44</v>
          </cell>
        </row>
        <row r="2692">
          <cell r="B2692">
            <v>3.1145833333332425E-2</v>
          </cell>
          <cell r="C2692">
            <v>44</v>
          </cell>
        </row>
        <row r="2693">
          <cell r="B2693">
            <v>3.1157407407406499E-2</v>
          </cell>
          <cell r="C2693">
            <v>44</v>
          </cell>
        </row>
        <row r="2694">
          <cell r="B2694">
            <v>3.1168981481480573E-2</v>
          </cell>
          <cell r="C2694">
            <v>44</v>
          </cell>
        </row>
        <row r="2695">
          <cell r="B2695">
            <v>3.1180555555554646E-2</v>
          </cell>
          <cell r="C2695">
            <v>44</v>
          </cell>
        </row>
        <row r="2696">
          <cell r="B2696">
            <v>3.119212962962872E-2</v>
          </cell>
          <cell r="C2696">
            <v>44</v>
          </cell>
        </row>
        <row r="2697">
          <cell r="B2697">
            <v>3.1203703703702793E-2</v>
          </cell>
          <cell r="C2697">
            <v>44</v>
          </cell>
        </row>
        <row r="2698">
          <cell r="B2698">
            <v>3.1215277777776867E-2</v>
          </cell>
          <cell r="C2698">
            <v>44</v>
          </cell>
        </row>
        <row r="2699">
          <cell r="B2699">
            <v>3.122685185185094E-2</v>
          </cell>
          <cell r="C2699">
            <v>44</v>
          </cell>
        </row>
        <row r="2700">
          <cell r="B2700">
            <v>3.1238425925925014E-2</v>
          </cell>
          <cell r="C2700">
            <v>44</v>
          </cell>
        </row>
        <row r="2701">
          <cell r="B2701">
            <v>3.1249999999999088E-2</v>
          </cell>
          <cell r="C2701">
            <v>45</v>
          </cell>
        </row>
        <row r="2702">
          <cell r="B2702">
            <v>3.1261574074073165E-2</v>
          </cell>
          <cell r="C2702">
            <v>45</v>
          </cell>
        </row>
        <row r="2703">
          <cell r="B2703">
            <v>3.1273148148147238E-2</v>
          </cell>
          <cell r="C2703">
            <v>45</v>
          </cell>
        </row>
        <row r="2704">
          <cell r="B2704">
            <v>3.1284722222221312E-2</v>
          </cell>
          <cell r="C2704">
            <v>45</v>
          </cell>
        </row>
        <row r="2705">
          <cell r="B2705">
            <v>3.1296296296295385E-2</v>
          </cell>
          <cell r="C2705">
            <v>45</v>
          </cell>
        </row>
        <row r="2706">
          <cell r="B2706">
            <v>3.1307870370369459E-2</v>
          </cell>
          <cell r="C2706">
            <v>45</v>
          </cell>
        </row>
        <row r="2707">
          <cell r="B2707">
            <v>3.1319444444443532E-2</v>
          </cell>
          <cell r="C2707">
            <v>45</v>
          </cell>
        </row>
        <row r="2708">
          <cell r="B2708">
            <v>3.1331018518517606E-2</v>
          </cell>
          <cell r="C2708">
            <v>45</v>
          </cell>
        </row>
        <row r="2709">
          <cell r="B2709">
            <v>3.134259259259168E-2</v>
          </cell>
          <cell r="C2709">
            <v>45</v>
          </cell>
        </row>
        <row r="2710">
          <cell r="B2710">
            <v>3.1354166666665753E-2</v>
          </cell>
          <cell r="C2710">
            <v>45</v>
          </cell>
        </row>
        <row r="2711">
          <cell r="B2711">
            <v>3.1365740740739827E-2</v>
          </cell>
          <cell r="C2711">
            <v>45</v>
          </cell>
        </row>
        <row r="2712">
          <cell r="B2712">
            <v>3.13773148148139E-2</v>
          </cell>
          <cell r="C2712">
            <v>45</v>
          </cell>
        </row>
        <row r="2713">
          <cell r="B2713">
            <v>3.1388888888887974E-2</v>
          </cell>
          <cell r="C2713">
            <v>45</v>
          </cell>
        </row>
        <row r="2714">
          <cell r="B2714">
            <v>3.1400462962962047E-2</v>
          </cell>
          <cell r="C2714">
            <v>45</v>
          </cell>
        </row>
        <row r="2715">
          <cell r="B2715">
            <v>3.1412037037036121E-2</v>
          </cell>
          <cell r="C2715">
            <v>45</v>
          </cell>
        </row>
        <row r="2716">
          <cell r="B2716">
            <v>3.1423611111110195E-2</v>
          </cell>
          <cell r="C2716">
            <v>45</v>
          </cell>
        </row>
        <row r="2717">
          <cell r="B2717">
            <v>3.1435185185184268E-2</v>
          </cell>
          <cell r="C2717">
            <v>45</v>
          </cell>
        </row>
        <row r="2718">
          <cell r="B2718">
            <v>3.1446759259258342E-2</v>
          </cell>
          <cell r="C2718">
            <v>45</v>
          </cell>
        </row>
        <row r="2719">
          <cell r="B2719">
            <v>3.1458333333332415E-2</v>
          </cell>
          <cell r="C2719">
            <v>45</v>
          </cell>
        </row>
        <row r="2720">
          <cell r="B2720">
            <v>3.1469907407406489E-2</v>
          </cell>
          <cell r="C2720">
            <v>45</v>
          </cell>
        </row>
        <row r="2721">
          <cell r="B2721">
            <v>3.1481481481480562E-2</v>
          </cell>
          <cell r="C2721">
            <v>45</v>
          </cell>
        </row>
        <row r="2722">
          <cell r="B2722">
            <v>3.1493055555554636E-2</v>
          </cell>
          <cell r="C2722">
            <v>45</v>
          </cell>
        </row>
        <row r="2723">
          <cell r="B2723">
            <v>3.150462962962871E-2</v>
          </cell>
          <cell r="C2723">
            <v>45</v>
          </cell>
        </row>
        <row r="2724">
          <cell r="B2724">
            <v>3.1516203703702783E-2</v>
          </cell>
          <cell r="C2724">
            <v>45</v>
          </cell>
        </row>
        <row r="2725">
          <cell r="B2725">
            <v>3.1527777777776857E-2</v>
          </cell>
          <cell r="C2725">
            <v>45</v>
          </cell>
        </row>
        <row r="2726">
          <cell r="B2726">
            <v>3.153935185185093E-2</v>
          </cell>
          <cell r="C2726">
            <v>45</v>
          </cell>
        </row>
        <row r="2727">
          <cell r="B2727">
            <v>3.1550925925925004E-2</v>
          </cell>
          <cell r="C2727">
            <v>45</v>
          </cell>
        </row>
        <row r="2728">
          <cell r="B2728">
            <v>3.1562499999999077E-2</v>
          </cell>
          <cell r="C2728">
            <v>45</v>
          </cell>
        </row>
        <row r="2729">
          <cell r="B2729">
            <v>3.1574074074073151E-2</v>
          </cell>
          <cell r="C2729">
            <v>45</v>
          </cell>
        </row>
        <row r="2730">
          <cell r="B2730">
            <v>3.1585648148147225E-2</v>
          </cell>
          <cell r="C2730">
            <v>45</v>
          </cell>
        </row>
        <row r="2731">
          <cell r="B2731">
            <v>3.1597222222221298E-2</v>
          </cell>
          <cell r="C2731">
            <v>45</v>
          </cell>
        </row>
        <row r="2732">
          <cell r="B2732">
            <v>3.1608796296295372E-2</v>
          </cell>
          <cell r="C2732">
            <v>45</v>
          </cell>
        </row>
        <row r="2733">
          <cell r="B2733">
            <v>3.1620370370369445E-2</v>
          </cell>
          <cell r="C2733">
            <v>45</v>
          </cell>
        </row>
        <row r="2734">
          <cell r="B2734">
            <v>3.1631944444443519E-2</v>
          </cell>
          <cell r="C2734">
            <v>45</v>
          </cell>
        </row>
        <row r="2735">
          <cell r="B2735">
            <v>3.1643518518517592E-2</v>
          </cell>
          <cell r="C2735">
            <v>45</v>
          </cell>
        </row>
        <row r="2736">
          <cell r="B2736">
            <v>3.1655092592591666E-2</v>
          </cell>
          <cell r="C2736">
            <v>45</v>
          </cell>
        </row>
        <row r="2737">
          <cell r="B2737">
            <v>3.166666666666574E-2</v>
          </cell>
          <cell r="C2737">
            <v>45</v>
          </cell>
        </row>
        <row r="2738">
          <cell r="B2738">
            <v>3.1678240740739813E-2</v>
          </cell>
          <cell r="C2738">
            <v>45</v>
          </cell>
        </row>
        <row r="2739">
          <cell r="B2739">
            <v>3.1689814814813887E-2</v>
          </cell>
          <cell r="C2739">
            <v>45</v>
          </cell>
        </row>
        <row r="2740">
          <cell r="B2740">
            <v>3.170138888888796E-2</v>
          </cell>
          <cell r="C2740">
            <v>45</v>
          </cell>
        </row>
        <row r="2741">
          <cell r="B2741">
            <v>3.1712962962962034E-2</v>
          </cell>
          <cell r="C2741">
            <v>45</v>
          </cell>
        </row>
        <row r="2742">
          <cell r="B2742">
            <v>3.1724537037036107E-2</v>
          </cell>
          <cell r="C2742">
            <v>45</v>
          </cell>
        </row>
        <row r="2743">
          <cell r="B2743">
            <v>3.1736111111110181E-2</v>
          </cell>
          <cell r="C2743">
            <v>45</v>
          </cell>
        </row>
        <row r="2744">
          <cell r="B2744">
            <v>3.1747685185184255E-2</v>
          </cell>
          <cell r="C2744">
            <v>45</v>
          </cell>
        </row>
        <row r="2745">
          <cell r="B2745">
            <v>3.1759259259258328E-2</v>
          </cell>
          <cell r="C2745">
            <v>45</v>
          </cell>
        </row>
        <row r="2746">
          <cell r="B2746">
            <v>3.1770833333332402E-2</v>
          </cell>
          <cell r="C2746">
            <v>45</v>
          </cell>
        </row>
        <row r="2747">
          <cell r="B2747">
            <v>3.1782407407406475E-2</v>
          </cell>
          <cell r="C2747">
            <v>45</v>
          </cell>
        </row>
        <row r="2748">
          <cell r="B2748">
            <v>3.1793981481480549E-2</v>
          </cell>
          <cell r="C2748">
            <v>45</v>
          </cell>
        </row>
        <row r="2749">
          <cell r="B2749">
            <v>3.1805555555554622E-2</v>
          </cell>
          <cell r="C2749">
            <v>45</v>
          </cell>
        </row>
        <row r="2750">
          <cell r="B2750">
            <v>3.1817129629628696E-2</v>
          </cell>
          <cell r="C2750">
            <v>45</v>
          </cell>
        </row>
        <row r="2751">
          <cell r="B2751">
            <v>3.182870370370277E-2</v>
          </cell>
          <cell r="C2751">
            <v>45</v>
          </cell>
        </row>
        <row r="2752">
          <cell r="B2752">
            <v>3.1840277777776843E-2</v>
          </cell>
          <cell r="C2752">
            <v>45</v>
          </cell>
        </row>
        <row r="2753">
          <cell r="B2753">
            <v>3.1851851851850917E-2</v>
          </cell>
          <cell r="C2753">
            <v>45</v>
          </cell>
        </row>
        <row r="2754">
          <cell r="B2754">
            <v>3.186342592592499E-2</v>
          </cell>
          <cell r="C2754">
            <v>45</v>
          </cell>
        </row>
        <row r="2755">
          <cell r="B2755">
            <v>3.1874999999999064E-2</v>
          </cell>
          <cell r="C2755">
            <v>45</v>
          </cell>
        </row>
        <row r="2756">
          <cell r="B2756">
            <v>3.1886574074073137E-2</v>
          </cell>
          <cell r="C2756">
            <v>45</v>
          </cell>
        </row>
        <row r="2757">
          <cell r="B2757">
            <v>3.1898148148147211E-2</v>
          </cell>
          <cell r="C2757">
            <v>45</v>
          </cell>
        </row>
        <row r="2758">
          <cell r="B2758">
            <v>3.1909722222221285E-2</v>
          </cell>
          <cell r="C2758">
            <v>45</v>
          </cell>
        </row>
        <row r="2759">
          <cell r="B2759">
            <v>3.1921296296295358E-2</v>
          </cell>
          <cell r="C2759">
            <v>45</v>
          </cell>
        </row>
        <row r="2760">
          <cell r="B2760">
            <v>3.1932870370369432E-2</v>
          </cell>
          <cell r="C2760">
            <v>45</v>
          </cell>
        </row>
        <row r="2761">
          <cell r="B2761">
            <v>3.1944444444443505E-2</v>
          </cell>
          <cell r="C2761">
            <v>46</v>
          </cell>
        </row>
        <row r="2762">
          <cell r="B2762">
            <v>3.1956018518517579E-2</v>
          </cell>
          <cell r="C2762">
            <v>46</v>
          </cell>
        </row>
        <row r="2763">
          <cell r="B2763">
            <v>3.1967592592591652E-2</v>
          </cell>
          <cell r="C2763">
            <v>46</v>
          </cell>
        </row>
        <row r="2764">
          <cell r="B2764">
            <v>3.1979166666665726E-2</v>
          </cell>
          <cell r="C2764">
            <v>46</v>
          </cell>
        </row>
        <row r="2765">
          <cell r="B2765">
            <v>3.19907407407398E-2</v>
          </cell>
          <cell r="C2765">
            <v>46</v>
          </cell>
        </row>
        <row r="2766">
          <cell r="B2766">
            <v>3.2002314814813873E-2</v>
          </cell>
          <cell r="C2766">
            <v>46</v>
          </cell>
        </row>
        <row r="2767">
          <cell r="B2767">
            <v>3.2013888888887947E-2</v>
          </cell>
          <cell r="C2767">
            <v>46</v>
          </cell>
        </row>
        <row r="2768">
          <cell r="B2768">
            <v>3.202546296296202E-2</v>
          </cell>
          <cell r="C2768">
            <v>46</v>
          </cell>
        </row>
        <row r="2769">
          <cell r="B2769">
            <v>3.2037037037036094E-2</v>
          </cell>
          <cell r="C2769">
            <v>46</v>
          </cell>
        </row>
        <row r="2770">
          <cell r="B2770">
            <v>3.2048611111110167E-2</v>
          </cell>
          <cell r="C2770">
            <v>46</v>
          </cell>
        </row>
        <row r="2771">
          <cell r="B2771">
            <v>3.2060185185184241E-2</v>
          </cell>
          <cell r="C2771">
            <v>46</v>
          </cell>
        </row>
        <row r="2772">
          <cell r="B2772">
            <v>3.2071759259258315E-2</v>
          </cell>
          <cell r="C2772">
            <v>46</v>
          </cell>
        </row>
        <row r="2773">
          <cell r="B2773">
            <v>3.2083333333332388E-2</v>
          </cell>
          <cell r="C2773">
            <v>46</v>
          </cell>
        </row>
        <row r="2774">
          <cell r="B2774">
            <v>3.2094907407406462E-2</v>
          </cell>
          <cell r="C2774">
            <v>46</v>
          </cell>
        </row>
        <row r="2775">
          <cell r="B2775">
            <v>3.2106481481480535E-2</v>
          </cell>
          <cell r="C2775">
            <v>46</v>
          </cell>
        </row>
        <row r="2776">
          <cell r="B2776">
            <v>3.2118055555554609E-2</v>
          </cell>
          <cell r="C2776">
            <v>46</v>
          </cell>
        </row>
        <row r="2777">
          <cell r="B2777">
            <v>3.2129629629628682E-2</v>
          </cell>
          <cell r="C2777">
            <v>46</v>
          </cell>
        </row>
        <row r="2778">
          <cell r="B2778">
            <v>3.2141203703702756E-2</v>
          </cell>
          <cell r="C2778">
            <v>46</v>
          </cell>
        </row>
        <row r="2779">
          <cell r="B2779">
            <v>3.2152777777776829E-2</v>
          </cell>
          <cell r="C2779">
            <v>46</v>
          </cell>
        </row>
        <row r="2780">
          <cell r="B2780">
            <v>3.2164351851850903E-2</v>
          </cell>
          <cell r="C2780">
            <v>46</v>
          </cell>
        </row>
        <row r="2781">
          <cell r="B2781">
            <v>3.2175925925924977E-2</v>
          </cell>
          <cell r="C2781">
            <v>46</v>
          </cell>
        </row>
        <row r="2782">
          <cell r="B2782">
            <v>3.218749999999905E-2</v>
          </cell>
          <cell r="C2782">
            <v>46</v>
          </cell>
        </row>
        <row r="2783">
          <cell r="B2783">
            <v>3.2199074074073124E-2</v>
          </cell>
          <cell r="C2783">
            <v>46</v>
          </cell>
        </row>
        <row r="2784">
          <cell r="B2784">
            <v>3.2210648148147197E-2</v>
          </cell>
          <cell r="C2784">
            <v>46</v>
          </cell>
        </row>
        <row r="2785">
          <cell r="B2785">
            <v>3.2222222222221271E-2</v>
          </cell>
          <cell r="C2785">
            <v>46</v>
          </cell>
        </row>
        <row r="2786">
          <cell r="B2786">
            <v>3.2233796296295344E-2</v>
          </cell>
          <cell r="C2786">
            <v>46</v>
          </cell>
        </row>
        <row r="2787">
          <cell r="B2787">
            <v>3.2245370370369418E-2</v>
          </cell>
          <cell r="C2787">
            <v>46</v>
          </cell>
        </row>
        <row r="2788">
          <cell r="B2788">
            <v>3.2256944444443492E-2</v>
          </cell>
          <cell r="C2788">
            <v>46</v>
          </cell>
        </row>
        <row r="2789">
          <cell r="B2789">
            <v>3.2268518518517565E-2</v>
          </cell>
          <cell r="C2789">
            <v>46</v>
          </cell>
        </row>
        <row r="2790">
          <cell r="B2790">
            <v>3.2280092592591639E-2</v>
          </cell>
          <cell r="C2790">
            <v>46</v>
          </cell>
        </row>
        <row r="2791">
          <cell r="B2791">
            <v>3.2291666666665712E-2</v>
          </cell>
          <cell r="C2791">
            <v>46</v>
          </cell>
        </row>
        <row r="2792">
          <cell r="B2792">
            <v>3.2303240740739786E-2</v>
          </cell>
          <cell r="C2792">
            <v>46</v>
          </cell>
        </row>
        <row r="2793">
          <cell r="B2793">
            <v>3.2314814814813859E-2</v>
          </cell>
          <cell r="C2793">
            <v>46</v>
          </cell>
        </row>
        <row r="2794">
          <cell r="B2794">
            <v>3.2326388888887933E-2</v>
          </cell>
          <cell r="C2794">
            <v>46</v>
          </cell>
        </row>
        <row r="2795">
          <cell r="B2795">
            <v>3.2337962962962007E-2</v>
          </cell>
          <cell r="C2795">
            <v>46</v>
          </cell>
        </row>
        <row r="2796">
          <cell r="B2796">
            <v>3.234953703703608E-2</v>
          </cell>
          <cell r="C2796">
            <v>46</v>
          </cell>
        </row>
        <row r="2797">
          <cell r="B2797">
            <v>3.2361111111110154E-2</v>
          </cell>
          <cell r="C2797">
            <v>46</v>
          </cell>
        </row>
        <row r="2798">
          <cell r="B2798">
            <v>3.2372685185184227E-2</v>
          </cell>
          <cell r="C2798">
            <v>46</v>
          </cell>
        </row>
        <row r="2799">
          <cell r="B2799">
            <v>3.2384259259258301E-2</v>
          </cell>
          <cell r="C2799">
            <v>46</v>
          </cell>
        </row>
        <row r="2800">
          <cell r="B2800">
            <v>3.2395833333332374E-2</v>
          </cell>
          <cell r="C2800">
            <v>46</v>
          </cell>
        </row>
        <row r="2801">
          <cell r="B2801">
            <v>3.2407407407406448E-2</v>
          </cell>
          <cell r="C2801">
            <v>46</v>
          </cell>
        </row>
        <row r="2802">
          <cell r="B2802">
            <v>3.2418981481480522E-2</v>
          </cell>
          <cell r="C2802">
            <v>46</v>
          </cell>
        </row>
        <row r="2803">
          <cell r="B2803">
            <v>3.2430555555554595E-2</v>
          </cell>
          <cell r="C2803">
            <v>46</v>
          </cell>
        </row>
        <row r="2804">
          <cell r="B2804">
            <v>3.2442129629628669E-2</v>
          </cell>
          <cell r="C2804">
            <v>46</v>
          </cell>
        </row>
        <row r="2805">
          <cell r="B2805">
            <v>3.2453703703702742E-2</v>
          </cell>
          <cell r="C2805">
            <v>46</v>
          </cell>
        </row>
        <row r="2806">
          <cell r="B2806">
            <v>3.2465277777776816E-2</v>
          </cell>
          <cell r="C2806">
            <v>46</v>
          </cell>
        </row>
        <row r="2807">
          <cell r="B2807">
            <v>3.2476851851850889E-2</v>
          </cell>
          <cell r="C2807">
            <v>46</v>
          </cell>
        </row>
        <row r="2808">
          <cell r="B2808">
            <v>3.2488425925924963E-2</v>
          </cell>
          <cell r="C2808">
            <v>46</v>
          </cell>
        </row>
        <row r="2809">
          <cell r="B2809">
            <v>3.2499999999999037E-2</v>
          </cell>
          <cell r="C2809">
            <v>46</v>
          </cell>
        </row>
        <row r="2810">
          <cell r="B2810">
            <v>3.251157407407311E-2</v>
          </cell>
          <cell r="C2810">
            <v>46</v>
          </cell>
        </row>
        <row r="2811">
          <cell r="B2811">
            <v>3.2523148148147184E-2</v>
          </cell>
          <cell r="C2811">
            <v>46</v>
          </cell>
        </row>
        <row r="2812">
          <cell r="B2812">
            <v>3.2534722222221257E-2</v>
          </cell>
          <cell r="C2812">
            <v>46</v>
          </cell>
        </row>
        <row r="2813">
          <cell r="B2813">
            <v>3.2546296296295331E-2</v>
          </cell>
          <cell r="C2813">
            <v>46</v>
          </cell>
        </row>
        <row r="2814">
          <cell r="B2814">
            <v>3.2557870370369404E-2</v>
          </cell>
          <cell r="C2814">
            <v>46</v>
          </cell>
        </row>
        <row r="2815">
          <cell r="B2815">
            <v>3.2569444444443478E-2</v>
          </cell>
          <cell r="C2815">
            <v>46</v>
          </cell>
        </row>
        <row r="2816">
          <cell r="B2816">
            <v>3.2581018518517552E-2</v>
          </cell>
          <cell r="C2816">
            <v>46</v>
          </cell>
        </row>
        <row r="2817">
          <cell r="B2817">
            <v>3.2592592592591625E-2</v>
          </cell>
          <cell r="C2817">
            <v>46</v>
          </cell>
        </row>
        <row r="2818">
          <cell r="B2818">
            <v>3.2604166666665699E-2</v>
          </cell>
          <cell r="C2818">
            <v>46</v>
          </cell>
        </row>
        <row r="2819">
          <cell r="B2819">
            <v>3.2615740740739772E-2</v>
          </cell>
          <cell r="C2819">
            <v>46</v>
          </cell>
        </row>
        <row r="2820">
          <cell r="B2820">
            <v>3.2627314814813846E-2</v>
          </cell>
          <cell r="C2820">
            <v>46</v>
          </cell>
        </row>
        <row r="2821">
          <cell r="B2821">
            <v>3.2638888888887919E-2</v>
          </cell>
          <cell r="C2821">
            <v>47</v>
          </cell>
        </row>
        <row r="2822">
          <cell r="B2822">
            <v>3.2650462962961993E-2</v>
          </cell>
          <cell r="C2822">
            <v>47</v>
          </cell>
        </row>
        <row r="2823">
          <cell r="B2823">
            <v>3.2662037037036067E-2</v>
          </cell>
          <cell r="C2823">
            <v>47</v>
          </cell>
        </row>
        <row r="2824">
          <cell r="B2824">
            <v>3.267361111111014E-2</v>
          </cell>
          <cell r="C2824">
            <v>47</v>
          </cell>
        </row>
        <row r="2825">
          <cell r="B2825">
            <v>3.2685185185184214E-2</v>
          </cell>
          <cell r="C2825">
            <v>47</v>
          </cell>
        </row>
        <row r="2826">
          <cell r="B2826">
            <v>3.2696759259258287E-2</v>
          </cell>
          <cell r="C2826">
            <v>47</v>
          </cell>
        </row>
        <row r="2827">
          <cell r="B2827">
            <v>3.2708333333332361E-2</v>
          </cell>
          <cell r="C2827">
            <v>47</v>
          </cell>
        </row>
        <row r="2828">
          <cell r="B2828">
            <v>3.2719907407406434E-2</v>
          </cell>
          <cell r="C2828">
            <v>47</v>
          </cell>
        </row>
        <row r="2829">
          <cell r="B2829">
            <v>3.2731481481480508E-2</v>
          </cell>
          <cell r="C2829">
            <v>47</v>
          </cell>
        </row>
        <row r="2830">
          <cell r="B2830">
            <v>3.2743055555554582E-2</v>
          </cell>
          <cell r="C2830">
            <v>47</v>
          </cell>
        </row>
        <row r="2831">
          <cell r="B2831">
            <v>3.2754629629628655E-2</v>
          </cell>
          <cell r="C2831">
            <v>47</v>
          </cell>
        </row>
        <row r="2832">
          <cell r="B2832">
            <v>3.2766203703702729E-2</v>
          </cell>
          <cell r="C2832">
            <v>47</v>
          </cell>
        </row>
        <row r="2833">
          <cell r="B2833">
            <v>3.2777777777776802E-2</v>
          </cell>
          <cell r="C2833">
            <v>47</v>
          </cell>
        </row>
        <row r="2834">
          <cell r="B2834">
            <v>3.2789351851850876E-2</v>
          </cell>
          <cell r="C2834">
            <v>47</v>
          </cell>
        </row>
        <row r="2835">
          <cell r="B2835">
            <v>3.2800925925924949E-2</v>
          </cell>
          <cell r="C2835">
            <v>47</v>
          </cell>
        </row>
        <row r="2836">
          <cell r="B2836">
            <v>3.2812499999999023E-2</v>
          </cell>
          <cell r="C2836">
            <v>47</v>
          </cell>
        </row>
        <row r="2837">
          <cell r="B2837">
            <v>3.2824074074073097E-2</v>
          </cell>
          <cell r="C2837">
            <v>47</v>
          </cell>
        </row>
        <row r="2838">
          <cell r="B2838">
            <v>3.283564814814717E-2</v>
          </cell>
          <cell r="C2838">
            <v>47</v>
          </cell>
        </row>
        <row r="2839">
          <cell r="B2839">
            <v>3.2847222222221244E-2</v>
          </cell>
          <cell r="C2839">
            <v>47</v>
          </cell>
        </row>
        <row r="2840">
          <cell r="B2840">
            <v>3.2858796296295317E-2</v>
          </cell>
          <cell r="C2840">
            <v>47</v>
          </cell>
        </row>
        <row r="2841">
          <cell r="B2841">
            <v>3.2870370370369391E-2</v>
          </cell>
          <cell r="C2841">
            <v>47</v>
          </cell>
        </row>
        <row r="2842">
          <cell r="B2842">
            <v>3.2881944444443464E-2</v>
          </cell>
          <cell r="C2842">
            <v>47</v>
          </cell>
        </row>
        <row r="2843">
          <cell r="B2843">
            <v>3.2893518518517538E-2</v>
          </cell>
          <cell r="C2843">
            <v>47</v>
          </cell>
        </row>
        <row r="2844">
          <cell r="B2844">
            <v>3.2905092592591612E-2</v>
          </cell>
          <cell r="C2844">
            <v>47</v>
          </cell>
        </row>
        <row r="2845">
          <cell r="B2845">
            <v>3.2916666666665685E-2</v>
          </cell>
          <cell r="C2845">
            <v>47</v>
          </cell>
        </row>
        <row r="2846">
          <cell r="B2846">
            <v>3.2928240740739759E-2</v>
          </cell>
          <cell r="C2846">
            <v>47</v>
          </cell>
        </row>
        <row r="2847">
          <cell r="B2847">
            <v>3.2939814814813832E-2</v>
          </cell>
          <cell r="C2847">
            <v>47</v>
          </cell>
        </row>
        <row r="2848">
          <cell r="B2848">
            <v>3.2951388888887906E-2</v>
          </cell>
          <cell r="C2848">
            <v>47</v>
          </cell>
        </row>
        <row r="2849">
          <cell r="B2849">
            <v>3.2962962962961979E-2</v>
          </cell>
          <cell r="C2849">
            <v>47</v>
          </cell>
        </row>
        <row r="2850">
          <cell r="B2850">
            <v>3.2974537037036053E-2</v>
          </cell>
          <cell r="C2850">
            <v>47</v>
          </cell>
        </row>
        <row r="2851">
          <cell r="B2851">
            <v>3.2986111111110127E-2</v>
          </cell>
          <cell r="C2851">
            <v>47</v>
          </cell>
        </row>
        <row r="2852">
          <cell r="B2852">
            <v>3.29976851851842E-2</v>
          </cell>
          <cell r="C2852">
            <v>47</v>
          </cell>
        </row>
        <row r="2853">
          <cell r="B2853">
            <v>3.3009259259258274E-2</v>
          </cell>
          <cell r="C2853">
            <v>47</v>
          </cell>
        </row>
        <row r="2854">
          <cell r="B2854">
            <v>3.3020833333332347E-2</v>
          </cell>
          <cell r="C2854">
            <v>47</v>
          </cell>
        </row>
        <row r="2855">
          <cell r="B2855">
            <v>3.3032407407406421E-2</v>
          </cell>
          <cell r="C2855">
            <v>47</v>
          </cell>
        </row>
        <row r="2856">
          <cell r="B2856">
            <v>3.3043981481480494E-2</v>
          </cell>
          <cell r="C2856">
            <v>47</v>
          </cell>
        </row>
        <row r="2857">
          <cell r="B2857">
            <v>3.3055555555554568E-2</v>
          </cell>
          <cell r="C2857">
            <v>47</v>
          </cell>
        </row>
        <row r="2858">
          <cell r="B2858">
            <v>3.3067129629628642E-2</v>
          </cell>
          <cell r="C2858">
            <v>47</v>
          </cell>
        </row>
        <row r="2859">
          <cell r="B2859">
            <v>3.3078703703702715E-2</v>
          </cell>
          <cell r="C2859">
            <v>47</v>
          </cell>
        </row>
        <row r="2860">
          <cell r="B2860">
            <v>3.3090277777776789E-2</v>
          </cell>
          <cell r="C2860">
            <v>47</v>
          </cell>
        </row>
        <row r="2861">
          <cell r="B2861">
            <v>3.3101851851850862E-2</v>
          </cell>
          <cell r="C2861">
            <v>47</v>
          </cell>
        </row>
        <row r="2862">
          <cell r="B2862">
            <v>3.3113425925924936E-2</v>
          </cell>
          <cell r="C2862">
            <v>47</v>
          </cell>
        </row>
        <row r="2863">
          <cell r="B2863">
            <v>3.3124999999999009E-2</v>
          </cell>
          <cell r="C2863">
            <v>47</v>
          </cell>
        </row>
        <row r="2864">
          <cell r="B2864">
            <v>3.3136574074073083E-2</v>
          </cell>
          <cell r="C2864">
            <v>47</v>
          </cell>
        </row>
        <row r="2865">
          <cell r="B2865">
            <v>3.3148148148147157E-2</v>
          </cell>
          <cell r="C2865">
            <v>47</v>
          </cell>
        </row>
        <row r="2866">
          <cell r="B2866">
            <v>3.315972222222123E-2</v>
          </cell>
          <cell r="C2866">
            <v>47</v>
          </cell>
        </row>
        <row r="2867">
          <cell r="B2867">
            <v>3.3171296296295304E-2</v>
          </cell>
          <cell r="C2867">
            <v>47</v>
          </cell>
        </row>
        <row r="2868">
          <cell r="B2868">
            <v>3.3182870370369377E-2</v>
          </cell>
          <cell r="C2868">
            <v>47</v>
          </cell>
        </row>
        <row r="2869">
          <cell r="B2869">
            <v>3.3194444444443451E-2</v>
          </cell>
          <cell r="C2869">
            <v>47</v>
          </cell>
        </row>
        <row r="2870">
          <cell r="B2870">
            <v>3.3206018518517524E-2</v>
          </cell>
          <cell r="C2870">
            <v>47</v>
          </cell>
        </row>
        <row r="2871">
          <cell r="B2871">
            <v>3.3217592592591598E-2</v>
          </cell>
          <cell r="C2871">
            <v>47</v>
          </cell>
        </row>
        <row r="2872">
          <cell r="B2872">
            <v>3.3229166666665672E-2</v>
          </cell>
          <cell r="C2872">
            <v>47</v>
          </cell>
        </row>
        <row r="2873">
          <cell r="B2873">
            <v>3.3240740740739745E-2</v>
          </cell>
          <cell r="C2873">
            <v>47</v>
          </cell>
        </row>
        <row r="2874">
          <cell r="B2874">
            <v>3.3252314814813819E-2</v>
          </cell>
          <cell r="C2874">
            <v>47</v>
          </cell>
        </row>
        <row r="2875">
          <cell r="B2875">
            <v>3.3263888888887892E-2</v>
          </cell>
          <cell r="C2875">
            <v>47</v>
          </cell>
        </row>
        <row r="2876">
          <cell r="B2876">
            <v>3.3275462962961966E-2</v>
          </cell>
          <cell r="C2876">
            <v>47</v>
          </cell>
        </row>
        <row r="2877">
          <cell r="B2877">
            <v>3.3287037037036039E-2</v>
          </cell>
          <cell r="C2877">
            <v>47</v>
          </cell>
        </row>
        <row r="2878">
          <cell r="B2878">
            <v>3.3298611111110113E-2</v>
          </cell>
          <cell r="C2878">
            <v>47</v>
          </cell>
        </row>
        <row r="2879">
          <cell r="B2879">
            <v>3.3310185185184187E-2</v>
          </cell>
          <cell r="C2879">
            <v>47</v>
          </cell>
        </row>
        <row r="2880">
          <cell r="B2880">
            <v>3.332175925925826E-2</v>
          </cell>
          <cell r="C2880">
            <v>47</v>
          </cell>
        </row>
        <row r="2881">
          <cell r="B2881">
            <v>3.3333333333332334E-2</v>
          </cell>
          <cell r="C2881">
            <v>48</v>
          </cell>
        </row>
        <row r="2882">
          <cell r="B2882">
            <v>3.3344907407406407E-2</v>
          </cell>
          <cell r="C2882">
            <v>48</v>
          </cell>
        </row>
        <row r="2883">
          <cell r="B2883">
            <v>3.3356481481480481E-2</v>
          </cell>
          <cell r="C2883">
            <v>48</v>
          </cell>
        </row>
        <row r="2884">
          <cell r="B2884">
            <v>3.3368055555554554E-2</v>
          </cell>
          <cell r="C2884">
            <v>48</v>
          </cell>
        </row>
        <row r="2885">
          <cell r="B2885">
            <v>3.3379629629628628E-2</v>
          </cell>
          <cell r="C2885">
            <v>48</v>
          </cell>
        </row>
        <row r="2886">
          <cell r="B2886">
            <v>3.3391203703702702E-2</v>
          </cell>
          <cell r="C2886">
            <v>48</v>
          </cell>
        </row>
        <row r="2887">
          <cell r="B2887">
            <v>3.3402777777776775E-2</v>
          </cell>
          <cell r="C2887">
            <v>48</v>
          </cell>
        </row>
        <row r="2888">
          <cell r="B2888">
            <v>3.3414351851850849E-2</v>
          </cell>
          <cell r="C2888">
            <v>48</v>
          </cell>
        </row>
        <row r="2889">
          <cell r="B2889">
            <v>3.3425925925924922E-2</v>
          </cell>
          <cell r="C2889">
            <v>48</v>
          </cell>
        </row>
        <row r="2890">
          <cell r="B2890">
            <v>3.3437499999998996E-2</v>
          </cell>
          <cell r="C2890">
            <v>48</v>
          </cell>
        </row>
        <row r="2891">
          <cell r="B2891">
            <v>3.3449074074073069E-2</v>
          </cell>
          <cell r="C2891">
            <v>48</v>
          </cell>
        </row>
        <row r="2892">
          <cell r="B2892">
            <v>3.3460648148147143E-2</v>
          </cell>
          <cell r="C2892">
            <v>48</v>
          </cell>
        </row>
        <row r="2893">
          <cell r="B2893">
            <v>3.3472222222221217E-2</v>
          </cell>
          <cell r="C2893">
            <v>48</v>
          </cell>
        </row>
        <row r="2894">
          <cell r="B2894">
            <v>3.348379629629529E-2</v>
          </cell>
          <cell r="C2894">
            <v>48</v>
          </cell>
        </row>
        <row r="2895">
          <cell r="B2895">
            <v>3.3495370370369364E-2</v>
          </cell>
          <cell r="C2895">
            <v>48</v>
          </cell>
        </row>
        <row r="2896">
          <cell r="B2896">
            <v>3.3506944444443437E-2</v>
          </cell>
          <cell r="C2896">
            <v>48</v>
          </cell>
        </row>
        <row r="2897">
          <cell r="B2897">
            <v>3.3518518518517511E-2</v>
          </cell>
          <cell r="C2897">
            <v>48</v>
          </cell>
        </row>
        <row r="2898">
          <cell r="B2898">
            <v>3.3530092592591584E-2</v>
          </cell>
          <cell r="C2898">
            <v>48</v>
          </cell>
        </row>
        <row r="2899">
          <cell r="B2899">
            <v>3.3541666666665658E-2</v>
          </cell>
          <cell r="C2899">
            <v>48</v>
          </cell>
        </row>
        <row r="2900">
          <cell r="B2900">
            <v>3.3553240740739732E-2</v>
          </cell>
          <cell r="C2900">
            <v>48</v>
          </cell>
        </row>
        <row r="2901">
          <cell r="B2901">
            <v>3.3564814814813805E-2</v>
          </cell>
          <cell r="C2901">
            <v>48</v>
          </cell>
        </row>
        <row r="2902">
          <cell r="B2902">
            <v>3.3576388888887879E-2</v>
          </cell>
          <cell r="C2902">
            <v>48</v>
          </cell>
        </row>
        <row r="2903">
          <cell r="B2903">
            <v>3.3587962962961952E-2</v>
          </cell>
          <cell r="C2903">
            <v>48</v>
          </cell>
        </row>
        <row r="2904">
          <cell r="B2904">
            <v>3.3599537037036026E-2</v>
          </cell>
          <cell r="C2904">
            <v>48</v>
          </cell>
        </row>
        <row r="2905">
          <cell r="B2905">
            <v>3.3611111111110099E-2</v>
          </cell>
          <cell r="C2905">
            <v>48</v>
          </cell>
        </row>
        <row r="2906">
          <cell r="B2906">
            <v>3.3622685185184173E-2</v>
          </cell>
          <cell r="C2906">
            <v>48</v>
          </cell>
        </row>
        <row r="2907">
          <cell r="B2907">
            <v>3.3634259259258246E-2</v>
          </cell>
          <cell r="C2907">
            <v>48</v>
          </cell>
        </row>
        <row r="2908">
          <cell r="B2908">
            <v>3.364583333333232E-2</v>
          </cell>
          <cell r="C2908">
            <v>48</v>
          </cell>
        </row>
        <row r="2909">
          <cell r="B2909">
            <v>3.3657407407406394E-2</v>
          </cell>
          <cell r="C2909">
            <v>48</v>
          </cell>
        </row>
        <row r="2910">
          <cell r="B2910">
            <v>3.3668981481480467E-2</v>
          </cell>
          <cell r="C2910">
            <v>48</v>
          </cell>
        </row>
        <row r="2911">
          <cell r="B2911">
            <v>3.3680555555554541E-2</v>
          </cell>
          <cell r="C2911">
            <v>48</v>
          </cell>
        </row>
        <row r="2912">
          <cell r="B2912">
            <v>3.3692129629628614E-2</v>
          </cell>
          <cell r="C2912">
            <v>48</v>
          </cell>
        </row>
        <row r="2913">
          <cell r="B2913">
            <v>3.3703703703702688E-2</v>
          </cell>
          <cell r="C2913">
            <v>48</v>
          </cell>
        </row>
        <row r="2914">
          <cell r="B2914">
            <v>3.3715277777776761E-2</v>
          </cell>
          <cell r="C2914">
            <v>48</v>
          </cell>
        </row>
        <row r="2915">
          <cell r="B2915">
            <v>3.3726851851850835E-2</v>
          </cell>
          <cell r="C2915">
            <v>48</v>
          </cell>
        </row>
        <row r="2916">
          <cell r="B2916">
            <v>3.3738425925924909E-2</v>
          </cell>
          <cell r="C2916">
            <v>48</v>
          </cell>
        </row>
        <row r="2917">
          <cell r="B2917">
            <v>3.3749999999998982E-2</v>
          </cell>
          <cell r="C2917">
            <v>48</v>
          </cell>
        </row>
        <row r="2918">
          <cell r="B2918">
            <v>3.3761574074073056E-2</v>
          </cell>
          <cell r="C2918">
            <v>48</v>
          </cell>
        </row>
        <row r="2919">
          <cell r="B2919">
            <v>3.3773148148147129E-2</v>
          </cell>
          <cell r="C2919">
            <v>48</v>
          </cell>
        </row>
        <row r="2920">
          <cell r="B2920">
            <v>3.3784722222221203E-2</v>
          </cell>
          <cell r="C2920">
            <v>48</v>
          </cell>
        </row>
        <row r="2921">
          <cell r="B2921">
            <v>3.3796296296295276E-2</v>
          </cell>
          <cell r="C2921">
            <v>48</v>
          </cell>
        </row>
        <row r="2922">
          <cell r="B2922">
            <v>3.380787037036935E-2</v>
          </cell>
          <cell r="C2922">
            <v>48</v>
          </cell>
        </row>
        <row r="2923">
          <cell r="B2923">
            <v>3.3819444444443424E-2</v>
          </cell>
          <cell r="C2923">
            <v>48</v>
          </cell>
        </row>
        <row r="2924">
          <cell r="B2924">
            <v>3.3831018518517497E-2</v>
          </cell>
          <cell r="C2924">
            <v>48</v>
          </cell>
        </row>
        <row r="2925">
          <cell r="B2925">
            <v>3.3842592592591571E-2</v>
          </cell>
          <cell r="C2925">
            <v>48</v>
          </cell>
        </row>
        <row r="2926">
          <cell r="B2926">
            <v>3.3854166666665644E-2</v>
          </cell>
          <cell r="C2926">
            <v>48</v>
          </cell>
        </row>
        <row r="2927">
          <cell r="B2927">
            <v>3.3865740740739718E-2</v>
          </cell>
          <cell r="C2927">
            <v>48</v>
          </cell>
        </row>
        <row r="2928">
          <cell r="B2928">
            <v>3.3877314814813791E-2</v>
          </cell>
          <cell r="C2928">
            <v>48</v>
          </cell>
        </row>
        <row r="2929">
          <cell r="B2929">
            <v>3.3888888888887865E-2</v>
          </cell>
          <cell r="C2929">
            <v>48</v>
          </cell>
        </row>
        <row r="2930">
          <cell r="B2930">
            <v>3.3900462962961939E-2</v>
          </cell>
          <cell r="C2930">
            <v>48</v>
          </cell>
        </row>
        <row r="2931">
          <cell r="B2931">
            <v>3.3912037037036012E-2</v>
          </cell>
          <cell r="C2931">
            <v>48</v>
          </cell>
        </row>
        <row r="2932">
          <cell r="B2932">
            <v>3.3923611111110086E-2</v>
          </cell>
          <cell r="C2932">
            <v>48</v>
          </cell>
        </row>
        <row r="2933">
          <cell r="B2933">
            <v>3.3935185185184159E-2</v>
          </cell>
          <cell r="C2933">
            <v>48</v>
          </cell>
        </row>
        <row r="2934">
          <cell r="B2934">
            <v>3.3946759259258233E-2</v>
          </cell>
          <cell r="C2934">
            <v>48</v>
          </cell>
        </row>
        <row r="2935">
          <cell r="B2935">
            <v>3.3958333333332306E-2</v>
          </cell>
          <cell r="C2935">
            <v>48</v>
          </cell>
        </row>
        <row r="2936">
          <cell r="B2936">
            <v>3.396990740740638E-2</v>
          </cell>
          <cell r="C2936">
            <v>48</v>
          </cell>
        </row>
        <row r="2937">
          <cell r="B2937">
            <v>3.3981481481480454E-2</v>
          </cell>
          <cell r="C2937">
            <v>48</v>
          </cell>
        </row>
        <row r="2938">
          <cell r="B2938">
            <v>3.3993055555554527E-2</v>
          </cell>
          <cell r="C2938">
            <v>48</v>
          </cell>
        </row>
        <row r="2939">
          <cell r="B2939">
            <v>3.4004629629628601E-2</v>
          </cell>
          <cell r="C2939">
            <v>48</v>
          </cell>
        </row>
        <row r="2940">
          <cell r="B2940">
            <v>3.4016203703702674E-2</v>
          </cell>
          <cell r="C2940">
            <v>48</v>
          </cell>
        </row>
        <row r="2941">
          <cell r="B2941">
            <v>3.4027777777776748E-2</v>
          </cell>
          <cell r="C2941">
            <v>49</v>
          </cell>
        </row>
        <row r="2942">
          <cell r="B2942">
            <v>3.4039351851850821E-2</v>
          </cell>
          <cell r="C2942">
            <v>49</v>
          </cell>
        </row>
        <row r="2943">
          <cell r="B2943">
            <v>3.4050925925924895E-2</v>
          </cell>
          <cell r="C2943">
            <v>49</v>
          </cell>
        </row>
        <row r="2944">
          <cell r="B2944">
            <v>3.4062499999998969E-2</v>
          </cell>
          <cell r="C2944">
            <v>49</v>
          </cell>
        </row>
        <row r="2945">
          <cell r="B2945">
            <v>3.4074074074073042E-2</v>
          </cell>
          <cell r="C2945">
            <v>49</v>
          </cell>
        </row>
        <row r="2946">
          <cell r="B2946">
            <v>3.4085648148147116E-2</v>
          </cell>
          <cell r="C2946">
            <v>49</v>
          </cell>
        </row>
        <row r="2947">
          <cell r="B2947">
            <v>3.4097222222221189E-2</v>
          </cell>
          <cell r="C2947">
            <v>49</v>
          </cell>
        </row>
        <row r="2948">
          <cell r="B2948">
            <v>3.4108796296295263E-2</v>
          </cell>
          <cell r="C2948">
            <v>49</v>
          </cell>
        </row>
        <row r="2949">
          <cell r="B2949">
            <v>3.4120370370369336E-2</v>
          </cell>
          <cell r="C2949">
            <v>49</v>
          </cell>
        </row>
        <row r="2950">
          <cell r="B2950">
            <v>3.413194444444341E-2</v>
          </cell>
          <cell r="C2950">
            <v>49</v>
          </cell>
        </row>
        <row r="2951">
          <cell r="B2951">
            <v>3.4143518518517484E-2</v>
          </cell>
          <cell r="C2951">
            <v>49</v>
          </cell>
        </row>
        <row r="2952">
          <cell r="B2952">
            <v>3.4155092592591557E-2</v>
          </cell>
          <cell r="C2952">
            <v>49</v>
          </cell>
        </row>
        <row r="2953">
          <cell r="B2953">
            <v>3.4166666666665631E-2</v>
          </cell>
          <cell r="C2953">
            <v>49</v>
          </cell>
        </row>
        <row r="2954">
          <cell r="B2954">
            <v>3.4178240740739704E-2</v>
          </cell>
          <cell r="C2954">
            <v>49</v>
          </cell>
        </row>
        <row r="2955">
          <cell r="B2955">
            <v>3.4189814814813778E-2</v>
          </cell>
          <cell r="C2955">
            <v>49</v>
          </cell>
        </row>
        <row r="2956">
          <cell r="B2956">
            <v>3.4201388888887851E-2</v>
          </cell>
          <cell r="C2956">
            <v>49</v>
          </cell>
        </row>
        <row r="2957">
          <cell r="B2957">
            <v>3.4212962962961925E-2</v>
          </cell>
          <cell r="C2957">
            <v>49</v>
          </cell>
        </row>
        <row r="2958">
          <cell r="B2958">
            <v>3.4224537037035999E-2</v>
          </cell>
          <cell r="C2958">
            <v>49</v>
          </cell>
        </row>
        <row r="2959">
          <cell r="B2959">
            <v>3.4236111111110072E-2</v>
          </cell>
          <cell r="C2959">
            <v>49</v>
          </cell>
        </row>
        <row r="2960">
          <cell r="B2960">
            <v>3.4247685185184146E-2</v>
          </cell>
          <cell r="C2960">
            <v>49</v>
          </cell>
        </row>
        <row r="2961">
          <cell r="B2961">
            <v>3.4259259259258219E-2</v>
          </cell>
          <cell r="C2961">
            <v>49</v>
          </cell>
        </row>
        <row r="2962">
          <cell r="B2962">
            <v>3.4270833333332293E-2</v>
          </cell>
          <cell r="C2962">
            <v>49</v>
          </cell>
        </row>
        <row r="2963">
          <cell r="B2963">
            <v>3.4282407407406366E-2</v>
          </cell>
          <cell r="C2963">
            <v>49</v>
          </cell>
        </row>
        <row r="2964">
          <cell r="B2964">
            <v>3.429398148148044E-2</v>
          </cell>
          <cell r="C2964">
            <v>49</v>
          </cell>
        </row>
        <row r="2965">
          <cell r="B2965">
            <v>3.4305555555554514E-2</v>
          </cell>
          <cell r="C2965">
            <v>49</v>
          </cell>
        </row>
        <row r="2966">
          <cell r="B2966">
            <v>3.4317129629628587E-2</v>
          </cell>
          <cell r="C2966">
            <v>49</v>
          </cell>
        </row>
        <row r="2967">
          <cell r="B2967">
            <v>3.4328703703702661E-2</v>
          </cell>
          <cell r="C2967">
            <v>49</v>
          </cell>
        </row>
        <row r="2968">
          <cell r="B2968">
            <v>3.4340277777776734E-2</v>
          </cell>
          <cell r="C2968">
            <v>49</v>
          </cell>
        </row>
        <row r="2969">
          <cell r="B2969">
            <v>3.4351851851850808E-2</v>
          </cell>
          <cell r="C2969">
            <v>49</v>
          </cell>
        </row>
        <row r="2970">
          <cell r="B2970">
            <v>3.4363425925924881E-2</v>
          </cell>
          <cell r="C2970">
            <v>49</v>
          </cell>
        </row>
        <row r="2971">
          <cell r="B2971">
            <v>3.4374999999998955E-2</v>
          </cell>
          <cell r="C2971">
            <v>49</v>
          </cell>
        </row>
        <row r="2972">
          <cell r="B2972">
            <v>3.4386574074073029E-2</v>
          </cell>
          <cell r="C2972">
            <v>49</v>
          </cell>
        </row>
        <row r="2973">
          <cell r="B2973">
            <v>3.4398148148147102E-2</v>
          </cell>
          <cell r="C2973">
            <v>49</v>
          </cell>
        </row>
        <row r="2974">
          <cell r="B2974">
            <v>3.4409722222221176E-2</v>
          </cell>
          <cell r="C2974">
            <v>49</v>
          </cell>
        </row>
        <row r="2975">
          <cell r="B2975">
            <v>3.4421296296295249E-2</v>
          </cell>
          <cell r="C2975">
            <v>49</v>
          </cell>
        </row>
        <row r="2976">
          <cell r="B2976">
            <v>3.4432870370369323E-2</v>
          </cell>
          <cell r="C2976">
            <v>49</v>
          </cell>
        </row>
        <row r="2977">
          <cell r="B2977">
            <v>3.4444444444443396E-2</v>
          </cell>
          <cell r="C2977">
            <v>49</v>
          </cell>
        </row>
        <row r="2978">
          <cell r="B2978">
            <v>3.445601851851747E-2</v>
          </cell>
          <cell r="C2978">
            <v>49</v>
          </cell>
        </row>
        <row r="2979">
          <cell r="B2979">
            <v>3.4467592592591544E-2</v>
          </cell>
          <cell r="C2979">
            <v>49</v>
          </cell>
        </row>
        <row r="2980">
          <cell r="B2980">
            <v>3.4479166666665617E-2</v>
          </cell>
          <cell r="C2980">
            <v>49</v>
          </cell>
        </row>
        <row r="2981">
          <cell r="B2981">
            <v>3.4490740740739691E-2</v>
          </cell>
          <cell r="C2981">
            <v>49</v>
          </cell>
        </row>
        <row r="2982">
          <cell r="B2982">
            <v>3.4502314814813764E-2</v>
          </cell>
          <cell r="C2982">
            <v>49</v>
          </cell>
        </row>
        <row r="2983">
          <cell r="B2983">
            <v>3.4513888888887838E-2</v>
          </cell>
          <cell r="C2983">
            <v>49</v>
          </cell>
        </row>
        <row r="2984">
          <cell r="B2984">
            <v>3.4525462962961911E-2</v>
          </cell>
          <cell r="C2984">
            <v>49</v>
          </cell>
        </row>
        <row r="2985">
          <cell r="B2985">
            <v>3.4537037037035985E-2</v>
          </cell>
          <cell r="C2985">
            <v>49</v>
          </cell>
        </row>
        <row r="2986">
          <cell r="B2986">
            <v>3.4548611111110059E-2</v>
          </cell>
          <cell r="C2986">
            <v>49</v>
          </cell>
        </row>
        <row r="2987">
          <cell r="B2987">
            <v>3.4560185185184132E-2</v>
          </cell>
          <cell r="C2987">
            <v>49</v>
          </cell>
        </row>
        <row r="2988">
          <cell r="B2988">
            <v>3.4571759259258206E-2</v>
          </cell>
          <cell r="C2988">
            <v>49</v>
          </cell>
        </row>
        <row r="2989">
          <cell r="B2989">
            <v>3.4583333333332279E-2</v>
          </cell>
          <cell r="C2989">
            <v>49</v>
          </cell>
        </row>
        <row r="2990">
          <cell r="B2990">
            <v>3.4594907407406353E-2</v>
          </cell>
          <cell r="C2990">
            <v>49</v>
          </cell>
        </row>
        <row r="2991">
          <cell r="B2991">
            <v>3.4606481481480426E-2</v>
          </cell>
          <cell r="C2991">
            <v>49</v>
          </cell>
        </row>
        <row r="2992">
          <cell r="B2992">
            <v>3.46180555555545E-2</v>
          </cell>
          <cell r="C2992">
            <v>49</v>
          </cell>
        </row>
        <row r="2993">
          <cell r="B2993">
            <v>3.4629629629628574E-2</v>
          </cell>
          <cell r="C2993">
            <v>49</v>
          </cell>
        </row>
        <row r="2994">
          <cell r="B2994">
            <v>3.4641203703702647E-2</v>
          </cell>
          <cell r="C2994">
            <v>49</v>
          </cell>
        </row>
        <row r="2995">
          <cell r="B2995">
            <v>3.4652777777776721E-2</v>
          </cell>
          <cell r="C2995">
            <v>49</v>
          </cell>
        </row>
        <row r="2996">
          <cell r="B2996">
            <v>3.4664351851850794E-2</v>
          </cell>
          <cell r="C2996">
            <v>49</v>
          </cell>
        </row>
        <row r="2997">
          <cell r="B2997">
            <v>3.4675925925924868E-2</v>
          </cell>
          <cell r="C2997">
            <v>49</v>
          </cell>
        </row>
        <row r="2998">
          <cell r="B2998">
            <v>3.4687499999998941E-2</v>
          </cell>
          <cell r="C2998">
            <v>49</v>
          </cell>
        </row>
        <row r="2999">
          <cell r="B2999">
            <v>3.4699074074073015E-2</v>
          </cell>
          <cell r="C2999">
            <v>49</v>
          </cell>
        </row>
        <row r="3000">
          <cell r="B3000">
            <v>3.4710648148147089E-2</v>
          </cell>
          <cell r="C3000">
            <v>49</v>
          </cell>
        </row>
        <row r="3001">
          <cell r="B3001">
            <v>3.4722222222221162E-2</v>
          </cell>
          <cell r="C3001">
            <v>50</v>
          </cell>
        </row>
        <row r="3002">
          <cell r="B3002">
            <v>3.4733796296295236E-2</v>
          </cell>
          <cell r="C3002">
            <v>50</v>
          </cell>
        </row>
        <row r="3003">
          <cell r="B3003">
            <v>3.4745370370369309E-2</v>
          </cell>
          <cell r="C3003">
            <v>50</v>
          </cell>
        </row>
        <row r="3004">
          <cell r="B3004">
            <v>3.4756944444443383E-2</v>
          </cell>
          <cell r="C3004">
            <v>50</v>
          </cell>
        </row>
        <row r="3005">
          <cell r="B3005">
            <v>3.4768518518517456E-2</v>
          </cell>
          <cell r="C3005">
            <v>50</v>
          </cell>
        </row>
        <row r="3006">
          <cell r="B3006">
            <v>3.478009259259153E-2</v>
          </cell>
          <cell r="C3006">
            <v>50</v>
          </cell>
        </row>
        <row r="3007">
          <cell r="B3007">
            <v>3.4791666666665604E-2</v>
          </cell>
          <cell r="C3007">
            <v>50</v>
          </cell>
        </row>
        <row r="3008">
          <cell r="B3008">
            <v>3.4803240740739677E-2</v>
          </cell>
          <cell r="C3008">
            <v>50</v>
          </cell>
        </row>
        <row r="3009">
          <cell r="B3009">
            <v>3.4814814814813751E-2</v>
          </cell>
          <cell r="C3009">
            <v>50</v>
          </cell>
        </row>
        <row r="3010">
          <cell r="B3010">
            <v>3.4826388888887824E-2</v>
          </cell>
          <cell r="C3010">
            <v>50</v>
          </cell>
        </row>
        <row r="3011">
          <cell r="B3011">
            <v>3.4837962962961898E-2</v>
          </cell>
          <cell r="C3011">
            <v>50</v>
          </cell>
        </row>
        <row r="3012">
          <cell r="B3012">
            <v>3.4849537037035971E-2</v>
          </cell>
          <cell r="C3012">
            <v>50</v>
          </cell>
        </row>
        <row r="3013">
          <cell r="B3013">
            <v>3.4861111111110045E-2</v>
          </cell>
          <cell r="C3013">
            <v>50</v>
          </cell>
        </row>
        <row r="3014">
          <cell r="B3014">
            <v>3.4872685185184119E-2</v>
          </cell>
          <cell r="C3014">
            <v>50</v>
          </cell>
        </row>
        <row r="3015">
          <cell r="B3015">
            <v>3.4884259259258192E-2</v>
          </cell>
          <cell r="C3015">
            <v>50</v>
          </cell>
        </row>
        <row r="3016">
          <cell r="B3016">
            <v>3.4895833333332266E-2</v>
          </cell>
          <cell r="C3016">
            <v>50</v>
          </cell>
        </row>
        <row r="3017">
          <cell r="B3017">
            <v>3.4907407407406339E-2</v>
          </cell>
          <cell r="C3017">
            <v>50</v>
          </cell>
        </row>
        <row r="3018">
          <cell r="B3018">
            <v>3.4918981481480413E-2</v>
          </cell>
          <cell r="C3018">
            <v>50</v>
          </cell>
        </row>
        <row r="3019">
          <cell r="B3019">
            <v>3.4930555555554486E-2</v>
          </cell>
          <cell r="C3019">
            <v>50</v>
          </cell>
        </row>
        <row r="3020">
          <cell r="B3020">
            <v>3.494212962962856E-2</v>
          </cell>
          <cell r="C3020">
            <v>50</v>
          </cell>
        </row>
        <row r="3021">
          <cell r="B3021">
            <v>3.4953703703702634E-2</v>
          </cell>
          <cell r="C3021">
            <v>50</v>
          </cell>
        </row>
        <row r="3022">
          <cell r="B3022">
            <v>3.4965277777776707E-2</v>
          </cell>
          <cell r="C3022">
            <v>50</v>
          </cell>
        </row>
        <row r="3023">
          <cell r="B3023">
            <v>3.4976851851850781E-2</v>
          </cell>
          <cell r="C3023">
            <v>50</v>
          </cell>
        </row>
        <row r="3024">
          <cell r="B3024">
            <v>3.4988425925924854E-2</v>
          </cell>
          <cell r="C3024">
            <v>50</v>
          </cell>
        </row>
        <row r="3025">
          <cell r="B3025">
            <v>3.4999999999998928E-2</v>
          </cell>
          <cell r="C3025">
            <v>50</v>
          </cell>
        </row>
        <row r="3026">
          <cell r="B3026">
            <v>3.5011574074073001E-2</v>
          </cell>
          <cell r="C3026">
            <v>50</v>
          </cell>
        </row>
        <row r="3027">
          <cell r="B3027">
            <v>3.5023148148147075E-2</v>
          </cell>
          <cell r="C3027">
            <v>50</v>
          </cell>
        </row>
        <row r="3028">
          <cell r="B3028">
            <v>3.5034722222221149E-2</v>
          </cell>
          <cell r="C3028">
            <v>50</v>
          </cell>
        </row>
        <row r="3029">
          <cell r="B3029">
            <v>3.5046296296295222E-2</v>
          </cell>
          <cell r="C3029">
            <v>50</v>
          </cell>
        </row>
        <row r="3030">
          <cell r="B3030">
            <v>3.5057870370369296E-2</v>
          </cell>
          <cell r="C3030">
            <v>50</v>
          </cell>
        </row>
        <row r="3031">
          <cell r="B3031">
            <v>3.5069444444443369E-2</v>
          </cell>
          <cell r="C3031">
            <v>50</v>
          </cell>
        </row>
        <row r="3032">
          <cell r="B3032">
            <v>3.5081018518517443E-2</v>
          </cell>
          <cell r="C3032">
            <v>50</v>
          </cell>
        </row>
        <row r="3033">
          <cell r="B3033">
            <v>3.5092592592591516E-2</v>
          </cell>
          <cell r="C3033">
            <v>50</v>
          </cell>
        </row>
        <row r="3034">
          <cell r="B3034">
            <v>3.510416666666559E-2</v>
          </cell>
          <cell r="C3034">
            <v>50</v>
          </cell>
        </row>
        <row r="3035">
          <cell r="B3035">
            <v>3.5115740740739664E-2</v>
          </cell>
          <cell r="C3035">
            <v>50</v>
          </cell>
        </row>
        <row r="3036">
          <cell r="B3036">
            <v>3.5127314814813737E-2</v>
          </cell>
          <cell r="C3036">
            <v>50</v>
          </cell>
        </row>
        <row r="3037">
          <cell r="B3037">
            <v>3.5138888888887811E-2</v>
          </cell>
          <cell r="C3037">
            <v>50</v>
          </cell>
        </row>
        <row r="3038">
          <cell r="B3038">
            <v>3.5150462962961884E-2</v>
          </cell>
          <cell r="C3038">
            <v>50</v>
          </cell>
        </row>
        <row r="3039">
          <cell r="B3039">
            <v>3.5162037037035958E-2</v>
          </cell>
          <cell r="C3039">
            <v>50</v>
          </cell>
        </row>
        <row r="3040">
          <cell r="B3040">
            <v>3.5173611111110031E-2</v>
          </cell>
          <cell r="C3040">
            <v>50</v>
          </cell>
        </row>
        <row r="3041">
          <cell r="B3041">
            <v>3.5185185185184105E-2</v>
          </cell>
          <cell r="C3041">
            <v>50</v>
          </cell>
        </row>
        <row r="3042">
          <cell r="B3042">
            <v>3.5196759259258178E-2</v>
          </cell>
          <cell r="C3042">
            <v>50</v>
          </cell>
        </row>
        <row r="3043">
          <cell r="B3043">
            <v>3.5208333333332252E-2</v>
          </cell>
          <cell r="C3043">
            <v>50</v>
          </cell>
        </row>
        <row r="3044">
          <cell r="B3044">
            <v>3.5219907407406326E-2</v>
          </cell>
          <cell r="C3044">
            <v>50</v>
          </cell>
        </row>
        <row r="3045">
          <cell r="B3045">
            <v>3.5231481481480399E-2</v>
          </cell>
          <cell r="C3045">
            <v>50</v>
          </cell>
        </row>
        <row r="3046">
          <cell r="B3046">
            <v>3.5243055555554473E-2</v>
          </cell>
          <cell r="C3046">
            <v>50</v>
          </cell>
        </row>
        <row r="3047">
          <cell r="B3047">
            <v>3.5254629629628546E-2</v>
          </cell>
          <cell r="C3047">
            <v>50</v>
          </cell>
        </row>
        <row r="3048">
          <cell r="B3048">
            <v>3.526620370370262E-2</v>
          </cell>
          <cell r="C3048">
            <v>50</v>
          </cell>
        </row>
        <row r="3049">
          <cell r="B3049">
            <v>3.5277777777776693E-2</v>
          </cell>
          <cell r="C3049">
            <v>50</v>
          </cell>
        </row>
        <row r="3050">
          <cell r="B3050">
            <v>3.5289351851850767E-2</v>
          </cell>
          <cell r="C3050">
            <v>50</v>
          </cell>
        </row>
        <row r="3051">
          <cell r="B3051">
            <v>3.5300925925924841E-2</v>
          </cell>
          <cell r="C3051">
            <v>50</v>
          </cell>
        </row>
        <row r="3052">
          <cell r="B3052">
            <v>3.5312499999998914E-2</v>
          </cell>
          <cell r="C3052">
            <v>50</v>
          </cell>
        </row>
        <row r="3053">
          <cell r="B3053">
            <v>3.5324074074072988E-2</v>
          </cell>
          <cell r="C3053">
            <v>50</v>
          </cell>
        </row>
        <row r="3054">
          <cell r="B3054">
            <v>3.5335648148147061E-2</v>
          </cell>
          <cell r="C3054">
            <v>50</v>
          </cell>
        </row>
        <row r="3055">
          <cell r="B3055">
            <v>3.5347222222221135E-2</v>
          </cell>
          <cell r="C3055">
            <v>50</v>
          </cell>
        </row>
        <row r="3056">
          <cell r="B3056">
            <v>3.5358796296295208E-2</v>
          </cell>
          <cell r="C3056">
            <v>50</v>
          </cell>
        </row>
        <row r="3057">
          <cell r="B3057">
            <v>3.5370370370369282E-2</v>
          </cell>
          <cell r="C3057">
            <v>50</v>
          </cell>
        </row>
        <row r="3058">
          <cell r="B3058">
            <v>3.5381944444443356E-2</v>
          </cell>
          <cell r="C3058">
            <v>50</v>
          </cell>
        </row>
        <row r="3059">
          <cell r="B3059">
            <v>3.5393518518517429E-2</v>
          </cell>
          <cell r="C3059">
            <v>50</v>
          </cell>
        </row>
        <row r="3060">
          <cell r="B3060">
            <v>3.5405092592591503E-2</v>
          </cell>
          <cell r="C3060">
            <v>50</v>
          </cell>
        </row>
        <row r="3061">
          <cell r="B3061">
            <v>3.5416666666665576E-2</v>
          </cell>
          <cell r="C3061">
            <v>51</v>
          </cell>
        </row>
        <row r="3062">
          <cell r="B3062">
            <v>3.542824074073965E-2</v>
          </cell>
          <cell r="C3062">
            <v>51</v>
          </cell>
        </row>
        <row r="3063">
          <cell r="B3063">
            <v>3.5439814814813723E-2</v>
          </cell>
          <cell r="C3063">
            <v>51</v>
          </cell>
        </row>
        <row r="3064">
          <cell r="B3064">
            <v>3.5451388888887797E-2</v>
          </cell>
          <cell r="C3064">
            <v>51</v>
          </cell>
        </row>
        <row r="3065">
          <cell r="B3065">
            <v>3.5462962962961871E-2</v>
          </cell>
          <cell r="C3065">
            <v>51</v>
          </cell>
        </row>
        <row r="3066">
          <cell r="B3066">
            <v>3.5474537037035944E-2</v>
          </cell>
          <cell r="C3066">
            <v>51</v>
          </cell>
        </row>
        <row r="3067">
          <cell r="B3067">
            <v>3.5486111111110018E-2</v>
          </cell>
          <cell r="C3067">
            <v>51</v>
          </cell>
        </row>
        <row r="3068">
          <cell r="B3068">
            <v>3.5497685185184091E-2</v>
          </cell>
          <cell r="C3068">
            <v>51</v>
          </cell>
        </row>
        <row r="3069">
          <cell r="B3069">
            <v>3.5509259259258165E-2</v>
          </cell>
          <cell r="C3069">
            <v>51</v>
          </cell>
        </row>
        <row r="3070">
          <cell r="B3070">
            <v>3.5520833333332238E-2</v>
          </cell>
          <cell r="C3070">
            <v>51</v>
          </cell>
        </row>
        <row r="3071">
          <cell r="B3071">
            <v>3.5532407407406312E-2</v>
          </cell>
          <cell r="C3071">
            <v>51</v>
          </cell>
        </row>
        <row r="3072">
          <cell r="B3072">
            <v>3.5543981481480386E-2</v>
          </cell>
          <cell r="C3072">
            <v>51</v>
          </cell>
        </row>
        <row r="3073">
          <cell r="B3073">
            <v>3.5555555555554459E-2</v>
          </cell>
          <cell r="C3073">
            <v>51</v>
          </cell>
        </row>
        <row r="3074">
          <cell r="B3074">
            <v>3.5567129629628533E-2</v>
          </cell>
          <cell r="C3074">
            <v>51</v>
          </cell>
        </row>
        <row r="3075">
          <cell r="B3075">
            <v>3.5578703703702606E-2</v>
          </cell>
          <cell r="C3075">
            <v>51</v>
          </cell>
        </row>
        <row r="3076">
          <cell r="B3076">
            <v>3.559027777777668E-2</v>
          </cell>
          <cell r="C3076">
            <v>51</v>
          </cell>
        </row>
        <row r="3077">
          <cell r="B3077">
            <v>3.5601851851850753E-2</v>
          </cell>
          <cell r="C3077">
            <v>51</v>
          </cell>
        </row>
        <row r="3078">
          <cell r="B3078">
            <v>3.5613425925924827E-2</v>
          </cell>
          <cell r="C3078">
            <v>51</v>
          </cell>
        </row>
        <row r="3079">
          <cell r="B3079">
            <v>3.5624999999998901E-2</v>
          </cell>
          <cell r="C3079">
            <v>51</v>
          </cell>
        </row>
        <row r="3080">
          <cell r="B3080">
            <v>3.5636574074072974E-2</v>
          </cell>
          <cell r="C3080">
            <v>51</v>
          </cell>
        </row>
        <row r="3081">
          <cell r="B3081">
            <v>3.5648148148147048E-2</v>
          </cell>
          <cell r="C3081">
            <v>51</v>
          </cell>
        </row>
        <row r="3082">
          <cell r="B3082">
            <v>3.5659722222221121E-2</v>
          </cell>
          <cell r="C3082">
            <v>51</v>
          </cell>
        </row>
        <row r="3083">
          <cell r="B3083">
            <v>3.5671296296295195E-2</v>
          </cell>
          <cell r="C3083">
            <v>51</v>
          </cell>
        </row>
        <row r="3084">
          <cell r="B3084">
            <v>3.5682870370369268E-2</v>
          </cell>
          <cell r="C3084">
            <v>51</v>
          </cell>
        </row>
        <row r="3085">
          <cell r="B3085">
            <v>3.5694444444443342E-2</v>
          </cell>
          <cell r="C3085">
            <v>51</v>
          </cell>
        </row>
        <row r="3086">
          <cell r="B3086">
            <v>3.5706018518517416E-2</v>
          </cell>
          <cell r="C3086">
            <v>51</v>
          </cell>
        </row>
        <row r="3087">
          <cell r="B3087">
            <v>3.5717592592591489E-2</v>
          </cell>
          <cell r="C3087">
            <v>51</v>
          </cell>
        </row>
        <row r="3088">
          <cell r="B3088">
            <v>3.5729166666665563E-2</v>
          </cell>
          <cell r="C3088">
            <v>51</v>
          </cell>
        </row>
        <row r="3089">
          <cell r="B3089">
            <v>3.5740740740739636E-2</v>
          </cell>
          <cell r="C3089">
            <v>51</v>
          </cell>
        </row>
        <row r="3090">
          <cell r="B3090">
            <v>3.575231481481371E-2</v>
          </cell>
          <cell r="C3090">
            <v>51</v>
          </cell>
        </row>
        <row r="3091">
          <cell r="B3091">
            <v>3.5763888888887783E-2</v>
          </cell>
          <cell r="C3091">
            <v>51</v>
          </cell>
        </row>
        <row r="3092">
          <cell r="B3092">
            <v>3.5775462962961857E-2</v>
          </cell>
          <cell r="C3092">
            <v>51</v>
          </cell>
        </row>
        <row r="3093">
          <cell r="B3093">
            <v>3.5787037037035931E-2</v>
          </cell>
          <cell r="C3093">
            <v>51</v>
          </cell>
        </row>
        <row r="3094">
          <cell r="B3094">
            <v>3.5798611111110004E-2</v>
          </cell>
          <cell r="C3094">
            <v>51</v>
          </cell>
        </row>
        <row r="3095">
          <cell r="B3095">
            <v>3.5810185185184078E-2</v>
          </cell>
          <cell r="C3095">
            <v>51</v>
          </cell>
        </row>
        <row r="3096">
          <cell r="B3096">
            <v>3.5821759259258151E-2</v>
          </cell>
          <cell r="C3096">
            <v>51</v>
          </cell>
        </row>
        <row r="3097">
          <cell r="B3097">
            <v>3.5833333333332225E-2</v>
          </cell>
          <cell r="C3097">
            <v>51</v>
          </cell>
        </row>
        <row r="3098">
          <cell r="B3098">
            <v>3.5844907407406298E-2</v>
          </cell>
          <cell r="C3098">
            <v>51</v>
          </cell>
        </row>
        <row r="3099">
          <cell r="B3099">
            <v>3.5856481481480372E-2</v>
          </cell>
          <cell r="C3099">
            <v>51</v>
          </cell>
        </row>
        <row r="3100">
          <cell r="B3100">
            <v>3.5868055555554446E-2</v>
          </cell>
          <cell r="C3100">
            <v>51</v>
          </cell>
        </row>
        <row r="3101">
          <cell r="B3101">
            <v>3.5879629629628519E-2</v>
          </cell>
          <cell r="C3101">
            <v>51</v>
          </cell>
        </row>
        <row r="3102">
          <cell r="B3102">
            <v>3.5891203703702593E-2</v>
          </cell>
          <cell r="C3102">
            <v>51</v>
          </cell>
        </row>
        <row r="3103">
          <cell r="B3103">
            <v>3.5902777777776666E-2</v>
          </cell>
          <cell r="C3103">
            <v>51</v>
          </cell>
        </row>
        <row r="3104">
          <cell r="B3104">
            <v>3.591435185185074E-2</v>
          </cell>
          <cell r="C3104">
            <v>51</v>
          </cell>
        </row>
        <row r="3105">
          <cell r="B3105">
            <v>3.5925925925924813E-2</v>
          </cell>
          <cell r="C3105">
            <v>51</v>
          </cell>
        </row>
        <row r="3106">
          <cell r="B3106">
            <v>3.5937499999998887E-2</v>
          </cell>
          <cell r="C3106">
            <v>51</v>
          </cell>
        </row>
        <row r="3107">
          <cell r="B3107">
            <v>3.5949074074072961E-2</v>
          </cell>
          <cell r="C3107">
            <v>51</v>
          </cell>
        </row>
        <row r="3108">
          <cell r="B3108">
            <v>3.5960648148147034E-2</v>
          </cell>
          <cell r="C3108">
            <v>51</v>
          </cell>
        </row>
        <row r="3109">
          <cell r="B3109">
            <v>3.5972222222221108E-2</v>
          </cell>
          <cell r="C3109">
            <v>51</v>
          </cell>
        </row>
        <row r="3110">
          <cell r="B3110">
            <v>3.5983796296295181E-2</v>
          </cell>
          <cell r="C3110">
            <v>51</v>
          </cell>
        </row>
        <row r="3111">
          <cell r="B3111">
            <v>3.5995370370369255E-2</v>
          </cell>
          <cell r="C3111">
            <v>51</v>
          </cell>
        </row>
        <row r="3112">
          <cell r="B3112">
            <v>3.6006944444443328E-2</v>
          </cell>
          <cell r="C3112">
            <v>51</v>
          </cell>
        </row>
        <row r="3113">
          <cell r="B3113">
            <v>3.6018518518517402E-2</v>
          </cell>
          <cell r="C3113">
            <v>51</v>
          </cell>
        </row>
        <row r="3114">
          <cell r="B3114">
            <v>3.6030092592591476E-2</v>
          </cell>
          <cell r="C3114">
            <v>51</v>
          </cell>
        </row>
        <row r="3115">
          <cell r="B3115">
            <v>3.6041666666665549E-2</v>
          </cell>
          <cell r="C3115">
            <v>51</v>
          </cell>
        </row>
        <row r="3116">
          <cell r="B3116">
            <v>3.6053240740739623E-2</v>
          </cell>
          <cell r="C3116">
            <v>51</v>
          </cell>
        </row>
        <row r="3117">
          <cell r="B3117">
            <v>3.6064814814813696E-2</v>
          </cell>
          <cell r="C3117">
            <v>51</v>
          </cell>
        </row>
        <row r="3118">
          <cell r="B3118">
            <v>3.607638888888777E-2</v>
          </cell>
          <cell r="C3118">
            <v>51</v>
          </cell>
        </row>
        <row r="3119">
          <cell r="B3119">
            <v>3.6087962962961843E-2</v>
          </cell>
          <cell r="C3119">
            <v>51</v>
          </cell>
        </row>
        <row r="3120">
          <cell r="B3120">
            <v>3.6099537037035917E-2</v>
          </cell>
          <cell r="C3120">
            <v>51</v>
          </cell>
        </row>
        <row r="3121">
          <cell r="B3121">
            <v>3.6111111111109991E-2</v>
          </cell>
          <cell r="C3121">
            <v>52</v>
          </cell>
        </row>
        <row r="3122">
          <cell r="B3122">
            <v>3.6122685185184064E-2</v>
          </cell>
          <cell r="C3122">
            <v>52</v>
          </cell>
        </row>
        <row r="3123">
          <cell r="B3123">
            <v>3.6134259259258138E-2</v>
          </cell>
          <cell r="C3123">
            <v>52</v>
          </cell>
        </row>
        <row r="3124">
          <cell r="B3124">
            <v>3.6145833333332211E-2</v>
          </cell>
          <cell r="C3124">
            <v>52</v>
          </cell>
        </row>
        <row r="3125">
          <cell r="B3125">
            <v>3.6157407407406285E-2</v>
          </cell>
          <cell r="C3125">
            <v>52</v>
          </cell>
        </row>
        <row r="3126">
          <cell r="B3126">
            <v>3.6168981481480358E-2</v>
          </cell>
          <cell r="C3126">
            <v>52</v>
          </cell>
        </row>
        <row r="3127">
          <cell r="B3127">
            <v>3.6180555555554432E-2</v>
          </cell>
          <cell r="C3127">
            <v>52</v>
          </cell>
        </row>
        <row r="3128">
          <cell r="B3128">
            <v>3.6192129629628506E-2</v>
          </cell>
          <cell r="C3128">
            <v>52</v>
          </cell>
        </row>
        <row r="3129">
          <cell r="B3129">
            <v>3.6203703703702579E-2</v>
          </cell>
          <cell r="C3129">
            <v>52</v>
          </cell>
        </row>
        <row r="3130">
          <cell r="B3130">
            <v>3.6215277777776653E-2</v>
          </cell>
          <cell r="C3130">
            <v>52</v>
          </cell>
        </row>
        <row r="3131">
          <cell r="B3131">
            <v>3.6226851851850726E-2</v>
          </cell>
          <cell r="C3131">
            <v>52</v>
          </cell>
        </row>
        <row r="3132">
          <cell r="B3132">
            <v>3.62384259259248E-2</v>
          </cell>
          <cell r="C3132">
            <v>52</v>
          </cell>
        </row>
        <row r="3133">
          <cell r="B3133">
            <v>3.6249999999998873E-2</v>
          </cell>
          <cell r="C3133">
            <v>52</v>
          </cell>
        </row>
        <row r="3134">
          <cell r="B3134">
            <v>3.6261574074072947E-2</v>
          </cell>
          <cell r="C3134">
            <v>52</v>
          </cell>
        </row>
        <row r="3135">
          <cell r="B3135">
            <v>3.6273148148147021E-2</v>
          </cell>
          <cell r="C3135">
            <v>52</v>
          </cell>
        </row>
        <row r="3136">
          <cell r="B3136">
            <v>3.6284722222221094E-2</v>
          </cell>
          <cell r="C3136">
            <v>52</v>
          </cell>
        </row>
        <row r="3137">
          <cell r="B3137">
            <v>3.6296296296295168E-2</v>
          </cell>
          <cell r="C3137">
            <v>52</v>
          </cell>
        </row>
        <row r="3138">
          <cell r="B3138">
            <v>3.6307870370369241E-2</v>
          </cell>
          <cell r="C3138">
            <v>52</v>
          </cell>
        </row>
        <row r="3139">
          <cell r="B3139">
            <v>3.6319444444443315E-2</v>
          </cell>
          <cell r="C3139">
            <v>52</v>
          </cell>
        </row>
        <row r="3140">
          <cell r="B3140">
            <v>3.6331018518517388E-2</v>
          </cell>
          <cell r="C3140">
            <v>52</v>
          </cell>
        </row>
        <row r="3141">
          <cell r="B3141">
            <v>3.6342592592591462E-2</v>
          </cell>
          <cell r="C3141">
            <v>52</v>
          </cell>
        </row>
        <row r="3142">
          <cell r="B3142">
            <v>3.6354166666665536E-2</v>
          </cell>
          <cell r="C3142">
            <v>52</v>
          </cell>
        </row>
        <row r="3143">
          <cell r="B3143">
            <v>3.6365740740739609E-2</v>
          </cell>
          <cell r="C3143">
            <v>52</v>
          </cell>
        </row>
        <row r="3144">
          <cell r="B3144">
            <v>3.6377314814813683E-2</v>
          </cell>
          <cell r="C3144">
            <v>52</v>
          </cell>
        </row>
        <row r="3145">
          <cell r="B3145">
            <v>3.6388888888887756E-2</v>
          </cell>
          <cell r="C3145">
            <v>52</v>
          </cell>
        </row>
        <row r="3146">
          <cell r="B3146">
            <v>3.640046296296183E-2</v>
          </cell>
          <cell r="C3146">
            <v>52</v>
          </cell>
        </row>
        <row r="3147">
          <cell r="B3147">
            <v>3.6412037037035903E-2</v>
          </cell>
          <cell r="C3147">
            <v>52</v>
          </cell>
        </row>
        <row r="3148">
          <cell r="B3148">
            <v>3.6423611111109977E-2</v>
          </cell>
          <cell r="C3148">
            <v>52</v>
          </cell>
        </row>
        <row r="3149">
          <cell r="B3149">
            <v>3.6435185185184051E-2</v>
          </cell>
          <cell r="C3149">
            <v>52</v>
          </cell>
        </row>
        <row r="3150">
          <cell r="B3150">
            <v>3.6446759259258124E-2</v>
          </cell>
          <cell r="C3150">
            <v>52</v>
          </cell>
        </row>
        <row r="3151">
          <cell r="B3151">
            <v>3.6458333333332198E-2</v>
          </cell>
          <cell r="C3151">
            <v>52</v>
          </cell>
        </row>
        <row r="3152">
          <cell r="B3152">
            <v>3.6469907407406271E-2</v>
          </cell>
          <cell r="C3152">
            <v>52</v>
          </cell>
        </row>
        <row r="3153">
          <cell r="B3153">
            <v>3.6481481481480345E-2</v>
          </cell>
          <cell r="C3153">
            <v>52</v>
          </cell>
        </row>
        <row r="3154">
          <cell r="B3154">
            <v>3.6493055555554418E-2</v>
          </cell>
          <cell r="C3154">
            <v>52</v>
          </cell>
        </row>
        <row r="3155">
          <cell r="B3155">
            <v>3.6504629629628492E-2</v>
          </cell>
          <cell r="C3155">
            <v>52</v>
          </cell>
        </row>
        <row r="3156">
          <cell r="B3156">
            <v>3.6516203703702566E-2</v>
          </cell>
          <cell r="C3156">
            <v>52</v>
          </cell>
        </row>
        <row r="3157">
          <cell r="B3157">
            <v>3.6527777777776639E-2</v>
          </cell>
          <cell r="C3157">
            <v>52</v>
          </cell>
        </row>
        <row r="3158">
          <cell r="B3158">
            <v>3.6539351851850713E-2</v>
          </cell>
          <cell r="C3158">
            <v>52</v>
          </cell>
        </row>
        <row r="3159">
          <cell r="B3159">
            <v>3.6550925925924786E-2</v>
          </cell>
          <cell r="C3159">
            <v>52</v>
          </cell>
        </row>
        <row r="3160">
          <cell r="B3160">
            <v>3.656249999999886E-2</v>
          </cell>
          <cell r="C3160">
            <v>52</v>
          </cell>
        </row>
        <row r="3161">
          <cell r="B3161">
            <v>3.6574074074072933E-2</v>
          </cell>
          <cell r="C3161">
            <v>52</v>
          </cell>
        </row>
        <row r="3162">
          <cell r="B3162">
            <v>3.6585648148147007E-2</v>
          </cell>
          <cell r="C3162">
            <v>52</v>
          </cell>
        </row>
        <row r="3163">
          <cell r="B3163">
            <v>3.6597222222221081E-2</v>
          </cell>
          <cell r="C3163">
            <v>52</v>
          </cell>
        </row>
        <row r="3164">
          <cell r="B3164">
            <v>3.6608796296295154E-2</v>
          </cell>
          <cell r="C3164">
            <v>52</v>
          </cell>
        </row>
        <row r="3165">
          <cell r="B3165">
            <v>3.6620370370369228E-2</v>
          </cell>
          <cell r="C3165">
            <v>52</v>
          </cell>
        </row>
        <row r="3166">
          <cell r="B3166">
            <v>3.6631944444443301E-2</v>
          </cell>
          <cell r="C3166">
            <v>52</v>
          </cell>
        </row>
        <row r="3167">
          <cell r="B3167">
            <v>3.6643518518517375E-2</v>
          </cell>
          <cell r="C3167">
            <v>52</v>
          </cell>
        </row>
        <row r="3168">
          <cell r="B3168">
            <v>3.6655092592591448E-2</v>
          </cell>
          <cell r="C3168">
            <v>52</v>
          </cell>
        </row>
        <row r="3169">
          <cell r="B3169">
            <v>3.6666666666665522E-2</v>
          </cell>
          <cell r="C3169">
            <v>52</v>
          </cell>
        </row>
        <row r="3170">
          <cell r="B3170">
            <v>3.6678240740739596E-2</v>
          </cell>
          <cell r="C3170">
            <v>52</v>
          </cell>
        </row>
        <row r="3171">
          <cell r="B3171">
            <v>3.6689814814813669E-2</v>
          </cell>
          <cell r="C3171">
            <v>52</v>
          </cell>
        </row>
        <row r="3172">
          <cell r="B3172">
            <v>3.6701388888887743E-2</v>
          </cell>
          <cell r="C3172">
            <v>52</v>
          </cell>
        </row>
        <row r="3173">
          <cell r="B3173">
            <v>3.6712962962961816E-2</v>
          </cell>
          <cell r="C3173">
            <v>52</v>
          </cell>
        </row>
        <row r="3174">
          <cell r="B3174">
            <v>3.672453703703589E-2</v>
          </cell>
          <cell r="C3174">
            <v>52</v>
          </cell>
        </row>
        <row r="3175">
          <cell r="B3175">
            <v>3.6736111111109963E-2</v>
          </cell>
          <cell r="C3175">
            <v>52</v>
          </cell>
        </row>
        <row r="3176">
          <cell r="B3176">
            <v>3.6747685185184037E-2</v>
          </cell>
          <cell r="C3176">
            <v>52</v>
          </cell>
        </row>
        <row r="3177">
          <cell r="B3177">
            <v>3.675925925925811E-2</v>
          </cell>
          <cell r="C3177">
            <v>52</v>
          </cell>
        </row>
        <row r="3178">
          <cell r="B3178">
            <v>3.6770833333332184E-2</v>
          </cell>
          <cell r="C3178">
            <v>52</v>
          </cell>
        </row>
        <row r="3179">
          <cell r="B3179">
            <v>3.6782407407406258E-2</v>
          </cell>
          <cell r="C3179">
            <v>52</v>
          </cell>
        </row>
        <row r="3180">
          <cell r="B3180">
            <v>3.6793981481480331E-2</v>
          </cell>
          <cell r="C3180">
            <v>52</v>
          </cell>
        </row>
        <row r="3181">
          <cell r="B3181">
            <v>3.6805555555554405E-2</v>
          </cell>
          <cell r="C3181">
            <v>53</v>
          </cell>
        </row>
        <row r="3182">
          <cell r="B3182">
            <v>3.6817129629628478E-2</v>
          </cell>
          <cell r="C3182">
            <v>53</v>
          </cell>
        </row>
        <row r="3183">
          <cell r="B3183">
            <v>3.6828703703702552E-2</v>
          </cell>
          <cell r="C3183">
            <v>53</v>
          </cell>
        </row>
        <row r="3184">
          <cell r="B3184">
            <v>3.6840277777776625E-2</v>
          </cell>
          <cell r="C3184">
            <v>53</v>
          </cell>
        </row>
        <row r="3185">
          <cell r="B3185">
            <v>3.6851851851850699E-2</v>
          </cell>
          <cell r="C3185">
            <v>53</v>
          </cell>
        </row>
        <row r="3186">
          <cell r="B3186">
            <v>3.6863425925924773E-2</v>
          </cell>
          <cell r="C3186">
            <v>53</v>
          </cell>
        </row>
        <row r="3187">
          <cell r="B3187">
            <v>3.6874999999998846E-2</v>
          </cell>
          <cell r="C3187">
            <v>53</v>
          </cell>
        </row>
        <row r="3188">
          <cell r="B3188">
            <v>3.688657407407292E-2</v>
          </cell>
          <cell r="C3188">
            <v>53</v>
          </cell>
        </row>
        <row r="3189">
          <cell r="B3189">
            <v>3.6898148148146993E-2</v>
          </cell>
          <cell r="C3189">
            <v>53</v>
          </cell>
        </row>
        <row r="3190">
          <cell r="B3190">
            <v>3.6909722222221067E-2</v>
          </cell>
          <cell r="C3190">
            <v>53</v>
          </cell>
        </row>
        <row r="3191">
          <cell r="B3191">
            <v>3.692129629629514E-2</v>
          </cell>
          <cell r="C3191">
            <v>53</v>
          </cell>
        </row>
        <row r="3192">
          <cell r="B3192">
            <v>3.6932870370369214E-2</v>
          </cell>
          <cell r="C3192">
            <v>53</v>
          </cell>
        </row>
        <row r="3193">
          <cell r="B3193">
            <v>3.6944444444443288E-2</v>
          </cell>
          <cell r="C3193">
            <v>53</v>
          </cell>
        </row>
        <row r="3194">
          <cell r="B3194">
            <v>3.6956018518517361E-2</v>
          </cell>
          <cell r="C3194">
            <v>53</v>
          </cell>
        </row>
        <row r="3195">
          <cell r="B3195">
            <v>3.6967592592591435E-2</v>
          </cell>
          <cell r="C3195">
            <v>53</v>
          </cell>
        </row>
        <row r="3196">
          <cell r="B3196">
            <v>3.6979166666665508E-2</v>
          </cell>
          <cell r="C3196">
            <v>53</v>
          </cell>
        </row>
        <row r="3197">
          <cell r="B3197">
            <v>3.6990740740739582E-2</v>
          </cell>
          <cell r="C3197">
            <v>53</v>
          </cell>
        </row>
        <row r="3198">
          <cell r="B3198">
            <v>3.7002314814813655E-2</v>
          </cell>
          <cell r="C3198">
            <v>53</v>
          </cell>
        </row>
        <row r="3199">
          <cell r="B3199">
            <v>3.7013888888887729E-2</v>
          </cell>
          <cell r="C3199">
            <v>53</v>
          </cell>
        </row>
        <row r="3200">
          <cell r="B3200">
            <v>3.7025462962961803E-2</v>
          </cell>
          <cell r="C3200">
            <v>53</v>
          </cell>
        </row>
        <row r="3201">
          <cell r="B3201">
            <v>3.7037037037035876E-2</v>
          </cell>
          <cell r="C3201">
            <v>53</v>
          </cell>
        </row>
        <row r="3202">
          <cell r="B3202">
            <v>3.704861111110995E-2</v>
          </cell>
          <cell r="C3202">
            <v>53</v>
          </cell>
        </row>
        <row r="3203">
          <cell r="B3203">
            <v>3.7060185185184023E-2</v>
          </cell>
          <cell r="C3203">
            <v>53</v>
          </cell>
        </row>
        <row r="3204">
          <cell r="B3204">
            <v>3.7071759259258097E-2</v>
          </cell>
          <cell r="C3204">
            <v>53</v>
          </cell>
        </row>
        <row r="3205">
          <cell r="B3205">
            <v>3.708333333333217E-2</v>
          </cell>
          <cell r="C3205">
            <v>53</v>
          </cell>
        </row>
        <row r="3206">
          <cell r="B3206">
            <v>3.7094907407406244E-2</v>
          </cell>
          <cell r="C3206">
            <v>53</v>
          </cell>
        </row>
        <row r="3207">
          <cell r="B3207">
            <v>3.7106481481480318E-2</v>
          </cell>
          <cell r="C3207">
            <v>53</v>
          </cell>
        </row>
        <row r="3208">
          <cell r="B3208">
            <v>3.7118055555554391E-2</v>
          </cell>
          <cell r="C3208">
            <v>53</v>
          </cell>
        </row>
        <row r="3209">
          <cell r="B3209">
            <v>3.7129629629628465E-2</v>
          </cell>
          <cell r="C3209">
            <v>53</v>
          </cell>
        </row>
        <row r="3210">
          <cell r="B3210">
            <v>3.7141203703702538E-2</v>
          </cell>
          <cell r="C3210">
            <v>53</v>
          </cell>
        </row>
        <row r="3211">
          <cell r="B3211">
            <v>3.7152777777776612E-2</v>
          </cell>
          <cell r="C3211">
            <v>53</v>
          </cell>
        </row>
        <row r="3212">
          <cell r="B3212">
            <v>3.7164351851850685E-2</v>
          </cell>
          <cell r="C3212">
            <v>53</v>
          </cell>
        </row>
        <row r="3213">
          <cell r="B3213">
            <v>3.7175925925924759E-2</v>
          </cell>
          <cell r="C3213">
            <v>53</v>
          </cell>
        </row>
        <row r="3214">
          <cell r="B3214">
            <v>3.7187499999998833E-2</v>
          </cell>
          <cell r="C3214">
            <v>53</v>
          </cell>
        </row>
        <row r="3215">
          <cell r="B3215">
            <v>3.7199074074072906E-2</v>
          </cell>
          <cell r="C3215">
            <v>53</v>
          </cell>
        </row>
        <row r="3216">
          <cell r="B3216">
            <v>3.721064814814698E-2</v>
          </cell>
          <cell r="C3216">
            <v>53</v>
          </cell>
        </row>
        <row r="3217">
          <cell r="B3217">
            <v>3.7222222222221053E-2</v>
          </cell>
          <cell r="C3217">
            <v>53</v>
          </cell>
        </row>
        <row r="3218">
          <cell r="B3218">
            <v>3.7233796296295127E-2</v>
          </cell>
          <cell r="C3218">
            <v>53</v>
          </cell>
        </row>
        <row r="3219">
          <cell r="B3219">
            <v>3.72453703703692E-2</v>
          </cell>
          <cell r="C3219">
            <v>53</v>
          </cell>
        </row>
        <row r="3220">
          <cell r="B3220">
            <v>3.7256944444443274E-2</v>
          </cell>
          <cell r="C3220">
            <v>53</v>
          </cell>
        </row>
        <row r="3221">
          <cell r="B3221">
            <v>3.7268518518517348E-2</v>
          </cell>
          <cell r="C3221">
            <v>53</v>
          </cell>
        </row>
        <row r="3222">
          <cell r="B3222">
            <v>3.7280092592591421E-2</v>
          </cell>
          <cell r="C3222">
            <v>53</v>
          </cell>
        </row>
        <row r="3223">
          <cell r="B3223">
            <v>3.7291666666665495E-2</v>
          </cell>
          <cell r="C3223">
            <v>53</v>
          </cell>
        </row>
        <row r="3224">
          <cell r="B3224">
            <v>3.7303240740739568E-2</v>
          </cell>
          <cell r="C3224">
            <v>53</v>
          </cell>
        </row>
        <row r="3225">
          <cell r="B3225">
            <v>3.7314814814813642E-2</v>
          </cell>
          <cell r="C3225">
            <v>53</v>
          </cell>
        </row>
        <row r="3226">
          <cell r="B3226">
            <v>3.7326388888887715E-2</v>
          </cell>
          <cell r="C3226">
            <v>53</v>
          </cell>
        </row>
        <row r="3227">
          <cell r="B3227">
            <v>3.7337962962961789E-2</v>
          </cell>
          <cell r="C3227">
            <v>53</v>
          </cell>
        </row>
        <row r="3228">
          <cell r="B3228">
            <v>3.7349537037035863E-2</v>
          </cell>
          <cell r="C3228">
            <v>53</v>
          </cell>
        </row>
        <row r="3229">
          <cell r="B3229">
            <v>3.7361111111109936E-2</v>
          </cell>
          <cell r="C3229">
            <v>53</v>
          </cell>
        </row>
        <row r="3230">
          <cell r="B3230">
            <v>3.737268518518401E-2</v>
          </cell>
          <cell r="C3230">
            <v>53</v>
          </cell>
        </row>
        <row r="3231">
          <cell r="B3231">
            <v>3.7384259259258083E-2</v>
          </cell>
          <cell r="C3231">
            <v>53</v>
          </cell>
        </row>
        <row r="3232">
          <cell r="B3232">
            <v>3.7395833333332157E-2</v>
          </cell>
          <cell r="C3232">
            <v>53</v>
          </cell>
        </row>
        <row r="3233">
          <cell r="B3233">
            <v>3.740740740740623E-2</v>
          </cell>
          <cell r="C3233">
            <v>53</v>
          </cell>
        </row>
        <row r="3234">
          <cell r="B3234">
            <v>3.7418981481480304E-2</v>
          </cell>
          <cell r="C3234">
            <v>53</v>
          </cell>
        </row>
        <row r="3235">
          <cell r="B3235">
            <v>3.7430555555554378E-2</v>
          </cell>
          <cell r="C3235">
            <v>53</v>
          </cell>
        </row>
        <row r="3236">
          <cell r="B3236">
            <v>3.7442129629628451E-2</v>
          </cell>
          <cell r="C3236">
            <v>53</v>
          </cell>
        </row>
        <row r="3237">
          <cell r="B3237">
            <v>3.7453703703702525E-2</v>
          </cell>
          <cell r="C3237">
            <v>53</v>
          </cell>
        </row>
        <row r="3238">
          <cell r="B3238">
            <v>3.7465277777776598E-2</v>
          </cell>
          <cell r="C3238">
            <v>53</v>
          </cell>
        </row>
        <row r="3239">
          <cell r="B3239">
            <v>3.7476851851850672E-2</v>
          </cell>
          <cell r="C3239">
            <v>53</v>
          </cell>
        </row>
        <row r="3240">
          <cell r="B3240">
            <v>3.7488425925924745E-2</v>
          </cell>
          <cell r="C3240">
            <v>53</v>
          </cell>
        </row>
        <row r="3241">
          <cell r="B3241">
            <v>3.7499999999998819E-2</v>
          </cell>
          <cell r="C3241">
            <v>54</v>
          </cell>
        </row>
        <row r="3242">
          <cell r="B3242">
            <v>3.7511574074072893E-2</v>
          </cell>
          <cell r="C3242">
            <v>54</v>
          </cell>
        </row>
        <row r="3243">
          <cell r="B3243">
            <v>3.7523148148146966E-2</v>
          </cell>
          <cell r="C3243">
            <v>54</v>
          </cell>
        </row>
        <row r="3244">
          <cell r="B3244">
            <v>3.753472222222104E-2</v>
          </cell>
          <cell r="C3244">
            <v>54</v>
          </cell>
        </row>
        <row r="3245">
          <cell r="B3245">
            <v>3.7546296296295113E-2</v>
          </cell>
          <cell r="C3245">
            <v>54</v>
          </cell>
        </row>
        <row r="3246">
          <cell r="B3246">
            <v>3.7557870370369187E-2</v>
          </cell>
          <cell r="C3246">
            <v>54</v>
          </cell>
        </row>
        <row r="3247">
          <cell r="B3247">
            <v>3.756944444444326E-2</v>
          </cell>
          <cell r="C3247">
            <v>54</v>
          </cell>
        </row>
        <row r="3248">
          <cell r="B3248">
            <v>3.7581018518517334E-2</v>
          </cell>
          <cell r="C3248">
            <v>54</v>
          </cell>
        </row>
        <row r="3249">
          <cell r="B3249">
            <v>3.7592592592591408E-2</v>
          </cell>
          <cell r="C3249">
            <v>54</v>
          </cell>
        </row>
        <row r="3250">
          <cell r="B3250">
            <v>3.7604166666665481E-2</v>
          </cell>
          <cell r="C3250">
            <v>54</v>
          </cell>
        </row>
        <row r="3251">
          <cell r="B3251">
            <v>3.7615740740739555E-2</v>
          </cell>
          <cell r="C3251">
            <v>54</v>
          </cell>
        </row>
        <row r="3252">
          <cell r="B3252">
            <v>3.7627314814813628E-2</v>
          </cell>
          <cell r="C3252">
            <v>54</v>
          </cell>
        </row>
        <row r="3253">
          <cell r="B3253">
            <v>3.7638888888887702E-2</v>
          </cell>
          <cell r="C3253">
            <v>54</v>
          </cell>
        </row>
        <row r="3254">
          <cell r="B3254">
            <v>3.7650462962961775E-2</v>
          </cell>
          <cell r="C3254">
            <v>54</v>
          </cell>
        </row>
        <row r="3255">
          <cell r="B3255">
            <v>3.7662037037035849E-2</v>
          </cell>
          <cell r="C3255">
            <v>54</v>
          </cell>
        </row>
        <row r="3256">
          <cell r="B3256">
            <v>3.7673611111109923E-2</v>
          </cell>
          <cell r="C3256">
            <v>54</v>
          </cell>
        </row>
        <row r="3257">
          <cell r="B3257">
            <v>3.7685185185183996E-2</v>
          </cell>
          <cell r="C3257">
            <v>54</v>
          </cell>
        </row>
        <row r="3258">
          <cell r="B3258">
            <v>3.769675925925807E-2</v>
          </cell>
          <cell r="C3258">
            <v>54</v>
          </cell>
        </row>
        <row r="3259">
          <cell r="B3259">
            <v>3.7708333333332143E-2</v>
          </cell>
          <cell r="C3259">
            <v>54</v>
          </cell>
        </row>
        <row r="3260">
          <cell r="B3260">
            <v>3.7719907407406217E-2</v>
          </cell>
          <cell r="C3260">
            <v>54</v>
          </cell>
        </row>
        <row r="3261">
          <cell r="B3261">
            <v>3.773148148148029E-2</v>
          </cell>
          <cell r="C3261">
            <v>54</v>
          </cell>
        </row>
        <row r="3262">
          <cell r="B3262">
            <v>3.7743055555554364E-2</v>
          </cell>
          <cell r="C3262">
            <v>54</v>
          </cell>
        </row>
        <row r="3263">
          <cell r="B3263">
            <v>3.7754629629628438E-2</v>
          </cell>
          <cell r="C3263">
            <v>54</v>
          </cell>
        </row>
        <row r="3264">
          <cell r="B3264">
            <v>3.7766203703702511E-2</v>
          </cell>
          <cell r="C3264">
            <v>54</v>
          </cell>
        </row>
        <row r="3265">
          <cell r="B3265">
            <v>3.7777777777776585E-2</v>
          </cell>
          <cell r="C3265">
            <v>54</v>
          </cell>
        </row>
        <row r="3266">
          <cell r="B3266">
            <v>3.7789351851850658E-2</v>
          </cell>
          <cell r="C3266">
            <v>54</v>
          </cell>
        </row>
        <row r="3267">
          <cell r="B3267">
            <v>3.7800925925924732E-2</v>
          </cell>
          <cell r="C3267">
            <v>54</v>
          </cell>
        </row>
        <row r="3268">
          <cell r="B3268">
            <v>3.7812499999998805E-2</v>
          </cell>
          <cell r="C3268">
            <v>54</v>
          </cell>
        </row>
        <row r="3269">
          <cell r="B3269">
            <v>3.7824074074072879E-2</v>
          </cell>
          <cell r="C3269">
            <v>54</v>
          </cell>
        </row>
        <row r="3270">
          <cell r="B3270">
            <v>3.7835648148146953E-2</v>
          </cell>
          <cell r="C3270">
            <v>54</v>
          </cell>
        </row>
        <row r="3271">
          <cell r="B3271">
            <v>3.7847222222221026E-2</v>
          </cell>
          <cell r="C3271">
            <v>54</v>
          </cell>
        </row>
        <row r="3272">
          <cell r="B3272">
            <v>3.78587962962951E-2</v>
          </cell>
          <cell r="C3272">
            <v>54</v>
          </cell>
        </row>
        <row r="3273">
          <cell r="B3273">
            <v>3.7870370370369173E-2</v>
          </cell>
          <cell r="C3273">
            <v>54</v>
          </cell>
        </row>
        <row r="3274">
          <cell r="B3274">
            <v>3.7881944444443247E-2</v>
          </cell>
          <cell r="C3274">
            <v>54</v>
          </cell>
        </row>
        <row r="3275">
          <cell r="B3275">
            <v>3.789351851851732E-2</v>
          </cell>
          <cell r="C3275">
            <v>54</v>
          </cell>
        </row>
        <row r="3276">
          <cell r="B3276">
            <v>3.7905092592591394E-2</v>
          </cell>
          <cell r="C3276">
            <v>54</v>
          </cell>
        </row>
        <row r="3277">
          <cell r="B3277">
            <v>3.7916666666665468E-2</v>
          </cell>
          <cell r="C3277">
            <v>54</v>
          </cell>
        </row>
        <row r="3278">
          <cell r="B3278">
            <v>3.7928240740739541E-2</v>
          </cell>
          <cell r="C3278">
            <v>54</v>
          </cell>
        </row>
        <row r="3279">
          <cell r="B3279">
            <v>3.7939814814813615E-2</v>
          </cell>
          <cell r="C3279">
            <v>54</v>
          </cell>
        </row>
        <row r="3280">
          <cell r="B3280">
            <v>3.7951388888887688E-2</v>
          </cell>
          <cell r="C3280">
            <v>54</v>
          </cell>
        </row>
        <row r="3281">
          <cell r="B3281">
            <v>3.7962962962961762E-2</v>
          </cell>
          <cell r="C3281">
            <v>54</v>
          </cell>
        </row>
        <row r="3282">
          <cell r="B3282">
            <v>3.7974537037035835E-2</v>
          </cell>
          <cell r="C3282">
            <v>54</v>
          </cell>
        </row>
        <row r="3283">
          <cell r="B3283">
            <v>3.7986111111109909E-2</v>
          </cell>
          <cell r="C3283">
            <v>54</v>
          </cell>
        </row>
        <row r="3284">
          <cell r="B3284">
            <v>3.7997685185183983E-2</v>
          </cell>
          <cell r="C3284">
            <v>54</v>
          </cell>
        </row>
        <row r="3285">
          <cell r="B3285">
            <v>3.8009259259258056E-2</v>
          </cell>
          <cell r="C3285">
            <v>54</v>
          </cell>
        </row>
        <row r="3286">
          <cell r="B3286">
            <v>3.802083333333213E-2</v>
          </cell>
          <cell r="C3286">
            <v>54</v>
          </cell>
        </row>
        <row r="3287">
          <cell r="B3287">
            <v>3.8032407407406203E-2</v>
          </cell>
          <cell r="C3287">
            <v>54</v>
          </cell>
        </row>
        <row r="3288">
          <cell r="B3288">
            <v>3.8043981481480277E-2</v>
          </cell>
          <cell r="C3288">
            <v>54</v>
          </cell>
        </row>
        <row r="3289">
          <cell r="B3289">
            <v>3.805555555555435E-2</v>
          </cell>
          <cell r="C3289">
            <v>54</v>
          </cell>
        </row>
        <row r="3290">
          <cell r="B3290">
            <v>3.8067129629628424E-2</v>
          </cell>
          <cell r="C3290">
            <v>54</v>
          </cell>
        </row>
        <row r="3291">
          <cell r="B3291">
            <v>3.8078703703702498E-2</v>
          </cell>
          <cell r="C3291">
            <v>54</v>
          </cell>
        </row>
        <row r="3292">
          <cell r="B3292">
            <v>3.8090277777776571E-2</v>
          </cell>
          <cell r="C3292">
            <v>54</v>
          </cell>
        </row>
        <row r="3293">
          <cell r="B3293">
            <v>3.8101851851850645E-2</v>
          </cell>
          <cell r="C3293">
            <v>54</v>
          </cell>
        </row>
        <row r="3294">
          <cell r="B3294">
            <v>3.8113425925924718E-2</v>
          </cell>
          <cell r="C3294">
            <v>54</v>
          </cell>
        </row>
        <row r="3295">
          <cell r="B3295">
            <v>3.8124999999998792E-2</v>
          </cell>
          <cell r="C3295">
            <v>54</v>
          </cell>
        </row>
        <row r="3296">
          <cell r="B3296">
            <v>3.8136574074072865E-2</v>
          </cell>
          <cell r="C3296">
            <v>54</v>
          </cell>
        </row>
        <row r="3297">
          <cell r="B3297">
            <v>3.8148148148146939E-2</v>
          </cell>
          <cell r="C3297">
            <v>54</v>
          </cell>
        </row>
        <row r="3298">
          <cell r="B3298">
            <v>3.8159722222221013E-2</v>
          </cell>
          <cell r="C3298">
            <v>54</v>
          </cell>
        </row>
        <row r="3299">
          <cell r="B3299">
            <v>3.8171296296295086E-2</v>
          </cell>
          <cell r="C3299">
            <v>54</v>
          </cell>
        </row>
        <row r="3300">
          <cell r="B3300">
            <v>3.818287037036916E-2</v>
          </cell>
          <cell r="C3300">
            <v>54</v>
          </cell>
        </row>
        <row r="3301">
          <cell r="B3301">
            <v>3.8194444444443233E-2</v>
          </cell>
          <cell r="C3301">
            <v>55</v>
          </cell>
        </row>
        <row r="3302">
          <cell r="B3302">
            <v>3.8206018518517307E-2</v>
          </cell>
          <cell r="C3302">
            <v>55</v>
          </cell>
        </row>
        <row r="3303">
          <cell r="B3303">
            <v>3.821759259259138E-2</v>
          </cell>
          <cell r="C3303">
            <v>55</v>
          </cell>
        </row>
        <row r="3304">
          <cell r="B3304">
            <v>3.8229166666665454E-2</v>
          </cell>
          <cell r="C3304">
            <v>55</v>
          </cell>
        </row>
        <row r="3305">
          <cell r="B3305">
            <v>3.8240740740739528E-2</v>
          </cell>
          <cell r="C3305">
            <v>55</v>
          </cell>
        </row>
        <row r="3306">
          <cell r="B3306">
            <v>3.8252314814813601E-2</v>
          </cell>
          <cell r="C3306">
            <v>55</v>
          </cell>
        </row>
        <row r="3307">
          <cell r="B3307">
            <v>3.8263888888887675E-2</v>
          </cell>
          <cell r="C3307">
            <v>55</v>
          </cell>
        </row>
        <row r="3308">
          <cell r="B3308">
            <v>3.8275462962961748E-2</v>
          </cell>
          <cell r="C3308">
            <v>55</v>
          </cell>
        </row>
        <row r="3309">
          <cell r="B3309">
            <v>3.8287037037035822E-2</v>
          </cell>
          <cell r="C3309">
            <v>55</v>
          </cell>
        </row>
        <row r="3310">
          <cell r="B3310">
            <v>3.8298611111109895E-2</v>
          </cell>
          <cell r="C3310">
            <v>55</v>
          </cell>
        </row>
        <row r="3311">
          <cell r="B3311">
            <v>3.8310185185183969E-2</v>
          </cell>
          <cell r="C3311">
            <v>55</v>
          </cell>
        </row>
        <row r="3312">
          <cell r="B3312">
            <v>3.8321759259258042E-2</v>
          </cell>
          <cell r="C3312">
            <v>55</v>
          </cell>
        </row>
        <row r="3313">
          <cell r="B3313">
            <v>3.8333333333332116E-2</v>
          </cell>
          <cell r="C3313">
            <v>55</v>
          </cell>
        </row>
        <row r="3314">
          <cell r="B3314">
            <v>3.834490740740619E-2</v>
          </cell>
          <cell r="C3314">
            <v>55</v>
          </cell>
        </row>
        <row r="3315">
          <cell r="B3315">
            <v>3.8356481481480263E-2</v>
          </cell>
          <cell r="C3315">
            <v>55</v>
          </cell>
        </row>
        <row r="3316">
          <cell r="B3316">
            <v>3.8368055555554337E-2</v>
          </cell>
          <cell r="C3316">
            <v>55</v>
          </cell>
        </row>
        <row r="3317">
          <cell r="B3317">
            <v>3.837962962962841E-2</v>
          </cell>
          <cell r="C3317">
            <v>55</v>
          </cell>
        </row>
        <row r="3318">
          <cell r="B3318">
            <v>3.8391203703702484E-2</v>
          </cell>
          <cell r="C3318">
            <v>55</v>
          </cell>
        </row>
        <row r="3319">
          <cell r="B3319">
            <v>3.8402777777776557E-2</v>
          </cell>
          <cell r="C3319">
            <v>55</v>
          </cell>
        </row>
        <row r="3320">
          <cell r="B3320">
            <v>3.8414351851850631E-2</v>
          </cell>
          <cell r="C3320">
            <v>55</v>
          </cell>
        </row>
        <row r="3321">
          <cell r="B3321">
            <v>3.8425925925924705E-2</v>
          </cell>
          <cell r="C3321">
            <v>55</v>
          </cell>
        </row>
        <row r="3322">
          <cell r="B3322">
            <v>3.8437499999998778E-2</v>
          </cell>
          <cell r="C3322">
            <v>55</v>
          </cell>
        </row>
        <row r="3323">
          <cell r="B3323">
            <v>3.8449074074072852E-2</v>
          </cell>
          <cell r="C3323">
            <v>55</v>
          </cell>
        </row>
        <row r="3324">
          <cell r="B3324">
            <v>3.8460648148146925E-2</v>
          </cell>
          <cell r="C3324">
            <v>55</v>
          </cell>
        </row>
        <row r="3325">
          <cell r="B3325">
            <v>3.8472222222220999E-2</v>
          </cell>
          <cell r="C3325">
            <v>55</v>
          </cell>
        </row>
        <row r="3326">
          <cell r="B3326">
            <v>3.8483796296295072E-2</v>
          </cell>
          <cell r="C3326">
            <v>55</v>
          </cell>
        </row>
        <row r="3327">
          <cell r="B3327">
            <v>3.8495370370369146E-2</v>
          </cell>
          <cell r="C3327">
            <v>55</v>
          </cell>
        </row>
        <row r="3328">
          <cell r="B3328">
            <v>3.850694444444322E-2</v>
          </cell>
          <cell r="C3328">
            <v>55</v>
          </cell>
        </row>
        <row r="3329">
          <cell r="B3329">
            <v>3.8518518518517293E-2</v>
          </cell>
          <cell r="C3329">
            <v>55</v>
          </cell>
        </row>
        <row r="3330">
          <cell r="B3330">
            <v>3.8530092592591367E-2</v>
          </cell>
          <cell r="C3330">
            <v>55</v>
          </cell>
        </row>
        <row r="3331">
          <cell r="B3331">
            <v>3.854166666666544E-2</v>
          </cell>
          <cell r="C3331">
            <v>55</v>
          </cell>
        </row>
        <row r="3332">
          <cell r="B3332">
            <v>3.8553240740739514E-2</v>
          </cell>
          <cell r="C3332">
            <v>55</v>
          </cell>
        </row>
        <row r="3333">
          <cell r="B3333">
            <v>3.8564814814813587E-2</v>
          </cell>
          <cell r="C3333">
            <v>55</v>
          </cell>
        </row>
        <row r="3334">
          <cell r="B3334">
            <v>3.8576388888887661E-2</v>
          </cell>
          <cell r="C3334">
            <v>55</v>
          </cell>
        </row>
        <row r="3335">
          <cell r="B3335">
            <v>3.8587962962961735E-2</v>
          </cell>
          <cell r="C3335">
            <v>55</v>
          </cell>
        </row>
        <row r="3336">
          <cell r="B3336">
            <v>3.8599537037035808E-2</v>
          </cell>
          <cell r="C3336">
            <v>55</v>
          </cell>
        </row>
        <row r="3337">
          <cell r="B3337">
            <v>3.8611111111109882E-2</v>
          </cell>
          <cell r="C3337">
            <v>55</v>
          </cell>
        </row>
        <row r="3338">
          <cell r="B3338">
            <v>3.8622685185183955E-2</v>
          </cell>
          <cell r="C3338">
            <v>55</v>
          </cell>
        </row>
        <row r="3339">
          <cell r="B3339">
            <v>3.8634259259258029E-2</v>
          </cell>
          <cell r="C3339">
            <v>55</v>
          </cell>
        </row>
        <row r="3340">
          <cell r="B3340">
            <v>3.8645833333332102E-2</v>
          </cell>
          <cell r="C3340">
            <v>55</v>
          </cell>
        </row>
        <row r="3341">
          <cell r="B3341">
            <v>3.8657407407406176E-2</v>
          </cell>
          <cell r="C3341">
            <v>55</v>
          </cell>
        </row>
        <row r="3342">
          <cell r="B3342">
            <v>3.866898148148025E-2</v>
          </cell>
          <cell r="C3342">
            <v>55</v>
          </cell>
        </row>
        <row r="3343">
          <cell r="B3343">
            <v>3.8680555555554323E-2</v>
          </cell>
          <cell r="C3343">
            <v>55</v>
          </cell>
        </row>
        <row r="3344">
          <cell r="B3344">
            <v>3.8692129629628397E-2</v>
          </cell>
          <cell r="C3344">
            <v>55</v>
          </cell>
        </row>
        <row r="3345">
          <cell r="B3345">
            <v>3.870370370370247E-2</v>
          </cell>
          <cell r="C3345">
            <v>55</v>
          </cell>
        </row>
        <row r="3346">
          <cell r="B3346">
            <v>3.8715277777776544E-2</v>
          </cell>
          <cell r="C3346">
            <v>55</v>
          </cell>
        </row>
        <row r="3347">
          <cell r="B3347">
            <v>3.8726851851850617E-2</v>
          </cell>
          <cell r="C3347">
            <v>55</v>
          </cell>
        </row>
        <row r="3348">
          <cell r="B3348">
            <v>3.8738425925924691E-2</v>
          </cell>
          <cell r="C3348">
            <v>55</v>
          </cell>
        </row>
        <row r="3349">
          <cell r="B3349">
            <v>3.8749999999998765E-2</v>
          </cell>
          <cell r="C3349">
            <v>55</v>
          </cell>
        </row>
        <row r="3350">
          <cell r="B3350">
            <v>3.8761574074072838E-2</v>
          </cell>
          <cell r="C3350">
            <v>55</v>
          </cell>
        </row>
        <row r="3351">
          <cell r="B3351">
            <v>3.8773148148146912E-2</v>
          </cell>
          <cell r="C3351">
            <v>55</v>
          </cell>
        </row>
        <row r="3352">
          <cell r="B3352">
            <v>3.8784722222220985E-2</v>
          </cell>
          <cell r="C3352">
            <v>55</v>
          </cell>
        </row>
        <row r="3353">
          <cell r="B3353">
            <v>3.8796296296295059E-2</v>
          </cell>
          <cell r="C3353">
            <v>55</v>
          </cell>
        </row>
        <row r="3354">
          <cell r="B3354">
            <v>3.8807870370369132E-2</v>
          </cell>
          <cell r="C3354">
            <v>55</v>
          </cell>
        </row>
        <row r="3355">
          <cell r="B3355">
            <v>3.8819444444443206E-2</v>
          </cell>
          <cell r="C3355">
            <v>55</v>
          </cell>
        </row>
        <row r="3356">
          <cell r="B3356">
            <v>3.883101851851728E-2</v>
          </cell>
          <cell r="C3356">
            <v>55</v>
          </cell>
        </row>
        <row r="3357">
          <cell r="B3357">
            <v>3.8842592592591353E-2</v>
          </cell>
          <cell r="C3357">
            <v>55</v>
          </cell>
        </row>
        <row r="3358">
          <cell r="B3358">
            <v>3.8854166666665427E-2</v>
          </cell>
          <cell r="C3358">
            <v>55</v>
          </cell>
        </row>
        <row r="3359">
          <cell r="B3359">
            <v>3.88657407407395E-2</v>
          </cell>
          <cell r="C3359">
            <v>55</v>
          </cell>
        </row>
        <row r="3360">
          <cell r="B3360">
            <v>3.8877314814813574E-2</v>
          </cell>
          <cell r="C3360">
            <v>55</v>
          </cell>
        </row>
        <row r="3361">
          <cell r="B3361">
            <v>3.8888888888887647E-2</v>
          </cell>
          <cell r="C3361">
            <v>56</v>
          </cell>
        </row>
        <row r="3362">
          <cell r="B3362">
            <v>3.8900462962961721E-2</v>
          </cell>
          <cell r="C3362">
            <v>56</v>
          </cell>
        </row>
        <row r="3363">
          <cell r="B3363">
            <v>3.8912037037035795E-2</v>
          </cell>
          <cell r="C3363">
            <v>56</v>
          </cell>
        </row>
        <row r="3364">
          <cell r="B3364">
            <v>3.8923611111109868E-2</v>
          </cell>
          <cell r="C3364">
            <v>56</v>
          </cell>
        </row>
        <row r="3365">
          <cell r="B3365">
            <v>3.8935185185183942E-2</v>
          </cell>
          <cell r="C3365">
            <v>56</v>
          </cell>
        </row>
        <row r="3366">
          <cell r="B3366">
            <v>3.8946759259258015E-2</v>
          </cell>
          <cell r="C3366">
            <v>56</v>
          </cell>
        </row>
        <row r="3367">
          <cell r="B3367">
            <v>3.8958333333332089E-2</v>
          </cell>
          <cell r="C3367">
            <v>56</v>
          </cell>
        </row>
        <row r="3368">
          <cell r="B3368">
            <v>3.8969907407406162E-2</v>
          </cell>
          <cell r="C3368">
            <v>56</v>
          </cell>
        </row>
        <row r="3369">
          <cell r="B3369">
            <v>3.8981481481480236E-2</v>
          </cell>
          <cell r="C3369">
            <v>56</v>
          </cell>
        </row>
        <row r="3370">
          <cell r="B3370">
            <v>3.899305555555431E-2</v>
          </cell>
          <cell r="C3370">
            <v>56</v>
          </cell>
        </row>
        <row r="3371">
          <cell r="B3371">
            <v>3.9004629629628383E-2</v>
          </cell>
          <cell r="C3371">
            <v>56</v>
          </cell>
        </row>
        <row r="3372">
          <cell r="B3372">
            <v>3.9016203703702457E-2</v>
          </cell>
          <cell r="C3372">
            <v>56</v>
          </cell>
        </row>
        <row r="3373">
          <cell r="B3373">
            <v>3.902777777777653E-2</v>
          </cell>
          <cell r="C3373">
            <v>56</v>
          </cell>
        </row>
        <row r="3374">
          <cell r="B3374">
            <v>3.9039351851850604E-2</v>
          </cell>
          <cell r="C3374">
            <v>56</v>
          </cell>
        </row>
        <row r="3375">
          <cell r="B3375">
            <v>3.9050925925924677E-2</v>
          </cell>
          <cell r="C3375">
            <v>56</v>
          </cell>
        </row>
        <row r="3376">
          <cell r="B3376">
            <v>3.9062499999998751E-2</v>
          </cell>
          <cell r="C3376">
            <v>56</v>
          </cell>
        </row>
        <row r="3377">
          <cell r="B3377">
            <v>3.9074074074072825E-2</v>
          </cell>
          <cell r="C3377">
            <v>56</v>
          </cell>
        </row>
        <row r="3378">
          <cell r="B3378">
            <v>3.9085648148146898E-2</v>
          </cell>
          <cell r="C3378">
            <v>56</v>
          </cell>
        </row>
        <row r="3379">
          <cell r="B3379">
            <v>3.9097222222220972E-2</v>
          </cell>
          <cell r="C3379">
            <v>56</v>
          </cell>
        </row>
        <row r="3380">
          <cell r="B3380">
            <v>3.9108796296295045E-2</v>
          </cell>
          <cell r="C3380">
            <v>56</v>
          </cell>
        </row>
        <row r="3381">
          <cell r="B3381">
            <v>3.9120370370369119E-2</v>
          </cell>
          <cell r="C3381">
            <v>56</v>
          </cell>
        </row>
        <row r="3382">
          <cell r="B3382">
            <v>3.9131944444443192E-2</v>
          </cell>
          <cell r="C3382">
            <v>56</v>
          </cell>
        </row>
        <row r="3383">
          <cell r="B3383">
            <v>3.9143518518517266E-2</v>
          </cell>
          <cell r="C3383">
            <v>56</v>
          </cell>
        </row>
        <row r="3384">
          <cell r="B3384">
            <v>3.915509259259134E-2</v>
          </cell>
          <cell r="C3384">
            <v>56</v>
          </cell>
        </row>
        <row r="3385">
          <cell r="B3385">
            <v>3.9166666666665413E-2</v>
          </cell>
          <cell r="C3385">
            <v>56</v>
          </cell>
        </row>
        <row r="3386">
          <cell r="B3386">
            <v>3.9178240740739487E-2</v>
          </cell>
          <cell r="C3386">
            <v>56</v>
          </cell>
        </row>
        <row r="3387">
          <cell r="B3387">
            <v>3.918981481481356E-2</v>
          </cell>
          <cell r="C3387">
            <v>56</v>
          </cell>
        </row>
        <row r="3388">
          <cell r="B3388">
            <v>3.9201388888887634E-2</v>
          </cell>
          <cell r="C3388">
            <v>56</v>
          </cell>
        </row>
        <row r="3389">
          <cell r="B3389">
            <v>3.9212962962961707E-2</v>
          </cell>
          <cell r="C3389">
            <v>56</v>
          </cell>
        </row>
        <row r="3390">
          <cell r="B3390">
            <v>3.9224537037035781E-2</v>
          </cell>
          <cell r="C3390">
            <v>56</v>
          </cell>
        </row>
        <row r="3391">
          <cell r="B3391">
            <v>3.9236111111109855E-2</v>
          </cell>
          <cell r="C3391">
            <v>56</v>
          </cell>
        </row>
        <row r="3392">
          <cell r="B3392">
            <v>3.9247685185183928E-2</v>
          </cell>
          <cell r="C3392">
            <v>56</v>
          </cell>
        </row>
        <row r="3393">
          <cell r="B3393">
            <v>3.9259259259258002E-2</v>
          </cell>
          <cell r="C3393">
            <v>56</v>
          </cell>
        </row>
        <row r="3394">
          <cell r="B3394">
            <v>3.9270833333332075E-2</v>
          </cell>
          <cell r="C3394">
            <v>56</v>
          </cell>
        </row>
        <row r="3395">
          <cell r="B3395">
            <v>3.9282407407406149E-2</v>
          </cell>
          <cell r="C3395">
            <v>56</v>
          </cell>
        </row>
        <row r="3396">
          <cell r="B3396">
            <v>3.9293981481480222E-2</v>
          </cell>
          <cell r="C3396">
            <v>56</v>
          </cell>
        </row>
        <row r="3397">
          <cell r="B3397">
            <v>3.9305555555554296E-2</v>
          </cell>
          <cell r="C3397">
            <v>56</v>
          </cell>
        </row>
        <row r="3398">
          <cell r="B3398">
            <v>3.931712962962837E-2</v>
          </cell>
          <cell r="C3398">
            <v>56</v>
          </cell>
        </row>
        <row r="3399">
          <cell r="B3399">
            <v>3.9328703703702443E-2</v>
          </cell>
          <cell r="C3399">
            <v>56</v>
          </cell>
        </row>
        <row r="3400">
          <cell r="B3400">
            <v>3.9340277777776517E-2</v>
          </cell>
          <cell r="C3400">
            <v>56</v>
          </cell>
        </row>
        <row r="3401">
          <cell r="B3401">
            <v>3.935185185185059E-2</v>
          </cell>
          <cell r="C3401">
            <v>56</v>
          </cell>
        </row>
        <row r="3402">
          <cell r="B3402">
            <v>3.9363425925924664E-2</v>
          </cell>
          <cell r="C3402">
            <v>56</v>
          </cell>
        </row>
        <row r="3403">
          <cell r="B3403">
            <v>3.9374999999998737E-2</v>
          </cell>
          <cell r="C3403">
            <v>56</v>
          </cell>
        </row>
        <row r="3404">
          <cell r="B3404">
            <v>3.9386574074072811E-2</v>
          </cell>
          <cell r="C3404">
            <v>56</v>
          </cell>
        </row>
        <row r="3405">
          <cell r="B3405">
            <v>3.9398148148146885E-2</v>
          </cell>
          <cell r="C3405">
            <v>56</v>
          </cell>
        </row>
        <row r="3406">
          <cell r="B3406">
            <v>3.9409722222220958E-2</v>
          </cell>
          <cell r="C3406">
            <v>56</v>
          </cell>
        </row>
        <row r="3407">
          <cell r="B3407">
            <v>3.9421296296295032E-2</v>
          </cell>
          <cell r="C3407">
            <v>56</v>
          </cell>
        </row>
        <row r="3408">
          <cell r="B3408">
            <v>3.9432870370369105E-2</v>
          </cell>
          <cell r="C3408">
            <v>56</v>
          </cell>
        </row>
        <row r="3409">
          <cell r="B3409">
            <v>3.9444444444443179E-2</v>
          </cell>
          <cell r="C3409">
            <v>56</v>
          </cell>
        </row>
        <row r="3410">
          <cell r="B3410">
            <v>3.9456018518517252E-2</v>
          </cell>
          <cell r="C3410">
            <v>56</v>
          </cell>
        </row>
        <row r="3411">
          <cell r="B3411">
            <v>3.9467592592591326E-2</v>
          </cell>
          <cell r="C3411">
            <v>56</v>
          </cell>
        </row>
        <row r="3412">
          <cell r="B3412">
            <v>3.94791666666654E-2</v>
          </cell>
          <cell r="C3412">
            <v>56</v>
          </cell>
        </row>
        <row r="3413">
          <cell r="B3413">
            <v>3.9490740740739473E-2</v>
          </cell>
          <cell r="C3413">
            <v>56</v>
          </cell>
        </row>
        <row r="3414">
          <cell r="B3414">
            <v>3.9502314814813547E-2</v>
          </cell>
          <cell r="C3414">
            <v>56</v>
          </cell>
        </row>
        <row r="3415">
          <cell r="B3415">
            <v>3.951388888888762E-2</v>
          </cell>
          <cell r="C3415">
            <v>56</v>
          </cell>
        </row>
        <row r="3416">
          <cell r="B3416">
            <v>3.9525462962961694E-2</v>
          </cell>
          <cell r="C3416">
            <v>56</v>
          </cell>
        </row>
        <row r="3417">
          <cell r="B3417">
            <v>3.9537037037035767E-2</v>
          </cell>
          <cell r="C3417">
            <v>56</v>
          </cell>
        </row>
        <row r="3418">
          <cell r="B3418">
            <v>3.9548611111109841E-2</v>
          </cell>
          <cell r="C3418">
            <v>56</v>
          </cell>
        </row>
        <row r="3419">
          <cell r="B3419">
            <v>3.9560185185183915E-2</v>
          </cell>
          <cell r="C3419">
            <v>56</v>
          </cell>
        </row>
        <row r="3420">
          <cell r="B3420">
            <v>3.9571759259257988E-2</v>
          </cell>
          <cell r="C3420">
            <v>56</v>
          </cell>
        </row>
        <row r="3421">
          <cell r="B3421">
            <v>3.9583333333332062E-2</v>
          </cell>
          <cell r="C3421">
            <v>57</v>
          </cell>
        </row>
        <row r="3422">
          <cell r="B3422">
            <v>3.9594907407406135E-2</v>
          </cell>
          <cell r="C3422">
            <v>57</v>
          </cell>
        </row>
        <row r="3423">
          <cell r="B3423">
            <v>3.9606481481480209E-2</v>
          </cell>
          <cell r="C3423">
            <v>57</v>
          </cell>
        </row>
        <row r="3424">
          <cell r="B3424">
            <v>3.9618055555554282E-2</v>
          </cell>
          <cell r="C3424">
            <v>57</v>
          </cell>
        </row>
        <row r="3425">
          <cell r="B3425">
            <v>3.9629629629628356E-2</v>
          </cell>
          <cell r="C3425">
            <v>57</v>
          </cell>
        </row>
        <row r="3426">
          <cell r="B3426">
            <v>3.964120370370243E-2</v>
          </cell>
          <cell r="C3426">
            <v>57</v>
          </cell>
        </row>
        <row r="3427">
          <cell r="B3427">
            <v>3.9652777777776503E-2</v>
          </cell>
          <cell r="C3427">
            <v>57</v>
          </cell>
        </row>
        <row r="3428">
          <cell r="B3428">
            <v>3.9664351851850577E-2</v>
          </cell>
          <cell r="C3428">
            <v>57</v>
          </cell>
        </row>
        <row r="3429">
          <cell r="B3429">
            <v>3.967592592592465E-2</v>
          </cell>
          <cell r="C3429">
            <v>57</v>
          </cell>
        </row>
        <row r="3430">
          <cell r="B3430">
            <v>3.9687499999998724E-2</v>
          </cell>
          <cell r="C3430">
            <v>57</v>
          </cell>
        </row>
        <row r="3431">
          <cell r="B3431">
            <v>3.9699074074072797E-2</v>
          </cell>
          <cell r="C3431">
            <v>57</v>
          </cell>
        </row>
        <row r="3432">
          <cell r="B3432">
            <v>3.9710648148146871E-2</v>
          </cell>
          <cell r="C3432">
            <v>57</v>
          </cell>
        </row>
        <row r="3433">
          <cell r="B3433">
            <v>3.9722222222220945E-2</v>
          </cell>
          <cell r="C3433">
            <v>57</v>
          </cell>
        </row>
        <row r="3434">
          <cell r="B3434">
            <v>3.9733796296295018E-2</v>
          </cell>
          <cell r="C3434">
            <v>57</v>
          </cell>
        </row>
        <row r="3435">
          <cell r="B3435">
            <v>3.9745370370369092E-2</v>
          </cell>
          <cell r="C3435">
            <v>57</v>
          </cell>
        </row>
        <row r="3436">
          <cell r="B3436">
            <v>3.9756944444443165E-2</v>
          </cell>
          <cell r="C3436">
            <v>57</v>
          </cell>
        </row>
        <row r="3437">
          <cell r="B3437">
            <v>3.9768518518517239E-2</v>
          </cell>
          <cell r="C3437">
            <v>57</v>
          </cell>
        </row>
        <row r="3438">
          <cell r="B3438">
            <v>3.9780092592591312E-2</v>
          </cell>
          <cell r="C3438">
            <v>57</v>
          </cell>
        </row>
        <row r="3439">
          <cell r="B3439">
            <v>3.9791666666665386E-2</v>
          </cell>
          <cell r="C3439">
            <v>57</v>
          </cell>
        </row>
        <row r="3440">
          <cell r="B3440">
            <v>3.980324074073946E-2</v>
          </cell>
          <cell r="C3440">
            <v>57</v>
          </cell>
        </row>
        <row r="3441">
          <cell r="B3441">
            <v>3.9814814814813533E-2</v>
          </cell>
          <cell r="C3441">
            <v>57</v>
          </cell>
        </row>
        <row r="3442">
          <cell r="B3442">
            <v>3.9826388888887607E-2</v>
          </cell>
          <cell r="C3442">
            <v>57</v>
          </cell>
        </row>
        <row r="3443">
          <cell r="B3443">
            <v>3.983796296296168E-2</v>
          </cell>
          <cell r="C3443">
            <v>57</v>
          </cell>
        </row>
        <row r="3444">
          <cell r="B3444">
            <v>3.9849537037035754E-2</v>
          </cell>
          <cell r="C3444">
            <v>57</v>
          </cell>
        </row>
        <row r="3445">
          <cell r="B3445">
            <v>3.9861111111109827E-2</v>
          </cell>
          <cell r="C3445">
            <v>57</v>
          </cell>
        </row>
        <row r="3446">
          <cell r="B3446">
            <v>3.9872685185183901E-2</v>
          </cell>
          <cell r="C3446">
            <v>57</v>
          </cell>
        </row>
        <row r="3447">
          <cell r="B3447">
            <v>3.9884259259257974E-2</v>
          </cell>
          <cell r="C3447">
            <v>57</v>
          </cell>
        </row>
        <row r="3448">
          <cell r="B3448">
            <v>3.9895833333332048E-2</v>
          </cell>
          <cell r="C3448">
            <v>57</v>
          </cell>
        </row>
        <row r="3449">
          <cell r="B3449">
            <v>3.9907407407406122E-2</v>
          </cell>
          <cell r="C3449">
            <v>57</v>
          </cell>
        </row>
        <row r="3450">
          <cell r="B3450">
            <v>3.9918981481480195E-2</v>
          </cell>
          <cell r="C3450">
            <v>57</v>
          </cell>
        </row>
        <row r="3451">
          <cell r="B3451">
            <v>3.9930555555554269E-2</v>
          </cell>
          <cell r="C3451">
            <v>57</v>
          </cell>
        </row>
        <row r="3452">
          <cell r="B3452">
            <v>3.9942129629628342E-2</v>
          </cell>
          <cell r="C3452">
            <v>57</v>
          </cell>
        </row>
        <row r="3453">
          <cell r="B3453">
            <v>3.9953703703702416E-2</v>
          </cell>
          <cell r="C3453">
            <v>57</v>
          </cell>
        </row>
        <row r="3454">
          <cell r="B3454">
            <v>3.9965277777776489E-2</v>
          </cell>
          <cell r="C3454">
            <v>57</v>
          </cell>
        </row>
        <row r="3455">
          <cell r="B3455">
            <v>3.9976851851850563E-2</v>
          </cell>
          <cell r="C3455">
            <v>57</v>
          </cell>
        </row>
        <row r="3456">
          <cell r="B3456">
            <v>3.9988425925924637E-2</v>
          </cell>
          <cell r="C3456">
            <v>57</v>
          </cell>
        </row>
        <row r="3457">
          <cell r="B3457">
            <v>3.999999999999871E-2</v>
          </cell>
          <cell r="C3457">
            <v>57</v>
          </cell>
        </row>
        <row r="3458">
          <cell r="B3458">
            <v>4.0011574074072784E-2</v>
          </cell>
          <cell r="C3458">
            <v>57</v>
          </cell>
        </row>
        <row r="3459">
          <cell r="B3459">
            <v>4.0023148148146857E-2</v>
          </cell>
          <cell r="C3459">
            <v>57</v>
          </cell>
        </row>
        <row r="3460">
          <cell r="B3460">
            <v>4.0034722222220931E-2</v>
          </cell>
          <cell r="C3460">
            <v>57</v>
          </cell>
        </row>
        <row r="3461">
          <cell r="B3461">
            <v>4.0046296296295004E-2</v>
          </cell>
          <cell r="C3461">
            <v>57</v>
          </cell>
        </row>
        <row r="3462">
          <cell r="B3462">
            <v>4.0057870370369078E-2</v>
          </cell>
          <cell r="C3462">
            <v>57</v>
          </cell>
        </row>
        <row r="3463">
          <cell r="B3463">
            <v>4.0069444444443152E-2</v>
          </cell>
          <cell r="C3463">
            <v>57</v>
          </cell>
        </row>
        <row r="3464">
          <cell r="B3464">
            <v>4.0081018518517225E-2</v>
          </cell>
          <cell r="C3464">
            <v>57</v>
          </cell>
        </row>
        <row r="3465">
          <cell r="B3465">
            <v>4.0092592592591299E-2</v>
          </cell>
          <cell r="C3465">
            <v>57</v>
          </cell>
        </row>
        <row r="3466">
          <cell r="B3466">
            <v>4.0104166666665372E-2</v>
          </cell>
          <cell r="C3466">
            <v>57</v>
          </cell>
        </row>
        <row r="3467">
          <cell r="B3467">
            <v>4.0115740740739446E-2</v>
          </cell>
          <cell r="C3467">
            <v>57</v>
          </cell>
        </row>
        <row r="3468">
          <cell r="B3468">
            <v>4.0127314814813519E-2</v>
          </cell>
          <cell r="C3468">
            <v>57</v>
          </cell>
        </row>
        <row r="3469">
          <cell r="B3469">
            <v>4.0138888888887593E-2</v>
          </cell>
          <cell r="C3469">
            <v>57</v>
          </cell>
        </row>
        <row r="3470">
          <cell r="B3470">
            <v>4.0150462962961667E-2</v>
          </cell>
          <cell r="C3470">
            <v>57</v>
          </cell>
        </row>
        <row r="3471">
          <cell r="B3471">
            <v>4.016203703703574E-2</v>
          </cell>
          <cell r="C3471">
            <v>57</v>
          </cell>
        </row>
        <row r="3472">
          <cell r="B3472">
            <v>4.0173611111109814E-2</v>
          </cell>
          <cell r="C3472">
            <v>57</v>
          </cell>
        </row>
        <row r="3473">
          <cell r="B3473">
            <v>4.0185185185183887E-2</v>
          </cell>
          <cell r="C3473">
            <v>57</v>
          </cell>
        </row>
        <row r="3474">
          <cell r="B3474">
            <v>4.0196759259257961E-2</v>
          </cell>
          <cell r="C3474">
            <v>57</v>
          </cell>
        </row>
        <row r="3475">
          <cell r="B3475">
            <v>4.0208333333332034E-2</v>
          </cell>
          <cell r="C3475">
            <v>57</v>
          </cell>
        </row>
        <row r="3476">
          <cell r="B3476">
            <v>4.0219907407406108E-2</v>
          </cell>
          <cell r="C3476">
            <v>57</v>
          </cell>
        </row>
        <row r="3477">
          <cell r="B3477">
            <v>4.0231481481480182E-2</v>
          </cell>
          <cell r="C3477">
            <v>57</v>
          </cell>
        </row>
        <row r="3478">
          <cell r="B3478">
            <v>4.0243055555554255E-2</v>
          </cell>
          <cell r="C3478">
            <v>57</v>
          </cell>
        </row>
        <row r="3479">
          <cell r="B3479">
            <v>4.0254629629628329E-2</v>
          </cell>
          <cell r="C3479">
            <v>57</v>
          </cell>
        </row>
        <row r="3480">
          <cell r="B3480">
            <v>4.0266203703702402E-2</v>
          </cell>
          <cell r="C3480">
            <v>57</v>
          </cell>
        </row>
        <row r="3481">
          <cell r="B3481">
            <v>4.0277777777776476E-2</v>
          </cell>
          <cell r="C3481">
            <v>58</v>
          </cell>
        </row>
        <row r="3482">
          <cell r="B3482">
            <v>4.0289351851850549E-2</v>
          </cell>
          <cell r="C3482">
            <v>58</v>
          </cell>
        </row>
        <row r="3483">
          <cell r="B3483">
            <v>4.0300925925924623E-2</v>
          </cell>
          <cell r="C3483">
            <v>58</v>
          </cell>
        </row>
        <row r="3484">
          <cell r="B3484">
            <v>4.0312499999998697E-2</v>
          </cell>
          <cell r="C3484">
            <v>58</v>
          </cell>
        </row>
        <row r="3485">
          <cell r="B3485">
            <v>4.032407407407277E-2</v>
          </cell>
          <cell r="C3485">
            <v>58</v>
          </cell>
        </row>
        <row r="3486">
          <cell r="B3486">
            <v>4.0335648148146844E-2</v>
          </cell>
          <cell r="C3486">
            <v>58</v>
          </cell>
        </row>
        <row r="3487">
          <cell r="B3487">
            <v>4.0347222222220917E-2</v>
          </cell>
          <cell r="C3487">
            <v>58</v>
          </cell>
        </row>
        <row r="3488">
          <cell r="B3488">
            <v>4.0358796296294991E-2</v>
          </cell>
          <cell r="C3488">
            <v>58</v>
          </cell>
        </row>
        <row r="3489">
          <cell r="B3489">
            <v>4.0370370370369064E-2</v>
          </cell>
          <cell r="C3489">
            <v>58</v>
          </cell>
        </row>
        <row r="3490">
          <cell r="B3490">
            <v>4.0381944444443138E-2</v>
          </cell>
          <cell r="C3490">
            <v>58</v>
          </cell>
        </row>
        <row r="3491">
          <cell r="B3491">
            <v>4.0393518518517212E-2</v>
          </cell>
          <cell r="C3491">
            <v>58</v>
          </cell>
        </row>
        <row r="3492">
          <cell r="B3492">
            <v>4.0405092592591285E-2</v>
          </cell>
          <cell r="C3492">
            <v>58</v>
          </cell>
        </row>
        <row r="3493">
          <cell r="B3493">
            <v>4.0416666666665359E-2</v>
          </cell>
          <cell r="C3493">
            <v>58</v>
          </cell>
        </row>
        <row r="3494">
          <cell r="B3494">
            <v>4.0428240740739432E-2</v>
          </cell>
          <cell r="C3494">
            <v>58</v>
          </cell>
        </row>
        <row r="3495">
          <cell r="B3495">
            <v>4.0439814814813506E-2</v>
          </cell>
          <cell r="C3495">
            <v>58</v>
          </cell>
        </row>
        <row r="3496">
          <cell r="B3496">
            <v>4.0451388888887579E-2</v>
          </cell>
          <cell r="C3496">
            <v>58</v>
          </cell>
        </row>
        <row r="3497">
          <cell r="B3497">
            <v>4.0462962962961653E-2</v>
          </cell>
          <cell r="C3497">
            <v>58</v>
          </cell>
        </row>
        <row r="3498">
          <cell r="B3498">
            <v>4.0474537037035727E-2</v>
          </cell>
          <cell r="C3498">
            <v>58</v>
          </cell>
        </row>
        <row r="3499">
          <cell r="B3499">
            <v>4.04861111111098E-2</v>
          </cell>
          <cell r="C3499">
            <v>58</v>
          </cell>
        </row>
        <row r="3500">
          <cell r="B3500">
            <v>4.0497685185183874E-2</v>
          </cell>
          <cell r="C3500">
            <v>58</v>
          </cell>
        </row>
        <row r="3501">
          <cell r="B3501">
            <v>4.0509259259257947E-2</v>
          </cell>
          <cell r="C3501">
            <v>58</v>
          </cell>
        </row>
        <row r="3502">
          <cell r="B3502">
            <v>4.0520833333332021E-2</v>
          </cell>
          <cell r="C3502">
            <v>58</v>
          </cell>
        </row>
        <row r="3503">
          <cell r="B3503">
            <v>4.0532407407406094E-2</v>
          </cell>
          <cell r="C3503">
            <v>58</v>
          </cell>
        </row>
        <row r="3504">
          <cell r="B3504">
            <v>4.0543981481480168E-2</v>
          </cell>
          <cell r="C3504">
            <v>58</v>
          </cell>
        </row>
        <row r="3505">
          <cell r="B3505">
            <v>4.0555555555554242E-2</v>
          </cell>
          <cell r="C3505">
            <v>58</v>
          </cell>
        </row>
        <row r="3506">
          <cell r="B3506">
            <v>4.0567129629628315E-2</v>
          </cell>
          <cell r="C3506">
            <v>58</v>
          </cell>
        </row>
        <row r="3507">
          <cell r="B3507">
            <v>4.0578703703702389E-2</v>
          </cell>
          <cell r="C3507">
            <v>58</v>
          </cell>
        </row>
        <row r="3508">
          <cell r="B3508">
            <v>4.0590277777776462E-2</v>
          </cell>
          <cell r="C3508">
            <v>58</v>
          </cell>
        </row>
        <row r="3509">
          <cell r="B3509">
            <v>4.0601851851850536E-2</v>
          </cell>
          <cell r="C3509">
            <v>58</v>
          </cell>
        </row>
        <row r="3510">
          <cell r="B3510">
            <v>4.0613425925924609E-2</v>
          </cell>
          <cell r="C3510">
            <v>58</v>
          </cell>
        </row>
        <row r="3511">
          <cell r="B3511">
            <v>4.0624999999998683E-2</v>
          </cell>
          <cell r="C3511">
            <v>58</v>
          </cell>
        </row>
        <row r="3512">
          <cell r="B3512">
            <v>4.0636574074072757E-2</v>
          </cell>
          <cell r="C3512">
            <v>58</v>
          </cell>
        </row>
        <row r="3513">
          <cell r="B3513">
            <v>4.064814814814683E-2</v>
          </cell>
          <cell r="C3513">
            <v>58</v>
          </cell>
        </row>
        <row r="3514">
          <cell r="B3514">
            <v>4.0659722222220904E-2</v>
          </cell>
          <cell r="C3514">
            <v>58</v>
          </cell>
        </row>
        <row r="3515">
          <cell r="B3515">
            <v>4.0671296296294977E-2</v>
          </cell>
          <cell r="C3515">
            <v>58</v>
          </cell>
        </row>
        <row r="3516">
          <cell r="B3516">
            <v>4.0682870370369051E-2</v>
          </cell>
          <cell r="C3516">
            <v>58</v>
          </cell>
        </row>
        <row r="3517">
          <cell r="B3517">
            <v>4.0694444444443124E-2</v>
          </cell>
          <cell r="C3517">
            <v>58</v>
          </cell>
        </row>
        <row r="3518">
          <cell r="B3518">
            <v>4.0706018518517198E-2</v>
          </cell>
          <cell r="C3518">
            <v>58</v>
          </cell>
        </row>
        <row r="3519">
          <cell r="B3519">
            <v>4.0717592592591272E-2</v>
          </cell>
          <cell r="C3519">
            <v>58</v>
          </cell>
        </row>
        <row r="3520">
          <cell r="B3520">
            <v>4.0729166666665345E-2</v>
          </cell>
          <cell r="C3520">
            <v>58</v>
          </cell>
        </row>
        <row r="3521">
          <cell r="B3521">
            <v>4.0740740740739419E-2</v>
          </cell>
          <cell r="C3521">
            <v>58</v>
          </cell>
        </row>
        <row r="3522">
          <cell r="B3522">
            <v>4.0752314814813492E-2</v>
          </cell>
          <cell r="C3522">
            <v>58</v>
          </cell>
        </row>
        <row r="3523">
          <cell r="B3523">
            <v>4.0763888888887566E-2</v>
          </cell>
          <cell r="C3523">
            <v>58</v>
          </cell>
        </row>
        <row r="3524">
          <cell r="B3524">
            <v>4.0775462962961639E-2</v>
          </cell>
          <cell r="C3524">
            <v>58</v>
          </cell>
        </row>
        <row r="3525">
          <cell r="B3525">
            <v>4.0787037037035713E-2</v>
          </cell>
          <cell r="C3525">
            <v>58</v>
          </cell>
        </row>
        <row r="3526">
          <cell r="B3526">
            <v>4.0798611111109787E-2</v>
          </cell>
          <cell r="C3526">
            <v>58</v>
          </cell>
        </row>
        <row r="3527">
          <cell r="B3527">
            <v>4.081018518518386E-2</v>
          </cell>
          <cell r="C3527">
            <v>58</v>
          </cell>
        </row>
        <row r="3528">
          <cell r="B3528">
            <v>4.0821759259257934E-2</v>
          </cell>
          <cell r="C3528">
            <v>58</v>
          </cell>
        </row>
        <row r="3529">
          <cell r="B3529">
            <v>4.0833333333332007E-2</v>
          </cell>
          <cell r="C3529">
            <v>58</v>
          </cell>
        </row>
        <row r="3530">
          <cell r="B3530">
            <v>4.0844907407406081E-2</v>
          </cell>
          <cell r="C3530">
            <v>58</v>
          </cell>
        </row>
        <row r="3531">
          <cell r="B3531">
            <v>4.0856481481480154E-2</v>
          </cell>
          <cell r="C3531">
            <v>58</v>
          </cell>
        </row>
        <row r="3532">
          <cell r="B3532">
            <v>4.0868055555554228E-2</v>
          </cell>
          <cell r="C3532">
            <v>58</v>
          </cell>
        </row>
        <row r="3533">
          <cell r="B3533">
            <v>4.0879629629628302E-2</v>
          </cell>
          <cell r="C3533">
            <v>58</v>
          </cell>
        </row>
        <row r="3534">
          <cell r="B3534">
            <v>4.0891203703702375E-2</v>
          </cell>
          <cell r="C3534">
            <v>58</v>
          </cell>
        </row>
        <row r="3535">
          <cell r="B3535">
            <v>4.0902777777776449E-2</v>
          </cell>
          <cell r="C3535">
            <v>58</v>
          </cell>
        </row>
        <row r="3536">
          <cell r="B3536">
            <v>4.0914351851850522E-2</v>
          </cell>
          <cell r="C3536">
            <v>58</v>
          </cell>
        </row>
        <row r="3537">
          <cell r="B3537">
            <v>4.0925925925924596E-2</v>
          </cell>
          <cell r="C3537">
            <v>58</v>
          </cell>
        </row>
        <row r="3538">
          <cell r="B3538">
            <v>4.0937499999998669E-2</v>
          </cell>
          <cell r="C3538">
            <v>58</v>
          </cell>
        </row>
        <row r="3539">
          <cell r="B3539">
            <v>4.0949074074072743E-2</v>
          </cell>
          <cell r="C3539">
            <v>58</v>
          </cell>
        </row>
        <row r="3540">
          <cell r="B3540">
            <v>4.0960648148146817E-2</v>
          </cell>
          <cell r="C3540">
            <v>58</v>
          </cell>
        </row>
        <row r="3541">
          <cell r="B3541">
            <v>4.097222222222089E-2</v>
          </cell>
          <cell r="C3541">
            <v>59</v>
          </cell>
        </row>
        <row r="3542">
          <cell r="B3542">
            <v>4.0983796296294964E-2</v>
          </cell>
          <cell r="C3542">
            <v>59</v>
          </cell>
        </row>
        <row r="3543">
          <cell r="B3543">
            <v>4.0995370370369037E-2</v>
          </cell>
          <cell r="C3543">
            <v>59</v>
          </cell>
        </row>
        <row r="3544">
          <cell r="B3544">
            <v>4.1006944444443111E-2</v>
          </cell>
          <cell r="C3544">
            <v>59</v>
          </cell>
        </row>
        <row r="3545">
          <cell r="B3545">
            <v>4.1018518518517184E-2</v>
          </cell>
          <cell r="C3545">
            <v>59</v>
          </cell>
        </row>
        <row r="3546">
          <cell r="B3546">
            <v>4.1030092592591258E-2</v>
          </cell>
          <cell r="C3546">
            <v>59</v>
          </cell>
        </row>
        <row r="3547">
          <cell r="B3547">
            <v>4.1041666666665332E-2</v>
          </cell>
          <cell r="C3547">
            <v>59</v>
          </cell>
        </row>
        <row r="3548">
          <cell r="B3548">
            <v>4.1053240740739405E-2</v>
          </cell>
          <cell r="C3548">
            <v>59</v>
          </cell>
        </row>
        <row r="3549">
          <cell r="B3549">
            <v>4.1064814814813479E-2</v>
          </cell>
          <cell r="C3549">
            <v>59</v>
          </cell>
        </row>
        <row r="3550">
          <cell r="B3550">
            <v>4.1076388888887552E-2</v>
          </cell>
          <cell r="C3550">
            <v>59</v>
          </cell>
        </row>
        <row r="3551">
          <cell r="B3551">
            <v>4.1087962962961626E-2</v>
          </cell>
          <cell r="C3551">
            <v>59</v>
          </cell>
        </row>
        <row r="3552">
          <cell r="B3552">
            <v>4.1099537037035699E-2</v>
          </cell>
          <cell r="C3552">
            <v>59</v>
          </cell>
        </row>
        <row r="3553">
          <cell r="B3553">
            <v>4.1111111111109773E-2</v>
          </cell>
          <cell r="C3553">
            <v>59</v>
          </cell>
        </row>
        <row r="3554">
          <cell r="B3554">
            <v>4.1122685185183847E-2</v>
          </cell>
          <cell r="C3554">
            <v>59</v>
          </cell>
        </row>
        <row r="3555">
          <cell r="B3555">
            <v>4.113425925925792E-2</v>
          </cell>
          <cell r="C3555">
            <v>59</v>
          </cell>
        </row>
        <row r="3556">
          <cell r="B3556">
            <v>4.1145833333331994E-2</v>
          </cell>
          <cell r="C3556">
            <v>59</v>
          </cell>
        </row>
        <row r="3557">
          <cell r="B3557">
            <v>4.1157407407406067E-2</v>
          </cell>
          <cell r="C3557">
            <v>59</v>
          </cell>
        </row>
        <row r="3558">
          <cell r="B3558">
            <v>4.1168981481480141E-2</v>
          </cell>
          <cell r="C3558">
            <v>59</v>
          </cell>
        </row>
        <row r="3559">
          <cell r="B3559">
            <v>4.1180555555554214E-2</v>
          </cell>
          <cell r="C3559">
            <v>59</v>
          </cell>
        </row>
        <row r="3560">
          <cell r="B3560">
            <v>4.1192129629628288E-2</v>
          </cell>
          <cell r="C3560">
            <v>59</v>
          </cell>
        </row>
        <row r="3561">
          <cell r="B3561">
            <v>4.1203703703702362E-2</v>
          </cell>
          <cell r="C3561">
            <v>59</v>
          </cell>
        </row>
        <row r="3562">
          <cell r="B3562">
            <v>4.1215277777776435E-2</v>
          </cell>
          <cell r="C3562">
            <v>59</v>
          </cell>
        </row>
        <row r="3563">
          <cell r="B3563">
            <v>4.1226851851850509E-2</v>
          </cell>
          <cell r="C3563">
            <v>59</v>
          </cell>
        </row>
        <row r="3564">
          <cell r="B3564">
            <v>4.1238425925924582E-2</v>
          </cell>
          <cell r="C3564">
            <v>59</v>
          </cell>
        </row>
        <row r="3565">
          <cell r="B3565">
            <v>4.1249999999998656E-2</v>
          </cell>
          <cell r="C3565">
            <v>59</v>
          </cell>
        </row>
        <row r="3566">
          <cell r="B3566">
            <v>4.1261574074072729E-2</v>
          </cell>
          <cell r="C3566">
            <v>59</v>
          </cell>
        </row>
        <row r="3567">
          <cell r="B3567">
            <v>4.1273148148146803E-2</v>
          </cell>
          <cell r="C3567">
            <v>59</v>
          </cell>
        </row>
        <row r="3568">
          <cell r="B3568">
            <v>4.1284722222220877E-2</v>
          </cell>
          <cell r="C3568">
            <v>59</v>
          </cell>
        </row>
        <row r="3569">
          <cell r="B3569">
            <v>4.129629629629495E-2</v>
          </cell>
          <cell r="C3569">
            <v>59</v>
          </cell>
        </row>
        <row r="3570">
          <cell r="B3570">
            <v>4.1307870370369024E-2</v>
          </cell>
          <cell r="C3570">
            <v>59</v>
          </cell>
        </row>
        <row r="3571">
          <cell r="B3571">
            <v>4.1319444444443097E-2</v>
          </cell>
          <cell r="C3571">
            <v>59</v>
          </cell>
        </row>
        <row r="3572">
          <cell r="B3572">
            <v>4.1331018518517171E-2</v>
          </cell>
          <cell r="C3572">
            <v>59</v>
          </cell>
        </row>
        <row r="3573">
          <cell r="B3573">
            <v>4.1342592592591244E-2</v>
          </cell>
          <cell r="C3573">
            <v>59</v>
          </cell>
        </row>
        <row r="3574">
          <cell r="B3574">
            <v>4.1354166666665318E-2</v>
          </cell>
          <cell r="C3574">
            <v>59</v>
          </cell>
        </row>
        <row r="3575">
          <cell r="B3575">
            <v>4.1365740740739392E-2</v>
          </cell>
          <cell r="C3575">
            <v>59</v>
          </cell>
        </row>
        <row r="3576">
          <cell r="B3576">
            <v>4.1377314814813465E-2</v>
          </cell>
          <cell r="C3576">
            <v>59</v>
          </cell>
        </row>
        <row r="3577">
          <cell r="B3577">
            <v>4.1388888888887539E-2</v>
          </cell>
          <cell r="C3577">
            <v>59</v>
          </cell>
        </row>
        <row r="3578">
          <cell r="B3578">
            <v>4.1400462962961612E-2</v>
          </cell>
          <cell r="C3578">
            <v>59</v>
          </cell>
        </row>
        <row r="3579">
          <cell r="B3579">
            <v>4.1412037037035686E-2</v>
          </cell>
          <cell r="C3579">
            <v>59</v>
          </cell>
        </row>
        <row r="3580">
          <cell r="B3580">
            <v>4.1423611111109759E-2</v>
          </cell>
          <cell r="C3580">
            <v>59</v>
          </cell>
        </row>
        <row r="3581">
          <cell r="B3581">
            <v>4.1435185185183833E-2</v>
          </cell>
          <cell r="C3581">
            <v>59</v>
          </cell>
        </row>
        <row r="3582">
          <cell r="B3582">
            <v>4.1446759259257906E-2</v>
          </cell>
          <cell r="C3582">
            <v>59</v>
          </cell>
        </row>
        <row r="3583">
          <cell r="B3583">
            <v>4.145833333333198E-2</v>
          </cell>
          <cell r="C3583">
            <v>59</v>
          </cell>
        </row>
        <row r="3584">
          <cell r="B3584">
            <v>4.1469907407406054E-2</v>
          </cell>
          <cell r="C3584">
            <v>59</v>
          </cell>
        </row>
        <row r="3585">
          <cell r="B3585">
            <v>4.1481481481480127E-2</v>
          </cell>
          <cell r="C3585">
            <v>59</v>
          </cell>
        </row>
        <row r="3586">
          <cell r="B3586">
            <v>4.1493055555554201E-2</v>
          </cell>
          <cell r="C3586">
            <v>59</v>
          </cell>
        </row>
        <row r="3587">
          <cell r="B3587">
            <v>4.1504629629628274E-2</v>
          </cell>
          <cell r="C3587">
            <v>59</v>
          </cell>
        </row>
        <row r="3588">
          <cell r="B3588">
            <v>4.1516203703702348E-2</v>
          </cell>
          <cell r="C3588">
            <v>59</v>
          </cell>
        </row>
        <row r="3589">
          <cell r="B3589">
            <v>4.1527777777776421E-2</v>
          </cell>
          <cell r="C3589">
            <v>59</v>
          </cell>
        </row>
        <row r="3590">
          <cell r="B3590">
            <v>4.1539351851850495E-2</v>
          </cell>
          <cell r="C3590">
            <v>59</v>
          </cell>
        </row>
        <row r="3591">
          <cell r="B3591">
            <v>4.1550925925924569E-2</v>
          </cell>
          <cell r="C3591">
            <v>59</v>
          </cell>
        </row>
        <row r="3592">
          <cell r="B3592">
            <v>4.1562499999998642E-2</v>
          </cell>
          <cell r="C3592">
            <v>59</v>
          </cell>
        </row>
        <row r="3593">
          <cell r="B3593">
            <v>4.1574074074072716E-2</v>
          </cell>
          <cell r="C3593">
            <v>59</v>
          </cell>
        </row>
        <row r="3594">
          <cell r="B3594">
            <v>4.1585648148146789E-2</v>
          </cell>
          <cell r="C3594">
            <v>59</v>
          </cell>
        </row>
        <row r="3595">
          <cell r="B3595">
            <v>4.1597222222220863E-2</v>
          </cell>
          <cell r="C3595">
            <v>59</v>
          </cell>
        </row>
        <row r="3596">
          <cell r="B3596">
            <v>4.1608796296294936E-2</v>
          </cell>
          <cell r="C3596">
            <v>59</v>
          </cell>
        </row>
        <row r="3597">
          <cell r="B3597">
            <v>4.162037037036901E-2</v>
          </cell>
          <cell r="C3597">
            <v>59</v>
          </cell>
        </row>
        <row r="3598">
          <cell r="B3598">
            <v>4.1631944444443084E-2</v>
          </cell>
          <cell r="C3598">
            <v>59</v>
          </cell>
        </row>
        <row r="3599">
          <cell r="B3599">
            <v>4.1643518518517157E-2</v>
          </cell>
          <cell r="C3599">
            <v>59</v>
          </cell>
        </row>
        <row r="3600">
          <cell r="B3600">
            <v>4.1655092592591231E-2</v>
          </cell>
          <cell r="C3600">
            <v>59</v>
          </cell>
        </row>
        <row r="3601">
          <cell r="B3601">
            <v>4.1666666666665304E-2</v>
          </cell>
          <cell r="C3601">
            <v>60</v>
          </cell>
        </row>
        <row r="3602">
          <cell r="B3602">
            <v>4.1678240740739378E-2</v>
          </cell>
          <cell r="C3602">
            <v>60</v>
          </cell>
        </row>
        <row r="3603">
          <cell r="B3603">
            <v>4.1689814814813451E-2</v>
          </cell>
          <cell r="C3603">
            <v>60</v>
          </cell>
        </row>
        <row r="3604">
          <cell r="B3604">
            <v>4.1701388888887525E-2</v>
          </cell>
          <cell r="C3604">
            <v>60</v>
          </cell>
        </row>
        <row r="3605">
          <cell r="B3605">
            <v>4.1712962962961599E-2</v>
          </cell>
          <cell r="C3605">
            <v>60</v>
          </cell>
        </row>
        <row r="3606">
          <cell r="B3606">
            <v>4.1724537037035672E-2</v>
          </cell>
          <cell r="C3606">
            <v>60</v>
          </cell>
        </row>
        <row r="3607">
          <cell r="B3607">
            <v>4.1736111111109746E-2</v>
          </cell>
          <cell r="C3607">
            <v>60</v>
          </cell>
        </row>
        <row r="3608">
          <cell r="B3608">
            <v>4.1747685185183819E-2</v>
          </cell>
          <cell r="C3608">
            <v>60</v>
          </cell>
        </row>
        <row r="3609">
          <cell r="B3609">
            <v>4.1759259259257893E-2</v>
          </cell>
          <cell r="C3609">
            <v>60</v>
          </cell>
        </row>
        <row r="3610">
          <cell r="B3610">
            <v>4.1770833333331966E-2</v>
          </cell>
          <cell r="C3610">
            <v>60</v>
          </cell>
        </row>
        <row r="3611">
          <cell r="B3611">
            <v>4.178240740740604E-2</v>
          </cell>
          <cell r="C3611">
            <v>60</v>
          </cell>
        </row>
        <row r="3612">
          <cell r="B3612">
            <v>4.1793981481480114E-2</v>
          </cell>
          <cell r="C3612">
            <v>60</v>
          </cell>
        </row>
        <row r="3613">
          <cell r="B3613">
            <v>4.1805555555554187E-2</v>
          </cell>
          <cell r="C3613">
            <v>60</v>
          </cell>
        </row>
        <row r="3614">
          <cell r="B3614">
            <v>4.1817129629628261E-2</v>
          </cell>
          <cell r="C3614">
            <v>60</v>
          </cell>
        </row>
        <row r="3615">
          <cell r="B3615">
            <v>4.1828703703702334E-2</v>
          </cell>
          <cell r="C3615">
            <v>60</v>
          </cell>
        </row>
        <row r="3616">
          <cell r="B3616">
            <v>4.1840277777776408E-2</v>
          </cell>
          <cell r="C3616">
            <v>60</v>
          </cell>
        </row>
        <row r="3617">
          <cell r="B3617">
            <v>4.1851851851850481E-2</v>
          </cell>
          <cell r="C3617">
            <v>60</v>
          </cell>
        </row>
        <row r="3618">
          <cell r="B3618">
            <v>4.1863425925924555E-2</v>
          </cell>
          <cell r="C3618">
            <v>60</v>
          </cell>
        </row>
        <row r="3619">
          <cell r="B3619">
            <v>4.1874999999998629E-2</v>
          </cell>
          <cell r="C3619">
            <v>60</v>
          </cell>
        </row>
        <row r="3620">
          <cell r="B3620">
            <v>4.1886574074072702E-2</v>
          </cell>
          <cell r="C3620">
            <v>60</v>
          </cell>
        </row>
        <row r="3621">
          <cell r="B3621">
            <v>4.1898148148146776E-2</v>
          </cell>
          <cell r="C3621">
            <v>60</v>
          </cell>
        </row>
        <row r="3622">
          <cell r="B3622">
            <v>4.1909722222220849E-2</v>
          </cell>
          <cell r="C3622">
            <v>60</v>
          </cell>
        </row>
        <row r="3623">
          <cell r="B3623">
            <v>4.1921296296294923E-2</v>
          </cell>
          <cell r="C3623">
            <v>60</v>
          </cell>
        </row>
        <row r="3624">
          <cell r="B3624">
            <v>4.1932870370368996E-2</v>
          </cell>
          <cell r="C3624">
            <v>60</v>
          </cell>
        </row>
        <row r="3625">
          <cell r="B3625">
            <v>4.194444444444307E-2</v>
          </cell>
          <cell r="C3625">
            <v>60</v>
          </cell>
        </row>
        <row r="3626">
          <cell r="B3626">
            <v>4.1956018518517144E-2</v>
          </cell>
          <cell r="C3626">
            <v>60</v>
          </cell>
        </row>
        <row r="3627">
          <cell r="B3627">
            <v>4.1967592592591217E-2</v>
          </cell>
          <cell r="C3627">
            <v>60</v>
          </cell>
        </row>
        <row r="3628">
          <cell r="B3628">
            <v>4.1979166666665291E-2</v>
          </cell>
          <cell r="C3628">
            <v>60</v>
          </cell>
        </row>
        <row r="3629">
          <cell r="B3629">
            <v>4.1990740740739364E-2</v>
          </cell>
          <cell r="C3629">
            <v>60</v>
          </cell>
        </row>
        <row r="3630">
          <cell r="B3630">
            <v>4.2002314814813438E-2</v>
          </cell>
          <cell r="C3630">
            <v>60</v>
          </cell>
        </row>
        <row r="3631">
          <cell r="B3631">
            <v>4.2013888888887511E-2</v>
          </cell>
          <cell r="C3631">
            <v>60</v>
          </cell>
        </row>
        <row r="3632">
          <cell r="B3632">
            <v>4.2025462962961585E-2</v>
          </cell>
          <cell r="C3632">
            <v>60</v>
          </cell>
        </row>
        <row r="3633">
          <cell r="B3633">
            <v>4.2037037037035659E-2</v>
          </cell>
          <cell r="C3633">
            <v>60</v>
          </cell>
        </row>
        <row r="3634">
          <cell r="B3634">
            <v>4.2048611111109732E-2</v>
          </cell>
          <cell r="C3634">
            <v>60</v>
          </cell>
        </row>
        <row r="3635">
          <cell r="B3635">
            <v>4.2060185185183806E-2</v>
          </cell>
          <cell r="C3635">
            <v>60</v>
          </cell>
        </row>
        <row r="3636">
          <cell r="B3636">
            <v>4.2071759259257879E-2</v>
          </cell>
          <cell r="C3636">
            <v>60</v>
          </cell>
        </row>
        <row r="3637">
          <cell r="B3637">
            <v>4.2083333333331953E-2</v>
          </cell>
          <cell r="C3637">
            <v>60</v>
          </cell>
        </row>
        <row r="3638">
          <cell r="B3638">
            <v>4.2094907407406026E-2</v>
          </cell>
          <cell r="C3638">
            <v>60</v>
          </cell>
        </row>
        <row r="3639">
          <cell r="B3639">
            <v>4.21064814814801E-2</v>
          </cell>
          <cell r="C3639">
            <v>60</v>
          </cell>
        </row>
        <row r="3640">
          <cell r="B3640">
            <v>4.2118055555554174E-2</v>
          </cell>
          <cell r="C3640">
            <v>60</v>
          </cell>
        </row>
        <row r="3641">
          <cell r="B3641">
            <v>4.2129629629628247E-2</v>
          </cell>
          <cell r="C3641">
            <v>60</v>
          </cell>
        </row>
        <row r="3642">
          <cell r="B3642">
            <v>4.2141203703702321E-2</v>
          </cell>
          <cell r="C3642">
            <v>60</v>
          </cell>
        </row>
        <row r="3643">
          <cell r="B3643">
            <v>4.2152777777776394E-2</v>
          </cell>
          <cell r="C3643">
            <v>60</v>
          </cell>
        </row>
        <row r="3644">
          <cell r="B3644">
            <v>4.2164351851850468E-2</v>
          </cell>
          <cell r="C3644">
            <v>60</v>
          </cell>
        </row>
        <row r="3645">
          <cell r="B3645">
            <v>4.2175925925924541E-2</v>
          </cell>
          <cell r="C3645">
            <v>60</v>
          </cell>
        </row>
        <row r="3646">
          <cell r="B3646">
            <v>4.2187499999998615E-2</v>
          </cell>
          <cell r="C3646">
            <v>60</v>
          </cell>
        </row>
        <row r="3647">
          <cell r="B3647">
            <v>4.2199074074072689E-2</v>
          </cell>
          <cell r="C3647">
            <v>60</v>
          </cell>
        </row>
        <row r="3648">
          <cell r="B3648">
            <v>4.2210648148146762E-2</v>
          </cell>
          <cell r="C3648">
            <v>60</v>
          </cell>
        </row>
        <row r="3649">
          <cell r="B3649">
            <v>4.2222222222220836E-2</v>
          </cell>
          <cell r="C3649">
            <v>60</v>
          </cell>
        </row>
        <row r="3650">
          <cell r="B3650">
            <v>4.2233796296294909E-2</v>
          </cell>
          <cell r="C3650">
            <v>60</v>
          </cell>
        </row>
        <row r="3651">
          <cell r="B3651">
            <v>4.2245370370368983E-2</v>
          </cell>
          <cell r="C3651">
            <v>60</v>
          </cell>
        </row>
        <row r="3652">
          <cell r="B3652">
            <v>4.2256944444443056E-2</v>
          </cell>
          <cell r="C3652">
            <v>60</v>
          </cell>
        </row>
        <row r="3653">
          <cell r="B3653">
            <v>4.226851851851713E-2</v>
          </cell>
          <cell r="C3653">
            <v>60</v>
          </cell>
        </row>
        <row r="3654">
          <cell r="B3654">
            <v>4.2280092592591204E-2</v>
          </cell>
          <cell r="C3654">
            <v>60</v>
          </cell>
        </row>
        <row r="3655">
          <cell r="B3655">
            <v>4.2291666666665277E-2</v>
          </cell>
          <cell r="C3655">
            <v>60</v>
          </cell>
        </row>
        <row r="3656">
          <cell r="B3656">
            <v>4.2303240740739351E-2</v>
          </cell>
          <cell r="C3656">
            <v>60</v>
          </cell>
        </row>
        <row r="3657">
          <cell r="B3657">
            <v>4.2314814814813424E-2</v>
          </cell>
          <cell r="C3657">
            <v>60</v>
          </cell>
        </row>
        <row r="3658">
          <cell r="B3658">
            <v>4.2326388888887498E-2</v>
          </cell>
          <cell r="C3658">
            <v>60</v>
          </cell>
        </row>
        <row r="3659">
          <cell r="B3659">
            <v>4.2337962962961571E-2</v>
          </cell>
          <cell r="C3659">
            <v>60</v>
          </cell>
        </row>
        <row r="3660">
          <cell r="B3660">
            <v>4.2349537037035645E-2</v>
          </cell>
          <cell r="C3660">
            <v>60</v>
          </cell>
        </row>
        <row r="3661">
          <cell r="B3661">
            <v>4.2361111111109719E-2</v>
          </cell>
          <cell r="C3661">
            <v>61</v>
          </cell>
        </row>
        <row r="3662">
          <cell r="B3662">
            <v>4.2372685185183792E-2</v>
          </cell>
          <cell r="C3662">
            <v>61</v>
          </cell>
        </row>
        <row r="3663">
          <cell r="B3663">
            <v>4.2384259259257866E-2</v>
          </cell>
          <cell r="C3663">
            <v>61</v>
          </cell>
        </row>
        <row r="3664">
          <cell r="B3664">
            <v>4.2395833333331939E-2</v>
          </cell>
          <cell r="C3664">
            <v>61</v>
          </cell>
        </row>
        <row r="3665">
          <cell r="B3665">
            <v>4.2407407407406013E-2</v>
          </cell>
          <cell r="C3665">
            <v>61</v>
          </cell>
        </row>
        <row r="3666">
          <cell r="B3666">
            <v>4.2418981481480086E-2</v>
          </cell>
          <cell r="C3666">
            <v>61</v>
          </cell>
        </row>
        <row r="3667">
          <cell r="B3667">
            <v>4.243055555555416E-2</v>
          </cell>
          <cell r="C3667">
            <v>61</v>
          </cell>
        </row>
        <row r="3668">
          <cell r="B3668">
            <v>4.2442129629628234E-2</v>
          </cell>
          <cell r="C3668">
            <v>61</v>
          </cell>
        </row>
        <row r="3669">
          <cell r="B3669">
            <v>4.2453703703702307E-2</v>
          </cell>
          <cell r="C3669">
            <v>61</v>
          </cell>
        </row>
        <row r="3670">
          <cell r="B3670">
            <v>4.2465277777776381E-2</v>
          </cell>
          <cell r="C3670">
            <v>61</v>
          </cell>
        </row>
        <row r="3671">
          <cell r="B3671">
            <v>4.2476851851850454E-2</v>
          </cell>
          <cell r="C3671">
            <v>61</v>
          </cell>
        </row>
        <row r="3672">
          <cell r="B3672">
            <v>4.2488425925924528E-2</v>
          </cell>
          <cell r="C3672">
            <v>61</v>
          </cell>
        </row>
        <row r="3673">
          <cell r="B3673">
            <v>4.2499999999998601E-2</v>
          </cell>
          <cell r="C3673">
            <v>61</v>
          </cell>
        </row>
        <row r="3674">
          <cell r="B3674">
            <v>4.2511574074072675E-2</v>
          </cell>
          <cell r="C3674">
            <v>61</v>
          </cell>
        </row>
        <row r="3675">
          <cell r="B3675">
            <v>4.2523148148146749E-2</v>
          </cell>
          <cell r="C3675">
            <v>61</v>
          </cell>
        </row>
        <row r="3676">
          <cell r="B3676">
            <v>4.2534722222220822E-2</v>
          </cell>
          <cell r="C3676">
            <v>61</v>
          </cell>
        </row>
        <row r="3677">
          <cell r="B3677">
            <v>4.2546296296294896E-2</v>
          </cell>
          <cell r="C3677">
            <v>61</v>
          </cell>
        </row>
        <row r="3678">
          <cell r="B3678">
            <v>4.2557870370368969E-2</v>
          </cell>
          <cell r="C3678">
            <v>61</v>
          </cell>
        </row>
        <row r="3679">
          <cell r="B3679">
            <v>4.2569444444443043E-2</v>
          </cell>
          <cell r="C3679">
            <v>61</v>
          </cell>
        </row>
        <row r="3680">
          <cell r="B3680">
            <v>4.2581018518517116E-2</v>
          </cell>
          <cell r="C3680">
            <v>61</v>
          </cell>
        </row>
        <row r="3681">
          <cell r="B3681">
            <v>4.259259259259119E-2</v>
          </cell>
          <cell r="C3681">
            <v>61</v>
          </cell>
        </row>
        <row r="3682">
          <cell r="B3682">
            <v>4.2604166666665264E-2</v>
          </cell>
          <cell r="C3682">
            <v>61</v>
          </cell>
        </row>
        <row r="3683">
          <cell r="B3683">
            <v>4.2615740740739337E-2</v>
          </cell>
          <cell r="C3683">
            <v>61</v>
          </cell>
        </row>
        <row r="3684">
          <cell r="B3684">
            <v>4.2627314814813411E-2</v>
          </cell>
          <cell r="C3684">
            <v>61</v>
          </cell>
        </row>
        <row r="3685">
          <cell r="B3685">
            <v>4.2638888888887484E-2</v>
          </cell>
          <cell r="C3685">
            <v>61</v>
          </cell>
        </row>
        <row r="3686">
          <cell r="B3686">
            <v>4.2650462962961558E-2</v>
          </cell>
          <cell r="C3686">
            <v>61</v>
          </cell>
        </row>
        <row r="3687">
          <cell r="B3687">
            <v>4.2662037037035631E-2</v>
          </cell>
          <cell r="C3687">
            <v>61</v>
          </cell>
        </row>
        <row r="3688">
          <cell r="B3688">
            <v>4.2673611111109705E-2</v>
          </cell>
          <cell r="C3688">
            <v>61</v>
          </cell>
        </row>
        <row r="3689">
          <cell r="B3689">
            <v>4.2685185185183779E-2</v>
          </cell>
          <cell r="C3689">
            <v>61</v>
          </cell>
        </row>
        <row r="3690">
          <cell r="B3690">
            <v>4.2696759259257852E-2</v>
          </cell>
          <cell r="C3690">
            <v>61</v>
          </cell>
        </row>
        <row r="3691">
          <cell r="B3691">
            <v>4.2708333333331926E-2</v>
          </cell>
          <cell r="C3691">
            <v>61</v>
          </cell>
        </row>
        <row r="3692">
          <cell r="B3692">
            <v>4.2719907407405999E-2</v>
          </cell>
          <cell r="C3692">
            <v>61</v>
          </cell>
        </row>
        <row r="3693">
          <cell r="B3693">
            <v>4.2731481481480073E-2</v>
          </cell>
          <cell r="C3693">
            <v>61</v>
          </cell>
        </row>
        <row r="3694">
          <cell r="B3694">
            <v>4.2743055555554146E-2</v>
          </cell>
          <cell r="C3694">
            <v>61</v>
          </cell>
        </row>
        <row r="3695">
          <cell r="B3695">
            <v>4.275462962962822E-2</v>
          </cell>
          <cell r="C3695">
            <v>61</v>
          </cell>
        </row>
        <row r="3696">
          <cell r="B3696">
            <v>4.2766203703702294E-2</v>
          </cell>
          <cell r="C3696">
            <v>61</v>
          </cell>
        </row>
        <row r="3697">
          <cell r="B3697">
            <v>4.2777777777776367E-2</v>
          </cell>
          <cell r="C3697">
            <v>61</v>
          </cell>
        </row>
        <row r="3698">
          <cell r="B3698">
            <v>4.2789351851850441E-2</v>
          </cell>
          <cell r="C3698">
            <v>61</v>
          </cell>
        </row>
        <row r="3699">
          <cell r="B3699">
            <v>4.2800925925924514E-2</v>
          </cell>
          <cell r="C3699">
            <v>61</v>
          </cell>
        </row>
        <row r="3700">
          <cell r="B3700">
            <v>4.2812499999998588E-2</v>
          </cell>
          <cell r="C3700">
            <v>61</v>
          </cell>
        </row>
        <row r="3701">
          <cell r="B3701">
            <v>4.2824074074072661E-2</v>
          </cell>
          <cell r="C3701">
            <v>61</v>
          </cell>
        </row>
        <row r="3702">
          <cell r="B3702">
            <v>4.2835648148146735E-2</v>
          </cell>
          <cell r="C3702">
            <v>61</v>
          </cell>
        </row>
        <row r="3703">
          <cell r="B3703">
            <v>4.2847222222220809E-2</v>
          </cell>
          <cell r="C3703">
            <v>61</v>
          </cell>
        </row>
        <row r="3704">
          <cell r="B3704">
            <v>4.2858796296294882E-2</v>
          </cell>
          <cell r="C3704">
            <v>61</v>
          </cell>
        </row>
        <row r="3705">
          <cell r="B3705">
            <v>4.2870370370368956E-2</v>
          </cell>
          <cell r="C3705">
            <v>61</v>
          </cell>
        </row>
        <row r="3706">
          <cell r="B3706">
            <v>4.2881944444443029E-2</v>
          </cell>
          <cell r="C3706">
            <v>61</v>
          </cell>
        </row>
        <row r="3707">
          <cell r="B3707">
            <v>4.2893518518517103E-2</v>
          </cell>
          <cell r="C3707">
            <v>61</v>
          </cell>
        </row>
        <row r="3708">
          <cell r="B3708">
            <v>4.2905092592591176E-2</v>
          </cell>
          <cell r="C3708">
            <v>61</v>
          </cell>
        </row>
        <row r="3709">
          <cell r="B3709">
            <v>4.291666666666525E-2</v>
          </cell>
          <cell r="C3709">
            <v>61</v>
          </cell>
        </row>
        <row r="3710">
          <cell r="B3710">
            <v>4.2928240740739323E-2</v>
          </cell>
          <cell r="C3710">
            <v>61</v>
          </cell>
        </row>
        <row r="3711">
          <cell r="B3711">
            <v>4.2939814814813397E-2</v>
          </cell>
          <cell r="C3711">
            <v>61</v>
          </cell>
        </row>
        <row r="3712">
          <cell r="B3712">
            <v>4.2951388888887471E-2</v>
          </cell>
          <cell r="C3712">
            <v>61</v>
          </cell>
        </row>
        <row r="3713">
          <cell r="B3713">
            <v>4.2962962962961544E-2</v>
          </cell>
          <cell r="C3713">
            <v>61</v>
          </cell>
        </row>
        <row r="3714">
          <cell r="B3714">
            <v>4.2974537037035618E-2</v>
          </cell>
          <cell r="C3714">
            <v>61</v>
          </cell>
        </row>
        <row r="3715">
          <cell r="B3715">
            <v>4.2986111111109691E-2</v>
          </cell>
          <cell r="C3715">
            <v>61</v>
          </cell>
        </row>
        <row r="3716">
          <cell r="B3716">
            <v>4.2997685185183765E-2</v>
          </cell>
          <cell r="C3716">
            <v>61</v>
          </cell>
        </row>
        <row r="3717">
          <cell r="B3717">
            <v>4.3009259259257838E-2</v>
          </cell>
          <cell r="C3717">
            <v>61</v>
          </cell>
        </row>
        <row r="3718">
          <cell r="B3718">
            <v>4.3020833333331912E-2</v>
          </cell>
          <cell r="C3718">
            <v>61</v>
          </cell>
        </row>
        <row r="3719">
          <cell r="B3719">
            <v>4.3032407407405986E-2</v>
          </cell>
          <cell r="C3719">
            <v>61</v>
          </cell>
        </row>
        <row r="3720">
          <cell r="B3720">
            <v>4.3043981481480059E-2</v>
          </cell>
          <cell r="C3720">
            <v>61</v>
          </cell>
        </row>
        <row r="3721">
          <cell r="B3721">
            <v>4.3055555555554133E-2</v>
          </cell>
          <cell r="C3721">
            <v>62</v>
          </cell>
        </row>
        <row r="3722">
          <cell r="B3722">
            <v>4.3067129629628206E-2</v>
          </cell>
          <cell r="C3722">
            <v>62</v>
          </cell>
        </row>
        <row r="3723">
          <cell r="B3723">
            <v>4.307870370370228E-2</v>
          </cell>
          <cell r="C3723">
            <v>62</v>
          </cell>
        </row>
        <row r="3724">
          <cell r="B3724">
            <v>4.3090277777776353E-2</v>
          </cell>
          <cell r="C3724">
            <v>62</v>
          </cell>
        </row>
        <row r="3725">
          <cell r="B3725">
            <v>4.3101851851850427E-2</v>
          </cell>
          <cell r="C3725">
            <v>62</v>
          </cell>
        </row>
        <row r="3726">
          <cell r="B3726">
            <v>4.3113425925924501E-2</v>
          </cell>
          <cell r="C3726">
            <v>62</v>
          </cell>
        </row>
        <row r="3727">
          <cell r="B3727">
            <v>4.3124999999998574E-2</v>
          </cell>
          <cell r="C3727">
            <v>62</v>
          </cell>
        </row>
        <row r="3728">
          <cell r="B3728">
            <v>4.3136574074072648E-2</v>
          </cell>
          <cell r="C3728">
            <v>62</v>
          </cell>
        </row>
        <row r="3729">
          <cell r="B3729">
            <v>4.3148148148146721E-2</v>
          </cell>
          <cell r="C3729">
            <v>62</v>
          </cell>
        </row>
        <row r="3730">
          <cell r="B3730">
            <v>4.3159722222220795E-2</v>
          </cell>
          <cell r="C3730">
            <v>62</v>
          </cell>
        </row>
        <row r="3731">
          <cell r="B3731">
            <v>4.3171296296294868E-2</v>
          </cell>
          <cell r="C3731">
            <v>62</v>
          </cell>
        </row>
        <row r="3732">
          <cell r="B3732">
            <v>4.3182870370368942E-2</v>
          </cell>
          <cell r="C3732">
            <v>62</v>
          </cell>
        </row>
        <row r="3733">
          <cell r="B3733">
            <v>4.3194444444443016E-2</v>
          </cell>
          <cell r="C3733">
            <v>62</v>
          </cell>
        </row>
        <row r="3734">
          <cell r="B3734">
            <v>4.3206018518517089E-2</v>
          </cell>
          <cell r="C3734">
            <v>62</v>
          </cell>
        </row>
        <row r="3735">
          <cell r="B3735">
            <v>4.3217592592591163E-2</v>
          </cell>
          <cell r="C3735">
            <v>62</v>
          </cell>
        </row>
        <row r="3736">
          <cell r="B3736">
            <v>4.3229166666665236E-2</v>
          </cell>
          <cell r="C3736">
            <v>62</v>
          </cell>
        </row>
        <row r="3737">
          <cell r="B3737">
            <v>4.324074074073931E-2</v>
          </cell>
          <cell r="C3737">
            <v>62</v>
          </cell>
        </row>
        <row r="3738">
          <cell r="B3738">
            <v>4.3252314814813383E-2</v>
          </cell>
          <cell r="C3738">
            <v>62</v>
          </cell>
        </row>
        <row r="3739">
          <cell r="B3739">
            <v>4.3263888888887457E-2</v>
          </cell>
          <cell r="C3739">
            <v>62</v>
          </cell>
        </row>
        <row r="3740">
          <cell r="B3740">
            <v>4.3275462962961531E-2</v>
          </cell>
          <cell r="C3740">
            <v>62</v>
          </cell>
        </row>
        <row r="3741">
          <cell r="B3741">
            <v>4.3287037037035604E-2</v>
          </cell>
          <cell r="C3741">
            <v>62</v>
          </cell>
        </row>
        <row r="3742">
          <cell r="B3742">
            <v>4.3298611111109678E-2</v>
          </cell>
          <cell r="C3742">
            <v>62</v>
          </cell>
        </row>
        <row r="3743">
          <cell r="B3743">
            <v>4.3310185185183751E-2</v>
          </cell>
          <cell r="C3743">
            <v>62</v>
          </cell>
        </row>
        <row r="3744">
          <cell r="B3744">
            <v>4.3321759259257825E-2</v>
          </cell>
          <cell r="C3744">
            <v>62</v>
          </cell>
        </row>
        <row r="3745">
          <cell r="B3745">
            <v>4.3333333333331898E-2</v>
          </cell>
          <cell r="C3745">
            <v>62</v>
          </cell>
        </row>
        <row r="3746">
          <cell r="B3746">
            <v>4.3344907407405972E-2</v>
          </cell>
          <cell r="C3746">
            <v>62</v>
          </cell>
        </row>
        <row r="3747">
          <cell r="B3747">
            <v>4.3356481481480046E-2</v>
          </cell>
          <cell r="C3747">
            <v>62</v>
          </cell>
        </row>
        <row r="3748">
          <cell r="B3748">
            <v>4.3368055555554119E-2</v>
          </cell>
          <cell r="C3748">
            <v>62</v>
          </cell>
        </row>
        <row r="3749">
          <cell r="B3749">
            <v>4.3379629629628193E-2</v>
          </cell>
          <cell r="C3749">
            <v>62</v>
          </cell>
        </row>
        <row r="3750">
          <cell r="B3750">
            <v>4.3391203703702266E-2</v>
          </cell>
          <cell r="C3750">
            <v>62</v>
          </cell>
        </row>
        <row r="3751">
          <cell r="B3751">
            <v>4.340277777777634E-2</v>
          </cell>
          <cell r="C3751">
            <v>62</v>
          </cell>
        </row>
        <row r="3752">
          <cell r="B3752">
            <v>4.3414351851850413E-2</v>
          </cell>
          <cell r="C3752">
            <v>62</v>
          </cell>
        </row>
        <row r="3753">
          <cell r="B3753">
            <v>4.3425925925924487E-2</v>
          </cell>
          <cell r="C3753">
            <v>62</v>
          </cell>
        </row>
        <row r="3754">
          <cell r="B3754">
            <v>4.3437499999998561E-2</v>
          </cell>
          <cell r="C3754">
            <v>62</v>
          </cell>
        </row>
        <row r="3755">
          <cell r="B3755">
            <v>4.3449074074072634E-2</v>
          </cell>
          <cell r="C3755">
            <v>62</v>
          </cell>
        </row>
        <row r="3756">
          <cell r="B3756">
            <v>4.3460648148146708E-2</v>
          </cell>
          <cell r="C3756">
            <v>62</v>
          </cell>
        </row>
        <row r="3757">
          <cell r="B3757">
            <v>4.3472222222220781E-2</v>
          </cell>
          <cell r="C3757">
            <v>62</v>
          </cell>
        </row>
        <row r="3758">
          <cell r="B3758">
            <v>4.3483796296294855E-2</v>
          </cell>
          <cell r="C3758">
            <v>62</v>
          </cell>
        </row>
        <row r="3759">
          <cell r="B3759">
            <v>4.3495370370368928E-2</v>
          </cell>
          <cell r="C3759">
            <v>62</v>
          </cell>
        </row>
        <row r="3760">
          <cell r="B3760">
            <v>4.3506944444443002E-2</v>
          </cell>
          <cell r="C3760">
            <v>62</v>
          </cell>
        </row>
        <row r="3761">
          <cell r="B3761">
            <v>4.3518518518517076E-2</v>
          </cell>
          <cell r="C3761">
            <v>62</v>
          </cell>
        </row>
        <row r="3762">
          <cell r="B3762">
            <v>4.3530092592591149E-2</v>
          </cell>
          <cell r="C3762">
            <v>62</v>
          </cell>
        </row>
        <row r="3763">
          <cell r="B3763">
            <v>4.3541666666665223E-2</v>
          </cell>
          <cell r="C3763">
            <v>62</v>
          </cell>
        </row>
        <row r="3764">
          <cell r="B3764">
            <v>4.3553240740739296E-2</v>
          </cell>
          <cell r="C3764">
            <v>62</v>
          </cell>
        </row>
        <row r="3765">
          <cell r="B3765">
            <v>4.356481481481337E-2</v>
          </cell>
          <cell r="C3765">
            <v>62</v>
          </cell>
        </row>
        <row r="3766">
          <cell r="B3766">
            <v>4.3576388888887443E-2</v>
          </cell>
          <cell r="C3766">
            <v>62</v>
          </cell>
        </row>
        <row r="3767">
          <cell r="B3767">
            <v>4.3587962962961517E-2</v>
          </cell>
          <cell r="C3767">
            <v>62</v>
          </cell>
        </row>
        <row r="3768">
          <cell r="B3768">
            <v>4.3599537037035591E-2</v>
          </cell>
          <cell r="C3768">
            <v>62</v>
          </cell>
        </row>
        <row r="3769">
          <cell r="B3769">
            <v>4.3611111111109664E-2</v>
          </cell>
          <cell r="C3769">
            <v>62</v>
          </cell>
        </row>
        <row r="3770">
          <cell r="B3770">
            <v>4.3622685185183738E-2</v>
          </cell>
          <cell r="C3770">
            <v>62</v>
          </cell>
        </row>
        <row r="3771">
          <cell r="B3771">
            <v>4.3634259259257811E-2</v>
          </cell>
          <cell r="C3771">
            <v>62</v>
          </cell>
        </row>
        <row r="3772">
          <cell r="B3772">
            <v>4.3645833333331885E-2</v>
          </cell>
          <cell r="C3772">
            <v>62</v>
          </cell>
        </row>
        <row r="3773">
          <cell r="B3773">
            <v>4.3657407407405958E-2</v>
          </cell>
          <cell r="C3773">
            <v>62</v>
          </cell>
        </row>
        <row r="3774">
          <cell r="B3774">
            <v>4.3668981481480032E-2</v>
          </cell>
          <cell r="C3774">
            <v>62</v>
          </cell>
        </row>
        <row r="3775">
          <cell r="B3775">
            <v>4.3680555555554106E-2</v>
          </cell>
          <cell r="C3775">
            <v>62</v>
          </cell>
        </row>
        <row r="3776">
          <cell r="B3776">
            <v>4.3692129629628179E-2</v>
          </cell>
          <cell r="C3776">
            <v>62</v>
          </cell>
        </row>
        <row r="3777">
          <cell r="B3777">
            <v>4.3703703703702253E-2</v>
          </cell>
          <cell r="C3777">
            <v>62</v>
          </cell>
        </row>
        <row r="3778">
          <cell r="B3778">
            <v>4.3715277777776326E-2</v>
          </cell>
          <cell r="C3778">
            <v>62</v>
          </cell>
        </row>
        <row r="3779">
          <cell r="B3779">
            <v>4.37268518518504E-2</v>
          </cell>
          <cell r="C3779">
            <v>62</v>
          </cell>
        </row>
        <row r="3780">
          <cell r="B3780">
            <v>4.3738425925924473E-2</v>
          </cell>
          <cell r="C3780">
            <v>62</v>
          </cell>
        </row>
        <row r="3781">
          <cell r="B3781">
            <v>4.3749999999998547E-2</v>
          </cell>
          <cell r="C3781">
            <v>63</v>
          </cell>
        </row>
        <row r="3782">
          <cell r="B3782">
            <v>4.3761574074072621E-2</v>
          </cell>
          <cell r="C3782">
            <v>63</v>
          </cell>
        </row>
        <row r="3783">
          <cell r="B3783">
            <v>4.3773148148146694E-2</v>
          </cell>
          <cell r="C3783">
            <v>63</v>
          </cell>
        </row>
        <row r="3784">
          <cell r="B3784">
            <v>4.3784722222220768E-2</v>
          </cell>
          <cell r="C3784">
            <v>63</v>
          </cell>
        </row>
        <row r="3785">
          <cell r="B3785">
            <v>4.3796296296294841E-2</v>
          </cell>
          <cell r="C3785">
            <v>63</v>
          </cell>
        </row>
        <row r="3786">
          <cell r="B3786">
            <v>4.3807870370368915E-2</v>
          </cell>
          <cell r="C3786">
            <v>63</v>
          </cell>
        </row>
        <row r="3787">
          <cell r="B3787">
            <v>4.3819444444442988E-2</v>
          </cell>
          <cell r="C3787">
            <v>63</v>
          </cell>
        </row>
        <row r="3788">
          <cell r="B3788">
            <v>4.3831018518517062E-2</v>
          </cell>
          <cell r="C3788">
            <v>63</v>
          </cell>
        </row>
        <row r="3789">
          <cell r="B3789">
            <v>4.3842592592591136E-2</v>
          </cell>
          <cell r="C3789">
            <v>63</v>
          </cell>
        </row>
        <row r="3790">
          <cell r="B3790">
            <v>4.3854166666665209E-2</v>
          </cell>
          <cell r="C3790">
            <v>63</v>
          </cell>
        </row>
        <row r="3791">
          <cell r="B3791">
            <v>4.3865740740739283E-2</v>
          </cell>
          <cell r="C3791">
            <v>63</v>
          </cell>
        </row>
        <row r="3792">
          <cell r="B3792">
            <v>4.3877314814813356E-2</v>
          </cell>
          <cell r="C3792">
            <v>63</v>
          </cell>
        </row>
        <row r="3793">
          <cell r="B3793">
            <v>4.388888888888743E-2</v>
          </cell>
          <cell r="C3793">
            <v>63</v>
          </cell>
        </row>
        <row r="3794">
          <cell r="B3794">
            <v>4.3900462962961503E-2</v>
          </cell>
          <cell r="C3794">
            <v>63</v>
          </cell>
        </row>
        <row r="3795">
          <cell r="B3795">
            <v>4.3912037037035577E-2</v>
          </cell>
          <cell r="C3795">
            <v>63</v>
          </cell>
        </row>
        <row r="3796">
          <cell r="B3796">
            <v>4.3923611111109651E-2</v>
          </cell>
          <cell r="C3796">
            <v>63</v>
          </cell>
        </row>
        <row r="3797">
          <cell r="B3797">
            <v>4.3935185185183724E-2</v>
          </cell>
          <cell r="C3797">
            <v>63</v>
          </cell>
        </row>
        <row r="3798">
          <cell r="B3798">
            <v>4.3946759259257798E-2</v>
          </cell>
          <cell r="C3798">
            <v>63</v>
          </cell>
        </row>
        <row r="3799">
          <cell r="B3799">
            <v>4.3958333333331871E-2</v>
          </cell>
          <cell r="C3799">
            <v>63</v>
          </cell>
        </row>
        <row r="3800">
          <cell r="B3800">
            <v>4.3969907407405945E-2</v>
          </cell>
          <cell r="C3800">
            <v>63</v>
          </cell>
        </row>
        <row r="3801">
          <cell r="B3801">
            <v>4.3981481481480018E-2</v>
          </cell>
          <cell r="C3801">
            <v>63</v>
          </cell>
        </row>
        <row r="3802">
          <cell r="B3802">
            <v>4.3993055555554092E-2</v>
          </cell>
          <cell r="C3802">
            <v>63</v>
          </cell>
        </row>
        <row r="3803">
          <cell r="B3803">
            <v>4.4004629629628166E-2</v>
          </cell>
          <cell r="C3803">
            <v>63</v>
          </cell>
        </row>
        <row r="3804">
          <cell r="B3804">
            <v>4.4016203703702239E-2</v>
          </cell>
          <cell r="C3804">
            <v>63</v>
          </cell>
        </row>
        <row r="3805">
          <cell r="B3805">
            <v>4.4027777777776313E-2</v>
          </cell>
          <cell r="C3805">
            <v>63</v>
          </cell>
        </row>
        <row r="3806">
          <cell r="B3806">
            <v>4.4039351851850386E-2</v>
          </cell>
          <cell r="C3806">
            <v>63</v>
          </cell>
        </row>
        <row r="3807">
          <cell r="B3807">
            <v>4.405092592592446E-2</v>
          </cell>
          <cell r="C3807">
            <v>63</v>
          </cell>
        </row>
        <row r="3808">
          <cell r="B3808">
            <v>4.4062499999998533E-2</v>
          </cell>
          <cell r="C3808">
            <v>63</v>
          </cell>
        </row>
        <row r="3809">
          <cell r="B3809">
            <v>4.4074074074072607E-2</v>
          </cell>
          <cell r="C3809">
            <v>63</v>
          </cell>
        </row>
        <row r="3810">
          <cell r="B3810">
            <v>4.4085648148146681E-2</v>
          </cell>
          <cell r="C3810">
            <v>63</v>
          </cell>
        </row>
        <row r="3811">
          <cell r="B3811">
            <v>4.4097222222220754E-2</v>
          </cell>
          <cell r="C3811">
            <v>63</v>
          </cell>
        </row>
        <row r="3812">
          <cell r="B3812">
            <v>4.4108796296294828E-2</v>
          </cell>
          <cell r="C3812">
            <v>63</v>
          </cell>
        </row>
        <row r="3813">
          <cell r="B3813">
            <v>4.4120370370368901E-2</v>
          </cell>
          <cell r="C3813">
            <v>63</v>
          </cell>
        </row>
        <row r="3814">
          <cell r="B3814">
            <v>4.4131944444442975E-2</v>
          </cell>
          <cell r="C3814">
            <v>63</v>
          </cell>
        </row>
        <row r="3815">
          <cell r="B3815">
            <v>4.4143518518517048E-2</v>
          </cell>
          <cell r="C3815">
            <v>63</v>
          </cell>
        </row>
        <row r="3816">
          <cell r="B3816">
            <v>4.4155092592591122E-2</v>
          </cell>
          <cell r="C3816">
            <v>63</v>
          </cell>
        </row>
        <row r="3817">
          <cell r="B3817">
            <v>4.4166666666665196E-2</v>
          </cell>
          <cell r="C3817">
            <v>63</v>
          </cell>
        </row>
        <row r="3818">
          <cell r="B3818">
            <v>4.4178240740739269E-2</v>
          </cell>
          <cell r="C3818">
            <v>63</v>
          </cell>
        </row>
        <row r="3819">
          <cell r="B3819">
            <v>4.4189814814813343E-2</v>
          </cell>
          <cell r="C3819">
            <v>63</v>
          </cell>
        </row>
        <row r="3820">
          <cell r="B3820">
            <v>4.4201388888887416E-2</v>
          </cell>
          <cell r="C3820">
            <v>63</v>
          </cell>
        </row>
        <row r="3821">
          <cell r="B3821">
            <v>4.421296296296149E-2</v>
          </cell>
          <cell r="C3821">
            <v>63</v>
          </cell>
        </row>
        <row r="3822">
          <cell r="B3822">
            <v>4.4224537037035563E-2</v>
          </cell>
          <cell r="C3822">
            <v>63</v>
          </cell>
        </row>
        <row r="3823">
          <cell r="B3823">
            <v>4.4236111111109637E-2</v>
          </cell>
          <cell r="C3823">
            <v>63</v>
          </cell>
        </row>
        <row r="3824">
          <cell r="B3824">
            <v>4.4247685185183711E-2</v>
          </cell>
          <cell r="C3824">
            <v>63</v>
          </cell>
        </row>
        <row r="3825">
          <cell r="B3825">
            <v>4.4259259259257784E-2</v>
          </cell>
          <cell r="C3825">
            <v>63</v>
          </cell>
        </row>
        <row r="3826">
          <cell r="B3826">
            <v>4.4270833333331858E-2</v>
          </cell>
          <cell r="C3826">
            <v>63</v>
          </cell>
        </row>
        <row r="3827">
          <cell r="B3827">
            <v>4.4282407407405931E-2</v>
          </cell>
          <cell r="C3827">
            <v>63</v>
          </cell>
        </row>
        <row r="3828">
          <cell r="B3828">
            <v>4.4293981481480005E-2</v>
          </cell>
          <cell r="C3828">
            <v>63</v>
          </cell>
        </row>
        <row r="3829">
          <cell r="B3829">
            <v>4.4305555555554078E-2</v>
          </cell>
          <cell r="C3829">
            <v>63</v>
          </cell>
        </row>
        <row r="3830">
          <cell r="B3830">
            <v>4.4317129629628152E-2</v>
          </cell>
          <cell r="C3830">
            <v>63</v>
          </cell>
        </row>
        <row r="3831">
          <cell r="B3831">
            <v>4.4328703703702226E-2</v>
          </cell>
          <cell r="C3831">
            <v>63</v>
          </cell>
        </row>
        <row r="3832">
          <cell r="B3832">
            <v>4.4340277777776299E-2</v>
          </cell>
          <cell r="C3832">
            <v>63</v>
          </cell>
        </row>
        <row r="3833">
          <cell r="B3833">
            <v>4.4351851851850373E-2</v>
          </cell>
          <cell r="C3833">
            <v>63</v>
          </cell>
        </row>
        <row r="3834">
          <cell r="B3834">
            <v>4.4363425925924446E-2</v>
          </cell>
          <cell r="C3834">
            <v>63</v>
          </cell>
        </row>
        <row r="3835">
          <cell r="B3835">
            <v>4.437499999999852E-2</v>
          </cell>
          <cell r="C3835">
            <v>63</v>
          </cell>
        </row>
        <row r="3836">
          <cell r="B3836">
            <v>4.4386574074072593E-2</v>
          </cell>
          <cell r="C3836">
            <v>63</v>
          </cell>
        </row>
        <row r="3837">
          <cell r="B3837">
            <v>4.4398148148146667E-2</v>
          </cell>
          <cell r="C3837">
            <v>63</v>
          </cell>
        </row>
        <row r="3838">
          <cell r="B3838">
            <v>4.4409722222220741E-2</v>
          </cell>
          <cell r="C3838">
            <v>63</v>
          </cell>
        </row>
        <row r="3839">
          <cell r="B3839">
            <v>4.4421296296294814E-2</v>
          </cell>
          <cell r="C3839">
            <v>63</v>
          </cell>
        </row>
        <row r="3840">
          <cell r="B3840">
            <v>4.4432870370368888E-2</v>
          </cell>
          <cell r="C3840">
            <v>63</v>
          </cell>
        </row>
        <row r="3841">
          <cell r="B3841">
            <v>4.4444444444442961E-2</v>
          </cell>
          <cell r="C3841">
            <v>64</v>
          </cell>
        </row>
        <row r="3842">
          <cell r="B3842">
            <v>4.4456018518517035E-2</v>
          </cell>
          <cell r="C3842">
            <v>64</v>
          </cell>
        </row>
        <row r="3843">
          <cell r="B3843">
            <v>4.4467592592591108E-2</v>
          </cell>
          <cell r="C3843">
            <v>64</v>
          </cell>
        </row>
        <row r="3844">
          <cell r="B3844">
            <v>4.4479166666665182E-2</v>
          </cell>
          <cell r="C3844">
            <v>64</v>
          </cell>
        </row>
        <row r="3845">
          <cell r="B3845">
            <v>4.4490740740739255E-2</v>
          </cell>
          <cell r="C3845">
            <v>64</v>
          </cell>
        </row>
        <row r="3846">
          <cell r="B3846">
            <v>4.4502314814813329E-2</v>
          </cell>
          <cell r="C3846">
            <v>64</v>
          </cell>
        </row>
        <row r="3847">
          <cell r="B3847">
            <v>4.4513888888887403E-2</v>
          </cell>
          <cell r="C3847">
            <v>64</v>
          </cell>
        </row>
        <row r="3848">
          <cell r="B3848">
            <v>4.4525462962961476E-2</v>
          </cell>
          <cell r="C3848">
            <v>64</v>
          </cell>
        </row>
        <row r="3849">
          <cell r="B3849">
            <v>4.453703703703555E-2</v>
          </cell>
          <cell r="C3849">
            <v>64</v>
          </cell>
        </row>
        <row r="3850">
          <cell r="B3850">
            <v>4.4548611111109623E-2</v>
          </cell>
          <cell r="C3850">
            <v>64</v>
          </cell>
        </row>
        <row r="3851">
          <cell r="B3851">
            <v>4.4560185185183697E-2</v>
          </cell>
          <cell r="C3851">
            <v>64</v>
          </cell>
        </row>
        <row r="3852">
          <cell r="B3852">
            <v>4.457175925925777E-2</v>
          </cell>
          <cell r="C3852">
            <v>64</v>
          </cell>
        </row>
        <row r="3853">
          <cell r="B3853">
            <v>4.4583333333331844E-2</v>
          </cell>
          <cell r="C3853">
            <v>64</v>
          </cell>
        </row>
        <row r="3854">
          <cell r="B3854">
            <v>4.4594907407405918E-2</v>
          </cell>
          <cell r="C3854">
            <v>64</v>
          </cell>
        </row>
        <row r="3855">
          <cell r="B3855">
            <v>4.4606481481479991E-2</v>
          </cell>
          <cell r="C3855">
            <v>64</v>
          </cell>
        </row>
        <row r="3856">
          <cell r="B3856">
            <v>4.4618055555554065E-2</v>
          </cell>
          <cell r="C3856">
            <v>64</v>
          </cell>
        </row>
        <row r="3857">
          <cell r="B3857">
            <v>4.4629629629628138E-2</v>
          </cell>
          <cell r="C3857">
            <v>64</v>
          </cell>
        </row>
        <row r="3858">
          <cell r="B3858">
            <v>4.4641203703702212E-2</v>
          </cell>
          <cell r="C3858">
            <v>64</v>
          </cell>
        </row>
        <row r="3859">
          <cell r="B3859">
            <v>4.4652777777776285E-2</v>
          </cell>
          <cell r="C3859">
            <v>64</v>
          </cell>
        </row>
        <row r="3860">
          <cell r="B3860">
            <v>4.4664351851850359E-2</v>
          </cell>
          <cell r="C3860">
            <v>64</v>
          </cell>
        </row>
        <row r="3861">
          <cell r="B3861">
            <v>4.4675925925924433E-2</v>
          </cell>
          <cell r="C3861">
            <v>64</v>
          </cell>
        </row>
        <row r="3862">
          <cell r="B3862">
            <v>4.4687499999998506E-2</v>
          </cell>
          <cell r="C3862">
            <v>64</v>
          </cell>
        </row>
        <row r="3863">
          <cell r="B3863">
            <v>4.469907407407258E-2</v>
          </cell>
          <cell r="C3863">
            <v>64</v>
          </cell>
        </row>
        <row r="3864">
          <cell r="B3864">
            <v>4.4710648148146653E-2</v>
          </cell>
          <cell r="C3864">
            <v>64</v>
          </cell>
        </row>
        <row r="3865">
          <cell r="B3865">
            <v>4.4722222222220727E-2</v>
          </cell>
          <cell r="C3865">
            <v>64</v>
          </cell>
        </row>
        <row r="3866">
          <cell r="B3866">
            <v>4.47337962962948E-2</v>
          </cell>
          <cell r="C3866">
            <v>64</v>
          </cell>
        </row>
        <row r="3867">
          <cell r="B3867">
            <v>4.4745370370368874E-2</v>
          </cell>
          <cell r="C3867">
            <v>64</v>
          </cell>
        </row>
        <row r="3868">
          <cell r="B3868">
            <v>4.4756944444442948E-2</v>
          </cell>
          <cell r="C3868">
            <v>64</v>
          </cell>
        </row>
        <row r="3869">
          <cell r="B3869">
            <v>4.4768518518517021E-2</v>
          </cell>
          <cell r="C3869">
            <v>64</v>
          </cell>
        </row>
        <row r="3870">
          <cell r="B3870">
            <v>4.4780092592591095E-2</v>
          </cell>
          <cell r="C3870">
            <v>64</v>
          </cell>
        </row>
        <row r="3871">
          <cell r="B3871">
            <v>4.4791666666665168E-2</v>
          </cell>
          <cell r="C3871">
            <v>64</v>
          </cell>
        </row>
        <row r="3872">
          <cell r="B3872">
            <v>4.4803240740739242E-2</v>
          </cell>
          <cell r="C3872">
            <v>64</v>
          </cell>
        </row>
        <row r="3873">
          <cell r="B3873">
            <v>4.4814814814813315E-2</v>
          </cell>
          <cell r="C3873">
            <v>64</v>
          </cell>
        </row>
        <row r="3874">
          <cell r="B3874">
            <v>4.4826388888887389E-2</v>
          </cell>
          <cell r="C3874">
            <v>64</v>
          </cell>
        </row>
        <row r="3875">
          <cell r="B3875">
            <v>4.4837962962961463E-2</v>
          </cell>
          <cell r="C3875">
            <v>64</v>
          </cell>
        </row>
        <row r="3876">
          <cell r="B3876">
            <v>4.4849537037035536E-2</v>
          </cell>
          <cell r="C3876">
            <v>64</v>
          </cell>
        </row>
        <row r="3877">
          <cell r="B3877">
            <v>4.486111111110961E-2</v>
          </cell>
          <cell r="C3877">
            <v>64</v>
          </cell>
        </row>
        <row r="3878">
          <cell r="B3878">
            <v>4.4872685185183683E-2</v>
          </cell>
          <cell r="C3878">
            <v>64</v>
          </cell>
        </row>
        <row r="3879">
          <cell r="B3879">
            <v>4.4884259259257757E-2</v>
          </cell>
          <cell r="C3879">
            <v>64</v>
          </cell>
        </row>
        <row r="3880">
          <cell r="B3880">
            <v>4.489583333333183E-2</v>
          </cell>
          <cell r="C3880">
            <v>64</v>
          </cell>
        </row>
        <row r="3881">
          <cell r="B3881">
            <v>4.4907407407405904E-2</v>
          </cell>
          <cell r="C3881">
            <v>64</v>
          </cell>
        </row>
        <row r="3882">
          <cell r="B3882">
            <v>4.4918981481479978E-2</v>
          </cell>
          <cell r="C3882">
            <v>64</v>
          </cell>
        </row>
        <row r="3883">
          <cell r="B3883">
            <v>4.4930555555554051E-2</v>
          </cell>
          <cell r="C3883">
            <v>64</v>
          </cell>
        </row>
        <row r="3884">
          <cell r="B3884">
            <v>4.4942129629628125E-2</v>
          </cell>
          <cell r="C3884">
            <v>64</v>
          </cell>
        </row>
        <row r="3885">
          <cell r="B3885">
            <v>4.4953703703702198E-2</v>
          </cell>
          <cell r="C3885">
            <v>64</v>
          </cell>
        </row>
        <row r="3886">
          <cell r="B3886">
            <v>4.4965277777776272E-2</v>
          </cell>
          <cell r="C3886">
            <v>64</v>
          </cell>
        </row>
        <row r="3887">
          <cell r="B3887">
            <v>4.4976851851850345E-2</v>
          </cell>
          <cell r="C3887">
            <v>64</v>
          </cell>
        </row>
        <row r="3888">
          <cell r="B3888">
            <v>4.4988425925924419E-2</v>
          </cell>
          <cell r="C3888">
            <v>64</v>
          </cell>
        </row>
        <row r="3889">
          <cell r="B3889">
            <v>4.4999999999998493E-2</v>
          </cell>
          <cell r="C3889">
            <v>64</v>
          </cell>
        </row>
        <row r="3890">
          <cell r="B3890">
            <v>4.5011574074072566E-2</v>
          </cell>
          <cell r="C3890">
            <v>64</v>
          </cell>
        </row>
        <row r="3891">
          <cell r="B3891">
            <v>4.502314814814664E-2</v>
          </cell>
          <cell r="C3891">
            <v>64</v>
          </cell>
        </row>
        <row r="3892">
          <cell r="B3892">
            <v>4.5034722222220713E-2</v>
          </cell>
          <cell r="C3892">
            <v>64</v>
          </cell>
        </row>
        <row r="3893">
          <cell r="B3893">
            <v>4.5046296296294787E-2</v>
          </cell>
          <cell r="C3893">
            <v>64</v>
          </cell>
        </row>
        <row r="3894">
          <cell r="B3894">
            <v>4.505787037036886E-2</v>
          </cell>
          <cell r="C3894">
            <v>64</v>
          </cell>
        </row>
        <row r="3895">
          <cell r="B3895">
            <v>4.5069444444442934E-2</v>
          </cell>
          <cell r="C3895">
            <v>64</v>
          </cell>
        </row>
        <row r="3896">
          <cell r="B3896">
            <v>4.5081018518517008E-2</v>
          </cell>
          <cell r="C3896">
            <v>64</v>
          </cell>
        </row>
        <row r="3897">
          <cell r="B3897">
            <v>4.5092592592591081E-2</v>
          </cell>
          <cell r="C3897">
            <v>64</v>
          </cell>
        </row>
        <row r="3898">
          <cell r="B3898">
            <v>4.5104166666665155E-2</v>
          </cell>
          <cell r="C3898">
            <v>64</v>
          </cell>
        </row>
        <row r="3899">
          <cell r="B3899">
            <v>4.5115740740739228E-2</v>
          </cell>
          <cell r="C3899">
            <v>64</v>
          </cell>
        </row>
        <row r="3900">
          <cell r="B3900">
            <v>4.5127314814813302E-2</v>
          </cell>
          <cell r="C3900">
            <v>64</v>
          </cell>
        </row>
        <row r="3901">
          <cell r="B3901">
            <v>4.5138888888887375E-2</v>
          </cell>
          <cell r="C3901">
            <v>65</v>
          </cell>
        </row>
        <row r="3902">
          <cell r="B3902">
            <v>4.5150462962961449E-2</v>
          </cell>
          <cell r="C3902">
            <v>65</v>
          </cell>
        </row>
        <row r="3903">
          <cell r="B3903">
            <v>4.5162037037035523E-2</v>
          </cell>
          <cell r="C3903">
            <v>65</v>
          </cell>
        </row>
        <row r="3904">
          <cell r="B3904">
            <v>4.5173611111109596E-2</v>
          </cell>
          <cell r="C3904">
            <v>65</v>
          </cell>
        </row>
        <row r="3905">
          <cell r="B3905">
            <v>4.518518518518367E-2</v>
          </cell>
          <cell r="C3905">
            <v>65</v>
          </cell>
        </row>
        <row r="3906">
          <cell r="B3906">
            <v>4.5196759259257743E-2</v>
          </cell>
          <cell r="C3906">
            <v>65</v>
          </cell>
        </row>
        <row r="3907">
          <cell r="B3907">
            <v>4.5208333333331817E-2</v>
          </cell>
          <cell r="C3907">
            <v>65</v>
          </cell>
        </row>
        <row r="3908">
          <cell r="B3908">
            <v>4.521990740740589E-2</v>
          </cell>
          <cell r="C3908">
            <v>65</v>
          </cell>
        </row>
        <row r="3909">
          <cell r="B3909">
            <v>4.5231481481479964E-2</v>
          </cell>
          <cell r="C3909">
            <v>65</v>
          </cell>
        </row>
        <row r="3910">
          <cell r="B3910">
            <v>4.5243055555554038E-2</v>
          </cell>
          <cell r="C3910">
            <v>65</v>
          </cell>
        </row>
        <row r="3911">
          <cell r="B3911">
            <v>4.5254629629628111E-2</v>
          </cell>
          <cell r="C3911">
            <v>65</v>
          </cell>
        </row>
        <row r="3912">
          <cell r="B3912">
            <v>4.5266203703702185E-2</v>
          </cell>
          <cell r="C3912">
            <v>65</v>
          </cell>
        </row>
        <row r="3913">
          <cell r="B3913">
            <v>4.5277777777776258E-2</v>
          </cell>
          <cell r="C3913">
            <v>65</v>
          </cell>
        </row>
        <row r="3914">
          <cell r="B3914">
            <v>4.5289351851850332E-2</v>
          </cell>
          <cell r="C3914">
            <v>65</v>
          </cell>
        </row>
        <row r="3915">
          <cell r="B3915">
            <v>4.5300925925924405E-2</v>
          </cell>
          <cell r="C3915">
            <v>65</v>
          </cell>
        </row>
        <row r="3916">
          <cell r="B3916">
            <v>4.5312499999998479E-2</v>
          </cell>
          <cell r="C3916">
            <v>65</v>
          </cell>
        </row>
        <row r="3917">
          <cell r="B3917">
            <v>4.5324074074072553E-2</v>
          </cell>
          <cell r="C3917">
            <v>65</v>
          </cell>
        </row>
        <row r="3918">
          <cell r="B3918">
            <v>4.5335648148146626E-2</v>
          </cell>
          <cell r="C3918">
            <v>65</v>
          </cell>
        </row>
        <row r="3919">
          <cell r="B3919">
            <v>4.53472222222207E-2</v>
          </cell>
          <cell r="C3919">
            <v>65</v>
          </cell>
        </row>
        <row r="3920">
          <cell r="B3920">
            <v>4.5358796296294773E-2</v>
          </cell>
          <cell r="C3920">
            <v>65</v>
          </cell>
        </row>
        <row r="3921">
          <cell r="B3921">
            <v>4.5370370370368847E-2</v>
          </cell>
          <cell r="C3921">
            <v>65</v>
          </cell>
        </row>
        <row r="3922">
          <cell r="B3922">
            <v>4.538194444444292E-2</v>
          </cell>
          <cell r="C3922">
            <v>65</v>
          </cell>
        </row>
        <row r="3923">
          <cell r="B3923">
            <v>4.5393518518516994E-2</v>
          </cell>
          <cell r="C3923">
            <v>65</v>
          </cell>
        </row>
        <row r="3924">
          <cell r="B3924">
            <v>4.5405092592591068E-2</v>
          </cell>
          <cell r="C3924">
            <v>65</v>
          </cell>
        </row>
        <row r="3925">
          <cell r="B3925">
            <v>4.5416666666665141E-2</v>
          </cell>
          <cell r="C3925">
            <v>65</v>
          </cell>
        </row>
        <row r="3926">
          <cell r="B3926">
            <v>4.5428240740739215E-2</v>
          </cell>
          <cell r="C3926">
            <v>65</v>
          </cell>
        </row>
        <row r="3927">
          <cell r="B3927">
            <v>4.5439814814813288E-2</v>
          </cell>
          <cell r="C3927">
            <v>65</v>
          </cell>
        </row>
        <row r="3928">
          <cell r="B3928">
            <v>4.5451388888887362E-2</v>
          </cell>
          <cell r="C3928">
            <v>65</v>
          </cell>
        </row>
        <row r="3929">
          <cell r="B3929">
            <v>4.5462962962961435E-2</v>
          </cell>
          <cell r="C3929">
            <v>65</v>
          </cell>
        </row>
        <row r="3930">
          <cell r="B3930">
            <v>4.5474537037035509E-2</v>
          </cell>
          <cell r="C3930">
            <v>65</v>
          </cell>
        </row>
        <row r="3931">
          <cell r="B3931">
            <v>4.5486111111109583E-2</v>
          </cell>
          <cell r="C3931">
            <v>65</v>
          </cell>
        </row>
        <row r="3932">
          <cell r="B3932">
            <v>4.5497685185183656E-2</v>
          </cell>
          <cell r="C3932">
            <v>65</v>
          </cell>
        </row>
        <row r="3933">
          <cell r="B3933">
            <v>4.550925925925773E-2</v>
          </cell>
          <cell r="C3933">
            <v>65</v>
          </cell>
        </row>
        <row r="3934">
          <cell r="B3934">
            <v>4.5520833333331803E-2</v>
          </cell>
          <cell r="C3934">
            <v>65</v>
          </cell>
        </row>
        <row r="3935">
          <cell r="B3935">
            <v>4.5532407407405877E-2</v>
          </cell>
          <cell r="C3935">
            <v>65</v>
          </cell>
        </row>
        <row r="3936">
          <cell r="B3936">
            <v>4.554398148147995E-2</v>
          </cell>
          <cell r="C3936">
            <v>65</v>
          </cell>
        </row>
        <row r="3937">
          <cell r="B3937">
            <v>4.5555555555554024E-2</v>
          </cell>
          <cell r="C3937">
            <v>65</v>
          </cell>
        </row>
        <row r="3938">
          <cell r="B3938">
            <v>4.5567129629628098E-2</v>
          </cell>
          <cell r="C3938">
            <v>65</v>
          </cell>
        </row>
        <row r="3939">
          <cell r="B3939">
            <v>4.5578703703702171E-2</v>
          </cell>
          <cell r="C3939">
            <v>65</v>
          </cell>
        </row>
        <row r="3940">
          <cell r="B3940">
            <v>4.5590277777776245E-2</v>
          </cell>
          <cell r="C3940">
            <v>65</v>
          </cell>
        </row>
        <row r="3941">
          <cell r="B3941">
            <v>4.5601851851850318E-2</v>
          </cell>
          <cell r="C3941">
            <v>65</v>
          </cell>
        </row>
        <row r="3942">
          <cell r="B3942">
            <v>4.5613425925924392E-2</v>
          </cell>
          <cell r="C3942">
            <v>65</v>
          </cell>
        </row>
        <row r="3943">
          <cell r="B3943">
            <v>4.5624999999998465E-2</v>
          </cell>
          <cell r="C3943">
            <v>65</v>
          </cell>
        </row>
        <row r="3944">
          <cell r="B3944">
            <v>4.5636574074072539E-2</v>
          </cell>
          <cell r="C3944">
            <v>65</v>
          </cell>
        </row>
        <row r="3945">
          <cell r="B3945">
            <v>4.5648148148146613E-2</v>
          </cell>
          <cell r="C3945">
            <v>65</v>
          </cell>
        </row>
        <row r="3946">
          <cell r="B3946">
            <v>4.5659722222220686E-2</v>
          </cell>
          <cell r="C3946">
            <v>65</v>
          </cell>
        </row>
        <row r="3947">
          <cell r="B3947">
            <v>4.567129629629476E-2</v>
          </cell>
          <cell r="C3947">
            <v>65</v>
          </cell>
        </row>
        <row r="3948">
          <cell r="B3948">
            <v>4.5682870370368833E-2</v>
          </cell>
          <cell r="C3948">
            <v>65</v>
          </cell>
        </row>
        <row r="3949">
          <cell r="B3949">
            <v>4.5694444444442907E-2</v>
          </cell>
          <cell r="C3949">
            <v>65</v>
          </cell>
        </row>
        <row r="3950">
          <cell r="B3950">
            <v>4.570601851851698E-2</v>
          </cell>
          <cell r="C3950">
            <v>65</v>
          </cell>
        </row>
        <row r="3951">
          <cell r="B3951">
            <v>4.5717592592591054E-2</v>
          </cell>
          <cell r="C3951">
            <v>65</v>
          </cell>
        </row>
        <row r="3952">
          <cell r="B3952">
            <v>4.5729166666665128E-2</v>
          </cell>
          <cell r="C3952">
            <v>65</v>
          </cell>
        </row>
        <row r="3953">
          <cell r="B3953">
            <v>4.5740740740739201E-2</v>
          </cell>
          <cell r="C3953">
            <v>65</v>
          </cell>
        </row>
        <row r="3954">
          <cell r="B3954">
            <v>4.5752314814813275E-2</v>
          </cell>
          <cell r="C3954">
            <v>65</v>
          </cell>
        </row>
        <row r="3955">
          <cell r="B3955">
            <v>4.5763888888887348E-2</v>
          </cell>
          <cell r="C3955">
            <v>65</v>
          </cell>
        </row>
        <row r="3956">
          <cell r="B3956">
            <v>4.5775462962961422E-2</v>
          </cell>
          <cell r="C3956">
            <v>65</v>
          </cell>
        </row>
        <row r="3957">
          <cell r="B3957">
            <v>4.5787037037035495E-2</v>
          </cell>
          <cell r="C3957">
            <v>65</v>
          </cell>
        </row>
        <row r="3958">
          <cell r="B3958">
            <v>4.5798611111109569E-2</v>
          </cell>
          <cell r="C3958">
            <v>65</v>
          </cell>
        </row>
        <row r="3959">
          <cell r="B3959">
            <v>4.5810185185183643E-2</v>
          </cell>
          <cell r="C3959">
            <v>65</v>
          </cell>
        </row>
        <row r="3960">
          <cell r="B3960">
            <v>4.5821759259257716E-2</v>
          </cell>
          <cell r="C3960">
            <v>65</v>
          </cell>
        </row>
        <row r="3961">
          <cell r="B3961">
            <v>4.583333333333179E-2</v>
          </cell>
          <cell r="C3961">
            <v>66</v>
          </cell>
        </row>
        <row r="3962">
          <cell r="B3962">
            <v>4.5844907407405863E-2</v>
          </cell>
          <cell r="C3962">
            <v>66</v>
          </cell>
        </row>
        <row r="3963">
          <cell r="B3963">
            <v>4.5856481481479937E-2</v>
          </cell>
          <cell r="C3963">
            <v>66</v>
          </cell>
        </row>
        <row r="3964">
          <cell r="B3964">
            <v>4.586805555555401E-2</v>
          </cell>
          <cell r="C3964">
            <v>66</v>
          </cell>
        </row>
        <row r="3965">
          <cell r="B3965">
            <v>4.5879629629628084E-2</v>
          </cell>
          <cell r="C3965">
            <v>66</v>
          </cell>
        </row>
        <row r="3966">
          <cell r="B3966">
            <v>4.5891203703702158E-2</v>
          </cell>
          <cell r="C3966">
            <v>66</v>
          </cell>
        </row>
        <row r="3967">
          <cell r="B3967">
            <v>4.5902777777776231E-2</v>
          </cell>
          <cell r="C3967">
            <v>66</v>
          </cell>
        </row>
        <row r="3968">
          <cell r="B3968">
            <v>4.5914351851850305E-2</v>
          </cell>
          <cell r="C3968">
            <v>66</v>
          </cell>
        </row>
        <row r="3969">
          <cell r="B3969">
            <v>4.5925925925924378E-2</v>
          </cell>
          <cell r="C3969">
            <v>66</v>
          </cell>
        </row>
        <row r="3970">
          <cell r="B3970">
            <v>4.5937499999998452E-2</v>
          </cell>
          <cell r="C3970">
            <v>66</v>
          </cell>
        </row>
        <row r="3971">
          <cell r="B3971">
            <v>4.5949074074072525E-2</v>
          </cell>
          <cell r="C3971">
            <v>66</v>
          </cell>
        </row>
        <row r="3972">
          <cell r="B3972">
            <v>4.5960648148146599E-2</v>
          </cell>
          <cell r="C3972">
            <v>66</v>
          </cell>
        </row>
        <row r="3973">
          <cell r="B3973">
            <v>4.5972222222220673E-2</v>
          </cell>
          <cell r="C3973">
            <v>66</v>
          </cell>
        </row>
        <row r="3974">
          <cell r="B3974">
            <v>4.5983796296294746E-2</v>
          </cell>
          <cell r="C3974">
            <v>66</v>
          </cell>
        </row>
        <row r="3975">
          <cell r="B3975">
            <v>4.599537037036882E-2</v>
          </cell>
          <cell r="C3975">
            <v>66</v>
          </cell>
        </row>
        <row r="3976">
          <cell r="B3976">
            <v>4.6006944444442893E-2</v>
          </cell>
          <cell r="C3976">
            <v>66</v>
          </cell>
        </row>
        <row r="3977">
          <cell r="B3977">
            <v>4.6018518518516967E-2</v>
          </cell>
          <cell r="C3977">
            <v>66</v>
          </cell>
        </row>
        <row r="3978">
          <cell r="B3978">
            <v>4.603009259259104E-2</v>
          </cell>
          <cell r="C3978">
            <v>66</v>
          </cell>
        </row>
        <row r="3979">
          <cell r="B3979">
            <v>4.6041666666665114E-2</v>
          </cell>
          <cell r="C3979">
            <v>66</v>
          </cell>
        </row>
        <row r="3980">
          <cell r="B3980">
            <v>4.6053240740739187E-2</v>
          </cell>
          <cell r="C3980">
            <v>66</v>
          </cell>
        </row>
        <row r="3981">
          <cell r="B3981">
            <v>4.6064814814813261E-2</v>
          </cell>
          <cell r="C3981">
            <v>66</v>
          </cell>
        </row>
        <row r="3982">
          <cell r="B3982">
            <v>4.6076388888887335E-2</v>
          </cell>
          <cell r="C3982">
            <v>66</v>
          </cell>
        </row>
        <row r="3983">
          <cell r="B3983">
            <v>4.6087962962961408E-2</v>
          </cell>
          <cell r="C3983">
            <v>66</v>
          </cell>
        </row>
        <row r="3984">
          <cell r="B3984">
            <v>4.6099537037035482E-2</v>
          </cell>
          <cell r="C3984">
            <v>66</v>
          </cell>
        </row>
        <row r="3985">
          <cell r="B3985">
            <v>4.6111111111109555E-2</v>
          </cell>
          <cell r="C3985">
            <v>66</v>
          </cell>
        </row>
        <row r="3986">
          <cell r="B3986">
            <v>4.6122685185183629E-2</v>
          </cell>
          <cell r="C3986">
            <v>66</v>
          </cell>
        </row>
        <row r="3987">
          <cell r="B3987">
            <v>4.6134259259257702E-2</v>
          </cell>
          <cell r="C3987">
            <v>66</v>
          </cell>
        </row>
        <row r="3988">
          <cell r="B3988">
            <v>4.6145833333331776E-2</v>
          </cell>
          <cell r="C3988">
            <v>66</v>
          </cell>
        </row>
        <row r="3989">
          <cell r="B3989">
            <v>4.615740740740585E-2</v>
          </cell>
          <cell r="C3989">
            <v>66</v>
          </cell>
        </row>
        <row r="3990">
          <cell r="B3990">
            <v>4.6168981481479923E-2</v>
          </cell>
          <cell r="C3990">
            <v>66</v>
          </cell>
        </row>
        <row r="3991">
          <cell r="B3991">
            <v>4.6180555555553997E-2</v>
          </cell>
          <cell r="C3991">
            <v>66</v>
          </cell>
        </row>
        <row r="3992">
          <cell r="B3992">
            <v>4.619212962962807E-2</v>
          </cell>
          <cell r="C3992">
            <v>66</v>
          </cell>
        </row>
        <row r="3993">
          <cell r="B3993">
            <v>4.6203703703702144E-2</v>
          </cell>
          <cell r="C3993">
            <v>66</v>
          </cell>
        </row>
        <row r="3994">
          <cell r="B3994">
            <v>4.6215277777776217E-2</v>
          </cell>
          <cell r="C3994">
            <v>66</v>
          </cell>
        </row>
        <row r="3995">
          <cell r="B3995">
            <v>4.6226851851850291E-2</v>
          </cell>
          <cell r="C3995">
            <v>66</v>
          </cell>
        </row>
        <row r="3996">
          <cell r="B3996">
            <v>4.6238425925924365E-2</v>
          </cell>
          <cell r="C3996">
            <v>66</v>
          </cell>
        </row>
        <row r="3997">
          <cell r="B3997">
            <v>4.6249999999998438E-2</v>
          </cell>
          <cell r="C3997">
            <v>66</v>
          </cell>
        </row>
        <row r="3998">
          <cell r="B3998">
            <v>4.6261574074072512E-2</v>
          </cell>
          <cell r="C3998">
            <v>66</v>
          </cell>
        </row>
        <row r="3999">
          <cell r="B3999">
            <v>4.6273148148146585E-2</v>
          </cell>
          <cell r="C3999">
            <v>66</v>
          </cell>
        </row>
        <row r="4000">
          <cell r="B4000">
            <v>4.6284722222220659E-2</v>
          </cell>
          <cell r="C4000">
            <v>66</v>
          </cell>
        </row>
        <row r="4001">
          <cell r="B4001">
            <v>4.6296296296294732E-2</v>
          </cell>
          <cell r="C4001">
            <v>66</v>
          </cell>
        </row>
        <row r="4002">
          <cell r="B4002">
            <v>4.6307870370368806E-2</v>
          </cell>
          <cell r="C4002">
            <v>66</v>
          </cell>
        </row>
        <row r="4003">
          <cell r="B4003">
            <v>4.631944444444288E-2</v>
          </cell>
          <cell r="C4003">
            <v>66</v>
          </cell>
        </row>
        <row r="4004">
          <cell r="B4004">
            <v>4.6331018518516953E-2</v>
          </cell>
          <cell r="C4004">
            <v>66</v>
          </cell>
        </row>
        <row r="4005">
          <cell r="B4005">
            <v>4.6342592592591027E-2</v>
          </cell>
          <cell r="C4005">
            <v>66</v>
          </cell>
        </row>
        <row r="4006">
          <cell r="B4006">
            <v>4.63541666666651E-2</v>
          </cell>
          <cell r="C4006">
            <v>66</v>
          </cell>
        </row>
        <row r="4007">
          <cell r="B4007">
            <v>4.6365740740739174E-2</v>
          </cell>
          <cell r="C4007">
            <v>66</v>
          </cell>
        </row>
        <row r="4008">
          <cell r="B4008">
            <v>4.6377314814813247E-2</v>
          </cell>
          <cell r="C4008">
            <v>66</v>
          </cell>
        </row>
        <row r="4009">
          <cell r="B4009">
            <v>4.6388888888887321E-2</v>
          </cell>
          <cell r="C4009">
            <v>66</v>
          </cell>
        </row>
        <row r="4010">
          <cell r="B4010">
            <v>4.6400462962961395E-2</v>
          </cell>
          <cell r="C4010">
            <v>66</v>
          </cell>
        </row>
        <row r="4011">
          <cell r="B4011">
            <v>4.6412037037035468E-2</v>
          </cell>
          <cell r="C4011">
            <v>66</v>
          </cell>
        </row>
        <row r="4012">
          <cell r="B4012">
            <v>4.6423611111109542E-2</v>
          </cell>
          <cell r="C4012">
            <v>66</v>
          </cell>
        </row>
        <row r="4013">
          <cell r="B4013">
            <v>4.6435185185183615E-2</v>
          </cell>
          <cell r="C4013">
            <v>66</v>
          </cell>
        </row>
        <row r="4014">
          <cell r="B4014">
            <v>4.6446759259257689E-2</v>
          </cell>
          <cell r="C4014">
            <v>66</v>
          </cell>
        </row>
        <row r="4015">
          <cell r="B4015">
            <v>4.6458333333331762E-2</v>
          </cell>
          <cell r="C4015">
            <v>66</v>
          </cell>
        </row>
        <row r="4016">
          <cell r="B4016">
            <v>4.6469907407405836E-2</v>
          </cell>
          <cell r="C4016">
            <v>66</v>
          </cell>
        </row>
        <row r="4017">
          <cell r="B4017">
            <v>4.648148148147991E-2</v>
          </cell>
          <cell r="C4017">
            <v>66</v>
          </cell>
        </row>
        <row r="4018">
          <cell r="B4018">
            <v>4.6493055555553983E-2</v>
          </cell>
          <cell r="C4018">
            <v>66</v>
          </cell>
        </row>
        <row r="4019">
          <cell r="B4019">
            <v>4.6504629629628057E-2</v>
          </cell>
          <cell r="C4019">
            <v>66</v>
          </cell>
        </row>
        <row r="4020">
          <cell r="B4020">
            <v>4.651620370370213E-2</v>
          </cell>
          <cell r="C4020">
            <v>66</v>
          </cell>
        </row>
        <row r="4021">
          <cell r="B4021">
            <v>4.6527777777776204E-2</v>
          </cell>
          <cell r="C4021">
            <v>67</v>
          </cell>
        </row>
        <row r="4022">
          <cell r="B4022">
            <v>4.6539351851850277E-2</v>
          </cell>
          <cell r="C4022">
            <v>67</v>
          </cell>
        </row>
        <row r="4023">
          <cell r="B4023">
            <v>4.6550925925924351E-2</v>
          </cell>
          <cell r="C4023">
            <v>67</v>
          </cell>
        </row>
        <row r="4024">
          <cell r="B4024">
            <v>4.6562499999998425E-2</v>
          </cell>
          <cell r="C4024">
            <v>67</v>
          </cell>
        </row>
        <row r="4025">
          <cell r="B4025">
            <v>4.6574074074072498E-2</v>
          </cell>
          <cell r="C4025">
            <v>67</v>
          </cell>
        </row>
        <row r="4026">
          <cell r="B4026">
            <v>4.6585648148146572E-2</v>
          </cell>
          <cell r="C4026">
            <v>67</v>
          </cell>
        </row>
        <row r="4027">
          <cell r="B4027">
            <v>4.6597222222220645E-2</v>
          </cell>
          <cell r="C4027">
            <v>67</v>
          </cell>
        </row>
        <row r="4028">
          <cell r="B4028">
            <v>4.6608796296294719E-2</v>
          </cell>
          <cell r="C4028">
            <v>67</v>
          </cell>
        </row>
        <row r="4029">
          <cell r="B4029">
            <v>4.6620370370368792E-2</v>
          </cell>
          <cell r="C4029">
            <v>67</v>
          </cell>
        </row>
        <row r="4030">
          <cell r="B4030">
            <v>4.6631944444442866E-2</v>
          </cell>
          <cell r="C4030">
            <v>67</v>
          </cell>
        </row>
        <row r="4031">
          <cell r="B4031">
            <v>4.664351851851694E-2</v>
          </cell>
          <cell r="C4031">
            <v>67</v>
          </cell>
        </row>
        <row r="4032">
          <cell r="B4032">
            <v>4.6655092592591013E-2</v>
          </cell>
          <cell r="C4032">
            <v>67</v>
          </cell>
        </row>
        <row r="4033">
          <cell r="B4033">
            <v>4.6666666666665087E-2</v>
          </cell>
          <cell r="C4033">
            <v>67</v>
          </cell>
        </row>
        <row r="4034">
          <cell r="B4034">
            <v>4.667824074073916E-2</v>
          </cell>
          <cell r="C4034">
            <v>67</v>
          </cell>
        </row>
        <row r="4035">
          <cell r="B4035">
            <v>4.6689814814813234E-2</v>
          </cell>
          <cell r="C4035">
            <v>67</v>
          </cell>
        </row>
        <row r="4036">
          <cell r="B4036">
            <v>4.6701388888887307E-2</v>
          </cell>
          <cell r="C4036">
            <v>67</v>
          </cell>
        </row>
        <row r="4037">
          <cell r="B4037">
            <v>4.6712962962961381E-2</v>
          </cell>
          <cell r="C4037">
            <v>67</v>
          </cell>
        </row>
        <row r="4038">
          <cell r="B4038">
            <v>4.6724537037035455E-2</v>
          </cell>
          <cell r="C4038">
            <v>67</v>
          </cell>
        </row>
        <row r="4039">
          <cell r="B4039">
            <v>4.6736111111109528E-2</v>
          </cell>
          <cell r="C4039">
            <v>67</v>
          </cell>
        </row>
        <row r="4040">
          <cell r="B4040">
            <v>4.6747685185183602E-2</v>
          </cell>
          <cell r="C4040">
            <v>67</v>
          </cell>
        </row>
        <row r="4041">
          <cell r="B4041">
            <v>4.6759259259257675E-2</v>
          </cell>
          <cell r="C4041">
            <v>67</v>
          </cell>
        </row>
        <row r="4042">
          <cell r="B4042">
            <v>4.6770833333331749E-2</v>
          </cell>
          <cell r="C4042">
            <v>67</v>
          </cell>
        </row>
        <row r="4043">
          <cell r="B4043">
            <v>4.6782407407405822E-2</v>
          </cell>
          <cell r="C4043">
            <v>67</v>
          </cell>
        </row>
        <row r="4044">
          <cell r="B4044">
            <v>4.6793981481479896E-2</v>
          </cell>
          <cell r="C4044">
            <v>67</v>
          </cell>
        </row>
        <row r="4045">
          <cell r="B4045">
            <v>4.680555555555397E-2</v>
          </cell>
          <cell r="C4045">
            <v>67</v>
          </cell>
        </row>
        <row r="4046">
          <cell r="B4046">
            <v>4.6817129629628043E-2</v>
          </cell>
          <cell r="C4046">
            <v>67</v>
          </cell>
        </row>
        <row r="4047">
          <cell r="B4047">
            <v>4.6828703703702117E-2</v>
          </cell>
          <cell r="C4047">
            <v>67</v>
          </cell>
        </row>
        <row r="4048">
          <cell r="B4048">
            <v>4.684027777777619E-2</v>
          </cell>
          <cell r="C4048">
            <v>67</v>
          </cell>
        </row>
        <row r="4049">
          <cell r="B4049">
            <v>4.6851851851850264E-2</v>
          </cell>
          <cell r="C4049">
            <v>67</v>
          </cell>
        </row>
        <row r="4050">
          <cell r="B4050">
            <v>4.6863425925924337E-2</v>
          </cell>
          <cell r="C4050">
            <v>67</v>
          </cell>
        </row>
        <row r="4051">
          <cell r="B4051">
            <v>4.6874999999998411E-2</v>
          </cell>
          <cell r="C4051">
            <v>67</v>
          </cell>
        </row>
        <row r="4052">
          <cell r="B4052">
            <v>4.6886574074072485E-2</v>
          </cell>
          <cell r="C4052">
            <v>67</v>
          </cell>
        </row>
        <row r="4053">
          <cell r="B4053">
            <v>4.6898148148146558E-2</v>
          </cell>
          <cell r="C4053">
            <v>67</v>
          </cell>
        </row>
        <row r="4054">
          <cell r="B4054">
            <v>4.6909722222220632E-2</v>
          </cell>
          <cell r="C4054">
            <v>67</v>
          </cell>
        </row>
        <row r="4055">
          <cell r="B4055">
            <v>4.6921296296294705E-2</v>
          </cell>
          <cell r="C4055">
            <v>67</v>
          </cell>
        </row>
        <row r="4056">
          <cell r="B4056">
            <v>4.6932870370368779E-2</v>
          </cell>
          <cell r="C4056">
            <v>67</v>
          </cell>
        </row>
        <row r="4057">
          <cell r="B4057">
            <v>4.6944444444442852E-2</v>
          </cell>
          <cell r="C4057">
            <v>67</v>
          </cell>
        </row>
        <row r="4058">
          <cell r="B4058">
            <v>4.6956018518516926E-2</v>
          </cell>
          <cell r="C4058">
            <v>67</v>
          </cell>
        </row>
        <row r="4059">
          <cell r="B4059">
            <v>4.6967592592591E-2</v>
          </cell>
          <cell r="C4059">
            <v>67</v>
          </cell>
        </row>
        <row r="4060">
          <cell r="B4060">
            <v>4.6979166666665073E-2</v>
          </cell>
          <cell r="C4060">
            <v>67</v>
          </cell>
        </row>
        <row r="4061">
          <cell r="B4061">
            <v>4.6990740740739147E-2</v>
          </cell>
          <cell r="C4061">
            <v>67</v>
          </cell>
        </row>
        <row r="4062">
          <cell r="B4062">
            <v>4.700231481481322E-2</v>
          </cell>
          <cell r="C4062">
            <v>67</v>
          </cell>
        </row>
        <row r="4063">
          <cell r="B4063">
            <v>4.7013888888887294E-2</v>
          </cell>
          <cell r="C4063">
            <v>67</v>
          </cell>
        </row>
        <row r="4064">
          <cell r="B4064">
            <v>4.7025462962961367E-2</v>
          </cell>
          <cell r="C4064">
            <v>67</v>
          </cell>
        </row>
        <row r="4065">
          <cell r="B4065">
            <v>4.7037037037035441E-2</v>
          </cell>
          <cell r="C4065">
            <v>67</v>
          </cell>
        </row>
        <row r="4066">
          <cell r="B4066">
            <v>4.7048611111109515E-2</v>
          </cell>
          <cell r="C4066">
            <v>67</v>
          </cell>
        </row>
        <row r="4067">
          <cell r="B4067">
            <v>4.7060185185183588E-2</v>
          </cell>
          <cell r="C4067">
            <v>67</v>
          </cell>
        </row>
        <row r="4068">
          <cell r="B4068">
            <v>4.7071759259257662E-2</v>
          </cell>
          <cell r="C4068">
            <v>67</v>
          </cell>
        </row>
        <row r="4069">
          <cell r="B4069">
            <v>4.7083333333331735E-2</v>
          </cell>
          <cell r="C4069">
            <v>67</v>
          </cell>
        </row>
        <row r="4070">
          <cell r="B4070">
            <v>4.7094907407405809E-2</v>
          </cell>
          <cell r="C4070">
            <v>67</v>
          </cell>
        </row>
        <row r="4071">
          <cell r="B4071">
            <v>4.7106481481479882E-2</v>
          </cell>
          <cell r="C4071">
            <v>67</v>
          </cell>
        </row>
        <row r="4072">
          <cell r="B4072">
            <v>4.7118055555553956E-2</v>
          </cell>
          <cell r="C4072">
            <v>67</v>
          </cell>
        </row>
        <row r="4073">
          <cell r="B4073">
            <v>4.712962962962803E-2</v>
          </cell>
          <cell r="C4073">
            <v>67</v>
          </cell>
        </row>
        <row r="4074">
          <cell r="B4074">
            <v>4.7141203703702103E-2</v>
          </cell>
          <cell r="C4074">
            <v>67</v>
          </cell>
        </row>
        <row r="4075">
          <cell r="B4075">
            <v>4.7152777777776177E-2</v>
          </cell>
          <cell r="C4075">
            <v>67</v>
          </cell>
        </row>
        <row r="4076">
          <cell r="B4076">
            <v>4.716435185185025E-2</v>
          </cell>
          <cell r="C4076">
            <v>67</v>
          </cell>
        </row>
        <row r="4077">
          <cell r="B4077">
            <v>4.7175925925924324E-2</v>
          </cell>
          <cell r="C4077">
            <v>67</v>
          </cell>
        </row>
        <row r="4078">
          <cell r="B4078">
            <v>4.7187499999998397E-2</v>
          </cell>
          <cell r="C4078">
            <v>67</v>
          </cell>
        </row>
        <row r="4079">
          <cell r="B4079">
            <v>4.7199074074072471E-2</v>
          </cell>
          <cell r="C4079">
            <v>67</v>
          </cell>
        </row>
        <row r="4080">
          <cell r="B4080">
            <v>4.7210648148146545E-2</v>
          </cell>
          <cell r="C4080">
            <v>67</v>
          </cell>
        </row>
        <row r="4081">
          <cell r="B4081">
            <v>4.7222222222220618E-2</v>
          </cell>
          <cell r="C4081">
            <v>68</v>
          </cell>
        </row>
        <row r="4082">
          <cell r="B4082">
            <v>4.7233796296294692E-2</v>
          </cell>
          <cell r="C4082">
            <v>68</v>
          </cell>
        </row>
        <row r="4083">
          <cell r="B4083">
            <v>4.7245370370368765E-2</v>
          </cell>
          <cell r="C4083">
            <v>68</v>
          </cell>
        </row>
        <row r="4084">
          <cell r="B4084">
            <v>4.7256944444442839E-2</v>
          </cell>
          <cell r="C4084">
            <v>68</v>
          </cell>
        </row>
        <row r="4085">
          <cell r="B4085">
            <v>4.7268518518516912E-2</v>
          </cell>
          <cell r="C4085">
            <v>68</v>
          </cell>
        </row>
        <row r="4086">
          <cell r="B4086">
            <v>4.7280092592590986E-2</v>
          </cell>
          <cell r="C4086">
            <v>68</v>
          </cell>
        </row>
        <row r="4087">
          <cell r="B4087">
            <v>4.729166666666506E-2</v>
          </cell>
          <cell r="C4087">
            <v>68</v>
          </cell>
        </row>
        <row r="4088">
          <cell r="B4088">
            <v>4.7303240740739133E-2</v>
          </cell>
          <cell r="C4088">
            <v>68</v>
          </cell>
        </row>
        <row r="4089">
          <cell r="B4089">
            <v>4.7314814814813207E-2</v>
          </cell>
          <cell r="C4089">
            <v>68</v>
          </cell>
        </row>
        <row r="4090">
          <cell r="B4090">
            <v>4.732638888888728E-2</v>
          </cell>
          <cell r="C4090">
            <v>68</v>
          </cell>
        </row>
        <row r="4091">
          <cell r="B4091">
            <v>4.7337962962961354E-2</v>
          </cell>
          <cell r="C4091">
            <v>68</v>
          </cell>
        </row>
        <row r="4092">
          <cell r="B4092">
            <v>4.7349537037035427E-2</v>
          </cell>
          <cell r="C4092">
            <v>68</v>
          </cell>
        </row>
        <row r="4093">
          <cell r="B4093">
            <v>4.7361111111109501E-2</v>
          </cell>
          <cell r="C4093">
            <v>68</v>
          </cell>
        </row>
        <row r="4094">
          <cell r="B4094">
            <v>4.7372685185183575E-2</v>
          </cell>
          <cell r="C4094">
            <v>68</v>
          </cell>
        </row>
        <row r="4095">
          <cell r="B4095">
            <v>4.7384259259257648E-2</v>
          </cell>
          <cell r="C4095">
            <v>68</v>
          </cell>
        </row>
        <row r="4096">
          <cell r="B4096">
            <v>4.7395833333331722E-2</v>
          </cell>
          <cell r="C4096">
            <v>68</v>
          </cell>
        </row>
        <row r="4097">
          <cell r="B4097">
            <v>4.7407407407405795E-2</v>
          </cell>
          <cell r="C4097">
            <v>68</v>
          </cell>
        </row>
        <row r="4098">
          <cell r="B4098">
            <v>4.7418981481479869E-2</v>
          </cell>
          <cell r="C4098">
            <v>68</v>
          </cell>
        </row>
        <row r="4099">
          <cell r="B4099">
            <v>4.7430555555553942E-2</v>
          </cell>
          <cell r="C4099">
            <v>68</v>
          </cell>
        </row>
        <row r="4100">
          <cell r="B4100">
            <v>4.7442129629628016E-2</v>
          </cell>
          <cell r="C4100">
            <v>68</v>
          </cell>
        </row>
        <row r="4101">
          <cell r="B4101">
            <v>4.745370370370209E-2</v>
          </cell>
          <cell r="C4101">
            <v>68</v>
          </cell>
        </row>
        <row r="4102">
          <cell r="B4102">
            <v>4.7465277777776163E-2</v>
          </cell>
          <cell r="C4102">
            <v>68</v>
          </cell>
        </row>
        <row r="4103">
          <cell r="B4103">
            <v>4.7476851851850237E-2</v>
          </cell>
          <cell r="C4103">
            <v>68</v>
          </cell>
        </row>
        <row r="4104">
          <cell r="B4104">
            <v>4.748842592592431E-2</v>
          </cell>
          <cell r="C4104">
            <v>68</v>
          </cell>
        </row>
        <row r="4105">
          <cell r="B4105">
            <v>4.7499999999998384E-2</v>
          </cell>
          <cell r="C4105">
            <v>68</v>
          </cell>
        </row>
        <row r="4106">
          <cell r="B4106">
            <v>4.7511574074072457E-2</v>
          </cell>
          <cell r="C4106">
            <v>68</v>
          </cell>
        </row>
        <row r="4107">
          <cell r="B4107">
            <v>4.7523148148146531E-2</v>
          </cell>
          <cell r="C4107">
            <v>68</v>
          </cell>
        </row>
        <row r="4108">
          <cell r="B4108">
            <v>4.7534722222220605E-2</v>
          </cell>
          <cell r="C4108">
            <v>68</v>
          </cell>
        </row>
        <row r="4109">
          <cell r="B4109">
            <v>4.7546296296294678E-2</v>
          </cell>
          <cell r="C4109">
            <v>68</v>
          </cell>
        </row>
        <row r="4110">
          <cell r="B4110">
            <v>4.7557870370368752E-2</v>
          </cell>
          <cell r="C4110">
            <v>68</v>
          </cell>
        </row>
        <row r="4111">
          <cell r="B4111">
            <v>4.7569444444442825E-2</v>
          </cell>
          <cell r="C4111">
            <v>68</v>
          </cell>
        </row>
        <row r="4112">
          <cell r="B4112">
            <v>4.7581018518516899E-2</v>
          </cell>
          <cell r="C4112">
            <v>68</v>
          </cell>
        </row>
        <row r="4113">
          <cell r="B4113">
            <v>4.7592592592590972E-2</v>
          </cell>
          <cell r="C4113">
            <v>68</v>
          </cell>
        </row>
        <row r="4114">
          <cell r="B4114">
            <v>4.7604166666665046E-2</v>
          </cell>
          <cell r="C4114">
            <v>68</v>
          </cell>
        </row>
        <row r="4115">
          <cell r="B4115">
            <v>4.7615740740739119E-2</v>
          </cell>
          <cell r="C4115">
            <v>68</v>
          </cell>
        </row>
        <row r="4116">
          <cell r="B4116">
            <v>4.7627314814813193E-2</v>
          </cell>
          <cell r="C4116">
            <v>68</v>
          </cell>
        </row>
        <row r="4117">
          <cell r="B4117">
            <v>4.7638888888887267E-2</v>
          </cell>
          <cell r="C4117">
            <v>68</v>
          </cell>
        </row>
        <row r="4118">
          <cell r="B4118">
            <v>4.765046296296134E-2</v>
          </cell>
          <cell r="C4118">
            <v>68</v>
          </cell>
        </row>
        <row r="4119">
          <cell r="B4119">
            <v>4.7662037037035414E-2</v>
          </cell>
          <cell r="C4119">
            <v>68</v>
          </cell>
        </row>
        <row r="4120">
          <cell r="B4120">
            <v>4.7673611111109487E-2</v>
          </cell>
          <cell r="C4120">
            <v>68</v>
          </cell>
        </row>
        <row r="4121">
          <cell r="B4121">
            <v>4.7685185185183561E-2</v>
          </cell>
          <cell r="C4121">
            <v>68</v>
          </cell>
        </row>
        <row r="4122">
          <cell r="B4122">
            <v>4.7696759259257634E-2</v>
          </cell>
          <cell r="C4122">
            <v>68</v>
          </cell>
        </row>
        <row r="4123">
          <cell r="B4123">
            <v>4.7708333333331708E-2</v>
          </cell>
          <cell r="C4123">
            <v>68</v>
          </cell>
        </row>
        <row r="4124">
          <cell r="B4124">
            <v>4.7719907407405782E-2</v>
          </cell>
          <cell r="C4124">
            <v>68</v>
          </cell>
        </row>
        <row r="4125">
          <cell r="B4125">
            <v>4.7731481481479855E-2</v>
          </cell>
          <cell r="C4125">
            <v>68</v>
          </cell>
        </row>
        <row r="4126">
          <cell r="B4126">
            <v>4.7743055555553929E-2</v>
          </cell>
          <cell r="C4126">
            <v>68</v>
          </cell>
        </row>
        <row r="4127">
          <cell r="B4127">
            <v>4.7754629629628002E-2</v>
          </cell>
          <cell r="C4127">
            <v>68</v>
          </cell>
        </row>
        <row r="4128">
          <cell r="B4128">
            <v>4.7766203703702076E-2</v>
          </cell>
          <cell r="C4128">
            <v>68</v>
          </cell>
        </row>
        <row r="4129">
          <cell r="B4129">
            <v>4.7777777777776149E-2</v>
          </cell>
          <cell r="C4129">
            <v>68</v>
          </cell>
        </row>
        <row r="4130">
          <cell r="B4130">
            <v>4.7789351851850223E-2</v>
          </cell>
          <cell r="C4130">
            <v>68</v>
          </cell>
        </row>
        <row r="4131">
          <cell r="B4131">
            <v>4.7800925925924297E-2</v>
          </cell>
          <cell r="C4131">
            <v>68</v>
          </cell>
        </row>
        <row r="4132">
          <cell r="B4132">
            <v>4.781249999999837E-2</v>
          </cell>
          <cell r="C4132">
            <v>68</v>
          </cell>
        </row>
        <row r="4133">
          <cell r="B4133">
            <v>4.7824074074072444E-2</v>
          </cell>
          <cell r="C4133">
            <v>68</v>
          </cell>
        </row>
        <row r="4134">
          <cell r="B4134">
            <v>4.7835648148146517E-2</v>
          </cell>
          <cell r="C4134">
            <v>68</v>
          </cell>
        </row>
        <row r="4135">
          <cell r="B4135">
            <v>4.7847222222220591E-2</v>
          </cell>
          <cell r="C4135">
            <v>68</v>
          </cell>
        </row>
        <row r="4136">
          <cell r="B4136">
            <v>4.7858796296294664E-2</v>
          </cell>
          <cell r="C4136">
            <v>68</v>
          </cell>
        </row>
        <row r="4137">
          <cell r="B4137">
            <v>4.7870370370368738E-2</v>
          </cell>
          <cell r="C4137">
            <v>68</v>
          </cell>
        </row>
        <row r="4138">
          <cell r="B4138">
            <v>4.7881944444442812E-2</v>
          </cell>
          <cell r="C4138">
            <v>68</v>
          </cell>
        </row>
        <row r="4139">
          <cell r="B4139">
            <v>4.7893518518516885E-2</v>
          </cell>
          <cell r="C4139">
            <v>68</v>
          </cell>
        </row>
        <row r="4140">
          <cell r="B4140">
            <v>4.7905092592590959E-2</v>
          </cell>
          <cell r="C4140">
            <v>68</v>
          </cell>
        </row>
        <row r="4141">
          <cell r="B4141">
            <v>4.7916666666665032E-2</v>
          </cell>
          <cell r="C4141">
            <v>69</v>
          </cell>
        </row>
        <row r="4142">
          <cell r="B4142">
            <v>4.7928240740739106E-2</v>
          </cell>
          <cell r="C4142">
            <v>69</v>
          </cell>
        </row>
        <row r="4143">
          <cell r="B4143">
            <v>4.7939814814813179E-2</v>
          </cell>
          <cell r="C4143">
            <v>69</v>
          </cell>
        </row>
        <row r="4144">
          <cell r="B4144">
            <v>4.7951388888887253E-2</v>
          </cell>
          <cell r="C4144">
            <v>69</v>
          </cell>
        </row>
        <row r="4145">
          <cell r="B4145">
            <v>4.7962962962961327E-2</v>
          </cell>
          <cell r="C4145">
            <v>69</v>
          </cell>
        </row>
        <row r="4146">
          <cell r="B4146">
            <v>4.79745370370354E-2</v>
          </cell>
          <cell r="C4146">
            <v>69</v>
          </cell>
        </row>
        <row r="4147">
          <cell r="B4147">
            <v>4.7986111111109474E-2</v>
          </cell>
          <cell r="C4147">
            <v>69</v>
          </cell>
        </row>
        <row r="4148">
          <cell r="B4148">
            <v>4.7997685185183547E-2</v>
          </cell>
          <cell r="C4148">
            <v>69</v>
          </cell>
        </row>
        <row r="4149">
          <cell r="B4149">
            <v>4.8009259259257621E-2</v>
          </cell>
          <cell r="C4149">
            <v>69</v>
          </cell>
        </row>
        <row r="4150">
          <cell r="B4150">
            <v>4.8020833333331694E-2</v>
          </cell>
          <cell r="C4150">
            <v>69</v>
          </cell>
        </row>
        <row r="4151">
          <cell r="B4151">
            <v>4.8032407407405768E-2</v>
          </cell>
          <cell r="C4151">
            <v>69</v>
          </cell>
        </row>
        <row r="4152">
          <cell r="B4152">
            <v>4.8043981481479842E-2</v>
          </cell>
          <cell r="C4152">
            <v>69</v>
          </cell>
        </row>
        <row r="4153">
          <cell r="B4153">
            <v>4.8055555555553915E-2</v>
          </cell>
          <cell r="C4153">
            <v>69</v>
          </cell>
        </row>
        <row r="4154">
          <cell r="B4154">
            <v>4.8067129629627989E-2</v>
          </cell>
          <cell r="C4154">
            <v>69</v>
          </cell>
        </row>
        <row r="4155">
          <cell r="B4155">
            <v>4.8078703703702062E-2</v>
          </cell>
          <cell r="C4155">
            <v>69</v>
          </cell>
        </row>
        <row r="4156">
          <cell r="B4156">
            <v>4.8090277777776136E-2</v>
          </cell>
          <cell r="C4156">
            <v>69</v>
          </cell>
        </row>
        <row r="4157">
          <cell r="B4157">
            <v>4.8101851851850209E-2</v>
          </cell>
          <cell r="C4157">
            <v>69</v>
          </cell>
        </row>
        <row r="4158">
          <cell r="B4158">
            <v>4.8113425925924283E-2</v>
          </cell>
          <cell r="C4158">
            <v>69</v>
          </cell>
        </row>
        <row r="4159">
          <cell r="B4159">
            <v>4.8124999999998357E-2</v>
          </cell>
          <cell r="C4159">
            <v>69</v>
          </cell>
        </row>
        <row r="4160">
          <cell r="B4160">
            <v>4.813657407407243E-2</v>
          </cell>
          <cell r="C4160">
            <v>69</v>
          </cell>
        </row>
        <row r="4161">
          <cell r="B4161">
            <v>4.8148148148146504E-2</v>
          </cell>
          <cell r="C4161">
            <v>69</v>
          </cell>
        </row>
        <row r="4162">
          <cell r="B4162">
            <v>4.8159722222220577E-2</v>
          </cell>
          <cell r="C4162">
            <v>69</v>
          </cell>
        </row>
        <row r="4163">
          <cell r="B4163">
            <v>4.8171296296294651E-2</v>
          </cell>
          <cell r="C4163">
            <v>69</v>
          </cell>
        </row>
        <row r="4164">
          <cell r="B4164">
            <v>4.8182870370368724E-2</v>
          </cell>
          <cell r="C4164">
            <v>69</v>
          </cell>
        </row>
        <row r="4165">
          <cell r="B4165">
            <v>4.8194444444442798E-2</v>
          </cell>
          <cell r="C4165">
            <v>69</v>
          </cell>
        </row>
        <row r="4166">
          <cell r="B4166">
            <v>4.8206018518516872E-2</v>
          </cell>
          <cell r="C4166">
            <v>69</v>
          </cell>
        </row>
        <row r="4167">
          <cell r="B4167">
            <v>4.8217592592590945E-2</v>
          </cell>
          <cell r="C4167">
            <v>69</v>
          </cell>
        </row>
        <row r="4168">
          <cell r="B4168">
            <v>4.8229166666665019E-2</v>
          </cell>
          <cell r="C4168">
            <v>69</v>
          </cell>
        </row>
        <row r="4169">
          <cell r="B4169">
            <v>4.8240740740739092E-2</v>
          </cell>
          <cell r="C4169">
            <v>69</v>
          </cell>
        </row>
        <row r="4170">
          <cell r="B4170">
            <v>4.8252314814813166E-2</v>
          </cell>
          <cell r="C4170">
            <v>69</v>
          </cell>
        </row>
        <row r="4171">
          <cell r="B4171">
            <v>4.8263888888887239E-2</v>
          </cell>
          <cell r="C4171">
            <v>69</v>
          </cell>
        </row>
        <row r="4172">
          <cell r="B4172">
            <v>4.8275462962961313E-2</v>
          </cell>
          <cell r="C4172">
            <v>69</v>
          </cell>
        </row>
        <row r="4173">
          <cell r="B4173">
            <v>4.8287037037035387E-2</v>
          </cell>
          <cell r="C4173">
            <v>69</v>
          </cell>
        </row>
        <row r="4174">
          <cell r="B4174">
            <v>4.829861111110946E-2</v>
          </cell>
          <cell r="C4174">
            <v>69</v>
          </cell>
        </row>
        <row r="4175">
          <cell r="B4175">
            <v>4.8310185185183534E-2</v>
          </cell>
          <cell r="C4175">
            <v>69</v>
          </cell>
        </row>
        <row r="4176">
          <cell r="B4176">
            <v>4.8321759259257607E-2</v>
          </cell>
          <cell r="C4176">
            <v>69</v>
          </cell>
        </row>
        <row r="4177">
          <cell r="B4177">
            <v>4.8333333333331681E-2</v>
          </cell>
          <cell r="C4177">
            <v>69</v>
          </cell>
        </row>
        <row r="4178">
          <cell r="B4178">
            <v>4.8344907407405754E-2</v>
          </cell>
          <cell r="C4178">
            <v>69</v>
          </cell>
        </row>
        <row r="4179">
          <cell r="B4179">
            <v>4.8356481481479828E-2</v>
          </cell>
          <cell r="C4179">
            <v>69</v>
          </cell>
        </row>
        <row r="4180">
          <cell r="B4180">
            <v>4.8368055555553902E-2</v>
          </cell>
          <cell r="C4180">
            <v>69</v>
          </cell>
        </row>
        <row r="4181">
          <cell r="B4181">
            <v>4.8379629629627975E-2</v>
          </cell>
          <cell r="C4181">
            <v>69</v>
          </cell>
        </row>
        <row r="4182">
          <cell r="B4182">
            <v>4.8391203703702049E-2</v>
          </cell>
          <cell r="C4182">
            <v>69</v>
          </cell>
        </row>
        <row r="4183">
          <cell r="B4183">
            <v>4.8402777777776122E-2</v>
          </cell>
          <cell r="C4183">
            <v>69</v>
          </cell>
        </row>
        <row r="4184">
          <cell r="B4184">
            <v>4.8414351851850196E-2</v>
          </cell>
          <cell r="C4184">
            <v>69</v>
          </cell>
        </row>
        <row r="4185">
          <cell r="B4185">
            <v>4.8425925925924269E-2</v>
          </cell>
          <cell r="C4185">
            <v>69</v>
          </cell>
        </row>
        <row r="4186">
          <cell r="B4186">
            <v>4.8437499999998343E-2</v>
          </cell>
          <cell r="C4186">
            <v>69</v>
          </cell>
        </row>
        <row r="4187">
          <cell r="B4187">
            <v>4.8449074074072417E-2</v>
          </cell>
          <cell r="C4187">
            <v>69</v>
          </cell>
        </row>
        <row r="4188">
          <cell r="B4188">
            <v>4.846064814814649E-2</v>
          </cell>
          <cell r="C4188">
            <v>69</v>
          </cell>
        </row>
        <row r="4189">
          <cell r="B4189">
            <v>4.8472222222220564E-2</v>
          </cell>
          <cell r="C4189">
            <v>69</v>
          </cell>
        </row>
        <row r="4190">
          <cell r="B4190">
            <v>4.8483796296294637E-2</v>
          </cell>
          <cell r="C4190">
            <v>69</v>
          </cell>
        </row>
        <row r="4191">
          <cell r="B4191">
            <v>4.8495370370368711E-2</v>
          </cell>
          <cell r="C4191">
            <v>69</v>
          </cell>
        </row>
        <row r="4192">
          <cell r="B4192">
            <v>4.8506944444442784E-2</v>
          </cell>
          <cell r="C4192">
            <v>69</v>
          </cell>
        </row>
        <row r="4193">
          <cell r="B4193">
            <v>4.8518518518516858E-2</v>
          </cell>
          <cell r="C4193">
            <v>69</v>
          </cell>
        </row>
        <row r="4194">
          <cell r="B4194">
            <v>4.8530092592590932E-2</v>
          </cell>
          <cell r="C4194">
            <v>69</v>
          </cell>
        </row>
        <row r="4195">
          <cell r="B4195">
            <v>4.8541666666665005E-2</v>
          </cell>
          <cell r="C4195">
            <v>69</v>
          </cell>
        </row>
        <row r="4196">
          <cell r="B4196">
            <v>4.8553240740739079E-2</v>
          </cell>
          <cell r="C4196">
            <v>69</v>
          </cell>
        </row>
        <row r="4197">
          <cell r="B4197">
            <v>4.8564814814813152E-2</v>
          </cell>
          <cell r="C4197">
            <v>69</v>
          </cell>
        </row>
        <row r="4198">
          <cell r="B4198">
            <v>4.8576388888887226E-2</v>
          </cell>
          <cell r="C4198">
            <v>69</v>
          </cell>
        </row>
        <row r="4199">
          <cell r="B4199">
            <v>4.8587962962961299E-2</v>
          </cell>
          <cell r="C4199">
            <v>69</v>
          </cell>
        </row>
        <row r="4200">
          <cell r="B4200">
            <v>4.8599537037035373E-2</v>
          </cell>
          <cell r="C4200">
            <v>69</v>
          </cell>
        </row>
        <row r="4201">
          <cell r="B4201">
            <v>4.8611111111109447E-2</v>
          </cell>
          <cell r="C4201">
            <v>70</v>
          </cell>
        </row>
        <row r="4202">
          <cell r="B4202">
            <v>4.862268518518352E-2</v>
          </cell>
          <cell r="C4202">
            <v>70</v>
          </cell>
        </row>
        <row r="4203">
          <cell r="B4203">
            <v>4.8634259259257594E-2</v>
          </cell>
          <cell r="C4203">
            <v>70</v>
          </cell>
        </row>
        <row r="4204">
          <cell r="B4204">
            <v>4.8645833333331667E-2</v>
          </cell>
          <cell r="C4204">
            <v>70</v>
          </cell>
        </row>
        <row r="4205">
          <cell r="B4205">
            <v>4.8657407407405741E-2</v>
          </cell>
          <cell r="C4205">
            <v>70</v>
          </cell>
        </row>
        <row r="4206">
          <cell r="B4206">
            <v>4.8668981481479814E-2</v>
          </cell>
          <cell r="C4206">
            <v>70</v>
          </cell>
        </row>
        <row r="4207">
          <cell r="B4207">
            <v>4.8680555555553888E-2</v>
          </cell>
          <cell r="C4207">
            <v>70</v>
          </cell>
        </row>
        <row r="4208">
          <cell r="B4208">
            <v>4.8692129629627962E-2</v>
          </cell>
          <cell r="C4208">
            <v>70</v>
          </cell>
        </row>
        <row r="4209">
          <cell r="B4209">
            <v>4.8703703703702035E-2</v>
          </cell>
          <cell r="C4209">
            <v>70</v>
          </cell>
        </row>
        <row r="4210">
          <cell r="B4210">
            <v>4.8715277777776109E-2</v>
          </cell>
          <cell r="C4210">
            <v>70</v>
          </cell>
        </row>
        <row r="4211">
          <cell r="B4211">
            <v>4.8726851851850182E-2</v>
          </cell>
          <cell r="C4211">
            <v>70</v>
          </cell>
        </row>
        <row r="4212">
          <cell r="B4212">
            <v>4.8738425925924256E-2</v>
          </cell>
          <cell r="C4212">
            <v>70</v>
          </cell>
        </row>
        <row r="4213">
          <cell r="B4213">
            <v>4.8749999999998329E-2</v>
          </cell>
          <cell r="C4213">
            <v>70</v>
          </cell>
        </row>
        <row r="4214">
          <cell r="B4214">
            <v>4.8761574074072403E-2</v>
          </cell>
          <cell r="C4214">
            <v>70</v>
          </cell>
        </row>
        <row r="4215">
          <cell r="B4215">
            <v>4.8773148148146477E-2</v>
          </cell>
          <cell r="C4215">
            <v>70</v>
          </cell>
        </row>
        <row r="4216">
          <cell r="B4216">
            <v>4.878472222222055E-2</v>
          </cell>
          <cell r="C4216">
            <v>70</v>
          </cell>
        </row>
        <row r="4217">
          <cell r="B4217">
            <v>4.8796296296294624E-2</v>
          </cell>
          <cell r="C4217">
            <v>70</v>
          </cell>
        </row>
        <row r="4218">
          <cell r="B4218">
            <v>4.8807870370368697E-2</v>
          </cell>
          <cell r="C4218">
            <v>70</v>
          </cell>
        </row>
        <row r="4219">
          <cell r="B4219">
            <v>4.8819444444442771E-2</v>
          </cell>
          <cell r="C4219">
            <v>70</v>
          </cell>
        </row>
        <row r="4220">
          <cell r="B4220">
            <v>4.8831018518516844E-2</v>
          </cell>
          <cell r="C4220">
            <v>70</v>
          </cell>
        </row>
        <row r="4221">
          <cell r="B4221">
            <v>4.8842592592590918E-2</v>
          </cell>
          <cell r="C4221">
            <v>70</v>
          </cell>
        </row>
        <row r="4222">
          <cell r="B4222">
            <v>4.8854166666664992E-2</v>
          </cell>
          <cell r="C4222">
            <v>70</v>
          </cell>
        </row>
        <row r="4223">
          <cell r="B4223">
            <v>4.8865740740739065E-2</v>
          </cell>
          <cell r="C4223">
            <v>70</v>
          </cell>
        </row>
        <row r="4224">
          <cell r="B4224">
            <v>4.8877314814813139E-2</v>
          </cell>
          <cell r="C4224">
            <v>70</v>
          </cell>
        </row>
        <row r="4225">
          <cell r="B4225">
            <v>4.8888888888887212E-2</v>
          </cell>
          <cell r="C4225">
            <v>70</v>
          </cell>
        </row>
        <row r="4226">
          <cell r="B4226">
            <v>4.8900462962961286E-2</v>
          </cell>
          <cell r="C4226">
            <v>70</v>
          </cell>
        </row>
        <row r="4227">
          <cell r="B4227">
            <v>4.8912037037035359E-2</v>
          </cell>
          <cell r="C4227">
            <v>70</v>
          </cell>
        </row>
        <row r="4228">
          <cell r="B4228">
            <v>4.8923611111109433E-2</v>
          </cell>
          <cell r="C4228">
            <v>70</v>
          </cell>
        </row>
        <row r="4229">
          <cell r="B4229">
            <v>4.8935185185183507E-2</v>
          </cell>
          <cell r="C4229">
            <v>70</v>
          </cell>
        </row>
        <row r="4230">
          <cell r="B4230">
            <v>4.894675925925758E-2</v>
          </cell>
          <cell r="C4230">
            <v>70</v>
          </cell>
        </row>
        <row r="4231">
          <cell r="B4231">
            <v>4.8958333333331654E-2</v>
          </cell>
          <cell r="C4231">
            <v>70</v>
          </cell>
        </row>
        <row r="4232">
          <cell r="B4232">
            <v>4.8969907407405727E-2</v>
          </cell>
          <cell r="C4232">
            <v>70</v>
          </cell>
        </row>
        <row r="4233">
          <cell r="B4233">
            <v>4.8981481481479801E-2</v>
          </cell>
          <cell r="C4233">
            <v>70</v>
          </cell>
        </row>
        <row r="4234">
          <cell r="B4234">
            <v>4.8993055555553874E-2</v>
          </cell>
          <cell r="C4234">
            <v>70</v>
          </cell>
        </row>
        <row r="4235">
          <cell r="B4235">
            <v>4.9004629629627948E-2</v>
          </cell>
          <cell r="C4235">
            <v>70</v>
          </cell>
        </row>
        <row r="4236">
          <cell r="B4236">
            <v>4.9016203703702022E-2</v>
          </cell>
          <cell r="C4236">
            <v>70</v>
          </cell>
        </row>
        <row r="4237">
          <cell r="B4237">
            <v>4.9027777777776095E-2</v>
          </cell>
          <cell r="C4237">
            <v>70</v>
          </cell>
        </row>
        <row r="4238">
          <cell r="B4238">
            <v>4.9039351851850169E-2</v>
          </cell>
          <cell r="C4238">
            <v>70</v>
          </cell>
        </row>
        <row r="4239">
          <cell r="B4239">
            <v>4.9050925925924242E-2</v>
          </cell>
          <cell r="C4239">
            <v>70</v>
          </cell>
        </row>
        <row r="4240">
          <cell r="B4240">
            <v>4.9062499999998316E-2</v>
          </cell>
          <cell r="C4240">
            <v>70</v>
          </cell>
        </row>
        <row r="4241">
          <cell r="B4241">
            <v>4.9074074074072389E-2</v>
          </cell>
          <cell r="C4241">
            <v>70</v>
          </cell>
        </row>
        <row r="4242">
          <cell r="B4242">
            <v>4.9085648148146463E-2</v>
          </cell>
          <cell r="C4242">
            <v>70</v>
          </cell>
        </row>
        <row r="4243">
          <cell r="B4243">
            <v>4.9097222222220537E-2</v>
          </cell>
          <cell r="C4243">
            <v>70</v>
          </cell>
        </row>
        <row r="4244">
          <cell r="B4244">
            <v>4.910879629629461E-2</v>
          </cell>
          <cell r="C4244">
            <v>70</v>
          </cell>
        </row>
        <row r="4245">
          <cell r="B4245">
            <v>4.9120370370368684E-2</v>
          </cell>
          <cell r="C4245">
            <v>70</v>
          </cell>
        </row>
        <row r="4246">
          <cell r="B4246">
            <v>4.9131944444442757E-2</v>
          </cell>
          <cell r="C4246">
            <v>70</v>
          </cell>
        </row>
        <row r="4247">
          <cell r="B4247">
            <v>4.9143518518516831E-2</v>
          </cell>
          <cell r="C4247">
            <v>70</v>
          </cell>
        </row>
        <row r="4248">
          <cell r="B4248">
            <v>4.9155092592590904E-2</v>
          </cell>
          <cell r="C4248">
            <v>70</v>
          </cell>
        </row>
        <row r="4249">
          <cell r="B4249">
            <v>4.9166666666664978E-2</v>
          </cell>
          <cell r="C4249">
            <v>70</v>
          </cell>
        </row>
        <row r="4250">
          <cell r="B4250">
            <v>4.9178240740739051E-2</v>
          </cell>
          <cell r="C4250">
            <v>70</v>
          </cell>
        </row>
        <row r="4251">
          <cell r="B4251">
            <v>4.9189814814813125E-2</v>
          </cell>
          <cell r="C4251">
            <v>70</v>
          </cell>
        </row>
        <row r="4252">
          <cell r="B4252">
            <v>4.9201388888887199E-2</v>
          </cell>
          <cell r="C4252">
            <v>70</v>
          </cell>
        </row>
        <row r="4253">
          <cell r="B4253">
            <v>4.9212962962961272E-2</v>
          </cell>
          <cell r="C4253">
            <v>70</v>
          </cell>
        </row>
        <row r="4254">
          <cell r="B4254">
            <v>4.9224537037035346E-2</v>
          </cell>
          <cell r="C4254">
            <v>70</v>
          </cell>
        </row>
        <row r="4255">
          <cell r="B4255">
            <v>4.9236111111109419E-2</v>
          </cell>
          <cell r="C4255">
            <v>70</v>
          </cell>
        </row>
        <row r="4256">
          <cell r="B4256">
            <v>4.9247685185183493E-2</v>
          </cell>
          <cell r="C4256">
            <v>70</v>
          </cell>
        </row>
        <row r="4257">
          <cell r="B4257">
            <v>4.9259259259257566E-2</v>
          </cell>
          <cell r="C4257">
            <v>70</v>
          </cell>
        </row>
        <row r="4258">
          <cell r="B4258">
            <v>4.927083333333164E-2</v>
          </cell>
          <cell r="C4258">
            <v>70</v>
          </cell>
        </row>
        <row r="4259">
          <cell r="B4259">
            <v>4.9282407407405714E-2</v>
          </cell>
          <cell r="C4259">
            <v>70</v>
          </cell>
        </row>
        <row r="4260">
          <cell r="B4260">
            <v>4.9293981481479787E-2</v>
          </cell>
          <cell r="C4260">
            <v>70</v>
          </cell>
        </row>
        <row r="4261">
          <cell r="B4261">
            <v>4.9305555555553861E-2</v>
          </cell>
          <cell r="C4261">
            <v>71</v>
          </cell>
        </row>
        <row r="4262">
          <cell r="B4262">
            <v>4.9317129629627934E-2</v>
          </cell>
          <cell r="C4262">
            <v>71</v>
          </cell>
        </row>
        <row r="4263">
          <cell r="B4263">
            <v>4.9328703703702008E-2</v>
          </cell>
          <cell r="C4263">
            <v>71</v>
          </cell>
        </row>
        <row r="4264">
          <cell r="B4264">
            <v>4.9340277777776081E-2</v>
          </cell>
          <cell r="C4264">
            <v>71</v>
          </cell>
        </row>
        <row r="4265">
          <cell r="B4265">
            <v>4.9351851851850155E-2</v>
          </cell>
          <cell r="C4265">
            <v>71</v>
          </cell>
        </row>
        <row r="4266">
          <cell r="B4266">
            <v>4.9363425925924229E-2</v>
          </cell>
          <cell r="C4266">
            <v>71</v>
          </cell>
        </row>
        <row r="4267">
          <cell r="B4267">
            <v>4.9374999999998302E-2</v>
          </cell>
          <cell r="C4267">
            <v>71</v>
          </cell>
        </row>
        <row r="4268">
          <cell r="B4268">
            <v>4.9386574074072376E-2</v>
          </cell>
          <cell r="C4268">
            <v>71</v>
          </cell>
        </row>
        <row r="4269">
          <cell r="B4269">
            <v>4.9398148148146449E-2</v>
          </cell>
          <cell r="C4269">
            <v>71</v>
          </cell>
        </row>
        <row r="4270">
          <cell r="B4270">
            <v>4.9409722222220523E-2</v>
          </cell>
          <cell r="C4270">
            <v>71</v>
          </cell>
        </row>
        <row r="4271">
          <cell r="B4271">
            <v>4.9421296296294596E-2</v>
          </cell>
          <cell r="C4271">
            <v>71</v>
          </cell>
        </row>
        <row r="4272">
          <cell r="B4272">
            <v>4.943287037036867E-2</v>
          </cell>
          <cell r="C4272">
            <v>71</v>
          </cell>
        </row>
        <row r="4273">
          <cell r="B4273">
            <v>4.9444444444442744E-2</v>
          </cell>
          <cell r="C4273">
            <v>71</v>
          </cell>
        </row>
        <row r="4274">
          <cell r="B4274">
            <v>4.9456018518516817E-2</v>
          </cell>
          <cell r="C4274">
            <v>71</v>
          </cell>
        </row>
        <row r="4275">
          <cell r="B4275">
            <v>4.9467592592590891E-2</v>
          </cell>
          <cell r="C4275">
            <v>71</v>
          </cell>
        </row>
        <row r="4276">
          <cell r="B4276">
            <v>4.9479166666664964E-2</v>
          </cell>
          <cell r="C4276">
            <v>71</v>
          </cell>
        </row>
        <row r="4277">
          <cell r="B4277">
            <v>4.9490740740739038E-2</v>
          </cell>
          <cell r="C4277">
            <v>71</v>
          </cell>
        </row>
        <row r="4278">
          <cell r="B4278">
            <v>4.9502314814813111E-2</v>
          </cell>
          <cell r="C4278">
            <v>71</v>
          </cell>
        </row>
        <row r="4279">
          <cell r="B4279">
            <v>4.9513888888887185E-2</v>
          </cell>
          <cell r="C4279">
            <v>71</v>
          </cell>
        </row>
        <row r="4280">
          <cell r="B4280">
            <v>4.9525462962961259E-2</v>
          </cell>
          <cell r="C4280">
            <v>71</v>
          </cell>
        </row>
        <row r="4281">
          <cell r="B4281">
            <v>4.9537037037035332E-2</v>
          </cell>
          <cell r="C4281">
            <v>71</v>
          </cell>
        </row>
        <row r="4282">
          <cell r="B4282">
            <v>4.9548611111109406E-2</v>
          </cell>
          <cell r="C4282">
            <v>71</v>
          </cell>
        </row>
        <row r="4283">
          <cell r="B4283">
            <v>4.9560185185183479E-2</v>
          </cell>
          <cell r="C4283">
            <v>71</v>
          </cell>
        </row>
        <row r="4284">
          <cell r="B4284">
            <v>4.9571759259257553E-2</v>
          </cell>
          <cell r="C4284">
            <v>71</v>
          </cell>
        </row>
        <row r="4285">
          <cell r="B4285">
            <v>4.9583333333331626E-2</v>
          </cell>
          <cell r="C4285">
            <v>71</v>
          </cell>
        </row>
        <row r="4286">
          <cell r="B4286">
            <v>4.95949074074057E-2</v>
          </cell>
          <cell r="C4286">
            <v>71</v>
          </cell>
        </row>
        <row r="4287">
          <cell r="B4287">
            <v>4.9606481481479774E-2</v>
          </cell>
          <cell r="C4287">
            <v>71</v>
          </cell>
        </row>
        <row r="4288">
          <cell r="B4288">
            <v>4.9618055555553847E-2</v>
          </cell>
          <cell r="C4288">
            <v>71</v>
          </cell>
        </row>
        <row r="4289">
          <cell r="B4289">
            <v>4.9629629629627921E-2</v>
          </cell>
          <cell r="C4289">
            <v>71</v>
          </cell>
        </row>
        <row r="4290">
          <cell r="B4290">
            <v>4.9641203703701994E-2</v>
          </cell>
          <cell r="C4290">
            <v>71</v>
          </cell>
        </row>
        <row r="4291">
          <cell r="B4291">
            <v>4.9652777777776068E-2</v>
          </cell>
          <cell r="C4291">
            <v>71</v>
          </cell>
        </row>
        <row r="4292">
          <cell r="B4292">
            <v>4.9664351851850141E-2</v>
          </cell>
          <cell r="C4292">
            <v>71</v>
          </cell>
        </row>
        <row r="4293">
          <cell r="B4293">
            <v>4.9675925925924215E-2</v>
          </cell>
          <cell r="C4293">
            <v>71</v>
          </cell>
        </row>
        <row r="4294">
          <cell r="B4294">
            <v>4.9687499999998289E-2</v>
          </cell>
          <cell r="C4294">
            <v>71</v>
          </cell>
        </row>
        <row r="4295">
          <cell r="B4295">
            <v>4.9699074074072362E-2</v>
          </cell>
          <cell r="C4295">
            <v>71</v>
          </cell>
        </row>
        <row r="4296">
          <cell r="B4296">
            <v>4.9710648148146436E-2</v>
          </cell>
          <cell r="C4296">
            <v>71</v>
          </cell>
        </row>
        <row r="4297">
          <cell r="B4297">
            <v>4.9722222222220509E-2</v>
          </cell>
          <cell r="C4297">
            <v>71</v>
          </cell>
        </row>
        <row r="4298">
          <cell r="B4298">
            <v>4.9733796296294583E-2</v>
          </cell>
          <cell r="C4298">
            <v>71</v>
          </cell>
        </row>
        <row r="4299">
          <cell r="B4299">
            <v>4.9745370370368656E-2</v>
          </cell>
          <cell r="C4299">
            <v>71</v>
          </cell>
        </row>
        <row r="4300">
          <cell r="B4300">
            <v>4.975694444444273E-2</v>
          </cell>
          <cell r="C4300">
            <v>71</v>
          </cell>
        </row>
        <row r="4301">
          <cell r="B4301">
            <v>4.9768518518516804E-2</v>
          </cell>
          <cell r="C4301">
            <v>71</v>
          </cell>
        </row>
        <row r="4302">
          <cell r="B4302">
            <v>4.9780092592590877E-2</v>
          </cell>
          <cell r="C4302">
            <v>71</v>
          </cell>
        </row>
        <row r="4303">
          <cell r="B4303">
            <v>4.9791666666664951E-2</v>
          </cell>
          <cell r="C4303">
            <v>71</v>
          </cell>
        </row>
        <row r="4304">
          <cell r="B4304">
            <v>4.9803240740739024E-2</v>
          </cell>
          <cell r="C4304">
            <v>71</v>
          </cell>
        </row>
        <row r="4305">
          <cell r="B4305">
            <v>4.9814814814813098E-2</v>
          </cell>
          <cell r="C4305">
            <v>71</v>
          </cell>
        </row>
        <row r="4306">
          <cell r="B4306">
            <v>4.9826388888887171E-2</v>
          </cell>
          <cell r="C4306">
            <v>71</v>
          </cell>
        </row>
        <row r="4307">
          <cell r="B4307">
            <v>4.9837962962961245E-2</v>
          </cell>
          <cell r="C4307">
            <v>71</v>
          </cell>
        </row>
        <row r="4308">
          <cell r="B4308">
            <v>4.9849537037035319E-2</v>
          </cell>
          <cell r="C4308">
            <v>71</v>
          </cell>
        </row>
        <row r="4309">
          <cell r="B4309">
            <v>4.9861111111109392E-2</v>
          </cell>
          <cell r="C4309">
            <v>71</v>
          </cell>
        </row>
        <row r="4310">
          <cell r="B4310">
            <v>4.9872685185183466E-2</v>
          </cell>
          <cell r="C4310">
            <v>71</v>
          </cell>
        </row>
        <row r="4311">
          <cell r="B4311">
            <v>4.9884259259257539E-2</v>
          </cell>
          <cell r="C4311">
            <v>71</v>
          </cell>
        </row>
        <row r="4312">
          <cell r="B4312">
            <v>4.9895833333331613E-2</v>
          </cell>
          <cell r="C4312">
            <v>71</v>
          </cell>
        </row>
        <row r="4313">
          <cell r="B4313">
            <v>4.9907407407405686E-2</v>
          </cell>
          <cell r="C4313">
            <v>71</v>
          </cell>
        </row>
        <row r="4314">
          <cell r="B4314">
            <v>4.991898148147976E-2</v>
          </cell>
          <cell r="C4314">
            <v>71</v>
          </cell>
        </row>
        <row r="4315">
          <cell r="B4315">
            <v>4.9930555555553834E-2</v>
          </cell>
          <cell r="C4315">
            <v>71</v>
          </cell>
        </row>
        <row r="4316">
          <cell r="B4316">
            <v>4.9942129629627907E-2</v>
          </cell>
          <cell r="C4316">
            <v>71</v>
          </cell>
        </row>
        <row r="4317">
          <cell r="B4317">
            <v>4.9953703703701981E-2</v>
          </cell>
          <cell r="C4317">
            <v>71</v>
          </cell>
        </row>
        <row r="4318">
          <cell r="B4318">
            <v>4.9965277777776054E-2</v>
          </cell>
          <cell r="C4318">
            <v>71</v>
          </cell>
        </row>
        <row r="4319">
          <cell r="B4319">
            <v>4.9976851851850128E-2</v>
          </cell>
          <cell r="C4319">
            <v>71</v>
          </cell>
        </row>
        <row r="4320">
          <cell r="B4320">
            <v>4.9988425925924201E-2</v>
          </cell>
          <cell r="C4320">
            <v>71</v>
          </cell>
        </row>
        <row r="4321">
          <cell r="B4321">
            <v>4.9999999999998275E-2</v>
          </cell>
          <cell r="C4321">
            <v>72</v>
          </cell>
        </row>
        <row r="4322">
          <cell r="B4322">
            <v>5.0011574074072349E-2</v>
          </cell>
          <cell r="C4322">
            <v>72</v>
          </cell>
        </row>
        <row r="4323">
          <cell r="B4323">
            <v>5.0023148148146422E-2</v>
          </cell>
          <cell r="C4323">
            <v>72</v>
          </cell>
        </row>
        <row r="4324">
          <cell r="B4324">
            <v>5.0034722222220496E-2</v>
          </cell>
          <cell r="C4324">
            <v>72</v>
          </cell>
        </row>
        <row r="4325">
          <cell r="B4325">
            <v>5.0046296296294569E-2</v>
          </cell>
          <cell r="C4325">
            <v>72</v>
          </cell>
        </row>
        <row r="4326">
          <cell r="B4326">
            <v>5.0057870370368643E-2</v>
          </cell>
          <cell r="C4326">
            <v>72</v>
          </cell>
        </row>
        <row r="4327">
          <cell r="B4327">
            <v>5.0069444444442716E-2</v>
          </cell>
          <cell r="C4327">
            <v>72</v>
          </cell>
        </row>
        <row r="4328">
          <cell r="B4328">
            <v>5.008101851851679E-2</v>
          </cell>
          <cell r="C4328">
            <v>72</v>
          </cell>
        </row>
        <row r="4329">
          <cell r="B4329">
            <v>5.0092592592590864E-2</v>
          </cell>
          <cell r="C4329">
            <v>72</v>
          </cell>
        </row>
        <row r="4330">
          <cell r="B4330">
            <v>5.0104166666664937E-2</v>
          </cell>
          <cell r="C4330">
            <v>72</v>
          </cell>
        </row>
        <row r="4331">
          <cell r="B4331">
            <v>5.0115740740739011E-2</v>
          </cell>
          <cell r="C4331">
            <v>72</v>
          </cell>
        </row>
        <row r="4332">
          <cell r="B4332">
            <v>5.0127314814813084E-2</v>
          </cell>
          <cell r="C4332">
            <v>72</v>
          </cell>
        </row>
        <row r="4333">
          <cell r="B4333">
            <v>5.0138888888887158E-2</v>
          </cell>
          <cell r="C4333">
            <v>72</v>
          </cell>
        </row>
        <row r="4334">
          <cell r="B4334">
            <v>5.0150462962961231E-2</v>
          </cell>
          <cell r="C4334">
            <v>72</v>
          </cell>
        </row>
        <row r="4335">
          <cell r="B4335">
            <v>5.0162037037035305E-2</v>
          </cell>
          <cell r="C4335">
            <v>72</v>
          </cell>
        </row>
        <row r="4336">
          <cell r="B4336">
            <v>5.0173611111109379E-2</v>
          </cell>
          <cell r="C4336">
            <v>72</v>
          </cell>
        </row>
        <row r="4337">
          <cell r="B4337">
            <v>5.0185185185183452E-2</v>
          </cell>
          <cell r="C4337">
            <v>72</v>
          </cell>
        </row>
        <row r="4338">
          <cell r="B4338">
            <v>5.0196759259257526E-2</v>
          </cell>
          <cell r="C4338">
            <v>72</v>
          </cell>
        </row>
        <row r="4339">
          <cell r="B4339">
            <v>5.0208333333331599E-2</v>
          </cell>
          <cell r="C4339">
            <v>72</v>
          </cell>
        </row>
        <row r="4340">
          <cell r="B4340">
            <v>5.0219907407405673E-2</v>
          </cell>
          <cell r="C4340">
            <v>72</v>
          </cell>
        </row>
        <row r="4341">
          <cell r="B4341">
            <v>5.0231481481479746E-2</v>
          </cell>
          <cell r="C4341">
            <v>72</v>
          </cell>
        </row>
        <row r="4342">
          <cell r="B4342">
            <v>5.024305555555382E-2</v>
          </cell>
          <cell r="C4342">
            <v>72</v>
          </cell>
        </row>
        <row r="4343">
          <cell r="B4343">
            <v>5.0254629629627894E-2</v>
          </cell>
          <cell r="C4343">
            <v>72</v>
          </cell>
        </row>
        <row r="4344">
          <cell r="B4344">
            <v>5.0266203703701967E-2</v>
          </cell>
          <cell r="C4344">
            <v>72</v>
          </cell>
        </row>
        <row r="4345">
          <cell r="B4345">
            <v>5.0277777777776041E-2</v>
          </cell>
          <cell r="C4345">
            <v>72</v>
          </cell>
        </row>
        <row r="4346">
          <cell r="B4346">
            <v>5.0289351851850114E-2</v>
          </cell>
          <cell r="C4346">
            <v>72</v>
          </cell>
        </row>
        <row r="4347">
          <cell r="B4347">
            <v>5.0300925925924188E-2</v>
          </cell>
          <cell r="C4347">
            <v>72</v>
          </cell>
        </row>
        <row r="4348">
          <cell r="B4348">
            <v>5.0312499999998261E-2</v>
          </cell>
          <cell r="C4348">
            <v>72</v>
          </cell>
        </row>
        <row r="4349">
          <cell r="B4349">
            <v>5.0324074074072335E-2</v>
          </cell>
          <cell r="C4349">
            <v>72</v>
          </cell>
        </row>
        <row r="4350">
          <cell r="B4350">
            <v>5.0335648148146409E-2</v>
          </cell>
          <cell r="C4350">
            <v>72</v>
          </cell>
        </row>
        <row r="4351">
          <cell r="B4351">
            <v>5.0347222222220482E-2</v>
          </cell>
          <cell r="C4351">
            <v>72</v>
          </cell>
        </row>
        <row r="4352">
          <cell r="B4352">
            <v>5.0358796296294556E-2</v>
          </cell>
          <cell r="C4352">
            <v>72</v>
          </cell>
        </row>
        <row r="4353">
          <cell r="B4353">
            <v>5.0370370370368629E-2</v>
          </cell>
          <cell r="C4353">
            <v>72</v>
          </cell>
        </row>
        <row r="4354">
          <cell r="B4354">
            <v>5.0381944444442703E-2</v>
          </cell>
          <cell r="C4354">
            <v>72</v>
          </cell>
        </row>
        <row r="4355">
          <cell r="B4355">
            <v>5.0393518518516776E-2</v>
          </cell>
          <cell r="C4355">
            <v>72</v>
          </cell>
        </row>
        <row r="4356">
          <cell r="B4356">
            <v>5.040509259259085E-2</v>
          </cell>
          <cell r="C4356">
            <v>72</v>
          </cell>
        </row>
        <row r="4357">
          <cell r="B4357">
            <v>5.0416666666664924E-2</v>
          </cell>
          <cell r="C4357">
            <v>72</v>
          </cell>
        </row>
        <row r="4358">
          <cell r="B4358">
            <v>5.0428240740738997E-2</v>
          </cell>
          <cell r="C4358">
            <v>72</v>
          </cell>
        </row>
        <row r="4359">
          <cell r="B4359">
            <v>5.0439814814813071E-2</v>
          </cell>
          <cell r="C4359">
            <v>72</v>
          </cell>
        </row>
        <row r="4360">
          <cell r="B4360">
            <v>5.0451388888887144E-2</v>
          </cell>
          <cell r="C4360">
            <v>72</v>
          </cell>
        </row>
        <row r="4361">
          <cell r="B4361">
            <v>5.0462962962961218E-2</v>
          </cell>
          <cell r="C4361">
            <v>72</v>
          </cell>
        </row>
        <row r="4362">
          <cell r="B4362">
            <v>5.0474537037035291E-2</v>
          </cell>
          <cell r="C4362">
            <v>72</v>
          </cell>
        </row>
        <row r="4363">
          <cell r="B4363">
            <v>5.0486111111109365E-2</v>
          </cell>
          <cell r="C4363">
            <v>72</v>
          </cell>
        </row>
        <row r="4364">
          <cell r="B4364">
            <v>5.0497685185183439E-2</v>
          </cell>
          <cell r="C4364">
            <v>72</v>
          </cell>
        </row>
        <row r="4365">
          <cell r="B4365">
            <v>5.0509259259257512E-2</v>
          </cell>
          <cell r="C4365">
            <v>72</v>
          </cell>
        </row>
        <row r="4366">
          <cell r="B4366">
            <v>5.0520833333331586E-2</v>
          </cell>
          <cell r="C4366">
            <v>72</v>
          </cell>
        </row>
        <row r="4367">
          <cell r="B4367">
            <v>5.0532407407405659E-2</v>
          </cell>
          <cell r="C4367">
            <v>72</v>
          </cell>
        </row>
        <row r="4368">
          <cell r="B4368">
            <v>5.0543981481479733E-2</v>
          </cell>
          <cell r="C4368">
            <v>72</v>
          </cell>
        </row>
        <row r="4369">
          <cell r="B4369">
            <v>5.0555555555553806E-2</v>
          </cell>
          <cell r="C4369">
            <v>72</v>
          </cell>
        </row>
        <row r="4370">
          <cell r="B4370">
            <v>5.056712962962788E-2</v>
          </cell>
          <cell r="C4370">
            <v>72</v>
          </cell>
        </row>
        <row r="4371">
          <cell r="B4371">
            <v>5.0578703703701954E-2</v>
          </cell>
          <cell r="C4371">
            <v>72</v>
          </cell>
        </row>
        <row r="4372">
          <cell r="B4372">
            <v>5.0590277777776027E-2</v>
          </cell>
          <cell r="C4372">
            <v>72</v>
          </cell>
        </row>
        <row r="4373">
          <cell r="B4373">
            <v>5.0601851851850101E-2</v>
          </cell>
          <cell r="C4373">
            <v>72</v>
          </cell>
        </row>
        <row r="4374">
          <cell r="B4374">
            <v>5.0613425925924174E-2</v>
          </cell>
          <cell r="C4374">
            <v>72</v>
          </cell>
        </row>
        <row r="4375">
          <cell r="B4375">
            <v>5.0624999999998248E-2</v>
          </cell>
          <cell r="C4375">
            <v>72</v>
          </cell>
        </row>
        <row r="4376">
          <cell r="B4376">
            <v>5.0636574074072321E-2</v>
          </cell>
          <cell r="C4376">
            <v>72</v>
          </cell>
        </row>
        <row r="4377">
          <cell r="B4377">
            <v>5.0648148148146395E-2</v>
          </cell>
          <cell r="C4377">
            <v>72</v>
          </cell>
        </row>
        <row r="4378">
          <cell r="B4378">
            <v>5.0659722222220469E-2</v>
          </cell>
          <cell r="C4378">
            <v>72</v>
          </cell>
        </row>
        <row r="4379">
          <cell r="B4379">
            <v>5.0671296296294542E-2</v>
          </cell>
          <cell r="C4379">
            <v>72</v>
          </cell>
        </row>
        <row r="4380">
          <cell r="B4380">
            <v>5.0682870370368616E-2</v>
          </cell>
          <cell r="C4380">
            <v>72</v>
          </cell>
        </row>
        <row r="4381">
          <cell r="B4381">
            <v>5.0694444444442689E-2</v>
          </cell>
          <cell r="C4381">
            <v>73</v>
          </cell>
        </row>
        <row r="4382">
          <cell r="B4382">
            <v>5.0706018518516763E-2</v>
          </cell>
          <cell r="C4382">
            <v>73</v>
          </cell>
        </row>
        <row r="4383">
          <cell r="B4383">
            <v>5.0717592592590836E-2</v>
          </cell>
          <cell r="C4383">
            <v>73</v>
          </cell>
        </row>
        <row r="4384">
          <cell r="B4384">
            <v>5.072916666666491E-2</v>
          </cell>
          <cell r="C4384">
            <v>73</v>
          </cell>
        </row>
        <row r="4385">
          <cell r="B4385">
            <v>5.0740740740738983E-2</v>
          </cell>
          <cell r="C4385">
            <v>73</v>
          </cell>
        </row>
        <row r="4386">
          <cell r="B4386">
            <v>5.0752314814813057E-2</v>
          </cell>
          <cell r="C4386">
            <v>73</v>
          </cell>
        </row>
        <row r="4387">
          <cell r="B4387">
            <v>5.0763888888887131E-2</v>
          </cell>
          <cell r="C4387">
            <v>73</v>
          </cell>
        </row>
        <row r="4388">
          <cell r="B4388">
            <v>5.0775462962961204E-2</v>
          </cell>
          <cell r="C4388">
            <v>73</v>
          </cell>
        </row>
        <row r="4389">
          <cell r="B4389">
            <v>5.0787037037035278E-2</v>
          </cell>
          <cell r="C4389">
            <v>73</v>
          </cell>
        </row>
        <row r="4390">
          <cell r="B4390">
            <v>5.0798611111109351E-2</v>
          </cell>
          <cell r="C4390">
            <v>73</v>
          </cell>
        </row>
        <row r="4391">
          <cell r="B4391">
            <v>5.0810185185183425E-2</v>
          </cell>
          <cell r="C4391">
            <v>73</v>
          </cell>
        </row>
        <row r="4392">
          <cell r="B4392">
            <v>5.0821759259257498E-2</v>
          </cell>
          <cell r="C4392">
            <v>73</v>
          </cell>
        </row>
        <row r="4393">
          <cell r="B4393">
            <v>5.0833333333331572E-2</v>
          </cell>
          <cell r="C4393">
            <v>73</v>
          </cell>
        </row>
        <row r="4394">
          <cell r="B4394">
            <v>5.0844907407405646E-2</v>
          </cell>
          <cell r="C4394">
            <v>73</v>
          </cell>
        </row>
        <row r="4395">
          <cell r="B4395">
            <v>5.0856481481479719E-2</v>
          </cell>
          <cell r="C4395">
            <v>73</v>
          </cell>
        </row>
        <row r="4396">
          <cell r="B4396">
            <v>5.0868055555553793E-2</v>
          </cell>
          <cell r="C4396">
            <v>73</v>
          </cell>
        </row>
        <row r="4397">
          <cell r="B4397">
            <v>5.0879629629627866E-2</v>
          </cell>
          <cell r="C4397">
            <v>73</v>
          </cell>
        </row>
        <row r="4398">
          <cell r="B4398">
            <v>5.089120370370194E-2</v>
          </cell>
          <cell r="C4398">
            <v>73</v>
          </cell>
        </row>
        <row r="4399">
          <cell r="B4399">
            <v>5.0902777777776013E-2</v>
          </cell>
          <cell r="C4399">
            <v>73</v>
          </cell>
        </row>
        <row r="4400">
          <cell r="B4400">
            <v>5.0914351851850087E-2</v>
          </cell>
          <cell r="C4400">
            <v>73</v>
          </cell>
        </row>
        <row r="4401">
          <cell r="B4401">
            <v>5.0925925925924161E-2</v>
          </cell>
          <cell r="C4401">
            <v>73</v>
          </cell>
        </row>
        <row r="4402">
          <cell r="B4402">
            <v>5.0937499999998234E-2</v>
          </cell>
          <cell r="C4402">
            <v>73</v>
          </cell>
        </row>
        <row r="4403">
          <cell r="B4403">
            <v>5.0949074074072308E-2</v>
          </cell>
          <cell r="C4403">
            <v>73</v>
          </cell>
        </row>
        <row r="4404">
          <cell r="B4404">
            <v>5.0960648148146381E-2</v>
          </cell>
          <cell r="C4404">
            <v>73</v>
          </cell>
        </row>
        <row r="4405">
          <cell r="B4405">
            <v>5.0972222222220455E-2</v>
          </cell>
          <cell r="C4405">
            <v>73</v>
          </cell>
        </row>
        <row r="4406">
          <cell r="B4406">
            <v>5.0983796296294528E-2</v>
          </cell>
          <cell r="C4406">
            <v>73</v>
          </cell>
        </row>
        <row r="4407">
          <cell r="B4407">
            <v>5.0995370370368602E-2</v>
          </cell>
          <cell r="C4407">
            <v>73</v>
          </cell>
        </row>
        <row r="4408">
          <cell r="B4408">
            <v>5.1006944444442676E-2</v>
          </cell>
          <cell r="C4408">
            <v>73</v>
          </cell>
        </row>
        <row r="4409">
          <cell r="B4409">
            <v>5.1018518518516749E-2</v>
          </cell>
          <cell r="C4409">
            <v>73</v>
          </cell>
        </row>
        <row r="4410">
          <cell r="B4410">
            <v>5.1030092592590823E-2</v>
          </cell>
          <cell r="C4410">
            <v>73</v>
          </cell>
        </row>
        <row r="4411">
          <cell r="B4411">
            <v>5.1041666666664896E-2</v>
          </cell>
          <cell r="C4411">
            <v>73</v>
          </cell>
        </row>
        <row r="4412">
          <cell r="B4412">
            <v>5.105324074073897E-2</v>
          </cell>
          <cell r="C4412">
            <v>73</v>
          </cell>
        </row>
        <row r="4413">
          <cell r="B4413">
            <v>5.1064814814813043E-2</v>
          </cell>
          <cell r="C4413">
            <v>73</v>
          </cell>
        </row>
        <row r="4414">
          <cell r="B4414">
            <v>5.1076388888887117E-2</v>
          </cell>
          <cell r="C4414">
            <v>73</v>
          </cell>
        </row>
        <row r="4415">
          <cell r="B4415">
            <v>5.1087962962961191E-2</v>
          </cell>
          <cell r="C4415">
            <v>73</v>
          </cell>
        </row>
        <row r="4416">
          <cell r="B4416">
            <v>5.1099537037035264E-2</v>
          </cell>
          <cell r="C4416">
            <v>73</v>
          </cell>
        </row>
        <row r="4417">
          <cell r="B4417">
            <v>5.1111111111109338E-2</v>
          </cell>
          <cell r="C4417">
            <v>73</v>
          </cell>
        </row>
        <row r="4418">
          <cell r="B4418">
            <v>5.1122685185183411E-2</v>
          </cell>
          <cell r="C4418">
            <v>73</v>
          </cell>
        </row>
        <row r="4419">
          <cell r="B4419">
            <v>5.1134259259257485E-2</v>
          </cell>
          <cell r="C4419">
            <v>73</v>
          </cell>
        </row>
        <row r="4420">
          <cell r="B4420">
            <v>5.1145833333331558E-2</v>
          </cell>
          <cell r="C4420">
            <v>73</v>
          </cell>
        </row>
        <row r="4421">
          <cell r="B4421">
            <v>5.1157407407405632E-2</v>
          </cell>
          <cell r="C4421">
            <v>73</v>
          </cell>
        </row>
        <row r="4422">
          <cell r="B4422">
            <v>5.1168981481479706E-2</v>
          </cell>
          <cell r="C4422">
            <v>73</v>
          </cell>
        </row>
        <row r="4423">
          <cell r="B4423">
            <v>5.1180555555553779E-2</v>
          </cell>
          <cell r="C4423">
            <v>73</v>
          </cell>
        </row>
        <row r="4424">
          <cell r="B4424">
            <v>5.1192129629627853E-2</v>
          </cell>
          <cell r="C4424">
            <v>73</v>
          </cell>
        </row>
        <row r="4425">
          <cell r="B4425">
            <v>5.1203703703701926E-2</v>
          </cell>
          <cell r="C4425">
            <v>73</v>
          </cell>
        </row>
        <row r="4426">
          <cell r="B4426">
            <v>5.1215277777776E-2</v>
          </cell>
          <cell r="C4426">
            <v>73</v>
          </cell>
        </row>
        <row r="4427">
          <cell r="B4427">
            <v>5.1226851851850073E-2</v>
          </cell>
          <cell r="C4427">
            <v>73</v>
          </cell>
        </row>
        <row r="4428">
          <cell r="B4428">
            <v>5.1238425925924147E-2</v>
          </cell>
          <cell r="C4428">
            <v>73</v>
          </cell>
        </row>
        <row r="4429">
          <cell r="B4429">
            <v>5.1249999999998221E-2</v>
          </cell>
          <cell r="C4429">
            <v>73</v>
          </cell>
        </row>
        <row r="4430">
          <cell r="B4430">
            <v>5.1261574074072294E-2</v>
          </cell>
          <cell r="C4430">
            <v>73</v>
          </cell>
        </row>
        <row r="4431">
          <cell r="B4431">
            <v>5.1273148148146368E-2</v>
          </cell>
          <cell r="C4431">
            <v>73</v>
          </cell>
        </row>
        <row r="4432">
          <cell r="B4432">
            <v>5.1284722222220441E-2</v>
          </cell>
          <cell r="C4432">
            <v>73</v>
          </cell>
        </row>
        <row r="4433">
          <cell r="B4433">
            <v>5.1296296296294515E-2</v>
          </cell>
          <cell r="C4433">
            <v>73</v>
          </cell>
        </row>
        <row r="4434">
          <cell r="B4434">
            <v>5.1307870370368588E-2</v>
          </cell>
          <cell r="C4434">
            <v>73</v>
          </cell>
        </row>
        <row r="4435">
          <cell r="B4435">
            <v>5.1319444444442662E-2</v>
          </cell>
          <cell r="C4435">
            <v>73</v>
          </cell>
        </row>
        <row r="4436">
          <cell r="B4436">
            <v>5.1331018518516736E-2</v>
          </cell>
          <cell r="C4436">
            <v>73</v>
          </cell>
        </row>
        <row r="4437">
          <cell r="B4437">
            <v>5.1342592592590809E-2</v>
          </cell>
          <cell r="C4437">
            <v>73</v>
          </cell>
        </row>
        <row r="4438">
          <cell r="B4438">
            <v>5.1354166666664883E-2</v>
          </cell>
          <cell r="C4438">
            <v>73</v>
          </cell>
        </row>
        <row r="4439">
          <cell r="B4439">
            <v>5.1365740740738956E-2</v>
          </cell>
          <cell r="C4439">
            <v>73</v>
          </cell>
        </row>
        <row r="4440">
          <cell r="B4440">
            <v>5.137731481481303E-2</v>
          </cell>
          <cell r="C4440">
            <v>73</v>
          </cell>
        </row>
        <row r="4441">
          <cell r="B4441">
            <v>5.1388888888887103E-2</v>
          </cell>
          <cell r="C4441">
            <v>74</v>
          </cell>
        </row>
        <row r="4442">
          <cell r="B4442">
            <v>5.1400462962961177E-2</v>
          </cell>
          <cell r="C4442">
            <v>74</v>
          </cell>
        </row>
        <row r="4443">
          <cell r="B4443">
            <v>5.1412037037035251E-2</v>
          </cell>
          <cell r="C4443">
            <v>74</v>
          </cell>
        </row>
        <row r="4444">
          <cell r="B4444">
            <v>5.1423611111109324E-2</v>
          </cell>
          <cell r="C4444">
            <v>74</v>
          </cell>
        </row>
        <row r="4445">
          <cell r="B4445">
            <v>5.1435185185183398E-2</v>
          </cell>
          <cell r="C4445">
            <v>74</v>
          </cell>
        </row>
        <row r="4446">
          <cell r="B4446">
            <v>5.1446759259257471E-2</v>
          </cell>
          <cell r="C4446">
            <v>74</v>
          </cell>
        </row>
        <row r="4447">
          <cell r="B4447">
            <v>5.1458333333331545E-2</v>
          </cell>
          <cell r="C4447">
            <v>74</v>
          </cell>
        </row>
        <row r="4448">
          <cell r="B4448">
            <v>5.1469907407405618E-2</v>
          </cell>
          <cell r="C4448">
            <v>74</v>
          </cell>
        </row>
        <row r="4449">
          <cell r="B4449">
            <v>5.1481481481479692E-2</v>
          </cell>
          <cell r="C4449">
            <v>74</v>
          </cell>
        </row>
        <row r="4450">
          <cell r="B4450">
            <v>5.1493055555553766E-2</v>
          </cell>
          <cell r="C4450">
            <v>74</v>
          </cell>
        </row>
        <row r="4451">
          <cell r="B4451">
            <v>5.1504629629627839E-2</v>
          </cell>
          <cell r="C4451">
            <v>74</v>
          </cell>
        </row>
        <row r="4452">
          <cell r="B4452">
            <v>5.1516203703701913E-2</v>
          </cell>
          <cell r="C4452">
            <v>74</v>
          </cell>
        </row>
        <row r="4453">
          <cell r="B4453">
            <v>5.1527777777775986E-2</v>
          </cell>
          <cell r="C4453">
            <v>74</v>
          </cell>
        </row>
        <row r="4454">
          <cell r="B4454">
            <v>5.153935185185006E-2</v>
          </cell>
          <cell r="C4454">
            <v>74</v>
          </cell>
        </row>
        <row r="4455">
          <cell r="B4455">
            <v>5.1550925925924133E-2</v>
          </cell>
          <cell r="C4455">
            <v>74</v>
          </cell>
        </row>
        <row r="4456">
          <cell r="B4456">
            <v>5.1562499999998207E-2</v>
          </cell>
          <cell r="C4456">
            <v>74</v>
          </cell>
        </row>
        <row r="4457">
          <cell r="B4457">
            <v>5.1574074074072281E-2</v>
          </cell>
          <cell r="C4457">
            <v>74</v>
          </cell>
        </row>
        <row r="4458">
          <cell r="B4458">
            <v>5.1585648148146354E-2</v>
          </cell>
          <cell r="C4458">
            <v>74</v>
          </cell>
        </row>
        <row r="4459">
          <cell r="B4459">
            <v>5.1597222222220428E-2</v>
          </cell>
          <cell r="C4459">
            <v>74</v>
          </cell>
        </row>
        <row r="4460">
          <cell r="B4460">
            <v>5.1608796296294501E-2</v>
          </cell>
          <cell r="C4460">
            <v>74</v>
          </cell>
        </row>
        <row r="4461">
          <cell r="B4461">
            <v>5.1620370370368575E-2</v>
          </cell>
          <cell r="C4461">
            <v>74</v>
          </cell>
        </row>
        <row r="4462">
          <cell r="B4462">
            <v>5.1631944444442648E-2</v>
          </cell>
          <cell r="C4462">
            <v>74</v>
          </cell>
        </row>
        <row r="4463">
          <cell r="B4463">
            <v>5.1643518518516722E-2</v>
          </cell>
          <cell r="C4463">
            <v>74</v>
          </cell>
        </row>
        <row r="4464">
          <cell r="B4464">
            <v>5.1655092592590796E-2</v>
          </cell>
          <cell r="C4464">
            <v>74</v>
          </cell>
        </row>
        <row r="4465">
          <cell r="B4465">
            <v>5.1666666666664869E-2</v>
          </cell>
          <cell r="C4465">
            <v>74</v>
          </cell>
        </row>
        <row r="4466">
          <cell r="B4466">
            <v>5.1678240740738943E-2</v>
          </cell>
          <cell r="C4466">
            <v>74</v>
          </cell>
        </row>
        <row r="4467">
          <cell r="B4467">
            <v>5.1689814814813016E-2</v>
          </cell>
          <cell r="C4467">
            <v>74</v>
          </cell>
        </row>
        <row r="4468">
          <cell r="B4468">
            <v>5.170138888888709E-2</v>
          </cell>
          <cell r="C4468">
            <v>74</v>
          </cell>
        </row>
        <row r="4469">
          <cell r="B4469">
            <v>5.1712962962961163E-2</v>
          </cell>
          <cell r="C4469">
            <v>74</v>
          </cell>
        </row>
        <row r="4470">
          <cell r="B4470">
            <v>5.1724537037035237E-2</v>
          </cell>
          <cell r="C4470">
            <v>74</v>
          </cell>
        </row>
        <row r="4471">
          <cell r="B4471">
            <v>5.1736111111109311E-2</v>
          </cell>
          <cell r="C4471">
            <v>74</v>
          </cell>
        </row>
        <row r="4472">
          <cell r="B4472">
            <v>5.1747685185183384E-2</v>
          </cell>
          <cell r="C4472">
            <v>74</v>
          </cell>
        </row>
        <row r="4473">
          <cell r="B4473">
            <v>5.1759259259257458E-2</v>
          </cell>
          <cell r="C4473">
            <v>74</v>
          </cell>
        </row>
        <row r="4474">
          <cell r="B4474">
            <v>5.1770833333331531E-2</v>
          </cell>
          <cell r="C4474">
            <v>74</v>
          </cell>
        </row>
        <row r="4475">
          <cell r="B4475">
            <v>5.1782407407405605E-2</v>
          </cell>
          <cell r="C4475">
            <v>74</v>
          </cell>
        </row>
        <row r="4476">
          <cell r="B4476">
            <v>5.1793981481479678E-2</v>
          </cell>
          <cell r="C4476">
            <v>74</v>
          </cell>
        </row>
        <row r="4477">
          <cell r="B4477">
            <v>5.1805555555553752E-2</v>
          </cell>
          <cell r="C4477">
            <v>74</v>
          </cell>
        </row>
        <row r="4478">
          <cell r="B4478">
            <v>5.1817129629627826E-2</v>
          </cell>
          <cell r="C4478">
            <v>74</v>
          </cell>
        </row>
        <row r="4479">
          <cell r="B4479">
            <v>5.1828703703701899E-2</v>
          </cell>
          <cell r="C4479">
            <v>74</v>
          </cell>
        </row>
        <row r="4480">
          <cell r="B4480">
            <v>5.1840277777775973E-2</v>
          </cell>
          <cell r="C4480">
            <v>74</v>
          </cell>
        </row>
        <row r="4481">
          <cell r="B4481">
            <v>5.1851851851850046E-2</v>
          </cell>
          <cell r="C4481">
            <v>74</v>
          </cell>
        </row>
        <row r="4482">
          <cell r="B4482">
            <v>5.186342592592412E-2</v>
          </cell>
          <cell r="C4482">
            <v>74</v>
          </cell>
        </row>
        <row r="4483">
          <cell r="B4483">
            <v>5.1874999999998193E-2</v>
          </cell>
          <cell r="C4483">
            <v>74</v>
          </cell>
        </row>
        <row r="4484">
          <cell r="B4484">
            <v>5.1886574074072267E-2</v>
          </cell>
          <cell r="C4484">
            <v>74</v>
          </cell>
        </row>
        <row r="4485">
          <cell r="B4485">
            <v>5.1898148148146341E-2</v>
          </cell>
          <cell r="C4485">
            <v>74</v>
          </cell>
        </row>
        <row r="4486">
          <cell r="B4486">
            <v>5.1909722222220414E-2</v>
          </cell>
          <cell r="C4486">
            <v>74</v>
          </cell>
        </row>
        <row r="4487">
          <cell r="B4487">
            <v>5.1921296296294488E-2</v>
          </cell>
          <cell r="C4487">
            <v>74</v>
          </cell>
        </row>
        <row r="4488">
          <cell r="B4488">
            <v>5.1932870370368561E-2</v>
          </cell>
          <cell r="C4488">
            <v>74</v>
          </cell>
        </row>
        <row r="4489">
          <cell r="B4489">
            <v>5.1944444444442635E-2</v>
          </cell>
          <cell r="C4489">
            <v>74</v>
          </cell>
        </row>
        <row r="4490">
          <cell r="B4490">
            <v>5.1956018518516708E-2</v>
          </cell>
          <cell r="C4490">
            <v>74</v>
          </cell>
        </row>
        <row r="4491">
          <cell r="B4491">
            <v>5.1967592592590782E-2</v>
          </cell>
          <cell r="C4491">
            <v>74</v>
          </cell>
        </row>
        <row r="4492">
          <cell r="B4492">
            <v>5.1979166666664856E-2</v>
          </cell>
          <cell r="C4492">
            <v>74</v>
          </cell>
        </row>
        <row r="4493">
          <cell r="B4493">
            <v>5.1990740740738929E-2</v>
          </cell>
          <cell r="C4493">
            <v>74</v>
          </cell>
        </row>
        <row r="4494">
          <cell r="B4494">
            <v>5.2002314814813003E-2</v>
          </cell>
          <cell r="C4494">
            <v>74</v>
          </cell>
        </row>
        <row r="4495">
          <cell r="B4495">
            <v>5.2013888888887076E-2</v>
          </cell>
          <cell r="C4495">
            <v>74</v>
          </cell>
        </row>
        <row r="4496">
          <cell r="B4496">
            <v>5.202546296296115E-2</v>
          </cell>
          <cell r="C4496">
            <v>74</v>
          </cell>
        </row>
        <row r="4497">
          <cell r="B4497">
            <v>5.2037037037035223E-2</v>
          </cell>
          <cell r="C4497">
            <v>74</v>
          </cell>
        </row>
        <row r="4498">
          <cell r="B4498">
            <v>5.2048611111109297E-2</v>
          </cell>
          <cell r="C4498">
            <v>74</v>
          </cell>
        </row>
        <row r="4499">
          <cell r="B4499">
            <v>5.2060185185183371E-2</v>
          </cell>
          <cell r="C4499">
            <v>74</v>
          </cell>
        </row>
        <row r="4500">
          <cell r="B4500">
            <v>5.2071759259257444E-2</v>
          </cell>
          <cell r="C4500">
            <v>74</v>
          </cell>
        </row>
        <row r="4501">
          <cell r="B4501">
            <v>5.2083333333331518E-2</v>
          </cell>
          <cell r="C4501">
            <v>75</v>
          </cell>
        </row>
        <row r="4502">
          <cell r="B4502">
            <v>5.2094907407405591E-2</v>
          </cell>
          <cell r="C4502">
            <v>75</v>
          </cell>
        </row>
        <row r="4503">
          <cell r="B4503">
            <v>5.2106481481479665E-2</v>
          </cell>
          <cell r="C4503">
            <v>75</v>
          </cell>
        </row>
        <row r="4504">
          <cell r="B4504">
            <v>5.2118055555553738E-2</v>
          </cell>
          <cell r="C4504">
            <v>75</v>
          </cell>
        </row>
        <row r="4505">
          <cell r="B4505">
            <v>5.2129629629627812E-2</v>
          </cell>
          <cell r="C4505">
            <v>75</v>
          </cell>
        </row>
        <row r="4506">
          <cell r="B4506">
            <v>5.2141203703701886E-2</v>
          </cell>
          <cell r="C4506">
            <v>75</v>
          </cell>
        </row>
        <row r="4507">
          <cell r="B4507">
            <v>5.2152777777775959E-2</v>
          </cell>
          <cell r="C4507">
            <v>75</v>
          </cell>
        </row>
        <row r="4508">
          <cell r="B4508">
            <v>5.2164351851850033E-2</v>
          </cell>
          <cell r="C4508">
            <v>75</v>
          </cell>
        </row>
        <row r="4509">
          <cell r="B4509">
            <v>5.2175925925924106E-2</v>
          </cell>
          <cell r="C4509">
            <v>75</v>
          </cell>
        </row>
        <row r="4510">
          <cell r="B4510">
            <v>5.218749999999818E-2</v>
          </cell>
          <cell r="C4510">
            <v>75</v>
          </cell>
        </row>
        <row r="4511">
          <cell r="B4511">
            <v>5.2199074074072253E-2</v>
          </cell>
          <cell r="C4511">
            <v>75</v>
          </cell>
        </row>
        <row r="4512">
          <cell r="B4512">
            <v>5.2210648148146327E-2</v>
          </cell>
          <cell r="C4512">
            <v>75</v>
          </cell>
        </row>
        <row r="4513">
          <cell r="B4513">
            <v>5.2222222222220401E-2</v>
          </cell>
          <cell r="C4513">
            <v>75</v>
          </cell>
        </row>
        <row r="4514">
          <cell r="B4514">
            <v>5.2233796296294474E-2</v>
          </cell>
          <cell r="C4514">
            <v>75</v>
          </cell>
        </row>
        <row r="4515">
          <cell r="B4515">
            <v>5.2245370370368548E-2</v>
          </cell>
          <cell r="C4515">
            <v>75</v>
          </cell>
        </row>
        <row r="4516">
          <cell r="B4516">
            <v>5.2256944444442621E-2</v>
          </cell>
          <cell r="C4516">
            <v>75</v>
          </cell>
        </row>
        <row r="4517">
          <cell r="B4517">
            <v>5.2268518518516695E-2</v>
          </cell>
          <cell r="C4517">
            <v>75</v>
          </cell>
        </row>
        <row r="4518">
          <cell r="B4518">
            <v>5.2280092592590768E-2</v>
          </cell>
          <cell r="C4518">
            <v>75</v>
          </cell>
        </row>
        <row r="4519">
          <cell r="B4519">
            <v>5.2291666666664842E-2</v>
          </cell>
          <cell r="C4519">
            <v>75</v>
          </cell>
        </row>
        <row r="4520">
          <cell r="B4520">
            <v>5.2303240740738915E-2</v>
          </cell>
          <cell r="C4520">
            <v>75</v>
          </cell>
        </row>
        <row r="4521">
          <cell r="B4521">
            <v>5.2314814814812989E-2</v>
          </cell>
          <cell r="C4521">
            <v>75</v>
          </cell>
        </row>
        <row r="4522">
          <cell r="B4522">
            <v>5.2326388888887063E-2</v>
          </cell>
          <cell r="C4522">
            <v>75</v>
          </cell>
        </row>
        <row r="4523">
          <cell r="B4523">
            <v>5.2337962962961136E-2</v>
          </cell>
          <cell r="C4523">
            <v>75</v>
          </cell>
        </row>
        <row r="4524">
          <cell r="B4524">
            <v>5.234953703703521E-2</v>
          </cell>
          <cell r="C4524">
            <v>75</v>
          </cell>
        </row>
        <row r="4525">
          <cell r="B4525">
            <v>5.2361111111109283E-2</v>
          </cell>
          <cell r="C4525">
            <v>75</v>
          </cell>
        </row>
        <row r="4526">
          <cell r="B4526">
            <v>5.2372685185183357E-2</v>
          </cell>
          <cell r="C4526">
            <v>75</v>
          </cell>
        </row>
        <row r="4527">
          <cell r="B4527">
            <v>5.238425925925743E-2</v>
          </cell>
          <cell r="C4527">
            <v>75</v>
          </cell>
        </row>
        <row r="4528">
          <cell r="B4528">
            <v>5.2395833333331504E-2</v>
          </cell>
          <cell r="C4528">
            <v>75</v>
          </cell>
        </row>
        <row r="4529">
          <cell r="B4529">
            <v>5.2407407407405578E-2</v>
          </cell>
          <cell r="C4529">
            <v>75</v>
          </cell>
        </row>
        <row r="4530">
          <cell r="B4530">
            <v>5.2418981481479651E-2</v>
          </cell>
          <cell r="C4530">
            <v>75</v>
          </cell>
        </row>
        <row r="4531">
          <cell r="B4531">
            <v>5.2430555555553725E-2</v>
          </cell>
          <cell r="C4531">
            <v>75</v>
          </cell>
        </row>
        <row r="4532">
          <cell r="B4532">
            <v>5.2442129629627798E-2</v>
          </cell>
          <cell r="C4532">
            <v>75</v>
          </cell>
        </row>
        <row r="4533">
          <cell r="B4533">
            <v>5.2453703703701872E-2</v>
          </cell>
          <cell r="C4533">
            <v>75</v>
          </cell>
        </row>
        <row r="4534">
          <cell r="B4534">
            <v>5.2465277777775945E-2</v>
          </cell>
          <cell r="C4534">
            <v>75</v>
          </cell>
        </row>
        <row r="4535">
          <cell r="B4535">
            <v>5.2476851851850019E-2</v>
          </cell>
          <cell r="C4535">
            <v>75</v>
          </cell>
        </row>
        <row r="4536">
          <cell r="B4536">
            <v>5.2488425925924093E-2</v>
          </cell>
          <cell r="C4536">
            <v>75</v>
          </cell>
        </row>
        <row r="4537">
          <cell r="B4537">
            <v>5.2499999999998166E-2</v>
          </cell>
          <cell r="C4537">
            <v>75</v>
          </cell>
        </row>
        <row r="4538">
          <cell r="B4538">
            <v>5.251157407407224E-2</v>
          </cell>
          <cell r="C4538">
            <v>75</v>
          </cell>
        </row>
        <row r="4539">
          <cell r="B4539">
            <v>5.2523148148146313E-2</v>
          </cell>
          <cell r="C4539">
            <v>75</v>
          </cell>
        </row>
        <row r="4540">
          <cell r="B4540">
            <v>5.2534722222220387E-2</v>
          </cell>
          <cell r="C4540">
            <v>75</v>
          </cell>
        </row>
        <row r="4541">
          <cell r="B4541">
            <v>5.254629629629446E-2</v>
          </cell>
          <cell r="C4541">
            <v>75</v>
          </cell>
        </row>
        <row r="4542">
          <cell r="B4542">
            <v>5.2557870370368534E-2</v>
          </cell>
          <cell r="C4542">
            <v>75</v>
          </cell>
        </row>
        <row r="4543">
          <cell r="B4543">
            <v>5.2569444444442608E-2</v>
          </cell>
          <cell r="C4543">
            <v>75</v>
          </cell>
        </row>
        <row r="4544">
          <cell r="B4544">
            <v>5.2581018518516681E-2</v>
          </cell>
          <cell r="C4544">
            <v>75</v>
          </cell>
        </row>
        <row r="4545">
          <cell r="B4545">
            <v>5.2592592592590755E-2</v>
          </cell>
          <cell r="C4545">
            <v>75</v>
          </cell>
        </row>
        <row r="4546">
          <cell r="B4546">
            <v>5.2604166666664828E-2</v>
          </cell>
          <cell r="C4546">
            <v>75</v>
          </cell>
        </row>
        <row r="4547">
          <cell r="B4547">
            <v>5.2615740740738902E-2</v>
          </cell>
          <cell r="C4547">
            <v>75</v>
          </cell>
        </row>
        <row r="4548">
          <cell r="B4548">
            <v>5.2627314814812975E-2</v>
          </cell>
          <cell r="C4548">
            <v>75</v>
          </cell>
        </row>
        <row r="4549">
          <cell r="B4549">
            <v>5.2638888888887049E-2</v>
          </cell>
          <cell r="C4549">
            <v>75</v>
          </cell>
        </row>
        <row r="4550">
          <cell r="B4550">
            <v>5.2650462962961123E-2</v>
          </cell>
          <cell r="C4550">
            <v>75</v>
          </cell>
        </row>
        <row r="4551">
          <cell r="B4551">
            <v>5.2662037037035196E-2</v>
          </cell>
          <cell r="C4551">
            <v>75</v>
          </cell>
        </row>
        <row r="4552">
          <cell r="B4552">
            <v>5.267361111110927E-2</v>
          </cell>
          <cell r="C4552">
            <v>75</v>
          </cell>
        </row>
        <row r="4553">
          <cell r="B4553">
            <v>5.2685185185183343E-2</v>
          </cell>
          <cell r="C4553">
            <v>75</v>
          </cell>
        </row>
        <row r="4554">
          <cell r="B4554">
            <v>5.2696759259257417E-2</v>
          </cell>
          <cell r="C4554">
            <v>75</v>
          </cell>
        </row>
        <row r="4555">
          <cell r="B4555">
            <v>5.270833333333149E-2</v>
          </cell>
          <cell r="C4555">
            <v>75</v>
          </cell>
        </row>
        <row r="4556">
          <cell r="B4556">
            <v>5.2719907407405564E-2</v>
          </cell>
          <cell r="C4556">
            <v>75</v>
          </cell>
        </row>
        <row r="4557">
          <cell r="B4557">
            <v>5.2731481481479638E-2</v>
          </cell>
          <cell r="C4557">
            <v>75</v>
          </cell>
        </row>
        <row r="4558">
          <cell r="B4558">
            <v>5.2743055555553711E-2</v>
          </cell>
          <cell r="C4558">
            <v>75</v>
          </cell>
        </row>
        <row r="4559">
          <cell r="B4559">
            <v>5.2754629629627785E-2</v>
          </cell>
          <cell r="C4559">
            <v>75</v>
          </cell>
        </row>
        <row r="4560">
          <cell r="B4560">
            <v>5.2766203703701858E-2</v>
          </cell>
          <cell r="C4560">
            <v>75</v>
          </cell>
        </row>
        <row r="4561">
          <cell r="B4561">
            <v>5.2777777777775932E-2</v>
          </cell>
          <cell r="C4561">
            <v>76</v>
          </cell>
        </row>
        <row r="4562">
          <cell r="B4562">
            <v>5.2789351851850005E-2</v>
          </cell>
          <cell r="C4562">
            <v>76</v>
          </cell>
        </row>
        <row r="4563">
          <cell r="B4563">
            <v>5.2800925925924079E-2</v>
          </cell>
          <cell r="C4563">
            <v>76</v>
          </cell>
        </row>
        <row r="4564">
          <cell r="B4564">
            <v>5.2812499999998153E-2</v>
          </cell>
          <cell r="C4564">
            <v>76</v>
          </cell>
        </row>
        <row r="4565">
          <cell r="B4565">
            <v>5.2824074074072226E-2</v>
          </cell>
          <cell r="C4565">
            <v>76</v>
          </cell>
        </row>
        <row r="4566">
          <cell r="B4566">
            <v>5.28356481481463E-2</v>
          </cell>
          <cell r="C4566">
            <v>76</v>
          </cell>
        </row>
        <row r="4567">
          <cell r="B4567">
            <v>5.2847222222220373E-2</v>
          </cell>
          <cell r="C4567">
            <v>76</v>
          </cell>
        </row>
        <row r="4568">
          <cell r="B4568">
            <v>5.2858796296294447E-2</v>
          </cell>
          <cell r="C4568">
            <v>76</v>
          </cell>
        </row>
        <row r="4569">
          <cell r="B4569">
            <v>5.287037037036852E-2</v>
          </cell>
          <cell r="C4569">
            <v>76</v>
          </cell>
        </row>
        <row r="4570">
          <cell r="B4570">
            <v>5.2881944444442594E-2</v>
          </cell>
          <cell r="C4570">
            <v>76</v>
          </cell>
        </row>
        <row r="4571">
          <cell r="B4571">
            <v>5.2893518518516668E-2</v>
          </cell>
          <cell r="C4571">
            <v>76</v>
          </cell>
        </row>
        <row r="4572">
          <cell r="B4572">
            <v>5.2905092592590741E-2</v>
          </cell>
          <cell r="C4572">
            <v>76</v>
          </cell>
        </row>
        <row r="4573">
          <cell r="B4573">
            <v>5.2916666666664815E-2</v>
          </cell>
          <cell r="C4573">
            <v>76</v>
          </cell>
        </row>
        <row r="4574">
          <cell r="B4574">
            <v>5.2928240740738888E-2</v>
          </cell>
          <cell r="C4574">
            <v>76</v>
          </cell>
        </row>
        <row r="4575">
          <cell r="B4575">
            <v>5.2939814814812962E-2</v>
          </cell>
          <cell r="C4575">
            <v>76</v>
          </cell>
        </row>
        <row r="4576">
          <cell r="B4576">
            <v>5.2951388888887035E-2</v>
          </cell>
          <cell r="C4576">
            <v>76</v>
          </cell>
        </row>
        <row r="4577">
          <cell r="B4577">
            <v>5.2962962962961109E-2</v>
          </cell>
          <cell r="C4577">
            <v>76</v>
          </cell>
        </row>
        <row r="4578">
          <cell r="B4578">
            <v>5.2974537037035183E-2</v>
          </cell>
          <cell r="C4578">
            <v>76</v>
          </cell>
        </row>
        <row r="4579">
          <cell r="B4579">
            <v>5.2986111111109256E-2</v>
          </cell>
          <cell r="C4579">
            <v>76</v>
          </cell>
        </row>
        <row r="4580">
          <cell r="B4580">
            <v>5.299768518518333E-2</v>
          </cell>
          <cell r="C4580">
            <v>76</v>
          </cell>
        </row>
        <row r="4581">
          <cell r="B4581">
            <v>5.3009259259257403E-2</v>
          </cell>
          <cell r="C4581">
            <v>76</v>
          </cell>
        </row>
        <row r="4582">
          <cell r="B4582">
            <v>5.3020833333331477E-2</v>
          </cell>
          <cell r="C4582">
            <v>76</v>
          </cell>
        </row>
        <row r="4583">
          <cell r="B4583">
            <v>5.303240740740555E-2</v>
          </cell>
          <cell r="C4583">
            <v>76</v>
          </cell>
        </row>
        <row r="4584">
          <cell r="B4584">
            <v>5.3043981481479624E-2</v>
          </cell>
          <cell r="C4584">
            <v>76</v>
          </cell>
        </row>
        <row r="4585">
          <cell r="B4585">
            <v>5.3055555555553698E-2</v>
          </cell>
          <cell r="C4585">
            <v>76</v>
          </cell>
        </row>
        <row r="4586">
          <cell r="B4586">
            <v>5.3067129629627771E-2</v>
          </cell>
          <cell r="C4586">
            <v>76</v>
          </cell>
        </row>
        <row r="4587">
          <cell r="B4587">
            <v>5.3078703703701845E-2</v>
          </cell>
          <cell r="C4587">
            <v>76</v>
          </cell>
        </row>
        <row r="4588">
          <cell r="B4588">
            <v>5.3090277777775918E-2</v>
          </cell>
          <cell r="C4588">
            <v>76</v>
          </cell>
        </row>
        <row r="4589">
          <cell r="B4589">
            <v>5.3101851851849992E-2</v>
          </cell>
          <cell r="C4589">
            <v>76</v>
          </cell>
        </row>
        <row r="4590">
          <cell r="B4590">
            <v>5.3113425925924065E-2</v>
          </cell>
          <cell r="C4590">
            <v>76</v>
          </cell>
        </row>
        <row r="4591">
          <cell r="B4591">
            <v>5.3124999999998139E-2</v>
          </cell>
          <cell r="C4591">
            <v>76</v>
          </cell>
        </row>
        <row r="4592">
          <cell r="B4592">
            <v>5.3136574074072213E-2</v>
          </cell>
          <cell r="C4592">
            <v>76</v>
          </cell>
        </row>
        <row r="4593">
          <cell r="B4593">
            <v>5.3148148148146286E-2</v>
          </cell>
          <cell r="C4593">
            <v>76</v>
          </cell>
        </row>
        <row r="4594">
          <cell r="B4594">
            <v>5.315972222222036E-2</v>
          </cell>
          <cell r="C4594">
            <v>76</v>
          </cell>
        </row>
        <row r="4595">
          <cell r="B4595">
            <v>5.3171296296294433E-2</v>
          </cell>
          <cell r="C4595">
            <v>76</v>
          </cell>
        </row>
        <row r="4596">
          <cell r="B4596">
            <v>5.3182870370368507E-2</v>
          </cell>
          <cell r="C4596">
            <v>76</v>
          </cell>
        </row>
        <row r="4597">
          <cell r="B4597">
            <v>5.319444444444258E-2</v>
          </cell>
          <cell r="C4597">
            <v>76</v>
          </cell>
        </row>
        <row r="4598">
          <cell r="B4598">
            <v>5.3206018518516654E-2</v>
          </cell>
          <cell r="C4598">
            <v>76</v>
          </cell>
        </row>
        <row r="4599">
          <cell r="B4599">
            <v>5.3217592592590728E-2</v>
          </cell>
          <cell r="C4599">
            <v>76</v>
          </cell>
        </row>
        <row r="4600">
          <cell r="B4600">
            <v>5.3229166666664801E-2</v>
          </cell>
          <cell r="C4600">
            <v>76</v>
          </cell>
        </row>
        <row r="4601">
          <cell r="B4601">
            <v>5.3240740740738875E-2</v>
          </cell>
          <cell r="C4601">
            <v>76</v>
          </cell>
        </row>
        <row r="4602">
          <cell r="B4602">
            <v>5.3252314814812948E-2</v>
          </cell>
          <cell r="C4602">
            <v>76</v>
          </cell>
        </row>
        <row r="4603">
          <cell r="B4603">
            <v>5.3263888888887022E-2</v>
          </cell>
          <cell r="C4603">
            <v>76</v>
          </cell>
        </row>
        <row r="4604">
          <cell r="B4604">
            <v>5.3275462962961095E-2</v>
          </cell>
          <cell r="C4604">
            <v>76</v>
          </cell>
        </row>
        <row r="4605">
          <cell r="B4605">
            <v>5.3287037037035169E-2</v>
          </cell>
          <cell r="C4605">
            <v>76</v>
          </cell>
        </row>
        <row r="4606">
          <cell r="B4606">
            <v>5.3298611111109243E-2</v>
          </cell>
          <cell r="C4606">
            <v>76</v>
          </cell>
        </row>
        <row r="4607">
          <cell r="B4607">
            <v>5.3310185185183316E-2</v>
          </cell>
          <cell r="C4607">
            <v>76</v>
          </cell>
        </row>
        <row r="4608">
          <cell r="B4608">
            <v>5.332175925925739E-2</v>
          </cell>
          <cell r="C4608">
            <v>76</v>
          </cell>
        </row>
        <row r="4609">
          <cell r="B4609">
            <v>5.3333333333331463E-2</v>
          </cell>
          <cell r="C4609">
            <v>76</v>
          </cell>
        </row>
        <row r="4610">
          <cell r="B4610">
            <v>5.3344907407405537E-2</v>
          </cell>
          <cell r="C4610">
            <v>76</v>
          </cell>
        </row>
        <row r="4611">
          <cell r="B4611">
            <v>5.335648148147961E-2</v>
          </cell>
          <cell r="C4611">
            <v>76</v>
          </cell>
        </row>
        <row r="4612">
          <cell r="B4612">
            <v>5.3368055555553684E-2</v>
          </cell>
          <cell r="C4612">
            <v>76</v>
          </cell>
        </row>
        <row r="4613">
          <cell r="B4613">
            <v>5.3379629629627758E-2</v>
          </cell>
          <cell r="C4613">
            <v>76</v>
          </cell>
        </row>
        <row r="4614">
          <cell r="B4614">
            <v>5.3391203703701831E-2</v>
          </cell>
          <cell r="C4614">
            <v>76</v>
          </cell>
        </row>
        <row r="4615">
          <cell r="B4615">
            <v>5.3402777777775905E-2</v>
          </cell>
          <cell r="C4615">
            <v>76</v>
          </cell>
        </row>
        <row r="4616">
          <cell r="B4616">
            <v>5.3414351851849978E-2</v>
          </cell>
          <cell r="C4616">
            <v>76</v>
          </cell>
        </row>
        <row r="4617">
          <cell r="B4617">
            <v>5.3425925925924052E-2</v>
          </cell>
          <cell r="C4617">
            <v>76</v>
          </cell>
        </row>
        <row r="4618">
          <cell r="B4618">
            <v>5.3437499999998125E-2</v>
          </cell>
          <cell r="C4618">
            <v>76</v>
          </cell>
        </row>
        <row r="4619">
          <cell r="B4619">
            <v>5.3449074074072199E-2</v>
          </cell>
          <cell r="C4619">
            <v>76</v>
          </cell>
        </row>
        <row r="4620">
          <cell r="B4620">
            <v>5.3460648148146273E-2</v>
          </cell>
          <cell r="C4620">
            <v>76</v>
          </cell>
        </row>
        <row r="4621">
          <cell r="B4621">
            <v>5.3472222222220346E-2</v>
          </cell>
          <cell r="C4621">
            <v>77</v>
          </cell>
        </row>
        <row r="4622">
          <cell r="B4622">
            <v>5.348379629629442E-2</v>
          </cell>
          <cell r="C4622">
            <v>77</v>
          </cell>
        </row>
        <row r="4623">
          <cell r="B4623">
            <v>5.3495370370368493E-2</v>
          </cell>
          <cell r="C4623">
            <v>77</v>
          </cell>
        </row>
        <row r="4624">
          <cell r="B4624">
            <v>5.3506944444442567E-2</v>
          </cell>
          <cell r="C4624">
            <v>77</v>
          </cell>
        </row>
        <row r="4625">
          <cell r="B4625">
            <v>5.351851851851664E-2</v>
          </cell>
          <cell r="C4625">
            <v>77</v>
          </cell>
        </row>
        <row r="4626">
          <cell r="B4626">
            <v>5.3530092592590714E-2</v>
          </cell>
          <cell r="C4626">
            <v>77</v>
          </cell>
        </row>
        <row r="4627">
          <cell r="B4627">
            <v>5.3541666666664788E-2</v>
          </cell>
          <cell r="C4627">
            <v>77</v>
          </cell>
        </row>
        <row r="4628">
          <cell r="B4628">
            <v>5.3553240740738861E-2</v>
          </cell>
          <cell r="C4628">
            <v>77</v>
          </cell>
        </row>
        <row r="4629">
          <cell r="B4629">
            <v>5.3564814814812935E-2</v>
          </cell>
          <cell r="C4629">
            <v>77</v>
          </cell>
        </row>
        <row r="4630">
          <cell r="B4630">
            <v>5.3576388888887008E-2</v>
          </cell>
          <cell r="C4630">
            <v>77</v>
          </cell>
        </row>
        <row r="4631">
          <cell r="B4631">
            <v>5.3587962962961082E-2</v>
          </cell>
          <cell r="C4631">
            <v>77</v>
          </cell>
        </row>
        <row r="4632">
          <cell r="B4632">
            <v>5.3599537037035155E-2</v>
          </cell>
          <cell r="C4632">
            <v>77</v>
          </cell>
        </row>
        <row r="4633">
          <cell r="B4633">
            <v>5.3611111111109229E-2</v>
          </cell>
          <cell r="C4633">
            <v>77</v>
          </cell>
        </row>
        <row r="4634">
          <cell r="B4634">
            <v>5.3622685185183303E-2</v>
          </cell>
          <cell r="C4634">
            <v>77</v>
          </cell>
        </row>
        <row r="4635">
          <cell r="B4635">
            <v>5.3634259259257376E-2</v>
          </cell>
          <cell r="C4635">
            <v>77</v>
          </cell>
        </row>
        <row r="4636">
          <cell r="B4636">
            <v>5.364583333333145E-2</v>
          </cell>
          <cell r="C4636">
            <v>77</v>
          </cell>
        </row>
        <row r="4637">
          <cell r="B4637">
            <v>5.3657407407405523E-2</v>
          </cell>
          <cell r="C4637">
            <v>77</v>
          </cell>
        </row>
        <row r="4638">
          <cell r="B4638">
            <v>5.3668981481479597E-2</v>
          </cell>
          <cell r="C4638">
            <v>77</v>
          </cell>
        </row>
        <row r="4639">
          <cell r="B4639">
            <v>5.368055555555367E-2</v>
          </cell>
          <cell r="C4639">
            <v>77</v>
          </cell>
        </row>
        <row r="4640">
          <cell r="B4640">
            <v>5.3692129629627744E-2</v>
          </cell>
          <cell r="C4640">
            <v>77</v>
          </cell>
        </row>
        <row r="4641">
          <cell r="B4641">
            <v>5.3703703703701818E-2</v>
          </cell>
          <cell r="C4641">
            <v>77</v>
          </cell>
        </row>
        <row r="4642">
          <cell r="B4642">
            <v>5.3715277777775891E-2</v>
          </cell>
          <cell r="C4642">
            <v>77</v>
          </cell>
        </row>
        <row r="4643">
          <cell r="B4643">
            <v>5.3726851851849965E-2</v>
          </cell>
          <cell r="C4643">
            <v>77</v>
          </cell>
        </row>
        <row r="4644">
          <cell r="B4644">
            <v>5.3738425925924038E-2</v>
          </cell>
          <cell r="C4644">
            <v>77</v>
          </cell>
        </row>
        <row r="4645">
          <cell r="B4645">
            <v>5.3749999999998112E-2</v>
          </cell>
          <cell r="C4645">
            <v>77</v>
          </cell>
        </row>
        <row r="4646">
          <cell r="B4646">
            <v>5.3761574074072185E-2</v>
          </cell>
          <cell r="C4646">
            <v>77</v>
          </cell>
        </row>
        <row r="4647">
          <cell r="B4647">
            <v>5.3773148148146259E-2</v>
          </cell>
          <cell r="C4647">
            <v>77</v>
          </cell>
        </row>
        <row r="4648">
          <cell r="B4648">
            <v>5.3784722222220332E-2</v>
          </cell>
          <cell r="C4648">
            <v>77</v>
          </cell>
        </row>
        <row r="4649">
          <cell r="B4649">
            <v>5.3796296296294406E-2</v>
          </cell>
          <cell r="C4649">
            <v>77</v>
          </cell>
        </row>
        <row r="4650">
          <cell r="B4650">
            <v>5.380787037036848E-2</v>
          </cell>
          <cell r="C4650">
            <v>77</v>
          </cell>
        </row>
        <row r="4651">
          <cell r="B4651">
            <v>5.3819444444442553E-2</v>
          </cell>
          <cell r="C4651">
            <v>77</v>
          </cell>
        </row>
        <row r="4652">
          <cell r="B4652">
            <v>5.3831018518516627E-2</v>
          </cell>
          <cell r="C4652">
            <v>77</v>
          </cell>
        </row>
        <row r="4653">
          <cell r="B4653">
            <v>5.38425925925907E-2</v>
          </cell>
          <cell r="C4653">
            <v>77</v>
          </cell>
        </row>
        <row r="4654">
          <cell r="B4654">
            <v>5.3854166666664774E-2</v>
          </cell>
          <cell r="C4654">
            <v>77</v>
          </cell>
        </row>
        <row r="4655">
          <cell r="B4655">
            <v>5.3865740740738847E-2</v>
          </cell>
          <cell r="C4655">
            <v>77</v>
          </cell>
        </row>
        <row r="4656">
          <cell r="B4656">
            <v>5.3877314814812921E-2</v>
          </cell>
          <cell r="C4656">
            <v>77</v>
          </cell>
        </row>
        <row r="4657">
          <cell r="B4657">
            <v>5.3888888888886995E-2</v>
          </cell>
          <cell r="C4657">
            <v>77</v>
          </cell>
        </row>
        <row r="4658">
          <cell r="B4658">
            <v>5.3900462962961068E-2</v>
          </cell>
          <cell r="C4658">
            <v>77</v>
          </cell>
        </row>
        <row r="4659">
          <cell r="B4659">
            <v>5.3912037037035142E-2</v>
          </cell>
          <cell r="C4659">
            <v>77</v>
          </cell>
        </row>
        <row r="4660">
          <cell r="B4660">
            <v>5.3923611111109215E-2</v>
          </cell>
          <cell r="C4660">
            <v>77</v>
          </cell>
        </row>
        <row r="4661">
          <cell r="B4661">
            <v>5.3935185185183289E-2</v>
          </cell>
          <cell r="C4661">
            <v>77</v>
          </cell>
        </row>
        <row r="4662">
          <cell r="B4662">
            <v>5.3946759259257362E-2</v>
          </cell>
          <cell r="C4662">
            <v>77</v>
          </cell>
        </row>
        <row r="4663">
          <cell r="B4663">
            <v>5.3958333333331436E-2</v>
          </cell>
          <cell r="C4663">
            <v>77</v>
          </cell>
        </row>
        <row r="4664">
          <cell r="B4664">
            <v>5.396990740740551E-2</v>
          </cell>
          <cell r="C4664">
            <v>77</v>
          </cell>
        </row>
        <row r="4665">
          <cell r="B4665">
            <v>5.3981481481479583E-2</v>
          </cell>
          <cell r="C4665">
            <v>77</v>
          </cell>
        </row>
        <row r="4666">
          <cell r="B4666">
            <v>5.3993055555553657E-2</v>
          </cell>
          <cell r="C4666">
            <v>77</v>
          </cell>
        </row>
        <row r="4667">
          <cell r="B4667">
            <v>5.400462962962773E-2</v>
          </cell>
          <cell r="C4667">
            <v>77</v>
          </cell>
        </row>
        <row r="4668">
          <cell r="B4668">
            <v>5.4016203703701804E-2</v>
          </cell>
          <cell r="C4668">
            <v>77</v>
          </cell>
        </row>
        <row r="4669">
          <cell r="B4669">
            <v>5.4027777777775877E-2</v>
          </cell>
          <cell r="C4669">
            <v>77</v>
          </cell>
        </row>
        <row r="4670">
          <cell r="B4670">
            <v>5.4039351851849951E-2</v>
          </cell>
          <cell r="C4670">
            <v>77</v>
          </cell>
        </row>
        <row r="4671">
          <cell r="B4671">
            <v>5.4050925925924025E-2</v>
          </cell>
          <cell r="C4671">
            <v>77</v>
          </cell>
        </row>
        <row r="4672">
          <cell r="B4672">
            <v>5.4062499999998098E-2</v>
          </cell>
          <cell r="C4672">
            <v>77</v>
          </cell>
        </row>
        <row r="4673">
          <cell r="B4673">
            <v>5.4074074074072172E-2</v>
          </cell>
          <cell r="C4673">
            <v>77</v>
          </cell>
        </row>
        <row r="4674">
          <cell r="B4674">
            <v>5.4085648148146245E-2</v>
          </cell>
          <cell r="C4674">
            <v>77</v>
          </cell>
        </row>
        <row r="4675">
          <cell r="B4675">
            <v>5.4097222222220319E-2</v>
          </cell>
          <cell r="C4675">
            <v>77</v>
          </cell>
        </row>
        <row r="4676">
          <cell r="B4676">
            <v>5.4108796296294392E-2</v>
          </cell>
          <cell r="C4676">
            <v>77</v>
          </cell>
        </row>
        <row r="4677">
          <cell r="B4677">
            <v>5.4120370370368466E-2</v>
          </cell>
          <cell r="C4677">
            <v>77</v>
          </cell>
        </row>
        <row r="4678">
          <cell r="B4678">
            <v>5.413194444444254E-2</v>
          </cell>
          <cell r="C4678">
            <v>77</v>
          </cell>
        </row>
        <row r="4679">
          <cell r="B4679">
            <v>5.4143518518516613E-2</v>
          </cell>
          <cell r="C4679">
            <v>77</v>
          </cell>
        </row>
        <row r="4680">
          <cell r="B4680">
            <v>5.4155092592590687E-2</v>
          </cell>
          <cell r="C4680">
            <v>77</v>
          </cell>
        </row>
        <row r="4681">
          <cell r="B4681">
            <v>5.416666666666476E-2</v>
          </cell>
          <cell r="C4681">
            <v>78</v>
          </cell>
        </row>
        <row r="4682">
          <cell r="B4682">
            <v>5.4178240740738834E-2</v>
          </cell>
          <cell r="C4682">
            <v>78</v>
          </cell>
        </row>
        <row r="4683">
          <cell r="B4683">
            <v>5.4189814814812907E-2</v>
          </cell>
          <cell r="C4683">
            <v>78</v>
          </cell>
        </row>
        <row r="4684">
          <cell r="B4684">
            <v>5.4201388888886981E-2</v>
          </cell>
          <cell r="C4684">
            <v>78</v>
          </cell>
        </row>
        <row r="4685">
          <cell r="B4685">
            <v>5.4212962962961055E-2</v>
          </cell>
          <cell r="C4685">
            <v>78</v>
          </cell>
        </row>
        <row r="4686">
          <cell r="B4686">
            <v>5.4224537037035128E-2</v>
          </cell>
          <cell r="C4686">
            <v>78</v>
          </cell>
        </row>
        <row r="4687">
          <cell r="B4687">
            <v>5.4236111111109202E-2</v>
          </cell>
          <cell r="C4687">
            <v>78</v>
          </cell>
        </row>
        <row r="4688">
          <cell r="B4688">
            <v>5.4247685185183275E-2</v>
          </cell>
          <cell r="C4688">
            <v>78</v>
          </cell>
        </row>
        <row r="4689">
          <cell r="B4689">
            <v>5.4259259259257349E-2</v>
          </cell>
          <cell r="C4689">
            <v>78</v>
          </cell>
        </row>
        <row r="4690">
          <cell r="B4690">
            <v>5.4270833333331422E-2</v>
          </cell>
          <cell r="C4690">
            <v>78</v>
          </cell>
        </row>
        <row r="4691">
          <cell r="B4691">
            <v>5.4282407407405496E-2</v>
          </cell>
          <cell r="C4691">
            <v>78</v>
          </cell>
        </row>
        <row r="4692">
          <cell r="B4692">
            <v>5.429398148147957E-2</v>
          </cell>
          <cell r="C4692">
            <v>78</v>
          </cell>
        </row>
        <row r="4693">
          <cell r="B4693">
            <v>5.4305555555553643E-2</v>
          </cell>
          <cell r="C4693">
            <v>78</v>
          </cell>
        </row>
        <row r="4694">
          <cell r="B4694">
            <v>5.4317129629627717E-2</v>
          </cell>
          <cell r="C4694">
            <v>78</v>
          </cell>
        </row>
        <row r="4695">
          <cell r="B4695">
            <v>5.432870370370179E-2</v>
          </cell>
          <cell r="C4695">
            <v>78</v>
          </cell>
        </row>
        <row r="4696">
          <cell r="B4696">
            <v>5.4340277777775864E-2</v>
          </cell>
          <cell r="C4696">
            <v>78</v>
          </cell>
        </row>
        <row r="4697">
          <cell r="B4697">
            <v>5.4351851851849937E-2</v>
          </cell>
          <cell r="C4697">
            <v>78</v>
          </cell>
        </row>
        <row r="4698">
          <cell r="B4698">
            <v>5.4363425925924011E-2</v>
          </cell>
          <cell r="C4698">
            <v>78</v>
          </cell>
        </row>
        <row r="4699">
          <cell r="B4699">
            <v>5.4374999999998085E-2</v>
          </cell>
          <cell r="C4699">
            <v>78</v>
          </cell>
        </row>
        <row r="4700">
          <cell r="B4700">
            <v>5.4386574074072158E-2</v>
          </cell>
          <cell r="C4700">
            <v>78</v>
          </cell>
        </row>
        <row r="4701">
          <cell r="B4701">
            <v>5.4398148148146232E-2</v>
          </cell>
          <cell r="C4701">
            <v>78</v>
          </cell>
        </row>
        <row r="4702">
          <cell r="B4702">
            <v>5.4409722222220305E-2</v>
          </cell>
          <cell r="C4702">
            <v>78</v>
          </cell>
        </row>
        <row r="4703">
          <cell r="B4703">
            <v>5.4421296296294379E-2</v>
          </cell>
          <cell r="C4703">
            <v>78</v>
          </cell>
        </row>
        <row r="4704">
          <cell r="B4704">
            <v>5.4432870370368452E-2</v>
          </cell>
          <cell r="C4704">
            <v>78</v>
          </cell>
        </row>
        <row r="4705">
          <cell r="B4705">
            <v>5.4444444444442526E-2</v>
          </cell>
          <cell r="C4705">
            <v>78</v>
          </cell>
        </row>
        <row r="4706">
          <cell r="B4706">
            <v>5.44560185185166E-2</v>
          </cell>
          <cell r="C4706">
            <v>78</v>
          </cell>
        </row>
        <row r="4707">
          <cell r="B4707">
            <v>5.4467592592590673E-2</v>
          </cell>
          <cell r="C4707">
            <v>78</v>
          </cell>
        </row>
        <row r="4708">
          <cell r="B4708">
            <v>5.4479166666664747E-2</v>
          </cell>
          <cell r="C4708">
            <v>78</v>
          </cell>
        </row>
        <row r="4709">
          <cell r="B4709">
            <v>5.449074074073882E-2</v>
          </cell>
          <cell r="C4709">
            <v>78</v>
          </cell>
        </row>
        <row r="4710">
          <cell r="B4710">
            <v>5.4502314814812894E-2</v>
          </cell>
          <cell r="C4710">
            <v>78</v>
          </cell>
        </row>
        <row r="4711">
          <cell r="B4711">
            <v>5.4513888888886967E-2</v>
          </cell>
          <cell r="C4711">
            <v>78</v>
          </cell>
        </row>
        <row r="4712">
          <cell r="B4712">
            <v>5.4525462962961041E-2</v>
          </cell>
          <cell r="C4712">
            <v>78</v>
          </cell>
        </row>
        <row r="4713">
          <cell r="B4713">
            <v>5.4537037037035115E-2</v>
          </cell>
          <cell r="C4713">
            <v>78</v>
          </cell>
        </row>
        <row r="4714">
          <cell r="B4714">
            <v>5.4548611111109188E-2</v>
          </cell>
          <cell r="C4714">
            <v>78</v>
          </cell>
        </row>
        <row r="4715">
          <cell r="B4715">
            <v>5.4560185185183262E-2</v>
          </cell>
          <cell r="C4715">
            <v>78</v>
          </cell>
        </row>
        <row r="4716">
          <cell r="B4716">
            <v>5.4571759259257335E-2</v>
          </cell>
          <cell r="C4716">
            <v>78</v>
          </cell>
        </row>
        <row r="4717">
          <cell r="B4717">
            <v>5.4583333333331409E-2</v>
          </cell>
          <cell r="C4717">
            <v>78</v>
          </cell>
        </row>
        <row r="4718">
          <cell r="B4718">
            <v>5.4594907407405482E-2</v>
          </cell>
          <cell r="C4718">
            <v>78</v>
          </cell>
        </row>
        <row r="4719">
          <cell r="B4719">
            <v>5.4606481481479556E-2</v>
          </cell>
          <cell r="C4719">
            <v>78</v>
          </cell>
        </row>
        <row r="4720">
          <cell r="B4720">
            <v>5.461805555555363E-2</v>
          </cell>
          <cell r="C4720">
            <v>78</v>
          </cell>
        </row>
        <row r="4721">
          <cell r="B4721">
            <v>5.4629629629627703E-2</v>
          </cell>
          <cell r="C4721">
            <v>78</v>
          </cell>
        </row>
        <row r="4722">
          <cell r="B4722">
            <v>5.4641203703701777E-2</v>
          </cell>
          <cell r="C4722">
            <v>78</v>
          </cell>
        </row>
        <row r="4723">
          <cell r="B4723">
            <v>5.465277777777585E-2</v>
          </cell>
          <cell r="C4723">
            <v>78</v>
          </cell>
        </row>
        <row r="4724">
          <cell r="B4724">
            <v>5.4664351851849924E-2</v>
          </cell>
          <cell r="C4724">
            <v>78</v>
          </cell>
        </row>
        <row r="4725">
          <cell r="B4725">
            <v>5.4675925925923997E-2</v>
          </cell>
          <cell r="C4725">
            <v>78</v>
          </cell>
        </row>
        <row r="4726">
          <cell r="B4726">
            <v>5.4687499999998071E-2</v>
          </cell>
          <cell r="C4726">
            <v>78</v>
          </cell>
        </row>
        <row r="4727">
          <cell r="B4727">
            <v>5.4699074074072145E-2</v>
          </cell>
          <cell r="C4727">
            <v>78</v>
          </cell>
        </row>
        <row r="4728">
          <cell r="B4728">
            <v>5.4710648148146218E-2</v>
          </cell>
          <cell r="C4728">
            <v>78</v>
          </cell>
        </row>
        <row r="4729">
          <cell r="B4729">
            <v>5.4722222222220292E-2</v>
          </cell>
          <cell r="C4729">
            <v>78</v>
          </cell>
        </row>
        <row r="4730">
          <cell r="B4730">
            <v>5.4733796296294365E-2</v>
          </cell>
          <cell r="C4730">
            <v>78</v>
          </cell>
        </row>
        <row r="4731">
          <cell r="B4731">
            <v>5.4745370370368439E-2</v>
          </cell>
          <cell r="C4731">
            <v>78</v>
          </cell>
        </row>
        <row r="4732">
          <cell r="B4732">
            <v>5.4756944444442512E-2</v>
          </cell>
          <cell r="C4732">
            <v>78</v>
          </cell>
        </row>
        <row r="4733">
          <cell r="B4733">
            <v>5.4768518518516586E-2</v>
          </cell>
          <cell r="C4733">
            <v>78</v>
          </cell>
        </row>
        <row r="4734">
          <cell r="B4734">
            <v>5.478009259259066E-2</v>
          </cell>
          <cell r="C4734">
            <v>78</v>
          </cell>
        </row>
        <row r="4735">
          <cell r="B4735">
            <v>5.4791666666664733E-2</v>
          </cell>
          <cell r="C4735">
            <v>78</v>
          </cell>
        </row>
        <row r="4736">
          <cell r="B4736">
            <v>5.4803240740738807E-2</v>
          </cell>
          <cell r="C4736">
            <v>78</v>
          </cell>
        </row>
        <row r="4737">
          <cell r="B4737">
            <v>5.481481481481288E-2</v>
          </cell>
          <cell r="C4737">
            <v>78</v>
          </cell>
        </row>
        <row r="4738">
          <cell r="B4738">
            <v>5.4826388888886954E-2</v>
          </cell>
          <cell r="C4738">
            <v>78</v>
          </cell>
        </row>
        <row r="4739">
          <cell r="B4739">
            <v>5.4837962962961027E-2</v>
          </cell>
          <cell r="C4739">
            <v>78</v>
          </cell>
        </row>
        <row r="4740">
          <cell r="B4740">
            <v>5.4849537037035101E-2</v>
          </cell>
          <cell r="C4740">
            <v>78</v>
          </cell>
        </row>
        <row r="4741">
          <cell r="B4741">
            <v>5.4861111111109175E-2</v>
          </cell>
          <cell r="C4741">
            <v>79</v>
          </cell>
        </row>
        <row r="4742">
          <cell r="B4742">
            <v>5.4872685185183248E-2</v>
          </cell>
          <cell r="C4742">
            <v>79</v>
          </cell>
        </row>
        <row r="4743">
          <cell r="B4743">
            <v>5.4884259259257322E-2</v>
          </cell>
          <cell r="C4743">
            <v>79</v>
          </cell>
        </row>
        <row r="4744">
          <cell r="B4744">
            <v>5.4895833333331395E-2</v>
          </cell>
          <cell r="C4744">
            <v>79</v>
          </cell>
        </row>
        <row r="4745">
          <cell r="B4745">
            <v>5.4907407407405469E-2</v>
          </cell>
          <cell r="C4745">
            <v>79</v>
          </cell>
        </row>
        <row r="4746">
          <cell r="B4746">
            <v>5.4918981481479542E-2</v>
          </cell>
          <cell r="C4746">
            <v>79</v>
          </cell>
        </row>
        <row r="4747">
          <cell r="B4747">
            <v>5.4930555555553616E-2</v>
          </cell>
          <cell r="C4747">
            <v>79</v>
          </cell>
        </row>
        <row r="4748">
          <cell r="B4748">
            <v>5.494212962962769E-2</v>
          </cell>
          <cell r="C4748">
            <v>79</v>
          </cell>
        </row>
        <row r="4749">
          <cell r="B4749">
            <v>5.4953703703701763E-2</v>
          </cell>
          <cell r="C4749">
            <v>79</v>
          </cell>
        </row>
        <row r="4750">
          <cell r="B4750">
            <v>5.4965277777775837E-2</v>
          </cell>
          <cell r="C4750">
            <v>79</v>
          </cell>
        </row>
        <row r="4751">
          <cell r="B4751">
            <v>5.497685185184991E-2</v>
          </cell>
          <cell r="C4751">
            <v>79</v>
          </cell>
        </row>
        <row r="4752">
          <cell r="B4752">
            <v>5.4988425925923984E-2</v>
          </cell>
          <cell r="C4752">
            <v>79</v>
          </cell>
        </row>
        <row r="4753">
          <cell r="B4753">
            <v>5.4999999999998057E-2</v>
          </cell>
          <cell r="C4753">
            <v>79</v>
          </cell>
        </row>
        <row r="4754">
          <cell r="B4754">
            <v>5.5011574074072131E-2</v>
          </cell>
          <cell r="C4754">
            <v>79</v>
          </cell>
        </row>
        <row r="4755">
          <cell r="B4755">
            <v>5.5023148148146205E-2</v>
          </cell>
          <cell r="C4755">
            <v>79</v>
          </cell>
        </row>
        <row r="4756">
          <cell r="B4756">
            <v>5.5034722222220278E-2</v>
          </cell>
          <cell r="C4756">
            <v>79</v>
          </cell>
        </row>
        <row r="4757">
          <cell r="B4757">
            <v>5.5046296296294352E-2</v>
          </cell>
          <cell r="C4757">
            <v>79</v>
          </cell>
        </row>
        <row r="4758">
          <cell r="B4758">
            <v>5.5057870370368425E-2</v>
          </cell>
          <cell r="C4758">
            <v>79</v>
          </cell>
        </row>
        <row r="4759">
          <cell r="B4759">
            <v>5.5069444444442499E-2</v>
          </cell>
          <cell r="C4759">
            <v>79</v>
          </cell>
        </row>
        <row r="4760">
          <cell r="B4760">
            <v>5.5081018518516572E-2</v>
          </cell>
          <cell r="C4760">
            <v>79</v>
          </cell>
        </row>
        <row r="4761">
          <cell r="B4761">
            <v>5.5092592592590646E-2</v>
          </cell>
          <cell r="C4761">
            <v>79</v>
          </cell>
        </row>
        <row r="4762">
          <cell r="B4762">
            <v>5.510416666666472E-2</v>
          </cell>
          <cell r="C4762">
            <v>79</v>
          </cell>
        </row>
        <row r="4763">
          <cell r="B4763">
            <v>5.5115740740738793E-2</v>
          </cell>
          <cell r="C4763">
            <v>79</v>
          </cell>
        </row>
        <row r="4764">
          <cell r="B4764">
            <v>5.5127314814812867E-2</v>
          </cell>
          <cell r="C4764">
            <v>79</v>
          </cell>
        </row>
        <row r="4765">
          <cell r="B4765">
            <v>5.513888888888694E-2</v>
          </cell>
          <cell r="C4765">
            <v>79</v>
          </cell>
        </row>
        <row r="4766">
          <cell r="B4766">
            <v>5.5150462962961014E-2</v>
          </cell>
          <cell r="C4766">
            <v>79</v>
          </cell>
        </row>
        <row r="4767">
          <cell r="B4767">
            <v>5.5162037037035087E-2</v>
          </cell>
          <cell r="C4767">
            <v>79</v>
          </cell>
        </row>
        <row r="4768">
          <cell r="B4768">
            <v>5.5173611111109161E-2</v>
          </cell>
          <cell r="C4768">
            <v>79</v>
          </cell>
        </row>
        <row r="4769">
          <cell r="B4769">
            <v>5.5185185185183235E-2</v>
          </cell>
          <cell r="C4769">
            <v>79</v>
          </cell>
        </row>
        <row r="4770">
          <cell r="B4770">
            <v>5.5196759259257308E-2</v>
          </cell>
          <cell r="C4770">
            <v>79</v>
          </cell>
        </row>
        <row r="4771">
          <cell r="B4771">
            <v>5.5208333333331382E-2</v>
          </cell>
          <cell r="C4771">
            <v>79</v>
          </cell>
        </row>
        <row r="4772">
          <cell r="B4772">
            <v>5.5219907407405455E-2</v>
          </cell>
          <cell r="C4772">
            <v>79</v>
          </cell>
        </row>
        <row r="4773">
          <cell r="B4773">
            <v>5.5231481481479529E-2</v>
          </cell>
          <cell r="C4773">
            <v>79</v>
          </cell>
        </row>
        <row r="4774">
          <cell r="B4774">
            <v>5.5243055555553602E-2</v>
          </cell>
          <cell r="C4774">
            <v>79</v>
          </cell>
        </row>
        <row r="4775">
          <cell r="B4775">
            <v>5.5254629629627676E-2</v>
          </cell>
          <cell r="C4775">
            <v>79</v>
          </cell>
        </row>
        <row r="4776">
          <cell r="B4776">
            <v>5.526620370370175E-2</v>
          </cell>
          <cell r="C4776">
            <v>79</v>
          </cell>
        </row>
        <row r="4777">
          <cell r="B4777">
            <v>5.5277777777775823E-2</v>
          </cell>
          <cell r="C4777">
            <v>79</v>
          </cell>
        </row>
        <row r="4778">
          <cell r="B4778">
            <v>5.5289351851849897E-2</v>
          </cell>
          <cell r="C4778">
            <v>79</v>
          </cell>
        </row>
        <row r="4779">
          <cell r="B4779">
            <v>5.530092592592397E-2</v>
          </cell>
          <cell r="C4779">
            <v>79</v>
          </cell>
        </row>
        <row r="4780">
          <cell r="B4780">
            <v>5.5312499999998044E-2</v>
          </cell>
          <cell r="C4780">
            <v>79</v>
          </cell>
        </row>
        <row r="4781">
          <cell r="B4781">
            <v>5.5324074074072117E-2</v>
          </cell>
          <cell r="C4781">
            <v>79</v>
          </cell>
        </row>
        <row r="4782">
          <cell r="B4782">
            <v>5.5335648148146191E-2</v>
          </cell>
          <cell r="C4782">
            <v>79</v>
          </cell>
        </row>
        <row r="4783">
          <cell r="B4783">
            <v>5.5347222222220264E-2</v>
          </cell>
          <cell r="C4783">
            <v>79</v>
          </cell>
        </row>
        <row r="4784">
          <cell r="B4784">
            <v>5.5358796296294338E-2</v>
          </cell>
          <cell r="C4784">
            <v>79</v>
          </cell>
        </row>
        <row r="4785">
          <cell r="B4785">
            <v>5.5370370370368412E-2</v>
          </cell>
          <cell r="C4785">
            <v>79</v>
          </cell>
        </row>
        <row r="4786">
          <cell r="B4786">
            <v>5.5381944444442485E-2</v>
          </cell>
          <cell r="C4786">
            <v>79</v>
          </cell>
        </row>
        <row r="4787">
          <cell r="B4787">
            <v>5.5393518518516559E-2</v>
          </cell>
          <cell r="C4787">
            <v>79</v>
          </cell>
        </row>
        <row r="4788">
          <cell r="B4788">
            <v>5.5405092592590632E-2</v>
          </cell>
          <cell r="C4788">
            <v>79</v>
          </cell>
        </row>
        <row r="4789">
          <cell r="B4789">
            <v>5.5416666666664706E-2</v>
          </cell>
          <cell r="C4789">
            <v>79</v>
          </cell>
        </row>
        <row r="4790">
          <cell r="B4790">
            <v>5.5428240740738779E-2</v>
          </cell>
          <cell r="C4790">
            <v>79</v>
          </cell>
        </row>
        <row r="4791">
          <cell r="B4791">
            <v>5.5439814814812853E-2</v>
          </cell>
          <cell r="C4791">
            <v>79</v>
          </cell>
        </row>
        <row r="4792">
          <cell r="B4792">
            <v>5.5451388888886927E-2</v>
          </cell>
          <cell r="C4792">
            <v>79</v>
          </cell>
        </row>
        <row r="4793">
          <cell r="B4793">
            <v>5.5462962962961E-2</v>
          </cell>
          <cell r="C4793">
            <v>79</v>
          </cell>
        </row>
        <row r="4794">
          <cell r="B4794">
            <v>5.5474537037035074E-2</v>
          </cell>
          <cell r="C4794">
            <v>79</v>
          </cell>
        </row>
        <row r="4795">
          <cell r="B4795">
            <v>5.5486111111109147E-2</v>
          </cell>
          <cell r="C4795">
            <v>79</v>
          </cell>
        </row>
        <row r="4796">
          <cell r="B4796">
            <v>5.5497685185183221E-2</v>
          </cell>
          <cell r="C4796">
            <v>79</v>
          </cell>
        </row>
        <row r="4797">
          <cell r="B4797">
            <v>5.5509259259257294E-2</v>
          </cell>
          <cell r="C4797">
            <v>79</v>
          </cell>
        </row>
        <row r="4798">
          <cell r="B4798">
            <v>5.5520833333331368E-2</v>
          </cell>
          <cell r="C4798">
            <v>79</v>
          </cell>
        </row>
        <row r="4799">
          <cell r="B4799">
            <v>5.5532407407405442E-2</v>
          </cell>
          <cell r="C4799">
            <v>79</v>
          </cell>
        </row>
        <row r="4800">
          <cell r="B4800">
            <v>5.5543981481479515E-2</v>
          </cell>
          <cell r="C4800">
            <v>79</v>
          </cell>
        </row>
        <row r="4801">
          <cell r="B4801">
            <v>5.5555555555553589E-2</v>
          </cell>
          <cell r="C4801">
            <v>80</v>
          </cell>
        </row>
        <row r="4802">
          <cell r="B4802">
            <v>5.5567129629627662E-2</v>
          </cell>
          <cell r="C4802">
            <v>80</v>
          </cell>
        </row>
        <row r="4803">
          <cell r="B4803">
            <v>5.5578703703701736E-2</v>
          </cell>
          <cell r="C4803">
            <v>80</v>
          </cell>
        </row>
        <row r="4804">
          <cell r="B4804">
            <v>5.5590277777775809E-2</v>
          </cell>
          <cell r="C4804">
            <v>80</v>
          </cell>
        </row>
        <row r="4805">
          <cell r="B4805">
            <v>5.5601851851849883E-2</v>
          </cell>
          <cell r="C4805">
            <v>80</v>
          </cell>
        </row>
        <row r="4806">
          <cell r="B4806">
            <v>5.5613425925923957E-2</v>
          </cell>
          <cell r="C4806">
            <v>80</v>
          </cell>
        </row>
        <row r="4807">
          <cell r="B4807">
            <v>5.562499999999803E-2</v>
          </cell>
          <cell r="C4807">
            <v>80</v>
          </cell>
        </row>
        <row r="4808">
          <cell r="B4808">
            <v>5.5636574074072104E-2</v>
          </cell>
          <cell r="C4808">
            <v>80</v>
          </cell>
        </row>
        <row r="4809">
          <cell r="B4809">
            <v>5.5648148148146177E-2</v>
          </cell>
          <cell r="C4809">
            <v>80</v>
          </cell>
        </row>
        <row r="4810">
          <cell r="B4810">
            <v>5.5659722222220251E-2</v>
          </cell>
          <cell r="C4810">
            <v>80</v>
          </cell>
        </row>
        <row r="4811">
          <cell r="B4811">
            <v>5.5671296296294324E-2</v>
          </cell>
          <cell r="C4811">
            <v>80</v>
          </cell>
        </row>
        <row r="4812">
          <cell r="B4812">
            <v>5.5682870370368398E-2</v>
          </cell>
          <cell r="C4812">
            <v>80</v>
          </cell>
        </row>
        <row r="4813">
          <cell r="B4813">
            <v>5.5694444444442472E-2</v>
          </cell>
          <cell r="C4813">
            <v>80</v>
          </cell>
        </row>
        <row r="4814">
          <cell r="B4814">
            <v>5.5706018518516545E-2</v>
          </cell>
          <cell r="C4814">
            <v>80</v>
          </cell>
        </row>
        <row r="4815">
          <cell r="B4815">
            <v>5.5717592592590619E-2</v>
          </cell>
          <cell r="C4815">
            <v>80</v>
          </cell>
        </row>
        <row r="4816">
          <cell r="B4816">
            <v>5.5729166666664692E-2</v>
          </cell>
          <cell r="C4816">
            <v>80</v>
          </cell>
        </row>
        <row r="4817">
          <cell r="B4817">
            <v>5.5740740740738766E-2</v>
          </cell>
          <cell r="C4817">
            <v>80</v>
          </cell>
        </row>
        <row r="4818">
          <cell r="B4818">
            <v>5.5752314814812839E-2</v>
          </cell>
          <cell r="C4818">
            <v>80</v>
          </cell>
        </row>
        <row r="4819">
          <cell r="B4819">
            <v>5.5763888888886913E-2</v>
          </cell>
          <cell r="C4819">
            <v>80</v>
          </cell>
        </row>
        <row r="4820">
          <cell r="B4820">
            <v>5.5775462962960987E-2</v>
          </cell>
          <cell r="C4820">
            <v>80</v>
          </cell>
        </row>
        <row r="4821">
          <cell r="B4821">
            <v>5.578703703703506E-2</v>
          </cell>
          <cell r="C4821">
            <v>80</v>
          </cell>
        </row>
        <row r="4822">
          <cell r="B4822">
            <v>5.5798611111109134E-2</v>
          </cell>
          <cell r="C4822">
            <v>80</v>
          </cell>
        </row>
        <row r="4823">
          <cell r="B4823">
            <v>5.5810185185183207E-2</v>
          </cell>
          <cell r="C4823">
            <v>80</v>
          </cell>
        </row>
        <row r="4824">
          <cell r="B4824">
            <v>5.5821759259257281E-2</v>
          </cell>
          <cell r="C4824">
            <v>80</v>
          </cell>
        </row>
        <row r="4825">
          <cell r="B4825">
            <v>5.5833333333331354E-2</v>
          </cell>
          <cell r="C4825">
            <v>80</v>
          </cell>
        </row>
        <row r="4826">
          <cell r="B4826">
            <v>5.5844907407405428E-2</v>
          </cell>
          <cell r="C4826">
            <v>80</v>
          </cell>
        </row>
        <row r="4827">
          <cell r="B4827">
            <v>5.5856481481479502E-2</v>
          </cell>
          <cell r="C4827">
            <v>80</v>
          </cell>
        </row>
        <row r="4828">
          <cell r="B4828">
            <v>5.5868055555553575E-2</v>
          </cell>
          <cell r="C4828">
            <v>80</v>
          </cell>
        </row>
        <row r="4829">
          <cell r="B4829">
            <v>5.5879629629627649E-2</v>
          </cell>
          <cell r="C4829">
            <v>80</v>
          </cell>
        </row>
        <row r="4830">
          <cell r="B4830">
            <v>5.5891203703701722E-2</v>
          </cell>
          <cell r="C4830">
            <v>80</v>
          </cell>
        </row>
        <row r="4831">
          <cell r="B4831">
            <v>5.5902777777775796E-2</v>
          </cell>
          <cell r="C4831">
            <v>80</v>
          </cell>
        </row>
        <row r="4832">
          <cell r="B4832">
            <v>5.5914351851849869E-2</v>
          </cell>
          <cell r="C4832">
            <v>80</v>
          </cell>
        </row>
        <row r="4833">
          <cell r="B4833">
            <v>5.5925925925923943E-2</v>
          </cell>
          <cell r="C4833">
            <v>80</v>
          </cell>
        </row>
        <row r="4834">
          <cell r="B4834">
            <v>5.5937499999998017E-2</v>
          </cell>
          <cell r="C4834">
            <v>80</v>
          </cell>
        </row>
        <row r="4835">
          <cell r="B4835">
            <v>5.594907407407209E-2</v>
          </cell>
          <cell r="C4835">
            <v>80</v>
          </cell>
        </row>
        <row r="4836">
          <cell r="B4836">
            <v>5.5960648148146164E-2</v>
          </cell>
          <cell r="C4836">
            <v>80</v>
          </cell>
        </row>
        <row r="4837">
          <cell r="B4837">
            <v>5.5972222222220237E-2</v>
          </cell>
          <cell r="C4837">
            <v>80</v>
          </cell>
        </row>
        <row r="4838">
          <cell r="B4838">
            <v>5.5983796296294311E-2</v>
          </cell>
          <cell r="C4838">
            <v>80</v>
          </cell>
        </row>
        <row r="4839">
          <cell r="B4839">
            <v>5.5995370370368384E-2</v>
          </cell>
          <cell r="C4839">
            <v>80</v>
          </cell>
        </row>
        <row r="4840">
          <cell r="B4840">
            <v>5.6006944444442458E-2</v>
          </cell>
          <cell r="C4840">
            <v>80</v>
          </cell>
        </row>
        <row r="4841">
          <cell r="B4841">
            <v>5.6018518518516532E-2</v>
          </cell>
          <cell r="C4841">
            <v>80</v>
          </cell>
        </row>
        <row r="4842">
          <cell r="B4842">
            <v>5.6030092592590605E-2</v>
          </cell>
          <cell r="C4842">
            <v>80</v>
          </cell>
        </row>
        <row r="4843">
          <cell r="B4843">
            <v>5.6041666666664679E-2</v>
          </cell>
          <cell r="C4843">
            <v>80</v>
          </cell>
        </row>
        <row r="4844">
          <cell r="B4844">
            <v>5.6053240740738752E-2</v>
          </cell>
          <cell r="C4844">
            <v>80</v>
          </cell>
        </row>
        <row r="4845">
          <cell r="B4845">
            <v>5.6064814814812826E-2</v>
          </cell>
          <cell r="C4845">
            <v>80</v>
          </cell>
        </row>
        <row r="4846">
          <cell r="B4846">
            <v>5.6076388888886899E-2</v>
          </cell>
          <cell r="C4846">
            <v>80</v>
          </cell>
        </row>
        <row r="4847">
          <cell r="B4847">
            <v>5.6087962962960973E-2</v>
          </cell>
          <cell r="C4847">
            <v>80</v>
          </cell>
        </row>
        <row r="4848">
          <cell r="B4848">
            <v>5.6099537037035047E-2</v>
          </cell>
          <cell r="C4848">
            <v>80</v>
          </cell>
        </row>
        <row r="4849">
          <cell r="B4849">
            <v>5.611111111110912E-2</v>
          </cell>
          <cell r="C4849">
            <v>80</v>
          </cell>
        </row>
        <row r="4850">
          <cell r="B4850">
            <v>5.6122685185183194E-2</v>
          </cell>
          <cell r="C4850">
            <v>80</v>
          </cell>
        </row>
        <row r="4851">
          <cell r="B4851">
            <v>5.6134259259257267E-2</v>
          </cell>
          <cell r="C4851">
            <v>80</v>
          </cell>
        </row>
        <row r="4852">
          <cell r="B4852">
            <v>5.6145833333331341E-2</v>
          </cell>
          <cell r="C4852">
            <v>80</v>
          </cell>
        </row>
        <row r="4853">
          <cell r="B4853">
            <v>5.6157407407405414E-2</v>
          </cell>
          <cell r="C4853">
            <v>80</v>
          </cell>
        </row>
        <row r="4854">
          <cell r="B4854">
            <v>5.6168981481479488E-2</v>
          </cell>
          <cell r="C4854">
            <v>80</v>
          </cell>
        </row>
        <row r="4855">
          <cell r="B4855">
            <v>5.6180555555553562E-2</v>
          </cell>
          <cell r="C4855">
            <v>80</v>
          </cell>
        </row>
        <row r="4856">
          <cell r="B4856">
            <v>5.6192129629627635E-2</v>
          </cell>
          <cell r="C4856">
            <v>80</v>
          </cell>
        </row>
        <row r="4857">
          <cell r="B4857">
            <v>5.6203703703701709E-2</v>
          </cell>
          <cell r="C4857">
            <v>80</v>
          </cell>
        </row>
        <row r="4858">
          <cell r="B4858">
            <v>5.6215277777775782E-2</v>
          </cell>
          <cell r="C4858">
            <v>80</v>
          </cell>
        </row>
        <row r="4859">
          <cell r="B4859">
            <v>5.6226851851849856E-2</v>
          </cell>
          <cell r="C4859">
            <v>80</v>
          </cell>
        </row>
        <row r="4860">
          <cell r="B4860">
            <v>5.6238425925923929E-2</v>
          </cell>
          <cell r="C4860">
            <v>80</v>
          </cell>
        </row>
        <row r="4861">
          <cell r="B4861">
            <v>5.6249999999998003E-2</v>
          </cell>
          <cell r="C4861">
            <v>81</v>
          </cell>
        </row>
        <row r="4862">
          <cell r="B4862">
            <v>5.6261574074072077E-2</v>
          </cell>
          <cell r="C4862">
            <v>81</v>
          </cell>
        </row>
        <row r="4863">
          <cell r="B4863">
            <v>5.627314814814615E-2</v>
          </cell>
          <cell r="C4863">
            <v>81</v>
          </cell>
        </row>
        <row r="4864">
          <cell r="B4864">
            <v>5.6284722222220224E-2</v>
          </cell>
          <cell r="C4864">
            <v>81</v>
          </cell>
        </row>
        <row r="4865">
          <cell r="B4865">
            <v>5.6296296296294297E-2</v>
          </cell>
          <cell r="C4865">
            <v>81</v>
          </cell>
        </row>
        <row r="4866">
          <cell r="B4866">
            <v>5.6307870370368371E-2</v>
          </cell>
          <cell r="C4866">
            <v>81</v>
          </cell>
        </row>
        <row r="4867">
          <cell r="B4867">
            <v>5.6319444444442444E-2</v>
          </cell>
          <cell r="C4867">
            <v>81</v>
          </cell>
        </row>
        <row r="4868">
          <cell r="B4868">
            <v>5.6331018518516518E-2</v>
          </cell>
          <cell r="C4868">
            <v>81</v>
          </cell>
        </row>
        <row r="4869">
          <cell r="B4869">
            <v>5.6342592592590592E-2</v>
          </cell>
          <cell r="C4869">
            <v>81</v>
          </cell>
        </row>
        <row r="4870">
          <cell r="B4870">
            <v>5.6354166666664665E-2</v>
          </cell>
          <cell r="C4870">
            <v>81</v>
          </cell>
        </row>
        <row r="4871">
          <cell r="B4871">
            <v>5.6365740740738739E-2</v>
          </cell>
          <cell r="C4871">
            <v>81</v>
          </cell>
        </row>
        <row r="4872">
          <cell r="B4872">
            <v>5.6377314814812812E-2</v>
          </cell>
          <cell r="C4872">
            <v>81</v>
          </cell>
        </row>
        <row r="4873">
          <cell r="B4873">
            <v>5.6388888888886886E-2</v>
          </cell>
          <cell r="C4873">
            <v>81</v>
          </cell>
        </row>
        <row r="4874">
          <cell r="B4874">
            <v>5.6400462962960959E-2</v>
          </cell>
          <cell r="C4874">
            <v>81</v>
          </cell>
        </row>
        <row r="4875">
          <cell r="B4875">
            <v>5.6412037037035033E-2</v>
          </cell>
          <cell r="C4875">
            <v>81</v>
          </cell>
        </row>
        <row r="4876">
          <cell r="B4876">
            <v>5.6423611111109107E-2</v>
          </cell>
          <cell r="C4876">
            <v>81</v>
          </cell>
        </row>
        <row r="4877">
          <cell r="B4877">
            <v>5.643518518518318E-2</v>
          </cell>
          <cell r="C4877">
            <v>81</v>
          </cell>
        </row>
        <row r="4878">
          <cell r="B4878">
            <v>5.6446759259257254E-2</v>
          </cell>
          <cell r="C4878">
            <v>81</v>
          </cell>
        </row>
        <row r="4879">
          <cell r="B4879">
            <v>5.6458333333331327E-2</v>
          </cell>
          <cell r="C4879">
            <v>81</v>
          </cell>
        </row>
        <row r="4880">
          <cell r="B4880">
            <v>5.6469907407405401E-2</v>
          </cell>
          <cell r="C4880">
            <v>81</v>
          </cell>
        </row>
        <row r="4881">
          <cell r="B4881">
            <v>5.6481481481479474E-2</v>
          </cell>
          <cell r="C4881">
            <v>81</v>
          </cell>
        </row>
        <row r="4882">
          <cell r="B4882">
            <v>5.6493055555553548E-2</v>
          </cell>
          <cell r="C4882">
            <v>81</v>
          </cell>
        </row>
        <row r="4883">
          <cell r="B4883">
            <v>5.6504629629627622E-2</v>
          </cell>
          <cell r="C4883">
            <v>81</v>
          </cell>
        </row>
        <row r="4884">
          <cell r="B4884">
            <v>5.6516203703701695E-2</v>
          </cell>
          <cell r="C4884">
            <v>81</v>
          </cell>
        </row>
        <row r="4885">
          <cell r="B4885">
            <v>5.6527777777775769E-2</v>
          </cell>
          <cell r="C4885">
            <v>81</v>
          </cell>
        </row>
        <row r="4886">
          <cell r="B4886">
            <v>5.6539351851849842E-2</v>
          </cell>
          <cell r="C4886">
            <v>81</v>
          </cell>
        </row>
        <row r="4887">
          <cell r="B4887">
            <v>5.6550925925923916E-2</v>
          </cell>
          <cell r="C4887">
            <v>81</v>
          </cell>
        </row>
        <row r="4888">
          <cell r="B4888">
            <v>5.6562499999997989E-2</v>
          </cell>
          <cell r="C4888">
            <v>81</v>
          </cell>
        </row>
        <row r="4889">
          <cell r="B4889">
            <v>5.6574074074072063E-2</v>
          </cell>
          <cell r="C4889">
            <v>81</v>
          </cell>
        </row>
        <row r="4890">
          <cell r="B4890">
            <v>5.6585648148146137E-2</v>
          </cell>
          <cell r="C4890">
            <v>81</v>
          </cell>
        </row>
        <row r="4891">
          <cell r="B4891">
            <v>5.659722222222021E-2</v>
          </cell>
          <cell r="C4891">
            <v>81</v>
          </cell>
        </row>
        <row r="4892">
          <cell r="B4892">
            <v>5.6608796296294284E-2</v>
          </cell>
          <cell r="C4892">
            <v>81</v>
          </cell>
        </row>
        <row r="4893">
          <cell r="B4893">
            <v>5.6620370370368357E-2</v>
          </cell>
          <cell r="C4893">
            <v>81</v>
          </cell>
        </row>
        <row r="4894">
          <cell r="B4894">
            <v>5.6631944444442431E-2</v>
          </cell>
          <cell r="C4894">
            <v>81</v>
          </cell>
        </row>
        <row r="4895">
          <cell r="B4895">
            <v>5.6643518518516504E-2</v>
          </cell>
          <cell r="C4895">
            <v>81</v>
          </cell>
        </row>
        <row r="4896">
          <cell r="B4896">
            <v>5.6655092592590578E-2</v>
          </cell>
          <cell r="C4896">
            <v>81</v>
          </cell>
        </row>
        <row r="4897">
          <cell r="B4897">
            <v>5.6666666666664652E-2</v>
          </cell>
          <cell r="C4897">
            <v>81</v>
          </cell>
        </row>
        <row r="4898">
          <cell r="B4898">
            <v>5.6678240740738725E-2</v>
          </cell>
          <cell r="C4898">
            <v>81</v>
          </cell>
        </row>
        <row r="4899">
          <cell r="B4899">
            <v>5.6689814814812799E-2</v>
          </cell>
          <cell r="C4899">
            <v>81</v>
          </cell>
        </row>
        <row r="4900">
          <cell r="B4900">
            <v>5.6701388888886872E-2</v>
          </cell>
          <cell r="C4900">
            <v>81</v>
          </cell>
        </row>
        <row r="4901">
          <cell r="B4901">
            <v>5.6712962962960946E-2</v>
          </cell>
          <cell r="C4901">
            <v>81</v>
          </cell>
        </row>
        <row r="4902">
          <cell r="B4902">
            <v>5.6724537037035019E-2</v>
          </cell>
          <cell r="C4902">
            <v>81</v>
          </cell>
        </row>
        <row r="4903">
          <cell r="B4903">
            <v>5.6736111111109093E-2</v>
          </cell>
          <cell r="C4903">
            <v>81</v>
          </cell>
        </row>
        <row r="4904">
          <cell r="B4904">
            <v>5.6747685185183167E-2</v>
          </cell>
          <cell r="C4904">
            <v>81</v>
          </cell>
        </row>
        <row r="4905">
          <cell r="B4905">
            <v>5.675925925925724E-2</v>
          </cell>
          <cell r="C4905">
            <v>81</v>
          </cell>
        </row>
        <row r="4906">
          <cell r="B4906">
            <v>5.6770833333331314E-2</v>
          </cell>
          <cell r="C4906">
            <v>81</v>
          </cell>
        </row>
        <row r="4907">
          <cell r="B4907">
            <v>5.6782407407405387E-2</v>
          </cell>
          <cell r="C4907">
            <v>81</v>
          </cell>
        </row>
        <row r="4908">
          <cell r="B4908">
            <v>5.6793981481479461E-2</v>
          </cell>
          <cell r="C4908">
            <v>81</v>
          </cell>
        </row>
        <row r="4909">
          <cell r="B4909">
            <v>5.6805555555553534E-2</v>
          </cell>
          <cell r="C4909">
            <v>81</v>
          </cell>
        </row>
        <row r="4910">
          <cell r="B4910">
            <v>5.6817129629627608E-2</v>
          </cell>
          <cell r="C4910">
            <v>81</v>
          </cell>
        </row>
        <row r="4911">
          <cell r="B4911">
            <v>5.6828703703701682E-2</v>
          </cell>
          <cell r="C4911">
            <v>81</v>
          </cell>
        </row>
        <row r="4912">
          <cell r="B4912">
            <v>5.6840277777775755E-2</v>
          </cell>
          <cell r="C4912">
            <v>81</v>
          </cell>
        </row>
        <row r="4913">
          <cell r="B4913">
            <v>5.6851851851849829E-2</v>
          </cell>
          <cell r="C4913">
            <v>81</v>
          </cell>
        </row>
        <row r="4914">
          <cell r="B4914">
            <v>5.6863425925923902E-2</v>
          </cell>
          <cell r="C4914">
            <v>81</v>
          </cell>
        </row>
        <row r="4915">
          <cell r="B4915">
            <v>5.6874999999997976E-2</v>
          </cell>
          <cell r="C4915">
            <v>81</v>
          </cell>
        </row>
        <row r="4916">
          <cell r="B4916">
            <v>5.6886574074072049E-2</v>
          </cell>
          <cell r="C4916">
            <v>81</v>
          </cell>
        </row>
        <row r="4917">
          <cell r="B4917">
            <v>5.6898148148146123E-2</v>
          </cell>
          <cell r="C4917">
            <v>81</v>
          </cell>
        </row>
        <row r="4918">
          <cell r="B4918">
            <v>5.6909722222220196E-2</v>
          </cell>
          <cell r="C4918">
            <v>81</v>
          </cell>
        </row>
        <row r="4919">
          <cell r="B4919">
            <v>5.692129629629427E-2</v>
          </cell>
          <cell r="C4919">
            <v>81</v>
          </cell>
        </row>
        <row r="4920">
          <cell r="B4920">
            <v>5.6932870370368344E-2</v>
          </cell>
          <cell r="C4920">
            <v>81</v>
          </cell>
        </row>
        <row r="4921">
          <cell r="B4921">
            <v>5.6944444444442417E-2</v>
          </cell>
          <cell r="C4921">
            <v>82</v>
          </cell>
        </row>
        <row r="4922">
          <cell r="B4922">
            <v>5.6956018518516491E-2</v>
          </cell>
          <cell r="C4922">
            <v>82</v>
          </cell>
        </row>
        <row r="4923">
          <cell r="B4923">
            <v>5.6967592592590564E-2</v>
          </cell>
          <cell r="C4923">
            <v>82</v>
          </cell>
        </row>
        <row r="4924">
          <cell r="B4924">
            <v>5.6979166666664638E-2</v>
          </cell>
          <cell r="C4924">
            <v>82</v>
          </cell>
        </row>
        <row r="4925">
          <cell r="B4925">
            <v>5.6990740740738711E-2</v>
          </cell>
          <cell r="C4925">
            <v>82</v>
          </cell>
        </row>
        <row r="4926">
          <cell r="B4926">
            <v>5.7002314814812785E-2</v>
          </cell>
          <cell r="C4926">
            <v>82</v>
          </cell>
        </row>
        <row r="4927">
          <cell r="B4927">
            <v>5.7013888888886859E-2</v>
          </cell>
          <cell r="C4927">
            <v>82</v>
          </cell>
        </row>
        <row r="4928">
          <cell r="B4928">
            <v>5.7025462962960932E-2</v>
          </cell>
          <cell r="C4928">
            <v>82</v>
          </cell>
        </row>
        <row r="4929">
          <cell r="B4929">
            <v>5.7037037037035006E-2</v>
          </cell>
          <cell r="C4929">
            <v>82</v>
          </cell>
        </row>
        <row r="4930">
          <cell r="B4930">
            <v>5.7048611111109079E-2</v>
          </cell>
          <cell r="C4930">
            <v>82</v>
          </cell>
        </row>
        <row r="4931">
          <cell r="B4931">
            <v>5.7060185185183153E-2</v>
          </cell>
          <cell r="C4931">
            <v>82</v>
          </cell>
        </row>
        <row r="4932">
          <cell r="B4932">
            <v>5.7071759259257226E-2</v>
          </cell>
          <cell r="C4932">
            <v>82</v>
          </cell>
        </row>
        <row r="4933">
          <cell r="B4933">
            <v>5.70833333333313E-2</v>
          </cell>
          <cell r="C4933">
            <v>82</v>
          </cell>
        </row>
        <row r="4934">
          <cell r="B4934">
            <v>5.7094907407405374E-2</v>
          </cell>
          <cell r="C4934">
            <v>82</v>
          </cell>
        </row>
        <row r="4935">
          <cell r="B4935">
            <v>5.7106481481479447E-2</v>
          </cell>
          <cell r="C4935">
            <v>82</v>
          </cell>
        </row>
        <row r="4936">
          <cell r="B4936">
            <v>5.7118055555553521E-2</v>
          </cell>
          <cell r="C4936">
            <v>82</v>
          </cell>
        </row>
        <row r="4937">
          <cell r="B4937">
            <v>5.7129629629627594E-2</v>
          </cell>
          <cell r="C4937">
            <v>82</v>
          </cell>
        </row>
        <row r="4938">
          <cell r="B4938">
            <v>5.7141203703701668E-2</v>
          </cell>
          <cell r="C4938">
            <v>82</v>
          </cell>
        </row>
        <row r="4939">
          <cell r="B4939">
            <v>5.7152777777775741E-2</v>
          </cell>
          <cell r="C4939">
            <v>82</v>
          </cell>
        </row>
        <row r="4940">
          <cell r="B4940">
            <v>5.7164351851849815E-2</v>
          </cell>
          <cell r="C4940">
            <v>82</v>
          </cell>
        </row>
        <row r="4941">
          <cell r="B4941">
            <v>5.7175925925923889E-2</v>
          </cell>
          <cell r="C4941">
            <v>82</v>
          </cell>
        </row>
        <row r="4942">
          <cell r="B4942">
            <v>5.7187499999997962E-2</v>
          </cell>
          <cell r="C4942">
            <v>82</v>
          </cell>
        </row>
        <row r="4943">
          <cell r="B4943">
            <v>5.7199074074072036E-2</v>
          </cell>
          <cell r="C4943">
            <v>82</v>
          </cell>
        </row>
        <row r="4944">
          <cell r="B4944">
            <v>5.7210648148146109E-2</v>
          </cell>
          <cell r="C4944">
            <v>82</v>
          </cell>
        </row>
        <row r="4945">
          <cell r="B4945">
            <v>5.7222222222220183E-2</v>
          </cell>
          <cell r="C4945">
            <v>82</v>
          </cell>
        </row>
        <row r="4946">
          <cell r="B4946">
            <v>5.7233796296294256E-2</v>
          </cell>
          <cell r="C4946">
            <v>82</v>
          </cell>
        </row>
        <row r="4947">
          <cell r="B4947">
            <v>5.724537037036833E-2</v>
          </cell>
          <cell r="C4947">
            <v>82</v>
          </cell>
        </row>
        <row r="4948">
          <cell r="B4948">
            <v>5.7256944444442404E-2</v>
          </cell>
          <cell r="C4948">
            <v>82</v>
          </cell>
        </row>
        <row r="4949">
          <cell r="B4949">
            <v>5.7268518518516477E-2</v>
          </cell>
          <cell r="C4949">
            <v>82</v>
          </cell>
        </row>
        <row r="4950">
          <cell r="B4950">
            <v>5.7280092592590551E-2</v>
          </cell>
          <cell r="C4950">
            <v>82</v>
          </cell>
        </row>
        <row r="4951">
          <cell r="B4951">
            <v>5.7291666666664624E-2</v>
          </cell>
          <cell r="C4951">
            <v>82</v>
          </cell>
        </row>
        <row r="4952">
          <cell r="B4952">
            <v>5.7303240740738698E-2</v>
          </cell>
          <cell r="C4952">
            <v>82</v>
          </cell>
        </row>
        <row r="4953">
          <cell r="B4953">
            <v>5.7314814814812771E-2</v>
          </cell>
          <cell r="C4953">
            <v>82</v>
          </cell>
        </row>
        <row r="4954">
          <cell r="B4954">
            <v>5.7326388888886845E-2</v>
          </cell>
          <cell r="C4954">
            <v>82</v>
          </cell>
        </row>
        <row r="4955">
          <cell r="B4955">
            <v>5.7337962962960919E-2</v>
          </cell>
          <cell r="C4955">
            <v>82</v>
          </cell>
        </row>
        <row r="4956">
          <cell r="B4956">
            <v>5.7349537037034992E-2</v>
          </cell>
          <cell r="C4956">
            <v>82</v>
          </cell>
        </row>
        <row r="4957">
          <cell r="B4957">
            <v>5.7361111111109066E-2</v>
          </cell>
          <cell r="C4957">
            <v>82</v>
          </cell>
        </row>
        <row r="4958">
          <cell r="B4958">
            <v>5.7372685185183139E-2</v>
          </cell>
          <cell r="C4958">
            <v>82</v>
          </cell>
        </row>
        <row r="4959">
          <cell r="B4959">
            <v>5.7384259259257213E-2</v>
          </cell>
          <cell r="C4959">
            <v>82</v>
          </cell>
        </row>
        <row r="4960">
          <cell r="B4960">
            <v>5.7395833333331286E-2</v>
          </cell>
          <cell r="C4960">
            <v>82</v>
          </cell>
        </row>
        <row r="4961">
          <cell r="B4961">
            <v>5.740740740740536E-2</v>
          </cell>
          <cell r="C4961">
            <v>82</v>
          </cell>
        </row>
        <row r="4962">
          <cell r="B4962">
            <v>5.7418981481479434E-2</v>
          </cell>
          <cell r="C4962">
            <v>82</v>
          </cell>
        </row>
        <row r="4963">
          <cell r="B4963">
            <v>5.7430555555553507E-2</v>
          </cell>
          <cell r="C4963">
            <v>82</v>
          </cell>
        </row>
        <row r="4964">
          <cell r="B4964">
            <v>5.7442129629627581E-2</v>
          </cell>
          <cell r="C4964">
            <v>82</v>
          </cell>
        </row>
        <row r="4965">
          <cell r="B4965">
            <v>5.7453703703701654E-2</v>
          </cell>
          <cell r="C4965">
            <v>82</v>
          </cell>
        </row>
        <row r="4966">
          <cell r="B4966">
            <v>5.7465277777775728E-2</v>
          </cell>
          <cell r="C4966">
            <v>82</v>
          </cell>
        </row>
        <row r="4967">
          <cell r="B4967">
            <v>5.7476851851849801E-2</v>
          </cell>
          <cell r="C4967">
            <v>82</v>
          </cell>
        </row>
        <row r="4968">
          <cell r="B4968">
            <v>5.7488425925923875E-2</v>
          </cell>
          <cell r="C4968">
            <v>82</v>
          </cell>
        </row>
        <row r="4969">
          <cell r="B4969">
            <v>5.7499999999997949E-2</v>
          </cell>
          <cell r="C4969">
            <v>82</v>
          </cell>
        </row>
        <row r="4970">
          <cell r="B4970">
            <v>5.7511574074072022E-2</v>
          </cell>
          <cell r="C4970">
            <v>82</v>
          </cell>
        </row>
        <row r="4971">
          <cell r="B4971">
            <v>5.7523148148146096E-2</v>
          </cell>
          <cell r="C4971">
            <v>82</v>
          </cell>
        </row>
        <row r="4972">
          <cell r="B4972">
            <v>5.7534722222220169E-2</v>
          </cell>
          <cell r="C4972">
            <v>82</v>
          </cell>
        </row>
        <row r="4973">
          <cell r="B4973">
            <v>5.7546296296294243E-2</v>
          </cell>
          <cell r="C4973">
            <v>82</v>
          </cell>
        </row>
        <row r="4974">
          <cell r="B4974">
            <v>5.7557870370368316E-2</v>
          </cell>
          <cell r="C4974">
            <v>82</v>
          </cell>
        </row>
        <row r="4975">
          <cell r="B4975">
            <v>5.756944444444239E-2</v>
          </cell>
          <cell r="C4975">
            <v>82</v>
          </cell>
        </row>
        <row r="4976">
          <cell r="B4976">
            <v>5.7581018518516464E-2</v>
          </cell>
          <cell r="C4976">
            <v>82</v>
          </cell>
        </row>
        <row r="4977">
          <cell r="B4977">
            <v>5.7592592592590537E-2</v>
          </cell>
          <cell r="C4977">
            <v>82</v>
          </cell>
        </row>
        <row r="4978">
          <cell r="B4978">
            <v>5.7604166666664611E-2</v>
          </cell>
          <cell r="C4978">
            <v>82</v>
          </cell>
        </row>
        <row r="4979">
          <cell r="B4979">
            <v>5.7615740740738684E-2</v>
          </cell>
          <cell r="C4979">
            <v>82</v>
          </cell>
        </row>
        <row r="4980">
          <cell r="B4980">
            <v>5.7627314814812758E-2</v>
          </cell>
          <cell r="C4980">
            <v>82</v>
          </cell>
        </row>
        <row r="4981">
          <cell r="B4981">
            <v>5.7638888888886831E-2</v>
          </cell>
          <cell r="C4981">
            <v>83</v>
          </cell>
        </row>
        <row r="4982">
          <cell r="B4982">
            <v>5.7650462962960905E-2</v>
          </cell>
          <cell r="C4982">
            <v>83</v>
          </cell>
        </row>
        <row r="4983">
          <cell r="B4983">
            <v>5.7662037037034979E-2</v>
          </cell>
          <cell r="C4983">
            <v>83</v>
          </cell>
        </row>
        <row r="4984">
          <cell r="B4984">
            <v>5.7673611111109052E-2</v>
          </cell>
          <cell r="C4984">
            <v>83</v>
          </cell>
        </row>
        <row r="4985">
          <cell r="B4985">
            <v>5.7685185185183126E-2</v>
          </cell>
          <cell r="C4985">
            <v>83</v>
          </cell>
        </row>
        <row r="4986">
          <cell r="B4986">
            <v>5.7696759259257199E-2</v>
          </cell>
          <cell r="C4986">
            <v>83</v>
          </cell>
        </row>
        <row r="4987">
          <cell r="B4987">
            <v>5.7708333333331273E-2</v>
          </cell>
          <cell r="C4987">
            <v>83</v>
          </cell>
        </row>
        <row r="4988">
          <cell r="B4988">
            <v>5.7719907407405346E-2</v>
          </cell>
          <cell r="C4988">
            <v>83</v>
          </cell>
        </row>
        <row r="4989">
          <cell r="B4989">
            <v>5.773148148147942E-2</v>
          </cell>
          <cell r="C4989">
            <v>83</v>
          </cell>
        </row>
        <row r="4990">
          <cell r="B4990">
            <v>5.7743055555553494E-2</v>
          </cell>
          <cell r="C4990">
            <v>83</v>
          </cell>
        </row>
        <row r="4991">
          <cell r="B4991">
            <v>5.7754629629627567E-2</v>
          </cell>
          <cell r="C4991">
            <v>83</v>
          </cell>
        </row>
        <row r="4992">
          <cell r="B4992">
            <v>5.7766203703701641E-2</v>
          </cell>
          <cell r="C4992">
            <v>83</v>
          </cell>
        </row>
        <row r="4993">
          <cell r="B4993">
            <v>5.7777777777775714E-2</v>
          </cell>
          <cell r="C4993">
            <v>83</v>
          </cell>
        </row>
        <row r="4994">
          <cell r="B4994">
            <v>5.7789351851849788E-2</v>
          </cell>
          <cell r="C4994">
            <v>83</v>
          </cell>
        </row>
        <row r="4995">
          <cell r="B4995">
            <v>5.7800925925923861E-2</v>
          </cell>
          <cell r="C4995">
            <v>83</v>
          </cell>
        </row>
        <row r="4996">
          <cell r="B4996">
            <v>5.7812499999997935E-2</v>
          </cell>
          <cell r="C4996">
            <v>83</v>
          </cell>
        </row>
        <row r="4997">
          <cell r="B4997">
            <v>5.7824074074072009E-2</v>
          </cell>
          <cell r="C4997">
            <v>83</v>
          </cell>
        </row>
        <row r="4998">
          <cell r="B4998">
            <v>5.7835648148146082E-2</v>
          </cell>
          <cell r="C4998">
            <v>83</v>
          </cell>
        </row>
        <row r="4999">
          <cell r="B4999">
            <v>5.7847222222220156E-2</v>
          </cell>
          <cell r="C4999">
            <v>83</v>
          </cell>
        </row>
        <row r="5000">
          <cell r="B5000">
            <v>5.7858796296294229E-2</v>
          </cell>
          <cell r="C5000">
            <v>83</v>
          </cell>
        </row>
        <row r="5001">
          <cell r="B5001">
            <v>5.7870370370368303E-2</v>
          </cell>
          <cell r="C5001">
            <v>83</v>
          </cell>
        </row>
        <row r="5002">
          <cell r="B5002">
            <v>5.7881944444442376E-2</v>
          </cell>
          <cell r="C5002">
            <v>83</v>
          </cell>
        </row>
        <row r="5003">
          <cell r="B5003">
            <v>5.789351851851645E-2</v>
          </cell>
          <cell r="C5003">
            <v>83</v>
          </cell>
        </row>
        <row r="5004">
          <cell r="B5004">
            <v>5.7905092592590524E-2</v>
          </cell>
          <cell r="C5004">
            <v>83</v>
          </cell>
        </row>
        <row r="5005">
          <cell r="B5005">
            <v>5.7916666666664597E-2</v>
          </cell>
          <cell r="C5005">
            <v>83</v>
          </cell>
        </row>
        <row r="5006">
          <cell r="B5006">
            <v>5.7928240740738671E-2</v>
          </cell>
          <cell r="C5006">
            <v>83</v>
          </cell>
        </row>
        <row r="5007">
          <cell r="B5007">
            <v>5.7939814814812744E-2</v>
          </cell>
          <cell r="C5007">
            <v>83</v>
          </cell>
        </row>
        <row r="5008">
          <cell r="B5008">
            <v>5.7951388888886818E-2</v>
          </cell>
          <cell r="C5008">
            <v>83</v>
          </cell>
        </row>
        <row r="5009">
          <cell r="B5009">
            <v>5.7962962962960891E-2</v>
          </cell>
          <cell r="C5009">
            <v>83</v>
          </cell>
        </row>
        <row r="5010">
          <cell r="B5010">
            <v>5.7974537037034965E-2</v>
          </cell>
          <cell r="C5010">
            <v>83</v>
          </cell>
        </row>
        <row r="5011">
          <cell r="B5011">
            <v>5.7986111111109039E-2</v>
          </cell>
          <cell r="C5011">
            <v>83</v>
          </cell>
        </row>
        <row r="5012">
          <cell r="B5012">
            <v>5.7997685185183112E-2</v>
          </cell>
          <cell r="C5012">
            <v>83</v>
          </cell>
        </row>
        <row r="5013">
          <cell r="B5013">
            <v>5.8009259259257186E-2</v>
          </cell>
          <cell r="C5013">
            <v>83</v>
          </cell>
        </row>
        <row r="5014">
          <cell r="B5014">
            <v>5.8020833333331259E-2</v>
          </cell>
          <cell r="C5014">
            <v>83</v>
          </cell>
        </row>
        <row r="5015">
          <cell r="B5015">
            <v>5.8032407407405333E-2</v>
          </cell>
          <cell r="C5015">
            <v>83</v>
          </cell>
        </row>
        <row r="5016">
          <cell r="B5016">
            <v>5.8043981481479406E-2</v>
          </cell>
          <cell r="C5016">
            <v>83</v>
          </cell>
        </row>
        <row r="5017">
          <cell r="B5017">
            <v>5.805555555555348E-2</v>
          </cell>
          <cell r="C5017">
            <v>83</v>
          </cell>
        </row>
        <row r="5018">
          <cell r="B5018">
            <v>5.8067129629627554E-2</v>
          </cell>
          <cell r="C5018">
            <v>83</v>
          </cell>
        </row>
        <row r="5019">
          <cell r="B5019">
            <v>5.8078703703701627E-2</v>
          </cell>
          <cell r="C5019">
            <v>83</v>
          </cell>
        </row>
        <row r="5020">
          <cell r="B5020">
            <v>5.8090277777775701E-2</v>
          </cell>
          <cell r="C5020">
            <v>83</v>
          </cell>
        </row>
        <row r="5021">
          <cell r="B5021">
            <v>5.8101851851849774E-2</v>
          </cell>
          <cell r="C5021">
            <v>83</v>
          </cell>
        </row>
        <row r="5022">
          <cell r="B5022">
            <v>5.8113425925923848E-2</v>
          </cell>
          <cell r="C5022">
            <v>83</v>
          </cell>
        </row>
        <row r="5023">
          <cell r="B5023">
            <v>5.8124999999997921E-2</v>
          </cell>
          <cell r="C5023">
            <v>83</v>
          </cell>
        </row>
        <row r="5024">
          <cell r="B5024">
            <v>5.8136574074071995E-2</v>
          </cell>
          <cell r="C5024">
            <v>83</v>
          </cell>
        </row>
        <row r="5025">
          <cell r="B5025">
            <v>5.8148148148146069E-2</v>
          </cell>
          <cell r="C5025">
            <v>83</v>
          </cell>
        </row>
        <row r="5026">
          <cell r="B5026">
            <v>5.8159722222220142E-2</v>
          </cell>
          <cell r="C5026">
            <v>83</v>
          </cell>
        </row>
        <row r="5027">
          <cell r="B5027">
            <v>5.8171296296294216E-2</v>
          </cell>
          <cell r="C5027">
            <v>83</v>
          </cell>
        </row>
        <row r="5028">
          <cell r="B5028">
            <v>5.8182870370368289E-2</v>
          </cell>
          <cell r="C5028">
            <v>83</v>
          </cell>
        </row>
        <row r="5029">
          <cell r="B5029">
            <v>5.8194444444442363E-2</v>
          </cell>
          <cell r="C5029">
            <v>83</v>
          </cell>
        </row>
        <row r="5030">
          <cell r="B5030">
            <v>5.8206018518516436E-2</v>
          </cell>
          <cell r="C5030">
            <v>83</v>
          </cell>
        </row>
        <row r="5031">
          <cell r="B5031">
            <v>5.821759259259051E-2</v>
          </cell>
          <cell r="C5031">
            <v>83</v>
          </cell>
        </row>
        <row r="5032">
          <cell r="B5032">
            <v>5.8229166666664584E-2</v>
          </cell>
          <cell r="C5032">
            <v>83</v>
          </cell>
        </row>
        <row r="5033">
          <cell r="B5033">
            <v>5.8240740740738657E-2</v>
          </cell>
          <cell r="C5033">
            <v>83</v>
          </cell>
        </row>
        <row r="5034">
          <cell r="B5034">
            <v>5.8252314814812731E-2</v>
          </cell>
          <cell r="C5034">
            <v>83</v>
          </cell>
        </row>
        <row r="5035">
          <cell r="B5035">
            <v>5.8263888888886804E-2</v>
          </cell>
          <cell r="C5035">
            <v>83</v>
          </cell>
        </row>
        <row r="5036">
          <cell r="B5036">
            <v>5.8275462962960878E-2</v>
          </cell>
          <cell r="C5036">
            <v>83</v>
          </cell>
        </row>
        <row r="5037">
          <cell r="B5037">
            <v>5.8287037037034951E-2</v>
          </cell>
          <cell r="C5037">
            <v>83</v>
          </cell>
        </row>
        <row r="5038">
          <cell r="B5038">
            <v>5.8298611111109025E-2</v>
          </cell>
          <cell r="C5038">
            <v>83</v>
          </cell>
        </row>
        <row r="5039">
          <cell r="B5039">
            <v>5.8310185185183099E-2</v>
          </cell>
          <cell r="C5039">
            <v>83</v>
          </cell>
        </row>
        <row r="5040">
          <cell r="B5040">
            <v>5.8321759259257172E-2</v>
          </cell>
          <cell r="C5040">
            <v>83</v>
          </cell>
        </row>
        <row r="5041">
          <cell r="B5041">
            <v>5.8333333333331246E-2</v>
          </cell>
          <cell r="C5041">
            <v>84</v>
          </cell>
        </row>
        <row r="5042">
          <cell r="B5042">
            <v>5.8344907407405319E-2</v>
          </cell>
          <cell r="C5042">
            <v>84</v>
          </cell>
        </row>
        <row r="5043">
          <cell r="B5043">
            <v>5.8356481481479393E-2</v>
          </cell>
          <cell r="C5043">
            <v>84</v>
          </cell>
        </row>
        <row r="5044">
          <cell r="B5044">
            <v>5.8368055555553466E-2</v>
          </cell>
          <cell r="C5044">
            <v>84</v>
          </cell>
        </row>
        <row r="5045">
          <cell r="B5045">
            <v>5.837962962962754E-2</v>
          </cell>
          <cell r="C5045">
            <v>84</v>
          </cell>
        </row>
        <row r="5046">
          <cell r="B5046">
            <v>5.8391203703701614E-2</v>
          </cell>
          <cell r="C5046">
            <v>84</v>
          </cell>
        </row>
        <row r="5047">
          <cell r="B5047">
            <v>5.8402777777775687E-2</v>
          </cell>
          <cell r="C5047">
            <v>84</v>
          </cell>
        </row>
        <row r="5048">
          <cell r="B5048">
            <v>5.8414351851849761E-2</v>
          </cell>
          <cell r="C5048">
            <v>84</v>
          </cell>
        </row>
        <row r="5049">
          <cell r="B5049">
            <v>5.8425925925923834E-2</v>
          </cell>
          <cell r="C5049">
            <v>84</v>
          </cell>
        </row>
        <row r="5050">
          <cell r="B5050">
            <v>5.8437499999997908E-2</v>
          </cell>
          <cell r="C5050">
            <v>84</v>
          </cell>
        </row>
        <row r="5051">
          <cell r="B5051">
            <v>5.8449074074071981E-2</v>
          </cell>
          <cell r="C5051">
            <v>84</v>
          </cell>
        </row>
        <row r="5052">
          <cell r="B5052">
            <v>5.8460648148146055E-2</v>
          </cell>
          <cell r="C5052">
            <v>84</v>
          </cell>
        </row>
        <row r="5053">
          <cell r="B5053">
            <v>5.8472222222220128E-2</v>
          </cell>
          <cell r="C5053">
            <v>84</v>
          </cell>
        </row>
        <row r="5054">
          <cell r="B5054">
            <v>5.8483796296294202E-2</v>
          </cell>
          <cell r="C5054">
            <v>84</v>
          </cell>
        </row>
        <row r="5055">
          <cell r="B5055">
            <v>5.8495370370368276E-2</v>
          </cell>
          <cell r="C5055">
            <v>84</v>
          </cell>
        </row>
        <row r="5056">
          <cell r="B5056">
            <v>5.8506944444442349E-2</v>
          </cell>
          <cell r="C5056">
            <v>84</v>
          </cell>
        </row>
        <row r="5057">
          <cell r="B5057">
            <v>5.8518518518516423E-2</v>
          </cell>
          <cell r="C5057">
            <v>84</v>
          </cell>
        </row>
        <row r="5058">
          <cell r="B5058">
            <v>5.8530092592590496E-2</v>
          </cell>
          <cell r="C5058">
            <v>84</v>
          </cell>
        </row>
        <row r="5059">
          <cell r="B5059">
            <v>5.854166666666457E-2</v>
          </cell>
          <cell r="C5059">
            <v>84</v>
          </cell>
        </row>
        <row r="5060">
          <cell r="B5060">
            <v>5.8553240740738643E-2</v>
          </cell>
          <cell r="C5060">
            <v>84</v>
          </cell>
        </row>
        <row r="5061">
          <cell r="B5061">
            <v>5.8564814814812717E-2</v>
          </cell>
          <cell r="C5061">
            <v>84</v>
          </cell>
        </row>
        <row r="5062">
          <cell r="B5062">
            <v>5.8576388888886791E-2</v>
          </cell>
          <cell r="C5062">
            <v>84</v>
          </cell>
        </row>
        <row r="5063">
          <cell r="B5063">
            <v>5.8587962962960864E-2</v>
          </cell>
          <cell r="C5063">
            <v>84</v>
          </cell>
        </row>
        <row r="5064">
          <cell r="B5064">
            <v>5.8599537037034938E-2</v>
          </cell>
          <cell r="C5064">
            <v>84</v>
          </cell>
        </row>
        <row r="5065">
          <cell r="B5065">
            <v>5.8611111111109011E-2</v>
          </cell>
          <cell r="C5065">
            <v>84</v>
          </cell>
        </row>
        <row r="5066">
          <cell r="B5066">
            <v>5.8622685185183085E-2</v>
          </cell>
          <cell r="C5066">
            <v>84</v>
          </cell>
        </row>
        <row r="5067">
          <cell r="B5067">
            <v>5.8634259259257158E-2</v>
          </cell>
          <cell r="C5067">
            <v>84</v>
          </cell>
        </row>
        <row r="5068">
          <cell r="B5068">
            <v>5.8645833333331232E-2</v>
          </cell>
          <cell r="C5068">
            <v>84</v>
          </cell>
        </row>
        <row r="5069">
          <cell r="B5069">
            <v>5.8657407407405306E-2</v>
          </cell>
          <cell r="C5069">
            <v>84</v>
          </cell>
        </row>
        <row r="5070">
          <cell r="B5070">
            <v>5.8668981481479379E-2</v>
          </cell>
          <cell r="C5070">
            <v>84</v>
          </cell>
        </row>
        <row r="5071">
          <cell r="B5071">
            <v>5.8680555555553453E-2</v>
          </cell>
          <cell r="C5071">
            <v>84</v>
          </cell>
        </row>
        <row r="5072">
          <cell r="B5072">
            <v>5.8692129629627526E-2</v>
          </cell>
          <cell r="C5072">
            <v>84</v>
          </cell>
        </row>
        <row r="5073">
          <cell r="B5073">
            <v>5.87037037037016E-2</v>
          </cell>
          <cell r="C5073">
            <v>84</v>
          </cell>
        </row>
        <row r="5074">
          <cell r="B5074">
            <v>5.8715277777775673E-2</v>
          </cell>
          <cell r="C5074">
            <v>84</v>
          </cell>
        </row>
        <row r="5075">
          <cell r="B5075">
            <v>5.8726851851849747E-2</v>
          </cell>
          <cell r="C5075">
            <v>84</v>
          </cell>
        </row>
        <row r="5076">
          <cell r="B5076">
            <v>5.8738425925923821E-2</v>
          </cell>
          <cell r="C5076">
            <v>84</v>
          </cell>
        </row>
        <row r="5077">
          <cell r="B5077">
            <v>5.8749999999997894E-2</v>
          </cell>
          <cell r="C5077">
            <v>84</v>
          </cell>
        </row>
        <row r="5078">
          <cell r="B5078">
            <v>5.8761574074071968E-2</v>
          </cell>
          <cell r="C5078">
            <v>84</v>
          </cell>
        </row>
        <row r="5079">
          <cell r="B5079">
            <v>5.8773148148146041E-2</v>
          </cell>
          <cell r="C5079">
            <v>84</v>
          </cell>
        </row>
        <row r="5080">
          <cell r="B5080">
            <v>5.8784722222220115E-2</v>
          </cell>
          <cell r="C5080">
            <v>84</v>
          </cell>
        </row>
        <row r="5081">
          <cell r="B5081">
            <v>5.8796296296294188E-2</v>
          </cell>
          <cell r="C5081">
            <v>84</v>
          </cell>
        </row>
        <row r="5082">
          <cell r="B5082">
            <v>5.8807870370368262E-2</v>
          </cell>
          <cell r="C5082">
            <v>84</v>
          </cell>
        </row>
        <row r="5083">
          <cell r="B5083">
            <v>5.8819444444442336E-2</v>
          </cell>
          <cell r="C5083">
            <v>84</v>
          </cell>
        </row>
        <row r="5084">
          <cell r="B5084">
            <v>5.8831018518516409E-2</v>
          </cell>
          <cell r="C5084">
            <v>84</v>
          </cell>
        </row>
        <row r="5085">
          <cell r="B5085">
            <v>5.8842592592590483E-2</v>
          </cell>
          <cell r="C5085">
            <v>84</v>
          </cell>
        </row>
        <row r="5086">
          <cell r="B5086">
            <v>5.8854166666664556E-2</v>
          </cell>
          <cell r="C5086">
            <v>84</v>
          </cell>
        </row>
        <row r="5087">
          <cell r="B5087">
            <v>5.886574074073863E-2</v>
          </cell>
          <cell r="C5087">
            <v>84</v>
          </cell>
        </row>
        <row r="5088">
          <cell r="B5088">
            <v>5.8877314814812703E-2</v>
          </cell>
          <cell r="C5088">
            <v>84</v>
          </cell>
        </row>
        <row r="5089">
          <cell r="B5089">
            <v>5.8888888888886777E-2</v>
          </cell>
          <cell r="C5089">
            <v>84</v>
          </cell>
        </row>
        <row r="5090">
          <cell r="B5090">
            <v>5.8900462962960851E-2</v>
          </cell>
          <cell r="C5090">
            <v>84</v>
          </cell>
        </row>
        <row r="5091">
          <cell r="B5091">
            <v>5.8912037037034924E-2</v>
          </cell>
          <cell r="C5091">
            <v>84</v>
          </cell>
        </row>
        <row r="5092">
          <cell r="B5092">
            <v>5.8923611111108998E-2</v>
          </cell>
          <cell r="C5092">
            <v>84</v>
          </cell>
        </row>
        <row r="5093">
          <cell r="B5093">
            <v>5.8935185185183071E-2</v>
          </cell>
          <cell r="C5093">
            <v>84</v>
          </cell>
        </row>
        <row r="5094">
          <cell r="B5094">
            <v>5.8946759259257145E-2</v>
          </cell>
          <cell r="C5094">
            <v>84</v>
          </cell>
        </row>
        <row r="5095">
          <cell r="B5095">
            <v>5.8958333333331218E-2</v>
          </cell>
          <cell r="C5095">
            <v>84</v>
          </cell>
        </row>
        <row r="5096">
          <cell r="B5096">
            <v>5.8969907407405292E-2</v>
          </cell>
          <cell r="C5096">
            <v>84</v>
          </cell>
        </row>
        <row r="5097">
          <cell r="B5097">
            <v>5.8981481481479366E-2</v>
          </cell>
          <cell r="C5097">
            <v>84</v>
          </cell>
        </row>
        <row r="5098">
          <cell r="B5098">
            <v>5.8993055555553439E-2</v>
          </cell>
          <cell r="C5098">
            <v>84</v>
          </cell>
        </row>
        <row r="5099">
          <cell r="B5099">
            <v>5.9004629629627513E-2</v>
          </cell>
          <cell r="C5099">
            <v>84</v>
          </cell>
        </row>
        <row r="5100">
          <cell r="B5100">
            <v>5.9016203703701586E-2</v>
          </cell>
          <cell r="C5100">
            <v>84</v>
          </cell>
        </row>
        <row r="5101">
          <cell r="B5101">
            <v>5.902777777777566E-2</v>
          </cell>
          <cell r="C5101">
            <v>85</v>
          </cell>
        </row>
        <row r="5102">
          <cell r="B5102">
            <v>5.9039351851849733E-2</v>
          </cell>
          <cell r="C5102">
            <v>85</v>
          </cell>
        </row>
        <row r="5103">
          <cell r="B5103">
            <v>5.9050925925923807E-2</v>
          </cell>
          <cell r="C5103">
            <v>85</v>
          </cell>
        </row>
        <row r="5104">
          <cell r="B5104">
            <v>5.9062499999997881E-2</v>
          </cell>
          <cell r="C5104">
            <v>85</v>
          </cell>
        </row>
        <row r="5105">
          <cell r="B5105">
            <v>5.9074074074071954E-2</v>
          </cell>
          <cell r="C5105">
            <v>85</v>
          </cell>
        </row>
        <row r="5106">
          <cell r="B5106">
            <v>5.9085648148146028E-2</v>
          </cell>
          <cell r="C5106">
            <v>85</v>
          </cell>
        </row>
        <row r="5107">
          <cell r="B5107">
            <v>5.9097222222220101E-2</v>
          </cell>
          <cell r="C5107">
            <v>85</v>
          </cell>
        </row>
        <row r="5108">
          <cell r="B5108">
            <v>5.9108796296294175E-2</v>
          </cell>
          <cell r="C5108">
            <v>85</v>
          </cell>
        </row>
        <row r="5109">
          <cell r="B5109">
            <v>5.9120370370368248E-2</v>
          </cell>
          <cell r="C5109">
            <v>85</v>
          </cell>
        </row>
        <row r="5110">
          <cell r="B5110">
            <v>5.9131944444442322E-2</v>
          </cell>
          <cell r="C5110">
            <v>85</v>
          </cell>
        </row>
        <row r="5111">
          <cell r="B5111">
            <v>5.9143518518516396E-2</v>
          </cell>
          <cell r="C5111">
            <v>85</v>
          </cell>
        </row>
        <row r="5112">
          <cell r="B5112">
            <v>5.9155092592590469E-2</v>
          </cell>
          <cell r="C5112">
            <v>85</v>
          </cell>
        </row>
        <row r="5113">
          <cell r="B5113">
            <v>5.9166666666664543E-2</v>
          </cell>
          <cell r="C5113">
            <v>85</v>
          </cell>
        </row>
        <row r="5114">
          <cell r="B5114">
            <v>5.9178240740738616E-2</v>
          </cell>
          <cell r="C5114">
            <v>85</v>
          </cell>
        </row>
        <row r="5115">
          <cell r="B5115">
            <v>5.918981481481269E-2</v>
          </cell>
          <cell r="C5115">
            <v>85</v>
          </cell>
        </row>
        <row r="5116">
          <cell r="B5116">
            <v>5.9201388888886763E-2</v>
          </cell>
          <cell r="C5116">
            <v>85</v>
          </cell>
        </row>
        <row r="5117">
          <cell r="B5117">
            <v>5.9212962962960837E-2</v>
          </cell>
          <cell r="C5117">
            <v>85</v>
          </cell>
        </row>
        <row r="5118">
          <cell r="B5118">
            <v>5.9224537037034911E-2</v>
          </cell>
          <cell r="C5118">
            <v>85</v>
          </cell>
        </row>
        <row r="5119">
          <cell r="B5119">
            <v>5.9236111111108984E-2</v>
          </cell>
          <cell r="C5119">
            <v>85</v>
          </cell>
        </row>
        <row r="5120">
          <cell r="B5120">
            <v>5.9247685185183058E-2</v>
          </cell>
          <cell r="C5120">
            <v>85</v>
          </cell>
        </row>
        <row r="5121">
          <cell r="B5121">
            <v>5.9259259259257131E-2</v>
          </cell>
          <cell r="C5121">
            <v>85</v>
          </cell>
        </row>
        <row r="5122">
          <cell r="B5122">
            <v>5.9270833333331205E-2</v>
          </cell>
          <cell r="C5122">
            <v>85</v>
          </cell>
        </row>
        <row r="5123">
          <cell r="B5123">
            <v>5.9282407407405278E-2</v>
          </cell>
          <cell r="C5123">
            <v>85</v>
          </cell>
        </row>
        <row r="5124">
          <cell r="B5124">
            <v>5.9293981481479352E-2</v>
          </cell>
          <cell r="C5124">
            <v>85</v>
          </cell>
        </row>
        <row r="5125">
          <cell r="B5125">
            <v>5.9305555555553426E-2</v>
          </cell>
          <cell r="C5125">
            <v>85</v>
          </cell>
        </row>
        <row r="5126">
          <cell r="B5126">
            <v>5.9317129629627499E-2</v>
          </cell>
          <cell r="C5126">
            <v>85</v>
          </cell>
        </row>
        <row r="5127">
          <cell r="B5127">
            <v>5.9328703703701573E-2</v>
          </cell>
          <cell r="C5127">
            <v>85</v>
          </cell>
        </row>
        <row r="5128">
          <cell r="B5128">
            <v>5.9340277777775646E-2</v>
          </cell>
          <cell r="C5128">
            <v>85</v>
          </cell>
        </row>
        <row r="5129">
          <cell r="B5129">
            <v>5.935185185184972E-2</v>
          </cell>
          <cell r="C5129">
            <v>85</v>
          </cell>
        </row>
        <row r="5130">
          <cell r="B5130">
            <v>5.9363425925923793E-2</v>
          </cell>
          <cell r="C5130">
            <v>85</v>
          </cell>
        </row>
        <row r="5131">
          <cell r="B5131">
            <v>5.9374999999997867E-2</v>
          </cell>
          <cell r="C5131">
            <v>85</v>
          </cell>
        </row>
        <row r="5132">
          <cell r="B5132">
            <v>5.9386574074071941E-2</v>
          </cell>
          <cell r="C5132">
            <v>85</v>
          </cell>
        </row>
        <row r="5133">
          <cell r="B5133">
            <v>5.9398148148146014E-2</v>
          </cell>
          <cell r="C5133">
            <v>85</v>
          </cell>
        </row>
        <row r="5134">
          <cell r="B5134">
            <v>5.9409722222220088E-2</v>
          </cell>
          <cell r="C5134">
            <v>85</v>
          </cell>
        </row>
        <row r="5135">
          <cell r="B5135">
            <v>5.9421296296294161E-2</v>
          </cell>
          <cell r="C5135">
            <v>85</v>
          </cell>
        </row>
        <row r="5136">
          <cell r="B5136">
            <v>5.9432870370368235E-2</v>
          </cell>
          <cell r="C5136">
            <v>85</v>
          </cell>
        </row>
        <row r="5137">
          <cell r="B5137">
            <v>5.9444444444442308E-2</v>
          </cell>
          <cell r="C5137">
            <v>85</v>
          </cell>
        </row>
        <row r="5138">
          <cell r="B5138">
            <v>5.9456018518516382E-2</v>
          </cell>
          <cell r="C5138">
            <v>85</v>
          </cell>
        </row>
        <row r="5139">
          <cell r="B5139">
            <v>5.9467592592590456E-2</v>
          </cell>
          <cell r="C5139">
            <v>85</v>
          </cell>
        </row>
        <row r="5140">
          <cell r="B5140">
            <v>5.9479166666664529E-2</v>
          </cell>
          <cell r="C5140">
            <v>85</v>
          </cell>
        </row>
        <row r="5141">
          <cell r="B5141">
            <v>5.9490740740738603E-2</v>
          </cell>
          <cell r="C5141">
            <v>85</v>
          </cell>
        </row>
        <row r="5142">
          <cell r="B5142">
            <v>5.9502314814812676E-2</v>
          </cell>
          <cell r="C5142">
            <v>85</v>
          </cell>
        </row>
        <row r="5143">
          <cell r="B5143">
            <v>5.951388888888675E-2</v>
          </cell>
          <cell r="C5143">
            <v>85</v>
          </cell>
        </row>
        <row r="5144">
          <cell r="B5144">
            <v>5.9525462962960823E-2</v>
          </cell>
          <cell r="C5144">
            <v>85</v>
          </cell>
        </row>
        <row r="5145">
          <cell r="B5145">
            <v>5.9537037037034897E-2</v>
          </cell>
          <cell r="C5145">
            <v>85</v>
          </cell>
        </row>
        <row r="5146">
          <cell r="B5146">
            <v>5.9548611111108971E-2</v>
          </cell>
          <cell r="C5146">
            <v>85</v>
          </cell>
        </row>
        <row r="5147">
          <cell r="B5147">
            <v>5.9560185185183044E-2</v>
          </cell>
          <cell r="C5147">
            <v>85</v>
          </cell>
        </row>
        <row r="5148">
          <cell r="B5148">
            <v>5.9571759259257118E-2</v>
          </cell>
          <cell r="C5148">
            <v>85</v>
          </cell>
        </row>
        <row r="5149">
          <cell r="B5149">
            <v>5.9583333333331191E-2</v>
          </cell>
          <cell r="C5149">
            <v>85</v>
          </cell>
        </row>
        <row r="5150">
          <cell r="B5150">
            <v>5.9594907407405265E-2</v>
          </cell>
          <cell r="C5150">
            <v>85</v>
          </cell>
        </row>
        <row r="5151">
          <cell r="B5151">
            <v>5.9606481481479338E-2</v>
          </cell>
          <cell r="C5151">
            <v>85</v>
          </cell>
        </row>
        <row r="5152">
          <cell r="B5152">
            <v>5.9618055555553412E-2</v>
          </cell>
          <cell r="C5152">
            <v>85</v>
          </cell>
        </row>
        <row r="5153">
          <cell r="B5153">
            <v>5.9629629629627486E-2</v>
          </cell>
          <cell r="C5153">
            <v>85</v>
          </cell>
        </row>
        <row r="5154">
          <cell r="B5154">
            <v>5.9641203703701559E-2</v>
          </cell>
          <cell r="C5154">
            <v>85</v>
          </cell>
        </row>
        <row r="5155">
          <cell r="B5155">
            <v>5.9652777777775633E-2</v>
          </cell>
          <cell r="C5155">
            <v>85</v>
          </cell>
        </row>
        <row r="5156">
          <cell r="B5156">
            <v>5.9664351851849706E-2</v>
          </cell>
          <cell r="C5156">
            <v>85</v>
          </cell>
        </row>
        <row r="5157">
          <cell r="B5157">
            <v>5.967592592592378E-2</v>
          </cell>
          <cell r="C5157">
            <v>85</v>
          </cell>
        </row>
        <row r="5158">
          <cell r="B5158">
            <v>5.9687499999997853E-2</v>
          </cell>
          <cell r="C5158">
            <v>85</v>
          </cell>
        </row>
        <row r="5159">
          <cell r="B5159">
            <v>5.9699074074071927E-2</v>
          </cell>
          <cell r="C5159">
            <v>85</v>
          </cell>
        </row>
        <row r="5160">
          <cell r="B5160">
            <v>5.9710648148146001E-2</v>
          </cell>
          <cell r="C5160">
            <v>85</v>
          </cell>
        </row>
        <row r="5161">
          <cell r="B5161">
            <v>5.9722222222220074E-2</v>
          </cell>
          <cell r="C5161">
            <v>86</v>
          </cell>
        </row>
        <row r="5162">
          <cell r="B5162">
            <v>5.9733796296294148E-2</v>
          </cell>
          <cell r="C5162">
            <v>86</v>
          </cell>
        </row>
        <row r="5163">
          <cell r="B5163">
            <v>5.9745370370368221E-2</v>
          </cell>
          <cell r="C5163">
            <v>86</v>
          </cell>
        </row>
        <row r="5164">
          <cell r="B5164">
            <v>5.9756944444442295E-2</v>
          </cell>
          <cell r="C5164">
            <v>86</v>
          </cell>
        </row>
        <row r="5165">
          <cell r="B5165">
            <v>5.9768518518516368E-2</v>
          </cell>
          <cell r="C5165">
            <v>86</v>
          </cell>
        </row>
        <row r="5166">
          <cell r="B5166">
            <v>5.9780092592590442E-2</v>
          </cell>
          <cell r="C5166">
            <v>86</v>
          </cell>
        </row>
        <row r="5167">
          <cell r="B5167">
            <v>5.9791666666664516E-2</v>
          </cell>
          <cell r="C5167">
            <v>86</v>
          </cell>
        </row>
        <row r="5168">
          <cell r="B5168">
            <v>5.9803240740738589E-2</v>
          </cell>
          <cell r="C5168">
            <v>86</v>
          </cell>
        </row>
        <row r="5169">
          <cell r="B5169">
            <v>5.9814814814812663E-2</v>
          </cell>
          <cell r="C5169">
            <v>86</v>
          </cell>
        </row>
        <row r="5170">
          <cell r="B5170">
            <v>5.9826388888886736E-2</v>
          </cell>
          <cell r="C5170">
            <v>86</v>
          </cell>
        </row>
        <row r="5171">
          <cell r="B5171">
            <v>5.983796296296081E-2</v>
          </cell>
          <cell r="C5171">
            <v>86</v>
          </cell>
        </row>
        <row r="5172">
          <cell r="B5172">
            <v>5.9849537037034883E-2</v>
          </cell>
          <cell r="C5172">
            <v>86</v>
          </cell>
        </row>
        <row r="5173">
          <cell r="B5173">
            <v>5.9861111111108957E-2</v>
          </cell>
          <cell r="C5173">
            <v>86</v>
          </cell>
        </row>
        <row r="5174">
          <cell r="B5174">
            <v>5.9872685185183031E-2</v>
          </cell>
          <cell r="C5174">
            <v>86</v>
          </cell>
        </row>
        <row r="5175">
          <cell r="B5175">
            <v>5.9884259259257104E-2</v>
          </cell>
          <cell r="C5175">
            <v>86</v>
          </cell>
        </row>
        <row r="5176">
          <cell r="B5176">
            <v>5.9895833333331178E-2</v>
          </cell>
          <cell r="C5176">
            <v>86</v>
          </cell>
        </row>
        <row r="5177">
          <cell r="B5177">
            <v>5.9907407407405251E-2</v>
          </cell>
          <cell r="C5177">
            <v>86</v>
          </cell>
        </row>
        <row r="5178">
          <cell r="B5178">
            <v>5.9918981481479325E-2</v>
          </cell>
          <cell r="C5178">
            <v>86</v>
          </cell>
        </row>
        <row r="5179">
          <cell r="B5179">
            <v>5.9930555555553398E-2</v>
          </cell>
          <cell r="C5179">
            <v>86</v>
          </cell>
        </row>
        <row r="5180">
          <cell r="B5180">
            <v>5.9942129629627472E-2</v>
          </cell>
          <cell r="C5180">
            <v>86</v>
          </cell>
        </row>
        <row r="5181">
          <cell r="B5181">
            <v>5.9953703703701546E-2</v>
          </cell>
          <cell r="C5181">
            <v>86</v>
          </cell>
        </row>
        <row r="5182">
          <cell r="B5182">
            <v>5.9965277777775619E-2</v>
          </cell>
          <cell r="C5182">
            <v>86</v>
          </cell>
        </row>
        <row r="5183">
          <cell r="B5183">
            <v>5.9976851851849693E-2</v>
          </cell>
          <cell r="C5183">
            <v>86</v>
          </cell>
        </row>
        <row r="5184">
          <cell r="B5184">
            <v>5.9988425925923766E-2</v>
          </cell>
          <cell r="C5184">
            <v>86</v>
          </cell>
        </row>
        <row r="5185">
          <cell r="B5185">
            <v>5.999999999999784E-2</v>
          </cell>
          <cell r="C5185">
            <v>86</v>
          </cell>
        </row>
        <row r="5186">
          <cell r="B5186">
            <v>6.0011574074071913E-2</v>
          </cell>
          <cell r="C5186">
            <v>86</v>
          </cell>
        </row>
        <row r="5187">
          <cell r="B5187">
            <v>6.0023148148145987E-2</v>
          </cell>
          <cell r="C5187">
            <v>86</v>
          </cell>
        </row>
        <row r="5188">
          <cell r="B5188">
            <v>6.003472222222006E-2</v>
          </cell>
          <cell r="C5188">
            <v>86</v>
          </cell>
        </row>
        <row r="5189">
          <cell r="B5189">
            <v>6.0046296296294134E-2</v>
          </cell>
          <cell r="C5189">
            <v>86</v>
          </cell>
        </row>
        <row r="5190">
          <cell r="B5190">
            <v>6.0057870370368208E-2</v>
          </cell>
          <cell r="C5190">
            <v>86</v>
          </cell>
        </row>
        <row r="5191">
          <cell r="B5191">
            <v>6.0069444444442281E-2</v>
          </cell>
          <cell r="C5191">
            <v>86</v>
          </cell>
        </row>
        <row r="5192">
          <cell r="B5192">
            <v>6.0081018518516355E-2</v>
          </cell>
          <cell r="C5192">
            <v>86</v>
          </cell>
        </row>
        <row r="5193">
          <cell r="B5193">
            <v>6.0092592592590428E-2</v>
          </cell>
          <cell r="C5193">
            <v>86</v>
          </cell>
        </row>
        <row r="5194">
          <cell r="B5194">
            <v>6.0104166666664502E-2</v>
          </cell>
          <cell r="C5194">
            <v>86</v>
          </cell>
        </row>
        <row r="5195">
          <cell r="B5195">
            <v>6.0115740740738575E-2</v>
          </cell>
          <cell r="C5195">
            <v>86</v>
          </cell>
        </row>
        <row r="5196">
          <cell r="B5196">
            <v>6.0127314814812649E-2</v>
          </cell>
          <cell r="C5196">
            <v>86</v>
          </cell>
        </row>
        <row r="5197">
          <cell r="B5197">
            <v>6.0138888888886723E-2</v>
          </cell>
          <cell r="C5197">
            <v>86</v>
          </cell>
        </row>
        <row r="5198">
          <cell r="B5198">
            <v>6.0150462962960796E-2</v>
          </cell>
          <cell r="C5198">
            <v>86</v>
          </cell>
        </row>
        <row r="5199">
          <cell r="B5199">
            <v>6.016203703703487E-2</v>
          </cell>
          <cell r="C5199">
            <v>86</v>
          </cell>
        </row>
        <row r="5200">
          <cell r="B5200">
            <v>6.0173611111108943E-2</v>
          </cell>
          <cell r="C5200">
            <v>86</v>
          </cell>
        </row>
        <row r="5201">
          <cell r="B5201">
            <v>6.0185185185183017E-2</v>
          </cell>
          <cell r="C5201">
            <v>86</v>
          </cell>
        </row>
        <row r="5202">
          <cell r="B5202">
            <v>6.019675925925709E-2</v>
          </cell>
          <cell r="C5202">
            <v>86</v>
          </cell>
        </row>
        <row r="5203">
          <cell r="B5203">
            <v>6.0208333333331164E-2</v>
          </cell>
          <cell r="C5203">
            <v>86</v>
          </cell>
        </row>
        <row r="5204">
          <cell r="B5204">
            <v>6.0219907407405238E-2</v>
          </cell>
          <cell r="C5204">
            <v>86</v>
          </cell>
        </row>
        <row r="5205">
          <cell r="B5205">
            <v>6.0231481481479311E-2</v>
          </cell>
          <cell r="C5205">
            <v>86</v>
          </cell>
        </row>
        <row r="5206">
          <cell r="B5206">
            <v>6.0243055555553385E-2</v>
          </cell>
          <cell r="C5206">
            <v>86</v>
          </cell>
        </row>
        <row r="5207">
          <cell r="B5207">
            <v>6.0254629629627458E-2</v>
          </cell>
          <cell r="C5207">
            <v>86</v>
          </cell>
        </row>
        <row r="5208">
          <cell r="B5208">
            <v>6.0266203703701532E-2</v>
          </cell>
          <cell r="C5208">
            <v>86</v>
          </cell>
        </row>
        <row r="5209">
          <cell r="B5209">
            <v>6.0277777777775605E-2</v>
          </cell>
          <cell r="C5209">
            <v>86</v>
          </cell>
        </row>
        <row r="5210">
          <cell r="B5210">
            <v>6.0289351851849679E-2</v>
          </cell>
          <cell r="C5210">
            <v>86</v>
          </cell>
        </row>
        <row r="5211">
          <cell r="B5211">
            <v>6.0300925925923753E-2</v>
          </cell>
          <cell r="C5211">
            <v>86</v>
          </cell>
        </row>
        <row r="5212">
          <cell r="B5212">
            <v>6.0312499999997826E-2</v>
          </cell>
          <cell r="C5212">
            <v>86</v>
          </cell>
        </row>
        <row r="5213">
          <cell r="B5213">
            <v>6.03240740740719E-2</v>
          </cell>
          <cell r="C5213">
            <v>86</v>
          </cell>
        </row>
        <row r="5214">
          <cell r="B5214">
            <v>6.0335648148145973E-2</v>
          </cell>
          <cell r="C5214">
            <v>86</v>
          </cell>
        </row>
        <row r="5215">
          <cell r="B5215">
            <v>6.0347222222220047E-2</v>
          </cell>
          <cell r="C5215">
            <v>86</v>
          </cell>
        </row>
        <row r="5216">
          <cell r="B5216">
            <v>6.035879629629412E-2</v>
          </cell>
          <cell r="C5216">
            <v>86</v>
          </cell>
        </row>
        <row r="5217">
          <cell r="B5217">
            <v>6.0370370370368194E-2</v>
          </cell>
          <cell r="C5217">
            <v>86</v>
          </cell>
        </row>
        <row r="5218">
          <cell r="B5218">
            <v>6.0381944444442268E-2</v>
          </cell>
          <cell r="C5218">
            <v>86</v>
          </cell>
        </row>
        <row r="5219">
          <cell r="B5219">
            <v>6.0393518518516341E-2</v>
          </cell>
          <cell r="C5219">
            <v>86</v>
          </cell>
        </row>
        <row r="5220">
          <cell r="B5220">
            <v>6.0405092592590415E-2</v>
          </cell>
          <cell r="C5220">
            <v>86</v>
          </cell>
        </row>
        <row r="5221">
          <cell r="B5221">
            <v>6.0416666666664488E-2</v>
          </cell>
          <cell r="C5221">
            <v>87</v>
          </cell>
        </row>
        <row r="5222">
          <cell r="B5222">
            <v>6.0428240740738562E-2</v>
          </cell>
          <cell r="C5222">
            <v>87</v>
          </cell>
        </row>
        <row r="5223">
          <cell r="B5223">
            <v>6.0439814814812635E-2</v>
          </cell>
          <cell r="C5223">
            <v>87</v>
          </cell>
        </row>
        <row r="5224">
          <cell r="B5224">
            <v>6.0451388888886709E-2</v>
          </cell>
          <cell r="C5224">
            <v>87</v>
          </cell>
        </row>
        <row r="5225">
          <cell r="B5225">
            <v>6.0462962962960783E-2</v>
          </cell>
          <cell r="C5225">
            <v>87</v>
          </cell>
        </row>
        <row r="5226">
          <cell r="B5226">
            <v>6.0474537037034856E-2</v>
          </cell>
          <cell r="C5226">
            <v>87</v>
          </cell>
        </row>
        <row r="5227">
          <cell r="B5227">
            <v>6.048611111110893E-2</v>
          </cell>
          <cell r="C5227">
            <v>87</v>
          </cell>
        </row>
        <row r="5228">
          <cell r="B5228">
            <v>6.0497685185183003E-2</v>
          </cell>
          <cell r="C5228">
            <v>87</v>
          </cell>
        </row>
        <row r="5229">
          <cell r="B5229">
            <v>6.0509259259257077E-2</v>
          </cell>
          <cell r="C5229">
            <v>87</v>
          </cell>
        </row>
        <row r="5230">
          <cell r="B5230">
            <v>6.052083333333115E-2</v>
          </cell>
          <cell r="C5230">
            <v>87</v>
          </cell>
        </row>
        <row r="5231">
          <cell r="B5231">
            <v>6.0532407407405224E-2</v>
          </cell>
          <cell r="C5231">
            <v>87</v>
          </cell>
        </row>
        <row r="5232">
          <cell r="B5232">
            <v>6.0543981481479298E-2</v>
          </cell>
          <cell r="C5232">
            <v>87</v>
          </cell>
        </row>
        <row r="5233">
          <cell r="B5233">
            <v>6.0555555555553371E-2</v>
          </cell>
          <cell r="C5233">
            <v>87</v>
          </cell>
        </row>
        <row r="5234">
          <cell r="B5234">
            <v>6.0567129629627445E-2</v>
          </cell>
          <cell r="C5234">
            <v>87</v>
          </cell>
        </row>
        <row r="5235">
          <cell r="B5235">
            <v>6.0578703703701518E-2</v>
          </cell>
          <cell r="C5235">
            <v>87</v>
          </cell>
        </row>
        <row r="5236">
          <cell r="B5236">
            <v>6.0590277777775592E-2</v>
          </cell>
          <cell r="C5236">
            <v>87</v>
          </cell>
        </row>
        <row r="5237">
          <cell r="B5237">
            <v>6.0601851851849665E-2</v>
          </cell>
          <cell r="C5237">
            <v>87</v>
          </cell>
        </row>
        <row r="5238">
          <cell r="B5238">
            <v>6.0613425925923739E-2</v>
          </cell>
          <cell r="C5238">
            <v>87</v>
          </cell>
        </row>
        <row r="5239">
          <cell r="B5239">
            <v>6.0624999999997813E-2</v>
          </cell>
          <cell r="C5239">
            <v>87</v>
          </cell>
        </row>
        <row r="5240">
          <cell r="B5240">
            <v>6.0636574074071886E-2</v>
          </cell>
          <cell r="C5240">
            <v>87</v>
          </cell>
        </row>
        <row r="5241">
          <cell r="B5241">
            <v>6.064814814814596E-2</v>
          </cell>
          <cell r="C5241">
            <v>87</v>
          </cell>
        </row>
        <row r="5242">
          <cell r="B5242">
            <v>6.0659722222220033E-2</v>
          </cell>
          <cell r="C5242">
            <v>87</v>
          </cell>
        </row>
        <row r="5243">
          <cell r="B5243">
            <v>6.0671296296294107E-2</v>
          </cell>
          <cell r="C5243">
            <v>87</v>
          </cell>
        </row>
        <row r="5244">
          <cell r="B5244">
            <v>6.068287037036818E-2</v>
          </cell>
          <cell r="C5244">
            <v>87</v>
          </cell>
        </row>
        <row r="5245">
          <cell r="B5245">
            <v>6.0694444444442254E-2</v>
          </cell>
          <cell r="C5245">
            <v>87</v>
          </cell>
        </row>
        <row r="5246">
          <cell r="B5246">
            <v>6.0706018518516328E-2</v>
          </cell>
          <cell r="C5246">
            <v>87</v>
          </cell>
        </row>
        <row r="5247">
          <cell r="B5247">
            <v>6.0717592592590401E-2</v>
          </cell>
          <cell r="C5247">
            <v>87</v>
          </cell>
        </row>
        <row r="5248">
          <cell r="B5248">
            <v>6.0729166666664475E-2</v>
          </cell>
          <cell r="C5248">
            <v>87</v>
          </cell>
        </row>
        <row r="5249">
          <cell r="B5249">
            <v>6.0740740740738548E-2</v>
          </cell>
          <cell r="C5249">
            <v>87</v>
          </cell>
        </row>
        <row r="5250">
          <cell r="B5250">
            <v>6.0752314814812622E-2</v>
          </cell>
          <cell r="C5250">
            <v>87</v>
          </cell>
        </row>
        <row r="5251">
          <cell r="B5251">
            <v>6.0763888888886695E-2</v>
          </cell>
          <cell r="C5251">
            <v>87</v>
          </cell>
        </row>
        <row r="5252">
          <cell r="B5252">
            <v>6.0775462962960769E-2</v>
          </cell>
          <cell r="C5252">
            <v>87</v>
          </cell>
        </row>
        <row r="5253">
          <cell r="B5253">
            <v>6.0787037037034843E-2</v>
          </cell>
          <cell r="C5253">
            <v>87</v>
          </cell>
        </row>
        <row r="5254">
          <cell r="B5254">
            <v>6.0798611111108916E-2</v>
          </cell>
          <cell r="C5254">
            <v>87</v>
          </cell>
        </row>
        <row r="5255">
          <cell r="B5255">
            <v>6.081018518518299E-2</v>
          </cell>
          <cell r="C5255">
            <v>87</v>
          </cell>
        </row>
        <row r="5256">
          <cell r="B5256">
            <v>6.0821759259257063E-2</v>
          </cell>
          <cell r="C5256">
            <v>87</v>
          </cell>
        </row>
        <row r="5257">
          <cell r="B5257">
            <v>6.0833333333331137E-2</v>
          </cell>
          <cell r="C5257">
            <v>87</v>
          </cell>
        </row>
        <row r="5258">
          <cell r="B5258">
            <v>6.084490740740521E-2</v>
          </cell>
          <cell r="C5258">
            <v>87</v>
          </cell>
        </row>
        <row r="5259">
          <cell r="B5259">
            <v>6.0856481481479284E-2</v>
          </cell>
          <cell r="C5259">
            <v>87</v>
          </cell>
        </row>
        <row r="5260">
          <cell r="B5260">
            <v>6.0868055555553358E-2</v>
          </cell>
          <cell r="C5260">
            <v>87</v>
          </cell>
        </row>
        <row r="5261">
          <cell r="B5261">
            <v>6.0879629629627431E-2</v>
          </cell>
          <cell r="C5261">
            <v>87</v>
          </cell>
        </row>
        <row r="5262">
          <cell r="B5262">
            <v>6.0891203703701505E-2</v>
          </cell>
          <cell r="C5262">
            <v>87</v>
          </cell>
        </row>
        <row r="5263">
          <cell r="B5263">
            <v>6.0902777777775578E-2</v>
          </cell>
          <cell r="C5263">
            <v>87</v>
          </cell>
        </row>
        <row r="5264">
          <cell r="B5264">
            <v>6.0914351851849652E-2</v>
          </cell>
          <cell r="C5264">
            <v>87</v>
          </cell>
        </row>
        <row r="5265">
          <cell r="B5265">
            <v>6.0925925925923725E-2</v>
          </cell>
          <cell r="C5265">
            <v>87</v>
          </cell>
        </row>
        <row r="5266">
          <cell r="B5266">
            <v>6.0937499999997799E-2</v>
          </cell>
          <cell r="C5266">
            <v>87</v>
          </cell>
        </row>
        <row r="5267">
          <cell r="B5267">
            <v>6.0949074074071873E-2</v>
          </cell>
          <cell r="C5267">
            <v>87</v>
          </cell>
        </row>
        <row r="5268">
          <cell r="B5268">
            <v>6.0960648148145946E-2</v>
          </cell>
          <cell r="C5268">
            <v>87</v>
          </cell>
        </row>
        <row r="5269">
          <cell r="B5269">
            <v>6.097222222222002E-2</v>
          </cell>
          <cell r="C5269">
            <v>87</v>
          </cell>
        </row>
        <row r="5270">
          <cell r="B5270">
            <v>6.0983796296294093E-2</v>
          </cell>
          <cell r="C5270">
            <v>87</v>
          </cell>
        </row>
        <row r="5271">
          <cell r="B5271">
            <v>6.0995370370368167E-2</v>
          </cell>
          <cell r="C5271">
            <v>87</v>
          </cell>
        </row>
        <row r="5272">
          <cell r="B5272">
            <v>6.100694444444224E-2</v>
          </cell>
          <cell r="C5272">
            <v>87</v>
          </cell>
        </row>
        <row r="5273">
          <cell r="B5273">
            <v>6.1018518518516314E-2</v>
          </cell>
          <cell r="C5273">
            <v>87</v>
          </cell>
        </row>
        <row r="5274">
          <cell r="B5274">
            <v>6.1030092592590388E-2</v>
          </cell>
          <cell r="C5274">
            <v>87</v>
          </cell>
        </row>
        <row r="5275">
          <cell r="B5275">
            <v>6.1041666666664461E-2</v>
          </cell>
          <cell r="C5275">
            <v>87</v>
          </cell>
        </row>
        <row r="5276">
          <cell r="B5276">
            <v>6.1053240740738535E-2</v>
          </cell>
          <cell r="C5276">
            <v>87</v>
          </cell>
        </row>
        <row r="5277">
          <cell r="B5277">
            <v>6.1064814814812608E-2</v>
          </cell>
          <cell r="C5277">
            <v>87</v>
          </cell>
        </row>
        <row r="5278">
          <cell r="B5278">
            <v>6.1076388888886682E-2</v>
          </cell>
          <cell r="C5278">
            <v>87</v>
          </cell>
        </row>
        <row r="5279">
          <cell r="B5279">
            <v>6.1087962962960755E-2</v>
          </cell>
          <cell r="C5279">
            <v>87</v>
          </cell>
        </row>
        <row r="5280">
          <cell r="B5280">
            <v>6.1099537037034829E-2</v>
          </cell>
          <cell r="C5280">
            <v>87</v>
          </cell>
        </row>
        <row r="5281">
          <cell r="B5281">
            <v>6.1111111111108903E-2</v>
          </cell>
          <cell r="C5281">
            <v>88</v>
          </cell>
        </row>
        <row r="5282">
          <cell r="B5282">
            <v>6.1122685185182976E-2</v>
          </cell>
          <cell r="C5282">
            <v>88</v>
          </cell>
        </row>
        <row r="5283">
          <cell r="B5283">
            <v>6.113425925925705E-2</v>
          </cell>
          <cell r="C5283">
            <v>88</v>
          </cell>
        </row>
        <row r="5284">
          <cell r="B5284">
            <v>6.1145833333331123E-2</v>
          </cell>
          <cell r="C5284">
            <v>88</v>
          </cell>
        </row>
        <row r="5285">
          <cell r="B5285">
            <v>6.1157407407405197E-2</v>
          </cell>
          <cell r="C5285">
            <v>88</v>
          </cell>
        </row>
        <row r="5286">
          <cell r="B5286">
            <v>6.116898148147927E-2</v>
          </cell>
          <cell r="C5286">
            <v>88</v>
          </cell>
        </row>
        <row r="5287">
          <cell r="B5287">
            <v>6.1180555555553344E-2</v>
          </cell>
          <cell r="C5287">
            <v>88</v>
          </cell>
        </row>
        <row r="5288">
          <cell r="B5288">
            <v>6.1192129629627418E-2</v>
          </cell>
          <cell r="C5288">
            <v>88</v>
          </cell>
        </row>
        <row r="5289">
          <cell r="B5289">
            <v>6.1203703703701491E-2</v>
          </cell>
          <cell r="C5289">
            <v>88</v>
          </cell>
        </row>
        <row r="5290">
          <cell r="B5290">
            <v>6.1215277777775565E-2</v>
          </cell>
          <cell r="C5290">
            <v>88</v>
          </cell>
        </row>
        <row r="5291">
          <cell r="B5291">
            <v>6.1226851851849638E-2</v>
          </cell>
          <cell r="C5291">
            <v>88</v>
          </cell>
        </row>
        <row r="5292">
          <cell r="B5292">
            <v>6.1238425925923712E-2</v>
          </cell>
          <cell r="C5292">
            <v>88</v>
          </cell>
        </row>
        <row r="5293">
          <cell r="B5293">
            <v>6.1249999999997785E-2</v>
          </cell>
          <cell r="C5293">
            <v>88</v>
          </cell>
        </row>
        <row r="5294">
          <cell r="B5294">
            <v>6.1261574074071859E-2</v>
          </cell>
          <cell r="C5294">
            <v>88</v>
          </cell>
        </row>
        <row r="5295">
          <cell r="B5295">
            <v>6.1273148148145933E-2</v>
          </cell>
          <cell r="C5295">
            <v>88</v>
          </cell>
        </row>
        <row r="5296">
          <cell r="B5296">
            <v>6.1284722222220006E-2</v>
          </cell>
          <cell r="C5296">
            <v>88</v>
          </cell>
        </row>
        <row r="5297">
          <cell r="B5297">
            <v>6.129629629629408E-2</v>
          </cell>
          <cell r="C5297">
            <v>88</v>
          </cell>
        </row>
        <row r="5298">
          <cell r="B5298">
            <v>6.1307870370368153E-2</v>
          </cell>
          <cell r="C5298">
            <v>88</v>
          </cell>
        </row>
        <row r="5299">
          <cell r="B5299">
            <v>6.1319444444442227E-2</v>
          </cell>
          <cell r="C5299">
            <v>88</v>
          </cell>
        </row>
        <row r="5300">
          <cell r="B5300">
            <v>6.13310185185163E-2</v>
          </cell>
          <cell r="C5300">
            <v>88</v>
          </cell>
        </row>
        <row r="5301">
          <cell r="B5301">
            <v>6.1342592592590374E-2</v>
          </cell>
          <cell r="C5301">
            <v>88</v>
          </cell>
        </row>
        <row r="5302">
          <cell r="B5302">
            <v>6.1354166666664448E-2</v>
          </cell>
          <cell r="C5302">
            <v>88</v>
          </cell>
        </row>
        <row r="5303">
          <cell r="B5303">
            <v>6.1365740740738521E-2</v>
          </cell>
          <cell r="C5303">
            <v>88</v>
          </cell>
        </row>
        <row r="5304">
          <cell r="B5304">
            <v>6.1377314814812595E-2</v>
          </cell>
          <cell r="C5304">
            <v>88</v>
          </cell>
        </row>
        <row r="5305">
          <cell r="B5305">
            <v>6.1388888888886668E-2</v>
          </cell>
          <cell r="C5305">
            <v>88</v>
          </cell>
        </row>
        <row r="5306">
          <cell r="B5306">
            <v>6.1400462962960742E-2</v>
          </cell>
          <cell r="C5306">
            <v>88</v>
          </cell>
        </row>
        <row r="5307">
          <cell r="B5307">
            <v>6.1412037037034815E-2</v>
          </cell>
          <cell r="C5307">
            <v>88</v>
          </cell>
        </row>
        <row r="5308">
          <cell r="B5308">
            <v>6.1423611111108889E-2</v>
          </cell>
          <cell r="C5308">
            <v>88</v>
          </cell>
        </row>
        <row r="5309">
          <cell r="B5309">
            <v>6.1435185185182963E-2</v>
          </cell>
          <cell r="C5309">
            <v>88</v>
          </cell>
        </row>
        <row r="5310">
          <cell r="B5310">
            <v>6.1446759259257036E-2</v>
          </cell>
          <cell r="C5310">
            <v>88</v>
          </cell>
        </row>
        <row r="5311">
          <cell r="B5311">
            <v>6.145833333333111E-2</v>
          </cell>
          <cell r="C5311">
            <v>88</v>
          </cell>
        </row>
        <row r="5312">
          <cell r="B5312">
            <v>6.1469907407405183E-2</v>
          </cell>
          <cell r="C5312">
            <v>88</v>
          </cell>
        </row>
        <row r="5313">
          <cell r="B5313">
            <v>6.1481481481479257E-2</v>
          </cell>
          <cell r="C5313">
            <v>88</v>
          </cell>
        </row>
        <row r="5314">
          <cell r="B5314">
            <v>6.149305555555333E-2</v>
          </cell>
          <cell r="C5314">
            <v>88</v>
          </cell>
        </row>
        <row r="5315">
          <cell r="B5315">
            <v>6.1504629629627404E-2</v>
          </cell>
          <cell r="C5315">
            <v>88</v>
          </cell>
        </row>
        <row r="5316">
          <cell r="B5316">
            <v>6.1516203703701478E-2</v>
          </cell>
          <cell r="C5316">
            <v>88</v>
          </cell>
        </row>
        <row r="5317">
          <cell r="B5317">
            <v>6.1527777777775551E-2</v>
          </cell>
          <cell r="C5317">
            <v>88</v>
          </cell>
        </row>
        <row r="5318">
          <cell r="B5318">
            <v>6.1539351851849625E-2</v>
          </cell>
          <cell r="C5318">
            <v>88</v>
          </cell>
        </row>
        <row r="5319">
          <cell r="B5319">
            <v>6.1550925925923698E-2</v>
          </cell>
          <cell r="C5319">
            <v>88</v>
          </cell>
        </row>
        <row r="5320">
          <cell r="B5320">
            <v>6.1562499999997772E-2</v>
          </cell>
          <cell r="C5320">
            <v>88</v>
          </cell>
        </row>
        <row r="5321">
          <cell r="B5321">
            <v>6.1574074074071845E-2</v>
          </cell>
          <cell r="C5321">
            <v>88</v>
          </cell>
        </row>
        <row r="5322">
          <cell r="B5322">
            <v>6.1585648148145919E-2</v>
          </cell>
          <cell r="C5322">
            <v>88</v>
          </cell>
        </row>
        <row r="5323">
          <cell r="B5323">
            <v>6.1597222222219992E-2</v>
          </cell>
          <cell r="C5323">
            <v>88</v>
          </cell>
        </row>
        <row r="5324">
          <cell r="B5324">
            <v>6.1608796296294066E-2</v>
          </cell>
          <cell r="C5324">
            <v>88</v>
          </cell>
        </row>
        <row r="5325">
          <cell r="B5325">
            <v>6.162037037036814E-2</v>
          </cell>
          <cell r="C5325">
            <v>88</v>
          </cell>
        </row>
        <row r="5326">
          <cell r="B5326">
            <v>6.1631944444442213E-2</v>
          </cell>
          <cell r="C5326">
            <v>88</v>
          </cell>
        </row>
        <row r="5327">
          <cell r="B5327">
            <v>6.1643518518516287E-2</v>
          </cell>
          <cell r="C5327">
            <v>88</v>
          </cell>
        </row>
        <row r="5328">
          <cell r="B5328">
            <v>6.165509259259036E-2</v>
          </cell>
          <cell r="C5328">
            <v>88</v>
          </cell>
        </row>
        <row r="5329">
          <cell r="B5329">
            <v>6.1666666666664434E-2</v>
          </cell>
          <cell r="C5329">
            <v>88</v>
          </cell>
        </row>
        <row r="5330">
          <cell r="B5330">
            <v>6.1678240740738507E-2</v>
          </cell>
          <cell r="C5330">
            <v>88</v>
          </cell>
        </row>
        <row r="5331">
          <cell r="B5331">
            <v>6.1689814814812581E-2</v>
          </cell>
          <cell r="C5331">
            <v>88</v>
          </cell>
        </row>
        <row r="5332">
          <cell r="B5332">
            <v>6.1701388888886655E-2</v>
          </cell>
          <cell r="C5332">
            <v>88</v>
          </cell>
        </row>
        <row r="5333">
          <cell r="B5333">
            <v>6.1712962962960728E-2</v>
          </cell>
          <cell r="C5333">
            <v>88</v>
          </cell>
        </row>
        <row r="5334">
          <cell r="B5334">
            <v>6.1724537037034802E-2</v>
          </cell>
          <cell r="C5334">
            <v>88</v>
          </cell>
        </row>
        <row r="5335">
          <cell r="B5335">
            <v>6.1736111111108875E-2</v>
          </cell>
          <cell r="C5335">
            <v>88</v>
          </cell>
        </row>
        <row r="5336">
          <cell r="B5336">
            <v>6.1747685185182949E-2</v>
          </cell>
          <cell r="C5336">
            <v>88</v>
          </cell>
        </row>
        <row r="5337">
          <cell r="B5337">
            <v>6.1759259259257022E-2</v>
          </cell>
          <cell r="C5337">
            <v>88</v>
          </cell>
        </row>
        <row r="5338">
          <cell r="B5338">
            <v>6.1770833333331096E-2</v>
          </cell>
          <cell r="C5338">
            <v>88</v>
          </cell>
        </row>
        <row r="5339">
          <cell r="B5339">
            <v>6.178240740740517E-2</v>
          </cell>
          <cell r="C5339">
            <v>88</v>
          </cell>
        </row>
        <row r="5340">
          <cell r="B5340">
            <v>6.1793981481479243E-2</v>
          </cell>
          <cell r="C5340">
            <v>88</v>
          </cell>
        </row>
        <row r="5341">
          <cell r="B5341">
            <v>6.1805555555553317E-2</v>
          </cell>
          <cell r="C5341">
            <v>89</v>
          </cell>
        </row>
        <row r="5342">
          <cell r="B5342">
            <v>6.181712962962739E-2</v>
          </cell>
          <cell r="C5342">
            <v>89</v>
          </cell>
        </row>
        <row r="5343">
          <cell r="B5343">
            <v>6.1828703703701464E-2</v>
          </cell>
          <cell r="C5343">
            <v>89</v>
          </cell>
        </row>
        <row r="5344">
          <cell r="B5344">
            <v>6.1840277777775537E-2</v>
          </cell>
          <cell r="C5344">
            <v>89</v>
          </cell>
        </row>
        <row r="5345">
          <cell r="B5345">
            <v>6.1851851851849611E-2</v>
          </cell>
          <cell r="C5345">
            <v>89</v>
          </cell>
        </row>
        <row r="5346">
          <cell r="B5346">
            <v>6.1863425925923685E-2</v>
          </cell>
          <cell r="C5346">
            <v>89</v>
          </cell>
        </row>
        <row r="5347">
          <cell r="B5347">
            <v>6.1874999999997758E-2</v>
          </cell>
          <cell r="C5347">
            <v>89</v>
          </cell>
        </row>
        <row r="5348">
          <cell r="B5348">
            <v>6.1886574074071832E-2</v>
          </cell>
          <cell r="C5348">
            <v>89</v>
          </cell>
        </row>
        <row r="5349">
          <cell r="B5349">
            <v>6.1898148148145905E-2</v>
          </cell>
          <cell r="C5349">
            <v>89</v>
          </cell>
        </row>
        <row r="5350">
          <cell r="B5350">
            <v>6.1909722222219979E-2</v>
          </cell>
          <cell r="C5350">
            <v>89</v>
          </cell>
        </row>
        <row r="5351">
          <cell r="B5351">
            <v>6.1921296296294052E-2</v>
          </cell>
          <cell r="C5351">
            <v>89</v>
          </cell>
        </row>
        <row r="5352">
          <cell r="B5352">
            <v>6.1932870370368126E-2</v>
          </cell>
          <cell r="C5352">
            <v>89</v>
          </cell>
        </row>
        <row r="5353">
          <cell r="B5353">
            <v>6.19444444444422E-2</v>
          </cell>
          <cell r="C5353">
            <v>89</v>
          </cell>
        </row>
        <row r="5354">
          <cell r="B5354">
            <v>6.1956018518516273E-2</v>
          </cell>
          <cell r="C5354">
            <v>89</v>
          </cell>
        </row>
        <row r="5355">
          <cell r="B5355">
            <v>6.1967592592590347E-2</v>
          </cell>
          <cell r="C5355">
            <v>89</v>
          </cell>
        </row>
        <row r="5356">
          <cell r="B5356">
            <v>6.197916666666442E-2</v>
          </cell>
          <cell r="C5356">
            <v>89</v>
          </cell>
        </row>
        <row r="5357">
          <cell r="B5357">
            <v>6.1990740740738494E-2</v>
          </cell>
          <cell r="C5357">
            <v>89</v>
          </cell>
        </row>
        <row r="5358">
          <cell r="B5358">
            <v>6.2002314814812567E-2</v>
          </cell>
          <cell r="C5358">
            <v>89</v>
          </cell>
        </row>
        <row r="5359">
          <cell r="B5359">
            <v>6.2013888888886641E-2</v>
          </cell>
          <cell r="C5359">
            <v>89</v>
          </cell>
        </row>
        <row r="5360">
          <cell r="B5360">
            <v>6.2025462962960715E-2</v>
          </cell>
          <cell r="C5360">
            <v>89</v>
          </cell>
        </row>
        <row r="5361">
          <cell r="B5361">
            <v>6.2037037037034788E-2</v>
          </cell>
          <cell r="C5361">
            <v>89</v>
          </cell>
        </row>
        <row r="5362">
          <cell r="B5362">
            <v>6.2048611111108862E-2</v>
          </cell>
          <cell r="C5362">
            <v>89</v>
          </cell>
        </row>
        <row r="5363">
          <cell r="B5363">
            <v>6.2060185185182935E-2</v>
          </cell>
          <cell r="C5363">
            <v>89</v>
          </cell>
        </row>
        <row r="5364">
          <cell r="B5364">
            <v>6.2071759259257009E-2</v>
          </cell>
          <cell r="C5364">
            <v>89</v>
          </cell>
        </row>
        <row r="5365">
          <cell r="B5365">
            <v>6.2083333333331082E-2</v>
          </cell>
          <cell r="C5365">
            <v>89</v>
          </cell>
        </row>
        <row r="5366">
          <cell r="B5366">
            <v>6.2094907407405156E-2</v>
          </cell>
          <cell r="C5366">
            <v>89</v>
          </cell>
        </row>
        <row r="5367">
          <cell r="B5367">
            <v>6.210648148147923E-2</v>
          </cell>
          <cell r="C5367">
            <v>89</v>
          </cell>
        </row>
        <row r="5368">
          <cell r="B5368">
            <v>6.2118055555553303E-2</v>
          </cell>
          <cell r="C5368">
            <v>89</v>
          </cell>
        </row>
        <row r="5369">
          <cell r="B5369">
            <v>6.2129629629627377E-2</v>
          </cell>
          <cell r="C5369">
            <v>89</v>
          </cell>
        </row>
        <row r="5370">
          <cell r="B5370">
            <v>6.214120370370145E-2</v>
          </cell>
          <cell r="C5370">
            <v>89</v>
          </cell>
        </row>
        <row r="5371">
          <cell r="B5371">
            <v>6.2152777777775524E-2</v>
          </cell>
          <cell r="C5371">
            <v>89</v>
          </cell>
        </row>
        <row r="5372">
          <cell r="B5372">
            <v>6.2164351851849597E-2</v>
          </cell>
          <cell r="C5372">
            <v>89</v>
          </cell>
        </row>
        <row r="5373">
          <cell r="B5373">
            <v>6.2175925925923671E-2</v>
          </cell>
          <cell r="C5373">
            <v>89</v>
          </cell>
        </row>
        <row r="5374">
          <cell r="B5374">
            <v>6.2187499999997745E-2</v>
          </cell>
          <cell r="C5374">
            <v>89</v>
          </cell>
        </row>
        <row r="5375">
          <cell r="B5375">
            <v>6.2199074074071818E-2</v>
          </cell>
          <cell r="C5375">
            <v>89</v>
          </cell>
        </row>
        <row r="5376">
          <cell r="B5376">
            <v>6.2210648148145892E-2</v>
          </cell>
          <cell r="C5376">
            <v>89</v>
          </cell>
        </row>
        <row r="5377">
          <cell r="B5377">
            <v>6.2222222222219965E-2</v>
          </cell>
          <cell r="C5377">
            <v>89</v>
          </cell>
        </row>
        <row r="5378">
          <cell r="B5378">
            <v>6.2233796296294039E-2</v>
          </cell>
          <cell r="C5378">
            <v>89</v>
          </cell>
        </row>
        <row r="5379">
          <cell r="B5379">
            <v>6.2245370370368112E-2</v>
          </cell>
          <cell r="C5379">
            <v>89</v>
          </cell>
        </row>
        <row r="5380">
          <cell r="B5380">
            <v>6.2256944444442186E-2</v>
          </cell>
          <cell r="C5380">
            <v>89</v>
          </cell>
        </row>
        <row r="5381">
          <cell r="B5381">
            <v>6.226851851851626E-2</v>
          </cell>
          <cell r="C5381">
            <v>89</v>
          </cell>
        </row>
        <row r="5382">
          <cell r="B5382">
            <v>6.2280092592590333E-2</v>
          </cell>
          <cell r="C5382">
            <v>89</v>
          </cell>
        </row>
        <row r="5383">
          <cell r="B5383">
            <v>6.2291666666664407E-2</v>
          </cell>
          <cell r="C5383">
            <v>89</v>
          </cell>
        </row>
        <row r="5384">
          <cell r="B5384">
            <v>6.230324074073848E-2</v>
          </cell>
          <cell r="C5384">
            <v>89</v>
          </cell>
        </row>
        <row r="5385">
          <cell r="B5385">
            <v>6.2314814814812554E-2</v>
          </cell>
          <cell r="C5385">
            <v>89</v>
          </cell>
        </row>
        <row r="5386">
          <cell r="B5386">
            <v>6.2326388888886627E-2</v>
          </cell>
          <cell r="C5386">
            <v>89</v>
          </cell>
        </row>
        <row r="5387">
          <cell r="B5387">
            <v>6.2337962962960701E-2</v>
          </cell>
          <cell r="C5387">
            <v>89</v>
          </cell>
        </row>
        <row r="5388">
          <cell r="B5388">
            <v>6.2349537037034775E-2</v>
          </cell>
          <cell r="C5388">
            <v>89</v>
          </cell>
        </row>
        <row r="5389">
          <cell r="B5389">
            <v>6.2361111111108848E-2</v>
          </cell>
          <cell r="C5389">
            <v>89</v>
          </cell>
        </row>
        <row r="5390">
          <cell r="B5390">
            <v>6.2372685185182922E-2</v>
          </cell>
          <cell r="C5390">
            <v>89</v>
          </cell>
        </row>
        <row r="5391">
          <cell r="B5391">
            <v>6.2384259259256995E-2</v>
          </cell>
          <cell r="C5391">
            <v>89</v>
          </cell>
        </row>
        <row r="5392">
          <cell r="B5392">
            <v>6.2395833333331069E-2</v>
          </cell>
          <cell r="C5392">
            <v>89</v>
          </cell>
        </row>
        <row r="5393">
          <cell r="B5393">
            <v>6.2407407407405142E-2</v>
          </cell>
          <cell r="C5393">
            <v>89</v>
          </cell>
        </row>
        <row r="5394">
          <cell r="B5394">
            <v>6.2418981481479216E-2</v>
          </cell>
          <cell r="C5394">
            <v>89</v>
          </cell>
        </row>
        <row r="5395">
          <cell r="B5395">
            <v>6.243055555555329E-2</v>
          </cell>
          <cell r="C5395">
            <v>89</v>
          </cell>
        </row>
        <row r="5396">
          <cell r="B5396">
            <v>6.2442129629627363E-2</v>
          </cell>
          <cell r="C5396">
            <v>89</v>
          </cell>
        </row>
        <row r="5397">
          <cell r="B5397">
            <v>6.2453703703701437E-2</v>
          </cell>
          <cell r="C5397">
            <v>89</v>
          </cell>
        </row>
        <row r="5398">
          <cell r="B5398">
            <v>6.246527777777551E-2</v>
          </cell>
          <cell r="C5398">
            <v>89</v>
          </cell>
        </row>
        <row r="5399">
          <cell r="B5399">
            <v>6.2476851851849584E-2</v>
          </cell>
          <cell r="C5399">
            <v>89</v>
          </cell>
        </row>
        <row r="5400">
          <cell r="B5400">
            <v>6.2488425925923657E-2</v>
          </cell>
          <cell r="C5400">
            <v>89</v>
          </cell>
        </row>
        <row r="5401">
          <cell r="B5401">
            <v>6.2499999999997731E-2</v>
          </cell>
          <cell r="C5401">
            <v>90</v>
          </cell>
        </row>
        <row r="5402">
          <cell r="B5402">
            <v>6.2511574074071805E-2</v>
          </cell>
          <cell r="C5402">
            <v>90</v>
          </cell>
        </row>
        <row r="5403">
          <cell r="B5403">
            <v>6.2523148148145885E-2</v>
          </cell>
          <cell r="C5403">
            <v>90</v>
          </cell>
        </row>
        <row r="5404">
          <cell r="B5404">
            <v>6.2534722222219966E-2</v>
          </cell>
          <cell r="C5404">
            <v>90</v>
          </cell>
        </row>
        <row r="5405">
          <cell r="B5405">
            <v>6.2546296296294046E-2</v>
          </cell>
          <cell r="C5405">
            <v>90</v>
          </cell>
        </row>
        <row r="5406">
          <cell r="B5406">
            <v>6.2557870370368127E-2</v>
          </cell>
          <cell r="C5406">
            <v>90</v>
          </cell>
        </row>
        <row r="5407">
          <cell r="B5407">
            <v>6.2569444444442207E-2</v>
          </cell>
          <cell r="C5407">
            <v>90</v>
          </cell>
        </row>
        <row r="5408">
          <cell r="B5408">
            <v>6.2581018518516288E-2</v>
          </cell>
          <cell r="C5408">
            <v>90</v>
          </cell>
        </row>
        <row r="5409">
          <cell r="B5409">
            <v>6.2592592592590368E-2</v>
          </cell>
          <cell r="C5409">
            <v>90</v>
          </cell>
        </row>
        <row r="5410">
          <cell r="B5410">
            <v>6.2604166666664449E-2</v>
          </cell>
          <cell r="C5410">
            <v>90</v>
          </cell>
        </row>
        <row r="5411">
          <cell r="B5411">
            <v>6.2615740740738529E-2</v>
          </cell>
          <cell r="C5411">
            <v>90</v>
          </cell>
        </row>
        <row r="5412">
          <cell r="B5412">
            <v>6.262731481481261E-2</v>
          </cell>
          <cell r="C5412">
            <v>90</v>
          </cell>
        </row>
        <row r="5413">
          <cell r="B5413">
            <v>6.263888888888669E-2</v>
          </cell>
          <cell r="C5413">
            <v>90</v>
          </cell>
        </row>
        <row r="5414">
          <cell r="B5414">
            <v>6.2650462962960771E-2</v>
          </cell>
          <cell r="C5414">
            <v>90</v>
          </cell>
        </row>
        <row r="5415">
          <cell r="B5415">
            <v>6.2662037037034851E-2</v>
          </cell>
          <cell r="C5415">
            <v>90</v>
          </cell>
        </row>
        <row r="5416">
          <cell r="B5416">
            <v>6.2673611111108932E-2</v>
          </cell>
          <cell r="C5416">
            <v>90</v>
          </cell>
        </row>
        <row r="5417">
          <cell r="B5417">
            <v>6.2685185185183012E-2</v>
          </cell>
          <cell r="C5417">
            <v>90</v>
          </cell>
        </row>
        <row r="5418">
          <cell r="B5418">
            <v>6.2696759259257093E-2</v>
          </cell>
          <cell r="C5418">
            <v>90</v>
          </cell>
        </row>
        <row r="5419">
          <cell r="B5419">
            <v>6.2708333333331173E-2</v>
          </cell>
          <cell r="C5419">
            <v>90</v>
          </cell>
        </row>
        <row r="5420">
          <cell r="B5420">
            <v>6.2719907407405254E-2</v>
          </cell>
          <cell r="C5420">
            <v>90</v>
          </cell>
        </row>
        <row r="5421">
          <cell r="B5421">
            <v>6.2731481481479334E-2</v>
          </cell>
          <cell r="C5421">
            <v>90</v>
          </cell>
        </row>
        <row r="5422">
          <cell r="B5422">
            <v>6.2743055555553415E-2</v>
          </cell>
          <cell r="C5422">
            <v>90</v>
          </cell>
        </row>
        <row r="5423">
          <cell r="B5423">
            <v>6.2754629629627495E-2</v>
          </cell>
          <cell r="C5423">
            <v>90</v>
          </cell>
        </row>
        <row r="5424">
          <cell r="B5424">
            <v>6.2766203703701576E-2</v>
          </cell>
          <cell r="C5424">
            <v>90</v>
          </cell>
        </row>
        <row r="5425">
          <cell r="B5425">
            <v>6.2777777777775656E-2</v>
          </cell>
          <cell r="C5425">
            <v>90</v>
          </cell>
        </row>
        <row r="5426">
          <cell r="B5426">
            <v>6.2789351851849737E-2</v>
          </cell>
          <cell r="C5426">
            <v>90</v>
          </cell>
        </row>
        <row r="5427">
          <cell r="B5427">
            <v>6.2800925925923817E-2</v>
          </cell>
          <cell r="C5427">
            <v>90</v>
          </cell>
        </row>
        <row r="5428">
          <cell r="B5428">
            <v>6.2812499999997898E-2</v>
          </cell>
          <cell r="C5428">
            <v>90</v>
          </cell>
        </row>
        <row r="5429">
          <cell r="B5429">
            <v>6.2824074074071978E-2</v>
          </cell>
          <cell r="C5429">
            <v>90</v>
          </cell>
        </row>
        <row r="5430">
          <cell r="B5430">
            <v>6.2835648148146059E-2</v>
          </cell>
          <cell r="C5430">
            <v>90</v>
          </cell>
        </row>
        <row r="5431">
          <cell r="B5431">
            <v>6.2847222222220139E-2</v>
          </cell>
          <cell r="C5431">
            <v>90</v>
          </cell>
        </row>
        <row r="5432">
          <cell r="B5432">
            <v>6.285879629629422E-2</v>
          </cell>
          <cell r="C5432">
            <v>90</v>
          </cell>
        </row>
        <row r="5433">
          <cell r="B5433">
            <v>6.28703703703683E-2</v>
          </cell>
          <cell r="C5433">
            <v>90</v>
          </cell>
        </row>
        <row r="5434">
          <cell r="B5434">
            <v>6.2881944444442381E-2</v>
          </cell>
          <cell r="C5434">
            <v>90</v>
          </cell>
        </row>
        <row r="5435">
          <cell r="B5435">
            <v>6.2893518518516461E-2</v>
          </cell>
          <cell r="C5435">
            <v>90</v>
          </cell>
        </row>
        <row r="5436">
          <cell r="B5436">
            <v>6.2905092592590542E-2</v>
          </cell>
          <cell r="C5436">
            <v>90</v>
          </cell>
        </row>
        <row r="5437">
          <cell r="B5437">
            <v>6.2916666666664622E-2</v>
          </cell>
          <cell r="C5437">
            <v>90</v>
          </cell>
        </row>
        <row r="5438">
          <cell r="B5438">
            <v>6.2928240740738703E-2</v>
          </cell>
          <cell r="C5438">
            <v>90</v>
          </cell>
        </row>
        <row r="5439">
          <cell r="B5439">
            <v>6.2939814814812783E-2</v>
          </cell>
          <cell r="C5439">
            <v>90</v>
          </cell>
        </row>
        <row r="5440">
          <cell r="B5440">
            <v>6.2951388888886864E-2</v>
          </cell>
          <cell r="C5440">
            <v>90</v>
          </cell>
        </row>
        <row r="5441">
          <cell r="B5441">
            <v>6.2962962962960944E-2</v>
          </cell>
          <cell r="C5441">
            <v>90</v>
          </cell>
        </row>
        <row r="5442">
          <cell r="B5442">
            <v>6.2974537037035025E-2</v>
          </cell>
          <cell r="C5442">
            <v>90</v>
          </cell>
        </row>
        <row r="5443">
          <cell r="B5443">
            <v>6.2986111111109105E-2</v>
          </cell>
          <cell r="C5443">
            <v>90</v>
          </cell>
        </row>
        <row r="5444">
          <cell r="B5444">
            <v>6.2997685185183186E-2</v>
          </cell>
          <cell r="C5444">
            <v>90</v>
          </cell>
        </row>
        <row r="5445">
          <cell r="B5445">
            <v>6.3009259259257266E-2</v>
          </cell>
          <cell r="C5445">
            <v>90</v>
          </cell>
        </row>
        <row r="5446">
          <cell r="B5446">
            <v>6.3020833333331347E-2</v>
          </cell>
          <cell r="C5446">
            <v>90</v>
          </cell>
        </row>
        <row r="5447">
          <cell r="B5447">
            <v>6.3032407407405427E-2</v>
          </cell>
          <cell r="C5447">
            <v>90</v>
          </cell>
        </row>
        <row r="5448">
          <cell r="B5448">
            <v>6.3043981481479508E-2</v>
          </cell>
          <cell r="C5448">
            <v>90</v>
          </cell>
        </row>
        <row r="5449">
          <cell r="B5449">
            <v>6.3055555555553588E-2</v>
          </cell>
          <cell r="C5449">
            <v>90</v>
          </cell>
        </row>
        <row r="5450">
          <cell r="B5450">
            <v>6.3067129629627669E-2</v>
          </cell>
          <cell r="C5450">
            <v>90</v>
          </cell>
        </row>
        <row r="5451">
          <cell r="B5451">
            <v>6.307870370370175E-2</v>
          </cell>
          <cell r="C5451">
            <v>90</v>
          </cell>
        </row>
        <row r="5452">
          <cell r="B5452">
            <v>6.309027777777583E-2</v>
          </cell>
          <cell r="C5452">
            <v>90</v>
          </cell>
        </row>
        <row r="5453">
          <cell r="B5453">
            <v>6.3101851851849911E-2</v>
          </cell>
          <cell r="C5453">
            <v>90</v>
          </cell>
        </row>
        <row r="5454">
          <cell r="B5454">
            <v>6.3113425925923991E-2</v>
          </cell>
          <cell r="C5454">
            <v>90</v>
          </cell>
        </row>
        <row r="5455">
          <cell r="B5455">
            <v>6.3124999999998072E-2</v>
          </cell>
          <cell r="C5455">
            <v>90</v>
          </cell>
        </row>
        <row r="5456">
          <cell r="B5456">
            <v>6.3136574074072152E-2</v>
          </cell>
          <cell r="C5456">
            <v>90</v>
          </cell>
        </row>
        <row r="5457">
          <cell r="B5457">
            <v>6.3148148148146233E-2</v>
          </cell>
          <cell r="C5457">
            <v>90</v>
          </cell>
        </row>
        <row r="5458">
          <cell r="B5458">
            <v>6.3159722222220313E-2</v>
          </cell>
          <cell r="C5458">
            <v>90</v>
          </cell>
        </row>
        <row r="5459">
          <cell r="B5459">
            <v>6.3171296296294394E-2</v>
          </cell>
          <cell r="C5459">
            <v>90</v>
          </cell>
        </row>
        <row r="5460">
          <cell r="B5460">
            <v>6.3182870370368474E-2</v>
          </cell>
          <cell r="C5460">
            <v>90</v>
          </cell>
        </row>
        <row r="5461">
          <cell r="B5461">
            <v>6.3194444444442555E-2</v>
          </cell>
          <cell r="C5461">
            <v>91</v>
          </cell>
        </row>
        <row r="5462">
          <cell r="B5462">
            <v>6.3206018518516635E-2</v>
          </cell>
          <cell r="C5462">
            <v>91</v>
          </cell>
        </row>
        <row r="5463">
          <cell r="B5463">
            <v>6.3217592592590716E-2</v>
          </cell>
          <cell r="C5463">
            <v>91</v>
          </cell>
        </row>
        <row r="5464">
          <cell r="B5464">
            <v>6.3229166666664796E-2</v>
          </cell>
          <cell r="C5464">
            <v>91</v>
          </cell>
        </row>
        <row r="5465">
          <cell r="B5465">
            <v>6.3240740740738877E-2</v>
          </cell>
          <cell r="C5465">
            <v>91</v>
          </cell>
        </row>
        <row r="5466">
          <cell r="B5466">
            <v>6.3252314814812957E-2</v>
          </cell>
          <cell r="C5466">
            <v>91</v>
          </cell>
        </row>
        <row r="5467">
          <cell r="B5467">
            <v>6.3263888888887038E-2</v>
          </cell>
          <cell r="C5467">
            <v>91</v>
          </cell>
        </row>
        <row r="5468">
          <cell r="B5468">
            <v>6.3275462962961118E-2</v>
          </cell>
          <cell r="C5468">
            <v>91</v>
          </cell>
        </row>
        <row r="5469">
          <cell r="B5469">
            <v>6.3287037037035199E-2</v>
          </cell>
          <cell r="C5469">
            <v>91</v>
          </cell>
        </row>
        <row r="5470">
          <cell r="B5470">
            <v>6.3298611111109279E-2</v>
          </cell>
          <cell r="C5470">
            <v>91</v>
          </cell>
        </row>
        <row r="5471">
          <cell r="B5471">
            <v>6.331018518518336E-2</v>
          </cell>
          <cell r="C5471">
            <v>91</v>
          </cell>
        </row>
        <row r="5472">
          <cell r="B5472">
            <v>6.332175925925744E-2</v>
          </cell>
          <cell r="C5472">
            <v>91</v>
          </cell>
        </row>
        <row r="5473">
          <cell r="B5473">
            <v>6.3333333333331521E-2</v>
          </cell>
          <cell r="C5473">
            <v>91</v>
          </cell>
        </row>
        <row r="5474">
          <cell r="B5474">
            <v>6.3344907407405601E-2</v>
          </cell>
          <cell r="C5474">
            <v>91</v>
          </cell>
        </row>
        <row r="5475">
          <cell r="B5475">
            <v>6.3356481481479682E-2</v>
          </cell>
          <cell r="C5475">
            <v>91</v>
          </cell>
        </row>
        <row r="5476">
          <cell r="B5476">
            <v>6.3368055555553762E-2</v>
          </cell>
          <cell r="C5476">
            <v>91</v>
          </cell>
        </row>
        <row r="5477">
          <cell r="B5477">
            <v>6.3379629629627843E-2</v>
          </cell>
          <cell r="C5477">
            <v>91</v>
          </cell>
        </row>
        <row r="5478">
          <cell r="B5478">
            <v>6.3391203703701923E-2</v>
          </cell>
          <cell r="C5478">
            <v>91</v>
          </cell>
        </row>
        <row r="5479">
          <cell r="B5479">
            <v>6.3402777777776004E-2</v>
          </cell>
          <cell r="C5479">
            <v>91</v>
          </cell>
        </row>
        <row r="5480">
          <cell r="B5480">
            <v>6.3414351851850084E-2</v>
          </cell>
          <cell r="C5480">
            <v>91</v>
          </cell>
        </row>
        <row r="5481">
          <cell r="B5481">
            <v>6.3425925925924165E-2</v>
          </cell>
          <cell r="C5481">
            <v>91</v>
          </cell>
        </row>
        <row r="5482">
          <cell r="B5482">
            <v>6.3437499999998245E-2</v>
          </cell>
          <cell r="C5482">
            <v>91</v>
          </cell>
        </row>
        <row r="5483">
          <cell r="B5483">
            <v>6.3449074074072326E-2</v>
          </cell>
          <cell r="C5483">
            <v>91</v>
          </cell>
        </row>
        <row r="5484">
          <cell r="B5484">
            <v>6.3460648148146406E-2</v>
          </cell>
          <cell r="C5484">
            <v>91</v>
          </cell>
        </row>
        <row r="5485">
          <cell r="B5485">
            <v>6.3472222222220487E-2</v>
          </cell>
          <cell r="C5485">
            <v>91</v>
          </cell>
        </row>
        <row r="5486">
          <cell r="B5486">
            <v>6.3483796296294567E-2</v>
          </cell>
          <cell r="C5486">
            <v>91</v>
          </cell>
        </row>
        <row r="5487">
          <cell r="B5487">
            <v>6.3495370370368648E-2</v>
          </cell>
          <cell r="C5487">
            <v>91</v>
          </cell>
        </row>
        <row r="5488">
          <cell r="B5488">
            <v>6.3506944444442728E-2</v>
          </cell>
          <cell r="C5488">
            <v>91</v>
          </cell>
        </row>
        <row r="5489">
          <cell r="B5489">
            <v>6.3518518518516809E-2</v>
          </cell>
          <cell r="C5489">
            <v>91</v>
          </cell>
        </row>
        <row r="5490">
          <cell r="B5490">
            <v>6.3530092592590889E-2</v>
          </cell>
          <cell r="C5490">
            <v>91</v>
          </cell>
        </row>
        <row r="5491">
          <cell r="B5491">
            <v>6.354166666666497E-2</v>
          </cell>
          <cell r="C5491">
            <v>91</v>
          </cell>
        </row>
        <row r="5492">
          <cell r="B5492">
            <v>6.355324074073905E-2</v>
          </cell>
          <cell r="C5492">
            <v>91</v>
          </cell>
        </row>
        <row r="5493">
          <cell r="B5493">
            <v>6.3564814814813131E-2</v>
          </cell>
          <cell r="C5493">
            <v>91</v>
          </cell>
        </row>
        <row r="5494">
          <cell r="B5494">
            <v>6.3576388888887211E-2</v>
          </cell>
          <cell r="C5494">
            <v>91</v>
          </cell>
        </row>
        <row r="5495">
          <cell r="B5495">
            <v>6.3587962962961292E-2</v>
          </cell>
          <cell r="C5495">
            <v>91</v>
          </cell>
        </row>
        <row r="5496">
          <cell r="B5496">
            <v>6.3599537037035372E-2</v>
          </cell>
          <cell r="C5496">
            <v>91</v>
          </cell>
        </row>
        <row r="5497">
          <cell r="B5497">
            <v>6.3611111111109453E-2</v>
          </cell>
          <cell r="C5497">
            <v>91</v>
          </cell>
        </row>
        <row r="5498">
          <cell r="B5498">
            <v>6.3622685185183533E-2</v>
          </cell>
          <cell r="C5498">
            <v>91</v>
          </cell>
        </row>
        <row r="5499">
          <cell r="B5499">
            <v>6.3634259259257614E-2</v>
          </cell>
          <cell r="C5499">
            <v>91</v>
          </cell>
        </row>
        <row r="5500">
          <cell r="B5500">
            <v>6.3645833333331694E-2</v>
          </cell>
          <cell r="C5500">
            <v>91</v>
          </cell>
        </row>
        <row r="5501">
          <cell r="B5501">
            <v>6.3657407407405775E-2</v>
          </cell>
          <cell r="C5501">
            <v>91</v>
          </cell>
        </row>
        <row r="5502">
          <cell r="B5502">
            <v>6.3668981481479855E-2</v>
          </cell>
          <cell r="C5502">
            <v>91</v>
          </cell>
        </row>
        <row r="5503">
          <cell r="B5503">
            <v>6.3680555555553936E-2</v>
          </cell>
          <cell r="C5503">
            <v>91</v>
          </cell>
        </row>
        <row r="5504">
          <cell r="B5504">
            <v>6.3692129629628016E-2</v>
          </cell>
          <cell r="C5504">
            <v>91</v>
          </cell>
        </row>
        <row r="5505">
          <cell r="B5505">
            <v>6.3703703703702097E-2</v>
          </cell>
          <cell r="C5505">
            <v>91</v>
          </cell>
        </row>
        <row r="5506">
          <cell r="B5506">
            <v>6.3715277777776178E-2</v>
          </cell>
          <cell r="C5506">
            <v>91</v>
          </cell>
        </row>
        <row r="5507">
          <cell r="B5507">
            <v>6.3726851851850258E-2</v>
          </cell>
          <cell r="C5507">
            <v>91</v>
          </cell>
        </row>
        <row r="5508">
          <cell r="B5508">
            <v>6.3738425925924339E-2</v>
          </cell>
          <cell r="C5508">
            <v>91</v>
          </cell>
        </row>
        <row r="5509">
          <cell r="B5509">
            <v>6.3749999999998419E-2</v>
          </cell>
          <cell r="C5509">
            <v>91</v>
          </cell>
        </row>
        <row r="5510">
          <cell r="B5510">
            <v>6.37615740740725E-2</v>
          </cell>
          <cell r="C5510">
            <v>91</v>
          </cell>
        </row>
        <row r="5511">
          <cell r="B5511">
            <v>6.377314814814658E-2</v>
          </cell>
          <cell r="C5511">
            <v>91</v>
          </cell>
        </row>
        <row r="5512">
          <cell r="B5512">
            <v>6.3784722222220661E-2</v>
          </cell>
          <cell r="C5512">
            <v>91</v>
          </cell>
        </row>
        <row r="5513">
          <cell r="B5513">
            <v>6.3796296296294741E-2</v>
          </cell>
          <cell r="C5513">
            <v>91</v>
          </cell>
        </row>
        <row r="5514">
          <cell r="B5514">
            <v>6.3807870370368822E-2</v>
          </cell>
          <cell r="C5514">
            <v>91</v>
          </cell>
        </row>
        <row r="5515">
          <cell r="B5515">
            <v>6.3819444444442902E-2</v>
          </cell>
          <cell r="C5515">
            <v>91</v>
          </cell>
        </row>
        <row r="5516">
          <cell r="B5516">
            <v>6.3831018518516983E-2</v>
          </cell>
          <cell r="C5516">
            <v>91</v>
          </cell>
        </row>
        <row r="5517">
          <cell r="B5517">
            <v>6.3842592592591063E-2</v>
          </cell>
          <cell r="C5517">
            <v>91</v>
          </cell>
        </row>
        <row r="5518">
          <cell r="B5518">
            <v>6.3854166666665144E-2</v>
          </cell>
          <cell r="C5518">
            <v>91</v>
          </cell>
        </row>
        <row r="5519">
          <cell r="B5519">
            <v>6.3865740740739224E-2</v>
          </cell>
          <cell r="C5519">
            <v>91</v>
          </cell>
        </row>
        <row r="5520">
          <cell r="B5520">
            <v>6.3877314814813305E-2</v>
          </cell>
          <cell r="C5520">
            <v>91</v>
          </cell>
        </row>
        <row r="5521">
          <cell r="B5521">
            <v>6.3888888888887385E-2</v>
          </cell>
          <cell r="C5521">
            <v>92</v>
          </cell>
        </row>
        <row r="5522">
          <cell r="B5522">
            <v>6.3900462962961466E-2</v>
          </cell>
          <cell r="C5522">
            <v>92</v>
          </cell>
        </row>
        <row r="5523">
          <cell r="B5523">
            <v>6.3912037037035546E-2</v>
          </cell>
          <cell r="C5523">
            <v>92</v>
          </cell>
        </row>
        <row r="5524">
          <cell r="B5524">
            <v>6.3923611111109627E-2</v>
          </cell>
          <cell r="C5524">
            <v>92</v>
          </cell>
        </row>
        <row r="5525">
          <cell r="B5525">
            <v>6.3935185185183707E-2</v>
          </cell>
          <cell r="C5525">
            <v>92</v>
          </cell>
        </row>
        <row r="5526">
          <cell r="B5526">
            <v>6.3946759259257788E-2</v>
          </cell>
          <cell r="C5526">
            <v>92</v>
          </cell>
        </row>
        <row r="5527">
          <cell r="B5527">
            <v>6.3958333333331868E-2</v>
          </cell>
          <cell r="C5527">
            <v>92</v>
          </cell>
        </row>
        <row r="5528">
          <cell r="B5528">
            <v>6.3969907407405949E-2</v>
          </cell>
          <cell r="C5528">
            <v>92</v>
          </cell>
        </row>
        <row r="5529">
          <cell r="B5529">
            <v>6.3981481481480029E-2</v>
          </cell>
          <cell r="C5529">
            <v>92</v>
          </cell>
        </row>
        <row r="5530">
          <cell r="B5530">
            <v>6.399305555555411E-2</v>
          </cell>
          <cell r="C5530">
            <v>92</v>
          </cell>
        </row>
        <row r="5531">
          <cell r="B5531">
            <v>6.400462962962819E-2</v>
          </cell>
          <cell r="C5531">
            <v>92</v>
          </cell>
        </row>
        <row r="5532">
          <cell r="B5532">
            <v>6.4016203703702271E-2</v>
          </cell>
          <cell r="C5532">
            <v>92</v>
          </cell>
        </row>
        <row r="5533">
          <cell r="B5533">
            <v>6.4027777777776351E-2</v>
          </cell>
          <cell r="C5533">
            <v>92</v>
          </cell>
        </row>
        <row r="5534">
          <cell r="B5534">
            <v>6.4039351851850432E-2</v>
          </cell>
          <cell r="C5534">
            <v>92</v>
          </cell>
        </row>
        <row r="5535">
          <cell r="B5535">
            <v>6.4050925925924512E-2</v>
          </cell>
          <cell r="C5535">
            <v>92</v>
          </cell>
        </row>
        <row r="5536">
          <cell r="B5536">
            <v>6.4062499999998593E-2</v>
          </cell>
          <cell r="C5536">
            <v>92</v>
          </cell>
        </row>
        <row r="5537">
          <cell r="B5537">
            <v>6.4074074074072673E-2</v>
          </cell>
          <cell r="C5537">
            <v>92</v>
          </cell>
        </row>
        <row r="5538">
          <cell r="B5538">
            <v>6.4085648148146754E-2</v>
          </cell>
          <cell r="C5538">
            <v>92</v>
          </cell>
        </row>
        <row r="5539">
          <cell r="B5539">
            <v>6.4097222222220834E-2</v>
          </cell>
          <cell r="C5539">
            <v>92</v>
          </cell>
        </row>
        <row r="5540">
          <cell r="B5540">
            <v>6.4108796296294915E-2</v>
          </cell>
          <cell r="C5540">
            <v>92</v>
          </cell>
        </row>
        <row r="5541">
          <cell r="B5541">
            <v>6.4120370370368995E-2</v>
          </cell>
          <cell r="C5541">
            <v>92</v>
          </cell>
        </row>
        <row r="5542">
          <cell r="B5542">
            <v>6.4131944444443076E-2</v>
          </cell>
          <cell r="C5542">
            <v>92</v>
          </cell>
        </row>
        <row r="5543">
          <cell r="B5543">
            <v>6.4143518518517156E-2</v>
          </cell>
          <cell r="C5543">
            <v>92</v>
          </cell>
        </row>
        <row r="5544">
          <cell r="B5544">
            <v>6.4155092592591237E-2</v>
          </cell>
          <cell r="C5544">
            <v>92</v>
          </cell>
        </row>
        <row r="5545">
          <cell r="B5545">
            <v>6.4166666666665317E-2</v>
          </cell>
          <cell r="C5545">
            <v>92</v>
          </cell>
        </row>
        <row r="5546">
          <cell r="B5546">
            <v>6.4178240740739398E-2</v>
          </cell>
          <cell r="C5546">
            <v>92</v>
          </cell>
        </row>
        <row r="5547">
          <cell r="B5547">
            <v>6.4189814814813478E-2</v>
          </cell>
          <cell r="C5547">
            <v>92</v>
          </cell>
        </row>
        <row r="5548">
          <cell r="B5548">
            <v>6.4201388888887559E-2</v>
          </cell>
          <cell r="C5548">
            <v>92</v>
          </cell>
        </row>
        <row r="5549">
          <cell r="B5549">
            <v>6.4212962962961639E-2</v>
          </cell>
          <cell r="C5549">
            <v>92</v>
          </cell>
        </row>
        <row r="5550">
          <cell r="B5550">
            <v>6.422453703703572E-2</v>
          </cell>
          <cell r="C5550">
            <v>92</v>
          </cell>
        </row>
        <row r="5551">
          <cell r="B5551">
            <v>6.42361111111098E-2</v>
          </cell>
          <cell r="C5551">
            <v>92</v>
          </cell>
        </row>
        <row r="5552">
          <cell r="B5552">
            <v>6.4247685185183881E-2</v>
          </cell>
          <cell r="C5552">
            <v>92</v>
          </cell>
        </row>
        <row r="5553">
          <cell r="B5553">
            <v>6.4259259259257961E-2</v>
          </cell>
          <cell r="C5553">
            <v>92</v>
          </cell>
        </row>
        <row r="5554">
          <cell r="B5554">
            <v>6.4270833333332042E-2</v>
          </cell>
          <cell r="C5554">
            <v>92</v>
          </cell>
        </row>
        <row r="5555">
          <cell r="B5555">
            <v>6.4282407407406122E-2</v>
          </cell>
          <cell r="C5555">
            <v>92</v>
          </cell>
        </row>
        <row r="5556">
          <cell r="B5556">
            <v>6.4293981481480203E-2</v>
          </cell>
          <cell r="C5556">
            <v>92</v>
          </cell>
        </row>
        <row r="5557">
          <cell r="B5557">
            <v>6.4305555555554283E-2</v>
          </cell>
          <cell r="C5557">
            <v>92</v>
          </cell>
        </row>
        <row r="5558">
          <cell r="B5558">
            <v>6.4317129629628364E-2</v>
          </cell>
          <cell r="C5558">
            <v>92</v>
          </cell>
        </row>
        <row r="5559">
          <cell r="B5559">
            <v>6.4328703703702445E-2</v>
          </cell>
          <cell r="C5559">
            <v>92</v>
          </cell>
        </row>
        <row r="5560">
          <cell r="B5560">
            <v>6.4340277777776525E-2</v>
          </cell>
          <cell r="C5560">
            <v>92</v>
          </cell>
        </row>
        <row r="5561">
          <cell r="B5561">
            <v>6.4351851851850606E-2</v>
          </cell>
          <cell r="C5561">
            <v>92</v>
          </cell>
        </row>
        <row r="5562">
          <cell r="B5562">
            <v>6.4363425925924686E-2</v>
          </cell>
          <cell r="C5562">
            <v>92</v>
          </cell>
        </row>
        <row r="5563">
          <cell r="B5563">
            <v>6.4374999999998767E-2</v>
          </cell>
          <cell r="C5563">
            <v>92</v>
          </cell>
        </row>
        <row r="5564">
          <cell r="B5564">
            <v>6.4386574074072847E-2</v>
          </cell>
          <cell r="C5564">
            <v>92</v>
          </cell>
        </row>
        <row r="5565">
          <cell r="B5565">
            <v>6.4398148148146928E-2</v>
          </cell>
          <cell r="C5565">
            <v>92</v>
          </cell>
        </row>
        <row r="5566">
          <cell r="B5566">
            <v>6.4409722222221008E-2</v>
          </cell>
          <cell r="C5566">
            <v>92</v>
          </cell>
        </row>
        <row r="5567">
          <cell r="B5567">
            <v>6.4421296296295089E-2</v>
          </cell>
          <cell r="C5567">
            <v>92</v>
          </cell>
        </row>
        <row r="5568">
          <cell r="B5568">
            <v>6.4432870370369169E-2</v>
          </cell>
          <cell r="C5568">
            <v>92</v>
          </cell>
        </row>
        <row r="5569">
          <cell r="B5569">
            <v>6.444444444444325E-2</v>
          </cell>
          <cell r="C5569">
            <v>92</v>
          </cell>
        </row>
        <row r="5570">
          <cell r="B5570">
            <v>6.445601851851733E-2</v>
          </cell>
          <cell r="C5570">
            <v>92</v>
          </cell>
        </row>
        <row r="5571">
          <cell r="B5571">
            <v>6.4467592592591411E-2</v>
          </cell>
          <cell r="C5571">
            <v>92</v>
          </cell>
        </row>
        <row r="5572">
          <cell r="B5572">
            <v>6.4479166666665491E-2</v>
          </cell>
          <cell r="C5572">
            <v>92</v>
          </cell>
        </row>
        <row r="5573">
          <cell r="B5573">
            <v>6.4490740740739572E-2</v>
          </cell>
          <cell r="C5573">
            <v>92</v>
          </cell>
        </row>
        <row r="5574">
          <cell r="B5574">
            <v>6.4502314814813652E-2</v>
          </cell>
          <cell r="C5574">
            <v>92</v>
          </cell>
        </row>
        <row r="5575">
          <cell r="B5575">
            <v>6.4513888888887733E-2</v>
          </cell>
          <cell r="C5575">
            <v>92</v>
          </cell>
        </row>
        <row r="5576">
          <cell r="B5576">
            <v>6.4525462962961813E-2</v>
          </cell>
          <cell r="C5576">
            <v>92</v>
          </cell>
        </row>
        <row r="5577">
          <cell r="B5577">
            <v>6.4537037037035894E-2</v>
          </cell>
          <cell r="C5577">
            <v>92</v>
          </cell>
        </row>
        <row r="5578">
          <cell r="B5578">
            <v>6.4548611111109974E-2</v>
          </cell>
          <cell r="C5578">
            <v>92</v>
          </cell>
        </row>
        <row r="5579">
          <cell r="B5579">
            <v>6.4560185185184055E-2</v>
          </cell>
          <cell r="C5579">
            <v>92</v>
          </cell>
        </row>
        <row r="5580">
          <cell r="B5580">
            <v>6.4571759259258135E-2</v>
          </cell>
          <cell r="C5580">
            <v>92</v>
          </cell>
        </row>
        <row r="5581">
          <cell r="B5581">
            <v>6.4583333333332216E-2</v>
          </cell>
          <cell r="C5581">
            <v>93</v>
          </cell>
        </row>
        <row r="5582">
          <cell r="B5582">
            <v>6.4594907407406296E-2</v>
          </cell>
          <cell r="C5582">
            <v>93</v>
          </cell>
        </row>
        <row r="5583">
          <cell r="B5583">
            <v>6.4606481481480377E-2</v>
          </cell>
          <cell r="C5583">
            <v>93</v>
          </cell>
        </row>
        <row r="5584">
          <cell r="B5584">
            <v>6.4618055555554457E-2</v>
          </cell>
          <cell r="C5584">
            <v>93</v>
          </cell>
        </row>
        <row r="5585">
          <cell r="B5585">
            <v>6.4629629629628538E-2</v>
          </cell>
          <cell r="C5585">
            <v>93</v>
          </cell>
        </row>
        <row r="5586">
          <cell r="B5586">
            <v>6.4641203703702618E-2</v>
          </cell>
          <cell r="C5586">
            <v>93</v>
          </cell>
        </row>
        <row r="5587">
          <cell r="B5587">
            <v>6.4652777777776699E-2</v>
          </cell>
          <cell r="C5587">
            <v>93</v>
          </cell>
        </row>
        <row r="5588">
          <cell r="B5588">
            <v>6.4664351851850779E-2</v>
          </cell>
          <cell r="C5588">
            <v>93</v>
          </cell>
        </row>
        <row r="5589">
          <cell r="B5589">
            <v>6.467592592592486E-2</v>
          </cell>
          <cell r="C5589">
            <v>93</v>
          </cell>
        </row>
        <row r="5590">
          <cell r="B5590">
            <v>6.468749999999894E-2</v>
          </cell>
          <cell r="C5590">
            <v>93</v>
          </cell>
        </row>
        <row r="5591">
          <cell r="B5591">
            <v>6.4699074074073021E-2</v>
          </cell>
          <cell r="C5591">
            <v>93</v>
          </cell>
        </row>
        <row r="5592">
          <cell r="B5592">
            <v>6.4710648148147101E-2</v>
          </cell>
          <cell r="C5592">
            <v>93</v>
          </cell>
        </row>
        <row r="5593">
          <cell r="B5593">
            <v>6.4722222222221182E-2</v>
          </cell>
          <cell r="C5593">
            <v>93</v>
          </cell>
        </row>
        <row r="5594">
          <cell r="B5594">
            <v>6.4733796296295262E-2</v>
          </cell>
          <cell r="C5594">
            <v>93</v>
          </cell>
        </row>
        <row r="5595">
          <cell r="B5595">
            <v>6.4745370370369343E-2</v>
          </cell>
          <cell r="C5595">
            <v>93</v>
          </cell>
        </row>
        <row r="5596">
          <cell r="B5596">
            <v>6.4756944444443423E-2</v>
          </cell>
          <cell r="C5596">
            <v>93</v>
          </cell>
        </row>
        <row r="5597">
          <cell r="B5597">
            <v>6.4768518518517504E-2</v>
          </cell>
          <cell r="C5597">
            <v>93</v>
          </cell>
        </row>
        <row r="5598">
          <cell r="B5598">
            <v>6.4780092592591584E-2</v>
          </cell>
          <cell r="C5598">
            <v>93</v>
          </cell>
        </row>
        <row r="5599">
          <cell r="B5599">
            <v>6.4791666666665665E-2</v>
          </cell>
          <cell r="C5599">
            <v>93</v>
          </cell>
        </row>
        <row r="5600">
          <cell r="B5600">
            <v>6.4803240740739745E-2</v>
          </cell>
          <cell r="C5600">
            <v>93</v>
          </cell>
        </row>
        <row r="5601">
          <cell r="B5601">
            <v>6.4814814814813826E-2</v>
          </cell>
          <cell r="C5601">
            <v>93</v>
          </cell>
        </row>
        <row r="5602">
          <cell r="B5602">
            <v>6.4826388888887906E-2</v>
          </cell>
          <cell r="C5602">
            <v>93</v>
          </cell>
        </row>
        <row r="5603">
          <cell r="B5603">
            <v>6.4837962962961987E-2</v>
          </cell>
          <cell r="C5603">
            <v>93</v>
          </cell>
        </row>
        <row r="5604">
          <cell r="B5604">
            <v>6.4849537037036067E-2</v>
          </cell>
          <cell r="C5604">
            <v>93</v>
          </cell>
        </row>
        <row r="5605">
          <cell r="B5605">
            <v>6.4861111111110148E-2</v>
          </cell>
          <cell r="C5605">
            <v>93</v>
          </cell>
        </row>
        <row r="5606">
          <cell r="B5606">
            <v>6.4872685185184228E-2</v>
          </cell>
          <cell r="C5606">
            <v>93</v>
          </cell>
        </row>
        <row r="5607">
          <cell r="B5607">
            <v>6.4884259259258309E-2</v>
          </cell>
          <cell r="C5607">
            <v>93</v>
          </cell>
        </row>
        <row r="5608">
          <cell r="B5608">
            <v>6.4895833333332389E-2</v>
          </cell>
          <cell r="C5608">
            <v>93</v>
          </cell>
        </row>
        <row r="5609">
          <cell r="B5609">
            <v>6.490740740740647E-2</v>
          </cell>
          <cell r="C5609">
            <v>93</v>
          </cell>
        </row>
        <row r="5610">
          <cell r="B5610">
            <v>6.491898148148055E-2</v>
          </cell>
          <cell r="C5610">
            <v>93</v>
          </cell>
        </row>
        <row r="5611">
          <cell r="B5611">
            <v>6.4930555555554631E-2</v>
          </cell>
          <cell r="C5611">
            <v>93</v>
          </cell>
        </row>
        <row r="5612">
          <cell r="B5612">
            <v>6.4942129629628711E-2</v>
          </cell>
          <cell r="C5612">
            <v>93</v>
          </cell>
        </row>
        <row r="5613">
          <cell r="B5613">
            <v>6.4953703703702792E-2</v>
          </cell>
          <cell r="C5613">
            <v>93</v>
          </cell>
        </row>
        <row r="5614">
          <cell r="B5614">
            <v>6.4965277777776873E-2</v>
          </cell>
          <cell r="C5614">
            <v>93</v>
          </cell>
        </row>
        <row r="5615">
          <cell r="B5615">
            <v>6.4976851851850953E-2</v>
          </cell>
          <cell r="C5615">
            <v>93</v>
          </cell>
        </row>
        <row r="5616">
          <cell r="B5616">
            <v>6.4988425925925034E-2</v>
          </cell>
          <cell r="C5616">
            <v>93</v>
          </cell>
        </row>
        <row r="5617">
          <cell r="B5617">
            <v>6.4999999999999114E-2</v>
          </cell>
          <cell r="C5617">
            <v>93</v>
          </cell>
        </row>
        <row r="5618">
          <cell r="B5618">
            <v>6.5011574074073195E-2</v>
          </cell>
          <cell r="C5618">
            <v>93</v>
          </cell>
        </row>
        <row r="5619">
          <cell r="B5619">
            <v>6.5023148148147275E-2</v>
          </cell>
          <cell r="C5619">
            <v>93</v>
          </cell>
        </row>
        <row r="5620">
          <cell r="B5620">
            <v>6.5034722222221356E-2</v>
          </cell>
          <cell r="C5620">
            <v>93</v>
          </cell>
        </row>
        <row r="5621">
          <cell r="B5621">
            <v>6.5046296296295436E-2</v>
          </cell>
          <cell r="C5621">
            <v>93</v>
          </cell>
        </row>
        <row r="5622">
          <cell r="B5622">
            <v>6.5057870370369517E-2</v>
          </cell>
          <cell r="C5622">
            <v>93</v>
          </cell>
        </row>
        <row r="5623">
          <cell r="B5623">
            <v>6.5069444444443597E-2</v>
          </cell>
          <cell r="C5623">
            <v>93</v>
          </cell>
        </row>
        <row r="5624">
          <cell r="B5624">
            <v>6.5081018518517678E-2</v>
          </cell>
          <cell r="C5624">
            <v>93</v>
          </cell>
        </row>
        <row r="5625">
          <cell r="B5625">
            <v>6.5092592592591758E-2</v>
          </cell>
          <cell r="C5625">
            <v>93</v>
          </cell>
        </row>
        <row r="5626">
          <cell r="B5626">
            <v>6.5104166666665839E-2</v>
          </cell>
          <cell r="C5626">
            <v>93</v>
          </cell>
        </row>
        <row r="5627">
          <cell r="B5627">
            <v>6.5115740740739919E-2</v>
          </cell>
          <cell r="C5627">
            <v>93</v>
          </cell>
        </row>
        <row r="5628">
          <cell r="B5628">
            <v>6.5127314814814E-2</v>
          </cell>
          <cell r="C5628">
            <v>93</v>
          </cell>
        </row>
        <row r="5629">
          <cell r="B5629">
            <v>6.513888888888808E-2</v>
          </cell>
          <cell r="C5629">
            <v>93</v>
          </cell>
        </row>
        <row r="5630">
          <cell r="B5630">
            <v>6.5150462962962161E-2</v>
          </cell>
          <cell r="C5630">
            <v>93</v>
          </cell>
        </row>
        <row r="5631">
          <cell r="B5631">
            <v>6.5162037037036241E-2</v>
          </cell>
          <cell r="C5631">
            <v>93</v>
          </cell>
        </row>
        <row r="5632">
          <cell r="B5632">
            <v>6.5173611111110322E-2</v>
          </cell>
          <cell r="C5632">
            <v>93</v>
          </cell>
        </row>
        <row r="5633">
          <cell r="B5633">
            <v>6.5185185185184402E-2</v>
          </cell>
          <cell r="C5633">
            <v>93</v>
          </cell>
        </row>
        <row r="5634">
          <cell r="B5634">
            <v>6.5196759259258483E-2</v>
          </cell>
          <cell r="C5634">
            <v>93</v>
          </cell>
        </row>
        <row r="5635">
          <cell r="B5635">
            <v>6.5208333333332563E-2</v>
          </cell>
          <cell r="C5635">
            <v>93</v>
          </cell>
        </row>
        <row r="5636">
          <cell r="B5636">
            <v>6.5219907407406644E-2</v>
          </cell>
          <cell r="C5636">
            <v>93</v>
          </cell>
        </row>
        <row r="5637">
          <cell r="B5637">
            <v>6.5231481481480724E-2</v>
          </cell>
          <cell r="C5637">
            <v>93</v>
          </cell>
        </row>
        <row r="5638">
          <cell r="B5638">
            <v>6.5243055555554805E-2</v>
          </cell>
          <cell r="C5638">
            <v>93</v>
          </cell>
        </row>
        <row r="5639">
          <cell r="B5639">
            <v>6.5254629629628885E-2</v>
          </cell>
          <cell r="C5639">
            <v>93</v>
          </cell>
        </row>
        <row r="5640">
          <cell r="B5640">
            <v>6.5266203703702966E-2</v>
          </cell>
          <cell r="C5640">
            <v>93</v>
          </cell>
        </row>
        <row r="5641">
          <cell r="B5641">
            <v>6.5277777777777046E-2</v>
          </cell>
          <cell r="C5641">
            <v>94</v>
          </cell>
        </row>
        <row r="5642">
          <cell r="B5642">
            <v>6.5289351851851127E-2</v>
          </cell>
          <cell r="C5642">
            <v>94</v>
          </cell>
        </row>
        <row r="5643">
          <cell r="B5643">
            <v>6.5300925925925207E-2</v>
          </cell>
          <cell r="C5643">
            <v>94</v>
          </cell>
        </row>
        <row r="5644">
          <cell r="B5644">
            <v>6.5312499999999288E-2</v>
          </cell>
          <cell r="C5644">
            <v>94</v>
          </cell>
        </row>
        <row r="5645">
          <cell r="B5645">
            <v>6.5324074074073368E-2</v>
          </cell>
          <cell r="C5645">
            <v>94</v>
          </cell>
        </row>
        <row r="5646">
          <cell r="B5646">
            <v>6.5335648148147449E-2</v>
          </cell>
          <cell r="C5646">
            <v>94</v>
          </cell>
        </row>
        <row r="5647">
          <cell r="B5647">
            <v>6.5347222222221529E-2</v>
          </cell>
          <cell r="C5647">
            <v>94</v>
          </cell>
        </row>
        <row r="5648">
          <cell r="B5648">
            <v>6.535879629629561E-2</v>
          </cell>
          <cell r="C5648">
            <v>94</v>
          </cell>
        </row>
        <row r="5649">
          <cell r="B5649">
            <v>6.537037037036969E-2</v>
          </cell>
          <cell r="C5649">
            <v>94</v>
          </cell>
        </row>
        <row r="5650">
          <cell r="B5650">
            <v>6.5381944444443771E-2</v>
          </cell>
          <cell r="C5650">
            <v>94</v>
          </cell>
        </row>
        <row r="5651">
          <cell r="B5651">
            <v>6.5393518518517851E-2</v>
          </cell>
          <cell r="C5651">
            <v>94</v>
          </cell>
        </row>
        <row r="5652">
          <cell r="B5652">
            <v>6.5405092592591932E-2</v>
          </cell>
          <cell r="C5652">
            <v>94</v>
          </cell>
        </row>
        <row r="5653">
          <cell r="B5653">
            <v>6.5416666666666012E-2</v>
          </cell>
          <cell r="C5653">
            <v>94</v>
          </cell>
        </row>
        <row r="5654">
          <cell r="B5654">
            <v>6.5428240740740093E-2</v>
          </cell>
          <cell r="C5654">
            <v>94</v>
          </cell>
        </row>
        <row r="5655">
          <cell r="B5655">
            <v>6.5439814814814173E-2</v>
          </cell>
          <cell r="C5655">
            <v>94</v>
          </cell>
        </row>
        <row r="5656">
          <cell r="B5656">
            <v>6.5451388888888254E-2</v>
          </cell>
          <cell r="C5656">
            <v>94</v>
          </cell>
        </row>
        <row r="5657">
          <cell r="B5657">
            <v>6.5462962962962334E-2</v>
          </cell>
          <cell r="C5657">
            <v>94</v>
          </cell>
        </row>
        <row r="5658">
          <cell r="B5658">
            <v>6.5474537037036415E-2</v>
          </cell>
          <cell r="C5658">
            <v>94</v>
          </cell>
        </row>
        <row r="5659">
          <cell r="B5659">
            <v>6.5486111111110495E-2</v>
          </cell>
          <cell r="C5659">
            <v>94</v>
          </cell>
        </row>
        <row r="5660">
          <cell r="B5660">
            <v>6.5497685185184576E-2</v>
          </cell>
          <cell r="C5660">
            <v>94</v>
          </cell>
        </row>
        <row r="5661">
          <cell r="B5661">
            <v>6.5509259259258656E-2</v>
          </cell>
          <cell r="C5661">
            <v>94</v>
          </cell>
        </row>
        <row r="5662">
          <cell r="B5662">
            <v>6.5520833333332737E-2</v>
          </cell>
          <cell r="C5662">
            <v>94</v>
          </cell>
        </row>
        <row r="5663">
          <cell r="B5663">
            <v>6.5532407407406817E-2</v>
          </cell>
          <cell r="C5663">
            <v>94</v>
          </cell>
        </row>
        <row r="5664">
          <cell r="B5664">
            <v>6.5543981481480898E-2</v>
          </cell>
          <cell r="C5664">
            <v>94</v>
          </cell>
        </row>
        <row r="5665">
          <cell r="B5665">
            <v>6.5555555555554978E-2</v>
          </cell>
          <cell r="C5665">
            <v>94</v>
          </cell>
        </row>
        <row r="5666">
          <cell r="B5666">
            <v>6.5567129629629059E-2</v>
          </cell>
          <cell r="C5666">
            <v>94</v>
          </cell>
        </row>
        <row r="5667">
          <cell r="B5667">
            <v>6.557870370370314E-2</v>
          </cell>
          <cell r="C5667">
            <v>94</v>
          </cell>
        </row>
        <row r="5668">
          <cell r="B5668">
            <v>6.559027777777722E-2</v>
          </cell>
          <cell r="C5668">
            <v>94</v>
          </cell>
        </row>
        <row r="5669">
          <cell r="B5669">
            <v>6.5601851851851301E-2</v>
          </cell>
          <cell r="C5669">
            <v>94</v>
          </cell>
        </row>
        <row r="5670">
          <cell r="B5670">
            <v>6.5613425925925381E-2</v>
          </cell>
          <cell r="C5670">
            <v>94</v>
          </cell>
        </row>
        <row r="5671">
          <cell r="B5671">
            <v>6.5624999999999462E-2</v>
          </cell>
          <cell r="C5671">
            <v>94</v>
          </cell>
        </row>
        <row r="5672">
          <cell r="B5672">
            <v>6.5636574074073542E-2</v>
          </cell>
          <cell r="C5672">
            <v>94</v>
          </cell>
        </row>
        <row r="5673">
          <cell r="B5673">
            <v>6.5648148148147623E-2</v>
          </cell>
          <cell r="C5673">
            <v>94</v>
          </cell>
        </row>
        <row r="5674">
          <cell r="B5674">
            <v>6.5659722222221703E-2</v>
          </cell>
          <cell r="C5674">
            <v>94</v>
          </cell>
        </row>
        <row r="5675">
          <cell r="B5675">
            <v>6.5671296296295784E-2</v>
          </cell>
          <cell r="C5675">
            <v>94</v>
          </cell>
        </row>
        <row r="5676">
          <cell r="B5676">
            <v>6.5682870370369864E-2</v>
          </cell>
          <cell r="C5676">
            <v>94</v>
          </cell>
        </row>
        <row r="5677">
          <cell r="B5677">
            <v>6.5694444444443945E-2</v>
          </cell>
          <cell r="C5677">
            <v>94</v>
          </cell>
        </row>
        <row r="5678">
          <cell r="B5678">
            <v>6.5706018518518025E-2</v>
          </cell>
          <cell r="C5678">
            <v>94</v>
          </cell>
        </row>
        <row r="5679">
          <cell r="B5679">
            <v>6.5717592592592106E-2</v>
          </cell>
          <cell r="C5679">
            <v>94</v>
          </cell>
        </row>
        <row r="5680">
          <cell r="B5680">
            <v>6.5729166666666186E-2</v>
          </cell>
          <cell r="C5680">
            <v>94</v>
          </cell>
        </row>
        <row r="5681">
          <cell r="B5681">
            <v>6.5740740740740267E-2</v>
          </cell>
          <cell r="C5681">
            <v>94</v>
          </cell>
        </row>
        <row r="5682">
          <cell r="B5682">
            <v>6.5752314814814347E-2</v>
          </cell>
          <cell r="C5682">
            <v>94</v>
          </cell>
        </row>
        <row r="5683">
          <cell r="B5683">
            <v>6.5763888888888428E-2</v>
          </cell>
          <cell r="C5683">
            <v>94</v>
          </cell>
        </row>
        <row r="5684">
          <cell r="B5684">
            <v>6.5775462962962508E-2</v>
          </cell>
          <cell r="C5684">
            <v>94</v>
          </cell>
        </row>
        <row r="5685">
          <cell r="B5685">
            <v>6.5787037037036589E-2</v>
          </cell>
          <cell r="C5685">
            <v>94</v>
          </cell>
        </row>
        <row r="5686">
          <cell r="B5686">
            <v>6.5798611111110669E-2</v>
          </cell>
          <cell r="C5686">
            <v>94</v>
          </cell>
        </row>
        <row r="5687">
          <cell r="B5687">
            <v>6.581018518518475E-2</v>
          </cell>
          <cell r="C5687">
            <v>94</v>
          </cell>
        </row>
        <row r="5688">
          <cell r="B5688">
            <v>6.582175925925883E-2</v>
          </cell>
          <cell r="C5688">
            <v>94</v>
          </cell>
        </row>
        <row r="5689">
          <cell r="B5689">
            <v>6.5833333333332911E-2</v>
          </cell>
          <cell r="C5689">
            <v>94</v>
          </cell>
        </row>
        <row r="5690">
          <cell r="B5690">
            <v>6.5844907407406991E-2</v>
          </cell>
          <cell r="C5690">
            <v>94</v>
          </cell>
        </row>
        <row r="5691">
          <cell r="B5691">
            <v>6.5856481481481072E-2</v>
          </cell>
          <cell r="C5691">
            <v>94</v>
          </cell>
        </row>
        <row r="5692">
          <cell r="B5692">
            <v>6.5868055555555152E-2</v>
          </cell>
          <cell r="C5692">
            <v>94</v>
          </cell>
        </row>
        <row r="5693">
          <cell r="B5693">
            <v>6.5879629629629233E-2</v>
          </cell>
          <cell r="C5693">
            <v>94</v>
          </cell>
        </row>
        <row r="5694">
          <cell r="B5694">
            <v>6.5891203703703313E-2</v>
          </cell>
          <cell r="C5694">
            <v>94</v>
          </cell>
        </row>
        <row r="5695">
          <cell r="B5695">
            <v>6.5902777777777394E-2</v>
          </cell>
          <cell r="C5695">
            <v>94</v>
          </cell>
        </row>
        <row r="5696">
          <cell r="B5696">
            <v>6.5914351851851474E-2</v>
          </cell>
          <cell r="C5696">
            <v>94</v>
          </cell>
        </row>
        <row r="5697">
          <cell r="B5697">
            <v>6.5925925925925555E-2</v>
          </cell>
          <cell r="C5697">
            <v>94</v>
          </cell>
        </row>
        <row r="5698">
          <cell r="B5698">
            <v>6.5937499999999635E-2</v>
          </cell>
          <cell r="C5698">
            <v>94</v>
          </cell>
        </row>
        <row r="5699">
          <cell r="B5699">
            <v>6.5949074074073716E-2</v>
          </cell>
          <cell r="C5699">
            <v>94</v>
          </cell>
        </row>
        <row r="5700">
          <cell r="B5700">
            <v>6.5960648148147796E-2</v>
          </cell>
          <cell r="C5700">
            <v>94</v>
          </cell>
        </row>
        <row r="5701">
          <cell r="B5701">
            <v>6.5972222222221877E-2</v>
          </cell>
          <cell r="C5701">
            <v>95</v>
          </cell>
        </row>
        <row r="5702">
          <cell r="B5702">
            <v>6.5983796296295957E-2</v>
          </cell>
          <cell r="C5702">
            <v>95</v>
          </cell>
        </row>
        <row r="5703">
          <cell r="B5703">
            <v>6.5995370370370038E-2</v>
          </cell>
          <cell r="C5703">
            <v>95</v>
          </cell>
        </row>
        <row r="5704">
          <cell r="B5704">
            <v>6.6006944444444118E-2</v>
          </cell>
          <cell r="C5704">
            <v>95</v>
          </cell>
        </row>
        <row r="5705">
          <cell r="B5705">
            <v>6.6018518518518199E-2</v>
          </cell>
          <cell r="C5705">
            <v>95</v>
          </cell>
        </row>
        <row r="5706">
          <cell r="B5706">
            <v>6.6030092592592279E-2</v>
          </cell>
          <cell r="C5706">
            <v>95</v>
          </cell>
        </row>
        <row r="5707">
          <cell r="B5707">
            <v>6.604166666666636E-2</v>
          </cell>
          <cell r="C5707">
            <v>95</v>
          </cell>
        </row>
        <row r="5708">
          <cell r="B5708">
            <v>6.605324074074044E-2</v>
          </cell>
          <cell r="C5708">
            <v>95</v>
          </cell>
        </row>
        <row r="5709">
          <cell r="B5709">
            <v>6.6064814814814521E-2</v>
          </cell>
          <cell r="C5709">
            <v>95</v>
          </cell>
        </row>
        <row r="5710">
          <cell r="B5710">
            <v>6.6076388888888601E-2</v>
          </cell>
          <cell r="C5710">
            <v>95</v>
          </cell>
        </row>
        <row r="5711">
          <cell r="B5711">
            <v>6.6087962962962682E-2</v>
          </cell>
          <cell r="C5711">
            <v>95</v>
          </cell>
        </row>
        <row r="5712">
          <cell r="B5712">
            <v>6.6099537037036762E-2</v>
          </cell>
          <cell r="C5712">
            <v>95</v>
          </cell>
        </row>
        <row r="5713">
          <cell r="B5713">
            <v>6.6111111111110843E-2</v>
          </cell>
          <cell r="C5713">
            <v>95</v>
          </cell>
        </row>
        <row r="5714">
          <cell r="B5714">
            <v>6.6122685185184923E-2</v>
          </cell>
          <cell r="C5714">
            <v>95</v>
          </cell>
        </row>
        <row r="5715">
          <cell r="B5715">
            <v>6.6134259259259004E-2</v>
          </cell>
          <cell r="C5715">
            <v>95</v>
          </cell>
        </row>
        <row r="5716">
          <cell r="B5716">
            <v>6.6145833333333084E-2</v>
          </cell>
          <cell r="C5716">
            <v>95</v>
          </cell>
        </row>
        <row r="5717">
          <cell r="B5717">
            <v>6.6157407407407165E-2</v>
          </cell>
          <cell r="C5717">
            <v>95</v>
          </cell>
        </row>
        <row r="5718">
          <cell r="B5718">
            <v>6.6168981481481245E-2</v>
          </cell>
          <cell r="C5718">
            <v>95</v>
          </cell>
        </row>
        <row r="5719">
          <cell r="B5719">
            <v>6.6180555555555326E-2</v>
          </cell>
          <cell r="C5719">
            <v>95</v>
          </cell>
        </row>
        <row r="5720">
          <cell r="B5720">
            <v>6.6192129629629406E-2</v>
          </cell>
          <cell r="C5720">
            <v>95</v>
          </cell>
        </row>
        <row r="5721">
          <cell r="B5721">
            <v>6.6203703703703487E-2</v>
          </cell>
          <cell r="C5721">
            <v>95</v>
          </cell>
        </row>
        <row r="5722">
          <cell r="B5722">
            <v>6.6215277777777568E-2</v>
          </cell>
          <cell r="C5722">
            <v>95</v>
          </cell>
        </row>
        <row r="5723">
          <cell r="B5723">
            <v>6.6226851851851648E-2</v>
          </cell>
          <cell r="C5723">
            <v>95</v>
          </cell>
        </row>
        <row r="5724">
          <cell r="B5724">
            <v>6.6238425925925729E-2</v>
          </cell>
          <cell r="C5724">
            <v>95</v>
          </cell>
        </row>
        <row r="5725">
          <cell r="B5725">
            <v>6.6249999999999809E-2</v>
          </cell>
          <cell r="C5725">
            <v>95</v>
          </cell>
        </row>
        <row r="5726">
          <cell r="B5726">
            <v>6.626157407407389E-2</v>
          </cell>
          <cell r="C5726">
            <v>95</v>
          </cell>
        </row>
        <row r="5727">
          <cell r="B5727">
            <v>6.627314814814797E-2</v>
          </cell>
          <cell r="C5727">
            <v>95</v>
          </cell>
        </row>
        <row r="5728">
          <cell r="B5728">
            <v>6.6284722222222051E-2</v>
          </cell>
          <cell r="C5728">
            <v>95</v>
          </cell>
        </row>
        <row r="5729">
          <cell r="B5729">
            <v>6.6296296296296131E-2</v>
          </cell>
          <cell r="C5729">
            <v>95</v>
          </cell>
        </row>
        <row r="5730">
          <cell r="B5730">
            <v>6.6307870370370212E-2</v>
          </cell>
          <cell r="C5730">
            <v>95</v>
          </cell>
        </row>
        <row r="5731">
          <cell r="B5731">
            <v>6.6319444444444292E-2</v>
          </cell>
          <cell r="C5731">
            <v>95</v>
          </cell>
        </row>
        <row r="5732">
          <cell r="B5732">
            <v>6.6331018518518373E-2</v>
          </cell>
          <cell r="C5732">
            <v>95</v>
          </cell>
        </row>
        <row r="5733">
          <cell r="B5733">
            <v>6.6342592592592453E-2</v>
          </cell>
          <cell r="C5733">
            <v>95</v>
          </cell>
        </row>
        <row r="5734">
          <cell r="B5734">
            <v>6.6354166666666534E-2</v>
          </cell>
          <cell r="C5734">
            <v>95</v>
          </cell>
        </row>
        <row r="5735">
          <cell r="B5735">
            <v>6.6365740740740614E-2</v>
          </cell>
          <cell r="C5735">
            <v>95</v>
          </cell>
        </row>
        <row r="5736">
          <cell r="B5736">
            <v>6.6377314814814695E-2</v>
          </cell>
          <cell r="C5736">
            <v>95</v>
          </cell>
        </row>
        <row r="5737">
          <cell r="B5737">
            <v>6.6388888888888775E-2</v>
          </cell>
          <cell r="C5737">
            <v>95</v>
          </cell>
        </row>
        <row r="5738">
          <cell r="B5738">
            <v>6.6400462962962856E-2</v>
          </cell>
          <cell r="C5738">
            <v>95</v>
          </cell>
        </row>
        <row r="5739">
          <cell r="B5739">
            <v>6.6412037037036936E-2</v>
          </cell>
          <cell r="C5739">
            <v>95</v>
          </cell>
        </row>
        <row r="5740">
          <cell r="B5740">
            <v>6.6423611111111017E-2</v>
          </cell>
          <cell r="C5740">
            <v>95</v>
          </cell>
        </row>
        <row r="5741">
          <cell r="B5741">
            <v>6.6435185185185097E-2</v>
          </cell>
          <cell r="C5741">
            <v>95</v>
          </cell>
        </row>
        <row r="5742">
          <cell r="B5742">
            <v>6.6446759259259178E-2</v>
          </cell>
          <cell r="C5742">
            <v>95</v>
          </cell>
        </row>
        <row r="5743">
          <cell r="B5743">
            <v>6.6458333333333258E-2</v>
          </cell>
          <cell r="C5743">
            <v>95</v>
          </cell>
        </row>
        <row r="5744">
          <cell r="B5744">
            <v>6.6469907407407339E-2</v>
          </cell>
          <cell r="C5744">
            <v>95</v>
          </cell>
        </row>
        <row r="5745">
          <cell r="B5745">
            <v>6.6481481481481419E-2</v>
          </cell>
          <cell r="C5745">
            <v>95</v>
          </cell>
        </row>
        <row r="5746">
          <cell r="B5746">
            <v>6.64930555555555E-2</v>
          </cell>
          <cell r="C5746">
            <v>95</v>
          </cell>
        </row>
        <row r="5747">
          <cell r="B5747">
            <v>6.650462962962958E-2</v>
          </cell>
          <cell r="C5747">
            <v>95</v>
          </cell>
        </row>
        <row r="5748">
          <cell r="B5748">
            <v>6.6516203703703661E-2</v>
          </cell>
          <cell r="C5748">
            <v>95</v>
          </cell>
        </row>
        <row r="5749">
          <cell r="B5749">
            <v>6.6527777777777741E-2</v>
          </cell>
          <cell r="C5749">
            <v>95</v>
          </cell>
        </row>
        <row r="5750">
          <cell r="B5750">
            <v>6.6539351851851822E-2</v>
          </cell>
          <cell r="C5750">
            <v>95</v>
          </cell>
        </row>
        <row r="5751">
          <cell r="B5751">
            <v>6.6550925925925902E-2</v>
          </cell>
          <cell r="C5751">
            <v>95</v>
          </cell>
        </row>
        <row r="5752">
          <cell r="B5752">
            <v>6.6562499999999983E-2</v>
          </cell>
          <cell r="C5752">
            <v>95</v>
          </cell>
        </row>
        <row r="5753">
          <cell r="B5753">
            <v>6.6574074074074063E-2</v>
          </cell>
          <cell r="C5753">
            <v>95</v>
          </cell>
        </row>
        <row r="5754">
          <cell r="B5754">
            <v>6.6585648148148144E-2</v>
          </cell>
          <cell r="C5754">
            <v>95</v>
          </cell>
        </row>
        <row r="5755">
          <cell r="B5755">
            <v>6.6597222222222224E-2</v>
          </cell>
          <cell r="C5755">
            <v>95</v>
          </cell>
        </row>
        <row r="5756">
          <cell r="B5756">
            <v>6.6608796296296305E-2</v>
          </cell>
          <cell r="C5756">
            <v>95</v>
          </cell>
        </row>
        <row r="5757">
          <cell r="B5757">
            <v>6.6620370370370385E-2</v>
          </cell>
          <cell r="C5757">
            <v>95</v>
          </cell>
        </row>
        <row r="5758">
          <cell r="B5758">
            <v>6.6631944444444466E-2</v>
          </cell>
          <cell r="C5758">
            <v>95</v>
          </cell>
        </row>
        <row r="5759">
          <cell r="B5759">
            <v>6.6643518518518546E-2</v>
          </cell>
          <cell r="C5759">
            <v>95</v>
          </cell>
        </row>
        <row r="5760">
          <cell r="B5760">
            <v>6.6655092592592627E-2</v>
          </cell>
          <cell r="C5760">
            <v>95</v>
          </cell>
        </row>
        <row r="5761">
          <cell r="B5761">
            <v>6.6666666666666707E-2</v>
          </cell>
          <cell r="C5761">
            <v>96</v>
          </cell>
        </row>
        <row r="5762">
          <cell r="B5762">
            <v>6.6678240740740788E-2</v>
          </cell>
          <cell r="C5762">
            <v>96</v>
          </cell>
        </row>
        <row r="5763">
          <cell r="B5763">
            <v>6.6689814814814868E-2</v>
          </cell>
          <cell r="C5763">
            <v>96</v>
          </cell>
        </row>
        <row r="5764">
          <cell r="B5764">
            <v>6.6701388888888949E-2</v>
          </cell>
          <cell r="C5764">
            <v>96</v>
          </cell>
        </row>
        <row r="5765">
          <cell r="B5765">
            <v>6.6712962962963029E-2</v>
          </cell>
          <cell r="C5765">
            <v>96</v>
          </cell>
        </row>
        <row r="5766">
          <cell r="B5766">
            <v>6.672453703703711E-2</v>
          </cell>
          <cell r="C5766">
            <v>96</v>
          </cell>
        </row>
        <row r="5767">
          <cell r="B5767">
            <v>6.673611111111119E-2</v>
          </cell>
          <cell r="C5767">
            <v>96</v>
          </cell>
        </row>
        <row r="5768">
          <cell r="B5768">
            <v>6.6747685185185271E-2</v>
          </cell>
          <cell r="C5768">
            <v>96</v>
          </cell>
        </row>
        <row r="5769">
          <cell r="B5769">
            <v>6.6759259259259351E-2</v>
          </cell>
          <cell r="C5769">
            <v>96</v>
          </cell>
        </row>
        <row r="5770">
          <cell r="B5770">
            <v>6.6770833333333432E-2</v>
          </cell>
          <cell r="C5770">
            <v>96</v>
          </cell>
        </row>
        <row r="5771">
          <cell r="B5771">
            <v>6.6782407407407512E-2</v>
          </cell>
          <cell r="C5771">
            <v>96</v>
          </cell>
        </row>
        <row r="5772">
          <cell r="B5772">
            <v>6.6793981481481593E-2</v>
          </cell>
          <cell r="C5772">
            <v>96</v>
          </cell>
        </row>
        <row r="5773">
          <cell r="B5773">
            <v>6.6805555555555673E-2</v>
          </cell>
          <cell r="C5773">
            <v>96</v>
          </cell>
        </row>
        <row r="5774">
          <cell r="B5774">
            <v>6.6817129629629754E-2</v>
          </cell>
          <cell r="C5774">
            <v>96</v>
          </cell>
        </row>
        <row r="5775">
          <cell r="B5775">
            <v>6.6828703703703835E-2</v>
          </cell>
          <cell r="C5775">
            <v>96</v>
          </cell>
        </row>
        <row r="5776">
          <cell r="B5776">
            <v>6.6840277777777915E-2</v>
          </cell>
          <cell r="C5776">
            <v>96</v>
          </cell>
        </row>
        <row r="5777">
          <cell r="B5777">
            <v>6.6851851851851996E-2</v>
          </cell>
          <cell r="C5777">
            <v>96</v>
          </cell>
        </row>
        <row r="5778">
          <cell r="B5778">
            <v>6.6863425925926076E-2</v>
          </cell>
          <cell r="C5778">
            <v>96</v>
          </cell>
        </row>
        <row r="5779">
          <cell r="B5779">
            <v>6.6875000000000157E-2</v>
          </cell>
          <cell r="C5779">
            <v>96</v>
          </cell>
        </row>
        <row r="5780">
          <cell r="B5780">
            <v>6.6886574074074237E-2</v>
          </cell>
          <cell r="C5780">
            <v>96</v>
          </cell>
        </row>
        <row r="5781">
          <cell r="B5781">
            <v>6.6898148148148318E-2</v>
          </cell>
          <cell r="C5781">
            <v>96</v>
          </cell>
        </row>
        <row r="5782">
          <cell r="B5782">
            <v>6.6909722222222398E-2</v>
          </cell>
          <cell r="C5782">
            <v>96</v>
          </cell>
        </row>
        <row r="5783">
          <cell r="B5783">
            <v>6.6921296296296479E-2</v>
          </cell>
          <cell r="C5783">
            <v>96</v>
          </cell>
        </row>
        <row r="5784">
          <cell r="B5784">
            <v>6.6932870370370559E-2</v>
          </cell>
          <cell r="C5784">
            <v>96</v>
          </cell>
        </row>
        <row r="5785">
          <cell r="B5785">
            <v>6.694444444444464E-2</v>
          </cell>
          <cell r="C5785">
            <v>96</v>
          </cell>
        </row>
        <row r="5786">
          <cell r="B5786">
            <v>6.695601851851872E-2</v>
          </cell>
          <cell r="C5786">
            <v>96</v>
          </cell>
        </row>
        <row r="5787">
          <cell r="B5787">
            <v>6.6967592592592801E-2</v>
          </cell>
          <cell r="C5787">
            <v>96</v>
          </cell>
        </row>
        <row r="5788">
          <cell r="B5788">
            <v>6.6979166666666881E-2</v>
          </cell>
          <cell r="C5788">
            <v>96</v>
          </cell>
        </row>
        <row r="5789">
          <cell r="B5789">
            <v>6.6990740740740962E-2</v>
          </cell>
          <cell r="C5789">
            <v>96</v>
          </cell>
        </row>
        <row r="5790">
          <cell r="B5790">
            <v>6.7002314814815042E-2</v>
          </cell>
          <cell r="C5790">
            <v>96</v>
          </cell>
        </row>
        <row r="5791">
          <cell r="B5791">
            <v>6.7013888888889123E-2</v>
          </cell>
          <cell r="C5791">
            <v>96</v>
          </cell>
        </row>
        <row r="5792">
          <cell r="B5792">
            <v>6.7025462962963203E-2</v>
          </cell>
          <cell r="C5792">
            <v>96</v>
          </cell>
        </row>
        <row r="5793">
          <cell r="B5793">
            <v>6.7037037037037284E-2</v>
          </cell>
          <cell r="C5793">
            <v>96</v>
          </cell>
        </row>
        <row r="5794">
          <cell r="B5794">
            <v>6.7048611111111364E-2</v>
          </cell>
          <cell r="C5794">
            <v>96</v>
          </cell>
        </row>
        <row r="5795">
          <cell r="B5795">
            <v>6.7060185185185445E-2</v>
          </cell>
          <cell r="C5795">
            <v>96</v>
          </cell>
        </row>
        <row r="5796">
          <cell r="B5796">
            <v>6.7071759259259525E-2</v>
          </cell>
          <cell r="C5796">
            <v>96</v>
          </cell>
        </row>
        <row r="5797">
          <cell r="B5797">
            <v>6.7083333333333606E-2</v>
          </cell>
          <cell r="C5797">
            <v>96</v>
          </cell>
        </row>
        <row r="5798">
          <cell r="B5798">
            <v>6.7094907407407686E-2</v>
          </cell>
          <cell r="C5798">
            <v>96</v>
          </cell>
        </row>
        <row r="5799">
          <cell r="B5799">
            <v>6.7106481481481767E-2</v>
          </cell>
          <cell r="C5799">
            <v>96</v>
          </cell>
        </row>
        <row r="5800">
          <cell r="B5800">
            <v>6.7118055555555847E-2</v>
          </cell>
          <cell r="C5800">
            <v>96</v>
          </cell>
        </row>
        <row r="5801">
          <cell r="B5801">
            <v>6.7129629629629928E-2</v>
          </cell>
          <cell r="C5801">
            <v>96</v>
          </cell>
        </row>
        <row r="5802">
          <cell r="B5802">
            <v>6.7141203703704008E-2</v>
          </cell>
          <cell r="C5802">
            <v>96</v>
          </cell>
        </row>
        <row r="5803">
          <cell r="B5803">
            <v>6.7152777777778089E-2</v>
          </cell>
          <cell r="C5803">
            <v>96</v>
          </cell>
        </row>
        <row r="5804">
          <cell r="B5804">
            <v>6.7164351851852169E-2</v>
          </cell>
          <cell r="C5804">
            <v>96</v>
          </cell>
        </row>
        <row r="5805">
          <cell r="B5805">
            <v>6.717592592592625E-2</v>
          </cell>
          <cell r="C5805">
            <v>96</v>
          </cell>
        </row>
        <row r="5806">
          <cell r="B5806">
            <v>6.718750000000033E-2</v>
          </cell>
          <cell r="C5806">
            <v>96</v>
          </cell>
        </row>
        <row r="5807">
          <cell r="B5807">
            <v>6.7199074074074411E-2</v>
          </cell>
          <cell r="C5807">
            <v>96</v>
          </cell>
        </row>
        <row r="5808">
          <cell r="B5808">
            <v>6.7210648148148491E-2</v>
          </cell>
          <cell r="C5808">
            <v>96</v>
          </cell>
        </row>
        <row r="5809">
          <cell r="B5809">
            <v>6.7222222222222572E-2</v>
          </cell>
          <cell r="C5809">
            <v>96</v>
          </cell>
        </row>
        <row r="5810">
          <cell r="B5810">
            <v>6.7233796296296652E-2</v>
          </cell>
          <cell r="C5810">
            <v>96</v>
          </cell>
        </row>
        <row r="5811">
          <cell r="B5811">
            <v>6.7245370370370733E-2</v>
          </cell>
          <cell r="C5811">
            <v>96</v>
          </cell>
        </row>
        <row r="5812">
          <cell r="B5812">
            <v>6.7256944444444813E-2</v>
          </cell>
          <cell r="C5812">
            <v>96</v>
          </cell>
        </row>
        <row r="5813">
          <cell r="B5813">
            <v>6.7268518518518894E-2</v>
          </cell>
          <cell r="C5813">
            <v>96</v>
          </cell>
        </row>
        <row r="5814">
          <cell r="B5814">
            <v>6.7280092592592974E-2</v>
          </cell>
          <cell r="C5814">
            <v>96</v>
          </cell>
        </row>
        <row r="5815">
          <cell r="B5815">
            <v>6.7291666666667055E-2</v>
          </cell>
          <cell r="C5815">
            <v>96</v>
          </cell>
        </row>
        <row r="5816">
          <cell r="B5816">
            <v>6.7303240740741135E-2</v>
          </cell>
          <cell r="C5816">
            <v>96</v>
          </cell>
        </row>
        <row r="5817">
          <cell r="B5817">
            <v>6.7314814814815216E-2</v>
          </cell>
          <cell r="C5817">
            <v>96</v>
          </cell>
        </row>
        <row r="5818">
          <cell r="B5818">
            <v>6.7326388888889296E-2</v>
          </cell>
          <cell r="C5818">
            <v>96</v>
          </cell>
        </row>
        <row r="5819">
          <cell r="B5819">
            <v>6.7337962962963377E-2</v>
          </cell>
          <cell r="C5819">
            <v>96</v>
          </cell>
        </row>
        <row r="5820">
          <cell r="B5820">
            <v>6.7349537037037457E-2</v>
          </cell>
          <cell r="C5820">
            <v>96</v>
          </cell>
        </row>
        <row r="5821">
          <cell r="B5821">
            <v>6.7361111111111538E-2</v>
          </cell>
          <cell r="C5821">
            <v>97</v>
          </cell>
        </row>
        <row r="5822">
          <cell r="B5822">
            <v>6.7372685185185618E-2</v>
          </cell>
          <cell r="C5822">
            <v>97</v>
          </cell>
        </row>
        <row r="5823">
          <cell r="B5823">
            <v>6.7384259259259699E-2</v>
          </cell>
          <cell r="C5823">
            <v>97</v>
          </cell>
        </row>
        <row r="5824">
          <cell r="B5824">
            <v>6.7395833333333779E-2</v>
          </cell>
          <cell r="C5824">
            <v>97</v>
          </cell>
        </row>
        <row r="5825">
          <cell r="B5825">
            <v>6.740740740740786E-2</v>
          </cell>
          <cell r="C5825">
            <v>97</v>
          </cell>
        </row>
        <row r="5826">
          <cell r="B5826">
            <v>6.741898148148194E-2</v>
          </cell>
          <cell r="C5826">
            <v>97</v>
          </cell>
        </row>
        <row r="5827">
          <cell r="B5827">
            <v>6.7430555555556021E-2</v>
          </cell>
          <cell r="C5827">
            <v>97</v>
          </cell>
        </row>
        <row r="5828">
          <cell r="B5828">
            <v>6.7442129629630101E-2</v>
          </cell>
          <cell r="C5828">
            <v>97</v>
          </cell>
        </row>
        <row r="5829">
          <cell r="B5829">
            <v>6.7453703703704182E-2</v>
          </cell>
          <cell r="C5829">
            <v>97</v>
          </cell>
        </row>
        <row r="5830">
          <cell r="B5830">
            <v>6.7465277777778263E-2</v>
          </cell>
          <cell r="C5830">
            <v>97</v>
          </cell>
        </row>
        <row r="5831">
          <cell r="B5831">
            <v>6.7476851851852343E-2</v>
          </cell>
          <cell r="C5831">
            <v>97</v>
          </cell>
        </row>
        <row r="5832">
          <cell r="B5832">
            <v>6.7488425925926424E-2</v>
          </cell>
          <cell r="C5832">
            <v>97</v>
          </cell>
        </row>
        <row r="5833">
          <cell r="B5833">
            <v>6.7500000000000504E-2</v>
          </cell>
          <cell r="C5833">
            <v>97</v>
          </cell>
        </row>
        <row r="5834">
          <cell r="B5834">
            <v>6.7511574074074585E-2</v>
          </cell>
          <cell r="C5834">
            <v>97</v>
          </cell>
        </row>
        <row r="5835">
          <cell r="B5835">
            <v>6.7523148148148665E-2</v>
          </cell>
          <cell r="C5835">
            <v>97</v>
          </cell>
        </row>
        <row r="5836">
          <cell r="B5836">
            <v>6.7534722222222746E-2</v>
          </cell>
          <cell r="C5836">
            <v>97</v>
          </cell>
        </row>
        <row r="5837">
          <cell r="B5837">
            <v>6.7546296296296826E-2</v>
          </cell>
          <cell r="C5837">
            <v>97</v>
          </cell>
        </row>
        <row r="5838">
          <cell r="B5838">
            <v>6.7557870370370907E-2</v>
          </cell>
          <cell r="C5838">
            <v>97</v>
          </cell>
        </row>
        <row r="5839">
          <cell r="B5839">
            <v>6.7569444444444987E-2</v>
          </cell>
          <cell r="C5839">
            <v>97</v>
          </cell>
        </row>
        <row r="5840">
          <cell r="B5840">
            <v>6.7581018518519068E-2</v>
          </cell>
          <cell r="C5840">
            <v>97</v>
          </cell>
        </row>
        <row r="5841">
          <cell r="B5841">
            <v>6.7592592592593148E-2</v>
          </cell>
          <cell r="C5841">
            <v>97</v>
          </cell>
        </row>
        <row r="5842">
          <cell r="B5842">
            <v>6.7604166666667229E-2</v>
          </cell>
          <cell r="C5842">
            <v>97</v>
          </cell>
        </row>
        <row r="5843">
          <cell r="B5843">
            <v>6.7615740740741309E-2</v>
          </cell>
          <cell r="C5843">
            <v>97</v>
          </cell>
        </row>
        <row r="5844">
          <cell r="B5844">
            <v>6.762731481481539E-2</v>
          </cell>
          <cell r="C5844">
            <v>97</v>
          </cell>
        </row>
        <row r="5845">
          <cell r="B5845">
            <v>6.763888888888947E-2</v>
          </cell>
          <cell r="C5845">
            <v>97</v>
          </cell>
        </row>
        <row r="5846">
          <cell r="B5846">
            <v>6.7650462962963551E-2</v>
          </cell>
          <cell r="C5846">
            <v>97</v>
          </cell>
        </row>
        <row r="5847">
          <cell r="B5847">
            <v>6.7662037037037631E-2</v>
          </cell>
          <cell r="C5847">
            <v>97</v>
          </cell>
        </row>
        <row r="5848">
          <cell r="B5848">
            <v>6.7673611111111712E-2</v>
          </cell>
          <cell r="C5848">
            <v>97</v>
          </cell>
        </row>
        <row r="5849">
          <cell r="B5849">
            <v>6.7685185185185792E-2</v>
          </cell>
          <cell r="C5849">
            <v>97</v>
          </cell>
        </row>
        <row r="5850">
          <cell r="B5850">
            <v>6.7696759259259873E-2</v>
          </cell>
          <cell r="C5850">
            <v>97</v>
          </cell>
        </row>
        <row r="5851">
          <cell r="B5851">
            <v>6.7708333333333953E-2</v>
          </cell>
          <cell r="C5851">
            <v>97</v>
          </cell>
        </row>
        <row r="5852">
          <cell r="B5852">
            <v>6.7719907407408034E-2</v>
          </cell>
          <cell r="C5852">
            <v>97</v>
          </cell>
        </row>
        <row r="5853">
          <cell r="B5853">
            <v>6.7731481481482114E-2</v>
          </cell>
          <cell r="C5853">
            <v>97</v>
          </cell>
        </row>
        <row r="5854">
          <cell r="B5854">
            <v>6.7743055555556195E-2</v>
          </cell>
          <cell r="C5854">
            <v>97</v>
          </cell>
        </row>
        <row r="5855">
          <cell r="B5855">
            <v>6.7754629629630275E-2</v>
          </cell>
          <cell r="C5855">
            <v>97</v>
          </cell>
        </row>
        <row r="5856">
          <cell r="B5856">
            <v>6.7766203703704356E-2</v>
          </cell>
          <cell r="C5856">
            <v>97</v>
          </cell>
        </row>
        <row r="5857">
          <cell r="B5857">
            <v>6.7777777777778436E-2</v>
          </cell>
          <cell r="C5857">
            <v>97</v>
          </cell>
        </row>
        <row r="5858">
          <cell r="B5858">
            <v>6.7789351851852517E-2</v>
          </cell>
          <cell r="C5858">
            <v>97</v>
          </cell>
        </row>
        <row r="5859">
          <cell r="B5859">
            <v>6.7800925925926597E-2</v>
          </cell>
          <cell r="C5859">
            <v>97</v>
          </cell>
        </row>
        <row r="5860">
          <cell r="B5860">
            <v>6.7812500000000678E-2</v>
          </cell>
          <cell r="C5860">
            <v>97</v>
          </cell>
        </row>
        <row r="5861">
          <cell r="B5861">
            <v>6.7824074074074758E-2</v>
          </cell>
          <cell r="C5861">
            <v>97</v>
          </cell>
        </row>
        <row r="5862">
          <cell r="B5862">
            <v>6.7835648148148839E-2</v>
          </cell>
          <cell r="C5862">
            <v>97</v>
          </cell>
        </row>
        <row r="5863">
          <cell r="B5863">
            <v>6.7847222222222919E-2</v>
          </cell>
          <cell r="C5863">
            <v>97</v>
          </cell>
        </row>
        <row r="5864">
          <cell r="B5864">
            <v>6.7858796296297E-2</v>
          </cell>
          <cell r="C5864">
            <v>97</v>
          </cell>
        </row>
        <row r="5865">
          <cell r="B5865">
            <v>6.787037037037108E-2</v>
          </cell>
          <cell r="C5865">
            <v>97</v>
          </cell>
        </row>
        <row r="5866">
          <cell r="B5866">
            <v>6.7881944444445161E-2</v>
          </cell>
          <cell r="C5866">
            <v>97</v>
          </cell>
        </row>
        <row r="5867">
          <cell r="B5867">
            <v>6.7893518518519241E-2</v>
          </cell>
          <cell r="C5867">
            <v>97</v>
          </cell>
        </row>
        <row r="5868">
          <cell r="B5868">
            <v>6.7905092592593322E-2</v>
          </cell>
          <cell r="C5868">
            <v>97</v>
          </cell>
        </row>
        <row r="5869">
          <cell r="B5869">
            <v>6.7916666666667402E-2</v>
          </cell>
          <cell r="C5869">
            <v>97</v>
          </cell>
        </row>
        <row r="5870">
          <cell r="B5870">
            <v>6.7928240740741483E-2</v>
          </cell>
          <cell r="C5870">
            <v>97</v>
          </cell>
        </row>
        <row r="5871">
          <cell r="B5871">
            <v>6.7939814814815563E-2</v>
          </cell>
          <cell r="C5871">
            <v>97</v>
          </cell>
        </row>
        <row r="5872">
          <cell r="B5872">
            <v>6.7951388888889644E-2</v>
          </cell>
          <cell r="C5872">
            <v>97</v>
          </cell>
        </row>
        <row r="5873">
          <cell r="B5873">
            <v>6.7962962962963724E-2</v>
          </cell>
          <cell r="C5873">
            <v>97</v>
          </cell>
        </row>
        <row r="5874">
          <cell r="B5874">
            <v>6.7974537037037805E-2</v>
          </cell>
          <cell r="C5874">
            <v>97</v>
          </cell>
        </row>
        <row r="5875">
          <cell r="B5875">
            <v>6.7986111111111885E-2</v>
          </cell>
          <cell r="C5875">
            <v>97</v>
          </cell>
        </row>
        <row r="5876">
          <cell r="B5876">
            <v>6.7997685185185966E-2</v>
          </cell>
          <cell r="C5876">
            <v>97</v>
          </cell>
        </row>
        <row r="5877">
          <cell r="B5877">
            <v>6.8009259259260046E-2</v>
          </cell>
          <cell r="C5877">
            <v>97</v>
          </cell>
        </row>
        <row r="5878">
          <cell r="B5878">
            <v>6.8020833333334127E-2</v>
          </cell>
          <cell r="C5878">
            <v>97</v>
          </cell>
        </row>
        <row r="5879">
          <cell r="B5879">
            <v>6.8032407407408207E-2</v>
          </cell>
          <cell r="C5879">
            <v>97</v>
          </cell>
        </row>
        <row r="5880">
          <cell r="B5880">
            <v>6.8043981481482288E-2</v>
          </cell>
          <cell r="C5880">
            <v>97</v>
          </cell>
        </row>
        <row r="5881">
          <cell r="B5881">
            <v>6.8055555555556368E-2</v>
          </cell>
          <cell r="C5881">
            <v>98</v>
          </cell>
        </row>
        <row r="5882">
          <cell r="B5882">
            <v>6.8067129629630449E-2</v>
          </cell>
          <cell r="C5882">
            <v>98</v>
          </cell>
        </row>
        <row r="5883">
          <cell r="B5883">
            <v>6.807870370370453E-2</v>
          </cell>
          <cell r="C5883">
            <v>98</v>
          </cell>
        </row>
        <row r="5884">
          <cell r="B5884">
            <v>6.809027777777861E-2</v>
          </cell>
          <cell r="C5884">
            <v>98</v>
          </cell>
        </row>
        <row r="5885">
          <cell r="B5885">
            <v>6.8101851851852691E-2</v>
          </cell>
          <cell r="C5885">
            <v>98</v>
          </cell>
        </row>
        <row r="5886">
          <cell r="B5886">
            <v>6.8113425925926771E-2</v>
          </cell>
          <cell r="C5886">
            <v>98</v>
          </cell>
        </row>
        <row r="5887">
          <cell r="B5887">
            <v>6.8125000000000852E-2</v>
          </cell>
          <cell r="C5887">
            <v>98</v>
          </cell>
        </row>
        <row r="5888">
          <cell r="B5888">
            <v>6.8136574074074932E-2</v>
          </cell>
          <cell r="C5888">
            <v>98</v>
          </cell>
        </row>
        <row r="5889">
          <cell r="B5889">
            <v>6.8148148148149013E-2</v>
          </cell>
          <cell r="C5889">
            <v>98</v>
          </cell>
        </row>
        <row r="5890">
          <cell r="B5890">
            <v>6.8159722222223093E-2</v>
          </cell>
          <cell r="C5890">
            <v>98</v>
          </cell>
        </row>
        <row r="5891">
          <cell r="B5891">
            <v>6.8171296296297174E-2</v>
          </cell>
          <cell r="C5891">
            <v>98</v>
          </cell>
        </row>
        <row r="5892">
          <cell r="B5892">
            <v>6.8182870370371254E-2</v>
          </cell>
          <cell r="C5892">
            <v>98</v>
          </cell>
        </row>
        <row r="5893">
          <cell r="B5893">
            <v>6.8194444444445335E-2</v>
          </cell>
          <cell r="C5893">
            <v>98</v>
          </cell>
        </row>
        <row r="5894">
          <cell r="B5894">
            <v>6.8206018518519415E-2</v>
          </cell>
          <cell r="C5894">
            <v>98</v>
          </cell>
        </row>
        <row r="5895">
          <cell r="B5895">
            <v>6.8217592592593496E-2</v>
          </cell>
          <cell r="C5895">
            <v>98</v>
          </cell>
        </row>
        <row r="5896">
          <cell r="B5896">
            <v>6.8229166666667576E-2</v>
          </cell>
          <cell r="C5896">
            <v>98</v>
          </cell>
        </row>
        <row r="5897">
          <cell r="B5897">
            <v>6.8240740740741657E-2</v>
          </cell>
          <cell r="C5897">
            <v>98</v>
          </cell>
        </row>
        <row r="5898">
          <cell r="B5898">
            <v>6.8252314814815737E-2</v>
          </cell>
          <cell r="C5898">
            <v>98</v>
          </cell>
        </row>
        <row r="5899">
          <cell r="B5899">
            <v>6.8263888888889818E-2</v>
          </cell>
          <cell r="C5899">
            <v>98</v>
          </cell>
        </row>
        <row r="5900">
          <cell r="B5900">
            <v>6.8275462962963898E-2</v>
          </cell>
          <cell r="C5900">
            <v>98</v>
          </cell>
        </row>
        <row r="5901">
          <cell r="B5901">
            <v>6.8287037037037979E-2</v>
          </cell>
          <cell r="C5901">
            <v>98</v>
          </cell>
        </row>
        <row r="5902">
          <cell r="B5902">
            <v>6.8298611111112059E-2</v>
          </cell>
          <cell r="C5902">
            <v>98</v>
          </cell>
        </row>
        <row r="5903">
          <cell r="B5903">
            <v>6.831018518518614E-2</v>
          </cell>
          <cell r="C5903">
            <v>98</v>
          </cell>
        </row>
        <row r="5904">
          <cell r="B5904">
            <v>6.832175925926022E-2</v>
          </cell>
          <cell r="C5904">
            <v>98</v>
          </cell>
        </row>
        <row r="5905">
          <cell r="B5905">
            <v>6.8333333333334301E-2</v>
          </cell>
          <cell r="C5905">
            <v>98</v>
          </cell>
        </row>
        <row r="5906">
          <cell r="B5906">
            <v>6.8344907407408381E-2</v>
          </cell>
          <cell r="C5906">
            <v>98</v>
          </cell>
        </row>
        <row r="5907">
          <cell r="B5907">
            <v>6.8356481481482462E-2</v>
          </cell>
          <cell r="C5907">
            <v>98</v>
          </cell>
        </row>
        <row r="5908">
          <cell r="B5908">
            <v>6.8368055555556542E-2</v>
          </cell>
          <cell r="C5908">
            <v>98</v>
          </cell>
        </row>
        <row r="5909">
          <cell r="B5909">
            <v>6.8379629629630623E-2</v>
          </cell>
          <cell r="C5909">
            <v>98</v>
          </cell>
        </row>
        <row r="5910">
          <cell r="B5910">
            <v>6.8391203703704703E-2</v>
          </cell>
          <cell r="C5910">
            <v>98</v>
          </cell>
        </row>
        <row r="5911">
          <cell r="B5911">
            <v>6.8402777777778784E-2</v>
          </cell>
          <cell r="C5911">
            <v>98</v>
          </cell>
        </row>
        <row r="5912">
          <cell r="B5912">
            <v>6.8414351851852864E-2</v>
          </cell>
          <cell r="C5912">
            <v>98</v>
          </cell>
        </row>
        <row r="5913">
          <cell r="B5913">
            <v>6.8425925925926945E-2</v>
          </cell>
          <cell r="C5913">
            <v>98</v>
          </cell>
        </row>
        <row r="5914">
          <cell r="B5914">
            <v>6.8437500000001025E-2</v>
          </cell>
          <cell r="C5914">
            <v>98</v>
          </cell>
        </row>
        <row r="5915">
          <cell r="B5915">
            <v>6.8449074074075106E-2</v>
          </cell>
          <cell r="C5915">
            <v>98</v>
          </cell>
        </row>
        <row r="5916">
          <cell r="B5916">
            <v>6.8460648148149186E-2</v>
          </cell>
          <cell r="C5916">
            <v>98</v>
          </cell>
        </row>
        <row r="5917">
          <cell r="B5917">
            <v>6.8472222222223267E-2</v>
          </cell>
          <cell r="C5917">
            <v>98</v>
          </cell>
        </row>
        <row r="5918">
          <cell r="B5918">
            <v>6.8483796296297347E-2</v>
          </cell>
          <cell r="C5918">
            <v>98</v>
          </cell>
        </row>
        <row r="5919">
          <cell r="B5919">
            <v>6.8495370370371428E-2</v>
          </cell>
          <cell r="C5919">
            <v>98</v>
          </cell>
        </row>
        <row r="5920">
          <cell r="B5920">
            <v>6.8506944444445508E-2</v>
          </cell>
          <cell r="C5920">
            <v>98</v>
          </cell>
        </row>
        <row r="5921">
          <cell r="B5921">
            <v>6.8518518518519589E-2</v>
          </cell>
          <cell r="C5921">
            <v>98</v>
          </cell>
        </row>
        <row r="5922">
          <cell r="B5922">
            <v>6.8530092592593669E-2</v>
          </cell>
          <cell r="C5922">
            <v>98</v>
          </cell>
        </row>
        <row r="5923">
          <cell r="B5923">
            <v>6.854166666666775E-2</v>
          </cell>
          <cell r="C5923">
            <v>98</v>
          </cell>
        </row>
        <row r="5924">
          <cell r="B5924">
            <v>6.855324074074183E-2</v>
          </cell>
          <cell r="C5924">
            <v>98</v>
          </cell>
        </row>
        <row r="5925">
          <cell r="B5925">
            <v>6.8564814814815911E-2</v>
          </cell>
          <cell r="C5925">
            <v>98</v>
          </cell>
        </row>
        <row r="5926">
          <cell r="B5926">
            <v>6.8576388888889991E-2</v>
          </cell>
          <cell r="C5926">
            <v>98</v>
          </cell>
        </row>
        <row r="5927">
          <cell r="B5927">
            <v>6.8587962962964072E-2</v>
          </cell>
          <cell r="C5927">
            <v>98</v>
          </cell>
        </row>
        <row r="5928">
          <cell r="B5928">
            <v>6.8599537037038152E-2</v>
          </cell>
          <cell r="C5928">
            <v>98</v>
          </cell>
        </row>
        <row r="5929">
          <cell r="B5929">
            <v>6.8611111111112233E-2</v>
          </cell>
          <cell r="C5929">
            <v>98</v>
          </cell>
        </row>
        <row r="5930">
          <cell r="B5930">
            <v>6.8622685185186313E-2</v>
          </cell>
          <cell r="C5930">
            <v>98</v>
          </cell>
        </row>
        <row r="5931">
          <cell r="B5931">
            <v>6.8634259259260394E-2</v>
          </cell>
          <cell r="C5931">
            <v>98</v>
          </cell>
        </row>
        <row r="5932">
          <cell r="B5932">
            <v>6.8645833333334474E-2</v>
          </cell>
          <cell r="C5932">
            <v>98</v>
          </cell>
        </row>
        <row r="5933">
          <cell r="B5933">
            <v>6.8657407407408555E-2</v>
          </cell>
          <cell r="C5933">
            <v>98</v>
          </cell>
        </row>
        <row r="5934">
          <cell r="B5934">
            <v>6.8668981481482635E-2</v>
          </cell>
          <cell r="C5934">
            <v>98</v>
          </cell>
        </row>
        <row r="5935">
          <cell r="B5935">
            <v>6.8680555555556716E-2</v>
          </cell>
          <cell r="C5935">
            <v>98</v>
          </cell>
        </row>
        <row r="5936">
          <cell r="B5936">
            <v>6.8692129629630796E-2</v>
          </cell>
          <cell r="C5936">
            <v>98</v>
          </cell>
        </row>
        <row r="5937">
          <cell r="B5937">
            <v>6.8703703703704877E-2</v>
          </cell>
          <cell r="C5937">
            <v>98</v>
          </cell>
        </row>
        <row r="5938">
          <cell r="B5938">
            <v>6.8715277777778958E-2</v>
          </cell>
          <cell r="C5938">
            <v>98</v>
          </cell>
        </row>
        <row r="5939">
          <cell r="B5939">
            <v>6.8726851851853038E-2</v>
          </cell>
          <cell r="C5939">
            <v>98</v>
          </cell>
        </row>
        <row r="5940">
          <cell r="B5940">
            <v>6.8738425925927119E-2</v>
          </cell>
          <cell r="C5940">
            <v>98</v>
          </cell>
        </row>
        <row r="5941">
          <cell r="B5941">
            <v>6.8750000000001199E-2</v>
          </cell>
          <cell r="C5941">
            <v>99</v>
          </cell>
        </row>
        <row r="5942">
          <cell r="B5942">
            <v>6.876157407407528E-2</v>
          </cell>
          <cell r="C5942">
            <v>99</v>
          </cell>
        </row>
        <row r="5943">
          <cell r="B5943">
            <v>6.877314814814936E-2</v>
          </cell>
          <cell r="C5943">
            <v>99</v>
          </cell>
        </row>
        <row r="5944">
          <cell r="B5944">
            <v>6.8784722222223441E-2</v>
          </cell>
          <cell r="C5944">
            <v>99</v>
          </cell>
        </row>
        <row r="5945">
          <cell r="B5945">
            <v>6.8796296296297521E-2</v>
          </cell>
          <cell r="C5945">
            <v>99</v>
          </cell>
        </row>
        <row r="5946">
          <cell r="B5946">
            <v>6.8807870370371602E-2</v>
          </cell>
          <cell r="C5946">
            <v>99</v>
          </cell>
        </row>
        <row r="5947">
          <cell r="B5947">
            <v>6.8819444444445682E-2</v>
          </cell>
          <cell r="C5947">
            <v>99</v>
          </cell>
        </row>
        <row r="5948">
          <cell r="B5948">
            <v>6.8831018518519763E-2</v>
          </cell>
          <cell r="C5948">
            <v>99</v>
          </cell>
        </row>
        <row r="5949">
          <cell r="B5949">
            <v>6.8842592592593843E-2</v>
          </cell>
          <cell r="C5949">
            <v>99</v>
          </cell>
        </row>
        <row r="5950">
          <cell r="B5950">
            <v>6.8854166666667924E-2</v>
          </cell>
          <cell r="C5950">
            <v>99</v>
          </cell>
        </row>
        <row r="5951">
          <cell r="B5951">
            <v>6.8865740740742004E-2</v>
          </cell>
          <cell r="C5951">
            <v>99</v>
          </cell>
        </row>
        <row r="5952">
          <cell r="B5952">
            <v>6.8877314814816085E-2</v>
          </cell>
          <cell r="C5952">
            <v>99</v>
          </cell>
        </row>
        <row r="5953">
          <cell r="B5953">
            <v>6.8888888888890165E-2</v>
          </cell>
          <cell r="C5953">
            <v>99</v>
          </cell>
        </row>
        <row r="5954">
          <cell r="B5954">
            <v>6.8900462962964246E-2</v>
          </cell>
          <cell r="C5954">
            <v>99</v>
          </cell>
        </row>
        <row r="5955">
          <cell r="B5955">
            <v>6.8912037037038326E-2</v>
          </cell>
          <cell r="C5955">
            <v>99</v>
          </cell>
        </row>
        <row r="5956">
          <cell r="B5956">
            <v>6.8923611111112407E-2</v>
          </cell>
          <cell r="C5956">
            <v>99</v>
          </cell>
        </row>
        <row r="5957">
          <cell r="B5957">
            <v>6.8935185185186487E-2</v>
          </cell>
          <cell r="C5957">
            <v>99</v>
          </cell>
        </row>
        <row r="5958">
          <cell r="B5958">
            <v>6.8946759259260568E-2</v>
          </cell>
          <cell r="C5958">
            <v>99</v>
          </cell>
        </row>
        <row r="5959">
          <cell r="B5959">
            <v>6.8958333333334648E-2</v>
          </cell>
          <cell r="C5959">
            <v>99</v>
          </cell>
        </row>
        <row r="5960">
          <cell r="B5960">
            <v>6.8969907407408729E-2</v>
          </cell>
          <cell r="C5960">
            <v>99</v>
          </cell>
        </row>
        <row r="5961">
          <cell r="B5961">
            <v>6.8981481481482809E-2</v>
          </cell>
          <cell r="C5961">
            <v>99</v>
          </cell>
        </row>
        <row r="5962">
          <cell r="B5962">
            <v>6.899305555555689E-2</v>
          </cell>
          <cell r="C5962">
            <v>99</v>
          </cell>
        </row>
        <row r="5963">
          <cell r="B5963">
            <v>6.900462962963097E-2</v>
          </cell>
          <cell r="C5963">
            <v>99</v>
          </cell>
        </row>
        <row r="5964">
          <cell r="B5964">
            <v>6.9016203703705051E-2</v>
          </cell>
          <cell r="C5964">
            <v>99</v>
          </cell>
        </row>
        <row r="5965">
          <cell r="B5965">
            <v>6.9027777777779131E-2</v>
          </cell>
          <cell r="C5965">
            <v>99</v>
          </cell>
        </row>
        <row r="5966">
          <cell r="B5966">
            <v>6.9039351851853212E-2</v>
          </cell>
          <cell r="C5966">
            <v>99</v>
          </cell>
        </row>
        <row r="5967">
          <cell r="B5967">
            <v>6.9050925925927292E-2</v>
          </cell>
          <cell r="C5967">
            <v>99</v>
          </cell>
        </row>
        <row r="5968">
          <cell r="B5968">
            <v>6.9062500000001373E-2</v>
          </cell>
          <cell r="C5968">
            <v>99</v>
          </cell>
        </row>
        <row r="5969">
          <cell r="B5969">
            <v>6.9074074074075453E-2</v>
          </cell>
          <cell r="C5969">
            <v>99</v>
          </cell>
        </row>
        <row r="5970">
          <cell r="B5970">
            <v>6.9085648148149534E-2</v>
          </cell>
          <cell r="C5970">
            <v>99</v>
          </cell>
        </row>
        <row r="5971">
          <cell r="B5971">
            <v>6.9097222222223614E-2</v>
          </cell>
          <cell r="C5971">
            <v>99</v>
          </cell>
        </row>
        <row r="5972">
          <cell r="B5972">
            <v>6.9108796296297695E-2</v>
          </cell>
          <cell r="C5972">
            <v>99</v>
          </cell>
        </row>
        <row r="5973">
          <cell r="B5973">
            <v>6.9120370370371775E-2</v>
          </cell>
          <cell r="C5973">
            <v>99</v>
          </cell>
        </row>
        <row r="5974">
          <cell r="B5974">
            <v>6.9131944444445856E-2</v>
          </cell>
          <cell r="C5974">
            <v>99</v>
          </cell>
        </row>
        <row r="5975">
          <cell r="B5975">
            <v>6.9143518518519936E-2</v>
          </cell>
          <cell r="C5975">
            <v>99</v>
          </cell>
        </row>
        <row r="5976">
          <cell r="B5976">
            <v>6.9155092592594017E-2</v>
          </cell>
          <cell r="C5976">
            <v>99</v>
          </cell>
        </row>
        <row r="5977">
          <cell r="B5977">
            <v>6.9166666666668097E-2</v>
          </cell>
          <cell r="C5977">
            <v>99</v>
          </cell>
        </row>
        <row r="5978">
          <cell r="B5978">
            <v>6.9178240740742178E-2</v>
          </cell>
          <cell r="C5978">
            <v>99</v>
          </cell>
        </row>
        <row r="5979">
          <cell r="B5979">
            <v>6.9189814814816258E-2</v>
          </cell>
          <cell r="C5979">
            <v>99</v>
          </cell>
        </row>
        <row r="5980">
          <cell r="B5980">
            <v>6.9201388888890339E-2</v>
          </cell>
          <cell r="C5980">
            <v>99</v>
          </cell>
        </row>
        <row r="5981">
          <cell r="B5981">
            <v>6.9212962962964419E-2</v>
          </cell>
          <cell r="C5981">
            <v>99</v>
          </cell>
        </row>
        <row r="5982">
          <cell r="B5982">
            <v>6.92245370370385E-2</v>
          </cell>
          <cell r="C5982">
            <v>99</v>
          </cell>
        </row>
        <row r="5983">
          <cell r="B5983">
            <v>6.923611111111258E-2</v>
          </cell>
          <cell r="C5983">
            <v>99</v>
          </cell>
        </row>
        <row r="5984">
          <cell r="B5984">
            <v>6.9247685185186661E-2</v>
          </cell>
          <cell r="C5984">
            <v>99</v>
          </cell>
        </row>
        <row r="5985">
          <cell r="B5985">
            <v>6.9259259259260741E-2</v>
          </cell>
          <cell r="C5985">
            <v>99</v>
          </cell>
        </row>
        <row r="5986">
          <cell r="B5986">
            <v>6.9270833333334822E-2</v>
          </cell>
          <cell r="C5986">
            <v>99</v>
          </cell>
        </row>
        <row r="5987">
          <cell r="B5987">
            <v>6.9282407407408902E-2</v>
          </cell>
          <cell r="C5987">
            <v>99</v>
          </cell>
        </row>
        <row r="5988">
          <cell r="B5988">
            <v>6.9293981481482983E-2</v>
          </cell>
          <cell r="C5988">
            <v>99</v>
          </cell>
        </row>
        <row r="5989">
          <cell r="B5989">
            <v>6.9305555555557063E-2</v>
          </cell>
          <cell r="C5989">
            <v>99</v>
          </cell>
        </row>
        <row r="5990">
          <cell r="B5990">
            <v>6.9317129629631144E-2</v>
          </cell>
          <cell r="C5990">
            <v>99</v>
          </cell>
        </row>
        <row r="5991">
          <cell r="B5991">
            <v>6.9328703703705225E-2</v>
          </cell>
          <cell r="C5991">
            <v>99</v>
          </cell>
        </row>
        <row r="5992">
          <cell r="B5992">
            <v>6.9340277777779305E-2</v>
          </cell>
          <cell r="C5992">
            <v>99</v>
          </cell>
        </row>
        <row r="5993">
          <cell r="B5993">
            <v>6.9351851851853386E-2</v>
          </cell>
          <cell r="C5993">
            <v>99</v>
          </cell>
        </row>
        <row r="5994">
          <cell r="B5994">
            <v>6.9363425925927466E-2</v>
          </cell>
          <cell r="C5994">
            <v>99</v>
          </cell>
        </row>
        <row r="5995">
          <cell r="B5995">
            <v>6.9375000000001547E-2</v>
          </cell>
          <cell r="C5995">
            <v>99</v>
          </cell>
        </row>
        <row r="5996">
          <cell r="B5996">
            <v>6.9386574074075627E-2</v>
          </cell>
          <cell r="C5996">
            <v>99</v>
          </cell>
        </row>
        <row r="5997">
          <cell r="B5997">
            <v>6.9398148148149708E-2</v>
          </cell>
          <cell r="C5997">
            <v>99</v>
          </cell>
        </row>
        <row r="5998">
          <cell r="B5998">
            <v>6.9409722222223788E-2</v>
          </cell>
          <cell r="C5998">
            <v>99</v>
          </cell>
        </row>
        <row r="5999">
          <cell r="B5999">
            <v>6.9421296296297869E-2</v>
          </cell>
          <cell r="C5999">
            <v>99</v>
          </cell>
        </row>
        <row r="6000">
          <cell r="B6000">
            <v>6.9432870370371949E-2</v>
          </cell>
          <cell r="C6000">
            <v>99</v>
          </cell>
        </row>
        <row r="6001">
          <cell r="B6001">
            <v>6.944444444444603E-2</v>
          </cell>
          <cell r="C6001">
            <v>100</v>
          </cell>
        </row>
        <row r="6002">
          <cell r="B6002">
            <v>6.945601851852011E-2</v>
          </cell>
          <cell r="C6002">
            <v>100</v>
          </cell>
        </row>
        <row r="6003">
          <cell r="B6003">
            <v>6.9467592592594191E-2</v>
          </cell>
          <cell r="C6003">
            <v>100</v>
          </cell>
        </row>
        <row r="6004">
          <cell r="B6004">
            <v>6.9479166666668271E-2</v>
          </cell>
          <cell r="C6004">
            <v>100</v>
          </cell>
        </row>
        <row r="6005">
          <cell r="B6005">
            <v>6.9490740740742352E-2</v>
          </cell>
          <cell r="C6005">
            <v>100</v>
          </cell>
        </row>
        <row r="6006">
          <cell r="B6006">
            <v>6.9502314814816432E-2</v>
          </cell>
          <cell r="C6006">
            <v>100</v>
          </cell>
        </row>
        <row r="6007">
          <cell r="B6007">
            <v>6.9513888888890513E-2</v>
          </cell>
          <cell r="C6007">
            <v>100</v>
          </cell>
        </row>
        <row r="6008">
          <cell r="B6008">
            <v>6.9525462962964593E-2</v>
          </cell>
          <cell r="C6008">
            <v>100</v>
          </cell>
        </row>
        <row r="6009">
          <cell r="B6009">
            <v>6.9537037037038674E-2</v>
          </cell>
          <cell r="C6009">
            <v>100</v>
          </cell>
        </row>
        <row r="6010">
          <cell r="B6010">
            <v>6.9548611111112754E-2</v>
          </cell>
          <cell r="C6010">
            <v>100</v>
          </cell>
        </row>
        <row r="6011">
          <cell r="B6011">
            <v>6.9560185185186835E-2</v>
          </cell>
          <cell r="C6011">
            <v>100</v>
          </cell>
        </row>
        <row r="6012">
          <cell r="B6012">
            <v>6.9571759259260915E-2</v>
          </cell>
          <cell r="C6012">
            <v>100</v>
          </cell>
        </row>
        <row r="6013">
          <cell r="B6013">
            <v>6.9583333333334996E-2</v>
          </cell>
          <cell r="C6013">
            <v>100</v>
          </cell>
        </row>
        <row r="6014">
          <cell r="B6014">
            <v>6.9594907407409076E-2</v>
          </cell>
          <cell r="C6014">
            <v>100</v>
          </cell>
        </row>
        <row r="6015">
          <cell r="B6015">
            <v>6.9606481481483157E-2</v>
          </cell>
          <cell r="C6015">
            <v>100</v>
          </cell>
        </row>
        <row r="6016">
          <cell r="B6016">
            <v>6.9618055555557237E-2</v>
          </cell>
          <cell r="C6016">
            <v>100</v>
          </cell>
        </row>
        <row r="6017">
          <cell r="B6017">
            <v>6.9629629629631318E-2</v>
          </cell>
          <cell r="C6017">
            <v>100</v>
          </cell>
        </row>
        <row r="6018">
          <cell r="B6018">
            <v>6.9641203703705398E-2</v>
          </cell>
          <cell r="C6018">
            <v>100</v>
          </cell>
        </row>
        <row r="6019">
          <cell r="B6019">
            <v>6.9652777777779479E-2</v>
          </cell>
          <cell r="C6019">
            <v>100</v>
          </cell>
        </row>
        <row r="6020">
          <cell r="B6020">
            <v>6.9664351851853559E-2</v>
          </cell>
          <cell r="C6020">
            <v>100</v>
          </cell>
        </row>
        <row r="6021">
          <cell r="B6021">
            <v>6.967592592592764E-2</v>
          </cell>
          <cell r="C6021">
            <v>100</v>
          </cell>
        </row>
        <row r="6022">
          <cell r="B6022">
            <v>6.968750000000172E-2</v>
          </cell>
          <cell r="C6022">
            <v>100</v>
          </cell>
        </row>
        <row r="6023">
          <cell r="B6023">
            <v>6.9699074074075801E-2</v>
          </cell>
          <cell r="C6023">
            <v>100</v>
          </cell>
        </row>
        <row r="6024">
          <cell r="B6024">
            <v>6.9710648148149881E-2</v>
          </cell>
          <cell r="C6024">
            <v>100</v>
          </cell>
        </row>
        <row r="6025">
          <cell r="B6025">
            <v>6.9722222222223962E-2</v>
          </cell>
          <cell r="C6025">
            <v>100</v>
          </cell>
        </row>
        <row r="6026">
          <cell r="B6026">
            <v>6.9733796296298042E-2</v>
          </cell>
          <cell r="C6026">
            <v>100</v>
          </cell>
        </row>
        <row r="6027">
          <cell r="B6027">
            <v>6.9745370370372123E-2</v>
          </cell>
          <cell r="C6027">
            <v>100</v>
          </cell>
        </row>
        <row r="6028">
          <cell r="B6028">
            <v>6.9756944444446203E-2</v>
          </cell>
          <cell r="C6028">
            <v>100</v>
          </cell>
        </row>
        <row r="6029">
          <cell r="B6029">
            <v>6.9768518518520284E-2</v>
          </cell>
          <cell r="C6029">
            <v>100</v>
          </cell>
        </row>
        <row r="6030">
          <cell r="B6030">
            <v>6.9780092592594364E-2</v>
          </cell>
          <cell r="C6030">
            <v>100</v>
          </cell>
        </row>
        <row r="6031">
          <cell r="B6031">
            <v>6.9791666666668445E-2</v>
          </cell>
          <cell r="C6031">
            <v>100</v>
          </cell>
        </row>
        <row r="6032">
          <cell r="B6032">
            <v>6.9803240740742525E-2</v>
          </cell>
          <cell r="C6032">
            <v>100</v>
          </cell>
        </row>
        <row r="6033">
          <cell r="B6033">
            <v>6.9814814814816606E-2</v>
          </cell>
          <cell r="C6033">
            <v>100</v>
          </cell>
        </row>
        <row r="6034">
          <cell r="B6034">
            <v>6.9826388888890686E-2</v>
          </cell>
          <cell r="C6034">
            <v>100</v>
          </cell>
        </row>
        <row r="6035">
          <cell r="B6035">
            <v>6.9837962962964767E-2</v>
          </cell>
          <cell r="C6035">
            <v>100</v>
          </cell>
        </row>
        <row r="6036">
          <cell r="B6036">
            <v>6.9849537037038847E-2</v>
          </cell>
          <cell r="C6036">
            <v>100</v>
          </cell>
        </row>
        <row r="6037">
          <cell r="B6037">
            <v>6.9861111111112928E-2</v>
          </cell>
          <cell r="C6037">
            <v>100</v>
          </cell>
        </row>
        <row r="6038">
          <cell r="B6038">
            <v>6.9872685185187008E-2</v>
          </cell>
          <cell r="C6038">
            <v>100</v>
          </cell>
        </row>
        <row r="6039">
          <cell r="B6039">
            <v>6.9884259259261089E-2</v>
          </cell>
          <cell r="C6039">
            <v>100</v>
          </cell>
        </row>
        <row r="6040">
          <cell r="B6040">
            <v>6.9895833333335169E-2</v>
          </cell>
          <cell r="C6040">
            <v>100</v>
          </cell>
        </row>
        <row r="6041">
          <cell r="B6041">
            <v>6.990740740740925E-2</v>
          </cell>
          <cell r="C6041">
            <v>100</v>
          </cell>
        </row>
        <row r="6042">
          <cell r="B6042">
            <v>6.991898148148333E-2</v>
          </cell>
          <cell r="C6042">
            <v>100</v>
          </cell>
        </row>
        <row r="6043">
          <cell r="B6043">
            <v>6.9930555555557411E-2</v>
          </cell>
          <cell r="C6043">
            <v>100</v>
          </cell>
        </row>
        <row r="6044">
          <cell r="B6044">
            <v>6.9942129629631491E-2</v>
          </cell>
          <cell r="C6044">
            <v>100</v>
          </cell>
        </row>
        <row r="6045">
          <cell r="B6045">
            <v>6.9953703703705572E-2</v>
          </cell>
          <cell r="C6045">
            <v>100</v>
          </cell>
        </row>
        <row r="6046">
          <cell r="B6046">
            <v>6.9965277777779653E-2</v>
          </cell>
          <cell r="C6046">
            <v>100</v>
          </cell>
        </row>
        <row r="6047">
          <cell r="B6047">
            <v>6.9976851851853733E-2</v>
          </cell>
          <cell r="C6047">
            <v>100</v>
          </cell>
        </row>
        <row r="6048">
          <cell r="B6048">
            <v>6.9988425925927814E-2</v>
          </cell>
          <cell r="C6048">
            <v>100</v>
          </cell>
        </row>
        <row r="6049">
          <cell r="B6049">
            <v>7.0000000000001894E-2</v>
          </cell>
          <cell r="C6049">
            <v>100</v>
          </cell>
        </row>
        <row r="6050">
          <cell r="B6050">
            <v>7.0011574074075975E-2</v>
          </cell>
          <cell r="C6050">
            <v>100</v>
          </cell>
        </row>
        <row r="6051">
          <cell r="B6051">
            <v>7.0023148148150055E-2</v>
          </cell>
          <cell r="C6051">
            <v>100</v>
          </cell>
        </row>
        <row r="6052">
          <cell r="B6052">
            <v>7.0034722222224136E-2</v>
          </cell>
          <cell r="C6052">
            <v>100</v>
          </cell>
        </row>
        <row r="6053">
          <cell r="B6053">
            <v>7.0046296296298216E-2</v>
          </cell>
          <cell r="C6053">
            <v>100</v>
          </cell>
        </row>
        <row r="6054">
          <cell r="B6054">
            <v>7.0057870370372297E-2</v>
          </cell>
          <cell r="C6054">
            <v>100</v>
          </cell>
        </row>
        <row r="6055">
          <cell r="B6055">
            <v>7.0069444444446377E-2</v>
          </cell>
          <cell r="C6055">
            <v>100</v>
          </cell>
        </row>
        <row r="6056">
          <cell r="B6056">
            <v>7.0081018518520458E-2</v>
          </cell>
          <cell r="C6056">
            <v>100</v>
          </cell>
        </row>
        <row r="6057">
          <cell r="B6057">
            <v>7.0092592592594538E-2</v>
          </cell>
          <cell r="C6057">
            <v>100</v>
          </cell>
        </row>
        <row r="6058">
          <cell r="B6058">
            <v>7.0104166666668619E-2</v>
          </cell>
          <cell r="C6058">
            <v>100</v>
          </cell>
        </row>
        <row r="6059">
          <cell r="B6059">
            <v>7.0115740740742699E-2</v>
          </cell>
          <cell r="C6059">
            <v>100</v>
          </cell>
        </row>
        <row r="6060">
          <cell r="B6060">
            <v>7.012731481481678E-2</v>
          </cell>
          <cell r="C6060">
            <v>100</v>
          </cell>
        </row>
        <row r="6061">
          <cell r="B6061">
            <v>7.013888888889086E-2</v>
          </cell>
          <cell r="C6061">
            <v>101</v>
          </cell>
        </row>
        <row r="6062">
          <cell r="B6062">
            <v>7.0150462962964941E-2</v>
          </cell>
          <cell r="C6062">
            <v>101</v>
          </cell>
        </row>
        <row r="6063">
          <cell r="B6063">
            <v>7.0162037037039021E-2</v>
          </cell>
          <cell r="C6063">
            <v>101</v>
          </cell>
        </row>
        <row r="6064">
          <cell r="B6064">
            <v>7.0173611111113102E-2</v>
          </cell>
          <cell r="C6064">
            <v>101</v>
          </cell>
        </row>
        <row r="6065">
          <cell r="B6065">
            <v>7.0185185185187182E-2</v>
          </cell>
          <cell r="C6065">
            <v>101</v>
          </cell>
        </row>
        <row r="6066">
          <cell r="B6066">
            <v>7.0196759259261263E-2</v>
          </cell>
          <cell r="C6066">
            <v>101</v>
          </cell>
        </row>
        <row r="6067">
          <cell r="B6067">
            <v>7.0208333333335343E-2</v>
          </cell>
          <cell r="C6067">
            <v>101</v>
          </cell>
        </row>
        <row r="6068">
          <cell r="B6068">
            <v>7.0219907407409424E-2</v>
          </cell>
          <cell r="C6068">
            <v>101</v>
          </cell>
        </row>
        <row r="6069">
          <cell r="B6069">
            <v>7.0231481481483504E-2</v>
          </cell>
          <cell r="C6069">
            <v>101</v>
          </cell>
        </row>
        <row r="6070">
          <cell r="B6070">
            <v>7.0243055555557585E-2</v>
          </cell>
          <cell r="C6070">
            <v>101</v>
          </cell>
        </row>
        <row r="6071">
          <cell r="B6071">
            <v>7.0254629629631665E-2</v>
          </cell>
          <cell r="C6071">
            <v>101</v>
          </cell>
        </row>
        <row r="6072">
          <cell r="B6072">
            <v>7.0266203703705746E-2</v>
          </cell>
          <cell r="C6072">
            <v>101</v>
          </cell>
        </row>
        <row r="6073">
          <cell r="B6073">
            <v>7.0277777777779826E-2</v>
          </cell>
          <cell r="C6073">
            <v>101</v>
          </cell>
        </row>
        <row r="6074">
          <cell r="B6074">
            <v>7.0289351851853907E-2</v>
          </cell>
          <cell r="C6074">
            <v>101</v>
          </cell>
        </row>
        <row r="6075">
          <cell r="B6075">
            <v>7.0300925925927987E-2</v>
          </cell>
          <cell r="C6075">
            <v>101</v>
          </cell>
        </row>
        <row r="6076">
          <cell r="B6076">
            <v>7.0312500000002068E-2</v>
          </cell>
          <cell r="C6076">
            <v>101</v>
          </cell>
        </row>
        <row r="6077">
          <cell r="B6077">
            <v>7.0324074074076148E-2</v>
          </cell>
          <cell r="C6077">
            <v>101</v>
          </cell>
        </row>
        <row r="6078">
          <cell r="B6078">
            <v>7.0335648148150229E-2</v>
          </cell>
          <cell r="C6078">
            <v>101</v>
          </cell>
        </row>
        <row r="6079">
          <cell r="B6079">
            <v>7.0347222222224309E-2</v>
          </cell>
          <cell r="C6079">
            <v>101</v>
          </cell>
        </row>
        <row r="6080">
          <cell r="B6080">
            <v>7.035879629629839E-2</v>
          </cell>
          <cell r="C6080">
            <v>101</v>
          </cell>
        </row>
        <row r="6081">
          <cell r="B6081">
            <v>7.037037037037247E-2</v>
          </cell>
          <cell r="C6081">
            <v>101</v>
          </cell>
        </row>
        <row r="6082">
          <cell r="B6082">
            <v>7.0381944444446551E-2</v>
          </cell>
          <cell r="C6082">
            <v>101</v>
          </cell>
        </row>
        <row r="6083">
          <cell r="B6083">
            <v>7.0393518518520631E-2</v>
          </cell>
          <cell r="C6083">
            <v>101</v>
          </cell>
        </row>
        <row r="6084">
          <cell r="B6084">
            <v>7.0405092592594712E-2</v>
          </cell>
          <cell r="C6084">
            <v>101</v>
          </cell>
        </row>
        <row r="6085">
          <cell r="B6085">
            <v>7.0416666666668792E-2</v>
          </cell>
          <cell r="C6085">
            <v>101</v>
          </cell>
        </row>
        <row r="6086">
          <cell r="B6086">
            <v>7.0428240740742873E-2</v>
          </cell>
          <cell r="C6086">
            <v>101</v>
          </cell>
        </row>
        <row r="6087">
          <cell r="B6087">
            <v>7.0439814814816953E-2</v>
          </cell>
          <cell r="C6087">
            <v>101</v>
          </cell>
        </row>
        <row r="6088">
          <cell r="B6088">
            <v>7.0451388888891034E-2</v>
          </cell>
          <cell r="C6088">
            <v>101</v>
          </cell>
        </row>
        <row r="6089">
          <cell r="B6089">
            <v>7.0462962962965114E-2</v>
          </cell>
          <cell r="C6089">
            <v>101</v>
          </cell>
        </row>
        <row r="6090">
          <cell r="B6090">
            <v>7.0474537037039195E-2</v>
          </cell>
          <cell r="C6090">
            <v>101</v>
          </cell>
        </row>
        <row r="6091">
          <cell r="B6091">
            <v>7.0486111111113275E-2</v>
          </cell>
          <cell r="C6091">
            <v>101</v>
          </cell>
        </row>
        <row r="6092">
          <cell r="B6092">
            <v>7.0497685185187356E-2</v>
          </cell>
          <cell r="C6092">
            <v>101</v>
          </cell>
        </row>
        <row r="6093">
          <cell r="B6093">
            <v>7.0509259259261436E-2</v>
          </cell>
          <cell r="C6093">
            <v>101</v>
          </cell>
        </row>
        <row r="6094">
          <cell r="B6094">
            <v>7.0520833333335517E-2</v>
          </cell>
          <cell r="C6094">
            <v>101</v>
          </cell>
        </row>
        <row r="6095">
          <cell r="B6095">
            <v>7.0532407407409597E-2</v>
          </cell>
          <cell r="C6095">
            <v>101</v>
          </cell>
        </row>
        <row r="6096">
          <cell r="B6096">
            <v>7.0543981481483678E-2</v>
          </cell>
          <cell r="C6096">
            <v>101</v>
          </cell>
        </row>
        <row r="6097">
          <cell r="B6097">
            <v>7.0555555555557758E-2</v>
          </cell>
          <cell r="C6097">
            <v>101</v>
          </cell>
        </row>
        <row r="6098">
          <cell r="B6098">
            <v>7.0567129629631839E-2</v>
          </cell>
          <cell r="C6098">
            <v>101</v>
          </cell>
        </row>
        <row r="6099">
          <cell r="B6099">
            <v>7.057870370370592E-2</v>
          </cell>
          <cell r="C6099">
            <v>101</v>
          </cell>
        </row>
        <row r="6100">
          <cell r="B6100">
            <v>7.059027777778E-2</v>
          </cell>
          <cell r="C6100">
            <v>101</v>
          </cell>
        </row>
        <row r="6101">
          <cell r="B6101">
            <v>7.0601851851854081E-2</v>
          </cell>
          <cell r="C6101">
            <v>101</v>
          </cell>
        </row>
        <row r="6102">
          <cell r="B6102">
            <v>7.0613425925928161E-2</v>
          </cell>
          <cell r="C6102">
            <v>101</v>
          </cell>
        </row>
        <row r="6103">
          <cell r="B6103">
            <v>7.0625000000002242E-2</v>
          </cell>
          <cell r="C6103">
            <v>101</v>
          </cell>
        </row>
        <row r="6104">
          <cell r="B6104">
            <v>7.0636574074076322E-2</v>
          </cell>
          <cell r="C6104">
            <v>101</v>
          </cell>
        </row>
        <row r="6105">
          <cell r="B6105">
            <v>7.0648148148150403E-2</v>
          </cell>
          <cell r="C6105">
            <v>101</v>
          </cell>
        </row>
        <row r="6106">
          <cell r="B6106">
            <v>7.0659722222224483E-2</v>
          </cell>
          <cell r="C6106">
            <v>101</v>
          </cell>
        </row>
        <row r="6107">
          <cell r="B6107">
            <v>7.0671296296298564E-2</v>
          </cell>
          <cell r="C6107">
            <v>101</v>
          </cell>
        </row>
        <row r="6108">
          <cell r="B6108">
            <v>7.0682870370372644E-2</v>
          </cell>
          <cell r="C6108">
            <v>101</v>
          </cell>
        </row>
        <row r="6109">
          <cell r="B6109">
            <v>7.0694444444446725E-2</v>
          </cell>
          <cell r="C6109">
            <v>101</v>
          </cell>
        </row>
        <row r="6110">
          <cell r="B6110">
            <v>7.0706018518520805E-2</v>
          </cell>
          <cell r="C6110">
            <v>101</v>
          </cell>
        </row>
        <row r="6111">
          <cell r="B6111">
            <v>7.0717592592594886E-2</v>
          </cell>
          <cell r="C6111">
            <v>101</v>
          </cell>
        </row>
        <row r="6112">
          <cell r="B6112">
            <v>7.0729166666668966E-2</v>
          </cell>
          <cell r="C6112">
            <v>101</v>
          </cell>
        </row>
        <row r="6113">
          <cell r="B6113">
            <v>7.0740740740743047E-2</v>
          </cell>
          <cell r="C6113">
            <v>101</v>
          </cell>
        </row>
        <row r="6114">
          <cell r="B6114">
            <v>7.0752314814817127E-2</v>
          </cell>
          <cell r="C6114">
            <v>101</v>
          </cell>
        </row>
        <row r="6115">
          <cell r="B6115">
            <v>7.0763888888891208E-2</v>
          </cell>
          <cell r="C6115">
            <v>101</v>
          </cell>
        </row>
        <row r="6116">
          <cell r="B6116">
            <v>7.0775462962965288E-2</v>
          </cell>
          <cell r="C6116">
            <v>101</v>
          </cell>
        </row>
        <row r="6117">
          <cell r="B6117">
            <v>7.0787037037039369E-2</v>
          </cell>
          <cell r="C6117">
            <v>101</v>
          </cell>
        </row>
        <row r="6118">
          <cell r="B6118">
            <v>7.0798611111113449E-2</v>
          </cell>
          <cell r="C6118">
            <v>101</v>
          </cell>
        </row>
        <row r="6119">
          <cell r="B6119">
            <v>7.081018518518753E-2</v>
          </cell>
          <cell r="C6119">
            <v>101</v>
          </cell>
        </row>
        <row r="6120">
          <cell r="B6120">
            <v>7.082175925926161E-2</v>
          </cell>
          <cell r="C6120">
            <v>101</v>
          </cell>
        </row>
        <row r="6121">
          <cell r="B6121">
            <v>7.0833333333335691E-2</v>
          </cell>
          <cell r="C6121">
            <v>102</v>
          </cell>
        </row>
        <row r="6122">
          <cell r="B6122">
            <v>7.0844907407409771E-2</v>
          </cell>
          <cell r="C6122">
            <v>102</v>
          </cell>
        </row>
        <row r="6123">
          <cell r="B6123">
            <v>7.0856481481483852E-2</v>
          </cell>
          <cell r="C6123">
            <v>102</v>
          </cell>
        </row>
        <row r="6124">
          <cell r="B6124">
            <v>7.0868055555557932E-2</v>
          </cell>
          <cell r="C6124">
            <v>102</v>
          </cell>
        </row>
        <row r="6125">
          <cell r="B6125">
            <v>7.0879629629632013E-2</v>
          </cell>
          <cell r="C6125">
            <v>102</v>
          </cell>
        </row>
        <row r="6126">
          <cell r="B6126">
            <v>7.0891203703706093E-2</v>
          </cell>
          <cell r="C6126">
            <v>102</v>
          </cell>
        </row>
        <row r="6127">
          <cell r="B6127">
            <v>7.0902777777780174E-2</v>
          </cell>
          <cell r="C6127">
            <v>102</v>
          </cell>
        </row>
        <row r="6128">
          <cell r="B6128">
            <v>7.0914351851854254E-2</v>
          </cell>
          <cell r="C6128">
            <v>102</v>
          </cell>
        </row>
        <row r="6129">
          <cell r="B6129">
            <v>7.0925925925928335E-2</v>
          </cell>
          <cell r="C6129">
            <v>102</v>
          </cell>
        </row>
        <row r="6130">
          <cell r="B6130">
            <v>7.0937500000002415E-2</v>
          </cell>
          <cell r="C6130">
            <v>102</v>
          </cell>
        </row>
        <row r="6131">
          <cell r="B6131">
            <v>7.0949074074076496E-2</v>
          </cell>
          <cell r="C6131">
            <v>102</v>
          </cell>
        </row>
        <row r="6132">
          <cell r="B6132">
            <v>7.0960648148150576E-2</v>
          </cell>
          <cell r="C6132">
            <v>102</v>
          </cell>
        </row>
        <row r="6133">
          <cell r="B6133">
            <v>7.0972222222224657E-2</v>
          </cell>
          <cell r="C6133">
            <v>102</v>
          </cell>
        </row>
        <row r="6134">
          <cell r="B6134">
            <v>7.0983796296298737E-2</v>
          </cell>
          <cell r="C6134">
            <v>102</v>
          </cell>
        </row>
        <row r="6135">
          <cell r="B6135">
            <v>7.0995370370372818E-2</v>
          </cell>
          <cell r="C6135">
            <v>102</v>
          </cell>
        </row>
        <row r="6136">
          <cell r="B6136">
            <v>7.1006944444446898E-2</v>
          </cell>
          <cell r="C6136">
            <v>102</v>
          </cell>
        </row>
        <row r="6137">
          <cell r="B6137">
            <v>7.1018518518520979E-2</v>
          </cell>
          <cell r="C6137">
            <v>102</v>
          </cell>
        </row>
        <row r="6138">
          <cell r="B6138">
            <v>7.1030092592595059E-2</v>
          </cell>
          <cell r="C6138">
            <v>102</v>
          </cell>
        </row>
        <row r="6139">
          <cell r="B6139">
            <v>7.104166666666914E-2</v>
          </cell>
          <cell r="C6139">
            <v>102</v>
          </cell>
        </row>
        <row r="6140">
          <cell r="B6140">
            <v>7.105324074074322E-2</v>
          </cell>
          <cell r="C6140">
            <v>102</v>
          </cell>
        </row>
        <row r="6141">
          <cell r="B6141">
            <v>7.1064814814817301E-2</v>
          </cell>
          <cell r="C6141">
            <v>102</v>
          </cell>
        </row>
        <row r="6142">
          <cell r="B6142">
            <v>7.1076388888891381E-2</v>
          </cell>
          <cell r="C6142">
            <v>102</v>
          </cell>
        </row>
        <row r="6143">
          <cell r="B6143">
            <v>7.1087962962965462E-2</v>
          </cell>
          <cell r="C6143">
            <v>102</v>
          </cell>
        </row>
        <row r="6144">
          <cell r="B6144">
            <v>7.1099537037039542E-2</v>
          </cell>
          <cell r="C6144">
            <v>102</v>
          </cell>
        </row>
        <row r="6145">
          <cell r="B6145">
            <v>7.1111111111113623E-2</v>
          </cell>
          <cell r="C6145">
            <v>102</v>
          </cell>
        </row>
        <row r="6146">
          <cell r="B6146">
            <v>7.1122685185187703E-2</v>
          </cell>
          <cell r="C6146">
            <v>102</v>
          </cell>
        </row>
        <row r="6147">
          <cell r="B6147">
            <v>7.1134259259261784E-2</v>
          </cell>
          <cell r="C6147">
            <v>102</v>
          </cell>
        </row>
        <row r="6148">
          <cell r="B6148">
            <v>7.1145833333335864E-2</v>
          </cell>
          <cell r="C6148">
            <v>102</v>
          </cell>
        </row>
        <row r="6149">
          <cell r="B6149">
            <v>7.1157407407409945E-2</v>
          </cell>
          <cell r="C6149">
            <v>102</v>
          </cell>
        </row>
        <row r="6150">
          <cell r="B6150">
            <v>7.1168981481484025E-2</v>
          </cell>
          <cell r="C6150">
            <v>102</v>
          </cell>
        </row>
        <row r="6151">
          <cell r="B6151">
            <v>7.1180555555558106E-2</v>
          </cell>
          <cell r="C6151">
            <v>102</v>
          </cell>
        </row>
        <row r="6152">
          <cell r="B6152">
            <v>7.1192129629632186E-2</v>
          </cell>
          <cell r="C6152">
            <v>102</v>
          </cell>
        </row>
        <row r="6153">
          <cell r="B6153">
            <v>7.1203703703706267E-2</v>
          </cell>
          <cell r="C6153">
            <v>102</v>
          </cell>
        </row>
        <row r="6154">
          <cell r="B6154">
            <v>7.1215277777780348E-2</v>
          </cell>
          <cell r="C6154">
            <v>102</v>
          </cell>
        </row>
        <row r="6155">
          <cell r="B6155">
            <v>7.1226851851854428E-2</v>
          </cell>
          <cell r="C6155">
            <v>102</v>
          </cell>
        </row>
        <row r="6156">
          <cell r="B6156">
            <v>7.1238425925928509E-2</v>
          </cell>
          <cell r="C6156">
            <v>102</v>
          </cell>
        </row>
        <row r="6157">
          <cell r="B6157">
            <v>7.1250000000002589E-2</v>
          </cell>
          <cell r="C6157">
            <v>102</v>
          </cell>
        </row>
        <row r="6158">
          <cell r="B6158">
            <v>7.126157407407667E-2</v>
          </cell>
          <cell r="C6158">
            <v>102</v>
          </cell>
        </row>
        <row r="6159">
          <cell r="B6159">
            <v>7.127314814815075E-2</v>
          </cell>
          <cell r="C6159">
            <v>102</v>
          </cell>
        </row>
        <row r="6160">
          <cell r="B6160">
            <v>7.1284722222224831E-2</v>
          </cell>
          <cell r="C6160">
            <v>102</v>
          </cell>
        </row>
        <row r="6161">
          <cell r="B6161">
            <v>7.1296296296298911E-2</v>
          </cell>
          <cell r="C6161">
            <v>102</v>
          </cell>
        </row>
        <row r="6162">
          <cell r="B6162">
            <v>7.1307870370372992E-2</v>
          </cell>
          <cell r="C6162">
            <v>102</v>
          </cell>
        </row>
        <row r="6163">
          <cell r="B6163">
            <v>7.1319444444447072E-2</v>
          </cell>
          <cell r="C6163">
            <v>102</v>
          </cell>
        </row>
        <row r="6164">
          <cell r="B6164">
            <v>7.1331018518521153E-2</v>
          </cell>
          <cell r="C6164">
            <v>102</v>
          </cell>
        </row>
        <row r="6165">
          <cell r="B6165">
            <v>7.1342592592595233E-2</v>
          </cell>
          <cell r="C6165">
            <v>102</v>
          </cell>
        </row>
        <row r="6166">
          <cell r="B6166">
            <v>7.1354166666669314E-2</v>
          </cell>
          <cell r="C6166">
            <v>102</v>
          </cell>
        </row>
        <row r="6167">
          <cell r="B6167">
            <v>7.1365740740743394E-2</v>
          </cell>
          <cell r="C6167">
            <v>102</v>
          </cell>
        </row>
        <row r="6168">
          <cell r="B6168">
            <v>7.1377314814817475E-2</v>
          </cell>
          <cell r="C6168">
            <v>102</v>
          </cell>
        </row>
        <row r="6169">
          <cell r="B6169">
            <v>7.1388888888891555E-2</v>
          </cell>
          <cell r="C6169">
            <v>102</v>
          </cell>
        </row>
        <row r="6170">
          <cell r="B6170">
            <v>7.1400462962965636E-2</v>
          </cell>
          <cell r="C6170">
            <v>102</v>
          </cell>
        </row>
        <row r="6171">
          <cell r="B6171">
            <v>7.1412037037039716E-2</v>
          </cell>
          <cell r="C6171">
            <v>102</v>
          </cell>
        </row>
        <row r="6172">
          <cell r="B6172">
            <v>7.1423611111113797E-2</v>
          </cell>
          <cell r="C6172">
            <v>102</v>
          </cell>
        </row>
        <row r="6173">
          <cell r="B6173">
            <v>7.1435185185187877E-2</v>
          </cell>
          <cell r="C6173">
            <v>102</v>
          </cell>
        </row>
        <row r="6174">
          <cell r="B6174">
            <v>7.1446759259261958E-2</v>
          </cell>
          <cell r="C6174">
            <v>102</v>
          </cell>
        </row>
        <row r="6175">
          <cell r="B6175">
            <v>7.1458333333336038E-2</v>
          </cell>
          <cell r="C6175">
            <v>102</v>
          </cell>
        </row>
        <row r="6176">
          <cell r="B6176">
            <v>7.1469907407410119E-2</v>
          </cell>
          <cell r="C6176">
            <v>102</v>
          </cell>
        </row>
        <row r="6177">
          <cell r="B6177">
            <v>7.1481481481484199E-2</v>
          </cell>
          <cell r="C6177">
            <v>102</v>
          </cell>
        </row>
        <row r="6178">
          <cell r="B6178">
            <v>7.149305555555828E-2</v>
          </cell>
          <cell r="C6178">
            <v>102</v>
          </cell>
        </row>
        <row r="6179">
          <cell r="B6179">
            <v>7.150462962963236E-2</v>
          </cell>
          <cell r="C6179">
            <v>102</v>
          </cell>
        </row>
        <row r="6180">
          <cell r="B6180">
            <v>7.1516203703706441E-2</v>
          </cell>
          <cell r="C6180">
            <v>102</v>
          </cell>
        </row>
        <row r="6181">
          <cell r="B6181">
            <v>7.1527777777780521E-2</v>
          </cell>
          <cell r="C6181">
            <v>103</v>
          </cell>
        </row>
        <row r="6182">
          <cell r="B6182">
            <v>7.1539351851854602E-2</v>
          </cell>
          <cell r="C6182">
            <v>103</v>
          </cell>
        </row>
        <row r="6183">
          <cell r="B6183">
            <v>7.1550925925928682E-2</v>
          </cell>
          <cell r="C6183">
            <v>103</v>
          </cell>
        </row>
        <row r="6184">
          <cell r="B6184">
            <v>7.1562500000002763E-2</v>
          </cell>
          <cell r="C6184">
            <v>103</v>
          </cell>
        </row>
        <row r="6185">
          <cell r="B6185">
            <v>7.1574074074076843E-2</v>
          </cell>
          <cell r="C6185">
            <v>103</v>
          </cell>
        </row>
        <row r="6186">
          <cell r="B6186">
            <v>7.1585648148150924E-2</v>
          </cell>
          <cell r="C6186">
            <v>103</v>
          </cell>
        </row>
        <row r="6187">
          <cell r="B6187">
            <v>7.1597222222225004E-2</v>
          </cell>
          <cell r="C6187">
            <v>103</v>
          </cell>
        </row>
        <row r="6188">
          <cell r="B6188">
            <v>7.1608796296299085E-2</v>
          </cell>
          <cell r="C6188">
            <v>103</v>
          </cell>
        </row>
        <row r="6189">
          <cell r="B6189">
            <v>7.1620370370373165E-2</v>
          </cell>
          <cell r="C6189">
            <v>103</v>
          </cell>
        </row>
        <row r="6190">
          <cell r="B6190">
            <v>7.1631944444447246E-2</v>
          </cell>
          <cell r="C6190">
            <v>103</v>
          </cell>
        </row>
        <row r="6191">
          <cell r="B6191">
            <v>7.1643518518521326E-2</v>
          </cell>
          <cell r="C6191">
            <v>103</v>
          </cell>
        </row>
        <row r="6192">
          <cell r="B6192">
            <v>7.1655092592595407E-2</v>
          </cell>
          <cell r="C6192">
            <v>103</v>
          </cell>
        </row>
        <row r="6193">
          <cell r="B6193">
            <v>7.1666666666669487E-2</v>
          </cell>
          <cell r="C6193">
            <v>103</v>
          </cell>
        </row>
        <row r="6194">
          <cell r="B6194">
            <v>7.1678240740743568E-2</v>
          </cell>
          <cell r="C6194">
            <v>103</v>
          </cell>
        </row>
        <row r="6195">
          <cell r="B6195">
            <v>7.1689814814817648E-2</v>
          </cell>
          <cell r="C6195">
            <v>103</v>
          </cell>
        </row>
        <row r="6196">
          <cell r="B6196">
            <v>7.1701388888891729E-2</v>
          </cell>
          <cell r="C6196">
            <v>103</v>
          </cell>
        </row>
        <row r="6197">
          <cell r="B6197">
            <v>7.1712962962965809E-2</v>
          </cell>
          <cell r="C6197">
            <v>103</v>
          </cell>
        </row>
        <row r="6198">
          <cell r="B6198">
            <v>7.172453703703989E-2</v>
          </cell>
          <cell r="C6198">
            <v>103</v>
          </cell>
        </row>
        <row r="6199">
          <cell r="B6199">
            <v>7.173611111111397E-2</v>
          </cell>
          <cell r="C6199">
            <v>103</v>
          </cell>
        </row>
        <row r="6200">
          <cell r="B6200">
            <v>7.1747685185188051E-2</v>
          </cell>
          <cell r="C6200">
            <v>103</v>
          </cell>
        </row>
        <row r="6201">
          <cell r="B6201">
            <v>7.1759259259262131E-2</v>
          </cell>
          <cell r="C6201">
            <v>103</v>
          </cell>
        </row>
        <row r="6202">
          <cell r="B6202">
            <v>7.1770833333336212E-2</v>
          </cell>
          <cell r="C6202">
            <v>103</v>
          </cell>
        </row>
        <row r="6203">
          <cell r="B6203">
            <v>7.1782407407410292E-2</v>
          </cell>
          <cell r="C6203">
            <v>103</v>
          </cell>
        </row>
        <row r="6204">
          <cell r="B6204">
            <v>7.1793981481484373E-2</v>
          </cell>
          <cell r="C6204">
            <v>103</v>
          </cell>
        </row>
        <row r="6205">
          <cell r="B6205">
            <v>7.1805555555558453E-2</v>
          </cell>
          <cell r="C6205">
            <v>103</v>
          </cell>
        </row>
        <row r="6206">
          <cell r="B6206">
            <v>7.1817129629632534E-2</v>
          </cell>
          <cell r="C6206">
            <v>103</v>
          </cell>
        </row>
        <row r="6207">
          <cell r="B6207">
            <v>7.1828703703706615E-2</v>
          </cell>
          <cell r="C6207">
            <v>103</v>
          </cell>
        </row>
        <row r="6208">
          <cell r="B6208">
            <v>7.1840277777780695E-2</v>
          </cell>
          <cell r="C6208">
            <v>103</v>
          </cell>
        </row>
        <row r="6209">
          <cell r="B6209">
            <v>7.1851851851854776E-2</v>
          </cell>
          <cell r="C6209">
            <v>103</v>
          </cell>
        </row>
        <row r="6210">
          <cell r="B6210">
            <v>7.1863425925928856E-2</v>
          </cell>
          <cell r="C6210">
            <v>103</v>
          </cell>
        </row>
        <row r="6211">
          <cell r="B6211">
            <v>7.1875000000002937E-2</v>
          </cell>
          <cell r="C6211">
            <v>103</v>
          </cell>
        </row>
        <row r="6212">
          <cell r="B6212">
            <v>7.1886574074077017E-2</v>
          </cell>
          <cell r="C6212">
            <v>103</v>
          </cell>
        </row>
        <row r="6213">
          <cell r="B6213">
            <v>7.1898148148151098E-2</v>
          </cell>
          <cell r="C6213">
            <v>103</v>
          </cell>
        </row>
        <row r="6214">
          <cell r="B6214">
            <v>7.1909722222225178E-2</v>
          </cell>
          <cell r="C6214">
            <v>103</v>
          </cell>
        </row>
        <row r="6215">
          <cell r="B6215">
            <v>7.1921296296299259E-2</v>
          </cell>
          <cell r="C6215">
            <v>103</v>
          </cell>
        </row>
        <row r="6216">
          <cell r="B6216">
            <v>7.1932870370373339E-2</v>
          </cell>
          <cell r="C6216">
            <v>103</v>
          </cell>
        </row>
        <row r="6217">
          <cell r="B6217">
            <v>7.194444444444742E-2</v>
          </cell>
          <cell r="C6217">
            <v>103</v>
          </cell>
        </row>
        <row r="6218">
          <cell r="B6218">
            <v>7.19560185185215E-2</v>
          </cell>
          <cell r="C6218">
            <v>103</v>
          </cell>
        </row>
        <row r="6219">
          <cell r="B6219">
            <v>7.1967592592595581E-2</v>
          </cell>
          <cell r="C6219">
            <v>103</v>
          </cell>
        </row>
        <row r="6220">
          <cell r="B6220">
            <v>7.1979166666669661E-2</v>
          </cell>
          <cell r="C6220">
            <v>103</v>
          </cell>
        </row>
        <row r="6221">
          <cell r="B6221">
            <v>7.1990740740743742E-2</v>
          </cell>
          <cell r="C6221">
            <v>103</v>
          </cell>
        </row>
        <row r="6222">
          <cell r="B6222">
            <v>7.2002314814817822E-2</v>
          </cell>
          <cell r="C6222">
            <v>103</v>
          </cell>
        </row>
        <row r="6223">
          <cell r="B6223">
            <v>7.2013888888891903E-2</v>
          </cell>
          <cell r="C6223">
            <v>103</v>
          </cell>
        </row>
        <row r="6224">
          <cell r="B6224">
            <v>7.2025462962965983E-2</v>
          </cell>
          <cell r="C6224">
            <v>103</v>
          </cell>
        </row>
        <row r="6225">
          <cell r="B6225">
            <v>7.2037037037040064E-2</v>
          </cell>
          <cell r="C6225">
            <v>103</v>
          </cell>
        </row>
        <row r="6226">
          <cell r="B6226">
            <v>7.2048611111114144E-2</v>
          </cell>
          <cell r="C6226">
            <v>103</v>
          </cell>
        </row>
        <row r="6227">
          <cell r="B6227">
            <v>7.2060185185188225E-2</v>
          </cell>
          <cell r="C6227">
            <v>103</v>
          </cell>
        </row>
        <row r="6228">
          <cell r="B6228">
            <v>7.2071759259262305E-2</v>
          </cell>
          <cell r="C6228">
            <v>103</v>
          </cell>
        </row>
        <row r="6229">
          <cell r="B6229">
            <v>7.2083333333336386E-2</v>
          </cell>
          <cell r="C6229">
            <v>103</v>
          </cell>
        </row>
        <row r="6230">
          <cell r="B6230">
            <v>7.2094907407410466E-2</v>
          </cell>
          <cell r="C6230">
            <v>103</v>
          </cell>
        </row>
        <row r="6231">
          <cell r="B6231">
            <v>7.2106481481484547E-2</v>
          </cell>
          <cell r="C6231">
            <v>103</v>
          </cell>
        </row>
        <row r="6232">
          <cell r="B6232">
            <v>7.2118055555558627E-2</v>
          </cell>
          <cell r="C6232">
            <v>103</v>
          </cell>
        </row>
        <row r="6233">
          <cell r="B6233">
            <v>7.2129629629632708E-2</v>
          </cell>
          <cell r="C6233">
            <v>103</v>
          </cell>
        </row>
        <row r="6234">
          <cell r="B6234">
            <v>7.2141203703706788E-2</v>
          </cell>
          <cell r="C6234">
            <v>103</v>
          </cell>
        </row>
        <row r="6235">
          <cell r="B6235">
            <v>7.2152777777780869E-2</v>
          </cell>
          <cell r="C6235">
            <v>103</v>
          </cell>
        </row>
        <row r="6236">
          <cell r="B6236">
            <v>7.2164351851854949E-2</v>
          </cell>
          <cell r="C6236">
            <v>103</v>
          </cell>
        </row>
        <row r="6237">
          <cell r="B6237">
            <v>7.217592592592903E-2</v>
          </cell>
          <cell r="C6237">
            <v>103</v>
          </cell>
        </row>
        <row r="6238">
          <cell r="B6238">
            <v>7.218750000000311E-2</v>
          </cell>
          <cell r="C6238">
            <v>103</v>
          </cell>
        </row>
        <row r="6239">
          <cell r="B6239">
            <v>7.2199074074077191E-2</v>
          </cell>
          <cell r="C6239">
            <v>103</v>
          </cell>
        </row>
        <row r="6240">
          <cell r="B6240">
            <v>7.2210648148151271E-2</v>
          </cell>
          <cell r="C6240">
            <v>103</v>
          </cell>
        </row>
        <row r="6241">
          <cell r="B6241">
            <v>7.2222222222225352E-2</v>
          </cell>
          <cell r="C6241">
            <v>104</v>
          </cell>
        </row>
        <row r="6242">
          <cell r="B6242">
            <v>7.2233796296299432E-2</v>
          </cell>
          <cell r="C6242">
            <v>104</v>
          </cell>
        </row>
        <row r="6243">
          <cell r="B6243">
            <v>7.2245370370373513E-2</v>
          </cell>
          <cell r="C6243">
            <v>104</v>
          </cell>
        </row>
        <row r="6244">
          <cell r="B6244">
            <v>7.2256944444447593E-2</v>
          </cell>
          <cell r="C6244">
            <v>104</v>
          </cell>
        </row>
        <row r="6245">
          <cell r="B6245">
            <v>7.2268518518521674E-2</v>
          </cell>
          <cell r="C6245">
            <v>104</v>
          </cell>
        </row>
        <row r="6246">
          <cell r="B6246">
            <v>7.2280092592595754E-2</v>
          </cell>
          <cell r="C6246">
            <v>104</v>
          </cell>
        </row>
        <row r="6247">
          <cell r="B6247">
            <v>7.2291666666669835E-2</v>
          </cell>
          <cell r="C6247">
            <v>104</v>
          </cell>
        </row>
        <row r="6248">
          <cell r="B6248">
            <v>7.2303240740743915E-2</v>
          </cell>
          <cell r="C6248">
            <v>104</v>
          </cell>
        </row>
        <row r="6249">
          <cell r="B6249">
            <v>7.2314814814817996E-2</v>
          </cell>
          <cell r="C6249">
            <v>104</v>
          </cell>
        </row>
        <row r="6250">
          <cell r="B6250">
            <v>7.2326388888892076E-2</v>
          </cell>
          <cell r="C6250">
            <v>104</v>
          </cell>
        </row>
        <row r="6251">
          <cell r="B6251">
            <v>7.2337962962966157E-2</v>
          </cell>
          <cell r="C6251">
            <v>104</v>
          </cell>
        </row>
        <row r="6252">
          <cell r="B6252">
            <v>7.2349537037040237E-2</v>
          </cell>
          <cell r="C6252">
            <v>104</v>
          </cell>
        </row>
        <row r="6253">
          <cell r="B6253">
            <v>7.2361111111114318E-2</v>
          </cell>
          <cell r="C6253">
            <v>104</v>
          </cell>
        </row>
        <row r="6254">
          <cell r="B6254">
            <v>7.2372685185188398E-2</v>
          </cell>
          <cell r="C6254">
            <v>104</v>
          </cell>
        </row>
        <row r="6255">
          <cell r="B6255">
            <v>7.2384259259262479E-2</v>
          </cell>
          <cell r="C6255">
            <v>104</v>
          </cell>
        </row>
        <row r="6256">
          <cell r="B6256">
            <v>7.2395833333336559E-2</v>
          </cell>
          <cell r="C6256">
            <v>104</v>
          </cell>
        </row>
        <row r="6257">
          <cell r="B6257">
            <v>7.240740740741064E-2</v>
          </cell>
          <cell r="C6257">
            <v>104</v>
          </cell>
        </row>
        <row r="6258">
          <cell r="B6258">
            <v>7.241898148148472E-2</v>
          </cell>
          <cell r="C6258">
            <v>104</v>
          </cell>
        </row>
        <row r="6259">
          <cell r="B6259">
            <v>7.2430555555558801E-2</v>
          </cell>
          <cell r="C6259">
            <v>104</v>
          </cell>
        </row>
        <row r="6260">
          <cell r="B6260">
            <v>7.2442129629632881E-2</v>
          </cell>
          <cell r="C6260">
            <v>104</v>
          </cell>
        </row>
        <row r="6261">
          <cell r="B6261">
            <v>7.2453703703706962E-2</v>
          </cell>
          <cell r="C6261">
            <v>104</v>
          </cell>
        </row>
        <row r="6262">
          <cell r="B6262">
            <v>7.2465277777781043E-2</v>
          </cell>
          <cell r="C6262">
            <v>104</v>
          </cell>
        </row>
        <row r="6263">
          <cell r="B6263">
            <v>7.2476851851855123E-2</v>
          </cell>
          <cell r="C6263">
            <v>104</v>
          </cell>
        </row>
        <row r="6264">
          <cell r="B6264">
            <v>7.2488425925929204E-2</v>
          </cell>
          <cell r="C6264">
            <v>104</v>
          </cell>
        </row>
        <row r="6265">
          <cell r="B6265">
            <v>7.2500000000003284E-2</v>
          </cell>
          <cell r="C6265">
            <v>104</v>
          </cell>
        </row>
        <row r="6266">
          <cell r="B6266">
            <v>7.2511574074077365E-2</v>
          </cell>
          <cell r="C6266">
            <v>104</v>
          </cell>
        </row>
        <row r="6267">
          <cell r="B6267">
            <v>7.2523148148151445E-2</v>
          </cell>
          <cell r="C6267">
            <v>104</v>
          </cell>
        </row>
        <row r="6268">
          <cell r="B6268">
            <v>7.2534722222225526E-2</v>
          </cell>
          <cell r="C6268">
            <v>104</v>
          </cell>
        </row>
        <row r="6269">
          <cell r="B6269">
            <v>7.2546296296299606E-2</v>
          </cell>
          <cell r="C6269">
            <v>104</v>
          </cell>
        </row>
        <row r="6270">
          <cell r="B6270">
            <v>7.2557870370373687E-2</v>
          </cell>
          <cell r="C6270">
            <v>104</v>
          </cell>
        </row>
        <row r="6271">
          <cell r="B6271">
            <v>7.2569444444447767E-2</v>
          </cell>
          <cell r="C6271">
            <v>104</v>
          </cell>
        </row>
        <row r="6272">
          <cell r="B6272">
            <v>7.2581018518521848E-2</v>
          </cell>
          <cell r="C6272">
            <v>104</v>
          </cell>
        </row>
        <row r="6273">
          <cell r="B6273">
            <v>7.2592592592595928E-2</v>
          </cell>
          <cell r="C6273">
            <v>104</v>
          </cell>
        </row>
        <row r="6274">
          <cell r="B6274">
            <v>7.2604166666670009E-2</v>
          </cell>
          <cell r="C6274">
            <v>104</v>
          </cell>
        </row>
        <row r="6275">
          <cell r="B6275">
            <v>7.2615740740744089E-2</v>
          </cell>
          <cell r="C6275">
            <v>104</v>
          </cell>
        </row>
        <row r="6276">
          <cell r="B6276">
            <v>7.262731481481817E-2</v>
          </cell>
          <cell r="C6276">
            <v>104</v>
          </cell>
        </row>
        <row r="6277">
          <cell r="B6277">
            <v>7.263888888889225E-2</v>
          </cell>
          <cell r="C6277">
            <v>104</v>
          </cell>
        </row>
        <row r="6278">
          <cell r="B6278">
            <v>7.2650462962966331E-2</v>
          </cell>
          <cell r="C6278">
            <v>104</v>
          </cell>
        </row>
        <row r="6279">
          <cell r="B6279">
            <v>7.2662037037040411E-2</v>
          </cell>
          <cell r="C6279">
            <v>104</v>
          </cell>
        </row>
        <row r="6280">
          <cell r="B6280">
            <v>7.2673611111114492E-2</v>
          </cell>
          <cell r="C6280">
            <v>104</v>
          </cell>
        </row>
        <row r="6281">
          <cell r="B6281">
            <v>7.2685185185188572E-2</v>
          </cell>
          <cell r="C6281">
            <v>104</v>
          </cell>
        </row>
        <row r="6282">
          <cell r="B6282">
            <v>7.2696759259262653E-2</v>
          </cell>
          <cell r="C6282">
            <v>104</v>
          </cell>
        </row>
        <row r="6283">
          <cell r="B6283">
            <v>7.2708333333336733E-2</v>
          </cell>
          <cell r="C6283">
            <v>104</v>
          </cell>
        </row>
        <row r="6284">
          <cell r="B6284">
            <v>7.2719907407410814E-2</v>
          </cell>
          <cell r="C6284">
            <v>104</v>
          </cell>
        </row>
        <row r="6285">
          <cell r="B6285">
            <v>7.2731481481484894E-2</v>
          </cell>
          <cell r="C6285">
            <v>104</v>
          </cell>
        </row>
        <row r="6286">
          <cell r="B6286">
            <v>7.2743055555558975E-2</v>
          </cell>
          <cell r="C6286">
            <v>104</v>
          </cell>
        </row>
        <row r="6287">
          <cell r="B6287">
            <v>7.2754629629633055E-2</v>
          </cell>
          <cell r="C6287">
            <v>104</v>
          </cell>
        </row>
        <row r="6288">
          <cell r="B6288">
            <v>7.2766203703707136E-2</v>
          </cell>
          <cell r="C6288">
            <v>104</v>
          </cell>
        </row>
        <row r="6289">
          <cell r="B6289">
            <v>7.2777777777781216E-2</v>
          </cell>
          <cell r="C6289">
            <v>104</v>
          </cell>
        </row>
        <row r="6290">
          <cell r="B6290">
            <v>7.2789351851855297E-2</v>
          </cell>
          <cell r="C6290">
            <v>104</v>
          </cell>
        </row>
        <row r="6291">
          <cell r="B6291">
            <v>7.2800925925929377E-2</v>
          </cell>
          <cell r="C6291">
            <v>104</v>
          </cell>
        </row>
        <row r="6292">
          <cell r="B6292">
            <v>7.2812500000003458E-2</v>
          </cell>
          <cell r="C6292">
            <v>104</v>
          </cell>
        </row>
        <row r="6293">
          <cell r="B6293">
            <v>7.2824074074077538E-2</v>
          </cell>
          <cell r="C6293">
            <v>104</v>
          </cell>
        </row>
        <row r="6294">
          <cell r="B6294">
            <v>7.2835648148151619E-2</v>
          </cell>
          <cell r="C6294">
            <v>104</v>
          </cell>
        </row>
        <row r="6295">
          <cell r="B6295">
            <v>7.2847222222225699E-2</v>
          </cell>
          <cell r="C6295">
            <v>104</v>
          </cell>
        </row>
        <row r="6296">
          <cell r="B6296">
            <v>7.285879629629978E-2</v>
          </cell>
          <cell r="C6296">
            <v>104</v>
          </cell>
        </row>
        <row r="6297">
          <cell r="B6297">
            <v>7.287037037037386E-2</v>
          </cell>
          <cell r="C6297">
            <v>104</v>
          </cell>
        </row>
        <row r="6298">
          <cell r="B6298">
            <v>7.2881944444447941E-2</v>
          </cell>
          <cell r="C6298">
            <v>104</v>
          </cell>
        </row>
        <row r="6299">
          <cell r="B6299">
            <v>7.2893518518522021E-2</v>
          </cell>
          <cell r="C6299">
            <v>104</v>
          </cell>
        </row>
        <row r="6300">
          <cell r="B6300">
            <v>7.2905092592596102E-2</v>
          </cell>
          <cell r="C6300">
            <v>104</v>
          </cell>
        </row>
        <row r="6301">
          <cell r="B6301">
            <v>7.2916666666670182E-2</v>
          </cell>
          <cell r="C6301">
            <v>105</v>
          </cell>
        </row>
        <row r="6302">
          <cell r="B6302">
            <v>7.2928240740744263E-2</v>
          </cell>
          <cell r="C6302">
            <v>105</v>
          </cell>
        </row>
        <row r="6303">
          <cell r="B6303">
            <v>7.2939814814818343E-2</v>
          </cell>
          <cell r="C6303">
            <v>105</v>
          </cell>
        </row>
        <row r="6304">
          <cell r="B6304">
            <v>7.2951388888892424E-2</v>
          </cell>
          <cell r="C6304">
            <v>105</v>
          </cell>
        </row>
        <row r="6305">
          <cell r="B6305">
            <v>7.2962962962966504E-2</v>
          </cell>
          <cell r="C6305">
            <v>105</v>
          </cell>
        </row>
        <row r="6306">
          <cell r="B6306">
            <v>7.2974537037040585E-2</v>
          </cell>
          <cell r="C6306">
            <v>105</v>
          </cell>
        </row>
        <row r="6307">
          <cell r="B6307">
            <v>7.2986111111114665E-2</v>
          </cell>
          <cell r="C6307">
            <v>105</v>
          </cell>
        </row>
        <row r="6308">
          <cell r="B6308">
            <v>7.2997685185188746E-2</v>
          </cell>
          <cell r="C6308">
            <v>105</v>
          </cell>
        </row>
        <row r="6309">
          <cell r="B6309">
            <v>7.3009259259262826E-2</v>
          </cell>
          <cell r="C6309">
            <v>105</v>
          </cell>
        </row>
        <row r="6310">
          <cell r="B6310">
            <v>7.3020833333336907E-2</v>
          </cell>
          <cell r="C6310">
            <v>105</v>
          </cell>
        </row>
        <row r="6311">
          <cell r="B6311">
            <v>7.3032407407410987E-2</v>
          </cell>
          <cell r="C6311">
            <v>105</v>
          </cell>
        </row>
        <row r="6312">
          <cell r="B6312">
            <v>7.3043981481485068E-2</v>
          </cell>
          <cell r="C6312">
            <v>105</v>
          </cell>
        </row>
        <row r="6313">
          <cell r="B6313">
            <v>7.3055555555559148E-2</v>
          </cell>
          <cell r="C6313">
            <v>105</v>
          </cell>
        </row>
        <row r="6314">
          <cell r="B6314">
            <v>7.3067129629633229E-2</v>
          </cell>
          <cell r="C6314">
            <v>105</v>
          </cell>
        </row>
        <row r="6315">
          <cell r="B6315">
            <v>7.307870370370731E-2</v>
          </cell>
          <cell r="C6315">
            <v>105</v>
          </cell>
        </row>
        <row r="6316">
          <cell r="B6316">
            <v>7.309027777778139E-2</v>
          </cell>
          <cell r="C6316">
            <v>105</v>
          </cell>
        </row>
        <row r="6317">
          <cell r="B6317">
            <v>7.3101851851855471E-2</v>
          </cell>
          <cell r="C6317">
            <v>105</v>
          </cell>
        </row>
        <row r="6318">
          <cell r="B6318">
            <v>7.3113425925929551E-2</v>
          </cell>
          <cell r="C6318">
            <v>105</v>
          </cell>
        </row>
        <row r="6319">
          <cell r="B6319">
            <v>7.3125000000003632E-2</v>
          </cell>
          <cell r="C6319">
            <v>105</v>
          </cell>
        </row>
        <row r="6320">
          <cell r="B6320">
            <v>7.3136574074077712E-2</v>
          </cell>
          <cell r="C6320">
            <v>105</v>
          </cell>
        </row>
        <row r="6321">
          <cell r="B6321">
            <v>7.3148148148151793E-2</v>
          </cell>
          <cell r="C6321">
            <v>105</v>
          </cell>
        </row>
        <row r="6322">
          <cell r="B6322">
            <v>7.3159722222225873E-2</v>
          </cell>
          <cell r="C6322">
            <v>105</v>
          </cell>
        </row>
        <row r="6323">
          <cell r="B6323">
            <v>7.3171296296299954E-2</v>
          </cell>
          <cell r="C6323">
            <v>105</v>
          </cell>
        </row>
        <row r="6324">
          <cell r="B6324">
            <v>7.3182870370374034E-2</v>
          </cell>
          <cell r="C6324">
            <v>105</v>
          </cell>
        </row>
        <row r="6325">
          <cell r="B6325">
            <v>7.3194444444448115E-2</v>
          </cell>
          <cell r="C6325">
            <v>105</v>
          </cell>
        </row>
        <row r="6326">
          <cell r="B6326">
            <v>7.3206018518522195E-2</v>
          </cell>
          <cell r="C6326">
            <v>105</v>
          </cell>
        </row>
        <row r="6327">
          <cell r="B6327">
            <v>7.3217592592596276E-2</v>
          </cell>
          <cell r="C6327">
            <v>105</v>
          </cell>
        </row>
        <row r="6328">
          <cell r="B6328">
            <v>7.3229166666670356E-2</v>
          </cell>
          <cell r="C6328">
            <v>105</v>
          </cell>
        </row>
        <row r="6329">
          <cell r="B6329">
            <v>7.3240740740744437E-2</v>
          </cell>
          <cell r="C6329">
            <v>105</v>
          </cell>
        </row>
        <row r="6330">
          <cell r="B6330">
            <v>7.3252314814818517E-2</v>
          </cell>
          <cell r="C6330">
            <v>105</v>
          </cell>
        </row>
        <row r="6331">
          <cell r="B6331">
            <v>7.3263888888892598E-2</v>
          </cell>
          <cell r="C6331">
            <v>105</v>
          </cell>
        </row>
        <row r="6332">
          <cell r="B6332">
            <v>7.3275462962966678E-2</v>
          </cell>
          <cell r="C6332">
            <v>105</v>
          </cell>
        </row>
        <row r="6333">
          <cell r="B6333">
            <v>7.3287037037040759E-2</v>
          </cell>
          <cell r="C6333">
            <v>105</v>
          </cell>
        </row>
        <row r="6334">
          <cell r="B6334">
            <v>7.3298611111114839E-2</v>
          </cell>
          <cell r="C6334">
            <v>105</v>
          </cell>
        </row>
        <row r="6335">
          <cell r="B6335">
            <v>7.331018518518892E-2</v>
          </cell>
          <cell r="C6335">
            <v>105</v>
          </cell>
        </row>
        <row r="6336">
          <cell r="B6336">
            <v>7.3321759259263E-2</v>
          </cell>
          <cell r="C6336">
            <v>105</v>
          </cell>
        </row>
        <row r="6337">
          <cell r="B6337">
            <v>7.3333333333337081E-2</v>
          </cell>
          <cell r="C6337">
            <v>105</v>
          </cell>
        </row>
        <row r="6338">
          <cell r="B6338">
            <v>7.3344907407411161E-2</v>
          </cell>
          <cell r="C6338">
            <v>105</v>
          </cell>
        </row>
        <row r="6339">
          <cell r="B6339">
            <v>7.3356481481485242E-2</v>
          </cell>
          <cell r="C6339">
            <v>105</v>
          </cell>
        </row>
        <row r="6340">
          <cell r="B6340">
            <v>7.3368055555559322E-2</v>
          </cell>
          <cell r="C6340">
            <v>105</v>
          </cell>
        </row>
        <row r="6341">
          <cell r="B6341">
            <v>7.3379629629633403E-2</v>
          </cell>
          <cell r="C6341">
            <v>105</v>
          </cell>
        </row>
        <row r="6342">
          <cell r="B6342">
            <v>7.3391203703707483E-2</v>
          </cell>
          <cell r="C6342">
            <v>105</v>
          </cell>
        </row>
        <row r="6343">
          <cell r="B6343">
            <v>7.3402777777781564E-2</v>
          </cell>
          <cell r="C6343">
            <v>105</v>
          </cell>
        </row>
        <row r="6344">
          <cell r="B6344">
            <v>7.3414351851855644E-2</v>
          </cell>
          <cell r="C6344">
            <v>105</v>
          </cell>
        </row>
        <row r="6345">
          <cell r="B6345">
            <v>7.3425925925929725E-2</v>
          </cell>
          <cell r="C6345">
            <v>105</v>
          </cell>
        </row>
        <row r="6346">
          <cell r="B6346">
            <v>7.3437500000003805E-2</v>
          </cell>
          <cell r="C6346">
            <v>105</v>
          </cell>
        </row>
        <row r="6347">
          <cell r="B6347">
            <v>7.3449074074077886E-2</v>
          </cell>
          <cell r="C6347">
            <v>105</v>
          </cell>
        </row>
        <row r="6348">
          <cell r="B6348">
            <v>7.3460648148151966E-2</v>
          </cell>
          <cell r="C6348">
            <v>105</v>
          </cell>
        </row>
        <row r="6349">
          <cell r="B6349">
            <v>7.3472222222226047E-2</v>
          </cell>
          <cell r="C6349">
            <v>105</v>
          </cell>
        </row>
        <row r="6350">
          <cell r="B6350">
            <v>7.3483796296300127E-2</v>
          </cell>
          <cell r="C6350">
            <v>105</v>
          </cell>
        </row>
        <row r="6351">
          <cell r="B6351">
            <v>7.3495370370374208E-2</v>
          </cell>
          <cell r="C6351">
            <v>105</v>
          </cell>
        </row>
        <row r="6352">
          <cell r="B6352">
            <v>7.3506944444448288E-2</v>
          </cell>
          <cell r="C6352">
            <v>105</v>
          </cell>
        </row>
        <row r="6353">
          <cell r="B6353">
            <v>7.3518518518522369E-2</v>
          </cell>
          <cell r="C6353">
            <v>105</v>
          </cell>
        </row>
        <row r="6354">
          <cell r="B6354">
            <v>7.3530092592596449E-2</v>
          </cell>
          <cell r="C6354">
            <v>105</v>
          </cell>
        </row>
        <row r="6355">
          <cell r="B6355">
            <v>7.354166666667053E-2</v>
          </cell>
          <cell r="C6355">
            <v>105</v>
          </cell>
        </row>
        <row r="6356">
          <cell r="B6356">
            <v>7.355324074074461E-2</v>
          </cell>
          <cell r="C6356">
            <v>105</v>
          </cell>
        </row>
        <row r="6357">
          <cell r="B6357">
            <v>7.3564814814818691E-2</v>
          </cell>
          <cell r="C6357">
            <v>105</v>
          </cell>
        </row>
        <row r="6358">
          <cell r="B6358">
            <v>7.3576388888892771E-2</v>
          </cell>
          <cell r="C6358">
            <v>105</v>
          </cell>
        </row>
        <row r="6359">
          <cell r="B6359">
            <v>7.3587962962966852E-2</v>
          </cell>
          <cell r="C6359">
            <v>105</v>
          </cell>
        </row>
        <row r="6360">
          <cell r="B6360">
            <v>7.3599537037040932E-2</v>
          </cell>
          <cell r="C6360">
            <v>105</v>
          </cell>
        </row>
        <row r="6361">
          <cell r="B6361">
            <v>7.3611111111115013E-2</v>
          </cell>
          <cell r="C6361">
            <v>106</v>
          </cell>
        </row>
        <row r="6362">
          <cell r="B6362">
            <v>7.3622685185189093E-2</v>
          </cell>
          <cell r="C6362">
            <v>106</v>
          </cell>
        </row>
        <row r="6363">
          <cell r="B6363">
            <v>7.3634259259263174E-2</v>
          </cell>
          <cell r="C6363">
            <v>106</v>
          </cell>
        </row>
        <row r="6364">
          <cell r="B6364">
            <v>7.3645833333337254E-2</v>
          </cell>
          <cell r="C6364">
            <v>106</v>
          </cell>
        </row>
        <row r="6365">
          <cell r="B6365">
            <v>7.3657407407411335E-2</v>
          </cell>
          <cell r="C6365">
            <v>106</v>
          </cell>
        </row>
        <row r="6366">
          <cell r="B6366">
            <v>7.3668981481485415E-2</v>
          </cell>
          <cell r="C6366">
            <v>106</v>
          </cell>
        </row>
        <row r="6367">
          <cell r="B6367">
            <v>7.3680555555559496E-2</v>
          </cell>
          <cell r="C6367">
            <v>106</v>
          </cell>
        </row>
        <row r="6368">
          <cell r="B6368">
            <v>7.3692129629633576E-2</v>
          </cell>
          <cell r="C6368">
            <v>106</v>
          </cell>
        </row>
        <row r="6369">
          <cell r="B6369">
            <v>7.3703703703707657E-2</v>
          </cell>
          <cell r="C6369">
            <v>106</v>
          </cell>
        </row>
        <row r="6370">
          <cell r="B6370">
            <v>7.3715277777781738E-2</v>
          </cell>
          <cell r="C6370">
            <v>106</v>
          </cell>
        </row>
        <row r="6371">
          <cell r="B6371">
            <v>7.3726851851855818E-2</v>
          </cell>
          <cell r="C6371">
            <v>106</v>
          </cell>
        </row>
        <row r="6372">
          <cell r="B6372">
            <v>7.3738425925929899E-2</v>
          </cell>
          <cell r="C6372">
            <v>106</v>
          </cell>
        </row>
        <row r="6373">
          <cell r="B6373">
            <v>7.3750000000003979E-2</v>
          </cell>
          <cell r="C6373">
            <v>106</v>
          </cell>
        </row>
        <row r="6374">
          <cell r="B6374">
            <v>7.376157407407806E-2</v>
          </cell>
          <cell r="C6374">
            <v>106</v>
          </cell>
        </row>
        <row r="6375">
          <cell r="B6375">
            <v>7.377314814815214E-2</v>
          </cell>
          <cell r="C6375">
            <v>106</v>
          </cell>
        </row>
        <row r="6376">
          <cell r="B6376">
            <v>7.3784722222226221E-2</v>
          </cell>
          <cell r="C6376">
            <v>106</v>
          </cell>
        </row>
        <row r="6377">
          <cell r="B6377">
            <v>7.3796296296300301E-2</v>
          </cell>
          <cell r="C6377">
            <v>106</v>
          </cell>
        </row>
        <row r="6378">
          <cell r="B6378">
            <v>7.3807870370374382E-2</v>
          </cell>
          <cell r="C6378">
            <v>106</v>
          </cell>
        </row>
        <row r="6379">
          <cell r="B6379">
            <v>7.3819444444448462E-2</v>
          </cell>
          <cell r="C6379">
            <v>106</v>
          </cell>
        </row>
        <row r="6380">
          <cell r="B6380">
            <v>7.3831018518522543E-2</v>
          </cell>
          <cell r="C6380">
            <v>106</v>
          </cell>
        </row>
        <row r="6381">
          <cell r="B6381">
            <v>7.3842592592596623E-2</v>
          </cell>
          <cell r="C6381">
            <v>106</v>
          </cell>
        </row>
        <row r="6382">
          <cell r="B6382">
            <v>7.3854166666670704E-2</v>
          </cell>
          <cell r="C6382">
            <v>106</v>
          </cell>
        </row>
        <row r="6383">
          <cell r="B6383">
            <v>7.3865740740744784E-2</v>
          </cell>
          <cell r="C6383">
            <v>106</v>
          </cell>
        </row>
        <row r="6384">
          <cell r="B6384">
            <v>7.3877314814818865E-2</v>
          </cell>
          <cell r="C6384">
            <v>106</v>
          </cell>
        </row>
        <row r="6385">
          <cell r="B6385">
            <v>7.3888888888892945E-2</v>
          </cell>
          <cell r="C6385">
            <v>106</v>
          </cell>
        </row>
        <row r="6386">
          <cell r="B6386">
            <v>7.3900462962967026E-2</v>
          </cell>
          <cell r="C6386">
            <v>106</v>
          </cell>
        </row>
        <row r="6387">
          <cell r="B6387">
            <v>7.3912037037041106E-2</v>
          </cell>
          <cell r="C6387">
            <v>106</v>
          </cell>
        </row>
        <row r="6388">
          <cell r="B6388">
            <v>7.3923611111115187E-2</v>
          </cell>
          <cell r="C6388">
            <v>106</v>
          </cell>
        </row>
        <row r="6389">
          <cell r="B6389">
            <v>7.3935185185189267E-2</v>
          </cell>
          <cell r="C6389">
            <v>106</v>
          </cell>
        </row>
        <row r="6390">
          <cell r="B6390">
            <v>7.3946759259263348E-2</v>
          </cell>
          <cell r="C6390">
            <v>106</v>
          </cell>
        </row>
        <row r="6391">
          <cell r="B6391">
            <v>7.3958333333337428E-2</v>
          </cell>
          <cell r="C6391">
            <v>106</v>
          </cell>
        </row>
        <row r="6392">
          <cell r="B6392">
            <v>7.3969907407411509E-2</v>
          </cell>
          <cell r="C6392">
            <v>106</v>
          </cell>
        </row>
        <row r="6393">
          <cell r="B6393">
            <v>7.3981481481485589E-2</v>
          </cell>
          <cell r="C6393">
            <v>106</v>
          </cell>
        </row>
        <row r="6394">
          <cell r="B6394">
            <v>7.399305555555967E-2</v>
          </cell>
          <cell r="C6394">
            <v>106</v>
          </cell>
        </row>
        <row r="6395">
          <cell r="B6395">
            <v>7.400462962963375E-2</v>
          </cell>
          <cell r="C6395">
            <v>106</v>
          </cell>
        </row>
        <row r="6396">
          <cell r="B6396">
            <v>7.4016203703707831E-2</v>
          </cell>
          <cell r="C6396">
            <v>106</v>
          </cell>
        </row>
        <row r="6397">
          <cell r="B6397">
            <v>7.4027777777781911E-2</v>
          </cell>
          <cell r="C6397">
            <v>106</v>
          </cell>
        </row>
        <row r="6398">
          <cell r="B6398">
            <v>7.4039351851855992E-2</v>
          </cell>
          <cell r="C6398">
            <v>106</v>
          </cell>
        </row>
        <row r="6399">
          <cell r="B6399">
            <v>7.4050925925930072E-2</v>
          </cell>
          <cell r="C6399">
            <v>106</v>
          </cell>
        </row>
        <row r="6400">
          <cell r="B6400">
            <v>7.4062500000004153E-2</v>
          </cell>
          <cell r="C6400">
            <v>106</v>
          </cell>
        </row>
        <row r="6401">
          <cell r="B6401">
            <v>7.4074074074078233E-2</v>
          </cell>
          <cell r="C6401">
            <v>106</v>
          </cell>
        </row>
        <row r="6402">
          <cell r="B6402">
            <v>7.4085648148152314E-2</v>
          </cell>
          <cell r="C6402">
            <v>106</v>
          </cell>
        </row>
        <row r="6403">
          <cell r="B6403">
            <v>7.4097222222226394E-2</v>
          </cell>
          <cell r="C6403">
            <v>106</v>
          </cell>
        </row>
        <row r="6404">
          <cell r="B6404">
            <v>7.4108796296300475E-2</v>
          </cell>
          <cell r="C6404">
            <v>106</v>
          </cell>
        </row>
        <row r="6405">
          <cell r="B6405">
            <v>7.4120370370374555E-2</v>
          </cell>
          <cell r="C6405">
            <v>106</v>
          </cell>
        </row>
        <row r="6406">
          <cell r="B6406">
            <v>7.4131944444448636E-2</v>
          </cell>
          <cell r="C6406">
            <v>106</v>
          </cell>
        </row>
        <row r="6407">
          <cell r="B6407">
            <v>7.4143518518522716E-2</v>
          </cell>
          <cell r="C6407">
            <v>106</v>
          </cell>
        </row>
        <row r="6408">
          <cell r="B6408">
            <v>7.4155092592596797E-2</v>
          </cell>
          <cell r="C6408">
            <v>106</v>
          </cell>
        </row>
        <row r="6409">
          <cell r="B6409">
            <v>7.4166666666670877E-2</v>
          </cell>
          <cell r="C6409">
            <v>106</v>
          </cell>
        </row>
        <row r="6410">
          <cell r="B6410">
            <v>7.4178240740744958E-2</v>
          </cell>
          <cell r="C6410">
            <v>106</v>
          </cell>
        </row>
        <row r="6411">
          <cell r="B6411">
            <v>7.4189814814819038E-2</v>
          </cell>
          <cell r="C6411">
            <v>106</v>
          </cell>
        </row>
        <row r="6412">
          <cell r="B6412">
            <v>7.4201388888893119E-2</v>
          </cell>
          <cell r="C6412">
            <v>106</v>
          </cell>
        </row>
        <row r="6413">
          <cell r="B6413">
            <v>7.4212962962967199E-2</v>
          </cell>
          <cell r="C6413">
            <v>106</v>
          </cell>
        </row>
        <row r="6414">
          <cell r="B6414">
            <v>7.422453703704128E-2</v>
          </cell>
          <cell r="C6414">
            <v>106</v>
          </cell>
        </row>
        <row r="6415">
          <cell r="B6415">
            <v>7.423611111111536E-2</v>
          </cell>
          <cell r="C6415">
            <v>106</v>
          </cell>
        </row>
        <row r="6416">
          <cell r="B6416">
            <v>7.4247685185189441E-2</v>
          </cell>
          <cell r="C6416">
            <v>106</v>
          </cell>
        </row>
        <row r="6417">
          <cell r="B6417">
            <v>7.4259259259263521E-2</v>
          </cell>
          <cell r="C6417">
            <v>106</v>
          </cell>
        </row>
        <row r="6418">
          <cell r="B6418">
            <v>7.4270833333337602E-2</v>
          </cell>
          <cell r="C6418">
            <v>106</v>
          </cell>
        </row>
        <row r="6419">
          <cell r="B6419">
            <v>7.4282407407411682E-2</v>
          </cell>
          <cell r="C6419">
            <v>106</v>
          </cell>
        </row>
        <row r="6420">
          <cell r="B6420">
            <v>7.4293981481485763E-2</v>
          </cell>
          <cell r="C6420">
            <v>106</v>
          </cell>
        </row>
        <row r="6421">
          <cell r="B6421">
            <v>7.4305555555559843E-2</v>
          </cell>
          <cell r="C6421">
            <v>107</v>
          </cell>
        </row>
        <row r="6422">
          <cell r="B6422">
            <v>7.4317129629633924E-2</v>
          </cell>
          <cell r="C6422">
            <v>107</v>
          </cell>
        </row>
        <row r="6423">
          <cell r="B6423">
            <v>7.4328703703708005E-2</v>
          </cell>
          <cell r="C6423">
            <v>107</v>
          </cell>
        </row>
        <row r="6424">
          <cell r="B6424">
            <v>7.4340277777782085E-2</v>
          </cell>
          <cell r="C6424">
            <v>107</v>
          </cell>
        </row>
        <row r="6425">
          <cell r="B6425">
            <v>7.4351851851856166E-2</v>
          </cell>
          <cell r="C6425">
            <v>107</v>
          </cell>
        </row>
        <row r="6426">
          <cell r="B6426">
            <v>7.4363425925930246E-2</v>
          </cell>
          <cell r="C6426">
            <v>107</v>
          </cell>
        </row>
        <row r="6427">
          <cell r="B6427">
            <v>7.4375000000004327E-2</v>
          </cell>
          <cell r="C6427">
            <v>107</v>
          </cell>
        </row>
        <row r="6428">
          <cell r="B6428">
            <v>7.4386574074078407E-2</v>
          </cell>
          <cell r="C6428">
            <v>107</v>
          </cell>
        </row>
        <row r="6429">
          <cell r="B6429">
            <v>7.4398148148152488E-2</v>
          </cell>
          <cell r="C6429">
            <v>107</v>
          </cell>
        </row>
        <row r="6430">
          <cell r="B6430">
            <v>7.4409722222226568E-2</v>
          </cell>
          <cell r="C6430">
            <v>107</v>
          </cell>
        </row>
        <row r="6431">
          <cell r="B6431">
            <v>7.4421296296300649E-2</v>
          </cell>
          <cell r="C6431">
            <v>107</v>
          </cell>
        </row>
        <row r="6432">
          <cell r="B6432">
            <v>7.4432870370374729E-2</v>
          </cell>
          <cell r="C6432">
            <v>107</v>
          </cell>
        </row>
        <row r="6433">
          <cell r="B6433">
            <v>7.444444444444881E-2</v>
          </cell>
          <cell r="C6433">
            <v>107</v>
          </cell>
        </row>
        <row r="6434">
          <cell r="B6434">
            <v>7.445601851852289E-2</v>
          </cell>
          <cell r="C6434">
            <v>107</v>
          </cell>
        </row>
        <row r="6435">
          <cell r="B6435">
            <v>7.4467592592596971E-2</v>
          </cell>
          <cell r="C6435">
            <v>107</v>
          </cell>
        </row>
        <row r="6436">
          <cell r="B6436">
            <v>7.4479166666671051E-2</v>
          </cell>
          <cell r="C6436">
            <v>107</v>
          </cell>
        </row>
        <row r="6437">
          <cell r="B6437">
            <v>7.4490740740745132E-2</v>
          </cell>
          <cell r="C6437">
            <v>107</v>
          </cell>
        </row>
        <row r="6438">
          <cell r="B6438">
            <v>7.4502314814819212E-2</v>
          </cell>
          <cell r="C6438">
            <v>107</v>
          </cell>
        </row>
        <row r="6439">
          <cell r="B6439">
            <v>7.4513888888893293E-2</v>
          </cell>
          <cell r="C6439">
            <v>107</v>
          </cell>
        </row>
        <row r="6440">
          <cell r="B6440">
            <v>7.4525462962967373E-2</v>
          </cell>
          <cell r="C6440">
            <v>107</v>
          </cell>
        </row>
        <row r="6441">
          <cell r="B6441">
            <v>7.4537037037041454E-2</v>
          </cell>
          <cell r="C6441">
            <v>107</v>
          </cell>
        </row>
        <row r="6442">
          <cell r="B6442">
            <v>7.4548611111115534E-2</v>
          </cell>
          <cell r="C6442">
            <v>107</v>
          </cell>
        </row>
        <row r="6443">
          <cell r="B6443">
            <v>7.4560185185189615E-2</v>
          </cell>
          <cell r="C6443">
            <v>107</v>
          </cell>
        </row>
        <row r="6444">
          <cell r="B6444">
            <v>7.4571759259263695E-2</v>
          </cell>
          <cell r="C6444">
            <v>107</v>
          </cell>
        </row>
        <row r="6445">
          <cell r="B6445">
            <v>7.4583333333337776E-2</v>
          </cell>
          <cell r="C6445">
            <v>107</v>
          </cell>
        </row>
        <row r="6446">
          <cell r="B6446">
            <v>7.4594907407411856E-2</v>
          </cell>
          <cell r="C6446">
            <v>107</v>
          </cell>
        </row>
        <row r="6447">
          <cell r="B6447">
            <v>7.4606481481485937E-2</v>
          </cell>
          <cell r="C6447">
            <v>107</v>
          </cell>
        </row>
        <row r="6448">
          <cell r="B6448">
            <v>7.4618055555560017E-2</v>
          </cell>
          <cell r="C6448">
            <v>107</v>
          </cell>
        </row>
        <row r="6449">
          <cell r="B6449">
            <v>7.4629629629634098E-2</v>
          </cell>
          <cell r="C6449">
            <v>107</v>
          </cell>
        </row>
        <row r="6450">
          <cell r="B6450">
            <v>7.4641203703708178E-2</v>
          </cell>
          <cell r="C6450">
            <v>107</v>
          </cell>
        </row>
        <row r="6451">
          <cell r="B6451">
            <v>7.4652777777782259E-2</v>
          </cell>
          <cell r="C6451">
            <v>107</v>
          </cell>
        </row>
        <row r="6452">
          <cell r="B6452">
            <v>7.4664351851856339E-2</v>
          </cell>
          <cell r="C6452">
            <v>107</v>
          </cell>
        </row>
        <row r="6453">
          <cell r="B6453">
            <v>7.467592592593042E-2</v>
          </cell>
          <cell r="C6453">
            <v>107</v>
          </cell>
        </row>
        <row r="6454">
          <cell r="B6454">
            <v>7.46875000000045E-2</v>
          </cell>
          <cell r="C6454">
            <v>107</v>
          </cell>
        </row>
        <row r="6455">
          <cell r="B6455">
            <v>7.4699074074078581E-2</v>
          </cell>
          <cell r="C6455">
            <v>107</v>
          </cell>
        </row>
        <row r="6456">
          <cell r="B6456">
            <v>7.4710648148152661E-2</v>
          </cell>
          <cell r="C6456">
            <v>107</v>
          </cell>
        </row>
        <row r="6457">
          <cell r="B6457">
            <v>7.4722222222226742E-2</v>
          </cell>
          <cell r="C6457">
            <v>107</v>
          </cell>
        </row>
        <row r="6458">
          <cell r="B6458">
            <v>7.4733796296300822E-2</v>
          </cell>
          <cell r="C6458">
            <v>107</v>
          </cell>
        </row>
        <row r="6459">
          <cell r="B6459">
            <v>7.4745370370374903E-2</v>
          </cell>
          <cell r="C6459">
            <v>107</v>
          </cell>
        </row>
        <row r="6460">
          <cell r="B6460">
            <v>7.4756944444448983E-2</v>
          </cell>
          <cell r="C6460">
            <v>107</v>
          </cell>
        </row>
        <row r="6461">
          <cell r="B6461">
            <v>7.4768518518523064E-2</v>
          </cell>
          <cell r="C6461">
            <v>107</v>
          </cell>
        </row>
        <row r="6462">
          <cell r="B6462">
            <v>7.4780092592597144E-2</v>
          </cell>
          <cell r="C6462">
            <v>107</v>
          </cell>
        </row>
        <row r="6463">
          <cell r="B6463">
            <v>7.4791666666671225E-2</v>
          </cell>
          <cell r="C6463">
            <v>107</v>
          </cell>
        </row>
        <row r="6464">
          <cell r="B6464">
            <v>7.4803240740745305E-2</v>
          </cell>
          <cell r="C6464">
            <v>107</v>
          </cell>
        </row>
        <row r="6465">
          <cell r="B6465">
            <v>7.4814814814819386E-2</v>
          </cell>
          <cell r="C6465">
            <v>107</v>
          </cell>
        </row>
        <row r="6466">
          <cell r="B6466">
            <v>7.4826388888893466E-2</v>
          </cell>
          <cell r="C6466">
            <v>107</v>
          </cell>
        </row>
        <row r="6467">
          <cell r="B6467">
            <v>7.4837962962967547E-2</v>
          </cell>
          <cell r="C6467">
            <v>107</v>
          </cell>
        </row>
        <row r="6468">
          <cell r="B6468">
            <v>7.4849537037041627E-2</v>
          </cell>
          <cell r="C6468">
            <v>107</v>
          </cell>
        </row>
        <row r="6469">
          <cell r="B6469">
            <v>7.4861111111115708E-2</v>
          </cell>
          <cell r="C6469">
            <v>107</v>
          </cell>
        </row>
        <row r="6470">
          <cell r="B6470">
            <v>7.4872685185189788E-2</v>
          </cell>
          <cell r="C6470">
            <v>107</v>
          </cell>
        </row>
        <row r="6471">
          <cell r="B6471">
            <v>7.4884259259263869E-2</v>
          </cell>
          <cell r="C6471">
            <v>107</v>
          </cell>
        </row>
        <row r="6472">
          <cell r="B6472">
            <v>7.4895833333337949E-2</v>
          </cell>
          <cell r="C6472">
            <v>107</v>
          </cell>
        </row>
        <row r="6473">
          <cell r="B6473">
            <v>7.490740740741203E-2</v>
          </cell>
          <cell r="C6473">
            <v>107</v>
          </cell>
        </row>
        <row r="6474">
          <cell r="B6474">
            <v>7.491898148148611E-2</v>
          </cell>
          <cell r="C6474">
            <v>107</v>
          </cell>
        </row>
        <row r="6475">
          <cell r="B6475">
            <v>7.4930555555560191E-2</v>
          </cell>
          <cell r="C6475">
            <v>107</v>
          </cell>
        </row>
        <row r="6476">
          <cell r="B6476">
            <v>7.4942129629634271E-2</v>
          </cell>
          <cell r="C6476">
            <v>107</v>
          </cell>
        </row>
        <row r="6477">
          <cell r="B6477">
            <v>7.4953703703708352E-2</v>
          </cell>
          <cell r="C6477">
            <v>107</v>
          </cell>
        </row>
        <row r="6478">
          <cell r="B6478">
            <v>7.4965277777782433E-2</v>
          </cell>
          <cell r="C6478">
            <v>107</v>
          </cell>
        </row>
        <row r="6479">
          <cell r="B6479">
            <v>7.4976851851856513E-2</v>
          </cell>
          <cell r="C6479">
            <v>107</v>
          </cell>
        </row>
        <row r="6480">
          <cell r="B6480">
            <v>7.4988425925930594E-2</v>
          </cell>
          <cell r="C6480">
            <v>107</v>
          </cell>
        </row>
        <row r="6481">
          <cell r="B6481">
            <v>7.5000000000004674E-2</v>
          </cell>
          <cell r="C6481">
            <v>108</v>
          </cell>
        </row>
        <row r="6482">
          <cell r="B6482">
            <v>7.5011574074078755E-2</v>
          </cell>
          <cell r="C6482">
            <v>108</v>
          </cell>
        </row>
        <row r="6483">
          <cell r="B6483">
            <v>7.5023148148152835E-2</v>
          </cell>
          <cell r="C6483">
            <v>108</v>
          </cell>
        </row>
        <row r="6484">
          <cell r="B6484">
            <v>7.5034722222226916E-2</v>
          </cell>
          <cell r="C6484">
            <v>108</v>
          </cell>
        </row>
        <row r="6485">
          <cell r="B6485">
            <v>7.5046296296300996E-2</v>
          </cell>
          <cell r="C6485">
            <v>108</v>
          </cell>
        </row>
        <row r="6486">
          <cell r="B6486">
            <v>7.5057870370375077E-2</v>
          </cell>
          <cell r="C6486">
            <v>108</v>
          </cell>
        </row>
        <row r="6487">
          <cell r="B6487">
            <v>7.5069444444449157E-2</v>
          </cell>
          <cell r="C6487">
            <v>108</v>
          </cell>
        </row>
        <row r="6488">
          <cell r="B6488">
            <v>7.5081018518523238E-2</v>
          </cell>
          <cell r="C6488">
            <v>108</v>
          </cell>
        </row>
        <row r="6489">
          <cell r="B6489">
            <v>7.5092592592597318E-2</v>
          </cell>
          <cell r="C6489">
            <v>108</v>
          </cell>
        </row>
        <row r="6490">
          <cell r="B6490">
            <v>7.5104166666671399E-2</v>
          </cell>
          <cell r="C6490">
            <v>108</v>
          </cell>
        </row>
        <row r="6491">
          <cell r="B6491">
            <v>7.5115740740745479E-2</v>
          </cell>
          <cell r="C6491">
            <v>108</v>
          </cell>
        </row>
        <row r="6492">
          <cell r="B6492">
            <v>7.512731481481956E-2</v>
          </cell>
          <cell r="C6492">
            <v>108</v>
          </cell>
        </row>
        <row r="6493">
          <cell r="B6493">
            <v>7.513888888889364E-2</v>
          </cell>
          <cell r="C6493">
            <v>108</v>
          </cell>
        </row>
        <row r="6494">
          <cell r="B6494">
            <v>7.5150462962967721E-2</v>
          </cell>
          <cell r="C6494">
            <v>108</v>
          </cell>
        </row>
        <row r="6495">
          <cell r="B6495">
            <v>7.5162037037041801E-2</v>
          </cell>
          <cell r="C6495">
            <v>108</v>
          </cell>
        </row>
        <row r="6496">
          <cell r="B6496">
            <v>7.5173611111115882E-2</v>
          </cell>
          <cell r="C6496">
            <v>108</v>
          </cell>
        </row>
        <row r="6497">
          <cell r="B6497">
            <v>7.5185185185189962E-2</v>
          </cell>
          <cell r="C6497">
            <v>108</v>
          </cell>
        </row>
        <row r="6498">
          <cell r="B6498">
            <v>7.5196759259264043E-2</v>
          </cell>
          <cell r="C6498">
            <v>108</v>
          </cell>
        </row>
        <row r="6499">
          <cell r="B6499">
            <v>7.5208333333338123E-2</v>
          </cell>
          <cell r="C6499">
            <v>108</v>
          </cell>
        </row>
        <row r="6500">
          <cell r="B6500">
            <v>7.5219907407412204E-2</v>
          </cell>
          <cell r="C6500">
            <v>108</v>
          </cell>
        </row>
        <row r="6501">
          <cell r="B6501">
            <v>7.5231481481486284E-2</v>
          </cell>
          <cell r="C6501">
            <v>108</v>
          </cell>
        </row>
        <row r="6502">
          <cell r="B6502">
            <v>7.5243055555560365E-2</v>
          </cell>
          <cell r="C6502">
            <v>108</v>
          </cell>
        </row>
        <row r="6503">
          <cell r="B6503">
            <v>7.5254629629634445E-2</v>
          </cell>
          <cell r="C6503">
            <v>108</v>
          </cell>
        </row>
        <row r="6504">
          <cell r="B6504">
            <v>7.5266203703708526E-2</v>
          </cell>
          <cell r="C6504">
            <v>108</v>
          </cell>
        </row>
        <row r="6505">
          <cell r="B6505">
            <v>7.5277777777782606E-2</v>
          </cell>
          <cell r="C6505">
            <v>108</v>
          </cell>
        </row>
        <row r="6506">
          <cell r="B6506">
            <v>7.5289351851856687E-2</v>
          </cell>
          <cell r="C6506">
            <v>108</v>
          </cell>
        </row>
        <row r="6507">
          <cell r="B6507">
            <v>7.5300925925930767E-2</v>
          </cell>
          <cell r="C6507">
            <v>108</v>
          </cell>
        </row>
        <row r="6508">
          <cell r="B6508">
            <v>7.5312500000004848E-2</v>
          </cell>
          <cell r="C6508">
            <v>108</v>
          </cell>
        </row>
        <row r="6509">
          <cell r="B6509">
            <v>7.5324074074078928E-2</v>
          </cell>
          <cell r="C6509">
            <v>108</v>
          </cell>
        </row>
        <row r="6510">
          <cell r="B6510">
            <v>7.5335648148153009E-2</v>
          </cell>
          <cell r="C6510">
            <v>108</v>
          </cell>
        </row>
        <row r="6511">
          <cell r="B6511">
            <v>7.5347222222227089E-2</v>
          </cell>
          <cell r="C6511">
            <v>108</v>
          </cell>
        </row>
        <row r="6512">
          <cell r="B6512">
            <v>7.535879629630117E-2</v>
          </cell>
          <cell r="C6512">
            <v>108</v>
          </cell>
        </row>
        <row r="6513">
          <cell r="B6513">
            <v>7.537037037037525E-2</v>
          </cell>
          <cell r="C6513">
            <v>108</v>
          </cell>
        </row>
        <row r="6514">
          <cell r="B6514">
            <v>7.5381944444449331E-2</v>
          </cell>
          <cell r="C6514">
            <v>108</v>
          </cell>
        </row>
        <row r="6515">
          <cell r="B6515">
            <v>7.5393518518523411E-2</v>
          </cell>
          <cell r="C6515">
            <v>108</v>
          </cell>
        </row>
        <row r="6516">
          <cell r="B6516">
            <v>7.5405092592597492E-2</v>
          </cell>
          <cell r="C6516">
            <v>108</v>
          </cell>
        </row>
        <row r="6517">
          <cell r="B6517">
            <v>7.5416666666671572E-2</v>
          </cell>
          <cell r="C6517">
            <v>108</v>
          </cell>
        </row>
        <row r="6518">
          <cell r="B6518">
            <v>7.5428240740745653E-2</v>
          </cell>
          <cell r="C6518">
            <v>108</v>
          </cell>
        </row>
        <row r="6519">
          <cell r="B6519">
            <v>7.5439814814819733E-2</v>
          </cell>
          <cell r="C6519">
            <v>108</v>
          </cell>
        </row>
        <row r="6520">
          <cell r="B6520">
            <v>7.5451388888893814E-2</v>
          </cell>
          <cell r="C6520">
            <v>108</v>
          </cell>
        </row>
        <row r="6521">
          <cell r="B6521">
            <v>7.5462962962967894E-2</v>
          </cell>
          <cell r="C6521">
            <v>108</v>
          </cell>
        </row>
        <row r="6522">
          <cell r="B6522">
            <v>7.5474537037041975E-2</v>
          </cell>
          <cell r="C6522">
            <v>108</v>
          </cell>
        </row>
        <row r="6523">
          <cell r="B6523">
            <v>7.5486111111116055E-2</v>
          </cell>
          <cell r="C6523">
            <v>108</v>
          </cell>
        </row>
        <row r="6524">
          <cell r="B6524">
            <v>7.5497685185190136E-2</v>
          </cell>
          <cell r="C6524">
            <v>108</v>
          </cell>
        </row>
        <row r="6525">
          <cell r="B6525">
            <v>7.5509259259264216E-2</v>
          </cell>
          <cell r="C6525">
            <v>108</v>
          </cell>
        </row>
        <row r="6526">
          <cell r="B6526">
            <v>7.5520833333338297E-2</v>
          </cell>
          <cell r="C6526">
            <v>108</v>
          </cell>
        </row>
        <row r="6527">
          <cell r="B6527">
            <v>7.5532407407412377E-2</v>
          </cell>
          <cell r="C6527">
            <v>108</v>
          </cell>
        </row>
        <row r="6528">
          <cell r="B6528">
            <v>7.5543981481486458E-2</v>
          </cell>
          <cell r="C6528">
            <v>108</v>
          </cell>
        </row>
        <row r="6529">
          <cell r="B6529">
            <v>7.5555555555560538E-2</v>
          </cell>
          <cell r="C6529">
            <v>108</v>
          </cell>
        </row>
        <row r="6530">
          <cell r="B6530">
            <v>7.5567129629634619E-2</v>
          </cell>
          <cell r="C6530">
            <v>108</v>
          </cell>
        </row>
        <row r="6531">
          <cell r="B6531">
            <v>7.55787037037087E-2</v>
          </cell>
          <cell r="C6531">
            <v>108</v>
          </cell>
        </row>
        <row r="6532">
          <cell r="B6532">
            <v>7.559027777778278E-2</v>
          </cell>
          <cell r="C6532">
            <v>108</v>
          </cell>
        </row>
        <row r="6533">
          <cell r="B6533">
            <v>7.5601851851856861E-2</v>
          </cell>
          <cell r="C6533">
            <v>108</v>
          </cell>
        </row>
        <row r="6534">
          <cell r="B6534">
            <v>7.5613425925930941E-2</v>
          </cell>
          <cell r="C6534">
            <v>108</v>
          </cell>
        </row>
        <row r="6535">
          <cell r="B6535">
            <v>7.5625000000005022E-2</v>
          </cell>
          <cell r="C6535">
            <v>108</v>
          </cell>
        </row>
        <row r="6536">
          <cell r="B6536">
            <v>7.5636574074079102E-2</v>
          </cell>
          <cell r="C6536">
            <v>108</v>
          </cell>
        </row>
        <row r="6537">
          <cell r="B6537">
            <v>7.5648148148153183E-2</v>
          </cell>
          <cell r="C6537">
            <v>108</v>
          </cell>
        </row>
        <row r="6538">
          <cell r="B6538">
            <v>7.5659722222227263E-2</v>
          </cell>
          <cell r="C6538">
            <v>108</v>
          </cell>
        </row>
        <row r="6539">
          <cell r="B6539">
            <v>7.5671296296301344E-2</v>
          </cell>
          <cell r="C6539">
            <v>108</v>
          </cell>
        </row>
        <row r="6540">
          <cell r="B6540">
            <v>7.5682870370375424E-2</v>
          </cell>
          <cell r="C6540">
            <v>108</v>
          </cell>
        </row>
        <row r="6541">
          <cell r="B6541">
            <v>7.5694444444449505E-2</v>
          </cell>
          <cell r="C6541">
            <v>109</v>
          </cell>
        </row>
        <row r="6542">
          <cell r="B6542">
            <v>7.5706018518523585E-2</v>
          </cell>
          <cell r="C6542">
            <v>109</v>
          </cell>
        </row>
        <row r="6543">
          <cell r="B6543">
            <v>7.5717592592597666E-2</v>
          </cell>
          <cell r="C6543">
            <v>109</v>
          </cell>
        </row>
        <row r="6544">
          <cell r="B6544">
            <v>7.5729166666671746E-2</v>
          </cell>
          <cell r="C6544">
            <v>109</v>
          </cell>
        </row>
        <row r="6545">
          <cell r="B6545">
            <v>7.5740740740745827E-2</v>
          </cell>
          <cell r="C6545">
            <v>109</v>
          </cell>
        </row>
        <row r="6546">
          <cell r="B6546">
            <v>7.5752314814819907E-2</v>
          </cell>
          <cell r="C6546">
            <v>109</v>
          </cell>
        </row>
        <row r="6547">
          <cell r="B6547">
            <v>7.5763888888893988E-2</v>
          </cell>
          <cell r="C6547">
            <v>109</v>
          </cell>
        </row>
        <row r="6548">
          <cell r="B6548">
            <v>7.5775462962968068E-2</v>
          </cell>
          <cell r="C6548">
            <v>109</v>
          </cell>
        </row>
        <row r="6549">
          <cell r="B6549">
            <v>7.5787037037042149E-2</v>
          </cell>
          <cell r="C6549">
            <v>109</v>
          </cell>
        </row>
        <row r="6550">
          <cell r="B6550">
            <v>7.5798611111116229E-2</v>
          </cell>
          <cell r="C6550">
            <v>109</v>
          </cell>
        </row>
        <row r="6551">
          <cell r="B6551">
            <v>7.581018518519031E-2</v>
          </cell>
          <cell r="C6551">
            <v>109</v>
          </cell>
        </row>
        <row r="6552">
          <cell r="B6552">
            <v>7.582175925926439E-2</v>
          </cell>
          <cell r="C6552">
            <v>109</v>
          </cell>
        </row>
        <row r="6553">
          <cell r="B6553">
            <v>7.5833333333338471E-2</v>
          </cell>
          <cell r="C6553">
            <v>109</v>
          </cell>
        </row>
        <row r="6554">
          <cell r="B6554">
            <v>7.5844907407412551E-2</v>
          </cell>
          <cell r="C6554">
            <v>109</v>
          </cell>
        </row>
        <row r="6555">
          <cell r="B6555">
            <v>7.5856481481486632E-2</v>
          </cell>
          <cell r="C6555">
            <v>109</v>
          </cell>
        </row>
        <row r="6556">
          <cell r="B6556">
            <v>7.5868055555560712E-2</v>
          </cell>
          <cell r="C6556">
            <v>109</v>
          </cell>
        </row>
        <row r="6557">
          <cell r="B6557">
            <v>7.5879629629634793E-2</v>
          </cell>
          <cell r="C6557">
            <v>109</v>
          </cell>
        </row>
        <row r="6558">
          <cell r="B6558">
            <v>7.5891203703708873E-2</v>
          </cell>
          <cell r="C6558">
            <v>109</v>
          </cell>
        </row>
        <row r="6559">
          <cell r="B6559">
            <v>7.5902777777782954E-2</v>
          </cell>
          <cell r="C6559">
            <v>109</v>
          </cell>
        </row>
        <row r="6560">
          <cell r="B6560">
            <v>7.5914351851857034E-2</v>
          </cell>
          <cell r="C6560">
            <v>109</v>
          </cell>
        </row>
        <row r="6561">
          <cell r="B6561">
            <v>7.5925925925931115E-2</v>
          </cell>
          <cell r="C6561">
            <v>109</v>
          </cell>
        </row>
        <row r="6562">
          <cell r="B6562">
            <v>7.5937500000005195E-2</v>
          </cell>
          <cell r="C6562">
            <v>109</v>
          </cell>
        </row>
        <row r="6563">
          <cell r="B6563">
            <v>7.5949074074079276E-2</v>
          </cell>
          <cell r="C6563">
            <v>109</v>
          </cell>
        </row>
        <row r="6564">
          <cell r="B6564">
            <v>7.5960648148153356E-2</v>
          </cell>
          <cell r="C6564">
            <v>109</v>
          </cell>
        </row>
        <row r="6565">
          <cell r="B6565">
            <v>7.5972222222227437E-2</v>
          </cell>
          <cell r="C6565">
            <v>109</v>
          </cell>
        </row>
        <row r="6566">
          <cell r="B6566">
            <v>7.5983796296301517E-2</v>
          </cell>
          <cell r="C6566">
            <v>109</v>
          </cell>
        </row>
        <row r="6567">
          <cell r="B6567">
            <v>7.5995370370375598E-2</v>
          </cell>
          <cell r="C6567">
            <v>109</v>
          </cell>
        </row>
        <row r="6568">
          <cell r="B6568">
            <v>7.6006944444449678E-2</v>
          </cell>
          <cell r="C6568">
            <v>109</v>
          </cell>
        </row>
        <row r="6569">
          <cell r="B6569">
            <v>7.6018518518523759E-2</v>
          </cell>
          <cell r="C6569">
            <v>109</v>
          </cell>
        </row>
        <row r="6570">
          <cell r="B6570">
            <v>7.6030092592597839E-2</v>
          </cell>
          <cell r="C6570">
            <v>109</v>
          </cell>
        </row>
        <row r="6571">
          <cell r="B6571">
            <v>7.604166666667192E-2</v>
          </cell>
          <cell r="C6571">
            <v>109</v>
          </cell>
        </row>
        <row r="6572">
          <cell r="B6572">
            <v>7.6053240740746E-2</v>
          </cell>
          <cell r="C6572">
            <v>109</v>
          </cell>
        </row>
        <row r="6573">
          <cell r="B6573">
            <v>7.6064814814820081E-2</v>
          </cell>
          <cell r="C6573">
            <v>109</v>
          </cell>
        </row>
        <row r="6574">
          <cell r="B6574">
            <v>7.6076388888894161E-2</v>
          </cell>
          <cell r="C6574">
            <v>109</v>
          </cell>
        </row>
        <row r="6575">
          <cell r="B6575">
            <v>7.6087962962968242E-2</v>
          </cell>
          <cell r="C6575">
            <v>109</v>
          </cell>
        </row>
        <row r="6576">
          <cell r="B6576">
            <v>7.6099537037042322E-2</v>
          </cell>
          <cell r="C6576">
            <v>109</v>
          </cell>
        </row>
        <row r="6577">
          <cell r="B6577">
            <v>7.6111111111116403E-2</v>
          </cell>
          <cell r="C6577">
            <v>109</v>
          </cell>
        </row>
        <row r="6578">
          <cell r="B6578">
            <v>7.6122685185190483E-2</v>
          </cell>
          <cell r="C6578">
            <v>109</v>
          </cell>
        </row>
        <row r="6579">
          <cell r="B6579">
            <v>7.6134259259264564E-2</v>
          </cell>
          <cell r="C6579">
            <v>109</v>
          </cell>
        </row>
        <row r="6580">
          <cell r="B6580">
            <v>7.6145833333338644E-2</v>
          </cell>
          <cell r="C6580">
            <v>109</v>
          </cell>
        </row>
        <row r="6581">
          <cell r="B6581">
            <v>7.6157407407412725E-2</v>
          </cell>
          <cell r="C6581">
            <v>109</v>
          </cell>
        </row>
        <row r="6582">
          <cell r="B6582">
            <v>7.6168981481486805E-2</v>
          </cell>
          <cell r="C6582">
            <v>109</v>
          </cell>
        </row>
        <row r="6583">
          <cell r="B6583">
            <v>7.6180555555560886E-2</v>
          </cell>
          <cell r="C6583">
            <v>109</v>
          </cell>
        </row>
        <row r="6584">
          <cell r="B6584">
            <v>7.6192129629634966E-2</v>
          </cell>
          <cell r="C6584">
            <v>109</v>
          </cell>
        </row>
        <row r="6585">
          <cell r="B6585">
            <v>7.6203703703709047E-2</v>
          </cell>
          <cell r="C6585">
            <v>109</v>
          </cell>
        </row>
        <row r="6586">
          <cell r="B6586">
            <v>7.6215277777783128E-2</v>
          </cell>
          <cell r="C6586">
            <v>109</v>
          </cell>
        </row>
        <row r="6587">
          <cell r="B6587">
            <v>7.6226851851857208E-2</v>
          </cell>
          <cell r="C6587">
            <v>109</v>
          </cell>
        </row>
        <row r="6588">
          <cell r="B6588">
            <v>7.6238425925931289E-2</v>
          </cell>
          <cell r="C6588">
            <v>109</v>
          </cell>
        </row>
        <row r="6589">
          <cell r="B6589">
            <v>7.6250000000005369E-2</v>
          </cell>
          <cell r="C6589">
            <v>109</v>
          </cell>
        </row>
        <row r="6590">
          <cell r="B6590">
            <v>7.626157407407945E-2</v>
          </cell>
          <cell r="C6590">
            <v>109</v>
          </cell>
        </row>
        <row r="6591">
          <cell r="B6591">
            <v>7.627314814815353E-2</v>
          </cell>
          <cell r="C6591">
            <v>109</v>
          </cell>
        </row>
        <row r="6592">
          <cell r="B6592">
            <v>7.6284722222227611E-2</v>
          </cell>
          <cell r="C6592">
            <v>109</v>
          </cell>
        </row>
        <row r="6593">
          <cell r="B6593">
            <v>7.6296296296301691E-2</v>
          </cell>
          <cell r="C6593">
            <v>109</v>
          </cell>
        </row>
        <row r="6594">
          <cell r="B6594">
            <v>7.6307870370375772E-2</v>
          </cell>
          <cell r="C6594">
            <v>109</v>
          </cell>
        </row>
        <row r="6595">
          <cell r="B6595">
            <v>7.6319444444449852E-2</v>
          </cell>
          <cell r="C6595">
            <v>109</v>
          </cell>
        </row>
        <row r="6596">
          <cell r="B6596">
            <v>7.6331018518523933E-2</v>
          </cell>
          <cell r="C6596">
            <v>109</v>
          </cell>
        </row>
        <row r="6597">
          <cell r="B6597">
            <v>7.6342592592598013E-2</v>
          </cell>
          <cell r="C6597">
            <v>109</v>
          </cell>
        </row>
        <row r="6598">
          <cell r="B6598">
            <v>7.6354166666672094E-2</v>
          </cell>
          <cell r="C6598">
            <v>109</v>
          </cell>
        </row>
        <row r="6599">
          <cell r="B6599">
            <v>7.6365740740746174E-2</v>
          </cell>
          <cell r="C6599">
            <v>109</v>
          </cell>
        </row>
        <row r="6600">
          <cell r="B6600">
            <v>7.6377314814820255E-2</v>
          </cell>
          <cell r="C6600">
            <v>109</v>
          </cell>
        </row>
        <row r="6601">
          <cell r="B6601">
            <v>7.6388888888894335E-2</v>
          </cell>
          <cell r="C6601">
            <v>110</v>
          </cell>
        </row>
        <row r="6602">
          <cell r="B6602">
            <v>7.6400462962968416E-2</v>
          </cell>
          <cell r="C6602">
            <v>110</v>
          </cell>
        </row>
        <row r="6603">
          <cell r="B6603">
            <v>7.6412037037042496E-2</v>
          </cell>
          <cell r="C6603">
            <v>110</v>
          </cell>
        </row>
        <row r="6604">
          <cell r="B6604">
            <v>7.6423611111116577E-2</v>
          </cell>
          <cell r="C6604">
            <v>110</v>
          </cell>
        </row>
        <row r="6605">
          <cell r="B6605">
            <v>7.6435185185190657E-2</v>
          </cell>
          <cell r="C6605">
            <v>110</v>
          </cell>
        </row>
        <row r="6606">
          <cell r="B6606">
            <v>7.6446759259264738E-2</v>
          </cell>
          <cell r="C6606">
            <v>110</v>
          </cell>
        </row>
        <row r="6607">
          <cell r="B6607">
            <v>7.6458333333338818E-2</v>
          </cell>
          <cell r="C6607">
            <v>110</v>
          </cell>
        </row>
        <row r="6608">
          <cell r="B6608">
            <v>7.6469907407412899E-2</v>
          </cell>
          <cell r="C6608">
            <v>110</v>
          </cell>
        </row>
        <row r="6609">
          <cell r="B6609">
            <v>7.6481481481486979E-2</v>
          </cell>
          <cell r="C6609">
            <v>110</v>
          </cell>
        </row>
        <row r="6610">
          <cell r="B6610">
            <v>7.649305555556106E-2</v>
          </cell>
          <cell r="C6610">
            <v>110</v>
          </cell>
        </row>
        <row r="6611">
          <cell r="B6611">
            <v>7.650462962963514E-2</v>
          </cell>
          <cell r="C6611">
            <v>110</v>
          </cell>
        </row>
        <row r="6612">
          <cell r="B6612">
            <v>7.6516203703709221E-2</v>
          </cell>
          <cell r="C6612">
            <v>110</v>
          </cell>
        </row>
        <row r="6613">
          <cell r="B6613">
            <v>7.6527777777783301E-2</v>
          </cell>
          <cell r="C6613">
            <v>110</v>
          </cell>
        </row>
        <row r="6614">
          <cell r="B6614">
            <v>7.6539351851857382E-2</v>
          </cell>
          <cell r="C6614">
            <v>110</v>
          </cell>
        </row>
        <row r="6615">
          <cell r="B6615">
            <v>7.6550925925931462E-2</v>
          </cell>
          <cell r="C6615">
            <v>110</v>
          </cell>
        </row>
        <row r="6616">
          <cell r="B6616">
            <v>7.6562500000005543E-2</v>
          </cell>
          <cell r="C6616">
            <v>110</v>
          </cell>
        </row>
        <row r="6617">
          <cell r="B6617">
            <v>7.6574074074079623E-2</v>
          </cell>
          <cell r="C6617">
            <v>110</v>
          </cell>
        </row>
        <row r="6618">
          <cell r="B6618">
            <v>7.6585648148153704E-2</v>
          </cell>
          <cell r="C6618">
            <v>110</v>
          </cell>
        </row>
        <row r="6619">
          <cell r="B6619">
            <v>7.6597222222227784E-2</v>
          </cell>
          <cell r="C6619">
            <v>110</v>
          </cell>
        </row>
        <row r="6620">
          <cell r="B6620">
            <v>7.6608796296301865E-2</v>
          </cell>
          <cell r="C6620">
            <v>110</v>
          </cell>
        </row>
        <row r="6621">
          <cell r="B6621">
            <v>7.6620370370375945E-2</v>
          </cell>
          <cell r="C6621">
            <v>110</v>
          </cell>
        </row>
        <row r="6622">
          <cell r="B6622">
            <v>7.6631944444450026E-2</v>
          </cell>
          <cell r="C6622">
            <v>110</v>
          </cell>
        </row>
        <row r="6623">
          <cell r="B6623">
            <v>7.6643518518524106E-2</v>
          </cell>
          <cell r="C6623">
            <v>110</v>
          </cell>
        </row>
        <row r="6624">
          <cell r="B6624">
            <v>7.6655092592598187E-2</v>
          </cell>
          <cell r="C6624">
            <v>110</v>
          </cell>
        </row>
        <row r="6625">
          <cell r="B6625">
            <v>7.6666666666672267E-2</v>
          </cell>
          <cell r="C6625">
            <v>110</v>
          </cell>
        </row>
        <row r="6626">
          <cell r="B6626">
            <v>7.6678240740746348E-2</v>
          </cell>
          <cell r="C6626">
            <v>110</v>
          </cell>
        </row>
        <row r="6627">
          <cell r="B6627">
            <v>7.6689814814820428E-2</v>
          </cell>
          <cell r="C6627">
            <v>110</v>
          </cell>
        </row>
        <row r="6628">
          <cell r="B6628">
            <v>7.6701388888894509E-2</v>
          </cell>
          <cell r="C6628">
            <v>110</v>
          </cell>
        </row>
        <row r="6629">
          <cell r="B6629">
            <v>7.6712962962968589E-2</v>
          </cell>
          <cell r="C6629">
            <v>110</v>
          </cell>
        </row>
        <row r="6630">
          <cell r="B6630">
            <v>7.672453703704267E-2</v>
          </cell>
          <cell r="C6630">
            <v>110</v>
          </cell>
        </row>
        <row r="6631">
          <cell r="B6631">
            <v>7.673611111111675E-2</v>
          </cell>
          <cell r="C6631">
            <v>110</v>
          </cell>
        </row>
        <row r="6632">
          <cell r="B6632">
            <v>7.6747685185190831E-2</v>
          </cell>
          <cell r="C6632">
            <v>110</v>
          </cell>
        </row>
        <row r="6633">
          <cell r="B6633">
            <v>7.6759259259264911E-2</v>
          </cell>
          <cell r="C6633">
            <v>110</v>
          </cell>
        </row>
        <row r="6634">
          <cell r="B6634">
            <v>7.6770833333338992E-2</v>
          </cell>
          <cell r="C6634">
            <v>110</v>
          </cell>
        </row>
        <row r="6635">
          <cell r="B6635">
            <v>7.6782407407413072E-2</v>
          </cell>
          <cell r="C6635">
            <v>110</v>
          </cell>
        </row>
        <row r="6636">
          <cell r="B6636">
            <v>7.6793981481487153E-2</v>
          </cell>
          <cell r="C6636">
            <v>110</v>
          </cell>
        </row>
        <row r="6637">
          <cell r="B6637">
            <v>7.6805555555561233E-2</v>
          </cell>
          <cell r="C6637">
            <v>110</v>
          </cell>
        </row>
        <row r="6638">
          <cell r="B6638">
            <v>7.6817129629635314E-2</v>
          </cell>
          <cell r="C6638">
            <v>110</v>
          </cell>
        </row>
        <row r="6639">
          <cell r="B6639">
            <v>7.6828703703709395E-2</v>
          </cell>
          <cell r="C6639">
            <v>110</v>
          </cell>
        </row>
        <row r="6640">
          <cell r="B6640">
            <v>7.6840277777783475E-2</v>
          </cell>
          <cell r="C6640">
            <v>110</v>
          </cell>
        </row>
        <row r="6641">
          <cell r="B6641">
            <v>7.6851851851857556E-2</v>
          </cell>
          <cell r="C6641">
            <v>110</v>
          </cell>
        </row>
        <row r="6642">
          <cell r="B6642">
            <v>7.6863425925931636E-2</v>
          </cell>
          <cell r="C6642">
            <v>110</v>
          </cell>
        </row>
        <row r="6643">
          <cell r="B6643">
            <v>7.6875000000005717E-2</v>
          </cell>
          <cell r="C6643">
            <v>110</v>
          </cell>
        </row>
        <row r="6644">
          <cell r="B6644">
            <v>7.6886574074079797E-2</v>
          </cell>
          <cell r="C6644">
            <v>110</v>
          </cell>
        </row>
        <row r="6645">
          <cell r="B6645">
            <v>7.6898148148153878E-2</v>
          </cell>
          <cell r="C6645">
            <v>110</v>
          </cell>
        </row>
        <row r="6646">
          <cell r="B6646">
            <v>7.6909722222227958E-2</v>
          </cell>
          <cell r="C6646">
            <v>110</v>
          </cell>
        </row>
        <row r="6647">
          <cell r="B6647">
            <v>7.6921296296302039E-2</v>
          </cell>
          <cell r="C6647">
            <v>110</v>
          </cell>
        </row>
        <row r="6648">
          <cell r="B6648">
            <v>7.6932870370376119E-2</v>
          </cell>
          <cell r="C6648">
            <v>110</v>
          </cell>
        </row>
        <row r="6649">
          <cell r="B6649">
            <v>7.69444444444502E-2</v>
          </cell>
          <cell r="C6649">
            <v>110</v>
          </cell>
        </row>
        <row r="6650">
          <cell r="B6650">
            <v>7.695601851852428E-2</v>
          </cell>
          <cell r="C6650">
            <v>110</v>
          </cell>
        </row>
        <row r="6651">
          <cell r="B6651">
            <v>7.6967592592598361E-2</v>
          </cell>
          <cell r="C6651">
            <v>110</v>
          </cell>
        </row>
        <row r="6652">
          <cell r="B6652">
            <v>7.6979166666672441E-2</v>
          </cell>
          <cell r="C6652">
            <v>110</v>
          </cell>
        </row>
        <row r="6653">
          <cell r="B6653">
            <v>7.6990740740746522E-2</v>
          </cell>
          <cell r="C6653">
            <v>110</v>
          </cell>
        </row>
        <row r="6654">
          <cell r="B6654">
            <v>7.7002314814820602E-2</v>
          </cell>
          <cell r="C6654">
            <v>110</v>
          </cell>
        </row>
        <row r="6655">
          <cell r="B6655">
            <v>7.7013888888894683E-2</v>
          </cell>
          <cell r="C6655">
            <v>110</v>
          </cell>
        </row>
        <row r="6656">
          <cell r="B6656">
            <v>7.7025462962968763E-2</v>
          </cell>
          <cell r="C6656">
            <v>110</v>
          </cell>
        </row>
        <row r="6657">
          <cell r="B6657">
            <v>7.7037037037042844E-2</v>
          </cell>
          <cell r="C6657">
            <v>110</v>
          </cell>
        </row>
        <row r="6658">
          <cell r="B6658">
            <v>7.7048611111116924E-2</v>
          </cell>
          <cell r="C6658">
            <v>110</v>
          </cell>
        </row>
        <row r="6659">
          <cell r="B6659">
            <v>7.7060185185191005E-2</v>
          </cell>
          <cell r="C6659">
            <v>110</v>
          </cell>
        </row>
        <row r="6660">
          <cell r="B6660">
            <v>7.7071759259265085E-2</v>
          </cell>
          <cell r="C6660">
            <v>110</v>
          </cell>
        </row>
        <row r="6661">
          <cell r="B6661">
            <v>7.7083333333339166E-2</v>
          </cell>
          <cell r="C6661">
            <v>111</v>
          </cell>
        </row>
        <row r="6662">
          <cell r="B6662">
            <v>7.7094907407413246E-2</v>
          </cell>
          <cell r="C6662">
            <v>111</v>
          </cell>
        </row>
        <row r="6663">
          <cell r="B6663">
            <v>7.7106481481487327E-2</v>
          </cell>
          <cell r="C6663">
            <v>111</v>
          </cell>
        </row>
        <row r="6664">
          <cell r="B6664">
            <v>7.7118055555561407E-2</v>
          </cell>
          <cell r="C6664">
            <v>111</v>
          </cell>
        </row>
        <row r="6665">
          <cell r="B6665">
            <v>7.7129629629635488E-2</v>
          </cell>
          <cell r="C6665">
            <v>111</v>
          </cell>
        </row>
        <row r="6666">
          <cell r="B6666">
            <v>7.7141203703709568E-2</v>
          </cell>
          <cell r="C6666">
            <v>111</v>
          </cell>
        </row>
        <row r="6667">
          <cell r="B6667">
            <v>7.7152777777783649E-2</v>
          </cell>
          <cell r="C6667">
            <v>111</v>
          </cell>
        </row>
        <row r="6668">
          <cell r="B6668">
            <v>7.7164351851857729E-2</v>
          </cell>
          <cell r="C6668">
            <v>111</v>
          </cell>
        </row>
        <row r="6669">
          <cell r="B6669">
            <v>7.717592592593181E-2</v>
          </cell>
          <cell r="C6669">
            <v>111</v>
          </cell>
        </row>
        <row r="6670">
          <cell r="B6670">
            <v>7.718750000000589E-2</v>
          </cell>
          <cell r="C6670">
            <v>111</v>
          </cell>
        </row>
        <row r="6671">
          <cell r="B6671">
            <v>7.7199074074079971E-2</v>
          </cell>
          <cell r="C6671">
            <v>111</v>
          </cell>
        </row>
        <row r="6672">
          <cell r="B6672">
            <v>7.7210648148154051E-2</v>
          </cell>
          <cell r="C6672">
            <v>111</v>
          </cell>
        </row>
        <row r="6673">
          <cell r="B6673">
            <v>7.7222222222228132E-2</v>
          </cell>
          <cell r="C6673">
            <v>111</v>
          </cell>
        </row>
        <row r="6674">
          <cell r="B6674">
            <v>7.7233796296302212E-2</v>
          </cell>
          <cell r="C6674">
            <v>111</v>
          </cell>
        </row>
        <row r="6675">
          <cell r="B6675">
            <v>7.7245370370376293E-2</v>
          </cell>
          <cell r="C6675">
            <v>111</v>
          </cell>
        </row>
        <row r="6676">
          <cell r="B6676">
            <v>7.7256944444450373E-2</v>
          </cell>
          <cell r="C6676">
            <v>111</v>
          </cell>
        </row>
        <row r="6677">
          <cell r="B6677">
            <v>7.7268518518524454E-2</v>
          </cell>
          <cell r="C6677">
            <v>111</v>
          </cell>
        </row>
        <row r="6678">
          <cell r="B6678">
            <v>7.7280092592598534E-2</v>
          </cell>
          <cell r="C6678">
            <v>111</v>
          </cell>
        </row>
        <row r="6679">
          <cell r="B6679">
            <v>7.7291666666672615E-2</v>
          </cell>
          <cell r="C6679">
            <v>111</v>
          </cell>
        </row>
        <row r="6680">
          <cell r="B6680">
            <v>7.7303240740746695E-2</v>
          </cell>
          <cell r="C6680">
            <v>111</v>
          </cell>
        </row>
        <row r="6681">
          <cell r="B6681">
            <v>7.7314814814820776E-2</v>
          </cell>
          <cell r="C6681">
            <v>111</v>
          </cell>
        </row>
        <row r="6682">
          <cell r="B6682">
            <v>7.7326388888894856E-2</v>
          </cell>
          <cell r="C6682">
            <v>111</v>
          </cell>
        </row>
        <row r="6683">
          <cell r="B6683">
            <v>7.7337962962968937E-2</v>
          </cell>
          <cell r="C6683">
            <v>111</v>
          </cell>
        </row>
        <row r="6684">
          <cell r="B6684">
            <v>7.7349537037043017E-2</v>
          </cell>
          <cell r="C6684">
            <v>111</v>
          </cell>
        </row>
        <row r="6685">
          <cell r="B6685">
            <v>7.7361111111117098E-2</v>
          </cell>
          <cell r="C6685">
            <v>111</v>
          </cell>
        </row>
        <row r="6686">
          <cell r="B6686">
            <v>7.7372685185191178E-2</v>
          </cell>
          <cell r="C6686">
            <v>111</v>
          </cell>
        </row>
        <row r="6687">
          <cell r="B6687">
            <v>7.7384259259265259E-2</v>
          </cell>
          <cell r="C6687">
            <v>111</v>
          </cell>
        </row>
        <row r="6688">
          <cell r="B6688">
            <v>7.7395833333339339E-2</v>
          </cell>
          <cell r="C6688">
            <v>111</v>
          </cell>
        </row>
        <row r="6689">
          <cell r="B6689">
            <v>7.740740740741342E-2</v>
          </cell>
          <cell r="C6689">
            <v>111</v>
          </cell>
        </row>
        <row r="6690">
          <cell r="B6690">
            <v>7.74189814814875E-2</v>
          </cell>
          <cell r="C6690">
            <v>111</v>
          </cell>
        </row>
        <row r="6691">
          <cell r="B6691">
            <v>7.7430555555561581E-2</v>
          </cell>
          <cell r="C6691">
            <v>111</v>
          </cell>
        </row>
        <row r="6692">
          <cell r="B6692">
            <v>7.7442129629635661E-2</v>
          </cell>
          <cell r="C6692">
            <v>111</v>
          </cell>
        </row>
        <row r="6693">
          <cell r="B6693">
            <v>7.7453703703709742E-2</v>
          </cell>
          <cell r="C6693">
            <v>111</v>
          </cell>
        </row>
        <row r="6694">
          <cell r="B6694">
            <v>7.7465277777783823E-2</v>
          </cell>
          <cell r="C6694">
            <v>111</v>
          </cell>
        </row>
        <row r="6695">
          <cell r="B6695">
            <v>7.7476851851857903E-2</v>
          </cell>
          <cell r="C6695">
            <v>111</v>
          </cell>
        </row>
        <row r="6696">
          <cell r="B6696">
            <v>7.7488425925931984E-2</v>
          </cell>
          <cell r="C6696">
            <v>111</v>
          </cell>
        </row>
        <row r="6697">
          <cell r="B6697">
            <v>7.7500000000006064E-2</v>
          </cell>
          <cell r="C6697">
            <v>111</v>
          </cell>
        </row>
        <row r="6698">
          <cell r="B6698">
            <v>7.7511574074080145E-2</v>
          </cell>
          <cell r="C6698">
            <v>111</v>
          </cell>
        </row>
        <row r="6699">
          <cell r="B6699">
            <v>7.7523148148154225E-2</v>
          </cell>
          <cell r="C6699">
            <v>111</v>
          </cell>
        </row>
        <row r="6700">
          <cell r="B6700">
            <v>7.7534722222228306E-2</v>
          </cell>
          <cell r="C6700">
            <v>111</v>
          </cell>
        </row>
        <row r="6701">
          <cell r="B6701">
            <v>7.7546296296302386E-2</v>
          </cell>
          <cell r="C6701">
            <v>111</v>
          </cell>
        </row>
        <row r="6702">
          <cell r="B6702">
            <v>7.7557870370376467E-2</v>
          </cell>
          <cell r="C6702">
            <v>111</v>
          </cell>
        </row>
        <row r="6703">
          <cell r="B6703">
            <v>7.7569444444450547E-2</v>
          </cell>
          <cell r="C6703">
            <v>111</v>
          </cell>
        </row>
        <row r="6704">
          <cell r="B6704">
            <v>7.7581018518524628E-2</v>
          </cell>
          <cell r="C6704">
            <v>111</v>
          </cell>
        </row>
        <row r="6705">
          <cell r="B6705">
            <v>7.7592592592598708E-2</v>
          </cell>
          <cell r="C6705">
            <v>111</v>
          </cell>
        </row>
        <row r="6706">
          <cell r="B6706">
            <v>7.7604166666672789E-2</v>
          </cell>
          <cell r="C6706">
            <v>111</v>
          </cell>
        </row>
        <row r="6707">
          <cell r="B6707">
            <v>7.7615740740746869E-2</v>
          </cell>
          <cell r="C6707">
            <v>111</v>
          </cell>
        </row>
        <row r="6708">
          <cell r="B6708">
            <v>7.762731481482095E-2</v>
          </cell>
          <cell r="C6708">
            <v>111</v>
          </cell>
        </row>
        <row r="6709">
          <cell r="B6709">
            <v>7.763888888889503E-2</v>
          </cell>
          <cell r="C6709">
            <v>111</v>
          </cell>
        </row>
        <row r="6710">
          <cell r="B6710">
            <v>7.7650462962969111E-2</v>
          </cell>
          <cell r="C6710">
            <v>111</v>
          </cell>
        </row>
        <row r="6711">
          <cell r="B6711">
            <v>7.7662037037043191E-2</v>
          </cell>
          <cell r="C6711">
            <v>111</v>
          </cell>
        </row>
        <row r="6712">
          <cell r="B6712">
            <v>7.7673611111117272E-2</v>
          </cell>
          <cell r="C6712">
            <v>111</v>
          </cell>
        </row>
        <row r="6713">
          <cell r="B6713">
            <v>7.7685185185191352E-2</v>
          </cell>
          <cell r="C6713">
            <v>111</v>
          </cell>
        </row>
        <row r="6714">
          <cell r="B6714">
            <v>7.7696759259265433E-2</v>
          </cell>
          <cell r="C6714">
            <v>111</v>
          </cell>
        </row>
        <row r="6715">
          <cell r="B6715">
            <v>7.7708333333339513E-2</v>
          </cell>
          <cell r="C6715">
            <v>111</v>
          </cell>
        </row>
        <row r="6716">
          <cell r="B6716">
            <v>7.7719907407413594E-2</v>
          </cell>
          <cell r="C6716">
            <v>111</v>
          </cell>
        </row>
        <row r="6717">
          <cell r="B6717">
            <v>7.7731481481487674E-2</v>
          </cell>
          <cell r="C6717">
            <v>111</v>
          </cell>
        </row>
        <row r="6718">
          <cell r="B6718">
            <v>7.7743055555561755E-2</v>
          </cell>
          <cell r="C6718">
            <v>111</v>
          </cell>
        </row>
        <row r="6719">
          <cell r="B6719">
            <v>7.7754629629635835E-2</v>
          </cell>
          <cell r="C6719">
            <v>111</v>
          </cell>
        </row>
        <row r="6720">
          <cell r="B6720">
            <v>7.7766203703709916E-2</v>
          </cell>
          <cell r="C6720">
            <v>111</v>
          </cell>
        </row>
        <row r="6721">
          <cell r="B6721">
            <v>7.7777777777783996E-2</v>
          </cell>
          <cell r="C6721">
            <v>112</v>
          </cell>
        </row>
        <row r="6722">
          <cell r="B6722">
            <v>7.7789351851858077E-2</v>
          </cell>
          <cell r="C6722">
            <v>112</v>
          </cell>
        </row>
        <row r="6723">
          <cell r="B6723">
            <v>7.7800925925932157E-2</v>
          </cell>
          <cell r="C6723">
            <v>112</v>
          </cell>
        </row>
        <row r="6724">
          <cell r="B6724">
            <v>7.7812500000006238E-2</v>
          </cell>
          <cell r="C6724">
            <v>112</v>
          </cell>
        </row>
        <row r="6725">
          <cell r="B6725">
            <v>7.7824074074080318E-2</v>
          </cell>
          <cell r="C6725">
            <v>112</v>
          </cell>
        </row>
        <row r="6726">
          <cell r="B6726">
            <v>7.7835648148154399E-2</v>
          </cell>
          <cell r="C6726">
            <v>112</v>
          </cell>
        </row>
        <row r="6727">
          <cell r="B6727">
            <v>7.7847222222228479E-2</v>
          </cell>
          <cell r="C6727">
            <v>112</v>
          </cell>
        </row>
        <row r="6728">
          <cell r="B6728">
            <v>7.785879629630256E-2</v>
          </cell>
          <cell r="C6728">
            <v>112</v>
          </cell>
        </row>
        <row r="6729">
          <cell r="B6729">
            <v>7.787037037037664E-2</v>
          </cell>
          <cell r="C6729">
            <v>112</v>
          </cell>
        </row>
        <row r="6730">
          <cell r="B6730">
            <v>7.7881944444450721E-2</v>
          </cell>
          <cell r="C6730">
            <v>112</v>
          </cell>
        </row>
        <row r="6731">
          <cell r="B6731">
            <v>7.7893518518524801E-2</v>
          </cell>
          <cell r="C6731">
            <v>112</v>
          </cell>
        </row>
        <row r="6732">
          <cell r="B6732">
            <v>7.7905092592598882E-2</v>
          </cell>
          <cell r="C6732">
            <v>112</v>
          </cell>
        </row>
        <row r="6733">
          <cell r="B6733">
            <v>7.7916666666672962E-2</v>
          </cell>
          <cell r="C6733">
            <v>112</v>
          </cell>
        </row>
        <row r="6734">
          <cell r="B6734">
            <v>7.7928240740747043E-2</v>
          </cell>
          <cell r="C6734">
            <v>112</v>
          </cell>
        </row>
        <row r="6735">
          <cell r="B6735">
            <v>7.7939814814821123E-2</v>
          </cell>
          <cell r="C6735">
            <v>112</v>
          </cell>
        </row>
        <row r="6736">
          <cell r="B6736">
            <v>7.7951388888895204E-2</v>
          </cell>
          <cell r="C6736">
            <v>112</v>
          </cell>
        </row>
        <row r="6737">
          <cell r="B6737">
            <v>7.7962962962969284E-2</v>
          </cell>
          <cell r="C6737">
            <v>112</v>
          </cell>
        </row>
        <row r="6738">
          <cell r="B6738">
            <v>7.7974537037043365E-2</v>
          </cell>
          <cell r="C6738">
            <v>112</v>
          </cell>
        </row>
        <row r="6739">
          <cell r="B6739">
            <v>7.7986111111117445E-2</v>
          </cell>
          <cell r="C6739">
            <v>112</v>
          </cell>
        </row>
        <row r="6740">
          <cell r="B6740">
            <v>7.7997685185191526E-2</v>
          </cell>
          <cell r="C6740">
            <v>112</v>
          </cell>
        </row>
        <row r="6741">
          <cell r="B6741">
            <v>7.8009259259265606E-2</v>
          </cell>
          <cell r="C6741">
            <v>112</v>
          </cell>
        </row>
        <row r="6742">
          <cell r="B6742">
            <v>7.8020833333339687E-2</v>
          </cell>
          <cell r="C6742">
            <v>112</v>
          </cell>
        </row>
        <row r="6743">
          <cell r="B6743">
            <v>7.8032407407413767E-2</v>
          </cell>
          <cell r="C6743">
            <v>112</v>
          </cell>
        </row>
        <row r="6744">
          <cell r="B6744">
            <v>7.8043981481487848E-2</v>
          </cell>
          <cell r="C6744">
            <v>112</v>
          </cell>
        </row>
        <row r="6745">
          <cell r="B6745">
            <v>7.8055555555561928E-2</v>
          </cell>
          <cell r="C6745">
            <v>112</v>
          </cell>
        </row>
        <row r="6746">
          <cell r="B6746">
            <v>7.8067129629636009E-2</v>
          </cell>
          <cell r="C6746">
            <v>112</v>
          </cell>
        </row>
        <row r="6747">
          <cell r="B6747">
            <v>7.807870370371009E-2</v>
          </cell>
          <cell r="C6747">
            <v>112</v>
          </cell>
        </row>
        <row r="6748">
          <cell r="B6748">
            <v>7.809027777778417E-2</v>
          </cell>
          <cell r="C6748">
            <v>112</v>
          </cell>
        </row>
        <row r="6749">
          <cell r="B6749">
            <v>7.8101851851858251E-2</v>
          </cell>
          <cell r="C6749">
            <v>112</v>
          </cell>
        </row>
        <row r="6750">
          <cell r="B6750">
            <v>7.8113425925932331E-2</v>
          </cell>
          <cell r="C6750">
            <v>112</v>
          </cell>
        </row>
        <row r="6751">
          <cell r="B6751">
            <v>7.8125000000006412E-2</v>
          </cell>
          <cell r="C6751">
            <v>112</v>
          </cell>
        </row>
        <row r="6752">
          <cell r="B6752">
            <v>7.8136574074080492E-2</v>
          </cell>
          <cell r="C6752">
            <v>112</v>
          </cell>
        </row>
        <row r="6753">
          <cell r="B6753">
            <v>7.8148148148154573E-2</v>
          </cell>
          <cell r="C6753">
            <v>112</v>
          </cell>
        </row>
        <row r="6754">
          <cell r="B6754">
            <v>7.8159722222228653E-2</v>
          </cell>
          <cell r="C6754">
            <v>112</v>
          </cell>
        </row>
        <row r="6755">
          <cell r="B6755">
            <v>7.8171296296302734E-2</v>
          </cell>
          <cell r="C6755">
            <v>112</v>
          </cell>
        </row>
        <row r="6756">
          <cell r="B6756">
            <v>7.8182870370376814E-2</v>
          </cell>
          <cell r="C6756">
            <v>112</v>
          </cell>
        </row>
        <row r="6757">
          <cell r="B6757">
            <v>7.8194444444450895E-2</v>
          </cell>
          <cell r="C6757">
            <v>112</v>
          </cell>
        </row>
        <row r="6758">
          <cell r="B6758">
            <v>7.8206018518524975E-2</v>
          </cell>
          <cell r="C6758">
            <v>112</v>
          </cell>
        </row>
        <row r="6759">
          <cell r="B6759">
            <v>7.8217592592599056E-2</v>
          </cell>
          <cell r="C6759">
            <v>112</v>
          </cell>
        </row>
        <row r="6760">
          <cell r="B6760">
            <v>7.8229166666673136E-2</v>
          </cell>
          <cell r="C6760">
            <v>112</v>
          </cell>
        </row>
        <row r="6761">
          <cell r="B6761">
            <v>7.8240740740747217E-2</v>
          </cell>
          <cell r="C6761">
            <v>112</v>
          </cell>
        </row>
        <row r="6762">
          <cell r="B6762">
            <v>7.8252314814821297E-2</v>
          </cell>
          <cell r="C6762">
            <v>112</v>
          </cell>
        </row>
        <row r="6763">
          <cell r="B6763">
            <v>7.8263888888895378E-2</v>
          </cell>
          <cell r="C6763">
            <v>112</v>
          </cell>
        </row>
        <row r="6764">
          <cell r="B6764">
            <v>7.8275462962969458E-2</v>
          </cell>
          <cell r="C6764">
            <v>112</v>
          </cell>
        </row>
        <row r="6765">
          <cell r="B6765">
            <v>7.8287037037043539E-2</v>
          </cell>
          <cell r="C6765">
            <v>112</v>
          </cell>
        </row>
        <row r="6766">
          <cell r="B6766">
            <v>7.8298611111117619E-2</v>
          </cell>
          <cell r="C6766">
            <v>112</v>
          </cell>
        </row>
        <row r="6767">
          <cell r="B6767">
            <v>7.83101851851917E-2</v>
          </cell>
          <cell r="C6767">
            <v>112</v>
          </cell>
        </row>
        <row r="6768">
          <cell r="B6768">
            <v>7.832175925926578E-2</v>
          </cell>
          <cell r="C6768">
            <v>112</v>
          </cell>
        </row>
        <row r="6769">
          <cell r="B6769">
            <v>7.8333333333339861E-2</v>
          </cell>
          <cell r="C6769">
            <v>112</v>
          </cell>
        </row>
        <row r="6770">
          <cell r="B6770">
            <v>7.8344907407413941E-2</v>
          </cell>
          <cell r="C6770">
            <v>112</v>
          </cell>
        </row>
        <row r="6771">
          <cell r="B6771">
            <v>7.8356481481488022E-2</v>
          </cell>
          <cell r="C6771">
            <v>112</v>
          </cell>
        </row>
        <row r="6772">
          <cell r="B6772">
            <v>7.8368055555562102E-2</v>
          </cell>
          <cell r="C6772">
            <v>112</v>
          </cell>
        </row>
        <row r="6773">
          <cell r="B6773">
            <v>7.8379629629636183E-2</v>
          </cell>
          <cell r="C6773">
            <v>112</v>
          </cell>
        </row>
        <row r="6774">
          <cell r="B6774">
            <v>7.8391203703710263E-2</v>
          </cell>
          <cell r="C6774">
            <v>112</v>
          </cell>
        </row>
        <row r="6775">
          <cell r="B6775">
            <v>7.8402777777784344E-2</v>
          </cell>
          <cell r="C6775">
            <v>112</v>
          </cell>
        </row>
        <row r="6776">
          <cell r="B6776">
            <v>7.8414351851858424E-2</v>
          </cell>
          <cell r="C6776">
            <v>112</v>
          </cell>
        </row>
        <row r="6777">
          <cell r="B6777">
            <v>7.8425925925932505E-2</v>
          </cell>
          <cell r="C6777">
            <v>112</v>
          </cell>
        </row>
        <row r="6778">
          <cell r="B6778">
            <v>7.8437500000006585E-2</v>
          </cell>
          <cell r="C6778">
            <v>112</v>
          </cell>
        </row>
        <row r="6779">
          <cell r="B6779">
            <v>7.8449074074080666E-2</v>
          </cell>
          <cell r="C6779">
            <v>112</v>
          </cell>
        </row>
        <row r="6780">
          <cell r="B6780">
            <v>7.8460648148154746E-2</v>
          </cell>
          <cell r="C6780">
            <v>112</v>
          </cell>
        </row>
        <row r="6781">
          <cell r="B6781">
            <v>7.8472222222228827E-2</v>
          </cell>
          <cell r="C6781">
            <v>113</v>
          </cell>
        </row>
        <row r="6782">
          <cell r="B6782">
            <v>7.8483796296302907E-2</v>
          </cell>
          <cell r="C6782">
            <v>113</v>
          </cell>
        </row>
        <row r="6783">
          <cell r="B6783">
            <v>7.8495370370376988E-2</v>
          </cell>
          <cell r="C6783">
            <v>113</v>
          </cell>
        </row>
        <row r="6784">
          <cell r="B6784">
            <v>7.8506944444451068E-2</v>
          </cell>
          <cell r="C6784">
            <v>113</v>
          </cell>
        </row>
        <row r="6785">
          <cell r="B6785">
            <v>7.8518518518525149E-2</v>
          </cell>
          <cell r="C6785">
            <v>113</v>
          </cell>
        </row>
        <row r="6786">
          <cell r="B6786">
            <v>7.8530092592599229E-2</v>
          </cell>
          <cell r="C6786">
            <v>113</v>
          </cell>
        </row>
        <row r="6787">
          <cell r="B6787">
            <v>7.854166666667331E-2</v>
          </cell>
          <cell r="C6787">
            <v>113</v>
          </cell>
        </row>
        <row r="6788">
          <cell r="B6788">
            <v>7.855324074074739E-2</v>
          </cell>
          <cell r="C6788">
            <v>113</v>
          </cell>
        </row>
        <row r="6789">
          <cell r="B6789">
            <v>7.8564814814821471E-2</v>
          </cell>
          <cell r="C6789">
            <v>113</v>
          </cell>
        </row>
        <row r="6790">
          <cell r="B6790">
            <v>7.8576388888895551E-2</v>
          </cell>
          <cell r="C6790">
            <v>113</v>
          </cell>
        </row>
        <row r="6791">
          <cell r="B6791">
            <v>7.8587962962969632E-2</v>
          </cell>
          <cell r="C6791">
            <v>113</v>
          </cell>
        </row>
        <row r="6792">
          <cell r="B6792">
            <v>7.8599537037043712E-2</v>
          </cell>
          <cell r="C6792">
            <v>113</v>
          </cell>
        </row>
        <row r="6793">
          <cell r="B6793">
            <v>7.8611111111117793E-2</v>
          </cell>
          <cell r="C6793">
            <v>113</v>
          </cell>
        </row>
        <row r="6794">
          <cell r="B6794">
            <v>7.8622685185191873E-2</v>
          </cell>
          <cell r="C6794">
            <v>113</v>
          </cell>
        </row>
        <row r="6795">
          <cell r="B6795">
            <v>7.8634259259265954E-2</v>
          </cell>
          <cell r="C6795">
            <v>113</v>
          </cell>
        </row>
        <row r="6796">
          <cell r="B6796">
            <v>7.8645833333340034E-2</v>
          </cell>
          <cell r="C6796">
            <v>113</v>
          </cell>
        </row>
        <row r="6797">
          <cell r="B6797">
            <v>7.8657407407414115E-2</v>
          </cell>
          <cell r="C6797">
            <v>113</v>
          </cell>
        </row>
        <row r="6798">
          <cell r="B6798">
            <v>7.8668981481488195E-2</v>
          </cell>
          <cell r="C6798">
            <v>113</v>
          </cell>
        </row>
        <row r="6799">
          <cell r="B6799">
            <v>7.8680555555562276E-2</v>
          </cell>
          <cell r="C6799">
            <v>113</v>
          </cell>
        </row>
        <row r="6800">
          <cell r="B6800">
            <v>7.8692129629636356E-2</v>
          </cell>
          <cell r="C6800">
            <v>113</v>
          </cell>
        </row>
        <row r="6801">
          <cell r="B6801">
            <v>7.8703703703710437E-2</v>
          </cell>
          <cell r="C6801">
            <v>113</v>
          </cell>
        </row>
        <row r="6802">
          <cell r="B6802">
            <v>7.8715277777784518E-2</v>
          </cell>
          <cell r="C6802">
            <v>113</v>
          </cell>
        </row>
        <row r="6803">
          <cell r="B6803">
            <v>7.8726851851858598E-2</v>
          </cell>
          <cell r="C6803">
            <v>113</v>
          </cell>
        </row>
        <row r="6804">
          <cell r="B6804">
            <v>7.8738425925932679E-2</v>
          </cell>
          <cell r="C6804">
            <v>113</v>
          </cell>
        </row>
        <row r="6805">
          <cell r="B6805">
            <v>7.8750000000006759E-2</v>
          </cell>
          <cell r="C6805">
            <v>113</v>
          </cell>
        </row>
        <row r="6806">
          <cell r="B6806">
            <v>7.876157407408084E-2</v>
          </cell>
          <cell r="C6806">
            <v>113</v>
          </cell>
        </row>
        <row r="6807">
          <cell r="B6807">
            <v>7.877314814815492E-2</v>
          </cell>
          <cell r="C6807">
            <v>113</v>
          </cell>
        </row>
        <row r="6808">
          <cell r="B6808">
            <v>7.8784722222229001E-2</v>
          </cell>
          <cell r="C6808">
            <v>113</v>
          </cell>
        </row>
        <row r="6809">
          <cell r="B6809">
            <v>7.8796296296303081E-2</v>
          </cell>
          <cell r="C6809">
            <v>113</v>
          </cell>
        </row>
        <row r="6810">
          <cell r="B6810">
            <v>7.8807870370377162E-2</v>
          </cell>
          <cell r="C6810">
            <v>113</v>
          </cell>
        </row>
        <row r="6811">
          <cell r="B6811">
            <v>7.8819444444451242E-2</v>
          </cell>
          <cell r="C6811">
            <v>113</v>
          </cell>
        </row>
        <row r="6812">
          <cell r="B6812">
            <v>7.8831018518525323E-2</v>
          </cell>
          <cell r="C6812">
            <v>113</v>
          </cell>
        </row>
        <row r="6813">
          <cell r="B6813">
            <v>7.8842592592599403E-2</v>
          </cell>
          <cell r="C6813">
            <v>113</v>
          </cell>
        </row>
        <row r="6814">
          <cell r="B6814">
            <v>7.8854166666673484E-2</v>
          </cell>
          <cell r="C6814">
            <v>113</v>
          </cell>
        </row>
        <row r="6815">
          <cell r="B6815">
            <v>7.8865740740747564E-2</v>
          </cell>
          <cell r="C6815">
            <v>113</v>
          </cell>
        </row>
        <row r="6816">
          <cell r="B6816">
            <v>7.8877314814821645E-2</v>
          </cell>
          <cell r="C6816">
            <v>113</v>
          </cell>
        </row>
        <row r="6817">
          <cell r="B6817">
            <v>7.8888888888895725E-2</v>
          </cell>
          <cell r="C6817">
            <v>113</v>
          </cell>
        </row>
        <row r="6818">
          <cell r="B6818">
            <v>7.8900462962969806E-2</v>
          </cell>
          <cell r="C6818">
            <v>113</v>
          </cell>
        </row>
        <row r="6819">
          <cell r="B6819">
            <v>7.8912037037043886E-2</v>
          </cell>
          <cell r="C6819">
            <v>113</v>
          </cell>
        </row>
        <row r="6820">
          <cell r="B6820">
            <v>7.8923611111117967E-2</v>
          </cell>
          <cell r="C6820">
            <v>113</v>
          </cell>
        </row>
        <row r="6821">
          <cell r="B6821">
            <v>7.8935185185192047E-2</v>
          </cell>
          <cell r="C6821">
            <v>113</v>
          </cell>
        </row>
        <row r="6822">
          <cell r="B6822">
            <v>7.8946759259266128E-2</v>
          </cell>
          <cell r="C6822">
            <v>113</v>
          </cell>
        </row>
        <row r="6823">
          <cell r="B6823">
            <v>7.8958333333340208E-2</v>
          </cell>
          <cell r="C6823">
            <v>113</v>
          </cell>
        </row>
        <row r="6824">
          <cell r="B6824">
            <v>7.8969907407414289E-2</v>
          </cell>
          <cell r="C6824">
            <v>113</v>
          </cell>
        </row>
        <row r="6825">
          <cell r="B6825">
            <v>7.8981481481488369E-2</v>
          </cell>
          <cell r="C6825">
            <v>113</v>
          </cell>
        </row>
        <row r="6826">
          <cell r="B6826">
            <v>7.899305555556245E-2</v>
          </cell>
          <cell r="C6826">
            <v>113</v>
          </cell>
        </row>
        <row r="6827">
          <cell r="B6827">
            <v>7.900462962963653E-2</v>
          </cell>
          <cell r="C6827">
            <v>113</v>
          </cell>
        </row>
        <row r="6828">
          <cell r="B6828">
            <v>7.9016203703710611E-2</v>
          </cell>
          <cell r="C6828">
            <v>113</v>
          </cell>
        </row>
        <row r="6829">
          <cell r="B6829">
            <v>7.9027777777784691E-2</v>
          </cell>
          <cell r="C6829">
            <v>113</v>
          </cell>
        </row>
        <row r="6830">
          <cell r="B6830">
            <v>7.9039351851858772E-2</v>
          </cell>
          <cell r="C6830">
            <v>113</v>
          </cell>
        </row>
        <row r="6831">
          <cell r="B6831">
            <v>7.9050925925932852E-2</v>
          </cell>
          <cell r="C6831">
            <v>113</v>
          </cell>
        </row>
        <row r="6832">
          <cell r="B6832">
            <v>7.9062500000006933E-2</v>
          </cell>
          <cell r="C6832">
            <v>113</v>
          </cell>
        </row>
        <row r="6833">
          <cell r="B6833">
            <v>7.9074074074081013E-2</v>
          </cell>
          <cell r="C6833">
            <v>113</v>
          </cell>
        </row>
        <row r="6834">
          <cell r="B6834">
            <v>7.9085648148155094E-2</v>
          </cell>
          <cell r="C6834">
            <v>113</v>
          </cell>
        </row>
        <row r="6835">
          <cell r="B6835">
            <v>7.9097222222229174E-2</v>
          </cell>
          <cell r="C6835">
            <v>113</v>
          </cell>
        </row>
        <row r="6836">
          <cell r="B6836">
            <v>7.9108796296303255E-2</v>
          </cell>
          <cell r="C6836">
            <v>113</v>
          </cell>
        </row>
        <row r="6837">
          <cell r="B6837">
            <v>7.9120370370377335E-2</v>
          </cell>
          <cell r="C6837">
            <v>113</v>
          </cell>
        </row>
        <row r="6838">
          <cell r="B6838">
            <v>7.9131944444451416E-2</v>
          </cell>
          <cell r="C6838">
            <v>113</v>
          </cell>
        </row>
        <row r="6839">
          <cell r="B6839">
            <v>7.9143518518525496E-2</v>
          </cell>
          <cell r="C6839">
            <v>113</v>
          </cell>
        </row>
        <row r="6840">
          <cell r="B6840">
            <v>7.9155092592599577E-2</v>
          </cell>
          <cell r="C6840">
            <v>113</v>
          </cell>
        </row>
        <row r="6841">
          <cell r="B6841">
            <v>7.9166666666673657E-2</v>
          </cell>
          <cell r="C6841">
            <v>114</v>
          </cell>
        </row>
        <row r="6842">
          <cell r="B6842">
            <v>7.9178240740747738E-2</v>
          </cell>
          <cell r="C6842">
            <v>114</v>
          </cell>
        </row>
        <row r="6843">
          <cell r="B6843">
            <v>7.9189814814821818E-2</v>
          </cell>
          <cell r="C6843">
            <v>114</v>
          </cell>
        </row>
        <row r="6844">
          <cell r="B6844">
            <v>7.9201388888895899E-2</v>
          </cell>
          <cell r="C6844">
            <v>114</v>
          </cell>
        </row>
        <row r="6845">
          <cell r="B6845">
            <v>7.9212962962969979E-2</v>
          </cell>
          <cell r="C6845">
            <v>114</v>
          </cell>
        </row>
        <row r="6846">
          <cell r="B6846">
            <v>7.922453703704406E-2</v>
          </cell>
          <cell r="C6846">
            <v>114</v>
          </cell>
        </row>
        <row r="6847">
          <cell r="B6847">
            <v>7.923611111111814E-2</v>
          </cell>
          <cell r="C6847">
            <v>114</v>
          </cell>
        </row>
        <row r="6848">
          <cell r="B6848">
            <v>7.9247685185192221E-2</v>
          </cell>
          <cell r="C6848">
            <v>114</v>
          </cell>
        </row>
        <row r="6849">
          <cell r="B6849">
            <v>7.9259259259266301E-2</v>
          </cell>
          <cell r="C6849">
            <v>114</v>
          </cell>
        </row>
        <row r="6850">
          <cell r="B6850">
            <v>7.9270833333340382E-2</v>
          </cell>
          <cell r="C6850">
            <v>114</v>
          </cell>
        </row>
        <row r="6851">
          <cell r="B6851">
            <v>7.9282407407414462E-2</v>
          </cell>
          <cell r="C6851">
            <v>114</v>
          </cell>
        </row>
        <row r="6852">
          <cell r="B6852">
            <v>7.9293981481488543E-2</v>
          </cell>
          <cell r="C6852">
            <v>114</v>
          </cell>
        </row>
        <row r="6853">
          <cell r="B6853">
            <v>7.9305555555562623E-2</v>
          </cell>
          <cell r="C6853">
            <v>114</v>
          </cell>
        </row>
        <row r="6854">
          <cell r="B6854">
            <v>7.9317129629636704E-2</v>
          </cell>
          <cell r="C6854">
            <v>114</v>
          </cell>
        </row>
        <row r="6855">
          <cell r="B6855">
            <v>7.9328703703710785E-2</v>
          </cell>
          <cell r="C6855">
            <v>114</v>
          </cell>
        </row>
        <row r="6856">
          <cell r="B6856">
            <v>7.9340277777784865E-2</v>
          </cell>
          <cell r="C6856">
            <v>114</v>
          </cell>
        </row>
        <row r="6857">
          <cell r="B6857">
            <v>7.9351851851858946E-2</v>
          </cell>
          <cell r="C6857">
            <v>114</v>
          </cell>
        </row>
        <row r="6858">
          <cell r="B6858">
            <v>7.9363425925933026E-2</v>
          </cell>
          <cell r="C6858">
            <v>114</v>
          </cell>
        </row>
        <row r="6859">
          <cell r="B6859">
            <v>7.9375000000007107E-2</v>
          </cell>
          <cell r="C6859">
            <v>114</v>
          </cell>
        </row>
        <row r="6860">
          <cell r="B6860">
            <v>7.9386574074081187E-2</v>
          </cell>
          <cell r="C6860">
            <v>114</v>
          </cell>
        </row>
        <row r="6861">
          <cell r="B6861">
            <v>7.9398148148155268E-2</v>
          </cell>
          <cell r="C6861">
            <v>114</v>
          </cell>
        </row>
        <row r="6862">
          <cell r="B6862">
            <v>7.9409722222229348E-2</v>
          </cell>
          <cell r="C6862">
            <v>114</v>
          </cell>
        </row>
        <row r="6863">
          <cell r="B6863">
            <v>7.9421296296303429E-2</v>
          </cell>
          <cell r="C6863">
            <v>114</v>
          </cell>
        </row>
        <row r="6864">
          <cell r="B6864">
            <v>7.9432870370377509E-2</v>
          </cell>
          <cell r="C6864">
            <v>114</v>
          </cell>
        </row>
        <row r="6865">
          <cell r="B6865">
            <v>7.944444444445159E-2</v>
          </cell>
          <cell r="C6865">
            <v>114</v>
          </cell>
        </row>
        <row r="6866">
          <cell r="B6866">
            <v>7.945601851852567E-2</v>
          </cell>
          <cell r="C6866">
            <v>114</v>
          </cell>
        </row>
        <row r="6867">
          <cell r="B6867">
            <v>7.9467592592599751E-2</v>
          </cell>
          <cell r="C6867">
            <v>114</v>
          </cell>
        </row>
        <row r="6868">
          <cell r="B6868">
            <v>7.9479166666673831E-2</v>
          </cell>
          <cell r="C6868">
            <v>114</v>
          </cell>
        </row>
        <row r="6869">
          <cell r="B6869">
            <v>7.9490740740747912E-2</v>
          </cell>
          <cell r="C6869">
            <v>114</v>
          </cell>
        </row>
        <row r="6870">
          <cell r="B6870">
            <v>7.9502314814821992E-2</v>
          </cell>
          <cell r="C6870">
            <v>114</v>
          </cell>
        </row>
        <row r="6871">
          <cell r="B6871">
            <v>7.9513888888896073E-2</v>
          </cell>
          <cell r="C6871">
            <v>114</v>
          </cell>
        </row>
        <row r="6872">
          <cell r="B6872">
            <v>7.9525462962970153E-2</v>
          </cell>
          <cell r="C6872">
            <v>114</v>
          </cell>
        </row>
        <row r="6873">
          <cell r="B6873">
            <v>7.9537037037044234E-2</v>
          </cell>
          <cell r="C6873">
            <v>114</v>
          </cell>
        </row>
        <row r="6874">
          <cell r="B6874">
            <v>7.9548611111118314E-2</v>
          </cell>
          <cell r="C6874">
            <v>114</v>
          </cell>
        </row>
        <row r="6875">
          <cell r="B6875">
            <v>7.9560185185192395E-2</v>
          </cell>
          <cell r="C6875">
            <v>114</v>
          </cell>
        </row>
        <row r="6876">
          <cell r="B6876">
            <v>7.9571759259266475E-2</v>
          </cell>
          <cell r="C6876">
            <v>114</v>
          </cell>
        </row>
        <row r="6877">
          <cell r="B6877">
            <v>7.9583333333340556E-2</v>
          </cell>
          <cell r="C6877">
            <v>114</v>
          </cell>
        </row>
        <row r="6878">
          <cell r="B6878">
            <v>7.9594907407414636E-2</v>
          </cell>
          <cell r="C6878">
            <v>114</v>
          </cell>
        </row>
        <row r="6879">
          <cell r="B6879">
            <v>7.9606481481488717E-2</v>
          </cell>
          <cell r="C6879">
            <v>114</v>
          </cell>
        </row>
        <row r="6880">
          <cell r="B6880">
            <v>7.9618055555562797E-2</v>
          </cell>
          <cell r="C6880">
            <v>114</v>
          </cell>
        </row>
        <row r="6881">
          <cell r="B6881">
            <v>7.9629629629636878E-2</v>
          </cell>
          <cell r="C6881">
            <v>114</v>
          </cell>
        </row>
        <row r="6882">
          <cell r="B6882">
            <v>7.9641203703710958E-2</v>
          </cell>
          <cell r="C6882">
            <v>114</v>
          </cell>
        </row>
        <row r="6883">
          <cell r="B6883">
            <v>7.9652777777785039E-2</v>
          </cell>
          <cell r="C6883">
            <v>114</v>
          </cell>
        </row>
        <row r="6884">
          <cell r="B6884">
            <v>7.9664351851859119E-2</v>
          </cell>
          <cell r="C6884">
            <v>114</v>
          </cell>
        </row>
        <row r="6885">
          <cell r="B6885">
            <v>7.96759259259332E-2</v>
          </cell>
          <cell r="C6885">
            <v>114</v>
          </cell>
        </row>
        <row r="6886">
          <cell r="B6886">
            <v>7.968750000000728E-2</v>
          </cell>
          <cell r="C6886">
            <v>114</v>
          </cell>
        </row>
        <row r="6887">
          <cell r="B6887">
            <v>7.9699074074081361E-2</v>
          </cell>
          <cell r="C6887">
            <v>114</v>
          </cell>
        </row>
        <row r="6888">
          <cell r="B6888">
            <v>7.9710648148155441E-2</v>
          </cell>
          <cell r="C6888">
            <v>114</v>
          </cell>
        </row>
        <row r="6889">
          <cell r="B6889">
            <v>7.9722222222229522E-2</v>
          </cell>
          <cell r="C6889">
            <v>114</v>
          </cell>
        </row>
        <row r="6890">
          <cell r="B6890">
            <v>7.9733796296303602E-2</v>
          </cell>
          <cell r="C6890">
            <v>114</v>
          </cell>
        </row>
        <row r="6891">
          <cell r="B6891">
            <v>7.9745370370377683E-2</v>
          </cell>
          <cell r="C6891">
            <v>114</v>
          </cell>
        </row>
        <row r="6892">
          <cell r="B6892">
            <v>7.9756944444451763E-2</v>
          </cell>
          <cell r="C6892">
            <v>114</v>
          </cell>
        </row>
        <row r="6893">
          <cell r="B6893">
            <v>7.9768518518525844E-2</v>
          </cell>
          <cell r="C6893">
            <v>114</v>
          </cell>
        </row>
        <row r="6894">
          <cell r="B6894">
            <v>7.9780092592599924E-2</v>
          </cell>
          <cell r="C6894">
            <v>114</v>
          </cell>
        </row>
        <row r="6895">
          <cell r="B6895">
            <v>7.9791666666674005E-2</v>
          </cell>
          <cell r="C6895">
            <v>114</v>
          </cell>
        </row>
        <row r="6896">
          <cell r="B6896">
            <v>7.9803240740748085E-2</v>
          </cell>
          <cell r="C6896">
            <v>114</v>
          </cell>
        </row>
        <row r="6897">
          <cell r="B6897">
            <v>7.9814814814822166E-2</v>
          </cell>
          <cell r="C6897">
            <v>114</v>
          </cell>
        </row>
        <row r="6898">
          <cell r="B6898">
            <v>7.9826388888896246E-2</v>
          </cell>
          <cell r="C6898">
            <v>114</v>
          </cell>
        </row>
        <row r="6899">
          <cell r="B6899">
            <v>7.9837962962970327E-2</v>
          </cell>
          <cell r="C6899">
            <v>114</v>
          </cell>
        </row>
        <row r="6900">
          <cell r="B6900">
            <v>7.9849537037044407E-2</v>
          </cell>
          <cell r="C6900">
            <v>114</v>
          </cell>
        </row>
        <row r="6901">
          <cell r="B6901">
            <v>7.9861111111118488E-2</v>
          </cell>
          <cell r="C6901">
            <v>115</v>
          </cell>
        </row>
        <row r="6902">
          <cell r="B6902">
            <v>7.9872685185192568E-2</v>
          </cell>
          <cell r="C6902">
            <v>115</v>
          </cell>
        </row>
        <row r="6903">
          <cell r="B6903">
            <v>7.9884259259266649E-2</v>
          </cell>
          <cell r="C6903">
            <v>115</v>
          </cell>
        </row>
        <row r="6904">
          <cell r="B6904">
            <v>7.9895833333340729E-2</v>
          </cell>
          <cell r="C6904">
            <v>115</v>
          </cell>
        </row>
        <row r="6905">
          <cell r="B6905">
            <v>7.990740740741481E-2</v>
          </cell>
          <cell r="C6905">
            <v>115</v>
          </cell>
        </row>
        <row r="6906">
          <cell r="B6906">
            <v>7.991898148148889E-2</v>
          </cell>
          <cell r="C6906">
            <v>115</v>
          </cell>
        </row>
        <row r="6907">
          <cell r="B6907">
            <v>7.9930555555562971E-2</v>
          </cell>
          <cell r="C6907">
            <v>115</v>
          </cell>
        </row>
        <row r="6908">
          <cell r="B6908">
            <v>7.9942129629637051E-2</v>
          </cell>
          <cell r="C6908">
            <v>115</v>
          </cell>
        </row>
        <row r="6909">
          <cell r="B6909">
            <v>7.9953703703711132E-2</v>
          </cell>
          <cell r="C6909">
            <v>115</v>
          </cell>
        </row>
        <row r="6910">
          <cell r="B6910">
            <v>7.9965277777785213E-2</v>
          </cell>
          <cell r="C6910">
            <v>115</v>
          </cell>
        </row>
        <row r="6911">
          <cell r="B6911">
            <v>7.9976851851859293E-2</v>
          </cell>
          <cell r="C6911">
            <v>115</v>
          </cell>
        </row>
        <row r="6912">
          <cell r="B6912">
            <v>7.9988425925933374E-2</v>
          </cell>
          <cell r="C6912">
            <v>115</v>
          </cell>
        </row>
        <row r="6913">
          <cell r="B6913">
            <v>8.0000000000007454E-2</v>
          </cell>
          <cell r="C6913">
            <v>115</v>
          </cell>
        </row>
        <row r="6914">
          <cell r="B6914">
            <v>8.0011574074081535E-2</v>
          </cell>
          <cell r="C6914">
            <v>115</v>
          </cell>
        </row>
        <row r="6915">
          <cell r="B6915">
            <v>8.0023148148155615E-2</v>
          </cell>
          <cell r="C6915">
            <v>115</v>
          </cell>
        </row>
        <row r="6916">
          <cell r="B6916">
            <v>8.0034722222229696E-2</v>
          </cell>
          <cell r="C6916">
            <v>115</v>
          </cell>
        </row>
        <row r="6917">
          <cell r="B6917">
            <v>8.0046296296303776E-2</v>
          </cell>
          <cell r="C6917">
            <v>115</v>
          </cell>
        </row>
        <row r="6918">
          <cell r="B6918">
            <v>8.0057870370377857E-2</v>
          </cell>
          <cell r="C6918">
            <v>115</v>
          </cell>
        </row>
        <row r="6919">
          <cell r="B6919">
            <v>8.0069444444451937E-2</v>
          </cell>
          <cell r="C6919">
            <v>115</v>
          </cell>
        </row>
        <row r="6920">
          <cell r="B6920">
            <v>8.0081018518526018E-2</v>
          </cell>
          <cell r="C6920">
            <v>115</v>
          </cell>
        </row>
        <row r="6921">
          <cell r="B6921">
            <v>8.0092592592600098E-2</v>
          </cell>
          <cell r="C6921">
            <v>115</v>
          </cell>
        </row>
        <row r="6922">
          <cell r="B6922">
            <v>8.0104166666674179E-2</v>
          </cell>
          <cell r="C6922">
            <v>115</v>
          </cell>
        </row>
        <row r="6923">
          <cell r="B6923">
            <v>8.0115740740748259E-2</v>
          </cell>
          <cell r="C6923">
            <v>115</v>
          </cell>
        </row>
        <row r="6924">
          <cell r="B6924">
            <v>8.012731481482234E-2</v>
          </cell>
          <cell r="C6924">
            <v>115</v>
          </cell>
        </row>
        <row r="6925">
          <cell r="B6925">
            <v>8.013888888889642E-2</v>
          </cell>
          <cell r="C6925">
            <v>115</v>
          </cell>
        </row>
        <row r="6926">
          <cell r="B6926">
            <v>8.0150462962970501E-2</v>
          </cell>
          <cell r="C6926">
            <v>115</v>
          </cell>
        </row>
        <row r="6927">
          <cell r="B6927">
            <v>8.0162037037044581E-2</v>
          </cell>
          <cell r="C6927">
            <v>115</v>
          </cell>
        </row>
        <row r="6928">
          <cell r="B6928">
            <v>8.0173611111118662E-2</v>
          </cell>
          <cell r="C6928">
            <v>115</v>
          </cell>
        </row>
        <row r="6929">
          <cell r="B6929">
            <v>8.0185185185192742E-2</v>
          </cell>
          <cell r="C6929">
            <v>115</v>
          </cell>
        </row>
        <row r="6930">
          <cell r="B6930">
            <v>8.0196759259266823E-2</v>
          </cell>
          <cell r="C6930">
            <v>115</v>
          </cell>
        </row>
        <row r="6931">
          <cell r="B6931">
            <v>8.0208333333340903E-2</v>
          </cell>
          <cell r="C6931">
            <v>115</v>
          </cell>
        </row>
        <row r="6932">
          <cell r="B6932">
            <v>8.0219907407414984E-2</v>
          </cell>
          <cell r="C6932">
            <v>115</v>
          </cell>
        </row>
        <row r="6933">
          <cell r="B6933">
            <v>8.0231481481489064E-2</v>
          </cell>
          <cell r="C6933">
            <v>115</v>
          </cell>
        </row>
        <row r="6934">
          <cell r="B6934">
            <v>8.0243055555563145E-2</v>
          </cell>
          <cell r="C6934">
            <v>115</v>
          </cell>
        </row>
        <row r="6935">
          <cell r="B6935">
            <v>8.0254629629637225E-2</v>
          </cell>
          <cell r="C6935">
            <v>115</v>
          </cell>
        </row>
        <row r="6936">
          <cell r="B6936">
            <v>8.0266203703711306E-2</v>
          </cell>
          <cell r="C6936">
            <v>115</v>
          </cell>
        </row>
        <row r="6937">
          <cell r="B6937">
            <v>8.0277777777785386E-2</v>
          </cell>
          <cell r="C6937">
            <v>115</v>
          </cell>
        </row>
        <row r="6938">
          <cell r="B6938">
            <v>8.0289351851859467E-2</v>
          </cell>
          <cell r="C6938">
            <v>115</v>
          </cell>
        </row>
        <row r="6939">
          <cell r="B6939">
            <v>8.0300925925933547E-2</v>
          </cell>
          <cell r="C6939">
            <v>115</v>
          </cell>
        </row>
        <row r="6940">
          <cell r="B6940">
            <v>8.0312500000007628E-2</v>
          </cell>
          <cell r="C6940">
            <v>115</v>
          </cell>
        </row>
        <row r="6941">
          <cell r="B6941">
            <v>8.0324074074081708E-2</v>
          </cell>
          <cell r="C6941">
            <v>115</v>
          </cell>
        </row>
        <row r="6942">
          <cell r="B6942">
            <v>8.0335648148155789E-2</v>
          </cell>
          <cell r="C6942">
            <v>115</v>
          </cell>
        </row>
        <row r="6943">
          <cell r="B6943">
            <v>8.0347222222229869E-2</v>
          </cell>
          <cell r="C6943">
            <v>115</v>
          </cell>
        </row>
        <row r="6944">
          <cell r="B6944">
            <v>8.035879629630395E-2</v>
          </cell>
          <cell r="C6944">
            <v>115</v>
          </cell>
        </row>
        <row r="6945">
          <cell r="B6945">
            <v>8.037037037037803E-2</v>
          </cell>
          <cell r="C6945">
            <v>115</v>
          </cell>
        </row>
        <row r="6946">
          <cell r="B6946">
            <v>8.0381944444452111E-2</v>
          </cell>
          <cell r="C6946">
            <v>115</v>
          </cell>
        </row>
        <row r="6947">
          <cell r="B6947">
            <v>8.0393518518526191E-2</v>
          </cell>
          <cell r="C6947">
            <v>115</v>
          </cell>
        </row>
        <row r="6948">
          <cell r="B6948">
            <v>8.0405092592600272E-2</v>
          </cell>
          <cell r="C6948">
            <v>115</v>
          </cell>
        </row>
        <row r="6949">
          <cell r="B6949">
            <v>8.0416666666674352E-2</v>
          </cell>
          <cell r="C6949">
            <v>115</v>
          </cell>
        </row>
        <row r="6950">
          <cell r="B6950">
            <v>8.0428240740748433E-2</v>
          </cell>
          <cell r="C6950">
            <v>115</v>
          </cell>
        </row>
        <row r="6951">
          <cell r="B6951">
            <v>8.0439814814822513E-2</v>
          </cell>
          <cell r="C6951">
            <v>115</v>
          </cell>
        </row>
        <row r="6952">
          <cell r="B6952">
            <v>8.0451388888896594E-2</v>
          </cell>
          <cell r="C6952">
            <v>115</v>
          </cell>
        </row>
        <row r="6953">
          <cell r="B6953">
            <v>8.0462962962970674E-2</v>
          </cell>
          <cell r="C6953">
            <v>115</v>
          </cell>
        </row>
        <row r="6954">
          <cell r="B6954">
            <v>8.0474537037044755E-2</v>
          </cell>
          <cell r="C6954">
            <v>115</v>
          </cell>
        </row>
        <row r="6955">
          <cell r="B6955">
            <v>8.0486111111118835E-2</v>
          </cell>
          <cell r="C6955">
            <v>115</v>
          </cell>
        </row>
        <row r="6956">
          <cell r="B6956">
            <v>8.0497685185192916E-2</v>
          </cell>
          <cell r="C6956">
            <v>115</v>
          </cell>
        </row>
        <row r="6957">
          <cell r="B6957">
            <v>8.0509259259266996E-2</v>
          </cell>
          <cell r="C6957">
            <v>115</v>
          </cell>
        </row>
        <row r="6958">
          <cell r="B6958">
            <v>8.0520833333341077E-2</v>
          </cell>
          <cell r="C6958">
            <v>115</v>
          </cell>
        </row>
        <row r="6959">
          <cell r="B6959">
            <v>8.0532407407415157E-2</v>
          </cell>
          <cell r="C6959">
            <v>115</v>
          </cell>
        </row>
        <row r="6960">
          <cell r="B6960">
            <v>8.0543981481489238E-2</v>
          </cell>
          <cell r="C6960">
            <v>115</v>
          </cell>
        </row>
        <row r="6961">
          <cell r="B6961">
            <v>8.0555555555563318E-2</v>
          </cell>
          <cell r="C6961">
            <v>116</v>
          </cell>
        </row>
        <row r="6962">
          <cell r="B6962">
            <v>8.0567129629637399E-2</v>
          </cell>
          <cell r="C6962">
            <v>116</v>
          </cell>
        </row>
        <row r="6963">
          <cell r="B6963">
            <v>8.057870370371148E-2</v>
          </cell>
          <cell r="C6963">
            <v>116</v>
          </cell>
        </row>
        <row r="6964">
          <cell r="B6964">
            <v>8.059027777778556E-2</v>
          </cell>
          <cell r="C6964">
            <v>116</v>
          </cell>
        </row>
        <row r="6965">
          <cell r="B6965">
            <v>8.0601851851859641E-2</v>
          </cell>
          <cell r="C6965">
            <v>116</v>
          </cell>
        </row>
        <row r="6966">
          <cell r="B6966">
            <v>8.0613425925933721E-2</v>
          </cell>
          <cell r="C6966">
            <v>116</v>
          </cell>
        </row>
        <row r="6967">
          <cell r="B6967">
            <v>8.0625000000007802E-2</v>
          </cell>
          <cell r="C6967">
            <v>116</v>
          </cell>
        </row>
        <row r="6968">
          <cell r="B6968">
            <v>8.0636574074081882E-2</v>
          </cell>
          <cell r="C6968">
            <v>116</v>
          </cell>
        </row>
        <row r="6969">
          <cell r="B6969">
            <v>8.0648148148155963E-2</v>
          </cell>
          <cell r="C6969">
            <v>116</v>
          </cell>
        </row>
        <row r="6970">
          <cell r="B6970">
            <v>8.0659722222230043E-2</v>
          </cell>
          <cell r="C6970">
            <v>116</v>
          </cell>
        </row>
        <row r="6971">
          <cell r="B6971">
            <v>8.0671296296304124E-2</v>
          </cell>
          <cell r="C6971">
            <v>116</v>
          </cell>
        </row>
        <row r="6972">
          <cell r="B6972">
            <v>8.0682870370378204E-2</v>
          </cell>
          <cell r="C6972">
            <v>116</v>
          </cell>
        </row>
        <row r="6973">
          <cell r="B6973">
            <v>8.0694444444452285E-2</v>
          </cell>
          <cell r="C6973">
            <v>116</v>
          </cell>
        </row>
        <row r="6974">
          <cell r="B6974">
            <v>8.0706018518526365E-2</v>
          </cell>
          <cell r="C6974">
            <v>116</v>
          </cell>
        </row>
        <row r="6975">
          <cell r="B6975">
            <v>8.0717592592600446E-2</v>
          </cell>
          <cell r="C6975">
            <v>116</v>
          </cell>
        </row>
        <row r="6976">
          <cell r="B6976">
            <v>8.0729166666674526E-2</v>
          </cell>
          <cell r="C6976">
            <v>116</v>
          </cell>
        </row>
        <row r="6977">
          <cell r="B6977">
            <v>8.0740740740748607E-2</v>
          </cell>
          <cell r="C6977">
            <v>116</v>
          </cell>
        </row>
        <row r="6978">
          <cell r="B6978">
            <v>8.0752314814822687E-2</v>
          </cell>
          <cell r="C6978">
            <v>116</v>
          </cell>
        </row>
        <row r="6979">
          <cell r="B6979">
            <v>8.0763888888896768E-2</v>
          </cell>
          <cell r="C6979">
            <v>116</v>
          </cell>
        </row>
        <row r="6980">
          <cell r="B6980">
            <v>8.0775462962970848E-2</v>
          </cell>
          <cell r="C6980">
            <v>116</v>
          </cell>
        </row>
        <row r="6981">
          <cell r="B6981">
            <v>8.0787037037044929E-2</v>
          </cell>
          <cell r="C6981">
            <v>116</v>
          </cell>
        </row>
        <row r="6982">
          <cell r="B6982">
            <v>8.0798611111119009E-2</v>
          </cell>
          <cell r="C6982">
            <v>116</v>
          </cell>
        </row>
        <row r="6983">
          <cell r="B6983">
            <v>8.081018518519309E-2</v>
          </cell>
          <cell r="C6983">
            <v>116</v>
          </cell>
        </row>
        <row r="6984">
          <cell r="B6984">
            <v>8.082175925926717E-2</v>
          </cell>
          <cell r="C6984">
            <v>116</v>
          </cell>
        </row>
        <row r="6985">
          <cell r="B6985">
            <v>8.0833333333341251E-2</v>
          </cell>
          <cell r="C6985">
            <v>116</v>
          </cell>
        </row>
        <row r="6986">
          <cell r="B6986">
            <v>8.0844907407415331E-2</v>
          </cell>
          <cell r="C6986">
            <v>116</v>
          </cell>
        </row>
        <row r="6987">
          <cell r="B6987">
            <v>8.0856481481489412E-2</v>
          </cell>
          <cell r="C6987">
            <v>116</v>
          </cell>
        </row>
        <row r="6988">
          <cell r="B6988">
            <v>8.0868055555563492E-2</v>
          </cell>
          <cell r="C6988">
            <v>116</v>
          </cell>
        </row>
        <row r="6989">
          <cell r="B6989">
            <v>8.0879629629637573E-2</v>
          </cell>
          <cell r="C6989">
            <v>116</v>
          </cell>
        </row>
        <row r="6990">
          <cell r="B6990">
            <v>8.0891203703711653E-2</v>
          </cell>
          <cell r="C6990">
            <v>116</v>
          </cell>
        </row>
        <row r="6991">
          <cell r="B6991">
            <v>8.0902777777785734E-2</v>
          </cell>
          <cell r="C6991">
            <v>116</v>
          </cell>
        </row>
        <row r="6992">
          <cell r="B6992">
            <v>8.0914351851859814E-2</v>
          </cell>
          <cell r="C6992">
            <v>116</v>
          </cell>
        </row>
        <row r="6993">
          <cell r="B6993">
            <v>8.0925925925933895E-2</v>
          </cell>
          <cell r="C6993">
            <v>116</v>
          </cell>
        </row>
        <row r="6994">
          <cell r="B6994">
            <v>8.0937500000007975E-2</v>
          </cell>
          <cell r="C6994">
            <v>116</v>
          </cell>
        </row>
        <row r="6995">
          <cell r="B6995">
            <v>8.0949074074082056E-2</v>
          </cell>
          <cell r="C6995">
            <v>116</v>
          </cell>
        </row>
        <row r="6996">
          <cell r="B6996">
            <v>8.0960648148156136E-2</v>
          </cell>
          <cell r="C6996">
            <v>116</v>
          </cell>
        </row>
        <row r="6997">
          <cell r="B6997">
            <v>8.0972222222230217E-2</v>
          </cell>
          <cell r="C6997">
            <v>116</v>
          </cell>
        </row>
        <row r="6998">
          <cell r="B6998">
            <v>8.0983796296304297E-2</v>
          </cell>
          <cell r="C6998">
            <v>116</v>
          </cell>
        </row>
        <row r="6999">
          <cell r="B6999">
            <v>8.0995370370378378E-2</v>
          </cell>
          <cell r="C6999">
            <v>116</v>
          </cell>
        </row>
        <row r="7000">
          <cell r="B7000">
            <v>8.1006944444452458E-2</v>
          </cell>
          <cell r="C7000">
            <v>116</v>
          </cell>
        </row>
        <row r="7001">
          <cell r="B7001">
            <v>8.1018518518526539E-2</v>
          </cell>
          <cell r="C7001">
            <v>116</v>
          </cell>
        </row>
        <row r="7002">
          <cell r="B7002">
            <v>8.1030092592600619E-2</v>
          </cell>
          <cell r="C7002">
            <v>116</v>
          </cell>
        </row>
        <row r="7003">
          <cell r="B7003">
            <v>8.10416666666747E-2</v>
          </cell>
          <cell r="C7003">
            <v>116</v>
          </cell>
        </row>
        <row r="7004">
          <cell r="B7004">
            <v>8.105324074074878E-2</v>
          </cell>
          <cell r="C7004">
            <v>116</v>
          </cell>
        </row>
        <row r="7005">
          <cell r="B7005">
            <v>8.1064814814822861E-2</v>
          </cell>
          <cell r="C7005">
            <v>116</v>
          </cell>
        </row>
        <row r="7006">
          <cell r="B7006">
            <v>8.1076388888896941E-2</v>
          </cell>
          <cell r="C7006">
            <v>116</v>
          </cell>
        </row>
        <row r="7007">
          <cell r="B7007">
            <v>8.1087962962971022E-2</v>
          </cell>
          <cell r="C7007">
            <v>116</v>
          </cell>
        </row>
        <row r="7008">
          <cell r="B7008">
            <v>8.1099537037045102E-2</v>
          </cell>
          <cell r="C7008">
            <v>116</v>
          </cell>
        </row>
        <row r="7009">
          <cell r="B7009">
            <v>8.1111111111119183E-2</v>
          </cell>
          <cell r="C7009">
            <v>116</v>
          </cell>
        </row>
        <row r="7010">
          <cell r="B7010">
            <v>8.1122685185193263E-2</v>
          </cell>
          <cell r="C7010">
            <v>116</v>
          </cell>
        </row>
        <row r="7011">
          <cell r="B7011">
            <v>8.1134259259267344E-2</v>
          </cell>
          <cell r="C7011">
            <v>116</v>
          </cell>
        </row>
        <row r="7012">
          <cell r="B7012">
            <v>8.1145833333341424E-2</v>
          </cell>
          <cell r="C7012">
            <v>116</v>
          </cell>
        </row>
        <row r="7013">
          <cell r="B7013">
            <v>8.1157407407415505E-2</v>
          </cell>
          <cell r="C7013">
            <v>116</v>
          </cell>
        </row>
        <row r="7014">
          <cell r="B7014">
            <v>8.1168981481489585E-2</v>
          </cell>
          <cell r="C7014">
            <v>116</v>
          </cell>
        </row>
        <row r="7015">
          <cell r="B7015">
            <v>8.1180555555563666E-2</v>
          </cell>
          <cell r="C7015">
            <v>116</v>
          </cell>
        </row>
        <row r="7016">
          <cell r="B7016">
            <v>8.1192129629637746E-2</v>
          </cell>
          <cell r="C7016">
            <v>116</v>
          </cell>
        </row>
        <row r="7017">
          <cell r="B7017">
            <v>8.1203703703711827E-2</v>
          </cell>
          <cell r="C7017">
            <v>116</v>
          </cell>
        </row>
        <row r="7018">
          <cell r="B7018">
            <v>8.1215277777785908E-2</v>
          </cell>
          <cell r="C7018">
            <v>116</v>
          </cell>
        </row>
        <row r="7019">
          <cell r="B7019">
            <v>8.1226851851859988E-2</v>
          </cell>
          <cell r="C7019">
            <v>116</v>
          </cell>
        </row>
        <row r="7020">
          <cell r="B7020">
            <v>8.1238425925934069E-2</v>
          </cell>
          <cell r="C7020">
            <v>116</v>
          </cell>
        </row>
        <row r="7021">
          <cell r="B7021">
            <v>8.1250000000008149E-2</v>
          </cell>
          <cell r="C7021">
            <v>117</v>
          </cell>
        </row>
        <row r="7022">
          <cell r="B7022">
            <v>8.126157407408223E-2</v>
          </cell>
          <cell r="C7022">
            <v>117</v>
          </cell>
        </row>
        <row r="7023">
          <cell r="B7023">
            <v>8.127314814815631E-2</v>
          </cell>
          <cell r="C7023">
            <v>117</v>
          </cell>
        </row>
        <row r="7024">
          <cell r="B7024">
            <v>8.1284722222230391E-2</v>
          </cell>
          <cell r="C7024">
            <v>117</v>
          </cell>
        </row>
        <row r="7025">
          <cell r="B7025">
            <v>8.1296296296304471E-2</v>
          </cell>
          <cell r="C7025">
            <v>117</v>
          </cell>
        </row>
        <row r="7026">
          <cell r="B7026">
            <v>8.1307870370378552E-2</v>
          </cell>
          <cell r="C7026">
            <v>117</v>
          </cell>
        </row>
        <row r="7027">
          <cell r="B7027">
            <v>8.1319444444452632E-2</v>
          </cell>
          <cell r="C7027">
            <v>117</v>
          </cell>
        </row>
        <row r="7028">
          <cell r="B7028">
            <v>8.1331018518526713E-2</v>
          </cell>
          <cell r="C7028">
            <v>117</v>
          </cell>
        </row>
        <row r="7029">
          <cell r="B7029">
            <v>8.1342592592600793E-2</v>
          </cell>
          <cell r="C7029">
            <v>117</v>
          </cell>
        </row>
        <row r="7030">
          <cell r="B7030">
            <v>8.1354166666674874E-2</v>
          </cell>
          <cell r="C7030">
            <v>117</v>
          </cell>
        </row>
        <row r="7031">
          <cell r="B7031">
            <v>8.1365740740748954E-2</v>
          </cell>
          <cell r="C7031">
            <v>117</v>
          </cell>
        </row>
        <row r="7032">
          <cell r="B7032">
            <v>8.1377314814823035E-2</v>
          </cell>
          <cell r="C7032">
            <v>117</v>
          </cell>
        </row>
        <row r="7033">
          <cell r="B7033">
            <v>8.1388888888897115E-2</v>
          </cell>
          <cell r="C7033">
            <v>117</v>
          </cell>
        </row>
        <row r="7034">
          <cell r="B7034">
            <v>8.1400462962971196E-2</v>
          </cell>
          <cell r="C7034">
            <v>117</v>
          </cell>
        </row>
        <row r="7035">
          <cell r="B7035">
            <v>8.1412037037045276E-2</v>
          </cell>
          <cell r="C7035">
            <v>117</v>
          </cell>
        </row>
        <row r="7036">
          <cell r="B7036">
            <v>8.1423611111119357E-2</v>
          </cell>
          <cell r="C7036">
            <v>117</v>
          </cell>
        </row>
        <row r="7037">
          <cell r="B7037">
            <v>8.1435185185193437E-2</v>
          </cell>
          <cell r="C7037">
            <v>117</v>
          </cell>
        </row>
        <row r="7038">
          <cell r="B7038">
            <v>8.1446759259267518E-2</v>
          </cell>
          <cell r="C7038">
            <v>117</v>
          </cell>
        </row>
        <row r="7039">
          <cell r="B7039">
            <v>8.1458333333341598E-2</v>
          </cell>
          <cell r="C7039">
            <v>117</v>
          </cell>
        </row>
        <row r="7040">
          <cell r="B7040">
            <v>8.1469907407415679E-2</v>
          </cell>
          <cell r="C7040">
            <v>117</v>
          </cell>
        </row>
        <row r="7041">
          <cell r="B7041">
            <v>8.1481481481489759E-2</v>
          </cell>
          <cell r="C7041">
            <v>117</v>
          </cell>
        </row>
        <row r="7042">
          <cell r="B7042">
            <v>8.149305555556384E-2</v>
          </cell>
          <cell r="C7042">
            <v>117</v>
          </cell>
        </row>
        <row r="7043">
          <cell r="B7043">
            <v>8.150462962963792E-2</v>
          </cell>
          <cell r="C7043">
            <v>117</v>
          </cell>
        </row>
        <row r="7044">
          <cell r="B7044">
            <v>8.1516203703712001E-2</v>
          </cell>
          <cell r="C7044">
            <v>117</v>
          </cell>
        </row>
        <row r="7045">
          <cell r="B7045">
            <v>8.1527777777786081E-2</v>
          </cell>
          <cell r="C7045">
            <v>117</v>
          </cell>
        </row>
        <row r="7046">
          <cell r="B7046">
            <v>8.1539351851860162E-2</v>
          </cell>
          <cell r="C7046">
            <v>117</v>
          </cell>
        </row>
        <row r="7047">
          <cell r="B7047">
            <v>8.1550925925934242E-2</v>
          </cell>
          <cell r="C7047">
            <v>117</v>
          </cell>
        </row>
        <row r="7048">
          <cell r="B7048">
            <v>8.1562500000008323E-2</v>
          </cell>
          <cell r="C7048">
            <v>117</v>
          </cell>
        </row>
        <row r="7049">
          <cell r="B7049">
            <v>8.1574074074082403E-2</v>
          </cell>
          <cell r="C7049">
            <v>117</v>
          </cell>
        </row>
        <row r="7050">
          <cell r="B7050">
            <v>8.1585648148156484E-2</v>
          </cell>
          <cell r="C7050">
            <v>117</v>
          </cell>
        </row>
        <row r="7051">
          <cell r="B7051">
            <v>8.1597222222230564E-2</v>
          </cell>
          <cell r="C7051">
            <v>117</v>
          </cell>
        </row>
        <row r="7052">
          <cell r="B7052">
            <v>8.1608796296304645E-2</v>
          </cell>
          <cell r="C7052">
            <v>117</v>
          </cell>
        </row>
        <row r="7053">
          <cell r="B7053">
            <v>8.1620370370378725E-2</v>
          </cell>
          <cell r="C7053">
            <v>117</v>
          </cell>
        </row>
        <row r="7054">
          <cell r="B7054">
            <v>8.1631944444452806E-2</v>
          </cell>
          <cell r="C7054">
            <v>117</v>
          </cell>
        </row>
        <row r="7055">
          <cell r="B7055">
            <v>8.1643518518526886E-2</v>
          </cell>
          <cell r="C7055">
            <v>117</v>
          </cell>
        </row>
        <row r="7056">
          <cell r="B7056">
            <v>8.1655092592600967E-2</v>
          </cell>
          <cell r="C7056">
            <v>117</v>
          </cell>
        </row>
        <row r="7057">
          <cell r="B7057">
            <v>8.1666666666675047E-2</v>
          </cell>
          <cell r="C7057">
            <v>117</v>
          </cell>
        </row>
        <row r="7058">
          <cell r="B7058">
            <v>8.1678240740749128E-2</v>
          </cell>
          <cell r="C7058">
            <v>117</v>
          </cell>
        </row>
        <row r="7059">
          <cell r="B7059">
            <v>8.1689814814823208E-2</v>
          </cell>
          <cell r="C7059">
            <v>117</v>
          </cell>
        </row>
        <row r="7060">
          <cell r="B7060">
            <v>8.1701388888897289E-2</v>
          </cell>
          <cell r="C7060">
            <v>117</v>
          </cell>
        </row>
        <row r="7061">
          <cell r="B7061">
            <v>8.1712962962971369E-2</v>
          </cell>
          <cell r="C7061">
            <v>117</v>
          </cell>
        </row>
        <row r="7062">
          <cell r="B7062">
            <v>8.172453703704545E-2</v>
          </cell>
          <cell r="C7062">
            <v>117</v>
          </cell>
        </row>
        <row r="7063">
          <cell r="B7063">
            <v>8.173611111111953E-2</v>
          </cell>
          <cell r="C7063">
            <v>117</v>
          </cell>
        </row>
        <row r="7064">
          <cell r="B7064">
            <v>8.1747685185193611E-2</v>
          </cell>
          <cell r="C7064">
            <v>117</v>
          </cell>
        </row>
        <row r="7065">
          <cell r="B7065">
            <v>8.1759259259267691E-2</v>
          </cell>
          <cell r="C7065">
            <v>117</v>
          </cell>
        </row>
        <row r="7066">
          <cell r="B7066">
            <v>8.1770833333341772E-2</v>
          </cell>
          <cell r="C7066">
            <v>117</v>
          </cell>
        </row>
        <row r="7067">
          <cell r="B7067">
            <v>8.1782407407415852E-2</v>
          </cell>
          <cell r="C7067">
            <v>117</v>
          </cell>
        </row>
        <row r="7068">
          <cell r="B7068">
            <v>8.1793981481489933E-2</v>
          </cell>
          <cell r="C7068">
            <v>117</v>
          </cell>
        </row>
        <row r="7069">
          <cell r="B7069">
            <v>8.1805555555564013E-2</v>
          </cell>
          <cell r="C7069">
            <v>117</v>
          </cell>
        </row>
        <row r="7070">
          <cell r="B7070">
            <v>8.1817129629638094E-2</v>
          </cell>
          <cell r="C7070">
            <v>117</v>
          </cell>
        </row>
        <row r="7071">
          <cell r="B7071">
            <v>8.1828703703712174E-2</v>
          </cell>
          <cell r="C7071">
            <v>117</v>
          </cell>
        </row>
        <row r="7072">
          <cell r="B7072">
            <v>8.1840277777786255E-2</v>
          </cell>
          <cell r="C7072">
            <v>117</v>
          </cell>
        </row>
        <row r="7073">
          <cell r="B7073">
            <v>8.1851851851860336E-2</v>
          </cell>
          <cell r="C7073">
            <v>117</v>
          </cell>
        </row>
        <row r="7074">
          <cell r="B7074">
            <v>8.1863425925934416E-2</v>
          </cell>
          <cell r="C7074">
            <v>117</v>
          </cell>
        </row>
        <row r="7075">
          <cell r="B7075">
            <v>8.1875000000008497E-2</v>
          </cell>
          <cell r="C7075">
            <v>117</v>
          </cell>
        </row>
        <row r="7076">
          <cell r="B7076">
            <v>8.1886574074082577E-2</v>
          </cell>
          <cell r="C7076">
            <v>117</v>
          </cell>
        </row>
        <row r="7077">
          <cell r="B7077">
            <v>8.1898148148156658E-2</v>
          </cell>
          <cell r="C7077">
            <v>117</v>
          </cell>
        </row>
        <row r="7078">
          <cell r="B7078">
            <v>8.1909722222230738E-2</v>
          </cell>
          <cell r="C7078">
            <v>117</v>
          </cell>
        </row>
        <row r="7079">
          <cell r="B7079">
            <v>8.1921296296304819E-2</v>
          </cell>
          <cell r="C7079">
            <v>117</v>
          </cell>
        </row>
        <row r="7080">
          <cell r="B7080">
            <v>8.1932870370378899E-2</v>
          </cell>
          <cell r="C7080">
            <v>117</v>
          </cell>
        </row>
        <row r="7081">
          <cell r="B7081">
            <v>8.194444444445298E-2</v>
          </cell>
          <cell r="C7081">
            <v>118</v>
          </cell>
        </row>
        <row r="7082">
          <cell r="B7082">
            <v>8.195601851852706E-2</v>
          </cell>
          <cell r="C7082">
            <v>118</v>
          </cell>
        </row>
        <row r="7083">
          <cell r="B7083">
            <v>8.1967592592601141E-2</v>
          </cell>
          <cell r="C7083">
            <v>118</v>
          </cell>
        </row>
        <row r="7084">
          <cell r="B7084">
            <v>8.1979166666675221E-2</v>
          </cell>
          <cell r="C7084">
            <v>118</v>
          </cell>
        </row>
        <row r="7085">
          <cell r="B7085">
            <v>8.1990740740749302E-2</v>
          </cell>
          <cell r="C7085">
            <v>118</v>
          </cell>
        </row>
        <row r="7086">
          <cell r="B7086">
            <v>8.2002314814823382E-2</v>
          </cell>
          <cell r="C7086">
            <v>118</v>
          </cell>
        </row>
        <row r="7087">
          <cell r="B7087">
            <v>8.2013888888897463E-2</v>
          </cell>
          <cell r="C7087">
            <v>118</v>
          </cell>
        </row>
        <row r="7088">
          <cell r="B7088">
            <v>8.2025462962971543E-2</v>
          </cell>
          <cell r="C7088">
            <v>118</v>
          </cell>
        </row>
        <row r="7089">
          <cell r="B7089">
            <v>8.2037037037045624E-2</v>
          </cell>
          <cell r="C7089">
            <v>118</v>
          </cell>
        </row>
        <row r="7090">
          <cell r="B7090">
            <v>8.2048611111119704E-2</v>
          </cell>
          <cell r="C7090">
            <v>118</v>
          </cell>
        </row>
        <row r="7091">
          <cell r="B7091">
            <v>8.2060185185193785E-2</v>
          </cell>
          <cell r="C7091">
            <v>118</v>
          </cell>
        </row>
        <row r="7092">
          <cell r="B7092">
            <v>8.2071759259267865E-2</v>
          </cell>
          <cell r="C7092">
            <v>118</v>
          </cell>
        </row>
        <row r="7093">
          <cell r="B7093">
            <v>8.2083333333341946E-2</v>
          </cell>
          <cell r="C7093">
            <v>118</v>
          </cell>
        </row>
        <row r="7094">
          <cell r="B7094">
            <v>8.2094907407416026E-2</v>
          </cell>
          <cell r="C7094">
            <v>118</v>
          </cell>
        </row>
        <row r="7095">
          <cell r="B7095">
            <v>8.2106481481490107E-2</v>
          </cell>
          <cell r="C7095">
            <v>118</v>
          </cell>
        </row>
        <row r="7096">
          <cell r="B7096">
            <v>8.2118055555564187E-2</v>
          </cell>
          <cell r="C7096">
            <v>118</v>
          </cell>
        </row>
        <row r="7097">
          <cell r="B7097">
            <v>8.2129629629638268E-2</v>
          </cell>
          <cell r="C7097">
            <v>118</v>
          </cell>
        </row>
        <row r="7098">
          <cell r="B7098">
            <v>8.2141203703712348E-2</v>
          </cell>
          <cell r="C7098">
            <v>118</v>
          </cell>
        </row>
        <row r="7099">
          <cell r="B7099">
            <v>8.2152777777786429E-2</v>
          </cell>
          <cell r="C7099">
            <v>118</v>
          </cell>
        </row>
        <row r="7100">
          <cell r="B7100">
            <v>8.2164351851860509E-2</v>
          </cell>
          <cell r="C7100">
            <v>118</v>
          </cell>
        </row>
        <row r="7101">
          <cell r="B7101">
            <v>8.217592592593459E-2</v>
          </cell>
          <cell r="C7101">
            <v>118</v>
          </cell>
        </row>
        <row r="7102">
          <cell r="B7102">
            <v>8.218750000000867E-2</v>
          </cell>
          <cell r="C7102">
            <v>118</v>
          </cell>
        </row>
        <row r="7103">
          <cell r="B7103">
            <v>8.2199074074082751E-2</v>
          </cell>
          <cell r="C7103">
            <v>118</v>
          </cell>
        </row>
        <row r="7104">
          <cell r="B7104">
            <v>8.2210648148156831E-2</v>
          </cell>
          <cell r="C7104">
            <v>118</v>
          </cell>
        </row>
        <row r="7105">
          <cell r="B7105">
            <v>8.2222222222230912E-2</v>
          </cell>
          <cell r="C7105">
            <v>118</v>
          </cell>
        </row>
        <row r="7106">
          <cell r="B7106">
            <v>8.2233796296304992E-2</v>
          </cell>
          <cell r="C7106">
            <v>118</v>
          </cell>
        </row>
        <row r="7107">
          <cell r="B7107">
            <v>8.2245370370379073E-2</v>
          </cell>
          <cell r="C7107">
            <v>118</v>
          </cell>
        </row>
        <row r="7108">
          <cell r="B7108">
            <v>8.2256944444453153E-2</v>
          </cell>
          <cell r="C7108">
            <v>118</v>
          </cell>
        </row>
        <row r="7109">
          <cell r="B7109">
            <v>8.2268518518527234E-2</v>
          </cell>
          <cell r="C7109">
            <v>118</v>
          </cell>
        </row>
        <row r="7110">
          <cell r="B7110">
            <v>8.2280092592601314E-2</v>
          </cell>
          <cell r="C7110">
            <v>118</v>
          </cell>
        </row>
        <row r="7111">
          <cell r="B7111">
            <v>8.2291666666675395E-2</v>
          </cell>
          <cell r="C7111">
            <v>118</v>
          </cell>
        </row>
        <row r="7112">
          <cell r="B7112">
            <v>8.2303240740749475E-2</v>
          </cell>
          <cell r="C7112">
            <v>118</v>
          </cell>
        </row>
        <row r="7113">
          <cell r="B7113">
            <v>8.2314814814823556E-2</v>
          </cell>
          <cell r="C7113">
            <v>118</v>
          </cell>
        </row>
        <row r="7114">
          <cell r="B7114">
            <v>8.2326388888897636E-2</v>
          </cell>
          <cell r="C7114">
            <v>118</v>
          </cell>
        </row>
        <row r="7115">
          <cell r="B7115">
            <v>8.2337962962971717E-2</v>
          </cell>
          <cell r="C7115">
            <v>118</v>
          </cell>
        </row>
        <row r="7116">
          <cell r="B7116">
            <v>8.2349537037045797E-2</v>
          </cell>
          <cell r="C7116">
            <v>118</v>
          </cell>
        </row>
        <row r="7117">
          <cell r="B7117">
            <v>8.2361111111119878E-2</v>
          </cell>
          <cell r="C7117">
            <v>118</v>
          </cell>
        </row>
        <row r="7118">
          <cell r="B7118">
            <v>8.2372685185193958E-2</v>
          </cell>
          <cell r="C7118">
            <v>118</v>
          </cell>
        </row>
        <row r="7119">
          <cell r="B7119">
            <v>8.2384259259268039E-2</v>
          </cell>
          <cell r="C7119">
            <v>118</v>
          </cell>
        </row>
        <row r="7120">
          <cell r="B7120">
            <v>8.2395833333342119E-2</v>
          </cell>
          <cell r="C7120">
            <v>118</v>
          </cell>
        </row>
        <row r="7121">
          <cell r="B7121">
            <v>8.24074074074162E-2</v>
          </cell>
          <cell r="C7121">
            <v>118</v>
          </cell>
        </row>
        <row r="7122">
          <cell r="B7122">
            <v>8.241898148149028E-2</v>
          </cell>
          <cell r="C7122">
            <v>118</v>
          </cell>
        </row>
        <row r="7123">
          <cell r="B7123">
            <v>8.2430555555564361E-2</v>
          </cell>
          <cell r="C7123">
            <v>118</v>
          </cell>
        </row>
        <row r="7124">
          <cell r="B7124">
            <v>8.2442129629638441E-2</v>
          </cell>
          <cell r="C7124">
            <v>118</v>
          </cell>
        </row>
        <row r="7125">
          <cell r="B7125">
            <v>8.2453703703712522E-2</v>
          </cell>
          <cell r="C7125">
            <v>118</v>
          </cell>
        </row>
        <row r="7126">
          <cell r="B7126">
            <v>8.2465277777786603E-2</v>
          </cell>
          <cell r="C7126">
            <v>118</v>
          </cell>
        </row>
        <row r="7127">
          <cell r="B7127">
            <v>8.2476851851860683E-2</v>
          </cell>
          <cell r="C7127">
            <v>118</v>
          </cell>
        </row>
        <row r="7128">
          <cell r="B7128">
            <v>8.2488425925934764E-2</v>
          </cell>
          <cell r="C7128">
            <v>118</v>
          </cell>
        </row>
        <row r="7129">
          <cell r="B7129">
            <v>8.2500000000008844E-2</v>
          </cell>
          <cell r="C7129">
            <v>118</v>
          </cell>
        </row>
        <row r="7130">
          <cell r="B7130">
            <v>8.2511574074082925E-2</v>
          </cell>
          <cell r="C7130">
            <v>118</v>
          </cell>
        </row>
        <row r="7131">
          <cell r="B7131">
            <v>8.2523148148157005E-2</v>
          </cell>
          <cell r="C7131">
            <v>118</v>
          </cell>
        </row>
        <row r="7132">
          <cell r="B7132">
            <v>8.2534722222231086E-2</v>
          </cell>
          <cell r="C7132">
            <v>118</v>
          </cell>
        </row>
        <row r="7133">
          <cell r="B7133">
            <v>8.2546296296305166E-2</v>
          </cell>
          <cell r="C7133">
            <v>118</v>
          </cell>
        </row>
        <row r="7134">
          <cell r="B7134">
            <v>8.2557870370379247E-2</v>
          </cell>
          <cell r="C7134">
            <v>118</v>
          </cell>
        </row>
        <row r="7135">
          <cell r="B7135">
            <v>8.2569444444453327E-2</v>
          </cell>
          <cell r="C7135">
            <v>118</v>
          </cell>
        </row>
        <row r="7136">
          <cell r="B7136">
            <v>8.2581018518527408E-2</v>
          </cell>
          <cell r="C7136">
            <v>118</v>
          </cell>
        </row>
        <row r="7137">
          <cell r="B7137">
            <v>8.2592592592601488E-2</v>
          </cell>
          <cell r="C7137">
            <v>118</v>
          </cell>
        </row>
        <row r="7138">
          <cell r="B7138">
            <v>8.2604166666675569E-2</v>
          </cell>
          <cell r="C7138">
            <v>118</v>
          </cell>
        </row>
        <row r="7139">
          <cell r="B7139">
            <v>8.2615740740749649E-2</v>
          </cell>
          <cell r="C7139">
            <v>118</v>
          </cell>
        </row>
        <row r="7140">
          <cell r="B7140">
            <v>8.262731481482373E-2</v>
          </cell>
          <cell r="C7140">
            <v>118</v>
          </cell>
        </row>
        <row r="7141">
          <cell r="B7141">
            <v>8.263888888889781E-2</v>
          </cell>
          <cell r="C7141">
            <v>119</v>
          </cell>
        </row>
        <row r="7142">
          <cell r="B7142">
            <v>8.2650462962971891E-2</v>
          </cell>
          <cell r="C7142">
            <v>119</v>
          </cell>
        </row>
        <row r="7143">
          <cell r="B7143">
            <v>8.2662037037045971E-2</v>
          </cell>
          <cell r="C7143">
            <v>119</v>
          </cell>
        </row>
        <row r="7144">
          <cell r="B7144">
            <v>8.2673611111120052E-2</v>
          </cell>
          <cell r="C7144">
            <v>119</v>
          </cell>
        </row>
        <row r="7145">
          <cell r="B7145">
            <v>8.2685185185194132E-2</v>
          </cell>
          <cell r="C7145">
            <v>119</v>
          </cell>
        </row>
        <row r="7146">
          <cell r="B7146">
            <v>8.2696759259268213E-2</v>
          </cell>
          <cell r="C7146">
            <v>119</v>
          </cell>
        </row>
        <row r="7147">
          <cell r="B7147">
            <v>8.2708333333342293E-2</v>
          </cell>
          <cell r="C7147">
            <v>119</v>
          </cell>
        </row>
        <row r="7148">
          <cell r="B7148">
            <v>8.2719907407416374E-2</v>
          </cell>
          <cell r="C7148">
            <v>119</v>
          </cell>
        </row>
        <row r="7149">
          <cell r="B7149">
            <v>8.2731481481490454E-2</v>
          </cell>
          <cell r="C7149">
            <v>119</v>
          </cell>
        </row>
        <row r="7150">
          <cell r="B7150">
            <v>8.2743055555564535E-2</v>
          </cell>
          <cell r="C7150">
            <v>119</v>
          </cell>
        </row>
        <row r="7151">
          <cell r="B7151">
            <v>8.2754629629638615E-2</v>
          </cell>
          <cell r="C7151">
            <v>119</v>
          </cell>
        </row>
        <row r="7152">
          <cell r="B7152">
            <v>8.2766203703712696E-2</v>
          </cell>
          <cell r="C7152">
            <v>119</v>
          </cell>
        </row>
        <row r="7153">
          <cell r="B7153">
            <v>8.2777777777786776E-2</v>
          </cell>
          <cell r="C7153">
            <v>119</v>
          </cell>
        </row>
        <row r="7154">
          <cell r="B7154">
            <v>8.2789351851860857E-2</v>
          </cell>
          <cell r="C7154">
            <v>119</v>
          </cell>
        </row>
        <row r="7155">
          <cell r="B7155">
            <v>8.2800925925934937E-2</v>
          </cell>
          <cell r="C7155">
            <v>119</v>
          </cell>
        </row>
        <row r="7156">
          <cell r="B7156">
            <v>8.2812500000009018E-2</v>
          </cell>
          <cell r="C7156">
            <v>119</v>
          </cell>
        </row>
        <row r="7157">
          <cell r="B7157">
            <v>8.2824074074083098E-2</v>
          </cell>
          <cell r="C7157">
            <v>119</v>
          </cell>
        </row>
        <row r="7158">
          <cell r="B7158">
            <v>8.2835648148157179E-2</v>
          </cell>
          <cell r="C7158">
            <v>119</v>
          </cell>
        </row>
        <row r="7159">
          <cell r="B7159">
            <v>8.2847222222231259E-2</v>
          </cell>
          <cell r="C7159">
            <v>119</v>
          </cell>
        </row>
        <row r="7160">
          <cell r="B7160">
            <v>8.285879629630534E-2</v>
          </cell>
          <cell r="C7160">
            <v>119</v>
          </cell>
        </row>
        <row r="7161">
          <cell r="B7161">
            <v>8.287037037037942E-2</v>
          </cell>
          <cell r="C7161">
            <v>119</v>
          </cell>
        </row>
        <row r="7162">
          <cell r="B7162">
            <v>8.2881944444453501E-2</v>
          </cell>
          <cell r="C7162">
            <v>119</v>
          </cell>
        </row>
        <row r="7163">
          <cell r="B7163">
            <v>8.2893518518527581E-2</v>
          </cell>
          <cell r="C7163">
            <v>119</v>
          </cell>
        </row>
        <row r="7164">
          <cell r="B7164">
            <v>8.2905092592601662E-2</v>
          </cell>
          <cell r="C7164">
            <v>119</v>
          </cell>
        </row>
        <row r="7165">
          <cell r="B7165">
            <v>8.2916666666675742E-2</v>
          </cell>
          <cell r="C7165">
            <v>119</v>
          </cell>
        </row>
        <row r="7166">
          <cell r="B7166">
            <v>8.2928240740749823E-2</v>
          </cell>
          <cell r="C7166">
            <v>119</v>
          </cell>
        </row>
        <row r="7167">
          <cell r="B7167">
            <v>8.2939814814823903E-2</v>
          </cell>
          <cell r="C7167">
            <v>119</v>
          </cell>
        </row>
        <row r="7168">
          <cell r="B7168">
            <v>8.2951388888897984E-2</v>
          </cell>
          <cell r="C7168">
            <v>119</v>
          </cell>
        </row>
        <row r="7169">
          <cell r="B7169">
            <v>8.2962962962972064E-2</v>
          </cell>
          <cell r="C7169">
            <v>119</v>
          </cell>
        </row>
        <row r="7170">
          <cell r="B7170">
            <v>8.2974537037046145E-2</v>
          </cell>
          <cell r="C7170">
            <v>119</v>
          </cell>
        </row>
        <row r="7171">
          <cell r="B7171">
            <v>8.2986111111120225E-2</v>
          </cell>
          <cell r="C7171">
            <v>119</v>
          </cell>
        </row>
        <row r="7172">
          <cell r="B7172">
            <v>8.2997685185194306E-2</v>
          </cell>
          <cell r="C7172">
            <v>119</v>
          </cell>
        </row>
        <row r="7173">
          <cell r="B7173">
            <v>8.3009259259268386E-2</v>
          </cell>
          <cell r="C7173">
            <v>119</v>
          </cell>
        </row>
        <row r="7174">
          <cell r="B7174">
            <v>8.3020833333342467E-2</v>
          </cell>
          <cell r="C7174">
            <v>119</v>
          </cell>
        </row>
        <row r="7175">
          <cell r="B7175">
            <v>8.3032407407416547E-2</v>
          </cell>
          <cell r="C7175">
            <v>119</v>
          </cell>
        </row>
        <row r="7176">
          <cell r="B7176">
            <v>8.3043981481490628E-2</v>
          </cell>
          <cell r="C7176">
            <v>119</v>
          </cell>
        </row>
        <row r="7177">
          <cell r="B7177">
            <v>8.3055555555564708E-2</v>
          </cell>
          <cell r="C7177">
            <v>119</v>
          </cell>
        </row>
        <row r="7178">
          <cell r="B7178">
            <v>8.3067129629638789E-2</v>
          </cell>
          <cell r="C7178">
            <v>119</v>
          </cell>
        </row>
        <row r="7179">
          <cell r="B7179">
            <v>8.3078703703712869E-2</v>
          </cell>
          <cell r="C7179">
            <v>119</v>
          </cell>
        </row>
        <row r="7180">
          <cell r="B7180">
            <v>8.309027777778695E-2</v>
          </cell>
          <cell r="C7180">
            <v>119</v>
          </cell>
        </row>
        <row r="7181">
          <cell r="B7181">
            <v>8.3101851851861031E-2</v>
          </cell>
          <cell r="C7181">
            <v>119</v>
          </cell>
        </row>
        <row r="7182">
          <cell r="B7182">
            <v>8.3113425925935111E-2</v>
          </cell>
          <cell r="C7182">
            <v>119</v>
          </cell>
        </row>
        <row r="7183">
          <cell r="B7183">
            <v>8.3125000000009192E-2</v>
          </cell>
          <cell r="C7183">
            <v>119</v>
          </cell>
        </row>
        <row r="7184">
          <cell r="B7184">
            <v>8.3136574074083272E-2</v>
          </cell>
          <cell r="C7184">
            <v>119</v>
          </cell>
        </row>
        <row r="7185">
          <cell r="B7185">
            <v>8.3148148148157353E-2</v>
          </cell>
          <cell r="C7185">
            <v>119</v>
          </cell>
        </row>
        <row r="7186">
          <cell r="B7186">
            <v>8.3159722222231433E-2</v>
          </cell>
          <cell r="C7186">
            <v>119</v>
          </cell>
        </row>
        <row r="7187">
          <cell r="B7187">
            <v>8.3171296296305514E-2</v>
          </cell>
          <cell r="C7187">
            <v>119</v>
          </cell>
        </row>
        <row r="7188">
          <cell r="B7188">
            <v>8.3182870370379594E-2</v>
          </cell>
          <cell r="C7188">
            <v>119</v>
          </cell>
        </row>
        <row r="7189">
          <cell r="B7189">
            <v>8.3194444444453675E-2</v>
          </cell>
          <cell r="C7189">
            <v>119</v>
          </cell>
        </row>
        <row r="7190">
          <cell r="B7190">
            <v>8.3206018518527755E-2</v>
          </cell>
          <cell r="C7190">
            <v>119</v>
          </cell>
        </row>
        <row r="7191">
          <cell r="B7191">
            <v>8.3217592592601836E-2</v>
          </cell>
          <cell r="C7191">
            <v>119</v>
          </cell>
        </row>
        <row r="7192">
          <cell r="B7192">
            <v>8.3229166666675916E-2</v>
          </cell>
          <cell r="C7192">
            <v>119</v>
          </cell>
        </row>
        <row r="7193">
          <cell r="B7193">
            <v>8.3240740740749997E-2</v>
          </cell>
          <cell r="C7193">
            <v>119</v>
          </cell>
        </row>
        <row r="7194">
          <cell r="B7194">
            <v>8.3252314814824077E-2</v>
          </cell>
          <cell r="C7194">
            <v>119</v>
          </cell>
        </row>
        <row r="7195">
          <cell r="B7195">
            <v>8.3263888888898158E-2</v>
          </cell>
          <cell r="C7195">
            <v>119</v>
          </cell>
        </row>
        <row r="7196">
          <cell r="B7196">
            <v>8.3275462962972238E-2</v>
          </cell>
          <cell r="C7196">
            <v>119</v>
          </cell>
        </row>
        <row r="7197">
          <cell r="B7197">
            <v>8.3287037037046319E-2</v>
          </cell>
          <cell r="C7197">
            <v>119</v>
          </cell>
        </row>
        <row r="7198">
          <cell r="B7198">
            <v>8.3298611111120399E-2</v>
          </cell>
          <cell r="C7198">
            <v>119</v>
          </cell>
        </row>
        <row r="7199">
          <cell r="B7199">
            <v>8.331018518519448E-2</v>
          </cell>
          <cell r="C7199">
            <v>119</v>
          </cell>
        </row>
        <row r="7200">
          <cell r="B7200">
            <v>8.332175925926856E-2</v>
          </cell>
          <cell r="C7200">
            <v>119</v>
          </cell>
        </row>
        <row r="7201">
          <cell r="B7201">
            <v>8.3333333333342641E-2</v>
          </cell>
          <cell r="C7201">
            <v>120</v>
          </cell>
        </row>
        <row r="7202">
          <cell r="B7202">
            <v>8.3344907407416721E-2</v>
          </cell>
          <cell r="C7202">
            <v>120</v>
          </cell>
        </row>
        <row r="7203">
          <cell r="B7203">
            <v>8.3356481481490802E-2</v>
          </cell>
          <cell r="C7203">
            <v>120</v>
          </cell>
        </row>
        <row r="7204">
          <cell r="B7204">
            <v>8.3368055555564882E-2</v>
          </cell>
          <cell r="C7204">
            <v>120</v>
          </cell>
        </row>
        <row r="7205">
          <cell r="B7205">
            <v>8.3379629629638963E-2</v>
          </cell>
          <cell r="C7205">
            <v>120</v>
          </cell>
        </row>
        <row r="7206">
          <cell r="B7206">
            <v>8.3391203703713043E-2</v>
          </cell>
          <cell r="C7206">
            <v>120</v>
          </cell>
        </row>
        <row r="7207">
          <cell r="B7207">
            <v>8.3402777777787124E-2</v>
          </cell>
          <cell r="C7207">
            <v>120</v>
          </cell>
        </row>
        <row r="7208">
          <cell r="B7208">
            <v>8.3414351851861204E-2</v>
          </cell>
          <cell r="C7208">
            <v>120</v>
          </cell>
        </row>
        <row r="7209">
          <cell r="B7209">
            <v>8.3425925925935285E-2</v>
          </cell>
          <cell r="C7209">
            <v>120</v>
          </cell>
        </row>
        <row r="7210">
          <cell r="B7210">
            <v>8.3437500000009365E-2</v>
          </cell>
          <cell r="C7210">
            <v>120</v>
          </cell>
        </row>
        <row r="7211">
          <cell r="B7211">
            <v>8.3449074074083446E-2</v>
          </cell>
          <cell r="C7211">
            <v>120</v>
          </cell>
        </row>
        <row r="7212">
          <cell r="B7212">
            <v>8.3460648148157526E-2</v>
          </cell>
          <cell r="C7212">
            <v>120</v>
          </cell>
        </row>
        <row r="7213">
          <cell r="B7213">
            <v>8.3472222222231607E-2</v>
          </cell>
          <cell r="C7213">
            <v>120</v>
          </cell>
        </row>
        <row r="7214">
          <cell r="B7214">
            <v>8.3483796296305687E-2</v>
          </cell>
          <cell r="C7214">
            <v>120</v>
          </cell>
        </row>
        <row r="7215">
          <cell r="B7215">
            <v>8.3495370370379768E-2</v>
          </cell>
          <cell r="C7215">
            <v>120</v>
          </cell>
        </row>
        <row r="7216">
          <cell r="B7216">
            <v>8.3506944444453848E-2</v>
          </cell>
          <cell r="C7216">
            <v>120</v>
          </cell>
        </row>
        <row r="7217">
          <cell r="B7217">
            <v>8.3518518518527929E-2</v>
          </cell>
          <cell r="C7217">
            <v>120</v>
          </cell>
        </row>
        <row r="7218">
          <cell r="B7218">
            <v>8.3530092592602009E-2</v>
          </cell>
          <cell r="C7218">
            <v>120</v>
          </cell>
        </row>
        <row r="7219">
          <cell r="B7219">
            <v>8.354166666667609E-2</v>
          </cell>
          <cell r="C7219">
            <v>120</v>
          </cell>
        </row>
        <row r="7220">
          <cell r="B7220">
            <v>8.355324074075017E-2</v>
          </cell>
          <cell r="C7220">
            <v>120</v>
          </cell>
        </row>
        <row r="7221">
          <cell r="B7221">
            <v>8.3564814814824251E-2</v>
          </cell>
          <cell r="C7221">
            <v>120</v>
          </cell>
        </row>
        <row r="7222">
          <cell r="B7222">
            <v>8.3576388888898331E-2</v>
          </cell>
          <cell r="C7222">
            <v>120</v>
          </cell>
        </row>
        <row r="7223">
          <cell r="B7223">
            <v>8.3587962962972412E-2</v>
          </cell>
          <cell r="C7223">
            <v>120</v>
          </cell>
        </row>
        <row r="7224">
          <cell r="B7224">
            <v>8.3599537037046492E-2</v>
          </cell>
          <cell r="C7224">
            <v>120</v>
          </cell>
        </row>
        <row r="7225">
          <cell r="B7225">
            <v>8.3611111111120573E-2</v>
          </cell>
          <cell r="C7225">
            <v>120</v>
          </cell>
        </row>
        <row r="7226">
          <cell r="B7226">
            <v>8.3622685185194653E-2</v>
          </cell>
          <cell r="C7226">
            <v>120</v>
          </cell>
        </row>
        <row r="7227">
          <cell r="B7227">
            <v>8.3634259259268734E-2</v>
          </cell>
          <cell r="C7227">
            <v>120</v>
          </cell>
        </row>
        <row r="7228">
          <cell r="B7228">
            <v>8.3645833333342814E-2</v>
          </cell>
          <cell r="C7228">
            <v>120</v>
          </cell>
        </row>
        <row r="7229">
          <cell r="B7229">
            <v>8.3657407407416895E-2</v>
          </cell>
          <cell r="C7229">
            <v>120</v>
          </cell>
        </row>
        <row r="7230">
          <cell r="B7230">
            <v>8.3668981481490975E-2</v>
          </cell>
          <cell r="C7230">
            <v>120</v>
          </cell>
        </row>
        <row r="7231">
          <cell r="B7231">
            <v>8.3680555555565056E-2</v>
          </cell>
          <cell r="C7231">
            <v>120</v>
          </cell>
        </row>
        <row r="7232">
          <cell r="B7232">
            <v>8.3692129629639136E-2</v>
          </cell>
          <cell r="C7232">
            <v>120</v>
          </cell>
        </row>
        <row r="7233">
          <cell r="B7233">
            <v>8.3703703703713217E-2</v>
          </cell>
          <cell r="C7233">
            <v>120</v>
          </cell>
        </row>
        <row r="7234">
          <cell r="B7234">
            <v>8.3715277777787298E-2</v>
          </cell>
          <cell r="C7234">
            <v>120</v>
          </cell>
        </row>
        <row r="7235">
          <cell r="B7235">
            <v>8.3726851851861378E-2</v>
          </cell>
          <cell r="C7235">
            <v>120</v>
          </cell>
        </row>
        <row r="7236">
          <cell r="B7236">
            <v>8.3738425925935459E-2</v>
          </cell>
          <cell r="C7236">
            <v>120</v>
          </cell>
        </row>
        <row r="7237">
          <cell r="B7237">
            <v>8.3750000000009539E-2</v>
          </cell>
          <cell r="C7237">
            <v>120</v>
          </cell>
        </row>
        <row r="7238">
          <cell r="B7238">
            <v>8.376157407408362E-2</v>
          </cell>
          <cell r="C7238">
            <v>120</v>
          </cell>
        </row>
        <row r="7239">
          <cell r="B7239">
            <v>8.37731481481577E-2</v>
          </cell>
          <cell r="C7239">
            <v>120</v>
          </cell>
        </row>
        <row r="7240">
          <cell r="B7240">
            <v>8.3784722222231781E-2</v>
          </cell>
          <cell r="C7240">
            <v>120</v>
          </cell>
        </row>
        <row r="7241">
          <cell r="B7241">
            <v>8.3796296296305861E-2</v>
          </cell>
          <cell r="C7241">
            <v>120</v>
          </cell>
        </row>
        <row r="7242">
          <cell r="B7242">
            <v>8.3807870370379942E-2</v>
          </cell>
          <cell r="C7242">
            <v>120</v>
          </cell>
        </row>
        <row r="7243">
          <cell r="B7243">
            <v>8.3819444444454022E-2</v>
          </cell>
          <cell r="C7243">
            <v>120</v>
          </cell>
        </row>
        <row r="7244">
          <cell r="B7244">
            <v>8.3831018518528103E-2</v>
          </cell>
          <cell r="C7244">
            <v>120</v>
          </cell>
        </row>
        <row r="7245">
          <cell r="B7245">
            <v>8.3842592592602183E-2</v>
          </cell>
          <cell r="C7245">
            <v>120</v>
          </cell>
        </row>
        <row r="7246">
          <cell r="B7246">
            <v>8.3854166666676264E-2</v>
          </cell>
          <cell r="C7246">
            <v>120</v>
          </cell>
        </row>
        <row r="7247">
          <cell r="B7247">
            <v>8.3865740740750344E-2</v>
          </cell>
          <cell r="C7247">
            <v>120</v>
          </cell>
        </row>
        <row r="7248">
          <cell r="B7248">
            <v>8.3877314814824425E-2</v>
          </cell>
          <cell r="C7248">
            <v>120</v>
          </cell>
        </row>
        <row r="7249">
          <cell r="B7249">
            <v>8.3888888888898505E-2</v>
          </cell>
          <cell r="C7249">
            <v>120</v>
          </cell>
        </row>
        <row r="7250">
          <cell r="B7250">
            <v>8.3900462962972586E-2</v>
          </cell>
          <cell r="C7250">
            <v>120</v>
          </cell>
        </row>
        <row r="7251">
          <cell r="B7251">
            <v>8.3912037037046666E-2</v>
          </cell>
          <cell r="C7251">
            <v>120</v>
          </cell>
        </row>
        <row r="7252">
          <cell r="B7252">
            <v>8.3923611111120747E-2</v>
          </cell>
          <cell r="C7252">
            <v>120</v>
          </cell>
        </row>
        <row r="7253">
          <cell r="B7253">
            <v>8.3935185185194827E-2</v>
          </cell>
          <cell r="C7253">
            <v>120</v>
          </cell>
        </row>
        <row r="7254">
          <cell r="B7254">
            <v>8.3946759259268908E-2</v>
          </cell>
          <cell r="C7254">
            <v>120</v>
          </cell>
        </row>
        <row r="7255">
          <cell r="B7255">
            <v>8.3958333333342988E-2</v>
          </cell>
          <cell r="C7255">
            <v>120</v>
          </cell>
        </row>
        <row r="7256">
          <cell r="B7256">
            <v>8.3969907407417069E-2</v>
          </cell>
          <cell r="C7256">
            <v>120</v>
          </cell>
        </row>
        <row r="7257">
          <cell r="B7257">
            <v>8.3981481481491149E-2</v>
          </cell>
          <cell r="C7257">
            <v>120</v>
          </cell>
        </row>
        <row r="7258">
          <cell r="B7258">
            <v>8.399305555556523E-2</v>
          </cell>
          <cell r="C7258">
            <v>120</v>
          </cell>
        </row>
        <row r="7259">
          <cell r="B7259">
            <v>8.400462962963931E-2</v>
          </cell>
          <cell r="C7259">
            <v>120</v>
          </cell>
        </row>
        <row r="7260">
          <cell r="B7260">
            <v>8.4016203703713391E-2</v>
          </cell>
          <cell r="C7260">
            <v>120</v>
          </cell>
        </row>
        <row r="7261">
          <cell r="B7261">
            <v>8.4027777777787471E-2</v>
          </cell>
          <cell r="C7261">
            <v>121</v>
          </cell>
        </row>
        <row r="7262">
          <cell r="B7262">
            <v>8.4039351851861552E-2</v>
          </cell>
          <cell r="C7262">
            <v>121</v>
          </cell>
        </row>
        <row r="7263">
          <cell r="B7263">
            <v>8.4050925925935632E-2</v>
          </cell>
          <cell r="C7263">
            <v>121</v>
          </cell>
        </row>
        <row r="7264">
          <cell r="B7264">
            <v>8.4062500000009713E-2</v>
          </cell>
          <cell r="C7264">
            <v>121</v>
          </cell>
        </row>
        <row r="7265">
          <cell r="B7265">
            <v>8.4074074074083793E-2</v>
          </cell>
          <cell r="C7265">
            <v>121</v>
          </cell>
        </row>
        <row r="7266">
          <cell r="B7266">
            <v>8.4085648148157874E-2</v>
          </cell>
          <cell r="C7266">
            <v>121</v>
          </cell>
        </row>
        <row r="7267">
          <cell r="B7267">
            <v>8.4097222222231954E-2</v>
          </cell>
          <cell r="C7267">
            <v>121</v>
          </cell>
        </row>
        <row r="7268">
          <cell r="B7268">
            <v>8.4108796296306035E-2</v>
          </cell>
          <cell r="C7268">
            <v>121</v>
          </cell>
        </row>
        <row r="7269">
          <cell r="B7269">
            <v>8.4120370370380115E-2</v>
          </cell>
          <cell r="C7269">
            <v>121</v>
          </cell>
        </row>
        <row r="7270">
          <cell r="B7270">
            <v>8.4131944444454196E-2</v>
          </cell>
          <cell r="C7270">
            <v>121</v>
          </cell>
        </row>
        <row r="7271">
          <cell r="B7271">
            <v>8.4143518518528276E-2</v>
          </cell>
          <cell r="C7271">
            <v>121</v>
          </cell>
        </row>
        <row r="7272">
          <cell r="B7272">
            <v>8.4155092592602357E-2</v>
          </cell>
          <cell r="C7272">
            <v>121</v>
          </cell>
        </row>
        <row r="7273">
          <cell r="B7273">
            <v>8.4166666666676437E-2</v>
          </cell>
          <cell r="C7273">
            <v>121</v>
          </cell>
        </row>
        <row r="7274">
          <cell r="B7274">
            <v>8.4178240740750518E-2</v>
          </cell>
          <cell r="C7274">
            <v>121</v>
          </cell>
        </row>
        <row r="7275">
          <cell r="B7275">
            <v>8.4189814814824598E-2</v>
          </cell>
          <cell r="C7275">
            <v>121</v>
          </cell>
        </row>
        <row r="7276">
          <cell r="B7276">
            <v>8.4201388888898679E-2</v>
          </cell>
          <cell r="C7276">
            <v>121</v>
          </cell>
        </row>
        <row r="7277">
          <cell r="B7277">
            <v>8.4212962962972759E-2</v>
          </cell>
          <cell r="C7277">
            <v>121</v>
          </cell>
        </row>
        <row r="7278">
          <cell r="B7278">
            <v>8.422453703704684E-2</v>
          </cell>
          <cell r="C7278">
            <v>121</v>
          </cell>
        </row>
        <row r="7279">
          <cell r="B7279">
            <v>8.423611111112092E-2</v>
          </cell>
          <cell r="C7279">
            <v>121</v>
          </cell>
        </row>
        <row r="7280">
          <cell r="B7280">
            <v>8.4247685185195001E-2</v>
          </cell>
          <cell r="C7280">
            <v>121</v>
          </cell>
        </row>
        <row r="7281">
          <cell r="B7281">
            <v>8.4259259259269081E-2</v>
          </cell>
          <cell r="C7281">
            <v>121</v>
          </cell>
        </row>
        <row r="7282">
          <cell r="B7282">
            <v>8.4270833333343162E-2</v>
          </cell>
          <cell r="C7282">
            <v>121</v>
          </cell>
        </row>
        <row r="7283">
          <cell r="B7283">
            <v>8.4282407407417242E-2</v>
          </cell>
          <cell r="C7283">
            <v>121</v>
          </cell>
        </row>
        <row r="7284">
          <cell r="B7284">
            <v>8.4293981481491323E-2</v>
          </cell>
          <cell r="C7284">
            <v>121</v>
          </cell>
        </row>
        <row r="7285">
          <cell r="B7285">
            <v>8.4305555555565403E-2</v>
          </cell>
          <cell r="C7285">
            <v>121</v>
          </cell>
        </row>
        <row r="7286">
          <cell r="B7286">
            <v>8.4317129629639484E-2</v>
          </cell>
          <cell r="C7286">
            <v>121</v>
          </cell>
        </row>
        <row r="7287">
          <cell r="B7287">
            <v>8.4328703703713564E-2</v>
          </cell>
          <cell r="C7287">
            <v>121</v>
          </cell>
        </row>
        <row r="7288">
          <cell r="B7288">
            <v>8.4340277777787645E-2</v>
          </cell>
          <cell r="C7288">
            <v>121</v>
          </cell>
        </row>
        <row r="7289">
          <cell r="B7289">
            <v>8.4351851851861726E-2</v>
          </cell>
          <cell r="C7289">
            <v>121</v>
          </cell>
        </row>
        <row r="7290">
          <cell r="B7290">
            <v>8.4363425925935806E-2</v>
          </cell>
          <cell r="C7290">
            <v>121</v>
          </cell>
        </row>
        <row r="7291">
          <cell r="B7291">
            <v>8.4375000000009887E-2</v>
          </cell>
          <cell r="C7291">
            <v>121</v>
          </cell>
        </row>
        <row r="7292">
          <cell r="B7292">
            <v>8.4386574074083967E-2</v>
          </cell>
          <cell r="C7292">
            <v>121</v>
          </cell>
        </row>
        <row r="7293">
          <cell r="B7293">
            <v>8.4398148148158048E-2</v>
          </cell>
          <cell r="C7293">
            <v>121</v>
          </cell>
        </row>
        <row r="7294">
          <cell r="B7294">
            <v>8.4409722222232128E-2</v>
          </cell>
          <cell r="C7294">
            <v>121</v>
          </cell>
        </row>
        <row r="7295">
          <cell r="B7295">
            <v>8.4421296296306209E-2</v>
          </cell>
          <cell r="C7295">
            <v>121</v>
          </cell>
        </row>
        <row r="7296">
          <cell r="B7296">
            <v>8.4432870370380289E-2</v>
          </cell>
          <cell r="C7296">
            <v>121</v>
          </cell>
        </row>
        <row r="7297">
          <cell r="B7297">
            <v>8.444444444445437E-2</v>
          </cell>
          <cell r="C7297">
            <v>121</v>
          </cell>
        </row>
        <row r="7298">
          <cell r="B7298">
            <v>8.445601851852845E-2</v>
          </cell>
          <cell r="C7298">
            <v>121</v>
          </cell>
        </row>
        <row r="7299">
          <cell r="B7299">
            <v>8.4467592592602531E-2</v>
          </cell>
          <cell r="C7299">
            <v>121</v>
          </cell>
        </row>
        <row r="7300">
          <cell r="B7300">
            <v>8.4479166666676611E-2</v>
          </cell>
          <cell r="C7300">
            <v>121</v>
          </cell>
        </row>
        <row r="7301">
          <cell r="B7301">
            <v>8.4490740740750692E-2</v>
          </cell>
          <cell r="C7301">
            <v>121</v>
          </cell>
        </row>
        <row r="7302">
          <cell r="B7302">
            <v>8.4502314814824772E-2</v>
          </cell>
          <cell r="C7302">
            <v>121</v>
          </cell>
        </row>
        <row r="7303">
          <cell r="B7303">
            <v>8.4513888888898853E-2</v>
          </cell>
          <cell r="C7303">
            <v>121</v>
          </cell>
        </row>
        <row r="7304">
          <cell r="B7304">
            <v>8.4525462962972933E-2</v>
          </cell>
          <cell r="C7304">
            <v>121</v>
          </cell>
        </row>
        <row r="7305">
          <cell r="B7305">
            <v>8.4537037037047014E-2</v>
          </cell>
          <cell r="C7305">
            <v>121</v>
          </cell>
        </row>
        <row r="7306">
          <cell r="B7306">
            <v>8.4548611111121094E-2</v>
          </cell>
          <cell r="C7306">
            <v>121</v>
          </cell>
        </row>
        <row r="7307">
          <cell r="B7307">
            <v>8.4560185185195175E-2</v>
          </cell>
          <cell r="C7307">
            <v>121</v>
          </cell>
        </row>
        <row r="7308">
          <cell r="B7308">
            <v>8.4571759259269255E-2</v>
          </cell>
          <cell r="C7308">
            <v>121</v>
          </cell>
        </row>
        <row r="7309">
          <cell r="B7309">
            <v>8.4583333333343336E-2</v>
          </cell>
          <cell r="C7309">
            <v>121</v>
          </cell>
        </row>
        <row r="7310">
          <cell r="B7310">
            <v>8.4594907407417416E-2</v>
          </cell>
          <cell r="C7310">
            <v>121</v>
          </cell>
        </row>
        <row r="7311">
          <cell r="B7311">
            <v>8.4606481481491497E-2</v>
          </cell>
          <cell r="C7311">
            <v>121</v>
          </cell>
        </row>
        <row r="7312">
          <cell r="B7312">
            <v>8.4618055555565577E-2</v>
          </cell>
          <cell r="C7312">
            <v>121</v>
          </cell>
        </row>
        <row r="7313">
          <cell r="B7313">
            <v>8.4629629629639658E-2</v>
          </cell>
          <cell r="C7313">
            <v>121</v>
          </cell>
        </row>
        <row r="7314">
          <cell r="B7314">
            <v>8.4641203703713738E-2</v>
          </cell>
          <cell r="C7314">
            <v>121</v>
          </cell>
        </row>
        <row r="7315">
          <cell r="B7315">
            <v>8.4652777777787819E-2</v>
          </cell>
          <cell r="C7315">
            <v>121</v>
          </cell>
        </row>
        <row r="7316">
          <cell r="B7316">
            <v>8.4664351851861899E-2</v>
          </cell>
          <cell r="C7316">
            <v>121</v>
          </cell>
        </row>
        <row r="7317">
          <cell r="B7317">
            <v>8.467592592593598E-2</v>
          </cell>
          <cell r="C7317">
            <v>121</v>
          </cell>
        </row>
        <row r="7318">
          <cell r="B7318">
            <v>8.468750000001006E-2</v>
          </cell>
          <cell r="C7318">
            <v>121</v>
          </cell>
        </row>
        <row r="7319">
          <cell r="B7319">
            <v>8.4699074074084141E-2</v>
          </cell>
          <cell r="C7319">
            <v>121</v>
          </cell>
        </row>
        <row r="7320">
          <cell r="B7320">
            <v>8.4710648148158221E-2</v>
          </cell>
          <cell r="C7320">
            <v>121</v>
          </cell>
        </row>
        <row r="7321">
          <cell r="B7321">
            <v>8.4722222222232302E-2</v>
          </cell>
          <cell r="C7321">
            <v>122</v>
          </cell>
        </row>
        <row r="7322">
          <cell r="B7322">
            <v>8.4733796296306382E-2</v>
          </cell>
          <cell r="C7322">
            <v>122</v>
          </cell>
        </row>
        <row r="7323">
          <cell r="B7323">
            <v>8.4745370370380463E-2</v>
          </cell>
          <cell r="C7323">
            <v>122</v>
          </cell>
        </row>
        <row r="7324">
          <cell r="B7324">
            <v>8.4756944444454543E-2</v>
          </cell>
          <cell r="C7324">
            <v>122</v>
          </cell>
        </row>
        <row r="7325">
          <cell r="B7325">
            <v>8.4768518518528624E-2</v>
          </cell>
          <cell r="C7325">
            <v>122</v>
          </cell>
        </row>
        <row r="7326">
          <cell r="B7326">
            <v>8.4780092592602704E-2</v>
          </cell>
          <cell r="C7326">
            <v>122</v>
          </cell>
        </row>
        <row r="7327">
          <cell r="B7327">
            <v>8.4791666666676785E-2</v>
          </cell>
          <cell r="C7327">
            <v>122</v>
          </cell>
        </row>
        <row r="7328">
          <cell r="B7328">
            <v>8.4803240740750865E-2</v>
          </cell>
          <cell r="C7328">
            <v>122</v>
          </cell>
        </row>
        <row r="7329">
          <cell r="B7329">
            <v>8.4814814814824946E-2</v>
          </cell>
          <cell r="C7329">
            <v>122</v>
          </cell>
        </row>
        <row r="7330">
          <cell r="B7330">
            <v>8.4826388888899026E-2</v>
          </cell>
          <cell r="C7330">
            <v>122</v>
          </cell>
        </row>
        <row r="7331">
          <cell r="B7331">
            <v>8.4837962962973107E-2</v>
          </cell>
          <cell r="C7331">
            <v>122</v>
          </cell>
        </row>
        <row r="7332">
          <cell r="B7332">
            <v>8.4849537037047187E-2</v>
          </cell>
          <cell r="C7332">
            <v>122</v>
          </cell>
        </row>
        <row r="7333">
          <cell r="B7333">
            <v>8.4861111111121268E-2</v>
          </cell>
          <cell r="C7333">
            <v>122</v>
          </cell>
        </row>
        <row r="7334">
          <cell r="B7334">
            <v>8.4872685185195348E-2</v>
          </cell>
          <cell r="C7334">
            <v>122</v>
          </cell>
        </row>
        <row r="7335">
          <cell r="B7335">
            <v>8.4884259259269429E-2</v>
          </cell>
          <cell r="C7335">
            <v>122</v>
          </cell>
        </row>
        <row r="7336">
          <cell r="B7336">
            <v>8.4895833333343509E-2</v>
          </cell>
          <cell r="C7336">
            <v>122</v>
          </cell>
        </row>
        <row r="7337">
          <cell r="B7337">
            <v>8.490740740741759E-2</v>
          </cell>
          <cell r="C7337">
            <v>122</v>
          </cell>
        </row>
        <row r="7338">
          <cell r="B7338">
            <v>8.491898148149167E-2</v>
          </cell>
          <cell r="C7338">
            <v>122</v>
          </cell>
        </row>
        <row r="7339">
          <cell r="B7339">
            <v>8.4930555555565751E-2</v>
          </cell>
          <cell r="C7339">
            <v>122</v>
          </cell>
        </row>
        <row r="7340">
          <cell r="B7340">
            <v>8.4942129629639831E-2</v>
          </cell>
          <cell r="C7340">
            <v>122</v>
          </cell>
        </row>
        <row r="7341">
          <cell r="B7341">
            <v>8.4953703703713912E-2</v>
          </cell>
          <cell r="C7341">
            <v>122</v>
          </cell>
        </row>
        <row r="7342">
          <cell r="B7342">
            <v>8.4965277777787993E-2</v>
          </cell>
          <cell r="C7342">
            <v>122</v>
          </cell>
        </row>
        <row r="7343">
          <cell r="B7343">
            <v>8.4976851851862073E-2</v>
          </cell>
          <cell r="C7343">
            <v>122</v>
          </cell>
        </row>
        <row r="7344">
          <cell r="B7344">
            <v>8.4988425925936154E-2</v>
          </cell>
          <cell r="C7344">
            <v>122</v>
          </cell>
        </row>
        <row r="7345">
          <cell r="B7345">
            <v>8.5000000000010234E-2</v>
          </cell>
          <cell r="C7345">
            <v>122</v>
          </cell>
        </row>
        <row r="7346">
          <cell r="B7346">
            <v>8.5011574074084315E-2</v>
          </cell>
          <cell r="C7346">
            <v>122</v>
          </cell>
        </row>
        <row r="7347">
          <cell r="B7347">
            <v>8.5023148148158395E-2</v>
          </cell>
          <cell r="C7347">
            <v>122</v>
          </cell>
        </row>
        <row r="7348">
          <cell r="B7348">
            <v>8.5034722222232476E-2</v>
          </cell>
          <cell r="C7348">
            <v>122</v>
          </cell>
        </row>
        <row r="7349">
          <cell r="B7349">
            <v>8.5046296296306556E-2</v>
          </cell>
          <cell r="C7349">
            <v>122</v>
          </cell>
        </row>
        <row r="7350">
          <cell r="B7350">
            <v>8.5057870370380637E-2</v>
          </cell>
          <cell r="C7350">
            <v>122</v>
          </cell>
        </row>
        <row r="7351">
          <cell r="B7351">
            <v>8.5069444444454717E-2</v>
          </cell>
          <cell r="C7351">
            <v>122</v>
          </cell>
        </row>
        <row r="7352">
          <cell r="B7352">
            <v>8.5081018518528798E-2</v>
          </cell>
          <cell r="C7352">
            <v>122</v>
          </cell>
        </row>
        <row r="7353">
          <cell r="B7353">
            <v>8.5092592592602878E-2</v>
          </cell>
          <cell r="C7353">
            <v>122</v>
          </cell>
        </row>
        <row r="7354">
          <cell r="B7354">
            <v>8.5104166666676959E-2</v>
          </cell>
          <cell r="C7354">
            <v>122</v>
          </cell>
        </row>
        <row r="7355">
          <cell r="B7355">
            <v>8.5115740740751039E-2</v>
          </cell>
          <cell r="C7355">
            <v>122</v>
          </cell>
        </row>
        <row r="7356">
          <cell r="B7356">
            <v>8.512731481482512E-2</v>
          </cell>
          <cell r="C7356">
            <v>122</v>
          </cell>
        </row>
        <row r="7357">
          <cell r="B7357">
            <v>8.51388888888992E-2</v>
          </cell>
          <cell r="C7357">
            <v>122</v>
          </cell>
        </row>
        <row r="7358">
          <cell r="B7358">
            <v>8.5150462962973281E-2</v>
          </cell>
          <cell r="C7358">
            <v>122</v>
          </cell>
        </row>
        <row r="7359">
          <cell r="B7359">
            <v>8.5162037037047361E-2</v>
          </cell>
          <cell r="C7359">
            <v>122</v>
          </cell>
        </row>
        <row r="7360">
          <cell r="B7360">
            <v>8.5173611111121442E-2</v>
          </cell>
          <cell r="C7360">
            <v>122</v>
          </cell>
        </row>
        <row r="7361">
          <cell r="B7361">
            <v>8.5185185185195522E-2</v>
          </cell>
          <cell r="C7361">
            <v>122</v>
          </cell>
        </row>
        <row r="7362">
          <cell r="B7362">
            <v>8.5196759259269603E-2</v>
          </cell>
          <cell r="C7362">
            <v>122</v>
          </cell>
        </row>
        <row r="7363">
          <cell r="B7363">
            <v>8.5208333333343683E-2</v>
          </cell>
          <cell r="C7363">
            <v>122</v>
          </cell>
        </row>
        <row r="7364">
          <cell r="B7364">
            <v>8.5219907407417764E-2</v>
          </cell>
          <cell r="C7364">
            <v>122</v>
          </cell>
        </row>
        <row r="7365">
          <cell r="B7365">
            <v>8.5231481481491844E-2</v>
          </cell>
          <cell r="C7365">
            <v>122</v>
          </cell>
        </row>
        <row r="7366">
          <cell r="B7366">
            <v>8.5243055555565925E-2</v>
          </cell>
          <cell r="C7366">
            <v>122</v>
          </cell>
        </row>
        <row r="7367">
          <cell r="B7367">
            <v>8.5254629629640005E-2</v>
          </cell>
          <cell r="C7367">
            <v>122</v>
          </cell>
        </row>
        <row r="7368">
          <cell r="B7368">
            <v>8.5266203703714086E-2</v>
          </cell>
          <cell r="C7368">
            <v>122</v>
          </cell>
        </row>
        <row r="7369">
          <cell r="B7369">
            <v>8.5277777777788166E-2</v>
          </cell>
          <cell r="C7369">
            <v>122</v>
          </cell>
        </row>
        <row r="7370">
          <cell r="B7370">
            <v>8.5289351851862247E-2</v>
          </cell>
          <cell r="C7370">
            <v>122</v>
          </cell>
        </row>
        <row r="7371">
          <cell r="B7371">
            <v>8.5300925925936327E-2</v>
          </cell>
          <cell r="C7371">
            <v>122</v>
          </cell>
        </row>
        <row r="7372">
          <cell r="B7372">
            <v>8.5312500000010408E-2</v>
          </cell>
          <cell r="C7372">
            <v>122</v>
          </cell>
        </row>
        <row r="7373">
          <cell r="B7373">
            <v>8.5324074074084488E-2</v>
          </cell>
          <cell r="C7373">
            <v>122</v>
          </cell>
        </row>
        <row r="7374">
          <cell r="B7374">
            <v>8.5335648148158569E-2</v>
          </cell>
          <cell r="C7374">
            <v>122</v>
          </cell>
        </row>
        <row r="7375">
          <cell r="B7375">
            <v>8.5347222222232649E-2</v>
          </cell>
          <cell r="C7375">
            <v>122</v>
          </cell>
        </row>
        <row r="7376">
          <cell r="B7376">
            <v>8.535879629630673E-2</v>
          </cell>
          <cell r="C7376">
            <v>122</v>
          </cell>
        </row>
        <row r="7377">
          <cell r="B7377">
            <v>8.537037037038081E-2</v>
          </cell>
          <cell r="C7377">
            <v>122</v>
          </cell>
        </row>
        <row r="7378">
          <cell r="B7378">
            <v>8.5381944444454891E-2</v>
          </cell>
          <cell r="C7378">
            <v>122</v>
          </cell>
        </row>
        <row r="7379">
          <cell r="B7379">
            <v>8.5393518518528971E-2</v>
          </cell>
          <cell r="C7379">
            <v>122</v>
          </cell>
        </row>
        <row r="7380">
          <cell r="B7380">
            <v>8.5405092592603052E-2</v>
          </cell>
          <cell r="C7380">
            <v>122</v>
          </cell>
        </row>
        <row r="7381">
          <cell r="B7381">
            <v>8.5416666666677132E-2</v>
          </cell>
          <cell r="C7381">
            <v>123</v>
          </cell>
        </row>
        <row r="7382">
          <cell r="B7382">
            <v>8.5428240740751213E-2</v>
          </cell>
          <cell r="C7382">
            <v>123</v>
          </cell>
        </row>
        <row r="7383">
          <cell r="B7383">
            <v>8.5439814814825293E-2</v>
          </cell>
          <cell r="C7383">
            <v>123</v>
          </cell>
        </row>
        <row r="7384">
          <cell r="B7384">
            <v>8.5451388888899374E-2</v>
          </cell>
          <cell r="C7384">
            <v>123</v>
          </cell>
        </row>
        <row r="7385">
          <cell r="B7385">
            <v>8.5462962962973454E-2</v>
          </cell>
          <cell r="C7385">
            <v>123</v>
          </cell>
        </row>
        <row r="7386">
          <cell r="B7386">
            <v>8.5474537037047535E-2</v>
          </cell>
          <cell r="C7386">
            <v>123</v>
          </cell>
        </row>
        <row r="7387">
          <cell r="B7387">
            <v>8.5486111111121615E-2</v>
          </cell>
          <cell r="C7387">
            <v>123</v>
          </cell>
        </row>
        <row r="7388">
          <cell r="B7388">
            <v>8.5497685185195696E-2</v>
          </cell>
          <cell r="C7388">
            <v>123</v>
          </cell>
        </row>
        <row r="7389">
          <cell r="B7389">
            <v>8.5509259259269776E-2</v>
          </cell>
          <cell r="C7389">
            <v>123</v>
          </cell>
        </row>
        <row r="7390">
          <cell r="B7390">
            <v>8.5520833333343857E-2</v>
          </cell>
          <cell r="C7390">
            <v>123</v>
          </cell>
        </row>
        <row r="7391">
          <cell r="B7391">
            <v>8.5532407407417937E-2</v>
          </cell>
          <cell r="C7391">
            <v>123</v>
          </cell>
        </row>
        <row r="7392">
          <cell r="B7392">
            <v>8.5543981481492018E-2</v>
          </cell>
          <cell r="C7392">
            <v>123</v>
          </cell>
        </row>
        <row r="7393">
          <cell r="B7393">
            <v>8.5555555555566098E-2</v>
          </cell>
          <cell r="C7393">
            <v>123</v>
          </cell>
        </row>
        <row r="7394">
          <cell r="B7394">
            <v>8.5567129629640179E-2</v>
          </cell>
          <cell r="C7394">
            <v>123</v>
          </cell>
        </row>
        <row r="7395">
          <cell r="B7395">
            <v>8.5578703703714259E-2</v>
          </cell>
          <cell r="C7395">
            <v>123</v>
          </cell>
        </row>
        <row r="7396">
          <cell r="B7396">
            <v>8.559027777778834E-2</v>
          </cell>
          <cell r="C7396">
            <v>123</v>
          </cell>
        </row>
        <row r="7397">
          <cell r="B7397">
            <v>8.5601851851862421E-2</v>
          </cell>
          <cell r="C7397">
            <v>123</v>
          </cell>
        </row>
        <row r="7398">
          <cell r="B7398">
            <v>8.5613425925936501E-2</v>
          </cell>
          <cell r="C7398">
            <v>123</v>
          </cell>
        </row>
        <row r="7399">
          <cell r="B7399">
            <v>8.5625000000010582E-2</v>
          </cell>
          <cell r="C7399">
            <v>123</v>
          </cell>
        </row>
        <row r="7400">
          <cell r="B7400">
            <v>8.5636574074084662E-2</v>
          </cell>
          <cell r="C7400">
            <v>123</v>
          </cell>
        </row>
        <row r="7401">
          <cell r="B7401">
            <v>8.5648148148158743E-2</v>
          </cell>
          <cell r="C7401">
            <v>123</v>
          </cell>
        </row>
        <row r="7402">
          <cell r="B7402">
            <v>8.5659722222232823E-2</v>
          </cell>
          <cell r="C7402">
            <v>123</v>
          </cell>
        </row>
        <row r="7403">
          <cell r="B7403">
            <v>8.5671296296306904E-2</v>
          </cell>
          <cell r="C7403">
            <v>123</v>
          </cell>
        </row>
        <row r="7404">
          <cell r="B7404">
            <v>8.5682870370380984E-2</v>
          </cell>
          <cell r="C7404">
            <v>123</v>
          </cell>
        </row>
        <row r="7405">
          <cell r="B7405">
            <v>8.5694444444455065E-2</v>
          </cell>
          <cell r="C7405">
            <v>123</v>
          </cell>
        </row>
        <row r="7406">
          <cell r="B7406">
            <v>8.5706018518529145E-2</v>
          </cell>
          <cell r="C7406">
            <v>123</v>
          </cell>
        </row>
        <row r="7407">
          <cell r="B7407">
            <v>8.5717592592603226E-2</v>
          </cell>
          <cell r="C7407">
            <v>123</v>
          </cell>
        </row>
        <row r="7408">
          <cell r="B7408">
            <v>8.5729166666677306E-2</v>
          </cell>
          <cell r="C7408">
            <v>123</v>
          </cell>
        </row>
        <row r="7409">
          <cell r="B7409">
            <v>8.5740740740751387E-2</v>
          </cell>
          <cell r="C7409">
            <v>123</v>
          </cell>
        </row>
        <row r="7410">
          <cell r="B7410">
            <v>8.5752314814825467E-2</v>
          </cell>
          <cell r="C7410">
            <v>123</v>
          </cell>
        </row>
        <row r="7411">
          <cell r="B7411">
            <v>8.5763888888899548E-2</v>
          </cell>
          <cell r="C7411">
            <v>123</v>
          </cell>
        </row>
        <row r="7412">
          <cell r="B7412">
            <v>8.5775462962973628E-2</v>
          </cell>
          <cell r="C7412">
            <v>123</v>
          </cell>
        </row>
        <row r="7413">
          <cell r="B7413">
            <v>8.5787037037047709E-2</v>
          </cell>
          <cell r="C7413">
            <v>123</v>
          </cell>
        </row>
        <row r="7414">
          <cell r="B7414">
            <v>8.5798611111121789E-2</v>
          </cell>
          <cell r="C7414">
            <v>123</v>
          </cell>
        </row>
        <row r="7415">
          <cell r="B7415">
            <v>8.581018518519587E-2</v>
          </cell>
          <cell r="C7415">
            <v>123</v>
          </cell>
        </row>
        <row r="7416">
          <cell r="B7416">
            <v>8.582175925926995E-2</v>
          </cell>
          <cell r="C7416">
            <v>123</v>
          </cell>
        </row>
        <row r="7417">
          <cell r="B7417">
            <v>8.5833333333344031E-2</v>
          </cell>
          <cell r="C7417">
            <v>123</v>
          </cell>
        </row>
        <row r="7418">
          <cell r="B7418">
            <v>8.5844907407418111E-2</v>
          </cell>
          <cell r="C7418">
            <v>123</v>
          </cell>
        </row>
        <row r="7419">
          <cell r="B7419">
            <v>8.5856481481492192E-2</v>
          </cell>
          <cell r="C7419">
            <v>123</v>
          </cell>
        </row>
        <row r="7420">
          <cell r="B7420">
            <v>8.5868055555566272E-2</v>
          </cell>
          <cell r="C7420">
            <v>123</v>
          </cell>
        </row>
        <row r="7421">
          <cell r="B7421">
            <v>8.5879629629640353E-2</v>
          </cell>
          <cell r="C7421">
            <v>123</v>
          </cell>
        </row>
        <row r="7422">
          <cell r="B7422">
            <v>8.5891203703714433E-2</v>
          </cell>
          <cell r="C7422">
            <v>123</v>
          </cell>
        </row>
        <row r="7423">
          <cell r="B7423">
            <v>8.5902777777788514E-2</v>
          </cell>
          <cell r="C7423">
            <v>123</v>
          </cell>
        </row>
        <row r="7424">
          <cell r="B7424">
            <v>8.5914351851862594E-2</v>
          </cell>
          <cell r="C7424">
            <v>123</v>
          </cell>
        </row>
        <row r="7425">
          <cell r="B7425">
            <v>8.5925925925936675E-2</v>
          </cell>
          <cell r="C7425">
            <v>123</v>
          </cell>
        </row>
        <row r="7426">
          <cell r="B7426">
            <v>8.5937500000010755E-2</v>
          </cell>
          <cell r="C7426">
            <v>123</v>
          </cell>
        </row>
        <row r="7427">
          <cell r="B7427">
            <v>8.5949074074084836E-2</v>
          </cell>
          <cell r="C7427">
            <v>123</v>
          </cell>
        </row>
        <row r="7428">
          <cell r="B7428">
            <v>8.5960648148158916E-2</v>
          </cell>
          <cell r="C7428">
            <v>123</v>
          </cell>
        </row>
        <row r="7429">
          <cell r="B7429">
            <v>8.5972222222232997E-2</v>
          </cell>
          <cell r="C7429">
            <v>123</v>
          </cell>
        </row>
        <row r="7430">
          <cell r="B7430">
            <v>8.5983796296307077E-2</v>
          </cell>
          <cell r="C7430">
            <v>123</v>
          </cell>
        </row>
        <row r="7431">
          <cell r="B7431">
            <v>8.5995370370381158E-2</v>
          </cell>
          <cell r="C7431">
            <v>123</v>
          </cell>
        </row>
        <row r="7432">
          <cell r="B7432">
            <v>8.6006944444455238E-2</v>
          </cell>
          <cell r="C7432">
            <v>123</v>
          </cell>
        </row>
        <row r="7433">
          <cell r="B7433">
            <v>8.6018518518529319E-2</v>
          </cell>
          <cell r="C7433">
            <v>123</v>
          </cell>
        </row>
        <row r="7434">
          <cell r="B7434">
            <v>8.6030092592603399E-2</v>
          </cell>
          <cell r="C7434">
            <v>123</v>
          </cell>
        </row>
        <row r="7435">
          <cell r="B7435">
            <v>8.604166666667748E-2</v>
          </cell>
          <cell r="C7435">
            <v>123</v>
          </cell>
        </row>
        <row r="7436">
          <cell r="B7436">
            <v>8.605324074075156E-2</v>
          </cell>
          <cell r="C7436">
            <v>123</v>
          </cell>
        </row>
        <row r="7437">
          <cell r="B7437">
            <v>8.6064814814825641E-2</v>
          </cell>
          <cell r="C7437">
            <v>123</v>
          </cell>
        </row>
        <row r="7438">
          <cell r="B7438">
            <v>8.6076388888899721E-2</v>
          </cell>
          <cell r="C7438">
            <v>123</v>
          </cell>
        </row>
        <row r="7439">
          <cell r="B7439">
            <v>8.6087962962973802E-2</v>
          </cell>
          <cell r="C7439">
            <v>123</v>
          </cell>
        </row>
        <row r="7440">
          <cell r="B7440">
            <v>8.6099537037047882E-2</v>
          </cell>
          <cell r="C7440">
            <v>123</v>
          </cell>
        </row>
        <row r="7441">
          <cell r="B7441">
            <v>8.6111111111121963E-2</v>
          </cell>
          <cell r="C7441">
            <v>124</v>
          </cell>
        </row>
        <row r="7442">
          <cell r="B7442">
            <v>8.6122685185196043E-2</v>
          </cell>
          <cell r="C7442">
            <v>124</v>
          </cell>
        </row>
        <row r="7443">
          <cell r="B7443">
            <v>8.6134259259270124E-2</v>
          </cell>
          <cell r="C7443">
            <v>124</v>
          </cell>
        </row>
        <row r="7444">
          <cell r="B7444">
            <v>8.6145833333344204E-2</v>
          </cell>
          <cell r="C7444">
            <v>124</v>
          </cell>
        </row>
        <row r="7445">
          <cell r="B7445">
            <v>8.6157407407418285E-2</v>
          </cell>
          <cell r="C7445">
            <v>124</v>
          </cell>
        </row>
        <row r="7446">
          <cell r="B7446">
            <v>8.6168981481492365E-2</v>
          </cell>
          <cell r="C7446">
            <v>124</v>
          </cell>
        </row>
        <row r="7447">
          <cell r="B7447">
            <v>8.6180555555566446E-2</v>
          </cell>
          <cell r="C7447">
            <v>124</v>
          </cell>
        </row>
        <row r="7448">
          <cell r="B7448">
            <v>8.6192129629640526E-2</v>
          </cell>
          <cell r="C7448">
            <v>124</v>
          </cell>
        </row>
        <row r="7449">
          <cell r="B7449">
            <v>8.6203703703714607E-2</v>
          </cell>
          <cell r="C7449">
            <v>124</v>
          </cell>
        </row>
        <row r="7450">
          <cell r="B7450">
            <v>8.6215277777788688E-2</v>
          </cell>
          <cell r="C7450">
            <v>124</v>
          </cell>
        </row>
        <row r="7451">
          <cell r="B7451">
            <v>8.6226851851862768E-2</v>
          </cell>
          <cell r="C7451">
            <v>124</v>
          </cell>
        </row>
        <row r="7452">
          <cell r="B7452">
            <v>8.6238425925936849E-2</v>
          </cell>
          <cell r="C7452">
            <v>124</v>
          </cell>
        </row>
        <row r="7453">
          <cell r="B7453">
            <v>8.6250000000010929E-2</v>
          </cell>
          <cell r="C7453">
            <v>124</v>
          </cell>
        </row>
        <row r="7454">
          <cell r="B7454">
            <v>8.626157407408501E-2</v>
          </cell>
          <cell r="C7454">
            <v>124</v>
          </cell>
        </row>
        <row r="7455">
          <cell r="B7455">
            <v>8.627314814815909E-2</v>
          </cell>
          <cell r="C7455">
            <v>124</v>
          </cell>
        </row>
        <row r="7456">
          <cell r="B7456">
            <v>8.6284722222233171E-2</v>
          </cell>
          <cell r="C7456">
            <v>124</v>
          </cell>
        </row>
        <row r="7457">
          <cell r="B7457">
            <v>8.6296296296307251E-2</v>
          </cell>
          <cell r="C7457">
            <v>124</v>
          </cell>
        </row>
        <row r="7458">
          <cell r="B7458">
            <v>8.6307870370381332E-2</v>
          </cell>
          <cell r="C7458">
            <v>124</v>
          </cell>
        </row>
        <row r="7459">
          <cell r="B7459">
            <v>8.6319444444455412E-2</v>
          </cell>
          <cell r="C7459">
            <v>124</v>
          </cell>
        </row>
        <row r="7460">
          <cell r="B7460">
            <v>8.6331018518529493E-2</v>
          </cell>
          <cell r="C7460">
            <v>124</v>
          </cell>
        </row>
        <row r="7461">
          <cell r="B7461">
            <v>8.6342592592603573E-2</v>
          </cell>
          <cell r="C7461">
            <v>124</v>
          </cell>
        </row>
        <row r="7462">
          <cell r="B7462">
            <v>8.6354166666677654E-2</v>
          </cell>
          <cell r="C7462">
            <v>124</v>
          </cell>
        </row>
        <row r="7463">
          <cell r="B7463">
            <v>8.6365740740751734E-2</v>
          </cell>
          <cell r="C7463">
            <v>124</v>
          </cell>
        </row>
        <row r="7464">
          <cell r="B7464">
            <v>8.6377314814825815E-2</v>
          </cell>
          <cell r="C7464">
            <v>124</v>
          </cell>
        </row>
        <row r="7465">
          <cell r="B7465">
            <v>8.6388888888899895E-2</v>
          </cell>
          <cell r="C7465">
            <v>124</v>
          </cell>
        </row>
        <row r="7466">
          <cell r="B7466">
            <v>8.6400462962973976E-2</v>
          </cell>
          <cell r="C7466">
            <v>124</v>
          </cell>
        </row>
        <row r="7467">
          <cell r="B7467">
            <v>8.6412037037048056E-2</v>
          </cell>
          <cell r="C7467">
            <v>124</v>
          </cell>
        </row>
        <row r="7468">
          <cell r="B7468">
            <v>8.6423611111122137E-2</v>
          </cell>
          <cell r="C7468">
            <v>124</v>
          </cell>
        </row>
        <row r="7469">
          <cell r="B7469">
            <v>8.6435185185196217E-2</v>
          </cell>
          <cell r="C7469">
            <v>124</v>
          </cell>
        </row>
        <row r="7470">
          <cell r="B7470">
            <v>8.6446759259270298E-2</v>
          </cell>
          <cell r="C7470">
            <v>124</v>
          </cell>
        </row>
        <row r="7471">
          <cell r="B7471">
            <v>8.6458333333344378E-2</v>
          </cell>
          <cell r="C7471">
            <v>124</v>
          </cell>
        </row>
        <row r="7472">
          <cell r="B7472">
            <v>8.6469907407418459E-2</v>
          </cell>
          <cell r="C7472">
            <v>124</v>
          </cell>
        </row>
        <row r="7473">
          <cell r="B7473">
            <v>8.6481481481492539E-2</v>
          </cell>
          <cell r="C7473">
            <v>124</v>
          </cell>
        </row>
        <row r="7474">
          <cell r="B7474">
            <v>8.649305555556662E-2</v>
          </cell>
          <cell r="C7474">
            <v>124</v>
          </cell>
        </row>
        <row r="7475">
          <cell r="B7475">
            <v>8.65046296296407E-2</v>
          </cell>
          <cell r="C7475">
            <v>124</v>
          </cell>
        </row>
        <row r="7476">
          <cell r="B7476">
            <v>8.6516203703714781E-2</v>
          </cell>
          <cell r="C7476">
            <v>124</v>
          </cell>
        </row>
        <row r="7477">
          <cell r="B7477">
            <v>8.6527777777788861E-2</v>
          </cell>
          <cell r="C7477">
            <v>124</v>
          </cell>
        </row>
        <row r="7478">
          <cell r="B7478">
            <v>8.6539351851862942E-2</v>
          </cell>
          <cell r="C7478">
            <v>124</v>
          </cell>
        </row>
        <row r="7479">
          <cell r="B7479">
            <v>8.6550925925937022E-2</v>
          </cell>
          <cell r="C7479">
            <v>124</v>
          </cell>
        </row>
        <row r="7480">
          <cell r="B7480">
            <v>8.6562500000011103E-2</v>
          </cell>
          <cell r="C7480">
            <v>124</v>
          </cell>
        </row>
        <row r="7481">
          <cell r="B7481">
            <v>8.6574074074085183E-2</v>
          </cell>
          <cell r="C7481">
            <v>124</v>
          </cell>
        </row>
        <row r="7482">
          <cell r="B7482">
            <v>8.6585648148159264E-2</v>
          </cell>
          <cell r="C7482">
            <v>124</v>
          </cell>
        </row>
        <row r="7483">
          <cell r="B7483">
            <v>8.6597222222233344E-2</v>
          </cell>
          <cell r="C7483">
            <v>124</v>
          </cell>
        </row>
        <row r="7484">
          <cell r="B7484">
            <v>8.6608796296307425E-2</v>
          </cell>
          <cell r="C7484">
            <v>124</v>
          </cell>
        </row>
        <row r="7485">
          <cell r="B7485">
            <v>8.6620370370381505E-2</v>
          </cell>
          <cell r="C7485">
            <v>124</v>
          </cell>
        </row>
        <row r="7486">
          <cell r="B7486">
            <v>8.6631944444455586E-2</v>
          </cell>
          <cell r="C7486">
            <v>124</v>
          </cell>
        </row>
        <row r="7487">
          <cell r="B7487">
            <v>8.6643518518529666E-2</v>
          </cell>
          <cell r="C7487">
            <v>124</v>
          </cell>
        </row>
        <row r="7488">
          <cell r="B7488">
            <v>8.6655092592603747E-2</v>
          </cell>
          <cell r="C7488">
            <v>124</v>
          </cell>
        </row>
        <row r="7489">
          <cell r="B7489">
            <v>8.6666666666677827E-2</v>
          </cell>
          <cell r="C7489">
            <v>124</v>
          </cell>
        </row>
        <row r="7490">
          <cell r="B7490">
            <v>8.6678240740751908E-2</v>
          </cell>
          <cell r="C7490">
            <v>124</v>
          </cell>
        </row>
        <row r="7491">
          <cell r="B7491">
            <v>8.6689814814825988E-2</v>
          </cell>
          <cell r="C7491">
            <v>124</v>
          </cell>
        </row>
        <row r="7492">
          <cell r="B7492">
            <v>8.6701388888900069E-2</v>
          </cell>
          <cell r="C7492">
            <v>124</v>
          </cell>
        </row>
        <row r="7493">
          <cell r="B7493">
            <v>8.6712962962974149E-2</v>
          </cell>
          <cell r="C7493">
            <v>124</v>
          </cell>
        </row>
        <row r="7494">
          <cell r="B7494">
            <v>8.672453703704823E-2</v>
          </cell>
          <cell r="C7494">
            <v>124</v>
          </cell>
        </row>
        <row r="7495">
          <cell r="B7495">
            <v>8.673611111112231E-2</v>
          </cell>
          <cell r="C7495">
            <v>124</v>
          </cell>
        </row>
        <row r="7496">
          <cell r="B7496">
            <v>8.6747685185196391E-2</v>
          </cell>
          <cell r="C7496">
            <v>124</v>
          </cell>
        </row>
        <row r="7497">
          <cell r="B7497">
            <v>8.6759259259270471E-2</v>
          </cell>
          <cell r="C7497">
            <v>124</v>
          </cell>
        </row>
        <row r="7498">
          <cell r="B7498">
            <v>8.6770833333344552E-2</v>
          </cell>
          <cell r="C7498">
            <v>124</v>
          </cell>
        </row>
        <row r="7499">
          <cell r="B7499">
            <v>8.6782407407418632E-2</v>
          </cell>
          <cell r="C7499">
            <v>124</v>
          </cell>
        </row>
        <row r="7500">
          <cell r="B7500">
            <v>8.6793981481492713E-2</v>
          </cell>
          <cell r="C7500">
            <v>124</v>
          </cell>
        </row>
        <row r="7501">
          <cell r="B7501">
            <v>8.6805555555566793E-2</v>
          </cell>
          <cell r="C7501">
            <v>125</v>
          </cell>
        </row>
        <row r="7502">
          <cell r="B7502">
            <v>8.6817129629640874E-2</v>
          </cell>
          <cell r="C7502">
            <v>125</v>
          </cell>
        </row>
        <row r="7503">
          <cell r="B7503">
            <v>8.6828703703714954E-2</v>
          </cell>
          <cell r="C7503">
            <v>125</v>
          </cell>
        </row>
        <row r="7504">
          <cell r="B7504">
            <v>8.6840277777789035E-2</v>
          </cell>
          <cell r="C7504">
            <v>125</v>
          </cell>
        </row>
        <row r="7505">
          <cell r="B7505">
            <v>8.6851851851863116E-2</v>
          </cell>
          <cell r="C7505">
            <v>125</v>
          </cell>
        </row>
        <row r="7506">
          <cell r="B7506">
            <v>8.6863425925937196E-2</v>
          </cell>
          <cell r="C7506">
            <v>125</v>
          </cell>
        </row>
        <row r="7507">
          <cell r="B7507">
            <v>8.6875000000011277E-2</v>
          </cell>
          <cell r="C7507">
            <v>125</v>
          </cell>
        </row>
        <row r="7508">
          <cell r="B7508">
            <v>8.6886574074085357E-2</v>
          </cell>
          <cell r="C7508">
            <v>125</v>
          </cell>
        </row>
        <row r="7509">
          <cell r="B7509">
            <v>8.6898148148159438E-2</v>
          </cell>
          <cell r="C7509">
            <v>125</v>
          </cell>
        </row>
        <row r="7510">
          <cell r="B7510">
            <v>8.6909722222233518E-2</v>
          </cell>
          <cell r="C7510">
            <v>125</v>
          </cell>
        </row>
        <row r="7511">
          <cell r="B7511">
            <v>8.6921296296307599E-2</v>
          </cell>
          <cell r="C7511">
            <v>125</v>
          </cell>
        </row>
        <row r="7512">
          <cell r="B7512">
            <v>8.6932870370381679E-2</v>
          </cell>
          <cell r="C7512">
            <v>125</v>
          </cell>
        </row>
        <row r="7513">
          <cell r="B7513">
            <v>8.694444444445576E-2</v>
          </cell>
          <cell r="C7513">
            <v>125</v>
          </cell>
        </row>
        <row r="7514">
          <cell r="B7514">
            <v>8.695601851852984E-2</v>
          </cell>
          <cell r="C7514">
            <v>125</v>
          </cell>
        </row>
        <row r="7515">
          <cell r="B7515">
            <v>8.6967592592603921E-2</v>
          </cell>
          <cell r="C7515">
            <v>125</v>
          </cell>
        </row>
        <row r="7516">
          <cell r="B7516">
            <v>8.6979166666678001E-2</v>
          </cell>
          <cell r="C7516">
            <v>125</v>
          </cell>
        </row>
        <row r="7517">
          <cell r="B7517">
            <v>8.6990740740752082E-2</v>
          </cell>
          <cell r="C7517">
            <v>125</v>
          </cell>
        </row>
        <row r="7518">
          <cell r="B7518">
            <v>8.7002314814826162E-2</v>
          </cell>
          <cell r="C7518">
            <v>125</v>
          </cell>
        </row>
        <row r="7519">
          <cell r="B7519">
            <v>8.7013888888900243E-2</v>
          </cell>
          <cell r="C7519">
            <v>125</v>
          </cell>
        </row>
        <row r="7520">
          <cell r="B7520">
            <v>8.7025462962974323E-2</v>
          </cell>
          <cell r="C7520">
            <v>125</v>
          </cell>
        </row>
        <row r="7521">
          <cell r="B7521">
            <v>8.7037037037048404E-2</v>
          </cell>
          <cell r="C7521">
            <v>125</v>
          </cell>
        </row>
        <row r="7522">
          <cell r="B7522">
            <v>8.7048611111122484E-2</v>
          </cell>
          <cell r="C7522">
            <v>125</v>
          </cell>
        </row>
        <row r="7523">
          <cell r="B7523">
            <v>8.7060185185196565E-2</v>
          </cell>
          <cell r="C7523">
            <v>125</v>
          </cell>
        </row>
        <row r="7524">
          <cell r="B7524">
            <v>8.7071759259270645E-2</v>
          </cell>
          <cell r="C7524">
            <v>125</v>
          </cell>
        </row>
        <row r="7525">
          <cell r="B7525">
            <v>8.7083333333344726E-2</v>
          </cell>
          <cell r="C7525">
            <v>125</v>
          </cell>
        </row>
        <row r="7526">
          <cell r="B7526">
            <v>8.7094907407418806E-2</v>
          </cell>
          <cell r="C7526">
            <v>125</v>
          </cell>
        </row>
        <row r="7527">
          <cell r="B7527">
            <v>8.7106481481492887E-2</v>
          </cell>
          <cell r="C7527">
            <v>125</v>
          </cell>
        </row>
        <row r="7528">
          <cell r="B7528">
            <v>8.7118055555566967E-2</v>
          </cell>
          <cell r="C7528">
            <v>125</v>
          </cell>
        </row>
        <row r="7529">
          <cell r="B7529">
            <v>8.7129629629641048E-2</v>
          </cell>
          <cell r="C7529">
            <v>125</v>
          </cell>
        </row>
        <row r="7530">
          <cell r="B7530">
            <v>8.7141203703715128E-2</v>
          </cell>
          <cell r="C7530">
            <v>125</v>
          </cell>
        </row>
        <row r="7531">
          <cell r="B7531">
            <v>8.7152777777789209E-2</v>
          </cell>
          <cell r="C7531">
            <v>125</v>
          </cell>
        </row>
        <row r="7532">
          <cell r="B7532">
            <v>8.7164351851863289E-2</v>
          </cell>
          <cell r="C7532">
            <v>125</v>
          </cell>
        </row>
        <row r="7533">
          <cell r="B7533">
            <v>8.717592592593737E-2</v>
          </cell>
          <cell r="C7533">
            <v>125</v>
          </cell>
        </row>
        <row r="7534">
          <cell r="B7534">
            <v>8.718750000001145E-2</v>
          </cell>
          <cell r="C7534">
            <v>125</v>
          </cell>
        </row>
        <row r="7535">
          <cell r="B7535">
            <v>8.7199074074085531E-2</v>
          </cell>
          <cell r="C7535">
            <v>125</v>
          </cell>
        </row>
        <row r="7536">
          <cell r="B7536">
            <v>8.7210648148159611E-2</v>
          </cell>
          <cell r="C7536">
            <v>125</v>
          </cell>
        </row>
        <row r="7537">
          <cell r="B7537">
            <v>8.7222222222233692E-2</v>
          </cell>
          <cell r="C7537">
            <v>125</v>
          </cell>
        </row>
        <row r="7538">
          <cell r="B7538">
            <v>8.7233796296307772E-2</v>
          </cell>
          <cell r="C7538">
            <v>125</v>
          </cell>
        </row>
        <row r="7539">
          <cell r="B7539">
            <v>8.7245370370381853E-2</v>
          </cell>
          <cell r="C7539">
            <v>125</v>
          </cell>
        </row>
        <row r="7540">
          <cell r="B7540">
            <v>8.7256944444455933E-2</v>
          </cell>
          <cell r="C7540">
            <v>125</v>
          </cell>
        </row>
        <row r="7541">
          <cell r="B7541">
            <v>8.7268518518530014E-2</v>
          </cell>
          <cell r="C7541">
            <v>125</v>
          </cell>
        </row>
        <row r="7542">
          <cell r="B7542">
            <v>8.7280092592604094E-2</v>
          </cell>
          <cell r="C7542">
            <v>125</v>
          </cell>
        </row>
        <row r="7543">
          <cell r="B7543">
            <v>8.7291666666678175E-2</v>
          </cell>
          <cell r="C7543">
            <v>125</v>
          </cell>
        </row>
        <row r="7544">
          <cell r="B7544">
            <v>8.7303240740752255E-2</v>
          </cell>
          <cell r="C7544">
            <v>125</v>
          </cell>
        </row>
        <row r="7545">
          <cell r="B7545">
            <v>8.7314814814826336E-2</v>
          </cell>
          <cell r="C7545">
            <v>125</v>
          </cell>
        </row>
        <row r="7546">
          <cell r="B7546">
            <v>8.7326388888900416E-2</v>
          </cell>
          <cell r="C7546">
            <v>125</v>
          </cell>
        </row>
        <row r="7547">
          <cell r="B7547">
            <v>8.7337962962974497E-2</v>
          </cell>
          <cell r="C7547">
            <v>125</v>
          </cell>
        </row>
        <row r="7548">
          <cell r="B7548">
            <v>8.7349537037048577E-2</v>
          </cell>
          <cell r="C7548">
            <v>125</v>
          </cell>
        </row>
        <row r="7549">
          <cell r="B7549">
            <v>8.7361111111122658E-2</v>
          </cell>
          <cell r="C7549">
            <v>125</v>
          </cell>
        </row>
        <row r="7550">
          <cell r="B7550">
            <v>8.7372685185196738E-2</v>
          </cell>
          <cell r="C7550">
            <v>125</v>
          </cell>
        </row>
        <row r="7551">
          <cell r="B7551">
            <v>8.7384259259270819E-2</v>
          </cell>
          <cell r="C7551">
            <v>125</v>
          </cell>
        </row>
        <row r="7552">
          <cell r="B7552">
            <v>8.7395833333344899E-2</v>
          </cell>
          <cell r="C7552">
            <v>125</v>
          </cell>
        </row>
        <row r="7553">
          <cell r="B7553">
            <v>8.740740740741898E-2</v>
          </cell>
          <cell r="C7553">
            <v>125</v>
          </cell>
        </row>
        <row r="7554">
          <cell r="B7554">
            <v>8.741898148149306E-2</v>
          </cell>
          <cell r="C7554">
            <v>125</v>
          </cell>
        </row>
        <row r="7555">
          <cell r="B7555">
            <v>8.7430555555567141E-2</v>
          </cell>
          <cell r="C7555">
            <v>125</v>
          </cell>
        </row>
        <row r="7556">
          <cell r="B7556">
            <v>8.7442129629641221E-2</v>
          </cell>
          <cell r="C7556">
            <v>125</v>
          </cell>
        </row>
        <row r="7557">
          <cell r="B7557">
            <v>8.7453703703715302E-2</v>
          </cell>
          <cell r="C7557">
            <v>125</v>
          </cell>
        </row>
        <row r="7558">
          <cell r="B7558">
            <v>8.7465277777789383E-2</v>
          </cell>
          <cell r="C7558">
            <v>125</v>
          </cell>
        </row>
        <row r="7559">
          <cell r="B7559">
            <v>8.7476851851863463E-2</v>
          </cell>
          <cell r="C7559">
            <v>125</v>
          </cell>
        </row>
        <row r="7560">
          <cell r="B7560">
            <v>8.7488425925937544E-2</v>
          </cell>
          <cell r="C7560">
            <v>125</v>
          </cell>
        </row>
        <row r="7561">
          <cell r="B7561">
            <v>8.7500000000011624E-2</v>
          </cell>
          <cell r="C7561">
            <v>126</v>
          </cell>
        </row>
        <row r="7562">
          <cell r="B7562">
            <v>8.7511574074085705E-2</v>
          </cell>
          <cell r="C7562">
            <v>126</v>
          </cell>
        </row>
        <row r="7563">
          <cell r="B7563">
            <v>8.7523148148159785E-2</v>
          </cell>
          <cell r="C7563">
            <v>126</v>
          </cell>
        </row>
        <row r="7564">
          <cell r="B7564">
            <v>8.7534722222233866E-2</v>
          </cell>
          <cell r="C7564">
            <v>126</v>
          </cell>
        </row>
        <row r="7565">
          <cell r="B7565">
            <v>8.7546296296307946E-2</v>
          </cell>
          <cell r="C7565">
            <v>126</v>
          </cell>
        </row>
        <row r="7566">
          <cell r="B7566">
            <v>8.7557870370382027E-2</v>
          </cell>
          <cell r="C7566">
            <v>126</v>
          </cell>
        </row>
        <row r="7567">
          <cell r="B7567">
            <v>8.7569444444456107E-2</v>
          </cell>
          <cell r="C7567">
            <v>126</v>
          </cell>
        </row>
        <row r="7568">
          <cell r="B7568">
            <v>8.7581018518530188E-2</v>
          </cell>
          <cell r="C7568">
            <v>126</v>
          </cell>
        </row>
        <row r="7569">
          <cell r="B7569">
            <v>8.7592592592604268E-2</v>
          </cell>
          <cell r="C7569">
            <v>126</v>
          </cell>
        </row>
        <row r="7570">
          <cell r="B7570">
            <v>8.7604166666678349E-2</v>
          </cell>
          <cell r="C7570">
            <v>126</v>
          </cell>
        </row>
        <row r="7571">
          <cell r="B7571">
            <v>8.7615740740752429E-2</v>
          </cell>
          <cell r="C7571">
            <v>126</v>
          </cell>
        </row>
        <row r="7572">
          <cell r="B7572">
            <v>8.762731481482651E-2</v>
          </cell>
          <cell r="C7572">
            <v>126</v>
          </cell>
        </row>
        <row r="7573">
          <cell r="B7573">
            <v>8.763888888890059E-2</v>
          </cell>
          <cell r="C7573">
            <v>126</v>
          </cell>
        </row>
        <row r="7574">
          <cell r="B7574">
            <v>8.7650462962974671E-2</v>
          </cell>
          <cell r="C7574">
            <v>126</v>
          </cell>
        </row>
        <row r="7575">
          <cell r="B7575">
            <v>8.7662037037048751E-2</v>
          </cell>
          <cell r="C7575">
            <v>126</v>
          </cell>
        </row>
        <row r="7576">
          <cell r="B7576">
            <v>8.7673611111122832E-2</v>
          </cell>
          <cell r="C7576">
            <v>126</v>
          </cell>
        </row>
        <row r="7577">
          <cell r="B7577">
            <v>8.7685185185196912E-2</v>
          </cell>
          <cell r="C7577">
            <v>126</v>
          </cell>
        </row>
        <row r="7578">
          <cell r="B7578">
            <v>8.7696759259270993E-2</v>
          </cell>
          <cell r="C7578">
            <v>126</v>
          </cell>
        </row>
        <row r="7579">
          <cell r="B7579">
            <v>8.7708333333345073E-2</v>
          </cell>
          <cell r="C7579">
            <v>126</v>
          </cell>
        </row>
        <row r="7580">
          <cell r="B7580">
            <v>8.7719907407419154E-2</v>
          </cell>
          <cell r="C7580">
            <v>126</v>
          </cell>
        </row>
        <row r="7581">
          <cell r="B7581">
            <v>8.7731481481493234E-2</v>
          </cell>
          <cell r="C7581">
            <v>126</v>
          </cell>
        </row>
        <row r="7582">
          <cell r="B7582">
            <v>8.7743055555567315E-2</v>
          </cell>
          <cell r="C7582">
            <v>126</v>
          </cell>
        </row>
        <row r="7583">
          <cell r="B7583">
            <v>8.7754629629641395E-2</v>
          </cell>
          <cell r="C7583">
            <v>126</v>
          </cell>
        </row>
        <row r="7584">
          <cell r="B7584">
            <v>8.7766203703715476E-2</v>
          </cell>
          <cell r="C7584">
            <v>126</v>
          </cell>
        </row>
        <row r="7585">
          <cell r="B7585">
            <v>8.7777777777789556E-2</v>
          </cell>
          <cell r="C7585">
            <v>126</v>
          </cell>
        </row>
        <row r="7586">
          <cell r="B7586">
            <v>8.7789351851863637E-2</v>
          </cell>
          <cell r="C7586">
            <v>126</v>
          </cell>
        </row>
        <row r="7587">
          <cell r="B7587">
            <v>8.7800925925937717E-2</v>
          </cell>
          <cell r="C7587">
            <v>126</v>
          </cell>
        </row>
        <row r="7588">
          <cell r="B7588">
            <v>8.7812500000011798E-2</v>
          </cell>
          <cell r="C7588">
            <v>126</v>
          </cell>
        </row>
        <row r="7589">
          <cell r="B7589">
            <v>8.7824074074085878E-2</v>
          </cell>
          <cell r="C7589">
            <v>126</v>
          </cell>
        </row>
        <row r="7590">
          <cell r="B7590">
            <v>8.7835648148159959E-2</v>
          </cell>
          <cell r="C7590">
            <v>126</v>
          </cell>
        </row>
        <row r="7591">
          <cell r="B7591">
            <v>8.7847222222234039E-2</v>
          </cell>
          <cell r="C7591">
            <v>126</v>
          </cell>
        </row>
        <row r="7592">
          <cell r="B7592">
            <v>8.785879629630812E-2</v>
          </cell>
          <cell r="C7592">
            <v>126</v>
          </cell>
        </row>
        <row r="7593">
          <cell r="B7593">
            <v>8.78703703703822E-2</v>
          </cell>
          <cell r="C7593">
            <v>126</v>
          </cell>
        </row>
        <row r="7594">
          <cell r="B7594">
            <v>8.7881944444456281E-2</v>
          </cell>
          <cell r="C7594">
            <v>126</v>
          </cell>
        </row>
        <row r="7595">
          <cell r="B7595">
            <v>8.7893518518530361E-2</v>
          </cell>
          <cell r="C7595">
            <v>126</v>
          </cell>
        </row>
        <row r="7596">
          <cell r="B7596">
            <v>8.7905092592604442E-2</v>
          </cell>
          <cell r="C7596">
            <v>126</v>
          </cell>
        </row>
        <row r="7597">
          <cell r="B7597">
            <v>8.7916666666678522E-2</v>
          </cell>
          <cell r="C7597">
            <v>126</v>
          </cell>
        </row>
        <row r="7598">
          <cell r="B7598">
            <v>8.7928240740752603E-2</v>
          </cell>
          <cell r="C7598">
            <v>126</v>
          </cell>
        </row>
        <row r="7599">
          <cell r="B7599">
            <v>8.7939814814826683E-2</v>
          </cell>
          <cell r="C7599">
            <v>126</v>
          </cell>
        </row>
        <row r="7600">
          <cell r="B7600">
            <v>8.7951388888900764E-2</v>
          </cell>
          <cell r="C7600">
            <v>126</v>
          </cell>
        </row>
        <row r="7601">
          <cell r="B7601">
            <v>8.7962962962974844E-2</v>
          </cell>
          <cell r="C7601">
            <v>126</v>
          </cell>
        </row>
        <row r="7602">
          <cell r="B7602">
            <v>8.7974537037048925E-2</v>
          </cell>
          <cell r="C7602">
            <v>126</v>
          </cell>
        </row>
        <row r="7603">
          <cell r="B7603">
            <v>8.7986111111123005E-2</v>
          </cell>
          <cell r="C7603">
            <v>126</v>
          </cell>
        </row>
        <row r="7604">
          <cell r="B7604">
            <v>8.7997685185197086E-2</v>
          </cell>
          <cell r="C7604">
            <v>126</v>
          </cell>
        </row>
        <row r="7605">
          <cell r="B7605">
            <v>8.8009259259271166E-2</v>
          </cell>
          <cell r="C7605">
            <v>126</v>
          </cell>
        </row>
        <row r="7606">
          <cell r="B7606">
            <v>8.8020833333345247E-2</v>
          </cell>
          <cell r="C7606">
            <v>126</v>
          </cell>
        </row>
        <row r="7607">
          <cell r="B7607">
            <v>8.8032407407419327E-2</v>
          </cell>
          <cell r="C7607">
            <v>126</v>
          </cell>
        </row>
        <row r="7608">
          <cell r="B7608">
            <v>8.8043981481493408E-2</v>
          </cell>
          <cell r="C7608">
            <v>126</v>
          </cell>
        </row>
        <row r="7609">
          <cell r="B7609">
            <v>8.8055555555567488E-2</v>
          </cell>
          <cell r="C7609">
            <v>126</v>
          </cell>
        </row>
        <row r="7610">
          <cell r="B7610">
            <v>8.8067129629641569E-2</v>
          </cell>
          <cell r="C7610">
            <v>126</v>
          </cell>
        </row>
        <row r="7611">
          <cell r="B7611">
            <v>8.8078703703715649E-2</v>
          </cell>
          <cell r="C7611">
            <v>126</v>
          </cell>
        </row>
        <row r="7612">
          <cell r="B7612">
            <v>8.809027777778973E-2</v>
          </cell>
          <cell r="C7612">
            <v>126</v>
          </cell>
        </row>
        <row r="7613">
          <cell r="B7613">
            <v>8.8101851851863811E-2</v>
          </cell>
          <cell r="C7613">
            <v>126</v>
          </cell>
        </row>
        <row r="7614">
          <cell r="B7614">
            <v>8.8113425925937891E-2</v>
          </cell>
          <cell r="C7614">
            <v>126</v>
          </cell>
        </row>
        <row r="7615">
          <cell r="B7615">
            <v>8.8125000000011972E-2</v>
          </cell>
          <cell r="C7615">
            <v>126</v>
          </cell>
        </row>
        <row r="7616">
          <cell r="B7616">
            <v>8.8136574074086052E-2</v>
          </cell>
          <cell r="C7616">
            <v>126</v>
          </cell>
        </row>
        <row r="7617">
          <cell r="B7617">
            <v>8.8148148148160133E-2</v>
          </cell>
          <cell r="C7617">
            <v>126</v>
          </cell>
        </row>
        <row r="7618">
          <cell r="B7618">
            <v>8.8159722222234213E-2</v>
          </cell>
          <cell r="C7618">
            <v>126</v>
          </cell>
        </row>
        <row r="7619">
          <cell r="B7619">
            <v>8.8171296296308294E-2</v>
          </cell>
          <cell r="C7619">
            <v>126</v>
          </cell>
        </row>
        <row r="7620">
          <cell r="B7620">
            <v>8.8182870370382374E-2</v>
          </cell>
          <cell r="C7620">
            <v>126</v>
          </cell>
        </row>
        <row r="7621">
          <cell r="B7621">
            <v>8.8194444444456455E-2</v>
          </cell>
          <cell r="C7621">
            <v>127</v>
          </cell>
        </row>
        <row r="7622">
          <cell r="B7622">
            <v>8.8206018518530535E-2</v>
          </cell>
          <cell r="C7622">
            <v>127</v>
          </cell>
        </row>
        <row r="7623">
          <cell r="B7623">
            <v>8.8217592592604616E-2</v>
          </cell>
          <cell r="C7623">
            <v>127</v>
          </cell>
        </row>
        <row r="7624">
          <cell r="B7624">
            <v>8.8229166666678696E-2</v>
          </cell>
          <cell r="C7624">
            <v>127</v>
          </cell>
        </row>
        <row r="7625">
          <cell r="B7625">
            <v>8.8240740740752777E-2</v>
          </cell>
          <cell r="C7625">
            <v>127</v>
          </cell>
        </row>
        <row r="7626">
          <cell r="B7626">
            <v>8.8252314814826857E-2</v>
          </cell>
          <cell r="C7626">
            <v>127</v>
          </cell>
        </row>
        <row r="7627">
          <cell r="B7627">
            <v>8.8263888888900938E-2</v>
          </cell>
          <cell r="C7627">
            <v>127</v>
          </cell>
        </row>
        <row r="7628">
          <cell r="B7628">
            <v>8.8275462962975018E-2</v>
          </cell>
          <cell r="C7628">
            <v>127</v>
          </cell>
        </row>
        <row r="7629">
          <cell r="B7629">
            <v>8.8287037037049099E-2</v>
          </cell>
          <cell r="C7629">
            <v>127</v>
          </cell>
        </row>
        <row r="7630">
          <cell r="B7630">
            <v>8.8298611111123179E-2</v>
          </cell>
          <cell r="C7630">
            <v>127</v>
          </cell>
        </row>
        <row r="7631">
          <cell r="B7631">
            <v>8.831018518519726E-2</v>
          </cell>
          <cell r="C7631">
            <v>127</v>
          </cell>
        </row>
        <row r="7632">
          <cell r="B7632">
            <v>8.832175925927134E-2</v>
          </cell>
          <cell r="C7632">
            <v>127</v>
          </cell>
        </row>
        <row r="7633">
          <cell r="B7633">
            <v>8.8333333333345421E-2</v>
          </cell>
          <cell r="C7633">
            <v>127</v>
          </cell>
        </row>
        <row r="7634">
          <cell r="B7634">
            <v>8.8344907407419501E-2</v>
          </cell>
          <cell r="C7634">
            <v>127</v>
          </cell>
        </row>
        <row r="7635">
          <cell r="B7635">
            <v>8.8356481481493582E-2</v>
          </cell>
          <cell r="C7635">
            <v>127</v>
          </cell>
        </row>
        <row r="7636">
          <cell r="B7636">
            <v>8.8368055555567662E-2</v>
          </cell>
          <cell r="C7636">
            <v>127</v>
          </cell>
        </row>
        <row r="7637">
          <cell r="B7637">
            <v>8.8379629629641743E-2</v>
          </cell>
          <cell r="C7637">
            <v>127</v>
          </cell>
        </row>
        <row r="7638">
          <cell r="B7638">
            <v>8.8391203703715823E-2</v>
          </cell>
          <cell r="C7638">
            <v>127</v>
          </cell>
        </row>
        <row r="7639">
          <cell r="B7639">
            <v>8.8402777777789904E-2</v>
          </cell>
          <cell r="C7639">
            <v>127</v>
          </cell>
        </row>
        <row r="7640">
          <cell r="B7640">
            <v>8.8414351851863984E-2</v>
          </cell>
          <cell r="C7640">
            <v>127</v>
          </cell>
        </row>
        <row r="7641">
          <cell r="B7641">
            <v>8.8425925925938065E-2</v>
          </cell>
          <cell r="C7641">
            <v>127</v>
          </cell>
        </row>
        <row r="7642">
          <cell r="B7642">
            <v>8.8437500000012145E-2</v>
          </cell>
          <cell r="C7642">
            <v>127</v>
          </cell>
        </row>
        <row r="7643">
          <cell r="B7643">
            <v>8.8449074074086226E-2</v>
          </cell>
          <cell r="C7643">
            <v>127</v>
          </cell>
        </row>
        <row r="7644">
          <cell r="B7644">
            <v>8.8460648148160306E-2</v>
          </cell>
          <cell r="C7644">
            <v>127</v>
          </cell>
        </row>
        <row r="7645">
          <cell r="B7645">
            <v>8.8472222222234387E-2</v>
          </cell>
          <cell r="C7645">
            <v>127</v>
          </cell>
        </row>
        <row r="7646">
          <cell r="B7646">
            <v>8.8483796296308467E-2</v>
          </cell>
          <cell r="C7646">
            <v>127</v>
          </cell>
        </row>
        <row r="7647">
          <cell r="B7647">
            <v>8.8495370370382548E-2</v>
          </cell>
          <cell r="C7647">
            <v>127</v>
          </cell>
        </row>
        <row r="7648">
          <cell r="B7648">
            <v>8.8506944444456628E-2</v>
          </cell>
          <cell r="C7648">
            <v>127</v>
          </cell>
        </row>
        <row r="7649">
          <cell r="B7649">
            <v>8.8518518518530709E-2</v>
          </cell>
          <cell r="C7649">
            <v>127</v>
          </cell>
        </row>
        <row r="7650">
          <cell r="B7650">
            <v>8.8530092592604789E-2</v>
          </cell>
          <cell r="C7650">
            <v>127</v>
          </cell>
        </row>
        <row r="7651">
          <cell r="B7651">
            <v>8.854166666667887E-2</v>
          </cell>
          <cell r="C7651">
            <v>127</v>
          </cell>
        </row>
        <row r="7652">
          <cell r="B7652">
            <v>8.855324074075295E-2</v>
          </cell>
          <cell r="C7652">
            <v>127</v>
          </cell>
        </row>
        <row r="7653">
          <cell r="B7653">
            <v>8.8564814814827031E-2</v>
          </cell>
          <cell r="C7653">
            <v>127</v>
          </cell>
        </row>
        <row r="7654">
          <cell r="B7654">
            <v>8.8576388888901111E-2</v>
          </cell>
          <cell r="C7654">
            <v>127</v>
          </cell>
        </row>
        <row r="7655">
          <cell r="B7655">
            <v>8.8587962962975192E-2</v>
          </cell>
          <cell r="C7655">
            <v>127</v>
          </cell>
        </row>
        <row r="7656">
          <cell r="B7656">
            <v>8.8599537037049272E-2</v>
          </cell>
          <cell r="C7656">
            <v>127</v>
          </cell>
        </row>
        <row r="7657">
          <cell r="B7657">
            <v>8.8611111111123353E-2</v>
          </cell>
          <cell r="C7657">
            <v>127</v>
          </cell>
        </row>
        <row r="7658">
          <cell r="B7658">
            <v>8.8622685185197433E-2</v>
          </cell>
          <cell r="C7658">
            <v>127</v>
          </cell>
        </row>
        <row r="7659">
          <cell r="B7659">
            <v>8.8634259259271514E-2</v>
          </cell>
          <cell r="C7659">
            <v>127</v>
          </cell>
        </row>
        <row r="7660">
          <cell r="B7660">
            <v>8.8645833333345594E-2</v>
          </cell>
          <cell r="C7660">
            <v>127</v>
          </cell>
        </row>
        <row r="7661">
          <cell r="B7661">
            <v>8.8657407407419675E-2</v>
          </cell>
          <cell r="C7661">
            <v>127</v>
          </cell>
        </row>
        <row r="7662">
          <cell r="B7662">
            <v>8.8668981481493755E-2</v>
          </cell>
          <cell r="C7662">
            <v>127</v>
          </cell>
        </row>
        <row r="7663">
          <cell r="B7663">
            <v>8.8680555555567836E-2</v>
          </cell>
          <cell r="C7663">
            <v>127</v>
          </cell>
        </row>
        <row r="7664">
          <cell r="B7664">
            <v>8.8692129629641916E-2</v>
          </cell>
          <cell r="C7664">
            <v>127</v>
          </cell>
        </row>
        <row r="7665">
          <cell r="B7665">
            <v>8.8703703703715997E-2</v>
          </cell>
          <cell r="C7665">
            <v>127</v>
          </cell>
        </row>
        <row r="7666">
          <cell r="B7666">
            <v>8.8715277777790078E-2</v>
          </cell>
          <cell r="C7666">
            <v>127</v>
          </cell>
        </row>
        <row r="7667">
          <cell r="B7667">
            <v>8.8726851851864158E-2</v>
          </cell>
          <cell r="C7667">
            <v>127</v>
          </cell>
        </row>
        <row r="7668">
          <cell r="B7668">
            <v>8.8738425925938239E-2</v>
          </cell>
          <cell r="C7668">
            <v>127</v>
          </cell>
        </row>
        <row r="7669">
          <cell r="B7669">
            <v>8.8750000000012319E-2</v>
          </cell>
          <cell r="C7669">
            <v>127</v>
          </cell>
        </row>
        <row r="7670">
          <cell r="B7670">
            <v>8.87615740740864E-2</v>
          </cell>
          <cell r="C7670">
            <v>127</v>
          </cell>
        </row>
        <row r="7671">
          <cell r="B7671">
            <v>8.877314814816048E-2</v>
          </cell>
          <cell r="C7671">
            <v>127</v>
          </cell>
        </row>
        <row r="7672">
          <cell r="B7672">
            <v>8.8784722222234561E-2</v>
          </cell>
          <cell r="C7672">
            <v>127</v>
          </cell>
        </row>
        <row r="7673">
          <cell r="B7673">
            <v>8.8796296296308641E-2</v>
          </cell>
          <cell r="C7673">
            <v>127</v>
          </cell>
        </row>
        <row r="7674">
          <cell r="B7674">
            <v>8.8807870370382722E-2</v>
          </cell>
          <cell r="C7674">
            <v>127</v>
          </cell>
        </row>
        <row r="7675">
          <cell r="B7675">
            <v>8.8819444444456802E-2</v>
          </cell>
          <cell r="C7675">
            <v>127</v>
          </cell>
        </row>
        <row r="7676">
          <cell r="B7676">
            <v>8.8831018518530883E-2</v>
          </cell>
          <cell r="C7676">
            <v>127</v>
          </cell>
        </row>
        <row r="7677">
          <cell r="B7677">
            <v>8.8842592592604963E-2</v>
          </cell>
          <cell r="C7677">
            <v>127</v>
          </cell>
        </row>
        <row r="7678">
          <cell r="B7678">
            <v>8.8854166666679044E-2</v>
          </cell>
          <cell r="C7678">
            <v>127</v>
          </cell>
        </row>
        <row r="7679">
          <cell r="B7679">
            <v>8.8865740740753124E-2</v>
          </cell>
          <cell r="C7679">
            <v>127</v>
          </cell>
        </row>
        <row r="7680">
          <cell r="B7680">
            <v>8.8877314814827205E-2</v>
          </cell>
          <cell r="C7680">
            <v>127</v>
          </cell>
        </row>
        <row r="7681">
          <cell r="B7681">
            <v>8.8888888888901285E-2</v>
          </cell>
          <cell r="C7681">
            <v>128</v>
          </cell>
        </row>
        <row r="7682">
          <cell r="B7682">
            <v>8.8900462962975366E-2</v>
          </cell>
          <cell r="C7682">
            <v>128</v>
          </cell>
        </row>
        <row r="7683">
          <cell r="B7683">
            <v>8.8912037037049446E-2</v>
          </cell>
          <cell r="C7683">
            <v>128</v>
          </cell>
        </row>
        <row r="7684">
          <cell r="B7684">
            <v>8.8923611111123527E-2</v>
          </cell>
          <cell r="C7684">
            <v>128</v>
          </cell>
        </row>
        <row r="7685">
          <cell r="B7685">
            <v>8.8935185185197607E-2</v>
          </cell>
          <cell r="C7685">
            <v>128</v>
          </cell>
        </row>
        <row r="7686">
          <cell r="B7686">
            <v>8.8946759259271688E-2</v>
          </cell>
          <cell r="C7686">
            <v>128</v>
          </cell>
        </row>
        <row r="7687">
          <cell r="B7687">
            <v>8.8958333333345768E-2</v>
          </cell>
          <cell r="C7687">
            <v>128</v>
          </cell>
        </row>
        <row r="7688">
          <cell r="B7688">
            <v>8.8969907407419849E-2</v>
          </cell>
          <cell r="C7688">
            <v>128</v>
          </cell>
        </row>
        <row r="7689">
          <cell r="B7689">
            <v>8.8981481481493929E-2</v>
          </cell>
          <cell r="C7689">
            <v>128</v>
          </cell>
        </row>
        <row r="7690">
          <cell r="B7690">
            <v>8.899305555556801E-2</v>
          </cell>
          <cell r="C7690">
            <v>128</v>
          </cell>
        </row>
        <row r="7691">
          <cell r="B7691">
            <v>8.900462962964209E-2</v>
          </cell>
          <cell r="C7691">
            <v>128</v>
          </cell>
        </row>
        <row r="7692">
          <cell r="B7692">
            <v>8.9016203703716171E-2</v>
          </cell>
          <cell r="C7692">
            <v>128</v>
          </cell>
        </row>
        <row r="7693">
          <cell r="B7693">
            <v>8.9027777777790251E-2</v>
          </cell>
          <cell r="C7693">
            <v>128</v>
          </cell>
        </row>
        <row r="7694">
          <cell r="B7694">
            <v>8.9039351851864332E-2</v>
          </cell>
          <cell r="C7694">
            <v>128</v>
          </cell>
        </row>
        <row r="7695">
          <cell r="B7695">
            <v>8.9050925925938412E-2</v>
          </cell>
          <cell r="C7695">
            <v>128</v>
          </cell>
        </row>
        <row r="7696">
          <cell r="B7696">
            <v>8.9062500000012493E-2</v>
          </cell>
          <cell r="C7696">
            <v>128</v>
          </cell>
        </row>
        <row r="7697">
          <cell r="B7697">
            <v>8.9074074074086573E-2</v>
          </cell>
          <cell r="C7697">
            <v>128</v>
          </cell>
        </row>
        <row r="7698">
          <cell r="B7698">
            <v>8.9085648148160654E-2</v>
          </cell>
          <cell r="C7698">
            <v>128</v>
          </cell>
        </row>
        <row r="7699">
          <cell r="B7699">
            <v>8.9097222222234734E-2</v>
          </cell>
          <cell r="C7699">
            <v>128</v>
          </cell>
        </row>
        <row r="7700">
          <cell r="B7700">
            <v>8.9108796296308815E-2</v>
          </cell>
          <cell r="C7700">
            <v>128</v>
          </cell>
        </row>
        <row r="7701">
          <cell r="B7701">
            <v>8.9120370370382895E-2</v>
          </cell>
          <cell r="C7701">
            <v>128</v>
          </cell>
        </row>
        <row r="7702">
          <cell r="B7702">
            <v>8.9131944444456976E-2</v>
          </cell>
          <cell r="C7702">
            <v>128</v>
          </cell>
        </row>
        <row r="7703">
          <cell r="B7703">
            <v>8.9143518518531056E-2</v>
          </cell>
          <cell r="C7703">
            <v>128</v>
          </cell>
        </row>
        <row r="7704">
          <cell r="B7704">
            <v>8.9155092592605137E-2</v>
          </cell>
          <cell r="C7704">
            <v>128</v>
          </cell>
        </row>
        <row r="7705">
          <cell r="B7705">
            <v>8.9166666666679217E-2</v>
          </cell>
          <cell r="C7705">
            <v>128</v>
          </cell>
        </row>
        <row r="7706">
          <cell r="B7706">
            <v>8.9178240740753298E-2</v>
          </cell>
          <cell r="C7706">
            <v>128</v>
          </cell>
        </row>
        <row r="7707">
          <cell r="B7707">
            <v>8.9189814814827378E-2</v>
          </cell>
          <cell r="C7707">
            <v>128</v>
          </cell>
        </row>
        <row r="7708">
          <cell r="B7708">
            <v>8.9201388888901459E-2</v>
          </cell>
          <cell r="C7708">
            <v>128</v>
          </cell>
        </row>
        <row r="7709">
          <cell r="B7709">
            <v>8.9212962962975539E-2</v>
          </cell>
          <cell r="C7709">
            <v>128</v>
          </cell>
        </row>
        <row r="7710">
          <cell r="B7710">
            <v>8.922453703704962E-2</v>
          </cell>
          <cell r="C7710">
            <v>128</v>
          </cell>
        </row>
        <row r="7711">
          <cell r="B7711">
            <v>8.92361111111237E-2</v>
          </cell>
          <cell r="C7711">
            <v>128</v>
          </cell>
        </row>
        <row r="7712">
          <cell r="B7712">
            <v>8.9247685185197781E-2</v>
          </cell>
          <cell r="C7712">
            <v>128</v>
          </cell>
        </row>
        <row r="7713">
          <cell r="B7713">
            <v>8.9259259259271861E-2</v>
          </cell>
          <cell r="C7713">
            <v>128</v>
          </cell>
        </row>
        <row r="7714">
          <cell r="B7714">
            <v>8.9270833333345942E-2</v>
          </cell>
          <cell r="C7714">
            <v>128</v>
          </cell>
        </row>
        <row r="7715">
          <cell r="B7715">
            <v>8.9282407407420022E-2</v>
          </cell>
          <cell r="C7715">
            <v>128</v>
          </cell>
        </row>
        <row r="7716">
          <cell r="B7716">
            <v>8.9293981481494103E-2</v>
          </cell>
          <cell r="C7716">
            <v>128</v>
          </cell>
        </row>
        <row r="7717">
          <cell r="B7717">
            <v>8.9305555555568183E-2</v>
          </cell>
          <cell r="C7717">
            <v>128</v>
          </cell>
        </row>
        <row r="7718">
          <cell r="B7718">
            <v>8.9317129629642264E-2</v>
          </cell>
          <cell r="C7718">
            <v>128</v>
          </cell>
        </row>
        <row r="7719">
          <cell r="B7719">
            <v>8.9328703703716344E-2</v>
          </cell>
          <cell r="C7719">
            <v>128</v>
          </cell>
        </row>
        <row r="7720">
          <cell r="B7720">
            <v>8.9340277777790425E-2</v>
          </cell>
          <cell r="C7720">
            <v>128</v>
          </cell>
        </row>
        <row r="7721">
          <cell r="B7721">
            <v>8.9351851851864506E-2</v>
          </cell>
          <cell r="C7721">
            <v>128</v>
          </cell>
        </row>
        <row r="7722">
          <cell r="B7722">
            <v>8.9363425925938586E-2</v>
          </cell>
          <cell r="C7722">
            <v>128</v>
          </cell>
        </row>
        <row r="7723">
          <cell r="B7723">
            <v>8.9375000000012667E-2</v>
          </cell>
          <cell r="C7723">
            <v>128</v>
          </cell>
        </row>
        <row r="7724">
          <cell r="B7724">
            <v>8.9386574074086747E-2</v>
          </cell>
          <cell r="C7724">
            <v>128</v>
          </cell>
        </row>
        <row r="7725">
          <cell r="B7725">
            <v>8.9398148148160828E-2</v>
          </cell>
          <cell r="C7725">
            <v>128</v>
          </cell>
        </row>
        <row r="7726">
          <cell r="B7726">
            <v>8.9409722222234908E-2</v>
          </cell>
          <cell r="C7726">
            <v>128</v>
          </cell>
        </row>
        <row r="7727">
          <cell r="B7727">
            <v>8.9421296296308989E-2</v>
          </cell>
          <cell r="C7727">
            <v>128</v>
          </cell>
        </row>
        <row r="7728">
          <cell r="B7728">
            <v>8.9432870370383069E-2</v>
          </cell>
          <cell r="C7728">
            <v>128</v>
          </cell>
        </row>
        <row r="7729">
          <cell r="B7729">
            <v>8.944444444445715E-2</v>
          </cell>
          <cell r="C7729">
            <v>128</v>
          </cell>
        </row>
        <row r="7730">
          <cell r="B7730">
            <v>8.945601851853123E-2</v>
          </cell>
          <cell r="C7730">
            <v>128</v>
          </cell>
        </row>
        <row r="7731">
          <cell r="B7731">
            <v>8.9467592592605311E-2</v>
          </cell>
          <cell r="C7731">
            <v>128</v>
          </cell>
        </row>
        <row r="7732">
          <cell r="B7732">
            <v>8.9479166666679391E-2</v>
          </cell>
          <cell r="C7732">
            <v>128</v>
          </cell>
        </row>
        <row r="7733">
          <cell r="B7733">
            <v>8.9490740740753472E-2</v>
          </cell>
          <cell r="C7733">
            <v>128</v>
          </cell>
        </row>
        <row r="7734">
          <cell r="B7734">
            <v>8.9502314814827552E-2</v>
          </cell>
          <cell r="C7734">
            <v>128</v>
          </cell>
        </row>
        <row r="7735">
          <cell r="B7735">
            <v>8.9513888888901633E-2</v>
          </cell>
          <cell r="C7735">
            <v>128</v>
          </cell>
        </row>
        <row r="7736">
          <cell r="B7736">
            <v>8.9525462962975713E-2</v>
          </cell>
          <cell r="C7736">
            <v>128</v>
          </cell>
        </row>
        <row r="7737">
          <cell r="B7737">
            <v>8.9537037037049794E-2</v>
          </cell>
          <cell r="C7737">
            <v>128</v>
          </cell>
        </row>
        <row r="7738">
          <cell r="B7738">
            <v>8.9548611111123874E-2</v>
          </cell>
          <cell r="C7738">
            <v>128</v>
          </cell>
        </row>
        <row r="7739">
          <cell r="B7739">
            <v>8.9560185185197955E-2</v>
          </cell>
          <cell r="C7739">
            <v>128</v>
          </cell>
        </row>
        <row r="7740">
          <cell r="B7740">
            <v>8.9571759259272035E-2</v>
          </cell>
          <cell r="C7740">
            <v>128</v>
          </cell>
        </row>
        <row r="7741">
          <cell r="B7741">
            <v>8.9583333333346116E-2</v>
          </cell>
          <cell r="C7741">
            <v>129</v>
          </cell>
        </row>
        <row r="7742">
          <cell r="B7742">
            <v>8.9594907407420196E-2</v>
          </cell>
          <cell r="C7742">
            <v>129</v>
          </cell>
        </row>
        <row r="7743">
          <cell r="B7743">
            <v>8.9606481481494277E-2</v>
          </cell>
          <cell r="C7743">
            <v>129</v>
          </cell>
        </row>
        <row r="7744">
          <cell r="B7744">
            <v>8.9618055555568357E-2</v>
          </cell>
          <cell r="C7744">
            <v>129</v>
          </cell>
        </row>
        <row r="7745">
          <cell r="B7745">
            <v>8.9629629629642438E-2</v>
          </cell>
          <cell r="C7745">
            <v>129</v>
          </cell>
        </row>
        <row r="7746">
          <cell r="B7746">
            <v>8.9641203703716518E-2</v>
          </cell>
          <cell r="C7746">
            <v>129</v>
          </cell>
        </row>
        <row r="7747">
          <cell r="B7747">
            <v>8.9652777777790599E-2</v>
          </cell>
          <cell r="C7747">
            <v>129</v>
          </cell>
        </row>
        <row r="7748">
          <cell r="B7748">
            <v>8.9664351851864679E-2</v>
          </cell>
          <cell r="C7748">
            <v>129</v>
          </cell>
        </row>
        <row r="7749">
          <cell r="B7749">
            <v>8.967592592593876E-2</v>
          </cell>
          <cell r="C7749">
            <v>129</v>
          </cell>
        </row>
        <row r="7750">
          <cell r="B7750">
            <v>8.968750000001284E-2</v>
          </cell>
          <cell r="C7750">
            <v>129</v>
          </cell>
        </row>
        <row r="7751">
          <cell r="B7751">
            <v>8.9699074074086921E-2</v>
          </cell>
          <cell r="C7751">
            <v>129</v>
          </cell>
        </row>
        <row r="7752">
          <cell r="B7752">
            <v>8.9710648148161001E-2</v>
          </cell>
          <cell r="C7752">
            <v>129</v>
          </cell>
        </row>
        <row r="7753">
          <cell r="B7753">
            <v>8.9722222222235082E-2</v>
          </cell>
          <cell r="C7753">
            <v>129</v>
          </cell>
        </row>
        <row r="7754">
          <cell r="B7754">
            <v>8.9733796296309162E-2</v>
          </cell>
          <cell r="C7754">
            <v>129</v>
          </cell>
        </row>
        <row r="7755">
          <cell r="B7755">
            <v>8.9745370370383243E-2</v>
          </cell>
          <cell r="C7755">
            <v>129</v>
          </cell>
        </row>
        <row r="7756">
          <cell r="B7756">
            <v>8.9756944444457323E-2</v>
          </cell>
          <cell r="C7756">
            <v>129</v>
          </cell>
        </row>
        <row r="7757">
          <cell r="B7757">
            <v>8.9768518518531404E-2</v>
          </cell>
          <cell r="C7757">
            <v>129</v>
          </cell>
        </row>
        <row r="7758">
          <cell r="B7758">
            <v>8.9780092592605484E-2</v>
          </cell>
          <cell r="C7758">
            <v>129</v>
          </cell>
        </row>
        <row r="7759">
          <cell r="B7759">
            <v>8.9791666666679565E-2</v>
          </cell>
          <cell r="C7759">
            <v>129</v>
          </cell>
        </row>
        <row r="7760">
          <cell r="B7760">
            <v>8.9803240740753645E-2</v>
          </cell>
          <cell r="C7760">
            <v>129</v>
          </cell>
        </row>
        <row r="7761">
          <cell r="B7761">
            <v>8.9814814814827726E-2</v>
          </cell>
          <cell r="C7761">
            <v>129</v>
          </cell>
        </row>
        <row r="7762">
          <cell r="B7762">
            <v>8.9826388888901806E-2</v>
          </cell>
          <cell r="C7762">
            <v>129</v>
          </cell>
        </row>
        <row r="7763">
          <cell r="B7763">
            <v>8.9837962962975887E-2</v>
          </cell>
          <cell r="C7763">
            <v>129</v>
          </cell>
        </row>
        <row r="7764">
          <cell r="B7764">
            <v>8.9849537037049967E-2</v>
          </cell>
          <cell r="C7764">
            <v>129</v>
          </cell>
        </row>
        <row r="7765">
          <cell r="B7765">
            <v>8.9861111111124048E-2</v>
          </cell>
          <cell r="C7765">
            <v>129</v>
          </cell>
        </row>
        <row r="7766">
          <cell r="B7766">
            <v>8.9872685185198128E-2</v>
          </cell>
          <cell r="C7766">
            <v>129</v>
          </cell>
        </row>
        <row r="7767">
          <cell r="B7767">
            <v>8.9884259259272209E-2</v>
          </cell>
          <cell r="C7767">
            <v>129</v>
          </cell>
        </row>
        <row r="7768">
          <cell r="B7768">
            <v>8.9895833333346289E-2</v>
          </cell>
          <cell r="C7768">
            <v>129</v>
          </cell>
        </row>
        <row r="7769">
          <cell r="B7769">
            <v>8.990740740742037E-2</v>
          </cell>
          <cell r="C7769">
            <v>129</v>
          </cell>
        </row>
        <row r="7770">
          <cell r="B7770">
            <v>8.991898148149445E-2</v>
          </cell>
          <cell r="C7770">
            <v>129</v>
          </cell>
        </row>
        <row r="7771">
          <cell r="B7771">
            <v>8.9930555555568531E-2</v>
          </cell>
          <cell r="C7771">
            <v>129</v>
          </cell>
        </row>
        <row r="7772">
          <cell r="B7772">
            <v>8.9942129629642611E-2</v>
          </cell>
          <cell r="C7772">
            <v>129</v>
          </cell>
        </row>
        <row r="7773">
          <cell r="B7773">
            <v>8.9953703703716692E-2</v>
          </cell>
          <cell r="C7773">
            <v>129</v>
          </cell>
        </row>
        <row r="7774">
          <cell r="B7774">
            <v>8.9965277777790773E-2</v>
          </cell>
          <cell r="C7774">
            <v>129</v>
          </cell>
        </row>
        <row r="7775">
          <cell r="B7775">
            <v>8.9976851851864853E-2</v>
          </cell>
          <cell r="C7775">
            <v>129</v>
          </cell>
        </row>
        <row r="7776">
          <cell r="B7776">
            <v>8.9988425925938934E-2</v>
          </cell>
          <cell r="C7776">
            <v>129</v>
          </cell>
        </row>
        <row r="7777">
          <cell r="B7777">
            <v>9.0000000000013014E-2</v>
          </cell>
          <cell r="C7777">
            <v>129</v>
          </cell>
        </row>
        <row r="7778">
          <cell r="B7778">
            <v>9.0011574074087095E-2</v>
          </cell>
          <cell r="C7778">
            <v>129</v>
          </cell>
        </row>
        <row r="7779">
          <cell r="B7779">
            <v>9.0023148148161175E-2</v>
          </cell>
          <cell r="C7779">
            <v>129</v>
          </cell>
        </row>
        <row r="7780">
          <cell r="B7780">
            <v>9.0034722222235256E-2</v>
          </cell>
          <cell r="C7780">
            <v>129</v>
          </cell>
        </row>
        <row r="7781">
          <cell r="B7781">
            <v>9.0046296296309336E-2</v>
          </cell>
          <cell r="C7781">
            <v>129</v>
          </cell>
        </row>
        <row r="7782">
          <cell r="B7782">
            <v>9.0057870370383417E-2</v>
          </cell>
          <cell r="C7782">
            <v>129</v>
          </cell>
        </row>
        <row r="7783">
          <cell r="B7783">
            <v>9.0069444444457497E-2</v>
          </cell>
          <cell r="C7783">
            <v>129</v>
          </cell>
        </row>
        <row r="7784">
          <cell r="B7784">
            <v>9.0081018518531578E-2</v>
          </cell>
          <cell r="C7784">
            <v>129</v>
          </cell>
        </row>
        <row r="7785">
          <cell r="B7785">
            <v>9.0092592592605658E-2</v>
          </cell>
          <cell r="C7785">
            <v>129</v>
          </cell>
        </row>
        <row r="7786">
          <cell r="B7786">
            <v>9.0104166666679739E-2</v>
          </cell>
          <cell r="C7786">
            <v>129</v>
          </cell>
        </row>
        <row r="7787">
          <cell r="B7787">
            <v>9.0115740740753819E-2</v>
          </cell>
          <cell r="C7787">
            <v>129</v>
          </cell>
        </row>
        <row r="7788">
          <cell r="B7788">
            <v>9.01273148148279E-2</v>
          </cell>
          <cell r="C7788">
            <v>129</v>
          </cell>
        </row>
        <row r="7789">
          <cell r="B7789">
            <v>9.013888888890198E-2</v>
          </cell>
          <cell r="C7789">
            <v>129</v>
          </cell>
        </row>
        <row r="7790">
          <cell r="B7790">
            <v>9.0150462962976061E-2</v>
          </cell>
          <cell r="C7790">
            <v>129</v>
          </cell>
        </row>
        <row r="7791">
          <cell r="B7791">
            <v>9.0162037037050141E-2</v>
          </cell>
          <cell r="C7791">
            <v>129</v>
          </cell>
        </row>
        <row r="7792">
          <cell r="B7792">
            <v>9.0173611111124222E-2</v>
          </cell>
          <cell r="C7792">
            <v>129</v>
          </cell>
        </row>
        <row r="7793">
          <cell r="B7793">
            <v>9.0185185185198302E-2</v>
          </cell>
          <cell r="C7793">
            <v>129</v>
          </cell>
        </row>
        <row r="7794">
          <cell r="B7794">
            <v>9.0196759259272383E-2</v>
          </cell>
          <cell r="C7794">
            <v>129</v>
          </cell>
        </row>
        <row r="7795">
          <cell r="B7795">
            <v>9.0208333333346463E-2</v>
          </cell>
          <cell r="C7795">
            <v>129</v>
          </cell>
        </row>
        <row r="7796">
          <cell r="B7796">
            <v>9.0219907407420544E-2</v>
          </cell>
          <cell r="C7796">
            <v>129</v>
          </cell>
        </row>
        <row r="7797">
          <cell r="B7797">
            <v>9.0231481481494624E-2</v>
          </cell>
          <cell r="C7797">
            <v>129</v>
          </cell>
        </row>
        <row r="7798">
          <cell r="B7798">
            <v>9.0243055555568705E-2</v>
          </cell>
          <cell r="C7798">
            <v>129</v>
          </cell>
        </row>
        <row r="7799">
          <cell r="B7799">
            <v>9.0254629629642785E-2</v>
          </cell>
          <cell r="C7799">
            <v>129</v>
          </cell>
        </row>
        <row r="7800">
          <cell r="B7800">
            <v>9.0266203703716866E-2</v>
          </cell>
          <cell r="C7800">
            <v>129</v>
          </cell>
        </row>
        <row r="7801">
          <cell r="B7801">
            <v>9.0277777777790946E-2</v>
          </cell>
          <cell r="C7801">
            <v>130</v>
          </cell>
        </row>
        <row r="7802">
          <cell r="B7802">
            <v>9.0289351851865027E-2</v>
          </cell>
          <cell r="C7802">
            <v>130</v>
          </cell>
        </row>
        <row r="7803">
          <cell r="B7803">
            <v>9.0300925925939107E-2</v>
          </cell>
          <cell r="C7803">
            <v>130</v>
          </cell>
        </row>
        <row r="7804">
          <cell r="B7804">
            <v>9.0312500000013188E-2</v>
          </cell>
          <cell r="C7804">
            <v>130</v>
          </cell>
        </row>
        <row r="7805">
          <cell r="B7805">
            <v>9.0324074074087268E-2</v>
          </cell>
          <cell r="C7805">
            <v>130</v>
          </cell>
        </row>
        <row r="7806">
          <cell r="B7806">
            <v>9.0335648148161349E-2</v>
          </cell>
          <cell r="C7806">
            <v>130</v>
          </cell>
        </row>
        <row r="7807">
          <cell r="B7807">
            <v>9.0347222222235429E-2</v>
          </cell>
          <cell r="C7807">
            <v>130</v>
          </cell>
        </row>
        <row r="7808">
          <cell r="B7808">
            <v>9.035879629630951E-2</v>
          </cell>
          <cell r="C7808">
            <v>130</v>
          </cell>
        </row>
        <row r="7809">
          <cell r="B7809">
            <v>9.037037037038359E-2</v>
          </cell>
          <cell r="C7809">
            <v>130</v>
          </cell>
        </row>
        <row r="7810">
          <cell r="B7810">
            <v>9.0381944444457671E-2</v>
          </cell>
          <cell r="C7810">
            <v>130</v>
          </cell>
        </row>
        <row r="7811">
          <cell r="B7811">
            <v>9.0393518518531751E-2</v>
          </cell>
          <cell r="C7811">
            <v>130</v>
          </cell>
        </row>
        <row r="7812">
          <cell r="B7812">
            <v>9.0405092592605832E-2</v>
          </cell>
          <cell r="C7812">
            <v>130</v>
          </cell>
        </row>
        <row r="7813">
          <cell r="B7813">
            <v>9.0416666666679912E-2</v>
          </cell>
          <cell r="C7813">
            <v>130</v>
          </cell>
        </row>
        <row r="7814">
          <cell r="B7814">
            <v>9.0428240740753993E-2</v>
          </cell>
          <cell r="C7814">
            <v>130</v>
          </cell>
        </row>
        <row r="7815">
          <cell r="B7815">
            <v>9.0439814814828073E-2</v>
          </cell>
          <cell r="C7815">
            <v>130</v>
          </cell>
        </row>
        <row r="7816">
          <cell r="B7816">
            <v>9.0451388888902154E-2</v>
          </cell>
          <cell r="C7816">
            <v>130</v>
          </cell>
        </row>
        <row r="7817">
          <cell r="B7817">
            <v>9.0462962962976234E-2</v>
          </cell>
          <cell r="C7817">
            <v>130</v>
          </cell>
        </row>
        <row r="7818">
          <cell r="B7818">
            <v>9.0474537037050315E-2</v>
          </cell>
          <cell r="C7818">
            <v>130</v>
          </cell>
        </row>
        <row r="7819">
          <cell r="B7819">
            <v>9.0486111111124395E-2</v>
          </cell>
          <cell r="C7819">
            <v>130</v>
          </cell>
        </row>
        <row r="7820">
          <cell r="B7820">
            <v>9.0497685185198476E-2</v>
          </cell>
          <cell r="C7820">
            <v>130</v>
          </cell>
        </row>
        <row r="7821">
          <cell r="B7821">
            <v>9.0509259259272556E-2</v>
          </cell>
          <cell r="C7821">
            <v>130</v>
          </cell>
        </row>
        <row r="7822">
          <cell r="B7822">
            <v>9.0520833333346637E-2</v>
          </cell>
          <cell r="C7822">
            <v>130</v>
          </cell>
        </row>
        <row r="7823">
          <cell r="B7823">
            <v>9.0532407407420717E-2</v>
          </cell>
          <cell r="C7823">
            <v>130</v>
          </cell>
        </row>
        <row r="7824">
          <cell r="B7824">
            <v>9.0543981481494798E-2</v>
          </cell>
          <cell r="C7824">
            <v>130</v>
          </cell>
        </row>
        <row r="7825">
          <cell r="B7825">
            <v>9.0555555555568878E-2</v>
          </cell>
          <cell r="C7825">
            <v>130</v>
          </cell>
        </row>
        <row r="7826">
          <cell r="B7826">
            <v>9.0567129629642959E-2</v>
          </cell>
          <cell r="C7826">
            <v>130</v>
          </cell>
        </row>
        <row r="7827">
          <cell r="B7827">
            <v>9.0578703703717039E-2</v>
          </cell>
          <cell r="C7827">
            <v>130</v>
          </cell>
        </row>
        <row r="7828">
          <cell r="B7828">
            <v>9.059027777779112E-2</v>
          </cell>
          <cell r="C7828">
            <v>130</v>
          </cell>
        </row>
        <row r="7829">
          <cell r="B7829">
            <v>9.0601851851865201E-2</v>
          </cell>
          <cell r="C7829">
            <v>130</v>
          </cell>
        </row>
        <row r="7830">
          <cell r="B7830">
            <v>9.0613425925939281E-2</v>
          </cell>
          <cell r="C7830">
            <v>130</v>
          </cell>
        </row>
        <row r="7831">
          <cell r="B7831">
            <v>9.0625000000013362E-2</v>
          </cell>
          <cell r="C7831">
            <v>130</v>
          </cell>
        </row>
        <row r="7832">
          <cell r="B7832">
            <v>9.0636574074087442E-2</v>
          </cell>
          <cell r="C7832">
            <v>130</v>
          </cell>
        </row>
        <row r="7833">
          <cell r="B7833">
            <v>9.0648148148161523E-2</v>
          </cell>
          <cell r="C7833">
            <v>130</v>
          </cell>
        </row>
        <row r="7834">
          <cell r="B7834">
            <v>9.0659722222235603E-2</v>
          </cell>
          <cell r="C7834">
            <v>130</v>
          </cell>
        </row>
        <row r="7835">
          <cell r="B7835">
            <v>9.0671296296309684E-2</v>
          </cell>
          <cell r="C7835">
            <v>130</v>
          </cell>
        </row>
        <row r="7836">
          <cell r="B7836">
            <v>9.0682870370383764E-2</v>
          </cell>
          <cell r="C7836">
            <v>130</v>
          </cell>
        </row>
        <row r="7837">
          <cell r="B7837">
            <v>9.0694444444457845E-2</v>
          </cell>
          <cell r="C7837">
            <v>130</v>
          </cell>
        </row>
        <row r="7838">
          <cell r="B7838">
            <v>9.0706018518531925E-2</v>
          </cell>
          <cell r="C7838">
            <v>130</v>
          </cell>
        </row>
        <row r="7839">
          <cell r="B7839">
            <v>9.0717592592606006E-2</v>
          </cell>
          <cell r="C7839">
            <v>130</v>
          </cell>
        </row>
        <row r="7840">
          <cell r="B7840">
            <v>9.0729166666680086E-2</v>
          </cell>
          <cell r="C7840">
            <v>130</v>
          </cell>
        </row>
        <row r="7841">
          <cell r="B7841">
            <v>9.0740740740754167E-2</v>
          </cell>
          <cell r="C7841">
            <v>130</v>
          </cell>
        </row>
        <row r="7842">
          <cell r="B7842">
            <v>9.0752314814828247E-2</v>
          </cell>
          <cell r="C7842">
            <v>130</v>
          </cell>
        </row>
        <row r="7843">
          <cell r="B7843">
            <v>9.0763888888902328E-2</v>
          </cell>
          <cell r="C7843">
            <v>130</v>
          </cell>
        </row>
        <row r="7844">
          <cell r="B7844">
            <v>9.0775462962976408E-2</v>
          </cell>
          <cell r="C7844">
            <v>130</v>
          </cell>
        </row>
        <row r="7845">
          <cell r="B7845">
            <v>9.0787037037050489E-2</v>
          </cell>
          <cell r="C7845">
            <v>130</v>
          </cell>
        </row>
        <row r="7846">
          <cell r="B7846">
            <v>9.0798611111124569E-2</v>
          </cell>
          <cell r="C7846">
            <v>130</v>
          </cell>
        </row>
        <row r="7847">
          <cell r="B7847">
            <v>9.081018518519865E-2</v>
          </cell>
          <cell r="C7847">
            <v>130</v>
          </cell>
        </row>
        <row r="7848">
          <cell r="B7848">
            <v>9.082175925927273E-2</v>
          </cell>
          <cell r="C7848">
            <v>130</v>
          </cell>
        </row>
        <row r="7849">
          <cell r="B7849">
            <v>9.0833333333346811E-2</v>
          </cell>
          <cell r="C7849">
            <v>130</v>
          </cell>
        </row>
        <row r="7850">
          <cell r="B7850">
            <v>9.0844907407420891E-2</v>
          </cell>
          <cell r="C7850">
            <v>130</v>
          </cell>
        </row>
        <row r="7851">
          <cell r="B7851">
            <v>9.0856481481494972E-2</v>
          </cell>
          <cell r="C7851">
            <v>130</v>
          </cell>
        </row>
        <row r="7852">
          <cell r="B7852">
            <v>9.0868055555569052E-2</v>
          </cell>
          <cell r="C7852">
            <v>130</v>
          </cell>
        </row>
        <row r="7853">
          <cell r="B7853">
            <v>9.0879629629643133E-2</v>
          </cell>
          <cell r="C7853">
            <v>130</v>
          </cell>
        </row>
        <row r="7854">
          <cell r="B7854">
            <v>9.0891203703717213E-2</v>
          </cell>
          <cell r="C7854">
            <v>130</v>
          </cell>
        </row>
        <row r="7855">
          <cell r="B7855">
            <v>9.0902777777791294E-2</v>
          </cell>
          <cell r="C7855">
            <v>130</v>
          </cell>
        </row>
        <row r="7856">
          <cell r="B7856">
            <v>9.0914351851865374E-2</v>
          </cell>
          <cell r="C7856">
            <v>130</v>
          </cell>
        </row>
        <row r="7857">
          <cell r="B7857">
            <v>9.0925925925939455E-2</v>
          </cell>
          <cell r="C7857">
            <v>130</v>
          </cell>
        </row>
        <row r="7858">
          <cell r="B7858">
            <v>9.0937500000013535E-2</v>
          </cell>
          <cell r="C7858">
            <v>130</v>
          </cell>
        </row>
        <row r="7859">
          <cell r="B7859">
            <v>9.0949074074087616E-2</v>
          </cell>
          <cell r="C7859">
            <v>130</v>
          </cell>
        </row>
        <row r="7860">
          <cell r="B7860">
            <v>9.0960648148161696E-2</v>
          </cell>
          <cell r="C7860">
            <v>130</v>
          </cell>
        </row>
        <row r="7861">
          <cell r="B7861">
            <v>9.0972222222235777E-2</v>
          </cell>
          <cell r="C7861">
            <v>131</v>
          </cell>
        </row>
        <row r="7862">
          <cell r="B7862">
            <v>9.0983796296309857E-2</v>
          </cell>
          <cell r="C7862">
            <v>131</v>
          </cell>
        </row>
        <row r="7863">
          <cell r="B7863">
            <v>9.0995370370383938E-2</v>
          </cell>
          <cell r="C7863">
            <v>131</v>
          </cell>
        </row>
        <row r="7864">
          <cell r="B7864">
            <v>9.1006944444458018E-2</v>
          </cell>
          <cell r="C7864">
            <v>131</v>
          </cell>
        </row>
        <row r="7865">
          <cell r="B7865">
            <v>9.1018518518532099E-2</v>
          </cell>
          <cell r="C7865">
            <v>131</v>
          </cell>
        </row>
        <row r="7866">
          <cell r="B7866">
            <v>9.1030092592606179E-2</v>
          </cell>
          <cell r="C7866">
            <v>131</v>
          </cell>
        </row>
        <row r="7867">
          <cell r="B7867">
            <v>9.104166666668026E-2</v>
          </cell>
          <cell r="C7867">
            <v>131</v>
          </cell>
        </row>
        <row r="7868">
          <cell r="B7868">
            <v>9.105324074075434E-2</v>
          </cell>
          <cell r="C7868">
            <v>131</v>
          </cell>
        </row>
        <row r="7869">
          <cell r="B7869">
            <v>9.1064814814828421E-2</v>
          </cell>
          <cell r="C7869">
            <v>131</v>
          </cell>
        </row>
        <row r="7870">
          <cell r="B7870">
            <v>9.1076388888902501E-2</v>
          </cell>
          <cell r="C7870">
            <v>131</v>
          </cell>
        </row>
        <row r="7871">
          <cell r="B7871">
            <v>9.1087962962976582E-2</v>
          </cell>
          <cell r="C7871">
            <v>131</v>
          </cell>
        </row>
        <row r="7872">
          <cell r="B7872">
            <v>9.1099537037050662E-2</v>
          </cell>
          <cell r="C7872">
            <v>131</v>
          </cell>
        </row>
        <row r="7873">
          <cell r="B7873">
            <v>9.1111111111124743E-2</v>
          </cell>
          <cell r="C7873">
            <v>131</v>
          </cell>
        </row>
        <row r="7874">
          <cell r="B7874">
            <v>9.1122685185198823E-2</v>
          </cell>
          <cell r="C7874">
            <v>131</v>
          </cell>
        </row>
        <row r="7875">
          <cell r="B7875">
            <v>9.1134259259272904E-2</v>
          </cell>
          <cell r="C7875">
            <v>131</v>
          </cell>
        </row>
        <row r="7876">
          <cell r="B7876">
            <v>9.1145833333346984E-2</v>
          </cell>
          <cell r="C7876">
            <v>131</v>
          </cell>
        </row>
        <row r="7877">
          <cell r="B7877">
            <v>9.1157407407421065E-2</v>
          </cell>
          <cell r="C7877">
            <v>131</v>
          </cell>
        </row>
        <row r="7878">
          <cell r="B7878">
            <v>9.1168981481495145E-2</v>
          </cell>
          <cell r="C7878">
            <v>131</v>
          </cell>
        </row>
        <row r="7879">
          <cell r="B7879">
            <v>9.1180555555569226E-2</v>
          </cell>
          <cell r="C7879">
            <v>131</v>
          </cell>
        </row>
        <row r="7880">
          <cell r="B7880">
            <v>9.1192129629643306E-2</v>
          </cell>
          <cell r="C7880">
            <v>131</v>
          </cell>
        </row>
        <row r="7881">
          <cell r="B7881">
            <v>9.1203703703717387E-2</v>
          </cell>
          <cell r="C7881">
            <v>131</v>
          </cell>
        </row>
        <row r="7882">
          <cell r="B7882">
            <v>9.1215277777791468E-2</v>
          </cell>
          <cell r="C7882">
            <v>131</v>
          </cell>
        </row>
        <row r="7883">
          <cell r="B7883">
            <v>9.1226851851865548E-2</v>
          </cell>
          <cell r="C7883">
            <v>131</v>
          </cell>
        </row>
        <row r="7884">
          <cell r="B7884">
            <v>9.1238425925939629E-2</v>
          </cell>
          <cell r="C7884">
            <v>131</v>
          </cell>
        </row>
        <row r="7885">
          <cell r="B7885">
            <v>9.1250000000013709E-2</v>
          </cell>
          <cell r="C7885">
            <v>131</v>
          </cell>
        </row>
        <row r="7886">
          <cell r="B7886">
            <v>9.126157407408779E-2</v>
          </cell>
          <cell r="C7886">
            <v>131</v>
          </cell>
        </row>
        <row r="7887">
          <cell r="B7887">
            <v>9.127314814816187E-2</v>
          </cell>
          <cell r="C7887">
            <v>131</v>
          </cell>
        </row>
        <row r="7888">
          <cell r="B7888">
            <v>9.1284722222235951E-2</v>
          </cell>
          <cell r="C7888">
            <v>131</v>
          </cell>
        </row>
        <row r="7889">
          <cell r="B7889">
            <v>9.1296296296310031E-2</v>
          </cell>
          <cell r="C7889">
            <v>131</v>
          </cell>
        </row>
        <row r="7890">
          <cell r="B7890">
            <v>9.1307870370384112E-2</v>
          </cell>
          <cell r="C7890">
            <v>131</v>
          </cell>
        </row>
        <row r="7891">
          <cell r="B7891">
            <v>9.1319444444458192E-2</v>
          </cell>
          <cell r="C7891">
            <v>131</v>
          </cell>
        </row>
        <row r="7892">
          <cell r="B7892">
            <v>9.1331018518532273E-2</v>
          </cell>
          <cell r="C7892">
            <v>131</v>
          </cell>
        </row>
        <row r="7893">
          <cell r="B7893">
            <v>9.1342592592606353E-2</v>
          </cell>
          <cell r="C7893">
            <v>131</v>
          </cell>
        </row>
        <row r="7894">
          <cell r="B7894">
            <v>9.1354166666680434E-2</v>
          </cell>
          <cell r="C7894">
            <v>131</v>
          </cell>
        </row>
        <row r="7895">
          <cell r="B7895">
            <v>9.1365740740754514E-2</v>
          </cell>
          <cell r="C7895">
            <v>131</v>
          </cell>
        </row>
        <row r="7896">
          <cell r="B7896">
            <v>9.1377314814828595E-2</v>
          </cell>
          <cell r="C7896">
            <v>131</v>
          </cell>
        </row>
        <row r="7897">
          <cell r="B7897">
            <v>9.1388888888902675E-2</v>
          </cell>
          <cell r="C7897">
            <v>131</v>
          </cell>
        </row>
        <row r="7898">
          <cell r="B7898">
            <v>9.1400462962976756E-2</v>
          </cell>
          <cell r="C7898">
            <v>131</v>
          </cell>
        </row>
        <row r="7899">
          <cell r="B7899">
            <v>9.1412037037050836E-2</v>
          </cell>
          <cell r="C7899">
            <v>131</v>
          </cell>
        </row>
        <row r="7900">
          <cell r="B7900">
            <v>9.1423611111124917E-2</v>
          </cell>
          <cell r="C7900">
            <v>131</v>
          </cell>
        </row>
        <row r="7901">
          <cell r="B7901">
            <v>9.1435185185198997E-2</v>
          </cell>
          <cell r="C7901">
            <v>131</v>
          </cell>
        </row>
        <row r="7902">
          <cell r="B7902">
            <v>9.1446759259273078E-2</v>
          </cell>
          <cell r="C7902">
            <v>131</v>
          </cell>
        </row>
        <row r="7903">
          <cell r="B7903">
            <v>9.1458333333347158E-2</v>
          </cell>
          <cell r="C7903">
            <v>131</v>
          </cell>
        </row>
        <row r="7904">
          <cell r="B7904">
            <v>9.1469907407421239E-2</v>
          </cell>
          <cell r="C7904">
            <v>131</v>
          </cell>
        </row>
        <row r="7905">
          <cell r="B7905">
            <v>9.1481481481495319E-2</v>
          </cell>
          <cell r="C7905">
            <v>131</v>
          </cell>
        </row>
        <row r="7906">
          <cell r="B7906">
            <v>9.14930555555694E-2</v>
          </cell>
          <cell r="C7906">
            <v>131</v>
          </cell>
        </row>
        <row r="7907">
          <cell r="B7907">
            <v>9.150462962964348E-2</v>
          </cell>
          <cell r="C7907">
            <v>131</v>
          </cell>
        </row>
        <row r="7908">
          <cell r="B7908">
            <v>9.1516203703717561E-2</v>
          </cell>
          <cell r="C7908">
            <v>131</v>
          </cell>
        </row>
        <row r="7909">
          <cell r="B7909">
            <v>9.1527777777791641E-2</v>
          </cell>
          <cell r="C7909">
            <v>131</v>
          </cell>
        </row>
        <row r="7910">
          <cell r="B7910">
            <v>9.1539351851865722E-2</v>
          </cell>
          <cell r="C7910">
            <v>131</v>
          </cell>
        </row>
        <row r="7911">
          <cell r="B7911">
            <v>9.1550925925939802E-2</v>
          </cell>
          <cell r="C7911">
            <v>131</v>
          </cell>
        </row>
        <row r="7912">
          <cell r="B7912">
            <v>9.1562500000013883E-2</v>
          </cell>
          <cell r="C7912">
            <v>131</v>
          </cell>
        </row>
        <row r="7913">
          <cell r="B7913">
            <v>9.1574074074087963E-2</v>
          </cell>
          <cell r="C7913">
            <v>131</v>
          </cell>
        </row>
        <row r="7914">
          <cell r="B7914">
            <v>9.1585648148162044E-2</v>
          </cell>
          <cell r="C7914">
            <v>131</v>
          </cell>
        </row>
        <row r="7915">
          <cell r="B7915">
            <v>9.1597222222236124E-2</v>
          </cell>
          <cell r="C7915">
            <v>131</v>
          </cell>
        </row>
        <row r="7916">
          <cell r="B7916">
            <v>9.1608796296310205E-2</v>
          </cell>
          <cell r="C7916">
            <v>131</v>
          </cell>
        </row>
        <row r="7917">
          <cell r="B7917">
            <v>9.1620370370384285E-2</v>
          </cell>
          <cell r="C7917">
            <v>131</v>
          </cell>
        </row>
        <row r="7918">
          <cell r="B7918">
            <v>9.1631944444458366E-2</v>
          </cell>
          <cell r="C7918">
            <v>131</v>
          </cell>
        </row>
        <row r="7919">
          <cell r="B7919">
            <v>9.1643518518532446E-2</v>
          </cell>
          <cell r="C7919">
            <v>131</v>
          </cell>
        </row>
        <row r="7920">
          <cell r="B7920">
            <v>9.1655092592606527E-2</v>
          </cell>
          <cell r="C7920">
            <v>131</v>
          </cell>
        </row>
        <row r="7921">
          <cell r="B7921">
            <v>9.1666666666680607E-2</v>
          </cell>
          <cell r="C7921">
            <v>132</v>
          </cell>
        </row>
        <row r="7922">
          <cell r="B7922">
            <v>9.1678240740754688E-2</v>
          </cell>
          <cell r="C7922">
            <v>132</v>
          </cell>
        </row>
        <row r="7923">
          <cell r="B7923">
            <v>9.1689814814828768E-2</v>
          </cell>
          <cell r="C7923">
            <v>132</v>
          </cell>
        </row>
        <row r="7924">
          <cell r="B7924">
            <v>9.1701388888902849E-2</v>
          </cell>
          <cell r="C7924">
            <v>132</v>
          </cell>
        </row>
        <row r="7925">
          <cell r="B7925">
            <v>9.1712962962976929E-2</v>
          </cell>
          <cell r="C7925">
            <v>132</v>
          </cell>
        </row>
        <row r="7926">
          <cell r="B7926">
            <v>9.172453703705101E-2</v>
          </cell>
          <cell r="C7926">
            <v>132</v>
          </cell>
        </row>
        <row r="7927">
          <cell r="B7927">
            <v>9.173611111112509E-2</v>
          </cell>
          <cell r="C7927">
            <v>132</v>
          </cell>
        </row>
        <row r="7928">
          <cell r="B7928">
            <v>9.1747685185199171E-2</v>
          </cell>
          <cell r="C7928">
            <v>132</v>
          </cell>
        </row>
        <row r="7929">
          <cell r="B7929">
            <v>9.1759259259273251E-2</v>
          </cell>
          <cell r="C7929">
            <v>132</v>
          </cell>
        </row>
        <row r="7930">
          <cell r="B7930">
            <v>9.1770833333347332E-2</v>
          </cell>
          <cell r="C7930">
            <v>132</v>
          </cell>
        </row>
        <row r="7931">
          <cell r="B7931">
            <v>9.1782407407421412E-2</v>
          </cell>
          <cell r="C7931">
            <v>132</v>
          </cell>
        </row>
        <row r="7932">
          <cell r="B7932">
            <v>9.1793981481495493E-2</v>
          </cell>
          <cell r="C7932">
            <v>132</v>
          </cell>
        </row>
        <row r="7933">
          <cell r="B7933">
            <v>9.1805555555569573E-2</v>
          </cell>
          <cell r="C7933">
            <v>132</v>
          </cell>
        </row>
        <row r="7934">
          <cell r="B7934">
            <v>9.1817129629643654E-2</v>
          </cell>
          <cell r="C7934">
            <v>132</v>
          </cell>
        </row>
        <row r="7935">
          <cell r="B7935">
            <v>9.1828703703717734E-2</v>
          </cell>
          <cell r="C7935">
            <v>132</v>
          </cell>
        </row>
        <row r="7936">
          <cell r="B7936">
            <v>9.1840277777791815E-2</v>
          </cell>
          <cell r="C7936">
            <v>132</v>
          </cell>
        </row>
        <row r="7937">
          <cell r="B7937">
            <v>9.1851851851865896E-2</v>
          </cell>
          <cell r="C7937">
            <v>132</v>
          </cell>
        </row>
        <row r="7938">
          <cell r="B7938">
            <v>9.1863425925939976E-2</v>
          </cell>
          <cell r="C7938">
            <v>132</v>
          </cell>
        </row>
        <row r="7939">
          <cell r="B7939">
            <v>9.1875000000014057E-2</v>
          </cell>
          <cell r="C7939">
            <v>132</v>
          </cell>
        </row>
        <row r="7940">
          <cell r="B7940">
            <v>9.1886574074088137E-2</v>
          </cell>
          <cell r="C7940">
            <v>132</v>
          </cell>
        </row>
        <row r="7941">
          <cell r="B7941">
            <v>9.1898148148162218E-2</v>
          </cell>
          <cell r="C7941">
            <v>132</v>
          </cell>
        </row>
        <row r="7942">
          <cell r="B7942">
            <v>9.1909722222236298E-2</v>
          </cell>
          <cell r="C7942">
            <v>132</v>
          </cell>
        </row>
        <row r="7943">
          <cell r="B7943">
            <v>9.1921296296310379E-2</v>
          </cell>
          <cell r="C7943">
            <v>132</v>
          </cell>
        </row>
        <row r="7944">
          <cell r="B7944">
            <v>9.1932870370384459E-2</v>
          </cell>
          <cell r="C7944">
            <v>132</v>
          </cell>
        </row>
        <row r="7945">
          <cell r="B7945">
            <v>9.194444444445854E-2</v>
          </cell>
          <cell r="C7945">
            <v>132</v>
          </cell>
        </row>
        <row r="7946">
          <cell r="B7946">
            <v>9.195601851853262E-2</v>
          </cell>
          <cell r="C7946">
            <v>132</v>
          </cell>
        </row>
        <row r="7947">
          <cell r="B7947">
            <v>9.1967592592606701E-2</v>
          </cell>
          <cell r="C7947">
            <v>132</v>
          </cell>
        </row>
        <row r="7948">
          <cell r="B7948">
            <v>9.1979166666680781E-2</v>
          </cell>
          <cell r="C7948">
            <v>132</v>
          </cell>
        </row>
        <row r="7949">
          <cell r="B7949">
            <v>9.1990740740754862E-2</v>
          </cell>
          <cell r="C7949">
            <v>132</v>
          </cell>
        </row>
        <row r="7950">
          <cell r="B7950">
            <v>9.2002314814828942E-2</v>
          </cell>
          <cell r="C7950">
            <v>132</v>
          </cell>
        </row>
        <row r="7951">
          <cell r="B7951">
            <v>9.2013888888903023E-2</v>
          </cell>
          <cell r="C7951">
            <v>132</v>
          </cell>
        </row>
        <row r="7952">
          <cell r="B7952">
            <v>9.2025462962977103E-2</v>
          </cell>
          <cell r="C7952">
            <v>132</v>
          </cell>
        </row>
        <row r="7953">
          <cell r="B7953">
            <v>9.2037037037051184E-2</v>
          </cell>
          <cell r="C7953">
            <v>132</v>
          </cell>
        </row>
        <row r="7954">
          <cell r="B7954">
            <v>9.2048611111125264E-2</v>
          </cell>
          <cell r="C7954">
            <v>132</v>
          </cell>
        </row>
        <row r="7955">
          <cell r="B7955">
            <v>9.2060185185199345E-2</v>
          </cell>
          <cell r="C7955">
            <v>132</v>
          </cell>
        </row>
        <row r="7956">
          <cell r="B7956">
            <v>9.2071759259273425E-2</v>
          </cell>
          <cell r="C7956">
            <v>132</v>
          </cell>
        </row>
        <row r="7957">
          <cell r="B7957">
            <v>9.2083333333347506E-2</v>
          </cell>
          <cell r="C7957">
            <v>132</v>
          </cell>
        </row>
        <row r="7958">
          <cell r="B7958">
            <v>9.2094907407421586E-2</v>
          </cell>
          <cell r="C7958">
            <v>132</v>
          </cell>
        </row>
        <row r="7959">
          <cell r="B7959">
            <v>9.2106481481495667E-2</v>
          </cell>
          <cell r="C7959">
            <v>132</v>
          </cell>
        </row>
        <row r="7960">
          <cell r="B7960">
            <v>9.2118055555569747E-2</v>
          </cell>
          <cell r="C7960">
            <v>132</v>
          </cell>
        </row>
        <row r="7961">
          <cell r="B7961">
            <v>9.2129629629643828E-2</v>
          </cell>
          <cell r="C7961">
            <v>132</v>
          </cell>
        </row>
        <row r="7962">
          <cell r="B7962">
            <v>9.2141203703717908E-2</v>
          </cell>
          <cell r="C7962">
            <v>132</v>
          </cell>
        </row>
        <row r="7963">
          <cell r="B7963">
            <v>9.2152777777791989E-2</v>
          </cell>
          <cell r="C7963">
            <v>132</v>
          </cell>
        </row>
        <row r="7964">
          <cell r="B7964">
            <v>9.2164351851866069E-2</v>
          </cell>
          <cell r="C7964">
            <v>132</v>
          </cell>
        </row>
        <row r="7965">
          <cell r="B7965">
            <v>9.217592592594015E-2</v>
          </cell>
          <cell r="C7965">
            <v>132</v>
          </cell>
        </row>
        <row r="7966">
          <cell r="B7966">
            <v>9.218750000001423E-2</v>
          </cell>
          <cell r="C7966">
            <v>132</v>
          </cell>
        </row>
        <row r="7967">
          <cell r="B7967">
            <v>9.2199074074088311E-2</v>
          </cell>
          <cell r="C7967">
            <v>132</v>
          </cell>
        </row>
        <row r="7968">
          <cell r="B7968">
            <v>9.2210648148162391E-2</v>
          </cell>
          <cell r="C7968">
            <v>132</v>
          </cell>
        </row>
        <row r="7969">
          <cell r="B7969">
            <v>9.2222222222236472E-2</v>
          </cell>
          <cell r="C7969">
            <v>132</v>
          </cell>
        </row>
        <row r="7970">
          <cell r="B7970">
            <v>9.2233796296310552E-2</v>
          </cell>
          <cell r="C7970">
            <v>132</v>
          </cell>
        </row>
        <row r="7971">
          <cell r="B7971">
            <v>9.2245370370384633E-2</v>
          </cell>
          <cell r="C7971">
            <v>132</v>
          </cell>
        </row>
        <row r="7972">
          <cell r="B7972">
            <v>9.2256944444458713E-2</v>
          </cell>
          <cell r="C7972">
            <v>132</v>
          </cell>
        </row>
        <row r="7973">
          <cell r="B7973">
            <v>9.2268518518532794E-2</v>
          </cell>
          <cell r="C7973">
            <v>132</v>
          </cell>
        </row>
        <row r="7974">
          <cell r="B7974">
            <v>9.2280092592606874E-2</v>
          </cell>
          <cell r="C7974">
            <v>132</v>
          </cell>
        </row>
        <row r="7975">
          <cell r="B7975">
            <v>9.2291666666680955E-2</v>
          </cell>
          <cell r="C7975">
            <v>132</v>
          </cell>
        </row>
        <row r="7976">
          <cell r="B7976">
            <v>9.2303240740755035E-2</v>
          </cell>
          <cell r="C7976">
            <v>132</v>
          </cell>
        </row>
        <row r="7977">
          <cell r="B7977">
            <v>9.2314814814829116E-2</v>
          </cell>
          <cell r="C7977">
            <v>132</v>
          </cell>
        </row>
        <row r="7978">
          <cell r="B7978">
            <v>9.2326388888903196E-2</v>
          </cell>
          <cell r="C7978">
            <v>132</v>
          </cell>
        </row>
        <row r="7979">
          <cell r="B7979">
            <v>9.2337962962977277E-2</v>
          </cell>
          <cell r="C7979">
            <v>132</v>
          </cell>
        </row>
        <row r="7980">
          <cell r="B7980">
            <v>9.2349537037051357E-2</v>
          </cell>
          <cell r="C7980">
            <v>132</v>
          </cell>
        </row>
        <row r="7981">
          <cell r="B7981">
            <v>9.2361111111125438E-2</v>
          </cell>
          <cell r="C7981">
            <v>133</v>
          </cell>
        </row>
        <row r="7982">
          <cell r="B7982">
            <v>9.2372685185199518E-2</v>
          </cell>
          <cell r="C7982">
            <v>133</v>
          </cell>
        </row>
        <row r="7983">
          <cell r="B7983">
            <v>9.2384259259273599E-2</v>
          </cell>
          <cell r="C7983">
            <v>133</v>
          </cell>
        </row>
        <row r="7984">
          <cell r="B7984">
            <v>9.2395833333347679E-2</v>
          </cell>
          <cell r="C7984">
            <v>133</v>
          </cell>
        </row>
        <row r="7985">
          <cell r="B7985">
            <v>9.240740740742176E-2</v>
          </cell>
          <cell r="C7985">
            <v>133</v>
          </cell>
        </row>
        <row r="7986">
          <cell r="B7986">
            <v>9.241898148149584E-2</v>
          </cell>
          <cell r="C7986">
            <v>133</v>
          </cell>
        </row>
        <row r="7987">
          <cell r="B7987">
            <v>9.2430555555569921E-2</v>
          </cell>
          <cell r="C7987">
            <v>133</v>
          </cell>
        </row>
        <row r="7988">
          <cell r="B7988">
            <v>9.2442129629644001E-2</v>
          </cell>
          <cell r="C7988">
            <v>133</v>
          </cell>
        </row>
        <row r="7989">
          <cell r="B7989">
            <v>9.2453703703718082E-2</v>
          </cell>
          <cell r="C7989">
            <v>133</v>
          </cell>
        </row>
        <row r="7990">
          <cell r="B7990">
            <v>9.2465277777792163E-2</v>
          </cell>
          <cell r="C7990">
            <v>133</v>
          </cell>
        </row>
        <row r="7991">
          <cell r="B7991">
            <v>9.2476851851866243E-2</v>
          </cell>
          <cell r="C7991">
            <v>133</v>
          </cell>
        </row>
        <row r="7992">
          <cell r="B7992">
            <v>9.2488425925940324E-2</v>
          </cell>
          <cell r="C7992">
            <v>133</v>
          </cell>
        </row>
        <row r="7993">
          <cell r="B7993">
            <v>9.2500000000014404E-2</v>
          </cell>
          <cell r="C7993">
            <v>133</v>
          </cell>
        </row>
        <row r="7994">
          <cell r="B7994">
            <v>9.2511574074088485E-2</v>
          </cell>
          <cell r="C7994">
            <v>133</v>
          </cell>
        </row>
        <row r="7995">
          <cell r="B7995">
            <v>9.2523148148162565E-2</v>
          </cell>
          <cell r="C7995">
            <v>133</v>
          </cell>
        </row>
        <row r="7996">
          <cell r="B7996">
            <v>9.2534722222236646E-2</v>
          </cell>
          <cell r="C7996">
            <v>133</v>
          </cell>
        </row>
        <row r="7997">
          <cell r="B7997">
            <v>9.2546296296310726E-2</v>
          </cell>
          <cell r="C7997">
            <v>133</v>
          </cell>
        </row>
        <row r="7998">
          <cell r="B7998">
            <v>9.2557870370384807E-2</v>
          </cell>
          <cell r="C7998">
            <v>133</v>
          </cell>
        </row>
        <row r="7999">
          <cell r="B7999">
            <v>9.2569444444458887E-2</v>
          </cell>
          <cell r="C7999">
            <v>133</v>
          </cell>
        </row>
        <row r="8000">
          <cell r="B8000">
            <v>9.2581018518532968E-2</v>
          </cell>
          <cell r="C8000">
            <v>133</v>
          </cell>
        </row>
        <row r="8001">
          <cell r="B8001">
            <v>9.2592592592607048E-2</v>
          </cell>
          <cell r="C8001">
            <v>133</v>
          </cell>
        </row>
        <row r="8002">
          <cell r="B8002">
            <v>9.2604166666681129E-2</v>
          </cell>
          <cell r="C8002">
            <v>133</v>
          </cell>
        </row>
        <row r="8003">
          <cell r="B8003">
            <v>9.2615740740755209E-2</v>
          </cell>
          <cell r="C8003">
            <v>133</v>
          </cell>
        </row>
        <row r="8004">
          <cell r="B8004">
            <v>9.262731481482929E-2</v>
          </cell>
          <cell r="C8004">
            <v>133</v>
          </cell>
        </row>
        <row r="8005">
          <cell r="B8005">
            <v>9.263888888890337E-2</v>
          </cell>
          <cell r="C8005">
            <v>133</v>
          </cell>
        </row>
        <row r="8006">
          <cell r="B8006">
            <v>9.2650462962977451E-2</v>
          </cell>
          <cell r="C8006">
            <v>133</v>
          </cell>
        </row>
        <row r="8007">
          <cell r="B8007">
            <v>9.2662037037051531E-2</v>
          </cell>
          <cell r="C8007">
            <v>133</v>
          </cell>
        </row>
        <row r="8008">
          <cell r="B8008">
            <v>9.2673611111125612E-2</v>
          </cell>
          <cell r="C8008">
            <v>133</v>
          </cell>
        </row>
        <row r="8009">
          <cell r="B8009">
            <v>9.2685185185199692E-2</v>
          </cell>
          <cell r="C8009">
            <v>133</v>
          </cell>
        </row>
        <row r="8010">
          <cell r="B8010">
            <v>9.2696759259273773E-2</v>
          </cell>
          <cell r="C8010">
            <v>133</v>
          </cell>
        </row>
        <row r="8011">
          <cell r="B8011">
            <v>9.2708333333347853E-2</v>
          </cell>
          <cell r="C8011">
            <v>133</v>
          </cell>
        </row>
        <row r="8012">
          <cell r="B8012">
            <v>9.2719907407421934E-2</v>
          </cell>
          <cell r="C8012">
            <v>133</v>
          </cell>
        </row>
        <row r="8013">
          <cell r="B8013">
            <v>9.2731481481496014E-2</v>
          </cell>
          <cell r="C8013">
            <v>133</v>
          </cell>
        </row>
        <row r="8014">
          <cell r="B8014">
            <v>9.2743055555570095E-2</v>
          </cell>
          <cell r="C8014">
            <v>133</v>
          </cell>
        </row>
        <row r="8015">
          <cell r="B8015">
            <v>9.2754629629644175E-2</v>
          </cell>
          <cell r="C8015">
            <v>133</v>
          </cell>
        </row>
        <row r="8016">
          <cell r="B8016">
            <v>9.2766203703718256E-2</v>
          </cell>
          <cell r="C8016">
            <v>133</v>
          </cell>
        </row>
        <row r="8017">
          <cell r="B8017">
            <v>9.2777777777792336E-2</v>
          </cell>
          <cell r="C8017">
            <v>133</v>
          </cell>
        </row>
        <row r="8018">
          <cell r="B8018">
            <v>9.2789351851866417E-2</v>
          </cell>
          <cell r="C8018">
            <v>133</v>
          </cell>
        </row>
        <row r="8019">
          <cell r="B8019">
            <v>9.2800925925940497E-2</v>
          </cell>
          <cell r="C8019">
            <v>133</v>
          </cell>
        </row>
        <row r="8020">
          <cell r="B8020">
            <v>9.2812500000014578E-2</v>
          </cell>
          <cell r="C8020">
            <v>133</v>
          </cell>
        </row>
        <row r="8021">
          <cell r="B8021">
            <v>9.2824074074088658E-2</v>
          </cell>
          <cell r="C8021">
            <v>133</v>
          </cell>
        </row>
        <row r="8022">
          <cell r="B8022">
            <v>9.2835648148162739E-2</v>
          </cell>
          <cell r="C8022">
            <v>133</v>
          </cell>
        </row>
        <row r="8023">
          <cell r="B8023">
            <v>9.2847222222236819E-2</v>
          </cell>
          <cell r="C8023">
            <v>133</v>
          </cell>
        </row>
        <row r="8024">
          <cell r="B8024">
            <v>9.28587962963109E-2</v>
          </cell>
          <cell r="C8024">
            <v>133</v>
          </cell>
        </row>
        <row r="8025">
          <cell r="B8025">
            <v>9.287037037038498E-2</v>
          </cell>
          <cell r="C8025">
            <v>133</v>
          </cell>
        </row>
        <row r="8026">
          <cell r="B8026">
            <v>9.2881944444459061E-2</v>
          </cell>
          <cell r="C8026">
            <v>133</v>
          </cell>
        </row>
        <row r="8027">
          <cell r="B8027">
            <v>9.2893518518533141E-2</v>
          </cell>
          <cell r="C8027">
            <v>133</v>
          </cell>
        </row>
        <row r="8028">
          <cell r="B8028">
            <v>9.2905092592607222E-2</v>
          </cell>
          <cell r="C8028">
            <v>133</v>
          </cell>
        </row>
        <row r="8029">
          <cell r="B8029">
            <v>9.2916666666681302E-2</v>
          </cell>
          <cell r="C8029">
            <v>133</v>
          </cell>
        </row>
        <row r="8030">
          <cell r="B8030">
            <v>9.2928240740755383E-2</v>
          </cell>
          <cell r="C8030">
            <v>133</v>
          </cell>
        </row>
        <row r="8031">
          <cell r="B8031">
            <v>9.2939814814829463E-2</v>
          </cell>
          <cell r="C8031">
            <v>133</v>
          </cell>
        </row>
        <row r="8032">
          <cell r="B8032">
            <v>9.2951388888903544E-2</v>
          </cell>
          <cell r="C8032">
            <v>133</v>
          </cell>
        </row>
        <row r="8033">
          <cell r="B8033">
            <v>9.2962962962977624E-2</v>
          </cell>
          <cell r="C8033">
            <v>133</v>
          </cell>
        </row>
        <row r="8034">
          <cell r="B8034">
            <v>9.2974537037051705E-2</v>
          </cell>
          <cell r="C8034">
            <v>133</v>
          </cell>
        </row>
        <row r="8035">
          <cell r="B8035">
            <v>9.2986111111125785E-2</v>
          </cell>
          <cell r="C8035">
            <v>133</v>
          </cell>
        </row>
        <row r="8036">
          <cell r="B8036">
            <v>9.2997685185199866E-2</v>
          </cell>
          <cell r="C8036">
            <v>133</v>
          </cell>
        </row>
        <row r="8037">
          <cell r="B8037">
            <v>9.3009259259273946E-2</v>
          </cell>
          <cell r="C8037">
            <v>133</v>
          </cell>
        </row>
        <row r="8038">
          <cell r="B8038">
            <v>9.3020833333348027E-2</v>
          </cell>
          <cell r="C8038">
            <v>133</v>
          </cell>
        </row>
        <row r="8039">
          <cell r="B8039">
            <v>9.3032407407422107E-2</v>
          </cell>
          <cell r="C8039">
            <v>133</v>
          </cell>
        </row>
        <row r="8040">
          <cell r="B8040">
            <v>9.3043981481496188E-2</v>
          </cell>
          <cell r="C8040">
            <v>133</v>
          </cell>
        </row>
        <row r="8041">
          <cell r="B8041">
            <v>9.3055555555570268E-2</v>
          </cell>
          <cell r="C8041">
            <v>134</v>
          </cell>
        </row>
        <row r="8042">
          <cell r="B8042">
            <v>9.3067129629644349E-2</v>
          </cell>
          <cell r="C8042">
            <v>134</v>
          </cell>
        </row>
        <row r="8043">
          <cell r="B8043">
            <v>9.3078703703718429E-2</v>
          </cell>
          <cell r="C8043">
            <v>134</v>
          </cell>
        </row>
        <row r="8044">
          <cell r="B8044">
            <v>9.309027777779251E-2</v>
          </cell>
          <cell r="C8044">
            <v>134</v>
          </cell>
        </row>
        <row r="8045">
          <cell r="B8045">
            <v>9.3101851851866591E-2</v>
          </cell>
          <cell r="C8045">
            <v>134</v>
          </cell>
        </row>
        <row r="8046">
          <cell r="B8046">
            <v>9.3113425925940671E-2</v>
          </cell>
          <cell r="C8046">
            <v>134</v>
          </cell>
        </row>
        <row r="8047">
          <cell r="B8047">
            <v>9.3125000000014752E-2</v>
          </cell>
          <cell r="C8047">
            <v>134</v>
          </cell>
        </row>
        <row r="8048">
          <cell r="B8048">
            <v>9.3136574074088832E-2</v>
          </cell>
          <cell r="C8048">
            <v>134</v>
          </cell>
        </row>
        <row r="8049">
          <cell r="B8049">
            <v>9.3148148148162913E-2</v>
          </cell>
          <cell r="C8049">
            <v>134</v>
          </cell>
        </row>
        <row r="8050">
          <cell r="B8050">
            <v>9.3159722222236993E-2</v>
          </cell>
          <cell r="C8050">
            <v>134</v>
          </cell>
        </row>
        <row r="8051">
          <cell r="B8051">
            <v>9.3171296296311074E-2</v>
          </cell>
          <cell r="C8051">
            <v>134</v>
          </cell>
        </row>
        <row r="8052">
          <cell r="B8052">
            <v>9.3182870370385154E-2</v>
          </cell>
          <cell r="C8052">
            <v>134</v>
          </cell>
        </row>
        <row r="8053">
          <cell r="B8053">
            <v>9.3194444444459235E-2</v>
          </cell>
          <cell r="C8053">
            <v>134</v>
          </cell>
        </row>
        <row r="8054">
          <cell r="B8054">
            <v>9.3206018518533315E-2</v>
          </cell>
          <cell r="C8054">
            <v>134</v>
          </cell>
        </row>
        <row r="8055">
          <cell r="B8055">
            <v>9.3217592592607396E-2</v>
          </cell>
          <cell r="C8055">
            <v>134</v>
          </cell>
        </row>
        <row r="8056">
          <cell r="B8056">
            <v>9.3229166666681476E-2</v>
          </cell>
          <cell r="C8056">
            <v>134</v>
          </cell>
        </row>
        <row r="8057">
          <cell r="B8057">
            <v>9.3240740740755557E-2</v>
          </cell>
          <cell r="C8057">
            <v>134</v>
          </cell>
        </row>
        <row r="8058">
          <cell r="B8058">
            <v>9.3252314814829637E-2</v>
          </cell>
          <cell r="C8058">
            <v>134</v>
          </cell>
        </row>
        <row r="8059">
          <cell r="B8059">
            <v>9.3263888888903718E-2</v>
          </cell>
          <cell r="C8059">
            <v>134</v>
          </cell>
        </row>
        <row r="8060">
          <cell r="B8060">
            <v>9.3275462962977798E-2</v>
          </cell>
          <cell r="C8060">
            <v>134</v>
          </cell>
        </row>
        <row r="8061">
          <cell r="B8061">
            <v>9.3287037037051879E-2</v>
          </cell>
          <cell r="C8061">
            <v>134</v>
          </cell>
        </row>
        <row r="8062">
          <cell r="B8062">
            <v>9.3298611111125959E-2</v>
          </cell>
          <cell r="C8062">
            <v>134</v>
          </cell>
        </row>
        <row r="8063">
          <cell r="B8063">
            <v>9.331018518520004E-2</v>
          </cell>
          <cell r="C8063">
            <v>134</v>
          </cell>
        </row>
        <row r="8064">
          <cell r="B8064">
            <v>9.332175925927412E-2</v>
          </cell>
          <cell r="C8064">
            <v>134</v>
          </cell>
        </row>
        <row r="8065">
          <cell r="B8065">
            <v>9.3333333333348201E-2</v>
          </cell>
          <cell r="C8065">
            <v>134</v>
          </cell>
        </row>
        <row r="8066">
          <cell r="B8066">
            <v>9.3344907407422281E-2</v>
          </cell>
          <cell r="C8066">
            <v>134</v>
          </cell>
        </row>
        <row r="8067">
          <cell r="B8067">
            <v>9.3356481481496362E-2</v>
          </cell>
          <cell r="C8067">
            <v>134</v>
          </cell>
        </row>
        <row r="8068">
          <cell r="B8068">
            <v>9.3368055555570442E-2</v>
          </cell>
          <cell r="C8068">
            <v>134</v>
          </cell>
        </row>
        <row r="8069">
          <cell r="B8069">
            <v>9.3379629629644523E-2</v>
          </cell>
          <cell r="C8069">
            <v>134</v>
          </cell>
        </row>
        <row r="8070">
          <cell r="B8070">
            <v>9.3391203703718603E-2</v>
          </cell>
          <cell r="C8070">
            <v>134</v>
          </cell>
        </row>
        <row r="8071">
          <cell r="B8071">
            <v>9.3402777777792684E-2</v>
          </cell>
          <cell r="C8071">
            <v>134</v>
          </cell>
        </row>
        <row r="8072">
          <cell r="B8072">
            <v>9.3414351851866764E-2</v>
          </cell>
          <cell r="C8072">
            <v>134</v>
          </cell>
        </row>
        <row r="8073">
          <cell r="B8073">
            <v>9.3425925925940845E-2</v>
          </cell>
          <cell r="C8073">
            <v>134</v>
          </cell>
        </row>
        <row r="8074">
          <cell r="B8074">
            <v>9.3437500000014925E-2</v>
          </cell>
          <cell r="C8074">
            <v>134</v>
          </cell>
        </row>
        <row r="8075">
          <cell r="B8075">
            <v>9.3449074074089006E-2</v>
          </cell>
          <cell r="C8075">
            <v>134</v>
          </cell>
        </row>
        <row r="8076">
          <cell r="B8076">
            <v>9.3460648148163086E-2</v>
          </cell>
          <cell r="C8076">
            <v>134</v>
          </cell>
        </row>
        <row r="8077">
          <cell r="B8077">
            <v>9.3472222222237167E-2</v>
          </cell>
          <cell r="C8077">
            <v>134</v>
          </cell>
        </row>
        <row r="8078">
          <cell r="B8078">
            <v>9.3483796296311247E-2</v>
          </cell>
          <cell r="C8078">
            <v>134</v>
          </cell>
        </row>
        <row r="8079">
          <cell r="B8079">
            <v>9.3495370370385328E-2</v>
          </cell>
          <cell r="C8079">
            <v>134</v>
          </cell>
        </row>
        <row r="8080">
          <cell r="B8080">
            <v>9.3506944444459408E-2</v>
          </cell>
          <cell r="C8080">
            <v>134</v>
          </cell>
        </row>
        <row r="8081">
          <cell r="B8081">
            <v>9.3518518518533489E-2</v>
          </cell>
          <cell r="C8081">
            <v>134</v>
          </cell>
        </row>
        <row r="8082">
          <cell r="B8082">
            <v>9.3530092592607569E-2</v>
          </cell>
          <cell r="C8082">
            <v>134</v>
          </cell>
        </row>
        <row r="8083">
          <cell r="B8083">
            <v>9.354166666668165E-2</v>
          </cell>
          <cell r="C8083">
            <v>134</v>
          </cell>
        </row>
        <row r="8084">
          <cell r="B8084">
            <v>9.355324074075573E-2</v>
          </cell>
          <cell r="C8084">
            <v>134</v>
          </cell>
        </row>
        <row r="8085">
          <cell r="B8085">
            <v>9.3564814814829811E-2</v>
          </cell>
          <cell r="C8085">
            <v>134</v>
          </cell>
        </row>
        <row r="8086">
          <cell r="B8086">
            <v>9.3576388888903891E-2</v>
          </cell>
          <cell r="C8086">
            <v>134</v>
          </cell>
        </row>
        <row r="8087">
          <cell r="B8087">
            <v>9.3587962962977972E-2</v>
          </cell>
          <cell r="C8087">
            <v>134</v>
          </cell>
        </row>
        <row r="8088">
          <cell r="B8088">
            <v>9.3599537037052052E-2</v>
          </cell>
          <cell r="C8088">
            <v>134</v>
          </cell>
        </row>
        <row r="8089">
          <cell r="B8089">
            <v>9.3611111111126133E-2</v>
          </cell>
          <cell r="C8089">
            <v>134</v>
          </cell>
        </row>
        <row r="8090">
          <cell r="B8090">
            <v>9.3622685185200213E-2</v>
          </cell>
          <cell r="C8090">
            <v>134</v>
          </cell>
        </row>
        <row r="8091">
          <cell r="B8091">
            <v>9.3634259259274294E-2</v>
          </cell>
          <cell r="C8091">
            <v>134</v>
          </cell>
        </row>
        <row r="8092">
          <cell r="B8092">
            <v>9.3645833333348374E-2</v>
          </cell>
          <cell r="C8092">
            <v>134</v>
          </cell>
        </row>
        <row r="8093">
          <cell r="B8093">
            <v>9.3657407407422455E-2</v>
          </cell>
          <cell r="C8093">
            <v>134</v>
          </cell>
        </row>
        <row r="8094">
          <cell r="B8094">
            <v>9.3668981481496535E-2</v>
          </cell>
          <cell r="C8094">
            <v>134</v>
          </cell>
        </row>
        <row r="8095">
          <cell r="B8095">
            <v>9.3680555555570616E-2</v>
          </cell>
          <cell r="C8095">
            <v>134</v>
          </cell>
        </row>
        <row r="8096">
          <cell r="B8096">
            <v>9.3692129629644696E-2</v>
          </cell>
          <cell r="C8096">
            <v>134</v>
          </cell>
        </row>
        <row r="8097">
          <cell r="B8097">
            <v>9.3703703703718777E-2</v>
          </cell>
          <cell r="C8097">
            <v>134</v>
          </cell>
        </row>
        <row r="8098">
          <cell r="B8098">
            <v>9.3715277777792858E-2</v>
          </cell>
          <cell r="C8098">
            <v>134</v>
          </cell>
        </row>
        <row r="8099">
          <cell r="B8099">
            <v>9.3726851851866938E-2</v>
          </cell>
          <cell r="C8099">
            <v>134</v>
          </cell>
        </row>
        <row r="8100">
          <cell r="B8100">
            <v>9.3738425925941019E-2</v>
          </cell>
          <cell r="C8100">
            <v>134</v>
          </cell>
        </row>
        <row r="8101">
          <cell r="B8101">
            <v>9.3750000000015099E-2</v>
          </cell>
          <cell r="C8101">
            <v>135</v>
          </cell>
        </row>
        <row r="8102">
          <cell r="B8102">
            <v>9.376157407408918E-2</v>
          </cell>
          <cell r="C8102">
            <v>135</v>
          </cell>
        </row>
        <row r="8103">
          <cell r="B8103">
            <v>9.377314814816326E-2</v>
          </cell>
          <cell r="C8103">
            <v>135</v>
          </cell>
        </row>
        <row r="8104">
          <cell r="B8104">
            <v>9.3784722222237341E-2</v>
          </cell>
          <cell r="C8104">
            <v>135</v>
          </cell>
        </row>
        <row r="8105">
          <cell r="B8105">
            <v>9.3796296296311421E-2</v>
          </cell>
          <cell r="C8105">
            <v>135</v>
          </cell>
        </row>
        <row r="8106">
          <cell r="B8106">
            <v>9.3807870370385502E-2</v>
          </cell>
          <cell r="C8106">
            <v>135</v>
          </cell>
        </row>
        <row r="8107">
          <cell r="B8107">
            <v>9.3819444444459582E-2</v>
          </cell>
          <cell r="C8107">
            <v>135</v>
          </cell>
        </row>
        <row r="8108">
          <cell r="B8108">
            <v>9.3831018518533663E-2</v>
          </cell>
          <cell r="C8108">
            <v>135</v>
          </cell>
        </row>
        <row r="8109">
          <cell r="B8109">
            <v>9.3842592592607743E-2</v>
          </cell>
          <cell r="C8109">
            <v>135</v>
          </cell>
        </row>
        <row r="8110">
          <cell r="B8110">
            <v>9.3854166666681824E-2</v>
          </cell>
          <cell r="C8110">
            <v>135</v>
          </cell>
        </row>
        <row r="8111">
          <cell r="B8111">
            <v>9.3865740740755904E-2</v>
          </cell>
          <cell r="C8111">
            <v>135</v>
          </cell>
        </row>
        <row r="8112">
          <cell r="B8112">
            <v>9.3877314814829985E-2</v>
          </cell>
          <cell r="C8112">
            <v>135</v>
          </cell>
        </row>
        <row r="8113">
          <cell r="B8113">
            <v>9.3888888888904065E-2</v>
          </cell>
          <cell r="C8113">
            <v>135</v>
          </cell>
        </row>
        <row r="8114">
          <cell r="B8114">
            <v>9.3900462962978146E-2</v>
          </cell>
          <cell r="C8114">
            <v>135</v>
          </cell>
        </row>
        <row r="8115">
          <cell r="B8115">
            <v>9.3912037037052226E-2</v>
          </cell>
          <cell r="C8115">
            <v>135</v>
          </cell>
        </row>
        <row r="8116">
          <cell r="B8116">
            <v>9.3923611111126307E-2</v>
          </cell>
          <cell r="C8116">
            <v>135</v>
          </cell>
        </row>
        <row r="8117">
          <cell r="B8117">
            <v>9.3935185185200387E-2</v>
          </cell>
          <cell r="C8117">
            <v>135</v>
          </cell>
        </row>
        <row r="8118">
          <cell r="B8118">
            <v>9.3946759259274468E-2</v>
          </cell>
          <cell r="C8118">
            <v>135</v>
          </cell>
        </row>
        <row r="8119">
          <cell r="B8119">
            <v>9.3958333333348548E-2</v>
          </cell>
          <cell r="C8119">
            <v>135</v>
          </cell>
        </row>
        <row r="8120">
          <cell r="B8120">
            <v>9.3969907407422629E-2</v>
          </cell>
          <cell r="C8120">
            <v>135</v>
          </cell>
        </row>
        <row r="8121">
          <cell r="B8121">
            <v>9.3981481481496709E-2</v>
          </cell>
          <cell r="C8121">
            <v>135</v>
          </cell>
        </row>
        <row r="8122">
          <cell r="B8122">
            <v>9.399305555557079E-2</v>
          </cell>
          <cell r="C8122">
            <v>135</v>
          </cell>
        </row>
        <row r="8123">
          <cell r="B8123">
            <v>9.400462962964487E-2</v>
          </cell>
          <cell r="C8123">
            <v>135</v>
          </cell>
        </row>
        <row r="8124">
          <cell r="B8124">
            <v>9.4016203703718951E-2</v>
          </cell>
          <cell r="C8124">
            <v>135</v>
          </cell>
        </row>
        <row r="8125">
          <cell r="B8125">
            <v>9.4027777777793031E-2</v>
          </cell>
          <cell r="C8125">
            <v>135</v>
          </cell>
        </row>
        <row r="8126">
          <cell r="B8126">
            <v>9.4039351851867112E-2</v>
          </cell>
          <cell r="C8126">
            <v>135</v>
          </cell>
        </row>
        <row r="8127">
          <cell r="B8127">
            <v>9.4050925925941192E-2</v>
          </cell>
          <cell r="C8127">
            <v>135</v>
          </cell>
        </row>
        <row r="8128">
          <cell r="B8128">
            <v>9.4062500000015273E-2</v>
          </cell>
          <cell r="C8128">
            <v>135</v>
          </cell>
        </row>
        <row r="8129">
          <cell r="B8129">
            <v>9.4074074074089353E-2</v>
          </cell>
          <cell r="C8129">
            <v>135</v>
          </cell>
        </row>
        <row r="8130">
          <cell r="B8130">
            <v>9.4085648148163434E-2</v>
          </cell>
          <cell r="C8130">
            <v>135</v>
          </cell>
        </row>
        <row r="8131">
          <cell r="B8131">
            <v>9.4097222222237514E-2</v>
          </cell>
          <cell r="C8131">
            <v>135</v>
          </cell>
        </row>
        <row r="8132">
          <cell r="B8132">
            <v>9.4108796296311595E-2</v>
          </cell>
          <cell r="C8132">
            <v>135</v>
          </cell>
        </row>
        <row r="8133">
          <cell r="B8133">
            <v>9.4120370370385675E-2</v>
          </cell>
          <cell r="C8133">
            <v>135</v>
          </cell>
        </row>
        <row r="8134">
          <cell r="B8134">
            <v>9.4131944444459756E-2</v>
          </cell>
          <cell r="C8134">
            <v>135</v>
          </cell>
        </row>
        <row r="8135">
          <cell r="B8135">
            <v>9.4143518518533836E-2</v>
          </cell>
          <cell r="C8135">
            <v>135</v>
          </cell>
        </row>
        <row r="8136">
          <cell r="B8136">
            <v>9.4155092592607917E-2</v>
          </cell>
          <cell r="C8136">
            <v>135</v>
          </cell>
        </row>
        <row r="8137">
          <cell r="B8137">
            <v>9.4166666666681997E-2</v>
          </cell>
          <cell r="C8137">
            <v>135</v>
          </cell>
        </row>
        <row r="8138">
          <cell r="B8138">
            <v>9.4178240740756078E-2</v>
          </cell>
          <cell r="C8138">
            <v>135</v>
          </cell>
        </row>
        <row r="8139">
          <cell r="B8139">
            <v>9.4189814814830158E-2</v>
          </cell>
          <cell r="C8139">
            <v>135</v>
          </cell>
        </row>
        <row r="8140">
          <cell r="B8140">
            <v>9.4201388888904239E-2</v>
          </cell>
          <cell r="C8140">
            <v>135</v>
          </cell>
        </row>
        <row r="8141">
          <cell r="B8141">
            <v>9.4212962962978319E-2</v>
          </cell>
          <cell r="C8141">
            <v>135</v>
          </cell>
        </row>
        <row r="8142">
          <cell r="B8142">
            <v>9.42245370370524E-2</v>
          </cell>
          <cell r="C8142">
            <v>135</v>
          </cell>
        </row>
        <row r="8143">
          <cell r="B8143">
            <v>9.423611111112648E-2</v>
          </cell>
          <cell r="C8143">
            <v>135</v>
          </cell>
        </row>
        <row r="8144">
          <cell r="B8144">
            <v>9.4247685185200561E-2</v>
          </cell>
          <cell r="C8144">
            <v>135</v>
          </cell>
        </row>
        <row r="8145">
          <cell r="B8145">
            <v>9.4259259259274641E-2</v>
          </cell>
          <cell r="C8145">
            <v>135</v>
          </cell>
        </row>
        <row r="8146">
          <cell r="B8146">
            <v>9.4270833333348722E-2</v>
          </cell>
          <cell r="C8146">
            <v>135</v>
          </cell>
        </row>
        <row r="8147">
          <cell r="B8147">
            <v>9.4282407407422802E-2</v>
          </cell>
          <cell r="C8147">
            <v>135</v>
          </cell>
        </row>
        <row r="8148">
          <cell r="B8148">
            <v>9.4293981481496883E-2</v>
          </cell>
          <cell r="C8148">
            <v>135</v>
          </cell>
        </row>
        <row r="8149">
          <cell r="B8149">
            <v>9.4305555555570963E-2</v>
          </cell>
          <cell r="C8149">
            <v>135</v>
          </cell>
        </row>
        <row r="8150">
          <cell r="B8150">
            <v>9.4317129629645044E-2</v>
          </cell>
          <cell r="C8150">
            <v>135</v>
          </cell>
        </row>
        <row r="8151">
          <cell r="B8151">
            <v>9.4328703703719124E-2</v>
          </cell>
          <cell r="C8151">
            <v>135</v>
          </cell>
        </row>
        <row r="8152">
          <cell r="B8152">
            <v>9.4340277777793205E-2</v>
          </cell>
          <cell r="C8152">
            <v>135</v>
          </cell>
        </row>
        <row r="8153">
          <cell r="B8153">
            <v>9.4351851851867286E-2</v>
          </cell>
          <cell r="C8153">
            <v>135</v>
          </cell>
        </row>
        <row r="8154">
          <cell r="B8154">
            <v>9.4363425925941366E-2</v>
          </cell>
          <cell r="C8154">
            <v>135</v>
          </cell>
        </row>
        <row r="8155">
          <cell r="B8155">
            <v>9.4375000000015447E-2</v>
          </cell>
          <cell r="C8155">
            <v>135</v>
          </cell>
        </row>
        <row r="8156">
          <cell r="B8156">
            <v>9.4386574074089527E-2</v>
          </cell>
          <cell r="C8156">
            <v>135</v>
          </cell>
        </row>
        <row r="8157">
          <cell r="B8157">
            <v>9.4398148148163608E-2</v>
          </cell>
          <cell r="C8157">
            <v>135</v>
          </cell>
        </row>
        <row r="8158">
          <cell r="B8158">
            <v>9.4409722222237688E-2</v>
          </cell>
          <cell r="C8158">
            <v>135</v>
          </cell>
        </row>
        <row r="8159">
          <cell r="B8159">
            <v>9.4421296296311769E-2</v>
          </cell>
          <cell r="C8159">
            <v>135</v>
          </cell>
        </row>
        <row r="8160">
          <cell r="B8160">
            <v>9.4432870370385849E-2</v>
          </cell>
          <cell r="C8160">
            <v>135</v>
          </cell>
        </row>
        <row r="8161">
          <cell r="B8161">
            <v>9.444444444445993E-2</v>
          </cell>
          <cell r="C8161">
            <v>136</v>
          </cell>
        </row>
        <row r="8162">
          <cell r="B8162">
            <v>9.445601851853401E-2</v>
          </cell>
          <cell r="C8162">
            <v>136</v>
          </cell>
        </row>
        <row r="8163">
          <cell r="B8163">
            <v>9.4467592592608091E-2</v>
          </cell>
          <cell r="C8163">
            <v>136</v>
          </cell>
        </row>
        <row r="8164">
          <cell r="B8164">
            <v>9.4479166666682171E-2</v>
          </cell>
          <cell r="C8164">
            <v>136</v>
          </cell>
        </row>
        <row r="8165">
          <cell r="B8165">
            <v>9.4490740740756252E-2</v>
          </cell>
          <cell r="C8165">
            <v>136</v>
          </cell>
        </row>
        <row r="8166">
          <cell r="B8166">
            <v>9.4502314814830332E-2</v>
          </cell>
          <cell r="C8166">
            <v>136</v>
          </cell>
        </row>
        <row r="8167">
          <cell r="B8167">
            <v>9.4513888888904413E-2</v>
          </cell>
          <cell r="C8167">
            <v>136</v>
          </cell>
        </row>
        <row r="8168">
          <cell r="B8168">
            <v>9.4525462962978493E-2</v>
          </cell>
          <cell r="C8168">
            <v>136</v>
          </cell>
        </row>
        <row r="8169">
          <cell r="B8169">
            <v>9.4537037037052574E-2</v>
          </cell>
          <cell r="C8169">
            <v>136</v>
          </cell>
        </row>
        <row r="8170">
          <cell r="B8170">
            <v>9.4548611111126654E-2</v>
          </cell>
          <cell r="C8170">
            <v>136</v>
          </cell>
        </row>
        <row r="8171">
          <cell r="B8171">
            <v>9.4560185185200735E-2</v>
          </cell>
          <cell r="C8171">
            <v>136</v>
          </cell>
        </row>
        <row r="8172">
          <cell r="B8172">
            <v>9.4571759259274815E-2</v>
          </cell>
          <cell r="C8172">
            <v>136</v>
          </cell>
        </row>
        <row r="8173">
          <cell r="B8173">
            <v>9.4583333333348896E-2</v>
          </cell>
          <cell r="C8173">
            <v>136</v>
          </cell>
        </row>
        <row r="8174">
          <cell r="B8174">
            <v>9.4594907407422976E-2</v>
          </cell>
          <cell r="C8174">
            <v>136</v>
          </cell>
        </row>
        <row r="8175">
          <cell r="B8175">
            <v>9.4606481481497057E-2</v>
          </cell>
          <cell r="C8175">
            <v>136</v>
          </cell>
        </row>
        <row r="8176">
          <cell r="B8176">
            <v>9.4618055555571137E-2</v>
          </cell>
          <cell r="C8176">
            <v>136</v>
          </cell>
        </row>
        <row r="8177">
          <cell r="B8177">
            <v>9.4629629629645218E-2</v>
          </cell>
          <cell r="C8177">
            <v>136</v>
          </cell>
        </row>
        <row r="8178">
          <cell r="B8178">
            <v>9.4641203703719298E-2</v>
          </cell>
          <cell r="C8178">
            <v>136</v>
          </cell>
        </row>
        <row r="8179">
          <cell r="B8179">
            <v>9.4652777777793379E-2</v>
          </cell>
          <cell r="C8179">
            <v>136</v>
          </cell>
        </row>
        <row r="8180">
          <cell r="B8180">
            <v>9.4664351851867459E-2</v>
          </cell>
          <cell r="C8180">
            <v>136</v>
          </cell>
        </row>
        <row r="8181">
          <cell r="B8181">
            <v>9.467592592594154E-2</v>
          </cell>
          <cell r="C8181">
            <v>136</v>
          </cell>
        </row>
        <row r="8182">
          <cell r="B8182">
            <v>9.468750000001562E-2</v>
          </cell>
          <cell r="C8182">
            <v>136</v>
          </cell>
        </row>
        <row r="8183">
          <cell r="B8183">
            <v>9.4699074074089701E-2</v>
          </cell>
          <cell r="C8183">
            <v>136</v>
          </cell>
        </row>
        <row r="8184">
          <cell r="B8184">
            <v>9.4710648148163781E-2</v>
          </cell>
          <cell r="C8184">
            <v>136</v>
          </cell>
        </row>
        <row r="8185">
          <cell r="B8185">
            <v>9.4722222222237862E-2</v>
          </cell>
          <cell r="C8185">
            <v>136</v>
          </cell>
        </row>
        <row r="8186">
          <cell r="B8186">
            <v>9.4733796296311942E-2</v>
          </cell>
          <cell r="C8186">
            <v>136</v>
          </cell>
        </row>
        <row r="8187">
          <cell r="B8187">
            <v>9.4745370370386023E-2</v>
          </cell>
          <cell r="C8187">
            <v>136</v>
          </cell>
        </row>
        <row r="8188">
          <cell r="B8188">
            <v>9.4756944444460103E-2</v>
          </cell>
          <cell r="C8188">
            <v>136</v>
          </cell>
        </row>
        <row r="8189">
          <cell r="B8189">
            <v>9.4768518518534184E-2</v>
          </cell>
          <cell r="C8189">
            <v>136</v>
          </cell>
        </row>
        <row r="8190">
          <cell r="B8190">
            <v>9.4780092592608264E-2</v>
          </cell>
          <cell r="C8190">
            <v>136</v>
          </cell>
        </row>
        <row r="8191">
          <cell r="B8191">
            <v>9.4791666666682345E-2</v>
          </cell>
          <cell r="C8191">
            <v>136</v>
          </cell>
        </row>
        <row r="8192">
          <cell r="B8192">
            <v>9.4803240740756425E-2</v>
          </cell>
          <cell r="C8192">
            <v>136</v>
          </cell>
        </row>
        <row r="8193">
          <cell r="B8193">
            <v>9.4814814814830506E-2</v>
          </cell>
          <cell r="C8193">
            <v>136</v>
          </cell>
        </row>
        <row r="8194">
          <cell r="B8194">
            <v>9.4826388888904586E-2</v>
          </cell>
          <cell r="C8194">
            <v>136</v>
          </cell>
        </row>
        <row r="8195">
          <cell r="B8195">
            <v>9.4837962962978667E-2</v>
          </cell>
          <cell r="C8195">
            <v>136</v>
          </cell>
        </row>
        <row r="8196">
          <cell r="B8196">
            <v>9.4849537037052747E-2</v>
          </cell>
          <cell r="C8196">
            <v>136</v>
          </cell>
        </row>
        <row r="8197">
          <cell r="B8197">
            <v>9.4861111111126828E-2</v>
          </cell>
          <cell r="C8197">
            <v>136</v>
          </cell>
        </row>
        <row r="8198">
          <cell r="B8198">
            <v>9.4872685185200908E-2</v>
          </cell>
          <cell r="C8198">
            <v>136</v>
          </cell>
        </row>
        <row r="8199">
          <cell r="B8199">
            <v>9.4884259259274989E-2</v>
          </cell>
          <cell r="C8199">
            <v>136</v>
          </cell>
        </row>
        <row r="8200">
          <cell r="B8200">
            <v>9.4895833333349069E-2</v>
          </cell>
          <cell r="C8200">
            <v>136</v>
          </cell>
        </row>
        <row r="8201">
          <cell r="B8201">
            <v>9.490740740742315E-2</v>
          </cell>
          <cell r="C8201">
            <v>136</v>
          </cell>
        </row>
        <row r="8202">
          <cell r="B8202">
            <v>9.491898148149723E-2</v>
          </cell>
          <cell r="C8202">
            <v>136</v>
          </cell>
        </row>
        <row r="8203">
          <cell r="B8203">
            <v>9.4930555555571311E-2</v>
          </cell>
          <cell r="C8203">
            <v>136</v>
          </cell>
        </row>
        <row r="8204">
          <cell r="B8204">
            <v>9.4942129629645391E-2</v>
          </cell>
          <cell r="C8204">
            <v>136</v>
          </cell>
        </row>
        <row r="8205">
          <cell r="B8205">
            <v>9.4953703703719472E-2</v>
          </cell>
          <cell r="C8205">
            <v>136</v>
          </cell>
        </row>
        <row r="8206">
          <cell r="B8206">
            <v>9.4965277777793553E-2</v>
          </cell>
          <cell r="C8206">
            <v>136</v>
          </cell>
        </row>
        <row r="8207">
          <cell r="B8207">
            <v>9.4976851851867633E-2</v>
          </cell>
          <cell r="C8207">
            <v>136</v>
          </cell>
        </row>
        <row r="8208">
          <cell r="B8208">
            <v>9.4988425925941714E-2</v>
          </cell>
          <cell r="C8208">
            <v>136</v>
          </cell>
        </row>
        <row r="8209">
          <cell r="B8209">
            <v>9.5000000000015794E-2</v>
          </cell>
          <cell r="C8209">
            <v>136</v>
          </cell>
        </row>
        <row r="8210">
          <cell r="B8210">
            <v>9.5011574074089875E-2</v>
          </cell>
          <cell r="C8210">
            <v>136</v>
          </cell>
        </row>
        <row r="8211">
          <cell r="B8211">
            <v>9.5023148148163955E-2</v>
          </cell>
          <cell r="C8211">
            <v>136</v>
          </cell>
        </row>
        <row r="8212">
          <cell r="B8212">
            <v>9.5034722222238036E-2</v>
          </cell>
          <cell r="C8212">
            <v>136</v>
          </cell>
        </row>
        <row r="8213">
          <cell r="B8213">
            <v>9.5046296296312116E-2</v>
          </cell>
          <cell r="C8213">
            <v>136</v>
          </cell>
        </row>
        <row r="8214">
          <cell r="B8214">
            <v>9.5057870370386197E-2</v>
          </cell>
          <cell r="C8214">
            <v>136</v>
          </cell>
        </row>
        <row r="8215">
          <cell r="B8215">
            <v>9.5069444444460277E-2</v>
          </cell>
          <cell r="C8215">
            <v>136</v>
          </cell>
        </row>
        <row r="8216">
          <cell r="B8216">
            <v>9.5081018518534358E-2</v>
          </cell>
          <cell r="C8216">
            <v>136</v>
          </cell>
        </row>
        <row r="8217">
          <cell r="B8217">
            <v>9.5092592592608438E-2</v>
          </cell>
          <cell r="C8217">
            <v>136</v>
          </cell>
        </row>
        <row r="8218">
          <cell r="B8218">
            <v>9.5104166666682519E-2</v>
          </cell>
          <cell r="C8218">
            <v>136</v>
          </cell>
        </row>
        <row r="8219">
          <cell r="B8219">
            <v>9.5115740740756599E-2</v>
          </cell>
          <cell r="C8219">
            <v>136</v>
          </cell>
        </row>
        <row r="8220">
          <cell r="B8220">
            <v>9.512731481483068E-2</v>
          </cell>
          <cell r="C8220">
            <v>136</v>
          </cell>
        </row>
        <row r="8221">
          <cell r="B8221">
            <v>9.513888888890476E-2</v>
          </cell>
          <cell r="C8221">
            <v>137</v>
          </cell>
        </row>
        <row r="8222">
          <cell r="B8222">
            <v>9.5150462962978841E-2</v>
          </cell>
          <cell r="C8222">
            <v>137</v>
          </cell>
        </row>
        <row r="8223">
          <cell r="B8223">
            <v>9.5162037037052921E-2</v>
          </cell>
          <cell r="C8223">
            <v>137</v>
          </cell>
        </row>
        <row r="8224">
          <cell r="B8224">
            <v>9.5173611111127002E-2</v>
          </cell>
          <cell r="C8224">
            <v>137</v>
          </cell>
        </row>
        <row r="8225">
          <cell r="B8225">
            <v>9.5185185185201082E-2</v>
          </cell>
          <cell r="C8225">
            <v>137</v>
          </cell>
        </row>
        <row r="8226">
          <cell r="B8226">
            <v>9.5196759259275163E-2</v>
          </cell>
          <cell r="C8226">
            <v>137</v>
          </cell>
        </row>
        <row r="8227">
          <cell r="B8227">
            <v>9.5208333333349243E-2</v>
          </cell>
          <cell r="C8227">
            <v>137</v>
          </cell>
        </row>
        <row r="8228">
          <cell r="B8228">
            <v>9.5219907407423324E-2</v>
          </cell>
          <cell r="C8228">
            <v>137</v>
          </cell>
        </row>
        <row r="8229">
          <cell r="B8229">
            <v>9.5231481481497404E-2</v>
          </cell>
          <cell r="C8229">
            <v>137</v>
          </cell>
        </row>
        <row r="8230">
          <cell r="B8230">
            <v>9.5243055555571485E-2</v>
          </cell>
          <cell r="C8230">
            <v>137</v>
          </cell>
        </row>
        <row r="8231">
          <cell r="B8231">
            <v>9.5254629629645565E-2</v>
          </cell>
          <cell r="C8231">
            <v>137</v>
          </cell>
        </row>
        <row r="8232">
          <cell r="B8232">
            <v>9.5266203703719646E-2</v>
          </cell>
          <cell r="C8232">
            <v>137</v>
          </cell>
        </row>
        <row r="8233">
          <cell r="B8233">
            <v>9.5277777777793726E-2</v>
          </cell>
          <cell r="C8233">
            <v>137</v>
          </cell>
        </row>
        <row r="8234">
          <cell r="B8234">
            <v>9.5289351851867807E-2</v>
          </cell>
          <cell r="C8234">
            <v>137</v>
          </cell>
        </row>
        <row r="8235">
          <cell r="B8235">
            <v>9.5300925925941887E-2</v>
          </cell>
          <cell r="C8235">
            <v>137</v>
          </cell>
        </row>
        <row r="8236">
          <cell r="B8236">
            <v>9.5312500000015968E-2</v>
          </cell>
          <cell r="C8236">
            <v>137</v>
          </cell>
        </row>
        <row r="8237">
          <cell r="B8237">
            <v>9.5324074074090048E-2</v>
          </cell>
          <cell r="C8237">
            <v>137</v>
          </cell>
        </row>
        <row r="8238">
          <cell r="B8238">
            <v>9.5335648148164129E-2</v>
          </cell>
          <cell r="C8238">
            <v>137</v>
          </cell>
        </row>
        <row r="8239">
          <cell r="B8239">
            <v>9.5347222222238209E-2</v>
          </cell>
          <cell r="C8239">
            <v>137</v>
          </cell>
        </row>
        <row r="8240">
          <cell r="B8240">
            <v>9.535879629631229E-2</v>
          </cell>
          <cell r="C8240">
            <v>137</v>
          </cell>
        </row>
        <row r="8241">
          <cell r="B8241">
            <v>9.537037037038637E-2</v>
          </cell>
          <cell r="C8241">
            <v>137</v>
          </cell>
        </row>
        <row r="8242">
          <cell r="B8242">
            <v>9.5381944444460451E-2</v>
          </cell>
          <cell r="C8242">
            <v>137</v>
          </cell>
        </row>
        <row r="8243">
          <cell r="B8243">
            <v>9.5393518518534531E-2</v>
          </cell>
          <cell r="C8243">
            <v>137</v>
          </cell>
        </row>
        <row r="8244">
          <cell r="B8244">
            <v>9.5405092592608612E-2</v>
          </cell>
          <cell r="C8244">
            <v>137</v>
          </cell>
        </row>
        <row r="8245">
          <cell r="B8245">
            <v>9.5416666666682692E-2</v>
          </cell>
          <cell r="C8245">
            <v>137</v>
          </cell>
        </row>
        <row r="8246">
          <cell r="B8246">
            <v>9.5428240740756773E-2</v>
          </cell>
          <cell r="C8246">
            <v>137</v>
          </cell>
        </row>
        <row r="8247">
          <cell r="B8247">
            <v>9.5439814814830853E-2</v>
          </cell>
          <cell r="C8247">
            <v>137</v>
          </cell>
        </row>
        <row r="8248">
          <cell r="B8248">
            <v>9.5451388888904934E-2</v>
          </cell>
          <cell r="C8248">
            <v>137</v>
          </cell>
        </row>
        <row r="8249">
          <cell r="B8249">
            <v>9.5462962962979014E-2</v>
          </cell>
          <cell r="C8249">
            <v>137</v>
          </cell>
        </row>
        <row r="8250">
          <cell r="B8250">
            <v>9.5474537037053095E-2</v>
          </cell>
          <cell r="C8250">
            <v>137</v>
          </cell>
        </row>
        <row r="8251">
          <cell r="B8251">
            <v>9.5486111111127175E-2</v>
          </cell>
          <cell r="C8251">
            <v>137</v>
          </cell>
        </row>
        <row r="8252">
          <cell r="B8252">
            <v>9.5497685185201256E-2</v>
          </cell>
          <cell r="C8252">
            <v>137</v>
          </cell>
        </row>
        <row r="8253">
          <cell r="B8253">
            <v>9.5509259259275336E-2</v>
          </cell>
          <cell r="C8253">
            <v>137</v>
          </cell>
        </row>
        <row r="8254">
          <cell r="B8254">
            <v>9.5520833333349417E-2</v>
          </cell>
          <cell r="C8254">
            <v>137</v>
          </cell>
        </row>
        <row r="8255">
          <cell r="B8255">
            <v>9.5532407407423497E-2</v>
          </cell>
          <cell r="C8255">
            <v>137</v>
          </cell>
        </row>
        <row r="8256">
          <cell r="B8256">
            <v>9.5543981481497578E-2</v>
          </cell>
          <cell r="C8256">
            <v>137</v>
          </cell>
        </row>
        <row r="8257">
          <cell r="B8257">
            <v>9.5555555555571658E-2</v>
          </cell>
          <cell r="C8257">
            <v>137</v>
          </cell>
        </row>
        <row r="8258">
          <cell r="B8258">
            <v>9.5567129629645739E-2</v>
          </cell>
          <cell r="C8258">
            <v>137</v>
          </cell>
        </row>
        <row r="8259">
          <cell r="B8259">
            <v>9.5578703703719819E-2</v>
          </cell>
          <cell r="C8259">
            <v>137</v>
          </cell>
        </row>
        <row r="8260">
          <cell r="B8260">
            <v>9.55902777777939E-2</v>
          </cell>
          <cell r="C8260">
            <v>137</v>
          </cell>
        </row>
        <row r="8261">
          <cell r="B8261">
            <v>9.5601851851867981E-2</v>
          </cell>
          <cell r="C8261">
            <v>137</v>
          </cell>
        </row>
        <row r="8262">
          <cell r="B8262">
            <v>9.5613425925942061E-2</v>
          </cell>
          <cell r="C8262">
            <v>137</v>
          </cell>
        </row>
        <row r="8263">
          <cell r="B8263">
            <v>9.5625000000016142E-2</v>
          </cell>
          <cell r="C8263">
            <v>137</v>
          </cell>
        </row>
        <row r="8264">
          <cell r="B8264">
            <v>9.5636574074090222E-2</v>
          </cell>
          <cell r="C8264">
            <v>137</v>
          </cell>
        </row>
        <row r="8265">
          <cell r="B8265">
            <v>9.5648148148164303E-2</v>
          </cell>
          <cell r="C8265">
            <v>137</v>
          </cell>
        </row>
        <row r="8266">
          <cell r="B8266">
            <v>9.5659722222238383E-2</v>
          </cell>
          <cell r="C8266">
            <v>137</v>
          </cell>
        </row>
        <row r="8267">
          <cell r="B8267">
            <v>9.5671296296312464E-2</v>
          </cell>
          <cell r="C8267">
            <v>137</v>
          </cell>
        </row>
        <row r="8268">
          <cell r="B8268">
            <v>9.5682870370386544E-2</v>
          </cell>
          <cell r="C8268">
            <v>137</v>
          </cell>
        </row>
        <row r="8269">
          <cell r="B8269">
            <v>9.5694444444460625E-2</v>
          </cell>
          <cell r="C8269">
            <v>137</v>
          </cell>
        </row>
        <row r="8270">
          <cell r="B8270">
            <v>9.5706018518534705E-2</v>
          </cell>
          <cell r="C8270">
            <v>137</v>
          </cell>
        </row>
        <row r="8271">
          <cell r="B8271">
            <v>9.5717592592608786E-2</v>
          </cell>
          <cell r="C8271">
            <v>137</v>
          </cell>
        </row>
        <row r="8272">
          <cell r="B8272">
            <v>9.5729166666682866E-2</v>
          </cell>
          <cell r="C8272">
            <v>137</v>
          </cell>
        </row>
        <row r="8273">
          <cell r="B8273">
            <v>9.5740740740756947E-2</v>
          </cell>
          <cell r="C8273">
            <v>137</v>
          </cell>
        </row>
        <row r="8274">
          <cell r="B8274">
            <v>9.5752314814831027E-2</v>
          </cell>
          <cell r="C8274">
            <v>137</v>
          </cell>
        </row>
        <row r="8275">
          <cell r="B8275">
            <v>9.5763888888905108E-2</v>
          </cell>
          <cell r="C8275">
            <v>137</v>
          </cell>
        </row>
        <row r="8276">
          <cell r="B8276">
            <v>9.5775462962979188E-2</v>
          </cell>
          <cell r="C8276">
            <v>137</v>
          </cell>
        </row>
        <row r="8277">
          <cell r="B8277">
            <v>9.5787037037053269E-2</v>
          </cell>
          <cell r="C8277">
            <v>137</v>
          </cell>
        </row>
        <row r="8278">
          <cell r="B8278">
            <v>9.5798611111127349E-2</v>
          </cell>
          <cell r="C8278">
            <v>137</v>
          </cell>
        </row>
        <row r="8279">
          <cell r="B8279">
            <v>9.581018518520143E-2</v>
          </cell>
          <cell r="C8279">
            <v>137</v>
          </cell>
        </row>
        <row r="8280">
          <cell r="B8280">
            <v>9.582175925927551E-2</v>
          </cell>
          <cell r="C8280">
            <v>137</v>
          </cell>
        </row>
        <row r="8281">
          <cell r="B8281">
            <v>9.5833333333349591E-2</v>
          </cell>
          <cell r="C8281">
            <v>138</v>
          </cell>
        </row>
        <row r="8282">
          <cell r="B8282">
            <v>9.5844907407423671E-2</v>
          </cell>
          <cell r="C8282">
            <v>138</v>
          </cell>
        </row>
        <row r="8283">
          <cell r="B8283">
            <v>9.5856481481497752E-2</v>
          </cell>
          <cell r="C8283">
            <v>138</v>
          </cell>
        </row>
        <row r="8284">
          <cell r="B8284">
            <v>9.5868055555571832E-2</v>
          </cell>
          <cell r="C8284">
            <v>138</v>
          </cell>
        </row>
        <row r="8285">
          <cell r="B8285">
            <v>9.5879629629645913E-2</v>
          </cell>
          <cell r="C8285">
            <v>138</v>
          </cell>
        </row>
        <row r="8286">
          <cell r="B8286">
            <v>9.5891203703719993E-2</v>
          </cell>
          <cell r="C8286">
            <v>138</v>
          </cell>
        </row>
        <row r="8287">
          <cell r="B8287">
            <v>9.5902777777794074E-2</v>
          </cell>
          <cell r="C8287">
            <v>138</v>
          </cell>
        </row>
        <row r="8288">
          <cell r="B8288">
            <v>9.5914351851868154E-2</v>
          </cell>
          <cell r="C8288">
            <v>138</v>
          </cell>
        </row>
        <row r="8289">
          <cell r="B8289">
            <v>9.5925925925942235E-2</v>
          </cell>
          <cell r="C8289">
            <v>138</v>
          </cell>
        </row>
        <row r="8290">
          <cell r="B8290">
            <v>9.5937500000016315E-2</v>
          </cell>
          <cell r="C8290">
            <v>138</v>
          </cell>
        </row>
        <row r="8291">
          <cell r="B8291">
            <v>9.5949074074090396E-2</v>
          </cell>
          <cell r="C8291">
            <v>138</v>
          </cell>
        </row>
        <row r="8292">
          <cell r="B8292">
            <v>9.5960648148164476E-2</v>
          </cell>
          <cell r="C8292">
            <v>138</v>
          </cell>
        </row>
        <row r="8293">
          <cell r="B8293">
            <v>9.5972222222238557E-2</v>
          </cell>
          <cell r="C8293">
            <v>138</v>
          </cell>
        </row>
        <row r="8294">
          <cell r="B8294">
            <v>9.5983796296312637E-2</v>
          </cell>
          <cell r="C8294">
            <v>138</v>
          </cell>
        </row>
        <row r="8295">
          <cell r="B8295">
            <v>9.5995370370386718E-2</v>
          </cell>
          <cell r="C8295">
            <v>138</v>
          </cell>
        </row>
        <row r="8296">
          <cell r="B8296">
            <v>9.6006944444460798E-2</v>
          </cell>
          <cell r="C8296">
            <v>138</v>
          </cell>
        </row>
        <row r="8297">
          <cell r="B8297">
            <v>9.6018518518534879E-2</v>
          </cell>
          <cell r="C8297">
            <v>138</v>
          </cell>
        </row>
        <row r="8298">
          <cell r="B8298">
            <v>9.6030092592608959E-2</v>
          </cell>
          <cell r="C8298">
            <v>138</v>
          </cell>
        </row>
        <row r="8299">
          <cell r="B8299">
            <v>9.604166666668304E-2</v>
          </cell>
          <cell r="C8299">
            <v>138</v>
          </cell>
        </row>
        <row r="8300">
          <cell r="B8300">
            <v>9.605324074075712E-2</v>
          </cell>
          <cell r="C8300">
            <v>138</v>
          </cell>
        </row>
        <row r="8301">
          <cell r="B8301">
            <v>9.6064814814831201E-2</v>
          </cell>
          <cell r="C8301">
            <v>138</v>
          </cell>
        </row>
        <row r="8302">
          <cell r="B8302">
            <v>9.6076388888905281E-2</v>
          </cell>
          <cell r="C8302">
            <v>138</v>
          </cell>
        </row>
        <row r="8303">
          <cell r="B8303">
            <v>9.6087962962979362E-2</v>
          </cell>
          <cell r="C8303">
            <v>138</v>
          </cell>
        </row>
        <row r="8304">
          <cell r="B8304">
            <v>9.6099537037053442E-2</v>
          </cell>
          <cell r="C8304">
            <v>138</v>
          </cell>
        </row>
        <row r="8305">
          <cell r="B8305">
            <v>9.6111111111127523E-2</v>
          </cell>
          <cell r="C8305">
            <v>138</v>
          </cell>
        </row>
        <row r="8306">
          <cell r="B8306">
            <v>9.6122685185201603E-2</v>
          </cell>
          <cell r="C8306">
            <v>138</v>
          </cell>
        </row>
        <row r="8307">
          <cell r="B8307">
            <v>9.6134259259275684E-2</v>
          </cell>
          <cell r="C8307">
            <v>138</v>
          </cell>
        </row>
        <row r="8308">
          <cell r="B8308">
            <v>9.6145833333349764E-2</v>
          </cell>
          <cell r="C8308">
            <v>138</v>
          </cell>
        </row>
        <row r="8309">
          <cell r="B8309">
            <v>9.6157407407423845E-2</v>
          </cell>
          <cell r="C8309">
            <v>138</v>
          </cell>
        </row>
        <row r="8310">
          <cell r="B8310">
            <v>9.6168981481497925E-2</v>
          </cell>
          <cell r="C8310">
            <v>138</v>
          </cell>
        </row>
        <row r="8311">
          <cell r="B8311">
            <v>9.6180555555572006E-2</v>
          </cell>
          <cell r="C8311">
            <v>138</v>
          </cell>
        </row>
        <row r="8312">
          <cell r="B8312">
            <v>9.6192129629646086E-2</v>
          </cell>
          <cell r="C8312">
            <v>138</v>
          </cell>
        </row>
        <row r="8313">
          <cell r="B8313">
            <v>9.6203703703720167E-2</v>
          </cell>
          <cell r="C8313">
            <v>138</v>
          </cell>
        </row>
        <row r="8314">
          <cell r="B8314">
            <v>9.6215277777794248E-2</v>
          </cell>
          <cell r="C8314">
            <v>138</v>
          </cell>
        </row>
        <row r="8315">
          <cell r="B8315">
            <v>9.6226851851868328E-2</v>
          </cell>
          <cell r="C8315">
            <v>138</v>
          </cell>
        </row>
        <row r="8316">
          <cell r="B8316">
            <v>9.6238425925942409E-2</v>
          </cell>
          <cell r="C8316">
            <v>138</v>
          </cell>
        </row>
        <row r="8317">
          <cell r="B8317">
            <v>9.6250000000016489E-2</v>
          </cell>
          <cell r="C8317">
            <v>138</v>
          </cell>
        </row>
        <row r="8318">
          <cell r="B8318">
            <v>9.626157407409057E-2</v>
          </cell>
          <cell r="C8318">
            <v>138</v>
          </cell>
        </row>
        <row r="8319">
          <cell r="B8319">
            <v>9.627314814816465E-2</v>
          </cell>
          <cell r="C8319">
            <v>138</v>
          </cell>
        </row>
        <row r="8320">
          <cell r="B8320">
            <v>9.6284722222238731E-2</v>
          </cell>
          <cell r="C8320">
            <v>138</v>
          </cell>
        </row>
        <row r="8321">
          <cell r="B8321">
            <v>9.6296296296312811E-2</v>
          </cell>
          <cell r="C8321">
            <v>138</v>
          </cell>
        </row>
        <row r="8322">
          <cell r="B8322">
            <v>9.6307870370386892E-2</v>
          </cell>
          <cell r="C8322">
            <v>138</v>
          </cell>
        </row>
        <row r="8323">
          <cell r="B8323">
            <v>9.6319444444460972E-2</v>
          </cell>
          <cell r="C8323">
            <v>138</v>
          </cell>
        </row>
        <row r="8324">
          <cell r="B8324">
            <v>9.6331018518535053E-2</v>
          </cell>
          <cell r="C8324">
            <v>138</v>
          </cell>
        </row>
        <row r="8325">
          <cell r="B8325">
            <v>9.6342592592609133E-2</v>
          </cell>
          <cell r="C8325">
            <v>138</v>
          </cell>
        </row>
        <row r="8326">
          <cell r="B8326">
            <v>9.6354166666683214E-2</v>
          </cell>
          <cell r="C8326">
            <v>138</v>
          </cell>
        </row>
        <row r="8327">
          <cell r="B8327">
            <v>9.6365740740757294E-2</v>
          </cell>
          <cell r="C8327">
            <v>138</v>
          </cell>
        </row>
        <row r="8328">
          <cell r="B8328">
            <v>9.6377314814831375E-2</v>
          </cell>
          <cell r="C8328">
            <v>138</v>
          </cell>
        </row>
        <row r="8329">
          <cell r="B8329">
            <v>9.6388888888905455E-2</v>
          </cell>
          <cell r="C8329">
            <v>138</v>
          </cell>
        </row>
        <row r="8330">
          <cell r="B8330">
            <v>9.6400462962979536E-2</v>
          </cell>
          <cell r="C8330">
            <v>138</v>
          </cell>
        </row>
        <row r="8331">
          <cell r="B8331">
            <v>9.6412037037053616E-2</v>
          </cell>
          <cell r="C8331">
            <v>138</v>
          </cell>
        </row>
        <row r="8332">
          <cell r="B8332">
            <v>9.6423611111127697E-2</v>
          </cell>
          <cell r="C8332">
            <v>138</v>
          </cell>
        </row>
        <row r="8333">
          <cell r="B8333">
            <v>9.6435185185201777E-2</v>
          </cell>
          <cell r="C8333">
            <v>138</v>
          </cell>
        </row>
        <row r="8334">
          <cell r="B8334">
            <v>9.6446759259275858E-2</v>
          </cell>
          <cell r="C8334">
            <v>138</v>
          </cell>
        </row>
        <row r="8335">
          <cell r="B8335">
            <v>9.6458333333349938E-2</v>
          </cell>
          <cell r="C8335">
            <v>138</v>
          </cell>
        </row>
        <row r="8336">
          <cell r="B8336">
            <v>9.6469907407424019E-2</v>
          </cell>
          <cell r="C8336">
            <v>138</v>
          </cell>
        </row>
        <row r="8337">
          <cell r="B8337">
            <v>9.6481481481498099E-2</v>
          </cell>
          <cell r="C8337">
            <v>138</v>
          </cell>
        </row>
        <row r="8338">
          <cell r="B8338">
            <v>9.649305555557218E-2</v>
          </cell>
          <cell r="C8338">
            <v>138</v>
          </cell>
        </row>
        <row r="8339">
          <cell r="B8339">
            <v>9.650462962964626E-2</v>
          </cell>
          <cell r="C8339">
            <v>138</v>
          </cell>
        </row>
        <row r="8340">
          <cell r="B8340">
            <v>9.6516203703720341E-2</v>
          </cell>
          <cell r="C8340">
            <v>138</v>
          </cell>
        </row>
        <row r="8341">
          <cell r="B8341">
            <v>9.6527777777794421E-2</v>
          </cell>
          <cell r="C8341">
            <v>139</v>
          </cell>
        </row>
        <row r="8342">
          <cell r="B8342">
            <v>9.6539351851868502E-2</v>
          </cell>
          <cell r="C8342">
            <v>139</v>
          </cell>
        </row>
        <row r="8343">
          <cell r="B8343">
            <v>9.6550925925942582E-2</v>
          </cell>
          <cell r="C8343">
            <v>139</v>
          </cell>
        </row>
        <row r="8344">
          <cell r="B8344">
            <v>9.6562500000016663E-2</v>
          </cell>
          <cell r="C8344">
            <v>139</v>
          </cell>
        </row>
        <row r="8345">
          <cell r="B8345">
            <v>9.6574074074090743E-2</v>
          </cell>
          <cell r="C8345">
            <v>139</v>
          </cell>
        </row>
        <row r="8346">
          <cell r="B8346">
            <v>9.6585648148164824E-2</v>
          </cell>
          <cell r="C8346">
            <v>139</v>
          </cell>
        </row>
        <row r="8347">
          <cell r="B8347">
            <v>9.6597222222238904E-2</v>
          </cell>
          <cell r="C8347">
            <v>139</v>
          </cell>
        </row>
        <row r="8348">
          <cell r="B8348">
            <v>9.6608796296312985E-2</v>
          </cell>
          <cell r="C8348">
            <v>139</v>
          </cell>
        </row>
        <row r="8349">
          <cell r="B8349">
            <v>9.6620370370387065E-2</v>
          </cell>
          <cell r="C8349">
            <v>139</v>
          </cell>
        </row>
        <row r="8350">
          <cell r="B8350">
            <v>9.6631944444461146E-2</v>
          </cell>
          <cell r="C8350">
            <v>139</v>
          </cell>
        </row>
        <row r="8351">
          <cell r="B8351">
            <v>9.6643518518535226E-2</v>
          </cell>
          <cell r="C8351">
            <v>139</v>
          </cell>
        </row>
        <row r="8352">
          <cell r="B8352">
            <v>9.6655092592609307E-2</v>
          </cell>
          <cell r="C8352">
            <v>139</v>
          </cell>
        </row>
        <row r="8353">
          <cell r="B8353">
            <v>9.6666666666683387E-2</v>
          </cell>
          <cell r="C8353">
            <v>139</v>
          </cell>
        </row>
        <row r="8354">
          <cell r="B8354">
            <v>9.6678240740757468E-2</v>
          </cell>
          <cell r="C8354">
            <v>139</v>
          </cell>
        </row>
        <row r="8355">
          <cell r="B8355">
            <v>9.6689814814831548E-2</v>
          </cell>
          <cell r="C8355">
            <v>139</v>
          </cell>
        </row>
        <row r="8356">
          <cell r="B8356">
            <v>9.6701388888905629E-2</v>
          </cell>
          <cell r="C8356">
            <v>139</v>
          </cell>
        </row>
        <row r="8357">
          <cell r="B8357">
            <v>9.6712962962979709E-2</v>
          </cell>
          <cell r="C8357">
            <v>139</v>
          </cell>
        </row>
        <row r="8358">
          <cell r="B8358">
            <v>9.672453703705379E-2</v>
          </cell>
          <cell r="C8358">
            <v>139</v>
          </cell>
        </row>
        <row r="8359">
          <cell r="B8359">
            <v>9.673611111112787E-2</v>
          </cell>
          <cell r="C8359">
            <v>139</v>
          </cell>
        </row>
        <row r="8360">
          <cell r="B8360">
            <v>9.6747685185201951E-2</v>
          </cell>
          <cell r="C8360">
            <v>139</v>
          </cell>
        </row>
        <row r="8361">
          <cell r="B8361">
            <v>9.6759259259276031E-2</v>
          </cell>
          <cell r="C8361">
            <v>139</v>
          </cell>
        </row>
        <row r="8362">
          <cell r="B8362">
            <v>9.6770833333350112E-2</v>
          </cell>
          <cell r="C8362">
            <v>139</v>
          </cell>
        </row>
        <row r="8363">
          <cell r="B8363">
            <v>9.6782407407424192E-2</v>
          </cell>
          <cell r="C8363">
            <v>139</v>
          </cell>
        </row>
        <row r="8364">
          <cell r="B8364">
            <v>9.6793981481498273E-2</v>
          </cell>
          <cell r="C8364">
            <v>139</v>
          </cell>
        </row>
        <row r="8365">
          <cell r="B8365">
            <v>9.6805555555572353E-2</v>
          </cell>
          <cell r="C8365">
            <v>139</v>
          </cell>
        </row>
        <row r="8366">
          <cell r="B8366">
            <v>9.6817129629646434E-2</v>
          </cell>
          <cell r="C8366">
            <v>139</v>
          </cell>
        </row>
        <row r="8367">
          <cell r="B8367">
            <v>9.6828703703720514E-2</v>
          </cell>
          <cell r="C8367">
            <v>139</v>
          </cell>
        </row>
        <row r="8368">
          <cell r="B8368">
            <v>9.6840277777794595E-2</v>
          </cell>
          <cell r="C8368">
            <v>139</v>
          </cell>
        </row>
        <row r="8369">
          <cell r="B8369">
            <v>9.6851851851868676E-2</v>
          </cell>
          <cell r="C8369">
            <v>139</v>
          </cell>
        </row>
        <row r="8370">
          <cell r="B8370">
            <v>9.6863425925942756E-2</v>
          </cell>
          <cell r="C8370">
            <v>139</v>
          </cell>
        </row>
        <row r="8371">
          <cell r="B8371">
            <v>9.6875000000016837E-2</v>
          </cell>
          <cell r="C8371">
            <v>139</v>
          </cell>
        </row>
        <row r="8372">
          <cell r="B8372">
            <v>9.6886574074090917E-2</v>
          </cell>
          <cell r="C8372">
            <v>139</v>
          </cell>
        </row>
        <row r="8373">
          <cell r="B8373">
            <v>9.6898148148164998E-2</v>
          </cell>
          <cell r="C8373">
            <v>139</v>
          </cell>
        </row>
        <row r="8374">
          <cell r="B8374">
            <v>9.6909722222239078E-2</v>
          </cell>
          <cell r="C8374">
            <v>139</v>
          </cell>
        </row>
        <row r="8375">
          <cell r="B8375">
            <v>9.6921296296313159E-2</v>
          </cell>
          <cell r="C8375">
            <v>139</v>
          </cell>
        </row>
        <row r="8376">
          <cell r="B8376">
            <v>9.6932870370387239E-2</v>
          </cell>
          <cell r="C8376">
            <v>139</v>
          </cell>
        </row>
        <row r="8377">
          <cell r="B8377">
            <v>9.694444444446132E-2</v>
          </cell>
          <cell r="C8377">
            <v>139</v>
          </cell>
        </row>
        <row r="8378">
          <cell r="B8378">
            <v>9.69560185185354E-2</v>
          </cell>
          <cell r="C8378">
            <v>139</v>
          </cell>
        </row>
        <row r="8379">
          <cell r="B8379">
            <v>9.6967592592609481E-2</v>
          </cell>
          <cell r="C8379">
            <v>139</v>
          </cell>
        </row>
        <row r="8380">
          <cell r="B8380">
            <v>9.6979166666683561E-2</v>
          </cell>
          <cell r="C8380">
            <v>139</v>
          </cell>
        </row>
        <row r="8381">
          <cell r="B8381">
            <v>9.6990740740757642E-2</v>
          </cell>
          <cell r="C8381">
            <v>139</v>
          </cell>
        </row>
        <row r="8382">
          <cell r="B8382">
            <v>9.7002314814831722E-2</v>
          </cell>
          <cell r="C8382">
            <v>139</v>
          </cell>
        </row>
        <row r="8383">
          <cell r="B8383">
            <v>9.7013888888905803E-2</v>
          </cell>
          <cell r="C8383">
            <v>139</v>
          </cell>
        </row>
        <row r="8384">
          <cell r="B8384">
            <v>9.7025462962979883E-2</v>
          </cell>
          <cell r="C8384">
            <v>139</v>
          </cell>
        </row>
        <row r="8385">
          <cell r="B8385">
            <v>9.7037037037053964E-2</v>
          </cell>
          <cell r="C8385">
            <v>139</v>
          </cell>
        </row>
        <row r="8386">
          <cell r="B8386">
            <v>9.7048611111128044E-2</v>
          </cell>
          <cell r="C8386">
            <v>139</v>
          </cell>
        </row>
        <row r="8387">
          <cell r="B8387">
            <v>9.7060185185202125E-2</v>
          </cell>
          <cell r="C8387">
            <v>139</v>
          </cell>
        </row>
        <row r="8388">
          <cell r="B8388">
            <v>9.7071759259276205E-2</v>
          </cell>
          <cell r="C8388">
            <v>139</v>
          </cell>
        </row>
        <row r="8389">
          <cell r="B8389">
            <v>9.7083333333350286E-2</v>
          </cell>
          <cell r="C8389">
            <v>139</v>
          </cell>
        </row>
        <row r="8390">
          <cell r="B8390">
            <v>9.7094907407424366E-2</v>
          </cell>
          <cell r="C8390">
            <v>139</v>
          </cell>
        </row>
        <row r="8391">
          <cell r="B8391">
            <v>9.7106481481498447E-2</v>
          </cell>
          <cell r="C8391">
            <v>139</v>
          </cell>
        </row>
        <row r="8392">
          <cell r="B8392">
            <v>9.7118055555572527E-2</v>
          </cell>
          <cell r="C8392">
            <v>139</v>
          </cell>
        </row>
        <row r="8393">
          <cell r="B8393">
            <v>9.7129629629646608E-2</v>
          </cell>
          <cell r="C8393">
            <v>139</v>
          </cell>
        </row>
        <row r="8394">
          <cell r="B8394">
            <v>9.7141203703720688E-2</v>
          </cell>
          <cell r="C8394">
            <v>139</v>
          </cell>
        </row>
        <row r="8395">
          <cell r="B8395">
            <v>9.7152777777794769E-2</v>
          </cell>
          <cell r="C8395">
            <v>139</v>
          </cell>
        </row>
        <row r="8396">
          <cell r="B8396">
            <v>9.7164351851868849E-2</v>
          </cell>
          <cell r="C8396">
            <v>139</v>
          </cell>
        </row>
        <row r="8397">
          <cell r="B8397">
            <v>9.717592592594293E-2</v>
          </cell>
          <cell r="C8397">
            <v>139</v>
          </cell>
        </row>
        <row r="8398">
          <cell r="B8398">
            <v>9.718750000001701E-2</v>
          </cell>
          <cell r="C8398">
            <v>139</v>
          </cell>
        </row>
        <row r="8399">
          <cell r="B8399">
            <v>9.7199074074091091E-2</v>
          </cell>
          <cell r="C8399">
            <v>139</v>
          </cell>
        </row>
        <row r="8400">
          <cell r="B8400">
            <v>9.7210648148165171E-2</v>
          </cell>
          <cell r="C8400">
            <v>139</v>
          </cell>
        </row>
        <row r="8401">
          <cell r="B8401">
            <v>9.7222222222239252E-2</v>
          </cell>
          <cell r="C8401">
            <v>140</v>
          </cell>
        </row>
        <row r="8402">
          <cell r="B8402">
            <v>9.7233796296313332E-2</v>
          </cell>
          <cell r="C8402">
            <v>140</v>
          </cell>
        </row>
        <row r="8403">
          <cell r="B8403">
            <v>9.7245370370387413E-2</v>
          </cell>
          <cell r="C8403">
            <v>140</v>
          </cell>
        </row>
        <row r="8404">
          <cell r="B8404">
            <v>9.7256944444461493E-2</v>
          </cell>
          <cell r="C8404">
            <v>140</v>
          </cell>
        </row>
        <row r="8405">
          <cell r="B8405">
            <v>9.7268518518535574E-2</v>
          </cell>
          <cell r="C8405">
            <v>140</v>
          </cell>
        </row>
        <row r="8406">
          <cell r="B8406">
            <v>9.7280092592609654E-2</v>
          </cell>
          <cell r="C8406">
            <v>140</v>
          </cell>
        </row>
        <row r="8407">
          <cell r="B8407">
            <v>9.7291666666683735E-2</v>
          </cell>
          <cell r="C8407">
            <v>140</v>
          </cell>
        </row>
        <row r="8408">
          <cell r="B8408">
            <v>9.7303240740757815E-2</v>
          </cell>
          <cell r="C8408">
            <v>140</v>
          </cell>
        </row>
        <row r="8409">
          <cell r="B8409">
            <v>9.7314814814831896E-2</v>
          </cell>
          <cell r="C8409">
            <v>140</v>
          </cell>
        </row>
        <row r="8410">
          <cell r="B8410">
            <v>9.7326388888905976E-2</v>
          </cell>
          <cell r="C8410">
            <v>140</v>
          </cell>
        </row>
        <row r="8411">
          <cell r="B8411">
            <v>9.7337962962980057E-2</v>
          </cell>
          <cell r="C8411">
            <v>140</v>
          </cell>
        </row>
        <row r="8412">
          <cell r="B8412">
            <v>9.7349537037054137E-2</v>
          </cell>
          <cell r="C8412">
            <v>140</v>
          </cell>
        </row>
        <row r="8413">
          <cell r="B8413">
            <v>9.7361111111128218E-2</v>
          </cell>
          <cell r="C8413">
            <v>140</v>
          </cell>
        </row>
        <row r="8414">
          <cell r="B8414">
            <v>9.7372685185202298E-2</v>
          </cell>
          <cell r="C8414">
            <v>140</v>
          </cell>
        </row>
        <row r="8415">
          <cell r="B8415">
            <v>9.7384259259276379E-2</v>
          </cell>
          <cell r="C8415">
            <v>140</v>
          </cell>
        </row>
        <row r="8416">
          <cell r="B8416">
            <v>9.7395833333350459E-2</v>
          </cell>
          <cell r="C8416">
            <v>140</v>
          </cell>
        </row>
        <row r="8417">
          <cell r="B8417">
            <v>9.740740740742454E-2</v>
          </cell>
          <cell r="C8417">
            <v>140</v>
          </cell>
        </row>
        <row r="8418">
          <cell r="B8418">
            <v>9.741898148149862E-2</v>
          </cell>
          <cell r="C8418">
            <v>140</v>
          </cell>
        </row>
        <row r="8419">
          <cell r="B8419">
            <v>9.7430555555572701E-2</v>
          </cell>
          <cell r="C8419">
            <v>140</v>
          </cell>
        </row>
        <row r="8420">
          <cell r="B8420">
            <v>9.7442129629646781E-2</v>
          </cell>
          <cell r="C8420">
            <v>140</v>
          </cell>
        </row>
        <row r="8421">
          <cell r="B8421">
            <v>9.7453703703720862E-2</v>
          </cell>
          <cell r="C8421">
            <v>140</v>
          </cell>
        </row>
        <row r="8422">
          <cell r="B8422">
            <v>9.7465277777794943E-2</v>
          </cell>
          <cell r="C8422">
            <v>140</v>
          </cell>
        </row>
        <row r="8423">
          <cell r="B8423">
            <v>9.7476851851869023E-2</v>
          </cell>
          <cell r="C8423">
            <v>140</v>
          </cell>
        </row>
        <row r="8424">
          <cell r="B8424">
            <v>9.7488425925943104E-2</v>
          </cell>
          <cell r="C8424">
            <v>140</v>
          </cell>
        </row>
        <row r="8425">
          <cell r="B8425">
            <v>9.7500000000017184E-2</v>
          </cell>
          <cell r="C8425">
            <v>140</v>
          </cell>
        </row>
        <row r="8426">
          <cell r="B8426">
            <v>9.7511574074091265E-2</v>
          </cell>
          <cell r="C8426">
            <v>140</v>
          </cell>
        </row>
        <row r="8427">
          <cell r="B8427">
            <v>9.7523148148165345E-2</v>
          </cell>
          <cell r="C8427">
            <v>140</v>
          </cell>
        </row>
        <row r="8428">
          <cell r="B8428">
            <v>9.7534722222239426E-2</v>
          </cell>
          <cell r="C8428">
            <v>140</v>
          </cell>
        </row>
        <row r="8429">
          <cell r="B8429">
            <v>9.7546296296313506E-2</v>
          </cell>
          <cell r="C8429">
            <v>140</v>
          </cell>
        </row>
        <row r="8430">
          <cell r="B8430">
            <v>9.7557870370387587E-2</v>
          </cell>
          <cell r="C8430">
            <v>140</v>
          </cell>
        </row>
        <row r="8431">
          <cell r="B8431">
            <v>9.7569444444461667E-2</v>
          </cell>
          <cell r="C8431">
            <v>140</v>
          </cell>
        </row>
        <row r="8432">
          <cell r="B8432">
            <v>9.7581018518535748E-2</v>
          </cell>
          <cell r="C8432">
            <v>140</v>
          </cell>
        </row>
        <row r="8433">
          <cell r="B8433">
            <v>9.7592592592609828E-2</v>
          </cell>
          <cell r="C8433">
            <v>140</v>
          </cell>
        </row>
        <row r="8434">
          <cell r="B8434">
            <v>9.7604166666683909E-2</v>
          </cell>
          <cell r="C8434">
            <v>140</v>
          </cell>
        </row>
        <row r="8435">
          <cell r="B8435">
            <v>9.7615740740757989E-2</v>
          </cell>
          <cell r="C8435">
            <v>140</v>
          </cell>
        </row>
        <row r="8436">
          <cell r="B8436">
            <v>9.762731481483207E-2</v>
          </cell>
          <cell r="C8436">
            <v>140</v>
          </cell>
        </row>
        <row r="8437">
          <cell r="B8437">
            <v>9.763888888890615E-2</v>
          </cell>
          <cell r="C8437">
            <v>140</v>
          </cell>
        </row>
        <row r="8438">
          <cell r="B8438">
            <v>9.7650462962980231E-2</v>
          </cell>
          <cell r="C8438">
            <v>140</v>
          </cell>
        </row>
        <row r="8439">
          <cell r="B8439">
            <v>9.7662037037054311E-2</v>
          </cell>
          <cell r="C8439">
            <v>140</v>
          </cell>
        </row>
        <row r="8440">
          <cell r="B8440">
            <v>9.7673611111128392E-2</v>
          </cell>
          <cell r="C8440">
            <v>140</v>
          </cell>
        </row>
        <row r="8441">
          <cell r="B8441">
            <v>9.7685185185202472E-2</v>
          </cell>
          <cell r="C8441">
            <v>140</v>
          </cell>
        </row>
        <row r="8442">
          <cell r="B8442">
            <v>9.7696759259276553E-2</v>
          </cell>
          <cell r="C8442">
            <v>140</v>
          </cell>
        </row>
        <row r="8443">
          <cell r="B8443">
            <v>9.7708333333350633E-2</v>
          </cell>
          <cell r="C8443">
            <v>140</v>
          </cell>
        </row>
        <row r="8444">
          <cell r="B8444">
            <v>9.7719907407424714E-2</v>
          </cell>
          <cell r="C8444">
            <v>140</v>
          </cell>
        </row>
        <row r="8445">
          <cell r="B8445">
            <v>9.7731481481498794E-2</v>
          </cell>
          <cell r="C8445">
            <v>140</v>
          </cell>
        </row>
        <row r="8446">
          <cell r="B8446">
            <v>9.7743055555572875E-2</v>
          </cell>
          <cell r="C8446">
            <v>140</v>
          </cell>
        </row>
        <row r="8447">
          <cell r="B8447">
            <v>9.7754629629646955E-2</v>
          </cell>
          <cell r="C8447">
            <v>140</v>
          </cell>
        </row>
        <row r="8448">
          <cell r="B8448">
            <v>9.7766203703721036E-2</v>
          </cell>
          <cell r="C8448">
            <v>140</v>
          </cell>
        </row>
        <row r="8449">
          <cell r="B8449">
            <v>9.7777777777795116E-2</v>
          </cell>
          <cell r="C8449">
            <v>140</v>
          </cell>
        </row>
        <row r="8450">
          <cell r="B8450">
            <v>9.7789351851869197E-2</v>
          </cell>
          <cell r="C8450">
            <v>140</v>
          </cell>
        </row>
        <row r="8451">
          <cell r="B8451">
            <v>9.7800925925943277E-2</v>
          </cell>
          <cell r="C8451">
            <v>140</v>
          </cell>
        </row>
        <row r="8452">
          <cell r="B8452">
            <v>9.7812500000017358E-2</v>
          </cell>
          <cell r="C8452">
            <v>140</v>
          </cell>
        </row>
        <row r="8453">
          <cell r="B8453">
            <v>9.7824074074091438E-2</v>
          </cell>
          <cell r="C8453">
            <v>140</v>
          </cell>
        </row>
        <row r="8454">
          <cell r="B8454">
            <v>9.7835648148165519E-2</v>
          </cell>
          <cell r="C8454">
            <v>140</v>
          </cell>
        </row>
        <row r="8455">
          <cell r="B8455">
            <v>9.7847222222239599E-2</v>
          </cell>
          <cell r="C8455">
            <v>140</v>
          </cell>
        </row>
        <row r="8456">
          <cell r="B8456">
            <v>9.785879629631368E-2</v>
          </cell>
          <cell r="C8456">
            <v>140</v>
          </cell>
        </row>
        <row r="8457">
          <cell r="B8457">
            <v>9.787037037038776E-2</v>
          </cell>
          <cell r="C8457">
            <v>140</v>
          </cell>
        </row>
        <row r="8458">
          <cell r="B8458">
            <v>9.7881944444461841E-2</v>
          </cell>
          <cell r="C8458">
            <v>140</v>
          </cell>
        </row>
        <row r="8459">
          <cell r="B8459">
            <v>9.7893518518535921E-2</v>
          </cell>
          <cell r="C8459">
            <v>140</v>
          </cell>
        </row>
        <row r="8460">
          <cell r="B8460">
            <v>9.7905092592610002E-2</v>
          </cell>
          <cell r="C8460">
            <v>140</v>
          </cell>
        </row>
        <row r="8461">
          <cell r="B8461">
            <v>9.7916666666684082E-2</v>
          </cell>
          <cell r="C8461">
            <v>141</v>
          </cell>
        </row>
        <row r="8462">
          <cell r="B8462">
            <v>9.7928240740758163E-2</v>
          </cell>
          <cell r="C8462">
            <v>141</v>
          </cell>
        </row>
        <row r="8463">
          <cell r="B8463">
            <v>9.7939814814832243E-2</v>
          </cell>
          <cell r="C8463">
            <v>141</v>
          </cell>
        </row>
        <row r="8464">
          <cell r="B8464">
            <v>9.7951388888906324E-2</v>
          </cell>
          <cell r="C8464">
            <v>141</v>
          </cell>
        </row>
        <row r="8465">
          <cell r="B8465">
            <v>9.7962962962980404E-2</v>
          </cell>
          <cell r="C8465">
            <v>141</v>
          </cell>
        </row>
        <row r="8466">
          <cell r="B8466">
            <v>9.7974537037054485E-2</v>
          </cell>
          <cell r="C8466">
            <v>141</v>
          </cell>
        </row>
        <row r="8467">
          <cell r="B8467">
            <v>9.7986111111128565E-2</v>
          </cell>
          <cell r="C8467">
            <v>141</v>
          </cell>
        </row>
        <row r="8468">
          <cell r="B8468">
            <v>9.7997685185202646E-2</v>
          </cell>
          <cell r="C8468">
            <v>141</v>
          </cell>
        </row>
        <row r="8469">
          <cell r="B8469">
            <v>9.8009259259276726E-2</v>
          </cell>
          <cell r="C8469">
            <v>141</v>
          </cell>
        </row>
        <row r="8470">
          <cell r="B8470">
            <v>9.8020833333350807E-2</v>
          </cell>
          <cell r="C8470">
            <v>141</v>
          </cell>
        </row>
        <row r="8471">
          <cell r="B8471">
            <v>9.8032407407424887E-2</v>
          </cell>
          <cell r="C8471">
            <v>141</v>
          </cell>
        </row>
        <row r="8472">
          <cell r="B8472">
            <v>9.8043981481498968E-2</v>
          </cell>
          <cell r="C8472">
            <v>141</v>
          </cell>
        </row>
        <row r="8473">
          <cell r="B8473">
            <v>9.8055555555573048E-2</v>
          </cell>
          <cell r="C8473">
            <v>141</v>
          </cell>
        </row>
        <row r="8474">
          <cell r="B8474">
            <v>9.8067129629647129E-2</v>
          </cell>
          <cell r="C8474">
            <v>141</v>
          </cell>
        </row>
        <row r="8475">
          <cell r="B8475">
            <v>9.8078703703721209E-2</v>
          </cell>
          <cell r="C8475">
            <v>141</v>
          </cell>
        </row>
        <row r="8476">
          <cell r="B8476">
            <v>9.809027777779529E-2</v>
          </cell>
          <cell r="C8476">
            <v>141</v>
          </cell>
        </row>
        <row r="8477">
          <cell r="B8477">
            <v>9.8101851851869371E-2</v>
          </cell>
          <cell r="C8477">
            <v>141</v>
          </cell>
        </row>
        <row r="8478">
          <cell r="B8478">
            <v>9.8113425925943451E-2</v>
          </cell>
          <cell r="C8478">
            <v>141</v>
          </cell>
        </row>
        <row r="8479">
          <cell r="B8479">
            <v>9.8125000000017532E-2</v>
          </cell>
          <cell r="C8479">
            <v>141</v>
          </cell>
        </row>
        <row r="8480">
          <cell r="B8480">
            <v>9.8136574074091612E-2</v>
          </cell>
          <cell r="C8480">
            <v>141</v>
          </cell>
        </row>
        <row r="8481">
          <cell r="B8481">
            <v>9.8148148148165693E-2</v>
          </cell>
          <cell r="C8481">
            <v>141</v>
          </cell>
        </row>
        <row r="8482">
          <cell r="B8482">
            <v>9.8159722222239773E-2</v>
          </cell>
          <cell r="C8482">
            <v>141</v>
          </cell>
        </row>
        <row r="8483">
          <cell r="B8483">
            <v>9.8171296296313854E-2</v>
          </cell>
          <cell r="C8483">
            <v>141</v>
          </cell>
        </row>
        <row r="8484">
          <cell r="B8484">
            <v>9.8182870370387934E-2</v>
          </cell>
          <cell r="C8484">
            <v>141</v>
          </cell>
        </row>
        <row r="8485">
          <cell r="B8485">
            <v>9.8194444444462015E-2</v>
          </cell>
          <cell r="C8485">
            <v>141</v>
          </cell>
        </row>
        <row r="8486">
          <cell r="B8486">
            <v>9.8206018518536095E-2</v>
          </cell>
          <cell r="C8486">
            <v>141</v>
          </cell>
        </row>
        <row r="8487">
          <cell r="B8487">
            <v>9.8217592592610176E-2</v>
          </cell>
          <cell r="C8487">
            <v>141</v>
          </cell>
        </row>
        <row r="8488">
          <cell r="B8488">
            <v>9.8229166666684256E-2</v>
          </cell>
          <cell r="C8488">
            <v>141</v>
          </cell>
        </row>
        <row r="8489">
          <cell r="B8489">
            <v>9.8240740740758337E-2</v>
          </cell>
          <cell r="C8489">
            <v>141</v>
          </cell>
        </row>
        <row r="8490">
          <cell r="B8490">
            <v>9.8252314814832417E-2</v>
          </cell>
          <cell r="C8490">
            <v>141</v>
          </cell>
        </row>
        <row r="8491">
          <cell r="B8491">
            <v>9.8263888888906498E-2</v>
          </cell>
          <cell r="C8491">
            <v>141</v>
          </cell>
        </row>
        <row r="8492">
          <cell r="B8492">
            <v>9.8275462962980578E-2</v>
          </cell>
          <cell r="C8492">
            <v>141</v>
          </cell>
        </row>
        <row r="8493">
          <cell r="B8493">
            <v>9.8287037037054659E-2</v>
          </cell>
          <cell r="C8493">
            <v>141</v>
          </cell>
        </row>
        <row r="8494">
          <cell r="B8494">
            <v>9.8298611111128739E-2</v>
          </cell>
          <cell r="C8494">
            <v>141</v>
          </cell>
        </row>
        <row r="8495">
          <cell r="B8495">
            <v>9.831018518520282E-2</v>
          </cell>
          <cell r="C8495">
            <v>141</v>
          </cell>
        </row>
        <row r="8496">
          <cell r="B8496">
            <v>9.83217592592769E-2</v>
          </cell>
          <cell r="C8496">
            <v>141</v>
          </cell>
        </row>
        <row r="8497">
          <cell r="B8497">
            <v>9.8333333333350981E-2</v>
          </cell>
          <cell r="C8497">
            <v>141</v>
          </cell>
        </row>
        <row r="8498">
          <cell r="B8498">
            <v>9.8344907407425061E-2</v>
          </cell>
          <cell r="C8498">
            <v>141</v>
          </cell>
        </row>
        <row r="8499">
          <cell r="B8499">
            <v>9.8356481481499142E-2</v>
          </cell>
          <cell r="C8499">
            <v>141</v>
          </cell>
        </row>
        <row r="8500">
          <cell r="B8500">
            <v>9.8368055555573222E-2</v>
          </cell>
          <cell r="C8500">
            <v>141</v>
          </cell>
        </row>
        <row r="8501">
          <cell r="B8501">
            <v>9.8379629629647303E-2</v>
          </cell>
          <cell r="C8501">
            <v>141</v>
          </cell>
        </row>
        <row r="8502">
          <cell r="B8502">
            <v>9.8391203703721383E-2</v>
          </cell>
          <cell r="C8502">
            <v>141</v>
          </cell>
        </row>
        <row r="8503">
          <cell r="B8503">
            <v>9.8402777777795464E-2</v>
          </cell>
          <cell r="C8503">
            <v>141</v>
          </cell>
        </row>
        <row r="8504">
          <cell r="B8504">
            <v>9.8414351851869544E-2</v>
          </cell>
          <cell r="C8504">
            <v>141</v>
          </cell>
        </row>
        <row r="8505">
          <cell r="B8505">
            <v>9.8425925925943625E-2</v>
          </cell>
          <cell r="C8505">
            <v>141</v>
          </cell>
        </row>
        <row r="8506">
          <cell r="B8506">
            <v>9.8437500000017705E-2</v>
          </cell>
          <cell r="C8506">
            <v>141</v>
          </cell>
        </row>
        <row r="8507">
          <cell r="B8507">
            <v>9.8449074074091786E-2</v>
          </cell>
          <cell r="C8507">
            <v>141</v>
          </cell>
        </row>
        <row r="8508">
          <cell r="B8508">
            <v>9.8460648148165866E-2</v>
          </cell>
          <cell r="C8508">
            <v>141</v>
          </cell>
        </row>
        <row r="8509">
          <cell r="B8509">
            <v>9.8472222222239947E-2</v>
          </cell>
          <cell r="C8509">
            <v>141</v>
          </cell>
        </row>
        <row r="8510">
          <cell r="B8510">
            <v>9.8483796296314027E-2</v>
          </cell>
          <cell r="C8510">
            <v>141</v>
          </cell>
        </row>
        <row r="8511">
          <cell r="B8511">
            <v>9.8495370370388108E-2</v>
          </cell>
          <cell r="C8511">
            <v>141</v>
          </cell>
        </row>
        <row r="8512">
          <cell r="B8512">
            <v>9.8506944444462188E-2</v>
          </cell>
          <cell r="C8512">
            <v>141</v>
          </cell>
        </row>
        <row r="8513">
          <cell r="B8513">
            <v>9.8518518518536269E-2</v>
          </cell>
          <cell r="C8513">
            <v>141</v>
          </cell>
        </row>
        <row r="8514">
          <cell r="B8514">
            <v>9.8530092592610349E-2</v>
          </cell>
          <cell r="C8514">
            <v>141</v>
          </cell>
        </row>
        <row r="8515">
          <cell r="B8515">
            <v>9.854166666668443E-2</v>
          </cell>
          <cell r="C8515">
            <v>141</v>
          </cell>
        </row>
        <row r="8516">
          <cell r="B8516">
            <v>9.855324074075851E-2</v>
          </cell>
          <cell r="C8516">
            <v>141</v>
          </cell>
        </row>
        <row r="8517">
          <cell r="B8517">
            <v>9.8564814814832591E-2</v>
          </cell>
          <cell r="C8517">
            <v>141</v>
          </cell>
        </row>
        <row r="8518">
          <cell r="B8518">
            <v>9.8576388888906671E-2</v>
          </cell>
          <cell r="C8518">
            <v>141</v>
          </cell>
        </row>
        <row r="8519">
          <cell r="B8519">
            <v>9.8587962962980752E-2</v>
          </cell>
          <cell r="C8519">
            <v>141</v>
          </cell>
        </row>
        <row r="8520">
          <cell r="B8520">
            <v>9.8599537037054832E-2</v>
          </cell>
          <cell r="C8520">
            <v>141</v>
          </cell>
        </row>
        <row r="8521">
          <cell r="B8521">
            <v>9.8611111111128913E-2</v>
          </cell>
          <cell r="C8521">
            <v>142</v>
          </cell>
        </row>
        <row r="8522">
          <cell r="B8522">
            <v>9.8622685185202993E-2</v>
          </cell>
          <cell r="C8522">
            <v>142</v>
          </cell>
        </row>
        <row r="8523">
          <cell r="B8523">
            <v>9.8634259259277074E-2</v>
          </cell>
          <cell r="C8523">
            <v>142</v>
          </cell>
        </row>
        <row r="8524">
          <cell r="B8524">
            <v>9.8645833333351154E-2</v>
          </cell>
          <cell r="C8524">
            <v>142</v>
          </cell>
        </row>
        <row r="8525">
          <cell r="B8525">
            <v>9.8657407407425235E-2</v>
          </cell>
          <cell r="C8525">
            <v>142</v>
          </cell>
        </row>
        <row r="8526">
          <cell r="B8526">
            <v>9.8668981481499315E-2</v>
          </cell>
          <cell r="C8526">
            <v>142</v>
          </cell>
        </row>
        <row r="8527">
          <cell r="B8527">
            <v>9.8680555555573396E-2</v>
          </cell>
          <cell r="C8527">
            <v>142</v>
          </cell>
        </row>
        <row r="8528">
          <cell r="B8528">
            <v>9.8692129629647476E-2</v>
          </cell>
          <cell r="C8528">
            <v>142</v>
          </cell>
        </row>
        <row r="8529">
          <cell r="B8529">
            <v>9.8703703703721557E-2</v>
          </cell>
          <cell r="C8529">
            <v>142</v>
          </cell>
        </row>
        <row r="8530">
          <cell r="B8530">
            <v>9.8715277777795638E-2</v>
          </cell>
          <cell r="C8530">
            <v>142</v>
          </cell>
        </row>
        <row r="8531">
          <cell r="B8531">
            <v>9.8726851851869718E-2</v>
          </cell>
          <cell r="C8531">
            <v>142</v>
          </cell>
        </row>
        <row r="8532">
          <cell r="B8532">
            <v>9.8738425925943799E-2</v>
          </cell>
          <cell r="C8532">
            <v>142</v>
          </cell>
        </row>
        <row r="8533">
          <cell r="B8533">
            <v>9.8750000000017879E-2</v>
          </cell>
          <cell r="C8533">
            <v>142</v>
          </cell>
        </row>
        <row r="8534">
          <cell r="B8534">
            <v>9.876157407409196E-2</v>
          </cell>
          <cell r="C8534">
            <v>142</v>
          </cell>
        </row>
        <row r="8535">
          <cell r="B8535">
            <v>9.877314814816604E-2</v>
          </cell>
          <cell r="C8535">
            <v>142</v>
          </cell>
        </row>
        <row r="8536">
          <cell r="B8536">
            <v>9.8784722222240121E-2</v>
          </cell>
          <cell r="C8536">
            <v>142</v>
          </cell>
        </row>
        <row r="8537">
          <cell r="B8537">
            <v>9.8796296296314201E-2</v>
          </cell>
          <cell r="C8537">
            <v>142</v>
          </cell>
        </row>
        <row r="8538">
          <cell r="B8538">
            <v>9.8807870370388282E-2</v>
          </cell>
          <cell r="C8538">
            <v>142</v>
          </cell>
        </row>
        <row r="8539">
          <cell r="B8539">
            <v>9.8819444444462362E-2</v>
          </cell>
          <cell r="C8539">
            <v>142</v>
          </cell>
        </row>
        <row r="8540">
          <cell r="B8540">
            <v>9.8831018518536443E-2</v>
          </cell>
          <cell r="C8540">
            <v>142</v>
          </cell>
        </row>
        <row r="8541">
          <cell r="B8541">
            <v>9.8842592592610523E-2</v>
          </cell>
          <cell r="C8541">
            <v>142</v>
          </cell>
        </row>
        <row r="8542">
          <cell r="B8542">
            <v>9.8854166666684604E-2</v>
          </cell>
          <cell r="C8542">
            <v>142</v>
          </cell>
        </row>
        <row r="8543">
          <cell r="B8543">
            <v>9.8865740740758684E-2</v>
          </cell>
          <cell r="C8543">
            <v>142</v>
          </cell>
        </row>
        <row r="8544">
          <cell r="B8544">
            <v>9.8877314814832765E-2</v>
          </cell>
          <cell r="C8544">
            <v>142</v>
          </cell>
        </row>
        <row r="8545">
          <cell r="B8545">
            <v>9.8888888888906845E-2</v>
          </cell>
          <cell r="C8545">
            <v>142</v>
          </cell>
        </row>
        <row r="8546">
          <cell r="B8546">
            <v>9.8900462962980926E-2</v>
          </cell>
          <cell r="C8546">
            <v>142</v>
          </cell>
        </row>
        <row r="8547">
          <cell r="B8547">
            <v>9.8912037037055006E-2</v>
          </cell>
          <cell r="C8547">
            <v>142</v>
          </cell>
        </row>
        <row r="8548">
          <cell r="B8548">
            <v>9.8923611111129087E-2</v>
          </cell>
          <cell r="C8548">
            <v>142</v>
          </cell>
        </row>
        <row r="8549">
          <cell r="B8549">
            <v>9.8935185185203167E-2</v>
          </cell>
          <cell r="C8549">
            <v>142</v>
          </cell>
        </row>
        <row r="8550">
          <cell r="B8550">
            <v>9.8946759259277248E-2</v>
          </cell>
          <cell r="C8550">
            <v>142</v>
          </cell>
        </row>
        <row r="8551">
          <cell r="B8551">
            <v>9.8958333333351328E-2</v>
          </cell>
          <cell r="C8551">
            <v>142</v>
          </cell>
        </row>
        <row r="8552">
          <cell r="B8552">
            <v>9.8969907407425409E-2</v>
          </cell>
          <cell r="C8552">
            <v>142</v>
          </cell>
        </row>
        <row r="8553">
          <cell r="B8553">
            <v>9.8981481481499489E-2</v>
          </cell>
          <cell r="C8553">
            <v>142</v>
          </cell>
        </row>
        <row r="8554">
          <cell r="B8554">
            <v>9.899305555557357E-2</v>
          </cell>
          <cell r="C8554">
            <v>142</v>
          </cell>
        </row>
        <row r="8555">
          <cell r="B8555">
            <v>9.900462962964765E-2</v>
          </cell>
          <cell r="C8555">
            <v>142</v>
          </cell>
        </row>
        <row r="8556">
          <cell r="B8556">
            <v>9.9016203703721731E-2</v>
          </cell>
          <cell r="C8556">
            <v>142</v>
          </cell>
        </row>
        <row r="8557">
          <cell r="B8557">
            <v>9.9027777777795811E-2</v>
          </cell>
          <cell r="C8557">
            <v>142</v>
          </cell>
        </row>
        <row r="8558">
          <cell r="B8558">
            <v>9.9039351851869892E-2</v>
          </cell>
          <cell r="C8558">
            <v>142</v>
          </cell>
        </row>
        <row r="8559">
          <cell r="B8559">
            <v>9.9050925925943972E-2</v>
          </cell>
          <cell r="C8559">
            <v>142</v>
          </cell>
        </row>
        <row r="8560">
          <cell r="B8560">
            <v>9.9062500000018053E-2</v>
          </cell>
          <cell r="C8560">
            <v>142</v>
          </cell>
        </row>
        <row r="8561">
          <cell r="B8561">
            <v>9.9074074074092133E-2</v>
          </cell>
          <cell r="C8561">
            <v>142</v>
          </cell>
        </row>
        <row r="8562">
          <cell r="B8562">
            <v>9.9085648148166214E-2</v>
          </cell>
          <cell r="C8562">
            <v>142</v>
          </cell>
        </row>
        <row r="8563">
          <cell r="B8563">
            <v>9.9097222222240294E-2</v>
          </cell>
          <cell r="C8563">
            <v>142</v>
          </cell>
        </row>
        <row r="8564">
          <cell r="B8564">
            <v>9.9108796296314375E-2</v>
          </cell>
          <cell r="C8564">
            <v>142</v>
          </cell>
        </row>
        <row r="8565">
          <cell r="B8565">
            <v>9.9120370370388455E-2</v>
          </cell>
          <cell r="C8565">
            <v>142</v>
          </cell>
        </row>
        <row r="8566">
          <cell r="B8566">
            <v>9.9131944444462536E-2</v>
          </cell>
          <cell r="C8566">
            <v>142</v>
          </cell>
        </row>
        <row r="8567">
          <cell r="B8567">
            <v>9.9143518518536616E-2</v>
          </cell>
          <cell r="C8567">
            <v>142</v>
          </cell>
        </row>
        <row r="8568">
          <cell r="B8568">
            <v>9.9155092592610697E-2</v>
          </cell>
          <cell r="C8568">
            <v>142</v>
          </cell>
        </row>
        <row r="8569">
          <cell r="B8569">
            <v>9.9166666666684777E-2</v>
          </cell>
          <cell r="C8569">
            <v>142</v>
          </cell>
        </row>
        <row r="8570">
          <cell r="B8570">
            <v>9.9178240740758858E-2</v>
          </cell>
          <cell r="C8570">
            <v>142</v>
          </cell>
        </row>
        <row r="8571">
          <cell r="B8571">
            <v>9.9189814814832938E-2</v>
          </cell>
          <cell r="C8571">
            <v>142</v>
          </cell>
        </row>
        <row r="8572">
          <cell r="B8572">
            <v>9.9201388888907019E-2</v>
          </cell>
          <cell r="C8572">
            <v>142</v>
          </cell>
        </row>
        <row r="8573">
          <cell r="B8573">
            <v>9.9212962962981099E-2</v>
          </cell>
          <cell r="C8573">
            <v>142</v>
          </cell>
        </row>
        <row r="8574">
          <cell r="B8574">
            <v>9.922453703705518E-2</v>
          </cell>
          <cell r="C8574">
            <v>142</v>
          </cell>
        </row>
        <row r="8575">
          <cell r="B8575">
            <v>9.923611111112926E-2</v>
          </cell>
          <cell r="C8575">
            <v>142</v>
          </cell>
        </row>
        <row r="8576">
          <cell r="B8576">
            <v>9.9247685185203341E-2</v>
          </cell>
          <cell r="C8576">
            <v>142</v>
          </cell>
        </row>
        <row r="8577">
          <cell r="B8577">
            <v>9.9259259259277421E-2</v>
          </cell>
          <cell r="C8577">
            <v>142</v>
          </cell>
        </row>
        <row r="8578">
          <cell r="B8578">
            <v>9.9270833333351502E-2</v>
          </cell>
          <cell r="C8578">
            <v>142</v>
          </cell>
        </row>
        <row r="8579">
          <cell r="B8579">
            <v>9.9282407407425582E-2</v>
          </cell>
          <cell r="C8579">
            <v>142</v>
          </cell>
        </row>
        <row r="8580">
          <cell r="B8580">
            <v>9.9293981481499663E-2</v>
          </cell>
          <cell r="C8580">
            <v>142</v>
          </cell>
        </row>
        <row r="8581">
          <cell r="B8581">
            <v>9.9305555555573743E-2</v>
          </cell>
          <cell r="C8581">
            <v>143</v>
          </cell>
        </row>
        <row r="8582">
          <cell r="B8582">
            <v>9.9317129629647824E-2</v>
          </cell>
          <cell r="C8582">
            <v>143</v>
          </cell>
        </row>
        <row r="8583">
          <cell r="B8583">
            <v>9.9328703703721904E-2</v>
          </cell>
          <cell r="C8583">
            <v>143</v>
          </cell>
        </row>
        <row r="8584">
          <cell r="B8584">
            <v>9.9340277777795985E-2</v>
          </cell>
          <cell r="C8584">
            <v>143</v>
          </cell>
        </row>
        <row r="8585">
          <cell r="B8585">
            <v>9.9351851851870066E-2</v>
          </cell>
          <cell r="C8585">
            <v>143</v>
          </cell>
        </row>
        <row r="8586">
          <cell r="B8586">
            <v>9.9363425925944146E-2</v>
          </cell>
          <cell r="C8586">
            <v>143</v>
          </cell>
        </row>
        <row r="8587">
          <cell r="B8587">
            <v>9.9375000000018227E-2</v>
          </cell>
          <cell r="C8587">
            <v>143</v>
          </cell>
        </row>
        <row r="8588">
          <cell r="B8588">
            <v>9.9386574074092307E-2</v>
          </cell>
          <cell r="C8588">
            <v>143</v>
          </cell>
        </row>
        <row r="8589">
          <cell r="B8589">
            <v>9.9398148148166388E-2</v>
          </cell>
          <cell r="C8589">
            <v>143</v>
          </cell>
        </row>
        <row r="8590">
          <cell r="B8590">
            <v>9.9409722222240468E-2</v>
          </cell>
          <cell r="C8590">
            <v>143</v>
          </cell>
        </row>
        <row r="8591">
          <cell r="B8591">
            <v>9.9421296296314549E-2</v>
          </cell>
          <cell r="C8591">
            <v>143</v>
          </cell>
        </row>
        <row r="8592">
          <cell r="B8592">
            <v>9.9432870370388629E-2</v>
          </cell>
          <cell r="C8592">
            <v>143</v>
          </cell>
        </row>
        <row r="8593">
          <cell r="B8593">
            <v>9.944444444446271E-2</v>
          </cell>
          <cell r="C8593">
            <v>143</v>
          </cell>
        </row>
        <row r="8594">
          <cell r="B8594">
            <v>9.945601851853679E-2</v>
          </cell>
          <cell r="C8594">
            <v>143</v>
          </cell>
        </row>
        <row r="8595">
          <cell r="B8595">
            <v>9.9467592592610871E-2</v>
          </cell>
          <cell r="C8595">
            <v>143</v>
          </cell>
        </row>
        <row r="8596">
          <cell r="B8596">
            <v>9.9479166666684951E-2</v>
          </cell>
          <cell r="C8596">
            <v>143</v>
          </cell>
        </row>
        <row r="8597">
          <cell r="B8597">
            <v>9.9490740740759032E-2</v>
          </cell>
          <cell r="C8597">
            <v>143</v>
          </cell>
        </row>
        <row r="8598">
          <cell r="B8598">
            <v>9.9502314814833112E-2</v>
          </cell>
          <cell r="C8598">
            <v>143</v>
          </cell>
        </row>
        <row r="8599">
          <cell r="B8599">
            <v>9.9513888888907193E-2</v>
          </cell>
          <cell r="C8599">
            <v>143</v>
          </cell>
        </row>
        <row r="8600">
          <cell r="B8600">
            <v>9.9525462962981273E-2</v>
          </cell>
          <cell r="C8600">
            <v>143</v>
          </cell>
        </row>
        <row r="8601">
          <cell r="B8601">
            <v>9.9537037037055354E-2</v>
          </cell>
          <cell r="C8601">
            <v>143</v>
          </cell>
        </row>
        <row r="8602">
          <cell r="B8602">
            <v>9.9548611111129434E-2</v>
          </cell>
          <cell r="C8602">
            <v>143</v>
          </cell>
        </row>
        <row r="8603">
          <cell r="B8603">
            <v>9.9560185185203515E-2</v>
          </cell>
          <cell r="C8603">
            <v>143</v>
          </cell>
        </row>
        <row r="8604">
          <cell r="B8604">
            <v>9.9571759259277595E-2</v>
          </cell>
          <cell r="C8604">
            <v>143</v>
          </cell>
        </row>
        <row r="8605">
          <cell r="B8605">
            <v>9.9583333333351676E-2</v>
          </cell>
          <cell r="C8605">
            <v>143</v>
          </cell>
        </row>
        <row r="8606">
          <cell r="B8606">
            <v>9.9594907407425756E-2</v>
          </cell>
          <cell r="C8606">
            <v>143</v>
          </cell>
        </row>
        <row r="8607">
          <cell r="B8607">
            <v>9.9606481481499837E-2</v>
          </cell>
          <cell r="C8607">
            <v>143</v>
          </cell>
        </row>
        <row r="8608">
          <cell r="B8608">
            <v>9.9618055555573917E-2</v>
          </cell>
          <cell r="C8608">
            <v>143</v>
          </cell>
        </row>
        <row r="8609">
          <cell r="B8609">
            <v>9.9629629629647998E-2</v>
          </cell>
          <cell r="C8609">
            <v>143</v>
          </cell>
        </row>
        <row r="8610">
          <cell r="B8610">
            <v>9.9641203703722078E-2</v>
          </cell>
          <cell r="C8610">
            <v>143</v>
          </cell>
        </row>
        <row r="8611">
          <cell r="B8611">
            <v>9.9652777777796159E-2</v>
          </cell>
          <cell r="C8611">
            <v>143</v>
          </cell>
        </row>
        <row r="8612">
          <cell r="B8612">
            <v>9.9664351851870239E-2</v>
          </cell>
          <cell r="C8612">
            <v>143</v>
          </cell>
        </row>
        <row r="8613">
          <cell r="B8613">
            <v>9.967592592594432E-2</v>
          </cell>
          <cell r="C8613">
            <v>143</v>
          </cell>
        </row>
        <row r="8614">
          <cell r="B8614">
            <v>9.96875000000184E-2</v>
          </cell>
          <cell r="C8614">
            <v>143</v>
          </cell>
        </row>
        <row r="8615">
          <cell r="B8615">
            <v>9.9699074074092481E-2</v>
          </cell>
          <cell r="C8615">
            <v>143</v>
          </cell>
        </row>
        <row r="8616">
          <cell r="B8616">
            <v>9.9710648148166561E-2</v>
          </cell>
          <cell r="C8616">
            <v>143</v>
          </cell>
        </row>
        <row r="8617">
          <cell r="B8617">
            <v>9.9722222222240642E-2</v>
          </cell>
          <cell r="C8617">
            <v>143</v>
          </cell>
        </row>
        <row r="8618">
          <cell r="B8618">
            <v>9.9733796296314722E-2</v>
          </cell>
          <cell r="C8618">
            <v>143</v>
          </cell>
        </row>
        <row r="8619">
          <cell r="B8619">
            <v>9.9745370370388803E-2</v>
          </cell>
          <cell r="C8619">
            <v>143</v>
          </cell>
        </row>
        <row r="8620">
          <cell r="B8620">
            <v>9.9756944444462883E-2</v>
          </cell>
          <cell r="C8620">
            <v>143</v>
          </cell>
        </row>
        <row r="8621">
          <cell r="B8621">
            <v>9.9768518518536964E-2</v>
          </cell>
          <cell r="C8621">
            <v>143</v>
          </cell>
        </row>
        <row r="8622">
          <cell r="B8622">
            <v>9.9780092592611044E-2</v>
          </cell>
          <cell r="C8622">
            <v>143</v>
          </cell>
        </row>
        <row r="8623">
          <cell r="B8623">
            <v>9.9791666666685125E-2</v>
          </cell>
          <cell r="C8623">
            <v>143</v>
          </cell>
        </row>
        <row r="8624">
          <cell r="B8624">
            <v>9.9803240740759205E-2</v>
          </cell>
          <cell r="C8624">
            <v>143</v>
          </cell>
        </row>
        <row r="8625">
          <cell r="B8625">
            <v>9.9814814814833286E-2</v>
          </cell>
          <cell r="C8625">
            <v>143</v>
          </cell>
        </row>
        <row r="8626">
          <cell r="B8626">
            <v>9.9826388888907366E-2</v>
          </cell>
          <cell r="C8626">
            <v>143</v>
          </cell>
        </row>
        <row r="8627">
          <cell r="B8627">
            <v>9.9837962962981447E-2</v>
          </cell>
          <cell r="C8627">
            <v>143</v>
          </cell>
        </row>
        <row r="8628">
          <cell r="B8628">
            <v>9.9849537037055527E-2</v>
          </cell>
          <cell r="C8628">
            <v>143</v>
          </cell>
        </row>
        <row r="8629">
          <cell r="B8629">
            <v>9.9861111111129608E-2</v>
          </cell>
          <cell r="C8629">
            <v>143</v>
          </cell>
        </row>
        <row r="8630">
          <cell r="B8630">
            <v>9.9872685185203688E-2</v>
          </cell>
          <cell r="C8630">
            <v>143</v>
          </cell>
        </row>
        <row r="8631">
          <cell r="B8631">
            <v>9.9884259259277769E-2</v>
          </cell>
          <cell r="C8631">
            <v>143</v>
          </cell>
        </row>
        <row r="8632">
          <cell r="B8632">
            <v>9.9895833333351849E-2</v>
          </cell>
          <cell r="C8632">
            <v>143</v>
          </cell>
        </row>
        <row r="8633">
          <cell r="B8633">
            <v>9.990740740742593E-2</v>
          </cell>
          <cell r="C8633">
            <v>143</v>
          </cell>
        </row>
        <row r="8634">
          <cell r="B8634">
            <v>9.991898148150001E-2</v>
          </cell>
          <cell r="C8634">
            <v>143</v>
          </cell>
        </row>
        <row r="8635">
          <cell r="B8635">
            <v>9.9930555555574091E-2</v>
          </cell>
          <cell r="C8635">
            <v>143</v>
          </cell>
        </row>
        <row r="8636">
          <cell r="B8636">
            <v>9.9942129629648171E-2</v>
          </cell>
          <cell r="C8636">
            <v>143</v>
          </cell>
        </row>
        <row r="8637">
          <cell r="B8637">
            <v>9.9953703703722252E-2</v>
          </cell>
          <cell r="C8637">
            <v>143</v>
          </cell>
        </row>
        <row r="8638">
          <cell r="B8638">
            <v>9.9965277777796333E-2</v>
          </cell>
          <cell r="C8638">
            <v>143</v>
          </cell>
        </row>
        <row r="8639">
          <cell r="B8639">
            <v>9.9976851851870413E-2</v>
          </cell>
          <cell r="C8639">
            <v>143</v>
          </cell>
        </row>
        <row r="8640">
          <cell r="B8640">
            <v>9.9988425925944494E-2</v>
          </cell>
          <cell r="C8640">
            <v>143</v>
          </cell>
        </row>
        <row r="8641">
          <cell r="B8641">
            <v>0.10000000000001857</v>
          </cell>
          <cell r="C8641">
            <v>144</v>
          </cell>
        </row>
        <row r="8642">
          <cell r="B8642">
            <v>0.10001157407409265</v>
          </cell>
          <cell r="C8642">
            <v>144</v>
          </cell>
        </row>
        <row r="8643">
          <cell r="B8643">
            <v>0.10002314814816674</v>
          </cell>
          <cell r="C8643">
            <v>144</v>
          </cell>
        </row>
        <row r="8644">
          <cell r="B8644">
            <v>0.10003472222224082</v>
          </cell>
          <cell r="C8644">
            <v>144</v>
          </cell>
        </row>
        <row r="8645">
          <cell r="B8645">
            <v>0.1000462962963149</v>
          </cell>
          <cell r="C8645">
            <v>144</v>
          </cell>
        </row>
        <row r="8646">
          <cell r="B8646">
            <v>0.10005787037038898</v>
          </cell>
          <cell r="C8646">
            <v>144</v>
          </cell>
        </row>
        <row r="8647">
          <cell r="B8647">
            <v>0.10006944444446306</v>
          </cell>
          <cell r="C8647">
            <v>144</v>
          </cell>
        </row>
        <row r="8648">
          <cell r="B8648">
            <v>0.10008101851853714</v>
          </cell>
          <cell r="C8648">
            <v>144</v>
          </cell>
        </row>
        <row r="8649">
          <cell r="B8649">
            <v>0.10009259259261122</v>
          </cell>
          <cell r="C8649">
            <v>144</v>
          </cell>
        </row>
        <row r="8650">
          <cell r="B8650">
            <v>0.1001041666666853</v>
          </cell>
          <cell r="C8650">
            <v>144</v>
          </cell>
        </row>
        <row r="8651">
          <cell r="B8651">
            <v>0.10011574074075938</v>
          </cell>
          <cell r="C8651">
            <v>144</v>
          </cell>
        </row>
        <row r="8652">
          <cell r="B8652">
            <v>0.10012731481483346</v>
          </cell>
          <cell r="C8652">
            <v>144</v>
          </cell>
        </row>
        <row r="8653">
          <cell r="B8653">
            <v>0.10013888888890754</v>
          </cell>
          <cell r="C8653">
            <v>144</v>
          </cell>
        </row>
        <row r="8654">
          <cell r="B8654">
            <v>0.10015046296298162</v>
          </cell>
          <cell r="C8654">
            <v>144</v>
          </cell>
        </row>
        <row r="8655">
          <cell r="B8655">
            <v>0.1001620370370557</v>
          </cell>
          <cell r="C8655">
            <v>144</v>
          </cell>
        </row>
        <row r="8656">
          <cell r="B8656">
            <v>0.10017361111112978</v>
          </cell>
          <cell r="C8656">
            <v>144</v>
          </cell>
        </row>
        <row r="8657">
          <cell r="B8657">
            <v>0.10018518518520386</v>
          </cell>
          <cell r="C8657">
            <v>144</v>
          </cell>
        </row>
        <row r="8658">
          <cell r="B8658">
            <v>0.10019675925927794</v>
          </cell>
          <cell r="C8658">
            <v>144</v>
          </cell>
        </row>
        <row r="8659">
          <cell r="B8659">
            <v>0.10020833333335202</v>
          </cell>
          <cell r="C8659">
            <v>144</v>
          </cell>
        </row>
        <row r="8660">
          <cell r="B8660">
            <v>0.1002199074074261</v>
          </cell>
          <cell r="C8660">
            <v>144</v>
          </cell>
        </row>
        <row r="8661">
          <cell r="B8661">
            <v>0.10023148148150018</v>
          </cell>
          <cell r="C8661">
            <v>144</v>
          </cell>
        </row>
        <row r="8662">
          <cell r="B8662">
            <v>0.10024305555557426</v>
          </cell>
          <cell r="C8662">
            <v>144</v>
          </cell>
        </row>
        <row r="8663">
          <cell r="B8663">
            <v>0.10025462962964835</v>
          </cell>
          <cell r="C8663">
            <v>144</v>
          </cell>
        </row>
        <row r="8664">
          <cell r="B8664">
            <v>0.10026620370372243</v>
          </cell>
          <cell r="C8664">
            <v>144</v>
          </cell>
        </row>
        <row r="8665">
          <cell r="B8665">
            <v>0.10027777777779651</v>
          </cell>
          <cell r="C8665">
            <v>144</v>
          </cell>
        </row>
        <row r="8666">
          <cell r="B8666">
            <v>0.10028935185187059</v>
          </cell>
          <cell r="C8666">
            <v>144</v>
          </cell>
        </row>
        <row r="8667">
          <cell r="B8667">
            <v>0.10030092592594467</v>
          </cell>
          <cell r="C8667">
            <v>144</v>
          </cell>
        </row>
        <row r="8668">
          <cell r="B8668">
            <v>0.10031250000001875</v>
          </cell>
          <cell r="C8668">
            <v>144</v>
          </cell>
        </row>
        <row r="8669">
          <cell r="B8669">
            <v>0.10032407407409283</v>
          </cell>
          <cell r="C8669">
            <v>144</v>
          </cell>
        </row>
        <row r="8670">
          <cell r="B8670">
            <v>0.10033564814816691</v>
          </cell>
          <cell r="C8670">
            <v>144</v>
          </cell>
        </row>
        <row r="8671">
          <cell r="B8671">
            <v>0.10034722222224099</v>
          </cell>
          <cell r="C8671">
            <v>144</v>
          </cell>
        </row>
        <row r="8672">
          <cell r="B8672">
            <v>0.10035879629631507</v>
          </cell>
          <cell r="C8672">
            <v>144</v>
          </cell>
        </row>
        <row r="8673">
          <cell r="B8673">
            <v>0.10037037037038915</v>
          </cell>
          <cell r="C8673">
            <v>144</v>
          </cell>
        </row>
        <row r="8674">
          <cell r="B8674">
            <v>0.10038194444446323</v>
          </cell>
          <cell r="C8674">
            <v>144</v>
          </cell>
        </row>
        <row r="8675">
          <cell r="B8675">
            <v>0.10039351851853731</v>
          </cell>
          <cell r="C8675">
            <v>144</v>
          </cell>
        </row>
        <row r="8676">
          <cell r="B8676">
            <v>0.10040509259261139</v>
          </cell>
          <cell r="C8676">
            <v>144</v>
          </cell>
        </row>
        <row r="8677">
          <cell r="B8677">
            <v>0.10041666666668547</v>
          </cell>
          <cell r="C8677">
            <v>144</v>
          </cell>
        </row>
        <row r="8678">
          <cell r="B8678">
            <v>0.10042824074075955</v>
          </cell>
          <cell r="C8678">
            <v>144</v>
          </cell>
        </row>
        <row r="8679">
          <cell r="B8679">
            <v>0.10043981481483363</v>
          </cell>
          <cell r="C8679">
            <v>144</v>
          </cell>
        </row>
        <row r="8680">
          <cell r="B8680">
            <v>0.10045138888890771</v>
          </cell>
          <cell r="C8680">
            <v>144</v>
          </cell>
        </row>
        <row r="8681">
          <cell r="B8681">
            <v>0.10046296296298179</v>
          </cell>
          <cell r="C8681">
            <v>144</v>
          </cell>
        </row>
        <row r="8682">
          <cell r="B8682">
            <v>0.10047453703705587</v>
          </cell>
          <cell r="C8682">
            <v>144</v>
          </cell>
        </row>
        <row r="8683">
          <cell r="B8683">
            <v>0.10048611111112996</v>
          </cell>
          <cell r="C8683">
            <v>144</v>
          </cell>
        </row>
        <row r="8684">
          <cell r="B8684">
            <v>0.10049768518520404</v>
          </cell>
          <cell r="C8684">
            <v>144</v>
          </cell>
        </row>
        <row r="8685">
          <cell r="B8685">
            <v>0.10050925925927812</v>
          </cell>
          <cell r="C8685">
            <v>144</v>
          </cell>
        </row>
        <row r="8686">
          <cell r="B8686">
            <v>0.1005208333333522</v>
          </cell>
          <cell r="C8686">
            <v>144</v>
          </cell>
        </row>
        <row r="8687">
          <cell r="B8687">
            <v>0.10053240740742628</v>
          </cell>
          <cell r="C8687">
            <v>144</v>
          </cell>
        </row>
        <row r="8688">
          <cell r="B8688">
            <v>0.10054398148150036</v>
          </cell>
          <cell r="C8688">
            <v>144</v>
          </cell>
        </row>
        <row r="8689">
          <cell r="B8689">
            <v>0.10055555555557444</v>
          </cell>
          <cell r="C8689">
            <v>144</v>
          </cell>
        </row>
        <row r="8690">
          <cell r="B8690">
            <v>0.10056712962964852</v>
          </cell>
          <cell r="C8690">
            <v>144</v>
          </cell>
        </row>
        <row r="8691">
          <cell r="B8691">
            <v>0.1005787037037226</v>
          </cell>
          <cell r="C8691">
            <v>144</v>
          </cell>
        </row>
        <row r="8692">
          <cell r="B8692">
            <v>0.10059027777779668</v>
          </cell>
          <cell r="C8692">
            <v>144</v>
          </cell>
        </row>
        <row r="8693">
          <cell r="B8693">
            <v>0.10060185185187076</v>
          </cell>
          <cell r="C8693">
            <v>144</v>
          </cell>
        </row>
        <row r="8694">
          <cell r="B8694">
            <v>0.10061342592594484</v>
          </cell>
          <cell r="C8694">
            <v>144</v>
          </cell>
        </row>
        <row r="8695">
          <cell r="B8695">
            <v>0.10062500000001892</v>
          </cell>
          <cell r="C8695">
            <v>144</v>
          </cell>
        </row>
        <row r="8696">
          <cell r="B8696">
            <v>0.100636574074093</v>
          </cell>
          <cell r="C8696">
            <v>144</v>
          </cell>
        </row>
        <row r="8697">
          <cell r="B8697">
            <v>0.10064814814816708</v>
          </cell>
          <cell r="C8697">
            <v>144</v>
          </cell>
        </row>
        <row r="8698">
          <cell r="B8698">
            <v>0.10065972222224116</v>
          </cell>
          <cell r="C8698">
            <v>144</v>
          </cell>
        </row>
        <row r="8699">
          <cell r="B8699">
            <v>0.10067129629631524</v>
          </cell>
          <cell r="C8699">
            <v>144</v>
          </cell>
        </row>
        <row r="8700">
          <cell r="B8700">
            <v>0.10068287037038932</v>
          </cell>
          <cell r="C8700">
            <v>144</v>
          </cell>
        </row>
        <row r="8701">
          <cell r="B8701">
            <v>0.1006944444444634</v>
          </cell>
          <cell r="C8701">
            <v>145</v>
          </cell>
        </row>
        <row r="8702">
          <cell r="B8702">
            <v>0.10070601851853749</v>
          </cell>
          <cell r="C8702">
            <v>145</v>
          </cell>
        </row>
        <row r="8703">
          <cell r="B8703">
            <v>0.10071759259261157</v>
          </cell>
          <cell r="C8703">
            <v>145</v>
          </cell>
        </row>
        <row r="8704">
          <cell r="B8704">
            <v>0.10072916666668565</v>
          </cell>
          <cell r="C8704">
            <v>145</v>
          </cell>
        </row>
        <row r="8705">
          <cell r="B8705">
            <v>0.10074074074075973</v>
          </cell>
          <cell r="C8705">
            <v>145</v>
          </cell>
        </row>
        <row r="8706">
          <cell r="B8706">
            <v>0.10075231481483381</v>
          </cell>
          <cell r="C8706">
            <v>145</v>
          </cell>
        </row>
        <row r="8707">
          <cell r="B8707">
            <v>0.10076388888890789</v>
          </cell>
          <cell r="C8707">
            <v>145</v>
          </cell>
        </row>
        <row r="8708">
          <cell r="B8708">
            <v>0.10077546296298197</v>
          </cell>
          <cell r="C8708">
            <v>145</v>
          </cell>
        </row>
        <row r="8709">
          <cell r="B8709">
            <v>0.10078703703705605</v>
          </cell>
          <cell r="C8709">
            <v>145</v>
          </cell>
        </row>
        <row r="8710">
          <cell r="B8710">
            <v>0.10079861111113013</v>
          </cell>
          <cell r="C8710">
            <v>145</v>
          </cell>
        </row>
        <row r="8711">
          <cell r="B8711">
            <v>0.10081018518520421</v>
          </cell>
          <cell r="C8711">
            <v>145</v>
          </cell>
        </row>
        <row r="8712">
          <cell r="B8712">
            <v>0.10082175925927829</v>
          </cell>
          <cell r="C8712">
            <v>145</v>
          </cell>
        </row>
        <row r="8713">
          <cell r="B8713">
            <v>0.10083333333335237</v>
          </cell>
          <cell r="C8713">
            <v>145</v>
          </cell>
        </row>
        <row r="8714">
          <cell r="B8714">
            <v>0.10084490740742645</v>
          </cell>
          <cell r="C8714">
            <v>145</v>
          </cell>
        </row>
        <row r="8715">
          <cell r="B8715">
            <v>0.10085648148150053</v>
          </cell>
          <cell r="C8715">
            <v>145</v>
          </cell>
        </row>
        <row r="8716">
          <cell r="B8716">
            <v>0.10086805555557461</v>
          </cell>
          <cell r="C8716">
            <v>145</v>
          </cell>
        </row>
        <row r="8717">
          <cell r="B8717">
            <v>0.10087962962964869</v>
          </cell>
          <cell r="C8717">
            <v>145</v>
          </cell>
        </row>
        <row r="8718">
          <cell r="B8718">
            <v>0.10089120370372277</v>
          </cell>
          <cell r="C8718">
            <v>145</v>
          </cell>
        </row>
        <row r="8719">
          <cell r="B8719">
            <v>0.10090277777779685</v>
          </cell>
          <cell r="C8719">
            <v>145</v>
          </cell>
        </row>
        <row r="8720">
          <cell r="B8720">
            <v>0.10091435185187093</v>
          </cell>
          <cell r="C8720">
            <v>145</v>
          </cell>
        </row>
        <row r="8721">
          <cell r="B8721">
            <v>0.10092592592594501</v>
          </cell>
          <cell r="C8721">
            <v>145</v>
          </cell>
        </row>
        <row r="8722">
          <cell r="B8722">
            <v>0.1009375000000191</v>
          </cell>
          <cell r="C8722">
            <v>145</v>
          </cell>
        </row>
        <row r="8723">
          <cell r="B8723">
            <v>0.10094907407409318</v>
          </cell>
          <cell r="C8723">
            <v>145</v>
          </cell>
        </row>
        <row r="8724">
          <cell r="B8724">
            <v>0.10096064814816726</v>
          </cell>
          <cell r="C8724">
            <v>145</v>
          </cell>
        </row>
        <row r="8725">
          <cell r="B8725">
            <v>0.10097222222224134</v>
          </cell>
          <cell r="C8725">
            <v>145</v>
          </cell>
        </row>
        <row r="8726">
          <cell r="B8726">
            <v>0.10098379629631542</v>
          </cell>
          <cell r="C8726">
            <v>145</v>
          </cell>
        </row>
        <row r="8727">
          <cell r="B8727">
            <v>0.1009953703703895</v>
          </cell>
          <cell r="C8727">
            <v>145</v>
          </cell>
        </row>
        <row r="8728">
          <cell r="B8728">
            <v>0.10100694444446358</v>
          </cell>
          <cell r="C8728">
            <v>145</v>
          </cell>
        </row>
        <row r="8729">
          <cell r="B8729">
            <v>0.10101851851853766</v>
          </cell>
          <cell r="C8729">
            <v>145</v>
          </cell>
        </row>
        <row r="8730">
          <cell r="B8730">
            <v>0.10103009259261174</v>
          </cell>
          <cell r="C8730">
            <v>145</v>
          </cell>
        </row>
        <row r="8731">
          <cell r="B8731">
            <v>0.10104166666668582</v>
          </cell>
          <cell r="C8731">
            <v>145</v>
          </cell>
        </row>
        <row r="8732">
          <cell r="B8732">
            <v>0.1010532407407599</v>
          </cell>
          <cell r="C8732">
            <v>145</v>
          </cell>
        </row>
        <row r="8733">
          <cell r="B8733">
            <v>0.10106481481483398</v>
          </cell>
          <cell r="C8733">
            <v>145</v>
          </cell>
        </row>
        <row r="8734">
          <cell r="B8734">
            <v>0.10107638888890806</v>
          </cell>
          <cell r="C8734">
            <v>145</v>
          </cell>
        </row>
        <row r="8735">
          <cell r="B8735">
            <v>0.10108796296298214</v>
          </cell>
          <cell r="C8735">
            <v>145</v>
          </cell>
        </row>
        <row r="8736">
          <cell r="B8736">
            <v>0.10109953703705622</v>
          </cell>
          <cell r="C8736">
            <v>145</v>
          </cell>
        </row>
        <row r="8737">
          <cell r="B8737">
            <v>0.1011111111111303</v>
          </cell>
          <cell r="C8737">
            <v>145</v>
          </cell>
        </row>
        <row r="8738">
          <cell r="B8738">
            <v>0.10112268518520438</v>
          </cell>
          <cell r="C8738">
            <v>145</v>
          </cell>
        </row>
        <row r="8739">
          <cell r="B8739">
            <v>0.10113425925927846</v>
          </cell>
          <cell r="C8739">
            <v>145</v>
          </cell>
        </row>
        <row r="8740">
          <cell r="B8740">
            <v>0.10114583333335254</v>
          </cell>
          <cell r="C8740">
            <v>145</v>
          </cell>
        </row>
        <row r="8741">
          <cell r="B8741">
            <v>0.10115740740742662</v>
          </cell>
          <cell r="C8741">
            <v>145</v>
          </cell>
        </row>
        <row r="8742">
          <cell r="B8742">
            <v>0.10116898148150071</v>
          </cell>
          <cell r="C8742">
            <v>145</v>
          </cell>
        </row>
        <row r="8743">
          <cell r="B8743">
            <v>0.10118055555557479</v>
          </cell>
          <cell r="C8743">
            <v>145</v>
          </cell>
        </row>
        <row r="8744">
          <cell r="B8744">
            <v>0.10119212962964887</v>
          </cell>
          <cell r="C8744">
            <v>145</v>
          </cell>
        </row>
        <row r="8745">
          <cell r="B8745">
            <v>0.10120370370372295</v>
          </cell>
          <cell r="C8745">
            <v>145</v>
          </cell>
        </row>
        <row r="8746">
          <cell r="B8746">
            <v>0.10121527777779703</v>
          </cell>
          <cell r="C8746">
            <v>145</v>
          </cell>
        </row>
        <row r="8747">
          <cell r="B8747">
            <v>0.10122685185187111</v>
          </cell>
          <cell r="C8747">
            <v>145</v>
          </cell>
        </row>
        <row r="8748">
          <cell r="B8748">
            <v>0.10123842592594519</v>
          </cell>
          <cell r="C8748">
            <v>145</v>
          </cell>
        </row>
        <row r="8749">
          <cell r="B8749">
            <v>0.10125000000001927</v>
          </cell>
          <cell r="C8749">
            <v>145</v>
          </cell>
        </row>
        <row r="8750">
          <cell r="B8750">
            <v>0.10126157407409335</v>
          </cell>
          <cell r="C8750">
            <v>145</v>
          </cell>
        </row>
        <row r="8751">
          <cell r="B8751">
            <v>0.10127314814816743</v>
          </cell>
          <cell r="C8751">
            <v>145</v>
          </cell>
        </row>
        <row r="8752">
          <cell r="B8752">
            <v>0.10128472222224151</v>
          </cell>
          <cell r="C8752">
            <v>145</v>
          </cell>
        </row>
        <row r="8753">
          <cell r="B8753">
            <v>0.10129629629631559</v>
          </cell>
          <cell r="C8753">
            <v>145</v>
          </cell>
        </row>
        <row r="8754">
          <cell r="B8754">
            <v>0.10130787037038967</v>
          </cell>
          <cell r="C8754">
            <v>145</v>
          </cell>
        </row>
        <row r="8755">
          <cell r="B8755">
            <v>0.10131944444446375</v>
          </cell>
          <cell r="C8755">
            <v>145</v>
          </cell>
        </row>
        <row r="8756">
          <cell r="B8756">
            <v>0.10133101851853783</v>
          </cell>
          <cell r="C8756">
            <v>145</v>
          </cell>
        </row>
        <row r="8757">
          <cell r="B8757">
            <v>0.10134259259261191</v>
          </cell>
          <cell r="C8757">
            <v>145</v>
          </cell>
        </row>
        <row r="8758">
          <cell r="B8758">
            <v>0.10135416666668599</v>
          </cell>
          <cell r="C8758">
            <v>145</v>
          </cell>
        </row>
        <row r="8759">
          <cell r="B8759">
            <v>0.10136574074076007</v>
          </cell>
          <cell r="C8759">
            <v>145</v>
          </cell>
        </row>
        <row r="8760">
          <cell r="B8760">
            <v>0.10137731481483415</v>
          </cell>
          <cell r="C8760">
            <v>145</v>
          </cell>
        </row>
        <row r="8761">
          <cell r="B8761">
            <v>0.10138888888890824</v>
          </cell>
          <cell r="C8761">
            <v>146</v>
          </cell>
        </row>
        <row r="8762">
          <cell r="B8762">
            <v>0.10140046296298232</v>
          </cell>
          <cell r="C8762">
            <v>146</v>
          </cell>
        </row>
        <row r="8763">
          <cell r="B8763">
            <v>0.1014120370370564</v>
          </cell>
          <cell r="C8763">
            <v>146</v>
          </cell>
        </row>
        <row r="8764">
          <cell r="B8764">
            <v>0.10142361111113048</v>
          </cell>
          <cell r="C8764">
            <v>146</v>
          </cell>
        </row>
        <row r="8765">
          <cell r="B8765">
            <v>0.10143518518520456</v>
          </cell>
          <cell r="C8765">
            <v>146</v>
          </cell>
        </row>
        <row r="8766">
          <cell r="B8766">
            <v>0.10144675925927864</v>
          </cell>
          <cell r="C8766">
            <v>146</v>
          </cell>
        </row>
        <row r="8767">
          <cell r="B8767">
            <v>0.10145833333335272</v>
          </cell>
          <cell r="C8767">
            <v>146</v>
          </cell>
        </row>
        <row r="8768">
          <cell r="B8768">
            <v>0.1014699074074268</v>
          </cell>
          <cell r="C8768">
            <v>146</v>
          </cell>
        </row>
        <row r="8769">
          <cell r="B8769">
            <v>0.10148148148150088</v>
          </cell>
          <cell r="C8769">
            <v>146</v>
          </cell>
        </row>
        <row r="8770">
          <cell r="B8770">
            <v>0.10149305555557496</v>
          </cell>
          <cell r="C8770">
            <v>146</v>
          </cell>
        </row>
        <row r="8771">
          <cell r="B8771">
            <v>0.10150462962964904</v>
          </cell>
          <cell r="C8771">
            <v>146</v>
          </cell>
        </row>
        <row r="8772">
          <cell r="B8772">
            <v>0.10151620370372312</v>
          </cell>
          <cell r="C8772">
            <v>146</v>
          </cell>
        </row>
        <row r="8773">
          <cell r="B8773">
            <v>0.1015277777777972</v>
          </cell>
          <cell r="C8773">
            <v>146</v>
          </cell>
        </row>
        <row r="8774">
          <cell r="B8774">
            <v>0.10153935185187128</v>
          </cell>
          <cell r="C8774">
            <v>146</v>
          </cell>
        </row>
        <row r="8775">
          <cell r="B8775">
            <v>0.10155092592594536</v>
          </cell>
          <cell r="C8775">
            <v>146</v>
          </cell>
        </row>
        <row r="8776">
          <cell r="B8776">
            <v>0.10156250000001944</v>
          </cell>
          <cell r="C8776">
            <v>146</v>
          </cell>
        </row>
        <row r="8777">
          <cell r="B8777">
            <v>0.10157407407409352</v>
          </cell>
          <cell r="C8777">
            <v>146</v>
          </cell>
        </row>
        <row r="8778">
          <cell r="B8778">
            <v>0.1015856481481676</v>
          </cell>
          <cell r="C8778">
            <v>146</v>
          </cell>
        </row>
        <row r="8779">
          <cell r="B8779">
            <v>0.10159722222224168</v>
          </cell>
          <cell r="C8779">
            <v>146</v>
          </cell>
        </row>
        <row r="8780">
          <cell r="B8780">
            <v>0.10160879629631576</v>
          </cell>
          <cell r="C8780">
            <v>146</v>
          </cell>
        </row>
        <row r="8781">
          <cell r="B8781">
            <v>0.10162037037038985</v>
          </cell>
          <cell r="C8781">
            <v>146</v>
          </cell>
        </row>
        <row r="8782">
          <cell r="B8782">
            <v>0.10163194444446393</v>
          </cell>
          <cell r="C8782">
            <v>146</v>
          </cell>
        </row>
        <row r="8783">
          <cell r="B8783">
            <v>0.10164351851853801</v>
          </cell>
          <cell r="C8783">
            <v>146</v>
          </cell>
        </row>
        <row r="8784">
          <cell r="B8784">
            <v>0.10165509259261209</v>
          </cell>
          <cell r="C8784">
            <v>146</v>
          </cell>
        </row>
        <row r="8785">
          <cell r="B8785">
            <v>0.10166666666668617</v>
          </cell>
          <cell r="C8785">
            <v>146</v>
          </cell>
        </row>
        <row r="8786">
          <cell r="B8786">
            <v>0.10167824074076025</v>
          </cell>
          <cell r="C8786">
            <v>146</v>
          </cell>
        </row>
        <row r="8787">
          <cell r="B8787">
            <v>0.10168981481483433</v>
          </cell>
          <cell r="C8787">
            <v>146</v>
          </cell>
        </row>
        <row r="8788">
          <cell r="B8788">
            <v>0.10170138888890841</v>
          </cell>
          <cell r="C8788">
            <v>146</v>
          </cell>
        </row>
        <row r="8789">
          <cell r="B8789">
            <v>0.10171296296298249</v>
          </cell>
          <cell r="C8789">
            <v>146</v>
          </cell>
        </row>
        <row r="8790">
          <cell r="B8790">
            <v>0.10172453703705657</v>
          </cell>
          <cell r="C8790">
            <v>146</v>
          </cell>
        </row>
        <row r="8791">
          <cell r="B8791">
            <v>0.10173611111113065</v>
          </cell>
          <cell r="C8791">
            <v>146</v>
          </cell>
        </row>
        <row r="8792">
          <cell r="B8792">
            <v>0.10174768518520473</v>
          </cell>
          <cell r="C8792">
            <v>146</v>
          </cell>
        </row>
        <row r="8793">
          <cell r="B8793">
            <v>0.10175925925927881</v>
          </cell>
          <cell r="C8793">
            <v>146</v>
          </cell>
        </row>
        <row r="8794">
          <cell r="B8794">
            <v>0.10177083333335289</v>
          </cell>
          <cell r="C8794">
            <v>146</v>
          </cell>
        </row>
        <row r="8795">
          <cell r="B8795">
            <v>0.10178240740742697</v>
          </cell>
          <cell r="C8795">
            <v>146</v>
          </cell>
        </row>
        <row r="8796">
          <cell r="B8796">
            <v>0.10179398148150105</v>
          </cell>
          <cell r="C8796">
            <v>146</v>
          </cell>
        </row>
        <row r="8797">
          <cell r="B8797">
            <v>0.10180555555557513</v>
          </cell>
          <cell r="C8797">
            <v>146</v>
          </cell>
        </row>
        <row r="8798">
          <cell r="B8798">
            <v>0.10181712962964921</v>
          </cell>
          <cell r="C8798">
            <v>146</v>
          </cell>
        </row>
        <row r="8799">
          <cell r="B8799">
            <v>0.10182870370372329</v>
          </cell>
          <cell r="C8799">
            <v>146</v>
          </cell>
        </row>
        <row r="8800">
          <cell r="B8800">
            <v>0.10184027777779738</v>
          </cell>
          <cell r="C8800">
            <v>146</v>
          </cell>
        </row>
        <row r="8801">
          <cell r="B8801">
            <v>0.10185185185187146</v>
          </cell>
          <cell r="C8801">
            <v>146</v>
          </cell>
        </row>
        <row r="8802">
          <cell r="B8802">
            <v>0.10186342592594554</v>
          </cell>
          <cell r="C8802">
            <v>146</v>
          </cell>
        </row>
        <row r="8803">
          <cell r="B8803">
            <v>0.10187500000001962</v>
          </cell>
          <cell r="C8803">
            <v>146</v>
          </cell>
        </row>
        <row r="8804">
          <cell r="B8804">
            <v>0.1018865740740937</v>
          </cell>
          <cell r="C8804">
            <v>146</v>
          </cell>
        </row>
        <row r="8805">
          <cell r="B8805">
            <v>0.10189814814816778</v>
          </cell>
          <cell r="C8805">
            <v>146</v>
          </cell>
        </row>
        <row r="8806">
          <cell r="B8806">
            <v>0.10190972222224186</v>
          </cell>
          <cell r="C8806">
            <v>146</v>
          </cell>
        </row>
        <row r="8807">
          <cell r="B8807">
            <v>0.10192129629631594</v>
          </cell>
          <cell r="C8807">
            <v>146</v>
          </cell>
        </row>
        <row r="8808">
          <cell r="B8808">
            <v>0.10193287037039002</v>
          </cell>
          <cell r="C8808">
            <v>146</v>
          </cell>
        </row>
        <row r="8809">
          <cell r="B8809">
            <v>0.1019444444444641</v>
          </cell>
          <cell r="C8809">
            <v>146</v>
          </cell>
        </row>
        <row r="8810">
          <cell r="B8810">
            <v>0.10195601851853818</v>
          </cell>
          <cell r="C8810">
            <v>146</v>
          </cell>
        </row>
        <row r="8811">
          <cell r="B8811">
            <v>0.10196759259261226</v>
          </cell>
          <cell r="C8811">
            <v>146</v>
          </cell>
        </row>
        <row r="8812">
          <cell r="B8812">
            <v>0.10197916666668634</v>
          </cell>
          <cell r="C8812">
            <v>146</v>
          </cell>
        </row>
        <row r="8813">
          <cell r="B8813">
            <v>0.10199074074076042</v>
          </cell>
          <cell r="C8813">
            <v>146</v>
          </cell>
        </row>
        <row r="8814">
          <cell r="B8814">
            <v>0.1020023148148345</v>
          </cell>
          <cell r="C8814">
            <v>146</v>
          </cell>
        </row>
        <row r="8815">
          <cell r="B8815">
            <v>0.10201388888890858</v>
          </cell>
          <cell r="C8815">
            <v>146</v>
          </cell>
        </row>
        <row r="8816">
          <cell r="B8816">
            <v>0.10202546296298266</v>
          </cell>
          <cell r="C8816">
            <v>146</v>
          </cell>
        </row>
        <row r="8817">
          <cell r="B8817">
            <v>0.10203703703705674</v>
          </cell>
          <cell r="C8817">
            <v>146</v>
          </cell>
        </row>
        <row r="8818">
          <cell r="B8818">
            <v>0.10204861111113082</v>
          </cell>
          <cell r="C8818">
            <v>146</v>
          </cell>
        </row>
        <row r="8819">
          <cell r="B8819">
            <v>0.1020601851852049</v>
          </cell>
          <cell r="C8819">
            <v>146</v>
          </cell>
        </row>
        <row r="8820">
          <cell r="B8820">
            <v>0.10207175925927899</v>
          </cell>
          <cell r="C8820">
            <v>146</v>
          </cell>
        </row>
        <row r="8821">
          <cell r="B8821">
            <v>0.10208333333335307</v>
          </cell>
          <cell r="C8821">
            <v>147</v>
          </cell>
        </row>
        <row r="8822">
          <cell r="B8822">
            <v>0.10209490740742715</v>
          </cell>
          <cell r="C8822">
            <v>147</v>
          </cell>
        </row>
        <row r="8823">
          <cell r="B8823">
            <v>0.10210648148150123</v>
          </cell>
          <cell r="C8823">
            <v>147</v>
          </cell>
        </row>
        <row r="8824">
          <cell r="B8824">
            <v>0.10211805555557531</v>
          </cell>
          <cell r="C8824">
            <v>147</v>
          </cell>
        </row>
        <row r="8825">
          <cell r="B8825">
            <v>0.10212962962964939</v>
          </cell>
          <cell r="C8825">
            <v>147</v>
          </cell>
        </row>
        <row r="8826">
          <cell r="B8826">
            <v>0.10214120370372347</v>
          </cell>
          <cell r="C8826">
            <v>147</v>
          </cell>
        </row>
        <row r="8827">
          <cell r="B8827">
            <v>0.10215277777779755</v>
          </cell>
          <cell r="C8827">
            <v>147</v>
          </cell>
        </row>
        <row r="8828">
          <cell r="B8828">
            <v>0.10216435185187163</v>
          </cell>
          <cell r="C8828">
            <v>147</v>
          </cell>
        </row>
        <row r="8829">
          <cell r="B8829">
            <v>0.10217592592594571</v>
          </cell>
          <cell r="C8829">
            <v>147</v>
          </cell>
        </row>
        <row r="8830">
          <cell r="B8830">
            <v>0.10218750000001979</v>
          </cell>
          <cell r="C8830">
            <v>147</v>
          </cell>
        </row>
        <row r="8831">
          <cell r="B8831">
            <v>0.10219907407409387</v>
          </cell>
          <cell r="C8831">
            <v>147</v>
          </cell>
        </row>
        <row r="8832">
          <cell r="B8832">
            <v>0.10221064814816795</v>
          </cell>
          <cell r="C8832">
            <v>147</v>
          </cell>
        </row>
        <row r="8833">
          <cell r="B8833">
            <v>0.10222222222224203</v>
          </cell>
          <cell r="C8833">
            <v>147</v>
          </cell>
        </row>
        <row r="8834">
          <cell r="B8834">
            <v>0.10223379629631611</v>
          </cell>
          <cell r="C8834">
            <v>147</v>
          </cell>
        </row>
        <row r="8835">
          <cell r="B8835">
            <v>0.10224537037039019</v>
          </cell>
          <cell r="C8835">
            <v>147</v>
          </cell>
        </row>
        <row r="8836">
          <cell r="B8836">
            <v>0.10225694444446427</v>
          </cell>
          <cell r="C8836">
            <v>147</v>
          </cell>
        </row>
        <row r="8837">
          <cell r="B8837">
            <v>0.10226851851853835</v>
          </cell>
          <cell r="C8837">
            <v>147</v>
          </cell>
        </row>
        <row r="8838">
          <cell r="B8838">
            <v>0.10228009259261243</v>
          </cell>
          <cell r="C8838">
            <v>147</v>
          </cell>
        </row>
        <row r="8839">
          <cell r="B8839">
            <v>0.10229166666668651</v>
          </cell>
          <cell r="C8839">
            <v>147</v>
          </cell>
        </row>
        <row r="8840">
          <cell r="B8840">
            <v>0.1023032407407606</v>
          </cell>
          <cell r="C8840">
            <v>147</v>
          </cell>
        </row>
        <row r="8841">
          <cell r="B8841">
            <v>0.10231481481483468</v>
          </cell>
          <cell r="C8841">
            <v>147</v>
          </cell>
        </row>
        <row r="8842">
          <cell r="B8842">
            <v>0.10232638888890876</v>
          </cell>
          <cell r="C8842">
            <v>147</v>
          </cell>
        </row>
        <row r="8843">
          <cell r="B8843">
            <v>0.10233796296298284</v>
          </cell>
          <cell r="C8843">
            <v>147</v>
          </cell>
        </row>
        <row r="8844">
          <cell r="B8844">
            <v>0.10234953703705692</v>
          </cell>
          <cell r="C8844">
            <v>147</v>
          </cell>
        </row>
        <row r="8845">
          <cell r="B8845">
            <v>0.102361111111131</v>
          </cell>
          <cell r="C8845">
            <v>147</v>
          </cell>
        </row>
        <row r="8846">
          <cell r="B8846">
            <v>0.10237268518520508</v>
          </cell>
          <cell r="C8846">
            <v>147</v>
          </cell>
        </row>
        <row r="8847">
          <cell r="B8847">
            <v>0.10238425925927916</v>
          </cell>
          <cell r="C8847">
            <v>147</v>
          </cell>
        </row>
        <row r="8848">
          <cell r="B8848">
            <v>0.10239583333335324</v>
          </cell>
          <cell r="C8848">
            <v>147</v>
          </cell>
        </row>
        <row r="8849">
          <cell r="B8849">
            <v>0.10240740740742732</v>
          </cell>
          <cell r="C8849">
            <v>147</v>
          </cell>
        </row>
        <row r="8850">
          <cell r="B8850">
            <v>0.1024189814815014</v>
          </cell>
          <cell r="C8850">
            <v>147</v>
          </cell>
        </row>
        <row r="8851">
          <cell r="B8851">
            <v>0.10243055555557548</v>
          </cell>
          <cell r="C8851">
            <v>147</v>
          </cell>
        </row>
        <row r="8852">
          <cell r="B8852">
            <v>0.10244212962964956</v>
          </cell>
          <cell r="C8852">
            <v>147</v>
          </cell>
        </row>
        <row r="8853">
          <cell r="B8853">
            <v>0.10245370370372364</v>
          </cell>
          <cell r="C8853">
            <v>147</v>
          </cell>
        </row>
        <row r="8854">
          <cell r="B8854">
            <v>0.10246527777779772</v>
          </cell>
          <cell r="C8854">
            <v>147</v>
          </cell>
        </row>
        <row r="8855">
          <cell r="B8855">
            <v>0.1024768518518718</v>
          </cell>
          <cell r="C8855">
            <v>147</v>
          </cell>
        </row>
        <row r="8856">
          <cell r="B8856">
            <v>0.10248842592594588</v>
          </cell>
          <cell r="C8856">
            <v>147</v>
          </cell>
        </row>
        <row r="8857">
          <cell r="B8857">
            <v>0.10250000000001996</v>
          </cell>
          <cell r="C8857">
            <v>147</v>
          </cell>
        </row>
        <row r="8858">
          <cell r="B8858">
            <v>0.10251157407409404</v>
          </cell>
          <cell r="C8858">
            <v>147</v>
          </cell>
        </row>
        <row r="8859">
          <cell r="B8859">
            <v>0.10252314814816813</v>
          </cell>
          <cell r="C8859">
            <v>147</v>
          </cell>
        </row>
        <row r="8860">
          <cell r="B8860">
            <v>0.10253472222224221</v>
          </cell>
          <cell r="C8860">
            <v>147</v>
          </cell>
        </row>
        <row r="8861">
          <cell r="B8861">
            <v>0.10254629629631629</v>
          </cell>
          <cell r="C8861">
            <v>147</v>
          </cell>
        </row>
        <row r="8862">
          <cell r="B8862">
            <v>0.10255787037039037</v>
          </cell>
          <cell r="C8862">
            <v>147</v>
          </cell>
        </row>
        <row r="8863">
          <cell r="B8863">
            <v>0.10256944444446445</v>
          </cell>
          <cell r="C8863">
            <v>147</v>
          </cell>
        </row>
        <row r="8864">
          <cell r="B8864">
            <v>0.10258101851853853</v>
          </cell>
          <cell r="C8864">
            <v>147</v>
          </cell>
        </row>
        <row r="8865">
          <cell r="B8865">
            <v>0.10259259259261261</v>
          </cell>
          <cell r="C8865">
            <v>147</v>
          </cell>
        </row>
        <row r="8866">
          <cell r="B8866">
            <v>0.10260416666668669</v>
          </cell>
          <cell r="C8866">
            <v>147</v>
          </cell>
        </row>
        <row r="8867">
          <cell r="B8867">
            <v>0.10261574074076077</v>
          </cell>
          <cell r="C8867">
            <v>147</v>
          </cell>
        </row>
        <row r="8868">
          <cell r="B8868">
            <v>0.10262731481483485</v>
          </cell>
          <cell r="C8868">
            <v>147</v>
          </cell>
        </row>
        <row r="8869">
          <cell r="B8869">
            <v>0.10263888888890893</v>
          </cell>
          <cell r="C8869">
            <v>147</v>
          </cell>
        </row>
        <row r="8870">
          <cell r="B8870">
            <v>0.10265046296298301</v>
          </cell>
          <cell r="C8870">
            <v>147</v>
          </cell>
        </row>
        <row r="8871">
          <cell r="B8871">
            <v>0.10266203703705709</v>
          </cell>
          <cell r="C8871">
            <v>147</v>
          </cell>
        </row>
        <row r="8872">
          <cell r="B8872">
            <v>0.10267361111113117</v>
          </cell>
          <cell r="C8872">
            <v>147</v>
          </cell>
        </row>
        <row r="8873">
          <cell r="B8873">
            <v>0.10268518518520525</v>
          </cell>
          <cell r="C8873">
            <v>147</v>
          </cell>
        </row>
        <row r="8874">
          <cell r="B8874">
            <v>0.10269675925927933</v>
          </cell>
          <cell r="C8874">
            <v>147</v>
          </cell>
        </row>
        <row r="8875">
          <cell r="B8875">
            <v>0.10270833333335341</v>
          </cell>
          <cell r="C8875">
            <v>147</v>
          </cell>
        </row>
        <row r="8876">
          <cell r="B8876">
            <v>0.10271990740742749</v>
          </cell>
          <cell r="C8876">
            <v>147</v>
          </cell>
        </row>
        <row r="8877">
          <cell r="B8877">
            <v>0.10273148148150157</v>
          </cell>
          <cell r="C8877">
            <v>147</v>
          </cell>
        </row>
        <row r="8878">
          <cell r="B8878">
            <v>0.10274305555557565</v>
          </cell>
          <cell r="C8878">
            <v>147</v>
          </cell>
        </row>
        <row r="8879">
          <cell r="B8879">
            <v>0.10275462962964974</v>
          </cell>
          <cell r="C8879">
            <v>147</v>
          </cell>
        </row>
        <row r="8880">
          <cell r="B8880">
            <v>0.10276620370372382</v>
          </cell>
          <cell r="C8880">
            <v>147</v>
          </cell>
        </row>
        <row r="8881">
          <cell r="B8881">
            <v>0.1027777777777979</v>
          </cell>
          <cell r="C8881">
            <v>148</v>
          </cell>
        </row>
        <row r="8882">
          <cell r="B8882">
            <v>0.10278935185187198</v>
          </cell>
          <cell r="C8882">
            <v>148</v>
          </cell>
        </row>
        <row r="8883">
          <cell r="B8883">
            <v>0.10280092592594606</v>
          </cell>
          <cell r="C8883">
            <v>148</v>
          </cell>
        </row>
        <row r="8884">
          <cell r="B8884">
            <v>0.10281250000002014</v>
          </cell>
          <cell r="C8884">
            <v>148</v>
          </cell>
        </row>
        <row r="8885">
          <cell r="B8885">
            <v>0.10282407407409422</v>
          </cell>
          <cell r="C8885">
            <v>148</v>
          </cell>
        </row>
        <row r="8886">
          <cell r="B8886">
            <v>0.1028356481481683</v>
          </cell>
          <cell r="C8886">
            <v>148</v>
          </cell>
        </row>
        <row r="8887">
          <cell r="B8887">
            <v>0.10284722222224238</v>
          </cell>
          <cell r="C8887">
            <v>148</v>
          </cell>
        </row>
        <row r="8888">
          <cell r="B8888">
            <v>0.10285879629631646</v>
          </cell>
          <cell r="C8888">
            <v>148</v>
          </cell>
        </row>
        <row r="8889">
          <cell r="B8889">
            <v>0.10287037037039054</v>
          </cell>
          <cell r="C8889">
            <v>148</v>
          </cell>
        </row>
        <row r="8890">
          <cell r="B8890">
            <v>0.10288194444446462</v>
          </cell>
          <cell r="C8890">
            <v>148</v>
          </cell>
        </row>
        <row r="8891">
          <cell r="B8891">
            <v>0.1028935185185387</v>
          </cell>
          <cell r="C8891">
            <v>148</v>
          </cell>
        </row>
        <row r="8892">
          <cell r="B8892">
            <v>0.10290509259261278</v>
          </cell>
          <cell r="C8892">
            <v>148</v>
          </cell>
        </row>
        <row r="8893">
          <cell r="B8893">
            <v>0.10291666666668686</v>
          </cell>
          <cell r="C8893">
            <v>148</v>
          </cell>
        </row>
        <row r="8894">
          <cell r="B8894">
            <v>0.10292824074076094</v>
          </cell>
          <cell r="C8894">
            <v>148</v>
          </cell>
        </row>
        <row r="8895">
          <cell r="B8895">
            <v>0.10293981481483502</v>
          </cell>
          <cell r="C8895">
            <v>148</v>
          </cell>
        </row>
        <row r="8896">
          <cell r="B8896">
            <v>0.1029513888889091</v>
          </cell>
          <cell r="C8896">
            <v>148</v>
          </cell>
        </row>
        <row r="8897">
          <cell r="B8897">
            <v>0.10296296296298318</v>
          </cell>
          <cell r="C8897">
            <v>148</v>
          </cell>
        </row>
        <row r="8898">
          <cell r="B8898">
            <v>0.10297453703705726</v>
          </cell>
          <cell r="C8898">
            <v>148</v>
          </cell>
        </row>
        <row r="8899">
          <cell r="B8899">
            <v>0.10298611111113135</v>
          </cell>
          <cell r="C8899">
            <v>148</v>
          </cell>
        </row>
        <row r="8900">
          <cell r="B8900">
            <v>0.10299768518520543</v>
          </cell>
          <cell r="C8900">
            <v>148</v>
          </cell>
        </row>
        <row r="8901">
          <cell r="B8901">
            <v>0.10300925925927951</v>
          </cell>
          <cell r="C8901">
            <v>148</v>
          </cell>
        </row>
        <row r="8902">
          <cell r="B8902">
            <v>0.10302083333335359</v>
          </cell>
          <cell r="C8902">
            <v>148</v>
          </cell>
        </row>
        <row r="8903">
          <cell r="B8903">
            <v>0.10303240740742767</v>
          </cell>
          <cell r="C8903">
            <v>148</v>
          </cell>
        </row>
        <row r="8904">
          <cell r="B8904">
            <v>0.10304398148150175</v>
          </cell>
          <cell r="C8904">
            <v>148</v>
          </cell>
        </row>
        <row r="8905">
          <cell r="B8905">
            <v>0.10305555555557583</v>
          </cell>
          <cell r="C8905">
            <v>148</v>
          </cell>
        </row>
        <row r="8906">
          <cell r="B8906">
            <v>0.10306712962964991</v>
          </cell>
          <cell r="C8906">
            <v>148</v>
          </cell>
        </row>
        <row r="8907">
          <cell r="B8907">
            <v>0.10307870370372399</v>
          </cell>
          <cell r="C8907">
            <v>148</v>
          </cell>
        </row>
        <row r="8908">
          <cell r="B8908">
            <v>0.10309027777779807</v>
          </cell>
          <cell r="C8908">
            <v>148</v>
          </cell>
        </row>
        <row r="8909">
          <cell r="B8909">
            <v>0.10310185185187215</v>
          </cell>
          <cell r="C8909">
            <v>148</v>
          </cell>
        </row>
        <row r="8910">
          <cell r="B8910">
            <v>0.10311342592594623</v>
          </cell>
          <cell r="C8910">
            <v>148</v>
          </cell>
        </row>
        <row r="8911">
          <cell r="B8911">
            <v>0.10312500000002031</v>
          </cell>
          <cell r="C8911">
            <v>148</v>
          </cell>
        </row>
        <row r="8912">
          <cell r="B8912">
            <v>0.10313657407409439</v>
          </cell>
          <cell r="C8912">
            <v>148</v>
          </cell>
        </row>
        <row r="8913">
          <cell r="B8913">
            <v>0.10314814814816847</v>
          </cell>
          <cell r="C8913">
            <v>148</v>
          </cell>
        </row>
        <row r="8914">
          <cell r="B8914">
            <v>0.10315972222224255</v>
          </cell>
          <cell r="C8914">
            <v>148</v>
          </cell>
        </row>
        <row r="8915">
          <cell r="B8915">
            <v>0.10317129629631663</v>
          </cell>
          <cell r="C8915">
            <v>148</v>
          </cell>
        </row>
        <row r="8916">
          <cell r="B8916">
            <v>0.10318287037039071</v>
          </cell>
          <cell r="C8916">
            <v>148</v>
          </cell>
        </row>
        <row r="8917">
          <cell r="B8917">
            <v>0.10319444444446479</v>
          </cell>
          <cell r="C8917">
            <v>148</v>
          </cell>
        </row>
        <row r="8918">
          <cell r="B8918">
            <v>0.10320601851853888</v>
          </cell>
          <cell r="C8918">
            <v>148</v>
          </cell>
        </row>
        <row r="8919">
          <cell r="B8919">
            <v>0.10321759259261296</v>
          </cell>
          <cell r="C8919">
            <v>148</v>
          </cell>
        </row>
        <row r="8920">
          <cell r="B8920">
            <v>0.10322916666668704</v>
          </cell>
          <cell r="C8920">
            <v>148</v>
          </cell>
        </row>
        <row r="8921">
          <cell r="B8921">
            <v>0.10324074074076112</v>
          </cell>
          <cell r="C8921">
            <v>148</v>
          </cell>
        </row>
        <row r="8922">
          <cell r="B8922">
            <v>0.1032523148148352</v>
          </cell>
          <cell r="C8922">
            <v>148</v>
          </cell>
        </row>
        <row r="8923">
          <cell r="B8923">
            <v>0.10326388888890928</v>
          </cell>
          <cell r="C8923">
            <v>148</v>
          </cell>
        </row>
        <row r="8924">
          <cell r="B8924">
            <v>0.10327546296298336</v>
          </cell>
          <cell r="C8924">
            <v>148</v>
          </cell>
        </row>
        <row r="8925">
          <cell r="B8925">
            <v>0.10328703703705744</v>
          </cell>
          <cell r="C8925">
            <v>148</v>
          </cell>
        </row>
        <row r="8926">
          <cell r="B8926">
            <v>0.10329861111113152</v>
          </cell>
          <cell r="C8926">
            <v>148</v>
          </cell>
        </row>
        <row r="8927">
          <cell r="B8927">
            <v>0.1033101851852056</v>
          </cell>
          <cell r="C8927">
            <v>148</v>
          </cell>
        </row>
        <row r="8928">
          <cell r="B8928">
            <v>0.10332175925927968</v>
          </cell>
          <cell r="C8928">
            <v>148</v>
          </cell>
        </row>
        <row r="8929">
          <cell r="B8929">
            <v>0.10333333333335376</v>
          </cell>
          <cell r="C8929">
            <v>148</v>
          </cell>
        </row>
        <row r="8930">
          <cell r="B8930">
            <v>0.10334490740742784</v>
          </cell>
          <cell r="C8930">
            <v>148</v>
          </cell>
        </row>
        <row r="8931">
          <cell r="B8931">
            <v>0.10335648148150192</v>
          </cell>
          <cell r="C8931">
            <v>148</v>
          </cell>
        </row>
        <row r="8932">
          <cell r="B8932">
            <v>0.103368055555576</v>
          </cell>
          <cell r="C8932">
            <v>148</v>
          </cell>
        </row>
        <row r="8933">
          <cell r="B8933">
            <v>0.10337962962965008</v>
          </cell>
          <cell r="C8933">
            <v>148</v>
          </cell>
        </row>
        <row r="8934">
          <cell r="B8934">
            <v>0.10339120370372416</v>
          </cell>
          <cell r="C8934">
            <v>148</v>
          </cell>
        </row>
        <row r="8935">
          <cell r="B8935">
            <v>0.10340277777779824</v>
          </cell>
          <cell r="C8935">
            <v>148</v>
          </cell>
        </row>
        <row r="8936">
          <cell r="B8936">
            <v>0.10341435185187232</v>
          </cell>
          <cell r="C8936">
            <v>148</v>
          </cell>
        </row>
        <row r="8937">
          <cell r="B8937">
            <v>0.1034259259259464</v>
          </cell>
          <cell r="C8937">
            <v>148</v>
          </cell>
        </row>
        <row r="8938">
          <cell r="B8938">
            <v>0.10343750000002049</v>
          </cell>
          <cell r="C8938">
            <v>148</v>
          </cell>
        </row>
        <row r="8939">
          <cell r="B8939">
            <v>0.10344907407409457</v>
          </cell>
          <cell r="C8939">
            <v>148</v>
          </cell>
        </row>
        <row r="8940">
          <cell r="B8940">
            <v>0.10346064814816865</v>
          </cell>
          <cell r="C8940">
            <v>148</v>
          </cell>
        </row>
        <row r="8941">
          <cell r="B8941">
            <v>0.10347222222224273</v>
          </cell>
          <cell r="C8941">
            <v>149</v>
          </cell>
        </row>
        <row r="8942">
          <cell r="B8942">
            <v>0.10348379629631681</v>
          </cell>
          <cell r="C8942">
            <v>149</v>
          </cell>
        </row>
        <row r="8943">
          <cell r="B8943">
            <v>0.10349537037039089</v>
          </cell>
          <cell r="C8943">
            <v>149</v>
          </cell>
        </row>
        <row r="8944">
          <cell r="B8944">
            <v>0.10350694444446497</v>
          </cell>
          <cell r="C8944">
            <v>149</v>
          </cell>
        </row>
        <row r="8945">
          <cell r="B8945">
            <v>0.10351851851853905</v>
          </cell>
          <cell r="C8945">
            <v>149</v>
          </cell>
        </row>
        <row r="8946">
          <cell r="B8946">
            <v>0.10353009259261313</v>
          </cell>
          <cell r="C8946">
            <v>149</v>
          </cell>
        </row>
        <row r="8947">
          <cell r="B8947">
            <v>0.10354166666668721</v>
          </cell>
          <cell r="C8947">
            <v>149</v>
          </cell>
        </row>
        <row r="8948">
          <cell r="B8948">
            <v>0.10355324074076129</v>
          </cell>
          <cell r="C8948">
            <v>149</v>
          </cell>
        </row>
        <row r="8949">
          <cell r="B8949">
            <v>0.10356481481483537</v>
          </cell>
          <cell r="C8949">
            <v>149</v>
          </cell>
        </row>
        <row r="8950">
          <cell r="B8950">
            <v>0.10357638888890945</v>
          </cell>
          <cell r="C8950">
            <v>149</v>
          </cell>
        </row>
        <row r="8951">
          <cell r="B8951">
            <v>0.10358796296298353</v>
          </cell>
          <cell r="C8951">
            <v>149</v>
          </cell>
        </row>
        <row r="8952">
          <cell r="B8952">
            <v>0.10359953703705761</v>
          </cell>
          <cell r="C8952">
            <v>149</v>
          </cell>
        </row>
        <row r="8953">
          <cell r="B8953">
            <v>0.10361111111113169</v>
          </cell>
          <cell r="C8953">
            <v>149</v>
          </cell>
        </row>
        <row r="8954">
          <cell r="B8954">
            <v>0.10362268518520577</v>
          </cell>
          <cell r="C8954">
            <v>149</v>
          </cell>
        </row>
        <row r="8955">
          <cell r="B8955">
            <v>0.10363425925927985</v>
          </cell>
          <cell r="C8955">
            <v>149</v>
          </cell>
        </row>
        <row r="8956">
          <cell r="B8956">
            <v>0.10364583333335393</v>
          </cell>
          <cell r="C8956">
            <v>149</v>
          </cell>
        </row>
        <row r="8957">
          <cell r="B8957">
            <v>0.10365740740742801</v>
          </cell>
          <cell r="C8957">
            <v>149</v>
          </cell>
        </row>
        <row r="8958">
          <cell r="B8958">
            <v>0.1036689814815021</v>
          </cell>
          <cell r="C8958">
            <v>149</v>
          </cell>
        </row>
        <row r="8959">
          <cell r="B8959">
            <v>0.10368055555557618</v>
          </cell>
          <cell r="C8959">
            <v>149</v>
          </cell>
        </row>
        <row r="8960">
          <cell r="B8960">
            <v>0.10369212962965026</v>
          </cell>
          <cell r="C8960">
            <v>149</v>
          </cell>
        </row>
        <row r="8961">
          <cell r="B8961">
            <v>0.10370370370372434</v>
          </cell>
          <cell r="C8961">
            <v>149</v>
          </cell>
        </row>
        <row r="8962">
          <cell r="B8962">
            <v>0.10371527777779842</v>
          </cell>
          <cell r="C8962">
            <v>149</v>
          </cell>
        </row>
        <row r="8963">
          <cell r="B8963">
            <v>0.1037268518518725</v>
          </cell>
          <cell r="C8963">
            <v>149</v>
          </cell>
        </row>
        <row r="8964">
          <cell r="B8964">
            <v>0.10373842592594658</v>
          </cell>
          <cell r="C8964">
            <v>149</v>
          </cell>
        </row>
        <row r="8965">
          <cell r="B8965">
            <v>0.10375000000002066</v>
          </cell>
          <cell r="C8965">
            <v>149</v>
          </cell>
        </row>
        <row r="8966">
          <cell r="B8966">
            <v>0.10376157407409474</v>
          </cell>
          <cell r="C8966">
            <v>149</v>
          </cell>
        </row>
        <row r="8967">
          <cell r="B8967">
            <v>0.10377314814816882</v>
          </cell>
          <cell r="C8967">
            <v>149</v>
          </cell>
        </row>
        <row r="8968">
          <cell r="B8968">
            <v>0.1037847222222429</v>
          </cell>
          <cell r="C8968">
            <v>149</v>
          </cell>
        </row>
        <row r="8969">
          <cell r="B8969">
            <v>0.10379629629631698</v>
          </cell>
          <cell r="C8969">
            <v>149</v>
          </cell>
        </row>
        <row r="8970">
          <cell r="B8970">
            <v>0.10380787037039106</v>
          </cell>
          <cell r="C8970">
            <v>149</v>
          </cell>
        </row>
        <row r="8971">
          <cell r="B8971">
            <v>0.10381944444446514</v>
          </cell>
          <cell r="C8971">
            <v>149</v>
          </cell>
        </row>
        <row r="8972">
          <cell r="B8972">
            <v>0.10383101851853922</v>
          </cell>
          <cell r="C8972">
            <v>149</v>
          </cell>
        </row>
        <row r="8973">
          <cell r="B8973">
            <v>0.1038425925926133</v>
          </cell>
          <cell r="C8973">
            <v>149</v>
          </cell>
        </row>
        <row r="8974">
          <cell r="B8974">
            <v>0.10385416666668738</v>
          </cell>
          <cell r="C8974">
            <v>149</v>
          </cell>
        </row>
        <row r="8975">
          <cell r="B8975">
            <v>0.10386574074076146</v>
          </cell>
          <cell r="C8975">
            <v>149</v>
          </cell>
        </row>
        <row r="8976">
          <cell r="B8976">
            <v>0.10387731481483554</v>
          </cell>
          <cell r="C8976">
            <v>149</v>
          </cell>
        </row>
        <row r="8977">
          <cell r="B8977">
            <v>0.10388888888890963</v>
          </cell>
          <cell r="C8977">
            <v>149</v>
          </cell>
        </row>
        <row r="8978">
          <cell r="B8978">
            <v>0.10390046296298371</v>
          </cell>
          <cell r="C8978">
            <v>149</v>
          </cell>
        </row>
        <row r="8979">
          <cell r="B8979">
            <v>0.10391203703705779</v>
          </cell>
          <cell r="C8979">
            <v>149</v>
          </cell>
        </row>
        <row r="8980">
          <cell r="B8980">
            <v>0.10392361111113187</v>
          </cell>
          <cell r="C8980">
            <v>149</v>
          </cell>
        </row>
        <row r="8981">
          <cell r="B8981">
            <v>0.10393518518520595</v>
          </cell>
          <cell r="C8981">
            <v>149</v>
          </cell>
        </row>
        <row r="8982">
          <cell r="B8982">
            <v>0.10394675925928003</v>
          </cell>
          <cell r="C8982">
            <v>149</v>
          </cell>
        </row>
        <row r="8983">
          <cell r="B8983">
            <v>0.10395833333335411</v>
          </cell>
          <cell r="C8983">
            <v>149</v>
          </cell>
        </row>
        <row r="8984">
          <cell r="B8984">
            <v>0.10396990740742819</v>
          </cell>
          <cell r="C8984">
            <v>149</v>
          </cell>
        </row>
        <row r="8985">
          <cell r="B8985">
            <v>0.10398148148150227</v>
          </cell>
          <cell r="C8985">
            <v>149</v>
          </cell>
        </row>
        <row r="8986">
          <cell r="B8986">
            <v>0.10399305555557635</v>
          </cell>
          <cell r="C8986">
            <v>149</v>
          </cell>
        </row>
        <row r="8987">
          <cell r="B8987">
            <v>0.10400462962965043</v>
          </cell>
          <cell r="C8987">
            <v>149</v>
          </cell>
        </row>
        <row r="8988">
          <cell r="B8988">
            <v>0.10401620370372451</v>
          </cell>
          <cell r="C8988">
            <v>149</v>
          </cell>
        </row>
        <row r="8989">
          <cell r="B8989">
            <v>0.10402777777779859</v>
          </cell>
          <cell r="C8989">
            <v>149</v>
          </cell>
        </row>
        <row r="8990">
          <cell r="B8990">
            <v>0.10403935185187267</v>
          </cell>
          <cell r="C8990">
            <v>149</v>
          </cell>
        </row>
        <row r="8991">
          <cell r="B8991">
            <v>0.10405092592594675</v>
          </cell>
          <cell r="C8991">
            <v>149</v>
          </cell>
        </row>
        <row r="8992">
          <cell r="B8992">
            <v>0.10406250000002083</v>
          </cell>
          <cell r="C8992">
            <v>149</v>
          </cell>
        </row>
        <row r="8993">
          <cell r="B8993">
            <v>0.10407407407409491</v>
          </cell>
          <cell r="C8993">
            <v>149</v>
          </cell>
        </row>
        <row r="8994">
          <cell r="B8994">
            <v>0.10408564814816899</v>
          </cell>
          <cell r="C8994">
            <v>149</v>
          </cell>
        </row>
        <row r="8995">
          <cell r="B8995">
            <v>0.10409722222224307</v>
          </cell>
          <cell r="C8995">
            <v>149</v>
          </cell>
        </row>
        <row r="8996">
          <cell r="B8996">
            <v>0.10410879629631715</v>
          </cell>
          <cell r="C8996">
            <v>149</v>
          </cell>
        </row>
        <row r="8997">
          <cell r="B8997">
            <v>0.10412037037039124</v>
          </cell>
          <cell r="C8997">
            <v>149</v>
          </cell>
        </row>
        <row r="8998">
          <cell r="B8998">
            <v>0.10413194444446532</v>
          </cell>
          <cell r="C8998">
            <v>149</v>
          </cell>
        </row>
        <row r="8999">
          <cell r="B8999">
            <v>0.1041435185185394</v>
          </cell>
          <cell r="C8999">
            <v>149</v>
          </cell>
        </row>
        <row r="9000">
          <cell r="B9000">
            <v>0.10415509259261348</v>
          </cell>
          <cell r="C9000">
            <v>149</v>
          </cell>
        </row>
        <row r="9001">
          <cell r="B9001">
            <v>0.10416666666668756</v>
          </cell>
          <cell r="C9001">
            <v>150</v>
          </cell>
        </row>
        <row r="9002">
          <cell r="B9002">
            <v>0.10417824074076164</v>
          </cell>
          <cell r="C9002">
            <v>150</v>
          </cell>
        </row>
        <row r="9003">
          <cell r="B9003">
            <v>0.10418981481483572</v>
          </cell>
          <cell r="C9003">
            <v>150</v>
          </cell>
        </row>
        <row r="9004">
          <cell r="B9004">
            <v>0.1042013888889098</v>
          </cell>
          <cell r="C9004">
            <v>150</v>
          </cell>
        </row>
        <row r="9005">
          <cell r="B9005">
            <v>0.10421296296298388</v>
          </cell>
          <cell r="C9005">
            <v>150</v>
          </cell>
        </row>
        <row r="9006">
          <cell r="B9006">
            <v>0.10422453703705796</v>
          </cell>
          <cell r="C9006">
            <v>150</v>
          </cell>
        </row>
        <row r="9007">
          <cell r="B9007">
            <v>0.10423611111113204</v>
          </cell>
          <cell r="C9007">
            <v>150</v>
          </cell>
        </row>
        <row r="9008">
          <cell r="B9008">
            <v>0.10424768518520612</v>
          </cell>
          <cell r="C9008">
            <v>150</v>
          </cell>
        </row>
        <row r="9009">
          <cell r="B9009">
            <v>0.1042592592592802</v>
          </cell>
          <cell r="C9009">
            <v>150</v>
          </cell>
        </row>
        <row r="9010">
          <cell r="B9010">
            <v>0.10427083333335428</v>
          </cell>
          <cell r="C9010">
            <v>150</v>
          </cell>
        </row>
        <row r="9011">
          <cell r="B9011">
            <v>0.10428240740742836</v>
          </cell>
          <cell r="C9011">
            <v>150</v>
          </cell>
        </row>
        <row r="9012">
          <cell r="B9012">
            <v>0.10429398148150244</v>
          </cell>
          <cell r="C9012">
            <v>150</v>
          </cell>
        </row>
        <row r="9013">
          <cell r="B9013">
            <v>0.10430555555557652</v>
          </cell>
          <cell r="C9013">
            <v>150</v>
          </cell>
        </row>
        <row r="9014">
          <cell r="B9014">
            <v>0.1043171296296506</v>
          </cell>
          <cell r="C9014">
            <v>150</v>
          </cell>
        </row>
        <row r="9015">
          <cell r="B9015">
            <v>0.10432870370372468</v>
          </cell>
          <cell r="C9015">
            <v>150</v>
          </cell>
        </row>
        <row r="9016">
          <cell r="B9016">
            <v>0.10434027777779877</v>
          </cell>
          <cell r="C9016">
            <v>150</v>
          </cell>
        </row>
        <row r="9017">
          <cell r="B9017">
            <v>0.10435185185187285</v>
          </cell>
          <cell r="C9017">
            <v>150</v>
          </cell>
        </row>
        <row r="9018">
          <cell r="B9018">
            <v>0.10436342592594693</v>
          </cell>
          <cell r="C9018">
            <v>150</v>
          </cell>
        </row>
        <row r="9019">
          <cell r="B9019">
            <v>0.10437500000002101</v>
          </cell>
          <cell r="C9019">
            <v>150</v>
          </cell>
        </row>
        <row r="9020">
          <cell r="B9020">
            <v>0.10438657407409509</v>
          </cell>
          <cell r="C9020">
            <v>150</v>
          </cell>
        </row>
        <row r="9021">
          <cell r="B9021">
            <v>0.10439814814816917</v>
          </cell>
          <cell r="C9021">
            <v>150</v>
          </cell>
        </row>
        <row r="9022">
          <cell r="B9022">
            <v>0.10440972222224325</v>
          </cell>
          <cell r="C9022">
            <v>150</v>
          </cell>
        </row>
        <row r="9023">
          <cell r="B9023">
            <v>0.10442129629631733</v>
          </cell>
          <cell r="C9023">
            <v>150</v>
          </cell>
        </row>
        <row r="9024">
          <cell r="B9024">
            <v>0.10443287037039141</v>
          </cell>
          <cell r="C9024">
            <v>150</v>
          </cell>
        </row>
        <row r="9025">
          <cell r="B9025">
            <v>0.10444444444446549</v>
          </cell>
          <cell r="C9025">
            <v>150</v>
          </cell>
        </row>
        <row r="9026">
          <cell r="B9026">
            <v>0.10445601851853957</v>
          </cell>
          <cell r="C9026">
            <v>150</v>
          </cell>
        </row>
        <row r="9027">
          <cell r="B9027">
            <v>0.10446759259261365</v>
          </cell>
          <cell r="C9027">
            <v>150</v>
          </cell>
        </row>
        <row r="9028">
          <cell r="B9028">
            <v>0.10447916666668773</v>
          </cell>
          <cell r="C9028">
            <v>150</v>
          </cell>
        </row>
        <row r="9029">
          <cell r="B9029">
            <v>0.10449074074076181</v>
          </cell>
          <cell r="C9029">
            <v>150</v>
          </cell>
        </row>
        <row r="9030">
          <cell r="B9030">
            <v>0.10450231481483589</v>
          </cell>
          <cell r="C9030">
            <v>150</v>
          </cell>
        </row>
        <row r="9031">
          <cell r="B9031">
            <v>0.10451388888890997</v>
          </cell>
          <cell r="C9031">
            <v>150</v>
          </cell>
        </row>
        <row r="9032">
          <cell r="B9032">
            <v>0.10452546296298405</v>
          </cell>
          <cell r="C9032">
            <v>150</v>
          </cell>
        </row>
        <row r="9033">
          <cell r="B9033">
            <v>0.10453703703705813</v>
          </cell>
          <cell r="C9033">
            <v>150</v>
          </cell>
        </row>
        <row r="9034">
          <cell r="B9034">
            <v>0.10454861111113221</v>
          </cell>
          <cell r="C9034">
            <v>150</v>
          </cell>
        </row>
        <row r="9035">
          <cell r="B9035">
            <v>0.10456018518520629</v>
          </cell>
          <cell r="C9035">
            <v>150</v>
          </cell>
        </row>
        <row r="9036">
          <cell r="B9036">
            <v>0.10457175925928038</v>
          </cell>
          <cell r="C9036">
            <v>150</v>
          </cell>
        </row>
        <row r="9037">
          <cell r="B9037">
            <v>0.10458333333335446</v>
          </cell>
          <cell r="C9037">
            <v>150</v>
          </cell>
        </row>
        <row r="9038">
          <cell r="B9038">
            <v>0.10459490740742854</v>
          </cell>
          <cell r="C9038">
            <v>150</v>
          </cell>
        </row>
        <row r="9039">
          <cell r="B9039">
            <v>0.10460648148150262</v>
          </cell>
          <cell r="C9039">
            <v>150</v>
          </cell>
        </row>
        <row r="9040">
          <cell r="B9040">
            <v>0.1046180555555767</v>
          </cell>
          <cell r="C9040">
            <v>150</v>
          </cell>
        </row>
        <row r="9041">
          <cell r="B9041">
            <v>0.10462962962965078</v>
          </cell>
          <cell r="C9041">
            <v>150</v>
          </cell>
        </row>
        <row r="9042">
          <cell r="B9042">
            <v>0.10464120370372486</v>
          </cell>
          <cell r="C9042">
            <v>150</v>
          </cell>
        </row>
        <row r="9043">
          <cell r="B9043">
            <v>0.10465277777779894</v>
          </cell>
          <cell r="C9043">
            <v>150</v>
          </cell>
        </row>
        <row r="9044">
          <cell r="B9044">
            <v>0.10466435185187302</v>
          </cell>
          <cell r="C9044">
            <v>150</v>
          </cell>
        </row>
        <row r="9045">
          <cell r="B9045">
            <v>0.1046759259259471</v>
          </cell>
          <cell r="C9045">
            <v>150</v>
          </cell>
        </row>
        <row r="9046">
          <cell r="B9046">
            <v>0.10468750000002118</v>
          </cell>
          <cell r="C9046">
            <v>150</v>
          </cell>
        </row>
        <row r="9047">
          <cell r="B9047">
            <v>0.10469907407409526</v>
          </cell>
          <cell r="C9047">
            <v>150</v>
          </cell>
        </row>
        <row r="9048">
          <cell r="B9048">
            <v>0.10471064814816934</v>
          </cell>
          <cell r="C9048">
            <v>150</v>
          </cell>
        </row>
        <row r="9049">
          <cell r="B9049">
            <v>0.10472222222224342</v>
          </cell>
          <cell r="C9049">
            <v>150</v>
          </cell>
        </row>
        <row r="9050">
          <cell r="B9050">
            <v>0.1047337962963175</v>
          </cell>
          <cell r="C9050">
            <v>150</v>
          </cell>
        </row>
        <row r="9051">
          <cell r="B9051">
            <v>0.10474537037039158</v>
          </cell>
          <cell r="C9051">
            <v>150</v>
          </cell>
        </row>
        <row r="9052">
          <cell r="B9052">
            <v>0.10475694444446566</v>
          </cell>
          <cell r="C9052">
            <v>150</v>
          </cell>
        </row>
        <row r="9053">
          <cell r="B9053">
            <v>0.10476851851853974</v>
          </cell>
          <cell r="C9053">
            <v>150</v>
          </cell>
        </row>
        <row r="9054">
          <cell r="B9054">
            <v>0.10478009259261382</v>
          </cell>
          <cell r="C9054">
            <v>150</v>
          </cell>
        </row>
        <row r="9055">
          <cell r="B9055">
            <v>0.1047916666666879</v>
          </cell>
          <cell r="C9055">
            <v>150</v>
          </cell>
        </row>
        <row r="9056">
          <cell r="B9056">
            <v>0.10480324074076199</v>
          </cell>
          <cell r="C9056">
            <v>150</v>
          </cell>
        </row>
        <row r="9057">
          <cell r="B9057">
            <v>0.10481481481483607</v>
          </cell>
          <cell r="C9057">
            <v>150</v>
          </cell>
        </row>
        <row r="9058">
          <cell r="B9058">
            <v>0.10482638888891015</v>
          </cell>
          <cell r="C9058">
            <v>150</v>
          </cell>
        </row>
        <row r="9059">
          <cell r="B9059">
            <v>0.10483796296298423</v>
          </cell>
          <cell r="C9059">
            <v>150</v>
          </cell>
        </row>
        <row r="9060">
          <cell r="B9060">
            <v>0.10484953703705831</v>
          </cell>
          <cell r="C9060">
            <v>150</v>
          </cell>
        </row>
        <row r="9061">
          <cell r="B9061">
            <v>0.10486111111113239</v>
          </cell>
          <cell r="C9061">
            <v>151</v>
          </cell>
        </row>
        <row r="9062">
          <cell r="B9062">
            <v>0.10487268518520647</v>
          </cell>
          <cell r="C9062">
            <v>151</v>
          </cell>
        </row>
        <row r="9063">
          <cell r="B9063">
            <v>0.10488425925928055</v>
          </cell>
          <cell r="C9063">
            <v>151</v>
          </cell>
        </row>
        <row r="9064">
          <cell r="B9064">
            <v>0.10489583333335463</v>
          </cell>
          <cell r="C9064">
            <v>151</v>
          </cell>
        </row>
        <row r="9065">
          <cell r="B9065">
            <v>0.10490740740742871</v>
          </cell>
          <cell r="C9065">
            <v>151</v>
          </cell>
        </row>
        <row r="9066">
          <cell r="B9066">
            <v>0.10491898148150279</v>
          </cell>
          <cell r="C9066">
            <v>151</v>
          </cell>
        </row>
        <row r="9067">
          <cell r="B9067">
            <v>0.10493055555557687</v>
          </cell>
          <cell r="C9067">
            <v>151</v>
          </cell>
        </row>
        <row r="9068">
          <cell r="B9068">
            <v>0.10494212962965095</v>
          </cell>
          <cell r="C9068">
            <v>151</v>
          </cell>
        </row>
        <row r="9069">
          <cell r="B9069">
            <v>0.10495370370372503</v>
          </cell>
          <cell r="C9069">
            <v>151</v>
          </cell>
        </row>
        <row r="9070">
          <cell r="B9070">
            <v>0.10496527777779911</v>
          </cell>
          <cell r="C9070">
            <v>151</v>
          </cell>
        </row>
        <row r="9071">
          <cell r="B9071">
            <v>0.10497685185187319</v>
          </cell>
          <cell r="C9071">
            <v>151</v>
          </cell>
        </row>
        <row r="9072">
          <cell r="B9072">
            <v>0.10498842592594727</v>
          </cell>
          <cell r="C9072">
            <v>151</v>
          </cell>
        </row>
        <row r="9073">
          <cell r="B9073">
            <v>0.10500000000002135</v>
          </cell>
          <cell r="C9073">
            <v>151</v>
          </cell>
        </row>
        <row r="9074">
          <cell r="B9074">
            <v>0.10501157407409543</v>
          </cell>
          <cell r="C9074">
            <v>151</v>
          </cell>
        </row>
        <row r="9075">
          <cell r="B9075">
            <v>0.10502314814816952</v>
          </cell>
          <cell r="C9075">
            <v>151</v>
          </cell>
        </row>
        <row r="9076">
          <cell r="B9076">
            <v>0.1050347222222436</v>
          </cell>
          <cell r="C9076">
            <v>151</v>
          </cell>
        </row>
        <row r="9077">
          <cell r="B9077">
            <v>0.10504629629631768</v>
          </cell>
          <cell r="C9077">
            <v>151</v>
          </cell>
        </row>
        <row r="9078">
          <cell r="B9078">
            <v>0.10505787037039176</v>
          </cell>
          <cell r="C9078">
            <v>151</v>
          </cell>
        </row>
        <row r="9079">
          <cell r="B9079">
            <v>0.10506944444446584</v>
          </cell>
          <cell r="C9079">
            <v>151</v>
          </cell>
        </row>
        <row r="9080">
          <cell r="B9080">
            <v>0.10508101851853992</v>
          </cell>
          <cell r="C9080">
            <v>151</v>
          </cell>
        </row>
        <row r="9081">
          <cell r="B9081">
            <v>0.105092592592614</v>
          </cell>
          <cell r="C9081">
            <v>151</v>
          </cell>
        </row>
        <row r="9082">
          <cell r="B9082">
            <v>0.10510416666668808</v>
          </cell>
          <cell r="C9082">
            <v>151</v>
          </cell>
        </row>
        <row r="9083">
          <cell r="B9083">
            <v>0.10511574074076216</v>
          </cell>
          <cell r="C9083">
            <v>151</v>
          </cell>
        </row>
        <row r="9084">
          <cell r="B9084">
            <v>0.10512731481483624</v>
          </cell>
          <cell r="C9084">
            <v>151</v>
          </cell>
        </row>
        <row r="9085">
          <cell r="B9085">
            <v>0.10513888888891032</v>
          </cell>
          <cell r="C9085">
            <v>151</v>
          </cell>
        </row>
        <row r="9086">
          <cell r="B9086">
            <v>0.1051504629629844</v>
          </cell>
          <cell r="C9086">
            <v>151</v>
          </cell>
        </row>
        <row r="9087">
          <cell r="B9087">
            <v>0.10516203703705848</v>
          </cell>
          <cell r="C9087">
            <v>151</v>
          </cell>
        </row>
        <row r="9088">
          <cell r="B9088">
            <v>0.10517361111113256</v>
          </cell>
          <cell r="C9088">
            <v>151</v>
          </cell>
        </row>
        <row r="9089">
          <cell r="B9089">
            <v>0.10518518518520664</v>
          </cell>
          <cell r="C9089">
            <v>151</v>
          </cell>
        </row>
        <row r="9090">
          <cell r="B9090">
            <v>0.10519675925928072</v>
          </cell>
          <cell r="C9090">
            <v>151</v>
          </cell>
        </row>
        <row r="9091">
          <cell r="B9091">
            <v>0.1052083333333548</v>
          </cell>
          <cell r="C9091">
            <v>151</v>
          </cell>
        </row>
        <row r="9092">
          <cell r="B9092">
            <v>0.10521990740742888</v>
          </cell>
          <cell r="C9092">
            <v>151</v>
          </cell>
        </row>
        <row r="9093">
          <cell r="B9093">
            <v>0.10523148148150296</v>
          </cell>
          <cell r="C9093">
            <v>151</v>
          </cell>
        </row>
        <row r="9094">
          <cell r="B9094">
            <v>0.10524305555557704</v>
          </cell>
          <cell r="C9094">
            <v>151</v>
          </cell>
        </row>
        <row r="9095">
          <cell r="B9095">
            <v>0.10525462962965113</v>
          </cell>
          <cell r="C9095">
            <v>151</v>
          </cell>
        </row>
        <row r="9096">
          <cell r="B9096">
            <v>0.10526620370372521</v>
          </cell>
          <cell r="C9096">
            <v>151</v>
          </cell>
        </row>
        <row r="9097">
          <cell r="B9097">
            <v>0.10527777777779929</v>
          </cell>
          <cell r="C9097">
            <v>151</v>
          </cell>
        </row>
        <row r="9098">
          <cell r="B9098">
            <v>0.10528935185187337</v>
          </cell>
          <cell r="C9098">
            <v>151</v>
          </cell>
        </row>
        <row r="9099">
          <cell r="B9099">
            <v>0.10530092592594745</v>
          </cell>
          <cell r="C9099">
            <v>151</v>
          </cell>
        </row>
        <row r="9100">
          <cell r="B9100">
            <v>0.10531250000002153</v>
          </cell>
          <cell r="C9100">
            <v>151</v>
          </cell>
        </row>
        <row r="9101">
          <cell r="B9101">
            <v>0.10532407407409561</v>
          </cell>
          <cell r="C9101">
            <v>151</v>
          </cell>
        </row>
        <row r="9102">
          <cell r="B9102">
            <v>0.10533564814816969</v>
          </cell>
          <cell r="C9102">
            <v>151</v>
          </cell>
        </row>
        <row r="9103">
          <cell r="B9103">
            <v>0.10534722222224377</v>
          </cell>
          <cell r="C9103">
            <v>151</v>
          </cell>
        </row>
        <row r="9104">
          <cell r="B9104">
            <v>0.10535879629631785</v>
          </cell>
          <cell r="C9104">
            <v>151</v>
          </cell>
        </row>
        <row r="9105">
          <cell r="B9105">
            <v>0.10537037037039193</v>
          </cell>
          <cell r="C9105">
            <v>151</v>
          </cell>
        </row>
        <row r="9106">
          <cell r="B9106">
            <v>0.10538194444446601</v>
          </cell>
          <cell r="C9106">
            <v>151</v>
          </cell>
        </row>
        <row r="9107">
          <cell r="B9107">
            <v>0.10539351851854009</v>
          </cell>
          <cell r="C9107">
            <v>151</v>
          </cell>
        </row>
        <row r="9108">
          <cell r="B9108">
            <v>0.10540509259261417</v>
          </cell>
          <cell r="C9108">
            <v>151</v>
          </cell>
        </row>
        <row r="9109">
          <cell r="B9109">
            <v>0.10541666666668825</v>
          </cell>
          <cell r="C9109">
            <v>151</v>
          </cell>
        </row>
        <row r="9110">
          <cell r="B9110">
            <v>0.10542824074076233</v>
          </cell>
          <cell r="C9110">
            <v>151</v>
          </cell>
        </row>
        <row r="9111">
          <cell r="B9111">
            <v>0.10543981481483641</v>
          </cell>
          <cell r="C9111">
            <v>151</v>
          </cell>
        </row>
        <row r="9112">
          <cell r="B9112">
            <v>0.10545138888891049</v>
          </cell>
          <cell r="C9112">
            <v>151</v>
          </cell>
        </row>
        <row r="9113">
          <cell r="B9113">
            <v>0.10546296296298457</v>
          </cell>
          <cell r="C9113">
            <v>151</v>
          </cell>
        </row>
        <row r="9114">
          <cell r="B9114">
            <v>0.10547453703705865</v>
          </cell>
          <cell r="C9114">
            <v>151</v>
          </cell>
        </row>
        <row r="9115">
          <cell r="B9115">
            <v>0.10548611111113274</v>
          </cell>
          <cell r="C9115">
            <v>151</v>
          </cell>
        </row>
        <row r="9116">
          <cell r="B9116">
            <v>0.10549768518520682</v>
          </cell>
          <cell r="C9116">
            <v>151</v>
          </cell>
        </row>
        <row r="9117">
          <cell r="B9117">
            <v>0.1055092592592809</v>
          </cell>
          <cell r="C9117">
            <v>151</v>
          </cell>
        </row>
        <row r="9118">
          <cell r="B9118">
            <v>0.10552083333335498</v>
          </cell>
          <cell r="C9118">
            <v>151</v>
          </cell>
        </row>
        <row r="9119">
          <cell r="B9119">
            <v>0.10553240740742906</v>
          </cell>
          <cell r="C9119">
            <v>151</v>
          </cell>
        </row>
        <row r="9120">
          <cell r="B9120">
            <v>0.10554398148150314</v>
          </cell>
          <cell r="C9120">
            <v>151</v>
          </cell>
        </row>
        <row r="9121">
          <cell r="B9121">
            <v>0.10555555555557722</v>
          </cell>
          <cell r="C9121">
            <v>152</v>
          </cell>
        </row>
        <row r="9122">
          <cell r="B9122">
            <v>0.1055671296296513</v>
          </cell>
          <cell r="C9122">
            <v>152</v>
          </cell>
        </row>
        <row r="9123">
          <cell r="B9123">
            <v>0.10557870370372538</v>
          </cell>
          <cell r="C9123">
            <v>152</v>
          </cell>
        </row>
        <row r="9124">
          <cell r="B9124">
            <v>0.10559027777779946</v>
          </cell>
          <cell r="C9124">
            <v>152</v>
          </cell>
        </row>
        <row r="9125">
          <cell r="B9125">
            <v>0.10560185185187354</v>
          </cell>
          <cell r="C9125">
            <v>152</v>
          </cell>
        </row>
        <row r="9126">
          <cell r="B9126">
            <v>0.10561342592594762</v>
          </cell>
          <cell r="C9126">
            <v>152</v>
          </cell>
        </row>
        <row r="9127">
          <cell r="B9127">
            <v>0.1056250000000217</v>
          </cell>
          <cell r="C9127">
            <v>152</v>
          </cell>
        </row>
        <row r="9128">
          <cell r="B9128">
            <v>0.10563657407409578</v>
          </cell>
          <cell r="C9128">
            <v>152</v>
          </cell>
        </row>
        <row r="9129">
          <cell r="B9129">
            <v>0.10564814814816986</v>
          </cell>
          <cell r="C9129">
            <v>152</v>
          </cell>
        </row>
        <row r="9130">
          <cell r="B9130">
            <v>0.10565972222224394</v>
          </cell>
          <cell r="C9130">
            <v>152</v>
          </cell>
        </row>
        <row r="9131">
          <cell r="B9131">
            <v>0.10567129629631802</v>
          </cell>
          <cell r="C9131">
            <v>152</v>
          </cell>
        </row>
        <row r="9132">
          <cell r="B9132">
            <v>0.1056828703703921</v>
          </cell>
          <cell r="C9132">
            <v>152</v>
          </cell>
        </row>
        <row r="9133">
          <cell r="B9133">
            <v>0.10569444444446618</v>
          </cell>
          <cell r="C9133">
            <v>152</v>
          </cell>
        </row>
        <row r="9134">
          <cell r="B9134">
            <v>0.10570601851854027</v>
          </cell>
          <cell r="C9134">
            <v>152</v>
          </cell>
        </row>
        <row r="9135">
          <cell r="B9135">
            <v>0.10571759259261435</v>
          </cell>
          <cell r="C9135">
            <v>152</v>
          </cell>
        </row>
        <row r="9136">
          <cell r="B9136">
            <v>0.10572916666668843</v>
          </cell>
          <cell r="C9136">
            <v>152</v>
          </cell>
        </row>
        <row r="9137">
          <cell r="B9137">
            <v>0.10574074074076251</v>
          </cell>
          <cell r="C9137">
            <v>152</v>
          </cell>
        </row>
        <row r="9138">
          <cell r="B9138">
            <v>0.10575231481483659</v>
          </cell>
          <cell r="C9138">
            <v>152</v>
          </cell>
        </row>
        <row r="9139">
          <cell r="B9139">
            <v>0.10576388888891067</v>
          </cell>
          <cell r="C9139">
            <v>152</v>
          </cell>
        </row>
        <row r="9140">
          <cell r="B9140">
            <v>0.10577546296298475</v>
          </cell>
          <cell r="C9140">
            <v>152</v>
          </cell>
        </row>
        <row r="9141">
          <cell r="B9141">
            <v>0.10578703703705883</v>
          </cell>
          <cell r="C9141">
            <v>152</v>
          </cell>
        </row>
        <row r="9142">
          <cell r="B9142">
            <v>0.10579861111113291</v>
          </cell>
          <cell r="C9142">
            <v>152</v>
          </cell>
        </row>
        <row r="9143">
          <cell r="B9143">
            <v>0.10581018518520699</v>
          </cell>
          <cell r="C9143">
            <v>152</v>
          </cell>
        </row>
        <row r="9144">
          <cell r="B9144">
            <v>0.10582175925928107</v>
          </cell>
          <cell r="C9144">
            <v>152</v>
          </cell>
        </row>
        <row r="9145">
          <cell r="B9145">
            <v>0.10583333333335515</v>
          </cell>
          <cell r="C9145">
            <v>152</v>
          </cell>
        </row>
        <row r="9146">
          <cell r="B9146">
            <v>0.10584490740742923</v>
          </cell>
          <cell r="C9146">
            <v>152</v>
          </cell>
        </row>
        <row r="9147">
          <cell r="B9147">
            <v>0.10585648148150331</v>
          </cell>
          <cell r="C9147">
            <v>152</v>
          </cell>
        </row>
        <row r="9148">
          <cell r="B9148">
            <v>0.10586805555557739</v>
          </cell>
          <cell r="C9148">
            <v>152</v>
          </cell>
        </row>
        <row r="9149">
          <cell r="B9149">
            <v>0.10587962962965147</v>
          </cell>
          <cell r="C9149">
            <v>152</v>
          </cell>
        </row>
        <row r="9150">
          <cell r="B9150">
            <v>0.10589120370372555</v>
          </cell>
          <cell r="C9150">
            <v>152</v>
          </cell>
        </row>
        <row r="9151">
          <cell r="B9151">
            <v>0.10590277777779963</v>
          </cell>
          <cell r="C9151">
            <v>152</v>
          </cell>
        </row>
        <row r="9152">
          <cell r="B9152">
            <v>0.10591435185187371</v>
          </cell>
          <cell r="C9152">
            <v>152</v>
          </cell>
        </row>
        <row r="9153">
          <cell r="B9153">
            <v>0.10592592592594779</v>
          </cell>
          <cell r="C9153">
            <v>152</v>
          </cell>
        </row>
        <row r="9154">
          <cell r="B9154">
            <v>0.10593750000002188</v>
          </cell>
          <cell r="C9154">
            <v>152</v>
          </cell>
        </row>
        <row r="9155">
          <cell r="B9155">
            <v>0.10594907407409596</v>
          </cell>
          <cell r="C9155">
            <v>152</v>
          </cell>
        </row>
        <row r="9156">
          <cell r="B9156">
            <v>0.10596064814817004</v>
          </cell>
          <cell r="C9156">
            <v>152</v>
          </cell>
        </row>
        <row r="9157">
          <cell r="B9157">
            <v>0.10597222222224412</v>
          </cell>
          <cell r="C9157">
            <v>152</v>
          </cell>
        </row>
        <row r="9158">
          <cell r="B9158">
            <v>0.1059837962963182</v>
          </cell>
          <cell r="C9158">
            <v>152</v>
          </cell>
        </row>
        <row r="9159">
          <cell r="B9159">
            <v>0.10599537037039228</v>
          </cell>
          <cell r="C9159">
            <v>152</v>
          </cell>
        </row>
        <row r="9160">
          <cell r="B9160">
            <v>0.10600694444446636</v>
          </cell>
          <cell r="C9160">
            <v>152</v>
          </cell>
        </row>
        <row r="9161">
          <cell r="B9161">
            <v>0.10601851851854044</v>
          </cell>
          <cell r="C9161">
            <v>152</v>
          </cell>
        </row>
        <row r="9162">
          <cell r="B9162">
            <v>0.10603009259261452</v>
          </cell>
          <cell r="C9162">
            <v>152</v>
          </cell>
        </row>
        <row r="9163">
          <cell r="B9163">
            <v>0.1060416666666886</v>
          </cell>
          <cell r="C9163">
            <v>152</v>
          </cell>
        </row>
        <row r="9164">
          <cell r="B9164">
            <v>0.10605324074076268</v>
          </cell>
          <cell r="C9164">
            <v>152</v>
          </cell>
        </row>
        <row r="9165">
          <cell r="B9165">
            <v>0.10606481481483676</v>
          </cell>
          <cell r="C9165">
            <v>152</v>
          </cell>
        </row>
        <row r="9166">
          <cell r="B9166">
            <v>0.10607638888891084</v>
          </cell>
          <cell r="C9166">
            <v>152</v>
          </cell>
        </row>
        <row r="9167">
          <cell r="B9167">
            <v>0.10608796296298492</v>
          </cell>
          <cell r="C9167">
            <v>152</v>
          </cell>
        </row>
        <row r="9168">
          <cell r="B9168">
            <v>0.106099537037059</v>
          </cell>
          <cell r="C9168">
            <v>152</v>
          </cell>
        </row>
        <row r="9169">
          <cell r="B9169">
            <v>0.10611111111113308</v>
          </cell>
          <cell r="C9169">
            <v>152</v>
          </cell>
        </row>
        <row r="9170">
          <cell r="B9170">
            <v>0.10612268518520716</v>
          </cell>
          <cell r="C9170">
            <v>152</v>
          </cell>
        </row>
        <row r="9171">
          <cell r="B9171">
            <v>0.10613425925928124</v>
          </cell>
          <cell r="C9171">
            <v>152</v>
          </cell>
        </row>
        <row r="9172">
          <cell r="B9172">
            <v>0.10614583333335532</v>
          </cell>
          <cell r="C9172">
            <v>152</v>
          </cell>
        </row>
        <row r="9173">
          <cell r="B9173">
            <v>0.1061574074074294</v>
          </cell>
          <cell r="C9173">
            <v>152</v>
          </cell>
        </row>
        <row r="9174">
          <cell r="B9174">
            <v>0.10616898148150349</v>
          </cell>
          <cell r="C9174">
            <v>152</v>
          </cell>
        </row>
        <row r="9175">
          <cell r="B9175">
            <v>0.10618055555557757</v>
          </cell>
          <cell r="C9175">
            <v>152</v>
          </cell>
        </row>
        <row r="9176">
          <cell r="B9176">
            <v>0.10619212962965165</v>
          </cell>
          <cell r="C9176">
            <v>152</v>
          </cell>
        </row>
        <row r="9177">
          <cell r="B9177">
            <v>0.10620370370372573</v>
          </cell>
          <cell r="C9177">
            <v>152</v>
          </cell>
        </row>
        <row r="9178">
          <cell r="B9178">
            <v>0.10621527777779981</v>
          </cell>
          <cell r="C9178">
            <v>152</v>
          </cell>
        </row>
        <row r="9179">
          <cell r="B9179">
            <v>0.10622685185187389</v>
          </cell>
          <cell r="C9179">
            <v>152</v>
          </cell>
        </row>
        <row r="9180">
          <cell r="B9180">
            <v>0.10623842592594797</v>
          </cell>
          <cell r="C9180">
            <v>152</v>
          </cell>
        </row>
        <row r="9181">
          <cell r="B9181">
            <v>0.10625000000002205</v>
          </cell>
          <cell r="C9181">
            <v>153</v>
          </cell>
        </row>
        <row r="9182">
          <cell r="B9182">
            <v>0.10626157407409613</v>
          </cell>
          <cell r="C9182">
            <v>153</v>
          </cell>
        </row>
        <row r="9183">
          <cell r="B9183">
            <v>0.10627314814817021</v>
          </cell>
          <cell r="C9183">
            <v>153</v>
          </cell>
        </row>
        <row r="9184">
          <cell r="B9184">
            <v>0.10628472222224429</v>
          </cell>
          <cell r="C9184">
            <v>153</v>
          </cell>
        </row>
        <row r="9185">
          <cell r="B9185">
            <v>0.10629629629631837</v>
          </cell>
          <cell r="C9185">
            <v>153</v>
          </cell>
        </row>
        <row r="9186">
          <cell r="B9186">
            <v>0.10630787037039245</v>
          </cell>
          <cell r="C9186">
            <v>153</v>
          </cell>
        </row>
        <row r="9187">
          <cell r="B9187">
            <v>0.10631944444446653</v>
          </cell>
          <cell r="C9187">
            <v>153</v>
          </cell>
        </row>
        <row r="9188">
          <cell r="B9188">
            <v>0.10633101851854061</v>
          </cell>
          <cell r="C9188">
            <v>153</v>
          </cell>
        </row>
        <row r="9189">
          <cell r="B9189">
            <v>0.10634259259261469</v>
          </cell>
          <cell r="C9189">
            <v>153</v>
          </cell>
        </row>
        <row r="9190">
          <cell r="B9190">
            <v>0.10635416666668877</v>
          </cell>
          <cell r="C9190">
            <v>153</v>
          </cell>
        </row>
        <row r="9191">
          <cell r="B9191">
            <v>0.10636574074076285</v>
          </cell>
          <cell r="C9191">
            <v>153</v>
          </cell>
        </row>
        <row r="9192">
          <cell r="B9192">
            <v>0.10637731481483693</v>
          </cell>
          <cell r="C9192">
            <v>153</v>
          </cell>
        </row>
        <row r="9193">
          <cell r="B9193">
            <v>0.10638888888891102</v>
          </cell>
          <cell r="C9193">
            <v>153</v>
          </cell>
        </row>
        <row r="9194">
          <cell r="B9194">
            <v>0.1064004629629851</v>
          </cell>
          <cell r="C9194">
            <v>153</v>
          </cell>
        </row>
        <row r="9195">
          <cell r="B9195">
            <v>0.10641203703705918</v>
          </cell>
          <cell r="C9195">
            <v>153</v>
          </cell>
        </row>
        <row r="9196">
          <cell r="B9196">
            <v>0.10642361111113326</v>
          </cell>
          <cell r="C9196">
            <v>153</v>
          </cell>
        </row>
        <row r="9197">
          <cell r="B9197">
            <v>0.10643518518520734</v>
          </cell>
          <cell r="C9197">
            <v>153</v>
          </cell>
        </row>
        <row r="9198">
          <cell r="B9198">
            <v>0.10644675925928142</v>
          </cell>
          <cell r="C9198">
            <v>153</v>
          </cell>
        </row>
        <row r="9199">
          <cell r="B9199">
            <v>0.1064583333333555</v>
          </cell>
          <cell r="C9199">
            <v>153</v>
          </cell>
        </row>
        <row r="9200">
          <cell r="B9200">
            <v>0.10646990740742958</v>
          </cell>
          <cell r="C9200">
            <v>153</v>
          </cell>
        </row>
        <row r="9201">
          <cell r="B9201">
            <v>0.10648148148150366</v>
          </cell>
          <cell r="C9201">
            <v>153</v>
          </cell>
        </row>
        <row r="9202">
          <cell r="B9202">
            <v>0.10649305555557774</v>
          </cell>
          <cell r="C9202">
            <v>153</v>
          </cell>
        </row>
        <row r="9203">
          <cell r="B9203">
            <v>0.10650462962965182</v>
          </cell>
          <cell r="C9203">
            <v>153</v>
          </cell>
        </row>
        <row r="9204">
          <cell r="B9204">
            <v>0.1065162037037259</v>
          </cell>
          <cell r="C9204">
            <v>153</v>
          </cell>
        </row>
        <row r="9205">
          <cell r="B9205">
            <v>0.10652777777779998</v>
          </cell>
          <cell r="C9205">
            <v>153</v>
          </cell>
        </row>
        <row r="9206">
          <cell r="B9206">
            <v>0.10653935185187406</v>
          </cell>
          <cell r="C9206">
            <v>153</v>
          </cell>
        </row>
        <row r="9207">
          <cell r="B9207">
            <v>0.10655092592594814</v>
          </cell>
          <cell r="C9207">
            <v>153</v>
          </cell>
        </row>
        <row r="9208">
          <cell r="B9208">
            <v>0.10656250000002222</v>
          </cell>
          <cell r="C9208">
            <v>153</v>
          </cell>
        </row>
        <row r="9209">
          <cell r="B9209">
            <v>0.1065740740740963</v>
          </cell>
          <cell r="C9209">
            <v>153</v>
          </cell>
        </row>
        <row r="9210">
          <cell r="B9210">
            <v>0.10658564814817038</v>
          </cell>
          <cell r="C9210">
            <v>153</v>
          </cell>
        </row>
        <row r="9211">
          <cell r="B9211">
            <v>0.10659722222224446</v>
          </cell>
          <cell r="C9211">
            <v>153</v>
          </cell>
        </row>
        <row r="9212">
          <cell r="B9212">
            <v>0.10660879629631854</v>
          </cell>
          <cell r="C9212">
            <v>153</v>
          </cell>
        </row>
        <row r="9213">
          <cell r="B9213">
            <v>0.10662037037039263</v>
          </cell>
          <cell r="C9213">
            <v>153</v>
          </cell>
        </row>
        <row r="9214">
          <cell r="B9214">
            <v>0.10663194444446671</v>
          </cell>
          <cell r="C9214">
            <v>153</v>
          </cell>
        </row>
        <row r="9215">
          <cell r="B9215">
            <v>0.10664351851854079</v>
          </cell>
          <cell r="C9215">
            <v>153</v>
          </cell>
        </row>
        <row r="9216">
          <cell r="B9216">
            <v>0.10665509259261487</v>
          </cell>
          <cell r="C9216">
            <v>153</v>
          </cell>
        </row>
        <row r="9217">
          <cell r="B9217">
            <v>0.10666666666668895</v>
          </cell>
          <cell r="C9217">
            <v>153</v>
          </cell>
        </row>
        <row r="9218">
          <cell r="B9218">
            <v>0.10667824074076303</v>
          </cell>
          <cell r="C9218">
            <v>153</v>
          </cell>
        </row>
        <row r="9219">
          <cell r="B9219">
            <v>0.10668981481483711</v>
          </cell>
          <cell r="C9219">
            <v>153</v>
          </cell>
        </row>
        <row r="9220">
          <cell r="B9220">
            <v>0.10670138888891119</v>
          </cell>
          <cell r="C9220">
            <v>153</v>
          </cell>
        </row>
        <row r="9221">
          <cell r="B9221">
            <v>0.10671296296298527</v>
          </cell>
          <cell r="C9221">
            <v>153</v>
          </cell>
        </row>
        <row r="9222">
          <cell r="B9222">
            <v>0.10672453703705935</v>
          </cell>
          <cell r="C9222">
            <v>153</v>
          </cell>
        </row>
        <row r="9223">
          <cell r="B9223">
            <v>0.10673611111113343</v>
          </cell>
          <cell r="C9223">
            <v>153</v>
          </cell>
        </row>
        <row r="9224">
          <cell r="B9224">
            <v>0.10674768518520751</v>
          </cell>
          <cell r="C9224">
            <v>153</v>
          </cell>
        </row>
        <row r="9225">
          <cell r="B9225">
            <v>0.10675925925928159</v>
          </cell>
          <cell r="C9225">
            <v>153</v>
          </cell>
        </row>
        <row r="9226">
          <cell r="B9226">
            <v>0.10677083333335567</v>
          </cell>
          <cell r="C9226">
            <v>153</v>
          </cell>
        </row>
        <row r="9227">
          <cell r="B9227">
            <v>0.10678240740742975</v>
          </cell>
          <cell r="C9227">
            <v>153</v>
          </cell>
        </row>
        <row r="9228">
          <cell r="B9228">
            <v>0.10679398148150383</v>
          </cell>
          <cell r="C9228">
            <v>153</v>
          </cell>
        </row>
        <row r="9229">
          <cell r="B9229">
            <v>0.10680555555557791</v>
          </cell>
          <cell r="C9229">
            <v>153</v>
          </cell>
        </row>
        <row r="9230">
          <cell r="B9230">
            <v>0.10681712962965199</v>
          </cell>
          <cell r="C9230">
            <v>153</v>
          </cell>
        </row>
        <row r="9231">
          <cell r="B9231">
            <v>0.10682870370372607</v>
          </cell>
          <cell r="C9231">
            <v>153</v>
          </cell>
        </row>
        <row r="9232">
          <cell r="B9232">
            <v>0.10684027777780016</v>
          </cell>
          <cell r="C9232">
            <v>153</v>
          </cell>
        </row>
        <row r="9233">
          <cell r="B9233">
            <v>0.10685185185187424</v>
          </cell>
          <cell r="C9233">
            <v>153</v>
          </cell>
        </row>
        <row r="9234">
          <cell r="B9234">
            <v>0.10686342592594832</v>
          </cell>
          <cell r="C9234">
            <v>153</v>
          </cell>
        </row>
        <row r="9235">
          <cell r="B9235">
            <v>0.1068750000000224</v>
          </cell>
          <cell r="C9235">
            <v>153</v>
          </cell>
        </row>
        <row r="9236">
          <cell r="B9236">
            <v>0.10688657407409648</v>
          </cell>
          <cell r="C9236">
            <v>153</v>
          </cell>
        </row>
        <row r="9237">
          <cell r="B9237">
            <v>0.10689814814817056</v>
          </cell>
          <cell r="C9237">
            <v>153</v>
          </cell>
        </row>
        <row r="9238">
          <cell r="B9238">
            <v>0.10690972222224464</v>
          </cell>
          <cell r="C9238">
            <v>153</v>
          </cell>
        </row>
        <row r="9239">
          <cell r="B9239">
            <v>0.10692129629631872</v>
          </cell>
          <cell r="C9239">
            <v>153</v>
          </cell>
        </row>
        <row r="9240">
          <cell r="B9240">
            <v>0.1069328703703928</v>
          </cell>
          <cell r="C9240">
            <v>153</v>
          </cell>
        </row>
        <row r="9241">
          <cell r="B9241">
            <v>0.10694444444446688</v>
          </cell>
          <cell r="C9241">
            <v>154</v>
          </cell>
        </row>
        <row r="9242">
          <cell r="B9242">
            <v>0.10695601851854096</v>
          </cell>
          <cell r="C9242">
            <v>154</v>
          </cell>
        </row>
        <row r="9243">
          <cell r="B9243">
            <v>0.10696759259261504</v>
          </cell>
          <cell r="C9243">
            <v>154</v>
          </cell>
        </row>
        <row r="9244">
          <cell r="B9244">
            <v>0.10697916666668912</v>
          </cell>
          <cell r="C9244">
            <v>154</v>
          </cell>
        </row>
        <row r="9245">
          <cell r="B9245">
            <v>0.1069907407407632</v>
          </cell>
          <cell r="C9245">
            <v>154</v>
          </cell>
        </row>
        <row r="9246">
          <cell r="B9246">
            <v>0.10700231481483728</v>
          </cell>
          <cell r="C9246">
            <v>154</v>
          </cell>
        </row>
        <row r="9247">
          <cell r="B9247">
            <v>0.10701388888891136</v>
          </cell>
          <cell r="C9247">
            <v>154</v>
          </cell>
        </row>
        <row r="9248">
          <cell r="B9248">
            <v>0.10702546296298544</v>
          </cell>
          <cell r="C9248">
            <v>154</v>
          </cell>
        </row>
        <row r="9249">
          <cell r="B9249">
            <v>0.10703703703705952</v>
          </cell>
          <cell r="C9249">
            <v>154</v>
          </cell>
        </row>
        <row r="9250">
          <cell r="B9250">
            <v>0.1070486111111336</v>
          </cell>
          <cell r="C9250">
            <v>154</v>
          </cell>
        </row>
        <row r="9251">
          <cell r="B9251">
            <v>0.10706018518520768</v>
          </cell>
          <cell r="C9251">
            <v>154</v>
          </cell>
        </row>
        <row r="9252">
          <cell r="B9252">
            <v>0.10707175925928177</v>
          </cell>
          <cell r="C9252">
            <v>154</v>
          </cell>
        </row>
        <row r="9253">
          <cell r="B9253">
            <v>0.10708333333335585</v>
          </cell>
          <cell r="C9253">
            <v>154</v>
          </cell>
        </row>
        <row r="9254">
          <cell r="B9254">
            <v>0.10709490740742993</v>
          </cell>
          <cell r="C9254">
            <v>154</v>
          </cell>
        </row>
        <row r="9255">
          <cell r="B9255">
            <v>0.10710648148150401</v>
          </cell>
          <cell r="C9255">
            <v>154</v>
          </cell>
        </row>
        <row r="9256">
          <cell r="B9256">
            <v>0.10711805555557809</v>
          </cell>
          <cell r="C9256">
            <v>154</v>
          </cell>
        </row>
        <row r="9257">
          <cell r="B9257">
            <v>0.10712962962965217</v>
          </cell>
          <cell r="C9257">
            <v>154</v>
          </cell>
        </row>
        <row r="9258">
          <cell r="B9258">
            <v>0.10714120370372625</v>
          </cell>
          <cell r="C9258">
            <v>154</v>
          </cell>
        </row>
        <row r="9259">
          <cell r="B9259">
            <v>0.10715277777780033</v>
          </cell>
          <cell r="C9259">
            <v>154</v>
          </cell>
        </row>
        <row r="9260">
          <cell r="B9260">
            <v>0.10716435185187441</v>
          </cell>
          <cell r="C9260">
            <v>154</v>
          </cell>
        </row>
        <row r="9261">
          <cell r="B9261">
            <v>0.10717592592594849</v>
          </cell>
          <cell r="C9261">
            <v>154</v>
          </cell>
        </row>
        <row r="9262">
          <cell r="B9262">
            <v>0.10718750000002257</v>
          </cell>
          <cell r="C9262">
            <v>154</v>
          </cell>
        </row>
        <row r="9263">
          <cell r="B9263">
            <v>0.10719907407409665</v>
          </cell>
          <cell r="C9263">
            <v>154</v>
          </cell>
        </row>
        <row r="9264">
          <cell r="B9264">
            <v>0.10721064814817073</v>
          </cell>
          <cell r="C9264">
            <v>154</v>
          </cell>
        </row>
        <row r="9265">
          <cell r="B9265">
            <v>0.10722222222224481</v>
          </cell>
          <cell r="C9265">
            <v>154</v>
          </cell>
        </row>
        <row r="9266">
          <cell r="B9266">
            <v>0.10723379629631889</v>
          </cell>
          <cell r="C9266">
            <v>154</v>
          </cell>
        </row>
        <row r="9267">
          <cell r="B9267">
            <v>0.10724537037039297</v>
          </cell>
          <cell r="C9267">
            <v>154</v>
          </cell>
        </row>
        <row r="9268">
          <cell r="B9268">
            <v>0.10725694444446705</v>
          </cell>
          <cell r="C9268">
            <v>154</v>
          </cell>
        </row>
        <row r="9269">
          <cell r="B9269">
            <v>0.10726851851854113</v>
          </cell>
          <cell r="C9269">
            <v>154</v>
          </cell>
        </row>
        <row r="9270">
          <cell r="B9270">
            <v>0.10728009259261521</v>
          </cell>
          <cell r="C9270">
            <v>154</v>
          </cell>
        </row>
        <row r="9271">
          <cell r="B9271">
            <v>0.10729166666668929</v>
          </cell>
          <cell r="C9271">
            <v>154</v>
          </cell>
        </row>
        <row r="9272">
          <cell r="B9272">
            <v>0.10730324074076338</v>
          </cell>
          <cell r="C9272">
            <v>154</v>
          </cell>
        </row>
        <row r="9273">
          <cell r="B9273">
            <v>0.10731481481483746</v>
          </cell>
          <cell r="C9273">
            <v>154</v>
          </cell>
        </row>
        <row r="9274">
          <cell r="B9274">
            <v>0.10732638888891154</v>
          </cell>
          <cell r="C9274">
            <v>154</v>
          </cell>
        </row>
        <row r="9275">
          <cell r="B9275">
            <v>0.10733796296298562</v>
          </cell>
          <cell r="C9275">
            <v>154</v>
          </cell>
        </row>
        <row r="9276">
          <cell r="B9276">
            <v>0.1073495370370597</v>
          </cell>
          <cell r="C9276">
            <v>154</v>
          </cell>
        </row>
        <row r="9277">
          <cell r="B9277">
            <v>0.10736111111113378</v>
          </cell>
          <cell r="C9277">
            <v>154</v>
          </cell>
        </row>
        <row r="9278">
          <cell r="B9278">
            <v>0.10737268518520786</v>
          </cell>
          <cell r="C9278">
            <v>154</v>
          </cell>
        </row>
        <row r="9279">
          <cell r="B9279">
            <v>0.10738425925928194</v>
          </cell>
          <cell r="C9279">
            <v>154</v>
          </cell>
        </row>
        <row r="9280">
          <cell r="B9280">
            <v>0.10739583333335602</v>
          </cell>
          <cell r="C9280">
            <v>154</v>
          </cell>
        </row>
        <row r="9281">
          <cell r="B9281">
            <v>0.1074074074074301</v>
          </cell>
          <cell r="C9281">
            <v>154</v>
          </cell>
        </row>
        <row r="9282">
          <cell r="B9282">
            <v>0.10741898148150418</v>
          </cell>
          <cell r="C9282">
            <v>154</v>
          </cell>
        </row>
        <row r="9283">
          <cell r="B9283">
            <v>0.10743055555557826</v>
          </cell>
          <cell r="C9283">
            <v>154</v>
          </cell>
        </row>
        <row r="9284">
          <cell r="B9284">
            <v>0.10744212962965234</v>
          </cell>
          <cell r="C9284">
            <v>154</v>
          </cell>
        </row>
        <row r="9285">
          <cell r="B9285">
            <v>0.10745370370372642</v>
          </cell>
          <cell r="C9285">
            <v>154</v>
          </cell>
        </row>
        <row r="9286">
          <cell r="B9286">
            <v>0.1074652777778005</v>
          </cell>
          <cell r="C9286">
            <v>154</v>
          </cell>
        </row>
        <row r="9287">
          <cell r="B9287">
            <v>0.10747685185187458</v>
          </cell>
          <cell r="C9287">
            <v>154</v>
          </cell>
        </row>
        <row r="9288">
          <cell r="B9288">
            <v>0.10748842592594866</v>
          </cell>
          <cell r="C9288">
            <v>154</v>
          </cell>
        </row>
        <row r="9289">
          <cell r="B9289">
            <v>0.10750000000002274</v>
          </cell>
          <cell r="C9289">
            <v>154</v>
          </cell>
        </row>
        <row r="9290">
          <cell r="B9290">
            <v>0.10751157407409682</v>
          </cell>
          <cell r="C9290">
            <v>154</v>
          </cell>
        </row>
        <row r="9291">
          <cell r="B9291">
            <v>0.10752314814817091</v>
          </cell>
          <cell r="C9291">
            <v>154</v>
          </cell>
        </row>
        <row r="9292">
          <cell r="B9292">
            <v>0.10753472222224499</v>
          </cell>
          <cell r="C9292">
            <v>154</v>
          </cell>
        </row>
        <row r="9293">
          <cell r="B9293">
            <v>0.10754629629631907</v>
          </cell>
          <cell r="C9293">
            <v>154</v>
          </cell>
        </row>
        <row r="9294">
          <cell r="B9294">
            <v>0.10755787037039315</v>
          </cell>
          <cell r="C9294">
            <v>154</v>
          </cell>
        </row>
        <row r="9295">
          <cell r="B9295">
            <v>0.10756944444446723</v>
          </cell>
          <cell r="C9295">
            <v>154</v>
          </cell>
        </row>
        <row r="9296">
          <cell r="B9296">
            <v>0.10758101851854131</v>
          </cell>
          <cell r="C9296">
            <v>154</v>
          </cell>
        </row>
        <row r="9297">
          <cell r="B9297">
            <v>0.10759259259261539</v>
          </cell>
          <cell r="C9297">
            <v>154</v>
          </cell>
        </row>
        <row r="9298">
          <cell r="B9298">
            <v>0.10760416666668947</v>
          </cell>
          <cell r="C9298">
            <v>154</v>
          </cell>
        </row>
        <row r="9299">
          <cell r="B9299">
            <v>0.10761574074076355</v>
          </cell>
          <cell r="C9299">
            <v>154</v>
          </cell>
        </row>
        <row r="9300">
          <cell r="B9300">
            <v>0.10762731481483763</v>
          </cell>
          <cell r="C9300">
            <v>154</v>
          </cell>
        </row>
        <row r="9301">
          <cell r="B9301">
            <v>0.10763888888891171</v>
          </cell>
          <cell r="C9301">
            <v>155</v>
          </cell>
        </row>
        <row r="9302">
          <cell r="B9302">
            <v>0.10765046296298579</v>
          </cell>
          <cell r="C9302">
            <v>155</v>
          </cell>
        </row>
        <row r="9303">
          <cell r="B9303">
            <v>0.10766203703705987</v>
          </cell>
          <cell r="C9303">
            <v>155</v>
          </cell>
        </row>
        <row r="9304">
          <cell r="B9304">
            <v>0.10767361111113395</v>
          </cell>
          <cell r="C9304">
            <v>155</v>
          </cell>
        </row>
        <row r="9305">
          <cell r="B9305">
            <v>0.10768518518520803</v>
          </cell>
          <cell r="C9305">
            <v>155</v>
          </cell>
        </row>
        <row r="9306">
          <cell r="B9306">
            <v>0.10769675925928211</v>
          </cell>
          <cell r="C9306">
            <v>155</v>
          </cell>
        </row>
        <row r="9307">
          <cell r="B9307">
            <v>0.10770833333335619</v>
          </cell>
          <cell r="C9307">
            <v>155</v>
          </cell>
        </row>
        <row r="9308">
          <cell r="B9308">
            <v>0.10771990740743027</v>
          </cell>
          <cell r="C9308">
            <v>155</v>
          </cell>
        </row>
        <row r="9309">
          <cell r="B9309">
            <v>0.10773148148150435</v>
          </cell>
          <cell r="C9309">
            <v>155</v>
          </cell>
        </row>
        <row r="9310">
          <cell r="B9310">
            <v>0.10774305555557843</v>
          </cell>
          <cell r="C9310">
            <v>155</v>
          </cell>
        </row>
        <row r="9311">
          <cell r="B9311">
            <v>0.10775462962965252</v>
          </cell>
          <cell r="C9311">
            <v>155</v>
          </cell>
        </row>
        <row r="9312">
          <cell r="B9312">
            <v>0.1077662037037266</v>
          </cell>
          <cell r="C9312">
            <v>155</v>
          </cell>
        </row>
        <row r="9313">
          <cell r="B9313">
            <v>0.10777777777780068</v>
          </cell>
          <cell r="C9313">
            <v>155</v>
          </cell>
        </row>
        <row r="9314">
          <cell r="B9314">
            <v>0.10778935185187476</v>
          </cell>
          <cell r="C9314">
            <v>155</v>
          </cell>
        </row>
        <row r="9315">
          <cell r="B9315">
            <v>0.10780092592594884</v>
          </cell>
          <cell r="C9315">
            <v>155</v>
          </cell>
        </row>
        <row r="9316">
          <cell r="B9316">
            <v>0.10781250000002292</v>
          </cell>
          <cell r="C9316">
            <v>155</v>
          </cell>
        </row>
        <row r="9317">
          <cell r="B9317">
            <v>0.107824074074097</v>
          </cell>
          <cell r="C9317">
            <v>155</v>
          </cell>
        </row>
        <row r="9318">
          <cell r="B9318">
            <v>0.10783564814817108</v>
          </cell>
          <cell r="C9318">
            <v>155</v>
          </cell>
        </row>
        <row r="9319">
          <cell r="B9319">
            <v>0.10784722222224516</v>
          </cell>
          <cell r="C9319">
            <v>155</v>
          </cell>
        </row>
        <row r="9320">
          <cell r="B9320">
            <v>0.10785879629631924</v>
          </cell>
          <cell r="C9320">
            <v>155</v>
          </cell>
        </row>
        <row r="9321">
          <cell r="B9321">
            <v>0.10787037037039332</v>
          </cell>
          <cell r="C9321">
            <v>155</v>
          </cell>
        </row>
        <row r="9322">
          <cell r="B9322">
            <v>0.1078819444444674</v>
          </cell>
          <cell r="C9322">
            <v>155</v>
          </cell>
        </row>
        <row r="9323">
          <cell r="B9323">
            <v>0.10789351851854148</v>
          </cell>
          <cell r="C9323">
            <v>155</v>
          </cell>
        </row>
        <row r="9324">
          <cell r="B9324">
            <v>0.10790509259261556</v>
          </cell>
          <cell r="C9324">
            <v>155</v>
          </cell>
        </row>
        <row r="9325">
          <cell r="B9325">
            <v>0.10791666666668964</v>
          </cell>
          <cell r="C9325">
            <v>155</v>
          </cell>
        </row>
        <row r="9326">
          <cell r="B9326">
            <v>0.10792824074076372</v>
          </cell>
          <cell r="C9326">
            <v>155</v>
          </cell>
        </row>
        <row r="9327">
          <cell r="B9327">
            <v>0.1079398148148378</v>
          </cell>
          <cell r="C9327">
            <v>155</v>
          </cell>
        </row>
        <row r="9328">
          <cell r="B9328">
            <v>0.10795138888891188</v>
          </cell>
          <cell r="C9328">
            <v>155</v>
          </cell>
        </row>
        <row r="9329">
          <cell r="B9329">
            <v>0.10796296296298596</v>
          </cell>
          <cell r="C9329">
            <v>155</v>
          </cell>
        </row>
        <row r="9330">
          <cell r="B9330">
            <v>0.10797453703706004</v>
          </cell>
          <cell r="C9330">
            <v>155</v>
          </cell>
        </row>
        <row r="9331">
          <cell r="B9331">
            <v>0.10798611111113413</v>
          </cell>
          <cell r="C9331">
            <v>155</v>
          </cell>
        </row>
        <row r="9332">
          <cell r="B9332">
            <v>0.10799768518520821</v>
          </cell>
          <cell r="C9332">
            <v>155</v>
          </cell>
        </row>
        <row r="9333">
          <cell r="B9333">
            <v>0.10800925925928229</v>
          </cell>
          <cell r="C9333">
            <v>155</v>
          </cell>
        </row>
        <row r="9334">
          <cell r="B9334">
            <v>0.10802083333335637</v>
          </cell>
          <cell r="C9334">
            <v>155</v>
          </cell>
        </row>
        <row r="9335">
          <cell r="B9335">
            <v>0.10803240740743045</v>
          </cell>
          <cell r="C9335">
            <v>155</v>
          </cell>
        </row>
        <row r="9336">
          <cell r="B9336">
            <v>0.10804398148150453</v>
          </cell>
          <cell r="C9336">
            <v>155</v>
          </cell>
        </row>
        <row r="9337">
          <cell r="B9337">
            <v>0.10805555555557861</v>
          </cell>
          <cell r="C9337">
            <v>155</v>
          </cell>
        </row>
        <row r="9338">
          <cell r="B9338">
            <v>0.10806712962965269</v>
          </cell>
          <cell r="C9338">
            <v>155</v>
          </cell>
        </row>
        <row r="9339">
          <cell r="B9339">
            <v>0.10807870370372677</v>
          </cell>
          <cell r="C9339">
            <v>155</v>
          </cell>
        </row>
        <row r="9340">
          <cell r="B9340">
            <v>0.10809027777780085</v>
          </cell>
          <cell r="C9340">
            <v>155</v>
          </cell>
        </row>
        <row r="9341">
          <cell r="B9341">
            <v>0.10810185185187493</v>
          </cell>
          <cell r="C9341">
            <v>155</v>
          </cell>
        </row>
        <row r="9342">
          <cell r="B9342">
            <v>0.10811342592594901</v>
          </cell>
          <cell r="C9342">
            <v>155</v>
          </cell>
        </row>
        <row r="9343">
          <cell r="B9343">
            <v>0.10812500000002309</v>
          </cell>
          <cell r="C9343">
            <v>155</v>
          </cell>
        </row>
        <row r="9344">
          <cell r="B9344">
            <v>0.10813657407409717</v>
          </cell>
          <cell r="C9344">
            <v>155</v>
          </cell>
        </row>
        <row r="9345">
          <cell r="B9345">
            <v>0.10814814814817125</v>
          </cell>
          <cell r="C9345">
            <v>155</v>
          </cell>
        </row>
        <row r="9346">
          <cell r="B9346">
            <v>0.10815972222224533</v>
          </cell>
          <cell r="C9346">
            <v>155</v>
          </cell>
        </row>
        <row r="9347">
          <cell r="B9347">
            <v>0.10817129629631941</v>
          </cell>
          <cell r="C9347">
            <v>155</v>
          </cell>
        </row>
        <row r="9348">
          <cell r="B9348">
            <v>0.10818287037039349</v>
          </cell>
          <cell r="C9348">
            <v>155</v>
          </cell>
        </row>
        <row r="9349">
          <cell r="B9349">
            <v>0.10819444444446757</v>
          </cell>
          <cell r="C9349">
            <v>155</v>
          </cell>
        </row>
        <row r="9350">
          <cell r="B9350">
            <v>0.10820601851854166</v>
          </cell>
          <cell r="C9350">
            <v>155</v>
          </cell>
        </row>
        <row r="9351">
          <cell r="B9351">
            <v>0.10821759259261574</v>
          </cell>
          <cell r="C9351">
            <v>155</v>
          </cell>
        </row>
        <row r="9352">
          <cell r="B9352">
            <v>0.10822916666668982</v>
          </cell>
          <cell r="C9352">
            <v>155</v>
          </cell>
        </row>
        <row r="9353">
          <cell r="B9353">
            <v>0.1082407407407639</v>
          </cell>
          <cell r="C9353">
            <v>155</v>
          </cell>
        </row>
        <row r="9354">
          <cell r="B9354">
            <v>0.10825231481483798</v>
          </cell>
          <cell r="C9354">
            <v>155</v>
          </cell>
        </row>
        <row r="9355">
          <cell r="B9355">
            <v>0.10826388888891206</v>
          </cell>
          <cell r="C9355">
            <v>155</v>
          </cell>
        </row>
        <row r="9356">
          <cell r="B9356">
            <v>0.10827546296298614</v>
          </cell>
          <cell r="C9356">
            <v>155</v>
          </cell>
        </row>
        <row r="9357">
          <cell r="B9357">
            <v>0.10828703703706022</v>
          </cell>
          <cell r="C9357">
            <v>155</v>
          </cell>
        </row>
        <row r="9358">
          <cell r="B9358">
            <v>0.1082986111111343</v>
          </cell>
          <cell r="C9358">
            <v>155</v>
          </cell>
        </row>
        <row r="9359">
          <cell r="B9359">
            <v>0.10831018518520838</v>
          </cell>
          <cell r="C9359">
            <v>155</v>
          </cell>
        </row>
        <row r="9360">
          <cell r="B9360">
            <v>0.10832175925928246</v>
          </cell>
          <cell r="C9360">
            <v>155</v>
          </cell>
        </row>
        <row r="9361">
          <cell r="B9361">
            <v>0.10833333333335654</v>
          </cell>
          <cell r="C9361">
            <v>156</v>
          </cell>
        </row>
        <row r="9362">
          <cell r="B9362">
            <v>0.10834490740743062</v>
          </cell>
          <cell r="C9362">
            <v>156</v>
          </cell>
        </row>
        <row r="9363">
          <cell r="B9363">
            <v>0.1083564814815047</v>
          </cell>
          <cell r="C9363">
            <v>156</v>
          </cell>
        </row>
        <row r="9364">
          <cell r="B9364">
            <v>0.10836805555557878</v>
          </cell>
          <cell r="C9364">
            <v>156</v>
          </cell>
        </row>
        <row r="9365">
          <cell r="B9365">
            <v>0.10837962962965286</v>
          </cell>
          <cell r="C9365">
            <v>156</v>
          </cell>
        </row>
        <row r="9366">
          <cell r="B9366">
            <v>0.10839120370372694</v>
          </cell>
          <cell r="C9366">
            <v>156</v>
          </cell>
        </row>
        <row r="9367">
          <cell r="B9367">
            <v>0.10840277777780102</v>
          </cell>
          <cell r="C9367">
            <v>156</v>
          </cell>
        </row>
        <row r="9368">
          <cell r="B9368">
            <v>0.1084143518518751</v>
          </cell>
          <cell r="C9368">
            <v>156</v>
          </cell>
        </row>
        <row r="9369">
          <cell r="B9369">
            <v>0.10842592592594918</v>
          </cell>
          <cell r="C9369">
            <v>156</v>
          </cell>
        </row>
        <row r="9370">
          <cell r="B9370">
            <v>0.10843750000002327</v>
          </cell>
          <cell r="C9370">
            <v>156</v>
          </cell>
        </row>
        <row r="9371">
          <cell r="B9371">
            <v>0.10844907407409735</v>
          </cell>
          <cell r="C9371">
            <v>156</v>
          </cell>
        </row>
        <row r="9372">
          <cell r="B9372">
            <v>0.10846064814817143</v>
          </cell>
          <cell r="C9372">
            <v>156</v>
          </cell>
        </row>
        <row r="9373">
          <cell r="B9373">
            <v>0.10847222222224551</v>
          </cell>
          <cell r="C9373">
            <v>156</v>
          </cell>
        </row>
        <row r="9374">
          <cell r="B9374">
            <v>0.10848379629631959</v>
          </cell>
          <cell r="C9374">
            <v>156</v>
          </cell>
        </row>
        <row r="9375">
          <cell r="B9375">
            <v>0.10849537037039367</v>
          </cell>
          <cell r="C9375">
            <v>156</v>
          </cell>
        </row>
        <row r="9376">
          <cell r="B9376">
            <v>0.10850694444446775</v>
          </cell>
          <cell r="C9376">
            <v>156</v>
          </cell>
        </row>
        <row r="9377">
          <cell r="B9377">
            <v>0.10851851851854183</v>
          </cell>
          <cell r="C9377">
            <v>156</v>
          </cell>
        </row>
        <row r="9378">
          <cell r="B9378">
            <v>0.10853009259261591</v>
          </cell>
          <cell r="C9378">
            <v>156</v>
          </cell>
        </row>
        <row r="9379">
          <cell r="B9379">
            <v>0.10854166666668999</v>
          </cell>
          <cell r="C9379">
            <v>156</v>
          </cell>
        </row>
        <row r="9380">
          <cell r="B9380">
            <v>0.10855324074076407</v>
          </cell>
          <cell r="C9380">
            <v>156</v>
          </cell>
        </row>
        <row r="9381">
          <cell r="B9381">
            <v>0.10856481481483815</v>
          </cell>
          <cell r="C9381">
            <v>156</v>
          </cell>
        </row>
        <row r="9382">
          <cell r="B9382">
            <v>0.10857638888891223</v>
          </cell>
          <cell r="C9382">
            <v>156</v>
          </cell>
        </row>
        <row r="9383">
          <cell r="B9383">
            <v>0.10858796296298631</v>
          </cell>
          <cell r="C9383">
            <v>156</v>
          </cell>
        </row>
        <row r="9384">
          <cell r="B9384">
            <v>0.10859953703706039</v>
          </cell>
          <cell r="C9384">
            <v>156</v>
          </cell>
        </row>
        <row r="9385">
          <cell r="B9385">
            <v>0.10861111111113447</v>
          </cell>
          <cell r="C9385">
            <v>156</v>
          </cell>
        </row>
        <row r="9386">
          <cell r="B9386">
            <v>0.10862268518520855</v>
          </cell>
          <cell r="C9386">
            <v>156</v>
          </cell>
        </row>
        <row r="9387">
          <cell r="B9387">
            <v>0.10863425925928263</v>
          </cell>
          <cell r="C9387">
            <v>156</v>
          </cell>
        </row>
        <row r="9388">
          <cell r="B9388">
            <v>0.10864583333335671</v>
          </cell>
          <cell r="C9388">
            <v>156</v>
          </cell>
        </row>
        <row r="9389">
          <cell r="B9389">
            <v>0.10865740740743079</v>
          </cell>
          <cell r="C9389">
            <v>156</v>
          </cell>
        </row>
        <row r="9390">
          <cell r="B9390">
            <v>0.10866898148150488</v>
          </cell>
          <cell r="C9390">
            <v>156</v>
          </cell>
        </row>
        <row r="9391">
          <cell r="B9391">
            <v>0.10868055555557896</v>
          </cell>
          <cell r="C9391">
            <v>156</v>
          </cell>
        </row>
        <row r="9392">
          <cell r="B9392">
            <v>0.10869212962965304</v>
          </cell>
          <cell r="C9392">
            <v>156</v>
          </cell>
        </row>
        <row r="9393">
          <cell r="B9393">
            <v>0.10870370370372712</v>
          </cell>
          <cell r="C9393">
            <v>156</v>
          </cell>
        </row>
        <row r="9394">
          <cell r="B9394">
            <v>0.1087152777778012</v>
          </cell>
          <cell r="C9394">
            <v>156</v>
          </cell>
        </row>
        <row r="9395">
          <cell r="B9395">
            <v>0.10872685185187528</v>
          </cell>
          <cell r="C9395">
            <v>156</v>
          </cell>
        </row>
        <row r="9396">
          <cell r="B9396">
            <v>0.10873842592594936</v>
          </cell>
          <cell r="C9396">
            <v>156</v>
          </cell>
        </row>
        <row r="9397">
          <cell r="B9397">
            <v>0.10875000000002344</v>
          </cell>
          <cell r="C9397">
            <v>156</v>
          </cell>
        </row>
        <row r="9398">
          <cell r="B9398">
            <v>0.10876157407409752</v>
          </cell>
          <cell r="C9398">
            <v>156</v>
          </cell>
        </row>
        <row r="9399">
          <cell r="B9399">
            <v>0.1087731481481716</v>
          </cell>
          <cell r="C9399">
            <v>156</v>
          </cell>
        </row>
        <row r="9400">
          <cell r="B9400">
            <v>0.10878472222224568</v>
          </cell>
          <cell r="C9400">
            <v>156</v>
          </cell>
        </row>
        <row r="9401">
          <cell r="B9401">
            <v>0.10879629629631976</v>
          </cell>
          <cell r="C9401">
            <v>156</v>
          </cell>
        </row>
        <row r="9402">
          <cell r="B9402">
            <v>0.10880787037039384</v>
          </cell>
          <cell r="C9402">
            <v>156</v>
          </cell>
        </row>
        <row r="9403">
          <cell r="B9403">
            <v>0.10881944444446792</v>
          </cell>
          <cell r="C9403">
            <v>156</v>
          </cell>
        </row>
        <row r="9404">
          <cell r="B9404">
            <v>0.108831018518542</v>
          </cell>
          <cell r="C9404">
            <v>156</v>
          </cell>
        </row>
        <row r="9405">
          <cell r="B9405">
            <v>0.10884259259261608</v>
          </cell>
          <cell r="C9405">
            <v>156</v>
          </cell>
        </row>
        <row r="9406">
          <cell r="B9406">
            <v>0.10885416666669016</v>
          </cell>
          <cell r="C9406">
            <v>156</v>
          </cell>
        </row>
        <row r="9407">
          <cell r="B9407">
            <v>0.10886574074076424</v>
          </cell>
          <cell r="C9407">
            <v>156</v>
          </cell>
        </row>
        <row r="9408">
          <cell r="B9408">
            <v>0.10887731481483832</v>
          </cell>
          <cell r="C9408">
            <v>156</v>
          </cell>
        </row>
        <row r="9409">
          <cell r="B9409">
            <v>0.10888888888891241</v>
          </cell>
          <cell r="C9409">
            <v>156</v>
          </cell>
        </row>
        <row r="9410">
          <cell r="B9410">
            <v>0.10890046296298649</v>
          </cell>
          <cell r="C9410">
            <v>156</v>
          </cell>
        </row>
        <row r="9411">
          <cell r="B9411">
            <v>0.10891203703706057</v>
          </cell>
          <cell r="C9411">
            <v>156</v>
          </cell>
        </row>
        <row r="9412">
          <cell r="B9412">
            <v>0.10892361111113465</v>
          </cell>
          <cell r="C9412">
            <v>156</v>
          </cell>
        </row>
        <row r="9413">
          <cell r="B9413">
            <v>0.10893518518520873</v>
          </cell>
          <cell r="C9413">
            <v>156</v>
          </cell>
        </row>
        <row r="9414">
          <cell r="B9414">
            <v>0.10894675925928281</v>
          </cell>
          <cell r="C9414">
            <v>156</v>
          </cell>
        </row>
        <row r="9415">
          <cell r="B9415">
            <v>0.10895833333335689</v>
          </cell>
          <cell r="C9415">
            <v>156</v>
          </cell>
        </row>
        <row r="9416">
          <cell r="B9416">
            <v>0.10896990740743097</v>
          </cell>
          <cell r="C9416">
            <v>156</v>
          </cell>
        </row>
        <row r="9417">
          <cell r="B9417">
            <v>0.10898148148150505</v>
          </cell>
          <cell r="C9417">
            <v>156</v>
          </cell>
        </row>
        <row r="9418">
          <cell r="B9418">
            <v>0.10899305555557913</v>
          </cell>
          <cell r="C9418">
            <v>156</v>
          </cell>
        </row>
        <row r="9419">
          <cell r="B9419">
            <v>0.10900462962965321</v>
          </cell>
          <cell r="C9419">
            <v>156</v>
          </cell>
        </row>
        <row r="9420">
          <cell r="B9420">
            <v>0.10901620370372729</v>
          </cell>
          <cell r="C9420">
            <v>156</v>
          </cell>
        </row>
        <row r="9421">
          <cell r="B9421">
            <v>0.10902777777780137</v>
          </cell>
          <cell r="C9421">
            <v>157</v>
          </cell>
        </row>
        <row r="9422">
          <cell r="B9422">
            <v>0.10903935185187545</v>
          </cell>
          <cell r="C9422">
            <v>157</v>
          </cell>
        </row>
        <row r="9423">
          <cell r="B9423">
            <v>0.10905092592594953</v>
          </cell>
          <cell r="C9423">
            <v>157</v>
          </cell>
        </row>
        <row r="9424">
          <cell r="B9424">
            <v>0.10906250000002361</v>
          </cell>
          <cell r="C9424">
            <v>157</v>
          </cell>
        </row>
        <row r="9425">
          <cell r="B9425">
            <v>0.10907407407409769</v>
          </cell>
          <cell r="C9425">
            <v>157</v>
          </cell>
        </row>
        <row r="9426">
          <cell r="B9426">
            <v>0.10908564814817177</v>
          </cell>
          <cell r="C9426">
            <v>157</v>
          </cell>
        </row>
        <row r="9427">
          <cell r="B9427">
            <v>0.10909722222224585</v>
          </cell>
          <cell r="C9427">
            <v>157</v>
          </cell>
        </row>
        <row r="9428">
          <cell r="B9428">
            <v>0.10910879629631993</v>
          </cell>
          <cell r="C9428">
            <v>157</v>
          </cell>
        </row>
        <row r="9429">
          <cell r="B9429">
            <v>0.10912037037039402</v>
          </cell>
          <cell r="C9429">
            <v>157</v>
          </cell>
        </row>
        <row r="9430">
          <cell r="B9430">
            <v>0.1091319444444681</v>
          </cell>
          <cell r="C9430">
            <v>157</v>
          </cell>
        </row>
        <row r="9431">
          <cell r="B9431">
            <v>0.10914351851854218</v>
          </cell>
          <cell r="C9431">
            <v>157</v>
          </cell>
        </row>
        <row r="9432">
          <cell r="B9432">
            <v>0.10915509259261626</v>
          </cell>
          <cell r="C9432">
            <v>157</v>
          </cell>
        </row>
        <row r="9433">
          <cell r="B9433">
            <v>0.10916666666669034</v>
          </cell>
          <cell r="C9433">
            <v>157</v>
          </cell>
        </row>
        <row r="9434">
          <cell r="B9434">
            <v>0.10917824074076442</v>
          </cell>
          <cell r="C9434">
            <v>157</v>
          </cell>
        </row>
        <row r="9435">
          <cell r="B9435">
            <v>0.1091898148148385</v>
          </cell>
          <cell r="C9435">
            <v>157</v>
          </cell>
        </row>
        <row r="9436">
          <cell r="B9436">
            <v>0.10920138888891258</v>
          </cell>
          <cell r="C9436">
            <v>157</v>
          </cell>
        </row>
        <row r="9437">
          <cell r="B9437">
            <v>0.10921296296298666</v>
          </cell>
          <cell r="C9437">
            <v>157</v>
          </cell>
        </row>
        <row r="9438">
          <cell r="B9438">
            <v>0.10922453703706074</v>
          </cell>
          <cell r="C9438">
            <v>157</v>
          </cell>
        </row>
        <row r="9439">
          <cell r="B9439">
            <v>0.10923611111113482</v>
          </cell>
          <cell r="C9439">
            <v>157</v>
          </cell>
        </row>
        <row r="9440">
          <cell r="B9440">
            <v>0.1092476851852089</v>
          </cell>
          <cell r="C9440">
            <v>157</v>
          </cell>
        </row>
        <row r="9441">
          <cell r="B9441">
            <v>0.10925925925928298</v>
          </cell>
          <cell r="C9441">
            <v>157</v>
          </cell>
        </row>
        <row r="9442">
          <cell r="B9442">
            <v>0.10927083333335706</v>
          </cell>
          <cell r="C9442">
            <v>157</v>
          </cell>
        </row>
        <row r="9443">
          <cell r="B9443">
            <v>0.10928240740743114</v>
          </cell>
          <cell r="C9443">
            <v>157</v>
          </cell>
        </row>
        <row r="9444">
          <cell r="B9444">
            <v>0.10929398148150522</v>
          </cell>
          <cell r="C9444">
            <v>157</v>
          </cell>
        </row>
        <row r="9445">
          <cell r="B9445">
            <v>0.1093055555555793</v>
          </cell>
          <cell r="C9445">
            <v>157</v>
          </cell>
        </row>
        <row r="9446">
          <cell r="B9446">
            <v>0.10931712962965338</v>
          </cell>
          <cell r="C9446">
            <v>157</v>
          </cell>
        </row>
        <row r="9447">
          <cell r="B9447">
            <v>0.10932870370372746</v>
          </cell>
          <cell r="C9447">
            <v>157</v>
          </cell>
        </row>
        <row r="9448">
          <cell r="B9448">
            <v>0.10934027777780155</v>
          </cell>
          <cell r="C9448">
            <v>157</v>
          </cell>
        </row>
        <row r="9449">
          <cell r="B9449">
            <v>0.10935185185187563</v>
          </cell>
          <cell r="C9449">
            <v>157</v>
          </cell>
        </row>
        <row r="9450">
          <cell r="B9450">
            <v>0.10936342592594971</v>
          </cell>
          <cell r="C9450">
            <v>157</v>
          </cell>
        </row>
        <row r="9451">
          <cell r="B9451">
            <v>0.10937500000002379</v>
          </cell>
          <cell r="C9451">
            <v>157</v>
          </cell>
        </row>
        <row r="9452">
          <cell r="B9452">
            <v>0.10938657407409787</v>
          </cell>
          <cell r="C9452">
            <v>157</v>
          </cell>
        </row>
        <row r="9453">
          <cell r="B9453">
            <v>0.10939814814817195</v>
          </cell>
          <cell r="C9453">
            <v>157</v>
          </cell>
        </row>
        <row r="9454">
          <cell r="B9454">
            <v>0.10940972222224603</v>
          </cell>
          <cell r="C9454">
            <v>157</v>
          </cell>
        </row>
        <row r="9455">
          <cell r="B9455">
            <v>0.10942129629632011</v>
          </cell>
          <cell r="C9455">
            <v>157</v>
          </cell>
        </row>
        <row r="9456">
          <cell r="B9456">
            <v>0.10943287037039419</v>
          </cell>
          <cell r="C9456">
            <v>157</v>
          </cell>
        </row>
        <row r="9457">
          <cell r="B9457">
            <v>0.10944444444446827</v>
          </cell>
          <cell r="C9457">
            <v>157</v>
          </cell>
        </row>
        <row r="9458">
          <cell r="B9458">
            <v>0.10945601851854235</v>
          </cell>
          <cell r="C9458">
            <v>157</v>
          </cell>
        </row>
        <row r="9459">
          <cell r="B9459">
            <v>0.10946759259261643</v>
          </cell>
          <cell r="C9459">
            <v>157</v>
          </cell>
        </row>
        <row r="9460">
          <cell r="B9460">
            <v>0.10947916666669051</v>
          </cell>
          <cell r="C9460">
            <v>157</v>
          </cell>
        </row>
        <row r="9461">
          <cell r="B9461">
            <v>0.10949074074076459</v>
          </cell>
          <cell r="C9461">
            <v>157</v>
          </cell>
        </row>
        <row r="9462">
          <cell r="B9462">
            <v>0.10950231481483867</v>
          </cell>
          <cell r="C9462">
            <v>157</v>
          </cell>
        </row>
        <row r="9463">
          <cell r="B9463">
            <v>0.10951388888891275</v>
          </cell>
          <cell r="C9463">
            <v>157</v>
          </cell>
        </row>
        <row r="9464">
          <cell r="B9464">
            <v>0.10952546296298683</v>
          </cell>
          <cell r="C9464">
            <v>157</v>
          </cell>
        </row>
        <row r="9465">
          <cell r="B9465">
            <v>0.10953703703706091</v>
          </cell>
          <cell r="C9465">
            <v>157</v>
          </cell>
        </row>
        <row r="9466">
          <cell r="B9466">
            <v>0.10954861111113499</v>
          </cell>
          <cell r="C9466">
            <v>157</v>
          </cell>
        </row>
        <row r="9467">
          <cell r="B9467">
            <v>0.10956018518520907</v>
          </cell>
          <cell r="C9467">
            <v>157</v>
          </cell>
        </row>
        <row r="9468">
          <cell r="B9468">
            <v>0.10957175925928316</v>
          </cell>
          <cell r="C9468">
            <v>157</v>
          </cell>
        </row>
        <row r="9469">
          <cell r="B9469">
            <v>0.10958333333335724</v>
          </cell>
          <cell r="C9469">
            <v>157</v>
          </cell>
        </row>
        <row r="9470">
          <cell r="B9470">
            <v>0.10959490740743132</v>
          </cell>
          <cell r="C9470">
            <v>157</v>
          </cell>
        </row>
        <row r="9471">
          <cell r="B9471">
            <v>0.1096064814815054</v>
          </cell>
          <cell r="C9471">
            <v>157</v>
          </cell>
        </row>
        <row r="9472">
          <cell r="B9472">
            <v>0.10961805555557948</v>
          </cell>
          <cell r="C9472">
            <v>157</v>
          </cell>
        </row>
        <row r="9473">
          <cell r="B9473">
            <v>0.10962962962965356</v>
          </cell>
          <cell r="C9473">
            <v>157</v>
          </cell>
        </row>
        <row r="9474">
          <cell r="B9474">
            <v>0.10964120370372764</v>
          </cell>
          <cell r="C9474">
            <v>157</v>
          </cell>
        </row>
        <row r="9475">
          <cell r="B9475">
            <v>0.10965277777780172</v>
          </cell>
          <cell r="C9475">
            <v>157</v>
          </cell>
        </row>
        <row r="9476">
          <cell r="B9476">
            <v>0.1096643518518758</v>
          </cell>
          <cell r="C9476">
            <v>157</v>
          </cell>
        </row>
        <row r="9477">
          <cell r="B9477">
            <v>0.10967592592594988</v>
          </cell>
          <cell r="C9477">
            <v>157</v>
          </cell>
        </row>
        <row r="9478">
          <cell r="B9478">
            <v>0.10968750000002396</v>
          </cell>
          <cell r="C9478">
            <v>157</v>
          </cell>
        </row>
        <row r="9479">
          <cell r="B9479">
            <v>0.10969907407409804</v>
          </cell>
          <cell r="C9479">
            <v>157</v>
          </cell>
        </row>
        <row r="9480">
          <cell r="B9480">
            <v>0.10971064814817212</v>
          </cell>
          <cell r="C9480">
            <v>157</v>
          </cell>
        </row>
        <row r="9481">
          <cell r="B9481">
            <v>0.1097222222222462</v>
          </cell>
          <cell r="C9481">
            <v>158</v>
          </cell>
        </row>
        <row r="9482">
          <cell r="B9482">
            <v>0.10973379629632028</v>
          </cell>
          <cell r="C9482">
            <v>158</v>
          </cell>
        </row>
        <row r="9483">
          <cell r="B9483">
            <v>0.10974537037039436</v>
          </cell>
          <cell r="C9483">
            <v>158</v>
          </cell>
        </row>
        <row r="9484">
          <cell r="B9484">
            <v>0.10975694444446844</v>
          </cell>
          <cell r="C9484">
            <v>158</v>
          </cell>
        </row>
        <row r="9485">
          <cell r="B9485">
            <v>0.10976851851854252</v>
          </cell>
          <cell r="C9485">
            <v>158</v>
          </cell>
        </row>
        <row r="9486">
          <cell r="B9486">
            <v>0.1097800925926166</v>
          </cell>
          <cell r="C9486">
            <v>158</v>
          </cell>
        </row>
        <row r="9487">
          <cell r="B9487">
            <v>0.10979166666669068</v>
          </cell>
          <cell r="C9487">
            <v>158</v>
          </cell>
        </row>
        <row r="9488">
          <cell r="B9488">
            <v>0.10980324074076477</v>
          </cell>
          <cell r="C9488">
            <v>158</v>
          </cell>
        </row>
        <row r="9489">
          <cell r="B9489">
            <v>0.10981481481483885</v>
          </cell>
          <cell r="C9489">
            <v>158</v>
          </cell>
        </row>
        <row r="9490">
          <cell r="B9490">
            <v>0.10982638888891293</v>
          </cell>
          <cell r="C9490">
            <v>158</v>
          </cell>
        </row>
        <row r="9491">
          <cell r="B9491">
            <v>0.10983796296298701</v>
          </cell>
          <cell r="C9491">
            <v>158</v>
          </cell>
        </row>
        <row r="9492">
          <cell r="B9492">
            <v>0.10984953703706109</v>
          </cell>
          <cell r="C9492">
            <v>158</v>
          </cell>
        </row>
        <row r="9493">
          <cell r="B9493">
            <v>0.10986111111113517</v>
          </cell>
          <cell r="C9493">
            <v>158</v>
          </cell>
        </row>
        <row r="9494">
          <cell r="B9494">
            <v>0.10987268518520925</v>
          </cell>
          <cell r="C9494">
            <v>158</v>
          </cell>
        </row>
        <row r="9495">
          <cell r="B9495">
            <v>0.10988425925928333</v>
          </cell>
          <cell r="C9495">
            <v>158</v>
          </cell>
        </row>
        <row r="9496">
          <cell r="B9496">
            <v>0.10989583333335741</v>
          </cell>
          <cell r="C9496">
            <v>158</v>
          </cell>
        </row>
        <row r="9497">
          <cell r="B9497">
            <v>0.10990740740743149</v>
          </cell>
          <cell r="C9497">
            <v>158</v>
          </cell>
        </row>
        <row r="9498">
          <cell r="B9498">
            <v>0.10991898148150557</v>
          </cell>
          <cell r="C9498">
            <v>158</v>
          </cell>
        </row>
        <row r="9499">
          <cell r="B9499">
            <v>0.10993055555557965</v>
          </cell>
          <cell r="C9499">
            <v>158</v>
          </cell>
        </row>
        <row r="9500">
          <cell r="B9500">
            <v>0.10994212962965373</v>
          </cell>
          <cell r="C9500">
            <v>158</v>
          </cell>
        </row>
        <row r="9501">
          <cell r="B9501">
            <v>0.10995370370372781</v>
          </cell>
          <cell r="C9501">
            <v>158</v>
          </cell>
        </row>
        <row r="9502">
          <cell r="B9502">
            <v>0.10996527777780189</v>
          </cell>
          <cell r="C9502">
            <v>158</v>
          </cell>
        </row>
        <row r="9503">
          <cell r="B9503">
            <v>0.10997685185187597</v>
          </cell>
          <cell r="C9503">
            <v>158</v>
          </cell>
        </row>
        <row r="9504">
          <cell r="B9504">
            <v>0.10998842592595005</v>
          </cell>
          <cell r="C9504">
            <v>158</v>
          </cell>
        </row>
        <row r="9505">
          <cell r="B9505">
            <v>0.11000000000002413</v>
          </cell>
          <cell r="C9505">
            <v>158</v>
          </cell>
        </row>
        <row r="9506">
          <cell r="B9506">
            <v>0.11001157407409821</v>
          </cell>
          <cell r="C9506">
            <v>158</v>
          </cell>
        </row>
        <row r="9507">
          <cell r="B9507">
            <v>0.1100231481481723</v>
          </cell>
          <cell r="C9507">
            <v>158</v>
          </cell>
        </row>
        <row r="9508">
          <cell r="B9508">
            <v>0.11003472222224638</v>
          </cell>
          <cell r="C9508">
            <v>158</v>
          </cell>
        </row>
        <row r="9509">
          <cell r="B9509">
            <v>0.11004629629632046</v>
          </cell>
          <cell r="C9509">
            <v>158</v>
          </cell>
        </row>
        <row r="9510">
          <cell r="B9510">
            <v>0.11005787037039454</v>
          </cell>
          <cell r="C9510">
            <v>158</v>
          </cell>
        </row>
        <row r="9511">
          <cell r="B9511">
            <v>0.11006944444446862</v>
          </cell>
          <cell r="C9511">
            <v>158</v>
          </cell>
        </row>
        <row r="9512">
          <cell r="B9512">
            <v>0.1100810185185427</v>
          </cell>
          <cell r="C9512">
            <v>158</v>
          </cell>
        </row>
        <row r="9513">
          <cell r="B9513">
            <v>0.11009259259261678</v>
          </cell>
          <cell r="C9513">
            <v>158</v>
          </cell>
        </row>
        <row r="9514">
          <cell r="B9514">
            <v>0.11010416666669086</v>
          </cell>
          <cell r="C9514">
            <v>158</v>
          </cell>
        </row>
        <row r="9515">
          <cell r="B9515">
            <v>0.11011574074076494</v>
          </cell>
          <cell r="C9515">
            <v>158</v>
          </cell>
        </row>
        <row r="9516">
          <cell r="B9516">
            <v>0.11012731481483902</v>
          </cell>
          <cell r="C9516">
            <v>158</v>
          </cell>
        </row>
        <row r="9517">
          <cell r="B9517">
            <v>0.1101388888889131</v>
          </cell>
          <cell r="C9517">
            <v>158</v>
          </cell>
        </row>
        <row r="9518">
          <cell r="B9518">
            <v>0.11015046296298718</v>
          </cell>
          <cell r="C9518">
            <v>158</v>
          </cell>
        </row>
        <row r="9519">
          <cell r="B9519">
            <v>0.11016203703706126</v>
          </cell>
          <cell r="C9519">
            <v>158</v>
          </cell>
        </row>
        <row r="9520">
          <cell r="B9520">
            <v>0.11017361111113534</v>
          </cell>
          <cell r="C9520">
            <v>158</v>
          </cell>
        </row>
        <row r="9521">
          <cell r="B9521">
            <v>0.11018518518520942</v>
          </cell>
          <cell r="C9521">
            <v>158</v>
          </cell>
        </row>
        <row r="9522">
          <cell r="B9522">
            <v>0.1101967592592835</v>
          </cell>
          <cell r="C9522">
            <v>158</v>
          </cell>
        </row>
        <row r="9523">
          <cell r="B9523">
            <v>0.11020833333335758</v>
          </cell>
          <cell r="C9523">
            <v>158</v>
          </cell>
        </row>
        <row r="9524">
          <cell r="B9524">
            <v>0.11021990740743166</v>
          </cell>
          <cell r="C9524">
            <v>158</v>
          </cell>
        </row>
        <row r="9525">
          <cell r="B9525">
            <v>0.11023148148150574</v>
          </cell>
          <cell r="C9525">
            <v>158</v>
          </cell>
        </row>
        <row r="9526">
          <cell r="B9526">
            <v>0.11024305555557982</v>
          </cell>
          <cell r="C9526">
            <v>158</v>
          </cell>
        </row>
        <row r="9527">
          <cell r="B9527">
            <v>0.11025462962965391</v>
          </cell>
          <cell r="C9527">
            <v>158</v>
          </cell>
        </row>
        <row r="9528">
          <cell r="B9528">
            <v>0.11026620370372799</v>
          </cell>
          <cell r="C9528">
            <v>158</v>
          </cell>
        </row>
        <row r="9529">
          <cell r="B9529">
            <v>0.11027777777780207</v>
          </cell>
          <cell r="C9529">
            <v>158</v>
          </cell>
        </row>
        <row r="9530">
          <cell r="B9530">
            <v>0.11028935185187615</v>
          </cell>
          <cell r="C9530">
            <v>158</v>
          </cell>
        </row>
        <row r="9531">
          <cell r="B9531">
            <v>0.11030092592595023</v>
          </cell>
          <cell r="C9531">
            <v>158</v>
          </cell>
        </row>
        <row r="9532">
          <cell r="B9532">
            <v>0.11031250000002431</v>
          </cell>
          <cell r="C9532">
            <v>158</v>
          </cell>
        </row>
        <row r="9533">
          <cell r="B9533">
            <v>0.11032407407409839</v>
          </cell>
          <cell r="C9533">
            <v>158</v>
          </cell>
        </row>
        <row r="9534">
          <cell r="B9534">
            <v>0.11033564814817247</v>
          </cell>
          <cell r="C9534">
            <v>158</v>
          </cell>
        </row>
        <row r="9535">
          <cell r="B9535">
            <v>0.11034722222224655</v>
          </cell>
          <cell r="C9535">
            <v>158</v>
          </cell>
        </row>
        <row r="9536">
          <cell r="B9536">
            <v>0.11035879629632063</v>
          </cell>
          <cell r="C9536">
            <v>158</v>
          </cell>
        </row>
        <row r="9537">
          <cell r="B9537">
            <v>0.11037037037039471</v>
          </cell>
          <cell r="C9537">
            <v>158</v>
          </cell>
        </row>
        <row r="9538">
          <cell r="B9538">
            <v>0.11038194444446879</v>
          </cell>
          <cell r="C9538">
            <v>158</v>
          </cell>
        </row>
        <row r="9539">
          <cell r="B9539">
            <v>0.11039351851854287</v>
          </cell>
          <cell r="C9539">
            <v>158</v>
          </cell>
        </row>
        <row r="9540">
          <cell r="B9540">
            <v>0.11040509259261695</v>
          </cell>
          <cell r="C9540">
            <v>158</v>
          </cell>
        </row>
        <row r="9541">
          <cell r="B9541">
            <v>0.11041666666669103</v>
          </cell>
          <cell r="C9541">
            <v>159</v>
          </cell>
        </row>
        <row r="9542">
          <cell r="B9542">
            <v>0.11042824074076511</v>
          </cell>
          <cell r="C9542">
            <v>159</v>
          </cell>
        </row>
        <row r="9543">
          <cell r="B9543">
            <v>0.11043981481483919</v>
          </cell>
          <cell r="C9543">
            <v>159</v>
          </cell>
        </row>
        <row r="9544">
          <cell r="B9544">
            <v>0.11045138888891327</v>
          </cell>
          <cell r="C9544">
            <v>159</v>
          </cell>
        </row>
        <row r="9545">
          <cell r="B9545">
            <v>0.11046296296298735</v>
          </cell>
          <cell r="C9545">
            <v>159</v>
          </cell>
        </row>
        <row r="9546">
          <cell r="B9546">
            <v>0.11047453703706143</v>
          </cell>
          <cell r="C9546">
            <v>159</v>
          </cell>
        </row>
        <row r="9547">
          <cell r="B9547">
            <v>0.11048611111113552</v>
          </cell>
          <cell r="C9547">
            <v>159</v>
          </cell>
        </row>
        <row r="9548">
          <cell r="B9548">
            <v>0.1104976851852096</v>
          </cell>
          <cell r="C9548">
            <v>159</v>
          </cell>
        </row>
        <row r="9549">
          <cell r="B9549">
            <v>0.11050925925928368</v>
          </cell>
          <cell r="C9549">
            <v>159</v>
          </cell>
        </row>
        <row r="9550">
          <cell r="B9550">
            <v>0.11052083333335776</v>
          </cell>
          <cell r="C9550">
            <v>159</v>
          </cell>
        </row>
        <row r="9551">
          <cell r="B9551">
            <v>0.11053240740743184</v>
          </cell>
          <cell r="C9551">
            <v>159</v>
          </cell>
        </row>
        <row r="9552">
          <cell r="B9552">
            <v>0.11054398148150592</v>
          </cell>
          <cell r="C9552">
            <v>159</v>
          </cell>
        </row>
        <row r="9553">
          <cell r="B9553">
            <v>0.11055555555558</v>
          </cell>
          <cell r="C9553">
            <v>159</v>
          </cell>
        </row>
        <row r="9554">
          <cell r="B9554">
            <v>0.11056712962965408</v>
          </cell>
          <cell r="C9554">
            <v>159</v>
          </cell>
        </row>
        <row r="9555">
          <cell r="B9555">
            <v>0.11057870370372816</v>
          </cell>
          <cell r="C9555">
            <v>159</v>
          </cell>
        </row>
        <row r="9556">
          <cell r="B9556">
            <v>0.11059027777780224</v>
          </cell>
          <cell r="C9556">
            <v>159</v>
          </cell>
        </row>
        <row r="9557">
          <cell r="B9557">
            <v>0.11060185185187632</v>
          </cell>
          <cell r="C9557">
            <v>159</v>
          </cell>
        </row>
        <row r="9558">
          <cell r="B9558">
            <v>0.1106134259259504</v>
          </cell>
          <cell r="C9558">
            <v>159</v>
          </cell>
        </row>
        <row r="9559">
          <cell r="B9559">
            <v>0.11062500000002448</v>
          </cell>
          <cell r="C9559">
            <v>159</v>
          </cell>
        </row>
        <row r="9560">
          <cell r="B9560">
            <v>0.11063657407409856</v>
          </cell>
          <cell r="C9560">
            <v>159</v>
          </cell>
        </row>
        <row r="9561">
          <cell r="B9561">
            <v>0.11064814814817264</v>
          </cell>
          <cell r="C9561">
            <v>159</v>
          </cell>
        </row>
        <row r="9562">
          <cell r="B9562">
            <v>0.11065972222224672</v>
          </cell>
          <cell r="C9562">
            <v>159</v>
          </cell>
        </row>
        <row r="9563">
          <cell r="B9563">
            <v>0.1106712962963208</v>
          </cell>
          <cell r="C9563">
            <v>159</v>
          </cell>
        </row>
        <row r="9564">
          <cell r="B9564">
            <v>0.11068287037039488</v>
          </cell>
          <cell r="C9564">
            <v>159</v>
          </cell>
        </row>
        <row r="9565">
          <cell r="B9565">
            <v>0.11069444444446896</v>
          </cell>
          <cell r="C9565">
            <v>159</v>
          </cell>
        </row>
        <row r="9566">
          <cell r="B9566">
            <v>0.11070601851854305</v>
          </cell>
          <cell r="C9566">
            <v>159</v>
          </cell>
        </row>
        <row r="9567">
          <cell r="B9567">
            <v>0.11071759259261713</v>
          </cell>
          <cell r="C9567">
            <v>159</v>
          </cell>
        </row>
        <row r="9568">
          <cell r="B9568">
            <v>0.11072916666669121</v>
          </cell>
          <cell r="C9568">
            <v>159</v>
          </cell>
        </row>
        <row r="9569">
          <cell r="B9569">
            <v>0.11074074074076529</v>
          </cell>
          <cell r="C9569">
            <v>159</v>
          </cell>
        </row>
        <row r="9570">
          <cell r="B9570">
            <v>0.11075231481483937</v>
          </cell>
          <cell r="C9570">
            <v>159</v>
          </cell>
        </row>
        <row r="9571">
          <cell r="B9571">
            <v>0.11076388888891345</v>
          </cell>
          <cell r="C9571">
            <v>159</v>
          </cell>
        </row>
        <row r="9572">
          <cell r="B9572">
            <v>0.11077546296298753</v>
          </cell>
          <cell r="C9572">
            <v>159</v>
          </cell>
        </row>
        <row r="9573">
          <cell r="B9573">
            <v>0.11078703703706161</v>
          </cell>
          <cell r="C9573">
            <v>159</v>
          </cell>
        </row>
        <row r="9574">
          <cell r="B9574">
            <v>0.11079861111113569</v>
          </cell>
          <cell r="C9574">
            <v>159</v>
          </cell>
        </row>
        <row r="9575">
          <cell r="B9575">
            <v>0.11081018518520977</v>
          </cell>
          <cell r="C9575">
            <v>159</v>
          </cell>
        </row>
        <row r="9576">
          <cell r="B9576">
            <v>0.11082175925928385</v>
          </cell>
          <cell r="C9576">
            <v>159</v>
          </cell>
        </row>
        <row r="9577">
          <cell r="B9577">
            <v>0.11083333333335793</v>
          </cell>
          <cell r="C9577">
            <v>159</v>
          </cell>
        </row>
        <row r="9578">
          <cell r="B9578">
            <v>0.11084490740743201</v>
          </cell>
          <cell r="C9578">
            <v>159</v>
          </cell>
        </row>
        <row r="9579">
          <cell r="B9579">
            <v>0.11085648148150609</v>
          </cell>
          <cell r="C9579">
            <v>159</v>
          </cell>
        </row>
        <row r="9580">
          <cell r="B9580">
            <v>0.11086805555558017</v>
          </cell>
          <cell r="C9580">
            <v>159</v>
          </cell>
        </row>
        <row r="9581">
          <cell r="B9581">
            <v>0.11087962962965425</v>
          </cell>
          <cell r="C9581">
            <v>159</v>
          </cell>
        </row>
        <row r="9582">
          <cell r="B9582">
            <v>0.11089120370372833</v>
          </cell>
          <cell r="C9582">
            <v>159</v>
          </cell>
        </row>
        <row r="9583">
          <cell r="B9583">
            <v>0.11090277777780241</v>
          </cell>
          <cell r="C9583">
            <v>159</v>
          </cell>
        </row>
        <row r="9584">
          <cell r="B9584">
            <v>0.11091435185187649</v>
          </cell>
          <cell r="C9584">
            <v>159</v>
          </cell>
        </row>
        <row r="9585">
          <cell r="B9585">
            <v>0.11092592592595057</v>
          </cell>
          <cell r="C9585">
            <v>159</v>
          </cell>
        </row>
        <row r="9586">
          <cell r="B9586">
            <v>0.11093750000002466</v>
          </cell>
          <cell r="C9586">
            <v>159</v>
          </cell>
        </row>
        <row r="9587">
          <cell r="B9587">
            <v>0.11094907407409874</v>
          </cell>
          <cell r="C9587">
            <v>159</v>
          </cell>
        </row>
        <row r="9588">
          <cell r="B9588">
            <v>0.11096064814817282</v>
          </cell>
          <cell r="C9588">
            <v>159</v>
          </cell>
        </row>
        <row r="9589">
          <cell r="B9589">
            <v>0.1109722222222469</v>
          </cell>
          <cell r="C9589">
            <v>159</v>
          </cell>
        </row>
        <row r="9590">
          <cell r="B9590">
            <v>0.11098379629632098</v>
          </cell>
          <cell r="C9590">
            <v>159</v>
          </cell>
        </row>
        <row r="9591">
          <cell r="B9591">
            <v>0.11099537037039506</v>
          </cell>
          <cell r="C9591">
            <v>159</v>
          </cell>
        </row>
        <row r="9592">
          <cell r="B9592">
            <v>0.11100694444446914</v>
          </cell>
          <cell r="C9592">
            <v>159</v>
          </cell>
        </row>
        <row r="9593">
          <cell r="B9593">
            <v>0.11101851851854322</v>
          </cell>
          <cell r="C9593">
            <v>159</v>
          </cell>
        </row>
        <row r="9594">
          <cell r="B9594">
            <v>0.1110300925926173</v>
          </cell>
          <cell r="C9594">
            <v>159</v>
          </cell>
        </row>
        <row r="9595">
          <cell r="B9595">
            <v>0.11104166666669138</v>
          </cell>
          <cell r="C9595">
            <v>159</v>
          </cell>
        </row>
        <row r="9596">
          <cell r="B9596">
            <v>0.11105324074076546</v>
          </cell>
          <cell r="C9596">
            <v>159</v>
          </cell>
        </row>
        <row r="9597">
          <cell r="B9597">
            <v>0.11106481481483954</v>
          </cell>
          <cell r="C9597">
            <v>159</v>
          </cell>
        </row>
        <row r="9598">
          <cell r="B9598">
            <v>0.11107638888891362</v>
          </cell>
          <cell r="C9598">
            <v>159</v>
          </cell>
        </row>
        <row r="9599">
          <cell r="B9599">
            <v>0.1110879629629877</v>
          </cell>
          <cell r="C9599">
            <v>159</v>
          </cell>
        </row>
        <row r="9600">
          <cell r="B9600">
            <v>0.11109953703706178</v>
          </cell>
          <cell r="C9600">
            <v>159</v>
          </cell>
        </row>
        <row r="9601">
          <cell r="B9601">
            <v>0.11111111111113586</v>
          </cell>
          <cell r="C9601">
            <v>160</v>
          </cell>
        </row>
        <row r="9602">
          <cell r="B9602">
            <v>0.11112268518520994</v>
          </cell>
          <cell r="C9602">
            <v>160</v>
          </cell>
        </row>
        <row r="9603">
          <cell r="B9603">
            <v>0.11113425925928402</v>
          </cell>
          <cell r="C9603">
            <v>160</v>
          </cell>
        </row>
        <row r="9604">
          <cell r="B9604">
            <v>0.1111458333333581</v>
          </cell>
          <cell r="C9604">
            <v>160</v>
          </cell>
        </row>
        <row r="9605">
          <cell r="B9605">
            <v>0.11115740740743218</v>
          </cell>
          <cell r="C9605">
            <v>160</v>
          </cell>
        </row>
        <row r="9606">
          <cell r="B9606">
            <v>0.11116898148150627</v>
          </cell>
          <cell r="C9606">
            <v>160</v>
          </cell>
        </row>
        <row r="9607">
          <cell r="B9607">
            <v>0.11118055555558035</v>
          </cell>
          <cell r="C9607">
            <v>160</v>
          </cell>
        </row>
        <row r="9608">
          <cell r="B9608">
            <v>0.11119212962965443</v>
          </cell>
          <cell r="C9608">
            <v>160</v>
          </cell>
        </row>
        <row r="9609">
          <cell r="B9609">
            <v>0.11120370370372851</v>
          </cell>
          <cell r="C9609">
            <v>160</v>
          </cell>
        </row>
        <row r="9610">
          <cell r="B9610">
            <v>0.11121527777780259</v>
          </cell>
          <cell r="C9610">
            <v>160</v>
          </cell>
        </row>
        <row r="9611">
          <cell r="B9611">
            <v>0.11122685185187667</v>
          </cell>
          <cell r="C9611">
            <v>160</v>
          </cell>
        </row>
        <row r="9612">
          <cell r="B9612">
            <v>0.11123842592595075</v>
          </cell>
          <cell r="C9612">
            <v>160</v>
          </cell>
        </row>
        <row r="9613">
          <cell r="B9613">
            <v>0.11125000000002483</v>
          </cell>
          <cell r="C9613">
            <v>160</v>
          </cell>
        </row>
        <row r="9614">
          <cell r="B9614">
            <v>0.11126157407409891</v>
          </cell>
          <cell r="C9614">
            <v>160</v>
          </cell>
        </row>
        <row r="9615">
          <cell r="B9615">
            <v>0.11127314814817299</v>
          </cell>
          <cell r="C9615">
            <v>160</v>
          </cell>
        </row>
        <row r="9616">
          <cell r="B9616">
            <v>0.11128472222224707</v>
          </cell>
          <cell r="C9616">
            <v>160</v>
          </cell>
        </row>
        <row r="9617">
          <cell r="B9617">
            <v>0.11129629629632115</v>
          </cell>
          <cell r="C9617">
            <v>160</v>
          </cell>
        </row>
        <row r="9618">
          <cell r="B9618">
            <v>0.11130787037039523</v>
          </cell>
          <cell r="C9618">
            <v>160</v>
          </cell>
        </row>
        <row r="9619">
          <cell r="B9619">
            <v>0.11131944444446931</v>
          </cell>
          <cell r="C9619">
            <v>160</v>
          </cell>
        </row>
        <row r="9620">
          <cell r="B9620">
            <v>0.11133101851854339</v>
          </cell>
          <cell r="C9620">
            <v>160</v>
          </cell>
        </row>
        <row r="9621">
          <cell r="B9621">
            <v>0.11134259259261747</v>
          </cell>
          <cell r="C9621">
            <v>160</v>
          </cell>
        </row>
        <row r="9622">
          <cell r="B9622">
            <v>0.11135416666669155</v>
          </cell>
          <cell r="C9622">
            <v>160</v>
          </cell>
        </row>
        <row r="9623">
          <cell r="B9623">
            <v>0.11136574074076563</v>
          </cell>
          <cell r="C9623">
            <v>160</v>
          </cell>
        </row>
        <row r="9624">
          <cell r="B9624">
            <v>0.11137731481483971</v>
          </cell>
          <cell r="C9624">
            <v>160</v>
          </cell>
        </row>
        <row r="9625">
          <cell r="B9625">
            <v>0.1113888888889138</v>
          </cell>
          <cell r="C9625">
            <v>160</v>
          </cell>
        </row>
        <row r="9626">
          <cell r="B9626">
            <v>0.11140046296298788</v>
          </cell>
          <cell r="C9626">
            <v>160</v>
          </cell>
        </row>
        <row r="9627">
          <cell r="B9627">
            <v>0.11141203703706196</v>
          </cell>
          <cell r="C9627">
            <v>160</v>
          </cell>
        </row>
        <row r="9628">
          <cell r="B9628">
            <v>0.11142361111113604</v>
          </cell>
          <cell r="C9628">
            <v>160</v>
          </cell>
        </row>
        <row r="9629">
          <cell r="B9629">
            <v>0.11143518518521012</v>
          </cell>
          <cell r="C9629">
            <v>160</v>
          </cell>
        </row>
        <row r="9630">
          <cell r="B9630">
            <v>0.1114467592592842</v>
          </cell>
          <cell r="C9630">
            <v>160</v>
          </cell>
        </row>
        <row r="9631">
          <cell r="B9631">
            <v>0.11145833333335828</v>
          </cell>
          <cell r="C9631">
            <v>160</v>
          </cell>
        </row>
        <row r="9632">
          <cell r="B9632">
            <v>0.11146990740743236</v>
          </cell>
          <cell r="C9632">
            <v>160</v>
          </cell>
        </row>
        <row r="9633">
          <cell r="B9633">
            <v>0.11148148148150644</v>
          </cell>
          <cell r="C9633">
            <v>160</v>
          </cell>
        </row>
        <row r="9634">
          <cell r="B9634">
            <v>0.11149305555558052</v>
          </cell>
          <cell r="C9634">
            <v>160</v>
          </cell>
        </row>
        <row r="9635">
          <cell r="B9635">
            <v>0.1115046296296546</v>
          </cell>
          <cell r="C9635">
            <v>160</v>
          </cell>
        </row>
        <row r="9636">
          <cell r="B9636">
            <v>0.11151620370372868</v>
          </cell>
          <cell r="C9636">
            <v>160</v>
          </cell>
        </row>
        <row r="9637">
          <cell r="B9637">
            <v>0.11152777777780276</v>
          </cell>
          <cell r="C9637">
            <v>160</v>
          </cell>
        </row>
        <row r="9638">
          <cell r="B9638">
            <v>0.11153935185187684</v>
          </cell>
          <cell r="C9638">
            <v>160</v>
          </cell>
        </row>
        <row r="9639">
          <cell r="B9639">
            <v>0.11155092592595092</v>
          </cell>
          <cell r="C9639">
            <v>160</v>
          </cell>
        </row>
        <row r="9640">
          <cell r="B9640">
            <v>0.111562500000025</v>
          </cell>
          <cell r="C9640">
            <v>160</v>
          </cell>
        </row>
        <row r="9641">
          <cell r="B9641">
            <v>0.11157407407409908</v>
          </cell>
          <cell r="C9641">
            <v>160</v>
          </cell>
        </row>
        <row r="9642">
          <cell r="B9642">
            <v>0.11158564814817316</v>
          </cell>
          <cell r="C9642">
            <v>160</v>
          </cell>
        </row>
        <row r="9643">
          <cell r="B9643">
            <v>0.11159722222224724</v>
          </cell>
          <cell r="C9643">
            <v>160</v>
          </cell>
        </row>
        <row r="9644">
          <cell r="B9644">
            <v>0.11160879629632132</v>
          </cell>
          <cell r="C9644">
            <v>160</v>
          </cell>
        </row>
        <row r="9645">
          <cell r="B9645">
            <v>0.11162037037039541</v>
          </cell>
          <cell r="C9645">
            <v>160</v>
          </cell>
        </row>
        <row r="9646">
          <cell r="B9646">
            <v>0.11163194444446949</v>
          </cell>
          <cell r="C9646">
            <v>160</v>
          </cell>
        </row>
        <row r="9647">
          <cell r="B9647">
            <v>0.11164351851854357</v>
          </cell>
          <cell r="C9647">
            <v>160</v>
          </cell>
        </row>
        <row r="9648">
          <cell r="B9648">
            <v>0.11165509259261765</v>
          </cell>
          <cell r="C9648">
            <v>160</v>
          </cell>
        </row>
        <row r="9649">
          <cell r="B9649">
            <v>0.11166666666669173</v>
          </cell>
          <cell r="C9649">
            <v>160</v>
          </cell>
        </row>
        <row r="9650">
          <cell r="B9650">
            <v>0.11167824074076581</v>
          </cell>
          <cell r="C9650">
            <v>160</v>
          </cell>
        </row>
        <row r="9651">
          <cell r="B9651">
            <v>0.11168981481483989</v>
          </cell>
          <cell r="C9651">
            <v>160</v>
          </cell>
        </row>
        <row r="9652">
          <cell r="B9652">
            <v>0.11170138888891397</v>
          </cell>
          <cell r="C9652">
            <v>160</v>
          </cell>
        </row>
        <row r="9653">
          <cell r="B9653">
            <v>0.11171296296298805</v>
          </cell>
          <cell r="C9653">
            <v>160</v>
          </cell>
        </row>
        <row r="9654">
          <cell r="B9654">
            <v>0.11172453703706213</v>
          </cell>
          <cell r="C9654">
            <v>160</v>
          </cell>
        </row>
        <row r="9655">
          <cell r="B9655">
            <v>0.11173611111113621</v>
          </cell>
          <cell r="C9655">
            <v>160</v>
          </cell>
        </row>
        <row r="9656">
          <cell r="B9656">
            <v>0.11174768518521029</v>
          </cell>
          <cell r="C9656">
            <v>160</v>
          </cell>
        </row>
        <row r="9657">
          <cell r="B9657">
            <v>0.11175925925928437</v>
          </cell>
          <cell r="C9657">
            <v>160</v>
          </cell>
        </row>
        <row r="9658">
          <cell r="B9658">
            <v>0.11177083333335845</v>
          </cell>
          <cell r="C9658">
            <v>160</v>
          </cell>
        </row>
        <row r="9659">
          <cell r="B9659">
            <v>0.11178240740743253</v>
          </cell>
          <cell r="C9659">
            <v>160</v>
          </cell>
        </row>
        <row r="9660">
          <cell r="B9660">
            <v>0.11179398148150661</v>
          </cell>
          <cell r="C9660">
            <v>160</v>
          </cell>
        </row>
        <row r="9661">
          <cell r="B9661">
            <v>0.11180555555558069</v>
          </cell>
          <cell r="C9661">
            <v>161</v>
          </cell>
        </row>
        <row r="9662">
          <cell r="B9662">
            <v>0.11181712962965477</v>
          </cell>
          <cell r="C9662">
            <v>161</v>
          </cell>
        </row>
        <row r="9663">
          <cell r="B9663">
            <v>0.11182870370372885</v>
          </cell>
          <cell r="C9663">
            <v>161</v>
          </cell>
        </row>
        <row r="9664">
          <cell r="B9664">
            <v>0.11184027777780293</v>
          </cell>
          <cell r="C9664">
            <v>161</v>
          </cell>
        </row>
        <row r="9665">
          <cell r="B9665">
            <v>0.11185185185187702</v>
          </cell>
          <cell r="C9665">
            <v>161</v>
          </cell>
        </row>
        <row r="9666">
          <cell r="B9666">
            <v>0.1118634259259511</v>
          </cell>
          <cell r="C9666">
            <v>161</v>
          </cell>
        </row>
        <row r="9667">
          <cell r="B9667">
            <v>0.11187500000002518</v>
          </cell>
          <cell r="C9667">
            <v>161</v>
          </cell>
        </row>
        <row r="9668">
          <cell r="B9668">
            <v>0.11188657407409926</v>
          </cell>
          <cell r="C9668">
            <v>161</v>
          </cell>
        </row>
        <row r="9669">
          <cell r="B9669">
            <v>0.11189814814817334</v>
          </cell>
          <cell r="C9669">
            <v>161</v>
          </cell>
        </row>
        <row r="9670">
          <cell r="B9670">
            <v>0.11190972222224742</v>
          </cell>
          <cell r="C9670">
            <v>161</v>
          </cell>
        </row>
        <row r="9671">
          <cell r="B9671">
            <v>0.1119212962963215</v>
          </cell>
          <cell r="C9671">
            <v>161</v>
          </cell>
        </row>
        <row r="9672">
          <cell r="B9672">
            <v>0.11193287037039558</v>
          </cell>
          <cell r="C9672">
            <v>161</v>
          </cell>
        </row>
        <row r="9673">
          <cell r="B9673">
            <v>0.11194444444446966</v>
          </cell>
          <cell r="C9673">
            <v>161</v>
          </cell>
        </row>
        <row r="9674">
          <cell r="B9674">
            <v>0.11195601851854374</v>
          </cell>
          <cell r="C9674">
            <v>161</v>
          </cell>
        </row>
        <row r="9675">
          <cell r="B9675">
            <v>0.11196759259261782</v>
          </cell>
          <cell r="C9675">
            <v>161</v>
          </cell>
        </row>
        <row r="9676">
          <cell r="B9676">
            <v>0.1119791666666919</v>
          </cell>
          <cell r="C9676">
            <v>161</v>
          </cell>
        </row>
        <row r="9677">
          <cell r="B9677">
            <v>0.11199074074076598</v>
          </cell>
          <cell r="C9677">
            <v>161</v>
          </cell>
        </row>
        <row r="9678">
          <cell r="B9678">
            <v>0.11200231481484006</v>
          </cell>
          <cell r="C9678">
            <v>161</v>
          </cell>
        </row>
        <row r="9679">
          <cell r="B9679">
            <v>0.11201388888891414</v>
          </cell>
          <cell r="C9679">
            <v>161</v>
          </cell>
        </row>
        <row r="9680">
          <cell r="B9680">
            <v>0.11202546296298822</v>
          </cell>
          <cell r="C9680">
            <v>161</v>
          </cell>
        </row>
        <row r="9681">
          <cell r="B9681">
            <v>0.1120370370370623</v>
          </cell>
          <cell r="C9681">
            <v>161</v>
          </cell>
        </row>
        <row r="9682">
          <cell r="B9682">
            <v>0.11204861111113638</v>
          </cell>
          <cell r="C9682">
            <v>161</v>
          </cell>
        </row>
        <row r="9683">
          <cell r="B9683">
            <v>0.11206018518521046</v>
          </cell>
          <cell r="C9683">
            <v>161</v>
          </cell>
        </row>
        <row r="9684">
          <cell r="B9684">
            <v>0.11207175925928455</v>
          </cell>
          <cell r="C9684">
            <v>161</v>
          </cell>
        </row>
        <row r="9685">
          <cell r="B9685">
            <v>0.11208333333335863</v>
          </cell>
          <cell r="C9685">
            <v>161</v>
          </cell>
        </row>
        <row r="9686">
          <cell r="B9686">
            <v>0.11209490740743271</v>
          </cell>
          <cell r="C9686">
            <v>161</v>
          </cell>
        </row>
        <row r="9687">
          <cell r="B9687">
            <v>0.11210648148150679</v>
          </cell>
          <cell r="C9687">
            <v>161</v>
          </cell>
        </row>
        <row r="9688">
          <cell r="B9688">
            <v>0.11211805555558087</v>
          </cell>
          <cell r="C9688">
            <v>161</v>
          </cell>
        </row>
        <row r="9689">
          <cell r="B9689">
            <v>0.11212962962965495</v>
          </cell>
          <cell r="C9689">
            <v>161</v>
          </cell>
        </row>
        <row r="9690">
          <cell r="B9690">
            <v>0.11214120370372903</v>
          </cell>
          <cell r="C9690">
            <v>161</v>
          </cell>
        </row>
        <row r="9691">
          <cell r="B9691">
            <v>0.11215277777780311</v>
          </cell>
          <cell r="C9691">
            <v>161</v>
          </cell>
        </row>
        <row r="9692">
          <cell r="B9692">
            <v>0.11216435185187719</v>
          </cell>
          <cell r="C9692">
            <v>161</v>
          </cell>
        </row>
        <row r="9693">
          <cell r="B9693">
            <v>0.11217592592595127</v>
          </cell>
          <cell r="C9693">
            <v>161</v>
          </cell>
        </row>
        <row r="9694">
          <cell r="B9694">
            <v>0.11218750000002535</v>
          </cell>
          <cell r="C9694">
            <v>161</v>
          </cell>
        </row>
        <row r="9695">
          <cell r="B9695">
            <v>0.11219907407409943</v>
          </cell>
          <cell r="C9695">
            <v>161</v>
          </cell>
        </row>
        <row r="9696">
          <cell r="B9696">
            <v>0.11221064814817351</v>
          </cell>
          <cell r="C9696">
            <v>161</v>
          </cell>
        </row>
        <row r="9697">
          <cell r="B9697">
            <v>0.11222222222224759</v>
          </cell>
          <cell r="C9697">
            <v>161</v>
          </cell>
        </row>
        <row r="9698">
          <cell r="B9698">
            <v>0.11223379629632167</v>
          </cell>
          <cell r="C9698">
            <v>161</v>
          </cell>
        </row>
        <row r="9699">
          <cell r="B9699">
            <v>0.11224537037039575</v>
          </cell>
          <cell r="C9699">
            <v>161</v>
          </cell>
        </row>
        <row r="9700">
          <cell r="B9700">
            <v>0.11225694444446983</v>
          </cell>
          <cell r="C9700">
            <v>161</v>
          </cell>
        </row>
        <row r="9701">
          <cell r="B9701">
            <v>0.11226851851854391</v>
          </cell>
          <cell r="C9701">
            <v>161</v>
          </cell>
        </row>
        <row r="9702">
          <cell r="B9702">
            <v>0.11228009259261799</v>
          </cell>
          <cell r="C9702">
            <v>161</v>
          </cell>
        </row>
        <row r="9703">
          <cell r="B9703">
            <v>0.11229166666669207</v>
          </cell>
          <cell r="C9703">
            <v>161</v>
          </cell>
        </row>
        <row r="9704">
          <cell r="B9704">
            <v>0.11230324074076616</v>
          </cell>
          <cell r="C9704">
            <v>161</v>
          </cell>
        </row>
        <row r="9705">
          <cell r="B9705">
            <v>0.11231481481484024</v>
          </cell>
          <cell r="C9705">
            <v>161</v>
          </cell>
        </row>
        <row r="9706">
          <cell r="B9706">
            <v>0.11232638888891432</v>
          </cell>
          <cell r="C9706">
            <v>161</v>
          </cell>
        </row>
        <row r="9707">
          <cell r="B9707">
            <v>0.1123379629629884</v>
          </cell>
          <cell r="C9707">
            <v>161</v>
          </cell>
        </row>
        <row r="9708">
          <cell r="B9708">
            <v>0.11234953703706248</v>
          </cell>
          <cell r="C9708">
            <v>161</v>
          </cell>
        </row>
        <row r="9709">
          <cell r="B9709">
            <v>0.11236111111113656</v>
          </cell>
          <cell r="C9709">
            <v>161</v>
          </cell>
        </row>
        <row r="9710">
          <cell r="B9710">
            <v>0.11237268518521064</v>
          </cell>
          <cell r="C9710">
            <v>161</v>
          </cell>
        </row>
        <row r="9711">
          <cell r="B9711">
            <v>0.11238425925928472</v>
          </cell>
          <cell r="C9711">
            <v>161</v>
          </cell>
        </row>
        <row r="9712">
          <cell r="B9712">
            <v>0.1123958333333588</v>
          </cell>
          <cell r="C9712">
            <v>161</v>
          </cell>
        </row>
        <row r="9713">
          <cell r="B9713">
            <v>0.11240740740743288</v>
          </cell>
          <cell r="C9713">
            <v>161</v>
          </cell>
        </row>
        <row r="9714">
          <cell r="B9714">
            <v>0.11241898148150696</v>
          </cell>
          <cell r="C9714">
            <v>161</v>
          </cell>
        </row>
        <row r="9715">
          <cell r="B9715">
            <v>0.11243055555558104</v>
          </cell>
          <cell r="C9715">
            <v>161</v>
          </cell>
        </row>
        <row r="9716">
          <cell r="B9716">
            <v>0.11244212962965512</v>
          </cell>
          <cell r="C9716">
            <v>161</v>
          </cell>
        </row>
        <row r="9717">
          <cell r="B9717">
            <v>0.1124537037037292</v>
          </cell>
          <cell r="C9717">
            <v>161</v>
          </cell>
        </row>
        <row r="9718">
          <cell r="B9718">
            <v>0.11246527777780328</v>
          </cell>
          <cell r="C9718">
            <v>161</v>
          </cell>
        </row>
        <row r="9719">
          <cell r="B9719">
            <v>0.11247685185187736</v>
          </cell>
          <cell r="C9719">
            <v>161</v>
          </cell>
        </row>
        <row r="9720">
          <cell r="B9720">
            <v>0.11248842592595144</v>
          </cell>
          <cell r="C9720">
            <v>161</v>
          </cell>
        </row>
        <row r="9721">
          <cell r="B9721">
            <v>0.11250000000002552</v>
          </cell>
          <cell r="C9721">
            <v>162</v>
          </cell>
        </row>
        <row r="9722">
          <cell r="B9722">
            <v>0.1125115740740996</v>
          </cell>
          <cell r="C9722">
            <v>162</v>
          </cell>
        </row>
        <row r="9723">
          <cell r="B9723">
            <v>0.11252314814817369</v>
          </cell>
          <cell r="C9723">
            <v>162</v>
          </cell>
        </row>
        <row r="9724">
          <cell r="B9724">
            <v>0.11253472222224777</v>
          </cell>
          <cell r="C9724">
            <v>162</v>
          </cell>
        </row>
        <row r="9725">
          <cell r="B9725">
            <v>0.11254629629632185</v>
          </cell>
          <cell r="C9725">
            <v>162</v>
          </cell>
        </row>
        <row r="9726">
          <cell r="B9726">
            <v>0.11255787037039593</v>
          </cell>
          <cell r="C9726">
            <v>162</v>
          </cell>
        </row>
        <row r="9727">
          <cell r="B9727">
            <v>0.11256944444447001</v>
          </cell>
          <cell r="C9727">
            <v>162</v>
          </cell>
        </row>
        <row r="9728">
          <cell r="B9728">
            <v>0.11258101851854409</v>
          </cell>
          <cell r="C9728">
            <v>162</v>
          </cell>
        </row>
        <row r="9729">
          <cell r="B9729">
            <v>0.11259259259261817</v>
          </cell>
          <cell r="C9729">
            <v>162</v>
          </cell>
        </row>
        <row r="9730">
          <cell r="B9730">
            <v>0.11260416666669225</v>
          </cell>
          <cell r="C9730">
            <v>162</v>
          </cell>
        </row>
        <row r="9731">
          <cell r="B9731">
            <v>0.11261574074076633</v>
          </cell>
          <cell r="C9731">
            <v>162</v>
          </cell>
        </row>
        <row r="9732">
          <cell r="B9732">
            <v>0.11262731481484041</v>
          </cell>
          <cell r="C9732">
            <v>162</v>
          </cell>
        </row>
        <row r="9733">
          <cell r="B9733">
            <v>0.11263888888891449</v>
          </cell>
          <cell r="C9733">
            <v>162</v>
          </cell>
        </row>
        <row r="9734">
          <cell r="B9734">
            <v>0.11265046296298857</v>
          </cell>
          <cell r="C9734">
            <v>162</v>
          </cell>
        </row>
        <row r="9735">
          <cell r="B9735">
            <v>0.11266203703706265</v>
          </cell>
          <cell r="C9735">
            <v>162</v>
          </cell>
        </row>
        <row r="9736">
          <cell r="B9736">
            <v>0.11267361111113673</v>
          </cell>
          <cell r="C9736">
            <v>162</v>
          </cell>
        </row>
        <row r="9737">
          <cell r="B9737">
            <v>0.11268518518521081</v>
          </cell>
          <cell r="C9737">
            <v>162</v>
          </cell>
        </row>
        <row r="9738">
          <cell r="B9738">
            <v>0.11269675925928489</v>
          </cell>
          <cell r="C9738">
            <v>162</v>
          </cell>
        </row>
        <row r="9739">
          <cell r="B9739">
            <v>0.11270833333335897</v>
          </cell>
          <cell r="C9739">
            <v>162</v>
          </cell>
        </row>
        <row r="9740">
          <cell r="B9740">
            <v>0.11271990740743305</v>
          </cell>
          <cell r="C9740">
            <v>162</v>
          </cell>
        </row>
        <row r="9741">
          <cell r="B9741">
            <v>0.11273148148150713</v>
          </cell>
          <cell r="C9741">
            <v>162</v>
          </cell>
        </row>
        <row r="9742">
          <cell r="B9742">
            <v>0.11274305555558121</v>
          </cell>
          <cell r="C9742">
            <v>162</v>
          </cell>
        </row>
        <row r="9743">
          <cell r="B9743">
            <v>0.1127546296296553</v>
          </cell>
          <cell r="C9743">
            <v>162</v>
          </cell>
        </row>
        <row r="9744">
          <cell r="B9744">
            <v>0.11276620370372938</v>
          </cell>
          <cell r="C9744">
            <v>162</v>
          </cell>
        </row>
        <row r="9745">
          <cell r="B9745">
            <v>0.11277777777780346</v>
          </cell>
          <cell r="C9745">
            <v>162</v>
          </cell>
        </row>
        <row r="9746">
          <cell r="B9746">
            <v>0.11278935185187754</v>
          </cell>
          <cell r="C9746">
            <v>162</v>
          </cell>
        </row>
        <row r="9747">
          <cell r="B9747">
            <v>0.11280092592595162</v>
          </cell>
          <cell r="C9747">
            <v>162</v>
          </cell>
        </row>
        <row r="9748">
          <cell r="B9748">
            <v>0.1128125000000257</v>
          </cell>
          <cell r="C9748">
            <v>162</v>
          </cell>
        </row>
        <row r="9749">
          <cell r="B9749">
            <v>0.11282407407409978</v>
          </cell>
          <cell r="C9749">
            <v>162</v>
          </cell>
        </row>
        <row r="9750">
          <cell r="B9750">
            <v>0.11283564814817386</v>
          </cell>
          <cell r="C9750">
            <v>162</v>
          </cell>
        </row>
        <row r="9751">
          <cell r="B9751">
            <v>0.11284722222224794</v>
          </cell>
          <cell r="C9751">
            <v>162</v>
          </cell>
        </row>
        <row r="9752">
          <cell r="B9752">
            <v>0.11285879629632202</v>
          </cell>
          <cell r="C9752">
            <v>162</v>
          </cell>
        </row>
        <row r="9753">
          <cell r="B9753">
            <v>0.1128703703703961</v>
          </cell>
          <cell r="C9753">
            <v>162</v>
          </cell>
        </row>
        <row r="9754">
          <cell r="B9754">
            <v>0.11288194444447018</v>
          </cell>
          <cell r="C9754">
            <v>162</v>
          </cell>
        </row>
        <row r="9755">
          <cell r="B9755">
            <v>0.11289351851854426</v>
          </cell>
          <cell r="C9755">
            <v>162</v>
          </cell>
        </row>
        <row r="9756">
          <cell r="B9756">
            <v>0.11290509259261834</v>
          </cell>
          <cell r="C9756">
            <v>162</v>
          </cell>
        </row>
        <row r="9757">
          <cell r="B9757">
            <v>0.11291666666669242</v>
          </cell>
          <cell r="C9757">
            <v>162</v>
          </cell>
        </row>
        <row r="9758">
          <cell r="B9758">
            <v>0.1129282407407665</v>
          </cell>
          <cell r="C9758">
            <v>162</v>
          </cell>
        </row>
        <row r="9759">
          <cell r="B9759">
            <v>0.11293981481484058</v>
          </cell>
          <cell r="C9759">
            <v>162</v>
          </cell>
        </row>
        <row r="9760">
          <cell r="B9760">
            <v>0.11295138888891466</v>
          </cell>
          <cell r="C9760">
            <v>162</v>
          </cell>
        </row>
        <row r="9761">
          <cell r="B9761">
            <v>0.11296296296298874</v>
          </cell>
          <cell r="C9761">
            <v>162</v>
          </cell>
        </row>
        <row r="9762">
          <cell r="B9762">
            <v>0.11297453703706282</v>
          </cell>
          <cell r="C9762">
            <v>162</v>
          </cell>
        </row>
        <row r="9763">
          <cell r="B9763">
            <v>0.11298611111113691</v>
          </cell>
          <cell r="C9763">
            <v>162</v>
          </cell>
        </row>
        <row r="9764">
          <cell r="B9764">
            <v>0.11299768518521099</v>
          </cell>
          <cell r="C9764">
            <v>162</v>
          </cell>
        </row>
        <row r="9765">
          <cell r="B9765">
            <v>0.11300925925928507</v>
          </cell>
          <cell r="C9765">
            <v>162</v>
          </cell>
        </row>
        <row r="9766">
          <cell r="B9766">
            <v>0.11302083333335915</v>
          </cell>
          <cell r="C9766">
            <v>162</v>
          </cell>
        </row>
        <row r="9767">
          <cell r="B9767">
            <v>0.11303240740743323</v>
          </cell>
          <cell r="C9767">
            <v>162</v>
          </cell>
        </row>
        <row r="9768">
          <cell r="B9768">
            <v>0.11304398148150731</v>
          </cell>
          <cell r="C9768">
            <v>162</v>
          </cell>
        </row>
        <row r="9769">
          <cell r="B9769">
            <v>0.11305555555558139</v>
          </cell>
          <cell r="C9769">
            <v>162</v>
          </cell>
        </row>
        <row r="9770">
          <cell r="B9770">
            <v>0.11306712962965547</v>
          </cell>
          <cell r="C9770">
            <v>162</v>
          </cell>
        </row>
        <row r="9771">
          <cell r="B9771">
            <v>0.11307870370372955</v>
          </cell>
          <cell r="C9771">
            <v>162</v>
          </cell>
        </row>
        <row r="9772">
          <cell r="B9772">
            <v>0.11309027777780363</v>
          </cell>
          <cell r="C9772">
            <v>162</v>
          </cell>
        </row>
        <row r="9773">
          <cell r="B9773">
            <v>0.11310185185187771</v>
          </cell>
          <cell r="C9773">
            <v>162</v>
          </cell>
        </row>
        <row r="9774">
          <cell r="B9774">
            <v>0.11311342592595179</v>
          </cell>
          <cell r="C9774">
            <v>162</v>
          </cell>
        </row>
        <row r="9775">
          <cell r="B9775">
            <v>0.11312500000002587</v>
          </cell>
          <cell r="C9775">
            <v>162</v>
          </cell>
        </row>
        <row r="9776">
          <cell r="B9776">
            <v>0.11313657407409995</v>
          </cell>
          <cell r="C9776">
            <v>162</v>
          </cell>
        </row>
        <row r="9777">
          <cell r="B9777">
            <v>0.11314814814817403</v>
          </cell>
          <cell r="C9777">
            <v>162</v>
          </cell>
        </row>
        <row r="9778">
          <cell r="B9778">
            <v>0.11315972222224811</v>
          </cell>
          <cell r="C9778">
            <v>162</v>
          </cell>
        </row>
        <row r="9779">
          <cell r="B9779">
            <v>0.11317129629632219</v>
          </cell>
          <cell r="C9779">
            <v>162</v>
          </cell>
        </row>
        <row r="9780">
          <cell r="B9780">
            <v>0.11318287037039627</v>
          </cell>
          <cell r="C9780">
            <v>162</v>
          </cell>
        </row>
        <row r="9781">
          <cell r="B9781">
            <v>0.11319444444447035</v>
          </cell>
          <cell r="C9781">
            <v>163</v>
          </cell>
        </row>
        <row r="9782">
          <cell r="B9782">
            <v>0.11320601851854444</v>
          </cell>
          <cell r="C9782">
            <v>163</v>
          </cell>
        </row>
        <row r="9783">
          <cell r="B9783">
            <v>0.11321759259261852</v>
          </cell>
          <cell r="C9783">
            <v>163</v>
          </cell>
        </row>
        <row r="9784">
          <cell r="B9784">
            <v>0.1132291666666926</v>
          </cell>
          <cell r="C9784">
            <v>163</v>
          </cell>
        </row>
        <row r="9785">
          <cell r="B9785">
            <v>0.11324074074076668</v>
          </cell>
          <cell r="C9785">
            <v>163</v>
          </cell>
        </row>
        <row r="9786">
          <cell r="B9786">
            <v>0.11325231481484076</v>
          </cell>
          <cell r="C9786">
            <v>163</v>
          </cell>
        </row>
        <row r="9787">
          <cell r="B9787">
            <v>0.11326388888891484</v>
          </cell>
          <cell r="C9787">
            <v>163</v>
          </cell>
        </row>
        <row r="9788">
          <cell r="B9788">
            <v>0.11327546296298892</v>
          </cell>
          <cell r="C9788">
            <v>163</v>
          </cell>
        </row>
        <row r="9789">
          <cell r="B9789">
            <v>0.113287037037063</v>
          </cell>
          <cell r="C9789">
            <v>163</v>
          </cell>
        </row>
        <row r="9790">
          <cell r="B9790">
            <v>0.11329861111113708</v>
          </cell>
          <cell r="C9790">
            <v>163</v>
          </cell>
        </row>
        <row r="9791">
          <cell r="B9791">
            <v>0.11331018518521116</v>
          </cell>
          <cell r="C9791">
            <v>163</v>
          </cell>
        </row>
        <row r="9792">
          <cell r="B9792">
            <v>0.11332175925928524</v>
          </cell>
          <cell r="C9792">
            <v>163</v>
          </cell>
        </row>
        <row r="9793">
          <cell r="B9793">
            <v>0.11333333333335932</v>
          </cell>
          <cell r="C9793">
            <v>163</v>
          </cell>
        </row>
        <row r="9794">
          <cell r="B9794">
            <v>0.1133449074074334</v>
          </cell>
          <cell r="C9794">
            <v>163</v>
          </cell>
        </row>
        <row r="9795">
          <cell r="B9795">
            <v>0.11335648148150748</v>
          </cell>
          <cell r="C9795">
            <v>163</v>
          </cell>
        </row>
        <row r="9796">
          <cell r="B9796">
            <v>0.11336805555558156</v>
          </cell>
          <cell r="C9796">
            <v>163</v>
          </cell>
        </row>
        <row r="9797">
          <cell r="B9797">
            <v>0.11337962962965564</v>
          </cell>
          <cell r="C9797">
            <v>163</v>
          </cell>
        </row>
        <row r="9798">
          <cell r="B9798">
            <v>0.11339120370372972</v>
          </cell>
          <cell r="C9798">
            <v>163</v>
          </cell>
        </row>
        <row r="9799">
          <cell r="B9799">
            <v>0.1134027777778038</v>
          </cell>
          <cell r="C9799">
            <v>163</v>
          </cell>
        </row>
        <row r="9800">
          <cell r="B9800">
            <v>0.11341435185187788</v>
          </cell>
          <cell r="C9800">
            <v>163</v>
          </cell>
        </row>
        <row r="9801">
          <cell r="B9801">
            <v>0.11342592592595196</v>
          </cell>
          <cell r="C9801">
            <v>163</v>
          </cell>
        </row>
        <row r="9802">
          <cell r="B9802">
            <v>0.11343750000002605</v>
          </cell>
          <cell r="C9802">
            <v>163</v>
          </cell>
        </row>
        <row r="9803">
          <cell r="B9803">
            <v>0.11344907407410013</v>
          </cell>
          <cell r="C9803">
            <v>163</v>
          </cell>
        </row>
        <row r="9804">
          <cell r="B9804">
            <v>0.11346064814817421</v>
          </cell>
          <cell r="C9804">
            <v>163</v>
          </cell>
        </row>
        <row r="9805">
          <cell r="B9805">
            <v>0.11347222222224829</v>
          </cell>
          <cell r="C9805">
            <v>163</v>
          </cell>
        </row>
        <row r="9806">
          <cell r="B9806">
            <v>0.11348379629632237</v>
          </cell>
          <cell r="C9806">
            <v>163</v>
          </cell>
        </row>
        <row r="9807">
          <cell r="B9807">
            <v>0.11349537037039645</v>
          </cell>
          <cell r="C9807">
            <v>163</v>
          </cell>
        </row>
        <row r="9808">
          <cell r="B9808">
            <v>0.11350694444447053</v>
          </cell>
          <cell r="C9808">
            <v>163</v>
          </cell>
        </row>
        <row r="9809">
          <cell r="B9809">
            <v>0.11351851851854461</v>
          </cell>
          <cell r="C9809">
            <v>163</v>
          </cell>
        </row>
        <row r="9810">
          <cell r="B9810">
            <v>0.11353009259261869</v>
          </cell>
          <cell r="C9810">
            <v>163</v>
          </cell>
        </row>
        <row r="9811">
          <cell r="B9811">
            <v>0.11354166666669277</v>
          </cell>
          <cell r="C9811">
            <v>163</v>
          </cell>
        </row>
        <row r="9812">
          <cell r="B9812">
            <v>0.11355324074076685</v>
          </cell>
          <cell r="C9812">
            <v>163</v>
          </cell>
        </row>
        <row r="9813">
          <cell r="B9813">
            <v>0.11356481481484093</v>
          </cell>
          <cell r="C9813">
            <v>163</v>
          </cell>
        </row>
        <row r="9814">
          <cell r="B9814">
            <v>0.11357638888891501</v>
          </cell>
          <cell r="C9814">
            <v>163</v>
          </cell>
        </row>
        <row r="9815">
          <cell r="B9815">
            <v>0.11358796296298909</v>
          </cell>
          <cell r="C9815">
            <v>163</v>
          </cell>
        </row>
        <row r="9816">
          <cell r="B9816">
            <v>0.11359953703706317</v>
          </cell>
          <cell r="C9816">
            <v>163</v>
          </cell>
        </row>
        <row r="9817">
          <cell r="B9817">
            <v>0.11361111111113725</v>
          </cell>
          <cell r="C9817">
            <v>163</v>
          </cell>
        </row>
        <row r="9818">
          <cell r="B9818">
            <v>0.11362268518521133</v>
          </cell>
          <cell r="C9818">
            <v>163</v>
          </cell>
        </row>
        <row r="9819">
          <cell r="B9819">
            <v>0.11363425925928541</v>
          </cell>
          <cell r="C9819">
            <v>163</v>
          </cell>
        </row>
        <row r="9820">
          <cell r="B9820">
            <v>0.11364583333335949</v>
          </cell>
          <cell r="C9820">
            <v>163</v>
          </cell>
        </row>
        <row r="9821">
          <cell r="B9821">
            <v>0.11365740740743357</v>
          </cell>
          <cell r="C9821">
            <v>163</v>
          </cell>
        </row>
        <row r="9822">
          <cell r="B9822">
            <v>0.11366898148150766</v>
          </cell>
          <cell r="C9822">
            <v>163</v>
          </cell>
        </row>
        <row r="9823">
          <cell r="B9823">
            <v>0.11368055555558174</v>
          </cell>
          <cell r="C9823">
            <v>163</v>
          </cell>
        </row>
        <row r="9824">
          <cell r="B9824">
            <v>0.11369212962965582</v>
          </cell>
          <cell r="C9824">
            <v>163</v>
          </cell>
        </row>
        <row r="9825">
          <cell r="B9825">
            <v>0.1137037037037299</v>
          </cell>
          <cell r="C9825">
            <v>163</v>
          </cell>
        </row>
        <row r="9826">
          <cell r="B9826">
            <v>0.11371527777780398</v>
          </cell>
          <cell r="C9826">
            <v>163</v>
          </cell>
        </row>
        <row r="9827">
          <cell r="B9827">
            <v>0.11372685185187806</v>
          </cell>
          <cell r="C9827">
            <v>163</v>
          </cell>
        </row>
        <row r="9828">
          <cell r="B9828">
            <v>0.11373842592595214</v>
          </cell>
          <cell r="C9828">
            <v>163</v>
          </cell>
        </row>
        <row r="9829">
          <cell r="B9829">
            <v>0.11375000000002622</v>
          </cell>
          <cell r="C9829">
            <v>163</v>
          </cell>
        </row>
        <row r="9830">
          <cell r="B9830">
            <v>0.1137615740741003</v>
          </cell>
          <cell r="C9830">
            <v>163</v>
          </cell>
        </row>
        <row r="9831">
          <cell r="B9831">
            <v>0.11377314814817438</v>
          </cell>
          <cell r="C9831">
            <v>163</v>
          </cell>
        </row>
        <row r="9832">
          <cell r="B9832">
            <v>0.11378472222224846</v>
          </cell>
          <cell r="C9832">
            <v>163</v>
          </cell>
        </row>
        <row r="9833">
          <cell r="B9833">
            <v>0.11379629629632254</v>
          </cell>
          <cell r="C9833">
            <v>163</v>
          </cell>
        </row>
        <row r="9834">
          <cell r="B9834">
            <v>0.11380787037039662</v>
          </cell>
          <cell r="C9834">
            <v>163</v>
          </cell>
        </row>
        <row r="9835">
          <cell r="B9835">
            <v>0.1138194444444707</v>
          </cell>
          <cell r="C9835">
            <v>163</v>
          </cell>
        </row>
        <row r="9836">
          <cell r="B9836">
            <v>0.11383101851854478</v>
          </cell>
          <cell r="C9836">
            <v>163</v>
          </cell>
        </row>
        <row r="9837">
          <cell r="B9837">
            <v>0.11384259259261886</v>
          </cell>
          <cell r="C9837">
            <v>163</v>
          </cell>
        </row>
        <row r="9838">
          <cell r="B9838">
            <v>0.11385416666669294</v>
          </cell>
          <cell r="C9838">
            <v>163</v>
          </cell>
        </row>
        <row r="9839">
          <cell r="B9839">
            <v>0.11386574074076702</v>
          </cell>
          <cell r="C9839">
            <v>163</v>
          </cell>
        </row>
        <row r="9840">
          <cell r="B9840">
            <v>0.1138773148148411</v>
          </cell>
          <cell r="C9840">
            <v>163</v>
          </cell>
        </row>
        <row r="9841">
          <cell r="B9841">
            <v>0.11388888888891519</v>
          </cell>
          <cell r="C9841">
            <v>164</v>
          </cell>
        </row>
        <row r="9842">
          <cell r="B9842">
            <v>0.11390046296298927</v>
          </cell>
          <cell r="C9842">
            <v>164</v>
          </cell>
        </row>
        <row r="9843">
          <cell r="B9843">
            <v>0.11391203703706335</v>
          </cell>
          <cell r="C9843">
            <v>164</v>
          </cell>
        </row>
        <row r="9844">
          <cell r="B9844">
            <v>0.11392361111113743</v>
          </cell>
          <cell r="C9844">
            <v>164</v>
          </cell>
        </row>
        <row r="9845">
          <cell r="B9845">
            <v>0.11393518518521151</v>
          </cell>
          <cell r="C9845">
            <v>164</v>
          </cell>
        </row>
        <row r="9846">
          <cell r="B9846">
            <v>0.11394675925928559</v>
          </cell>
          <cell r="C9846">
            <v>164</v>
          </cell>
        </row>
        <row r="9847">
          <cell r="B9847">
            <v>0.11395833333335967</v>
          </cell>
          <cell r="C9847">
            <v>164</v>
          </cell>
        </row>
        <row r="9848">
          <cell r="B9848">
            <v>0.11396990740743375</v>
          </cell>
          <cell r="C9848">
            <v>164</v>
          </cell>
        </row>
        <row r="9849">
          <cell r="B9849">
            <v>0.11398148148150783</v>
          </cell>
          <cell r="C9849">
            <v>164</v>
          </cell>
        </row>
        <row r="9850">
          <cell r="B9850">
            <v>0.11399305555558191</v>
          </cell>
          <cell r="C9850">
            <v>164</v>
          </cell>
        </row>
        <row r="9851">
          <cell r="B9851">
            <v>0.11400462962965599</v>
          </cell>
          <cell r="C9851">
            <v>164</v>
          </cell>
        </row>
        <row r="9852">
          <cell r="B9852">
            <v>0.11401620370373007</v>
          </cell>
          <cell r="C9852">
            <v>164</v>
          </cell>
        </row>
        <row r="9853">
          <cell r="B9853">
            <v>0.11402777777780415</v>
          </cell>
          <cell r="C9853">
            <v>164</v>
          </cell>
        </row>
        <row r="9854">
          <cell r="B9854">
            <v>0.11403935185187823</v>
          </cell>
          <cell r="C9854">
            <v>164</v>
          </cell>
        </row>
        <row r="9855">
          <cell r="B9855">
            <v>0.11405092592595231</v>
          </cell>
          <cell r="C9855">
            <v>164</v>
          </cell>
        </row>
        <row r="9856">
          <cell r="B9856">
            <v>0.11406250000002639</v>
          </cell>
          <cell r="C9856">
            <v>164</v>
          </cell>
        </row>
        <row r="9857">
          <cell r="B9857">
            <v>0.11407407407410047</v>
          </cell>
          <cell r="C9857">
            <v>164</v>
          </cell>
        </row>
        <row r="9858">
          <cell r="B9858">
            <v>0.11408564814817455</v>
          </cell>
          <cell r="C9858">
            <v>164</v>
          </cell>
        </row>
        <row r="9859">
          <cell r="B9859">
            <v>0.11409722222224863</v>
          </cell>
          <cell r="C9859">
            <v>164</v>
          </cell>
        </row>
        <row r="9860">
          <cell r="B9860">
            <v>0.11410879629632271</v>
          </cell>
          <cell r="C9860">
            <v>164</v>
          </cell>
        </row>
        <row r="9861">
          <cell r="B9861">
            <v>0.1141203703703968</v>
          </cell>
          <cell r="C9861">
            <v>164</v>
          </cell>
        </row>
        <row r="9862">
          <cell r="B9862">
            <v>0.11413194444447088</v>
          </cell>
          <cell r="C9862">
            <v>164</v>
          </cell>
        </row>
        <row r="9863">
          <cell r="B9863">
            <v>0.11414351851854496</v>
          </cell>
          <cell r="C9863">
            <v>164</v>
          </cell>
        </row>
        <row r="9864">
          <cell r="B9864">
            <v>0.11415509259261904</v>
          </cell>
          <cell r="C9864">
            <v>164</v>
          </cell>
        </row>
        <row r="9865">
          <cell r="B9865">
            <v>0.11416666666669312</v>
          </cell>
          <cell r="C9865">
            <v>164</v>
          </cell>
        </row>
        <row r="9866">
          <cell r="B9866">
            <v>0.1141782407407672</v>
          </cell>
          <cell r="C9866">
            <v>164</v>
          </cell>
        </row>
        <row r="9867">
          <cell r="B9867">
            <v>0.11418981481484128</v>
          </cell>
          <cell r="C9867">
            <v>164</v>
          </cell>
        </row>
        <row r="9868">
          <cell r="B9868">
            <v>0.11420138888891536</v>
          </cell>
          <cell r="C9868">
            <v>164</v>
          </cell>
        </row>
        <row r="9869">
          <cell r="B9869">
            <v>0.11421296296298944</v>
          </cell>
          <cell r="C9869">
            <v>164</v>
          </cell>
        </row>
        <row r="9870">
          <cell r="B9870">
            <v>0.11422453703706352</v>
          </cell>
          <cell r="C9870">
            <v>164</v>
          </cell>
        </row>
        <row r="9871">
          <cell r="B9871">
            <v>0.1142361111111376</v>
          </cell>
          <cell r="C9871">
            <v>164</v>
          </cell>
        </row>
        <row r="9872">
          <cell r="B9872">
            <v>0.11424768518521168</v>
          </cell>
          <cell r="C9872">
            <v>164</v>
          </cell>
        </row>
        <row r="9873">
          <cell r="B9873">
            <v>0.11425925925928576</v>
          </cell>
          <cell r="C9873">
            <v>164</v>
          </cell>
        </row>
        <row r="9874">
          <cell r="B9874">
            <v>0.11427083333335984</v>
          </cell>
          <cell r="C9874">
            <v>164</v>
          </cell>
        </row>
        <row r="9875">
          <cell r="B9875">
            <v>0.11428240740743392</v>
          </cell>
          <cell r="C9875">
            <v>164</v>
          </cell>
        </row>
        <row r="9876">
          <cell r="B9876">
            <v>0.114293981481508</v>
          </cell>
          <cell r="C9876">
            <v>164</v>
          </cell>
        </row>
        <row r="9877">
          <cell r="B9877">
            <v>0.11430555555558208</v>
          </cell>
          <cell r="C9877">
            <v>164</v>
          </cell>
        </row>
        <row r="9878">
          <cell r="B9878">
            <v>0.11431712962965616</v>
          </cell>
          <cell r="C9878">
            <v>164</v>
          </cell>
        </row>
        <row r="9879">
          <cell r="B9879">
            <v>0.11432870370373024</v>
          </cell>
          <cell r="C9879">
            <v>164</v>
          </cell>
        </row>
        <row r="9880">
          <cell r="B9880">
            <v>0.11434027777780432</v>
          </cell>
          <cell r="C9880">
            <v>164</v>
          </cell>
        </row>
        <row r="9881">
          <cell r="B9881">
            <v>0.11435185185187841</v>
          </cell>
          <cell r="C9881">
            <v>164</v>
          </cell>
        </row>
        <row r="9882">
          <cell r="B9882">
            <v>0.11436342592595249</v>
          </cell>
          <cell r="C9882">
            <v>164</v>
          </cell>
        </row>
        <row r="9883">
          <cell r="B9883">
            <v>0.11437500000002657</v>
          </cell>
          <cell r="C9883">
            <v>164</v>
          </cell>
        </row>
        <row r="9884">
          <cell r="B9884">
            <v>0.11438657407410065</v>
          </cell>
          <cell r="C9884">
            <v>164</v>
          </cell>
        </row>
        <row r="9885">
          <cell r="B9885">
            <v>0.11439814814817473</v>
          </cell>
          <cell r="C9885">
            <v>164</v>
          </cell>
        </row>
        <row r="9886">
          <cell r="B9886">
            <v>0.11440972222224881</v>
          </cell>
          <cell r="C9886">
            <v>164</v>
          </cell>
        </row>
        <row r="9887">
          <cell r="B9887">
            <v>0.11442129629632289</v>
          </cell>
          <cell r="C9887">
            <v>164</v>
          </cell>
        </row>
        <row r="9888">
          <cell r="B9888">
            <v>0.11443287037039697</v>
          </cell>
          <cell r="C9888">
            <v>164</v>
          </cell>
        </row>
        <row r="9889">
          <cell r="B9889">
            <v>0.11444444444447105</v>
          </cell>
          <cell r="C9889">
            <v>164</v>
          </cell>
        </row>
        <row r="9890">
          <cell r="B9890">
            <v>0.11445601851854513</v>
          </cell>
          <cell r="C9890">
            <v>164</v>
          </cell>
        </row>
        <row r="9891">
          <cell r="B9891">
            <v>0.11446759259261921</v>
          </cell>
          <cell r="C9891">
            <v>164</v>
          </cell>
        </row>
        <row r="9892">
          <cell r="B9892">
            <v>0.11447916666669329</v>
          </cell>
          <cell r="C9892">
            <v>164</v>
          </cell>
        </row>
        <row r="9893">
          <cell r="B9893">
            <v>0.11449074074076737</v>
          </cell>
          <cell r="C9893">
            <v>164</v>
          </cell>
        </row>
        <row r="9894">
          <cell r="B9894">
            <v>0.11450231481484145</v>
          </cell>
          <cell r="C9894">
            <v>164</v>
          </cell>
        </row>
        <row r="9895">
          <cell r="B9895">
            <v>0.11451388888891553</v>
          </cell>
          <cell r="C9895">
            <v>164</v>
          </cell>
        </row>
        <row r="9896">
          <cell r="B9896">
            <v>0.11452546296298961</v>
          </cell>
          <cell r="C9896">
            <v>164</v>
          </cell>
        </row>
        <row r="9897">
          <cell r="B9897">
            <v>0.11453703703706369</v>
          </cell>
          <cell r="C9897">
            <v>164</v>
          </cell>
        </row>
        <row r="9898">
          <cell r="B9898">
            <v>0.11454861111113777</v>
          </cell>
          <cell r="C9898">
            <v>164</v>
          </cell>
        </row>
        <row r="9899">
          <cell r="B9899">
            <v>0.11456018518521185</v>
          </cell>
          <cell r="C9899">
            <v>164</v>
          </cell>
        </row>
        <row r="9900">
          <cell r="B9900">
            <v>0.11457175925928594</v>
          </cell>
          <cell r="C9900">
            <v>164</v>
          </cell>
        </row>
        <row r="9901">
          <cell r="B9901">
            <v>0.11458333333336002</v>
          </cell>
          <cell r="C9901">
            <v>165</v>
          </cell>
        </row>
        <row r="9902">
          <cell r="B9902">
            <v>0.1145949074074341</v>
          </cell>
          <cell r="C9902">
            <v>165</v>
          </cell>
        </row>
        <row r="9903">
          <cell r="B9903">
            <v>0.11460648148150818</v>
          </cell>
          <cell r="C9903">
            <v>165</v>
          </cell>
        </row>
        <row r="9904">
          <cell r="B9904">
            <v>0.11461805555558226</v>
          </cell>
          <cell r="C9904">
            <v>165</v>
          </cell>
        </row>
        <row r="9905">
          <cell r="B9905">
            <v>0.11462962962965634</v>
          </cell>
          <cell r="C9905">
            <v>165</v>
          </cell>
        </row>
        <row r="9906">
          <cell r="B9906">
            <v>0.11464120370373042</v>
          </cell>
          <cell r="C9906">
            <v>165</v>
          </cell>
        </row>
        <row r="9907">
          <cell r="B9907">
            <v>0.1146527777778045</v>
          </cell>
          <cell r="C9907">
            <v>165</v>
          </cell>
        </row>
        <row r="9908">
          <cell r="B9908">
            <v>0.11466435185187858</v>
          </cell>
          <cell r="C9908">
            <v>165</v>
          </cell>
        </row>
        <row r="9909">
          <cell r="B9909">
            <v>0.11467592592595266</v>
          </cell>
          <cell r="C9909">
            <v>165</v>
          </cell>
        </row>
        <row r="9910">
          <cell r="B9910">
            <v>0.11468750000002674</v>
          </cell>
          <cell r="C9910">
            <v>165</v>
          </cell>
        </row>
        <row r="9911">
          <cell r="B9911">
            <v>0.11469907407410082</v>
          </cell>
          <cell r="C9911">
            <v>165</v>
          </cell>
        </row>
        <row r="9912">
          <cell r="B9912">
            <v>0.1147106481481749</v>
          </cell>
          <cell r="C9912">
            <v>165</v>
          </cell>
        </row>
        <row r="9913">
          <cell r="B9913">
            <v>0.11472222222224898</v>
          </cell>
          <cell r="C9913">
            <v>165</v>
          </cell>
        </row>
        <row r="9914">
          <cell r="B9914">
            <v>0.11473379629632306</v>
          </cell>
          <cell r="C9914">
            <v>165</v>
          </cell>
        </row>
        <row r="9915">
          <cell r="B9915">
            <v>0.11474537037039714</v>
          </cell>
          <cell r="C9915">
            <v>165</v>
          </cell>
        </row>
        <row r="9916">
          <cell r="B9916">
            <v>0.11475694444447122</v>
          </cell>
          <cell r="C9916">
            <v>165</v>
          </cell>
        </row>
        <row r="9917">
          <cell r="B9917">
            <v>0.1147685185185453</v>
          </cell>
          <cell r="C9917">
            <v>165</v>
          </cell>
        </row>
        <row r="9918">
          <cell r="B9918">
            <v>0.11478009259261938</v>
          </cell>
          <cell r="C9918">
            <v>165</v>
          </cell>
        </row>
        <row r="9919">
          <cell r="B9919">
            <v>0.11479166666669346</v>
          </cell>
          <cell r="C9919">
            <v>165</v>
          </cell>
        </row>
        <row r="9920">
          <cell r="B9920">
            <v>0.11480324074076755</v>
          </cell>
          <cell r="C9920">
            <v>165</v>
          </cell>
        </row>
        <row r="9921">
          <cell r="B9921">
            <v>0.11481481481484163</v>
          </cell>
          <cell r="C9921">
            <v>165</v>
          </cell>
        </row>
        <row r="9922">
          <cell r="B9922">
            <v>0.11482638888891571</v>
          </cell>
          <cell r="C9922">
            <v>165</v>
          </cell>
        </row>
        <row r="9923">
          <cell r="B9923">
            <v>0.11483796296298979</v>
          </cell>
          <cell r="C9923">
            <v>165</v>
          </cell>
        </row>
        <row r="9924">
          <cell r="B9924">
            <v>0.11484953703706387</v>
          </cell>
          <cell r="C9924">
            <v>165</v>
          </cell>
        </row>
        <row r="9925">
          <cell r="B9925">
            <v>0.11486111111113795</v>
          </cell>
          <cell r="C9925">
            <v>165</v>
          </cell>
        </row>
        <row r="9926">
          <cell r="B9926">
            <v>0.11487268518521203</v>
          </cell>
          <cell r="C9926">
            <v>165</v>
          </cell>
        </row>
        <row r="9927">
          <cell r="B9927">
            <v>0.11488425925928611</v>
          </cell>
          <cell r="C9927">
            <v>165</v>
          </cell>
        </row>
        <row r="9928">
          <cell r="B9928">
            <v>0.11489583333336019</v>
          </cell>
          <cell r="C9928">
            <v>165</v>
          </cell>
        </row>
        <row r="9929">
          <cell r="B9929">
            <v>0.11490740740743427</v>
          </cell>
          <cell r="C9929">
            <v>165</v>
          </cell>
        </row>
        <row r="9930">
          <cell r="B9930">
            <v>0.11491898148150835</v>
          </cell>
          <cell r="C9930">
            <v>165</v>
          </cell>
        </row>
        <row r="9931">
          <cell r="B9931">
            <v>0.11493055555558243</v>
          </cell>
          <cell r="C9931">
            <v>165</v>
          </cell>
        </row>
        <row r="9932">
          <cell r="B9932">
            <v>0.11494212962965651</v>
          </cell>
          <cell r="C9932">
            <v>165</v>
          </cell>
        </row>
        <row r="9933">
          <cell r="B9933">
            <v>0.11495370370373059</v>
          </cell>
          <cell r="C9933">
            <v>165</v>
          </cell>
        </row>
        <row r="9934">
          <cell r="B9934">
            <v>0.11496527777780467</v>
          </cell>
          <cell r="C9934">
            <v>165</v>
          </cell>
        </row>
        <row r="9935">
          <cell r="B9935">
            <v>0.11497685185187875</v>
          </cell>
          <cell r="C9935">
            <v>165</v>
          </cell>
        </row>
        <row r="9936">
          <cell r="B9936">
            <v>0.11498842592595283</v>
          </cell>
          <cell r="C9936">
            <v>165</v>
          </cell>
        </row>
        <row r="9937">
          <cell r="B9937">
            <v>0.11500000000002691</v>
          </cell>
          <cell r="C9937">
            <v>165</v>
          </cell>
        </row>
        <row r="9938">
          <cell r="B9938">
            <v>0.11501157407410099</v>
          </cell>
          <cell r="C9938">
            <v>165</v>
          </cell>
        </row>
        <row r="9939">
          <cell r="B9939">
            <v>0.11502314814817508</v>
          </cell>
          <cell r="C9939">
            <v>165</v>
          </cell>
        </row>
        <row r="9940">
          <cell r="B9940">
            <v>0.11503472222224916</v>
          </cell>
          <cell r="C9940">
            <v>165</v>
          </cell>
        </row>
        <row r="9941">
          <cell r="B9941">
            <v>0.11504629629632324</v>
          </cell>
          <cell r="C9941">
            <v>165</v>
          </cell>
        </row>
        <row r="9942">
          <cell r="B9942">
            <v>0.11505787037039732</v>
          </cell>
          <cell r="C9942">
            <v>165</v>
          </cell>
        </row>
        <row r="9943">
          <cell r="B9943">
            <v>0.1150694444444714</v>
          </cell>
          <cell r="C9943">
            <v>165</v>
          </cell>
        </row>
        <row r="9944">
          <cell r="B9944">
            <v>0.11508101851854548</v>
          </cell>
          <cell r="C9944">
            <v>165</v>
          </cell>
        </row>
        <row r="9945">
          <cell r="B9945">
            <v>0.11509259259261956</v>
          </cell>
          <cell r="C9945">
            <v>165</v>
          </cell>
        </row>
        <row r="9946">
          <cell r="B9946">
            <v>0.11510416666669364</v>
          </cell>
          <cell r="C9946">
            <v>165</v>
          </cell>
        </row>
        <row r="9947">
          <cell r="B9947">
            <v>0.11511574074076772</v>
          </cell>
          <cell r="C9947">
            <v>165</v>
          </cell>
        </row>
        <row r="9948">
          <cell r="B9948">
            <v>0.1151273148148418</v>
          </cell>
          <cell r="C9948">
            <v>165</v>
          </cell>
        </row>
        <row r="9949">
          <cell r="B9949">
            <v>0.11513888888891588</v>
          </cell>
          <cell r="C9949">
            <v>165</v>
          </cell>
        </row>
        <row r="9950">
          <cell r="B9950">
            <v>0.11515046296298996</v>
          </cell>
          <cell r="C9950">
            <v>165</v>
          </cell>
        </row>
        <row r="9951">
          <cell r="B9951">
            <v>0.11516203703706404</v>
          </cell>
          <cell r="C9951">
            <v>165</v>
          </cell>
        </row>
        <row r="9952">
          <cell r="B9952">
            <v>0.11517361111113812</v>
          </cell>
          <cell r="C9952">
            <v>165</v>
          </cell>
        </row>
        <row r="9953">
          <cell r="B9953">
            <v>0.1151851851852122</v>
          </cell>
          <cell r="C9953">
            <v>165</v>
          </cell>
        </row>
        <row r="9954">
          <cell r="B9954">
            <v>0.11519675925928628</v>
          </cell>
          <cell r="C9954">
            <v>165</v>
          </cell>
        </row>
        <row r="9955">
          <cell r="B9955">
            <v>0.11520833333336036</v>
          </cell>
          <cell r="C9955">
            <v>165</v>
          </cell>
        </row>
        <row r="9956">
          <cell r="B9956">
            <v>0.11521990740743444</v>
          </cell>
          <cell r="C9956">
            <v>165</v>
          </cell>
        </row>
        <row r="9957">
          <cell r="B9957">
            <v>0.11523148148150852</v>
          </cell>
          <cell r="C9957">
            <v>165</v>
          </cell>
        </row>
        <row r="9958">
          <cell r="B9958">
            <v>0.1152430555555826</v>
          </cell>
          <cell r="C9958">
            <v>165</v>
          </cell>
        </row>
        <row r="9959">
          <cell r="B9959">
            <v>0.11525462962965669</v>
          </cell>
          <cell r="C9959">
            <v>165</v>
          </cell>
        </row>
        <row r="9960">
          <cell r="B9960">
            <v>0.11526620370373077</v>
          </cell>
          <cell r="C9960">
            <v>165</v>
          </cell>
        </row>
        <row r="9961">
          <cell r="B9961">
            <v>0.11527777777780485</v>
          </cell>
          <cell r="C9961">
            <v>166</v>
          </cell>
        </row>
        <row r="9962">
          <cell r="B9962">
            <v>0.11528935185187893</v>
          </cell>
          <cell r="C9962">
            <v>166</v>
          </cell>
        </row>
        <row r="9963">
          <cell r="B9963">
            <v>0.11530092592595301</v>
          </cell>
          <cell r="C9963">
            <v>166</v>
          </cell>
        </row>
        <row r="9964">
          <cell r="B9964">
            <v>0.11531250000002709</v>
          </cell>
          <cell r="C9964">
            <v>166</v>
          </cell>
        </row>
        <row r="9965">
          <cell r="B9965">
            <v>0.11532407407410117</v>
          </cell>
          <cell r="C9965">
            <v>166</v>
          </cell>
        </row>
        <row r="9966">
          <cell r="B9966">
            <v>0.11533564814817525</v>
          </cell>
          <cell r="C9966">
            <v>166</v>
          </cell>
        </row>
        <row r="9967">
          <cell r="B9967">
            <v>0.11534722222224933</v>
          </cell>
          <cell r="C9967">
            <v>166</v>
          </cell>
        </row>
        <row r="9968">
          <cell r="B9968">
            <v>0.11535879629632341</v>
          </cell>
          <cell r="C9968">
            <v>166</v>
          </cell>
        </row>
        <row r="9969">
          <cell r="B9969">
            <v>0.11537037037039749</v>
          </cell>
          <cell r="C9969">
            <v>166</v>
          </cell>
        </row>
        <row r="9970">
          <cell r="B9970">
            <v>0.11538194444447157</v>
          </cell>
          <cell r="C9970">
            <v>166</v>
          </cell>
        </row>
        <row r="9971">
          <cell r="B9971">
            <v>0.11539351851854565</v>
          </cell>
          <cell r="C9971">
            <v>166</v>
          </cell>
        </row>
        <row r="9972">
          <cell r="B9972">
            <v>0.11540509259261973</v>
          </cell>
          <cell r="C9972">
            <v>166</v>
          </cell>
        </row>
        <row r="9973">
          <cell r="B9973">
            <v>0.11541666666669381</v>
          </cell>
          <cell r="C9973">
            <v>166</v>
          </cell>
        </row>
        <row r="9974">
          <cell r="B9974">
            <v>0.11542824074076789</v>
          </cell>
          <cell r="C9974">
            <v>166</v>
          </cell>
        </row>
        <row r="9975">
          <cell r="B9975">
            <v>0.11543981481484197</v>
          </cell>
          <cell r="C9975">
            <v>166</v>
          </cell>
        </row>
        <row r="9976">
          <cell r="B9976">
            <v>0.11545138888891605</v>
          </cell>
          <cell r="C9976">
            <v>166</v>
          </cell>
        </row>
        <row r="9977">
          <cell r="B9977">
            <v>0.11546296296299013</v>
          </cell>
          <cell r="C9977">
            <v>166</v>
          </cell>
        </row>
        <row r="9978">
          <cell r="B9978">
            <v>0.11547453703706421</v>
          </cell>
          <cell r="C9978">
            <v>166</v>
          </cell>
        </row>
        <row r="9979">
          <cell r="B9979">
            <v>0.1154861111111383</v>
          </cell>
          <cell r="C9979">
            <v>166</v>
          </cell>
        </row>
        <row r="9980">
          <cell r="B9980">
            <v>0.11549768518521238</v>
          </cell>
          <cell r="C9980">
            <v>166</v>
          </cell>
        </row>
        <row r="9981">
          <cell r="B9981">
            <v>0.11550925925928646</v>
          </cell>
          <cell r="C9981">
            <v>166</v>
          </cell>
        </row>
        <row r="9982">
          <cell r="B9982">
            <v>0.11552083333336054</v>
          </cell>
          <cell r="C9982">
            <v>166</v>
          </cell>
        </row>
        <row r="9983">
          <cell r="B9983">
            <v>0.11553240740743462</v>
          </cell>
          <cell r="C9983">
            <v>166</v>
          </cell>
        </row>
        <row r="9984">
          <cell r="B9984">
            <v>0.1155439814815087</v>
          </cell>
          <cell r="C9984">
            <v>166</v>
          </cell>
        </row>
        <row r="9985">
          <cell r="B9985">
            <v>0.11555555555558278</v>
          </cell>
          <cell r="C9985">
            <v>166</v>
          </cell>
        </row>
        <row r="9986">
          <cell r="B9986">
            <v>0.11556712962965686</v>
          </cell>
          <cell r="C9986">
            <v>166</v>
          </cell>
        </row>
        <row r="9987">
          <cell r="B9987">
            <v>0.11557870370373094</v>
          </cell>
          <cell r="C9987">
            <v>166</v>
          </cell>
        </row>
        <row r="9988">
          <cell r="B9988">
            <v>0.11559027777780502</v>
          </cell>
          <cell r="C9988">
            <v>166</v>
          </cell>
        </row>
        <row r="9989">
          <cell r="B9989">
            <v>0.1156018518518791</v>
          </cell>
          <cell r="C9989">
            <v>166</v>
          </cell>
        </row>
        <row r="9990">
          <cell r="B9990">
            <v>0.11561342592595318</v>
          </cell>
          <cell r="C9990">
            <v>166</v>
          </cell>
        </row>
        <row r="9991">
          <cell r="B9991">
            <v>0.11562500000002726</v>
          </cell>
          <cell r="C9991">
            <v>166</v>
          </cell>
        </row>
        <row r="9992">
          <cell r="B9992">
            <v>0.11563657407410134</v>
          </cell>
          <cell r="C9992">
            <v>166</v>
          </cell>
        </row>
        <row r="9993">
          <cell r="B9993">
            <v>0.11564814814817542</v>
          </cell>
          <cell r="C9993">
            <v>166</v>
          </cell>
        </row>
        <row r="9994">
          <cell r="B9994">
            <v>0.1156597222222495</v>
          </cell>
          <cell r="C9994">
            <v>166</v>
          </cell>
        </row>
        <row r="9995">
          <cell r="B9995">
            <v>0.11567129629632358</v>
          </cell>
          <cell r="C9995">
            <v>166</v>
          </cell>
        </row>
        <row r="9996">
          <cell r="B9996">
            <v>0.11568287037039766</v>
          </cell>
          <cell r="C9996">
            <v>166</v>
          </cell>
        </row>
        <row r="9997">
          <cell r="B9997">
            <v>0.11569444444447174</v>
          </cell>
          <cell r="C9997">
            <v>166</v>
          </cell>
        </row>
        <row r="9998">
          <cell r="B9998">
            <v>0.11570601851854583</v>
          </cell>
          <cell r="C9998">
            <v>166</v>
          </cell>
        </row>
        <row r="9999">
          <cell r="B9999">
            <v>0.11571759259261991</v>
          </cell>
          <cell r="C9999">
            <v>166</v>
          </cell>
        </row>
        <row r="10000">
          <cell r="B10000">
            <v>0.11572916666669399</v>
          </cell>
          <cell r="C10000">
            <v>166</v>
          </cell>
        </row>
        <row r="10001">
          <cell r="B10001">
            <v>0.11574074074076807</v>
          </cell>
          <cell r="C10001">
            <v>166</v>
          </cell>
        </row>
        <row r="10002">
          <cell r="B10002">
            <v>0.11575231481484215</v>
          </cell>
          <cell r="C10002">
            <v>166</v>
          </cell>
        </row>
        <row r="10003">
          <cell r="B10003">
            <v>0.11576388888891623</v>
          </cell>
          <cell r="C10003">
            <v>166</v>
          </cell>
        </row>
        <row r="10004">
          <cell r="B10004">
            <v>0.11577546296299031</v>
          </cell>
          <cell r="C10004">
            <v>166</v>
          </cell>
        </row>
        <row r="10005">
          <cell r="B10005">
            <v>0.11578703703706439</v>
          </cell>
          <cell r="C10005">
            <v>166</v>
          </cell>
        </row>
        <row r="10006">
          <cell r="B10006">
            <v>0.11579861111113847</v>
          </cell>
          <cell r="C10006">
            <v>166</v>
          </cell>
        </row>
        <row r="10007">
          <cell r="B10007">
            <v>0.11581018518521255</v>
          </cell>
          <cell r="C10007">
            <v>166</v>
          </cell>
        </row>
        <row r="10008">
          <cell r="B10008">
            <v>0.11582175925928663</v>
          </cell>
          <cell r="C10008">
            <v>166</v>
          </cell>
        </row>
        <row r="10009">
          <cell r="B10009">
            <v>0.11583333333336071</v>
          </cell>
          <cell r="C10009">
            <v>166</v>
          </cell>
        </row>
        <row r="10010">
          <cell r="B10010">
            <v>0.11584490740743479</v>
          </cell>
          <cell r="C10010">
            <v>166</v>
          </cell>
        </row>
        <row r="10011">
          <cell r="B10011">
            <v>0.11585648148150887</v>
          </cell>
          <cell r="C10011">
            <v>166</v>
          </cell>
        </row>
        <row r="10012">
          <cell r="B10012">
            <v>0.11586805555558295</v>
          </cell>
          <cell r="C10012">
            <v>166</v>
          </cell>
        </row>
        <row r="10013">
          <cell r="B10013">
            <v>0.11587962962965703</v>
          </cell>
          <cell r="C10013">
            <v>166</v>
          </cell>
        </row>
        <row r="10014">
          <cell r="B10014">
            <v>0.11589120370373111</v>
          </cell>
          <cell r="C10014">
            <v>166</v>
          </cell>
        </row>
        <row r="10015">
          <cell r="B10015">
            <v>0.11590277777780519</v>
          </cell>
          <cell r="C10015">
            <v>166</v>
          </cell>
        </row>
        <row r="10016">
          <cell r="B10016">
            <v>0.11591435185187927</v>
          </cell>
          <cell r="C10016">
            <v>166</v>
          </cell>
        </row>
        <row r="10017">
          <cell r="B10017">
            <v>0.11592592592595335</v>
          </cell>
          <cell r="C10017">
            <v>166</v>
          </cell>
        </row>
        <row r="10018">
          <cell r="B10018">
            <v>0.11593750000002744</v>
          </cell>
          <cell r="C10018">
            <v>166</v>
          </cell>
        </row>
        <row r="10019">
          <cell r="B10019">
            <v>0.11594907407410152</v>
          </cell>
          <cell r="C10019">
            <v>166</v>
          </cell>
        </row>
        <row r="10020">
          <cell r="B10020">
            <v>0.1159606481481756</v>
          </cell>
          <cell r="C10020">
            <v>166</v>
          </cell>
        </row>
        <row r="10021">
          <cell r="B10021">
            <v>0.11597222222224968</v>
          </cell>
          <cell r="C10021">
            <v>167</v>
          </cell>
        </row>
        <row r="10022">
          <cell r="B10022">
            <v>0.11598379629632376</v>
          </cell>
          <cell r="C10022">
            <v>167</v>
          </cell>
        </row>
        <row r="10023">
          <cell r="B10023">
            <v>0.11599537037039784</v>
          </cell>
          <cell r="C10023">
            <v>167</v>
          </cell>
        </row>
        <row r="10024">
          <cell r="B10024">
            <v>0.11600694444447192</v>
          </cell>
          <cell r="C10024">
            <v>167</v>
          </cell>
        </row>
        <row r="10025">
          <cell r="B10025">
            <v>0.116018518518546</v>
          </cell>
          <cell r="C10025">
            <v>167</v>
          </cell>
        </row>
        <row r="10026">
          <cell r="B10026">
            <v>0.11603009259262008</v>
          </cell>
          <cell r="C10026">
            <v>167</v>
          </cell>
        </row>
        <row r="10027">
          <cell r="B10027">
            <v>0.11604166666669416</v>
          </cell>
          <cell r="C10027">
            <v>167</v>
          </cell>
        </row>
        <row r="10028">
          <cell r="B10028">
            <v>0.11605324074076824</v>
          </cell>
          <cell r="C10028">
            <v>167</v>
          </cell>
        </row>
        <row r="10029">
          <cell r="B10029">
            <v>0.11606481481484232</v>
          </cell>
          <cell r="C10029">
            <v>167</v>
          </cell>
        </row>
        <row r="10030">
          <cell r="B10030">
            <v>0.1160763888889164</v>
          </cell>
          <cell r="C10030">
            <v>167</v>
          </cell>
        </row>
        <row r="10031">
          <cell r="B10031">
            <v>0.11608796296299048</v>
          </cell>
          <cell r="C10031">
            <v>167</v>
          </cell>
        </row>
        <row r="10032">
          <cell r="B10032">
            <v>0.11609953703706456</v>
          </cell>
          <cell r="C10032">
            <v>167</v>
          </cell>
        </row>
        <row r="10033">
          <cell r="B10033">
            <v>0.11611111111113864</v>
          </cell>
          <cell r="C10033">
            <v>167</v>
          </cell>
        </row>
        <row r="10034">
          <cell r="B10034">
            <v>0.11612268518521272</v>
          </cell>
          <cell r="C10034">
            <v>167</v>
          </cell>
        </row>
        <row r="10035">
          <cell r="B10035">
            <v>0.1161342592592868</v>
          </cell>
          <cell r="C10035">
            <v>167</v>
          </cell>
        </row>
        <row r="10036">
          <cell r="B10036">
            <v>0.11614583333336088</v>
          </cell>
          <cell r="C10036">
            <v>167</v>
          </cell>
        </row>
        <row r="10037">
          <cell r="B10037">
            <v>0.11615740740743496</v>
          </cell>
          <cell r="C10037">
            <v>167</v>
          </cell>
        </row>
        <row r="10038">
          <cell r="B10038">
            <v>0.11616898148150905</v>
          </cell>
          <cell r="C10038">
            <v>167</v>
          </cell>
        </row>
        <row r="10039">
          <cell r="B10039">
            <v>0.11618055555558313</v>
          </cell>
          <cell r="C10039">
            <v>167</v>
          </cell>
        </row>
        <row r="10040">
          <cell r="B10040">
            <v>0.11619212962965721</v>
          </cell>
          <cell r="C10040">
            <v>167</v>
          </cell>
        </row>
        <row r="10041">
          <cell r="B10041">
            <v>0.11620370370373129</v>
          </cell>
          <cell r="C10041">
            <v>167</v>
          </cell>
        </row>
        <row r="10042">
          <cell r="B10042">
            <v>0.11621527777780537</v>
          </cell>
          <cell r="C10042">
            <v>167</v>
          </cell>
        </row>
        <row r="10043">
          <cell r="B10043">
            <v>0.11622685185187945</v>
          </cell>
          <cell r="C10043">
            <v>167</v>
          </cell>
        </row>
        <row r="10044">
          <cell r="B10044">
            <v>0.11623842592595353</v>
          </cell>
          <cell r="C10044">
            <v>167</v>
          </cell>
        </row>
        <row r="10045">
          <cell r="B10045">
            <v>0.11625000000002761</v>
          </cell>
          <cell r="C10045">
            <v>167</v>
          </cell>
        </row>
        <row r="10046">
          <cell r="B10046">
            <v>0.11626157407410169</v>
          </cell>
          <cell r="C10046">
            <v>167</v>
          </cell>
        </row>
        <row r="10047">
          <cell r="B10047">
            <v>0.11627314814817577</v>
          </cell>
          <cell r="C10047">
            <v>167</v>
          </cell>
        </row>
        <row r="10048">
          <cell r="B10048">
            <v>0.11628472222224985</v>
          </cell>
          <cell r="C10048">
            <v>167</v>
          </cell>
        </row>
        <row r="10049">
          <cell r="B10049">
            <v>0.11629629629632393</v>
          </cell>
          <cell r="C10049">
            <v>167</v>
          </cell>
        </row>
        <row r="10050">
          <cell r="B10050">
            <v>0.11630787037039801</v>
          </cell>
          <cell r="C10050">
            <v>167</v>
          </cell>
        </row>
        <row r="10051">
          <cell r="B10051">
            <v>0.11631944444447209</v>
          </cell>
          <cell r="C10051">
            <v>167</v>
          </cell>
        </row>
        <row r="10052">
          <cell r="B10052">
            <v>0.11633101851854617</v>
          </cell>
          <cell r="C10052">
            <v>167</v>
          </cell>
        </row>
        <row r="10053">
          <cell r="B10053">
            <v>0.11634259259262025</v>
          </cell>
          <cell r="C10053">
            <v>167</v>
          </cell>
        </row>
        <row r="10054">
          <cell r="B10054">
            <v>0.11635416666669433</v>
          </cell>
          <cell r="C10054">
            <v>167</v>
          </cell>
        </row>
        <row r="10055">
          <cell r="B10055">
            <v>0.11636574074076841</v>
          </cell>
          <cell r="C10055">
            <v>167</v>
          </cell>
        </row>
        <row r="10056">
          <cell r="B10056">
            <v>0.11637731481484249</v>
          </cell>
          <cell r="C10056">
            <v>167</v>
          </cell>
        </row>
        <row r="10057">
          <cell r="B10057">
            <v>0.11638888888891658</v>
          </cell>
          <cell r="C10057">
            <v>167</v>
          </cell>
        </row>
        <row r="10058">
          <cell r="B10058">
            <v>0.11640046296299066</v>
          </cell>
          <cell r="C10058">
            <v>167</v>
          </cell>
        </row>
        <row r="10059">
          <cell r="B10059">
            <v>0.11641203703706474</v>
          </cell>
          <cell r="C10059">
            <v>167</v>
          </cell>
        </row>
        <row r="10060">
          <cell r="B10060">
            <v>0.11642361111113882</v>
          </cell>
          <cell r="C10060">
            <v>167</v>
          </cell>
        </row>
        <row r="10061">
          <cell r="B10061">
            <v>0.1164351851852129</v>
          </cell>
          <cell r="C10061">
            <v>167</v>
          </cell>
        </row>
        <row r="10062">
          <cell r="B10062">
            <v>0.11644675925928698</v>
          </cell>
          <cell r="C10062">
            <v>167</v>
          </cell>
        </row>
        <row r="10063">
          <cell r="B10063">
            <v>0.11645833333336106</v>
          </cell>
          <cell r="C10063">
            <v>167</v>
          </cell>
        </row>
        <row r="10064">
          <cell r="B10064">
            <v>0.11646990740743514</v>
          </cell>
          <cell r="C10064">
            <v>167</v>
          </cell>
        </row>
        <row r="10065">
          <cell r="B10065">
            <v>0.11648148148150922</v>
          </cell>
          <cell r="C10065">
            <v>167</v>
          </cell>
        </row>
        <row r="10066">
          <cell r="B10066">
            <v>0.1164930555555833</v>
          </cell>
          <cell r="C10066">
            <v>167</v>
          </cell>
        </row>
        <row r="10067">
          <cell r="B10067">
            <v>0.11650462962965738</v>
          </cell>
          <cell r="C10067">
            <v>167</v>
          </cell>
        </row>
        <row r="10068">
          <cell r="B10068">
            <v>0.11651620370373146</v>
          </cell>
          <cell r="C10068">
            <v>167</v>
          </cell>
        </row>
        <row r="10069">
          <cell r="B10069">
            <v>0.11652777777780554</v>
          </cell>
          <cell r="C10069">
            <v>167</v>
          </cell>
        </row>
        <row r="10070">
          <cell r="B10070">
            <v>0.11653935185187962</v>
          </cell>
          <cell r="C10070">
            <v>167</v>
          </cell>
        </row>
        <row r="10071">
          <cell r="B10071">
            <v>0.1165509259259537</v>
          </cell>
          <cell r="C10071">
            <v>167</v>
          </cell>
        </row>
        <row r="10072">
          <cell r="B10072">
            <v>0.11656250000002778</v>
          </cell>
          <cell r="C10072">
            <v>167</v>
          </cell>
        </row>
        <row r="10073">
          <cell r="B10073">
            <v>0.11657407407410186</v>
          </cell>
          <cell r="C10073">
            <v>167</v>
          </cell>
        </row>
        <row r="10074">
          <cell r="B10074">
            <v>0.11658564814817594</v>
          </cell>
          <cell r="C10074">
            <v>167</v>
          </cell>
        </row>
        <row r="10075">
          <cell r="B10075">
            <v>0.11659722222225002</v>
          </cell>
          <cell r="C10075">
            <v>167</v>
          </cell>
        </row>
        <row r="10076">
          <cell r="B10076">
            <v>0.1166087962963241</v>
          </cell>
          <cell r="C10076">
            <v>167</v>
          </cell>
        </row>
        <row r="10077">
          <cell r="B10077">
            <v>0.11662037037039819</v>
          </cell>
          <cell r="C10077">
            <v>167</v>
          </cell>
        </row>
        <row r="10078">
          <cell r="B10078">
            <v>0.11663194444447227</v>
          </cell>
          <cell r="C10078">
            <v>167</v>
          </cell>
        </row>
        <row r="10079">
          <cell r="B10079">
            <v>0.11664351851854635</v>
          </cell>
          <cell r="C10079">
            <v>167</v>
          </cell>
        </row>
        <row r="10080">
          <cell r="B10080">
            <v>0.11665509259262043</v>
          </cell>
          <cell r="C10080">
            <v>167</v>
          </cell>
        </row>
        <row r="10081">
          <cell r="B10081">
            <v>0.11666666666669451</v>
          </cell>
          <cell r="C10081">
            <v>168</v>
          </cell>
        </row>
        <row r="10082">
          <cell r="B10082">
            <v>0.11667824074076859</v>
          </cell>
          <cell r="C10082">
            <v>168</v>
          </cell>
        </row>
        <row r="10083">
          <cell r="B10083">
            <v>0.11668981481484267</v>
          </cell>
          <cell r="C10083">
            <v>168</v>
          </cell>
        </row>
        <row r="10084">
          <cell r="B10084">
            <v>0.11670138888891675</v>
          </cell>
          <cell r="C10084">
            <v>168</v>
          </cell>
        </row>
        <row r="10085">
          <cell r="B10085">
            <v>0.11671296296299083</v>
          </cell>
          <cell r="C10085">
            <v>168</v>
          </cell>
        </row>
        <row r="10086">
          <cell r="B10086">
            <v>0.11672453703706491</v>
          </cell>
          <cell r="C10086">
            <v>168</v>
          </cell>
        </row>
        <row r="10087">
          <cell r="B10087">
            <v>0.11673611111113899</v>
          </cell>
          <cell r="C10087">
            <v>168</v>
          </cell>
        </row>
        <row r="10088">
          <cell r="B10088">
            <v>0.11674768518521307</v>
          </cell>
          <cell r="C10088">
            <v>168</v>
          </cell>
        </row>
        <row r="10089">
          <cell r="B10089">
            <v>0.11675925925928715</v>
          </cell>
          <cell r="C10089">
            <v>168</v>
          </cell>
        </row>
        <row r="10090">
          <cell r="B10090">
            <v>0.11677083333336123</v>
          </cell>
          <cell r="C10090">
            <v>168</v>
          </cell>
        </row>
        <row r="10091">
          <cell r="B10091">
            <v>0.11678240740743531</v>
          </cell>
          <cell r="C10091">
            <v>168</v>
          </cell>
        </row>
        <row r="10092">
          <cell r="B10092">
            <v>0.11679398148150939</v>
          </cell>
          <cell r="C10092">
            <v>168</v>
          </cell>
        </row>
        <row r="10093">
          <cell r="B10093">
            <v>0.11680555555558347</v>
          </cell>
          <cell r="C10093">
            <v>168</v>
          </cell>
        </row>
        <row r="10094">
          <cell r="B10094">
            <v>0.11681712962965755</v>
          </cell>
          <cell r="C10094">
            <v>168</v>
          </cell>
        </row>
        <row r="10095">
          <cell r="B10095">
            <v>0.11682870370373163</v>
          </cell>
          <cell r="C10095">
            <v>168</v>
          </cell>
        </row>
        <row r="10096">
          <cell r="B10096">
            <v>0.11684027777780571</v>
          </cell>
          <cell r="C10096">
            <v>168</v>
          </cell>
        </row>
        <row r="10097">
          <cell r="B10097">
            <v>0.1168518518518798</v>
          </cell>
          <cell r="C10097">
            <v>168</v>
          </cell>
        </row>
        <row r="10098">
          <cell r="B10098">
            <v>0.11686342592595388</v>
          </cell>
          <cell r="C10098">
            <v>168</v>
          </cell>
        </row>
        <row r="10099">
          <cell r="B10099">
            <v>0.11687500000002796</v>
          </cell>
          <cell r="C10099">
            <v>168</v>
          </cell>
        </row>
        <row r="10100">
          <cell r="B10100">
            <v>0.11688657407410204</v>
          </cell>
          <cell r="C10100">
            <v>168</v>
          </cell>
        </row>
        <row r="10101">
          <cell r="B10101">
            <v>0.11689814814817612</v>
          </cell>
          <cell r="C10101">
            <v>168</v>
          </cell>
        </row>
        <row r="10102">
          <cell r="B10102">
            <v>0.1169097222222502</v>
          </cell>
          <cell r="C10102">
            <v>168</v>
          </cell>
        </row>
        <row r="10103">
          <cell r="B10103">
            <v>0.11692129629632428</v>
          </cell>
          <cell r="C10103">
            <v>168</v>
          </cell>
        </row>
        <row r="10104">
          <cell r="B10104">
            <v>0.11693287037039836</v>
          </cell>
          <cell r="C10104">
            <v>168</v>
          </cell>
        </row>
        <row r="10105">
          <cell r="B10105">
            <v>0.11694444444447244</v>
          </cell>
          <cell r="C10105">
            <v>168</v>
          </cell>
        </row>
        <row r="10106">
          <cell r="B10106">
            <v>0.11695601851854652</v>
          </cell>
          <cell r="C10106">
            <v>168</v>
          </cell>
        </row>
        <row r="10107">
          <cell r="B10107">
            <v>0.1169675925926206</v>
          </cell>
          <cell r="C10107">
            <v>168</v>
          </cell>
        </row>
        <row r="10108">
          <cell r="B10108">
            <v>0.11697916666669468</v>
          </cell>
          <cell r="C10108">
            <v>168</v>
          </cell>
        </row>
        <row r="10109">
          <cell r="B10109">
            <v>0.11699074074076876</v>
          </cell>
          <cell r="C10109">
            <v>168</v>
          </cell>
        </row>
        <row r="10110">
          <cell r="B10110">
            <v>0.11700231481484284</v>
          </cell>
          <cell r="C10110">
            <v>168</v>
          </cell>
        </row>
        <row r="10111">
          <cell r="B10111">
            <v>0.11701388888891692</v>
          </cell>
          <cell r="C10111">
            <v>168</v>
          </cell>
        </row>
        <row r="10112">
          <cell r="B10112">
            <v>0.117025462962991</v>
          </cell>
          <cell r="C10112">
            <v>168</v>
          </cell>
        </row>
        <row r="10113">
          <cell r="B10113">
            <v>0.11703703703706508</v>
          </cell>
          <cell r="C10113">
            <v>168</v>
          </cell>
        </row>
        <row r="10114">
          <cell r="B10114">
            <v>0.11704861111113916</v>
          </cell>
          <cell r="C10114">
            <v>168</v>
          </cell>
        </row>
        <row r="10115">
          <cell r="B10115">
            <v>0.11706018518521324</v>
          </cell>
          <cell r="C10115">
            <v>168</v>
          </cell>
        </row>
        <row r="10116">
          <cell r="B10116">
            <v>0.11707175925928733</v>
          </cell>
          <cell r="C10116">
            <v>168</v>
          </cell>
        </row>
        <row r="10117">
          <cell r="B10117">
            <v>0.11708333333336141</v>
          </cell>
          <cell r="C10117">
            <v>168</v>
          </cell>
        </row>
        <row r="10118">
          <cell r="B10118">
            <v>0.11709490740743549</v>
          </cell>
          <cell r="C10118">
            <v>168</v>
          </cell>
        </row>
        <row r="10119">
          <cell r="B10119">
            <v>0.11710648148150957</v>
          </cell>
          <cell r="C10119">
            <v>168</v>
          </cell>
        </row>
        <row r="10120">
          <cell r="B10120">
            <v>0.11711805555558365</v>
          </cell>
          <cell r="C10120">
            <v>168</v>
          </cell>
        </row>
        <row r="10121">
          <cell r="B10121">
            <v>0.11712962962965773</v>
          </cell>
          <cell r="C10121">
            <v>168</v>
          </cell>
        </row>
        <row r="10122">
          <cell r="B10122">
            <v>0.11714120370373181</v>
          </cell>
          <cell r="C10122">
            <v>168</v>
          </cell>
        </row>
        <row r="10123">
          <cell r="B10123">
            <v>0.11715277777780589</v>
          </cell>
          <cell r="C10123">
            <v>168</v>
          </cell>
        </row>
        <row r="10124">
          <cell r="B10124">
            <v>0.11716435185187997</v>
          </cell>
          <cell r="C10124">
            <v>168</v>
          </cell>
        </row>
        <row r="10125">
          <cell r="B10125">
            <v>0.11717592592595405</v>
          </cell>
          <cell r="C10125">
            <v>168</v>
          </cell>
        </row>
        <row r="10126">
          <cell r="B10126">
            <v>0.11718750000002813</v>
          </cell>
          <cell r="C10126">
            <v>168</v>
          </cell>
        </row>
        <row r="10127">
          <cell r="B10127">
            <v>0.11719907407410221</v>
          </cell>
          <cell r="C10127">
            <v>168</v>
          </cell>
        </row>
        <row r="10128">
          <cell r="B10128">
            <v>0.11721064814817629</v>
          </cell>
          <cell r="C10128">
            <v>168</v>
          </cell>
        </row>
        <row r="10129">
          <cell r="B10129">
            <v>0.11722222222225037</v>
          </cell>
          <cell r="C10129">
            <v>168</v>
          </cell>
        </row>
        <row r="10130">
          <cell r="B10130">
            <v>0.11723379629632445</v>
          </cell>
          <cell r="C10130">
            <v>168</v>
          </cell>
        </row>
        <row r="10131">
          <cell r="B10131">
            <v>0.11724537037039853</v>
          </cell>
          <cell r="C10131">
            <v>168</v>
          </cell>
        </row>
        <row r="10132">
          <cell r="B10132">
            <v>0.11725694444447261</v>
          </cell>
          <cell r="C10132">
            <v>168</v>
          </cell>
        </row>
        <row r="10133">
          <cell r="B10133">
            <v>0.11726851851854669</v>
          </cell>
          <cell r="C10133">
            <v>168</v>
          </cell>
        </row>
        <row r="10134">
          <cell r="B10134">
            <v>0.11728009259262077</v>
          </cell>
          <cell r="C10134">
            <v>168</v>
          </cell>
        </row>
        <row r="10135">
          <cell r="B10135">
            <v>0.11729166666669485</v>
          </cell>
          <cell r="C10135">
            <v>168</v>
          </cell>
        </row>
        <row r="10136">
          <cell r="B10136">
            <v>0.11730324074076894</v>
          </cell>
          <cell r="C10136">
            <v>168</v>
          </cell>
        </row>
        <row r="10137">
          <cell r="B10137">
            <v>0.11731481481484302</v>
          </cell>
          <cell r="C10137">
            <v>168</v>
          </cell>
        </row>
        <row r="10138">
          <cell r="B10138">
            <v>0.1173263888889171</v>
          </cell>
          <cell r="C10138">
            <v>168</v>
          </cell>
        </row>
        <row r="10139">
          <cell r="B10139">
            <v>0.11733796296299118</v>
          </cell>
          <cell r="C10139">
            <v>168</v>
          </cell>
        </row>
        <row r="10140">
          <cell r="B10140">
            <v>0.11734953703706526</v>
          </cell>
          <cell r="C10140">
            <v>168</v>
          </cell>
        </row>
        <row r="10141">
          <cell r="B10141">
            <v>0.11736111111113934</v>
          </cell>
          <cell r="C10141">
            <v>169</v>
          </cell>
        </row>
        <row r="10142">
          <cell r="B10142">
            <v>0.11737268518521342</v>
          </cell>
          <cell r="C10142">
            <v>169</v>
          </cell>
        </row>
        <row r="10143">
          <cell r="B10143">
            <v>0.1173842592592875</v>
          </cell>
          <cell r="C10143">
            <v>169</v>
          </cell>
        </row>
        <row r="10144">
          <cell r="B10144">
            <v>0.11739583333336158</v>
          </cell>
          <cell r="C10144">
            <v>169</v>
          </cell>
        </row>
        <row r="10145">
          <cell r="B10145">
            <v>0.11740740740743566</v>
          </cell>
          <cell r="C10145">
            <v>169</v>
          </cell>
        </row>
        <row r="10146">
          <cell r="B10146">
            <v>0.11741898148150974</v>
          </cell>
          <cell r="C10146">
            <v>169</v>
          </cell>
        </row>
        <row r="10147">
          <cell r="B10147">
            <v>0.11743055555558382</v>
          </cell>
          <cell r="C10147">
            <v>169</v>
          </cell>
        </row>
        <row r="10148">
          <cell r="B10148">
            <v>0.1174421296296579</v>
          </cell>
          <cell r="C10148">
            <v>169</v>
          </cell>
        </row>
        <row r="10149">
          <cell r="B10149">
            <v>0.11745370370373198</v>
          </cell>
          <cell r="C10149">
            <v>169</v>
          </cell>
        </row>
        <row r="10150">
          <cell r="B10150">
            <v>0.11746527777780606</v>
          </cell>
          <cell r="C10150">
            <v>169</v>
          </cell>
        </row>
        <row r="10151">
          <cell r="B10151">
            <v>0.11747685185188014</v>
          </cell>
          <cell r="C10151">
            <v>169</v>
          </cell>
        </row>
        <row r="10152">
          <cell r="B10152">
            <v>0.11748842592595422</v>
          </cell>
          <cell r="C10152">
            <v>169</v>
          </cell>
        </row>
        <row r="10153">
          <cell r="B10153">
            <v>0.1175000000000283</v>
          </cell>
          <cell r="C10153">
            <v>169</v>
          </cell>
        </row>
        <row r="10154">
          <cell r="B10154">
            <v>0.11751157407410238</v>
          </cell>
          <cell r="C10154">
            <v>169</v>
          </cell>
        </row>
        <row r="10155">
          <cell r="B10155">
            <v>0.11752314814817647</v>
          </cell>
          <cell r="C10155">
            <v>169</v>
          </cell>
        </row>
        <row r="10156">
          <cell r="B10156">
            <v>0.11753472222225055</v>
          </cell>
          <cell r="C10156">
            <v>169</v>
          </cell>
        </row>
        <row r="10157">
          <cell r="B10157">
            <v>0.11754629629632463</v>
          </cell>
          <cell r="C10157">
            <v>169</v>
          </cell>
        </row>
        <row r="10158">
          <cell r="B10158">
            <v>0.11755787037039871</v>
          </cell>
          <cell r="C10158">
            <v>169</v>
          </cell>
        </row>
        <row r="10159">
          <cell r="B10159">
            <v>0.11756944444447279</v>
          </cell>
          <cell r="C10159">
            <v>169</v>
          </cell>
        </row>
        <row r="10160">
          <cell r="B10160">
            <v>0.11758101851854687</v>
          </cell>
          <cell r="C10160">
            <v>169</v>
          </cell>
        </row>
        <row r="10161">
          <cell r="B10161">
            <v>0.11759259259262095</v>
          </cell>
          <cell r="C10161">
            <v>169</v>
          </cell>
        </row>
        <row r="10162">
          <cell r="B10162">
            <v>0.11760416666669503</v>
          </cell>
          <cell r="C10162">
            <v>169</v>
          </cell>
        </row>
        <row r="10163">
          <cell r="B10163">
            <v>0.11761574074076911</v>
          </cell>
          <cell r="C10163">
            <v>169</v>
          </cell>
        </row>
        <row r="10164">
          <cell r="B10164">
            <v>0.11762731481484319</v>
          </cell>
          <cell r="C10164">
            <v>169</v>
          </cell>
        </row>
        <row r="10165">
          <cell r="B10165">
            <v>0.11763888888891727</v>
          </cell>
          <cell r="C10165">
            <v>169</v>
          </cell>
        </row>
        <row r="10166">
          <cell r="B10166">
            <v>0.11765046296299135</v>
          </cell>
          <cell r="C10166">
            <v>169</v>
          </cell>
        </row>
        <row r="10167">
          <cell r="B10167">
            <v>0.11766203703706543</v>
          </cell>
          <cell r="C10167">
            <v>169</v>
          </cell>
        </row>
        <row r="10168">
          <cell r="B10168">
            <v>0.11767361111113951</v>
          </cell>
          <cell r="C10168">
            <v>169</v>
          </cell>
        </row>
        <row r="10169">
          <cell r="B10169">
            <v>0.11768518518521359</v>
          </cell>
          <cell r="C10169">
            <v>169</v>
          </cell>
        </row>
        <row r="10170">
          <cell r="B10170">
            <v>0.11769675925928767</v>
          </cell>
          <cell r="C10170">
            <v>169</v>
          </cell>
        </row>
        <row r="10171">
          <cell r="B10171">
            <v>0.11770833333336175</v>
          </cell>
          <cell r="C10171">
            <v>169</v>
          </cell>
        </row>
        <row r="10172">
          <cell r="B10172">
            <v>0.11771990740743583</v>
          </cell>
          <cell r="C10172">
            <v>169</v>
          </cell>
        </row>
        <row r="10173">
          <cell r="B10173">
            <v>0.11773148148150991</v>
          </cell>
          <cell r="C10173">
            <v>169</v>
          </cell>
        </row>
        <row r="10174">
          <cell r="B10174">
            <v>0.11774305555558399</v>
          </cell>
          <cell r="C10174">
            <v>169</v>
          </cell>
        </row>
        <row r="10175">
          <cell r="B10175">
            <v>0.11775462962965808</v>
          </cell>
          <cell r="C10175">
            <v>169</v>
          </cell>
        </row>
        <row r="10176">
          <cell r="B10176">
            <v>0.11776620370373216</v>
          </cell>
          <cell r="C10176">
            <v>169</v>
          </cell>
        </row>
        <row r="10177">
          <cell r="B10177">
            <v>0.11777777777780624</v>
          </cell>
          <cell r="C10177">
            <v>169</v>
          </cell>
        </row>
        <row r="10178">
          <cell r="B10178">
            <v>0.11778935185188032</v>
          </cell>
          <cell r="C10178">
            <v>169</v>
          </cell>
        </row>
        <row r="10179">
          <cell r="B10179">
            <v>0.1178009259259544</v>
          </cell>
          <cell r="C10179">
            <v>169</v>
          </cell>
        </row>
        <row r="10180">
          <cell r="B10180">
            <v>0.11781250000002848</v>
          </cell>
          <cell r="C10180">
            <v>169</v>
          </cell>
        </row>
        <row r="10181">
          <cell r="B10181">
            <v>0.11782407407410256</v>
          </cell>
          <cell r="C10181">
            <v>169</v>
          </cell>
        </row>
        <row r="10182">
          <cell r="B10182">
            <v>0.11783564814817664</v>
          </cell>
          <cell r="C10182">
            <v>169</v>
          </cell>
        </row>
        <row r="10183">
          <cell r="B10183">
            <v>0.11784722222225072</v>
          </cell>
          <cell r="C10183">
            <v>169</v>
          </cell>
        </row>
        <row r="10184">
          <cell r="B10184">
            <v>0.1178587962963248</v>
          </cell>
          <cell r="C10184">
            <v>169</v>
          </cell>
        </row>
        <row r="10185">
          <cell r="B10185">
            <v>0.11787037037039888</v>
          </cell>
          <cell r="C10185">
            <v>169</v>
          </cell>
        </row>
        <row r="10186">
          <cell r="B10186">
            <v>0.11788194444447296</v>
          </cell>
          <cell r="C10186">
            <v>169</v>
          </cell>
        </row>
        <row r="10187">
          <cell r="B10187">
            <v>0.11789351851854704</v>
          </cell>
          <cell r="C10187">
            <v>169</v>
          </cell>
        </row>
        <row r="10188">
          <cell r="B10188">
            <v>0.11790509259262112</v>
          </cell>
          <cell r="C10188">
            <v>169</v>
          </cell>
        </row>
        <row r="10189">
          <cell r="B10189">
            <v>0.1179166666666952</v>
          </cell>
          <cell r="C10189">
            <v>169</v>
          </cell>
        </row>
        <row r="10190">
          <cell r="B10190">
            <v>0.11792824074076928</v>
          </cell>
          <cell r="C10190">
            <v>169</v>
          </cell>
        </row>
        <row r="10191">
          <cell r="B10191">
            <v>0.11793981481484336</v>
          </cell>
          <cell r="C10191">
            <v>169</v>
          </cell>
        </row>
        <row r="10192">
          <cell r="B10192">
            <v>0.11795138888891744</v>
          </cell>
          <cell r="C10192">
            <v>169</v>
          </cell>
        </row>
        <row r="10193">
          <cell r="B10193">
            <v>0.11796296296299152</v>
          </cell>
          <cell r="C10193">
            <v>169</v>
          </cell>
        </row>
        <row r="10194">
          <cell r="B10194">
            <v>0.1179745370370656</v>
          </cell>
          <cell r="C10194">
            <v>169</v>
          </cell>
        </row>
        <row r="10195">
          <cell r="B10195">
            <v>0.11798611111113969</v>
          </cell>
          <cell r="C10195">
            <v>169</v>
          </cell>
        </row>
        <row r="10196">
          <cell r="B10196">
            <v>0.11799768518521377</v>
          </cell>
          <cell r="C10196">
            <v>169</v>
          </cell>
        </row>
        <row r="10197">
          <cell r="B10197">
            <v>0.11800925925928785</v>
          </cell>
          <cell r="C10197">
            <v>169</v>
          </cell>
        </row>
        <row r="10198">
          <cell r="B10198">
            <v>0.11802083333336193</v>
          </cell>
          <cell r="C10198">
            <v>169</v>
          </cell>
        </row>
        <row r="10199">
          <cell r="B10199">
            <v>0.11803240740743601</v>
          </cell>
          <cell r="C10199">
            <v>169</v>
          </cell>
        </row>
        <row r="10200">
          <cell r="B10200">
            <v>0.11804398148151009</v>
          </cell>
          <cell r="C10200">
            <v>169</v>
          </cell>
        </row>
        <row r="10201">
          <cell r="B10201">
            <v>0.11805555555558417</v>
          </cell>
          <cell r="C10201">
            <v>170</v>
          </cell>
        </row>
        <row r="10202">
          <cell r="B10202">
            <v>0.11806712962965825</v>
          </cell>
          <cell r="C10202">
            <v>170</v>
          </cell>
        </row>
        <row r="10203">
          <cell r="B10203">
            <v>0.11807870370373233</v>
          </cell>
          <cell r="C10203">
            <v>170</v>
          </cell>
        </row>
        <row r="10204">
          <cell r="B10204">
            <v>0.11809027777780641</v>
          </cell>
          <cell r="C10204">
            <v>170</v>
          </cell>
        </row>
        <row r="10205">
          <cell r="B10205">
            <v>0.11810185185188049</v>
          </cell>
          <cell r="C10205">
            <v>170</v>
          </cell>
        </row>
        <row r="10206">
          <cell r="B10206">
            <v>0.11811342592595457</v>
          </cell>
          <cell r="C10206">
            <v>170</v>
          </cell>
        </row>
        <row r="10207">
          <cell r="B10207">
            <v>0.11812500000002865</v>
          </cell>
          <cell r="C10207">
            <v>170</v>
          </cell>
        </row>
        <row r="10208">
          <cell r="B10208">
            <v>0.11813657407410273</v>
          </cell>
          <cell r="C10208">
            <v>170</v>
          </cell>
        </row>
        <row r="10209">
          <cell r="B10209">
            <v>0.11814814814817681</v>
          </cell>
          <cell r="C10209">
            <v>170</v>
          </cell>
        </row>
        <row r="10210">
          <cell r="B10210">
            <v>0.11815972222225089</v>
          </cell>
          <cell r="C10210">
            <v>170</v>
          </cell>
        </row>
        <row r="10211">
          <cell r="B10211">
            <v>0.11817129629632497</v>
          </cell>
          <cell r="C10211">
            <v>170</v>
          </cell>
        </row>
        <row r="10212">
          <cell r="B10212">
            <v>0.11818287037039905</v>
          </cell>
          <cell r="C10212">
            <v>170</v>
          </cell>
        </row>
        <row r="10213">
          <cell r="B10213">
            <v>0.11819444444447313</v>
          </cell>
          <cell r="C10213">
            <v>170</v>
          </cell>
        </row>
        <row r="10214">
          <cell r="B10214">
            <v>0.11820601851854722</v>
          </cell>
          <cell r="C10214">
            <v>170</v>
          </cell>
        </row>
        <row r="10215">
          <cell r="B10215">
            <v>0.1182175925926213</v>
          </cell>
          <cell r="C10215">
            <v>170</v>
          </cell>
        </row>
        <row r="10216">
          <cell r="B10216">
            <v>0.11822916666669538</v>
          </cell>
          <cell r="C10216">
            <v>170</v>
          </cell>
        </row>
        <row r="10217">
          <cell r="B10217">
            <v>0.11824074074076946</v>
          </cell>
          <cell r="C10217">
            <v>170</v>
          </cell>
        </row>
        <row r="10218">
          <cell r="B10218">
            <v>0.11825231481484354</v>
          </cell>
          <cell r="C10218">
            <v>170</v>
          </cell>
        </row>
        <row r="10219">
          <cell r="B10219">
            <v>0.11826388888891762</v>
          </cell>
          <cell r="C10219">
            <v>170</v>
          </cell>
        </row>
        <row r="10220">
          <cell r="B10220">
            <v>0.1182754629629917</v>
          </cell>
          <cell r="C10220">
            <v>170</v>
          </cell>
        </row>
        <row r="10221">
          <cell r="B10221">
            <v>0.11828703703706578</v>
          </cell>
          <cell r="C10221">
            <v>170</v>
          </cell>
        </row>
        <row r="10222">
          <cell r="B10222">
            <v>0.11829861111113986</v>
          </cell>
          <cell r="C10222">
            <v>170</v>
          </cell>
        </row>
        <row r="10223">
          <cell r="B10223">
            <v>0.11831018518521394</v>
          </cell>
          <cell r="C10223">
            <v>170</v>
          </cell>
        </row>
        <row r="10224">
          <cell r="B10224">
            <v>0.11832175925928802</v>
          </cell>
          <cell r="C10224">
            <v>170</v>
          </cell>
        </row>
        <row r="10225">
          <cell r="B10225">
            <v>0.1183333333333621</v>
          </cell>
          <cell r="C10225">
            <v>170</v>
          </cell>
        </row>
        <row r="10226">
          <cell r="B10226">
            <v>0.11834490740743618</v>
          </cell>
          <cell r="C10226">
            <v>170</v>
          </cell>
        </row>
        <row r="10227">
          <cell r="B10227">
            <v>0.11835648148151026</v>
          </cell>
          <cell r="C10227">
            <v>170</v>
          </cell>
        </row>
        <row r="10228">
          <cell r="B10228">
            <v>0.11836805555558434</v>
          </cell>
          <cell r="C10228">
            <v>170</v>
          </cell>
        </row>
        <row r="10229">
          <cell r="B10229">
            <v>0.11837962962965842</v>
          </cell>
          <cell r="C10229">
            <v>170</v>
          </cell>
        </row>
        <row r="10230">
          <cell r="B10230">
            <v>0.1183912037037325</v>
          </cell>
          <cell r="C10230">
            <v>170</v>
          </cell>
        </row>
        <row r="10231">
          <cell r="B10231">
            <v>0.11840277777780658</v>
          </cell>
          <cell r="C10231">
            <v>170</v>
          </cell>
        </row>
        <row r="10232">
          <cell r="B10232">
            <v>0.11841435185188066</v>
          </cell>
          <cell r="C10232">
            <v>170</v>
          </cell>
        </row>
        <row r="10233">
          <cell r="B10233">
            <v>0.11842592592595474</v>
          </cell>
          <cell r="C10233">
            <v>170</v>
          </cell>
        </row>
        <row r="10234">
          <cell r="B10234">
            <v>0.11843750000002883</v>
          </cell>
          <cell r="C10234">
            <v>170</v>
          </cell>
        </row>
        <row r="10235">
          <cell r="B10235">
            <v>0.11844907407410291</v>
          </cell>
          <cell r="C10235">
            <v>170</v>
          </cell>
        </row>
        <row r="10236">
          <cell r="B10236">
            <v>0.11846064814817699</v>
          </cell>
          <cell r="C10236">
            <v>170</v>
          </cell>
        </row>
        <row r="10237">
          <cell r="B10237">
            <v>0.11847222222225107</v>
          </cell>
          <cell r="C10237">
            <v>170</v>
          </cell>
        </row>
        <row r="10238">
          <cell r="B10238">
            <v>0.11848379629632515</v>
          </cell>
          <cell r="C10238">
            <v>170</v>
          </cell>
        </row>
        <row r="10239">
          <cell r="B10239">
            <v>0.11849537037039923</v>
          </cell>
          <cell r="C10239">
            <v>170</v>
          </cell>
        </row>
        <row r="10240">
          <cell r="B10240">
            <v>0.11850694444447331</v>
          </cell>
          <cell r="C10240">
            <v>170</v>
          </cell>
        </row>
        <row r="10241">
          <cell r="B10241">
            <v>0.11851851851854739</v>
          </cell>
          <cell r="C10241">
            <v>170</v>
          </cell>
        </row>
        <row r="10242">
          <cell r="B10242">
            <v>0.11853009259262147</v>
          </cell>
          <cell r="C10242">
            <v>170</v>
          </cell>
        </row>
        <row r="10243">
          <cell r="B10243">
            <v>0.11854166666669555</v>
          </cell>
          <cell r="C10243">
            <v>170</v>
          </cell>
        </row>
        <row r="10244">
          <cell r="B10244">
            <v>0.11855324074076963</v>
          </cell>
          <cell r="C10244">
            <v>170</v>
          </cell>
        </row>
        <row r="10245">
          <cell r="B10245">
            <v>0.11856481481484371</v>
          </cell>
          <cell r="C10245">
            <v>170</v>
          </cell>
        </row>
        <row r="10246">
          <cell r="B10246">
            <v>0.11857638888891779</v>
          </cell>
          <cell r="C10246">
            <v>170</v>
          </cell>
        </row>
        <row r="10247">
          <cell r="B10247">
            <v>0.11858796296299187</v>
          </cell>
          <cell r="C10247">
            <v>170</v>
          </cell>
        </row>
        <row r="10248">
          <cell r="B10248">
            <v>0.11859953703706595</v>
          </cell>
          <cell r="C10248">
            <v>170</v>
          </cell>
        </row>
        <row r="10249">
          <cell r="B10249">
            <v>0.11861111111114003</v>
          </cell>
          <cell r="C10249">
            <v>170</v>
          </cell>
        </row>
        <row r="10250">
          <cell r="B10250">
            <v>0.11862268518521411</v>
          </cell>
          <cell r="C10250">
            <v>170</v>
          </cell>
        </row>
        <row r="10251">
          <cell r="B10251">
            <v>0.11863425925928819</v>
          </cell>
          <cell r="C10251">
            <v>170</v>
          </cell>
        </row>
        <row r="10252">
          <cell r="B10252">
            <v>0.11864583333336227</v>
          </cell>
          <cell r="C10252">
            <v>170</v>
          </cell>
        </row>
        <row r="10253">
          <cell r="B10253">
            <v>0.11865740740743635</v>
          </cell>
          <cell r="C10253">
            <v>170</v>
          </cell>
        </row>
        <row r="10254">
          <cell r="B10254">
            <v>0.11866898148151044</v>
          </cell>
          <cell r="C10254">
            <v>170</v>
          </cell>
        </row>
        <row r="10255">
          <cell r="B10255">
            <v>0.11868055555558452</v>
          </cell>
          <cell r="C10255">
            <v>170</v>
          </cell>
        </row>
        <row r="10256">
          <cell r="B10256">
            <v>0.1186921296296586</v>
          </cell>
          <cell r="C10256">
            <v>170</v>
          </cell>
        </row>
        <row r="10257">
          <cell r="B10257">
            <v>0.11870370370373268</v>
          </cell>
          <cell r="C10257">
            <v>170</v>
          </cell>
        </row>
        <row r="10258">
          <cell r="B10258">
            <v>0.11871527777780676</v>
          </cell>
          <cell r="C10258">
            <v>170</v>
          </cell>
        </row>
        <row r="10259">
          <cell r="B10259">
            <v>0.11872685185188084</v>
          </cell>
          <cell r="C10259">
            <v>170</v>
          </cell>
        </row>
        <row r="10260">
          <cell r="B10260">
            <v>0.11873842592595492</v>
          </cell>
          <cell r="C10260">
            <v>170</v>
          </cell>
        </row>
        <row r="10261">
          <cell r="B10261">
            <v>0.118750000000029</v>
          </cell>
          <cell r="C10261">
            <v>171</v>
          </cell>
        </row>
        <row r="10262">
          <cell r="B10262">
            <v>0.11876157407410308</v>
          </cell>
          <cell r="C10262">
            <v>171</v>
          </cell>
        </row>
        <row r="10263">
          <cell r="B10263">
            <v>0.11877314814817716</v>
          </cell>
          <cell r="C10263">
            <v>171</v>
          </cell>
        </row>
        <row r="10264">
          <cell r="B10264">
            <v>0.11878472222225124</v>
          </cell>
          <cell r="C10264">
            <v>171</v>
          </cell>
        </row>
        <row r="10265">
          <cell r="B10265">
            <v>0.11879629629632532</v>
          </cell>
          <cell r="C10265">
            <v>171</v>
          </cell>
        </row>
        <row r="10266">
          <cell r="B10266">
            <v>0.1188078703703994</v>
          </cell>
          <cell r="C10266">
            <v>171</v>
          </cell>
        </row>
        <row r="10267">
          <cell r="B10267">
            <v>0.11881944444447348</v>
          </cell>
          <cell r="C10267">
            <v>171</v>
          </cell>
        </row>
        <row r="10268">
          <cell r="B10268">
            <v>0.11883101851854756</v>
          </cell>
          <cell r="C10268">
            <v>171</v>
          </cell>
        </row>
        <row r="10269">
          <cell r="B10269">
            <v>0.11884259259262164</v>
          </cell>
          <cell r="C10269">
            <v>171</v>
          </cell>
        </row>
        <row r="10270">
          <cell r="B10270">
            <v>0.11885416666669572</v>
          </cell>
          <cell r="C10270">
            <v>171</v>
          </cell>
        </row>
        <row r="10271">
          <cell r="B10271">
            <v>0.1188657407407698</v>
          </cell>
          <cell r="C10271">
            <v>171</v>
          </cell>
        </row>
        <row r="10272">
          <cell r="B10272">
            <v>0.11887731481484388</v>
          </cell>
          <cell r="C10272">
            <v>171</v>
          </cell>
        </row>
        <row r="10273">
          <cell r="B10273">
            <v>0.11888888888891797</v>
          </cell>
          <cell r="C10273">
            <v>171</v>
          </cell>
        </row>
        <row r="10274">
          <cell r="B10274">
            <v>0.11890046296299205</v>
          </cell>
          <cell r="C10274">
            <v>171</v>
          </cell>
        </row>
        <row r="10275">
          <cell r="B10275">
            <v>0.11891203703706613</v>
          </cell>
          <cell r="C10275">
            <v>171</v>
          </cell>
        </row>
        <row r="10276">
          <cell r="B10276">
            <v>0.11892361111114021</v>
          </cell>
          <cell r="C10276">
            <v>171</v>
          </cell>
        </row>
        <row r="10277">
          <cell r="B10277">
            <v>0.11893518518521429</v>
          </cell>
          <cell r="C10277">
            <v>171</v>
          </cell>
        </row>
        <row r="10278">
          <cell r="B10278">
            <v>0.11894675925928837</v>
          </cell>
          <cell r="C10278">
            <v>171</v>
          </cell>
        </row>
        <row r="10279">
          <cell r="B10279">
            <v>0.11895833333336245</v>
          </cell>
          <cell r="C10279">
            <v>171</v>
          </cell>
        </row>
        <row r="10280">
          <cell r="B10280">
            <v>0.11896990740743653</v>
          </cell>
          <cell r="C10280">
            <v>171</v>
          </cell>
        </row>
        <row r="10281">
          <cell r="B10281">
            <v>0.11898148148151061</v>
          </cell>
          <cell r="C10281">
            <v>171</v>
          </cell>
        </row>
        <row r="10282">
          <cell r="B10282">
            <v>0.11899305555558469</v>
          </cell>
          <cell r="C10282">
            <v>171</v>
          </cell>
        </row>
        <row r="10283">
          <cell r="B10283">
            <v>0.11900462962965877</v>
          </cell>
          <cell r="C10283">
            <v>171</v>
          </cell>
        </row>
        <row r="10284">
          <cell r="B10284">
            <v>0.11901620370373285</v>
          </cell>
          <cell r="C10284">
            <v>171</v>
          </cell>
        </row>
        <row r="10285">
          <cell r="B10285">
            <v>0.11902777777780693</v>
          </cell>
          <cell r="C10285">
            <v>171</v>
          </cell>
        </row>
        <row r="10286">
          <cell r="B10286">
            <v>0.11903935185188101</v>
          </cell>
          <cell r="C10286">
            <v>171</v>
          </cell>
        </row>
        <row r="10287">
          <cell r="B10287">
            <v>0.11905092592595509</v>
          </cell>
          <cell r="C10287">
            <v>171</v>
          </cell>
        </row>
        <row r="10288">
          <cell r="B10288">
            <v>0.11906250000002917</v>
          </cell>
          <cell r="C10288">
            <v>171</v>
          </cell>
        </row>
        <row r="10289">
          <cell r="B10289">
            <v>0.11907407407410325</v>
          </cell>
          <cell r="C10289">
            <v>171</v>
          </cell>
        </row>
        <row r="10290">
          <cell r="B10290">
            <v>0.11908564814817733</v>
          </cell>
          <cell r="C10290">
            <v>171</v>
          </cell>
        </row>
        <row r="10291">
          <cell r="B10291">
            <v>0.11909722222225141</v>
          </cell>
          <cell r="C10291">
            <v>171</v>
          </cell>
        </row>
        <row r="10292">
          <cell r="B10292">
            <v>0.11910879629632549</v>
          </cell>
          <cell r="C10292">
            <v>171</v>
          </cell>
        </row>
        <row r="10293">
          <cell r="B10293">
            <v>0.11912037037039958</v>
          </cell>
          <cell r="C10293">
            <v>171</v>
          </cell>
        </row>
        <row r="10294">
          <cell r="B10294">
            <v>0.11913194444447366</v>
          </cell>
          <cell r="C10294">
            <v>171</v>
          </cell>
        </row>
        <row r="10295">
          <cell r="B10295">
            <v>0.11914351851854774</v>
          </cell>
          <cell r="C10295">
            <v>171</v>
          </cell>
        </row>
        <row r="10296">
          <cell r="B10296">
            <v>0.11915509259262182</v>
          </cell>
          <cell r="C10296">
            <v>171</v>
          </cell>
        </row>
        <row r="10297">
          <cell r="B10297">
            <v>0.1191666666666959</v>
          </cell>
          <cell r="C10297">
            <v>171</v>
          </cell>
        </row>
        <row r="10298">
          <cell r="B10298">
            <v>0.11917824074076998</v>
          </cell>
          <cell r="C10298">
            <v>171</v>
          </cell>
        </row>
        <row r="10299">
          <cell r="B10299">
            <v>0.11918981481484406</v>
          </cell>
          <cell r="C10299">
            <v>171</v>
          </cell>
        </row>
        <row r="10300">
          <cell r="B10300">
            <v>0.11920138888891814</v>
          </cell>
          <cell r="C10300">
            <v>171</v>
          </cell>
        </row>
        <row r="10301">
          <cell r="B10301">
            <v>0.11921296296299222</v>
          </cell>
          <cell r="C10301">
            <v>171</v>
          </cell>
        </row>
        <row r="10302">
          <cell r="B10302">
            <v>0.1192245370370663</v>
          </cell>
          <cell r="C10302">
            <v>171</v>
          </cell>
        </row>
        <row r="10303">
          <cell r="B10303">
            <v>0.11923611111114038</v>
          </cell>
          <cell r="C10303">
            <v>171</v>
          </cell>
        </row>
        <row r="10304">
          <cell r="B10304">
            <v>0.11924768518521446</v>
          </cell>
          <cell r="C10304">
            <v>171</v>
          </cell>
        </row>
        <row r="10305">
          <cell r="B10305">
            <v>0.11925925925928854</v>
          </cell>
          <cell r="C10305">
            <v>171</v>
          </cell>
        </row>
        <row r="10306">
          <cell r="B10306">
            <v>0.11927083333336262</v>
          </cell>
          <cell r="C10306">
            <v>171</v>
          </cell>
        </row>
        <row r="10307">
          <cell r="B10307">
            <v>0.1192824074074367</v>
          </cell>
          <cell r="C10307">
            <v>171</v>
          </cell>
        </row>
        <row r="10308">
          <cell r="B10308">
            <v>0.11929398148151078</v>
          </cell>
          <cell r="C10308">
            <v>171</v>
          </cell>
        </row>
        <row r="10309">
          <cell r="B10309">
            <v>0.11930555555558486</v>
          </cell>
          <cell r="C10309">
            <v>171</v>
          </cell>
        </row>
        <row r="10310">
          <cell r="B10310">
            <v>0.11931712962965894</v>
          </cell>
          <cell r="C10310">
            <v>171</v>
          </cell>
        </row>
        <row r="10311">
          <cell r="B10311">
            <v>0.11932870370373302</v>
          </cell>
          <cell r="C10311">
            <v>171</v>
          </cell>
        </row>
        <row r="10312">
          <cell r="B10312">
            <v>0.1193402777778071</v>
          </cell>
          <cell r="C10312">
            <v>171</v>
          </cell>
        </row>
        <row r="10313">
          <cell r="B10313">
            <v>0.11935185185188119</v>
          </cell>
          <cell r="C10313">
            <v>171</v>
          </cell>
        </row>
        <row r="10314">
          <cell r="B10314">
            <v>0.11936342592595527</v>
          </cell>
          <cell r="C10314">
            <v>171</v>
          </cell>
        </row>
        <row r="10315">
          <cell r="B10315">
            <v>0.11937500000002935</v>
          </cell>
          <cell r="C10315">
            <v>171</v>
          </cell>
        </row>
        <row r="10316">
          <cell r="B10316">
            <v>0.11938657407410343</v>
          </cell>
          <cell r="C10316">
            <v>171</v>
          </cell>
        </row>
        <row r="10317">
          <cell r="B10317">
            <v>0.11939814814817751</v>
          </cell>
          <cell r="C10317">
            <v>171</v>
          </cell>
        </row>
        <row r="10318">
          <cell r="B10318">
            <v>0.11940972222225159</v>
          </cell>
          <cell r="C10318">
            <v>171</v>
          </cell>
        </row>
        <row r="10319">
          <cell r="B10319">
            <v>0.11942129629632567</v>
          </cell>
          <cell r="C10319">
            <v>171</v>
          </cell>
        </row>
        <row r="10320">
          <cell r="B10320">
            <v>0.11943287037039975</v>
          </cell>
          <cell r="C10320">
            <v>171</v>
          </cell>
        </row>
        <row r="10321">
          <cell r="B10321">
            <v>0.11944444444447383</v>
          </cell>
          <cell r="C10321">
            <v>172</v>
          </cell>
        </row>
        <row r="10322">
          <cell r="B10322">
            <v>0.11945601851854791</v>
          </cell>
          <cell r="C10322">
            <v>172</v>
          </cell>
        </row>
        <row r="10323">
          <cell r="B10323">
            <v>0.11946759259262199</v>
          </cell>
          <cell r="C10323">
            <v>172</v>
          </cell>
        </row>
        <row r="10324">
          <cell r="B10324">
            <v>0.11947916666669607</v>
          </cell>
          <cell r="C10324">
            <v>172</v>
          </cell>
        </row>
        <row r="10325">
          <cell r="B10325">
            <v>0.11949074074077015</v>
          </cell>
          <cell r="C10325">
            <v>172</v>
          </cell>
        </row>
        <row r="10326">
          <cell r="B10326">
            <v>0.11950231481484423</v>
          </cell>
          <cell r="C10326">
            <v>172</v>
          </cell>
        </row>
        <row r="10327">
          <cell r="B10327">
            <v>0.11951388888891831</v>
          </cell>
          <cell r="C10327">
            <v>172</v>
          </cell>
        </row>
        <row r="10328">
          <cell r="B10328">
            <v>0.11952546296299239</v>
          </cell>
          <cell r="C10328">
            <v>172</v>
          </cell>
        </row>
        <row r="10329">
          <cell r="B10329">
            <v>0.11953703703706647</v>
          </cell>
          <cell r="C10329">
            <v>172</v>
          </cell>
        </row>
        <row r="10330">
          <cell r="B10330">
            <v>0.11954861111114055</v>
          </cell>
          <cell r="C10330">
            <v>172</v>
          </cell>
        </row>
        <row r="10331">
          <cell r="B10331">
            <v>0.11956018518521463</v>
          </cell>
          <cell r="C10331">
            <v>172</v>
          </cell>
        </row>
        <row r="10332">
          <cell r="B10332">
            <v>0.11957175925928872</v>
          </cell>
          <cell r="C10332">
            <v>172</v>
          </cell>
        </row>
        <row r="10333">
          <cell r="B10333">
            <v>0.1195833333333628</v>
          </cell>
          <cell r="C10333">
            <v>172</v>
          </cell>
        </row>
        <row r="10334">
          <cell r="B10334">
            <v>0.11959490740743688</v>
          </cell>
          <cell r="C10334">
            <v>172</v>
          </cell>
        </row>
        <row r="10335">
          <cell r="B10335">
            <v>0.11960648148151096</v>
          </cell>
          <cell r="C10335">
            <v>172</v>
          </cell>
        </row>
        <row r="10336">
          <cell r="B10336">
            <v>0.11961805555558504</v>
          </cell>
          <cell r="C10336">
            <v>172</v>
          </cell>
        </row>
        <row r="10337">
          <cell r="B10337">
            <v>0.11962962962965912</v>
          </cell>
          <cell r="C10337">
            <v>172</v>
          </cell>
        </row>
        <row r="10338">
          <cell r="B10338">
            <v>0.1196412037037332</v>
          </cell>
          <cell r="C10338">
            <v>172</v>
          </cell>
        </row>
        <row r="10339">
          <cell r="B10339">
            <v>0.11965277777780728</v>
          </cell>
          <cell r="C10339">
            <v>172</v>
          </cell>
        </row>
        <row r="10340">
          <cell r="B10340">
            <v>0.11966435185188136</v>
          </cell>
          <cell r="C10340">
            <v>172</v>
          </cell>
        </row>
        <row r="10341">
          <cell r="B10341">
            <v>0.11967592592595544</v>
          </cell>
          <cell r="C10341">
            <v>172</v>
          </cell>
        </row>
        <row r="10342">
          <cell r="B10342">
            <v>0.11968750000002952</v>
          </cell>
          <cell r="C10342">
            <v>172</v>
          </cell>
        </row>
        <row r="10343">
          <cell r="B10343">
            <v>0.1196990740741036</v>
          </cell>
          <cell r="C10343">
            <v>172</v>
          </cell>
        </row>
        <row r="10344">
          <cell r="B10344">
            <v>0.11971064814817768</v>
          </cell>
          <cell r="C10344">
            <v>172</v>
          </cell>
        </row>
        <row r="10345">
          <cell r="B10345">
            <v>0.11972222222225176</v>
          </cell>
          <cell r="C10345">
            <v>172</v>
          </cell>
        </row>
        <row r="10346">
          <cell r="B10346">
            <v>0.11973379629632584</v>
          </cell>
          <cell r="C10346">
            <v>172</v>
          </cell>
        </row>
        <row r="10347">
          <cell r="B10347">
            <v>0.11974537037039992</v>
          </cell>
          <cell r="C10347">
            <v>172</v>
          </cell>
        </row>
        <row r="10348">
          <cell r="B10348">
            <v>0.119756944444474</v>
          </cell>
          <cell r="C10348">
            <v>172</v>
          </cell>
        </row>
        <row r="10349">
          <cell r="B10349">
            <v>0.11976851851854808</v>
          </cell>
          <cell r="C10349">
            <v>172</v>
          </cell>
        </row>
        <row r="10350">
          <cell r="B10350">
            <v>0.11978009259262216</v>
          </cell>
          <cell r="C10350">
            <v>172</v>
          </cell>
        </row>
        <row r="10351">
          <cell r="B10351">
            <v>0.11979166666669624</v>
          </cell>
          <cell r="C10351">
            <v>172</v>
          </cell>
        </row>
        <row r="10352">
          <cell r="B10352">
            <v>0.11980324074077033</v>
          </cell>
          <cell r="C10352">
            <v>172</v>
          </cell>
        </row>
        <row r="10353">
          <cell r="B10353">
            <v>0.11981481481484441</v>
          </cell>
          <cell r="C10353">
            <v>172</v>
          </cell>
        </row>
        <row r="10354">
          <cell r="B10354">
            <v>0.11982638888891849</v>
          </cell>
          <cell r="C10354">
            <v>172</v>
          </cell>
        </row>
        <row r="10355">
          <cell r="B10355">
            <v>0.11983796296299257</v>
          </cell>
          <cell r="C10355">
            <v>172</v>
          </cell>
        </row>
        <row r="10356">
          <cell r="B10356">
            <v>0.11984953703706665</v>
          </cell>
          <cell r="C10356">
            <v>172</v>
          </cell>
        </row>
        <row r="10357">
          <cell r="B10357">
            <v>0.11986111111114073</v>
          </cell>
          <cell r="C10357">
            <v>172</v>
          </cell>
        </row>
        <row r="10358">
          <cell r="B10358">
            <v>0.11987268518521481</v>
          </cell>
          <cell r="C10358">
            <v>172</v>
          </cell>
        </row>
        <row r="10359">
          <cell r="B10359">
            <v>0.11988425925928889</v>
          </cell>
          <cell r="C10359">
            <v>172</v>
          </cell>
        </row>
        <row r="10360">
          <cell r="B10360">
            <v>0.11989583333336297</v>
          </cell>
          <cell r="C10360">
            <v>172</v>
          </cell>
        </row>
        <row r="10361">
          <cell r="B10361">
            <v>0.11990740740743705</v>
          </cell>
          <cell r="C10361">
            <v>172</v>
          </cell>
        </row>
        <row r="10362">
          <cell r="B10362">
            <v>0.11991898148151113</v>
          </cell>
          <cell r="C10362">
            <v>172</v>
          </cell>
        </row>
        <row r="10363">
          <cell r="B10363">
            <v>0.11993055555558521</v>
          </cell>
          <cell r="C10363">
            <v>172</v>
          </cell>
        </row>
        <row r="10364">
          <cell r="B10364">
            <v>0.11994212962965929</v>
          </cell>
          <cell r="C10364">
            <v>172</v>
          </cell>
        </row>
        <row r="10365">
          <cell r="B10365">
            <v>0.11995370370373337</v>
          </cell>
          <cell r="C10365">
            <v>172</v>
          </cell>
        </row>
        <row r="10366">
          <cell r="B10366">
            <v>0.11996527777780745</v>
          </cell>
          <cell r="C10366">
            <v>172</v>
          </cell>
        </row>
        <row r="10367">
          <cell r="B10367">
            <v>0.11997685185188153</v>
          </cell>
          <cell r="C10367">
            <v>172</v>
          </cell>
        </row>
        <row r="10368">
          <cell r="B10368">
            <v>0.11998842592595561</v>
          </cell>
          <cell r="C10368">
            <v>172</v>
          </cell>
        </row>
        <row r="10369">
          <cell r="B10369">
            <v>0.12000000000002969</v>
          </cell>
          <cell r="C10369">
            <v>172</v>
          </cell>
        </row>
        <row r="10370">
          <cell r="B10370">
            <v>0.12001157407410377</v>
          </cell>
          <cell r="C10370">
            <v>172</v>
          </cell>
        </row>
        <row r="10371">
          <cell r="B10371">
            <v>0.12002314814817786</v>
          </cell>
          <cell r="C10371">
            <v>172</v>
          </cell>
        </row>
        <row r="10372">
          <cell r="B10372">
            <v>0.12003472222225194</v>
          </cell>
          <cell r="C10372">
            <v>172</v>
          </cell>
        </row>
        <row r="10373">
          <cell r="B10373">
            <v>0.12004629629632602</v>
          </cell>
          <cell r="C10373">
            <v>172</v>
          </cell>
        </row>
        <row r="10374">
          <cell r="B10374">
            <v>0.1200578703704001</v>
          </cell>
          <cell r="C10374">
            <v>172</v>
          </cell>
        </row>
        <row r="10375">
          <cell r="B10375">
            <v>0.12006944444447418</v>
          </cell>
          <cell r="C10375">
            <v>172</v>
          </cell>
        </row>
        <row r="10376">
          <cell r="B10376">
            <v>0.12008101851854826</v>
          </cell>
          <cell r="C10376">
            <v>172</v>
          </cell>
        </row>
        <row r="10377">
          <cell r="B10377">
            <v>0.12009259259262234</v>
          </cell>
          <cell r="C10377">
            <v>172</v>
          </cell>
        </row>
        <row r="10378">
          <cell r="B10378">
            <v>0.12010416666669642</v>
          </cell>
          <cell r="C10378">
            <v>172</v>
          </cell>
        </row>
        <row r="10379">
          <cell r="B10379">
            <v>0.1201157407407705</v>
          </cell>
          <cell r="C10379">
            <v>172</v>
          </cell>
        </row>
        <row r="10380">
          <cell r="B10380">
            <v>0.12012731481484458</v>
          </cell>
          <cell r="C10380">
            <v>172</v>
          </cell>
        </row>
        <row r="10381">
          <cell r="B10381">
            <v>0.12013888888891866</v>
          </cell>
          <cell r="C10381">
            <v>173</v>
          </cell>
        </row>
        <row r="10382">
          <cell r="B10382">
            <v>0.12015046296299274</v>
          </cell>
          <cell r="C10382">
            <v>173</v>
          </cell>
        </row>
        <row r="10383">
          <cell r="B10383">
            <v>0.12016203703706682</v>
          </cell>
          <cell r="C10383">
            <v>173</v>
          </cell>
        </row>
        <row r="10384">
          <cell r="B10384">
            <v>0.1201736111111409</v>
          </cell>
          <cell r="C10384">
            <v>173</v>
          </cell>
        </row>
        <row r="10385">
          <cell r="B10385">
            <v>0.12018518518521498</v>
          </cell>
          <cell r="C10385">
            <v>173</v>
          </cell>
        </row>
        <row r="10386">
          <cell r="B10386">
            <v>0.12019675925928906</v>
          </cell>
          <cell r="C10386">
            <v>173</v>
          </cell>
        </row>
        <row r="10387">
          <cell r="B10387">
            <v>0.12020833333336314</v>
          </cell>
          <cell r="C10387">
            <v>173</v>
          </cell>
        </row>
        <row r="10388">
          <cell r="B10388">
            <v>0.12021990740743722</v>
          </cell>
          <cell r="C10388">
            <v>173</v>
          </cell>
        </row>
        <row r="10389">
          <cell r="B10389">
            <v>0.1202314814815113</v>
          </cell>
          <cell r="C10389">
            <v>173</v>
          </cell>
        </row>
        <row r="10390">
          <cell r="B10390">
            <v>0.12024305555558538</v>
          </cell>
          <cell r="C10390">
            <v>173</v>
          </cell>
        </row>
        <row r="10391">
          <cell r="B10391">
            <v>0.12025462962965947</v>
          </cell>
          <cell r="C10391">
            <v>173</v>
          </cell>
        </row>
        <row r="10392">
          <cell r="B10392">
            <v>0.12026620370373355</v>
          </cell>
          <cell r="C10392">
            <v>173</v>
          </cell>
        </row>
        <row r="10393">
          <cell r="B10393">
            <v>0.12027777777780763</v>
          </cell>
          <cell r="C10393">
            <v>173</v>
          </cell>
        </row>
        <row r="10394">
          <cell r="B10394">
            <v>0.12028935185188171</v>
          </cell>
          <cell r="C10394">
            <v>173</v>
          </cell>
        </row>
        <row r="10395">
          <cell r="B10395">
            <v>0.12030092592595579</v>
          </cell>
          <cell r="C10395">
            <v>173</v>
          </cell>
        </row>
        <row r="10396">
          <cell r="B10396">
            <v>0.12031250000002987</v>
          </cell>
          <cell r="C10396">
            <v>173</v>
          </cell>
        </row>
        <row r="10397">
          <cell r="B10397">
            <v>0.12032407407410395</v>
          </cell>
          <cell r="C10397">
            <v>173</v>
          </cell>
        </row>
        <row r="10398">
          <cell r="B10398">
            <v>0.12033564814817803</v>
          </cell>
          <cell r="C10398">
            <v>173</v>
          </cell>
        </row>
        <row r="10399">
          <cell r="B10399">
            <v>0.12034722222225211</v>
          </cell>
          <cell r="C10399">
            <v>173</v>
          </cell>
        </row>
        <row r="10400">
          <cell r="B10400">
            <v>0.12035879629632619</v>
          </cell>
          <cell r="C10400">
            <v>173</v>
          </cell>
        </row>
        <row r="10401">
          <cell r="B10401">
            <v>0.12037037037040027</v>
          </cell>
          <cell r="C10401">
            <v>173</v>
          </cell>
        </row>
        <row r="10402">
          <cell r="B10402">
            <v>0.12038194444447435</v>
          </cell>
          <cell r="C10402">
            <v>173</v>
          </cell>
        </row>
        <row r="10403">
          <cell r="B10403">
            <v>0.12039351851854843</v>
          </cell>
          <cell r="C10403">
            <v>173</v>
          </cell>
        </row>
        <row r="10404">
          <cell r="B10404">
            <v>0.12040509259262251</v>
          </cell>
          <cell r="C10404">
            <v>173</v>
          </cell>
        </row>
        <row r="10405">
          <cell r="B10405">
            <v>0.12041666666669659</v>
          </cell>
          <cell r="C10405">
            <v>173</v>
          </cell>
        </row>
        <row r="10406">
          <cell r="B10406">
            <v>0.12042824074077067</v>
          </cell>
          <cell r="C10406">
            <v>173</v>
          </cell>
        </row>
        <row r="10407">
          <cell r="B10407">
            <v>0.12043981481484475</v>
          </cell>
          <cell r="C10407">
            <v>173</v>
          </cell>
        </row>
        <row r="10408">
          <cell r="B10408">
            <v>0.12045138888891883</v>
          </cell>
          <cell r="C10408">
            <v>173</v>
          </cell>
        </row>
        <row r="10409">
          <cell r="B10409">
            <v>0.12046296296299291</v>
          </cell>
          <cell r="C10409">
            <v>173</v>
          </cell>
        </row>
        <row r="10410">
          <cell r="B10410">
            <v>0.12047453703706699</v>
          </cell>
          <cell r="C10410">
            <v>173</v>
          </cell>
        </row>
        <row r="10411">
          <cell r="B10411">
            <v>0.12048611111114108</v>
          </cell>
          <cell r="C10411">
            <v>173</v>
          </cell>
        </row>
        <row r="10412">
          <cell r="B10412">
            <v>0.12049768518521516</v>
          </cell>
          <cell r="C10412">
            <v>173</v>
          </cell>
        </row>
        <row r="10413">
          <cell r="B10413">
            <v>0.12050925925928924</v>
          </cell>
          <cell r="C10413">
            <v>173</v>
          </cell>
        </row>
        <row r="10414">
          <cell r="B10414">
            <v>0.12052083333336332</v>
          </cell>
          <cell r="C10414">
            <v>173</v>
          </cell>
        </row>
        <row r="10415">
          <cell r="B10415">
            <v>0.1205324074074374</v>
          </cell>
          <cell r="C10415">
            <v>173</v>
          </cell>
        </row>
        <row r="10416">
          <cell r="B10416">
            <v>0.12054398148151148</v>
          </cell>
          <cell r="C10416">
            <v>173</v>
          </cell>
        </row>
        <row r="10417">
          <cell r="B10417">
            <v>0.12055555555558556</v>
          </cell>
          <cell r="C10417">
            <v>173</v>
          </cell>
        </row>
        <row r="10418">
          <cell r="B10418">
            <v>0.12056712962965964</v>
          </cell>
          <cell r="C10418">
            <v>173</v>
          </cell>
        </row>
        <row r="10419">
          <cell r="B10419">
            <v>0.12057870370373372</v>
          </cell>
          <cell r="C10419">
            <v>173</v>
          </cell>
        </row>
        <row r="10420">
          <cell r="B10420">
            <v>0.1205902777778078</v>
          </cell>
          <cell r="C10420">
            <v>173</v>
          </cell>
        </row>
        <row r="10421">
          <cell r="B10421">
            <v>0.12060185185188188</v>
          </cell>
          <cell r="C10421">
            <v>173</v>
          </cell>
        </row>
        <row r="10422">
          <cell r="B10422">
            <v>0.12061342592595596</v>
          </cell>
          <cell r="C10422">
            <v>173</v>
          </cell>
        </row>
        <row r="10423">
          <cell r="B10423">
            <v>0.12062500000003004</v>
          </cell>
          <cell r="C10423">
            <v>173</v>
          </cell>
        </row>
        <row r="10424">
          <cell r="B10424">
            <v>0.12063657407410412</v>
          </cell>
          <cell r="C10424">
            <v>173</v>
          </cell>
        </row>
        <row r="10425">
          <cell r="B10425">
            <v>0.1206481481481782</v>
          </cell>
          <cell r="C10425">
            <v>173</v>
          </cell>
        </row>
        <row r="10426">
          <cell r="B10426">
            <v>0.12065972222225228</v>
          </cell>
          <cell r="C10426">
            <v>173</v>
          </cell>
        </row>
        <row r="10427">
          <cell r="B10427">
            <v>0.12067129629632636</v>
          </cell>
          <cell r="C10427">
            <v>173</v>
          </cell>
        </row>
        <row r="10428">
          <cell r="B10428">
            <v>0.12068287037040044</v>
          </cell>
          <cell r="C10428">
            <v>173</v>
          </cell>
        </row>
        <row r="10429">
          <cell r="B10429">
            <v>0.12069444444447452</v>
          </cell>
          <cell r="C10429">
            <v>173</v>
          </cell>
        </row>
        <row r="10430">
          <cell r="B10430">
            <v>0.12070601851854861</v>
          </cell>
          <cell r="C10430">
            <v>173</v>
          </cell>
        </row>
        <row r="10431">
          <cell r="B10431">
            <v>0.12071759259262269</v>
          </cell>
          <cell r="C10431">
            <v>173</v>
          </cell>
        </row>
        <row r="10432">
          <cell r="B10432">
            <v>0.12072916666669677</v>
          </cell>
          <cell r="C10432">
            <v>173</v>
          </cell>
        </row>
        <row r="10433">
          <cell r="B10433">
            <v>0.12074074074077085</v>
          </cell>
          <cell r="C10433">
            <v>173</v>
          </cell>
        </row>
        <row r="10434">
          <cell r="B10434">
            <v>0.12075231481484493</v>
          </cell>
          <cell r="C10434">
            <v>173</v>
          </cell>
        </row>
        <row r="10435">
          <cell r="B10435">
            <v>0.12076388888891901</v>
          </cell>
          <cell r="C10435">
            <v>173</v>
          </cell>
        </row>
        <row r="10436">
          <cell r="B10436">
            <v>0.12077546296299309</v>
          </cell>
          <cell r="C10436">
            <v>173</v>
          </cell>
        </row>
        <row r="10437">
          <cell r="B10437">
            <v>0.12078703703706717</v>
          </cell>
          <cell r="C10437">
            <v>173</v>
          </cell>
        </row>
        <row r="10438">
          <cell r="B10438">
            <v>0.12079861111114125</v>
          </cell>
          <cell r="C10438">
            <v>173</v>
          </cell>
        </row>
        <row r="10439">
          <cell r="B10439">
            <v>0.12081018518521533</v>
          </cell>
          <cell r="C10439">
            <v>173</v>
          </cell>
        </row>
        <row r="10440">
          <cell r="B10440">
            <v>0.12082175925928941</v>
          </cell>
          <cell r="C10440">
            <v>173</v>
          </cell>
        </row>
        <row r="10441">
          <cell r="B10441">
            <v>0.12083333333336349</v>
          </cell>
          <cell r="C10441">
            <v>174</v>
          </cell>
        </row>
        <row r="10442">
          <cell r="B10442">
            <v>0.12084490740743757</v>
          </cell>
          <cell r="C10442">
            <v>174</v>
          </cell>
        </row>
        <row r="10443">
          <cell r="B10443">
            <v>0.12085648148151165</v>
          </cell>
          <cell r="C10443">
            <v>174</v>
          </cell>
        </row>
        <row r="10444">
          <cell r="B10444">
            <v>0.12086805555558573</v>
          </cell>
          <cell r="C10444">
            <v>174</v>
          </cell>
        </row>
        <row r="10445">
          <cell r="B10445">
            <v>0.12087962962965981</v>
          </cell>
          <cell r="C10445">
            <v>174</v>
          </cell>
        </row>
        <row r="10446">
          <cell r="B10446">
            <v>0.12089120370373389</v>
          </cell>
          <cell r="C10446">
            <v>174</v>
          </cell>
        </row>
        <row r="10447">
          <cell r="B10447">
            <v>0.12090277777780797</v>
          </cell>
          <cell r="C10447">
            <v>174</v>
          </cell>
        </row>
        <row r="10448">
          <cell r="B10448">
            <v>0.12091435185188205</v>
          </cell>
          <cell r="C10448">
            <v>174</v>
          </cell>
        </row>
        <row r="10449">
          <cell r="B10449">
            <v>0.12092592592595613</v>
          </cell>
          <cell r="C10449">
            <v>174</v>
          </cell>
        </row>
        <row r="10450">
          <cell r="B10450">
            <v>0.12093750000003022</v>
          </cell>
          <cell r="C10450">
            <v>174</v>
          </cell>
        </row>
        <row r="10451">
          <cell r="B10451">
            <v>0.1209490740741043</v>
          </cell>
          <cell r="C10451">
            <v>174</v>
          </cell>
        </row>
        <row r="10452">
          <cell r="B10452">
            <v>0.12096064814817838</v>
          </cell>
          <cell r="C10452">
            <v>174</v>
          </cell>
        </row>
        <row r="10453">
          <cell r="B10453">
            <v>0.12097222222225246</v>
          </cell>
          <cell r="C10453">
            <v>174</v>
          </cell>
        </row>
        <row r="10454">
          <cell r="B10454">
            <v>0.12098379629632654</v>
          </cell>
          <cell r="C10454">
            <v>174</v>
          </cell>
        </row>
        <row r="10455">
          <cell r="B10455">
            <v>0.12099537037040062</v>
          </cell>
          <cell r="C10455">
            <v>174</v>
          </cell>
        </row>
        <row r="10456">
          <cell r="B10456">
            <v>0.1210069444444747</v>
          </cell>
          <cell r="C10456">
            <v>174</v>
          </cell>
        </row>
        <row r="10457">
          <cell r="B10457">
            <v>0.12101851851854878</v>
          </cell>
          <cell r="C10457">
            <v>174</v>
          </cell>
        </row>
        <row r="10458">
          <cell r="B10458">
            <v>0.12103009259262286</v>
          </cell>
          <cell r="C10458">
            <v>174</v>
          </cell>
        </row>
        <row r="10459">
          <cell r="B10459">
            <v>0.12104166666669694</v>
          </cell>
          <cell r="C10459">
            <v>174</v>
          </cell>
        </row>
        <row r="10460">
          <cell r="B10460">
            <v>0.12105324074077102</v>
          </cell>
          <cell r="C10460">
            <v>174</v>
          </cell>
        </row>
        <row r="10461">
          <cell r="B10461">
            <v>0.1210648148148451</v>
          </cell>
          <cell r="C10461">
            <v>174</v>
          </cell>
        </row>
        <row r="10462">
          <cell r="B10462">
            <v>0.12107638888891918</v>
          </cell>
          <cell r="C10462">
            <v>174</v>
          </cell>
        </row>
        <row r="10463">
          <cell r="B10463">
            <v>0.12108796296299326</v>
          </cell>
          <cell r="C10463">
            <v>174</v>
          </cell>
        </row>
        <row r="10464">
          <cell r="B10464">
            <v>0.12109953703706734</v>
          </cell>
          <cell r="C10464">
            <v>174</v>
          </cell>
        </row>
        <row r="10465">
          <cell r="B10465">
            <v>0.12111111111114142</v>
          </cell>
          <cell r="C10465">
            <v>174</v>
          </cell>
        </row>
        <row r="10466">
          <cell r="B10466">
            <v>0.1211226851852155</v>
          </cell>
          <cell r="C10466">
            <v>174</v>
          </cell>
        </row>
        <row r="10467">
          <cell r="B10467">
            <v>0.12113425925928958</v>
          </cell>
          <cell r="C10467">
            <v>174</v>
          </cell>
        </row>
        <row r="10468">
          <cell r="B10468">
            <v>0.12114583333336366</v>
          </cell>
          <cell r="C10468">
            <v>174</v>
          </cell>
        </row>
        <row r="10469">
          <cell r="B10469">
            <v>0.12115740740743774</v>
          </cell>
          <cell r="C10469">
            <v>174</v>
          </cell>
        </row>
        <row r="10470">
          <cell r="B10470">
            <v>0.12116898148151183</v>
          </cell>
          <cell r="C10470">
            <v>174</v>
          </cell>
        </row>
        <row r="10471">
          <cell r="B10471">
            <v>0.12118055555558591</v>
          </cell>
          <cell r="C10471">
            <v>174</v>
          </cell>
        </row>
        <row r="10472">
          <cell r="B10472">
            <v>0.12119212962965999</v>
          </cell>
          <cell r="C10472">
            <v>174</v>
          </cell>
        </row>
        <row r="10473">
          <cell r="B10473">
            <v>0.12120370370373407</v>
          </cell>
          <cell r="C10473">
            <v>174</v>
          </cell>
        </row>
        <row r="10474">
          <cell r="B10474">
            <v>0.12121527777780815</v>
          </cell>
          <cell r="C10474">
            <v>174</v>
          </cell>
        </row>
        <row r="10475">
          <cell r="B10475">
            <v>0.12122685185188223</v>
          </cell>
          <cell r="C10475">
            <v>174</v>
          </cell>
        </row>
        <row r="10476">
          <cell r="B10476">
            <v>0.12123842592595631</v>
          </cell>
          <cell r="C10476">
            <v>174</v>
          </cell>
        </row>
        <row r="10477">
          <cell r="B10477">
            <v>0.12125000000003039</v>
          </cell>
          <cell r="C10477">
            <v>174</v>
          </cell>
        </row>
        <row r="10478">
          <cell r="B10478">
            <v>0.12126157407410447</v>
          </cell>
          <cell r="C10478">
            <v>174</v>
          </cell>
        </row>
        <row r="10479">
          <cell r="B10479">
            <v>0.12127314814817855</v>
          </cell>
          <cell r="C10479">
            <v>174</v>
          </cell>
        </row>
        <row r="10480">
          <cell r="B10480">
            <v>0.12128472222225263</v>
          </cell>
          <cell r="C10480">
            <v>174</v>
          </cell>
        </row>
        <row r="10481">
          <cell r="B10481">
            <v>0.12129629629632671</v>
          </cell>
          <cell r="C10481">
            <v>174</v>
          </cell>
        </row>
        <row r="10482">
          <cell r="B10482">
            <v>0.12130787037040079</v>
          </cell>
          <cell r="C10482">
            <v>174</v>
          </cell>
        </row>
        <row r="10483">
          <cell r="B10483">
            <v>0.12131944444447487</v>
          </cell>
          <cell r="C10483">
            <v>174</v>
          </cell>
        </row>
        <row r="10484">
          <cell r="B10484">
            <v>0.12133101851854895</v>
          </cell>
          <cell r="C10484">
            <v>174</v>
          </cell>
        </row>
        <row r="10485">
          <cell r="B10485">
            <v>0.12134259259262303</v>
          </cell>
          <cell r="C10485">
            <v>174</v>
          </cell>
        </row>
        <row r="10486">
          <cell r="B10486">
            <v>0.12135416666669711</v>
          </cell>
          <cell r="C10486">
            <v>174</v>
          </cell>
        </row>
        <row r="10487">
          <cell r="B10487">
            <v>0.12136574074077119</v>
          </cell>
          <cell r="C10487">
            <v>174</v>
          </cell>
        </row>
        <row r="10488">
          <cell r="B10488">
            <v>0.12137731481484527</v>
          </cell>
          <cell r="C10488">
            <v>174</v>
          </cell>
        </row>
        <row r="10489">
          <cell r="B10489">
            <v>0.12138888888891936</v>
          </cell>
          <cell r="C10489">
            <v>174</v>
          </cell>
        </row>
        <row r="10490">
          <cell r="B10490">
            <v>0.12140046296299344</v>
          </cell>
          <cell r="C10490">
            <v>174</v>
          </cell>
        </row>
        <row r="10491">
          <cell r="B10491">
            <v>0.12141203703706752</v>
          </cell>
          <cell r="C10491">
            <v>174</v>
          </cell>
        </row>
        <row r="10492">
          <cell r="B10492">
            <v>0.1214236111111416</v>
          </cell>
          <cell r="C10492">
            <v>174</v>
          </cell>
        </row>
        <row r="10493">
          <cell r="B10493">
            <v>0.12143518518521568</v>
          </cell>
          <cell r="C10493">
            <v>174</v>
          </cell>
        </row>
        <row r="10494">
          <cell r="B10494">
            <v>0.12144675925928976</v>
          </cell>
          <cell r="C10494">
            <v>174</v>
          </cell>
        </row>
        <row r="10495">
          <cell r="B10495">
            <v>0.12145833333336384</v>
          </cell>
          <cell r="C10495">
            <v>174</v>
          </cell>
        </row>
        <row r="10496">
          <cell r="B10496">
            <v>0.12146990740743792</v>
          </cell>
          <cell r="C10496">
            <v>174</v>
          </cell>
        </row>
        <row r="10497">
          <cell r="B10497">
            <v>0.121481481481512</v>
          </cell>
          <cell r="C10497">
            <v>174</v>
          </cell>
        </row>
        <row r="10498">
          <cell r="B10498">
            <v>0.12149305555558608</v>
          </cell>
          <cell r="C10498">
            <v>174</v>
          </cell>
        </row>
        <row r="10499">
          <cell r="B10499">
            <v>0.12150462962966016</v>
          </cell>
          <cell r="C10499">
            <v>174</v>
          </cell>
        </row>
        <row r="10500">
          <cell r="B10500">
            <v>0.12151620370373424</v>
          </cell>
          <cell r="C10500">
            <v>174</v>
          </cell>
        </row>
        <row r="10501">
          <cell r="B10501">
            <v>0.12152777777780832</v>
          </cell>
          <cell r="C10501">
            <v>175</v>
          </cell>
        </row>
        <row r="10502">
          <cell r="B10502">
            <v>0.1215393518518824</v>
          </cell>
          <cell r="C10502">
            <v>175</v>
          </cell>
        </row>
        <row r="10503">
          <cell r="B10503">
            <v>0.12155092592595648</v>
          </cell>
          <cell r="C10503">
            <v>175</v>
          </cell>
        </row>
        <row r="10504">
          <cell r="B10504">
            <v>0.12156250000003056</v>
          </cell>
          <cell r="C10504">
            <v>175</v>
          </cell>
        </row>
        <row r="10505">
          <cell r="B10505">
            <v>0.12157407407410464</v>
          </cell>
          <cell r="C10505">
            <v>175</v>
          </cell>
        </row>
        <row r="10506">
          <cell r="B10506">
            <v>0.12158564814817872</v>
          </cell>
          <cell r="C10506">
            <v>175</v>
          </cell>
        </row>
        <row r="10507">
          <cell r="B10507">
            <v>0.1215972222222528</v>
          </cell>
          <cell r="C10507">
            <v>175</v>
          </cell>
        </row>
        <row r="10508">
          <cell r="B10508">
            <v>0.12160879629632688</v>
          </cell>
          <cell r="C10508">
            <v>175</v>
          </cell>
        </row>
        <row r="10509">
          <cell r="B10509">
            <v>0.12162037037040097</v>
          </cell>
          <cell r="C10509">
            <v>175</v>
          </cell>
        </row>
        <row r="10510">
          <cell r="B10510">
            <v>0.12163194444447505</v>
          </cell>
          <cell r="C10510">
            <v>175</v>
          </cell>
        </row>
        <row r="10511">
          <cell r="B10511">
            <v>0.12164351851854913</v>
          </cell>
          <cell r="C10511">
            <v>175</v>
          </cell>
        </row>
        <row r="10512">
          <cell r="B10512">
            <v>0.12165509259262321</v>
          </cell>
          <cell r="C10512">
            <v>175</v>
          </cell>
        </row>
        <row r="10513">
          <cell r="B10513">
            <v>0.12166666666669729</v>
          </cell>
          <cell r="C10513">
            <v>175</v>
          </cell>
        </row>
        <row r="10514">
          <cell r="B10514">
            <v>0.12167824074077137</v>
          </cell>
          <cell r="C10514">
            <v>175</v>
          </cell>
        </row>
        <row r="10515">
          <cell r="B10515">
            <v>0.12168981481484545</v>
          </cell>
          <cell r="C10515">
            <v>175</v>
          </cell>
        </row>
        <row r="10516">
          <cell r="B10516">
            <v>0.12170138888891953</v>
          </cell>
          <cell r="C10516">
            <v>175</v>
          </cell>
        </row>
        <row r="10517">
          <cell r="B10517">
            <v>0.12171296296299361</v>
          </cell>
          <cell r="C10517">
            <v>175</v>
          </cell>
        </row>
        <row r="10518">
          <cell r="B10518">
            <v>0.12172453703706769</v>
          </cell>
          <cell r="C10518">
            <v>175</v>
          </cell>
        </row>
        <row r="10519">
          <cell r="B10519">
            <v>0.12173611111114177</v>
          </cell>
          <cell r="C10519">
            <v>175</v>
          </cell>
        </row>
        <row r="10520">
          <cell r="B10520">
            <v>0.12174768518521585</v>
          </cell>
          <cell r="C10520">
            <v>175</v>
          </cell>
        </row>
        <row r="10521">
          <cell r="B10521">
            <v>0.12175925925928993</v>
          </cell>
          <cell r="C10521">
            <v>175</v>
          </cell>
        </row>
        <row r="10522">
          <cell r="B10522">
            <v>0.12177083333336401</v>
          </cell>
          <cell r="C10522">
            <v>175</v>
          </cell>
        </row>
        <row r="10523">
          <cell r="B10523">
            <v>0.12178240740743809</v>
          </cell>
          <cell r="C10523">
            <v>175</v>
          </cell>
        </row>
        <row r="10524">
          <cell r="B10524">
            <v>0.12179398148151217</v>
          </cell>
          <cell r="C10524">
            <v>175</v>
          </cell>
        </row>
        <row r="10525">
          <cell r="B10525">
            <v>0.12180555555558625</v>
          </cell>
          <cell r="C10525">
            <v>175</v>
          </cell>
        </row>
        <row r="10526">
          <cell r="B10526">
            <v>0.12181712962966033</v>
          </cell>
          <cell r="C10526">
            <v>175</v>
          </cell>
        </row>
        <row r="10527">
          <cell r="B10527">
            <v>0.12182870370373441</v>
          </cell>
          <cell r="C10527">
            <v>175</v>
          </cell>
        </row>
        <row r="10528">
          <cell r="B10528">
            <v>0.12184027777780849</v>
          </cell>
          <cell r="C10528">
            <v>175</v>
          </cell>
        </row>
        <row r="10529">
          <cell r="B10529">
            <v>0.12185185185188258</v>
          </cell>
          <cell r="C10529">
            <v>175</v>
          </cell>
        </row>
        <row r="10530">
          <cell r="B10530">
            <v>0.12186342592595666</v>
          </cell>
          <cell r="C10530">
            <v>175</v>
          </cell>
        </row>
        <row r="10531">
          <cell r="B10531">
            <v>0.12187500000003074</v>
          </cell>
          <cell r="C10531">
            <v>175</v>
          </cell>
        </row>
        <row r="10532">
          <cell r="B10532">
            <v>0.12188657407410482</v>
          </cell>
          <cell r="C10532">
            <v>175</v>
          </cell>
        </row>
        <row r="10533">
          <cell r="B10533">
            <v>0.1218981481481789</v>
          </cell>
          <cell r="C10533">
            <v>175</v>
          </cell>
        </row>
        <row r="10534">
          <cell r="B10534">
            <v>0.12190972222225298</v>
          </cell>
          <cell r="C10534">
            <v>175</v>
          </cell>
        </row>
        <row r="10535">
          <cell r="B10535">
            <v>0.12192129629632706</v>
          </cell>
          <cell r="C10535">
            <v>175</v>
          </cell>
        </row>
        <row r="10536">
          <cell r="B10536">
            <v>0.12193287037040114</v>
          </cell>
          <cell r="C10536">
            <v>175</v>
          </cell>
        </row>
        <row r="10537">
          <cell r="B10537">
            <v>0.12194444444447522</v>
          </cell>
          <cell r="C10537">
            <v>175</v>
          </cell>
        </row>
        <row r="10538">
          <cell r="B10538">
            <v>0.1219560185185493</v>
          </cell>
          <cell r="C10538">
            <v>175</v>
          </cell>
        </row>
        <row r="10539">
          <cell r="B10539">
            <v>0.12196759259262338</v>
          </cell>
          <cell r="C10539">
            <v>175</v>
          </cell>
        </row>
        <row r="10540">
          <cell r="B10540">
            <v>0.12197916666669746</v>
          </cell>
          <cell r="C10540">
            <v>175</v>
          </cell>
        </row>
        <row r="10541">
          <cell r="B10541">
            <v>0.12199074074077154</v>
          </cell>
          <cell r="C10541">
            <v>175</v>
          </cell>
        </row>
        <row r="10542">
          <cell r="B10542">
            <v>0.12200231481484562</v>
          </cell>
          <cell r="C10542">
            <v>175</v>
          </cell>
        </row>
        <row r="10543">
          <cell r="B10543">
            <v>0.1220138888889197</v>
          </cell>
          <cell r="C10543">
            <v>175</v>
          </cell>
        </row>
        <row r="10544">
          <cell r="B10544">
            <v>0.12202546296299378</v>
          </cell>
          <cell r="C10544">
            <v>175</v>
          </cell>
        </row>
        <row r="10545">
          <cell r="B10545">
            <v>0.12203703703706786</v>
          </cell>
          <cell r="C10545">
            <v>175</v>
          </cell>
        </row>
        <row r="10546">
          <cell r="B10546">
            <v>0.12204861111114194</v>
          </cell>
          <cell r="C10546">
            <v>175</v>
          </cell>
        </row>
        <row r="10547">
          <cell r="B10547">
            <v>0.12206018518521602</v>
          </cell>
          <cell r="C10547">
            <v>175</v>
          </cell>
        </row>
        <row r="10548">
          <cell r="B10548">
            <v>0.12207175925929011</v>
          </cell>
          <cell r="C10548">
            <v>175</v>
          </cell>
        </row>
        <row r="10549">
          <cell r="B10549">
            <v>0.12208333333336419</v>
          </cell>
          <cell r="C10549">
            <v>175</v>
          </cell>
        </row>
        <row r="10550">
          <cell r="B10550">
            <v>0.12209490740743827</v>
          </cell>
          <cell r="C10550">
            <v>175</v>
          </cell>
        </row>
        <row r="10551">
          <cell r="B10551">
            <v>0.12210648148151235</v>
          </cell>
          <cell r="C10551">
            <v>175</v>
          </cell>
        </row>
        <row r="10552">
          <cell r="B10552">
            <v>0.12211805555558643</v>
          </cell>
          <cell r="C10552">
            <v>175</v>
          </cell>
        </row>
        <row r="10553">
          <cell r="B10553">
            <v>0.12212962962966051</v>
          </cell>
          <cell r="C10553">
            <v>175</v>
          </cell>
        </row>
        <row r="10554">
          <cell r="B10554">
            <v>0.12214120370373459</v>
          </cell>
          <cell r="C10554">
            <v>175</v>
          </cell>
        </row>
        <row r="10555">
          <cell r="B10555">
            <v>0.12215277777780867</v>
          </cell>
          <cell r="C10555">
            <v>175</v>
          </cell>
        </row>
        <row r="10556">
          <cell r="B10556">
            <v>0.12216435185188275</v>
          </cell>
          <cell r="C10556">
            <v>175</v>
          </cell>
        </row>
        <row r="10557">
          <cell r="B10557">
            <v>0.12217592592595683</v>
          </cell>
          <cell r="C10557">
            <v>175</v>
          </cell>
        </row>
        <row r="10558">
          <cell r="B10558">
            <v>0.12218750000003091</v>
          </cell>
          <cell r="C10558">
            <v>175</v>
          </cell>
        </row>
        <row r="10559">
          <cell r="B10559">
            <v>0.12219907407410499</v>
          </cell>
          <cell r="C10559">
            <v>175</v>
          </cell>
        </row>
        <row r="10560">
          <cell r="B10560">
            <v>0.12221064814817907</v>
          </cell>
          <cell r="C10560">
            <v>175</v>
          </cell>
        </row>
        <row r="10561">
          <cell r="B10561">
            <v>0.12222222222225315</v>
          </cell>
          <cell r="C10561">
            <v>176</v>
          </cell>
        </row>
        <row r="10562">
          <cell r="B10562">
            <v>0.12223379629632723</v>
          </cell>
          <cell r="C10562">
            <v>176</v>
          </cell>
        </row>
        <row r="10563">
          <cell r="B10563">
            <v>0.12224537037040131</v>
          </cell>
          <cell r="C10563">
            <v>176</v>
          </cell>
        </row>
        <row r="10564">
          <cell r="B10564">
            <v>0.12225694444447539</v>
          </cell>
          <cell r="C10564">
            <v>176</v>
          </cell>
        </row>
        <row r="10565">
          <cell r="B10565">
            <v>0.12226851851854947</v>
          </cell>
          <cell r="C10565">
            <v>176</v>
          </cell>
        </row>
        <row r="10566">
          <cell r="B10566">
            <v>0.12228009259262355</v>
          </cell>
          <cell r="C10566">
            <v>176</v>
          </cell>
        </row>
        <row r="10567">
          <cell r="B10567">
            <v>0.12229166666669763</v>
          </cell>
          <cell r="C10567">
            <v>176</v>
          </cell>
        </row>
        <row r="10568">
          <cell r="B10568">
            <v>0.12230324074077172</v>
          </cell>
          <cell r="C10568">
            <v>176</v>
          </cell>
        </row>
        <row r="10569">
          <cell r="B10569">
            <v>0.1223148148148458</v>
          </cell>
          <cell r="C10569">
            <v>176</v>
          </cell>
        </row>
        <row r="10570">
          <cell r="B10570">
            <v>0.12232638888891988</v>
          </cell>
          <cell r="C10570">
            <v>176</v>
          </cell>
        </row>
        <row r="10571">
          <cell r="B10571">
            <v>0.12233796296299396</v>
          </cell>
          <cell r="C10571">
            <v>176</v>
          </cell>
        </row>
        <row r="10572">
          <cell r="B10572">
            <v>0.12234953703706804</v>
          </cell>
          <cell r="C10572">
            <v>176</v>
          </cell>
        </row>
        <row r="10573">
          <cell r="B10573">
            <v>0.12236111111114212</v>
          </cell>
          <cell r="C10573">
            <v>176</v>
          </cell>
        </row>
        <row r="10574">
          <cell r="B10574">
            <v>0.1223726851852162</v>
          </cell>
          <cell r="C10574">
            <v>176</v>
          </cell>
        </row>
        <row r="10575">
          <cell r="B10575">
            <v>0.12238425925929028</v>
          </cell>
          <cell r="C10575">
            <v>176</v>
          </cell>
        </row>
        <row r="10576">
          <cell r="B10576">
            <v>0.12239583333336436</v>
          </cell>
          <cell r="C10576">
            <v>176</v>
          </cell>
        </row>
        <row r="10577">
          <cell r="B10577">
            <v>0.12240740740743844</v>
          </cell>
          <cell r="C10577">
            <v>176</v>
          </cell>
        </row>
        <row r="10578">
          <cell r="B10578">
            <v>0.12241898148151252</v>
          </cell>
          <cell r="C10578">
            <v>176</v>
          </cell>
        </row>
        <row r="10579">
          <cell r="B10579">
            <v>0.1224305555555866</v>
          </cell>
          <cell r="C10579">
            <v>176</v>
          </cell>
        </row>
        <row r="10580">
          <cell r="B10580">
            <v>0.12244212962966068</v>
          </cell>
          <cell r="C10580">
            <v>176</v>
          </cell>
        </row>
        <row r="10581">
          <cell r="B10581">
            <v>0.12245370370373476</v>
          </cell>
          <cell r="C10581">
            <v>176</v>
          </cell>
        </row>
        <row r="10582">
          <cell r="B10582">
            <v>0.12246527777780884</v>
          </cell>
          <cell r="C10582">
            <v>176</v>
          </cell>
        </row>
        <row r="10583">
          <cell r="B10583">
            <v>0.12247685185188292</v>
          </cell>
          <cell r="C10583">
            <v>176</v>
          </cell>
        </row>
        <row r="10584">
          <cell r="B10584">
            <v>0.122488425925957</v>
          </cell>
          <cell r="C10584">
            <v>176</v>
          </cell>
        </row>
        <row r="10585">
          <cell r="B10585">
            <v>0.12250000000003108</v>
          </cell>
          <cell r="C10585">
            <v>176</v>
          </cell>
        </row>
        <row r="10586">
          <cell r="B10586">
            <v>0.12251157407410516</v>
          </cell>
          <cell r="C10586">
            <v>176</v>
          </cell>
        </row>
        <row r="10587">
          <cell r="B10587">
            <v>0.12252314814817925</v>
          </cell>
          <cell r="C10587">
            <v>176</v>
          </cell>
        </row>
        <row r="10588">
          <cell r="B10588">
            <v>0.12253472222225333</v>
          </cell>
          <cell r="C10588">
            <v>176</v>
          </cell>
        </row>
        <row r="10589">
          <cell r="B10589">
            <v>0.12254629629632741</v>
          </cell>
          <cell r="C10589">
            <v>176</v>
          </cell>
        </row>
        <row r="10590">
          <cell r="B10590">
            <v>0.12255787037040149</v>
          </cell>
          <cell r="C10590">
            <v>176</v>
          </cell>
        </row>
        <row r="10591">
          <cell r="B10591">
            <v>0.12256944444447557</v>
          </cell>
          <cell r="C10591">
            <v>176</v>
          </cell>
        </row>
        <row r="10592">
          <cell r="B10592">
            <v>0.12258101851854965</v>
          </cell>
          <cell r="C10592">
            <v>176</v>
          </cell>
        </row>
        <row r="10593">
          <cell r="B10593">
            <v>0.12259259259262373</v>
          </cell>
          <cell r="C10593">
            <v>176</v>
          </cell>
        </row>
        <row r="10594">
          <cell r="B10594">
            <v>0.12260416666669781</v>
          </cell>
          <cell r="C10594">
            <v>176</v>
          </cell>
        </row>
        <row r="10595">
          <cell r="B10595">
            <v>0.12261574074077189</v>
          </cell>
          <cell r="C10595">
            <v>176</v>
          </cell>
        </row>
        <row r="10596">
          <cell r="B10596">
            <v>0.12262731481484597</v>
          </cell>
          <cell r="C10596">
            <v>176</v>
          </cell>
        </row>
        <row r="10597">
          <cell r="B10597">
            <v>0.12263888888892005</v>
          </cell>
          <cell r="C10597">
            <v>176</v>
          </cell>
        </row>
        <row r="10598">
          <cell r="B10598">
            <v>0.12265046296299413</v>
          </cell>
          <cell r="C10598">
            <v>176</v>
          </cell>
        </row>
        <row r="10599">
          <cell r="B10599">
            <v>0.12266203703706821</v>
          </cell>
          <cell r="C10599">
            <v>176</v>
          </cell>
        </row>
        <row r="10600">
          <cell r="B10600">
            <v>0.12267361111114229</v>
          </cell>
          <cell r="C10600">
            <v>176</v>
          </cell>
        </row>
        <row r="10601">
          <cell r="B10601">
            <v>0.12268518518521637</v>
          </cell>
          <cell r="C10601">
            <v>176</v>
          </cell>
        </row>
        <row r="10602">
          <cell r="B10602">
            <v>0.12269675925929045</v>
          </cell>
          <cell r="C10602">
            <v>176</v>
          </cell>
        </row>
        <row r="10603">
          <cell r="B10603">
            <v>0.12270833333336453</v>
          </cell>
          <cell r="C10603">
            <v>176</v>
          </cell>
        </row>
        <row r="10604">
          <cell r="B10604">
            <v>0.12271990740743861</v>
          </cell>
          <cell r="C10604">
            <v>176</v>
          </cell>
        </row>
        <row r="10605">
          <cell r="B10605">
            <v>0.12273148148151269</v>
          </cell>
          <cell r="C10605">
            <v>176</v>
          </cell>
        </row>
        <row r="10606">
          <cell r="B10606">
            <v>0.12274305555558677</v>
          </cell>
          <cell r="C10606">
            <v>176</v>
          </cell>
        </row>
        <row r="10607">
          <cell r="B10607">
            <v>0.12275462962966086</v>
          </cell>
          <cell r="C10607">
            <v>176</v>
          </cell>
        </row>
        <row r="10608">
          <cell r="B10608">
            <v>0.12276620370373494</v>
          </cell>
          <cell r="C10608">
            <v>176</v>
          </cell>
        </row>
        <row r="10609">
          <cell r="B10609">
            <v>0.12277777777780902</v>
          </cell>
          <cell r="C10609">
            <v>176</v>
          </cell>
        </row>
        <row r="10610">
          <cell r="B10610">
            <v>0.1227893518518831</v>
          </cell>
          <cell r="C10610">
            <v>176</v>
          </cell>
        </row>
        <row r="10611">
          <cell r="B10611">
            <v>0.12280092592595718</v>
          </cell>
          <cell r="C10611">
            <v>176</v>
          </cell>
        </row>
        <row r="10612">
          <cell r="B10612">
            <v>0.12281250000003126</v>
          </cell>
          <cell r="C10612">
            <v>176</v>
          </cell>
        </row>
        <row r="10613">
          <cell r="B10613">
            <v>0.12282407407410534</v>
          </cell>
          <cell r="C10613">
            <v>176</v>
          </cell>
        </row>
        <row r="10614">
          <cell r="B10614">
            <v>0.12283564814817942</v>
          </cell>
          <cell r="C10614">
            <v>176</v>
          </cell>
        </row>
        <row r="10615">
          <cell r="B10615">
            <v>0.1228472222222535</v>
          </cell>
          <cell r="C10615">
            <v>176</v>
          </cell>
        </row>
        <row r="10616">
          <cell r="B10616">
            <v>0.12285879629632758</v>
          </cell>
          <cell r="C10616">
            <v>176</v>
          </cell>
        </row>
        <row r="10617">
          <cell r="B10617">
            <v>0.12287037037040166</v>
          </cell>
          <cell r="C10617">
            <v>176</v>
          </cell>
        </row>
        <row r="10618">
          <cell r="B10618">
            <v>0.12288194444447574</v>
          </cell>
          <cell r="C10618">
            <v>176</v>
          </cell>
        </row>
        <row r="10619">
          <cell r="B10619">
            <v>0.12289351851854982</v>
          </cell>
          <cell r="C10619">
            <v>176</v>
          </cell>
        </row>
        <row r="10620">
          <cell r="B10620">
            <v>0.1229050925926239</v>
          </cell>
          <cell r="C10620">
            <v>176</v>
          </cell>
        </row>
        <row r="10621">
          <cell r="B10621">
            <v>0.12291666666669798</v>
          </cell>
          <cell r="C10621">
            <v>177</v>
          </cell>
        </row>
        <row r="10622">
          <cell r="B10622">
            <v>0.12292824074077206</v>
          </cell>
          <cell r="C10622">
            <v>177</v>
          </cell>
        </row>
        <row r="10623">
          <cell r="B10623">
            <v>0.12293981481484614</v>
          </cell>
          <cell r="C10623">
            <v>177</v>
          </cell>
        </row>
        <row r="10624">
          <cell r="B10624">
            <v>0.12295138888892022</v>
          </cell>
          <cell r="C10624">
            <v>177</v>
          </cell>
        </row>
        <row r="10625">
          <cell r="B10625">
            <v>0.1229629629629943</v>
          </cell>
          <cell r="C10625">
            <v>177</v>
          </cell>
        </row>
        <row r="10626">
          <cell r="B10626">
            <v>0.12297453703706838</v>
          </cell>
          <cell r="C10626">
            <v>177</v>
          </cell>
        </row>
        <row r="10627">
          <cell r="B10627">
            <v>0.12298611111114247</v>
          </cell>
          <cell r="C10627">
            <v>177</v>
          </cell>
        </row>
        <row r="10628">
          <cell r="B10628">
            <v>0.12299768518521655</v>
          </cell>
          <cell r="C10628">
            <v>177</v>
          </cell>
        </row>
        <row r="10629">
          <cell r="B10629">
            <v>0.12300925925929063</v>
          </cell>
          <cell r="C10629">
            <v>177</v>
          </cell>
        </row>
        <row r="10630">
          <cell r="B10630">
            <v>0.12302083333336471</v>
          </cell>
          <cell r="C10630">
            <v>177</v>
          </cell>
        </row>
        <row r="10631">
          <cell r="B10631">
            <v>0.12303240740743879</v>
          </cell>
          <cell r="C10631">
            <v>177</v>
          </cell>
        </row>
        <row r="10632">
          <cell r="B10632">
            <v>0.12304398148151287</v>
          </cell>
          <cell r="C10632">
            <v>177</v>
          </cell>
        </row>
        <row r="10633">
          <cell r="B10633">
            <v>0.12305555555558695</v>
          </cell>
          <cell r="C10633">
            <v>177</v>
          </cell>
        </row>
        <row r="10634">
          <cell r="B10634">
            <v>0.12306712962966103</v>
          </cell>
          <cell r="C10634">
            <v>177</v>
          </cell>
        </row>
        <row r="10635">
          <cell r="B10635">
            <v>0.12307870370373511</v>
          </cell>
          <cell r="C10635">
            <v>177</v>
          </cell>
        </row>
        <row r="10636">
          <cell r="B10636">
            <v>0.12309027777780919</v>
          </cell>
          <cell r="C10636">
            <v>177</v>
          </cell>
        </row>
        <row r="10637">
          <cell r="B10637">
            <v>0.12310185185188327</v>
          </cell>
          <cell r="C10637">
            <v>177</v>
          </cell>
        </row>
        <row r="10638">
          <cell r="B10638">
            <v>0.12311342592595735</v>
          </cell>
          <cell r="C10638">
            <v>177</v>
          </cell>
        </row>
        <row r="10639">
          <cell r="B10639">
            <v>0.12312500000003143</v>
          </cell>
          <cell r="C10639">
            <v>177</v>
          </cell>
        </row>
        <row r="10640">
          <cell r="B10640">
            <v>0.12313657407410551</v>
          </cell>
          <cell r="C10640">
            <v>177</v>
          </cell>
        </row>
        <row r="10641">
          <cell r="B10641">
            <v>0.12314814814817959</v>
          </cell>
          <cell r="C10641">
            <v>177</v>
          </cell>
        </row>
        <row r="10642">
          <cell r="B10642">
            <v>0.12315972222225367</v>
          </cell>
          <cell r="C10642">
            <v>177</v>
          </cell>
        </row>
        <row r="10643">
          <cell r="B10643">
            <v>0.12317129629632775</v>
          </cell>
          <cell r="C10643">
            <v>177</v>
          </cell>
        </row>
        <row r="10644">
          <cell r="B10644">
            <v>0.12318287037040183</v>
          </cell>
          <cell r="C10644">
            <v>177</v>
          </cell>
        </row>
        <row r="10645">
          <cell r="B10645">
            <v>0.12319444444447591</v>
          </cell>
          <cell r="C10645">
            <v>177</v>
          </cell>
        </row>
        <row r="10646">
          <cell r="B10646">
            <v>0.12320601851855</v>
          </cell>
          <cell r="C10646">
            <v>177</v>
          </cell>
        </row>
        <row r="10647">
          <cell r="B10647">
            <v>0.12321759259262408</v>
          </cell>
          <cell r="C10647">
            <v>177</v>
          </cell>
        </row>
        <row r="10648">
          <cell r="B10648">
            <v>0.12322916666669816</v>
          </cell>
          <cell r="C10648">
            <v>177</v>
          </cell>
        </row>
        <row r="10649">
          <cell r="B10649">
            <v>0.12324074074077224</v>
          </cell>
          <cell r="C10649">
            <v>177</v>
          </cell>
        </row>
        <row r="10650">
          <cell r="B10650">
            <v>0.12325231481484632</v>
          </cell>
          <cell r="C10650">
            <v>177</v>
          </cell>
        </row>
        <row r="10651">
          <cell r="B10651">
            <v>0.1232638888889204</v>
          </cell>
          <cell r="C10651">
            <v>177</v>
          </cell>
        </row>
        <row r="10652">
          <cell r="B10652">
            <v>0.12327546296299448</v>
          </cell>
          <cell r="C10652">
            <v>177</v>
          </cell>
        </row>
        <row r="10653">
          <cell r="B10653">
            <v>0.12328703703706856</v>
          </cell>
          <cell r="C10653">
            <v>177</v>
          </cell>
        </row>
        <row r="10654">
          <cell r="B10654">
            <v>0.12329861111114264</v>
          </cell>
          <cell r="C10654">
            <v>177</v>
          </cell>
        </row>
        <row r="10655">
          <cell r="B10655">
            <v>0.12331018518521672</v>
          </cell>
          <cell r="C10655">
            <v>177</v>
          </cell>
        </row>
        <row r="10656">
          <cell r="B10656">
            <v>0.1233217592592908</v>
          </cell>
          <cell r="C10656">
            <v>177</v>
          </cell>
        </row>
        <row r="10657">
          <cell r="B10657">
            <v>0.12333333333336488</v>
          </cell>
          <cell r="C10657">
            <v>177</v>
          </cell>
        </row>
        <row r="10658">
          <cell r="B10658">
            <v>0.12334490740743896</v>
          </cell>
          <cell r="C10658">
            <v>177</v>
          </cell>
        </row>
        <row r="10659">
          <cell r="B10659">
            <v>0.12335648148151304</v>
          </cell>
          <cell r="C10659">
            <v>177</v>
          </cell>
        </row>
        <row r="10660">
          <cell r="B10660">
            <v>0.12336805555558712</v>
          </cell>
          <cell r="C10660">
            <v>177</v>
          </cell>
        </row>
        <row r="10661">
          <cell r="B10661">
            <v>0.1233796296296612</v>
          </cell>
          <cell r="C10661">
            <v>177</v>
          </cell>
        </row>
        <row r="10662">
          <cell r="B10662">
            <v>0.12339120370373528</v>
          </cell>
          <cell r="C10662">
            <v>177</v>
          </cell>
        </row>
        <row r="10663">
          <cell r="B10663">
            <v>0.12340277777780936</v>
          </cell>
          <cell r="C10663">
            <v>177</v>
          </cell>
        </row>
        <row r="10664">
          <cell r="B10664">
            <v>0.12341435185188344</v>
          </cell>
          <cell r="C10664">
            <v>177</v>
          </cell>
        </row>
        <row r="10665">
          <cell r="B10665">
            <v>0.12342592592595752</v>
          </cell>
          <cell r="C10665">
            <v>177</v>
          </cell>
        </row>
        <row r="10666">
          <cell r="B10666">
            <v>0.12343750000003161</v>
          </cell>
          <cell r="C10666">
            <v>177</v>
          </cell>
        </row>
        <row r="10667">
          <cell r="B10667">
            <v>0.12344907407410569</v>
          </cell>
          <cell r="C10667">
            <v>177</v>
          </cell>
        </row>
        <row r="10668">
          <cell r="B10668">
            <v>0.12346064814817977</v>
          </cell>
          <cell r="C10668">
            <v>177</v>
          </cell>
        </row>
        <row r="10669">
          <cell r="B10669">
            <v>0.12347222222225385</v>
          </cell>
          <cell r="C10669">
            <v>177</v>
          </cell>
        </row>
        <row r="10670">
          <cell r="B10670">
            <v>0.12348379629632793</v>
          </cell>
          <cell r="C10670">
            <v>177</v>
          </cell>
        </row>
        <row r="10671">
          <cell r="B10671">
            <v>0.12349537037040201</v>
          </cell>
          <cell r="C10671">
            <v>177</v>
          </cell>
        </row>
        <row r="10672">
          <cell r="B10672">
            <v>0.12350694444447609</v>
          </cell>
          <cell r="C10672">
            <v>177</v>
          </cell>
        </row>
        <row r="10673">
          <cell r="B10673">
            <v>0.12351851851855017</v>
          </cell>
          <cell r="C10673">
            <v>177</v>
          </cell>
        </row>
        <row r="10674">
          <cell r="B10674">
            <v>0.12353009259262425</v>
          </cell>
          <cell r="C10674">
            <v>177</v>
          </cell>
        </row>
        <row r="10675">
          <cell r="B10675">
            <v>0.12354166666669833</v>
          </cell>
          <cell r="C10675">
            <v>177</v>
          </cell>
        </row>
        <row r="10676">
          <cell r="B10676">
            <v>0.12355324074077241</v>
          </cell>
          <cell r="C10676">
            <v>177</v>
          </cell>
        </row>
        <row r="10677">
          <cell r="B10677">
            <v>0.12356481481484649</v>
          </cell>
          <cell r="C10677">
            <v>177</v>
          </cell>
        </row>
        <row r="10678">
          <cell r="B10678">
            <v>0.12357638888892057</v>
          </cell>
          <cell r="C10678">
            <v>177</v>
          </cell>
        </row>
        <row r="10679">
          <cell r="B10679">
            <v>0.12358796296299465</v>
          </cell>
          <cell r="C10679">
            <v>177</v>
          </cell>
        </row>
        <row r="10680">
          <cell r="B10680">
            <v>0.12359953703706873</v>
          </cell>
          <cell r="C10680">
            <v>177</v>
          </cell>
        </row>
        <row r="10681">
          <cell r="B10681">
            <v>0.12361111111114281</v>
          </cell>
          <cell r="C10681">
            <v>178</v>
          </cell>
        </row>
        <row r="10682">
          <cell r="B10682">
            <v>0.12362268518521689</v>
          </cell>
          <cell r="C10682">
            <v>178</v>
          </cell>
        </row>
        <row r="10683">
          <cell r="B10683">
            <v>0.12363425925929097</v>
          </cell>
          <cell r="C10683">
            <v>178</v>
          </cell>
        </row>
        <row r="10684">
          <cell r="B10684">
            <v>0.12364583333336505</v>
          </cell>
          <cell r="C10684">
            <v>178</v>
          </cell>
        </row>
        <row r="10685">
          <cell r="B10685">
            <v>0.12365740740743913</v>
          </cell>
          <cell r="C10685">
            <v>178</v>
          </cell>
        </row>
        <row r="10686">
          <cell r="B10686">
            <v>0.12366898148151322</v>
          </cell>
          <cell r="C10686">
            <v>178</v>
          </cell>
        </row>
        <row r="10687">
          <cell r="B10687">
            <v>0.1236805555555873</v>
          </cell>
          <cell r="C10687">
            <v>178</v>
          </cell>
        </row>
        <row r="10688">
          <cell r="B10688">
            <v>0.12369212962966138</v>
          </cell>
          <cell r="C10688">
            <v>178</v>
          </cell>
        </row>
        <row r="10689">
          <cell r="B10689">
            <v>0.12370370370373546</v>
          </cell>
          <cell r="C10689">
            <v>178</v>
          </cell>
        </row>
        <row r="10690">
          <cell r="B10690">
            <v>0.12371527777780954</v>
          </cell>
          <cell r="C10690">
            <v>178</v>
          </cell>
        </row>
        <row r="10691">
          <cell r="B10691">
            <v>0.12372685185188362</v>
          </cell>
          <cell r="C10691">
            <v>178</v>
          </cell>
        </row>
        <row r="10692">
          <cell r="B10692">
            <v>0.1237384259259577</v>
          </cell>
          <cell r="C10692">
            <v>178</v>
          </cell>
        </row>
        <row r="10693">
          <cell r="B10693">
            <v>0.12375000000003178</v>
          </cell>
          <cell r="C10693">
            <v>178</v>
          </cell>
        </row>
        <row r="10694">
          <cell r="B10694">
            <v>0.12376157407410586</v>
          </cell>
          <cell r="C10694">
            <v>178</v>
          </cell>
        </row>
        <row r="10695">
          <cell r="B10695">
            <v>0.12377314814817994</v>
          </cell>
          <cell r="C10695">
            <v>178</v>
          </cell>
        </row>
        <row r="10696">
          <cell r="B10696">
            <v>0.12378472222225402</v>
          </cell>
          <cell r="C10696">
            <v>178</v>
          </cell>
        </row>
        <row r="10697">
          <cell r="B10697">
            <v>0.1237962962963281</v>
          </cell>
          <cell r="C10697">
            <v>178</v>
          </cell>
        </row>
        <row r="10698">
          <cell r="B10698">
            <v>0.12380787037040218</v>
          </cell>
          <cell r="C10698">
            <v>178</v>
          </cell>
        </row>
        <row r="10699">
          <cell r="B10699">
            <v>0.12381944444447626</v>
          </cell>
          <cell r="C10699">
            <v>178</v>
          </cell>
        </row>
        <row r="10700">
          <cell r="B10700">
            <v>0.12383101851855034</v>
          </cell>
          <cell r="C10700">
            <v>178</v>
          </cell>
        </row>
        <row r="10701">
          <cell r="B10701">
            <v>0.12384259259262442</v>
          </cell>
          <cell r="C10701">
            <v>178</v>
          </cell>
        </row>
        <row r="10702">
          <cell r="B10702">
            <v>0.1238541666666985</v>
          </cell>
          <cell r="C10702">
            <v>178</v>
          </cell>
        </row>
        <row r="10703">
          <cell r="B10703">
            <v>0.12386574074077258</v>
          </cell>
          <cell r="C10703">
            <v>178</v>
          </cell>
        </row>
        <row r="10704">
          <cell r="B10704">
            <v>0.12387731481484666</v>
          </cell>
          <cell r="C10704">
            <v>178</v>
          </cell>
        </row>
        <row r="10705">
          <cell r="B10705">
            <v>0.12388888888892075</v>
          </cell>
          <cell r="C10705">
            <v>178</v>
          </cell>
        </row>
        <row r="10706">
          <cell r="B10706">
            <v>0.12390046296299483</v>
          </cell>
          <cell r="C10706">
            <v>178</v>
          </cell>
        </row>
        <row r="10707">
          <cell r="B10707">
            <v>0.12391203703706891</v>
          </cell>
          <cell r="C10707">
            <v>178</v>
          </cell>
        </row>
        <row r="10708">
          <cell r="B10708">
            <v>0.12392361111114299</v>
          </cell>
          <cell r="C10708">
            <v>178</v>
          </cell>
        </row>
        <row r="10709">
          <cell r="B10709">
            <v>0.12393518518521707</v>
          </cell>
          <cell r="C10709">
            <v>178</v>
          </cell>
        </row>
        <row r="10710">
          <cell r="B10710">
            <v>0.12394675925929115</v>
          </cell>
          <cell r="C10710">
            <v>178</v>
          </cell>
        </row>
        <row r="10711">
          <cell r="B10711">
            <v>0.12395833333336523</v>
          </cell>
          <cell r="C10711">
            <v>178</v>
          </cell>
        </row>
        <row r="10712">
          <cell r="B10712">
            <v>0.12396990740743931</v>
          </cell>
          <cell r="C10712">
            <v>178</v>
          </cell>
        </row>
        <row r="10713">
          <cell r="B10713">
            <v>0.12398148148151339</v>
          </cell>
          <cell r="C10713">
            <v>178</v>
          </cell>
        </row>
        <row r="10714">
          <cell r="B10714">
            <v>0.12399305555558747</v>
          </cell>
          <cell r="C10714">
            <v>178</v>
          </cell>
        </row>
        <row r="10715">
          <cell r="B10715">
            <v>0.12400462962966155</v>
          </cell>
          <cell r="C10715">
            <v>178</v>
          </cell>
        </row>
        <row r="10716">
          <cell r="B10716">
            <v>0.12401620370373563</v>
          </cell>
          <cell r="C10716">
            <v>178</v>
          </cell>
        </row>
        <row r="10717">
          <cell r="B10717">
            <v>0.12402777777780971</v>
          </cell>
          <cell r="C10717">
            <v>178</v>
          </cell>
        </row>
        <row r="10718">
          <cell r="B10718">
            <v>0.12403935185188379</v>
          </cell>
          <cell r="C10718">
            <v>178</v>
          </cell>
        </row>
        <row r="10719">
          <cell r="B10719">
            <v>0.12405092592595787</v>
          </cell>
          <cell r="C10719">
            <v>178</v>
          </cell>
        </row>
        <row r="10720">
          <cell r="B10720">
            <v>0.12406250000003195</v>
          </cell>
          <cell r="C10720">
            <v>178</v>
          </cell>
        </row>
        <row r="10721">
          <cell r="B10721">
            <v>0.12407407407410603</v>
          </cell>
          <cell r="C10721">
            <v>178</v>
          </cell>
        </row>
        <row r="10722">
          <cell r="B10722">
            <v>0.12408564814818011</v>
          </cell>
          <cell r="C10722">
            <v>178</v>
          </cell>
        </row>
        <row r="10723">
          <cell r="B10723">
            <v>0.12409722222225419</v>
          </cell>
          <cell r="C10723">
            <v>178</v>
          </cell>
        </row>
        <row r="10724">
          <cell r="B10724">
            <v>0.12410879629632827</v>
          </cell>
          <cell r="C10724">
            <v>178</v>
          </cell>
        </row>
        <row r="10725">
          <cell r="B10725">
            <v>0.12412037037040236</v>
          </cell>
          <cell r="C10725">
            <v>178</v>
          </cell>
        </row>
        <row r="10726">
          <cell r="B10726">
            <v>0.12413194444447644</v>
          </cell>
          <cell r="C10726">
            <v>178</v>
          </cell>
        </row>
        <row r="10727">
          <cell r="B10727">
            <v>0.12414351851855052</v>
          </cell>
          <cell r="C10727">
            <v>178</v>
          </cell>
        </row>
        <row r="10728">
          <cell r="B10728">
            <v>0.1241550925926246</v>
          </cell>
          <cell r="C10728">
            <v>178</v>
          </cell>
        </row>
        <row r="10729">
          <cell r="B10729">
            <v>0.12416666666669868</v>
          </cell>
          <cell r="C10729">
            <v>178</v>
          </cell>
        </row>
        <row r="10730">
          <cell r="B10730">
            <v>0.12417824074077276</v>
          </cell>
          <cell r="C10730">
            <v>178</v>
          </cell>
        </row>
        <row r="10731">
          <cell r="B10731">
            <v>0.12418981481484684</v>
          </cell>
          <cell r="C10731">
            <v>178</v>
          </cell>
        </row>
        <row r="10732">
          <cell r="B10732">
            <v>0.12420138888892092</v>
          </cell>
          <cell r="C10732">
            <v>178</v>
          </cell>
        </row>
        <row r="10733">
          <cell r="B10733">
            <v>0.124212962962995</v>
          </cell>
          <cell r="C10733">
            <v>178</v>
          </cell>
        </row>
        <row r="10734">
          <cell r="B10734">
            <v>0.12422453703706908</v>
          </cell>
          <cell r="C10734">
            <v>178</v>
          </cell>
        </row>
        <row r="10735">
          <cell r="B10735">
            <v>0.12423611111114316</v>
          </cell>
          <cell r="C10735">
            <v>178</v>
          </cell>
        </row>
        <row r="10736">
          <cell r="B10736">
            <v>0.12424768518521724</v>
          </cell>
          <cell r="C10736">
            <v>178</v>
          </cell>
        </row>
        <row r="10737">
          <cell r="B10737">
            <v>0.12425925925929132</v>
          </cell>
          <cell r="C10737">
            <v>178</v>
          </cell>
        </row>
        <row r="10738">
          <cell r="B10738">
            <v>0.1242708333333654</v>
          </cell>
          <cell r="C10738">
            <v>178</v>
          </cell>
        </row>
        <row r="10739">
          <cell r="B10739">
            <v>0.12428240740743948</v>
          </cell>
          <cell r="C10739">
            <v>178</v>
          </cell>
        </row>
        <row r="10740">
          <cell r="B10740">
            <v>0.12429398148151356</v>
          </cell>
          <cell r="C10740">
            <v>178</v>
          </cell>
        </row>
        <row r="10741">
          <cell r="B10741">
            <v>0.12430555555558764</v>
          </cell>
          <cell r="C10741">
            <v>179</v>
          </cell>
        </row>
        <row r="10742">
          <cell r="B10742">
            <v>0.12431712962966172</v>
          </cell>
          <cell r="C10742">
            <v>179</v>
          </cell>
        </row>
        <row r="10743">
          <cell r="B10743">
            <v>0.1243287037037358</v>
          </cell>
          <cell r="C10743">
            <v>179</v>
          </cell>
        </row>
        <row r="10744">
          <cell r="B10744">
            <v>0.12434027777780988</v>
          </cell>
          <cell r="C10744">
            <v>179</v>
          </cell>
        </row>
        <row r="10745">
          <cell r="B10745">
            <v>0.12435185185188397</v>
          </cell>
          <cell r="C10745">
            <v>179</v>
          </cell>
        </row>
        <row r="10746">
          <cell r="B10746">
            <v>0.12436342592595805</v>
          </cell>
          <cell r="C10746">
            <v>179</v>
          </cell>
        </row>
        <row r="10747">
          <cell r="B10747">
            <v>0.12437500000003213</v>
          </cell>
          <cell r="C10747">
            <v>179</v>
          </cell>
        </row>
        <row r="10748">
          <cell r="B10748">
            <v>0.12438657407410621</v>
          </cell>
          <cell r="C10748">
            <v>179</v>
          </cell>
        </row>
        <row r="10749">
          <cell r="B10749">
            <v>0.12439814814818029</v>
          </cell>
          <cell r="C10749">
            <v>179</v>
          </cell>
        </row>
        <row r="10750">
          <cell r="B10750">
            <v>0.12440972222225437</v>
          </cell>
          <cell r="C10750">
            <v>179</v>
          </cell>
        </row>
        <row r="10751">
          <cell r="B10751">
            <v>0.12442129629632845</v>
          </cell>
          <cell r="C10751">
            <v>179</v>
          </cell>
        </row>
        <row r="10752">
          <cell r="B10752">
            <v>0.12443287037040253</v>
          </cell>
          <cell r="C10752">
            <v>179</v>
          </cell>
        </row>
        <row r="10753">
          <cell r="B10753">
            <v>0.12444444444447661</v>
          </cell>
          <cell r="C10753">
            <v>179</v>
          </cell>
        </row>
        <row r="10754">
          <cell r="B10754">
            <v>0.12445601851855069</v>
          </cell>
          <cell r="C10754">
            <v>179</v>
          </cell>
        </row>
        <row r="10755">
          <cell r="B10755">
            <v>0.12446759259262477</v>
          </cell>
          <cell r="C10755">
            <v>179</v>
          </cell>
        </row>
        <row r="10756">
          <cell r="B10756">
            <v>0.12447916666669885</v>
          </cell>
          <cell r="C10756">
            <v>179</v>
          </cell>
        </row>
        <row r="10757">
          <cell r="B10757">
            <v>0.12449074074077293</v>
          </cell>
          <cell r="C10757">
            <v>179</v>
          </cell>
        </row>
        <row r="10758">
          <cell r="B10758">
            <v>0.12450231481484701</v>
          </cell>
          <cell r="C10758">
            <v>179</v>
          </cell>
        </row>
        <row r="10759">
          <cell r="B10759">
            <v>0.12451388888892109</v>
          </cell>
          <cell r="C10759">
            <v>179</v>
          </cell>
        </row>
        <row r="10760">
          <cell r="B10760">
            <v>0.12452546296299517</v>
          </cell>
          <cell r="C10760">
            <v>179</v>
          </cell>
        </row>
        <row r="10761">
          <cell r="B10761">
            <v>0.12453703703706925</v>
          </cell>
          <cell r="C10761">
            <v>179</v>
          </cell>
        </row>
        <row r="10762">
          <cell r="B10762">
            <v>0.12454861111114333</v>
          </cell>
          <cell r="C10762">
            <v>179</v>
          </cell>
        </row>
        <row r="10763">
          <cell r="B10763">
            <v>0.12456018518521741</v>
          </cell>
          <cell r="C10763">
            <v>179</v>
          </cell>
        </row>
        <row r="10764">
          <cell r="B10764">
            <v>0.1245717592592915</v>
          </cell>
          <cell r="C10764">
            <v>179</v>
          </cell>
        </row>
        <row r="10765">
          <cell r="B10765">
            <v>0.12458333333336558</v>
          </cell>
          <cell r="C10765">
            <v>179</v>
          </cell>
        </row>
        <row r="10766">
          <cell r="B10766">
            <v>0.12459490740743966</v>
          </cell>
          <cell r="C10766">
            <v>179</v>
          </cell>
        </row>
        <row r="10767">
          <cell r="B10767">
            <v>0.12460648148151374</v>
          </cell>
          <cell r="C10767">
            <v>179</v>
          </cell>
        </row>
        <row r="10768">
          <cell r="B10768">
            <v>0.12461805555558782</v>
          </cell>
          <cell r="C10768">
            <v>179</v>
          </cell>
        </row>
        <row r="10769">
          <cell r="B10769">
            <v>0.1246296296296619</v>
          </cell>
          <cell r="C10769">
            <v>179</v>
          </cell>
        </row>
        <row r="10770">
          <cell r="B10770">
            <v>0.12464120370373598</v>
          </cell>
          <cell r="C10770">
            <v>179</v>
          </cell>
        </row>
        <row r="10771">
          <cell r="B10771">
            <v>0.12465277777781006</v>
          </cell>
          <cell r="C10771">
            <v>179</v>
          </cell>
        </row>
        <row r="10772">
          <cell r="B10772">
            <v>0.12466435185188414</v>
          </cell>
          <cell r="C10772">
            <v>179</v>
          </cell>
        </row>
        <row r="10773">
          <cell r="B10773">
            <v>0.12467592592595822</v>
          </cell>
          <cell r="C10773">
            <v>179</v>
          </cell>
        </row>
        <row r="10774">
          <cell r="B10774">
            <v>0.1246875000000323</v>
          </cell>
          <cell r="C10774">
            <v>179</v>
          </cell>
        </row>
        <row r="10775">
          <cell r="B10775">
            <v>0.12469907407410638</v>
          </cell>
          <cell r="C10775">
            <v>179</v>
          </cell>
        </row>
        <row r="10776">
          <cell r="B10776">
            <v>0.12471064814818046</v>
          </cell>
          <cell r="C10776">
            <v>179</v>
          </cell>
        </row>
        <row r="10777">
          <cell r="B10777">
            <v>0.12472222222225454</v>
          </cell>
          <cell r="C10777">
            <v>179</v>
          </cell>
        </row>
        <row r="10778">
          <cell r="B10778">
            <v>0.12473379629632862</v>
          </cell>
          <cell r="C10778">
            <v>179</v>
          </cell>
        </row>
        <row r="10779">
          <cell r="B10779">
            <v>0.1247453703704027</v>
          </cell>
          <cell r="C10779">
            <v>179</v>
          </cell>
        </row>
        <row r="10780">
          <cell r="B10780">
            <v>0.12475694444447678</v>
          </cell>
          <cell r="C10780">
            <v>179</v>
          </cell>
        </row>
        <row r="10781">
          <cell r="B10781">
            <v>0.12476851851855086</v>
          </cell>
          <cell r="C10781">
            <v>179</v>
          </cell>
        </row>
        <row r="10782">
          <cell r="B10782">
            <v>0.12478009259262494</v>
          </cell>
          <cell r="C10782">
            <v>179</v>
          </cell>
        </row>
        <row r="10783">
          <cell r="B10783">
            <v>0.12479166666669902</v>
          </cell>
          <cell r="C10783">
            <v>179</v>
          </cell>
        </row>
        <row r="10784">
          <cell r="B10784">
            <v>0.12480324074077311</v>
          </cell>
          <cell r="C10784">
            <v>179</v>
          </cell>
        </row>
        <row r="10785">
          <cell r="B10785">
            <v>0.12481481481484719</v>
          </cell>
          <cell r="C10785">
            <v>179</v>
          </cell>
        </row>
        <row r="10786">
          <cell r="B10786">
            <v>0.12482638888892127</v>
          </cell>
          <cell r="C10786">
            <v>179</v>
          </cell>
        </row>
        <row r="10787">
          <cell r="B10787">
            <v>0.12483796296299535</v>
          </cell>
          <cell r="C10787">
            <v>179</v>
          </cell>
        </row>
        <row r="10788">
          <cell r="B10788">
            <v>0.12484953703706943</v>
          </cell>
          <cell r="C10788">
            <v>179</v>
          </cell>
        </row>
        <row r="10789">
          <cell r="B10789">
            <v>0.12486111111114351</v>
          </cell>
          <cell r="C10789">
            <v>179</v>
          </cell>
        </row>
        <row r="10790">
          <cell r="B10790">
            <v>0.12487268518521759</v>
          </cell>
          <cell r="C10790">
            <v>179</v>
          </cell>
        </row>
        <row r="10791">
          <cell r="B10791">
            <v>0.12488425925929167</v>
          </cell>
          <cell r="C10791">
            <v>179</v>
          </cell>
        </row>
        <row r="10792">
          <cell r="B10792">
            <v>0.12489583333336575</v>
          </cell>
          <cell r="C10792">
            <v>179</v>
          </cell>
        </row>
        <row r="10793">
          <cell r="B10793">
            <v>0.12490740740743983</v>
          </cell>
          <cell r="C10793">
            <v>179</v>
          </cell>
        </row>
        <row r="10794">
          <cell r="B10794">
            <v>0.12491898148151391</v>
          </cell>
          <cell r="C10794">
            <v>179</v>
          </cell>
        </row>
        <row r="10795">
          <cell r="B10795">
            <v>0.12493055555558799</v>
          </cell>
          <cell r="C10795">
            <v>179</v>
          </cell>
        </row>
        <row r="10796">
          <cell r="B10796">
            <v>0.12494212962966207</v>
          </cell>
          <cell r="C10796">
            <v>179</v>
          </cell>
        </row>
        <row r="10797">
          <cell r="B10797">
            <v>0.12495370370373615</v>
          </cell>
          <cell r="C10797">
            <v>179</v>
          </cell>
        </row>
        <row r="10798">
          <cell r="B10798">
            <v>0.12496527777781023</v>
          </cell>
          <cell r="C10798">
            <v>179</v>
          </cell>
        </row>
        <row r="10799">
          <cell r="B10799">
            <v>0.12497685185188431</v>
          </cell>
          <cell r="C10799">
            <v>179</v>
          </cell>
        </row>
        <row r="10800">
          <cell r="B10800">
            <v>0.12498842592595839</v>
          </cell>
          <cell r="C10800">
            <v>179</v>
          </cell>
        </row>
        <row r="10801">
          <cell r="B10801">
            <v>0.12500000000003247</v>
          </cell>
          <cell r="C10801">
            <v>180</v>
          </cell>
        </row>
        <row r="10802">
          <cell r="B10802">
            <v>0.12501157407410654</v>
          </cell>
          <cell r="C10802">
            <v>180</v>
          </cell>
        </row>
        <row r="10803">
          <cell r="B10803">
            <v>0.12502314814818061</v>
          </cell>
          <cell r="C10803">
            <v>180</v>
          </cell>
        </row>
        <row r="10804">
          <cell r="B10804">
            <v>0.12503472222225467</v>
          </cell>
          <cell r="C10804">
            <v>180</v>
          </cell>
        </row>
        <row r="10805">
          <cell r="B10805">
            <v>0.12504629629632874</v>
          </cell>
          <cell r="C10805">
            <v>180</v>
          </cell>
        </row>
        <row r="10806">
          <cell r="B10806">
            <v>0.12505787037040281</v>
          </cell>
          <cell r="C10806">
            <v>180</v>
          </cell>
        </row>
        <row r="10807">
          <cell r="B10807">
            <v>0.12506944444447687</v>
          </cell>
          <cell r="C10807">
            <v>180</v>
          </cell>
        </row>
        <row r="10808">
          <cell r="B10808">
            <v>0.12508101851855094</v>
          </cell>
          <cell r="C10808">
            <v>180</v>
          </cell>
        </row>
        <row r="10809">
          <cell r="B10809">
            <v>0.12509259259262501</v>
          </cell>
          <cell r="C10809">
            <v>180</v>
          </cell>
        </row>
        <row r="10810">
          <cell r="B10810">
            <v>0.12510416666669907</v>
          </cell>
          <cell r="C10810">
            <v>180</v>
          </cell>
        </row>
        <row r="10811">
          <cell r="B10811">
            <v>0.12511574074077314</v>
          </cell>
          <cell r="C10811">
            <v>180</v>
          </cell>
        </row>
        <row r="10812">
          <cell r="B10812">
            <v>0.12512731481484721</v>
          </cell>
          <cell r="C10812">
            <v>180</v>
          </cell>
        </row>
        <row r="10813">
          <cell r="B10813">
            <v>0.12513888888892127</v>
          </cell>
          <cell r="C10813">
            <v>180</v>
          </cell>
        </row>
        <row r="10814">
          <cell r="B10814">
            <v>0.12515046296299534</v>
          </cell>
          <cell r="C10814">
            <v>180</v>
          </cell>
        </row>
        <row r="10815">
          <cell r="B10815">
            <v>0.12516203703706941</v>
          </cell>
          <cell r="C10815">
            <v>180</v>
          </cell>
        </row>
        <row r="10816">
          <cell r="B10816">
            <v>0.12517361111114347</v>
          </cell>
          <cell r="C10816">
            <v>180</v>
          </cell>
        </row>
        <row r="10817">
          <cell r="B10817">
            <v>0.12518518518521754</v>
          </cell>
          <cell r="C10817">
            <v>180</v>
          </cell>
        </row>
        <row r="10818">
          <cell r="B10818">
            <v>0.12519675925929161</v>
          </cell>
          <cell r="C10818">
            <v>180</v>
          </cell>
        </row>
        <row r="10819">
          <cell r="B10819">
            <v>0.12520833333336567</v>
          </cell>
          <cell r="C10819">
            <v>180</v>
          </cell>
        </row>
        <row r="10820">
          <cell r="B10820">
            <v>0.12521990740743974</v>
          </cell>
          <cell r="C10820">
            <v>180</v>
          </cell>
        </row>
        <row r="10821">
          <cell r="B10821">
            <v>0.12523148148151381</v>
          </cell>
          <cell r="C10821">
            <v>180</v>
          </cell>
        </row>
        <row r="10822">
          <cell r="B10822">
            <v>0.12524305555558787</v>
          </cell>
          <cell r="C10822">
            <v>180</v>
          </cell>
        </row>
        <row r="10823">
          <cell r="B10823">
            <v>0.12525462962966194</v>
          </cell>
          <cell r="C10823">
            <v>180</v>
          </cell>
        </row>
        <row r="10824">
          <cell r="B10824">
            <v>0.12526620370373601</v>
          </cell>
          <cell r="C10824">
            <v>180</v>
          </cell>
        </row>
        <row r="10825">
          <cell r="B10825">
            <v>0.12527777777781007</v>
          </cell>
          <cell r="C10825">
            <v>180</v>
          </cell>
        </row>
        <row r="10826">
          <cell r="B10826">
            <v>0.12528935185188414</v>
          </cell>
          <cell r="C10826">
            <v>180</v>
          </cell>
        </row>
        <row r="10827">
          <cell r="B10827">
            <v>0.12530092592595821</v>
          </cell>
          <cell r="C10827">
            <v>180</v>
          </cell>
        </row>
        <row r="10828">
          <cell r="B10828">
            <v>0.12531250000003227</v>
          </cell>
          <cell r="C10828">
            <v>180</v>
          </cell>
        </row>
        <row r="10829">
          <cell r="B10829">
            <v>0.12532407407410634</v>
          </cell>
          <cell r="C10829">
            <v>180</v>
          </cell>
        </row>
        <row r="10830">
          <cell r="B10830">
            <v>0.12533564814818041</v>
          </cell>
          <cell r="C10830">
            <v>180</v>
          </cell>
        </row>
        <row r="10831">
          <cell r="B10831">
            <v>0.12534722222225447</v>
          </cell>
          <cell r="C10831">
            <v>180</v>
          </cell>
        </row>
        <row r="10832">
          <cell r="B10832">
            <v>0.12535879629632854</v>
          </cell>
          <cell r="C10832">
            <v>180</v>
          </cell>
        </row>
        <row r="10833">
          <cell r="B10833">
            <v>0.12537037037040261</v>
          </cell>
          <cell r="C10833">
            <v>180</v>
          </cell>
        </row>
        <row r="10834">
          <cell r="B10834">
            <v>0.12538194444447667</v>
          </cell>
          <cell r="C10834">
            <v>180</v>
          </cell>
        </row>
        <row r="10835">
          <cell r="B10835">
            <v>0.12539351851855074</v>
          </cell>
          <cell r="C10835">
            <v>180</v>
          </cell>
        </row>
        <row r="10836">
          <cell r="B10836">
            <v>0.12540509259262481</v>
          </cell>
          <cell r="C10836">
            <v>180</v>
          </cell>
        </row>
        <row r="10837">
          <cell r="B10837">
            <v>0.12541666666669887</v>
          </cell>
          <cell r="C10837">
            <v>180</v>
          </cell>
        </row>
        <row r="10838">
          <cell r="B10838">
            <v>0.12542824074077294</v>
          </cell>
          <cell r="C10838">
            <v>180</v>
          </cell>
        </row>
        <row r="10839">
          <cell r="B10839">
            <v>0.12543981481484701</v>
          </cell>
          <cell r="C10839">
            <v>180</v>
          </cell>
        </row>
        <row r="10840">
          <cell r="B10840">
            <v>0.12545138888892107</v>
          </cell>
          <cell r="C10840">
            <v>180</v>
          </cell>
        </row>
        <row r="10841">
          <cell r="B10841">
            <v>0.12546296296299514</v>
          </cell>
          <cell r="C10841">
            <v>180</v>
          </cell>
        </row>
        <row r="10842">
          <cell r="B10842">
            <v>0.12547453703706921</v>
          </cell>
          <cell r="C10842">
            <v>180</v>
          </cell>
        </row>
        <row r="10843">
          <cell r="B10843">
            <v>0.12548611111114327</v>
          </cell>
          <cell r="C10843">
            <v>180</v>
          </cell>
        </row>
        <row r="10844">
          <cell r="B10844">
            <v>0.12549768518521734</v>
          </cell>
          <cell r="C10844">
            <v>180</v>
          </cell>
        </row>
        <row r="10845">
          <cell r="B10845">
            <v>0.12550925925929141</v>
          </cell>
          <cell r="C10845">
            <v>180</v>
          </cell>
        </row>
        <row r="10846">
          <cell r="B10846">
            <v>0.12552083333336547</v>
          </cell>
          <cell r="C10846">
            <v>180</v>
          </cell>
        </row>
        <row r="10847">
          <cell r="B10847">
            <v>0.12553240740743954</v>
          </cell>
          <cell r="C10847">
            <v>180</v>
          </cell>
        </row>
        <row r="10848">
          <cell r="B10848">
            <v>0.12554398148151361</v>
          </cell>
          <cell r="C10848">
            <v>180</v>
          </cell>
        </row>
        <row r="10849">
          <cell r="B10849">
            <v>0.12555555555558767</v>
          </cell>
          <cell r="C10849">
            <v>180</v>
          </cell>
        </row>
        <row r="10850">
          <cell r="B10850">
            <v>0.12556712962966174</v>
          </cell>
          <cell r="C10850">
            <v>180</v>
          </cell>
        </row>
        <row r="10851">
          <cell r="B10851">
            <v>0.12557870370373581</v>
          </cell>
          <cell r="C10851">
            <v>180</v>
          </cell>
        </row>
        <row r="10852">
          <cell r="B10852">
            <v>0.12559027777780987</v>
          </cell>
          <cell r="C10852">
            <v>180</v>
          </cell>
        </row>
        <row r="10853">
          <cell r="B10853">
            <v>0.12560185185188394</v>
          </cell>
          <cell r="C10853">
            <v>180</v>
          </cell>
        </row>
        <row r="10854">
          <cell r="B10854">
            <v>0.12561342592595801</v>
          </cell>
          <cell r="C10854">
            <v>180</v>
          </cell>
        </row>
        <row r="10855">
          <cell r="B10855">
            <v>0.12562500000003207</v>
          </cell>
          <cell r="C10855">
            <v>180</v>
          </cell>
        </row>
        <row r="10856">
          <cell r="B10856">
            <v>0.12563657407410614</v>
          </cell>
          <cell r="C10856">
            <v>180</v>
          </cell>
        </row>
        <row r="10857">
          <cell r="B10857">
            <v>0.12564814814818021</v>
          </cell>
          <cell r="C10857">
            <v>180</v>
          </cell>
        </row>
        <row r="10858">
          <cell r="B10858">
            <v>0.12565972222225427</v>
          </cell>
          <cell r="C10858">
            <v>180</v>
          </cell>
        </row>
        <row r="10859">
          <cell r="B10859">
            <v>0.12567129629632834</v>
          </cell>
          <cell r="C10859">
            <v>180</v>
          </cell>
        </row>
        <row r="10860">
          <cell r="B10860">
            <v>0.12568287037040241</v>
          </cell>
          <cell r="C10860">
            <v>180</v>
          </cell>
        </row>
      </sheetData>
      <sheetData sheetId="36"/>
      <sheetData sheetId="3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a Karyawan"/>
      <sheetName val="Data Update 2014"/>
      <sheetName val="Data Update 2015"/>
      <sheetName val="DATA K 2016"/>
      <sheetName val="RESIGN"/>
      <sheetName val="Data Karyawan Tetap"/>
      <sheetName val="Data Karyawan Update"/>
      <sheetName val="PROMOSI"/>
      <sheetName val="UPDATE GOL"/>
      <sheetName val="Data Karyawan Tetap update"/>
      <sheetName val="Karyawan Kontrak Update"/>
      <sheetName val="Kontrak Sunter"/>
      <sheetName val="List Deadline kontrak"/>
      <sheetName val="Shee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UMLAH KARYAWAN"/>
      <sheetName val="KARYAWAN BARU"/>
      <sheetName val="KARYAWAN KELUAR"/>
      <sheetName val="MUTASI, PROMOSI, ROTASI"/>
      <sheetName val="Kontrak Karyawan"/>
      <sheetName val="Data Karyawan"/>
      <sheetName val="Daft. Kary per Divisi"/>
      <sheetName val="USER ID"/>
      <sheetName val="Sheet1"/>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Kurnilamuliap1@gmail.com" TargetMode="External"/><Relationship Id="rId21" Type="http://schemas.openxmlformats.org/officeDocument/2006/relationships/hyperlink" Target="mailto:nanang@ckd-otto.com" TargetMode="External"/><Relationship Id="rId42" Type="http://schemas.openxmlformats.org/officeDocument/2006/relationships/hyperlink" Target="mailto:hadyanti@ckd-otto.com" TargetMode="External"/><Relationship Id="rId63" Type="http://schemas.openxmlformats.org/officeDocument/2006/relationships/hyperlink" Target="mailto:sudrajatedipuspito06@gmail.com" TargetMode="External"/><Relationship Id="rId84" Type="http://schemas.openxmlformats.org/officeDocument/2006/relationships/hyperlink" Target="mailto:revelino@ckd-otto.com" TargetMode="External"/><Relationship Id="rId138" Type="http://schemas.openxmlformats.org/officeDocument/2006/relationships/hyperlink" Target="mailto:albert.yusuf@gmail.com" TargetMode="External"/><Relationship Id="rId159" Type="http://schemas.openxmlformats.org/officeDocument/2006/relationships/drawing" Target="../drawings/drawing1.xml"/><Relationship Id="rId107" Type="http://schemas.openxmlformats.org/officeDocument/2006/relationships/hyperlink" Target="mailto:maria@ckd-otto.com" TargetMode="External"/><Relationship Id="rId11" Type="http://schemas.openxmlformats.org/officeDocument/2006/relationships/hyperlink" Target="mailto:rafly.renza@yahoo.com/renza.rhafly@gmail.com" TargetMode="External"/><Relationship Id="rId32" Type="http://schemas.openxmlformats.org/officeDocument/2006/relationships/hyperlink" Target="mailto:belinda@ckd-otto.com" TargetMode="External"/><Relationship Id="rId53" Type="http://schemas.openxmlformats.org/officeDocument/2006/relationships/hyperlink" Target="mailto:afni@ckd-otto.com" TargetMode="External"/><Relationship Id="rId74" Type="http://schemas.openxmlformats.org/officeDocument/2006/relationships/hyperlink" Target="mailto:farahditar27@gmail.com" TargetMode="External"/><Relationship Id="rId128" Type="http://schemas.openxmlformats.org/officeDocument/2006/relationships/hyperlink" Target="mailto:trianita@ckd-otto.com" TargetMode="External"/><Relationship Id="rId149" Type="http://schemas.openxmlformats.org/officeDocument/2006/relationships/hyperlink" Target="mailto:aidi@ckd-otto.com" TargetMode="External"/><Relationship Id="rId5" Type="http://schemas.openxmlformats.org/officeDocument/2006/relationships/hyperlink" Target="mailto:deddi@ckd-otto.com" TargetMode="External"/><Relationship Id="rId95" Type="http://schemas.openxmlformats.org/officeDocument/2006/relationships/hyperlink" Target="mailto:anggita@ckd-otto.com" TargetMode="External"/><Relationship Id="rId160" Type="http://schemas.openxmlformats.org/officeDocument/2006/relationships/vmlDrawing" Target="../drawings/vmlDrawing1.vml"/><Relationship Id="rId22" Type="http://schemas.openxmlformats.org/officeDocument/2006/relationships/hyperlink" Target="mailto:lilik@ckd-otto.com" TargetMode="External"/><Relationship Id="rId43" Type="http://schemas.openxmlformats.org/officeDocument/2006/relationships/hyperlink" Target="mailto:elvirasida66@gmail.com" TargetMode="External"/><Relationship Id="rId64" Type="http://schemas.openxmlformats.org/officeDocument/2006/relationships/hyperlink" Target="mailto:antonirendragraha22@gmail.com" TargetMode="External"/><Relationship Id="rId118" Type="http://schemas.openxmlformats.org/officeDocument/2006/relationships/hyperlink" Target="mailto:kurnila@ckd-otto.com" TargetMode="External"/><Relationship Id="rId139" Type="http://schemas.openxmlformats.org/officeDocument/2006/relationships/hyperlink" Target="mailto:albert@ckd-otto.com" TargetMode="External"/><Relationship Id="rId85" Type="http://schemas.openxmlformats.org/officeDocument/2006/relationships/hyperlink" Target="mailto:mnaufalluthfif@gmail.com" TargetMode="External"/><Relationship Id="rId150" Type="http://schemas.openxmlformats.org/officeDocument/2006/relationships/hyperlink" Target="mailto:yohanes@ckd-otto.com" TargetMode="External"/><Relationship Id="rId12" Type="http://schemas.openxmlformats.org/officeDocument/2006/relationships/hyperlink" Target="mailto:rafly@ckd-otto.com" TargetMode="External"/><Relationship Id="rId17" Type="http://schemas.openxmlformats.org/officeDocument/2006/relationships/hyperlink" Target="mailto:rahmatnoval35@gmail.com" TargetMode="External"/><Relationship Id="rId33" Type="http://schemas.openxmlformats.org/officeDocument/2006/relationships/hyperlink" Target="mailto:maskurruksam9287@gmail.com" TargetMode="External"/><Relationship Id="rId38" Type="http://schemas.openxmlformats.org/officeDocument/2006/relationships/hyperlink" Target="mailto:didit@ckd-otto.com" TargetMode="External"/><Relationship Id="rId59" Type="http://schemas.openxmlformats.org/officeDocument/2006/relationships/hyperlink" Target="mailto:muklaskadafi@gmail.com" TargetMode="External"/><Relationship Id="rId103" Type="http://schemas.openxmlformats.org/officeDocument/2006/relationships/hyperlink" Target="mailto:liana.lpdh@gmail.com" TargetMode="External"/><Relationship Id="rId108" Type="http://schemas.openxmlformats.org/officeDocument/2006/relationships/hyperlink" Target="mailto:edosadewo1401@gmail.com" TargetMode="External"/><Relationship Id="rId124" Type="http://schemas.openxmlformats.org/officeDocument/2006/relationships/hyperlink" Target="mailto:tesyadea@gmail.com" TargetMode="External"/><Relationship Id="rId129" Type="http://schemas.openxmlformats.org/officeDocument/2006/relationships/hyperlink" Target="mailto:fitrotul@ckd-otto.com" TargetMode="External"/><Relationship Id="rId54" Type="http://schemas.openxmlformats.org/officeDocument/2006/relationships/hyperlink" Target="mailto:wansuract@yahoo.co.id" TargetMode="External"/><Relationship Id="rId70" Type="http://schemas.openxmlformats.org/officeDocument/2006/relationships/hyperlink" Target="mailto:budiparsitobakar43@gmail.com" TargetMode="External"/><Relationship Id="rId75" Type="http://schemas.openxmlformats.org/officeDocument/2006/relationships/hyperlink" Target="mailto:nabillaaq@gmail.com" TargetMode="External"/><Relationship Id="rId91" Type="http://schemas.openxmlformats.org/officeDocument/2006/relationships/hyperlink" Target="mailto:yogimaulanamaghribi@gmail.com" TargetMode="External"/><Relationship Id="rId96" Type="http://schemas.openxmlformats.org/officeDocument/2006/relationships/hyperlink" Target="mailto:anggitalarashati99@gmail.com" TargetMode="External"/><Relationship Id="rId140" Type="http://schemas.openxmlformats.org/officeDocument/2006/relationships/hyperlink" Target="mailto:rifaztam22@gmail.com" TargetMode="External"/><Relationship Id="rId145" Type="http://schemas.openxmlformats.org/officeDocument/2006/relationships/hyperlink" Target="mailto:meirine@ckd-otto.com" TargetMode="External"/><Relationship Id="rId161" Type="http://schemas.openxmlformats.org/officeDocument/2006/relationships/comments" Target="../comments1.xml"/><Relationship Id="rId1" Type="http://schemas.openxmlformats.org/officeDocument/2006/relationships/hyperlink" Target="mailto:yatmi.naprod@gmail.com" TargetMode="External"/><Relationship Id="rId6" Type="http://schemas.openxmlformats.org/officeDocument/2006/relationships/hyperlink" Target="mailto:deddirismarwanto12@gmail.com" TargetMode="External"/><Relationship Id="rId23" Type="http://schemas.openxmlformats.org/officeDocument/2006/relationships/hyperlink" Target="mailto:demmie@ckd-otto.com" TargetMode="External"/><Relationship Id="rId28" Type="http://schemas.openxmlformats.org/officeDocument/2006/relationships/hyperlink" Target="mailto:hana@ckd-otto.com" TargetMode="External"/><Relationship Id="rId49" Type="http://schemas.openxmlformats.org/officeDocument/2006/relationships/hyperlink" Target="mailto:psandyarga@gmail.com" TargetMode="External"/><Relationship Id="rId114" Type="http://schemas.openxmlformats.org/officeDocument/2006/relationships/hyperlink" Target="mailto:parjadiwindhu@gmail.com" TargetMode="External"/><Relationship Id="rId119" Type="http://schemas.openxmlformats.org/officeDocument/2006/relationships/hyperlink" Target="mailto:adiwildan555@gmail.com" TargetMode="External"/><Relationship Id="rId44" Type="http://schemas.openxmlformats.org/officeDocument/2006/relationships/hyperlink" Target="mailto:elvi@ckd-otto.com" TargetMode="External"/><Relationship Id="rId60" Type="http://schemas.openxmlformats.org/officeDocument/2006/relationships/hyperlink" Target="mailto:kuntoanjas7@gmail.com" TargetMode="External"/><Relationship Id="rId65" Type="http://schemas.openxmlformats.org/officeDocument/2006/relationships/hyperlink" Target="mailto:antoni@ckd-otto.com" TargetMode="External"/><Relationship Id="rId81" Type="http://schemas.openxmlformats.org/officeDocument/2006/relationships/hyperlink" Target="mailto:elvin@ckd-otto.com" TargetMode="External"/><Relationship Id="rId86" Type="http://schemas.openxmlformats.org/officeDocument/2006/relationships/hyperlink" Target="mailto:naufal@ckd-otto.com" TargetMode="External"/><Relationship Id="rId130" Type="http://schemas.openxmlformats.org/officeDocument/2006/relationships/hyperlink" Target="mailto:darul@ckd-otto.com" TargetMode="External"/><Relationship Id="rId135" Type="http://schemas.openxmlformats.org/officeDocument/2006/relationships/hyperlink" Target="mailto:yossi@ckd-otto.com" TargetMode="External"/><Relationship Id="rId151" Type="http://schemas.openxmlformats.org/officeDocument/2006/relationships/hyperlink" Target="mailto:ita@ckd-otto.com" TargetMode="External"/><Relationship Id="rId156" Type="http://schemas.openxmlformats.org/officeDocument/2006/relationships/hyperlink" Target="mailto:sanjayakusuma@ymail.com" TargetMode="External"/><Relationship Id="rId13" Type="http://schemas.openxmlformats.org/officeDocument/2006/relationships/hyperlink" Target="mailto:erika@ckd-otto.com" TargetMode="External"/><Relationship Id="rId18" Type="http://schemas.openxmlformats.org/officeDocument/2006/relationships/hyperlink" Target="mailto:nanang_naga@yahoo.co.id" TargetMode="External"/><Relationship Id="rId39" Type="http://schemas.openxmlformats.org/officeDocument/2006/relationships/hyperlink" Target="mailto:tika@ckd-otto.com" TargetMode="External"/><Relationship Id="rId109" Type="http://schemas.openxmlformats.org/officeDocument/2006/relationships/hyperlink" Target="mailto:erwinkertapati@gmail.com" TargetMode="External"/><Relationship Id="rId34" Type="http://schemas.openxmlformats.org/officeDocument/2006/relationships/hyperlink" Target="mailto:maskur@ckd-otto.com" TargetMode="External"/><Relationship Id="rId50" Type="http://schemas.openxmlformats.org/officeDocument/2006/relationships/hyperlink" Target="mailto:sandyarga@ckd-otto.com" TargetMode="External"/><Relationship Id="rId55" Type="http://schemas.openxmlformats.org/officeDocument/2006/relationships/hyperlink" Target="mailto:wawan@ckd-otto.com" TargetMode="External"/><Relationship Id="rId76" Type="http://schemas.openxmlformats.org/officeDocument/2006/relationships/hyperlink" Target="mailto:azka@ckd-otto.com" TargetMode="External"/><Relationship Id="rId97" Type="http://schemas.openxmlformats.org/officeDocument/2006/relationships/hyperlink" Target="mailto:ajeng@ckd-otto.com" TargetMode="External"/><Relationship Id="rId104" Type="http://schemas.openxmlformats.org/officeDocument/2006/relationships/hyperlink" Target="mailto:farhanfirdaus031098@gmail.com" TargetMode="External"/><Relationship Id="rId120" Type="http://schemas.openxmlformats.org/officeDocument/2006/relationships/hyperlink" Target="mailto:adi@ckd-otto.com" TargetMode="External"/><Relationship Id="rId125" Type="http://schemas.openxmlformats.org/officeDocument/2006/relationships/hyperlink" Target="mailto:mjpark@ckd-otto.com" TargetMode="External"/><Relationship Id="rId141" Type="http://schemas.openxmlformats.org/officeDocument/2006/relationships/hyperlink" Target="mailto:alvin@ckd-otto.com" TargetMode="External"/><Relationship Id="rId146" Type="http://schemas.openxmlformats.org/officeDocument/2006/relationships/hyperlink" Target="mailto:mashudi@ckd-otto.com" TargetMode="External"/><Relationship Id="rId7" Type="http://schemas.openxmlformats.org/officeDocument/2006/relationships/hyperlink" Target="mailto:dwiani_suciati@yahoo.com" TargetMode="External"/><Relationship Id="rId71" Type="http://schemas.openxmlformats.org/officeDocument/2006/relationships/hyperlink" Target="mailto:budi@ckd-otto.com" TargetMode="External"/><Relationship Id="rId92" Type="http://schemas.openxmlformats.org/officeDocument/2006/relationships/hyperlink" Target="mailto:muhammadiqballs92@gmail.com" TargetMode="External"/><Relationship Id="rId2" Type="http://schemas.openxmlformats.org/officeDocument/2006/relationships/hyperlink" Target="mailto:jwmoon@ckd-otto.com" TargetMode="External"/><Relationship Id="rId29" Type="http://schemas.openxmlformats.org/officeDocument/2006/relationships/hyperlink" Target="mailto:rinis.saptorini@gmail.com" TargetMode="External"/><Relationship Id="rId24" Type="http://schemas.openxmlformats.org/officeDocument/2006/relationships/hyperlink" Target="mailto:hanarosanna8763@gmail.com" TargetMode="External"/><Relationship Id="rId40" Type="http://schemas.openxmlformats.org/officeDocument/2006/relationships/hyperlink" Target="mailto:tichesari11@gmail.com" TargetMode="External"/><Relationship Id="rId45" Type="http://schemas.openxmlformats.org/officeDocument/2006/relationships/hyperlink" Target="mailto:mukti@ckd-otto.com" TargetMode="External"/><Relationship Id="rId66" Type="http://schemas.openxmlformats.org/officeDocument/2006/relationships/hyperlink" Target="mailto:viktoria.mardhika@gmail.com" TargetMode="External"/><Relationship Id="rId87" Type="http://schemas.openxmlformats.org/officeDocument/2006/relationships/hyperlink" Target="mailto:rizky@ckd-otto.com" TargetMode="External"/><Relationship Id="rId110" Type="http://schemas.openxmlformats.org/officeDocument/2006/relationships/hyperlink" Target="mailto:erwinsyah@ckd-otto.com" TargetMode="External"/><Relationship Id="rId115" Type="http://schemas.openxmlformats.org/officeDocument/2006/relationships/hyperlink" Target="mailto:arina@ckd-otto.com" TargetMode="External"/><Relationship Id="rId131" Type="http://schemas.openxmlformats.org/officeDocument/2006/relationships/hyperlink" Target="mailto:Euis@ckd-otto.com" TargetMode="External"/><Relationship Id="rId136" Type="http://schemas.openxmlformats.org/officeDocument/2006/relationships/hyperlink" Target="mailto:rasulburhanuddin@yahoo.com" TargetMode="External"/><Relationship Id="rId157" Type="http://schemas.openxmlformats.org/officeDocument/2006/relationships/hyperlink" Target="mailto:sanjaya@ckd-otto.com" TargetMode="External"/><Relationship Id="rId61" Type="http://schemas.openxmlformats.org/officeDocument/2006/relationships/hyperlink" Target="mailto:kuntoanjas7@gmail.com" TargetMode="External"/><Relationship Id="rId82" Type="http://schemas.openxmlformats.org/officeDocument/2006/relationships/hyperlink" Target="mailto:ehkhushia@gmail.com" TargetMode="External"/><Relationship Id="rId152" Type="http://schemas.openxmlformats.org/officeDocument/2006/relationships/hyperlink" Target="mailto:Wulan2929@gmail.com%20%20%20%20%20%20" TargetMode="External"/><Relationship Id="rId19" Type="http://schemas.openxmlformats.org/officeDocument/2006/relationships/hyperlink" Target="mailto:oct_demi@yahoo.com" TargetMode="External"/><Relationship Id="rId14" Type="http://schemas.openxmlformats.org/officeDocument/2006/relationships/hyperlink" Target="mailto:imam@ckd-otto.com" TargetMode="External"/><Relationship Id="rId30" Type="http://schemas.openxmlformats.org/officeDocument/2006/relationships/hyperlink" Target="mailto:wahyugun123@gmail.com" TargetMode="External"/><Relationship Id="rId35" Type="http://schemas.openxmlformats.org/officeDocument/2006/relationships/hyperlink" Target="mailto:pcboys@ymail.com" TargetMode="External"/><Relationship Id="rId56" Type="http://schemas.openxmlformats.org/officeDocument/2006/relationships/hyperlink" Target="mailto:retnoaprilial@gmail.com" TargetMode="External"/><Relationship Id="rId77" Type="http://schemas.openxmlformats.org/officeDocument/2006/relationships/hyperlink" Target="mailto:hansalif@gmail.com" TargetMode="External"/><Relationship Id="rId100" Type="http://schemas.openxmlformats.org/officeDocument/2006/relationships/hyperlink" Target="mailto:nmdamayanti@gmail.com" TargetMode="External"/><Relationship Id="rId105" Type="http://schemas.openxmlformats.org/officeDocument/2006/relationships/hyperlink" Target="mailto:shbaik@ckd-otto.com" TargetMode="External"/><Relationship Id="rId126" Type="http://schemas.openxmlformats.org/officeDocument/2006/relationships/hyperlink" Target="mailto:lily@ckd-otto.com" TargetMode="External"/><Relationship Id="rId147" Type="http://schemas.openxmlformats.org/officeDocument/2006/relationships/hyperlink" Target="mailto:mashudi.zaini@yahoo.com" TargetMode="External"/><Relationship Id="rId8" Type="http://schemas.openxmlformats.org/officeDocument/2006/relationships/hyperlink" Target="mailto:dwi@ckd-otto.com" TargetMode="External"/><Relationship Id="rId51" Type="http://schemas.openxmlformats.org/officeDocument/2006/relationships/hyperlink" Target="mailto:indah@ckd-otto.com" TargetMode="External"/><Relationship Id="rId72" Type="http://schemas.openxmlformats.org/officeDocument/2006/relationships/hyperlink" Target="mailto:ricco.a@ckd-otto.com" TargetMode="External"/><Relationship Id="rId93" Type="http://schemas.openxmlformats.org/officeDocument/2006/relationships/hyperlink" Target="mailto:anwarharahap730@gmail.com" TargetMode="External"/><Relationship Id="rId98" Type="http://schemas.openxmlformats.org/officeDocument/2006/relationships/hyperlink" Target="mailto:ajengmeisinta30@gmail.com" TargetMode="External"/><Relationship Id="rId121" Type="http://schemas.openxmlformats.org/officeDocument/2006/relationships/hyperlink" Target="mailto:Adriyanti@ckd-otto.com" TargetMode="External"/><Relationship Id="rId142" Type="http://schemas.openxmlformats.org/officeDocument/2006/relationships/hyperlink" Target="mailto:m.ali@ckd-otto.com" TargetMode="External"/><Relationship Id="rId3" Type="http://schemas.openxmlformats.org/officeDocument/2006/relationships/hyperlink" Target="mailto:shlee@ckd-otto.com" TargetMode="External"/><Relationship Id="rId25" Type="http://schemas.openxmlformats.org/officeDocument/2006/relationships/hyperlink" Target="mailto:saptorini@ckd-otto.com" TargetMode="External"/><Relationship Id="rId46" Type="http://schemas.openxmlformats.org/officeDocument/2006/relationships/hyperlink" Target="mailto:dessy@ckd-otto.com" TargetMode="External"/><Relationship Id="rId67" Type="http://schemas.openxmlformats.org/officeDocument/2006/relationships/hyperlink" Target="mailto:viktoria@ckd-otto.com" TargetMode="External"/><Relationship Id="rId116" Type="http://schemas.openxmlformats.org/officeDocument/2006/relationships/hyperlink" Target="mailto:selma.sorayamariska26@gmail.com" TargetMode="External"/><Relationship Id="rId137" Type="http://schemas.openxmlformats.org/officeDocument/2006/relationships/hyperlink" Target="mailto:rasul@ckd-otto.com" TargetMode="External"/><Relationship Id="rId158" Type="http://schemas.openxmlformats.org/officeDocument/2006/relationships/printerSettings" Target="../printerSettings/printerSettings1.bin"/><Relationship Id="rId20" Type="http://schemas.openxmlformats.org/officeDocument/2006/relationships/hyperlink" Target="mailto:lilik.indrawati03@gmail.com" TargetMode="External"/><Relationship Id="rId41" Type="http://schemas.openxmlformats.org/officeDocument/2006/relationships/hyperlink" Target="mailto:hadyanti.sutedja@gmail.com" TargetMode="External"/><Relationship Id="rId62" Type="http://schemas.openxmlformats.org/officeDocument/2006/relationships/hyperlink" Target="mailto:sudrajatedipuspito06@gmail.com" TargetMode="External"/><Relationship Id="rId83" Type="http://schemas.openxmlformats.org/officeDocument/2006/relationships/hyperlink" Target="mailto:revelinoputra@gmail.com" TargetMode="External"/><Relationship Id="rId88" Type="http://schemas.openxmlformats.org/officeDocument/2006/relationships/hyperlink" Target="mailto:yogi@ckd-otto.com" TargetMode="External"/><Relationship Id="rId111" Type="http://schemas.openxmlformats.org/officeDocument/2006/relationships/hyperlink" Target="mailto:dewiaryani212@gmail.com" TargetMode="External"/><Relationship Id="rId132" Type="http://schemas.openxmlformats.org/officeDocument/2006/relationships/hyperlink" Target="mailto:santyrahmawati78@gmail.com" TargetMode="External"/><Relationship Id="rId153" Type="http://schemas.openxmlformats.org/officeDocument/2006/relationships/hyperlink" Target="mailto:anismahmudah66@gmail.com" TargetMode="External"/><Relationship Id="rId15" Type="http://schemas.openxmlformats.org/officeDocument/2006/relationships/hyperlink" Target="mailto:snisa65@gmail.com" TargetMode="External"/><Relationship Id="rId36" Type="http://schemas.openxmlformats.org/officeDocument/2006/relationships/hyperlink" Target="mailto:usep@ckd-otto.com" TargetMode="External"/><Relationship Id="rId57" Type="http://schemas.openxmlformats.org/officeDocument/2006/relationships/hyperlink" Target="mailto:qcanalyst@ckd-otto.com" TargetMode="External"/><Relationship Id="rId106" Type="http://schemas.openxmlformats.org/officeDocument/2006/relationships/hyperlink" Target="mailto:mariaemmanuela@gmail.com" TargetMode="External"/><Relationship Id="rId127" Type="http://schemas.openxmlformats.org/officeDocument/2006/relationships/hyperlink" Target="mailto:rosana@ckd-otto.com" TargetMode="External"/><Relationship Id="rId10" Type="http://schemas.openxmlformats.org/officeDocument/2006/relationships/hyperlink" Target="mailto:sonysugiarto0@gmail.com" TargetMode="External"/><Relationship Id="rId31" Type="http://schemas.openxmlformats.org/officeDocument/2006/relationships/hyperlink" Target="mailto:rahmat@ckd-otto.com" TargetMode="External"/><Relationship Id="rId52" Type="http://schemas.openxmlformats.org/officeDocument/2006/relationships/hyperlink" Target="mailto:afnimanggede@gmail.com" TargetMode="External"/><Relationship Id="rId73" Type="http://schemas.openxmlformats.org/officeDocument/2006/relationships/hyperlink" Target="mailto:riccoact08@gmail.com" TargetMode="External"/><Relationship Id="rId78" Type="http://schemas.openxmlformats.org/officeDocument/2006/relationships/hyperlink" Target="mailto:hans@ckd-otto.com" TargetMode="External"/><Relationship Id="rId94" Type="http://schemas.openxmlformats.org/officeDocument/2006/relationships/hyperlink" Target="mailto:khairul@ckd-otto.com" TargetMode="External"/><Relationship Id="rId99" Type="http://schemas.openxmlformats.org/officeDocument/2006/relationships/hyperlink" Target="mailto:sinabaribasartina@gmail.com" TargetMode="External"/><Relationship Id="rId101" Type="http://schemas.openxmlformats.org/officeDocument/2006/relationships/hyperlink" Target="mailto:novia@ckd-otto.com" TargetMode="External"/><Relationship Id="rId122" Type="http://schemas.openxmlformats.org/officeDocument/2006/relationships/hyperlink" Target="mailto:ardi@ckd-otto.com" TargetMode="External"/><Relationship Id="rId143" Type="http://schemas.openxmlformats.org/officeDocument/2006/relationships/hyperlink" Target="mailto:Apikkhautsart@gmail.com" TargetMode="External"/><Relationship Id="rId148" Type="http://schemas.openxmlformats.org/officeDocument/2006/relationships/hyperlink" Target="mailto:joko@ckd-otto.com" TargetMode="External"/><Relationship Id="rId4" Type="http://schemas.openxmlformats.org/officeDocument/2006/relationships/hyperlink" Target="mailto:suyatmi@ckd-otto.com" TargetMode="External"/><Relationship Id="rId9" Type="http://schemas.openxmlformats.org/officeDocument/2006/relationships/hyperlink" Target="mailto:puputapj@gmail.com" TargetMode="External"/><Relationship Id="rId26" Type="http://schemas.openxmlformats.org/officeDocument/2006/relationships/hyperlink" Target="mailto:pradana.buanaw@gmail.com" TargetMode="External"/><Relationship Id="rId47" Type="http://schemas.openxmlformats.org/officeDocument/2006/relationships/hyperlink" Target="mailto:dessy.andriani20@yahoo.com" TargetMode="External"/><Relationship Id="rId68" Type="http://schemas.openxmlformats.org/officeDocument/2006/relationships/hyperlink" Target="mailto:teguhsusilo78@gmail.com" TargetMode="External"/><Relationship Id="rId89" Type="http://schemas.openxmlformats.org/officeDocument/2006/relationships/hyperlink" Target="mailto:iqbal@ckd-otto.com" TargetMode="External"/><Relationship Id="rId112" Type="http://schemas.openxmlformats.org/officeDocument/2006/relationships/hyperlink" Target="mailto:dewi@ckd-otto.com" TargetMode="External"/><Relationship Id="rId133" Type="http://schemas.openxmlformats.org/officeDocument/2006/relationships/hyperlink" Target="mailto:santy@ckd-otto.com" TargetMode="External"/><Relationship Id="rId154" Type="http://schemas.openxmlformats.org/officeDocument/2006/relationships/hyperlink" Target="mailto:ptramelia45@gmail.com" TargetMode="External"/><Relationship Id="rId16" Type="http://schemas.openxmlformats.org/officeDocument/2006/relationships/hyperlink" Target="mailto:adieguno19@gmail.com" TargetMode="External"/><Relationship Id="rId37" Type="http://schemas.openxmlformats.org/officeDocument/2006/relationships/hyperlink" Target="mailto:prihartono@ckd-otto.com" TargetMode="External"/><Relationship Id="rId58" Type="http://schemas.openxmlformats.org/officeDocument/2006/relationships/hyperlink" Target="mailto:muklaskadafi@gmail.com" TargetMode="External"/><Relationship Id="rId79" Type="http://schemas.openxmlformats.org/officeDocument/2006/relationships/hyperlink" Target="mailto:dina@ckd-otto.com" TargetMode="External"/><Relationship Id="rId102" Type="http://schemas.openxmlformats.org/officeDocument/2006/relationships/hyperlink" Target="mailto:rita@ckd-otto.com" TargetMode="External"/><Relationship Id="rId123" Type="http://schemas.openxmlformats.org/officeDocument/2006/relationships/hyperlink" Target="mailto:rislahjuanadewi@gmail.com" TargetMode="External"/><Relationship Id="rId144" Type="http://schemas.openxmlformats.org/officeDocument/2006/relationships/hyperlink" Target="mailto:ari@ckd-otto.com" TargetMode="External"/><Relationship Id="rId90" Type="http://schemas.openxmlformats.org/officeDocument/2006/relationships/hyperlink" Target="mailto:rizkymartino29@gmail.com" TargetMode="External"/><Relationship Id="rId27" Type="http://schemas.openxmlformats.org/officeDocument/2006/relationships/hyperlink" Target="mailto:bowo@ckd-otto.com" TargetMode="External"/><Relationship Id="rId48" Type="http://schemas.openxmlformats.org/officeDocument/2006/relationships/hyperlink" Target="mailto:muktiali260277@gmail.com" TargetMode="External"/><Relationship Id="rId69" Type="http://schemas.openxmlformats.org/officeDocument/2006/relationships/hyperlink" Target="mailto:teguh.susilo@ckd-otto.com" TargetMode="External"/><Relationship Id="rId113" Type="http://schemas.openxmlformats.org/officeDocument/2006/relationships/hyperlink" Target="mailto:windhu@ckd-otto.com" TargetMode="External"/><Relationship Id="rId134" Type="http://schemas.openxmlformats.org/officeDocument/2006/relationships/hyperlink" Target="mailto:eugenia@ckd-otto.com" TargetMode="External"/><Relationship Id="rId80" Type="http://schemas.openxmlformats.org/officeDocument/2006/relationships/hyperlink" Target="mailto:dinanurdiana93@gmail.com" TargetMode="External"/><Relationship Id="rId155" Type="http://schemas.openxmlformats.org/officeDocument/2006/relationships/hyperlink" Target="mailto:kardila068@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CAE2E-AA33-476F-9B8B-E36203AE61CC}">
  <sheetPr>
    <pageSetUpPr fitToPage="1"/>
  </sheetPr>
  <dimension ref="A1:CC65423"/>
  <sheetViews>
    <sheetView showGridLines="0" tabSelected="1" zoomScale="74" zoomScaleNormal="74" workbookViewId="0">
      <pane xSplit="3" ySplit="9" topLeftCell="AF58" activePane="bottomRight" state="frozen"/>
      <selection pane="topRight"/>
      <selection pane="bottomLeft"/>
      <selection pane="bottomRight" activeCell="AF66" sqref="AF66"/>
    </sheetView>
  </sheetViews>
  <sheetFormatPr defaultRowHeight="15" customHeight="1" x14ac:dyDescent="0.25"/>
  <cols>
    <col min="1" max="1" width="4.7109375" style="1" customWidth="1"/>
    <col min="2" max="2" width="11.42578125" style="2" customWidth="1"/>
    <col min="3" max="3" width="34.140625" style="2" customWidth="1"/>
    <col min="4" max="4" width="11.85546875" style="2" customWidth="1"/>
    <col min="5" max="5" width="24.42578125" style="2" customWidth="1"/>
    <col min="6" max="6" width="19" style="2" bestFit="1" customWidth="1"/>
    <col min="7" max="7" width="27.140625" style="2" customWidth="1"/>
    <col min="8" max="8" width="21.140625" style="2" bestFit="1" customWidth="1"/>
    <col min="9" max="9" width="35.7109375" style="2" bestFit="1" customWidth="1"/>
    <col min="10" max="10" width="20.140625" style="2" bestFit="1" customWidth="1"/>
    <col min="11" max="11" width="16.42578125" style="2" customWidth="1"/>
    <col min="12" max="12" width="24.140625" style="2" customWidth="1"/>
    <col min="13" max="13" width="18.140625" style="4" customWidth="1"/>
    <col min="14" max="14" width="19" style="4" customWidth="1"/>
    <col min="15" max="15" width="18.140625" style="4" customWidth="1"/>
    <col min="16" max="16" width="23.85546875" style="2" customWidth="1"/>
    <col min="17" max="17" width="16.5703125" style="2" customWidth="1"/>
    <col min="18" max="18" width="24" style="2" customWidth="1"/>
    <col min="19" max="19" width="26.28515625" style="2" customWidth="1"/>
    <col min="20" max="20" width="21.85546875" style="2" customWidth="1"/>
    <col min="21" max="21" width="16.140625" style="2" customWidth="1"/>
    <col min="22" max="22" width="26.140625" style="2" customWidth="1"/>
    <col min="23" max="23" width="22.85546875" style="2" customWidth="1"/>
    <col min="24" max="24" width="22.42578125" style="2" customWidth="1"/>
    <col min="25" max="25" width="15" style="4" customWidth="1"/>
    <col min="26" max="26" width="12.140625" style="4" customWidth="1"/>
    <col min="27" max="27" width="18.5703125" style="4" customWidth="1"/>
    <col min="28" max="28" width="28.5703125" style="2" customWidth="1"/>
    <col min="29" max="29" width="26.140625" style="2" customWidth="1"/>
    <col min="30" max="30" width="10.28515625" style="2" customWidth="1"/>
    <col min="31" max="31" width="60" style="2" bestFit="1" customWidth="1"/>
    <col min="32" max="32" width="33.5703125" style="2" customWidth="1"/>
    <col min="33" max="33" width="14.42578125" style="2" customWidth="1"/>
    <col min="34" max="34" width="36.42578125" style="2" customWidth="1"/>
    <col min="35" max="35" width="44.85546875" style="2" customWidth="1"/>
    <col min="36" max="36" width="37.42578125" style="136" customWidth="1"/>
    <col min="37" max="37" width="123.42578125" style="2" customWidth="1"/>
    <col min="38" max="38" width="34.7109375" style="8" customWidth="1"/>
    <col min="39" max="39" width="93.5703125" style="2" customWidth="1"/>
    <col min="40" max="40" width="16.42578125" style="2" customWidth="1"/>
    <col min="41" max="41" width="24.140625" style="2" customWidth="1"/>
    <col min="42" max="42" width="40.140625" style="2" customWidth="1"/>
    <col min="43" max="43" width="26.140625" style="2" customWidth="1"/>
    <col min="44" max="44" width="23.140625" style="2" customWidth="1"/>
    <col min="45" max="45" width="12.5703125" style="2" customWidth="1"/>
    <col min="46" max="46" width="24.85546875" style="2" customWidth="1"/>
    <col min="47" max="47" width="3.85546875" style="2" customWidth="1"/>
    <col min="48" max="48" width="34.85546875" style="2" customWidth="1"/>
    <col min="49" max="49" width="122.140625" style="2" customWidth="1"/>
    <col min="50" max="50" width="27.5703125" style="2" customWidth="1"/>
    <col min="51" max="51" width="32.140625" style="2" customWidth="1"/>
    <col min="52" max="52" width="28.85546875" style="2" customWidth="1"/>
    <col min="53" max="53" width="24.85546875" style="2" customWidth="1"/>
    <col min="54" max="54" width="35.140625" style="9" bestFit="1" customWidth="1"/>
    <col min="55" max="55" width="21.140625" style="2" customWidth="1"/>
    <col min="56" max="56" width="25" style="2" customWidth="1"/>
    <col min="57" max="57" width="10.140625" style="2" bestFit="1" customWidth="1"/>
    <col min="58" max="58" width="16.85546875" style="8" customWidth="1"/>
    <col min="59" max="59" width="8.85546875" style="2" customWidth="1"/>
    <col min="60" max="61" width="10.140625" style="2" bestFit="1" customWidth="1"/>
    <col min="62" max="62" width="45.140625" style="2" bestFit="1" customWidth="1"/>
    <col min="63" max="63" width="7.85546875" style="2" bestFit="1" customWidth="1"/>
    <col min="64" max="64" width="17" style="8" customWidth="1"/>
    <col min="65" max="65" width="8.140625" style="2" bestFit="1" customWidth="1"/>
    <col min="66" max="66" width="10.140625" style="2" bestFit="1" customWidth="1"/>
    <col min="67" max="67" width="8.140625" style="2" bestFit="1" customWidth="1"/>
    <col min="68" max="68" width="23.140625" style="2" customWidth="1"/>
    <col min="69" max="69" width="7.85546875" style="2" bestFit="1" customWidth="1"/>
    <col min="70" max="70" width="14" style="8" customWidth="1"/>
    <col min="71" max="71" width="8.140625" style="2" bestFit="1" customWidth="1"/>
    <col min="72" max="72" width="10.140625" style="2" bestFit="1" customWidth="1"/>
    <col min="73" max="73" width="10" style="2" bestFit="1" customWidth="1"/>
    <col min="74" max="74" width="24.5703125" style="2" customWidth="1"/>
    <col min="75" max="75" width="7.85546875" style="2" bestFit="1" customWidth="1"/>
    <col min="76" max="76" width="14.5703125" style="8" customWidth="1"/>
    <col min="77" max="77" width="7.28515625" style="2" bestFit="1" customWidth="1"/>
    <col min="78" max="78" width="10.140625" style="2" bestFit="1" customWidth="1"/>
    <col min="79" max="79" width="8.140625" style="2" bestFit="1" customWidth="1"/>
    <col min="80" max="80" width="37.140625" style="2" customWidth="1"/>
    <col min="81" max="81" width="38.140625" style="2" customWidth="1"/>
    <col min="82" max="256" width="9.140625" style="2"/>
    <col min="257" max="257" width="4.7109375" style="2" customWidth="1"/>
    <col min="258" max="258" width="11.42578125" style="2" customWidth="1"/>
    <col min="259" max="259" width="34.140625" style="2" customWidth="1"/>
    <col min="260" max="260" width="11.85546875" style="2" customWidth="1"/>
    <col min="261" max="261" width="24.42578125" style="2" customWidth="1"/>
    <col min="262" max="262" width="19" style="2" bestFit="1" customWidth="1"/>
    <col min="263" max="263" width="27.140625" style="2" customWidth="1"/>
    <col min="264" max="264" width="21.140625" style="2" bestFit="1" customWidth="1"/>
    <col min="265" max="265" width="35.7109375" style="2" bestFit="1" customWidth="1"/>
    <col min="266" max="266" width="20.140625" style="2" bestFit="1" customWidth="1"/>
    <col min="267" max="267" width="16.42578125" style="2" customWidth="1"/>
    <col min="268" max="268" width="24.140625" style="2" customWidth="1"/>
    <col min="269" max="269" width="18.140625" style="2" customWidth="1"/>
    <col min="270" max="270" width="19" style="2" customWidth="1"/>
    <col min="271" max="271" width="18.140625" style="2" customWidth="1"/>
    <col min="272" max="272" width="23.85546875" style="2" customWidth="1"/>
    <col min="273" max="273" width="16.5703125" style="2" customWidth="1"/>
    <col min="274" max="274" width="24" style="2" customWidth="1"/>
    <col min="275" max="275" width="26.28515625" style="2" customWidth="1"/>
    <col min="276" max="276" width="21.85546875" style="2" customWidth="1"/>
    <col min="277" max="277" width="16.140625" style="2" customWidth="1"/>
    <col min="278" max="278" width="26.140625" style="2" customWidth="1"/>
    <col min="279" max="279" width="22.85546875" style="2" customWidth="1"/>
    <col min="280" max="280" width="22.42578125" style="2" customWidth="1"/>
    <col min="281" max="281" width="15" style="2" customWidth="1"/>
    <col min="282" max="282" width="12.140625" style="2" customWidth="1"/>
    <col min="283" max="283" width="18.5703125" style="2" customWidth="1"/>
    <col min="284" max="284" width="28.5703125" style="2" customWidth="1"/>
    <col min="285" max="285" width="26.140625" style="2" customWidth="1"/>
    <col min="286" max="286" width="10.28515625" style="2" customWidth="1"/>
    <col min="287" max="287" width="60" style="2" bestFit="1" customWidth="1"/>
    <col min="288" max="288" width="33.5703125" style="2" customWidth="1"/>
    <col min="289" max="289" width="14.42578125" style="2" customWidth="1"/>
    <col min="290" max="290" width="36.42578125" style="2" customWidth="1"/>
    <col min="291" max="291" width="44.85546875" style="2" customWidth="1"/>
    <col min="292" max="292" width="37.42578125" style="2" customWidth="1"/>
    <col min="293" max="293" width="123.42578125" style="2" customWidth="1"/>
    <col min="294" max="294" width="34.7109375" style="2" customWidth="1"/>
    <col min="295" max="295" width="93.5703125" style="2" customWidth="1"/>
    <col min="296" max="296" width="16.42578125" style="2" customWidth="1"/>
    <col min="297" max="297" width="24.140625" style="2" customWidth="1"/>
    <col min="298" max="298" width="40.140625" style="2" customWidth="1"/>
    <col min="299" max="299" width="26.140625" style="2" customWidth="1"/>
    <col min="300" max="300" width="23.140625" style="2" customWidth="1"/>
    <col min="301" max="301" width="12.5703125" style="2" customWidth="1"/>
    <col min="302" max="302" width="24.85546875" style="2" customWidth="1"/>
    <col min="303" max="303" width="3.85546875" style="2" customWidth="1"/>
    <col min="304" max="304" width="34.85546875" style="2" customWidth="1"/>
    <col min="305" max="305" width="122.140625" style="2" customWidth="1"/>
    <col min="306" max="306" width="27.5703125" style="2" customWidth="1"/>
    <col min="307" max="307" width="32.140625" style="2" customWidth="1"/>
    <col min="308" max="308" width="28.85546875" style="2" customWidth="1"/>
    <col min="309" max="309" width="24.85546875" style="2" customWidth="1"/>
    <col min="310" max="310" width="35.140625" style="2" bestFit="1" customWidth="1"/>
    <col min="311" max="311" width="21.140625" style="2" customWidth="1"/>
    <col min="312" max="312" width="25" style="2" customWidth="1"/>
    <col min="313" max="313" width="10.140625" style="2" bestFit="1" customWidth="1"/>
    <col min="314" max="314" width="16.85546875" style="2" customWidth="1"/>
    <col min="315" max="315" width="8.85546875" style="2" customWidth="1"/>
    <col min="316" max="317" width="10.140625" style="2" bestFit="1" customWidth="1"/>
    <col min="318" max="318" width="45.140625" style="2" bestFit="1" customWidth="1"/>
    <col min="319" max="319" width="7.85546875" style="2" bestFit="1" customWidth="1"/>
    <col min="320" max="320" width="17" style="2" customWidth="1"/>
    <col min="321" max="321" width="8.140625" style="2" bestFit="1" customWidth="1"/>
    <col min="322" max="322" width="10.140625" style="2" bestFit="1" customWidth="1"/>
    <col min="323" max="323" width="8.140625" style="2" bestFit="1" customWidth="1"/>
    <col min="324" max="324" width="23.140625" style="2" customWidth="1"/>
    <col min="325" max="325" width="7.85546875" style="2" bestFit="1" customWidth="1"/>
    <col min="326" max="326" width="14" style="2" customWidth="1"/>
    <col min="327" max="327" width="8.140625" style="2" bestFit="1" customWidth="1"/>
    <col min="328" max="328" width="10.140625" style="2" bestFit="1" customWidth="1"/>
    <col min="329" max="329" width="10" style="2" bestFit="1" customWidth="1"/>
    <col min="330" max="330" width="24.5703125" style="2" customWidth="1"/>
    <col min="331" max="331" width="7.85546875" style="2" bestFit="1" customWidth="1"/>
    <col min="332" max="332" width="14.5703125" style="2" customWidth="1"/>
    <col min="333" max="333" width="7.28515625" style="2" bestFit="1" customWidth="1"/>
    <col min="334" max="334" width="10.140625" style="2" bestFit="1" customWidth="1"/>
    <col min="335" max="335" width="8.140625" style="2" bestFit="1" customWidth="1"/>
    <col min="336" max="336" width="37.140625" style="2" customWidth="1"/>
    <col min="337" max="337" width="38.140625" style="2" customWidth="1"/>
    <col min="338" max="512" width="9.140625" style="2"/>
    <col min="513" max="513" width="4.7109375" style="2" customWidth="1"/>
    <col min="514" max="514" width="11.42578125" style="2" customWidth="1"/>
    <col min="515" max="515" width="34.140625" style="2" customWidth="1"/>
    <col min="516" max="516" width="11.85546875" style="2" customWidth="1"/>
    <col min="517" max="517" width="24.42578125" style="2" customWidth="1"/>
    <col min="518" max="518" width="19" style="2" bestFit="1" customWidth="1"/>
    <col min="519" max="519" width="27.140625" style="2" customWidth="1"/>
    <col min="520" max="520" width="21.140625" style="2" bestFit="1" customWidth="1"/>
    <col min="521" max="521" width="35.7109375" style="2" bestFit="1" customWidth="1"/>
    <col min="522" max="522" width="20.140625" style="2" bestFit="1" customWidth="1"/>
    <col min="523" max="523" width="16.42578125" style="2" customWidth="1"/>
    <col min="524" max="524" width="24.140625" style="2" customWidth="1"/>
    <col min="525" max="525" width="18.140625" style="2" customWidth="1"/>
    <col min="526" max="526" width="19" style="2" customWidth="1"/>
    <col min="527" max="527" width="18.140625" style="2" customWidth="1"/>
    <col min="528" max="528" width="23.85546875" style="2" customWidth="1"/>
    <col min="529" max="529" width="16.5703125" style="2" customWidth="1"/>
    <col min="530" max="530" width="24" style="2" customWidth="1"/>
    <col min="531" max="531" width="26.28515625" style="2" customWidth="1"/>
    <col min="532" max="532" width="21.85546875" style="2" customWidth="1"/>
    <col min="533" max="533" width="16.140625" style="2" customWidth="1"/>
    <col min="534" max="534" width="26.140625" style="2" customWidth="1"/>
    <col min="535" max="535" width="22.85546875" style="2" customWidth="1"/>
    <col min="536" max="536" width="22.42578125" style="2" customWidth="1"/>
    <col min="537" max="537" width="15" style="2" customWidth="1"/>
    <col min="538" max="538" width="12.140625" style="2" customWidth="1"/>
    <col min="539" max="539" width="18.5703125" style="2" customWidth="1"/>
    <col min="540" max="540" width="28.5703125" style="2" customWidth="1"/>
    <col min="541" max="541" width="26.140625" style="2" customWidth="1"/>
    <col min="542" max="542" width="10.28515625" style="2" customWidth="1"/>
    <col min="543" max="543" width="60" style="2" bestFit="1" customWidth="1"/>
    <col min="544" max="544" width="33.5703125" style="2" customWidth="1"/>
    <col min="545" max="545" width="14.42578125" style="2" customWidth="1"/>
    <col min="546" max="546" width="36.42578125" style="2" customWidth="1"/>
    <col min="547" max="547" width="44.85546875" style="2" customWidth="1"/>
    <col min="548" max="548" width="37.42578125" style="2" customWidth="1"/>
    <col min="549" max="549" width="123.42578125" style="2" customWidth="1"/>
    <col min="550" max="550" width="34.7109375" style="2" customWidth="1"/>
    <col min="551" max="551" width="93.5703125" style="2" customWidth="1"/>
    <col min="552" max="552" width="16.42578125" style="2" customWidth="1"/>
    <col min="553" max="553" width="24.140625" style="2" customWidth="1"/>
    <col min="554" max="554" width="40.140625" style="2" customWidth="1"/>
    <col min="555" max="555" width="26.140625" style="2" customWidth="1"/>
    <col min="556" max="556" width="23.140625" style="2" customWidth="1"/>
    <col min="557" max="557" width="12.5703125" style="2" customWidth="1"/>
    <col min="558" max="558" width="24.85546875" style="2" customWidth="1"/>
    <col min="559" max="559" width="3.85546875" style="2" customWidth="1"/>
    <col min="560" max="560" width="34.85546875" style="2" customWidth="1"/>
    <col min="561" max="561" width="122.140625" style="2" customWidth="1"/>
    <col min="562" max="562" width="27.5703125" style="2" customWidth="1"/>
    <col min="563" max="563" width="32.140625" style="2" customWidth="1"/>
    <col min="564" max="564" width="28.85546875" style="2" customWidth="1"/>
    <col min="565" max="565" width="24.85546875" style="2" customWidth="1"/>
    <col min="566" max="566" width="35.140625" style="2" bestFit="1" customWidth="1"/>
    <col min="567" max="567" width="21.140625" style="2" customWidth="1"/>
    <col min="568" max="568" width="25" style="2" customWidth="1"/>
    <col min="569" max="569" width="10.140625" style="2" bestFit="1" customWidth="1"/>
    <col min="570" max="570" width="16.85546875" style="2" customWidth="1"/>
    <col min="571" max="571" width="8.85546875" style="2" customWidth="1"/>
    <col min="572" max="573" width="10.140625" style="2" bestFit="1" customWidth="1"/>
    <col min="574" max="574" width="45.140625" style="2" bestFit="1" customWidth="1"/>
    <col min="575" max="575" width="7.85546875" style="2" bestFit="1" customWidth="1"/>
    <col min="576" max="576" width="17" style="2" customWidth="1"/>
    <col min="577" max="577" width="8.140625" style="2" bestFit="1" customWidth="1"/>
    <col min="578" max="578" width="10.140625" style="2" bestFit="1" customWidth="1"/>
    <col min="579" max="579" width="8.140625" style="2" bestFit="1" customWidth="1"/>
    <col min="580" max="580" width="23.140625" style="2" customWidth="1"/>
    <col min="581" max="581" width="7.85546875" style="2" bestFit="1" customWidth="1"/>
    <col min="582" max="582" width="14" style="2" customWidth="1"/>
    <col min="583" max="583" width="8.140625" style="2" bestFit="1" customWidth="1"/>
    <col min="584" max="584" width="10.140625" style="2" bestFit="1" customWidth="1"/>
    <col min="585" max="585" width="10" style="2" bestFit="1" customWidth="1"/>
    <col min="586" max="586" width="24.5703125" style="2" customWidth="1"/>
    <col min="587" max="587" width="7.85546875" style="2" bestFit="1" customWidth="1"/>
    <col min="588" max="588" width="14.5703125" style="2" customWidth="1"/>
    <col min="589" max="589" width="7.28515625" style="2" bestFit="1" customWidth="1"/>
    <col min="590" max="590" width="10.140625" style="2" bestFit="1" customWidth="1"/>
    <col min="591" max="591" width="8.140625" style="2" bestFit="1" customWidth="1"/>
    <col min="592" max="592" width="37.140625" style="2" customWidth="1"/>
    <col min="593" max="593" width="38.140625" style="2" customWidth="1"/>
    <col min="594" max="768" width="9.140625" style="2"/>
    <col min="769" max="769" width="4.7109375" style="2" customWidth="1"/>
    <col min="770" max="770" width="11.42578125" style="2" customWidth="1"/>
    <col min="771" max="771" width="34.140625" style="2" customWidth="1"/>
    <col min="772" max="772" width="11.85546875" style="2" customWidth="1"/>
    <col min="773" max="773" width="24.42578125" style="2" customWidth="1"/>
    <col min="774" max="774" width="19" style="2" bestFit="1" customWidth="1"/>
    <col min="775" max="775" width="27.140625" style="2" customWidth="1"/>
    <col min="776" max="776" width="21.140625" style="2" bestFit="1" customWidth="1"/>
    <col min="777" max="777" width="35.7109375" style="2" bestFit="1" customWidth="1"/>
    <col min="778" max="778" width="20.140625" style="2" bestFit="1" customWidth="1"/>
    <col min="779" max="779" width="16.42578125" style="2" customWidth="1"/>
    <col min="780" max="780" width="24.140625" style="2" customWidth="1"/>
    <col min="781" max="781" width="18.140625" style="2" customWidth="1"/>
    <col min="782" max="782" width="19" style="2" customWidth="1"/>
    <col min="783" max="783" width="18.140625" style="2" customWidth="1"/>
    <col min="784" max="784" width="23.85546875" style="2" customWidth="1"/>
    <col min="785" max="785" width="16.5703125" style="2" customWidth="1"/>
    <col min="786" max="786" width="24" style="2" customWidth="1"/>
    <col min="787" max="787" width="26.28515625" style="2" customWidth="1"/>
    <col min="788" max="788" width="21.85546875" style="2" customWidth="1"/>
    <col min="789" max="789" width="16.140625" style="2" customWidth="1"/>
    <col min="790" max="790" width="26.140625" style="2" customWidth="1"/>
    <col min="791" max="791" width="22.85546875" style="2" customWidth="1"/>
    <col min="792" max="792" width="22.42578125" style="2" customWidth="1"/>
    <col min="793" max="793" width="15" style="2" customWidth="1"/>
    <col min="794" max="794" width="12.140625" style="2" customWidth="1"/>
    <col min="795" max="795" width="18.5703125" style="2" customWidth="1"/>
    <col min="796" max="796" width="28.5703125" style="2" customWidth="1"/>
    <col min="797" max="797" width="26.140625" style="2" customWidth="1"/>
    <col min="798" max="798" width="10.28515625" style="2" customWidth="1"/>
    <col min="799" max="799" width="60" style="2" bestFit="1" customWidth="1"/>
    <col min="800" max="800" width="33.5703125" style="2" customWidth="1"/>
    <col min="801" max="801" width="14.42578125" style="2" customWidth="1"/>
    <col min="802" max="802" width="36.42578125" style="2" customWidth="1"/>
    <col min="803" max="803" width="44.85546875" style="2" customWidth="1"/>
    <col min="804" max="804" width="37.42578125" style="2" customWidth="1"/>
    <col min="805" max="805" width="123.42578125" style="2" customWidth="1"/>
    <col min="806" max="806" width="34.7109375" style="2" customWidth="1"/>
    <col min="807" max="807" width="93.5703125" style="2" customWidth="1"/>
    <col min="808" max="808" width="16.42578125" style="2" customWidth="1"/>
    <col min="809" max="809" width="24.140625" style="2" customWidth="1"/>
    <col min="810" max="810" width="40.140625" style="2" customWidth="1"/>
    <col min="811" max="811" width="26.140625" style="2" customWidth="1"/>
    <col min="812" max="812" width="23.140625" style="2" customWidth="1"/>
    <col min="813" max="813" width="12.5703125" style="2" customWidth="1"/>
    <col min="814" max="814" width="24.85546875" style="2" customWidth="1"/>
    <col min="815" max="815" width="3.85546875" style="2" customWidth="1"/>
    <col min="816" max="816" width="34.85546875" style="2" customWidth="1"/>
    <col min="817" max="817" width="122.140625" style="2" customWidth="1"/>
    <col min="818" max="818" width="27.5703125" style="2" customWidth="1"/>
    <col min="819" max="819" width="32.140625" style="2" customWidth="1"/>
    <col min="820" max="820" width="28.85546875" style="2" customWidth="1"/>
    <col min="821" max="821" width="24.85546875" style="2" customWidth="1"/>
    <col min="822" max="822" width="35.140625" style="2" bestFit="1" customWidth="1"/>
    <col min="823" max="823" width="21.140625" style="2" customWidth="1"/>
    <col min="824" max="824" width="25" style="2" customWidth="1"/>
    <col min="825" max="825" width="10.140625" style="2" bestFit="1" customWidth="1"/>
    <col min="826" max="826" width="16.85546875" style="2" customWidth="1"/>
    <col min="827" max="827" width="8.85546875" style="2" customWidth="1"/>
    <col min="828" max="829" width="10.140625" style="2" bestFit="1" customWidth="1"/>
    <col min="830" max="830" width="45.140625" style="2" bestFit="1" customWidth="1"/>
    <col min="831" max="831" width="7.85546875" style="2" bestFit="1" customWidth="1"/>
    <col min="832" max="832" width="17" style="2" customWidth="1"/>
    <col min="833" max="833" width="8.140625" style="2" bestFit="1" customWidth="1"/>
    <col min="834" max="834" width="10.140625" style="2" bestFit="1" customWidth="1"/>
    <col min="835" max="835" width="8.140625" style="2" bestFit="1" customWidth="1"/>
    <col min="836" max="836" width="23.140625" style="2" customWidth="1"/>
    <col min="837" max="837" width="7.85546875" style="2" bestFit="1" customWidth="1"/>
    <col min="838" max="838" width="14" style="2" customWidth="1"/>
    <col min="839" max="839" width="8.140625" style="2" bestFit="1" customWidth="1"/>
    <col min="840" max="840" width="10.140625" style="2" bestFit="1" customWidth="1"/>
    <col min="841" max="841" width="10" style="2" bestFit="1" customWidth="1"/>
    <col min="842" max="842" width="24.5703125" style="2" customWidth="1"/>
    <col min="843" max="843" width="7.85546875" style="2" bestFit="1" customWidth="1"/>
    <col min="844" max="844" width="14.5703125" style="2" customWidth="1"/>
    <col min="845" max="845" width="7.28515625" style="2" bestFit="1" customWidth="1"/>
    <col min="846" max="846" width="10.140625" style="2" bestFit="1" customWidth="1"/>
    <col min="847" max="847" width="8.140625" style="2" bestFit="1" customWidth="1"/>
    <col min="848" max="848" width="37.140625" style="2" customWidth="1"/>
    <col min="849" max="849" width="38.140625" style="2" customWidth="1"/>
    <col min="850" max="1024" width="9.140625" style="2"/>
    <col min="1025" max="1025" width="4.7109375" style="2" customWidth="1"/>
    <col min="1026" max="1026" width="11.42578125" style="2" customWidth="1"/>
    <col min="1027" max="1027" width="34.140625" style="2" customWidth="1"/>
    <col min="1028" max="1028" width="11.85546875" style="2" customWidth="1"/>
    <col min="1029" max="1029" width="24.42578125" style="2" customWidth="1"/>
    <col min="1030" max="1030" width="19" style="2" bestFit="1" customWidth="1"/>
    <col min="1031" max="1031" width="27.140625" style="2" customWidth="1"/>
    <col min="1032" max="1032" width="21.140625" style="2" bestFit="1" customWidth="1"/>
    <col min="1033" max="1033" width="35.7109375" style="2" bestFit="1" customWidth="1"/>
    <col min="1034" max="1034" width="20.140625" style="2" bestFit="1" customWidth="1"/>
    <col min="1035" max="1035" width="16.42578125" style="2" customWidth="1"/>
    <col min="1036" max="1036" width="24.140625" style="2" customWidth="1"/>
    <col min="1037" max="1037" width="18.140625" style="2" customWidth="1"/>
    <col min="1038" max="1038" width="19" style="2" customWidth="1"/>
    <col min="1039" max="1039" width="18.140625" style="2" customWidth="1"/>
    <col min="1040" max="1040" width="23.85546875" style="2" customWidth="1"/>
    <col min="1041" max="1041" width="16.5703125" style="2" customWidth="1"/>
    <col min="1042" max="1042" width="24" style="2" customWidth="1"/>
    <col min="1043" max="1043" width="26.28515625" style="2" customWidth="1"/>
    <col min="1044" max="1044" width="21.85546875" style="2" customWidth="1"/>
    <col min="1045" max="1045" width="16.140625" style="2" customWidth="1"/>
    <col min="1046" max="1046" width="26.140625" style="2" customWidth="1"/>
    <col min="1047" max="1047" width="22.85546875" style="2" customWidth="1"/>
    <col min="1048" max="1048" width="22.42578125" style="2" customWidth="1"/>
    <col min="1049" max="1049" width="15" style="2" customWidth="1"/>
    <col min="1050" max="1050" width="12.140625" style="2" customWidth="1"/>
    <col min="1051" max="1051" width="18.5703125" style="2" customWidth="1"/>
    <col min="1052" max="1052" width="28.5703125" style="2" customWidth="1"/>
    <col min="1053" max="1053" width="26.140625" style="2" customWidth="1"/>
    <col min="1054" max="1054" width="10.28515625" style="2" customWidth="1"/>
    <col min="1055" max="1055" width="60" style="2" bestFit="1" customWidth="1"/>
    <col min="1056" max="1056" width="33.5703125" style="2" customWidth="1"/>
    <col min="1057" max="1057" width="14.42578125" style="2" customWidth="1"/>
    <col min="1058" max="1058" width="36.42578125" style="2" customWidth="1"/>
    <col min="1059" max="1059" width="44.85546875" style="2" customWidth="1"/>
    <col min="1060" max="1060" width="37.42578125" style="2" customWidth="1"/>
    <col min="1061" max="1061" width="123.42578125" style="2" customWidth="1"/>
    <col min="1062" max="1062" width="34.7109375" style="2" customWidth="1"/>
    <col min="1063" max="1063" width="93.5703125" style="2" customWidth="1"/>
    <col min="1064" max="1064" width="16.42578125" style="2" customWidth="1"/>
    <col min="1065" max="1065" width="24.140625" style="2" customWidth="1"/>
    <col min="1066" max="1066" width="40.140625" style="2" customWidth="1"/>
    <col min="1067" max="1067" width="26.140625" style="2" customWidth="1"/>
    <col min="1068" max="1068" width="23.140625" style="2" customWidth="1"/>
    <col min="1069" max="1069" width="12.5703125" style="2" customWidth="1"/>
    <col min="1070" max="1070" width="24.85546875" style="2" customWidth="1"/>
    <col min="1071" max="1071" width="3.85546875" style="2" customWidth="1"/>
    <col min="1072" max="1072" width="34.85546875" style="2" customWidth="1"/>
    <col min="1073" max="1073" width="122.140625" style="2" customWidth="1"/>
    <col min="1074" max="1074" width="27.5703125" style="2" customWidth="1"/>
    <col min="1075" max="1075" width="32.140625" style="2" customWidth="1"/>
    <col min="1076" max="1076" width="28.85546875" style="2" customWidth="1"/>
    <col min="1077" max="1077" width="24.85546875" style="2" customWidth="1"/>
    <col min="1078" max="1078" width="35.140625" style="2" bestFit="1" customWidth="1"/>
    <col min="1079" max="1079" width="21.140625" style="2" customWidth="1"/>
    <col min="1080" max="1080" width="25" style="2" customWidth="1"/>
    <col min="1081" max="1081" width="10.140625" style="2" bestFit="1" customWidth="1"/>
    <col min="1082" max="1082" width="16.85546875" style="2" customWidth="1"/>
    <col min="1083" max="1083" width="8.85546875" style="2" customWidth="1"/>
    <col min="1084" max="1085" width="10.140625" style="2" bestFit="1" customWidth="1"/>
    <col min="1086" max="1086" width="45.140625" style="2" bestFit="1" customWidth="1"/>
    <col min="1087" max="1087" width="7.85546875" style="2" bestFit="1" customWidth="1"/>
    <col min="1088" max="1088" width="17" style="2" customWidth="1"/>
    <col min="1089" max="1089" width="8.140625" style="2" bestFit="1" customWidth="1"/>
    <col min="1090" max="1090" width="10.140625" style="2" bestFit="1" customWidth="1"/>
    <col min="1091" max="1091" width="8.140625" style="2" bestFit="1" customWidth="1"/>
    <col min="1092" max="1092" width="23.140625" style="2" customWidth="1"/>
    <col min="1093" max="1093" width="7.85546875" style="2" bestFit="1" customWidth="1"/>
    <col min="1094" max="1094" width="14" style="2" customWidth="1"/>
    <col min="1095" max="1095" width="8.140625" style="2" bestFit="1" customWidth="1"/>
    <col min="1096" max="1096" width="10.140625" style="2" bestFit="1" customWidth="1"/>
    <col min="1097" max="1097" width="10" style="2" bestFit="1" customWidth="1"/>
    <col min="1098" max="1098" width="24.5703125" style="2" customWidth="1"/>
    <col min="1099" max="1099" width="7.85546875" style="2" bestFit="1" customWidth="1"/>
    <col min="1100" max="1100" width="14.5703125" style="2" customWidth="1"/>
    <col min="1101" max="1101" width="7.28515625" style="2" bestFit="1" customWidth="1"/>
    <col min="1102" max="1102" width="10.140625" style="2" bestFit="1" customWidth="1"/>
    <col min="1103" max="1103" width="8.140625" style="2" bestFit="1" customWidth="1"/>
    <col min="1104" max="1104" width="37.140625" style="2" customWidth="1"/>
    <col min="1105" max="1105" width="38.140625" style="2" customWidth="1"/>
    <col min="1106" max="1280" width="9.140625" style="2"/>
    <col min="1281" max="1281" width="4.7109375" style="2" customWidth="1"/>
    <col min="1282" max="1282" width="11.42578125" style="2" customWidth="1"/>
    <col min="1283" max="1283" width="34.140625" style="2" customWidth="1"/>
    <col min="1284" max="1284" width="11.85546875" style="2" customWidth="1"/>
    <col min="1285" max="1285" width="24.42578125" style="2" customWidth="1"/>
    <col min="1286" max="1286" width="19" style="2" bestFit="1" customWidth="1"/>
    <col min="1287" max="1287" width="27.140625" style="2" customWidth="1"/>
    <col min="1288" max="1288" width="21.140625" style="2" bestFit="1" customWidth="1"/>
    <col min="1289" max="1289" width="35.7109375" style="2" bestFit="1" customWidth="1"/>
    <col min="1290" max="1290" width="20.140625" style="2" bestFit="1" customWidth="1"/>
    <col min="1291" max="1291" width="16.42578125" style="2" customWidth="1"/>
    <col min="1292" max="1292" width="24.140625" style="2" customWidth="1"/>
    <col min="1293" max="1293" width="18.140625" style="2" customWidth="1"/>
    <col min="1294" max="1294" width="19" style="2" customWidth="1"/>
    <col min="1295" max="1295" width="18.140625" style="2" customWidth="1"/>
    <col min="1296" max="1296" width="23.85546875" style="2" customWidth="1"/>
    <col min="1297" max="1297" width="16.5703125" style="2" customWidth="1"/>
    <col min="1298" max="1298" width="24" style="2" customWidth="1"/>
    <col min="1299" max="1299" width="26.28515625" style="2" customWidth="1"/>
    <col min="1300" max="1300" width="21.85546875" style="2" customWidth="1"/>
    <col min="1301" max="1301" width="16.140625" style="2" customWidth="1"/>
    <col min="1302" max="1302" width="26.140625" style="2" customWidth="1"/>
    <col min="1303" max="1303" width="22.85546875" style="2" customWidth="1"/>
    <col min="1304" max="1304" width="22.42578125" style="2" customWidth="1"/>
    <col min="1305" max="1305" width="15" style="2" customWidth="1"/>
    <col min="1306" max="1306" width="12.140625" style="2" customWidth="1"/>
    <col min="1307" max="1307" width="18.5703125" style="2" customWidth="1"/>
    <col min="1308" max="1308" width="28.5703125" style="2" customWidth="1"/>
    <col min="1309" max="1309" width="26.140625" style="2" customWidth="1"/>
    <col min="1310" max="1310" width="10.28515625" style="2" customWidth="1"/>
    <col min="1311" max="1311" width="60" style="2" bestFit="1" customWidth="1"/>
    <col min="1312" max="1312" width="33.5703125" style="2" customWidth="1"/>
    <col min="1313" max="1313" width="14.42578125" style="2" customWidth="1"/>
    <col min="1314" max="1314" width="36.42578125" style="2" customWidth="1"/>
    <col min="1315" max="1315" width="44.85546875" style="2" customWidth="1"/>
    <col min="1316" max="1316" width="37.42578125" style="2" customWidth="1"/>
    <col min="1317" max="1317" width="123.42578125" style="2" customWidth="1"/>
    <col min="1318" max="1318" width="34.7109375" style="2" customWidth="1"/>
    <col min="1319" max="1319" width="93.5703125" style="2" customWidth="1"/>
    <col min="1320" max="1320" width="16.42578125" style="2" customWidth="1"/>
    <col min="1321" max="1321" width="24.140625" style="2" customWidth="1"/>
    <col min="1322" max="1322" width="40.140625" style="2" customWidth="1"/>
    <col min="1323" max="1323" width="26.140625" style="2" customWidth="1"/>
    <col min="1324" max="1324" width="23.140625" style="2" customWidth="1"/>
    <col min="1325" max="1325" width="12.5703125" style="2" customWidth="1"/>
    <col min="1326" max="1326" width="24.85546875" style="2" customWidth="1"/>
    <col min="1327" max="1327" width="3.85546875" style="2" customWidth="1"/>
    <col min="1328" max="1328" width="34.85546875" style="2" customWidth="1"/>
    <col min="1329" max="1329" width="122.140625" style="2" customWidth="1"/>
    <col min="1330" max="1330" width="27.5703125" style="2" customWidth="1"/>
    <col min="1331" max="1331" width="32.140625" style="2" customWidth="1"/>
    <col min="1332" max="1332" width="28.85546875" style="2" customWidth="1"/>
    <col min="1333" max="1333" width="24.85546875" style="2" customWidth="1"/>
    <col min="1334" max="1334" width="35.140625" style="2" bestFit="1" customWidth="1"/>
    <col min="1335" max="1335" width="21.140625" style="2" customWidth="1"/>
    <col min="1336" max="1336" width="25" style="2" customWidth="1"/>
    <col min="1337" max="1337" width="10.140625" style="2" bestFit="1" customWidth="1"/>
    <col min="1338" max="1338" width="16.85546875" style="2" customWidth="1"/>
    <col min="1339" max="1339" width="8.85546875" style="2" customWidth="1"/>
    <col min="1340" max="1341" width="10.140625" style="2" bestFit="1" customWidth="1"/>
    <col min="1342" max="1342" width="45.140625" style="2" bestFit="1" customWidth="1"/>
    <col min="1343" max="1343" width="7.85546875" style="2" bestFit="1" customWidth="1"/>
    <col min="1344" max="1344" width="17" style="2" customWidth="1"/>
    <col min="1345" max="1345" width="8.140625" style="2" bestFit="1" customWidth="1"/>
    <col min="1346" max="1346" width="10.140625" style="2" bestFit="1" customWidth="1"/>
    <col min="1347" max="1347" width="8.140625" style="2" bestFit="1" customWidth="1"/>
    <col min="1348" max="1348" width="23.140625" style="2" customWidth="1"/>
    <col min="1349" max="1349" width="7.85546875" style="2" bestFit="1" customWidth="1"/>
    <col min="1350" max="1350" width="14" style="2" customWidth="1"/>
    <col min="1351" max="1351" width="8.140625" style="2" bestFit="1" customWidth="1"/>
    <col min="1352" max="1352" width="10.140625" style="2" bestFit="1" customWidth="1"/>
    <col min="1353" max="1353" width="10" style="2" bestFit="1" customWidth="1"/>
    <col min="1354" max="1354" width="24.5703125" style="2" customWidth="1"/>
    <col min="1355" max="1355" width="7.85546875" style="2" bestFit="1" customWidth="1"/>
    <col min="1356" max="1356" width="14.5703125" style="2" customWidth="1"/>
    <col min="1357" max="1357" width="7.28515625" style="2" bestFit="1" customWidth="1"/>
    <col min="1358" max="1358" width="10.140625" style="2" bestFit="1" customWidth="1"/>
    <col min="1359" max="1359" width="8.140625" style="2" bestFit="1" customWidth="1"/>
    <col min="1360" max="1360" width="37.140625" style="2" customWidth="1"/>
    <col min="1361" max="1361" width="38.140625" style="2" customWidth="1"/>
    <col min="1362" max="1536" width="9.140625" style="2"/>
    <col min="1537" max="1537" width="4.7109375" style="2" customWidth="1"/>
    <col min="1538" max="1538" width="11.42578125" style="2" customWidth="1"/>
    <col min="1539" max="1539" width="34.140625" style="2" customWidth="1"/>
    <col min="1540" max="1540" width="11.85546875" style="2" customWidth="1"/>
    <col min="1541" max="1541" width="24.42578125" style="2" customWidth="1"/>
    <col min="1542" max="1542" width="19" style="2" bestFit="1" customWidth="1"/>
    <col min="1543" max="1543" width="27.140625" style="2" customWidth="1"/>
    <col min="1544" max="1544" width="21.140625" style="2" bestFit="1" customWidth="1"/>
    <col min="1545" max="1545" width="35.7109375" style="2" bestFit="1" customWidth="1"/>
    <col min="1546" max="1546" width="20.140625" style="2" bestFit="1" customWidth="1"/>
    <col min="1547" max="1547" width="16.42578125" style="2" customWidth="1"/>
    <col min="1548" max="1548" width="24.140625" style="2" customWidth="1"/>
    <col min="1549" max="1549" width="18.140625" style="2" customWidth="1"/>
    <col min="1550" max="1550" width="19" style="2" customWidth="1"/>
    <col min="1551" max="1551" width="18.140625" style="2" customWidth="1"/>
    <col min="1552" max="1552" width="23.85546875" style="2" customWidth="1"/>
    <col min="1553" max="1553" width="16.5703125" style="2" customWidth="1"/>
    <col min="1554" max="1554" width="24" style="2" customWidth="1"/>
    <col min="1555" max="1555" width="26.28515625" style="2" customWidth="1"/>
    <col min="1556" max="1556" width="21.85546875" style="2" customWidth="1"/>
    <col min="1557" max="1557" width="16.140625" style="2" customWidth="1"/>
    <col min="1558" max="1558" width="26.140625" style="2" customWidth="1"/>
    <col min="1559" max="1559" width="22.85546875" style="2" customWidth="1"/>
    <col min="1560" max="1560" width="22.42578125" style="2" customWidth="1"/>
    <col min="1561" max="1561" width="15" style="2" customWidth="1"/>
    <col min="1562" max="1562" width="12.140625" style="2" customWidth="1"/>
    <col min="1563" max="1563" width="18.5703125" style="2" customWidth="1"/>
    <col min="1564" max="1564" width="28.5703125" style="2" customWidth="1"/>
    <col min="1565" max="1565" width="26.140625" style="2" customWidth="1"/>
    <col min="1566" max="1566" width="10.28515625" style="2" customWidth="1"/>
    <col min="1567" max="1567" width="60" style="2" bestFit="1" customWidth="1"/>
    <col min="1568" max="1568" width="33.5703125" style="2" customWidth="1"/>
    <col min="1569" max="1569" width="14.42578125" style="2" customWidth="1"/>
    <col min="1570" max="1570" width="36.42578125" style="2" customWidth="1"/>
    <col min="1571" max="1571" width="44.85546875" style="2" customWidth="1"/>
    <col min="1572" max="1572" width="37.42578125" style="2" customWidth="1"/>
    <col min="1573" max="1573" width="123.42578125" style="2" customWidth="1"/>
    <col min="1574" max="1574" width="34.7109375" style="2" customWidth="1"/>
    <col min="1575" max="1575" width="93.5703125" style="2" customWidth="1"/>
    <col min="1576" max="1576" width="16.42578125" style="2" customWidth="1"/>
    <col min="1577" max="1577" width="24.140625" style="2" customWidth="1"/>
    <col min="1578" max="1578" width="40.140625" style="2" customWidth="1"/>
    <col min="1579" max="1579" width="26.140625" style="2" customWidth="1"/>
    <col min="1580" max="1580" width="23.140625" style="2" customWidth="1"/>
    <col min="1581" max="1581" width="12.5703125" style="2" customWidth="1"/>
    <col min="1582" max="1582" width="24.85546875" style="2" customWidth="1"/>
    <col min="1583" max="1583" width="3.85546875" style="2" customWidth="1"/>
    <col min="1584" max="1584" width="34.85546875" style="2" customWidth="1"/>
    <col min="1585" max="1585" width="122.140625" style="2" customWidth="1"/>
    <col min="1586" max="1586" width="27.5703125" style="2" customWidth="1"/>
    <col min="1587" max="1587" width="32.140625" style="2" customWidth="1"/>
    <col min="1588" max="1588" width="28.85546875" style="2" customWidth="1"/>
    <col min="1589" max="1589" width="24.85546875" style="2" customWidth="1"/>
    <col min="1590" max="1590" width="35.140625" style="2" bestFit="1" customWidth="1"/>
    <col min="1591" max="1591" width="21.140625" style="2" customWidth="1"/>
    <col min="1592" max="1592" width="25" style="2" customWidth="1"/>
    <col min="1593" max="1593" width="10.140625" style="2" bestFit="1" customWidth="1"/>
    <col min="1594" max="1594" width="16.85546875" style="2" customWidth="1"/>
    <col min="1595" max="1595" width="8.85546875" style="2" customWidth="1"/>
    <col min="1596" max="1597" width="10.140625" style="2" bestFit="1" customWidth="1"/>
    <col min="1598" max="1598" width="45.140625" style="2" bestFit="1" customWidth="1"/>
    <col min="1599" max="1599" width="7.85546875" style="2" bestFit="1" customWidth="1"/>
    <col min="1600" max="1600" width="17" style="2" customWidth="1"/>
    <col min="1601" max="1601" width="8.140625" style="2" bestFit="1" customWidth="1"/>
    <col min="1602" max="1602" width="10.140625" style="2" bestFit="1" customWidth="1"/>
    <col min="1603" max="1603" width="8.140625" style="2" bestFit="1" customWidth="1"/>
    <col min="1604" max="1604" width="23.140625" style="2" customWidth="1"/>
    <col min="1605" max="1605" width="7.85546875" style="2" bestFit="1" customWidth="1"/>
    <col min="1606" max="1606" width="14" style="2" customWidth="1"/>
    <col min="1607" max="1607" width="8.140625" style="2" bestFit="1" customWidth="1"/>
    <col min="1608" max="1608" width="10.140625" style="2" bestFit="1" customWidth="1"/>
    <col min="1609" max="1609" width="10" style="2" bestFit="1" customWidth="1"/>
    <col min="1610" max="1610" width="24.5703125" style="2" customWidth="1"/>
    <col min="1611" max="1611" width="7.85546875" style="2" bestFit="1" customWidth="1"/>
    <col min="1612" max="1612" width="14.5703125" style="2" customWidth="1"/>
    <col min="1613" max="1613" width="7.28515625" style="2" bestFit="1" customWidth="1"/>
    <col min="1614" max="1614" width="10.140625" style="2" bestFit="1" customWidth="1"/>
    <col min="1615" max="1615" width="8.140625" style="2" bestFit="1" customWidth="1"/>
    <col min="1616" max="1616" width="37.140625" style="2" customWidth="1"/>
    <col min="1617" max="1617" width="38.140625" style="2" customWidth="1"/>
    <col min="1618" max="1792" width="9.140625" style="2"/>
    <col min="1793" max="1793" width="4.7109375" style="2" customWidth="1"/>
    <col min="1794" max="1794" width="11.42578125" style="2" customWidth="1"/>
    <col min="1795" max="1795" width="34.140625" style="2" customWidth="1"/>
    <col min="1796" max="1796" width="11.85546875" style="2" customWidth="1"/>
    <col min="1797" max="1797" width="24.42578125" style="2" customWidth="1"/>
    <col min="1798" max="1798" width="19" style="2" bestFit="1" customWidth="1"/>
    <col min="1799" max="1799" width="27.140625" style="2" customWidth="1"/>
    <col min="1800" max="1800" width="21.140625" style="2" bestFit="1" customWidth="1"/>
    <col min="1801" max="1801" width="35.7109375" style="2" bestFit="1" customWidth="1"/>
    <col min="1802" max="1802" width="20.140625" style="2" bestFit="1" customWidth="1"/>
    <col min="1803" max="1803" width="16.42578125" style="2" customWidth="1"/>
    <col min="1804" max="1804" width="24.140625" style="2" customWidth="1"/>
    <col min="1805" max="1805" width="18.140625" style="2" customWidth="1"/>
    <col min="1806" max="1806" width="19" style="2" customWidth="1"/>
    <col min="1807" max="1807" width="18.140625" style="2" customWidth="1"/>
    <col min="1808" max="1808" width="23.85546875" style="2" customWidth="1"/>
    <col min="1809" max="1809" width="16.5703125" style="2" customWidth="1"/>
    <col min="1810" max="1810" width="24" style="2" customWidth="1"/>
    <col min="1811" max="1811" width="26.28515625" style="2" customWidth="1"/>
    <col min="1812" max="1812" width="21.85546875" style="2" customWidth="1"/>
    <col min="1813" max="1813" width="16.140625" style="2" customWidth="1"/>
    <col min="1814" max="1814" width="26.140625" style="2" customWidth="1"/>
    <col min="1815" max="1815" width="22.85546875" style="2" customWidth="1"/>
    <col min="1816" max="1816" width="22.42578125" style="2" customWidth="1"/>
    <col min="1817" max="1817" width="15" style="2" customWidth="1"/>
    <col min="1818" max="1818" width="12.140625" style="2" customWidth="1"/>
    <col min="1819" max="1819" width="18.5703125" style="2" customWidth="1"/>
    <col min="1820" max="1820" width="28.5703125" style="2" customWidth="1"/>
    <col min="1821" max="1821" width="26.140625" style="2" customWidth="1"/>
    <col min="1822" max="1822" width="10.28515625" style="2" customWidth="1"/>
    <col min="1823" max="1823" width="60" style="2" bestFit="1" customWidth="1"/>
    <col min="1824" max="1824" width="33.5703125" style="2" customWidth="1"/>
    <col min="1825" max="1825" width="14.42578125" style="2" customWidth="1"/>
    <col min="1826" max="1826" width="36.42578125" style="2" customWidth="1"/>
    <col min="1827" max="1827" width="44.85546875" style="2" customWidth="1"/>
    <col min="1828" max="1828" width="37.42578125" style="2" customWidth="1"/>
    <col min="1829" max="1829" width="123.42578125" style="2" customWidth="1"/>
    <col min="1830" max="1830" width="34.7109375" style="2" customWidth="1"/>
    <col min="1831" max="1831" width="93.5703125" style="2" customWidth="1"/>
    <col min="1832" max="1832" width="16.42578125" style="2" customWidth="1"/>
    <col min="1833" max="1833" width="24.140625" style="2" customWidth="1"/>
    <col min="1834" max="1834" width="40.140625" style="2" customWidth="1"/>
    <col min="1835" max="1835" width="26.140625" style="2" customWidth="1"/>
    <col min="1836" max="1836" width="23.140625" style="2" customWidth="1"/>
    <col min="1837" max="1837" width="12.5703125" style="2" customWidth="1"/>
    <col min="1838" max="1838" width="24.85546875" style="2" customWidth="1"/>
    <col min="1839" max="1839" width="3.85546875" style="2" customWidth="1"/>
    <col min="1840" max="1840" width="34.85546875" style="2" customWidth="1"/>
    <col min="1841" max="1841" width="122.140625" style="2" customWidth="1"/>
    <col min="1842" max="1842" width="27.5703125" style="2" customWidth="1"/>
    <col min="1843" max="1843" width="32.140625" style="2" customWidth="1"/>
    <col min="1844" max="1844" width="28.85546875" style="2" customWidth="1"/>
    <col min="1845" max="1845" width="24.85546875" style="2" customWidth="1"/>
    <col min="1846" max="1846" width="35.140625" style="2" bestFit="1" customWidth="1"/>
    <col min="1847" max="1847" width="21.140625" style="2" customWidth="1"/>
    <col min="1848" max="1848" width="25" style="2" customWidth="1"/>
    <col min="1849" max="1849" width="10.140625" style="2" bestFit="1" customWidth="1"/>
    <col min="1850" max="1850" width="16.85546875" style="2" customWidth="1"/>
    <col min="1851" max="1851" width="8.85546875" style="2" customWidth="1"/>
    <col min="1852" max="1853" width="10.140625" style="2" bestFit="1" customWidth="1"/>
    <col min="1854" max="1854" width="45.140625" style="2" bestFit="1" customWidth="1"/>
    <col min="1855" max="1855" width="7.85546875" style="2" bestFit="1" customWidth="1"/>
    <col min="1856" max="1856" width="17" style="2" customWidth="1"/>
    <col min="1857" max="1857" width="8.140625" style="2" bestFit="1" customWidth="1"/>
    <col min="1858" max="1858" width="10.140625" style="2" bestFit="1" customWidth="1"/>
    <col min="1859" max="1859" width="8.140625" style="2" bestFit="1" customWidth="1"/>
    <col min="1860" max="1860" width="23.140625" style="2" customWidth="1"/>
    <col min="1861" max="1861" width="7.85546875" style="2" bestFit="1" customWidth="1"/>
    <col min="1862" max="1862" width="14" style="2" customWidth="1"/>
    <col min="1863" max="1863" width="8.140625" style="2" bestFit="1" customWidth="1"/>
    <col min="1864" max="1864" width="10.140625" style="2" bestFit="1" customWidth="1"/>
    <col min="1865" max="1865" width="10" style="2" bestFit="1" customWidth="1"/>
    <col min="1866" max="1866" width="24.5703125" style="2" customWidth="1"/>
    <col min="1867" max="1867" width="7.85546875" style="2" bestFit="1" customWidth="1"/>
    <col min="1868" max="1868" width="14.5703125" style="2" customWidth="1"/>
    <col min="1869" max="1869" width="7.28515625" style="2" bestFit="1" customWidth="1"/>
    <col min="1870" max="1870" width="10.140625" style="2" bestFit="1" customWidth="1"/>
    <col min="1871" max="1871" width="8.140625" style="2" bestFit="1" customWidth="1"/>
    <col min="1872" max="1872" width="37.140625" style="2" customWidth="1"/>
    <col min="1873" max="1873" width="38.140625" style="2" customWidth="1"/>
    <col min="1874" max="2048" width="9.140625" style="2"/>
    <col min="2049" max="2049" width="4.7109375" style="2" customWidth="1"/>
    <col min="2050" max="2050" width="11.42578125" style="2" customWidth="1"/>
    <col min="2051" max="2051" width="34.140625" style="2" customWidth="1"/>
    <col min="2052" max="2052" width="11.85546875" style="2" customWidth="1"/>
    <col min="2053" max="2053" width="24.42578125" style="2" customWidth="1"/>
    <col min="2054" max="2054" width="19" style="2" bestFit="1" customWidth="1"/>
    <col min="2055" max="2055" width="27.140625" style="2" customWidth="1"/>
    <col min="2056" max="2056" width="21.140625" style="2" bestFit="1" customWidth="1"/>
    <col min="2057" max="2057" width="35.7109375" style="2" bestFit="1" customWidth="1"/>
    <col min="2058" max="2058" width="20.140625" style="2" bestFit="1" customWidth="1"/>
    <col min="2059" max="2059" width="16.42578125" style="2" customWidth="1"/>
    <col min="2060" max="2060" width="24.140625" style="2" customWidth="1"/>
    <col min="2061" max="2061" width="18.140625" style="2" customWidth="1"/>
    <col min="2062" max="2062" width="19" style="2" customWidth="1"/>
    <col min="2063" max="2063" width="18.140625" style="2" customWidth="1"/>
    <col min="2064" max="2064" width="23.85546875" style="2" customWidth="1"/>
    <col min="2065" max="2065" width="16.5703125" style="2" customWidth="1"/>
    <col min="2066" max="2066" width="24" style="2" customWidth="1"/>
    <col min="2067" max="2067" width="26.28515625" style="2" customWidth="1"/>
    <col min="2068" max="2068" width="21.85546875" style="2" customWidth="1"/>
    <col min="2069" max="2069" width="16.140625" style="2" customWidth="1"/>
    <col min="2070" max="2070" width="26.140625" style="2" customWidth="1"/>
    <col min="2071" max="2071" width="22.85546875" style="2" customWidth="1"/>
    <col min="2072" max="2072" width="22.42578125" style="2" customWidth="1"/>
    <col min="2073" max="2073" width="15" style="2" customWidth="1"/>
    <col min="2074" max="2074" width="12.140625" style="2" customWidth="1"/>
    <col min="2075" max="2075" width="18.5703125" style="2" customWidth="1"/>
    <col min="2076" max="2076" width="28.5703125" style="2" customWidth="1"/>
    <col min="2077" max="2077" width="26.140625" style="2" customWidth="1"/>
    <col min="2078" max="2078" width="10.28515625" style="2" customWidth="1"/>
    <col min="2079" max="2079" width="60" style="2" bestFit="1" customWidth="1"/>
    <col min="2080" max="2080" width="33.5703125" style="2" customWidth="1"/>
    <col min="2081" max="2081" width="14.42578125" style="2" customWidth="1"/>
    <col min="2082" max="2082" width="36.42578125" style="2" customWidth="1"/>
    <col min="2083" max="2083" width="44.85546875" style="2" customWidth="1"/>
    <col min="2084" max="2084" width="37.42578125" style="2" customWidth="1"/>
    <col min="2085" max="2085" width="123.42578125" style="2" customWidth="1"/>
    <col min="2086" max="2086" width="34.7109375" style="2" customWidth="1"/>
    <col min="2087" max="2087" width="93.5703125" style="2" customWidth="1"/>
    <col min="2088" max="2088" width="16.42578125" style="2" customWidth="1"/>
    <col min="2089" max="2089" width="24.140625" style="2" customWidth="1"/>
    <col min="2090" max="2090" width="40.140625" style="2" customWidth="1"/>
    <col min="2091" max="2091" width="26.140625" style="2" customWidth="1"/>
    <col min="2092" max="2092" width="23.140625" style="2" customWidth="1"/>
    <col min="2093" max="2093" width="12.5703125" style="2" customWidth="1"/>
    <col min="2094" max="2094" width="24.85546875" style="2" customWidth="1"/>
    <col min="2095" max="2095" width="3.85546875" style="2" customWidth="1"/>
    <col min="2096" max="2096" width="34.85546875" style="2" customWidth="1"/>
    <col min="2097" max="2097" width="122.140625" style="2" customWidth="1"/>
    <col min="2098" max="2098" width="27.5703125" style="2" customWidth="1"/>
    <col min="2099" max="2099" width="32.140625" style="2" customWidth="1"/>
    <col min="2100" max="2100" width="28.85546875" style="2" customWidth="1"/>
    <col min="2101" max="2101" width="24.85546875" style="2" customWidth="1"/>
    <col min="2102" max="2102" width="35.140625" style="2" bestFit="1" customWidth="1"/>
    <col min="2103" max="2103" width="21.140625" style="2" customWidth="1"/>
    <col min="2104" max="2104" width="25" style="2" customWidth="1"/>
    <col min="2105" max="2105" width="10.140625" style="2" bestFit="1" customWidth="1"/>
    <col min="2106" max="2106" width="16.85546875" style="2" customWidth="1"/>
    <col min="2107" max="2107" width="8.85546875" style="2" customWidth="1"/>
    <col min="2108" max="2109" width="10.140625" style="2" bestFit="1" customWidth="1"/>
    <col min="2110" max="2110" width="45.140625" style="2" bestFit="1" customWidth="1"/>
    <col min="2111" max="2111" width="7.85546875" style="2" bestFit="1" customWidth="1"/>
    <col min="2112" max="2112" width="17" style="2" customWidth="1"/>
    <col min="2113" max="2113" width="8.140625" style="2" bestFit="1" customWidth="1"/>
    <col min="2114" max="2114" width="10.140625" style="2" bestFit="1" customWidth="1"/>
    <col min="2115" max="2115" width="8.140625" style="2" bestFit="1" customWidth="1"/>
    <col min="2116" max="2116" width="23.140625" style="2" customWidth="1"/>
    <col min="2117" max="2117" width="7.85546875" style="2" bestFit="1" customWidth="1"/>
    <col min="2118" max="2118" width="14" style="2" customWidth="1"/>
    <col min="2119" max="2119" width="8.140625" style="2" bestFit="1" customWidth="1"/>
    <col min="2120" max="2120" width="10.140625" style="2" bestFit="1" customWidth="1"/>
    <col min="2121" max="2121" width="10" style="2" bestFit="1" customWidth="1"/>
    <col min="2122" max="2122" width="24.5703125" style="2" customWidth="1"/>
    <col min="2123" max="2123" width="7.85546875" style="2" bestFit="1" customWidth="1"/>
    <col min="2124" max="2124" width="14.5703125" style="2" customWidth="1"/>
    <col min="2125" max="2125" width="7.28515625" style="2" bestFit="1" customWidth="1"/>
    <col min="2126" max="2126" width="10.140625" style="2" bestFit="1" customWidth="1"/>
    <col min="2127" max="2127" width="8.140625" style="2" bestFit="1" customWidth="1"/>
    <col min="2128" max="2128" width="37.140625" style="2" customWidth="1"/>
    <col min="2129" max="2129" width="38.140625" style="2" customWidth="1"/>
    <col min="2130" max="2304" width="9.140625" style="2"/>
    <col min="2305" max="2305" width="4.7109375" style="2" customWidth="1"/>
    <col min="2306" max="2306" width="11.42578125" style="2" customWidth="1"/>
    <col min="2307" max="2307" width="34.140625" style="2" customWidth="1"/>
    <col min="2308" max="2308" width="11.85546875" style="2" customWidth="1"/>
    <col min="2309" max="2309" width="24.42578125" style="2" customWidth="1"/>
    <col min="2310" max="2310" width="19" style="2" bestFit="1" customWidth="1"/>
    <col min="2311" max="2311" width="27.140625" style="2" customWidth="1"/>
    <col min="2312" max="2312" width="21.140625" style="2" bestFit="1" customWidth="1"/>
    <col min="2313" max="2313" width="35.7109375" style="2" bestFit="1" customWidth="1"/>
    <col min="2314" max="2314" width="20.140625" style="2" bestFit="1" customWidth="1"/>
    <col min="2315" max="2315" width="16.42578125" style="2" customWidth="1"/>
    <col min="2316" max="2316" width="24.140625" style="2" customWidth="1"/>
    <col min="2317" max="2317" width="18.140625" style="2" customWidth="1"/>
    <col min="2318" max="2318" width="19" style="2" customWidth="1"/>
    <col min="2319" max="2319" width="18.140625" style="2" customWidth="1"/>
    <col min="2320" max="2320" width="23.85546875" style="2" customWidth="1"/>
    <col min="2321" max="2321" width="16.5703125" style="2" customWidth="1"/>
    <col min="2322" max="2322" width="24" style="2" customWidth="1"/>
    <col min="2323" max="2323" width="26.28515625" style="2" customWidth="1"/>
    <col min="2324" max="2324" width="21.85546875" style="2" customWidth="1"/>
    <col min="2325" max="2325" width="16.140625" style="2" customWidth="1"/>
    <col min="2326" max="2326" width="26.140625" style="2" customWidth="1"/>
    <col min="2327" max="2327" width="22.85546875" style="2" customWidth="1"/>
    <col min="2328" max="2328" width="22.42578125" style="2" customWidth="1"/>
    <col min="2329" max="2329" width="15" style="2" customWidth="1"/>
    <col min="2330" max="2330" width="12.140625" style="2" customWidth="1"/>
    <col min="2331" max="2331" width="18.5703125" style="2" customWidth="1"/>
    <col min="2332" max="2332" width="28.5703125" style="2" customWidth="1"/>
    <col min="2333" max="2333" width="26.140625" style="2" customWidth="1"/>
    <col min="2334" max="2334" width="10.28515625" style="2" customWidth="1"/>
    <col min="2335" max="2335" width="60" style="2" bestFit="1" customWidth="1"/>
    <col min="2336" max="2336" width="33.5703125" style="2" customWidth="1"/>
    <col min="2337" max="2337" width="14.42578125" style="2" customWidth="1"/>
    <col min="2338" max="2338" width="36.42578125" style="2" customWidth="1"/>
    <col min="2339" max="2339" width="44.85546875" style="2" customWidth="1"/>
    <col min="2340" max="2340" width="37.42578125" style="2" customWidth="1"/>
    <col min="2341" max="2341" width="123.42578125" style="2" customWidth="1"/>
    <col min="2342" max="2342" width="34.7109375" style="2" customWidth="1"/>
    <col min="2343" max="2343" width="93.5703125" style="2" customWidth="1"/>
    <col min="2344" max="2344" width="16.42578125" style="2" customWidth="1"/>
    <col min="2345" max="2345" width="24.140625" style="2" customWidth="1"/>
    <col min="2346" max="2346" width="40.140625" style="2" customWidth="1"/>
    <col min="2347" max="2347" width="26.140625" style="2" customWidth="1"/>
    <col min="2348" max="2348" width="23.140625" style="2" customWidth="1"/>
    <col min="2349" max="2349" width="12.5703125" style="2" customWidth="1"/>
    <col min="2350" max="2350" width="24.85546875" style="2" customWidth="1"/>
    <col min="2351" max="2351" width="3.85546875" style="2" customWidth="1"/>
    <col min="2352" max="2352" width="34.85546875" style="2" customWidth="1"/>
    <col min="2353" max="2353" width="122.140625" style="2" customWidth="1"/>
    <col min="2354" max="2354" width="27.5703125" style="2" customWidth="1"/>
    <col min="2355" max="2355" width="32.140625" style="2" customWidth="1"/>
    <col min="2356" max="2356" width="28.85546875" style="2" customWidth="1"/>
    <col min="2357" max="2357" width="24.85546875" style="2" customWidth="1"/>
    <col min="2358" max="2358" width="35.140625" style="2" bestFit="1" customWidth="1"/>
    <col min="2359" max="2359" width="21.140625" style="2" customWidth="1"/>
    <col min="2360" max="2360" width="25" style="2" customWidth="1"/>
    <col min="2361" max="2361" width="10.140625" style="2" bestFit="1" customWidth="1"/>
    <col min="2362" max="2362" width="16.85546875" style="2" customWidth="1"/>
    <col min="2363" max="2363" width="8.85546875" style="2" customWidth="1"/>
    <col min="2364" max="2365" width="10.140625" style="2" bestFit="1" customWidth="1"/>
    <col min="2366" max="2366" width="45.140625" style="2" bestFit="1" customWidth="1"/>
    <col min="2367" max="2367" width="7.85546875" style="2" bestFit="1" customWidth="1"/>
    <col min="2368" max="2368" width="17" style="2" customWidth="1"/>
    <col min="2369" max="2369" width="8.140625" style="2" bestFit="1" customWidth="1"/>
    <col min="2370" max="2370" width="10.140625" style="2" bestFit="1" customWidth="1"/>
    <col min="2371" max="2371" width="8.140625" style="2" bestFit="1" customWidth="1"/>
    <col min="2372" max="2372" width="23.140625" style="2" customWidth="1"/>
    <col min="2373" max="2373" width="7.85546875" style="2" bestFit="1" customWidth="1"/>
    <col min="2374" max="2374" width="14" style="2" customWidth="1"/>
    <col min="2375" max="2375" width="8.140625" style="2" bestFit="1" customWidth="1"/>
    <col min="2376" max="2376" width="10.140625" style="2" bestFit="1" customWidth="1"/>
    <col min="2377" max="2377" width="10" style="2" bestFit="1" customWidth="1"/>
    <col min="2378" max="2378" width="24.5703125" style="2" customWidth="1"/>
    <col min="2379" max="2379" width="7.85546875" style="2" bestFit="1" customWidth="1"/>
    <col min="2380" max="2380" width="14.5703125" style="2" customWidth="1"/>
    <col min="2381" max="2381" width="7.28515625" style="2" bestFit="1" customWidth="1"/>
    <col min="2382" max="2382" width="10.140625" style="2" bestFit="1" customWidth="1"/>
    <col min="2383" max="2383" width="8.140625" style="2" bestFit="1" customWidth="1"/>
    <col min="2384" max="2384" width="37.140625" style="2" customWidth="1"/>
    <col min="2385" max="2385" width="38.140625" style="2" customWidth="1"/>
    <col min="2386" max="2560" width="9.140625" style="2"/>
    <col min="2561" max="2561" width="4.7109375" style="2" customWidth="1"/>
    <col min="2562" max="2562" width="11.42578125" style="2" customWidth="1"/>
    <col min="2563" max="2563" width="34.140625" style="2" customWidth="1"/>
    <col min="2564" max="2564" width="11.85546875" style="2" customWidth="1"/>
    <col min="2565" max="2565" width="24.42578125" style="2" customWidth="1"/>
    <col min="2566" max="2566" width="19" style="2" bestFit="1" customWidth="1"/>
    <col min="2567" max="2567" width="27.140625" style="2" customWidth="1"/>
    <col min="2568" max="2568" width="21.140625" style="2" bestFit="1" customWidth="1"/>
    <col min="2569" max="2569" width="35.7109375" style="2" bestFit="1" customWidth="1"/>
    <col min="2570" max="2570" width="20.140625" style="2" bestFit="1" customWidth="1"/>
    <col min="2571" max="2571" width="16.42578125" style="2" customWidth="1"/>
    <col min="2572" max="2572" width="24.140625" style="2" customWidth="1"/>
    <col min="2573" max="2573" width="18.140625" style="2" customWidth="1"/>
    <col min="2574" max="2574" width="19" style="2" customWidth="1"/>
    <col min="2575" max="2575" width="18.140625" style="2" customWidth="1"/>
    <col min="2576" max="2576" width="23.85546875" style="2" customWidth="1"/>
    <col min="2577" max="2577" width="16.5703125" style="2" customWidth="1"/>
    <col min="2578" max="2578" width="24" style="2" customWidth="1"/>
    <col min="2579" max="2579" width="26.28515625" style="2" customWidth="1"/>
    <col min="2580" max="2580" width="21.85546875" style="2" customWidth="1"/>
    <col min="2581" max="2581" width="16.140625" style="2" customWidth="1"/>
    <col min="2582" max="2582" width="26.140625" style="2" customWidth="1"/>
    <col min="2583" max="2583" width="22.85546875" style="2" customWidth="1"/>
    <col min="2584" max="2584" width="22.42578125" style="2" customWidth="1"/>
    <col min="2585" max="2585" width="15" style="2" customWidth="1"/>
    <col min="2586" max="2586" width="12.140625" style="2" customWidth="1"/>
    <col min="2587" max="2587" width="18.5703125" style="2" customWidth="1"/>
    <col min="2588" max="2588" width="28.5703125" style="2" customWidth="1"/>
    <col min="2589" max="2589" width="26.140625" style="2" customWidth="1"/>
    <col min="2590" max="2590" width="10.28515625" style="2" customWidth="1"/>
    <col min="2591" max="2591" width="60" style="2" bestFit="1" customWidth="1"/>
    <col min="2592" max="2592" width="33.5703125" style="2" customWidth="1"/>
    <col min="2593" max="2593" width="14.42578125" style="2" customWidth="1"/>
    <col min="2594" max="2594" width="36.42578125" style="2" customWidth="1"/>
    <col min="2595" max="2595" width="44.85546875" style="2" customWidth="1"/>
    <col min="2596" max="2596" width="37.42578125" style="2" customWidth="1"/>
    <col min="2597" max="2597" width="123.42578125" style="2" customWidth="1"/>
    <col min="2598" max="2598" width="34.7109375" style="2" customWidth="1"/>
    <col min="2599" max="2599" width="93.5703125" style="2" customWidth="1"/>
    <col min="2600" max="2600" width="16.42578125" style="2" customWidth="1"/>
    <col min="2601" max="2601" width="24.140625" style="2" customWidth="1"/>
    <col min="2602" max="2602" width="40.140625" style="2" customWidth="1"/>
    <col min="2603" max="2603" width="26.140625" style="2" customWidth="1"/>
    <col min="2604" max="2604" width="23.140625" style="2" customWidth="1"/>
    <col min="2605" max="2605" width="12.5703125" style="2" customWidth="1"/>
    <col min="2606" max="2606" width="24.85546875" style="2" customWidth="1"/>
    <col min="2607" max="2607" width="3.85546875" style="2" customWidth="1"/>
    <col min="2608" max="2608" width="34.85546875" style="2" customWidth="1"/>
    <col min="2609" max="2609" width="122.140625" style="2" customWidth="1"/>
    <col min="2610" max="2610" width="27.5703125" style="2" customWidth="1"/>
    <col min="2611" max="2611" width="32.140625" style="2" customWidth="1"/>
    <col min="2612" max="2612" width="28.85546875" style="2" customWidth="1"/>
    <col min="2613" max="2613" width="24.85546875" style="2" customWidth="1"/>
    <col min="2614" max="2614" width="35.140625" style="2" bestFit="1" customWidth="1"/>
    <col min="2615" max="2615" width="21.140625" style="2" customWidth="1"/>
    <col min="2616" max="2616" width="25" style="2" customWidth="1"/>
    <col min="2617" max="2617" width="10.140625" style="2" bestFit="1" customWidth="1"/>
    <col min="2618" max="2618" width="16.85546875" style="2" customWidth="1"/>
    <col min="2619" max="2619" width="8.85546875" style="2" customWidth="1"/>
    <col min="2620" max="2621" width="10.140625" style="2" bestFit="1" customWidth="1"/>
    <col min="2622" max="2622" width="45.140625" style="2" bestFit="1" customWidth="1"/>
    <col min="2623" max="2623" width="7.85546875" style="2" bestFit="1" customWidth="1"/>
    <col min="2624" max="2624" width="17" style="2" customWidth="1"/>
    <col min="2625" max="2625" width="8.140625" style="2" bestFit="1" customWidth="1"/>
    <col min="2626" max="2626" width="10.140625" style="2" bestFit="1" customWidth="1"/>
    <col min="2627" max="2627" width="8.140625" style="2" bestFit="1" customWidth="1"/>
    <col min="2628" max="2628" width="23.140625" style="2" customWidth="1"/>
    <col min="2629" max="2629" width="7.85546875" style="2" bestFit="1" customWidth="1"/>
    <col min="2630" max="2630" width="14" style="2" customWidth="1"/>
    <col min="2631" max="2631" width="8.140625" style="2" bestFit="1" customWidth="1"/>
    <col min="2632" max="2632" width="10.140625" style="2" bestFit="1" customWidth="1"/>
    <col min="2633" max="2633" width="10" style="2" bestFit="1" customWidth="1"/>
    <col min="2634" max="2634" width="24.5703125" style="2" customWidth="1"/>
    <col min="2635" max="2635" width="7.85546875" style="2" bestFit="1" customWidth="1"/>
    <col min="2636" max="2636" width="14.5703125" style="2" customWidth="1"/>
    <col min="2637" max="2637" width="7.28515625" style="2" bestFit="1" customWidth="1"/>
    <col min="2638" max="2638" width="10.140625" style="2" bestFit="1" customWidth="1"/>
    <col min="2639" max="2639" width="8.140625" style="2" bestFit="1" customWidth="1"/>
    <col min="2640" max="2640" width="37.140625" style="2" customWidth="1"/>
    <col min="2641" max="2641" width="38.140625" style="2" customWidth="1"/>
    <col min="2642" max="2816" width="9.140625" style="2"/>
    <col min="2817" max="2817" width="4.7109375" style="2" customWidth="1"/>
    <col min="2818" max="2818" width="11.42578125" style="2" customWidth="1"/>
    <col min="2819" max="2819" width="34.140625" style="2" customWidth="1"/>
    <col min="2820" max="2820" width="11.85546875" style="2" customWidth="1"/>
    <col min="2821" max="2821" width="24.42578125" style="2" customWidth="1"/>
    <col min="2822" max="2822" width="19" style="2" bestFit="1" customWidth="1"/>
    <col min="2823" max="2823" width="27.140625" style="2" customWidth="1"/>
    <col min="2824" max="2824" width="21.140625" style="2" bestFit="1" customWidth="1"/>
    <col min="2825" max="2825" width="35.7109375" style="2" bestFit="1" customWidth="1"/>
    <col min="2826" max="2826" width="20.140625" style="2" bestFit="1" customWidth="1"/>
    <col min="2827" max="2827" width="16.42578125" style="2" customWidth="1"/>
    <col min="2828" max="2828" width="24.140625" style="2" customWidth="1"/>
    <col min="2829" max="2829" width="18.140625" style="2" customWidth="1"/>
    <col min="2830" max="2830" width="19" style="2" customWidth="1"/>
    <col min="2831" max="2831" width="18.140625" style="2" customWidth="1"/>
    <col min="2832" max="2832" width="23.85546875" style="2" customWidth="1"/>
    <col min="2833" max="2833" width="16.5703125" style="2" customWidth="1"/>
    <col min="2834" max="2834" width="24" style="2" customWidth="1"/>
    <col min="2835" max="2835" width="26.28515625" style="2" customWidth="1"/>
    <col min="2836" max="2836" width="21.85546875" style="2" customWidth="1"/>
    <col min="2837" max="2837" width="16.140625" style="2" customWidth="1"/>
    <col min="2838" max="2838" width="26.140625" style="2" customWidth="1"/>
    <col min="2839" max="2839" width="22.85546875" style="2" customWidth="1"/>
    <col min="2840" max="2840" width="22.42578125" style="2" customWidth="1"/>
    <col min="2841" max="2841" width="15" style="2" customWidth="1"/>
    <col min="2842" max="2842" width="12.140625" style="2" customWidth="1"/>
    <col min="2843" max="2843" width="18.5703125" style="2" customWidth="1"/>
    <col min="2844" max="2844" width="28.5703125" style="2" customWidth="1"/>
    <col min="2845" max="2845" width="26.140625" style="2" customWidth="1"/>
    <col min="2846" max="2846" width="10.28515625" style="2" customWidth="1"/>
    <col min="2847" max="2847" width="60" style="2" bestFit="1" customWidth="1"/>
    <col min="2848" max="2848" width="33.5703125" style="2" customWidth="1"/>
    <col min="2849" max="2849" width="14.42578125" style="2" customWidth="1"/>
    <col min="2850" max="2850" width="36.42578125" style="2" customWidth="1"/>
    <col min="2851" max="2851" width="44.85546875" style="2" customWidth="1"/>
    <col min="2852" max="2852" width="37.42578125" style="2" customWidth="1"/>
    <col min="2853" max="2853" width="123.42578125" style="2" customWidth="1"/>
    <col min="2854" max="2854" width="34.7109375" style="2" customWidth="1"/>
    <col min="2855" max="2855" width="93.5703125" style="2" customWidth="1"/>
    <col min="2856" max="2856" width="16.42578125" style="2" customWidth="1"/>
    <col min="2857" max="2857" width="24.140625" style="2" customWidth="1"/>
    <col min="2858" max="2858" width="40.140625" style="2" customWidth="1"/>
    <col min="2859" max="2859" width="26.140625" style="2" customWidth="1"/>
    <col min="2860" max="2860" width="23.140625" style="2" customWidth="1"/>
    <col min="2861" max="2861" width="12.5703125" style="2" customWidth="1"/>
    <col min="2862" max="2862" width="24.85546875" style="2" customWidth="1"/>
    <col min="2863" max="2863" width="3.85546875" style="2" customWidth="1"/>
    <col min="2864" max="2864" width="34.85546875" style="2" customWidth="1"/>
    <col min="2865" max="2865" width="122.140625" style="2" customWidth="1"/>
    <col min="2866" max="2866" width="27.5703125" style="2" customWidth="1"/>
    <col min="2867" max="2867" width="32.140625" style="2" customWidth="1"/>
    <col min="2868" max="2868" width="28.85546875" style="2" customWidth="1"/>
    <col min="2869" max="2869" width="24.85546875" style="2" customWidth="1"/>
    <col min="2870" max="2870" width="35.140625" style="2" bestFit="1" customWidth="1"/>
    <col min="2871" max="2871" width="21.140625" style="2" customWidth="1"/>
    <col min="2872" max="2872" width="25" style="2" customWidth="1"/>
    <col min="2873" max="2873" width="10.140625" style="2" bestFit="1" customWidth="1"/>
    <col min="2874" max="2874" width="16.85546875" style="2" customWidth="1"/>
    <col min="2875" max="2875" width="8.85546875" style="2" customWidth="1"/>
    <col min="2876" max="2877" width="10.140625" style="2" bestFit="1" customWidth="1"/>
    <col min="2878" max="2878" width="45.140625" style="2" bestFit="1" customWidth="1"/>
    <col min="2879" max="2879" width="7.85546875" style="2" bestFit="1" customWidth="1"/>
    <col min="2880" max="2880" width="17" style="2" customWidth="1"/>
    <col min="2881" max="2881" width="8.140625" style="2" bestFit="1" customWidth="1"/>
    <col min="2882" max="2882" width="10.140625" style="2" bestFit="1" customWidth="1"/>
    <col min="2883" max="2883" width="8.140625" style="2" bestFit="1" customWidth="1"/>
    <col min="2884" max="2884" width="23.140625" style="2" customWidth="1"/>
    <col min="2885" max="2885" width="7.85546875" style="2" bestFit="1" customWidth="1"/>
    <col min="2886" max="2886" width="14" style="2" customWidth="1"/>
    <col min="2887" max="2887" width="8.140625" style="2" bestFit="1" customWidth="1"/>
    <col min="2888" max="2888" width="10.140625" style="2" bestFit="1" customWidth="1"/>
    <col min="2889" max="2889" width="10" style="2" bestFit="1" customWidth="1"/>
    <col min="2890" max="2890" width="24.5703125" style="2" customWidth="1"/>
    <col min="2891" max="2891" width="7.85546875" style="2" bestFit="1" customWidth="1"/>
    <col min="2892" max="2892" width="14.5703125" style="2" customWidth="1"/>
    <col min="2893" max="2893" width="7.28515625" style="2" bestFit="1" customWidth="1"/>
    <col min="2894" max="2894" width="10.140625" style="2" bestFit="1" customWidth="1"/>
    <col min="2895" max="2895" width="8.140625" style="2" bestFit="1" customWidth="1"/>
    <col min="2896" max="2896" width="37.140625" style="2" customWidth="1"/>
    <col min="2897" max="2897" width="38.140625" style="2" customWidth="1"/>
    <col min="2898" max="3072" width="9.140625" style="2"/>
    <col min="3073" max="3073" width="4.7109375" style="2" customWidth="1"/>
    <col min="3074" max="3074" width="11.42578125" style="2" customWidth="1"/>
    <col min="3075" max="3075" width="34.140625" style="2" customWidth="1"/>
    <col min="3076" max="3076" width="11.85546875" style="2" customWidth="1"/>
    <col min="3077" max="3077" width="24.42578125" style="2" customWidth="1"/>
    <col min="3078" max="3078" width="19" style="2" bestFit="1" customWidth="1"/>
    <col min="3079" max="3079" width="27.140625" style="2" customWidth="1"/>
    <col min="3080" max="3080" width="21.140625" style="2" bestFit="1" customWidth="1"/>
    <col min="3081" max="3081" width="35.7109375" style="2" bestFit="1" customWidth="1"/>
    <col min="3082" max="3082" width="20.140625" style="2" bestFit="1" customWidth="1"/>
    <col min="3083" max="3083" width="16.42578125" style="2" customWidth="1"/>
    <col min="3084" max="3084" width="24.140625" style="2" customWidth="1"/>
    <col min="3085" max="3085" width="18.140625" style="2" customWidth="1"/>
    <col min="3086" max="3086" width="19" style="2" customWidth="1"/>
    <col min="3087" max="3087" width="18.140625" style="2" customWidth="1"/>
    <col min="3088" max="3088" width="23.85546875" style="2" customWidth="1"/>
    <col min="3089" max="3089" width="16.5703125" style="2" customWidth="1"/>
    <col min="3090" max="3090" width="24" style="2" customWidth="1"/>
    <col min="3091" max="3091" width="26.28515625" style="2" customWidth="1"/>
    <col min="3092" max="3092" width="21.85546875" style="2" customWidth="1"/>
    <col min="3093" max="3093" width="16.140625" style="2" customWidth="1"/>
    <col min="3094" max="3094" width="26.140625" style="2" customWidth="1"/>
    <col min="3095" max="3095" width="22.85546875" style="2" customWidth="1"/>
    <col min="3096" max="3096" width="22.42578125" style="2" customWidth="1"/>
    <col min="3097" max="3097" width="15" style="2" customWidth="1"/>
    <col min="3098" max="3098" width="12.140625" style="2" customWidth="1"/>
    <col min="3099" max="3099" width="18.5703125" style="2" customWidth="1"/>
    <col min="3100" max="3100" width="28.5703125" style="2" customWidth="1"/>
    <col min="3101" max="3101" width="26.140625" style="2" customWidth="1"/>
    <col min="3102" max="3102" width="10.28515625" style="2" customWidth="1"/>
    <col min="3103" max="3103" width="60" style="2" bestFit="1" customWidth="1"/>
    <col min="3104" max="3104" width="33.5703125" style="2" customWidth="1"/>
    <col min="3105" max="3105" width="14.42578125" style="2" customWidth="1"/>
    <col min="3106" max="3106" width="36.42578125" style="2" customWidth="1"/>
    <col min="3107" max="3107" width="44.85546875" style="2" customWidth="1"/>
    <col min="3108" max="3108" width="37.42578125" style="2" customWidth="1"/>
    <col min="3109" max="3109" width="123.42578125" style="2" customWidth="1"/>
    <col min="3110" max="3110" width="34.7109375" style="2" customWidth="1"/>
    <col min="3111" max="3111" width="93.5703125" style="2" customWidth="1"/>
    <col min="3112" max="3112" width="16.42578125" style="2" customWidth="1"/>
    <col min="3113" max="3113" width="24.140625" style="2" customWidth="1"/>
    <col min="3114" max="3114" width="40.140625" style="2" customWidth="1"/>
    <col min="3115" max="3115" width="26.140625" style="2" customWidth="1"/>
    <col min="3116" max="3116" width="23.140625" style="2" customWidth="1"/>
    <col min="3117" max="3117" width="12.5703125" style="2" customWidth="1"/>
    <col min="3118" max="3118" width="24.85546875" style="2" customWidth="1"/>
    <col min="3119" max="3119" width="3.85546875" style="2" customWidth="1"/>
    <col min="3120" max="3120" width="34.85546875" style="2" customWidth="1"/>
    <col min="3121" max="3121" width="122.140625" style="2" customWidth="1"/>
    <col min="3122" max="3122" width="27.5703125" style="2" customWidth="1"/>
    <col min="3123" max="3123" width="32.140625" style="2" customWidth="1"/>
    <col min="3124" max="3124" width="28.85546875" style="2" customWidth="1"/>
    <col min="3125" max="3125" width="24.85546875" style="2" customWidth="1"/>
    <col min="3126" max="3126" width="35.140625" style="2" bestFit="1" customWidth="1"/>
    <col min="3127" max="3127" width="21.140625" style="2" customWidth="1"/>
    <col min="3128" max="3128" width="25" style="2" customWidth="1"/>
    <col min="3129" max="3129" width="10.140625" style="2" bestFit="1" customWidth="1"/>
    <col min="3130" max="3130" width="16.85546875" style="2" customWidth="1"/>
    <col min="3131" max="3131" width="8.85546875" style="2" customWidth="1"/>
    <col min="3132" max="3133" width="10.140625" style="2" bestFit="1" customWidth="1"/>
    <col min="3134" max="3134" width="45.140625" style="2" bestFit="1" customWidth="1"/>
    <col min="3135" max="3135" width="7.85546875" style="2" bestFit="1" customWidth="1"/>
    <col min="3136" max="3136" width="17" style="2" customWidth="1"/>
    <col min="3137" max="3137" width="8.140625" style="2" bestFit="1" customWidth="1"/>
    <col min="3138" max="3138" width="10.140625" style="2" bestFit="1" customWidth="1"/>
    <col min="3139" max="3139" width="8.140625" style="2" bestFit="1" customWidth="1"/>
    <col min="3140" max="3140" width="23.140625" style="2" customWidth="1"/>
    <col min="3141" max="3141" width="7.85546875" style="2" bestFit="1" customWidth="1"/>
    <col min="3142" max="3142" width="14" style="2" customWidth="1"/>
    <col min="3143" max="3143" width="8.140625" style="2" bestFit="1" customWidth="1"/>
    <col min="3144" max="3144" width="10.140625" style="2" bestFit="1" customWidth="1"/>
    <col min="3145" max="3145" width="10" style="2" bestFit="1" customWidth="1"/>
    <col min="3146" max="3146" width="24.5703125" style="2" customWidth="1"/>
    <col min="3147" max="3147" width="7.85546875" style="2" bestFit="1" customWidth="1"/>
    <col min="3148" max="3148" width="14.5703125" style="2" customWidth="1"/>
    <col min="3149" max="3149" width="7.28515625" style="2" bestFit="1" customWidth="1"/>
    <col min="3150" max="3150" width="10.140625" style="2" bestFit="1" customWidth="1"/>
    <col min="3151" max="3151" width="8.140625" style="2" bestFit="1" customWidth="1"/>
    <col min="3152" max="3152" width="37.140625" style="2" customWidth="1"/>
    <col min="3153" max="3153" width="38.140625" style="2" customWidth="1"/>
    <col min="3154" max="3328" width="9.140625" style="2"/>
    <col min="3329" max="3329" width="4.7109375" style="2" customWidth="1"/>
    <col min="3330" max="3330" width="11.42578125" style="2" customWidth="1"/>
    <col min="3331" max="3331" width="34.140625" style="2" customWidth="1"/>
    <col min="3332" max="3332" width="11.85546875" style="2" customWidth="1"/>
    <col min="3333" max="3333" width="24.42578125" style="2" customWidth="1"/>
    <col min="3334" max="3334" width="19" style="2" bestFit="1" customWidth="1"/>
    <col min="3335" max="3335" width="27.140625" style="2" customWidth="1"/>
    <col min="3336" max="3336" width="21.140625" style="2" bestFit="1" customWidth="1"/>
    <col min="3337" max="3337" width="35.7109375" style="2" bestFit="1" customWidth="1"/>
    <col min="3338" max="3338" width="20.140625" style="2" bestFit="1" customWidth="1"/>
    <col min="3339" max="3339" width="16.42578125" style="2" customWidth="1"/>
    <col min="3340" max="3340" width="24.140625" style="2" customWidth="1"/>
    <col min="3341" max="3341" width="18.140625" style="2" customWidth="1"/>
    <col min="3342" max="3342" width="19" style="2" customWidth="1"/>
    <col min="3343" max="3343" width="18.140625" style="2" customWidth="1"/>
    <col min="3344" max="3344" width="23.85546875" style="2" customWidth="1"/>
    <col min="3345" max="3345" width="16.5703125" style="2" customWidth="1"/>
    <col min="3346" max="3346" width="24" style="2" customWidth="1"/>
    <col min="3347" max="3347" width="26.28515625" style="2" customWidth="1"/>
    <col min="3348" max="3348" width="21.85546875" style="2" customWidth="1"/>
    <col min="3349" max="3349" width="16.140625" style="2" customWidth="1"/>
    <col min="3350" max="3350" width="26.140625" style="2" customWidth="1"/>
    <col min="3351" max="3351" width="22.85546875" style="2" customWidth="1"/>
    <col min="3352" max="3352" width="22.42578125" style="2" customWidth="1"/>
    <col min="3353" max="3353" width="15" style="2" customWidth="1"/>
    <col min="3354" max="3354" width="12.140625" style="2" customWidth="1"/>
    <col min="3355" max="3355" width="18.5703125" style="2" customWidth="1"/>
    <col min="3356" max="3356" width="28.5703125" style="2" customWidth="1"/>
    <col min="3357" max="3357" width="26.140625" style="2" customWidth="1"/>
    <col min="3358" max="3358" width="10.28515625" style="2" customWidth="1"/>
    <col min="3359" max="3359" width="60" style="2" bestFit="1" customWidth="1"/>
    <col min="3360" max="3360" width="33.5703125" style="2" customWidth="1"/>
    <col min="3361" max="3361" width="14.42578125" style="2" customWidth="1"/>
    <col min="3362" max="3362" width="36.42578125" style="2" customWidth="1"/>
    <col min="3363" max="3363" width="44.85546875" style="2" customWidth="1"/>
    <col min="3364" max="3364" width="37.42578125" style="2" customWidth="1"/>
    <col min="3365" max="3365" width="123.42578125" style="2" customWidth="1"/>
    <col min="3366" max="3366" width="34.7109375" style="2" customWidth="1"/>
    <col min="3367" max="3367" width="93.5703125" style="2" customWidth="1"/>
    <col min="3368" max="3368" width="16.42578125" style="2" customWidth="1"/>
    <col min="3369" max="3369" width="24.140625" style="2" customWidth="1"/>
    <col min="3370" max="3370" width="40.140625" style="2" customWidth="1"/>
    <col min="3371" max="3371" width="26.140625" style="2" customWidth="1"/>
    <col min="3372" max="3372" width="23.140625" style="2" customWidth="1"/>
    <col min="3373" max="3373" width="12.5703125" style="2" customWidth="1"/>
    <col min="3374" max="3374" width="24.85546875" style="2" customWidth="1"/>
    <col min="3375" max="3375" width="3.85546875" style="2" customWidth="1"/>
    <col min="3376" max="3376" width="34.85546875" style="2" customWidth="1"/>
    <col min="3377" max="3377" width="122.140625" style="2" customWidth="1"/>
    <col min="3378" max="3378" width="27.5703125" style="2" customWidth="1"/>
    <col min="3379" max="3379" width="32.140625" style="2" customWidth="1"/>
    <col min="3380" max="3380" width="28.85546875" style="2" customWidth="1"/>
    <col min="3381" max="3381" width="24.85546875" style="2" customWidth="1"/>
    <col min="3382" max="3382" width="35.140625" style="2" bestFit="1" customWidth="1"/>
    <col min="3383" max="3383" width="21.140625" style="2" customWidth="1"/>
    <col min="3384" max="3384" width="25" style="2" customWidth="1"/>
    <col min="3385" max="3385" width="10.140625" style="2" bestFit="1" customWidth="1"/>
    <col min="3386" max="3386" width="16.85546875" style="2" customWidth="1"/>
    <col min="3387" max="3387" width="8.85546875" style="2" customWidth="1"/>
    <col min="3388" max="3389" width="10.140625" style="2" bestFit="1" customWidth="1"/>
    <col min="3390" max="3390" width="45.140625" style="2" bestFit="1" customWidth="1"/>
    <col min="3391" max="3391" width="7.85546875" style="2" bestFit="1" customWidth="1"/>
    <col min="3392" max="3392" width="17" style="2" customWidth="1"/>
    <col min="3393" max="3393" width="8.140625" style="2" bestFit="1" customWidth="1"/>
    <col min="3394" max="3394" width="10.140625" style="2" bestFit="1" customWidth="1"/>
    <col min="3395" max="3395" width="8.140625" style="2" bestFit="1" customWidth="1"/>
    <col min="3396" max="3396" width="23.140625" style="2" customWidth="1"/>
    <col min="3397" max="3397" width="7.85546875" style="2" bestFit="1" customWidth="1"/>
    <col min="3398" max="3398" width="14" style="2" customWidth="1"/>
    <col min="3399" max="3399" width="8.140625" style="2" bestFit="1" customWidth="1"/>
    <col min="3400" max="3400" width="10.140625" style="2" bestFit="1" customWidth="1"/>
    <col min="3401" max="3401" width="10" style="2" bestFit="1" customWidth="1"/>
    <col min="3402" max="3402" width="24.5703125" style="2" customWidth="1"/>
    <col min="3403" max="3403" width="7.85546875" style="2" bestFit="1" customWidth="1"/>
    <col min="3404" max="3404" width="14.5703125" style="2" customWidth="1"/>
    <col min="3405" max="3405" width="7.28515625" style="2" bestFit="1" customWidth="1"/>
    <col min="3406" max="3406" width="10.140625" style="2" bestFit="1" customWidth="1"/>
    <col min="3407" max="3407" width="8.140625" style="2" bestFit="1" customWidth="1"/>
    <col min="3408" max="3408" width="37.140625" style="2" customWidth="1"/>
    <col min="3409" max="3409" width="38.140625" style="2" customWidth="1"/>
    <col min="3410" max="3584" width="9.140625" style="2"/>
    <col min="3585" max="3585" width="4.7109375" style="2" customWidth="1"/>
    <col min="3586" max="3586" width="11.42578125" style="2" customWidth="1"/>
    <col min="3587" max="3587" width="34.140625" style="2" customWidth="1"/>
    <col min="3588" max="3588" width="11.85546875" style="2" customWidth="1"/>
    <col min="3589" max="3589" width="24.42578125" style="2" customWidth="1"/>
    <col min="3590" max="3590" width="19" style="2" bestFit="1" customWidth="1"/>
    <col min="3591" max="3591" width="27.140625" style="2" customWidth="1"/>
    <col min="3592" max="3592" width="21.140625" style="2" bestFit="1" customWidth="1"/>
    <col min="3593" max="3593" width="35.7109375" style="2" bestFit="1" customWidth="1"/>
    <col min="3594" max="3594" width="20.140625" style="2" bestFit="1" customWidth="1"/>
    <col min="3595" max="3595" width="16.42578125" style="2" customWidth="1"/>
    <col min="3596" max="3596" width="24.140625" style="2" customWidth="1"/>
    <col min="3597" max="3597" width="18.140625" style="2" customWidth="1"/>
    <col min="3598" max="3598" width="19" style="2" customWidth="1"/>
    <col min="3599" max="3599" width="18.140625" style="2" customWidth="1"/>
    <col min="3600" max="3600" width="23.85546875" style="2" customWidth="1"/>
    <col min="3601" max="3601" width="16.5703125" style="2" customWidth="1"/>
    <col min="3602" max="3602" width="24" style="2" customWidth="1"/>
    <col min="3603" max="3603" width="26.28515625" style="2" customWidth="1"/>
    <col min="3604" max="3604" width="21.85546875" style="2" customWidth="1"/>
    <col min="3605" max="3605" width="16.140625" style="2" customWidth="1"/>
    <col min="3606" max="3606" width="26.140625" style="2" customWidth="1"/>
    <col min="3607" max="3607" width="22.85546875" style="2" customWidth="1"/>
    <col min="3608" max="3608" width="22.42578125" style="2" customWidth="1"/>
    <col min="3609" max="3609" width="15" style="2" customWidth="1"/>
    <col min="3610" max="3610" width="12.140625" style="2" customWidth="1"/>
    <col min="3611" max="3611" width="18.5703125" style="2" customWidth="1"/>
    <col min="3612" max="3612" width="28.5703125" style="2" customWidth="1"/>
    <col min="3613" max="3613" width="26.140625" style="2" customWidth="1"/>
    <col min="3614" max="3614" width="10.28515625" style="2" customWidth="1"/>
    <col min="3615" max="3615" width="60" style="2" bestFit="1" customWidth="1"/>
    <col min="3616" max="3616" width="33.5703125" style="2" customWidth="1"/>
    <col min="3617" max="3617" width="14.42578125" style="2" customWidth="1"/>
    <col min="3618" max="3618" width="36.42578125" style="2" customWidth="1"/>
    <col min="3619" max="3619" width="44.85546875" style="2" customWidth="1"/>
    <col min="3620" max="3620" width="37.42578125" style="2" customWidth="1"/>
    <col min="3621" max="3621" width="123.42578125" style="2" customWidth="1"/>
    <col min="3622" max="3622" width="34.7109375" style="2" customWidth="1"/>
    <col min="3623" max="3623" width="93.5703125" style="2" customWidth="1"/>
    <col min="3624" max="3624" width="16.42578125" style="2" customWidth="1"/>
    <col min="3625" max="3625" width="24.140625" style="2" customWidth="1"/>
    <col min="3626" max="3626" width="40.140625" style="2" customWidth="1"/>
    <col min="3627" max="3627" width="26.140625" style="2" customWidth="1"/>
    <col min="3628" max="3628" width="23.140625" style="2" customWidth="1"/>
    <col min="3629" max="3629" width="12.5703125" style="2" customWidth="1"/>
    <col min="3630" max="3630" width="24.85546875" style="2" customWidth="1"/>
    <col min="3631" max="3631" width="3.85546875" style="2" customWidth="1"/>
    <col min="3632" max="3632" width="34.85546875" style="2" customWidth="1"/>
    <col min="3633" max="3633" width="122.140625" style="2" customWidth="1"/>
    <col min="3634" max="3634" width="27.5703125" style="2" customWidth="1"/>
    <col min="3635" max="3635" width="32.140625" style="2" customWidth="1"/>
    <col min="3636" max="3636" width="28.85546875" style="2" customWidth="1"/>
    <col min="3637" max="3637" width="24.85546875" style="2" customWidth="1"/>
    <col min="3638" max="3638" width="35.140625" style="2" bestFit="1" customWidth="1"/>
    <col min="3639" max="3639" width="21.140625" style="2" customWidth="1"/>
    <col min="3640" max="3640" width="25" style="2" customWidth="1"/>
    <col min="3641" max="3641" width="10.140625" style="2" bestFit="1" customWidth="1"/>
    <col min="3642" max="3642" width="16.85546875" style="2" customWidth="1"/>
    <col min="3643" max="3643" width="8.85546875" style="2" customWidth="1"/>
    <col min="3644" max="3645" width="10.140625" style="2" bestFit="1" customWidth="1"/>
    <col min="3646" max="3646" width="45.140625" style="2" bestFit="1" customWidth="1"/>
    <col min="3647" max="3647" width="7.85546875" style="2" bestFit="1" customWidth="1"/>
    <col min="3648" max="3648" width="17" style="2" customWidth="1"/>
    <col min="3649" max="3649" width="8.140625" style="2" bestFit="1" customWidth="1"/>
    <col min="3650" max="3650" width="10.140625" style="2" bestFit="1" customWidth="1"/>
    <col min="3651" max="3651" width="8.140625" style="2" bestFit="1" customWidth="1"/>
    <col min="3652" max="3652" width="23.140625" style="2" customWidth="1"/>
    <col min="3653" max="3653" width="7.85546875" style="2" bestFit="1" customWidth="1"/>
    <col min="3654" max="3654" width="14" style="2" customWidth="1"/>
    <col min="3655" max="3655" width="8.140625" style="2" bestFit="1" customWidth="1"/>
    <col min="3656" max="3656" width="10.140625" style="2" bestFit="1" customWidth="1"/>
    <col min="3657" max="3657" width="10" style="2" bestFit="1" customWidth="1"/>
    <col min="3658" max="3658" width="24.5703125" style="2" customWidth="1"/>
    <col min="3659" max="3659" width="7.85546875" style="2" bestFit="1" customWidth="1"/>
    <col min="3660" max="3660" width="14.5703125" style="2" customWidth="1"/>
    <col min="3661" max="3661" width="7.28515625" style="2" bestFit="1" customWidth="1"/>
    <col min="3662" max="3662" width="10.140625" style="2" bestFit="1" customWidth="1"/>
    <col min="3663" max="3663" width="8.140625" style="2" bestFit="1" customWidth="1"/>
    <col min="3664" max="3664" width="37.140625" style="2" customWidth="1"/>
    <col min="3665" max="3665" width="38.140625" style="2" customWidth="1"/>
    <col min="3666" max="3840" width="9.140625" style="2"/>
    <col min="3841" max="3841" width="4.7109375" style="2" customWidth="1"/>
    <col min="3842" max="3842" width="11.42578125" style="2" customWidth="1"/>
    <col min="3843" max="3843" width="34.140625" style="2" customWidth="1"/>
    <col min="3844" max="3844" width="11.85546875" style="2" customWidth="1"/>
    <col min="3845" max="3845" width="24.42578125" style="2" customWidth="1"/>
    <col min="3846" max="3846" width="19" style="2" bestFit="1" customWidth="1"/>
    <col min="3847" max="3847" width="27.140625" style="2" customWidth="1"/>
    <col min="3848" max="3848" width="21.140625" style="2" bestFit="1" customWidth="1"/>
    <col min="3849" max="3849" width="35.7109375" style="2" bestFit="1" customWidth="1"/>
    <col min="3850" max="3850" width="20.140625" style="2" bestFit="1" customWidth="1"/>
    <col min="3851" max="3851" width="16.42578125" style="2" customWidth="1"/>
    <col min="3852" max="3852" width="24.140625" style="2" customWidth="1"/>
    <col min="3853" max="3853" width="18.140625" style="2" customWidth="1"/>
    <col min="3854" max="3854" width="19" style="2" customWidth="1"/>
    <col min="3855" max="3855" width="18.140625" style="2" customWidth="1"/>
    <col min="3856" max="3856" width="23.85546875" style="2" customWidth="1"/>
    <col min="3857" max="3857" width="16.5703125" style="2" customWidth="1"/>
    <col min="3858" max="3858" width="24" style="2" customWidth="1"/>
    <col min="3859" max="3859" width="26.28515625" style="2" customWidth="1"/>
    <col min="3860" max="3860" width="21.85546875" style="2" customWidth="1"/>
    <col min="3861" max="3861" width="16.140625" style="2" customWidth="1"/>
    <col min="3862" max="3862" width="26.140625" style="2" customWidth="1"/>
    <col min="3863" max="3863" width="22.85546875" style="2" customWidth="1"/>
    <col min="3864" max="3864" width="22.42578125" style="2" customWidth="1"/>
    <col min="3865" max="3865" width="15" style="2" customWidth="1"/>
    <col min="3866" max="3866" width="12.140625" style="2" customWidth="1"/>
    <col min="3867" max="3867" width="18.5703125" style="2" customWidth="1"/>
    <col min="3868" max="3868" width="28.5703125" style="2" customWidth="1"/>
    <col min="3869" max="3869" width="26.140625" style="2" customWidth="1"/>
    <col min="3870" max="3870" width="10.28515625" style="2" customWidth="1"/>
    <col min="3871" max="3871" width="60" style="2" bestFit="1" customWidth="1"/>
    <col min="3872" max="3872" width="33.5703125" style="2" customWidth="1"/>
    <col min="3873" max="3873" width="14.42578125" style="2" customWidth="1"/>
    <col min="3874" max="3874" width="36.42578125" style="2" customWidth="1"/>
    <col min="3875" max="3875" width="44.85546875" style="2" customWidth="1"/>
    <col min="3876" max="3876" width="37.42578125" style="2" customWidth="1"/>
    <col min="3877" max="3877" width="123.42578125" style="2" customWidth="1"/>
    <col min="3878" max="3878" width="34.7109375" style="2" customWidth="1"/>
    <col min="3879" max="3879" width="93.5703125" style="2" customWidth="1"/>
    <col min="3880" max="3880" width="16.42578125" style="2" customWidth="1"/>
    <col min="3881" max="3881" width="24.140625" style="2" customWidth="1"/>
    <col min="3882" max="3882" width="40.140625" style="2" customWidth="1"/>
    <col min="3883" max="3883" width="26.140625" style="2" customWidth="1"/>
    <col min="3884" max="3884" width="23.140625" style="2" customWidth="1"/>
    <col min="3885" max="3885" width="12.5703125" style="2" customWidth="1"/>
    <col min="3886" max="3886" width="24.85546875" style="2" customWidth="1"/>
    <col min="3887" max="3887" width="3.85546875" style="2" customWidth="1"/>
    <col min="3888" max="3888" width="34.85546875" style="2" customWidth="1"/>
    <col min="3889" max="3889" width="122.140625" style="2" customWidth="1"/>
    <col min="3890" max="3890" width="27.5703125" style="2" customWidth="1"/>
    <col min="3891" max="3891" width="32.140625" style="2" customWidth="1"/>
    <col min="3892" max="3892" width="28.85546875" style="2" customWidth="1"/>
    <col min="3893" max="3893" width="24.85546875" style="2" customWidth="1"/>
    <col min="3894" max="3894" width="35.140625" style="2" bestFit="1" customWidth="1"/>
    <col min="3895" max="3895" width="21.140625" style="2" customWidth="1"/>
    <col min="3896" max="3896" width="25" style="2" customWidth="1"/>
    <col min="3897" max="3897" width="10.140625" style="2" bestFit="1" customWidth="1"/>
    <col min="3898" max="3898" width="16.85546875" style="2" customWidth="1"/>
    <col min="3899" max="3899" width="8.85546875" style="2" customWidth="1"/>
    <col min="3900" max="3901" width="10.140625" style="2" bestFit="1" customWidth="1"/>
    <col min="3902" max="3902" width="45.140625" style="2" bestFit="1" customWidth="1"/>
    <col min="3903" max="3903" width="7.85546875" style="2" bestFit="1" customWidth="1"/>
    <col min="3904" max="3904" width="17" style="2" customWidth="1"/>
    <col min="3905" max="3905" width="8.140625" style="2" bestFit="1" customWidth="1"/>
    <col min="3906" max="3906" width="10.140625" style="2" bestFit="1" customWidth="1"/>
    <col min="3907" max="3907" width="8.140625" style="2" bestFit="1" customWidth="1"/>
    <col min="3908" max="3908" width="23.140625" style="2" customWidth="1"/>
    <col min="3909" max="3909" width="7.85546875" style="2" bestFit="1" customWidth="1"/>
    <col min="3910" max="3910" width="14" style="2" customWidth="1"/>
    <col min="3911" max="3911" width="8.140625" style="2" bestFit="1" customWidth="1"/>
    <col min="3912" max="3912" width="10.140625" style="2" bestFit="1" customWidth="1"/>
    <col min="3913" max="3913" width="10" style="2" bestFit="1" customWidth="1"/>
    <col min="3914" max="3914" width="24.5703125" style="2" customWidth="1"/>
    <col min="3915" max="3915" width="7.85546875" style="2" bestFit="1" customWidth="1"/>
    <col min="3916" max="3916" width="14.5703125" style="2" customWidth="1"/>
    <col min="3917" max="3917" width="7.28515625" style="2" bestFit="1" customWidth="1"/>
    <col min="3918" max="3918" width="10.140625" style="2" bestFit="1" customWidth="1"/>
    <col min="3919" max="3919" width="8.140625" style="2" bestFit="1" customWidth="1"/>
    <col min="3920" max="3920" width="37.140625" style="2" customWidth="1"/>
    <col min="3921" max="3921" width="38.140625" style="2" customWidth="1"/>
    <col min="3922" max="4096" width="9.140625" style="2"/>
    <col min="4097" max="4097" width="4.7109375" style="2" customWidth="1"/>
    <col min="4098" max="4098" width="11.42578125" style="2" customWidth="1"/>
    <col min="4099" max="4099" width="34.140625" style="2" customWidth="1"/>
    <col min="4100" max="4100" width="11.85546875" style="2" customWidth="1"/>
    <col min="4101" max="4101" width="24.42578125" style="2" customWidth="1"/>
    <col min="4102" max="4102" width="19" style="2" bestFit="1" customWidth="1"/>
    <col min="4103" max="4103" width="27.140625" style="2" customWidth="1"/>
    <col min="4104" max="4104" width="21.140625" style="2" bestFit="1" customWidth="1"/>
    <col min="4105" max="4105" width="35.7109375" style="2" bestFit="1" customWidth="1"/>
    <col min="4106" max="4106" width="20.140625" style="2" bestFit="1" customWidth="1"/>
    <col min="4107" max="4107" width="16.42578125" style="2" customWidth="1"/>
    <col min="4108" max="4108" width="24.140625" style="2" customWidth="1"/>
    <col min="4109" max="4109" width="18.140625" style="2" customWidth="1"/>
    <col min="4110" max="4110" width="19" style="2" customWidth="1"/>
    <col min="4111" max="4111" width="18.140625" style="2" customWidth="1"/>
    <col min="4112" max="4112" width="23.85546875" style="2" customWidth="1"/>
    <col min="4113" max="4113" width="16.5703125" style="2" customWidth="1"/>
    <col min="4114" max="4114" width="24" style="2" customWidth="1"/>
    <col min="4115" max="4115" width="26.28515625" style="2" customWidth="1"/>
    <col min="4116" max="4116" width="21.85546875" style="2" customWidth="1"/>
    <col min="4117" max="4117" width="16.140625" style="2" customWidth="1"/>
    <col min="4118" max="4118" width="26.140625" style="2" customWidth="1"/>
    <col min="4119" max="4119" width="22.85546875" style="2" customWidth="1"/>
    <col min="4120" max="4120" width="22.42578125" style="2" customWidth="1"/>
    <col min="4121" max="4121" width="15" style="2" customWidth="1"/>
    <col min="4122" max="4122" width="12.140625" style="2" customWidth="1"/>
    <col min="4123" max="4123" width="18.5703125" style="2" customWidth="1"/>
    <col min="4124" max="4124" width="28.5703125" style="2" customWidth="1"/>
    <col min="4125" max="4125" width="26.140625" style="2" customWidth="1"/>
    <col min="4126" max="4126" width="10.28515625" style="2" customWidth="1"/>
    <col min="4127" max="4127" width="60" style="2" bestFit="1" customWidth="1"/>
    <col min="4128" max="4128" width="33.5703125" style="2" customWidth="1"/>
    <col min="4129" max="4129" width="14.42578125" style="2" customWidth="1"/>
    <col min="4130" max="4130" width="36.42578125" style="2" customWidth="1"/>
    <col min="4131" max="4131" width="44.85546875" style="2" customWidth="1"/>
    <col min="4132" max="4132" width="37.42578125" style="2" customWidth="1"/>
    <col min="4133" max="4133" width="123.42578125" style="2" customWidth="1"/>
    <col min="4134" max="4134" width="34.7109375" style="2" customWidth="1"/>
    <col min="4135" max="4135" width="93.5703125" style="2" customWidth="1"/>
    <col min="4136" max="4136" width="16.42578125" style="2" customWidth="1"/>
    <col min="4137" max="4137" width="24.140625" style="2" customWidth="1"/>
    <col min="4138" max="4138" width="40.140625" style="2" customWidth="1"/>
    <col min="4139" max="4139" width="26.140625" style="2" customWidth="1"/>
    <col min="4140" max="4140" width="23.140625" style="2" customWidth="1"/>
    <col min="4141" max="4141" width="12.5703125" style="2" customWidth="1"/>
    <col min="4142" max="4142" width="24.85546875" style="2" customWidth="1"/>
    <col min="4143" max="4143" width="3.85546875" style="2" customWidth="1"/>
    <col min="4144" max="4144" width="34.85546875" style="2" customWidth="1"/>
    <col min="4145" max="4145" width="122.140625" style="2" customWidth="1"/>
    <col min="4146" max="4146" width="27.5703125" style="2" customWidth="1"/>
    <col min="4147" max="4147" width="32.140625" style="2" customWidth="1"/>
    <col min="4148" max="4148" width="28.85546875" style="2" customWidth="1"/>
    <col min="4149" max="4149" width="24.85546875" style="2" customWidth="1"/>
    <col min="4150" max="4150" width="35.140625" style="2" bestFit="1" customWidth="1"/>
    <col min="4151" max="4151" width="21.140625" style="2" customWidth="1"/>
    <col min="4152" max="4152" width="25" style="2" customWidth="1"/>
    <col min="4153" max="4153" width="10.140625" style="2" bestFit="1" customWidth="1"/>
    <col min="4154" max="4154" width="16.85546875" style="2" customWidth="1"/>
    <col min="4155" max="4155" width="8.85546875" style="2" customWidth="1"/>
    <col min="4156" max="4157" width="10.140625" style="2" bestFit="1" customWidth="1"/>
    <col min="4158" max="4158" width="45.140625" style="2" bestFit="1" customWidth="1"/>
    <col min="4159" max="4159" width="7.85546875" style="2" bestFit="1" customWidth="1"/>
    <col min="4160" max="4160" width="17" style="2" customWidth="1"/>
    <col min="4161" max="4161" width="8.140625" style="2" bestFit="1" customWidth="1"/>
    <col min="4162" max="4162" width="10.140625" style="2" bestFit="1" customWidth="1"/>
    <col min="4163" max="4163" width="8.140625" style="2" bestFit="1" customWidth="1"/>
    <col min="4164" max="4164" width="23.140625" style="2" customWidth="1"/>
    <col min="4165" max="4165" width="7.85546875" style="2" bestFit="1" customWidth="1"/>
    <col min="4166" max="4166" width="14" style="2" customWidth="1"/>
    <col min="4167" max="4167" width="8.140625" style="2" bestFit="1" customWidth="1"/>
    <col min="4168" max="4168" width="10.140625" style="2" bestFit="1" customWidth="1"/>
    <col min="4169" max="4169" width="10" style="2" bestFit="1" customWidth="1"/>
    <col min="4170" max="4170" width="24.5703125" style="2" customWidth="1"/>
    <col min="4171" max="4171" width="7.85546875" style="2" bestFit="1" customWidth="1"/>
    <col min="4172" max="4172" width="14.5703125" style="2" customWidth="1"/>
    <col min="4173" max="4173" width="7.28515625" style="2" bestFit="1" customWidth="1"/>
    <col min="4174" max="4174" width="10.140625" style="2" bestFit="1" customWidth="1"/>
    <col min="4175" max="4175" width="8.140625" style="2" bestFit="1" customWidth="1"/>
    <col min="4176" max="4176" width="37.140625" style="2" customWidth="1"/>
    <col min="4177" max="4177" width="38.140625" style="2" customWidth="1"/>
    <col min="4178" max="4352" width="9.140625" style="2"/>
    <col min="4353" max="4353" width="4.7109375" style="2" customWidth="1"/>
    <col min="4354" max="4354" width="11.42578125" style="2" customWidth="1"/>
    <col min="4355" max="4355" width="34.140625" style="2" customWidth="1"/>
    <col min="4356" max="4356" width="11.85546875" style="2" customWidth="1"/>
    <col min="4357" max="4357" width="24.42578125" style="2" customWidth="1"/>
    <col min="4358" max="4358" width="19" style="2" bestFit="1" customWidth="1"/>
    <col min="4359" max="4359" width="27.140625" style="2" customWidth="1"/>
    <col min="4360" max="4360" width="21.140625" style="2" bestFit="1" customWidth="1"/>
    <col min="4361" max="4361" width="35.7109375" style="2" bestFit="1" customWidth="1"/>
    <col min="4362" max="4362" width="20.140625" style="2" bestFit="1" customWidth="1"/>
    <col min="4363" max="4363" width="16.42578125" style="2" customWidth="1"/>
    <col min="4364" max="4364" width="24.140625" style="2" customWidth="1"/>
    <col min="4365" max="4365" width="18.140625" style="2" customWidth="1"/>
    <col min="4366" max="4366" width="19" style="2" customWidth="1"/>
    <col min="4367" max="4367" width="18.140625" style="2" customWidth="1"/>
    <col min="4368" max="4368" width="23.85546875" style="2" customWidth="1"/>
    <col min="4369" max="4369" width="16.5703125" style="2" customWidth="1"/>
    <col min="4370" max="4370" width="24" style="2" customWidth="1"/>
    <col min="4371" max="4371" width="26.28515625" style="2" customWidth="1"/>
    <col min="4372" max="4372" width="21.85546875" style="2" customWidth="1"/>
    <col min="4373" max="4373" width="16.140625" style="2" customWidth="1"/>
    <col min="4374" max="4374" width="26.140625" style="2" customWidth="1"/>
    <col min="4375" max="4375" width="22.85546875" style="2" customWidth="1"/>
    <col min="4376" max="4376" width="22.42578125" style="2" customWidth="1"/>
    <col min="4377" max="4377" width="15" style="2" customWidth="1"/>
    <col min="4378" max="4378" width="12.140625" style="2" customWidth="1"/>
    <col min="4379" max="4379" width="18.5703125" style="2" customWidth="1"/>
    <col min="4380" max="4380" width="28.5703125" style="2" customWidth="1"/>
    <col min="4381" max="4381" width="26.140625" style="2" customWidth="1"/>
    <col min="4382" max="4382" width="10.28515625" style="2" customWidth="1"/>
    <col min="4383" max="4383" width="60" style="2" bestFit="1" customWidth="1"/>
    <col min="4384" max="4384" width="33.5703125" style="2" customWidth="1"/>
    <col min="4385" max="4385" width="14.42578125" style="2" customWidth="1"/>
    <col min="4386" max="4386" width="36.42578125" style="2" customWidth="1"/>
    <col min="4387" max="4387" width="44.85546875" style="2" customWidth="1"/>
    <col min="4388" max="4388" width="37.42578125" style="2" customWidth="1"/>
    <col min="4389" max="4389" width="123.42578125" style="2" customWidth="1"/>
    <col min="4390" max="4390" width="34.7109375" style="2" customWidth="1"/>
    <col min="4391" max="4391" width="93.5703125" style="2" customWidth="1"/>
    <col min="4392" max="4392" width="16.42578125" style="2" customWidth="1"/>
    <col min="4393" max="4393" width="24.140625" style="2" customWidth="1"/>
    <col min="4394" max="4394" width="40.140625" style="2" customWidth="1"/>
    <col min="4395" max="4395" width="26.140625" style="2" customWidth="1"/>
    <col min="4396" max="4396" width="23.140625" style="2" customWidth="1"/>
    <col min="4397" max="4397" width="12.5703125" style="2" customWidth="1"/>
    <col min="4398" max="4398" width="24.85546875" style="2" customWidth="1"/>
    <col min="4399" max="4399" width="3.85546875" style="2" customWidth="1"/>
    <col min="4400" max="4400" width="34.85546875" style="2" customWidth="1"/>
    <col min="4401" max="4401" width="122.140625" style="2" customWidth="1"/>
    <col min="4402" max="4402" width="27.5703125" style="2" customWidth="1"/>
    <col min="4403" max="4403" width="32.140625" style="2" customWidth="1"/>
    <col min="4404" max="4404" width="28.85546875" style="2" customWidth="1"/>
    <col min="4405" max="4405" width="24.85546875" style="2" customWidth="1"/>
    <col min="4406" max="4406" width="35.140625" style="2" bestFit="1" customWidth="1"/>
    <col min="4407" max="4407" width="21.140625" style="2" customWidth="1"/>
    <col min="4408" max="4408" width="25" style="2" customWidth="1"/>
    <col min="4409" max="4409" width="10.140625" style="2" bestFit="1" customWidth="1"/>
    <col min="4410" max="4410" width="16.85546875" style="2" customWidth="1"/>
    <col min="4411" max="4411" width="8.85546875" style="2" customWidth="1"/>
    <col min="4412" max="4413" width="10.140625" style="2" bestFit="1" customWidth="1"/>
    <col min="4414" max="4414" width="45.140625" style="2" bestFit="1" customWidth="1"/>
    <col min="4415" max="4415" width="7.85546875" style="2" bestFit="1" customWidth="1"/>
    <col min="4416" max="4416" width="17" style="2" customWidth="1"/>
    <col min="4417" max="4417" width="8.140625" style="2" bestFit="1" customWidth="1"/>
    <col min="4418" max="4418" width="10.140625" style="2" bestFit="1" customWidth="1"/>
    <col min="4419" max="4419" width="8.140625" style="2" bestFit="1" customWidth="1"/>
    <col min="4420" max="4420" width="23.140625" style="2" customWidth="1"/>
    <col min="4421" max="4421" width="7.85546875" style="2" bestFit="1" customWidth="1"/>
    <col min="4422" max="4422" width="14" style="2" customWidth="1"/>
    <col min="4423" max="4423" width="8.140625" style="2" bestFit="1" customWidth="1"/>
    <col min="4424" max="4424" width="10.140625" style="2" bestFit="1" customWidth="1"/>
    <col min="4425" max="4425" width="10" style="2" bestFit="1" customWidth="1"/>
    <col min="4426" max="4426" width="24.5703125" style="2" customWidth="1"/>
    <col min="4427" max="4427" width="7.85546875" style="2" bestFit="1" customWidth="1"/>
    <col min="4428" max="4428" width="14.5703125" style="2" customWidth="1"/>
    <col min="4429" max="4429" width="7.28515625" style="2" bestFit="1" customWidth="1"/>
    <col min="4430" max="4430" width="10.140625" style="2" bestFit="1" customWidth="1"/>
    <col min="4431" max="4431" width="8.140625" style="2" bestFit="1" customWidth="1"/>
    <col min="4432" max="4432" width="37.140625" style="2" customWidth="1"/>
    <col min="4433" max="4433" width="38.140625" style="2" customWidth="1"/>
    <col min="4434" max="4608" width="9.140625" style="2"/>
    <col min="4609" max="4609" width="4.7109375" style="2" customWidth="1"/>
    <col min="4610" max="4610" width="11.42578125" style="2" customWidth="1"/>
    <col min="4611" max="4611" width="34.140625" style="2" customWidth="1"/>
    <col min="4612" max="4612" width="11.85546875" style="2" customWidth="1"/>
    <col min="4613" max="4613" width="24.42578125" style="2" customWidth="1"/>
    <col min="4614" max="4614" width="19" style="2" bestFit="1" customWidth="1"/>
    <col min="4615" max="4615" width="27.140625" style="2" customWidth="1"/>
    <col min="4616" max="4616" width="21.140625" style="2" bestFit="1" customWidth="1"/>
    <col min="4617" max="4617" width="35.7109375" style="2" bestFit="1" customWidth="1"/>
    <col min="4618" max="4618" width="20.140625" style="2" bestFit="1" customWidth="1"/>
    <col min="4619" max="4619" width="16.42578125" style="2" customWidth="1"/>
    <col min="4620" max="4620" width="24.140625" style="2" customWidth="1"/>
    <col min="4621" max="4621" width="18.140625" style="2" customWidth="1"/>
    <col min="4622" max="4622" width="19" style="2" customWidth="1"/>
    <col min="4623" max="4623" width="18.140625" style="2" customWidth="1"/>
    <col min="4624" max="4624" width="23.85546875" style="2" customWidth="1"/>
    <col min="4625" max="4625" width="16.5703125" style="2" customWidth="1"/>
    <col min="4626" max="4626" width="24" style="2" customWidth="1"/>
    <col min="4627" max="4627" width="26.28515625" style="2" customWidth="1"/>
    <col min="4628" max="4628" width="21.85546875" style="2" customWidth="1"/>
    <col min="4629" max="4629" width="16.140625" style="2" customWidth="1"/>
    <col min="4630" max="4630" width="26.140625" style="2" customWidth="1"/>
    <col min="4631" max="4631" width="22.85546875" style="2" customWidth="1"/>
    <col min="4632" max="4632" width="22.42578125" style="2" customWidth="1"/>
    <col min="4633" max="4633" width="15" style="2" customWidth="1"/>
    <col min="4634" max="4634" width="12.140625" style="2" customWidth="1"/>
    <col min="4635" max="4635" width="18.5703125" style="2" customWidth="1"/>
    <col min="4636" max="4636" width="28.5703125" style="2" customWidth="1"/>
    <col min="4637" max="4637" width="26.140625" style="2" customWidth="1"/>
    <col min="4638" max="4638" width="10.28515625" style="2" customWidth="1"/>
    <col min="4639" max="4639" width="60" style="2" bestFit="1" customWidth="1"/>
    <col min="4640" max="4640" width="33.5703125" style="2" customWidth="1"/>
    <col min="4641" max="4641" width="14.42578125" style="2" customWidth="1"/>
    <col min="4642" max="4642" width="36.42578125" style="2" customWidth="1"/>
    <col min="4643" max="4643" width="44.85546875" style="2" customWidth="1"/>
    <col min="4644" max="4644" width="37.42578125" style="2" customWidth="1"/>
    <col min="4645" max="4645" width="123.42578125" style="2" customWidth="1"/>
    <col min="4646" max="4646" width="34.7109375" style="2" customWidth="1"/>
    <col min="4647" max="4647" width="93.5703125" style="2" customWidth="1"/>
    <col min="4648" max="4648" width="16.42578125" style="2" customWidth="1"/>
    <col min="4649" max="4649" width="24.140625" style="2" customWidth="1"/>
    <col min="4650" max="4650" width="40.140625" style="2" customWidth="1"/>
    <col min="4651" max="4651" width="26.140625" style="2" customWidth="1"/>
    <col min="4652" max="4652" width="23.140625" style="2" customWidth="1"/>
    <col min="4653" max="4653" width="12.5703125" style="2" customWidth="1"/>
    <col min="4654" max="4654" width="24.85546875" style="2" customWidth="1"/>
    <col min="4655" max="4655" width="3.85546875" style="2" customWidth="1"/>
    <col min="4656" max="4656" width="34.85546875" style="2" customWidth="1"/>
    <col min="4657" max="4657" width="122.140625" style="2" customWidth="1"/>
    <col min="4658" max="4658" width="27.5703125" style="2" customWidth="1"/>
    <col min="4659" max="4659" width="32.140625" style="2" customWidth="1"/>
    <col min="4660" max="4660" width="28.85546875" style="2" customWidth="1"/>
    <col min="4661" max="4661" width="24.85546875" style="2" customWidth="1"/>
    <col min="4662" max="4662" width="35.140625" style="2" bestFit="1" customWidth="1"/>
    <col min="4663" max="4663" width="21.140625" style="2" customWidth="1"/>
    <col min="4664" max="4664" width="25" style="2" customWidth="1"/>
    <col min="4665" max="4665" width="10.140625" style="2" bestFit="1" customWidth="1"/>
    <col min="4666" max="4666" width="16.85546875" style="2" customWidth="1"/>
    <col min="4667" max="4667" width="8.85546875" style="2" customWidth="1"/>
    <col min="4668" max="4669" width="10.140625" style="2" bestFit="1" customWidth="1"/>
    <col min="4670" max="4670" width="45.140625" style="2" bestFit="1" customWidth="1"/>
    <col min="4671" max="4671" width="7.85546875" style="2" bestFit="1" customWidth="1"/>
    <col min="4672" max="4672" width="17" style="2" customWidth="1"/>
    <col min="4673" max="4673" width="8.140625" style="2" bestFit="1" customWidth="1"/>
    <col min="4674" max="4674" width="10.140625" style="2" bestFit="1" customWidth="1"/>
    <col min="4675" max="4675" width="8.140625" style="2" bestFit="1" customWidth="1"/>
    <col min="4676" max="4676" width="23.140625" style="2" customWidth="1"/>
    <col min="4677" max="4677" width="7.85546875" style="2" bestFit="1" customWidth="1"/>
    <col min="4678" max="4678" width="14" style="2" customWidth="1"/>
    <col min="4679" max="4679" width="8.140625" style="2" bestFit="1" customWidth="1"/>
    <col min="4680" max="4680" width="10.140625" style="2" bestFit="1" customWidth="1"/>
    <col min="4681" max="4681" width="10" style="2" bestFit="1" customWidth="1"/>
    <col min="4682" max="4682" width="24.5703125" style="2" customWidth="1"/>
    <col min="4683" max="4683" width="7.85546875" style="2" bestFit="1" customWidth="1"/>
    <col min="4684" max="4684" width="14.5703125" style="2" customWidth="1"/>
    <col min="4685" max="4685" width="7.28515625" style="2" bestFit="1" customWidth="1"/>
    <col min="4686" max="4686" width="10.140625" style="2" bestFit="1" customWidth="1"/>
    <col min="4687" max="4687" width="8.140625" style="2" bestFit="1" customWidth="1"/>
    <col min="4688" max="4688" width="37.140625" style="2" customWidth="1"/>
    <col min="4689" max="4689" width="38.140625" style="2" customWidth="1"/>
    <col min="4690" max="4864" width="9.140625" style="2"/>
    <col min="4865" max="4865" width="4.7109375" style="2" customWidth="1"/>
    <col min="4866" max="4866" width="11.42578125" style="2" customWidth="1"/>
    <col min="4867" max="4867" width="34.140625" style="2" customWidth="1"/>
    <col min="4868" max="4868" width="11.85546875" style="2" customWidth="1"/>
    <col min="4869" max="4869" width="24.42578125" style="2" customWidth="1"/>
    <col min="4870" max="4870" width="19" style="2" bestFit="1" customWidth="1"/>
    <col min="4871" max="4871" width="27.140625" style="2" customWidth="1"/>
    <col min="4872" max="4872" width="21.140625" style="2" bestFit="1" customWidth="1"/>
    <col min="4873" max="4873" width="35.7109375" style="2" bestFit="1" customWidth="1"/>
    <col min="4874" max="4874" width="20.140625" style="2" bestFit="1" customWidth="1"/>
    <col min="4875" max="4875" width="16.42578125" style="2" customWidth="1"/>
    <col min="4876" max="4876" width="24.140625" style="2" customWidth="1"/>
    <col min="4877" max="4877" width="18.140625" style="2" customWidth="1"/>
    <col min="4878" max="4878" width="19" style="2" customWidth="1"/>
    <col min="4879" max="4879" width="18.140625" style="2" customWidth="1"/>
    <col min="4880" max="4880" width="23.85546875" style="2" customWidth="1"/>
    <col min="4881" max="4881" width="16.5703125" style="2" customWidth="1"/>
    <col min="4882" max="4882" width="24" style="2" customWidth="1"/>
    <col min="4883" max="4883" width="26.28515625" style="2" customWidth="1"/>
    <col min="4884" max="4884" width="21.85546875" style="2" customWidth="1"/>
    <col min="4885" max="4885" width="16.140625" style="2" customWidth="1"/>
    <col min="4886" max="4886" width="26.140625" style="2" customWidth="1"/>
    <col min="4887" max="4887" width="22.85546875" style="2" customWidth="1"/>
    <col min="4888" max="4888" width="22.42578125" style="2" customWidth="1"/>
    <col min="4889" max="4889" width="15" style="2" customWidth="1"/>
    <col min="4890" max="4890" width="12.140625" style="2" customWidth="1"/>
    <col min="4891" max="4891" width="18.5703125" style="2" customWidth="1"/>
    <col min="4892" max="4892" width="28.5703125" style="2" customWidth="1"/>
    <col min="4893" max="4893" width="26.140625" style="2" customWidth="1"/>
    <col min="4894" max="4894" width="10.28515625" style="2" customWidth="1"/>
    <col min="4895" max="4895" width="60" style="2" bestFit="1" customWidth="1"/>
    <col min="4896" max="4896" width="33.5703125" style="2" customWidth="1"/>
    <col min="4897" max="4897" width="14.42578125" style="2" customWidth="1"/>
    <col min="4898" max="4898" width="36.42578125" style="2" customWidth="1"/>
    <col min="4899" max="4899" width="44.85546875" style="2" customWidth="1"/>
    <col min="4900" max="4900" width="37.42578125" style="2" customWidth="1"/>
    <col min="4901" max="4901" width="123.42578125" style="2" customWidth="1"/>
    <col min="4902" max="4902" width="34.7109375" style="2" customWidth="1"/>
    <col min="4903" max="4903" width="93.5703125" style="2" customWidth="1"/>
    <col min="4904" max="4904" width="16.42578125" style="2" customWidth="1"/>
    <col min="4905" max="4905" width="24.140625" style="2" customWidth="1"/>
    <col min="4906" max="4906" width="40.140625" style="2" customWidth="1"/>
    <col min="4907" max="4907" width="26.140625" style="2" customWidth="1"/>
    <col min="4908" max="4908" width="23.140625" style="2" customWidth="1"/>
    <col min="4909" max="4909" width="12.5703125" style="2" customWidth="1"/>
    <col min="4910" max="4910" width="24.85546875" style="2" customWidth="1"/>
    <col min="4911" max="4911" width="3.85546875" style="2" customWidth="1"/>
    <col min="4912" max="4912" width="34.85546875" style="2" customWidth="1"/>
    <col min="4913" max="4913" width="122.140625" style="2" customWidth="1"/>
    <col min="4914" max="4914" width="27.5703125" style="2" customWidth="1"/>
    <col min="4915" max="4915" width="32.140625" style="2" customWidth="1"/>
    <col min="4916" max="4916" width="28.85546875" style="2" customWidth="1"/>
    <col min="4917" max="4917" width="24.85546875" style="2" customWidth="1"/>
    <col min="4918" max="4918" width="35.140625" style="2" bestFit="1" customWidth="1"/>
    <col min="4919" max="4919" width="21.140625" style="2" customWidth="1"/>
    <col min="4920" max="4920" width="25" style="2" customWidth="1"/>
    <col min="4921" max="4921" width="10.140625" style="2" bestFit="1" customWidth="1"/>
    <col min="4922" max="4922" width="16.85546875" style="2" customWidth="1"/>
    <col min="4923" max="4923" width="8.85546875" style="2" customWidth="1"/>
    <col min="4924" max="4925" width="10.140625" style="2" bestFit="1" customWidth="1"/>
    <col min="4926" max="4926" width="45.140625" style="2" bestFit="1" customWidth="1"/>
    <col min="4927" max="4927" width="7.85546875" style="2" bestFit="1" customWidth="1"/>
    <col min="4928" max="4928" width="17" style="2" customWidth="1"/>
    <col min="4929" max="4929" width="8.140625" style="2" bestFit="1" customWidth="1"/>
    <col min="4930" max="4930" width="10.140625" style="2" bestFit="1" customWidth="1"/>
    <col min="4931" max="4931" width="8.140625" style="2" bestFit="1" customWidth="1"/>
    <col min="4932" max="4932" width="23.140625" style="2" customWidth="1"/>
    <col min="4933" max="4933" width="7.85546875" style="2" bestFit="1" customWidth="1"/>
    <col min="4934" max="4934" width="14" style="2" customWidth="1"/>
    <col min="4935" max="4935" width="8.140625" style="2" bestFit="1" customWidth="1"/>
    <col min="4936" max="4936" width="10.140625" style="2" bestFit="1" customWidth="1"/>
    <col min="4937" max="4937" width="10" style="2" bestFit="1" customWidth="1"/>
    <col min="4938" max="4938" width="24.5703125" style="2" customWidth="1"/>
    <col min="4939" max="4939" width="7.85546875" style="2" bestFit="1" customWidth="1"/>
    <col min="4940" max="4940" width="14.5703125" style="2" customWidth="1"/>
    <col min="4941" max="4941" width="7.28515625" style="2" bestFit="1" customWidth="1"/>
    <col min="4942" max="4942" width="10.140625" style="2" bestFit="1" customWidth="1"/>
    <col min="4943" max="4943" width="8.140625" style="2" bestFit="1" customWidth="1"/>
    <col min="4944" max="4944" width="37.140625" style="2" customWidth="1"/>
    <col min="4945" max="4945" width="38.140625" style="2" customWidth="1"/>
    <col min="4946" max="5120" width="9.140625" style="2"/>
    <col min="5121" max="5121" width="4.7109375" style="2" customWidth="1"/>
    <col min="5122" max="5122" width="11.42578125" style="2" customWidth="1"/>
    <col min="5123" max="5123" width="34.140625" style="2" customWidth="1"/>
    <col min="5124" max="5124" width="11.85546875" style="2" customWidth="1"/>
    <col min="5125" max="5125" width="24.42578125" style="2" customWidth="1"/>
    <col min="5126" max="5126" width="19" style="2" bestFit="1" customWidth="1"/>
    <col min="5127" max="5127" width="27.140625" style="2" customWidth="1"/>
    <col min="5128" max="5128" width="21.140625" style="2" bestFit="1" customWidth="1"/>
    <col min="5129" max="5129" width="35.7109375" style="2" bestFit="1" customWidth="1"/>
    <col min="5130" max="5130" width="20.140625" style="2" bestFit="1" customWidth="1"/>
    <col min="5131" max="5131" width="16.42578125" style="2" customWidth="1"/>
    <col min="5132" max="5132" width="24.140625" style="2" customWidth="1"/>
    <col min="5133" max="5133" width="18.140625" style="2" customWidth="1"/>
    <col min="5134" max="5134" width="19" style="2" customWidth="1"/>
    <col min="5135" max="5135" width="18.140625" style="2" customWidth="1"/>
    <col min="5136" max="5136" width="23.85546875" style="2" customWidth="1"/>
    <col min="5137" max="5137" width="16.5703125" style="2" customWidth="1"/>
    <col min="5138" max="5138" width="24" style="2" customWidth="1"/>
    <col min="5139" max="5139" width="26.28515625" style="2" customWidth="1"/>
    <col min="5140" max="5140" width="21.85546875" style="2" customWidth="1"/>
    <col min="5141" max="5141" width="16.140625" style="2" customWidth="1"/>
    <col min="5142" max="5142" width="26.140625" style="2" customWidth="1"/>
    <col min="5143" max="5143" width="22.85546875" style="2" customWidth="1"/>
    <col min="5144" max="5144" width="22.42578125" style="2" customWidth="1"/>
    <col min="5145" max="5145" width="15" style="2" customWidth="1"/>
    <col min="5146" max="5146" width="12.140625" style="2" customWidth="1"/>
    <col min="5147" max="5147" width="18.5703125" style="2" customWidth="1"/>
    <col min="5148" max="5148" width="28.5703125" style="2" customWidth="1"/>
    <col min="5149" max="5149" width="26.140625" style="2" customWidth="1"/>
    <col min="5150" max="5150" width="10.28515625" style="2" customWidth="1"/>
    <col min="5151" max="5151" width="60" style="2" bestFit="1" customWidth="1"/>
    <col min="5152" max="5152" width="33.5703125" style="2" customWidth="1"/>
    <col min="5153" max="5153" width="14.42578125" style="2" customWidth="1"/>
    <col min="5154" max="5154" width="36.42578125" style="2" customWidth="1"/>
    <col min="5155" max="5155" width="44.85546875" style="2" customWidth="1"/>
    <col min="5156" max="5156" width="37.42578125" style="2" customWidth="1"/>
    <col min="5157" max="5157" width="123.42578125" style="2" customWidth="1"/>
    <col min="5158" max="5158" width="34.7109375" style="2" customWidth="1"/>
    <col min="5159" max="5159" width="93.5703125" style="2" customWidth="1"/>
    <col min="5160" max="5160" width="16.42578125" style="2" customWidth="1"/>
    <col min="5161" max="5161" width="24.140625" style="2" customWidth="1"/>
    <col min="5162" max="5162" width="40.140625" style="2" customWidth="1"/>
    <col min="5163" max="5163" width="26.140625" style="2" customWidth="1"/>
    <col min="5164" max="5164" width="23.140625" style="2" customWidth="1"/>
    <col min="5165" max="5165" width="12.5703125" style="2" customWidth="1"/>
    <col min="5166" max="5166" width="24.85546875" style="2" customWidth="1"/>
    <col min="5167" max="5167" width="3.85546875" style="2" customWidth="1"/>
    <col min="5168" max="5168" width="34.85546875" style="2" customWidth="1"/>
    <col min="5169" max="5169" width="122.140625" style="2" customWidth="1"/>
    <col min="5170" max="5170" width="27.5703125" style="2" customWidth="1"/>
    <col min="5171" max="5171" width="32.140625" style="2" customWidth="1"/>
    <col min="5172" max="5172" width="28.85546875" style="2" customWidth="1"/>
    <col min="5173" max="5173" width="24.85546875" style="2" customWidth="1"/>
    <col min="5174" max="5174" width="35.140625" style="2" bestFit="1" customWidth="1"/>
    <col min="5175" max="5175" width="21.140625" style="2" customWidth="1"/>
    <col min="5176" max="5176" width="25" style="2" customWidth="1"/>
    <col min="5177" max="5177" width="10.140625" style="2" bestFit="1" customWidth="1"/>
    <col min="5178" max="5178" width="16.85546875" style="2" customWidth="1"/>
    <col min="5179" max="5179" width="8.85546875" style="2" customWidth="1"/>
    <col min="5180" max="5181" width="10.140625" style="2" bestFit="1" customWidth="1"/>
    <col min="5182" max="5182" width="45.140625" style="2" bestFit="1" customWidth="1"/>
    <col min="5183" max="5183" width="7.85546875" style="2" bestFit="1" customWidth="1"/>
    <col min="5184" max="5184" width="17" style="2" customWidth="1"/>
    <col min="5185" max="5185" width="8.140625" style="2" bestFit="1" customWidth="1"/>
    <col min="5186" max="5186" width="10.140625" style="2" bestFit="1" customWidth="1"/>
    <col min="5187" max="5187" width="8.140625" style="2" bestFit="1" customWidth="1"/>
    <col min="5188" max="5188" width="23.140625" style="2" customWidth="1"/>
    <col min="5189" max="5189" width="7.85546875" style="2" bestFit="1" customWidth="1"/>
    <col min="5190" max="5190" width="14" style="2" customWidth="1"/>
    <col min="5191" max="5191" width="8.140625" style="2" bestFit="1" customWidth="1"/>
    <col min="5192" max="5192" width="10.140625" style="2" bestFit="1" customWidth="1"/>
    <col min="5193" max="5193" width="10" style="2" bestFit="1" customWidth="1"/>
    <col min="5194" max="5194" width="24.5703125" style="2" customWidth="1"/>
    <col min="5195" max="5195" width="7.85546875" style="2" bestFit="1" customWidth="1"/>
    <col min="5196" max="5196" width="14.5703125" style="2" customWidth="1"/>
    <col min="5197" max="5197" width="7.28515625" style="2" bestFit="1" customWidth="1"/>
    <col min="5198" max="5198" width="10.140625" style="2" bestFit="1" customWidth="1"/>
    <col min="5199" max="5199" width="8.140625" style="2" bestFit="1" customWidth="1"/>
    <col min="5200" max="5200" width="37.140625" style="2" customWidth="1"/>
    <col min="5201" max="5201" width="38.140625" style="2" customWidth="1"/>
    <col min="5202" max="5376" width="9.140625" style="2"/>
    <col min="5377" max="5377" width="4.7109375" style="2" customWidth="1"/>
    <col min="5378" max="5378" width="11.42578125" style="2" customWidth="1"/>
    <col min="5379" max="5379" width="34.140625" style="2" customWidth="1"/>
    <col min="5380" max="5380" width="11.85546875" style="2" customWidth="1"/>
    <col min="5381" max="5381" width="24.42578125" style="2" customWidth="1"/>
    <col min="5382" max="5382" width="19" style="2" bestFit="1" customWidth="1"/>
    <col min="5383" max="5383" width="27.140625" style="2" customWidth="1"/>
    <col min="5384" max="5384" width="21.140625" style="2" bestFit="1" customWidth="1"/>
    <col min="5385" max="5385" width="35.7109375" style="2" bestFit="1" customWidth="1"/>
    <col min="5386" max="5386" width="20.140625" style="2" bestFit="1" customWidth="1"/>
    <col min="5387" max="5387" width="16.42578125" style="2" customWidth="1"/>
    <col min="5388" max="5388" width="24.140625" style="2" customWidth="1"/>
    <col min="5389" max="5389" width="18.140625" style="2" customWidth="1"/>
    <col min="5390" max="5390" width="19" style="2" customWidth="1"/>
    <col min="5391" max="5391" width="18.140625" style="2" customWidth="1"/>
    <col min="5392" max="5392" width="23.85546875" style="2" customWidth="1"/>
    <col min="5393" max="5393" width="16.5703125" style="2" customWidth="1"/>
    <col min="5394" max="5394" width="24" style="2" customWidth="1"/>
    <col min="5395" max="5395" width="26.28515625" style="2" customWidth="1"/>
    <col min="5396" max="5396" width="21.85546875" style="2" customWidth="1"/>
    <col min="5397" max="5397" width="16.140625" style="2" customWidth="1"/>
    <col min="5398" max="5398" width="26.140625" style="2" customWidth="1"/>
    <col min="5399" max="5399" width="22.85546875" style="2" customWidth="1"/>
    <col min="5400" max="5400" width="22.42578125" style="2" customWidth="1"/>
    <col min="5401" max="5401" width="15" style="2" customWidth="1"/>
    <col min="5402" max="5402" width="12.140625" style="2" customWidth="1"/>
    <col min="5403" max="5403" width="18.5703125" style="2" customWidth="1"/>
    <col min="5404" max="5404" width="28.5703125" style="2" customWidth="1"/>
    <col min="5405" max="5405" width="26.140625" style="2" customWidth="1"/>
    <col min="5406" max="5406" width="10.28515625" style="2" customWidth="1"/>
    <col min="5407" max="5407" width="60" style="2" bestFit="1" customWidth="1"/>
    <col min="5408" max="5408" width="33.5703125" style="2" customWidth="1"/>
    <col min="5409" max="5409" width="14.42578125" style="2" customWidth="1"/>
    <col min="5410" max="5410" width="36.42578125" style="2" customWidth="1"/>
    <col min="5411" max="5411" width="44.85546875" style="2" customWidth="1"/>
    <col min="5412" max="5412" width="37.42578125" style="2" customWidth="1"/>
    <col min="5413" max="5413" width="123.42578125" style="2" customWidth="1"/>
    <col min="5414" max="5414" width="34.7109375" style="2" customWidth="1"/>
    <col min="5415" max="5415" width="93.5703125" style="2" customWidth="1"/>
    <col min="5416" max="5416" width="16.42578125" style="2" customWidth="1"/>
    <col min="5417" max="5417" width="24.140625" style="2" customWidth="1"/>
    <col min="5418" max="5418" width="40.140625" style="2" customWidth="1"/>
    <col min="5419" max="5419" width="26.140625" style="2" customWidth="1"/>
    <col min="5420" max="5420" width="23.140625" style="2" customWidth="1"/>
    <col min="5421" max="5421" width="12.5703125" style="2" customWidth="1"/>
    <col min="5422" max="5422" width="24.85546875" style="2" customWidth="1"/>
    <col min="5423" max="5423" width="3.85546875" style="2" customWidth="1"/>
    <col min="5424" max="5424" width="34.85546875" style="2" customWidth="1"/>
    <col min="5425" max="5425" width="122.140625" style="2" customWidth="1"/>
    <col min="5426" max="5426" width="27.5703125" style="2" customWidth="1"/>
    <col min="5427" max="5427" width="32.140625" style="2" customWidth="1"/>
    <col min="5428" max="5428" width="28.85546875" style="2" customWidth="1"/>
    <col min="5429" max="5429" width="24.85546875" style="2" customWidth="1"/>
    <col min="5430" max="5430" width="35.140625" style="2" bestFit="1" customWidth="1"/>
    <col min="5431" max="5431" width="21.140625" style="2" customWidth="1"/>
    <col min="5432" max="5432" width="25" style="2" customWidth="1"/>
    <col min="5433" max="5433" width="10.140625" style="2" bestFit="1" customWidth="1"/>
    <col min="5434" max="5434" width="16.85546875" style="2" customWidth="1"/>
    <col min="5435" max="5435" width="8.85546875" style="2" customWidth="1"/>
    <col min="5436" max="5437" width="10.140625" style="2" bestFit="1" customWidth="1"/>
    <col min="5438" max="5438" width="45.140625" style="2" bestFit="1" customWidth="1"/>
    <col min="5439" max="5439" width="7.85546875" style="2" bestFit="1" customWidth="1"/>
    <col min="5440" max="5440" width="17" style="2" customWidth="1"/>
    <col min="5441" max="5441" width="8.140625" style="2" bestFit="1" customWidth="1"/>
    <col min="5442" max="5442" width="10.140625" style="2" bestFit="1" customWidth="1"/>
    <col min="5443" max="5443" width="8.140625" style="2" bestFit="1" customWidth="1"/>
    <col min="5444" max="5444" width="23.140625" style="2" customWidth="1"/>
    <col min="5445" max="5445" width="7.85546875" style="2" bestFit="1" customWidth="1"/>
    <col min="5446" max="5446" width="14" style="2" customWidth="1"/>
    <col min="5447" max="5447" width="8.140625" style="2" bestFit="1" customWidth="1"/>
    <col min="5448" max="5448" width="10.140625" style="2" bestFit="1" customWidth="1"/>
    <col min="5449" max="5449" width="10" style="2" bestFit="1" customWidth="1"/>
    <col min="5450" max="5450" width="24.5703125" style="2" customWidth="1"/>
    <col min="5451" max="5451" width="7.85546875" style="2" bestFit="1" customWidth="1"/>
    <col min="5452" max="5452" width="14.5703125" style="2" customWidth="1"/>
    <col min="5453" max="5453" width="7.28515625" style="2" bestFit="1" customWidth="1"/>
    <col min="5454" max="5454" width="10.140625" style="2" bestFit="1" customWidth="1"/>
    <col min="5455" max="5455" width="8.140625" style="2" bestFit="1" customWidth="1"/>
    <col min="5456" max="5456" width="37.140625" style="2" customWidth="1"/>
    <col min="5457" max="5457" width="38.140625" style="2" customWidth="1"/>
    <col min="5458" max="5632" width="9.140625" style="2"/>
    <col min="5633" max="5633" width="4.7109375" style="2" customWidth="1"/>
    <col min="5634" max="5634" width="11.42578125" style="2" customWidth="1"/>
    <col min="5635" max="5635" width="34.140625" style="2" customWidth="1"/>
    <col min="5636" max="5636" width="11.85546875" style="2" customWidth="1"/>
    <col min="5637" max="5637" width="24.42578125" style="2" customWidth="1"/>
    <col min="5638" max="5638" width="19" style="2" bestFit="1" customWidth="1"/>
    <col min="5639" max="5639" width="27.140625" style="2" customWidth="1"/>
    <col min="5640" max="5640" width="21.140625" style="2" bestFit="1" customWidth="1"/>
    <col min="5641" max="5641" width="35.7109375" style="2" bestFit="1" customWidth="1"/>
    <col min="5642" max="5642" width="20.140625" style="2" bestFit="1" customWidth="1"/>
    <col min="5643" max="5643" width="16.42578125" style="2" customWidth="1"/>
    <col min="5644" max="5644" width="24.140625" style="2" customWidth="1"/>
    <col min="5645" max="5645" width="18.140625" style="2" customWidth="1"/>
    <col min="5646" max="5646" width="19" style="2" customWidth="1"/>
    <col min="5647" max="5647" width="18.140625" style="2" customWidth="1"/>
    <col min="5648" max="5648" width="23.85546875" style="2" customWidth="1"/>
    <col min="5649" max="5649" width="16.5703125" style="2" customWidth="1"/>
    <col min="5650" max="5650" width="24" style="2" customWidth="1"/>
    <col min="5651" max="5651" width="26.28515625" style="2" customWidth="1"/>
    <col min="5652" max="5652" width="21.85546875" style="2" customWidth="1"/>
    <col min="5653" max="5653" width="16.140625" style="2" customWidth="1"/>
    <col min="5654" max="5654" width="26.140625" style="2" customWidth="1"/>
    <col min="5655" max="5655" width="22.85546875" style="2" customWidth="1"/>
    <col min="5656" max="5656" width="22.42578125" style="2" customWidth="1"/>
    <col min="5657" max="5657" width="15" style="2" customWidth="1"/>
    <col min="5658" max="5658" width="12.140625" style="2" customWidth="1"/>
    <col min="5659" max="5659" width="18.5703125" style="2" customWidth="1"/>
    <col min="5660" max="5660" width="28.5703125" style="2" customWidth="1"/>
    <col min="5661" max="5661" width="26.140625" style="2" customWidth="1"/>
    <col min="5662" max="5662" width="10.28515625" style="2" customWidth="1"/>
    <col min="5663" max="5663" width="60" style="2" bestFit="1" customWidth="1"/>
    <col min="5664" max="5664" width="33.5703125" style="2" customWidth="1"/>
    <col min="5665" max="5665" width="14.42578125" style="2" customWidth="1"/>
    <col min="5666" max="5666" width="36.42578125" style="2" customWidth="1"/>
    <col min="5667" max="5667" width="44.85546875" style="2" customWidth="1"/>
    <col min="5668" max="5668" width="37.42578125" style="2" customWidth="1"/>
    <col min="5669" max="5669" width="123.42578125" style="2" customWidth="1"/>
    <col min="5670" max="5670" width="34.7109375" style="2" customWidth="1"/>
    <col min="5671" max="5671" width="93.5703125" style="2" customWidth="1"/>
    <col min="5672" max="5672" width="16.42578125" style="2" customWidth="1"/>
    <col min="5673" max="5673" width="24.140625" style="2" customWidth="1"/>
    <col min="5674" max="5674" width="40.140625" style="2" customWidth="1"/>
    <col min="5675" max="5675" width="26.140625" style="2" customWidth="1"/>
    <col min="5676" max="5676" width="23.140625" style="2" customWidth="1"/>
    <col min="5677" max="5677" width="12.5703125" style="2" customWidth="1"/>
    <col min="5678" max="5678" width="24.85546875" style="2" customWidth="1"/>
    <col min="5679" max="5679" width="3.85546875" style="2" customWidth="1"/>
    <col min="5680" max="5680" width="34.85546875" style="2" customWidth="1"/>
    <col min="5681" max="5681" width="122.140625" style="2" customWidth="1"/>
    <col min="5682" max="5682" width="27.5703125" style="2" customWidth="1"/>
    <col min="5683" max="5683" width="32.140625" style="2" customWidth="1"/>
    <col min="5684" max="5684" width="28.85546875" style="2" customWidth="1"/>
    <col min="5685" max="5685" width="24.85546875" style="2" customWidth="1"/>
    <col min="5686" max="5686" width="35.140625" style="2" bestFit="1" customWidth="1"/>
    <col min="5687" max="5687" width="21.140625" style="2" customWidth="1"/>
    <col min="5688" max="5688" width="25" style="2" customWidth="1"/>
    <col min="5689" max="5689" width="10.140625" style="2" bestFit="1" customWidth="1"/>
    <col min="5690" max="5690" width="16.85546875" style="2" customWidth="1"/>
    <col min="5691" max="5691" width="8.85546875" style="2" customWidth="1"/>
    <col min="5692" max="5693" width="10.140625" style="2" bestFit="1" customWidth="1"/>
    <col min="5694" max="5694" width="45.140625" style="2" bestFit="1" customWidth="1"/>
    <col min="5695" max="5695" width="7.85546875" style="2" bestFit="1" customWidth="1"/>
    <col min="5696" max="5696" width="17" style="2" customWidth="1"/>
    <col min="5697" max="5697" width="8.140625" style="2" bestFit="1" customWidth="1"/>
    <col min="5698" max="5698" width="10.140625" style="2" bestFit="1" customWidth="1"/>
    <col min="5699" max="5699" width="8.140625" style="2" bestFit="1" customWidth="1"/>
    <col min="5700" max="5700" width="23.140625" style="2" customWidth="1"/>
    <col min="5701" max="5701" width="7.85546875" style="2" bestFit="1" customWidth="1"/>
    <col min="5702" max="5702" width="14" style="2" customWidth="1"/>
    <col min="5703" max="5703" width="8.140625" style="2" bestFit="1" customWidth="1"/>
    <col min="5704" max="5704" width="10.140625" style="2" bestFit="1" customWidth="1"/>
    <col min="5705" max="5705" width="10" style="2" bestFit="1" customWidth="1"/>
    <col min="5706" max="5706" width="24.5703125" style="2" customWidth="1"/>
    <col min="5707" max="5707" width="7.85546875" style="2" bestFit="1" customWidth="1"/>
    <col min="5708" max="5708" width="14.5703125" style="2" customWidth="1"/>
    <col min="5709" max="5709" width="7.28515625" style="2" bestFit="1" customWidth="1"/>
    <col min="5710" max="5710" width="10.140625" style="2" bestFit="1" customWidth="1"/>
    <col min="5711" max="5711" width="8.140625" style="2" bestFit="1" customWidth="1"/>
    <col min="5712" max="5712" width="37.140625" style="2" customWidth="1"/>
    <col min="5713" max="5713" width="38.140625" style="2" customWidth="1"/>
    <col min="5714" max="5888" width="9.140625" style="2"/>
    <col min="5889" max="5889" width="4.7109375" style="2" customWidth="1"/>
    <col min="5890" max="5890" width="11.42578125" style="2" customWidth="1"/>
    <col min="5891" max="5891" width="34.140625" style="2" customWidth="1"/>
    <col min="5892" max="5892" width="11.85546875" style="2" customWidth="1"/>
    <col min="5893" max="5893" width="24.42578125" style="2" customWidth="1"/>
    <col min="5894" max="5894" width="19" style="2" bestFit="1" customWidth="1"/>
    <col min="5895" max="5895" width="27.140625" style="2" customWidth="1"/>
    <col min="5896" max="5896" width="21.140625" style="2" bestFit="1" customWidth="1"/>
    <col min="5897" max="5897" width="35.7109375" style="2" bestFit="1" customWidth="1"/>
    <col min="5898" max="5898" width="20.140625" style="2" bestFit="1" customWidth="1"/>
    <col min="5899" max="5899" width="16.42578125" style="2" customWidth="1"/>
    <col min="5900" max="5900" width="24.140625" style="2" customWidth="1"/>
    <col min="5901" max="5901" width="18.140625" style="2" customWidth="1"/>
    <col min="5902" max="5902" width="19" style="2" customWidth="1"/>
    <col min="5903" max="5903" width="18.140625" style="2" customWidth="1"/>
    <col min="5904" max="5904" width="23.85546875" style="2" customWidth="1"/>
    <col min="5905" max="5905" width="16.5703125" style="2" customWidth="1"/>
    <col min="5906" max="5906" width="24" style="2" customWidth="1"/>
    <col min="5907" max="5907" width="26.28515625" style="2" customWidth="1"/>
    <col min="5908" max="5908" width="21.85546875" style="2" customWidth="1"/>
    <col min="5909" max="5909" width="16.140625" style="2" customWidth="1"/>
    <col min="5910" max="5910" width="26.140625" style="2" customWidth="1"/>
    <col min="5911" max="5911" width="22.85546875" style="2" customWidth="1"/>
    <col min="5912" max="5912" width="22.42578125" style="2" customWidth="1"/>
    <col min="5913" max="5913" width="15" style="2" customWidth="1"/>
    <col min="5914" max="5914" width="12.140625" style="2" customWidth="1"/>
    <col min="5915" max="5915" width="18.5703125" style="2" customWidth="1"/>
    <col min="5916" max="5916" width="28.5703125" style="2" customWidth="1"/>
    <col min="5917" max="5917" width="26.140625" style="2" customWidth="1"/>
    <col min="5918" max="5918" width="10.28515625" style="2" customWidth="1"/>
    <col min="5919" max="5919" width="60" style="2" bestFit="1" customWidth="1"/>
    <col min="5920" max="5920" width="33.5703125" style="2" customWidth="1"/>
    <col min="5921" max="5921" width="14.42578125" style="2" customWidth="1"/>
    <col min="5922" max="5922" width="36.42578125" style="2" customWidth="1"/>
    <col min="5923" max="5923" width="44.85546875" style="2" customWidth="1"/>
    <col min="5924" max="5924" width="37.42578125" style="2" customWidth="1"/>
    <col min="5925" max="5925" width="123.42578125" style="2" customWidth="1"/>
    <col min="5926" max="5926" width="34.7109375" style="2" customWidth="1"/>
    <col min="5927" max="5927" width="93.5703125" style="2" customWidth="1"/>
    <col min="5928" max="5928" width="16.42578125" style="2" customWidth="1"/>
    <col min="5929" max="5929" width="24.140625" style="2" customWidth="1"/>
    <col min="5930" max="5930" width="40.140625" style="2" customWidth="1"/>
    <col min="5931" max="5931" width="26.140625" style="2" customWidth="1"/>
    <col min="5932" max="5932" width="23.140625" style="2" customWidth="1"/>
    <col min="5933" max="5933" width="12.5703125" style="2" customWidth="1"/>
    <col min="5934" max="5934" width="24.85546875" style="2" customWidth="1"/>
    <col min="5935" max="5935" width="3.85546875" style="2" customWidth="1"/>
    <col min="5936" max="5936" width="34.85546875" style="2" customWidth="1"/>
    <col min="5937" max="5937" width="122.140625" style="2" customWidth="1"/>
    <col min="5938" max="5938" width="27.5703125" style="2" customWidth="1"/>
    <col min="5939" max="5939" width="32.140625" style="2" customWidth="1"/>
    <col min="5940" max="5940" width="28.85546875" style="2" customWidth="1"/>
    <col min="5941" max="5941" width="24.85546875" style="2" customWidth="1"/>
    <col min="5942" max="5942" width="35.140625" style="2" bestFit="1" customWidth="1"/>
    <col min="5943" max="5943" width="21.140625" style="2" customWidth="1"/>
    <col min="5944" max="5944" width="25" style="2" customWidth="1"/>
    <col min="5945" max="5945" width="10.140625" style="2" bestFit="1" customWidth="1"/>
    <col min="5946" max="5946" width="16.85546875" style="2" customWidth="1"/>
    <col min="5947" max="5947" width="8.85546875" style="2" customWidth="1"/>
    <col min="5948" max="5949" width="10.140625" style="2" bestFit="1" customWidth="1"/>
    <col min="5950" max="5950" width="45.140625" style="2" bestFit="1" customWidth="1"/>
    <col min="5951" max="5951" width="7.85546875" style="2" bestFit="1" customWidth="1"/>
    <col min="5952" max="5952" width="17" style="2" customWidth="1"/>
    <col min="5953" max="5953" width="8.140625" style="2" bestFit="1" customWidth="1"/>
    <col min="5954" max="5954" width="10.140625" style="2" bestFit="1" customWidth="1"/>
    <col min="5955" max="5955" width="8.140625" style="2" bestFit="1" customWidth="1"/>
    <col min="5956" max="5956" width="23.140625" style="2" customWidth="1"/>
    <col min="5957" max="5957" width="7.85546875" style="2" bestFit="1" customWidth="1"/>
    <col min="5958" max="5958" width="14" style="2" customWidth="1"/>
    <col min="5959" max="5959" width="8.140625" style="2" bestFit="1" customWidth="1"/>
    <col min="5960" max="5960" width="10.140625" style="2" bestFit="1" customWidth="1"/>
    <col min="5961" max="5961" width="10" style="2" bestFit="1" customWidth="1"/>
    <col min="5962" max="5962" width="24.5703125" style="2" customWidth="1"/>
    <col min="5963" max="5963" width="7.85546875" style="2" bestFit="1" customWidth="1"/>
    <col min="5964" max="5964" width="14.5703125" style="2" customWidth="1"/>
    <col min="5965" max="5965" width="7.28515625" style="2" bestFit="1" customWidth="1"/>
    <col min="5966" max="5966" width="10.140625" style="2" bestFit="1" customWidth="1"/>
    <col min="5967" max="5967" width="8.140625" style="2" bestFit="1" customWidth="1"/>
    <col min="5968" max="5968" width="37.140625" style="2" customWidth="1"/>
    <col min="5969" max="5969" width="38.140625" style="2" customWidth="1"/>
    <col min="5970" max="6144" width="9.140625" style="2"/>
    <col min="6145" max="6145" width="4.7109375" style="2" customWidth="1"/>
    <col min="6146" max="6146" width="11.42578125" style="2" customWidth="1"/>
    <col min="6147" max="6147" width="34.140625" style="2" customWidth="1"/>
    <col min="6148" max="6148" width="11.85546875" style="2" customWidth="1"/>
    <col min="6149" max="6149" width="24.42578125" style="2" customWidth="1"/>
    <col min="6150" max="6150" width="19" style="2" bestFit="1" customWidth="1"/>
    <col min="6151" max="6151" width="27.140625" style="2" customWidth="1"/>
    <col min="6152" max="6152" width="21.140625" style="2" bestFit="1" customWidth="1"/>
    <col min="6153" max="6153" width="35.7109375" style="2" bestFit="1" customWidth="1"/>
    <col min="6154" max="6154" width="20.140625" style="2" bestFit="1" customWidth="1"/>
    <col min="6155" max="6155" width="16.42578125" style="2" customWidth="1"/>
    <col min="6156" max="6156" width="24.140625" style="2" customWidth="1"/>
    <col min="6157" max="6157" width="18.140625" style="2" customWidth="1"/>
    <col min="6158" max="6158" width="19" style="2" customWidth="1"/>
    <col min="6159" max="6159" width="18.140625" style="2" customWidth="1"/>
    <col min="6160" max="6160" width="23.85546875" style="2" customWidth="1"/>
    <col min="6161" max="6161" width="16.5703125" style="2" customWidth="1"/>
    <col min="6162" max="6162" width="24" style="2" customWidth="1"/>
    <col min="6163" max="6163" width="26.28515625" style="2" customWidth="1"/>
    <col min="6164" max="6164" width="21.85546875" style="2" customWidth="1"/>
    <col min="6165" max="6165" width="16.140625" style="2" customWidth="1"/>
    <col min="6166" max="6166" width="26.140625" style="2" customWidth="1"/>
    <col min="6167" max="6167" width="22.85546875" style="2" customWidth="1"/>
    <col min="6168" max="6168" width="22.42578125" style="2" customWidth="1"/>
    <col min="6169" max="6169" width="15" style="2" customWidth="1"/>
    <col min="6170" max="6170" width="12.140625" style="2" customWidth="1"/>
    <col min="6171" max="6171" width="18.5703125" style="2" customWidth="1"/>
    <col min="6172" max="6172" width="28.5703125" style="2" customWidth="1"/>
    <col min="6173" max="6173" width="26.140625" style="2" customWidth="1"/>
    <col min="6174" max="6174" width="10.28515625" style="2" customWidth="1"/>
    <col min="6175" max="6175" width="60" style="2" bestFit="1" customWidth="1"/>
    <col min="6176" max="6176" width="33.5703125" style="2" customWidth="1"/>
    <col min="6177" max="6177" width="14.42578125" style="2" customWidth="1"/>
    <col min="6178" max="6178" width="36.42578125" style="2" customWidth="1"/>
    <col min="6179" max="6179" width="44.85546875" style="2" customWidth="1"/>
    <col min="6180" max="6180" width="37.42578125" style="2" customWidth="1"/>
    <col min="6181" max="6181" width="123.42578125" style="2" customWidth="1"/>
    <col min="6182" max="6182" width="34.7109375" style="2" customWidth="1"/>
    <col min="6183" max="6183" width="93.5703125" style="2" customWidth="1"/>
    <col min="6184" max="6184" width="16.42578125" style="2" customWidth="1"/>
    <col min="6185" max="6185" width="24.140625" style="2" customWidth="1"/>
    <col min="6186" max="6186" width="40.140625" style="2" customWidth="1"/>
    <col min="6187" max="6187" width="26.140625" style="2" customWidth="1"/>
    <col min="6188" max="6188" width="23.140625" style="2" customWidth="1"/>
    <col min="6189" max="6189" width="12.5703125" style="2" customWidth="1"/>
    <col min="6190" max="6190" width="24.85546875" style="2" customWidth="1"/>
    <col min="6191" max="6191" width="3.85546875" style="2" customWidth="1"/>
    <col min="6192" max="6192" width="34.85546875" style="2" customWidth="1"/>
    <col min="6193" max="6193" width="122.140625" style="2" customWidth="1"/>
    <col min="6194" max="6194" width="27.5703125" style="2" customWidth="1"/>
    <col min="6195" max="6195" width="32.140625" style="2" customWidth="1"/>
    <col min="6196" max="6196" width="28.85546875" style="2" customWidth="1"/>
    <col min="6197" max="6197" width="24.85546875" style="2" customWidth="1"/>
    <col min="6198" max="6198" width="35.140625" style="2" bestFit="1" customWidth="1"/>
    <col min="6199" max="6199" width="21.140625" style="2" customWidth="1"/>
    <col min="6200" max="6200" width="25" style="2" customWidth="1"/>
    <col min="6201" max="6201" width="10.140625" style="2" bestFit="1" customWidth="1"/>
    <col min="6202" max="6202" width="16.85546875" style="2" customWidth="1"/>
    <col min="6203" max="6203" width="8.85546875" style="2" customWidth="1"/>
    <col min="6204" max="6205" width="10.140625" style="2" bestFit="1" customWidth="1"/>
    <col min="6206" max="6206" width="45.140625" style="2" bestFit="1" customWidth="1"/>
    <col min="6207" max="6207" width="7.85546875" style="2" bestFit="1" customWidth="1"/>
    <col min="6208" max="6208" width="17" style="2" customWidth="1"/>
    <col min="6209" max="6209" width="8.140625" style="2" bestFit="1" customWidth="1"/>
    <col min="6210" max="6210" width="10.140625" style="2" bestFit="1" customWidth="1"/>
    <col min="6211" max="6211" width="8.140625" style="2" bestFit="1" customWidth="1"/>
    <col min="6212" max="6212" width="23.140625" style="2" customWidth="1"/>
    <col min="6213" max="6213" width="7.85546875" style="2" bestFit="1" customWidth="1"/>
    <col min="6214" max="6214" width="14" style="2" customWidth="1"/>
    <col min="6215" max="6215" width="8.140625" style="2" bestFit="1" customWidth="1"/>
    <col min="6216" max="6216" width="10.140625" style="2" bestFit="1" customWidth="1"/>
    <col min="6217" max="6217" width="10" style="2" bestFit="1" customWidth="1"/>
    <col min="6218" max="6218" width="24.5703125" style="2" customWidth="1"/>
    <col min="6219" max="6219" width="7.85546875" style="2" bestFit="1" customWidth="1"/>
    <col min="6220" max="6220" width="14.5703125" style="2" customWidth="1"/>
    <col min="6221" max="6221" width="7.28515625" style="2" bestFit="1" customWidth="1"/>
    <col min="6222" max="6222" width="10.140625" style="2" bestFit="1" customWidth="1"/>
    <col min="6223" max="6223" width="8.140625" style="2" bestFit="1" customWidth="1"/>
    <col min="6224" max="6224" width="37.140625" style="2" customWidth="1"/>
    <col min="6225" max="6225" width="38.140625" style="2" customWidth="1"/>
    <col min="6226" max="6400" width="9.140625" style="2"/>
    <col min="6401" max="6401" width="4.7109375" style="2" customWidth="1"/>
    <col min="6402" max="6402" width="11.42578125" style="2" customWidth="1"/>
    <col min="6403" max="6403" width="34.140625" style="2" customWidth="1"/>
    <col min="6404" max="6404" width="11.85546875" style="2" customWidth="1"/>
    <col min="6405" max="6405" width="24.42578125" style="2" customWidth="1"/>
    <col min="6406" max="6406" width="19" style="2" bestFit="1" customWidth="1"/>
    <col min="6407" max="6407" width="27.140625" style="2" customWidth="1"/>
    <col min="6408" max="6408" width="21.140625" style="2" bestFit="1" customWidth="1"/>
    <col min="6409" max="6409" width="35.7109375" style="2" bestFit="1" customWidth="1"/>
    <col min="6410" max="6410" width="20.140625" style="2" bestFit="1" customWidth="1"/>
    <col min="6411" max="6411" width="16.42578125" style="2" customWidth="1"/>
    <col min="6412" max="6412" width="24.140625" style="2" customWidth="1"/>
    <col min="6413" max="6413" width="18.140625" style="2" customWidth="1"/>
    <col min="6414" max="6414" width="19" style="2" customWidth="1"/>
    <col min="6415" max="6415" width="18.140625" style="2" customWidth="1"/>
    <col min="6416" max="6416" width="23.85546875" style="2" customWidth="1"/>
    <col min="6417" max="6417" width="16.5703125" style="2" customWidth="1"/>
    <col min="6418" max="6418" width="24" style="2" customWidth="1"/>
    <col min="6419" max="6419" width="26.28515625" style="2" customWidth="1"/>
    <col min="6420" max="6420" width="21.85546875" style="2" customWidth="1"/>
    <col min="6421" max="6421" width="16.140625" style="2" customWidth="1"/>
    <col min="6422" max="6422" width="26.140625" style="2" customWidth="1"/>
    <col min="6423" max="6423" width="22.85546875" style="2" customWidth="1"/>
    <col min="6424" max="6424" width="22.42578125" style="2" customWidth="1"/>
    <col min="6425" max="6425" width="15" style="2" customWidth="1"/>
    <col min="6426" max="6426" width="12.140625" style="2" customWidth="1"/>
    <col min="6427" max="6427" width="18.5703125" style="2" customWidth="1"/>
    <col min="6428" max="6428" width="28.5703125" style="2" customWidth="1"/>
    <col min="6429" max="6429" width="26.140625" style="2" customWidth="1"/>
    <col min="6430" max="6430" width="10.28515625" style="2" customWidth="1"/>
    <col min="6431" max="6431" width="60" style="2" bestFit="1" customWidth="1"/>
    <col min="6432" max="6432" width="33.5703125" style="2" customWidth="1"/>
    <col min="6433" max="6433" width="14.42578125" style="2" customWidth="1"/>
    <col min="6434" max="6434" width="36.42578125" style="2" customWidth="1"/>
    <col min="6435" max="6435" width="44.85546875" style="2" customWidth="1"/>
    <col min="6436" max="6436" width="37.42578125" style="2" customWidth="1"/>
    <col min="6437" max="6437" width="123.42578125" style="2" customWidth="1"/>
    <col min="6438" max="6438" width="34.7109375" style="2" customWidth="1"/>
    <col min="6439" max="6439" width="93.5703125" style="2" customWidth="1"/>
    <col min="6440" max="6440" width="16.42578125" style="2" customWidth="1"/>
    <col min="6441" max="6441" width="24.140625" style="2" customWidth="1"/>
    <col min="6442" max="6442" width="40.140625" style="2" customWidth="1"/>
    <col min="6443" max="6443" width="26.140625" style="2" customWidth="1"/>
    <col min="6444" max="6444" width="23.140625" style="2" customWidth="1"/>
    <col min="6445" max="6445" width="12.5703125" style="2" customWidth="1"/>
    <col min="6446" max="6446" width="24.85546875" style="2" customWidth="1"/>
    <col min="6447" max="6447" width="3.85546875" style="2" customWidth="1"/>
    <col min="6448" max="6448" width="34.85546875" style="2" customWidth="1"/>
    <col min="6449" max="6449" width="122.140625" style="2" customWidth="1"/>
    <col min="6450" max="6450" width="27.5703125" style="2" customWidth="1"/>
    <col min="6451" max="6451" width="32.140625" style="2" customWidth="1"/>
    <col min="6452" max="6452" width="28.85546875" style="2" customWidth="1"/>
    <col min="6453" max="6453" width="24.85546875" style="2" customWidth="1"/>
    <col min="6454" max="6454" width="35.140625" style="2" bestFit="1" customWidth="1"/>
    <col min="6455" max="6455" width="21.140625" style="2" customWidth="1"/>
    <col min="6456" max="6456" width="25" style="2" customWidth="1"/>
    <col min="6457" max="6457" width="10.140625" style="2" bestFit="1" customWidth="1"/>
    <col min="6458" max="6458" width="16.85546875" style="2" customWidth="1"/>
    <col min="6459" max="6459" width="8.85546875" style="2" customWidth="1"/>
    <col min="6460" max="6461" width="10.140625" style="2" bestFit="1" customWidth="1"/>
    <col min="6462" max="6462" width="45.140625" style="2" bestFit="1" customWidth="1"/>
    <col min="6463" max="6463" width="7.85546875" style="2" bestFit="1" customWidth="1"/>
    <col min="6464" max="6464" width="17" style="2" customWidth="1"/>
    <col min="6465" max="6465" width="8.140625" style="2" bestFit="1" customWidth="1"/>
    <col min="6466" max="6466" width="10.140625" style="2" bestFit="1" customWidth="1"/>
    <col min="6467" max="6467" width="8.140625" style="2" bestFit="1" customWidth="1"/>
    <col min="6468" max="6468" width="23.140625" style="2" customWidth="1"/>
    <col min="6469" max="6469" width="7.85546875" style="2" bestFit="1" customWidth="1"/>
    <col min="6470" max="6470" width="14" style="2" customWidth="1"/>
    <col min="6471" max="6471" width="8.140625" style="2" bestFit="1" customWidth="1"/>
    <col min="6472" max="6472" width="10.140625" style="2" bestFit="1" customWidth="1"/>
    <col min="6473" max="6473" width="10" style="2" bestFit="1" customWidth="1"/>
    <col min="6474" max="6474" width="24.5703125" style="2" customWidth="1"/>
    <col min="6475" max="6475" width="7.85546875" style="2" bestFit="1" customWidth="1"/>
    <col min="6476" max="6476" width="14.5703125" style="2" customWidth="1"/>
    <col min="6477" max="6477" width="7.28515625" style="2" bestFit="1" customWidth="1"/>
    <col min="6478" max="6478" width="10.140625" style="2" bestFit="1" customWidth="1"/>
    <col min="6479" max="6479" width="8.140625" style="2" bestFit="1" customWidth="1"/>
    <col min="6480" max="6480" width="37.140625" style="2" customWidth="1"/>
    <col min="6481" max="6481" width="38.140625" style="2" customWidth="1"/>
    <col min="6482" max="6656" width="9.140625" style="2"/>
    <col min="6657" max="6657" width="4.7109375" style="2" customWidth="1"/>
    <col min="6658" max="6658" width="11.42578125" style="2" customWidth="1"/>
    <col min="6659" max="6659" width="34.140625" style="2" customWidth="1"/>
    <col min="6660" max="6660" width="11.85546875" style="2" customWidth="1"/>
    <col min="6661" max="6661" width="24.42578125" style="2" customWidth="1"/>
    <col min="6662" max="6662" width="19" style="2" bestFit="1" customWidth="1"/>
    <col min="6663" max="6663" width="27.140625" style="2" customWidth="1"/>
    <col min="6664" max="6664" width="21.140625" style="2" bestFit="1" customWidth="1"/>
    <col min="6665" max="6665" width="35.7109375" style="2" bestFit="1" customWidth="1"/>
    <col min="6666" max="6666" width="20.140625" style="2" bestFit="1" customWidth="1"/>
    <col min="6667" max="6667" width="16.42578125" style="2" customWidth="1"/>
    <col min="6668" max="6668" width="24.140625" style="2" customWidth="1"/>
    <col min="6669" max="6669" width="18.140625" style="2" customWidth="1"/>
    <col min="6670" max="6670" width="19" style="2" customWidth="1"/>
    <col min="6671" max="6671" width="18.140625" style="2" customWidth="1"/>
    <col min="6672" max="6672" width="23.85546875" style="2" customWidth="1"/>
    <col min="6673" max="6673" width="16.5703125" style="2" customWidth="1"/>
    <col min="6674" max="6674" width="24" style="2" customWidth="1"/>
    <col min="6675" max="6675" width="26.28515625" style="2" customWidth="1"/>
    <col min="6676" max="6676" width="21.85546875" style="2" customWidth="1"/>
    <col min="6677" max="6677" width="16.140625" style="2" customWidth="1"/>
    <col min="6678" max="6678" width="26.140625" style="2" customWidth="1"/>
    <col min="6679" max="6679" width="22.85546875" style="2" customWidth="1"/>
    <col min="6680" max="6680" width="22.42578125" style="2" customWidth="1"/>
    <col min="6681" max="6681" width="15" style="2" customWidth="1"/>
    <col min="6682" max="6682" width="12.140625" style="2" customWidth="1"/>
    <col min="6683" max="6683" width="18.5703125" style="2" customWidth="1"/>
    <col min="6684" max="6684" width="28.5703125" style="2" customWidth="1"/>
    <col min="6685" max="6685" width="26.140625" style="2" customWidth="1"/>
    <col min="6686" max="6686" width="10.28515625" style="2" customWidth="1"/>
    <col min="6687" max="6687" width="60" style="2" bestFit="1" customWidth="1"/>
    <col min="6688" max="6688" width="33.5703125" style="2" customWidth="1"/>
    <col min="6689" max="6689" width="14.42578125" style="2" customWidth="1"/>
    <col min="6690" max="6690" width="36.42578125" style="2" customWidth="1"/>
    <col min="6691" max="6691" width="44.85546875" style="2" customWidth="1"/>
    <col min="6692" max="6692" width="37.42578125" style="2" customWidth="1"/>
    <col min="6693" max="6693" width="123.42578125" style="2" customWidth="1"/>
    <col min="6694" max="6694" width="34.7109375" style="2" customWidth="1"/>
    <col min="6695" max="6695" width="93.5703125" style="2" customWidth="1"/>
    <col min="6696" max="6696" width="16.42578125" style="2" customWidth="1"/>
    <col min="6697" max="6697" width="24.140625" style="2" customWidth="1"/>
    <col min="6698" max="6698" width="40.140625" style="2" customWidth="1"/>
    <col min="6699" max="6699" width="26.140625" style="2" customWidth="1"/>
    <col min="6700" max="6700" width="23.140625" style="2" customWidth="1"/>
    <col min="6701" max="6701" width="12.5703125" style="2" customWidth="1"/>
    <col min="6702" max="6702" width="24.85546875" style="2" customWidth="1"/>
    <col min="6703" max="6703" width="3.85546875" style="2" customWidth="1"/>
    <col min="6704" max="6704" width="34.85546875" style="2" customWidth="1"/>
    <col min="6705" max="6705" width="122.140625" style="2" customWidth="1"/>
    <col min="6706" max="6706" width="27.5703125" style="2" customWidth="1"/>
    <col min="6707" max="6707" width="32.140625" style="2" customWidth="1"/>
    <col min="6708" max="6708" width="28.85546875" style="2" customWidth="1"/>
    <col min="6709" max="6709" width="24.85546875" style="2" customWidth="1"/>
    <col min="6710" max="6710" width="35.140625" style="2" bestFit="1" customWidth="1"/>
    <col min="6711" max="6711" width="21.140625" style="2" customWidth="1"/>
    <col min="6712" max="6712" width="25" style="2" customWidth="1"/>
    <col min="6713" max="6713" width="10.140625" style="2" bestFit="1" customWidth="1"/>
    <col min="6714" max="6714" width="16.85546875" style="2" customWidth="1"/>
    <col min="6715" max="6715" width="8.85546875" style="2" customWidth="1"/>
    <col min="6716" max="6717" width="10.140625" style="2" bestFit="1" customWidth="1"/>
    <col min="6718" max="6718" width="45.140625" style="2" bestFit="1" customWidth="1"/>
    <col min="6719" max="6719" width="7.85546875" style="2" bestFit="1" customWidth="1"/>
    <col min="6720" max="6720" width="17" style="2" customWidth="1"/>
    <col min="6721" max="6721" width="8.140625" style="2" bestFit="1" customWidth="1"/>
    <col min="6722" max="6722" width="10.140625" style="2" bestFit="1" customWidth="1"/>
    <col min="6723" max="6723" width="8.140625" style="2" bestFit="1" customWidth="1"/>
    <col min="6724" max="6724" width="23.140625" style="2" customWidth="1"/>
    <col min="6725" max="6725" width="7.85546875" style="2" bestFit="1" customWidth="1"/>
    <col min="6726" max="6726" width="14" style="2" customWidth="1"/>
    <col min="6727" max="6727" width="8.140625" style="2" bestFit="1" customWidth="1"/>
    <col min="6728" max="6728" width="10.140625" style="2" bestFit="1" customWidth="1"/>
    <col min="6729" max="6729" width="10" style="2" bestFit="1" customWidth="1"/>
    <col min="6730" max="6730" width="24.5703125" style="2" customWidth="1"/>
    <col min="6731" max="6731" width="7.85546875" style="2" bestFit="1" customWidth="1"/>
    <col min="6732" max="6732" width="14.5703125" style="2" customWidth="1"/>
    <col min="6733" max="6733" width="7.28515625" style="2" bestFit="1" customWidth="1"/>
    <col min="6734" max="6734" width="10.140625" style="2" bestFit="1" customWidth="1"/>
    <col min="6735" max="6735" width="8.140625" style="2" bestFit="1" customWidth="1"/>
    <col min="6736" max="6736" width="37.140625" style="2" customWidth="1"/>
    <col min="6737" max="6737" width="38.140625" style="2" customWidth="1"/>
    <col min="6738" max="6912" width="9.140625" style="2"/>
    <col min="6913" max="6913" width="4.7109375" style="2" customWidth="1"/>
    <col min="6914" max="6914" width="11.42578125" style="2" customWidth="1"/>
    <col min="6915" max="6915" width="34.140625" style="2" customWidth="1"/>
    <col min="6916" max="6916" width="11.85546875" style="2" customWidth="1"/>
    <col min="6917" max="6917" width="24.42578125" style="2" customWidth="1"/>
    <col min="6918" max="6918" width="19" style="2" bestFit="1" customWidth="1"/>
    <col min="6919" max="6919" width="27.140625" style="2" customWidth="1"/>
    <col min="6920" max="6920" width="21.140625" style="2" bestFit="1" customWidth="1"/>
    <col min="6921" max="6921" width="35.7109375" style="2" bestFit="1" customWidth="1"/>
    <col min="6922" max="6922" width="20.140625" style="2" bestFit="1" customWidth="1"/>
    <col min="6923" max="6923" width="16.42578125" style="2" customWidth="1"/>
    <col min="6924" max="6924" width="24.140625" style="2" customWidth="1"/>
    <col min="6925" max="6925" width="18.140625" style="2" customWidth="1"/>
    <col min="6926" max="6926" width="19" style="2" customWidth="1"/>
    <col min="6927" max="6927" width="18.140625" style="2" customWidth="1"/>
    <col min="6928" max="6928" width="23.85546875" style="2" customWidth="1"/>
    <col min="6929" max="6929" width="16.5703125" style="2" customWidth="1"/>
    <col min="6930" max="6930" width="24" style="2" customWidth="1"/>
    <col min="6931" max="6931" width="26.28515625" style="2" customWidth="1"/>
    <col min="6932" max="6932" width="21.85546875" style="2" customWidth="1"/>
    <col min="6933" max="6933" width="16.140625" style="2" customWidth="1"/>
    <col min="6934" max="6934" width="26.140625" style="2" customWidth="1"/>
    <col min="6935" max="6935" width="22.85546875" style="2" customWidth="1"/>
    <col min="6936" max="6936" width="22.42578125" style="2" customWidth="1"/>
    <col min="6937" max="6937" width="15" style="2" customWidth="1"/>
    <col min="6938" max="6938" width="12.140625" style="2" customWidth="1"/>
    <col min="6939" max="6939" width="18.5703125" style="2" customWidth="1"/>
    <col min="6940" max="6940" width="28.5703125" style="2" customWidth="1"/>
    <col min="6941" max="6941" width="26.140625" style="2" customWidth="1"/>
    <col min="6942" max="6942" width="10.28515625" style="2" customWidth="1"/>
    <col min="6943" max="6943" width="60" style="2" bestFit="1" customWidth="1"/>
    <col min="6944" max="6944" width="33.5703125" style="2" customWidth="1"/>
    <col min="6945" max="6945" width="14.42578125" style="2" customWidth="1"/>
    <col min="6946" max="6946" width="36.42578125" style="2" customWidth="1"/>
    <col min="6947" max="6947" width="44.85546875" style="2" customWidth="1"/>
    <col min="6948" max="6948" width="37.42578125" style="2" customWidth="1"/>
    <col min="6949" max="6949" width="123.42578125" style="2" customWidth="1"/>
    <col min="6950" max="6950" width="34.7109375" style="2" customWidth="1"/>
    <col min="6951" max="6951" width="93.5703125" style="2" customWidth="1"/>
    <col min="6952" max="6952" width="16.42578125" style="2" customWidth="1"/>
    <col min="6953" max="6953" width="24.140625" style="2" customWidth="1"/>
    <col min="6954" max="6954" width="40.140625" style="2" customWidth="1"/>
    <col min="6955" max="6955" width="26.140625" style="2" customWidth="1"/>
    <col min="6956" max="6956" width="23.140625" style="2" customWidth="1"/>
    <col min="6957" max="6957" width="12.5703125" style="2" customWidth="1"/>
    <col min="6958" max="6958" width="24.85546875" style="2" customWidth="1"/>
    <col min="6959" max="6959" width="3.85546875" style="2" customWidth="1"/>
    <col min="6960" max="6960" width="34.85546875" style="2" customWidth="1"/>
    <col min="6961" max="6961" width="122.140625" style="2" customWidth="1"/>
    <col min="6962" max="6962" width="27.5703125" style="2" customWidth="1"/>
    <col min="6963" max="6963" width="32.140625" style="2" customWidth="1"/>
    <col min="6964" max="6964" width="28.85546875" style="2" customWidth="1"/>
    <col min="6965" max="6965" width="24.85546875" style="2" customWidth="1"/>
    <col min="6966" max="6966" width="35.140625" style="2" bestFit="1" customWidth="1"/>
    <col min="6967" max="6967" width="21.140625" style="2" customWidth="1"/>
    <col min="6968" max="6968" width="25" style="2" customWidth="1"/>
    <col min="6969" max="6969" width="10.140625" style="2" bestFit="1" customWidth="1"/>
    <col min="6970" max="6970" width="16.85546875" style="2" customWidth="1"/>
    <col min="6971" max="6971" width="8.85546875" style="2" customWidth="1"/>
    <col min="6972" max="6973" width="10.140625" style="2" bestFit="1" customWidth="1"/>
    <col min="6974" max="6974" width="45.140625" style="2" bestFit="1" customWidth="1"/>
    <col min="6975" max="6975" width="7.85546875" style="2" bestFit="1" customWidth="1"/>
    <col min="6976" max="6976" width="17" style="2" customWidth="1"/>
    <col min="6977" max="6977" width="8.140625" style="2" bestFit="1" customWidth="1"/>
    <col min="6978" max="6978" width="10.140625" style="2" bestFit="1" customWidth="1"/>
    <col min="6979" max="6979" width="8.140625" style="2" bestFit="1" customWidth="1"/>
    <col min="6980" max="6980" width="23.140625" style="2" customWidth="1"/>
    <col min="6981" max="6981" width="7.85546875" style="2" bestFit="1" customWidth="1"/>
    <col min="6982" max="6982" width="14" style="2" customWidth="1"/>
    <col min="6983" max="6983" width="8.140625" style="2" bestFit="1" customWidth="1"/>
    <col min="6984" max="6984" width="10.140625" style="2" bestFit="1" customWidth="1"/>
    <col min="6985" max="6985" width="10" style="2" bestFit="1" customWidth="1"/>
    <col min="6986" max="6986" width="24.5703125" style="2" customWidth="1"/>
    <col min="6987" max="6987" width="7.85546875" style="2" bestFit="1" customWidth="1"/>
    <col min="6988" max="6988" width="14.5703125" style="2" customWidth="1"/>
    <col min="6989" max="6989" width="7.28515625" style="2" bestFit="1" customWidth="1"/>
    <col min="6990" max="6990" width="10.140625" style="2" bestFit="1" customWidth="1"/>
    <col min="6991" max="6991" width="8.140625" style="2" bestFit="1" customWidth="1"/>
    <col min="6992" max="6992" width="37.140625" style="2" customWidth="1"/>
    <col min="6993" max="6993" width="38.140625" style="2" customWidth="1"/>
    <col min="6994" max="7168" width="9.140625" style="2"/>
    <col min="7169" max="7169" width="4.7109375" style="2" customWidth="1"/>
    <col min="7170" max="7170" width="11.42578125" style="2" customWidth="1"/>
    <col min="7171" max="7171" width="34.140625" style="2" customWidth="1"/>
    <col min="7172" max="7172" width="11.85546875" style="2" customWidth="1"/>
    <col min="7173" max="7173" width="24.42578125" style="2" customWidth="1"/>
    <col min="7174" max="7174" width="19" style="2" bestFit="1" customWidth="1"/>
    <col min="7175" max="7175" width="27.140625" style="2" customWidth="1"/>
    <col min="7176" max="7176" width="21.140625" style="2" bestFit="1" customWidth="1"/>
    <col min="7177" max="7177" width="35.7109375" style="2" bestFit="1" customWidth="1"/>
    <col min="7178" max="7178" width="20.140625" style="2" bestFit="1" customWidth="1"/>
    <col min="7179" max="7179" width="16.42578125" style="2" customWidth="1"/>
    <col min="7180" max="7180" width="24.140625" style="2" customWidth="1"/>
    <col min="7181" max="7181" width="18.140625" style="2" customWidth="1"/>
    <col min="7182" max="7182" width="19" style="2" customWidth="1"/>
    <col min="7183" max="7183" width="18.140625" style="2" customWidth="1"/>
    <col min="7184" max="7184" width="23.85546875" style="2" customWidth="1"/>
    <col min="7185" max="7185" width="16.5703125" style="2" customWidth="1"/>
    <col min="7186" max="7186" width="24" style="2" customWidth="1"/>
    <col min="7187" max="7187" width="26.28515625" style="2" customWidth="1"/>
    <col min="7188" max="7188" width="21.85546875" style="2" customWidth="1"/>
    <col min="7189" max="7189" width="16.140625" style="2" customWidth="1"/>
    <col min="7190" max="7190" width="26.140625" style="2" customWidth="1"/>
    <col min="7191" max="7191" width="22.85546875" style="2" customWidth="1"/>
    <col min="7192" max="7192" width="22.42578125" style="2" customWidth="1"/>
    <col min="7193" max="7193" width="15" style="2" customWidth="1"/>
    <col min="7194" max="7194" width="12.140625" style="2" customWidth="1"/>
    <col min="7195" max="7195" width="18.5703125" style="2" customWidth="1"/>
    <col min="7196" max="7196" width="28.5703125" style="2" customWidth="1"/>
    <col min="7197" max="7197" width="26.140625" style="2" customWidth="1"/>
    <col min="7198" max="7198" width="10.28515625" style="2" customWidth="1"/>
    <col min="7199" max="7199" width="60" style="2" bestFit="1" customWidth="1"/>
    <col min="7200" max="7200" width="33.5703125" style="2" customWidth="1"/>
    <col min="7201" max="7201" width="14.42578125" style="2" customWidth="1"/>
    <col min="7202" max="7202" width="36.42578125" style="2" customWidth="1"/>
    <col min="7203" max="7203" width="44.85546875" style="2" customWidth="1"/>
    <col min="7204" max="7204" width="37.42578125" style="2" customWidth="1"/>
    <col min="7205" max="7205" width="123.42578125" style="2" customWidth="1"/>
    <col min="7206" max="7206" width="34.7109375" style="2" customWidth="1"/>
    <col min="7207" max="7207" width="93.5703125" style="2" customWidth="1"/>
    <col min="7208" max="7208" width="16.42578125" style="2" customWidth="1"/>
    <col min="7209" max="7209" width="24.140625" style="2" customWidth="1"/>
    <col min="7210" max="7210" width="40.140625" style="2" customWidth="1"/>
    <col min="7211" max="7211" width="26.140625" style="2" customWidth="1"/>
    <col min="7212" max="7212" width="23.140625" style="2" customWidth="1"/>
    <col min="7213" max="7213" width="12.5703125" style="2" customWidth="1"/>
    <col min="7214" max="7214" width="24.85546875" style="2" customWidth="1"/>
    <col min="7215" max="7215" width="3.85546875" style="2" customWidth="1"/>
    <col min="7216" max="7216" width="34.85546875" style="2" customWidth="1"/>
    <col min="7217" max="7217" width="122.140625" style="2" customWidth="1"/>
    <col min="7218" max="7218" width="27.5703125" style="2" customWidth="1"/>
    <col min="7219" max="7219" width="32.140625" style="2" customWidth="1"/>
    <col min="7220" max="7220" width="28.85546875" style="2" customWidth="1"/>
    <col min="7221" max="7221" width="24.85546875" style="2" customWidth="1"/>
    <col min="7222" max="7222" width="35.140625" style="2" bestFit="1" customWidth="1"/>
    <col min="7223" max="7223" width="21.140625" style="2" customWidth="1"/>
    <col min="7224" max="7224" width="25" style="2" customWidth="1"/>
    <col min="7225" max="7225" width="10.140625" style="2" bestFit="1" customWidth="1"/>
    <col min="7226" max="7226" width="16.85546875" style="2" customWidth="1"/>
    <col min="7227" max="7227" width="8.85546875" style="2" customWidth="1"/>
    <col min="7228" max="7229" width="10.140625" style="2" bestFit="1" customWidth="1"/>
    <col min="7230" max="7230" width="45.140625" style="2" bestFit="1" customWidth="1"/>
    <col min="7231" max="7231" width="7.85546875" style="2" bestFit="1" customWidth="1"/>
    <col min="7232" max="7232" width="17" style="2" customWidth="1"/>
    <col min="7233" max="7233" width="8.140625" style="2" bestFit="1" customWidth="1"/>
    <col min="7234" max="7234" width="10.140625" style="2" bestFit="1" customWidth="1"/>
    <col min="7235" max="7235" width="8.140625" style="2" bestFit="1" customWidth="1"/>
    <col min="7236" max="7236" width="23.140625" style="2" customWidth="1"/>
    <col min="7237" max="7237" width="7.85546875" style="2" bestFit="1" customWidth="1"/>
    <col min="7238" max="7238" width="14" style="2" customWidth="1"/>
    <col min="7239" max="7239" width="8.140625" style="2" bestFit="1" customWidth="1"/>
    <col min="7240" max="7240" width="10.140625" style="2" bestFit="1" customWidth="1"/>
    <col min="7241" max="7241" width="10" style="2" bestFit="1" customWidth="1"/>
    <col min="7242" max="7242" width="24.5703125" style="2" customWidth="1"/>
    <col min="7243" max="7243" width="7.85546875" style="2" bestFit="1" customWidth="1"/>
    <col min="7244" max="7244" width="14.5703125" style="2" customWidth="1"/>
    <col min="7245" max="7245" width="7.28515625" style="2" bestFit="1" customWidth="1"/>
    <col min="7246" max="7246" width="10.140625" style="2" bestFit="1" customWidth="1"/>
    <col min="7247" max="7247" width="8.140625" style="2" bestFit="1" customWidth="1"/>
    <col min="7248" max="7248" width="37.140625" style="2" customWidth="1"/>
    <col min="7249" max="7249" width="38.140625" style="2" customWidth="1"/>
    <col min="7250" max="7424" width="9.140625" style="2"/>
    <col min="7425" max="7425" width="4.7109375" style="2" customWidth="1"/>
    <col min="7426" max="7426" width="11.42578125" style="2" customWidth="1"/>
    <col min="7427" max="7427" width="34.140625" style="2" customWidth="1"/>
    <col min="7428" max="7428" width="11.85546875" style="2" customWidth="1"/>
    <col min="7429" max="7429" width="24.42578125" style="2" customWidth="1"/>
    <col min="7430" max="7430" width="19" style="2" bestFit="1" customWidth="1"/>
    <col min="7431" max="7431" width="27.140625" style="2" customWidth="1"/>
    <col min="7432" max="7432" width="21.140625" style="2" bestFit="1" customWidth="1"/>
    <col min="7433" max="7433" width="35.7109375" style="2" bestFit="1" customWidth="1"/>
    <col min="7434" max="7434" width="20.140625" style="2" bestFit="1" customWidth="1"/>
    <col min="7435" max="7435" width="16.42578125" style="2" customWidth="1"/>
    <col min="7436" max="7436" width="24.140625" style="2" customWidth="1"/>
    <col min="7437" max="7437" width="18.140625" style="2" customWidth="1"/>
    <col min="7438" max="7438" width="19" style="2" customWidth="1"/>
    <col min="7439" max="7439" width="18.140625" style="2" customWidth="1"/>
    <col min="7440" max="7440" width="23.85546875" style="2" customWidth="1"/>
    <col min="7441" max="7441" width="16.5703125" style="2" customWidth="1"/>
    <col min="7442" max="7442" width="24" style="2" customWidth="1"/>
    <col min="7443" max="7443" width="26.28515625" style="2" customWidth="1"/>
    <col min="7444" max="7444" width="21.85546875" style="2" customWidth="1"/>
    <col min="7445" max="7445" width="16.140625" style="2" customWidth="1"/>
    <col min="7446" max="7446" width="26.140625" style="2" customWidth="1"/>
    <col min="7447" max="7447" width="22.85546875" style="2" customWidth="1"/>
    <col min="7448" max="7448" width="22.42578125" style="2" customWidth="1"/>
    <col min="7449" max="7449" width="15" style="2" customWidth="1"/>
    <col min="7450" max="7450" width="12.140625" style="2" customWidth="1"/>
    <col min="7451" max="7451" width="18.5703125" style="2" customWidth="1"/>
    <col min="7452" max="7452" width="28.5703125" style="2" customWidth="1"/>
    <col min="7453" max="7453" width="26.140625" style="2" customWidth="1"/>
    <col min="7454" max="7454" width="10.28515625" style="2" customWidth="1"/>
    <col min="7455" max="7455" width="60" style="2" bestFit="1" customWidth="1"/>
    <col min="7456" max="7456" width="33.5703125" style="2" customWidth="1"/>
    <col min="7457" max="7457" width="14.42578125" style="2" customWidth="1"/>
    <col min="7458" max="7458" width="36.42578125" style="2" customWidth="1"/>
    <col min="7459" max="7459" width="44.85546875" style="2" customWidth="1"/>
    <col min="7460" max="7460" width="37.42578125" style="2" customWidth="1"/>
    <col min="7461" max="7461" width="123.42578125" style="2" customWidth="1"/>
    <col min="7462" max="7462" width="34.7109375" style="2" customWidth="1"/>
    <col min="7463" max="7463" width="93.5703125" style="2" customWidth="1"/>
    <col min="7464" max="7464" width="16.42578125" style="2" customWidth="1"/>
    <col min="7465" max="7465" width="24.140625" style="2" customWidth="1"/>
    <col min="7466" max="7466" width="40.140625" style="2" customWidth="1"/>
    <col min="7467" max="7467" width="26.140625" style="2" customWidth="1"/>
    <col min="7468" max="7468" width="23.140625" style="2" customWidth="1"/>
    <col min="7469" max="7469" width="12.5703125" style="2" customWidth="1"/>
    <col min="7470" max="7470" width="24.85546875" style="2" customWidth="1"/>
    <col min="7471" max="7471" width="3.85546875" style="2" customWidth="1"/>
    <col min="7472" max="7472" width="34.85546875" style="2" customWidth="1"/>
    <col min="7473" max="7473" width="122.140625" style="2" customWidth="1"/>
    <col min="7474" max="7474" width="27.5703125" style="2" customWidth="1"/>
    <col min="7475" max="7475" width="32.140625" style="2" customWidth="1"/>
    <col min="7476" max="7476" width="28.85546875" style="2" customWidth="1"/>
    <col min="7477" max="7477" width="24.85546875" style="2" customWidth="1"/>
    <col min="7478" max="7478" width="35.140625" style="2" bestFit="1" customWidth="1"/>
    <col min="7479" max="7479" width="21.140625" style="2" customWidth="1"/>
    <col min="7480" max="7480" width="25" style="2" customWidth="1"/>
    <col min="7481" max="7481" width="10.140625" style="2" bestFit="1" customWidth="1"/>
    <col min="7482" max="7482" width="16.85546875" style="2" customWidth="1"/>
    <col min="7483" max="7483" width="8.85546875" style="2" customWidth="1"/>
    <col min="7484" max="7485" width="10.140625" style="2" bestFit="1" customWidth="1"/>
    <col min="7486" max="7486" width="45.140625" style="2" bestFit="1" customWidth="1"/>
    <col min="7487" max="7487" width="7.85546875" style="2" bestFit="1" customWidth="1"/>
    <col min="7488" max="7488" width="17" style="2" customWidth="1"/>
    <col min="7489" max="7489" width="8.140625" style="2" bestFit="1" customWidth="1"/>
    <col min="7490" max="7490" width="10.140625" style="2" bestFit="1" customWidth="1"/>
    <col min="7491" max="7491" width="8.140625" style="2" bestFit="1" customWidth="1"/>
    <col min="7492" max="7492" width="23.140625" style="2" customWidth="1"/>
    <col min="7493" max="7493" width="7.85546875" style="2" bestFit="1" customWidth="1"/>
    <col min="7494" max="7494" width="14" style="2" customWidth="1"/>
    <col min="7495" max="7495" width="8.140625" style="2" bestFit="1" customWidth="1"/>
    <col min="7496" max="7496" width="10.140625" style="2" bestFit="1" customWidth="1"/>
    <col min="7497" max="7497" width="10" style="2" bestFit="1" customWidth="1"/>
    <col min="7498" max="7498" width="24.5703125" style="2" customWidth="1"/>
    <col min="7499" max="7499" width="7.85546875" style="2" bestFit="1" customWidth="1"/>
    <col min="7500" max="7500" width="14.5703125" style="2" customWidth="1"/>
    <col min="7501" max="7501" width="7.28515625" style="2" bestFit="1" customWidth="1"/>
    <col min="7502" max="7502" width="10.140625" style="2" bestFit="1" customWidth="1"/>
    <col min="7503" max="7503" width="8.140625" style="2" bestFit="1" customWidth="1"/>
    <col min="7504" max="7504" width="37.140625" style="2" customWidth="1"/>
    <col min="7505" max="7505" width="38.140625" style="2" customWidth="1"/>
    <col min="7506" max="7680" width="9.140625" style="2"/>
    <col min="7681" max="7681" width="4.7109375" style="2" customWidth="1"/>
    <col min="7682" max="7682" width="11.42578125" style="2" customWidth="1"/>
    <col min="7683" max="7683" width="34.140625" style="2" customWidth="1"/>
    <col min="7684" max="7684" width="11.85546875" style="2" customWidth="1"/>
    <col min="7685" max="7685" width="24.42578125" style="2" customWidth="1"/>
    <col min="7686" max="7686" width="19" style="2" bestFit="1" customWidth="1"/>
    <col min="7687" max="7687" width="27.140625" style="2" customWidth="1"/>
    <col min="7688" max="7688" width="21.140625" style="2" bestFit="1" customWidth="1"/>
    <col min="7689" max="7689" width="35.7109375" style="2" bestFit="1" customWidth="1"/>
    <col min="7690" max="7690" width="20.140625" style="2" bestFit="1" customWidth="1"/>
    <col min="7691" max="7691" width="16.42578125" style="2" customWidth="1"/>
    <col min="7692" max="7692" width="24.140625" style="2" customWidth="1"/>
    <col min="7693" max="7693" width="18.140625" style="2" customWidth="1"/>
    <col min="7694" max="7694" width="19" style="2" customWidth="1"/>
    <col min="7695" max="7695" width="18.140625" style="2" customWidth="1"/>
    <col min="7696" max="7696" width="23.85546875" style="2" customWidth="1"/>
    <col min="7697" max="7697" width="16.5703125" style="2" customWidth="1"/>
    <col min="7698" max="7698" width="24" style="2" customWidth="1"/>
    <col min="7699" max="7699" width="26.28515625" style="2" customWidth="1"/>
    <col min="7700" max="7700" width="21.85546875" style="2" customWidth="1"/>
    <col min="7701" max="7701" width="16.140625" style="2" customWidth="1"/>
    <col min="7702" max="7702" width="26.140625" style="2" customWidth="1"/>
    <col min="7703" max="7703" width="22.85546875" style="2" customWidth="1"/>
    <col min="7704" max="7704" width="22.42578125" style="2" customWidth="1"/>
    <col min="7705" max="7705" width="15" style="2" customWidth="1"/>
    <col min="7706" max="7706" width="12.140625" style="2" customWidth="1"/>
    <col min="7707" max="7707" width="18.5703125" style="2" customWidth="1"/>
    <col min="7708" max="7708" width="28.5703125" style="2" customWidth="1"/>
    <col min="7709" max="7709" width="26.140625" style="2" customWidth="1"/>
    <col min="7710" max="7710" width="10.28515625" style="2" customWidth="1"/>
    <col min="7711" max="7711" width="60" style="2" bestFit="1" customWidth="1"/>
    <col min="7712" max="7712" width="33.5703125" style="2" customWidth="1"/>
    <col min="7713" max="7713" width="14.42578125" style="2" customWidth="1"/>
    <col min="7714" max="7714" width="36.42578125" style="2" customWidth="1"/>
    <col min="7715" max="7715" width="44.85546875" style="2" customWidth="1"/>
    <col min="7716" max="7716" width="37.42578125" style="2" customWidth="1"/>
    <col min="7717" max="7717" width="123.42578125" style="2" customWidth="1"/>
    <col min="7718" max="7718" width="34.7109375" style="2" customWidth="1"/>
    <col min="7719" max="7719" width="93.5703125" style="2" customWidth="1"/>
    <col min="7720" max="7720" width="16.42578125" style="2" customWidth="1"/>
    <col min="7721" max="7721" width="24.140625" style="2" customWidth="1"/>
    <col min="7722" max="7722" width="40.140625" style="2" customWidth="1"/>
    <col min="7723" max="7723" width="26.140625" style="2" customWidth="1"/>
    <col min="7724" max="7724" width="23.140625" style="2" customWidth="1"/>
    <col min="7725" max="7725" width="12.5703125" style="2" customWidth="1"/>
    <col min="7726" max="7726" width="24.85546875" style="2" customWidth="1"/>
    <col min="7727" max="7727" width="3.85546875" style="2" customWidth="1"/>
    <col min="7728" max="7728" width="34.85546875" style="2" customWidth="1"/>
    <col min="7729" max="7729" width="122.140625" style="2" customWidth="1"/>
    <col min="7730" max="7730" width="27.5703125" style="2" customWidth="1"/>
    <col min="7731" max="7731" width="32.140625" style="2" customWidth="1"/>
    <col min="7732" max="7732" width="28.85546875" style="2" customWidth="1"/>
    <col min="7733" max="7733" width="24.85546875" style="2" customWidth="1"/>
    <col min="7734" max="7734" width="35.140625" style="2" bestFit="1" customWidth="1"/>
    <col min="7735" max="7735" width="21.140625" style="2" customWidth="1"/>
    <col min="7736" max="7736" width="25" style="2" customWidth="1"/>
    <col min="7737" max="7737" width="10.140625" style="2" bestFit="1" customWidth="1"/>
    <col min="7738" max="7738" width="16.85546875" style="2" customWidth="1"/>
    <col min="7739" max="7739" width="8.85546875" style="2" customWidth="1"/>
    <col min="7740" max="7741" width="10.140625" style="2" bestFit="1" customWidth="1"/>
    <col min="7742" max="7742" width="45.140625" style="2" bestFit="1" customWidth="1"/>
    <col min="7743" max="7743" width="7.85546875" style="2" bestFit="1" customWidth="1"/>
    <col min="7744" max="7744" width="17" style="2" customWidth="1"/>
    <col min="7745" max="7745" width="8.140625" style="2" bestFit="1" customWidth="1"/>
    <col min="7746" max="7746" width="10.140625" style="2" bestFit="1" customWidth="1"/>
    <col min="7747" max="7747" width="8.140625" style="2" bestFit="1" customWidth="1"/>
    <col min="7748" max="7748" width="23.140625" style="2" customWidth="1"/>
    <col min="7749" max="7749" width="7.85546875" style="2" bestFit="1" customWidth="1"/>
    <col min="7750" max="7750" width="14" style="2" customWidth="1"/>
    <col min="7751" max="7751" width="8.140625" style="2" bestFit="1" customWidth="1"/>
    <col min="7752" max="7752" width="10.140625" style="2" bestFit="1" customWidth="1"/>
    <col min="7753" max="7753" width="10" style="2" bestFit="1" customWidth="1"/>
    <col min="7754" max="7754" width="24.5703125" style="2" customWidth="1"/>
    <col min="7755" max="7755" width="7.85546875" style="2" bestFit="1" customWidth="1"/>
    <col min="7756" max="7756" width="14.5703125" style="2" customWidth="1"/>
    <col min="7757" max="7757" width="7.28515625" style="2" bestFit="1" customWidth="1"/>
    <col min="7758" max="7758" width="10.140625" style="2" bestFit="1" customWidth="1"/>
    <col min="7759" max="7759" width="8.140625" style="2" bestFit="1" customWidth="1"/>
    <col min="7760" max="7760" width="37.140625" style="2" customWidth="1"/>
    <col min="7761" max="7761" width="38.140625" style="2" customWidth="1"/>
    <col min="7762" max="7936" width="9.140625" style="2"/>
    <col min="7937" max="7937" width="4.7109375" style="2" customWidth="1"/>
    <col min="7938" max="7938" width="11.42578125" style="2" customWidth="1"/>
    <col min="7939" max="7939" width="34.140625" style="2" customWidth="1"/>
    <col min="7940" max="7940" width="11.85546875" style="2" customWidth="1"/>
    <col min="7941" max="7941" width="24.42578125" style="2" customWidth="1"/>
    <col min="7942" max="7942" width="19" style="2" bestFit="1" customWidth="1"/>
    <col min="7943" max="7943" width="27.140625" style="2" customWidth="1"/>
    <col min="7944" max="7944" width="21.140625" style="2" bestFit="1" customWidth="1"/>
    <col min="7945" max="7945" width="35.7109375" style="2" bestFit="1" customWidth="1"/>
    <col min="7946" max="7946" width="20.140625" style="2" bestFit="1" customWidth="1"/>
    <col min="7947" max="7947" width="16.42578125" style="2" customWidth="1"/>
    <col min="7948" max="7948" width="24.140625" style="2" customWidth="1"/>
    <col min="7949" max="7949" width="18.140625" style="2" customWidth="1"/>
    <col min="7950" max="7950" width="19" style="2" customWidth="1"/>
    <col min="7951" max="7951" width="18.140625" style="2" customWidth="1"/>
    <col min="7952" max="7952" width="23.85546875" style="2" customWidth="1"/>
    <col min="7953" max="7953" width="16.5703125" style="2" customWidth="1"/>
    <col min="7954" max="7954" width="24" style="2" customWidth="1"/>
    <col min="7955" max="7955" width="26.28515625" style="2" customWidth="1"/>
    <col min="7956" max="7956" width="21.85546875" style="2" customWidth="1"/>
    <col min="7957" max="7957" width="16.140625" style="2" customWidth="1"/>
    <col min="7958" max="7958" width="26.140625" style="2" customWidth="1"/>
    <col min="7959" max="7959" width="22.85546875" style="2" customWidth="1"/>
    <col min="7960" max="7960" width="22.42578125" style="2" customWidth="1"/>
    <col min="7961" max="7961" width="15" style="2" customWidth="1"/>
    <col min="7962" max="7962" width="12.140625" style="2" customWidth="1"/>
    <col min="7963" max="7963" width="18.5703125" style="2" customWidth="1"/>
    <col min="7964" max="7964" width="28.5703125" style="2" customWidth="1"/>
    <col min="7965" max="7965" width="26.140625" style="2" customWidth="1"/>
    <col min="7966" max="7966" width="10.28515625" style="2" customWidth="1"/>
    <col min="7967" max="7967" width="60" style="2" bestFit="1" customWidth="1"/>
    <col min="7968" max="7968" width="33.5703125" style="2" customWidth="1"/>
    <col min="7969" max="7969" width="14.42578125" style="2" customWidth="1"/>
    <col min="7970" max="7970" width="36.42578125" style="2" customWidth="1"/>
    <col min="7971" max="7971" width="44.85546875" style="2" customWidth="1"/>
    <col min="7972" max="7972" width="37.42578125" style="2" customWidth="1"/>
    <col min="7973" max="7973" width="123.42578125" style="2" customWidth="1"/>
    <col min="7974" max="7974" width="34.7109375" style="2" customWidth="1"/>
    <col min="7975" max="7975" width="93.5703125" style="2" customWidth="1"/>
    <col min="7976" max="7976" width="16.42578125" style="2" customWidth="1"/>
    <col min="7977" max="7977" width="24.140625" style="2" customWidth="1"/>
    <col min="7978" max="7978" width="40.140625" style="2" customWidth="1"/>
    <col min="7979" max="7979" width="26.140625" style="2" customWidth="1"/>
    <col min="7980" max="7980" width="23.140625" style="2" customWidth="1"/>
    <col min="7981" max="7981" width="12.5703125" style="2" customWidth="1"/>
    <col min="7982" max="7982" width="24.85546875" style="2" customWidth="1"/>
    <col min="7983" max="7983" width="3.85546875" style="2" customWidth="1"/>
    <col min="7984" max="7984" width="34.85546875" style="2" customWidth="1"/>
    <col min="7985" max="7985" width="122.140625" style="2" customWidth="1"/>
    <col min="7986" max="7986" width="27.5703125" style="2" customWidth="1"/>
    <col min="7987" max="7987" width="32.140625" style="2" customWidth="1"/>
    <col min="7988" max="7988" width="28.85546875" style="2" customWidth="1"/>
    <col min="7989" max="7989" width="24.85546875" style="2" customWidth="1"/>
    <col min="7990" max="7990" width="35.140625" style="2" bestFit="1" customWidth="1"/>
    <col min="7991" max="7991" width="21.140625" style="2" customWidth="1"/>
    <col min="7992" max="7992" width="25" style="2" customWidth="1"/>
    <col min="7993" max="7993" width="10.140625" style="2" bestFit="1" customWidth="1"/>
    <col min="7994" max="7994" width="16.85546875" style="2" customWidth="1"/>
    <col min="7995" max="7995" width="8.85546875" style="2" customWidth="1"/>
    <col min="7996" max="7997" width="10.140625" style="2" bestFit="1" customWidth="1"/>
    <col min="7998" max="7998" width="45.140625" style="2" bestFit="1" customWidth="1"/>
    <col min="7999" max="7999" width="7.85546875" style="2" bestFit="1" customWidth="1"/>
    <col min="8000" max="8000" width="17" style="2" customWidth="1"/>
    <col min="8001" max="8001" width="8.140625" style="2" bestFit="1" customWidth="1"/>
    <col min="8002" max="8002" width="10.140625" style="2" bestFit="1" customWidth="1"/>
    <col min="8003" max="8003" width="8.140625" style="2" bestFit="1" customWidth="1"/>
    <col min="8004" max="8004" width="23.140625" style="2" customWidth="1"/>
    <col min="8005" max="8005" width="7.85546875" style="2" bestFit="1" customWidth="1"/>
    <col min="8006" max="8006" width="14" style="2" customWidth="1"/>
    <col min="8007" max="8007" width="8.140625" style="2" bestFit="1" customWidth="1"/>
    <col min="8008" max="8008" width="10.140625" style="2" bestFit="1" customWidth="1"/>
    <col min="8009" max="8009" width="10" style="2" bestFit="1" customWidth="1"/>
    <col min="8010" max="8010" width="24.5703125" style="2" customWidth="1"/>
    <col min="8011" max="8011" width="7.85546875" style="2" bestFit="1" customWidth="1"/>
    <col min="8012" max="8012" width="14.5703125" style="2" customWidth="1"/>
    <col min="8013" max="8013" width="7.28515625" style="2" bestFit="1" customWidth="1"/>
    <col min="8014" max="8014" width="10.140625" style="2" bestFit="1" customWidth="1"/>
    <col min="8015" max="8015" width="8.140625" style="2" bestFit="1" customWidth="1"/>
    <col min="8016" max="8016" width="37.140625" style="2" customWidth="1"/>
    <col min="8017" max="8017" width="38.140625" style="2" customWidth="1"/>
    <col min="8018" max="8192" width="9.140625" style="2"/>
    <col min="8193" max="8193" width="4.7109375" style="2" customWidth="1"/>
    <col min="8194" max="8194" width="11.42578125" style="2" customWidth="1"/>
    <col min="8195" max="8195" width="34.140625" style="2" customWidth="1"/>
    <col min="8196" max="8196" width="11.85546875" style="2" customWidth="1"/>
    <col min="8197" max="8197" width="24.42578125" style="2" customWidth="1"/>
    <col min="8198" max="8198" width="19" style="2" bestFit="1" customWidth="1"/>
    <col min="8199" max="8199" width="27.140625" style="2" customWidth="1"/>
    <col min="8200" max="8200" width="21.140625" style="2" bestFit="1" customWidth="1"/>
    <col min="8201" max="8201" width="35.7109375" style="2" bestFit="1" customWidth="1"/>
    <col min="8202" max="8202" width="20.140625" style="2" bestFit="1" customWidth="1"/>
    <col min="8203" max="8203" width="16.42578125" style="2" customWidth="1"/>
    <col min="8204" max="8204" width="24.140625" style="2" customWidth="1"/>
    <col min="8205" max="8205" width="18.140625" style="2" customWidth="1"/>
    <col min="8206" max="8206" width="19" style="2" customWidth="1"/>
    <col min="8207" max="8207" width="18.140625" style="2" customWidth="1"/>
    <col min="8208" max="8208" width="23.85546875" style="2" customWidth="1"/>
    <col min="8209" max="8209" width="16.5703125" style="2" customWidth="1"/>
    <col min="8210" max="8210" width="24" style="2" customWidth="1"/>
    <col min="8211" max="8211" width="26.28515625" style="2" customWidth="1"/>
    <col min="8212" max="8212" width="21.85546875" style="2" customWidth="1"/>
    <col min="8213" max="8213" width="16.140625" style="2" customWidth="1"/>
    <col min="8214" max="8214" width="26.140625" style="2" customWidth="1"/>
    <col min="8215" max="8215" width="22.85546875" style="2" customWidth="1"/>
    <col min="8216" max="8216" width="22.42578125" style="2" customWidth="1"/>
    <col min="8217" max="8217" width="15" style="2" customWidth="1"/>
    <col min="8218" max="8218" width="12.140625" style="2" customWidth="1"/>
    <col min="8219" max="8219" width="18.5703125" style="2" customWidth="1"/>
    <col min="8220" max="8220" width="28.5703125" style="2" customWidth="1"/>
    <col min="8221" max="8221" width="26.140625" style="2" customWidth="1"/>
    <col min="8222" max="8222" width="10.28515625" style="2" customWidth="1"/>
    <col min="8223" max="8223" width="60" style="2" bestFit="1" customWidth="1"/>
    <col min="8224" max="8224" width="33.5703125" style="2" customWidth="1"/>
    <col min="8225" max="8225" width="14.42578125" style="2" customWidth="1"/>
    <col min="8226" max="8226" width="36.42578125" style="2" customWidth="1"/>
    <col min="8227" max="8227" width="44.85546875" style="2" customWidth="1"/>
    <col min="8228" max="8228" width="37.42578125" style="2" customWidth="1"/>
    <col min="8229" max="8229" width="123.42578125" style="2" customWidth="1"/>
    <col min="8230" max="8230" width="34.7109375" style="2" customWidth="1"/>
    <col min="8231" max="8231" width="93.5703125" style="2" customWidth="1"/>
    <col min="8232" max="8232" width="16.42578125" style="2" customWidth="1"/>
    <col min="8233" max="8233" width="24.140625" style="2" customWidth="1"/>
    <col min="8234" max="8234" width="40.140625" style="2" customWidth="1"/>
    <col min="8235" max="8235" width="26.140625" style="2" customWidth="1"/>
    <col min="8236" max="8236" width="23.140625" style="2" customWidth="1"/>
    <col min="8237" max="8237" width="12.5703125" style="2" customWidth="1"/>
    <col min="8238" max="8238" width="24.85546875" style="2" customWidth="1"/>
    <col min="8239" max="8239" width="3.85546875" style="2" customWidth="1"/>
    <col min="8240" max="8240" width="34.85546875" style="2" customWidth="1"/>
    <col min="8241" max="8241" width="122.140625" style="2" customWidth="1"/>
    <col min="8242" max="8242" width="27.5703125" style="2" customWidth="1"/>
    <col min="8243" max="8243" width="32.140625" style="2" customWidth="1"/>
    <col min="8244" max="8244" width="28.85546875" style="2" customWidth="1"/>
    <col min="8245" max="8245" width="24.85546875" style="2" customWidth="1"/>
    <col min="8246" max="8246" width="35.140625" style="2" bestFit="1" customWidth="1"/>
    <col min="8247" max="8247" width="21.140625" style="2" customWidth="1"/>
    <col min="8248" max="8248" width="25" style="2" customWidth="1"/>
    <col min="8249" max="8249" width="10.140625" style="2" bestFit="1" customWidth="1"/>
    <col min="8250" max="8250" width="16.85546875" style="2" customWidth="1"/>
    <col min="8251" max="8251" width="8.85546875" style="2" customWidth="1"/>
    <col min="8252" max="8253" width="10.140625" style="2" bestFit="1" customWidth="1"/>
    <col min="8254" max="8254" width="45.140625" style="2" bestFit="1" customWidth="1"/>
    <col min="8255" max="8255" width="7.85546875" style="2" bestFit="1" customWidth="1"/>
    <col min="8256" max="8256" width="17" style="2" customWidth="1"/>
    <col min="8257" max="8257" width="8.140625" style="2" bestFit="1" customWidth="1"/>
    <col min="8258" max="8258" width="10.140625" style="2" bestFit="1" customWidth="1"/>
    <col min="8259" max="8259" width="8.140625" style="2" bestFit="1" customWidth="1"/>
    <col min="8260" max="8260" width="23.140625" style="2" customWidth="1"/>
    <col min="8261" max="8261" width="7.85546875" style="2" bestFit="1" customWidth="1"/>
    <col min="8262" max="8262" width="14" style="2" customWidth="1"/>
    <col min="8263" max="8263" width="8.140625" style="2" bestFit="1" customWidth="1"/>
    <col min="8264" max="8264" width="10.140625" style="2" bestFit="1" customWidth="1"/>
    <col min="8265" max="8265" width="10" style="2" bestFit="1" customWidth="1"/>
    <col min="8266" max="8266" width="24.5703125" style="2" customWidth="1"/>
    <col min="8267" max="8267" width="7.85546875" style="2" bestFit="1" customWidth="1"/>
    <col min="8268" max="8268" width="14.5703125" style="2" customWidth="1"/>
    <col min="8269" max="8269" width="7.28515625" style="2" bestFit="1" customWidth="1"/>
    <col min="8270" max="8270" width="10.140625" style="2" bestFit="1" customWidth="1"/>
    <col min="8271" max="8271" width="8.140625" style="2" bestFit="1" customWidth="1"/>
    <col min="8272" max="8272" width="37.140625" style="2" customWidth="1"/>
    <col min="8273" max="8273" width="38.140625" style="2" customWidth="1"/>
    <col min="8274" max="8448" width="9.140625" style="2"/>
    <col min="8449" max="8449" width="4.7109375" style="2" customWidth="1"/>
    <col min="8450" max="8450" width="11.42578125" style="2" customWidth="1"/>
    <col min="8451" max="8451" width="34.140625" style="2" customWidth="1"/>
    <col min="8452" max="8452" width="11.85546875" style="2" customWidth="1"/>
    <col min="8453" max="8453" width="24.42578125" style="2" customWidth="1"/>
    <col min="8454" max="8454" width="19" style="2" bestFit="1" customWidth="1"/>
    <col min="8455" max="8455" width="27.140625" style="2" customWidth="1"/>
    <col min="8456" max="8456" width="21.140625" style="2" bestFit="1" customWidth="1"/>
    <col min="8457" max="8457" width="35.7109375" style="2" bestFit="1" customWidth="1"/>
    <col min="8458" max="8458" width="20.140625" style="2" bestFit="1" customWidth="1"/>
    <col min="8459" max="8459" width="16.42578125" style="2" customWidth="1"/>
    <col min="8460" max="8460" width="24.140625" style="2" customWidth="1"/>
    <col min="8461" max="8461" width="18.140625" style="2" customWidth="1"/>
    <col min="8462" max="8462" width="19" style="2" customWidth="1"/>
    <col min="8463" max="8463" width="18.140625" style="2" customWidth="1"/>
    <col min="8464" max="8464" width="23.85546875" style="2" customWidth="1"/>
    <col min="8465" max="8465" width="16.5703125" style="2" customWidth="1"/>
    <col min="8466" max="8466" width="24" style="2" customWidth="1"/>
    <col min="8467" max="8467" width="26.28515625" style="2" customWidth="1"/>
    <col min="8468" max="8468" width="21.85546875" style="2" customWidth="1"/>
    <col min="8469" max="8469" width="16.140625" style="2" customWidth="1"/>
    <col min="8470" max="8470" width="26.140625" style="2" customWidth="1"/>
    <col min="8471" max="8471" width="22.85546875" style="2" customWidth="1"/>
    <col min="8472" max="8472" width="22.42578125" style="2" customWidth="1"/>
    <col min="8473" max="8473" width="15" style="2" customWidth="1"/>
    <col min="8474" max="8474" width="12.140625" style="2" customWidth="1"/>
    <col min="8475" max="8475" width="18.5703125" style="2" customWidth="1"/>
    <col min="8476" max="8476" width="28.5703125" style="2" customWidth="1"/>
    <col min="8477" max="8477" width="26.140625" style="2" customWidth="1"/>
    <col min="8478" max="8478" width="10.28515625" style="2" customWidth="1"/>
    <col min="8479" max="8479" width="60" style="2" bestFit="1" customWidth="1"/>
    <col min="8480" max="8480" width="33.5703125" style="2" customWidth="1"/>
    <col min="8481" max="8481" width="14.42578125" style="2" customWidth="1"/>
    <col min="8482" max="8482" width="36.42578125" style="2" customWidth="1"/>
    <col min="8483" max="8483" width="44.85546875" style="2" customWidth="1"/>
    <col min="8484" max="8484" width="37.42578125" style="2" customWidth="1"/>
    <col min="8485" max="8485" width="123.42578125" style="2" customWidth="1"/>
    <col min="8486" max="8486" width="34.7109375" style="2" customWidth="1"/>
    <col min="8487" max="8487" width="93.5703125" style="2" customWidth="1"/>
    <col min="8488" max="8488" width="16.42578125" style="2" customWidth="1"/>
    <col min="8489" max="8489" width="24.140625" style="2" customWidth="1"/>
    <col min="8490" max="8490" width="40.140625" style="2" customWidth="1"/>
    <col min="8491" max="8491" width="26.140625" style="2" customWidth="1"/>
    <col min="8492" max="8492" width="23.140625" style="2" customWidth="1"/>
    <col min="8493" max="8493" width="12.5703125" style="2" customWidth="1"/>
    <col min="8494" max="8494" width="24.85546875" style="2" customWidth="1"/>
    <col min="8495" max="8495" width="3.85546875" style="2" customWidth="1"/>
    <col min="8496" max="8496" width="34.85546875" style="2" customWidth="1"/>
    <col min="8497" max="8497" width="122.140625" style="2" customWidth="1"/>
    <col min="8498" max="8498" width="27.5703125" style="2" customWidth="1"/>
    <col min="8499" max="8499" width="32.140625" style="2" customWidth="1"/>
    <col min="8500" max="8500" width="28.85546875" style="2" customWidth="1"/>
    <col min="8501" max="8501" width="24.85546875" style="2" customWidth="1"/>
    <col min="8502" max="8502" width="35.140625" style="2" bestFit="1" customWidth="1"/>
    <col min="8503" max="8503" width="21.140625" style="2" customWidth="1"/>
    <col min="8504" max="8504" width="25" style="2" customWidth="1"/>
    <col min="8505" max="8505" width="10.140625" style="2" bestFit="1" customWidth="1"/>
    <col min="8506" max="8506" width="16.85546875" style="2" customWidth="1"/>
    <col min="8507" max="8507" width="8.85546875" style="2" customWidth="1"/>
    <col min="8508" max="8509" width="10.140625" style="2" bestFit="1" customWidth="1"/>
    <col min="8510" max="8510" width="45.140625" style="2" bestFit="1" customWidth="1"/>
    <col min="8511" max="8511" width="7.85546875" style="2" bestFit="1" customWidth="1"/>
    <col min="8512" max="8512" width="17" style="2" customWidth="1"/>
    <col min="8513" max="8513" width="8.140625" style="2" bestFit="1" customWidth="1"/>
    <col min="8514" max="8514" width="10.140625" style="2" bestFit="1" customWidth="1"/>
    <col min="8515" max="8515" width="8.140625" style="2" bestFit="1" customWidth="1"/>
    <col min="8516" max="8516" width="23.140625" style="2" customWidth="1"/>
    <col min="8517" max="8517" width="7.85546875" style="2" bestFit="1" customWidth="1"/>
    <col min="8518" max="8518" width="14" style="2" customWidth="1"/>
    <col min="8519" max="8519" width="8.140625" style="2" bestFit="1" customWidth="1"/>
    <col min="8520" max="8520" width="10.140625" style="2" bestFit="1" customWidth="1"/>
    <col min="8521" max="8521" width="10" style="2" bestFit="1" customWidth="1"/>
    <col min="8522" max="8522" width="24.5703125" style="2" customWidth="1"/>
    <col min="8523" max="8523" width="7.85546875" style="2" bestFit="1" customWidth="1"/>
    <col min="8524" max="8524" width="14.5703125" style="2" customWidth="1"/>
    <col min="8525" max="8525" width="7.28515625" style="2" bestFit="1" customWidth="1"/>
    <col min="8526" max="8526" width="10.140625" style="2" bestFit="1" customWidth="1"/>
    <col min="8527" max="8527" width="8.140625" style="2" bestFit="1" customWidth="1"/>
    <col min="8528" max="8528" width="37.140625" style="2" customWidth="1"/>
    <col min="8529" max="8529" width="38.140625" style="2" customWidth="1"/>
    <col min="8530" max="8704" width="9.140625" style="2"/>
    <col min="8705" max="8705" width="4.7109375" style="2" customWidth="1"/>
    <col min="8706" max="8706" width="11.42578125" style="2" customWidth="1"/>
    <col min="8707" max="8707" width="34.140625" style="2" customWidth="1"/>
    <col min="8708" max="8708" width="11.85546875" style="2" customWidth="1"/>
    <col min="8709" max="8709" width="24.42578125" style="2" customWidth="1"/>
    <col min="8710" max="8710" width="19" style="2" bestFit="1" customWidth="1"/>
    <col min="8711" max="8711" width="27.140625" style="2" customWidth="1"/>
    <col min="8712" max="8712" width="21.140625" style="2" bestFit="1" customWidth="1"/>
    <col min="8713" max="8713" width="35.7109375" style="2" bestFit="1" customWidth="1"/>
    <col min="8714" max="8714" width="20.140625" style="2" bestFit="1" customWidth="1"/>
    <col min="8715" max="8715" width="16.42578125" style="2" customWidth="1"/>
    <col min="8716" max="8716" width="24.140625" style="2" customWidth="1"/>
    <col min="8717" max="8717" width="18.140625" style="2" customWidth="1"/>
    <col min="8718" max="8718" width="19" style="2" customWidth="1"/>
    <col min="8719" max="8719" width="18.140625" style="2" customWidth="1"/>
    <col min="8720" max="8720" width="23.85546875" style="2" customWidth="1"/>
    <col min="8721" max="8721" width="16.5703125" style="2" customWidth="1"/>
    <col min="8722" max="8722" width="24" style="2" customWidth="1"/>
    <col min="8723" max="8723" width="26.28515625" style="2" customWidth="1"/>
    <col min="8724" max="8724" width="21.85546875" style="2" customWidth="1"/>
    <col min="8725" max="8725" width="16.140625" style="2" customWidth="1"/>
    <col min="8726" max="8726" width="26.140625" style="2" customWidth="1"/>
    <col min="8727" max="8727" width="22.85546875" style="2" customWidth="1"/>
    <col min="8728" max="8728" width="22.42578125" style="2" customWidth="1"/>
    <col min="8729" max="8729" width="15" style="2" customWidth="1"/>
    <col min="8730" max="8730" width="12.140625" style="2" customWidth="1"/>
    <col min="8731" max="8731" width="18.5703125" style="2" customWidth="1"/>
    <col min="8732" max="8732" width="28.5703125" style="2" customWidth="1"/>
    <col min="8733" max="8733" width="26.140625" style="2" customWidth="1"/>
    <col min="8734" max="8734" width="10.28515625" style="2" customWidth="1"/>
    <col min="8735" max="8735" width="60" style="2" bestFit="1" customWidth="1"/>
    <col min="8736" max="8736" width="33.5703125" style="2" customWidth="1"/>
    <col min="8737" max="8737" width="14.42578125" style="2" customWidth="1"/>
    <col min="8738" max="8738" width="36.42578125" style="2" customWidth="1"/>
    <col min="8739" max="8739" width="44.85546875" style="2" customWidth="1"/>
    <col min="8740" max="8740" width="37.42578125" style="2" customWidth="1"/>
    <col min="8741" max="8741" width="123.42578125" style="2" customWidth="1"/>
    <col min="8742" max="8742" width="34.7109375" style="2" customWidth="1"/>
    <col min="8743" max="8743" width="93.5703125" style="2" customWidth="1"/>
    <col min="8744" max="8744" width="16.42578125" style="2" customWidth="1"/>
    <col min="8745" max="8745" width="24.140625" style="2" customWidth="1"/>
    <col min="8746" max="8746" width="40.140625" style="2" customWidth="1"/>
    <col min="8747" max="8747" width="26.140625" style="2" customWidth="1"/>
    <col min="8748" max="8748" width="23.140625" style="2" customWidth="1"/>
    <col min="8749" max="8749" width="12.5703125" style="2" customWidth="1"/>
    <col min="8750" max="8750" width="24.85546875" style="2" customWidth="1"/>
    <col min="8751" max="8751" width="3.85546875" style="2" customWidth="1"/>
    <col min="8752" max="8752" width="34.85546875" style="2" customWidth="1"/>
    <col min="8753" max="8753" width="122.140625" style="2" customWidth="1"/>
    <col min="8754" max="8754" width="27.5703125" style="2" customWidth="1"/>
    <col min="8755" max="8755" width="32.140625" style="2" customWidth="1"/>
    <col min="8756" max="8756" width="28.85546875" style="2" customWidth="1"/>
    <col min="8757" max="8757" width="24.85546875" style="2" customWidth="1"/>
    <col min="8758" max="8758" width="35.140625" style="2" bestFit="1" customWidth="1"/>
    <col min="8759" max="8759" width="21.140625" style="2" customWidth="1"/>
    <col min="8760" max="8760" width="25" style="2" customWidth="1"/>
    <col min="8761" max="8761" width="10.140625" style="2" bestFit="1" customWidth="1"/>
    <col min="8762" max="8762" width="16.85546875" style="2" customWidth="1"/>
    <col min="8763" max="8763" width="8.85546875" style="2" customWidth="1"/>
    <col min="8764" max="8765" width="10.140625" style="2" bestFit="1" customWidth="1"/>
    <col min="8766" max="8766" width="45.140625" style="2" bestFit="1" customWidth="1"/>
    <col min="8767" max="8767" width="7.85546875" style="2" bestFit="1" customWidth="1"/>
    <col min="8768" max="8768" width="17" style="2" customWidth="1"/>
    <col min="8769" max="8769" width="8.140625" style="2" bestFit="1" customWidth="1"/>
    <col min="8770" max="8770" width="10.140625" style="2" bestFit="1" customWidth="1"/>
    <col min="8771" max="8771" width="8.140625" style="2" bestFit="1" customWidth="1"/>
    <col min="8772" max="8772" width="23.140625" style="2" customWidth="1"/>
    <col min="8773" max="8773" width="7.85546875" style="2" bestFit="1" customWidth="1"/>
    <col min="8774" max="8774" width="14" style="2" customWidth="1"/>
    <col min="8775" max="8775" width="8.140625" style="2" bestFit="1" customWidth="1"/>
    <col min="8776" max="8776" width="10.140625" style="2" bestFit="1" customWidth="1"/>
    <col min="8777" max="8777" width="10" style="2" bestFit="1" customWidth="1"/>
    <col min="8778" max="8778" width="24.5703125" style="2" customWidth="1"/>
    <col min="8779" max="8779" width="7.85546875" style="2" bestFit="1" customWidth="1"/>
    <col min="8780" max="8780" width="14.5703125" style="2" customWidth="1"/>
    <col min="8781" max="8781" width="7.28515625" style="2" bestFit="1" customWidth="1"/>
    <col min="8782" max="8782" width="10.140625" style="2" bestFit="1" customWidth="1"/>
    <col min="8783" max="8783" width="8.140625" style="2" bestFit="1" customWidth="1"/>
    <col min="8784" max="8784" width="37.140625" style="2" customWidth="1"/>
    <col min="8785" max="8785" width="38.140625" style="2" customWidth="1"/>
    <col min="8786" max="8960" width="9.140625" style="2"/>
    <col min="8961" max="8961" width="4.7109375" style="2" customWidth="1"/>
    <col min="8962" max="8962" width="11.42578125" style="2" customWidth="1"/>
    <col min="8963" max="8963" width="34.140625" style="2" customWidth="1"/>
    <col min="8964" max="8964" width="11.85546875" style="2" customWidth="1"/>
    <col min="8965" max="8965" width="24.42578125" style="2" customWidth="1"/>
    <col min="8966" max="8966" width="19" style="2" bestFit="1" customWidth="1"/>
    <col min="8967" max="8967" width="27.140625" style="2" customWidth="1"/>
    <col min="8968" max="8968" width="21.140625" style="2" bestFit="1" customWidth="1"/>
    <col min="8969" max="8969" width="35.7109375" style="2" bestFit="1" customWidth="1"/>
    <col min="8970" max="8970" width="20.140625" style="2" bestFit="1" customWidth="1"/>
    <col min="8971" max="8971" width="16.42578125" style="2" customWidth="1"/>
    <col min="8972" max="8972" width="24.140625" style="2" customWidth="1"/>
    <col min="8973" max="8973" width="18.140625" style="2" customWidth="1"/>
    <col min="8974" max="8974" width="19" style="2" customWidth="1"/>
    <col min="8975" max="8975" width="18.140625" style="2" customWidth="1"/>
    <col min="8976" max="8976" width="23.85546875" style="2" customWidth="1"/>
    <col min="8977" max="8977" width="16.5703125" style="2" customWidth="1"/>
    <col min="8978" max="8978" width="24" style="2" customWidth="1"/>
    <col min="8979" max="8979" width="26.28515625" style="2" customWidth="1"/>
    <col min="8980" max="8980" width="21.85546875" style="2" customWidth="1"/>
    <col min="8981" max="8981" width="16.140625" style="2" customWidth="1"/>
    <col min="8982" max="8982" width="26.140625" style="2" customWidth="1"/>
    <col min="8983" max="8983" width="22.85546875" style="2" customWidth="1"/>
    <col min="8984" max="8984" width="22.42578125" style="2" customWidth="1"/>
    <col min="8985" max="8985" width="15" style="2" customWidth="1"/>
    <col min="8986" max="8986" width="12.140625" style="2" customWidth="1"/>
    <col min="8987" max="8987" width="18.5703125" style="2" customWidth="1"/>
    <col min="8988" max="8988" width="28.5703125" style="2" customWidth="1"/>
    <col min="8989" max="8989" width="26.140625" style="2" customWidth="1"/>
    <col min="8990" max="8990" width="10.28515625" style="2" customWidth="1"/>
    <col min="8991" max="8991" width="60" style="2" bestFit="1" customWidth="1"/>
    <col min="8992" max="8992" width="33.5703125" style="2" customWidth="1"/>
    <col min="8993" max="8993" width="14.42578125" style="2" customWidth="1"/>
    <col min="8994" max="8994" width="36.42578125" style="2" customWidth="1"/>
    <col min="8995" max="8995" width="44.85546875" style="2" customWidth="1"/>
    <col min="8996" max="8996" width="37.42578125" style="2" customWidth="1"/>
    <col min="8997" max="8997" width="123.42578125" style="2" customWidth="1"/>
    <col min="8998" max="8998" width="34.7109375" style="2" customWidth="1"/>
    <col min="8999" max="8999" width="93.5703125" style="2" customWidth="1"/>
    <col min="9000" max="9000" width="16.42578125" style="2" customWidth="1"/>
    <col min="9001" max="9001" width="24.140625" style="2" customWidth="1"/>
    <col min="9002" max="9002" width="40.140625" style="2" customWidth="1"/>
    <col min="9003" max="9003" width="26.140625" style="2" customWidth="1"/>
    <col min="9004" max="9004" width="23.140625" style="2" customWidth="1"/>
    <col min="9005" max="9005" width="12.5703125" style="2" customWidth="1"/>
    <col min="9006" max="9006" width="24.85546875" style="2" customWidth="1"/>
    <col min="9007" max="9007" width="3.85546875" style="2" customWidth="1"/>
    <col min="9008" max="9008" width="34.85546875" style="2" customWidth="1"/>
    <col min="9009" max="9009" width="122.140625" style="2" customWidth="1"/>
    <col min="9010" max="9010" width="27.5703125" style="2" customWidth="1"/>
    <col min="9011" max="9011" width="32.140625" style="2" customWidth="1"/>
    <col min="9012" max="9012" width="28.85546875" style="2" customWidth="1"/>
    <col min="9013" max="9013" width="24.85546875" style="2" customWidth="1"/>
    <col min="9014" max="9014" width="35.140625" style="2" bestFit="1" customWidth="1"/>
    <col min="9015" max="9015" width="21.140625" style="2" customWidth="1"/>
    <col min="9016" max="9016" width="25" style="2" customWidth="1"/>
    <col min="9017" max="9017" width="10.140625" style="2" bestFit="1" customWidth="1"/>
    <col min="9018" max="9018" width="16.85546875" style="2" customWidth="1"/>
    <col min="9019" max="9019" width="8.85546875" style="2" customWidth="1"/>
    <col min="9020" max="9021" width="10.140625" style="2" bestFit="1" customWidth="1"/>
    <col min="9022" max="9022" width="45.140625" style="2" bestFit="1" customWidth="1"/>
    <col min="9023" max="9023" width="7.85546875" style="2" bestFit="1" customWidth="1"/>
    <col min="9024" max="9024" width="17" style="2" customWidth="1"/>
    <col min="9025" max="9025" width="8.140625" style="2" bestFit="1" customWidth="1"/>
    <col min="9026" max="9026" width="10.140625" style="2" bestFit="1" customWidth="1"/>
    <col min="9027" max="9027" width="8.140625" style="2" bestFit="1" customWidth="1"/>
    <col min="9028" max="9028" width="23.140625" style="2" customWidth="1"/>
    <col min="9029" max="9029" width="7.85546875" style="2" bestFit="1" customWidth="1"/>
    <col min="9030" max="9030" width="14" style="2" customWidth="1"/>
    <col min="9031" max="9031" width="8.140625" style="2" bestFit="1" customWidth="1"/>
    <col min="9032" max="9032" width="10.140625" style="2" bestFit="1" customWidth="1"/>
    <col min="9033" max="9033" width="10" style="2" bestFit="1" customWidth="1"/>
    <col min="9034" max="9034" width="24.5703125" style="2" customWidth="1"/>
    <col min="9035" max="9035" width="7.85546875" style="2" bestFit="1" customWidth="1"/>
    <col min="9036" max="9036" width="14.5703125" style="2" customWidth="1"/>
    <col min="9037" max="9037" width="7.28515625" style="2" bestFit="1" customWidth="1"/>
    <col min="9038" max="9038" width="10.140625" style="2" bestFit="1" customWidth="1"/>
    <col min="9039" max="9039" width="8.140625" style="2" bestFit="1" customWidth="1"/>
    <col min="9040" max="9040" width="37.140625" style="2" customWidth="1"/>
    <col min="9041" max="9041" width="38.140625" style="2" customWidth="1"/>
    <col min="9042" max="9216" width="9.140625" style="2"/>
    <col min="9217" max="9217" width="4.7109375" style="2" customWidth="1"/>
    <col min="9218" max="9218" width="11.42578125" style="2" customWidth="1"/>
    <col min="9219" max="9219" width="34.140625" style="2" customWidth="1"/>
    <col min="9220" max="9220" width="11.85546875" style="2" customWidth="1"/>
    <col min="9221" max="9221" width="24.42578125" style="2" customWidth="1"/>
    <col min="9222" max="9222" width="19" style="2" bestFit="1" customWidth="1"/>
    <col min="9223" max="9223" width="27.140625" style="2" customWidth="1"/>
    <col min="9224" max="9224" width="21.140625" style="2" bestFit="1" customWidth="1"/>
    <col min="9225" max="9225" width="35.7109375" style="2" bestFit="1" customWidth="1"/>
    <col min="9226" max="9226" width="20.140625" style="2" bestFit="1" customWidth="1"/>
    <col min="9227" max="9227" width="16.42578125" style="2" customWidth="1"/>
    <col min="9228" max="9228" width="24.140625" style="2" customWidth="1"/>
    <col min="9229" max="9229" width="18.140625" style="2" customWidth="1"/>
    <col min="9230" max="9230" width="19" style="2" customWidth="1"/>
    <col min="9231" max="9231" width="18.140625" style="2" customWidth="1"/>
    <col min="9232" max="9232" width="23.85546875" style="2" customWidth="1"/>
    <col min="9233" max="9233" width="16.5703125" style="2" customWidth="1"/>
    <col min="9234" max="9234" width="24" style="2" customWidth="1"/>
    <col min="9235" max="9235" width="26.28515625" style="2" customWidth="1"/>
    <col min="9236" max="9236" width="21.85546875" style="2" customWidth="1"/>
    <col min="9237" max="9237" width="16.140625" style="2" customWidth="1"/>
    <col min="9238" max="9238" width="26.140625" style="2" customWidth="1"/>
    <col min="9239" max="9239" width="22.85546875" style="2" customWidth="1"/>
    <col min="9240" max="9240" width="22.42578125" style="2" customWidth="1"/>
    <col min="9241" max="9241" width="15" style="2" customWidth="1"/>
    <col min="9242" max="9242" width="12.140625" style="2" customWidth="1"/>
    <col min="9243" max="9243" width="18.5703125" style="2" customWidth="1"/>
    <col min="9244" max="9244" width="28.5703125" style="2" customWidth="1"/>
    <col min="9245" max="9245" width="26.140625" style="2" customWidth="1"/>
    <col min="9246" max="9246" width="10.28515625" style="2" customWidth="1"/>
    <col min="9247" max="9247" width="60" style="2" bestFit="1" customWidth="1"/>
    <col min="9248" max="9248" width="33.5703125" style="2" customWidth="1"/>
    <col min="9249" max="9249" width="14.42578125" style="2" customWidth="1"/>
    <col min="9250" max="9250" width="36.42578125" style="2" customWidth="1"/>
    <col min="9251" max="9251" width="44.85546875" style="2" customWidth="1"/>
    <col min="9252" max="9252" width="37.42578125" style="2" customWidth="1"/>
    <col min="9253" max="9253" width="123.42578125" style="2" customWidth="1"/>
    <col min="9254" max="9254" width="34.7109375" style="2" customWidth="1"/>
    <col min="9255" max="9255" width="93.5703125" style="2" customWidth="1"/>
    <col min="9256" max="9256" width="16.42578125" style="2" customWidth="1"/>
    <col min="9257" max="9257" width="24.140625" style="2" customWidth="1"/>
    <col min="9258" max="9258" width="40.140625" style="2" customWidth="1"/>
    <col min="9259" max="9259" width="26.140625" style="2" customWidth="1"/>
    <col min="9260" max="9260" width="23.140625" style="2" customWidth="1"/>
    <col min="9261" max="9261" width="12.5703125" style="2" customWidth="1"/>
    <col min="9262" max="9262" width="24.85546875" style="2" customWidth="1"/>
    <col min="9263" max="9263" width="3.85546875" style="2" customWidth="1"/>
    <col min="9264" max="9264" width="34.85546875" style="2" customWidth="1"/>
    <col min="9265" max="9265" width="122.140625" style="2" customWidth="1"/>
    <col min="9266" max="9266" width="27.5703125" style="2" customWidth="1"/>
    <col min="9267" max="9267" width="32.140625" style="2" customWidth="1"/>
    <col min="9268" max="9268" width="28.85546875" style="2" customWidth="1"/>
    <col min="9269" max="9269" width="24.85546875" style="2" customWidth="1"/>
    <col min="9270" max="9270" width="35.140625" style="2" bestFit="1" customWidth="1"/>
    <col min="9271" max="9271" width="21.140625" style="2" customWidth="1"/>
    <col min="9272" max="9272" width="25" style="2" customWidth="1"/>
    <col min="9273" max="9273" width="10.140625" style="2" bestFit="1" customWidth="1"/>
    <col min="9274" max="9274" width="16.85546875" style="2" customWidth="1"/>
    <col min="9275" max="9275" width="8.85546875" style="2" customWidth="1"/>
    <col min="9276" max="9277" width="10.140625" style="2" bestFit="1" customWidth="1"/>
    <col min="9278" max="9278" width="45.140625" style="2" bestFit="1" customWidth="1"/>
    <col min="9279" max="9279" width="7.85546875" style="2" bestFit="1" customWidth="1"/>
    <col min="9280" max="9280" width="17" style="2" customWidth="1"/>
    <col min="9281" max="9281" width="8.140625" style="2" bestFit="1" customWidth="1"/>
    <col min="9282" max="9282" width="10.140625" style="2" bestFit="1" customWidth="1"/>
    <col min="9283" max="9283" width="8.140625" style="2" bestFit="1" customWidth="1"/>
    <col min="9284" max="9284" width="23.140625" style="2" customWidth="1"/>
    <col min="9285" max="9285" width="7.85546875" style="2" bestFit="1" customWidth="1"/>
    <col min="9286" max="9286" width="14" style="2" customWidth="1"/>
    <col min="9287" max="9287" width="8.140625" style="2" bestFit="1" customWidth="1"/>
    <col min="9288" max="9288" width="10.140625" style="2" bestFit="1" customWidth="1"/>
    <col min="9289" max="9289" width="10" style="2" bestFit="1" customWidth="1"/>
    <col min="9290" max="9290" width="24.5703125" style="2" customWidth="1"/>
    <col min="9291" max="9291" width="7.85546875" style="2" bestFit="1" customWidth="1"/>
    <col min="9292" max="9292" width="14.5703125" style="2" customWidth="1"/>
    <col min="9293" max="9293" width="7.28515625" style="2" bestFit="1" customWidth="1"/>
    <col min="9294" max="9294" width="10.140625" style="2" bestFit="1" customWidth="1"/>
    <col min="9295" max="9295" width="8.140625" style="2" bestFit="1" customWidth="1"/>
    <col min="9296" max="9296" width="37.140625" style="2" customWidth="1"/>
    <col min="9297" max="9297" width="38.140625" style="2" customWidth="1"/>
    <col min="9298" max="9472" width="9.140625" style="2"/>
    <col min="9473" max="9473" width="4.7109375" style="2" customWidth="1"/>
    <col min="9474" max="9474" width="11.42578125" style="2" customWidth="1"/>
    <col min="9475" max="9475" width="34.140625" style="2" customWidth="1"/>
    <col min="9476" max="9476" width="11.85546875" style="2" customWidth="1"/>
    <col min="9477" max="9477" width="24.42578125" style="2" customWidth="1"/>
    <col min="9478" max="9478" width="19" style="2" bestFit="1" customWidth="1"/>
    <col min="9479" max="9479" width="27.140625" style="2" customWidth="1"/>
    <col min="9480" max="9480" width="21.140625" style="2" bestFit="1" customWidth="1"/>
    <col min="9481" max="9481" width="35.7109375" style="2" bestFit="1" customWidth="1"/>
    <col min="9482" max="9482" width="20.140625" style="2" bestFit="1" customWidth="1"/>
    <col min="9483" max="9483" width="16.42578125" style="2" customWidth="1"/>
    <col min="9484" max="9484" width="24.140625" style="2" customWidth="1"/>
    <col min="9485" max="9485" width="18.140625" style="2" customWidth="1"/>
    <col min="9486" max="9486" width="19" style="2" customWidth="1"/>
    <col min="9487" max="9487" width="18.140625" style="2" customWidth="1"/>
    <col min="9488" max="9488" width="23.85546875" style="2" customWidth="1"/>
    <col min="9489" max="9489" width="16.5703125" style="2" customWidth="1"/>
    <col min="9490" max="9490" width="24" style="2" customWidth="1"/>
    <col min="9491" max="9491" width="26.28515625" style="2" customWidth="1"/>
    <col min="9492" max="9492" width="21.85546875" style="2" customWidth="1"/>
    <col min="9493" max="9493" width="16.140625" style="2" customWidth="1"/>
    <col min="9494" max="9494" width="26.140625" style="2" customWidth="1"/>
    <col min="9495" max="9495" width="22.85546875" style="2" customWidth="1"/>
    <col min="9496" max="9496" width="22.42578125" style="2" customWidth="1"/>
    <col min="9497" max="9497" width="15" style="2" customWidth="1"/>
    <col min="9498" max="9498" width="12.140625" style="2" customWidth="1"/>
    <col min="9499" max="9499" width="18.5703125" style="2" customWidth="1"/>
    <col min="9500" max="9500" width="28.5703125" style="2" customWidth="1"/>
    <col min="9501" max="9501" width="26.140625" style="2" customWidth="1"/>
    <col min="9502" max="9502" width="10.28515625" style="2" customWidth="1"/>
    <col min="9503" max="9503" width="60" style="2" bestFit="1" customWidth="1"/>
    <col min="9504" max="9504" width="33.5703125" style="2" customWidth="1"/>
    <col min="9505" max="9505" width="14.42578125" style="2" customWidth="1"/>
    <col min="9506" max="9506" width="36.42578125" style="2" customWidth="1"/>
    <col min="9507" max="9507" width="44.85546875" style="2" customWidth="1"/>
    <col min="9508" max="9508" width="37.42578125" style="2" customWidth="1"/>
    <col min="9509" max="9509" width="123.42578125" style="2" customWidth="1"/>
    <col min="9510" max="9510" width="34.7109375" style="2" customWidth="1"/>
    <col min="9511" max="9511" width="93.5703125" style="2" customWidth="1"/>
    <col min="9512" max="9512" width="16.42578125" style="2" customWidth="1"/>
    <col min="9513" max="9513" width="24.140625" style="2" customWidth="1"/>
    <col min="9514" max="9514" width="40.140625" style="2" customWidth="1"/>
    <col min="9515" max="9515" width="26.140625" style="2" customWidth="1"/>
    <col min="9516" max="9516" width="23.140625" style="2" customWidth="1"/>
    <col min="9517" max="9517" width="12.5703125" style="2" customWidth="1"/>
    <col min="9518" max="9518" width="24.85546875" style="2" customWidth="1"/>
    <col min="9519" max="9519" width="3.85546875" style="2" customWidth="1"/>
    <col min="9520" max="9520" width="34.85546875" style="2" customWidth="1"/>
    <col min="9521" max="9521" width="122.140625" style="2" customWidth="1"/>
    <col min="9522" max="9522" width="27.5703125" style="2" customWidth="1"/>
    <col min="9523" max="9523" width="32.140625" style="2" customWidth="1"/>
    <col min="9524" max="9524" width="28.85546875" style="2" customWidth="1"/>
    <col min="9525" max="9525" width="24.85546875" style="2" customWidth="1"/>
    <col min="9526" max="9526" width="35.140625" style="2" bestFit="1" customWidth="1"/>
    <col min="9527" max="9527" width="21.140625" style="2" customWidth="1"/>
    <col min="9528" max="9528" width="25" style="2" customWidth="1"/>
    <col min="9529" max="9529" width="10.140625" style="2" bestFit="1" customWidth="1"/>
    <col min="9530" max="9530" width="16.85546875" style="2" customWidth="1"/>
    <col min="9531" max="9531" width="8.85546875" style="2" customWidth="1"/>
    <col min="9532" max="9533" width="10.140625" style="2" bestFit="1" customWidth="1"/>
    <col min="9534" max="9534" width="45.140625" style="2" bestFit="1" customWidth="1"/>
    <col min="9535" max="9535" width="7.85546875" style="2" bestFit="1" customWidth="1"/>
    <col min="9536" max="9536" width="17" style="2" customWidth="1"/>
    <col min="9537" max="9537" width="8.140625" style="2" bestFit="1" customWidth="1"/>
    <col min="9538" max="9538" width="10.140625" style="2" bestFit="1" customWidth="1"/>
    <col min="9539" max="9539" width="8.140625" style="2" bestFit="1" customWidth="1"/>
    <col min="9540" max="9540" width="23.140625" style="2" customWidth="1"/>
    <col min="9541" max="9541" width="7.85546875" style="2" bestFit="1" customWidth="1"/>
    <col min="9542" max="9542" width="14" style="2" customWidth="1"/>
    <col min="9543" max="9543" width="8.140625" style="2" bestFit="1" customWidth="1"/>
    <col min="9544" max="9544" width="10.140625" style="2" bestFit="1" customWidth="1"/>
    <col min="9545" max="9545" width="10" style="2" bestFit="1" customWidth="1"/>
    <col min="9546" max="9546" width="24.5703125" style="2" customWidth="1"/>
    <col min="9547" max="9547" width="7.85546875" style="2" bestFit="1" customWidth="1"/>
    <col min="9548" max="9548" width="14.5703125" style="2" customWidth="1"/>
    <col min="9549" max="9549" width="7.28515625" style="2" bestFit="1" customWidth="1"/>
    <col min="9550" max="9550" width="10.140625" style="2" bestFit="1" customWidth="1"/>
    <col min="9551" max="9551" width="8.140625" style="2" bestFit="1" customWidth="1"/>
    <col min="9552" max="9552" width="37.140625" style="2" customWidth="1"/>
    <col min="9553" max="9553" width="38.140625" style="2" customWidth="1"/>
    <col min="9554" max="9728" width="9.140625" style="2"/>
    <col min="9729" max="9729" width="4.7109375" style="2" customWidth="1"/>
    <col min="9730" max="9730" width="11.42578125" style="2" customWidth="1"/>
    <col min="9731" max="9731" width="34.140625" style="2" customWidth="1"/>
    <col min="9732" max="9732" width="11.85546875" style="2" customWidth="1"/>
    <col min="9733" max="9733" width="24.42578125" style="2" customWidth="1"/>
    <col min="9734" max="9734" width="19" style="2" bestFit="1" customWidth="1"/>
    <col min="9735" max="9735" width="27.140625" style="2" customWidth="1"/>
    <col min="9736" max="9736" width="21.140625" style="2" bestFit="1" customWidth="1"/>
    <col min="9737" max="9737" width="35.7109375" style="2" bestFit="1" customWidth="1"/>
    <col min="9738" max="9738" width="20.140625" style="2" bestFit="1" customWidth="1"/>
    <col min="9739" max="9739" width="16.42578125" style="2" customWidth="1"/>
    <col min="9740" max="9740" width="24.140625" style="2" customWidth="1"/>
    <col min="9741" max="9741" width="18.140625" style="2" customWidth="1"/>
    <col min="9742" max="9742" width="19" style="2" customWidth="1"/>
    <col min="9743" max="9743" width="18.140625" style="2" customWidth="1"/>
    <col min="9744" max="9744" width="23.85546875" style="2" customWidth="1"/>
    <col min="9745" max="9745" width="16.5703125" style="2" customWidth="1"/>
    <col min="9746" max="9746" width="24" style="2" customWidth="1"/>
    <col min="9747" max="9747" width="26.28515625" style="2" customWidth="1"/>
    <col min="9748" max="9748" width="21.85546875" style="2" customWidth="1"/>
    <col min="9749" max="9749" width="16.140625" style="2" customWidth="1"/>
    <col min="9750" max="9750" width="26.140625" style="2" customWidth="1"/>
    <col min="9751" max="9751" width="22.85546875" style="2" customWidth="1"/>
    <col min="9752" max="9752" width="22.42578125" style="2" customWidth="1"/>
    <col min="9753" max="9753" width="15" style="2" customWidth="1"/>
    <col min="9754" max="9754" width="12.140625" style="2" customWidth="1"/>
    <col min="9755" max="9755" width="18.5703125" style="2" customWidth="1"/>
    <col min="9756" max="9756" width="28.5703125" style="2" customWidth="1"/>
    <col min="9757" max="9757" width="26.140625" style="2" customWidth="1"/>
    <col min="9758" max="9758" width="10.28515625" style="2" customWidth="1"/>
    <col min="9759" max="9759" width="60" style="2" bestFit="1" customWidth="1"/>
    <col min="9760" max="9760" width="33.5703125" style="2" customWidth="1"/>
    <col min="9761" max="9761" width="14.42578125" style="2" customWidth="1"/>
    <col min="9762" max="9762" width="36.42578125" style="2" customWidth="1"/>
    <col min="9763" max="9763" width="44.85546875" style="2" customWidth="1"/>
    <col min="9764" max="9764" width="37.42578125" style="2" customWidth="1"/>
    <col min="9765" max="9765" width="123.42578125" style="2" customWidth="1"/>
    <col min="9766" max="9766" width="34.7109375" style="2" customWidth="1"/>
    <col min="9767" max="9767" width="93.5703125" style="2" customWidth="1"/>
    <col min="9768" max="9768" width="16.42578125" style="2" customWidth="1"/>
    <col min="9769" max="9769" width="24.140625" style="2" customWidth="1"/>
    <col min="9770" max="9770" width="40.140625" style="2" customWidth="1"/>
    <col min="9771" max="9771" width="26.140625" style="2" customWidth="1"/>
    <col min="9772" max="9772" width="23.140625" style="2" customWidth="1"/>
    <col min="9773" max="9773" width="12.5703125" style="2" customWidth="1"/>
    <col min="9774" max="9774" width="24.85546875" style="2" customWidth="1"/>
    <col min="9775" max="9775" width="3.85546875" style="2" customWidth="1"/>
    <col min="9776" max="9776" width="34.85546875" style="2" customWidth="1"/>
    <col min="9777" max="9777" width="122.140625" style="2" customWidth="1"/>
    <col min="9778" max="9778" width="27.5703125" style="2" customWidth="1"/>
    <col min="9779" max="9779" width="32.140625" style="2" customWidth="1"/>
    <col min="9780" max="9780" width="28.85546875" style="2" customWidth="1"/>
    <col min="9781" max="9781" width="24.85546875" style="2" customWidth="1"/>
    <col min="9782" max="9782" width="35.140625" style="2" bestFit="1" customWidth="1"/>
    <col min="9783" max="9783" width="21.140625" style="2" customWidth="1"/>
    <col min="9784" max="9784" width="25" style="2" customWidth="1"/>
    <col min="9785" max="9785" width="10.140625" style="2" bestFit="1" customWidth="1"/>
    <col min="9786" max="9786" width="16.85546875" style="2" customWidth="1"/>
    <col min="9787" max="9787" width="8.85546875" style="2" customWidth="1"/>
    <col min="9788" max="9789" width="10.140625" style="2" bestFit="1" customWidth="1"/>
    <col min="9790" max="9790" width="45.140625" style="2" bestFit="1" customWidth="1"/>
    <col min="9791" max="9791" width="7.85546875" style="2" bestFit="1" customWidth="1"/>
    <col min="9792" max="9792" width="17" style="2" customWidth="1"/>
    <col min="9793" max="9793" width="8.140625" style="2" bestFit="1" customWidth="1"/>
    <col min="9794" max="9794" width="10.140625" style="2" bestFit="1" customWidth="1"/>
    <col min="9795" max="9795" width="8.140625" style="2" bestFit="1" customWidth="1"/>
    <col min="9796" max="9796" width="23.140625" style="2" customWidth="1"/>
    <col min="9797" max="9797" width="7.85546875" style="2" bestFit="1" customWidth="1"/>
    <col min="9798" max="9798" width="14" style="2" customWidth="1"/>
    <col min="9799" max="9799" width="8.140625" style="2" bestFit="1" customWidth="1"/>
    <col min="9800" max="9800" width="10.140625" style="2" bestFit="1" customWidth="1"/>
    <col min="9801" max="9801" width="10" style="2" bestFit="1" customWidth="1"/>
    <col min="9802" max="9802" width="24.5703125" style="2" customWidth="1"/>
    <col min="9803" max="9803" width="7.85546875" style="2" bestFit="1" customWidth="1"/>
    <col min="9804" max="9804" width="14.5703125" style="2" customWidth="1"/>
    <col min="9805" max="9805" width="7.28515625" style="2" bestFit="1" customWidth="1"/>
    <col min="9806" max="9806" width="10.140625" style="2" bestFit="1" customWidth="1"/>
    <col min="9807" max="9807" width="8.140625" style="2" bestFit="1" customWidth="1"/>
    <col min="9808" max="9808" width="37.140625" style="2" customWidth="1"/>
    <col min="9809" max="9809" width="38.140625" style="2" customWidth="1"/>
    <col min="9810" max="9984" width="9.140625" style="2"/>
    <col min="9985" max="9985" width="4.7109375" style="2" customWidth="1"/>
    <col min="9986" max="9986" width="11.42578125" style="2" customWidth="1"/>
    <col min="9987" max="9987" width="34.140625" style="2" customWidth="1"/>
    <col min="9988" max="9988" width="11.85546875" style="2" customWidth="1"/>
    <col min="9989" max="9989" width="24.42578125" style="2" customWidth="1"/>
    <col min="9990" max="9990" width="19" style="2" bestFit="1" customWidth="1"/>
    <col min="9991" max="9991" width="27.140625" style="2" customWidth="1"/>
    <col min="9992" max="9992" width="21.140625" style="2" bestFit="1" customWidth="1"/>
    <col min="9993" max="9993" width="35.7109375" style="2" bestFit="1" customWidth="1"/>
    <col min="9994" max="9994" width="20.140625" style="2" bestFit="1" customWidth="1"/>
    <col min="9995" max="9995" width="16.42578125" style="2" customWidth="1"/>
    <col min="9996" max="9996" width="24.140625" style="2" customWidth="1"/>
    <col min="9997" max="9997" width="18.140625" style="2" customWidth="1"/>
    <col min="9998" max="9998" width="19" style="2" customWidth="1"/>
    <col min="9999" max="9999" width="18.140625" style="2" customWidth="1"/>
    <col min="10000" max="10000" width="23.85546875" style="2" customWidth="1"/>
    <col min="10001" max="10001" width="16.5703125" style="2" customWidth="1"/>
    <col min="10002" max="10002" width="24" style="2" customWidth="1"/>
    <col min="10003" max="10003" width="26.28515625" style="2" customWidth="1"/>
    <col min="10004" max="10004" width="21.85546875" style="2" customWidth="1"/>
    <col min="10005" max="10005" width="16.140625" style="2" customWidth="1"/>
    <col min="10006" max="10006" width="26.140625" style="2" customWidth="1"/>
    <col min="10007" max="10007" width="22.85546875" style="2" customWidth="1"/>
    <col min="10008" max="10008" width="22.42578125" style="2" customWidth="1"/>
    <col min="10009" max="10009" width="15" style="2" customWidth="1"/>
    <col min="10010" max="10010" width="12.140625" style="2" customWidth="1"/>
    <col min="10011" max="10011" width="18.5703125" style="2" customWidth="1"/>
    <col min="10012" max="10012" width="28.5703125" style="2" customWidth="1"/>
    <col min="10013" max="10013" width="26.140625" style="2" customWidth="1"/>
    <col min="10014" max="10014" width="10.28515625" style="2" customWidth="1"/>
    <col min="10015" max="10015" width="60" style="2" bestFit="1" customWidth="1"/>
    <col min="10016" max="10016" width="33.5703125" style="2" customWidth="1"/>
    <col min="10017" max="10017" width="14.42578125" style="2" customWidth="1"/>
    <col min="10018" max="10018" width="36.42578125" style="2" customWidth="1"/>
    <col min="10019" max="10019" width="44.85546875" style="2" customWidth="1"/>
    <col min="10020" max="10020" width="37.42578125" style="2" customWidth="1"/>
    <col min="10021" max="10021" width="123.42578125" style="2" customWidth="1"/>
    <col min="10022" max="10022" width="34.7109375" style="2" customWidth="1"/>
    <col min="10023" max="10023" width="93.5703125" style="2" customWidth="1"/>
    <col min="10024" max="10024" width="16.42578125" style="2" customWidth="1"/>
    <col min="10025" max="10025" width="24.140625" style="2" customWidth="1"/>
    <col min="10026" max="10026" width="40.140625" style="2" customWidth="1"/>
    <col min="10027" max="10027" width="26.140625" style="2" customWidth="1"/>
    <col min="10028" max="10028" width="23.140625" style="2" customWidth="1"/>
    <col min="10029" max="10029" width="12.5703125" style="2" customWidth="1"/>
    <col min="10030" max="10030" width="24.85546875" style="2" customWidth="1"/>
    <col min="10031" max="10031" width="3.85546875" style="2" customWidth="1"/>
    <col min="10032" max="10032" width="34.85546875" style="2" customWidth="1"/>
    <col min="10033" max="10033" width="122.140625" style="2" customWidth="1"/>
    <col min="10034" max="10034" width="27.5703125" style="2" customWidth="1"/>
    <col min="10035" max="10035" width="32.140625" style="2" customWidth="1"/>
    <col min="10036" max="10036" width="28.85546875" style="2" customWidth="1"/>
    <col min="10037" max="10037" width="24.85546875" style="2" customWidth="1"/>
    <col min="10038" max="10038" width="35.140625" style="2" bestFit="1" customWidth="1"/>
    <col min="10039" max="10039" width="21.140625" style="2" customWidth="1"/>
    <col min="10040" max="10040" width="25" style="2" customWidth="1"/>
    <col min="10041" max="10041" width="10.140625" style="2" bestFit="1" customWidth="1"/>
    <col min="10042" max="10042" width="16.85546875" style="2" customWidth="1"/>
    <col min="10043" max="10043" width="8.85546875" style="2" customWidth="1"/>
    <col min="10044" max="10045" width="10.140625" style="2" bestFit="1" customWidth="1"/>
    <col min="10046" max="10046" width="45.140625" style="2" bestFit="1" customWidth="1"/>
    <col min="10047" max="10047" width="7.85546875" style="2" bestFit="1" customWidth="1"/>
    <col min="10048" max="10048" width="17" style="2" customWidth="1"/>
    <col min="10049" max="10049" width="8.140625" style="2" bestFit="1" customWidth="1"/>
    <col min="10050" max="10050" width="10.140625" style="2" bestFit="1" customWidth="1"/>
    <col min="10051" max="10051" width="8.140625" style="2" bestFit="1" customWidth="1"/>
    <col min="10052" max="10052" width="23.140625" style="2" customWidth="1"/>
    <col min="10053" max="10053" width="7.85546875" style="2" bestFit="1" customWidth="1"/>
    <col min="10054" max="10054" width="14" style="2" customWidth="1"/>
    <col min="10055" max="10055" width="8.140625" style="2" bestFit="1" customWidth="1"/>
    <col min="10056" max="10056" width="10.140625" style="2" bestFit="1" customWidth="1"/>
    <col min="10057" max="10057" width="10" style="2" bestFit="1" customWidth="1"/>
    <col min="10058" max="10058" width="24.5703125" style="2" customWidth="1"/>
    <col min="10059" max="10059" width="7.85546875" style="2" bestFit="1" customWidth="1"/>
    <col min="10060" max="10060" width="14.5703125" style="2" customWidth="1"/>
    <col min="10061" max="10061" width="7.28515625" style="2" bestFit="1" customWidth="1"/>
    <col min="10062" max="10062" width="10.140625" style="2" bestFit="1" customWidth="1"/>
    <col min="10063" max="10063" width="8.140625" style="2" bestFit="1" customWidth="1"/>
    <col min="10064" max="10064" width="37.140625" style="2" customWidth="1"/>
    <col min="10065" max="10065" width="38.140625" style="2" customWidth="1"/>
    <col min="10066" max="10240" width="9.140625" style="2"/>
    <col min="10241" max="10241" width="4.7109375" style="2" customWidth="1"/>
    <col min="10242" max="10242" width="11.42578125" style="2" customWidth="1"/>
    <col min="10243" max="10243" width="34.140625" style="2" customWidth="1"/>
    <col min="10244" max="10244" width="11.85546875" style="2" customWidth="1"/>
    <col min="10245" max="10245" width="24.42578125" style="2" customWidth="1"/>
    <col min="10246" max="10246" width="19" style="2" bestFit="1" customWidth="1"/>
    <col min="10247" max="10247" width="27.140625" style="2" customWidth="1"/>
    <col min="10248" max="10248" width="21.140625" style="2" bestFit="1" customWidth="1"/>
    <col min="10249" max="10249" width="35.7109375" style="2" bestFit="1" customWidth="1"/>
    <col min="10250" max="10250" width="20.140625" style="2" bestFit="1" customWidth="1"/>
    <col min="10251" max="10251" width="16.42578125" style="2" customWidth="1"/>
    <col min="10252" max="10252" width="24.140625" style="2" customWidth="1"/>
    <col min="10253" max="10253" width="18.140625" style="2" customWidth="1"/>
    <col min="10254" max="10254" width="19" style="2" customWidth="1"/>
    <col min="10255" max="10255" width="18.140625" style="2" customWidth="1"/>
    <col min="10256" max="10256" width="23.85546875" style="2" customWidth="1"/>
    <col min="10257" max="10257" width="16.5703125" style="2" customWidth="1"/>
    <col min="10258" max="10258" width="24" style="2" customWidth="1"/>
    <col min="10259" max="10259" width="26.28515625" style="2" customWidth="1"/>
    <col min="10260" max="10260" width="21.85546875" style="2" customWidth="1"/>
    <col min="10261" max="10261" width="16.140625" style="2" customWidth="1"/>
    <col min="10262" max="10262" width="26.140625" style="2" customWidth="1"/>
    <col min="10263" max="10263" width="22.85546875" style="2" customWidth="1"/>
    <col min="10264" max="10264" width="22.42578125" style="2" customWidth="1"/>
    <col min="10265" max="10265" width="15" style="2" customWidth="1"/>
    <col min="10266" max="10266" width="12.140625" style="2" customWidth="1"/>
    <col min="10267" max="10267" width="18.5703125" style="2" customWidth="1"/>
    <col min="10268" max="10268" width="28.5703125" style="2" customWidth="1"/>
    <col min="10269" max="10269" width="26.140625" style="2" customWidth="1"/>
    <col min="10270" max="10270" width="10.28515625" style="2" customWidth="1"/>
    <col min="10271" max="10271" width="60" style="2" bestFit="1" customWidth="1"/>
    <col min="10272" max="10272" width="33.5703125" style="2" customWidth="1"/>
    <col min="10273" max="10273" width="14.42578125" style="2" customWidth="1"/>
    <col min="10274" max="10274" width="36.42578125" style="2" customWidth="1"/>
    <col min="10275" max="10275" width="44.85546875" style="2" customWidth="1"/>
    <col min="10276" max="10276" width="37.42578125" style="2" customWidth="1"/>
    <col min="10277" max="10277" width="123.42578125" style="2" customWidth="1"/>
    <col min="10278" max="10278" width="34.7109375" style="2" customWidth="1"/>
    <col min="10279" max="10279" width="93.5703125" style="2" customWidth="1"/>
    <col min="10280" max="10280" width="16.42578125" style="2" customWidth="1"/>
    <col min="10281" max="10281" width="24.140625" style="2" customWidth="1"/>
    <col min="10282" max="10282" width="40.140625" style="2" customWidth="1"/>
    <col min="10283" max="10283" width="26.140625" style="2" customWidth="1"/>
    <col min="10284" max="10284" width="23.140625" style="2" customWidth="1"/>
    <col min="10285" max="10285" width="12.5703125" style="2" customWidth="1"/>
    <col min="10286" max="10286" width="24.85546875" style="2" customWidth="1"/>
    <col min="10287" max="10287" width="3.85546875" style="2" customWidth="1"/>
    <col min="10288" max="10288" width="34.85546875" style="2" customWidth="1"/>
    <col min="10289" max="10289" width="122.140625" style="2" customWidth="1"/>
    <col min="10290" max="10290" width="27.5703125" style="2" customWidth="1"/>
    <col min="10291" max="10291" width="32.140625" style="2" customWidth="1"/>
    <col min="10292" max="10292" width="28.85546875" style="2" customWidth="1"/>
    <col min="10293" max="10293" width="24.85546875" style="2" customWidth="1"/>
    <col min="10294" max="10294" width="35.140625" style="2" bestFit="1" customWidth="1"/>
    <col min="10295" max="10295" width="21.140625" style="2" customWidth="1"/>
    <col min="10296" max="10296" width="25" style="2" customWidth="1"/>
    <col min="10297" max="10297" width="10.140625" style="2" bestFit="1" customWidth="1"/>
    <col min="10298" max="10298" width="16.85546875" style="2" customWidth="1"/>
    <col min="10299" max="10299" width="8.85546875" style="2" customWidth="1"/>
    <col min="10300" max="10301" width="10.140625" style="2" bestFit="1" customWidth="1"/>
    <col min="10302" max="10302" width="45.140625" style="2" bestFit="1" customWidth="1"/>
    <col min="10303" max="10303" width="7.85546875" style="2" bestFit="1" customWidth="1"/>
    <col min="10304" max="10304" width="17" style="2" customWidth="1"/>
    <col min="10305" max="10305" width="8.140625" style="2" bestFit="1" customWidth="1"/>
    <col min="10306" max="10306" width="10.140625" style="2" bestFit="1" customWidth="1"/>
    <col min="10307" max="10307" width="8.140625" style="2" bestFit="1" customWidth="1"/>
    <col min="10308" max="10308" width="23.140625" style="2" customWidth="1"/>
    <col min="10309" max="10309" width="7.85546875" style="2" bestFit="1" customWidth="1"/>
    <col min="10310" max="10310" width="14" style="2" customWidth="1"/>
    <col min="10311" max="10311" width="8.140625" style="2" bestFit="1" customWidth="1"/>
    <col min="10312" max="10312" width="10.140625" style="2" bestFit="1" customWidth="1"/>
    <col min="10313" max="10313" width="10" style="2" bestFit="1" customWidth="1"/>
    <col min="10314" max="10314" width="24.5703125" style="2" customWidth="1"/>
    <col min="10315" max="10315" width="7.85546875" style="2" bestFit="1" customWidth="1"/>
    <col min="10316" max="10316" width="14.5703125" style="2" customWidth="1"/>
    <col min="10317" max="10317" width="7.28515625" style="2" bestFit="1" customWidth="1"/>
    <col min="10318" max="10318" width="10.140625" style="2" bestFit="1" customWidth="1"/>
    <col min="10319" max="10319" width="8.140625" style="2" bestFit="1" customWidth="1"/>
    <col min="10320" max="10320" width="37.140625" style="2" customWidth="1"/>
    <col min="10321" max="10321" width="38.140625" style="2" customWidth="1"/>
    <col min="10322" max="10496" width="9.140625" style="2"/>
    <col min="10497" max="10497" width="4.7109375" style="2" customWidth="1"/>
    <col min="10498" max="10498" width="11.42578125" style="2" customWidth="1"/>
    <col min="10499" max="10499" width="34.140625" style="2" customWidth="1"/>
    <col min="10500" max="10500" width="11.85546875" style="2" customWidth="1"/>
    <col min="10501" max="10501" width="24.42578125" style="2" customWidth="1"/>
    <col min="10502" max="10502" width="19" style="2" bestFit="1" customWidth="1"/>
    <col min="10503" max="10503" width="27.140625" style="2" customWidth="1"/>
    <col min="10504" max="10504" width="21.140625" style="2" bestFit="1" customWidth="1"/>
    <col min="10505" max="10505" width="35.7109375" style="2" bestFit="1" customWidth="1"/>
    <col min="10506" max="10506" width="20.140625" style="2" bestFit="1" customWidth="1"/>
    <col min="10507" max="10507" width="16.42578125" style="2" customWidth="1"/>
    <col min="10508" max="10508" width="24.140625" style="2" customWidth="1"/>
    <col min="10509" max="10509" width="18.140625" style="2" customWidth="1"/>
    <col min="10510" max="10510" width="19" style="2" customWidth="1"/>
    <col min="10511" max="10511" width="18.140625" style="2" customWidth="1"/>
    <col min="10512" max="10512" width="23.85546875" style="2" customWidth="1"/>
    <col min="10513" max="10513" width="16.5703125" style="2" customWidth="1"/>
    <col min="10514" max="10514" width="24" style="2" customWidth="1"/>
    <col min="10515" max="10515" width="26.28515625" style="2" customWidth="1"/>
    <col min="10516" max="10516" width="21.85546875" style="2" customWidth="1"/>
    <col min="10517" max="10517" width="16.140625" style="2" customWidth="1"/>
    <col min="10518" max="10518" width="26.140625" style="2" customWidth="1"/>
    <col min="10519" max="10519" width="22.85546875" style="2" customWidth="1"/>
    <col min="10520" max="10520" width="22.42578125" style="2" customWidth="1"/>
    <col min="10521" max="10521" width="15" style="2" customWidth="1"/>
    <col min="10522" max="10522" width="12.140625" style="2" customWidth="1"/>
    <col min="10523" max="10523" width="18.5703125" style="2" customWidth="1"/>
    <col min="10524" max="10524" width="28.5703125" style="2" customWidth="1"/>
    <col min="10525" max="10525" width="26.140625" style="2" customWidth="1"/>
    <col min="10526" max="10526" width="10.28515625" style="2" customWidth="1"/>
    <col min="10527" max="10527" width="60" style="2" bestFit="1" customWidth="1"/>
    <col min="10528" max="10528" width="33.5703125" style="2" customWidth="1"/>
    <col min="10529" max="10529" width="14.42578125" style="2" customWidth="1"/>
    <col min="10530" max="10530" width="36.42578125" style="2" customWidth="1"/>
    <col min="10531" max="10531" width="44.85546875" style="2" customWidth="1"/>
    <col min="10532" max="10532" width="37.42578125" style="2" customWidth="1"/>
    <col min="10533" max="10533" width="123.42578125" style="2" customWidth="1"/>
    <col min="10534" max="10534" width="34.7109375" style="2" customWidth="1"/>
    <col min="10535" max="10535" width="93.5703125" style="2" customWidth="1"/>
    <col min="10536" max="10536" width="16.42578125" style="2" customWidth="1"/>
    <col min="10537" max="10537" width="24.140625" style="2" customWidth="1"/>
    <col min="10538" max="10538" width="40.140625" style="2" customWidth="1"/>
    <col min="10539" max="10539" width="26.140625" style="2" customWidth="1"/>
    <col min="10540" max="10540" width="23.140625" style="2" customWidth="1"/>
    <col min="10541" max="10541" width="12.5703125" style="2" customWidth="1"/>
    <col min="10542" max="10542" width="24.85546875" style="2" customWidth="1"/>
    <col min="10543" max="10543" width="3.85546875" style="2" customWidth="1"/>
    <col min="10544" max="10544" width="34.85546875" style="2" customWidth="1"/>
    <col min="10545" max="10545" width="122.140625" style="2" customWidth="1"/>
    <col min="10546" max="10546" width="27.5703125" style="2" customWidth="1"/>
    <col min="10547" max="10547" width="32.140625" style="2" customWidth="1"/>
    <col min="10548" max="10548" width="28.85546875" style="2" customWidth="1"/>
    <col min="10549" max="10549" width="24.85546875" style="2" customWidth="1"/>
    <col min="10550" max="10550" width="35.140625" style="2" bestFit="1" customWidth="1"/>
    <col min="10551" max="10551" width="21.140625" style="2" customWidth="1"/>
    <col min="10552" max="10552" width="25" style="2" customWidth="1"/>
    <col min="10553" max="10553" width="10.140625" style="2" bestFit="1" customWidth="1"/>
    <col min="10554" max="10554" width="16.85546875" style="2" customWidth="1"/>
    <col min="10555" max="10555" width="8.85546875" style="2" customWidth="1"/>
    <col min="10556" max="10557" width="10.140625" style="2" bestFit="1" customWidth="1"/>
    <col min="10558" max="10558" width="45.140625" style="2" bestFit="1" customWidth="1"/>
    <col min="10559" max="10559" width="7.85546875" style="2" bestFit="1" customWidth="1"/>
    <col min="10560" max="10560" width="17" style="2" customWidth="1"/>
    <col min="10561" max="10561" width="8.140625" style="2" bestFit="1" customWidth="1"/>
    <col min="10562" max="10562" width="10.140625" style="2" bestFit="1" customWidth="1"/>
    <col min="10563" max="10563" width="8.140625" style="2" bestFit="1" customWidth="1"/>
    <col min="10564" max="10564" width="23.140625" style="2" customWidth="1"/>
    <col min="10565" max="10565" width="7.85546875" style="2" bestFit="1" customWidth="1"/>
    <col min="10566" max="10566" width="14" style="2" customWidth="1"/>
    <col min="10567" max="10567" width="8.140625" style="2" bestFit="1" customWidth="1"/>
    <col min="10568" max="10568" width="10.140625" style="2" bestFit="1" customWidth="1"/>
    <col min="10569" max="10569" width="10" style="2" bestFit="1" customWidth="1"/>
    <col min="10570" max="10570" width="24.5703125" style="2" customWidth="1"/>
    <col min="10571" max="10571" width="7.85546875" style="2" bestFit="1" customWidth="1"/>
    <col min="10572" max="10572" width="14.5703125" style="2" customWidth="1"/>
    <col min="10573" max="10573" width="7.28515625" style="2" bestFit="1" customWidth="1"/>
    <col min="10574" max="10574" width="10.140625" style="2" bestFit="1" customWidth="1"/>
    <col min="10575" max="10575" width="8.140625" style="2" bestFit="1" customWidth="1"/>
    <col min="10576" max="10576" width="37.140625" style="2" customWidth="1"/>
    <col min="10577" max="10577" width="38.140625" style="2" customWidth="1"/>
    <col min="10578" max="10752" width="9.140625" style="2"/>
    <col min="10753" max="10753" width="4.7109375" style="2" customWidth="1"/>
    <col min="10754" max="10754" width="11.42578125" style="2" customWidth="1"/>
    <col min="10755" max="10755" width="34.140625" style="2" customWidth="1"/>
    <col min="10756" max="10756" width="11.85546875" style="2" customWidth="1"/>
    <col min="10757" max="10757" width="24.42578125" style="2" customWidth="1"/>
    <col min="10758" max="10758" width="19" style="2" bestFit="1" customWidth="1"/>
    <col min="10759" max="10759" width="27.140625" style="2" customWidth="1"/>
    <col min="10760" max="10760" width="21.140625" style="2" bestFit="1" customWidth="1"/>
    <col min="10761" max="10761" width="35.7109375" style="2" bestFit="1" customWidth="1"/>
    <col min="10762" max="10762" width="20.140625" style="2" bestFit="1" customWidth="1"/>
    <col min="10763" max="10763" width="16.42578125" style="2" customWidth="1"/>
    <col min="10764" max="10764" width="24.140625" style="2" customWidth="1"/>
    <col min="10765" max="10765" width="18.140625" style="2" customWidth="1"/>
    <col min="10766" max="10766" width="19" style="2" customWidth="1"/>
    <col min="10767" max="10767" width="18.140625" style="2" customWidth="1"/>
    <col min="10768" max="10768" width="23.85546875" style="2" customWidth="1"/>
    <col min="10769" max="10769" width="16.5703125" style="2" customWidth="1"/>
    <col min="10770" max="10770" width="24" style="2" customWidth="1"/>
    <col min="10771" max="10771" width="26.28515625" style="2" customWidth="1"/>
    <col min="10772" max="10772" width="21.85546875" style="2" customWidth="1"/>
    <col min="10773" max="10773" width="16.140625" style="2" customWidth="1"/>
    <col min="10774" max="10774" width="26.140625" style="2" customWidth="1"/>
    <col min="10775" max="10775" width="22.85546875" style="2" customWidth="1"/>
    <col min="10776" max="10776" width="22.42578125" style="2" customWidth="1"/>
    <col min="10777" max="10777" width="15" style="2" customWidth="1"/>
    <col min="10778" max="10778" width="12.140625" style="2" customWidth="1"/>
    <col min="10779" max="10779" width="18.5703125" style="2" customWidth="1"/>
    <col min="10780" max="10780" width="28.5703125" style="2" customWidth="1"/>
    <col min="10781" max="10781" width="26.140625" style="2" customWidth="1"/>
    <col min="10782" max="10782" width="10.28515625" style="2" customWidth="1"/>
    <col min="10783" max="10783" width="60" style="2" bestFit="1" customWidth="1"/>
    <col min="10784" max="10784" width="33.5703125" style="2" customWidth="1"/>
    <col min="10785" max="10785" width="14.42578125" style="2" customWidth="1"/>
    <col min="10786" max="10786" width="36.42578125" style="2" customWidth="1"/>
    <col min="10787" max="10787" width="44.85546875" style="2" customWidth="1"/>
    <col min="10788" max="10788" width="37.42578125" style="2" customWidth="1"/>
    <col min="10789" max="10789" width="123.42578125" style="2" customWidth="1"/>
    <col min="10790" max="10790" width="34.7109375" style="2" customWidth="1"/>
    <col min="10791" max="10791" width="93.5703125" style="2" customWidth="1"/>
    <col min="10792" max="10792" width="16.42578125" style="2" customWidth="1"/>
    <col min="10793" max="10793" width="24.140625" style="2" customWidth="1"/>
    <col min="10794" max="10794" width="40.140625" style="2" customWidth="1"/>
    <col min="10795" max="10795" width="26.140625" style="2" customWidth="1"/>
    <col min="10796" max="10796" width="23.140625" style="2" customWidth="1"/>
    <col min="10797" max="10797" width="12.5703125" style="2" customWidth="1"/>
    <col min="10798" max="10798" width="24.85546875" style="2" customWidth="1"/>
    <col min="10799" max="10799" width="3.85546875" style="2" customWidth="1"/>
    <col min="10800" max="10800" width="34.85546875" style="2" customWidth="1"/>
    <col min="10801" max="10801" width="122.140625" style="2" customWidth="1"/>
    <col min="10802" max="10802" width="27.5703125" style="2" customWidth="1"/>
    <col min="10803" max="10803" width="32.140625" style="2" customWidth="1"/>
    <col min="10804" max="10804" width="28.85546875" style="2" customWidth="1"/>
    <col min="10805" max="10805" width="24.85546875" style="2" customWidth="1"/>
    <col min="10806" max="10806" width="35.140625" style="2" bestFit="1" customWidth="1"/>
    <col min="10807" max="10807" width="21.140625" style="2" customWidth="1"/>
    <col min="10808" max="10808" width="25" style="2" customWidth="1"/>
    <col min="10809" max="10809" width="10.140625" style="2" bestFit="1" customWidth="1"/>
    <col min="10810" max="10810" width="16.85546875" style="2" customWidth="1"/>
    <col min="10811" max="10811" width="8.85546875" style="2" customWidth="1"/>
    <col min="10812" max="10813" width="10.140625" style="2" bestFit="1" customWidth="1"/>
    <col min="10814" max="10814" width="45.140625" style="2" bestFit="1" customWidth="1"/>
    <col min="10815" max="10815" width="7.85546875" style="2" bestFit="1" customWidth="1"/>
    <col min="10816" max="10816" width="17" style="2" customWidth="1"/>
    <col min="10817" max="10817" width="8.140625" style="2" bestFit="1" customWidth="1"/>
    <col min="10818" max="10818" width="10.140625" style="2" bestFit="1" customWidth="1"/>
    <col min="10819" max="10819" width="8.140625" style="2" bestFit="1" customWidth="1"/>
    <col min="10820" max="10820" width="23.140625" style="2" customWidth="1"/>
    <col min="10821" max="10821" width="7.85546875" style="2" bestFit="1" customWidth="1"/>
    <col min="10822" max="10822" width="14" style="2" customWidth="1"/>
    <col min="10823" max="10823" width="8.140625" style="2" bestFit="1" customWidth="1"/>
    <col min="10824" max="10824" width="10.140625" style="2" bestFit="1" customWidth="1"/>
    <col min="10825" max="10825" width="10" style="2" bestFit="1" customWidth="1"/>
    <col min="10826" max="10826" width="24.5703125" style="2" customWidth="1"/>
    <col min="10827" max="10827" width="7.85546875" style="2" bestFit="1" customWidth="1"/>
    <col min="10828" max="10828" width="14.5703125" style="2" customWidth="1"/>
    <col min="10829" max="10829" width="7.28515625" style="2" bestFit="1" customWidth="1"/>
    <col min="10830" max="10830" width="10.140625" style="2" bestFit="1" customWidth="1"/>
    <col min="10831" max="10831" width="8.140625" style="2" bestFit="1" customWidth="1"/>
    <col min="10832" max="10832" width="37.140625" style="2" customWidth="1"/>
    <col min="10833" max="10833" width="38.140625" style="2" customWidth="1"/>
    <col min="10834" max="11008" width="9.140625" style="2"/>
    <col min="11009" max="11009" width="4.7109375" style="2" customWidth="1"/>
    <col min="11010" max="11010" width="11.42578125" style="2" customWidth="1"/>
    <col min="11011" max="11011" width="34.140625" style="2" customWidth="1"/>
    <col min="11012" max="11012" width="11.85546875" style="2" customWidth="1"/>
    <col min="11013" max="11013" width="24.42578125" style="2" customWidth="1"/>
    <col min="11014" max="11014" width="19" style="2" bestFit="1" customWidth="1"/>
    <col min="11015" max="11015" width="27.140625" style="2" customWidth="1"/>
    <col min="11016" max="11016" width="21.140625" style="2" bestFit="1" customWidth="1"/>
    <col min="11017" max="11017" width="35.7109375" style="2" bestFit="1" customWidth="1"/>
    <col min="11018" max="11018" width="20.140625" style="2" bestFit="1" customWidth="1"/>
    <col min="11019" max="11019" width="16.42578125" style="2" customWidth="1"/>
    <col min="11020" max="11020" width="24.140625" style="2" customWidth="1"/>
    <col min="11021" max="11021" width="18.140625" style="2" customWidth="1"/>
    <col min="11022" max="11022" width="19" style="2" customWidth="1"/>
    <col min="11023" max="11023" width="18.140625" style="2" customWidth="1"/>
    <col min="11024" max="11024" width="23.85546875" style="2" customWidth="1"/>
    <col min="11025" max="11025" width="16.5703125" style="2" customWidth="1"/>
    <col min="11026" max="11026" width="24" style="2" customWidth="1"/>
    <col min="11027" max="11027" width="26.28515625" style="2" customWidth="1"/>
    <col min="11028" max="11028" width="21.85546875" style="2" customWidth="1"/>
    <col min="11029" max="11029" width="16.140625" style="2" customWidth="1"/>
    <col min="11030" max="11030" width="26.140625" style="2" customWidth="1"/>
    <col min="11031" max="11031" width="22.85546875" style="2" customWidth="1"/>
    <col min="11032" max="11032" width="22.42578125" style="2" customWidth="1"/>
    <col min="11033" max="11033" width="15" style="2" customWidth="1"/>
    <col min="11034" max="11034" width="12.140625" style="2" customWidth="1"/>
    <col min="11035" max="11035" width="18.5703125" style="2" customWidth="1"/>
    <col min="11036" max="11036" width="28.5703125" style="2" customWidth="1"/>
    <col min="11037" max="11037" width="26.140625" style="2" customWidth="1"/>
    <col min="11038" max="11038" width="10.28515625" style="2" customWidth="1"/>
    <col min="11039" max="11039" width="60" style="2" bestFit="1" customWidth="1"/>
    <col min="11040" max="11040" width="33.5703125" style="2" customWidth="1"/>
    <col min="11041" max="11041" width="14.42578125" style="2" customWidth="1"/>
    <col min="11042" max="11042" width="36.42578125" style="2" customWidth="1"/>
    <col min="11043" max="11043" width="44.85546875" style="2" customWidth="1"/>
    <col min="11044" max="11044" width="37.42578125" style="2" customWidth="1"/>
    <col min="11045" max="11045" width="123.42578125" style="2" customWidth="1"/>
    <col min="11046" max="11046" width="34.7109375" style="2" customWidth="1"/>
    <col min="11047" max="11047" width="93.5703125" style="2" customWidth="1"/>
    <col min="11048" max="11048" width="16.42578125" style="2" customWidth="1"/>
    <col min="11049" max="11049" width="24.140625" style="2" customWidth="1"/>
    <col min="11050" max="11050" width="40.140625" style="2" customWidth="1"/>
    <col min="11051" max="11051" width="26.140625" style="2" customWidth="1"/>
    <col min="11052" max="11052" width="23.140625" style="2" customWidth="1"/>
    <col min="11053" max="11053" width="12.5703125" style="2" customWidth="1"/>
    <col min="11054" max="11054" width="24.85546875" style="2" customWidth="1"/>
    <col min="11055" max="11055" width="3.85546875" style="2" customWidth="1"/>
    <col min="11056" max="11056" width="34.85546875" style="2" customWidth="1"/>
    <col min="11057" max="11057" width="122.140625" style="2" customWidth="1"/>
    <col min="11058" max="11058" width="27.5703125" style="2" customWidth="1"/>
    <col min="11059" max="11059" width="32.140625" style="2" customWidth="1"/>
    <col min="11060" max="11060" width="28.85546875" style="2" customWidth="1"/>
    <col min="11061" max="11061" width="24.85546875" style="2" customWidth="1"/>
    <col min="11062" max="11062" width="35.140625" style="2" bestFit="1" customWidth="1"/>
    <col min="11063" max="11063" width="21.140625" style="2" customWidth="1"/>
    <col min="11064" max="11064" width="25" style="2" customWidth="1"/>
    <col min="11065" max="11065" width="10.140625" style="2" bestFit="1" customWidth="1"/>
    <col min="11066" max="11066" width="16.85546875" style="2" customWidth="1"/>
    <col min="11067" max="11067" width="8.85546875" style="2" customWidth="1"/>
    <col min="11068" max="11069" width="10.140625" style="2" bestFit="1" customWidth="1"/>
    <col min="11070" max="11070" width="45.140625" style="2" bestFit="1" customWidth="1"/>
    <col min="11071" max="11071" width="7.85546875" style="2" bestFit="1" customWidth="1"/>
    <col min="11072" max="11072" width="17" style="2" customWidth="1"/>
    <col min="11073" max="11073" width="8.140625" style="2" bestFit="1" customWidth="1"/>
    <col min="11074" max="11074" width="10.140625" style="2" bestFit="1" customWidth="1"/>
    <col min="11075" max="11075" width="8.140625" style="2" bestFit="1" customWidth="1"/>
    <col min="11076" max="11076" width="23.140625" style="2" customWidth="1"/>
    <col min="11077" max="11077" width="7.85546875" style="2" bestFit="1" customWidth="1"/>
    <col min="11078" max="11078" width="14" style="2" customWidth="1"/>
    <col min="11079" max="11079" width="8.140625" style="2" bestFit="1" customWidth="1"/>
    <col min="11080" max="11080" width="10.140625" style="2" bestFit="1" customWidth="1"/>
    <col min="11081" max="11081" width="10" style="2" bestFit="1" customWidth="1"/>
    <col min="11082" max="11082" width="24.5703125" style="2" customWidth="1"/>
    <col min="11083" max="11083" width="7.85546875" style="2" bestFit="1" customWidth="1"/>
    <col min="11084" max="11084" width="14.5703125" style="2" customWidth="1"/>
    <col min="11085" max="11085" width="7.28515625" style="2" bestFit="1" customWidth="1"/>
    <col min="11086" max="11086" width="10.140625" style="2" bestFit="1" customWidth="1"/>
    <col min="11087" max="11087" width="8.140625" style="2" bestFit="1" customWidth="1"/>
    <col min="11088" max="11088" width="37.140625" style="2" customWidth="1"/>
    <col min="11089" max="11089" width="38.140625" style="2" customWidth="1"/>
    <col min="11090" max="11264" width="9.140625" style="2"/>
    <col min="11265" max="11265" width="4.7109375" style="2" customWidth="1"/>
    <col min="11266" max="11266" width="11.42578125" style="2" customWidth="1"/>
    <col min="11267" max="11267" width="34.140625" style="2" customWidth="1"/>
    <col min="11268" max="11268" width="11.85546875" style="2" customWidth="1"/>
    <col min="11269" max="11269" width="24.42578125" style="2" customWidth="1"/>
    <col min="11270" max="11270" width="19" style="2" bestFit="1" customWidth="1"/>
    <col min="11271" max="11271" width="27.140625" style="2" customWidth="1"/>
    <col min="11272" max="11272" width="21.140625" style="2" bestFit="1" customWidth="1"/>
    <col min="11273" max="11273" width="35.7109375" style="2" bestFit="1" customWidth="1"/>
    <col min="11274" max="11274" width="20.140625" style="2" bestFit="1" customWidth="1"/>
    <col min="11275" max="11275" width="16.42578125" style="2" customWidth="1"/>
    <col min="11276" max="11276" width="24.140625" style="2" customWidth="1"/>
    <col min="11277" max="11277" width="18.140625" style="2" customWidth="1"/>
    <col min="11278" max="11278" width="19" style="2" customWidth="1"/>
    <col min="11279" max="11279" width="18.140625" style="2" customWidth="1"/>
    <col min="11280" max="11280" width="23.85546875" style="2" customWidth="1"/>
    <col min="11281" max="11281" width="16.5703125" style="2" customWidth="1"/>
    <col min="11282" max="11282" width="24" style="2" customWidth="1"/>
    <col min="11283" max="11283" width="26.28515625" style="2" customWidth="1"/>
    <col min="11284" max="11284" width="21.85546875" style="2" customWidth="1"/>
    <col min="11285" max="11285" width="16.140625" style="2" customWidth="1"/>
    <col min="11286" max="11286" width="26.140625" style="2" customWidth="1"/>
    <col min="11287" max="11287" width="22.85546875" style="2" customWidth="1"/>
    <col min="11288" max="11288" width="22.42578125" style="2" customWidth="1"/>
    <col min="11289" max="11289" width="15" style="2" customWidth="1"/>
    <col min="11290" max="11290" width="12.140625" style="2" customWidth="1"/>
    <col min="11291" max="11291" width="18.5703125" style="2" customWidth="1"/>
    <col min="11292" max="11292" width="28.5703125" style="2" customWidth="1"/>
    <col min="11293" max="11293" width="26.140625" style="2" customWidth="1"/>
    <col min="11294" max="11294" width="10.28515625" style="2" customWidth="1"/>
    <col min="11295" max="11295" width="60" style="2" bestFit="1" customWidth="1"/>
    <col min="11296" max="11296" width="33.5703125" style="2" customWidth="1"/>
    <col min="11297" max="11297" width="14.42578125" style="2" customWidth="1"/>
    <col min="11298" max="11298" width="36.42578125" style="2" customWidth="1"/>
    <col min="11299" max="11299" width="44.85546875" style="2" customWidth="1"/>
    <col min="11300" max="11300" width="37.42578125" style="2" customWidth="1"/>
    <col min="11301" max="11301" width="123.42578125" style="2" customWidth="1"/>
    <col min="11302" max="11302" width="34.7109375" style="2" customWidth="1"/>
    <col min="11303" max="11303" width="93.5703125" style="2" customWidth="1"/>
    <col min="11304" max="11304" width="16.42578125" style="2" customWidth="1"/>
    <col min="11305" max="11305" width="24.140625" style="2" customWidth="1"/>
    <col min="11306" max="11306" width="40.140625" style="2" customWidth="1"/>
    <col min="11307" max="11307" width="26.140625" style="2" customWidth="1"/>
    <col min="11308" max="11308" width="23.140625" style="2" customWidth="1"/>
    <col min="11309" max="11309" width="12.5703125" style="2" customWidth="1"/>
    <col min="11310" max="11310" width="24.85546875" style="2" customWidth="1"/>
    <col min="11311" max="11311" width="3.85546875" style="2" customWidth="1"/>
    <col min="11312" max="11312" width="34.85546875" style="2" customWidth="1"/>
    <col min="11313" max="11313" width="122.140625" style="2" customWidth="1"/>
    <col min="11314" max="11314" width="27.5703125" style="2" customWidth="1"/>
    <col min="11315" max="11315" width="32.140625" style="2" customWidth="1"/>
    <col min="11316" max="11316" width="28.85546875" style="2" customWidth="1"/>
    <col min="11317" max="11317" width="24.85546875" style="2" customWidth="1"/>
    <col min="11318" max="11318" width="35.140625" style="2" bestFit="1" customWidth="1"/>
    <col min="11319" max="11319" width="21.140625" style="2" customWidth="1"/>
    <col min="11320" max="11320" width="25" style="2" customWidth="1"/>
    <col min="11321" max="11321" width="10.140625" style="2" bestFit="1" customWidth="1"/>
    <col min="11322" max="11322" width="16.85546875" style="2" customWidth="1"/>
    <col min="11323" max="11323" width="8.85546875" style="2" customWidth="1"/>
    <col min="11324" max="11325" width="10.140625" style="2" bestFit="1" customWidth="1"/>
    <col min="11326" max="11326" width="45.140625" style="2" bestFit="1" customWidth="1"/>
    <col min="11327" max="11327" width="7.85546875" style="2" bestFit="1" customWidth="1"/>
    <col min="11328" max="11328" width="17" style="2" customWidth="1"/>
    <col min="11329" max="11329" width="8.140625" style="2" bestFit="1" customWidth="1"/>
    <col min="11330" max="11330" width="10.140625" style="2" bestFit="1" customWidth="1"/>
    <col min="11331" max="11331" width="8.140625" style="2" bestFit="1" customWidth="1"/>
    <col min="11332" max="11332" width="23.140625" style="2" customWidth="1"/>
    <col min="11333" max="11333" width="7.85546875" style="2" bestFit="1" customWidth="1"/>
    <col min="11334" max="11334" width="14" style="2" customWidth="1"/>
    <col min="11335" max="11335" width="8.140625" style="2" bestFit="1" customWidth="1"/>
    <col min="11336" max="11336" width="10.140625" style="2" bestFit="1" customWidth="1"/>
    <col min="11337" max="11337" width="10" style="2" bestFit="1" customWidth="1"/>
    <col min="11338" max="11338" width="24.5703125" style="2" customWidth="1"/>
    <col min="11339" max="11339" width="7.85546875" style="2" bestFit="1" customWidth="1"/>
    <col min="11340" max="11340" width="14.5703125" style="2" customWidth="1"/>
    <col min="11341" max="11341" width="7.28515625" style="2" bestFit="1" customWidth="1"/>
    <col min="11342" max="11342" width="10.140625" style="2" bestFit="1" customWidth="1"/>
    <col min="11343" max="11343" width="8.140625" style="2" bestFit="1" customWidth="1"/>
    <col min="11344" max="11344" width="37.140625" style="2" customWidth="1"/>
    <col min="11345" max="11345" width="38.140625" style="2" customWidth="1"/>
    <col min="11346" max="11520" width="9.140625" style="2"/>
    <col min="11521" max="11521" width="4.7109375" style="2" customWidth="1"/>
    <col min="11522" max="11522" width="11.42578125" style="2" customWidth="1"/>
    <col min="11523" max="11523" width="34.140625" style="2" customWidth="1"/>
    <col min="11524" max="11524" width="11.85546875" style="2" customWidth="1"/>
    <col min="11525" max="11525" width="24.42578125" style="2" customWidth="1"/>
    <col min="11526" max="11526" width="19" style="2" bestFit="1" customWidth="1"/>
    <col min="11527" max="11527" width="27.140625" style="2" customWidth="1"/>
    <col min="11528" max="11528" width="21.140625" style="2" bestFit="1" customWidth="1"/>
    <col min="11529" max="11529" width="35.7109375" style="2" bestFit="1" customWidth="1"/>
    <col min="11530" max="11530" width="20.140625" style="2" bestFit="1" customWidth="1"/>
    <col min="11531" max="11531" width="16.42578125" style="2" customWidth="1"/>
    <col min="11532" max="11532" width="24.140625" style="2" customWidth="1"/>
    <col min="11533" max="11533" width="18.140625" style="2" customWidth="1"/>
    <col min="11534" max="11534" width="19" style="2" customWidth="1"/>
    <col min="11535" max="11535" width="18.140625" style="2" customWidth="1"/>
    <col min="11536" max="11536" width="23.85546875" style="2" customWidth="1"/>
    <col min="11537" max="11537" width="16.5703125" style="2" customWidth="1"/>
    <col min="11538" max="11538" width="24" style="2" customWidth="1"/>
    <col min="11539" max="11539" width="26.28515625" style="2" customWidth="1"/>
    <col min="11540" max="11540" width="21.85546875" style="2" customWidth="1"/>
    <col min="11541" max="11541" width="16.140625" style="2" customWidth="1"/>
    <col min="11542" max="11542" width="26.140625" style="2" customWidth="1"/>
    <col min="11543" max="11543" width="22.85546875" style="2" customWidth="1"/>
    <col min="11544" max="11544" width="22.42578125" style="2" customWidth="1"/>
    <col min="11545" max="11545" width="15" style="2" customWidth="1"/>
    <col min="11546" max="11546" width="12.140625" style="2" customWidth="1"/>
    <col min="11547" max="11547" width="18.5703125" style="2" customWidth="1"/>
    <col min="11548" max="11548" width="28.5703125" style="2" customWidth="1"/>
    <col min="11549" max="11549" width="26.140625" style="2" customWidth="1"/>
    <col min="11550" max="11550" width="10.28515625" style="2" customWidth="1"/>
    <col min="11551" max="11551" width="60" style="2" bestFit="1" customWidth="1"/>
    <col min="11552" max="11552" width="33.5703125" style="2" customWidth="1"/>
    <col min="11553" max="11553" width="14.42578125" style="2" customWidth="1"/>
    <col min="11554" max="11554" width="36.42578125" style="2" customWidth="1"/>
    <col min="11555" max="11555" width="44.85546875" style="2" customWidth="1"/>
    <col min="11556" max="11556" width="37.42578125" style="2" customWidth="1"/>
    <col min="11557" max="11557" width="123.42578125" style="2" customWidth="1"/>
    <col min="11558" max="11558" width="34.7109375" style="2" customWidth="1"/>
    <col min="11559" max="11559" width="93.5703125" style="2" customWidth="1"/>
    <col min="11560" max="11560" width="16.42578125" style="2" customWidth="1"/>
    <col min="11561" max="11561" width="24.140625" style="2" customWidth="1"/>
    <col min="11562" max="11562" width="40.140625" style="2" customWidth="1"/>
    <col min="11563" max="11563" width="26.140625" style="2" customWidth="1"/>
    <col min="11564" max="11564" width="23.140625" style="2" customWidth="1"/>
    <col min="11565" max="11565" width="12.5703125" style="2" customWidth="1"/>
    <col min="11566" max="11566" width="24.85546875" style="2" customWidth="1"/>
    <col min="11567" max="11567" width="3.85546875" style="2" customWidth="1"/>
    <col min="11568" max="11568" width="34.85546875" style="2" customWidth="1"/>
    <col min="11569" max="11569" width="122.140625" style="2" customWidth="1"/>
    <col min="11570" max="11570" width="27.5703125" style="2" customWidth="1"/>
    <col min="11571" max="11571" width="32.140625" style="2" customWidth="1"/>
    <col min="11572" max="11572" width="28.85546875" style="2" customWidth="1"/>
    <col min="11573" max="11573" width="24.85546875" style="2" customWidth="1"/>
    <col min="11574" max="11574" width="35.140625" style="2" bestFit="1" customWidth="1"/>
    <col min="11575" max="11575" width="21.140625" style="2" customWidth="1"/>
    <col min="11576" max="11576" width="25" style="2" customWidth="1"/>
    <col min="11577" max="11577" width="10.140625" style="2" bestFit="1" customWidth="1"/>
    <col min="11578" max="11578" width="16.85546875" style="2" customWidth="1"/>
    <col min="11579" max="11579" width="8.85546875" style="2" customWidth="1"/>
    <col min="11580" max="11581" width="10.140625" style="2" bestFit="1" customWidth="1"/>
    <col min="11582" max="11582" width="45.140625" style="2" bestFit="1" customWidth="1"/>
    <col min="11583" max="11583" width="7.85546875" style="2" bestFit="1" customWidth="1"/>
    <col min="11584" max="11584" width="17" style="2" customWidth="1"/>
    <col min="11585" max="11585" width="8.140625" style="2" bestFit="1" customWidth="1"/>
    <col min="11586" max="11586" width="10.140625" style="2" bestFit="1" customWidth="1"/>
    <col min="11587" max="11587" width="8.140625" style="2" bestFit="1" customWidth="1"/>
    <col min="11588" max="11588" width="23.140625" style="2" customWidth="1"/>
    <col min="11589" max="11589" width="7.85546875" style="2" bestFit="1" customWidth="1"/>
    <col min="11590" max="11590" width="14" style="2" customWidth="1"/>
    <col min="11591" max="11591" width="8.140625" style="2" bestFit="1" customWidth="1"/>
    <col min="11592" max="11592" width="10.140625" style="2" bestFit="1" customWidth="1"/>
    <col min="11593" max="11593" width="10" style="2" bestFit="1" customWidth="1"/>
    <col min="11594" max="11594" width="24.5703125" style="2" customWidth="1"/>
    <col min="11595" max="11595" width="7.85546875" style="2" bestFit="1" customWidth="1"/>
    <col min="11596" max="11596" width="14.5703125" style="2" customWidth="1"/>
    <col min="11597" max="11597" width="7.28515625" style="2" bestFit="1" customWidth="1"/>
    <col min="11598" max="11598" width="10.140625" style="2" bestFit="1" customWidth="1"/>
    <col min="11599" max="11599" width="8.140625" style="2" bestFit="1" customWidth="1"/>
    <col min="11600" max="11600" width="37.140625" style="2" customWidth="1"/>
    <col min="11601" max="11601" width="38.140625" style="2" customWidth="1"/>
    <col min="11602" max="11776" width="9.140625" style="2"/>
    <col min="11777" max="11777" width="4.7109375" style="2" customWidth="1"/>
    <col min="11778" max="11778" width="11.42578125" style="2" customWidth="1"/>
    <col min="11779" max="11779" width="34.140625" style="2" customWidth="1"/>
    <col min="11780" max="11780" width="11.85546875" style="2" customWidth="1"/>
    <col min="11781" max="11781" width="24.42578125" style="2" customWidth="1"/>
    <col min="11782" max="11782" width="19" style="2" bestFit="1" customWidth="1"/>
    <col min="11783" max="11783" width="27.140625" style="2" customWidth="1"/>
    <col min="11784" max="11784" width="21.140625" style="2" bestFit="1" customWidth="1"/>
    <col min="11785" max="11785" width="35.7109375" style="2" bestFit="1" customWidth="1"/>
    <col min="11786" max="11786" width="20.140625" style="2" bestFit="1" customWidth="1"/>
    <col min="11787" max="11787" width="16.42578125" style="2" customWidth="1"/>
    <col min="11788" max="11788" width="24.140625" style="2" customWidth="1"/>
    <col min="11789" max="11789" width="18.140625" style="2" customWidth="1"/>
    <col min="11790" max="11790" width="19" style="2" customWidth="1"/>
    <col min="11791" max="11791" width="18.140625" style="2" customWidth="1"/>
    <col min="11792" max="11792" width="23.85546875" style="2" customWidth="1"/>
    <col min="11793" max="11793" width="16.5703125" style="2" customWidth="1"/>
    <col min="11794" max="11794" width="24" style="2" customWidth="1"/>
    <col min="11795" max="11795" width="26.28515625" style="2" customWidth="1"/>
    <col min="11796" max="11796" width="21.85546875" style="2" customWidth="1"/>
    <col min="11797" max="11797" width="16.140625" style="2" customWidth="1"/>
    <col min="11798" max="11798" width="26.140625" style="2" customWidth="1"/>
    <col min="11799" max="11799" width="22.85546875" style="2" customWidth="1"/>
    <col min="11800" max="11800" width="22.42578125" style="2" customWidth="1"/>
    <col min="11801" max="11801" width="15" style="2" customWidth="1"/>
    <col min="11802" max="11802" width="12.140625" style="2" customWidth="1"/>
    <col min="11803" max="11803" width="18.5703125" style="2" customWidth="1"/>
    <col min="11804" max="11804" width="28.5703125" style="2" customWidth="1"/>
    <col min="11805" max="11805" width="26.140625" style="2" customWidth="1"/>
    <col min="11806" max="11806" width="10.28515625" style="2" customWidth="1"/>
    <col min="11807" max="11807" width="60" style="2" bestFit="1" customWidth="1"/>
    <col min="11808" max="11808" width="33.5703125" style="2" customWidth="1"/>
    <col min="11809" max="11809" width="14.42578125" style="2" customWidth="1"/>
    <col min="11810" max="11810" width="36.42578125" style="2" customWidth="1"/>
    <col min="11811" max="11811" width="44.85546875" style="2" customWidth="1"/>
    <col min="11812" max="11812" width="37.42578125" style="2" customWidth="1"/>
    <col min="11813" max="11813" width="123.42578125" style="2" customWidth="1"/>
    <col min="11814" max="11814" width="34.7109375" style="2" customWidth="1"/>
    <col min="11815" max="11815" width="93.5703125" style="2" customWidth="1"/>
    <col min="11816" max="11816" width="16.42578125" style="2" customWidth="1"/>
    <col min="11817" max="11817" width="24.140625" style="2" customWidth="1"/>
    <col min="11818" max="11818" width="40.140625" style="2" customWidth="1"/>
    <col min="11819" max="11819" width="26.140625" style="2" customWidth="1"/>
    <col min="11820" max="11820" width="23.140625" style="2" customWidth="1"/>
    <col min="11821" max="11821" width="12.5703125" style="2" customWidth="1"/>
    <col min="11822" max="11822" width="24.85546875" style="2" customWidth="1"/>
    <col min="11823" max="11823" width="3.85546875" style="2" customWidth="1"/>
    <col min="11824" max="11824" width="34.85546875" style="2" customWidth="1"/>
    <col min="11825" max="11825" width="122.140625" style="2" customWidth="1"/>
    <col min="11826" max="11826" width="27.5703125" style="2" customWidth="1"/>
    <col min="11827" max="11827" width="32.140625" style="2" customWidth="1"/>
    <col min="11828" max="11828" width="28.85546875" style="2" customWidth="1"/>
    <col min="11829" max="11829" width="24.85546875" style="2" customWidth="1"/>
    <col min="11830" max="11830" width="35.140625" style="2" bestFit="1" customWidth="1"/>
    <col min="11831" max="11831" width="21.140625" style="2" customWidth="1"/>
    <col min="11832" max="11832" width="25" style="2" customWidth="1"/>
    <col min="11833" max="11833" width="10.140625" style="2" bestFit="1" customWidth="1"/>
    <col min="11834" max="11834" width="16.85546875" style="2" customWidth="1"/>
    <col min="11835" max="11835" width="8.85546875" style="2" customWidth="1"/>
    <col min="11836" max="11837" width="10.140625" style="2" bestFit="1" customWidth="1"/>
    <col min="11838" max="11838" width="45.140625" style="2" bestFit="1" customWidth="1"/>
    <col min="11839" max="11839" width="7.85546875" style="2" bestFit="1" customWidth="1"/>
    <col min="11840" max="11840" width="17" style="2" customWidth="1"/>
    <col min="11841" max="11841" width="8.140625" style="2" bestFit="1" customWidth="1"/>
    <col min="11842" max="11842" width="10.140625" style="2" bestFit="1" customWidth="1"/>
    <col min="11843" max="11843" width="8.140625" style="2" bestFit="1" customWidth="1"/>
    <col min="11844" max="11844" width="23.140625" style="2" customWidth="1"/>
    <col min="11845" max="11845" width="7.85546875" style="2" bestFit="1" customWidth="1"/>
    <col min="11846" max="11846" width="14" style="2" customWidth="1"/>
    <col min="11847" max="11847" width="8.140625" style="2" bestFit="1" customWidth="1"/>
    <col min="11848" max="11848" width="10.140625" style="2" bestFit="1" customWidth="1"/>
    <col min="11849" max="11849" width="10" style="2" bestFit="1" customWidth="1"/>
    <col min="11850" max="11850" width="24.5703125" style="2" customWidth="1"/>
    <col min="11851" max="11851" width="7.85546875" style="2" bestFit="1" customWidth="1"/>
    <col min="11852" max="11852" width="14.5703125" style="2" customWidth="1"/>
    <col min="11853" max="11853" width="7.28515625" style="2" bestFit="1" customWidth="1"/>
    <col min="11854" max="11854" width="10.140625" style="2" bestFit="1" customWidth="1"/>
    <col min="11855" max="11855" width="8.140625" style="2" bestFit="1" customWidth="1"/>
    <col min="11856" max="11856" width="37.140625" style="2" customWidth="1"/>
    <col min="11857" max="11857" width="38.140625" style="2" customWidth="1"/>
    <col min="11858" max="12032" width="9.140625" style="2"/>
    <col min="12033" max="12033" width="4.7109375" style="2" customWidth="1"/>
    <col min="12034" max="12034" width="11.42578125" style="2" customWidth="1"/>
    <col min="12035" max="12035" width="34.140625" style="2" customWidth="1"/>
    <col min="12036" max="12036" width="11.85546875" style="2" customWidth="1"/>
    <col min="12037" max="12037" width="24.42578125" style="2" customWidth="1"/>
    <col min="12038" max="12038" width="19" style="2" bestFit="1" customWidth="1"/>
    <col min="12039" max="12039" width="27.140625" style="2" customWidth="1"/>
    <col min="12040" max="12040" width="21.140625" style="2" bestFit="1" customWidth="1"/>
    <col min="12041" max="12041" width="35.7109375" style="2" bestFit="1" customWidth="1"/>
    <col min="12042" max="12042" width="20.140625" style="2" bestFit="1" customWidth="1"/>
    <col min="12043" max="12043" width="16.42578125" style="2" customWidth="1"/>
    <col min="12044" max="12044" width="24.140625" style="2" customWidth="1"/>
    <col min="12045" max="12045" width="18.140625" style="2" customWidth="1"/>
    <col min="12046" max="12046" width="19" style="2" customWidth="1"/>
    <col min="12047" max="12047" width="18.140625" style="2" customWidth="1"/>
    <col min="12048" max="12048" width="23.85546875" style="2" customWidth="1"/>
    <col min="12049" max="12049" width="16.5703125" style="2" customWidth="1"/>
    <col min="12050" max="12050" width="24" style="2" customWidth="1"/>
    <col min="12051" max="12051" width="26.28515625" style="2" customWidth="1"/>
    <col min="12052" max="12052" width="21.85546875" style="2" customWidth="1"/>
    <col min="12053" max="12053" width="16.140625" style="2" customWidth="1"/>
    <col min="12054" max="12054" width="26.140625" style="2" customWidth="1"/>
    <col min="12055" max="12055" width="22.85546875" style="2" customWidth="1"/>
    <col min="12056" max="12056" width="22.42578125" style="2" customWidth="1"/>
    <col min="12057" max="12057" width="15" style="2" customWidth="1"/>
    <col min="12058" max="12058" width="12.140625" style="2" customWidth="1"/>
    <col min="12059" max="12059" width="18.5703125" style="2" customWidth="1"/>
    <col min="12060" max="12060" width="28.5703125" style="2" customWidth="1"/>
    <col min="12061" max="12061" width="26.140625" style="2" customWidth="1"/>
    <col min="12062" max="12062" width="10.28515625" style="2" customWidth="1"/>
    <col min="12063" max="12063" width="60" style="2" bestFit="1" customWidth="1"/>
    <col min="12064" max="12064" width="33.5703125" style="2" customWidth="1"/>
    <col min="12065" max="12065" width="14.42578125" style="2" customWidth="1"/>
    <col min="12066" max="12066" width="36.42578125" style="2" customWidth="1"/>
    <col min="12067" max="12067" width="44.85546875" style="2" customWidth="1"/>
    <col min="12068" max="12068" width="37.42578125" style="2" customWidth="1"/>
    <col min="12069" max="12069" width="123.42578125" style="2" customWidth="1"/>
    <col min="12070" max="12070" width="34.7109375" style="2" customWidth="1"/>
    <col min="12071" max="12071" width="93.5703125" style="2" customWidth="1"/>
    <col min="12072" max="12072" width="16.42578125" style="2" customWidth="1"/>
    <col min="12073" max="12073" width="24.140625" style="2" customWidth="1"/>
    <col min="12074" max="12074" width="40.140625" style="2" customWidth="1"/>
    <col min="12075" max="12075" width="26.140625" style="2" customWidth="1"/>
    <col min="12076" max="12076" width="23.140625" style="2" customWidth="1"/>
    <col min="12077" max="12077" width="12.5703125" style="2" customWidth="1"/>
    <col min="12078" max="12078" width="24.85546875" style="2" customWidth="1"/>
    <col min="12079" max="12079" width="3.85546875" style="2" customWidth="1"/>
    <col min="12080" max="12080" width="34.85546875" style="2" customWidth="1"/>
    <col min="12081" max="12081" width="122.140625" style="2" customWidth="1"/>
    <col min="12082" max="12082" width="27.5703125" style="2" customWidth="1"/>
    <col min="12083" max="12083" width="32.140625" style="2" customWidth="1"/>
    <col min="12084" max="12084" width="28.85546875" style="2" customWidth="1"/>
    <col min="12085" max="12085" width="24.85546875" style="2" customWidth="1"/>
    <col min="12086" max="12086" width="35.140625" style="2" bestFit="1" customWidth="1"/>
    <col min="12087" max="12087" width="21.140625" style="2" customWidth="1"/>
    <col min="12088" max="12088" width="25" style="2" customWidth="1"/>
    <col min="12089" max="12089" width="10.140625" style="2" bestFit="1" customWidth="1"/>
    <col min="12090" max="12090" width="16.85546875" style="2" customWidth="1"/>
    <col min="12091" max="12091" width="8.85546875" style="2" customWidth="1"/>
    <col min="12092" max="12093" width="10.140625" style="2" bestFit="1" customWidth="1"/>
    <col min="12094" max="12094" width="45.140625" style="2" bestFit="1" customWidth="1"/>
    <col min="12095" max="12095" width="7.85546875" style="2" bestFit="1" customWidth="1"/>
    <col min="12096" max="12096" width="17" style="2" customWidth="1"/>
    <col min="12097" max="12097" width="8.140625" style="2" bestFit="1" customWidth="1"/>
    <col min="12098" max="12098" width="10.140625" style="2" bestFit="1" customWidth="1"/>
    <col min="12099" max="12099" width="8.140625" style="2" bestFit="1" customWidth="1"/>
    <col min="12100" max="12100" width="23.140625" style="2" customWidth="1"/>
    <col min="12101" max="12101" width="7.85546875" style="2" bestFit="1" customWidth="1"/>
    <col min="12102" max="12102" width="14" style="2" customWidth="1"/>
    <col min="12103" max="12103" width="8.140625" style="2" bestFit="1" customWidth="1"/>
    <col min="12104" max="12104" width="10.140625" style="2" bestFit="1" customWidth="1"/>
    <col min="12105" max="12105" width="10" style="2" bestFit="1" customWidth="1"/>
    <col min="12106" max="12106" width="24.5703125" style="2" customWidth="1"/>
    <col min="12107" max="12107" width="7.85546875" style="2" bestFit="1" customWidth="1"/>
    <col min="12108" max="12108" width="14.5703125" style="2" customWidth="1"/>
    <col min="12109" max="12109" width="7.28515625" style="2" bestFit="1" customWidth="1"/>
    <col min="12110" max="12110" width="10.140625" style="2" bestFit="1" customWidth="1"/>
    <col min="12111" max="12111" width="8.140625" style="2" bestFit="1" customWidth="1"/>
    <col min="12112" max="12112" width="37.140625" style="2" customWidth="1"/>
    <col min="12113" max="12113" width="38.140625" style="2" customWidth="1"/>
    <col min="12114" max="12288" width="9.140625" style="2"/>
    <col min="12289" max="12289" width="4.7109375" style="2" customWidth="1"/>
    <col min="12290" max="12290" width="11.42578125" style="2" customWidth="1"/>
    <col min="12291" max="12291" width="34.140625" style="2" customWidth="1"/>
    <col min="12292" max="12292" width="11.85546875" style="2" customWidth="1"/>
    <col min="12293" max="12293" width="24.42578125" style="2" customWidth="1"/>
    <col min="12294" max="12294" width="19" style="2" bestFit="1" customWidth="1"/>
    <col min="12295" max="12295" width="27.140625" style="2" customWidth="1"/>
    <col min="12296" max="12296" width="21.140625" style="2" bestFit="1" customWidth="1"/>
    <col min="12297" max="12297" width="35.7109375" style="2" bestFit="1" customWidth="1"/>
    <col min="12298" max="12298" width="20.140625" style="2" bestFit="1" customWidth="1"/>
    <col min="12299" max="12299" width="16.42578125" style="2" customWidth="1"/>
    <col min="12300" max="12300" width="24.140625" style="2" customWidth="1"/>
    <col min="12301" max="12301" width="18.140625" style="2" customWidth="1"/>
    <col min="12302" max="12302" width="19" style="2" customWidth="1"/>
    <col min="12303" max="12303" width="18.140625" style="2" customWidth="1"/>
    <col min="12304" max="12304" width="23.85546875" style="2" customWidth="1"/>
    <col min="12305" max="12305" width="16.5703125" style="2" customWidth="1"/>
    <col min="12306" max="12306" width="24" style="2" customWidth="1"/>
    <col min="12307" max="12307" width="26.28515625" style="2" customWidth="1"/>
    <col min="12308" max="12308" width="21.85546875" style="2" customWidth="1"/>
    <col min="12309" max="12309" width="16.140625" style="2" customWidth="1"/>
    <col min="12310" max="12310" width="26.140625" style="2" customWidth="1"/>
    <col min="12311" max="12311" width="22.85546875" style="2" customWidth="1"/>
    <col min="12312" max="12312" width="22.42578125" style="2" customWidth="1"/>
    <col min="12313" max="12313" width="15" style="2" customWidth="1"/>
    <col min="12314" max="12314" width="12.140625" style="2" customWidth="1"/>
    <col min="12315" max="12315" width="18.5703125" style="2" customWidth="1"/>
    <col min="12316" max="12316" width="28.5703125" style="2" customWidth="1"/>
    <col min="12317" max="12317" width="26.140625" style="2" customWidth="1"/>
    <col min="12318" max="12318" width="10.28515625" style="2" customWidth="1"/>
    <col min="12319" max="12319" width="60" style="2" bestFit="1" customWidth="1"/>
    <col min="12320" max="12320" width="33.5703125" style="2" customWidth="1"/>
    <col min="12321" max="12321" width="14.42578125" style="2" customWidth="1"/>
    <col min="12322" max="12322" width="36.42578125" style="2" customWidth="1"/>
    <col min="12323" max="12323" width="44.85546875" style="2" customWidth="1"/>
    <col min="12324" max="12324" width="37.42578125" style="2" customWidth="1"/>
    <col min="12325" max="12325" width="123.42578125" style="2" customWidth="1"/>
    <col min="12326" max="12326" width="34.7109375" style="2" customWidth="1"/>
    <col min="12327" max="12327" width="93.5703125" style="2" customWidth="1"/>
    <col min="12328" max="12328" width="16.42578125" style="2" customWidth="1"/>
    <col min="12329" max="12329" width="24.140625" style="2" customWidth="1"/>
    <col min="12330" max="12330" width="40.140625" style="2" customWidth="1"/>
    <col min="12331" max="12331" width="26.140625" style="2" customWidth="1"/>
    <col min="12332" max="12332" width="23.140625" style="2" customWidth="1"/>
    <col min="12333" max="12333" width="12.5703125" style="2" customWidth="1"/>
    <col min="12334" max="12334" width="24.85546875" style="2" customWidth="1"/>
    <col min="12335" max="12335" width="3.85546875" style="2" customWidth="1"/>
    <col min="12336" max="12336" width="34.85546875" style="2" customWidth="1"/>
    <col min="12337" max="12337" width="122.140625" style="2" customWidth="1"/>
    <col min="12338" max="12338" width="27.5703125" style="2" customWidth="1"/>
    <col min="12339" max="12339" width="32.140625" style="2" customWidth="1"/>
    <col min="12340" max="12340" width="28.85546875" style="2" customWidth="1"/>
    <col min="12341" max="12341" width="24.85546875" style="2" customWidth="1"/>
    <col min="12342" max="12342" width="35.140625" style="2" bestFit="1" customWidth="1"/>
    <col min="12343" max="12343" width="21.140625" style="2" customWidth="1"/>
    <col min="12344" max="12344" width="25" style="2" customWidth="1"/>
    <col min="12345" max="12345" width="10.140625" style="2" bestFit="1" customWidth="1"/>
    <col min="12346" max="12346" width="16.85546875" style="2" customWidth="1"/>
    <col min="12347" max="12347" width="8.85546875" style="2" customWidth="1"/>
    <col min="12348" max="12349" width="10.140625" style="2" bestFit="1" customWidth="1"/>
    <col min="12350" max="12350" width="45.140625" style="2" bestFit="1" customWidth="1"/>
    <col min="12351" max="12351" width="7.85546875" style="2" bestFit="1" customWidth="1"/>
    <col min="12352" max="12352" width="17" style="2" customWidth="1"/>
    <col min="12353" max="12353" width="8.140625" style="2" bestFit="1" customWidth="1"/>
    <col min="12354" max="12354" width="10.140625" style="2" bestFit="1" customWidth="1"/>
    <col min="12355" max="12355" width="8.140625" style="2" bestFit="1" customWidth="1"/>
    <col min="12356" max="12356" width="23.140625" style="2" customWidth="1"/>
    <col min="12357" max="12357" width="7.85546875" style="2" bestFit="1" customWidth="1"/>
    <col min="12358" max="12358" width="14" style="2" customWidth="1"/>
    <col min="12359" max="12359" width="8.140625" style="2" bestFit="1" customWidth="1"/>
    <col min="12360" max="12360" width="10.140625" style="2" bestFit="1" customWidth="1"/>
    <col min="12361" max="12361" width="10" style="2" bestFit="1" customWidth="1"/>
    <col min="12362" max="12362" width="24.5703125" style="2" customWidth="1"/>
    <col min="12363" max="12363" width="7.85546875" style="2" bestFit="1" customWidth="1"/>
    <col min="12364" max="12364" width="14.5703125" style="2" customWidth="1"/>
    <col min="12365" max="12365" width="7.28515625" style="2" bestFit="1" customWidth="1"/>
    <col min="12366" max="12366" width="10.140625" style="2" bestFit="1" customWidth="1"/>
    <col min="12367" max="12367" width="8.140625" style="2" bestFit="1" customWidth="1"/>
    <col min="12368" max="12368" width="37.140625" style="2" customWidth="1"/>
    <col min="12369" max="12369" width="38.140625" style="2" customWidth="1"/>
    <col min="12370" max="12544" width="9.140625" style="2"/>
    <col min="12545" max="12545" width="4.7109375" style="2" customWidth="1"/>
    <col min="12546" max="12546" width="11.42578125" style="2" customWidth="1"/>
    <col min="12547" max="12547" width="34.140625" style="2" customWidth="1"/>
    <col min="12548" max="12548" width="11.85546875" style="2" customWidth="1"/>
    <col min="12549" max="12549" width="24.42578125" style="2" customWidth="1"/>
    <col min="12550" max="12550" width="19" style="2" bestFit="1" customWidth="1"/>
    <col min="12551" max="12551" width="27.140625" style="2" customWidth="1"/>
    <col min="12552" max="12552" width="21.140625" style="2" bestFit="1" customWidth="1"/>
    <col min="12553" max="12553" width="35.7109375" style="2" bestFit="1" customWidth="1"/>
    <col min="12554" max="12554" width="20.140625" style="2" bestFit="1" customWidth="1"/>
    <col min="12555" max="12555" width="16.42578125" style="2" customWidth="1"/>
    <col min="12556" max="12556" width="24.140625" style="2" customWidth="1"/>
    <col min="12557" max="12557" width="18.140625" style="2" customWidth="1"/>
    <col min="12558" max="12558" width="19" style="2" customWidth="1"/>
    <col min="12559" max="12559" width="18.140625" style="2" customWidth="1"/>
    <col min="12560" max="12560" width="23.85546875" style="2" customWidth="1"/>
    <col min="12561" max="12561" width="16.5703125" style="2" customWidth="1"/>
    <col min="12562" max="12562" width="24" style="2" customWidth="1"/>
    <col min="12563" max="12563" width="26.28515625" style="2" customWidth="1"/>
    <col min="12564" max="12564" width="21.85546875" style="2" customWidth="1"/>
    <col min="12565" max="12565" width="16.140625" style="2" customWidth="1"/>
    <col min="12566" max="12566" width="26.140625" style="2" customWidth="1"/>
    <col min="12567" max="12567" width="22.85546875" style="2" customWidth="1"/>
    <col min="12568" max="12568" width="22.42578125" style="2" customWidth="1"/>
    <col min="12569" max="12569" width="15" style="2" customWidth="1"/>
    <col min="12570" max="12570" width="12.140625" style="2" customWidth="1"/>
    <col min="12571" max="12571" width="18.5703125" style="2" customWidth="1"/>
    <col min="12572" max="12572" width="28.5703125" style="2" customWidth="1"/>
    <col min="12573" max="12573" width="26.140625" style="2" customWidth="1"/>
    <col min="12574" max="12574" width="10.28515625" style="2" customWidth="1"/>
    <col min="12575" max="12575" width="60" style="2" bestFit="1" customWidth="1"/>
    <col min="12576" max="12576" width="33.5703125" style="2" customWidth="1"/>
    <col min="12577" max="12577" width="14.42578125" style="2" customWidth="1"/>
    <col min="12578" max="12578" width="36.42578125" style="2" customWidth="1"/>
    <col min="12579" max="12579" width="44.85546875" style="2" customWidth="1"/>
    <col min="12580" max="12580" width="37.42578125" style="2" customWidth="1"/>
    <col min="12581" max="12581" width="123.42578125" style="2" customWidth="1"/>
    <col min="12582" max="12582" width="34.7109375" style="2" customWidth="1"/>
    <col min="12583" max="12583" width="93.5703125" style="2" customWidth="1"/>
    <col min="12584" max="12584" width="16.42578125" style="2" customWidth="1"/>
    <col min="12585" max="12585" width="24.140625" style="2" customWidth="1"/>
    <col min="12586" max="12586" width="40.140625" style="2" customWidth="1"/>
    <col min="12587" max="12587" width="26.140625" style="2" customWidth="1"/>
    <col min="12588" max="12588" width="23.140625" style="2" customWidth="1"/>
    <col min="12589" max="12589" width="12.5703125" style="2" customWidth="1"/>
    <col min="12590" max="12590" width="24.85546875" style="2" customWidth="1"/>
    <col min="12591" max="12591" width="3.85546875" style="2" customWidth="1"/>
    <col min="12592" max="12592" width="34.85546875" style="2" customWidth="1"/>
    <col min="12593" max="12593" width="122.140625" style="2" customWidth="1"/>
    <col min="12594" max="12594" width="27.5703125" style="2" customWidth="1"/>
    <col min="12595" max="12595" width="32.140625" style="2" customWidth="1"/>
    <col min="12596" max="12596" width="28.85546875" style="2" customWidth="1"/>
    <col min="12597" max="12597" width="24.85546875" style="2" customWidth="1"/>
    <col min="12598" max="12598" width="35.140625" style="2" bestFit="1" customWidth="1"/>
    <col min="12599" max="12599" width="21.140625" style="2" customWidth="1"/>
    <col min="12600" max="12600" width="25" style="2" customWidth="1"/>
    <col min="12601" max="12601" width="10.140625" style="2" bestFit="1" customWidth="1"/>
    <col min="12602" max="12602" width="16.85546875" style="2" customWidth="1"/>
    <col min="12603" max="12603" width="8.85546875" style="2" customWidth="1"/>
    <col min="12604" max="12605" width="10.140625" style="2" bestFit="1" customWidth="1"/>
    <col min="12606" max="12606" width="45.140625" style="2" bestFit="1" customWidth="1"/>
    <col min="12607" max="12607" width="7.85546875" style="2" bestFit="1" customWidth="1"/>
    <col min="12608" max="12608" width="17" style="2" customWidth="1"/>
    <col min="12609" max="12609" width="8.140625" style="2" bestFit="1" customWidth="1"/>
    <col min="12610" max="12610" width="10.140625" style="2" bestFit="1" customWidth="1"/>
    <col min="12611" max="12611" width="8.140625" style="2" bestFit="1" customWidth="1"/>
    <col min="12612" max="12612" width="23.140625" style="2" customWidth="1"/>
    <col min="12613" max="12613" width="7.85546875" style="2" bestFit="1" customWidth="1"/>
    <col min="12614" max="12614" width="14" style="2" customWidth="1"/>
    <col min="12615" max="12615" width="8.140625" style="2" bestFit="1" customWidth="1"/>
    <col min="12616" max="12616" width="10.140625" style="2" bestFit="1" customWidth="1"/>
    <col min="12617" max="12617" width="10" style="2" bestFit="1" customWidth="1"/>
    <col min="12618" max="12618" width="24.5703125" style="2" customWidth="1"/>
    <col min="12619" max="12619" width="7.85546875" style="2" bestFit="1" customWidth="1"/>
    <col min="12620" max="12620" width="14.5703125" style="2" customWidth="1"/>
    <col min="12621" max="12621" width="7.28515625" style="2" bestFit="1" customWidth="1"/>
    <col min="12622" max="12622" width="10.140625" style="2" bestFit="1" customWidth="1"/>
    <col min="12623" max="12623" width="8.140625" style="2" bestFit="1" customWidth="1"/>
    <col min="12624" max="12624" width="37.140625" style="2" customWidth="1"/>
    <col min="12625" max="12625" width="38.140625" style="2" customWidth="1"/>
    <col min="12626" max="12800" width="9.140625" style="2"/>
    <col min="12801" max="12801" width="4.7109375" style="2" customWidth="1"/>
    <col min="12802" max="12802" width="11.42578125" style="2" customWidth="1"/>
    <col min="12803" max="12803" width="34.140625" style="2" customWidth="1"/>
    <col min="12804" max="12804" width="11.85546875" style="2" customWidth="1"/>
    <col min="12805" max="12805" width="24.42578125" style="2" customWidth="1"/>
    <col min="12806" max="12806" width="19" style="2" bestFit="1" customWidth="1"/>
    <col min="12807" max="12807" width="27.140625" style="2" customWidth="1"/>
    <col min="12808" max="12808" width="21.140625" style="2" bestFit="1" customWidth="1"/>
    <col min="12809" max="12809" width="35.7109375" style="2" bestFit="1" customWidth="1"/>
    <col min="12810" max="12810" width="20.140625" style="2" bestFit="1" customWidth="1"/>
    <col min="12811" max="12811" width="16.42578125" style="2" customWidth="1"/>
    <col min="12812" max="12812" width="24.140625" style="2" customWidth="1"/>
    <col min="12813" max="12813" width="18.140625" style="2" customWidth="1"/>
    <col min="12814" max="12814" width="19" style="2" customWidth="1"/>
    <col min="12815" max="12815" width="18.140625" style="2" customWidth="1"/>
    <col min="12816" max="12816" width="23.85546875" style="2" customWidth="1"/>
    <col min="12817" max="12817" width="16.5703125" style="2" customWidth="1"/>
    <col min="12818" max="12818" width="24" style="2" customWidth="1"/>
    <col min="12819" max="12819" width="26.28515625" style="2" customWidth="1"/>
    <col min="12820" max="12820" width="21.85546875" style="2" customWidth="1"/>
    <col min="12821" max="12821" width="16.140625" style="2" customWidth="1"/>
    <col min="12822" max="12822" width="26.140625" style="2" customWidth="1"/>
    <col min="12823" max="12823" width="22.85546875" style="2" customWidth="1"/>
    <col min="12824" max="12824" width="22.42578125" style="2" customWidth="1"/>
    <col min="12825" max="12825" width="15" style="2" customWidth="1"/>
    <col min="12826" max="12826" width="12.140625" style="2" customWidth="1"/>
    <col min="12827" max="12827" width="18.5703125" style="2" customWidth="1"/>
    <col min="12828" max="12828" width="28.5703125" style="2" customWidth="1"/>
    <col min="12829" max="12829" width="26.140625" style="2" customWidth="1"/>
    <col min="12830" max="12830" width="10.28515625" style="2" customWidth="1"/>
    <col min="12831" max="12831" width="60" style="2" bestFit="1" customWidth="1"/>
    <col min="12832" max="12832" width="33.5703125" style="2" customWidth="1"/>
    <col min="12833" max="12833" width="14.42578125" style="2" customWidth="1"/>
    <col min="12834" max="12834" width="36.42578125" style="2" customWidth="1"/>
    <col min="12835" max="12835" width="44.85546875" style="2" customWidth="1"/>
    <col min="12836" max="12836" width="37.42578125" style="2" customWidth="1"/>
    <col min="12837" max="12837" width="123.42578125" style="2" customWidth="1"/>
    <col min="12838" max="12838" width="34.7109375" style="2" customWidth="1"/>
    <col min="12839" max="12839" width="93.5703125" style="2" customWidth="1"/>
    <col min="12840" max="12840" width="16.42578125" style="2" customWidth="1"/>
    <col min="12841" max="12841" width="24.140625" style="2" customWidth="1"/>
    <col min="12842" max="12842" width="40.140625" style="2" customWidth="1"/>
    <col min="12843" max="12843" width="26.140625" style="2" customWidth="1"/>
    <col min="12844" max="12844" width="23.140625" style="2" customWidth="1"/>
    <col min="12845" max="12845" width="12.5703125" style="2" customWidth="1"/>
    <col min="12846" max="12846" width="24.85546875" style="2" customWidth="1"/>
    <col min="12847" max="12847" width="3.85546875" style="2" customWidth="1"/>
    <col min="12848" max="12848" width="34.85546875" style="2" customWidth="1"/>
    <col min="12849" max="12849" width="122.140625" style="2" customWidth="1"/>
    <col min="12850" max="12850" width="27.5703125" style="2" customWidth="1"/>
    <col min="12851" max="12851" width="32.140625" style="2" customWidth="1"/>
    <col min="12852" max="12852" width="28.85546875" style="2" customWidth="1"/>
    <col min="12853" max="12853" width="24.85546875" style="2" customWidth="1"/>
    <col min="12854" max="12854" width="35.140625" style="2" bestFit="1" customWidth="1"/>
    <col min="12855" max="12855" width="21.140625" style="2" customWidth="1"/>
    <col min="12856" max="12856" width="25" style="2" customWidth="1"/>
    <col min="12857" max="12857" width="10.140625" style="2" bestFit="1" customWidth="1"/>
    <col min="12858" max="12858" width="16.85546875" style="2" customWidth="1"/>
    <col min="12859" max="12859" width="8.85546875" style="2" customWidth="1"/>
    <col min="12860" max="12861" width="10.140625" style="2" bestFit="1" customWidth="1"/>
    <col min="12862" max="12862" width="45.140625" style="2" bestFit="1" customWidth="1"/>
    <col min="12863" max="12863" width="7.85546875" style="2" bestFit="1" customWidth="1"/>
    <col min="12864" max="12864" width="17" style="2" customWidth="1"/>
    <col min="12865" max="12865" width="8.140625" style="2" bestFit="1" customWidth="1"/>
    <col min="12866" max="12866" width="10.140625" style="2" bestFit="1" customWidth="1"/>
    <col min="12867" max="12867" width="8.140625" style="2" bestFit="1" customWidth="1"/>
    <col min="12868" max="12868" width="23.140625" style="2" customWidth="1"/>
    <col min="12869" max="12869" width="7.85546875" style="2" bestFit="1" customWidth="1"/>
    <col min="12870" max="12870" width="14" style="2" customWidth="1"/>
    <col min="12871" max="12871" width="8.140625" style="2" bestFit="1" customWidth="1"/>
    <col min="12872" max="12872" width="10.140625" style="2" bestFit="1" customWidth="1"/>
    <col min="12873" max="12873" width="10" style="2" bestFit="1" customWidth="1"/>
    <col min="12874" max="12874" width="24.5703125" style="2" customWidth="1"/>
    <col min="12875" max="12875" width="7.85546875" style="2" bestFit="1" customWidth="1"/>
    <col min="12876" max="12876" width="14.5703125" style="2" customWidth="1"/>
    <col min="12877" max="12877" width="7.28515625" style="2" bestFit="1" customWidth="1"/>
    <col min="12878" max="12878" width="10.140625" style="2" bestFit="1" customWidth="1"/>
    <col min="12879" max="12879" width="8.140625" style="2" bestFit="1" customWidth="1"/>
    <col min="12880" max="12880" width="37.140625" style="2" customWidth="1"/>
    <col min="12881" max="12881" width="38.140625" style="2" customWidth="1"/>
    <col min="12882" max="13056" width="9.140625" style="2"/>
    <col min="13057" max="13057" width="4.7109375" style="2" customWidth="1"/>
    <col min="13058" max="13058" width="11.42578125" style="2" customWidth="1"/>
    <col min="13059" max="13059" width="34.140625" style="2" customWidth="1"/>
    <col min="13060" max="13060" width="11.85546875" style="2" customWidth="1"/>
    <col min="13061" max="13061" width="24.42578125" style="2" customWidth="1"/>
    <col min="13062" max="13062" width="19" style="2" bestFit="1" customWidth="1"/>
    <col min="13063" max="13063" width="27.140625" style="2" customWidth="1"/>
    <col min="13064" max="13064" width="21.140625" style="2" bestFit="1" customWidth="1"/>
    <col min="13065" max="13065" width="35.7109375" style="2" bestFit="1" customWidth="1"/>
    <col min="13066" max="13066" width="20.140625" style="2" bestFit="1" customWidth="1"/>
    <col min="13067" max="13067" width="16.42578125" style="2" customWidth="1"/>
    <col min="13068" max="13068" width="24.140625" style="2" customWidth="1"/>
    <col min="13069" max="13069" width="18.140625" style="2" customWidth="1"/>
    <col min="13070" max="13070" width="19" style="2" customWidth="1"/>
    <col min="13071" max="13071" width="18.140625" style="2" customWidth="1"/>
    <col min="13072" max="13072" width="23.85546875" style="2" customWidth="1"/>
    <col min="13073" max="13073" width="16.5703125" style="2" customWidth="1"/>
    <col min="13074" max="13074" width="24" style="2" customWidth="1"/>
    <col min="13075" max="13075" width="26.28515625" style="2" customWidth="1"/>
    <col min="13076" max="13076" width="21.85546875" style="2" customWidth="1"/>
    <col min="13077" max="13077" width="16.140625" style="2" customWidth="1"/>
    <col min="13078" max="13078" width="26.140625" style="2" customWidth="1"/>
    <col min="13079" max="13079" width="22.85546875" style="2" customWidth="1"/>
    <col min="13080" max="13080" width="22.42578125" style="2" customWidth="1"/>
    <col min="13081" max="13081" width="15" style="2" customWidth="1"/>
    <col min="13082" max="13082" width="12.140625" style="2" customWidth="1"/>
    <col min="13083" max="13083" width="18.5703125" style="2" customWidth="1"/>
    <col min="13084" max="13084" width="28.5703125" style="2" customWidth="1"/>
    <col min="13085" max="13085" width="26.140625" style="2" customWidth="1"/>
    <col min="13086" max="13086" width="10.28515625" style="2" customWidth="1"/>
    <col min="13087" max="13087" width="60" style="2" bestFit="1" customWidth="1"/>
    <col min="13088" max="13088" width="33.5703125" style="2" customWidth="1"/>
    <col min="13089" max="13089" width="14.42578125" style="2" customWidth="1"/>
    <col min="13090" max="13090" width="36.42578125" style="2" customWidth="1"/>
    <col min="13091" max="13091" width="44.85546875" style="2" customWidth="1"/>
    <col min="13092" max="13092" width="37.42578125" style="2" customWidth="1"/>
    <col min="13093" max="13093" width="123.42578125" style="2" customWidth="1"/>
    <col min="13094" max="13094" width="34.7109375" style="2" customWidth="1"/>
    <col min="13095" max="13095" width="93.5703125" style="2" customWidth="1"/>
    <col min="13096" max="13096" width="16.42578125" style="2" customWidth="1"/>
    <col min="13097" max="13097" width="24.140625" style="2" customWidth="1"/>
    <col min="13098" max="13098" width="40.140625" style="2" customWidth="1"/>
    <col min="13099" max="13099" width="26.140625" style="2" customWidth="1"/>
    <col min="13100" max="13100" width="23.140625" style="2" customWidth="1"/>
    <col min="13101" max="13101" width="12.5703125" style="2" customWidth="1"/>
    <col min="13102" max="13102" width="24.85546875" style="2" customWidth="1"/>
    <col min="13103" max="13103" width="3.85546875" style="2" customWidth="1"/>
    <col min="13104" max="13104" width="34.85546875" style="2" customWidth="1"/>
    <col min="13105" max="13105" width="122.140625" style="2" customWidth="1"/>
    <col min="13106" max="13106" width="27.5703125" style="2" customWidth="1"/>
    <col min="13107" max="13107" width="32.140625" style="2" customWidth="1"/>
    <col min="13108" max="13108" width="28.85546875" style="2" customWidth="1"/>
    <col min="13109" max="13109" width="24.85546875" style="2" customWidth="1"/>
    <col min="13110" max="13110" width="35.140625" style="2" bestFit="1" customWidth="1"/>
    <col min="13111" max="13111" width="21.140625" style="2" customWidth="1"/>
    <col min="13112" max="13112" width="25" style="2" customWidth="1"/>
    <col min="13113" max="13113" width="10.140625" style="2" bestFit="1" customWidth="1"/>
    <col min="13114" max="13114" width="16.85546875" style="2" customWidth="1"/>
    <col min="13115" max="13115" width="8.85546875" style="2" customWidth="1"/>
    <col min="13116" max="13117" width="10.140625" style="2" bestFit="1" customWidth="1"/>
    <col min="13118" max="13118" width="45.140625" style="2" bestFit="1" customWidth="1"/>
    <col min="13119" max="13119" width="7.85546875" style="2" bestFit="1" customWidth="1"/>
    <col min="13120" max="13120" width="17" style="2" customWidth="1"/>
    <col min="13121" max="13121" width="8.140625" style="2" bestFit="1" customWidth="1"/>
    <col min="13122" max="13122" width="10.140625" style="2" bestFit="1" customWidth="1"/>
    <col min="13123" max="13123" width="8.140625" style="2" bestFit="1" customWidth="1"/>
    <col min="13124" max="13124" width="23.140625" style="2" customWidth="1"/>
    <col min="13125" max="13125" width="7.85546875" style="2" bestFit="1" customWidth="1"/>
    <col min="13126" max="13126" width="14" style="2" customWidth="1"/>
    <col min="13127" max="13127" width="8.140625" style="2" bestFit="1" customWidth="1"/>
    <col min="13128" max="13128" width="10.140625" style="2" bestFit="1" customWidth="1"/>
    <col min="13129" max="13129" width="10" style="2" bestFit="1" customWidth="1"/>
    <col min="13130" max="13130" width="24.5703125" style="2" customWidth="1"/>
    <col min="13131" max="13131" width="7.85546875" style="2" bestFit="1" customWidth="1"/>
    <col min="13132" max="13132" width="14.5703125" style="2" customWidth="1"/>
    <col min="13133" max="13133" width="7.28515625" style="2" bestFit="1" customWidth="1"/>
    <col min="13134" max="13134" width="10.140625" style="2" bestFit="1" customWidth="1"/>
    <col min="13135" max="13135" width="8.140625" style="2" bestFit="1" customWidth="1"/>
    <col min="13136" max="13136" width="37.140625" style="2" customWidth="1"/>
    <col min="13137" max="13137" width="38.140625" style="2" customWidth="1"/>
    <col min="13138" max="13312" width="9.140625" style="2"/>
    <col min="13313" max="13313" width="4.7109375" style="2" customWidth="1"/>
    <col min="13314" max="13314" width="11.42578125" style="2" customWidth="1"/>
    <col min="13315" max="13315" width="34.140625" style="2" customWidth="1"/>
    <col min="13316" max="13316" width="11.85546875" style="2" customWidth="1"/>
    <col min="13317" max="13317" width="24.42578125" style="2" customWidth="1"/>
    <col min="13318" max="13318" width="19" style="2" bestFit="1" customWidth="1"/>
    <col min="13319" max="13319" width="27.140625" style="2" customWidth="1"/>
    <col min="13320" max="13320" width="21.140625" style="2" bestFit="1" customWidth="1"/>
    <col min="13321" max="13321" width="35.7109375" style="2" bestFit="1" customWidth="1"/>
    <col min="13322" max="13322" width="20.140625" style="2" bestFit="1" customWidth="1"/>
    <col min="13323" max="13323" width="16.42578125" style="2" customWidth="1"/>
    <col min="13324" max="13324" width="24.140625" style="2" customWidth="1"/>
    <col min="13325" max="13325" width="18.140625" style="2" customWidth="1"/>
    <col min="13326" max="13326" width="19" style="2" customWidth="1"/>
    <col min="13327" max="13327" width="18.140625" style="2" customWidth="1"/>
    <col min="13328" max="13328" width="23.85546875" style="2" customWidth="1"/>
    <col min="13329" max="13329" width="16.5703125" style="2" customWidth="1"/>
    <col min="13330" max="13330" width="24" style="2" customWidth="1"/>
    <col min="13331" max="13331" width="26.28515625" style="2" customWidth="1"/>
    <col min="13332" max="13332" width="21.85546875" style="2" customWidth="1"/>
    <col min="13333" max="13333" width="16.140625" style="2" customWidth="1"/>
    <col min="13334" max="13334" width="26.140625" style="2" customWidth="1"/>
    <col min="13335" max="13335" width="22.85546875" style="2" customWidth="1"/>
    <col min="13336" max="13336" width="22.42578125" style="2" customWidth="1"/>
    <col min="13337" max="13337" width="15" style="2" customWidth="1"/>
    <col min="13338" max="13338" width="12.140625" style="2" customWidth="1"/>
    <col min="13339" max="13339" width="18.5703125" style="2" customWidth="1"/>
    <col min="13340" max="13340" width="28.5703125" style="2" customWidth="1"/>
    <col min="13341" max="13341" width="26.140625" style="2" customWidth="1"/>
    <col min="13342" max="13342" width="10.28515625" style="2" customWidth="1"/>
    <col min="13343" max="13343" width="60" style="2" bestFit="1" customWidth="1"/>
    <col min="13344" max="13344" width="33.5703125" style="2" customWidth="1"/>
    <col min="13345" max="13345" width="14.42578125" style="2" customWidth="1"/>
    <col min="13346" max="13346" width="36.42578125" style="2" customWidth="1"/>
    <col min="13347" max="13347" width="44.85546875" style="2" customWidth="1"/>
    <col min="13348" max="13348" width="37.42578125" style="2" customWidth="1"/>
    <col min="13349" max="13349" width="123.42578125" style="2" customWidth="1"/>
    <col min="13350" max="13350" width="34.7109375" style="2" customWidth="1"/>
    <col min="13351" max="13351" width="93.5703125" style="2" customWidth="1"/>
    <col min="13352" max="13352" width="16.42578125" style="2" customWidth="1"/>
    <col min="13353" max="13353" width="24.140625" style="2" customWidth="1"/>
    <col min="13354" max="13354" width="40.140625" style="2" customWidth="1"/>
    <col min="13355" max="13355" width="26.140625" style="2" customWidth="1"/>
    <col min="13356" max="13356" width="23.140625" style="2" customWidth="1"/>
    <col min="13357" max="13357" width="12.5703125" style="2" customWidth="1"/>
    <col min="13358" max="13358" width="24.85546875" style="2" customWidth="1"/>
    <col min="13359" max="13359" width="3.85546875" style="2" customWidth="1"/>
    <col min="13360" max="13360" width="34.85546875" style="2" customWidth="1"/>
    <col min="13361" max="13361" width="122.140625" style="2" customWidth="1"/>
    <col min="13362" max="13362" width="27.5703125" style="2" customWidth="1"/>
    <col min="13363" max="13363" width="32.140625" style="2" customWidth="1"/>
    <col min="13364" max="13364" width="28.85546875" style="2" customWidth="1"/>
    <col min="13365" max="13365" width="24.85546875" style="2" customWidth="1"/>
    <col min="13366" max="13366" width="35.140625" style="2" bestFit="1" customWidth="1"/>
    <col min="13367" max="13367" width="21.140625" style="2" customWidth="1"/>
    <col min="13368" max="13368" width="25" style="2" customWidth="1"/>
    <col min="13369" max="13369" width="10.140625" style="2" bestFit="1" customWidth="1"/>
    <col min="13370" max="13370" width="16.85546875" style="2" customWidth="1"/>
    <col min="13371" max="13371" width="8.85546875" style="2" customWidth="1"/>
    <col min="13372" max="13373" width="10.140625" style="2" bestFit="1" customWidth="1"/>
    <col min="13374" max="13374" width="45.140625" style="2" bestFit="1" customWidth="1"/>
    <col min="13375" max="13375" width="7.85546875" style="2" bestFit="1" customWidth="1"/>
    <col min="13376" max="13376" width="17" style="2" customWidth="1"/>
    <col min="13377" max="13377" width="8.140625" style="2" bestFit="1" customWidth="1"/>
    <col min="13378" max="13378" width="10.140625" style="2" bestFit="1" customWidth="1"/>
    <col min="13379" max="13379" width="8.140625" style="2" bestFit="1" customWidth="1"/>
    <col min="13380" max="13380" width="23.140625" style="2" customWidth="1"/>
    <col min="13381" max="13381" width="7.85546875" style="2" bestFit="1" customWidth="1"/>
    <col min="13382" max="13382" width="14" style="2" customWidth="1"/>
    <col min="13383" max="13383" width="8.140625" style="2" bestFit="1" customWidth="1"/>
    <col min="13384" max="13384" width="10.140625" style="2" bestFit="1" customWidth="1"/>
    <col min="13385" max="13385" width="10" style="2" bestFit="1" customWidth="1"/>
    <col min="13386" max="13386" width="24.5703125" style="2" customWidth="1"/>
    <col min="13387" max="13387" width="7.85546875" style="2" bestFit="1" customWidth="1"/>
    <col min="13388" max="13388" width="14.5703125" style="2" customWidth="1"/>
    <col min="13389" max="13389" width="7.28515625" style="2" bestFit="1" customWidth="1"/>
    <col min="13390" max="13390" width="10.140625" style="2" bestFit="1" customWidth="1"/>
    <col min="13391" max="13391" width="8.140625" style="2" bestFit="1" customWidth="1"/>
    <col min="13392" max="13392" width="37.140625" style="2" customWidth="1"/>
    <col min="13393" max="13393" width="38.140625" style="2" customWidth="1"/>
    <col min="13394" max="13568" width="9.140625" style="2"/>
    <col min="13569" max="13569" width="4.7109375" style="2" customWidth="1"/>
    <col min="13570" max="13570" width="11.42578125" style="2" customWidth="1"/>
    <col min="13571" max="13571" width="34.140625" style="2" customWidth="1"/>
    <col min="13572" max="13572" width="11.85546875" style="2" customWidth="1"/>
    <col min="13573" max="13573" width="24.42578125" style="2" customWidth="1"/>
    <col min="13574" max="13574" width="19" style="2" bestFit="1" customWidth="1"/>
    <col min="13575" max="13575" width="27.140625" style="2" customWidth="1"/>
    <col min="13576" max="13576" width="21.140625" style="2" bestFit="1" customWidth="1"/>
    <col min="13577" max="13577" width="35.7109375" style="2" bestFit="1" customWidth="1"/>
    <col min="13578" max="13578" width="20.140625" style="2" bestFit="1" customWidth="1"/>
    <col min="13579" max="13579" width="16.42578125" style="2" customWidth="1"/>
    <col min="13580" max="13580" width="24.140625" style="2" customWidth="1"/>
    <col min="13581" max="13581" width="18.140625" style="2" customWidth="1"/>
    <col min="13582" max="13582" width="19" style="2" customWidth="1"/>
    <col min="13583" max="13583" width="18.140625" style="2" customWidth="1"/>
    <col min="13584" max="13584" width="23.85546875" style="2" customWidth="1"/>
    <col min="13585" max="13585" width="16.5703125" style="2" customWidth="1"/>
    <col min="13586" max="13586" width="24" style="2" customWidth="1"/>
    <col min="13587" max="13587" width="26.28515625" style="2" customWidth="1"/>
    <col min="13588" max="13588" width="21.85546875" style="2" customWidth="1"/>
    <col min="13589" max="13589" width="16.140625" style="2" customWidth="1"/>
    <col min="13590" max="13590" width="26.140625" style="2" customWidth="1"/>
    <col min="13591" max="13591" width="22.85546875" style="2" customWidth="1"/>
    <col min="13592" max="13592" width="22.42578125" style="2" customWidth="1"/>
    <col min="13593" max="13593" width="15" style="2" customWidth="1"/>
    <col min="13594" max="13594" width="12.140625" style="2" customWidth="1"/>
    <col min="13595" max="13595" width="18.5703125" style="2" customWidth="1"/>
    <col min="13596" max="13596" width="28.5703125" style="2" customWidth="1"/>
    <col min="13597" max="13597" width="26.140625" style="2" customWidth="1"/>
    <col min="13598" max="13598" width="10.28515625" style="2" customWidth="1"/>
    <col min="13599" max="13599" width="60" style="2" bestFit="1" customWidth="1"/>
    <col min="13600" max="13600" width="33.5703125" style="2" customWidth="1"/>
    <col min="13601" max="13601" width="14.42578125" style="2" customWidth="1"/>
    <col min="13602" max="13602" width="36.42578125" style="2" customWidth="1"/>
    <col min="13603" max="13603" width="44.85546875" style="2" customWidth="1"/>
    <col min="13604" max="13604" width="37.42578125" style="2" customWidth="1"/>
    <col min="13605" max="13605" width="123.42578125" style="2" customWidth="1"/>
    <col min="13606" max="13606" width="34.7109375" style="2" customWidth="1"/>
    <col min="13607" max="13607" width="93.5703125" style="2" customWidth="1"/>
    <col min="13608" max="13608" width="16.42578125" style="2" customWidth="1"/>
    <col min="13609" max="13609" width="24.140625" style="2" customWidth="1"/>
    <col min="13610" max="13610" width="40.140625" style="2" customWidth="1"/>
    <col min="13611" max="13611" width="26.140625" style="2" customWidth="1"/>
    <col min="13612" max="13612" width="23.140625" style="2" customWidth="1"/>
    <col min="13613" max="13613" width="12.5703125" style="2" customWidth="1"/>
    <col min="13614" max="13614" width="24.85546875" style="2" customWidth="1"/>
    <col min="13615" max="13615" width="3.85546875" style="2" customWidth="1"/>
    <col min="13616" max="13616" width="34.85546875" style="2" customWidth="1"/>
    <col min="13617" max="13617" width="122.140625" style="2" customWidth="1"/>
    <col min="13618" max="13618" width="27.5703125" style="2" customWidth="1"/>
    <col min="13619" max="13619" width="32.140625" style="2" customWidth="1"/>
    <col min="13620" max="13620" width="28.85546875" style="2" customWidth="1"/>
    <col min="13621" max="13621" width="24.85546875" style="2" customWidth="1"/>
    <col min="13622" max="13622" width="35.140625" style="2" bestFit="1" customWidth="1"/>
    <col min="13623" max="13623" width="21.140625" style="2" customWidth="1"/>
    <col min="13624" max="13624" width="25" style="2" customWidth="1"/>
    <col min="13625" max="13625" width="10.140625" style="2" bestFit="1" customWidth="1"/>
    <col min="13626" max="13626" width="16.85546875" style="2" customWidth="1"/>
    <col min="13627" max="13627" width="8.85546875" style="2" customWidth="1"/>
    <col min="13628" max="13629" width="10.140625" style="2" bestFit="1" customWidth="1"/>
    <col min="13630" max="13630" width="45.140625" style="2" bestFit="1" customWidth="1"/>
    <col min="13631" max="13631" width="7.85546875" style="2" bestFit="1" customWidth="1"/>
    <col min="13632" max="13632" width="17" style="2" customWidth="1"/>
    <col min="13633" max="13633" width="8.140625" style="2" bestFit="1" customWidth="1"/>
    <col min="13634" max="13634" width="10.140625" style="2" bestFit="1" customWidth="1"/>
    <col min="13635" max="13635" width="8.140625" style="2" bestFit="1" customWidth="1"/>
    <col min="13636" max="13636" width="23.140625" style="2" customWidth="1"/>
    <col min="13637" max="13637" width="7.85546875" style="2" bestFit="1" customWidth="1"/>
    <col min="13638" max="13638" width="14" style="2" customWidth="1"/>
    <col min="13639" max="13639" width="8.140625" style="2" bestFit="1" customWidth="1"/>
    <col min="13640" max="13640" width="10.140625" style="2" bestFit="1" customWidth="1"/>
    <col min="13641" max="13641" width="10" style="2" bestFit="1" customWidth="1"/>
    <col min="13642" max="13642" width="24.5703125" style="2" customWidth="1"/>
    <col min="13643" max="13643" width="7.85546875" style="2" bestFit="1" customWidth="1"/>
    <col min="13644" max="13644" width="14.5703125" style="2" customWidth="1"/>
    <col min="13645" max="13645" width="7.28515625" style="2" bestFit="1" customWidth="1"/>
    <col min="13646" max="13646" width="10.140625" style="2" bestFit="1" customWidth="1"/>
    <col min="13647" max="13647" width="8.140625" style="2" bestFit="1" customWidth="1"/>
    <col min="13648" max="13648" width="37.140625" style="2" customWidth="1"/>
    <col min="13649" max="13649" width="38.140625" style="2" customWidth="1"/>
    <col min="13650" max="13824" width="9.140625" style="2"/>
    <col min="13825" max="13825" width="4.7109375" style="2" customWidth="1"/>
    <col min="13826" max="13826" width="11.42578125" style="2" customWidth="1"/>
    <col min="13827" max="13827" width="34.140625" style="2" customWidth="1"/>
    <col min="13828" max="13828" width="11.85546875" style="2" customWidth="1"/>
    <col min="13829" max="13829" width="24.42578125" style="2" customWidth="1"/>
    <col min="13830" max="13830" width="19" style="2" bestFit="1" customWidth="1"/>
    <col min="13831" max="13831" width="27.140625" style="2" customWidth="1"/>
    <col min="13832" max="13832" width="21.140625" style="2" bestFit="1" customWidth="1"/>
    <col min="13833" max="13833" width="35.7109375" style="2" bestFit="1" customWidth="1"/>
    <col min="13834" max="13834" width="20.140625" style="2" bestFit="1" customWidth="1"/>
    <col min="13835" max="13835" width="16.42578125" style="2" customWidth="1"/>
    <col min="13836" max="13836" width="24.140625" style="2" customWidth="1"/>
    <col min="13837" max="13837" width="18.140625" style="2" customWidth="1"/>
    <col min="13838" max="13838" width="19" style="2" customWidth="1"/>
    <col min="13839" max="13839" width="18.140625" style="2" customWidth="1"/>
    <col min="13840" max="13840" width="23.85546875" style="2" customWidth="1"/>
    <col min="13841" max="13841" width="16.5703125" style="2" customWidth="1"/>
    <col min="13842" max="13842" width="24" style="2" customWidth="1"/>
    <col min="13843" max="13843" width="26.28515625" style="2" customWidth="1"/>
    <col min="13844" max="13844" width="21.85546875" style="2" customWidth="1"/>
    <col min="13845" max="13845" width="16.140625" style="2" customWidth="1"/>
    <col min="13846" max="13846" width="26.140625" style="2" customWidth="1"/>
    <col min="13847" max="13847" width="22.85546875" style="2" customWidth="1"/>
    <col min="13848" max="13848" width="22.42578125" style="2" customWidth="1"/>
    <col min="13849" max="13849" width="15" style="2" customWidth="1"/>
    <col min="13850" max="13850" width="12.140625" style="2" customWidth="1"/>
    <col min="13851" max="13851" width="18.5703125" style="2" customWidth="1"/>
    <col min="13852" max="13852" width="28.5703125" style="2" customWidth="1"/>
    <col min="13853" max="13853" width="26.140625" style="2" customWidth="1"/>
    <col min="13854" max="13854" width="10.28515625" style="2" customWidth="1"/>
    <col min="13855" max="13855" width="60" style="2" bestFit="1" customWidth="1"/>
    <col min="13856" max="13856" width="33.5703125" style="2" customWidth="1"/>
    <col min="13857" max="13857" width="14.42578125" style="2" customWidth="1"/>
    <col min="13858" max="13858" width="36.42578125" style="2" customWidth="1"/>
    <col min="13859" max="13859" width="44.85546875" style="2" customWidth="1"/>
    <col min="13860" max="13860" width="37.42578125" style="2" customWidth="1"/>
    <col min="13861" max="13861" width="123.42578125" style="2" customWidth="1"/>
    <col min="13862" max="13862" width="34.7109375" style="2" customWidth="1"/>
    <col min="13863" max="13863" width="93.5703125" style="2" customWidth="1"/>
    <col min="13864" max="13864" width="16.42578125" style="2" customWidth="1"/>
    <col min="13865" max="13865" width="24.140625" style="2" customWidth="1"/>
    <col min="13866" max="13866" width="40.140625" style="2" customWidth="1"/>
    <col min="13867" max="13867" width="26.140625" style="2" customWidth="1"/>
    <col min="13868" max="13868" width="23.140625" style="2" customWidth="1"/>
    <col min="13869" max="13869" width="12.5703125" style="2" customWidth="1"/>
    <col min="13870" max="13870" width="24.85546875" style="2" customWidth="1"/>
    <col min="13871" max="13871" width="3.85546875" style="2" customWidth="1"/>
    <col min="13872" max="13872" width="34.85546875" style="2" customWidth="1"/>
    <col min="13873" max="13873" width="122.140625" style="2" customWidth="1"/>
    <col min="13874" max="13874" width="27.5703125" style="2" customWidth="1"/>
    <col min="13875" max="13875" width="32.140625" style="2" customWidth="1"/>
    <col min="13876" max="13876" width="28.85546875" style="2" customWidth="1"/>
    <col min="13877" max="13877" width="24.85546875" style="2" customWidth="1"/>
    <col min="13878" max="13878" width="35.140625" style="2" bestFit="1" customWidth="1"/>
    <col min="13879" max="13879" width="21.140625" style="2" customWidth="1"/>
    <col min="13880" max="13880" width="25" style="2" customWidth="1"/>
    <col min="13881" max="13881" width="10.140625" style="2" bestFit="1" customWidth="1"/>
    <col min="13882" max="13882" width="16.85546875" style="2" customWidth="1"/>
    <col min="13883" max="13883" width="8.85546875" style="2" customWidth="1"/>
    <col min="13884" max="13885" width="10.140625" style="2" bestFit="1" customWidth="1"/>
    <col min="13886" max="13886" width="45.140625" style="2" bestFit="1" customWidth="1"/>
    <col min="13887" max="13887" width="7.85546875" style="2" bestFit="1" customWidth="1"/>
    <col min="13888" max="13888" width="17" style="2" customWidth="1"/>
    <col min="13889" max="13889" width="8.140625" style="2" bestFit="1" customWidth="1"/>
    <col min="13890" max="13890" width="10.140625" style="2" bestFit="1" customWidth="1"/>
    <col min="13891" max="13891" width="8.140625" style="2" bestFit="1" customWidth="1"/>
    <col min="13892" max="13892" width="23.140625" style="2" customWidth="1"/>
    <col min="13893" max="13893" width="7.85546875" style="2" bestFit="1" customWidth="1"/>
    <col min="13894" max="13894" width="14" style="2" customWidth="1"/>
    <col min="13895" max="13895" width="8.140625" style="2" bestFit="1" customWidth="1"/>
    <col min="13896" max="13896" width="10.140625" style="2" bestFit="1" customWidth="1"/>
    <col min="13897" max="13897" width="10" style="2" bestFit="1" customWidth="1"/>
    <col min="13898" max="13898" width="24.5703125" style="2" customWidth="1"/>
    <col min="13899" max="13899" width="7.85546875" style="2" bestFit="1" customWidth="1"/>
    <col min="13900" max="13900" width="14.5703125" style="2" customWidth="1"/>
    <col min="13901" max="13901" width="7.28515625" style="2" bestFit="1" customWidth="1"/>
    <col min="13902" max="13902" width="10.140625" style="2" bestFit="1" customWidth="1"/>
    <col min="13903" max="13903" width="8.140625" style="2" bestFit="1" customWidth="1"/>
    <col min="13904" max="13904" width="37.140625" style="2" customWidth="1"/>
    <col min="13905" max="13905" width="38.140625" style="2" customWidth="1"/>
    <col min="13906" max="14080" width="9.140625" style="2"/>
    <col min="14081" max="14081" width="4.7109375" style="2" customWidth="1"/>
    <col min="14082" max="14082" width="11.42578125" style="2" customWidth="1"/>
    <col min="14083" max="14083" width="34.140625" style="2" customWidth="1"/>
    <col min="14084" max="14084" width="11.85546875" style="2" customWidth="1"/>
    <col min="14085" max="14085" width="24.42578125" style="2" customWidth="1"/>
    <col min="14086" max="14086" width="19" style="2" bestFit="1" customWidth="1"/>
    <col min="14087" max="14087" width="27.140625" style="2" customWidth="1"/>
    <col min="14088" max="14088" width="21.140625" style="2" bestFit="1" customWidth="1"/>
    <col min="14089" max="14089" width="35.7109375" style="2" bestFit="1" customWidth="1"/>
    <col min="14090" max="14090" width="20.140625" style="2" bestFit="1" customWidth="1"/>
    <col min="14091" max="14091" width="16.42578125" style="2" customWidth="1"/>
    <col min="14092" max="14092" width="24.140625" style="2" customWidth="1"/>
    <col min="14093" max="14093" width="18.140625" style="2" customWidth="1"/>
    <col min="14094" max="14094" width="19" style="2" customWidth="1"/>
    <col min="14095" max="14095" width="18.140625" style="2" customWidth="1"/>
    <col min="14096" max="14096" width="23.85546875" style="2" customWidth="1"/>
    <col min="14097" max="14097" width="16.5703125" style="2" customWidth="1"/>
    <col min="14098" max="14098" width="24" style="2" customWidth="1"/>
    <col min="14099" max="14099" width="26.28515625" style="2" customWidth="1"/>
    <col min="14100" max="14100" width="21.85546875" style="2" customWidth="1"/>
    <col min="14101" max="14101" width="16.140625" style="2" customWidth="1"/>
    <col min="14102" max="14102" width="26.140625" style="2" customWidth="1"/>
    <col min="14103" max="14103" width="22.85546875" style="2" customWidth="1"/>
    <col min="14104" max="14104" width="22.42578125" style="2" customWidth="1"/>
    <col min="14105" max="14105" width="15" style="2" customWidth="1"/>
    <col min="14106" max="14106" width="12.140625" style="2" customWidth="1"/>
    <col min="14107" max="14107" width="18.5703125" style="2" customWidth="1"/>
    <col min="14108" max="14108" width="28.5703125" style="2" customWidth="1"/>
    <col min="14109" max="14109" width="26.140625" style="2" customWidth="1"/>
    <col min="14110" max="14110" width="10.28515625" style="2" customWidth="1"/>
    <col min="14111" max="14111" width="60" style="2" bestFit="1" customWidth="1"/>
    <col min="14112" max="14112" width="33.5703125" style="2" customWidth="1"/>
    <col min="14113" max="14113" width="14.42578125" style="2" customWidth="1"/>
    <col min="14114" max="14114" width="36.42578125" style="2" customWidth="1"/>
    <col min="14115" max="14115" width="44.85546875" style="2" customWidth="1"/>
    <col min="14116" max="14116" width="37.42578125" style="2" customWidth="1"/>
    <col min="14117" max="14117" width="123.42578125" style="2" customWidth="1"/>
    <col min="14118" max="14118" width="34.7109375" style="2" customWidth="1"/>
    <col min="14119" max="14119" width="93.5703125" style="2" customWidth="1"/>
    <col min="14120" max="14120" width="16.42578125" style="2" customWidth="1"/>
    <col min="14121" max="14121" width="24.140625" style="2" customWidth="1"/>
    <col min="14122" max="14122" width="40.140625" style="2" customWidth="1"/>
    <col min="14123" max="14123" width="26.140625" style="2" customWidth="1"/>
    <col min="14124" max="14124" width="23.140625" style="2" customWidth="1"/>
    <col min="14125" max="14125" width="12.5703125" style="2" customWidth="1"/>
    <col min="14126" max="14126" width="24.85546875" style="2" customWidth="1"/>
    <col min="14127" max="14127" width="3.85546875" style="2" customWidth="1"/>
    <col min="14128" max="14128" width="34.85546875" style="2" customWidth="1"/>
    <col min="14129" max="14129" width="122.140625" style="2" customWidth="1"/>
    <col min="14130" max="14130" width="27.5703125" style="2" customWidth="1"/>
    <col min="14131" max="14131" width="32.140625" style="2" customWidth="1"/>
    <col min="14132" max="14132" width="28.85546875" style="2" customWidth="1"/>
    <col min="14133" max="14133" width="24.85546875" style="2" customWidth="1"/>
    <col min="14134" max="14134" width="35.140625" style="2" bestFit="1" customWidth="1"/>
    <col min="14135" max="14135" width="21.140625" style="2" customWidth="1"/>
    <col min="14136" max="14136" width="25" style="2" customWidth="1"/>
    <col min="14137" max="14137" width="10.140625" style="2" bestFit="1" customWidth="1"/>
    <col min="14138" max="14138" width="16.85546875" style="2" customWidth="1"/>
    <col min="14139" max="14139" width="8.85546875" style="2" customWidth="1"/>
    <col min="14140" max="14141" width="10.140625" style="2" bestFit="1" customWidth="1"/>
    <col min="14142" max="14142" width="45.140625" style="2" bestFit="1" customWidth="1"/>
    <col min="14143" max="14143" width="7.85546875" style="2" bestFit="1" customWidth="1"/>
    <col min="14144" max="14144" width="17" style="2" customWidth="1"/>
    <col min="14145" max="14145" width="8.140625" style="2" bestFit="1" customWidth="1"/>
    <col min="14146" max="14146" width="10.140625" style="2" bestFit="1" customWidth="1"/>
    <col min="14147" max="14147" width="8.140625" style="2" bestFit="1" customWidth="1"/>
    <col min="14148" max="14148" width="23.140625" style="2" customWidth="1"/>
    <col min="14149" max="14149" width="7.85546875" style="2" bestFit="1" customWidth="1"/>
    <col min="14150" max="14150" width="14" style="2" customWidth="1"/>
    <col min="14151" max="14151" width="8.140625" style="2" bestFit="1" customWidth="1"/>
    <col min="14152" max="14152" width="10.140625" style="2" bestFit="1" customWidth="1"/>
    <col min="14153" max="14153" width="10" style="2" bestFit="1" customWidth="1"/>
    <col min="14154" max="14154" width="24.5703125" style="2" customWidth="1"/>
    <col min="14155" max="14155" width="7.85546875" style="2" bestFit="1" customWidth="1"/>
    <col min="14156" max="14156" width="14.5703125" style="2" customWidth="1"/>
    <col min="14157" max="14157" width="7.28515625" style="2" bestFit="1" customWidth="1"/>
    <col min="14158" max="14158" width="10.140625" style="2" bestFit="1" customWidth="1"/>
    <col min="14159" max="14159" width="8.140625" style="2" bestFit="1" customWidth="1"/>
    <col min="14160" max="14160" width="37.140625" style="2" customWidth="1"/>
    <col min="14161" max="14161" width="38.140625" style="2" customWidth="1"/>
    <col min="14162" max="14336" width="9.140625" style="2"/>
    <col min="14337" max="14337" width="4.7109375" style="2" customWidth="1"/>
    <col min="14338" max="14338" width="11.42578125" style="2" customWidth="1"/>
    <col min="14339" max="14339" width="34.140625" style="2" customWidth="1"/>
    <col min="14340" max="14340" width="11.85546875" style="2" customWidth="1"/>
    <col min="14341" max="14341" width="24.42578125" style="2" customWidth="1"/>
    <col min="14342" max="14342" width="19" style="2" bestFit="1" customWidth="1"/>
    <col min="14343" max="14343" width="27.140625" style="2" customWidth="1"/>
    <col min="14344" max="14344" width="21.140625" style="2" bestFit="1" customWidth="1"/>
    <col min="14345" max="14345" width="35.7109375" style="2" bestFit="1" customWidth="1"/>
    <col min="14346" max="14346" width="20.140625" style="2" bestFit="1" customWidth="1"/>
    <col min="14347" max="14347" width="16.42578125" style="2" customWidth="1"/>
    <col min="14348" max="14348" width="24.140625" style="2" customWidth="1"/>
    <col min="14349" max="14349" width="18.140625" style="2" customWidth="1"/>
    <col min="14350" max="14350" width="19" style="2" customWidth="1"/>
    <col min="14351" max="14351" width="18.140625" style="2" customWidth="1"/>
    <col min="14352" max="14352" width="23.85546875" style="2" customWidth="1"/>
    <col min="14353" max="14353" width="16.5703125" style="2" customWidth="1"/>
    <col min="14354" max="14354" width="24" style="2" customWidth="1"/>
    <col min="14355" max="14355" width="26.28515625" style="2" customWidth="1"/>
    <col min="14356" max="14356" width="21.85546875" style="2" customWidth="1"/>
    <col min="14357" max="14357" width="16.140625" style="2" customWidth="1"/>
    <col min="14358" max="14358" width="26.140625" style="2" customWidth="1"/>
    <col min="14359" max="14359" width="22.85546875" style="2" customWidth="1"/>
    <col min="14360" max="14360" width="22.42578125" style="2" customWidth="1"/>
    <col min="14361" max="14361" width="15" style="2" customWidth="1"/>
    <col min="14362" max="14362" width="12.140625" style="2" customWidth="1"/>
    <col min="14363" max="14363" width="18.5703125" style="2" customWidth="1"/>
    <col min="14364" max="14364" width="28.5703125" style="2" customWidth="1"/>
    <col min="14365" max="14365" width="26.140625" style="2" customWidth="1"/>
    <col min="14366" max="14366" width="10.28515625" style="2" customWidth="1"/>
    <col min="14367" max="14367" width="60" style="2" bestFit="1" customWidth="1"/>
    <col min="14368" max="14368" width="33.5703125" style="2" customWidth="1"/>
    <col min="14369" max="14369" width="14.42578125" style="2" customWidth="1"/>
    <col min="14370" max="14370" width="36.42578125" style="2" customWidth="1"/>
    <col min="14371" max="14371" width="44.85546875" style="2" customWidth="1"/>
    <col min="14372" max="14372" width="37.42578125" style="2" customWidth="1"/>
    <col min="14373" max="14373" width="123.42578125" style="2" customWidth="1"/>
    <col min="14374" max="14374" width="34.7109375" style="2" customWidth="1"/>
    <col min="14375" max="14375" width="93.5703125" style="2" customWidth="1"/>
    <col min="14376" max="14376" width="16.42578125" style="2" customWidth="1"/>
    <col min="14377" max="14377" width="24.140625" style="2" customWidth="1"/>
    <col min="14378" max="14378" width="40.140625" style="2" customWidth="1"/>
    <col min="14379" max="14379" width="26.140625" style="2" customWidth="1"/>
    <col min="14380" max="14380" width="23.140625" style="2" customWidth="1"/>
    <col min="14381" max="14381" width="12.5703125" style="2" customWidth="1"/>
    <col min="14382" max="14382" width="24.85546875" style="2" customWidth="1"/>
    <col min="14383" max="14383" width="3.85546875" style="2" customWidth="1"/>
    <col min="14384" max="14384" width="34.85546875" style="2" customWidth="1"/>
    <col min="14385" max="14385" width="122.140625" style="2" customWidth="1"/>
    <col min="14386" max="14386" width="27.5703125" style="2" customWidth="1"/>
    <col min="14387" max="14387" width="32.140625" style="2" customWidth="1"/>
    <col min="14388" max="14388" width="28.85546875" style="2" customWidth="1"/>
    <col min="14389" max="14389" width="24.85546875" style="2" customWidth="1"/>
    <col min="14390" max="14390" width="35.140625" style="2" bestFit="1" customWidth="1"/>
    <col min="14391" max="14391" width="21.140625" style="2" customWidth="1"/>
    <col min="14392" max="14392" width="25" style="2" customWidth="1"/>
    <col min="14393" max="14393" width="10.140625" style="2" bestFit="1" customWidth="1"/>
    <col min="14394" max="14394" width="16.85546875" style="2" customWidth="1"/>
    <col min="14395" max="14395" width="8.85546875" style="2" customWidth="1"/>
    <col min="14396" max="14397" width="10.140625" style="2" bestFit="1" customWidth="1"/>
    <col min="14398" max="14398" width="45.140625" style="2" bestFit="1" customWidth="1"/>
    <col min="14399" max="14399" width="7.85546875" style="2" bestFit="1" customWidth="1"/>
    <col min="14400" max="14400" width="17" style="2" customWidth="1"/>
    <col min="14401" max="14401" width="8.140625" style="2" bestFit="1" customWidth="1"/>
    <col min="14402" max="14402" width="10.140625" style="2" bestFit="1" customWidth="1"/>
    <col min="14403" max="14403" width="8.140625" style="2" bestFit="1" customWidth="1"/>
    <col min="14404" max="14404" width="23.140625" style="2" customWidth="1"/>
    <col min="14405" max="14405" width="7.85546875" style="2" bestFit="1" customWidth="1"/>
    <col min="14406" max="14406" width="14" style="2" customWidth="1"/>
    <col min="14407" max="14407" width="8.140625" style="2" bestFit="1" customWidth="1"/>
    <col min="14408" max="14408" width="10.140625" style="2" bestFit="1" customWidth="1"/>
    <col min="14409" max="14409" width="10" style="2" bestFit="1" customWidth="1"/>
    <col min="14410" max="14410" width="24.5703125" style="2" customWidth="1"/>
    <col min="14411" max="14411" width="7.85546875" style="2" bestFit="1" customWidth="1"/>
    <col min="14412" max="14412" width="14.5703125" style="2" customWidth="1"/>
    <col min="14413" max="14413" width="7.28515625" style="2" bestFit="1" customWidth="1"/>
    <col min="14414" max="14414" width="10.140625" style="2" bestFit="1" customWidth="1"/>
    <col min="14415" max="14415" width="8.140625" style="2" bestFit="1" customWidth="1"/>
    <col min="14416" max="14416" width="37.140625" style="2" customWidth="1"/>
    <col min="14417" max="14417" width="38.140625" style="2" customWidth="1"/>
    <col min="14418" max="14592" width="9.140625" style="2"/>
    <col min="14593" max="14593" width="4.7109375" style="2" customWidth="1"/>
    <col min="14594" max="14594" width="11.42578125" style="2" customWidth="1"/>
    <col min="14595" max="14595" width="34.140625" style="2" customWidth="1"/>
    <col min="14596" max="14596" width="11.85546875" style="2" customWidth="1"/>
    <col min="14597" max="14597" width="24.42578125" style="2" customWidth="1"/>
    <col min="14598" max="14598" width="19" style="2" bestFit="1" customWidth="1"/>
    <col min="14599" max="14599" width="27.140625" style="2" customWidth="1"/>
    <col min="14600" max="14600" width="21.140625" style="2" bestFit="1" customWidth="1"/>
    <col min="14601" max="14601" width="35.7109375" style="2" bestFit="1" customWidth="1"/>
    <col min="14602" max="14602" width="20.140625" style="2" bestFit="1" customWidth="1"/>
    <col min="14603" max="14603" width="16.42578125" style="2" customWidth="1"/>
    <col min="14604" max="14604" width="24.140625" style="2" customWidth="1"/>
    <col min="14605" max="14605" width="18.140625" style="2" customWidth="1"/>
    <col min="14606" max="14606" width="19" style="2" customWidth="1"/>
    <col min="14607" max="14607" width="18.140625" style="2" customWidth="1"/>
    <col min="14608" max="14608" width="23.85546875" style="2" customWidth="1"/>
    <col min="14609" max="14609" width="16.5703125" style="2" customWidth="1"/>
    <col min="14610" max="14610" width="24" style="2" customWidth="1"/>
    <col min="14611" max="14611" width="26.28515625" style="2" customWidth="1"/>
    <col min="14612" max="14612" width="21.85546875" style="2" customWidth="1"/>
    <col min="14613" max="14613" width="16.140625" style="2" customWidth="1"/>
    <col min="14614" max="14614" width="26.140625" style="2" customWidth="1"/>
    <col min="14615" max="14615" width="22.85546875" style="2" customWidth="1"/>
    <col min="14616" max="14616" width="22.42578125" style="2" customWidth="1"/>
    <col min="14617" max="14617" width="15" style="2" customWidth="1"/>
    <col min="14618" max="14618" width="12.140625" style="2" customWidth="1"/>
    <col min="14619" max="14619" width="18.5703125" style="2" customWidth="1"/>
    <col min="14620" max="14620" width="28.5703125" style="2" customWidth="1"/>
    <col min="14621" max="14621" width="26.140625" style="2" customWidth="1"/>
    <col min="14622" max="14622" width="10.28515625" style="2" customWidth="1"/>
    <col min="14623" max="14623" width="60" style="2" bestFit="1" customWidth="1"/>
    <col min="14624" max="14624" width="33.5703125" style="2" customWidth="1"/>
    <col min="14625" max="14625" width="14.42578125" style="2" customWidth="1"/>
    <col min="14626" max="14626" width="36.42578125" style="2" customWidth="1"/>
    <col min="14627" max="14627" width="44.85546875" style="2" customWidth="1"/>
    <col min="14628" max="14628" width="37.42578125" style="2" customWidth="1"/>
    <col min="14629" max="14629" width="123.42578125" style="2" customWidth="1"/>
    <col min="14630" max="14630" width="34.7109375" style="2" customWidth="1"/>
    <col min="14631" max="14631" width="93.5703125" style="2" customWidth="1"/>
    <col min="14632" max="14632" width="16.42578125" style="2" customWidth="1"/>
    <col min="14633" max="14633" width="24.140625" style="2" customWidth="1"/>
    <col min="14634" max="14634" width="40.140625" style="2" customWidth="1"/>
    <col min="14635" max="14635" width="26.140625" style="2" customWidth="1"/>
    <col min="14636" max="14636" width="23.140625" style="2" customWidth="1"/>
    <col min="14637" max="14637" width="12.5703125" style="2" customWidth="1"/>
    <col min="14638" max="14638" width="24.85546875" style="2" customWidth="1"/>
    <col min="14639" max="14639" width="3.85546875" style="2" customWidth="1"/>
    <col min="14640" max="14640" width="34.85546875" style="2" customWidth="1"/>
    <col min="14641" max="14641" width="122.140625" style="2" customWidth="1"/>
    <col min="14642" max="14642" width="27.5703125" style="2" customWidth="1"/>
    <col min="14643" max="14643" width="32.140625" style="2" customWidth="1"/>
    <col min="14644" max="14644" width="28.85546875" style="2" customWidth="1"/>
    <col min="14645" max="14645" width="24.85546875" style="2" customWidth="1"/>
    <col min="14646" max="14646" width="35.140625" style="2" bestFit="1" customWidth="1"/>
    <col min="14647" max="14647" width="21.140625" style="2" customWidth="1"/>
    <col min="14648" max="14648" width="25" style="2" customWidth="1"/>
    <col min="14649" max="14649" width="10.140625" style="2" bestFit="1" customWidth="1"/>
    <col min="14650" max="14650" width="16.85546875" style="2" customWidth="1"/>
    <col min="14651" max="14651" width="8.85546875" style="2" customWidth="1"/>
    <col min="14652" max="14653" width="10.140625" style="2" bestFit="1" customWidth="1"/>
    <col min="14654" max="14654" width="45.140625" style="2" bestFit="1" customWidth="1"/>
    <col min="14655" max="14655" width="7.85546875" style="2" bestFit="1" customWidth="1"/>
    <col min="14656" max="14656" width="17" style="2" customWidth="1"/>
    <col min="14657" max="14657" width="8.140625" style="2" bestFit="1" customWidth="1"/>
    <col min="14658" max="14658" width="10.140625" style="2" bestFit="1" customWidth="1"/>
    <col min="14659" max="14659" width="8.140625" style="2" bestFit="1" customWidth="1"/>
    <col min="14660" max="14660" width="23.140625" style="2" customWidth="1"/>
    <col min="14661" max="14661" width="7.85546875" style="2" bestFit="1" customWidth="1"/>
    <col min="14662" max="14662" width="14" style="2" customWidth="1"/>
    <col min="14663" max="14663" width="8.140625" style="2" bestFit="1" customWidth="1"/>
    <col min="14664" max="14664" width="10.140625" style="2" bestFit="1" customWidth="1"/>
    <col min="14665" max="14665" width="10" style="2" bestFit="1" customWidth="1"/>
    <col min="14666" max="14666" width="24.5703125" style="2" customWidth="1"/>
    <col min="14667" max="14667" width="7.85546875" style="2" bestFit="1" customWidth="1"/>
    <col min="14668" max="14668" width="14.5703125" style="2" customWidth="1"/>
    <col min="14669" max="14669" width="7.28515625" style="2" bestFit="1" customWidth="1"/>
    <col min="14670" max="14670" width="10.140625" style="2" bestFit="1" customWidth="1"/>
    <col min="14671" max="14671" width="8.140625" style="2" bestFit="1" customWidth="1"/>
    <col min="14672" max="14672" width="37.140625" style="2" customWidth="1"/>
    <col min="14673" max="14673" width="38.140625" style="2" customWidth="1"/>
    <col min="14674" max="14848" width="9.140625" style="2"/>
    <col min="14849" max="14849" width="4.7109375" style="2" customWidth="1"/>
    <col min="14850" max="14850" width="11.42578125" style="2" customWidth="1"/>
    <col min="14851" max="14851" width="34.140625" style="2" customWidth="1"/>
    <col min="14852" max="14852" width="11.85546875" style="2" customWidth="1"/>
    <col min="14853" max="14853" width="24.42578125" style="2" customWidth="1"/>
    <col min="14854" max="14854" width="19" style="2" bestFit="1" customWidth="1"/>
    <col min="14855" max="14855" width="27.140625" style="2" customWidth="1"/>
    <col min="14856" max="14856" width="21.140625" style="2" bestFit="1" customWidth="1"/>
    <col min="14857" max="14857" width="35.7109375" style="2" bestFit="1" customWidth="1"/>
    <col min="14858" max="14858" width="20.140625" style="2" bestFit="1" customWidth="1"/>
    <col min="14859" max="14859" width="16.42578125" style="2" customWidth="1"/>
    <col min="14860" max="14860" width="24.140625" style="2" customWidth="1"/>
    <col min="14861" max="14861" width="18.140625" style="2" customWidth="1"/>
    <col min="14862" max="14862" width="19" style="2" customWidth="1"/>
    <col min="14863" max="14863" width="18.140625" style="2" customWidth="1"/>
    <col min="14864" max="14864" width="23.85546875" style="2" customWidth="1"/>
    <col min="14865" max="14865" width="16.5703125" style="2" customWidth="1"/>
    <col min="14866" max="14866" width="24" style="2" customWidth="1"/>
    <col min="14867" max="14867" width="26.28515625" style="2" customWidth="1"/>
    <col min="14868" max="14868" width="21.85546875" style="2" customWidth="1"/>
    <col min="14869" max="14869" width="16.140625" style="2" customWidth="1"/>
    <col min="14870" max="14870" width="26.140625" style="2" customWidth="1"/>
    <col min="14871" max="14871" width="22.85546875" style="2" customWidth="1"/>
    <col min="14872" max="14872" width="22.42578125" style="2" customWidth="1"/>
    <col min="14873" max="14873" width="15" style="2" customWidth="1"/>
    <col min="14874" max="14874" width="12.140625" style="2" customWidth="1"/>
    <col min="14875" max="14875" width="18.5703125" style="2" customWidth="1"/>
    <col min="14876" max="14876" width="28.5703125" style="2" customWidth="1"/>
    <col min="14877" max="14877" width="26.140625" style="2" customWidth="1"/>
    <col min="14878" max="14878" width="10.28515625" style="2" customWidth="1"/>
    <col min="14879" max="14879" width="60" style="2" bestFit="1" customWidth="1"/>
    <col min="14880" max="14880" width="33.5703125" style="2" customWidth="1"/>
    <col min="14881" max="14881" width="14.42578125" style="2" customWidth="1"/>
    <col min="14882" max="14882" width="36.42578125" style="2" customWidth="1"/>
    <col min="14883" max="14883" width="44.85546875" style="2" customWidth="1"/>
    <col min="14884" max="14884" width="37.42578125" style="2" customWidth="1"/>
    <col min="14885" max="14885" width="123.42578125" style="2" customWidth="1"/>
    <col min="14886" max="14886" width="34.7109375" style="2" customWidth="1"/>
    <col min="14887" max="14887" width="93.5703125" style="2" customWidth="1"/>
    <col min="14888" max="14888" width="16.42578125" style="2" customWidth="1"/>
    <col min="14889" max="14889" width="24.140625" style="2" customWidth="1"/>
    <col min="14890" max="14890" width="40.140625" style="2" customWidth="1"/>
    <col min="14891" max="14891" width="26.140625" style="2" customWidth="1"/>
    <col min="14892" max="14892" width="23.140625" style="2" customWidth="1"/>
    <col min="14893" max="14893" width="12.5703125" style="2" customWidth="1"/>
    <col min="14894" max="14894" width="24.85546875" style="2" customWidth="1"/>
    <col min="14895" max="14895" width="3.85546875" style="2" customWidth="1"/>
    <col min="14896" max="14896" width="34.85546875" style="2" customWidth="1"/>
    <col min="14897" max="14897" width="122.140625" style="2" customWidth="1"/>
    <col min="14898" max="14898" width="27.5703125" style="2" customWidth="1"/>
    <col min="14899" max="14899" width="32.140625" style="2" customWidth="1"/>
    <col min="14900" max="14900" width="28.85546875" style="2" customWidth="1"/>
    <col min="14901" max="14901" width="24.85546875" style="2" customWidth="1"/>
    <col min="14902" max="14902" width="35.140625" style="2" bestFit="1" customWidth="1"/>
    <col min="14903" max="14903" width="21.140625" style="2" customWidth="1"/>
    <col min="14904" max="14904" width="25" style="2" customWidth="1"/>
    <col min="14905" max="14905" width="10.140625" style="2" bestFit="1" customWidth="1"/>
    <col min="14906" max="14906" width="16.85546875" style="2" customWidth="1"/>
    <col min="14907" max="14907" width="8.85546875" style="2" customWidth="1"/>
    <col min="14908" max="14909" width="10.140625" style="2" bestFit="1" customWidth="1"/>
    <col min="14910" max="14910" width="45.140625" style="2" bestFit="1" customWidth="1"/>
    <col min="14911" max="14911" width="7.85546875" style="2" bestFit="1" customWidth="1"/>
    <col min="14912" max="14912" width="17" style="2" customWidth="1"/>
    <col min="14913" max="14913" width="8.140625" style="2" bestFit="1" customWidth="1"/>
    <col min="14914" max="14914" width="10.140625" style="2" bestFit="1" customWidth="1"/>
    <col min="14915" max="14915" width="8.140625" style="2" bestFit="1" customWidth="1"/>
    <col min="14916" max="14916" width="23.140625" style="2" customWidth="1"/>
    <col min="14917" max="14917" width="7.85546875" style="2" bestFit="1" customWidth="1"/>
    <col min="14918" max="14918" width="14" style="2" customWidth="1"/>
    <col min="14919" max="14919" width="8.140625" style="2" bestFit="1" customWidth="1"/>
    <col min="14920" max="14920" width="10.140625" style="2" bestFit="1" customWidth="1"/>
    <col min="14921" max="14921" width="10" style="2" bestFit="1" customWidth="1"/>
    <col min="14922" max="14922" width="24.5703125" style="2" customWidth="1"/>
    <col min="14923" max="14923" width="7.85546875" style="2" bestFit="1" customWidth="1"/>
    <col min="14924" max="14924" width="14.5703125" style="2" customWidth="1"/>
    <col min="14925" max="14925" width="7.28515625" style="2" bestFit="1" customWidth="1"/>
    <col min="14926" max="14926" width="10.140625" style="2" bestFit="1" customWidth="1"/>
    <col min="14927" max="14927" width="8.140625" style="2" bestFit="1" customWidth="1"/>
    <col min="14928" max="14928" width="37.140625" style="2" customWidth="1"/>
    <col min="14929" max="14929" width="38.140625" style="2" customWidth="1"/>
    <col min="14930" max="15104" width="9.140625" style="2"/>
    <col min="15105" max="15105" width="4.7109375" style="2" customWidth="1"/>
    <col min="15106" max="15106" width="11.42578125" style="2" customWidth="1"/>
    <col min="15107" max="15107" width="34.140625" style="2" customWidth="1"/>
    <col min="15108" max="15108" width="11.85546875" style="2" customWidth="1"/>
    <col min="15109" max="15109" width="24.42578125" style="2" customWidth="1"/>
    <col min="15110" max="15110" width="19" style="2" bestFit="1" customWidth="1"/>
    <col min="15111" max="15111" width="27.140625" style="2" customWidth="1"/>
    <col min="15112" max="15112" width="21.140625" style="2" bestFit="1" customWidth="1"/>
    <col min="15113" max="15113" width="35.7109375" style="2" bestFit="1" customWidth="1"/>
    <col min="15114" max="15114" width="20.140625" style="2" bestFit="1" customWidth="1"/>
    <col min="15115" max="15115" width="16.42578125" style="2" customWidth="1"/>
    <col min="15116" max="15116" width="24.140625" style="2" customWidth="1"/>
    <col min="15117" max="15117" width="18.140625" style="2" customWidth="1"/>
    <col min="15118" max="15118" width="19" style="2" customWidth="1"/>
    <col min="15119" max="15119" width="18.140625" style="2" customWidth="1"/>
    <col min="15120" max="15120" width="23.85546875" style="2" customWidth="1"/>
    <col min="15121" max="15121" width="16.5703125" style="2" customWidth="1"/>
    <col min="15122" max="15122" width="24" style="2" customWidth="1"/>
    <col min="15123" max="15123" width="26.28515625" style="2" customWidth="1"/>
    <col min="15124" max="15124" width="21.85546875" style="2" customWidth="1"/>
    <col min="15125" max="15125" width="16.140625" style="2" customWidth="1"/>
    <col min="15126" max="15126" width="26.140625" style="2" customWidth="1"/>
    <col min="15127" max="15127" width="22.85546875" style="2" customWidth="1"/>
    <col min="15128" max="15128" width="22.42578125" style="2" customWidth="1"/>
    <col min="15129" max="15129" width="15" style="2" customWidth="1"/>
    <col min="15130" max="15130" width="12.140625" style="2" customWidth="1"/>
    <col min="15131" max="15131" width="18.5703125" style="2" customWidth="1"/>
    <col min="15132" max="15132" width="28.5703125" style="2" customWidth="1"/>
    <col min="15133" max="15133" width="26.140625" style="2" customWidth="1"/>
    <col min="15134" max="15134" width="10.28515625" style="2" customWidth="1"/>
    <col min="15135" max="15135" width="60" style="2" bestFit="1" customWidth="1"/>
    <col min="15136" max="15136" width="33.5703125" style="2" customWidth="1"/>
    <col min="15137" max="15137" width="14.42578125" style="2" customWidth="1"/>
    <col min="15138" max="15138" width="36.42578125" style="2" customWidth="1"/>
    <col min="15139" max="15139" width="44.85546875" style="2" customWidth="1"/>
    <col min="15140" max="15140" width="37.42578125" style="2" customWidth="1"/>
    <col min="15141" max="15141" width="123.42578125" style="2" customWidth="1"/>
    <col min="15142" max="15142" width="34.7109375" style="2" customWidth="1"/>
    <col min="15143" max="15143" width="93.5703125" style="2" customWidth="1"/>
    <col min="15144" max="15144" width="16.42578125" style="2" customWidth="1"/>
    <col min="15145" max="15145" width="24.140625" style="2" customWidth="1"/>
    <col min="15146" max="15146" width="40.140625" style="2" customWidth="1"/>
    <col min="15147" max="15147" width="26.140625" style="2" customWidth="1"/>
    <col min="15148" max="15148" width="23.140625" style="2" customWidth="1"/>
    <col min="15149" max="15149" width="12.5703125" style="2" customWidth="1"/>
    <col min="15150" max="15150" width="24.85546875" style="2" customWidth="1"/>
    <col min="15151" max="15151" width="3.85546875" style="2" customWidth="1"/>
    <col min="15152" max="15152" width="34.85546875" style="2" customWidth="1"/>
    <col min="15153" max="15153" width="122.140625" style="2" customWidth="1"/>
    <col min="15154" max="15154" width="27.5703125" style="2" customWidth="1"/>
    <col min="15155" max="15155" width="32.140625" style="2" customWidth="1"/>
    <col min="15156" max="15156" width="28.85546875" style="2" customWidth="1"/>
    <col min="15157" max="15157" width="24.85546875" style="2" customWidth="1"/>
    <col min="15158" max="15158" width="35.140625" style="2" bestFit="1" customWidth="1"/>
    <col min="15159" max="15159" width="21.140625" style="2" customWidth="1"/>
    <col min="15160" max="15160" width="25" style="2" customWidth="1"/>
    <col min="15161" max="15161" width="10.140625" style="2" bestFit="1" customWidth="1"/>
    <col min="15162" max="15162" width="16.85546875" style="2" customWidth="1"/>
    <col min="15163" max="15163" width="8.85546875" style="2" customWidth="1"/>
    <col min="15164" max="15165" width="10.140625" style="2" bestFit="1" customWidth="1"/>
    <col min="15166" max="15166" width="45.140625" style="2" bestFit="1" customWidth="1"/>
    <col min="15167" max="15167" width="7.85546875" style="2" bestFit="1" customWidth="1"/>
    <col min="15168" max="15168" width="17" style="2" customWidth="1"/>
    <col min="15169" max="15169" width="8.140625" style="2" bestFit="1" customWidth="1"/>
    <col min="15170" max="15170" width="10.140625" style="2" bestFit="1" customWidth="1"/>
    <col min="15171" max="15171" width="8.140625" style="2" bestFit="1" customWidth="1"/>
    <col min="15172" max="15172" width="23.140625" style="2" customWidth="1"/>
    <col min="15173" max="15173" width="7.85546875" style="2" bestFit="1" customWidth="1"/>
    <col min="15174" max="15174" width="14" style="2" customWidth="1"/>
    <col min="15175" max="15175" width="8.140625" style="2" bestFit="1" customWidth="1"/>
    <col min="15176" max="15176" width="10.140625" style="2" bestFit="1" customWidth="1"/>
    <col min="15177" max="15177" width="10" style="2" bestFit="1" customWidth="1"/>
    <col min="15178" max="15178" width="24.5703125" style="2" customWidth="1"/>
    <col min="15179" max="15179" width="7.85546875" style="2" bestFit="1" customWidth="1"/>
    <col min="15180" max="15180" width="14.5703125" style="2" customWidth="1"/>
    <col min="15181" max="15181" width="7.28515625" style="2" bestFit="1" customWidth="1"/>
    <col min="15182" max="15182" width="10.140625" style="2" bestFit="1" customWidth="1"/>
    <col min="15183" max="15183" width="8.140625" style="2" bestFit="1" customWidth="1"/>
    <col min="15184" max="15184" width="37.140625" style="2" customWidth="1"/>
    <col min="15185" max="15185" width="38.140625" style="2" customWidth="1"/>
    <col min="15186" max="15360" width="9.140625" style="2"/>
    <col min="15361" max="15361" width="4.7109375" style="2" customWidth="1"/>
    <col min="15362" max="15362" width="11.42578125" style="2" customWidth="1"/>
    <col min="15363" max="15363" width="34.140625" style="2" customWidth="1"/>
    <col min="15364" max="15364" width="11.85546875" style="2" customWidth="1"/>
    <col min="15365" max="15365" width="24.42578125" style="2" customWidth="1"/>
    <col min="15366" max="15366" width="19" style="2" bestFit="1" customWidth="1"/>
    <col min="15367" max="15367" width="27.140625" style="2" customWidth="1"/>
    <col min="15368" max="15368" width="21.140625" style="2" bestFit="1" customWidth="1"/>
    <col min="15369" max="15369" width="35.7109375" style="2" bestFit="1" customWidth="1"/>
    <col min="15370" max="15370" width="20.140625" style="2" bestFit="1" customWidth="1"/>
    <col min="15371" max="15371" width="16.42578125" style="2" customWidth="1"/>
    <col min="15372" max="15372" width="24.140625" style="2" customWidth="1"/>
    <col min="15373" max="15373" width="18.140625" style="2" customWidth="1"/>
    <col min="15374" max="15374" width="19" style="2" customWidth="1"/>
    <col min="15375" max="15375" width="18.140625" style="2" customWidth="1"/>
    <col min="15376" max="15376" width="23.85546875" style="2" customWidth="1"/>
    <col min="15377" max="15377" width="16.5703125" style="2" customWidth="1"/>
    <col min="15378" max="15378" width="24" style="2" customWidth="1"/>
    <col min="15379" max="15379" width="26.28515625" style="2" customWidth="1"/>
    <col min="15380" max="15380" width="21.85546875" style="2" customWidth="1"/>
    <col min="15381" max="15381" width="16.140625" style="2" customWidth="1"/>
    <col min="15382" max="15382" width="26.140625" style="2" customWidth="1"/>
    <col min="15383" max="15383" width="22.85546875" style="2" customWidth="1"/>
    <col min="15384" max="15384" width="22.42578125" style="2" customWidth="1"/>
    <col min="15385" max="15385" width="15" style="2" customWidth="1"/>
    <col min="15386" max="15386" width="12.140625" style="2" customWidth="1"/>
    <col min="15387" max="15387" width="18.5703125" style="2" customWidth="1"/>
    <col min="15388" max="15388" width="28.5703125" style="2" customWidth="1"/>
    <col min="15389" max="15389" width="26.140625" style="2" customWidth="1"/>
    <col min="15390" max="15390" width="10.28515625" style="2" customWidth="1"/>
    <col min="15391" max="15391" width="60" style="2" bestFit="1" customWidth="1"/>
    <col min="15392" max="15392" width="33.5703125" style="2" customWidth="1"/>
    <col min="15393" max="15393" width="14.42578125" style="2" customWidth="1"/>
    <col min="15394" max="15394" width="36.42578125" style="2" customWidth="1"/>
    <col min="15395" max="15395" width="44.85546875" style="2" customWidth="1"/>
    <col min="15396" max="15396" width="37.42578125" style="2" customWidth="1"/>
    <col min="15397" max="15397" width="123.42578125" style="2" customWidth="1"/>
    <col min="15398" max="15398" width="34.7109375" style="2" customWidth="1"/>
    <col min="15399" max="15399" width="93.5703125" style="2" customWidth="1"/>
    <col min="15400" max="15400" width="16.42578125" style="2" customWidth="1"/>
    <col min="15401" max="15401" width="24.140625" style="2" customWidth="1"/>
    <col min="15402" max="15402" width="40.140625" style="2" customWidth="1"/>
    <col min="15403" max="15403" width="26.140625" style="2" customWidth="1"/>
    <col min="15404" max="15404" width="23.140625" style="2" customWidth="1"/>
    <col min="15405" max="15405" width="12.5703125" style="2" customWidth="1"/>
    <col min="15406" max="15406" width="24.85546875" style="2" customWidth="1"/>
    <col min="15407" max="15407" width="3.85546875" style="2" customWidth="1"/>
    <col min="15408" max="15408" width="34.85546875" style="2" customWidth="1"/>
    <col min="15409" max="15409" width="122.140625" style="2" customWidth="1"/>
    <col min="15410" max="15410" width="27.5703125" style="2" customWidth="1"/>
    <col min="15411" max="15411" width="32.140625" style="2" customWidth="1"/>
    <col min="15412" max="15412" width="28.85546875" style="2" customWidth="1"/>
    <col min="15413" max="15413" width="24.85546875" style="2" customWidth="1"/>
    <col min="15414" max="15414" width="35.140625" style="2" bestFit="1" customWidth="1"/>
    <col min="15415" max="15415" width="21.140625" style="2" customWidth="1"/>
    <col min="15416" max="15416" width="25" style="2" customWidth="1"/>
    <col min="15417" max="15417" width="10.140625" style="2" bestFit="1" customWidth="1"/>
    <col min="15418" max="15418" width="16.85546875" style="2" customWidth="1"/>
    <col min="15419" max="15419" width="8.85546875" style="2" customWidth="1"/>
    <col min="15420" max="15421" width="10.140625" style="2" bestFit="1" customWidth="1"/>
    <col min="15422" max="15422" width="45.140625" style="2" bestFit="1" customWidth="1"/>
    <col min="15423" max="15423" width="7.85546875" style="2" bestFit="1" customWidth="1"/>
    <col min="15424" max="15424" width="17" style="2" customWidth="1"/>
    <col min="15425" max="15425" width="8.140625" style="2" bestFit="1" customWidth="1"/>
    <col min="15426" max="15426" width="10.140625" style="2" bestFit="1" customWidth="1"/>
    <col min="15427" max="15427" width="8.140625" style="2" bestFit="1" customWidth="1"/>
    <col min="15428" max="15428" width="23.140625" style="2" customWidth="1"/>
    <col min="15429" max="15429" width="7.85546875" style="2" bestFit="1" customWidth="1"/>
    <col min="15430" max="15430" width="14" style="2" customWidth="1"/>
    <col min="15431" max="15431" width="8.140625" style="2" bestFit="1" customWidth="1"/>
    <col min="15432" max="15432" width="10.140625" style="2" bestFit="1" customWidth="1"/>
    <col min="15433" max="15433" width="10" style="2" bestFit="1" customWidth="1"/>
    <col min="15434" max="15434" width="24.5703125" style="2" customWidth="1"/>
    <col min="15435" max="15435" width="7.85546875" style="2" bestFit="1" customWidth="1"/>
    <col min="15436" max="15436" width="14.5703125" style="2" customWidth="1"/>
    <col min="15437" max="15437" width="7.28515625" style="2" bestFit="1" customWidth="1"/>
    <col min="15438" max="15438" width="10.140625" style="2" bestFit="1" customWidth="1"/>
    <col min="15439" max="15439" width="8.140625" style="2" bestFit="1" customWidth="1"/>
    <col min="15440" max="15440" width="37.140625" style="2" customWidth="1"/>
    <col min="15441" max="15441" width="38.140625" style="2" customWidth="1"/>
    <col min="15442" max="15616" width="9.140625" style="2"/>
    <col min="15617" max="15617" width="4.7109375" style="2" customWidth="1"/>
    <col min="15618" max="15618" width="11.42578125" style="2" customWidth="1"/>
    <col min="15619" max="15619" width="34.140625" style="2" customWidth="1"/>
    <col min="15620" max="15620" width="11.85546875" style="2" customWidth="1"/>
    <col min="15621" max="15621" width="24.42578125" style="2" customWidth="1"/>
    <col min="15622" max="15622" width="19" style="2" bestFit="1" customWidth="1"/>
    <col min="15623" max="15623" width="27.140625" style="2" customWidth="1"/>
    <col min="15624" max="15624" width="21.140625" style="2" bestFit="1" customWidth="1"/>
    <col min="15625" max="15625" width="35.7109375" style="2" bestFit="1" customWidth="1"/>
    <col min="15626" max="15626" width="20.140625" style="2" bestFit="1" customWidth="1"/>
    <col min="15627" max="15627" width="16.42578125" style="2" customWidth="1"/>
    <col min="15628" max="15628" width="24.140625" style="2" customWidth="1"/>
    <col min="15629" max="15629" width="18.140625" style="2" customWidth="1"/>
    <col min="15630" max="15630" width="19" style="2" customWidth="1"/>
    <col min="15631" max="15631" width="18.140625" style="2" customWidth="1"/>
    <col min="15632" max="15632" width="23.85546875" style="2" customWidth="1"/>
    <col min="15633" max="15633" width="16.5703125" style="2" customWidth="1"/>
    <col min="15634" max="15634" width="24" style="2" customWidth="1"/>
    <col min="15635" max="15635" width="26.28515625" style="2" customWidth="1"/>
    <col min="15636" max="15636" width="21.85546875" style="2" customWidth="1"/>
    <col min="15637" max="15637" width="16.140625" style="2" customWidth="1"/>
    <col min="15638" max="15638" width="26.140625" style="2" customWidth="1"/>
    <col min="15639" max="15639" width="22.85546875" style="2" customWidth="1"/>
    <col min="15640" max="15640" width="22.42578125" style="2" customWidth="1"/>
    <col min="15641" max="15641" width="15" style="2" customWidth="1"/>
    <col min="15642" max="15642" width="12.140625" style="2" customWidth="1"/>
    <col min="15643" max="15643" width="18.5703125" style="2" customWidth="1"/>
    <col min="15644" max="15644" width="28.5703125" style="2" customWidth="1"/>
    <col min="15645" max="15645" width="26.140625" style="2" customWidth="1"/>
    <col min="15646" max="15646" width="10.28515625" style="2" customWidth="1"/>
    <col min="15647" max="15647" width="60" style="2" bestFit="1" customWidth="1"/>
    <col min="15648" max="15648" width="33.5703125" style="2" customWidth="1"/>
    <col min="15649" max="15649" width="14.42578125" style="2" customWidth="1"/>
    <col min="15650" max="15650" width="36.42578125" style="2" customWidth="1"/>
    <col min="15651" max="15651" width="44.85546875" style="2" customWidth="1"/>
    <col min="15652" max="15652" width="37.42578125" style="2" customWidth="1"/>
    <col min="15653" max="15653" width="123.42578125" style="2" customWidth="1"/>
    <col min="15654" max="15654" width="34.7109375" style="2" customWidth="1"/>
    <col min="15655" max="15655" width="93.5703125" style="2" customWidth="1"/>
    <col min="15656" max="15656" width="16.42578125" style="2" customWidth="1"/>
    <col min="15657" max="15657" width="24.140625" style="2" customWidth="1"/>
    <col min="15658" max="15658" width="40.140625" style="2" customWidth="1"/>
    <col min="15659" max="15659" width="26.140625" style="2" customWidth="1"/>
    <col min="15660" max="15660" width="23.140625" style="2" customWidth="1"/>
    <col min="15661" max="15661" width="12.5703125" style="2" customWidth="1"/>
    <col min="15662" max="15662" width="24.85546875" style="2" customWidth="1"/>
    <col min="15663" max="15663" width="3.85546875" style="2" customWidth="1"/>
    <col min="15664" max="15664" width="34.85546875" style="2" customWidth="1"/>
    <col min="15665" max="15665" width="122.140625" style="2" customWidth="1"/>
    <col min="15666" max="15666" width="27.5703125" style="2" customWidth="1"/>
    <col min="15667" max="15667" width="32.140625" style="2" customWidth="1"/>
    <col min="15668" max="15668" width="28.85546875" style="2" customWidth="1"/>
    <col min="15669" max="15669" width="24.85546875" style="2" customWidth="1"/>
    <col min="15670" max="15670" width="35.140625" style="2" bestFit="1" customWidth="1"/>
    <col min="15671" max="15671" width="21.140625" style="2" customWidth="1"/>
    <col min="15672" max="15672" width="25" style="2" customWidth="1"/>
    <col min="15673" max="15673" width="10.140625" style="2" bestFit="1" customWidth="1"/>
    <col min="15674" max="15674" width="16.85546875" style="2" customWidth="1"/>
    <col min="15675" max="15675" width="8.85546875" style="2" customWidth="1"/>
    <col min="15676" max="15677" width="10.140625" style="2" bestFit="1" customWidth="1"/>
    <col min="15678" max="15678" width="45.140625" style="2" bestFit="1" customWidth="1"/>
    <col min="15679" max="15679" width="7.85546875" style="2" bestFit="1" customWidth="1"/>
    <col min="15680" max="15680" width="17" style="2" customWidth="1"/>
    <col min="15681" max="15681" width="8.140625" style="2" bestFit="1" customWidth="1"/>
    <col min="15682" max="15682" width="10.140625" style="2" bestFit="1" customWidth="1"/>
    <col min="15683" max="15683" width="8.140625" style="2" bestFit="1" customWidth="1"/>
    <col min="15684" max="15684" width="23.140625" style="2" customWidth="1"/>
    <col min="15685" max="15685" width="7.85546875" style="2" bestFit="1" customWidth="1"/>
    <col min="15686" max="15686" width="14" style="2" customWidth="1"/>
    <col min="15687" max="15687" width="8.140625" style="2" bestFit="1" customWidth="1"/>
    <col min="15688" max="15688" width="10.140625" style="2" bestFit="1" customWidth="1"/>
    <col min="15689" max="15689" width="10" style="2" bestFit="1" customWidth="1"/>
    <col min="15690" max="15690" width="24.5703125" style="2" customWidth="1"/>
    <col min="15691" max="15691" width="7.85546875" style="2" bestFit="1" customWidth="1"/>
    <col min="15692" max="15692" width="14.5703125" style="2" customWidth="1"/>
    <col min="15693" max="15693" width="7.28515625" style="2" bestFit="1" customWidth="1"/>
    <col min="15694" max="15694" width="10.140625" style="2" bestFit="1" customWidth="1"/>
    <col min="15695" max="15695" width="8.140625" style="2" bestFit="1" customWidth="1"/>
    <col min="15696" max="15696" width="37.140625" style="2" customWidth="1"/>
    <col min="15697" max="15697" width="38.140625" style="2" customWidth="1"/>
    <col min="15698" max="15872" width="9.140625" style="2"/>
    <col min="15873" max="15873" width="4.7109375" style="2" customWidth="1"/>
    <col min="15874" max="15874" width="11.42578125" style="2" customWidth="1"/>
    <col min="15875" max="15875" width="34.140625" style="2" customWidth="1"/>
    <col min="15876" max="15876" width="11.85546875" style="2" customWidth="1"/>
    <col min="15877" max="15877" width="24.42578125" style="2" customWidth="1"/>
    <col min="15878" max="15878" width="19" style="2" bestFit="1" customWidth="1"/>
    <col min="15879" max="15879" width="27.140625" style="2" customWidth="1"/>
    <col min="15880" max="15880" width="21.140625" style="2" bestFit="1" customWidth="1"/>
    <col min="15881" max="15881" width="35.7109375" style="2" bestFit="1" customWidth="1"/>
    <col min="15882" max="15882" width="20.140625" style="2" bestFit="1" customWidth="1"/>
    <col min="15883" max="15883" width="16.42578125" style="2" customWidth="1"/>
    <col min="15884" max="15884" width="24.140625" style="2" customWidth="1"/>
    <col min="15885" max="15885" width="18.140625" style="2" customWidth="1"/>
    <col min="15886" max="15886" width="19" style="2" customWidth="1"/>
    <col min="15887" max="15887" width="18.140625" style="2" customWidth="1"/>
    <col min="15888" max="15888" width="23.85546875" style="2" customWidth="1"/>
    <col min="15889" max="15889" width="16.5703125" style="2" customWidth="1"/>
    <col min="15890" max="15890" width="24" style="2" customWidth="1"/>
    <col min="15891" max="15891" width="26.28515625" style="2" customWidth="1"/>
    <col min="15892" max="15892" width="21.85546875" style="2" customWidth="1"/>
    <col min="15893" max="15893" width="16.140625" style="2" customWidth="1"/>
    <col min="15894" max="15894" width="26.140625" style="2" customWidth="1"/>
    <col min="15895" max="15895" width="22.85546875" style="2" customWidth="1"/>
    <col min="15896" max="15896" width="22.42578125" style="2" customWidth="1"/>
    <col min="15897" max="15897" width="15" style="2" customWidth="1"/>
    <col min="15898" max="15898" width="12.140625" style="2" customWidth="1"/>
    <col min="15899" max="15899" width="18.5703125" style="2" customWidth="1"/>
    <col min="15900" max="15900" width="28.5703125" style="2" customWidth="1"/>
    <col min="15901" max="15901" width="26.140625" style="2" customWidth="1"/>
    <col min="15902" max="15902" width="10.28515625" style="2" customWidth="1"/>
    <col min="15903" max="15903" width="60" style="2" bestFit="1" customWidth="1"/>
    <col min="15904" max="15904" width="33.5703125" style="2" customWidth="1"/>
    <col min="15905" max="15905" width="14.42578125" style="2" customWidth="1"/>
    <col min="15906" max="15906" width="36.42578125" style="2" customWidth="1"/>
    <col min="15907" max="15907" width="44.85546875" style="2" customWidth="1"/>
    <col min="15908" max="15908" width="37.42578125" style="2" customWidth="1"/>
    <col min="15909" max="15909" width="123.42578125" style="2" customWidth="1"/>
    <col min="15910" max="15910" width="34.7109375" style="2" customWidth="1"/>
    <col min="15911" max="15911" width="93.5703125" style="2" customWidth="1"/>
    <col min="15912" max="15912" width="16.42578125" style="2" customWidth="1"/>
    <col min="15913" max="15913" width="24.140625" style="2" customWidth="1"/>
    <col min="15914" max="15914" width="40.140625" style="2" customWidth="1"/>
    <col min="15915" max="15915" width="26.140625" style="2" customWidth="1"/>
    <col min="15916" max="15916" width="23.140625" style="2" customWidth="1"/>
    <col min="15917" max="15917" width="12.5703125" style="2" customWidth="1"/>
    <col min="15918" max="15918" width="24.85546875" style="2" customWidth="1"/>
    <col min="15919" max="15919" width="3.85546875" style="2" customWidth="1"/>
    <col min="15920" max="15920" width="34.85546875" style="2" customWidth="1"/>
    <col min="15921" max="15921" width="122.140625" style="2" customWidth="1"/>
    <col min="15922" max="15922" width="27.5703125" style="2" customWidth="1"/>
    <col min="15923" max="15923" width="32.140625" style="2" customWidth="1"/>
    <col min="15924" max="15924" width="28.85546875" style="2" customWidth="1"/>
    <col min="15925" max="15925" width="24.85546875" style="2" customWidth="1"/>
    <col min="15926" max="15926" width="35.140625" style="2" bestFit="1" customWidth="1"/>
    <col min="15927" max="15927" width="21.140625" style="2" customWidth="1"/>
    <col min="15928" max="15928" width="25" style="2" customWidth="1"/>
    <col min="15929" max="15929" width="10.140625" style="2" bestFit="1" customWidth="1"/>
    <col min="15930" max="15930" width="16.85546875" style="2" customWidth="1"/>
    <col min="15931" max="15931" width="8.85546875" style="2" customWidth="1"/>
    <col min="15932" max="15933" width="10.140625" style="2" bestFit="1" customWidth="1"/>
    <col min="15934" max="15934" width="45.140625" style="2" bestFit="1" customWidth="1"/>
    <col min="15935" max="15935" width="7.85546875" style="2" bestFit="1" customWidth="1"/>
    <col min="15936" max="15936" width="17" style="2" customWidth="1"/>
    <col min="15937" max="15937" width="8.140625" style="2" bestFit="1" customWidth="1"/>
    <col min="15938" max="15938" width="10.140625" style="2" bestFit="1" customWidth="1"/>
    <col min="15939" max="15939" width="8.140625" style="2" bestFit="1" customWidth="1"/>
    <col min="15940" max="15940" width="23.140625" style="2" customWidth="1"/>
    <col min="15941" max="15941" width="7.85546875" style="2" bestFit="1" customWidth="1"/>
    <col min="15942" max="15942" width="14" style="2" customWidth="1"/>
    <col min="15943" max="15943" width="8.140625" style="2" bestFit="1" customWidth="1"/>
    <col min="15944" max="15944" width="10.140625" style="2" bestFit="1" customWidth="1"/>
    <col min="15945" max="15945" width="10" style="2" bestFit="1" customWidth="1"/>
    <col min="15946" max="15946" width="24.5703125" style="2" customWidth="1"/>
    <col min="15947" max="15947" width="7.85546875" style="2" bestFit="1" customWidth="1"/>
    <col min="15948" max="15948" width="14.5703125" style="2" customWidth="1"/>
    <col min="15949" max="15949" width="7.28515625" style="2" bestFit="1" customWidth="1"/>
    <col min="15950" max="15950" width="10.140625" style="2" bestFit="1" customWidth="1"/>
    <col min="15951" max="15951" width="8.140625" style="2" bestFit="1" customWidth="1"/>
    <col min="15952" max="15952" width="37.140625" style="2" customWidth="1"/>
    <col min="15953" max="15953" width="38.140625" style="2" customWidth="1"/>
    <col min="15954" max="16128" width="9.140625" style="2"/>
    <col min="16129" max="16129" width="4.7109375" style="2" customWidth="1"/>
    <col min="16130" max="16130" width="11.42578125" style="2" customWidth="1"/>
    <col min="16131" max="16131" width="34.140625" style="2" customWidth="1"/>
    <col min="16132" max="16132" width="11.85546875" style="2" customWidth="1"/>
    <col min="16133" max="16133" width="24.42578125" style="2" customWidth="1"/>
    <col min="16134" max="16134" width="19" style="2" bestFit="1" customWidth="1"/>
    <col min="16135" max="16135" width="27.140625" style="2" customWidth="1"/>
    <col min="16136" max="16136" width="21.140625" style="2" bestFit="1" customWidth="1"/>
    <col min="16137" max="16137" width="35.7109375" style="2" bestFit="1" customWidth="1"/>
    <col min="16138" max="16138" width="20.140625" style="2" bestFit="1" customWidth="1"/>
    <col min="16139" max="16139" width="16.42578125" style="2" customWidth="1"/>
    <col min="16140" max="16140" width="24.140625" style="2" customWidth="1"/>
    <col min="16141" max="16141" width="18.140625" style="2" customWidth="1"/>
    <col min="16142" max="16142" width="19" style="2" customWidth="1"/>
    <col min="16143" max="16143" width="18.140625" style="2" customWidth="1"/>
    <col min="16144" max="16144" width="23.85546875" style="2" customWidth="1"/>
    <col min="16145" max="16145" width="16.5703125" style="2" customWidth="1"/>
    <col min="16146" max="16146" width="24" style="2" customWidth="1"/>
    <col min="16147" max="16147" width="26.28515625" style="2" customWidth="1"/>
    <col min="16148" max="16148" width="21.85546875" style="2" customWidth="1"/>
    <col min="16149" max="16149" width="16.140625" style="2" customWidth="1"/>
    <col min="16150" max="16150" width="26.140625" style="2" customWidth="1"/>
    <col min="16151" max="16151" width="22.85546875" style="2" customWidth="1"/>
    <col min="16152" max="16152" width="22.42578125" style="2" customWidth="1"/>
    <col min="16153" max="16153" width="15" style="2" customWidth="1"/>
    <col min="16154" max="16154" width="12.140625" style="2" customWidth="1"/>
    <col min="16155" max="16155" width="18.5703125" style="2" customWidth="1"/>
    <col min="16156" max="16156" width="28.5703125" style="2" customWidth="1"/>
    <col min="16157" max="16157" width="26.140625" style="2" customWidth="1"/>
    <col min="16158" max="16158" width="10.28515625" style="2" customWidth="1"/>
    <col min="16159" max="16159" width="60" style="2" bestFit="1" customWidth="1"/>
    <col min="16160" max="16160" width="33.5703125" style="2" customWidth="1"/>
    <col min="16161" max="16161" width="14.42578125" style="2" customWidth="1"/>
    <col min="16162" max="16162" width="36.42578125" style="2" customWidth="1"/>
    <col min="16163" max="16163" width="44.85546875" style="2" customWidth="1"/>
    <col min="16164" max="16164" width="37.42578125" style="2" customWidth="1"/>
    <col min="16165" max="16165" width="123.42578125" style="2" customWidth="1"/>
    <col min="16166" max="16166" width="34.7109375" style="2" customWidth="1"/>
    <col min="16167" max="16167" width="93.5703125" style="2" customWidth="1"/>
    <col min="16168" max="16168" width="16.42578125" style="2" customWidth="1"/>
    <col min="16169" max="16169" width="24.140625" style="2" customWidth="1"/>
    <col min="16170" max="16170" width="40.140625" style="2" customWidth="1"/>
    <col min="16171" max="16171" width="26.140625" style="2" customWidth="1"/>
    <col min="16172" max="16172" width="23.140625" style="2" customWidth="1"/>
    <col min="16173" max="16173" width="12.5703125" style="2" customWidth="1"/>
    <col min="16174" max="16174" width="24.85546875" style="2" customWidth="1"/>
    <col min="16175" max="16175" width="3.85546875" style="2" customWidth="1"/>
    <col min="16176" max="16176" width="34.85546875" style="2" customWidth="1"/>
    <col min="16177" max="16177" width="122.140625" style="2" customWidth="1"/>
    <col min="16178" max="16178" width="27.5703125" style="2" customWidth="1"/>
    <col min="16179" max="16179" width="32.140625" style="2" customWidth="1"/>
    <col min="16180" max="16180" width="28.85546875" style="2" customWidth="1"/>
    <col min="16181" max="16181" width="24.85546875" style="2" customWidth="1"/>
    <col min="16182" max="16182" width="35.140625" style="2" bestFit="1" customWidth="1"/>
    <col min="16183" max="16183" width="21.140625" style="2" customWidth="1"/>
    <col min="16184" max="16184" width="25" style="2" customWidth="1"/>
    <col min="16185" max="16185" width="10.140625" style="2" bestFit="1" customWidth="1"/>
    <col min="16186" max="16186" width="16.85546875" style="2" customWidth="1"/>
    <col min="16187" max="16187" width="8.85546875" style="2" customWidth="1"/>
    <col min="16188" max="16189" width="10.140625" style="2" bestFit="1" customWidth="1"/>
    <col min="16190" max="16190" width="45.140625" style="2" bestFit="1" customWidth="1"/>
    <col min="16191" max="16191" width="7.85546875" style="2" bestFit="1" customWidth="1"/>
    <col min="16192" max="16192" width="17" style="2" customWidth="1"/>
    <col min="16193" max="16193" width="8.140625" style="2" bestFit="1" customWidth="1"/>
    <col min="16194" max="16194" width="10.140625" style="2" bestFit="1" customWidth="1"/>
    <col min="16195" max="16195" width="8.140625" style="2" bestFit="1" customWidth="1"/>
    <col min="16196" max="16196" width="23.140625" style="2" customWidth="1"/>
    <col min="16197" max="16197" width="7.85546875" style="2" bestFit="1" customWidth="1"/>
    <col min="16198" max="16198" width="14" style="2" customWidth="1"/>
    <col min="16199" max="16199" width="8.140625" style="2" bestFit="1" customWidth="1"/>
    <col min="16200" max="16200" width="10.140625" style="2" bestFit="1" customWidth="1"/>
    <col min="16201" max="16201" width="10" style="2" bestFit="1" customWidth="1"/>
    <col min="16202" max="16202" width="24.5703125" style="2" customWidth="1"/>
    <col min="16203" max="16203" width="7.85546875" style="2" bestFit="1" customWidth="1"/>
    <col min="16204" max="16204" width="14.5703125" style="2" customWidth="1"/>
    <col min="16205" max="16205" width="7.28515625" style="2" bestFit="1" customWidth="1"/>
    <col min="16206" max="16206" width="10.140625" style="2" bestFit="1" customWidth="1"/>
    <col min="16207" max="16207" width="8.140625" style="2" bestFit="1" customWidth="1"/>
    <col min="16208" max="16208" width="37.140625" style="2" customWidth="1"/>
    <col min="16209" max="16209" width="38.140625" style="2" customWidth="1"/>
    <col min="16210" max="16384" width="9.140625" style="2"/>
  </cols>
  <sheetData>
    <row r="1" spans="1:81" ht="15" customHeight="1" x14ac:dyDescent="0.25">
      <c r="I1" s="3"/>
      <c r="S1" s="5"/>
      <c r="T1" s="6"/>
      <c r="U1" s="6"/>
      <c r="V1" s="6"/>
      <c r="AE1" s="7"/>
      <c r="AF1" s="7"/>
      <c r="AG1" s="7"/>
      <c r="AH1" s="7"/>
      <c r="AJ1" s="2"/>
    </row>
    <row r="2" spans="1:81" ht="15" customHeight="1" x14ac:dyDescent="0.25">
      <c r="I2" s="3"/>
      <c r="T2" s="10"/>
      <c r="U2" s="10"/>
      <c r="V2" s="10"/>
      <c r="AE2" s="7"/>
      <c r="AF2" s="7"/>
      <c r="AG2" s="7"/>
      <c r="AH2" s="7"/>
      <c r="AJ2" s="2"/>
    </row>
    <row r="3" spans="1:81" ht="15" customHeight="1" x14ac:dyDescent="0.25">
      <c r="I3" s="3"/>
      <c r="T3" s="10"/>
      <c r="U3" s="10"/>
      <c r="V3" s="10"/>
      <c r="AE3" s="7"/>
      <c r="AF3" s="7"/>
      <c r="AG3" s="7"/>
      <c r="AH3" s="7"/>
      <c r="AJ3" s="2"/>
    </row>
    <row r="4" spans="1:81" s="14" customFormat="1" ht="15" customHeight="1" x14ac:dyDescent="0.25">
      <c r="A4" s="11" t="s">
        <v>0</v>
      </c>
      <c r="B4" s="11"/>
      <c r="C4" s="12"/>
      <c r="D4" s="11"/>
      <c r="E4" s="13" t="s">
        <v>1</v>
      </c>
      <c r="G4" s="15" t="s">
        <v>2</v>
      </c>
      <c r="H4" s="15" t="s">
        <v>3</v>
      </c>
      <c r="I4" s="13" t="s">
        <v>4</v>
      </c>
      <c r="J4" s="16" t="s">
        <v>5</v>
      </c>
      <c r="K4" s="16" t="s">
        <v>6</v>
      </c>
      <c r="L4" s="16" t="s">
        <v>7</v>
      </c>
      <c r="M4" s="16" t="s">
        <v>8</v>
      </c>
      <c r="N4" s="16" t="s">
        <v>9</v>
      </c>
      <c r="O4" s="16"/>
      <c r="P4" s="16"/>
      <c r="Q4" s="17"/>
      <c r="R4" s="15" t="s">
        <v>2</v>
      </c>
      <c r="S4" s="15" t="s">
        <v>10</v>
      </c>
      <c r="T4" s="15" t="s">
        <v>11</v>
      </c>
      <c r="U4" s="13" t="s">
        <v>12</v>
      </c>
      <c r="V4" s="13" t="s">
        <v>13</v>
      </c>
      <c r="X4" s="11"/>
      <c r="Y4" s="17"/>
      <c r="Z4" s="17"/>
      <c r="AA4" s="17"/>
      <c r="AB4" s="18"/>
      <c r="AC4" s="18"/>
      <c r="AD4" s="18"/>
      <c r="AE4" s="19"/>
      <c r="AF4" s="20"/>
      <c r="AG4" s="20"/>
      <c r="AH4" s="21"/>
      <c r="AI4" s="22"/>
      <c r="AJ4" s="23"/>
      <c r="AK4" s="11"/>
      <c r="AL4" s="24"/>
      <c r="AM4" s="11"/>
      <c r="AY4" s="11"/>
      <c r="AZ4" s="11"/>
      <c r="BA4" s="11"/>
      <c r="BB4" s="25"/>
      <c r="BC4" s="11"/>
      <c r="BF4" s="26"/>
      <c r="BG4" s="27"/>
      <c r="BH4" s="27"/>
      <c r="BI4" s="27"/>
      <c r="BL4" s="26"/>
      <c r="BM4" s="27"/>
      <c r="BN4" s="27"/>
      <c r="BO4" s="27"/>
      <c r="BR4" s="26"/>
      <c r="BS4" s="27"/>
      <c r="BT4" s="27"/>
      <c r="BU4" s="27"/>
      <c r="BX4" s="26"/>
      <c r="BY4" s="27"/>
      <c r="BZ4" s="27"/>
      <c r="CA4" s="27"/>
      <c r="CB4" s="27"/>
      <c r="CC4" s="27"/>
    </row>
    <row r="5" spans="1:81" s="27" customFormat="1" ht="15" customHeight="1" x14ac:dyDescent="0.25">
      <c r="A5" s="27" t="s">
        <v>14</v>
      </c>
      <c r="C5" s="11"/>
      <c r="D5" s="27" t="s">
        <v>15</v>
      </c>
      <c r="E5" s="28">
        <f>SUM(G5:P5)</f>
        <v>129</v>
      </c>
      <c r="G5" s="29">
        <f>(COUNTIF(E10:E143,"DIRECTOR")*1)</f>
        <v>2</v>
      </c>
      <c r="H5" s="29">
        <f>(COUNTIF(E10:E143,"GENERAL MANAGER")*1)</f>
        <v>3</v>
      </c>
      <c r="I5" s="29">
        <f>((COUNTIF(E10:E143,"MANAGER")*1))+((COUNTIF(E10:E143,"SENIOR MANAGER")*1))</f>
        <v>18</v>
      </c>
      <c r="J5" s="29">
        <f>(COUNTIF(E10:E143,"ASSISTANT MANAGER")*1)</f>
        <v>20</v>
      </c>
      <c r="K5" s="29">
        <f>(COUNTIF(E10:E143,"SUPERVISOR")*1)</f>
        <v>37</v>
      </c>
      <c r="L5" s="29">
        <f>((COUNTIF(E10:E143,"OFFICER")*1))+((COUNTIF(E10:E143,"SENIOR STAFF")*1))</f>
        <v>19</v>
      </c>
      <c r="M5" s="29">
        <f>(COUNTIF(E10:E143,"STAFF")*1)</f>
        <v>22</v>
      </c>
      <c r="N5" s="29">
        <f>(COUNTIF(E10:E143,"OPERATOR / CLERK")*1)</f>
        <v>8</v>
      </c>
      <c r="O5" s="29"/>
      <c r="P5" s="29"/>
      <c r="Q5" s="30"/>
      <c r="R5" s="30">
        <f>(COUNTIF(F10:F131,"DIRECTOR")*1)</f>
        <v>2</v>
      </c>
      <c r="S5" s="30">
        <f>(COUNTIF(F10:F131,"ADMINISTRATION")*1)</f>
        <v>14</v>
      </c>
      <c r="T5" s="30">
        <f>(COUNTIF(F10:F131,"SALES &amp; MARKETING")*1)</f>
        <v>39</v>
      </c>
      <c r="U5" s="30">
        <f>(COUNTIF(F10:F131,"PLANT")*1)</f>
        <v>57</v>
      </c>
      <c r="V5" s="30">
        <f>(COUNTIF(F10:F131,"STRATEGY DEVELOPMENT")*1)</f>
        <v>10</v>
      </c>
      <c r="Y5" s="30"/>
      <c r="Z5" s="30"/>
      <c r="AA5" s="30"/>
      <c r="AE5" s="31"/>
      <c r="AG5" s="11"/>
      <c r="AH5" s="11"/>
      <c r="AI5" s="11"/>
      <c r="AJ5" s="23"/>
      <c r="AK5" s="11"/>
      <c r="AL5" s="24"/>
      <c r="AM5" s="11"/>
      <c r="AY5" s="11"/>
      <c r="AZ5" s="11"/>
      <c r="BA5" s="11"/>
      <c r="BB5" s="25"/>
      <c r="BC5" s="11"/>
      <c r="BF5" s="32"/>
      <c r="BL5" s="32"/>
      <c r="BR5" s="32"/>
      <c r="BX5" s="32"/>
    </row>
    <row r="6" spans="1:81" s="14" customFormat="1" ht="15" customHeight="1" x14ac:dyDescent="0.25">
      <c r="A6" s="13"/>
      <c r="B6" s="11"/>
      <c r="C6" s="12"/>
      <c r="D6" s="11"/>
      <c r="E6" s="27"/>
      <c r="F6" s="11"/>
      <c r="G6" s="11"/>
      <c r="H6" s="11"/>
      <c r="I6" s="11"/>
      <c r="J6" s="11"/>
      <c r="K6" s="11"/>
      <c r="L6" s="11"/>
      <c r="M6" s="13"/>
      <c r="N6" s="13"/>
      <c r="O6" s="13"/>
      <c r="P6" s="11"/>
      <c r="Q6" s="11"/>
      <c r="S6" s="12"/>
      <c r="T6" s="11"/>
      <c r="U6" s="11"/>
      <c r="V6" s="11"/>
      <c r="Y6" s="17"/>
      <c r="Z6" s="17"/>
      <c r="AA6" s="17"/>
      <c r="AE6" s="27"/>
      <c r="AF6" s="27"/>
      <c r="AG6" s="11"/>
      <c r="AH6" s="11"/>
      <c r="AI6" s="11"/>
      <c r="AJ6" s="23"/>
      <c r="AK6" s="11"/>
      <c r="AL6" s="24"/>
      <c r="AM6" s="11"/>
      <c r="AY6" s="11"/>
      <c r="AZ6" s="11"/>
      <c r="BA6" s="11"/>
      <c r="BB6" s="25"/>
      <c r="BC6" s="11"/>
      <c r="BF6" s="26"/>
      <c r="BG6" s="27"/>
      <c r="BH6" s="27"/>
      <c r="BI6" s="27"/>
      <c r="BL6" s="26"/>
      <c r="BM6" s="27"/>
      <c r="BN6" s="27"/>
      <c r="BO6" s="27"/>
      <c r="BR6" s="26"/>
      <c r="BS6" s="27"/>
      <c r="BT6" s="27"/>
      <c r="BU6" s="27"/>
      <c r="BX6" s="26"/>
      <c r="BY6" s="27"/>
      <c r="BZ6" s="27"/>
      <c r="CA6" s="27"/>
      <c r="CB6" s="27"/>
      <c r="CC6" s="27"/>
    </row>
    <row r="7" spans="1:81" ht="15" customHeight="1" x14ac:dyDescent="0.25">
      <c r="B7" s="33"/>
      <c r="C7" s="33"/>
      <c r="D7" s="33"/>
      <c r="E7" s="33"/>
      <c r="F7" s="33"/>
      <c r="G7" s="33"/>
      <c r="H7" s="33"/>
      <c r="I7" s="33"/>
      <c r="J7" s="33"/>
      <c r="K7" s="33"/>
      <c r="L7" s="33"/>
      <c r="M7" s="34"/>
      <c r="N7" s="34"/>
      <c r="O7" s="34"/>
      <c r="P7" s="33"/>
      <c r="Q7" s="33"/>
      <c r="R7" s="33"/>
      <c r="S7" s="33"/>
      <c r="T7" s="33"/>
      <c r="U7" s="33"/>
      <c r="V7" s="33"/>
      <c r="W7" s="33"/>
      <c r="X7" s="33"/>
      <c r="Y7" s="34"/>
      <c r="Z7" s="34"/>
      <c r="AA7" s="34"/>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row>
    <row r="8" spans="1:81" s="4" customFormat="1" ht="15" customHeight="1" x14ac:dyDescent="0.25">
      <c r="A8" s="35" t="s">
        <v>16</v>
      </c>
      <c r="B8" s="35" t="s">
        <v>17</v>
      </c>
      <c r="C8" s="35" t="s">
        <v>18</v>
      </c>
      <c r="D8" s="35" t="s">
        <v>19</v>
      </c>
      <c r="E8" s="35" t="s">
        <v>20</v>
      </c>
      <c r="F8" s="35" t="s">
        <v>21</v>
      </c>
      <c r="G8" s="36" t="s">
        <v>22</v>
      </c>
      <c r="H8" s="36" t="s">
        <v>23</v>
      </c>
      <c r="I8" s="35" t="s">
        <v>24</v>
      </c>
      <c r="J8" s="35" t="s">
        <v>25</v>
      </c>
      <c r="K8" s="35" t="s">
        <v>26</v>
      </c>
      <c r="L8" s="35" t="s">
        <v>27</v>
      </c>
      <c r="M8" s="37" t="s">
        <v>28</v>
      </c>
      <c r="N8" s="37" t="s">
        <v>29</v>
      </c>
      <c r="O8" s="37" t="s">
        <v>30</v>
      </c>
      <c r="P8" s="37" t="s">
        <v>31</v>
      </c>
      <c r="Q8" s="35" t="s">
        <v>32</v>
      </c>
      <c r="R8" s="35" t="s">
        <v>33</v>
      </c>
      <c r="S8" s="35" t="s">
        <v>34</v>
      </c>
      <c r="T8" s="37" t="s">
        <v>35</v>
      </c>
      <c r="U8" s="37" t="s">
        <v>36</v>
      </c>
      <c r="V8" s="35" t="s">
        <v>37</v>
      </c>
      <c r="W8" s="35" t="s">
        <v>38</v>
      </c>
      <c r="X8" s="35" t="s">
        <v>39</v>
      </c>
      <c r="Y8" s="37" t="s">
        <v>40</v>
      </c>
      <c r="Z8" s="37" t="s">
        <v>41</v>
      </c>
      <c r="AA8" s="37" t="s">
        <v>42</v>
      </c>
      <c r="AB8" s="37" t="s">
        <v>43</v>
      </c>
      <c r="AC8" s="37" t="s">
        <v>44</v>
      </c>
      <c r="AD8" s="38" t="s">
        <v>45</v>
      </c>
      <c r="AE8" s="39"/>
      <c r="AF8" s="40"/>
      <c r="AG8" s="37" t="s">
        <v>46</v>
      </c>
      <c r="AH8" s="41" t="s">
        <v>47</v>
      </c>
      <c r="AI8" s="35" t="s">
        <v>48</v>
      </c>
      <c r="AJ8" s="41" t="s">
        <v>49</v>
      </c>
      <c r="AK8" s="35" t="s">
        <v>50</v>
      </c>
      <c r="AL8" s="42" t="s">
        <v>51</v>
      </c>
      <c r="AM8" s="35" t="s">
        <v>52</v>
      </c>
      <c r="AN8" s="35" t="s">
        <v>53</v>
      </c>
      <c r="AO8" s="35" t="s">
        <v>54</v>
      </c>
      <c r="AP8" s="35" t="s">
        <v>55</v>
      </c>
      <c r="AQ8" s="35" t="s">
        <v>56</v>
      </c>
      <c r="AR8" s="35" t="s">
        <v>57</v>
      </c>
      <c r="AS8" s="35" t="s">
        <v>58</v>
      </c>
      <c r="AT8" s="35" t="s">
        <v>59</v>
      </c>
      <c r="AU8" s="35"/>
      <c r="AV8" s="35" t="s">
        <v>60</v>
      </c>
      <c r="AW8" s="35" t="s">
        <v>61</v>
      </c>
      <c r="AX8" s="35" t="s">
        <v>62</v>
      </c>
      <c r="AY8" s="41" t="s">
        <v>63</v>
      </c>
      <c r="AZ8" s="37" t="s">
        <v>64</v>
      </c>
      <c r="BA8" s="35" t="s">
        <v>65</v>
      </c>
      <c r="BB8" s="35" t="s">
        <v>66</v>
      </c>
      <c r="BC8" s="43" t="s">
        <v>67</v>
      </c>
      <c r="BD8" s="41" t="s">
        <v>68</v>
      </c>
      <c r="BE8" s="35" t="s">
        <v>19</v>
      </c>
      <c r="BF8" s="42" t="s">
        <v>69</v>
      </c>
      <c r="BG8" s="35" t="s">
        <v>70</v>
      </c>
      <c r="BH8" s="35" t="s">
        <v>71</v>
      </c>
      <c r="BI8" s="35" t="s">
        <v>72</v>
      </c>
      <c r="BJ8" s="35" t="s">
        <v>73</v>
      </c>
      <c r="BK8" s="35" t="s">
        <v>19</v>
      </c>
      <c r="BL8" s="42" t="s">
        <v>69</v>
      </c>
      <c r="BM8" s="35" t="s">
        <v>70</v>
      </c>
      <c r="BN8" s="35" t="s">
        <v>71</v>
      </c>
      <c r="BO8" s="35" t="s">
        <v>72</v>
      </c>
      <c r="BP8" s="35" t="s">
        <v>74</v>
      </c>
      <c r="BQ8" s="35" t="s">
        <v>19</v>
      </c>
      <c r="BR8" s="42" t="s">
        <v>69</v>
      </c>
      <c r="BS8" s="35" t="s">
        <v>70</v>
      </c>
      <c r="BT8" s="35" t="s">
        <v>71</v>
      </c>
      <c r="BU8" s="35" t="s">
        <v>72</v>
      </c>
      <c r="BV8" s="35" t="s">
        <v>75</v>
      </c>
      <c r="BW8" s="35" t="s">
        <v>19</v>
      </c>
      <c r="BX8" s="42" t="s">
        <v>69</v>
      </c>
      <c r="BY8" s="35" t="s">
        <v>70</v>
      </c>
      <c r="BZ8" s="35" t="s">
        <v>71</v>
      </c>
      <c r="CA8" s="35" t="s">
        <v>72</v>
      </c>
      <c r="CB8" s="35" t="s">
        <v>76</v>
      </c>
      <c r="CC8" s="35" t="s">
        <v>77</v>
      </c>
    </row>
    <row r="9" spans="1:81" s="4" customFormat="1" ht="15" customHeight="1" x14ac:dyDescent="0.25">
      <c r="A9" s="35"/>
      <c r="B9" s="35"/>
      <c r="C9" s="35"/>
      <c r="D9" s="35"/>
      <c r="E9" s="35"/>
      <c r="F9" s="35"/>
      <c r="G9" s="44"/>
      <c r="H9" s="44"/>
      <c r="I9" s="35"/>
      <c r="J9" s="35"/>
      <c r="K9" s="35"/>
      <c r="L9" s="35"/>
      <c r="M9" s="37"/>
      <c r="N9" s="37"/>
      <c r="O9" s="37"/>
      <c r="P9" s="37"/>
      <c r="Q9" s="35"/>
      <c r="R9" s="35"/>
      <c r="S9" s="35"/>
      <c r="T9" s="37"/>
      <c r="U9" s="37"/>
      <c r="V9" s="35"/>
      <c r="W9" s="35"/>
      <c r="X9" s="35"/>
      <c r="Y9" s="37"/>
      <c r="Z9" s="37"/>
      <c r="AA9" s="37"/>
      <c r="AB9" s="37"/>
      <c r="AC9" s="37"/>
      <c r="AD9" s="45" t="s">
        <v>78</v>
      </c>
      <c r="AE9" s="41" t="s">
        <v>79</v>
      </c>
      <c r="AF9" s="41" t="s">
        <v>80</v>
      </c>
      <c r="AG9" s="37"/>
      <c r="AH9" s="41" t="s">
        <v>81</v>
      </c>
      <c r="AI9" s="35"/>
      <c r="AJ9" s="41"/>
      <c r="AK9" s="35"/>
      <c r="AL9" s="42"/>
      <c r="AM9" s="35"/>
      <c r="AN9" s="35"/>
      <c r="AO9" s="35"/>
      <c r="AP9" s="35"/>
      <c r="AQ9" s="35"/>
      <c r="AR9" s="35"/>
      <c r="AS9" s="35"/>
      <c r="AT9" s="35"/>
      <c r="AU9" s="35"/>
      <c r="AV9" s="35"/>
      <c r="AW9" s="35"/>
      <c r="AX9" s="35"/>
      <c r="AY9" s="41" t="s">
        <v>16</v>
      </c>
      <c r="AZ9" s="37"/>
      <c r="BA9" s="35"/>
      <c r="BB9" s="35"/>
      <c r="BC9" s="43"/>
      <c r="BD9" s="41" t="s">
        <v>82</v>
      </c>
      <c r="BE9" s="35"/>
      <c r="BF9" s="42"/>
      <c r="BG9" s="35"/>
      <c r="BH9" s="35"/>
      <c r="BI9" s="35"/>
      <c r="BJ9" s="35"/>
      <c r="BK9" s="35"/>
      <c r="BL9" s="42"/>
      <c r="BM9" s="35"/>
      <c r="BN9" s="35"/>
      <c r="BO9" s="35"/>
      <c r="BP9" s="35"/>
      <c r="BQ9" s="35"/>
      <c r="BR9" s="42"/>
      <c r="BS9" s="35"/>
      <c r="BT9" s="35"/>
      <c r="BU9" s="35"/>
      <c r="BV9" s="35"/>
      <c r="BW9" s="35"/>
      <c r="BX9" s="42"/>
      <c r="BY9" s="35"/>
      <c r="BZ9" s="35"/>
      <c r="CA9" s="35"/>
      <c r="CB9" s="35"/>
      <c r="CC9" s="35"/>
    </row>
    <row r="10" spans="1:81" ht="15" customHeight="1" x14ac:dyDescent="0.25">
      <c r="A10" s="46" t="s">
        <v>83</v>
      </c>
      <c r="B10" s="47" t="s">
        <v>84</v>
      </c>
      <c r="C10" s="47" t="s">
        <v>85</v>
      </c>
      <c r="D10" s="47" t="s">
        <v>86</v>
      </c>
      <c r="E10" s="47" t="s">
        <v>87</v>
      </c>
      <c r="F10" s="47" t="s">
        <v>87</v>
      </c>
      <c r="G10" s="47"/>
      <c r="H10" s="48" t="s">
        <v>88</v>
      </c>
      <c r="I10" s="47" t="s">
        <v>89</v>
      </c>
      <c r="J10" s="47" t="s">
        <v>90</v>
      </c>
      <c r="K10" s="47" t="s">
        <v>91</v>
      </c>
      <c r="L10" s="49">
        <v>44992</v>
      </c>
      <c r="M10" s="50">
        <f t="shared" ref="M10:M73" ca="1" si="0">DATEDIF(L10,TODAY(),"Y")</f>
        <v>3</v>
      </c>
      <c r="N10" s="50">
        <f t="shared" ref="N10:N73" ca="1" si="1">DATEDIF(L10,TODAY(),"YM")</f>
        <v>1</v>
      </c>
      <c r="O10" s="50">
        <f t="shared" ref="O10:O73" ca="1" si="2">DATEDIF(L10,TODAY(),"MD")</f>
        <v>15</v>
      </c>
      <c r="P10" s="51">
        <f t="shared" ref="P10:P73" si="3">EDATE(X10,55*12)</f>
        <v>47157</v>
      </c>
      <c r="Q10" s="48" t="s">
        <v>88</v>
      </c>
      <c r="R10" s="52" t="s">
        <v>88</v>
      </c>
      <c r="S10" s="52" t="s">
        <v>88</v>
      </c>
      <c r="T10" s="51">
        <v>44992</v>
      </c>
      <c r="U10" s="51"/>
      <c r="V10" s="47" t="s">
        <v>92</v>
      </c>
      <c r="W10" s="47" t="s">
        <v>93</v>
      </c>
      <c r="X10" s="49">
        <v>27068</v>
      </c>
      <c r="Y10" s="50">
        <f t="shared" ref="Y10:Y73" ca="1" si="4">DATEDIF(X10,TODAY(),"Y")</f>
        <v>52</v>
      </c>
      <c r="Z10" s="50">
        <f t="shared" ref="Z10:Z73" ca="1" si="5">DATEDIF(X10,TODAY(),"Ym")</f>
        <v>2</v>
      </c>
      <c r="AA10" s="50">
        <f t="shared" ref="AA10:AA73" ca="1" si="6">DATEDIF(X10,TODAY(),"md")</f>
        <v>14</v>
      </c>
      <c r="AB10" s="47" t="s">
        <v>94</v>
      </c>
      <c r="AC10" s="53">
        <v>23044654657</v>
      </c>
      <c r="AD10" s="53" t="s">
        <v>95</v>
      </c>
      <c r="AE10" s="47" t="s">
        <v>96</v>
      </c>
      <c r="AF10" s="47" t="s">
        <v>97</v>
      </c>
      <c r="AG10" s="47"/>
      <c r="AH10" s="47">
        <v>23</v>
      </c>
      <c r="AI10" s="47" t="s">
        <v>98</v>
      </c>
      <c r="AJ10" s="48" t="s">
        <v>88</v>
      </c>
      <c r="AK10" s="54" t="s">
        <v>99</v>
      </c>
      <c r="AL10" s="55" t="s">
        <v>88</v>
      </c>
      <c r="AM10" s="54" t="s">
        <v>99</v>
      </c>
      <c r="AN10" s="47"/>
      <c r="AO10" s="47" t="s">
        <v>100</v>
      </c>
      <c r="AP10" s="47" t="s">
        <v>101</v>
      </c>
      <c r="AQ10" s="48" t="s">
        <v>102</v>
      </c>
      <c r="AR10" s="48" t="s">
        <v>88</v>
      </c>
      <c r="AS10" s="48" t="s">
        <v>88</v>
      </c>
      <c r="AT10" s="48" t="s">
        <v>88</v>
      </c>
      <c r="AU10" s="47"/>
      <c r="AV10" s="48" t="s">
        <v>88</v>
      </c>
      <c r="AW10" s="47" t="str">
        <f>AM10</f>
        <v>Apartemen Botanica Tower 3 No. Unit 11- B, Jl. Teuku Nyak Arief No. 8, Kel. Grogol Selatan,  Kec. Kebayoran lama, Jakarta Selatan</v>
      </c>
      <c r="AX10" s="47"/>
      <c r="AY10" s="47" t="s">
        <v>103</v>
      </c>
      <c r="AZ10" s="56">
        <v>45125</v>
      </c>
      <c r="BA10" s="48" t="s">
        <v>104</v>
      </c>
      <c r="BB10" s="47" t="s">
        <v>85</v>
      </c>
      <c r="BC10" s="48" t="s">
        <v>88</v>
      </c>
      <c r="BD10" s="48" t="s">
        <v>88</v>
      </c>
      <c r="BE10" s="48" t="s">
        <v>88</v>
      </c>
      <c r="BF10" s="52" t="s">
        <v>88</v>
      </c>
      <c r="BG10" s="57" t="e">
        <f t="shared" ref="BG10:BG73" ca="1" si="7">DATEDIF(BF10,TODAY(),"Y")</f>
        <v>#VALUE!</v>
      </c>
      <c r="BH10" s="57" t="e">
        <f t="shared" ref="BH10:BH73" ca="1" si="8">DATEDIF(BF10,TODAY(),"Ym")</f>
        <v>#VALUE!</v>
      </c>
      <c r="BI10" s="57" t="e">
        <f t="shared" ref="BI10:BI73" ca="1" si="9">DATEDIF(BF10,TODAY(),"md")</f>
        <v>#VALUE!</v>
      </c>
      <c r="BJ10" s="48" t="s">
        <v>88</v>
      </c>
      <c r="BK10" s="48" t="s">
        <v>88</v>
      </c>
      <c r="BL10" s="52" t="s">
        <v>88</v>
      </c>
      <c r="BM10" s="57" t="e">
        <f t="shared" ref="BM10:BM73" ca="1" si="10">DATEDIF(BL10,TODAY(),"Y")</f>
        <v>#VALUE!</v>
      </c>
      <c r="BN10" s="57" t="e">
        <f t="shared" ref="BN10:BN73" ca="1" si="11">DATEDIF(BL10,TODAY(),"Ym")</f>
        <v>#VALUE!</v>
      </c>
      <c r="BO10" s="57" t="e">
        <f t="shared" ref="BO10:BO73" ca="1" si="12">DATEDIF(BL10,TODAY(),"md")</f>
        <v>#VALUE!</v>
      </c>
      <c r="BP10" s="48" t="s">
        <v>88</v>
      </c>
      <c r="BQ10" s="48" t="s">
        <v>88</v>
      </c>
      <c r="BR10" s="52" t="s">
        <v>88</v>
      </c>
      <c r="BS10" s="57" t="e">
        <f t="shared" ref="BS10:BS73" ca="1" si="13">DATEDIF(BR10,TODAY(),"Y")</f>
        <v>#VALUE!</v>
      </c>
      <c r="BT10" s="57" t="e">
        <f t="shared" ref="BT10:BT73" ca="1" si="14">DATEDIF(BR10,TODAY(),"Ym")</f>
        <v>#VALUE!</v>
      </c>
      <c r="BU10" s="57" t="e">
        <f t="shared" ref="BU10:BU73" ca="1" si="15">DATEDIF(BR10,TODAY(),"md")</f>
        <v>#VALUE!</v>
      </c>
      <c r="BV10" s="48" t="s">
        <v>88</v>
      </c>
      <c r="BW10" s="48" t="s">
        <v>88</v>
      </c>
      <c r="BX10" s="52" t="s">
        <v>88</v>
      </c>
      <c r="BY10" s="57" t="e">
        <f t="shared" ref="BY10:BY73" ca="1" si="16">DATEDIF(BX10,TODAY(),"Y")</f>
        <v>#VALUE!</v>
      </c>
      <c r="BZ10" s="57" t="e">
        <f t="shared" ref="BZ10:BZ73" ca="1" si="17">DATEDIF(BX10,TODAY(),"Ym")</f>
        <v>#VALUE!</v>
      </c>
      <c r="CA10" s="57" t="e">
        <f t="shared" ref="CA10:CA73" ca="1" si="18">DATEDIF(BX10,TODAY(),"md")</f>
        <v>#VALUE!</v>
      </c>
      <c r="CB10" s="48" t="s">
        <v>88</v>
      </c>
      <c r="CC10" s="58" t="s">
        <v>105</v>
      </c>
    </row>
    <row r="11" spans="1:81" ht="15" customHeight="1" x14ac:dyDescent="0.25">
      <c r="A11" s="46" t="s">
        <v>106</v>
      </c>
      <c r="B11" s="59" t="s">
        <v>107</v>
      </c>
      <c r="C11" s="59" t="s">
        <v>108</v>
      </c>
      <c r="D11" s="60" t="s">
        <v>86</v>
      </c>
      <c r="E11" s="59" t="s">
        <v>87</v>
      </c>
      <c r="F11" s="47" t="s">
        <v>87</v>
      </c>
      <c r="G11" s="47"/>
      <c r="H11" s="48" t="s">
        <v>88</v>
      </c>
      <c r="I11" s="47" t="s">
        <v>109</v>
      </c>
      <c r="J11" s="61" t="s">
        <v>110</v>
      </c>
      <c r="K11" s="47" t="s">
        <v>91</v>
      </c>
      <c r="L11" s="49">
        <v>42422</v>
      </c>
      <c r="M11" s="50">
        <f t="shared" ca="1" si="0"/>
        <v>10</v>
      </c>
      <c r="N11" s="50">
        <f t="shared" ca="1" si="1"/>
        <v>2</v>
      </c>
      <c r="O11" s="50">
        <f t="shared" ca="1" si="2"/>
        <v>0</v>
      </c>
      <c r="P11" s="51">
        <f t="shared" si="3"/>
        <v>45439</v>
      </c>
      <c r="Q11" s="62" t="s">
        <v>88</v>
      </c>
      <c r="R11" s="52" t="s">
        <v>88</v>
      </c>
      <c r="S11" s="52" t="s">
        <v>88</v>
      </c>
      <c r="T11" s="51"/>
      <c r="U11" s="51" t="s">
        <v>88</v>
      </c>
      <c r="V11" s="60" t="s">
        <v>92</v>
      </c>
      <c r="W11" s="60" t="s">
        <v>111</v>
      </c>
      <c r="X11" s="49">
        <v>25350</v>
      </c>
      <c r="Y11" s="50">
        <f t="shared" ca="1" si="4"/>
        <v>56</v>
      </c>
      <c r="Z11" s="50">
        <f t="shared" ca="1" si="5"/>
        <v>10</v>
      </c>
      <c r="AA11" s="50">
        <f t="shared" ca="1" si="6"/>
        <v>26</v>
      </c>
      <c r="AB11" s="62" t="s">
        <v>112</v>
      </c>
      <c r="AC11" s="63" t="s">
        <v>113</v>
      </c>
      <c r="AD11" s="53" t="s">
        <v>95</v>
      </c>
      <c r="AE11" s="61"/>
      <c r="AF11" s="61"/>
      <c r="AG11" s="47"/>
      <c r="AH11" s="47"/>
      <c r="AI11" s="47"/>
      <c r="AJ11" s="60" t="s">
        <v>114</v>
      </c>
      <c r="AK11" s="47" t="s">
        <v>115</v>
      </c>
      <c r="AL11" s="64" t="s">
        <v>116</v>
      </c>
      <c r="AM11" s="47" t="s">
        <v>115</v>
      </c>
      <c r="AN11" s="60" t="s">
        <v>100</v>
      </c>
      <c r="AO11" s="60" t="s">
        <v>100</v>
      </c>
      <c r="AP11" s="47" t="s">
        <v>117</v>
      </c>
      <c r="AQ11" s="48" t="s">
        <v>118</v>
      </c>
      <c r="AR11" s="47"/>
      <c r="AS11" s="47"/>
      <c r="AT11" s="47"/>
      <c r="AU11" s="47"/>
      <c r="AV11" s="60" t="s">
        <v>119</v>
      </c>
      <c r="AW11" s="47"/>
      <c r="AX11" s="60" t="s">
        <v>88</v>
      </c>
      <c r="AY11" s="60" t="s">
        <v>120</v>
      </c>
      <c r="AZ11" s="60">
        <v>45833</v>
      </c>
      <c r="BA11" s="65" t="s">
        <v>121</v>
      </c>
      <c r="BB11" s="61" t="s">
        <v>108</v>
      </c>
      <c r="BC11" s="60" t="s">
        <v>122</v>
      </c>
      <c r="BD11" s="47"/>
      <c r="BE11" s="47"/>
      <c r="BF11" s="51">
        <v>27211</v>
      </c>
      <c r="BG11" s="57">
        <f t="shared" ca="1" si="7"/>
        <v>51</v>
      </c>
      <c r="BH11" s="57">
        <f t="shared" ca="1" si="8"/>
        <v>9</v>
      </c>
      <c r="BI11" s="57">
        <f t="shared" ca="1" si="9"/>
        <v>21</v>
      </c>
      <c r="BJ11" s="47"/>
      <c r="BK11" s="47"/>
      <c r="BL11" s="51"/>
      <c r="BM11" s="57">
        <f t="shared" ca="1" si="10"/>
        <v>126</v>
      </c>
      <c r="BN11" s="57">
        <f t="shared" ca="1" si="11"/>
        <v>3</v>
      </c>
      <c r="BO11" s="57">
        <f t="shared" ca="1" si="12"/>
        <v>22</v>
      </c>
      <c r="BP11" s="47"/>
      <c r="BQ11" s="47"/>
      <c r="BR11" s="51">
        <v>36044</v>
      </c>
      <c r="BS11" s="57">
        <f t="shared" ca="1" si="13"/>
        <v>27</v>
      </c>
      <c r="BT11" s="57">
        <f t="shared" ca="1" si="14"/>
        <v>7</v>
      </c>
      <c r="BU11" s="57">
        <f t="shared" ca="1" si="15"/>
        <v>16</v>
      </c>
      <c r="BV11" s="47"/>
      <c r="BW11" s="47"/>
      <c r="BX11" s="51"/>
      <c r="BY11" s="57">
        <f t="shared" ca="1" si="16"/>
        <v>126</v>
      </c>
      <c r="BZ11" s="57">
        <f t="shared" ca="1" si="17"/>
        <v>3</v>
      </c>
      <c r="CA11" s="57">
        <f t="shared" ca="1" si="18"/>
        <v>22</v>
      </c>
      <c r="CB11" s="57"/>
      <c r="CC11" s="66" t="s">
        <v>123</v>
      </c>
    </row>
    <row r="12" spans="1:81" ht="15" customHeight="1" x14ac:dyDescent="0.25">
      <c r="A12" s="46" t="s">
        <v>124</v>
      </c>
      <c r="B12" s="59" t="s">
        <v>125</v>
      </c>
      <c r="C12" s="59" t="s">
        <v>126</v>
      </c>
      <c r="D12" s="60" t="s">
        <v>86</v>
      </c>
      <c r="E12" s="59" t="s">
        <v>127</v>
      </c>
      <c r="F12" s="59" t="s">
        <v>128</v>
      </c>
      <c r="G12" s="59"/>
      <c r="H12" s="67" t="s">
        <v>88</v>
      </c>
      <c r="I12" s="47" t="s">
        <v>127</v>
      </c>
      <c r="J12" s="61" t="s">
        <v>90</v>
      </c>
      <c r="K12" s="47" t="s">
        <v>91</v>
      </c>
      <c r="L12" s="49">
        <v>42309</v>
      </c>
      <c r="M12" s="50">
        <f t="shared" ca="1" si="0"/>
        <v>10</v>
      </c>
      <c r="N12" s="50">
        <f t="shared" ca="1" si="1"/>
        <v>5</v>
      </c>
      <c r="O12" s="50">
        <f t="shared" ca="1" si="2"/>
        <v>21</v>
      </c>
      <c r="P12" s="51">
        <f t="shared" si="3"/>
        <v>49130</v>
      </c>
      <c r="Q12" s="62" t="s">
        <v>88</v>
      </c>
      <c r="R12" s="52" t="s">
        <v>88</v>
      </c>
      <c r="S12" s="52" t="s">
        <v>88</v>
      </c>
      <c r="T12" s="51"/>
      <c r="U12" s="51" t="s">
        <v>88</v>
      </c>
      <c r="V12" s="60" t="s">
        <v>92</v>
      </c>
      <c r="W12" s="60" t="s">
        <v>129</v>
      </c>
      <c r="X12" s="49">
        <v>29041</v>
      </c>
      <c r="Y12" s="50">
        <f t="shared" ca="1" si="4"/>
        <v>46</v>
      </c>
      <c r="Z12" s="50">
        <f t="shared" ca="1" si="5"/>
        <v>9</v>
      </c>
      <c r="AA12" s="50">
        <f t="shared" ca="1" si="6"/>
        <v>17</v>
      </c>
      <c r="AB12" s="62" t="s">
        <v>130</v>
      </c>
      <c r="AC12" s="63" t="s">
        <v>131</v>
      </c>
      <c r="AD12" s="53" t="s">
        <v>95</v>
      </c>
      <c r="AE12" s="61"/>
      <c r="AF12" s="61"/>
      <c r="AG12" s="47"/>
      <c r="AH12" s="47"/>
      <c r="AI12" s="47"/>
      <c r="AJ12" s="60" t="s">
        <v>132</v>
      </c>
      <c r="AK12" s="47" t="s">
        <v>133</v>
      </c>
      <c r="AL12" s="64" t="s">
        <v>134</v>
      </c>
      <c r="AM12" s="47" t="s">
        <v>133</v>
      </c>
      <c r="AN12" s="60" t="s">
        <v>135</v>
      </c>
      <c r="AO12" s="60" t="s">
        <v>135</v>
      </c>
      <c r="AP12" s="47" t="s">
        <v>117</v>
      </c>
      <c r="AQ12" s="68" t="s">
        <v>136</v>
      </c>
      <c r="AR12" s="47"/>
      <c r="AS12" s="47"/>
      <c r="AT12" s="47"/>
      <c r="AU12" s="47"/>
      <c r="AV12" s="60" t="s">
        <v>137</v>
      </c>
      <c r="AW12" s="47"/>
      <c r="AX12" s="60" t="s">
        <v>88</v>
      </c>
      <c r="AY12" s="60" t="s">
        <v>138</v>
      </c>
      <c r="AZ12" s="60">
        <v>43494</v>
      </c>
      <c r="BA12" s="65" t="s">
        <v>139</v>
      </c>
      <c r="BB12" s="61" t="s">
        <v>126</v>
      </c>
      <c r="BC12" s="60" t="s">
        <v>140</v>
      </c>
      <c r="BD12" s="47"/>
      <c r="BE12" s="47"/>
      <c r="BF12" s="51">
        <v>24921</v>
      </c>
      <c r="BG12" s="57">
        <f t="shared" ca="1" si="7"/>
        <v>58</v>
      </c>
      <c r="BH12" s="57">
        <f t="shared" ca="1" si="8"/>
        <v>0</v>
      </c>
      <c r="BI12" s="57">
        <f t="shared" ca="1" si="9"/>
        <v>29</v>
      </c>
      <c r="BJ12" s="47" t="s">
        <v>141</v>
      </c>
      <c r="BK12" s="47"/>
      <c r="BL12" s="51">
        <v>40515</v>
      </c>
      <c r="BM12" s="57">
        <f t="shared" ca="1" si="10"/>
        <v>15</v>
      </c>
      <c r="BN12" s="57">
        <f t="shared" ca="1" si="11"/>
        <v>4</v>
      </c>
      <c r="BO12" s="57">
        <f t="shared" ca="1" si="12"/>
        <v>19</v>
      </c>
      <c r="BP12" s="47"/>
      <c r="BQ12" s="47"/>
      <c r="BR12" s="51"/>
      <c r="BS12" s="57">
        <f t="shared" ca="1" si="13"/>
        <v>126</v>
      </c>
      <c r="BT12" s="57">
        <f t="shared" ca="1" si="14"/>
        <v>3</v>
      </c>
      <c r="BU12" s="57">
        <f t="shared" ca="1" si="15"/>
        <v>22</v>
      </c>
      <c r="BV12" s="47"/>
      <c r="BW12" s="47"/>
      <c r="BX12" s="51"/>
      <c r="BY12" s="57">
        <f t="shared" ca="1" si="16"/>
        <v>126</v>
      </c>
      <c r="BZ12" s="57">
        <f t="shared" ca="1" si="17"/>
        <v>3</v>
      </c>
      <c r="CA12" s="57">
        <f t="shared" ca="1" si="18"/>
        <v>22</v>
      </c>
      <c r="CB12" s="57"/>
      <c r="CC12" s="66" t="s">
        <v>142</v>
      </c>
    </row>
    <row r="13" spans="1:81" ht="15" customHeight="1" x14ac:dyDescent="0.25">
      <c r="A13" s="46" t="s">
        <v>143</v>
      </c>
      <c r="B13" s="59" t="s">
        <v>144</v>
      </c>
      <c r="C13" s="59" t="s">
        <v>145</v>
      </c>
      <c r="D13" s="60" t="s">
        <v>86</v>
      </c>
      <c r="E13" s="59" t="s">
        <v>146</v>
      </c>
      <c r="F13" s="59" t="s">
        <v>128</v>
      </c>
      <c r="G13" s="59"/>
      <c r="H13" s="59" t="s">
        <v>147</v>
      </c>
      <c r="I13" s="47" t="s">
        <v>148</v>
      </c>
      <c r="J13" s="61" t="s">
        <v>90</v>
      </c>
      <c r="K13" s="47" t="s">
        <v>91</v>
      </c>
      <c r="L13" s="49">
        <v>42338</v>
      </c>
      <c r="M13" s="50">
        <f t="shared" ca="1" si="0"/>
        <v>10</v>
      </c>
      <c r="N13" s="50">
        <f t="shared" ca="1" si="1"/>
        <v>4</v>
      </c>
      <c r="O13" s="50">
        <f t="shared" ca="1" si="2"/>
        <v>23</v>
      </c>
      <c r="P13" s="51">
        <f t="shared" si="3"/>
        <v>52927</v>
      </c>
      <c r="Q13" s="62" t="s">
        <v>149</v>
      </c>
      <c r="R13" s="51">
        <v>42704</v>
      </c>
      <c r="S13" s="51">
        <v>43068</v>
      </c>
      <c r="T13" s="51">
        <v>43069</v>
      </c>
      <c r="U13" s="51" t="s">
        <v>88</v>
      </c>
      <c r="V13" s="60" t="s">
        <v>90</v>
      </c>
      <c r="W13" s="60" t="s">
        <v>111</v>
      </c>
      <c r="X13" s="49">
        <v>32838</v>
      </c>
      <c r="Y13" s="50">
        <f t="shared" ca="1" si="4"/>
        <v>36</v>
      </c>
      <c r="Z13" s="50">
        <f t="shared" ca="1" si="5"/>
        <v>4</v>
      </c>
      <c r="AA13" s="50">
        <f t="shared" ca="1" si="6"/>
        <v>27</v>
      </c>
      <c r="AB13" s="62" t="s">
        <v>150</v>
      </c>
      <c r="AC13" s="63" t="s">
        <v>151</v>
      </c>
      <c r="AD13" s="63" t="s">
        <v>152</v>
      </c>
      <c r="AE13" s="47" t="s">
        <v>153</v>
      </c>
      <c r="AF13" s="47" t="s">
        <v>154</v>
      </c>
      <c r="AG13" s="47"/>
      <c r="AH13" s="47">
        <v>9</v>
      </c>
      <c r="AI13" s="47" t="s">
        <v>155</v>
      </c>
      <c r="AJ13" s="69" t="s">
        <v>156</v>
      </c>
      <c r="AK13" s="47" t="s">
        <v>157</v>
      </c>
      <c r="AL13" s="64">
        <v>43065</v>
      </c>
      <c r="AM13" s="60" t="s">
        <v>158</v>
      </c>
      <c r="AN13" s="60" t="s">
        <v>159</v>
      </c>
      <c r="AO13" s="60" t="s">
        <v>159</v>
      </c>
      <c r="AP13" s="47" t="s">
        <v>160</v>
      </c>
      <c r="AQ13" s="48" t="s">
        <v>161</v>
      </c>
      <c r="AR13" s="48" t="s">
        <v>162</v>
      </c>
      <c r="AS13" s="47" t="s">
        <v>163</v>
      </c>
      <c r="AT13" s="47" t="s">
        <v>164</v>
      </c>
      <c r="AU13" s="47"/>
      <c r="AV13" s="60" t="s">
        <v>165</v>
      </c>
      <c r="AW13" s="47" t="s">
        <v>166</v>
      </c>
      <c r="AX13" s="69" t="s">
        <v>167</v>
      </c>
      <c r="AY13" s="60" t="s">
        <v>168</v>
      </c>
      <c r="AZ13" s="60" t="s">
        <v>168</v>
      </c>
      <c r="BA13" s="65" t="s">
        <v>169</v>
      </c>
      <c r="BB13" s="61" t="s">
        <v>145</v>
      </c>
      <c r="BC13" s="60" t="s">
        <v>170</v>
      </c>
      <c r="BD13" s="47"/>
      <c r="BE13" s="47"/>
      <c r="BF13" s="51">
        <v>28260</v>
      </c>
      <c r="BG13" s="57">
        <f t="shared" ca="1" si="7"/>
        <v>48</v>
      </c>
      <c r="BH13" s="57">
        <f t="shared" ca="1" si="8"/>
        <v>11</v>
      </c>
      <c r="BI13" s="57">
        <f t="shared" ca="1" si="9"/>
        <v>7</v>
      </c>
      <c r="BJ13" s="47"/>
      <c r="BK13" s="47"/>
      <c r="BL13" s="51">
        <v>37417</v>
      </c>
      <c r="BM13" s="57">
        <f t="shared" ca="1" si="10"/>
        <v>23</v>
      </c>
      <c r="BN13" s="57">
        <f t="shared" ca="1" si="11"/>
        <v>10</v>
      </c>
      <c r="BO13" s="57">
        <f t="shared" ca="1" si="12"/>
        <v>12</v>
      </c>
      <c r="BP13" s="47"/>
      <c r="BQ13" s="47"/>
      <c r="BR13" s="51">
        <v>38861</v>
      </c>
      <c r="BS13" s="57">
        <f t="shared" ca="1" si="13"/>
        <v>19</v>
      </c>
      <c r="BT13" s="57">
        <f t="shared" ca="1" si="14"/>
        <v>10</v>
      </c>
      <c r="BU13" s="57">
        <f t="shared" ca="1" si="15"/>
        <v>29</v>
      </c>
      <c r="BV13" s="47"/>
      <c r="BW13" s="47"/>
      <c r="BX13" s="51">
        <v>39316</v>
      </c>
      <c r="BY13" s="57">
        <f t="shared" ca="1" si="16"/>
        <v>18</v>
      </c>
      <c r="BZ13" s="57">
        <f t="shared" ca="1" si="17"/>
        <v>8</v>
      </c>
      <c r="CA13" s="57">
        <f t="shared" ca="1" si="18"/>
        <v>0</v>
      </c>
      <c r="CB13" s="57"/>
      <c r="CC13" s="57" t="s">
        <v>171</v>
      </c>
    </row>
    <row r="14" spans="1:81" ht="15" customHeight="1" x14ac:dyDescent="0.25">
      <c r="A14" s="46" t="s">
        <v>172</v>
      </c>
      <c r="B14" s="59" t="s">
        <v>173</v>
      </c>
      <c r="C14" s="59" t="s">
        <v>174</v>
      </c>
      <c r="D14" s="60" t="s">
        <v>175</v>
      </c>
      <c r="E14" s="59" t="s">
        <v>176</v>
      </c>
      <c r="F14" s="59" t="s">
        <v>177</v>
      </c>
      <c r="G14" s="59"/>
      <c r="H14" s="59" t="s">
        <v>178</v>
      </c>
      <c r="I14" s="59" t="s">
        <v>179</v>
      </c>
      <c r="J14" s="61" t="s">
        <v>180</v>
      </c>
      <c r="K14" s="47" t="s">
        <v>91</v>
      </c>
      <c r="L14" s="49">
        <v>42592</v>
      </c>
      <c r="M14" s="50">
        <f t="shared" ca="1" si="0"/>
        <v>9</v>
      </c>
      <c r="N14" s="50">
        <f t="shared" ca="1" si="1"/>
        <v>8</v>
      </c>
      <c r="O14" s="50">
        <f t="shared" ca="1" si="2"/>
        <v>12</v>
      </c>
      <c r="P14" s="51">
        <f t="shared" si="3"/>
        <v>46810</v>
      </c>
      <c r="Q14" s="62" t="s">
        <v>181</v>
      </c>
      <c r="R14" s="51">
        <v>42592</v>
      </c>
      <c r="S14" s="51">
        <f>R14+91</f>
        <v>42683</v>
      </c>
      <c r="T14" s="51">
        <f t="shared" ref="T14:T77" si="19">S14+1</f>
        <v>42684</v>
      </c>
      <c r="U14" s="51" t="s">
        <v>88</v>
      </c>
      <c r="V14" s="60" t="s">
        <v>182</v>
      </c>
      <c r="W14" s="60" t="s">
        <v>93</v>
      </c>
      <c r="X14" s="49">
        <v>26722</v>
      </c>
      <c r="Y14" s="50">
        <f t="shared" ca="1" si="4"/>
        <v>53</v>
      </c>
      <c r="Z14" s="50">
        <f t="shared" ca="1" si="5"/>
        <v>1</v>
      </c>
      <c r="AA14" s="50">
        <f t="shared" ca="1" si="6"/>
        <v>26</v>
      </c>
      <c r="AB14" s="62" t="s">
        <v>183</v>
      </c>
      <c r="AC14" s="63" t="s">
        <v>184</v>
      </c>
      <c r="AD14" s="70" t="s">
        <v>185</v>
      </c>
      <c r="AE14" s="61" t="s">
        <v>186</v>
      </c>
      <c r="AF14" s="61" t="s">
        <v>187</v>
      </c>
      <c r="AG14" s="47"/>
      <c r="AH14" s="47">
        <v>17</v>
      </c>
      <c r="AI14" s="47" t="s">
        <v>188</v>
      </c>
      <c r="AJ14" s="69" t="s">
        <v>189</v>
      </c>
      <c r="AK14" s="47" t="s">
        <v>190</v>
      </c>
      <c r="AL14" s="64">
        <v>42793</v>
      </c>
      <c r="AM14" s="60" t="s">
        <v>191</v>
      </c>
      <c r="AN14" s="60" t="s">
        <v>159</v>
      </c>
      <c r="AO14" s="60" t="s">
        <v>159</v>
      </c>
      <c r="AP14" s="47" t="s">
        <v>117</v>
      </c>
      <c r="AQ14" s="48" t="s">
        <v>192</v>
      </c>
      <c r="AR14" s="47" t="s">
        <v>193</v>
      </c>
      <c r="AS14" s="47" t="s">
        <v>163</v>
      </c>
      <c r="AT14" s="47" t="s">
        <v>194</v>
      </c>
      <c r="AU14" s="47"/>
      <c r="AV14" s="60" t="s">
        <v>195</v>
      </c>
      <c r="AW14" s="47" t="s">
        <v>190</v>
      </c>
      <c r="AX14" s="69" t="s">
        <v>196</v>
      </c>
      <c r="AY14" s="60" t="s">
        <v>168</v>
      </c>
      <c r="AZ14" s="60" t="s">
        <v>168</v>
      </c>
      <c r="BA14" s="65" t="s">
        <v>197</v>
      </c>
      <c r="BB14" s="61" t="s">
        <v>174</v>
      </c>
      <c r="BC14" s="60" t="s">
        <v>198</v>
      </c>
      <c r="BD14" s="47" t="s">
        <v>199</v>
      </c>
      <c r="BE14" s="47" t="s">
        <v>175</v>
      </c>
      <c r="BF14" s="51">
        <v>28204</v>
      </c>
      <c r="BG14" s="57">
        <f t="shared" ca="1" si="7"/>
        <v>49</v>
      </c>
      <c r="BH14" s="57">
        <f t="shared" ca="1" si="8"/>
        <v>1</v>
      </c>
      <c r="BI14" s="57">
        <f t="shared" ca="1" si="9"/>
        <v>2</v>
      </c>
      <c r="BJ14" s="47" t="s">
        <v>200</v>
      </c>
      <c r="BK14" s="47"/>
      <c r="BL14" s="51">
        <v>38500</v>
      </c>
      <c r="BM14" s="57">
        <f t="shared" ca="1" si="10"/>
        <v>20</v>
      </c>
      <c r="BN14" s="57">
        <f t="shared" ca="1" si="11"/>
        <v>10</v>
      </c>
      <c r="BO14" s="57">
        <f t="shared" ca="1" si="12"/>
        <v>25</v>
      </c>
      <c r="BP14" s="47"/>
      <c r="BQ14" s="47"/>
      <c r="BR14" s="51"/>
      <c r="BS14" s="57">
        <f t="shared" ca="1" si="13"/>
        <v>126</v>
      </c>
      <c r="BT14" s="57">
        <f t="shared" ca="1" si="14"/>
        <v>3</v>
      </c>
      <c r="BU14" s="57">
        <f t="shared" ca="1" si="15"/>
        <v>22</v>
      </c>
      <c r="BV14" s="47"/>
      <c r="BW14" s="47"/>
      <c r="BX14" s="51"/>
      <c r="BY14" s="57">
        <f t="shared" ca="1" si="16"/>
        <v>126</v>
      </c>
      <c r="BZ14" s="57">
        <f t="shared" ca="1" si="17"/>
        <v>3</v>
      </c>
      <c r="CA14" s="57">
        <f t="shared" ca="1" si="18"/>
        <v>22</v>
      </c>
      <c r="CB14" s="71" t="s">
        <v>201</v>
      </c>
      <c r="CC14" s="66" t="s">
        <v>202</v>
      </c>
    </row>
    <row r="15" spans="1:81" ht="15" customHeight="1" x14ac:dyDescent="0.25">
      <c r="A15" s="46" t="s">
        <v>203</v>
      </c>
      <c r="B15" s="59" t="s">
        <v>204</v>
      </c>
      <c r="C15" s="59" t="s">
        <v>205</v>
      </c>
      <c r="D15" s="60" t="s">
        <v>175</v>
      </c>
      <c r="E15" s="59" t="s">
        <v>206</v>
      </c>
      <c r="F15" s="59" t="s">
        <v>177</v>
      </c>
      <c r="G15" s="59"/>
      <c r="H15" s="59" t="s">
        <v>178</v>
      </c>
      <c r="I15" s="47" t="s">
        <v>207</v>
      </c>
      <c r="J15" s="61" t="s">
        <v>208</v>
      </c>
      <c r="K15" s="47" t="s">
        <v>91</v>
      </c>
      <c r="L15" s="49">
        <v>42767</v>
      </c>
      <c r="M15" s="50">
        <f t="shared" ca="1" si="0"/>
        <v>9</v>
      </c>
      <c r="N15" s="50">
        <f t="shared" ca="1" si="1"/>
        <v>2</v>
      </c>
      <c r="O15" s="50">
        <f t="shared" ca="1" si="2"/>
        <v>21</v>
      </c>
      <c r="P15" s="51">
        <f t="shared" si="3"/>
        <v>52120</v>
      </c>
      <c r="Q15" s="62" t="s">
        <v>181</v>
      </c>
      <c r="R15" s="51">
        <v>42767</v>
      </c>
      <c r="S15" s="51">
        <f>R15+88</f>
        <v>42855</v>
      </c>
      <c r="T15" s="51">
        <f t="shared" si="19"/>
        <v>42856</v>
      </c>
      <c r="U15" s="51" t="s">
        <v>88</v>
      </c>
      <c r="V15" s="60" t="s">
        <v>209</v>
      </c>
      <c r="W15" s="60" t="s">
        <v>210</v>
      </c>
      <c r="X15" s="49">
        <v>32031</v>
      </c>
      <c r="Y15" s="50">
        <f t="shared" ca="1" si="4"/>
        <v>38</v>
      </c>
      <c r="Z15" s="50">
        <f t="shared" ca="1" si="5"/>
        <v>7</v>
      </c>
      <c r="AA15" s="50">
        <f t="shared" ca="1" si="6"/>
        <v>11</v>
      </c>
      <c r="AB15" s="62" t="s">
        <v>211</v>
      </c>
      <c r="AC15" s="63" t="s">
        <v>212</v>
      </c>
      <c r="AD15" s="70" t="s">
        <v>185</v>
      </c>
      <c r="AE15" s="61" t="s">
        <v>213</v>
      </c>
      <c r="AF15" s="61" t="s">
        <v>214</v>
      </c>
      <c r="AG15" s="47"/>
      <c r="AH15" s="47">
        <v>10</v>
      </c>
      <c r="AI15" s="47" t="s">
        <v>215</v>
      </c>
      <c r="AJ15" s="69" t="s">
        <v>216</v>
      </c>
      <c r="AK15" s="47" t="s">
        <v>217</v>
      </c>
      <c r="AL15" s="64">
        <v>43822</v>
      </c>
      <c r="AM15" s="60" t="s">
        <v>218</v>
      </c>
      <c r="AN15" s="60" t="s">
        <v>159</v>
      </c>
      <c r="AO15" s="60" t="s">
        <v>159</v>
      </c>
      <c r="AP15" s="47" t="s">
        <v>117</v>
      </c>
      <c r="AQ15" s="48" t="s">
        <v>219</v>
      </c>
      <c r="AR15" s="48" t="s">
        <v>220</v>
      </c>
      <c r="AS15" s="47" t="s">
        <v>163</v>
      </c>
      <c r="AT15" s="47" t="s">
        <v>194</v>
      </c>
      <c r="AU15" s="47"/>
      <c r="AV15" s="69" t="s">
        <v>221</v>
      </c>
      <c r="AW15" s="47" t="s">
        <v>222</v>
      </c>
      <c r="AX15" s="69" t="s">
        <v>223</v>
      </c>
      <c r="AY15" s="60" t="s">
        <v>168</v>
      </c>
      <c r="AZ15" s="60" t="s">
        <v>168</v>
      </c>
      <c r="BA15" s="65" t="s">
        <v>224</v>
      </c>
      <c r="BB15" s="61" t="s">
        <v>205</v>
      </c>
      <c r="BC15" s="60" t="s">
        <v>225</v>
      </c>
      <c r="BD15" s="47" t="s">
        <v>226</v>
      </c>
      <c r="BE15" s="47" t="s">
        <v>175</v>
      </c>
      <c r="BF15" s="51">
        <v>30645</v>
      </c>
      <c r="BG15" s="57">
        <f t="shared" ca="1" si="7"/>
        <v>42</v>
      </c>
      <c r="BH15" s="57">
        <f t="shared" ca="1" si="8"/>
        <v>4</v>
      </c>
      <c r="BI15" s="57">
        <f t="shared" ca="1" si="9"/>
        <v>28</v>
      </c>
      <c r="BJ15" s="47" t="s">
        <v>227</v>
      </c>
      <c r="BK15" s="47"/>
      <c r="BL15" s="51">
        <v>41618</v>
      </c>
      <c r="BM15" s="57">
        <f t="shared" ca="1" si="10"/>
        <v>12</v>
      </c>
      <c r="BN15" s="57">
        <f t="shared" ca="1" si="11"/>
        <v>4</v>
      </c>
      <c r="BO15" s="57">
        <f t="shared" ca="1" si="12"/>
        <v>12</v>
      </c>
      <c r="BP15" s="47"/>
      <c r="BQ15" s="47"/>
      <c r="BR15" s="51"/>
      <c r="BS15" s="57">
        <f t="shared" ca="1" si="13"/>
        <v>126</v>
      </c>
      <c r="BT15" s="57">
        <f t="shared" ca="1" si="14"/>
        <v>3</v>
      </c>
      <c r="BU15" s="57">
        <f t="shared" ca="1" si="15"/>
        <v>22</v>
      </c>
      <c r="BV15" s="47"/>
      <c r="BW15" s="47"/>
      <c r="BX15" s="51"/>
      <c r="BY15" s="57">
        <f t="shared" ca="1" si="16"/>
        <v>126</v>
      </c>
      <c r="BZ15" s="57">
        <f t="shared" ca="1" si="17"/>
        <v>3</v>
      </c>
      <c r="CA15" s="57">
        <f t="shared" ca="1" si="18"/>
        <v>22</v>
      </c>
      <c r="CB15" s="71" t="s">
        <v>228</v>
      </c>
      <c r="CC15" s="72" t="s">
        <v>229</v>
      </c>
    </row>
    <row r="16" spans="1:81" ht="15" customHeight="1" x14ac:dyDescent="0.25">
      <c r="A16" s="46" t="s">
        <v>230</v>
      </c>
      <c r="B16" s="59" t="s">
        <v>231</v>
      </c>
      <c r="C16" s="47" t="s">
        <v>232</v>
      </c>
      <c r="D16" s="60" t="s">
        <v>86</v>
      </c>
      <c r="E16" s="59" t="s">
        <v>233</v>
      </c>
      <c r="F16" s="59" t="s">
        <v>177</v>
      </c>
      <c r="G16" s="59"/>
      <c r="H16" s="59" t="s">
        <v>178</v>
      </c>
      <c r="I16" s="59" t="s">
        <v>234</v>
      </c>
      <c r="J16" s="47" t="s">
        <v>90</v>
      </c>
      <c r="K16" s="47" t="s">
        <v>91</v>
      </c>
      <c r="L16" s="49">
        <v>42877</v>
      </c>
      <c r="M16" s="50">
        <f t="shared" ca="1" si="0"/>
        <v>8</v>
      </c>
      <c r="N16" s="50">
        <f t="shared" ca="1" si="1"/>
        <v>11</v>
      </c>
      <c r="O16" s="50">
        <f t="shared" ca="1" si="2"/>
        <v>0</v>
      </c>
      <c r="P16" s="51">
        <f t="shared" si="3"/>
        <v>48290</v>
      </c>
      <c r="Q16" s="62" t="s">
        <v>181</v>
      </c>
      <c r="R16" s="51">
        <v>42877</v>
      </c>
      <c r="S16" s="51">
        <f>R16+92</f>
        <v>42969</v>
      </c>
      <c r="T16" s="51">
        <f t="shared" si="19"/>
        <v>42970</v>
      </c>
      <c r="U16" s="51" t="s">
        <v>88</v>
      </c>
      <c r="V16" s="60" t="s">
        <v>235</v>
      </c>
      <c r="W16" s="47" t="s">
        <v>236</v>
      </c>
      <c r="X16" s="49">
        <v>28201</v>
      </c>
      <c r="Y16" s="50">
        <f t="shared" ca="1" si="4"/>
        <v>49</v>
      </c>
      <c r="Z16" s="50">
        <f t="shared" ca="1" si="5"/>
        <v>1</v>
      </c>
      <c r="AA16" s="50">
        <f t="shared" ca="1" si="6"/>
        <v>5</v>
      </c>
      <c r="AB16" s="62" t="s">
        <v>237</v>
      </c>
      <c r="AC16" s="70" t="s">
        <v>238</v>
      </c>
      <c r="AD16" s="70" t="s">
        <v>185</v>
      </c>
      <c r="AE16" s="61" t="s">
        <v>239</v>
      </c>
      <c r="AF16" s="61" t="s">
        <v>240</v>
      </c>
      <c r="AG16" s="47"/>
      <c r="AH16" s="47">
        <v>15</v>
      </c>
      <c r="AI16" s="47" t="s">
        <v>241</v>
      </c>
      <c r="AJ16" s="48" t="s">
        <v>242</v>
      </c>
      <c r="AK16" s="47" t="s">
        <v>243</v>
      </c>
      <c r="AL16" s="56" t="s">
        <v>244</v>
      </c>
      <c r="AM16" s="47" t="s">
        <v>245</v>
      </c>
      <c r="AN16" s="47"/>
      <c r="AO16" s="60" t="s">
        <v>135</v>
      </c>
      <c r="AP16" s="47" t="s">
        <v>117</v>
      </c>
      <c r="AQ16" s="68" t="s">
        <v>246</v>
      </c>
      <c r="AR16" s="48" t="s">
        <v>247</v>
      </c>
      <c r="AS16" s="47" t="s">
        <v>163</v>
      </c>
      <c r="AT16" s="47" t="s">
        <v>194</v>
      </c>
      <c r="AU16" s="47"/>
      <c r="AV16" s="48" t="s">
        <v>248</v>
      </c>
      <c r="AW16" s="47" t="s">
        <v>249</v>
      </c>
      <c r="AX16" s="48" t="s">
        <v>250</v>
      </c>
      <c r="AY16" s="60" t="s">
        <v>168</v>
      </c>
      <c r="AZ16" s="60" t="s">
        <v>168</v>
      </c>
      <c r="BA16" s="65" t="s">
        <v>251</v>
      </c>
      <c r="BB16" s="61" t="s">
        <v>232</v>
      </c>
      <c r="BC16" s="47" t="s">
        <v>252</v>
      </c>
      <c r="BD16" s="47" t="s">
        <v>253</v>
      </c>
      <c r="BE16" s="47" t="s">
        <v>86</v>
      </c>
      <c r="BF16" s="51">
        <v>28079</v>
      </c>
      <c r="BG16" s="57">
        <f t="shared" ca="1" si="7"/>
        <v>49</v>
      </c>
      <c r="BH16" s="57">
        <f t="shared" ca="1" si="8"/>
        <v>5</v>
      </c>
      <c r="BI16" s="57">
        <f t="shared" ca="1" si="9"/>
        <v>7</v>
      </c>
      <c r="BJ16" s="47" t="s">
        <v>254</v>
      </c>
      <c r="BK16" s="47"/>
      <c r="BL16" s="51">
        <v>40065</v>
      </c>
      <c r="BM16" s="57">
        <f t="shared" ca="1" si="10"/>
        <v>16</v>
      </c>
      <c r="BN16" s="57">
        <f t="shared" ca="1" si="11"/>
        <v>7</v>
      </c>
      <c r="BO16" s="57">
        <f t="shared" ca="1" si="12"/>
        <v>13</v>
      </c>
      <c r="BP16" s="47"/>
      <c r="BQ16" s="47"/>
      <c r="BR16" s="51"/>
      <c r="BS16" s="57">
        <f t="shared" ca="1" si="13"/>
        <v>126</v>
      </c>
      <c r="BT16" s="57">
        <f t="shared" ca="1" si="14"/>
        <v>3</v>
      </c>
      <c r="BU16" s="57">
        <f t="shared" ca="1" si="15"/>
        <v>22</v>
      </c>
      <c r="BV16" s="47"/>
      <c r="BW16" s="47"/>
      <c r="BX16" s="51"/>
      <c r="BY16" s="57">
        <f t="shared" ca="1" si="16"/>
        <v>126</v>
      </c>
      <c r="BZ16" s="57">
        <f t="shared" ca="1" si="17"/>
        <v>3</v>
      </c>
      <c r="CA16" s="57">
        <f t="shared" ca="1" si="18"/>
        <v>22</v>
      </c>
      <c r="CB16" s="73" t="s">
        <v>255</v>
      </c>
      <c r="CC16" s="58" t="s">
        <v>256</v>
      </c>
    </row>
    <row r="17" spans="1:81" ht="15" customHeight="1" x14ac:dyDescent="0.25">
      <c r="A17" s="46" t="s">
        <v>257</v>
      </c>
      <c r="B17" s="59" t="s">
        <v>258</v>
      </c>
      <c r="C17" s="47" t="s">
        <v>259</v>
      </c>
      <c r="D17" s="60" t="s">
        <v>175</v>
      </c>
      <c r="E17" s="59" t="s">
        <v>206</v>
      </c>
      <c r="F17" s="59" t="s">
        <v>177</v>
      </c>
      <c r="G17" s="59"/>
      <c r="H17" s="59" t="s">
        <v>178</v>
      </c>
      <c r="I17" s="59" t="s">
        <v>260</v>
      </c>
      <c r="J17" s="47" t="s">
        <v>90</v>
      </c>
      <c r="K17" s="47" t="s">
        <v>91</v>
      </c>
      <c r="L17" s="49">
        <v>42928</v>
      </c>
      <c r="M17" s="50">
        <f t="shared" ca="1" si="0"/>
        <v>8</v>
      </c>
      <c r="N17" s="50">
        <f t="shared" ca="1" si="1"/>
        <v>9</v>
      </c>
      <c r="O17" s="50">
        <f t="shared" ca="1" si="2"/>
        <v>10</v>
      </c>
      <c r="P17" s="51">
        <f t="shared" si="3"/>
        <v>53893</v>
      </c>
      <c r="Q17" s="62" t="s">
        <v>181</v>
      </c>
      <c r="R17" s="51">
        <v>42928</v>
      </c>
      <c r="S17" s="51">
        <f>R17+91</f>
        <v>43019</v>
      </c>
      <c r="T17" s="51">
        <f t="shared" si="19"/>
        <v>43020</v>
      </c>
      <c r="U17" s="51" t="s">
        <v>88</v>
      </c>
      <c r="V17" s="47" t="s">
        <v>261</v>
      </c>
      <c r="W17" s="47" t="s">
        <v>129</v>
      </c>
      <c r="X17" s="49">
        <v>33805</v>
      </c>
      <c r="Y17" s="50">
        <f t="shared" ca="1" si="4"/>
        <v>33</v>
      </c>
      <c r="Z17" s="50">
        <f t="shared" ca="1" si="5"/>
        <v>9</v>
      </c>
      <c r="AA17" s="50">
        <f t="shared" ca="1" si="6"/>
        <v>2</v>
      </c>
      <c r="AB17" s="62" t="s">
        <v>262</v>
      </c>
      <c r="AC17" s="70" t="s">
        <v>263</v>
      </c>
      <c r="AD17" s="70" t="s">
        <v>185</v>
      </c>
      <c r="AE17" s="54" t="s">
        <v>264</v>
      </c>
      <c r="AF17" s="47" t="s">
        <v>265</v>
      </c>
      <c r="AG17" s="47"/>
      <c r="AH17" s="47">
        <v>2</v>
      </c>
      <c r="AI17" s="47" t="s">
        <v>266</v>
      </c>
      <c r="AJ17" s="48" t="s">
        <v>267</v>
      </c>
      <c r="AK17" s="47" t="s">
        <v>268</v>
      </c>
      <c r="AL17" s="56" t="s">
        <v>244</v>
      </c>
      <c r="AM17" s="47" t="s">
        <v>269</v>
      </c>
      <c r="AN17" s="47"/>
      <c r="AO17" s="60" t="s">
        <v>159</v>
      </c>
      <c r="AP17" s="47" t="s">
        <v>160</v>
      </c>
      <c r="AQ17" s="68" t="s">
        <v>270</v>
      </c>
      <c r="AR17" s="48" t="s">
        <v>271</v>
      </c>
      <c r="AS17" s="47" t="s">
        <v>163</v>
      </c>
      <c r="AT17" s="47" t="s">
        <v>272</v>
      </c>
      <c r="AU17" s="47"/>
      <c r="AV17" s="48" t="s">
        <v>273</v>
      </c>
      <c r="AW17" s="47" t="s">
        <v>274</v>
      </c>
      <c r="AX17" s="48" t="s">
        <v>275</v>
      </c>
      <c r="AY17" s="60" t="s">
        <v>168</v>
      </c>
      <c r="AZ17" s="60" t="s">
        <v>168</v>
      </c>
      <c r="BA17" s="65" t="s">
        <v>276</v>
      </c>
      <c r="BB17" s="62" t="s">
        <v>259</v>
      </c>
      <c r="BC17" s="47" t="s">
        <v>277</v>
      </c>
      <c r="BD17" s="47"/>
      <c r="BE17" s="47" t="s">
        <v>175</v>
      </c>
      <c r="BF17" s="51"/>
      <c r="BG17" s="57">
        <f t="shared" ca="1" si="7"/>
        <v>126</v>
      </c>
      <c r="BH17" s="57">
        <f t="shared" ca="1" si="8"/>
        <v>3</v>
      </c>
      <c r="BI17" s="57">
        <f t="shared" ca="1" si="9"/>
        <v>22</v>
      </c>
      <c r="BJ17" s="47"/>
      <c r="BK17" s="47"/>
      <c r="BL17" s="51"/>
      <c r="BM17" s="57">
        <f t="shared" ca="1" si="10"/>
        <v>126</v>
      </c>
      <c r="BN17" s="57">
        <f t="shared" ca="1" si="11"/>
        <v>3</v>
      </c>
      <c r="BO17" s="57">
        <f t="shared" ca="1" si="12"/>
        <v>22</v>
      </c>
      <c r="BP17" s="47"/>
      <c r="BQ17" s="47"/>
      <c r="BR17" s="51"/>
      <c r="BS17" s="57">
        <f t="shared" ca="1" si="13"/>
        <v>126</v>
      </c>
      <c r="BT17" s="57">
        <f t="shared" ca="1" si="14"/>
        <v>3</v>
      </c>
      <c r="BU17" s="57">
        <f t="shared" ca="1" si="15"/>
        <v>22</v>
      </c>
      <c r="BV17" s="47"/>
      <c r="BW17" s="47"/>
      <c r="BX17" s="51"/>
      <c r="BY17" s="57">
        <f t="shared" ca="1" si="16"/>
        <v>126</v>
      </c>
      <c r="BZ17" s="57">
        <f t="shared" ca="1" si="17"/>
        <v>3</v>
      </c>
      <c r="CA17" s="57">
        <f t="shared" ca="1" si="18"/>
        <v>22</v>
      </c>
      <c r="CB17" s="73" t="s">
        <v>278</v>
      </c>
      <c r="CC17" s="58" t="s">
        <v>279</v>
      </c>
    </row>
    <row r="18" spans="1:81" ht="15" customHeight="1" x14ac:dyDescent="0.25">
      <c r="A18" s="46" t="s">
        <v>280</v>
      </c>
      <c r="B18" s="59" t="s">
        <v>281</v>
      </c>
      <c r="C18" s="47" t="s">
        <v>282</v>
      </c>
      <c r="D18" s="60" t="s">
        <v>86</v>
      </c>
      <c r="E18" s="59" t="s">
        <v>176</v>
      </c>
      <c r="F18" s="59" t="s">
        <v>177</v>
      </c>
      <c r="G18" s="59"/>
      <c r="H18" s="59" t="s">
        <v>178</v>
      </c>
      <c r="I18" s="59" t="s">
        <v>179</v>
      </c>
      <c r="J18" s="47" t="s">
        <v>90</v>
      </c>
      <c r="K18" s="47" t="s">
        <v>91</v>
      </c>
      <c r="L18" s="49">
        <v>42954</v>
      </c>
      <c r="M18" s="50">
        <f t="shared" ca="1" si="0"/>
        <v>8</v>
      </c>
      <c r="N18" s="50">
        <f t="shared" ca="1" si="1"/>
        <v>8</v>
      </c>
      <c r="O18" s="50">
        <f t="shared" ca="1" si="2"/>
        <v>15</v>
      </c>
      <c r="P18" s="51">
        <f t="shared" si="3"/>
        <v>51666</v>
      </c>
      <c r="Q18" s="62" t="s">
        <v>181</v>
      </c>
      <c r="R18" s="51">
        <v>42954</v>
      </c>
      <c r="S18" s="51">
        <f>R18+91</f>
        <v>43045</v>
      </c>
      <c r="T18" s="51">
        <f t="shared" si="19"/>
        <v>43046</v>
      </c>
      <c r="U18" s="51" t="s">
        <v>88</v>
      </c>
      <c r="V18" s="47" t="s">
        <v>283</v>
      </c>
      <c r="W18" s="47" t="s">
        <v>284</v>
      </c>
      <c r="X18" s="49">
        <v>31577</v>
      </c>
      <c r="Y18" s="50">
        <f t="shared" ca="1" si="4"/>
        <v>39</v>
      </c>
      <c r="Z18" s="50">
        <f t="shared" ca="1" si="5"/>
        <v>10</v>
      </c>
      <c r="AA18" s="50">
        <f t="shared" ca="1" si="6"/>
        <v>8</v>
      </c>
      <c r="AB18" s="62" t="s">
        <v>285</v>
      </c>
      <c r="AC18" s="63" t="s">
        <v>286</v>
      </c>
      <c r="AD18" s="63" t="s">
        <v>152</v>
      </c>
      <c r="AE18" s="47" t="s">
        <v>287</v>
      </c>
      <c r="AF18" s="47" t="s">
        <v>288</v>
      </c>
      <c r="AG18" s="47"/>
      <c r="AH18" s="47">
        <v>4</v>
      </c>
      <c r="AI18" s="47" t="s">
        <v>289</v>
      </c>
      <c r="AJ18" s="65" t="s">
        <v>290</v>
      </c>
      <c r="AK18" s="47" t="s">
        <v>291</v>
      </c>
      <c r="AL18" s="56">
        <v>43265</v>
      </c>
      <c r="AM18" s="47" t="s">
        <v>292</v>
      </c>
      <c r="AN18" s="47"/>
      <c r="AO18" s="60" t="s">
        <v>135</v>
      </c>
      <c r="AP18" s="47" t="s">
        <v>117</v>
      </c>
      <c r="AQ18" s="68" t="s">
        <v>293</v>
      </c>
      <c r="AR18" s="48" t="s">
        <v>294</v>
      </c>
      <c r="AS18" s="47" t="s">
        <v>163</v>
      </c>
      <c r="AT18" s="47" t="s">
        <v>164</v>
      </c>
      <c r="AU18" s="47"/>
      <c r="AV18" s="48" t="s">
        <v>295</v>
      </c>
      <c r="AW18" s="47" t="s">
        <v>296</v>
      </c>
      <c r="AX18" s="48" t="s">
        <v>297</v>
      </c>
      <c r="AY18" s="60" t="s">
        <v>168</v>
      </c>
      <c r="AZ18" s="60" t="s">
        <v>168</v>
      </c>
      <c r="BA18" s="65" t="s">
        <v>298</v>
      </c>
      <c r="BB18" s="62" t="s">
        <v>299</v>
      </c>
      <c r="BC18" s="47" t="s">
        <v>300</v>
      </c>
      <c r="BD18" s="47" t="s">
        <v>301</v>
      </c>
      <c r="BE18" s="47" t="s">
        <v>86</v>
      </c>
      <c r="BF18" s="51">
        <v>31793</v>
      </c>
      <c r="BG18" s="57">
        <f t="shared" ca="1" si="7"/>
        <v>39</v>
      </c>
      <c r="BH18" s="57">
        <f t="shared" ca="1" si="8"/>
        <v>3</v>
      </c>
      <c r="BI18" s="57">
        <f t="shared" ca="1" si="9"/>
        <v>6</v>
      </c>
      <c r="BJ18" s="47" t="s">
        <v>302</v>
      </c>
      <c r="BK18" s="47"/>
      <c r="BL18" s="51">
        <v>41518</v>
      </c>
      <c r="BM18" s="57">
        <f t="shared" ca="1" si="10"/>
        <v>12</v>
      </c>
      <c r="BN18" s="57">
        <f t="shared" ca="1" si="11"/>
        <v>7</v>
      </c>
      <c r="BO18" s="57">
        <f t="shared" ca="1" si="12"/>
        <v>21</v>
      </c>
      <c r="BP18" s="47"/>
      <c r="BQ18" s="47"/>
      <c r="BR18" s="51"/>
      <c r="BS18" s="57">
        <f t="shared" ca="1" si="13"/>
        <v>126</v>
      </c>
      <c r="BT18" s="57">
        <f t="shared" ca="1" si="14"/>
        <v>3</v>
      </c>
      <c r="BU18" s="57">
        <f t="shared" ca="1" si="15"/>
        <v>22</v>
      </c>
      <c r="BV18" s="47"/>
      <c r="BW18" s="47"/>
      <c r="BX18" s="51"/>
      <c r="BY18" s="57">
        <f t="shared" ca="1" si="16"/>
        <v>126</v>
      </c>
      <c r="BZ18" s="57">
        <f t="shared" ca="1" si="17"/>
        <v>3</v>
      </c>
      <c r="CA18" s="57">
        <f t="shared" ca="1" si="18"/>
        <v>22</v>
      </c>
      <c r="CB18" s="74" t="s">
        <v>303</v>
      </c>
      <c r="CC18" s="58" t="s">
        <v>304</v>
      </c>
    </row>
    <row r="19" spans="1:81" ht="15" customHeight="1" x14ac:dyDescent="0.25">
      <c r="A19" s="46" t="s">
        <v>305</v>
      </c>
      <c r="B19" s="59" t="s">
        <v>306</v>
      </c>
      <c r="C19" s="47" t="s">
        <v>307</v>
      </c>
      <c r="D19" s="60" t="s">
        <v>175</v>
      </c>
      <c r="E19" s="59" t="s">
        <v>176</v>
      </c>
      <c r="F19" s="59" t="s">
        <v>177</v>
      </c>
      <c r="G19" s="59"/>
      <c r="H19" s="59" t="s">
        <v>178</v>
      </c>
      <c r="I19" s="59" t="s">
        <v>179</v>
      </c>
      <c r="J19" s="47" t="s">
        <v>90</v>
      </c>
      <c r="K19" s="47" t="s">
        <v>91</v>
      </c>
      <c r="L19" s="49">
        <v>43040</v>
      </c>
      <c r="M19" s="50">
        <f t="shared" ca="1" si="0"/>
        <v>8</v>
      </c>
      <c r="N19" s="50">
        <f t="shared" ca="1" si="1"/>
        <v>5</v>
      </c>
      <c r="O19" s="50">
        <f t="shared" ca="1" si="2"/>
        <v>21</v>
      </c>
      <c r="P19" s="51">
        <f t="shared" si="3"/>
        <v>54500</v>
      </c>
      <c r="Q19" s="62" t="s">
        <v>181</v>
      </c>
      <c r="R19" s="51">
        <v>43040</v>
      </c>
      <c r="S19" s="51">
        <f>R19+91</f>
        <v>43131</v>
      </c>
      <c r="T19" s="51">
        <f t="shared" si="19"/>
        <v>43132</v>
      </c>
      <c r="U19" s="51" t="s">
        <v>88</v>
      </c>
      <c r="V19" s="47" t="s">
        <v>308</v>
      </c>
      <c r="W19" s="47" t="s">
        <v>236</v>
      </c>
      <c r="X19" s="49">
        <v>34411</v>
      </c>
      <c r="Y19" s="50">
        <f t="shared" ca="1" si="4"/>
        <v>32</v>
      </c>
      <c r="Z19" s="50">
        <f t="shared" ca="1" si="5"/>
        <v>1</v>
      </c>
      <c r="AA19" s="50">
        <f t="shared" ca="1" si="6"/>
        <v>4</v>
      </c>
      <c r="AB19" s="62" t="s">
        <v>309</v>
      </c>
      <c r="AC19" s="63" t="s">
        <v>310</v>
      </c>
      <c r="AD19" s="63" t="s">
        <v>152</v>
      </c>
      <c r="AE19" s="47" t="s">
        <v>311</v>
      </c>
      <c r="AF19" s="47" t="s">
        <v>312</v>
      </c>
      <c r="AG19" s="47"/>
      <c r="AH19" s="47">
        <v>4</v>
      </c>
      <c r="AI19" s="47" t="s">
        <v>313</v>
      </c>
      <c r="AJ19" s="48" t="s">
        <v>314</v>
      </c>
      <c r="AK19" s="47" t="s">
        <v>315</v>
      </c>
      <c r="AL19" s="56">
        <v>42812</v>
      </c>
      <c r="AM19" s="47" t="s">
        <v>316</v>
      </c>
      <c r="AN19" s="47"/>
      <c r="AO19" s="60" t="s">
        <v>159</v>
      </c>
      <c r="AP19" s="47" t="s">
        <v>160</v>
      </c>
      <c r="AQ19" s="48" t="s">
        <v>317</v>
      </c>
      <c r="AR19" s="48" t="s">
        <v>318</v>
      </c>
      <c r="AS19" s="47" t="s">
        <v>163</v>
      </c>
      <c r="AT19" s="47" t="s">
        <v>272</v>
      </c>
      <c r="AU19" s="47"/>
      <c r="AV19" s="48" t="s">
        <v>319</v>
      </c>
      <c r="AW19" s="47" t="s">
        <v>320</v>
      </c>
      <c r="AX19" s="48" t="s">
        <v>321</v>
      </c>
      <c r="AY19" s="60" t="s">
        <v>168</v>
      </c>
      <c r="AZ19" s="60" t="s">
        <v>168</v>
      </c>
      <c r="BA19" s="65" t="s">
        <v>322</v>
      </c>
      <c r="BB19" s="62" t="s">
        <v>307</v>
      </c>
      <c r="BC19" s="47" t="s">
        <v>300</v>
      </c>
      <c r="BD19" s="47"/>
      <c r="BE19" s="47" t="s">
        <v>175</v>
      </c>
      <c r="BF19" s="51"/>
      <c r="BG19" s="57">
        <f t="shared" ca="1" si="7"/>
        <v>126</v>
      </c>
      <c r="BH19" s="57">
        <f t="shared" ca="1" si="8"/>
        <v>3</v>
      </c>
      <c r="BI19" s="57">
        <f t="shared" ca="1" si="9"/>
        <v>22</v>
      </c>
      <c r="BJ19" s="47"/>
      <c r="BK19" s="47"/>
      <c r="BL19" s="51"/>
      <c r="BM19" s="57">
        <f t="shared" ca="1" si="10"/>
        <v>126</v>
      </c>
      <c r="BN19" s="57">
        <f t="shared" ca="1" si="11"/>
        <v>3</v>
      </c>
      <c r="BO19" s="57">
        <f t="shared" ca="1" si="12"/>
        <v>22</v>
      </c>
      <c r="BP19" s="47"/>
      <c r="BQ19" s="47"/>
      <c r="BR19" s="51"/>
      <c r="BS19" s="57">
        <f t="shared" ca="1" si="13"/>
        <v>126</v>
      </c>
      <c r="BT19" s="57">
        <f t="shared" ca="1" si="14"/>
        <v>3</v>
      </c>
      <c r="BU19" s="57">
        <f t="shared" ca="1" si="15"/>
        <v>22</v>
      </c>
      <c r="BV19" s="47"/>
      <c r="BW19" s="47"/>
      <c r="BX19" s="51"/>
      <c r="BY19" s="57">
        <f t="shared" ca="1" si="16"/>
        <v>126</v>
      </c>
      <c r="BZ19" s="57">
        <f t="shared" ca="1" si="17"/>
        <v>3</v>
      </c>
      <c r="CA19" s="57">
        <f t="shared" ca="1" si="18"/>
        <v>22</v>
      </c>
      <c r="CB19" s="73" t="s">
        <v>323</v>
      </c>
      <c r="CC19" s="58" t="s">
        <v>324</v>
      </c>
    </row>
    <row r="20" spans="1:81" ht="15" customHeight="1" x14ac:dyDescent="0.25">
      <c r="A20" s="46" t="s">
        <v>325</v>
      </c>
      <c r="B20" s="59" t="s">
        <v>326</v>
      </c>
      <c r="C20" s="47" t="s">
        <v>327</v>
      </c>
      <c r="D20" s="60" t="s">
        <v>86</v>
      </c>
      <c r="E20" s="59" t="s">
        <v>206</v>
      </c>
      <c r="F20" s="59" t="s">
        <v>328</v>
      </c>
      <c r="G20" s="47" t="s">
        <v>329</v>
      </c>
      <c r="H20" s="59" t="s">
        <v>330</v>
      </c>
      <c r="I20" s="59" t="s">
        <v>331</v>
      </c>
      <c r="J20" s="47" t="s">
        <v>110</v>
      </c>
      <c r="K20" s="47" t="s">
        <v>91</v>
      </c>
      <c r="L20" s="49">
        <v>43055</v>
      </c>
      <c r="M20" s="50">
        <f t="shared" ca="1" si="0"/>
        <v>8</v>
      </c>
      <c r="N20" s="50">
        <f t="shared" ca="1" si="1"/>
        <v>5</v>
      </c>
      <c r="O20" s="50">
        <f t="shared" ca="1" si="2"/>
        <v>6</v>
      </c>
      <c r="P20" s="51">
        <f t="shared" si="3"/>
        <v>54776</v>
      </c>
      <c r="Q20" s="62" t="s">
        <v>181</v>
      </c>
      <c r="R20" s="51">
        <v>43055</v>
      </c>
      <c r="S20" s="51">
        <f>R20+91</f>
        <v>43146</v>
      </c>
      <c r="T20" s="51">
        <f t="shared" si="19"/>
        <v>43147</v>
      </c>
      <c r="U20" s="51" t="s">
        <v>88</v>
      </c>
      <c r="V20" s="47" t="s">
        <v>332</v>
      </c>
      <c r="W20" s="47" t="s">
        <v>333</v>
      </c>
      <c r="X20" s="49">
        <v>34687</v>
      </c>
      <c r="Y20" s="50">
        <f t="shared" ca="1" si="4"/>
        <v>31</v>
      </c>
      <c r="Z20" s="50">
        <f t="shared" ca="1" si="5"/>
        <v>4</v>
      </c>
      <c r="AA20" s="50">
        <f t="shared" ca="1" si="6"/>
        <v>3</v>
      </c>
      <c r="AB20" s="62" t="s">
        <v>334</v>
      </c>
      <c r="AC20" s="70" t="s">
        <v>335</v>
      </c>
      <c r="AD20" s="70" t="s">
        <v>185</v>
      </c>
      <c r="AE20" s="47" t="s">
        <v>336</v>
      </c>
      <c r="AF20" s="47" t="s">
        <v>337</v>
      </c>
      <c r="AG20" s="47"/>
      <c r="AH20" s="47">
        <v>1</v>
      </c>
      <c r="AI20" s="47" t="s">
        <v>338</v>
      </c>
      <c r="AJ20" s="48" t="s">
        <v>339</v>
      </c>
      <c r="AK20" s="47" t="s">
        <v>340</v>
      </c>
      <c r="AL20" s="56">
        <v>43088</v>
      </c>
      <c r="AM20" s="47" t="s">
        <v>340</v>
      </c>
      <c r="AN20" s="47"/>
      <c r="AO20" s="60" t="s">
        <v>159</v>
      </c>
      <c r="AP20" s="47" t="s">
        <v>160</v>
      </c>
      <c r="AQ20" s="48" t="s">
        <v>341</v>
      </c>
      <c r="AR20" s="48" t="s">
        <v>342</v>
      </c>
      <c r="AS20" s="47" t="s">
        <v>163</v>
      </c>
      <c r="AT20" s="47" t="s">
        <v>343</v>
      </c>
      <c r="AU20" s="47"/>
      <c r="AV20" s="48" t="s">
        <v>344</v>
      </c>
      <c r="AW20" s="47" t="s">
        <v>345</v>
      </c>
      <c r="AX20" s="48" t="s">
        <v>346</v>
      </c>
      <c r="AY20" s="60" t="s">
        <v>168</v>
      </c>
      <c r="AZ20" s="60" t="s">
        <v>168</v>
      </c>
      <c r="BA20" s="65" t="s">
        <v>347</v>
      </c>
      <c r="BB20" s="62" t="s">
        <v>327</v>
      </c>
      <c r="BC20" s="47" t="s">
        <v>348</v>
      </c>
      <c r="BD20" s="47"/>
      <c r="BE20" s="47"/>
      <c r="BF20" s="51"/>
      <c r="BG20" s="57">
        <f t="shared" ca="1" si="7"/>
        <v>126</v>
      </c>
      <c r="BH20" s="57">
        <f t="shared" ca="1" si="8"/>
        <v>3</v>
      </c>
      <c r="BI20" s="57">
        <f t="shared" ca="1" si="9"/>
        <v>22</v>
      </c>
      <c r="BJ20" s="47"/>
      <c r="BK20" s="47"/>
      <c r="BL20" s="51"/>
      <c r="BM20" s="57">
        <f t="shared" ca="1" si="10"/>
        <v>126</v>
      </c>
      <c r="BN20" s="57">
        <f t="shared" ca="1" si="11"/>
        <v>3</v>
      </c>
      <c r="BO20" s="57">
        <f t="shared" ca="1" si="12"/>
        <v>22</v>
      </c>
      <c r="BP20" s="47"/>
      <c r="BQ20" s="47"/>
      <c r="BR20" s="51"/>
      <c r="BS20" s="57">
        <f t="shared" ca="1" si="13"/>
        <v>126</v>
      </c>
      <c r="BT20" s="57">
        <f t="shared" ca="1" si="14"/>
        <v>3</v>
      </c>
      <c r="BU20" s="57">
        <f t="shared" ca="1" si="15"/>
        <v>22</v>
      </c>
      <c r="BV20" s="47"/>
      <c r="BW20" s="47"/>
      <c r="BX20" s="51"/>
      <c r="BY20" s="57">
        <f t="shared" ca="1" si="16"/>
        <v>126</v>
      </c>
      <c r="BZ20" s="57">
        <f t="shared" ca="1" si="17"/>
        <v>3</v>
      </c>
      <c r="CA20" s="57">
        <f t="shared" ca="1" si="18"/>
        <v>22</v>
      </c>
      <c r="CB20" s="73" t="s">
        <v>349</v>
      </c>
      <c r="CC20" s="57" t="s">
        <v>171</v>
      </c>
    </row>
    <row r="21" spans="1:81" ht="15" customHeight="1" x14ac:dyDescent="0.25">
      <c r="A21" s="46" t="s">
        <v>350</v>
      </c>
      <c r="B21" s="59" t="s">
        <v>351</v>
      </c>
      <c r="C21" s="47" t="s">
        <v>352</v>
      </c>
      <c r="D21" s="47" t="s">
        <v>86</v>
      </c>
      <c r="E21" s="47" t="s">
        <v>353</v>
      </c>
      <c r="F21" s="47" t="s">
        <v>328</v>
      </c>
      <c r="G21" s="47" t="s">
        <v>329</v>
      </c>
      <c r="H21" s="47" t="s">
        <v>354</v>
      </c>
      <c r="I21" s="47" t="s">
        <v>355</v>
      </c>
      <c r="J21" s="47" t="s">
        <v>110</v>
      </c>
      <c r="K21" s="47" t="s">
        <v>91</v>
      </c>
      <c r="L21" s="49">
        <v>43067</v>
      </c>
      <c r="M21" s="50">
        <f t="shared" ca="1" si="0"/>
        <v>8</v>
      </c>
      <c r="N21" s="50">
        <f t="shared" ca="1" si="1"/>
        <v>4</v>
      </c>
      <c r="O21" s="50">
        <f t="shared" ca="1" si="2"/>
        <v>25</v>
      </c>
      <c r="P21" s="51">
        <f t="shared" si="3"/>
        <v>55009</v>
      </c>
      <c r="Q21" s="62" t="s">
        <v>181</v>
      </c>
      <c r="R21" s="51">
        <v>43067</v>
      </c>
      <c r="S21" s="51">
        <f>R21+91</f>
        <v>43158</v>
      </c>
      <c r="T21" s="51">
        <f t="shared" si="19"/>
        <v>43159</v>
      </c>
      <c r="U21" s="51" t="s">
        <v>88</v>
      </c>
      <c r="V21" s="47" t="s">
        <v>356</v>
      </c>
      <c r="W21" s="47" t="s">
        <v>357</v>
      </c>
      <c r="X21" s="49">
        <v>34920</v>
      </c>
      <c r="Y21" s="50">
        <f t="shared" ca="1" si="4"/>
        <v>30</v>
      </c>
      <c r="Z21" s="50">
        <f t="shared" ca="1" si="5"/>
        <v>8</v>
      </c>
      <c r="AA21" s="50">
        <f t="shared" ca="1" si="6"/>
        <v>13</v>
      </c>
      <c r="AB21" s="62" t="s">
        <v>358</v>
      </c>
      <c r="AC21" s="63" t="s">
        <v>359</v>
      </c>
      <c r="AD21" s="70" t="s">
        <v>360</v>
      </c>
      <c r="AE21" s="47" t="s">
        <v>361</v>
      </c>
      <c r="AF21" s="47" t="s">
        <v>337</v>
      </c>
      <c r="AG21" s="47"/>
      <c r="AH21" s="47">
        <v>1</v>
      </c>
      <c r="AI21" s="47" t="s">
        <v>362</v>
      </c>
      <c r="AJ21" s="48" t="s">
        <v>363</v>
      </c>
      <c r="AK21" s="47" t="s">
        <v>364</v>
      </c>
      <c r="AL21" s="56">
        <v>42956</v>
      </c>
      <c r="AM21" s="47" t="s">
        <v>365</v>
      </c>
      <c r="AN21" s="47"/>
      <c r="AO21" s="47" t="s">
        <v>159</v>
      </c>
      <c r="AP21" s="47" t="s">
        <v>160</v>
      </c>
      <c r="AQ21" s="48" t="s">
        <v>366</v>
      </c>
      <c r="AR21" s="48" t="s">
        <v>367</v>
      </c>
      <c r="AS21" s="47" t="s">
        <v>163</v>
      </c>
      <c r="AT21" s="47" t="s">
        <v>164</v>
      </c>
      <c r="AU21" s="47"/>
      <c r="AV21" s="47" t="s">
        <v>368</v>
      </c>
      <c r="AW21" s="47" t="s">
        <v>168</v>
      </c>
      <c r="AX21" s="48" t="s">
        <v>168</v>
      </c>
      <c r="AY21" s="60" t="s">
        <v>168</v>
      </c>
      <c r="AZ21" s="60" t="s">
        <v>168</v>
      </c>
      <c r="BA21" s="65" t="s">
        <v>369</v>
      </c>
      <c r="BB21" s="47" t="s">
        <v>352</v>
      </c>
      <c r="BC21" s="47" t="s">
        <v>370</v>
      </c>
      <c r="BD21" s="47"/>
      <c r="BE21" s="47"/>
      <c r="BF21" s="51"/>
      <c r="BG21" s="57">
        <f t="shared" ca="1" si="7"/>
        <v>126</v>
      </c>
      <c r="BH21" s="57">
        <f t="shared" ca="1" si="8"/>
        <v>3</v>
      </c>
      <c r="BI21" s="57">
        <f t="shared" ca="1" si="9"/>
        <v>22</v>
      </c>
      <c r="BJ21" s="47"/>
      <c r="BK21" s="47"/>
      <c r="BL21" s="51"/>
      <c r="BM21" s="57">
        <f t="shared" ca="1" si="10"/>
        <v>126</v>
      </c>
      <c r="BN21" s="57">
        <f t="shared" ca="1" si="11"/>
        <v>3</v>
      </c>
      <c r="BO21" s="57">
        <f t="shared" ca="1" si="12"/>
        <v>22</v>
      </c>
      <c r="BP21" s="47"/>
      <c r="BQ21" s="47"/>
      <c r="BR21" s="51"/>
      <c r="BS21" s="57">
        <f t="shared" ca="1" si="13"/>
        <v>126</v>
      </c>
      <c r="BT21" s="57">
        <f t="shared" ca="1" si="14"/>
        <v>3</v>
      </c>
      <c r="BU21" s="57">
        <f t="shared" ca="1" si="15"/>
        <v>22</v>
      </c>
      <c r="BV21" s="47"/>
      <c r="BW21" s="47"/>
      <c r="BX21" s="51"/>
      <c r="BY21" s="57">
        <f t="shared" ca="1" si="16"/>
        <v>126</v>
      </c>
      <c r="BZ21" s="57">
        <f t="shared" ca="1" si="17"/>
        <v>3</v>
      </c>
      <c r="CA21" s="57">
        <f t="shared" ca="1" si="18"/>
        <v>22</v>
      </c>
      <c r="CB21" s="59"/>
      <c r="CC21" s="57" t="s">
        <v>171</v>
      </c>
    </row>
    <row r="22" spans="1:81" ht="15" customHeight="1" x14ac:dyDescent="0.25">
      <c r="A22" s="46" t="s">
        <v>371</v>
      </c>
      <c r="B22" s="47" t="s">
        <v>372</v>
      </c>
      <c r="C22" s="47" t="s">
        <v>373</v>
      </c>
      <c r="D22" s="47" t="s">
        <v>86</v>
      </c>
      <c r="E22" s="59" t="s">
        <v>176</v>
      </c>
      <c r="F22" s="59" t="s">
        <v>177</v>
      </c>
      <c r="G22" s="59"/>
      <c r="H22" s="59" t="s">
        <v>178</v>
      </c>
      <c r="I22" s="59" t="s">
        <v>179</v>
      </c>
      <c r="J22" s="47" t="s">
        <v>374</v>
      </c>
      <c r="K22" s="47" t="s">
        <v>91</v>
      </c>
      <c r="L22" s="49">
        <v>43073</v>
      </c>
      <c r="M22" s="50">
        <f t="shared" ca="1" si="0"/>
        <v>8</v>
      </c>
      <c r="N22" s="50">
        <f t="shared" ca="1" si="1"/>
        <v>4</v>
      </c>
      <c r="O22" s="50">
        <f t="shared" ca="1" si="2"/>
        <v>18</v>
      </c>
      <c r="P22" s="51">
        <f t="shared" si="3"/>
        <v>52993</v>
      </c>
      <c r="Q22" s="62" t="s">
        <v>181</v>
      </c>
      <c r="R22" s="51">
        <v>43073</v>
      </c>
      <c r="S22" s="51">
        <f>R22+89</f>
        <v>43162</v>
      </c>
      <c r="T22" s="51">
        <f t="shared" si="19"/>
        <v>43163</v>
      </c>
      <c r="U22" s="51" t="s">
        <v>88</v>
      </c>
      <c r="V22" s="47" t="s">
        <v>375</v>
      </c>
      <c r="W22" s="47" t="s">
        <v>376</v>
      </c>
      <c r="X22" s="49">
        <v>32904</v>
      </c>
      <c r="Y22" s="50">
        <f t="shared" ca="1" si="4"/>
        <v>36</v>
      </c>
      <c r="Z22" s="50">
        <f t="shared" ca="1" si="5"/>
        <v>2</v>
      </c>
      <c r="AA22" s="50">
        <f t="shared" ca="1" si="6"/>
        <v>22</v>
      </c>
      <c r="AB22" s="62" t="s">
        <v>377</v>
      </c>
      <c r="AC22" s="70" t="s">
        <v>378</v>
      </c>
      <c r="AD22" s="70" t="s">
        <v>360</v>
      </c>
      <c r="AE22" s="47" t="s">
        <v>379</v>
      </c>
      <c r="AF22" s="47" t="s">
        <v>380</v>
      </c>
      <c r="AG22" s="47"/>
      <c r="AH22" s="47">
        <v>6</v>
      </c>
      <c r="AI22" s="47" t="s">
        <v>381</v>
      </c>
      <c r="AJ22" s="48" t="s">
        <v>382</v>
      </c>
      <c r="AK22" s="47" t="s">
        <v>383</v>
      </c>
      <c r="AL22" s="56">
        <v>42766</v>
      </c>
      <c r="AM22" s="47" t="s">
        <v>384</v>
      </c>
      <c r="AN22" s="47"/>
      <c r="AO22" s="47" t="s">
        <v>385</v>
      </c>
      <c r="AP22" s="47" t="s">
        <v>117</v>
      </c>
      <c r="AQ22" s="48" t="s">
        <v>386</v>
      </c>
      <c r="AR22" s="48" t="s">
        <v>387</v>
      </c>
      <c r="AS22" s="47" t="s">
        <v>163</v>
      </c>
      <c r="AT22" s="47" t="s">
        <v>168</v>
      </c>
      <c r="AU22" s="47"/>
      <c r="AV22" s="48" t="s">
        <v>388</v>
      </c>
      <c r="AW22" s="47" t="s">
        <v>389</v>
      </c>
      <c r="AX22" s="48" t="s">
        <v>390</v>
      </c>
      <c r="AY22" s="60" t="s">
        <v>168</v>
      </c>
      <c r="AZ22" s="60" t="s">
        <v>168</v>
      </c>
      <c r="BA22" s="65" t="s">
        <v>391</v>
      </c>
      <c r="BB22" s="47" t="s">
        <v>373</v>
      </c>
      <c r="BC22" s="47" t="s">
        <v>392</v>
      </c>
      <c r="BD22" s="47" t="s">
        <v>393</v>
      </c>
      <c r="BE22" s="47" t="s">
        <v>86</v>
      </c>
      <c r="BF22" s="51">
        <v>34207</v>
      </c>
      <c r="BG22" s="57">
        <f t="shared" ca="1" si="7"/>
        <v>32</v>
      </c>
      <c r="BH22" s="57">
        <f t="shared" ca="1" si="8"/>
        <v>7</v>
      </c>
      <c r="BI22" s="57">
        <f t="shared" ca="1" si="9"/>
        <v>27</v>
      </c>
      <c r="BJ22" s="47"/>
      <c r="BK22" s="47"/>
      <c r="BL22" s="51"/>
      <c r="BM22" s="57">
        <f t="shared" ca="1" si="10"/>
        <v>126</v>
      </c>
      <c r="BN22" s="57">
        <f t="shared" ca="1" si="11"/>
        <v>3</v>
      </c>
      <c r="BO22" s="57">
        <f t="shared" ca="1" si="12"/>
        <v>22</v>
      </c>
      <c r="BP22" s="47"/>
      <c r="BQ22" s="47"/>
      <c r="BR22" s="51"/>
      <c r="BS22" s="57">
        <f t="shared" ca="1" si="13"/>
        <v>126</v>
      </c>
      <c r="BT22" s="57">
        <f t="shared" ca="1" si="14"/>
        <v>3</v>
      </c>
      <c r="BU22" s="57">
        <f t="shared" ca="1" si="15"/>
        <v>22</v>
      </c>
      <c r="BV22" s="47"/>
      <c r="BW22" s="47"/>
      <c r="BX22" s="51"/>
      <c r="BY22" s="57">
        <f t="shared" ca="1" si="16"/>
        <v>126</v>
      </c>
      <c r="BZ22" s="57">
        <f t="shared" ca="1" si="17"/>
        <v>3</v>
      </c>
      <c r="CA22" s="57">
        <f t="shared" ca="1" si="18"/>
        <v>22</v>
      </c>
      <c r="CB22" s="47"/>
      <c r="CC22" s="58" t="s">
        <v>394</v>
      </c>
    </row>
    <row r="23" spans="1:81" ht="15" customHeight="1" x14ac:dyDescent="0.25">
      <c r="A23" s="46" t="s">
        <v>395</v>
      </c>
      <c r="B23" s="47" t="s">
        <v>396</v>
      </c>
      <c r="C23" s="47" t="s">
        <v>397</v>
      </c>
      <c r="D23" s="47" t="s">
        <v>175</v>
      </c>
      <c r="E23" s="47" t="s">
        <v>353</v>
      </c>
      <c r="F23" s="47" t="s">
        <v>328</v>
      </c>
      <c r="G23" s="47" t="s">
        <v>398</v>
      </c>
      <c r="H23" s="47" t="s">
        <v>399</v>
      </c>
      <c r="I23" s="47" t="s">
        <v>400</v>
      </c>
      <c r="J23" s="47" t="s">
        <v>110</v>
      </c>
      <c r="K23" s="47" t="s">
        <v>91</v>
      </c>
      <c r="L23" s="49">
        <v>43150</v>
      </c>
      <c r="M23" s="50">
        <f t="shared" ca="1" si="0"/>
        <v>8</v>
      </c>
      <c r="N23" s="50">
        <f t="shared" ca="1" si="1"/>
        <v>2</v>
      </c>
      <c r="O23" s="50">
        <f t="shared" ca="1" si="2"/>
        <v>3</v>
      </c>
      <c r="P23" s="51">
        <f t="shared" si="3"/>
        <v>55784</v>
      </c>
      <c r="Q23" s="62" t="s">
        <v>181</v>
      </c>
      <c r="R23" s="51">
        <v>43150</v>
      </c>
      <c r="S23" s="51">
        <f>R23+88</f>
        <v>43238</v>
      </c>
      <c r="T23" s="51">
        <f t="shared" si="19"/>
        <v>43239</v>
      </c>
      <c r="U23" s="51" t="s">
        <v>88</v>
      </c>
      <c r="V23" s="47" t="s">
        <v>283</v>
      </c>
      <c r="W23" s="47" t="s">
        <v>210</v>
      </c>
      <c r="X23" s="49">
        <v>35695</v>
      </c>
      <c r="Y23" s="50">
        <f t="shared" ca="1" si="4"/>
        <v>28</v>
      </c>
      <c r="Z23" s="50">
        <f t="shared" ca="1" si="5"/>
        <v>7</v>
      </c>
      <c r="AA23" s="50">
        <f t="shared" ca="1" si="6"/>
        <v>0</v>
      </c>
      <c r="AB23" s="62" t="s">
        <v>401</v>
      </c>
      <c r="AC23" s="63" t="s">
        <v>402</v>
      </c>
      <c r="AD23" s="63" t="s">
        <v>152</v>
      </c>
      <c r="AE23" s="47" t="s">
        <v>403</v>
      </c>
      <c r="AF23" s="47" t="s">
        <v>404</v>
      </c>
      <c r="AG23" s="47"/>
      <c r="AH23" s="47">
        <v>1.5</v>
      </c>
      <c r="AI23" s="47" t="s">
        <v>338</v>
      </c>
      <c r="AJ23" s="48" t="s">
        <v>405</v>
      </c>
      <c r="AK23" s="47" t="s">
        <v>406</v>
      </c>
      <c r="AL23" s="56">
        <v>43730</v>
      </c>
      <c r="AM23" s="47" t="s">
        <v>406</v>
      </c>
      <c r="AN23" s="47"/>
      <c r="AO23" s="47" t="s">
        <v>159</v>
      </c>
      <c r="AP23" s="47" t="s">
        <v>160</v>
      </c>
      <c r="AQ23" s="48" t="s">
        <v>407</v>
      </c>
      <c r="AR23" s="48" t="s">
        <v>408</v>
      </c>
      <c r="AS23" s="47" t="s">
        <v>163</v>
      </c>
      <c r="AT23" s="47" t="s">
        <v>164</v>
      </c>
      <c r="AU23" s="47"/>
      <c r="AV23" s="48" t="s">
        <v>409</v>
      </c>
      <c r="AW23" s="47" t="s">
        <v>410</v>
      </c>
      <c r="AX23" s="47" t="s">
        <v>168</v>
      </c>
      <c r="AY23" s="47" t="s">
        <v>168</v>
      </c>
      <c r="AZ23" s="47" t="s">
        <v>168</v>
      </c>
      <c r="BA23" s="65" t="s">
        <v>411</v>
      </c>
      <c r="BB23" s="47" t="s">
        <v>397</v>
      </c>
      <c r="BC23" s="47" t="s">
        <v>412</v>
      </c>
      <c r="BD23" s="47"/>
      <c r="BE23" s="47"/>
      <c r="BF23" s="51"/>
      <c r="BG23" s="57">
        <f t="shared" ca="1" si="7"/>
        <v>126</v>
      </c>
      <c r="BH23" s="57">
        <f t="shared" ca="1" si="8"/>
        <v>3</v>
      </c>
      <c r="BI23" s="57">
        <f t="shared" ca="1" si="9"/>
        <v>22</v>
      </c>
      <c r="BJ23" s="47"/>
      <c r="BK23" s="47"/>
      <c r="BL23" s="51"/>
      <c r="BM23" s="57">
        <f t="shared" ca="1" si="10"/>
        <v>126</v>
      </c>
      <c r="BN23" s="57">
        <f t="shared" ca="1" si="11"/>
        <v>3</v>
      </c>
      <c r="BO23" s="57">
        <f t="shared" ca="1" si="12"/>
        <v>22</v>
      </c>
      <c r="BP23" s="47"/>
      <c r="BQ23" s="47"/>
      <c r="BR23" s="51"/>
      <c r="BS23" s="57">
        <f t="shared" ca="1" si="13"/>
        <v>126</v>
      </c>
      <c r="BT23" s="57">
        <f t="shared" ca="1" si="14"/>
        <v>3</v>
      </c>
      <c r="BU23" s="57">
        <f t="shared" ca="1" si="15"/>
        <v>22</v>
      </c>
      <c r="BV23" s="47"/>
      <c r="BW23" s="47"/>
      <c r="BX23" s="51"/>
      <c r="BY23" s="57">
        <f t="shared" ca="1" si="16"/>
        <v>126</v>
      </c>
      <c r="BZ23" s="57">
        <f t="shared" ca="1" si="17"/>
        <v>3</v>
      </c>
      <c r="CA23" s="57">
        <f t="shared" ca="1" si="18"/>
        <v>22</v>
      </c>
      <c r="CB23" s="73" t="s">
        <v>413</v>
      </c>
      <c r="CC23" s="57" t="s">
        <v>171</v>
      </c>
    </row>
    <row r="24" spans="1:81" ht="15" customHeight="1" x14ac:dyDescent="0.25">
      <c r="A24" s="46" t="s">
        <v>414</v>
      </c>
      <c r="B24" s="47" t="s">
        <v>415</v>
      </c>
      <c r="C24" s="47" t="s">
        <v>416</v>
      </c>
      <c r="D24" s="47" t="s">
        <v>86</v>
      </c>
      <c r="E24" s="47" t="s">
        <v>353</v>
      </c>
      <c r="F24" s="47" t="s">
        <v>328</v>
      </c>
      <c r="G24" s="47" t="s">
        <v>329</v>
      </c>
      <c r="H24" s="59" t="s">
        <v>330</v>
      </c>
      <c r="I24" s="47" t="s">
        <v>417</v>
      </c>
      <c r="J24" s="47" t="s">
        <v>110</v>
      </c>
      <c r="K24" s="47" t="s">
        <v>91</v>
      </c>
      <c r="L24" s="49">
        <v>43157</v>
      </c>
      <c r="M24" s="50">
        <f t="shared" ca="1" si="0"/>
        <v>8</v>
      </c>
      <c r="N24" s="50">
        <f t="shared" ca="1" si="1"/>
        <v>1</v>
      </c>
      <c r="O24" s="50">
        <f t="shared" ca="1" si="2"/>
        <v>27</v>
      </c>
      <c r="P24" s="51">
        <f t="shared" si="3"/>
        <v>54155</v>
      </c>
      <c r="Q24" s="62" t="s">
        <v>149</v>
      </c>
      <c r="R24" s="51">
        <v>43521</v>
      </c>
      <c r="S24" s="51">
        <f>R24+182</f>
        <v>43703</v>
      </c>
      <c r="T24" s="51">
        <f t="shared" si="19"/>
        <v>43704</v>
      </c>
      <c r="U24" s="51" t="s">
        <v>88</v>
      </c>
      <c r="V24" s="47" t="s">
        <v>418</v>
      </c>
      <c r="W24" s="47" t="s">
        <v>419</v>
      </c>
      <c r="X24" s="49">
        <v>34066</v>
      </c>
      <c r="Y24" s="50">
        <f t="shared" ca="1" si="4"/>
        <v>33</v>
      </c>
      <c r="Z24" s="50">
        <f t="shared" ca="1" si="5"/>
        <v>0</v>
      </c>
      <c r="AA24" s="50">
        <f t="shared" ca="1" si="6"/>
        <v>15</v>
      </c>
      <c r="AB24" s="62" t="s">
        <v>420</v>
      </c>
      <c r="AC24" s="63" t="s">
        <v>421</v>
      </c>
      <c r="AD24" s="63" t="s">
        <v>152</v>
      </c>
      <c r="AE24" s="47" t="s">
        <v>422</v>
      </c>
      <c r="AF24" s="47" t="s">
        <v>288</v>
      </c>
      <c r="AG24" s="47"/>
      <c r="AH24" s="47">
        <v>5.5</v>
      </c>
      <c r="AI24" s="47" t="s">
        <v>338</v>
      </c>
      <c r="AJ24" s="48" t="s">
        <v>423</v>
      </c>
      <c r="AK24" s="47" t="s">
        <v>424</v>
      </c>
      <c r="AL24" s="56">
        <v>42832</v>
      </c>
      <c r="AM24" s="47" t="s">
        <v>425</v>
      </c>
      <c r="AN24" s="47"/>
      <c r="AO24" s="47" t="s">
        <v>385</v>
      </c>
      <c r="AP24" s="47" t="s">
        <v>117</v>
      </c>
      <c r="AQ24" s="48" t="s">
        <v>426</v>
      </c>
      <c r="AR24" s="48" t="s">
        <v>427</v>
      </c>
      <c r="AS24" s="47" t="s">
        <v>163</v>
      </c>
      <c r="AT24" s="47" t="s">
        <v>272</v>
      </c>
      <c r="AU24" s="47"/>
      <c r="AV24" s="47" t="s">
        <v>428</v>
      </c>
      <c r="AW24" s="47" t="s">
        <v>429</v>
      </c>
      <c r="AX24" s="48" t="s">
        <v>430</v>
      </c>
      <c r="AY24" s="47" t="s">
        <v>168</v>
      </c>
      <c r="AZ24" s="47" t="s">
        <v>168</v>
      </c>
      <c r="BA24" s="65" t="s">
        <v>431</v>
      </c>
      <c r="BB24" s="47" t="s">
        <v>416</v>
      </c>
      <c r="BC24" s="47" t="s">
        <v>432</v>
      </c>
      <c r="BD24" s="47" t="s">
        <v>433</v>
      </c>
      <c r="BE24" s="47" t="s">
        <v>175</v>
      </c>
      <c r="BF24" s="51">
        <v>34127</v>
      </c>
      <c r="BG24" s="57">
        <f t="shared" ca="1" si="7"/>
        <v>32</v>
      </c>
      <c r="BH24" s="57">
        <f t="shared" ca="1" si="8"/>
        <v>10</v>
      </c>
      <c r="BI24" s="57">
        <f t="shared" ca="1" si="9"/>
        <v>15</v>
      </c>
      <c r="BJ24" s="47"/>
      <c r="BK24" s="47"/>
      <c r="BL24" s="51"/>
      <c r="BM24" s="57">
        <f t="shared" ca="1" si="10"/>
        <v>126</v>
      </c>
      <c r="BN24" s="57">
        <f t="shared" ca="1" si="11"/>
        <v>3</v>
      </c>
      <c r="BO24" s="57">
        <f t="shared" ca="1" si="12"/>
        <v>22</v>
      </c>
      <c r="BP24" s="47"/>
      <c r="BQ24" s="47"/>
      <c r="BR24" s="51"/>
      <c r="BS24" s="57">
        <f t="shared" ca="1" si="13"/>
        <v>126</v>
      </c>
      <c r="BT24" s="57">
        <f t="shared" ca="1" si="14"/>
        <v>3</v>
      </c>
      <c r="BU24" s="57">
        <f t="shared" ca="1" si="15"/>
        <v>22</v>
      </c>
      <c r="BV24" s="47"/>
      <c r="BW24" s="47"/>
      <c r="BX24" s="51"/>
      <c r="BY24" s="57">
        <f t="shared" ca="1" si="16"/>
        <v>126</v>
      </c>
      <c r="BZ24" s="57">
        <f t="shared" ca="1" si="17"/>
        <v>3</v>
      </c>
      <c r="CA24" s="57">
        <f t="shared" ca="1" si="18"/>
        <v>22</v>
      </c>
      <c r="CB24" s="47"/>
      <c r="CC24" s="57" t="s">
        <v>171</v>
      </c>
    </row>
    <row r="25" spans="1:81" ht="15" customHeight="1" x14ac:dyDescent="0.25">
      <c r="A25" s="46" t="s">
        <v>434</v>
      </c>
      <c r="B25" s="47" t="s">
        <v>435</v>
      </c>
      <c r="C25" s="47" t="s">
        <v>436</v>
      </c>
      <c r="D25" s="47" t="s">
        <v>86</v>
      </c>
      <c r="E25" s="47" t="s">
        <v>353</v>
      </c>
      <c r="F25" s="59" t="s">
        <v>328</v>
      </c>
      <c r="G25" s="47" t="s">
        <v>329</v>
      </c>
      <c r="H25" s="47" t="s">
        <v>354</v>
      </c>
      <c r="I25" s="47" t="s">
        <v>355</v>
      </c>
      <c r="J25" s="47" t="s">
        <v>110</v>
      </c>
      <c r="K25" s="47" t="s">
        <v>91</v>
      </c>
      <c r="L25" s="49">
        <v>43234</v>
      </c>
      <c r="M25" s="50">
        <f t="shared" ca="1" si="0"/>
        <v>7</v>
      </c>
      <c r="N25" s="50">
        <f t="shared" ca="1" si="1"/>
        <v>11</v>
      </c>
      <c r="O25" s="50">
        <f t="shared" ca="1" si="2"/>
        <v>8</v>
      </c>
      <c r="P25" s="51">
        <f t="shared" si="3"/>
        <v>53772</v>
      </c>
      <c r="Q25" s="62" t="s">
        <v>149</v>
      </c>
      <c r="R25" s="51">
        <v>43598</v>
      </c>
      <c r="S25" s="51">
        <f>R25+335</f>
        <v>43933</v>
      </c>
      <c r="T25" s="51">
        <f t="shared" si="19"/>
        <v>43934</v>
      </c>
      <c r="U25" s="51" t="s">
        <v>88</v>
      </c>
      <c r="V25" s="47" t="s">
        <v>437</v>
      </c>
      <c r="W25" s="47" t="s">
        <v>236</v>
      </c>
      <c r="X25" s="49">
        <v>33684</v>
      </c>
      <c r="Y25" s="50">
        <f t="shared" ca="1" si="4"/>
        <v>34</v>
      </c>
      <c r="Z25" s="50">
        <f t="shared" ca="1" si="5"/>
        <v>1</v>
      </c>
      <c r="AA25" s="50">
        <f t="shared" ca="1" si="6"/>
        <v>1</v>
      </c>
      <c r="AB25" s="62" t="s">
        <v>438</v>
      </c>
      <c r="AC25" s="63" t="s">
        <v>439</v>
      </c>
      <c r="AD25" s="63" t="s">
        <v>152</v>
      </c>
      <c r="AE25" s="47" t="s">
        <v>440</v>
      </c>
      <c r="AF25" s="47" t="s">
        <v>441</v>
      </c>
      <c r="AG25" s="47"/>
      <c r="AH25" s="47">
        <v>7</v>
      </c>
      <c r="AI25" s="47" t="s">
        <v>442</v>
      </c>
      <c r="AJ25" s="48" t="s">
        <v>443</v>
      </c>
      <c r="AK25" s="47" t="s">
        <v>444</v>
      </c>
      <c r="AL25" s="56"/>
      <c r="AM25" s="47" t="s">
        <v>444</v>
      </c>
      <c r="AN25" s="47"/>
      <c r="AO25" s="47" t="s">
        <v>135</v>
      </c>
      <c r="AP25" s="47" t="s">
        <v>117</v>
      </c>
      <c r="AQ25" s="48" t="s">
        <v>445</v>
      </c>
      <c r="AR25" s="48" t="s">
        <v>446</v>
      </c>
      <c r="AS25" s="47" t="s">
        <v>163</v>
      </c>
      <c r="AT25" s="47" t="s">
        <v>343</v>
      </c>
      <c r="AU25" s="47"/>
      <c r="AV25" s="48" t="s">
        <v>447</v>
      </c>
      <c r="AW25" s="47" t="s">
        <v>448</v>
      </c>
      <c r="AX25" s="48" t="s">
        <v>449</v>
      </c>
      <c r="AY25" s="47" t="s">
        <v>168</v>
      </c>
      <c r="AZ25" s="47" t="s">
        <v>168</v>
      </c>
      <c r="BA25" s="65" t="s">
        <v>450</v>
      </c>
      <c r="BB25" s="47" t="s">
        <v>436</v>
      </c>
      <c r="BC25" s="47" t="s">
        <v>451</v>
      </c>
      <c r="BD25" s="47" t="s">
        <v>452</v>
      </c>
      <c r="BE25" s="47" t="s">
        <v>175</v>
      </c>
      <c r="BF25" s="51">
        <v>33682</v>
      </c>
      <c r="BG25" s="57">
        <f t="shared" ca="1" si="7"/>
        <v>34</v>
      </c>
      <c r="BH25" s="57">
        <f t="shared" ca="1" si="8"/>
        <v>1</v>
      </c>
      <c r="BI25" s="57">
        <f t="shared" ca="1" si="9"/>
        <v>3</v>
      </c>
      <c r="BJ25" s="47" t="s">
        <v>453</v>
      </c>
      <c r="BK25" s="47"/>
      <c r="BL25" s="51">
        <v>42866</v>
      </c>
      <c r="BM25" s="57">
        <f t="shared" ca="1" si="10"/>
        <v>8</v>
      </c>
      <c r="BN25" s="57">
        <f t="shared" ca="1" si="11"/>
        <v>11</v>
      </c>
      <c r="BO25" s="57">
        <f t="shared" ca="1" si="12"/>
        <v>11</v>
      </c>
      <c r="BP25" s="47"/>
      <c r="BQ25" s="47"/>
      <c r="BR25" s="51"/>
      <c r="BS25" s="57">
        <f t="shared" ca="1" si="13"/>
        <v>126</v>
      </c>
      <c r="BT25" s="57">
        <f t="shared" ca="1" si="14"/>
        <v>3</v>
      </c>
      <c r="BU25" s="57">
        <f t="shared" ca="1" si="15"/>
        <v>22</v>
      </c>
      <c r="BV25" s="47"/>
      <c r="BW25" s="47"/>
      <c r="BX25" s="51"/>
      <c r="BY25" s="57">
        <f t="shared" ca="1" si="16"/>
        <v>126</v>
      </c>
      <c r="BZ25" s="57">
        <f t="shared" ca="1" si="17"/>
        <v>3</v>
      </c>
      <c r="CA25" s="57">
        <f t="shared" ca="1" si="18"/>
        <v>22</v>
      </c>
      <c r="CB25" s="73" t="s">
        <v>454</v>
      </c>
      <c r="CC25" s="57" t="s">
        <v>171</v>
      </c>
    </row>
    <row r="26" spans="1:81" ht="15" customHeight="1" x14ac:dyDescent="0.25">
      <c r="A26" s="46" t="s">
        <v>455</v>
      </c>
      <c r="B26" s="47" t="s">
        <v>456</v>
      </c>
      <c r="C26" s="47" t="s">
        <v>457</v>
      </c>
      <c r="D26" s="47" t="s">
        <v>86</v>
      </c>
      <c r="E26" s="59" t="s">
        <v>353</v>
      </c>
      <c r="F26" s="59" t="s">
        <v>328</v>
      </c>
      <c r="G26" s="47" t="s">
        <v>329</v>
      </c>
      <c r="H26" s="59" t="s">
        <v>330</v>
      </c>
      <c r="I26" s="47" t="s">
        <v>417</v>
      </c>
      <c r="J26" s="47" t="s">
        <v>110</v>
      </c>
      <c r="K26" s="47" t="s">
        <v>91</v>
      </c>
      <c r="L26" s="49">
        <v>43311</v>
      </c>
      <c r="M26" s="50">
        <f t="shared" ca="1" si="0"/>
        <v>7</v>
      </c>
      <c r="N26" s="50">
        <f t="shared" ca="1" si="1"/>
        <v>8</v>
      </c>
      <c r="O26" s="50">
        <f t="shared" ca="1" si="2"/>
        <v>23</v>
      </c>
      <c r="P26" s="51">
        <f t="shared" si="3"/>
        <v>54018</v>
      </c>
      <c r="Q26" s="62" t="s">
        <v>458</v>
      </c>
      <c r="R26" s="51">
        <v>43311</v>
      </c>
      <c r="S26" s="51">
        <f>R26+364</f>
        <v>43675</v>
      </c>
      <c r="T26" s="51">
        <f t="shared" si="19"/>
        <v>43676</v>
      </c>
      <c r="U26" s="51" t="s">
        <v>88</v>
      </c>
      <c r="V26" s="47" t="s">
        <v>459</v>
      </c>
      <c r="W26" s="47" t="s">
        <v>111</v>
      </c>
      <c r="X26" s="49">
        <v>33930</v>
      </c>
      <c r="Y26" s="50">
        <f t="shared" ca="1" si="4"/>
        <v>33</v>
      </c>
      <c r="Z26" s="50">
        <f t="shared" ca="1" si="5"/>
        <v>5</v>
      </c>
      <c r="AA26" s="50">
        <f t="shared" ca="1" si="6"/>
        <v>0</v>
      </c>
      <c r="AB26" s="62" t="s">
        <v>460</v>
      </c>
      <c r="AC26" s="63" t="s">
        <v>461</v>
      </c>
      <c r="AD26" s="63" t="s">
        <v>152</v>
      </c>
      <c r="AE26" s="47" t="s">
        <v>462</v>
      </c>
      <c r="AF26" s="47" t="s">
        <v>463</v>
      </c>
      <c r="AG26" s="47"/>
      <c r="AH26" s="47">
        <v>7</v>
      </c>
      <c r="AI26" s="47" t="s">
        <v>464</v>
      </c>
      <c r="AJ26" s="48" t="s">
        <v>465</v>
      </c>
      <c r="AK26" s="47" t="s">
        <v>466</v>
      </c>
      <c r="AL26" s="56"/>
      <c r="AM26" s="47" t="s">
        <v>466</v>
      </c>
      <c r="AN26" s="47"/>
      <c r="AO26" s="47" t="s">
        <v>135</v>
      </c>
      <c r="AP26" s="47" t="s">
        <v>117</v>
      </c>
      <c r="AQ26" s="48" t="s">
        <v>467</v>
      </c>
      <c r="AR26" s="48" t="s">
        <v>468</v>
      </c>
      <c r="AS26" s="47" t="s">
        <v>163</v>
      </c>
      <c r="AT26" s="47" t="s">
        <v>168</v>
      </c>
      <c r="AU26" s="47"/>
      <c r="AV26" s="48" t="s">
        <v>469</v>
      </c>
      <c r="AW26" s="47" t="s">
        <v>470</v>
      </c>
      <c r="AX26" s="48" t="s">
        <v>471</v>
      </c>
      <c r="AY26" s="47" t="s">
        <v>168</v>
      </c>
      <c r="AZ26" s="47" t="s">
        <v>168</v>
      </c>
      <c r="BA26" s="65" t="s">
        <v>472</v>
      </c>
      <c r="BB26" s="47" t="s">
        <v>457</v>
      </c>
      <c r="BC26" s="47" t="s">
        <v>473</v>
      </c>
      <c r="BD26" s="47" t="s">
        <v>474</v>
      </c>
      <c r="BE26" s="47" t="s">
        <v>175</v>
      </c>
      <c r="BF26" s="51">
        <v>34783</v>
      </c>
      <c r="BG26" s="57">
        <f t="shared" ca="1" si="7"/>
        <v>31</v>
      </c>
      <c r="BH26" s="57">
        <f t="shared" ca="1" si="8"/>
        <v>0</v>
      </c>
      <c r="BI26" s="57">
        <f t="shared" ca="1" si="9"/>
        <v>28</v>
      </c>
      <c r="BJ26" s="47" t="s">
        <v>475</v>
      </c>
      <c r="BK26" s="47"/>
      <c r="BL26" s="51">
        <v>42443</v>
      </c>
      <c r="BM26" s="57">
        <f t="shared" ca="1" si="10"/>
        <v>10</v>
      </c>
      <c r="BN26" s="57">
        <f t="shared" ca="1" si="11"/>
        <v>1</v>
      </c>
      <c r="BO26" s="57">
        <f t="shared" ca="1" si="12"/>
        <v>8</v>
      </c>
      <c r="BP26" s="47"/>
      <c r="BQ26" s="47"/>
      <c r="BR26" s="51"/>
      <c r="BS26" s="57">
        <f t="shared" ca="1" si="13"/>
        <v>126</v>
      </c>
      <c r="BT26" s="57">
        <f t="shared" ca="1" si="14"/>
        <v>3</v>
      </c>
      <c r="BU26" s="57">
        <f t="shared" ca="1" si="15"/>
        <v>22</v>
      </c>
      <c r="BV26" s="47"/>
      <c r="BW26" s="47"/>
      <c r="BX26" s="51"/>
      <c r="BY26" s="57">
        <f t="shared" ca="1" si="16"/>
        <v>126</v>
      </c>
      <c r="BZ26" s="57">
        <f t="shared" ca="1" si="17"/>
        <v>3</v>
      </c>
      <c r="CA26" s="57">
        <f t="shared" ca="1" si="18"/>
        <v>22</v>
      </c>
      <c r="CB26" s="73" t="s">
        <v>476</v>
      </c>
      <c r="CC26" s="58" t="s">
        <v>477</v>
      </c>
    </row>
    <row r="27" spans="1:81" ht="15" customHeight="1" x14ac:dyDescent="0.25">
      <c r="A27" s="46" t="s">
        <v>478</v>
      </c>
      <c r="B27" s="47" t="s">
        <v>479</v>
      </c>
      <c r="C27" s="47" t="s">
        <v>480</v>
      </c>
      <c r="D27" s="47" t="s">
        <v>86</v>
      </c>
      <c r="E27" s="59" t="s">
        <v>176</v>
      </c>
      <c r="F27" s="59" t="s">
        <v>177</v>
      </c>
      <c r="G27" s="59"/>
      <c r="H27" s="59" t="s">
        <v>178</v>
      </c>
      <c r="I27" s="47" t="s">
        <v>179</v>
      </c>
      <c r="J27" s="47" t="s">
        <v>481</v>
      </c>
      <c r="K27" s="47" t="s">
        <v>91</v>
      </c>
      <c r="L27" s="49">
        <v>43381</v>
      </c>
      <c r="M27" s="50">
        <f t="shared" ca="1" si="0"/>
        <v>7</v>
      </c>
      <c r="N27" s="50">
        <f t="shared" ca="1" si="1"/>
        <v>6</v>
      </c>
      <c r="O27" s="50">
        <f t="shared" ca="1" si="2"/>
        <v>14</v>
      </c>
      <c r="P27" s="51">
        <f t="shared" si="3"/>
        <v>50031</v>
      </c>
      <c r="Q27" s="62" t="s">
        <v>181</v>
      </c>
      <c r="R27" s="51">
        <v>43381</v>
      </c>
      <c r="S27" s="51">
        <f t="shared" ref="S27:S33" si="20">R27+91</f>
        <v>43472</v>
      </c>
      <c r="T27" s="51">
        <f t="shared" si="19"/>
        <v>43473</v>
      </c>
      <c r="U27" s="51" t="s">
        <v>88</v>
      </c>
      <c r="V27" s="47" t="s">
        <v>482</v>
      </c>
      <c r="W27" s="47" t="s">
        <v>333</v>
      </c>
      <c r="X27" s="49">
        <v>29942</v>
      </c>
      <c r="Y27" s="50">
        <f t="shared" ca="1" si="4"/>
        <v>44</v>
      </c>
      <c r="Z27" s="50">
        <f t="shared" ca="1" si="5"/>
        <v>4</v>
      </c>
      <c r="AA27" s="50">
        <f t="shared" ca="1" si="6"/>
        <v>0</v>
      </c>
      <c r="AB27" s="62" t="s">
        <v>483</v>
      </c>
      <c r="AC27" s="70" t="s">
        <v>484</v>
      </c>
      <c r="AD27" s="70" t="s">
        <v>185</v>
      </c>
      <c r="AE27" s="47" t="s">
        <v>485</v>
      </c>
      <c r="AF27" s="47" t="s">
        <v>486</v>
      </c>
      <c r="AG27" s="47"/>
      <c r="AH27" s="47">
        <v>7</v>
      </c>
      <c r="AI27" s="47" t="s">
        <v>487</v>
      </c>
      <c r="AJ27" s="48" t="s">
        <v>488</v>
      </c>
      <c r="AK27" s="47" t="s">
        <v>489</v>
      </c>
      <c r="AL27" s="56"/>
      <c r="AM27" s="47" t="s">
        <v>489</v>
      </c>
      <c r="AN27" s="47"/>
      <c r="AO27" s="47" t="s">
        <v>159</v>
      </c>
      <c r="AP27" s="47" t="s">
        <v>160</v>
      </c>
      <c r="AQ27" s="48" t="s">
        <v>490</v>
      </c>
      <c r="AR27" s="48" t="s">
        <v>491</v>
      </c>
      <c r="AS27" s="47" t="s">
        <v>163</v>
      </c>
      <c r="AT27" s="47" t="s">
        <v>272</v>
      </c>
      <c r="AU27" s="47"/>
      <c r="AV27" s="48" t="s">
        <v>492</v>
      </c>
      <c r="AW27" s="47" t="s">
        <v>493</v>
      </c>
      <c r="AX27" s="48" t="s">
        <v>494</v>
      </c>
      <c r="AY27" s="47" t="s">
        <v>168</v>
      </c>
      <c r="AZ27" s="47" t="s">
        <v>168</v>
      </c>
      <c r="BA27" s="65" t="s">
        <v>495</v>
      </c>
      <c r="BB27" s="47" t="s">
        <v>480</v>
      </c>
      <c r="BC27" s="47" t="s">
        <v>496</v>
      </c>
      <c r="BD27" s="47"/>
      <c r="BE27" s="47" t="s">
        <v>86</v>
      </c>
      <c r="BF27" s="51"/>
      <c r="BG27" s="57">
        <f t="shared" ca="1" si="7"/>
        <v>126</v>
      </c>
      <c r="BH27" s="57">
        <f t="shared" ca="1" si="8"/>
        <v>3</v>
      </c>
      <c r="BI27" s="57">
        <f t="shared" ca="1" si="9"/>
        <v>22</v>
      </c>
      <c r="BJ27" s="47"/>
      <c r="BK27" s="47"/>
      <c r="BL27" s="51"/>
      <c r="BM27" s="57">
        <f t="shared" ca="1" si="10"/>
        <v>126</v>
      </c>
      <c r="BN27" s="57">
        <f t="shared" ca="1" si="11"/>
        <v>3</v>
      </c>
      <c r="BO27" s="57">
        <f t="shared" ca="1" si="12"/>
        <v>22</v>
      </c>
      <c r="BP27" s="47"/>
      <c r="BQ27" s="47"/>
      <c r="BR27" s="51"/>
      <c r="BS27" s="57">
        <f t="shared" ca="1" si="13"/>
        <v>126</v>
      </c>
      <c r="BT27" s="57">
        <f t="shared" ca="1" si="14"/>
        <v>3</v>
      </c>
      <c r="BU27" s="57">
        <f t="shared" ca="1" si="15"/>
        <v>22</v>
      </c>
      <c r="BV27" s="47"/>
      <c r="BW27" s="47"/>
      <c r="BX27" s="51"/>
      <c r="BY27" s="57">
        <f t="shared" ca="1" si="16"/>
        <v>126</v>
      </c>
      <c r="BZ27" s="57">
        <f t="shared" ca="1" si="17"/>
        <v>3</v>
      </c>
      <c r="CA27" s="57">
        <f t="shared" ca="1" si="18"/>
        <v>22</v>
      </c>
      <c r="CB27" s="73" t="s">
        <v>497</v>
      </c>
      <c r="CC27" s="58" t="s">
        <v>498</v>
      </c>
    </row>
    <row r="28" spans="1:81" ht="15" customHeight="1" x14ac:dyDescent="0.25">
      <c r="A28" s="46" t="s">
        <v>499</v>
      </c>
      <c r="B28" s="47" t="s">
        <v>500</v>
      </c>
      <c r="C28" s="47" t="s">
        <v>501</v>
      </c>
      <c r="D28" s="47" t="s">
        <v>175</v>
      </c>
      <c r="E28" s="47" t="s">
        <v>206</v>
      </c>
      <c r="F28" s="59" t="s">
        <v>177</v>
      </c>
      <c r="G28" s="59"/>
      <c r="H28" s="59" t="s">
        <v>178</v>
      </c>
      <c r="I28" s="47" t="s">
        <v>207</v>
      </c>
      <c r="J28" s="47" t="s">
        <v>502</v>
      </c>
      <c r="K28" s="47" t="s">
        <v>91</v>
      </c>
      <c r="L28" s="49">
        <v>43381</v>
      </c>
      <c r="M28" s="50">
        <f t="shared" ca="1" si="0"/>
        <v>7</v>
      </c>
      <c r="N28" s="50">
        <f t="shared" ca="1" si="1"/>
        <v>6</v>
      </c>
      <c r="O28" s="50">
        <f t="shared" ca="1" si="2"/>
        <v>14</v>
      </c>
      <c r="P28" s="51">
        <f t="shared" si="3"/>
        <v>46846</v>
      </c>
      <c r="Q28" s="62" t="s">
        <v>181</v>
      </c>
      <c r="R28" s="51">
        <v>43381</v>
      </c>
      <c r="S28" s="51">
        <f t="shared" si="20"/>
        <v>43472</v>
      </c>
      <c r="T28" s="51">
        <f t="shared" si="19"/>
        <v>43473</v>
      </c>
      <c r="U28" s="51" t="s">
        <v>88</v>
      </c>
      <c r="V28" s="47" t="s">
        <v>503</v>
      </c>
      <c r="W28" s="47" t="s">
        <v>419</v>
      </c>
      <c r="X28" s="49">
        <v>26757</v>
      </c>
      <c r="Y28" s="50">
        <f t="shared" ca="1" si="4"/>
        <v>53</v>
      </c>
      <c r="Z28" s="50">
        <f t="shared" ca="1" si="5"/>
        <v>0</v>
      </c>
      <c r="AA28" s="50">
        <f t="shared" ca="1" si="6"/>
        <v>19</v>
      </c>
      <c r="AB28" s="62" t="s">
        <v>504</v>
      </c>
      <c r="AC28" s="70" t="s">
        <v>505</v>
      </c>
      <c r="AD28" s="70" t="s">
        <v>360</v>
      </c>
      <c r="AE28" s="47" t="s">
        <v>506</v>
      </c>
      <c r="AF28" s="47" t="s">
        <v>507</v>
      </c>
      <c r="AG28" s="47"/>
      <c r="AH28" s="47">
        <v>10</v>
      </c>
      <c r="AI28" s="47" t="s">
        <v>508</v>
      </c>
      <c r="AJ28" s="48" t="s">
        <v>509</v>
      </c>
      <c r="AK28" s="47" t="s">
        <v>510</v>
      </c>
      <c r="AL28" s="56"/>
      <c r="AM28" s="47" t="s">
        <v>510</v>
      </c>
      <c r="AN28" s="47"/>
      <c r="AO28" s="47" t="s">
        <v>159</v>
      </c>
      <c r="AP28" s="47" t="s">
        <v>117</v>
      </c>
      <c r="AQ28" s="48" t="s">
        <v>511</v>
      </c>
      <c r="AR28" s="48" t="s">
        <v>512</v>
      </c>
      <c r="AS28" s="47" t="s">
        <v>513</v>
      </c>
      <c r="AT28" s="47" t="s">
        <v>164</v>
      </c>
      <c r="AU28" s="47"/>
      <c r="AV28" s="48" t="s">
        <v>514</v>
      </c>
      <c r="AW28" s="47" t="s">
        <v>515</v>
      </c>
      <c r="AX28" s="48" t="s">
        <v>516</v>
      </c>
      <c r="AY28" s="47" t="s">
        <v>168</v>
      </c>
      <c r="AZ28" s="47" t="s">
        <v>168</v>
      </c>
      <c r="BA28" s="65" t="s">
        <v>517</v>
      </c>
      <c r="BB28" s="47" t="s">
        <v>501</v>
      </c>
      <c r="BC28" s="47" t="s">
        <v>518</v>
      </c>
      <c r="BD28" s="47" t="s">
        <v>519</v>
      </c>
      <c r="BE28" s="47" t="s">
        <v>86</v>
      </c>
      <c r="BF28" s="51">
        <v>24207</v>
      </c>
      <c r="BG28" s="57">
        <f t="shared" ca="1" si="7"/>
        <v>60</v>
      </c>
      <c r="BH28" s="57">
        <f t="shared" ca="1" si="8"/>
        <v>0</v>
      </c>
      <c r="BI28" s="57">
        <f t="shared" ca="1" si="9"/>
        <v>12</v>
      </c>
      <c r="BJ28" s="47" t="s">
        <v>520</v>
      </c>
      <c r="BK28" s="47"/>
      <c r="BL28" s="51">
        <v>34769</v>
      </c>
      <c r="BM28" s="57">
        <f t="shared" ca="1" si="10"/>
        <v>31</v>
      </c>
      <c r="BN28" s="57">
        <f t="shared" ca="1" si="11"/>
        <v>1</v>
      </c>
      <c r="BO28" s="57">
        <f t="shared" ca="1" si="12"/>
        <v>11</v>
      </c>
      <c r="BP28" s="47" t="s">
        <v>521</v>
      </c>
      <c r="BQ28" s="47" t="s">
        <v>86</v>
      </c>
      <c r="BR28" s="51">
        <v>35626</v>
      </c>
      <c r="BS28" s="57">
        <f t="shared" ca="1" si="13"/>
        <v>28</v>
      </c>
      <c r="BT28" s="57">
        <f t="shared" ca="1" si="14"/>
        <v>9</v>
      </c>
      <c r="BU28" s="57">
        <f t="shared" ca="1" si="15"/>
        <v>7</v>
      </c>
      <c r="BV28" s="47" t="s">
        <v>522</v>
      </c>
      <c r="BW28" s="47" t="s">
        <v>86</v>
      </c>
      <c r="BX28" s="51">
        <v>36487</v>
      </c>
      <c r="BY28" s="57">
        <f t="shared" ca="1" si="16"/>
        <v>26</v>
      </c>
      <c r="BZ28" s="57">
        <f t="shared" ca="1" si="17"/>
        <v>4</v>
      </c>
      <c r="CA28" s="57">
        <f t="shared" ca="1" si="18"/>
        <v>30</v>
      </c>
      <c r="CB28" s="73" t="s">
        <v>523</v>
      </c>
      <c r="CC28" s="58" t="s">
        <v>524</v>
      </c>
    </row>
    <row r="29" spans="1:81" ht="15" customHeight="1" x14ac:dyDescent="0.25">
      <c r="A29" s="46" t="s">
        <v>525</v>
      </c>
      <c r="B29" s="47" t="s">
        <v>526</v>
      </c>
      <c r="C29" s="47" t="s">
        <v>527</v>
      </c>
      <c r="D29" s="47" t="s">
        <v>175</v>
      </c>
      <c r="E29" s="59" t="s">
        <v>206</v>
      </c>
      <c r="F29" s="59" t="s">
        <v>177</v>
      </c>
      <c r="G29" s="59"/>
      <c r="H29" s="59" t="s">
        <v>178</v>
      </c>
      <c r="I29" s="47" t="s">
        <v>207</v>
      </c>
      <c r="J29" s="47" t="s">
        <v>90</v>
      </c>
      <c r="K29" s="47" t="s">
        <v>91</v>
      </c>
      <c r="L29" s="49">
        <v>43383</v>
      </c>
      <c r="M29" s="50">
        <f t="shared" ca="1" si="0"/>
        <v>7</v>
      </c>
      <c r="N29" s="50">
        <f t="shared" ca="1" si="1"/>
        <v>6</v>
      </c>
      <c r="O29" s="50">
        <f t="shared" ca="1" si="2"/>
        <v>12</v>
      </c>
      <c r="P29" s="51">
        <f t="shared" si="3"/>
        <v>49971</v>
      </c>
      <c r="Q29" s="62" t="s">
        <v>181</v>
      </c>
      <c r="R29" s="51">
        <v>43383</v>
      </c>
      <c r="S29" s="51">
        <f t="shared" si="20"/>
        <v>43474</v>
      </c>
      <c r="T29" s="51">
        <f t="shared" si="19"/>
        <v>43475</v>
      </c>
      <c r="U29" s="51" t="s">
        <v>88</v>
      </c>
      <c r="V29" s="47" t="s">
        <v>528</v>
      </c>
      <c r="W29" s="47" t="s">
        <v>529</v>
      </c>
      <c r="X29" s="49">
        <v>29882</v>
      </c>
      <c r="Y29" s="50">
        <f t="shared" ca="1" si="4"/>
        <v>44</v>
      </c>
      <c r="Z29" s="50">
        <f t="shared" ca="1" si="5"/>
        <v>5</v>
      </c>
      <c r="AA29" s="50">
        <f t="shared" ca="1" si="6"/>
        <v>30</v>
      </c>
      <c r="AB29" s="62" t="s">
        <v>530</v>
      </c>
      <c r="AC29" s="70" t="s">
        <v>531</v>
      </c>
      <c r="AD29" s="70" t="s">
        <v>360</v>
      </c>
      <c r="AE29" s="47" t="s">
        <v>336</v>
      </c>
      <c r="AF29" s="47" t="s">
        <v>532</v>
      </c>
      <c r="AG29" s="47"/>
      <c r="AH29" s="47">
        <v>7</v>
      </c>
      <c r="AI29" s="47" t="s">
        <v>533</v>
      </c>
      <c r="AJ29" s="48" t="s">
        <v>534</v>
      </c>
      <c r="AK29" s="47" t="s">
        <v>535</v>
      </c>
      <c r="AL29" s="56"/>
      <c r="AM29" s="47" t="s">
        <v>536</v>
      </c>
      <c r="AN29" s="47"/>
      <c r="AO29" s="47" t="s">
        <v>159</v>
      </c>
      <c r="AP29" s="47" t="s">
        <v>160</v>
      </c>
      <c r="AQ29" s="48" t="s">
        <v>537</v>
      </c>
      <c r="AR29" s="48" t="s">
        <v>538</v>
      </c>
      <c r="AS29" s="47" t="s">
        <v>163</v>
      </c>
      <c r="AT29" s="47" t="s">
        <v>194</v>
      </c>
      <c r="AU29" s="47"/>
      <c r="AV29" s="48" t="s">
        <v>539</v>
      </c>
      <c r="AW29" s="47" t="s">
        <v>535</v>
      </c>
      <c r="AX29" s="48" t="s">
        <v>540</v>
      </c>
      <c r="AY29" s="47" t="s">
        <v>168</v>
      </c>
      <c r="AZ29" s="47" t="s">
        <v>168</v>
      </c>
      <c r="BA29" s="65" t="s">
        <v>541</v>
      </c>
      <c r="BB29" s="47" t="s">
        <v>527</v>
      </c>
      <c r="BC29" s="47" t="s">
        <v>542</v>
      </c>
      <c r="BD29" s="47"/>
      <c r="BE29" s="47" t="s">
        <v>175</v>
      </c>
      <c r="BF29" s="51"/>
      <c r="BG29" s="57">
        <f t="shared" ca="1" si="7"/>
        <v>126</v>
      </c>
      <c r="BH29" s="57">
        <f t="shared" ca="1" si="8"/>
        <v>3</v>
      </c>
      <c r="BI29" s="57">
        <f t="shared" ca="1" si="9"/>
        <v>22</v>
      </c>
      <c r="BJ29" s="47"/>
      <c r="BK29" s="47"/>
      <c r="BL29" s="51"/>
      <c r="BM29" s="57">
        <f t="shared" ca="1" si="10"/>
        <v>126</v>
      </c>
      <c r="BN29" s="57">
        <f t="shared" ca="1" si="11"/>
        <v>3</v>
      </c>
      <c r="BO29" s="57">
        <f t="shared" ca="1" si="12"/>
        <v>22</v>
      </c>
      <c r="BP29" s="47"/>
      <c r="BQ29" s="47"/>
      <c r="BR29" s="51"/>
      <c r="BS29" s="57">
        <f t="shared" ca="1" si="13"/>
        <v>126</v>
      </c>
      <c r="BT29" s="57">
        <f t="shared" ca="1" si="14"/>
        <v>3</v>
      </c>
      <c r="BU29" s="57">
        <f t="shared" ca="1" si="15"/>
        <v>22</v>
      </c>
      <c r="BV29" s="47"/>
      <c r="BW29" s="47"/>
      <c r="BX29" s="51"/>
      <c r="BY29" s="57">
        <f t="shared" ca="1" si="16"/>
        <v>126</v>
      </c>
      <c r="BZ29" s="57">
        <f t="shared" ca="1" si="17"/>
        <v>3</v>
      </c>
      <c r="CA29" s="57">
        <f t="shared" ca="1" si="18"/>
        <v>22</v>
      </c>
      <c r="CB29" s="73" t="s">
        <v>543</v>
      </c>
      <c r="CC29" s="58" t="s">
        <v>544</v>
      </c>
    </row>
    <row r="30" spans="1:81" ht="15" customHeight="1" x14ac:dyDescent="0.25">
      <c r="A30" s="46" t="s">
        <v>545</v>
      </c>
      <c r="B30" s="47" t="s">
        <v>546</v>
      </c>
      <c r="C30" s="47" t="s">
        <v>547</v>
      </c>
      <c r="D30" s="47" t="s">
        <v>175</v>
      </c>
      <c r="E30" s="47" t="s">
        <v>206</v>
      </c>
      <c r="F30" s="59" t="s">
        <v>548</v>
      </c>
      <c r="G30" s="59"/>
      <c r="H30" s="59" t="s">
        <v>549</v>
      </c>
      <c r="I30" s="47" t="s">
        <v>550</v>
      </c>
      <c r="J30" s="47" t="s">
        <v>90</v>
      </c>
      <c r="K30" s="47" t="s">
        <v>91</v>
      </c>
      <c r="L30" s="49">
        <v>43404</v>
      </c>
      <c r="M30" s="50">
        <f t="shared" ca="1" si="0"/>
        <v>7</v>
      </c>
      <c r="N30" s="50">
        <f t="shared" ca="1" si="1"/>
        <v>5</v>
      </c>
      <c r="O30" s="50">
        <f t="shared" ca="1" si="2"/>
        <v>22</v>
      </c>
      <c r="P30" s="51">
        <f t="shared" si="3"/>
        <v>55158</v>
      </c>
      <c r="Q30" s="62" t="s">
        <v>181</v>
      </c>
      <c r="R30" s="51">
        <v>43404</v>
      </c>
      <c r="S30" s="51">
        <f t="shared" si="20"/>
        <v>43495</v>
      </c>
      <c r="T30" s="51">
        <f t="shared" si="19"/>
        <v>43496</v>
      </c>
      <c r="U30" s="51" t="s">
        <v>88</v>
      </c>
      <c r="V30" s="47" t="s">
        <v>90</v>
      </c>
      <c r="W30" s="47" t="s">
        <v>376</v>
      </c>
      <c r="X30" s="49">
        <v>35069</v>
      </c>
      <c r="Y30" s="50">
        <f t="shared" ca="1" si="4"/>
        <v>30</v>
      </c>
      <c r="Z30" s="50">
        <f t="shared" ca="1" si="5"/>
        <v>3</v>
      </c>
      <c r="AA30" s="50">
        <f t="shared" ca="1" si="6"/>
        <v>17</v>
      </c>
      <c r="AB30" s="62" t="s">
        <v>551</v>
      </c>
      <c r="AC30" s="70" t="s">
        <v>552</v>
      </c>
      <c r="AD30" s="70" t="s">
        <v>185</v>
      </c>
      <c r="AE30" s="47" t="s">
        <v>553</v>
      </c>
      <c r="AF30" s="47" t="s">
        <v>554</v>
      </c>
      <c r="AG30" s="47"/>
      <c r="AH30" s="47">
        <v>0</v>
      </c>
      <c r="AI30" s="47" t="s">
        <v>168</v>
      </c>
      <c r="AJ30" s="48" t="s">
        <v>555</v>
      </c>
      <c r="AK30" s="47" t="s">
        <v>556</v>
      </c>
      <c r="AL30" s="56"/>
      <c r="AM30" s="47" t="s">
        <v>556</v>
      </c>
      <c r="AN30" s="47"/>
      <c r="AO30" s="47" t="s">
        <v>159</v>
      </c>
      <c r="AP30" s="47" t="s">
        <v>160</v>
      </c>
      <c r="AQ30" s="48" t="s">
        <v>557</v>
      </c>
      <c r="AR30" s="48" t="s">
        <v>558</v>
      </c>
      <c r="AS30" s="47" t="s">
        <v>163</v>
      </c>
      <c r="AT30" s="47" t="s">
        <v>194</v>
      </c>
      <c r="AU30" s="47"/>
      <c r="AV30" s="48" t="s">
        <v>559</v>
      </c>
      <c r="AW30" s="47"/>
      <c r="AX30" s="48" t="s">
        <v>560</v>
      </c>
      <c r="AY30" s="47" t="s">
        <v>168</v>
      </c>
      <c r="AZ30" s="47" t="s">
        <v>168</v>
      </c>
      <c r="BA30" s="65" t="s">
        <v>561</v>
      </c>
      <c r="BB30" s="47" t="s">
        <v>547</v>
      </c>
      <c r="BC30" s="47" t="s">
        <v>562</v>
      </c>
      <c r="BD30" s="47"/>
      <c r="BE30" s="47" t="s">
        <v>175</v>
      </c>
      <c r="BF30" s="51"/>
      <c r="BG30" s="57">
        <f t="shared" ca="1" si="7"/>
        <v>126</v>
      </c>
      <c r="BH30" s="57">
        <f t="shared" ca="1" si="8"/>
        <v>3</v>
      </c>
      <c r="BI30" s="57">
        <f t="shared" ca="1" si="9"/>
        <v>22</v>
      </c>
      <c r="BJ30" s="47"/>
      <c r="BK30" s="47"/>
      <c r="BL30" s="51"/>
      <c r="BM30" s="57">
        <f t="shared" ca="1" si="10"/>
        <v>126</v>
      </c>
      <c r="BN30" s="57">
        <f t="shared" ca="1" si="11"/>
        <v>3</v>
      </c>
      <c r="BO30" s="57">
        <f t="shared" ca="1" si="12"/>
        <v>22</v>
      </c>
      <c r="BP30" s="47"/>
      <c r="BQ30" s="47"/>
      <c r="BR30" s="51"/>
      <c r="BS30" s="57">
        <f t="shared" ca="1" si="13"/>
        <v>126</v>
      </c>
      <c r="BT30" s="57">
        <f t="shared" ca="1" si="14"/>
        <v>3</v>
      </c>
      <c r="BU30" s="57">
        <f t="shared" ca="1" si="15"/>
        <v>22</v>
      </c>
      <c r="BV30" s="47"/>
      <c r="BW30" s="47"/>
      <c r="BX30" s="51"/>
      <c r="BY30" s="57">
        <f t="shared" ca="1" si="16"/>
        <v>126</v>
      </c>
      <c r="BZ30" s="57">
        <f t="shared" ca="1" si="17"/>
        <v>3</v>
      </c>
      <c r="CA30" s="57">
        <f t="shared" ca="1" si="18"/>
        <v>22</v>
      </c>
      <c r="CB30" s="73" t="s">
        <v>563</v>
      </c>
      <c r="CC30" s="58" t="s">
        <v>564</v>
      </c>
    </row>
    <row r="31" spans="1:81" ht="15" customHeight="1" x14ac:dyDescent="0.25">
      <c r="A31" s="46" t="s">
        <v>565</v>
      </c>
      <c r="B31" s="47" t="s">
        <v>566</v>
      </c>
      <c r="C31" s="47" t="s">
        <v>567</v>
      </c>
      <c r="D31" s="47" t="s">
        <v>86</v>
      </c>
      <c r="E31" s="59" t="s">
        <v>206</v>
      </c>
      <c r="F31" s="59" t="s">
        <v>177</v>
      </c>
      <c r="G31" s="59"/>
      <c r="H31" s="59" t="s">
        <v>178</v>
      </c>
      <c r="I31" s="47" t="s">
        <v>207</v>
      </c>
      <c r="J31" s="47" t="s">
        <v>90</v>
      </c>
      <c r="K31" s="47" t="s">
        <v>91</v>
      </c>
      <c r="L31" s="49">
        <v>43405</v>
      </c>
      <c r="M31" s="50">
        <f t="shared" ca="1" si="0"/>
        <v>7</v>
      </c>
      <c r="N31" s="50">
        <f t="shared" ca="1" si="1"/>
        <v>5</v>
      </c>
      <c r="O31" s="50">
        <f t="shared" ca="1" si="2"/>
        <v>21</v>
      </c>
      <c r="P31" s="51">
        <f t="shared" si="3"/>
        <v>52448</v>
      </c>
      <c r="Q31" s="62" t="s">
        <v>181</v>
      </c>
      <c r="R31" s="51">
        <v>43405</v>
      </c>
      <c r="S31" s="51">
        <f t="shared" si="20"/>
        <v>43496</v>
      </c>
      <c r="T31" s="51">
        <f t="shared" si="19"/>
        <v>43497</v>
      </c>
      <c r="U31" s="51" t="s">
        <v>88</v>
      </c>
      <c r="V31" s="47" t="s">
        <v>90</v>
      </c>
      <c r="W31" s="47" t="s">
        <v>357</v>
      </c>
      <c r="X31" s="49">
        <v>32360</v>
      </c>
      <c r="Y31" s="50">
        <f t="shared" ca="1" si="4"/>
        <v>37</v>
      </c>
      <c r="Z31" s="50">
        <f t="shared" ca="1" si="5"/>
        <v>8</v>
      </c>
      <c r="AA31" s="50">
        <f t="shared" ca="1" si="6"/>
        <v>17</v>
      </c>
      <c r="AB31" s="62" t="s">
        <v>568</v>
      </c>
      <c r="AC31" s="70" t="s">
        <v>569</v>
      </c>
      <c r="AD31" s="70" t="s">
        <v>360</v>
      </c>
      <c r="AE31" s="47" t="s">
        <v>570</v>
      </c>
      <c r="AF31" s="47" t="s">
        <v>571</v>
      </c>
      <c r="AG31" s="47"/>
      <c r="AH31" s="47">
        <v>3</v>
      </c>
      <c r="AI31" s="47" t="s">
        <v>572</v>
      </c>
      <c r="AJ31" s="48" t="s">
        <v>573</v>
      </c>
      <c r="AK31" s="47" t="s">
        <v>574</v>
      </c>
      <c r="AL31" s="56"/>
      <c r="AM31" s="47" t="s">
        <v>574</v>
      </c>
      <c r="AN31" s="47"/>
      <c r="AO31" s="47" t="s">
        <v>159</v>
      </c>
      <c r="AP31" s="47" t="s">
        <v>160</v>
      </c>
      <c r="AQ31" s="48" t="s">
        <v>575</v>
      </c>
      <c r="AR31" s="48" t="s">
        <v>576</v>
      </c>
      <c r="AS31" s="47" t="s">
        <v>163</v>
      </c>
      <c r="AT31" s="47" t="s">
        <v>343</v>
      </c>
      <c r="AU31" s="47"/>
      <c r="AV31" s="48" t="s">
        <v>577</v>
      </c>
      <c r="AW31" s="47" t="s">
        <v>578</v>
      </c>
      <c r="AX31" s="48" t="s">
        <v>579</v>
      </c>
      <c r="AY31" s="47" t="s">
        <v>168</v>
      </c>
      <c r="AZ31" s="47" t="s">
        <v>168</v>
      </c>
      <c r="BA31" s="65" t="s">
        <v>580</v>
      </c>
      <c r="BB31" s="47" t="s">
        <v>567</v>
      </c>
      <c r="BC31" s="47" t="s">
        <v>581</v>
      </c>
      <c r="BD31" s="47"/>
      <c r="BE31" s="47" t="s">
        <v>86</v>
      </c>
      <c r="BF31" s="51"/>
      <c r="BG31" s="57">
        <f t="shared" ca="1" si="7"/>
        <v>126</v>
      </c>
      <c r="BH31" s="57">
        <f t="shared" ca="1" si="8"/>
        <v>3</v>
      </c>
      <c r="BI31" s="57">
        <f t="shared" ca="1" si="9"/>
        <v>22</v>
      </c>
      <c r="BJ31" s="47"/>
      <c r="BK31" s="47"/>
      <c r="BL31" s="51"/>
      <c r="BM31" s="57">
        <f t="shared" ca="1" si="10"/>
        <v>126</v>
      </c>
      <c r="BN31" s="57">
        <f t="shared" ca="1" si="11"/>
        <v>3</v>
      </c>
      <c r="BO31" s="57">
        <f t="shared" ca="1" si="12"/>
        <v>22</v>
      </c>
      <c r="BP31" s="47"/>
      <c r="BQ31" s="47"/>
      <c r="BR31" s="51"/>
      <c r="BS31" s="57">
        <f t="shared" ca="1" si="13"/>
        <v>126</v>
      </c>
      <c r="BT31" s="57">
        <f t="shared" ca="1" si="14"/>
        <v>3</v>
      </c>
      <c r="BU31" s="57">
        <f t="shared" ca="1" si="15"/>
        <v>22</v>
      </c>
      <c r="BV31" s="47"/>
      <c r="BW31" s="47"/>
      <c r="BX31" s="51"/>
      <c r="BY31" s="57">
        <f t="shared" ca="1" si="16"/>
        <v>126</v>
      </c>
      <c r="BZ31" s="57">
        <f t="shared" ca="1" si="17"/>
        <v>3</v>
      </c>
      <c r="CA31" s="57">
        <f t="shared" ca="1" si="18"/>
        <v>22</v>
      </c>
      <c r="CB31" s="73" t="s">
        <v>582</v>
      </c>
      <c r="CC31" s="58" t="s">
        <v>583</v>
      </c>
    </row>
    <row r="32" spans="1:81" ht="15" customHeight="1" x14ac:dyDescent="0.25">
      <c r="A32" s="46" t="s">
        <v>584</v>
      </c>
      <c r="B32" s="47" t="s">
        <v>585</v>
      </c>
      <c r="C32" s="47" t="s">
        <v>586</v>
      </c>
      <c r="D32" s="47" t="s">
        <v>86</v>
      </c>
      <c r="E32" s="59" t="s">
        <v>176</v>
      </c>
      <c r="F32" s="59" t="s">
        <v>177</v>
      </c>
      <c r="G32" s="59"/>
      <c r="H32" s="59" t="s">
        <v>178</v>
      </c>
      <c r="I32" s="47" t="s">
        <v>179</v>
      </c>
      <c r="J32" s="47" t="s">
        <v>90</v>
      </c>
      <c r="K32" s="47" t="s">
        <v>91</v>
      </c>
      <c r="L32" s="49">
        <v>43405</v>
      </c>
      <c r="M32" s="50">
        <f t="shared" ca="1" si="0"/>
        <v>7</v>
      </c>
      <c r="N32" s="50">
        <f t="shared" ca="1" si="1"/>
        <v>5</v>
      </c>
      <c r="O32" s="50">
        <f t="shared" ca="1" si="2"/>
        <v>21</v>
      </c>
      <c r="P32" s="51">
        <f t="shared" si="3"/>
        <v>54250</v>
      </c>
      <c r="Q32" s="62" t="s">
        <v>181</v>
      </c>
      <c r="R32" s="51">
        <v>43405</v>
      </c>
      <c r="S32" s="51">
        <f t="shared" si="20"/>
        <v>43496</v>
      </c>
      <c r="T32" s="51">
        <f t="shared" si="19"/>
        <v>43497</v>
      </c>
      <c r="U32" s="51" t="s">
        <v>88</v>
      </c>
      <c r="V32" s="47" t="s">
        <v>90</v>
      </c>
      <c r="W32" s="47" t="s">
        <v>129</v>
      </c>
      <c r="X32" s="49">
        <v>34161</v>
      </c>
      <c r="Y32" s="50">
        <f t="shared" ca="1" si="4"/>
        <v>32</v>
      </c>
      <c r="Z32" s="50">
        <f t="shared" ca="1" si="5"/>
        <v>9</v>
      </c>
      <c r="AA32" s="50">
        <f t="shared" ca="1" si="6"/>
        <v>11</v>
      </c>
      <c r="AB32" s="62" t="s">
        <v>587</v>
      </c>
      <c r="AC32" s="70" t="s">
        <v>588</v>
      </c>
      <c r="AD32" s="63" t="s">
        <v>152</v>
      </c>
      <c r="AE32" s="47" t="s">
        <v>589</v>
      </c>
      <c r="AF32" s="47" t="s">
        <v>590</v>
      </c>
      <c r="AG32" s="47"/>
      <c r="AH32" s="47">
        <v>7</v>
      </c>
      <c r="AI32" s="47" t="s">
        <v>591</v>
      </c>
      <c r="AJ32" s="48" t="s">
        <v>592</v>
      </c>
      <c r="AK32" s="47" t="s">
        <v>593</v>
      </c>
      <c r="AL32" s="56"/>
      <c r="AM32" s="47" t="s">
        <v>593</v>
      </c>
      <c r="AN32" s="47"/>
      <c r="AO32" s="47" t="s">
        <v>135</v>
      </c>
      <c r="AP32" s="47" t="s">
        <v>117</v>
      </c>
      <c r="AQ32" s="48" t="s">
        <v>594</v>
      </c>
      <c r="AR32" s="48" t="s">
        <v>595</v>
      </c>
      <c r="AS32" s="47" t="s">
        <v>163</v>
      </c>
      <c r="AT32" s="47" t="s">
        <v>194</v>
      </c>
      <c r="AU32" s="47"/>
      <c r="AV32" s="48" t="s">
        <v>596</v>
      </c>
      <c r="AW32" s="47" t="s">
        <v>593</v>
      </c>
      <c r="AX32" s="48" t="s">
        <v>597</v>
      </c>
      <c r="AY32" s="47" t="s">
        <v>168</v>
      </c>
      <c r="AZ32" s="47" t="s">
        <v>168</v>
      </c>
      <c r="BA32" s="65" t="s">
        <v>598</v>
      </c>
      <c r="BB32" s="47" t="s">
        <v>586</v>
      </c>
      <c r="BC32" s="47" t="s">
        <v>599</v>
      </c>
      <c r="BD32" s="47" t="s">
        <v>600</v>
      </c>
      <c r="BE32" s="47" t="s">
        <v>175</v>
      </c>
      <c r="BF32" s="51">
        <v>33331</v>
      </c>
      <c r="BG32" s="57">
        <f t="shared" ca="1" si="7"/>
        <v>35</v>
      </c>
      <c r="BH32" s="57">
        <f t="shared" ca="1" si="8"/>
        <v>0</v>
      </c>
      <c r="BI32" s="57">
        <f t="shared" ca="1" si="9"/>
        <v>19</v>
      </c>
      <c r="BJ32" s="47" t="s">
        <v>601</v>
      </c>
      <c r="BK32" s="47"/>
      <c r="BL32" s="51">
        <v>42683</v>
      </c>
      <c r="BM32" s="57">
        <f t="shared" ca="1" si="10"/>
        <v>9</v>
      </c>
      <c r="BN32" s="57">
        <f t="shared" ca="1" si="11"/>
        <v>5</v>
      </c>
      <c r="BO32" s="57">
        <f t="shared" ca="1" si="12"/>
        <v>13</v>
      </c>
      <c r="BP32" s="47"/>
      <c r="BQ32" s="47"/>
      <c r="BR32" s="51"/>
      <c r="BS32" s="57">
        <f t="shared" ca="1" si="13"/>
        <v>126</v>
      </c>
      <c r="BT32" s="57">
        <f t="shared" ca="1" si="14"/>
        <v>3</v>
      </c>
      <c r="BU32" s="57">
        <f t="shared" ca="1" si="15"/>
        <v>22</v>
      </c>
      <c r="BV32" s="47"/>
      <c r="BW32" s="47"/>
      <c r="BX32" s="51"/>
      <c r="BY32" s="57">
        <f t="shared" ca="1" si="16"/>
        <v>126</v>
      </c>
      <c r="BZ32" s="57">
        <f t="shared" ca="1" si="17"/>
        <v>3</v>
      </c>
      <c r="CA32" s="57">
        <f t="shared" ca="1" si="18"/>
        <v>22</v>
      </c>
      <c r="CB32" s="73" t="s">
        <v>602</v>
      </c>
      <c r="CC32" s="58" t="s">
        <v>603</v>
      </c>
    </row>
    <row r="33" spans="1:81" ht="15" customHeight="1" x14ac:dyDescent="0.25">
      <c r="A33" s="46" t="s">
        <v>604</v>
      </c>
      <c r="B33" s="47" t="s">
        <v>605</v>
      </c>
      <c r="C33" s="47" t="s">
        <v>606</v>
      </c>
      <c r="D33" s="47" t="s">
        <v>175</v>
      </c>
      <c r="E33" s="59" t="s">
        <v>127</v>
      </c>
      <c r="F33" s="59" t="s">
        <v>177</v>
      </c>
      <c r="G33" s="59"/>
      <c r="H33" s="59" t="s">
        <v>88</v>
      </c>
      <c r="I33" s="47" t="s">
        <v>127</v>
      </c>
      <c r="J33" s="47" t="s">
        <v>90</v>
      </c>
      <c r="K33" s="47" t="s">
        <v>91</v>
      </c>
      <c r="L33" s="49">
        <v>43419</v>
      </c>
      <c r="M33" s="50">
        <f t="shared" ca="1" si="0"/>
        <v>7</v>
      </c>
      <c r="N33" s="50">
        <f t="shared" ca="1" si="1"/>
        <v>5</v>
      </c>
      <c r="O33" s="50">
        <f t="shared" ca="1" si="2"/>
        <v>7</v>
      </c>
      <c r="P33" s="51">
        <f t="shared" si="3"/>
        <v>47926</v>
      </c>
      <c r="Q33" s="62" t="s">
        <v>181</v>
      </c>
      <c r="R33" s="51">
        <v>43419</v>
      </c>
      <c r="S33" s="51">
        <f t="shared" si="20"/>
        <v>43510</v>
      </c>
      <c r="T33" s="51">
        <f t="shared" si="19"/>
        <v>43511</v>
      </c>
      <c r="U33" s="51" t="s">
        <v>88</v>
      </c>
      <c r="V33" s="47" t="s">
        <v>607</v>
      </c>
      <c r="W33" s="47" t="s">
        <v>236</v>
      </c>
      <c r="X33" s="49">
        <v>27838</v>
      </c>
      <c r="Y33" s="50">
        <f t="shared" ca="1" si="4"/>
        <v>50</v>
      </c>
      <c r="Z33" s="50">
        <f t="shared" ca="1" si="5"/>
        <v>1</v>
      </c>
      <c r="AA33" s="50">
        <f t="shared" ca="1" si="6"/>
        <v>3</v>
      </c>
      <c r="AB33" s="62" t="s">
        <v>608</v>
      </c>
      <c r="AC33" s="70" t="s">
        <v>609</v>
      </c>
      <c r="AD33" s="70" t="s">
        <v>185</v>
      </c>
      <c r="AE33" s="47" t="s">
        <v>610</v>
      </c>
      <c r="AF33" s="47" t="s">
        <v>611</v>
      </c>
      <c r="AG33" s="47"/>
      <c r="AH33" s="47">
        <v>14</v>
      </c>
      <c r="AI33" s="47" t="s">
        <v>612</v>
      </c>
      <c r="AJ33" s="48" t="s">
        <v>613</v>
      </c>
      <c r="AK33" s="47" t="s">
        <v>614</v>
      </c>
      <c r="AL33" s="56"/>
      <c r="AM33" s="47" t="s">
        <v>614</v>
      </c>
      <c r="AN33" s="47"/>
      <c r="AO33" s="47" t="s">
        <v>159</v>
      </c>
      <c r="AP33" s="47" t="s">
        <v>117</v>
      </c>
      <c r="AQ33" s="48" t="s">
        <v>615</v>
      </c>
      <c r="AR33" s="48" t="s">
        <v>616</v>
      </c>
      <c r="AS33" s="47" t="s">
        <v>163</v>
      </c>
      <c r="AT33" s="47" t="s">
        <v>343</v>
      </c>
      <c r="AU33" s="47"/>
      <c r="AV33" s="48" t="s">
        <v>617</v>
      </c>
      <c r="AW33" s="47" t="s">
        <v>618</v>
      </c>
      <c r="AX33" s="48" t="s">
        <v>619</v>
      </c>
      <c r="AY33" s="47" t="s">
        <v>168</v>
      </c>
      <c r="AZ33" s="47" t="s">
        <v>168</v>
      </c>
      <c r="BA33" s="65" t="s">
        <v>620</v>
      </c>
      <c r="BB33" s="47" t="s">
        <v>606</v>
      </c>
      <c r="BC33" s="47" t="s">
        <v>621</v>
      </c>
      <c r="BD33" s="47" t="s">
        <v>622</v>
      </c>
      <c r="BE33" s="47" t="s">
        <v>86</v>
      </c>
      <c r="BF33" s="51">
        <v>27832</v>
      </c>
      <c r="BG33" s="57">
        <f t="shared" ca="1" si="7"/>
        <v>50</v>
      </c>
      <c r="BH33" s="57">
        <f t="shared" ca="1" si="8"/>
        <v>1</v>
      </c>
      <c r="BI33" s="57">
        <f t="shared" ca="1" si="9"/>
        <v>9</v>
      </c>
      <c r="BJ33" s="47" t="s">
        <v>623</v>
      </c>
      <c r="BK33" s="47"/>
      <c r="BL33" s="51">
        <v>39225</v>
      </c>
      <c r="BM33" s="57">
        <f t="shared" ca="1" si="10"/>
        <v>18</v>
      </c>
      <c r="BN33" s="57">
        <f t="shared" ca="1" si="11"/>
        <v>10</v>
      </c>
      <c r="BO33" s="57">
        <f t="shared" ca="1" si="12"/>
        <v>30</v>
      </c>
      <c r="BP33" s="47" t="s">
        <v>624</v>
      </c>
      <c r="BQ33" s="47" t="s">
        <v>86</v>
      </c>
      <c r="BR33" s="51">
        <v>40033</v>
      </c>
      <c r="BS33" s="57">
        <f t="shared" ca="1" si="13"/>
        <v>16</v>
      </c>
      <c r="BT33" s="57">
        <f t="shared" ca="1" si="14"/>
        <v>8</v>
      </c>
      <c r="BU33" s="57">
        <f t="shared" ca="1" si="15"/>
        <v>14</v>
      </c>
      <c r="BV33" s="47"/>
      <c r="BW33" s="47"/>
      <c r="BX33" s="51"/>
      <c r="BY33" s="57">
        <f t="shared" ca="1" si="16"/>
        <v>126</v>
      </c>
      <c r="BZ33" s="57">
        <f t="shared" ca="1" si="17"/>
        <v>3</v>
      </c>
      <c r="CA33" s="57">
        <f t="shared" ca="1" si="18"/>
        <v>22</v>
      </c>
      <c r="CB33" s="73" t="s">
        <v>625</v>
      </c>
      <c r="CC33" s="58" t="s">
        <v>626</v>
      </c>
    </row>
    <row r="34" spans="1:81" ht="15" customHeight="1" x14ac:dyDescent="0.25">
      <c r="A34" s="46" t="s">
        <v>627</v>
      </c>
      <c r="B34" s="47" t="s">
        <v>628</v>
      </c>
      <c r="C34" s="47" t="s">
        <v>629</v>
      </c>
      <c r="D34" s="47" t="s">
        <v>86</v>
      </c>
      <c r="E34" s="47" t="s">
        <v>630</v>
      </c>
      <c r="F34" s="47" t="s">
        <v>328</v>
      </c>
      <c r="G34" s="47" t="s">
        <v>398</v>
      </c>
      <c r="H34" s="48" t="s">
        <v>631</v>
      </c>
      <c r="I34" s="47" t="s">
        <v>632</v>
      </c>
      <c r="J34" s="47" t="s">
        <v>110</v>
      </c>
      <c r="K34" s="47" t="s">
        <v>91</v>
      </c>
      <c r="L34" s="49">
        <v>43647</v>
      </c>
      <c r="M34" s="50">
        <f t="shared" ca="1" si="0"/>
        <v>6</v>
      </c>
      <c r="N34" s="50">
        <f t="shared" ca="1" si="1"/>
        <v>9</v>
      </c>
      <c r="O34" s="50">
        <f t="shared" ca="1" si="2"/>
        <v>21</v>
      </c>
      <c r="P34" s="51">
        <f t="shared" si="3"/>
        <v>54956</v>
      </c>
      <c r="Q34" s="62" t="s">
        <v>181</v>
      </c>
      <c r="R34" s="51">
        <f>L34</f>
        <v>43647</v>
      </c>
      <c r="S34" s="51">
        <f>R34+89</f>
        <v>43736</v>
      </c>
      <c r="T34" s="51">
        <f t="shared" si="19"/>
        <v>43737</v>
      </c>
      <c r="U34" s="51" t="s">
        <v>88</v>
      </c>
      <c r="V34" s="47" t="s">
        <v>633</v>
      </c>
      <c r="W34" s="47" t="s">
        <v>284</v>
      </c>
      <c r="X34" s="49">
        <v>34867</v>
      </c>
      <c r="Y34" s="50">
        <f t="shared" ca="1" si="4"/>
        <v>30</v>
      </c>
      <c r="Z34" s="50">
        <f t="shared" ca="1" si="5"/>
        <v>10</v>
      </c>
      <c r="AA34" s="50">
        <f t="shared" ca="1" si="6"/>
        <v>5</v>
      </c>
      <c r="AB34" s="61" t="s">
        <v>634</v>
      </c>
      <c r="AC34" s="75" t="s">
        <v>635</v>
      </c>
      <c r="AD34" s="63" t="s">
        <v>152</v>
      </c>
      <c r="AE34" s="47" t="s">
        <v>636</v>
      </c>
      <c r="AF34" s="47" t="s">
        <v>590</v>
      </c>
      <c r="AG34" s="47"/>
      <c r="AH34" s="47">
        <v>2</v>
      </c>
      <c r="AI34" s="47" t="s">
        <v>637</v>
      </c>
      <c r="AJ34" s="76" t="s">
        <v>638</v>
      </c>
      <c r="AK34" s="47" t="s">
        <v>639</v>
      </c>
      <c r="AL34" s="56" t="s">
        <v>244</v>
      </c>
      <c r="AM34" s="47" t="s">
        <v>640</v>
      </c>
      <c r="AN34" s="47"/>
      <c r="AO34" s="47" t="s">
        <v>159</v>
      </c>
      <c r="AP34" s="47" t="s">
        <v>641</v>
      </c>
      <c r="AQ34" s="76" t="s">
        <v>642</v>
      </c>
      <c r="AR34" s="76" t="s">
        <v>643</v>
      </c>
      <c r="AS34" s="77" t="s">
        <v>163</v>
      </c>
      <c r="AT34" s="77" t="s">
        <v>343</v>
      </c>
      <c r="AU34" s="77"/>
      <c r="AV34" s="77" t="s">
        <v>644</v>
      </c>
      <c r="AW34" s="47" t="s">
        <v>639</v>
      </c>
      <c r="AX34" s="76" t="s">
        <v>645</v>
      </c>
      <c r="AY34" s="47" t="s">
        <v>168</v>
      </c>
      <c r="AZ34" s="47" t="s">
        <v>168</v>
      </c>
      <c r="BA34" s="76" t="s">
        <v>646</v>
      </c>
      <c r="BB34" s="47" t="s">
        <v>629</v>
      </c>
      <c r="BC34" s="47" t="s">
        <v>647</v>
      </c>
      <c r="BD34" s="47"/>
      <c r="BE34" s="47"/>
      <c r="BF34" s="51"/>
      <c r="BG34" s="57">
        <f t="shared" ca="1" si="7"/>
        <v>126</v>
      </c>
      <c r="BH34" s="57">
        <f t="shared" ca="1" si="8"/>
        <v>3</v>
      </c>
      <c r="BI34" s="57">
        <f t="shared" ca="1" si="9"/>
        <v>22</v>
      </c>
      <c r="BJ34" s="47"/>
      <c r="BK34" s="47"/>
      <c r="BL34" s="51"/>
      <c r="BM34" s="57">
        <f t="shared" ca="1" si="10"/>
        <v>126</v>
      </c>
      <c r="BN34" s="57">
        <f t="shared" ca="1" si="11"/>
        <v>3</v>
      </c>
      <c r="BO34" s="57">
        <f t="shared" ca="1" si="12"/>
        <v>22</v>
      </c>
      <c r="BP34" s="47"/>
      <c r="BQ34" s="47"/>
      <c r="BR34" s="51"/>
      <c r="BS34" s="57">
        <f t="shared" ca="1" si="13"/>
        <v>126</v>
      </c>
      <c r="BT34" s="57">
        <f t="shared" ca="1" si="14"/>
        <v>3</v>
      </c>
      <c r="BU34" s="57">
        <f t="shared" ca="1" si="15"/>
        <v>22</v>
      </c>
      <c r="BV34" s="47"/>
      <c r="BW34" s="47"/>
      <c r="BX34" s="51"/>
      <c r="BY34" s="57">
        <f t="shared" ca="1" si="16"/>
        <v>126</v>
      </c>
      <c r="BZ34" s="57">
        <f t="shared" ca="1" si="17"/>
        <v>3</v>
      </c>
      <c r="CA34" s="57">
        <f t="shared" ca="1" si="18"/>
        <v>22</v>
      </c>
      <c r="CB34" s="73" t="s">
        <v>648</v>
      </c>
      <c r="CC34" s="57" t="s">
        <v>171</v>
      </c>
    </row>
    <row r="35" spans="1:81" ht="15" customHeight="1" x14ac:dyDescent="0.25">
      <c r="A35" s="46" t="s">
        <v>649</v>
      </c>
      <c r="B35" s="47" t="s">
        <v>650</v>
      </c>
      <c r="C35" s="47" t="s">
        <v>651</v>
      </c>
      <c r="D35" s="47" t="s">
        <v>175</v>
      </c>
      <c r="E35" s="47" t="s">
        <v>233</v>
      </c>
      <c r="F35" s="59" t="s">
        <v>548</v>
      </c>
      <c r="G35" s="59"/>
      <c r="H35" s="59" t="s">
        <v>652</v>
      </c>
      <c r="I35" s="47" t="s">
        <v>653</v>
      </c>
      <c r="J35" s="47" t="s">
        <v>90</v>
      </c>
      <c r="K35" s="47" t="s">
        <v>91</v>
      </c>
      <c r="L35" s="49">
        <v>43682</v>
      </c>
      <c r="M35" s="50">
        <f t="shared" ca="1" si="0"/>
        <v>6</v>
      </c>
      <c r="N35" s="50">
        <f t="shared" ca="1" si="1"/>
        <v>8</v>
      </c>
      <c r="O35" s="50">
        <f t="shared" ca="1" si="2"/>
        <v>17</v>
      </c>
      <c r="P35" s="51">
        <f t="shared" si="3"/>
        <v>54706</v>
      </c>
      <c r="Q35" s="62" t="s">
        <v>181</v>
      </c>
      <c r="R35" s="49">
        <v>43682</v>
      </c>
      <c r="S35" s="51">
        <f>R35+89</f>
        <v>43771</v>
      </c>
      <c r="T35" s="51">
        <f t="shared" si="19"/>
        <v>43772</v>
      </c>
      <c r="U35" s="51" t="s">
        <v>88</v>
      </c>
      <c r="V35" s="47" t="s">
        <v>654</v>
      </c>
      <c r="W35" s="47" t="s">
        <v>529</v>
      </c>
      <c r="X35" s="49">
        <v>34617</v>
      </c>
      <c r="Y35" s="50">
        <f t="shared" ca="1" si="4"/>
        <v>31</v>
      </c>
      <c r="Z35" s="50">
        <f t="shared" ca="1" si="5"/>
        <v>6</v>
      </c>
      <c r="AA35" s="50">
        <f t="shared" ca="1" si="6"/>
        <v>12</v>
      </c>
      <c r="AB35" s="62" t="s">
        <v>655</v>
      </c>
      <c r="AC35" s="78">
        <v>19085380780</v>
      </c>
      <c r="AD35" s="70" t="s">
        <v>360</v>
      </c>
      <c r="AE35" s="47" t="s">
        <v>656</v>
      </c>
      <c r="AF35" s="47" t="s">
        <v>657</v>
      </c>
      <c r="AG35" s="47"/>
      <c r="AH35" s="47">
        <v>2</v>
      </c>
      <c r="AI35" s="47" t="s">
        <v>658</v>
      </c>
      <c r="AJ35" s="76" t="s">
        <v>659</v>
      </c>
      <c r="AK35" s="47" t="s">
        <v>660</v>
      </c>
      <c r="AL35" s="56" t="s">
        <v>244</v>
      </c>
      <c r="AM35" s="47" t="s">
        <v>661</v>
      </c>
      <c r="AN35" s="47"/>
      <c r="AO35" s="47" t="s">
        <v>159</v>
      </c>
      <c r="AP35" s="47" t="s">
        <v>641</v>
      </c>
      <c r="AQ35" s="76" t="s">
        <v>662</v>
      </c>
      <c r="AR35" s="76" t="s">
        <v>663</v>
      </c>
      <c r="AS35" s="77" t="s">
        <v>664</v>
      </c>
      <c r="AT35" s="77" t="s">
        <v>343</v>
      </c>
      <c r="AU35" s="77"/>
      <c r="AV35" s="77" t="s">
        <v>665</v>
      </c>
      <c r="AW35" s="47" t="s">
        <v>666</v>
      </c>
      <c r="AX35" s="76" t="s">
        <v>667</v>
      </c>
      <c r="AY35" s="47" t="s">
        <v>668</v>
      </c>
      <c r="AZ35" s="56">
        <v>44472</v>
      </c>
      <c r="BA35" s="76" t="s">
        <v>669</v>
      </c>
      <c r="BB35" s="47" t="s">
        <v>651</v>
      </c>
      <c r="BC35" s="47"/>
      <c r="BD35" s="47"/>
      <c r="BE35" s="47"/>
      <c r="BF35" s="51"/>
      <c r="BG35" s="57">
        <f t="shared" ca="1" si="7"/>
        <v>126</v>
      </c>
      <c r="BH35" s="57">
        <f t="shared" ca="1" si="8"/>
        <v>3</v>
      </c>
      <c r="BI35" s="57">
        <f t="shared" ca="1" si="9"/>
        <v>22</v>
      </c>
      <c r="BJ35" s="47"/>
      <c r="BK35" s="47"/>
      <c r="BL35" s="51"/>
      <c r="BM35" s="57">
        <f t="shared" ca="1" si="10"/>
        <v>126</v>
      </c>
      <c r="BN35" s="57">
        <f t="shared" ca="1" si="11"/>
        <v>3</v>
      </c>
      <c r="BO35" s="57">
        <f t="shared" ca="1" si="12"/>
        <v>22</v>
      </c>
      <c r="BP35" s="47"/>
      <c r="BQ35" s="47"/>
      <c r="BR35" s="51"/>
      <c r="BS35" s="57">
        <f t="shared" ca="1" si="13"/>
        <v>126</v>
      </c>
      <c r="BT35" s="57">
        <f t="shared" ca="1" si="14"/>
        <v>3</v>
      </c>
      <c r="BU35" s="57">
        <f t="shared" ca="1" si="15"/>
        <v>22</v>
      </c>
      <c r="BV35" s="47"/>
      <c r="BW35" s="47"/>
      <c r="BX35" s="51"/>
      <c r="BY35" s="57">
        <f t="shared" ca="1" si="16"/>
        <v>126</v>
      </c>
      <c r="BZ35" s="57">
        <f t="shared" ca="1" si="17"/>
        <v>3</v>
      </c>
      <c r="CA35" s="57">
        <f t="shared" ca="1" si="18"/>
        <v>22</v>
      </c>
      <c r="CB35" s="73" t="s">
        <v>670</v>
      </c>
      <c r="CC35" s="58" t="s">
        <v>671</v>
      </c>
    </row>
    <row r="36" spans="1:81" ht="15" customHeight="1" x14ac:dyDescent="0.25">
      <c r="A36" s="46" t="s">
        <v>672</v>
      </c>
      <c r="B36" s="47" t="s">
        <v>673</v>
      </c>
      <c r="C36" s="47" t="s">
        <v>674</v>
      </c>
      <c r="D36" s="47" t="s">
        <v>86</v>
      </c>
      <c r="E36" s="47" t="s">
        <v>675</v>
      </c>
      <c r="F36" s="47" t="s">
        <v>328</v>
      </c>
      <c r="G36" s="47" t="s">
        <v>329</v>
      </c>
      <c r="H36" s="59"/>
      <c r="I36" s="47" t="s">
        <v>676</v>
      </c>
      <c r="J36" s="47" t="s">
        <v>110</v>
      </c>
      <c r="K36" s="47" t="s">
        <v>91</v>
      </c>
      <c r="L36" s="49">
        <v>43710</v>
      </c>
      <c r="M36" s="50">
        <f t="shared" ca="1" si="0"/>
        <v>6</v>
      </c>
      <c r="N36" s="50">
        <f t="shared" ca="1" si="1"/>
        <v>7</v>
      </c>
      <c r="O36" s="50">
        <f t="shared" ca="1" si="2"/>
        <v>20</v>
      </c>
      <c r="P36" s="51">
        <f t="shared" si="3"/>
        <v>52357</v>
      </c>
      <c r="Q36" s="62" t="s">
        <v>181</v>
      </c>
      <c r="R36" s="49">
        <v>43710</v>
      </c>
      <c r="S36" s="51">
        <f>R36+90</f>
        <v>43800</v>
      </c>
      <c r="T36" s="51">
        <f t="shared" si="19"/>
        <v>43801</v>
      </c>
      <c r="U36" s="51" t="s">
        <v>88</v>
      </c>
      <c r="V36" s="47" t="s">
        <v>677</v>
      </c>
      <c r="W36" s="47" t="s">
        <v>678</v>
      </c>
      <c r="X36" s="49">
        <v>32269</v>
      </c>
      <c r="Y36" s="50">
        <f t="shared" ca="1" si="4"/>
        <v>37</v>
      </c>
      <c r="Z36" s="50">
        <f t="shared" ca="1" si="5"/>
        <v>11</v>
      </c>
      <c r="AA36" s="50">
        <f t="shared" ca="1" si="6"/>
        <v>16</v>
      </c>
      <c r="AB36" s="62" t="s">
        <v>679</v>
      </c>
      <c r="AC36" s="79" t="s">
        <v>680</v>
      </c>
      <c r="AD36" s="70" t="s">
        <v>185</v>
      </c>
      <c r="AE36" s="61" t="s">
        <v>213</v>
      </c>
      <c r="AF36" s="47" t="s">
        <v>554</v>
      </c>
      <c r="AG36" s="47"/>
      <c r="AH36" s="47">
        <v>8</v>
      </c>
      <c r="AI36" s="47" t="s">
        <v>681</v>
      </c>
      <c r="AJ36" s="76" t="s">
        <v>682</v>
      </c>
      <c r="AK36" s="54" t="s">
        <v>683</v>
      </c>
      <c r="AL36" s="56" t="s">
        <v>244</v>
      </c>
      <c r="AM36" s="54" t="s">
        <v>684</v>
      </c>
      <c r="AN36" s="47"/>
      <c r="AO36" s="47" t="s">
        <v>685</v>
      </c>
      <c r="AP36" s="47" t="s">
        <v>101</v>
      </c>
      <c r="AQ36" s="76" t="s">
        <v>686</v>
      </c>
      <c r="AR36" s="76" t="s">
        <v>687</v>
      </c>
      <c r="AS36" s="77" t="s">
        <v>163</v>
      </c>
      <c r="AT36" s="77" t="s">
        <v>164</v>
      </c>
      <c r="AU36" s="77"/>
      <c r="AV36" s="77" t="s">
        <v>688</v>
      </c>
      <c r="AW36" s="54" t="s">
        <v>683</v>
      </c>
      <c r="AX36" s="76" t="s">
        <v>689</v>
      </c>
      <c r="AY36" s="47" t="s">
        <v>168</v>
      </c>
      <c r="AZ36" s="47" t="s">
        <v>168</v>
      </c>
      <c r="BA36" s="76" t="s">
        <v>690</v>
      </c>
      <c r="BB36" s="47" t="s">
        <v>674</v>
      </c>
      <c r="BC36" s="47" t="s">
        <v>691</v>
      </c>
      <c r="BD36" s="47" t="s">
        <v>692</v>
      </c>
      <c r="BE36" s="47" t="s">
        <v>175</v>
      </c>
      <c r="BF36" s="51">
        <v>35755</v>
      </c>
      <c r="BG36" s="57">
        <f t="shared" ca="1" si="7"/>
        <v>28</v>
      </c>
      <c r="BH36" s="57">
        <f t="shared" ca="1" si="8"/>
        <v>5</v>
      </c>
      <c r="BI36" s="57">
        <f t="shared" ca="1" si="9"/>
        <v>1</v>
      </c>
      <c r="BJ36" s="47" t="s">
        <v>693</v>
      </c>
      <c r="BK36" s="47" t="s">
        <v>175</v>
      </c>
      <c r="BL36" s="51">
        <v>43314</v>
      </c>
      <c r="BM36" s="57">
        <f t="shared" ca="1" si="10"/>
        <v>7</v>
      </c>
      <c r="BN36" s="57">
        <f t="shared" ca="1" si="11"/>
        <v>8</v>
      </c>
      <c r="BO36" s="57">
        <f t="shared" ca="1" si="12"/>
        <v>20</v>
      </c>
      <c r="BP36" s="47" t="s">
        <v>694</v>
      </c>
      <c r="BQ36" s="47" t="s">
        <v>86</v>
      </c>
      <c r="BR36" s="51">
        <v>43626</v>
      </c>
      <c r="BS36" s="57">
        <f t="shared" ca="1" si="13"/>
        <v>6</v>
      </c>
      <c r="BT36" s="57">
        <f t="shared" ca="1" si="14"/>
        <v>10</v>
      </c>
      <c r="BU36" s="57">
        <f t="shared" ca="1" si="15"/>
        <v>12</v>
      </c>
      <c r="BV36" s="47" t="s">
        <v>695</v>
      </c>
      <c r="BW36" s="47" t="s">
        <v>86</v>
      </c>
      <c r="BX36" s="51">
        <v>43626</v>
      </c>
      <c r="BY36" s="57">
        <f t="shared" ca="1" si="16"/>
        <v>6</v>
      </c>
      <c r="BZ36" s="57">
        <f t="shared" ca="1" si="17"/>
        <v>10</v>
      </c>
      <c r="CA36" s="57">
        <f t="shared" ca="1" si="18"/>
        <v>12</v>
      </c>
      <c r="CB36" s="73" t="s">
        <v>696</v>
      </c>
      <c r="CC36" s="58" t="s">
        <v>697</v>
      </c>
    </row>
    <row r="37" spans="1:81" ht="15" customHeight="1" x14ac:dyDescent="0.25">
      <c r="A37" s="46" t="s">
        <v>698</v>
      </c>
      <c r="B37" s="47" t="s">
        <v>699</v>
      </c>
      <c r="C37" s="47" t="s">
        <v>700</v>
      </c>
      <c r="D37" s="47" t="s">
        <v>86</v>
      </c>
      <c r="E37" s="59" t="s">
        <v>206</v>
      </c>
      <c r="F37" s="47" t="s">
        <v>177</v>
      </c>
      <c r="G37" s="47"/>
      <c r="H37" s="59" t="s">
        <v>178</v>
      </c>
      <c r="I37" s="47" t="s">
        <v>207</v>
      </c>
      <c r="J37" s="47" t="s">
        <v>701</v>
      </c>
      <c r="K37" s="47" t="s">
        <v>91</v>
      </c>
      <c r="L37" s="49">
        <v>43710</v>
      </c>
      <c r="M37" s="50">
        <f t="shared" ca="1" si="0"/>
        <v>6</v>
      </c>
      <c r="N37" s="50">
        <f t="shared" ca="1" si="1"/>
        <v>7</v>
      </c>
      <c r="O37" s="50">
        <f t="shared" ca="1" si="2"/>
        <v>20</v>
      </c>
      <c r="P37" s="51">
        <f t="shared" si="3"/>
        <v>49718</v>
      </c>
      <c r="Q37" s="62" t="s">
        <v>181</v>
      </c>
      <c r="R37" s="49">
        <v>43710</v>
      </c>
      <c r="S37" s="51">
        <f>R37+90</f>
        <v>43800</v>
      </c>
      <c r="T37" s="51">
        <f t="shared" si="19"/>
        <v>43801</v>
      </c>
      <c r="U37" s="51" t="s">
        <v>88</v>
      </c>
      <c r="V37" s="47" t="s">
        <v>702</v>
      </c>
      <c r="W37" s="47" t="s">
        <v>93</v>
      </c>
      <c r="X37" s="49">
        <v>29630</v>
      </c>
      <c r="Y37" s="50">
        <f t="shared" ca="1" si="4"/>
        <v>45</v>
      </c>
      <c r="Z37" s="50">
        <f t="shared" ca="1" si="5"/>
        <v>2</v>
      </c>
      <c r="AA37" s="50">
        <f t="shared" ca="1" si="6"/>
        <v>9</v>
      </c>
      <c r="AB37" s="62" t="s">
        <v>703</v>
      </c>
      <c r="AC37" s="79" t="s">
        <v>704</v>
      </c>
      <c r="AD37" s="70" t="s">
        <v>185</v>
      </c>
      <c r="AE37" s="47" t="s">
        <v>705</v>
      </c>
      <c r="AF37" s="47" t="s">
        <v>590</v>
      </c>
      <c r="AG37" s="47"/>
      <c r="AH37" s="47">
        <v>10</v>
      </c>
      <c r="AI37" s="47" t="s">
        <v>706</v>
      </c>
      <c r="AJ37" s="76" t="s">
        <v>707</v>
      </c>
      <c r="AK37" s="47" t="s">
        <v>708</v>
      </c>
      <c r="AL37" s="56" t="s">
        <v>244</v>
      </c>
      <c r="AM37" s="47" t="s">
        <v>708</v>
      </c>
      <c r="AN37" s="47"/>
      <c r="AO37" s="47" t="s">
        <v>135</v>
      </c>
      <c r="AP37" s="47" t="s">
        <v>101</v>
      </c>
      <c r="AQ37" s="76" t="s">
        <v>709</v>
      </c>
      <c r="AR37" s="76" t="s">
        <v>710</v>
      </c>
      <c r="AS37" s="77" t="s">
        <v>163</v>
      </c>
      <c r="AT37" s="77" t="s">
        <v>194</v>
      </c>
      <c r="AU37" s="77"/>
      <c r="AV37" s="77" t="s">
        <v>711</v>
      </c>
      <c r="AW37" s="47" t="s">
        <v>712</v>
      </c>
      <c r="AX37" s="76" t="s">
        <v>713</v>
      </c>
      <c r="AY37" s="47" t="s">
        <v>168</v>
      </c>
      <c r="AZ37" s="47" t="s">
        <v>168</v>
      </c>
      <c r="BA37" s="76" t="s">
        <v>714</v>
      </c>
      <c r="BB37" s="47" t="s">
        <v>700</v>
      </c>
      <c r="BC37" s="47" t="s">
        <v>715</v>
      </c>
      <c r="BD37" s="47" t="s">
        <v>716</v>
      </c>
      <c r="BE37" s="47" t="s">
        <v>175</v>
      </c>
      <c r="BF37" s="51">
        <v>28664</v>
      </c>
      <c r="BG37" s="57">
        <f t="shared" ca="1" si="7"/>
        <v>47</v>
      </c>
      <c r="BH37" s="57">
        <f t="shared" ca="1" si="8"/>
        <v>9</v>
      </c>
      <c r="BI37" s="57">
        <f t="shared" ca="1" si="9"/>
        <v>30</v>
      </c>
      <c r="BJ37" s="47" t="s">
        <v>717</v>
      </c>
      <c r="BK37" s="47" t="s">
        <v>175</v>
      </c>
      <c r="BL37" s="51">
        <v>37948</v>
      </c>
      <c r="BM37" s="57">
        <f t="shared" ca="1" si="10"/>
        <v>22</v>
      </c>
      <c r="BN37" s="57">
        <f t="shared" ca="1" si="11"/>
        <v>4</v>
      </c>
      <c r="BO37" s="57">
        <f t="shared" ca="1" si="12"/>
        <v>30</v>
      </c>
      <c r="BP37" s="47"/>
      <c r="BQ37" s="47"/>
      <c r="BR37" s="51"/>
      <c r="BS37" s="57">
        <f t="shared" ca="1" si="13"/>
        <v>126</v>
      </c>
      <c r="BT37" s="57">
        <f t="shared" ca="1" si="14"/>
        <v>3</v>
      </c>
      <c r="BU37" s="57">
        <f t="shared" ca="1" si="15"/>
        <v>22</v>
      </c>
      <c r="BV37" s="47"/>
      <c r="BW37" s="47"/>
      <c r="BX37" s="51"/>
      <c r="BY37" s="57">
        <f t="shared" ca="1" si="16"/>
        <v>126</v>
      </c>
      <c r="BZ37" s="57">
        <f t="shared" ca="1" si="17"/>
        <v>3</v>
      </c>
      <c r="CA37" s="57">
        <f t="shared" ca="1" si="18"/>
        <v>22</v>
      </c>
      <c r="CB37" s="73"/>
      <c r="CC37" s="58" t="s">
        <v>718</v>
      </c>
    </row>
    <row r="38" spans="1:81" ht="15" customHeight="1" x14ac:dyDescent="0.25">
      <c r="A38" s="46" t="s">
        <v>719</v>
      </c>
      <c r="B38" s="47" t="s">
        <v>720</v>
      </c>
      <c r="C38" s="47" t="s">
        <v>721</v>
      </c>
      <c r="D38" s="47" t="s">
        <v>175</v>
      </c>
      <c r="E38" s="59" t="s">
        <v>176</v>
      </c>
      <c r="F38" s="47" t="s">
        <v>177</v>
      </c>
      <c r="G38" s="47"/>
      <c r="H38" s="59" t="s">
        <v>178</v>
      </c>
      <c r="I38" s="47" t="s">
        <v>722</v>
      </c>
      <c r="J38" s="47" t="s">
        <v>90</v>
      </c>
      <c r="K38" s="47" t="s">
        <v>91</v>
      </c>
      <c r="L38" s="49">
        <v>43808</v>
      </c>
      <c r="M38" s="50">
        <f t="shared" ca="1" si="0"/>
        <v>6</v>
      </c>
      <c r="N38" s="50">
        <f t="shared" ca="1" si="1"/>
        <v>4</v>
      </c>
      <c r="O38" s="50">
        <f t="shared" ca="1" si="2"/>
        <v>13</v>
      </c>
      <c r="P38" s="51">
        <f t="shared" si="3"/>
        <v>54356</v>
      </c>
      <c r="Q38" s="62" t="s">
        <v>181</v>
      </c>
      <c r="R38" s="49">
        <v>43808</v>
      </c>
      <c r="S38" s="51">
        <f>R38+91</f>
        <v>43899</v>
      </c>
      <c r="T38" s="51">
        <f t="shared" si="19"/>
        <v>43900</v>
      </c>
      <c r="U38" s="51" t="s">
        <v>88</v>
      </c>
      <c r="V38" s="47" t="s">
        <v>90</v>
      </c>
      <c r="W38" s="47" t="s">
        <v>529</v>
      </c>
      <c r="X38" s="49">
        <v>34267</v>
      </c>
      <c r="Y38" s="50">
        <f t="shared" ca="1" si="4"/>
        <v>32</v>
      </c>
      <c r="Z38" s="50">
        <f t="shared" ca="1" si="5"/>
        <v>5</v>
      </c>
      <c r="AA38" s="50">
        <f t="shared" ca="1" si="6"/>
        <v>28</v>
      </c>
      <c r="AB38" s="62" t="s">
        <v>723</v>
      </c>
      <c r="AC38" s="63" t="s">
        <v>724</v>
      </c>
      <c r="AD38" s="70" t="s">
        <v>185</v>
      </c>
      <c r="AE38" s="47" t="s">
        <v>725</v>
      </c>
      <c r="AF38" s="47" t="s">
        <v>312</v>
      </c>
      <c r="AG38" s="47"/>
      <c r="AH38" s="47">
        <v>6</v>
      </c>
      <c r="AI38" s="47" t="s">
        <v>726</v>
      </c>
      <c r="AJ38" s="76" t="s">
        <v>727</v>
      </c>
      <c r="AK38" s="47" t="s">
        <v>728</v>
      </c>
      <c r="AL38" s="56" t="s">
        <v>244</v>
      </c>
      <c r="AM38" s="47" t="s">
        <v>728</v>
      </c>
      <c r="AN38" s="47"/>
      <c r="AO38" s="47" t="s">
        <v>159</v>
      </c>
      <c r="AP38" s="47" t="s">
        <v>641</v>
      </c>
      <c r="AQ38" s="76" t="s">
        <v>729</v>
      </c>
      <c r="AR38" s="76" t="s">
        <v>730</v>
      </c>
      <c r="AS38" s="77" t="s">
        <v>163</v>
      </c>
      <c r="AT38" s="77" t="s">
        <v>194</v>
      </c>
      <c r="AU38" s="77"/>
      <c r="AV38" s="77" t="s">
        <v>731</v>
      </c>
      <c r="AW38" s="47" t="s">
        <v>732</v>
      </c>
      <c r="AX38" s="76" t="s">
        <v>733</v>
      </c>
      <c r="AY38" s="47" t="s">
        <v>168</v>
      </c>
      <c r="AZ38" s="47" t="s">
        <v>168</v>
      </c>
      <c r="BA38" s="76" t="s">
        <v>734</v>
      </c>
      <c r="BB38" s="47" t="s">
        <v>721</v>
      </c>
      <c r="BC38" s="47" t="s">
        <v>735</v>
      </c>
      <c r="BD38" s="47"/>
      <c r="BE38" s="47"/>
      <c r="BF38" s="51"/>
      <c r="BG38" s="57">
        <f t="shared" ca="1" si="7"/>
        <v>126</v>
      </c>
      <c r="BH38" s="57">
        <f t="shared" ca="1" si="8"/>
        <v>3</v>
      </c>
      <c r="BI38" s="57">
        <f t="shared" ca="1" si="9"/>
        <v>22</v>
      </c>
      <c r="BJ38" s="47"/>
      <c r="BK38" s="47"/>
      <c r="BL38" s="51"/>
      <c r="BM38" s="57">
        <f t="shared" ca="1" si="10"/>
        <v>126</v>
      </c>
      <c r="BN38" s="57">
        <f t="shared" ca="1" si="11"/>
        <v>3</v>
      </c>
      <c r="BO38" s="57">
        <f t="shared" ca="1" si="12"/>
        <v>22</v>
      </c>
      <c r="BP38" s="47"/>
      <c r="BQ38" s="47"/>
      <c r="BR38" s="51"/>
      <c r="BS38" s="57">
        <f t="shared" ca="1" si="13"/>
        <v>126</v>
      </c>
      <c r="BT38" s="57">
        <f t="shared" ca="1" si="14"/>
        <v>3</v>
      </c>
      <c r="BU38" s="57">
        <f t="shared" ca="1" si="15"/>
        <v>22</v>
      </c>
      <c r="BV38" s="47"/>
      <c r="BW38" s="47"/>
      <c r="BX38" s="51"/>
      <c r="BY38" s="57">
        <f t="shared" ca="1" si="16"/>
        <v>126</v>
      </c>
      <c r="BZ38" s="57">
        <f t="shared" ca="1" si="17"/>
        <v>3</v>
      </c>
      <c r="CA38" s="57">
        <f t="shared" ca="1" si="18"/>
        <v>22</v>
      </c>
      <c r="CB38" s="73" t="s">
        <v>736</v>
      </c>
      <c r="CC38" s="58" t="s">
        <v>737</v>
      </c>
    </row>
    <row r="39" spans="1:81" ht="15" customHeight="1" x14ac:dyDescent="0.25">
      <c r="A39" s="46" t="s">
        <v>738</v>
      </c>
      <c r="B39" s="47" t="s">
        <v>739</v>
      </c>
      <c r="C39" s="47" t="s">
        <v>740</v>
      </c>
      <c r="D39" s="47" t="s">
        <v>86</v>
      </c>
      <c r="E39" s="59" t="s">
        <v>176</v>
      </c>
      <c r="F39" s="47" t="s">
        <v>177</v>
      </c>
      <c r="G39" s="47"/>
      <c r="H39" s="59" t="s">
        <v>178</v>
      </c>
      <c r="I39" s="47" t="s">
        <v>179</v>
      </c>
      <c r="J39" s="47" t="s">
        <v>90</v>
      </c>
      <c r="K39" s="47" t="s">
        <v>91</v>
      </c>
      <c r="L39" s="49">
        <v>43845</v>
      </c>
      <c r="M39" s="50">
        <f t="shared" ca="1" si="0"/>
        <v>6</v>
      </c>
      <c r="N39" s="50">
        <f t="shared" ca="1" si="1"/>
        <v>3</v>
      </c>
      <c r="O39" s="50">
        <f t="shared" ca="1" si="2"/>
        <v>7</v>
      </c>
      <c r="P39" s="51">
        <f t="shared" si="3"/>
        <v>53717</v>
      </c>
      <c r="Q39" s="62" t="s">
        <v>181</v>
      </c>
      <c r="R39" s="49">
        <v>43845</v>
      </c>
      <c r="S39" s="51">
        <f>R39+91</f>
        <v>43936</v>
      </c>
      <c r="T39" s="51">
        <f t="shared" si="19"/>
        <v>43937</v>
      </c>
      <c r="U39" s="51" t="s">
        <v>88</v>
      </c>
      <c r="V39" s="47" t="s">
        <v>209</v>
      </c>
      <c r="W39" s="47" t="s">
        <v>376</v>
      </c>
      <c r="X39" s="49">
        <v>33628</v>
      </c>
      <c r="Y39" s="50">
        <f t="shared" ca="1" si="4"/>
        <v>34</v>
      </c>
      <c r="Z39" s="50">
        <f t="shared" ca="1" si="5"/>
        <v>2</v>
      </c>
      <c r="AA39" s="50">
        <f t="shared" ca="1" si="6"/>
        <v>28</v>
      </c>
      <c r="AB39" s="62" t="s">
        <v>741</v>
      </c>
      <c r="AC39" s="78">
        <v>17029816190</v>
      </c>
      <c r="AD39" s="70" t="s">
        <v>185</v>
      </c>
      <c r="AE39" s="47" t="s">
        <v>742</v>
      </c>
      <c r="AF39" s="47" t="s">
        <v>743</v>
      </c>
      <c r="AG39" s="47"/>
      <c r="AH39" s="47">
        <v>8</v>
      </c>
      <c r="AI39" s="47" t="s">
        <v>744</v>
      </c>
      <c r="AJ39" s="76" t="s">
        <v>745</v>
      </c>
      <c r="AK39" s="47" t="s">
        <v>746</v>
      </c>
      <c r="AL39" s="56" t="s">
        <v>244</v>
      </c>
      <c r="AM39" s="47" t="s">
        <v>747</v>
      </c>
      <c r="AN39" s="47"/>
      <c r="AO39" s="47" t="s">
        <v>385</v>
      </c>
      <c r="AP39" s="47" t="s">
        <v>101</v>
      </c>
      <c r="AQ39" s="76" t="s">
        <v>748</v>
      </c>
      <c r="AR39" s="76" t="s">
        <v>749</v>
      </c>
      <c r="AS39" s="77" t="s">
        <v>163</v>
      </c>
      <c r="AT39" s="77"/>
      <c r="AU39" s="77"/>
      <c r="AV39" s="77" t="s">
        <v>750</v>
      </c>
      <c r="AW39" s="47" t="s">
        <v>746</v>
      </c>
      <c r="AX39" s="76" t="s">
        <v>751</v>
      </c>
      <c r="AY39" s="47" t="s">
        <v>168</v>
      </c>
      <c r="AZ39" s="47" t="s">
        <v>168</v>
      </c>
      <c r="BA39" s="76" t="s">
        <v>752</v>
      </c>
      <c r="BB39" s="47" t="s">
        <v>740</v>
      </c>
      <c r="BC39" s="47" t="s">
        <v>753</v>
      </c>
      <c r="BD39" s="47"/>
      <c r="BE39" s="47"/>
      <c r="BF39" s="51"/>
      <c r="BG39" s="57">
        <f t="shared" ca="1" si="7"/>
        <v>126</v>
      </c>
      <c r="BH39" s="57">
        <f t="shared" ca="1" si="8"/>
        <v>3</v>
      </c>
      <c r="BI39" s="57">
        <f t="shared" ca="1" si="9"/>
        <v>22</v>
      </c>
      <c r="BJ39" s="47"/>
      <c r="BK39" s="47"/>
      <c r="BL39" s="51"/>
      <c r="BM39" s="57">
        <f t="shared" ca="1" si="10"/>
        <v>126</v>
      </c>
      <c r="BN39" s="57">
        <f t="shared" ca="1" si="11"/>
        <v>3</v>
      </c>
      <c r="BO39" s="57">
        <f t="shared" ca="1" si="12"/>
        <v>22</v>
      </c>
      <c r="BP39" s="47"/>
      <c r="BQ39" s="47"/>
      <c r="BR39" s="51"/>
      <c r="BS39" s="57">
        <f t="shared" ca="1" si="13"/>
        <v>126</v>
      </c>
      <c r="BT39" s="57">
        <f t="shared" ca="1" si="14"/>
        <v>3</v>
      </c>
      <c r="BU39" s="57">
        <f t="shared" ca="1" si="15"/>
        <v>22</v>
      </c>
      <c r="BV39" s="47"/>
      <c r="BW39" s="47"/>
      <c r="BX39" s="51"/>
      <c r="BY39" s="57">
        <f t="shared" ca="1" si="16"/>
        <v>126</v>
      </c>
      <c r="BZ39" s="57">
        <f t="shared" ca="1" si="17"/>
        <v>3</v>
      </c>
      <c r="CA39" s="57">
        <f t="shared" ca="1" si="18"/>
        <v>22</v>
      </c>
      <c r="CB39" s="71" t="s">
        <v>754</v>
      </c>
      <c r="CC39" s="58" t="s">
        <v>755</v>
      </c>
    </row>
    <row r="40" spans="1:81" ht="15" customHeight="1" x14ac:dyDescent="0.25">
      <c r="A40" s="46" t="s">
        <v>756</v>
      </c>
      <c r="B40" s="47" t="s">
        <v>757</v>
      </c>
      <c r="C40" s="47" t="s">
        <v>758</v>
      </c>
      <c r="D40" s="47" t="s">
        <v>86</v>
      </c>
      <c r="E40" s="59" t="s">
        <v>176</v>
      </c>
      <c r="F40" s="47" t="s">
        <v>328</v>
      </c>
      <c r="G40" s="47" t="s">
        <v>398</v>
      </c>
      <c r="H40" s="47" t="s">
        <v>631</v>
      </c>
      <c r="I40" s="47" t="s">
        <v>759</v>
      </c>
      <c r="J40" s="47" t="s">
        <v>110</v>
      </c>
      <c r="K40" s="47" t="s">
        <v>91</v>
      </c>
      <c r="L40" s="49">
        <v>43871</v>
      </c>
      <c r="M40" s="50">
        <f t="shared" ca="1" si="0"/>
        <v>6</v>
      </c>
      <c r="N40" s="50">
        <f t="shared" ca="1" si="1"/>
        <v>2</v>
      </c>
      <c r="O40" s="50">
        <f t="shared" ca="1" si="2"/>
        <v>12</v>
      </c>
      <c r="P40" s="51">
        <f t="shared" si="3"/>
        <v>52862</v>
      </c>
      <c r="Q40" s="62" t="s">
        <v>181</v>
      </c>
      <c r="R40" s="49">
        <v>43871</v>
      </c>
      <c r="S40" s="51">
        <f>R40+91</f>
        <v>43962</v>
      </c>
      <c r="T40" s="51">
        <f t="shared" si="19"/>
        <v>43963</v>
      </c>
      <c r="U40" s="51" t="s">
        <v>88</v>
      </c>
      <c r="V40" s="47" t="s">
        <v>459</v>
      </c>
      <c r="W40" s="47" t="s">
        <v>210</v>
      </c>
      <c r="X40" s="49">
        <v>32773</v>
      </c>
      <c r="Y40" s="50">
        <f t="shared" ca="1" si="4"/>
        <v>36</v>
      </c>
      <c r="Z40" s="50">
        <f t="shared" ca="1" si="5"/>
        <v>7</v>
      </c>
      <c r="AA40" s="50">
        <f t="shared" ca="1" si="6"/>
        <v>0</v>
      </c>
      <c r="AB40" s="62" t="s">
        <v>760</v>
      </c>
      <c r="AC40" s="63" t="s">
        <v>761</v>
      </c>
      <c r="AD40" s="70" t="s">
        <v>185</v>
      </c>
      <c r="AE40" s="47" t="s">
        <v>762</v>
      </c>
      <c r="AF40" s="47" t="s">
        <v>763</v>
      </c>
      <c r="AG40" s="47"/>
      <c r="AH40" s="47">
        <v>8</v>
      </c>
      <c r="AI40" s="47" t="s">
        <v>764</v>
      </c>
      <c r="AJ40" s="76" t="s">
        <v>765</v>
      </c>
      <c r="AK40" s="47" t="s">
        <v>766</v>
      </c>
      <c r="AL40" s="56" t="s">
        <v>244</v>
      </c>
      <c r="AM40" s="47" t="s">
        <v>766</v>
      </c>
      <c r="AN40" s="47"/>
      <c r="AO40" s="47" t="s">
        <v>135</v>
      </c>
      <c r="AP40" s="47" t="s">
        <v>101</v>
      </c>
      <c r="AQ40" s="76" t="s">
        <v>767</v>
      </c>
      <c r="AR40" s="76" t="s">
        <v>768</v>
      </c>
      <c r="AS40" s="77" t="s">
        <v>163</v>
      </c>
      <c r="AT40" s="77" t="s">
        <v>272</v>
      </c>
      <c r="AU40" s="77"/>
      <c r="AV40" s="77" t="s">
        <v>769</v>
      </c>
      <c r="AW40" s="47" t="s">
        <v>770</v>
      </c>
      <c r="AX40" s="76" t="s">
        <v>771</v>
      </c>
      <c r="AY40" s="47" t="s">
        <v>168</v>
      </c>
      <c r="AZ40" s="47" t="s">
        <v>168</v>
      </c>
      <c r="BA40" s="76" t="s">
        <v>772</v>
      </c>
      <c r="BB40" s="47" t="s">
        <v>758</v>
      </c>
      <c r="BC40" s="47" t="s">
        <v>773</v>
      </c>
      <c r="BD40" s="47" t="s">
        <v>774</v>
      </c>
      <c r="BE40" s="47" t="s">
        <v>175</v>
      </c>
      <c r="BF40" s="51">
        <v>32697</v>
      </c>
      <c r="BG40" s="57">
        <f t="shared" ca="1" si="7"/>
        <v>36</v>
      </c>
      <c r="BH40" s="57">
        <f t="shared" ca="1" si="8"/>
        <v>9</v>
      </c>
      <c r="BI40" s="57">
        <f t="shared" ca="1" si="9"/>
        <v>14</v>
      </c>
      <c r="BJ40" s="47" t="s">
        <v>775</v>
      </c>
      <c r="BK40" s="47" t="s">
        <v>86</v>
      </c>
      <c r="BL40" s="51">
        <v>42717</v>
      </c>
      <c r="BM40" s="57">
        <f t="shared" ca="1" si="10"/>
        <v>9</v>
      </c>
      <c r="BN40" s="57">
        <f t="shared" ca="1" si="11"/>
        <v>4</v>
      </c>
      <c r="BO40" s="57">
        <f t="shared" ca="1" si="12"/>
        <v>9</v>
      </c>
      <c r="BP40" s="47"/>
      <c r="BQ40" s="47"/>
      <c r="BR40" s="51"/>
      <c r="BS40" s="57">
        <f t="shared" ca="1" si="13"/>
        <v>126</v>
      </c>
      <c r="BT40" s="57">
        <f t="shared" ca="1" si="14"/>
        <v>3</v>
      </c>
      <c r="BU40" s="57">
        <f t="shared" ca="1" si="15"/>
        <v>22</v>
      </c>
      <c r="BV40" s="47"/>
      <c r="BW40" s="47"/>
      <c r="BX40" s="51"/>
      <c r="BY40" s="57">
        <f t="shared" ca="1" si="16"/>
        <v>126</v>
      </c>
      <c r="BZ40" s="57">
        <f t="shared" ca="1" si="17"/>
        <v>3</v>
      </c>
      <c r="CA40" s="57">
        <f t="shared" ca="1" si="18"/>
        <v>22</v>
      </c>
      <c r="CB40" s="71" t="s">
        <v>776</v>
      </c>
      <c r="CC40" s="58" t="s">
        <v>777</v>
      </c>
    </row>
    <row r="41" spans="1:81" ht="15" customHeight="1" x14ac:dyDescent="0.25">
      <c r="A41" s="46" t="s">
        <v>778</v>
      </c>
      <c r="B41" s="47" t="s">
        <v>779</v>
      </c>
      <c r="C41" s="47" t="s">
        <v>780</v>
      </c>
      <c r="D41" s="47" t="s">
        <v>86</v>
      </c>
      <c r="E41" s="59" t="s">
        <v>176</v>
      </c>
      <c r="F41" s="47" t="s">
        <v>177</v>
      </c>
      <c r="G41" s="47"/>
      <c r="H41" s="59" t="s">
        <v>178</v>
      </c>
      <c r="I41" s="47" t="s">
        <v>179</v>
      </c>
      <c r="J41" s="47" t="s">
        <v>781</v>
      </c>
      <c r="K41" s="47" t="s">
        <v>91</v>
      </c>
      <c r="L41" s="49">
        <v>43922</v>
      </c>
      <c r="M41" s="50">
        <f t="shared" ca="1" si="0"/>
        <v>6</v>
      </c>
      <c r="N41" s="50">
        <f t="shared" ca="1" si="1"/>
        <v>0</v>
      </c>
      <c r="O41" s="50">
        <f t="shared" ca="1" si="2"/>
        <v>21</v>
      </c>
      <c r="P41" s="51">
        <f t="shared" si="3"/>
        <v>54951</v>
      </c>
      <c r="Q41" s="62" t="s">
        <v>181</v>
      </c>
      <c r="R41" s="49">
        <v>43922</v>
      </c>
      <c r="S41" s="51">
        <f>R41+91</f>
        <v>44013</v>
      </c>
      <c r="T41" s="51">
        <f t="shared" si="19"/>
        <v>44014</v>
      </c>
      <c r="U41" s="51" t="s">
        <v>88</v>
      </c>
      <c r="V41" s="47" t="s">
        <v>782</v>
      </c>
      <c r="W41" s="47" t="s">
        <v>284</v>
      </c>
      <c r="X41" s="49">
        <v>34862</v>
      </c>
      <c r="Y41" s="50">
        <f t="shared" ca="1" si="4"/>
        <v>30</v>
      </c>
      <c r="Z41" s="50">
        <f t="shared" ca="1" si="5"/>
        <v>10</v>
      </c>
      <c r="AA41" s="50">
        <f t="shared" ca="1" si="6"/>
        <v>10</v>
      </c>
      <c r="AB41" s="48" t="s">
        <v>783</v>
      </c>
      <c r="AC41" s="63" t="s">
        <v>784</v>
      </c>
      <c r="AD41" s="63" t="s">
        <v>152</v>
      </c>
      <c r="AE41" s="47" t="s">
        <v>785</v>
      </c>
      <c r="AF41" s="47" t="s">
        <v>786</v>
      </c>
      <c r="AG41" s="47"/>
      <c r="AH41" s="47">
        <v>7</v>
      </c>
      <c r="AI41" s="47" t="s">
        <v>787</v>
      </c>
      <c r="AJ41" s="48" t="s">
        <v>788</v>
      </c>
      <c r="AK41" s="47" t="s">
        <v>789</v>
      </c>
      <c r="AL41" s="56" t="s">
        <v>244</v>
      </c>
      <c r="AM41" s="47" t="str">
        <f>AK41</f>
        <v>Lingk./Br. Blungbang Rt.000/000 Kel. Kawan, Kec. Bangli, Kab. Bangli - Bali</v>
      </c>
      <c r="AN41" s="47"/>
      <c r="AO41" s="47" t="s">
        <v>159</v>
      </c>
      <c r="AP41" s="47" t="s">
        <v>641</v>
      </c>
      <c r="AQ41" s="48" t="s">
        <v>790</v>
      </c>
      <c r="AR41" s="48" t="s">
        <v>790</v>
      </c>
      <c r="AS41" s="47" t="s">
        <v>791</v>
      </c>
      <c r="AT41" s="47" t="s">
        <v>194</v>
      </c>
      <c r="AU41" s="47"/>
      <c r="AV41" s="47" t="s">
        <v>792</v>
      </c>
      <c r="AW41" s="47" t="s">
        <v>793</v>
      </c>
      <c r="AX41" s="48" t="s">
        <v>794</v>
      </c>
      <c r="AY41" s="47" t="s">
        <v>168</v>
      </c>
      <c r="AZ41" s="47" t="s">
        <v>168</v>
      </c>
      <c r="BA41" s="47" t="s">
        <v>795</v>
      </c>
      <c r="BB41" s="47" t="s">
        <v>780</v>
      </c>
      <c r="BC41" s="47" t="s">
        <v>796</v>
      </c>
      <c r="BD41" s="47" t="s">
        <v>797</v>
      </c>
      <c r="BE41" s="47" t="s">
        <v>175</v>
      </c>
      <c r="BF41" s="51">
        <v>33209</v>
      </c>
      <c r="BG41" s="57">
        <f t="shared" ca="1" si="7"/>
        <v>35</v>
      </c>
      <c r="BH41" s="57">
        <f t="shared" ca="1" si="8"/>
        <v>4</v>
      </c>
      <c r="BI41" s="57">
        <f t="shared" ca="1" si="9"/>
        <v>20</v>
      </c>
      <c r="BJ41" s="47" t="s">
        <v>798</v>
      </c>
      <c r="BK41" s="47" t="s">
        <v>175</v>
      </c>
      <c r="BL41" s="51">
        <v>45576</v>
      </c>
      <c r="BM41" s="57">
        <f t="shared" ca="1" si="10"/>
        <v>1</v>
      </c>
      <c r="BN41" s="57">
        <f t="shared" ca="1" si="11"/>
        <v>6</v>
      </c>
      <c r="BO41" s="57">
        <f t="shared" ca="1" si="12"/>
        <v>11</v>
      </c>
      <c r="BP41" s="47"/>
      <c r="BQ41" s="47"/>
      <c r="BR41" s="51"/>
      <c r="BS41" s="57">
        <f t="shared" ca="1" si="13"/>
        <v>126</v>
      </c>
      <c r="BT41" s="57">
        <f t="shared" ca="1" si="14"/>
        <v>3</v>
      </c>
      <c r="BU41" s="57">
        <f t="shared" ca="1" si="15"/>
        <v>22</v>
      </c>
      <c r="BV41" s="47"/>
      <c r="BW41" s="47"/>
      <c r="BX41" s="51"/>
      <c r="BY41" s="57">
        <f t="shared" ca="1" si="16"/>
        <v>126</v>
      </c>
      <c r="BZ41" s="57">
        <f t="shared" ca="1" si="17"/>
        <v>3</v>
      </c>
      <c r="CA41" s="57">
        <f t="shared" ca="1" si="18"/>
        <v>22</v>
      </c>
      <c r="CB41" s="73" t="s">
        <v>799</v>
      </c>
      <c r="CC41" s="58" t="s">
        <v>800</v>
      </c>
    </row>
    <row r="42" spans="1:81" ht="15" customHeight="1" x14ac:dyDescent="0.25">
      <c r="A42" s="46" t="s">
        <v>801</v>
      </c>
      <c r="B42" s="47" t="s">
        <v>802</v>
      </c>
      <c r="C42" s="47" t="s">
        <v>803</v>
      </c>
      <c r="D42" s="47" t="s">
        <v>175</v>
      </c>
      <c r="E42" s="47" t="s">
        <v>353</v>
      </c>
      <c r="F42" s="47" t="s">
        <v>328</v>
      </c>
      <c r="G42" s="47" t="s">
        <v>329</v>
      </c>
      <c r="H42" s="59" t="s">
        <v>330</v>
      </c>
      <c r="I42" s="47" t="s">
        <v>417</v>
      </c>
      <c r="J42" s="47" t="s">
        <v>110</v>
      </c>
      <c r="K42" s="47" t="s">
        <v>91</v>
      </c>
      <c r="L42" s="49">
        <v>43948</v>
      </c>
      <c r="M42" s="50">
        <f t="shared" ca="1" si="0"/>
        <v>5</v>
      </c>
      <c r="N42" s="50">
        <f t="shared" ca="1" si="1"/>
        <v>11</v>
      </c>
      <c r="O42" s="50">
        <f t="shared" ca="1" si="2"/>
        <v>26</v>
      </c>
      <c r="P42" s="51">
        <f t="shared" si="3"/>
        <v>55288</v>
      </c>
      <c r="Q42" s="48" t="s">
        <v>804</v>
      </c>
      <c r="R42" s="49">
        <v>44039</v>
      </c>
      <c r="S42" s="51">
        <f>R42+364</f>
        <v>44403</v>
      </c>
      <c r="T42" s="51">
        <f t="shared" si="19"/>
        <v>44404</v>
      </c>
      <c r="U42" s="51" t="s">
        <v>88</v>
      </c>
      <c r="V42" s="47" t="s">
        <v>805</v>
      </c>
      <c r="W42" s="47" t="s">
        <v>678</v>
      </c>
      <c r="X42" s="49">
        <v>35200</v>
      </c>
      <c r="Y42" s="50">
        <f t="shared" ca="1" si="4"/>
        <v>29</v>
      </c>
      <c r="Z42" s="50">
        <f t="shared" ca="1" si="5"/>
        <v>11</v>
      </c>
      <c r="AA42" s="50">
        <f t="shared" ca="1" si="6"/>
        <v>7</v>
      </c>
      <c r="AB42" s="48" t="s">
        <v>806</v>
      </c>
      <c r="AC42" s="78">
        <v>14033820177</v>
      </c>
      <c r="AD42" s="63" t="s">
        <v>152</v>
      </c>
      <c r="AE42" s="47" t="s">
        <v>807</v>
      </c>
      <c r="AF42" s="47" t="s">
        <v>312</v>
      </c>
      <c r="AG42" s="47"/>
      <c r="AH42" s="47">
        <v>6</v>
      </c>
      <c r="AI42" s="47" t="s">
        <v>808</v>
      </c>
      <c r="AJ42" s="48" t="s">
        <v>809</v>
      </c>
      <c r="AK42" s="47" t="s">
        <v>810</v>
      </c>
      <c r="AL42" s="56" t="s">
        <v>244</v>
      </c>
      <c r="AM42" s="47" t="s">
        <v>811</v>
      </c>
      <c r="AN42" s="47"/>
      <c r="AO42" s="47" t="s">
        <v>159</v>
      </c>
      <c r="AP42" s="47" t="s">
        <v>641</v>
      </c>
      <c r="AQ42" s="48" t="s">
        <v>812</v>
      </c>
      <c r="AR42" s="48" t="s">
        <v>812</v>
      </c>
      <c r="AS42" s="77" t="s">
        <v>163</v>
      </c>
      <c r="AT42" s="47" t="s">
        <v>343</v>
      </c>
      <c r="AU42" s="47"/>
      <c r="AV42" s="47" t="s">
        <v>813</v>
      </c>
      <c r="AW42" s="47" t="s">
        <v>814</v>
      </c>
      <c r="AX42" s="47"/>
      <c r="AY42" s="47" t="s">
        <v>168</v>
      </c>
      <c r="AZ42" s="47" t="s">
        <v>168</v>
      </c>
      <c r="BA42" s="48" t="s">
        <v>815</v>
      </c>
      <c r="BB42" s="47" t="s">
        <v>803</v>
      </c>
      <c r="BC42" s="47" t="s">
        <v>816</v>
      </c>
      <c r="BD42" s="47"/>
      <c r="BE42" s="47"/>
      <c r="BF42" s="51"/>
      <c r="BG42" s="57">
        <f t="shared" ca="1" si="7"/>
        <v>126</v>
      </c>
      <c r="BH42" s="57">
        <f t="shared" ca="1" si="8"/>
        <v>3</v>
      </c>
      <c r="BI42" s="57">
        <f t="shared" ca="1" si="9"/>
        <v>22</v>
      </c>
      <c r="BJ42" s="47"/>
      <c r="BK42" s="47"/>
      <c r="BL42" s="51"/>
      <c r="BM42" s="57">
        <f t="shared" ca="1" si="10"/>
        <v>126</v>
      </c>
      <c r="BN42" s="57">
        <f t="shared" ca="1" si="11"/>
        <v>3</v>
      </c>
      <c r="BO42" s="57">
        <f t="shared" ca="1" si="12"/>
        <v>22</v>
      </c>
      <c r="BP42" s="47"/>
      <c r="BQ42" s="47"/>
      <c r="BR42" s="51"/>
      <c r="BS42" s="57">
        <f t="shared" ca="1" si="13"/>
        <v>126</v>
      </c>
      <c r="BT42" s="57">
        <f t="shared" ca="1" si="14"/>
        <v>3</v>
      </c>
      <c r="BU42" s="57">
        <f t="shared" ca="1" si="15"/>
        <v>22</v>
      </c>
      <c r="BV42" s="47"/>
      <c r="BW42" s="47"/>
      <c r="BX42" s="51"/>
      <c r="BY42" s="57">
        <f t="shared" ca="1" si="16"/>
        <v>126</v>
      </c>
      <c r="BZ42" s="57">
        <f t="shared" ca="1" si="17"/>
        <v>3</v>
      </c>
      <c r="CA42" s="57">
        <f t="shared" ca="1" si="18"/>
        <v>22</v>
      </c>
      <c r="CB42" s="47" t="s">
        <v>817</v>
      </c>
      <c r="CC42" s="47"/>
    </row>
    <row r="43" spans="1:81" ht="15" customHeight="1" x14ac:dyDescent="0.25">
      <c r="A43" s="46" t="s">
        <v>818</v>
      </c>
      <c r="B43" s="47" t="s">
        <v>819</v>
      </c>
      <c r="C43" s="47" t="s">
        <v>820</v>
      </c>
      <c r="D43" s="47" t="s">
        <v>175</v>
      </c>
      <c r="E43" s="47" t="s">
        <v>675</v>
      </c>
      <c r="F43" s="47" t="s">
        <v>128</v>
      </c>
      <c r="G43" s="47"/>
      <c r="H43" s="47" t="s">
        <v>821</v>
      </c>
      <c r="I43" s="47" t="s">
        <v>822</v>
      </c>
      <c r="J43" s="47" t="s">
        <v>90</v>
      </c>
      <c r="K43" s="47" t="s">
        <v>91</v>
      </c>
      <c r="L43" s="49">
        <v>43997</v>
      </c>
      <c r="M43" s="50">
        <f t="shared" ca="1" si="0"/>
        <v>5</v>
      </c>
      <c r="N43" s="50">
        <f t="shared" ca="1" si="1"/>
        <v>10</v>
      </c>
      <c r="O43" s="50">
        <f t="shared" ca="1" si="2"/>
        <v>7</v>
      </c>
      <c r="P43" s="51">
        <f t="shared" si="3"/>
        <v>51612</v>
      </c>
      <c r="Q43" s="48" t="s">
        <v>181</v>
      </c>
      <c r="R43" s="49">
        <v>43997</v>
      </c>
      <c r="S43" s="51">
        <f>R43+91</f>
        <v>44088</v>
      </c>
      <c r="T43" s="51">
        <f t="shared" si="19"/>
        <v>44089</v>
      </c>
      <c r="U43" s="51" t="s">
        <v>88</v>
      </c>
      <c r="V43" s="60" t="s">
        <v>90</v>
      </c>
      <c r="W43" s="60" t="s">
        <v>419</v>
      </c>
      <c r="X43" s="49">
        <v>31523</v>
      </c>
      <c r="Y43" s="50">
        <f t="shared" ca="1" si="4"/>
        <v>40</v>
      </c>
      <c r="Z43" s="50">
        <f t="shared" ca="1" si="5"/>
        <v>0</v>
      </c>
      <c r="AA43" s="50">
        <f t="shared" ca="1" si="6"/>
        <v>1</v>
      </c>
      <c r="AB43" s="62" t="s">
        <v>823</v>
      </c>
      <c r="AC43" s="63" t="s">
        <v>824</v>
      </c>
      <c r="AD43" s="70" t="s">
        <v>185</v>
      </c>
      <c r="AE43" s="61" t="s">
        <v>825</v>
      </c>
      <c r="AF43" s="61" t="s">
        <v>312</v>
      </c>
      <c r="AG43" s="47"/>
      <c r="AH43" s="47">
        <v>8</v>
      </c>
      <c r="AI43" s="47" t="s">
        <v>826</v>
      </c>
      <c r="AJ43" s="69" t="s">
        <v>827</v>
      </c>
      <c r="AK43" s="47" t="s">
        <v>828</v>
      </c>
      <c r="AL43" s="64" t="s">
        <v>244</v>
      </c>
      <c r="AM43" s="60" t="s">
        <v>829</v>
      </c>
      <c r="AN43" s="60"/>
      <c r="AO43" s="60" t="s">
        <v>159</v>
      </c>
      <c r="AP43" s="47" t="s">
        <v>101</v>
      </c>
      <c r="AQ43" s="48" t="s">
        <v>830</v>
      </c>
      <c r="AR43" s="48" t="s">
        <v>831</v>
      </c>
      <c r="AS43" s="47" t="s">
        <v>513</v>
      </c>
      <c r="AT43" s="47" t="s">
        <v>343</v>
      </c>
      <c r="AU43" s="47"/>
      <c r="AV43" s="60" t="s">
        <v>832</v>
      </c>
      <c r="AW43" s="47" t="s">
        <v>833</v>
      </c>
      <c r="AX43" s="69" t="s">
        <v>834</v>
      </c>
      <c r="AY43" s="60" t="s">
        <v>168</v>
      </c>
      <c r="AZ43" s="60" t="s">
        <v>168</v>
      </c>
      <c r="BA43" s="65" t="s">
        <v>835</v>
      </c>
      <c r="BB43" s="61" t="s">
        <v>820</v>
      </c>
      <c r="BC43" s="60" t="s">
        <v>836</v>
      </c>
      <c r="BD43" s="47" t="s">
        <v>837</v>
      </c>
      <c r="BE43" s="47" t="s">
        <v>86</v>
      </c>
      <c r="BF43" s="51">
        <v>29196</v>
      </c>
      <c r="BG43" s="57">
        <f t="shared" ca="1" si="7"/>
        <v>46</v>
      </c>
      <c r="BH43" s="57">
        <f t="shared" ca="1" si="8"/>
        <v>4</v>
      </c>
      <c r="BI43" s="57">
        <f t="shared" ca="1" si="9"/>
        <v>15</v>
      </c>
      <c r="BJ43" s="47" t="s">
        <v>838</v>
      </c>
      <c r="BK43" s="47"/>
      <c r="BL43" s="51">
        <v>40479</v>
      </c>
      <c r="BM43" s="57">
        <f t="shared" ca="1" si="10"/>
        <v>15</v>
      </c>
      <c r="BN43" s="57">
        <f t="shared" ca="1" si="11"/>
        <v>5</v>
      </c>
      <c r="BO43" s="57">
        <f t="shared" ca="1" si="12"/>
        <v>25</v>
      </c>
      <c r="BP43" s="47" t="s">
        <v>839</v>
      </c>
      <c r="BQ43" s="47" t="s">
        <v>175</v>
      </c>
      <c r="BR43" s="51">
        <v>41147</v>
      </c>
      <c r="BS43" s="57">
        <f t="shared" ca="1" si="13"/>
        <v>13</v>
      </c>
      <c r="BT43" s="57">
        <f t="shared" ca="1" si="14"/>
        <v>7</v>
      </c>
      <c r="BU43" s="57">
        <f t="shared" ca="1" si="15"/>
        <v>27</v>
      </c>
      <c r="BV43" s="47"/>
      <c r="BW43" s="47"/>
      <c r="BX43" s="51"/>
      <c r="BY43" s="57">
        <f t="shared" ca="1" si="16"/>
        <v>126</v>
      </c>
      <c r="BZ43" s="57">
        <f t="shared" ca="1" si="17"/>
        <v>3</v>
      </c>
      <c r="CA43" s="57">
        <f t="shared" ca="1" si="18"/>
        <v>22</v>
      </c>
      <c r="CB43" s="73" t="s">
        <v>840</v>
      </c>
      <c r="CC43" s="58" t="s">
        <v>841</v>
      </c>
    </row>
    <row r="44" spans="1:81" ht="15" customHeight="1" x14ac:dyDescent="0.25">
      <c r="A44" s="46" t="s">
        <v>842</v>
      </c>
      <c r="B44" s="47" t="s">
        <v>843</v>
      </c>
      <c r="C44" s="47" t="s">
        <v>844</v>
      </c>
      <c r="D44" s="47" t="s">
        <v>175</v>
      </c>
      <c r="E44" s="47" t="s">
        <v>233</v>
      </c>
      <c r="F44" s="47" t="s">
        <v>548</v>
      </c>
      <c r="G44" s="47"/>
      <c r="H44" s="47" t="s">
        <v>845</v>
      </c>
      <c r="I44" s="47" t="s">
        <v>846</v>
      </c>
      <c r="J44" s="47" t="s">
        <v>90</v>
      </c>
      <c r="K44" s="47" t="s">
        <v>91</v>
      </c>
      <c r="L44" s="49">
        <v>44013</v>
      </c>
      <c r="M44" s="50">
        <f t="shared" ca="1" si="0"/>
        <v>5</v>
      </c>
      <c r="N44" s="50">
        <f t="shared" ca="1" si="1"/>
        <v>9</v>
      </c>
      <c r="O44" s="50">
        <f t="shared" ca="1" si="2"/>
        <v>21</v>
      </c>
      <c r="P44" s="51">
        <f t="shared" si="3"/>
        <v>51717</v>
      </c>
      <c r="Q44" s="48" t="s">
        <v>181</v>
      </c>
      <c r="R44" s="49">
        <v>44013</v>
      </c>
      <c r="S44" s="51">
        <f>R44+91</f>
        <v>44104</v>
      </c>
      <c r="T44" s="51">
        <f t="shared" si="19"/>
        <v>44105</v>
      </c>
      <c r="U44" s="51" t="s">
        <v>88</v>
      </c>
      <c r="V44" s="47" t="s">
        <v>90</v>
      </c>
      <c r="W44" s="47" t="s">
        <v>357</v>
      </c>
      <c r="X44" s="49">
        <v>31628</v>
      </c>
      <c r="Y44" s="50">
        <f t="shared" ca="1" si="4"/>
        <v>39</v>
      </c>
      <c r="Z44" s="50">
        <f t="shared" ca="1" si="5"/>
        <v>8</v>
      </c>
      <c r="AA44" s="50">
        <f t="shared" ca="1" si="6"/>
        <v>18</v>
      </c>
      <c r="AB44" s="61" t="s">
        <v>847</v>
      </c>
      <c r="AC44" s="70" t="s">
        <v>848</v>
      </c>
      <c r="AD44" s="70" t="s">
        <v>185</v>
      </c>
      <c r="AE44" s="47" t="s">
        <v>849</v>
      </c>
      <c r="AF44" s="47" t="s">
        <v>554</v>
      </c>
      <c r="AG44" s="47"/>
      <c r="AH44" s="47">
        <v>11</v>
      </c>
      <c r="AI44" s="47" t="s">
        <v>850</v>
      </c>
      <c r="AJ44" s="48" t="s">
        <v>851</v>
      </c>
      <c r="AK44" s="47" t="s">
        <v>852</v>
      </c>
      <c r="AL44" s="64" t="s">
        <v>244</v>
      </c>
      <c r="AM44" s="47" t="s">
        <v>852</v>
      </c>
      <c r="AN44" s="47"/>
      <c r="AO44" s="47" t="s">
        <v>159</v>
      </c>
      <c r="AP44" s="47" t="s">
        <v>641</v>
      </c>
      <c r="AQ44" s="48" t="s">
        <v>853</v>
      </c>
      <c r="AR44" s="48" t="s">
        <v>854</v>
      </c>
      <c r="AS44" s="77" t="s">
        <v>163</v>
      </c>
      <c r="AT44" s="47" t="s">
        <v>194</v>
      </c>
      <c r="AU44" s="47"/>
      <c r="AV44" s="48" t="s">
        <v>855</v>
      </c>
      <c r="AW44" s="47" t="s">
        <v>856</v>
      </c>
      <c r="AX44" s="48" t="s">
        <v>857</v>
      </c>
      <c r="AY44" s="60" t="s">
        <v>168</v>
      </c>
      <c r="AZ44" s="60" t="s">
        <v>168</v>
      </c>
      <c r="BA44" s="48" t="s">
        <v>858</v>
      </c>
      <c r="BB44" s="47" t="s">
        <v>844</v>
      </c>
      <c r="BC44" s="47" t="s">
        <v>859</v>
      </c>
      <c r="BD44" s="47"/>
      <c r="BE44" s="47"/>
      <c r="BF44" s="51"/>
      <c r="BG44" s="57">
        <f t="shared" ca="1" si="7"/>
        <v>126</v>
      </c>
      <c r="BH44" s="57">
        <f t="shared" ca="1" si="8"/>
        <v>3</v>
      </c>
      <c r="BI44" s="57">
        <f t="shared" ca="1" si="9"/>
        <v>22</v>
      </c>
      <c r="BJ44" s="47"/>
      <c r="BK44" s="47"/>
      <c r="BL44" s="51"/>
      <c r="BM44" s="57">
        <f t="shared" ca="1" si="10"/>
        <v>126</v>
      </c>
      <c r="BN44" s="57">
        <f t="shared" ca="1" si="11"/>
        <v>3</v>
      </c>
      <c r="BO44" s="57">
        <f t="shared" ca="1" si="12"/>
        <v>22</v>
      </c>
      <c r="BP44" s="47"/>
      <c r="BQ44" s="47"/>
      <c r="BR44" s="51"/>
      <c r="BS44" s="57">
        <f t="shared" ca="1" si="13"/>
        <v>126</v>
      </c>
      <c r="BT44" s="57">
        <f t="shared" ca="1" si="14"/>
        <v>3</v>
      </c>
      <c r="BU44" s="57">
        <f t="shared" ca="1" si="15"/>
        <v>22</v>
      </c>
      <c r="BV44" s="47"/>
      <c r="BW44" s="47"/>
      <c r="BX44" s="51"/>
      <c r="BY44" s="57">
        <f t="shared" ca="1" si="16"/>
        <v>126</v>
      </c>
      <c r="BZ44" s="57">
        <f t="shared" ca="1" si="17"/>
        <v>3</v>
      </c>
      <c r="CA44" s="57">
        <f t="shared" ca="1" si="18"/>
        <v>22</v>
      </c>
      <c r="CB44" s="73" t="s">
        <v>860</v>
      </c>
      <c r="CC44" s="58" t="s">
        <v>861</v>
      </c>
    </row>
    <row r="45" spans="1:81" ht="15" customHeight="1" x14ac:dyDescent="0.25">
      <c r="A45" s="46" t="s">
        <v>862</v>
      </c>
      <c r="B45" s="47" t="s">
        <v>863</v>
      </c>
      <c r="C45" s="47" t="s">
        <v>864</v>
      </c>
      <c r="D45" s="47" t="s">
        <v>175</v>
      </c>
      <c r="E45" s="47" t="s">
        <v>233</v>
      </c>
      <c r="F45" s="47" t="s">
        <v>328</v>
      </c>
      <c r="G45" s="47" t="s">
        <v>329</v>
      </c>
      <c r="H45" s="47" t="s">
        <v>865</v>
      </c>
      <c r="I45" s="47" t="s">
        <v>866</v>
      </c>
      <c r="J45" s="47" t="s">
        <v>110</v>
      </c>
      <c r="K45" s="47" t="s">
        <v>91</v>
      </c>
      <c r="L45" s="49">
        <v>44025</v>
      </c>
      <c r="M45" s="50">
        <f t="shared" ca="1" si="0"/>
        <v>5</v>
      </c>
      <c r="N45" s="50">
        <f t="shared" ca="1" si="1"/>
        <v>9</v>
      </c>
      <c r="O45" s="50">
        <f t="shared" ca="1" si="2"/>
        <v>9</v>
      </c>
      <c r="P45" s="51">
        <f t="shared" si="3"/>
        <v>53484</v>
      </c>
      <c r="Q45" s="48" t="s">
        <v>181</v>
      </c>
      <c r="R45" s="49">
        <v>44025</v>
      </c>
      <c r="S45" s="51">
        <f>R45+91</f>
        <v>44116</v>
      </c>
      <c r="T45" s="51">
        <f t="shared" si="19"/>
        <v>44117</v>
      </c>
      <c r="U45" s="51" t="s">
        <v>88</v>
      </c>
      <c r="V45" s="47" t="s">
        <v>867</v>
      </c>
      <c r="W45" s="47" t="s">
        <v>284</v>
      </c>
      <c r="X45" s="49">
        <v>33395</v>
      </c>
      <c r="Y45" s="50">
        <f t="shared" ca="1" si="4"/>
        <v>34</v>
      </c>
      <c r="Z45" s="50">
        <f t="shared" ca="1" si="5"/>
        <v>10</v>
      </c>
      <c r="AA45" s="50">
        <f t="shared" ca="1" si="6"/>
        <v>16</v>
      </c>
      <c r="AB45" s="62" t="s">
        <v>868</v>
      </c>
      <c r="AC45" s="63" t="s">
        <v>869</v>
      </c>
      <c r="AD45" s="70" t="s">
        <v>185</v>
      </c>
      <c r="AE45" s="47" t="s">
        <v>870</v>
      </c>
      <c r="AF45" s="47" t="s">
        <v>871</v>
      </c>
      <c r="AG45" s="47"/>
      <c r="AH45" s="47">
        <v>5</v>
      </c>
      <c r="AI45" s="47" t="s">
        <v>872</v>
      </c>
      <c r="AJ45" s="48" t="s">
        <v>873</v>
      </c>
      <c r="AK45" s="47" t="s">
        <v>874</v>
      </c>
      <c r="AL45" s="64" t="s">
        <v>244</v>
      </c>
      <c r="AM45" s="47" t="s">
        <v>874</v>
      </c>
      <c r="AN45" s="47"/>
      <c r="AO45" s="47" t="s">
        <v>159</v>
      </c>
      <c r="AP45" s="47" t="s">
        <v>101</v>
      </c>
      <c r="AQ45" s="48" t="s">
        <v>875</v>
      </c>
      <c r="AR45" s="48" t="s">
        <v>876</v>
      </c>
      <c r="AS45" s="47" t="s">
        <v>513</v>
      </c>
      <c r="AT45" s="47" t="s">
        <v>343</v>
      </c>
      <c r="AU45" s="47"/>
      <c r="AV45" s="48" t="s">
        <v>877</v>
      </c>
      <c r="AW45" s="47" t="s">
        <v>878</v>
      </c>
      <c r="AX45" s="48" t="s">
        <v>879</v>
      </c>
      <c r="AY45" s="60" t="s">
        <v>168</v>
      </c>
      <c r="AZ45" s="60" t="s">
        <v>168</v>
      </c>
      <c r="BA45" s="48" t="s">
        <v>880</v>
      </c>
      <c r="BB45" s="47" t="s">
        <v>881</v>
      </c>
      <c r="BC45" s="47" t="s">
        <v>882</v>
      </c>
      <c r="BD45" s="47" t="s">
        <v>883</v>
      </c>
      <c r="BE45" s="47" t="s">
        <v>86</v>
      </c>
      <c r="BF45" s="51">
        <v>32798</v>
      </c>
      <c r="BG45" s="57">
        <f t="shared" ca="1" si="7"/>
        <v>36</v>
      </c>
      <c r="BH45" s="57">
        <f t="shared" ca="1" si="8"/>
        <v>6</v>
      </c>
      <c r="BI45" s="57">
        <f t="shared" ca="1" si="9"/>
        <v>5</v>
      </c>
      <c r="BJ45" s="47" t="s">
        <v>884</v>
      </c>
      <c r="BK45" s="47" t="s">
        <v>175</v>
      </c>
      <c r="BL45" s="51">
        <v>43649</v>
      </c>
      <c r="BM45" s="57">
        <f t="shared" ca="1" si="10"/>
        <v>6</v>
      </c>
      <c r="BN45" s="57">
        <f t="shared" ca="1" si="11"/>
        <v>9</v>
      </c>
      <c r="BO45" s="57">
        <f t="shared" ca="1" si="12"/>
        <v>19</v>
      </c>
      <c r="BP45" s="47"/>
      <c r="BQ45" s="47"/>
      <c r="BR45" s="51"/>
      <c r="BS45" s="57">
        <f t="shared" ca="1" si="13"/>
        <v>126</v>
      </c>
      <c r="BT45" s="57">
        <f t="shared" ca="1" si="14"/>
        <v>3</v>
      </c>
      <c r="BU45" s="57">
        <f t="shared" ca="1" si="15"/>
        <v>22</v>
      </c>
      <c r="BV45" s="47"/>
      <c r="BW45" s="47"/>
      <c r="BX45" s="51"/>
      <c r="BY45" s="57">
        <f t="shared" ca="1" si="16"/>
        <v>126</v>
      </c>
      <c r="BZ45" s="57">
        <f t="shared" ca="1" si="17"/>
        <v>3</v>
      </c>
      <c r="CA45" s="57">
        <f t="shared" ca="1" si="18"/>
        <v>22</v>
      </c>
      <c r="CB45" s="73" t="s">
        <v>885</v>
      </c>
      <c r="CC45" s="58" t="s">
        <v>886</v>
      </c>
    </row>
    <row r="46" spans="1:81" ht="15" customHeight="1" x14ac:dyDescent="0.25">
      <c r="A46" s="46" t="s">
        <v>887</v>
      </c>
      <c r="B46" s="47" t="s">
        <v>888</v>
      </c>
      <c r="C46" s="47" t="s">
        <v>889</v>
      </c>
      <c r="D46" s="47" t="s">
        <v>175</v>
      </c>
      <c r="E46" s="47" t="s">
        <v>233</v>
      </c>
      <c r="F46" s="47" t="s">
        <v>128</v>
      </c>
      <c r="G46" s="47"/>
      <c r="H46" s="47" t="s">
        <v>890</v>
      </c>
      <c r="I46" s="47" t="s">
        <v>891</v>
      </c>
      <c r="J46" s="47" t="s">
        <v>90</v>
      </c>
      <c r="K46" s="47" t="s">
        <v>91</v>
      </c>
      <c r="L46" s="49">
        <v>44095</v>
      </c>
      <c r="M46" s="50">
        <f t="shared" ca="1" si="0"/>
        <v>5</v>
      </c>
      <c r="N46" s="50">
        <f t="shared" ca="1" si="1"/>
        <v>7</v>
      </c>
      <c r="O46" s="50">
        <f t="shared" ca="1" si="2"/>
        <v>1</v>
      </c>
      <c r="P46" s="51">
        <f t="shared" si="3"/>
        <v>52585</v>
      </c>
      <c r="Q46" s="48" t="s">
        <v>181</v>
      </c>
      <c r="R46" s="49">
        <v>44095</v>
      </c>
      <c r="S46" s="51">
        <f>R46+91-1</f>
        <v>44185</v>
      </c>
      <c r="T46" s="51">
        <f t="shared" si="19"/>
        <v>44186</v>
      </c>
      <c r="U46" s="51" t="s">
        <v>88</v>
      </c>
      <c r="V46" s="47" t="s">
        <v>90</v>
      </c>
      <c r="W46" s="47" t="s">
        <v>333</v>
      </c>
      <c r="X46" s="49">
        <v>32497</v>
      </c>
      <c r="Y46" s="50">
        <f t="shared" ca="1" si="4"/>
        <v>37</v>
      </c>
      <c r="Z46" s="50">
        <f t="shared" ca="1" si="5"/>
        <v>4</v>
      </c>
      <c r="AA46" s="50">
        <f t="shared" ca="1" si="6"/>
        <v>2</v>
      </c>
      <c r="AB46" s="48" t="s">
        <v>892</v>
      </c>
      <c r="AC46" s="70" t="s">
        <v>893</v>
      </c>
      <c r="AD46" s="70" t="s">
        <v>185</v>
      </c>
      <c r="AE46" s="47" t="s">
        <v>894</v>
      </c>
      <c r="AF46" s="47" t="s">
        <v>895</v>
      </c>
      <c r="AG46" s="47"/>
      <c r="AH46" s="47">
        <v>10</v>
      </c>
      <c r="AI46" s="47" t="s">
        <v>896</v>
      </c>
      <c r="AJ46" s="48" t="s">
        <v>897</v>
      </c>
      <c r="AK46" s="47" t="s">
        <v>898</v>
      </c>
      <c r="AL46" s="64" t="s">
        <v>244</v>
      </c>
      <c r="AM46" s="47" t="s">
        <v>898</v>
      </c>
      <c r="AN46" s="47"/>
      <c r="AO46" s="47" t="s">
        <v>159</v>
      </c>
      <c r="AP46" s="47" t="s">
        <v>101</v>
      </c>
      <c r="AQ46" s="48" t="s">
        <v>899</v>
      </c>
      <c r="AR46" s="48" t="s">
        <v>900</v>
      </c>
      <c r="AS46" s="47" t="s">
        <v>901</v>
      </c>
      <c r="AT46" s="47" t="s">
        <v>343</v>
      </c>
      <c r="AU46" s="47"/>
      <c r="AV46" s="48" t="s">
        <v>902</v>
      </c>
      <c r="AW46" s="47" t="s">
        <v>903</v>
      </c>
      <c r="AX46" s="48" t="s">
        <v>904</v>
      </c>
      <c r="AY46" s="60" t="s">
        <v>168</v>
      </c>
      <c r="AZ46" s="60" t="s">
        <v>168</v>
      </c>
      <c r="BA46" s="48" t="s">
        <v>905</v>
      </c>
      <c r="BB46" s="47" t="s">
        <v>889</v>
      </c>
      <c r="BC46" s="47" t="s">
        <v>906</v>
      </c>
      <c r="BD46" s="47" t="s">
        <v>907</v>
      </c>
      <c r="BE46" s="47" t="s">
        <v>86</v>
      </c>
      <c r="BF46" s="51">
        <v>31406</v>
      </c>
      <c r="BG46" s="57">
        <f t="shared" ca="1" si="7"/>
        <v>40</v>
      </c>
      <c r="BH46" s="57">
        <f t="shared" ca="1" si="8"/>
        <v>3</v>
      </c>
      <c r="BI46" s="57">
        <f t="shared" ca="1" si="9"/>
        <v>28</v>
      </c>
      <c r="BJ46" s="47" t="s">
        <v>908</v>
      </c>
      <c r="BK46" s="47" t="s">
        <v>175</v>
      </c>
      <c r="BL46" s="51">
        <v>42746</v>
      </c>
      <c r="BM46" s="57">
        <f t="shared" ca="1" si="10"/>
        <v>9</v>
      </c>
      <c r="BN46" s="57">
        <f t="shared" ca="1" si="11"/>
        <v>3</v>
      </c>
      <c r="BO46" s="57">
        <f t="shared" ca="1" si="12"/>
        <v>11</v>
      </c>
      <c r="BP46" s="47"/>
      <c r="BQ46" s="47"/>
      <c r="BR46" s="51"/>
      <c r="BS46" s="57">
        <f t="shared" ca="1" si="13"/>
        <v>126</v>
      </c>
      <c r="BT46" s="57">
        <f t="shared" ca="1" si="14"/>
        <v>3</v>
      </c>
      <c r="BU46" s="57">
        <f t="shared" ca="1" si="15"/>
        <v>22</v>
      </c>
      <c r="BV46" s="47"/>
      <c r="BW46" s="47"/>
      <c r="BX46" s="51"/>
      <c r="BY46" s="57">
        <f t="shared" ca="1" si="16"/>
        <v>126</v>
      </c>
      <c r="BZ46" s="57">
        <f t="shared" ca="1" si="17"/>
        <v>3</v>
      </c>
      <c r="CA46" s="57">
        <f t="shared" ca="1" si="18"/>
        <v>22</v>
      </c>
      <c r="CB46" s="73" t="s">
        <v>909</v>
      </c>
      <c r="CC46" s="58" t="s">
        <v>910</v>
      </c>
    </row>
    <row r="47" spans="1:81" ht="15" customHeight="1" x14ac:dyDescent="0.25">
      <c r="A47" s="46" t="s">
        <v>911</v>
      </c>
      <c r="B47" s="47" t="s">
        <v>912</v>
      </c>
      <c r="C47" s="47" t="s">
        <v>913</v>
      </c>
      <c r="D47" s="47" t="s">
        <v>86</v>
      </c>
      <c r="E47" s="47" t="s">
        <v>206</v>
      </c>
      <c r="F47" s="47" t="s">
        <v>177</v>
      </c>
      <c r="G47" s="47"/>
      <c r="H47" s="59" t="s">
        <v>178</v>
      </c>
      <c r="I47" s="47" t="s">
        <v>207</v>
      </c>
      <c r="J47" s="47" t="s">
        <v>701</v>
      </c>
      <c r="K47" s="47" t="s">
        <v>91</v>
      </c>
      <c r="L47" s="49">
        <v>44095</v>
      </c>
      <c r="M47" s="50">
        <f t="shared" ca="1" si="0"/>
        <v>5</v>
      </c>
      <c r="N47" s="50">
        <f t="shared" ca="1" si="1"/>
        <v>7</v>
      </c>
      <c r="O47" s="50">
        <f t="shared" ca="1" si="2"/>
        <v>1</v>
      </c>
      <c r="P47" s="51">
        <f t="shared" si="3"/>
        <v>48270</v>
      </c>
      <c r="Q47" s="48" t="s">
        <v>181</v>
      </c>
      <c r="R47" s="49">
        <v>44095</v>
      </c>
      <c r="S47" s="51">
        <f>R47+91-1</f>
        <v>44185</v>
      </c>
      <c r="T47" s="51">
        <f t="shared" si="19"/>
        <v>44186</v>
      </c>
      <c r="U47" s="51" t="s">
        <v>88</v>
      </c>
      <c r="V47" s="47" t="s">
        <v>90</v>
      </c>
      <c r="W47" s="47" t="s">
        <v>93</v>
      </c>
      <c r="X47" s="49">
        <v>28182</v>
      </c>
      <c r="Y47" s="50">
        <f t="shared" ca="1" si="4"/>
        <v>49</v>
      </c>
      <c r="Z47" s="50">
        <f t="shared" ca="1" si="5"/>
        <v>1</v>
      </c>
      <c r="AA47" s="50">
        <f t="shared" ca="1" si="6"/>
        <v>27</v>
      </c>
      <c r="AB47" s="48" t="s">
        <v>914</v>
      </c>
      <c r="AC47" s="53">
        <v>20092712890</v>
      </c>
      <c r="AD47" s="70" t="s">
        <v>185</v>
      </c>
      <c r="AE47" s="47" t="s">
        <v>915</v>
      </c>
      <c r="AF47" s="47" t="s">
        <v>486</v>
      </c>
      <c r="AG47" s="47"/>
      <c r="AH47" s="47">
        <v>19</v>
      </c>
      <c r="AI47" s="47" t="s">
        <v>916</v>
      </c>
      <c r="AJ47" s="48" t="s">
        <v>917</v>
      </c>
      <c r="AK47" s="47" t="s">
        <v>918</v>
      </c>
      <c r="AL47" s="64" t="s">
        <v>244</v>
      </c>
      <c r="AM47" s="47" t="s">
        <v>918</v>
      </c>
      <c r="AN47" s="47"/>
      <c r="AO47" s="47" t="s">
        <v>685</v>
      </c>
      <c r="AP47" s="47" t="s">
        <v>101</v>
      </c>
      <c r="AQ47" s="48" t="s">
        <v>919</v>
      </c>
      <c r="AR47" s="48" t="s">
        <v>920</v>
      </c>
      <c r="AS47" s="77" t="s">
        <v>163</v>
      </c>
      <c r="AT47" s="47" t="s">
        <v>343</v>
      </c>
      <c r="AU47" s="47"/>
      <c r="AV47" s="48" t="s">
        <v>921</v>
      </c>
      <c r="AW47" s="47" t="s">
        <v>922</v>
      </c>
      <c r="AX47" s="48" t="s">
        <v>923</v>
      </c>
      <c r="AY47" s="60" t="s">
        <v>168</v>
      </c>
      <c r="AZ47" s="60" t="s">
        <v>168</v>
      </c>
      <c r="BA47" s="48" t="s">
        <v>924</v>
      </c>
      <c r="BB47" s="47" t="s">
        <v>913</v>
      </c>
      <c r="BC47" s="47" t="s">
        <v>925</v>
      </c>
      <c r="BD47" s="47" t="s">
        <v>926</v>
      </c>
      <c r="BE47" s="47" t="s">
        <v>175</v>
      </c>
      <c r="BF47" s="51">
        <v>31031</v>
      </c>
      <c r="BG47" s="57">
        <f t="shared" ca="1" si="7"/>
        <v>41</v>
      </c>
      <c r="BH47" s="57">
        <f t="shared" ca="1" si="8"/>
        <v>4</v>
      </c>
      <c r="BI47" s="57">
        <f t="shared" ca="1" si="9"/>
        <v>7</v>
      </c>
      <c r="BJ47" s="47" t="s">
        <v>927</v>
      </c>
      <c r="BK47" s="47" t="s">
        <v>86</v>
      </c>
      <c r="BL47" s="51">
        <v>38479</v>
      </c>
      <c r="BM47" s="57">
        <f t="shared" ca="1" si="10"/>
        <v>20</v>
      </c>
      <c r="BN47" s="57">
        <f t="shared" ca="1" si="11"/>
        <v>11</v>
      </c>
      <c r="BO47" s="57">
        <f t="shared" ca="1" si="12"/>
        <v>15</v>
      </c>
      <c r="BP47" s="47" t="s">
        <v>928</v>
      </c>
      <c r="BQ47" s="47" t="s">
        <v>86</v>
      </c>
      <c r="BR47" s="51">
        <v>40723</v>
      </c>
      <c r="BS47" s="57">
        <f t="shared" ca="1" si="13"/>
        <v>14</v>
      </c>
      <c r="BT47" s="57">
        <f t="shared" ca="1" si="14"/>
        <v>9</v>
      </c>
      <c r="BU47" s="57">
        <f t="shared" ca="1" si="15"/>
        <v>24</v>
      </c>
      <c r="BV47" s="47" t="s">
        <v>929</v>
      </c>
      <c r="BW47" s="47" t="s">
        <v>175</v>
      </c>
      <c r="BX47" s="51">
        <v>41353</v>
      </c>
      <c r="BY47" s="57">
        <f t="shared" ca="1" si="16"/>
        <v>13</v>
      </c>
      <c r="BZ47" s="57">
        <f t="shared" ca="1" si="17"/>
        <v>1</v>
      </c>
      <c r="CA47" s="57">
        <f t="shared" ca="1" si="18"/>
        <v>2</v>
      </c>
      <c r="CB47" s="73" t="s">
        <v>930</v>
      </c>
      <c r="CC47" s="58" t="s">
        <v>931</v>
      </c>
    </row>
    <row r="48" spans="1:81" ht="15" customHeight="1" x14ac:dyDescent="0.25">
      <c r="A48" s="46" t="s">
        <v>932</v>
      </c>
      <c r="B48" s="47" t="s">
        <v>933</v>
      </c>
      <c r="C48" s="47" t="s">
        <v>934</v>
      </c>
      <c r="D48" s="47" t="s">
        <v>86</v>
      </c>
      <c r="E48" s="47" t="s">
        <v>176</v>
      </c>
      <c r="F48" s="47" t="s">
        <v>328</v>
      </c>
      <c r="G48" s="47" t="s">
        <v>329</v>
      </c>
      <c r="H48" s="59" t="s">
        <v>330</v>
      </c>
      <c r="I48" s="47" t="s">
        <v>935</v>
      </c>
      <c r="J48" s="47" t="s">
        <v>110</v>
      </c>
      <c r="K48" s="47" t="s">
        <v>91</v>
      </c>
      <c r="L48" s="49">
        <v>44137</v>
      </c>
      <c r="M48" s="50">
        <f t="shared" ca="1" si="0"/>
        <v>5</v>
      </c>
      <c r="N48" s="50">
        <f t="shared" ca="1" si="1"/>
        <v>5</v>
      </c>
      <c r="O48" s="50">
        <f t="shared" ca="1" si="2"/>
        <v>20</v>
      </c>
      <c r="P48" s="51">
        <f t="shared" si="3"/>
        <v>55684</v>
      </c>
      <c r="Q48" s="48" t="s">
        <v>804</v>
      </c>
      <c r="R48" s="49">
        <v>44137</v>
      </c>
      <c r="S48" s="51">
        <f>R48+364</f>
        <v>44501</v>
      </c>
      <c r="T48" s="51">
        <f t="shared" si="19"/>
        <v>44502</v>
      </c>
      <c r="U48" s="51" t="s">
        <v>88</v>
      </c>
      <c r="V48" s="47" t="s">
        <v>90</v>
      </c>
      <c r="W48" s="47" t="s">
        <v>284</v>
      </c>
      <c r="X48" s="49">
        <v>35595</v>
      </c>
      <c r="Y48" s="50">
        <f t="shared" ca="1" si="4"/>
        <v>28</v>
      </c>
      <c r="Z48" s="50">
        <f t="shared" ca="1" si="5"/>
        <v>10</v>
      </c>
      <c r="AA48" s="50">
        <f t="shared" ca="1" si="6"/>
        <v>8</v>
      </c>
      <c r="AB48" s="48" t="s">
        <v>936</v>
      </c>
      <c r="AC48" s="70" t="s">
        <v>937</v>
      </c>
      <c r="AD48" s="70" t="s">
        <v>185</v>
      </c>
      <c r="AE48" s="47" t="s">
        <v>938</v>
      </c>
      <c r="AF48" s="47" t="s">
        <v>554</v>
      </c>
      <c r="AG48" s="47"/>
      <c r="AH48" s="47">
        <v>0</v>
      </c>
      <c r="AI48" s="48" t="s">
        <v>88</v>
      </c>
      <c r="AJ48" s="48" t="s">
        <v>939</v>
      </c>
      <c r="AK48" s="47" t="s">
        <v>940</v>
      </c>
      <c r="AL48" s="64" t="s">
        <v>244</v>
      </c>
      <c r="AM48" s="47" t="s">
        <v>940</v>
      </c>
      <c r="AN48" s="47"/>
      <c r="AO48" s="47" t="s">
        <v>159</v>
      </c>
      <c r="AP48" s="47" t="s">
        <v>641</v>
      </c>
      <c r="AQ48" s="48" t="s">
        <v>941</v>
      </c>
      <c r="AR48" s="48" t="s">
        <v>942</v>
      </c>
      <c r="AS48" s="77" t="s">
        <v>163</v>
      </c>
      <c r="AT48" s="47" t="s">
        <v>194</v>
      </c>
      <c r="AU48" s="47"/>
      <c r="AV48" s="48" t="s">
        <v>943</v>
      </c>
      <c r="AW48" s="48" t="s">
        <v>944</v>
      </c>
      <c r="AX48" s="48" t="s">
        <v>945</v>
      </c>
      <c r="AY48" s="47" t="s">
        <v>168</v>
      </c>
      <c r="AZ48" s="47" t="s">
        <v>168</v>
      </c>
      <c r="BA48" s="48" t="s">
        <v>946</v>
      </c>
      <c r="BB48" s="47" t="s">
        <v>934</v>
      </c>
      <c r="BC48" s="47" t="s">
        <v>947</v>
      </c>
      <c r="BD48" s="47"/>
      <c r="BE48" s="47"/>
      <c r="BF48" s="51"/>
      <c r="BG48" s="57">
        <f t="shared" ca="1" si="7"/>
        <v>126</v>
      </c>
      <c r="BH48" s="57">
        <f t="shared" ca="1" si="8"/>
        <v>3</v>
      </c>
      <c r="BI48" s="57">
        <f t="shared" ca="1" si="9"/>
        <v>22</v>
      </c>
      <c r="BJ48" s="47"/>
      <c r="BK48" s="47"/>
      <c r="BL48" s="51"/>
      <c r="BM48" s="57">
        <f t="shared" ca="1" si="10"/>
        <v>126</v>
      </c>
      <c r="BN48" s="57">
        <f t="shared" ca="1" si="11"/>
        <v>3</v>
      </c>
      <c r="BO48" s="57">
        <f t="shared" ca="1" si="12"/>
        <v>22</v>
      </c>
      <c r="BP48" s="47"/>
      <c r="BQ48" s="47"/>
      <c r="BR48" s="51"/>
      <c r="BS48" s="57">
        <f t="shared" ca="1" si="13"/>
        <v>126</v>
      </c>
      <c r="BT48" s="57">
        <f t="shared" ca="1" si="14"/>
        <v>3</v>
      </c>
      <c r="BU48" s="57">
        <f t="shared" ca="1" si="15"/>
        <v>22</v>
      </c>
      <c r="BV48" s="47"/>
      <c r="BW48" s="47"/>
      <c r="BX48" s="51"/>
      <c r="BY48" s="57">
        <f t="shared" ca="1" si="16"/>
        <v>126</v>
      </c>
      <c r="BZ48" s="57">
        <f t="shared" ca="1" si="17"/>
        <v>3</v>
      </c>
      <c r="CA48" s="57">
        <f t="shared" ca="1" si="18"/>
        <v>22</v>
      </c>
      <c r="CB48" s="73" t="s">
        <v>948</v>
      </c>
      <c r="CC48" s="58" t="s">
        <v>949</v>
      </c>
    </row>
    <row r="49" spans="1:81" ht="15" customHeight="1" x14ac:dyDescent="0.25">
      <c r="A49" s="46" t="s">
        <v>950</v>
      </c>
      <c r="B49" s="47" t="s">
        <v>951</v>
      </c>
      <c r="C49" s="47" t="s">
        <v>952</v>
      </c>
      <c r="D49" s="47" t="s">
        <v>175</v>
      </c>
      <c r="E49" s="59" t="s">
        <v>176</v>
      </c>
      <c r="F49" s="47" t="s">
        <v>177</v>
      </c>
      <c r="G49" s="47"/>
      <c r="H49" s="59" t="s">
        <v>178</v>
      </c>
      <c r="I49" s="47" t="s">
        <v>179</v>
      </c>
      <c r="J49" s="47" t="s">
        <v>654</v>
      </c>
      <c r="K49" s="47" t="s">
        <v>91</v>
      </c>
      <c r="L49" s="49">
        <v>44148</v>
      </c>
      <c r="M49" s="50">
        <f t="shared" ca="1" si="0"/>
        <v>5</v>
      </c>
      <c r="N49" s="50">
        <f t="shared" ca="1" si="1"/>
        <v>5</v>
      </c>
      <c r="O49" s="50">
        <f t="shared" ca="1" si="2"/>
        <v>9</v>
      </c>
      <c r="P49" s="51">
        <f t="shared" si="3"/>
        <v>50821</v>
      </c>
      <c r="Q49" s="48" t="s">
        <v>181</v>
      </c>
      <c r="R49" s="49">
        <f>L49</f>
        <v>44148</v>
      </c>
      <c r="S49" s="51">
        <f>R49+91</f>
        <v>44239</v>
      </c>
      <c r="T49" s="51">
        <f t="shared" si="19"/>
        <v>44240</v>
      </c>
      <c r="U49" s="51" t="s">
        <v>88</v>
      </c>
      <c r="V49" s="47" t="s">
        <v>654</v>
      </c>
      <c r="W49" s="47" t="s">
        <v>93</v>
      </c>
      <c r="X49" s="49">
        <v>30732</v>
      </c>
      <c r="Y49" s="50">
        <f t="shared" ca="1" si="4"/>
        <v>42</v>
      </c>
      <c r="Z49" s="50">
        <f t="shared" ca="1" si="5"/>
        <v>2</v>
      </c>
      <c r="AA49" s="50">
        <f t="shared" ca="1" si="6"/>
        <v>2</v>
      </c>
      <c r="AB49" s="48" t="s">
        <v>953</v>
      </c>
      <c r="AC49" s="70" t="s">
        <v>954</v>
      </c>
      <c r="AD49" s="70" t="s">
        <v>185</v>
      </c>
      <c r="AE49" s="47" t="s">
        <v>955</v>
      </c>
      <c r="AF49" s="47" t="s">
        <v>956</v>
      </c>
      <c r="AG49" s="47"/>
      <c r="AH49" s="47">
        <v>8</v>
      </c>
      <c r="AI49" s="48" t="s">
        <v>957</v>
      </c>
      <c r="AJ49" s="48" t="s">
        <v>958</v>
      </c>
      <c r="AK49" s="47" t="s">
        <v>959</v>
      </c>
      <c r="AL49" s="64" t="s">
        <v>244</v>
      </c>
      <c r="AM49" s="47" t="str">
        <f>AK49</f>
        <v>Jl. Kom Yossudarso Gg. Tengkawang no 5A Sungai Beliung, Pontianak, Kalimantan Barat</v>
      </c>
      <c r="AN49" s="47"/>
      <c r="AO49" s="47" t="s">
        <v>159</v>
      </c>
      <c r="AP49" s="47" t="s">
        <v>101</v>
      </c>
      <c r="AQ49" s="48" t="s">
        <v>960</v>
      </c>
      <c r="AR49" s="48" t="s">
        <v>961</v>
      </c>
      <c r="AS49" s="77" t="s">
        <v>163</v>
      </c>
      <c r="AT49" s="47" t="s">
        <v>194</v>
      </c>
      <c r="AU49" s="47"/>
      <c r="AV49" s="48" t="s">
        <v>962</v>
      </c>
      <c r="AW49" s="48" t="s">
        <v>963</v>
      </c>
      <c r="AX49" s="48" t="s">
        <v>964</v>
      </c>
      <c r="AY49" s="47" t="s">
        <v>168</v>
      </c>
      <c r="AZ49" s="47" t="s">
        <v>168</v>
      </c>
      <c r="BA49" s="48" t="s">
        <v>965</v>
      </c>
      <c r="BB49" s="47" t="s">
        <v>952</v>
      </c>
      <c r="BC49" s="47" t="s">
        <v>966</v>
      </c>
      <c r="BD49" s="47" t="s">
        <v>967</v>
      </c>
      <c r="BE49" s="47" t="s">
        <v>86</v>
      </c>
      <c r="BF49" s="51">
        <v>29668</v>
      </c>
      <c r="BG49" s="57">
        <f t="shared" ca="1" si="7"/>
        <v>45</v>
      </c>
      <c r="BH49" s="57">
        <f t="shared" ca="1" si="8"/>
        <v>0</v>
      </c>
      <c r="BI49" s="57">
        <f t="shared" ca="1" si="9"/>
        <v>30</v>
      </c>
      <c r="BJ49" s="47" t="s">
        <v>968</v>
      </c>
      <c r="BK49" s="47" t="s">
        <v>86</v>
      </c>
      <c r="BL49" s="51">
        <v>37927</v>
      </c>
      <c r="BM49" s="57">
        <f t="shared" ca="1" si="10"/>
        <v>22</v>
      </c>
      <c r="BN49" s="57">
        <f t="shared" ca="1" si="11"/>
        <v>5</v>
      </c>
      <c r="BO49" s="57">
        <f t="shared" ca="1" si="12"/>
        <v>20</v>
      </c>
      <c r="BP49" s="47" t="s">
        <v>969</v>
      </c>
      <c r="BQ49" s="47" t="s">
        <v>175</v>
      </c>
      <c r="BR49" s="51">
        <v>41074</v>
      </c>
      <c r="BS49" s="57">
        <f t="shared" ca="1" si="13"/>
        <v>13</v>
      </c>
      <c r="BT49" s="57">
        <f t="shared" ca="1" si="14"/>
        <v>10</v>
      </c>
      <c r="BU49" s="57">
        <f t="shared" ca="1" si="15"/>
        <v>8</v>
      </c>
      <c r="BV49" s="47" t="s">
        <v>970</v>
      </c>
      <c r="BW49" s="47" t="s">
        <v>86</v>
      </c>
      <c r="BX49" s="51">
        <v>37927</v>
      </c>
      <c r="BY49" s="57">
        <f t="shared" ca="1" si="16"/>
        <v>22</v>
      </c>
      <c r="BZ49" s="57">
        <f t="shared" ca="1" si="17"/>
        <v>5</v>
      </c>
      <c r="CA49" s="57">
        <f t="shared" ca="1" si="18"/>
        <v>20</v>
      </c>
      <c r="CB49" s="73" t="s">
        <v>971</v>
      </c>
      <c r="CC49" s="58" t="s">
        <v>972</v>
      </c>
    </row>
    <row r="50" spans="1:81" ht="15" customHeight="1" x14ac:dyDescent="0.25">
      <c r="A50" s="46" t="s">
        <v>973</v>
      </c>
      <c r="B50" s="47" t="s">
        <v>974</v>
      </c>
      <c r="C50" s="47" t="s">
        <v>975</v>
      </c>
      <c r="D50" s="47" t="s">
        <v>175</v>
      </c>
      <c r="E50" s="59" t="s">
        <v>176</v>
      </c>
      <c r="F50" s="47" t="s">
        <v>128</v>
      </c>
      <c r="G50" s="47"/>
      <c r="H50" s="47" t="s">
        <v>890</v>
      </c>
      <c r="I50" s="47" t="s">
        <v>976</v>
      </c>
      <c r="J50" s="47" t="s">
        <v>90</v>
      </c>
      <c r="K50" s="47" t="s">
        <v>91</v>
      </c>
      <c r="L50" s="51">
        <v>44354</v>
      </c>
      <c r="M50" s="50">
        <f t="shared" ca="1" si="0"/>
        <v>4</v>
      </c>
      <c r="N50" s="50">
        <f t="shared" ca="1" si="1"/>
        <v>10</v>
      </c>
      <c r="O50" s="50">
        <f t="shared" ca="1" si="2"/>
        <v>15</v>
      </c>
      <c r="P50" s="51">
        <f t="shared" si="3"/>
        <v>55860</v>
      </c>
      <c r="Q50" s="48" t="s">
        <v>181</v>
      </c>
      <c r="R50" s="51">
        <v>44354</v>
      </c>
      <c r="S50" s="51">
        <f>R50+(90-2)</f>
        <v>44442</v>
      </c>
      <c r="T50" s="51">
        <f t="shared" si="19"/>
        <v>44443</v>
      </c>
      <c r="U50" s="51" t="s">
        <v>88</v>
      </c>
      <c r="V50" s="47" t="s">
        <v>977</v>
      </c>
      <c r="W50" s="47" t="s">
        <v>333</v>
      </c>
      <c r="X50" s="51">
        <v>35771</v>
      </c>
      <c r="Y50" s="50">
        <f t="shared" ca="1" si="4"/>
        <v>28</v>
      </c>
      <c r="Z50" s="50">
        <f t="shared" ca="1" si="5"/>
        <v>4</v>
      </c>
      <c r="AA50" s="50">
        <f t="shared" ca="1" si="6"/>
        <v>15</v>
      </c>
      <c r="AB50" s="48" t="s">
        <v>978</v>
      </c>
      <c r="AC50" s="70" t="s">
        <v>979</v>
      </c>
      <c r="AD50" s="70" t="s">
        <v>185</v>
      </c>
      <c r="AE50" s="47" t="s">
        <v>980</v>
      </c>
      <c r="AF50" s="47" t="s">
        <v>312</v>
      </c>
      <c r="AG50" s="47"/>
      <c r="AH50" s="47">
        <v>0</v>
      </c>
      <c r="AI50" s="47" t="s">
        <v>981</v>
      </c>
      <c r="AJ50" s="48" t="s">
        <v>982</v>
      </c>
      <c r="AK50" s="47" t="s">
        <v>983</v>
      </c>
      <c r="AL50" s="64" t="s">
        <v>244</v>
      </c>
      <c r="AM50" s="47" t="s">
        <v>984</v>
      </c>
      <c r="AN50" s="47"/>
      <c r="AO50" s="47" t="s">
        <v>159</v>
      </c>
      <c r="AP50" s="47" t="s">
        <v>641</v>
      </c>
      <c r="AQ50" s="48" t="s">
        <v>985</v>
      </c>
      <c r="AR50" s="48" t="s">
        <v>986</v>
      </c>
      <c r="AS50" s="47" t="s">
        <v>513</v>
      </c>
      <c r="AT50" s="47" t="s">
        <v>164</v>
      </c>
      <c r="AU50" s="47"/>
      <c r="AV50" s="48" t="s">
        <v>987</v>
      </c>
      <c r="AW50" s="48" t="s">
        <v>88</v>
      </c>
      <c r="AX50" s="48" t="s">
        <v>988</v>
      </c>
      <c r="AY50" s="48" t="s">
        <v>168</v>
      </c>
      <c r="AZ50" s="47" t="s">
        <v>168</v>
      </c>
      <c r="BA50" s="48" t="s">
        <v>989</v>
      </c>
      <c r="BB50" s="47" t="s">
        <v>975</v>
      </c>
      <c r="BC50" s="47" t="s">
        <v>990</v>
      </c>
      <c r="BD50" s="47"/>
      <c r="BE50" s="47"/>
      <c r="BF50" s="51"/>
      <c r="BG50" s="57">
        <f t="shared" ca="1" si="7"/>
        <v>126</v>
      </c>
      <c r="BH50" s="57">
        <f t="shared" ca="1" si="8"/>
        <v>3</v>
      </c>
      <c r="BI50" s="57">
        <f t="shared" ca="1" si="9"/>
        <v>22</v>
      </c>
      <c r="BJ50" s="47"/>
      <c r="BK50" s="47"/>
      <c r="BL50" s="51"/>
      <c r="BM50" s="57">
        <f t="shared" ca="1" si="10"/>
        <v>126</v>
      </c>
      <c r="BN50" s="57">
        <f t="shared" ca="1" si="11"/>
        <v>3</v>
      </c>
      <c r="BO50" s="57">
        <f t="shared" ca="1" si="12"/>
        <v>22</v>
      </c>
      <c r="BP50" s="47"/>
      <c r="BQ50" s="47"/>
      <c r="BR50" s="51"/>
      <c r="BS50" s="57">
        <f t="shared" ca="1" si="13"/>
        <v>126</v>
      </c>
      <c r="BT50" s="57">
        <f t="shared" ca="1" si="14"/>
        <v>3</v>
      </c>
      <c r="BU50" s="57">
        <f t="shared" ca="1" si="15"/>
        <v>22</v>
      </c>
      <c r="BV50" s="47"/>
      <c r="BW50" s="47"/>
      <c r="BX50" s="51"/>
      <c r="BY50" s="57">
        <f t="shared" ca="1" si="16"/>
        <v>126</v>
      </c>
      <c r="BZ50" s="57">
        <f t="shared" ca="1" si="17"/>
        <v>3</v>
      </c>
      <c r="CA50" s="57">
        <f t="shared" ca="1" si="18"/>
        <v>22</v>
      </c>
      <c r="CB50" s="73" t="s">
        <v>991</v>
      </c>
      <c r="CC50" s="58" t="s">
        <v>992</v>
      </c>
    </row>
    <row r="51" spans="1:81" ht="15" customHeight="1" x14ac:dyDescent="0.25">
      <c r="A51" s="46" t="s">
        <v>993</v>
      </c>
      <c r="B51" s="47" t="s">
        <v>994</v>
      </c>
      <c r="C51" s="47" t="s">
        <v>995</v>
      </c>
      <c r="D51" s="47" t="s">
        <v>86</v>
      </c>
      <c r="E51" s="59" t="s">
        <v>206</v>
      </c>
      <c r="F51" s="47" t="s">
        <v>177</v>
      </c>
      <c r="G51" s="47"/>
      <c r="H51" s="59" t="s">
        <v>178</v>
      </c>
      <c r="I51" s="47" t="s">
        <v>207</v>
      </c>
      <c r="J51" s="47" t="s">
        <v>459</v>
      </c>
      <c r="K51" s="47" t="s">
        <v>91</v>
      </c>
      <c r="L51" s="51">
        <v>44378</v>
      </c>
      <c r="M51" s="50">
        <f t="shared" ca="1" si="0"/>
        <v>4</v>
      </c>
      <c r="N51" s="50">
        <f t="shared" ca="1" si="1"/>
        <v>9</v>
      </c>
      <c r="O51" s="50">
        <f t="shared" ca="1" si="2"/>
        <v>21</v>
      </c>
      <c r="P51" s="51">
        <f t="shared" si="3"/>
        <v>50156</v>
      </c>
      <c r="Q51" s="47" t="s">
        <v>181</v>
      </c>
      <c r="R51" s="51">
        <v>44378</v>
      </c>
      <c r="S51" s="51">
        <f>R51+(90-2)</f>
        <v>44466</v>
      </c>
      <c r="T51" s="51">
        <f t="shared" si="19"/>
        <v>44467</v>
      </c>
      <c r="U51" s="51" t="s">
        <v>88</v>
      </c>
      <c r="V51" s="47" t="s">
        <v>996</v>
      </c>
      <c r="W51" s="47" t="s">
        <v>419</v>
      </c>
      <c r="X51" s="51">
        <v>30067</v>
      </c>
      <c r="Y51" s="50">
        <f t="shared" ca="1" si="4"/>
        <v>43</v>
      </c>
      <c r="Z51" s="50">
        <f t="shared" ca="1" si="5"/>
        <v>11</v>
      </c>
      <c r="AA51" s="50">
        <f t="shared" ca="1" si="6"/>
        <v>27</v>
      </c>
      <c r="AB51" s="48" t="s">
        <v>997</v>
      </c>
      <c r="AC51" s="70" t="s">
        <v>998</v>
      </c>
      <c r="AD51" s="63" t="s">
        <v>152</v>
      </c>
      <c r="AE51" s="47" t="s">
        <v>999</v>
      </c>
      <c r="AF51" s="47" t="s">
        <v>1000</v>
      </c>
      <c r="AG51" s="47"/>
      <c r="AH51" s="47">
        <v>13</v>
      </c>
      <c r="AI51" s="47" t="s">
        <v>1001</v>
      </c>
      <c r="AJ51" s="47" t="s">
        <v>1002</v>
      </c>
      <c r="AK51" s="47" t="s">
        <v>1003</v>
      </c>
      <c r="AL51" s="64" t="s">
        <v>244</v>
      </c>
      <c r="AM51" s="47" t="s">
        <v>1003</v>
      </c>
      <c r="AN51" s="47"/>
      <c r="AO51" s="47" t="s">
        <v>100</v>
      </c>
      <c r="AP51" s="47" t="s">
        <v>101</v>
      </c>
      <c r="AQ51" s="47" t="s">
        <v>1004</v>
      </c>
      <c r="AR51" s="48" t="s">
        <v>1005</v>
      </c>
      <c r="AS51" s="47" t="s">
        <v>163</v>
      </c>
      <c r="AT51" s="47" t="s">
        <v>194</v>
      </c>
      <c r="AU51" s="47"/>
      <c r="AV51" s="47" t="s">
        <v>1006</v>
      </c>
      <c r="AW51" s="47" t="s">
        <v>1007</v>
      </c>
      <c r="AX51" s="48" t="s">
        <v>1008</v>
      </c>
      <c r="AY51" s="47" t="s">
        <v>168</v>
      </c>
      <c r="AZ51" s="47" t="s">
        <v>168</v>
      </c>
      <c r="BA51" s="48" t="s">
        <v>1009</v>
      </c>
      <c r="BB51" s="47" t="s">
        <v>995</v>
      </c>
      <c r="BC51" s="47" t="s">
        <v>1010</v>
      </c>
      <c r="BD51" s="47" t="s">
        <v>1011</v>
      </c>
      <c r="BE51" s="47" t="s">
        <v>175</v>
      </c>
      <c r="BF51" s="51">
        <v>30997</v>
      </c>
      <c r="BG51" s="57">
        <f t="shared" ca="1" si="7"/>
        <v>41</v>
      </c>
      <c r="BH51" s="57">
        <f t="shared" ca="1" si="8"/>
        <v>5</v>
      </c>
      <c r="BI51" s="57">
        <f t="shared" ca="1" si="9"/>
        <v>11</v>
      </c>
      <c r="BJ51" s="47" t="s">
        <v>1012</v>
      </c>
      <c r="BK51" s="47" t="s">
        <v>175</v>
      </c>
      <c r="BL51" s="51">
        <v>39139</v>
      </c>
      <c r="BM51" s="57">
        <f t="shared" ca="1" si="10"/>
        <v>19</v>
      </c>
      <c r="BN51" s="57">
        <f t="shared" ca="1" si="11"/>
        <v>1</v>
      </c>
      <c r="BO51" s="57">
        <f t="shared" ca="1" si="12"/>
        <v>27</v>
      </c>
      <c r="BP51" s="47" t="s">
        <v>1013</v>
      </c>
      <c r="BQ51" s="47" t="s">
        <v>175</v>
      </c>
      <c r="BR51" s="51">
        <v>41846</v>
      </c>
      <c r="BS51" s="57">
        <f t="shared" ca="1" si="13"/>
        <v>11</v>
      </c>
      <c r="BT51" s="57">
        <f t="shared" ca="1" si="14"/>
        <v>8</v>
      </c>
      <c r="BU51" s="57">
        <f t="shared" ca="1" si="15"/>
        <v>27</v>
      </c>
      <c r="BV51" s="47"/>
      <c r="BW51" s="47"/>
      <c r="BX51" s="51"/>
      <c r="BY51" s="57">
        <f t="shared" ca="1" si="16"/>
        <v>126</v>
      </c>
      <c r="BZ51" s="57">
        <f t="shared" ca="1" si="17"/>
        <v>3</v>
      </c>
      <c r="CA51" s="57">
        <f t="shared" ca="1" si="18"/>
        <v>22</v>
      </c>
      <c r="CB51" s="73" t="s">
        <v>1014</v>
      </c>
      <c r="CC51" s="58" t="s">
        <v>1015</v>
      </c>
    </row>
    <row r="52" spans="1:81" ht="15" customHeight="1" x14ac:dyDescent="0.25">
      <c r="A52" s="46" t="s">
        <v>1016</v>
      </c>
      <c r="B52" s="47" t="s">
        <v>1017</v>
      </c>
      <c r="C52" s="47" t="s">
        <v>1018</v>
      </c>
      <c r="D52" s="47" t="s">
        <v>175</v>
      </c>
      <c r="E52" s="47" t="s">
        <v>353</v>
      </c>
      <c r="F52" s="47" t="s">
        <v>328</v>
      </c>
      <c r="G52" s="47" t="s">
        <v>398</v>
      </c>
      <c r="H52" s="47" t="s">
        <v>399</v>
      </c>
      <c r="I52" s="47" t="s">
        <v>400</v>
      </c>
      <c r="J52" s="47" t="s">
        <v>110</v>
      </c>
      <c r="K52" s="47" t="s">
        <v>91</v>
      </c>
      <c r="L52" s="51">
        <v>44438</v>
      </c>
      <c r="M52" s="50">
        <f t="shared" ca="1" si="0"/>
        <v>4</v>
      </c>
      <c r="N52" s="50">
        <f t="shared" ca="1" si="1"/>
        <v>7</v>
      </c>
      <c r="O52" s="50">
        <f t="shared" ca="1" si="2"/>
        <v>23</v>
      </c>
      <c r="P52" s="51">
        <f t="shared" si="3"/>
        <v>55248</v>
      </c>
      <c r="Q52" s="47" t="s">
        <v>804</v>
      </c>
      <c r="R52" s="51">
        <v>44438</v>
      </c>
      <c r="S52" s="51">
        <f>R52+(365-1)</f>
        <v>44802</v>
      </c>
      <c r="T52" s="51">
        <f t="shared" si="19"/>
        <v>44803</v>
      </c>
      <c r="U52" s="51" t="s">
        <v>88</v>
      </c>
      <c r="V52" s="47" t="s">
        <v>90</v>
      </c>
      <c r="W52" s="47" t="s">
        <v>419</v>
      </c>
      <c r="X52" s="49">
        <v>35160</v>
      </c>
      <c r="Y52" s="50">
        <f t="shared" ca="1" si="4"/>
        <v>30</v>
      </c>
      <c r="Z52" s="50">
        <f t="shared" ca="1" si="5"/>
        <v>0</v>
      </c>
      <c r="AA52" s="50">
        <f t="shared" ca="1" si="6"/>
        <v>17</v>
      </c>
      <c r="AB52" s="48" t="s">
        <v>1019</v>
      </c>
      <c r="AC52" s="70" t="s">
        <v>1020</v>
      </c>
      <c r="AD52" s="70" t="s">
        <v>185</v>
      </c>
      <c r="AE52" s="47" t="s">
        <v>1021</v>
      </c>
      <c r="AF52" s="47" t="s">
        <v>1022</v>
      </c>
      <c r="AG52" s="47"/>
      <c r="AH52" s="47">
        <v>6</v>
      </c>
      <c r="AI52" s="47" t="s">
        <v>1023</v>
      </c>
      <c r="AJ52" s="48" t="s">
        <v>1024</v>
      </c>
      <c r="AK52" s="47" t="s">
        <v>1025</v>
      </c>
      <c r="AL52" s="64" t="s">
        <v>244</v>
      </c>
      <c r="AM52" s="47" t="str">
        <f>AK52</f>
        <v>Jl. Bintara 14, rt 03 rw 04 no 70, Kel. Bintara, Kec. Bekasi Barat, Kota Bekasi Jawa Barat</v>
      </c>
      <c r="AN52" s="47"/>
      <c r="AO52" s="47" t="s">
        <v>159</v>
      </c>
      <c r="AP52" s="47" t="s">
        <v>641</v>
      </c>
      <c r="AQ52" s="48" t="s">
        <v>1026</v>
      </c>
      <c r="AR52" s="48" t="s">
        <v>1027</v>
      </c>
      <c r="AS52" s="47" t="s">
        <v>163</v>
      </c>
      <c r="AT52" s="47" t="s">
        <v>194</v>
      </c>
      <c r="AU52" s="47"/>
      <c r="AV52" s="47" t="s">
        <v>1028</v>
      </c>
      <c r="AW52" s="47" t="s">
        <v>1029</v>
      </c>
      <c r="AX52" s="48" t="s">
        <v>1030</v>
      </c>
      <c r="AY52" s="47" t="s">
        <v>168</v>
      </c>
      <c r="AZ52" s="47" t="s">
        <v>168</v>
      </c>
      <c r="BA52" s="48" t="s">
        <v>1031</v>
      </c>
      <c r="BB52" s="47" t="s">
        <v>1018</v>
      </c>
      <c r="BC52" s="47" t="s">
        <v>1032</v>
      </c>
      <c r="BD52" s="47"/>
      <c r="BE52" s="47"/>
      <c r="BF52" s="51"/>
      <c r="BG52" s="57">
        <f t="shared" ca="1" si="7"/>
        <v>126</v>
      </c>
      <c r="BH52" s="57">
        <f t="shared" ca="1" si="8"/>
        <v>3</v>
      </c>
      <c r="BI52" s="57">
        <f t="shared" ca="1" si="9"/>
        <v>22</v>
      </c>
      <c r="BJ52" s="47"/>
      <c r="BK52" s="47"/>
      <c r="BL52" s="51"/>
      <c r="BM52" s="57">
        <f t="shared" ca="1" si="10"/>
        <v>126</v>
      </c>
      <c r="BN52" s="57">
        <f t="shared" ca="1" si="11"/>
        <v>3</v>
      </c>
      <c r="BO52" s="57">
        <f t="shared" ca="1" si="12"/>
        <v>22</v>
      </c>
      <c r="BP52" s="47"/>
      <c r="BQ52" s="47"/>
      <c r="BR52" s="51"/>
      <c r="BS52" s="57">
        <f t="shared" ca="1" si="13"/>
        <v>126</v>
      </c>
      <c r="BT52" s="57">
        <f t="shared" ca="1" si="14"/>
        <v>3</v>
      </c>
      <c r="BU52" s="57">
        <f t="shared" ca="1" si="15"/>
        <v>22</v>
      </c>
      <c r="BV52" s="47"/>
      <c r="BW52" s="47"/>
      <c r="BX52" s="51"/>
      <c r="BY52" s="57">
        <f t="shared" ca="1" si="16"/>
        <v>126</v>
      </c>
      <c r="BZ52" s="57">
        <f t="shared" ca="1" si="17"/>
        <v>3</v>
      </c>
      <c r="CA52" s="57">
        <f t="shared" ca="1" si="18"/>
        <v>22</v>
      </c>
      <c r="CB52" s="73" t="s">
        <v>1033</v>
      </c>
      <c r="CC52" s="58" t="s">
        <v>1034</v>
      </c>
    </row>
    <row r="53" spans="1:81" ht="15" customHeight="1" x14ac:dyDescent="0.25">
      <c r="A53" s="46" t="s">
        <v>1035</v>
      </c>
      <c r="B53" s="47" t="s">
        <v>1036</v>
      </c>
      <c r="C53" s="47" t="s">
        <v>1037</v>
      </c>
      <c r="D53" s="47" t="s">
        <v>86</v>
      </c>
      <c r="E53" s="59" t="s">
        <v>630</v>
      </c>
      <c r="F53" s="47" t="s">
        <v>328</v>
      </c>
      <c r="G53" s="47" t="s">
        <v>329</v>
      </c>
      <c r="H53" s="47" t="s">
        <v>865</v>
      </c>
      <c r="I53" s="47" t="s">
        <v>1038</v>
      </c>
      <c r="J53" s="47" t="s">
        <v>110</v>
      </c>
      <c r="K53" s="47" t="s">
        <v>91</v>
      </c>
      <c r="L53" s="51">
        <v>44440</v>
      </c>
      <c r="M53" s="50">
        <f t="shared" ca="1" si="0"/>
        <v>4</v>
      </c>
      <c r="N53" s="50">
        <f t="shared" ca="1" si="1"/>
        <v>7</v>
      </c>
      <c r="O53" s="50">
        <f t="shared" ca="1" si="2"/>
        <v>21</v>
      </c>
      <c r="P53" s="51">
        <f t="shared" si="3"/>
        <v>54587</v>
      </c>
      <c r="Q53" s="47" t="s">
        <v>804</v>
      </c>
      <c r="R53" s="51">
        <f>L53</f>
        <v>44440</v>
      </c>
      <c r="S53" s="51">
        <f>R53+(365-1)</f>
        <v>44804</v>
      </c>
      <c r="T53" s="51">
        <f t="shared" si="19"/>
        <v>44805</v>
      </c>
      <c r="U53" s="51" t="s">
        <v>88</v>
      </c>
      <c r="V53" s="47" t="s">
        <v>90</v>
      </c>
      <c r="W53" s="47" t="s">
        <v>284</v>
      </c>
      <c r="X53" s="49">
        <v>34498</v>
      </c>
      <c r="Y53" s="50">
        <f t="shared" ca="1" si="4"/>
        <v>31</v>
      </c>
      <c r="Z53" s="50">
        <f t="shared" ca="1" si="5"/>
        <v>10</v>
      </c>
      <c r="AA53" s="50">
        <f t="shared" ca="1" si="6"/>
        <v>9</v>
      </c>
      <c r="AB53" s="48" t="s">
        <v>1039</v>
      </c>
      <c r="AC53" s="53">
        <v>21065876852</v>
      </c>
      <c r="AD53" s="63" t="s">
        <v>152</v>
      </c>
      <c r="AE53" s="47" t="s">
        <v>1040</v>
      </c>
      <c r="AF53" s="47" t="s">
        <v>463</v>
      </c>
      <c r="AG53" s="47"/>
      <c r="AH53" s="47">
        <v>8</v>
      </c>
      <c r="AI53" s="47" t="s">
        <v>1041</v>
      </c>
      <c r="AJ53" s="48" t="s">
        <v>1042</v>
      </c>
      <c r="AK53" s="54" t="s">
        <v>1043</v>
      </c>
      <c r="AL53" s="64" t="s">
        <v>244</v>
      </c>
      <c r="AM53" s="47" t="s">
        <v>1044</v>
      </c>
      <c r="AN53" s="47"/>
      <c r="AO53" s="47" t="s">
        <v>159</v>
      </c>
      <c r="AP53" s="47" t="s">
        <v>641</v>
      </c>
      <c r="AQ53" s="48" t="s">
        <v>1045</v>
      </c>
      <c r="AR53" s="48" t="s">
        <v>1046</v>
      </c>
      <c r="AS53" s="47" t="s">
        <v>163</v>
      </c>
      <c r="AT53" s="47" t="s">
        <v>194</v>
      </c>
      <c r="AU53" s="47"/>
      <c r="AV53" s="47" t="s">
        <v>1047</v>
      </c>
      <c r="AW53" s="47" t="s">
        <v>1048</v>
      </c>
      <c r="AX53" s="48" t="s">
        <v>1049</v>
      </c>
      <c r="AY53" s="47" t="s">
        <v>168</v>
      </c>
      <c r="AZ53" s="47" t="s">
        <v>168</v>
      </c>
      <c r="BA53" s="48" t="s">
        <v>1050</v>
      </c>
      <c r="BB53" s="47" t="s">
        <v>1037</v>
      </c>
      <c r="BC53" s="47" t="s">
        <v>1051</v>
      </c>
      <c r="BD53" s="47"/>
      <c r="BE53" s="47"/>
      <c r="BF53" s="51"/>
      <c r="BG53" s="57">
        <f t="shared" ca="1" si="7"/>
        <v>126</v>
      </c>
      <c r="BH53" s="57">
        <f t="shared" ca="1" si="8"/>
        <v>3</v>
      </c>
      <c r="BI53" s="57">
        <f t="shared" ca="1" si="9"/>
        <v>22</v>
      </c>
      <c r="BJ53" s="47"/>
      <c r="BK53" s="47"/>
      <c r="BL53" s="51"/>
      <c r="BM53" s="57">
        <f t="shared" ca="1" si="10"/>
        <v>126</v>
      </c>
      <c r="BN53" s="57">
        <f t="shared" ca="1" si="11"/>
        <v>3</v>
      </c>
      <c r="BO53" s="57">
        <f t="shared" ca="1" si="12"/>
        <v>22</v>
      </c>
      <c r="BP53" s="47"/>
      <c r="BQ53" s="47"/>
      <c r="BR53" s="51"/>
      <c r="BS53" s="57">
        <f t="shared" ca="1" si="13"/>
        <v>126</v>
      </c>
      <c r="BT53" s="57">
        <f t="shared" ca="1" si="14"/>
        <v>3</v>
      </c>
      <c r="BU53" s="57">
        <f t="shared" ca="1" si="15"/>
        <v>22</v>
      </c>
      <c r="BV53" s="47"/>
      <c r="BW53" s="47"/>
      <c r="BX53" s="51"/>
      <c r="BY53" s="57">
        <f t="shared" ca="1" si="16"/>
        <v>126</v>
      </c>
      <c r="BZ53" s="57">
        <f t="shared" ca="1" si="17"/>
        <v>3</v>
      </c>
      <c r="CA53" s="57">
        <f t="shared" ca="1" si="18"/>
        <v>22</v>
      </c>
      <c r="CB53" s="73" t="s">
        <v>1052</v>
      </c>
      <c r="CC53" s="58" t="s">
        <v>1052</v>
      </c>
    </row>
    <row r="54" spans="1:81" ht="15" customHeight="1" x14ac:dyDescent="0.25">
      <c r="A54" s="46" t="s">
        <v>1053</v>
      </c>
      <c r="B54" s="47" t="s">
        <v>1054</v>
      </c>
      <c r="C54" s="47" t="s">
        <v>1055</v>
      </c>
      <c r="D54" s="47" t="s">
        <v>86</v>
      </c>
      <c r="E54" s="59" t="s">
        <v>146</v>
      </c>
      <c r="F54" s="47" t="s">
        <v>328</v>
      </c>
      <c r="G54" s="47" t="s">
        <v>329</v>
      </c>
      <c r="H54" s="59" t="s">
        <v>330</v>
      </c>
      <c r="I54" s="47" t="s">
        <v>1056</v>
      </c>
      <c r="J54" s="47" t="s">
        <v>110</v>
      </c>
      <c r="K54" s="47" t="s">
        <v>91</v>
      </c>
      <c r="L54" s="51">
        <v>44440</v>
      </c>
      <c r="M54" s="50">
        <f t="shared" ca="1" si="0"/>
        <v>4</v>
      </c>
      <c r="N54" s="50">
        <f t="shared" ca="1" si="1"/>
        <v>7</v>
      </c>
      <c r="O54" s="50">
        <f t="shared" ca="1" si="2"/>
        <v>21</v>
      </c>
      <c r="P54" s="51">
        <f t="shared" si="3"/>
        <v>55731</v>
      </c>
      <c r="Q54" s="47" t="s">
        <v>1057</v>
      </c>
      <c r="R54" s="51">
        <f>L54</f>
        <v>44440</v>
      </c>
      <c r="S54" s="51">
        <f>R54+(180)</f>
        <v>44620</v>
      </c>
      <c r="T54" s="51">
        <f t="shared" si="19"/>
        <v>44621</v>
      </c>
      <c r="U54" s="51" t="s">
        <v>88</v>
      </c>
      <c r="V54" s="47" t="s">
        <v>633</v>
      </c>
      <c r="W54" s="47" t="s">
        <v>129</v>
      </c>
      <c r="X54" s="49">
        <v>35642</v>
      </c>
      <c r="Y54" s="50">
        <f t="shared" ca="1" si="4"/>
        <v>28</v>
      </c>
      <c r="Z54" s="50">
        <f t="shared" ca="1" si="5"/>
        <v>8</v>
      </c>
      <c r="AA54" s="50">
        <f t="shared" ca="1" si="6"/>
        <v>22</v>
      </c>
      <c r="AB54" s="48" t="s">
        <v>1058</v>
      </c>
      <c r="AC54" s="70" t="s">
        <v>1059</v>
      </c>
      <c r="AD54" s="63" t="s">
        <v>152</v>
      </c>
      <c r="AE54" s="47" t="s">
        <v>1060</v>
      </c>
      <c r="AF54" s="47" t="s">
        <v>1061</v>
      </c>
      <c r="AG54" s="47"/>
      <c r="AH54" s="47">
        <v>6</v>
      </c>
      <c r="AI54" s="47" t="s">
        <v>1062</v>
      </c>
      <c r="AJ54" s="48" t="s">
        <v>1063</v>
      </c>
      <c r="AK54" s="47" t="s">
        <v>1064</v>
      </c>
      <c r="AL54" s="64" t="s">
        <v>244</v>
      </c>
      <c r="AM54" s="47" t="str">
        <f>AK54</f>
        <v>Kp.Bulak Jaya rt.17 rw.08, Kec.Cakung, Kel.Pulogebang, Jakarta Timur</v>
      </c>
      <c r="AN54" s="47"/>
      <c r="AO54" s="47" t="s">
        <v>159</v>
      </c>
      <c r="AP54" s="47" t="s">
        <v>641</v>
      </c>
      <c r="AQ54" s="48" t="s">
        <v>1065</v>
      </c>
      <c r="AR54" s="48" t="s">
        <v>1066</v>
      </c>
      <c r="AS54" s="47" t="s">
        <v>163</v>
      </c>
      <c r="AT54" s="47" t="s">
        <v>272</v>
      </c>
      <c r="AU54" s="47"/>
      <c r="AV54" s="47" t="s">
        <v>1067</v>
      </c>
      <c r="AW54" s="47" t="s">
        <v>1068</v>
      </c>
      <c r="AX54" s="48" t="s">
        <v>1069</v>
      </c>
      <c r="AY54" s="47" t="s">
        <v>168</v>
      </c>
      <c r="AZ54" s="47" t="s">
        <v>168</v>
      </c>
      <c r="BA54" s="48" t="s">
        <v>1070</v>
      </c>
      <c r="BB54" s="47" t="s">
        <v>1055</v>
      </c>
      <c r="BC54" s="47" t="s">
        <v>1071</v>
      </c>
      <c r="BD54" s="47"/>
      <c r="BE54" s="47"/>
      <c r="BF54" s="51"/>
      <c r="BG54" s="57">
        <f t="shared" ca="1" si="7"/>
        <v>126</v>
      </c>
      <c r="BH54" s="57">
        <f t="shared" ca="1" si="8"/>
        <v>3</v>
      </c>
      <c r="BI54" s="57">
        <f t="shared" ca="1" si="9"/>
        <v>22</v>
      </c>
      <c r="BJ54" s="47"/>
      <c r="BK54" s="47"/>
      <c r="BL54" s="51"/>
      <c r="BM54" s="57">
        <f t="shared" ca="1" si="10"/>
        <v>126</v>
      </c>
      <c r="BN54" s="57">
        <f t="shared" ca="1" si="11"/>
        <v>3</v>
      </c>
      <c r="BO54" s="57">
        <f t="shared" ca="1" si="12"/>
        <v>22</v>
      </c>
      <c r="BP54" s="47"/>
      <c r="BQ54" s="47"/>
      <c r="BR54" s="51"/>
      <c r="BS54" s="57">
        <f t="shared" ca="1" si="13"/>
        <v>126</v>
      </c>
      <c r="BT54" s="57">
        <f t="shared" ca="1" si="14"/>
        <v>3</v>
      </c>
      <c r="BU54" s="57">
        <f t="shared" ca="1" si="15"/>
        <v>22</v>
      </c>
      <c r="BV54" s="47"/>
      <c r="BW54" s="47"/>
      <c r="BX54" s="51"/>
      <c r="BY54" s="57">
        <f t="shared" ca="1" si="16"/>
        <v>126</v>
      </c>
      <c r="BZ54" s="57">
        <f t="shared" ca="1" si="17"/>
        <v>3</v>
      </c>
      <c r="CA54" s="57">
        <f t="shared" ca="1" si="18"/>
        <v>22</v>
      </c>
      <c r="CB54" s="73" t="s">
        <v>1072</v>
      </c>
      <c r="CC54" s="58" t="s">
        <v>1072</v>
      </c>
    </row>
    <row r="55" spans="1:81" ht="15" customHeight="1" x14ac:dyDescent="0.25">
      <c r="A55" s="46" t="s">
        <v>1073</v>
      </c>
      <c r="B55" s="47" t="s">
        <v>1074</v>
      </c>
      <c r="C55" s="47" t="s">
        <v>1075</v>
      </c>
      <c r="D55" s="47" t="s">
        <v>86</v>
      </c>
      <c r="E55" s="59" t="s">
        <v>146</v>
      </c>
      <c r="F55" s="47" t="s">
        <v>328</v>
      </c>
      <c r="G55" s="47" t="s">
        <v>329</v>
      </c>
      <c r="H55" s="59" t="s">
        <v>330</v>
      </c>
      <c r="I55" s="47" t="s">
        <v>1056</v>
      </c>
      <c r="J55" s="47" t="s">
        <v>110</v>
      </c>
      <c r="K55" s="47" t="s">
        <v>91</v>
      </c>
      <c r="L55" s="51">
        <v>44440</v>
      </c>
      <c r="M55" s="50">
        <f t="shared" ca="1" si="0"/>
        <v>4</v>
      </c>
      <c r="N55" s="50">
        <f t="shared" ca="1" si="1"/>
        <v>7</v>
      </c>
      <c r="O55" s="50">
        <f t="shared" ca="1" si="2"/>
        <v>21</v>
      </c>
      <c r="P55" s="51">
        <f t="shared" si="3"/>
        <v>55450</v>
      </c>
      <c r="Q55" s="47" t="s">
        <v>1057</v>
      </c>
      <c r="R55" s="51">
        <f>L55</f>
        <v>44440</v>
      </c>
      <c r="S55" s="51">
        <f>R55+(180)</f>
        <v>44620</v>
      </c>
      <c r="T55" s="51">
        <f t="shared" si="19"/>
        <v>44621</v>
      </c>
      <c r="U55" s="51" t="s">
        <v>88</v>
      </c>
      <c r="V55" s="47" t="s">
        <v>437</v>
      </c>
      <c r="W55" s="47" t="s">
        <v>529</v>
      </c>
      <c r="X55" s="49">
        <v>35362</v>
      </c>
      <c r="Y55" s="50">
        <f t="shared" ca="1" si="4"/>
        <v>29</v>
      </c>
      <c r="Z55" s="50">
        <f t="shared" ca="1" si="5"/>
        <v>5</v>
      </c>
      <c r="AA55" s="50">
        <f t="shared" ca="1" si="6"/>
        <v>29</v>
      </c>
      <c r="AB55" s="48" t="s">
        <v>1076</v>
      </c>
      <c r="AC55" s="53">
        <v>21065876878</v>
      </c>
      <c r="AD55" s="63" t="s">
        <v>152</v>
      </c>
      <c r="AE55" s="47" t="s">
        <v>1077</v>
      </c>
      <c r="AF55" s="47" t="s">
        <v>1078</v>
      </c>
      <c r="AG55" s="47"/>
      <c r="AH55" s="47">
        <v>6</v>
      </c>
      <c r="AI55" s="47" t="s">
        <v>1079</v>
      </c>
      <c r="AJ55" s="48" t="s">
        <v>1080</v>
      </c>
      <c r="AK55" s="47" t="s">
        <v>1081</v>
      </c>
      <c r="AL55" s="64" t="s">
        <v>244</v>
      </c>
      <c r="AM55" s="47" t="str">
        <f>AK55</f>
        <v>Bantargebang, RT.002 RW.002 Kel. Bantargebang Kec. Bantargebang, Bekasi Timur, Kota Bekasi</v>
      </c>
      <c r="AN55" s="47"/>
      <c r="AO55" s="47" t="s">
        <v>385</v>
      </c>
      <c r="AP55" s="47" t="s">
        <v>101</v>
      </c>
      <c r="AQ55" s="48" t="s">
        <v>1082</v>
      </c>
      <c r="AR55" s="48" t="s">
        <v>1083</v>
      </c>
      <c r="AS55" s="47" t="s">
        <v>163</v>
      </c>
      <c r="AT55" s="47" t="s">
        <v>194</v>
      </c>
      <c r="AU55" s="47"/>
      <c r="AV55" s="47" t="s">
        <v>1084</v>
      </c>
      <c r="AW55" s="47" t="s">
        <v>1085</v>
      </c>
      <c r="AX55" s="48" t="s">
        <v>1086</v>
      </c>
      <c r="AY55" s="47" t="s">
        <v>168</v>
      </c>
      <c r="AZ55" s="47" t="s">
        <v>168</v>
      </c>
      <c r="BA55" s="48" t="s">
        <v>1087</v>
      </c>
      <c r="BB55" s="47" t="s">
        <v>1075</v>
      </c>
      <c r="BC55" s="47" t="s">
        <v>1088</v>
      </c>
      <c r="BD55" s="47" t="s">
        <v>1089</v>
      </c>
      <c r="BE55" s="47" t="s">
        <v>175</v>
      </c>
      <c r="BF55" s="51">
        <v>35779</v>
      </c>
      <c r="BG55" s="57">
        <f t="shared" ca="1" si="7"/>
        <v>28</v>
      </c>
      <c r="BH55" s="57">
        <f t="shared" ca="1" si="8"/>
        <v>4</v>
      </c>
      <c r="BI55" s="57">
        <f t="shared" ca="1" si="9"/>
        <v>7</v>
      </c>
      <c r="BJ55" s="47"/>
      <c r="BK55" s="47"/>
      <c r="BL55" s="51"/>
      <c r="BM55" s="57">
        <f t="shared" ca="1" si="10"/>
        <v>126</v>
      </c>
      <c r="BN55" s="57">
        <f t="shared" ca="1" si="11"/>
        <v>3</v>
      </c>
      <c r="BO55" s="57">
        <f t="shared" ca="1" si="12"/>
        <v>22</v>
      </c>
      <c r="BP55" s="47"/>
      <c r="BQ55" s="47"/>
      <c r="BR55" s="51"/>
      <c r="BS55" s="57">
        <f t="shared" ca="1" si="13"/>
        <v>126</v>
      </c>
      <c r="BT55" s="57">
        <f t="shared" ca="1" si="14"/>
        <v>3</v>
      </c>
      <c r="BU55" s="57">
        <f t="shared" ca="1" si="15"/>
        <v>22</v>
      </c>
      <c r="BV55" s="47"/>
      <c r="BW55" s="47"/>
      <c r="BX55" s="51"/>
      <c r="BY55" s="57">
        <f t="shared" ca="1" si="16"/>
        <v>126</v>
      </c>
      <c r="BZ55" s="57">
        <f t="shared" ca="1" si="17"/>
        <v>3</v>
      </c>
      <c r="CA55" s="57">
        <f t="shared" ca="1" si="18"/>
        <v>22</v>
      </c>
      <c r="CB55" s="73" t="s">
        <v>1090</v>
      </c>
      <c r="CC55" s="58" t="s">
        <v>1090</v>
      </c>
    </row>
    <row r="56" spans="1:81" ht="15" customHeight="1" x14ac:dyDescent="0.25">
      <c r="A56" s="46" t="s">
        <v>1091</v>
      </c>
      <c r="B56" s="47" t="s">
        <v>1092</v>
      </c>
      <c r="C56" s="47" t="s">
        <v>1093</v>
      </c>
      <c r="D56" s="47" t="s">
        <v>86</v>
      </c>
      <c r="E56" s="47" t="s">
        <v>206</v>
      </c>
      <c r="F56" s="47" t="s">
        <v>328</v>
      </c>
      <c r="G56" s="47" t="s">
        <v>329</v>
      </c>
      <c r="H56" s="59" t="s">
        <v>330</v>
      </c>
      <c r="I56" s="47" t="s">
        <v>331</v>
      </c>
      <c r="J56" s="47" t="s">
        <v>110</v>
      </c>
      <c r="K56" s="47" t="s">
        <v>91</v>
      </c>
      <c r="L56" s="51">
        <v>44442</v>
      </c>
      <c r="M56" s="50">
        <f t="shared" ca="1" si="0"/>
        <v>4</v>
      </c>
      <c r="N56" s="50">
        <f t="shared" ca="1" si="1"/>
        <v>7</v>
      </c>
      <c r="O56" s="50">
        <f t="shared" ca="1" si="2"/>
        <v>19</v>
      </c>
      <c r="P56" s="51">
        <f t="shared" si="3"/>
        <v>53865</v>
      </c>
      <c r="Q56" s="47" t="s">
        <v>181</v>
      </c>
      <c r="R56" s="51">
        <f>L56</f>
        <v>44442</v>
      </c>
      <c r="S56" s="51">
        <f>R56+(90)</f>
        <v>44532</v>
      </c>
      <c r="T56" s="51">
        <f t="shared" si="19"/>
        <v>44533</v>
      </c>
      <c r="U56" s="51" t="s">
        <v>88</v>
      </c>
      <c r="V56" s="47" t="s">
        <v>90</v>
      </c>
      <c r="W56" s="47" t="s">
        <v>284</v>
      </c>
      <c r="X56" s="49">
        <v>33777</v>
      </c>
      <c r="Y56" s="50">
        <f t="shared" ca="1" si="4"/>
        <v>33</v>
      </c>
      <c r="Z56" s="50">
        <f t="shared" ca="1" si="5"/>
        <v>10</v>
      </c>
      <c r="AA56" s="50">
        <f t="shared" ca="1" si="6"/>
        <v>0</v>
      </c>
      <c r="AB56" s="48" t="s">
        <v>1094</v>
      </c>
      <c r="AC56" s="70" t="s">
        <v>1095</v>
      </c>
      <c r="AD56" s="70" t="s">
        <v>185</v>
      </c>
      <c r="AE56" s="47" t="s">
        <v>1096</v>
      </c>
      <c r="AF56" s="47" t="s">
        <v>554</v>
      </c>
      <c r="AG56" s="47"/>
      <c r="AH56" s="47">
        <v>6</v>
      </c>
      <c r="AI56" s="47" t="s">
        <v>744</v>
      </c>
      <c r="AJ56" s="48" t="s">
        <v>1097</v>
      </c>
      <c r="AK56" s="47" t="s">
        <v>1098</v>
      </c>
      <c r="AL56" s="64" t="s">
        <v>244</v>
      </c>
      <c r="AM56" s="47" t="s">
        <v>1099</v>
      </c>
      <c r="AN56" s="47"/>
      <c r="AO56" s="47" t="s">
        <v>159</v>
      </c>
      <c r="AP56" s="47" t="s">
        <v>641</v>
      </c>
      <c r="AQ56" s="48" t="s">
        <v>1100</v>
      </c>
      <c r="AR56" s="48" t="s">
        <v>1101</v>
      </c>
      <c r="AS56" s="47" t="s">
        <v>901</v>
      </c>
      <c r="AT56" s="47" t="s">
        <v>194</v>
      </c>
      <c r="AU56" s="47"/>
      <c r="AV56" s="47" t="s">
        <v>1102</v>
      </c>
      <c r="AW56" s="47" t="s">
        <v>1103</v>
      </c>
      <c r="AX56" s="48" t="s">
        <v>1104</v>
      </c>
      <c r="AY56" s="47" t="s">
        <v>168</v>
      </c>
      <c r="AZ56" s="47" t="s">
        <v>168</v>
      </c>
      <c r="BA56" s="48" t="s">
        <v>1105</v>
      </c>
      <c r="BB56" s="47" t="s">
        <v>1093</v>
      </c>
      <c r="BC56" s="47" t="s">
        <v>1106</v>
      </c>
      <c r="BD56" s="47"/>
      <c r="BE56" s="47"/>
      <c r="BF56" s="51"/>
      <c r="BG56" s="57">
        <f t="shared" ca="1" si="7"/>
        <v>126</v>
      </c>
      <c r="BH56" s="57">
        <f t="shared" ca="1" si="8"/>
        <v>3</v>
      </c>
      <c r="BI56" s="57">
        <f t="shared" ca="1" si="9"/>
        <v>22</v>
      </c>
      <c r="BJ56" s="47"/>
      <c r="BK56" s="47"/>
      <c r="BL56" s="51"/>
      <c r="BM56" s="57">
        <f t="shared" ca="1" si="10"/>
        <v>126</v>
      </c>
      <c r="BN56" s="57">
        <f t="shared" ca="1" si="11"/>
        <v>3</v>
      </c>
      <c r="BO56" s="57">
        <f t="shared" ca="1" si="12"/>
        <v>22</v>
      </c>
      <c r="BP56" s="47"/>
      <c r="BQ56" s="47"/>
      <c r="BR56" s="51"/>
      <c r="BS56" s="57">
        <f t="shared" ca="1" si="13"/>
        <v>126</v>
      </c>
      <c r="BT56" s="57">
        <f t="shared" ca="1" si="14"/>
        <v>3</v>
      </c>
      <c r="BU56" s="57">
        <f t="shared" ca="1" si="15"/>
        <v>22</v>
      </c>
      <c r="BV56" s="47"/>
      <c r="BW56" s="47"/>
      <c r="BX56" s="51"/>
      <c r="BY56" s="57">
        <f t="shared" ca="1" si="16"/>
        <v>126</v>
      </c>
      <c r="BZ56" s="57">
        <f t="shared" ca="1" si="17"/>
        <v>3</v>
      </c>
      <c r="CA56" s="57">
        <f t="shared" ca="1" si="18"/>
        <v>22</v>
      </c>
      <c r="CB56" s="73" t="s">
        <v>1107</v>
      </c>
      <c r="CC56" s="58" t="s">
        <v>1108</v>
      </c>
    </row>
    <row r="57" spans="1:81" ht="15" customHeight="1" x14ac:dyDescent="0.25">
      <c r="A57" s="46" t="s">
        <v>1109</v>
      </c>
      <c r="B57" s="47" t="s">
        <v>1110</v>
      </c>
      <c r="C57" s="47" t="s">
        <v>1111</v>
      </c>
      <c r="D57" s="47" t="s">
        <v>175</v>
      </c>
      <c r="E57" s="47" t="s">
        <v>206</v>
      </c>
      <c r="F57" s="59" t="s">
        <v>548</v>
      </c>
      <c r="G57" s="59"/>
      <c r="H57" s="59" t="s">
        <v>549</v>
      </c>
      <c r="I57" s="47" t="s">
        <v>550</v>
      </c>
      <c r="J57" s="47" t="s">
        <v>90</v>
      </c>
      <c r="K57" s="47" t="s">
        <v>91</v>
      </c>
      <c r="L57" s="51">
        <v>44487</v>
      </c>
      <c r="M57" s="50">
        <f t="shared" ca="1" si="0"/>
        <v>4</v>
      </c>
      <c r="N57" s="50">
        <f t="shared" ca="1" si="1"/>
        <v>6</v>
      </c>
      <c r="O57" s="50">
        <f t="shared" ca="1" si="2"/>
        <v>4</v>
      </c>
      <c r="P57" s="51">
        <f t="shared" si="3"/>
        <v>55022</v>
      </c>
      <c r="Q57" s="47" t="s">
        <v>181</v>
      </c>
      <c r="R57" s="51">
        <f>L57</f>
        <v>44487</v>
      </c>
      <c r="S57" s="51">
        <f>R57+(90)</f>
        <v>44577</v>
      </c>
      <c r="T57" s="51">
        <f t="shared" si="19"/>
        <v>44578</v>
      </c>
      <c r="U57" s="51" t="s">
        <v>88</v>
      </c>
      <c r="V57" s="47" t="s">
        <v>90</v>
      </c>
      <c r="W57" s="47" t="s">
        <v>357</v>
      </c>
      <c r="X57" s="49">
        <v>34933</v>
      </c>
      <c r="Y57" s="50">
        <f t="shared" ca="1" si="4"/>
        <v>30</v>
      </c>
      <c r="Z57" s="50">
        <f t="shared" ca="1" si="5"/>
        <v>8</v>
      </c>
      <c r="AA57" s="50">
        <f t="shared" ca="1" si="6"/>
        <v>0</v>
      </c>
      <c r="AB57" s="48" t="s">
        <v>1112</v>
      </c>
      <c r="AC57" s="70" t="s">
        <v>1113</v>
      </c>
      <c r="AD57" s="70" t="s">
        <v>185</v>
      </c>
      <c r="AE57" s="47" t="s">
        <v>849</v>
      </c>
      <c r="AF57" s="47" t="s">
        <v>554</v>
      </c>
      <c r="AG57" s="47"/>
      <c r="AH57" s="47">
        <v>4</v>
      </c>
      <c r="AI57" s="47" t="s">
        <v>1114</v>
      </c>
      <c r="AJ57" s="48" t="s">
        <v>1115</v>
      </c>
      <c r="AK57" s="47" t="s">
        <v>1116</v>
      </c>
      <c r="AL57" s="64" t="s">
        <v>244</v>
      </c>
      <c r="AM57" s="47" t="s">
        <v>1117</v>
      </c>
      <c r="AN57" s="47"/>
      <c r="AO57" s="47" t="s">
        <v>159</v>
      </c>
      <c r="AP57" s="47" t="s">
        <v>641</v>
      </c>
      <c r="AQ57" s="48" t="s">
        <v>1118</v>
      </c>
      <c r="AR57" s="48" t="s">
        <v>1119</v>
      </c>
      <c r="AS57" s="47" t="s">
        <v>901</v>
      </c>
      <c r="AT57" s="47" t="s">
        <v>164</v>
      </c>
      <c r="AU57" s="47"/>
      <c r="AV57" s="48" t="s">
        <v>1120</v>
      </c>
      <c r="AW57" s="48" t="s">
        <v>1121</v>
      </c>
      <c r="AX57" s="48" t="s">
        <v>1122</v>
      </c>
      <c r="AY57" s="47" t="s">
        <v>168</v>
      </c>
      <c r="AZ57" s="47" t="s">
        <v>168</v>
      </c>
      <c r="BA57" s="48" t="s">
        <v>1123</v>
      </c>
      <c r="BB57" s="47" t="s">
        <v>1111</v>
      </c>
      <c r="BC57" s="47" t="s">
        <v>1124</v>
      </c>
      <c r="BD57" s="47"/>
      <c r="BE57" s="47"/>
      <c r="BF57" s="51"/>
      <c r="BG57" s="57">
        <f t="shared" ca="1" si="7"/>
        <v>126</v>
      </c>
      <c r="BH57" s="57">
        <f t="shared" ca="1" si="8"/>
        <v>3</v>
      </c>
      <c r="BI57" s="57">
        <f t="shared" ca="1" si="9"/>
        <v>22</v>
      </c>
      <c r="BJ57" s="47"/>
      <c r="BK57" s="47"/>
      <c r="BL57" s="51"/>
      <c r="BM57" s="57">
        <f t="shared" ca="1" si="10"/>
        <v>126</v>
      </c>
      <c r="BN57" s="57">
        <f t="shared" ca="1" si="11"/>
        <v>3</v>
      </c>
      <c r="BO57" s="57">
        <f t="shared" ca="1" si="12"/>
        <v>22</v>
      </c>
      <c r="BP57" s="47"/>
      <c r="BQ57" s="47"/>
      <c r="BR57" s="51"/>
      <c r="BS57" s="57">
        <f t="shared" ca="1" si="13"/>
        <v>126</v>
      </c>
      <c r="BT57" s="57">
        <f t="shared" ca="1" si="14"/>
        <v>3</v>
      </c>
      <c r="BU57" s="57">
        <f t="shared" ca="1" si="15"/>
        <v>22</v>
      </c>
      <c r="BV57" s="47"/>
      <c r="BW57" s="47"/>
      <c r="BX57" s="51"/>
      <c r="BY57" s="57">
        <f t="shared" ca="1" si="16"/>
        <v>126</v>
      </c>
      <c r="BZ57" s="57">
        <f t="shared" ca="1" si="17"/>
        <v>3</v>
      </c>
      <c r="CA57" s="57">
        <f t="shared" ca="1" si="18"/>
        <v>22</v>
      </c>
      <c r="CB57" s="73" t="s">
        <v>1125</v>
      </c>
      <c r="CC57" s="58" t="s">
        <v>1126</v>
      </c>
    </row>
    <row r="58" spans="1:81" ht="15" customHeight="1" x14ac:dyDescent="0.25">
      <c r="A58" s="46" t="s">
        <v>1127</v>
      </c>
      <c r="B58" s="47" t="s">
        <v>1128</v>
      </c>
      <c r="C58" s="47" t="s">
        <v>1129</v>
      </c>
      <c r="D58" s="47" t="s">
        <v>175</v>
      </c>
      <c r="E58" s="47" t="s">
        <v>630</v>
      </c>
      <c r="F58" s="47" t="s">
        <v>328</v>
      </c>
      <c r="G58" s="47" t="s">
        <v>329</v>
      </c>
      <c r="H58" s="59" t="s">
        <v>330</v>
      </c>
      <c r="I58" s="47" t="s">
        <v>1130</v>
      </c>
      <c r="J58" s="47" t="s">
        <v>110</v>
      </c>
      <c r="K58" s="47" t="s">
        <v>91</v>
      </c>
      <c r="L58" s="51">
        <v>44501</v>
      </c>
      <c r="M58" s="50">
        <f t="shared" ca="1" si="0"/>
        <v>4</v>
      </c>
      <c r="N58" s="50">
        <f t="shared" ca="1" si="1"/>
        <v>5</v>
      </c>
      <c r="O58" s="50">
        <f t="shared" ca="1" si="2"/>
        <v>21</v>
      </c>
      <c r="P58" s="51">
        <f t="shared" si="3"/>
        <v>55495</v>
      </c>
      <c r="Q58" s="47" t="s">
        <v>181</v>
      </c>
      <c r="R58" s="51">
        <v>44501</v>
      </c>
      <c r="S58" s="51">
        <f>R58+(90)</f>
        <v>44591</v>
      </c>
      <c r="T58" s="51">
        <f t="shared" si="19"/>
        <v>44592</v>
      </c>
      <c r="U58" s="51" t="s">
        <v>88</v>
      </c>
      <c r="V58" s="47" t="s">
        <v>90</v>
      </c>
      <c r="W58" s="47" t="s">
        <v>333</v>
      </c>
      <c r="X58" s="51">
        <v>35407</v>
      </c>
      <c r="Y58" s="50">
        <f t="shared" ca="1" si="4"/>
        <v>29</v>
      </c>
      <c r="Z58" s="50">
        <f t="shared" ca="1" si="5"/>
        <v>4</v>
      </c>
      <c r="AA58" s="50">
        <f t="shared" ca="1" si="6"/>
        <v>14</v>
      </c>
      <c r="AB58" s="48" t="s">
        <v>1131</v>
      </c>
      <c r="AC58" s="53">
        <v>21085208458</v>
      </c>
      <c r="AD58" s="63" t="s">
        <v>152</v>
      </c>
      <c r="AE58" s="47" t="s">
        <v>1132</v>
      </c>
      <c r="AF58" s="47" t="s">
        <v>1133</v>
      </c>
      <c r="AG58" s="47"/>
      <c r="AH58" s="47">
        <v>3</v>
      </c>
      <c r="AI58" s="48" t="s">
        <v>1134</v>
      </c>
      <c r="AJ58" s="48" t="s">
        <v>1135</v>
      </c>
      <c r="AK58" s="54" t="s">
        <v>1136</v>
      </c>
      <c r="AL58" s="56" t="s">
        <v>244</v>
      </c>
      <c r="AM58" s="47" t="s">
        <v>1137</v>
      </c>
      <c r="AN58" s="47"/>
      <c r="AO58" s="47" t="s">
        <v>159</v>
      </c>
      <c r="AP58" s="47" t="s">
        <v>641</v>
      </c>
      <c r="AQ58" s="48" t="s">
        <v>1138</v>
      </c>
      <c r="AR58" s="48" t="s">
        <v>88</v>
      </c>
      <c r="AS58" s="47" t="s">
        <v>163</v>
      </c>
      <c r="AT58" s="47" t="s">
        <v>272</v>
      </c>
      <c r="AU58" s="47"/>
      <c r="AV58" s="48" t="s">
        <v>1139</v>
      </c>
      <c r="AW58" s="54" t="s">
        <v>1140</v>
      </c>
      <c r="AX58" s="48" t="s">
        <v>88</v>
      </c>
      <c r="AY58" s="47" t="s">
        <v>168</v>
      </c>
      <c r="AZ58" s="47" t="s">
        <v>168</v>
      </c>
      <c r="BA58" s="48" t="s">
        <v>1141</v>
      </c>
      <c r="BB58" s="47" t="s">
        <v>1129</v>
      </c>
      <c r="BC58" s="47" t="s">
        <v>1142</v>
      </c>
      <c r="BD58" s="47"/>
      <c r="BE58" s="47"/>
      <c r="BF58" s="51"/>
      <c r="BG58" s="57">
        <f t="shared" ca="1" si="7"/>
        <v>126</v>
      </c>
      <c r="BH58" s="57">
        <f t="shared" ca="1" si="8"/>
        <v>3</v>
      </c>
      <c r="BI58" s="57">
        <f t="shared" ca="1" si="9"/>
        <v>22</v>
      </c>
      <c r="BJ58" s="47"/>
      <c r="BK58" s="47"/>
      <c r="BL58" s="51"/>
      <c r="BM58" s="57">
        <f t="shared" ca="1" si="10"/>
        <v>126</v>
      </c>
      <c r="BN58" s="57">
        <f t="shared" ca="1" si="11"/>
        <v>3</v>
      </c>
      <c r="BO58" s="57">
        <f t="shared" ca="1" si="12"/>
        <v>22</v>
      </c>
      <c r="BP58" s="47"/>
      <c r="BQ58" s="47"/>
      <c r="BR58" s="51"/>
      <c r="BS58" s="57">
        <f t="shared" ca="1" si="13"/>
        <v>126</v>
      </c>
      <c r="BT58" s="57">
        <f t="shared" ca="1" si="14"/>
        <v>3</v>
      </c>
      <c r="BU58" s="57">
        <f t="shared" ca="1" si="15"/>
        <v>22</v>
      </c>
      <c r="BV58" s="47"/>
      <c r="BW58" s="47"/>
      <c r="BX58" s="51"/>
      <c r="BY58" s="57">
        <f t="shared" ca="1" si="16"/>
        <v>126</v>
      </c>
      <c r="BZ58" s="57">
        <f t="shared" ca="1" si="17"/>
        <v>3</v>
      </c>
      <c r="CA58" s="57">
        <f t="shared" ca="1" si="18"/>
        <v>22</v>
      </c>
      <c r="CB58" s="73" t="s">
        <v>1143</v>
      </c>
      <c r="CC58" s="47"/>
    </row>
    <row r="59" spans="1:81" ht="15" customHeight="1" x14ac:dyDescent="0.25">
      <c r="A59" s="46" t="s">
        <v>1144</v>
      </c>
      <c r="B59" s="47" t="s">
        <v>1145</v>
      </c>
      <c r="C59" s="47" t="s">
        <v>1146</v>
      </c>
      <c r="D59" s="47" t="s">
        <v>86</v>
      </c>
      <c r="E59" s="47" t="s">
        <v>206</v>
      </c>
      <c r="F59" s="47" t="s">
        <v>177</v>
      </c>
      <c r="G59" s="47"/>
      <c r="H59" s="59" t="s">
        <v>178</v>
      </c>
      <c r="I59" s="47" t="s">
        <v>207</v>
      </c>
      <c r="J59" s="47" t="s">
        <v>781</v>
      </c>
      <c r="K59" s="47" t="s">
        <v>91</v>
      </c>
      <c r="L59" s="51">
        <v>44501</v>
      </c>
      <c r="M59" s="50">
        <f t="shared" ca="1" si="0"/>
        <v>4</v>
      </c>
      <c r="N59" s="50">
        <f t="shared" ca="1" si="1"/>
        <v>5</v>
      </c>
      <c r="O59" s="50">
        <f t="shared" ca="1" si="2"/>
        <v>21</v>
      </c>
      <c r="P59" s="51">
        <f t="shared" si="3"/>
        <v>48884</v>
      </c>
      <c r="Q59" s="47" t="s">
        <v>181</v>
      </c>
      <c r="R59" s="51">
        <v>44501</v>
      </c>
      <c r="S59" s="51">
        <f>R59+(90)</f>
        <v>44591</v>
      </c>
      <c r="T59" s="51">
        <f t="shared" si="19"/>
        <v>44592</v>
      </c>
      <c r="U59" s="51" t="s">
        <v>88</v>
      </c>
      <c r="V59" s="47" t="s">
        <v>1147</v>
      </c>
      <c r="W59" s="60" t="s">
        <v>111</v>
      </c>
      <c r="X59" s="51">
        <v>28795</v>
      </c>
      <c r="Y59" s="50">
        <f t="shared" ca="1" si="4"/>
        <v>47</v>
      </c>
      <c r="Z59" s="50">
        <f t="shared" ca="1" si="5"/>
        <v>5</v>
      </c>
      <c r="AA59" s="50">
        <f t="shared" ca="1" si="6"/>
        <v>21</v>
      </c>
      <c r="AB59" s="47" t="s">
        <v>1148</v>
      </c>
      <c r="AC59" s="53" t="s">
        <v>1149</v>
      </c>
      <c r="AD59" s="70" t="s">
        <v>185</v>
      </c>
      <c r="AE59" s="47" t="s">
        <v>1150</v>
      </c>
      <c r="AF59" s="47" t="s">
        <v>1151</v>
      </c>
      <c r="AG59" s="47"/>
      <c r="AH59" s="47">
        <v>19</v>
      </c>
      <c r="AI59" s="48" t="s">
        <v>1152</v>
      </c>
      <c r="AJ59" s="48" t="s">
        <v>1153</v>
      </c>
      <c r="AK59" s="56" t="s">
        <v>1154</v>
      </c>
      <c r="AL59" s="56" t="s">
        <v>244</v>
      </c>
      <c r="AM59" s="47" t="s">
        <v>1155</v>
      </c>
      <c r="AN59" s="47"/>
      <c r="AO59" s="47" t="s">
        <v>100</v>
      </c>
      <c r="AP59" s="47" t="s">
        <v>101</v>
      </c>
      <c r="AQ59" s="48" t="s">
        <v>1156</v>
      </c>
      <c r="AR59" s="48" t="s">
        <v>88</v>
      </c>
      <c r="AS59" s="47" t="s">
        <v>163</v>
      </c>
      <c r="AT59" s="47" t="s">
        <v>343</v>
      </c>
      <c r="AU59" s="47"/>
      <c r="AV59" s="48" t="s">
        <v>1157</v>
      </c>
      <c r="AW59" s="48" t="s">
        <v>1158</v>
      </c>
      <c r="AX59" s="48" t="s">
        <v>1159</v>
      </c>
      <c r="AY59" s="47" t="s">
        <v>168</v>
      </c>
      <c r="AZ59" s="47" t="s">
        <v>168</v>
      </c>
      <c r="BA59" s="48" t="s">
        <v>1160</v>
      </c>
      <c r="BB59" s="47" t="s">
        <v>1146</v>
      </c>
      <c r="BC59" s="47" t="s">
        <v>1161</v>
      </c>
      <c r="BD59" s="47" t="s">
        <v>1162</v>
      </c>
      <c r="BE59" s="47" t="s">
        <v>175</v>
      </c>
      <c r="BF59" s="51">
        <v>29354</v>
      </c>
      <c r="BG59" s="57">
        <f t="shared" ca="1" si="7"/>
        <v>45</v>
      </c>
      <c r="BH59" s="57">
        <f t="shared" ca="1" si="8"/>
        <v>11</v>
      </c>
      <c r="BI59" s="57">
        <f t="shared" ca="1" si="9"/>
        <v>9</v>
      </c>
      <c r="BJ59" s="47" t="s">
        <v>1163</v>
      </c>
      <c r="BK59" s="47"/>
      <c r="BL59" s="51">
        <v>39313</v>
      </c>
      <c r="BM59" s="57">
        <f t="shared" ca="1" si="10"/>
        <v>18</v>
      </c>
      <c r="BN59" s="57">
        <f t="shared" ca="1" si="11"/>
        <v>8</v>
      </c>
      <c r="BO59" s="57">
        <f t="shared" ca="1" si="12"/>
        <v>3</v>
      </c>
      <c r="BP59" s="47" t="s">
        <v>1164</v>
      </c>
      <c r="BQ59" s="47" t="s">
        <v>86</v>
      </c>
      <c r="BR59" s="51">
        <v>39313</v>
      </c>
      <c r="BS59" s="57">
        <f t="shared" ca="1" si="13"/>
        <v>18</v>
      </c>
      <c r="BT59" s="57">
        <f t="shared" ca="1" si="14"/>
        <v>8</v>
      </c>
      <c r="BU59" s="57">
        <f t="shared" ca="1" si="15"/>
        <v>3</v>
      </c>
      <c r="BV59" s="47"/>
      <c r="BW59" s="47"/>
      <c r="BX59" s="51"/>
      <c r="BY59" s="57">
        <f t="shared" ca="1" si="16"/>
        <v>126</v>
      </c>
      <c r="BZ59" s="57">
        <f t="shared" ca="1" si="17"/>
        <v>3</v>
      </c>
      <c r="CA59" s="57">
        <f t="shared" ca="1" si="18"/>
        <v>22</v>
      </c>
      <c r="CB59" s="73" t="s">
        <v>1165</v>
      </c>
      <c r="CC59" s="58" t="s">
        <v>1166</v>
      </c>
    </row>
    <row r="60" spans="1:81" ht="15" customHeight="1" x14ac:dyDescent="0.25">
      <c r="A60" s="46" t="s">
        <v>1167</v>
      </c>
      <c r="B60" s="47" t="s">
        <v>1168</v>
      </c>
      <c r="C60" s="47" t="s">
        <v>1169</v>
      </c>
      <c r="D60" s="47" t="s">
        <v>86</v>
      </c>
      <c r="E60" s="59" t="s">
        <v>176</v>
      </c>
      <c r="F60" s="47" t="s">
        <v>177</v>
      </c>
      <c r="G60" s="47"/>
      <c r="H60" s="59" t="s">
        <v>178</v>
      </c>
      <c r="I60" s="47" t="s">
        <v>179</v>
      </c>
      <c r="J60" s="47" t="s">
        <v>1170</v>
      </c>
      <c r="K60" s="47" t="s">
        <v>91</v>
      </c>
      <c r="L60" s="51">
        <v>44531</v>
      </c>
      <c r="M60" s="50">
        <f t="shared" ca="1" si="0"/>
        <v>4</v>
      </c>
      <c r="N60" s="50">
        <f t="shared" ca="1" si="1"/>
        <v>4</v>
      </c>
      <c r="O60" s="50">
        <f t="shared" ca="1" si="2"/>
        <v>21</v>
      </c>
      <c r="P60" s="51">
        <f t="shared" si="3"/>
        <v>47949</v>
      </c>
      <c r="Q60" s="47" t="s">
        <v>181</v>
      </c>
      <c r="R60" s="51">
        <v>44531</v>
      </c>
      <c r="S60" s="51">
        <f>R60+(90)</f>
        <v>44621</v>
      </c>
      <c r="T60" s="51">
        <f t="shared" si="19"/>
        <v>44622</v>
      </c>
      <c r="U60" s="51" t="s">
        <v>88</v>
      </c>
      <c r="V60" s="47" t="s">
        <v>1170</v>
      </c>
      <c r="W60" s="47" t="s">
        <v>419</v>
      </c>
      <c r="X60" s="51">
        <v>27861</v>
      </c>
      <c r="Y60" s="50">
        <f t="shared" ca="1" si="4"/>
        <v>50</v>
      </c>
      <c r="Z60" s="50">
        <f t="shared" ca="1" si="5"/>
        <v>0</v>
      </c>
      <c r="AA60" s="50">
        <f t="shared" ca="1" si="6"/>
        <v>11</v>
      </c>
      <c r="AB60" s="48" t="s">
        <v>1171</v>
      </c>
      <c r="AC60" s="53">
        <v>21097464644</v>
      </c>
      <c r="AD60" s="70" t="s">
        <v>185</v>
      </c>
      <c r="AE60" s="47" t="s">
        <v>1172</v>
      </c>
      <c r="AF60" s="47" t="s">
        <v>1173</v>
      </c>
      <c r="AG60" s="47"/>
      <c r="AH60" s="47">
        <v>20</v>
      </c>
      <c r="AI60" s="48" t="s">
        <v>1174</v>
      </c>
      <c r="AJ60" s="48" t="s">
        <v>1175</v>
      </c>
      <c r="AK60" s="47" t="s">
        <v>1176</v>
      </c>
      <c r="AL60" s="56" t="s">
        <v>244</v>
      </c>
      <c r="AM60" s="47" t="str">
        <f>AK60</f>
        <v>Komp. Filano Jaya 1 Blok E1 No.4 Rt.005/006 Kubu Dalam Parak Karakah, Padang Timur, Padang</v>
      </c>
      <c r="AN60" s="47"/>
      <c r="AO60" s="47" t="s">
        <v>100</v>
      </c>
      <c r="AP60" s="47" t="s">
        <v>101</v>
      </c>
      <c r="AQ60" s="48" t="s">
        <v>1177</v>
      </c>
      <c r="AR60" s="48" t="s">
        <v>1178</v>
      </c>
      <c r="AS60" s="47" t="s">
        <v>163</v>
      </c>
      <c r="AT60" s="47" t="s">
        <v>194</v>
      </c>
      <c r="AU60" s="47"/>
      <c r="AV60" s="47" t="s">
        <v>1179</v>
      </c>
      <c r="AW60" s="47" t="s">
        <v>1180</v>
      </c>
      <c r="AX60" s="48" t="s">
        <v>1181</v>
      </c>
      <c r="AY60" s="47" t="s">
        <v>168</v>
      </c>
      <c r="AZ60" s="47" t="s">
        <v>168</v>
      </c>
      <c r="BA60" s="48" t="s">
        <v>1182</v>
      </c>
      <c r="BB60" s="47" t="s">
        <v>1169</v>
      </c>
      <c r="BC60" s="47" t="s">
        <v>1183</v>
      </c>
      <c r="BD60" s="47" t="s">
        <v>1184</v>
      </c>
      <c r="BE60" s="47" t="s">
        <v>175</v>
      </c>
      <c r="BF60" s="51">
        <v>29078</v>
      </c>
      <c r="BG60" s="57">
        <f t="shared" ca="1" si="7"/>
        <v>46</v>
      </c>
      <c r="BH60" s="57">
        <f t="shared" ca="1" si="8"/>
        <v>8</v>
      </c>
      <c r="BI60" s="57">
        <f t="shared" ca="1" si="9"/>
        <v>11</v>
      </c>
      <c r="BJ60" s="47" t="s">
        <v>1185</v>
      </c>
      <c r="BK60" s="47" t="s">
        <v>86</v>
      </c>
      <c r="BL60" s="51">
        <v>38905</v>
      </c>
      <c r="BM60" s="57">
        <f t="shared" ca="1" si="10"/>
        <v>19</v>
      </c>
      <c r="BN60" s="57">
        <f t="shared" ca="1" si="11"/>
        <v>9</v>
      </c>
      <c r="BO60" s="57">
        <f t="shared" ca="1" si="12"/>
        <v>15</v>
      </c>
      <c r="BP60" s="47" t="s">
        <v>1186</v>
      </c>
      <c r="BQ60" s="47" t="s">
        <v>86</v>
      </c>
      <c r="BR60" s="51">
        <v>39652</v>
      </c>
      <c r="BS60" s="57">
        <f t="shared" ca="1" si="13"/>
        <v>17</v>
      </c>
      <c r="BT60" s="57">
        <f t="shared" ca="1" si="14"/>
        <v>8</v>
      </c>
      <c r="BU60" s="57">
        <f t="shared" ca="1" si="15"/>
        <v>30</v>
      </c>
      <c r="BV60" s="47"/>
      <c r="BW60" s="47"/>
      <c r="BX60" s="51"/>
      <c r="BY60" s="57">
        <f t="shared" ca="1" si="16"/>
        <v>126</v>
      </c>
      <c r="BZ60" s="57">
        <f t="shared" ca="1" si="17"/>
        <v>3</v>
      </c>
      <c r="CA60" s="57">
        <f t="shared" ca="1" si="18"/>
        <v>22</v>
      </c>
      <c r="CB60" s="73" t="s">
        <v>1187</v>
      </c>
      <c r="CC60" s="58" t="s">
        <v>1188</v>
      </c>
    </row>
    <row r="61" spans="1:81" ht="15" customHeight="1" x14ac:dyDescent="0.25">
      <c r="A61" s="46" t="s">
        <v>1189</v>
      </c>
      <c r="B61" s="47" t="s">
        <v>1190</v>
      </c>
      <c r="C61" s="47" t="s">
        <v>1191</v>
      </c>
      <c r="D61" s="47" t="s">
        <v>175</v>
      </c>
      <c r="E61" s="47" t="s">
        <v>630</v>
      </c>
      <c r="F61" s="47" t="s">
        <v>328</v>
      </c>
      <c r="G61" s="47" t="s">
        <v>398</v>
      </c>
      <c r="H61" s="47" t="s">
        <v>1192</v>
      </c>
      <c r="I61" s="47" t="s">
        <v>1193</v>
      </c>
      <c r="J61" s="47" t="s">
        <v>110</v>
      </c>
      <c r="K61" s="47" t="s">
        <v>91</v>
      </c>
      <c r="L61" s="51">
        <v>44594</v>
      </c>
      <c r="M61" s="50">
        <f t="shared" ca="1" si="0"/>
        <v>4</v>
      </c>
      <c r="N61" s="50">
        <f t="shared" ca="1" si="1"/>
        <v>2</v>
      </c>
      <c r="O61" s="50">
        <f t="shared" ca="1" si="2"/>
        <v>20</v>
      </c>
      <c r="P61" s="51">
        <f t="shared" si="3"/>
        <v>56945</v>
      </c>
      <c r="Q61" s="47" t="s">
        <v>1057</v>
      </c>
      <c r="R61" s="51">
        <f t="shared" ref="R61:R88" si="21">L61</f>
        <v>44594</v>
      </c>
      <c r="S61" s="51">
        <f>R61+(180)</f>
        <v>44774</v>
      </c>
      <c r="T61" s="51">
        <f t="shared" si="19"/>
        <v>44775</v>
      </c>
      <c r="U61" s="52" t="s">
        <v>88</v>
      </c>
      <c r="V61" s="47" t="s">
        <v>459</v>
      </c>
      <c r="W61" s="47" t="s">
        <v>111</v>
      </c>
      <c r="X61" s="51">
        <v>36857</v>
      </c>
      <c r="Y61" s="50">
        <f t="shared" ca="1" si="4"/>
        <v>25</v>
      </c>
      <c r="Z61" s="50">
        <f t="shared" ca="1" si="5"/>
        <v>4</v>
      </c>
      <c r="AA61" s="50">
        <f t="shared" ca="1" si="6"/>
        <v>26</v>
      </c>
      <c r="AB61" s="48" t="s">
        <v>1194</v>
      </c>
      <c r="AC61" s="53">
        <v>19049256431</v>
      </c>
      <c r="AD61" s="63" t="s">
        <v>152</v>
      </c>
      <c r="AE61" s="47" t="s">
        <v>1195</v>
      </c>
      <c r="AF61" s="47" t="s">
        <v>590</v>
      </c>
      <c r="AG61" s="47"/>
      <c r="AH61" s="47">
        <v>3</v>
      </c>
      <c r="AI61" s="47" t="s">
        <v>1196</v>
      </c>
      <c r="AJ61" s="48" t="s">
        <v>1197</v>
      </c>
      <c r="AK61" s="47" t="s">
        <v>1198</v>
      </c>
      <c r="AL61" s="56" t="s">
        <v>244</v>
      </c>
      <c r="AM61" s="47" t="s">
        <v>1199</v>
      </c>
      <c r="AN61" s="47"/>
      <c r="AO61" s="47" t="s">
        <v>159</v>
      </c>
      <c r="AP61" s="47" t="s">
        <v>641</v>
      </c>
      <c r="AQ61" s="48" t="s">
        <v>1200</v>
      </c>
      <c r="AR61" s="48" t="s">
        <v>1201</v>
      </c>
      <c r="AS61" s="47" t="s">
        <v>163</v>
      </c>
      <c r="AT61" s="47" t="s">
        <v>164</v>
      </c>
      <c r="AU61" s="47"/>
      <c r="AV61" s="47" t="s">
        <v>1202</v>
      </c>
      <c r="AW61" s="47" t="s">
        <v>1203</v>
      </c>
      <c r="AX61" s="48" t="s">
        <v>1204</v>
      </c>
      <c r="AY61" s="47" t="s">
        <v>168</v>
      </c>
      <c r="AZ61" s="47" t="s">
        <v>168</v>
      </c>
      <c r="BA61" s="48" t="s">
        <v>1205</v>
      </c>
      <c r="BB61" s="47" t="s">
        <v>1191</v>
      </c>
      <c r="BC61" s="47" t="s">
        <v>1206</v>
      </c>
      <c r="BD61" s="47"/>
      <c r="BE61" s="47"/>
      <c r="BF61" s="51"/>
      <c r="BG61" s="57">
        <f t="shared" ca="1" si="7"/>
        <v>126</v>
      </c>
      <c r="BH61" s="57">
        <f t="shared" ca="1" si="8"/>
        <v>3</v>
      </c>
      <c r="BI61" s="57">
        <f t="shared" ca="1" si="9"/>
        <v>22</v>
      </c>
      <c r="BJ61" s="47"/>
      <c r="BK61" s="47"/>
      <c r="BL61" s="51"/>
      <c r="BM61" s="57">
        <f t="shared" ca="1" si="10"/>
        <v>126</v>
      </c>
      <c r="BN61" s="57">
        <f t="shared" ca="1" si="11"/>
        <v>3</v>
      </c>
      <c r="BO61" s="57">
        <f t="shared" ca="1" si="12"/>
        <v>22</v>
      </c>
      <c r="BP61" s="47"/>
      <c r="BQ61" s="47"/>
      <c r="BR61" s="51"/>
      <c r="BS61" s="57">
        <f t="shared" ca="1" si="13"/>
        <v>126</v>
      </c>
      <c r="BT61" s="57">
        <f t="shared" ca="1" si="14"/>
        <v>3</v>
      </c>
      <c r="BU61" s="57">
        <f t="shared" ca="1" si="15"/>
        <v>22</v>
      </c>
      <c r="BV61" s="47"/>
      <c r="BW61" s="47"/>
      <c r="BX61" s="51"/>
      <c r="BY61" s="57">
        <f t="shared" ca="1" si="16"/>
        <v>126</v>
      </c>
      <c r="BZ61" s="57">
        <f t="shared" ca="1" si="17"/>
        <v>3</v>
      </c>
      <c r="CA61" s="57">
        <f t="shared" ca="1" si="18"/>
        <v>22</v>
      </c>
      <c r="CB61" s="73" t="s">
        <v>1207</v>
      </c>
      <c r="CC61" s="47"/>
    </row>
    <row r="62" spans="1:81" ht="15" customHeight="1" x14ac:dyDescent="0.25">
      <c r="A62" s="46" t="s">
        <v>1208</v>
      </c>
      <c r="B62" s="47" t="s">
        <v>1209</v>
      </c>
      <c r="C62" s="47" t="s">
        <v>1210</v>
      </c>
      <c r="D62" s="47" t="s">
        <v>86</v>
      </c>
      <c r="E62" s="59" t="s">
        <v>176</v>
      </c>
      <c r="F62" s="47" t="s">
        <v>177</v>
      </c>
      <c r="G62" s="47"/>
      <c r="H62" s="59" t="s">
        <v>178</v>
      </c>
      <c r="I62" s="47" t="s">
        <v>179</v>
      </c>
      <c r="J62" s="47" t="s">
        <v>459</v>
      </c>
      <c r="K62" s="47" t="s">
        <v>91</v>
      </c>
      <c r="L62" s="51">
        <v>44599</v>
      </c>
      <c r="M62" s="50">
        <f t="shared" ca="1" si="0"/>
        <v>4</v>
      </c>
      <c r="N62" s="50">
        <f t="shared" ca="1" si="1"/>
        <v>2</v>
      </c>
      <c r="O62" s="50">
        <f t="shared" ca="1" si="2"/>
        <v>15</v>
      </c>
      <c r="P62" s="51">
        <f t="shared" si="3"/>
        <v>53792</v>
      </c>
      <c r="Q62" s="47" t="s">
        <v>181</v>
      </c>
      <c r="R62" s="51">
        <f t="shared" si="21"/>
        <v>44599</v>
      </c>
      <c r="S62" s="51">
        <f>R62+(90-2)</f>
        <v>44687</v>
      </c>
      <c r="T62" s="51">
        <f t="shared" si="19"/>
        <v>44688</v>
      </c>
      <c r="U62" s="52" t="s">
        <v>88</v>
      </c>
      <c r="V62" s="47" t="s">
        <v>459</v>
      </c>
      <c r="W62" s="47" t="s">
        <v>419</v>
      </c>
      <c r="X62" s="51">
        <v>33704</v>
      </c>
      <c r="Y62" s="50">
        <f t="shared" ca="1" si="4"/>
        <v>34</v>
      </c>
      <c r="Z62" s="50">
        <f t="shared" ca="1" si="5"/>
        <v>0</v>
      </c>
      <c r="AA62" s="50">
        <f t="shared" ca="1" si="6"/>
        <v>12</v>
      </c>
      <c r="AB62" s="59" t="s">
        <v>1211</v>
      </c>
      <c r="AC62" s="80" t="s">
        <v>1212</v>
      </c>
      <c r="AD62" s="63" t="s">
        <v>152</v>
      </c>
      <c r="AE62" s="47" t="s">
        <v>1213</v>
      </c>
      <c r="AF62" s="47" t="s">
        <v>590</v>
      </c>
      <c r="AG62" s="47"/>
      <c r="AH62" s="47">
        <v>12</v>
      </c>
      <c r="AI62" s="47" t="s">
        <v>1214</v>
      </c>
      <c r="AJ62" s="81" t="s">
        <v>1215</v>
      </c>
      <c r="AK62" s="47" t="s">
        <v>1216</v>
      </c>
      <c r="AL62" s="56" t="s">
        <v>244</v>
      </c>
      <c r="AM62" s="47" t="s">
        <v>1217</v>
      </c>
      <c r="AN62" s="47"/>
      <c r="AO62" s="47" t="s">
        <v>100</v>
      </c>
      <c r="AP62" s="47" t="s">
        <v>101</v>
      </c>
      <c r="AQ62" s="81" t="s">
        <v>1218</v>
      </c>
      <c r="AR62" s="81" t="s">
        <v>1219</v>
      </c>
      <c r="AS62" s="47" t="s">
        <v>163</v>
      </c>
      <c r="AT62" s="47" t="s">
        <v>194</v>
      </c>
      <c r="AU62" s="47"/>
      <c r="AV62" s="81" t="s">
        <v>1220</v>
      </c>
      <c r="AW62" s="47" t="s">
        <v>1221</v>
      </c>
      <c r="AX62" s="48" t="s">
        <v>1222</v>
      </c>
      <c r="AY62" s="47" t="s">
        <v>168</v>
      </c>
      <c r="AZ62" s="47" t="s">
        <v>168</v>
      </c>
      <c r="BA62" s="47" t="s">
        <v>1223</v>
      </c>
      <c r="BB62" s="47" t="s">
        <v>1210</v>
      </c>
      <c r="BC62" s="47" t="s">
        <v>1224</v>
      </c>
      <c r="BD62" s="47" t="s">
        <v>1225</v>
      </c>
      <c r="BE62" s="47" t="s">
        <v>175</v>
      </c>
      <c r="BF62" s="51">
        <v>34667</v>
      </c>
      <c r="BG62" s="57">
        <f t="shared" ca="1" si="7"/>
        <v>31</v>
      </c>
      <c r="BH62" s="57">
        <f t="shared" ca="1" si="8"/>
        <v>4</v>
      </c>
      <c r="BI62" s="57">
        <f t="shared" ca="1" si="9"/>
        <v>24</v>
      </c>
      <c r="BJ62" s="47" t="s">
        <v>1226</v>
      </c>
      <c r="BK62" s="47" t="s">
        <v>86</v>
      </c>
      <c r="BL62" s="51">
        <v>42853</v>
      </c>
      <c r="BM62" s="57">
        <f t="shared" ca="1" si="10"/>
        <v>8</v>
      </c>
      <c r="BN62" s="57">
        <f t="shared" ca="1" si="11"/>
        <v>11</v>
      </c>
      <c r="BO62" s="57">
        <f t="shared" ca="1" si="12"/>
        <v>25</v>
      </c>
      <c r="BP62" s="47" t="s">
        <v>1227</v>
      </c>
      <c r="BQ62" s="47" t="s">
        <v>175</v>
      </c>
      <c r="BR62" s="51">
        <v>43804</v>
      </c>
      <c r="BS62" s="57">
        <f t="shared" ca="1" si="13"/>
        <v>6</v>
      </c>
      <c r="BT62" s="57">
        <f t="shared" ca="1" si="14"/>
        <v>4</v>
      </c>
      <c r="BU62" s="57">
        <f t="shared" ca="1" si="15"/>
        <v>17</v>
      </c>
      <c r="BV62" s="47"/>
      <c r="BW62" s="47"/>
      <c r="BX62" s="51"/>
      <c r="BY62" s="57">
        <f t="shared" ca="1" si="16"/>
        <v>126</v>
      </c>
      <c r="BZ62" s="57">
        <f t="shared" ca="1" si="17"/>
        <v>3</v>
      </c>
      <c r="CA62" s="57">
        <f t="shared" ca="1" si="18"/>
        <v>22</v>
      </c>
      <c r="CB62" s="73" t="s">
        <v>1228</v>
      </c>
      <c r="CC62" s="58" t="s">
        <v>1229</v>
      </c>
    </row>
    <row r="63" spans="1:81" ht="15" customHeight="1" x14ac:dyDescent="0.25">
      <c r="A63" s="46" t="s">
        <v>1230</v>
      </c>
      <c r="B63" s="47" t="s">
        <v>1231</v>
      </c>
      <c r="C63" s="47" t="s">
        <v>1232</v>
      </c>
      <c r="D63" s="47" t="s">
        <v>175</v>
      </c>
      <c r="E63" s="59" t="s">
        <v>176</v>
      </c>
      <c r="F63" s="59" t="s">
        <v>548</v>
      </c>
      <c r="G63" s="59"/>
      <c r="H63" s="59" t="s">
        <v>549</v>
      </c>
      <c r="I63" s="47" t="s">
        <v>1233</v>
      </c>
      <c r="J63" s="47" t="s">
        <v>90</v>
      </c>
      <c r="K63" s="47" t="s">
        <v>91</v>
      </c>
      <c r="L63" s="51">
        <v>44627</v>
      </c>
      <c r="M63" s="50">
        <f t="shared" ca="1" si="0"/>
        <v>4</v>
      </c>
      <c r="N63" s="50">
        <f t="shared" ca="1" si="1"/>
        <v>1</v>
      </c>
      <c r="O63" s="50">
        <f t="shared" ca="1" si="2"/>
        <v>15</v>
      </c>
      <c r="P63" s="51">
        <f t="shared" si="3"/>
        <v>55276</v>
      </c>
      <c r="Q63" s="47" t="s">
        <v>181</v>
      </c>
      <c r="R63" s="51">
        <f t="shared" si="21"/>
        <v>44627</v>
      </c>
      <c r="S63" s="51">
        <f>R63+(90+1)</f>
        <v>44718</v>
      </c>
      <c r="T63" s="51">
        <f t="shared" si="19"/>
        <v>44719</v>
      </c>
      <c r="U63" s="52" t="s">
        <v>88</v>
      </c>
      <c r="V63" s="47" t="s">
        <v>1234</v>
      </c>
      <c r="W63" s="47" t="s">
        <v>678</v>
      </c>
      <c r="X63" s="51">
        <v>35188</v>
      </c>
      <c r="Y63" s="50">
        <f t="shared" ca="1" si="4"/>
        <v>29</v>
      </c>
      <c r="Z63" s="50">
        <f t="shared" ca="1" si="5"/>
        <v>11</v>
      </c>
      <c r="AA63" s="50">
        <f t="shared" ca="1" si="6"/>
        <v>19</v>
      </c>
      <c r="AB63" s="48" t="s">
        <v>1235</v>
      </c>
      <c r="AC63" s="70" t="s">
        <v>1236</v>
      </c>
      <c r="AD63" s="70" t="s">
        <v>185</v>
      </c>
      <c r="AE63" s="47" t="s">
        <v>915</v>
      </c>
      <c r="AF63" s="47" t="s">
        <v>554</v>
      </c>
      <c r="AG63" s="47"/>
      <c r="AH63" s="47">
        <v>2</v>
      </c>
      <c r="AI63" s="47" t="s">
        <v>1237</v>
      </c>
      <c r="AJ63" s="48" t="s">
        <v>1238</v>
      </c>
      <c r="AK63" s="47" t="s">
        <v>1239</v>
      </c>
      <c r="AL63" s="56" t="s">
        <v>244</v>
      </c>
      <c r="AM63" s="47" t="s">
        <v>1240</v>
      </c>
      <c r="AN63" s="47"/>
      <c r="AO63" s="47" t="s">
        <v>159</v>
      </c>
      <c r="AP63" s="47" t="s">
        <v>641</v>
      </c>
      <c r="AQ63" s="48" t="s">
        <v>1241</v>
      </c>
      <c r="AR63" s="48" t="s">
        <v>1242</v>
      </c>
      <c r="AS63" s="47" t="s">
        <v>163</v>
      </c>
      <c r="AT63" s="47" t="s">
        <v>272</v>
      </c>
      <c r="AU63" s="47"/>
      <c r="AV63" s="47" t="s">
        <v>1243</v>
      </c>
      <c r="AW63" s="47" t="str">
        <f>AK63</f>
        <v>Jalan Batu Indah Raya no. 19, RT 001/RW003, Kelurahan Batununggal, Kecamatan Bandung Kidul, Kota Bandung, Provinsi Jawa Barat</v>
      </c>
      <c r="AX63" s="48" t="s">
        <v>1244</v>
      </c>
      <c r="AY63" s="47" t="s">
        <v>168</v>
      </c>
      <c r="AZ63" s="47" t="s">
        <v>168</v>
      </c>
      <c r="BA63" s="48" t="s">
        <v>1245</v>
      </c>
      <c r="BB63" s="47" t="s">
        <v>1246</v>
      </c>
      <c r="BC63" s="47" t="s">
        <v>1247</v>
      </c>
      <c r="BD63" s="47"/>
      <c r="BE63" s="47"/>
      <c r="BF63" s="51"/>
      <c r="BG63" s="57">
        <f t="shared" ca="1" si="7"/>
        <v>126</v>
      </c>
      <c r="BH63" s="57">
        <f t="shared" ca="1" si="8"/>
        <v>3</v>
      </c>
      <c r="BI63" s="57">
        <f t="shared" ca="1" si="9"/>
        <v>22</v>
      </c>
      <c r="BJ63" s="47"/>
      <c r="BK63" s="47"/>
      <c r="BL63" s="51"/>
      <c r="BM63" s="57">
        <f t="shared" ca="1" si="10"/>
        <v>126</v>
      </c>
      <c r="BN63" s="57">
        <f t="shared" ca="1" si="11"/>
        <v>3</v>
      </c>
      <c r="BO63" s="57">
        <f t="shared" ca="1" si="12"/>
        <v>22</v>
      </c>
      <c r="BP63" s="47"/>
      <c r="BQ63" s="47"/>
      <c r="BR63" s="51"/>
      <c r="BS63" s="57">
        <f t="shared" ca="1" si="13"/>
        <v>126</v>
      </c>
      <c r="BT63" s="57">
        <f t="shared" ca="1" si="14"/>
        <v>3</v>
      </c>
      <c r="BU63" s="57">
        <f t="shared" ca="1" si="15"/>
        <v>22</v>
      </c>
      <c r="BV63" s="47"/>
      <c r="BW63" s="47"/>
      <c r="BX63" s="51"/>
      <c r="BY63" s="57">
        <f t="shared" ca="1" si="16"/>
        <v>126</v>
      </c>
      <c r="BZ63" s="57">
        <f t="shared" ca="1" si="17"/>
        <v>3</v>
      </c>
      <c r="CA63" s="57">
        <f t="shared" ca="1" si="18"/>
        <v>22</v>
      </c>
      <c r="CB63" s="73" t="s">
        <v>1248</v>
      </c>
      <c r="CC63" s="58" t="s">
        <v>1249</v>
      </c>
    </row>
    <row r="64" spans="1:81" ht="15" customHeight="1" x14ac:dyDescent="0.25">
      <c r="A64" s="46" t="s">
        <v>1250</v>
      </c>
      <c r="B64" s="47" t="s">
        <v>1251</v>
      </c>
      <c r="C64" s="47" t="s">
        <v>1252</v>
      </c>
      <c r="D64" s="60" t="s">
        <v>86</v>
      </c>
      <c r="E64" s="47" t="s">
        <v>176</v>
      </c>
      <c r="F64" s="47" t="s">
        <v>328</v>
      </c>
      <c r="G64" s="47" t="s">
        <v>329</v>
      </c>
      <c r="H64" s="47" t="s">
        <v>865</v>
      </c>
      <c r="I64" s="47" t="s">
        <v>1253</v>
      </c>
      <c r="J64" s="47" t="s">
        <v>110</v>
      </c>
      <c r="K64" s="47" t="s">
        <v>91</v>
      </c>
      <c r="L64" s="49">
        <v>44669</v>
      </c>
      <c r="M64" s="50">
        <f t="shared" ca="1" si="0"/>
        <v>4</v>
      </c>
      <c r="N64" s="50">
        <f t="shared" ca="1" si="1"/>
        <v>0</v>
      </c>
      <c r="O64" s="50">
        <f t="shared" ca="1" si="2"/>
        <v>4</v>
      </c>
      <c r="P64" s="51">
        <f t="shared" si="3"/>
        <v>55837</v>
      </c>
      <c r="Q64" s="47" t="s">
        <v>804</v>
      </c>
      <c r="R64" s="51">
        <f t="shared" si="21"/>
        <v>44669</v>
      </c>
      <c r="S64" s="51">
        <f>R64+(365-1)</f>
        <v>45033</v>
      </c>
      <c r="T64" s="51">
        <f t="shared" si="19"/>
        <v>45034</v>
      </c>
      <c r="U64" s="52" t="s">
        <v>88</v>
      </c>
      <c r="V64" s="47" t="s">
        <v>1254</v>
      </c>
      <c r="W64" s="47" t="s">
        <v>111</v>
      </c>
      <c r="X64" s="51">
        <v>35748</v>
      </c>
      <c r="Y64" s="50">
        <f t="shared" ca="1" si="4"/>
        <v>28</v>
      </c>
      <c r="Z64" s="50">
        <f t="shared" ca="1" si="5"/>
        <v>5</v>
      </c>
      <c r="AA64" s="50">
        <f t="shared" ca="1" si="6"/>
        <v>8</v>
      </c>
      <c r="AB64" s="48" t="s">
        <v>1255</v>
      </c>
      <c r="AC64" s="53"/>
      <c r="AD64" s="70" t="s">
        <v>185</v>
      </c>
      <c r="AE64" s="47" t="s">
        <v>213</v>
      </c>
      <c r="AF64" s="47" t="s">
        <v>554</v>
      </c>
      <c r="AG64" s="47"/>
      <c r="AH64" s="47">
        <v>0</v>
      </c>
      <c r="AI64" s="48" t="s">
        <v>88</v>
      </c>
      <c r="AJ64" s="48" t="s">
        <v>1256</v>
      </c>
      <c r="AK64" s="47" t="s">
        <v>1257</v>
      </c>
      <c r="AL64" s="56" t="s">
        <v>244</v>
      </c>
      <c r="AM64" s="47" t="str">
        <f>AK64</f>
        <v>Kepuhsari Rt.002/003 Kel. Gagang Kepuhsari Kec. Balongbendo Kab. Sidoarjo</v>
      </c>
      <c r="AN64" s="47"/>
      <c r="AO64" s="47" t="s">
        <v>159</v>
      </c>
      <c r="AP64" s="47" t="s">
        <v>641</v>
      </c>
      <c r="AQ64" s="48" t="s">
        <v>1258</v>
      </c>
      <c r="AR64" s="48" t="s">
        <v>1259</v>
      </c>
      <c r="AS64" s="47" t="s">
        <v>163</v>
      </c>
      <c r="AT64" s="47" t="s">
        <v>164</v>
      </c>
      <c r="AU64" s="47"/>
      <c r="AV64" s="48" t="s">
        <v>88</v>
      </c>
      <c r="AW64" s="48" t="s">
        <v>88</v>
      </c>
      <c r="AX64" s="48" t="s">
        <v>1260</v>
      </c>
      <c r="AY64" s="47" t="s">
        <v>168</v>
      </c>
      <c r="AZ64" s="47" t="s">
        <v>168</v>
      </c>
      <c r="BA64" s="47" t="s">
        <v>1261</v>
      </c>
      <c r="BB64" s="47" t="s">
        <v>1252</v>
      </c>
      <c r="BC64" s="47" t="s">
        <v>1262</v>
      </c>
      <c r="BD64" s="47"/>
      <c r="BE64" s="47"/>
      <c r="BF64" s="51"/>
      <c r="BG64" s="57">
        <f t="shared" ca="1" si="7"/>
        <v>126</v>
      </c>
      <c r="BH64" s="57">
        <f t="shared" ca="1" si="8"/>
        <v>3</v>
      </c>
      <c r="BI64" s="57">
        <f t="shared" ca="1" si="9"/>
        <v>22</v>
      </c>
      <c r="BJ64" s="47"/>
      <c r="BK64" s="47"/>
      <c r="BL64" s="51"/>
      <c r="BM64" s="57">
        <f t="shared" ca="1" si="10"/>
        <v>126</v>
      </c>
      <c r="BN64" s="57">
        <f t="shared" ca="1" si="11"/>
        <v>3</v>
      </c>
      <c r="BO64" s="57">
        <f t="shared" ca="1" si="12"/>
        <v>22</v>
      </c>
      <c r="BP64" s="47"/>
      <c r="BQ64" s="47"/>
      <c r="BR64" s="51"/>
      <c r="BS64" s="57">
        <f t="shared" ca="1" si="13"/>
        <v>126</v>
      </c>
      <c r="BT64" s="57">
        <f t="shared" ca="1" si="14"/>
        <v>3</v>
      </c>
      <c r="BU64" s="57">
        <f t="shared" ca="1" si="15"/>
        <v>22</v>
      </c>
      <c r="BV64" s="47"/>
      <c r="BW64" s="47"/>
      <c r="BX64" s="51"/>
      <c r="BY64" s="57">
        <f t="shared" ca="1" si="16"/>
        <v>126</v>
      </c>
      <c r="BZ64" s="57">
        <f t="shared" ca="1" si="17"/>
        <v>3</v>
      </c>
      <c r="CA64" s="57">
        <f t="shared" ca="1" si="18"/>
        <v>22</v>
      </c>
      <c r="CB64" s="73" t="s">
        <v>1263</v>
      </c>
      <c r="CC64" s="58" t="s">
        <v>1264</v>
      </c>
    </row>
    <row r="65" spans="1:81" ht="15" customHeight="1" x14ac:dyDescent="0.25">
      <c r="A65" s="46" t="s">
        <v>1265</v>
      </c>
      <c r="B65" s="47" t="s">
        <v>1266</v>
      </c>
      <c r="C65" s="47" t="s">
        <v>1267</v>
      </c>
      <c r="D65" s="60" t="s">
        <v>175</v>
      </c>
      <c r="E65" s="47" t="s">
        <v>353</v>
      </c>
      <c r="F65" s="47" t="s">
        <v>328</v>
      </c>
      <c r="G65" s="47" t="s">
        <v>329</v>
      </c>
      <c r="H65" s="47" t="s">
        <v>1268</v>
      </c>
      <c r="I65" s="47" t="s">
        <v>1269</v>
      </c>
      <c r="J65" s="47" t="s">
        <v>110</v>
      </c>
      <c r="K65" s="47" t="s">
        <v>91</v>
      </c>
      <c r="L65" s="49">
        <v>44671</v>
      </c>
      <c r="M65" s="50">
        <f t="shared" ca="1" si="0"/>
        <v>4</v>
      </c>
      <c r="N65" s="50">
        <f t="shared" ca="1" si="1"/>
        <v>0</v>
      </c>
      <c r="O65" s="50">
        <f t="shared" ca="1" si="2"/>
        <v>2</v>
      </c>
      <c r="P65" s="51">
        <f t="shared" si="3"/>
        <v>56137</v>
      </c>
      <c r="Q65" s="47" t="s">
        <v>804</v>
      </c>
      <c r="R65" s="51">
        <f t="shared" si="21"/>
        <v>44671</v>
      </c>
      <c r="S65" s="51">
        <f>R65+(365-1)</f>
        <v>45035</v>
      </c>
      <c r="T65" s="51">
        <f t="shared" si="19"/>
        <v>45036</v>
      </c>
      <c r="U65" s="52" t="s">
        <v>88</v>
      </c>
      <c r="V65" s="47" t="s">
        <v>1270</v>
      </c>
      <c r="W65" s="47" t="s">
        <v>210</v>
      </c>
      <c r="X65" s="51">
        <v>36048</v>
      </c>
      <c r="Y65" s="50">
        <f t="shared" ca="1" si="4"/>
        <v>27</v>
      </c>
      <c r="Z65" s="50">
        <f t="shared" ca="1" si="5"/>
        <v>7</v>
      </c>
      <c r="AA65" s="50">
        <f t="shared" ca="1" si="6"/>
        <v>12</v>
      </c>
      <c r="AB65" s="48" t="s">
        <v>1271</v>
      </c>
      <c r="AC65" s="53"/>
      <c r="AD65" s="70" t="s">
        <v>185</v>
      </c>
      <c r="AE65" s="47" t="s">
        <v>1272</v>
      </c>
      <c r="AF65" s="47" t="s">
        <v>312</v>
      </c>
      <c r="AG65" s="47"/>
      <c r="AH65" s="47">
        <v>0</v>
      </c>
      <c r="AI65" s="48" t="s">
        <v>88</v>
      </c>
      <c r="AJ65" s="48" t="s">
        <v>1273</v>
      </c>
      <c r="AK65" s="47" t="s">
        <v>1274</v>
      </c>
      <c r="AL65" s="56" t="s">
        <v>244</v>
      </c>
      <c r="AM65" s="47" t="str">
        <f>AK65</f>
        <v>Kp. Cigugur Tengah Rt.004/010 Kel. Cigugur Tengah Kec. Cimahi Tengah Kota Cimahi 40522</v>
      </c>
      <c r="AN65" s="47"/>
      <c r="AO65" s="47" t="s">
        <v>159</v>
      </c>
      <c r="AP65" s="47" t="s">
        <v>641</v>
      </c>
      <c r="AQ65" s="48" t="s">
        <v>1275</v>
      </c>
      <c r="AR65" s="48" t="s">
        <v>1276</v>
      </c>
      <c r="AS65" s="47" t="s">
        <v>163</v>
      </c>
      <c r="AT65" s="47" t="s">
        <v>194</v>
      </c>
      <c r="AU65" s="47"/>
      <c r="AV65" s="47" t="s">
        <v>1277</v>
      </c>
      <c r="AW65" s="47" t="s">
        <v>1278</v>
      </c>
      <c r="AX65" s="48" t="s">
        <v>1279</v>
      </c>
      <c r="AY65" s="47" t="s">
        <v>168</v>
      </c>
      <c r="AZ65" s="47" t="s">
        <v>168</v>
      </c>
      <c r="BA65" s="48" t="s">
        <v>1280</v>
      </c>
      <c r="BB65" s="47" t="s">
        <v>1267</v>
      </c>
      <c r="BC65" s="47" t="s">
        <v>1281</v>
      </c>
      <c r="BD65" s="47"/>
      <c r="BE65" s="47"/>
      <c r="BF65" s="51"/>
      <c r="BG65" s="57">
        <f t="shared" ca="1" si="7"/>
        <v>126</v>
      </c>
      <c r="BH65" s="57">
        <f t="shared" ca="1" si="8"/>
        <v>3</v>
      </c>
      <c r="BI65" s="57">
        <f t="shared" ca="1" si="9"/>
        <v>22</v>
      </c>
      <c r="BJ65" s="47"/>
      <c r="BK65" s="47"/>
      <c r="BL65" s="51"/>
      <c r="BM65" s="57">
        <f t="shared" ca="1" si="10"/>
        <v>126</v>
      </c>
      <c r="BN65" s="57">
        <f t="shared" ca="1" si="11"/>
        <v>3</v>
      </c>
      <c r="BO65" s="57">
        <f t="shared" ca="1" si="12"/>
        <v>22</v>
      </c>
      <c r="BP65" s="47"/>
      <c r="BQ65" s="47"/>
      <c r="BR65" s="51"/>
      <c r="BS65" s="57">
        <f t="shared" ca="1" si="13"/>
        <v>126</v>
      </c>
      <c r="BT65" s="57">
        <f t="shared" ca="1" si="14"/>
        <v>3</v>
      </c>
      <c r="BU65" s="57">
        <f t="shared" ca="1" si="15"/>
        <v>22</v>
      </c>
      <c r="BV65" s="47"/>
      <c r="BW65" s="47"/>
      <c r="BX65" s="51"/>
      <c r="BY65" s="57">
        <f t="shared" ca="1" si="16"/>
        <v>126</v>
      </c>
      <c r="BZ65" s="57">
        <f t="shared" ca="1" si="17"/>
        <v>3</v>
      </c>
      <c r="CA65" s="57">
        <f t="shared" ca="1" si="18"/>
        <v>22</v>
      </c>
      <c r="CB65" s="73" t="s">
        <v>1282</v>
      </c>
      <c r="CC65" s="58" t="s">
        <v>1283</v>
      </c>
    </row>
    <row r="66" spans="1:81" ht="15" customHeight="1" x14ac:dyDescent="0.25">
      <c r="A66" s="46" t="s">
        <v>1284</v>
      </c>
      <c r="B66" s="47" t="s">
        <v>1285</v>
      </c>
      <c r="C66" s="47" t="s">
        <v>1286</v>
      </c>
      <c r="D66" s="60" t="s">
        <v>175</v>
      </c>
      <c r="E66" s="47" t="s">
        <v>675</v>
      </c>
      <c r="F66" s="47" t="s">
        <v>128</v>
      </c>
      <c r="G66" s="47"/>
      <c r="H66" s="59" t="s">
        <v>147</v>
      </c>
      <c r="I66" s="47" t="s">
        <v>1287</v>
      </c>
      <c r="J66" s="47" t="s">
        <v>90</v>
      </c>
      <c r="K66" s="47" t="s">
        <v>91</v>
      </c>
      <c r="L66" s="49">
        <v>44690</v>
      </c>
      <c r="M66" s="50">
        <f t="shared" ca="1" si="0"/>
        <v>3</v>
      </c>
      <c r="N66" s="50">
        <f t="shared" ca="1" si="1"/>
        <v>11</v>
      </c>
      <c r="O66" s="50">
        <f t="shared" ca="1" si="2"/>
        <v>13</v>
      </c>
      <c r="P66" s="51">
        <f t="shared" si="3"/>
        <v>51171</v>
      </c>
      <c r="Q66" s="47" t="s">
        <v>181</v>
      </c>
      <c r="R66" s="51">
        <f t="shared" si="21"/>
        <v>44690</v>
      </c>
      <c r="S66" s="51">
        <v>44781</v>
      </c>
      <c r="T66" s="51">
        <f t="shared" si="19"/>
        <v>44782</v>
      </c>
      <c r="U66" s="52" t="s">
        <v>88</v>
      </c>
      <c r="V66" s="47" t="s">
        <v>1288</v>
      </c>
      <c r="W66" s="47" t="s">
        <v>93</v>
      </c>
      <c r="X66" s="51">
        <v>31083</v>
      </c>
      <c r="Y66" s="50">
        <f t="shared" ca="1" si="4"/>
        <v>41</v>
      </c>
      <c r="Z66" s="50">
        <f t="shared" ca="1" si="5"/>
        <v>2</v>
      </c>
      <c r="AA66" s="50">
        <f t="shared" ca="1" si="6"/>
        <v>17</v>
      </c>
      <c r="AB66" s="48" t="s">
        <v>1289</v>
      </c>
      <c r="AC66" s="70" t="s">
        <v>1290</v>
      </c>
      <c r="AD66" s="70" t="s">
        <v>185</v>
      </c>
      <c r="AE66" s="47" t="s">
        <v>1291</v>
      </c>
      <c r="AF66" s="47" t="s">
        <v>895</v>
      </c>
      <c r="AG66" s="47"/>
      <c r="AH66" s="47">
        <v>14</v>
      </c>
      <c r="AI66" s="47" t="s">
        <v>1292</v>
      </c>
      <c r="AJ66" s="48" t="s">
        <v>1293</v>
      </c>
      <c r="AK66" s="47" t="s">
        <v>1294</v>
      </c>
      <c r="AL66" s="56" t="s">
        <v>244</v>
      </c>
      <c r="AM66" s="47" t="str">
        <f>AK66</f>
        <v>Jl. Teluk Ratai III No.29 RT.005/010 Kel. Kelapa Gadiing Barat Kec. Kelapa Gading Jakarta Utara</v>
      </c>
      <c r="AN66" s="47"/>
      <c r="AO66" s="47" t="s">
        <v>159</v>
      </c>
      <c r="AP66" s="47" t="s">
        <v>641</v>
      </c>
      <c r="AQ66" s="48" t="s">
        <v>1295</v>
      </c>
      <c r="AR66" s="48" t="s">
        <v>88</v>
      </c>
      <c r="AS66" s="47" t="s">
        <v>513</v>
      </c>
      <c r="AT66" s="47" t="s">
        <v>343</v>
      </c>
      <c r="AU66" s="47"/>
      <c r="AV66" s="47" t="s">
        <v>1296</v>
      </c>
      <c r="AW66" s="47"/>
      <c r="AX66" s="48" t="s">
        <v>1297</v>
      </c>
      <c r="AY66" s="47" t="s">
        <v>168</v>
      </c>
      <c r="AZ66" s="47" t="s">
        <v>168</v>
      </c>
      <c r="BA66" s="48" t="s">
        <v>1298</v>
      </c>
      <c r="BB66" s="47" t="s">
        <v>1286</v>
      </c>
      <c r="BC66" s="47" t="s">
        <v>1299</v>
      </c>
      <c r="BD66" s="47"/>
      <c r="BE66" s="47"/>
      <c r="BF66" s="51"/>
      <c r="BG66" s="57">
        <f t="shared" ca="1" si="7"/>
        <v>126</v>
      </c>
      <c r="BH66" s="57">
        <f t="shared" ca="1" si="8"/>
        <v>3</v>
      </c>
      <c r="BI66" s="57">
        <f t="shared" ca="1" si="9"/>
        <v>22</v>
      </c>
      <c r="BJ66" s="47"/>
      <c r="BK66" s="47"/>
      <c r="BL66" s="51"/>
      <c r="BM66" s="57">
        <f t="shared" ca="1" si="10"/>
        <v>126</v>
      </c>
      <c r="BN66" s="57">
        <f t="shared" ca="1" si="11"/>
        <v>3</v>
      </c>
      <c r="BO66" s="57">
        <f t="shared" ca="1" si="12"/>
        <v>22</v>
      </c>
      <c r="BP66" s="47"/>
      <c r="BQ66" s="47"/>
      <c r="BR66" s="51"/>
      <c r="BS66" s="57">
        <f t="shared" ca="1" si="13"/>
        <v>126</v>
      </c>
      <c r="BT66" s="57">
        <f t="shared" ca="1" si="14"/>
        <v>3</v>
      </c>
      <c r="BU66" s="57">
        <f t="shared" ca="1" si="15"/>
        <v>22</v>
      </c>
      <c r="BV66" s="47"/>
      <c r="BW66" s="47"/>
      <c r="BX66" s="51"/>
      <c r="BY66" s="57">
        <f t="shared" ca="1" si="16"/>
        <v>126</v>
      </c>
      <c r="BZ66" s="57">
        <f t="shared" ca="1" si="17"/>
        <v>3</v>
      </c>
      <c r="CA66" s="57">
        <f t="shared" ca="1" si="18"/>
        <v>22</v>
      </c>
      <c r="CB66" s="73" t="s">
        <v>1300</v>
      </c>
      <c r="CC66" s="58" t="s">
        <v>1301</v>
      </c>
    </row>
    <row r="67" spans="1:81" ht="15" customHeight="1" x14ac:dyDescent="0.25">
      <c r="A67" s="46" t="s">
        <v>1302</v>
      </c>
      <c r="B67" s="47" t="s">
        <v>1303</v>
      </c>
      <c r="C67" s="47" t="s">
        <v>1304</v>
      </c>
      <c r="D67" s="47" t="s">
        <v>86</v>
      </c>
      <c r="E67" s="47" t="s">
        <v>233</v>
      </c>
      <c r="F67" s="47" t="s">
        <v>328</v>
      </c>
      <c r="G67" s="47" t="s">
        <v>329</v>
      </c>
      <c r="H67" s="47" t="s">
        <v>354</v>
      </c>
      <c r="I67" s="47" t="s">
        <v>1305</v>
      </c>
      <c r="J67" s="47" t="s">
        <v>110</v>
      </c>
      <c r="K67" s="47" t="s">
        <v>91</v>
      </c>
      <c r="L67" s="49">
        <v>44704</v>
      </c>
      <c r="M67" s="50">
        <f t="shared" ca="1" si="0"/>
        <v>3</v>
      </c>
      <c r="N67" s="50">
        <f t="shared" ca="1" si="1"/>
        <v>10</v>
      </c>
      <c r="O67" s="50">
        <f t="shared" ca="1" si="2"/>
        <v>30</v>
      </c>
      <c r="P67" s="51">
        <f t="shared" si="3"/>
        <v>52005</v>
      </c>
      <c r="Q67" s="47" t="s">
        <v>181</v>
      </c>
      <c r="R67" s="51">
        <f t="shared" si="21"/>
        <v>44704</v>
      </c>
      <c r="S67" s="51">
        <v>44795</v>
      </c>
      <c r="T67" s="51">
        <f t="shared" si="19"/>
        <v>44796</v>
      </c>
      <c r="U67" s="52" t="s">
        <v>88</v>
      </c>
      <c r="V67" s="47" t="s">
        <v>90</v>
      </c>
      <c r="W67" s="47" t="s">
        <v>93</v>
      </c>
      <c r="X67" s="51">
        <v>31916</v>
      </c>
      <c r="Y67" s="50">
        <f t="shared" ca="1" si="4"/>
        <v>38</v>
      </c>
      <c r="Z67" s="50">
        <f t="shared" ca="1" si="5"/>
        <v>11</v>
      </c>
      <c r="AA67" s="50">
        <f t="shared" ca="1" si="6"/>
        <v>3</v>
      </c>
      <c r="AB67" s="47" t="s">
        <v>1306</v>
      </c>
      <c r="AC67" s="53"/>
      <c r="AD67" s="70" t="s">
        <v>185</v>
      </c>
      <c r="AE67" s="47" t="s">
        <v>186</v>
      </c>
      <c r="AF67" s="47" t="s">
        <v>1307</v>
      </c>
      <c r="AG67" s="47"/>
      <c r="AH67" s="47">
        <v>11</v>
      </c>
      <c r="AI67" s="47" t="s">
        <v>1134</v>
      </c>
      <c r="AJ67" s="48" t="s">
        <v>1308</v>
      </c>
      <c r="AK67" s="47" t="s">
        <v>1309</v>
      </c>
      <c r="AL67" s="56" t="s">
        <v>244</v>
      </c>
      <c r="AM67" s="47" t="str">
        <f>AK67</f>
        <v>Jl. Murai No/ 198A RT001 RW09 Kel. Jaka Setia, Kec Bekasi Selatan, Kota Bekasi</v>
      </c>
      <c r="AN67" s="47"/>
      <c r="AO67" s="47" t="s">
        <v>100</v>
      </c>
      <c r="AP67" s="47" t="s">
        <v>101</v>
      </c>
      <c r="AQ67" s="48" t="s">
        <v>1310</v>
      </c>
      <c r="AR67" s="48" t="s">
        <v>1311</v>
      </c>
      <c r="AS67" s="47" t="s">
        <v>163</v>
      </c>
      <c r="AT67" s="47" t="s">
        <v>343</v>
      </c>
      <c r="AU67" s="47"/>
      <c r="AV67" s="47" t="s">
        <v>1312</v>
      </c>
      <c r="AW67" s="47" t="str">
        <f>AM67</f>
        <v>Jl. Murai No/ 198A RT001 RW09 Kel. Jaka Setia, Kec Bekasi Selatan, Kota Bekasi</v>
      </c>
      <c r="AX67" s="47"/>
      <c r="AY67" s="47" t="s">
        <v>168</v>
      </c>
      <c r="AZ67" s="47" t="s">
        <v>168</v>
      </c>
      <c r="BA67" s="47" t="s">
        <v>1313</v>
      </c>
      <c r="BB67" s="47" t="s">
        <v>1304</v>
      </c>
      <c r="BC67" s="47" t="s">
        <v>1314</v>
      </c>
      <c r="BD67" s="47" t="s">
        <v>1315</v>
      </c>
      <c r="BE67" s="47" t="s">
        <v>175</v>
      </c>
      <c r="BF67" s="51">
        <v>31641</v>
      </c>
      <c r="BG67" s="57">
        <f t="shared" ca="1" si="7"/>
        <v>39</v>
      </c>
      <c r="BH67" s="57">
        <f t="shared" ca="1" si="8"/>
        <v>8</v>
      </c>
      <c r="BI67" s="57">
        <f t="shared" ca="1" si="9"/>
        <v>5</v>
      </c>
      <c r="BJ67" s="47" t="s">
        <v>1316</v>
      </c>
      <c r="BK67" s="47" t="s">
        <v>86</v>
      </c>
      <c r="BL67" s="51">
        <v>41184</v>
      </c>
      <c r="BM67" s="57">
        <f t="shared" ca="1" si="10"/>
        <v>13</v>
      </c>
      <c r="BN67" s="57">
        <f t="shared" ca="1" si="11"/>
        <v>6</v>
      </c>
      <c r="BO67" s="57">
        <f t="shared" ca="1" si="12"/>
        <v>20</v>
      </c>
      <c r="BP67" s="47" t="s">
        <v>1317</v>
      </c>
      <c r="BQ67" s="47" t="s">
        <v>175</v>
      </c>
      <c r="BR67" s="51">
        <v>43304</v>
      </c>
      <c r="BS67" s="57">
        <f t="shared" ca="1" si="13"/>
        <v>7</v>
      </c>
      <c r="BT67" s="57">
        <f t="shared" ca="1" si="14"/>
        <v>8</v>
      </c>
      <c r="BU67" s="57">
        <f t="shared" ca="1" si="15"/>
        <v>30</v>
      </c>
      <c r="BV67" s="47"/>
      <c r="BW67" s="47"/>
      <c r="BX67" s="51"/>
      <c r="BY67" s="57">
        <f t="shared" ca="1" si="16"/>
        <v>126</v>
      </c>
      <c r="BZ67" s="57">
        <f t="shared" ca="1" si="17"/>
        <v>3</v>
      </c>
      <c r="CA67" s="57">
        <f t="shared" ca="1" si="18"/>
        <v>22</v>
      </c>
      <c r="CB67" s="73" t="s">
        <v>1318</v>
      </c>
      <c r="CC67" s="58" t="s">
        <v>1319</v>
      </c>
    </row>
    <row r="68" spans="1:81" ht="15" customHeight="1" x14ac:dyDescent="0.25">
      <c r="A68" s="46" t="s">
        <v>1320</v>
      </c>
      <c r="B68" s="47" t="s">
        <v>1321</v>
      </c>
      <c r="C68" s="47" t="s">
        <v>1322</v>
      </c>
      <c r="D68" s="47" t="s">
        <v>86</v>
      </c>
      <c r="E68" s="47" t="s">
        <v>353</v>
      </c>
      <c r="F68" s="47" t="s">
        <v>328</v>
      </c>
      <c r="G68" s="47" t="s">
        <v>329</v>
      </c>
      <c r="H68" s="47" t="s">
        <v>354</v>
      </c>
      <c r="I68" s="47" t="s">
        <v>355</v>
      </c>
      <c r="J68" s="47" t="s">
        <v>110</v>
      </c>
      <c r="K68" s="47" t="s">
        <v>91</v>
      </c>
      <c r="L68" s="49">
        <v>44725</v>
      </c>
      <c r="M68" s="50">
        <f t="shared" ca="1" si="0"/>
        <v>3</v>
      </c>
      <c r="N68" s="50">
        <f t="shared" ca="1" si="1"/>
        <v>10</v>
      </c>
      <c r="O68" s="50">
        <f t="shared" ca="1" si="2"/>
        <v>9</v>
      </c>
      <c r="P68" s="51">
        <f t="shared" si="3"/>
        <v>56059</v>
      </c>
      <c r="Q68" s="47" t="s">
        <v>804</v>
      </c>
      <c r="R68" s="51">
        <f t="shared" si="21"/>
        <v>44725</v>
      </c>
      <c r="S68" s="51">
        <f>R68+(365-1)</f>
        <v>45089</v>
      </c>
      <c r="T68" s="51">
        <f t="shared" si="19"/>
        <v>45090</v>
      </c>
      <c r="U68" s="52" t="s">
        <v>88</v>
      </c>
      <c r="V68" s="47" t="s">
        <v>459</v>
      </c>
      <c r="W68" s="47" t="s">
        <v>284</v>
      </c>
      <c r="X68" s="51">
        <v>35970</v>
      </c>
      <c r="Y68" s="50">
        <f t="shared" ca="1" si="4"/>
        <v>27</v>
      </c>
      <c r="Z68" s="50">
        <f t="shared" ca="1" si="5"/>
        <v>9</v>
      </c>
      <c r="AA68" s="50">
        <f t="shared" ca="1" si="6"/>
        <v>29</v>
      </c>
      <c r="AB68" s="47" t="s">
        <v>1323</v>
      </c>
      <c r="AC68" s="53"/>
      <c r="AD68" s="70" t="s">
        <v>185</v>
      </c>
      <c r="AE68" s="47" t="s">
        <v>1324</v>
      </c>
      <c r="AF68" s="47" t="s">
        <v>1325</v>
      </c>
      <c r="AG68" s="47"/>
      <c r="AH68" s="47">
        <v>0</v>
      </c>
      <c r="AI68" s="48" t="s">
        <v>88</v>
      </c>
      <c r="AJ68" s="48" t="s">
        <v>1326</v>
      </c>
      <c r="AK68" s="47" t="s">
        <v>1327</v>
      </c>
      <c r="AL68" s="56" t="s">
        <v>244</v>
      </c>
      <c r="AM68" s="47" t="s">
        <v>1327</v>
      </c>
      <c r="AN68" s="47"/>
      <c r="AO68" s="47" t="s">
        <v>159</v>
      </c>
      <c r="AP68" s="47" t="s">
        <v>641</v>
      </c>
      <c r="AQ68" s="48" t="s">
        <v>1328</v>
      </c>
      <c r="AR68" s="48" t="s">
        <v>1329</v>
      </c>
      <c r="AS68" s="47" t="s">
        <v>163</v>
      </c>
      <c r="AT68" s="47" t="s">
        <v>194</v>
      </c>
      <c r="AU68" s="47"/>
      <c r="AV68" s="47"/>
      <c r="AW68" s="47" t="s">
        <v>1327</v>
      </c>
      <c r="AX68" s="48" t="s">
        <v>1330</v>
      </c>
      <c r="AY68" s="47" t="s">
        <v>168</v>
      </c>
      <c r="AZ68" s="47" t="s">
        <v>168</v>
      </c>
      <c r="BA68" s="47" t="s">
        <v>1331</v>
      </c>
      <c r="BB68" s="47" t="s">
        <v>1332</v>
      </c>
      <c r="BC68" s="47" t="s">
        <v>1333</v>
      </c>
      <c r="BD68" s="48" t="s">
        <v>88</v>
      </c>
      <c r="BE68" s="48" t="s">
        <v>88</v>
      </c>
      <c r="BF68" s="52" t="s">
        <v>88</v>
      </c>
      <c r="BG68" s="57" t="e">
        <f t="shared" ca="1" si="7"/>
        <v>#VALUE!</v>
      </c>
      <c r="BH68" s="57" t="e">
        <f t="shared" ca="1" si="8"/>
        <v>#VALUE!</v>
      </c>
      <c r="BI68" s="57" t="e">
        <f t="shared" ca="1" si="9"/>
        <v>#VALUE!</v>
      </c>
      <c r="BJ68" s="48" t="s">
        <v>88</v>
      </c>
      <c r="BK68" s="48" t="s">
        <v>88</v>
      </c>
      <c r="BL68" s="52" t="s">
        <v>88</v>
      </c>
      <c r="BM68" s="57" t="e">
        <f t="shared" ca="1" si="10"/>
        <v>#VALUE!</v>
      </c>
      <c r="BN68" s="57" t="e">
        <f t="shared" ca="1" si="11"/>
        <v>#VALUE!</v>
      </c>
      <c r="BO68" s="57" t="e">
        <f t="shared" ca="1" si="12"/>
        <v>#VALUE!</v>
      </c>
      <c r="BP68" s="48" t="s">
        <v>88</v>
      </c>
      <c r="BQ68" s="48" t="s">
        <v>88</v>
      </c>
      <c r="BR68" s="52" t="s">
        <v>88</v>
      </c>
      <c r="BS68" s="57" t="e">
        <f t="shared" ca="1" si="13"/>
        <v>#VALUE!</v>
      </c>
      <c r="BT68" s="57" t="e">
        <f t="shared" ca="1" si="14"/>
        <v>#VALUE!</v>
      </c>
      <c r="BU68" s="57" t="e">
        <f t="shared" ca="1" si="15"/>
        <v>#VALUE!</v>
      </c>
      <c r="BV68" s="48" t="s">
        <v>88</v>
      </c>
      <c r="BW68" s="48" t="s">
        <v>88</v>
      </c>
      <c r="BX68" s="52" t="s">
        <v>88</v>
      </c>
      <c r="BY68" s="57" t="e">
        <f t="shared" ca="1" si="16"/>
        <v>#VALUE!</v>
      </c>
      <c r="BZ68" s="57" t="e">
        <f t="shared" ca="1" si="17"/>
        <v>#VALUE!</v>
      </c>
      <c r="CA68" s="57" t="e">
        <f t="shared" ca="1" si="18"/>
        <v>#VALUE!</v>
      </c>
      <c r="CB68" s="73" t="s">
        <v>1334</v>
      </c>
      <c r="CC68" s="58" t="s">
        <v>1335</v>
      </c>
    </row>
    <row r="69" spans="1:81" ht="15" customHeight="1" x14ac:dyDescent="0.25">
      <c r="A69" s="46" t="s">
        <v>1336</v>
      </c>
      <c r="B69" s="47" t="s">
        <v>1337</v>
      </c>
      <c r="C69" s="47" t="s">
        <v>1338</v>
      </c>
      <c r="D69" s="47" t="s">
        <v>86</v>
      </c>
      <c r="E69" s="47" t="s">
        <v>206</v>
      </c>
      <c r="F69" s="47" t="s">
        <v>177</v>
      </c>
      <c r="G69" s="47"/>
      <c r="H69" s="59" t="s">
        <v>178</v>
      </c>
      <c r="I69" s="47" t="s">
        <v>207</v>
      </c>
      <c r="J69" s="47" t="s">
        <v>1339</v>
      </c>
      <c r="K69" s="47" t="s">
        <v>91</v>
      </c>
      <c r="L69" s="49">
        <v>44743</v>
      </c>
      <c r="M69" s="50">
        <f t="shared" ca="1" si="0"/>
        <v>3</v>
      </c>
      <c r="N69" s="50">
        <f t="shared" ca="1" si="1"/>
        <v>9</v>
      </c>
      <c r="O69" s="50">
        <f t="shared" ca="1" si="2"/>
        <v>21</v>
      </c>
      <c r="P69" s="51">
        <f t="shared" si="3"/>
        <v>52685</v>
      </c>
      <c r="Q69" s="47" t="s">
        <v>181</v>
      </c>
      <c r="R69" s="51">
        <f t="shared" si="21"/>
        <v>44743</v>
      </c>
      <c r="S69" s="51">
        <v>44834</v>
      </c>
      <c r="T69" s="51">
        <f t="shared" si="19"/>
        <v>44835</v>
      </c>
      <c r="U69" s="52" t="s">
        <v>88</v>
      </c>
      <c r="V69" s="47" t="s">
        <v>1339</v>
      </c>
      <c r="W69" s="47" t="s">
        <v>236</v>
      </c>
      <c r="X69" s="51">
        <v>32596</v>
      </c>
      <c r="Y69" s="50">
        <f t="shared" ca="1" si="4"/>
        <v>37</v>
      </c>
      <c r="Z69" s="50">
        <f t="shared" ca="1" si="5"/>
        <v>0</v>
      </c>
      <c r="AA69" s="50">
        <f t="shared" ca="1" si="6"/>
        <v>24</v>
      </c>
      <c r="AB69" s="47" t="s">
        <v>1340</v>
      </c>
      <c r="AC69" s="53"/>
      <c r="AD69" s="70" t="s">
        <v>360</v>
      </c>
      <c r="AE69" s="47" t="s">
        <v>1341</v>
      </c>
      <c r="AF69" s="47" t="s">
        <v>1307</v>
      </c>
      <c r="AG69" s="47"/>
      <c r="AH69" s="47">
        <v>12</v>
      </c>
      <c r="AI69" s="47" t="s">
        <v>1342</v>
      </c>
      <c r="AJ69" s="48" t="s">
        <v>1343</v>
      </c>
      <c r="AK69" s="47" t="s">
        <v>1344</v>
      </c>
      <c r="AL69" s="56" t="s">
        <v>244</v>
      </c>
      <c r="AM69" s="47" t="s">
        <v>1345</v>
      </c>
      <c r="AN69" s="47"/>
      <c r="AO69" s="47" t="s">
        <v>385</v>
      </c>
      <c r="AP69" s="47" t="s">
        <v>101</v>
      </c>
      <c r="AQ69" s="48" t="s">
        <v>1346</v>
      </c>
      <c r="AR69" s="48" t="s">
        <v>1347</v>
      </c>
      <c r="AS69" s="47" t="s">
        <v>513</v>
      </c>
      <c r="AT69" s="47" t="s">
        <v>343</v>
      </c>
      <c r="AU69" s="47"/>
      <c r="AV69" s="48" t="s">
        <v>1348</v>
      </c>
      <c r="AW69" s="47" t="str">
        <f>AK69</f>
        <v>Jln. Panci 52B Medan</v>
      </c>
      <c r="AX69" s="48" t="s">
        <v>1349</v>
      </c>
      <c r="AY69" s="47" t="s">
        <v>168</v>
      </c>
      <c r="AZ69" s="47" t="s">
        <v>168</v>
      </c>
      <c r="BA69" s="48" t="s">
        <v>1350</v>
      </c>
      <c r="BB69" s="47" t="s">
        <v>1351</v>
      </c>
      <c r="BC69" s="47" t="s">
        <v>1352</v>
      </c>
      <c r="BD69" s="47" t="s">
        <v>1353</v>
      </c>
      <c r="BE69" s="47" t="s">
        <v>175</v>
      </c>
      <c r="BF69" s="51">
        <v>33436</v>
      </c>
      <c r="BG69" s="57">
        <f t="shared" ca="1" si="7"/>
        <v>34</v>
      </c>
      <c r="BH69" s="57">
        <f t="shared" ca="1" si="8"/>
        <v>9</v>
      </c>
      <c r="BI69" s="57">
        <f t="shared" ca="1" si="9"/>
        <v>5</v>
      </c>
      <c r="BJ69" s="48" t="s">
        <v>88</v>
      </c>
      <c r="BK69" s="48" t="s">
        <v>88</v>
      </c>
      <c r="BL69" s="52" t="s">
        <v>88</v>
      </c>
      <c r="BM69" s="57" t="e">
        <f t="shared" ca="1" si="10"/>
        <v>#VALUE!</v>
      </c>
      <c r="BN69" s="57" t="e">
        <f t="shared" ca="1" si="11"/>
        <v>#VALUE!</v>
      </c>
      <c r="BO69" s="57" t="e">
        <f t="shared" ca="1" si="12"/>
        <v>#VALUE!</v>
      </c>
      <c r="BP69" s="48" t="s">
        <v>88</v>
      </c>
      <c r="BQ69" s="48" t="s">
        <v>88</v>
      </c>
      <c r="BR69" s="52" t="s">
        <v>88</v>
      </c>
      <c r="BS69" s="57" t="e">
        <f t="shared" ca="1" si="13"/>
        <v>#VALUE!</v>
      </c>
      <c r="BT69" s="57" t="e">
        <f t="shared" ca="1" si="14"/>
        <v>#VALUE!</v>
      </c>
      <c r="BU69" s="57" t="e">
        <f t="shared" ca="1" si="15"/>
        <v>#VALUE!</v>
      </c>
      <c r="BV69" s="48" t="s">
        <v>88</v>
      </c>
      <c r="BW69" s="48" t="s">
        <v>88</v>
      </c>
      <c r="BX69" s="52" t="s">
        <v>88</v>
      </c>
      <c r="BY69" s="57" t="e">
        <f t="shared" ca="1" si="16"/>
        <v>#VALUE!</v>
      </c>
      <c r="BZ69" s="57" t="e">
        <f t="shared" ca="1" si="17"/>
        <v>#VALUE!</v>
      </c>
      <c r="CA69" s="57" t="e">
        <f t="shared" ca="1" si="18"/>
        <v>#VALUE!</v>
      </c>
      <c r="CB69" s="73" t="s">
        <v>1354</v>
      </c>
      <c r="CC69" s="58" t="s">
        <v>1355</v>
      </c>
    </row>
    <row r="70" spans="1:81" ht="15" customHeight="1" x14ac:dyDescent="0.25">
      <c r="A70" s="46" t="s">
        <v>1356</v>
      </c>
      <c r="B70" s="47" t="s">
        <v>1357</v>
      </c>
      <c r="C70" s="47" t="s">
        <v>1358</v>
      </c>
      <c r="D70" s="47" t="s">
        <v>86</v>
      </c>
      <c r="E70" s="47" t="s">
        <v>353</v>
      </c>
      <c r="F70" s="47" t="s">
        <v>328</v>
      </c>
      <c r="G70" s="47" t="s">
        <v>398</v>
      </c>
      <c r="H70" s="59" t="s">
        <v>399</v>
      </c>
      <c r="I70" s="47" t="s">
        <v>1359</v>
      </c>
      <c r="J70" s="47" t="s">
        <v>110</v>
      </c>
      <c r="K70" s="47" t="s">
        <v>91</v>
      </c>
      <c r="L70" s="49">
        <v>44760</v>
      </c>
      <c r="M70" s="50">
        <f t="shared" ca="1" si="0"/>
        <v>3</v>
      </c>
      <c r="N70" s="50">
        <f t="shared" ca="1" si="1"/>
        <v>9</v>
      </c>
      <c r="O70" s="50">
        <f t="shared" ca="1" si="2"/>
        <v>4</v>
      </c>
      <c r="P70" s="51">
        <f t="shared" si="3"/>
        <v>55306</v>
      </c>
      <c r="Q70" s="47" t="s">
        <v>804</v>
      </c>
      <c r="R70" s="51">
        <f t="shared" si="21"/>
        <v>44760</v>
      </c>
      <c r="S70" s="51">
        <v>45124</v>
      </c>
      <c r="T70" s="51">
        <f t="shared" si="19"/>
        <v>45125</v>
      </c>
      <c r="U70" s="52" t="s">
        <v>88</v>
      </c>
      <c r="V70" s="47" t="s">
        <v>1360</v>
      </c>
      <c r="W70" s="47" t="s">
        <v>284</v>
      </c>
      <c r="X70" s="51">
        <v>35218</v>
      </c>
      <c r="Y70" s="50">
        <f t="shared" ca="1" si="4"/>
        <v>29</v>
      </c>
      <c r="Z70" s="50">
        <f t="shared" ca="1" si="5"/>
        <v>10</v>
      </c>
      <c r="AA70" s="50">
        <f t="shared" ca="1" si="6"/>
        <v>20</v>
      </c>
      <c r="AB70" s="47" t="s">
        <v>1361</v>
      </c>
      <c r="AC70" s="53"/>
      <c r="AD70" s="70" t="s">
        <v>185</v>
      </c>
      <c r="AE70" s="47" t="s">
        <v>213</v>
      </c>
      <c r="AF70" s="47" t="s">
        <v>554</v>
      </c>
      <c r="AG70" s="47"/>
      <c r="AH70" s="47">
        <v>2</v>
      </c>
      <c r="AI70" s="47" t="s">
        <v>1362</v>
      </c>
      <c r="AJ70" s="48" t="s">
        <v>1363</v>
      </c>
      <c r="AK70" s="47" t="s">
        <v>1364</v>
      </c>
      <c r="AL70" s="56" t="s">
        <v>244</v>
      </c>
      <c r="AM70" s="47" t="str">
        <f>AK70</f>
        <v>Perumahan Kalibagor Indah Blok D8, Central Java</v>
      </c>
      <c r="AN70" s="47"/>
      <c r="AO70" s="47" t="s">
        <v>385</v>
      </c>
      <c r="AP70" s="47" t="s">
        <v>101</v>
      </c>
      <c r="AQ70" s="48" t="s">
        <v>1365</v>
      </c>
      <c r="AR70" s="48" t="s">
        <v>1366</v>
      </c>
      <c r="AS70" s="47" t="s">
        <v>163</v>
      </c>
      <c r="AT70" s="47" t="s">
        <v>164</v>
      </c>
      <c r="AU70" s="47"/>
      <c r="AV70" s="47" t="s">
        <v>1367</v>
      </c>
      <c r="AW70" s="47" t="s">
        <v>1368</v>
      </c>
      <c r="AX70" s="48" t="s">
        <v>1369</v>
      </c>
      <c r="AY70" s="47" t="s">
        <v>168</v>
      </c>
      <c r="AZ70" s="47" t="s">
        <v>168</v>
      </c>
      <c r="BA70" s="48" t="s">
        <v>1370</v>
      </c>
      <c r="BB70" s="47" t="s">
        <v>1371</v>
      </c>
      <c r="BC70" s="47" t="s">
        <v>1372</v>
      </c>
      <c r="BD70" s="47" t="s">
        <v>1373</v>
      </c>
      <c r="BE70" s="47" t="s">
        <v>175</v>
      </c>
      <c r="BF70" s="51">
        <v>34844</v>
      </c>
      <c r="BG70" s="57">
        <f t="shared" ca="1" si="7"/>
        <v>30</v>
      </c>
      <c r="BH70" s="57">
        <f t="shared" ca="1" si="8"/>
        <v>10</v>
      </c>
      <c r="BI70" s="57">
        <f t="shared" ca="1" si="9"/>
        <v>28</v>
      </c>
      <c r="BJ70" s="48" t="s">
        <v>88</v>
      </c>
      <c r="BK70" s="48" t="s">
        <v>88</v>
      </c>
      <c r="BL70" s="52" t="s">
        <v>88</v>
      </c>
      <c r="BM70" s="57" t="e">
        <f t="shared" ca="1" si="10"/>
        <v>#VALUE!</v>
      </c>
      <c r="BN70" s="57" t="e">
        <f t="shared" ca="1" si="11"/>
        <v>#VALUE!</v>
      </c>
      <c r="BO70" s="57" t="e">
        <f t="shared" ca="1" si="12"/>
        <v>#VALUE!</v>
      </c>
      <c r="BP70" s="48" t="s">
        <v>88</v>
      </c>
      <c r="BQ70" s="48" t="s">
        <v>88</v>
      </c>
      <c r="BR70" s="52" t="s">
        <v>88</v>
      </c>
      <c r="BS70" s="57" t="e">
        <f t="shared" ca="1" si="13"/>
        <v>#VALUE!</v>
      </c>
      <c r="BT70" s="57" t="e">
        <f t="shared" ca="1" si="14"/>
        <v>#VALUE!</v>
      </c>
      <c r="BU70" s="57" t="e">
        <f t="shared" ca="1" si="15"/>
        <v>#VALUE!</v>
      </c>
      <c r="BV70" s="48" t="s">
        <v>88</v>
      </c>
      <c r="BW70" s="48" t="s">
        <v>88</v>
      </c>
      <c r="BX70" s="52" t="s">
        <v>88</v>
      </c>
      <c r="BY70" s="57" t="e">
        <f t="shared" ca="1" si="16"/>
        <v>#VALUE!</v>
      </c>
      <c r="BZ70" s="57" t="e">
        <f t="shared" ca="1" si="17"/>
        <v>#VALUE!</v>
      </c>
      <c r="CA70" s="57" t="e">
        <f t="shared" ca="1" si="18"/>
        <v>#VALUE!</v>
      </c>
      <c r="CB70" s="73" t="s">
        <v>1374</v>
      </c>
      <c r="CC70" s="58" t="s">
        <v>1375</v>
      </c>
    </row>
    <row r="71" spans="1:81" ht="15" customHeight="1" x14ac:dyDescent="0.25">
      <c r="A71" s="46" t="s">
        <v>1376</v>
      </c>
      <c r="B71" s="47" t="s">
        <v>1377</v>
      </c>
      <c r="C71" s="47" t="s">
        <v>1378</v>
      </c>
      <c r="D71" s="47" t="s">
        <v>86</v>
      </c>
      <c r="E71" s="47" t="s">
        <v>176</v>
      </c>
      <c r="F71" s="47" t="s">
        <v>328</v>
      </c>
      <c r="G71" s="47" t="s">
        <v>329</v>
      </c>
      <c r="H71" s="47" t="s">
        <v>354</v>
      </c>
      <c r="I71" s="47" t="s">
        <v>1379</v>
      </c>
      <c r="J71" s="47" t="s">
        <v>110</v>
      </c>
      <c r="K71" s="47" t="s">
        <v>91</v>
      </c>
      <c r="L71" s="49">
        <v>44762</v>
      </c>
      <c r="M71" s="50">
        <f t="shared" ca="1" si="0"/>
        <v>3</v>
      </c>
      <c r="N71" s="50">
        <f t="shared" ca="1" si="1"/>
        <v>9</v>
      </c>
      <c r="O71" s="50">
        <f t="shared" ca="1" si="2"/>
        <v>2</v>
      </c>
      <c r="P71" s="51">
        <f t="shared" si="3"/>
        <v>53976</v>
      </c>
      <c r="Q71" s="47" t="s">
        <v>181</v>
      </c>
      <c r="R71" s="51">
        <f t="shared" si="21"/>
        <v>44762</v>
      </c>
      <c r="S71" s="51">
        <f>R71+(90)</f>
        <v>44852</v>
      </c>
      <c r="T71" s="51">
        <f t="shared" si="19"/>
        <v>44853</v>
      </c>
      <c r="U71" s="52" t="s">
        <v>88</v>
      </c>
      <c r="V71" s="47" t="s">
        <v>459</v>
      </c>
      <c r="W71" s="47" t="s">
        <v>111</v>
      </c>
      <c r="X71" s="51">
        <v>33888</v>
      </c>
      <c r="Y71" s="50">
        <f t="shared" ca="1" si="4"/>
        <v>33</v>
      </c>
      <c r="Z71" s="50">
        <f t="shared" ca="1" si="5"/>
        <v>6</v>
      </c>
      <c r="AA71" s="50">
        <f t="shared" ca="1" si="6"/>
        <v>11</v>
      </c>
      <c r="AB71" s="47" t="s">
        <v>1380</v>
      </c>
      <c r="AC71" s="53"/>
      <c r="AD71" s="70" t="s">
        <v>360</v>
      </c>
      <c r="AE71" s="47" t="s">
        <v>1272</v>
      </c>
      <c r="AF71" s="47" t="s">
        <v>1381</v>
      </c>
      <c r="AG71" s="47"/>
      <c r="AH71" s="47">
        <v>7</v>
      </c>
      <c r="AI71" s="47" t="s">
        <v>1134</v>
      </c>
      <c r="AJ71" s="48" t="s">
        <v>1382</v>
      </c>
      <c r="AK71" s="47" t="s">
        <v>1383</v>
      </c>
      <c r="AL71" s="56" t="s">
        <v>244</v>
      </c>
      <c r="AM71" s="47" t="str">
        <f>AK71</f>
        <v>Jl. Melati 15 No. 12 Taman Sari Puspa, Lippo Cikarang</v>
      </c>
      <c r="AN71" s="47"/>
      <c r="AO71" s="47" t="s">
        <v>135</v>
      </c>
      <c r="AP71" s="47" t="s">
        <v>101</v>
      </c>
      <c r="AQ71" s="48" t="s">
        <v>1384</v>
      </c>
      <c r="AR71" s="48" t="s">
        <v>1385</v>
      </c>
      <c r="AS71" s="47" t="s">
        <v>163</v>
      </c>
      <c r="AT71" s="47" t="s">
        <v>194</v>
      </c>
      <c r="AU71" s="47"/>
      <c r="AV71" s="47" t="s">
        <v>1386</v>
      </c>
      <c r="AW71" s="47" t="str">
        <f>AM71</f>
        <v>Jl. Melati 15 No. 12 Taman Sari Puspa, Lippo Cikarang</v>
      </c>
      <c r="AX71" s="48" t="s">
        <v>1387</v>
      </c>
      <c r="AY71" s="47" t="s">
        <v>168</v>
      </c>
      <c r="AZ71" s="47" t="s">
        <v>168</v>
      </c>
      <c r="BA71" s="48" t="s">
        <v>1388</v>
      </c>
      <c r="BB71" s="47" t="s">
        <v>1389</v>
      </c>
      <c r="BC71" s="47" t="s">
        <v>1390</v>
      </c>
      <c r="BD71" s="47" t="s">
        <v>1391</v>
      </c>
      <c r="BE71" s="47" t="s">
        <v>175</v>
      </c>
      <c r="BF71" s="51">
        <v>33500</v>
      </c>
      <c r="BG71" s="57">
        <f t="shared" ca="1" si="7"/>
        <v>34</v>
      </c>
      <c r="BH71" s="57">
        <f t="shared" ca="1" si="8"/>
        <v>7</v>
      </c>
      <c r="BI71" s="57">
        <f t="shared" ca="1" si="9"/>
        <v>3</v>
      </c>
      <c r="BJ71" s="48" t="s">
        <v>1392</v>
      </c>
      <c r="BK71" s="48" t="s">
        <v>175</v>
      </c>
      <c r="BL71" s="51">
        <v>44627</v>
      </c>
      <c r="BM71" s="57">
        <f t="shared" ca="1" si="10"/>
        <v>4</v>
      </c>
      <c r="BN71" s="57">
        <f t="shared" ca="1" si="11"/>
        <v>1</v>
      </c>
      <c r="BO71" s="57">
        <f t="shared" ca="1" si="12"/>
        <v>15</v>
      </c>
      <c r="BP71" s="48" t="s">
        <v>88</v>
      </c>
      <c r="BQ71" s="48" t="s">
        <v>88</v>
      </c>
      <c r="BR71" s="52" t="s">
        <v>88</v>
      </c>
      <c r="BS71" s="57" t="e">
        <f t="shared" ca="1" si="13"/>
        <v>#VALUE!</v>
      </c>
      <c r="BT71" s="57" t="e">
        <f t="shared" ca="1" si="14"/>
        <v>#VALUE!</v>
      </c>
      <c r="BU71" s="57" t="e">
        <f t="shared" ca="1" si="15"/>
        <v>#VALUE!</v>
      </c>
      <c r="BV71" s="48" t="s">
        <v>88</v>
      </c>
      <c r="BW71" s="48" t="s">
        <v>88</v>
      </c>
      <c r="BX71" s="52" t="s">
        <v>88</v>
      </c>
      <c r="BY71" s="57" t="e">
        <f t="shared" ca="1" si="16"/>
        <v>#VALUE!</v>
      </c>
      <c r="BZ71" s="57" t="e">
        <f t="shared" ca="1" si="17"/>
        <v>#VALUE!</v>
      </c>
      <c r="CA71" s="57" t="e">
        <f t="shared" ca="1" si="18"/>
        <v>#VALUE!</v>
      </c>
      <c r="CB71" s="73" t="s">
        <v>1393</v>
      </c>
      <c r="CC71" s="58" t="s">
        <v>1394</v>
      </c>
    </row>
    <row r="72" spans="1:81" ht="15" customHeight="1" x14ac:dyDescent="0.25">
      <c r="A72" s="46" t="s">
        <v>1395</v>
      </c>
      <c r="B72" s="47" t="s">
        <v>1396</v>
      </c>
      <c r="C72" s="47" t="s">
        <v>1397</v>
      </c>
      <c r="D72" s="47" t="s">
        <v>86</v>
      </c>
      <c r="E72" s="59" t="s">
        <v>176</v>
      </c>
      <c r="F72" s="47" t="s">
        <v>177</v>
      </c>
      <c r="G72" s="47"/>
      <c r="H72" s="59" t="s">
        <v>178</v>
      </c>
      <c r="I72" s="47" t="s">
        <v>179</v>
      </c>
      <c r="J72" s="47" t="s">
        <v>1339</v>
      </c>
      <c r="K72" s="47" t="s">
        <v>91</v>
      </c>
      <c r="L72" s="49">
        <v>44775</v>
      </c>
      <c r="M72" s="50">
        <f t="shared" ca="1" si="0"/>
        <v>3</v>
      </c>
      <c r="N72" s="50">
        <f t="shared" ca="1" si="1"/>
        <v>8</v>
      </c>
      <c r="O72" s="50">
        <f t="shared" ca="1" si="2"/>
        <v>20</v>
      </c>
      <c r="P72" s="51">
        <f t="shared" si="3"/>
        <v>55275</v>
      </c>
      <c r="Q72" s="47" t="s">
        <v>181</v>
      </c>
      <c r="R72" s="51">
        <f t="shared" si="21"/>
        <v>44775</v>
      </c>
      <c r="S72" s="51">
        <f>R72+(90)</f>
        <v>44865</v>
      </c>
      <c r="T72" s="51">
        <f t="shared" si="19"/>
        <v>44866</v>
      </c>
      <c r="U72" s="52" t="s">
        <v>88</v>
      </c>
      <c r="V72" s="47" t="s">
        <v>1398</v>
      </c>
      <c r="W72" s="47" t="s">
        <v>678</v>
      </c>
      <c r="X72" s="51">
        <v>35187</v>
      </c>
      <c r="Y72" s="50">
        <f t="shared" ca="1" si="4"/>
        <v>29</v>
      </c>
      <c r="Z72" s="50">
        <f t="shared" ca="1" si="5"/>
        <v>11</v>
      </c>
      <c r="AA72" s="50">
        <f t="shared" ca="1" si="6"/>
        <v>20</v>
      </c>
      <c r="AB72" s="47" t="s">
        <v>1399</v>
      </c>
      <c r="AC72" s="53"/>
      <c r="AD72" s="70" t="s">
        <v>360</v>
      </c>
      <c r="AE72" s="47" t="s">
        <v>1400</v>
      </c>
      <c r="AF72" s="47" t="s">
        <v>1401</v>
      </c>
      <c r="AG72" s="47"/>
      <c r="AH72" s="47">
        <v>3</v>
      </c>
      <c r="AI72" s="47" t="s">
        <v>1402</v>
      </c>
      <c r="AJ72" s="48" t="s">
        <v>1403</v>
      </c>
      <c r="AK72" s="47" t="s">
        <v>1404</v>
      </c>
      <c r="AL72" s="56" t="s">
        <v>244</v>
      </c>
      <c r="AM72" s="47" t="s">
        <v>1405</v>
      </c>
      <c r="AN72" s="47"/>
      <c r="AO72" s="47" t="s">
        <v>135</v>
      </c>
      <c r="AP72" s="47" t="s">
        <v>101</v>
      </c>
      <c r="AQ72" s="48" t="s">
        <v>1406</v>
      </c>
      <c r="AR72" s="48" t="s">
        <v>1406</v>
      </c>
      <c r="AS72" s="47" t="s">
        <v>163</v>
      </c>
      <c r="AT72" s="47" t="s">
        <v>343</v>
      </c>
      <c r="AU72" s="47"/>
      <c r="AV72" s="47" t="s">
        <v>1407</v>
      </c>
      <c r="AW72" s="47" t="s">
        <v>1404</v>
      </c>
      <c r="AX72" s="48" t="s">
        <v>1408</v>
      </c>
      <c r="AY72" s="47" t="s">
        <v>168</v>
      </c>
      <c r="AZ72" s="47" t="s">
        <v>168</v>
      </c>
      <c r="BA72" s="48" t="s">
        <v>1409</v>
      </c>
      <c r="BB72" s="47" t="s">
        <v>1410</v>
      </c>
      <c r="BC72" s="47" t="s">
        <v>1411</v>
      </c>
      <c r="BD72" s="47" t="s">
        <v>1412</v>
      </c>
      <c r="BE72" s="47" t="s">
        <v>175</v>
      </c>
      <c r="BF72" s="51">
        <v>35498</v>
      </c>
      <c r="BG72" s="57">
        <f t="shared" ca="1" si="7"/>
        <v>29</v>
      </c>
      <c r="BH72" s="57">
        <f t="shared" ca="1" si="8"/>
        <v>1</v>
      </c>
      <c r="BI72" s="57">
        <f t="shared" ca="1" si="9"/>
        <v>13</v>
      </c>
      <c r="BJ72" s="47" t="s">
        <v>1413</v>
      </c>
      <c r="BK72" s="47" t="s">
        <v>86</v>
      </c>
      <c r="BL72" s="51">
        <v>44589</v>
      </c>
      <c r="BM72" s="57">
        <f t="shared" ca="1" si="10"/>
        <v>4</v>
      </c>
      <c r="BN72" s="57">
        <f t="shared" ca="1" si="11"/>
        <v>2</v>
      </c>
      <c r="BO72" s="57">
        <f t="shared" ca="1" si="12"/>
        <v>25</v>
      </c>
      <c r="BP72" s="47"/>
      <c r="BQ72" s="47"/>
      <c r="BR72" s="51"/>
      <c r="BS72" s="57">
        <f t="shared" ca="1" si="13"/>
        <v>126</v>
      </c>
      <c r="BT72" s="57">
        <f t="shared" ca="1" si="14"/>
        <v>3</v>
      </c>
      <c r="BU72" s="57">
        <f t="shared" ca="1" si="15"/>
        <v>22</v>
      </c>
      <c r="BV72" s="47"/>
      <c r="BW72" s="47"/>
      <c r="BX72" s="51"/>
      <c r="BY72" s="57">
        <f t="shared" ca="1" si="16"/>
        <v>126</v>
      </c>
      <c r="BZ72" s="57">
        <f t="shared" ca="1" si="17"/>
        <v>3</v>
      </c>
      <c r="CA72" s="57">
        <f t="shared" ca="1" si="18"/>
        <v>22</v>
      </c>
      <c r="CB72" s="73" t="s">
        <v>1414</v>
      </c>
      <c r="CC72" s="58" t="s">
        <v>1415</v>
      </c>
    </row>
    <row r="73" spans="1:81" ht="15" customHeight="1" x14ac:dyDescent="0.25">
      <c r="A73" s="46" t="s">
        <v>1416</v>
      </c>
      <c r="B73" s="47" t="s">
        <v>1417</v>
      </c>
      <c r="C73" s="47" t="s">
        <v>1418</v>
      </c>
      <c r="D73" s="47" t="s">
        <v>175</v>
      </c>
      <c r="E73" s="47" t="s">
        <v>353</v>
      </c>
      <c r="F73" s="47" t="s">
        <v>328</v>
      </c>
      <c r="G73" s="47" t="s">
        <v>398</v>
      </c>
      <c r="H73" s="47" t="s">
        <v>399</v>
      </c>
      <c r="I73" s="47" t="s">
        <v>1419</v>
      </c>
      <c r="J73" s="47" t="s">
        <v>110</v>
      </c>
      <c r="K73" s="47" t="s">
        <v>91</v>
      </c>
      <c r="L73" s="49">
        <v>44819</v>
      </c>
      <c r="M73" s="50">
        <f t="shared" ca="1" si="0"/>
        <v>3</v>
      </c>
      <c r="N73" s="50">
        <f t="shared" ca="1" si="1"/>
        <v>7</v>
      </c>
      <c r="O73" s="50">
        <f t="shared" ca="1" si="2"/>
        <v>7</v>
      </c>
      <c r="P73" s="51">
        <f t="shared" si="3"/>
        <v>56555</v>
      </c>
      <c r="Q73" s="47" t="s">
        <v>181</v>
      </c>
      <c r="R73" s="51">
        <f t="shared" si="21"/>
        <v>44819</v>
      </c>
      <c r="S73" s="51">
        <f>R73+(90)</f>
        <v>44909</v>
      </c>
      <c r="T73" s="51">
        <f t="shared" si="19"/>
        <v>44910</v>
      </c>
      <c r="U73" s="51"/>
      <c r="V73" s="47" t="s">
        <v>1420</v>
      </c>
      <c r="W73" s="47" t="s">
        <v>111</v>
      </c>
      <c r="X73" s="49">
        <v>36466</v>
      </c>
      <c r="Y73" s="50">
        <f t="shared" ca="1" si="4"/>
        <v>26</v>
      </c>
      <c r="Z73" s="50">
        <f t="shared" ca="1" si="5"/>
        <v>5</v>
      </c>
      <c r="AA73" s="50">
        <f t="shared" ca="1" si="6"/>
        <v>20</v>
      </c>
      <c r="AB73" s="47" t="s">
        <v>1421</v>
      </c>
      <c r="AC73" s="53"/>
      <c r="AD73" s="70" t="s">
        <v>185</v>
      </c>
      <c r="AE73" s="47" t="s">
        <v>1422</v>
      </c>
      <c r="AF73" s="47" t="s">
        <v>590</v>
      </c>
      <c r="AG73" s="47"/>
      <c r="AH73" s="48" t="s">
        <v>88</v>
      </c>
      <c r="AI73" s="48" t="s">
        <v>88</v>
      </c>
      <c r="AJ73" s="48" t="s">
        <v>1423</v>
      </c>
      <c r="AK73" s="47" t="s">
        <v>1424</v>
      </c>
      <c r="AL73" s="56" t="s">
        <v>244</v>
      </c>
      <c r="AM73" s="47" t="s">
        <v>1424</v>
      </c>
      <c r="AN73" s="47"/>
      <c r="AO73" s="47" t="s">
        <v>159</v>
      </c>
      <c r="AP73" s="47" t="s">
        <v>641</v>
      </c>
      <c r="AQ73" s="48" t="s">
        <v>1425</v>
      </c>
      <c r="AR73" s="48" t="s">
        <v>1426</v>
      </c>
      <c r="AS73" s="47" t="s">
        <v>791</v>
      </c>
      <c r="AT73" s="47" t="s">
        <v>343</v>
      </c>
      <c r="AU73" s="47"/>
      <c r="AV73" s="47" t="s">
        <v>1427</v>
      </c>
      <c r="AW73" s="47" t="str">
        <f>AK73</f>
        <v>Lingkungan Petapan Persidi, Tegalcangkring, Mendoyo, Jembrana, Bali.</v>
      </c>
      <c r="AX73" s="48" t="s">
        <v>1428</v>
      </c>
      <c r="AY73" s="59" t="s">
        <v>168</v>
      </c>
      <c r="AZ73" s="59" t="s">
        <v>168</v>
      </c>
      <c r="BA73" s="47" t="s">
        <v>1429</v>
      </c>
      <c r="BB73" s="47" t="s">
        <v>1418</v>
      </c>
      <c r="BC73" s="47" t="s">
        <v>1430</v>
      </c>
      <c r="BD73" s="48" t="s">
        <v>88</v>
      </c>
      <c r="BE73" s="48" t="s">
        <v>88</v>
      </c>
      <c r="BF73" s="52" t="s">
        <v>88</v>
      </c>
      <c r="BG73" s="57" t="e">
        <f t="shared" ca="1" si="7"/>
        <v>#VALUE!</v>
      </c>
      <c r="BH73" s="57" t="e">
        <f t="shared" ca="1" si="8"/>
        <v>#VALUE!</v>
      </c>
      <c r="BI73" s="57" t="e">
        <f t="shared" ca="1" si="9"/>
        <v>#VALUE!</v>
      </c>
      <c r="BJ73" s="48" t="s">
        <v>88</v>
      </c>
      <c r="BK73" s="48" t="s">
        <v>88</v>
      </c>
      <c r="BL73" s="52" t="s">
        <v>88</v>
      </c>
      <c r="BM73" s="57" t="e">
        <f t="shared" ca="1" si="10"/>
        <v>#VALUE!</v>
      </c>
      <c r="BN73" s="57" t="e">
        <f t="shared" ca="1" si="11"/>
        <v>#VALUE!</v>
      </c>
      <c r="BO73" s="57" t="e">
        <f t="shared" ca="1" si="12"/>
        <v>#VALUE!</v>
      </c>
      <c r="BP73" s="48" t="s">
        <v>88</v>
      </c>
      <c r="BQ73" s="48" t="s">
        <v>88</v>
      </c>
      <c r="BR73" s="52" t="s">
        <v>88</v>
      </c>
      <c r="BS73" s="57" t="e">
        <f t="shared" ca="1" si="13"/>
        <v>#VALUE!</v>
      </c>
      <c r="BT73" s="57" t="e">
        <f t="shared" ca="1" si="14"/>
        <v>#VALUE!</v>
      </c>
      <c r="BU73" s="57" t="e">
        <f t="shared" ca="1" si="15"/>
        <v>#VALUE!</v>
      </c>
      <c r="BV73" s="48" t="s">
        <v>88</v>
      </c>
      <c r="BW73" s="48" t="s">
        <v>88</v>
      </c>
      <c r="BX73" s="52" t="s">
        <v>88</v>
      </c>
      <c r="BY73" s="57" t="e">
        <f t="shared" ca="1" si="16"/>
        <v>#VALUE!</v>
      </c>
      <c r="BZ73" s="57" t="e">
        <f t="shared" ca="1" si="17"/>
        <v>#VALUE!</v>
      </c>
      <c r="CA73" s="57" t="e">
        <f t="shared" ca="1" si="18"/>
        <v>#VALUE!</v>
      </c>
      <c r="CB73" s="73" t="s">
        <v>1431</v>
      </c>
      <c r="CC73" s="82" t="s">
        <v>88</v>
      </c>
    </row>
    <row r="74" spans="1:81" ht="15" customHeight="1" x14ac:dyDescent="0.25">
      <c r="A74" s="46" t="s">
        <v>1432</v>
      </c>
      <c r="B74" s="47" t="s">
        <v>1433</v>
      </c>
      <c r="C74" s="47" t="s">
        <v>1434</v>
      </c>
      <c r="D74" s="47" t="s">
        <v>175</v>
      </c>
      <c r="E74" s="47" t="s">
        <v>1435</v>
      </c>
      <c r="F74" s="47" t="s">
        <v>177</v>
      </c>
      <c r="G74" s="47"/>
      <c r="H74" s="47" t="s">
        <v>1436</v>
      </c>
      <c r="I74" s="47" t="s">
        <v>1437</v>
      </c>
      <c r="J74" s="47" t="s">
        <v>90</v>
      </c>
      <c r="K74" s="47" t="s">
        <v>91</v>
      </c>
      <c r="L74" s="49">
        <v>44846</v>
      </c>
      <c r="M74" s="50">
        <f t="shared" ref="M74:M137" ca="1" si="22">DATEDIF(L74,TODAY(),"Y")</f>
        <v>3</v>
      </c>
      <c r="N74" s="50">
        <f t="shared" ref="N74:N137" ca="1" si="23">DATEDIF(L74,TODAY(),"YM")</f>
        <v>6</v>
      </c>
      <c r="O74" s="50">
        <f t="shared" ref="O74:O137" ca="1" si="24">DATEDIF(L74,TODAY(),"MD")</f>
        <v>10</v>
      </c>
      <c r="P74" s="51">
        <f t="shared" ref="P74:P137" si="25">EDATE(X74,55*12)</f>
        <v>55303</v>
      </c>
      <c r="Q74" s="47" t="s">
        <v>181</v>
      </c>
      <c r="R74" s="51">
        <f t="shared" si="21"/>
        <v>44846</v>
      </c>
      <c r="S74" s="51">
        <f>R74+(90)</f>
        <v>44936</v>
      </c>
      <c r="T74" s="51">
        <f t="shared" si="19"/>
        <v>44937</v>
      </c>
      <c r="U74" s="51"/>
      <c r="V74" s="47" t="s">
        <v>90</v>
      </c>
      <c r="W74" s="47" t="s">
        <v>678</v>
      </c>
      <c r="X74" s="49">
        <v>35215</v>
      </c>
      <c r="Y74" s="50">
        <f t="shared" ref="Y74:Y137" ca="1" si="26">DATEDIF(X74,TODAY(),"Y")</f>
        <v>29</v>
      </c>
      <c r="Z74" s="50">
        <f t="shared" ref="Z74:Z137" ca="1" si="27">DATEDIF(X74,TODAY(),"Ym")</f>
        <v>10</v>
      </c>
      <c r="AA74" s="50">
        <f t="shared" ref="AA74:AA137" ca="1" si="28">DATEDIF(X74,TODAY(),"md")</f>
        <v>23</v>
      </c>
      <c r="AB74" s="47" t="s">
        <v>1438</v>
      </c>
      <c r="AC74" s="53"/>
      <c r="AD74" s="70" t="s">
        <v>185</v>
      </c>
      <c r="AE74" s="47" t="s">
        <v>1439</v>
      </c>
      <c r="AF74" s="47" t="s">
        <v>611</v>
      </c>
      <c r="AG74" s="47"/>
      <c r="AH74" s="47">
        <v>4</v>
      </c>
      <c r="AI74" s="47" t="s">
        <v>1440</v>
      </c>
      <c r="AJ74" s="48" t="s">
        <v>1441</v>
      </c>
      <c r="AK74" s="47" t="s">
        <v>1442</v>
      </c>
      <c r="AL74" s="56" t="s">
        <v>244</v>
      </c>
      <c r="AM74" s="47" t="s">
        <v>1442</v>
      </c>
      <c r="AN74" s="47"/>
      <c r="AO74" s="47" t="s">
        <v>159</v>
      </c>
      <c r="AP74" s="47" t="s">
        <v>641</v>
      </c>
      <c r="AQ74" s="48" t="s">
        <v>1443</v>
      </c>
      <c r="AR74" s="48" t="s">
        <v>1444</v>
      </c>
      <c r="AS74" s="47" t="s">
        <v>163</v>
      </c>
      <c r="AT74" s="47" t="s">
        <v>272</v>
      </c>
      <c r="AU74" s="47"/>
      <c r="AV74" s="47" t="s">
        <v>1445</v>
      </c>
      <c r="AW74" s="47" t="s">
        <v>1442</v>
      </c>
      <c r="AX74" s="48" t="s">
        <v>1446</v>
      </c>
      <c r="AY74" s="59" t="s">
        <v>168</v>
      </c>
      <c r="AZ74" s="59" t="s">
        <v>168</v>
      </c>
      <c r="BA74" s="48" t="s">
        <v>1447</v>
      </c>
      <c r="BB74" s="47" t="s">
        <v>1434</v>
      </c>
      <c r="BC74" s="47" t="s">
        <v>1448</v>
      </c>
      <c r="BD74" s="47"/>
      <c r="BE74" s="47"/>
      <c r="BF74" s="51"/>
      <c r="BG74" s="57">
        <f t="shared" ref="BG74:BG104" ca="1" si="29">DATEDIF(BF74,TODAY(),"Y")</f>
        <v>126</v>
      </c>
      <c r="BH74" s="57">
        <f t="shared" ref="BH74:BH104" ca="1" si="30">DATEDIF(BF74,TODAY(),"Ym")</f>
        <v>3</v>
      </c>
      <c r="BI74" s="57">
        <f t="shared" ref="BI74:BI104" ca="1" si="31">DATEDIF(BF74,TODAY(),"md")</f>
        <v>22</v>
      </c>
      <c r="BJ74" s="47"/>
      <c r="BK74" s="47"/>
      <c r="BL74" s="51"/>
      <c r="BM74" s="57">
        <f t="shared" ref="BM74:BM121" ca="1" si="32">DATEDIF(BL74,TODAY(),"Y")</f>
        <v>126</v>
      </c>
      <c r="BN74" s="57">
        <f t="shared" ref="BN74:BN121" ca="1" si="33">DATEDIF(BL74,TODAY(),"Ym")</f>
        <v>3</v>
      </c>
      <c r="BO74" s="57">
        <f t="shared" ref="BO74:BO121" ca="1" si="34">DATEDIF(BL74,TODAY(),"md")</f>
        <v>22</v>
      </c>
      <c r="BP74" s="47"/>
      <c r="BQ74" s="47"/>
      <c r="BR74" s="51"/>
      <c r="BS74" s="57">
        <f t="shared" ref="BS74:BS121" ca="1" si="35">DATEDIF(BR74,TODAY(),"Y")</f>
        <v>126</v>
      </c>
      <c r="BT74" s="57">
        <f t="shared" ref="BT74:BT121" ca="1" si="36">DATEDIF(BR74,TODAY(),"Ym")</f>
        <v>3</v>
      </c>
      <c r="BU74" s="57">
        <f t="shared" ref="BU74:BU121" ca="1" si="37">DATEDIF(BR74,TODAY(),"md")</f>
        <v>22</v>
      </c>
      <c r="BV74" s="47"/>
      <c r="BW74" s="47"/>
      <c r="BX74" s="51"/>
      <c r="BY74" s="57">
        <f t="shared" ref="BY74:BY121" ca="1" si="38">DATEDIF(BX74,TODAY(),"Y")</f>
        <v>126</v>
      </c>
      <c r="BZ74" s="57">
        <f t="shared" ref="BZ74:BZ121" ca="1" si="39">DATEDIF(BX74,TODAY(),"Ym")</f>
        <v>3</v>
      </c>
      <c r="CA74" s="57">
        <f t="shared" ref="CA74:CA121" ca="1" si="40">DATEDIF(BX74,TODAY(),"md")</f>
        <v>22</v>
      </c>
      <c r="CB74" s="73" t="s">
        <v>1449</v>
      </c>
      <c r="CC74" s="58" t="s">
        <v>1450</v>
      </c>
    </row>
    <row r="75" spans="1:81" ht="15" customHeight="1" x14ac:dyDescent="0.25">
      <c r="A75" s="46" t="s">
        <v>1451</v>
      </c>
      <c r="B75" s="47" t="s">
        <v>1452</v>
      </c>
      <c r="C75" s="47" t="s">
        <v>1453</v>
      </c>
      <c r="D75" s="47" t="s">
        <v>86</v>
      </c>
      <c r="E75" s="47" t="s">
        <v>353</v>
      </c>
      <c r="F75" s="47" t="s">
        <v>328</v>
      </c>
      <c r="G75" s="47" t="s">
        <v>398</v>
      </c>
      <c r="H75" s="47" t="s">
        <v>399</v>
      </c>
      <c r="I75" s="47" t="s">
        <v>1454</v>
      </c>
      <c r="J75" s="47" t="s">
        <v>110</v>
      </c>
      <c r="K75" s="47" t="s">
        <v>91</v>
      </c>
      <c r="L75" s="49">
        <v>44865</v>
      </c>
      <c r="M75" s="50">
        <f t="shared" ca="1" si="22"/>
        <v>3</v>
      </c>
      <c r="N75" s="50">
        <f t="shared" ca="1" si="23"/>
        <v>5</v>
      </c>
      <c r="O75" s="50">
        <f t="shared" ca="1" si="24"/>
        <v>22</v>
      </c>
      <c r="P75" s="51">
        <f t="shared" si="25"/>
        <v>56024</v>
      </c>
      <c r="Q75" s="47" t="s">
        <v>804</v>
      </c>
      <c r="R75" s="51">
        <f t="shared" si="21"/>
        <v>44865</v>
      </c>
      <c r="S75" s="51">
        <f>R75+(365-1)</f>
        <v>45229</v>
      </c>
      <c r="T75" s="51">
        <f t="shared" si="19"/>
        <v>45230</v>
      </c>
      <c r="U75" s="51"/>
      <c r="V75" s="47" t="s">
        <v>332</v>
      </c>
      <c r="W75" s="47" t="s">
        <v>678</v>
      </c>
      <c r="X75" s="49">
        <v>35935</v>
      </c>
      <c r="Y75" s="50">
        <f t="shared" ca="1" si="26"/>
        <v>27</v>
      </c>
      <c r="Z75" s="50">
        <f t="shared" ca="1" si="27"/>
        <v>11</v>
      </c>
      <c r="AA75" s="50">
        <f t="shared" ca="1" si="28"/>
        <v>2</v>
      </c>
      <c r="AB75" s="47" t="s">
        <v>1455</v>
      </c>
      <c r="AC75" s="53"/>
      <c r="AD75" s="70" t="s">
        <v>185</v>
      </c>
      <c r="AE75" s="47" t="s">
        <v>1456</v>
      </c>
      <c r="AF75" s="47" t="s">
        <v>871</v>
      </c>
      <c r="AG75" s="47"/>
      <c r="AH75" s="47">
        <v>2</v>
      </c>
      <c r="AI75" s="47" t="s">
        <v>1457</v>
      </c>
      <c r="AJ75" s="48" t="s">
        <v>1458</v>
      </c>
      <c r="AK75" s="54" t="s">
        <v>1459</v>
      </c>
      <c r="AL75" s="56" t="s">
        <v>244</v>
      </c>
      <c r="AM75" s="54" t="s">
        <v>1459</v>
      </c>
      <c r="AN75" s="47"/>
      <c r="AO75" s="47" t="s">
        <v>159</v>
      </c>
      <c r="AP75" s="47" t="s">
        <v>641</v>
      </c>
      <c r="AQ75" s="48" t="s">
        <v>1460</v>
      </c>
      <c r="AR75" s="48" t="s">
        <v>88</v>
      </c>
      <c r="AS75" s="47" t="s">
        <v>163</v>
      </c>
      <c r="AT75" s="47" t="s">
        <v>194</v>
      </c>
      <c r="AU75" s="47"/>
      <c r="AV75" s="48" t="s">
        <v>1461</v>
      </c>
      <c r="AW75" s="54" t="s">
        <v>1459</v>
      </c>
      <c r="AX75" s="48" t="s">
        <v>1462</v>
      </c>
      <c r="AY75" s="59" t="s">
        <v>168</v>
      </c>
      <c r="AZ75" s="59" t="s">
        <v>168</v>
      </c>
      <c r="BA75" s="48" t="s">
        <v>1463</v>
      </c>
      <c r="BB75" s="47" t="s">
        <v>1453</v>
      </c>
      <c r="BC75" s="47" t="s">
        <v>1464</v>
      </c>
      <c r="BD75" s="48" t="s">
        <v>88</v>
      </c>
      <c r="BE75" s="48" t="s">
        <v>88</v>
      </c>
      <c r="BF75" s="52" t="s">
        <v>88</v>
      </c>
      <c r="BG75" s="57" t="e">
        <f t="shared" ca="1" si="29"/>
        <v>#VALUE!</v>
      </c>
      <c r="BH75" s="57" t="e">
        <f t="shared" ca="1" si="30"/>
        <v>#VALUE!</v>
      </c>
      <c r="BI75" s="57" t="e">
        <f t="shared" ca="1" si="31"/>
        <v>#VALUE!</v>
      </c>
      <c r="BJ75" s="48" t="s">
        <v>88</v>
      </c>
      <c r="BK75" s="48" t="s">
        <v>88</v>
      </c>
      <c r="BL75" s="52" t="s">
        <v>88</v>
      </c>
      <c r="BM75" s="57" t="e">
        <f t="shared" ca="1" si="32"/>
        <v>#VALUE!</v>
      </c>
      <c r="BN75" s="57" t="e">
        <f t="shared" ca="1" si="33"/>
        <v>#VALUE!</v>
      </c>
      <c r="BO75" s="57" t="e">
        <f t="shared" ca="1" si="34"/>
        <v>#VALUE!</v>
      </c>
      <c r="BP75" s="47"/>
      <c r="BQ75" s="47"/>
      <c r="BR75" s="51"/>
      <c r="BS75" s="57">
        <f t="shared" ca="1" si="35"/>
        <v>126</v>
      </c>
      <c r="BT75" s="57">
        <f t="shared" ca="1" si="36"/>
        <v>3</v>
      </c>
      <c r="BU75" s="57">
        <f t="shared" ca="1" si="37"/>
        <v>22</v>
      </c>
      <c r="BV75" s="47"/>
      <c r="BW75" s="47"/>
      <c r="BX75" s="51"/>
      <c r="BY75" s="57">
        <f t="shared" ca="1" si="38"/>
        <v>126</v>
      </c>
      <c r="BZ75" s="57">
        <f t="shared" ca="1" si="39"/>
        <v>3</v>
      </c>
      <c r="CA75" s="57">
        <f t="shared" ca="1" si="40"/>
        <v>22</v>
      </c>
      <c r="CB75" s="47"/>
      <c r="CC75" s="47"/>
    </row>
    <row r="76" spans="1:81" ht="15" customHeight="1" x14ac:dyDescent="0.25">
      <c r="A76" s="46" t="s">
        <v>1465</v>
      </c>
      <c r="B76" s="47" t="s">
        <v>1466</v>
      </c>
      <c r="C76" s="47" t="s">
        <v>1467</v>
      </c>
      <c r="D76" s="47" t="s">
        <v>175</v>
      </c>
      <c r="E76" s="47" t="s">
        <v>630</v>
      </c>
      <c r="F76" s="47" t="s">
        <v>328</v>
      </c>
      <c r="G76" s="47" t="s">
        <v>398</v>
      </c>
      <c r="H76" s="47" t="s">
        <v>399</v>
      </c>
      <c r="I76" s="47" t="s">
        <v>1468</v>
      </c>
      <c r="J76" s="47" t="s">
        <v>110</v>
      </c>
      <c r="K76" s="47" t="s">
        <v>91</v>
      </c>
      <c r="L76" s="49">
        <v>44900</v>
      </c>
      <c r="M76" s="50">
        <f t="shared" ca="1" si="22"/>
        <v>3</v>
      </c>
      <c r="N76" s="50">
        <f t="shared" ca="1" si="23"/>
        <v>4</v>
      </c>
      <c r="O76" s="50">
        <f t="shared" ca="1" si="24"/>
        <v>17</v>
      </c>
      <c r="P76" s="51">
        <f t="shared" si="25"/>
        <v>56290</v>
      </c>
      <c r="Q76" s="47" t="s">
        <v>1057</v>
      </c>
      <c r="R76" s="51">
        <f t="shared" si="21"/>
        <v>44900</v>
      </c>
      <c r="S76" s="51">
        <f>R76+(180-1)</f>
        <v>45079</v>
      </c>
      <c r="T76" s="51">
        <f t="shared" si="19"/>
        <v>45080</v>
      </c>
      <c r="U76" s="51"/>
      <c r="V76" s="47" t="s">
        <v>1469</v>
      </c>
      <c r="W76" s="47" t="s">
        <v>93</v>
      </c>
      <c r="X76" s="49">
        <v>36201</v>
      </c>
      <c r="Y76" s="50">
        <f t="shared" ca="1" si="26"/>
        <v>27</v>
      </c>
      <c r="Z76" s="50">
        <f t="shared" ca="1" si="27"/>
        <v>2</v>
      </c>
      <c r="AA76" s="50">
        <f t="shared" ca="1" si="28"/>
        <v>12</v>
      </c>
      <c r="AB76" s="47" t="s">
        <v>1470</v>
      </c>
      <c r="AC76" s="53"/>
      <c r="AD76" s="70" t="s">
        <v>185</v>
      </c>
      <c r="AE76" s="47" t="s">
        <v>1471</v>
      </c>
      <c r="AF76" s="47" t="s">
        <v>1173</v>
      </c>
      <c r="AG76" s="47"/>
      <c r="AH76" s="47"/>
      <c r="AI76" s="47"/>
      <c r="AJ76" s="48" t="s">
        <v>1472</v>
      </c>
      <c r="AK76" s="47" t="s">
        <v>1473</v>
      </c>
      <c r="AL76" s="56" t="s">
        <v>244</v>
      </c>
      <c r="AM76" s="47" t="str">
        <f>AK76</f>
        <v>Jalan Yos Sudarso KM.49, Minas Barat, Kabupaten Siak, Provinsi Riau</v>
      </c>
      <c r="AN76" s="47"/>
      <c r="AO76" s="47" t="s">
        <v>159</v>
      </c>
      <c r="AP76" s="47" t="s">
        <v>641</v>
      </c>
      <c r="AQ76" s="48" t="s">
        <v>1474</v>
      </c>
      <c r="AR76" s="48" t="s">
        <v>1475</v>
      </c>
      <c r="AS76" s="47" t="s">
        <v>901</v>
      </c>
      <c r="AT76" s="47" t="s">
        <v>194</v>
      </c>
      <c r="AU76" s="47"/>
      <c r="AV76" s="47"/>
      <c r="AW76" s="47" t="str">
        <f t="shared" ref="AW76:AW81" si="41">AM76</f>
        <v>Jalan Yos Sudarso KM.49, Minas Barat, Kabupaten Siak, Provinsi Riau</v>
      </c>
      <c r="AX76" s="48" t="s">
        <v>1476</v>
      </c>
      <c r="AY76" s="47" t="s">
        <v>168</v>
      </c>
      <c r="AZ76" s="47" t="s">
        <v>168</v>
      </c>
      <c r="BA76" s="48" t="s">
        <v>1477</v>
      </c>
      <c r="BB76" s="47" t="s">
        <v>1467</v>
      </c>
      <c r="BC76" s="47" t="s">
        <v>1478</v>
      </c>
      <c r="BD76" s="47"/>
      <c r="BE76" s="47"/>
      <c r="BF76" s="51"/>
      <c r="BG76" s="57">
        <f t="shared" ca="1" si="29"/>
        <v>126</v>
      </c>
      <c r="BH76" s="57">
        <f t="shared" ca="1" si="30"/>
        <v>3</v>
      </c>
      <c r="BI76" s="57">
        <f t="shared" ca="1" si="31"/>
        <v>22</v>
      </c>
      <c r="BJ76" s="47"/>
      <c r="BK76" s="47"/>
      <c r="BL76" s="51"/>
      <c r="BM76" s="57">
        <f t="shared" ca="1" si="32"/>
        <v>126</v>
      </c>
      <c r="BN76" s="57">
        <f t="shared" ca="1" si="33"/>
        <v>3</v>
      </c>
      <c r="BO76" s="57">
        <f t="shared" ca="1" si="34"/>
        <v>22</v>
      </c>
      <c r="BP76" s="47"/>
      <c r="BQ76" s="47"/>
      <c r="BR76" s="51"/>
      <c r="BS76" s="57">
        <f t="shared" ca="1" si="35"/>
        <v>126</v>
      </c>
      <c r="BT76" s="57">
        <f t="shared" ca="1" si="36"/>
        <v>3</v>
      </c>
      <c r="BU76" s="57">
        <f t="shared" ca="1" si="37"/>
        <v>22</v>
      </c>
      <c r="BV76" s="47"/>
      <c r="BW76" s="47"/>
      <c r="BX76" s="51"/>
      <c r="BY76" s="57">
        <f t="shared" ca="1" si="38"/>
        <v>126</v>
      </c>
      <c r="BZ76" s="57">
        <f t="shared" ca="1" si="39"/>
        <v>3</v>
      </c>
      <c r="CA76" s="57">
        <f t="shared" ca="1" si="40"/>
        <v>22</v>
      </c>
      <c r="CB76" s="73" t="s">
        <v>1479</v>
      </c>
      <c r="CC76" s="48" t="s">
        <v>88</v>
      </c>
    </row>
    <row r="77" spans="1:81" ht="15" customHeight="1" x14ac:dyDescent="0.25">
      <c r="A77" s="46" t="s">
        <v>1480</v>
      </c>
      <c r="B77" s="47" t="s">
        <v>1481</v>
      </c>
      <c r="C77" s="47" t="s">
        <v>1482</v>
      </c>
      <c r="D77" s="47" t="s">
        <v>175</v>
      </c>
      <c r="E77" s="47" t="s">
        <v>206</v>
      </c>
      <c r="F77" s="47" t="s">
        <v>328</v>
      </c>
      <c r="G77" s="47" t="s">
        <v>398</v>
      </c>
      <c r="H77" s="47" t="s">
        <v>399</v>
      </c>
      <c r="I77" s="47" t="s">
        <v>1483</v>
      </c>
      <c r="J77" s="47" t="s">
        <v>110</v>
      </c>
      <c r="K77" s="47" t="s">
        <v>91</v>
      </c>
      <c r="L77" s="49">
        <v>44922</v>
      </c>
      <c r="M77" s="50">
        <f t="shared" ca="1" si="22"/>
        <v>3</v>
      </c>
      <c r="N77" s="50">
        <f t="shared" ca="1" si="23"/>
        <v>3</v>
      </c>
      <c r="O77" s="50">
        <f t="shared" ca="1" si="24"/>
        <v>26</v>
      </c>
      <c r="P77" s="51">
        <f t="shared" si="25"/>
        <v>55133</v>
      </c>
      <c r="Q77" s="47" t="s">
        <v>1484</v>
      </c>
      <c r="R77" s="51">
        <f t="shared" si="21"/>
        <v>44922</v>
      </c>
      <c r="S77" s="51">
        <f>R77+(9-10)</f>
        <v>44921</v>
      </c>
      <c r="T77" s="51">
        <f t="shared" si="19"/>
        <v>44922</v>
      </c>
      <c r="U77" s="51"/>
      <c r="V77" s="47" t="s">
        <v>90</v>
      </c>
      <c r="W77" s="47" t="s">
        <v>333</v>
      </c>
      <c r="X77" s="49">
        <v>35044</v>
      </c>
      <c r="Y77" s="50">
        <f t="shared" ca="1" si="26"/>
        <v>30</v>
      </c>
      <c r="Z77" s="50">
        <f t="shared" ca="1" si="27"/>
        <v>4</v>
      </c>
      <c r="AA77" s="50">
        <f t="shared" ca="1" si="28"/>
        <v>11</v>
      </c>
      <c r="AB77" s="47" t="s">
        <v>1485</v>
      </c>
      <c r="AC77" s="53"/>
      <c r="AD77" s="70" t="s">
        <v>185</v>
      </c>
      <c r="AE77" s="47" t="s">
        <v>1486</v>
      </c>
      <c r="AF77" s="47" t="s">
        <v>1487</v>
      </c>
      <c r="AG77" s="47"/>
      <c r="AH77" s="47">
        <v>5</v>
      </c>
      <c r="AI77" s="59" t="s">
        <v>1488</v>
      </c>
      <c r="AJ77" s="48" t="s">
        <v>1489</v>
      </c>
      <c r="AK77" s="54" t="s">
        <v>1490</v>
      </c>
      <c r="AL77" s="56" t="s">
        <v>244</v>
      </c>
      <c r="AM77" s="47" t="s">
        <v>1491</v>
      </c>
      <c r="AN77" s="47"/>
      <c r="AO77" s="47" t="s">
        <v>159</v>
      </c>
      <c r="AP77" s="47" t="s">
        <v>641</v>
      </c>
      <c r="AQ77" s="48" t="s">
        <v>1492</v>
      </c>
      <c r="AR77" s="48" t="s">
        <v>1493</v>
      </c>
      <c r="AS77" s="47" t="s">
        <v>163</v>
      </c>
      <c r="AT77" s="47" t="s">
        <v>164</v>
      </c>
      <c r="AU77" s="47"/>
      <c r="AV77" s="48" t="s">
        <v>1494</v>
      </c>
      <c r="AW77" s="47" t="str">
        <f t="shared" si="41"/>
        <v>Jalan Kancil V Blok D No 112 RT 24 RW 07, Kelurahan Sertajaya, Kecamatan Cikarang</v>
      </c>
      <c r="AX77" s="47"/>
      <c r="AY77" s="47" t="s">
        <v>168</v>
      </c>
      <c r="AZ77" s="47" t="s">
        <v>168</v>
      </c>
      <c r="BA77" s="48" t="s">
        <v>1495</v>
      </c>
      <c r="BB77" s="47" t="s">
        <v>1482</v>
      </c>
      <c r="BC77" s="47" t="s">
        <v>1496</v>
      </c>
      <c r="BD77" s="47"/>
      <c r="BE77" s="47"/>
      <c r="BF77" s="51"/>
      <c r="BG77" s="57">
        <f t="shared" ca="1" si="29"/>
        <v>126</v>
      </c>
      <c r="BH77" s="57">
        <f t="shared" ca="1" si="30"/>
        <v>3</v>
      </c>
      <c r="BI77" s="57">
        <f t="shared" ca="1" si="31"/>
        <v>22</v>
      </c>
      <c r="BJ77" s="47"/>
      <c r="BK77" s="47"/>
      <c r="BL77" s="51"/>
      <c r="BM77" s="57">
        <f t="shared" ca="1" si="32"/>
        <v>126</v>
      </c>
      <c r="BN77" s="57">
        <f t="shared" ca="1" si="33"/>
        <v>3</v>
      </c>
      <c r="BO77" s="57">
        <f t="shared" ca="1" si="34"/>
        <v>22</v>
      </c>
      <c r="BP77" s="47"/>
      <c r="BQ77" s="47"/>
      <c r="BR77" s="51"/>
      <c r="BS77" s="57">
        <f t="shared" ca="1" si="35"/>
        <v>126</v>
      </c>
      <c r="BT77" s="57">
        <f t="shared" ca="1" si="36"/>
        <v>3</v>
      </c>
      <c r="BU77" s="57">
        <f t="shared" ca="1" si="37"/>
        <v>22</v>
      </c>
      <c r="BV77" s="47"/>
      <c r="BW77" s="47"/>
      <c r="BX77" s="51"/>
      <c r="BY77" s="57">
        <f t="shared" ca="1" si="38"/>
        <v>126</v>
      </c>
      <c r="BZ77" s="57">
        <f t="shared" ca="1" si="39"/>
        <v>3</v>
      </c>
      <c r="CA77" s="57">
        <f t="shared" ca="1" si="40"/>
        <v>22</v>
      </c>
      <c r="CB77" s="73" t="s">
        <v>1497</v>
      </c>
      <c r="CC77" s="58" t="s">
        <v>1498</v>
      </c>
    </row>
    <row r="78" spans="1:81" ht="15" customHeight="1" x14ac:dyDescent="0.25">
      <c r="A78" s="46" t="s">
        <v>1499</v>
      </c>
      <c r="B78" s="47" t="s">
        <v>1500</v>
      </c>
      <c r="C78" s="47" t="s">
        <v>1501</v>
      </c>
      <c r="D78" s="47" t="s">
        <v>175</v>
      </c>
      <c r="E78" s="47" t="s">
        <v>233</v>
      </c>
      <c r="F78" s="47" t="s">
        <v>548</v>
      </c>
      <c r="G78" s="47"/>
      <c r="H78" s="59" t="s">
        <v>549</v>
      </c>
      <c r="I78" s="47" t="s">
        <v>1502</v>
      </c>
      <c r="J78" s="47" t="s">
        <v>90</v>
      </c>
      <c r="K78" s="47" t="s">
        <v>91</v>
      </c>
      <c r="L78" s="49">
        <v>44963</v>
      </c>
      <c r="M78" s="50">
        <f t="shared" ca="1" si="22"/>
        <v>3</v>
      </c>
      <c r="N78" s="50">
        <f t="shared" ca="1" si="23"/>
        <v>2</v>
      </c>
      <c r="O78" s="50">
        <f t="shared" ca="1" si="24"/>
        <v>16</v>
      </c>
      <c r="P78" s="51">
        <f t="shared" si="25"/>
        <v>51634</v>
      </c>
      <c r="Q78" s="47" t="s">
        <v>1484</v>
      </c>
      <c r="R78" s="51">
        <f t="shared" si="21"/>
        <v>44963</v>
      </c>
      <c r="S78" s="51">
        <f>R78+(90-1)</f>
        <v>45052</v>
      </c>
      <c r="T78" s="51">
        <f t="shared" ref="T78:T96" si="42">S78+1</f>
        <v>45053</v>
      </c>
      <c r="U78" s="51"/>
      <c r="V78" s="47" t="s">
        <v>90</v>
      </c>
      <c r="W78" s="47" t="s">
        <v>678</v>
      </c>
      <c r="X78" s="49">
        <v>31545</v>
      </c>
      <c r="Y78" s="50">
        <f t="shared" ca="1" si="26"/>
        <v>39</v>
      </c>
      <c r="Z78" s="50">
        <f t="shared" ca="1" si="27"/>
        <v>11</v>
      </c>
      <c r="AA78" s="50">
        <f t="shared" ca="1" si="28"/>
        <v>9</v>
      </c>
      <c r="AB78" s="47" t="s">
        <v>1503</v>
      </c>
      <c r="AC78" s="53"/>
      <c r="AD78" s="70" t="s">
        <v>185</v>
      </c>
      <c r="AE78" s="47" t="s">
        <v>1504</v>
      </c>
      <c r="AF78" s="47" t="s">
        <v>1487</v>
      </c>
      <c r="AG78" s="47"/>
      <c r="AH78" s="47">
        <v>8</v>
      </c>
      <c r="AI78" s="47" t="s">
        <v>1505</v>
      </c>
      <c r="AJ78" s="48" t="s">
        <v>1506</v>
      </c>
      <c r="AK78" s="47" t="s">
        <v>1507</v>
      </c>
      <c r="AL78" s="56" t="s">
        <v>244</v>
      </c>
      <c r="AM78" s="47" t="str">
        <f>AK78</f>
        <v>Komplek Setneg H-8</v>
      </c>
      <c r="AN78" s="47"/>
      <c r="AO78" s="47" t="s">
        <v>159</v>
      </c>
      <c r="AP78" s="47" t="s">
        <v>101</v>
      </c>
      <c r="AQ78" s="48" t="s">
        <v>1508</v>
      </c>
      <c r="AR78" s="48" t="s">
        <v>1509</v>
      </c>
      <c r="AS78" s="47" t="s">
        <v>163</v>
      </c>
      <c r="AT78" s="47" t="s">
        <v>343</v>
      </c>
      <c r="AU78" s="47"/>
      <c r="AV78" s="48" t="s">
        <v>1510</v>
      </c>
      <c r="AW78" s="47" t="str">
        <f t="shared" si="41"/>
        <v>Komplek Setneg H-8</v>
      </c>
      <c r="AX78" s="48" t="s">
        <v>1511</v>
      </c>
      <c r="AY78" s="47" t="s">
        <v>168</v>
      </c>
      <c r="AZ78" s="47" t="s">
        <v>168</v>
      </c>
      <c r="BA78" s="47" t="s">
        <v>1512</v>
      </c>
      <c r="BB78" s="47" t="s">
        <v>1501</v>
      </c>
      <c r="BC78" s="47" t="s">
        <v>1513</v>
      </c>
      <c r="BD78" s="47" t="s">
        <v>1514</v>
      </c>
      <c r="BE78" s="47" t="s">
        <v>86</v>
      </c>
      <c r="BF78" s="51">
        <v>30478</v>
      </c>
      <c r="BG78" s="57">
        <f t="shared" ca="1" si="29"/>
        <v>42</v>
      </c>
      <c r="BH78" s="57">
        <f t="shared" ca="1" si="30"/>
        <v>10</v>
      </c>
      <c r="BI78" s="57">
        <f t="shared" ca="1" si="31"/>
        <v>11</v>
      </c>
      <c r="BJ78" s="47"/>
      <c r="BK78" s="47"/>
      <c r="BL78" s="51"/>
      <c r="BM78" s="57">
        <f t="shared" ca="1" si="32"/>
        <v>126</v>
      </c>
      <c r="BN78" s="57">
        <f t="shared" ca="1" si="33"/>
        <v>3</v>
      </c>
      <c r="BO78" s="57">
        <f t="shared" ca="1" si="34"/>
        <v>22</v>
      </c>
      <c r="BP78" s="47"/>
      <c r="BQ78" s="47"/>
      <c r="BR78" s="51"/>
      <c r="BS78" s="57">
        <f t="shared" ca="1" si="35"/>
        <v>126</v>
      </c>
      <c r="BT78" s="57">
        <f t="shared" ca="1" si="36"/>
        <v>3</v>
      </c>
      <c r="BU78" s="57">
        <f t="shared" ca="1" si="37"/>
        <v>22</v>
      </c>
      <c r="BV78" s="47"/>
      <c r="BW78" s="47"/>
      <c r="BX78" s="51"/>
      <c r="BY78" s="57">
        <f t="shared" ca="1" si="38"/>
        <v>126</v>
      </c>
      <c r="BZ78" s="57">
        <f t="shared" ca="1" si="39"/>
        <v>3</v>
      </c>
      <c r="CA78" s="57">
        <f t="shared" ca="1" si="40"/>
        <v>22</v>
      </c>
      <c r="CB78" s="73" t="s">
        <v>1515</v>
      </c>
      <c r="CC78" s="58" t="s">
        <v>1516</v>
      </c>
    </row>
    <row r="79" spans="1:81" ht="15" customHeight="1" x14ac:dyDescent="0.25">
      <c r="A79" s="46" t="s">
        <v>1517</v>
      </c>
      <c r="B79" s="47" t="s">
        <v>1518</v>
      </c>
      <c r="C79" s="47" t="s">
        <v>1519</v>
      </c>
      <c r="D79" s="47" t="s">
        <v>86</v>
      </c>
      <c r="E79" s="47" t="s">
        <v>630</v>
      </c>
      <c r="F79" s="47" t="s">
        <v>328</v>
      </c>
      <c r="G79" s="47" t="s">
        <v>329</v>
      </c>
      <c r="H79" s="47" t="s">
        <v>354</v>
      </c>
      <c r="I79" s="47" t="s">
        <v>355</v>
      </c>
      <c r="J79" s="47" t="s">
        <v>110</v>
      </c>
      <c r="K79" s="47" t="s">
        <v>91</v>
      </c>
      <c r="L79" s="49">
        <v>44977</v>
      </c>
      <c r="M79" s="50">
        <f t="shared" ca="1" si="22"/>
        <v>3</v>
      </c>
      <c r="N79" s="50">
        <f t="shared" ca="1" si="23"/>
        <v>2</v>
      </c>
      <c r="O79" s="50">
        <f t="shared" ca="1" si="24"/>
        <v>2</v>
      </c>
      <c r="P79" s="51">
        <f t="shared" si="25"/>
        <v>56160</v>
      </c>
      <c r="Q79" s="47" t="s">
        <v>804</v>
      </c>
      <c r="R79" s="51">
        <f t="shared" si="21"/>
        <v>44977</v>
      </c>
      <c r="S79" s="51">
        <f>R79+(365-1)</f>
        <v>45341</v>
      </c>
      <c r="T79" s="51">
        <f t="shared" si="42"/>
        <v>45342</v>
      </c>
      <c r="U79" s="51"/>
      <c r="V79" s="47" t="s">
        <v>332</v>
      </c>
      <c r="W79" s="47" t="s">
        <v>529</v>
      </c>
      <c r="X79" s="49">
        <v>36071</v>
      </c>
      <c r="Y79" s="50">
        <f t="shared" ca="1" si="26"/>
        <v>27</v>
      </c>
      <c r="Z79" s="50">
        <f t="shared" ca="1" si="27"/>
        <v>6</v>
      </c>
      <c r="AA79" s="50">
        <f t="shared" ca="1" si="28"/>
        <v>19</v>
      </c>
      <c r="AB79" s="47" t="s">
        <v>1520</v>
      </c>
      <c r="AC79" s="53"/>
      <c r="AD79" s="70" t="s">
        <v>185</v>
      </c>
      <c r="AE79" s="47" t="s">
        <v>1521</v>
      </c>
      <c r="AF79" s="47" t="s">
        <v>1325</v>
      </c>
      <c r="AG79" s="47"/>
      <c r="AH79" s="47">
        <v>1</v>
      </c>
      <c r="AI79" s="47" t="s">
        <v>1522</v>
      </c>
      <c r="AJ79" s="48" t="s">
        <v>1523</v>
      </c>
      <c r="AK79" s="54" t="s">
        <v>1524</v>
      </c>
      <c r="AL79" s="56" t="s">
        <v>244</v>
      </c>
      <c r="AM79" s="47" t="str">
        <f>AK79</f>
        <v>Perumnas Bumi Telukjambe Blok/D. 287, RT.04/RW.05, Ds. Sukaluyu, Kec.
Telukjambe Timur, Kab. Karawang</v>
      </c>
      <c r="AN79" s="47"/>
      <c r="AO79" s="47" t="s">
        <v>159</v>
      </c>
      <c r="AP79" s="47" t="s">
        <v>641</v>
      </c>
      <c r="AQ79" s="48" t="s">
        <v>1525</v>
      </c>
      <c r="AR79" s="48" t="s">
        <v>1526</v>
      </c>
      <c r="AS79" s="47" t="s">
        <v>163</v>
      </c>
      <c r="AT79" s="47" t="s">
        <v>194</v>
      </c>
      <c r="AU79" s="47"/>
      <c r="AV79" s="48" t="s">
        <v>1527</v>
      </c>
      <c r="AW79" s="47" t="str">
        <f t="shared" si="41"/>
        <v>Perumnas Bumi Telukjambe Blok/D. 287, RT.04/RW.05, Ds. Sukaluyu, Kec.
Telukjambe Timur, Kab. Karawang</v>
      </c>
      <c r="AX79" s="48" t="s">
        <v>1528</v>
      </c>
      <c r="AY79" s="47" t="s">
        <v>168</v>
      </c>
      <c r="AZ79" s="47" t="s">
        <v>168</v>
      </c>
      <c r="BA79" s="47" t="s">
        <v>1529</v>
      </c>
      <c r="BB79" s="47" t="s">
        <v>1519</v>
      </c>
      <c r="BC79" s="47" t="s">
        <v>1530</v>
      </c>
      <c r="BD79" s="47"/>
      <c r="BE79" s="47"/>
      <c r="BF79" s="51"/>
      <c r="BG79" s="57">
        <f t="shared" ca="1" si="29"/>
        <v>126</v>
      </c>
      <c r="BH79" s="57">
        <f t="shared" ca="1" si="30"/>
        <v>3</v>
      </c>
      <c r="BI79" s="57">
        <f t="shared" ca="1" si="31"/>
        <v>22</v>
      </c>
      <c r="BJ79" s="47"/>
      <c r="BK79" s="47"/>
      <c r="BL79" s="51"/>
      <c r="BM79" s="57">
        <f t="shared" ca="1" si="32"/>
        <v>126</v>
      </c>
      <c r="BN79" s="57">
        <f t="shared" ca="1" si="33"/>
        <v>3</v>
      </c>
      <c r="BO79" s="57">
        <f t="shared" ca="1" si="34"/>
        <v>22</v>
      </c>
      <c r="BP79" s="47"/>
      <c r="BQ79" s="47"/>
      <c r="BR79" s="51"/>
      <c r="BS79" s="57">
        <f t="shared" ca="1" si="35"/>
        <v>126</v>
      </c>
      <c r="BT79" s="57">
        <f t="shared" ca="1" si="36"/>
        <v>3</v>
      </c>
      <c r="BU79" s="57">
        <f t="shared" ca="1" si="37"/>
        <v>22</v>
      </c>
      <c r="BV79" s="47"/>
      <c r="BW79" s="47"/>
      <c r="BX79" s="51"/>
      <c r="BY79" s="57">
        <f t="shared" ca="1" si="38"/>
        <v>126</v>
      </c>
      <c r="BZ79" s="57">
        <f t="shared" ca="1" si="39"/>
        <v>3</v>
      </c>
      <c r="CA79" s="57">
        <f t="shared" ca="1" si="40"/>
        <v>22</v>
      </c>
      <c r="CB79" s="73" t="s">
        <v>1531</v>
      </c>
      <c r="CC79" s="48" t="s">
        <v>88</v>
      </c>
    </row>
    <row r="80" spans="1:81" ht="15" customHeight="1" x14ac:dyDescent="0.25">
      <c r="A80" s="46" t="s">
        <v>1532</v>
      </c>
      <c r="B80" s="47" t="s">
        <v>1533</v>
      </c>
      <c r="C80" s="47" t="s">
        <v>1534</v>
      </c>
      <c r="D80" s="47" t="s">
        <v>175</v>
      </c>
      <c r="E80" s="47" t="s">
        <v>675</v>
      </c>
      <c r="F80" s="47" t="s">
        <v>128</v>
      </c>
      <c r="G80" s="47"/>
      <c r="H80" s="47" t="s">
        <v>1535</v>
      </c>
      <c r="I80" s="47" t="s">
        <v>1536</v>
      </c>
      <c r="J80" s="47" t="s">
        <v>90</v>
      </c>
      <c r="K80" s="47" t="s">
        <v>91</v>
      </c>
      <c r="L80" s="49">
        <v>45019</v>
      </c>
      <c r="M80" s="50">
        <f t="shared" ca="1" si="22"/>
        <v>3</v>
      </c>
      <c r="N80" s="50">
        <f t="shared" ca="1" si="23"/>
        <v>0</v>
      </c>
      <c r="O80" s="50">
        <f t="shared" ca="1" si="24"/>
        <v>19</v>
      </c>
      <c r="P80" s="51">
        <f t="shared" si="25"/>
        <v>52587</v>
      </c>
      <c r="Q80" s="47" t="s">
        <v>1484</v>
      </c>
      <c r="R80" s="51">
        <f t="shared" si="21"/>
        <v>45019</v>
      </c>
      <c r="S80" s="51">
        <v>45109</v>
      </c>
      <c r="T80" s="51">
        <f t="shared" si="42"/>
        <v>45110</v>
      </c>
      <c r="U80" s="51"/>
      <c r="V80" s="47" t="s">
        <v>1234</v>
      </c>
      <c r="W80" s="47" t="s">
        <v>333</v>
      </c>
      <c r="X80" s="49">
        <v>32499</v>
      </c>
      <c r="Y80" s="50">
        <f t="shared" ca="1" si="26"/>
        <v>37</v>
      </c>
      <c r="Z80" s="50">
        <f t="shared" ca="1" si="27"/>
        <v>4</v>
      </c>
      <c r="AA80" s="50">
        <f t="shared" ca="1" si="28"/>
        <v>0</v>
      </c>
      <c r="AB80" s="47" t="s">
        <v>1537</v>
      </c>
      <c r="AC80" s="53"/>
      <c r="AD80" s="70" t="s">
        <v>185</v>
      </c>
      <c r="AE80" s="47" t="s">
        <v>1538</v>
      </c>
      <c r="AF80" s="47" t="s">
        <v>1487</v>
      </c>
      <c r="AG80" s="47"/>
      <c r="AH80" s="47">
        <f>2023-2012</f>
        <v>11</v>
      </c>
      <c r="AI80" s="47" t="s">
        <v>1539</v>
      </c>
      <c r="AJ80" s="48" t="s">
        <v>1540</v>
      </c>
      <c r="AK80" s="54" t="s">
        <v>1541</v>
      </c>
      <c r="AL80" s="56" t="s">
        <v>244</v>
      </c>
      <c r="AM80" s="47" t="str">
        <f>AK80</f>
        <v>Perumahan Griya @ Bintaro Blok C 1 Jalan Panti Asuhan, RT 003/RW 012, Kel Jurang
Mangu Timur, Pondok Aren, Tangerang Selatan</v>
      </c>
      <c r="AN80" s="47"/>
      <c r="AO80" s="47" t="s">
        <v>159</v>
      </c>
      <c r="AP80" s="47" t="s">
        <v>101</v>
      </c>
      <c r="AQ80" s="48" t="s">
        <v>1542</v>
      </c>
      <c r="AR80" s="48" t="s">
        <v>88</v>
      </c>
      <c r="AS80" s="47" t="s">
        <v>901</v>
      </c>
      <c r="AT80" s="47" t="s">
        <v>272</v>
      </c>
      <c r="AU80" s="47"/>
      <c r="AV80" s="47" t="s">
        <v>1543</v>
      </c>
      <c r="AW80" s="47" t="str">
        <f t="shared" si="41"/>
        <v>Perumahan Griya @ Bintaro Blok C 1 Jalan Panti Asuhan, RT 003/RW 012, Kel Jurang
Mangu Timur, Pondok Aren, Tangerang Selatan</v>
      </c>
      <c r="AX80" s="48" t="s">
        <v>1544</v>
      </c>
      <c r="AY80" s="47" t="s">
        <v>168</v>
      </c>
      <c r="AZ80" s="47" t="s">
        <v>168</v>
      </c>
      <c r="BA80" s="48" t="s">
        <v>1545</v>
      </c>
      <c r="BB80" s="47" t="s">
        <v>1534</v>
      </c>
      <c r="BC80" s="47" t="s">
        <v>1546</v>
      </c>
      <c r="BD80" s="47" t="s">
        <v>1547</v>
      </c>
      <c r="BE80" s="47" t="s">
        <v>86</v>
      </c>
      <c r="BF80" s="51">
        <v>31249</v>
      </c>
      <c r="BG80" s="57">
        <f t="shared" ca="1" si="29"/>
        <v>40</v>
      </c>
      <c r="BH80" s="57">
        <f t="shared" ca="1" si="30"/>
        <v>9</v>
      </c>
      <c r="BI80" s="57">
        <f t="shared" ca="1" si="31"/>
        <v>1</v>
      </c>
      <c r="BJ80" s="48" t="s">
        <v>88</v>
      </c>
      <c r="BK80" s="48" t="s">
        <v>88</v>
      </c>
      <c r="BL80" s="52" t="s">
        <v>88</v>
      </c>
      <c r="BM80" s="57" t="e">
        <f t="shared" ca="1" si="32"/>
        <v>#VALUE!</v>
      </c>
      <c r="BN80" s="57" t="e">
        <f t="shared" ca="1" si="33"/>
        <v>#VALUE!</v>
      </c>
      <c r="BO80" s="57" t="e">
        <f t="shared" ca="1" si="34"/>
        <v>#VALUE!</v>
      </c>
      <c r="BP80" s="48" t="s">
        <v>88</v>
      </c>
      <c r="BQ80" s="48" t="s">
        <v>88</v>
      </c>
      <c r="BR80" s="52" t="s">
        <v>88</v>
      </c>
      <c r="BS80" s="57" t="e">
        <f t="shared" ca="1" si="35"/>
        <v>#VALUE!</v>
      </c>
      <c r="BT80" s="57" t="e">
        <f t="shared" ca="1" si="36"/>
        <v>#VALUE!</v>
      </c>
      <c r="BU80" s="57" t="e">
        <f t="shared" ca="1" si="37"/>
        <v>#VALUE!</v>
      </c>
      <c r="BV80" s="48" t="s">
        <v>88</v>
      </c>
      <c r="BW80" s="48" t="s">
        <v>88</v>
      </c>
      <c r="BX80" s="52" t="s">
        <v>88</v>
      </c>
      <c r="BY80" s="57" t="e">
        <f t="shared" ca="1" si="38"/>
        <v>#VALUE!</v>
      </c>
      <c r="BZ80" s="57" t="e">
        <f t="shared" ca="1" si="39"/>
        <v>#VALUE!</v>
      </c>
      <c r="CA80" s="57" t="e">
        <f t="shared" ca="1" si="40"/>
        <v>#VALUE!</v>
      </c>
      <c r="CB80" s="73" t="s">
        <v>1548</v>
      </c>
      <c r="CC80" s="58" t="s">
        <v>1549</v>
      </c>
    </row>
    <row r="81" spans="1:81" ht="15" customHeight="1" x14ac:dyDescent="0.25">
      <c r="A81" s="46" t="s">
        <v>1550</v>
      </c>
      <c r="B81" s="47" t="s">
        <v>1551</v>
      </c>
      <c r="C81" s="47" t="s">
        <v>1552</v>
      </c>
      <c r="D81" s="47" t="s">
        <v>86</v>
      </c>
      <c r="E81" s="59" t="s">
        <v>146</v>
      </c>
      <c r="F81" s="47" t="s">
        <v>328</v>
      </c>
      <c r="G81" s="47" t="s">
        <v>329</v>
      </c>
      <c r="H81" s="59" t="s">
        <v>330</v>
      </c>
      <c r="I81" s="47" t="s">
        <v>1056</v>
      </c>
      <c r="J81" s="47" t="s">
        <v>110</v>
      </c>
      <c r="K81" s="47" t="s">
        <v>91</v>
      </c>
      <c r="L81" s="49">
        <v>45019</v>
      </c>
      <c r="M81" s="50">
        <f t="shared" ca="1" si="22"/>
        <v>3</v>
      </c>
      <c r="N81" s="50">
        <f t="shared" ca="1" si="23"/>
        <v>0</v>
      </c>
      <c r="O81" s="50">
        <f t="shared" ca="1" si="24"/>
        <v>19</v>
      </c>
      <c r="P81" s="51">
        <f t="shared" si="25"/>
        <v>55532</v>
      </c>
      <c r="Q81" s="47" t="s">
        <v>1553</v>
      </c>
      <c r="R81" s="51">
        <f t="shared" si="21"/>
        <v>45019</v>
      </c>
      <c r="S81" s="51">
        <f>R81+(366-1)</f>
        <v>45384</v>
      </c>
      <c r="T81" s="51">
        <f t="shared" si="42"/>
        <v>45385</v>
      </c>
      <c r="U81" s="51"/>
      <c r="V81" s="47" t="s">
        <v>1554</v>
      </c>
      <c r="W81" s="47" t="s">
        <v>376</v>
      </c>
      <c r="X81" s="49">
        <v>35444</v>
      </c>
      <c r="Y81" s="50">
        <f t="shared" ca="1" si="26"/>
        <v>29</v>
      </c>
      <c r="Z81" s="50">
        <f t="shared" ca="1" si="27"/>
        <v>3</v>
      </c>
      <c r="AA81" s="50">
        <f t="shared" ca="1" si="28"/>
        <v>8</v>
      </c>
      <c r="AB81" s="47" t="s">
        <v>1555</v>
      </c>
      <c r="AC81" s="53"/>
      <c r="AD81" s="63" t="s">
        <v>152</v>
      </c>
      <c r="AE81" s="47" t="s">
        <v>1556</v>
      </c>
      <c r="AF81" s="47" t="s">
        <v>1557</v>
      </c>
      <c r="AG81" s="47"/>
      <c r="AH81" s="47">
        <v>7</v>
      </c>
      <c r="AI81" s="47" t="s">
        <v>1558</v>
      </c>
      <c r="AJ81" s="47" t="s">
        <v>1559</v>
      </c>
      <c r="AK81" s="54" t="s">
        <v>1560</v>
      </c>
      <c r="AL81" s="56" t="s">
        <v>244</v>
      </c>
      <c r="AM81" s="47" t="s">
        <v>1561</v>
      </c>
      <c r="AN81" s="47"/>
      <c r="AO81" s="47" t="s">
        <v>159</v>
      </c>
      <c r="AP81" s="47" t="s">
        <v>641</v>
      </c>
      <c r="AQ81" s="48" t="s">
        <v>1562</v>
      </c>
      <c r="AR81" s="48" t="s">
        <v>1563</v>
      </c>
      <c r="AS81" s="47" t="s">
        <v>163</v>
      </c>
      <c r="AT81" s="48" t="s">
        <v>88</v>
      </c>
      <c r="AU81" s="47"/>
      <c r="AV81" s="47" t="s">
        <v>1564</v>
      </c>
      <c r="AW81" s="47" t="str">
        <f t="shared" si="41"/>
        <v>Kampung Penjalin, Desa pasirsari, Kec Cikarang selatan</v>
      </c>
      <c r="AX81" s="48" t="s">
        <v>1565</v>
      </c>
      <c r="AY81" s="47" t="s">
        <v>168</v>
      </c>
      <c r="AZ81" s="47" t="s">
        <v>168</v>
      </c>
      <c r="BA81" s="48" t="s">
        <v>1566</v>
      </c>
      <c r="BB81" s="47" t="s">
        <v>1552</v>
      </c>
      <c r="BC81" s="47" t="s">
        <v>1567</v>
      </c>
      <c r="BD81" s="48" t="s">
        <v>88</v>
      </c>
      <c r="BE81" s="48" t="s">
        <v>88</v>
      </c>
      <c r="BF81" s="52" t="s">
        <v>88</v>
      </c>
      <c r="BG81" s="57" t="e">
        <f t="shared" ca="1" si="29"/>
        <v>#VALUE!</v>
      </c>
      <c r="BH81" s="57" t="e">
        <f t="shared" ca="1" si="30"/>
        <v>#VALUE!</v>
      </c>
      <c r="BI81" s="57" t="e">
        <f t="shared" ca="1" si="31"/>
        <v>#VALUE!</v>
      </c>
      <c r="BJ81" s="48" t="s">
        <v>88</v>
      </c>
      <c r="BK81" s="48" t="s">
        <v>88</v>
      </c>
      <c r="BL81" s="52" t="s">
        <v>88</v>
      </c>
      <c r="BM81" s="57" t="e">
        <f t="shared" ca="1" si="32"/>
        <v>#VALUE!</v>
      </c>
      <c r="BN81" s="57" t="e">
        <f t="shared" ca="1" si="33"/>
        <v>#VALUE!</v>
      </c>
      <c r="BO81" s="57" t="e">
        <f t="shared" ca="1" si="34"/>
        <v>#VALUE!</v>
      </c>
      <c r="BP81" s="48" t="s">
        <v>88</v>
      </c>
      <c r="BQ81" s="48" t="s">
        <v>88</v>
      </c>
      <c r="BR81" s="52" t="s">
        <v>88</v>
      </c>
      <c r="BS81" s="57" t="e">
        <f t="shared" ca="1" si="35"/>
        <v>#VALUE!</v>
      </c>
      <c r="BT81" s="57" t="e">
        <f t="shared" ca="1" si="36"/>
        <v>#VALUE!</v>
      </c>
      <c r="BU81" s="57" t="e">
        <f t="shared" ca="1" si="37"/>
        <v>#VALUE!</v>
      </c>
      <c r="BV81" s="48" t="s">
        <v>88</v>
      </c>
      <c r="BW81" s="48" t="s">
        <v>88</v>
      </c>
      <c r="BX81" s="52" t="s">
        <v>88</v>
      </c>
      <c r="BY81" s="57" t="e">
        <f t="shared" ca="1" si="38"/>
        <v>#VALUE!</v>
      </c>
      <c r="BZ81" s="57" t="e">
        <f t="shared" ca="1" si="39"/>
        <v>#VALUE!</v>
      </c>
      <c r="CA81" s="57" t="e">
        <f t="shared" ca="1" si="40"/>
        <v>#VALUE!</v>
      </c>
      <c r="CB81" s="73" t="s">
        <v>1568</v>
      </c>
      <c r="CC81" s="48" t="s">
        <v>88</v>
      </c>
    </row>
    <row r="82" spans="1:81" ht="15" customHeight="1" x14ac:dyDescent="0.25">
      <c r="A82" s="46" t="s">
        <v>1569</v>
      </c>
      <c r="B82" s="59" t="s">
        <v>1570</v>
      </c>
      <c r="C82" s="59" t="s">
        <v>1571</v>
      </c>
      <c r="D82" s="59" t="s">
        <v>86</v>
      </c>
      <c r="E82" s="59" t="s">
        <v>176</v>
      </c>
      <c r="F82" s="59" t="s">
        <v>177</v>
      </c>
      <c r="G82" s="59"/>
      <c r="H82" s="59" t="s">
        <v>178</v>
      </c>
      <c r="I82" s="59" t="s">
        <v>179</v>
      </c>
      <c r="J82" s="59" t="s">
        <v>1572</v>
      </c>
      <c r="K82" s="47" t="s">
        <v>91</v>
      </c>
      <c r="L82" s="49">
        <v>45061</v>
      </c>
      <c r="M82" s="50">
        <f t="shared" ca="1" si="22"/>
        <v>2</v>
      </c>
      <c r="N82" s="50">
        <f t="shared" ca="1" si="23"/>
        <v>11</v>
      </c>
      <c r="O82" s="50">
        <f t="shared" ca="1" si="24"/>
        <v>7</v>
      </c>
      <c r="P82" s="51">
        <f t="shared" si="25"/>
        <v>49801</v>
      </c>
      <c r="Q82" s="59" t="s">
        <v>1484</v>
      </c>
      <c r="R82" s="49">
        <f t="shared" si="21"/>
        <v>45061</v>
      </c>
      <c r="S82" s="49">
        <v>45152</v>
      </c>
      <c r="T82" s="49">
        <f t="shared" si="42"/>
        <v>45153</v>
      </c>
      <c r="U82" s="49"/>
      <c r="V82" s="59" t="s">
        <v>1572</v>
      </c>
      <c r="W82" s="59" t="s">
        <v>678</v>
      </c>
      <c r="X82" s="49">
        <v>29712</v>
      </c>
      <c r="Y82" s="50">
        <f t="shared" ca="1" si="26"/>
        <v>44</v>
      </c>
      <c r="Z82" s="50">
        <f t="shared" ca="1" si="27"/>
        <v>11</v>
      </c>
      <c r="AA82" s="50">
        <f t="shared" ca="1" si="28"/>
        <v>16</v>
      </c>
      <c r="AB82" s="59"/>
      <c r="AC82" s="83"/>
      <c r="AD82" s="70" t="s">
        <v>360</v>
      </c>
      <c r="AE82" s="59" t="s">
        <v>1573</v>
      </c>
      <c r="AF82" s="59" t="s">
        <v>1307</v>
      </c>
      <c r="AG82" s="59"/>
      <c r="AH82" s="59"/>
      <c r="AI82" s="59" t="s">
        <v>1574</v>
      </c>
      <c r="AJ82" s="67" t="s">
        <v>1575</v>
      </c>
      <c r="AK82" s="59" t="s">
        <v>1576</v>
      </c>
      <c r="AL82" s="84" t="s">
        <v>244</v>
      </c>
      <c r="AM82" s="59" t="str">
        <f>AK82</f>
        <v>Jln abi kusnocs lr serumpun RT06 RW 01 kertapati Palembang</v>
      </c>
      <c r="AN82" s="59"/>
      <c r="AO82" s="59" t="s">
        <v>685</v>
      </c>
      <c r="AP82" s="59" t="s">
        <v>101</v>
      </c>
      <c r="AQ82" s="67" t="s">
        <v>1577</v>
      </c>
      <c r="AR82" s="67" t="s">
        <v>1578</v>
      </c>
      <c r="AS82" s="59" t="s">
        <v>163</v>
      </c>
      <c r="AT82" s="59" t="s">
        <v>194</v>
      </c>
      <c r="AU82" s="59"/>
      <c r="AV82" s="59" t="s">
        <v>1579</v>
      </c>
      <c r="AW82" s="59" t="str">
        <f t="shared" ref="AW82:AW89" si="43">AK82</f>
        <v>Jln abi kusnocs lr serumpun RT06 RW 01 kertapati Palembang</v>
      </c>
      <c r="AX82" s="67" t="s">
        <v>1580</v>
      </c>
      <c r="AY82" s="59" t="s">
        <v>168</v>
      </c>
      <c r="AZ82" s="59" t="s">
        <v>168</v>
      </c>
      <c r="BA82" s="67" t="s">
        <v>1581</v>
      </c>
      <c r="BB82" s="59" t="s">
        <v>1582</v>
      </c>
      <c r="BC82" s="59" t="s">
        <v>1583</v>
      </c>
      <c r="BD82" s="59" t="s">
        <v>1584</v>
      </c>
      <c r="BE82" s="59" t="s">
        <v>175</v>
      </c>
      <c r="BF82" s="49">
        <v>30326</v>
      </c>
      <c r="BG82" s="57">
        <f t="shared" ca="1" si="29"/>
        <v>43</v>
      </c>
      <c r="BH82" s="57">
        <f t="shared" ca="1" si="30"/>
        <v>3</v>
      </c>
      <c r="BI82" s="57">
        <f t="shared" ca="1" si="31"/>
        <v>12</v>
      </c>
      <c r="BJ82" s="59" t="s">
        <v>1585</v>
      </c>
      <c r="BK82" s="59" t="s">
        <v>175</v>
      </c>
      <c r="BL82" s="49">
        <v>38371</v>
      </c>
      <c r="BM82" s="57">
        <f t="shared" ca="1" si="32"/>
        <v>21</v>
      </c>
      <c r="BN82" s="57">
        <f t="shared" ca="1" si="33"/>
        <v>3</v>
      </c>
      <c r="BO82" s="57">
        <f t="shared" ca="1" si="34"/>
        <v>3</v>
      </c>
      <c r="BP82" s="59" t="s">
        <v>1586</v>
      </c>
      <c r="BQ82" s="59" t="s">
        <v>175</v>
      </c>
      <c r="BR82" s="49">
        <v>40001</v>
      </c>
      <c r="BS82" s="57">
        <f t="shared" ca="1" si="35"/>
        <v>16</v>
      </c>
      <c r="BT82" s="57">
        <f t="shared" ca="1" si="36"/>
        <v>9</v>
      </c>
      <c r="BU82" s="57">
        <f t="shared" ca="1" si="37"/>
        <v>15</v>
      </c>
      <c r="BV82" s="59" t="s">
        <v>1587</v>
      </c>
      <c r="BW82" s="59" t="s">
        <v>175</v>
      </c>
      <c r="BX82" s="49">
        <v>43194</v>
      </c>
      <c r="BY82" s="57">
        <f t="shared" ca="1" si="38"/>
        <v>8</v>
      </c>
      <c r="BZ82" s="57">
        <f t="shared" ca="1" si="39"/>
        <v>0</v>
      </c>
      <c r="CA82" s="57">
        <f t="shared" ca="1" si="40"/>
        <v>18</v>
      </c>
      <c r="CB82" s="59" t="s">
        <v>1588</v>
      </c>
      <c r="CC82" s="85" t="s">
        <v>1589</v>
      </c>
    </row>
    <row r="83" spans="1:81" ht="15" customHeight="1" x14ac:dyDescent="0.25">
      <c r="A83" s="46" t="s">
        <v>1590</v>
      </c>
      <c r="B83" s="47" t="s">
        <v>1591</v>
      </c>
      <c r="C83" s="47" t="s">
        <v>1592</v>
      </c>
      <c r="D83" s="47" t="s">
        <v>86</v>
      </c>
      <c r="E83" s="47" t="s">
        <v>176</v>
      </c>
      <c r="F83" s="47" t="s">
        <v>177</v>
      </c>
      <c r="G83" s="47"/>
      <c r="H83" s="59" t="s">
        <v>178</v>
      </c>
      <c r="I83" s="47" t="s">
        <v>179</v>
      </c>
      <c r="J83" s="47" t="s">
        <v>90</v>
      </c>
      <c r="K83" s="47" t="s">
        <v>91</v>
      </c>
      <c r="L83" s="49">
        <v>45082</v>
      </c>
      <c r="M83" s="50">
        <f t="shared" ca="1" si="22"/>
        <v>2</v>
      </c>
      <c r="N83" s="50">
        <f t="shared" ca="1" si="23"/>
        <v>10</v>
      </c>
      <c r="O83" s="50">
        <f t="shared" ca="1" si="24"/>
        <v>17</v>
      </c>
      <c r="P83" s="51">
        <f t="shared" si="25"/>
        <v>47491</v>
      </c>
      <c r="Q83" s="47" t="s">
        <v>1484</v>
      </c>
      <c r="R83" s="51">
        <f t="shared" si="21"/>
        <v>45082</v>
      </c>
      <c r="S83" s="51">
        <v>45173</v>
      </c>
      <c r="T83" s="51">
        <f t="shared" si="42"/>
        <v>45174</v>
      </c>
      <c r="U83" s="51"/>
      <c r="V83" s="47" t="s">
        <v>90</v>
      </c>
      <c r="W83" s="47" t="s">
        <v>376</v>
      </c>
      <c r="X83" s="49">
        <v>27402</v>
      </c>
      <c r="Y83" s="50">
        <f t="shared" ca="1" si="26"/>
        <v>51</v>
      </c>
      <c r="Z83" s="50">
        <f t="shared" ca="1" si="27"/>
        <v>3</v>
      </c>
      <c r="AA83" s="50">
        <f t="shared" ca="1" si="28"/>
        <v>14</v>
      </c>
      <c r="AB83" s="47" t="s">
        <v>1593</v>
      </c>
      <c r="AC83" s="53"/>
      <c r="AD83" s="70" t="s">
        <v>360</v>
      </c>
      <c r="AE83" s="47" t="s">
        <v>1594</v>
      </c>
      <c r="AF83" s="47" t="s">
        <v>1595</v>
      </c>
      <c r="AG83" s="47"/>
      <c r="AH83" s="47">
        <v>23</v>
      </c>
      <c r="AI83" s="47" t="s">
        <v>1596</v>
      </c>
      <c r="AJ83" s="48" t="s">
        <v>1597</v>
      </c>
      <c r="AK83" s="54" t="s">
        <v>1598</v>
      </c>
      <c r="AL83" s="56" t="s">
        <v>244</v>
      </c>
      <c r="AM83" s="47" t="s">
        <v>1599</v>
      </c>
      <c r="AN83" s="47"/>
      <c r="AO83" s="47" t="s">
        <v>135</v>
      </c>
      <c r="AP83" s="47" t="s">
        <v>101</v>
      </c>
      <c r="AQ83" s="48" t="s">
        <v>1600</v>
      </c>
      <c r="AR83" s="48" t="s">
        <v>1601</v>
      </c>
      <c r="AS83" s="47" t="s">
        <v>513</v>
      </c>
      <c r="AT83" s="47" t="s">
        <v>194</v>
      </c>
      <c r="AU83" s="47"/>
      <c r="AV83" s="48" t="s">
        <v>1602</v>
      </c>
      <c r="AW83" s="47" t="str">
        <f t="shared" si="43"/>
        <v>Gg. Haji Idris No 70 Rt 04 RW 02 Kel. Cipedak, Kec. Jagakarsa, Jakarta Selatan</v>
      </c>
      <c r="AX83" s="48" t="s">
        <v>1603</v>
      </c>
      <c r="AY83" s="47" t="s">
        <v>168</v>
      </c>
      <c r="AZ83" s="47" t="s">
        <v>168</v>
      </c>
      <c r="BA83" s="48" t="s">
        <v>1604</v>
      </c>
      <c r="BB83" s="47" t="s">
        <v>1592</v>
      </c>
      <c r="BC83" s="47" t="s">
        <v>1605</v>
      </c>
      <c r="BD83" s="47" t="s">
        <v>1606</v>
      </c>
      <c r="BE83" s="47" t="s">
        <v>175</v>
      </c>
      <c r="BF83" s="51">
        <v>27562</v>
      </c>
      <c r="BG83" s="57">
        <f t="shared" ca="1" si="29"/>
        <v>50</v>
      </c>
      <c r="BH83" s="57">
        <f t="shared" ca="1" si="30"/>
        <v>10</v>
      </c>
      <c r="BI83" s="57">
        <f t="shared" ca="1" si="31"/>
        <v>5</v>
      </c>
      <c r="BJ83" s="47" t="s">
        <v>1607</v>
      </c>
      <c r="BK83" s="47" t="s">
        <v>86</v>
      </c>
      <c r="BL83" s="51">
        <v>37867</v>
      </c>
      <c r="BM83" s="57">
        <f t="shared" ca="1" si="32"/>
        <v>22</v>
      </c>
      <c r="BN83" s="57">
        <f t="shared" ca="1" si="33"/>
        <v>7</v>
      </c>
      <c r="BO83" s="57">
        <f t="shared" ca="1" si="34"/>
        <v>19</v>
      </c>
      <c r="BP83" s="48" t="s">
        <v>88</v>
      </c>
      <c r="BQ83" s="48" t="s">
        <v>88</v>
      </c>
      <c r="BR83" s="52" t="s">
        <v>88</v>
      </c>
      <c r="BS83" s="57" t="e">
        <f t="shared" ca="1" si="35"/>
        <v>#VALUE!</v>
      </c>
      <c r="BT83" s="57" t="e">
        <f t="shared" ca="1" si="36"/>
        <v>#VALUE!</v>
      </c>
      <c r="BU83" s="57" t="e">
        <f t="shared" ca="1" si="37"/>
        <v>#VALUE!</v>
      </c>
      <c r="BV83" s="48" t="s">
        <v>88</v>
      </c>
      <c r="BW83" s="48" t="s">
        <v>88</v>
      </c>
      <c r="BX83" s="52" t="s">
        <v>88</v>
      </c>
      <c r="BY83" s="57" t="e">
        <f t="shared" ca="1" si="38"/>
        <v>#VALUE!</v>
      </c>
      <c r="BZ83" s="57" t="e">
        <f t="shared" ca="1" si="39"/>
        <v>#VALUE!</v>
      </c>
      <c r="CA83" s="57" t="e">
        <f t="shared" ca="1" si="40"/>
        <v>#VALUE!</v>
      </c>
      <c r="CB83" s="73" t="s">
        <v>1608</v>
      </c>
      <c r="CC83" s="58" t="s">
        <v>1609</v>
      </c>
    </row>
    <row r="84" spans="1:81" ht="15" customHeight="1" x14ac:dyDescent="0.25">
      <c r="A84" s="46" t="s">
        <v>1610</v>
      </c>
      <c r="B84" s="47" t="s">
        <v>1611</v>
      </c>
      <c r="C84" s="47" t="s">
        <v>1612</v>
      </c>
      <c r="D84" s="47" t="s">
        <v>86</v>
      </c>
      <c r="E84" s="47" t="s">
        <v>176</v>
      </c>
      <c r="F84" s="47" t="s">
        <v>128</v>
      </c>
      <c r="G84" s="47"/>
      <c r="H84" s="47" t="s">
        <v>1535</v>
      </c>
      <c r="I84" s="47" t="s">
        <v>1613</v>
      </c>
      <c r="J84" s="47" t="s">
        <v>90</v>
      </c>
      <c r="K84" s="47" t="s">
        <v>91</v>
      </c>
      <c r="L84" s="49">
        <v>45097</v>
      </c>
      <c r="M84" s="50">
        <f t="shared" ca="1" si="22"/>
        <v>2</v>
      </c>
      <c r="N84" s="50">
        <f t="shared" ca="1" si="23"/>
        <v>10</v>
      </c>
      <c r="O84" s="50">
        <f t="shared" ca="1" si="24"/>
        <v>2</v>
      </c>
      <c r="P84" s="51">
        <f t="shared" si="25"/>
        <v>52579</v>
      </c>
      <c r="Q84" s="47" t="s">
        <v>1484</v>
      </c>
      <c r="R84" s="51">
        <f t="shared" si="21"/>
        <v>45097</v>
      </c>
      <c r="S84" s="51">
        <v>45188</v>
      </c>
      <c r="T84" s="51">
        <f t="shared" si="42"/>
        <v>45189</v>
      </c>
      <c r="U84" s="51"/>
      <c r="V84" s="47" t="s">
        <v>90</v>
      </c>
      <c r="W84" s="47" t="s">
        <v>333</v>
      </c>
      <c r="X84" s="49">
        <v>32491</v>
      </c>
      <c r="Y84" s="50">
        <f t="shared" ca="1" si="26"/>
        <v>37</v>
      </c>
      <c r="Z84" s="50">
        <f t="shared" ca="1" si="27"/>
        <v>4</v>
      </c>
      <c r="AA84" s="50">
        <f t="shared" ca="1" si="28"/>
        <v>8</v>
      </c>
      <c r="AB84" s="47" t="s">
        <v>1614</v>
      </c>
      <c r="AC84" s="53"/>
      <c r="AD84" s="70" t="s">
        <v>185</v>
      </c>
      <c r="AE84" s="47" t="s">
        <v>1615</v>
      </c>
      <c r="AF84" s="47" t="s">
        <v>590</v>
      </c>
      <c r="AG84" s="47"/>
      <c r="AH84" s="47">
        <v>13</v>
      </c>
      <c r="AI84" s="47" t="s">
        <v>1616</v>
      </c>
      <c r="AJ84" s="48" t="s">
        <v>1617</v>
      </c>
      <c r="AK84" s="47" t="s">
        <v>1618</v>
      </c>
      <c r="AL84" s="56" t="s">
        <v>244</v>
      </c>
      <c r="AM84" s="47" t="str">
        <f>AK84</f>
        <v>Jl Radar Baru blok E No.5 RT 004 RW 004, Cijantung, East Jakarta</v>
      </c>
      <c r="AN84" s="47"/>
      <c r="AO84" s="47" t="s">
        <v>385</v>
      </c>
      <c r="AP84" s="47" t="s">
        <v>101</v>
      </c>
      <c r="AQ84" s="48" t="s">
        <v>1619</v>
      </c>
      <c r="AR84" s="48" t="s">
        <v>1620</v>
      </c>
      <c r="AS84" s="47" t="s">
        <v>163</v>
      </c>
      <c r="AT84" s="47" t="s">
        <v>194</v>
      </c>
      <c r="AU84" s="47"/>
      <c r="AV84" s="47" t="s">
        <v>1621</v>
      </c>
      <c r="AW84" s="47" t="str">
        <f t="shared" si="43"/>
        <v>Jl Radar Baru blok E No.5 RT 004 RW 004, Cijantung, East Jakarta</v>
      </c>
      <c r="AX84" s="48" t="s">
        <v>1622</v>
      </c>
      <c r="AY84" s="47" t="s">
        <v>168</v>
      </c>
      <c r="AZ84" s="47" t="s">
        <v>168</v>
      </c>
      <c r="BA84" s="48" t="s">
        <v>1623</v>
      </c>
      <c r="BB84" s="47" t="s">
        <v>1612</v>
      </c>
      <c r="BC84" s="47" t="s">
        <v>1624</v>
      </c>
      <c r="BD84" s="47" t="s">
        <v>1625</v>
      </c>
      <c r="BE84" s="47" t="s">
        <v>86</v>
      </c>
      <c r="BF84" s="51">
        <v>32539</v>
      </c>
      <c r="BG84" s="57">
        <f t="shared" ca="1" si="29"/>
        <v>37</v>
      </c>
      <c r="BH84" s="57">
        <f t="shared" ca="1" si="30"/>
        <v>2</v>
      </c>
      <c r="BI84" s="57">
        <f t="shared" ca="1" si="31"/>
        <v>22</v>
      </c>
      <c r="BJ84" s="47" t="s">
        <v>1626</v>
      </c>
      <c r="BK84" s="47" t="s">
        <v>175</v>
      </c>
      <c r="BL84" s="51">
        <v>42872</v>
      </c>
      <c r="BM84" s="57">
        <f t="shared" ca="1" si="32"/>
        <v>8</v>
      </c>
      <c r="BN84" s="57">
        <f t="shared" ca="1" si="33"/>
        <v>11</v>
      </c>
      <c r="BO84" s="57">
        <f t="shared" ca="1" si="34"/>
        <v>5</v>
      </c>
      <c r="BP84" s="47" t="s">
        <v>1627</v>
      </c>
      <c r="BQ84" s="47" t="s">
        <v>86</v>
      </c>
      <c r="BR84" s="51">
        <v>43673</v>
      </c>
      <c r="BS84" s="57">
        <f t="shared" ca="1" si="35"/>
        <v>6</v>
      </c>
      <c r="BT84" s="57">
        <f t="shared" ca="1" si="36"/>
        <v>8</v>
      </c>
      <c r="BU84" s="57">
        <f t="shared" ca="1" si="37"/>
        <v>26</v>
      </c>
      <c r="BV84" s="48" t="s">
        <v>88</v>
      </c>
      <c r="BW84" s="48" t="s">
        <v>88</v>
      </c>
      <c r="BX84" s="52" t="s">
        <v>88</v>
      </c>
      <c r="BY84" s="57" t="e">
        <f t="shared" ca="1" si="38"/>
        <v>#VALUE!</v>
      </c>
      <c r="BZ84" s="57" t="e">
        <f t="shared" ca="1" si="39"/>
        <v>#VALUE!</v>
      </c>
      <c r="CA84" s="57" t="e">
        <f t="shared" ca="1" si="40"/>
        <v>#VALUE!</v>
      </c>
      <c r="CB84" s="73" t="s">
        <v>1628</v>
      </c>
      <c r="CC84" s="58" t="s">
        <v>1629</v>
      </c>
    </row>
    <row r="85" spans="1:81" s="7" customFormat="1" ht="15" customHeight="1" x14ac:dyDescent="0.25">
      <c r="A85" s="46" t="s">
        <v>1630</v>
      </c>
      <c r="B85" s="86" t="s">
        <v>1631</v>
      </c>
      <c r="C85" s="87" t="s">
        <v>1632</v>
      </c>
      <c r="D85" s="86" t="s">
        <v>175</v>
      </c>
      <c r="E85" s="87" t="s">
        <v>206</v>
      </c>
      <c r="F85" s="86" t="s">
        <v>328</v>
      </c>
      <c r="G85" s="47" t="s">
        <v>398</v>
      </c>
      <c r="H85" s="47" t="s">
        <v>1192</v>
      </c>
      <c r="I85" s="87" t="s">
        <v>1633</v>
      </c>
      <c r="J85" s="87" t="s">
        <v>110</v>
      </c>
      <c r="K85" s="47" t="s">
        <v>91</v>
      </c>
      <c r="L85" s="88">
        <v>45117</v>
      </c>
      <c r="M85" s="50">
        <f t="shared" ca="1" si="22"/>
        <v>2</v>
      </c>
      <c r="N85" s="50">
        <f t="shared" ca="1" si="23"/>
        <v>9</v>
      </c>
      <c r="O85" s="50">
        <f t="shared" ca="1" si="24"/>
        <v>12</v>
      </c>
      <c r="P85" s="51">
        <f t="shared" si="25"/>
        <v>54037</v>
      </c>
      <c r="Q85" s="86" t="s">
        <v>1484</v>
      </c>
      <c r="R85" s="88">
        <f t="shared" si="21"/>
        <v>45117</v>
      </c>
      <c r="S85" s="88">
        <v>45208</v>
      </c>
      <c r="T85" s="88">
        <f t="shared" si="42"/>
        <v>45209</v>
      </c>
      <c r="U85" s="88"/>
      <c r="V85" s="86" t="s">
        <v>90</v>
      </c>
      <c r="W85" s="86" t="s">
        <v>333</v>
      </c>
      <c r="X85" s="88">
        <v>33949</v>
      </c>
      <c r="Y85" s="50">
        <f t="shared" ca="1" si="26"/>
        <v>33</v>
      </c>
      <c r="Z85" s="50">
        <f t="shared" ca="1" si="27"/>
        <v>4</v>
      </c>
      <c r="AA85" s="50">
        <f t="shared" ca="1" si="28"/>
        <v>11</v>
      </c>
      <c r="AB85" s="86" t="s">
        <v>1634</v>
      </c>
      <c r="AC85" s="89"/>
      <c r="AD85" s="70" t="s">
        <v>185</v>
      </c>
      <c r="AE85" s="86" t="s">
        <v>1635</v>
      </c>
      <c r="AF85" s="86" t="s">
        <v>1487</v>
      </c>
      <c r="AG85" s="86"/>
      <c r="AH85" s="86">
        <v>6</v>
      </c>
      <c r="AI85" s="86" t="s">
        <v>1636</v>
      </c>
      <c r="AJ85" s="90" t="s">
        <v>1637</v>
      </c>
      <c r="AK85" s="86" t="s">
        <v>1638</v>
      </c>
      <c r="AL85" s="86" t="s">
        <v>244</v>
      </c>
      <c r="AM85" s="86" t="str">
        <f>AK85</f>
        <v>Jl. Raya Kapin No. 5A, Pondok Kelapa, Duren Sawit, Jakarta Timur</v>
      </c>
      <c r="AN85" s="86"/>
      <c r="AO85" s="86" t="s">
        <v>385</v>
      </c>
      <c r="AP85" s="86" t="s">
        <v>641</v>
      </c>
      <c r="AQ85" s="90" t="s">
        <v>1639</v>
      </c>
      <c r="AR85" s="90" t="s">
        <v>1640</v>
      </c>
      <c r="AS85" s="86" t="s">
        <v>163</v>
      </c>
      <c r="AT85" s="86" t="s">
        <v>343</v>
      </c>
      <c r="AU85" s="86"/>
      <c r="AV85" s="86" t="s">
        <v>1641</v>
      </c>
      <c r="AW85" s="86" t="str">
        <f t="shared" si="43"/>
        <v>Jl. Raya Kapin No. 5A, Pondok Kelapa, Duren Sawit, Jakarta Timur</v>
      </c>
      <c r="AX85" s="90" t="s">
        <v>1642</v>
      </c>
      <c r="AY85" s="86" t="s">
        <v>168</v>
      </c>
      <c r="AZ85" s="86" t="s">
        <v>168</v>
      </c>
      <c r="BA85" s="90" t="s">
        <v>1643</v>
      </c>
      <c r="BB85" s="86" t="s">
        <v>1632</v>
      </c>
      <c r="BC85" s="86" t="s">
        <v>1644</v>
      </c>
      <c r="BD85" s="90" t="s">
        <v>88</v>
      </c>
      <c r="BE85" s="90" t="s">
        <v>88</v>
      </c>
      <c r="BF85" s="91" t="s">
        <v>88</v>
      </c>
      <c r="BG85" s="57" t="e">
        <f t="shared" ca="1" si="29"/>
        <v>#VALUE!</v>
      </c>
      <c r="BH85" s="57" t="e">
        <f t="shared" ca="1" si="30"/>
        <v>#VALUE!</v>
      </c>
      <c r="BI85" s="57" t="e">
        <f t="shared" ca="1" si="31"/>
        <v>#VALUE!</v>
      </c>
      <c r="BJ85" s="90" t="s">
        <v>88</v>
      </c>
      <c r="BK85" s="90" t="s">
        <v>88</v>
      </c>
      <c r="BL85" s="91" t="s">
        <v>88</v>
      </c>
      <c r="BM85" s="57" t="e">
        <f t="shared" ca="1" si="32"/>
        <v>#VALUE!</v>
      </c>
      <c r="BN85" s="57" t="e">
        <f t="shared" ca="1" si="33"/>
        <v>#VALUE!</v>
      </c>
      <c r="BO85" s="57" t="e">
        <f t="shared" ca="1" si="34"/>
        <v>#VALUE!</v>
      </c>
      <c r="BP85" s="90" t="s">
        <v>88</v>
      </c>
      <c r="BQ85" s="90" t="s">
        <v>88</v>
      </c>
      <c r="BR85" s="91" t="s">
        <v>88</v>
      </c>
      <c r="BS85" s="57" t="e">
        <f t="shared" ca="1" si="35"/>
        <v>#VALUE!</v>
      </c>
      <c r="BT85" s="57" t="e">
        <f t="shared" ca="1" si="36"/>
        <v>#VALUE!</v>
      </c>
      <c r="BU85" s="57" t="e">
        <f t="shared" ca="1" si="37"/>
        <v>#VALUE!</v>
      </c>
      <c r="BV85" s="90" t="s">
        <v>88</v>
      </c>
      <c r="BW85" s="90" t="s">
        <v>88</v>
      </c>
      <c r="BX85" s="91" t="s">
        <v>88</v>
      </c>
      <c r="BY85" s="57" t="e">
        <f t="shared" ca="1" si="38"/>
        <v>#VALUE!</v>
      </c>
      <c r="BZ85" s="57" t="e">
        <f t="shared" ca="1" si="39"/>
        <v>#VALUE!</v>
      </c>
      <c r="CA85" s="57" t="e">
        <f t="shared" ca="1" si="40"/>
        <v>#VALUE!</v>
      </c>
      <c r="CB85" s="86"/>
      <c r="CC85" s="92" t="s">
        <v>1645</v>
      </c>
    </row>
    <row r="86" spans="1:81" s="7" customFormat="1" ht="15" customHeight="1" x14ac:dyDescent="0.25">
      <c r="A86" s="46" t="s">
        <v>1646</v>
      </c>
      <c r="B86" s="93" t="s">
        <v>1647</v>
      </c>
      <c r="C86" s="94" t="s">
        <v>1648</v>
      </c>
      <c r="D86" s="93" t="s">
        <v>175</v>
      </c>
      <c r="E86" s="47" t="s">
        <v>630</v>
      </c>
      <c r="F86" s="93" t="s">
        <v>328</v>
      </c>
      <c r="G86" s="47" t="s">
        <v>398</v>
      </c>
      <c r="H86" s="47" t="s">
        <v>1192</v>
      </c>
      <c r="I86" s="94" t="s">
        <v>1193</v>
      </c>
      <c r="J86" s="94" t="s">
        <v>110</v>
      </c>
      <c r="K86" s="47" t="s">
        <v>91</v>
      </c>
      <c r="L86" s="95">
        <v>45152</v>
      </c>
      <c r="M86" s="50">
        <f t="shared" ca="1" si="22"/>
        <v>2</v>
      </c>
      <c r="N86" s="50">
        <f t="shared" ca="1" si="23"/>
        <v>8</v>
      </c>
      <c r="O86" s="50">
        <f t="shared" ca="1" si="24"/>
        <v>8</v>
      </c>
      <c r="P86" s="51">
        <f t="shared" si="25"/>
        <v>57340</v>
      </c>
      <c r="Q86" s="93" t="s">
        <v>1649</v>
      </c>
      <c r="R86" s="95">
        <f t="shared" si="21"/>
        <v>45152</v>
      </c>
      <c r="S86" s="95">
        <v>44970</v>
      </c>
      <c r="T86" s="95">
        <f t="shared" si="42"/>
        <v>44971</v>
      </c>
      <c r="U86" s="95"/>
      <c r="V86" s="93" t="s">
        <v>374</v>
      </c>
      <c r="W86" s="93" t="s">
        <v>333</v>
      </c>
      <c r="X86" s="95">
        <v>37251</v>
      </c>
      <c r="Y86" s="50">
        <f t="shared" ca="1" si="26"/>
        <v>24</v>
      </c>
      <c r="Z86" s="50">
        <f t="shared" ca="1" si="27"/>
        <v>3</v>
      </c>
      <c r="AA86" s="50">
        <f t="shared" ca="1" si="28"/>
        <v>27</v>
      </c>
      <c r="AB86" s="93" t="s">
        <v>1650</v>
      </c>
      <c r="AC86" s="96"/>
      <c r="AD86" s="70" t="s">
        <v>360</v>
      </c>
      <c r="AE86" s="93" t="s">
        <v>1651</v>
      </c>
      <c r="AF86" s="93" t="s">
        <v>1652</v>
      </c>
      <c r="AG86" s="93"/>
      <c r="AH86" s="97" t="s">
        <v>88</v>
      </c>
      <c r="AI86" s="97" t="s">
        <v>88</v>
      </c>
      <c r="AJ86" s="97" t="s">
        <v>1653</v>
      </c>
      <c r="AK86" s="93" t="s">
        <v>1654</v>
      </c>
      <c r="AL86" s="93" t="s">
        <v>244</v>
      </c>
      <c r="AM86" s="93" t="str">
        <f>AK86</f>
        <v>Jl. Rawa Selatan 2 No. 08 RT 09 RW 07, Jakarta Pusat, Indonesia.</v>
      </c>
      <c r="AN86" s="93"/>
      <c r="AO86" s="93" t="s">
        <v>1655</v>
      </c>
      <c r="AP86" s="93" t="s">
        <v>641</v>
      </c>
      <c r="AQ86" s="97" t="s">
        <v>1656</v>
      </c>
      <c r="AR86" s="97" t="s">
        <v>1657</v>
      </c>
      <c r="AS86" s="93" t="s">
        <v>163</v>
      </c>
      <c r="AT86" s="93" t="s">
        <v>194</v>
      </c>
      <c r="AU86" s="93"/>
      <c r="AV86" s="93" t="s">
        <v>1658</v>
      </c>
      <c r="AW86" s="93" t="str">
        <f t="shared" si="43"/>
        <v>Jl. Rawa Selatan 2 No. 08 RT 09 RW 07, Jakarta Pusat, Indonesia.</v>
      </c>
      <c r="AX86" s="97" t="s">
        <v>1659</v>
      </c>
      <c r="AY86" s="93" t="s">
        <v>168</v>
      </c>
      <c r="AZ86" s="93" t="s">
        <v>168</v>
      </c>
      <c r="BA86" s="97" t="s">
        <v>1660</v>
      </c>
      <c r="BB86" s="93" t="s">
        <v>1648</v>
      </c>
      <c r="BC86" s="93" t="s">
        <v>1661</v>
      </c>
      <c r="BD86" s="93"/>
      <c r="BE86" s="93"/>
      <c r="BF86" s="95"/>
      <c r="BG86" s="57">
        <f t="shared" ca="1" si="29"/>
        <v>126</v>
      </c>
      <c r="BH86" s="57">
        <f t="shared" ca="1" si="30"/>
        <v>3</v>
      </c>
      <c r="BI86" s="57">
        <f t="shared" ca="1" si="31"/>
        <v>22</v>
      </c>
      <c r="BJ86" s="93"/>
      <c r="BK86" s="93"/>
      <c r="BL86" s="95"/>
      <c r="BM86" s="57">
        <f t="shared" ca="1" si="32"/>
        <v>126</v>
      </c>
      <c r="BN86" s="57">
        <f t="shared" ca="1" si="33"/>
        <v>3</v>
      </c>
      <c r="BO86" s="57">
        <f t="shared" ca="1" si="34"/>
        <v>22</v>
      </c>
      <c r="BP86" s="93"/>
      <c r="BQ86" s="93"/>
      <c r="BR86" s="95"/>
      <c r="BS86" s="57">
        <f t="shared" ca="1" si="35"/>
        <v>126</v>
      </c>
      <c r="BT86" s="57">
        <f t="shared" ca="1" si="36"/>
        <v>3</v>
      </c>
      <c r="BU86" s="57">
        <f t="shared" ca="1" si="37"/>
        <v>22</v>
      </c>
      <c r="BV86" s="93"/>
      <c r="BW86" s="93"/>
      <c r="BX86" s="95"/>
      <c r="BY86" s="57">
        <f t="shared" ca="1" si="38"/>
        <v>126</v>
      </c>
      <c r="BZ86" s="57">
        <f t="shared" ca="1" si="39"/>
        <v>3</v>
      </c>
      <c r="CA86" s="57">
        <f t="shared" ca="1" si="40"/>
        <v>22</v>
      </c>
      <c r="CB86" s="93" t="s">
        <v>1662</v>
      </c>
      <c r="CC86" s="97" t="s">
        <v>88</v>
      </c>
    </row>
    <row r="87" spans="1:81" s="7" customFormat="1" ht="15" customHeight="1" x14ac:dyDescent="0.25">
      <c r="A87" s="46" t="s">
        <v>1663</v>
      </c>
      <c r="B87" s="93" t="s">
        <v>1664</v>
      </c>
      <c r="C87" s="93" t="s">
        <v>1665</v>
      </c>
      <c r="D87" s="93" t="s">
        <v>175</v>
      </c>
      <c r="E87" s="94" t="s">
        <v>176</v>
      </c>
      <c r="F87" s="93" t="s">
        <v>177</v>
      </c>
      <c r="G87" s="93"/>
      <c r="H87" s="59" t="s">
        <v>178</v>
      </c>
      <c r="I87" s="94" t="s">
        <v>179</v>
      </c>
      <c r="J87" s="93" t="s">
        <v>209</v>
      </c>
      <c r="K87" s="47" t="s">
        <v>91</v>
      </c>
      <c r="L87" s="95">
        <v>45159</v>
      </c>
      <c r="M87" s="50">
        <f t="shared" ca="1" si="22"/>
        <v>2</v>
      </c>
      <c r="N87" s="50">
        <f t="shared" ca="1" si="23"/>
        <v>8</v>
      </c>
      <c r="O87" s="50">
        <f t="shared" ca="1" si="24"/>
        <v>1</v>
      </c>
      <c r="P87" s="51">
        <f t="shared" si="25"/>
        <v>54314</v>
      </c>
      <c r="Q87" s="93" t="s">
        <v>1484</v>
      </c>
      <c r="R87" s="95">
        <f t="shared" si="21"/>
        <v>45159</v>
      </c>
      <c r="S87" s="95">
        <v>45250</v>
      </c>
      <c r="T87" s="95">
        <f t="shared" si="42"/>
        <v>45251</v>
      </c>
      <c r="U87" s="95"/>
      <c r="V87" s="93" t="s">
        <v>235</v>
      </c>
      <c r="W87" s="93" t="s">
        <v>210</v>
      </c>
      <c r="X87" s="95">
        <v>34225</v>
      </c>
      <c r="Y87" s="50">
        <f t="shared" ca="1" si="26"/>
        <v>32</v>
      </c>
      <c r="Z87" s="50">
        <f t="shared" ca="1" si="27"/>
        <v>7</v>
      </c>
      <c r="AA87" s="50">
        <f t="shared" ca="1" si="28"/>
        <v>9</v>
      </c>
      <c r="AB87" s="93" t="s">
        <v>1666</v>
      </c>
      <c r="AC87" s="96"/>
      <c r="AD87" s="63" t="s">
        <v>152</v>
      </c>
      <c r="AE87" s="93" t="s">
        <v>1667</v>
      </c>
      <c r="AF87" s="93" t="s">
        <v>590</v>
      </c>
      <c r="AG87" s="93"/>
      <c r="AH87" s="93">
        <f>2021-2014</f>
        <v>7</v>
      </c>
      <c r="AI87" s="93" t="s">
        <v>1237</v>
      </c>
      <c r="AJ87" s="97" t="s">
        <v>1668</v>
      </c>
      <c r="AK87" s="93" t="s">
        <v>1669</v>
      </c>
      <c r="AL87" s="93" t="s">
        <v>244</v>
      </c>
      <c r="AM87" s="93" t="str">
        <f>AK87</f>
        <v>Jl. Medayu Sentosa No.34 – Medokan Ayu, Kec. Rungkut, Surabaya</v>
      </c>
      <c r="AN87" s="93"/>
      <c r="AO87" s="93" t="s">
        <v>1655</v>
      </c>
      <c r="AP87" s="93" t="s">
        <v>1670</v>
      </c>
      <c r="AQ87" s="97" t="s">
        <v>1671</v>
      </c>
      <c r="AR87" s="97" t="s">
        <v>1672</v>
      </c>
      <c r="AS87" s="93" t="s">
        <v>163</v>
      </c>
      <c r="AT87" s="93" t="s">
        <v>194</v>
      </c>
      <c r="AU87" s="93"/>
      <c r="AV87" s="93" t="s">
        <v>1673</v>
      </c>
      <c r="AW87" s="93" t="str">
        <f t="shared" si="43"/>
        <v>Jl. Medayu Sentosa No.34 – Medokan Ayu, Kec. Rungkut, Surabaya</v>
      </c>
      <c r="AX87" s="97" t="s">
        <v>1674</v>
      </c>
      <c r="AY87" s="93" t="s">
        <v>168</v>
      </c>
      <c r="AZ87" s="93" t="s">
        <v>168</v>
      </c>
      <c r="BA87" s="97" t="s">
        <v>1675</v>
      </c>
      <c r="BB87" s="93" t="s">
        <v>1665</v>
      </c>
      <c r="BC87" s="93" t="s">
        <v>1676</v>
      </c>
      <c r="BD87" s="97" t="s">
        <v>88</v>
      </c>
      <c r="BE87" s="97" t="s">
        <v>88</v>
      </c>
      <c r="BF87" s="95"/>
      <c r="BG87" s="57">
        <f t="shared" ca="1" si="29"/>
        <v>126</v>
      </c>
      <c r="BH87" s="57">
        <f t="shared" ca="1" si="30"/>
        <v>3</v>
      </c>
      <c r="BI87" s="57">
        <f t="shared" ca="1" si="31"/>
        <v>22</v>
      </c>
      <c r="BJ87" s="93" t="s">
        <v>1677</v>
      </c>
      <c r="BK87" s="93" t="s">
        <v>175</v>
      </c>
      <c r="BL87" s="95">
        <v>41325</v>
      </c>
      <c r="BM87" s="57">
        <f t="shared" ca="1" si="32"/>
        <v>13</v>
      </c>
      <c r="BN87" s="57">
        <f t="shared" ca="1" si="33"/>
        <v>2</v>
      </c>
      <c r="BO87" s="57">
        <f t="shared" ca="1" si="34"/>
        <v>2</v>
      </c>
      <c r="BP87" s="93"/>
      <c r="BQ87" s="93"/>
      <c r="BR87" s="95"/>
      <c r="BS87" s="57">
        <f t="shared" ca="1" si="35"/>
        <v>126</v>
      </c>
      <c r="BT87" s="57">
        <f t="shared" ca="1" si="36"/>
        <v>3</v>
      </c>
      <c r="BU87" s="57">
        <f t="shared" ca="1" si="37"/>
        <v>22</v>
      </c>
      <c r="BV87" s="93"/>
      <c r="BW87" s="93"/>
      <c r="BX87" s="95"/>
      <c r="BY87" s="57">
        <f t="shared" ca="1" si="38"/>
        <v>126</v>
      </c>
      <c r="BZ87" s="57">
        <f t="shared" ca="1" si="39"/>
        <v>3</v>
      </c>
      <c r="CA87" s="57">
        <f t="shared" ca="1" si="40"/>
        <v>22</v>
      </c>
      <c r="CB87" s="93" t="s">
        <v>1678</v>
      </c>
      <c r="CC87" s="98" t="s">
        <v>1679</v>
      </c>
    </row>
    <row r="88" spans="1:81" s="7" customFormat="1" ht="15" customHeight="1" x14ac:dyDescent="0.25">
      <c r="A88" s="46" t="s">
        <v>1680</v>
      </c>
      <c r="B88" s="86" t="s">
        <v>1681</v>
      </c>
      <c r="C88" s="87" t="s">
        <v>1682</v>
      </c>
      <c r="D88" s="86" t="s">
        <v>86</v>
      </c>
      <c r="E88" s="47" t="s">
        <v>353</v>
      </c>
      <c r="F88" s="86" t="s">
        <v>328</v>
      </c>
      <c r="G88" s="47" t="s">
        <v>329</v>
      </c>
      <c r="H88" s="47" t="s">
        <v>354</v>
      </c>
      <c r="I88" s="87" t="s">
        <v>1683</v>
      </c>
      <c r="J88" s="86" t="s">
        <v>110</v>
      </c>
      <c r="K88" s="47" t="s">
        <v>91</v>
      </c>
      <c r="L88" s="88">
        <v>45175</v>
      </c>
      <c r="M88" s="50">
        <f t="shared" ca="1" si="22"/>
        <v>2</v>
      </c>
      <c r="N88" s="50">
        <f t="shared" ca="1" si="23"/>
        <v>7</v>
      </c>
      <c r="O88" s="50">
        <f t="shared" ca="1" si="24"/>
        <v>16</v>
      </c>
      <c r="P88" s="51">
        <f t="shared" si="25"/>
        <v>54316</v>
      </c>
      <c r="Q88" s="86" t="s">
        <v>1553</v>
      </c>
      <c r="R88" s="88">
        <f t="shared" si="21"/>
        <v>45175</v>
      </c>
      <c r="S88" s="88">
        <v>45540</v>
      </c>
      <c r="T88" s="88">
        <f t="shared" si="42"/>
        <v>45541</v>
      </c>
      <c r="U88" s="88"/>
      <c r="V88" s="86" t="s">
        <v>1684</v>
      </c>
      <c r="W88" s="86" t="s">
        <v>210</v>
      </c>
      <c r="X88" s="88">
        <v>34227</v>
      </c>
      <c r="Y88" s="50">
        <f t="shared" ca="1" si="26"/>
        <v>32</v>
      </c>
      <c r="Z88" s="50">
        <f t="shared" ca="1" si="27"/>
        <v>7</v>
      </c>
      <c r="AA88" s="50">
        <f t="shared" ca="1" si="28"/>
        <v>7</v>
      </c>
      <c r="AB88" s="86" t="s">
        <v>1685</v>
      </c>
      <c r="AC88" s="89"/>
      <c r="AD88" s="70" t="s">
        <v>185</v>
      </c>
      <c r="AE88" s="86" t="s">
        <v>1686</v>
      </c>
      <c r="AF88" s="86" t="s">
        <v>1687</v>
      </c>
      <c r="AG88" s="86"/>
      <c r="AH88" s="86"/>
      <c r="AI88" s="86" t="s">
        <v>1196</v>
      </c>
      <c r="AJ88" s="90" t="s">
        <v>1688</v>
      </c>
      <c r="AK88" s="86" t="s">
        <v>1689</v>
      </c>
      <c r="AL88" s="86" t="s">
        <v>244</v>
      </c>
      <c r="AM88" s="86" t="s">
        <v>1690</v>
      </c>
      <c r="AN88" s="86"/>
      <c r="AO88" s="86" t="s">
        <v>1655</v>
      </c>
      <c r="AP88" s="86" t="s">
        <v>641</v>
      </c>
      <c r="AQ88" s="90" t="s">
        <v>1691</v>
      </c>
      <c r="AR88" s="90" t="s">
        <v>1692</v>
      </c>
      <c r="AS88" s="86" t="s">
        <v>163</v>
      </c>
      <c r="AT88" s="90" t="s">
        <v>88</v>
      </c>
      <c r="AU88" s="86"/>
      <c r="AV88" s="86" t="s">
        <v>1693</v>
      </c>
      <c r="AW88" s="86" t="str">
        <f t="shared" si="43"/>
        <v>Kp.Pajagan RT.003 RW.010 Desa Gekbrong Kecamatan Gekbrong Kabupaten Cianjur</v>
      </c>
      <c r="AX88" s="90" t="s">
        <v>1694</v>
      </c>
      <c r="AY88" s="86" t="s">
        <v>168</v>
      </c>
      <c r="AZ88" s="86" t="s">
        <v>168</v>
      </c>
      <c r="BA88" s="86" t="s">
        <v>1695</v>
      </c>
      <c r="BB88" s="86" t="s">
        <v>1696</v>
      </c>
      <c r="BC88" s="86" t="s">
        <v>1697</v>
      </c>
      <c r="BD88" s="90" t="s">
        <v>88</v>
      </c>
      <c r="BE88" s="90" t="s">
        <v>88</v>
      </c>
      <c r="BF88" s="91" t="s">
        <v>88</v>
      </c>
      <c r="BG88" s="57" t="e">
        <f t="shared" ca="1" si="29"/>
        <v>#VALUE!</v>
      </c>
      <c r="BH88" s="57" t="e">
        <f t="shared" ca="1" si="30"/>
        <v>#VALUE!</v>
      </c>
      <c r="BI88" s="57" t="e">
        <f t="shared" ca="1" si="31"/>
        <v>#VALUE!</v>
      </c>
      <c r="BJ88" s="90" t="s">
        <v>88</v>
      </c>
      <c r="BK88" s="90" t="s">
        <v>88</v>
      </c>
      <c r="BL88" s="91" t="s">
        <v>88</v>
      </c>
      <c r="BM88" s="57" t="e">
        <f t="shared" ca="1" si="32"/>
        <v>#VALUE!</v>
      </c>
      <c r="BN88" s="57" t="e">
        <f t="shared" ca="1" si="33"/>
        <v>#VALUE!</v>
      </c>
      <c r="BO88" s="57" t="e">
        <f t="shared" ca="1" si="34"/>
        <v>#VALUE!</v>
      </c>
      <c r="BP88" s="90" t="s">
        <v>88</v>
      </c>
      <c r="BQ88" s="90" t="s">
        <v>88</v>
      </c>
      <c r="BR88" s="91" t="s">
        <v>88</v>
      </c>
      <c r="BS88" s="57" t="e">
        <f t="shared" ca="1" si="35"/>
        <v>#VALUE!</v>
      </c>
      <c r="BT88" s="57" t="e">
        <f t="shared" ca="1" si="36"/>
        <v>#VALUE!</v>
      </c>
      <c r="BU88" s="57" t="e">
        <f t="shared" ca="1" si="37"/>
        <v>#VALUE!</v>
      </c>
      <c r="BV88" s="90" t="s">
        <v>88</v>
      </c>
      <c r="BW88" s="90" t="s">
        <v>88</v>
      </c>
      <c r="BX88" s="91" t="s">
        <v>88</v>
      </c>
      <c r="BY88" s="57" t="e">
        <f t="shared" ca="1" si="38"/>
        <v>#VALUE!</v>
      </c>
      <c r="BZ88" s="57" t="e">
        <f t="shared" ca="1" si="39"/>
        <v>#VALUE!</v>
      </c>
      <c r="CA88" s="57" t="e">
        <f t="shared" ca="1" si="40"/>
        <v>#VALUE!</v>
      </c>
      <c r="CB88" s="86" t="s">
        <v>1698</v>
      </c>
      <c r="CC88" s="92" t="s">
        <v>1699</v>
      </c>
    </row>
    <row r="89" spans="1:81" s="7" customFormat="1" ht="15" customHeight="1" x14ac:dyDescent="0.25">
      <c r="A89" s="46" t="s">
        <v>1700</v>
      </c>
      <c r="B89" s="93" t="s">
        <v>1701</v>
      </c>
      <c r="C89" s="94" t="s">
        <v>1702</v>
      </c>
      <c r="D89" s="93" t="s">
        <v>175</v>
      </c>
      <c r="E89" s="87" t="s">
        <v>176</v>
      </c>
      <c r="F89" s="87" t="s">
        <v>128</v>
      </c>
      <c r="G89" s="87"/>
      <c r="H89" s="87" t="s">
        <v>821</v>
      </c>
      <c r="I89" s="93" t="s">
        <v>1703</v>
      </c>
      <c r="J89" s="86" t="s">
        <v>90</v>
      </c>
      <c r="K89" s="47" t="s">
        <v>91</v>
      </c>
      <c r="L89" s="88">
        <v>45222</v>
      </c>
      <c r="M89" s="50">
        <f t="shared" ca="1" si="22"/>
        <v>2</v>
      </c>
      <c r="N89" s="50">
        <f t="shared" ca="1" si="23"/>
        <v>5</v>
      </c>
      <c r="O89" s="50">
        <f t="shared" ca="1" si="24"/>
        <v>30</v>
      </c>
      <c r="P89" s="51">
        <f t="shared" si="25"/>
        <v>56318</v>
      </c>
      <c r="Q89" s="86" t="s">
        <v>1484</v>
      </c>
      <c r="R89" s="88">
        <v>45222</v>
      </c>
      <c r="S89" s="88">
        <v>45313</v>
      </c>
      <c r="T89" s="88">
        <f t="shared" si="42"/>
        <v>45314</v>
      </c>
      <c r="U89" s="95"/>
      <c r="V89" s="93" t="s">
        <v>1704</v>
      </c>
      <c r="W89" s="93" t="s">
        <v>236</v>
      </c>
      <c r="X89" s="95">
        <v>36229</v>
      </c>
      <c r="Y89" s="50">
        <f t="shared" ca="1" si="26"/>
        <v>27</v>
      </c>
      <c r="Z89" s="50">
        <f t="shared" ca="1" si="27"/>
        <v>1</v>
      </c>
      <c r="AA89" s="50">
        <f t="shared" ca="1" si="28"/>
        <v>12</v>
      </c>
      <c r="AB89" s="93" t="s">
        <v>1705</v>
      </c>
      <c r="AC89" s="96"/>
      <c r="AD89" s="70" t="s">
        <v>185</v>
      </c>
      <c r="AE89" s="93" t="s">
        <v>336</v>
      </c>
      <c r="AF89" s="93" t="s">
        <v>895</v>
      </c>
      <c r="AG89" s="93"/>
      <c r="AH89" s="93">
        <v>2</v>
      </c>
      <c r="AI89" s="93" t="s">
        <v>1706</v>
      </c>
      <c r="AJ89" s="97" t="s">
        <v>1707</v>
      </c>
      <c r="AK89" s="93" t="s">
        <v>1708</v>
      </c>
      <c r="AL89" s="86" t="s">
        <v>244</v>
      </c>
      <c r="AM89" s="99" t="s">
        <v>1709</v>
      </c>
      <c r="AN89" s="93"/>
      <c r="AO89" s="86" t="s">
        <v>1655</v>
      </c>
      <c r="AP89" s="86" t="s">
        <v>641</v>
      </c>
      <c r="AQ89" s="97" t="s">
        <v>1710</v>
      </c>
      <c r="AR89" s="97" t="s">
        <v>1711</v>
      </c>
      <c r="AS89" s="86" t="s">
        <v>163</v>
      </c>
      <c r="AT89" s="93" t="s">
        <v>272</v>
      </c>
      <c r="AU89" s="93"/>
      <c r="AV89" s="93" t="s">
        <v>1712</v>
      </c>
      <c r="AW89" s="93" t="str">
        <f t="shared" si="43"/>
        <v>Jl Kutilang 1 No. 232 RT 006 RW 011 Kel. Depok Jaya Kec. Pancoran Mas, 16432</v>
      </c>
      <c r="AX89" s="97" t="s">
        <v>1713</v>
      </c>
      <c r="AY89" s="86" t="s">
        <v>168</v>
      </c>
      <c r="AZ89" s="86" t="s">
        <v>168</v>
      </c>
      <c r="BA89" s="97" t="s">
        <v>1714</v>
      </c>
      <c r="BB89" s="93" t="s">
        <v>1702</v>
      </c>
      <c r="BC89" s="93" t="s">
        <v>1715</v>
      </c>
      <c r="BD89" s="90" t="s">
        <v>88</v>
      </c>
      <c r="BE89" s="90" t="s">
        <v>88</v>
      </c>
      <c r="BF89" s="91" t="s">
        <v>88</v>
      </c>
      <c r="BG89" s="57" t="e">
        <f t="shared" ca="1" si="29"/>
        <v>#VALUE!</v>
      </c>
      <c r="BH89" s="57" t="e">
        <f t="shared" ca="1" si="30"/>
        <v>#VALUE!</v>
      </c>
      <c r="BI89" s="57" t="e">
        <f t="shared" ca="1" si="31"/>
        <v>#VALUE!</v>
      </c>
      <c r="BJ89" s="90" t="s">
        <v>88</v>
      </c>
      <c r="BK89" s="90" t="s">
        <v>88</v>
      </c>
      <c r="BL89" s="91" t="s">
        <v>88</v>
      </c>
      <c r="BM89" s="57" t="e">
        <f t="shared" ca="1" si="32"/>
        <v>#VALUE!</v>
      </c>
      <c r="BN89" s="57" t="e">
        <f t="shared" ca="1" si="33"/>
        <v>#VALUE!</v>
      </c>
      <c r="BO89" s="57" t="e">
        <f t="shared" ca="1" si="34"/>
        <v>#VALUE!</v>
      </c>
      <c r="BP89" s="90" t="s">
        <v>88</v>
      </c>
      <c r="BQ89" s="90" t="s">
        <v>88</v>
      </c>
      <c r="BR89" s="91" t="s">
        <v>88</v>
      </c>
      <c r="BS89" s="57" t="e">
        <f t="shared" ca="1" si="35"/>
        <v>#VALUE!</v>
      </c>
      <c r="BT89" s="57" t="e">
        <f t="shared" ca="1" si="36"/>
        <v>#VALUE!</v>
      </c>
      <c r="BU89" s="57" t="e">
        <f t="shared" ca="1" si="37"/>
        <v>#VALUE!</v>
      </c>
      <c r="BV89" s="90" t="s">
        <v>88</v>
      </c>
      <c r="BW89" s="90" t="s">
        <v>88</v>
      </c>
      <c r="BX89" s="91" t="s">
        <v>88</v>
      </c>
      <c r="BY89" s="57" t="e">
        <f t="shared" ca="1" si="38"/>
        <v>#VALUE!</v>
      </c>
      <c r="BZ89" s="57" t="e">
        <f t="shared" ca="1" si="39"/>
        <v>#VALUE!</v>
      </c>
      <c r="CA89" s="57" t="e">
        <f t="shared" ca="1" si="40"/>
        <v>#VALUE!</v>
      </c>
      <c r="CB89" s="93" t="s">
        <v>1716</v>
      </c>
      <c r="CC89" s="98" t="s">
        <v>1717</v>
      </c>
    </row>
    <row r="90" spans="1:81" ht="15" customHeight="1" x14ac:dyDescent="0.25">
      <c r="A90" s="46" t="s">
        <v>1718</v>
      </c>
      <c r="B90" s="59" t="s">
        <v>1719</v>
      </c>
      <c r="C90" s="59" t="s">
        <v>1720</v>
      </c>
      <c r="D90" s="59" t="s">
        <v>86</v>
      </c>
      <c r="E90" s="59" t="s">
        <v>233</v>
      </c>
      <c r="F90" s="59" t="s">
        <v>328</v>
      </c>
      <c r="G90" s="47" t="s">
        <v>398</v>
      </c>
      <c r="H90" s="48" t="s">
        <v>631</v>
      </c>
      <c r="I90" s="59" t="s">
        <v>1721</v>
      </c>
      <c r="J90" s="59" t="s">
        <v>110</v>
      </c>
      <c r="K90" s="59" t="s">
        <v>91</v>
      </c>
      <c r="L90" s="49">
        <v>45264</v>
      </c>
      <c r="M90" s="50">
        <f t="shared" ca="1" si="22"/>
        <v>2</v>
      </c>
      <c r="N90" s="50">
        <f t="shared" ca="1" si="23"/>
        <v>4</v>
      </c>
      <c r="O90" s="50">
        <f t="shared" ca="1" si="24"/>
        <v>18</v>
      </c>
      <c r="P90" s="51">
        <f t="shared" si="25"/>
        <v>52719</v>
      </c>
      <c r="Q90" s="93" t="s">
        <v>1484</v>
      </c>
      <c r="R90" s="49">
        <f t="shared" ref="R90:R97" si="44">L90</f>
        <v>45264</v>
      </c>
      <c r="S90" s="49">
        <f t="shared" ref="S90:S96" si="45">R90+(91-1)</f>
        <v>45354</v>
      </c>
      <c r="T90" s="49">
        <f t="shared" si="42"/>
        <v>45355</v>
      </c>
      <c r="U90" s="49"/>
      <c r="V90" s="59" t="s">
        <v>654</v>
      </c>
      <c r="W90" s="59" t="s">
        <v>678</v>
      </c>
      <c r="X90" s="49">
        <v>32630</v>
      </c>
      <c r="Y90" s="50">
        <f t="shared" ca="1" si="26"/>
        <v>36</v>
      </c>
      <c r="Z90" s="50">
        <f t="shared" ca="1" si="27"/>
        <v>11</v>
      </c>
      <c r="AA90" s="50">
        <f t="shared" ca="1" si="28"/>
        <v>20</v>
      </c>
      <c r="AB90" s="59" t="s">
        <v>1722</v>
      </c>
      <c r="AC90" s="83"/>
      <c r="AD90" s="70" t="s">
        <v>185</v>
      </c>
      <c r="AE90" s="59" t="s">
        <v>1723</v>
      </c>
      <c r="AF90" s="59" t="s">
        <v>1487</v>
      </c>
      <c r="AG90" s="59"/>
      <c r="AH90" s="59">
        <v>10</v>
      </c>
      <c r="AI90" s="59" t="s">
        <v>1724</v>
      </c>
      <c r="AJ90" s="67" t="s">
        <v>1725</v>
      </c>
      <c r="AK90" s="59" t="s">
        <v>1726</v>
      </c>
      <c r="AL90" s="84" t="s">
        <v>244</v>
      </c>
      <c r="AM90" s="59" t="s">
        <v>1727</v>
      </c>
      <c r="AN90" s="59"/>
      <c r="AO90" s="59" t="s">
        <v>1655</v>
      </c>
      <c r="AP90" s="59" t="s">
        <v>641</v>
      </c>
      <c r="AQ90" s="67" t="s">
        <v>1728</v>
      </c>
      <c r="AR90" s="67" t="s">
        <v>1728</v>
      </c>
      <c r="AS90" s="59" t="s">
        <v>664</v>
      </c>
      <c r="AT90" s="59" t="s">
        <v>343</v>
      </c>
      <c r="AU90" s="59"/>
      <c r="AV90" s="100" t="s">
        <v>88</v>
      </c>
      <c r="AW90" s="59" t="s">
        <v>88</v>
      </c>
      <c r="AX90" s="59"/>
      <c r="AY90" s="59"/>
      <c r="AZ90" s="59"/>
      <c r="BA90" s="67" t="s">
        <v>1729</v>
      </c>
      <c r="BB90" s="59" t="s">
        <v>1720</v>
      </c>
      <c r="BC90" s="59" t="s">
        <v>1730</v>
      </c>
      <c r="BD90" s="59"/>
      <c r="BE90" s="59"/>
      <c r="BF90" s="49"/>
      <c r="BG90" s="57">
        <f t="shared" ca="1" si="29"/>
        <v>126</v>
      </c>
      <c r="BH90" s="57">
        <f t="shared" ca="1" si="30"/>
        <v>3</v>
      </c>
      <c r="BI90" s="57">
        <f t="shared" ca="1" si="31"/>
        <v>22</v>
      </c>
      <c r="BJ90" s="67" t="s">
        <v>88</v>
      </c>
      <c r="BK90" s="67" t="s">
        <v>88</v>
      </c>
      <c r="BL90" s="101" t="s">
        <v>88</v>
      </c>
      <c r="BM90" s="57" t="e">
        <f t="shared" ca="1" si="32"/>
        <v>#VALUE!</v>
      </c>
      <c r="BN90" s="57" t="e">
        <f t="shared" ca="1" si="33"/>
        <v>#VALUE!</v>
      </c>
      <c r="BO90" s="57" t="e">
        <f t="shared" ca="1" si="34"/>
        <v>#VALUE!</v>
      </c>
      <c r="BP90" s="67" t="s">
        <v>88</v>
      </c>
      <c r="BQ90" s="59"/>
      <c r="BR90" s="49"/>
      <c r="BS90" s="57">
        <f t="shared" ca="1" si="35"/>
        <v>126</v>
      </c>
      <c r="BT90" s="57">
        <f t="shared" ca="1" si="36"/>
        <v>3</v>
      </c>
      <c r="BU90" s="57">
        <f t="shared" ca="1" si="37"/>
        <v>22</v>
      </c>
      <c r="BV90" s="59"/>
      <c r="BW90" s="59"/>
      <c r="BX90" s="49"/>
      <c r="BY90" s="57">
        <f t="shared" ca="1" si="38"/>
        <v>126</v>
      </c>
      <c r="BZ90" s="57">
        <f t="shared" ca="1" si="39"/>
        <v>3</v>
      </c>
      <c r="CA90" s="57">
        <f t="shared" ca="1" si="40"/>
        <v>22</v>
      </c>
      <c r="CB90" s="59" t="s">
        <v>1731</v>
      </c>
      <c r="CC90" s="85" t="s">
        <v>1732</v>
      </c>
    </row>
    <row r="91" spans="1:81" ht="15" customHeight="1" x14ac:dyDescent="0.25">
      <c r="A91" s="46" t="s">
        <v>1733</v>
      </c>
      <c r="B91" s="47" t="s">
        <v>1734</v>
      </c>
      <c r="C91" s="47" t="s">
        <v>1735</v>
      </c>
      <c r="D91" s="47" t="s">
        <v>86</v>
      </c>
      <c r="E91" s="47" t="s">
        <v>233</v>
      </c>
      <c r="F91" s="47" t="s">
        <v>328</v>
      </c>
      <c r="G91" s="47" t="s">
        <v>398</v>
      </c>
      <c r="H91" s="47" t="s">
        <v>1736</v>
      </c>
      <c r="I91" s="47" t="s">
        <v>1737</v>
      </c>
      <c r="J91" s="47" t="s">
        <v>90</v>
      </c>
      <c r="K91" s="47" t="s">
        <v>91</v>
      </c>
      <c r="L91" s="49">
        <v>45293</v>
      </c>
      <c r="M91" s="50">
        <f t="shared" ca="1" si="22"/>
        <v>2</v>
      </c>
      <c r="N91" s="50">
        <f t="shared" ca="1" si="23"/>
        <v>3</v>
      </c>
      <c r="O91" s="50">
        <f t="shared" ca="1" si="24"/>
        <v>20</v>
      </c>
      <c r="P91" s="51">
        <f t="shared" si="25"/>
        <v>50123</v>
      </c>
      <c r="Q91" s="47" t="s">
        <v>1484</v>
      </c>
      <c r="R91" s="49">
        <f t="shared" si="44"/>
        <v>45293</v>
      </c>
      <c r="S91" s="49">
        <f t="shared" si="45"/>
        <v>45383</v>
      </c>
      <c r="T91" s="49">
        <f t="shared" si="42"/>
        <v>45384</v>
      </c>
      <c r="U91" s="51"/>
      <c r="V91" s="47" t="s">
        <v>1738</v>
      </c>
      <c r="W91" s="47" t="s">
        <v>236</v>
      </c>
      <c r="X91" s="49">
        <v>30034</v>
      </c>
      <c r="Y91" s="50">
        <f t="shared" ca="1" si="26"/>
        <v>44</v>
      </c>
      <c r="Z91" s="50">
        <f t="shared" ca="1" si="27"/>
        <v>0</v>
      </c>
      <c r="AA91" s="50">
        <f t="shared" ca="1" si="28"/>
        <v>29</v>
      </c>
      <c r="AB91" s="47"/>
      <c r="AC91" s="53"/>
      <c r="AD91" s="70" t="s">
        <v>185</v>
      </c>
      <c r="AE91" s="47" t="s">
        <v>1739</v>
      </c>
      <c r="AF91" s="47" t="s">
        <v>1740</v>
      </c>
      <c r="AG91" s="47"/>
      <c r="AH91" s="47">
        <v>16</v>
      </c>
      <c r="AI91" s="47" t="s">
        <v>1741</v>
      </c>
      <c r="AJ91" s="48" t="s">
        <v>1742</v>
      </c>
      <c r="AK91" s="47" t="s">
        <v>1743</v>
      </c>
      <c r="AL91" s="56" t="s">
        <v>244</v>
      </c>
      <c r="AM91" s="47" t="s">
        <v>1743</v>
      </c>
      <c r="AN91" s="47"/>
      <c r="AO91" s="47" t="s">
        <v>385</v>
      </c>
      <c r="AP91" s="93" t="s">
        <v>101</v>
      </c>
      <c r="AQ91" s="48" t="s">
        <v>1744</v>
      </c>
      <c r="AR91" s="48" t="s">
        <v>1744</v>
      </c>
      <c r="AS91" s="47" t="s">
        <v>513</v>
      </c>
      <c r="AT91" s="47" t="s">
        <v>343</v>
      </c>
      <c r="AU91" s="47"/>
      <c r="AV91" s="102" t="s">
        <v>1745</v>
      </c>
      <c r="AW91" s="47"/>
      <c r="AX91" s="47"/>
      <c r="AY91" s="47" t="s">
        <v>168</v>
      </c>
      <c r="AZ91" s="47" t="s">
        <v>168</v>
      </c>
      <c r="BA91" s="47" t="s">
        <v>1746</v>
      </c>
      <c r="BB91" s="47" t="s">
        <v>1735</v>
      </c>
      <c r="BC91" s="47" t="s">
        <v>1747</v>
      </c>
      <c r="BD91" s="47" t="s">
        <v>1748</v>
      </c>
      <c r="BE91" s="47" t="s">
        <v>175</v>
      </c>
      <c r="BF91" s="51">
        <v>30011</v>
      </c>
      <c r="BG91" s="57">
        <f t="shared" ca="1" si="29"/>
        <v>44</v>
      </c>
      <c r="BH91" s="57">
        <f t="shared" ca="1" si="30"/>
        <v>1</v>
      </c>
      <c r="BI91" s="57">
        <f t="shared" ca="1" si="31"/>
        <v>21</v>
      </c>
      <c r="BJ91" s="48" t="s">
        <v>88</v>
      </c>
      <c r="BK91" s="47"/>
      <c r="BL91" s="52" t="s">
        <v>88</v>
      </c>
      <c r="BM91" s="57" t="e">
        <f t="shared" ca="1" si="32"/>
        <v>#VALUE!</v>
      </c>
      <c r="BN91" s="57" t="e">
        <f t="shared" ca="1" si="33"/>
        <v>#VALUE!</v>
      </c>
      <c r="BO91" s="57" t="e">
        <f t="shared" ca="1" si="34"/>
        <v>#VALUE!</v>
      </c>
      <c r="BP91" s="48" t="s">
        <v>88</v>
      </c>
      <c r="BQ91" s="48" t="s">
        <v>88</v>
      </c>
      <c r="BR91" s="52" t="s">
        <v>88</v>
      </c>
      <c r="BS91" s="57" t="e">
        <f t="shared" ca="1" si="35"/>
        <v>#VALUE!</v>
      </c>
      <c r="BT91" s="57" t="e">
        <f t="shared" ca="1" si="36"/>
        <v>#VALUE!</v>
      </c>
      <c r="BU91" s="57" t="e">
        <f t="shared" ca="1" si="37"/>
        <v>#VALUE!</v>
      </c>
      <c r="BV91" s="48" t="s">
        <v>88</v>
      </c>
      <c r="BW91" s="48" t="s">
        <v>88</v>
      </c>
      <c r="BX91" s="52" t="s">
        <v>88</v>
      </c>
      <c r="BY91" s="57" t="e">
        <f t="shared" ca="1" si="38"/>
        <v>#VALUE!</v>
      </c>
      <c r="BZ91" s="57" t="e">
        <f t="shared" ca="1" si="39"/>
        <v>#VALUE!</v>
      </c>
      <c r="CA91" s="57" t="e">
        <f t="shared" ca="1" si="40"/>
        <v>#VALUE!</v>
      </c>
      <c r="CB91" s="73"/>
      <c r="CC91" s="58"/>
    </row>
    <row r="92" spans="1:81" ht="15" customHeight="1" x14ac:dyDescent="0.25">
      <c r="A92" s="46" t="s">
        <v>1749</v>
      </c>
      <c r="B92" s="47" t="s">
        <v>1750</v>
      </c>
      <c r="C92" s="47" t="s">
        <v>1751</v>
      </c>
      <c r="D92" s="47" t="s">
        <v>175</v>
      </c>
      <c r="E92" s="47" t="s">
        <v>353</v>
      </c>
      <c r="F92" s="47" t="s">
        <v>328</v>
      </c>
      <c r="G92" s="47" t="s">
        <v>329</v>
      </c>
      <c r="H92" s="47" t="s">
        <v>865</v>
      </c>
      <c r="I92" s="47" t="s">
        <v>1752</v>
      </c>
      <c r="J92" s="47" t="s">
        <v>110</v>
      </c>
      <c r="K92" s="47" t="s">
        <v>91</v>
      </c>
      <c r="L92" s="49">
        <v>45327</v>
      </c>
      <c r="M92" s="50">
        <f t="shared" ca="1" si="22"/>
        <v>2</v>
      </c>
      <c r="N92" s="50">
        <f t="shared" ca="1" si="23"/>
        <v>2</v>
      </c>
      <c r="O92" s="50">
        <f t="shared" ca="1" si="24"/>
        <v>17</v>
      </c>
      <c r="P92" s="51">
        <f t="shared" si="25"/>
        <v>55171</v>
      </c>
      <c r="Q92" s="47" t="s">
        <v>1484</v>
      </c>
      <c r="R92" s="49">
        <f t="shared" si="44"/>
        <v>45327</v>
      </c>
      <c r="S92" s="49">
        <f t="shared" si="45"/>
        <v>45417</v>
      </c>
      <c r="T92" s="49">
        <v>45417</v>
      </c>
      <c r="U92" s="51"/>
      <c r="V92" s="47" t="s">
        <v>332</v>
      </c>
      <c r="W92" s="47" t="s">
        <v>376</v>
      </c>
      <c r="X92" s="49">
        <v>35082</v>
      </c>
      <c r="Y92" s="50">
        <f t="shared" ca="1" si="26"/>
        <v>30</v>
      </c>
      <c r="Z92" s="50">
        <f t="shared" ca="1" si="27"/>
        <v>3</v>
      </c>
      <c r="AA92" s="50">
        <f t="shared" ca="1" si="28"/>
        <v>4</v>
      </c>
      <c r="AB92" s="47"/>
      <c r="AC92" s="53"/>
      <c r="AD92" s="70" t="s">
        <v>185</v>
      </c>
      <c r="AE92" s="47" t="s">
        <v>1753</v>
      </c>
      <c r="AF92" s="47" t="s">
        <v>895</v>
      </c>
      <c r="AG92" s="47"/>
      <c r="AH92" s="47">
        <v>7</v>
      </c>
      <c r="AI92" s="59" t="s">
        <v>1754</v>
      </c>
      <c r="AJ92" s="48" t="s">
        <v>1755</v>
      </c>
      <c r="AK92" s="54" t="s">
        <v>1756</v>
      </c>
      <c r="AL92" s="56" t="s">
        <v>244</v>
      </c>
      <c r="AM92" s="47" t="s">
        <v>1757</v>
      </c>
      <c r="AN92" s="47"/>
      <c r="AO92" s="47" t="s">
        <v>1655</v>
      </c>
      <c r="AP92" s="47" t="s">
        <v>641</v>
      </c>
      <c r="AQ92" s="48" t="s">
        <v>1758</v>
      </c>
      <c r="AR92" s="48" t="s">
        <v>1759</v>
      </c>
      <c r="AS92" s="86" t="s">
        <v>901</v>
      </c>
      <c r="AT92" s="47" t="s">
        <v>194</v>
      </c>
      <c r="AU92" s="47"/>
      <c r="AV92" s="59" t="s">
        <v>1760</v>
      </c>
      <c r="AW92" s="47"/>
      <c r="AX92" s="47"/>
      <c r="AY92" s="47"/>
      <c r="AZ92" s="47"/>
      <c r="BA92" s="47" t="s">
        <v>1761</v>
      </c>
      <c r="BB92" s="47" t="s">
        <v>1751</v>
      </c>
      <c r="BC92" s="47" t="s">
        <v>1762</v>
      </c>
      <c r="BD92" s="47"/>
      <c r="BE92" s="47"/>
      <c r="BF92" s="51"/>
      <c r="BG92" s="57">
        <f t="shared" ca="1" si="29"/>
        <v>126</v>
      </c>
      <c r="BH92" s="57">
        <f t="shared" ca="1" si="30"/>
        <v>3</v>
      </c>
      <c r="BI92" s="57">
        <f t="shared" ca="1" si="31"/>
        <v>22</v>
      </c>
      <c r="BJ92" s="47"/>
      <c r="BK92" s="47"/>
      <c r="BL92" s="51"/>
      <c r="BM92" s="57">
        <f t="shared" ca="1" si="32"/>
        <v>126</v>
      </c>
      <c r="BN92" s="57">
        <f t="shared" ca="1" si="33"/>
        <v>3</v>
      </c>
      <c r="BO92" s="57">
        <f t="shared" ca="1" si="34"/>
        <v>22</v>
      </c>
      <c r="BP92" s="47"/>
      <c r="BQ92" s="47"/>
      <c r="BR92" s="51"/>
      <c r="BS92" s="57">
        <f t="shared" ca="1" si="35"/>
        <v>126</v>
      </c>
      <c r="BT92" s="57">
        <f t="shared" ca="1" si="36"/>
        <v>3</v>
      </c>
      <c r="BU92" s="57">
        <f t="shared" ca="1" si="37"/>
        <v>22</v>
      </c>
      <c r="BV92" s="47"/>
      <c r="BW92" s="47"/>
      <c r="BX92" s="51"/>
      <c r="BY92" s="57">
        <f t="shared" ca="1" si="38"/>
        <v>126</v>
      </c>
      <c r="BZ92" s="57">
        <f t="shared" ca="1" si="39"/>
        <v>3</v>
      </c>
      <c r="CA92" s="57">
        <f t="shared" ca="1" si="40"/>
        <v>22</v>
      </c>
      <c r="CB92" s="47"/>
      <c r="CC92" s="47"/>
    </row>
    <row r="93" spans="1:81" ht="15" customHeight="1" x14ac:dyDescent="0.25">
      <c r="A93" s="46" t="s">
        <v>1763</v>
      </c>
      <c r="B93" s="47" t="s">
        <v>1764</v>
      </c>
      <c r="C93" s="47" t="s">
        <v>1765</v>
      </c>
      <c r="D93" s="47" t="s">
        <v>175</v>
      </c>
      <c r="E93" s="47" t="s">
        <v>630</v>
      </c>
      <c r="F93" s="47" t="s">
        <v>328</v>
      </c>
      <c r="G93" s="47" t="s">
        <v>398</v>
      </c>
      <c r="H93" s="47" t="s">
        <v>1192</v>
      </c>
      <c r="I93" s="47" t="s">
        <v>1193</v>
      </c>
      <c r="J93" s="47" t="s">
        <v>110</v>
      </c>
      <c r="K93" s="47" t="s">
        <v>91</v>
      </c>
      <c r="L93" s="49">
        <v>45352</v>
      </c>
      <c r="M93" s="50">
        <f t="shared" ca="1" si="22"/>
        <v>2</v>
      </c>
      <c r="N93" s="50">
        <f t="shared" ca="1" si="23"/>
        <v>1</v>
      </c>
      <c r="O93" s="50">
        <f t="shared" ca="1" si="24"/>
        <v>21</v>
      </c>
      <c r="P93" s="51">
        <f t="shared" si="25"/>
        <v>56986</v>
      </c>
      <c r="Q93" s="47" t="s">
        <v>1484</v>
      </c>
      <c r="R93" s="49">
        <f t="shared" si="44"/>
        <v>45352</v>
      </c>
      <c r="S93" s="49">
        <f t="shared" si="45"/>
        <v>45442</v>
      </c>
      <c r="T93" s="49">
        <f>S93+1</f>
        <v>45443</v>
      </c>
      <c r="U93" s="51"/>
      <c r="V93" s="47" t="s">
        <v>374</v>
      </c>
      <c r="W93" s="47" t="s">
        <v>376</v>
      </c>
      <c r="X93" s="49">
        <v>36898</v>
      </c>
      <c r="Y93" s="50">
        <f t="shared" ca="1" si="26"/>
        <v>25</v>
      </c>
      <c r="Z93" s="50">
        <f t="shared" ca="1" si="27"/>
        <v>3</v>
      </c>
      <c r="AA93" s="50">
        <f t="shared" ca="1" si="28"/>
        <v>15</v>
      </c>
      <c r="AB93" s="47"/>
      <c r="AC93" s="53"/>
      <c r="AD93" s="70" t="s">
        <v>185</v>
      </c>
      <c r="AE93" s="47" t="s">
        <v>1766</v>
      </c>
      <c r="AF93" s="59" t="s">
        <v>1487</v>
      </c>
      <c r="AG93" s="47"/>
      <c r="AH93" s="47">
        <v>0</v>
      </c>
      <c r="AI93" s="47"/>
      <c r="AJ93" s="48" t="s">
        <v>1767</v>
      </c>
      <c r="AK93" s="47" t="s">
        <v>1768</v>
      </c>
      <c r="AL93" s="56" t="s">
        <v>244</v>
      </c>
      <c r="AM93" s="47" t="str">
        <f>AK93</f>
        <v>Jl. Kenanga X Blok D I/12, RT/RW 007/002, Kenanga, Cipondoh</v>
      </c>
      <c r="AN93" s="47"/>
      <c r="AO93" s="47" t="s">
        <v>1655</v>
      </c>
      <c r="AP93" s="47" t="s">
        <v>641</v>
      </c>
      <c r="AQ93" s="48" t="s">
        <v>1769</v>
      </c>
      <c r="AR93" s="48" t="s">
        <v>1770</v>
      </c>
      <c r="AS93" s="47" t="s">
        <v>163</v>
      </c>
      <c r="AT93" s="47" t="s">
        <v>164</v>
      </c>
      <c r="AU93" s="47"/>
      <c r="AV93" s="47" t="s">
        <v>1771</v>
      </c>
      <c r="AW93" s="47" t="str">
        <f>AM93</f>
        <v>Jl. Kenanga X Blok D I/12, RT/RW 007/002, Kenanga, Cipondoh</v>
      </c>
      <c r="AX93" s="47"/>
      <c r="AY93" s="47"/>
      <c r="AZ93" s="47"/>
      <c r="BA93" s="47" t="s">
        <v>1772</v>
      </c>
      <c r="BB93" s="47" t="s">
        <v>1765</v>
      </c>
      <c r="BC93" s="47" t="s">
        <v>1773</v>
      </c>
      <c r="BD93" s="47"/>
      <c r="BE93" s="47"/>
      <c r="BF93" s="51"/>
      <c r="BG93" s="57">
        <f t="shared" ca="1" si="29"/>
        <v>126</v>
      </c>
      <c r="BH93" s="57">
        <f t="shared" ca="1" si="30"/>
        <v>3</v>
      </c>
      <c r="BI93" s="57">
        <f t="shared" ca="1" si="31"/>
        <v>22</v>
      </c>
      <c r="BJ93" s="47"/>
      <c r="BK93" s="47"/>
      <c r="BL93" s="51"/>
      <c r="BM93" s="57">
        <f t="shared" ca="1" si="32"/>
        <v>126</v>
      </c>
      <c r="BN93" s="57">
        <f t="shared" ca="1" si="33"/>
        <v>3</v>
      </c>
      <c r="BO93" s="57">
        <f t="shared" ca="1" si="34"/>
        <v>22</v>
      </c>
      <c r="BP93" s="47"/>
      <c r="BQ93" s="47"/>
      <c r="BR93" s="51"/>
      <c r="BS93" s="57">
        <f t="shared" ca="1" si="35"/>
        <v>126</v>
      </c>
      <c r="BT93" s="57">
        <f t="shared" ca="1" si="36"/>
        <v>3</v>
      </c>
      <c r="BU93" s="57">
        <f t="shared" ca="1" si="37"/>
        <v>22</v>
      </c>
      <c r="BV93" s="47"/>
      <c r="BW93" s="47"/>
      <c r="BX93" s="51"/>
      <c r="BY93" s="57">
        <f t="shared" ca="1" si="38"/>
        <v>126</v>
      </c>
      <c r="BZ93" s="57">
        <f t="shared" ca="1" si="39"/>
        <v>3</v>
      </c>
      <c r="CA93" s="57">
        <f t="shared" ca="1" si="40"/>
        <v>22</v>
      </c>
      <c r="CB93" s="73" t="s">
        <v>1774</v>
      </c>
      <c r="CC93" s="47"/>
    </row>
    <row r="94" spans="1:81" ht="15" customHeight="1" x14ac:dyDescent="0.25">
      <c r="A94" s="46" t="s">
        <v>1775</v>
      </c>
      <c r="B94" s="47" t="s">
        <v>1776</v>
      </c>
      <c r="C94" s="47" t="s">
        <v>1777</v>
      </c>
      <c r="D94" s="47" t="s">
        <v>175</v>
      </c>
      <c r="E94" s="47" t="s">
        <v>353</v>
      </c>
      <c r="F94" s="47" t="s">
        <v>328</v>
      </c>
      <c r="G94" s="47" t="s">
        <v>398</v>
      </c>
      <c r="H94" s="47" t="s">
        <v>1192</v>
      </c>
      <c r="I94" s="47" t="s">
        <v>1778</v>
      </c>
      <c r="J94" s="47" t="s">
        <v>110</v>
      </c>
      <c r="K94" s="47" t="s">
        <v>91</v>
      </c>
      <c r="L94" s="49">
        <v>45355</v>
      </c>
      <c r="M94" s="50">
        <f t="shared" ca="1" si="22"/>
        <v>2</v>
      </c>
      <c r="N94" s="50">
        <f t="shared" ca="1" si="23"/>
        <v>1</v>
      </c>
      <c r="O94" s="50">
        <f t="shared" ca="1" si="24"/>
        <v>18</v>
      </c>
      <c r="P94" s="51">
        <f t="shared" si="25"/>
        <v>56385</v>
      </c>
      <c r="Q94" s="47" t="s">
        <v>1484</v>
      </c>
      <c r="R94" s="49">
        <f t="shared" si="44"/>
        <v>45355</v>
      </c>
      <c r="S94" s="49">
        <f t="shared" si="45"/>
        <v>45445</v>
      </c>
      <c r="T94" s="49">
        <f>S94+1</f>
        <v>45446</v>
      </c>
      <c r="U94" s="51"/>
      <c r="V94" s="47" t="s">
        <v>90</v>
      </c>
      <c r="W94" s="47" t="s">
        <v>678</v>
      </c>
      <c r="X94" s="49">
        <v>36296</v>
      </c>
      <c r="Y94" s="50">
        <f t="shared" ca="1" si="26"/>
        <v>26</v>
      </c>
      <c r="Z94" s="50">
        <f t="shared" ca="1" si="27"/>
        <v>11</v>
      </c>
      <c r="AA94" s="50">
        <f t="shared" ca="1" si="28"/>
        <v>6</v>
      </c>
      <c r="AB94" s="47"/>
      <c r="AC94" s="53"/>
      <c r="AD94" s="70" t="s">
        <v>185</v>
      </c>
      <c r="AE94" s="47" t="s">
        <v>1779</v>
      </c>
      <c r="AF94" s="59" t="s">
        <v>1487</v>
      </c>
      <c r="AG94" s="47"/>
      <c r="AH94" s="47">
        <v>2</v>
      </c>
      <c r="AI94" s="47" t="s">
        <v>1780</v>
      </c>
      <c r="AJ94" s="48" t="s">
        <v>1781</v>
      </c>
      <c r="AK94" s="47" t="s">
        <v>1782</v>
      </c>
      <c r="AL94" s="56" t="s">
        <v>244</v>
      </c>
      <c r="AM94" s="47" t="str">
        <f>AK94</f>
        <v>Villa Mutiara Gading 1 Blok C6/15A, Setia Asih, Tarumajaya, Bekasi, 17215</v>
      </c>
      <c r="AN94" s="47"/>
      <c r="AO94" s="47" t="s">
        <v>1655</v>
      </c>
      <c r="AP94" s="47" t="s">
        <v>641</v>
      </c>
      <c r="AQ94" s="48" t="s">
        <v>1783</v>
      </c>
      <c r="AR94" s="48" t="s">
        <v>1784</v>
      </c>
      <c r="AS94" s="47" t="s">
        <v>163</v>
      </c>
      <c r="AT94" s="47" t="s">
        <v>194</v>
      </c>
      <c r="AU94" s="47"/>
      <c r="AV94" s="47" t="s">
        <v>1785</v>
      </c>
      <c r="AW94" s="47" t="str">
        <f>AM94</f>
        <v>Villa Mutiara Gading 1 Blok C6/15A, Setia Asih, Tarumajaya, Bekasi, 17215</v>
      </c>
      <c r="AX94" s="47"/>
      <c r="AY94" s="47"/>
      <c r="AZ94" s="47"/>
      <c r="BA94" s="47" t="s">
        <v>1786</v>
      </c>
      <c r="BB94" s="47" t="s">
        <v>1777</v>
      </c>
      <c r="BC94" s="47" t="s">
        <v>1787</v>
      </c>
      <c r="BD94" s="47"/>
      <c r="BE94" s="47"/>
      <c r="BF94" s="51"/>
      <c r="BG94" s="57">
        <f t="shared" ca="1" si="29"/>
        <v>126</v>
      </c>
      <c r="BH94" s="57">
        <f t="shared" ca="1" si="30"/>
        <v>3</v>
      </c>
      <c r="BI94" s="57">
        <f t="shared" ca="1" si="31"/>
        <v>22</v>
      </c>
      <c r="BJ94" s="47"/>
      <c r="BK94" s="47"/>
      <c r="BL94" s="51"/>
      <c r="BM94" s="57">
        <f t="shared" ca="1" si="32"/>
        <v>126</v>
      </c>
      <c r="BN94" s="57">
        <f t="shared" ca="1" si="33"/>
        <v>3</v>
      </c>
      <c r="BO94" s="57">
        <f t="shared" ca="1" si="34"/>
        <v>22</v>
      </c>
      <c r="BP94" s="47"/>
      <c r="BQ94" s="47"/>
      <c r="BR94" s="51"/>
      <c r="BS94" s="57">
        <f t="shared" ca="1" si="35"/>
        <v>126</v>
      </c>
      <c r="BT94" s="57">
        <f t="shared" ca="1" si="36"/>
        <v>3</v>
      </c>
      <c r="BU94" s="57">
        <f t="shared" ca="1" si="37"/>
        <v>22</v>
      </c>
      <c r="BV94" s="47"/>
      <c r="BW94" s="47"/>
      <c r="BX94" s="51"/>
      <c r="BY94" s="57">
        <f t="shared" ca="1" si="38"/>
        <v>126</v>
      </c>
      <c r="BZ94" s="57">
        <f t="shared" ca="1" si="39"/>
        <v>3</v>
      </c>
      <c r="CA94" s="57">
        <f t="shared" ca="1" si="40"/>
        <v>22</v>
      </c>
      <c r="CB94" s="73" t="s">
        <v>1788</v>
      </c>
      <c r="CC94" s="47"/>
    </row>
    <row r="95" spans="1:81" ht="15" customHeight="1" x14ac:dyDescent="0.25">
      <c r="A95" s="46" t="s">
        <v>1789</v>
      </c>
      <c r="B95" s="86" t="s">
        <v>1790</v>
      </c>
      <c r="C95" s="47" t="s">
        <v>1791</v>
      </c>
      <c r="D95" s="47" t="s">
        <v>86</v>
      </c>
      <c r="E95" s="47" t="s">
        <v>127</v>
      </c>
      <c r="F95" s="47" t="s">
        <v>548</v>
      </c>
      <c r="G95" s="47"/>
      <c r="H95" s="47" t="s">
        <v>88</v>
      </c>
      <c r="I95" s="47" t="s">
        <v>127</v>
      </c>
      <c r="J95" s="47" t="s">
        <v>90</v>
      </c>
      <c r="K95" s="47" t="s">
        <v>91</v>
      </c>
      <c r="L95" s="49">
        <v>45355</v>
      </c>
      <c r="M95" s="50">
        <f t="shared" ca="1" si="22"/>
        <v>2</v>
      </c>
      <c r="N95" s="50">
        <f t="shared" ca="1" si="23"/>
        <v>1</v>
      </c>
      <c r="O95" s="50">
        <f t="shared" ca="1" si="24"/>
        <v>18</v>
      </c>
      <c r="P95" s="51">
        <f t="shared" si="25"/>
        <v>50133</v>
      </c>
      <c r="Q95" s="47" t="s">
        <v>1484</v>
      </c>
      <c r="R95" s="49">
        <f t="shared" si="44"/>
        <v>45355</v>
      </c>
      <c r="S95" s="49">
        <f t="shared" si="45"/>
        <v>45445</v>
      </c>
      <c r="T95" s="49">
        <f>S95+1</f>
        <v>45446</v>
      </c>
      <c r="U95" s="51"/>
      <c r="V95" s="47" t="s">
        <v>92</v>
      </c>
      <c r="W95" s="47" t="s">
        <v>419</v>
      </c>
      <c r="X95" s="49">
        <v>30044</v>
      </c>
      <c r="Y95" s="50">
        <f t="shared" ca="1" si="26"/>
        <v>44</v>
      </c>
      <c r="Z95" s="50">
        <f t="shared" ca="1" si="27"/>
        <v>0</v>
      </c>
      <c r="AA95" s="50">
        <f t="shared" ca="1" si="28"/>
        <v>19</v>
      </c>
      <c r="AB95" s="47"/>
      <c r="AC95" s="53"/>
      <c r="AD95" s="70" t="s">
        <v>185</v>
      </c>
      <c r="AE95" s="47" t="s">
        <v>1792</v>
      </c>
      <c r="AF95" s="47" t="s">
        <v>1793</v>
      </c>
      <c r="AG95" s="47"/>
      <c r="AH95" s="47"/>
      <c r="AI95" s="47"/>
      <c r="AJ95" s="47" t="s">
        <v>1794</v>
      </c>
      <c r="AK95" s="47" t="s">
        <v>1795</v>
      </c>
      <c r="AL95" s="56"/>
      <c r="AM95" s="47" t="s">
        <v>1795</v>
      </c>
      <c r="AN95" s="47"/>
      <c r="AO95" s="47" t="s">
        <v>100</v>
      </c>
      <c r="AP95" s="103" t="s">
        <v>101</v>
      </c>
      <c r="AQ95" s="48" t="s">
        <v>1796</v>
      </c>
      <c r="AR95" s="47"/>
      <c r="AS95" s="47"/>
      <c r="AT95" s="47"/>
      <c r="AU95" s="47"/>
      <c r="AV95" s="47"/>
      <c r="AW95" s="47" t="str">
        <f>AM95</f>
        <v>Ritz Tower, Unit 2302 Kemang Village Residences Jl Kemang VI RT. 013 / RW. 005 Kel. Bangka, Kec. Mampang Prapatan, Jakarta Selatan 12730</v>
      </c>
      <c r="AX95" s="47"/>
      <c r="AY95" s="47"/>
      <c r="AZ95" s="47"/>
      <c r="BA95" s="47" t="s">
        <v>1797</v>
      </c>
      <c r="BB95" s="47" t="s">
        <v>1791</v>
      </c>
      <c r="BC95" s="47"/>
      <c r="BD95" s="47"/>
      <c r="BE95" s="47"/>
      <c r="BF95" s="51"/>
      <c r="BG95" s="57">
        <f t="shared" ca="1" si="29"/>
        <v>126</v>
      </c>
      <c r="BH95" s="57">
        <f t="shared" ca="1" si="30"/>
        <v>3</v>
      </c>
      <c r="BI95" s="57">
        <f t="shared" ca="1" si="31"/>
        <v>22</v>
      </c>
      <c r="BJ95" s="47"/>
      <c r="BK95" s="47"/>
      <c r="BL95" s="51"/>
      <c r="BM95" s="57">
        <f t="shared" ca="1" si="32"/>
        <v>126</v>
      </c>
      <c r="BN95" s="57">
        <f t="shared" ca="1" si="33"/>
        <v>3</v>
      </c>
      <c r="BO95" s="57">
        <f t="shared" ca="1" si="34"/>
        <v>22</v>
      </c>
      <c r="BP95" s="47"/>
      <c r="BQ95" s="47"/>
      <c r="BR95" s="51"/>
      <c r="BS95" s="57">
        <f t="shared" ca="1" si="35"/>
        <v>126</v>
      </c>
      <c r="BT95" s="57">
        <f t="shared" ca="1" si="36"/>
        <v>3</v>
      </c>
      <c r="BU95" s="57">
        <f t="shared" ca="1" si="37"/>
        <v>22</v>
      </c>
      <c r="BV95" s="47"/>
      <c r="BW95" s="47"/>
      <c r="BX95" s="51"/>
      <c r="BY95" s="57">
        <f t="shared" ca="1" si="38"/>
        <v>126</v>
      </c>
      <c r="BZ95" s="57">
        <f t="shared" ca="1" si="39"/>
        <v>3</v>
      </c>
      <c r="CA95" s="57">
        <f t="shared" ca="1" si="40"/>
        <v>22</v>
      </c>
      <c r="CB95" s="47"/>
      <c r="CC95" s="58" t="s">
        <v>1798</v>
      </c>
    </row>
    <row r="96" spans="1:81" ht="15" customHeight="1" x14ac:dyDescent="0.25">
      <c r="A96" s="46" t="s">
        <v>1799</v>
      </c>
      <c r="B96" s="86" t="s">
        <v>1800</v>
      </c>
      <c r="C96" s="47" t="s">
        <v>1801</v>
      </c>
      <c r="D96" s="47" t="s">
        <v>86</v>
      </c>
      <c r="E96" s="47" t="s">
        <v>176</v>
      </c>
      <c r="F96" s="47" t="s">
        <v>177</v>
      </c>
      <c r="G96" s="47"/>
      <c r="H96" s="59" t="s">
        <v>178</v>
      </c>
      <c r="I96" s="87" t="s">
        <v>179</v>
      </c>
      <c r="J96" s="47" t="s">
        <v>781</v>
      </c>
      <c r="K96" s="47" t="s">
        <v>91</v>
      </c>
      <c r="L96" s="49">
        <v>45364</v>
      </c>
      <c r="M96" s="50">
        <f t="shared" ca="1" si="22"/>
        <v>2</v>
      </c>
      <c r="N96" s="50">
        <f t="shared" ca="1" si="23"/>
        <v>1</v>
      </c>
      <c r="O96" s="50">
        <f t="shared" ca="1" si="24"/>
        <v>9</v>
      </c>
      <c r="P96" s="51">
        <f t="shared" si="25"/>
        <v>51970</v>
      </c>
      <c r="Q96" s="47" t="s">
        <v>1484</v>
      </c>
      <c r="R96" s="49">
        <f t="shared" si="44"/>
        <v>45364</v>
      </c>
      <c r="S96" s="49">
        <f t="shared" si="45"/>
        <v>45454</v>
      </c>
      <c r="T96" s="49">
        <f>S96+1</f>
        <v>45455</v>
      </c>
      <c r="U96" s="51"/>
      <c r="V96" s="47" t="s">
        <v>1802</v>
      </c>
      <c r="W96" s="47" t="s">
        <v>419</v>
      </c>
      <c r="X96" s="49">
        <v>31881</v>
      </c>
      <c r="Y96" s="50">
        <f t="shared" ca="1" si="26"/>
        <v>39</v>
      </c>
      <c r="Z96" s="50">
        <f t="shared" ca="1" si="27"/>
        <v>0</v>
      </c>
      <c r="AA96" s="50">
        <f t="shared" ca="1" si="28"/>
        <v>8</v>
      </c>
      <c r="AB96" s="47"/>
      <c r="AC96" s="53"/>
      <c r="AD96" s="70" t="s">
        <v>185</v>
      </c>
      <c r="AE96" s="47" t="s">
        <v>1803</v>
      </c>
      <c r="AF96" s="47" t="s">
        <v>1804</v>
      </c>
      <c r="AG96" s="47"/>
      <c r="AH96" s="47">
        <v>8</v>
      </c>
      <c r="AI96" s="47" t="s">
        <v>1805</v>
      </c>
      <c r="AJ96" s="67" t="s">
        <v>1806</v>
      </c>
      <c r="AK96" s="59" t="s">
        <v>1807</v>
      </c>
      <c r="AL96" s="56"/>
      <c r="AM96" s="47" t="str">
        <f>AK96</f>
        <v>Jl. Pulau Nias gg. XVI no 02 Dauh Peken, Tabanan, Bali</v>
      </c>
      <c r="AN96" s="47"/>
      <c r="AO96" s="47" t="s">
        <v>685</v>
      </c>
      <c r="AP96" s="103" t="s">
        <v>101</v>
      </c>
      <c r="AQ96" s="67" t="s">
        <v>1808</v>
      </c>
      <c r="AR96" s="67" t="s">
        <v>1809</v>
      </c>
      <c r="AS96" s="47" t="s">
        <v>791</v>
      </c>
      <c r="AT96" s="47" t="s">
        <v>194</v>
      </c>
      <c r="AU96" s="47"/>
      <c r="AV96" s="59" t="s">
        <v>1810</v>
      </c>
      <c r="AW96" s="47" t="str">
        <f>AM96</f>
        <v>Jl. Pulau Nias gg. XVI no 02 Dauh Peken, Tabanan, Bali</v>
      </c>
      <c r="AX96" s="47"/>
      <c r="AY96" s="47"/>
      <c r="AZ96" s="47"/>
      <c r="BA96" s="47" t="s">
        <v>1811</v>
      </c>
      <c r="BB96" s="47" t="s">
        <v>1801</v>
      </c>
      <c r="BC96" s="59" t="s">
        <v>1812</v>
      </c>
      <c r="BD96" s="59" t="s">
        <v>1813</v>
      </c>
      <c r="BE96" s="47" t="s">
        <v>175</v>
      </c>
      <c r="BF96" s="51">
        <v>31529</v>
      </c>
      <c r="BG96" s="57">
        <f t="shared" ca="1" si="29"/>
        <v>39</v>
      </c>
      <c r="BH96" s="57">
        <f t="shared" ca="1" si="30"/>
        <v>11</v>
      </c>
      <c r="BI96" s="57">
        <f t="shared" ca="1" si="31"/>
        <v>26</v>
      </c>
      <c r="BJ96" s="59" t="s">
        <v>1814</v>
      </c>
      <c r="BK96" s="47" t="s">
        <v>86</v>
      </c>
      <c r="BL96" s="51">
        <v>41567</v>
      </c>
      <c r="BM96" s="57">
        <f t="shared" ca="1" si="32"/>
        <v>12</v>
      </c>
      <c r="BN96" s="57">
        <f t="shared" ca="1" si="33"/>
        <v>6</v>
      </c>
      <c r="BO96" s="57">
        <f t="shared" ca="1" si="34"/>
        <v>2</v>
      </c>
      <c r="BP96" s="59" t="s">
        <v>1815</v>
      </c>
      <c r="BQ96" s="47" t="s">
        <v>86</v>
      </c>
      <c r="BR96" s="51">
        <v>42181</v>
      </c>
      <c r="BS96" s="57">
        <f t="shared" ca="1" si="35"/>
        <v>10</v>
      </c>
      <c r="BT96" s="57">
        <f t="shared" ca="1" si="36"/>
        <v>9</v>
      </c>
      <c r="BU96" s="57">
        <f t="shared" ca="1" si="37"/>
        <v>27</v>
      </c>
      <c r="BV96" s="59" t="s">
        <v>1816</v>
      </c>
      <c r="BW96" s="47" t="s">
        <v>175</v>
      </c>
      <c r="BX96" s="51">
        <v>42914</v>
      </c>
      <c r="BY96" s="57">
        <f t="shared" ca="1" si="38"/>
        <v>8</v>
      </c>
      <c r="BZ96" s="57">
        <f t="shared" ca="1" si="39"/>
        <v>9</v>
      </c>
      <c r="CA96" s="57">
        <f t="shared" ca="1" si="40"/>
        <v>25</v>
      </c>
      <c r="CB96" s="47"/>
      <c r="CC96" s="59" t="s">
        <v>1817</v>
      </c>
    </row>
    <row r="97" spans="1:81" ht="15" customHeight="1" x14ac:dyDescent="0.25">
      <c r="A97" s="46" t="s">
        <v>1818</v>
      </c>
      <c r="B97" s="47" t="s">
        <v>1819</v>
      </c>
      <c r="C97" s="47" t="s">
        <v>1820</v>
      </c>
      <c r="D97" s="47" t="s">
        <v>175</v>
      </c>
      <c r="E97" s="47" t="s">
        <v>176</v>
      </c>
      <c r="F97" s="47" t="s">
        <v>328</v>
      </c>
      <c r="G97" s="47" t="s">
        <v>398</v>
      </c>
      <c r="H97" s="47" t="s">
        <v>1192</v>
      </c>
      <c r="I97" s="47" t="s">
        <v>1821</v>
      </c>
      <c r="J97" s="47" t="s">
        <v>110</v>
      </c>
      <c r="K97" s="47" t="s">
        <v>91</v>
      </c>
      <c r="L97" s="49">
        <v>45399</v>
      </c>
      <c r="M97" s="50">
        <f t="shared" ca="1" si="22"/>
        <v>2</v>
      </c>
      <c r="N97" s="50">
        <f t="shared" ca="1" si="23"/>
        <v>0</v>
      </c>
      <c r="O97" s="50">
        <f t="shared" ca="1" si="24"/>
        <v>5</v>
      </c>
      <c r="P97" s="51">
        <f t="shared" si="25"/>
        <v>54941</v>
      </c>
      <c r="Q97" s="47" t="s">
        <v>1484</v>
      </c>
      <c r="R97" s="51">
        <f t="shared" si="44"/>
        <v>45399</v>
      </c>
      <c r="S97" s="51">
        <f>R97+(90-1)</f>
        <v>45488</v>
      </c>
      <c r="T97" s="49">
        <f>S97+1</f>
        <v>45489</v>
      </c>
      <c r="U97" s="51"/>
      <c r="V97" s="47" t="s">
        <v>90</v>
      </c>
      <c r="W97" s="47" t="s">
        <v>284</v>
      </c>
      <c r="X97" s="49">
        <v>34852</v>
      </c>
      <c r="Y97" s="50">
        <f t="shared" ca="1" si="26"/>
        <v>30</v>
      </c>
      <c r="Z97" s="50">
        <f t="shared" ca="1" si="27"/>
        <v>10</v>
      </c>
      <c r="AA97" s="50">
        <f t="shared" ca="1" si="28"/>
        <v>20</v>
      </c>
      <c r="AB97" s="47"/>
      <c r="AC97" s="53"/>
      <c r="AD97" s="70" t="s">
        <v>185</v>
      </c>
      <c r="AE97" s="47" t="s">
        <v>1822</v>
      </c>
      <c r="AF97" s="47" t="s">
        <v>554</v>
      </c>
      <c r="AG97" s="47"/>
      <c r="AH97" s="47"/>
      <c r="AI97" s="47"/>
      <c r="AJ97" s="48" t="s">
        <v>1823</v>
      </c>
      <c r="AK97" s="47" t="s">
        <v>1824</v>
      </c>
      <c r="AL97" s="56" t="s">
        <v>244</v>
      </c>
      <c r="AM97" s="47" t="str">
        <f>AK97</f>
        <v>Cipinang Asem No. 6 RT. 012 / RW. 002 Jakarta Timur</v>
      </c>
      <c r="AN97" s="47"/>
      <c r="AO97" s="47" t="s">
        <v>1655</v>
      </c>
      <c r="AP97" s="47" t="s">
        <v>641</v>
      </c>
      <c r="AQ97" s="48" t="s">
        <v>1825</v>
      </c>
      <c r="AR97" s="47"/>
      <c r="AS97" s="47" t="s">
        <v>163</v>
      </c>
      <c r="AT97" s="47" t="s">
        <v>194</v>
      </c>
      <c r="AU97" s="47"/>
      <c r="AV97" s="47" t="s">
        <v>1826</v>
      </c>
      <c r="AW97" s="47" t="str">
        <f>AK97</f>
        <v>Cipinang Asem No. 6 RT. 012 / RW. 002 Jakarta Timur</v>
      </c>
      <c r="AX97" s="47"/>
      <c r="AY97" s="47"/>
      <c r="AZ97" s="47"/>
      <c r="BA97" s="47" t="s">
        <v>1827</v>
      </c>
      <c r="BB97" s="47" t="s">
        <v>1820</v>
      </c>
      <c r="BC97" s="47" t="s">
        <v>1828</v>
      </c>
      <c r="BD97" s="47"/>
      <c r="BE97" s="47"/>
      <c r="BF97" s="51"/>
      <c r="BG97" s="57">
        <f t="shared" ca="1" si="29"/>
        <v>126</v>
      </c>
      <c r="BH97" s="57">
        <f t="shared" ca="1" si="30"/>
        <v>3</v>
      </c>
      <c r="BI97" s="57">
        <f t="shared" ca="1" si="31"/>
        <v>22</v>
      </c>
      <c r="BJ97" s="47"/>
      <c r="BK97" s="47"/>
      <c r="BL97" s="51"/>
      <c r="BM97" s="57">
        <f t="shared" ca="1" si="32"/>
        <v>126</v>
      </c>
      <c r="BN97" s="57">
        <f t="shared" ca="1" si="33"/>
        <v>3</v>
      </c>
      <c r="BO97" s="57">
        <f t="shared" ca="1" si="34"/>
        <v>22</v>
      </c>
      <c r="BP97" s="47"/>
      <c r="BQ97" s="47"/>
      <c r="BR97" s="51"/>
      <c r="BS97" s="57">
        <f t="shared" ca="1" si="35"/>
        <v>126</v>
      </c>
      <c r="BT97" s="57">
        <f t="shared" ca="1" si="36"/>
        <v>3</v>
      </c>
      <c r="BU97" s="57">
        <f t="shared" ca="1" si="37"/>
        <v>22</v>
      </c>
      <c r="BV97" s="47"/>
      <c r="BW97" s="47"/>
      <c r="BX97" s="51"/>
      <c r="BY97" s="57">
        <f t="shared" ca="1" si="38"/>
        <v>126</v>
      </c>
      <c r="BZ97" s="57">
        <f t="shared" ca="1" si="39"/>
        <v>3</v>
      </c>
      <c r="CA97" s="57">
        <f t="shared" ca="1" si="40"/>
        <v>22</v>
      </c>
      <c r="CB97" s="47"/>
      <c r="CC97" s="47" t="s">
        <v>1829</v>
      </c>
    </row>
    <row r="98" spans="1:81" ht="15" customHeight="1" x14ac:dyDescent="0.25">
      <c r="A98" s="46" t="s">
        <v>1830</v>
      </c>
      <c r="B98" s="47" t="s">
        <v>1831</v>
      </c>
      <c r="C98" s="47" t="s">
        <v>1832</v>
      </c>
      <c r="D98" s="47" t="s">
        <v>86</v>
      </c>
      <c r="E98" s="47" t="s">
        <v>206</v>
      </c>
      <c r="F98" s="47" t="s">
        <v>128</v>
      </c>
      <c r="G98" s="47"/>
      <c r="H98" s="47" t="s">
        <v>1833</v>
      </c>
      <c r="I98" s="47" t="s">
        <v>1834</v>
      </c>
      <c r="J98" s="47" t="s">
        <v>90</v>
      </c>
      <c r="K98" s="47" t="s">
        <v>91</v>
      </c>
      <c r="L98" s="49">
        <v>45432</v>
      </c>
      <c r="M98" s="50">
        <f t="shared" ca="1" si="22"/>
        <v>1</v>
      </c>
      <c r="N98" s="50">
        <f t="shared" ca="1" si="23"/>
        <v>11</v>
      </c>
      <c r="O98" s="50">
        <f t="shared" ca="1" si="24"/>
        <v>2</v>
      </c>
      <c r="P98" s="51">
        <f t="shared" si="25"/>
        <v>53607</v>
      </c>
      <c r="Q98" s="47" t="s">
        <v>181</v>
      </c>
      <c r="R98" s="49">
        <v>45432</v>
      </c>
      <c r="S98" s="51">
        <v>45524</v>
      </c>
      <c r="T98" s="51">
        <v>45525</v>
      </c>
      <c r="U98" s="51"/>
      <c r="V98" s="47" t="s">
        <v>90</v>
      </c>
      <c r="W98" s="47" t="s">
        <v>529</v>
      </c>
      <c r="X98" s="51">
        <v>33518</v>
      </c>
      <c r="Y98" s="50">
        <f t="shared" ca="1" si="26"/>
        <v>34</v>
      </c>
      <c r="Z98" s="50">
        <f t="shared" ca="1" si="27"/>
        <v>6</v>
      </c>
      <c r="AA98" s="50">
        <f t="shared" ca="1" si="28"/>
        <v>15</v>
      </c>
      <c r="AB98" s="47"/>
      <c r="AC98" s="53"/>
      <c r="AD98" s="70" t="s">
        <v>185</v>
      </c>
      <c r="AE98" s="47" t="s">
        <v>1835</v>
      </c>
      <c r="AF98" s="47" t="s">
        <v>1836</v>
      </c>
      <c r="AG98" s="47"/>
      <c r="AH98" s="47"/>
      <c r="AI98" s="47"/>
      <c r="AJ98" s="48" t="s">
        <v>1837</v>
      </c>
      <c r="AK98" s="47" t="s">
        <v>1838</v>
      </c>
      <c r="AL98" s="56" t="s">
        <v>244</v>
      </c>
      <c r="AM98" s="47" t="s">
        <v>1838</v>
      </c>
      <c r="AN98" s="47"/>
      <c r="AO98" s="47"/>
      <c r="AP98" s="94" t="s">
        <v>101</v>
      </c>
      <c r="AQ98" s="48" t="s">
        <v>1839</v>
      </c>
      <c r="AR98" s="48" t="s">
        <v>1839</v>
      </c>
      <c r="AS98" s="47" t="s">
        <v>163</v>
      </c>
      <c r="AT98" s="47" t="s">
        <v>194</v>
      </c>
      <c r="AU98" s="47"/>
      <c r="AV98" s="47"/>
      <c r="AW98" s="47"/>
      <c r="AX98" s="47"/>
      <c r="AY98" s="47"/>
      <c r="AZ98" s="47"/>
      <c r="BA98" s="47" t="s">
        <v>1840</v>
      </c>
      <c r="BB98" s="47" t="s">
        <v>1832</v>
      </c>
      <c r="BC98" s="47"/>
      <c r="BD98" s="47"/>
      <c r="BE98" s="47"/>
      <c r="BF98" s="51"/>
      <c r="BG98" s="57">
        <f t="shared" ca="1" si="29"/>
        <v>126</v>
      </c>
      <c r="BH98" s="57">
        <f t="shared" ca="1" si="30"/>
        <v>3</v>
      </c>
      <c r="BI98" s="57">
        <f t="shared" ca="1" si="31"/>
        <v>22</v>
      </c>
      <c r="BJ98" s="47"/>
      <c r="BK98" s="47"/>
      <c r="BL98" s="51"/>
      <c r="BM98" s="57">
        <f t="shared" ca="1" si="32"/>
        <v>126</v>
      </c>
      <c r="BN98" s="57">
        <f t="shared" ca="1" si="33"/>
        <v>3</v>
      </c>
      <c r="BO98" s="57">
        <f t="shared" ca="1" si="34"/>
        <v>22</v>
      </c>
      <c r="BP98" s="47"/>
      <c r="BQ98" s="47"/>
      <c r="BR98" s="51"/>
      <c r="BS98" s="57">
        <f t="shared" ca="1" si="35"/>
        <v>126</v>
      </c>
      <c r="BT98" s="57">
        <f t="shared" ca="1" si="36"/>
        <v>3</v>
      </c>
      <c r="BU98" s="57">
        <f t="shared" ca="1" si="37"/>
        <v>22</v>
      </c>
      <c r="BV98" s="47"/>
      <c r="BW98" s="47"/>
      <c r="BX98" s="51"/>
      <c r="BY98" s="57">
        <f t="shared" ca="1" si="38"/>
        <v>126</v>
      </c>
      <c r="BZ98" s="57">
        <f t="shared" ca="1" si="39"/>
        <v>3</v>
      </c>
      <c r="CA98" s="57">
        <f t="shared" ca="1" si="40"/>
        <v>22</v>
      </c>
      <c r="CB98" s="47"/>
      <c r="CC98" s="47"/>
    </row>
    <row r="99" spans="1:81" ht="15" customHeight="1" x14ac:dyDescent="0.25">
      <c r="A99" s="46" t="s">
        <v>1841</v>
      </c>
      <c r="B99" s="47" t="s">
        <v>1842</v>
      </c>
      <c r="C99" s="47" t="s">
        <v>1843</v>
      </c>
      <c r="D99" s="47" t="s">
        <v>175</v>
      </c>
      <c r="E99" s="47" t="s">
        <v>233</v>
      </c>
      <c r="F99" s="47" t="s">
        <v>177</v>
      </c>
      <c r="G99" s="47"/>
      <c r="H99" s="47" t="s">
        <v>1436</v>
      </c>
      <c r="I99" s="47" t="s">
        <v>1844</v>
      </c>
      <c r="J99" s="47" t="s">
        <v>90</v>
      </c>
      <c r="K99" s="47" t="s">
        <v>91</v>
      </c>
      <c r="L99" s="51">
        <v>45481</v>
      </c>
      <c r="M99" s="50">
        <f t="shared" ca="1" si="22"/>
        <v>1</v>
      </c>
      <c r="N99" s="50">
        <f t="shared" ca="1" si="23"/>
        <v>9</v>
      </c>
      <c r="O99" s="50">
        <f t="shared" ca="1" si="24"/>
        <v>14</v>
      </c>
      <c r="P99" s="51">
        <f t="shared" si="25"/>
        <v>55932</v>
      </c>
      <c r="Q99" s="47" t="s">
        <v>181</v>
      </c>
      <c r="R99" s="51">
        <v>45481</v>
      </c>
      <c r="S99" s="51">
        <v>45572</v>
      </c>
      <c r="T99" s="51">
        <v>45573</v>
      </c>
      <c r="U99" s="51"/>
      <c r="V99" s="47" t="s">
        <v>374</v>
      </c>
      <c r="W99" s="47" t="s">
        <v>1845</v>
      </c>
      <c r="X99" s="51">
        <v>35843</v>
      </c>
      <c r="Y99" s="50">
        <f t="shared" ca="1" si="26"/>
        <v>28</v>
      </c>
      <c r="Z99" s="50">
        <f t="shared" ca="1" si="27"/>
        <v>2</v>
      </c>
      <c r="AA99" s="50">
        <f t="shared" ca="1" si="28"/>
        <v>5</v>
      </c>
      <c r="AB99" s="47"/>
      <c r="AC99" s="53"/>
      <c r="AD99" s="70" t="s">
        <v>185</v>
      </c>
      <c r="AE99" s="47" t="s">
        <v>1846</v>
      </c>
      <c r="AF99" s="47" t="s">
        <v>554</v>
      </c>
      <c r="AG99" s="47"/>
      <c r="AH99" s="47"/>
      <c r="AI99" s="47"/>
      <c r="AJ99" s="47" t="s">
        <v>1847</v>
      </c>
      <c r="AK99" s="47" t="s">
        <v>1848</v>
      </c>
      <c r="AL99" s="56" t="s">
        <v>244</v>
      </c>
      <c r="AM99" s="47" t="s">
        <v>1848</v>
      </c>
      <c r="AN99" s="47"/>
      <c r="AO99" s="47" t="s">
        <v>1655</v>
      </c>
      <c r="AP99" s="47" t="s">
        <v>641</v>
      </c>
      <c r="AQ99" s="47" t="s">
        <v>1849</v>
      </c>
      <c r="AR99" s="47"/>
      <c r="AS99" s="47" t="s">
        <v>163</v>
      </c>
      <c r="AT99" s="47"/>
      <c r="AU99" s="47"/>
      <c r="AV99" s="47"/>
      <c r="AW99" s="47"/>
      <c r="AX99" s="47"/>
      <c r="AY99" s="47"/>
      <c r="AZ99" s="47"/>
      <c r="BA99" s="47" t="s">
        <v>1850</v>
      </c>
      <c r="BB99" s="47" t="s">
        <v>1843</v>
      </c>
      <c r="BC99" s="47"/>
      <c r="BD99" s="47"/>
      <c r="BE99" s="47"/>
      <c r="BF99" s="51"/>
      <c r="BG99" s="57">
        <f t="shared" ca="1" si="29"/>
        <v>126</v>
      </c>
      <c r="BH99" s="57">
        <f t="shared" ca="1" si="30"/>
        <v>3</v>
      </c>
      <c r="BI99" s="57">
        <f t="shared" ca="1" si="31"/>
        <v>22</v>
      </c>
      <c r="BJ99" s="47"/>
      <c r="BK99" s="47"/>
      <c r="BL99" s="51"/>
      <c r="BM99" s="57">
        <f t="shared" ca="1" si="32"/>
        <v>126</v>
      </c>
      <c r="BN99" s="57">
        <f t="shared" ca="1" si="33"/>
        <v>3</v>
      </c>
      <c r="BO99" s="57">
        <f t="shared" ca="1" si="34"/>
        <v>22</v>
      </c>
      <c r="BP99" s="47"/>
      <c r="BQ99" s="47"/>
      <c r="BR99" s="51"/>
      <c r="BS99" s="57">
        <f t="shared" ca="1" si="35"/>
        <v>126</v>
      </c>
      <c r="BT99" s="57">
        <f t="shared" ca="1" si="36"/>
        <v>3</v>
      </c>
      <c r="BU99" s="57">
        <f t="shared" ca="1" si="37"/>
        <v>22</v>
      </c>
      <c r="BV99" s="47"/>
      <c r="BW99" s="47"/>
      <c r="BX99" s="51"/>
      <c r="BY99" s="57">
        <f t="shared" ca="1" si="38"/>
        <v>126</v>
      </c>
      <c r="BZ99" s="57">
        <f t="shared" ca="1" si="39"/>
        <v>3</v>
      </c>
      <c r="CA99" s="57">
        <f t="shared" ca="1" si="40"/>
        <v>22</v>
      </c>
      <c r="CB99" s="47"/>
      <c r="CC99" s="47" t="s">
        <v>1851</v>
      </c>
    </row>
    <row r="100" spans="1:81" ht="15" customHeight="1" x14ac:dyDescent="0.25">
      <c r="A100" s="46" t="s">
        <v>1852</v>
      </c>
      <c r="B100" s="47" t="s">
        <v>1853</v>
      </c>
      <c r="C100" s="47" t="s">
        <v>1854</v>
      </c>
      <c r="D100" s="47" t="s">
        <v>175</v>
      </c>
      <c r="E100" s="47" t="s">
        <v>1435</v>
      </c>
      <c r="F100" s="47" t="s">
        <v>128</v>
      </c>
      <c r="G100" s="47"/>
      <c r="H100" s="59" t="s">
        <v>147</v>
      </c>
      <c r="I100" s="47" t="s">
        <v>1855</v>
      </c>
      <c r="J100" s="47" t="s">
        <v>90</v>
      </c>
      <c r="K100" s="47" t="s">
        <v>91</v>
      </c>
      <c r="L100" s="51">
        <v>45496</v>
      </c>
      <c r="M100" s="50">
        <f t="shared" ca="1" si="22"/>
        <v>1</v>
      </c>
      <c r="N100" s="50">
        <f t="shared" ca="1" si="23"/>
        <v>8</v>
      </c>
      <c r="O100" s="50">
        <f t="shared" ca="1" si="24"/>
        <v>30</v>
      </c>
      <c r="P100" s="51">
        <f t="shared" si="25"/>
        <v>56473</v>
      </c>
      <c r="Q100" s="47" t="s">
        <v>181</v>
      </c>
      <c r="R100" s="51">
        <v>45496</v>
      </c>
      <c r="S100" s="51">
        <v>45587</v>
      </c>
      <c r="T100" s="51">
        <v>45588</v>
      </c>
      <c r="U100" s="51"/>
      <c r="V100" s="47" t="s">
        <v>1856</v>
      </c>
      <c r="W100" s="47" t="s">
        <v>1857</v>
      </c>
      <c r="X100" s="51">
        <v>36384</v>
      </c>
      <c r="Y100" s="50">
        <f t="shared" ca="1" si="26"/>
        <v>26</v>
      </c>
      <c r="Z100" s="50">
        <f t="shared" ca="1" si="27"/>
        <v>8</v>
      </c>
      <c r="AA100" s="50">
        <f t="shared" ca="1" si="28"/>
        <v>10</v>
      </c>
      <c r="AB100" s="47"/>
      <c r="AC100" s="53"/>
      <c r="AD100" s="70" t="s">
        <v>185</v>
      </c>
      <c r="AE100" s="47" t="s">
        <v>1858</v>
      </c>
      <c r="AF100" s="47" t="s">
        <v>895</v>
      </c>
      <c r="AG100" s="47"/>
      <c r="AH100" s="47"/>
      <c r="AI100" s="47"/>
      <c r="AJ100" s="47" t="s">
        <v>1859</v>
      </c>
      <c r="AK100" s="47" t="s">
        <v>1860</v>
      </c>
      <c r="AL100" s="56" t="s">
        <v>244</v>
      </c>
      <c r="AM100" s="47" t="s">
        <v>1860</v>
      </c>
      <c r="AN100" s="47"/>
      <c r="AO100" s="47" t="s">
        <v>1655</v>
      </c>
      <c r="AP100" s="47" t="s">
        <v>641</v>
      </c>
      <c r="AQ100" s="47" t="s">
        <v>1861</v>
      </c>
      <c r="AR100" s="47"/>
      <c r="AS100" s="47" t="s">
        <v>163</v>
      </c>
      <c r="AT100" s="47"/>
      <c r="AU100" s="47"/>
      <c r="AV100" s="47"/>
      <c r="AW100" s="47"/>
      <c r="AX100" s="47" t="s">
        <v>1862</v>
      </c>
      <c r="AY100" s="47"/>
      <c r="AZ100" s="47"/>
      <c r="BA100" s="47" t="s">
        <v>1863</v>
      </c>
      <c r="BB100" s="47" t="s">
        <v>1854</v>
      </c>
      <c r="BC100" s="47"/>
      <c r="BD100" s="47"/>
      <c r="BE100" s="47"/>
      <c r="BF100" s="51"/>
      <c r="BG100" s="57">
        <f t="shared" ca="1" si="29"/>
        <v>126</v>
      </c>
      <c r="BH100" s="57">
        <f t="shared" ca="1" si="30"/>
        <v>3</v>
      </c>
      <c r="BI100" s="57">
        <f t="shared" ca="1" si="31"/>
        <v>22</v>
      </c>
      <c r="BJ100" s="47"/>
      <c r="BK100" s="47"/>
      <c r="BL100" s="51"/>
      <c r="BM100" s="57">
        <f t="shared" ca="1" si="32"/>
        <v>126</v>
      </c>
      <c r="BN100" s="57">
        <f t="shared" ca="1" si="33"/>
        <v>3</v>
      </c>
      <c r="BO100" s="57">
        <f t="shared" ca="1" si="34"/>
        <v>22</v>
      </c>
      <c r="BP100" s="47"/>
      <c r="BQ100" s="47"/>
      <c r="BR100" s="51"/>
      <c r="BS100" s="57">
        <f t="shared" ca="1" si="35"/>
        <v>126</v>
      </c>
      <c r="BT100" s="57">
        <f t="shared" ca="1" si="36"/>
        <v>3</v>
      </c>
      <c r="BU100" s="57">
        <f t="shared" ca="1" si="37"/>
        <v>22</v>
      </c>
      <c r="BV100" s="47"/>
      <c r="BW100" s="47"/>
      <c r="BX100" s="51"/>
      <c r="BY100" s="57">
        <f t="shared" ca="1" si="38"/>
        <v>126</v>
      </c>
      <c r="BZ100" s="57">
        <f t="shared" ca="1" si="39"/>
        <v>3</v>
      </c>
      <c r="CA100" s="57">
        <f t="shared" ca="1" si="40"/>
        <v>22</v>
      </c>
      <c r="CB100" s="47"/>
      <c r="CC100" s="47"/>
    </row>
    <row r="101" spans="1:81" ht="15" customHeight="1" x14ac:dyDescent="0.25">
      <c r="A101" s="46" t="s">
        <v>1864</v>
      </c>
      <c r="B101" s="47" t="s">
        <v>1865</v>
      </c>
      <c r="C101" s="47" t="s">
        <v>1866</v>
      </c>
      <c r="D101" s="47" t="s">
        <v>175</v>
      </c>
      <c r="E101" s="47" t="s">
        <v>176</v>
      </c>
      <c r="F101" s="47" t="s">
        <v>177</v>
      </c>
      <c r="G101" s="47"/>
      <c r="H101" s="59" t="s">
        <v>178</v>
      </c>
      <c r="I101" s="47" t="s">
        <v>179</v>
      </c>
      <c r="J101" s="47" t="s">
        <v>1867</v>
      </c>
      <c r="K101" s="47" t="s">
        <v>91</v>
      </c>
      <c r="L101" s="51">
        <v>45505</v>
      </c>
      <c r="M101" s="50">
        <f t="shared" ca="1" si="22"/>
        <v>1</v>
      </c>
      <c r="N101" s="50">
        <f t="shared" ca="1" si="23"/>
        <v>8</v>
      </c>
      <c r="O101" s="50">
        <f t="shared" ca="1" si="24"/>
        <v>21</v>
      </c>
      <c r="P101" s="51">
        <f t="shared" si="25"/>
        <v>49004</v>
      </c>
      <c r="Q101" s="47" t="s">
        <v>181</v>
      </c>
      <c r="R101" s="51">
        <v>45505</v>
      </c>
      <c r="S101" s="51">
        <v>45596</v>
      </c>
      <c r="T101" s="49">
        <f>S101+1</f>
        <v>45597</v>
      </c>
      <c r="U101" s="51"/>
      <c r="V101" s="47" t="s">
        <v>1868</v>
      </c>
      <c r="W101" s="47" t="s">
        <v>236</v>
      </c>
      <c r="X101" s="51">
        <v>28915</v>
      </c>
      <c r="Y101" s="50">
        <f t="shared" ca="1" si="26"/>
        <v>47</v>
      </c>
      <c r="Z101" s="50">
        <f t="shared" ca="1" si="27"/>
        <v>1</v>
      </c>
      <c r="AA101" s="50">
        <f t="shared" ca="1" si="28"/>
        <v>21</v>
      </c>
      <c r="AB101" s="47"/>
      <c r="AC101" s="53"/>
      <c r="AD101" s="70" t="s">
        <v>185</v>
      </c>
      <c r="AE101" s="47" t="s">
        <v>1869</v>
      </c>
      <c r="AF101" s="47" t="s">
        <v>1870</v>
      </c>
      <c r="AG101" s="47"/>
      <c r="AH101" s="47">
        <v>25</v>
      </c>
      <c r="AI101" s="47" t="s">
        <v>1871</v>
      </c>
      <c r="AJ101" s="104" t="s">
        <v>1872</v>
      </c>
      <c r="AK101" s="47" t="s">
        <v>1873</v>
      </c>
      <c r="AL101" s="56" t="s">
        <v>244</v>
      </c>
      <c r="AM101" s="47" t="s">
        <v>1873</v>
      </c>
      <c r="AN101" s="47"/>
      <c r="AO101" s="47" t="s">
        <v>1655</v>
      </c>
      <c r="AP101" s="47" t="s">
        <v>101</v>
      </c>
      <c r="AQ101" s="48" t="s">
        <v>1874</v>
      </c>
      <c r="AR101" s="47"/>
      <c r="AS101" s="87" t="s">
        <v>901</v>
      </c>
      <c r="AT101" s="47" t="s">
        <v>194</v>
      </c>
      <c r="AU101" s="47"/>
      <c r="AV101" s="47" t="s">
        <v>1875</v>
      </c>
      <c r="AW101" s="47" t="s">
        <v>1873</v>
      </c>
      <c r="AX101" s="48" t="s">
        <v>1876</v>
      </c>
      <c r="AY101" s="47"/>
      <c r="AZ101" s="47"/>
      <c r="BA101" s="48" t="s">
        <v>1877</v>
      </c>
      <c r="BB101" s="47" t="s">
        <v>1866</v>
      </c>
      <c r="BC101" s="47" t="s">
        <v>1878</v>
      </c>
      <c r="BD101" s="47" t="s">
        <v>1879</v>
      </c>
      <c r="BE101" s="47" t="s">
        <v>86</v>
      </c>
      <c r="BF101" s="51">
        <v>28291</v>
      </c>
      <c r="BG101" s="57">
        <f t="shared" ca="1" si="29"/>
        <v>48</v>
      </c>
      <c r="BH101" s="57">
        <f t="shared" ca="1" si="30"/>
        <v>10</v>
      </c>
      <c r="BI101" s="57">
        <f t="shared" ca="1" si="31"/>
        <v>7</v>
      </c>
      <c r="BJ101" s="47" t="s">
        <v>1880</v>
      </c>
      <c r="BK101" s="47" t="s">
        <v>175</v>
      </c>
      <c r="BL101" s="51">
        <v>40520</v>
      </c>
      <c r="BM101" s="57">
        <f t="shared" ca="1" si="32"/>
        <v>15</v>
      </c>
      <c r="BN101" s="57">
        <f t="shared" ca="1" si="33"/>
        <v>4</v>
      </c>
      <c r="BO101" s="57">
        <f t="shared" ca="1" si="34"/>
        <v>14</v>
      </c>
      <c r="BP101" s="47" t="s">
        <v>1881</v>
      </c>
      <c r="BQ101" s="47" t="s">
        <v>86</v>
      </c>
      <c r="BR101" s="51">
        <v>41896</v>
      </c>
      <c r="BS101" s="57">
        <f t="shared" ca="1" si="35"/>
        <v>11</v>
      </c>
      <c r="BT101" s="57">
        <f t="shared" ca="1" si="36"/>
        <v>7</v>
      </c>
      <c r="BU101" s="57">
        <f t="shared" ca="1" si="37"/>
        <v>8</v>
      </c>
      <c r="BV101" s="47"/>
      <c r="BW101" s="47"/>
      <c r="BX101" s="51"/>
      <c r="BY101" s="57">
        <f t="shared" ca="1" si="38"/>
        <v>126</v>
      </c>
      <c r="BZ101" s="57">
        <f t="shared" ca="1" si="39"/>
        <v>3</v>
      </c>
      <c r="CA101" s="57">
        <f t="shared" ca="1" si="40"/>
        <v>22</v>
      </c>
      <c r="CB101" s="47" t="s">
        <v>1882</v>
      </c>
      <c r="CC101" s="105" t="s">
        <v>1883</v>
      </c>
    </row>
    <row r="102" spans="1:81" ht="15" customHeight="1" x14ac:dyDescent="0.25">
      <c r="A102" s="46" t="s">
        <v>1884</v>
      </c>
      <c r="B102" s="47" t="s">
        <v>1885</v>
      </c>
      <c r="C102" s="47" t="s">
        <v>1886</v>
      </c>
      <c r="D102" s="47" t="s">
        <v>175</v>
      </c>
      <c r="E102" s="47" t="s">
        <v>176</v>
      </c>
      <c r="F102" s="47" t="s">
        <v>128</v>
      </c>
      <c r="G102" s="47"/>
      <c r="H102" s="47" t="s">
        <v>821</v>
      </c>
      <c r="I102" s="47" t="s">
        <v>1703</v>
      </c>
      <c r="J102" s="47" t="s">
        <v>90</v>
      </c>
      <c r="K102" s="47" t="s">
        <v>91</v>
      </c>
      <c r="L102" s="51">
        <v>45516</v>
      </c>
      <c r="M102" s="50">
        <f t="shared" ca="1" si="22"/>
        <v>1</v>
      </c>
      <c r="N102" s="50">
        <f t="shared" ca="1" si="23"/>
        <v>8</v>
      </c>
      <c r="O102" s="50">
        <f t="shared" ca="1" si="24"/>
        <v>10</v>
      </c>
      <c r="P102" s="51">
        <f t="shared" si="25"/>
        <v>55189</v>
      </c>
      <c r="Q102" s="47" t="s">
        <v>181</v>
      </c>
      <c r="R102" s="51">
        <v>45516</v>
      </c>
      <c r="S102" s="51">
        <v>45607</v>
      </c>
      <c r="T102" s="49">
        <f>S102+1</f>
        <v>45608</v>
      </c>
      <c r="U102" s="51"/>
      <c r="V102" s="47" t="s">
        <v>1887</v>
      </c>
      <c r="W102" s="47" t="s">
        <v>93</v>
      </c>
      <c r="X102" s="51">
        <v>35100</v>
      </c>
      <c r="Y102" s="50">
        <f t="shared" ca="1" si="26"/>
        <v>30</v>
      </c>
      <c r="Z102" s="50">
        <f t="shared" ca="1" si="27"/>
        <v>2</v>
      </c>
      <c r="AA102" s="50">
        <f t="shared" ca="1" si="28"/>
        <v>17</v>
      </c>
      <c r="AB102" s="47"/>
      <c r="AC102" s="53"/>
      <c r="AD102" s="70" t="s">
        <v>185</v>
      </c>
      <c r="AE102" s="47" t="s">
        <v>1888</v>
      </c>
      <c r="AF102" s="47" t="s">
        <v>312</v>
      </c>
      <c r="AG102" s="47"/>
      <c r="AH102" s="47">
        <v>5</v>
      </c>
      <c r="AI102" s="47" t="s">
        <v>1889</v>
      </c>
      <c r="AJ102" s="104" t="s">
        <v>1890</v>
      </c>
      <c r="AK102" s="47" t="s">
        <v>1891</v>
      </c>
      <c r="AL102" s="56" t="s">
        <v>244</v>
      </c>
      <c r="AM102" s="47" t="s">
        <v>1892</v>
      </c>
      <c r="AN102" s="47"/>
      <c r="AO102" s="47" t="s">
        <v>1655</v>
      </c>
      <c r="AP102" s="47" t="s">
        <v>641</v>
      </c>
      <c r="AQ102" s="47" t="s">
        <v>1893</v>
      </c>
      <c r="AR102" s="47"/>
      <c r="AS102" s="47" t="s">
        <v>163</v>
      </c>
      <c r="AT102" s="47" t="s">
        <v>194</v>
      </c>
      <c r="AU102" s="47"/>
      <c r="AV102" s="47" t="s">
        <v>1894</v>
      </c>
      <c r="AW102" s="47" t="s">
        <v>1895</v>
      </c>
      <c r="AX102" s="48" t="s">
        <v>1896</v>
      </c>
      <c r="AY102" s="47"/>
      <c r="AZ102" s="47"/>
      <c r="BA102" s="47" t="s">
        <v>1897</v>
      </c>
      <c r="BB102" s="47" t="s">
        <v>1886</v>
      </c>
      <c r="BC102" s="47" t="s">
        <v>816</v>
      </c>
      <c r="BD102" s="47"/>
      <c r="BE102" s="47"/>
      <c r="BF102" s="51"/>
      <c r="BG102" s="57">
        <f t="shared" ca="1" si="29"/>
        <v>126</v>
      </c>
      <c r="BH102" s="57">
        <f t="shared" ca="1" si="30"/>
        <v>3</v>
      </c>
      <c r="BI102" s="57">
        <f t="shared" ca="1" si="31"/>
        <v>22</v>
      </c>
      <c r="BJ102" s="47"/>
      <c r="BK102" s="47"/>
      <c r="BL102" s="51"/>
      <c r="BM102" s="57">
        <f t="shared" ca="1" si="32"/>
        <v>126</v>
      </c>
      <c r="BN102" s="57">
        <f t="shared" ca="1" si="33"/>
        <v>3</v>
      </c>
      <c r="BO102" s="57">
        <f t="shared" ca="1" si="34"/>
        <v>22</v>
      </c>
      <c r="BP102" s="47"/>
      <c r="BQ102" s="47"/>
      <c r="BR102" s="51"/>
      <c r="BS102" s="57">
        <f t="shared" ca="1" si="35"/>
        <v>126</v>
      </c>
      <c r="BT102" s="57">
        <f t="shared" ca="1" si="36"/>
        <v>3</v>
      </c>
      <c r="BU102" s="57">
        <f t="shared" ca="1" si="37"/>
        <v>22</v>
      </c>
      <c r="BV102" s="47"/>
      <c r="BW102" s="47"/>
      <c r="BX102" s="51"/>
      <c r="BY102" s="57">
        <f t="shared" ca="1" si="38"/>
        <v>126</v>
      </c>
      <c r="BZ102" s="57">
        <f t="shared" ca="1" si="39"/>
        <v>3</v>
      </c>
      <c r="CA102" s="57">
        <f t="shared" ca="1" si="40"/>
        <v>22</v>
      </c>
      <c r="CB102" s="47"/>
      <c r="CC102" s="105" t="s">
        <v>1898</v>
      </c>
    </row>
    <row r="103" spans="1:81" ht="15" customHeight="1" x14ac:dyDescent="0.25">
      <c r="A103" s="46" t="s">
        <v>1899</v>
      </c>
      <c r="B103" s="47" t="s">
        <v>1900</v>
      </c>
      <c r="C103" s="47" t="s">
        <v>1901</v>
      </c>
      <c r="D103" s="47" t="s">
        <v>175</v>
      </c>
      <c r="E103" s="47" t="s">
        <v>630</v>
      </c>
      <c r="F103" s="47" t="s">
        <v>548</v>
      </c>
      <c r="G103" s="47"/>
      <c r="H103" s="59" t="s">
        <v>652</v>
      </c>
      <c r="I103" s="47" t="s">
        <v>1902</v>
      </c>
      <c r="J103" s="47" t="s">
        <v>90</v>
      </c>
      <c r="K103" s="47" t="s">
        <v>91</v>
      </c>
      <c r="L103" s="51">
        <v>45530</v>
      </c>
      <c r="M103" s="50">
        <f t="shared" ca="1" si="22"/>
        <v>1</v>
      </c>
      <c r="N103" s="50">
        <f t="shared" ca="1" si="23"/>
        <v>7</v>
      </c>
      <c r="O103" s="50">
        <f t="shared" ca="1" si="24"/>
        <v>27</v>
      </c>
      <c r="P103" s="51">
        <f t="shared" si="25"/>
        <v>55505</v>
      </c>
      <c r="Q103" s="47" t="s">
        <v>181</v>
      </c>
      <c r="R103" s="51">
        <v>45530</v>
      </c>
      <c r="S103" s="51">
        <v>45621</v>
      </c>
      <c r="T103" s="49">
        <f>S103+1</f>
        <v>45622</v>
      </c>
      <c r="U103" s="51"/>
      <c r="V103" s="47" t="s">
        <v>1903</v>
      </c>
      <c r="W103" s="47" t="s">
        <v>333</v>
      </c>
      <c r="X103" s="51">
        <v>35417</v>
      </c>
      <c r="Y103" s="50">
        <f t="shared" ca="1" si="26"/>
        <v>29</v>
      </c>
      <c r="Z103" s="50">
        <f t="shared" ca="1" si="27"/>
        <v>4</v>
      </c>
      <c r="AA103" s="50">
        <f t="shared" ca="1" si="28"/>
        <v>4</v>
      </c>
      <c r="AB103" s="47"/>
      <c r="AC103" s="53"/>
      <c r="AD103" s="70" t="s">
        <v>185</v>
      </c>
      <c r="AE103" s="47" t="s">
        <v>1888</v>
      </c>
      <c r="AF103" s="47" t="s">
        <v>1904</v>
      </c>
      <c r="AG103" s="47"/>
      <c r="AH103" s="47">
        <v>3</v>
      </c>
      <c r="AI103" s="47" t="s">
        <v>1905</v>
      </c>
      <c r="AJ103" s="104" t="s">
        <v>1906</v>
      </c>
      <c r="AK103" s="47" t="s">
        <v>1907</v>
      </c>
      <c r="AL103" s="56" t="s">
        <v>244</v>
      </c>
      <c r="AM103" s="47" t="s">
        <v>1908</v>
      </c>
      <c r="AN103" s="47"/>
      <c r="AO103" s="47" t="s">
        <v>1655</v>
      </c>
      <c r="AP103" s="47" t="s">
        <v>641</v>
      </c>
      <c r="AQ103" s="47" t="s">
        <v>1909</v>
      </c>
      <c r="AR103" s="47"/>
      <c r="AS103" s="47" t="s">
        <v>513</v>
      </c>
      <c r="AT103" s="47" t="s">
        <v>343</v>
      </c>
      <c r="AU103" s="47"/>
      <c r="AV103" s="47" t="s">
        <v>1910</v>
      </c>
      <c r="AW103" s="47" t="s">
        <v>1911</v>
      </c>
      <c r="AX103" s="47"/>
      <c r="AY103" s="47"/>
      <c r="AZ103" s="47"/>
      <c r="BA103" s="47" t="s">
        <v>1912</v>
      </c>
      <c r="BB103" s="47" t="s">
        <v>1901</v>
      </c>
      <c r="BC103" s="47" t="s">
        <v>1913</v>
      </c>
      <c r="BD103" s="47"/>
      <c r="BE103" s="47"/>
      <c r="BF103" s="51"/>
      <c r="BG103" s="57">
        <f t="shared" ca="1" si="29"/>
        <v>126</v>
      </c>
      <c r="BH103" s="57">
        <f t="shared" ca="1" si="30"/>
        <v>3</v>
      </c>
      <c r="BI103" s="57">
        <f t="shared" ca="1" si="31"/>
        <v>22</v>
      </c>
      <c r="BJ103" s="47"/>
      <c r="BK103" s="47"/>
      <c r="BL103" s="51"/>
      <c r="BM103" s="57">
        <f t="shared" ca="1" si="32"/>
        <v>126</v>
      </c>
      <c r="BN103" s="57">
        <f t="shared" ca="1" si="33"/>
        <v>3</v>
      </c>
      <c r="BO103" s="57">
        <f t="shared" ca="1" si="34"/>
        <v>22</v>
      </c>
      <c r="BP103" s="47"/>
      <c r="BQ103" s="47"/>
      <c r="BR103" s="51"/>
      <c r="BS103" s="57">
        <f t="shared" ca="1" si="35"/>
        <v>126</v>
      </c>
      <c r="BT103" s="57">
        <f t="shared" ca="1" si="36"/>
        <v>3</v>
      </c>
      <c r="BU103" s="57">
        <f t="shared" ca="1" si="37"/>
        <v>22</v>
      </c>
      <c r="BV103" s="47"/>
      <c r="BW103" s="47"/>
      <c r="BX103" s="51"/>
      <c r="BY103" s="57">
        <f t="shared" ca="1" si="38"/>
        <v>126</v>
      </c>
      <c r="BZ103" s="57">
        <f t="shared" ca="1" si="39"/>
        <v>3</v>
      </c>
      <c r="CA103" s="57">
        <f t="shared" ca="1" si="40"/>
        <v>22</v>
      </c>
      <c r="CB103" s="47"/>
      <c r="CC103" s="105" t="s">
        <v>1914</v>
      </c>
    </row>
    <row r="104" spans="1:81" ht="15" customHeight="1" x14ac:dyDescent="0.25">
      <c r="A104" s="46" t="s">
        <v>1915</v>
      </c>
      <c r="B104" s="47" t="s">
        <v>1916</v>
      </c>
      <c r="C104" s="47" t="s">
        <v>1917</v>
      </c>
      <c r="D104" s="47" t="s">
        <v>175</v>
      </c>
      <c r="E104" s="47" t="s">
        <v>630</v>
      </c>
      <c r="F104" s="47" t="s">
        <v>328</v>
      </c>
      <c r="G104" s="47" t="s">
        <v>398</v>
      </c>
      <c r="H104" s="47" t="s">
        <v>1192</v>
      </c>
      <c r="I104" s="47" t="s">
        <v>1193</v>
      </c>
      <c r="J104" s="47" t="s">
        <v>110</v>
      </c>
      <c r="K104" s="47" t="s">
        <v>1918</v>
      </c>
      <c r="L104" s="51">
        <v>45538</v>
      </c>
      <c r="M104" s="50">
        <f t="shared" ca="1" si="22"/>
        <v>1</v>
      </c>
      <c r="N104" s="50">
        <f t="shared" ca="1" si="23"/>
        <v>7</v>
      </c>
      <c r="O104" s="50">
        <f t="shared" ca="1" si="24"/>
        <v>19</v>
      </c>
      <c r="P104" s="51">
        <f t="shared" si="25"/>
        <v>57307</v>
      </c>
      <c r="Q104" s="47" t="s">
        <v>1553</v>
      </c>
      <c r="R104" s="51">
        <f t="shared" ref="R104:R138" si="46">L104</f>
        <v>45538</v>
      </c>
      <c r="S104" s="51">
        <v>45902</v>
      </c>
      <c r="T104" s="51" t="s">
        <v>88</v>
      </c>
      <c r="U104" s="51"/>
      <c r="V104" s="47" t="s">
        <v>1919</v>
      </c>
      <c r="W104" s="47" t="s">
        <v>111</v>
      </c>
      <c r="X104" s="106">
        <v>37218</v>
      </c>
      <c r="Y104" s="50">
        <f t="shared" ca="1" si="26"/>
        <v>24</v>
      </c>
      <c r="Z104" s="50">
        <f t="shared" ca="1" si="27"/>
        <v>4</v>
      </c>
      <c r="AA104" s="50">
        <f t="shared" ca="1" si="28"/>
        <v>30</v>
      </c>
      <c r="AB104" s="47"/>
      <c r="AC104" s="53"/>
      <c r="AD104" s="70" t="s">
        <v>185</v>
      </c>
      <c r="AE104" s="47" t="s">
        <v>1920</v>
      </c>
      <c r="AF104" s="47" t="s">
        <v>532</v>
      </c>
      <c r="AG104" s="47"/>
      <c r="AH104" s="47" t="s">
        <v>88</v>
      </c>
      <c r="AI104" s="48" t="s">
        <v>88</v>
      </c>
      <c r="AJ104" s="107" t="s">
        <v>1921</v>
      </c>
      <c r="AK104" s="47" t="s">
        <v>1922</v>
      </c>
      <c r="AL104" s="56" t="s">
        <v>244</v>
      </c>
      <c r="AM104" s="47" t="s">
        <v>1923</v>
      </c>
      <c r="AN104" s="47"/>
      <c r="AO104" s="47" t="s">
        <v>1655</v>
      </c>
      <c r="AP104" s="47" t="s">
        <v>641</v>
      </c>
      <c r="AQ104" s="48" t="s">
        <v>1924</v>
      </c>
      <c r="AR104" s="47"/>
      <c r="AS104" s="47" t="s">
        <v>163</v>
      </c>
      <c r="AT104" s="47" t="s">
        <v>194</v>
      </c>
      <c r="AU104" s="47"/>
      <c r="AV104" s="47" t="s">
        <v>1925</v>
      </c>
      <c r="AW104" s="47" t="str">
        <f t="shared" ref="AW104:AW112" si="47">AK104</f>
        <v>Kompleks P.U Sapta Taruna III, Jl. Koperpu II No.67</v>
      </c>
      <c r="AX104" s="47"/>
      <c r="AY104" s="47"/>
      <c r="AZ104" s="47"/>
      <c r="BA104" s="48" t="s">
        <v>1926</v>
      </c>
      <c r="BB104" s="47" t="s">
        <v>1917</v>
      </c>
      <c r="BC104" s="47" t="s">
        <v>1927</v>
      </c>
      <c r="BD104" s="47"/>
      <c r="BE104" s="47"/>
      <c r="BF104" s="56"/>
      <c r="BG104" s="57">
        <f t="shared" ca="1" si="29"/>
        <v>126</v>
      </c>
      <c r="BH104" s="57">
        <f t="shared" ca="1" si="30"/>
        <v>3</v>
      </c>
      <c r="BI104" s="57">
        <f t="shared" ca="1" si="31"/>
        <v>22</v>
      </c>
      <c r="BJ104" s="47"/>
      <c r="BK104" s="47"/>
      <c r="BL104" s="56"/>
      <c r="BM104" s="57">
        <f t="shared" ca="1" si="32"/>
        <v>126</v>
      </c>
      <c r="BN104" s="57">
        <f t="shared" ca="1" si="33"/>
        <v>3</v>
      </c>
      <c r="BO104" s="57">
        <f t="shared" ca="1" si="34"/>
        <v>22</v>
      </c>
      <c r="BP104" s="47"/>
      <c r="BQ104" s="47"/>
      <c r="BR104" s="56"/>
      <c r="BS104" s="57">
        <f t="shared" ca="1" si="35"/>
        <v>126</v>
      </c>
      <c r="BT104" s="57">
        <f t="shared" ca="1" si="36"/>
        <v>3</v>
      </c>
      <c r="BU104" s="57">
        <f t="shared" ca="1" si="37"/>
        <v>22</v>
      </c>
      <c r="BV104" s="47"/>
      <c r="BW104" s="47"/>
      <c r="BX104" s="56"/>
      <c r="BY104" s="57">
        <f t="shared" ca="1" si="38"/>
        <v>126</v>
      </c>
      <c r="BZ104" s="57">
        <f t="shared" ca="1" si="39"/>
        <v>3</v>
      </c>
      <c r="CA104" s="57">
        <f t="shared" ca="1" si="40"/>
        <v>22</v>
      </c>
      <c r="CB104" s="47"/>
      <c r="CC104" s="105" t="s">
        <v>1928</v>
      </c>
    </row>
    <row r="105" spans="1:81" ht="15" customHeight="1" x14ac:dyDescent="0.25">
      <c r="A105" s="46" t="s">
        <v>1929</v>
      </c>
      <c r="B105" s="47" t="s">
        <v>1930</v>
      </c>
      <c r="C105" s="47" t="s">
        <v>1931</v>
      </c>
      <c r="D105" s="47" t="s">
        <v>175</v>
      </c>
      <c r="E105" s="47" t="s">
        <v>353</v>
      </c>
      <c r="F105" s="47" t="s">
        <v>328</v>
      </c>
      <c r="G105" s="47" t="s">
        <v>398</v>
      </c>
      <c r="H105" s="48" t="s">
        <v>1192</v>
      </c>
      <c r="I105" s="47" t="s">
        <v>1932</v>
      </c>
      <c r="J105" s="47" t="s">
        <v>110</v>
      </c>
      <c r="K105" s="47" t="s">
        <v>91</v>
      </c>
      <c r="L105" s="51">
        <v>45614</v>
      </c>
      <c r="M105" s="50">
        <f t="shared" ca="1" si="22"/>
        <v>1</v>
      </c>
      <c r="N105" s="50">
        <f t="shared" ca="1" si="23"/>
        <v>5</v>
      </c>
      <c r="O105" s="50">
        <f t="shared" ca="1" si="24"/>
        <v>4</v>
      </c>
      <c r="P105" s="51">
        <f t="shared" si="25"/>
        <v>56020</v>
      </c>
      <c r="Q105" s="47" t="s">
        <v>181</v>
      </c>
      <c r="R105" s="51">
        <f t="shared" si="46"/>
        <v>45614</v>
      </c>
      <c r="S105" s="51">
        <f>R105+(91-1)</f>
        <v>45704</v>
      </c>
      <c r="T105" s="51">
        <f>S105+1</f>
        <v>45705</v>
      </c>
      <c r="U105" s="51"/>
      <c r="V105" s="47" t="s">
        <v>1933</v>
      </c>
      <c r="W105" s="47" t="s">
        <v>678</v>
      </c>
      <c r="X105" s="106">
        <v>35931</v>
      </c>
      <c r="Y105" s="50">
        <f t="shared" ca="1" si="26"/>
        <v>27</v>
      </c>
      <c r="Z105" s="50">
        <f t="shared" ca="1" si="27"/>
        <v>11</v>
      </c>
      <c r="AA105" s="50">
        <f t="shared" ca="1" si="28"/>
        <v>6</v>
      </c>
      <c r="AB105" s="47"/>
      <c r="AC105" s="53"/>
      <c r="AD105" s="70" t="s">
        <v>185</v>
      </c>
      <c r="AE105" s="47" t="s">
        <v>1934</v>
      </c>
      <c r="AF105" s="47" t="s">
        <v>554</v>
      </c>
      <c r="AG105" s="47"/>
      <c r="AH105" s="47">
        <v>3</v>
      </c>
      <c r="AI105" s="47" t="s">
        <v>1935</v>
      </c>
      <c r="AJ105" s="107" t="s">
        <v>1936</v>
      </c>
      <c r="AK105" s="47" t="s">
        <v>1937</v>
      </c>
      <c r="AL105" s="56" t="s">
        <v>244</v>
      </c>
      <c r="AM105" s="47" t="s">
        <v>88</v>
      </c>
      <c r="AN105" s="47"/>
      <c r="AO105" s="47" t="s">
        <v>1655</v>
      </c>
      <c r="AP105" s="47" t="s">
        <v>641</v>
      </c>
      <c r="AQ105" s="48" t="s">
        <v>1938</v>
      </c>
      <c r="AR105" s="47"/>
      <c r="AS105" s="47" t="s">
        <v>163</v>
      </c>
      <c r="AT105" s="47" t="s">
        <v>343</v>
      </c>
      <c r="AU105" s="47"/>
      <c r="AV105" s="47" t="s">
        <v>1939</v>
      </c>
      <c r="AW105" s="47" t="str">
        <f t="shared" si="47"/>
        <v>Mangunjiwan Permata Asri II L.3, Kel. Mangunjiwan, Kec. Demak, Kab. Demak</v>
      </c>
      <c r="AX105" s="48" t="s">
        <v>1940</v>
      </c>
      <c r="AY105" s="47"/>
      <c r="AZ105" s="47"/>
      <c r="BA105" s="48" t="s">
        <v>1941</v>
      </c>
      <c r="BB105" s="47" t="str">
        <f>C105</f>
        <v>Darul Izzatun Nisa</v>
      </c>
      <c r="BC105" s="47" t="s">
        <v>1942</v>
      </c>
      <c r="BD105" s="47" t="s">
        <v>88</v>
      </c>
      <c r="BE105" s="47" t="s">
        <v>88</v>
      </c>
      <c r="BF105" s="47" t="s">
        <v>88</v>
      </c>
      <c r="BG105" s="47" t="s">
        <v>88</v>
      </c>
      <c r="BH105" s="47" t="s">
        <v>88</v>
      </c>
      <c r="BI105" s="47" t="s">
        <v>88</v>
      </c>
      <c r="BJ105" s="47" t="s">
        <v>88</v>
      </c>
      <c r="BK105" s="47" t="s">
        <v>88</v>
      </c>
      <c r="BL105" s="47" t="s">
        <v>88</v>
      </c>
      <c r="BM105" s="57" t="e">
        <f t="shared" ca="1" si="32"/>
        <v>#VALUE!</v>
      </c>
      <c r="BN105" s="57" t="e">
        <f t="shared" ca="1" si="33"/>
        <v>#VALUE!</v>
      </c>
      <c r="BO105" s="57" t="e">
        <f t="shared" ca="1" si="34"/>
        <v>#VALUE!</v>
      </c>
      <c r="BP105" s="47" t="s">
        <v>88</v>
      </c>
      <c r="BQ105" s="47" t="s">
        <v>88</v>
      </c>
      <c r="BR105" s="47" t="s">
        <v>88</v>
      </c>
      <c r="BS105" s="57" t="e">
        <f t="shared" ca="1" si="35"/>
        <v>#VALUE!</v>
      </c>
      <c r="BT105" s="57" t="e">
        <f t="shared" ca="1" si="36"/>
        <v>#VALUE!</v>
      </c>
      <c r="BU105" s="57" t="e">
        <f t="shared" ca="1" si="37"/>
        <v>#VALUE!</v>
      </c>
      <c r="BV105" s="47" t="s">
        <v>88</v>
      </c>
      <c r="BW105" s="47" t="s">
        <v>88</v>
      </c>
      <c r="BX105" s="47" t="s">
        <v>88</v>
      </c>
      <c r="BY105" s="57" t="e">
        <f t="shared" ca="1" si="38"/>
        <v>#VALUE!</v>
      </c>
      <c r="BZ105" s="57" t="e">
        <f t="shared" ca="1" si="39"/>
        <v>#VALUE!</v>
      </c>
      <c r="CA105" s="57" t="e">
        <f t="shared" ca="1" si="40"/>
        <v>#VALUE!</v>
      </c>
      <c r="CB105" s="47" t="s">
        <v>1943</v>
      </c>
      <c r="CC105" s="105" t="s">
        <v>1944</v>
      </c>
    </row>
    <row r="106" spans="1:81" ht="15" customHeight="1" x14ac:dyDescent="0.25">
      <c r="A106" s="46" t="s">
        <v>1945</v>
      </c>
      <c r="B106" s="47" t="s">
        <v>1946</v>
      </c>
      <c r="C106" s="47" t="s">
        <v>1947</v>
      </c>
      <c r="D106" s="47" t="s">
        <v>175</v>
      </c>
      <c r="E106" s="47" t="s">
        <v>176</v>
      </c>
      <c r="F106" s="47" t="s">
        <v>177</v>
      </c>
      <c r="G106" s="47"/>
      <c r="H106" s="47" t="s">
        <v>178</v>
      </c>
      <c r="I106" s="47" t="s">
        <v>179</v>
      </c>
      <c r="J106" s="47" t="s">
        <v>1948</v>
      </c>
      <c r="K106" s="47" t="s">
        <v>1949</v>
      </c>
      <c r="L106" s="51">
        <v>45659</v>
      </c>
      <c r="M106" s="50">
        <f t="shared" ca="1" si="22"/>
        <v>1</v>
      </c>
      <c r="N106" s="50">
        <f t="shared" ca="1" si="23"/>
        <v>3</v>
      </c>
      <c r="O106" s="50">
        <f t="shared" ca="1" si="24"/>
        <v>20</v>
      </c>
      <c r="P106" s="51">
        <f t="shared" si="25"/>
        <v>55247</v>
      </c>
      <c r="Q106" s="47" t="s">
        <v>181</v>
      </c>
      <c r="R106" s="51">
        <f t="shared" si="46"/>
        <v>45659</v>
      </c>
      <c r="S106" s="51">
        <f>R106+(91-2)</f>
        <v>45748</v>
      </c>
      <c r="T106" s="51">
        <f>S106+1</f>
        <v>45749</v>
      </c>
      <c r="U106" s="51"/>
      <c r="V106" s="47" t="s">
        <v>1948</v>
      </c>
      <c r="W106" s="47" t="s">
        <v>419</v>
      </c>
      <c r="X106" s="106">
        <v>35159</v>
      </c>
      <c r="Y106" s="50">
        <f t="shared" ca="1" si="26"/>
        <v>30</v>
      </c>
      <c r="Z106" s="50">
        <f t="shared" ca="1" si="27"/>
        <v>0</v>
      </c>
      <c r="AA106" s="50">
        <f t="shared" ca="1" si="28"/>
        <v>18</v>
      </c>
      <c r="AB106" s="47"/>
      <c r="AC106" s="53"/>
      <c r="AD106" s="70" t="s">
        <v>185</v>
      </c>
      <c r="AE106" s="47" t="s">
        <v>1950</v>
      </c>
      <c r="AF106" s="47" t="s">
        <v>128</v>
      </c>
      <c r="AG106" s="47"/>
      <c r="AH106" s="47">
        <v>7</v>
      </c>
      <c r="AI106" s="108" t="s">
        <v>1951</v>
      </c>
      <c r="AJ106" s="107" t="s">
        <v>1952</v>
      </c>
      <c r="AK106" s="47" t="s">
        <v>1953</v>
      </c>
      <c r="AL106" s="56" t="s">
        <v>244</v>
      </c>
      <c r="AM106" s="47" t="str">
        <f>AK106</f>
        <v>Jl. AW Syahrani GG. II, Air Hitam, Samarinda</v>
      </c>
      <c r="AN106" s="47"/>
      <c r="AO106" s="47" t="s">
        <v>1655</v>
      </c>
      <c r="AP106" s="47" t="s">
        <v>101</v>
      </c>
      <c r="AQ106" s="48" t="s">
        <v>1954</v>
      </c>
      <c r="AR106" s="47"/>
      <c r="AS106" s="47" t="s">
        <v>163</v>
      </c>
      <c r="AT106" s="47" t="s">
        <v>343</v>
      </c>
      <c r="AU106" s="47"/>
      <c r="AV106" s="47" t="s">
        <v>1955</v>
      </c>
      <c r="AW106" s="47" t="str">
        <f t="shared" si="47"/>
        <v>Jl. AW Syahrani GG. II, Air Hitam, Samarinda</v>
      </c>
      <c r="AX106" s="47"/>
      <c r="AY106" s="47"/>
      <c r="AZ106" s="47"/>
      <c r="BA106" s="47" t="s">
        <v>1956</v>
      </c>
      <c r="BB106" s="47" t="s">
        <v>1947</v>
      </c>
      <c r="BC106" s="47" t="s">
        <v>1957</v>
      </c>
      <c r="BD106" s="47" t="s">
        <v>1958</v>
      </c>
      <c r="BE106" s="47" t="s">
        <v>175</v>
      </c>
      <c r="BF106" s="56">
        <v>35159</v>
      </c>
      <c r="BG106" s="57">
        <f ca="1">DATEDIF(BF106,TODAY(),"Y")</f>
        <v>30</v>
      </c>
      <c r="BH106" s="57">
        <f ca="1">DATEDIF(BF106,TODAY(),"Ym")</f>
        <v>0</v>
      </c>
      <c r="BI106" s="57">
        <f ca="1">DATEDIF(BF106,TODAY(),"md")</f>
        <v>18</v>
      </c>
      <c r="BJ106" s="47"/>
      <c r="BK106" s="47"/>
      <c r="BL106" s="56"/>
      <c r="BM106" s="57">
        <f t="shared" ca="1" si="32"/>
        <v>126</v>
      </c>
      <c r="BN106" s="57">
        <f t="shared" ca="1" si="33"/>
        <v>3</v>
      </c>
      <c r="BO106" s="57">
        <f t="shared" ca="1" si="34"/>
        <v>22</v>
      </c>
      <c r="BP106" s="47"/>
      <c r="BQ106" s="47"/>
      <c r="BR106" s="56"/>
      <c r="BS106" s="57">
        <f t="shared" ca="1" si="35"/>
        <v>126</v>
      </c>
      <c r="BT106" s="57">
        <f t="shared" ca="1" si="36"/>
        <v>3</v>
      </c>
      <c r="BU106" s="57">
        <f t="shared" ca="1" si="37"/>
        <v>22</v>
      </c>
      <c r="BV106" s="47"/>
      <c r="BW106" s="47"/>
      <c r="BX106" s="56"/>
      <c r="BY106" s="57">
        <f t="shared" ca="1" si="38"/>
        <v>126</v>
      </c>
      <c r="BZ106" s="57">
        <f t="shared" ca="1" si="39"/>
        <v>3</v>
      </c>
      <c r="CA106" s="57">
        <f t="shared" ca="1" si="40"/>
        <v>22</v>
      </c>
      <c r="CB106" s="47"/>
      <c r="CC106" s="105" t="s">
        <v>1959</v>
      </c>
    </row>
    <row r="107" spans="1:81" ht="15" customHeight="1" x14ac:dyDescent="0.25">
      <c r="A107" s="46" t="s">
        <v>1960</v>
      </c>
      <c r="B107" s="47" t="s">
        <v>1961</v>
      </c>
      <c r="C107" s="47" t="s">
        <v>1962</v>
      </c>
      <c r="D107" s="47" t="s">
        <v>175</v>
      </c>
      <c r="E107" s="47" t="s">
        <v>630</v>
      </c>
      <c r="F107" s="47" t="s">
        <v>328</v>
      </c>
      <c r="G107" s="47" t="s">
        <v>398</v>
      </c>
      <c r="H107" s="47" t="s">
        <v>399</v>
      </c>
      <c r="I107" s="47" t="s">
        <v>1963</v>
      </c>
      <c r="J107" s="47" t="s">
        <v>110</v>
      </c>
      <c r="K107" s="47" t="s">
        <v>1918</v>
      </c>
      <c r="L107" s="51">
        <v>45698</v>
      </c>
      <c r="M107" s="50">
        <f t="shared" ca="1" si="22"/>
        <v>1</v>
      </c>
      <c r="N107" s="50">
        <f t="shared" ca="1" si="23"/>
        <v>2</v>
      </c>
      <c r="O107" s="50">
        <f t="shared" ca="1" si="24"/>
        <v>12</v>
      </c>
      <c r="P107" s="51">
        <f t="shared" si="25"/>
        <v>57524</v>
      </c>
      <c r="Q107" s="47" t="s">
        <v>1057</v>
      </c>
      <c r="R107" s="51">
        <f t="shared" si="46"/>
        <v>45698</v>
      </c>
      <c r="S107" s="51">
        <f>R107+(181-1)</f>
        <v>45878</v>
      </c>
      <c r="T107" s="51" t="s">
        <v>88</v>
      </c>
      <c r="U107" s="51"/>
      <c r="V107" s="47" t="s">
        <v>459</v>
      </c>
      <c r="W107" s="47" t="s">
        <v>284</v>
      </c>
      <c r="X107" s="106">
        <v>37435</v>
      </c>
      <c r="Y107" s="50">
        <f t="shared" ca="1" si="26"/>
        <v>23</v>
      </c>
      <c r="Z107" s="50">
        <f t="shared" ca="1" si="27"/>
        <v>9</v>
      </c>
      <c r="AA107" s="50">
        <f t="shared" ca="1" si="28"/>
        <v>25</v>
      </c>
      <c r="AB107" s="47"/>
      <c r="AC107" s="53"/>
      <c r="AD107" s="63" t="s">
        <v>152</v>
      </c>
      <c r="AE107" s="47" t="s">
        <v>1964</v>
      </c>
      <c r="AF107" s="47" t="s">
        <v>404</v>
      </c>
      <c r="AG107" s="47"/>
      <c r="AH107" s="47">
        <v>2</v>
      </c>
      <c r="AI107" s="47" t="s">
        <v>1965</v>
      </c>
      <c r="AJ107" s="107" t="s">
        <v>1966</v>
      </c>
      <c r="AK107" s="47" t="s">
        <v>1967</v>
      </c>
      <c r="AL107" s="56" t="s">
        <v>244</v>
      </c>
      <c r="AM107" s="47" t="str">
        <f>AK107</f>
        <v>Komp. Manglayang Sari Blok 9B No 9, RT 02/13, Kel. Palasari, Kec. Cibiru, Kota Bandung, 40615</v>
      </c>
      <c r="AN107" s="47"/>
      <c r="AO107" s="47" t="s">
        <v>1655</v>
      </c>
      <c r="AP107" s="47" t="s">
        <v>641</v>
      </c>
      <c r="AQ107" s="48" t="s">
        <v>1968</v>
      </c>
      <c r="AR107" s="47"/>
      <c r="AS107" s="47" t="s">
        <v>163</v>
      </c>
      <c r="AT107" s="47" t="s">
        <v>272</v>
      </c>
      <c r="AU107" s="47"/>
      <c r="AV107" s="47" t="s">
        <v>1969</v>
      </c>
      <c r="AW107" s="47" t="str">
        <f t="shared" si="47"/>
        <v>Komp. Manglayang Sari Blok 9B No 9, RT 02/13, Kel. Palasari, Kec. Cibiru, Kota Bandung, 40615</v>
      </c>
      <c r="AX107" s="47"/>
      <c r="AY107" s="47"/>
      <c r="AZ107" s="47"/>
      <c r="BA107" s="48" t="s">
        <v>1970</v>
      </c>
      <c r="BB107" s="47" t="s">
        <v>1962</v>
      </c>
      <c r="BC107" s="47" t="s">
        <v>1971</v>
      </c>
      <c r="BD107" s="47"/>
      <c r="BE107" s="47"/>
      <c r="BF107" s="56"/>
      <c r="BG107" s="57">
        <f ca="1">DATEDIF(BF107,TODAY(),"Y")</f>
        <v>126</v>
      </c>
      <c r="BH107" s="57">
        <f ca="1">DATEDIF(BF107,TODAY(),"Ym")</f>
        <v>3</v>
      </c>
      <c r="BI107" s="57">
        <f ca="1">DATEDIF(BF107,TODAY(),"md")</f>
        <v>22</v>
      </c>
      <c r="BJ107" s="47"/>
      <c r="BK107" s="47"/>
      <c r="BL107" s="56"/>
      <c r="BM107" s="57">
        <f t="shared" ca="1" si="32"/>
        <v>126</v>
      </c>
      <c r="BN107" s="57">
        <f t="shared" ca="1" si="33"/>
        <v>3</v>
      </c>
      <c r="BO107" s="57">
        <f t="shared" ca="1" si="34"/>
        <v>22</v>
      </c>
      <c r="BP107" s="47"/>
      <c r="BQ107" s="47"/>
      <c r="BR107" s="56"/>
      <c r="BS107" s="57">
        <f t="shared" ca="1" si="35"/>
        <v>126</v>
      </c>
      <c r="BT107" s="57">
        <f t="shared" ca="1" si="36"/>
        <v>3</v>
      </c>
      <c r="BU107" s="57">
        <f t="shared" ca="1" si="37"/>
        <v>22</v>
      </c>
      <c r="BV107" s="47"/>
      <c r="BW107" s="47"/>
      <c r="BX107" s="56"/>
      <c r="BY107" s="57">
        <f t="shared" ca="1" si="38"/>
        <v>126</v>
      </c>
      <c r="BZ107" s="57">
        <f t="shared" ca="1" si="39"/>
        <v>3</v>
      </c>
      <c r="CA107" s="57">
        <f t="shared" ca="1" si="40"/>
        <v>22</v>
      </c>
      <c r="CB107" s="47" t="s">
        <v>1972</v>
      </c>
      <c r="CC107" s="47"/>
    </row>
    <row r="108" spans="1:81" ht="15" customHeight="1" x14ac:dyDescent="0.25">
      <c r="A108" s="46" t="s">
        <v>1973</v>
      </c>
      <c r="B108" s="47" t="s">
        <v>1974</v>
      </c>
      <c r="C108" s="47" t="s">
        <v>1975</v>
      </c>
      <c r="D108" s="47" t="s">
        <v>86</v>
      </c>
      <c r="E108" s="47" t="s">
        <v>630</v>
      </c>
      <c r="F108" s="47" t="s">
        <v>328</v>
      </c>
      <c r="G108" s="47" t="s">
        <v>398</v>
      </c>
      <c r="H108" s="47" t="s">
        <v>1192</v>
      </c>
      <c r="I108" s="47" t="s">
        <v>1193</v>
      </c>
      <c r="J108" s="47" t="s">
        <v>110</v>
      </c>
      <c r="K108" s="47" t="s">
        <v>1949</v>
      </c>
      <c r="L108" s="51">
        <v>45706</v>
      </c>
      <c r="M108" s="50">
        <f t="shared" ca="1" si="22"/>
        <v>1</v>
      </c>
      <c r="N108" s="50">
        <f t="shared" ca="1" si="23"/>
        <v>2</v>
      </c>
      <c r="O108" s="50">
        <f t="shared" ca="1" si="24"/>
        <v>4</v>
      </c>
      <c r="P108" s="51">
        <f t="shared" si="25"/>
        <v>57251</v>
      </c>
      <c r="Q108" s="47" t="s">
        <v>181</v>
      </c>
      <c r="R108" s="51">
        <f t="shared" si="46"/>
        <v>45706</v>
      </c>
      <c r="S108" s="51">
        <f>R108+(89-1)</f>
        <v>45794</v>
      </c>
      <c r="T108" s="51">
        <f t="shared" ref="T108:T138" si="48">S108+1</f>
        <v>45795</v>
      </c>
      <c r="U108" s="51"/>
      <c r="V108" s="47" t="s">
        <v>1976</v>
      </c>
      <c r="W108" s="47" t="s">
        <v>210</v>
      </c>
      <c r="X108" s="106">
        <v>37162</v>
      </c>
      <c r="Y108" s="50">
        <f t="shared" ca="1" si="26"/>
        <v>24</v>
      </c>
      <c r="Z108" s="50">
        <f t="shared" ca="1" si="27"/>
        <v>6</v>
      </c>
      <c r="AA108" s="50">
        <f t="shared" ca="1" si="28"/>
        <v>25</v>
      </c>
      <c r="AB108" s="47"/>
      <c r="AC108" s="53"/>
      <c r="AD108" s="70" t="s">
        <v>185</v>
      </c>
      <c r="AE108" s="47" t="s">
        <v>1977</v>
      </c>
      <c r="AF108" s="47" t="s">
        <v>554</v>
      </c>
      <c r="AG108" s="47"/>
      <c r="AH108" s="47">
        <v>0</v>
      </c>
      <c r="AI108" s="48" t="s">
        <v>88</v>
      </c>
      <c r="AJ108" s="107" t="s">
        <v>1978</v>
      </c>
      <c r="AK108" s="47" t="s">
        <v>1979</v>
      </c>
      <c r="AL108" s="56" t="s">
        <v>244</v>
      </c>
      <c r="AM108" s="47" t="str">
        <f>AK108</f>
        <v>Jl. Pondok Ayu Komplek Griya Megah Blok Adelia No.04, Kota Banjarbaru, Provinsi Kalimantan selatan, 70714</v>
      </c>
      <c r="AN108" s="47"/>
      <c r="AO108" s="47" t="s">
        <v>1655</v>
      </c>
      <c r="AP108" s="47" t="s">
        <v>641</v>
      </c>
      <c r="AQ108" s="48" t="s">
        <v>1980</v>
      </c>
      <c r="AR108" s="47"/>
      <c r="AS108" s="47" t="s">
        <v>163</v>
      </c>
      <c r="AT108" s="47" t="s">
        <v>194</v>
      </c>
      <c r="AU108" s="47"/>
      <c r="AV108" s="48" t="s">
        <v>88</v>
      </c>
      <c r="AW108" s="47" t="str">
        <f t="shared" si="47"/>
        <v>Jl. Pondok Ayu Komplek Griya Megah Blok Adelia No.04, Kota Banjarbaru, Provinsi Kalimantan selatan, 70714</v>
      </c>
      <c r="AX108" s="47"/>
      <c r="AY108" s="47"/>
      <c r="AZ108" s="47"/>
      <c r="BA108" s="48" t="s">
        <v>1981</v>
      </c>
      <c r="BB108" s="47" t="s">
        <v>1982</v>
      </c>
      <c r="BC108" s="47" t="s">
        <v>1983</v>
      </c>
      <c r="BD108" s="47"/>
      <c r="BE108" s="47"/>
      <c r="BF108" s="56"/>
      <c r="BG108" s="57">
        <f ca="1">DATEDIF(BF108,TODAY(),"Y")</f>
        <v>126</v>
      </c>
      <c r="BH108" s="57">
        <f ca="1">DATEDIF(BF108,TODAY(),"Ym")</f>
        <v>3</v>
      </c>
      <c r="BI108" s="57">
        <f ca="1">DATEDIF(BF108,TODAY(),"md")</f>
        <v>22</v>
      </c>
      <c r="BJ108" s="47"/>
      <c r="BK108" s="47"/>
      <c r="BL108" s="56"/>
      <c r="BM108" s="57">
        <f t="shared" ca="1" si="32"/>
        <v>126</v>
      </c>
      <c r="BN108" s="57">
        <f t="shared" ca="1" si="33"/>
        <v>3</v>
      </c>
      <c r="BO108" s="57">
        <f t="shared" ca="1" si="34"/>
        <v>22</v>
      </c>
      <c r="BP108" s="47"/>
      <c r="BQ108" s="47"/>
      <c r="BR108" s="56"/>
      <c r="BS108" s="57">
        <f t="shared" ca="1" si="35"/>
        <v>126</v>
      </c>
      <c r="BT108" s="57">
        <f t="shared" ca="1" si="36"/>
        <v>3</v>
      </c>
      <c r="BU108" s="57">
        <f t="shared" ca="1" si="37"/>
        <v>22</v>
      </c>
      <c r="BV108" s="47"/>
      <c r="BW108" s="47"/>
      <c r="BX108" s="56"/>
      <c r="BY108" s="57">
        <f t="shared" ca="1" si="38"/>
        <v>126</v>
      </c>
      <c r="BZ108" s="57">
        <f t="shared" ca="1" si="39"/>
        <v>3</v>
      </c>
      <c r="CA108" s="57">
        <f t="shared" ca="1" si="40"/>
        <v>22</v>
      </c>
      <c r="CB108" s="47" t="s">
        <v>1984</v>
      </c>
      <c r="CC108" s="47"/>
    </row>
    <row r="109" spans="1:81" ht="15" customHeight="1" x14ac:dyDescent="0.25">
      <c r="A109" s="46" t="s">
        <v>1985</v>
      </c>
      <c r="B109" s="47" t="s">
        <v>1986</v>
      </c>
      <c r="C109" s="47" t="s">
        <v>1987</v>
      </c>
      <c r="D109" s="47" t="s">
        <v>175</v>
      </c>
      <c r="E109" s="47" t="s">
        <v>630</v>
      </c>
      <c r="F109" s="47" t="s">
        <v>328</v>
      </c>
      <c r="G109" s="47" t="s">
        <v>398</v>
      </c>
      <c r="H109" s="47" t="s">
        <v>631</v>
      </c>
      <c r="I109" s="47" t="s">
        <v>1988</v>
      </c>
      <c r="J109" s="47" t="s">
        <v>110</v>
      </c>
      <c r="K109" s="47" t="s">
        <v>1949</v>
      </c>
      <c r="L109" s="106">
        <v>45726</v>
      </c>
      <c r="M109" s="50">
        <f t="shared" ca="1" si="22"/>
        <v>1</v>
      </c>
      <c r="N109" s="50">
        <f t="shared" ca="1" si="23"/>
        <v>1</v>
      </c>
      <c r="O109" s="50">
        <f t="shared" ca="1" si="24"/>
        <v>12</v>
      </c>
      <c r="P109" s="51">
        <f t="shared" si="25"/>
        <v>57260</v>
      </c>
      <c r="Q109" s="47" t="s">
        <v>181</v>
      </c>
      <c r="R109" s="51">
        <f t="shared" si="46"/>
        <v>45726</v>
      </c>
      <c r="S109" s="51">
        <f>R109+(91)</f>
        <v>45817</v>
      </c>
      <c r="T109" s="51">
        <f t="shared" si="48"/>
        <v>45818</v>
      </c>
      <c r="U109" s="51"/>
      <c r="V109" s="47" t="s">
        <v>1989</v>
      </c>
      <c r="W109" s="47" t="s">
        <v>529</v>
      </c>
      <c r="X109" s="106">
        <v>37171</v>
      </c>
      <c r="Y109" s="50">
        <f t="shared" ca="1" si="26"/>
        <v>24</v>
      </c>
      <c r="Z109" s="50">
        <f t="shared" ca="1" si="27"/>
        <v>6</v>
      </c>
      <c r="AA109" s="50">
        <f t="shared" ca="1" si="28"/>
        <v>15</v>
      </c>
      <c r="AB109" s="47"/>
      <c r="AC109" s="53"/>
      <c r="AD109" s="70" t="s">
        <v>185</v>
      </c>
      <c r="AE109" s="108" t="s">
        <v>1990</v>
      </c>
      <c r="AF109" s="47" t="s">
        <v>554</v>
      </c>
      <c r="AG109" s="47"/>
      <c r="AH109" s="47">
        <v>0</v>
      </c>
      <c r="AI109" s="47"/>
      <c r="AJ109" s="107" t="s">
        <v>1991</v>
      </c>
      <c r="AK109" s="108" t="s">
        <v>1992</v>
      </c>
      <c r="AL109" s="56" t="s">
        <v>244</v>
      </c>
      <c r="AM109" s="47" t="str">
        <f>AK109</f>
        <v>Kampung V Koto, Balah Hilir, Kec. Lubuk Alung, Kab. Padang Pariaman</v>
      </c>
      <c r="AN109" s="47"/>
      <c r="AO109" s="47" t="s">
        <v>1655</v>
      </c>
      <c r="AP109" s="47" t="s">
        <v>641</v>
      </c>
      <c r="AQ109" s="48" t="s">
        <v>1993</v>
      </c>
      <c r="AR109" s="47"/>
      <c r="AS109" s="47" t="s">
        <v>163</v>
      </c>
      <c r="AT109" s="47" t="s">
        <v>194</v>
      </c>
      <c r="AU109" s="47"/>
      <c r="AV109" s="48" t="s">
        <v>1991</v>
      </c>
      <c r="AW109" s="47" t="str">
        <f t="shared" si="47"/>
        <v>Kampung V Koto, Balah Hilir, Kec. Lubuk Alung, Kab. Padang Pariaman</v>
      </c>
      <c r="AX109" s="47"/>
      <c r="AY109" s="47"/>
      <c r="AZ109" s="47"/>
      <c r="BA109" s="48" t="s">
        <v>1994</v>
      </c>
      <c r="BB109" s="47" t="s">
        <v>1987</v>
      </c>
      <c r="BC109" s="108" t="s">
        <v>1995</v>
      </c>
      <c r="BD109" s="47"/>
      <c r="BE109" s="47"/>
      <c r="BF109" s="56"/>
      <c r="BG109" s="47"/>
      <c r="BH109" s="47"/>
      <c r="BI109" s="47"/>
      <c r="BJ109" s="47"/>
      <c r="BK109" s="47"/>
      <c r="BL109" s="56"/>
      <c r="BM109" s="57">
        <f t="shared" ca="1" si="32"/>
        <v>126</v>
      </c>
      <c r="BN109" s="57">
        <f t="shared" ca="1" si="33"/>
        <v>3</v>
      </c>
      <c r="BO109" s="57">
        <f t="shared" ca="1" si="34"/>
        <v>22</v>
      </c>
      <c r="BP109" s="47"/>
      <c r="BQ109" s="47"/>
      <c r="BR109" s="56"/>
      <c r="BS109" s="57">
        <f t="shared" ca="1" si="35"/>
        <v>126</v>
      </c>
      <c r="BT109" s="57">
        <f t="shared" ca="1" si="36"/>
        <v>3</v>
      </c>
      <c r="BU109" s="57">
        <f t="shared" ca="1" si="37"/>
        <v>22</v>
      </c>
      <c r="BV109" s="47"/>
      <c r="BW109" s="47"/>
      <c r="BX109" s="56"/>
      <c r="BY109" s="57">
        <f t="shared" ca="1" si="38"/>
        <v>126</v>
      </c>
      <c r="BZ109" s="57">
        <f t="shared" ca="1" si="39"/>
        <v>3</v>
      </c>
      <c r="CA109" s="57">
        <f t="shared" ca="1" si="40"/>
        <v>22</v>
      </c>
      <c r="CB109" s="108" t="s">
        <v>1996</v>
      </c>
      <c r="CC109" s="47"/>
    </row>
    <row r="110" spans="1:81" ht="15" customHeight="1" x14ac:dyDescent="0.25">
      <c r="A110" s="46" t="s">
        <v>1997</v>
      </c>
      <c r="B110" s="47" t="s">
        <v>1998</v>
      </c>
      <c r="C110" s="47" t="s">
        <v>1999</v>
      </c>
      <c r="D110" s="47" t="s">
        <v>175</v>
      </c>
      <c r="E110" s="47" t="s">
        <v>233</v>
      </c>
      <c r="F110" s="47" t="s">
        <v>548</v>
      </c>
      <c r="G110" s="47"/>
      <c r="H110" s="47" t="s">
        <v>2000</v>
      </c>
      <c r="I110" s="47" t="s">
        <v>1502</v>
      </c>
      <c r="J110" s="47" t="s">
        <v>90</v>
      </c>
      <c r="K110" s="47" t="s">
        <v>1949</v>
      </c>
      <c r="L110" s="106">
        <v>45733</v>
      </c>
      <c r="M110" s="50">
        <f t="shared" ca="1" si="22"/>
        <v>1</v>
      </c>
      <c r="N110" s="50">
        <f t="shared" ca="1" si="23"/>
        <v>1</v>
      </c>
      <c r="O110" s="50">
        <f t="shared" ca="1" si="24"/>
        <v>5</v>
      </c>
      <c r="P110" s="51">
        <f t="shared" si="25"/>
        <v>48926</v>
      </c>
      <c r="Q110" s="47" t="s">
        <v>181</v>
      </c>
      <c r="R110" s="51">
        <f t="shared" si="46"/>
        <v>45733</v>
      </c>
      <c r="S110" s="51">
        <f>R110+(91)</f>
        <v>45824</v>
      </c>
      <c r="T110" s="51">
        <f t="shared" si="48"/>
        <v>45825</v>
      </c>
      <c r="U110" s="51"/>
      <c r="V110" s="47" t="s">
        <v>90</v>
      </c>
      <c r="W110" s="47" t="s">
        <v>333</v>
      </c>
      <c r="X110" s="106">
        <v>28837</v>
      </c>
      <c r="Y110" s="50">
        <f t="shared" ca="1" si="26"/>
        <v>47</v>
      </c>
      <c r="Z110" s="50">
        <f t="shared" ca="1" si="27"/>
        <v>4</v>
      </c>
      <c r="AA110" s="50">
        <f t="shared" ca="1" si="28"/>
        <v>9</v>
      </c>
      <c r="AB110" s="47"/>
      <c r="AC110" s="53"/>
      <c r="AD110" s="70" t="s">
        <v>185</v>
      </c>
      <c r="AE110" s="47" t="s">
        <v>849</v>
      </c>
      <c r="AF110" s="47" t="s">
        <v>554</v>
      </c>
      <c r="AG110" s="47"/>
      <c r="AH110" s="47">
        <v>21</v>
      </c>
      <c r="AI110" s="47" t="s">
        <v>2001</v>
      </c>
      <c r="AJ110" s="107" t="s">
        <v>2002</v>
      </c>
      <c r="AK110" s="47" t="s">
        <v>2003</v>
      </c>
      <c r="AL110" s="56" t="s">
        <v>244</v>
      </c>
      <c r="AM110" s="47" t="str">
        <f>AK110</f>
        <v>Jl. Manunggal XIII No. 2B RT 05/RW 02, Balekambang, Kramat Jati, Jakarta Timur 13530</v>
      </c>
      <c r="AN110" s="47"/>
      <c r="AO110" s="47" t="s">
        <v>1655</v>
      </c>
      <c r="AP110" s="47" t="s">
        <v>101</v>
      </c>
      <c r="AQ110" s="48" t="s">
        <v>2004</v>
      </c>
      <c r="AR110" s="47"/>
      <c r="AS110" s="47" t="s">
        <v>163</v>
      </c>
      <c r="AT110" s="47" t="s">
        <v>194</v>
      </c>
      <c r="AU110" s="47"/>
      <c r="AV110" s="47" t="s">
        <v>2005</v>
      </c>
      <c r="AW110" s="47" t="str">
        <f t="shared" si="47"/>
        <v>Jl. Manunggal XIII No. 2B RT 05/RW 02, Balekambang, Kramat Jati, Jakarta Timur 13530</v>
      </c>
      <c r="AX110" s="47"/>
      <c r="AY110" s="47"/>
      <c r="AZ110" s="47"/>
      <c r="BA110" s="48" t="s">
        <v>2006</v>
      </c>
      <c r="BB110" s="47" t="s">
        <v>2007</v>
      </c>
      <c r="BC110" s="47" t="s">
        <v>2008</v>
      </c>
      <c r="BD110" s="47" t="s">
        <v>2009</v>
      </c>
      <c r="BE110" s="47" t="s">
        <v>86</v>
      </c>
      <c r="BF110" s="56">
        <v>27943</v>
      </c>
      <c r="BG110" s="57">
        <f ca="1">DATEDIF(BF110,TODAY(),"Y")</f>
        <v>49</v>
      </c>
      <c r="BH110" s="57">
        <f ca="1">DATEDIF(BF110,TODAY(),"Ym")</f>
        <v>9</v>
      </c>
      <c r="BI110" s="57">
        <f ca="1">DATEDIF(BF110,TODAY(),"md")</f>
        <v>20</v>
      </c>
      <c r="BJ110" s="47" t="s">
        <v>2010</v>
      </c>
      <c r="BK110" s="47" t="s">
        <v>86</v>
      </c>
      <c r="BL110" s="56">
        <v>43164</v>
      </c>
      <c r="BM110" s="57">
        <f t="shared" ca="1" si="32"/>
        <v>8</v>
      </c>
      <c r="BN110" s="57">
        <f t="shared" ca="1" si="33"/>
        <v>1</v>
      </c>
      <c r="BO110" s="57">
        <f t="shared" ca="1" si="34"/>
        <v>17</v>
      </c>
      <c r="BP110" s="47"/>
      <c r="BQ110" s="47"/>
      <c r="BR110" s="56"/>
      <c r="BS110" s="57">
        <f t="shared" ca="1" si="35"/>
        <v>126</v>
      </c>
      <c r="BT110" s="57">
        <f t="shared" ca="1" si="36"/>
        <v>3</v>
      </c>
      <c r="BU110" s="57">
        <f t="shared" ca="1" si="37"/>
        <v>22</v>
      </c>
      <c r="BV110" s="47"/>
      <c r="BW110" s="47"/>
      <c r="BX110" s="56"/>
      <c r="BY110" s="57">
        <f t="shared" ca="1" si="38"/>
        <v>126</v>
      </c>
      <c r="BZ110" s="57">
        <f t="shared" ca="1" si="39"/>
        <v>3</v>
      </c>
      <c r="CA110" s="57">
        <f t="shared" ca="1" si="40"/>
        <v>22</v>
      </c>
      <c r="CB110" s="109" t="s">
        <v>2011</v>
      </c>
      <c r="CC110" s="105" t="s">
        <v>2012</v>
      </c>
    </row>
    <row r="111" spans="1:81" ht="15" customHeight="1" x14ac:dyDescent="0.25">
      <c r="A111" s="46" t="s">
        <v>2013</v>
      </c>
      <c r="B111" s="47" t="s">
        <v>2014</v>
      </c>
      <c r="C111" s="47" t="s">
        <v>2015</v>
      </c>
      <c r="D111" s="47" t="s">
        <v>86</v>
      </c>
      <c r="E111" s="59" t="s">
        <v>146</v>
      </c>
      <c r="F111" s="47" t="s">
        <v>328</v>
      </c>
      <c r="G111" s="47" t="s">
        <v>329</v>
      </c>
      <c r="H111" s="47" t="s">
        <v>865</v>
      </c>
      <c r="I111" s="47" t="s">
        <v>2016</v>
      </c>
      <c r="J111" s="47" t="s">
        <v>110</v>
      </c>
      <c r="K111" s="47" t="s">
        <v>1949</v>
      </c>
      <c r="L111" s="106">
        <v>45733</v>
      </c>
      <c r="M111" s="50">
        <f t="shared" ca="1" si="22"/>
        <v>1</v>
      </c>
      <c r="N111" s="50">
        <f t="shared" ca="1" si="23"/>
        <v>1</v>
      </c>
      <c r="O111" s="50">
        <f t="shared" ca="1" si="24"/>
        <v>5</v>
      </c>
      <c r="P111" s="51">
        <f t="shared" si="25"/>
        <v>56597</v>
      </c>
      <c r="Q111" s="47" t="s">
        <v>181</v>
      </c>
      <c r="R111" s="51">
        <f t="shared" si="46"/>
        <v>45733</v>
      </c>
      <c r="S111" s="51">
        <f>R111+(91)</f>
        <v>45824</v>
      </c>
      <c r="T111" s="51">
        <f t="shared" si="48"/>
        <v>45825</v>
      </c>
      <c r="U111" s="51"/>
      <c r="V111" s="47" t="s">
        <v>1919</v>
      </c>
      <c r="W111" s="47" t="s">
        <v>333</v>
      </c>
      <c r="X111" s="106">
        <v>36508</v>
      </c>
      <c r="Y111" s="50">
        <f t="shared" ca="1" si="26"/>
        <v>26</v>
      </c>
      <c r="Z111" s="50">
        <f t="shared" ca="1" si="27"/>
        <v>4</v>
      </c>
      <c r="AA111" s="50">
        <f t="shared" ca="1" si="28"/>
        <v>8</v>
      </c>
      <c r="AB111" s="47"/>
      <c r="AC111" s="53"/>
      <c r="AD111" s="63" t="s">
        <v>152</v>
      </c>
      <c r="AE111" s="108" t="s">
        <v>2017</v>
      </c>
      <c r="AF111" s="47" t="s">
        <v>2018</v>
      </c>
      <c r="AG111" s="47"/>
      <c r="AH111" s="47">
        <v>5</v>
      </c>
      <c r="AI111" s="47" t="s">
        <v>2019</v>
      </c>
      <c r="AJ111" s="107" t="s">
        <v>2020</v>
      </c>
      <c r="AK111" s="47" t="s">
        <v>2021</v>
      </c>
      <c r="AL111" s="56" t="s">
        <v>244</v>
      </c>
      <c r="AM111" s="47" t="s">
        <v>2022</v>
      </c>
      <c r="AN111" s="47"/>
      <c r="AO111" s="47" t="s">
        <v>1655</v>
      </c>
      <c r="AP111" s="47" t="s">
        <v>641</v>
      </c>
      <c r="AQ111" s="48" t="s">
        <v>2023</v>
      </c>
      <c r="AR111" s="47"/>
      <c r="AS111" s="47" t="s">
        <v>163</v>
      </c>
      <c r="AT111" s="47" t="s">
        <v>194</v>
      </c>
      <c r="AU111" s="47"/>
      <c r="AV111" s="48" t="s">
        <v>2024</v>
      </c>
      <c r="AW111" s="47" t="str">
        <f t="shared" si="47"/>
        <v>DK.Mungguhan RT.13.RW.01, Kel. Winduaji, Kec.Paguyangan, Kab. Brebes, Jawa Tengah, 52276</v>
      </c>
      <c r="AX111" s="47"/>
      <c r="AY111" s="47"/>
      <c r="AZ111" s="47"/>
      <c r="BA111" s="48" t="s">
        <v>2025</v>
      </c>
      <c r="BB111" s="47" t="s">
        <v>2026</v>
      </c>
      <c r="BC111" s="47" t="s">
        <v>2027</v>
      </c>
      <c r="BD111" s="47"/>
      <c r="BE111" s="47"/>
      <c r="BF111" s="56"/>
      <c r="BG111" s="47"/>
      <c r="BH111" s="47"/>
      <c r="BI111" s="47"/>
      <c r="BJ111" s="47"/>
      <c r="BK111" s="47"/>
      <c r="BL111" s="56"/>
      <c r="BM111" s="57">
        <f t="shared" ca="1" si="32"/>
        <v>126</v>
      </c>
      <c r="BN111" s="57">
        <f t="shared" ca="1" si="33"/>
        <v>3</v>
      </c>
      <c r="BO111" s="57">
        <f t="shared" ca="1" si="34"/>
        <v>22</v>
      </c>
      <c r="BP111" s="47"/>
      <c r="BQ111" s="47"/>
      <c r="BR111" s="56"/>
      <c r="BS111" s="57">
        <f t="shared" ca="1" si="35"/>
        <v>126</v>
      </c>
      <c r="BT111" s="57">
        <f t="shared" ca="1" si="36"/>
        <v>3</v>
      </c>
      <c r="BU111" s="57">
        <f t="shared" ca="1" si="37"/>
        <v>22</v>
      </c>
      <c r="BV111" s="47"/>
      <c r="BW111" s="47"/>
      <c r="BX111" s="56"/>
      <c r="BY111" s="57">
        <f t="shared" ca="1" si="38"/>
        <v>126</v>
      </c>
      <c r="BZ111" s="57">
        <f t="shared" ca="1" si="39"/>
        <v>3</v>
      </c>
      <c r="CA111" s="57">
        <f t="shared" ca="1" si="40"/>
        <v>22</v>
      </c>
      <c r="CB111" s="108" t="s">
        <v>2028</v>
      </c>
      <c r="CC111" s="47"/>
    </row>
    <row r="112" spans="1:81" ht="15" customHeight="1" x14ac:dyDescent="0.25">
      <c r="A112" s="46" t="s">
        <v>2029</v>
      </c>
      <c r="B112" s="47" t="s">
        <v>2030</v>
      </c>
      <c r="C112" s="47" t="s">
        <v>2031</v>
      </c>
      <c r="D112" s="47" t="s">
        <v>175</v>
      </c>
      <c r="E112" s="47" t="s">
        <v>630</v>
      </c>
      <c r="F112" s="47" t="s">
        <v>328</v>
      </c>
      <c r="G112" s="47" t="s">
        <v>398</v>
      </c>
      <c r="H112" s="47" t="s">
        <v>399</v>
      </c>
      <c r="I112" s="47" t="s">
        <v>1963</v>
      </c>
      <c r="J112" s="47" t="s">
        <v>110</v>
      </c>
      <c r="K112" s="47" t="s">
        <v>1949</v>
      </c>
      <c r="L112" s="106">
        <v>45736</v>
      </c>
      <c r="M112" s="50">
        <f t="shared" ca="1" si="22"/>
        <v>1</v>
      </c>
      <c r="N112" s="50">
        <f t="shared" ca="1" si="23"/>
        <v>1</v>
      </c>
      <c r="O112" s="50">
        <f t="shared" ca="1" si="24"/>
        <v>2</v>
      </c>
      <c r="P112" s="51">
        <f t="shared" si="25"/>
        <v>57230</v>
      </c>
      <c r="Q112" s="47" t="s">
        <v>181</v>
      </c>
      <c r="R112" s="51">
        <f t="shared" si="46"/>
        <v>45736</v>
      </c>
      <c r="S112" s="51">
        <f>R112+(91)</f>
        <v>45827</v>
      </c>
      <c r="T112" s="51">
        <f t="shared" si="48"/>
        <v>45828</v>
      </c>
      <c r="U112" s="51"/>
      <c r="V112" s="47" t="s">
        <v>2032</v>
      </c>
      <c r="W112" s="47" t="s">
        <v>210</v>
      </c>
      <c r="X112" s="106">
        <v>37141</v>
      </c>
      <c r="Y112" s="50">
        <f t="shared" ca="1" si="26"/>
        <v>24</v>
      </c>
      <c r="Z112" s="50">
        <f t="shared" ca="1" si="27"/>
        <v>7</v>
      </c>
      <c r="AA112" s="50">
        <f t="shared" ca="1" si="28"/>
        <v>15</v>
      </c>
      <c r="AB112" s="47"/>
      <c r="AC112" s="53"/>
      <c r="AD112" s="70" t="s">
        <v>185</v>
      </c>
      <c r="AE112" s="47" t="s">
        <v>1990</v>
      </c>
      <c r="AF112" s="47" t="s">
        <v>554</v>
      </c>
      <c r="AG112" s="47"/>
      <c r="AH112" s="47">
        <v>0</v>
      </c>
      <c r="AI112" s="47"/>
      <c r="AJ112" s="107" t="s">
        <v>2033</v>
      </c>
      <c r="AK112" s="47" t="s">
        <v>2034</v>
      </c>
      <c r="AL112" s="56" t="s">
        <v>244</v>
      </c>
      <c r="AM112" s="47" t="s">
        <v>2022</v>
      </c>
      <c r="AN112" s="47"/>
      <c r="AO112" s="47" t="s">
        <v>1655</v>
      </c>
      <c r="AP112" s="47" t="s">
        <v>641</v>
      </c>
      <c r="AQ112" s="48" t="s">
        <v>2035</v>
      </c>
      <c r="AR112" s="47"/>
      <c r="AS112" s="47" t="s">
        <v>163</v>
      </c>
      <c r="AT112" s="47" t="s">
        <v>194</v>
      </c>
      <c r="AU112" s="47"/>
      <c r="AV112" s="47"/>
      <c r="AW112" s="47" t="str">
        <f t="shared" si="47"/>
        <v>Talang Pantai, Kecamatan Bungo Dani, Kabupaten Bungo, Jambi, 37213</v>
      </c>
      <c r="AX112" s="47"/>
      <c r="AY112" s="47"/>
      <c r="AZ112" s="47"/>
      <c r="BA112" s="48" t="s">
        <v>2036</v>
      </c>
      <c r="BB112" s="47" t="s">
        <v>2031</v>
      </c>
      <c r="BC112" s="47" t="s">
        <v>2037</v>
      </c>
      <c r="BD112" s="47"/>
      <c r="BE112" s="47"/>
      <c r="BF112" s="56"/>
      <c r="BG112" s="47"/>
      <c r="BH112" s="47"/>
      <c r="BI112" s="47"/>
      <c r="BJ112" s="47"/>
      <c r="BK112" s="47"/>
      <c r="BL112" s="56"/>
      <c r="BM112" s="57">
        <f t="shared" ca="1" si="32"/>
        <v>126</v>
      </c>
      <c r="BN112" s="57">
        <f t="shared" ca="1" si="33"/>
        <v>3</v>
      </c>
      <c r="BO112" s="57">
        <f t="shared" ca="1" si="34"/>
        <v>22</v>
      </c>
      <c r="BP112" s="47"/>
      <c r="BQ112" s="47"/>
      <c r="BR112" s="56"/>
      <c r="BS112" s="57">
        <f t="shared" ca="1" si="35"/>
        <v>126</v>
      </c>
      <c r="BT112" s="57">
        <f t="shared" ca="1" si="36"/>
        <v>3</v>
      </c>
      <c r="BU112" s="57">
        <f t="shared" ca="1" si="37"/>
        <v>22</v>
      </c>
      <c r="BV112" s="47"/>
      <c r="BW112" s="47"/>
      <c r="BX112" s="56"/>
      <c r="BY112" s="57">
        <f t="shared" ca="1" si="38"/>
        <v>126</v>
      </c>
      <c r="BZ112" s="57">
        <f t="shared" ca="1" si="39"/>
        <v>3</v>
      </c>
      <c r="CA112" s="57">
        <f t="shared" ca="1" si="40"/>
        <v>22</v>
      </c>
      <c r="CB112" s="47" t="s">
        <v>2038</v>
      </c>
      <c r="CC112" s="47"/>
    </row>
    <row r="113" spans="1:81" ht="15" customHeight="1" x14ac:dyDescent="0.25">
      <c r="A113" s="46" t="s">
        <v>2039</v>
      </c>
      <c r="B113" s="47" t="s">
        <v>2040</v>
      </c>
      <c r="C113" s="47" t="s">
        <v>2041</v>
      </c>
      <c r="D113" s="47" t="s">
        <v>175</v>
      </c>
      <c r="E113" s="47" t="s">
        <v>176</v>
      </c>
      <c r="F113" s="47" t="s">
        <v>548</v>
      </c>
      <c r="G113" s="47"/>
      <c r="H113" s="47" t="s">
        <v>2042</v>
      </c>
      <c r="I113" s="47" t="s">
        <v>2043</v>
      </c>
      <c r="J113" s="47" t="s">
        <v>90</v>
      </c>
      <c r="K113" s="47" t="s">
        <v>91</v>
      </c>
      <c r="L113" s="106">
        <v>45768</v>
      </c>
      <c r="M113" s="50">
        <f t="shared" ca="1" si="22"/>
        <v>1</v>
      </c>
      <c r="N113" s="50">
        <f t="shared" ca="1" si="23"/>
        <v>0</v>
      </c>
      <c r="O113" s="50">
        <f t="shared" ca="1" si="24"/>
        <v>1</v>
      </c>
      <c r="P113" s="51">
        <f t="shared" si="25"/>
        <v>56300</v>
      </c>
      <c r="Q113" s="47" t="s">
        <v>181</v>
      </c>
      <c r="R113" s="51">
        <f t="shared" si="46"/>
        <v>45768</v>
      </c>
      <c r="S113" s="51">
        <f>R113+(90)</f>
        <v>45858</v>
      </c>
      <c r="T113" s="51">
        <f t="shared" si="48"/>
        <v>45859</v>
      </c>
      <c r="U113" s="51"/>
      <c r="V113" s="47" t="s">
        <v>90</v>
      </c>
      <c r="W113" s="47" t="s">
        <v>93</v>
      </c>
      <c r="X113" s="106">
        <v>36211</v>
      </c>
      <c r="Y113" s="50">
        <f t="shared" ca="1" si="26"/>
        <v>27</v>
      </c>
      <c r="Z113" s="50">
        <f t="shared" ca="1" si="27"/>
        <v>2</v>
      </c>
      <c r="AA113" s="50">
        <f t="shared" ca="1" si="28"/>
        <v>2</v>
      </c>
      <c r="AB113" s="47"/>
      <c r="AC113" s="53"/>
      <c r="AD113" s="70" t="s">
        <v>185</v>
      </c>
      <c r="AE113" s="47" t="s">
        <v>2044</v>
      </c>
      <c r="AF113" s="47" t="s">
        <v>554</v>
      </c>
      <c r="AG113" s="47"/>
      <c r="AH113" s="47">
        <v>5</v>
      </c>
      <c r="AI113" s="47" t="s">
        <v>591</v>
      </c>
      <c r="AJ113" s="107" t="s">
        <v>2045</v>
      </c>
      <c r="AK113" s="47" t="s">
        <v>2046</v>
      </c>
      <c r="AL113" s="56" t="s">
        <v>244</v>
      </c>
      <c r="AM113" s="47" t="s">
        <v>2046</v>
      </c>
      <c r="AN113" s="47"/>
      <c r="AO113" s="47" t="s">
        <v>1655</v>
      </c>
      <c r="AP113" s="47" t="s">
        <v>641</v>
      </c>
      <c r="AQ113" s="48" t="s">
        <v>2047</v>
      </c>
      <c r="AR113" s="47"/>
      <c r="AS113" s="47" t="s">
        <v>901</v>
      </c>
      <c r="AT113" s="47" t="s">
        <v>194</v>
      </c>
      <c r="AU113" s="47"/>
      <c r="AV113" s="48" t="s">
        <v>2048</v>
      </c>
      <c r="AW113" s="47" t="s">
        <v>2046</v>
      </c>
      <c r="AX113" s="47"/>
      <c r="AY113" s="47"/>
      <c r="AZ113" s="47"/>
      <c r="BA113" s="48" t="s">
        <v>2049</v>
      </c>
      <c r="BB113" s="47" t="s">
        <v>2041</v>
      </c>
      <c r="BC113" s="47" t="s">
        <v>2050</v>
      </c>
      <c r="BD113" s="47"/>
      <c r="BE113" s="47"/>
      <c r="BF113" s="56"/>
      <c r="BG113" s="47"/>
      <c r="BH113" s="47"/>
      <c r="BI113" s="47"/>
      <c r="BJ113" s="47"/>
      <c r="BK113" s="47"/>
      <c r="BL113" s="56"/>
      <c r="BM113" s="57">
        <f t="shared" ca="1" si="32"/>
        <v>126</v>
      </c>
      <c r="BN113" s="57">
        <f t="shared" ca="1" si="33"/>
        <v>3</v>
      </c>
      <c r="BO113" s="57">
        <f t="shared" ca="1" si="34"/>
        <v>22</v>
      </c>
      <c r="BP113" s="47"/>
      <c r="BQ113" s="47"/>
      <c r="BR113" s="56"/>
      <c r="BS113" s="57">
        <f t="shared" ca="1" si="35"/>
        <v>126</v>
      </c>
      <c r="BT113" s="57">
        <f t="shared" ca="1" si="36"/>
        <v>3</v>
      </c>
      <c r="BU113" s="57">
        <f t="shared" ca="1" si="37"/>
        <v>22</v>
      </c>
      <c r="BV113" s="47"/>
      <c r="BW113" s="47"/>
      <c r="BX113" s="56"/>
      <c r="BY113" s="57">
        <f t="shared" ca="1" si="38"/>
        <v>126</v>
      </c>
      <c r="BZ113" s="57">
        <f t="shared" ca="1" si="39"/>
        <v>3</v>
      </c>
      <c r="CA113" s="57">
        <f t="shared" ca="1" si="40"/>
        <v>22</v>
      </c>
      <c r="CB113" s="47" t="s">
        <v>2051</v>
      </c>
      <c r="CC113" s="105" t="s">
        <v>2052</v>
      </c>
    </row>
    <row r="114" spans="1:81" ht="15" customHeight="1" x14ac:dyDescent="0.25">
      <c r="A114" s="46" t="s">
        <v>2053</v>
      </c>
      <c r="B114" s="47" t="s">
        <v>2054</v>
      </c>
      <c r="C114" s="47" t="s">
        <v>2055</v>
      </c>
      <c r="D114" s="47" t="s">
        <v>175</v>
      </c>
      <c r="E114" s="47" t="s">
        <v>176</v>
      </c>
      <c r="F114" s="47" t="s">
        <v>177</v>
      </c>
      <c r="G114" s="47"/>
      <c r="H114" s="47" t="s">
        <v>178</v>
      </c>
      <c r="I114" s="47" t="s">
        <v>179</v>
      </c>
      <c r="J114" s="47" t="s">
        <v>2056</v>
      </c>
      <c r="K114" s="47" t="s">
        <v>1949</v>
      </c>
      <c r="L114" s="106">
        <v>45817</v>
      </c>
      <c r="M114" s="50">
        <f t="shared" ca="1" si="22"/>
        <v>0</v>
      </c>
      <c r="N114" s="50">
        <f t="shared" ca="1" si="23"/>
        <v>10</v>
      </c>
      <c r="O114" s="50">
        <f t="shared" ca="1" si="24"/>
        <v>13</v>
      </c>
      <c r="P114" s="51">
        <f t="shared" si="25"/>
        <v>52222</v>
      </c>
      <c r="Q114" s="47" t="s">
        <v>181</v>
      </c>
      <c r="R114" s="51">
        <f t="shared" si="46"/>
        <v>45817</v>
      </c>
      <c r="S114" s="51">
        <f t="shared" ref="S114:S121" si="49">R114+(91)</f>
        <v>45908</v>
      </c>
      <c r="T114" s="51">
        <f t="shared" si="48"/>
        <v>45909</v>
      </c>
      <c r="U114" s="51"/>
      <c r="V114" s="47" t="s">
        <v>805</v>
      </c>
      <c r="W114" s="47" t="s">
        <v>333</v>
      </c>
      <c r="X114" s="106">
        <v>32133</v>
      </c>
      <c r="Y114" s="50">
        <f t="shared" ca="1" si="26"/>
        <v>38</v>
      </c>
      <c r="Z114" s="50">
        <f t="shared" ca="1" si="27"/>
        <v>4</v>
      </c>
      <c r="AA114" s="50">
        <f t="shared" ca="1" si="28"/>
        <v>0</v>
      </c>
      <c r="AB114" s="47"/>
      <c r="AC114" s="53"/>
      <c r="AD114" s="70" t="s">
        <v>185</v>
      </c>
      <c r="AE114" s="47" t="s">
        <v>2057</v>
      </c>
      <c r="AF114" s="47" t="s">
        <v>2058</v>
      </c>
      <c r="AG114" s="47"/>
      <c r="AH114" s="47"/>
      <c r="AI114" s="47"/>
      <c r="AJ114" s="104" t="s">
        <v>2059</v>
      </c>
      <c r="AK114" s="47" t="s">
        <v>2060</v>
      </c>
      <c r="AL114" s="56" t="s">
        <v>244</v>
      </c>
      <c r="AM114" s="47" t="str">
        <f>PROPER(AM107)</f>
        <v>Komp. Manglayang Sari Blok 9B No 9, Rt 02/13, Kel. Palasari, Kec. Cibiru, Kota Bandung, 40615</v>
      </c>
      <c r="AN114" s="47"/>
      <c r="AO114" s="47" t="s">
        <v>1655</v>
      </c>
      <c r="AP114" s="47" t="s">
        <v>101</v>
      </c>
      <c r="AQ114" s="48" t="s">
        <v>2061</v>
      </c>
      <c r="AR114" s="47"/>
      <c r="AS114" s="47" t="s">
        <v>163</v>
      </c>
      <c r="AT114" s="47" t="s">
        <v>343</v>
      </c>
      <c r="AU114" s="47"/>
      <c r="AV114" s="47" t="s">
        <v>2062</v>
      </c>
      <c r="AW114" s="47" t="str">
        <f t="shared" ref="AW114:AW126" si="50">AK114</f>
        <v>Sidabowa RT/RW 003/009, Patikraja, Banyumas, Jawa Tengah 53171</v>
      </c>
      <c r="AX114" s="47"/>
      <c r="AY114" s="47"/>
      <c r="AZ114" s="47"/>
      <c r="BA114" s="48" t="s">
        <v>2063</v>
      </c>
      <c r="BB114" s="47" t="s">
        <v>2055</v>
      </c>
      <c r="BC114" s="108" t="s">
        <v>2064</v>
      </c>
      <c r="BD114" s="108" t="s">
        <v>2065</v>
      </c>
      <c r="BE114" s="47" t="s">
        <v>86</v>
      </c>
      <c r="BF114" s="56">
        <v>30898</v>
      </c>
      <c r="BG114" s="57">
        <f t="shared" ref="BG114:BG121" ca="1" si="51">DATEDIF(BF114,TODAY(),"Y")</f>
        <v>41</v>
      </c>
      <c r="BH114" s="57">
        <f t="shared" ref="BH114:BH121" ca="1" si="52">DATEDIF(BF114,TODAY(),"Ym")</f>
        <v>8</v>
      </c>
      <c r="BI114" s="57">
        <f t="shared" ref="BI114:BI121" ca="1" si="53">DATEDIF(BF114,TODAY(),"md")</f>
        <v>18</v>
      </c>
      <c r="BJ114" s="108" t="s">
        <v>2066</v>
      </c>
      <c r="BK114" s="47" t="s">
        <v>175</v>
      </c>
      <c r="BL114" s="56">
        <v>41576</v>
      </c>
      <c r="BM114" s="57">
        <f t="shared" ca="1" si="32"/>
        <v>12</v>
      </c>
      <c r="BN114" s="57">
        <f t="shared" ca="1" si="33"/>
        <v>5</v>
      </c>
      <c r="BO114" s="57">
        <f t="shared" ca="1" si="34"/>
        <v>24</v>
      </c>
      <c r="BP114" s="108" t="s">
        <v>2067</v>
      </c>
      <c r="BQ114" s="47" t="s">
        <v>175</v>
      </c>
      <c r="BR114" s="56">
        <v>42850</v>
      </c>
      <c r="BS114" s="57">
        <f t="shared" ca="1" si="35"/>
        <v>8</v>
      </c>
      <c r="BT114" s="57">
        <f t="shared" ca="1" si="36"/>
        <v>11</v>
      </c>
      <c r="BU114" s="57">
        <f t="shared" ca="1" si="37"/>
        <v>28</v>
      </c>
      <c r="BV114" s="108" t="s">
        <v>2068</v>
      </c>
      <c r="BW114" s="47" t="s">
        <v>86</v>
      </c>
      <c r="BX114" s="56">
        <v>43588</v>
      </c>
      <c r="BY114" s="57">
        <f t="shared" ca="1" si="38"/>
        <v>6</v>
      </c>
      <c r="BZ114" s="57">
        <f t="shared" ca="1" si="39"/>
        <v>11</v>
      </c>
      <c r="CA114" s="57">
        <f t="shared" ca="1" si="40"/>
        <v>19</v>
      </c>
      <c r="CB114" s="108" t="s">
        <v>2069</v>
      </c>
      <c r="CC114" s="105" t="s">
        <v>2070</v>
      </c>
    </row>
    <row r="115" spans="1:81" ht="15" customHeight="1" x14ac:dyDescent="0.25">
      <c r="A115" s="46" t="s">
        <v>2071</v>
      </c>
      <c r="B115" s="47" t="s">
        <v>2072</v>
      </c>
      <c r="C115" s="47" t="s">
        <v>2073</v>
      </c>
      <c r="D115" s="47" t="s">
        <v>86</v>
      </c>
      <c r="E115" s="47" t="s">
        <v>176</v>
      </c>
      <c r="F115" s="47" t="s">
        <v>177</v>
      </c>
      <c r="G115" s="47"/>
      <c r="H115" s="47" t="s">
        <v>178</v>
      </c>
      <c r="I115" s="47" t="s">
        <v>179</v>
      </c>
      <c r="J115" s="47" t="s">
        <v>2074</v>
      </c>
      <c r="K115" s="47" t="s">
        <v>1949</v>
      </c>
      <c r="L115" s="106">
        <v>45817</v>
      </c>
      <c r="M115" s="50">
        <f t="shared" ca="1" si="22"/>
        <v>0</v>
      </c>
      <c r="N115" s="50">
        <f t="shared" ca="1" si="23"/>
        <v>10</v>
      </c>
      <c r="O115" s="50">
        <f t="shared" ca="1" si="24"/>
        <v>13</v>
      </c>
      <c r="P115" s="51">
        <f t="shared" si="25"/>
        <v>51886</v>
      </c>
      <c r="Q115" s="47" t="s">
        <v>181</v>
      </c>
      <c r="R115" s="51">
        <f t="shared" si="46"/>
        <v>45817</v>
      </c>
      <c r="S115" s="51">
        <f t="shared" si="49"/>
        <v>45908</v>
      </c>
      <c r="T115" s="51">
        <f t="shared" si="48"/>
        <v>45909</v>
      </c>
      <c r="U115" s="51"/>
      <c r="V115" s="47" t="s">
        <v>2075</v>
      </c>
      <c r="W115" s="47" t="s">
        <v>376</v>
      </c>
      <c r="X115" s="106">
        <v>31797</v>
      </c>
      <c r="Y115" s="50">
        <f t="shared" ca="1" si="26"/>
        <v>39</v>
      </c>
      <c r="Z115" s="50">
        <f t="shared" ca="1" si="27"/>
        <v>3</v>
      </c>
      <c r="AA115" s="50">
        <f t="shared" ca="1" si="28"/>
        <v>2</v>
      </c>
      <c r="AB115" s="47"/>
      <c r="AC115" s="53"/>
      <c r="AD115" s="70" t="s">
        <v>185</v>
      </c>
      <c r="AE115" s="47" t="s">
        <v>2076</v>
      </c>
      <c r="AF115" s="47"/>
      <c r="AG115" s="47"/>
      <c r="AH115" s="47">
        <v>14</v>
      </c>
      <c r="AI115" s="47" t="s">
        <v>2077</v>
      </c>
      <c r="AJ115" s="104" t="s">
        <v>2078</v>
      </c>
      <c r="AK115" s="47" t="s">
        <v>2079</v>
      </c>
      <c r="AL115" s="56" t="s">
        <v>244</v>
      </c>
      <c r="AM115" s="47" t="str">
        <f t="shared" ref="AM115:AM121" si="54">AK115</f>
        <v>Perumahan Griya Darusalam Resat Pallantikang 92171</v>
      </c>
      <c r="AN115" s="47"/>
      <c r="AO115" s="47" t="s">
        <v>2080</v>
      </c>
      <c r="AP115" s="47" t="s">
        <v>101</v>
      </c>
      <c r="AQ115" s="48" t="s">
        <v>2081</v>
      </c>
      <c r="AR115" s="47"/>
      <c r="AS115" s="47" t="s">
        <v>163</v>
      </c>
      <c r="AT115" s="47" t="s">
        <v>194</v>
      </c>
      <c r="AU115" s="47"/>
      <c r="AV115" s="47" t="s">
        <v>2082</v>
      </c>
      <c r="AW115" s="47" t="str">
        <f t="shared" si="50"/>
        <v>Perumahan Griya Darusalam Resat Pallantikang 92171</v>
      </c>
      <c r="AX115" s="47"/>
      <c r="AY115" s="47"/>
      <c r="AZ115" s="47"/>
      <c r="BA115" s="48" t="s">
        <v>2083</v>
      </c>
      <c r="BB115" s="47" t="s">
        <v>2073</v>
      </c>
      <c r="BC115" s="47" t="s">
        <v>2084</v>
      </c>
      <c r="BD115" s="47" t="s">
        <v>2085</v>
      </c>
      <c r="BE115" s="47" t="s">
        <v>175</v>
      </c>
      <c r="BF115" s="56">
        <v>32759</v>
      </c>
      <c r="BG115" s="57">
        <f t="shared" ca="1" si="51"/>
        <v>36</v>
      </c>
      <c r="BH115" s="57">
        <f t="shared" ca="1" si="52"/>
        <v>7</v>
      </c>
      <c r="BI115" s="57">
        <f t="shared" ca="1" si="53"/>
        <v>14</v>
      </c>
      <c r="BJ115" s="47" t="s">
        <v>2086</v>
      </c>
      <c r="BK115" s="47" t="s">
        <v>86</v>
      </c>
      <c r="BL115" s="56">
        <v>40425</v>
      </c>
      <c r="BM115" s="57">
        <f t="shared" ca="1" si="32"/>
        <v>15</v>
      </c>
      <c r="BN115" s="57">
        <f t="shared" ca="1" si="33"/>
        <v>7</v>
      </c>
      <c r="BO115" s="57">
        <f t="shared" ca="1" si="34"/>
        <v>18</v>
      </c>
      <c r="BP115" s="47" t="s">
        <v>2087</v>
      </c>
      <c r="BQ115" s="47" t="s">
        <v>175</v>
      </c>
      <c r="BR115" s="56">
        <v>41183</v>
      </c>
      <c r="BS115" s="57">
        <f t="shared" ca="1" si="35"/>
        <v>13</v>
      </c>
      <c r="BT115" s="57">
        <f t="shared" ca="1" si="36"/>
        <v>6</v>
      </c>
      <c r="BU115" s="57">
        <f t="shared" ca="1" si="37"/>
        <v>21</v>
      </c>
      <c r="BV115" s="47" t="s">
        <v>2088</v>
      </c>
      <c r="BW115" s="47" t="s">
        <v>86</v>
      </c>
      <c r="BX115" s="56">
        <v>42555</v>
      </c>
      <c r="BY115" s="57">
        <f t="shared" ca="1" si="38"/>
        <v>9</v>
      </c>
      <c r="BZ115" s="57">
        <f t="shared" ca="1" si="39"/>
        <v>9</v>
      </c>
      <c r="CA115" s="57">
        <f t="shared" ca="1" si="40"/>
        <v>18</v>
      </c>
      <c r="CB115" s="109" t="s">
        <v>2089</v>
      </c>
      <c r="CC115" s="105" t="s">
        <v>2090</v>
      </c>
    </row>
    <row r="116" spans="1:81" ht="15" customHeight="1" x14ac:dyDescent="0.25">
      <c r="A116" s="46" t="s">
        <v>2091</v>
      </c>
      <c r="B116" s="47" t="s">
        <v>2092</v>
      </c>
      <c r="C116" s="47" t="s">
        <v>2093</v>
      </c>
      <c r="D116" s="47" t="s">
        <v>86</v>
      </c>
      <c r="E116" s="47" t="s">
        <v>206</v>
      </c>
      <c r="F116" s="47" t="s">
        <v>328</v>
      </c>
      <c r="G116" s="47" t="s">
        <v>329</v>
      </c>
      <c r="H116" s="47" t="s">
        <v>1268</v>
      </c>
      <c r="I116" s="47" t="s">
        <v>2094</v>
      </c>
      <c r="J116" s="47" t="s">
        <v>110</v>
      </c>
      <c r="K116" s="47" t="s">
        <v>1949</v>
      </c>
      <c r="L116" s="106">
        <v>45819</v>
      </c>
      <c r="M116" s="50">
        <f t="shared" ca="1" si="22"/>
        <v>0</v>
      </c>
      <c r="N116" s="50">
        <f t="shared" ca="1" si="23"/>
        <v>10</v>
      </c>
      <c r="O116" s="50">
        <f t="shared" ca="1" si="24"/>
        <v>11</v>
      </c>
      <c r="P116" s="51">
        <f t="shared" si="25"/>
        <v>50105</v>
      </c>
      <c r="Q116" s="47" t="s">
        <v>181</v>
      </c>
      <c r="R116" s="51">
        <f t="shared" si="46"/>
        <v>45819</v>
      </c>
      <c r="S116" s="51">
        <f t="shared" si="49"/>
        <v>45910</v>
      </c>
      <c r="T116" s="51">
        <f t="shared" si="48"/>
        <v>45911</v>
      </c>
      <c r="U116" s="51"/>
      <c r="V116" s="47" t="s">
        <v>374</v>
      </c>
      <c r="W116" s="47" t="s">
        <v>2095</v>
      </c>
      <c r="X116" s="106">
        <v>30016</v>
      </c>
      <c r="Y116" s="50">
        <f t="shared" ca="1" si="26"/>
        <v>44</v>
      </c>
      <c r="Z116" s="50">
        <f t="shared" ca="1" si="27"/>
        <v>1</v>
      </c>
      <c r="AA116" s="50">
        <f t="shared" ca="1" si="28"/>
        <v>16</v>
      </c>
      <c r="AB116" s="47"/>
      <c r="AC116" s="53"/>
      <c r="AD116" s="70" t="s">
        <v>185</v>
      </c>
      <c r="AE116" s="108" t="s">
        <v>2096</v>
      </c>
      <c r="AF116" s="47" t="s">
        <v>895</v>
      </c>
      <c r="AG116" s="47"/>
      <c r="AH116" s="47">
        <v>22</v>
      </c>
      <c r="AI116" s="47" t="s">
        <v>2097</v>
      </c>
      <c r="AJ116" s="107" t="s">
        <v>2098</v>
      </c>
      <c r="AK116" s="108" t="s">
        <v>2099</v>
      </c>
      <c r="AL116" s="56" t="s">
        <v>244</v>
      </c>
      <c r="AM116" s="47" t="str">
        <f t="shared" si="54"/>
        <v xml:space="preserve">Perumnas Bumi Teluk Jambe Blok U No. 347, Desa. Sukaluyu, Kec. Teluk Jambe Barat. Karawang,   Zip Code / Kode Pos :   41361     </v>
      </c>
      <c r="AN116" s="47"/>
      <c r="AO116" s="47" t="s">
        <v>2100</v>
      </c>
      <c r="AP116" s="47" t="s">
        <v>101</v>
      </c>
      <c r="AQ116" s="48" t="s">
        <v>2101</v>
      </c>
      <c r="AR116" s="47"/>
      <c r="AS116" s="47" t="s">
        <v>163</v>
      </c>
      <c r="AT116" s="47" t="s">
        <v>194</v>
      </c>
      <c r="AU116" s="47"/>
      <c r="AV116" s="108" t="s">
        <v>2102</v>
      </c>
      <c r="AW116" s="47" t="str">
        <f t="shared" si="50"/>
        <v xml:space="preserve">Perumnas Bumi Teluk Jambe Blok U No. 347, Desa. Sukaluyu, Kec. Teluk Jambe Barat. Karawang,   Zip Code / Kode Pos :   41361     </v>
      </c>
      <c r="AX116" s="47"/>
      <c r="AY116" s="47"/>
      <c r="AZ116" s="47"/>
      <c r="BA116" s="48" t="s">
        <v>2103</v>
      </c>
      <c r="BB116" s="47" t="s">
        <v>2093</v>
      </c>
      <c r="BC116" s="108" t="s">
        <v>2104</v>
      </c>
      <c r="BD116" s="108" t="s">
        <v>2105</v>
      </c>
      <c r="BE116" s="47" t="s">
        <v>175</v>
      </c>
      <c r="BF116" s="56">
        <v>31474</v>
      </c>
      <c r="BG116" s="57">
        <f t="shared" ca="1" si="51"/>
        <v>40</v>
      </c>
      <c r="BH116" s="57">
        <f t="shared" ca="1" si="52"/>
        <v>1</v>
      </c>
      <c r="BI116" s="57">
        <f t="shared" ca="1" si="53"/>
        <v>19</v>
      </c>
      <c r="BJ116" s="108" t="s">
        <v>2106</v>
      </c>
      <c r="BK116" s="47" t="s">
        <v>175</v>
      </c>
      <c r="BL116" s="56">
        <v>41804</v>
      </c>
      <c r="BM116" s="57">
        <f t="shared" ca="1" si="32"/>
        <v>11</v>
      </c>
      <c r="BN116" s="57">
        <f t="shared" ca="1" si="33"/>
        <v>10</v>
      </c>
      <c r="BO116" s="57">
        <f t="shared" ca="1" si="34"/>
        <v>8</v>
      </c>
      <c r="BP116" s="108" t="s">
        <v>2107</v>
      </c>
      <c r="BQ116" s="47" t="s">
        <v>86</v>
      </c>
      <c r="BR116" s="56">
        <v>42900</v>
      </c>
      <c r="BS116" s="57">
        <f t="shared" ca="1" si="35"/>
        <v>8</v>
      </c>
      <c r="BT116" s="57">
        <f t="shared" ca="1" si="36"/>
        <v>10</v>
      </c>
      <c r="BU116" s="57">
        <f t="shared" ca="1" si="37"/>
        <v>8</v>
      </c>
      <c r="BV116" s="48" t="s">
        <v>88</v>
      </c>
      <c r="BW116" s="48" t="s">
        <v>88</v>
      </c>
      <c r="BX116" s="48" t="s">
        <v>88</v>
      </c>
      <c r="BY116" s="57" t="e">
        <f t="shared" ca="1" si="38"/>
        <v>#VALUE!</v>
      </c>
      <c r="BZ116" s="57" t="e">
        <f t="shared" ca="1" si="39"/>
        <v>#VALUE!</v>
      </c>
      <c r="CA116" s="57" t="e">
        <f t="shared" ca="1" si="40"/>
        <v>#VALUE!</v>
      </c>
      <c r="CB116" s="110" t="s">
        <v>2108</v>
      </c>
      <c r="CC116" s="105" t="s">
        <v>2109</v>
      </c>
    </row>
    <row r="117" spans="1:81" ht="15" customHeight="1" x14ac:dyDescent="0.25">
      <c r="A117" s="46" t="s">
        <v>2110</v>
      </c>
      <c r="B117" s="47" t="s">
        <v>2111</v>
      </c>
      <c r="C117" s="47" t="s">
        <v>2112</v>
      </c>
      <c r="D117" s="47" t="s">
        <v>86</v>
      </c>
      <c r="E117" s="47" t="s">
        <v>630</v>
      </c>
      <c r="F117" s="47" t="s">
        <v>328</v>
      </c>
      <c r="G117" s="47" t="s">
        <v>398</v>
      </c>
      <c r="H117" s="47" t="s">
        <v>631</v>
      </c>
      <c r="I117" s="47" t="s">
        <v>632</v>
      </c>
      <c r="J117" s="47" t="s">
        <v>110</v>
      </c>
      <c r="K117" s="47" t="s">
        <v>1949</v>
      </c>
      <c r="L117" s="106">
        <v>45819</v>
      </c>
      <c r="M117" s="50">
        <f t="shared" ca="1" si="22"/>
        <v>0</v>
      </c>
      <c r="N117" s="50">
        <f t="shared" ca="1" si="23"/>
        <v>10</v>
      </c>
      <c r="O117" s="50">
        <f t="shared" ca="1" si="24"/>
        <v>11</v>
      </c>
      <c r="P117" s="51">
        <f t="shared" si="25"/>
        <v>57122</v>
      </c>
      <c r="Q117" s="47" t="s">
        <v>181</v>
      </c>
      <c r="R117" s="51">
        <f t="shared" si="46"/>
        <v>45819</v>
      </c>
      <c r="S117" s="51">
        <f t="shared" si="49"/>
        <v>45910</v>
      </c>
      <c r="T117" s="51">
        <f t="shared" si="48"/>
        <v>45911</v>
      </c>
      <c r="U117" s="51"/>
      <c r="V117" s="47" t="s">
        <v>374</v>
      </c>
      <c r="W117" s="47" t="s">
        <v>678</v>
      </c>
      <c r="X117" s="106">
        <v>37033</v>
      </c>
      <c r="Y117" s="50">
        <f t="shared" ca="1" si="26"/>
        <v>24</v>
      </c>
      <c r="Z117" s="50">
        <f t="shared" ca="1" si="27"/>
        <v>11</v>
      </c>
      <c r="AA117" s="50">
        <f t="shared" ca="1" si="28"/>
        <v>0</v>
      </c>
      <c r="AB117" s="47"/>
      <c r="AC117" s="53"/>
      <c r="AD117" s="70" t="s">
        <v>185</v>
      </c>
      <c r="AE117" s="47" t="s">
        <v>2113</v>
      </c>
      <c r="AF117" s="47" t="s">
        <v>554</v>
      </c>
      <c r="AG117" s="47"/>
      <c r="AH117" s="48" t="s">
        <v>88</v>
      </c>
      <c r="AI117" s="48" t="s">
        <v>88</v>
      </c>
      <c r="AJ117" s="107" t="s">
        <v>2114</v>
      </c>
      <c r="AK117" s="111" t="s">
        <v>2115</v>
      </c>
      <c r="AL117" s="56" t="s">
        <v>244</v>
      </c>
      <c r="AM117" s="47" t="str">
        <f t="shared" si="54"/>
        <v>Poris Indah Blok D no. 874, RT/RW 002/007, Kel. Cipondoh Indah, Kec. Cipondoh, Kota Tangerang, Prov. Banten</v>
      </c>
      <c r="AN117" s="47"/>
      <c r="AO117" s="47" t="s">
        <v>1655</v>
      </c>
      <c r="AP117" s="47" t="s">
        <v>641</v>
      </c>
      <c r="AQ117" s="48" t="s">
        <v>2116</v>
      </c>
      <c r="AR117" s="47"/>
      <c r="AS117" s="47" t="s">
        <v>163</v>
      </c>
      <c r="AT117" s="47" t="s">
        <v>164</v>
      </c>
      <c r="AU117" s="47"/>
      <c r="AV117" s="47"/>
      <c r="AW117" s="47" t="str">
        <f t="shared" si="50"/>
        <v>Poris Indah Blok D no. 874, RT/RW 002/007, Kel. Cipondoh Indah, Kec. Cipondoh, Kota Tangerang, Prov. Banten</v>
      </c>
      <c r="AX117" s="47"/>
      <c r="AY117" s="47"/>
      <c r="AZ117" s="47"/>
      <c r="BA117" s="47"/>
      <c r="BB117" s="112"/>
      <c r="BC117" s="47" t="s">
        <v>2117</v>
      </c>
      <c r="BD117" s="47"/>
      <c r="BE117" s="47"/>
      <c r="BF117" s="56"/>
      <c r="BG117" s="57">
        <f t="shared" ca="1" si="51"/>
        <v>126</v>
      </c>
      <c r="BH117" s="57">
        <f t="shared" ca="1" si="52"/>
        <v>3</v>
      </c>
      <c r="BI117" s="57">
        <f t="shared" ca="1" si="53"/>
        <v>22</v>
      </c>
      <c r="BJ117" s="47"/>
      <c r="BK117" s="47"/>
      <c r="BL117" s="56"/>
      <c r="BM117" s="57">
        <f t="shared" ca="1" si="32"/>
        <v>126</v>
      </c>
      <c r="BN117" s="57">
        <f t="shared" ca="1" si="33"/>
        <v>3</v>
      </c>
      <c r="BO117" s="57">
        <f t="shared" ca="1" si="34"/>
        <v>22</v>
      </c>
      <c r="BP117" s="47"/>
      <c r="BQ117" s="47"/>
      <c r="BR117" s="56"/>
      <c r="BS117" s="57">
        <f t="shared" ca="1" si="35"/>
        <v>126</v>
      </c>
      <c r="BT117" s="57">
        <f t="shared" ca="1" si="36"/>
        <v>3</v>
      </c>
      <c r="BU117" s="57">
        <f t="shared" ca="1" si="37"/>
        <v>22</v>
      </c>
      <c r="BV117" s="47"/>
      <c r="BW117" s="47"/>
      <c r="BX117" s="56"/>
      <c r="BY117" s="57">
        <f t="shared" ca="1" si="38"/>
        <v>126</v>
      </c>
      <c r="BZ117" s="57">
        <f t="shared" ca="1" si="39"/>
        <v>3</v>
      </c>
      <c r="CA117" s="57">
        <f t="shared" ca="1" si="40"/>
        <v>22</v>
      </c>
      <c r="CB117" s="110" t="s">
        <v>2118</v>
      </c>
      <c r="CC117" s="47"/>
    </row>
    <row r="118" spans="1:81" ht="15" customHeight="1" x14ac:dyDescent="0.25">
      <c r="A118" s="46" t="s">
        <v>2119</v>
      </c>
      <c r="B118" s="47" t="s">
        <v>2120</v>
      </c>
      <c r="C118" s="47" t="s">
        <v>2121</v>
      </c>
      <c r="D118" s="47" t="s">
        <v>86</v>
      </c>
      <c r="E118" s="47" t="s">
        <v>176</v>
      </c>
      <c r="F118" s="47" t="s">
        <v>177</v>
      </c>
      <c r="G118" s="47"/>
      <c r="H118" s="47" t="s">
        <v>178</v>
      </c>
      <c r="I118" s="47" t="s">
        <v>179</v>
      </c>
      <c r="J118" s="47" t="s">
        <v>459</v>
      </c>
      <c r="K118" s="47" t="s">
        <v>1949</v>
      </c>
      <c r="L118" s="106">
        <v>45819</v>
      </c>
      <c r="M118" s="50">
        <f t="shared" ca="1" si="22"/>
        <v>0</v>
      </c>
      <c r="N118" s="50">
        <f t="shared" ca="1" si="23"/>
        <v>10</v>
      </c>
      <c r="O118" s="50">
        <f t="shared" ca="1" si="24"/>
        <v>11</v>
      </c>
      <c r="P118" s="51">
        <f t="shared" si="25"/>
        <v>56153</v>
      </c>
      <c r="Q118" s="47" t="s">
        <v>181</v>
      </c>
      <c r="R118" s="51">
        <f t="shared" si="46"/>
        <v>45819</v>
      </c>
      <c r="S118" s="51">
        <f t="shared" si="49"/>
        <v>45910</v>
      </c>
      <c r="T118" s="51">
        <f t="shared" si="48"/>
        <v>45911</v>
      </c>
      <c r="U118" s="51"/>
      <c r="V118" s="47" t="s">
        <v>459</v>
      </c>
      <c r="W118" s="47" t="s">
        <v>210</v>
      </c>
      <c r="X118" s="106">
        <v>36064</v>
      </c>
      <c r="Y118" s="50">
        <f t="shared" ca="1" si="26"/>
        <v>27</v>
      </c>
      <c r="Z118" s="50">
        <f t="shared" ca="1" si="27"/>
        <v>6</v>
      </c>
      <c r="AA118" s="50">
        <f t="shared" ca="1" si="28"/>
        <v>27</v>
      </c>
      <c r="AB118" s="47"/>
      <c r="AC118" s="53"/>
      <c r="AD118" s="70" t="s">
        <v>185</v>
      </c>
      <c r="AE118" s="108" t="s">
        <v>2122</v>
      </c>
      <c r="AF118" s="47" t="s">
        <v>2123</v>
      </c>
      <c r="AG118" s="47"/>
      <c r="AH118" s="47">
        <v>3</v>
      </c>
      <c r="AI118" s="47" t="s">
        <v>2124</v>
      </c>
      <c r="AJ118" s="107" t="s">
        <v>2125</v>
      </c>
      <c r="AK118" s="108" t="s">
        <v>2126</v>
      </c>
      <c r="AL118" s="56" t="s">
        <v>244</v>
      </c>
      <c r="AM118" s="47" t="str">
        <f t="shared" si="54"/>
        <v>BUKIT CIMINDI RAYA BLOK P NO 7 KELURAHAN PASIRKALIKI KECAMATAN CIMAHI UTARA KOTA CIMAHI KODE POS: 40514</v>
      </c>
      <c r="AN118" s="47"/>
      <c r="AO118" s="47" t="s">
        <v>1655</v>
      </c>
      <c r="AP118" s="47" t="s">
        <v>641</v>
      </c>
      <c r="AQ118" s="48" t="s">
        <v>2127</v>
      </c>
      <c r="AR118" s="47"/>
      <c r="AS118" s="47" t="s">
        <v>163</v>
      </c>
      <c r="AT118" s="47" t="s">
        <v>272</v>
      </c>
      <c r="AU118" s="47"/>
      <c r="AV118" s="108" t="s">
        <v>2128</v>
      </c>
      <c r="AW118" s="47" t="str">
        <f t="shared" si="50"/>
        <v>BUKIT CIMINDI RAYA BLOK P NO 7 KELURAHAN PASIRKALIKI KECAMATAN CIMAHI UTARA KOTA CIMAHI KODE POS: 40514</v>
      </c>
      <c r="AX118" s="47"/>
      <c r="AY118" s="47"/>
      <c r="AZ118" s="47"/>
      <c r="BA118" s="48" t="s">
        <v>2129</v>
      </c>
      <c r="BB118" s="47" t="s">
        <v>2121</v>
      </c>
      <c r="BC118" s="108" t="s">
        <v>2130</v>
      </c>
      <c r="BD118" s="47"/>
      <c r="BE118" s="47"/>
      <c r="BF118" s="56"/>
      <c r="BG118" s="57">
        <f t="shared" ca="1" si="51"/>
        <v>126</v>
      </c>
      <c r="BH118" s="57">
        <f t="shared" ca="1" si="52"/>
        <v>3</v>
      </c>
      <c r="BI118" s="57">
        <f t="shared" ca="1" si="53"/>
        <v>22</v>
      </c>
      <c r="BJ118" s="47"/>
      <c r="BK118" s="47"/>
      <c r="BL118" s="56"/>
      <c r="BM118" s="57">
        <f t="shared" ca="1" si="32"/>
        <v>126</v>
      </c>
      <c r="BN118" s="57">
        <f t="shared" ca="1" si="33"/>
        <v>3</v>
      </c>
      <c r="BO118" s="57">
        <f t="shared" ca="1" si="34"/>
        <v>22</v>
      </c>
      <c r="BP118" s="47"/>
      <c r="BQ118" s="47"/>
      <c r="BR118" s="56"/>
      <c r="BS118" s="57">
        <f t="shared" ca="1" si="35"/>
        <v>126</v>
      </c>
      <c r="BT118" s="57">
        <f t="shared" ca="1" si="36"/>
        <v>3</v>
      </c>
      <c r="BU118" s="57">
        <f t="shared" ca="1" si="37"/>
        <v>22</v>
      </c>
      <c r="BV118" s="47"/>
      <c r="BW118" s="47"/>
      <c r="BX118" s="56"/>
      <c r="BY118" s="57">
        <f t="shared" ca="1" si="38"/>
        <v>126</v>
      </c>
      <c r="BZ118" s="57">
        <f t="shared" ca="1" si="39"/>
        <v>3</v>
      </c>
      <c r="CA118" s="57">
        <f t="shared" ca="1" si="40"/>
        <v>22</v>
      </c>
      <c r="CB118" s="108" t="s">
        <v>2131</v>
      </c>
      <c r="CC118" s="105" t="s">
        <v>2132</v>
      </c>
    </row>
    <row r="119" spans="1:81" ht="15" customHeight="1" x14ac:dyDescent="0.25">
      <c r="A119" s="46" t="s">
        <v>2133</v>
      </c>
      <c r="B119" s="47" t="s">
        <v>2134</v>
      </c>
      <c r="C119" s="47" t="s">
        <v>2135</v>
      </c>
      <c r="D119" s="47" t="s">
        <v>86</v>
      </c>
      <c r="E119" s="47" t="s">
        <v>630</v>
      </c>
      <c r="F119" s="47" t="s">
        <v>328</v>
      </c>
      <c r="G119" s="47" t="s">
        <v>398</v>
      </c>
      <c r="H119" s="47" t="s">
        <v>1192</v>
      </c>
      <c r="I119" s="47" t="s">
        <v>1193</v>
      </c>
      <c r="J119" s="47" t="s">
        <v>110</v>
      </c>
      <c r="K119" s="47" t="s">
        <v>1949</v>
      </c>
      <c r="L119" s="106">
        <v>45819</v>
      </c>
      <c r="M119" s="50">
        <f t="shared" ca="1" si="22"/>
        <v>0</v>
      </c>
      <c r="N119" s="50">
        <f t="shared" ca="1" si="23"/>
        <v>10</v>
      </c>
      <c r="O119" s="50">
        <f t="shared" ca="1" si="24"/>
        <v>11</v>
      </c>
      <c r="P119" s="51">
        <f t="shared" si="25"/>
        <v>56777</v>
      </c>
      <c r="Q119" s="47" t="s">
        <v>181</v>
      </c>
      <c r="R119" s="51">
        <f t="shared" si="46"/>
        <v>45819</v>
      </c>
      <c r="S119" s="51">
        <f t="shared" si="49"/>
        <v>45910</v>
      </c>
      <c r="T119" s="51">
        <f t="shared" si="48"/>
        <v>45911</v>
      </c>
      <c r="U119" s="51"/>
      <c r="V119" s="47" t="s">
        <v>1572</v>
      </c>
      <c r="W119" s="47" t="s">
        <v>284</v>
      </c>
      <c r="X119" s="106">
        <v>36689</v>
      </c>
      <c r="Y119" s="50">
        <f t="shared" ca="1" si="26"/>
        <v>25</v>
      </c>
      <c r="Z119" s="50">
        <f t="shared" ca="1" si="27"/>
        <v>10</v>
      </c>
      <c r="AA119" s="50">
        <f t="shared" ca="1" si="28"/>
        <v>10</v>
      </c>
      <c r="AB119" s="47"/>
      <c r="AC119" s="53"/>
      <c r="AD119" s="70" t="s">
        <v>185</v>
      </c>
      <c r="AE119" s="108" t="s">
        <v>1779</v>
      </c>
      <c r="AF119" s="47" t="s">
        <v>554</v>
      </c>
      <c r="AG119" s="47"/>
      <c r="AH119" s="48" t="s">
        <v>88</v>
      </c>
      <c r="AI119" s="48" t="s">
        <v>88</v>
      </c>
      <c r="AJ119" s="107" t="s">
        <v>2136</v>
      </c>
      <c r="AK119" s="108" t="s">
        <v>2137</v>
      </c>
      <c r="AL119" s="56" t="s">
        <v>244</v>
      </c>
      <c r="AM119" s="47" t="str">
        <f t="shared" si="54"/>
        <v>Jl. Perintis I No. 13 , Karet, Setiabudi, Jakarta Selatan</v>
      </c>
      <c r="AN119" s="47"/>
      <c r="AO119" s="47" t="s">
        <v>1655</v>
      </c>
      <c r="AP119" s="47" t="s">
        <v>641</v>
      </c>
      <c r="AQ119" s="48" t="s">
        <v>2138</v>
      </c>
      <c r="AR119" s="47"/>
      <c r="AS119" s="47" t="s">
        <v>163</v>
      </c>
      <c r="AT119" s="47" t="s">
        <v>164</v>
      </c>
      <c r="AU119" s="47"/>
      <c r="AV119" s="47"/>
      <c r="AW119" s="47" t="str">
        <f t="shared" si="50"/>
        <v>Jl. Perintis I No. 13 , Karet, Setiabudi, Jakarta Selatan</v>
      </c>
      <c r="AX119" s="47"/>
      <c r="AY119" s="47"/>
      <c r="AZ119" s="47"/>
      <c r="BA119" s="48" t="s">
        <v>2139</v>
      </c>
      <c r="BB119" s="47" t="s">
        <v>2135</v>
      </c>
      <c r="BC119" s="108" t="s">
        <v>2140</v>
      </c>
      <c r="BD119" s="47"/>
      <c r="BE119" s="47"/>
      <c r="BF119" s="56"/>
      <c r="BG119" s="57">
        <f t="shared" ca="1" si="51"/>
        <v>126</v>
      </c>
      <c r="BH119" s="57">
        <f t="shared" ca="1" si="52"/>
        <v>3</v>
      </c>
      <c r="BI119" s="57">
        <f t="shared" ca="1" si="53"/>
        <v>22</v>
      </c>
      <c r="BJ119" s="47"/>
      <c r="BK119" s="47"/>
      <c r="BL119" s="56"/>
      <c r="BM119" s="57">
        <f t="shared" ca="1" si="32"/>
        <v>126</v>
      </c>
      <c r="BN119" s="57">
        <f t="shared" ca="1" si="33"/>
        <v>3</v>
      </c>
      <c r="BO119" s="57">
        <f t="shared" ca="1" si="34"/>
        <v>22</v>
      </c>
      <c r="BP119" s="47"/>
      <c r="BQ119" s="47"/>
      <c r="BR119" s="56"/>
      <c r="BS119" s="57">
        <f t="shared" ca="1" si="35"/>
        <v>126</v>
      </c>
      <c r="BT119" s="57">
        <f t="shared" ca="1" si="36"/>
        <v>3</v>
      </c>
      <c r="BU119" s="57">
        <f t="shared" ca="1" si="37"/>
        <v>22</v>
      </c>
      <c r="BV119" s="47"/>
      <c r="BW119" s="47"/>
      <c r="BX119" s="56"/>
      <c r="BY119" s="57">
        <f t="shared" ca="1" si="38"/>
        <v>126</v>
      </c>
      <c r="BZ119" s="57">
        <f t="shared" ca="1" si="39"/>
        <v>3</v>
      </c>
      <c r="CA119" s="57">
        <f t="shared" ca="1" si="40"/>
        <v>22</v>
      </c>
      <c r="CB119" s="108" t="s">
        <v>2141</v>
      </c>
      <c r="CC119" s="47"/>
    </row>
    <row r="120" spans="1:81" ht="15" customHeight="1" x14ac:dyDescent="0.25">
      <c r="A120" s="46" t="s">
        <v>2142</v>
      </c>
      <c r="B120" s="47" t="s">
        <v>2143</v>
      </c>
      <c r="C120" s="47" t="s">
        <v>2144</v>
      </c>
      <c r="D120" s="47" t="s">
        <v>86</v>
      </c>
      <c r="E120" s="47" t="s">
        <v>176</v>
      </c>
      <c r="F120" s="47" t="s">
        <v>177</v>
      </c>
      <c r="G120" s="47"/>
      <c r="H120" s="47" t="s">
        <v>178</v>
      </c>
      <c r="I120" s="47" t="s">
        <v>179</v>
      </c>
      <c r="J120" s="47" t="s">
        <v>2145</v>
      </c>
      <c r="K120" s="47" t="s">
        <v>1949</v>
      </c>
      <c r="L120" s="106">
        <v>45820</v>
      </c>
      <c r="M120" s="50">
        <f t="shared" ca="1" si="22"/>
        <v>0</v>
      </c>
      <c r="N120" s="50">
        <f t="shared" ca="1" si="23"/>
        <v>10</v>
      </c>
      <c r="O120" s="50">
        <f t="shared" ca="1" si="24"/>
        <v>10</v>
      </c>
      <c r="P120" s="51">
        <f t="shared" si="25"/>
        <v>50347</v>
      </c>
      <c r="Q120" s="47" t="s">
        <v>181</v>
      </c>
      <c r="R120" s="51">
        <f t="shared" si="46"/>
        <v>45820</v>
      </c>
      <c r="S120" s="51">
        <f t="shared" si="49"/>
        <v>45911</v>
      </c>
      <c r="T120" s="51">
        <f t="shared" si="48"/>
        <v>45912</v>
      </c>
      <c r="U120" s="51"/>
      <c r="V120" s="47" t="s">
        <v>2145</v>
      </c>
      <c r="W120" s="47" t="s">
        <v>111</v>
      </c>
      <c r="X120" s="106">
        <v>30258</v>
      </c>
      <c r="Y120" s="50">
        <f t="shared" ca="1" si="26"/>
        <v>43</v>
      </c>
      <c r="Z120" s="50">
        <f t="shared" ca="1" si="27"/>
        <v>5</v>
      </c>
      <c r="AA120" s="50">
        <f t="shared" ca="1" si="28"/>
        <v>19</v>
      </c>
      <c r="AB120" s="47"/>
      <c r="AC120" s="53"/>
      <c r="AD120" s="70" t="s">
        <v>360</v>
      </c>
      <c r="AE120" s="47" t="s">
        <v>2146</v>
      </c>
      <c r="AF120" s="47" t="s">
        <v>1436</v>
      </c>
      <c r="AG120" s="47"/>
      <c r="AH120" s="47"/>
      <c r="AI120" s="111" t="s">
        <v>2147</v>
      </c>
      <c r="AJ120" s="107" t="s">
        <v>2148</v>
      </c>
      <c r="AK120" s="113" t="s">
        <v>2149</v>
      </c>
      <c r="AL120" s="56" t="s">
        <v>244</v>
      </c>
      <c r="AM120" s="47" t="str">
        <f t="shared" si="54"/>
        <v>JL CEMARA WUNG KOMP RAGA BUANA BLOK C RT 45 1 UTARA,BANJARMASIN UTARA,71025 KAUIMANTAN SELATAN</v>
      </c>
      <c r="AN120" s="47"/>
      <c r="AO120" s="47" t="s">
        <v>2100</v>
      </c>
      <c r="AP120" s="47" t="s">
        <v>101</v>
      </c>
      <c r="AQ120" s="48" t="s">
        <v>2150</v>
      </c>
      <c r="AR120" s="47"/>
      <c r="AS120" s="47" t="s">
        <v>163</v>
      </c>
      <c r="AT120" s="47" t="s">
        <v>272</v>
      </c>
      <c r="AU120" s="47"/>
      <c r="AV120" s="48" t="s">
        <v>2151</v>
      </c>
      <c r="AW120" s="47" t="str">
        <f t="shared" si="50"/>
        <v>JL CEMARA WUNG KOMP RAGA BUANA BLOK C RT 45 1 UTARA,BANJARMASIN UTARA,71025 KAUIMANTAN SELATAN</v>
      </c>
      <c r="AX120" s="47"/>
      <c r="AY120" s="47"/>
      <c r="AZ120" s="47"/>
      <c r="BA120" s="47"/>
      <c r="BB120" s="112"/>
      <c r="BC120" s="111" t="s">
        <v>2152</v>
      </c>
      <c r="BD120" s="114" t="s">
        <v>2153</v>
      </c>
      <c r="BE120" s="47" t="s">
        <v>175</v>
      </c>
      <c r="BF120" s="56">
        <v>30258</v>
      </c>
      <c r="BG120" s="57">
        <f t="shared" ca="1" si="51"/>
        <v>43</v>
      </c>
      <c r="BH120" s="57">
        <f t="shared" ca="1" si="52"/>
        <v>5</v>
      </c>
      <c r="BI120" s="57">
        <f t="shared" ca="1" si="53"/>
        <v>19</v>
      </c>
      <c r="BJ120" s="114" t="s">
        <v>2154</v>
      </c>
      <c r="BK120" s="47" t="s">
        <v>175</v>
      </c>
      <c r="BL120" s="56"/>
      <c r="BM120" s="57">
        <f t="shared" ca="1" si="32"/>
        <v>126</v>
      </c>
      <c r="BN120" s="57">
        <f t="shared" ca="1" si="33"/>
        <v>3</v>
      </c>
      <c r="BO120" s="57">
        <f t="shared" ca="1" si="34"/>
        <v>22</v>
      </c>
      <c r="BP120" s="114" t="s">
        <v>2155</v>
      </c>
      <c r="BQ120" s="47"/>
      <c r="BR120" s="56"/>
      <c r="BS120" s="57">
        <f t="shared" ca="1" si="35"/>
        <v>126</v>
      </c>
      <c r="BT120" s="57">
        <f t="shared" ca="1" si="36"/>
        <v>3</v>
      </c>
      <c r="BU120" s="57">
        <f t="shared" ca="1" si="37"/>
        <v>22</v>
      </c>
      <c r="BV120" s="47"/>
      <c r="BW120" s="47"/>
      <c r="BX120" s="56"/>
      <c r="BY120" s="57">
        <f t="shared" ca="1" si="38"/>
        <v>126</v>
      </c>
      <c r="BZ120" s="57">
        <f t="shared" ca="1" si="39"/>
        <v>3</v>
      </c>
      <c r="CA120" s="57">
        <f t="shared" ca="1" si="40"/>
        <v>22</v>
      </c>
      <c r="CB120" s="111" t="s">
        <v>2156</v>
      </c>
      <c r="CC120" s="105" t="s">
        <v>2157</v>
      </c>
    </row>
    <row r="121" spans="1:81" ht="15" customHeight="1" x14ac:dyDescent="0.25">
      <c r="A121" s="46" t="s">
        <v>2158</v>
      </c>
      <c r="B121" s="47" t="s">
        <v>2159</v>
      </c>
      <c r="C121" s="47" t="s">
        <v>2160</v>
      </c>
      <c r="D121" s="47" t="s">
        <v>86</v>
      </c>
      <c r="E121" s="47" t="s">
        <v>353</v>
      </c>
      <c r="F121" s="47" t="s">
        <v>328</v>
      </c>
      <c r="G121" s="47" t="s">
        <v>398</v>
      </c>
      <c r="H121" s="47" t="s">
        <v>399</v>
      </c>
      <c r="I121" s="47" t="s">
        <v>2161</v>
      </c>
      <c r="J121" s="47" t="s">
        <v>110</v>
      </c>
      <c r="K121" s="47" t="s">
        <v>1949</v>
      </c>
      <c r="L121" s="106">
        <v>45824</v>
      </c>
      <c r="M121" s="50">
        <f t="shared" ca="1" si="22"/>
        <v>0</v>
      </c>
      <c r="N121" s="50">
        <f t="shared" ca="1" si="23"/>
        <v>10</v>
      </c>
      <c r="O121" s="50">
        <f t="shared" ca="1" si="24"/>
        <v>6</v>
      </c>
      <c r="P121" s="51">
        <f t="shared" si="25"/>
        <v>55195</v>
      </c>
      <c r="Q121" s="47" t="s">
        <v>181</v>
      </c>
      <c r="R121" s="51">
        <f t="shared" si="46"/>
        <v>45824</v>
      </c>
      <c r="S121" s="51">
        <f t="shared" si="49"/>
        <v>45915</v>
      </c>
      <c r="T121" s="51">
        <f t="shared" si="48"/>
        <v>45916</v>
      </c>
      <c r="U121" s="51"/>
      <c r="V121" s="47" t="s">
        <v>90</v>
      </c>
      <c r="W121" s="47" t="s">
        <v>93</v>
      </c>
      <c r="X121" s="106">
        <v>35106</v>
      </c>
      <c r="Y121" s="50">
        <f t="shared" ca="1" si="26"/>
        <v>30</v>
      </c>
      <c r="Z121" s="50">
        <f t="shared" ca="1" si="27"/>
        <v>2</v>
      </c>
      <c r="AA121" s="50">
        <f t="shared" ca="1" si="28"/>
        <v>11</v>
      </c>
      <c r="AB121" s="47"/>
      <c r="AC121" s="53"/>
      <c r="AD121" s="70" t="s">
        <v>185</v>
      </c>
      <c r="AE121" s="47" t="s">
        <v>2162</v>
      </c>
      <c r="AF121" s="47" t="s">
        <v>2163</v>
      </c>
      <c r="AG121" s="47"/>
      <c r="AH121" s="47"/>
      <c r="AI121" s="47" t="s">
        <v>2164</v>
      </c>
      <c r="AJ121" s="107" t="s">
        <v>2165</v>
      </c>
      <c r="AK121" s="108" t="s">
        <v>2166</v>
      </c>
      <c r="AL121" s="56" t="s">
        <v>244</v>
      </c>
      <c r="AM121" s="47" t="str">
        <f t="shared" si="54"/>
        <v xml:space="preserve">Perum Reni Jaya Jl. Bratasena II Blok BB No. 2, Pamulang, Tangerang 15416 </v>
      </c>
      <c r="AN121" s="47"/>
      <c r="AO121" s="47" t="s">
        <v>1655</v>
      </c>
      <c r="AP121" s="47" t="s">
        <v>641</v>
      </c>
      <c r="AQ121" s="48" t="s">
        <v>2167</v>
      </c>
      <c r="AR121" s="47"/>
      <c r="AS121" s="47" t="s">
        <v>163</v>
      </c>
      <c r="AT121" s="47" t="s">
        <v>164</v>
      </c>
      <c r="AU121" s="47"/>
      <c r="AV121" s="47" t="s">
        <v>2168</v>
      </c>
      <c r="AW121" s="47" t="str">
        <f t="shared" si="50"/>
        <v xml:space="preserve">Perum Reni Jaya Jl. Bratasena II Blok BB No. 2, Pamulang, Tangerang 15416 </v>
      </c>
      <c r="AX121" s="47"/>
      <c r="AY121" s="47"/>
      <c r="AZ121" s="47"/>
      <c r="BA121" s="48" t="s">
        <v>2169</v>
      </c>
      <c r="BB121" s="47" t="s">
        <v>2160</v>
      </c>
      <c r="BC121" s="47" t="s">
        <v>2170</v>
      </c>
      <c r="BD121" s="47"/>
      <c r="BE121" s="47"/>
      <c r="BF121" s="56"/>
      <c r="BG121" s="57">
        <f t="shared" ca="1" si="51"/>
        <v>126</v>
      </c>
      <c r="BH121" s="57">
        <f t="shared" ca="1" si="52"/>
        <v>3</v>
      </c>
      <c r="BI121" s="57">
        <f t="shared" ca="1" si="53"/>
        <v>22</v>
      </c>
      <c r="BJ121" s="47"/>
      <c r="BK121" s="47"/>
      <c r="BL121" s="56"/>
      <c r="BM121" s="57">
        <f t="shared" ca="1" si="32"/>
        <v>126</v>
      </c>
      <c r="BN121" s="57">
        <f t="shared" ca="1" si="33"/>
        <v>3</v>
      </c>
      <c r="BO121" s="57">
        <f t="shared" ca="1" si="34"/>
        <v>22</v>
      </c>
      <c r="BP121" s="47"/>
      <c r="BQ121" s="47"/>
      <c r="BR121" s="56"/>
      <c r="BS121" s="57">
        <f t="shared" ca="1" si="35"/>
        <v>126</v>
      </c>
      <c r="BT121" s="57">
        <f t="shared" ca="1" si="36"/>
        <v>3</v>
      </c>
      <c r="BU121" s="57">
        <f t="shared" ca="1" si="37"/>
        <v>22</v>
      </c>
      <c r="BV121" s="47"/>
      <c r="BW121" s="47"/>
      <c r="BX121" s="56"/>
      <c r="BY121" s="57">
        <f t="shared" ca="1" si="38"/>
        <v>126</v>
      </c>
      <c r="BZ121" s="57">
        <f t="shared" ca="1" si="39"/>
        <v>3</v>
      </c>
      <c r="CA121" s="57">
        <f t="shared" ca="1" si="40"/>
        <v>22</v>
      </c>
      <c r="CB121" s="109" t="s">
        <v>2171</v>
      </c>
      <c r="CC121" s="47"/>
    </row>
    <row r="122" spans="1:81" ht="15" customHeight="1" x14ac:dyDescent="0.25">
      <c r="A122" s="46" t="s">
        <v>2172</v>
      </c>
      <c r="B122" s="47" t="s">
        <v>2173</v>
      </c>
      <c r="C122" s="47" t="s">
        <v>2174</v>
      </c>
      <c r="D122" s="47" t="s">
        <v>86</v>
      </c>
      <c r="E122" s="47" t="s">
        <v>176</v>
      </c>
      <c r="F122" s="47" t="s">
        <v>128</v>
      </c>
      <c r="G122" s="47"/>
      <c r="H122" s="47" t="s">
        <v>147</v>
      </c>
      <c r="I122" s="47" t="s">
        <v>2175</v>
      </c>
      <c r="J122" s="47" t="s">
        <v>90</v>
      </c>
      <c r="K122" s="47" t="s">
        <v>1949</v>
      </c>
      <c r="L122" s="106">
        <v>45847</v>
      </c>
      <c r="M122" s="50">
        <f t="shared" ca="1" si="22"/>
        <v>0</v>
      </c>
      <c r="N122" s="50">
        <f t="shared" ca="1" si="23"/>
        <v>9</v>
      </c>
      <c r="O122" s="50">
        <f t="shared" ca="1" si="24"/>
        <v>13</v>
      </c>
      <c r="P122" s="51">
        <f t="shared" si="25"/>
        <v>55542</v>
      </c>
      <c r="Q122" s="47" t="s">
        <v>181</v>
      </c>
      <c r="R122" s="51">
        <f t="shared" si="46"/>
        <v>45847</v>
      </c>
      <c r="S122" s="51">
        <f>R122+(91)</f>
        <v>45938</v>
      </c>
      <c r="T122" s="51">
        <f t="shared" si="48"/>
        <v>45939</v>
      </c>
      <c r="U122" s="51"/>
      <c r="V122" s="47" t="s">
        <v>2176</v>
      </c>
      <c r="W122" s="47" t="s">
        <v>376</v>
      </c>
      <c r="X122" s="106">
        <v>35454</v>
      </c>
      <c r="Y122" s="50">
        <f t="shared" ca="1" si="26"/>
        <v>29</v>
      </c>
      <c r="Z122" s="50">
        <f t="shared" ca="1" si="27"/>
        <v>2</v>
      </c>
      <c r="AA122" s="50">
        <f t="shared" ca="1" si="28"/>
        <v>29</v>
      </c>
      <c r="AB122" s="47"/>
      <c r="AC122" s="53"/>
      <c r="AD122" s="70" t="s">
        <v>185</v>
      </c>
      <c r="AE122" s="47" t="s">
        <v>725</v>
      </c>
      <c r="AF122" s="47" t="s">
        <v>2177</v>
      </c>
      <c r="AG122" s="47"/>
      <c r="AH122" s="47"/>
      <c r="AI122" s="47" t="s">
        <v>2178</v>
      </c>
      <c r="AJ122" s="104" t="s">
        <v>2179</v>
      </c>
      <c r="AK122" s="111" t="s">
        <v>2180</v>
      </c>
      <c r="AL122" s="56" t="s">
        <v>244</v>
      </c>
      <c r="AM122" s="47" t="s">
        <v>2181</v>
      </c>
      <c r="AN122" s="47"/>
      <c r="AO122" s="47" t="s">
        <v>1655</v>
      </c>
      <c r="AP122" s="47" t="s">
        <v>641</v>
      </c>
      <c r="AQ122" s="48" t="s">
        <v>2182</v>
      </c>
      <c r="AR122" s="47"/>
      <c r="AS122" s="47" t="s">
        <v>163</v>
      </c>
      <c r="AT122" s="47" t="s">
        <v>194</v>
      </c>
      <c r="AU122" s="47"/>
      <c r="AV122" s="47" t="s">
        <v>2183</v>
      </c>
      <c r="AW122" s="47" t="str">
        <f t="shared" si="50"/>
        <v>Dusun Pucanggading Utara RT/RW 02/03, Kelurahan Pucanggading, Kecamatan Bandar, Kabupaten Batang, Jawa Tengah, 51254</v>
      </c>
      <c r="AX122" s="47"/>
      <c r="AY122" s="47"/>
      <c r="AZ122" s="47"/>
      <c r="BA122" s="47" t="s">
        <v>2184</v>
      </c>
      <c r="BB122" s="47" t="s">
        <v>2174</v>
      </c>
      <c r="BC122" s="47" t="s">
        <v>2185</v>
      </c>
      <c r="BD122" s="47"/>
      <c r="BE122" s="47"/>
      <c r="BF122" s="56"/>
      <c r="BG122" s="47"/>
      <c r="BH122" s="47"/>
      <c r="BI122" s="47"/>
      <c r="BJ122" s="47"/>
      <c r="BK122" s="47"/>
      <c r="BL122" s="56"/>
      <c r="BM122" s="47"/>
      <c r="BN122" s="47"/>
      <c r="BO122" s="47"/>
      <c r="BP122" s="47"/>
      <c r="BQ122" s="47"/>
      <c r="BR122" s="56"/>
      <c r="BS122" s="47"/>
      <c r="BT122" s="47"/>
      <c r="BU122" s="47"/>
      <c r="BV122" s="47"/>
      <c r="BW122" s="47"/>
      <c r="BX122" s="56"/>
      <c r="BY122" s="47"/>
      <c r="BZ122" s="47"/>
      <c r="CA122" s="47"/>
      <c r="CB122" s="111" t="s">
        <v>2186</v>
      </c>
      <c r="CC122" s="105" t="s">
        <v>2187</v>
      </c>
    </row>
    <row r="123" spans="1:81" ht="15" customHeight="1" x14ac:dyDescent="0.25">
      <c r="A123" s="46" t="s">
        <v>2188</v>
      </c>
      <c r="B123" s="47" t="s">
        <v>2189</v>
      </c>
      <c r="C123" s="47" t="s">
        <v>2190</v>
      </c>
      <c r="D123" s="47" t="s">
        <v>175</v>
      </c>
      <c r="E123" s="47" t="s">
        <v>630</v>
      </c>
      <c r="F123" s="47" t="s">
        <v>328</v>
      </c>
      <c r="G123" s="47" t="s">
        <v>398</v>
      </c>
      <c r="H123" s="47" t="s">
        <v>399</v>
      </c>
      <c r="I123" s="47" t="s">
        <v>1963</v>
      </c>
      <c r="J123" s="47" t="s">
        <v>110</v>
      </c>
      <c r="K123" s="47" t="s">
        <v>1949</v>
      </c>
      <c r="L123" s="49">
        <v>45889</v>
      </c>
      <c r="M123" s="50">
        <f t="shared" ca="1" si="22"/>
        <v>0</v>
      </c>
      <c r="N123" s="50">
        <f t="shared" ca="1" si="23"/>
        <v>8</v>
      </c>
      <c r="O123" s="50">
        <f t="shared" ca="1" si="24"/>
        <v>2</v>
      </c>
      <c r="P123" s="51">
        <f t="shared" si="25"/>
        <v>56083</v>
      </c>
      <c r="Q123" s="93" t="s">
        <v>2191</v>
      </c>
      <c r="R123" s="49">
        <f t="shared" si="46"/>
        <v>45889</v>
      </c>
      <c r="S123" s="49">
        <f>R123+(91-1)</f>
        <v>45979</v>
      </c>
      <c r="T123" s="49">
        <f t="shared" si="48"/>
        <v>45980</v>
      </c>
      <c r="U123" s="51"/>
      <c r="V123" s="47" t="s">
        <v>418</v>
      </c>
      <c r="W123" s="47" t="s">
        <v>129</v>
      </c>
      <c r="X123" s="49">
        <v>35994</v>
      </c>
      <c r="Y123" s="50">
        <f t="shared" ca="1" si="26"/>
        <v>27</v>
      </c>
      <c r="Z123" s="50">
        <f t="shared" ca="1" si="27"/>
        <v>9</v>
      </c>
      <c r="AA123" s="50">
        <f t="shared" ca="1" si="28"/>
        <v>4</v>
      </c>
      <c r="AB123" s="47"/>
      <c r="AC123" s="53"/>
      <c r="AD123" s="70" t="s">
        <v>185</v>
      </c>
      <c r="AE123" s="47" t="s">
        <v>1822</v>
      </c>
      <c r="AF123" s="47" t="s">
        <v>2192</v>
      </c>
      <c r="AG123" s="47"/>
      <c r="AH123" s="47">
        <v>2</v>
      </c>
      <c r="AI123" s="47" t="s">
        <v>2193</v>
      </c>
      <c r="AJ123" s="47"/>
      <c r="AK123" s="47" t="s">
        <v>2194</v>
      </c>
      <c r="AL123" s="56" t="s">
        <v>244</v>
      </c>
      <c r="AM123" s="47" t="s">
        <v>2195</v>
      </c>
      <c r="AN123" s="47"/>
      <c r="AO123" s="47" t="s">
        <v>1655</v>
      </c>
      <c r="AP123" s="47" t="s">
        <v>641</v>
      </c>
      <c r="AQ123" s="48" t="s">
        <v>2196</v>
      </c>
      <c r="AR123" s="47">
        <v>81229380867</v>
      </c>
      <c r="AS123" s="47" t="s">
        <v>163</v>
      </c>
      <c r="AT123" s="47" t="s">
        <v>194</v>
      </c>
      <c r="AU123" s="47"/>
      <c r="AV123" s="47"/>
      <c r="AW123" s="47" t="str">
        <f t="shared" si="50"/>
        <v>Suruhan, RT 006RW 006, Karangjati, Wonosegoro, Boyolali</v>
      </c>
      <c r="AX123" s="47"/>
      <c r="AY123" s="47"/>
      <c r="AZ123" s="47"/>
      <c r="BA123" s="47" t="s">
        <v>2197</v>
      </c>
      <c r="BB123" s="47" t="s">
        <v>2190</v>
      </c>
      <c r="BC123" s="47" t="s">
        <v>2198</v>
      </c>
      <c r="BD123" s="47"/>
      <c r="BE123" s="47"/>
      <c r="BF123" s="51"/>
      <c r="BG123" s="57">
        <f ca="1">DATEDIF(BF123,TODAY(),"Y")</f>
        <v>126</v>
      </c>
      <c r="BH123" s="57">
        <f ca="1">DATEDIF(BF123,TODAY(),"Ym")</f>
        <v>3</v>
      </c>
      <c r="BI123" s="57">
        <f ca="1">DATEDIF(BF123,TODAY(),"md")</f>
        <v>22</v>
      </c>
      <c r="BJ123" s="47"/>
      <c r="BK123" s="47"/>
      <c r="BL123" s="51"/>
      <c r="BM123" s="57">
        <f ca="1">DATEDIF(BL123,TODAY(),"Y")</f>
        <v>126</v>
      </c>
      <c r="BN123" s="57">
        <f ca="1">DATEDIF(BL123,TODAY(),"Ym")</f>
        <v>3</v>
      </c>
      <c r="BO123" s="57">
        <f ca="1">DATEDIF(BL123,TODAY(),"md")</f>
        <v>22</v>
      </c>
      <c r="BP123" s="47"/>
      <c r="BQ123" s="47"/>
      <c r="BR123" s="51"/>
      <c r="BS123" s="57">
        <f ca="1">DATEDIF(BR123,TODAY(),"Y")</f>
        <v>126</v>
      </c>
      <c r="BT123" s="57">
        <f ca="1">DATEDIF(BR123,TODAY(),"Ym")</f>
        <v>3</v>
      </c>
      <c r="BU123" s="57">
        <f ca="1">DATEDIF(BR123,TODAY(),"md")</f>
        <v>22</v>
      </c>
      <c r="BV123" s="47"/>
      <c r="BW123" s="47"/>
      <c r="BX123" s="51"/>
      <c r="BY123" s="57">
        <f ca="1">DATEDIF(BX123,TODAY(),"Y")</f>
        <v>126</v>
      </c>
      <c r="BZ123" s="57">
        <f ca="1">DATEDIF(BX123,TODAY(),"Ym")</f>
        <v>3</v>
      </c>
      <c r="CA123" s="57">
        <f ca="1">DATEDIF(BX123,TODAY(),"md")</f>
        <v>22</v>
      </c>
      <c r="CB123" s="47"/>
      <c r="CC123" s="47"/>
    </row>
    <row r="124" spans="1:81" ht="15" customHeight="1" x14ac:dyDescent="0.25">
      <c r="A124" s="46" t="s">
        <v>2199</v>
      </c>
      <c r="B124" s="47" t="s">
        <v>2200</v>
      </c>
      <c r="C124" s="47" t="s">
        <v>2201</v>
      </c>
      <c r="D124" s="47" t="s">
        <v>175</v>
      </c>
      <c r="E124" s="47" t="s">
        <v>675</v>
      </c>
      <c r="F124" s="47" t="s">
        <v>328</v>
      </c>
      <c r="G124" s="47" t="s">
        <v>398</v>
      </c>
      <c r="H124" s="48" t="s">
        <v>88</v>
      </c>
      <c r="I124" s="47" t="s">
        <v>2202</v>
      </c>
      <c r="J124" s="47" t="s">
        <v>110</v>
      </c>
      <c r="K124" s="47" t="s">
        <v>1949</v>
      </c>
      <c r="L124" s="106">
        <v>45903</v>
      </c>
      <c r="M124" s="50">
        <f t="shared" ca="1" si="22"/>
        <v>0</v>
      </c>
      <c r="N124" s="50">
        <f t="shared" ca="1" si="23"/>
        <v>7</v>
      </c>
      <c r="O124" s="50">
        <f t="shared" ca="1" si="24"/>
        <v>19</v>
      </c>
      <c r="P124" s="51">
        <f t="shared" si="25"/>
        <v>50901</v>
      </c>
      <c r="Q124" s="47" t="s">
        <v>181</v>
      </c>
      <c r="R124" s="49">
        <f t="shared" si="46"/>
        <v>45903</v>
      </c>
      <c r="S124" s="49">
        <f>R124+(91-1)</f>
        <v>45993</v>
      </c>
      <c r="T124" s="51">
        <f t="shared" si="48"/>
        <v>45994</v>
      </c>
      <c r="U124" s="51"/>
      <c r="V124" s="47" t="s">
        <v>2203</v>
      </c>
      <c r="W124" s="47" t="s">
        <v>678</v>
      </c>
      <c r="X124" s="106">
        <v>30813</v>
      </c>
      <c r="Y124" s="50">
        <f t="shared" ca="1" si="26"/>
        <v>41</v>
      </c>
      <c r="Z124" s="50">
        <f t="shared" ca="1" si="27"/>
        <v>11</v>
      </c>
      <c r="AA124" s="50">
        <f t="shared" ca="1" si="28"/>
        <v>11</v>
      </c>
      <c r="AB124" s="47"/>
      <c r="AC124" s="53"/>
      <c r="AD124" s="70" t="s">
        <v>185</v>
      </c>
      <c r="AE124" s="108" t="s">
        <v>1779</v>
      </c>
      <c r="AF124" s="47" t="s">
        <v>554</v>
      </c>
      <c r="AG124" s="47"/>
      <c r="AH124" s="47"/>
      <c r="AI124" s="54" t="s">
        <v>2204</v>
      </c>
      <c r="AJ124" s="107" t="s">
        <v>2205</v>
      </c>
      <c r="AK124" s="47" t="s">
        <v>2206</v>
      </c>
      <c r="AL124" s="56" t="s">
        <v>244</v>
      </c>
      <c r="AM124" s="108" t="s">
        <v>2207</v>
      </c>
      <c r="AN124" s="47"/>
      <c r="AO124" s="47" t="s">
        <v>1655</v>
      </c>
      <c r="AP124" s="47" t="s">
        <v>101</v>
      </c>
      <c r="AQ124" s="48" t="s">
        <v>2208</v>
      </c>
      <c r="AR124" s="47"/>
      <c r="AS124" s="47" t="s">
        <v>513</v>
      </c>
      <c r="AT124" s="47" t="s">
        <v>194</v>
      </c>
      <c r="AU124" s="47"/>
      <c r="AV124" s="48" t="s">
        <v>2209</v>
      </c>
      <c r="AW124" s="47" t="str">
        <f t="shared" si="50"/>
        <v>Jalan Letjen Sutoyo, Cililitan,Kramat jati,JakartaTimur</v>
      </c>
      <c r="AX124" s="47"/>
      <c r="AY124" s="47"/>
      <c r="AZ124" s="47"/>
      <c r="BA124" s="48" t="s">
        <v>2210</v>
      </c>
      <c r="BB124" s="47" t="s">
        <v>2201</v>
      </c>
      <c r="BC124" s="47" t="s">
        <v>2211</v>
      </c>
      <c r="BD124" s="108" t="s">
        <v>2212</v>
      </c>
      <c r="BE124" s="47" t="s">
        <v>86</v>
      </c>
      <c r="BF124" s="56">
        <v>28487</v>
      </c>
      <c r="BG124" s="57">
        <f ca="1">DATEDIF(BF124,TODAY(),"Y")</f>
        <v>48</v>
      </c>
      <c r="BH124" s="57">
        <f ca="1">DATEDIF(BF124,TODAY(),"Ym")</f>
        <v>3</v>
      </c>
      <c r="BI124" s="57">
        <f ca="1">DATEDIF(BF124,TODAY(),"md")</f>
        <v>25</v>
      </c>
      <c r="BJ124" s="108" t="s">
        <v>2213</v>
      </c>
      <c r="BK124" s="47" t="s">
        <v>86</v>
      </c>
      <c r="BL124" s="56">
        <v>41182</v>
      </c>
      <c r="BM124" s="57">
        <f ca="1">DATEDIF(BL124,TODAY(),"Y")</f>
        <v>13</v>
      </c>
      <c r="BN124" s="57">
        <f ca="1">DATEDIF(BL124,TODAY(),"Ym")</f>
        <v>6</v>
      </c>
      <c r="BO124" s="57">
        <f ca="1">DATEDIF(BL124,TODAY(),"md")</f>
        <v>23</v>
      </c>
      <c r="BP124" s="108" t="s">
        <v>2214</v>
      </c>
      <c r="BQ124" s="47"/>
      <c r="BR124" s="56">
        <v>43308</v>
      </c>
      <c r="BS124" s="57">
        <f ca="1">DATEDIF(BR124,TODAY(),"Y")</f>
        <v>7</v>
      </c>
      <c r="BT124" s="57">
        <f ca="1">DATEDIF(BR124,TODAY(),"Ym")</f>
        <v>8</v>
      </c>
      <c r="BU124" s="57">
        <f ca="1">DATEDIF(BR124,TODAY(),"md")</f>
        <v>26</v>
      </c>
      <c r="BV124" s="47"/>
      <c r="BW124" s="47"/>
      <c r="BX124" s="56"/>
      <c r="BY124" s="47"/>
      <c r="BZ124" s="47"/>
      <c r="CA124" s="47"/>
      <c r="CB124" s="108" t="s">
        <v>2215</v>
      </c>
      <c r="CC124" s="105" t="s">
        <v>2216</v>
      </c>
    </row>
    <row r="125" spans="1:81" ht="15" customHeight="1" x14ac:dyDescent="0.2">
      <c r="A125" s="46" t="s">
        <v>2217</v>
      </c>
      <c r="B125" s="47" t="s">
        <v>2218</v>
      </c>
      <c r="C125" s="47" t="s">
        <v>2219</v>
      </c>
      <c r="D125" s="47" t="s">
        <v>86</v>
      </c>
      <c r="E125" s="47" t="s">
        <v>233</v>
      </c>
      <c r="F125" s="47" t="s">
        <v>128</v>
      </c>
      <c r="G125" s="47"/>
      <c r="H125" s="47" t="s">
        <v>1833</v>
      </c>
      <c r="I125" s="47" t="s">
        <v>2220</v>
      </c>
      <c r="J125" s="47" t="s">
        <v>90</v>
      </c>
      <c r="K125" s="47" t="s">
        <v>1949</v>
      </c>
      <c r="L125" s="106">
        <v>45931</v>
      </c>
      <c r="M125" s="50">
        <f t="shared" ca="1" si="22"/>
        <v>0</v>
      </c>
      <c r="N125" s="50">
        <f t="shared" ca="1" si="23"/>
        <v>6</v>
      </c>
      <c r="O125" s="50">
        <f t="shared" ca="1" si="24"/>
        <v>21</v>
      </c>
      <c r="P125" s="51">
        <f t="shared" si="25"/>
        <v>47524</v>
      </c>
      <c r="Q125" s="47" t="s">
        <v>181</v>
      </c>
      <c r="R125" s="49">
        <f t="shared" si="46"/>
        <v>45931</v>
      </c>
      <c r="S125" s="49">
        <f>R125+(91-1)</f>
        <v>46021</v>
      </c>
      <c r="T125" s="51">
        <f t="shared" si="48"/>
        <v>46022</v>
      </c>
      <c r="U125" s="51"/>
      <c r="V125" s="47" t="s">
        <v>374</v>
      </c>
      <c r="W125" s="47" t="s">
        <v>93</v>
      </c>
      <c r="X125" s="106">
        <v>27435</v>
      </c>
      <c r="Y125" s="50">
        <f t="shared" ca="1" si="26"/>
        <v>51</v>
      </c>
      <c r="Z125" s="50">
        <f t="shared" ca="1" si="27"/>
        <v>2</v>
      </c>
      <c r="AA125" s="50">
        <f t="shared" ca="1" si="28"/>
        <v>12</v>
      </c>
      <c r="AB125" s="47"/>
      <c r="AC125" s="53"/>
      <c r="AD125" s="70" t="s">
        <v>185</v>
      </c>
      <c r="AE125" s="108" t="s">
        <v>2221</v>
      </c>
      <c r="AF125" s="47" t="s">
        <v>2222</v>
      </c>
      <c r="AG125" s="47"/>
      <c r="AH125" s="47">
        <v>26</v>
      </c>
      <c r="AI125" s="115" t="s">
        <v>2223</v>
      </c>
      <c r="AJ125" s="107" t="s">
        <v>2224</v>
      </c>
      <c r="AK125" s="108" t="s">
        <v>2225</v>
      </c>
      <c r="AL125" s="56" t="s">
        <v>244</v>
      </c>
      <c r="AM125" s="108" t="s">
        <v>2226</v>
      </c>
      <c r="AN125" s="47"/>
      <c r="AO125" s="47" t="s">
        <v>2080</v>
      </c>
      <c r="AP125" s="47" t="s">
        <v>101</v>
      </c>
      <c r="AQ125" s="48" t="s">
        <v>2227</v>
      </c>
      <c r="AR125" s="48" t="s">
        <v>2228</v>
      </c>
      <c r="AS125" s="47" t="s">
        <v>163</v>
      </c>
      <c r="AT125" s="47"/>
      <c r="AU125" s="47"/>
      <c r="AV125" s="47" t="s">
        <v>2229</v>
      </c>
      <c r="AW125" s="47" t="str">
        <f t="shared" si="50"/>
        <v>Jl Cendrawasih NO 4 5/6 . Cipayung Ciputat Tangerang Selatan, 15411</v>
      </c>
      <c r="AX125" s="47"/>
      <c r="AY125" s="47"/>
      <c r="AZ125" s="47"/>
      <c r="BA125" s="47" t="s">
        <v>2230</v>
      </c>
      <c r="BB125" s="47" t="s">
        <v>2219</v>
      </c>
      <c r="BC125" s="115" t="s">
        <v>2231</v>
      </c>
      <c r="BD125" s="115" t="s">
        <v>2232</v>
      </c>
      <c r="BE125" s="47" t="s">
        <v>175</v>
      </c>
      <c r="BF125" s="56">
        <v>27948</v>
      </c>
      <c r="BG125" s="57">
        <f ca="1">DATEDIF(BF125,TODAY(),"Y")</f>
        <v>49</v>
      </c>
      <c r="BH125" s="57">
        <f ca="1">DATEDIF(BF125,TODAY(),"Ym")</f>
        <v>9</v>
      </c>
      <c r="BI125" s="57">
        <f ca="1">DATEDIF(BF125,TODAY(),"md")</f>
        <v>15</v>
      </c>
      <c r="BJ125" s="115" t="s">
        <v>2233</v>
      </c>
      <c r="BK125" s="47" t="s">
        <v>86</v>
      </c>
      <c r="BL125" s="56">
        <v>37308</v>
      </c>
      <c r="BM125" s="57">
        <f ca="1">DATEDIF(BL125,TODAY(),"Y")</f>
        <v>24</v>
      </c>
      <c r="BN125" s="57">
        <f ca="1">DATEDIF(BL125,TODAY(),"Ym")</f>
        <v>2</v>
      </c>
      <c r="BO125" s="57">
        <f ca="1">DATEDIF(BL125,TODAY(),"md")</f>
        <v>1</v>
      </c>
      <c r="BP125" s="115" t="s">
        <v>2234</v>
      </c>
      <c r="BQ125" s="47" t="s">
        <v>86</v>
      </c>
      <c r="BR125" s="56">
        <v>38774</v>
      </c>
      <c r="BS125" s="57">
        <f ca="1">DATEDIF(BR125,TODAY(),"Y")</f>
        <v>20</v>
      </c>
      <c r="BT125" s="57">
        <f ca="1">DATEDIF(BR125,TODAY(),"Ym")</f>
        <v>1</v>
      </c>
      <c r="BU125" s="57">
        <f ca="1">DATEDIF(BR125,TODAY(),"md")</f>
        <v>27</v>
      </c>
      <c r="BV125" s="115" t="s">
        <v>2235</v>
      </c>
      <c r="BW125" s="47" t="s">
        <v>175</v>
      </c>
      <c r="BX125" s="56">
        <v>39655</v>
      </c>
      <c r="BY125" s="57">
        <f ca="1">DATEDIF(BX125,TODAY(),"Y")</f>
        <v>17</v>
      </c>
      <c r="BZ125" s="57">
        <f ca="1">DATEDIF(BX125,TODAY(),"Ym")</f>
        <v>8</v>
      </c>
      <c r="CA125" s="57">
        <f ca="1">DATEDIF(BX125,TODAY(),"md")</f>
        <v>27</v>
      </c>
      <c r="CB125" s="109" t="s">
        <v>2236</v>
      </c>
      <c r="CC125" s="105" t="s">
        <v>2237</v>
      </c>
    </row>
    <row r="126" spans="1:81" ht="15" customHeight="1" x14ac:dyDescent="0.2">
      <c r="A126" s="46" t="s">
        <v>2238</v>
      </c>
      <c r="B126" s="47" t="s">
        <v>2239</v>
      </c>
      <c r="C126" s="47" t="s">
        <v>2240</v>
      </c>
      <c r="D126" s="47" t="s">
        <v>86</v>
      </c>
      <c r="E126" s="47" t="s">
        <v>176</v>
      </c>
      <c r="F126" s="47" t="s">
        <v>328</v>
      </c>
      <c r="G126" s="47" t="s">
        <v>398</v>
      </c>
      <c r="H126" s="47" t="s">
        <v>631</v>
      </c>
      <c r="I126" s="47" t="s">
        <v>2241</v>
      </c>
      <c r="J126" s="47" t="s">
        <v>110</v>
      </c>
      <c r="K126" s="47" t="s">
        <v>1949</v>
      </c>
      <c r="L126" s="106">
        <v>45944</v>
      </c>
      <c r="M126" s="50">
        <f t="shared" ca="1" si="22"/>
        <v>0</v>
      </c>
      <c r="N126" s="50">
        <f t="shared" ca="1" si="23"/>
        <v>6</v>
      </c>
      <c r="O126" s="50">
        <f t="shared" ca="1" si="24"/>
        <v>8</v>
      </c>
      <c r="P126" s="51">
        <f t="shared" si="25"/>
        <v>54369</v>
      </c>
      <c r="Q126" s="47" t="s">
        <v>181</v>
      </c>
      <c r="R126" s="49">
        <f t="shared" si="46"/>
        <v>45944</v>
      </c>
      <c r="S126" s="49">
        <f>R126+(91-1)</f>
        <v>46034</v>
      </c>
      <c r="T126" s="51">
        <f t="shared" si="48"/>
        <v>46035</v>
      </c>
      <c r="U126" s="51"/>
      <c r="V126" s="47" t="s">
        <v>90</v>
      </c>
      <c r="W126" s="47" t="s">
        <v>111</v>
      </c>
      <c r="X126" s="106">
        <v>34280</v>
      </c>
      <c r="Y126" s="50">
        <f t="shared" ca="1" si="26"/>
        <v>32</v>
      </c>
      <c r="Z126" s="50">
        <f t="shared" ca="1" si="27"/>
        <v>5</v>
      </c>
      <c r="AA126" s="50">
        <f t="shared" ca="1" si="28"/>
        <v>15</v>
      </c>
      <c r="AB126" s="47"/>
      <c r="AC126" s="53"/>
      <c r="AD126" s="70" t="s">
        <v>185</v>
      </c>
      <c r="AE126" s="115" t="s">
        <v>725</v>
      </c>
      <c r="AF126" s="115" t="s">
        <v>1022</v>
      </c>
      <c r="AG126" s="47"/>
      <c r="AH126" s="47">
        <v>8</v>
      </c>
      <c r="AI126" s="115" t="s">
        <v>2242</v>
      </c>
      <c r="AJ126" s="107" t="s">
        <v>2243</v>
      </c>
      <c r="AK126" s="47" t="s">
        <v>2244</v>
      </c>
      <c r="AL126" s="56" t="s">
        <v>244</v>
      </c>
      <c r="AM126" s="47" t="s">
        <v>2244</v>
      </c>
      <c r="AN126" s="47"/>
      <c r="AO126" s="47" t="s">
        <v>2245</v>
      </c>
      <c r="AP126" s="47" t="s">
        <v>101</v>
      </c>
      <c r="AQ126" s="48" t="s">
        <v>2246</v>
      </c>
      <c r="AR126" s="48" t="s">
        <v>2247</v>
      </c>
      <c r="AS126" s="47" t="s">
        <v>163</v>
      </c>
      <c r="AT126" s="47" t="s">
        <v>194</v>
      </c>
      <c r="AU126" s="47"/>
      <c r="AV126" s="47" t="s">
        <v>2248</v>
      </c>
      <c r="AW126" s="47" t="str">
        <f t="shared" si="50"/>
        <v xml:space="preserve">Ujung Harapan RT 006/015 Kel. Bahagia,  Kec. Babelan, Bekasi 17612 </v>
      </c>
      <c r="AX126" s="47"/>
      <c r="AY126" s="47"/>
      <c r="AZ126" s="47"/>
      <c r="BA126" s="48" t="s">
        <v>2249</v>
      </c>
      <c r="BB126" s="47" t="s">
        <v>2240</v>
      </c>
      <c r="BC126" s="115" t="s">
        <v>2250</v>
      </c>
      <c r="BD126" s="115" t="s">
        <v>2251</v>
      </c>
      <c r="BE126" s="47" t="s">
        <v>175</v>
      </c>
      <c r="BF126" s="56">
        <v>36576</v>
      </c>
      <c r="BG126" s="57">
        <f ca="1">DATEDIF(BF126,TODAY(),"Y")</f>
        <v>26</v>
      </c>
      <c r="BH126" s="57">
        <f ca="1">DATEDIF(BF126,TODAY(),"Ym")</f>
        <v>2</v>
      </c>
      <c r="BI126" s="57">
        <f ca="1">DATEDIF(BF126,TODAY(),"md")</f>
        <v>2</v>
      </c>
      <c r="BJ126" s="115" t="s">
        <v>2252</v>
      </c>
      <c r="BK126" s="47" t="s">
        <v>175</v>
      </c>
      <c r="BL126" s="56">
        <v>44774</v>
      </c>
      <c r="BM126" s="57">
        <f ca="1">DATEDIF(BL126,TODAY(),"Y")</f>
        <v>3</v>
      </c>
      <c r="BN126" s="57">
        <f ca="1">DATEDIF(BL126,TODAY(),"Ym")</f>
        <v>8</v>
      </c>
      <c r="BO126" s="57">
        <f ca="1">DATEDIF(BL126,TODAY(),"md")</f>
        <v>21</v>
      </c>
      <c r="BP126" s="47"/>
      <c r="BQ126" s="47"/>
      <c r="BR126" s="56"/>
      <c r="BS126" s="47"/>
      <c r="BT126" s="47"/>
      <c r="BU126" s="47"/>
      <c r="BV126" s="47"/>
      <c r="BW126" s="47"/>
      <c r="BX126" s="56"/>
      <c r="BY126" s="47"/>
      <c r="BZ126" s="47"/>
      <c r="CA126" s="47"/>
      <c r="CB126" s="115" t="s">
        <v>2253</v>
      </c>
      <c r="CC126" s="105" t="s">
        <v>2254</v>
      </c>
    </row>
    <row r="127" spans="1:81" ht="15" customHeight="1" x14ac:dyDescent="0.2">
      <c r="A127" s="46" t="s">
        <v>2255</v>
      </c>
      <c r="B127" s="47" t="s">
        <v>2256</v>
      </c>
      <c r="C127" s="47" t="s">
        <v>2257</v>
      </c>
      <c r="D127" s="47" t="s">
        <v>175</v>
      </c>
      <c r="E127" s="47" t="s">
        <v>630</v>
      </c>
      <c r="F127" s="47" t="s">
        <v>328</v>
      </c>
      <c r="G127" s="47" t="s">
        <v>398</v>
      </c>
      <c r="H127" s="47" t="s">
        <v>631</v>
      </c>
      <c r="I127" s="47" t="s">
        <v>632</v>
      </c>
      <c r="J127" s="47" t="s">
        <v>110</v>
      </c>
      <c r="K127" s="47" t="s">
        <v>1949</v>
      </c>
      <c r="L127" s="106">
        <v>45959</v>
      </c>
      <c r="M127" s="50">
        <f t="shared" ca="1" si="22"/>
        <v>0</v>
      </c>
      <c r="N127" s="50">
        <f t="shared" ca="1" si="23"/>
        <v>5</v>
      </c>
      <c r="O127" s="50">
        <f t="shared" ca="1" si="24"/>
        <v>24</v>
      </c>
      <c r="P127" s="51">
        <f t="shared" si="25"/>
        <v>57551</v>
      </c>
      <c r="Q127" s="47" t="s">
        <v>181</v>
      </c>
      <c r="R127" s="49">
        <f t="shared" si="46"/>
        <v>45959</v>
      </c>
      <c r="S127" s="49">
        <f>R127+(92-1)</f>
        <v>46050</v>
      </c>
      <c r="T127" s="51">
        <f t="shared" si="48"/>
        <v>46051</v>
      </c>
      <c r="U127" s="51"/>
      <c r="V127" s="115" t="s">
        <v>2258</v>
      </c>
      <c r="W127" s="47" t="s">
        <v>129</v>
      </c>
      <c r="X127" s="106">
        <v>37462</v>
      </c>
      <c r="Y127" s="50">
        <f t="shared" ca="1" si="26"/>
        <v>23</v>
      </c>
      <c r="Z127" s="50">
        <f t="shared" ca="1" si="27"/>
        <v>8</v>
      </c>
      <c r="AA127" s="50">
        <f t="shared" ca="1" si="28"/>
        <v>28</v>
      </c>
      <c r="AB127" s="47"/>
      <c r="AC127" s="53"/>
      <c r="AD127" s="70" t="s">
        <v>185</v>
      </c>
      <c r="AE127" s="115" t="s">
        <v>2259</v>
      </c>
      <c r="AF127" s="115" t="s">
        <v>2260</v>
      </c>
      <c r="AG127" s="47"/>
      <c r="AH127" s="47"/>
      <c r="AI127" s="47"/>
      <c r="AJ127" s="107" t="s">
        <v>2261</v>
      </c>
      <c r="AK127" s="47" t="s">
        <v>2262</v>
      </c>
      <c r="AL127" s="56" t="s">
        <v>244</v>
      </c>
      <c r="AM127" s="115" t="s">
        <v>2263</v>
      </c>
      <c r="AN127" s="47"/>
      <c r="AO127" s="47" t="s">
        <v>1655</v>
      </c>
      <c r="AP127" s="47" t="s">
        <v>641</v>
      </c>
      <c r="AQ127" s="48" t="s">
        <v>2264</v>
      </c>
      <c r="AR127" s="48" t="s">
        <v>2265</v>
      </c>
      <c r="AS127" s="47" t="s">
        <v>163</v>
      </c>
      <c r="AT127" s="47" t="s">
        <v>194</v>
      </c>
      <c r="AU127" s="47"/>
      <c r="AV127" s="47"/>
      <c r="AW127" s="47"/>
      <c r="AX127" s="47"/>
      <c r="AY127" s="47"/>
      <c r="AZ127" s="47"/>
      <c r="BA127" s="47"/>
      <c r="BB127" s="112"/>
      <c r="BC127" s="115" t="s">
        <v>2266</v>
      </c>
      <c r="BD127" s="47"/>
      <c r="BE127" s="47"/>
      <c r="BF127" s="56"/>
      <c r="BG127" s="57"/>
      <c r="BH127" s="57"/>
      <c r="BI127" s="57"/>
      <c r="BJ127" s="47"/>
      <c r="BK127" s="47"/>
      <c r="BL127" s="56"/>
      <c r="BM127" s="47"/>
      <c r="BN127" s="47"/>
      <c r="BO127" s="47"/>
      <c r="BP127" s="47"/>
      <c r="BQ127" s="47"/>
      <c r="BR127" s="56"/>
      <c r="BS127" s="47"/>
      <c r="BT127" s="47"/>
      <c r="BU127" s="47"/>
      <c r="BV127" s="47"/>
      <c r="BW127" s="47"/>
      <c r="BX127" s="56"/>
      <c r="BY127" s="47"/>
      <c r="BZ127" s="47"/>
      <c r="CA127" s="47"/>
      <c r="CB127" s="47"/>
      <c r="CC127" s="115" t="s">
        <v>2267</v>
      </c>
    </row>
    <row r="128" spans="1:81" ht="15" customHeight="1" x14ac:dyDescent="0.25">
      <c r="A128" s="46" t="s">
        <v>2268</v>
      </c>
      <c r="B128" s="47" t="s">
        <v>2269</v>
      </c>
      <c r="C128" s="47" t="s">
        <v>2270</v>
      </c>
      <c r="D128" s="47" t="s">
        <v>86</v>
      </c>
      <c r="E128" s="47" t="s">
        <v>176</v>
      </c>
      <c r="F128" s="47" t="s">
        <v>177</v>
      </c>
      <c r="G128" s="47"/>
      <c r="H128" s="47" t="s">
        <v>178</v>
      </c>
      <c r="I128" s="47" t="s">
        <v>179</v>
      </c>
      <c r="J128" s="47" t="s">
        <v>90</v>
      </c>
      <c r="K128" s="47" t="s">
        <v>1949</v>
      </c>
      <c r="L128" s="106">
        <v>45964</v>
      </c>
      <c r="M128" s="50">
        <f t="shared" ca="1" si="22"/>
        <v>0</v>
      </c>
      <c r="N128" s="50">
        <f t="shared" ca="1" si="23"/>
        <v>5</v>
      </c>
      <c r="O128" s="50">
        <f t="shared" ca="1" si="24"/>
        <v>19</v>
      </c>
      <c r="P128" s="51">
        <f t="shared" si="25"/>
        <v>56750</v>
      </c>
      <c r="Q128" s="47" t="s">
        <v>181</v>
      </c>
      <c r="R128" s="49">
        <f t="shared" si="46"/>
        <v>45964</v>
      </c>
      <c r="S128" s="49">
        <f>R128+(92-1)</f>
        <v>46055</v>
      </c>
      <c r="T128" s="51">
        <f t="shared" si="48"/>
        <v>46056</v>
      </c>
      <c r="U128" s="51"/>
      <c r="V128" s="47" t="s">
        <v>677</v>
      </c>
      <c r="W128" s="47" t="s">
        <v>678</v>
      </c>
      <c r="X128" s="106">
        <v>36662</v>
      </c>
      <c r="Y128" s="50">
        <f t="shared" ca="1" si="26"/>
        <v>25</v>
      </c>
      <c r="Z128" s="50">
        <f t="shared" ca="1" si="27"/>
        <v>11</v>
      </c>
      <c r="AA128" s="50">
        <f t="shared" ca="1" si="28"/>
        <v>6</v>
      </c>
      <c r="AB128" s="47"/>
      <c r="AC128" s="53"/>
      <c r="AD128" s="63" t="s">
        <v>152</v>
      </c>
      <c r="AE128" s="47" t="s">
        <v>2271</v>
      </c>
      <c r="AF128" s="47" t="s">
        <v>2272</v>
      </c>
      <c r="AG128" s="47"/>
      <c r="AH128" s="47">
        <v>6</v>
      </c>
      <c r="AI128" s="116" t="s">
        <v>2273</v>
      </c>
      <c r="AJ128" s="107" t="s">
        <v>2274</v>
      </c>
      <c r="AK128" s="117" t="s">
        <v>2275</v>
      </c>
      <c r="AL128" s="56" t="s">
        <v>244</v>
      </c>
      <c r="AM128" s="47" t="str">
        <f>AK128</f>
        <v xml:space="preserve">Jl. Ledtjen Sutoyo, Perum d'kebonsari village blok sakura 4 no 16, Jember, 68122                     </v>
      </c>
      <c r="AN128" s="47"/>
      <c r="AO128" s="47" t="s">
        <v>2245</v>
      </c>
      <c r="AP128" s="47" t="s">
        <v>101</v>
      </c>
      <c r="AQ128" s="48" t="s">
        <v>2276</v>
      </c>
      <c r="AR128" s="47"/>
      <c r="AS128" s="47" t="s">
        <v>163</v>
      </c>
      <c r="AT128" s="47" t="s">
        <v>194</v>
      </c>
      <c r="AU128" s="47"/>
      <c r="AV128" s="48" t="s">
        <v>2277</v>
      </c>
      <c r="AW128" s="47" t="str">
        <f t="shared" ref="AW128:AW138" si="55">AK128</f>
        <v xml:space="preserve">Jl. Ledtjen Sutoyo, Perum d'kebonsari village blok sakura 4 no 16, Jember, 68122                     </v>
      </c>
      <c r="AX128" s="47"/>
      <c r="AY128" s="47"/>
      <c r="AZ128" s="47"/>
      <c r="BA128" s="48" t="s">
        <v>2278</v>
      </c>
      <c r="BB128" s="47" t="s">
        <v>2279</v>
      </c>
      <c r="BC128" s="47" t="s">
        <v>2280</v>
      </c>
      <c r="BD128" s="47" t="s">
        <v>2281</v>
      </c>
      <c r="BE128" s="47" t="s">
        <v>175</v>
      </c>
      <c r="BF128" s="56">
        <v>36990</v>
      </c>
      <c r="BG128" s="57">
        <f ca="1">DATEDIF(BF128,TODAY(),"Y")</f>
        <v>25</v>
      </c>
      <c r="BH128" s="57">
        <f ca="1">DATEDIF(BF128,TODAY(),"Ym")</f>
        <v>0</v>
      </c>
      <c r="BI128" s="57">
        <f ca="1">DATEDIF(BF128,TODAY(),"md")</f>
        <v>13</v>
      </c>
      <c r="BJ128" s="47" t="s">
        <v>2282</v>
      </c>
      <c r="BK128" s="47" t="s">
        <v>175</v>
      </c>
      <c r="BL128" s="56">
        <v>45371</v>
      </c>
      <c r="BM128" s="57">
        <f ca="1">DATEDIF(BL128,TODAY(),"Y")</f>
        <v>2</v>
      </c>
      <c r="BN128" s="57">
        <f ca="1">DATEDIF(BL128,TODAY(),"Ym")</f>
        <v>1</v>
      </c>
      <c r="BO128" s="57">
        <f ca="1">DATEDIF(BL128,TODAY(),"md")</f>
        <v>2</v>
      </c>
      <c r="BP128" s="47"/>
      <c r="BQ128" s="47"/>
      <c r="BR128" s="56"/>
      <c r="BS128" s="47"/>
      <c r="BT128" s="47"/>
      <c r="BU128" s="47"/>
      <c r="BV128" s="47"/>
      <c r="BW128" s="47"/>
      <c r="BX128" s="56"/>
      <c r="BY128" s="47"/>
      <c r="BZ128" s="47"/>
      <c r="CA128" s="47"/>
      <c r="CB128" s="118" t="s">
        <v>2283</v>
      </c>
      <c r="CC128" s="119" t="s">
        <v>2284</v>
      </c>
    </row>
    <row r="129" spans="1:81" ht="15" customHeight="1" x14ac:dyDescent="0.2">
      <c r="A129" s="46" t="s">
        <v>2285</v>
      </c>
      <c r="B129" s="47" t="s">
        <v>2286</v>
      </c>
      <c r="C129" s="47" t="s">
        <v>2287</v>
      </c>
      <c r="D129" s="47" t="s">
        <v>86</v>
      </c>
      <c r="E129" s="47" t="s">
        <v>233</v>
      </c>
      <c r="F129" s="47" t="s">
        <v>177</v>
      </c>
      <c r="G129" s="47"/>
      <c r="H129" s="47" t="s">
        <v>178</v>
      </c>
      <c r="I129" s="59" t="s">
        <v>234</v>
      </c>
      <c r="J129" s="47" t="s">
        <v>90</v>
      </c>
      <c r="K129" s="47" t="s">
        <v>1949</v>
      </c>
      <c r="L129" s="106">
        <v>45978</v>
      </c>
      <c r="M129" s="50">
        <f t="shared" ca="1" si="22"/>
        <v>0</v>
      </c>
      <c r="N129" s="50">
        <f t="shared" ca="1" si="23"/>
        <v>5</v>
      </c>
      <c r="O129" s="50">
        <f t="shared" ca="1" si="24"/>
        <v>5</v>
      </c>
      <c r="P129" s="51">
        <f t="shared" si="25"/>
        <v>49153</v>
      </c>
      <c r="Q129" s="47" t="s">
        <v>181</v>
      </c>
      <c r="R129" s="49">
        <f t="shared" si="46"/>
        <v>45978</v>
      </c>
      <c r="S129" s="49">
        <f>R129+(92-1)</f>
        <v>46069</v>
      </c>
      <c r="T129" s="51">
        <f t="shared" si="48"/>
        <v>46070</v>
      </c>
      <c r="U129" s="51"/>
      <c r="V129" s="47" t="s">
        <v>1867</v>
      </c>
      <c r="W129" s="47" t="s">
        <v>129</v>
      </c>
      <c r="X129" s="106">
        <v>29064</v>
      </c>
      <c r="Y129" s="50">
        <f t="shared" ca="1" si="26"/>
        <v>46</v>
      </c>
      <c r="Z129" s="50">
        <f t="shared" ca="1" si="27"/>
        <v>8</v>
      </c>
      <c r="AA129" s="50">
        <f t="shared" ca="1" si="28"/>
        <v>25</v>
      </c>
      <c r="AB129" s="47"/>
      <c r="AC129" s="53"/>
      <c r="AD129" s="70" t="s">
        <v>185</v>
      </c>
      <c r="AE129" s="115" t="s">
        <v>2288</v>
      </c>
      <c r="AF129" s="115" t="s">
        <v>871</v>
      </c>
      <c r="AG129" s="47"/>
      <c r="AH129" s="47">
        <v>22</v>
      </c>
      <c r="AI129" s="47" t="s">
        <v>2289</v>
      </c>
      <c r="AJ129" s="107" t="s">
        <v>2290</v>
      </c>
      <c r="AK129" s="115" t="s">
        <v>2291</v>
      </c>
      <c r="AL129" s="56" t="s">
        <v>244</v>
      </c>
      <c r="AM129" s="47"/>
      <c r="AN129" s="47"/>
      <c r="AO129" s="47" t="s">
        <v>2100</v>
      </c>
      <c r="AP129" s="47" t="s">
        <v>101</v>
      </c>
      <c r="AQ129" s="48" t="s">
        <v>2292</v>
      </c>
      <c r="AR129" s="48" t="s">
        <v>2293</v>
      </c>
      <c r="AS129" s="115" t="s">
        <v>513</v>
      </c>
      <c r="AT129" s="47" t="s">
        <v>272</v>
      </c>
      <c r="AU129" s="47"/>
      <c r="AV129" s="47" t="s">
        <v>2294</v>
      </c>
      <c r="AW129" s="47" t="str">
        <f t="shared" si="55"/>
        <v>Perumahan Gempol Asri, Jl. Gempol Asri Raya Baru 1 No 22B Bandung</v>
      </c>
      <c r="AX129" s="47"/>
      <c r="AY129" s="47"/>
      <c r="AZ129" s="47"/>
      <c r="BA129" s="48" t="s">
        <v>2295</v>
      </c>
      <c r="BB129" s="47" t="s">
        <v>2287</v>
      </c>
      <c r="BC129" s="115" t="s">
        <v>2296</v>
      </c>
      <c r="BD129" s="115" t="s">
        <v>2297</v>
      </c>
      <c r="BE129" s="47"/>
      <c r="BF129" s="56">
        <v>29889</v>
      </c>
      <c r="BG129" s="57">
        <f ca="1">DATEDIF(BF129,TODAY(),"Y")</f>
        <v>44</v>
      </c>
      <c r="BH129" s="57">
        <f ca="1">DATEDIF(BF129,TODAY(),"Ym")</f>
        <v>5</v>
      </c>
      <c r="BI129" s="57">
        <f ca="1">DATEDIF(BF129,TODAY(),"md")</f>
        <v>23</v>
      </c>
      <c r="BJ129" s="115" t="s">
        <v>2298</v>
      </c>
      <c r="BK129" s="47" t="s">
        <v>86</v>
      </c>
      <c r="BL129" s="56">
        <v>40468</v>
      </c>
      <c r="BM129" s="57">
        <f ca="1">DATEDIF(BL129,TODAY(),"Y")</f>
        <v>15</v>
      </c>
      <c r="BN129" s="57">
        <f ca="1">DATEDIF(BL129,TODAY(),"Ym")</f>
        <v>6</v>
      </c>
      <c r="BO129" s="57">
        <f ca="1">DATEDIF(BL129,TODAY(),"md")</f>
        <v>5</v>
      </c>
      <c r="BP129" s="115" t="s">
        <v>2299</v>
      </c>
      <c r="BQ129" s="56" t="s">
        <v>86</v>
      </c>
      <c r="BR129" s="56">
        <v>41072</v>
      </c>
      <c r="BS129" s="57">
        <f ca="1">DATEDIF(BR129,TODAY(),"Y")</f>
        <v>13</v>
      </c>
      <c r="BT129" s="57">
        <f ca="1">DATEDIF(BR129,TODAY(),"Ym")</f>
        <v>10</v>
      </c>
      <c r="BU129" s="57">
        <f ca="1">DATEDIF(BR129,TODAY(),"md")</f>
        <v>10</v>
      </c>
      <c r="BV129" s="47"/>
      <c r="BW129" s="47"/>
      <c r="BX129" s="56"/>
      <c r="BY129" s="47"/>
      <c r="BZ129" s="47"/>
      <c r="CA129" s="47"/>
      <c r="CB129" s="115" t="s">
        <v>2300</v>
      </c>
      <c r="CC129" s="119" t="s">
        <v>2301</v>
      </c>
    </row>
    <row r="130" spans="1:81" ht="15" customHeight="1" x14ac:dyDescent="0.25">
      <c r="A130" s="46" t="s">
        <v>2302</v>
      </c>
      <c r="B130" s="47" t="s">
        <v>2303</v>
      </c>
      <c r="C130" s="47" t="s">
        <v>2304</v>
      </c>
      <c r="D130" s="47" t="s">
        <v>175</v>
      </c>
      <c r="E130" s="47" t="s">
        <v>206</v>
      </c>
      <c r="F130" s="47" t="s">
        <v>328</v>
      </c>
      <c r="G130" s="47" t="s">
        <v>398</v>
      </c>
      <c r="H130" s="47" t="s">
        <v>1192</v>
      </c>
      <c r="I130" s="47" t="s">
        <v>1633</v>
      </c>
      <c r="J130" s="47" t="s">
        <v>110</v>
      </c>
      <c r="K130" s="47" t="s">
        <v>1949</v>
      </c>
      <c r="L130" s="106">
        <v>46006</v>
      </c>
      <c r="M130" s="50">
        <f t="shared" ca="1" si="22"/>
        <v>0</v>
      </c>
      <c r="N130" s="50">
        <f t="shared" ca="1" si="23"/>
        <v>4</v>
      </c>
      <c r="O130" s="50">
        <f t="shared" ca="1" si="24"/>
        <v>7</v>
      </c>
      <c r="P130" s="51">
        <f t="shared" si="25"/>
        <v>53562</v>
      </c>
      <c r="Q130" s="47" t="s">
        <v>181</v>
      </c>
      <c r="R130" s="49">
        <f t="shared" si="46"/>
        <v>46006</v>
      </c>
      <c r="S130" s="49">
        <f>R130+(92-3)</f>
        <v>46095</v>
      </c>
      <c r="T130" s="51">
        <f t="shared" si="48"/>
        <v>46096</v>
      </c>
      <c r="U130" s="51"/>
      <c r="V130" s="47" t="s">
        <v>459</v>
      </c>
      <c r="W130" s="47" t="s">
        <v>357</v>
      </c>
      <c r="X130" s="106">
        <v>33473</v>
      </c>
      <c r="Y130" s="50">
        <f t="shared" ca="1" si="26"/>
        <v>34</v>
      </c>
      <c r="Z130" s="50">
        <f t="shared" ca="1" si="27"/>
        <v>7</v>
      </c>
      <c r="AA130" s="50">
        <f t="shared" ca="1" si="28"/>
        <v>30</v>
      </c>
      <c r="AB130" s="47"/>
      <c r="AC130" s="53"/>
      <c r="AD130" s="70" t="s">
        <v>185</v>
      </c>
      <c r="AE130" s="47" t="s">
        <v>2305</v>
      </c>
      <c r="AF130" s="47" t="s">
        <v>554</v>
      </c>
      <c r="AG130" s="47"/>
      <c r="AH130" s="47">
        <v>11</v>
      </c>
      <c r="AI130" s="120" t="s">
        <v>2306</v>
      </c>
      <c r="AJ130" s="107" t="s">
        <v>2307</v>
      </c>
      <c r="AK130" s="47" t="s">
        <v>2308</v>
      </c>
      <c r="AL130" s="56" t="s">
        <v>244</v>
      </c>
      <c r="AM130" s="47" t="s">
        <v>2308</v>
      </c>
      <c r="AN130" s="47"/>
      <c r="AO130" s="47" t="s">
        <v>1655</v>
      </c>
      <c r="AP130" s="47" t="s">
        <v>101</v>
      </c>
      <c r="AQ130" s="48" t="s">
        <v>2309</v>
      </c>
      <c r="AR130" s="48" t="s">
        <v>2310</v>
      </c>
      <c r="AS130" s="47" t="s">
        <v>163</v>
      </c>
      <c r="AT130" s="47" t="s">
        <v>343</v>
      </c>
      <c r="AU130" s="47"/>
      <c r="AV130" s="47" t="s">
        <v>2311</v>
      </c>
      <c r="AW130" s="47" t="str">
        <f t="shared" si="55"/>
        <v xml:space="preserve">Taman Sentosa D12/9, Kel. Pasirsari – Kec. Cikarang Selatan – Kab. Bekasi 17530  </v>
      </c>
      <c r="AX130" s="47"/>
      <c r="AY130" s="47"/>
      <c r="AZ130" s="47"/>
      <c r="BA130" s="48" t="s">
        <v>2312</v>
      </c>
      <c r="BB130" s="47" t="s">
        <v>2304</v>
      </c>
      <c r="BC130" s="47" t="s">
        <v>2313</v>
      </c>
      <c r="BD130" s="120" t="s">
        <v>2314</v>
      </c>
      <c r="BE130" s="47" t="s">
        <v>86</v>
      </c>
      <c r="BF130" s="56">
        <v>33415</v>
      </c>
      <c r="BG130" s="57">
        <f ca="1">DATEDIF(BF130,TODAY(),"Y")</f>
        <v>34</v>
      </c>
      <c r="BH130" s="57">
        <f ca="1">DATEDIF(BF130,TODAY(),"Ym")</f>
        <v>9</v>
      </c>
      <c r="BI130" s="57">
        <f ca="1">DATEDIF(BF130,TODAY(),"md")</f>
        <v>27</v>
      </c>
      <c r="BJ130" s="47" t="s">
        <v>2315</v>
      </c>
      <c r="BK130" s="47" t="s">
        <v>86</v>
      </c>
      <c r="BL130" s="56">
        <v>42974</v>
      </c>
      <c r="BM130" s="57">
        <f ca="1">DATEDIF(BL130,TODAY(),"Y")</f>
        <v>8</v>
      </c>
      <c r="BN130" s="57">
        <f ca="1">DATEDIF(BL130,TODAY(),"Ym")</f>
        <v>7</v>
      </c>
      <c r="BO130" s="57">
        <f ca="1">DATEDIF(BL130,TODAY(),"md")</f>
        <v>26</v>
      </c>
      <c r="BP130" s="120" t="s">
        <v>2316</v>
      </c>
      <c r="BQ130" s="47" t="s">
        <v>175</v>
      </c>
      <c r="BR130" s="56">
        <v>43932</v>
      </c>
      <c r="BS130" s="57">
        <f ca="1">DATEDIF(BR130,TODAY(),"Y")</f>
        <v>6</v>
      </c>
      <c r="BT130" s="57">
        <f ca="1">DATEDIF(BR130,TODAY(),"Ym")</f>
        <v>0</v>
      </c>
      <c r="BU130" s="57">
        <f ca="1">DATEDIF(BR130,TODAY(),"md")</f>
        <v>11</v>
      </c>
      <c r="BV130" s="47"/>
      <c r="BW130" s="47"/>
      <c r="BX130" s="56"/>
      <c r="BY130" s="47"/>
      <c r="BZ130" s="47"/>
      <c r="CA130" s="47"/>
      <c r="CB130" s="120" t="s">
        <v>2317</v>
      </c>
      <c r="CC130" s="119" t="s">
        <v>2318</v>
      </c>
    </row>
    <row r="131" spans="1:81" ht="15" customHeight="1" x14ac:dyDescent="0.25">
      <c r="A131" s="46" t="s">
        <v>2319</v>
      </c>
      <c r="B131" s="47" t="s">
        <v>2320</v>
      </c>
      <c r="C131" s="47" t="s">
        <v>2321</v>
      </c>
      <c r="D131" s="47" t="s">
        <v>175</v>
      </c>
      <c r="E131" s="47" t="s">
        <v>630</v>
      </c>
      <c r="F131" s="47" t="s">
        <v>328</v>
      </c>
      <c r="G131" s="47" t="s">
        <v>398</v>
      </c>
      <c r="H131" s="47" t="s">
        <v>399</v>
      </c>
      <c r="I131" s="47" t="s">
        <v>1963</v>
      </c>
      <c r="J131" s="47" t="s">
        <v>110</v>
      </c>
      <c r="K131" s="47" t="s">
        <v>1918</v>
      </c>
      <c r="L131" s="106">
        <v>46027</v>
      </c>
      <c r="M131" s="50">
        <f t="shared" ca="1" si="22"/>
        <v>0</v>
      </c>
      <c r="N131" s="50">
        <f t="shared" ca="1" si="23"/>
        <v>3</v>
      </c>
      <c r="O131" s="50">
        <f t="shared" ca="1" si="24"/>
        <v>17</v>
      </c>
      <c r="P131" s="51">
        <f t="shared" si="25"/>
        <v>56339</v>
      </c>
      <c r="Q131" s="93" t="s">
        <v>2191</v>
      </c>
      <c r="R131" s="49">
        <f t="shared" si="46"/>
        <v>46027</v>
      </c>
      <c r="S131" s="49">
        <f>R131+(180)</f>
        <v>46207</v>
      </c>
      <c r="T131" s="51">
        <f t="shared" si="48"/>
        <v>46208</v>
      </c>
      <c r="U131" s="51"/>
      <c r="V131" s="47" t="s">
        <v>459</v>
      </c>
      <c r="W131" s="47" t="s">
        <v>236</v>
      </c>
      <c r="X131" s="106">
        <v>36250</v>
      </c>
      <c r="Y131" s="50">
        <f t="shared" ca="1" si="26"/>
        <v>27</v>
      </c>
      <c r="Z131" s="50">
        <f t="shared" ca="1" si="27"/>
        <v>0</v>
      </c>
      <c r="AA131" s="50">
        <f t="shared" ca="1" si="28"/>
        <v>22</v>
      </c>
      <c r="AB131" s="47"/>
      <c r="AC131" s="53"/>
      <c r="AD131" s="48" t="s">
        <v>185</v>
      </c>
      <c r="AE131" s="121" t="s">
        <v>2305</v>
      </c>
      <c r="AF131" s="47" t="s">
        <v>2322</v>
      </c>
      <c r="AG131" s="47"/>
      <c r="AH131" s="47">
        <v>9</v>
      </c>
      <c r="AI131" s="47" t="s">
        <v>464</v>
      </c>
      <c r="AJ131" s="104" t="s">
        <v>2323</v>
      </c>
      <c r="AK131" s="47" t="s">
        <v>2324</v>
      </c>
      <c r="AL131" s="56" t="s">
        <v>244</v>
      </c>
      <c r="AM131" s="122" t="str">
        <f t="shared" ref="AM131:AM138" si="56">AK131</f>
        <v xml:space="preserve">Komplek Permata Biru blok AM no. 101, RT 07 RW 24, Cinunuk, Cileunyi, Kab. Bandung  </v>
      </c>
      <c r="AN131" s="47"/>
      <c r="AO131" s="47" t="s">
        <v>1655</v>
      </c>
      <c r="AP131" s="47" t="s">
        <v>641</v>
      </c>
      <c r="AQ131" s="48" t="s">
        <v>2325</v>
      </c>
      <c r="AR131" s="48" t="s">
        <v>2326</v>
      </c>
      <c r="AS131" s="47" t="s">
        <v>163</v>
      </c>
      <c r="AT131" s="47" t="s">
        <v>164</v>
      </c>
      <c r="AU131" s="47"/>
      <c r="AV131" s="47" t="s">
        <v>2327</v>
      </c>
      <c r="AW131" s="47" t="str">
        <f t="shared" si="55"/>
        <v xml:space="preserve">Komplek Permata Biru blok AM no. 101, RT 07 RW 24, Cinunuk, Cileunyi, Kab. Bandung  </v>
      </c>
      <c r="AX131" s="47"/>
      <c r="AY131" s="47"/>
      <c r="AZ131" s="47"/>
      <c r="BA131" s="47" t="s">
        <v>2328</v>
      </c>
      <c r="BB131" s="47" t="s">
        <v>2321</v>
      </c>
      <c r="BC131" s="47" t="s">
        <v>2329</v>
      </c>
      <c r="BD131" s="47"/>
      <c r="BE131" s="47"/>
      <c r="BF131" s="56"/>
      <c r="BG131" s="47"/>
      <c r="BH131" s="47"/>
      <c r="BI131" s="47"/>
      <c r="BJ131" s="47"/>
      <c r="BK131" s="47"/>
      <c r="BL131" s="56"/>
      <c r="BM131" s="47"/>
      <c r="BN131" s="47"/>
      <c r="BO131" s="47"/>
      <c r="BP131" s="47"/>
      <c r="BQ131" s="47"/>
      <c r="BR131" s="56"/>
      <c r="BS131" s="47"/>
      <c r="BT131" s="47"/>
      <c r="BU131" s="47"/>
      <c r="BV131" s="47"/>
      <c r="BW131" s="47"/>
      <c r="BX131" s="56"/>
      <c r="BY131" s="47"/>
      <c r="BZ131" s="47"/>
      <c r="CA131" s="47"/>
      <c r="CB131" t="s">
        <v>2330</v>
      </c>
      <c r="CC131" s="47"/>
    </row>
    <row r="132" spans="1:81" ht="15" customHeight="1" x14ac:dyDescent="0.25">
      <c r="A132" s="46" t="s">
        <v>2331</v>
      </c>
      <c r="B132" s="123" t="s">
        <v>2332</v>
      </c>
      <c r="C132" s="123" t="s">
        <v>2333</v>
      </c>
      <c r="D132" s="123" t="s">
        <v>175</v>
      </c>
      <c r="E132" s="123" t="s">
        <v>630</v>
      </c>
      <c r="F132" s="123" t="s">
        <v>328</v>
      </c>
      <c r="G132" s="123" t="s">
        <v>398</v>
      </c>
      <c r="H132" s="123" t="s">
        <v>399</v>
      </c>
      <c r="I132" s="123" t="s">
        <v>1963</v>
      </c>
      <c r="J132" s="123" t="s">
        <v>110</v>
      </c>
      <c r="K132" s="123" t="s">
        <v>1949</v>
      </c>
      <c r="L132" s="124">
        <v>46048</v>
      </c>
      <c r="M132" s="125">
        <f t="shared" ca="1" si="22"/>
        <v>0</v>
      </c>
      <c r="N132" s="125">
        <f t="shared" ca="1" si="23"/>
        <v>2</v>
      </c>
      <c r="O132" s="125">
        <f t="shared" ca="1" si="24"/>
        <v>27</v>
      </c>
      <c r="P132" s="126">
        <f t="shared" si="25"/>
        <v>57382</v>
      </c>
      <c r="Q132" s="123" t="s">
        <v>181</v>
      </c>
      <c r="R132" s="127">
        <f t="shared" si="46"/>
        <v>46048</v>
      </c>
      <c r="S132" s="127">
        <f>R132+(90)</f>
        <v>46138</v>
      </c>
      <c r="T132" s="126">
        <f t="shared" si="48"/>
        <v>46139</v>
      </c>
      <c r="U132" s="126"/>
      <c r="V132" s="123" t="s">
        <v>90</v>
      </c>
      <c r="W132" s="123" t="s">
        <v>93</v>
      </c>
      <c r="X132" s="124">
        <v>37293</v>
      </c>
      <c r="Y132" s="125">
        <f t="shared" ca="1" si="26"/>
        <v>24</v>
      </c>
      <c r="Z132" s="125">
        <f t="shared" ca="1" si="27"/>
        <v>2</v>
      </c>
      <c r="AA132" s="125">
        <f t="shared" ca="1" si="28"/>
        <v>16</v>
      </c>
      <c r="AB132" s="123"/>
      <c r="AC132" s="128"/>
      <c r="AD132" s="48" t="s">
        <v>185</v>
      </c>
      <c r="AE132" t="s">
        <v>849</v>
      </c>
      <c r="AF132" s="123" t="s">
        <v>554</v>
      </c>
      <c r="AG132" s="123"/>
      <c r="AH132" s="123">
        <v>2</v>
      </c>
      <c r="AI132" s="129" t="s">
        <v>88</v>
      </c>
      <c r="AJ132" s="130" t="s">
        <v>2334</v>
      </c>
      <c r="AK132" s="123" t="s">
        <v>2335</v>
      </c>
      <c r="AL132" s="131" t="s">
        <v>244</v>
      </c>
      <c r="AM132" s="132" t="str">
        <f t="shared" si="56"/>
        <v xml:space="preserve"> Jln. Haji Kocen RT 1/6 No 76, Kalimulya, Cilodong, Depok, Jawa Barat</v>
      </c>
      <c r="AN132" s="123"/>
      <c r="AO132" s="123" t="s">
        <v>1655</v>
      </c>
      <c r="AP132" s="123" t="s">
        <v>641</v>
      </c>
      <c r="AQ132" s="129" t="s">
        <v>2336</v>
      </c>
      <c r="AR132" s="123"/>
      <c r="AS132" s="123" t="s">
        <v>791</v>
      </c>
      <c r="AT132" s="123" t="s">
        <v>194</v>
      </c>
      <c r="AU132" s="123"/>
      <c r="AV132" s="123"/>
      <c r="AW132" s="123" t="str">
        <f t="shared" si="55"/>
        <v xml:space="preserve"> Jln. Haji Kocen RT 1/6 No 76, Kalimulya, Cilodong, Depok, Jawa Barat</v>
      </c>
      <c r="AX132" s="123"/>
      <c r="AY132" s="123"/>
      <c r="AZ132" s="123"/>
      <c r="BA132" s="129" t="s">
        <v>2337</v>
      </c>
      <c r="BB132" s="123" t="s">
        <v>2333</v>
      </c>
      <c r="BC132" s="123" t="s">
        <v>2338</v>
      </c>
      <c r="BD132" s="123"/>
      <c r="BE132" s="123"/>
      <c r="BF132" s="131"/>
      <c r="BG132" s="123"/>
      <c r="BH132" s="123"/>
      <c r="BI132" s="123"/>
      <c r="BJ132" s="123"/>
      <c r="BK132" s="123"/>
      <c r="BL132" s="131"/>
      <c r="BM132" s="123"/>
      <c r="BN132" s="123"/>
      <c r="BO132" s="123"/>
      <c r="BP132" s="123"/>
      <c r="BQ132" s="123"/>
      <c r="BR132" s="131"/>
      <c r="BS132" s="123"/>
      <c r="BT132" s="123"/>
      <c r="BU132" s="123"/>
      <c r="BV132" s="123"/>
      <c r="BW132" s="123"/>
      <c r="BX132" s="131"/>
      <c r="BY132" s="123"/>
      <c r="BZ132" s="123"/>
      <c r="CA132" s="123"/>
      <c r="CB132" s="123" t="s">
        <v>2339</v>
      </c>
      <c r="CC132" s="123"/>
    </row>
    <row r="133" spans="1:81" ht="15" customHeight="1" x14ac:dyDescent="0.25">
      <c r="A133" s="46" t="s">
        <v>2340</v>
      </c>
      <c r="B133" s="47" t="s">
        <v>2341</v>
      </c>
      <c r="C133" s="47" t="s">
        <v>2342</v>
      </c>
      <c r="D133" s="47" t="s">
        <v>175</v>
      </c>
      <c r="E133" s="47" t="s">
        <v>630</v>
      </c>
      <c r="F133" s="47" t="s">
        <v>177</v>
      </c>
      <c r="G133" s="47"/>
      <c r="H133" s="47" t="s">
        <v>1436</v>
      </c>
      <c r="I133" s="47" t="s">
        <v>2343</v>
      </c>
      <c r="J133" s="47" t="s">
        <v>90</v>
      </c>
      <c r="K133" s="47" t="s">
        <v>1918</v>
      </c>
      <c r="L133" s="106">
        <v>46055</v>
      </c>
      <c r="M133" s="50">
        <f t="shared" ca="1" si="22"/>
        <v>0</v>
      </c>
      <c r="N133" s="50">
        <f t="shared" ca="1" si="23"/>
        <v>2</v>
      </c>
      <c r="O133" s="50">
        <f t="shared" ca="1" si="24"/>
        <v>20</v>
      </c>
      <c r="P133" s="51">
        <f t="shared" si="25"/>
        <v>51985</v>
      </c>
      <c r="Q133" s="47" t="s">
        <v>181</v>
      </c>
      <c r="R133" s="49">
        <f t="shared" si="46"/>
        <v>46055</v>
      </c>
      <c r="S133" s="49">
        <v>46153</v>
      </c>
      <c r="T133" s="126">
        <f t="shared" si="48"/>
        <v>46154</v>
      </c>
      <c r="U133" s="51"/>
      <c r="V133" s="47" t="s">
        <v>90</v>
      </c>
      <c r="W133" s="47" t="s">
        <v>419</v>
      </c>
      <c r="X133" s="106">
        <v>31896</v>
      </c>
      <c r="Y133" s="50">
        <f t="shared" ca="1" si="26"/>
        <v>38</v>
      </c>
      <c r="Z133" s="50">
        <f t="shared" ca="1" si="27"/>
        <v>11</v>
      </c>
      <c r="AA133" s="50">
        <f t="shared" ca="1" si="28"/>
        <v>24</v>
      </c>
      <c r="AB133" s="47"/>
      <c r="AC133" s="53"/>
      <c r="AD133" s="48" t="s">
        <v>185</v>
      </c>
      <c r="AE133" s="121" t="s">
        <v>570</v>
      </c>
      <c r="AF133" s="47" t="s">
        <v>2344</v>
      </c>
      <c r="AG133" s="47"/>
      <c r="AH133" s="47">
        <v>11</v>
      </c>
      <c r="AI133" s="47" t="s">
        <v>2345</v>
      </c>
      <c r="AJ133" s="107" t="s">
        <v>2346</v>
      </c>
      <c r="AK133" s="47" t="s">
        <v>2347</v>
      </c>
      <c r="AL133" s="56" t="s">
        <v>244</v>
      </c>
      <c r="AM133" s="122" t="str">
        <f t="shared" si="56"/>
        <v>Reni Jaya Blok D. 13 / 11 RT/RW 003/008, Pondok Petir, Bojong Sari</v>
      </c>
      <c r="AN133" s="47"/>
      <c r="AO133" s="47" t="s">
        <v>1655</v>
      </c>
      <c r="AP133" s="47" t="s">
        <v>641</v>
      </c>
      <c r="AQ133" s="48" t="s">
        <v>2348</v>
      </c>
      <c r="AR133" s="47"/>
      <c r="AS133" s="47" t="s">
        <v>163</v>
      </c>
      <c r="AT133" s="47" t="s">
        <v>343</v>
      </c>
      <c r="AU133" s="47"/>
      <c r="AV133" s="47" t="s">
        <v>2349</v>
      </c>
      <c r="AW133" s="47" t="str">
        <f t="shared" si="55"/>
        <v>Reni Jaya Blok D. 13 / 11 RT/RW 003/008, Pondok Petir, Bojong Sari</v>
      </c>
      <c r="AX133" s="47"/>
      <c r="AY133" s="47"/>
      <c r="AZ133" s="47"/>
      <c r="BA133" s="48" t="s">
        <v>2350</v>
      </c>
      <c r="BB133" s="47" t="s">
        <v>2342</v>
      </c>
      <c r="BC133" s="47" t="s">
        <v>2351</v>
      </c>
      <c r="BD133" s="47"/>
      <c r="BE133" s="47"/>
      <c r="BF133" s="56"/>
      <c r="BG133" s="47"/>
      <c r="BH133" s="47"/>
      <c r="BI133" s="47"/>
      <c r="BJ133" s="47"/>
      <c r="BK133" s="47"/>
      <c r="BL133" s="56"/>
      <c r="BM133" s="47"/>
      <c r="BN133" s="47"/>
      <c r="BO133" s="47"/>
      <c r="BP133" s="47"/>
      <c r="BQ133" s="47"/>
      <c r="BR133" s="56"/>
      <c r="BS133" s="47"/>
      <c r="BT133" s="47"/>
      <c r="BU133" s="47"/>
      <c r="BV133" s="47"/>
      <c r="BW133" s="47"/>
      <c r="BX133" s="56"/>
      <c r="BY133" s="47"/>
      <c r="BZ133" s="47"/>
      <c r="CA133" s="47"/>
      <c r="CB133" s="133" t="s">
        <v>2352</v>
      </c>
      <c r="CC133" s="47"/>
    </row>
    <row r="134" spans="1:81" ht="15" customHeight="1" x14ac:dyDescent="0.25">
      <c r="A134" s="46" t="s">
        <v>2353</v>
      </c>
      <c r="B134" s="47" t="s">
        <v>2354</v>
      </c>
      <c r="C134" s="47" t="s">
        <v>2355</v>
      </c>
      <c r="D134" s="47" t="s">
        <v>175</v>
      </c>
      <c r="E134" s="47" t="s">
        <v>630</v>
      </c>
      <c r="F134" s="47" t="s">
        <v>328</v>
      </c>
      <c r="G134" s="47" t="s">
        <v>398</v>
      </c>
      <c r="H134" s="47" t="s">
        <v>399</v>
      </c>
      <c r="I134" s="47" t="s">
        <v>1963</v>
      </c>
      <c r="J134" s="47" t="s">
        <v>110</v>
      </c>
      <c r="K134" s="47" t="s">
        <v>1918</v>
      </c>
      <c r="L134" s="106">
        <v>46071</v>
      </c>
      <c r="M134" s="50">
        <f t="shared" ca="1" si="22"/>
        <v>0</v>
      </c>
      <c r="N134" s="50">
        <f t="shared" ca="1" si="23"/>
        <v>2</v>
      </c>
      <c r="O134" s="50">
        <f t="shared" ca="1" si="24"/>
        <v>4</v>
      </c>
      <c r="P134" s="51">
        <f t="shared" si="25"/>
        <v>57381</v>
      </c>
      <c r="Q134" s="47" t="s">
        <v>181</v>
      </c>
      <c r="R134" s="49">
        <f t="shared" si="46"/>
        <v>46071</v>
      </c>
      <c r="S134" s="49">
        <v>46159</v>
      </c>
      <c r="T134" s="126">
        <f t="shared" si="48"/>
        <v>46160</v>
      </c>
      <c r="U134" s="51"/>
      <c r="V134" s="47" t="s">
        <v>90</v>
      </c>
      <c r="W134" s="47" t="s">
        <v>93</v>
      </c>
      <c r="X134" s="106">
        <v>37292</v>
      </c>
      <c r="Y134" s="50">
        <f t="shared" ca="1" si="26"/>
        <v>24</v>
      </c>
      <c r="Z134" s="50">
        <f t="shared" ca="1" si="27"/>
        <v>2</v>
      </c>
      <c r="AA134" s="50">
        <f t="shared" ca="1" si="28"/>
        <v>17</v>
      </c>
      <c r="AB134" s="47"/>
      <c r="AC134" s="53"/>
      <c r="AD134" s="48" t="s">
        <v>185</v>
      </c>
      <c r="AE134" s="121" t="s">
        <v>2356</v>
      </c>
      <c r="AF134" s="47" t="s">
        <v>2357</v>
      </c>
      <c r="AG134" s="47"/>
      <c r="AH134" s="47">
        <v>2</v>
      </c>
      <c r="AI134" s="47" t="s">
        <v>2358</v>
      </c>
      <c r="AJ134" s="107" t="s">
        <v>2359</v>
      </c>
      <c r="AK134" s="47" t="s">
        <v>2360</v>
      </c>
      <c r="AL134" s="56" t="s">
        <v>244</v>
      </c>
      <c r="AM134" s="122" t="str">
        <f t="shared" si="56"/>
        <v>Jl. H. Remaih RT/RW 004/007, Baru, Pasar Rebo</v>
      </c>
      <c r="AN134" s="47"/>
      <c r="AO134" s="47" t="s">
        <v>1655</v>
      </c>
      <c r="AP134" s="47" t="s">
        <v>641</v>
      </c>
      <c r="AQ134" s="48" t="s">
        <v>2361</v>
      </c>
      <c r="AR134" s="47"/>
      <c r="AS134" s="47" t="s">
        <v>163</v>
      </c>
      <c r="AT134" s="47" t="s">
        <v>194</v>
      </c>
      <c r="AU134" s="47"/>
      <c r="AV134" s="47"/>
      <c r="AW134" s="47" t="str">
        <f t="shared" si="55"/>
        <v>Jl. H. Remaih RT/RW 004/007, Baru, Pasar Rebo</v>
      </c>
      <c r="AX134" s="47"/>
      <c r="AY134" s="47"/>
      <c r="AZ134" s="47"/>
      <c r="BA134" s="47" t="s">
        <v>2362</v>
      </c>
      <c r="BB134" s="47" t="str">
        <f>C134</f>
        <v>Anis Fathonah Mahmudah</v>
      </c>
      <c r="BC134" s="47" t="s">
        <v>2363</v>
      </c>
      <c r="BD134" s="47"/>
      <c r="BE134" s="47"/>
      <c r="BF134" s="56"/>
      <c r="BG134" s="47"/>
      <c r="BH134" s="47"/>
      <c r="BI134" s="47"/>
      <c r="BJ134" s="47"/>
      <c r="BK134" s="47"/>
      <c r="BL134" s="56"/>
      <c r="BM134" s="47"/>
      <c r="BN134" s="47"/>
      <c r="BO134" s="47"/>
      <c r="BP134" s="47"/>
      <c r="BQ134" s="47"/>
      <c r="BR134" s="56"/>
      <c r="BS134" s="47"/>
      <c r="BT134" s="47"/>
      <c r="BU134" s="47"/>
      <c r="BV134" s="47"/>
      <c r="BW134" s="47"/>
      <c r="BX134" s="56"/>
      <c r="BY134" s="47"/>
      <c r="BZ134" s="47"/>
      <c r="CA134" s="47"/>
      <c r="CB134" s="133" t="s">
        <v>2364</v>
      </c>
      <c r="CC134" s="47"/>
    </row>
    <row r="135" spans="1:81" ht="15" customHeight="1" x14ac:dyDescent="0.25">
      <c r="A135" s="46" t="s">
        <v>2365</v>
      </c>
      <c r="B135" s="47" t="s">
        <v>2366</v>
      </c>
      <c r="C135" s="47" t="s">
        <v>2367</v>
      </c>
      <c r="D135" s="47" t="s">
        <v>86</v>
      </c>
      <c r="E135" s="47" t="s">
        <v>146</v>
      </c>
      <c r="F135" s="47" t="s">
        <v>328</v>
      </c>
      <c r="G135" s="47" t="s">
        <v>329</v>
      </c>
      <c r="H135" s="47" t="s">
        <v>330</v>
      </c>
      <c r="I135" s="47" t="s">
        <v>1056</v>
      </c>
      <c r="J135" s="47" t="s">
        <v>110</v>
      </c>
      <c r="K135" s="47" t="s">
        <v>1918</v>
      </c>
      <c r="L135" s="106">
        <v>46079</v>
      </c>
      <c r="M135" s="50">
        <f t="shared" ca="1" si="22"/>
        <v>0</v>
      </c>
      <c r="N135" s="50">
        <f t="shared" ca="1" si="23"/>
        <v>1</v>
      </c>
      <c r="O135" s="50">
        <f t="shared" ca="1" si="24"/>
        <v>27</v>
      </c>
      <c r="P135" s="51">
        <f t="shared" si="25"/>
        <v>55426</v>
      </c>
      <c r="Q135" s="47" t="s">
        <v>1057</v>
      </c>
      <c r="R135" s="49">
        <f t="shared" si="46"/>
        <v>46079</v>
      </c>
      <c r="S135" s="49">
        <f>R135+(180)</f>
        <v>46259</v>
      </c>
      <c r="T135" s="126"/>
      <c r="U135" s="51"/>
      <c r="V135" s="47" t="s">
        <v>2368</v>
      </c>
      <c r="W135" s="47" t="s">
        <v>210</v>
      </c>
      <c r="X135" s="106">
        <v>35338</v>
      </c>
      <c r="Y135" s="50">
        <f t="shared" ca="1" si="26"/>
        <v>29</v>
      </c>
      <c r="Z135" s="50">
        <f t="shared" ca="1" si="27"/>
        <v>6</v>
      </c>
      <c r="AA135" s="50">
        <f t="shared" ca="1" si="28"/>
        <v>23</v>
      </c>
      <c r="AB135" s="47"/>
      <c r="AC135" s="53"/>
      <c r="AD135" s="62" t="s">
        <v>152</v>
      </c>
      <c r="AE135" s="121" t="s">
        <v>2369</v>
      </c>
      <c r="AF135" s="47" t="s">
        <v>441</v>
      </c>
      <c r="AG135" s="47"/>
      <c r="AH135" s="47">
        <v>7</v>
      </c>
      <c r="AI135" s="47" t="s">
        <v>2370</v>
      </c>
      <c r="AJ135" s="104" t="s">
        <v>2371</v>
      </c>
      <c r="AK135" s="47" t="s">
        <v>2372</v>
      </c>
      <c r="AL135" s="56" t="s">
        <v>244</v>
      </c>
      <c r="AM135" s="122" t="str">
        <f t="shared" si="56"/>
        <v>Pemayungan rt 4 rw 0 kel pemayungan kec sumay</v>
      </c>
      <c r="AN135" s="47"/>
      <c r="AO135" s="47" t="s">
        <v>1655</v>
      </c>
      <c r="AP135" s="47" t="s">
        <v>641</v>
      </c>
      <c r="AQ135" s="48" t="s">
        <v>2373</v>
      </c>
      <c r="AR135" s="47"/>
      <c r="AS135" s="47" t="s">
        <v>513</v>
      </c>
      <c r="AT135" s="47" t="s">
        <v>194</v>
      </c>
      <c r="AU135" s="47"/>
      <c r="AV135" s="47" t="s">
        <v>2374</v>
      </c>
      <c r="AW135" s="47" t="str">
        <f t="shared" si="55"/>
        <v>Pemayungan rt 4 rw 0 kel pemayungan kec sumay</v>
      </c>
      <c r="AX135" s="47"/>
      <c r="AY135" s="47"/>
      <c r="AZ135" s="47"/>
      <c r="BA135" s="47" t="s">
        <v>2375</v>
      </c>
      <c r="BB135" s="47" t="str">
        <f>C135</f>
        <v>Lingsen Simamora</v>
      </c>
      <c r="BC135" s="47" t="s">
        <v>2376</v>
      </c>
      <c r="BD135" s="47"/>
      <c r="BE135" s="47"/>
      <c r="BF135" s="56"/>
      <c r="BG135" s="47"/>
      <c r="BH135" s="47"/>
      <c r="BI135" s="47"/>
      <c r="BJ135" s="47"/>
      <c r="BK135" s="47"/>
      <c r="BL135" s="56"/>
      <c r="BM135" s="47"/>
      <c r="BN135" s="47"/>
      <c r="BO135" s="47"/>
      <c r="BP135" s="47"/>
      <c r="BQ135" s="47"/>
      <c r="BR135" s="56"/>
      <c r="BS135" s="47"/>
      <c r="BT135" s="47"/>
      <c r="BU135" s="47"/>
      <c r="BV135" s="47"/>
      <c r="BW135" s="47"/>
      <c r="BX135" s="56"/>
      <c r="BY135" s="47"/>
      <c r="BZ135" s="47"/>
      <c r="CA135" s="47"/>
      <c r="CB135" s="134" t="s">
        <v>2377</v>
      </c>
      <c r="CC135" s="47"/>
    </row>
    <row r="136" spans="1:81" ht="15" customHeight="1" x14ac:dyDescent="0.25">
      <c r="A136" s="46" t="s">
        <v>2378</v>
      </c>
      <c r="B136" s="47" t="s">
        <v>2379</v>
      </c>
      <c r="C136" s="47" t="s">
        <v>2380</v>
      </c>
      <c r="D136" s="47" t="s">
        <v>175</v>
      </c>
      <c r="E136" s="47" t="s">
        <v>146</v>
      </c>
      <c r="F136" s="47" t="s">
        <v>328</v>
      </c>
      <c r="G136" s="47" t="s">
        <v>329</v>
      </c>
      <c r="H136" s="47" t="s">
        <v>330</v>
      </c>
      <c r="I136" s="47" t="s">
        <v>1056</v>
      </c>
      <c r="J136" s="47" t="s">
        <v>110</v>
      </c>
      <c r="K136" s="47" t="s">
        <v>1918</v>
      </c>
      <c r="L136" s="106">
        <v>46079</v>
      </c>
      <c r="M136" s="50">
        <f t="shared" ca="1" si="22"/>
        <v>0</v>
      </c>
      <c r="N136" s="50">
        <f t="shared" ca="1" si="23"/>
        <v>1</v>
      </c>
      <c r="O136" s="50">
        <f t="shared" ca="1" si="24"/>
        <v>27</v>
      </c>
      <c r="P136" s="51">
        <f t="shared" si="25"/>
        <v>57469</v>
      </c>
      <c r="Q136" s="47" t="s">
        <v>1057</v>
      </c>
      <c r="R136" s="49">
        <f t="shared" si="46"/>
        <v>46079</v>
      </c>
      <c r="S136" s="49">
        <f>R136+(180)</f>
        <v>46259</v>
      </c>
      <c r="T136" s="126"/>
      <c r="U136" s="51"/>
      <c r="V136" s="47" t="s">
        <v>2381</v>
      </c>
      <c r="W136" s="47" t="s">
        <v>678</v>
      </c>
      <c r="X136" s="106">
        <v>37380</v>
      </c>
      <c r="Y136" s="50">
        <f t="shared" ca="1" si="26"/>
        <v>23</v>
      </c>
      <c r="Z136" s="50">
        <f t="shared" ca="1" si="27"/>
        <v>11</v>
      </c>
      <c r="AA136" s="50">
        <f t="shared" ca="1" si="28"/>
        <v>18</v>
      </c>
      <c r="AB136" s="47"/>
      <c r="AC136" s="53"/>
      <c r="AD136" s="62" t="s">
        <v>152</v>
      </c>
      <c r="AE136" s="121" t="s">
        <v>2369</v>
      </c>
      <c r="AF136" s="47" t="s">
        <v>2382</v>
      </c>
      <c r="AG136" s="47"/>
      <c r="AH136" s="47">
        <v>5</v>
      </c>
      <c r="AI136" s="47" t="s">
        <v>2383</v>
      </c>
      <c r="AJ136" s="107" t="s">
        <v>2384</v>
      </c>
      <c r="AK136" s="47" t="s">
        <v>2385</v>
      </c>
      <c r="AL136" s="56" t="s">
        <v>244</v>
      </c>
      <c r="AM136" s="122" t="str">
        <f t="shared" si="56"/>
        <v>Jl Padamulya III RT/RW 005/008, Angke, Tambora</v>
      </c>
      <c r="AN136" s="47"/>
      <c r="AO136" s="47" t="s">
        <v>1655</v>
      </c>
      <c r="AP136" s="47" t="s">
        <v>641</v>
      </c>
      <c r="AQ136" s="48" t="s">
        <v>2386</v>
      </c>
      <c r="AR136" s="47"/>
      <c r="AS136" s="47" t="s">
        <v>163</v>
      </c>
      <c r="AT136" s="47" t="s">
        <v>164</v>
      </c>
      <c r="AU136" s="47"/>
      <c r="AV136" s="47" t="s">
        <v>2387</v>
      </c>
      <c r="AW136" s="47" t="str">
        <f t="shared" si="55"/>
        <v>Jl Padamulya III RT/RW 005/008, Angke, Tambora</v>
      </c>
      <c r="AX136" s="47"/>
      <c r="AY136" s="47"/>
      <c r="AZ136" s="47"/>
      <c r="BA136" s="48" t="s">
        <v>2388</v>
      </c>
      <c r="BB136" s="47" t="str">
        <f>C136</f>
        <v>Amelia Putri Zahro</v>
      </c>
      <c r="BC136" s="47" t="s">
        <v>2389</v>
      </c>
      <c r="BD136" s="47"/>
      <c r="BE136" s="47"/>
      <c r="BF136" s="56"/>
      <c r="BG136" s="47"/>
      <c r="BH136" s="47"/>
      <c r="BI136" s="47"/>
      <c r="BJ136" s="47"/>
      <c r="BK136" s="47"/>
      <c r="BL136" s="56"/>
      <c r="BM136" s="47"/>
      <c r="BN136" s="47"/>
      <c r="BO136" s="47"/>
      <c r="BP136" s="47"/>
      <c r="BQ136" s="47"/>
      <c r="BR136" s="56"/>
      <c r="BS136" s="47"/>
      <c r="BT136" s="47"/>
      <c r="BU136" s="47"/>
      <c r="BV136" s="47"/>
      <c r="BW136" s="47"/>
      <c r="BX136" s="56"/>
      <c r="BY136" s="47"/>
      <c r="BZ136" s="47"/>
      <c r="CA136" s="47"/>
      <c r="CB136" s="133" t="s">
        <v>2390</v>
      </c>
      <c r="CC136" s="47"/>
    </row>
    <row r="137" spans="1:81" ht="15" customHeight="1" x14ac:dyDescent="0.25">
      <c r="A137" s="46" t="s">
        <v>2391</v>
      </c>
      <c r="B137" s="47" t="s">
        <v>2392</v>
      </c>
      <c r="C137" s="47" t="s">
        <v>2393</v>
      </c>
      <c r="D137" s="47" t="s">
        <v>175</v>
      </c>
      <c r="E137" s="47" t="s">
        <v>146</v>
      </c>
      <c r="F137" s="47" t="s">
        <v>328</v>
      </c>
      <c r="G137" s="47" t="s">
        <v>329</v>
      </c>
      <c r="H137" s="47" t="s">
        <v>330</v>
      </c>
      <c r="I137" s="47" t="s">
        <v>1056</v>
      </c>
      <c r="J137" s="47" t="s">
        <v>110</v>
      </c>
      <c r="K137" s="47" t="s">
        <v>1918</v>
      </c>
      <c r="L137" s="106">
        <v>46079</v>
      </c>
      <c r="M137" s="50">
        <f t="shared" ca="1" si="22"/>
        <v>0</v>
      </c>
      <c r="N137" s="50">
        <f t="shared" ca="1" si="23"/>
        <v>1</v>
      </c>
      <c r="O137" s="50">
        <f t="shared" ca="1" si="24"/>
        <v>27</v>
      </c>
      <c r="P137" s="51">
        <f t="shared" si="25"/>
        <v>55006</v>
      </c>
      <c r="Q137" s="47" t="s">
        <v>1057</v>
      </c>
      <c r="R137" s="49">
        <f t="shared" si="46"/>
        <v>46079</v>
      </c>
      <c r="S137" s="49">
        <f>R137+(180)</f>
        <v>46259</v>
      </c>
      <c r="T137" s="126"/>
      <c r="U137" s="51"/>
      <c r="V137" s="47" t="s">
        <v>90</v>
      </c>
      <c r="W137" s="47" t="s">
        <v>357</v>
      </c>
      <c r="X137" s="106">
        <v>34917</v>
      </c>
      <c r="Y137" s="50">
        <f t="shared" ca="1" si="26"/>
        <v>30</v>
      </c>
      <c r="Z137" s="50">
        <f t="shared" ca="1" si="27"/>
        <v>8</v>
      </c>
      <c r="AA137" s="50">
        <f t="shared" ca="1" si="28"/>
        <v>16</v>
      </c>
      <c r="AB137" s="47"/>
      <c r="AC137" s="53"/>
      <c r="AD137" s="62" t="s">
        <v>152</v>
      </c>
      <c r="AE137" s="121" t="s">
        <v>2394</v>
      </c>
      <c r="AF137" s="47" t="s">
        <v>2395</v>
      </c>
      <c r="AG137" s="47"/>
      <c r="AH137" s="47">
        <v>10</v>
      </c>
      <c r="AI137" s="47" t="s">
        <v>2396</v>
      </c>
      <c r="AJ137" s="107" t="s">
        <v>2397</v>
      </c>
      <c r="AK137" s="47" t="s">
        <v>2398</v>
      </c>
      <c r="AL137" s="56" t="s">
        <v>244</v>
      </c>
      <c r="AM137" s="122" t="str">
        <f t="shared" si="56"/>
        <v>Jl. Gandaria RT/RW 002/002, Pekayon, Pasar Rebo</v>
      </c>
      <c r="AN137" s="47"/>
      <c r="AO137" s="47" t="s">
        <v>1655</v>
      </c>
      <c r="AP137" s="47" t="s">
        <v>101</v>
      </c>
      <c r="AQ137" s="48" t="s">
        <v>2399</v>
      </c>
      <c r="AR137" s="47"/>
      <c r="AS137" s="47" t="s">
        <v>163</v>
      </c>
      <c r="AT137" s="47" t="s">
        <v>194</v>
      </c>
      <c r="AU137" s="47"/>
      <c r="AV137" s="47" t="s">
        <v>2400</v>
      </c>
      <c r="AW137" s="47" t="str">
        <f t="shared" si="55"/>
        <v>Jl. Gandaria RT/RW 002/002, Pekayon, Pasar Rebo</v>
      </c>
      <c r="AX137" s="47"/>
      <c r="AY137" s="47"/>
      <c r="AZ137" s="47"/>
      <c r="BA137" s="48" t="s">
        <v>2401</v>
      </c>
      <c r="BB137" s="47" t="str">
        <f>C137</f>
        <v>Kardila</v>
      </c>
      <c r="BC137" s="47" t="s">
        <v>2402</v>
      </c>
      <c r="BD137" s="47" t="s">
        <v>2403</v>
      </c>
      <c r="BE137" s="47" t="s">
        <v>86</v>
      </c>
      <c r="BF137" s="56">
        <v>34979</v>
      </c>
      <c r="BG137" s="57">
        <f ca="1">DATEDIF(BF137,TODAY(),"Y")</f>
        <v>30</v>
      </c>
      <c r="BH137" s="57">
        <f ca="1">DATEDIF(BF137,TODAY(),"Ym")</f>
        <v>6</v>
      </c>
      <c r="BI137" s="57">
        <f ca="1">DATEDIF(BF137,TODAY(),"md")</f>
        <v>15</v>
      </c>
      <c r="BJ137" s="47"/>
      <c r="BK137" s="47"/>
      <c r="BL137" s="56"/>
      <c r="BM137" s="47"/>
      <c r="BN137" s="47"/>
      <c r="BO137" s="47"/>
      <c r="BP137" s="47"/>
      <c r="BQ137" s="47"/>
      <c r="BR137" s="56"/>
      <c r="BS137" s="47"/>
      <c r="BT137" s="47"/>
      <c r="BU137" s="47"/>
      <c r="BV137" s="47"/>
      <c r="BW137" s="47"/>
      <c r="BX137" s="56"/>
      <c r="BY137" s="47"/>
      <c r="BZ137" s="47"/>
      <c r="CA137" s="47"/>
      <c r="CB137" s="133" t="s">
        <v>2404</v>
      </c>
      <c r="CC137" s="47"/>
    </row>
    <row r="138" spans="1:81" ht="15" customHeight="1" x14ac:dyDescent="0.25">
      <c r="A138" s="46" t="s">
        <v>2405</v>
      </c>
      <c r="B138" s="47" t="s">
        <v>2406</v>
      </c>
      <c r="C138" s="47" t="s">
        <v>2407</v>
      </c>
      <c r="D138" s="47" t="s">
        <v>86</v>
      </c>
      <c r="E138" s="47" t="s">
        <v>206</v>
      </c>
      <c r="F138" s="47" t="s">
        <v>128</v>
      </c>
      <c r="G138" s="47"/>
      <c r="H138" s="47" t="s">
        <v>821</v>
      </c>
      <c r="I138" s="47" t="s">
        <v>2408</v>
      </c>
      <c r="J138" s="47" t="s">
        <v>90</v>
      </c>
      <c r="K138" s="47" t="s">
        <v>1949</v>
      </c>
      <c r="L138" s="106">
        <v>46111</v>
      </c>
      <c r="M138" s="50">
        <f ca="1">DATEDIF(L138,TODAY(),"Y")</f>
        <v>0</v>
      </c>
      <c r="N138" s="50">
        <f t="shared" ref="N138:N170" ca="1" si="57">DATEDIF(L138,TODAY(),"YM")</f>
        <v>0</v>
      </c>
      <c r="O138" s="50">
        <f t="shared" ref="O138:O170" ca="1" si="58">DATEDIF(L138,TODAY(),"MD")</f>
        <v>23</v>
      </c>
      <c r="P138" s="51">
        <f t="shared" ref="P138:P146" si="59">EDATE(X138,55*12)</f>
        <v>53445</v>
      </c>
      <c r="Q138" s="47" t="s">
        <v>181</v>
      </c>
      <c r="R138" s="49">
        <f t="shared" si="46"/>
        <v>46111</v>
      </c>
      <c r="S138" s="49">
        <f>R138+(91)</f>
        <v>46202</v>
      </c>
      <c r="T138" s="51">
        <f t="shared" si="48"/>
        <v>46203</v>
      </c>
      <c r="U138" s="51"/>
      <c r="V138" s="47" t="s">
        <v>2409</v>
      </c>
      <c r="W138" s="47" t="s">
        <v>419</v>
      </c>
      <c r="X138" s="106">
        <v>33356</v>
      </c>
      <c r="Y138" s="50">
        <f ca="1">DATEDIF(X138,TODAY(),"Y")</f>
        <v>34</v>
      </c>
      <c r="Z138" s="50">
        <f t="shared" ref="Z138:Z170" ca="1" si="60">DATEDIF(X138,TODAY(),"Ym")</f>
        <v>11</v>
      </c>
      <c r="AA138" s="50">
        <f t="shared" ref="AA138:AA170" ca="1" si="61">DATEDIF(X138,TODAY(),"md")</f>
        <v>25</v>
      </c>
      <c r="AB138" s="47"/>
      <c r="AC138" s="47"/>
      <c r="AD138" s="48" t="s">
        <v>185</v>
      </c>
      <c r="AE138" s="121" t="s">
        <v>2410</v>
      </c>
      <c r="AF138" s="47" t="s">
        <v>312</v>
      </c>
      <c r="AG138" s="47"/>
      <c r="AH138" s="47">
        <v>11</v>
      </c>
      <c r="AI138" s="47" t="s">
        <v>2411</v>
      </c>
      <c r="AJ138" s="48" t="s">
        <v>2412</v>
      </c>
      <c r="AK138" s="47" t="s">
        <v>2413</v>
      </c>
      <c r="AL138" s="56" t="s">
        <v>244</v>
      </c>
      <c r="AM138" s="47" t="str">
        <f t="shared" si="56"/>
        <v>Jl. Dharma Wanita I RT/RW 011/001, Rawa Buaya, Cengkareng, Jakarat Barat 11740</v>
      </c>
      <c r="AN138" s="47"/>
      <c r="AO138" s="47" t="s">
        <v>2100</v>
      </c>
      <c r="AP138" s="47" t="s">
        <v>101</v>
      </c>
      <c r="AQ138" s="48" t="s">
        <v>2414</v>
      </c>
      <c r="AR138" s="47"/>
      <c r="AS138" s="47" t="s">
        <v>163</v>
      </c>
      <c r="AT138" s="47" t="s">
        <v>194</v>
      </c>
      <c r="AU138" s="47"/>
      <c r="AV138" s="47" t="s">
        <v>2415</v>
      </c>
      <c r="AW138" s="47" t="str">
        <f t="shared" si="55"/>
        <v>Jl. Dharma Wanita I RT/RW 011/001, Rawa Buaya, Cengkareng, Jakarat Barat 11740</v>
      </c>
      <c r="AX138" s="47"/>
      <c r="AY138" s="47"/>
      <c r="AZ138" s="47"/>
      <c r="BA138" s="48" t="s">
        <v>2416</v>
      </c>
      <c r="BB138" s="47" t="str">
        <f>C138</f>
        <v>Sanjaya Kusuma</v>
      </c>
      <c r="BC138" s="47" t="s">
        <v>2417</v>
      </c>
      <c r="BD138" s="47" t="s">
        <v>2418</v>
      </c>
      <c r="BE138" s="47" t="s">
        <v>175</v>
      </c>
      <c r="BF138" s="56">
        <v>33536</v>
      </c>
      <c r="BG138" s="57">
        <f ca="1">DATEDIF(BF138,TODAY(),"Y")</f>
        <v>34</v>
      </c>
      <c r="BH138" s="57">
        <f ca="1">DATEDIF(BF138,TODAY(),"Ym")</f>
        <v>5</v>
      </c>
      <c r="BI138" s="57">
        <f ca="1">DATEDIF(BF138,TODAY(),"md")</f>
        <v>28</v>
      </c>
      <c r="BJ138" s="47" t="s">
        <v>2419</v>
      </c>
      <c r="BK138" s="47" t="s">
        <v>86</v>
      </c>
      <c r="BL138" s="56">
        <v>44318</v>
      </c>
      <c r="BM138" s="57">
        <f ca="1">DATEDIF(BL138,TODAY(),"Y")</f>
        <v>4</v>
      </c>
      <c r="BN138" s="57">
        <f ca="1">DATEDIF(BL138,TODAY(),"Ym")</f>
        <v>11</v>
      </c>
      <c r="BO138" s="57">
        <f ca="1">DATEDIF(BL138,TODAY(),"md")</f>
        <v>20</v>
      </c>
      <c r="BP138" s="47" t="s">
        <v>2420</v>
      </c>
      <c r="BQ138" s="47" t="s">
        <v>86</v>
      </c>
      <c r="BR138" s="56">
        <v>45422</v>
      </c>
      <c r="BS138" s="57">
        <f ca="1">DATEDIF(BR138,TODAY(),"Y")</f>
        <v>1</v>
      </c>
      <c r="BT138" s="57">
        <f ca="1">DATEDIF(BR138,TODAY(),"Ym")</f>
        <v>11</v>
      </c>
      <c r="BU138" s="57">
        <f ca="1">DATEDIF(BR138,TODAY(),"md")</f>
        <v>12</v>
      </c>
      <c r="BV138" s="47"/>
      <c r="BW138" s="47"/>
      <c r="BX138" s="56"/>
      <c r="BY138" s="47"/>
      <c r="BZ138" s="47"/>
      <c r="CA138" s="47"/>
      <c r="CB138" s="119" t="s">
        <v>2421</v>
      </c>
      <c r="CC138" s="119" t="s">
        <v>2422</v>
      </c>
    </row>
    <row r="139" spans="1:81" ht="15" customHeight="1" x14ac:dyDescent="0.25">
      <c r="T139" s="135"/>
      <c r="U139" s="135"/>
    </row>
    <row r="140" spans="1:81" ht="15" customHeight="1" x14ac:dyDescent="0.25">
      <c r="T140" s="135"/>
      <c r="U140" s="135"/>
      <c r="AK140" s="137"/>
    </row>
    <row r="141" spans="1:81" ht="15" customHeight="1" x14ac:dyDescent="0.25">
      <c r="T141" s="135"/>
      <c r="U141" s="135"/>
      <c r="AK141" s="138"/>
    </row>
    <row r="142" spans="1:81" ht="15" customHeight="1" x14ac:dyDescent="0.25">
      <c r="T142" s="135"/>
      <c r="U142" s="135"/>
      <c r="AK142" s="138"/>
    </row>
    <row r="143" spans="1:81" ht="15" customHeight="1" x14ac:dyDescent="0.25">
      <c r="T143" s="135"/>
      <c r="U143" s="135"/>
      <c r="AK143" s="138"/>
    </row>
    <row r="144" spans="1:81" ht="15" customHeight="1" x14ac:dyDescent="0.25">
      <c r="T144" s="135"/>
      <c r="U144" s="135"/>
      <c r="AK144" s="138"/>
    </row>
    <row r="145" spans="20:37" ht="15" customHeight="1" x14ac:dyDescent="0.25">
      <c r="T145" s="135"/>
      <c r="U145" s="135"/>
      <c r="AK145" s="138"/>
    </row>
    <row r="146" spans="20:37" ht="15" customHeight="1" x14ac:dyDescent="0.25">
      <c r="T146" s="135"/>
      <c r="U146" s="135"/>
    </row>
    <row r="147" spans="20:37" ht="15" customHeight="1" x14ac:dyDescent="0.25">
      <c r="T147" s="135"/>
      <c r="U147" s="135"/>
    </row>
    <row r="148" spans="20:37" ht="15" customHeight="1" x14ac:dyDescent="0.25">
      <c r="T148" s="135"/>
      <c r="U148" s="135"/>
    </row>
    <row r="149" spans="20:37" ht="15" customHeight="1" x14ac:dyDescent="0.25">
      <c r="T149" s="135"/>
      <c r="U149" s="135"/>
    </row>
    <row r="150" spans="20:37" ht="15" customHeight="1" x14ac:dyDescent="0.25">
      <c r="T150" s="135"/>
      <c r="U150" s="135"/>
    </row>
    <row r="151" spans="20:37" ht="15" customHeight="1" x14ac:dyDescent="0.25">
      <c r="T151" s="135"/>
      <c r="U151" s="135"/>
    </row>
    <row r="152" spans="20:37" ht="15" customHeight="1" x14ac:dyDescent="0.25">
      <c r="T152" s="135"/>
      <c r="U152" s="135"/>
    </row>
    <row r="153" spans="20:37" ht="15" customHeight="1" x14ac:dyDescent="0.25">
      <c r="T153" s="135"/>
      <c r="U153" s="135"/>
    </row>
    <row r="154" spans="20:37" ht="15" customHeight="1" x14ac:dyDescent="0.25">
      <c r="T154" s="135"/>
      <c r="U154" s="135"/>
    </row>
    <row r="155" spans="20:37" ht="15" customHeight="1" x14ac:dyDescent="0.25">
      <c r="T155" s="135"/>
      <c r="U155" s="135"/>
    </row>
    <row r="156" spans="20:37" ht="15" customHeight="1" x14ac:dyDescent="0.25">
      <c r="T156" s="135"/>
      <c r="U156" s="135"/>
    </row>
    <row r="157" spans="20:37" ht="15" customHeight="1" x14ac:dyDescent="0.25">
      <c r="T157" s="135"/>
      <c r="U157" s="135"/>
    </row>
    <row r="158" spans="20:37" ht="15" customHeight="1" x14ac:dyDescent="0.25">
      <c r="T158" s="135"/>
      <c r="U158" s="135"/>
    </row>
    <row r="159" spans="20:37" ht="15" customHeight="1" x14ac:dyDescent="0.25">
      <c r="T159" s="135"/>
      <c r="U159" s="135"/>
    </row>
    <row r="160" spans="20:37" ht="15" customHeight="1" x14ac:dyDescent="0.25">
      <c r="T160" s="135"/>
      <c r="U160" s="135"/>
    </row>
    <row r="161" spans="20:21" ht="15" customHeight="1" x14ac:dyDescent="0.25">
      <c r="T161" s="135"/>
      <c r="U161" s="135"/>
    </row>
    <row r="162" spans="20:21" ht="15" customHeight="1" x14ac:dyDescent="0.25">
      <c r="T162" s="135"/>
      <c r="U162" s="135"/>
    </row>
    <row r="163" spans="20:21" ht="15" customHeight="1" x14ac:dyDescent="0.25">
      <c r="T163" s="135"/>
      <c r="U163" s="135"/>
    </row>
    <row r="164" spans="20:21" ht="15" customHeight="1" x14ac:dyDescent="0.25">
      <c r="T164" s="135"/>
      <c r="U164" s="135"/>
    </row>
    <row r="165" spans="20:21" ht="15" customHeight="1" x14ac:dyDescent="0.25">
      <c r="T165" s="135"/>
      <c r="U165" s="135"/>
    </row>
    <row r="166" spans="20:21" ht="15" customHeight="1" x14ac:dyDescent="0.25">
      <c r="T166" s="135"/>
      <c r="U166" s="135"/>
    </row>
    <row r="167" spans="20:21" ht="15" customHeight="1" x14ac:dyDescent="0.25">
      <c r="T167" s="135"/>
      <c r="U167" s="135"/>
    </row>
    <row r="168" spans="20:21" ht="15" customHeight="1" x14ac:dyDescent="0.25">
      <c r="T168" s="135"/>
      <c r="U168" s="135"/>
    </row>
    <row r="169" spans="20:21" ht="15" customHeight="1" x14ac:dyDescent="0.25">
      <c r="T169" s="135"/>
      <c r="U169" s="135"/>
    </row>
    <row r="170" spans="20:21" ht="15" customHeight="1" x14ac:dyDescent="0.25">
      <c r="T170" s="135"/>
      <c r="U170" s="135"/>
    </row>
    <row r="171" spans="20:21" ht="15" customHeight="1" x14ac:dyDescent="0.25">
      <c r="T171" s="135"/>
      <c r="U171" s="135"/>
    </row>
    <row r="172" spans="20:21" ht="15" customHeight="1" x14ac:dyDescent="0.25">
      <c r="T172" s="135"/>
      <c r="U172" s="135"/>
    </row>
    <row r="173" spans="20:21" ht="15" customHeight="1" x14ac:dyDescent="0.25">
      <c r="T173" s="135"/>
      <c r="U173" s="135"/>
    </row>
    <row r="174" spans="20:21" ht="15" customHeight="1" x14ac:dyDescent="0.25">
      <c r="T174" s="135"/>
      <c r="U174" s="135"/>
    </row>
    <row r="175" spans="20:21" ht="15" customHeight="1" x14ac:dyDescent="0.25">
      <c r="T175" s="135"/>
      <c r="U175" s="135"/>
    </row>
    <row r="176" spans="20:21" ht="15" customHeight="1" x14ac:dyDescent="0.25">
      <c r="T176" s="135"/>
      <c r="U176" s="135"/>
    </row>
    <row r="177" spans="20:21" ht="15" customHeight="1" x14ac:dyDescent="0.25">
      <c r="T177" s="135"/>
      <c r="U177" s="135"/>
    </row>
    <row r="178" spans="20:21" ht="15" customHeight="1" x14ac:dyDescent="0.25">
      <c r="T178" s="135"/>
      <c r="U178" s="135"/>
    </row>
    <row r="179" spans="20:21" ht="15" customHeight="1" x14ac:dyDescent="0.25">
      <c r="T179" s="135"/>
      <c r="U179" s="135"/>
    </row>
    <row r="180" spans="20:21" ht="15" customHeight="1" x14ac:dyDescent="0.25">
      <c r="T180" s="135"/>
      <c r="U180" s="135"/>
    </row>
    <row r="181" spans="20:21" ht="15" customHeight="1" x14ac:dyDescent="0.25">
      <c r="T181" s="135"/>
      <c r="U181" s="135"/>
    </row>
    <row r="182" spans="20:21" ht="15" customHeight="1" x14ac:dyDescent="0.25">
      <c r="T182" s="135"/>
      <c r="U182" s="135"/>
    </row>
    <row r="183" spans="20:21" ht="15" customHeight="1" x14ac:dyDescent="0.25">
      <c r="T183" s="135"/>
      <c r="U183" s="135"/>
    </row>
    <row r="184" spans="20:21" ht="15" customHeight="1" x14ac:dyDescent="0.25">
      <c r="T184" s="135"/>
      <c r="U184" s="135"/>
    </row>
    <row r="185" spans="20:21" ht="15" customHeight="1" x14ac:dyDescent="0.25">
      <c r="T185" s="135"/>
      <c r="U185" s="135"/>
    </row>
    <row r="186" spans="20:21" ht="15" customHeight="1" x14ac:dyDescent="0.25">
      <c r="T186" s="135"/>
      <c r="U186" s="135"/>
    </row>
    <row r="187" spans="20:21" ht="15" customHeight="1" x14ac:dyDescent="0.25">
      <c r="T187" s="135"/>
      <c r="U187" s="135"/>
    </row>
    <row r="188" spans="20:21" ht="15" customHeight="1" x14ac:dyDescent="0.25">
      <c r="T188" s="135"/>
      <c r="U188" s="135"/>
    </row>
    <row r="189" spans="20:21" ht="15" customHeight="1" x14ac:dyDescent="0.25">
      <c r="T189" s="135"/>
      <c r="U189" s="135"/>
    </row>
    <row r="190" spans="20:21" ht="15" customHeight="1" x14ac:dyDescent="0.25">
      <c r="T190" s="135"/>
      <c r="U190" s="135"/>
    </row>
    <row r="191" spans="20:21" ht="15" customHeight="1" x14ac:dyDescent="0.25">
      <c r="T191" s="135"/>
      <c r="U191" s="135"/>
    </row>
    <row r="192" spans="20:21" ht="15" customHeight="1" x14ac:dyDescent="0.25">
      <c r="T192" s="135"/>
      <c r="U192" s="135"/>
    </row>
    <row r="193" spans="20:21" ht="15" customHeight="1" x14ac:dyDescent="0.25">
      <c r="T193" s="135"/>
      <c r="U193" s="135"/>
    </row>
    <row r="194" spans="20:21" ht="15" customHeight="1" x14ac:dyDescent="0.25">
      <c r="T194" s="135"/>
      <c r="U194" s="135"/>
    </row>
    <row r="195" spans="20:21" ht="15" customHeight="1" x14ac:dyDescent="0.25">
      <c r="T195" s="135"/>
      <c r="U195" s="135"/>
    </row>
    <row r="196" spans="20:21" ht="15" customHeight="1" x14ac:dyDescent="0.25">
      <c r="T196" s="135"/>
      <c r="U196" s="135"/>
    </row>
    <row r="197" spans="20:21" ht="15" customHeight="1" x14ac:dyDescent="0.25">
      <c r="T197" s="135"/>
      <c r="U197" s="135"/>
    </row>
    <row r="198" spans="20:21" ht="15" customHeight="1" x14ac:dyDescent="0.25">
      <c r="T198" s="135"/>
      <c r="U198" s="135"/>
    </row>
    <row r="199" spans="20:21" ht="15" customHeight="1" x14ac:dyDescent="0.25">
      <c r="T199" s="135"/>
      <c r="U199" s="135"/>
    </row>
    <row r="200" spans="20:21" ht="15" customHeight="1" x14ac:dyDescent="0.25">
      <c r="T200" s="135"/>
      <c r="U200" s="135"/>
    </row>
    <row r="201" spans="20:21" ht="15" customHeight="1" x14ac:dyDescent="0.25">
      <c r="T201" s="135"/>
      <c r="U201" s="135"/>
    </row>
    <row r="202" spans="20:21" ht="15" customHeight="1" x14ac:dyDescent="0.25">
      <c r="T202" s="135"/>
      <c r="U202" s="135"/>
    </row>
    <row r="203" spans="20:21" ht="15" customHeight="1" x14ac:dyDescent="0.25">
      <c r="T203" s="135"/>
      <c r="U203" s="135"/>
    </row>
    <row r="204" spans="20:21" ht="15" customHeight="1" x14ac:dyDescent="0.25">
      <c r="T204" s="135"/>
      <c r="U204" s="135"/>
    </row>
    <row r="205" spans="20:21" ht="15" customHeight="1" x14ac:dyDescent="0.25">
      <c r="T205" s="135"/>
      <c r="U205" s="135"/>
    </row>
    <row r="206" spans="20:21" ht="15" customHeight="1" x14ac:dyDescent="0.25">
      <c r="T206" s="135"/>
      <c r="U206" s="135"/>
    </row>
    <row r="207" spans="20:21" ht="15" customHeight="1" x14ac:dyDescent="0.25">
      <c r="T207" s="135"/>
      <c r="U207" s="135"/>
    </row>
    <row r="208" spans="20:21" ht="15" customHeight="1" x14ac:dyDescent="0.25">
      <c r="T208" s="135"/>
      <c r="U208" s="135"/>
    </row>
    <row r="209" spans="20:21" ht="15" customHeight="1" x14ac:dyDescent="0.25">
      <c r="T209" s="135"/>
      <c r="U209" s="135"/>
    </row>
    <row r="210" spans="20:21" ht="15" customHeight="1" x14ac:dyDescent="0.25">
      <c r="T210" s="135"/>
      <c r="U210" s="135"/>
    </row>
    <row r="211" spans="20:21" ht="15" customHeight="1" x14ac:dyDescent="0.25">
      <c r="T211" s="135"/>
      <c r="U211" s="135"/>
    </row>
    <row r="212" spans="20:21" ht="15" customHeight="1" x14ac:dyDescent="0.25">
      <c r="T212" s="135"/>
      <c r="U212" s="135"/>
    </row>
    <row r="213" spans="20:21" ht="15" customHeight="1" x14ac:dyDescent="0.25">
      <c r="T213" s="135"/>
      <c r="U213" s="135"/>
    </row>
    <row r="214" spans="20:21" ht="15" customHeight="1" x14ac:dyDescent="0.25">
      <c r="T214" s="135"/>
      <c r="U214" s="135"/>
    </row>
    <row r="215" spans="20:21" ht="15" customHeight="1" x14ac:dyDescent="0.25">
      <c r="T215" s="135"/>
      <c r="U215" s="135"/>
    </row>
    <row r="216" spans="20:21" ht="15" customHeight="1" x14ac:dyDescent="0.25">
      <c r="T216" s="135"/>
      <c r="U216" s="135"/>
    </row>
    <row r="217" spans="20:21" ht="15" customHeight="1" x14ac:dyDescent="0.25">
      <c r="T217" s="135"/>
      <c r="U217" s="135"/>
    </row>
    <row r="218" spans="20:21" ht="15" customHeight="1" x14ac:dyDescent="0.25">
      <c r="T218" s="135"/>
      <c r="U218" s="135"/>
    </row>
    <row r="219" spans="20:21" ht="15" customHeight="1" x14ac:dyDescent="0.25">
      <c r="T219" s="135"/>
      <c r="U219" s="135"/>
    </row>
    <row r="220" spans="20:21" ht="15" customHeight="1" x14ac:dyDescent="0.25">
      <c r="T220" s="135"/>
      <c r="U220" s="135"/>
    </row>
    <row r="221" spans="20:21" ht="15" customHeight="1" x14ac:dyDescent="0.25">
      <c r="T221" s="135"/>
      <c r="U221" s="135"/>
    </row>
    <row r="222" spans="20:21" ht="15" customHeight="1" x14ac:dyDescent="0.25">
      <c r="T222" s="135"/>
      <c r="U222" s="135"/>
    </row>
    <row r="223" spans="20:21" ht="15" customHeight="1" x14ac:dyDescent="0.25">
      <c r="T223" s="135"/>
      <c r="U223" s="135"/>
    </row>
    <row r="224" spans="20:21" ht="15" customHeight="1" x14ac:dyDescent="0.25">
      <c r="T224" s="135"/>
      <c r="U224" s="135"/>
    </row>
    <row r="225" spans="20:21" ht="15" customHeight="1" x14ac:dyDescent="0.25">
      <c r="T225" s="135"/>
      <c r="U225" s="135"/>
    </row>
    <row r="226" spans="20:21" ht="15" customHeight="1" x14ac:dyDescent="0.25">
      <c r="T226" s="135"/>
      <c r="U226" s="135"/>
    </row>
    <row r="227" spans="20:21" ht="15" customHeight="1" x14ac:dyDescent="0.25">
      <c r="T227" s="135"/>
      <c r="U227" s="135"/>
    </row>
    <row r="228" spans="20:21" ht="15" customHeight="1" x14ac:dyDescent="0.25">
      <c r="T228" s="135"/>
      <c r="U228" s="135"/>
    </row>
    <row r="229" spans="20:21" ht="15" customHeight="1" x14ac:dyDescent="0.25">
      <c r="T229" s="135"/>
      <c r="U229" s="135"/>
    </row>
    <row r="230" spans="20:21" ht="15" customHeight="1" x14ac:dyDescent="0.25">
      <c r="T230" s="135"/>
      <c r="U230" s="135"/>
    </row>
    <row r="231" spans="20:21" ht="15" customHeight="1" x14ac:dyDescent="0.25">
      <c r="T231" s="135"/>
      <c r="U231" s="135"/>
    </row>
    <row r="232" spans="20:21" ht="15" customHeight="1" x14ac:dyDescent="0.25">
      <c r="T232" s="135"/>
      <c r="U232" s="135"/>
    </row>
    <row r="233" spans="20:21" ht="15" customHeight="1" x14ac:dyDescent="0.25">
      <c r="T233" s="135"/>
      <c r="U233" s="135"/>
    </row>
    <row r="234" spans="20:21" ht="15" customHeight="1" x14ac:dyDescent="0.25">
      <c r="T234" s="135"/>
      <c r="U234" s="135"/>
    </row>
    <row r="235" spans="20:21" ht="15" customHeight="1" x14ac:dyDescent="0.25">
      <c r="T235" s="135"/>
      <c r="U235" s="135"/>
    </row>
    <row r="236" spans="20:21" ht="15" customHeight="1" x14ac:dyDescent="0.25">
      <c r="T236" s="135"/>
      <c r="U236" s="135"/>
    </row>
    <row r="237" spans="20:21" ht="15" customHeight="1" x14ac:dyDescent="0.25">
      <c r="T237" s="135"/>
      <c r="U237" s="135"/>
    </row>
    <row r="238" spans="20:21" ht="15" customHeight="1" x14ac:dyDescent="0.25">
      <c r="T238" s="135"/>
      <c r="U238" s="135"/>
    </row>
    <row r="239" spans="20:21" ht="15" customHeight="1" x14ac:dyDescent="0.25">
      <c r="T239" s="135"/>
      <c r="U239" s="135"/>
    </row>
    <row r="240" spans="20:21" ht="15" customHeight="1" x14ac:dyDescent="0.25">
      <c r="T240" s="135"/>
      <c r="U240" s="135"/>
    </row>
    <row r="241" spans="20:21" ht="15" customHeight="1" x14ac:dyDescent="0.25">
      <c r="T241" s="135"/>
      <c r="U241" s="135"/>
    </row>
    <row r="242" spans="20:21" ht="15" customHeight="1" x14ac:dyDescent="0.25">
      <c r="T242" s="135"/>
      <c r="U242" s="135"/>
    </row>
    <row r="243" spans="20:21" ht="15" customHeight="1" x14ac:dyDescent="0.25">
      <c r="T243" s="135"/>
      <c r="U243" s="135"/>
    </row>
    <row r="244" spans="20:21" ht="15" customHeight="1" x14ac:dyDescent="0.25">
      <c r="T244" s="135"/>
      <c r="U244" s="135"/>
    </row>
    <row r="245" spans="20:21" ht="15" customHeight="1" x14ac:dyDescent="0.25">
      <c r="T245" s="135"/>
      <c r="U245" s="135"/>
    </row>
    <row r="246" spans="20:21" ht="15" customHeight="1" x14ac:dyDescent="0.25">
      <c r="T246" s="135"/>
      <c r="U246" s="135"/>
    </row>
    <row r="247" spans="20:21" ht="15" customHeight="1" x14ac:dyDescent="0.25">
      <c r="T247" s="135"/>
      <c r="U247" s="135"/>
    </row>
    <row r="248" spans="20:21" ht="15" customHeight="1" x14ac:dyDescent="0.25">
      <c r="T248" s="135"/>
      <c r="U248" s="135"/>
    </row>
    <row r="249" spans="20:21" ht="15" customHeight="1" x14ac:dyDescent="0.25">
      <c r="T249" s="135"/>
      <c r="U249" s="135"/>
    </row>
    <row r="250" spans="20:21" ht="15" customHeight="1" x14ac:dyDescent="0.25">
      <c r="T250" s="135"/>
      <c r="U250" s="135"/>
    </row>
    <row r="251" spans="20:21" ht="15" customHeight="1" x14ac:dyDescent="0.25">
      <c r="T251" s="135"/>
      <c r="U251" s="135"/>
    </row>
    <row r="252" spans="20:21" ht="15" customHeight="1" x14ac:dyDescent="0.25">
      <c r="T252" s="135"/>
      <c r="U252" s="135"/>
    </row>
    <row r="253" spans="20:21" ht="15" customHeight="1" x14ac:dyDescent="0.25">
      <c r="T253" s="135"/>
      <c r="U253" s="135"/>
    </row>
    <row r="254" spans="20:21" ht="15" customHeight="1" x14ac:dyDescent="0.25">
      <c r="T254" s="135"/>
      <c r="U254" s="135"/>
    </row>
    <row r="255" spans="20:21" ht="15" customHeight="1" x14ac:dyDescent="0.25">
      <c r="T255" s="135"/>
      <c r="U255" s="135"/>
    </row>
    <row r="256" spans="20:21" ht="15" customHeight="1" x14ac:dyDescent="0.25">
      <c r="T256" s="135"/>
      <c r="U256" s="135"/>
    </row>
    <row r="257" spans="20:21" ht="15" customHeight="1" x14ac:dyDescent="0.25">
      <c r="T257" s="135"/>
      <c r="U257" s="135"/>
    </row>
    <row r="258" spans="20:21" ht="15" customHeight="1" x14ac:dyDescent="0.25">
      <c r="T258" s="135"/>
      <c r="U258" s="135"/>
    </row>
    <row r="259" spans="20:21" ht="15" customHeight="1" x14ac:dyDescent="0.25">
      <c r="T259" s="135"/>
      <c r="U259" s="135"/>
    </row>
    <row r="260" spans="20:21" ht="15" customHeight="1" x14ac:dyDescent="0.25">
      <c r="T260" s="135"/>
      <c r="U260" s="135"/>
    </row>
    <row r="261" spans="20:21" ht="15" customHeight="1" x14ac:dyDescent="0.25">
      <c r="T261" s="135"/>
      <c r="U261" s="135"/>
    </row>
    <row r="262" spans="20:21" ht="15" customHeight="1" x14ac:dyDescent="0.25">
      <c r="T262" s="135"/>
      <c r="U262" s="135"/>
    </row>
    <row r="263" spans="20:21" ht="15" customHeight="1" x14ac:dyDescent="0.25">
      <c r="T263" s="135"/>
      <c r="U263" s="135"/>
    </row>
    <row r="264" spans="20:21" ht="15" customHeight="1" x14ac:dyDescent="0.25">
      <c r="T264" s="135"/>
      <c r="U264" s="135"/>
    </row>
    <row r="265" spans="20:21" ht="15" customHeight="1" x14ac:dyDescent="0.25">
      <c r="T265" s="135"/>
      <c r="U265" s="135"/>
    </row>
    <row r="266" spans="20:21" ht="15" customHeight="1" x14ac:dyDescent="0.25">
      <c r="T266" s="135"/>
      <c r="U266" s="135"/>
    </row>
    <row r="267" spans="20:21" ht="15" customHeight="1" x14ac:dyDescent="0.25">
      <c r="T267" s="135"/>
      <c r="U267" s="135"/>
    </row>
    <row r="268" spans="20:21" ht="15" customHeight="1" x14ac:dyDescent="0.25">
      <c r="T268" s="135"/>
      <c r="U268" s="135"/>
    </row>
    <row r="269" spans="20:21" ht="15" customHeight="1" x14ac:dyDescent="0.25">
      <c r="T269" s="135"/>
      <c r="U269" s="135"/>
    </row>
    <row r="270" spans="20:21" ht="15" customHeight="1" x14ac:dyDescent="0.25">
      <c r="T270" s="135"/>
      <c r="U270" s="135"/>
    </row>
    <row r="271" spans="20:21" ht="15" customHeight="1" x14ac:dyDescent="0.25">
      <c r="T271" s="135"/>
      <c r="U271" s="135"/>
    </row>
    <row r="272" spans="20:21" ht="15" customHeight="1" x14ac:dyDescent="0.25">
      <c r="T272" s="135"/>
      <c r="U272" s="135"/>
    </row>
    <row r="273" spans="20:21" ht="15" customHeight="1" x14ac:dyDescent="0.25">
      <c r="T273" s="135"/>
      <c r="U273" s="135"/>
    </row>
    <row r="274" spans="20:21" ht="15" customHeight="1" x14ac:dyDescent="0.25">
      <c r="T274" s="135"/>
      <c r="U274" s="135"/>
    </row>
    <row r="275" spans="20:21" ht="15" customHeight="1" x14ac:dyDescent="0.25">
      <c r="T275" s="135"/>
      <c r="U275" s="135"/>
    </row>
    <row r="276" spans="20:21" ht="15" customHeight="1" x14ac:dyDescent="0.25">
      <c r="T276" s="135"/>
      <c r="U276" s="135"/>
    </row>
    <row r="277" spans="20:21" ht="15" customHeight="1" x14ac:dyDescent="0.25">
      <c r="T277" s="135"/>
      <c r="U277" s="135"/>
    </row>
    <row r="278" spans="20:21" ht="15" customHeight="1" x14ac:dyDescent="0.25">
      <c r="T278" s="135"/>
      <c r="U278" s="135"/>
    </row>
    <row r="279" spans="20:21" ht="15" customHeight="1" x14ac:dyDescent="0.25">
      <c r="T279" s="135"/>
      <c r="U279" s="135"/>
    </row>
    <row r="280" spans="20:21" ht="15" customHeight="1" x14ac:dyDescent="0.25">
      <c r="T280" s="135"/>
      <c r="U280" s="135"/>
    </row>
    <row r="281" spans="20:21" ht="15" customHeight="1" x14ac:dyDescent="0.25">
      <c r="T281" s="135"/>
      <c r="U281" s="135"/>
    </row>
    <row r="282" spans="20:21" ht="15" customHeight="1" x14ac:dyDescent="0.25">
      <c r="T282" s="135"/>
      <c r="U282" s="135"/>
    </row>
    <row r="283" spans="20:21" ht="15" customHeight="1" x14ac:dyDescent="0.25">
      <c r="T283" s="135"/>
      <c r="U283" s="135"/>
    </row>
    <row r="284" spans="20:21" ht="15" customHeight="1" x14ac:dyDescent="0.25">
      <c r="T284" s="135"/>
      <c r="U284" s="135"/>
    </row>
    <row r="285" spans="20:21" ht="15" customHeight="1" x14ac:dyDescent="0.25">
      <c r="T285" s="135"/>
      <c r="U285" s="135"/>
    </row>
    <row r="286" spans="20:21" ht="15" customHeight="1" x14ac:dyDescent="0.25">
      <c r="T286" s="135"/>
      <c r="U286" s="135"/>
    </row>
    <row r="287" spans="20:21" ht="15" customHeight="1" x14ac:dyDescent="0.25">
      <c r="T287" s="135"/>
      <c r="U287" s="135"/>
    </row>
    <row r="288" spans="20:21" ht="15" customHeight="1" x14ac:dyDescent="0.25">
      <c r="T288" s="135"/>
      <c r="U288" s="135"/>
    </row>
    <row r="289" spans="20:21" ht="15" customHeight="1" x14ac:dyDescent="0.25">
      <c r="T289" s="135"/>
      <c r="U289" s="135"/>
    </row>
    <row r="290" spans="20:21" ht="15" customHeight="1" x14ac:dyDescent="0.25">
      <c r="T290" s="135"/>
      <c r="U290" s="135"/>
    </row>
    <row r="291" spans="20:21" ht="15" customHeight="1" x14ac:dyDescent="0.25">
      <c r="T291" s="135"/>
      <c r="U291" s="135"/>
    </row>
    <row r="292" spans="20:21" ht="15" customHeight="1" x14ac:dyDescent="0.25">
      <c r="T292" s="135"/>
      <c r="U292" s="135"/>
    </row>
    <row r="293" spans="20:21" ht="15" customHeight="1" x14ac:dyDescent="0.25">
      <c r="T293" s="135"/>
      <c r="U293" s="135"/>
    </row>
    <row r="294" spans="20:21" ht="15" customHeight="1" x14ac:dyDescent="0.25">
      <c r="T294" s="135"/>
      <c r="U294" s="135"/>
    </row>
    <row r="295" spans="20:21" ht="15" customHeight="1" x14ac:dyDescent="0.25">
      <c r="T295" s="135"/>
      <c r="U295" s="135"/>
    </row>
    <row r="296" spans="20:21" ht="15" customHeight="1" x14ac:dyDescent="0.25">
      <c r="T296" s="135"/>
      <c r="U296" s="135"/>
    </row>
    <row r="297" spans="20:21" ht="15" customHeight="1" x14ac:dyDescent="0.25">
      <c r="T297" s="135"/>
      <c r="U297" s="135"/>
    </row>
    <row r="298" spans="20:21" ht="15" customHeight="1" x14ac:dyDescent="0.25">
      <c r="T298" s="135"/>
      <c r="U298" s="135"/>
    </row>
    <row r="299" spans="20:21" ht="15" customHeight="1" x14ac:dyDescent="0.25">
      <c r="T299" s="135"/>
      <c r="U299" s="135"/>
    </row>
    <row r="300" spans="20:21" ht="15" customHeight="1" x14ac:dyDescent="0.25">
      <c r="T300" s="135"/>
      <c r="U300" s="135"/>
    </row>
    <row r="301" spans="20:21" ht="15" customHeight="1" x14ac:dyDescent="0.25">
      <c r="T301" s="135"/>
      <c r="U301" s="135"/>
    </row>
    <row r="302" spans="20:21" ht="15" customHeight="1" x14ac:dyDescent="0.25">
      <c r="T302" s="135"/>
      <c r="U302" s="135"/>
    </row>
    <row r="303" spans="20:21" ht="15" customHeight="1" x14ac:dyDescent="0.25">
      <c r="T303" s="135"/>
      <c r="U303" s="135"/>
    </row>
    <row r="304" spans="20:21" ht="15" customHeight="1" x14ac:dyDescent="0.25">
      <c r="T304" s="135"/>
      <c r="U304" s="135"/>
    </row>
    <row r="305" spans="20:21" ht="15" customHeight="1" x14ac:dyDescent="0.25">
      <c r="T305" s="135"/>
      <c r="U305" s="135"/>
    </row>
    <row r="306" spans="20:21" ht="15" customHeight="1" x14ac:dyDescent="0.25">
      <c r="T306" s="135"/>
      <c r="U306" s="135"/>
    </row>
    <row r="307" spans="20:21" ht="15" customHeight="1" x14ac:dyDescent="0.25">
      <c r="T307" s="135"/>
      <c r="U307" s="135"/>
    </row>
    <row r="308" spans="20:21" ht="15" customHeight="1" x14ac:dyDescent="0.25">
      <c r="T308" s="135"/>
      <c r="U308" s="135"/>
    </row>
    <row r="309" spans="20:21" ht="15" customHeight="1" x14ac:dyDescent="0.25">
      <c r="T309" s="135"/>
      <c r="U309" s="135"/>
    </row>
    <row r="310" spans="20:21" ht="15" customHeight="1" x14ac:dyDescent="0.25">
      <c r="T310" s="135"/>
      <c r="U310" s="135"/>
    </row>
    <row r="311" spans="20:21" ht="15" customHeight="1" x14ac:dyDescent="0.25">
      <c r="T311" s="135"/>
      <c r="U311" s="135"/>
    </row>
    <row r="312" spans="20:21" ht="15" customHeight="1" x14ac:dyDescent="0.25">
      <c r="T312" s="135"/>
      <c r="U312" s="135"/>
    </row>
    <row r="313" spans="20:21" ht="15" customHeight="1" x14ac:dyDescent="0.25">
      <c r="T313" s="135"/>
      <c r="U313" s="135"/>
    </row>
    <row r="314" spans="20:21" ht="15" customHeight="1" x14ac:dyDescent="0.25">
      <c r="T314" s="135"/>
      <c r="U314" s="135"/>
    </row>
    <row r="315" spans="20:21" ht="15" customHeight="1" x14ac:dyDescent="0.25">
      <c r="T315" s="135"/>
      <c r="U315" s="135"/>
    </row>
    <row r="316" spans="20:21" ht="15" customHeight="1" x14ac:dyDescent="0.25">
      <c r="T316" s="135"/>
      <c r="U316" s="135"/>
    </row>
    <row r="317" spans="20:21" ht="15" customHeight="1" x14ac:dyDescent="0.25">
      <c r="T317" s="135"/>
      <c r="U317" s="135"/>
    </row>
    <row r="318" spans="20:21" ht="15" customHeight="1" x14ac:dyDescent="0.25">
      <c r="T318" s="135"/>
      <c r="U318" s="135"/>
    </row>
    <row r="319" spans="20:21" ht="15" customHeight="1" x14ac:dyDescent="0.25">
      <c r="T319" s="135"/>
      <c r="U319" s="135"/>
    </row>
    <row r="320" spans="20:21" ht="15" customHeight="1" x14ac:dyDescent="0.25">
      <c r="T320" s="135"/>
      <c r="U320" s="135"/>
    </row>
    <row r="321" spans="20:21" ht="15" customHeight="1" x14ac:dyDescent="0.25">
      <c r="T321" s="135"/>
      <c r="U321" s="135"/>
    </row>
    <row r="322" spans="20:21" ht="15" customHeight="1" x14ac:dyDescent="0.25">
      <c r="T322" s="135"/>
      <c r="U322" s="135"/>
    </row>
    <row r="323" spans="20:21" ht="15" customHeight="1" x14ac:dyDescent="0.25">
      <c r="T323" s="135"/>
      <c r="U323" s="135"/>
    </row>
    <row r="324" spans="20:21" ht="15" customHeight="1" x14ac:dyDescent="0.25">
      <c r="T324" s="135"/>
      <c r="U324" s="135"/>
    </row>
    <row r="325" spans="20:21" ht="15" customHeight="1" x14ac:dyDescent="0.25">
      <c r="T325" s="135"/>
      <c r="U325" s="135"/>
    </row>
    <row r="326" spans="20:21" ht="15" customHeight="1" x14ac:dyDescent="0.25">
      <c r="T326" s="135"/>
      <c r="U326" s="135"/>
    </row>
    <row r="327" spans="20:21" ht="15" customHeight="1" x14ac:dyDescent="0.25">
      <c r="T327" s="135"/>
      <c r="U327" s="135"/>
    </row>
    <row r="328" spans="20:21" ht="15" customHeight="1" x14ac:dyDescent="0.25">
      <c r="T328" s="135"/>
      <c r="U328" s="135"/>
    </row>
    <row r="329" spans="20:21" ht="15" customHeight="1" x14ac:dyDescent="0.25">
      <c r="T329" s="135"/>
      <c r="U329" s="135"/>
    </row>
    <row r="330" spans="20:21" ht="15" customHeight="1" x14ac:dyDescent="0.25">
      <c r="T330" s="135"/>
      <c r="U330" s="135"/>
    </row>
    <row r="331" spans="20:21" ht="15" customHeight="1" x14ac:dyDescent="0.25">
      <c r="T331" s="135"/>
      <c r="U331" s="135"/>
    </row>
    <row r="332" spans="20:21" ht="15" customHeight="1" x14ac:dyDescent="0.25">
      <c r="T332" s="135"/>
      <c r="U332" s="135"/>
    </row>
    <row r="333" spans="20:21" ht="15" customHeight="1" x14ac:dyDescent="0.25">
      <c r="T333" s="135"/>
      <c r="U333" s="135"/>
    </row>
    <row r="334" spans="20:21" ht="15" customHeight="1" x14ac:dyDescent="0.25">
      <c r="T334" s="135"/>
      <c r="U334" s="135"/>
    </row>
    <row r="335" spans="20:21" ht="15" customHeight="1" x14ac:dyDescent="0.25">
      <c r="T335" s="135"/>
      <c r="U335" s="135"/>
    </row>
    <row r="336" spans="20:21" ht="15" customHeight="1" x14ac:dyDescent="0.25">
      <c r="T336" s="135"/>
      <c r="U336" s="135"/>
    </row>
    <row r="337" spans="20:21" ht="15" customHeight="1" x14ac:dyDescent="0.25">
      <c r="T337" s="135"/>
      <c r="U337" s="135"/>
    </row>
    <row r="338" spans="20:21" ht="15" customHeight="1" x14ac:dyDescent="0.25">
      <c r="T338" s="135"/>
      <c r="U338" s="135"/>
    </row>
    <row r="339" spans="20:21" ht="15" customHeight="1" x14ac:dyDescent="0.25">
      <c r="T339" s="135"/>
      <c r="U339" s="135"/>
    </row>
    <row r="340" spans="20:21" ht="15" customHeight="1" x14ac:dyDescent="0.25">
      <c r="T340" s="135"/>
      <c r="U340" s="135"/>
    </row>
    <row r="341" spans="20:21" ht="15" customHeight="1" x14ac:dyDescent="0.25">
      <c r="T341" s="135"/>
      <c r="U341" s="135"/>
    </row>
    <row r="342" spans="20:21" ht="15" customHeight="1" x14ac:dyDescent="0.25">
      <c r="T342" s="135"/>
      <c r="U342" s="135"/>
    </row>
    <row r="343" spans="20:21" ht="15" customHeight="1" x14ac:dyDescent="0.25">
      <c r="T343" s="135"/>
      <c r="U343" s="135"/>
    </row>
    <row r="344" spans="20:21" ht="15" customHeight="1" x14ac:dyDescent="0.25">
      <c r="T344" s="135"/>
      <c r="U344" s="135"/>
    </row>
    <row r="345" spans="20:21" ht="15" customHeight="1" x14ac:dyDescent="0.25">
      <c r="T345" s="135"/>
      <c r="U345" s="135"/>
    </row>
    <row r="346" spans="20:21" ht="15" customHeight="1" x14ac:dyDescent="0.25">
      <c r="T346" s="135"/>
      <c r="U346" s="135"/>
    </row>
    <row r="347" spans="20:21" ht="15" customHeight="1" x14ac:dyDescent="0.25">
      <c r="T347" s="135"/>
      <c r="U347" s="135"/>
    </row>
    <row r="348" spans="20:21" ht="15" customHeight="1" x14ac:dyDescent="0.25">
      <c r="T348" s="135"/>
      <c r="U348" s="135"/>
    </row>
    <row r="349" spans="20:21" ht="15" customHeight="1" x14ac:dyDescent="0.25">
      <c r="T349" s="135"/>
      <c r="U349" s="135"/>
    </row>
    <row r="350" spans="20:21" ht="15" customHeight="1" x14ac:dyDescent="0.25">
      <c r="T350" s="135"/>
      <c r="U350" s="135"/>
    </row>
    <row r="351" spans="20:21" ht="15" customHeight="1" x14ac:dyDescent="0.25">
      <c r="T351" s="135"/>
      <c r="U351" s="135"/>
    </row>
    <row r="352" spans="20:21" ht="15" customHeight="1" x14ac:dyDescent="0.25">
      <c r="T352" s="135"/>
      <c r="U352" s="135"/>
    </row>
    <row r="353" spans="20:21" ht="15" customHeight="1" x14ac:dyDescent="0.25">
      <c r="T353" s="135"/>
      <c r="U353" s="135"/>
    </row>
    <row r="354" spans="20:21" ht="15" customHeight="1" x14ac:dyDescent="0.25">
      <c r="T354" s="135"/>
      <c r="U354" s="135"/>
    </row>
    <row r="355" spans="20:21" ht="15" customHeight="1" x14ac:dyDescent="0.25">
      <c r="T355" s="135"/>
      <c r="U355" s="135"/>
    </row>
    <row r="356" spans="20:21" ht="15" customHeight="1" x14ac:dyDescent="0.25">
      <c r="T356" s="135"/>
      <c r="U356" s="135"/>
    </row>
    <row r="357" spans="20:21" ht="15" customHeight="1" x14ac:dyDescent="0.25">
      <c r="T357" s="135"/>
      <c r="U357" s="135"/>
    </row>
    <row r="358" spans="20:21" ht="15" customHeight="1" x14ac:dyDescent="0.25">
      <c r="T358" s="135"/>
      <c r="U358" s="135"/>
    </row>
    <row r="359" spans="20:21" ht="15" customHeight="1" x14ac:dyDescent="0.25">
      <c r="T359" s="135"/>
      <c r="U359" s="135"/>
    </row>
    <row r="360" spans="20:21" ht="15" customHeight="1" x14ac:dyDescent="0.25">
      <c r="T360" s="135"/>
      <c r="U360" s="135"/>
    </row>
    <row r="361" spans="20:21" ht="15" customHeight="1" x14ac:dyDescent="0.25">
      <c r="T361" s="135"/>
      <c r="U361" s="135"/>
    </row>
    <row r="362" spans="20:21" ht="15" customHeight="1" x14ac:dyDescent="0.25">
      <c r="T362" s="135"/>
      <c r="U362" s="135"/>
    </row>
    <row r="363" spans="20:21" ht="15" customHeight="1" x14ac:dyDescent="0.25">
      <c r="T363" s="135"/>
      <c r="U363" s="135"/>
    </row>
    <row r="364" spans="20:21" ht="15" customHeight="1" x14ac:dyDescent="0.25">
      <c r="T364" s="135"/>
      <c r="U364" s="135"/>
    </row>
    <row r="365" spans="20:21" ht="15" customHeight="1" x14ac:dyDescent="0.25">
      <c r="T365" s="135"/>
      <c r="U365" s="135"/>
    </row>
    <row r="366" spans="20:21" ht="15" customHeight="1" x14ac:dyDescent="0.25">
      <c r="T366" s="135"/>
      <c r="U366" s="135"/>
    </row>
    <row r="367" spans="20:21" ht="15" customHeight="1" x14ac:dyDescent="0.25">
      <c r="T367" s="135"/>
      <c r="U367" s="135"/>
    </row>
    <row r="368" spans="20:21" ht="15" customHeight="1" x14ac:dyDescent="0.25">
      <c r="T368" s="135"/>
      <c r="U368" s="135"/>
    </row>
    <row r="369" spans="20:21" ht="15" customHeight="1" x14ac:dyDescent="0.25">
      <c r="T369" s="135"/>
      <c r="U369" s="135"/>
    </row>
    <row r="370" spans="20:21" ht="15" customHeight="1" x14ac:dyDescent="0.25">
      <c r="T370" s="135"/>
      <c r="U370" s="135"/>
    </row>
    <row r="371" spans="20:21" ht="15" customHeight="1" x14ac:dyDescent="0.25">
      <c r="T371" s="135"/>
      <c r="U371" s="135"/>
    </row>
    <row r="372" spans="20:21" ht="15" customHeight="1" x14ac:dyDescent="0.25">
      <c r="T372" s="135"/>
      <c r="U372" s="135"/>
    </row>
    <row r="373" spans="20:21" ht="15" customHeight="1" x14ac:dyDescent="0.25">
      <c r="T373" s="135"/>
      <c r="U373" s="135"/>
    </row>
    <row r="374" spans="20:21" ht="15" customHeight="1" x14ac:dyDescent="0.25">
      <c r="T374" s="135"/>
      <c r="U374" s="135"/>
    </row>
    <row r="375" spans="20:21" ht="15" customHeight="1" x14ac:dyDescent="0.25">
      <c r="T375" s="135"/>
      <c r="U375" s="135"/>
    </row>
    <row r="376" spans="20:21" ht="15" customHeight="1" x14ac:dyDescent="0.25">
      <c r="T376" s="135"/>
      <c r="U376" s="135"/>
    </row>
    <row r="377" spans="20:21" ht="15" customHeight="1" x14ac:dyDescent="0.25">
      <c r="T377" s="135"/>
      <c r="U377" s="135"/>
    </row>
    <row r="378" spans="20:21" ht="15" customHeight="1" x14ac:dyDescent="0.25">
      <c r="T378" s="135"/>
      <c r="U378" s="135"/>
    </row>
    <row r="379" spans="20:21" ht="15" customHeight="1" x14ac:dyDescent="0.25">
      <c r="T379" s="135"/>
      <c r="U379" s="135"/>
    </row>
    <row r="380" spans="20:21" ht="15" customHeight="1" x14ac:dyDescent="0.25">
      <c r="T380" s="135"/>
      <c r="U380" s="135"/>
    </row>
    <row r="381" spans="20:21" ht="15" customHeight="1" x14ac:dyDescent="0.25">
      <c r="T381" s="135"/>
      <c r="U381" s="135"/>
    </row>
    <row r="382" spans="20:21" ht="15" customHeight="1" x14ac:dyDescent="0.25">
      <c r="T382" s="135"/>
      <c r="U382" s="135"/>
    </row>
    <row r="383" spans="20:21" ht="15" customHeight="1" x14ac:dyDescent="0.25">
      <c r="T383" s="135"/>
      <c r="U383" s="135"/>
    </row>
    <row r="384" spans="20:21" ht="15" customHeight="1" x14ac:dyDescent="0.25">
      <c r="T384" s="135"/>
      <c r="U384" s="135"/>
    </row>
    <row r="385" spans="20:21" ht="15" customHeight="1" x14ac:dyDescent="0.25">
      <c r="T385" s="135"/>
      <c r="U385" s="135"/>
    </row>
    <row r="386" spans="20:21" ht="15" customHeight="1" x14ac:dyDescent="0.25">
      <c r="T386" s="135"/>
      <c r="U386" s="135"/>
    </row>
    <row r="387" spans="20:21" ht="15" customHeight="1" x14ac:dyDescent="0.25">
      <c r="T387" s="135"/>
      <c r="U387" s="135"/>
    </row>
    <row r="388" spans="20:21" ht="15" customHeight="1" x14ac:dyDescent="0.25">
      <c r="T388" s="135"/>
      <c r="U388" s="135"/>
    </row>
    <row r="389" spans="20:21" ht="15" customHeight="1" x14ac:dyDescent="0.25">
      <c r="T389" s="135"/>
      <c r="U389" s="135"/>
    </row>
    <row r="390" spans="20:21" ht="15" customHeight="1" x14ac:dyDescent="0.25">
      <c r="T390" s="135"/>
      <c r="U390" s="135"/>
    </row>
    <row r="391" spans="20:21" ht="15" customHeight="1" x14ac:dyDescent="0.25">
      <c r="T391" s="135"/>
      <c r="U391" s="135"/>
    </row>
    <row r="392" spans="20:21" ht="15" customHeight="1" x14ac:dyDescent="0.25">
      <c r="T392" s="135"/>
      <c r="U392" s="135"/>
    </row>
    <row r="393" spans="20:21" ht="15" customHeight="1" x14ac:dyDescent="0.25">
      <c r="T393" s="135"/>
      <c r="U393" s="135"/>
    </row>
    <row r="394" spans="20:21" ht="15" customHeight="1" x14ac:dyDescent="0.25">
      <c r="T394" s="135"/>
      <c r="U394" s="135"/>
    </row>
    <row r="395" spans="20:21" ht="15" customHeight="1" x14ac:dyDescent="0.25">
      <c r="T395" s="135"/>
      <c r="U395" s="135"/>
    </row>
    <row r="396" spans="20:21" ht="15" customHeight="1" x14ac:dyDescent="0.25">
      <c r="T396" s="135"/>
      <c r="U396" s="135"/>
    </row>
    <row r="397" spans="20:21" ht="15" customHeight="1" x14ac:dyDescent="0.25">
      <c r="T397" s="135"/>
      <c r="U397" s="135"/>
    </row>
    <row r="398" spans="20:21" ht="15" customHeight="1" x14ac:dyDescent="0.25">
      <c r="T398" s="135"/>
      <c r="U398" s="135"/>
    </row>
    <row r="399" spans="20:21" ht="15" customHeight="1" x14ac:dyDescent="0.25">
      <c r="T399" s="135"/>
      <c r="U399" s="135"/>
    </row>
    <row r="400" spans="20:21" ht="15" customHeight="1" x14ac:dyDescent="0.25">
      <c r="T400" s="135"/>
      <c r="U400" s="135"/>
    </row>
    <row r="401" spans="20:21" ht="15" customHeight="1" x14ac:dyDescent="0.25">
      <c r="T401" s="135"/>
      <c r="U401" s="135"/>
    </row>
    <row r="402" spans="20:21" ht="15" customHeight="1" x14ac:dyDescent="0.25">
      <c r="T402" s="135"/>
      <c r="U402" s="135"/>
    </row>
    <row r="403" spans="20:21" ht="15" customHeight="1" x14ac:dyDescent="0.25">
      <c r="T403" s="135"/>
      <c r="U403" s="135"/>
    </row>
    <row r="404" spans="20:21" ht="15" customHeight="1" x14ac:dyDescent="0.25">
      <c r="T404" s="135"/>
      <c r="U404" s="135"/>
    </row>
    <row r="405" spans="20:21" ht="15" customHeight="1" x14ac:dyDescent="0.25">
      <c r="T405" s="135"/>
      <c r="U405" s="135"/>
    </row>
    <row r="406" spans="20:21" ht="15" customHeight="1" x14ac:dyDescent="0.25">
      <c r="T406" s="135"/>
      <c r="U406" s="135"/>
    </row>
    <row r="407" spans="20:21" ht="15" customHeight="1" x14ac:dyDescent="0.25">
      <c r="T407" s="135"/>
      <c r="U407" s="135"/>
    </row>
    <row r="408" spans="20:21" ht="15" customHeight="1" x14ac:dyDescent="0.25">
      <c r="T408" s="135"/>
      <c r="U408" s="135"/>
    </row>
    <row r="409" spans="20:21" ht="15" customHeight="1" x14ac:dyDescent="0.25">
      <c r="T409" s="135"/>
      <c r="U409" s="135"/>
    </row>
    <row r="410" spans="20:21" ht="15" customHeight="1" x14ac:dyDescent="0.25">
      <c r="T410" s="135"/>
      <c r="U410" s="135"/>
    </row>
    <row r="411" spans="20:21" ht="15" customHeight="1" x14ac:dyDescent="0.25">
      <c r="T411" s="135"/>
      <c r="U411" s="135"/>
    </row>
    <row r="412" spans="20:21" ht="15" customHeight="1" x14ac:dyDescent="0.25">
      <c r="T412" s="135"/>
      <c r="U412" s="135"/>
    </row>
    <row r="413" spans="20:21" ht="15" customHeight="1" x14ac:dyDescent="0.25">
      <c r="T413" s="135"/>
      <c r="U413" s="135"/>
    </row>
    <row r="414" spans="20:21" ht="15" customHeight="1" x14ac:dyDescent="0.25">
      <c r="T414" s="135"/>
      <c r="U414" s="135"/>
    </row>
    <row r="415" spans="20:21" ht="15" customHeight="1" x14ac:dyDescent="0.25">
      <c r="T415" s="135"/>
      <c r="U415" s="135"/>
    </row>
    <row r="416" spans="20:21" ht="15" customHeight="1" x14ac:dyDescent="0.25">
      <c r="T416" s="135"/>
      <c r="U416" s="135"/>
    </row>
    <row r="417" spans="20:21" ht="15" customHeight="1" x14ac:dyDescent="0.25">
      <c r="T417" s="135"/>
      <c r="U417" s="135"/>
    </row>
    <row r="418" spans="20:21" ht="15" customHeight="1" x14ac:dyDescent="0.25">
      <c r="T418" s="135"/>
      <c r="U418" s="135"/>
    </row>
    <row r="419" spans="20:21" ht="15" customHeight="1" x14ac:dyDescent="0.25">
      <c r="T419" s="135"/>
      <c r="U419" s="135"/>
    </row>
    <row r="420" spans="20:21" ht="15" customHeight="1" x14ac:dyDescent="0.25">
      <c r="T420" s="135"/>
      <c r="U420" s="135"/>
    </row>
    <row r="421" spans="20:21" ht="15" customHeight="1" x14ac:dyDescent="0.25">
      <c r="T421" s="135"/>
      <c r="U421" s="135"/>
    </row>
    <row r="422" spans="20:21" ht="15" customHeight="1" x14ac:dyDescent="0.25">
      <c r="T422" s="135"/>
      <c r="U422" s="135"/>
    </row>
    <row r="423" spans="20:21" ht="15" customHeight="1" x14ac:dyDescent="0.25">
      <c r="T423" s="135"/>
      <c r="U423" s="135"/>
    </row>
    <row r="424" spans="20:21" ht="15" customHeight="1" x14ac:dyDescent="0.25">
      <c r="T424" s="135"/>
      <c r="U424" s="135"/>
    </row>
    <row r="425" spans="20:21" ht="15" customHeight="1" x14ac:dyDescent="0.25">
      <c r="T425" s="135"/>
      <c r="U425" s="135"/>
    </row>
    <row r="426" spans="20:21" ht="15" customHeight="1" x14ac:dyDescent="0.25">
      <c r="T426" s="135"/>
      <c r="U426" s="135"/>
    </row>
    <row r="427" spans="20:21" ht="15" customHeight="1" x14ac:dyDescent="0.25">
      <c r="T427" s="135"/>
      <c r="U427" s="135"/>
    </row>
    <row r="428" spans="20:21" ht="15" customHeight="1" x14ac:dyDescent="0.25">
      <c r="T428" s="135"/>
      <c r="U428" s="135"/>
    </row>
    <row r="429" spans="20:21" ht="15" customHeight="1" x14ac:dyDescent="0.25">
      <c r="T429" s="135"/>
      <c r="U429" s="135"/>
    </row>
    <row r="430" spans="20:21" ht="15" customHeight="1" x14ac:dyDescent="0.25">
      <c r="T430" s="135"/>
      <c r="U430" s="135"/>
    </row>
    <row r="431" spans="20:21" ht="15" customHeight="1" x14ac:dyDescent="0.25">
      <c r="T431" s="135"/>
      <c r="U431" s="135"/>
    </row>
    <row r="432" spans="20:21" ht="15" customHeight="1" x14ac:dyDescent="0.25">
      <c r="T432" s="135"/>
      <c r="U432" s="135"/>
    </row>
    <row r="433" spans="20:21" ht="15" customHeight="1" x14ac:dyDescent="0.25">
      <c r="T433" s="135"/>
      <c r="U433" s="135"/>
    </row>
    <row r="434" spans="20:21" ht="15" customHeight="1" x14ac:dyDescent="0.25">
      <c r="T434" s="135"/>
      <c r="U434" s="135"/>
    </row>
    <row r="435" spans="20:21" ht="15" customHeight="1" x14ac:dyDescent="0.25">
      <c r="T435" s="135"/>
      <c r="U435" s="135"/>
    </row>
    <row r="436" spans="20:21" ht="15" customHeight="1" x14ac:dyDescent="0.25">
      <c r="T436" s="135"/>
      <c r="U436" s="135"/>
    </row>
    <row r="437" spans="20:21" ht="15" customHeight="1" x14ac:dyDescent="0.25">
      <c r="T437" s="135"/>
      <c r="U437" s="135"/>
    </row>
    <row r="438" spans="20:21" ht="15" customHeight="1" x14ac:dyDescent="0.25">
      <c r="T438" s="135"/>
      <c r="U438" s="135"/>
    </row>
    <row r="439" spans="20:21" ht="15" customHeight="1" x14ac:dyDescent="0.25">
      <c r="T439" s="135"/>
      <c r="U439" s="135"/>
    </row>
    <row r="440" spans="20:21" ht="15" customHeight="1" x14ac:dyDescent="0.25">
      <c r="T440" s="135"/>
      <c r="U440" s="135"/>
    </row>
    <row r="441" spans="20:21" ht="15" customHeight="1" x14ac:dyDescent="0.25">
      <c r="T441" s="135"/>
      <c r="U441" s="135"/>
    </row>
    <row r="442" spans="20:21" ht="15" customHeight="1" x14ac:dyDescent="0.25">
      <c r="T442" s="135"/>
      <c r="U442" s="135"/>
    </row>
    <row r="443" spans="20:21" ht="15" customHeight="1" x14ac:dyDescent="0.25">
      <c r="T443" s="135"/>
      <c r="U443" s="135"/>
    </row>
    <row r="444" spans="20:21" ht="15" customHeight="1" x14ac:dyDescent="0.25">
      <c r="T444" s="135"/>
      <c r="U444" s="135"/>
    </row>
    <row r="445" spans="20:21" ht="15" customHeight="1" x14ac:dyDescent="0.25">
      <c r="T445" s="135"/>
      <c r="U445" s="135"/>
    </row>
    <row r="446" spans="20:21" ht="15" customHeight="1" x14ac:dyDescent="0.25">
      <c r="T446" s="135"/>
      <c r="U446" s="135"/>
    </row>
    <row r="447" spans="20:21" ht="15" customHeight="1" x14ac:dyDescent="0.25">
      <c r="T447" s="135"/>
      <c r="U447" s="135"/>
    </row>
    <row r="448" spans="20:21" ht="15" customHeight="1" x14ac:dyDescent="0.25">
      <c r="T448" s="135"/>
      <c r="U448" s="135"/>
    </row>
    <row r="449" spans="20:21" ht="15" customHeight="1" x14ac:dyDescent="0.25">
      <c r="T449" s="135"/>
      <c r="U449" s="135"/>
    </row>
    <row r="450" spans="20:21" ht="15" customHeight="1" x14ac:dyDescent="0.25">
      <c r="T450" s="135"/>
      <c r="U450" s="135"/>
    </row>
    <row r="451" spans="20:21" ht="15" customHeight="1" x14ac:dyDescent="0.25">
      <c r="T451" s="135"/>
      <c r="U451" s="135"/>
    </row>
    <row r="452" spans="20:21" ht="15" customHeight="1" x14ac:dyDescent="0.25">
      <c r="T452" s="135"/>
      <c r="U452" s="135"/>
    </row>
    <row r="453" spans="20:21" ht="15" customHeight="1" x14ac:dyDescent="0.25">
      <c r="T453" s="135"/>
      <c r="U453" s="135"/>
    </row>
    <row r="454" spans="20:21" ht="15" customHeight="1" x14ac:dyDescent="0.25">
      <c r="T454" s="135"/>
      <c r="U454" s="135"/>
    </row>
    <row r="455" spans="20:21" ht="15" customHeight="1" x14ac:dyDescent="0.25">
      <c r="T455" s="135"/>
      <c r="U455" s="135"/>
    </row>
    <row r="456" spans="20:21" ht="15" customHeight="1" x14ac:dyDescent="0.25">
      <c r="T456" s="135"/>
      <c r="U456" s="135"/>
    </row>
    <row r="457" spans="20:21" ht="15" customHeight="1" x14ac:dyDescent="0.25">
      <c r="T457" s="135"/>
      <c r="U457" s="135"/>
    </row>
    <row r="458" spans="20:21" ht="15" customHeight="1" x14ac:dyDescent="0.25">
      <c r="T458" s="135"/>
      <c r="U458" s="135"/>
    </row>
    <row r="459" spans="20:21" ht="15" customHeight="1" x14ac:dyDescent="0.25">
      <c r="T459" s="135"/>
      <c r="U459" s="135"/>
    </row>
    <row r="460" spans="20:21" ht="15" customHeight="1" x14ac:dyDescent="0.25">
      <c r="T460" s="135"/>
      <c r="U460" s="135"/>
    </row>
    <row r="461" spans="20:21" ht="15" customHeight="1" x14ac:dyDescent="0.25">
      <c r="T461" s="135"/>
      <c r="U461" s="135"/>
    </row>
    <row r="462" spans="20:21" ht="15" customHeight="1" x14ac:dyDescent="0.25">
      <c r="T462" s="135"/>
      <c r="U462" s="135"/>
    </row>
    <row r="463" spans="20:21" ht="15" customHeight="1" x14ac:dyDescent="0.25">
      <c r="T463" s="135"/>
      <c r="U463" s="135"/>
    </row>
    <row r="464" spans="20:21" ht="15" customHeight="1" x14ac:dyDescent="0.25">
      <c r="T464" s="135"/>
      <c r="U464" s="135"/>
    </row>
    <row r="465" spans="20:21" ht="15" customHeight="1" x14ac:dyDescent="0.25">
      <c r="T465" s="135"/>
      <c r="U465" s="135"/>
    </row>
    <row r="466" spans="20:21" ht="15" customHeight="1" x14ac:dyDescent="0.25">
      <c r="T466" s="135"/>
      <c r="U466" s="135"/>
    </row>
    <row r="467" spans="20:21" ht="15" customHeight="1" x14ac:dyDescent="0.25">
      <c r="T467" s="135"/>
      <c r="U467" s="135"/>
    </row>
    <row r="468" spans="20:21" ht="15" customHeight="1" x14ac:dyDescent="0.25">
      <c r="T468" s="135"/>
      <c r="U468" s="135"/>
    </row>
    <row r="469" spans="20:21" ht="15" customHeight="1" x14ac:dyDescent="0.25">
      <c r="T469" s="135"/>
      <c r="U469" s="135"/>
    </row>
    <row r="470" spans="20:21" ht="15" customHeight="1" x14ac:dyDescent="0.25">
      <c r="T470" s="135"/>
      <c r="U470" s="135"/>
    </row>
    <row r="471" spans="20:21" ht="15" customHeight="1" x14ac:dyDescent="0.25">
      <c r="T471" s="135"/>
      <c r="U471" s="135"/>
    </row>
    <row r="472" spans="20:21" ht="15" customHeight="1" x14ac:dyDescent="0.25">
      <c r="T472" s="135"/>
      <c r="U472" s="135"/>
    </row>
    <row r="473" spans="20:21" ht="15" customHeight="1" x14ac:dyDescent="0.25">
      <c r="T473" s="135"/>
      <c r="U473" s="135"/>
    </row>
    <row r="474" spans="20:21" ht="15" customHeight="1" x14ac:dyDescent="0.25">
      <c r="T474" s="135"/>
      <c r="U474" s="135"/>
    </row>
    <row r="475" spans="20:21" ht="15" customHeight="1" x14ac:dyDescent="0.25">
      <c r="T475" s="135"/>
      <c r="U475" s="135"/>
    </row>
    <row r="476" spans="20:21" ht="15" customHeight="1" x14ac:dyDescent="0.25">
      <c r="T476" s="135"/>
      <c r="U476" s="135"/>
    </row>
    <row r="477" spans="20:21" ht="15" customHeight="1" x14ac:dyDescent="0.25">
      <c r="T477" s="135"/>
      <c r="U477" s="135"/>
    </row>
    <row r="478" spans="20:21" ht="15" customHeight="1" x14ac:dyDescent="0.25">
      <c r="T478" s="135"/>
      <c r="U478" s="135"/>
    </row>
    <row r="479" spans="20:21" ht="15" customHeight="1" x14ac:dyDescent="0.25">
      <c r="T479" s="135"/>
      <c r="U479" s="135"/>
    </row>
    <row r="480" spans="20:21" ht="15" customHeight="1" x14ac:dyDescent="0.25">
      <c r="T480" s="135"/>
      <c r="U480" s="135"/>
    </row>
    <row r="481" spans="20:21" ht="15" customHeight="1" x14ac:dyDescent="0.25">
      <c r="T481" s="135"/>
      <c r="U481" s="135"/>
    </row>
    <row r="482" spans="20:21" ht="15" customHeight="1" x14ac:dyDescent="0.25">
      <c r="T482" s="135"/>
      <c r="U482" s="135"/>
    </row>
    <row r="483" spans="20:21" ht="15" customHeight="1" x14ac:dyDescent="0.25">
      <c r="T483" s="135"/>
      <c r="U483" s="135"/>
    </row>
    <row r="484" spans="20:21" ht="15" customHeight="1" x14ac:dyDescent="0.25">
      <c r="T484" s="135"/>
      <c r="U484" s="135"/>
    </row>
    <row r="485" spans="20:21" ht="15" customHeight="1" x14ac:dyDescent="0.25">
      <c r="T485" s="135"/>
      <c r="U485" s="135"/>
    </row>
    <row r="486" spans="20:21" ht="15" customHeight="1" x14ac:dyDescent="0.25">
      <c r="T486" s="135"/>
      <c r="U486" s="135"/>
    </row>
    <row r="487" spans="20:21" ht="15" customHeight="1" x14ac:dyDescent="0.25">
      <c r="T487" s="135"/>
      <c r="U487" s="135"/>
    </row>
    <row r="488" spans="20:21" ht="15" customHeight="1" x14ac:dyDescent="0.25">
      <c r="T488" s="135"/>
      <c r="U488" s="135"/>
    </row>
    <row r="489" spans="20:21" ht="15" customHeight="1" x14ac:dyDescent="0.25">
      <c r="T489" s="135"/>
      <c r="U489" s="135"/>
    </row>
    <row r="490" spans="20:21" ht="15" customHeight="1" x14ac:dyDescent="0.25">
      <c r="T490" s="135"/>
      <c r="U490" s="135"/>
    </row>
    <row r="491" spans="20:21" ht="15" customHeight="1" x14ac:dyDescent="0.25">
      <c r="T491" s="135"/>
      <c r="U491" s="135"/>
    </row>
    <row r="492" spans="20:21" ht="15" customHeight="1" x14ac:dyDescent="0.25">
      <c r="T492" s="135"/>
      <c r="U492" s="135"/>
    </row>
    <row r="493" spans="20:21" ht="15" customHeight="1" x14ac:dyDescent="0.25">
      <c r="T493" s="135"/>
      <c r="U493" s="135"/>
    </row>
    <row r="494" spans="20:21" ht="15" customHeight="1" x14ac:dyDescent="0.25">
      <c r="T494" s="135"/>
      <c r="U494" s="135"/>
    </row>
    <row r="495" spans="20:21" ht="15" customHeight="1" x14ac:dyDescent="0.25">
      <c r="T495" s="135"/>
      <c r="U495" s="135"/>
    </row>
    <row r="496" spans="20:21" ht="15" customHeight="1" x14ac:dyDescent="0.25">
      <c r="T496" s="135"/>
      <c r="U496" s="135"/>
    </row>
    <row r="497" spans="20:21" ht="15" customHeight="1" x14ac:dyDescent="0.25">
      <c r="T497" s="135"/>
      <c r="U497" s="135"/>
    </row>
    <row r="498" spans="20:21" ht="15" customHeight="1" x14ac:dyDescent="0.25">
      <c r="T498" s="135"/>
      <c r="U498" s="135"/>
    </row>
    <row r="499" spans="20:21" ht="15" customHeight="1" x14ac:dyDescent="0.25">
      <c r="T499" s="135"/>
      <c r="U499" s="135"/>
    </row>
    <row r="500" spans="20:21" ht="15" customHeight="1" x14ac:dyDescent="0.25">
      <c r="T500" s="135"/>
      <c r="U500" s="135"/>
    </row>
    <row r="501" spans="20:21" ht="15" customHeight="1" x14ac:dyDescent="0.25">
      <c r="T501" s="135"/>
      <c r="U501" s="135"/>
    </row>
    <row r="502" spans="20:21" ht="15" customHeight="1" x14ac:dyDescent="0.25">
      <c r="T502" s="135"/>
      <c r="U502" s="135"/>
    </row>
    <row r="503" spans="20:21" ht="15" customHeight="1" x14ac:dyDescent="0.25">
      <c r="T503" s="135"/>
      <c r="U503" s="135"/>
    </row>
    <row r="504" spans="20:21" ht="15" customHeight="1" x14ac:dyDescent="0.25">
      <c r="T504" s="135"/>
      <c r="U504" s="135"/>
    </row>
    <row r="505" spans="20:21" ht="15" customHeight="1" x14ac:dyDescent="0.25">
      <c r="T505" s="135"/>
      <c r="U505" s="135"/>
    </row>
    <row r="506" spans="20:21" ht="15" customHeight="1" x14ac:dyDescent="0.25">
      <c r="T506" s="135"/>
      <c r="U506" s="135"/>
    </row>
    <row r="507" spans="20:21" ht="15" customHeight="1" x14ac:dyDescent="0.25">
      <c r="T507" s="135"/>
      <c r="U507" s="135"/>
    </row>
    <row r="508" spans="20:21" ht="15" customHeight="1" x14ac:dyDescent="0.25">
      <c r="T508" s="135"/>
      <c r="U508" s="135"/>
    </row>
    <row r="509" spans="20:21" ht="15" customHeight="1" x14ac:dyDescent="0.25">
      <c r="T509" s="135"/>
      <c r="U509" s="135"/>
    </row>
    <row r="510" spans="20:21" ht="15" customHeight="1" x14ac:dyDescent="0.25">
      <c r="T510" s="135"/>
      <c r="U510" s="135"/>
    </row>
    <row r="511" spans="20:21" ht="15" customHeight="1" x14ac:dyDescent="0.25">
      <c r="T511" s="135"/>
      <c r="U511" s="135"/>
    </row>
    <row r="512" spans="20:21" ht="15" customHeight="1" x14ac:dyDescent="0.25">
      <c r="T512" s="135"/>
      <c r="U512" s="135"/>
    </row>
    <row r="513" spans="20:21" ht="15" customHeight="1" x14ac:dyDescent="0.25">
      <c r="T513" s="135"/>
      <c r="U513" s="135"/>
    </row>
    <row r="514" spans="20:21" ht="15" customHeight="1" x14ac:dyDescent="0.25">
      <c r="T514" s="135"/>
      <c r="U514" s="135"/>
    </row>
    <row r="515" spans="20:21" ht="15" customHeight="1" x14ac:dyDescent="0.25">
      <c r="T515" s="135"/>
      <c r="U515" s="135"/>
    </row>
    <row r="516" spans="20:21" ht="15" customHeight="1" x14ac:dyDescent="0.25">
      <c r="T516" s="135"/>
      <c r="U516" s="135"/>
    </row>
    <row r="517" spans="20:21" ht="15" customHeight="1" x14ac:dyDescent="0.25">
      <c r="T517" s="135"/>
      <c r="U517" s="135"/>
    </row>
    <row r="518" spans="20:21" ht="15" customHeight="1" x14ac:dyDescent="0.25">
      <c r="T518" s="135"/>
      <c r="U518" s="135"/>
    </row>
    <row r="519" spans="20:21" ht="15" customHeight="1" x14ac:dyDescent="0.25">
      <c r="T519" s="135"/>
      <c r="U519" s="135"/>
    </row>
    <row r="520" spans="20:21" ht="15" customHeight="1" x14ac:dyDescent="0.25">
      <c r="T520" s="135"/>
      <c r="U520" s="135"/>
    </row>
    <row r="521" spans="20:21" ht="15" customHeight="1" x14ac:dyDescent="0.25">
      <c r="T521" s="135"/>
      <c r="U521" s="135"/>
    </row>
    <row r="522" spans="20:21" ht="15" customHeight="1" x14ac:dyDescent="0.25">
      <c r="T522" s="135"/>
      <c r="U522" s="135"/>
    </row>
    <row r="523" spans="20:21" ht="15" customHeight="1" x14ac:dyDescent="0.25">
      <c r="T523" s="135"/>
      <c r="U523" s="135"/>
    </row>
    <row r="524" spans="20:21" ht="15" customHeight="1" x14ac:dyDescent="0.25">
      <c r="T524" s="135"/>
      <c r="U524" s="135"/>
    </row>
    <row r="525" spans="20:21" ht="15" customHeight="1" x14ac:dyDescent="0.25">
      <c r="T525" s="135"/>
      <c r="U525" s="135"/>
    </row>
    <row r="526" spans="20:21" ht="15" customHeight="1" x14ac:dyDescent="0.25">
      <c r="T526" s="135"/>
      <c r="U526" s="135"/>
    </row>
    <row r="527" spans="20:21" ht="15" customHeight="1" x14ac:dyDescent="0.25">
      <c r="T527" s="135"/>
      <c r="U527" s="135"/>
    </row>
    <row r="528" spans="20:21" ht="15" customHeight="1" x14ac:dyDescent="0.25">
      <c r="T528" s="135"/>
      <c r="U528" s="135"/>
    </row>
    <row r="529" spans="20:21" ht="15" customHeight="1" x14ac:dyDescent="0.25">
      <c r="T529" s="135"/>
      <c r="U529" s="135"/>
    </row>
    <row r="530" spans="20:21" ht="15" customHeight="1" x14ac:dyDescent="0.25">
      <c r="T530" s="135"/>
      <c r="U530" s="135"/>
    </row>
    <row r="531" spans="20:21" ht="15" customHeight="1" x14ac:dyDescent="0.25">
      <c r="T531" s="135"/>
      <c r="U531" s="135"/>
    </row>
    <row r="532" spans="20:21" ht="15" customHeight="1" x14ac:dyDescent="0.25">
      <c r="T532" s="135"/>
      <c r="U532" s="135"/>
    </row>
    <row r="533" spans="20:21" ht="15" customHeight="1" x14ac:dyDescent="0.25">
      <c r="T533" s="135"/>
      <c r="U533" s="135"/>
    </row>
    <row r="534" spans="20:21" ht="15" customHeight="1" x14ac:dyDescent="0.25">
      <c r="T534" s="135"/>
      <c r="U534" s="135"/>
    </row>
    <row r="535" spans="20:21" ht="15" customHeight="1" x14ac:dyDescent="0.25">
      <c r="T535" s="135"/>
      <c r="U535" s="135"/>
    </row>
    <row r="536" spans="20:21" ht="15" customHeight="1" x14ac:dyDescent="0.25">
      <c r="T536" s="135"/>
      <c r="U536" s="135"/>
    </row>
    <row r="537" spans="20:21" ht="15" customHeight="1" x14ac:dyDescent="0.25">
      <c r="T537" s="135"/>
      <c r="U537" s="135"/>
    </row>
    <row r="538" spans="20:21" ht="15" customHeight="1" x14ac:dyDescent="0.25">
      <c r="T538" s="135"/>
      <c r="U538" s="135"/>
    </row>
    <row r="539" spans="20:21" ht="15" customHeight="1" x14ac:dyDescent="0.25">
      <c r="T539" s="135"/>
      <c r="U539" s="135"/>
    </row>
    <row r="540" spans="20:21" ht="15" customHeight="1" x14ac:dyDescent="0.25">
      <c r="T540" s="135"/>
      <c r="U540" s="135"/>
    </row>
    <row r="541" spans="20:21" ht="15" customHeight="1" x14ac:dyDescent="0.25">
      <c r="T541" s="135"/>
      <c r="U541" s="135"/>
    </row>
    <row r="542" spans="20:21" ht="15" customHeight="1" x14ac:dyDescent="0.25">
      <c r="T542" s="135"/>
      <c r="U542" s="135"/>
    </row>
    <row r="543" spans="20:21" ht="15" customHeight="1" x14ac:dyDescent="0.25">
      <c r="T543" s="135"/>
      <c r="U543" s="135"/>
    </row>
    <row r="544" spans="20:21" ht="15" customHeight="1" x14ac:dyDescent="0.25">
      <c r="T544" s="135"/>
      <c r="U544" s="135"/>
    </row>
    <row r="545" spans="20:21" ht="15" customHeight="1" x14ac:dyDescent="0.25">
      <c r="T545" s="135"/>
      <c r="U545" s="135"/>
    </row>
    <row r="546" spans="20:21" ht="15" customHeight="1" x14ac:dyDescent="0.25">
      <c r="T546" s="135"/>
      <c r="U546" s="135"/>
    </row>
    <row r="547" spans="20:21" ht="15" customHeight="1" x14ac:dyDescent="0.25">
      <c r="T547" s="135"/>
      <c r="U547" s="135"/>
    </row>
    <row r="548" spans="20:21" ht="15" customHeight="1" x14ac:dyDescent="0.25">
      <c r="T548" s="135"/>
      <c r="U548" s="135"/>
    </row>
    <row r="549" spans="20:21" ht="15" customHeight="1" x14ac:dyDescent="0.25">
      <c r="T549" s="135"/>
      <c r="U549" s="135"/>
    </row>
    <row r="550" spans="20:21" ht="15" customHeight="1" x14ac:dyDescent="0.25">
      <c r="T550" s="135"/>
      <c r="U550" s="135"/>
    </row>
    <row r="551" spans="20:21" ht="15" customHeight="1" x14ac:dyDescent="0.25">
      <c r="T551" s="135"/>
      <c r="U551" s="135"/>
    </row>
    <row r="552" spans="20:21" ht="15" customHeight="1" x14ac:dyDescent="0.25">
      <c r="T552" s="135"/>
      <c r="U552" s="135"/>
    </row>
    <row r="553" spans="20:21" ht="15" customHeight="1" x14ac:dyDescent="0.25">
      <c r="T553" s="135"/>
      <c r="U553" s="135"/>
    </row>
    <row r="554" spans="20:21" ht="15" customHeight="1" x14ac:dyDescent="0.25">
      <c r="T554" s="135"/>
      <c r="U554" s="135"/>
    </row>
    <row r="555" spans="20:21" ht="15" customHeight="1" x14ac:dyDescent="0.25">
      <c r="T555" s="135"/>
      <c r="U555" s="135"/>
    </row>
    <row r="556" spans="20:21" ht="15" customHeight="1" x14ac:dyDescent="0.25">
      <c r="T556" s="135"/>
      <c r="U556" s="135"/>
    </row>
    <row r="557" spans="20:21" ht="15" customHeight="1" x14ac:dyDescent="0.25">
      <c r="T557" s="135"/>
      <c r="U557" s="135"/>
    </row>
    <row r="558" spans="20:21" ht="15" customHeight="1" x14ac:dyDescent="0.25">
      <c r="T558" s="135"/>
      <c r="U558" s="135"/>
    </row>
    <row r="559" spans="20:21" ht="15" customHeight="1" x14ac:dyDescent="0.25">
      <c r="T559" s="135"/>
      <c r="U559" s="135"/>
    </row>
    <row r="560" spans="20:21" ht="15" customHeight="1" x14ac:dyDescent="0.25">
      <c r="T560" s="135"/>
      <c r="U560" s="135"/>
    </row>
    <row r="561" spans="20:21" ht="15" customHeight="1" x14ac:dyDescent="0.25">
      <c r="T561" s="135"/>
      <c r="U561" s="135"/>
    </row>
    <row r="562" spans="20:21" ht="15" customHeight="1" x14ac:dyDescent="0.25">
      <c r="T562" s="135"/>
      <c r="U562" s="135"/>
    </row>
    <row r="563" spans="20:21" ht="15" customHeight="1" x14ac:dyDescent="0.25">
      <c r="T563" s="135"/>
      <c r="U563" s="135"/>
    </row>
    <row r="564" spans="20:21" ht="15" customHeight="1" x14ac:dyDescent="0.25">
      <c r="T564" s="135"/>
      <c r="U564" s="135"/>
    </row>
    <row r="565" spans="20:21" ht="15" customHeight="1" x14ac:dyDescent="0.25">
      <c r="T565" s="135"/>
      <c r="U565" s="135"/>
    </row>
    <row r="566" spans="20:21" ht="15" customHeight="1" x14ac:dyDescent="0.25">
      <c r="T566" s="135"/>
      <c r="U566" s="135"/>
    </row>
    <row r="567" spans="20:21" ht="15" customHeight="1" x14ac:dyDescent="0.25">
      <c r="T567" s="135"/>
      <c r="U567" s="135"/>
    </row>
    <row r="568" spans="20:21" ht="15" customHeight="1" x14ac:dyDescent="0.25">
      <c r="T568" s="135"/>
      <c r="U568" s="135"/>
    </row>
    <row r="569" spans="20:21" ht="15" customHeight="1" x14ac:dyDescent="0.25">
      <c r="T569" s="135"/>
      <c r="U569" s="135"/>
    </row>
    <row r="570" spans="20:21" ht="15" customHeight="1" x14ac:dyDescent="0.25">
      <c r="T570" s="135"/>
      <c r="U570" s="135"/>
    </row>
    <row r="571" spans="20:21" ht="15" customHeight="1" x14ac:dyDescent="0.25">
      <c r="T571" s="135"/>
      <c r="U571" s="135"/>
    </row>
    <row r="572" spans="20:21" ht="15" customHeight="1" x14ac:dyDescent="0.25">
      <c r="T572" s="135"/>
      <c r="U572" s="135"/>
    </row>
    <row r="573" spans="20:21" ht="15" customHeight="1" x14ac:dyDescent="0.25">
      <c r="T573" s="135"/>
      <c r="U573" s="135"/>
    </row>
    <row r="574" spans="20:21" ht="15" customHeight="1" x14ac:dyDescent="0.25">
      <c r="T574" s="135"/>
      <c r="U574" s="135"/>
    </row>
    <row r="575" spans="20:21" ht="15" customHeight="1" x14ac:dyDescent="0.25">
      <c r="T575" s="135"/>
      <c r="U575" s="135"/>
    </row>
    <row r="576" spans="20:21" ht="15" customHeight="1" x14ac:dyDescent="0.25">
      <c r="T576" s="135"/>
      <c r="U576" s="135"/>
    </row>
    <row r="577" spans="20:21" ht="15" customHeight="1" x14ac:dyDescent="0.25">
      <c r="T577" s="135"/>
      <c r="U577" s="135"/>
    </row>
    <row r="578" spans="20:21" ht="15" customHeight="1" x14ac:dyDescent="0.25">
      <c r="T578" s="135"/>
      <c r="U578" s="135"/>
    </row>
    <row r="579" spans="20:21" ht="15" customHeight="1" x14ac:dyDescent="0.25">
      <c r="T579" s="135"/>
      <c r="U579" s="135"/>
    </row>
    <row r="580" spans="20:21" ht="15" customHeight="1" x14ac:dyDescent="0.25">
      <c r="T580" s="135"/>
      <c r="U580" s="135"/>
    </row>
    <row r="581" spans="20:21" ht="15" customHeight="1" x14ac:dyDescent="0.25">
      <c r="T581" s="135"/>
      <c r="U581" s="135"/>
    </row>
    <row r="582" spans="20:21" ht="15" customHeight="1" x14ac:dyDescent="0.25">
      <c r="T582" s="135"/>
      <c r="U582" s="135"/>
    </row>
    <row r="583" spans="20:21" ht="15" customHeight="1" x14ac:dyDescent="0.25">
      <c r="T583" s="135"/>
      <c r="U583" s="135"/>
    </row>
    <row r="584" spans="20:21" ht="15" customHeight="1" x14ac:dyDescent="0.25">
      <c r="T584" s="135"/>
      <c r="U584" s="135"/>
    </row>
    <row r="585" spans="20:21" ht="15" customHeight="1" x14ac:dyDescent="0.25">
      <c r="T585" s="135"/>
      <c r="U585" s="135"/>
    </row>
    <row r="586" spans="20:21" ht="15" customHeight="1" x14ac:dyDescent="0.25">
      <c r="T586" s="135"/>
      <c r="U586" s="135"/>
    </row>
    <row r="587" spans="20:21" ht="15" customHeight="1" x14ac:dyDescent="0.25">
      <c r="T587" s="135"/>
      <c r="U587" s="135"/>
    </row>
    <row r="588" spans="20:21" ht="15" customHeight="1" x14ac:dyDescent="0.25">
      <c r="T588" s="135"/>
      <c r="U588" s="135"/>
    </row>
    <row r="589" spans="20:21" ht="15" customHeight="1" x14ac:dyDescent="0.25">
      <c r="T589" s="135"/>
      <c r="U589" s="135"/>
    </row>
    <row r="590" spans="20:21" ht="15" customHeight="1" x14ac:dyDescent="0.25">
      <c r="T590" s="135"/>
      <c r="U590" s="135"/>
    </row>
    <row r="591" spans="20:21" ht="15" customHeight="1" x14ac:dyDescent="0.25">
      <c r="T591" s="135"/>
      <c r="U591" s="135"/>
    </row>
    <row r="592" spans="20:21" ht="15" customHeight="1" x14ac:dyDescent="0.25">
      <c r="T592" s="135"/>
      <c r="U592" s="135"/>
    </row>
    <row r="593" spans="20:21" ht="15" customHeight="1" x14ac:dyDescent="0.25">
      <c r="T593" s="135"/>
      <c r="U593" s="135"/>
    </row>
    <row r="594" spans="20:21" ht="15" customHeight="1" x14ac:dyDescent="0.25">
      <c r="T594" s="135"/>
      <c r="U594" s="135"/>
    </row>
    <row r="595" spans="20:21" ht="15" customHeight="1" x14ac:dyDescent="0.25">
      <c r="T595" s="135"/>
      <c r="U595" s="135"/>
    </row>
    <row r="596" spans="20:21" ht="15" customHeight="1" x14ac:dyDescent="0.25">
      <c r="T596" s="135"/>
      <c r="U596" s="135"/>
    </row>
    <row r="597" spans="20:21" ht="15" customHeight="1" x14ac:dyDescent="0.25">
      <c r="T597" s="135"/>
      <c r="U597" s="135"/>
    </row>
    <row r="598" spans="20:21" ht="15" customHeight="1" x14ac:dyDescent="0.25">
      <c r="T598" s="135"/>
      <c r="U598" s="135"/>
    </row>
    <row r="599" spans="20:21" ht="15" customHeight="1" x14ac:dyDescent="0.25">
      <c r="T599" s="135"/>
      <c r="U599" s="135"/>
    </row>
    <row r="600" spans="20:21" ht="15" customHeight="1" x14ac:dyDescent="0.25">
      <c r="T600" s="135"/>
      <c r="U600" s="135"/>
    </row>
    <row r="601" spans="20:21" ht="15" customHeight="1" x14ac:dyDescent="0.25">
      <c r="T601" s="135"/>
      <c r="U601" s="135"/>
    </row>
    <row r="602" spans="20:21" ht="15" customHeight="1" x14ac:dyDescent="0.25">
      <c r="T602" s="135"/>
      <c r="U602" s="135"/>
    </row>
    <row r="603" spans="20:21" ht="15" customHeight="1" x14ac:dyDescent="0.25">
      <c r="T603" s="135"/>
      <c r="U603" s="135"/>
    </row>
    <row r="604" spans="20:21" ht="15" customHeight="1" x14ac:dyDescent="0.25">
      <c r="T604" s="135"/>
      <c r="U604" s="135"/>
    </row>
    <row r="605" spans="20:21" ht="15" customHeight="1" x14ac:dyDescent="0.25">
      <c r="T605" s="135"/>
      <c r="U605" s="135"/>
    </row>
    <row r="606" spans="20:21" ht="15" customHeight="1" x14ac:dyDescent="0.25">
      <c r="T606" s="135"/>
      <c r="U606" s="135"/>
    </row>
    <row r="607" spans="20:21" ht="15" customHeight="1" x14ac:dyDescent="0.25">
      <c r="T607" s="135"/>
      <c r="U607" s="135"/>
    </row>
    <row r="608" spans="20:21" ht="15" customHeight="1" x14ac:dyDescent="0.25">
      <c r="T608" s="135"/>
      <c r="U608" s="135"/>
    </row>
    <row r="609" spans="20:21" ht="15" customHeight="1" x14ac:dyDescent="0.25">
      <c r="T609" s="135"/>
      <c r="U609" s="135"/>
    </row>
    <row r="610" spans="20:21" ht="15" customHeight="1" x14ac:dyDescent="0.25">
      <c r="T610" s="135"/>
      <c r="U610" s="135"/>
    </row>
    <row r="611" spans="20:21" ht="15" customHeight="1" x14ac:dyDescent="0.25">
      <c r="T611" s="135"/>
      <c r="U611" s="135"/>
    </row>
    <row r="612" spans="20:21" ht="15" customHeight="1" x14ac:dyDescent="0.25">
      <c r="T612" s="135"/>
      <c r="U612" s="135"/>
    </row>
    <row r="613" spans="20:21" ht="15" customHeight="1" x14ac:dyDescent="0.25">
      <c r="T613" s="135"/>
      <c r="U613" s="135"/>
    </row>
    <row r="614" spans="20:21" ht="15" customHeight="1" x14ac:dyDescent="0.25">
      <c r="T614" s="135"/>
      <c r="U614" s="135"/>
    </row>
    <row r="615" spans="20:21" ht="15" customHeight="1" x14ac:dyDescent="0.25">
      <c r="T615" s="135"/>
      <c r="U615" s="135"/>
    </row>
    <row r="616" spans="20:21" ht="15" customHeight="1" x14ac:dyDescent="0.25">
      <c r="T616" s="135"/>
      <c r="U616" s="135"/>
    </row>
    <row r="617" spans="20:21" ht="15" customHeight="1" x14ac:dyDescent="0.25">
      <c r="T617" s="135"/>
      <c r="U617" s="135"/>
    </row>
    <row r="618" spans="20:21" ht="15" customHeight="1" x14ac:dyDescent="0.25">
      <c r="T618" s="135"/>
      <c r="U618" s="135"/>
    </row>
    <row r="619" spans="20:21" ht="15" customHeight="1" x14ac:dyDescent="0.25">
      <c r="T619" s="135"/>
      <c r="U619" s="135"/>
    </row>
    <row r="620" spans="20:21" ht="15" customHeight="1" x14ac:dyDescent="0.25">
      <c r="T620" s="135"/>
      <c r="U620" s="135"/>
    </row>
    <row r="621" spans="20:21" ht="15" customHeight="1" x14ac:dyDescent="0.25">
      <c r="T621" s="135"/>
      <c r="U621" s="135"/>
    </row>
    <row r="622" spans="20:21" ht="15" customHeight="1" x14ac:dyDescent="0.25">
      <c r="T622" s="135"/>
      <c r="U622" s="135"/>
    </row>
    <row r="623" spans="20:21" ht="15" customHeight="1" x14ac:dyDescent="0.25">
      <c r="T623" s="135"/>
      <c r="U623" s="135"/>
    </row>
    <row r="624" spans="20:21" ht="15" customHeight="1" x14ac:dyDescent="0.25">
      <c r="T624" s="135"/>
      <c r="U624" s="135"/>
    </row>
    <row r="625" spans="20:21" ht="15" customHeight="1" x14ac:dyDescent="0.25">
      <c r="T625" s="135"/>
      <c r="U625" s="135"/>
    </row>
    <row r="626" spans="20:21" ht="15" customHeight="1" x14ac:dyDescent="0.25">
      <c r="T626" s="135"/>
      <c r="U626" s="135"/>
    </row>
    <row r="627" spans="20:21" ht="15" customHeight="1" x14ac:dyDescent="0.25">
      <c r="T627" s="135"/>
      <c r="U627" s="135"/>
    </row>
    <row r="628" spans="20:21" ht="15" customHeight="1" x14ac:dyDescent="0.25">
      <c r="T628" s="135"/>
      <c r="U628" s="135"/>
    </row>
    <row r="629" spans="20:21" ht="15" customHeight="1" x14ac:dyDescent="0.25">
      <c r="T629" s="135"/>
      <c r="U629" s="135"/>
    </row>
    <row r="630" spans="20:21" ht="15" customHeight="1" x14ac:dyDescent="0.25">
      <c r="T630" s="135"/>
      <c r="U630" s="135"/>
    </row>
    <row r="631" spans="20:21" ht="15" customHeight="1" x14ac:dyDescent="0.25">
      <c r="T631" s="135"/>
      <c r="U631" s="135"/>
    </row>
    <row r="632" spans="20:21" ht="15" customHeight="1" x14ac:dyDescent="0.25">
      <c r="T632" s="135"/>
      <c r="U632" s="135"/>
    </row>
    <row r="633" spans="20:21" ht="15" customHeight="1" x14ac:dyDescent="0.25">
      <c r="T633" s="135"/>
      <c r="U633" s="135"/>
    </row>
    <row r="634" spans="20:21" ht="15" customHeight="1" x14ac:dyDescent="0.25">
      <c r="T634" s="135"/>
      <c r="U634" s="135"/>
    </row>
    <row r="635" spans="20:21" ht="15" customHeight="1" x14ac:dyDescent="0.25">
      <c r="T635" s="135"/>
      <c r="U635" s="135"/>
    </row>
    <row r="636" spans="20:21" ht="15" customHeight="1" x14ac:dyDescent="0.25">
      <c r="T636" s="135"/>
      <c r="U636" s="135"/>
    </row>
    <row r="637" spans="20:21" ht="15" customHeight="1" x14ac:dyDescent="0.25">
      <c r="T637" s="135"/>
      <c r="U637" s="135"/>
    </row>
    <row r="638" spans="20:21" ht="15" customHeight="1" x14ac:dyDescent="0.25">
      <c r="T638" s="135"/>
      <c r="U638" s="135"/>
    </row>
    <row r="639" spans="20:21" ht="15" customHeight="1" x14ac:dyDescent="0.25">
      <c r="T639" s="135"/>
      <c r="U639" s="135"/>
    </row>
    <row r="640" spans="20:21" ht="15" customHeight="1" x14ac:dyDescent="0.25">
      <c r="T640" s="135"/>
      <c r="U640" s="135"/>
    </row>
    <row r="641" spans="20:21" ht="15" customHeight="1" x14ac:dyDescent="0.25">
      <c r="T641" s="135"/>
      <c r="U641" s="135"/>
    </row>
    <row r="642" spans="20:21" ht="15" customHeight="1" x14ac:dyDescent="0.25">
      <c r="T642" s="135"/>
      <c r="U642" s="135"/>
    </row>
    <row r="643" spans="20:21" ht="15" customHeight="1" x14ac:dyDescent="0.25">
      <c r="T643" s="135"/>
      <c r="U643" s="135"/>
    </row>
    <row r="644" spans="20:21" ht="15" customHeight="1" x14ac:dyDescent="0.25">
      <c r="T644" s="135"/>
      <c r="U644" s="135"/>
    </row>
    <row r="645" spans="20:21" ht="15" customHeight="1" x14ac:dyDescent="0.25">
      <c r="T645" s="135"/>
      <c r="U645" s="135"/>
    </row>
    <row r="646" spans="20:21" ht="15" customHeight="1" x14ac:dyDescent="0.25">
      <c r="T646" s="135"/>
      <c r="U646" s="135"/>
    </row>
    <row r="647" spans="20:21" ht="15" customHeight="1" x14ac:dyDescent="0.25">
      <c r="T647" s="135"/>
      <c r="U647" s="135"/>
    </row>
    <row r="648" spans="20:21" ht="15" customHeight="1" x14ac:dyDescent="0.25">
      <c r="T648" s="135"/>
      <c r="U648" s="135"/>
    </row>
    <row r="649" spans="20:21" ht="15" customHeight="1" x14ac:dyDescent="0.25">
      <c r="T649" s="135"/>
      <c r="U649" s="135"/>
    </row>
    <row r="650" spans="20:21" ht="15" customHeight="1" x14ac:dyDescent="0.25">
      <c r="T650" s="135"/>
      <c r="U650" s="135"/>
    </row>
    <row r="651" spans="20:21" ht="15" customHeight="1" x14ac:dyDescent="0.25">
      <c r="T651" s="135"/>
      <c r="U651" s="135"/>
    </row>
    <row r="652" spans="20:21" ht="15" customHeight="1" x14ac:dyDescent="0.25">
      <c r="T652" s="135"/>
      <c r="U652" s="135"/>
    </row>
    <row r="653" spans="20:21" ht="15" customHeight="1" x14ac:dyDescent="0.25">
      <c r="T653" s="135"/>
      <c r="U653" s="135"/>
    </row>
    <row r="654" spans="20:21" ht="15" customHeight="1" x14ac:dyDescent="0.25">
      <c r="T654" s="135"/>
      <c r="U654" s="135"/>
    </row>
    <row r="655" spans="20:21" ht="15" customHeight="1" x14ac:dyDescent="0.25">
      <c r="T655" s="135"/>
      <c r="U655" s="135"/>
    </row>
    <row r="656" spans="20:21" ht="15" customHeight="1" x14ac:dyDescent="0.25">
      <c r="T656" s="135"/>
      <c r="U656" s="135"/>
    </row>
    <row r="657" spans="20:21" ht="15" customHeight="1" x14ac:dyDescent="0.25">
      <c r="T657" s="135"/>
      <c r="U657" s="135"/>
    </row>
    <row r="658" spans="20:21" ht="15" customHeight="1" x14ac:dyDescent="0.25">
      <c r="T658" s="135"/>
      <c r="U658" s="135"/>
    </row>
    <row r="659" spans="20:21" ht="15" customHeight="1" x14ac:dyDescent="0.25">
      <c r="T659" s="135"/>
      <c r="U659" s="135"/>
    </row>
    <row r="660" spans="20:21" ht="15" customHeight="1" x14ac:dyDescent="0.25">
      <c r="T660" s="135"/>
      <c r="U660" s="135"/>
    </row>
    <row r="661" spans="20:21" ht="15" customHeight="1" x14ac:dyDescent="0.25">
      <c r="T661" s="135"/>
      <c r="U661" s="135"/>
    </row>
    <row r="662" spans="20:21" ht="15" customHeight="1" x14ac:dyDescent="0.25">
      <c r="T662" s="135"/>
      <c r="U662" s="135"/>
    </row>
    <row r="663" spans="20:21" ht="15" customHeight="1" x14ac:dyDescent="0.25">
      <c r="T663" s="135"/>
      <c r="U663" s="135"/>
    </row>
    <row r="664" spans="20:21" ht="15" customHeight="1" x14ac:dyDescent="0.25">
      <c r="T664" s="135"/>
      <c r="U664" s="135"/>
    </row>
    <row r="665" spans="20:21" ht="15" customHeight="1" x14ac:dyDescent="0.25">
      <c r="T665" s="135"/>
      <c r="U665" s="135"/>
    </row>
    <row r="666" spans="20:21" ht="15" customHeight="1" x14ac:dyDescent="0.25">
      <c r="T666" s="135"/>
      <c r="U666" s="135"/>
    </row>
    <row r="667" spans="20:21" ht="15" customHeight="1" x14ac:dyDescent="0.25">
      <c r="T667" s="135"/>
      <c r="U667" s="135"/>
    </row>
    <row r="668" spans="20:21" ht="15" customHeight="1" x14ac:dyDescent="0.25">
      <c r="T668" s="135"/>
      <c r="U668" s="135"/>
    </row>
    <row r="669" spans="20:21" ht="15" customHeight="1" x14ac:dyDescent="0.25">
      <c r="T669" s="135"/>
      <c r="U669" s="135"/>
    </row>
    <row r="670" spans="20:21" ht="15" customHeight="1" x14ac:dyDescent="0.25">
      <c r="T670" s="135"/>
      <c r="U670" s="135"/>
    </row>
    <row r="671" spans="20:21" ht="15" customHeight="1" x14ac:dyDescent="0.25">
      <c r="T671" s="135"/>
      <c r="U671" s="135"/>
    </row>
    <row r="672" spans="20:21" ht="15" customHeight="1" x14ac:dyDescent="0.25">
      <c r="T672" s="135"/>
      <c r="U672" s="135"/>
    </row>
    <row r="673" spans="20:21" ht="15" customHeight="1" x14ac:dyDescent="0.25">
      <c r="T673" s="135"/>
      <c r="U673" s="135"/>
    </row>
    <row r="674" spans="20:21" ht="15" customHeight="1" x14ac:dyDescent="0.25">
      <c r="T674" s="135"/>
      <c r="U674" s="135"/>
    </row>
    <row r="675" spans="20:21" ht="15" customHeight="1" x14ac:dyDescent="0.25">
      <c r="T675" s="135"/>
      <c r="U675" s="135"/>
    </row>
    <row r="676" spans="20:21" ht="15" customHeight="1" x14ac:dyDescent="0.25">
      <c r="T676" s="135"/>
      <c r="U676" s="135"/>
    </row>
    <row r="677" spans="20:21" ht="15" customHeight="1" x14ac:dyDescent="0.25">
      <c r="T677" s="135"/>
      <c r="U677" s="135"/>
    </row>
    <row r="678" spans="20:21" ht="15" customHeight="1" x14ac:dyDescent="0.25">
      <c r="T678" s="135"/>
      <c r="U678" s="135"/>
    </row>
    <row r="679" spans="20:21" ht="15" customHeight="1" x14ac:dyDescent="0.25">
      <c r="T679" s="135"/>
      <c r="U679" s="135"/>
    </row>
    <row r="680" spans="20:21" ht="15" customHeight="1" x14ac:dyDescent="0.25">
      <c r="T680" s="135"/>
      <c r="U680" s="135"/>
    </row>
    <row r="681" spans="20:21" ht="15" customHeight="1" x14ac:dyDescent="0.25">
      <c r="T681" s="135"/>
      <c r="U681" s="135"/>
    </row>
    <row r="682" spans="20:21" ht="15" customHeight="1" x14ac:dyDescent="0.25">
      <c r="T682" s="135"/>
      <c r="U682" s="135"/>
    </row>
    <row r="683" spans="20:21" ht="15" customHeight="1" x14ac:dyDescent="0.25">
      <c r="T683" s="135"/>
      <c r="U683" s="135"/>
    </row>
    <row r="684" spans="20:21" ht="15" customHeight="1" x14ac:dyDescent="0.25">
      <c r="T684" s="135"/>
      <c r="U684" s="135"/>
    </row>
    <row r="685" spans="20:21" ht="15" customHeight="1" x14ac:dyDescent="0.25">
      <c r="T685" s="135"/>
      <c r="U685" s="135"/>
    </row>
    <row r="686" spans="20:21" ht="15" customHeight="1" x14ac:dyDescent="0.25">
      <c r="T686" s="135"/>
      <c r="U686" s="135"/>
    </row>
    <row r="687" spans="20:21" ht="15" customHeight="1" x14ac:dyDescent="0.25">
      <c r="T687" s="135"/>
      <c r="U687" s="135"/>
    </row>
    <row r="688" spans="20:21" ht="15" customHeight="1" x14ac:dyDescent="0.25">
      <c r="T688" s="135"/>
      <c r="U688" s="135"/>
    </row>
    <row r="689" spans="20:21" ht="15" customHeight="1" x14ac:dyDescent="0.25">
      <c r="T689" s="135"/>
      <c r="U689" s="135"/>
    </row>
    <row r="690" spans="20:21" ht="15" customHeight="1" x14ac:dyDescent="0.25">
      <c r="T690" s="135"/>
      <c r="U690" s="135"/>
    </row>
    <row r="691" spans="20:21" ht="15" customHeight="1" x14ac:dyDescent="0.25">
      <c r="T691" s="135"/>
      <c r="U691" s="135"/>
    </row>
    <row r="692" spans="20:21" ht="15" customHeight="1" x14ac:dyDescent="0.25">
      <c r="T692" s="135"/>
      <c r="U692" s="135"/>
    </row>
    <row r="693" spans="20:21" ht="15" customHeight="1" x14ac:dyDescent="0.25">
      <c r="T693" s="135"/>
      <c r="U693" s="135"/>
    </row>
    <row r="694" spans="20:21" ht="15" customHeight="1" x14ac:dyDescent="0.25">
      <c r="T694" s="135"/>
      <c r="U694" s="135"/>
    </row>
    <row r="695" spans="20:21" ht="15" customHeight="1" x14ac:dyDescent="0.25">
      <c r="T695" s="135"/>
      <c r="U695" s="135"/>
    </row>
    <row r="696" spans="20:21" ht="15" customHeight="1" x14ac:dyDescent="0.25">
      <c r="T696" s="135"/>
      <c r="U696" s="135"/>
    </row>
    <row r="697" spans="20:21" ht="15" customHeight="1" x14ac:dyDescent="0.25">
      <c r="T697" s="135"/>
      <c r="U697" s="135"/>
    </row>
    <row r="698" spans="20:21" ht="15" customHeight="1" x14ac:dyDescent="0.25">
      <c r="T698" s="135"/>
      <c r="U698" s="135"/>
    </row>
    <row r="699" spans="20:21" ht="15" customHeight="1" x14ac:dyDescent="0.25">
      <c r="T699" s="135"/>
      <c r="U699" s="135"/>
    </row>
    <row r="700" spans="20:21" ht="15" customHeight="1" x14ac:dyDescent="0.25">
      <c r="T700" s="135"/>
      <c r="U700" s="135"/>
    </row>
    <row r="701" spans="20:21" ht="15" customHeight="1" x14ac:dyDescent="0.25">
      <c r="T701" s="135"/>
      <c r="U701" s="135"/>
    </row>
    <row r="702" spans="20:21" ht="15" customHeight="1" x14ac:dyDescent="0.25">
      <c r="T702" s="135"/>
      <c r="U702" s="135"/>
    </row>
    <row r="703" spans="20:21" ht="15" customHeight="1" x14ac:dyDescent="0.25">
      <c r="T703" s="135"/>
      <c r="U703" s="135"/>
    </row>
    <row r="704" spans="20:21" ht="15" customHeight="1" x14ac:dyDescent="0.25">
      <c r="T704" s="135"/>
      <c r="U704" s="135"/>
    </row>
    <row r="705" spans="20:21" ht="15" customHeight="1" x14ac:dyDescent="0.25">
      <c r="T705" s="135"/>
      <c r="U705" s="135"/>
    </row>
    <row r="706" spans="20:21" ht="15" customHeight="1" x14ac:dyDescent="0.25">
      <c r="T706" s="135"/>
      <c r="U706" s="135"/>
    </row>
    <row r="707" spans="20:21" ht="15" customHeight="1" x14ac:dyDescent="0.25">
      <c r="T707" s="135"/>
      <c r="U707" s="135"/>
    </row>
    <row r="708" spans="20:21" ht="15" customHeight="1" x14ac:dyDescent="0.25">
      <c r="T708" s="135"/>
      <c r="U708" s="135"/>
    </row>
    <row r="709" spans="20:21" ht="15" customHeight="1" x14ac:dyDescent="0.25">
      <c r="T709" s="135"/>
      <c r="U709" s="135"/>
    </row>
    <row r="710" spans="20:21" ht="15" customHeight="1" x14ac:dyDescent="0.25">
      <c r="T710" s="135"/>
      <c r="U710" s="135"/>
    </row>
    <row r="711" spans="20:21" ht="15" customHeight="1" x14ac:dyDescent="0.25">
      <c r="T711" s="135"/>
      <c r="U711" s="135"/>
    </row>
    <row r="712" spans="20:21" ht="15" customHeight="1" x14ac:dyDescent="0.25">
      <c r="T712" s="135"/>
      <c r="U712" s="135"/>
    </row>
    <row r="713" spans="20:21" ht="15" customHeight="1" x14ac:dyDescent="0.25">
      <c r="T713" s="135"/>
      <c r="U713" s="135"/>
    </row>
    <row r="714" spans="20:21" ht="15" customHeight="1" x14ac:dyDescent="0.25">
      <c r="T714" s="135"/>
      <c r="U714" s="135"/>
    </row>
    <row r="715" spans="20:21" ht="15" customHeight="1" x14ac:dyDescent="0.25">
      <c r="T715" s="135"/>
      <c r="U715" s="135"/>
    </row>
    <row r="716" spans="20:21" ht="15" customHeight="1" x14ac:dyDescent="0.25">
      <c r="T716" s="135"/>
      <c r="U716" s="135"/>
    </row>
    <row r="717" spans="20:21" ht="15" customHeight="1" x14ac:dyDescent="0.25">
      <c r="T717" s="135"/>
      <c r="U717" s="135"/>
    </row>
    <row r="718" spans="20:21" ht="15" customHeight="1" x14ac:dyDescent="0.25">
      <c r="T718" s="135"/>
      <c r="U718" s="135"/>
    </row>
    <row r="719" spans="20:21" ht="15" customHeight="1" x14ac:dyDescent="0.25">
      <c r="T719" s="135"/>
      <c r="U719" s="135"/>
    </row>
    <row r="720" spans="20:21" ht="15" customHeight="1" x14ac:dyDescent="0.25">
      <c r="T720" s="135"/>
      <c r="U720" s="135"/>
    </row>
    <row r="721" spans="20:21" ht="15" customHeight="1" x14ac:dyDescent="0.25">
      <c r="T721" s="135"/>
      <c r="U721" s="135"/>
    </row>
    <row r="722" spans="20:21" ht="15" customHeight="1" x14ac:dyDescent="0.25">
      <c r="T722" s="135"/>
      <c r="U722" s="135"/>
    </row>
    <row r="723" spans="20:21" ht="15" customHeight="1" x14ac:dyDescent="0.25">
      <c r="T723" s="135"/>
      <c r="U723" s="135"/>
    </row>
    <row r="724" spans="20:21" ht="15" customHeight="1" x14ac:dyDescent="0.25">
      <c r="T724" s="135"/>
      <c r="U724" s="135"/>
    </row>
    <row r="725" spans="20:21" ht="15" customHeight="1" x14ac:dyDescent="0.25">
      <c r="T725" s="135"/>
      <c r="U725" s="135"/>
    </row>
    <row r="726" spans="20:21" ht="15" customHeight="1" x14ac:dyDescent="0.25">
      <c r="T726" s="135"/>
      <c r="U726" s="135"/>
    </row>
    <row r="727" spans="20:21" ht="15" customHeight="1" x14ac:dyDescent="0.25">
      <c r="T727" s="135"/>
      <c r="U727" s="135"/>
    </row>
    <row r="728" spans="20:21" ht="15" customHeight="1" x14ac:dyDescent="0.25">
      <c r="T728" s="135"/>
      <c r="U728" s="135"/>
    </row>
    <row r="729" spans="20:21" ht="15" customHeight="1" x14ac:dyDescent="0.25">
      <c r="T729" s="135"/>
      <c r="U729" s="135"/>
    </row>
    <row r="730" spans="20:21" ht="15" customHeight="1" x14ac:dyDescent="0.25">
      <c r="T730" s="135"/>
      <c r="U730" s="135"/>
    </row>
    <row r="731" spans="20:21" ht="15" customHeight="1" x14ac:dyDescent="0.25">
      <c r="T731" s="135"/>
      <c r="U731" s="135"/>
    </row>
    <row r="732" spans="20:21" ht="15" customHeight="1" x14ac:dyDescent="0.25">
      <c r="T732" s="135"/>
      <c r="U732" s="135"/>
    </row>
    <row r="733" spans="20:21" ht="15" customHeight="1" x14ac:dyDescent="0.25">
      <c r="T733" s="135"/>
      <c r="U733" s="135"/>
    </row>
    <row r="734" spans="20:21" ht="15" customHeight="1" x14ac:dyDescent="0.25">
      <c r="T734" s="135"/>
      <c r="U734" s="135"/>
    </row>
    <row r="735" spans="20:21" ht="15" customHeight="1" x14ac:dyDescent="0.25">
      <c r="T735" s="135"/>
      <c r="U735" s="135"/>
    </row>
    <row r="736" spans="20:21" ht="15" customHeight="1" x14ac:dyDescent="0.25">
      <c r="T736" s="135"/>
      <c r="U736" s="135"/>
    </row>
    <row r="737" spans="20:21" ht="15" customHeight="1" x14ac:dyDescent="0.25">
      <c r="T737" s="135"/>
      <c r="U737" s="135"/>
    </row>
    <row r="738" spans="20:21" ht="15" customHeight="1" x14ac:dyDescent="0.25">
      <c r="T738" s="135"/>
      <c r="U738" s="135"/>
    </row>
    <row r="739" spans="20:21" ht="15" customHeight="1" x14ac:dyDescent="0.25">
      <c r="T739" s="135"/>
      <c r="U739" s="135"/>
    </row>
    <row r="740" spans="20:21" ht="15" customHeight="1" x14ac:dyDescent="0.25">
      <c r="T740" s="135"/>
      <c r="U740" s="135"/>
    </row>
    <row r="741" spans="20:21" ht="15" customHeight="1" x14ac:dyDescent="0.25">
      <c r="T741" s="135"/>
      <c r="U741" s="135"/>
    </row>
    <row r="742" spans="20:21" ht="15" customHeight="1" x14ac:dyDescent="0.25">
      <c r="T742" s="135"/>
      <c r="U742" s="135"/>
    </row>
    <row r="743" spans="20:21" ht="15" customHeight="1" x14ac:dyDescent="0.25">
      <c r="T743" s="135"/>
      <c r="U743" s="135"/>
    </row>
    <row r="744" spans="20:21" ht="15" customHeight="1" x14ac:dyDescent="0.25">
      <c r="T744" s="135"/>
      <c r="U744" s="135"/>
    </row>
    <row r="745" spans="20:21" ht="15" customHeight="1" x14ac:dyDescent="0.25">
      <c r="T745" s="135"/>
      <c r="U745" s="135"/>
    </row>
    <row r="746" spans="20:21" ht="15" customHeight="1" x14ac:dyDescent="0.25">
      <c r="T746" s="135"/>
      <c r="U746" s="135"/>
    </row>
    <row r="747" spans="20:21" ht="15" customHeight="1" x14ac:dyDescent="0.25">
      <c r="T747" s="135"/>
      <c r="U747" s="135"/>
    </row>
    <row r="748" spans="20:21" ht="15" customHeight="1" x14ac:dyDescent="0.25">
      <c r="T748" s="135"/>
      <c r="U748" s="135"/>
    </row>
    <row r="749" spans="20:21" ht="15" customHeight="1" x14ac:dyDescent="0.25">
      <c r="T749" s="135"/>
      <c r="U749" s="135"/>
    </row>
    <row r="750" spans="20:21" ht="15" customHeight="1" x14ac:dyDescent="0.25">
      <c r="T750" s="135"/>
      <c r="U750" s="135"/>
    </row>
    <row r="751" spans="20:21" ht="15" customHeight="1" x14ac:dyDescent="0.25">
      <c r="T751" s="135"/>
      <c r="U751" s="135"/>
    </row>
    <row r="752" spans="20:21" ht="15" customHeight="1" x14ac:dyDescent="0.25">
      <c r="T752" s="135"/>
      <c r="U752" s="135"/>
    </row>
    <row r="753" spans="20:21" ht="15" customHeight="1" x14ac:dyDescent="0.25">
      <c r="T753" s="135"/>
      <c r="U753" s="135"/>
    </row>
    <row r="754" spans="20:21" ht="15" customHeight="1" x14ac:dyDescent="0.25">
      <c r="T754" s="135"/>
      <c r="U754" s="135"/>
    </row>
    <row r="755" spans="20:21" ht="15" customHeight="1" x14ac:dyDescent="0.25">
      <c r="T755" s="135"/>
      <c r="U755" s="135"/>
    </row>
    <row r="756" spans="20:21" ht="15" customHeight="1" x14ac:dyDescent="0.25">
      <c r="T756" s="135"/>
      <c r="U756" s="135"/>
    </row>
    <row r="757" spans="20:21" ht="15" customHeight="1" x14ac:dyDescent="0.25">
      <c r="T757" s="135"/>
      <c r="U757" s="135"/>
    </row>
    <row r="758" spans="20:21" ht="15" customHeight="1" x14ac:dyDescent="0.25">
      <c r="T758" s="135"/>
      <c r="U758" s="135"/>
    </row>
    <row r="759" spans="20:21" ht="15" customHeight="1" x14ac:dyDescent="0.25">
      <c r="T759" s="135"/>
      <c r="U759" s="135"/>
    </row>
    <row r="760" spans="20:21" ht="15" customHeight="1" x14ac:dyDescent="0.25">
      <c r="T760" s="135"/>
      <c r="U760" s="135"/>
    </row>
    <row r="761" spans="20:21" ht="15" customHeight="1" x14ac:dyDescent="0.25">
      <c r="T761" s="135"/>
      <c r="U761" s="135"/>
    </row>
    <row r="762" spans="20:21" ht="15" customHeight="1" x14ac:dyDescent="0.25">
      <c r="T762" s="135"/>
      <c r="U762" s="135"/>
    </row>
    <row r="763" spans="20:21" ht="15" customHeight="1" x14ac:dyDescent="0.25">
      <c r="T763" s="135"/>
      <c r="U763" s="135"/>
    </row>
    <row r="764" spans="20:21" ht="15" customHeight="1" x14ac:dyDescent="0.25">
      <c r="T764" s="135"/>
      <c r="U764" s="135"/>
    </row>
    <row r="765" spans="20:21" ht="15" customHeight="1" x14ac:dyDescent="0.25">
      <c r="T765" s="135"/>
      <c r="U765" s="135"/>
    </row>
    <row r="766" spans="20:21" ht="15" customHeight="1" x14ac:dyDescent="0.25">
      <c r="T766" s="135"/>
      <c r="U766" s="135"/>
    </row>
    <row r="767" spans="20:21" ht="15" customHeight="1" x14ac:dyDescent="0.25">
      <c r="T767" s="135"/>
      <c r="U767" s="135"/>
    </row>
    <row r="768" spans="20:21" ht="15" customHeight="1" x14ac:dyDescent="0.25">
      <c r="T768" s="135"/>
      <c r="U768" s="135"/>
    </row>
    <row r="769" spans="20:21" ht="15" customHeight="1" x14ac:dyDescent="0.25">
      <c r="T769" s="135"/>
      <c r="U769" s="135"/>
    </row>
    <row r="770" spans="20:21" ht="15" customHeight="1" x14ac:dyDescent="0.25">
      <c r="T770" s="135"/>
      <c r="U770" s="135"/>
    </row>
    <row r="771" spans="20:21" ht="15" customHeight="1" x14ac:dyDescent="0.25">
      <c r="T771" s="135"/>
      <c r="U771" s="135"/>
    </row>
    <row r="772" spans="20:21" ht="15" customHeight="1" x14ac:dyDescent="0.25">
      <c r="T772" s="135"/>
      <c r="U772" s="135"/>
    </row>
    <row r="773" spans="20:21" ht="15" customHeight="1" x14ac:dyDescent="0.25">
      <c r="T773" s="135"/>
      <c r="U773" s="135"/>
    </row>
    <row r="774" spans="20:21" ht="15" customHeight="1" x14ac:dyDescent="0.25">
      <c r="T774" s="135"/>
      <c r="U774" s="135"/>
    </row>
    <row r="775" spans="20:21" ht="15" customHeight="1" x14ac:dyDescent="0.25">
      <c r="T775" s="135"/>
      <c r="U775" s="135"/>
    </row>
    <row r="776" spans="20:21" ht="15" customHeight="1" x14ac:dyDescent="0.25">
      <c r="T776" s="135"/>
      <c r="U776" s="135"/>
    </row>
    <row r="777" spans="20:21" ht="15" customHeight="1" x14ac:dyDescent="0.25">
      <c r="T777" s="135"/>
      <c r="U777" s="135"/>
    </row>
    <row r="778" spans="20:21" ht="15" customHeight="1" x14ac:dyDescent="0.25">
      <c r="T778" s="135"/>
      <c r="U778" s="135"/>
    </row>
    <row r="779" spans="20:21" ht="15" customHeight="1" x14ac:dyDescent="0.25">
      <c r="T779" s="135"/>
      <c r="U779" s="135"/>
    </row>
    <row r="780" spans="20:21" ht="15" customHeight="1" x14ac:dyDescent="0.25">
      <c r="T780" s="135"/>
      <c r="U780" s="135"/>
    </row>
    <row r="781" spans="20:21" ht="15" customHeight="1" x14ac:dyDescent="0.25">
      <c r="T781" s="135"/>
      <c r="U781" s="135"/>
    </row>
    <row r="782" spans="20:21" ht="15" customHeight="1" x14ac:dyDescent="0.25">
      <c r="T782" s="135"/>
      <c r="U782" s="135"/>
    </row>
    <row r="783" spans="20:21" ht="15" customHeight="1" x14ac:dyDescent="0.25">
      <c r="T783" s="135"/>
      <c r="U783" s="135"/>
    </row>
    <row r="784" spans="20:21" ht="15" customHeight="1" x14ac:dyDescent="0.25">
      <c r="T784" s="135"/>
      <c r="U784" s="135"/>
    </row>
    <row r="785" spans="20:21" ht="15" customHeight="1" x14ac:dyDescent="0.25">
      <c r="T785" s="135"/>
      <c r="U785" s="135"/>
    </row>
    <row r="786" spans="20:21" ht="15" customHeight="1" x14ac:dyDescent="0.25">
      <c r="T786" s="135"/>
      <c r="U786" s="135"/>
    </row>
    <row r="787" spans="20:21" ht="15" customHeight="1" x14ac:dyDescent="0.25">
      <c r="T787" s="135"/>
      <c r="U787" s="135"/>
    </row>
    <row r="788" spans="20:21" ht="15" customHeight="1" x14ac:dyDescent="0.25">
      <c r="T788" s="135"/>
      <c r="U788" s="135"/>
    </row>
    <row r="789" spans="20:21" ht="15" customHeight="1" x14ac:dyDescent="0.25">
      <c r="T789" s="135"/>
      <c r="U789" s="135"/>
    </row>
    <row r="790" spans="20:21" ht="15" customHeight="1" x14ac:dyDescent="0.25">
      <c r="T790" s="135"/>
      <c r="U790" s="135"/>
    </row>
    <row r="791" spans="20:21" ht="15" customHeight="1" x14ac:dyDescent="0.25">
      <c r="T791" s="135"/>
      <c r="U791" s="135"/>
    </row>
    <row r="792" spans="20:21" ht="15" customHeight="1" x14ac:dyDescent="0.25">
      <c r="T792" s="135"/>
      <c r="U792" s="135"/>
    </row>
    <row r="793" spans="20:21" ht="15" customHeight="1" x14ac:dyDescent="0.25">
      <c r="T793" s="135"/>
      <c r="U793" s="135"/>
    </row>
    <row r="794" spans="20:21" ht="15" customHeight="1" x14ac:dyDescent="0.25">
      <c r="T794" s="135"/>
      <c r="U794" s="135"/>
    </row>
    <row r="795" spans="20:21" ht="15" customHeight="1" x14ac:dyDescent="0.25">
      <c r="T795" s="135"/>
      <c r="U795" s="135"/>
    </row>
    <row r="796" spans="20:21" ht="15" customHeight="1" x14ac:dyDescent="0.25">
      <c r="T796" s="135"/>
      <c r="U796" s="135"/>
    </row>
    <row r="797" spans="20:21" ht="15" customHeight="1" x14ac:dyDescent="0.25">
      <c r="T797" s="135"/>
      <c r="U797" s="135"/>
    </row>
    <row r="798" spans="20:21" ht="15" customHeight="1" x14ac:dyDescent="0.25">
      <c r="T798" s="135"/>
      <c r="U798" s="135"/>
    </row>
    <row r="799" spans="20:21" ht="15" customHeight="1" x14ac:dyDescent="0.25">
      <c r="T799" s="135"/>
      <c r="U799" s="135"/>
    </row>
    <row r="800" spans="20:21" ht="15" customHeight="1" x14ac:dyDescent="0.25">
      <c r="T800" s="135"/>
      <c r="U800" s="135"/>
    </row>
    <row r="801" spans="20:21" ht="15" customHeight="1" x14ac:dyDescent="0.25">
      <c r="T801" s="135"/>
      <c r="U801" s="135"/>
    </row>
    <row r="802" spans="20:21" ht="15" customHeight="1" x14ac:dyDescent="0.25">
      <c r="T802" s="135"/>
      <c r="U802" s="135"/>
    </row>
    <row r="803" spans="20:21" ht="15" customHeight="1" x14ac:dyDescent="0.25">
      <c r="T803" s="135"/>
      <c r="U803" s="135"/>
    </row>
    <row r="804" spans="20:21" ht="15" customHeight="1" x14ac:dyDescent="0.25">
      <c r="T804" s="135"/>
      <c r="U804" s="135"/>
    </row>
    <row r="805" spans="20:21" ht="15" customHeight="1" x14ac:dyDescent="0.25">
      <c r="T805" s="135"/>
      <c r="U805" s="135"/>
    </row>
    <row r="806" spans="20:21" ht="15" customHeight="1" x14ac:dyDescent="0.25">
      <c r="T806" s="135"/>
      <c r="U806" s="135"/>
    </row>
    <row r="807" spans="20:21" ht="15" customHeight="1" x14ac:dyDescent="0.25">
      <c r="T807" s="135"/>
      <c r="U807" s="135"/>
    </row>
    <row r="808" spans="20:21" ht="15" customHeight="1" x14ac:dyDescent="0.25">
      <c r="T808" s="135"/>
      <c r="U808" s="135"/>
    </row>
    <row r="809" spans="20:21" ht="15" customHeight="1" x14ac:dyDescent="0.25">
      <c r="T809" s="135"/>
      <c r="U809" s="135"/>
    </row>
    <row r="810" spans="20:21" ht="15" customHeight="1" x14ac:dyDescent="0.25">
      <c r="T810" s="135"/>
      <c r="U810" s="135"/>
    </row>
    <row r="811" spans="20:21" ht="15" customHeight="1" x14ac:dyDescent="0.25">
      <c r="T811" s="135"/>
      <c r="U811" s="135"/>
    </row>
    <row r="812" spans="20:21" ht="15" customHeight="1" x14ac:dyDescent="0.25">
      <c r="T812" s="135"/>
      <c r="U812" s="135"/>
    </row>
    <row r="813" spans="20:21" ht="15" customHeight="1" x14ac:dyDescent="0.25">
      <c r="T813" s="135"/>
      <c r="U813" s="135"/>
    </row>
    <row r="814" spans="20:21" ht="15" customHeight="1" x14ac:dyDescent="0.25">
      <c r="T814" s="135"/>
      <c r="U814" s="135"/>
    </row>
    <row r="815" spans="20:21" ht="15" customHeight="1" x14ac:dyDescent="0.25">
      <c r="T815" s="135"/>
      <c r="U815" s="135"/>
    </row>
    <row r="816" spans="20:21" ht="15" customHeight="1" x14ac:dyDescent="0.25">
      <c r="T816" s="135"/>
      <c r="U816" s="135"/>
    </row>
    <row r="817" spans="20:21" ht="15" customHeight="1" x14ac:dyDescent="0.25">
      <c r="T817" s="135"/>
      <c r="U817" s="135"/>
    </row>
    <row r="818" spans="20:21" ht="15" customHeight="1" x14ac:dyDescent="0.25">
      <c r="T818" s="135"/>
      <c r="U818" s="135"/>
    </row>
    <row r="819" spans="20:21" ht="15" customHeight="1" x14ac:dyDescent="0.25">
      <c r="T819" s="135"/>
      <c r="U819" s="135"/>
    </row>
    <row r="820" spans="20:21" ht="15" customHeight="1" x14ac:dyDescent="0.25">
      <c r="T820" s="135"/>
      <c r="U820" s="135"/>
    </row>
    <row r="821" spans="20:21" ht="15" customHeight="1" x14ac:dyDescent="0.25">
      <c r="T821" s="135"/>
      <c r="U821" s="135"/>
    </row>
    <row r="822" spans="20:21" ht="15" customHeight="1" x14ac:dyDescent="0.25">
      <c r="T822" s="135"/>
      <c r="U822" s="135"/>
    </row>
    <row r="823" spans="20:21" ht="15" customHeight="1" x14ac:dyDescent="0.25">
      <c r="T823" s="135"/>
      <c r="U823" s="135"/>
    </row>
    <row r="824" spans="20:21" ht="15" customHeight="1" x14ac:dyDescent="0.25">
      <c r="T824" s="135"/>
      <c r="U824" s="135"/>
    </row>
    <row r="825" spans="20:21" ht="15" customHeight="1" x14ac:dyDescent="0.25">
      <c r="T825" s="135"/>
      <c r="U825" s="135"/>
    </row>
    <row r="826" spans="20:21" ht="15" customHeight="1" x14ac:dyDescent="0.25">
      <c r="T826" s="135"/>
      <c r="U826" s="135"/>
    </row>
    <row r="827" spans="20:21" ht="15" customHeight="1" x14ac:dyDescent="0.25">
      <c r="T827" s="135"/>
      <c r="U827" s="135"/>
    </row>
    <row r="828" spans="20:21" ht="15" customHeight="1" x14ac:dyDescent="0.25">
      <c r="T828" s="135"/>
      <c r="U828" s="135"/>
    </row>
    <row r="829" spans="20:21" ht="15" customHeight="1" x14ac:dyDescent="0.25">
      <c r="T829" s="135"/>
      <c r="U829" s="135"/>
    </row>
    <row r="830" spans="20:21" ht="15" customHeight="1" x14ac:dyDescent="0.25">
      <c r="T830" s="135"/>
      <c r="U830" s="135"/>
    </row>
    <row r="831" spans="20:21" ht="15" customHeight="1" x14ac:dyDescent="0.25">
      <c r="T831" s="135"/>
      <c r="U831" s="135"/>
    </row>
    <row r="832" spans="20:21" ht="15" customHeight="1" x14ac:dyDescent="0.25">
      <c r="T832" s="135"/>
      <c r="U832" s="135"/>
    </row>
    <row r="833" spans="20:21" ht="15" customHeight="1" x14ac:dyDescent="0.25">
      <c r="T833" s="135"/>
      <c r="U833" s="135"/>
    </row>
    <row r="834" spans="20:21" ht="15" customHeight="1" x14ac:dyDescent="0.25">
      <c r="T834" s="135"/>
      <c r="U834" s="135"/>
    </row>
    <row r="835" spans="20:21" ht="15" customHeight="1" x14ac:dyDescent="0.25">
      <c r="T835" s="135"/>
      <c r="U835" s="135"/>
    </row>
    <row r="836" spans="20:21" ht="15" customHeight="1" x14ac:dyDescent="0.25">
      <c r="T836" s="135"/>
      <c r="U836" s="135"/>
    </row>
    <row r="837" spans="20:21" ht="15" customHeight="1" x14ac:dyDescent="0.25">
      <c r="T837" s="135"/>
      <c r="U837" s="135"/>
    </row>
    <row r="838" spans="20:21" ht="15" customHeight="1" x14ac:dyDescent="0.25">
      <c r="T838" s="135"/>
      <c r="U838" s="135"/>
    </row>
    <row r="839" spans="20:21" ht="15" customHeight="1" x14ac:dyDescent="0.25">
      <c r="T839" s="135"/>
      <c r="U839" s="135"/>
    </row>
    <row r="840" spans="20:21" ht="15" customHeight="1" x14ac:dyDescent="0.25">
      <c r="T840" s="135"/>
      <c r="U840" s="135"/>
    </row>
    <row r="841" spans="20:21" ht="15" customHeight="1" x14ac:dyDescent="0.25">
      <c r="T841" s="135"/>
      <c r="U841" s="135"/>
    </row>
    <row r="842" spans="20:21" ht="15" customHeight="1" x14ac:dyDescent="0.25">
      <c r="T842" s="135"/>
      <c r="U842" s="135"/>
    </row>
    <row r="843" spans="20:21" ht="15" customHeight="1" x14ac:dyDescent="0.25">
      <c r="T843" s="135"/>
      <c r="U843" s="135"/>
    </row>
    <row r="844" spans="20:21" ht="15" customHeight="1" x14ac:dyDescent="0.25">
      <c r="T844" s="135"/>
      <c r="U844" s="135"/>
    </row>
    <row r="845" spans="20:21" ht="15" customHeight="1" x14ac:dyDescent="0.25">
      <c r="T845" s="135"/>
      <c r="U845" s="135"/>
    </row>
    <row r="846" spans="20:21" ht="15" customHeight="1" x14ac:dyDescent="0.25">
      <c r="T846" s="135"/>
      <c r="U846" s="135"/>
    </row>
    <row r="847" spans="20:21" ht="15" customHeight="1" x14ac:dyDescent="0.25">
      <c r="T847" s="135"/>
      <c r="U847" s="135"/>
    </row>
    <row r="848" spans="20:21" ht="15" customHeight="1" x14ac:dyDescent="0.25">
      <c r="T848" s="135"/>
      <c r="U848" s="135"/>
    </row>
    <row r="849" spans="20:21" ht="15" customHeight="1" x14ac:dyDescent="0.25">
      <c r="T849" s="135"/>
      <c r="U849" s="135"/>
    </row>
    <row r="850" spans="20:21" ht="15" customHeight="1" x14ac:dyDescent="0.25">
      <c r="T850" s="135"/>
      <c r="U850" s="135"/>
    </row>
    <row r="851" spans="20:21" ht="15" customHeight="1" x14ac:dyDescent="0.25">
      <c r="T851" s="135"/>
      <c r="U851" s="135"/>
    </row>
    <row r="852" spans="20:21" ht="15" customHeight="1" x14ac:dyDescent="0.25">
      <c r="T852" s="135"/>
      <c r="U852" s="135"/>
    </row>
    <row r="853" spans="20:21" ht="15" customHeight="1" x14ac:dyDescent="0.25">
      <c r="T853" s="135"/>
      <c r="U853" s="135"/>
    </row>
    <row r="854" spans="20:21" ht="15" customHeight="1" x14ac:dyDescent="0.25">
      <c r="T854" s="135"/>
      <c r="U854" s="135"/>
    </row>
    <row r="855" spans="20:21" ht="15" customHeight="1" x14ac:dyDescent="0.25">
      <c r="T855" s="135"/>
      <c r="U855" s="135"/>
    </row>
    <row r="856" spans="20:21" ht="15" customHeight="1" x14ac:dyDescent="0.25">
      <c r="T856" s="135"/>
      <c r="U856" s="135"/>
    </row>
    <row r="857" spans="20:21" ht="15" customHeight="1" x14ac:dyDescent="0.25">
      <c r="T857" s="135"/>
      <c r="U857" s="135"/>
    </row>
    <row r="858" spans="20:21" ht="15" customHeight="1" x14ac:dyDescent="0.25">
      <c r="T858" s="135"/>
      <c r="U858" s="135"/>
    </row>
    <row r="859" spans="20:21" ht="15" customHeight="1" x14ac:dyDescent="0.25">
      <c r="T859" s="135"/>
      <c r="U859" s="135"/>
    </row>
    <row r="860" spans="20:21" ht="15" customHeight="1" x14ac:dyDescent="0.25">
      <c r="T860" s="135"/>
      <c r="U860" s="135"/>
    </row>
    <row r="861" spans="20:21" ht="15" customHeight="1" x14ac:dyDescent="0.25">
      <c r="T861" s="135"/>
      <c r="U861" s="135"/>
    </row>
    <row r="862" spans="20:21" ht="15" customHeight="1" x14ac:dyDescent="0.25">
      <c r="T862" s="135"/>
      <c r="U862" s="135"/>
    </row>
    <row r="863" spans="20:21" ht="15" customHeight="1" x14ac:dyDescent="0.25">
      <c r="T863" s="135"/>
      <c r="U863" s="135"/>
    </row>
    <row r="864" spans="20:21" ht="15" customHeight="1" x14ac:dyDescent="0.25">
      <c r="T864" s="135"/>
      <c r="U864" s="135"/>
    </row>
    <row r="865" spans="20:21" ht="15" customHeight="1" x14ac:dyDescent="0.25">
      <c r="T865" s="135"/>
      <c r="U865" s="135"/>
    </row>
    <row r="866" spans="20:21" ht="15" customHeight="1" x14ac:dyDescent="0.25">
      <c r="T866" s="135"/>
      <c r="U866" s="135"/>
    </row>
    <row r="867" spans="20:21" ht="15" customHeight="1" x14ac:dyDescent="0.25">
      <c r="T867" s="135"/>
      <c r="U867" s="135"/>
    </row>
    <row r="868" spans="20:21" ht="15" customHeight="1" x14ac:dyDescent="0.25">
      <c r="T868" s="135"/>
      <c r="U868" s="135"/>
    </row>
    <row r="869" spans="20:21" ht="15" customHeight="1" x14ac:dyDescent="0.25">
      <c r="T869" s="135"/>
      <c r="U869" s="135"/>
    </row>
    <row r="870" spans="20:21" ht="15" customHeight="1" x14ac:dyDescent="0.25">
      <c r="T870" s="135"/>
      <c r="U870" s="135"/>
    </row>
    <row r="871" spans="20:21" ht="15" customHeight="1" x14ac:dyDescent="0.25">
      <c r="T871" s="135"/>
      <c r="U871" s="135"/>
    </row>
    <row r="872" spans="20:21" ht="15" customHeight="1" x14ac:dyDescent="0.25">
      <c r="T872" s="135"/>
      <c r="U872" s="135"/>
    </row>
    <row r="873" spans="20:21" ht="15" customHeight="1" x14ac:dyDescent="0.25">
      <c r="T873" s="135"/>
      <c r="U873" s="135"/>
    </row>
    <row r="874" spans="20:21" ht="15" customHeight="1" x14ac:dyDescent="0.25">
      <c r="T874" s="135"/>
      <c r="U874" s="135"/>
    </row>
    <row r="875" spans="20:21" ht="15" customHeight="1" x14ac:dyDescent="0.25">
      <c r="T875" s="135"/>
      <c r="U875" s="135"/>
    </row>
    <row r="876" spans="20:21" ht="15" customHeight="1" x14ac:dyDescent="0.25">
      <c r="T876" s="135"/>
      <c r="U876" s="135"/>
    </row>
    <row r="877" spans="20:21" ht="15" customHeight="1" x14ac:dyDescent="0.25">
      <c r="T877" s="135"/>
      <c r="U877" s="135"/>
    </row>
    <row r="878" spans="20:21" ht="15" customHeight="1" x14ac:dyDescent="0.25">
      <c r="T878" s="135"/>
      <c r="U878" s="135"/>
    </row>
    <row r="879" spans="20:21" ht="15" customHeight="1" x14ac:dyDescent="0.25">
      <c r="T879" s="135"/>
      <c r="U879" s="135"/>
    </row>
    <row r="880" spans="20:21" ht="15" customHeight="1" x14ac:dyDescent="0.25">
      <c r="T880" s="135"/>
      <c r="U880" s="135"/>
    </row>
    <row r="881" spans="20:21" ht="15" customHeight="1" x14ac:dyDescent="0.25">
      <c r="T881" s="135"/>
      <c r="U881" s="135"/>
    </row>
    <row r="882" spans="20:21" ht="15" customHeight="1" x14ac:dyDescent="0.25">
      <c r="T882" s="135"/>
      <c r="U882" s="135"/>
    </row>
    <row r="883" spans="20:21" ht="15" customHeight="1" x14ac:dyDescent="0.25">
      <c r="T883" s="135"/>
      <c r="U883" s="135"/>
    </row>
    <row r="884" spans="20:21" ht="15" customHeight="1" x14ac:dyDescent="0.25">
      <c r="T884" s="135"/>
      <c r="U884" s="135"/>
    </row>
    <row r="885" spans="20:21" ht="15" customHeight="1" x14ac:dyDescent="0.25">
      <c r="T885" s="135"/>
      <c r="U885" s="135"/>
    </row>
    <row r="886" spans="20:21" ht="15" customHeight="1" x14ac:dyDescent="0.25">
      <c r="T886" s="135"/>
      <c r="U886" s="135"/>
    </row>
    <row r="887" spans="20:21" ht="15" customHeight="1" x14ac:dyDescent="0.25">
      <c r="T887" s="135"/>
      <c r="U887" s="135"/>
    </row>
    <row r="888" spans="20:21" ht="15" customHeight="1" x14ac:dyDescent="0.25">
      <c r="T888" s="135"/>
      <c r="U888" s="135"/>
    </row>
    <row r="889" spans="20:21" ht="15" customHeight="1" x14ac:dyDescent="0.25">
      <c r="T889" s="135"/>
      <c r="U889" s="135"/>
    </row>
    <row r="890" spans="20:21" ht="15" customHeight="1" x14ac:dyDescent="0.25">
      <c r="T890" s="135"/>
      <c r="U890" s="135"/>
    </row>
    <row r="891" spans="20:21" ht="15" customHeight="1" x14ac:dyDescent="0.25">
      <c r="T891" s="135"/>
      <c r="U891" s="135"/>
    </row>
    <row r="892" spans="20:21" ht="15" customHeight="1" x14ac:dyDescent="0.25">
      <c r="T892" s="135"/>
      <c r="U892" s="135"/>
    </row>
    <row r="893" spans="20:21" ht="15" customHeight="1" x14ac:dyDescent="0.25">
      <c r="T893" s="135"/>
      <c r="U893" s="135"/>
    </row>
    <row r="894" spans="20:21" ht="15" customHeight="1" x14ac:dyDescent="0.25">
      <c r="T894" s="135"/>
      <c r="U894" s="135"/>
    </row>
    <row r="895" spans="20:21" ht="15" customHeight="1" x14ac:dyDescent="0.25">
      <c r="T895" s="135"/>
      <c r="U895" s="135"/>
    </row>
    <row r="896" spans="20:21" ht="15" customHeight="1" x14ac:dyDescent="0.25">
      <c r="T896" s="135"/>
      <c r="U896" s="135"/>
    </row>
    <row r="897" spans="20:21" ht="15" customHeight="1" x14ac:dyDescent="0.25">
      <c r="T897" s="135"/>
      <c r="U897" s="135"/>
    </row>
    <row r="898" spans="20:21" ht="15" customHeight="1" x14ac:dyDescent="0.25">
      <c r="T898" s="135"/>
      <c r="U898" s="135"/>
    </row>
    <row r="899" spans="20:21" ht="15" customHeight="1" x14ac:dyDescent="0.25">
      <c r="T899" s="135"/>
      <c r="U899" s="135"/>
    </row>
    <row r="900" spans="20:21" ht="15" customHeight="1" x14ac:dyDescent="0.25">
      <c r="T900" s="135"/>
      <c r="U900" s="135"/>
    </row>
    <row r="901" spans="20:21" ht="15" customHeight="1" x14ac:dyDescent="0.25">
      <c r="T901" s="135"/>
      <c r="U901" s="135"/>
    </row>
    <row r="902" spans="20:21" ht="15" customHeight="1" x14ac:dyDescent="0.25">
      <c r="T902" s="135"/>
      <c r="U902" s="135"/>
    </row>
    <row r="903" spans="20:21" ht="15" customHeight="1" x14ac:dyDescent="0.25">
      <c r="T903" s="135"/>
      <c r="U903" s="135"/>
    </row>
    <row r="904" spans="20:21" ht="15" customHeight="1" x14ac:dyDescent="0.25">
      <c r="T904" s="135"/>
      <c r="U904" s="135"/>
    </row>
    <row r="905" spans="20:21" ht="15" customHeight="1" x14ac:dyDescent="0.25">
      <c r="T905" s="135"/>
      <c r="U905" s="135"/>
    </row>
    <row r="906" spans="20:21" ht="15" customHeight="1" x14ac:dyDescent="0.25">
      <c r="T906" s="135"/>
      <c r="U906" s="135"/>
    </row>
    <row r="907" spans="20:21" ht="15" customHeight="1" x14ac:dyDescent="0.25">
      <c r="T907" s="135"/>
      <c r="U907" s="135"/>
    </row>
    <row r="908" spans="20:21" ht="15" customHeight="1" x14ac:dyDescent="0.25">
      <c r="T908" s="135"/>
      <c r="U908" s="135"/>
    </row>
    <row r="909" spans="20:21" ht="15" customHeight="1" x14ac:dyDescent="0.25">
      <c r="T909" s="135"/>
      <c r="U909" s="135"/>
    </row>
    <row r="910" spans="20:21" ht="15" customHeight="1" x14ac:dyDescent="0.25">
      <c r="T910" s="135"/>
      <c r="U910" s="135"/>
    </row>
    <row r="911" spans="20:21" ht="15" customHeight="1" x14ac:dyDescent="0.25">
      <c r="T911" s="135"/>
      <c r="U911" s="135"/>
    </row>
    <row r="912" spans="20:21" ht="15" customHeight="1" x14ac:dyDescent="0.25">
      <c r="T912" s="135"/>
      <c r="U912" s="135"/>
    </row>
    <row r="913" spans="20:21" ht="15" customHeight="1" x14ac:dyDescent="0.25">
      <c r="T913" s="135"/>
      <c r="U913" s="135"/>
    </row>
    <row r="914" spans="20:21" ht="15" customHeight="1" x14ac:dyDescent="0.25">
      <c r="T914" s="135"/>
      <c r="U914" s="135"/>
    </row>
    <row r="915" spans="20:21" ht="15" customHeight="1" x14ac:dyDescent="0.25">
      <c r="T915" s="135"/>
      <c r="U915" s="135"/>
    </row>
    <row r="916" spans="20:21" ht="15" customHeight="1" x14ac:dyDescent="0.25">
      <c r="T916" s="135"/>
      <c r="U916" s="135"/>
    </row>
    <row r="917" spans="20:21" ht="15" customHeight="1" x14ac:dyDescent="0.25">
      <c r="T917" s="135"/>
      <c r="U917" s="135"/>
    </row>
    <row r="918" spans="20:21" ht="15" customHeight="1" x14ac:dyDescent="0.25">
      <c r="T918" s="135"/>
      <c r="U918" s="135"/>
    </row>
    <row r="919" spans="20:21" ht="15" customHeight="1" x14ac:dyDescent="0.25">
      <c r="T919" s="135"/>
      <c r="U919" s="135"/>
    </row>
    <row r="920" spans="20:21" ht="15" customHeight="1" x14ac:dyDescent="0.25">
      <c r="T920" s="135"/>
      <c r="U920" s="135"/>
    </row>
    <row r="921" spans="20:21" ht="15" customHeight="1" x14ac:dyDescent="0.25">
      <c r="T921" s="135"/>
      <c r="U921" s="135"/>
    </row>
    <row r="922" spans="20:21" ht="15" customHeight="1" x14ac:dyDescent="0.25">
      <c r="T922" s="135"/>
      <c r="U922" s="135"/>
    </row>
    <row r="923" spans="20:21" ht="15" customHeight="1" x14ac:dyDescent="0.25">
      <c r="T923" s="135"/>
      <c r="U923" s="135"/>
    </row>
    <row r="924" spans="20:21" ht="15" customHeight="1" x14ac:dyDescent="0.25">
      <c r="T924" s="135"/>
      <c r="U924" s="135"/>
    </row>
    <row r="925" spans="20:21" ht="15" customHeight="1" x14ac:dyDescent="0.25">
      <c r="T925" s="135"/>
      <c r="U925" s="135"/>
    </row>
    <row r="926" spans="20:21" ht="15" customHeight="1" x14ac:dyDescent="0.25">
      <c r="T926" s="135"/>
      <c r="U926" s="135"/>
    </row>
    <row r="927" spans="20:21" ht="15" customHeight="1" x14ac:dyDescent="0.25">
      <c r="T927" s="135"/>
      <c r="U927" s="135"/>
    </row>
    <row r="928" spans="20:21" ht="15" customHeight="1" x14ac:dyDescent="0.25">
      <c r="T928" s="135"/>
      <c r="U928" s="135"/>
    </row>
    <row r="929" spans="20:21" ht="15" customHeight="1" x14ac:dyDescent="0.25">
      <c r="T929" s="135"/>
      <c r="U929" s="135"/>
    </row>
    <row r="930" spans="20:21" ht="15" customHeight="1" x14ac:dyDescent="0.25">
      <c r="T930" s="135"/>
      <c r="U930" s="135"/>
    </row>
    <row r="931" spans="20:21" ht="15" customHeight="1" x14ac:dyDescent="0.25">
      <c r="T931" s="135"/>
      <c r="U931" s="135"/>
    </row>
    <row r="932" spans="20:21" ht="15" customHeight="1" x14ac:dyDescent="0.25">
      <c r="T932" s="135"/>
      <c r="U932" s="135"/>
    </row>
    <row r="933" spans="20:21" ht="15" customHeight="1" x14ac:dyDescent="0.25">
      <c r="T933" s="135"/>
      <c r="U933" s="135"/>
    </row>
    <row r="934" spans="20:21" ht="15" customHeight="1" x14ac:dyDescent="0.25">
      <c r="T934" s="135"/>
      <c r="U934" s="135"/>
    </row>
    <row r="935" spans="20:21" ht="15" customHeight="1" x14ac:dyDescent="0.25">
      <c r="T935" s="135"/>
      <c r="U935" s="135"/>
    </row>
    <row r="936" spans="20:21" ht="15" customHeight="1" x14ac:dyDescent="0.25">
      <c r="T936" s="135"/>
      <c r="U936" s="135"/>
    </row>
    <row r="937" spans="20:21" ht="15" customHeight="1" x14ac:dyDescent="0.25">
      <c r="T937" s="135"/>
      <c r="U937" s="135"/>
    </row>
    <row r="938" spans="20:21" ht="15" customHeight="1" x14ac:dyDescent="0.25">
      <c r="T938" s="135"/>
      <c r="U938" s="135"/>
    </row>
    <row r="939" spans="20:21" ht="15" customHeight="1" x14ac:dyDescent="0.25">
      <c r="T939" s="135"/>
      <c r="U939" s="135"/>
    </row>
    <row r="940" spans="20:21" ht="15" customHeight="1" x14ac:dyDescent="0.25">
      <c r="T940" s="135"/>
      <c r="U940" s="135"/>
    </row>
    <row r="941" spans="20:21" ht="15" customHeight="1" x14ac:dyDescent="0.25">
      <c r="T941" s="135"/>
      <c r="U941" s="135"/>
    </row>
    <row r="942" spans="20:21" ht="15" customHeight="1" x14ac:dyDescent="0.25">
      <c r="T942" s="135"/>
      <c r="U942" s="135"/>
    </row>
    <row r="943" spans="20:21" ht="15" customHeight="1" x14ac:dyDescent="0.25">
      <c r="T943" s="135"/>
      <c r="U943" s="135"/>
    </row>
    <row r="944" spans="20:21" ht="15" customHeight="1" x14ac:dyDescent="0.25">
      <c r="T944" s="135"/>
      <c r="U944" s="135"/>
    </row>
    <row r="945" spans="20:21" ht="15" customHeight="1" x14ac:dyDescent="0.25">
      <c r="T945" s="135"/>
      <c r="U945" s="135"/>
    </row>
    <row r="946" spans="20:21" ht="15" customHeight="1" x14ac:dyDescent="0.25">
      <c r="T946" s="135"/>
      <c r="U946" s="135"/>
    </row>
    <row r="947" spans="20:21" ht="15" customHeight="1" x14ac:dyDescent="0.25">
      <c r="T947" s="135"/>
      <c r="U947" s="135"/>
    </row>
    <row r="948" spans="20:21" ht="15" customHeight="1" x14ac:dyDescent="0.25">
      <c r="T948" s="135"/>
      <c r="U948" s="135"/>
    </row>
    <row r="949" spans="20:21" ht="15" customHeight="1" x14ac:dyDescent="0.25">
      <c r="T949" s="135"/>
      <c r="U949" s="135"/>
    </row>
    <row r="950" spans="20:21" ht="15" customHeight="1" x14ac:dyDescent="0.25">
      <c r="T950" s="135"/>
      <c r="U950" s="135"/>
    </row>
    <row r="951" spans="20:21" ht="15" customHeight="1" x14ac:dyDescent="0.25">
      <c r="T951" s="135"/>
      <c r="U951" s="135"/>
    </row>
    <row r="952" spans="20:21" ht="15" customHeight="1" x14ac:dyDescent="0.25">
      <c r="T952" s="135"/>
      <c r="U952" s="135"/>
    </row>
    <row r="953" spans="20:21" ht="15" customHeight="1" x14ac:dyDescent="0.25">
      <c r="T953" s="135"/>
      <c r="U953" s="135"/>
    </row>
    <row r="954" spans="20:21" ht="15" customHeight="1" x14ac:dyDescent="0.25">
      <c r="T954" s="135"/>
      <c r="U954" s="135"/>
    </row>
    <row r="955" spans="20:21" ht="15" customHeight="1" x14ac:dyDescent="0.25">
      <c r="T955" s="135"/>
      <c r="U955" s="135"/>
    </row>
    <row r="956" spans="20:21" ht="15" customHeight="1" x14ac:dyDescent="0.25">
      <c r="T956" s="135"/>
      <c r="U956" s="135"/>
    </row>
    <row r="957" spans="20:21" ht="15" customHeight="1" x14ac:dyDescent="0.25">
      <c r="T957" s="135"/>
      <c r="U957" s="135"/>
    </row>
    <row r="958" spans="20:21" ht="15" customHeight="1" x14ac:dyDescent="0.25">
      <c r="T958" s="135"/>
      <c r="U958" s="135"/>
    </row>
    <row r="959" spans="20:21" ht="15" customHeight="1" x14ac:dyDescent="0.25">
      <c r="T959" s="135"/>
      <c r="U959" s="135"/>
    </row>
    <row r="960" spans="20:21" ht="15" customHeight="1" x14ac:dyDescent="0.25">
      <c r="T960" s="135"/>
      <c r="U960" s="135"/>
    </row>
    <row r="961" spans="20:21" ht="15" customHeight="1" x14ac:dyDescent="0.25">
      <c r="T961" s="135"/>
      <c r="U961" s="135"/>
    </row>
    <row r="962" spans="20:21" ht="15" customHeight="1" x14ac:dyDescent="0.25">
      <c r="T962" s="135"/>
      <c r="U962" s="135"/>
    </row>
    <row r="963" spans="20:21" ht="15" customHeight="1" x14ac:dyDescent="0.25">
      <c r="T963" s="135"/>
      <c r="U963" s="135"/>
    </row>
    <row r="964" spans="20:21" ht="15" customHeight="1" x14ac:dyDescent="0.25">
      <c r="T964" s="135"/>
      <c r="U964" s="135"/>
    </row>
    <row r="965" spans="20:21" ht="15" customHeight="1" x14ac:dyDescent="0.25">
      <c r="T965" s="135"/>
      <c r="U965" s="135"/>
    </row>
    <row r="966" spans="20:21" ht="15" customHeight="1" x14ac:dyDescent="0.25">
      <c r="T966" s="135"/>
      <c r="U966" s="135"/>
    </row>
    <row r="967" spans="20:21" ht="15" customHeight="1" x14ac:dyDescent="0.25">
      <c r="T967" s="135"/>
      <c r="U967" s="135"/>
    </row>
    <row r="968" spans="20:21" ht="15" customHeight="1" x14ac:dyDescent="0.25">
      <c r="T968" s="135"/>
      <c r="U968" s="135"/>
    </row>
    <row r="969" spans="20:21" ht="15" customHeight="1" x14ac:dyDescent="0.25">
      <c r="T969" s="135"/>
      <c r="U969" s="135"/>
    </row>
    <row r="970" spans="20:21" ht="15" customHeight="1" x14ac:dyDescent="0.25">
      <c r="T970" s="135"/>
      <c r="U970" s="135"/>
    </row>
    <row r="971" spans="20:21" ht="15" customHeight="1" x14ac:dyDescent="0.25">
      <c r="T971" s="135"/>
      <c r="U971" s="135"/>
    </row>
    <row r="972" spans="20:21" ht="15" customHeight="1" x14ac:dyDescent="0.25">
      <c r="T972" s="135"/>
      <c r="U972" s="135"/>
    </row>
    <row r="973" spans="20:21" ht="15" customHeight="1" x14ac:dyDescent="0.25">
      <c r="T973" s="135"/>
      <c r="U973" s="135"/>
    </row>
    <row r="974" spans="20:21" ht="15" customHeight="1" x14ac:dyDescent="0.25">
      <c r="T974" s="135"/>
      <c r="U974" s="135"/>
    </row>
    <row r="975" spans="20:21" ht="15" customHeight="1" x14ac:dyDescent="0.25">
      <c r="T975" s="135"/>
      <c r="U975" s="135"/>
    </row>
    <row r="976" spans="20:21" ht="15" customHeight="1" x14ac:dyDescent="0.25">
      <c r="T976" s="135"/>
      <c r="U976" s="135"/>
    </row>
    <row r="977" spans="20:21" ht="15" customHeight="1" x14ac:dyDescent="0.25">
      <c r="T977" s="135"/>
      <c r="U977" s="135"/>
    </row>
    <row r="978" spans="20:21" ht="15" customHeight="1" x14ac:dyDescent="0.25">
      <c r="T978" s="135"/>
      <c r="U978" s="135"/>
    </row>
    <row r="979" spans="20:21" ht="15" customHeight="1" x14ac:dyDescent="0.25">
      <c r="T979" s="135"/>
      <c r="U979" s="135"/>
    </row>
    <row r="980" spans="20:21" ht="15" customHeight="1" x14ac:dyDescent="0.25">
      <c r="T980" s="135"/>
      <c r="U980" s="135"/>
    </row>
    <row r="981" spans="20:21" ht="15" customHeight="1" x14ac:dyDescent="0.25">
      <c r="T981" s="135"/>
      <c r="U981" s="135"/>
    </row>
    <row r="982" spans="20:21" ht="15" customHeight="1" x14ac:dyDescent="0.25">
      <c r="T982" s="135"/>
      <c r="U982" s="135"/>
    </row>
    <row r="983" spans="20:21" ht="15" customHeight="1" x14ac:dyDescent="0.25">
      <c r="T983" s="135"/>
      <c r="U983" s="135"/>
    </row>
    <row r="984" spans="20:21" ht="15" customHeight="1" x14ac:dyDescent="0.25">
      <c r="T984" s="135"/>
      <c r="U984" s="135"/>
    </row>
    <row r="985" spans="20:21" ht="15" customHeight="1" x14ac:dyDescent="0.25">
      <c r="T985" s="135"/>
      <c r="U985" s="135"/>
    </row>
    <row r="986" spans="20:21" ht="15" customHeight="1" x14ac:dyDescent="0.25">
      <c r="T986" s="135"/>
      <c r="U986" s="135"/>
    </row>
    <row r="987" spans="20:21" ht="15" customHeight="1" x14ac:dyDescent="0.25">
      <c r="T987" s="135"/>
      <c r="U987" s="135"/>
    </row>
    <row r="988" spans="20:21" ht="15" customHeight="1" x14ac:dyDescent="0.25">
      <c r="T988" s="135"/>
      <c r="U988" s="135"/>
    </row>
    <row r="989" spans="20:21" ht="15" customHeight="1" x14ac:dyDescent="0.25">
      <c r="T989" s="135"/>
      <c r="U989" s="135"/>
    </row>
    <row r="990" spans="20:21" ht="15" customHeight="1" x14ac:dyDescent="0.25">
      <c r="T990" s="135"/>
      <c r="U990" s="135"/>
    </row>
    <row r="991" spans="20:21" ht="15" customHeight="1" x14ac:dyDescent="0.25">
      <c r="T991" s="135"/>
      <c r="U991" s="135"/>
    </row>
    <row r="992" spans="20:21" ht="15" customHeight="1" x14ac:dyDescent="0.25">
      <c r="T992" s="135"/>
      <c r="U992" s="135"/>
    </row>
    <row r="993" spans="20:21" ht="15" customHeight="1" x14ac:dyDescent="0.25">
      <c r="T993" s="135"/>
      <c r="U993" s="135"/>
    </row>
    <row r="994" spans="20:21" ht="15" customHeight="1" x14ac:dyDescent="0.25">
      <c r="T994" s="135"/>
      <c r="U994" s="135"/>
    </row>
    <row r="995" spans="20:21" ht="15" customHeight="1" x14ac:dyDescent="0.25">
      <c r="T995" s="135"/>
      <c r="U995" s="135"/>
    </row>
    <row r="996" spans="20:21" ht="15" customHeight="1" x14ac:dyDescent="0.25">
      <c r="T996" s="135"/>
      <c r="U996" s="135"/>
    </row>
    <row r="997" spans="20:21" ht="15" customHeight="1" x14ac:dyDescent="0.25">
      <c r="T997" s="135"/>
      <c r="U997" s="135"/>
    </row>
    <row r="998" spans="20:21" ht="15" customHeight="1" x14ac:dyDescent="0.25">
      <c r="T998" s="135"/>
      <c r="U998" s="135"/>
    </row>
    <row r="999" spans="20:21" ht="15" customHeight="1" x14ac:dyDescent="0.25">
      <c r="T999" s="135"/>
      <c r="U999" s="135"/>
    </row>
    <row r="1000" spans="20:21" ht="15" customHeight="1" x14ac:dyDescent="0.25">
      <c r="T1000" s="135"/>
      <c r="U1000" s="135"/>
    </row>
    <row r="1001" spans="20:21" ht="15" customHeight="1" x14ac:dyDescent="0.25">
      <c r="T1001" s="135"/>
      <c r="U1001" s="135"/>
    </row>
    <row r="1002" spans="20:21" ht="15" customHeight="1" x14ac:dyDescent="0.25">
      <c r="T1002" s="135"/>
      <c r="U1002" s="135"/>
    </row>
    <row r="1003" spans="20:21" ht="15" customHeight="1" x14ac:dyDescent="0.25">
      <c r="T1003" s="135"/>
      <c r="U1003" s="135"/>
    </row>
    <row r="1004" spans="20:21" ht="15" customHeight="1" x14ac:dyDescent="0.25">
      <c r="T1004" s="135"/>
      <c r="U1004" s="135"/>
    </row>
    <row r="1005" spans="20:21" ht="15" customHeight="1" x14ac:dyDescent="0.25">
      <c r="T1005" s="135"/>
      <c r="U1005" s="135"/>
    </row>
    <row r="1006" spans="20:21" ht="15" customHeight="1" x14ac:dyDescent="0.25">
      <c r="T1006" s="135"/>
      <c r="U1006" s="135"/>
    </row>
    <row r="1007" spans="20:21" ht="15" customHeight="1" x14ac:dyDescent="0.25">
      <c r="T1007" s="135"/>
      <c r="U1007" s="135"/>
    </row>
    <row r="1008" spans="20:21" ht="15" customHeight="1" x14ac:dyDescent="0.25">
      <c r="T1008" s="135"/>
      <c r="U1008" s="135"/>
    </row>
    <row r="1009" spans="20:21" ht="15" customHeight="1" x14ac:dyDescent="0.25">
      <c r="T1009" s="135"/>
      <c r="U1009" s="135"/>
    </row>
    <row r="1010" spans="20:21" ht="15" customHeight="1" x14ac:dyDescent="0.25">
      <c r="T1010" s="135"/>
      <c r="U1010" s="135"/>
    </row>
    <row r="1011" spans="20:21" ht="15" customHeight="1" x14ac:dyDescent="0.25">
      <c r="T1011" s="135"/>
      <c r="U1011" s="135"/>
    </row>
    <row r="1012" spans="20:21" ht="15" customHeight="1" x14ac:dyDescent="0.25">
      <c r="T1012" s="135"/>
      <c r="U1012" s="135"/>
    </row>
    <row r="1013" spans="20:21" ht="15" customHeight="1" x14ac:dyDescent="0.25">
      <c r="T1013" s="135"/>
      <c r="U1013" s="135"/>
    </row>
    <row r="1014" spans="20:21" ht="15" customHeight="1" x14ac:dyDescent="0.25">
      <c r="T1014" s="135"/>
      <c r="U1014" s="135"/>
    </row>
    <row r="1015" spans="20:21" ht="15" customHeight="1" x14ac:dyDescent="0.25">
      <c r="T1015" s="135"/>
      <c r="U1015" s="135"/>
    </row>
    <row r="1016" spans="20:21" ht="15" customHeight="1" x14ac:dyDescent="0.25">
      <c r="T1016" s="135"/>
      <c r="U1016" s="135"/>
    </row>
    <row r="1017" spans="20:21" ht="15" customHeight="1" x14ac:dyDescent="0.25">
      <c r="T1017" s="135"/>
      <c r="U1017" s="135"/>
    </row>
    <row r="1018" spans="20:21" ht="15" customHeight="1" x14ac:dyDescent="0.25">
      <c r="T1018" s="135"/>
      <c r="U1018" s="135"/>
    </row>
    <row r="1019" spans="20:21" ht="15" customHeight="1" x14ac:dyDescent="0.25">
      <c r="T1019" s="135"/>
      <c r="U1019" s="135"/>
    </row>
    <row r="1020" spans="20:21" ht="15" customHeight="1" x14ac:dyDescent="0.25">
      <c r="T1020" s="135"/>
      <c r="U1020" s="135"/>
    </row>
    <row r="1021" spans="20:21" ht="15" customHeight="1" x14ac:dyDescent="0.25">
      <c r="T1021" s="135"/>
      <c r="U1021" s="135"/>
    </row>
    <row r="1022" spans="20:21" ht="15" customHeight="1" x14ac:dyDescent="0.25">
      <c r="T1022" s="135"/>
      <c r="U1022" s="135"/>
    </row>
    <row r="1023" spans="20:21" ht="15" customHeight="1" x14ac:dyDescent="0.25">
      <c r="T1023" s="135"/>
      <c r="U1023" s="135"/>
    </row>
    <row r="1024" spans="20:21" ht="15" customHeight="1" x14ac:dyDescent="0.25">
      <c r="T1024" s="135"/>
      <c r="U1024" s="135"/>
    </row>
    <row r="1025" spans="20:21" ht="15" customHeight="1" x14ac:dyDescent="0.25">
      <c r="T1025" s="135"/>
      <c r="U1025" s="135"/>
    </row>
    <row r="1026" spans="20:21" ht="15" customHeight="1" x14ac:dyDescent="0.25">
      <c r="T1026" s="135"/>
      <c r="U1026" s="135"/>
    </row>
    <row r="1027" spans="20:21" ht="15" customHeight="1" x14ac:dyDescent="0.25">
      <c r="T1027" s="135"/>
      <c r="U1027" s="135"/>
    </row>
    <row r="1028" spans="20:21" ht="15" customHeight="1" x14ac:dyDescent="0.25">
      <c r="T1028" s="135"/>
      <c r="U1028" s="135"/>
    </row>
    <row r="1029" spans="20:21" ht="15" customHeight="1" x14ac:dyDescent="0.25">
      <c r="T1029" s="135"/>
      <c r="U1029" s="135"/>
    </row>
    <row r="1030" spans="20:21" ht="15" customHeight="1" x14ac:dyDescent="0.25">
      <c r="T1030" s="135"/>
      <c r="U1030" s="135"/>
    </row>
    <row r="1031" spans="20:21" ht="15" customHeight="1" x14ac:dyDescent="0.25">
      <c r="T1031" s="135"/>
      <c r="U1031" s="135"/>
    </row>
    <row r="1032" spans="20:21" ht="15" customHeight="1" x14ac:dyDescent="0.25">
      <c r="T1032" s="135"/>
      <c r="U1032" s="135"/>
    </row>
    <row r="1033" spans="20:21" ht="15" customHeight="1" x14ac:dyDescent="0.25">
      <c r="T1033" s="135"/>
      <c r="U1033" s="135"/>
    </row>
    <row r="1034" spans="20:21" ht="15" customHeight="1" x14ac:dyDescent="0.25">
      <c r="T1034" s="135"/>
      <c r="U1034" s="135"/>
    </row>
    <row r="1035" spans="20:21" ht="15" customHeight="1" x14ac:dyDescent="0.25">
      <c r="T1035" s="135"/>
      <c r="U1035" s="135"/>
    </row>
    <row r="1036" spans="20:21" ht="15" customHeight="1" x14ac:dyDescent="0.25">
      <c r="T1036" s="135"/>
      <c r="U1036" s="135"/>
    </row>
    <row r="1037" spans="20:21" ht="15" customHeight="1" x14ac:dyDescent="0.25">
      <c r="T1037" s="135"/>
      <c r="U1037" s="135"/>
    </row>
    <row r="1038" spans="20:21" ht="15" customHeight="1" x14ac:dyDescent="0.25">
      <c r="T1038" s="135"/>
      <c r="U1038" s="135"/>
    </row>
    <row r="1039" spans="20:21" ht="15" customHeight="1" x14ac:dyDescent="0.25">
      <c r="T1039" s="135"/>
      <c r="U1039" s="135"/>
    </row>
    <row r="1040" spans="20:21" ht="15" customHeight="1" x14ac:dyDescent="0.25">
      <c r="T1040" s="135"/>
      <c r="U1040" s="135"/>
    </row>
    <row r="1041" spans="20:21" ht="15" customHeight="1" x14ac:dyDescent="0.25">
      <c r="T1041" s="135"/>
      <c r="U1041" s="135"/>
    </row>
    <row r="1042" spans="20:21" ht="15" customHeight="1" x14ac:dyDescent="0.25">
      <c r="T1042" s="135"/>
      <c r="U1042" s="135"/>
    </row>
    <row r="1043" spans="20:21" ht="15" customHeight="1" x14ac:dyDescent="0.25">
      <c r="T1043" s="135"/>
      <c r="U1043" s="135"/>
    </row>
    <row r="1044" spans="20:21" ht="15" customHeight="1" x14ac:dyDescent="0.25">
      <c r="T1044" s="135"/>
      <c r="U1044" s="135"/>
    </row>
    <row r="1045" spans="20:21" ht="15" customHeight="1" x14ac:dyDescent="0.25">
      <c r="T1045" s="135"/>
      <c r="U1045" s="135"/>
    </row>
    <row r="1046" spans="20:21" ht="15" customHeight="1" x14ac:dyDescent="0.25">
      <c r="T1046" s="135"/>
      <c r="U1046" s="135"/>
    </row>
    <row r="1047" spans="20:21" ht="15" customHeight="1" x14ac:dyDescent="0.25">
      <c r="T1047" s="135"/>
      <c r="U1047" s="135"/>
    </row>
    <row r="1048" spans="20:21" ht="15" customHeight="1" x14ac:dyDescent="0.25">
      <c r="T1048" s="135"/>
      <c r="U1048" s="135"/>
    </row>
    <row r="1049" spans="20:21" ht="15" customHeight="1" x14ac:dyDescent="0.25">
      <c r="T1049" s="135"/>
      <c r="U1049" s="135"/>
    </row>
    <row r="1050" spans="20:21" ht="15" customHeight="1" x14ac:dyDescent="0.25">
      <c r="T1050" s="135"/>
      <c r="U1050" s="135"/>
    </row>
    <row r="1051" spans="20:21" ht="15" customHeight="1" x14ac:dyDescent="0.25">
      <c r="T1051" s="135"/>
      <c r="U1051" s="135"/>
    </row>
    <row r="1052" spans="20:21" ht="15" customHeight="1" x14ac:dyDescent="0.25">
      <c r="T1052" s="135"/>
      <c r="U1052" s="135"/>
    </row>
    <row r="1053" spans="20:21" ht="15" customHeight="1" x14ac:dyDescent="0.25">
      <c r="T1053" s="135"/>
      <c r="U1053" s="135"/>
    </row>
    <row r="1054" spans="20:21" ht="15" customHeight="1" x14ac:dyDescent="0.25">
      <c r="T1054" s="135"/>
      <c r="U1054" s="135"/>
    </row>
    <row r="1055" spans="20:21" ht="15" customHeight="1" x14ac:dyDescent="0.25">
      <c r="T1055" s="135"/>
      <c r="U1055" s="135"/>
    </row>
    <row r="1056" spans="20:21" ht="15" customHeight="1" x14ac:dyDescent="0.25">
      <c r="T1056" s="135"/>
      <c r="U1056" s="135"/>
    </row>
    <row r="1057" spans="20:21" ht="15" customHeight="1" x14ac:dyDescent="0.25">
      <c r="T1057" s="135"/>
      <c r="U1057" s="135"/>
    </row>
    <row r="1058" spans="20:21" ht="15" customHeight="1" x14ac:dyDescent="0.25">
      <c r="T1058" s="135"/>
      <c r="U1058" s="135"/>
    </row>
    <row r="1059" spans="20:21" ht="15" customHeight="1" x14ac:dyDescent="0.25">
      <c r="T1059" s="135"/>
      <c r="U1059" s="135"/>
    </row>
    <row r="1060" spans="20:21" ht="15" customHeight="1" x14ac:dyDescent="0.25">
      <c r="T1060" s="135"/>
      <c r="U1060" s="135"/>
    </row>
    <row r="1061" spans="20:21" ht="15" customHeight="1" x14ac:dyDescent="0.25">
      <c r="T1061" s="135"/>
      <c r="U1061" s="135"/>
    </row>
    <row r="1062" spans="20:21" ht="15" customHeight="1" x14ac:dyDescent="0.25">
      <c r="T1062" s="135"/>
      <c r="U1062" s="135"/>
    </row>
    <row r="1063" spans="20:21" ht="15" customHeight="1" x14ac:dyDescent="0.25">
      <c r="T1063" s="135"/>
      <c r="U1063" s="135"/>
    </row>
    <row r="1064" spans="20:21" ht="15" customHeight="1" x14ac:dyDescent="0.25">
      <c r="T1064" s="135"/>
      <c r="U1064" s="135"/>
    </row>
    <row r="1065" spans="20:21" ht="15" customHeight="1" x14ac:dyDescent="0.25">
      <c r="T1065" s="135"/>
      <c r="U1065" s="135"/>
    </row>
    <row r="1066" spans="20:21" ht="15" customHeight="1" x14ac:dyDescent="0.25">
      <c r="T1066" s="135"/>
      <c r="U1066" s="135"/>
    </row>
    <row r="1067" spans="20:21" ht="15" customHeight="1" x14ac:dyDescent="0.25">
      <c r="T1067" s="135"/>
      <c r="U1067" s="135"/>
    </row>
    <row r="1068" spans="20:21" ht="15" customHeight="1" x14ac:dyDescent="0.25">
      <c r="T1068" s="135"/>
      <c r="U1068" s="135"/>
    </row>
    <row r="1069" spans="20:21" ht="15" customHeight="1" x14ac:dyDescent="0.25">
      <c r="T1069" s="135"/>
      <c r="U1069" s="135"/>
    </row>
    <row r="1070" spans="20:21" ht="15" customHeight="1" x14ac:dyDescent="0.25">
      <c r="T1070" s="135"/>
      <c r="U1070" s="135"/>
    </row>
    <row r="1071" spans="20:21" ht="15" customHeight="1" x14ac:dyDescent="0.25">
      <c r="T1071" s="135"/>
      <c r="U1071" s="135"/>
    </row>
    <row r="1072" spans="20:21" ht="15" customHeight="1" x14ac:dyDescent="0.25">
      <c r="T1072" s="135"/>
      <c r="U1072" s="135"/>
    </row>
    <row r="1073" spans="20:21" ht="15" customHeight="1" x14ac:dyDescent="0.25">
      <c r="T1073" s="135"/>
      <c r="U1073" s="135"/>
    </row>
    <row r="1074" spans="20:21" ht="15" customHeight="1" x14ac:dyDescent="0.25">
      <c r="T1074" s="135"/>
      <c r="U1074" s="135"/>
    </row>
    <row r="1075" spans="20:21" ht="15" customHeight="1" x14ac:dyDescent="0.25">
      <c r="T1075" s="135"/>
      <c r="U1075" s="135"/>
    </row>
    <row r="1076" spans="20:21" ht="15" customHeight="1" x14ac:dyDescent="0.25">
      <c r="T1076" s="135"/>
      <c r="U1076" s="135"/>
    </row>
    <row r="1077" spans="20:21" ht="15" customHeight="1" x14ac:dyDescent="0.25">
      <c r="T1077" s="135"/>
      <c r="U1077" s="135"/>
    </row>
    <row r="1078" spans="20:21" ht="15" customHeight="1" x14ac:dyDescent="0.25">
      <c r="T1078" s="135"/>
      <c r="U1078" s="135"/>
    </row>
    <row r="1079" spans="20:21" ht="15" customHeight="1" x14ac:dyDescent="0.25">
      <c r="T1079" s="135"/>
      <c r="U1079" s="135"/>
    </row>
    <row r="1080" spans="20:21" ht="15" customHeight="1" x14ac:dyDescent="0.25">
      <c r="T1080" s="135"/>
      <c r="U1080" s="135"/>
    </row>
    <row r="1081" spans="20:21" ht="15" customHeight="1" x14ac:dyDescent="0.25">
      <c r="T1081" s="135"/>
      <c r="U1081" s="135"/>
    </row>
    <row r="1082" spans="20:21" ht="15" customHeight="1" x14ac:dyDescent="0.25">
      <c r="T1082" s="135"/>
      <c r="U1082" s="135"/>
    </row>
    <row r="1083" spans="20:21" ht="15" customHeight="1" x14ac:dyDescent="0.25">
      <c r="T1083" s="135"/>
      <c r="U1083" s="135"/>
    </row>
    <row r="1084" spans="20:21" ht="15" customHeight="1" x14ac:dyDescent="0.25">
      <c r="T1084" s="135"/>
      <c r="U1084" s="135"/>
    </row>
    <row r="1085" spans="20:21" ht="15" customHeight="1" x14ac:dyDescent="0.25">
      <c r="T1085" s="135"/>
      <c r="U1085" s="135"/>
    </row>
    <row r="1086" spans="20:21" ht="15" customHeight="1" x14ac:dyDescent="0.25">
      <c r="T1086" s="135"/>
      <c r="U1086" s="135"/>
    </row>
    <row r="1087" spans="20:21" ht="15" customHeight="1" x14ac:dyDescent="0.25">
      <c r="T1087" s="135"/>
      <c r="U1087" s="135"/>
    </row>
    <row r="1088" spans="20:21" ht="15" customHeight="1" x14ac:dyDescent="0.25">
      <c r="T1088" s="135"/>
      <c r="U1088" s="135"/>
    </row>
    <row r="1089" spans="20:21" ht="15" customHeight="1" x14ac:dyDescent="0.25">
      <c r="T1089" s="135"/>
      <c r="U1089" s="135"/>
    </row>
    <row r="1090" spans="20:21" ht="15" customHeight="1" x14ac:dyDescent="0.25">
      <c r="T1090" s="135"/>
      <c r="U1090" s="135"/>
    </row>
    <row r="1091" spans="20:21" ht="15" customHeight="1" x14ac:dyDescent="0.25">
      <c r="T1091" s="135"/>
      <c r="U1091" s="135"/>
    </row>
    <row r="1092" spans="20:21" ht="15" customHeight="1" x14ac:dyDescent="0.25">
      <c r="T1092" s="135"/>
      <c r="U1092" s="135"/>
    </row>
    <row r="1093" spans="20:21" ht="15" customHeight="1" x14ac:dyDescent="0.25">
      <c r="T1093" s="135"/>
      <c r="U1093" s="135"/>
    </row>
    <row r="1094" spans="20:21" ht="15" customHeight="1" x14ac:dyDescent="0.25">
      <c r="T1094" s="135"/>
      <c r="U1094" s="135"/>
    </row>
    <row r="1095" spans="20:21" ht="15" customHeight="1" x14ac:dyDescent="0.25">
      <c r="T1095" s="135"/>
      <c r="U1095" s="135"/>
    </row>
    <row r="1096" spans="20:21" ht="15" customHeight="1" x14ac:dyDescent="0.25">
      <c r="T1096" s="135"/>
      <c r="U1096" s="135"/>
    </row>
    <row r="1097" spans="20:21" ht="15" customHeight="1" x14ac:dyDescent="0.25">
      <c r="T1097" s="135"/>
      <c r="U1097" s="135"/>
    </row>
    <row r="1098" spans="20:21" ht="15" customHeight="1" x14ac:dyDescent="0.25">
      <c r="T1098" s="135"/>
      <c r="U1098" s="135"/>
    </row>
    <row r="1099" spans="20:21" ht="15" customHeight="1" x14ac:dyDescent="0.25">
      <c r="T1099" s="135"/>
      <c r="U1099" s="135"/>
    </row>
    <row r="1100" spans="20:21" ht="15" customHeight="1" x14ac:dyDescent="0.25">
      <c r="T1100" s="135"/>
      <c r="U1100" s="135"/>
    </row>
    <row r="1101" spans="20:21" ht="15" customHeight="1" x14ac:dyDescent="0.25">
      <c r="T1101" s="135"/>
      <c r="U1101" s="135"/>
    </row>
    <row r="1102" spans="20:21" ht="15" customHeight="1" x14ac:dyDescent="0.25">
      <c r="T1102" s="135"/>
      <c r="U1102" s="135"/>
    </row>
    <row r="1103" spans="20:21" ht="15" customHeight="1" x14ac:dyDescent="0.25">
      <c r="T1103" s="135"/>
      <c r="U1103" s="135"/>
    </row>
    <row r="1104" spans="20:21" ht="15" customHeight="1" x14ac:dyDescent="0.25">
      <c r="T1104" s="135"/>
      <c r="U1104" s="135"/>
    </row>
    <row r="1105" spans="20:21" ht="15" customHeight="1" x14ac:dyDescent="0.25">
      <c r="T1105" s="135"/>
      <c r="U1105" s="135"/>
    </row>
    <row r="1106" spans="20:21" ht="15" customHeight="1" x14ac:dyDescent="0.25">
      <c r="T1106" s="135"/>
      <c r="U1106" s="135"/>
    </row>
    <row r="1107" spans="20:21" ht="15" customHeight="1" x14ac:dyDescent="0.25">
      <c r="T1107" s="135"/>
      <c r="U1107" s="135"/>
    </row>
    <row r="1108" spans="20:21" ht="15" customHeight="1" x14ac:dyDescent="0.25">
      <c r="T1108" s="135"/>
      <c r="U1108" s="135"/>
    </row>
    <row r="1109" spans="20:21" ht="15" customHeight="1" x14ac:dyDescent="0.25">
      <c r="T1109" s="135"/>
      <c r="U1109" s="135"/>
    </row>
    <row r="1110" spans="20:21" ht="15" customHeight="1" x14ac:dyDescent="0.25">
      <c r="T1110" s="135"/>
      <c r="U1110" s="135"/>
    </row>
    <row r="1111" spans="20:21" ht="15" customHeight="1" x14ac:dyDescent="0.25">
      <c r="T1111" s="135"/>
      <c r="U1111" s="135"/>
    </row>
    <row r="1112" spans="20:21" ht="15" customHeight="1" x14ac:dyDescent="0.25">
      <c r="T1112" s="135"/>
      <c r="U1112" s="135"/>
    </row>
    <row r="1113" spans="20:21" ht="15" customHeight="1" x14ac:dyDescent="0.25">
      <c r="T1113" s="135"/>
      <c r="U1113" s="135"/>
    </row>
    <row r="1114" spans="20:21" ht="15" customHeight="1" x14ac:dyDescent="0.25">
      <c r="T1114" s="135"/>
      <c r="U1114" s="135"/>
    </row>
    <row r="1115" spans="20:21" ht="15" customHeight="1" x14ac:dyDescent="0.25">
      <c r="T1115" s="135"/>
      <c r="U1115" s="135"/>
    </row>
    <row r="1116" spans="20:21" ht="15" customHeight="1" x14ac:dyDescent="0.25">
      <c r="T1116" s="135"/>
      <c r="U1116" s="135"/>
    </row>
    <row r="1117" spans="20:21" ht="15" customHeight="1" x14ac:dyDescent="0.25">
      <c r="T1117" s="135"/>
      <c r="U1117" s="135"/>
    </row>
    <row r="1118" spans="20:21" ht="15" customHeight="1" x14ac:dyDescent="0.25">
      <c r="T1118" s="135"/>
      <c r="U1118" s="135"/>
    </row>
    <row r="1119" spans="20:21" ht="15" customHeight="1" x14ac:dyDescent="0.25">
      <c r="T1119" s="135"/>
      <c r="U1119" s="135"/>
    </row>
    <row r="1120" spans="20:21" ht="15" customHeight="1" x14ac:dyDescent="0.25">
      <c r="T1120" s="135"/>
      <c r="U1120" s="135"/>
    </row>
    <row r="1121" spans="20:21" ht="15" customHeight="1" x14ac:dyDescent="0.25">
      <c r="T1121" s="135"/>
      <c r="U1121" s="135"/>
    </row>
    <row r="1122" spans="20:21" ht="15" customHeight="1" x14ac:dyDescent="0.25">
      <c r="T1122" s="135"/>
      <c r="U1122" s="135"/>
    </row>
    <row r="1123" spans="20:21" ht="15" customHeight="1" x14ac:dyDescent="0.25">
      <c r="T1123" s="135"/>
      <c r="U1123" s="135"/>
    </row>
    <row r="1124" spans="20:21" ht="15" customHeight="1" x14ac:dyDescent="0.25">
      <c r="T1124" s="135"/>
      <c r="U1124" s="135"/>
    </row>
    <row r="1125" spans="20:21" ht="15" customHeight="1" x14ac:dyDescent="0.25">
      <c r="T1125" s="135"/>
      <c r="U1125" s="135"/>
    </row>
    <row r="1126" spans="20:21" ht="15" customHeight="1" x14ac:dyDescent="0.25">
      <c r="T1126" s="135"/>
      <c r="U1126" s="135"/>
    </row>
    <row r="1127" spans="20:21" ht="15" customHeight="1" x14ac:dyDescent="0.25">
      <c r="T1127" s="135"/>
      <c r="U1127" s="135"/>
    </row>
    <row r="1128" spans="20:21" ht="15" customHeight="1" x14ac:dyDescent="0.25">
      <c r="T1128" s="135"/>
      <c r="U1128" s="135"/>
    </row>
    <row r="1129" spans="20:21" ht="15" customHeight="1" x14ac:dyDescent="0.25">
      <c r="T1129" s="135"/>
      <c r="U1129" s="135"/>
    </row>
    <row r="1130" spans="20:21" ht="15" customHeight="1" x14ac:dyDescent="0.25">
      <c r="T1130" s="135"/>
      <c r="U1130" s="135"/>
    </row>
    <row r="1131" spans="20:21" ht="15" customHeight="1" x14ac:dyDescent="0.25">
      <c r="T1131" s="135"/>
      <c r="U1131" s="135"/>
    </row>
    <row r="1132" spans="20:21" ht="15" customHeight="1" x14ac:dyDescent="0.25">
      <c r="T1132" s="135"/>
      <c r="U1132" s="135"/>
    </row>
    <row r="1133" spans="20:21" ht="15" customHeight="1" x14ac:dyDescent="0.25">
      <c r="T1133" s="135"/>
      <c r="U1133" s="135"/>
    </row>
    <row r="1134" spans="20:21" ht="15" customHeight="1" x14ac:dyDescent="0.25">
      <c r="T1134" s="135"/>
      <c r="U1134" s="135"/>
    </row>
    <row r="1135" spans="20:21" ht="15" customHeight="1" x14ac:dyDescent="0.25">
      <c r="T1135" s="135"/>
      <c r="U1135" s="135"/>
    </row>
    <row r="1136" spans="20:21" ht="15" customHeight="1" x14ac:dyDescent="0.25">
      <c r="T1136" s="135"/>
      <c r="U1136" s="135"/>
    </row>
    <row r="1137" spans="20:21" ht="15" customHeight="1" x14ac:dyDescent="0.25">
      <c r="T1137" s="135"/>
      <c r="U1137" s="135"/>
    </row>
    <row r="1138" spans="20:21" ht="15" customHeight="1" x14ac:dyDescent="0.25">
      <c r="T1138" s="135"/>
      <c r="U1138" s="135"/>
    </row>
    <row r="1139" spans="20:21" ht="15" customHeight="1" x14ac:dyDescent="0.25">
      <c r="T1139" s="135"/>
      <c r="U1139" s="135"/>
    </row>
    <row r="1140" spans="20:21" ht="15" customHeight="1" x14ac:dyDescent="0.25">
      <c r="T1140" s="135"/>
      <c r="U1140" s="135"/>
    </row>
    <row r="1141" spans="20:21" ht="15" customHeight="1" x14ac:dyDescent="0.25">
      <c r="T1141" s="135"/>
      <c r="U1141" s="135"/>
    </row>
    <row r="1142" spans="20:21" ht="15" customHeight="1" x14ac:dyDescent="0.25">
      <c r="T1142" s="135"/>
      <c r="U1142" s="135"/>
    </row>
    <row r="1143" spans="20:21" ht="15" customHeight="1" x14ac:dyDescent="0.25">
      <c r="T1143" s="135"/>
      <c r="U1143" s="135"/>
    </row>
    <row r="1144" spans="20:21" ht="15" customHeight="1" x14ac:dyDescent="0.25">
      <c r="T1144" s="135"/>
      <c r="U1144" s="135"/>
    </row>
    <row r="1145" spans="20:21" ht="15" customHeight="1" x14ac:dyDescent="0.25">
      <c r="T1145" s="135"/>
      <c r="U1145" s="135"/>
    </row>
    <row r="1146" spans="20:21" ht="15" customHeight="1" x14ac:dyDescent="0.25">
      <c r="T1146" s="135"/>
      <c r="U1146" s="135"/>
    </row>
    <row r="1147" spans="20:21" ht="15" customHeight="1" x14ac:dyDescent="0.25">
      <c r="T1147" s="135"/>
      <c r="U1147" s="135"/>
    </row>
    <row r="1148" spans="20:21" ht="15" customHeight="1" x14ac:dyDescent="0.25">
      <c r="T1148" s="135"/>
      <c r="U1148" s="135"/>
    </row>
    <row r="1149" spans="20:21" ht="15" customHeight="1" x14ac:dyDescent="0.25">
      <c r="T1149" s="135"/>
      <c r="U1149" s="135"/>
    </row>
    <row r="1150" spans="20:21" ht="15" customHeight="1" x14ac:dyDescent="0.25">
      <c r="T1150" s="135"/>
      <c r="U1150" s="135"/>
    </row>
    <row r="1151" spans="20:21" ht="15" customHeight="1" x14ac:dyDescent="0.25">
      <c r="T1151" s="135"/>
      <c r="U1151" s="135"/>
    </row>
    <row r="1152" spans="20:21" ht="15" customHeight="1" x14ac:dyDescent="0.25">
      <c r="T1152" s="135"/>
      <c r="U1152" s="135"/>
    </row>
    <row r="1153" spans="20:21" ht="15" customHeight="1" x14ac:dyDescent="0.25">
      <c r="T1153" s="135"/>
      <c r="U1153" s="135"/>
    </row>
    <row r="1154" spans="20:21" ht="15" customHeight="1" x14ac:dyDescent="0.25">
      <c r="T1154" s="135"/>
      <c r="U1154" s="135"/>
    </row>
    <row r="1155" spans="20:21" ht="15" customHeight="1" x14ac:dyDescent="0.25">
      <c r="T1155" s="135"/>
      <c r="U1155" s="135"/>
    </row>
    <row r="1156" spans="20:21" ht="15" customHeight="1" x14ac:dyDescent="0.25">
      <c r="T1156" s="135"/>
      <c r="U1156" s="135"/>
    </row>
    <row r="1157" spans="20:21" ht="15" customHeight="1" x14ac:dyDescent="0.25">
      <c r="T1157" s="135"/>
      <c r="U1157" s="135"/>
    </row>
    <row r="1158" spans="20:21" ht="15" customHeight="1" x14ac:dyDescent="0.25">
      <c r="T1158" s="135"/>
      <c r="U1158" s="135"/>
    </row>
    <row r="1159" spans="20:21" ht="15" customHeight="1" x14ac:dyDescent="0.25">
      <c r="T1159" s="135"/>
      <c r="U1159" s="135"/>
    </row>
    <row r="1160" spans="20:21" ht="15" customHeight="1" x14ac:dyDescent="0.25">
      <c r="T1160" s="135"/>
      <c r="U1160" s="135"/>
    </row>
    <row r="1161" spans="20:21" ht="15" customHeight="1" x14ac:dyDescent="0.25">
      <c r="T1161" s="135"/>
      <c r="U1161" s="135"/>
    </row>
    <row r="1162" spans="20:21" ht="15" customHeight="1" x14ac:dyDescent="0.25">
      <c r="T1162" s="135"/>
      <c r="U1162" s="135"/>
    </row>
    <row r="1163" spans="20:21" ht="15" customHeight="1" x14ac:dyDescent="0.25">
      <c r="T1163" s="135"/>
      <c r="U1163" s="135"/>
    </row>
    <row r="1164" spans="20:21" ht="15" customHeight="1" x14ac:dyDescent="0.25">
      <c r="T1164" s="135"/>
      <c r="U1164" s="135"/>
    </row>
    <row r="1165" spans="20:21" ht="15" customHeight="1" x14ac:dyDescent="0.25">
      <c r="T1165" s="135"/>
      <c r="U1165" s="135"/>
    </row>
    <row r="1166" spans="20:21" ht="15" customHeight="1" x14ac:dyDescent="0.25">
      <c r="T1166" s="135"/>
      <c r="U1166" s="135"/>
    </row>
    <row r="1167" spans="20:21" ht="15" customHeight="1" x14ac:dyDescent="0.25">
      <c r="T1167" s="135"/>
      <c r="U1167" s="135"/>
    </row>
    <row r="1168" spans="20:21" ht="15" customHeight="1" x14ac:dyDescent="0.25">
      <c r="T1168" s="135"/>
      <c r="U1168" s="135"/>
    </row>
    <row r="1169" spans="20:21" ht="15" customHeight="1" x14ac:dyDescent="0.25">
      <c r="T1169" s="135"/>
      <c r="U1169" s="135"/>
    </row>
    <row r="1170" spans="20:21" ht="15" customHeight="1" x14ac:dyDescent="0.25">
      <c r="T1170" s="135"/>
      <c r="U1170" s="135"/>
    </row>
    <row r="1171" spans="20:21" ht="15" customHeight="1" x14ac:dyDescent="0.25">
      <c r="T1171" s="135"/>
      <c r="U1171" s="135"/>
    </row>
    <row r="1172" spans="20:21" ht="15" customHeight="1" x14ac:dyDescent="0.25">
      <c r="T1172" s="135"/>
      <c r="U1172" s="135"/>
    </row>
    <row r="1173" spans="20:21" ht="15" customHeight="1" x14ac:dyDescent="0.25">
      <c r="T1173" s="135"/>
      <c r="U1173" s="135"/>
    </row>
    <row r="1174" spans="20:21" ht="15" customHeight="1" x14ac:dyDescent="0.25">
      <c r="T1174" s="135"/>
      <c r="U1174" s="135"/>
    </row>
    <row r="1175" spans="20:21" ht="15" customHeight="1" x14ac:dyDescent="0.25">
      <c r="T1175" s="135"/>
      <c r="U1175" s="135"/>
    </row>
    <row r="1176" spans="20:21" ht="15" customHeight="1" x14ac:dyDescent="0.25">
      <c r="T1176" s="135"/>
      <c r="U1176" s="135"/>
    </row>
    <row r="1177" spans="20:21" ht="15" customHeight="1" x14ac:dyDescent="0.25">
      <c r="T1177" s="135"/>
      <c r="U1177" s="135"/>
    </row>
    <row r="1178" spans="20:21" ht="15" customHeight="1" x14ac:dyDescent="0.25">
      <c r="T1178" s="135"/>
      <c r="U1178" s="135"/>
    </row>
    <row r="1179" spans="20:21" ht="15" customHeight="1" x14ac:dyDescent="0.25">
      <c r="T1179" s="135"/>
      <c r="U1179" s="135"/>
    </row>
    <row r="1180" spans="20:21" ht="15" customHeight="1" x14ac:dyDescent="0.25">
      <c r="T1180" s="135"/>
      <c r="U1180" s="135"/>
    </row>
    <row r="1181" spans="20:21" ht="15" customHeight="1" x14ac:dyDescent="0.25">
      <c r="T1181" s="135"/>
      <c r="U1181" s="135"/>
    </row>
    <row r="1182" spans="20:21" ht="15" customHeight="1" x14ac:dyDescent="0.25">
      <c r="T1182" s="135"/>
      <c r="U1182" s="135"/>
    </row>
    <row r="1183" spans="20:21" ht="15" customHeight="1" x14ac:dyDescent="0.25">
      <c r="T1183" s="135"/>
      <c r="U1183" s="135"/>
    </row>
    <row r="1184" spans="20:21" ht="15" customHeight="1" x14ac:dyDescent="0.25">
      <c r="T1184" s="135"/>
      <c r="U1184" s="135"/>
    </row>
    <row r="1185" spans="20:21" ht="15" customHeight="1" x14ac:dyDescent="0.25">
      <c r="T1185" s="135"/>
      <c r="U1185" s="135"/>
    </row>
    <row r="1186" spans="20:21" ht="15" customHeight="1" x14ac:dyDescent="0.25">
      <c r="T1186" s="135"/>
      <c r="U1186" s="135"/>
    </row>
    <row r="1187" spans="20:21" ht="15" customHeight="1" x14ac:dyDescent="0.25">
      <c r="T1187" s="135"/>
      <c r="U1187" s="135"/>
    </row>
    <row r="1188" spans="20:21" ht="15" customHeight="1" x14ac:dyDescent="0.25">
      <c r="T1188" s="135"/>
      <c r="U1188" s="135"/>
    </row>
    <row r="1189" spans="20:21" ht="15" customHeight="1" x14ac:dyDescent="0.25">
      <c r="T1189" s="135"/>
      <c r="U1189" s="135"/>
    </row>
    <row r="1190" spans="20:21" ht="15" customHeight="1" x14ac:dyDescent="0.25">
      <c r="T1190" s="135"/>
      <c r="U1190" s="135"/>
    </row>
    <row r="1191" spans="20:21" ht="15" customHeight="1" x14ac:dyDescent="0.25">
      <c r="T1191" s="135"/>
      <c r="U1191" s="135"/>
    </row>
    <row r="1192" spans="20:21" ht="15" customHeight="1" x14ac:dyDescent="0.25">
      <c r="T1192" s="135"/>
      <c r="U1192" s="135"/>
    </row>
    <row r="1193" spans="20:21" ht="15" customHeight="1" x14ac:dyDescent="0.25">
      <c r="T1193" s="135"/>
      <c r="U1193" s="135"/>
    </row>
    <row r="1194" spans="20:21" ht="15" customHeight="1" x14ac:dyDescent="0.25">
      <c r="T1194" s="135"/>
      <c r="U1194" s="135"/>
    </row>
    <row r="1195" spans="20:21" ht="15" customHeight="1" x14ac:dyDescent="0.25">
      <c r="T1195" s="135"/>
      <c r="U1195" s="135"/>
    </row>
    <row r="1196" spans="20:21" ht="15" customHeight="1" x14ac:dyDescent="0.25">
      <c r="T1196" s="135"/>
      <c r="U1196" s="135"/>
    </row>
    <row r="1197" spans="20:21" ht="15" customHeight="1" x14ac:dyDescent="0.25">
      <c r="T1197" s="135"/>
      <c r="U1197" s="135"/>
    </row>
    <row r="1198" spans="20:21" ht="15" customHeight="1" x14ac:dyDescent="0.25">
      <c r="T1198" s="135"/>
      <c r="U1198" s="135"/>
    </row>
    <row r="1199" spans="20:21" ht="15" customHeight="1" x14ac:dyDescent="0.25">
      <c r="T1199" s="135"/>
      <c r="U1199" s="135"/>
    </row>
    <row r="1200" spans="20:21" ht="15" customHeight="1" x14ac:dyDescent="0.25">
      <c r="T1200" s="135"/>
      <c r="U1200" s="135"/>
    </row>
    <row r="1201" spans="20:21" ht="15" customHeight="1" x14ac:dyDescent="0.25">
      <c r="T1201" s="135"/>
      <c r="U1201" s="135"/>
    </row>
    <row r="1202" spans="20:21" ht="15" customHeight="1" x14ac:dyDescent="0.25">
      <c r="T1202" s="135"/>
      <c r="U1202" s="135"/>
    </row>
    <row r="1203" spans="20:21" ht="15" customHeight="1" x14ac:dyDescent="0.25">
      <c r="T1203" s="135"/>
      <c r="U1203" s="135"/>
    </row>
    <row r="1204" spans="20:21" ht="15" customHeight="1" x14ac:dyDescent="0.25">
      <c r="T1204" s="135"/>
      <c r="U1204" s="135"/>
    </row>
    <row r="1205" spans="20:21" ht="15" customHeight="1" x14ac:dyDescent="0.25">
      <c r="T1205" s="135"/>
      <c r="U1205" s="135"/>
    </row>
    <row r="1206" spans="20:21" ht="15" customHeight="1" x14ac:dyDescent="0.25">
      <c r="T1206" s="135"/>
      <c r="U1206" s="135"/>
    </row>
    <row r="1207" spans="20:21" ht="15" customHeight="1" x14ac:dyDescent="0.25">
      <c r="T1207" s="135"/>
      <c r="U1207" s="135"/>
    </row>
    <row r="1208" spans="20:21" ht="15" customHeight="1" x14ac:dyDescent="0.25">
      <c r="T1208" s="135"/>
      <c r="U1208" s="135"/>
    </row>
    <row r="1209" spans="20:21" ht="15" customHeight="1" x14ac:dyDescent="0.25">
      <c r="T1209" s="135"/>
      <c r="U1209" s="135"/>
    </row>
    <row r="1210" spans="20:21" ht="15" customHeight="1" x14ac:dyDescent="0.25">
      <c r="T1210" s="135"/>
      <c r="U1210" s="135"/>
    </row>
    <row r="1211" spans="20:21" ht="15" customHeight="1" x14ac:dyDescent="0.25">
      <c r="T1211" s="135"/>
      <c r="U1211" s="135"/>
    </row>
    <row r="1212" spans="20:21" ht="15" customHeight="1" x14ac:dyDescent="0.25">
      <c r="T1212" s="135"/>
      <c r="U1212" s="135"/>
    </row>
    <row r="1213" spans="20:21" ht="15" customHeight="1" x14ac:dyDescent="0.25">
      <c r="T1213" s="135"/>
      <c r="U1213" s="135"/>
    </row>
    <row r="1214" spans="20:21" ht="15" customHeight="1" x14ac:dyDescent="0.25">
      <c r="T1214" s="135"/>
      <c r="U1214" s="135"/>
    </row>
    <row r="1215" spans="20:21" ht="15" customHeight="1" x14ac:dyDescent="0.25">
      <c r="T1215" s="135"/>
      <c r="U1215" s="135"/>
    </row>
    <row r="1216" spans="20:21" ht="15" customHeight="1" x14ac:dyDescent="0.25">
      <c r="T1216" s="135"/>
      <c r="U1216" s="135"/>
    </row>
    <row r="1217" spans="20:21" ht="15" customHeight="1" x14ac:dyDescent="0.25">
      <c r="T1217" s="135"/>
      <c r="U1217" s="135"/>
    </row>
    <row r="1218" spans="20:21" ht="15" customHeight="1" x14ac:dyDescent="0.25">
      <c r="T1218" s="135"/>
      <c r="U1218" s="135"/>
    </row>
    <row r="1219" spans="20:21" ht="15" customHeight="1" x14ac:dyDescent="0.25">
      <c r="T1219" s="135"/>
      <c r="U1219" s="135"/>
    </row>
    <row r="1220" spans="20:21" ht="15" customHeight="1" x14ac:dyDescent="0.25">
      <c r="T1220" s="135"/>
      <c r="U1220" s="135"/>
    </row>
    <row r="1221" spans="20:21" ht="15" customHeight="1" x14ac:dyDescent="0.25">
      <c r="T1221" s="135"/>
      <c r="U1221" s="135"/>
    </row>
    <row r="1222" spans="20:21" ht="15" customHeight="1" x14ac:dyDescent="0.25">
      <c r="T1222" s="135"/>
      <c r="U1222" s="135"/>
    </row>
    <row r="1223" spans="20:21" ht="15" customHeight="1" x14ac:dyDescent="0.25">
      <c r="T1223" s="135"/>
      <c r="U1223" s="135"/>
    </row>
    <row r="1224" spans="20:21" ht="15" customHeight="1" x14ac:dyDescent="0.25">
      <c r="T1224" s="135"/>
      <c r="U1224" s="135"/>
    </row>
    <row r="1225" spans="20:21" ht="15" customHeight="1" x14ac:dyDescent="0.25">
      <c r="T1225" s="135"/>
      <c r="U1225" s="135"/>
    </row>
    <row r="1226" spans="20:21" ht="15" customHeight="1" x14ac:dyDescent="0.25">
      <c r="T1226" s="135"/>
      <c r="U1226" s="135"/>
    </row>
    <row r="1227" spans="20:21" ht="15" customHeight="1" x14ac:dyDescent="0.25">
      <c r="T1227" s="135"/>
      <c r="U1227" s="135"/>
    </row>
    <row r="1228" spans="20:21" ht="15" customHeight="1" x14ac:dyDescent="0.25">
      <c r="T1228" s="135"/>
      <c r="U1228" s="135"/>
    </row>
    <row r="1229" spans="20:21" ht="15" customHeight="1" x14ac:dyDescent="0.25">
      <c r="T1229" s="135"/>
      <c r="U1229" s="135"/>
    </row>
    <row r="1230" spans="20:21" ht="15" customHeight="1" x14ac:dyDescent="0.25">
      <c r="T1230" s="135"/>
      <c r="U1230" s="135"/>
    </row>
    <row r="1231" spans="20:21" ht="15" customHeight="1" x14ac:dyDescent="0.25">
      <c r="T1231" s="135"/>
      <c r="U1231" s="135"/>
    </row>
    <row r="1232" spans="20:21" ht="15" customHeight="1" x14ac:dyDescent="0.25">
      <c r="T1232" s="135"/>
      <c r="U1232" s="135"/>
    </row>
    <row r="1233" spans="20:21" ht="15" customHeight="1" x14ac:dyDescent="0.25">
      <c r="T1233" s="135"/>
      <c r="U1233" s="135"/>
    </row>
    <row r="1234" spans="20:21" ht="15" customHeight="1" x14ac:dyDescent="0.25">
      <c r="T1234" s="135"/>
      <c r="U1234" s="135"/>
    </row>
    <row r="1235" spans="20:21" ht="15" customHeight="1" x14ac:dyDescent="0.25">
      <c r="T1235" s="135"/>
      <c r="U1235" s="135"/>
    </row>
    <row r="1236" spans="20:21" ht="15" customHeight="1" x14ac:dyDescent="0.25">
      <c r="T1236" s="135"/>
      <c r="U1236" s="135"/>
    </row>
    <row r="1237" spans="20:21" ht="15" customHeight="1" x14ac:dyDescent="0.25">
      <c r="T1237" s="135"/>
      <c r="U1237" s="135"/>
    </row>
    <row r="1238" spans="20:21" ht="15" customHeight="1" x14ac:dyDescent="0.25">
      <c r="T1238" s="135"/>
      <c r="U1238" s="135"/>
    </row>
    <row r="1239" spans="20:21" ht="15" customHeight="1" x14ac:dyDescent="0.25">
      <c r="T1239" s="135"/>
      <c r="U1239" s="135"/>
    </row>
    <row r="1240" spans="20:21" ht="15" customHeight="1" x14ac:dyDescent="0.25">
      <c r="T1240" s="135"/>
      <c r="U1240" s="135"/>
    </row>
    <row r="1241" spans="20:21" ht="15" customHeight="1" x14ac:dyDescent="0.25">
      <c r="T1241" s="135"/>
      <c r="U1241" s="135"/>
    </row>
    <row r="1242" spans="20:21" ht="15" customHeight="1" x14ac:dyDescent="0.25">
      <c r="T1242" s="135"/>
      <c r="U1242" s="135"/>
    </row>
    <row r="1243" spans="20:21" ht="15" customHeight="1" x14ac:dyDescent="0.25">
      <c r="T1243" s="135"/>
      <c r="U1243" s="135"/>
    </row>
    <row r="1244" spans="20:21" ht="15" customHeight="1" x14ac:dyDescent="0.25">
      <c r="T1244" s="135"/>
      <c r="U1244" s="135"/>
    </row>
    <row r="1245" spans="20:21" ht="15" customHeight="1" x14ac:dyDescent="0.25">
      <c r="T1245" s="135"/>
      <c r="U1245" s="135"/>
    </row>
    <row r="1246" spans="20:21" ht="15" customHeight="1" x14ac:dyDescent="0.25">
      <c r="T1246" s="135"/>
      <c r="U1246" s="135"/>
    </row>
    <row r="1247" spans="20:21" ht="15" customHeight="1" x14ac:dyDescent="0.25">
      <c r="T1247" s="135"/>
      <c r="U1247" s="135"/>
    </row>
    <row r="1248" spans="20:21" ht="15" customHeight="1" x14ac:dyDescent="0.25">
      <c r="T1248" s="135"/>
      <c r="U1248" s="135"/>
    </row>
    <row r="1249" spans="20:21" ht="15" customHeight="1" x14ac:dyDescent="0.25">
      <c r="T1249" s="135"/>
      <c r="U1249" s="135"/>
    </row>
    <row r="1250" spans="20:21" ht="15" customHeight="1" x14ac:dyDescent="0.25">
      <c r="T1250" s="135"/>
      <c r="U1250" s="135"/>
    </row>
    <row r="1251" spans="20:21" ht="15" customHeight="1" x14ac:dyDescent="0.25">
      <c r="T1251" s="135"/>
      <c r="U1251" s="135"/>
    </row>
    <row r="1252" spans="20:21" ht="15" customHeight="1" x14ac:dyDescent="0.25">
      <c r="T1252" s="135"/>
      <c r="U1252" s="135"/>
    </row>
    <row r="1253" spans="20:21" ht="15" customHeight="1" x14ac:dyDescent="0.25">
      <c r="T1253" s="135"/>
      <c r="U1253" s="135"/>
    </row>
    <row r="1254" spans="20:21" ht="15" customHeight="1" x14ac:dyDescent="0.25">
      <c r="T1254" s="135"/>
      <c r="U1254" s="135"/>
    </row>
    <row r="1255" spans="20:21" ht="15" customHeight="1" x14ac:dyDescent="0.25">
      <c r="T1255" s="135"/>
      <c r="U1255" s="135"/>
    </row>
    <row r="1256" spans="20:21" ht="15" customHeight="1" x14ac:dyDescent="0.25">
      <c r="T1256" s="135"/>
      <c r="U1256" s="135"/>
    </row>
    <row r="1257" spans="20:21" ht="15" customHeight="1" x14ac:dyDescent="0.25">
      <c r="T1257" s="135"/>
      <c r="U1257" s="135"/>
    </row>
    <row r="1258" spans="20:21" ht="15" customHeight="1" x14ac:dyDescent="0.25">
      <c r="T1258" s="135"/>
      <c r="U1258" s="135"/>
    </row>
    <row r="1259" spans="20:21" ht="15" customHeight="1" x14ac:dyDescent="0.25">
      <c r="T1259" s="135"/>
      <c r="U1259" s="135"/>
    </row>
    <row r="1260" spans="20:21" ht="15" customHeight="1" x14ac:dyDescent="0.25">
      <c r="T1260" s="135"/>
      <c r="U1260" s="135"/>
    </row>
    <row r="1261" spans="20:21" ht="15" customHeight="1" x14ac:dyDescent="0.25">
      <c r="T1261" s="135"/>
      <c r="U1261" s="135"/>
    </row>
    <row r="1262" spans="20:21" ht="15" customHeight="1" x14ac:dyDescent="0.25">
      <c r="T1262" s="135"/>
      <c r="U1262" s="135"/>
    </row>
    <row r="1263" spans="20:21" ht="15" customHeight="1" x14ac:dyDescent="0.25">
      <c r="T1263" s="135"/>
      <c r="U1263" s="135"/>
    </row>
    <row r="1264" spans="20:21" ht="15" customHeight="1" x14ac:dyDescent="0.25">
      <c r="T1264" s="135"/>
      <c r="U1264" s="135"/>
    </row>
    <row r="1265" spans="20:21" ht="15" customHeight="1" x14ac:dyDescent="0.25">
      <c r="T1265" s="135"/>
      <c r="U1265" s="135"/>
    </row>
    <row r="1266" spans="20:21" ht="15" customHeight="1" x14ac:dyDescent="0.25">
      <c r="T1266" s="135"/>
      <c r="U1266" s="135"/>
    </row>
    <row r="1267" spans="20:21" ht="15" customHeight="1" x14ac:dyDescent="0.25">
      <c r="T1267" s="135"/>
      <c r="U1267" s="135"/>
    </row>
    <row r="1268" spans="20:21" ht="15" customHeight="1" x14ac:dyDescent="0.25">
      <c r="T1268" s="135"/>
      <c r="U1268" s="135"/>
    </row>
    <row r="1269" spans="20:21" ht="15" customHeight="1" x14ac:dyDescent="0.25">
      <c r="T1269" s="135"/>
      <c r="U1269" s="135"/>
    </row>
    <row r="1270" spans="20:21" ht="15" customHeight="1" x14ac:dyDescent="0.25">
      <c r="T1270" s="135"/>
      <c r="U1270" s="135"/>
    </row>
    <row r="1271" spans="20:21" ht="15" customHeight="1" x14ac:dyDescent="0.25">
      <c r="T1271" s="135"/>
      <c r="U1271" s="135"/>
    </row>
    <row r="1272" spans="20:21" ht="15" customHeight="1" x14ac:dyDescent="0.25">
      <c r="T1272" s="135"/>
      <c r="U1272" s="135"/>
    </row>
    <row r="1273" spans="20:21" ht="15" customHeight="1" x14ac:dyDescent="0.25">
      <c r="T1273" s="135"/>
      <c r="U1273" s="135"/>
    </row>
    <row r="1274" spans="20:21" ht="15" customHeight="1" x14ac:dyDescent="0.25">
      <c r="T1274" s="135"/>
      <c r="U1274" s="135"/>
    </row>
    <row r="1275" spans="20:21" ht="15" customHeight="1" x14ac:dyDescent="0.25">
      <c r="T1275" s="135"/>
      <c r="U1275" s="135"/>
    </row>
    <row r="1276" spans="20:21" ht="15" customHeight="1" x14ac:dyDescent="0.25">
      <c r="T1276" s="135"/>
      <c r="U1276" s="135"/>
    </row>
    <row r="1277" spans="20:21" ht="15" customHeight="1" x14ac:dyDescent="0.25">
      <c r="T1277" s="135"/>
      <c r="U1277" s="135"/>
    </row>
    <row r="1278" spans="20:21" ht="15" customHeight="1" x14ac:dyDescent="0.25">
      <c r="T1278" s="135"/>
      <c r="U1278" s="135"/>
    </row>
    <row r="1279" spans="20:21" ht="15" customHeight="1" x14ac:dyDescent="0.25">
      <c r="T1279" s="135"/>
      <c r="U1279" s="135"/>
    </row>
    <row r="1280" spans="20:21" ht="15" customHeight="1" x14ac:dyDescent="0.25">
      <c r="T1280" s="135"/>
      <c r="U1280" s="135"/>
    </row>
    <row r="1281" spans="20:21" ht="15" customHeight="1" x14ac:dyDescent="0.25">
      <c r="T1281" s="135"/>
      <c r="U1281" s="135"/>
    </row>
    <row r="1282" spans="20:21" ht="15" customHeight="1" x14ac:dyDescent="0.25">
      <c r="T1282" s="135"/>
      <c r="U1282" s="135"/>
    </row>
    <row r="1283" spans="20:21" ht="15" customHeight="1" x14ac:dyDescent="0.25">
      <c r="T1283" s="135"/>
      <c r="U1283" s="135"/>
    </row>
    <row r="1284" spans="20:21" ht="15" customHeight="1" x14ac:dyDescent="0.25">
      <c r="T1284" s="135"/>
      <c r="U1284" s="135"/>
    </row>
    <row r="1285" spans="20:21" ht="15" customHeight="1" x14ac:dyDescent="0.25">
      <c r="T1285" s="135"/>
      <c r="U1285" s="135"/>
    </row>
    <row r="1286" spans="20:21" ht="15" customHeight="1" x14ac:dyDescent="0.25">
      <c r="T1286" s="135"/>
      <c r="U1286" s="135"/>
    </row>
    <row r="1287" spans="20:21" ht="15" customHeight="1" x14ac:dyDescent="0.25">
      <c r="T1287" s="135"/>
      <c r="U1287" s="135"/>
    </row>
    <row r="1288" spans="20:21" ht="15" customHeight="1" x14ac:dyDescent="0.25">
      <c r="T1288" s="135"/>
      <c r="U1288" s="135"/>
    </row>
    <row r="1289" spans="20:21" ht="15" customHeight="1" x14ac:dyDescent="0.25">
      <c r="T1289" s="135"/>
      <c r="U1289" s="135"/>
    </row>
    <row r="1290" spans="20:21" ht="15" customHeight="1" x14ac:dyDescent="0.25">
      <c r="T1290" s="135"/>
      <c r="U1290" s="135"/>
    </row>
    <row r="1291" spans="20:21" ht="15" customHeight="1" x14ac:dyDescent="0.25">
      <c r="T1291" s="135"/>
      <c r="U1291" s="135"/>
    </row>
    <row r="1292" spans="20:21" ht="15" customHeight="1" x14ac:dyDescent="0.25">
      <c r="T1292" s="135"/>
      <c r="U1292" s="135"/>
    </row>
    <row r="1293" spans="20:21" ht="15" customHeight="1" x14ac:dyDescent="0.25">
      <c r="T1293" s="135"/>
      <c r="U1293" s="135"/>
    </row>
    <row r="1294" spans="20:21" ht="15" customHeight="1" x14ac:dyDescent="0.25">
      <c r="T1294" s="135"/>
      <c r="U1294" s="135"/>
    </row>
    <row r="1295" spans="20:21" ht="15" customHeight="1" x14ac:dyDescent="0.25">
      <c r="T1295" s="135"/>
      <c r="U1295" s="135"/>
    </row>
    <row r="1296" spans="20:21" ht="15" customHeight="1" x14ac:dyDescent="0.25">
      <c r="T1296" s="135"/>
      <c r="U1296" s="135"/>
    </row>
    <row r="1297" spans="20:21" ht="15" customHeight="1" x14ac:dyDescent="0.25">
      <c r="T1297" s="135"/>
      <c r="U1297" s="135"/>
    </row>
    <row r="1298" spans="20:21" ht="15" customHeight="1" x14ac:dyDescent="0.25">
      <c r="T1298" s="135"/>
      <c r="U1298" s="135"/>
    </row>
    <row r="1299" spans="20:21" ht="15" customHeight="1" x14ac:dyDescent="0.25">
      <c r="T1299" s="135"/>
      <c r="U1299" s="135"/>
    </row>
    <row r="1300" spans="20:21" ht="15" customHeight="1" x14ac:dyDescent="0.25">
      <c r="T1300" s="135"/>
      <c r="U1300" s="135"/>
    </row>
    <row r="1301" spans="20:21" ht="15" customHeight="1" x14ac:dyDescent="0.25">
      <c r="T1301" s="135"/>
      <c r="U1301" s="135"/>
    </row>
    <row r="1302" spans="20:21" ht="15" customHeight="1" x14ac:dyDescent="0.25">
      <c r="T1302" s="135"/>
      <c r="U1302" s="135"/>
    </row>
    <row r="1303" spans="20:21" ht="15" customHeight="1" x14ac:dyDescent="0.25">
      <c r="T1303" s="135"/>
      <c r="U1303" s="135"/>
    </row>
    <row r="1304" spans="20:21" ht="15" customHeight="1" x14ac:dyDescent="0.25">
      <c r="T1304" s="135"/>
      <c r="U1304" s="135"/>
    </row>
    <row r="1305" spans="20:21" ht="15" customHeight="1" x14ac:dyDescent="0.25">
      <c r="T1305" s="135"/>
      <c r="U1305" s="135"/>
    </row>
    <row r="1306" spans="20:21" ht="15" customHeight="1" x14ac:dyDescent="0.25">
      <c r="T1306" s="135"/>
      <c r="U1306" s="135"/>
    </row>
    <row r="1307" spans="20:21" ht="15" customHeight="1" x14ac:dyDescent="0.25">
      <c r="T1307" s="135"/>
      <c r="U1307" s="135"/>
    </row>
    <row r="1308" spans="20:21" ht="15" customHeight="1" x14ac:dyDescent="0.25">
      <c r="T1308" s="135"/>
      <c r="U1308" s="135"/>
    </row>
    <row r="1309" spans="20:21" ht="15" customHeight="1" x14ac:dyDescent="0.25">
      <c r="T1309" s="135"/>
      <c r="U1309" s="135"/>
    </row>
    <row r="1310" spans="20:21" ht="15" customHeight="1" x14ac:dyDescent="0.25">
      <c r="T1310" s="135"/>
      <c r="U1310" s="135"/>
    </row>
    <row r="1311" spans="20:21" ht="15" customHeight="1" x14ac:dyDescent="0.25">
      <c r="T1311" s="135"/>
      <c r="U1311" s="135"/>
    </row>
    <row r="1312" spans="20:21" ht="15" customHeight="1" x14ac:dyDescent="0.25">
      <c r="T1312" s="135"/>
      <c r="U1312" s="135"/>
    </row>
    <row r="1313" spans="20:21" ht="15" customHeight="1" x14ac:dyDescent="0.25">
      <c r="T1313" s="135"/>
      <c r="U1313" s="135"/>
    </row>
    <row r="1314" spans="20:21" ht="15" customHeight="1" x14ac:dyDescent="0.25">
      <c r="T1314" s="135"/>
      <c r="U1314" s="135"/>
    </row>
    <row r="1315" spans="20:21" ht="15" customHeight="1" x14ac:dyDescent="0.25">
      <c r="T1315" s="135"/>
      <c r="U1315" s="135"/>
    </row>
    <row r="1316" spans="20:21" ht="15" customHeight="1" x14ac:dyDescent="0.25">
      <c r="T1316" s="135"/>
      <c r="U1316" s="135"/>
    </row>
    <row r="1317" spans="20:21" ht="15" customHeight="1" x14ac:dyDescent="0.25">
      <c r="T1317" s="135"/>
      <c r="U1317" s="135"/>
    </row>
    <row r="1318" spans="20:21" ht="15" customHeight="1" x14ac:dyDescent="0.25">
      <c r="T1318" s="135"/>
      <c r="U1318" s="135"/>
    </row>
    <row r="1319" spans="20:21" ht="15" customHeight="1" x14ac:dyDescent="0.25">
      <c r="T1319" s="135"/>
      <c r="U1319" s="135"/>
    </row>
    <row r="1320" spans="20:21" ht="15" customHeight="1" x14ac:dyDescent="0.25">
      <c r="T1320" s="135"/>
      <c r="U1320" s="135"/>
    </row>
    <row r="1321" spans="20:21" ht="15" customHeight="1" x14ac:dyDescent="0.25">
      <c r="T1321" s="135"/>
      <c r="U1321" s="135"/>
    </row>
    <row r="1322" spans="20:21" ht="15" customHeight="1" x14ac:dyDescent="0.25">
      <c r="T1322" s="135"/>
      <c r="U1322" s="135"/>
    </row>
    <row r="1323" spans="20:21" ht="15" customHeight="1" x14ac:dyDescent="0.25">
      <c r="T1323" s="135"/>
      <c r="U1323" s="135"/>
    </row>
    <row r="1324" spans="20:21" ht="15" customHeight="1" x14ac:dyDescent="0.25">
      <c r="T1324" s="135"/>
      <c r="U1324" s="135"/>
    </row>
    <row r="1325" spans="20:21" ht="15" customHeight="1" x14ac:dyDescent="0.25">
      <c r="T1325" s="135"/>
      <c r="U1325" s="135"/>
    </row>
    <row r="1326" spans="20:21" ht="15" customHeight="1" x14ac:dyDescent="0.25">
      <c r="T1326" s="135"/>
      <c r="U1326" s="135"/>
    </row>
    <row r="1327" spans="20:21" ht="15" customHeight="1" x14ac:dyDescent="0.25">
      <c r="T1327" s="135"/>
      <c r="U1327" s="135"/>
    </row>
    <row r="1328" spans="20:21" ht="15" customHeight="1" x14ac:dyDescent="0.25">
      <c r="T1328" s="135"/>
      <c r="U1328" s="135"/>
    </row>
    <row r="1329" spans="20:21" ht="15" customHeight="1" x14ac:dyDescent="0.25">
      <c r="T1329" s="135"/>
      <c r="U1329" s="135"/>
    </row>
    <row r="1330" spans="20:21" ht="15" customHeight="1" x14ac:dyDescent="0.25">
      <c r="T1330" s="135"/>
      <c r="U1330" s="135"/>
    </row>
    <row r="1331" spans="20:21" ht="15" customHeight="1" x14ac:dyDescent="0.25">
      <c r="T1331" s="135"/>
      <c r="U1331" s="135"/>
    </row>
    <row r="1332" spans="20:21" ht="15" customHeight="1" x14ac:dyDescent="0.25">
      <c r="T1332" s="135"/>
      <c r="U1332" s="135"/>
    </row>
    <row r="1333" spans="20:21" ht="15" customHeight="1" x14ac:dyDescent="0.25">
      <c r="T1333" s="135"/>
      <c r="U1333" s="135"/>
    </row>
    <row r="1334" spans="20:21" ht="15" customHeight="1" x14ac:dyDescent="0.25">
      <c r="T1334" s="135"/>
      <c r="U1334" s="135"/>
    </row>
    <row r="1335" spans="20:21" ht="15" customHeight="1" x14ac:dyDescent="0.25">
      <c r="T1335" s="135"/>
      <c r="U1335" s="135"/>
    </row>
    <row r="1336" spans="20:21" ht="15" customHeight="1" x14ac:dyDescent="0.25">
      <c r="T1336" s="135"/>
      <c r="U1336" s="135"/>
    </row>
    <row r="1337" spans="20:21" ht="15" customHeight="1" x14ac:dyDescent="0.25">
      <c r="T1337" s="135"/>
      <c r="U1337" s="135"/>
    </row>
    <row r="1338" spans="20:21" ht="15" customHeight="1" x14ac:dyDescent="0.25">
      <c r="T1338" s="135"/>
      <c r="U1338" s="135"/>
    </row>
    <row r="1339" spans="20:21" ht="15" customHeight="1" x14ac:dyDescent="0.25">
      <c r="T1339" s="135"/>
      <c r="U1339" s="135"/>
    </row>
    <row r="1340" spans="20:21" ht="15" customHeight="1" x14ac:dyDescent="0.25">
      <c r="T1340" s="135"/>
      <c r="U1340" s="135"/>
    </row>
    <row r="1341" spans="20:21" ht="15" customHeight="1" x14ac:dyDescent="0.25">
      <c r="T1341" s="135"/>
      <c r="U1341" s="135"/>
    </row>
    <row r="1342" spans="20:21" ht="15" customHeight="1" x14ac:dyDescent="0.25">
      <c r="T1342" s="135"/>
      <c r="U1342" s="135"/>
    </row>
    <row r="1343" spans="20:21" ht="15" customHeight="1" x14ac:dyDescent="0.25">
      <c r="T1343" s="135"/>
      <c r="U1343" s="135"/>
    </row>
    <row r="1344" spans="20:21" ht="15" customHeight="1" x14ac:dyDescent="0.25">
      <c r="T1344" s="135"/>
      <c r="U1344" s="135"/>
    </row>
    <row r="1345" spans="20:21" ht="15" customHeight="1" x14ac:dyDescent="0.25">
      <c r="T1345" s="135"/>
      <c r="U1345" s="135"/>
    </row>
    <row r="1346" spans="20:21" ht="15" customHeight="1" x14ac:dyDescent="0.25">
      <c r="T1346" s="135"/>
      <c r="U1346" s="135"/>
    </row>
    <row r="1347" spans="20:21" ht="15" customHeight="1" x14ac:dyDescent="0.25">
      <c r="T1347" s="135"/>
      <c r="U1347" s="135"/>
    </row>
    <row r="1348" spans="20:21" ht="15" customHeight="1" x14ac:dyDescent="0.25">
      <c r="T1348" s="135"/>
      <c r="U1348" s="135"/>
    </row>
    <row r="1349" spans="20:21" ht="15" customHeight="1" x14ac:dyDescent="0.25">
      <c r="T1349" s="135"/>
      <c r="U1349" s="135"/>
    </row>
    <row r="1350" spans="20:21" ht="15" customHeight="1" x14ac:dyDescent="0.25">
      <c r="T1350" s="135"/>
      <c r="U1350" s="135"/>
    </row>
    <row r="1351" spans="20:21" ht="15" customHeight="1" x14ac:dyDescent="0.25">
      <c r="T1351" s="135"/>
      <c r="U1351" s="135"/>
    </row>
    <row r="1352" spans="20:21" ht="15" customHeight="1" x14ac:dyDescent="0.25">
      <c r="T1352" s="135"/>
      <c r="U1352" s="135"/>
    </row>
    <row r="1353" spans="20:21" ht="15" customHeight="1" x14ac:dyDescent="0.25">
      <c r="T1353" s="135"/>
      <c r="U1353" s="135"/>
    </row>
    <row r="1354" spans="20:21" ht="15" customHeight="1" x14ac:dyDescent="0.25">
      <c r="T1354" s="135"/>
      <c r="U1354" s="135"/>
    </row>
    <row r="1355" spans="20:21" ht="15" customHeight="1" x14ac:dyDescent="0.25">
      <c r="T1355" s="135"/>
      <c r="U1355" s="135"/>
    </row>
    <row r="1356" spans="20:21" ht="15" customHeight="1" x14ac:dyDescent="0.25">
      <c r="T1356" s="135"/>
      <c r="U1356" s="135"/>
    </row>
    <row r="1357" spans="20:21" ht="15" customHeight="1" x14ac:dyDescent="0.25">
      <c r="T1357" s="135"/>
      <c r="U1357" s="135"/>
    </row>
    <row r="1358" spans="20:21" ht="15" customHeight="1" x14ac:dyDescent="0.25">
      <c r="T1358" s="135"/>
      <c r="U1358" s="135"/>
    </row>
    <row r="1359" spans="20:21" ht="15" customHeight="1" x14ac:dyDescent="0.25">
      <c r="T1359" s="135"/>
      <c r="U1359" s="135"/>
    </row>
    <row r="1360" spans="20:21" ht="15" customHeight="1" x14ac:dyDescent="0.25">
      <c r="T1360" s="135"/>
      <c r="U1360" s="135"/>
    </row>
    <row r="1361" spans="20:21" ht="15" customHeight="1" x14ac:dyDescent="0.25">
      <c r="T1361" s="135"/>
      <c r="U1361" s="135"/>
    </row>
    <row r="1362" spans="20:21" ht="15" customHeight="1" x14ac:dyDescent="0.25">
      <c r="T1362" s="135"/>
      <c r="U1362" s="135"/>
    </row>
    <row r="1363" spans="20:21" ht="15" customHeight="1" x14ac:dyDescent="0.25">
      <c r="T1363" s="135"/>
      <c r="U1363" s="135"/>
    </row>
    <row r="1364" spans="20:21" ht="15" customHeight="1" x14ac:dyDescent="0.25">
      <c r="T1364" s="135"/>
      <c r="U1364" s="135"/>
    </row>
    <row r="1365" spans="20:21" ht="15" customHeight="1" x14ac:dyDescent="0.25">
      <c r="T1365" s="135"/>
      <c r="U1365" s="135"/>
    </row>
    <row r="1366" spans="20:21" ht="15" customHeight="1" x14ac:dyDescent="0.25">
      <c r="T1366" s="135"/>
      <c r="U1366" s="135"/>
    </row>
    <row r="1367" spans="20:21" ht="15" customHeight="1" x14ac:dyDescent="0.25">
      <c r="T1367" s="135"/>
      <c r="U1367" s="135"/>
    </row>
    <row r="1368" spans="20:21" ht="15" customHeight="1" x14ac:dyDescent="0.25">
      <c r="T1368" s="135"/>
      <c r="U1368" s="135"/>
    </row>
    <row r="1369" spans="20:21" ht="15" customHeight="1" x14ac:dyDescent="0.25">
      <c r="T1369" s="135"/>
      <c r="U1369" s="135"/>
    </row>
    <row r="1370" spans="20:21" ht="15" customHeight="1" x14ac:dyDescent="0.25">
      <c r="T1370" s="135"/>
      <c r="U1370" s="135"/>
    </row>
    <row r="1371" spans="20:21" ht="15" customHeight="1" x14ac:dyDescent="0.25">
      <c r="T1371" s="135"/>
      <c r="U1371" s="135"/>
    </row>
    <row r="1372" spans="20:21" ht="15" customHeight="1" x14ac:dyDescent="0.25">
      <c r="T1372" s="135"/>
      <c r="U1372" s="135"/>
    </row>
    <row r="1373" spans="20:21" ht="15" customHeight="1" x14ac:dyDescent="0.25">
      <c r="T1373" s="135"/>
      <c r="U1373" s="135"/>
    </row>
    <row r="1374" spans="20:21" ht="15" customHeight="1" x14ac:dyDescent="0.25">
      <c r="T1374" s="135"/>
      <c r="U1374" s="135"/>
    </row>
    <row r="1375" spans="20:21" ht="15" customHeight="1" x14ac:dyDescent="0.25">
      <c r="T1375" s="135"/>
      <c r="U1375" s="135"/>
    </row>
    <row r="1376" spans="20:21" ht="15" customHeight="1" x14ac:dyDescent="0.25">
      <c r="T1376" s="135"/>
      <c r="U1376" s="135"/>
    </row>
    <row r="1377" spans="20:21" ht="15" customHeight="1" x14ac:dyDescent="0.25">
      <c r="T1377" s="135"/>
      <c r="U1377" s="135"/>
    </row>
    <row r="1378" spans="20:21" ht="15" customHeight="1" x14ac:dyDescent="0.25">
      <c r="T1378" s="135"/>
      <c r="U1378" s="135"/>
    </row>
    <row r="1379" spans="20:21" ht="15" customHeight="1" x14ac:dyDescent="0.25">
      <c r="T1379" s="135"/>
      <c r="U1379" s="135"/>
    </row>
    <row r="1380" spans="20:21" ht="15" customHeight="1" x14ac:dyDescent="0.25">
      <c r="T1380" s="135"/>
      <c r="U1380" s="135"/>
    </row>
    <row r="1381" spans="20:21" ht="15" customHeight="1" x14ac:dyDescent="0.25">
      <c r="T1381" s="135"/>
      <c r="U1381" s="135"/>
    </row>
    <row r="1382" spans="20:21" ht="15" customHeight="1" x14ac:dyDescent="0.25">
      <c r="T1382" s="135"/>
      <c r="U1382" s="135"/>
    </row>
    <row r="1383" spans="20:21" ht="15" customHeight="1" x14ac:dyDescent="0.25">
      <c r="T1383" s="135"/>
      <c r="U1383" s="135"/>
    </row>
    <row r="1384" spans="20:21" ht="15" customHeight="1" x14ac:dyDescent="0.25">
      <c r="T1384" s="135"/>
      <c r="U1384" s="135"/>
    </row>
    <row r="1385" spans="20:21" ht="15" customHeight="1" x14ac:dyDescent="0.25">
      <c r="T1385" s="135"/>
      <c r="U1385" s="135"/>
    </row>
    <row r="1386" spans="20:21" ht="15" customHeight="1" x14ac:dyDescent="0.25">
      <c r="T1386" s="135"/>
      <c r="U1386" s="135"/>
    </row>
    <row r="1387" spans="20:21" ht="15" customHeight="1" x14ac:dyDescent="0.25">
      <c r="T1387" s="135"/>
      <c r="U1387" s="135"/>
    </row>
    <row r="1388" spans="20:21" ht="15" customHeight="1" x14ac:dyDescent="0.25">
      <c r="T1388" s="135"/>
      <c r="U1388" s="135"/>
    </row>
    <row r="1389" spans="20:21" ht="15" customHeight="1" x14ac:dyDescent="0.25">
      <c r="T1389" s="135"/>
      <c r="U1389" s="135"/>
    </row>
    <row r="1390" spans="20:21" ht="15" customHeight="1" x14ac:dyDescent="0.25">
      <c r="T1390" s="135"/>
      <c r="U1390" s="135"/>
    </row>
    <row r="1391" spans="20:21" ht="15" customHeight="1" x14ac:dyDescent="0.25">
      <c r="T1391" s="135"/>
      <c r="U1391" s="135"/>
    </row>
    <row r="1392" spans="20:21" ht="15" customHeight="1" x14ac:dyDescent="0.25">
      <c r="T1392" s="135"/>
      <c r="U1392" s="135"/>
    </row>
    <row r="1393" spans="20:21" ht="15" customHeight="1" x14ac:dyDescent="0.25">
      <c r="T1393" s="135"/>
      <c r="U1393" s="135"/>
    </row>
    <row r="1394" spans="20:21" ht="15" customHeight="1" x14ac:dyDescent="0.25">
      <c r="T1394" s="135"/>
      <c r="U1394" s="135"/>
    </row>
    <row r="1395" spans="20:21" ht="15" customHeight="1" x14ac:dyDescent="0.25">
      <c r="T1395" s="135"/>
      <c r="U1395" s="135"/>
    </row>
    <row r="1396" spans="20:21" ht="15" customHeight="1" x14ac:dyDescent="0.25">
      <c r="T1396" s="135"/>
      <c r="U1396" s="135"/>
    </row>
    <row r="1397" spans="20:21" ht="15" customHeight="1" x14ac:dyDescent="0.25">
      <c r="T1397" s="135"/>
      <c r="U1397" s="135"/>
    </row>
    <row r="1398" spans="20:21" ht="15" customHeight="1" x14ac:dyDescent="0.25">
      <c r="T1398" s="135"/>
      <c r="U1398" s="135"/>
    </row>
    <row r="1399" spans="20:21" ht="15" customHeight="1" x14ac:dyDescent="0.25">
      <c r="T1399" s="135"/>
      <c r="U1399" s="135"/>
    </row>
    <row r="1400" spans="20:21" ht="15" customHeight="1" x14ac:dyDescent="0.25">
      <c r="T1400" s="135"/>
      <c r="U1400" s="135"/>
    </row>
    <row r="1401" spans="20:21" ht="15" customHeight="1" x14ac:dyDescent="0.25">
      <c r="T1401" s="135"/>
      <c r="U1401" s="135"/>
    </row>
    <row r="1402" spans="20:21" ht="15" customHeight="1" x14ac:dyDescent="0.25">
      <c r="T1402" s="135"/>
      <c r="U1402" s="135"/>
    </row>
    <row r="1403" spans="20:21" ht="15" customHeight="1" x14ac:dyDescent="0.25">
      <c r="T1403" s="135"/>
      <c r="U1403" s="135"/>
    </row>
    <row r="1404" spans="20:21" ht="15" customHeight="1" x14ac:dyDescent="0.25">
      <c r="T1404" s="135"/>
      <c r="U1404" s="135"/>
    </row>
    <row r="1405" spans="20:21" ht="15" customHeight="1" x14ac:dyDescent="0.25">
      <c r="T1405" s="135"/>
      <c r="U1405" s="135"/>
    </row>
    <row r="1406" spans="20:21" ht="15" customHeight="1" x14ac:dyDescent="0.25">
      <c r="T1406" s="135"/>
      <c r="U1406" s="135"/>
    </row>
    <row r="1407" spans="20:21" ht="15" customHeight="1" x14ac:dyDescent="0.25">
      <c r="T1407" s="135"/>
      <c r="U1407" s="135"/>
    </row>
    <row r="1408" spans="20:21" ht="15" customHeight="1" x14ac:dyDescent="0.25">
      <c r="T1408" s="135"/>
      <c r="U1408" s="135"/>
    </row>
    <row r="1409" spans="20:21" ht="15" customHeight="1" x14ac:dyDescent="0.25">
      <c r="T1409" s="135"/>
      <c r="U1409" s="135"/>
    </row>
    <row r="1410" spans="20:21" ht="15" customHeight="1" x14ac:dyDescent="0.25">
      <c r="T1410" s="135"/>
      <c r="U1410" s="135"/>
    </row>
    <row r="1411" spans="20:21" ht="15" customHeight="1" x14ac:dyDescent="0.25">
      <c r="T1411" s="135"/>
      <c r="U1411" s="135"/>
    </row>
    <row r="1412" spans="20:21" ht="15" customHeight="1" x14ac:dyDescent="0.25">
      <c r="T1412" s="135"/>
      <c r="U1412" s="135"/>
    </row>
    <row r="1413" spans="20:21" ht="15" customHeight="1" x14ac:dyDescent="0.25">
      <c r="T1413" s="135"/>
      <c r="U1413" s="135"/>
    </row>
    <row r="1414" spans="20:21" ht="15" customHeight="1" x14ac:dyDescent="0.25">
      <c r="T1414" s="135"/>
      <c r="U1414" s="135"/>
    </row>
    <row r="1415" spans="20:21" ht="15" customHeight="1" x14ac:dyDescent="0.25">
      <c r="T1415" s="135"/>
      <c r="U1415" s="135"/>
    </row>
    <row r="1416" spans="20:21" ht="15" customHeight="1" x14ac:dyDescent="0.25">
      <c r="T1416" s="135"/>
      <c r="U1416" s="135"/>
    </row>
    <row r="1417" spans="20:21" ht="15" customHeight="1" x14ac:dyDescent="0.25">
      <c r="T1417" s="135"/>
      <c r="U1417" s="135"/>
    </row>
    <row r="1418" spans="20:21" ht="15" customHeight="1" x14ac:dyDescent="0.25">
      <c r="T1418" s="135"/>
      <c r="U1418" s="135"/>
    </row>
    <row r="1419" spans="20:21" ht="15" customHeight="1" x14ac:dyDescent="0.25">
      <c r="T1419" s="135"/>
      <c r="U1419" s="135"/>
    </row>
    <row r="1420" spans="20:21" ht="15" customHeight="1" x14ac:dyDescent="0.25">
      <c r="T1420" s="135"/>
      <c r="U1420" s="135"/>
    </row>
    <row r="1421" spans="20:21" ht="15" customHeight="1" x14ac:dyDescent="0.25">
      <c r="T1421" s="135"/>
      <c r="U1421" s="135"/>
    </row>
    <row r="1422" spans="20:21" ht="15" customHeight="1" x14ac:dyDescent="0.25">
      <c r="T1422" s="135"/>
      <c r="U1422" s="135"/>
    </row>
    <row r="1423" spans="20:21" ht="15" customHeight="1" x14ac:dyDescent="0.25">
      <c r="T1423" s="135"/>
      <c r="U1423" s="135"/>
    </row>
    <row r="1424" spans="20:21" ht="15" customHeight="1" x14ac:dyDescent="0.25">
      <c r="T1424" s="135"/>
      <c r="U1424" s="135"/>
    </row>
    <row r="1425" spans="20:21" ht="15" customHeight="1" x14ac:dyDescent="0.25">
      <c r="T1425" s="135"/>
      <c r="U1425" s="135"/>
    </row>
    <row r="1426" spans="20:21" ht="15" customHeight="1" x14ac:dyDescent="0.25">
      <c r="T1426" s="135"/>
      <c r="U1426" s="135"/>
    </row>
    <row r="1427" spans="20:21" ht="15" customHeight="1" x14ac:dyDescent="0.25">
      <c r="T1427" s="135"/>
      <c r="U1427" s="135"/>
    </row>
    <row r="1428" spans="20:21" ht="15" customHeight="1" x14ac:dyDescent="0.25">
      <c r="T1428" s="135"/>
      <c r="U1428" s="135"/>
    </row>
    <row r="1429" spans="20:21" ht="15" customHeight="1" x14ac:dyDescent="0.25">
      <c r="T1429" s="135"/>
      <c r="U1429" s="135"/>
    </row>
    <row r="1430" spans="20:21" ht="15" customHeight="1" x14ac:dyDescent="0.25">
      <c r="T1430" s="135"/>
      <c r="U1430" s="135"/>
    </row>
    <row r="1431" spans="20:21" ht="15" customHeight="1" x14ac:dyDescent="0.25">
      <c r="T1431" s="135"/>
      <c r="U1431" s="135"/>
    </row>
    <row r="1432" spans="20:21" ht="15" customHeight="1" x14ac:dyDescent="0.25">
      <c r="T1432" s="135"/>
      <c r="U1432" s="135"/>
    </row>
    <row r="1433" spans="20:21" ht="15" customHeight="1" x14ac:dyDescent="0.25">
      <c r="T1433" s="135"/>
      <c r="U1433" s="135"/>
    </row>
    <row r="1434" spans="20:21" ht="15" customHeight="1" x14ac:dyDescent="0.25">
      <c r="T1434" s="135"/>
      <c r="U1434" s="135"/>
    </row>
    <row r="1435" spans="20:21" ht="15" customHeight="1" x14ac:dyDescent="0.25">
      <c r="T1435" s="135"/>
      <c r="U1435" s="135"/>
    </row>
    <row r="1436" spans="20:21" ht="15" customHeight="1" x14ac:dyDescent="0.25">
      <c r="T1436" s="135"/>
      <c r="U1436" s="135"/>
    </row>
    <row r="1437" spans="20:21" ht="15" customHeight="1" x14ac:dyDescent="0.25">
      <c r="T1437" s="135"/>
      <c r="U1437" s="135"/>
    </row>
    <row r="1438" spans="20:21" ht="15" customHeight="1" x14ac:dyDescent="0.25">
      <c r="T1438" s="135"/>
      <c r="U1438" s="135"/>
    </row>
    <row r="1439" spans="20:21" ht="15" customHeight="1" x14ac:dyDescent="0.25">
      <c r="T1439" s="135"/>
      <c r="U1439" s="135"/>
    </row>
    <row r="1440" spans="20:21" ht="15" customHeight="1" x14ac:dyDescent="0.25">
      <c r="T1440" s="135"/>
      <c r="U1440" s="135"/>
    </row>
    <row r="1441" spans="20:21" ht="15" customHeight="1" x14ac:dyDescent="0.25">
      <c r="T1441" s="135"/>
      <c r="U1441" s="135"/>
    </row>
    <row r="1442" spans="20:21" ht="15" customHeight="1" x14ac:dyDescent="0.25">
      <c r="T1442" s="135"/>
      <c r="U1442" s="135"/>
    </row>
    <row r="1443" spans="20:21" ht="15" customHeight="1" x14ac:dyDescent="0.25">
      <c r="T1443" s="135"/>
      <c r="U1443" s="135"/>
    </row>
    <row r="1444" spans="20:21" ht="15" customHeight="1" x14ac:dyDescent="0.25">
      <c r="T1444" s="135"/>
      <c r="U1444" s="135"/>
    </row>
    <row r="1445" spans="20:21" ht="15" customHeight="1" x14ac:dyDescent="0.25">
      <c r="T1445" s="135"/>
      <c r="U1445" s="135"/>
    </row>
    <row r="1446" spans="20:21" ht="15" customHeight="1" x14ac:dyDescent="0.25">
      <c r="T1446" s="135"/>
      <c r="U1446" s="135"/>
    </row>
    <row r="1447" spans="20:21" ht="15" customHeight="1" x14ac:dyDescent="0.25">
      <c r="T1447" s="135"/>
      <c r="U1447" s="135"/>
    </row>
    <row r="1448" spans="20:21" ht="15" customHeight="1" x14ac:dyDescent="0.25">
      <c r="T1448" s="135"/>
      <c r="U1448" s="135"/>
    </row>
    <row r="1449" spans="20:21" ht="15" customHeight="1" x14ac:dyDescent="0.25">
      <c r="T1449" s="135"/>
      <c r="U1449" s="135"/>
    </row>
    <row r="1450" spans="20:21" ht="15" customHeight="1" x14ac:dyDescent="0.25">
      <c r="T1450" s="135"/>
      <c r="U1450" s="135"/>
    </row>
    <row r="1451" spans="20:21" ht="15" customHeight="1" x14ac:dyDescent="0.25">
      <c r="T1451" s="135"/>
      <c r="U1451" s="135"/>
    </row>
    <row r="1452" spans="20:21" ht="15" customHeight="1" x14ac:dyDescent="0.25">
      <c r="T1452" s="135"/>
      <c r="U1452" s="135"/>
    </row>
    <row r="1453" spans="20:21" ht="15" customHeight="1" x14ac:dyDescent="0.25">
      <c r="T1453" s="135"/>
      <c r="U1453" s="135"/>
    </row>
    <row r="1454" spans="20:21" ht="15" customHeight="1" x14ac:dyDescent="0.25">
      <c r="T1454" s="135"/>
      <c r="U1454" s="135"/>
    </row>
    <row r="1455" spans="20:21" ht="15" customHeight="1" x14ac:dyDescent="0.25">
      <c r="T1455" s="135"/>
      <c r="U1455" s="135"/>
    </row>
    <row r="1456" spans="20:21" ht="15" customHeight="1" x14ac:dyDescent="0.25">
      <c r="T1456" s="135"/>
      <c r="U1456" s="135"/>
    </row>
    <row r="1457" spans="20:21" ht="15" customHeight="1" x14ac:dyDescent="0.25">
      <c r="T1457" s="135"/>
      <c r="U1457" s="135"/>
    </row>
    <row r="1458" spans="20:21" ht="15" customHeight="1" x14ac:dyDescent="0.25">
      <c r="T1458" s="135"/>
      <c r="U1458" s="135"/>
    </row>
    <row r="1459" spans="20:21" ht="15" customHeight="1" x14ac:dyDescent="0.25">
      <c r="T1459" s="135"/>
      <c r="U1459" s="135"/>
    </row>
    <row r="1460" spans="20:21" ht="15" customHeight="1" x14ac:dyDescent="0.25">
      <c r="T1460" s="135"/>
      <c r="U1460" s="135"/>
    </row>
    <row r="1461" spans="20:21" ht="15" customHeight="1" x14ac:dyDescent="0.25">
      <c r="T1461" s="135"/>
      <c r="U1461" s="135"/>
    </row>
    <row r="1462" spans="20:21" ht="15" customHeight="1" x14ac:dyDescent="0.25">
      <c r="T1462" s="135"/>
      <c r="U1462" s="135"/>
    </row>
    <row r="1463" spans="20:21" ht="15" customHeight="1" x14ac:dyDescent="0.25">
      <c r="T1463" s="135"/>
      <c r="U1463" s="135"/>
    </row>
    <row r="1464" spans="20:21" ht="15" customHeight="1" x14ac:dyDescent="0.25">
      <c r="T1464" s="135"/>
      <c r="U1464" s="135"/>
    </row>
    <row r="1465" spans="20:21" ht="15" customHeight="1" x14ac:dyDescent="0.25">
      <c r="T1465" s="135"/>
      <c r="U1465" s="135"/>
    </row>
    <row r="1466" spans="20:21" ht="15" customHeight="1" x14ac:dyDescent="0.25">
      <c r="T1466" s="135"/>
      <c r="U1466" s="135"/>
    </row>
    <row r="1467" spans="20:21" ht="15" customHeight="1" x14ac:dyDescent="0.25">
      <c r="T1467" s="135"/>
      <c r="U1467" s="135"/>
    </row>
    <row r="1468" spans="20:21" ht="15" customHeight="1" x14ac:dyDescent="0.25">
      <c r="T1468" s="135"/>
      <c r="U1468" s="135"/>
    </row>
    <row r="1469" spans="20:21" ht="15" customHeight="1" x14ac:dyDescent="0.25">
      <c r="T1469" s="135"/>
      <c r="U1469" s="135"/>
    </row>
    <row r="1470" spans="20:21" ht="15" customHeight="1" x14ac:dyDescent="0.25">
      <c r="T1470" s="135"/>
      <c r="U1470" s="135"/>
    </row>
    <row r="1471" spans="20:21" ht="15" customHeight="1" x14ac:dyDescent="0.25">
      <c r="T1471" s="135"/>
      <c r="U1471" s="135"/>
    </row>
    <row r="1472" spans="20:21" ht="15" customHeight="1" x14ac:dyDescent="0.25">
      <c r="T1472" s="135"/>
      <c r="U1472" s="135"/>
    </row>
    <row r="1473" spans="20:21" ht="15" customHeight="1" x14ac:dyDescent="0.25">
      <c r="T1473" s="135"/>
      <c r="U1473" s="135"/>
    </row>
    <row r="1474" spans="20:21" ht="15" customHeight="1" x14ac:dyDescent="0.25">
      <c r="T1474" s="135"/>
      <c r="U1474" s="135"/>
    </row>
    <row r="1475" spans="20:21" ht="15" customHeight="1" x14ac:dyDescent="0.25">
      <c r="T1475" s="135"/>
      <c r="U1475" s="135"/>
    </row>
    <row r="1476" spans="20:21" ht="15" customHeight="1" x14ac:dyDescent="0.25">
      <c r="T1476" s="135"/>
      <c r="U1476" s="135"/>
    </row>
    <row r="1477" spans="20:21" ht="15" customHeight="1" x14ac:dyDescent="0.25">
      <c r="T1477" s="135"/>
      <c r="U1477" s="135"/>
    </row>
    <row r="1478" spans="20:21" ht="15" customHeight="1" x14ac:dyDescent="0.25">
      <c r="T1478" s="135"/>
      <c r="U1478" s="135"/>
    </row>
    <row r="1479" spans="20:21" ht="15" customHeight="1" x14ac:dyDescent="0.25">
      <c r="T1479" s="135"/>
      <c r="U1479" s="135"/>
    </row>
    <row r="1480" spans="20:21" ht="15" customHeight="1" x14ac:dyDescent="0.25">
      <c r="T1480" s="135"/>
      <c r="U1480" s="135"/>
    </row>
    <row r="1481" spans="20:21" ht="15" customHeight="1" x14ac:dyDescent="0.25">
      <c r="T1481" s="135"/>
      <c r="U1481" s="135"/>
    </row>
    <row r="1482" spans="20:21" ht="15" customHeight="1" x14ac:dyDescent="0.25">
      <c r="T1482" s="135"/>
      <c r="U1482" s="135"/>
    </row>
    <row r="1483" spans="20:21" ht="15" customHeight="1" x14ac:dyDescent="0.25">
      <c r="T1483" s="135"/>
      <c r="U1483" s="135"/>
    </row>
    <row r="1484" spans="20:21" ht="15" customHeight="1" x14ac:dyDescent="0.25">
      <c r="T1484" s="135"/>
      <c r="U1484" s="135"/>
    </row>
    <row r="1485" spans="20:21" ht="15" customHeight="1" x14ac:dyDescent="0.25">
      <c r="T1485" s="135"/>
      <c r="U1485" s="135"/>
    </row>
    <row r="1486" spans="20:21" ht="15" customHeight="1" x14ac:dyDescent="0.25">
      <c r="T1486" s="135"/>
      <c r="U1486" s="135"/>
    </row>
    <row r="1487" spans="20:21" ht="15" customHeight="1" x14ac:dyDescent="0.25">
      <c r="T1487" s="135"/>
      <c r="U1487" s="135"/>
    </row>
    <row r="1488" spans="20:21" ht="15" customHeight="1" x14ac:dyDescent="0.25">
      <c r="T1488" s="135"/>
      <c r="U1488" s="135"/>
    </row>
    <row r="1489" spans="20:21" ht="15" customHeight="1" x14ac:dyDescent="0.25">
      <c r="T1489" s="135"/>
      <c r="U1489" s="135"/>
    </row>
    <row r="1490" spans="20:21" ht="15" customHeight="1" x14ac:dyDescent="0.25">
      <c r="T1490" s="135"/>
      <c r="U1490" s="135"/>
    </row>
    <row r="1491" spans="20:21" ht="15" customHeight="1" x14ac:dyDescent="0.25">
      <c r="T1491" s="135"/>
      <c r="U1491" s="135"/>
    </row>
    <row r="1492" spans="20:21" ht="15" customHeight="1" x14ac:dyDescent="0.25">
      <c r="T1492" s="135"/>
      <c r="U1492" s="135"/>
    </row>
    <row r="1493" spans="20:21" ht="15" customHeight="1" x14ac:dyDescent="0.25">
      <c r="T1493" s="135"/>
      <c r="U1493" s="135"/>
    </row>
    <row r="1494" spans="20:21" ht="15" customHeight="1" x14ac:dyDescent="0.25">
      <c r="T1494" s="135"/>
      <c r="U1494" s="135"/>
    </row>
    <row r="1495" spans="20:21" ht="15" customHeight="1" x14ac:dyDescent="0.25">
      <c r="T1495" s="135"/>
      <c r="U1495" s="135"/>
    </row>
    <row r="1496" spans="20:21" ht="15" customHeight="1" x14ac:dyDescent="0.25">
      <c r="T1496" s="135"/>
      <c r="U1496" s="135"/>
    </row>
    <row r="1497" spans="20:21" ht="15" customHeight="1" x14ac:dyDescent="0.25">
      <c r="T1497" s="135"/>
      <c r="U1497" s="135"/>
    </row>
    <row r="1498" spans="20:21" ht="15" customHeight="1" x14ac:dyDescent="0.25">
      <c r="T1498" s="135"/>
      <c r="U1498" s="135"/>
    </row>
    <row r="1499" spans="20:21" ht="15" customHeight="1" x14ac:dyDescent="0.25">
      <c r="T1499" s="135"/>
      <c r="U1499" s="135"/>
    </row>
    <row r="1500" spans="20:21" ht="15" customHeight="1" x14ac:dyDescent="0.25">
      <c r="T1500" s="135"/>
      <c r="U1500" s="135"/>
    </row>
    <row r="1501" spans="20:21" ht="15" customHeight="1" x14ac:dyDescent="0.25">
      <c r="T1501" s="135"/>
      <c r="U1501" s="135"/>
    </row>
    <row r="1502" spans="20:21" ht="15" customHeight="1" x14ac:dyDescent="0.25">
      <c r="T1502" s="135"/>
      <c r="U1502" s="135"/>
    </row>
    <row r="1503" spans="20:21" ht="15" customHeight="1" x14ac:dyDescent="0.25">
      <c r="T1503" s="135"/>
      <c r="U1503" s="135"/>
    </row>
    <row r="1504" spans="20:21" ht="15" customHeight="1" x14ac:dyDescent="0.25">
      <c r="T1504" s="135"/>
      <c r="U1504" s="135"/>
    </row>
    <row r="1505" spans="20:21" ht="15" customHeight="1" x14ac:dyDescent="0.25">
      <c r="T1505" s="135"/>
      <c r="U1505" s="135"/>
    </row>
    <row r="1506" spans="20:21" ht="15" customHeight="1" x14ac:dyDescent="0.25">
      <c r="T1506" s="135"/>
      <c r="U1506" s="135"/>
    </row>
    <row r="1507" spans="20:21" ht="15" customHeight="1" x14ac:dyDescent="0.25">
      <c r="T1507" s="135"/>
      <c r="U1507" s="135"/>
    </row>
    <row r="1508" spans="20:21" ht="15" customHeight="1" x14ac:dyDescent="0.25">
      <c r="T1508" s="135"/>
      <c r="U1508" s="135"/>
    </row>
    <row r="1509" spans="20:21" ht="15" customHeight="1" x14ac:dyDescent="0.25">
      <c r="T1509" s="135"/>
      <c r="U1509" s="135"/>
    </row>
    <row r="1510" spans="20:21" ht="15" customHeight="1" x14ac:dyDescent="0.25">
      <c r="T1510" s="135"/>
      <c r="U1510" s="135"/>
    </row>
    <row r="1511" spans="20:21" ht="15" customHeight="1" x14ac:dyDescent="0.25">
      <c r="T1511" s="135"/>
      <c r="U1511" s="135"/>
    </row>
    <row r="1512" spans="20:21" ht="15" customHeight="1" x14ac:dyDescent="0.25">
      <c r="T1512" s="135"/>
      <c r="U1512" s="135"/>
    </row>
    <row r="1513" spans="20:21" ht="15" customHeight="1" x14ac:dyDescent="0.25">
      <c r="T1513" s="135"/>
      <c r="U1513" s="135"/>
    </row>
    <row r="1514" spans="20:21" ht="15" customHeight="1" x14ac:dyDescent="0.25">
      <c r="T1514" s="135"/>
      <c r="U1514" s="135"/>
    </row>
    <row r="1515" spans="20:21" ht="15" customHeight="1" x14ac:dyDescent="0.25">
      <c r="T1515" s="135"/>
      <c r="U1515" s="135"/>
    </row>
    <row r="1516" spans="20:21" ht="15" customHeight="1" x14ac:dyDescent="0.25">
      <c r="T1516" s="135"/>
      <c r="U1516" s="135"/>
    </row>
    <row r="1517" spans="20:21" ht="15" customHeight="1" x14ac:dyDescent="0.25">
      <c r="T1517" s="135"/>
      <c r="U1517" s="135"/>
    </row>
    <row r="1518" spans="20:21" ht="15" customHeight="1" x14ac:dyDescent="0.25">
      <c r="T1518" s="135"/>
      <c r="U1518" s="135"/>
    </row>
    <row r="1519" spans="20:21" ht="15" customHeight="1" x14ac:dyDescent="0.25">
      <c r="T1519" s="135"/>
      <c r="U1519" s="135"/>
    </row>
    <row r="1520" spans="20:21" ht="15" customHeight="1" x14ac:dyDescent="0.25">
      <c r="T1520" s="135"/>
      <c r="U1520" s="135"/>
    </row>
    <row r="1521" spans="20:21" ht="15" customHeight="1" x14ac:dyDescent="0.25">
      <c r="T1521" s="135"/>
      <c r="U1521" s="135"/>
    </row>
    <row r="1522" spans="20:21" ht="15" customHeight="1" x14ac:dyDescent="0.25">
      <c r="T1522" s="135"/>
      <c r="U1522" s="135"/>
    </row>
    <row r="1523" spans="20:21" ht="15" customHeight="1" x14ac:dyDescent="0.25">
      <c r="T1523" s="135"/>
      <c r="U1523" s="135"/>
    </row>
    <row r="1524" spans="20:21" ht="15" customHeight="1" x14ac:dyDescent="0.25">
      <c r="T1524" s="135"/>
      <c r="U1524" s="135"/>
    </row>
    <row r="1525" spans="20:21" ht="15" customHeight="1" x14ac:dyDescent="0.25">
      <c r="T1525" s="135"/>
      <c r="U1525" s="135"/>
    </row>
    <row r="1526" spans="20:21" ht="15" customHeight="1" x14ac:dyDescent="0.25">
      <c r="T1526" s="135"/>
      <c r="U1526" s="135"/>
    </row>
    <row r="1527" spans="20:21" ht="15" customHeight="1" x14ac:dyDescent="0.25">
      <c r="T1527" s="135"/>
      <c r="U1527" s="135"/>
    </row>
    <row r="1528" spans="20:21" ht="15" customHeight="1" x14ac:dyDescent="0.25">
      <c r="T1528" s="135"/>
      <c r="U1528" s="135"/>
    </row>
    <row r="1529" spans="20:21" ht="15" customHeight="1" x14ac:dyDescent="0.25">
      <c r="T1529" s="135"/>
      <c r="U1529" s="135"/>
    </row>
    <row r="1530" spans="20:21" ht="15" customHeight="1" x14ac:dyDescent="0.25">
      <c r="T1530" s="135"/>
      <c r="U1530" s="135"/>
    </row>
    <row r="1531" spans="20:21" ht="15" customHeight="1" x14ac:dyDescent="0.25">
      <c r="T1531" s="135"/>
      <c r="U1531" s="135"/>
    </row>
    <row r="1532" spans="20:21" ht="15" customHeight="1" x14ac:dyDescent="0.25">
      <c r="T1532" s="135"/>
      <c r="U1532" s="135"/>
    </row>
    <row r="1533" spans="20:21" ht="15" customHeight="1" x14ac:dyDescent="0.25">
      <c r="T1533" s="135"/>
      <c r="U1533" s="135"/>
    </row>
    <row r="1534" spans="20:21" ht="15" customHeight="1" x14ac:dyDescent="0.25">
      <c r="T1534" s="135"/>
      <c r="U1534" s="135"/>
    </row>
    <row r="1535" spans="20:21" ht="15" customHeight="1" x14ac:dyDescent="0.25">
      <c r="T1535" s="135"/>
      <c r="U1535" s="135"/>
    </row>
    <row r="1536" spans="20:21" ht="15" customHeight="1" x14ac:dyDescent="0.25">
      <c r="T1536" s="135"/>
      <c r="U1536" s="135"/>
    </row>
    <row r="1537" spans="20:21" ht="15" customHeight="1" x14ac:dyDescent="0.25">
      <c r="T1537" s="135"/>
      <c r="U1537" s="135"/>
    </row>
    <row r="1538" spans="20:21" ht="15" customHeight="1" x14ac:dyDescent="0.25">
      <c r="T1538" s="135"/>
      <c r="U1538" s="135"/>
    </row>
    <row r="1539" spans="20:21" ht="15" customHeight="1" x14ac:dyDescent="0.25">
      <c r="T1539" s="135"/>
      <c r="U1539" s="135"/>
    </row>
    <row r="1540" spans="20:21" ht="15" customHeight="1" x14ac:dyDescent="0.25">
      <c r="T1540" s="135"/>
      <c r="U1540" s="135"/>
    </row>
    <row r="1541" spans="20:21" ht="15" customHeight="1" x14ac:dyDescent="0.25">
      <c r="T1541" s="135"/>
      <c r="U1541" s="135"/>
    </row>
    <row r="1542" spans="20:21" ht="15" customHeight="1" x14ac:dyDescent="0.25">
      <c r="T1542" s="135"/>
      <c r="U1542" s="135"/>
    </row>
    <row r="1543" spans="20:21" ht="15" customHeight="1" x14ac:dyDescent="0.25">
      <c r="T1543" s="135"/>
      <c r="U1543" s="135"/>
    </row>
    <row r="1544" spans="20:21" ht="15" customHeight="1" x14ac:dyDescent="0.25">
      <c r="T1544" s="135"/>
      <c r="U1544" s="135"/>
    </row>
    <row r="1545" spans="20:21" ht="15" customHeight="1" x14ac:dyDescent="0.25">
      <c r="T1545" s="135"/>
      <c r="U1545" s="135"/>
    </row>
    <row r="1546" spans="20:21" ht="15" customHeight="1" x14ac:dyDescent="0.25">
      <c r="T1546" s="135"/>
      <c r="U1546" s="135"/>
    </row>
    <row r="1547" spans="20:21" ht="15" customHeight="1" x14ac:dyDescent="0.25">
      <c r="T1547" s="135"/>
      <c r="U1547" s="135"/>
    </row>
    <row r="1548" spans="20:21" ht="15" customHeight="1" x14ac:dyDescent="0.25">
      <c r="T1548" s="135"/>
      <c r="U1548" s="135"/>
    </row>
    <row r="1549" spans="20:21" ht="15" customHeight="1" x14ac:dyDescent="0.25">
      <c r="T1549" s="135"/>
      <c r="U1549" s="135"/>
    </row>
    <row r="1550" spans="20:21" ht="15" customHeight="1" x14ac:dyDescent="0.25">
      <c r="T1550" s="135"/>
      <c r="U1550" s="135"/>
    </row>
    <row r="1551" spans="20:21" ht="15" customHeight="1" x14ac:dyDescent="0.25">
      <c r="T1551" s="135"/>
      <c r="U1551" s="135"/>
    </row>
    <row r="1552" spans="20:21" ht="15" customHeight="1" x14ac:dyDescent="0.25">
      <c r="T1552" s="135"/>
      <c r="U1552" s="135"/>
    </row>
    <row r="1553" spans="20:21" ht="15" customHeight="1" x14ac:dyDescent="0.25">
      <c r="T1553" s="135"/>
      <c r="U1553" s="135"/>
    </row>
    <row r="1554" spans="20:21" ht="15" customHeight="1" x14ac:dyDescent="0.25">
      <c r="T1554" s="135"/>
      <c r="U1554" s="135"/>
    </row>
    <row r="1555" spans="20:21" ht="15" customHeight="1" x14ac:dyDescent="0.25">
      <c r="T1555" s="135"/>
      <c r="U1555" s="135"/>
    </row>
    <row r="1556" spans="20:21" ht="15" customHeight="1" x14ac:dyDescent="0.25">
      <c r="T1556" s="135"/>
      <c r="U1556" s="135"/>
    </row>
    <row r="1557" spans="20:21" ht="15" customHeight="1" x14ac:dyDescent="0.25">
      <c r="T1557" s="135"/>
      <c r="U1557" s="135"/>
    </row>
    <row r="1558" spans="20:21" ht="15" customHeight="1" x14ac:dyDescent="0.25">
      <c r="T1558" s="135"/>
      <c r="U1558" s="135"/>
    </row>
    <row r="1559" spans="20:21" ht="15" customHeight="1" x14ac:dyDescent="0.25">
      <c r="T1559" s="135"/>
      <c r="U1559" s="135"/>
    </row>
    <row r="1560" spans="20:21" ht="15" customHeight="1" x14ac:dyDescent="0.25">
      <c r="T1560" s="135"/>
      <c r="U1560" s="135"/>
    </row>
    <row r="1561" spans="20:21" ht="15" customHeight="1" x14ac:dyDescent="0.25">
      <c r="T1561" s="135"/>
      <c r="U1561" s="135"/>
    </row>
    <row r="1562" spans="20:21" ht="15" customHeight="1" x14ac:dyDescent="0.25">
      <c r="T1562" s="135"/>
      <c r="U1562" s="135"/>
    </row>
    <row r="1563" spans="20:21" ht="15" customHeight="1" x14ac:dyDescent="0.25">
      <c r="T1563" s="135"/>
      <c r="U1563" s="135"/>
    </row>
    <row r="1564" spans="20:21" ht="15" customHeight="1" x14ac:dyDescent="0.25">
      <c r="T1564" s="135"/>
      <c r="U1564" s="135"/>
    </row>
    <row r="1565" spans="20:21" ht="15" customHeight="1" x14ac:dyDescent="0.25">
      <c r="T1565" s="135"/>
      <c r="U1565" s="135"/>
    </row>
    <row r="1566" spans="20:21" ht="15" customHeight="1" x14ac:dyDescent="0.25">
      <c r="T1566" s="135"/>
      <c r="U1566" s="135"/>
    </row>
    <row r="1567" spans="20:21" ht="15" customHeight="1" x14ac:dyDescent="0.25">
      <c r="T1567" s="135"/>
      <c r="U1567" s="135"/>
    </row>
    <row r="1568" spans="20:21" ht="15" customHeight="1" x14ac:dyDescent="0.25">
      <c r="T1568" s="135"/>
      <c r="U1568" s="135"/>
    </row>
    <row r="1569" spans="20:21" ht="15" customHeight="1" x14ac:dyDescent="0.25">
      <c r="T1569" s="135"/>
      <c r="U1569" s="135"/>
    </row>
    <row r="1570" spans="20:21" ht="15" customHeight="1" x14ac:dyDescent="0.25">
      <c r="T1570" s="135"/>
      <c r="U1570" s="135"/>
    </row>
    <row r="1571" spans="20:21" ht="15" customHeight="1" x14ac:dyDescent="0.25">
      <c r="T1571" s="135"/>
      <c r="U1571" s="135"/>
    </row>
    <row r="1572" spans="20:21" ht="15" customHeight="1" x14ac:dyDescent="0.25">
      <c r="T1572" s="135"/>
      <c r="U1572" s="135"/>
    </row>
    <row r="1573" spans="20:21" ht="15" customHeight="1" x14ac:dyDescent="0.25">
      <c r="T1573" s="135"/>
      <c r="U1573" s="135"/>
    </row>
    <row r="1574" spans="20:21" ht="15" customHeight="1" x14ac:dyDescent="0.25">
      <c r="T1574" s="135"/>
      <c r="U1574" s="135"/>
    </row>
    <row r="1575" spans="20:21" ht="15" customHeight="1" x14ac:dyDescent="0.25">
      <c r="T1575" s="135"/>
      <c r="U1575" s="135"/>
    </row>
    <row r="1576" spans="20:21" ht="15" customHeight="1" x14ac:dyDescent="0.25">
      <c r="T1576" s="135"/>
      <c r="U1576" s="135"/>
    </row>
    <row r="1577" spans="20:21" ht="15" customHeight="1" x14ac:dyDescent="0.25">
      <c r="T1577" s="135"/>
      <c r="U1577" s="135"/>
    </row>
    <row r="1578" spans="20:21" ht="15" customHeight="1" x14ac:dyDescent="0.25">
      <c r="T1578" s="135"/>
      <c r="U1578" s="135"/>
    </row>
    <row r="1579" spans="20:21" ht="15" customHeight="1" x14ac:dyDescent="0.25">
      <c r="T1579" s="135"/>
      <c r="U1579" s="135"/>
    </row>
    <row r="1580" spans="20:21" ht="15" customHeight="1" x14ac:dyDescent="0.25">
      <c r="T1580" s="135"/>
      <c r="U1580" s="135"/>
    </row>
    <row r="1581" spans="20:21" ht="15" customHeight="1" x14ac:dyDescent="0.25">
      <c r="T1581" s="135"/>
      <c r="U1581" s="135"/>
    </row>
    <row r="1582" spans="20:21" ht="15" customHeight="1" x14ac:dyDescent="0.25">
      <c r="T1582" s="135"/>
      <c r="U1582" s="135"/>
    </row>
    <row r="1583" spans="20:21" ht="15" customHeight="1" x14ac:dyDescent="0.25">
      <c r="T1583" s="135"/>
      <c r="U1583" s="135"/>
    </row>
    <row r="1584" spans="20:21" ht="15" customHeight="1" x14ac:dyDescent="0.25">
      <c r="T1584" s="135"/>
      <c r="U1584" s="135"/>
    </row>
    <row r="1585" spans="20:21" ht="15" customHeight="1" x14ac:dyDescent="0.25">
      <c r="T1585" s="135"/>
      <c r="U1585" s="135"/>
    </row>
    <row r="1586" spans="20:21" ht="15" customHeight="1" x14ac:dyDescent="0.25">
      <c r="T1586" s="135"/>
      <c r="U1586" s="135"/>
    </row>
    <row r="1587" spans="20:21" ht="15" customHeight="1" x14ac:dyDescent="0.25">
      <c r="T1587" s="135"/>
      <c r="U1587" s="135"/>
    </row>
    <row r="1588" spans="20:21" ht="15" customHeight="1" x14ac:dyDescent="0.25">
      <c r="T1588" s="135"/>
      <c r="U1588" s="135"/>
    </row>
    <row r="1589" spans="20:21" ht="15" customHeight="1" x14ac:dyDescent="0.25">
      <c r="T1589" s="135"/>
      <c r="U1589" s="135"/>
    </row>
    <row r="1590" spans="20:21" ht="15" customHeight="1" x14ac:dyDescent="0.25">
      <c r="T1590" s="135"/>
      <c r="U1590" s="135"/>
    </row>
    <row r="1591" spans="20:21" ht="15" customHeight="1" x14ac:dyDescent="0.25">
      <c r="T1591" s="135"/>
      <c r="U1591" s="135"/>
    </row>
    <row r="1592" spans="20:21" ht="15" customHeight="1" x14ac:dyDescent="0.25">
      <c r="T1592" s="135"/>
      <c r="U1592" s="135"/>
    </row>
    <row r="1593" spans="20:21" ht="15" customHeight="1" x14ac:dyDescent="0.25">
      <c r="T1593" s="135"/>
      <c r="U1593" s="135"/>
    </row>
    <row r="1594" spans="20:21" ht="15" customHeight="1" x14ac:dyDescent="0.25">
      <c r="T1594" s="135"/>
      <c r="U1594" s="135"/>
    </row>
    <row r="1595" spans="20:21" ht="15" customHeight="1" x14ac:dyDescent="0.25">
      <c r="T1595" s="135"/>
      <c r="U1595" s="135"/>
    </row>
    <row r="1596" spans="20:21" ht="15" customHeight="1" x14ac:dyDescent="0.25">
      <c r="T1596" s="135"/>
      <c r="U1596" s="135"/>
    </row>
    <row r="1597" spans="20:21" ht="15" customHeight="1" x14ac:dyDescent="0.25">
      <c r="T1597" s="135"/>
      <c r="U1597" s="135"/>
    </row>
    <row r="1598" spans="20:21" ht="15" customHeight="1" x14ac:dyDescent="0.25">
      <c r="T1598" s="135"/>
      <c r="U1598" s="135"/>
    </row>
    <row r="1599" spans="20:21" ht="15" customHeight="1" x14ac:dyDescent="0.25">
      <c r="T1599" s="135"/>
      <c r="U1599" s="135"/>
    </row>
    <row r="1600" spans="20:21" ht="15" customHeight="1" x14ac:dyDescent="0.25">
      <c r="T1600" s="135"/>
      <c r="U1600" s="135"/>
    </row>
    <row r="1601" spans="20:21" ht="15" customHeight="1" x14ac:dyDescent="0.25">
      <c r="T1601" s="135"/>
      <c r="U1601" s="135"/>
    </row>
    <row r="1602" spans="20:21" ht="15" customHeight="1" x14ac:dyDescent="0.25">
      <c r="T1602" s="135"/>
      <c r="U1602" s="135"/>
    </row>
    <row r="1603" spans="20:21" ht="15" customHeight="1" x14ac:dyDescent="0.25">
      <c r="T1603" s="135"/>
      <c r="U1603" s="135"/>
    </row>
    <row r="1604" spans="20:21" ht="15" customHeight="1" x14ac:dyDescent="0.25">
      <c r="T1604" s="135"/>
      <c r="U1604" s="135"/>
    </row>
    <row r="1605" spans="20:21" ht="15" customHeight="1" x14ac:dyDescent="0.25">
      <c r="T1605" s="135"/>
      <c r="U1605" s="135"/>
    </row>
    <row r="1606" spans="20:21" ht="15" customHeight="1" x14ac:dyDescent="0.25">
      <c r="T1606" s="135"/>
      <c r="U1606" s="135"/>
    </row>
    <row r="1607" spans="20:21" ht="15" customHeight="1" x14ac:dyDescent="0.25">
      <c r="T1607" s="135"/>
      <c r="U1607" s="135"/>
    </row>
    <row r="1608" spans="20:21" ht="15" customHeight="1" x14ac:dyDescent="0.25">
      <c r="T1608" s="135"/>
      <c r="U1608" s="135"/>
    </row>
    <row r="1609" spans="20:21" ht="15" customHeight="1" x14ac:dyDescent="0.25">
      <c r="T1609" s="135"/>
      <c r="U1609" s="135"/>
    </row>
    <row r="1610" spans="20:21" ht="15" customHeight="1" x14ac:dyDescent="0.25">
      <c r="T1610" s="135"/>
      <c r="U1610" s="135"/>
    </row>
    <row r="1611" spans="20:21" ht="15" customHeight="1" x14ac:dyDescent="0.25">
      <c r="T1611" s="135"/>
      <c r="U1611" s="135"/>
    </row>
    <row r="1612" spans="20:21" ht="15" customHeight="1" x14ac:dyDescent="0.25">
      <c r="T1612" s="135"/>
      <c r="U1612" s="135"/>
    </row>
    <row r="1613" spans="20:21" ht="15" customHeight="1" x14ac:dyDescent="0.25">
      <c r="T1613" s="135"/>
      <c r="U1613" s="135"/>
    </row>
    <row r="1614" spans="20:21" ht="15" customHeight="1" x14ac:dyDescent="0.25">
      <c r="T1614" s="135"/>
      <c r="U1614" s="135"/>
    </row>
    <row r="1615" spans="20:21" ht="15" customHeight="1" x14ac:dyDescent="0.25">
      <c r="T1615" s="135"/>
      <c r="U1615" s="135"/>
    </row>
    <row r="1616" spans="20:21" ht="15" customHeight="1" x14ac:dyDescent="0.25">
      <c r="T1616" s="135"/>
      <c r="U1616" s="135"/>
    </row>
    <row r="1617" spans="20:21" ht="15" customHeight="1" x14ac:dyDescent="0.25">
      <c r="T1617" s="135"/>
      <c r="U1617" s="135"/>
    </row>
    <row r="1618" spans="20:21" ht="15" customHeight="1" x14ac:dyDescent="0.25">
      <c r="T1618" s="135"/>
      <c r="U1618" s="135"/>
    </row>
    <row r="1619" spans="20:21" ht="15" customHeight="1" x14ac:dyDescent="0.25">
      <c r="T1619" s="135"/>
      <c r="U1619" s="135"/>
    </row>
    <row r="1620" spans="20:21" ht="15" customHeight="1" x14ac:dyDescent="0.25">
      <c r="T1620" s="135"/>
      <c r="U1620" s="135"/>
    </row>
    <row r="1621" spans="20:21" ht="15" customHeight="1" x14ac:dyDescent="0.25">
      <c r="T1621" s="135"/>
      <c r="U1621" s="135"/>
    </row>
    <row r="1622" spans="20:21" ht="15" customHeight="1" x14ac:dyDescent="0.25">
      <c r="T1622" s="135"/>
      <c r="U1622" s="135"/>
    </row>
    <row r="1623" spans="20:21" ht="15" customHeight="1" x14ac:dyDescent="0.25">
      <c r="T1623" s="135"/>
      <c r="U1623" s="135"/>
    </row>
    <row r="1624" spans="20:21" ht="15" customHeight="1" x14ac:dyDescent="0.25">
      <c r="T1624" s="135"/>
      <c r="U1624" s="135"/>
    </row>
    <row r="1625" spans="20:21" ht="15" customHeight="1" x14ac:dyDescent="0.25">
      <c r="T1625" s="135"/>
      <c r="U1625" s="135"/>
    </row>
    <row r="1626" spans="20:21" ht="15" customHeight="1" x14ac:dyDescent="0.25">
      <c r="T1626" s="135"/>
      <c r="U1626" s="135"/>
    </row>
    <row r="1627" spans="20:21" ht="15" customHeight="1" x14ac:dyDescent="0.25">
      <c r="T1627" s="135"/>
      <c r="U1627" s="135"/>
    </row>
    <row r="1628" spans="20:21" ht="15" customHeight="1" x14ac:dyDescent="0.25">
      <c r="T1628" s="135"/>
      <c r="U1628" s="135"/>
    </row>
    <row r="1629" spans="20:21" ht="15" customHeight="1" x14ac:dyDescent="0.25">
      <c r="T1629" s="135"/>
      <c r="U1629" s="135"/>
    </row>
    <row r="1630" spans="20:21" ht="15" customHeight="1" x14ac:dyDescent="0.25">
      <c r="T1630" s="135"/>
      <c r="U1630" s="135"/>
    </row>
    <row r="1631" spans="20:21" ht="15" customHeight="1" x14ac:dyDescent="0.25">
      <c r="T1631" s="135"/>
      <c r="U1631" s="135"/>
    </row>
    <row r="1632" spans="20:21" ht="15" customHeight="1" x14ac:dyDescent="0.25">
      <c r="T1632" s="135"/>
      <c r="U1632" s="135"/>
    </row>
    <row r="1633" spans="20:21" ht="15" customHeight="1" x14ac:dyDescent="0.25">
      <c r="T1633" s="135"/>
      <c r="U1633" s="135"/>
    </row>
    <row r="1634" spans="20:21" ht="15" customHeight="1" x14ac:dyDescent="0.25">
      <c r="T1634" s="135"/>
      <c r="U1634" s="135"/>
    </row>
    <row r="1635" spans="20:21" ht="15" customHeight="1" x14ac:dyDescent="0.25">
      <c r="T1635" s="135"/>
      <c r="U1635" s="135"/>
    </row>
    <row r="1636" spans="20:21" ht="15" customHeight="1" x14ac:dyDescent="0.25">
      <c r="T1636" s="135"/>
      <c r="U1636" s="135"/>
    </row>
    <row r="1637" spans="20:21" ht="15" customHeight="1" x14ac:dyDescent="0.25">
      <c r="T1637" s="135"/>
      <c r="U1637" s="135"/>
    </row>
    <row r="1638" spans="20:21" ht="15" customHeight="1" x14ac:dyDescent="0.25">
      <c r="T1638" s="135"/>
      <c r="U1638" s="135"/>
    </row>
    <row r="1639" spans="20:21" ht="15" customHeight="1" x14ac:dyDescent="0.25">
      <c r="T1639" s="135"/>
      <c r="U1639" s="135"/>
    </row>
    <row r="1640" spans="20:21" ht="15" customHeight="1" x14ac:dyDescent="0.25">
      <c r="T1640" s="135"/>
      <c r="U1640" s="135"/>
    </row>
    <row r="1641" spans="20:21" ht="15" customHeight="1" x14ac:dyDescent="0.25">
      <c r="T1641" s="135"/>
      <c r="U1641" s="135"/>
    </row>
    <row r="1642" spans="20:21" ht="15" customHeight="1" x14ac:dyDescent="0.25">
      <c r="T1642" s="135"/>
      <c r="U1642" s="135"/>
    </row>
    <row r="1643" spans="20:21" ht="15" customHeight="1" x14ac:dyDescent="0.25">
      <c r="T1643" s="135"/>
      <c r="U1643" s="135"/>
    </row>
    <row r="1644" spans="20:21" ht="15" customHeight="1" x14ac:dyDescent="0.25">
      <c r="T1644" s="135"/>
      <c r="U1644" s="135"/>
    </row>
    <row r="1645" spans="20:21" ht="15" customHeight="1" x14ac:dyDescent="0.25">
      <c r="T1645" s="135"/>
      <c r="U1645" s="135"/>
    </row>
    <row r="1646" spans="20:21" ht="15" customHeight="1" x14ac:dyDescent="0.25">
      <c r="T1646" s="135"/>
      <c r="U1646" s="135"/>
    </row>
    <row r="1647" spans="20:21" ht="15" customHeight="1" x14ac:dyDescent="0.25">
      <c r="T1647" s="135"/>
      <c r="U1647" s="135"/>
    </row>
    <row r="1648" spans="20:21" ht="15" customHeight="1" x14ac:dyDescent="0.25">
      <c r="T1648" s="135"/>
      <c r="U1648" s="135"/>
    </row>
    <row r="1649" spans="20:21" ht="15" customHeight="1" x14ac:dyDescent="0.25">
      <c r="T1649" s="135"/>
      <c r="U1649" s="135"/>
    </row>
    <row r="1650" spans="20:21" ht="15" customHeight="1" x14ac:dyDescent="0.25">
      <c r="T1650" s="135"/>
      <c r="U1650" s="135"/>
    </row>
    <row r="1651" spans="20:21" ht="15" customHeight="1" x14ac:dyDescent="0.25">
      <c r="T1651" s="135"/>
      <c r="U1651" s="135"/>
    </row>
    <row r="1652" spans="20:21" ht="15" customHeight="1" x14ac:dyDescent="0.25">
      <c r="T1652" s="135"/>
      <c r="U1652" s="135"/>
    </row>
    <row r="1653" spans="20:21" ht="15" customHeight="1" x14ac:dyDescent="0.25">
      <c r="T1653" s="135"/>
      <c r="U1653" s="135"/>
    </row>
    <row r="1654" spans="20:21" ht="15" customHeight="1" x14ac:dyDescent="0.25">
      <c r="T1654" s="135"/>
      <c r="U1654" s="135"/>
    </row>
    <row r="1655" spans="20:21" ht="15" customHeight="1" x14ac:dyDescent="0.25">
      <c r="T1655" s="135"/>
      <c r="U1655" s="135"/>
    </row>
    <row r="1656" spans="20:21" ht="15" customHeight="1" x14ac:dyDescent="0.25">
      <c r="T1656" s="135"/>
      <c r="U1656" s="135"/>
    </row>
    <row r="1657" spans="20:21" ht="15" customHeight="1" x14ac:dyDescent="0.25">
      <c r="T1657" s="135"/>
      <c r="U1657" s="135"/>
    </row>
    <row r="1658" spans="20:21" ht="15" customHeight="1" x14ac:dyDescent="0.25">
      <c r="T1658" s="135"/>
      <c r="U1658" s="135"/>
    </row>
    <row r="1659" spans="20:21" ht="15" customHeight="1" x14ac:dyDescent="0.25">
      <c r="T1659" s="135"/>
      <c r="U1659" s="135"/>
    </row>
    <row r="1660" spans="20:21" ht="15" customHeight="1" x14ac:dyDescent="0.25">
      <c r="T1660" s="135"/>
      <c r="U1660" s="135"/>
    </row>
    <row r="1661" spans="20:21" ht="15" customHeight="1" x14ac:dyDescent="0.25">
      <c r="T1661" s="135"/>
      <c r="U1661" s="135"/>
    </row>
    <row r="1662" spans="20:21" ht="15" customHeight="1" x14ac:dyDescent="0.25">
      <c r="T1662" s="135"/>
      <c r="U1662" s="135"/>
    </row>
    <row r="1663" spans="20:21" ht="15" customHeight="1" x14ac:dyDescent="0.25">
      <c r="T1663" s="135"/>
      <c r="U1663" s="135"/>
    </row>
    <row r="1664" spans="20:21" ht="15" customHeight="1" x14ac:dyDescent="0.25">
      <c r="T1664" s="135"/>
      <c r="U1664" s="135"/>
    </row>
    <row r="1665" spans="20:21" ht="15" customHeight="1" x14ac:dyDescent="0.25">
      <c r="T1665" s="135"/>
      <c r="U1665" s="135"/>
    </row>
    <row r="1666" spans="20:21" ht="15" customHeight="1" x14ac:dyDescent="0.25">
      <c r="T1666" s="135"/>
      <c r="U1666" s="135"/>
    </row>
    <row r="1667" spans="20:21" ht="15" customHeight="1" x14ac:dyDescent="0.25">
      <c r="T1667" s="135"/>
      <c r="U1667" s="135"/>
    </row>
    <row r="1668" spans="20:21" ht="15" customHeight="1" x14ac:dyDescent="0.25">
      <c r="T1668" s="135"/>
      <c r="U1668" s="135"/>
    </row>
    <row r="1669" spans="20:21" ht="15" customHeight="1" x14ac:dyDescent="0.25">
      <c r="T1669" s="135"/>
      <c r="U1669" s="135"/>
    </row>
    <row r="1670" spans="20:21" ht="15" customHeight="1" x14ac:dyDescent="0.25">
      <c r="T1670" s="135"/>
      <c r="U1670" s="135"/>
    </row>
    <row r="1671" spans="20:21" ht="15" customHeight="1" x14ac:dyDescent="0.25">
      <c r="T1671" s="135"/>
      <c r="U1671" s="135"/>
    </row>
    <row r="1672" spans="20:21" ht="15" customHeight="1" x14ac:dyDescent="0.25">
      <c r="T1672" s="135"/>
      <c r="U1672" s="135"/>
    </row>
    <row r="1673" spans="20:21" ht="15" customHeight="1" x14ac:dyDescent="0.25">
      <c r="T1673" s="135"/>
      <c r="U1673" s="135"/>
    </row>
    <row r="1674" spans="20:21" ht="15" customHeight="1" x14ac:dyDescent="0.25">
      <c r="T1674" s="135"/>
      <c r="U1674" s="135"/>
    </row>
    <row r="1675" spans="20:21" ht="15" customHeight="1" x14ac:dyDescent="0.25">
      <c r="T1675" s="135"/>
      <c r="U1675" s="135"/>
    </row>
    <row r="1676" spans="20:21" ht="15" customHeight="1" x14ac:dyDescent="0.25">
      <c r="T1676" s="135"/>
      <c r="U1676" s="135"/>
    </row>
    <row r="1677" spans="20:21" ht="15" customHeight="1" x14ac:dyDescent="0.25">
      <c r="T1677" s="135"/>
      <c r="U1677" s="135"/>
    </row>
    <row r="1678" spans="20:21" ht="15" customHeight="1" x14ac:dyDescent="0.25">
      <c r="T1678" s="135"/>
      <c r="U1678" s="135"/>
    </row>
    <row r="1679" spans="20:21" ht="15" customHeight="1" x14ac:dyDescent="0.25">
      <c r="T1679" s="135"/>
      <c r="U1679" s="135"/>
    </row>
    <row r="1680" spans="20:21" ht="15" customHeight="1" x14ac:dyDescent="0.25">
      <c r="T1680" s="135"/>
      <c r="U1680" s="135"/>
    </row>
    <row r="1681" spans="20:21" ht="15" customHeight="1" x14ac:dyDescent="0.25">
      <c r="T1681" s="135"/>
      <c r="U1681" s="135"/>
    </row>
    <row r="1682" spans="20:21" ht="15" customHeight="1" x14ac:dyDescent="0.25">
      <c r="T1682" s="135"/>
      <c r="U1682" s="135"/>
    </row>
    <row r="1683" spans="20:21" ht="15" customHeight="1" x14ac:dyDescent="0.25">
      <c r="T1683" s="135"/>
      <c r="U1683" s="135"/>
    </row>
    <row r="1684" spans="20:21" ht="15" customHeight="1" x14ac:dyDescent="0.25">
      <c r="T1684" s="135"/>
      <c r="U1684" s="135"/>
    </row>
    <row r="1685" spans="20:21" ht="15" customHeight="1" x14ac:dyDescent="0.25">
      <c r="T1685" s="135"/>
      <c r="U1685" s="135"/>
    </row>
    <row r="1686" spans="20:21" ht="15" customHeight="1" x14ac:dyDescent="0.25">
      <c r="T1686" s="135"/>
      <c r="U1686" s="135"/>
    </row>
    <row r="1687" spans="20:21" ht="15" customHeight="1" x14ac:dyDescent="0.25">
      <c r="T1687" s="135"/>
      <c r="U1687" s="135"/>
    </row>
    <row r="1688" spans="20:21" ht="15" customHeight="1" x14ac:dyDescent="0.25">
      <c r="T1688" s="135"/>
      <c r="U1688" s="135"/>
    </row>
    <row r="1689" spans="20:21" ht="15" customHeight="1" x14ac:dyDescent="0.25">
      <c r="T1689" s="135"/>
      <c r="U1689" s="135"/>
    </row>
    <row r="1690" spans="20:21" ht="15" customHeight="1" x14ac:dyDescent="0.25">
      <c r="T1690" s="135"/>
      <c r="U1690" s="135"/>
    </row>
    <row r="1691" spans="20:21" ht="15" customHeight="1" x14ac:dyDescent="0.25">
      <c r="T1691" s="135"/>
      <c r="U1691" s="135"/>
    </row>
    <row r="1692" spans="20:21" ht="15" customHeight="1" x14ac:dyDescent="0.25">
      <c r="T1692" s="135"/>
      <c r="U1692" s="135"/>
    </row>
    <row r="1693" spans="20:21" ht="15" customHeight="1" x14ac:dyDescent="0.25">
      <c r="T1693" s="135"/>
      <c r="U1693" s="135"/>
    </row>
    <row r="1694" spans="20:21" ht="15" customHeight="1" x14ac:dyDescent="0.25">
      <c r="T1694" s="135"/>
      <c r="U1694" s="135"/>
    </row>
    <row r="1695" spans="20:21" ht="15" customHeight="1" x14ac:dyDescent="0.25">
      <c r="T1695" s="135"/>
      <c r="U1695" s="135"/>
    </row>
    <row r="1696" spans="20:21" ht="15" customHeight="1" x14ac:dyDescent="0.25">
      <c r="T1696" s="135"/>
      <c r="U1696" s="135"/>
    </row>
    <row r="1697" spans="20:21" ht="15" customHeight="1" x14ac:dyDescent="0.25">
      <c r="T1697" s="135"/>
      <c r="U1697" s="135"/>
    </row>
    <row r="1698" spans="20:21" ht="15" customHeight="1" x14ac:dyDescent="0.25">
      <c r="T1698" s="135"/>
      <c r="U1698" s="135"/>
    </row>
    <row r="1699" spans="20:21" ht="15" customHeight="1" x14ac:dyDescent="0.25">
      <c r="T1699" s="135"/>
      <c r="U1699" s="135"/>
    </row>
    <row r="1700" spans="20:21" ht="15" customHeight="1" x14ac:dyDescent="0.25">
      <c r="T1700" s="135"/>
      <c r="U1700" s="135"/>
    </row>
    <row r="1701" spans="20:21" ht="15" customHeight="1" x14ac:dyDescent="0.25">
      <c r="T1701" s="135"/>
      <c r="U1701" s="135"/>
    </row>
    <row r="1702" spans="20:21" ht="15" customHeight="1" x14ac:dyDescent="0.25">
      <c r="T1702" s="135"/>
      <c r="U1702" s="135"/>
    </row>
    <row r="1703" spans="20:21" ht="15" customHeight="1" x14ac:dyDescent="0.25">
      <c r="T1703" s="135"/>
      <c r="U1703" s="135"/>
    </row>
    <row r="1704" spans="20:21" ht="15" customHeight="1" x14ac:dyDescent="0.25">
      <c r="T1704" s="135"/>
      <c r="U1704" s="135"/>
    </row>
    <row r="1705" spans="20:21" ht="15" customHeight="1" x14ac:dyDescent="0.25">
      <c r="T1705" s="135"/>
      <c r="U1705" s="135"/>
    </row>
    <row r="1706" spans="20:21" ht="15" customHeight="1" x14ac:dyDescent="0.25">
      <c r="T1706" s="135"/>
      <c r="U1706" s="135"/>
    </row>
    <row r="1707" spans="20:21" ht="15" customHeight="1" x14ac:dyDescent="0.25">
      <c r="T1707" s="135"/>
      <c r="U1707" s="135"/>
    </row>
    <row r="1708" spans="20:21" ht="15" customHeight="1" x14ac:dyDescent="0.25">
      <c r="T1708" s="135"/>
      <c r="U1708" s="135"/>
    </row>
    <row r="1709" spans="20:21" ht="15" customHeight="1" x14ac:dyDescent="0.25">
      <c r="T1709" s="135"/>
      <c r="U1709" s="135"/>
    </row>
    <row r="1710" spans="20:21" ht="15" customHeight="1" x14ac:dyDescent="0.25">
      <c r="T1710" s="135"/>
      <c r="U1710" s="135"/>
    </row>
    <row r="1711" spans="20:21" ht="15" customHeight="1" x14ac:dyDescent="0.25">
      <c r="T1711" s="135"/>
      <c r="U1711" s="135"/>
    </row>
    <row r="1712" spans="20:21" ht="15" customHeight="1" x14ac:dyDescent="0.25">
      <c r="T1712" s="135"/>
      <c r="U1712" s="135"/>
    </row>
    <row r="1713" spans="20:21" ht="15" customHeight="1" x14ac:dyDescent="0.25">
      <c r="T1713" s="135"/>
      <c r="U1713" s="135"/>
    </row>
    <row r="1714" spans="20:21" ht="15" customHeight="1" x14ac:dyDescent="0.25">
      <c r="T1714" s="135"/>
      <c r="U1714" s="135"/>
    </row>
    <row r="1715" spans="20:21" ht="15" customHeight="1" x14ac:dyDescent="0.25">
      <c r="T1715" s="135"/>
      <c r="U1715" s="135"/>
    </row>
    <row r="1716" spans="20:21" ht="15" customHeight="1" x14ac:dyDescent="0.25">
      <c r="T1716" s="135"/>
      <c r="U1716" s="135"/>
    </row>
    <row r="1717" spans="20:21" ht="15" customHeight="1" x14ac:dyDescent="0.25">
      <c r="T1717" s="135"/>
      <c r="U1717" s="135"/>
    </row>
    <row r="1718" spans="20:21" ht="15" customHeight="1" x14ac:dyDescent="0.25">
      <c r="T1718" s="135"/>
      <c r="U1718" s="135"/>
    </row>
    <row r="1719" spans="20:21" ht="15" customHeight="1" x14ac:dyDescent="0.25">
      <c r="T1719" s="135"/>
      <c r="U1719" s="135"/>
    </row>
    <row r="1720" spans="20:21" ht="15" customHeight="1" x14ac:dyDescent="0.25">
      <c r="T1720" s="135"/>
      <c r="U1720" s="135"/>
    </row>
    <row r="1721" spans="20:21" ht="15" customHeight="1" x14ac:dyDescent="0.25">
      <c r="T1721" s="135"/>
      <c r="U1721" s="135"/>
    </row>
    <row r="1722" spans="20:21" ht="15" customHeight="1" x14ac:dyDescent="0.25">
      <c r="T1722" s="135"/>
      <c r="U1722" s="135"/>
    </row>
    <row r="1723" spans="20:21" ht="15" customHeight="1" x14ac:dyDescent="0.25">
      <c r="T1723" s="135"/>
      <c r="U1723" s="135"/>
    </row>
    <row r="1724" spans="20:21" ht="15" customHeight="1" x14ac:dyDescent="0.25">
      <c r="T1724" s="135"/>
      <c r="U1724" s="135"/>
    </row>
    <row r="1725" spans="20:21" ht="15" customHeight="1" x14ac:dyDescent="0.25">
      <c r="T1725" s="135"/>
      <c r="U1725" s="135"/>
    </row>
    <row r="1726" spans="20:21" ht="15" customHeight="1" x14ac:dyDescent="0.25">
      <c r="T1726" s="135"/>
      <c r="U1726" s="135"/>
    </row>
    <row r="1727" spans="20:21" ht="15" customHeight="1" x14ac:dyDescent="0.25">
      <c r="T1727" s="135"/>
      <c r="U1727" s="135"/>
    </row>
    <row r="1728" spans="20:21" ht="15" customHeight="1" x14ac:dyDescent="0.25">
      <c r="T1728" s="135"/>
      <c r="U1728" s="135"/>
    </row>
    <row r="1729" spans="20:21" ht="15" customHeight="1" x14ac:dyDescent="0.25">
      <c r="T1729" s="135"/>
      <c r="U1729" s="135"/>
    </row>
    <row r="1730" spans="20:21" ht="15" customHeight="1" x14ac:dyDescent="0.25">
      <c r="T1730" s="135"/>
      <c r="U1730" s="135"/>
    </row>
    <row r="1731" spans="20:21" ht="15" customHeight="1" x14ac:dyDescent="0.25">
      <c r="T1731" s="135"/>
      <c r="U1731" s="135"/>
    </row>
    <row r="1732" spans="20:21" ht="15" customHeight="1" x14ac:dyDescent="0.25">
      <c r="T1732" s="135"/>
      <c r="U1732" s="135"/>
    </row>
    <row r="1733" spans="20:21" ht="15" customHeight="1" x14ac:dyDescent="0.25">
      <c r="T1733" s="135"/>
      <c r="U1733" s="135"/>
    </row>
    <row r="1734" spans="20:21" ht="15" customHeight="1" x14ac:dyDescent="0.25">
      <c r="T1734" s="135"/>
      <c r="U1734" s="135"/>
    </row>
    <row r="1735" spans="20:21" ht="15" customHeight="1" x14ac:dyDescent="0.25">
      <c r="T1735" s="135"/>
      <c r="U1735" s="135"/>
    </row>
    <row r="1736" spans="20:21" ht="15" customHeight="1" x14ac:dyDescent="0.25">
      <c r="T1736" s="135"/>
      <c r="U1736" s="135"/>
    </row>
    <row r="1737" spans="20:21" ht="15" customHeight="1" x14ac:dyDescent="0.25">
      <c r="T1737" s="135"/>
      <c r="U1737" s="135"/>
    </row>
    <row r="1738" spans="20:21" ht="15" customHeight="1" x14ac:dyDescent="0.25">
      <c r="T1738" s="135"/>
      <c r="U1738" s="135"/>
    </row>
    <row r="1739" spans="20:21" ht="15" customHeight="1" x14ac:dyDescent="0.25">
      <c r="T1739" s="135"/>
      <c r="U1739" s="135"/>
    </row>
    <row r="1740" spans="20:21" ht="15" customHeight="1" x14ac:dyDescent="0.25">
      <c r="T1740" s="135"/>
      <c r="U1740" s="135"/>
    </row>
    <row r="1741" spans="20:21" ht="15" customHeight="1" x14ac:dyDescent="0.25">
      <c r="T1741" s="135"/>
      <c r="U1741" s="135"/>
    </row>
    <row r="1742" spans="20:21" ht="15" customHeight="1" x14ac:dyDescent="0.25">
      <c r="T1742" s="135"/>
      <c r="U1742" s="135"/>
    </row>
    <row r="1743" spans="20:21" ht="15" customHeight="1" x14ac:dyDescent="0.25">
      <c r="T1743" s="135"/>
      <c r="U1743" s="135"/>
    </row>
    <row r="1744" spans="20:21" ht="15" customHeight="1" x14ac:dyDescent="0.25">
      <c r="T1744" s="135"/>
      <c r="U1744" s="135"/>
    </row>
    <row r="1745" spans="20:21" ht="15" customHeight="1" x14ac:dyDescent="0.25">
      <c r="T1745" s="135"/>
      <c r="U1745" s="135"/>
    </row>
    <row r="1746" spans="20:21" ht="15" customHeight="1" x14ac:dyDescent="0.25">
      <c r="T1746" s="135"/>
      <c r="U1746" s="135"/>
    </row>
    <row r="1747" spans="20:21" ht="15" customHeight="1" x14ac:dyDescent="0.25">
      <c r="T1747" s="135"/>
      <c r="U1747" s="135"/>
    </row>
    <row r="1748" spans="20:21" ht="15" customHeight="1" x14ac:dyDescent="0.25">
      <c r="T1748" s="135"/>
      <c r="U1748" s="135"/>
    </row>
    <row r="1749" spans="20:21" ht="15" customHeight="1" x14ac:dyDescent="0.25">
      <c r="T1749" s="135"/>
      <c r="U1749" s="135"/>
    </row>
    <row r="1750" spans="20:21" ht="15" customHeight="1" x14ac:dyDescent="0.25">
      <c r="T1750" s="135"/>
      <c r="U1750" s="135"/>
    </row>
    <row r="1751" spans="20:21" ht="15" customHeight="1" x14ac:dyDescent="0.25">
      <c r="T1751" s="135"/>
      <c r="U1751" s="135"/>
    </row>
    <row r="1752" spans="20:21" ht="15" customHeight="1" x14ac:dyDescent="0.25">
      <c r="T1752" s="135"/>
      <c r="U1752" s="135"/>
    </row>
    <row r="1753" spans="20:21" ht="15" customHeight="1" x14ac:dyDescent="0.25">
      <c r="T1753" s="135"/>
      <c r="U1753" s="135"/>
    </row>
    <row r="1754" spans="20:21" ht="15" customHeight="1" x14ac:dyDescent="0.25">
      <c r="T1754" s="135"/>
      <c r="U1754" s="135"/>
    </row>
    <row r="1755" spans="20:21" ht="15" customHeight="1" x14ac:dyDescent="0.25">
      <c r="T1755" s="135"/>
      <c r="U1755" s="135"/>
    </row>
    <row r="1756" spans="20:21" ht="15" customHeight="1" x14ac:dyDescent="0.25">
      <c r="T1756" s="135"/>
      <c r="U1756" s="135"/>
    </row>
    <row r="1757" spans="20:21" ht="15" customHeight="1" x14ac:dyDescent="0.25">
      <c r="T1757" s="135"/>
      <c r="U1757" s="135"/>
    </row>
    <row r="1758" spans="20:21" ht="15" customHeight="1" x14ac:dyDescent="0.25">
      <c r="T1758" s="135"/>
      <c r="U1758" s="135"/>
    </row>
    <row r="1759" spans="20:21" ht="15" customHeight="1" x14ac:dyDescent="0.25">
      <c r="T1759" s="135"/>
      <c r="U1759" s="135"/>
    </row>
    <row r="1760" spans="20:21" ht="15" customHeight="1" x14ac:dyDescent="0.25">
      <c r="T1760" s="135"/>
      <c r="U1760" s="135"/>
    </row>
    <row r="1761" spans="20:21" ht="15" customHeight="1" x14ac:dyDescent="0.25">
      <c r="T1761" s="135"/>
      <c r="U1761" s="135"/>
    </row>
    <row r="1762" spans="20:21" ht="15" customHeight="1" x14ac:dyDescent="0.25">
      <c r="T1762" s="135"/>
      <c r="U1762" s="135"/>
    </row>
    <row r="1763" spans="20:21" ht="15" customHeight="1" x14ac:dyDescent="0.25">
      <c r="T1763" s="135"/>
      <c r="U1763" s="135"/>
    </row>
    <row r="1764" spans="20:21" ht="15" customHeight="1" x14ac:dyDescent="0.25">
      <c r="T1764" s="135"/>
      <c r="U1764" s="135"/>
    </row>
    <row r="1765" spans="20:21" ht="15" customHeight="1" x14ac:dyDescent="0.25">
      <c r="T1765" s="135"/>
      <c r="U1765" s="135"/>
    </row>
    <row r="1766" spans="20:21" ht="15" customHeight="1" x14ac:dyDescent="0.25">
      <c r="T1766" s="135"/>
      <c r="U1766" s="135"/>
    </row>
    <row r="1767" spans="20:21" ht="15" customHeight="1" x14ac:dyDescent="0.25">
      <c r="T1767" s="135"/>
      <c r="U1767" s="135"/>
    </row>
    <row r="1768" spans="20:21" ht="15" customHeight="1" x14ac:dyDescent="0.25">
      <c r="T1768" s="135"/>
      <c r="U1768" s="135"/>
    </row>
    <row r="1769" spans="20:21" ht="15" customHeight="1" x14ac:dyDescent="0.25">
      <c r="T1769" s="135"/>
      <c r="U1769" s="135"/>
    </row>
    <row r="1770" spans="20:21" ht="15" customHeight="1" x14ac:dyDescent="0.25">
      <c r="T1770" s="135"/>
      <c r="U1770" s="135"/>
    </row>
    <row r="1771" spans="20:21" ht="15" customHeight="1" x14ac:dyDescent="0.25">
      <c r="T1771" s="135"/>
      <c r="U1771" s="135"/>
    </row>
    <row r="1772" spans="20:21" ht="15" customHeight="1" x14ac:dyDescent="0.25">
      <c r="T1772" s="135"/>
      <c r="U1772" s="135"/>
    </row>
    <row r="1773" spans="20:21" ht="15" customHeight="1" x14ac:dyDescent="0.25">
      <c r="T1773" s="135"/>
      <c r="U1773" s="135"/>
    </row>
    <row r="1774" spans="20:21" ht="15" customHeight="1" x14ac:dyDescent="0.25">
      <c r="T1774" s="135"/>
      <c r="U1774" s="135"/>
    </row>
    <row r="1775" spans="20:21" ht="15" customHeight="1" x14ac:dyDescent="0.25">
      <c r="T1775" s="135"/>
      <c r="U1775" s="135"/>
    </row>
    <row r="1776" spans="20:21" ht="15" customHeight="1" x14ac:dyDescent="0.25">
      <c r="T1776" s="135"/>
      <c r="U1776" s="135"/>
    </row>
    <row r="1777" spans="20:21" ht="15" customHeight="1" x14ac:dyDescent="0.25">
      <c r="T1777" s="135"/>
      <c r="U1777" s="135"/>
    </row>
    <row r="1778" spans="20:21" ht="15" customHeight="1" x14ac:dyDescent="0.25">
      <c r="T1778" s="135"/>
      <c r="U1778" s="135"/>
    </row>
    <row r="1779" spans="20:21" ht="15" customHeight="1" x14ac:dyDescent="0.25">
      <c r="T1779" s="135"/>
      <c r="U1779" s="135"/>
    </row>
    <row r="1780" spans="20:21" ht="15" customHeight="1" x14ac:dyDescent="0.25">
      <c r="T1780" s="135"/>
      <c r="U1780" s="135"/>
    </row>
    <row r="1781" spans="20:21" ht="15" customHeight="1" x14ac:dyDescent="0.25">
      <c r="T1781" s="135"/>
      <c r="U1781" s="135"/>
    </row>
    <row r="1782" spans="20:21" ht="15" customHeight="1" x14ac:dyDescent="0.25">
      <c r="T1782" s="135"/>
      <c r="U1782" s="135"/>
    </row>
    <row r="1783" spans="20:21" ht="15" customHeight="1" x14ac:dyDescent="0.25">
      <c r="T1783" s="135"/>
      <c r="U1783" s="135"/>
    </row>
    <row r="1784" spans="20:21" ht="15" customHeight="1" x14ac:dyDescent="0.25">
      <c r="T1784" s="135"/>
      <c r="U1784" s="135"/>
    </row>
    <row r="1785" spans="20:21" ht="15" customHeight="1" x14ac:dyDescent="0.25">
      <c r="T1785" s="135"/>
      <c r="U1785" s="135"/>
    </row>
    <row r="1786" spans="20:21" ht="15" customHeight="1" x14ac:dyDescent="0.25">
      <c r="T1786" s="135"/>
      <c r="U1786" s="135"/>
    </row>
    <row r="1787" spans="20:21" ht="15" customHeight="1" x14ac:dyDescent="0.25">
      <c r="T1787" s="135"/>
      <c r="U1787" s="135"/>
    </row>
    <row r="1788" spans="20:21" ht="15" customHeight="1" x14ac:dyDescent="0.25">
      <c r="T1788" s="135"/>
      <c r="U1788" s="135"/>
    </row>
    <row r="1789" spans="20:21" ht="15" customHeight="1" x14ac:dyDescent="0.25">
      <c r="T1789" s="135"/>
      <c r="U1789" s="135"/>
    </row>
    <row r="1790" spans="20:21" ht="15" customHeight="1" x14ac:dyDescent="0.25">
      <c r="T1790" s="135"/>
      <c r="U1790" s="135"/>
    </row>
    <row r="1791" spans="20:21" ht="15" customHeight="1" x14ac:dyDescent="0.25">
      <c r="T1791" s="135"/>
      <c r="U1791" s="135"/>
    </row>
    <row r="1792" spans="20:21" ht="15" customHeight="1" x14ac:dyDescent="0.25">
      <c r="T1792" s="135"/>
      <c r="U1792" s="135"/>
    </row>
    <row r="1793" spans="20:21" ht="15" customHeight="1" x14ac:dyDescent="0.25">
      <c r="T1793" s="135"/>
      <c r="U1793" s="135"/>
    </row>
    <row r="1794" spans="20:21" ht="15" customHeight="1" x14ac:dyDescent="0.25">
      <c r="T1794" s="135"/>
      <c r="U1794" s="135"/>
    </row>
    <row r="1795" spans="20:21" ht="15" customHeight="1" x14ac:dyDescent="0.25">
      <c r="T1795" s="135"/>
      <c r="U1795" s="135"/>
    </row>
    <row r="1796" spans="20:21" ht="15" customHeight="1" x14ac:dyDescent="0.25">
      <c r="T1796" s="135"/>
      <c r="U1796" s="135"/>
    </row>
    <row r="1797" spans="20:21" ht="15" customHeight="1" x14ac:dyDescent="0.25">
      <c r="T1797" s="135"/>
      <c r="U1797" s="135"/>
    </row>
    <row r="1798" spans="20:21" ht="15" customHeight="1" x14ac:dyDescent="0.25">
      <c r="T1798" s="135"/>
      <c r="U1798" s="135"/>
    </row>
    <row r="1799" spans="20:21" ht="15" customHeight="1" x14ac:dyDescent="0.25">
      <c r="T1799" s="135"/>
      <c r="U1799" s="135"/>
    </row>
    <row r="1800" spans="20:21" ht="15" customHeight="1" x14ac:dyDescent="0.25">
      <c r="T1800" s="135"/>
      <c r="U1800" s="135"/>
    </row>
    <row r="1801" spans="20:21" ht="15" customHeight="1" x14ac:dyDescent="0.25">
      <c r="T1801" s="135"/>
      <c r="U1801" s="135"/>
    </row>
    <row r="1802" spans="20:21" ht="15" customHeight="1" x14ac:dyDescent="0.25">
      <c r="T1802" s="135"/>
      <c r="U1802" s="135"/>
    </row>
    <row r="1803" spans="20:21" ht="15" customHeight="1" x14ac:dyDescent="0.25">
      <c r="T1803" s="135"/>
      <c r="U1803" s="135"/>
    </row>
    <row r="1804" spans="20:21" ht="15" customHeight="1" x14ac:dyDescent="0.25">
      <c r="T1804" s="135"/>
      <c r="U1804" s="135"/>
    </row>
    <row r="1805" spans="20:21" ht="15" customHeight="1" x14ac:dyDescent="0.25">
      <c r="T1805" s="135"/>
      <c r="U1805" s="135"/>
    </row>
    <row r="1806" spans="20:21" ht="15" customHeight="1" x14ac:dyDescent="0.25">
      <c r="T1806" s="135"/>
      <c r="U1806" s="135"/>
    </row>
    <row r="1807" spans="20:21" ht="15" customHeight="1" x14ac:dyDescent="0.25">
      <c r="T1807" s="135"/>
      <c r="U1807" s="135"/>
    </row>
    <row r="1808" spans="20:21" ht="15" customHeight="1" x14ac:dyDescent="0.25">
      <c r="T1808" s="135"/>
      <c r="U1808" s="135"/>
    </row>
    <row r="1809" spans="20:21" ht="15" customHeight="1" x14ac:dyDescent="0.25">
      <c r="T1809" s="135"/>
      <c r="U1809" s="135"/>
    </row>
    <row r="1810" spans="20:21" ht="15" customHeight="1" x14ac:dyDescent="0.25">
      <c r="T1810" s="135"/>
      <c r="U1810" s="135"/>
    </row>
    <row r="1811" spans="20:21" ht="15" customHeight="1" x14ac:dyDescent="0.25">
      <c r="T1811" s="135"/>
      <c r="U1811" s="135"/>
    </row>
    <row r="1812" spans="20:21" ht="15" customHeight="1" x14ac:dyDescent="0.25">
      <c r="T1812" s="135"/>
      <c r="U1812" s="135"/>
    </row>
    <row r="1813" spans="20:21" ht="15" customHeight="1" x14ac:dyDescent="0.25">
      <c r="T1813" s="135"/>
      <c r="U1813" s="135"/>
    </row>
    <row r="1814" spans="20:21" ht="15" customHeight="1" x14ac:dyDescent="0.25">
      <c r="T1814" s="135"/>
      <c r="U1814" s="135"/>
    </row>
    <row r="1815" spans="20:21" ht="15" customHeight="1" x14ac:dyDescent="0.25">
      <c r="T1815" s="135"/>
      <c r="U1815" s="135"/>
    </row>
    <row r="1816" spans="20:21" ht="15" customHeight="1" x14ac:dyDescent="0.25">
      <c r="T1816" s="135"/>
      <c r="U1816" s="135"/>
    </row>
    <row r="1817" spans="20:21" ht="15" customHeight="1" x14ac:dyDescent="0.25">
      <c r="T1817" s="135"/>
      <c r="U1817" s="135"/>
    </row>
    <row r="1818" spans="20:21" ht="15" customHeight="1" x14ac:dyDescent="0.25">
      <c r="T1818" s="135"/>
      <c r="U1818" s="135"/>
    </row>
    <row r="1819" spans="20:21" ht="15" customHeight="1" x14ac:dyDescent="0.25">
      <c r="T1819" s="135"/>
      <c r="U1819" s="135"/>
    </row>
    <row r="1820" spans="20:21" ht="15" customHeight="1" x14ac:dyDescent="0.25">
      <c r="T1820" s="135"/>
      <c r="U1820" s="135"/>
    </row>
    <row r="1821" spans="20:21" ht="15" customHeight="1" x14ac:dyDescent="0.25">
      <c r="T1821" s="135"/>
      <c r="U1821" s="135"/>
    </row>
    <row r="1822" spans="20:21" ht="15" customHeight="1" x14ac:dyDescent="0.25">
      <c r="T1822" s="135"/>
      <c r="U1822" s="135"/>
    </row>
    <row r="1823" spans="20:21" ht="15" customHeight="1" x14ac:dyDescent="0.25">
      <c r="T1823" s="135"/>
      <c r="U1823" s="135"/>
    </row>
    <row r="1824" spans="20:21" ht="15" customHeight="1" x14ac:dyDescent="0.25">
      <c r="T1824" s="135"/>
      <c r="U1824" s="135"/>
    </row>
    <row r="1825" spans="20:21" ht="15" customHeight="1" x14ac:dyDescent="0.25">
      <c r="T1825" s="135"/>
      <c r="U1825" s="135"/>
    </row>
    <row r="1826" spans="20:21" ht="15" customHeight="1" x14ac:dyDescent="0.25">
      <c r="T1826" s="135"/>
      <c r="U1826" s="135"/>
    </row>
    <row r="1827" spans="20:21" ht="15" customHeight="1" x14ac:dyDescent="0.25">
      <c r="T1827" s="135"/>
      <c r="U1827" s="135"/>
    </row>
    <row r="1828" spans="20:21" ht="15" customHeight="1" x14ac:dyDescent="0.25">
      <c r="T1828" s="135"/>
      <c r="U1828" s="135"/>
    </row>
    <row r="1829" spans="20:21" ht="15" customHeight="1" x14ac:dyDescent="0.25">
      <c r="T1829" s="135"/>
      <c r="U1829" s="135"/>
    </row>
    <row r="1830" spans="20:21" ht="15" customHeight="1" x14ac:dyDescent="0.25">
      <c r="T1830" s="135"/>
      <c r="U1830" s="135"/>
    </row>
    <row r="1831" spans="20:21" ht="15" customHeight="1" x14ac:dyDescent="0.25">
      <c r="T1831" s="135"/>
      <c r="U1831" s="135"/>
    </row>
    <row r="1832" spans="20:21" ht="15" customHeight="1" x14ac:dyDescent="0.25">
      <c r="T1832" s="135"/>
      <c r="U1832" s="135"/>
    </row>
    <row r="1833" spans="20:21" ht="15" customHeight="1" x14ac:dyDescent="0.25">
      <c r="T1833" s="135"/>
      <c r="U1833" s="135"/>
    </row>
    <row r="1834" spans="20:21" ht="15" customHeight="1" x14ac:dyDescent="0.25">
      <c r="T1834" s="135"/>
      <c r="U1834" s="135"/>
    </row>
    <row r="1835" spans="20:21" ht="15" customHeight="1" x14ac:dyDescent="0.25">
      <c r="T1835" s="135"/>
      <c r="U1835" s="135"/>
    </row>
    <row r="1836" spans="20:21" ht="15" customHeight="1" x14ac:dyDescent="0.25">
      <c r="T1836" s="135"/>
      <c r="U1836" s="135"/>
    </row>
    <row r="1837" spans="20:21" ht="15" customHeight="1" x14ac:dyDescent="0.25">
      <c r="T1837" s="135"/>
      <c r="U1837" s="135"/>
    </row>
    <row r="1838" spans="20:21" ht="15" customHeight="1" x14ac:dyDescent="0.25">
      <c r="T1838" s="135"/>
      <c r="U1838" s="135"/>
    </row>
    <row r="1839" spans="20:21" ht="15" customHeight="1" x14ac:dyDescent="0.25">
      <c r="T1839" s="135"/>
      <c r="U1839" s="135"/>
    </row>
    <row r="1840" spans="20:21" ht="15" customHeight="1" x14ac:dyDescent="0.25">
      <c r="T1840" s="135"/>
      <c r="U1840" s="135"/>
    </row>
    <row r="1841" spans="20:21" ht="15" customHeight="1" x14ac:dyDescent="0.25">
      <c r="T1841" s="135"/>
      <c r="U1841" s="135"/>
    </row>
    <row r="1842" spans="20:21" ht="15" customHeight="1" x14ac:dyDescent="0.25">
      <c r="T1842" s="135"/>
      <c r="U1842" s="135"/>
    </row>
    <row r="1843" spans="20:21" ht="15" customHeight="1" x14ac:dyDescent="0.25">
      <c r="T1843" s="135"/>
      <c r="U1843" s="135"/>
    </row>
    <row r="1844" spans="20:21" ht="15" customHeight="1" x14ac:dyDescent="0.25">
      <c r="T1844" s="135"/>
      <c r="U1844" s="135"/>
    </row>
    <row r="1845" spans="20:21" ht="15" customHeight="1" x14ac:dyDescent="0.25">
      <c r="T1845" s="135"/>
      <c r="U1845" s="135"/>
    </row>
    <row r="1846" spans="20:21" ht="15" customHeight="1" x14ac:dyDescent="0.25">
      <c r="T1846" s="135"/>
      <c r="U1846" s="135"/>
    </row>
    <row r="1847" spans="20:21" ht="15" customHeight="1" x14ac:dyDescent="0.25">
      <c r="T1847" s="135"/>
      <c r="U1847" s="135"/>
    </row>
    <row r="1848" spans="20:21" ht="15" customHeight="1" x14ac:dyDescent="0.25">
      <c r="T1848" s="135"/>
      <c r="U1848" s="135"/>
    </row>
    <row r="1849" spans="20:21" ht="15" customHeight="1" x14ac:dyDescent="0.25">
      <c r="T1849" s="135"/>
      <c r="U1849" s="135"/>
    </row>
    <row r="1850" spans="20:21" ht="15" customHeight="1" x14ac:dyDescent="0.25">
      <c r="T1850" s="135"/>
      <c r="U1850" s="135"/>
    </row>
    <row r="1851" spans="20:21" ht="15" customHeight="1" x14ac:dyDescent="0.25">
      <c r="T1851" s="135"/>
      <c r="U1851" s="135"/>
    </row>
    <row r="1852" spans="20:21" ht="15" customHeight="1" x14ac:dyDescent="0.25">
      <c r="T1852" s="135"/>
      <c r="U1852" s="135"/>
    </row>
    <row r="1853" spans="20:21" ht="15" customHeight="1" x14ac:dyDescent="0.25">
      <c r="T1853" s="135"/>
      <c r="U1853" s="135"/>
    </row>
    <row r="1854" spans="20:21" ht="15" customHeight="1" x14ac:dyDescent="0.25">
      <c r="T1854" s="135"/>
      <c r="U1854" s="135"/>
    </row>
    <row r="1855" spans="20:21" ht="15" customHeight="1" x14ac:dyDescent="0.25">
      <c r="T1855" s="135"/>
      <c r="U1855" s="135"/>
    </row>
    <row r="1856" spans="20:21" ht="15" customHeight="1" x14ac:dyDescent="0.25">
      <c r="T1856" s="135"/>
      <c r="U1856" s="135"/>
    </row>
    <row r="1857" spans="20:21" ht="15" customHeight="1" x14ac:dyDescent="0.25">
      <c r="T1857" s="135"/>
      <c r="U1857" s="135"/>
    </row>
    <row r="1858" spans="20:21" ht="15" customHeight="1" x14ac:dyDescent="0.25">
      <c r="T1858" s="135"/>
      <c r="U1858" s="135"/>
    </row>
    <row r="1859" spans="20:21" ht="15" customHeight="1" x14ac:dyDescent="0.25">
      <c r="T1859" s="135"/>
      <c r="U1859" s="135"/>
    </row>
    <row r="1860" spans="20:21" ht="15" customHeight="1" x14ac:dyDescent="0.25">
      <c r="T1860" s="135"/>
      <c r="U1860" s="135"/>
    </row>
    <row r="1861" spans="20:21" ht="15" customHeight="1" x14ac:dyDescent="0.25">
      <c r="T1861" s="135"/>
      <c r="U1861" s="135"/>
    </row>
    <row r="1862" spans="20:21" ht="15" customHeight="1" x14ac:dyDescent="0.25">
      <c r="T1862" s="135"/>
      <c r="U1862" s="135"/>
    </row>
    <row r="1863" spans="20:21" ht="15" customHeight="1" x14ac:dyDescent="0.25">
      <c r="T1863" s="135"/>
      <c r="U1863" s="135"/>
    </row>
    <row r="1864" spans="20:21" ht="15" customHeight="1" x14ac:dyDescent="0.25">
      <c r="T1864" s="135"/>
      <c r="U1864" s="135"/>
    </row>
    <row r="1865" spans="20:21" ht="15" customHeight="1" x14ac:dyDescent="0.25">
      <c r="T1865" s="135"/>
      <c r="U1865" s="135"/>
    </row>
    <row r="1866" spans="20:21" ht="15" customHeight="1" x14ac:dyDescent="0.25">
      <c r="T1866" s="135"/>
      <c r="U1866" s="135"/>
    </row>
    <row r="1867" spans="20:21" ht="15" customHeight="1" x14ac:dyDescent="0.25">
      <c r="T1867" s="135"/>
      <c r="U1867" s="135"/>
    </row>
    <row r="1868" spans="20:21" ht="15" customHeight="1" x14ac:dyDescent="0.25">
      <c r="T1868" s="135"/>
      <c r="U1868" s="135"/>
    </row>
    <row r="1869" spans="20:21" ht="15" customHeight="1" x14ac:dyDescent="0.25">
      <c r="T1869" s="135"/>
      <c r="U1869" s="135"/>
    </row>
    <row r="1870" spans="20:21" ht="15" customHeight="1" x14ac:dyDescent="0.25">
      <c r="T1870" s="135"/>
      <c r="U1870" s="135"/>
    </row>
    <row r="1871" spans="20:21" ht="15" customHeight="1" x14ac:dyDescent="0.25">
      <c r="T1871" s="135"/>
      <c r="U1871" s="135"/>
    </row>
    <row r="1872" spans="20:21" ht="15" customHeight="1" x14ac:dyDescent="0.25">
      <c r="T1872" s="135"/>
      <c r="U1872" s="135"/>
    </row>
    <row r="1873" spans="20:21" ht="15" customHeight="1" x14ac:dyDescent="0.25">
      <c r="T1873" s="135"/>
      <c r="U1873" s="135"/>
    </row>
    <row r="1874" spans="20:21" ht="15" customHeight="1" x14ac:dyDescent="0.25">
      <c r="T1874" s="135"/>
      <c r="U1874" s="135"/>
    </row>
    <row r="1875" spans="20:21" ht="15" customHeight="1" x14ac:dyDescent="0.25">
      <c r="T1875" s="135"/>
      <c r="U1875" s="135"/>
    </row>
    <row r="1876" spans="20:21" ht="15" customHeight="1" x14ac:dyDescent="0.25">
      <c r="T1876" s="135"/>
      <c r="U1876" s="135"/>
    </row>
    <row r="1877" spans="20:21" ht="15" customHeight="1" x14ac:dyDescent="0.25">
      <c r="T1877" s="135"/>
      <c r="U1877" s="135"/>
    </row>
    <row r="1878" spans="20:21" ht="15" customHeight="1" x14ac:dyDescent="0.25">
      <c r="T1878" s="135"/>
      <c r="U1878" s="135"/>
    </row>
    <row r="1879" spans="20:21" ht="15" customHeight="1" x14ac:dyDescent="0.25">
      <c r="T1879" s="135"/>
      <c r="U1879" s="135"/>
    </row>
    <row r="1880" spans="20:21" ht="15" customHeight="1" x14ac:dyDescent="0.25">
      <c r="T1880" s="135"/>
      <c r="U1880" s="135"/>
    </row>
    <row r="1881" spans="20:21" ht="15" customHeight="1" x14ac:dyDescent="0.25">
      <c r="T1881" s="135"/>
      <c r="U1881" s="135"/>
    </row>
    <row r="1882" spans="20:21" ht="15" customHeight="1" x14ac:dyDescent="0.25">
      <c r="T1882" s="135"/>
      <c r="U1882" s="135"/>
    </row>
    <row r="1883" spans="20:21" ht="15" customHeight="1" x14ac:dyDescent="0.25">
      <c r="T1883" s="135"/>
      <c r="U1883" s="135"/>
    </row>
    <row r="1884" spans="20:21" ht="15" customHeight="1" x14ac:dyDescent="0.25">
      <c r="T1884" s="135"/>
      <c r="U1884" s="135"/>
    </row>
    <row r="1885" spans="20:21" ht="15" customHeight="1" x14ac:dyDescent="0.25">
      <c r="T1885" s="135"/>
      <c r="U1885" s="135"/>
    </row>
    <row r="1886" spans="20:21" ht="15" customHeight="1" x14ac:dyDescent="0.25">
      <c r="T1886" s="135"/>
      <c r="U1886" s="135"/>
    </row>
    <row r="1887" spans="20:21" ht="15" customHeight="1" x14ac:dyDescent="0.25">
      <c r="T1887" s="135"/>
      <c r="U1887" s="135"/>
    </row>
    <row r="1888" spans="20:21" ht="15" customHeight="1" x14ac:dyDescent="0.25">
      <c r="T1888" s="135"/>
      <c r="U1888" s="135"/>
    </row>
    <row r="1889" spans="20:21" ht="15" customHeight="1" x14ac:dyDescent="0.25">
      <c r="T1889" s="135"/>
      <c r="U1889" s="135"/>
    </row>
    <row r="1890" spans="20:21" ht="15" customHeight="1" x14ac:dyDescent="0.25">
      <c r="T1890" s="135"/>
      <c r="U1890" s="135"/>
    </row>
    <row r="1891" spans="20:21" ht="15" customHeight="1" x14ac:dyDescent="0.25">
      <c r="T1891" s="135"/>
      <c r="U1891" s="135"/>
    </row>
    <row r="1892" spans="20:21" ht="15" customHeight="1" x14ac:dyDescent="0.25">
      <c r="T1892" s="135"/>
      <c r="U1892" s="135"/>
    </row>
    <row r="1893" spans="20:21" ht="15" customHeight="1" x14ac:dyDescent="0.25">
      <c r="T1893" s="135"/>
      <c r="U1893" s="135"/>
    </row>
    <row r="1894" spans="20:21" ht="15" customHeight="1" x14ac:dyDescent="0.25">
      <c r="T1894" s="135"/>
      <c r="U1894" s="135"/>
    </row>
    <row r="1895" spans="20:21" ht="15" customHeight="1" x14ac:dyDescent="0.25">
      <c r="T1895" s="135"/>
      <c r="U1895" s="135"/>
    </row>
    <row r="1896" spans="20:21" ht="15" customHeight="1" x14ac:dyDescent="0.25">
      <c r="T1896" s="135"/>
      <c r="U1896" s="135"/>
    </row>
    <row r="1897" spans="20:21" ht="15" customHeight="1" x14ac:dyDescent="0.25">
      <c r="T1897" s="135"/>
      <c r="U1897" s="135"/>
    </row>
    <row r="1898" spans="20:21" ht="15" customHeight="1" x14ac:dyDescent="0.25">
      <c r="T1898" s="135"/>
      <c r="U1898" s="135"/>
    </row>
    <row r="1899" spans="20:21" ht="15" customHeight="1" x14ac:dyDescent="0.25">
      <c r="T1899" s="135"/>
      <c r="U1899" s="135"/>
    </row>
    <row r="1900" spans="20:21" ht="15" customHeight="1" x14ac:dyDescent="0.25">
      <c r="T1900" s="135"/>
      <c r="U1900" s="135"/>
    </row>
    <row r="1901" spans="20:21" ht="15" customHeight="1" x14ac:dyDescent="0.25">
      <c r="T1901" s="135"/>
      <c r="U1901" s="135"/>
    </row>
    <row r="1902" spans="20:21" ht="15" customHeight="1" x14ac:dyDescent="0.25">
      <c r="T1902" s="135"/>
      <c r="U1902" s="135"/>
    </row>
    <row r="1903" spans="20:21" ht="15" customHeight="1" x14ac:dyDescent="0.25">
      <c r="T1903" s="135"/>
      <c r="U1903" s="135"/>
    </row>
    <row r="1904" spans="20:21" ht="15" customHeight="1" x14ac:dyDescent="0.25">
      <c r="T1904" s="135"/>
      <c r="U1904" s="135"/>
    </row>
    <row r="1905" spans="20:21" ht="15" customHeight="1" x14ac:dyDescent="0.25">
      <c r="T1905" s="135"/>
      <c r="U1905" s="135"/>
    </row>
    <row r="1906" spans="20:21" ht="15" customHeight="1" x14ac:dyDescent="0.25">
      <c r="T1906" s="135"/>
      <c r="U1906" s="135"/>
    </row>
    <row r="1907" spans="20:21" ht="15" customHeight="1" x14ac:dyDescent="0.25">
      <c r="T1907" s="135"/>
      <c r="U1907" s="135"/>
    </row>
    <row r="1908" spans="20:21" ht="15" customHeight="1" x14ac:dyDescent="0.25">
      <c r="T1908" s="135"/>
      <c r="U1908" s="135"/>
    </row>
    <row r="1909" spans="20:21" ht="15" customHeight="1" x14ac:dyDescent="0.25">
      <c r="T1909" s="135"/>
      <c r="U1909" s="135"/>
    </row>
    <row r="1910" spans="20:21" ht="15" customHeight="1" x14ac:dyDescent="0.25">
      <c r="T1910" s="135"/>
      <c r="U1910" s="135"/>
    </row>
    <row r="1911" spans="20:21" ht="15" customHeight="1" x14ac:dyDescent="0.25">
      <c r="T1911" s="135"/>
      <c r="U1911" s="135"/>
    </row>
    <row r="1912" spans="20:21" ht="15" customHeight="1" x14ac:dyDescent="0.25">
      <c r="T1912" s="135"/>
      <c r="U1912" s="135"/>
    </row>
    <row r="1913" spans="20:21" ht="15" customHeight="1" x14ac:dyDescent="0.25">
      <c r="T1913" s="135"/>
      <c r="U1913" s="135"/>
    </row>
    <row r="1914" spans="20:21" ht="15" customHeight="1" x14ac:dyDescent="0.25">
      <c r="T1914" s="135"/>
      <c r="U1914" s="135"/>
    </row>
    <row r="1915" spans="20:21" ht="15" customHeight="1" x14ac:dyDescent="0.25">
      <c r="T1915" s="135"/>
      <c r="U1915" s="135"/>
    </row>
    <row r="1916" spans="20:21" ht="15" customHeight="1" x14ac:dyDescent="0.25">
      <c r="T1916" s="135"/>
      <c r="U1916" s="135"/>
    </row>
    <row r="1917" spans="20:21" ht="15" customHeight="1" x14ac:dyDescent="0.25">
      <c r="T1917" s="135"/>
      <c r="U1917" s="135"/>
    </row>
    <row r="1918" spans="20:21" ht="15" customHeight="1" x14ac:dyDescent="0.25">
      <c r="T1918" s="135"/>
      <c r="U1918" s="135"/>
    </row>
    <row r="1919" spans="20:21" ht="15" customHeight="1" x14ac:dyDescent="0.25">
      <c r="T1919" s="135"/>
      <c r="U1919" s="135"/>
    </row>
    <row r="1920" spans="20:21" ht="15" customHeight="1" x14ac:dyDescent="0.25">
      <c r="T1920" s="135"/>
      <c r="U1920" s="135"/>
    </row>
    <row r="1921" spans="20:21" ht="15" customHeight="1" x14ac:dyDescent="0.25">
      <c r="T1921" s="135"/>
      <c r="U1921" s="135"/>
    </row>
    <row r="1922" spans="20:21" ht="15" customHeight="1" x14ac:dyDescent="0.25">
      <c r="T1922" s="135"/>
      <c r="U1922" s="135"/>
    </row>
    <row r="1923" spans="20:21" ht="15" customHeight="1" x14ac:dyDescent="0.25">
      <c r="T1923" s="135"/>
      <c r="U1923" s="135"/>
    </row>
    <row r="1924" spans="20:21" ht="15" customHeight="1" x14ac:dyDescent="0.25">
      <c r="T1924" s="135"/>
      <c r="U1924" s="135"/>
    </row>
    <row r="1925" spans="20:21" ht="15" customHeight="1" x14ac:dyDescent="0.25">
      <c r="T1925" s="135"/>
      <c r="U1925" s="135"/>
    </row>
    <row r="1926" spans="20:21" ht="15" customHeight="1" x14ac:dyDescent="0.25">
      <c r="T1926" s="135"/>
      <c r="U1926" s="135"/>
    </row>
    <row r="1927" spans="20:21" ht="15" customHeight="1" x14ac:dyDescent="0.25">
      <c r="T1927" s="135"/>
      <c r="U1927" s="135"/>
    </row>
    <row r="1928" spans="20:21" ht="15" customHeight="1" x14ac:dyDescent="0.25">
      <c r="T1928" s="135"/>
      <c r="U1928" s="135"/>
    </row>
    <row r="1929" spans="20:21" ht="15" customHeight="1" x14ac:dyDescent="0.25">
      <c r="T1929" s="135"/>
      <c r="U1929" s="135"/>
    </row>
    <row r="1930" spans="20:21" ht="15" customHeight="1" x14ac:dyDescent="0.25">
      <c r="T1930" s="135"/>
      <c r="U1930" s="135"/>
    </row>
    <row r="1931" spans="20:21" ht="15" customHeight="1" x14ac:dyDescent="0.25">
      <c r="T1931" s="135"/>
      <c r="U1931" s="135"/>
    </row>
    <row r="1932" spans="20:21" ht="15" customHeight="1" x14ac:dyDescent="0.25">
      <c r="T1932" s="135"/>
      <c r="U1932" s="135"/>
    </row>
    <row r="1933" spans="20:21" ht="15" customHeight="1" x14ac:dyDescent="0.25">
      <c r="T1933" s="135"/>
      <c r="U1933" s="135"/>
    </row>
    <row r="1934" spans="20:21" ht="15" customHeight="1" x14ac:dyDescent="0.25">
      <c r="T1934" s="135"/>
      <c r="U1934" s="135"/>
    </row>
    <row r="1935" spans="20:21" ht="15" customHeight="1" x14ac:dyDescent="0.25">
      <c r="T1935" s="135"/>
      <c r="U1935" s="135"/>
    </row>
    <row r="1936" spans="20:21" ht="15" customHeight="1" x14ac:dyDescent="0.25">
      <c r="T1936" s="135"/>
      <c r="U1936" s="135"/>
    </row>
    <row r="1937" spans="20:21" ht="15" customHeight="1" x14ac:dyDescent="0.25">
      <c r="T1937" s="135"/>
      <c r="U1937" s="135"/>
    </row>
    <row r="1938" spans="20:21" ht="15" customHeight="1" x14ac:dyDescent="0.25">
      <c r="T1938" s="135"/>
      <c r="U1938" s="135"/>
    </row>
    <row r="1939" spans="20:21" ht="15" customHeight="1" x14ac:dyDescent="0.25">
      <c r="T1939" s="135"/>
      <c r="U1939" s="135"/>
    </row>
    <row r="1940" spans="20:21" ht="15" customHeight="1" x14ac:dyDescent="0.25">
      <c r="T1940" s="135"/>
      <c r="U1940" s="135"/>
    </row>
    <row r="1941" spans="20:21" ht="15" customHeight="1" x14ac:dyDescent="0.25">
      <c r="T1941" s="135"/>
      <c r="U1941" s="135"/>
    </row>
    <row r="1942" spans="20:21" ht="15" customHeight="1" x14ac:dyDescent="0.25">
      <c r="T1942" s="135"/>
      <c r="U1942" s="135"/>
    </row>
    <row r="1943" spans="20:21" ht="15" customHeight="1" x14ac:dyDescent="0.25">
      <c r="T1943" s="135"/>
      <c r="U1943" s="135"/>
    </row>
    <row r="1944" spans="20:21" ht="15" customHeight="1" x14ac:dyDescent="0.25">
      <c r="T1944" s="135"/>
      <c r="U1944" s="135"/>
    </row>
    <row r="1945" spans="20:21" ht="15" customHeight="1" x14ac:dyDescent="0.25">
      <c r="T1945" s="135"/>
      <c r="U1945" s="135"/>
    </row>
    <row r="1946" spans="20:21" ht="15" customHeight="1" x14ac:dyDescent="0.25">
      <c r="T1946" s="135"/>
      <c r="U1946" s="135"/>
    </row>
    <row r="1947" spans="20:21" ht="15" customHeight="1" x14ac:dyDescent="0.25">
      <c r="T1947" s="135"/>
      <c r="U1947" s="135"/>
    </row>
    <row r="1948" spans="20:21" ht="15" customHeight="1" x14ac:dyDescent="0.25">
      <c r="T1948" s="135"/>
      <c r="U1948" s="135"/>
    </row>
    <row r="1949" spans="20:21" ht="15" customHeight="1" x14ac:dyDescent="0.25">
      <c r="T1949" s="135"/>
      <c r="U1949" s="135"/>
    </row>
    <row r="1950" spans="20:21" ht="15" customHeight="1" x14ac:dyDescent="0.25">
      <c r="T1950" s="135"/>
      <c r="U1950" s="135"/>
    </row>
    <row r="1951" spans="20:21" ht="15" customHeight="1" x14ac:dyDescent="0.25">
      <c r="T1951" s="135"/>
      <c r="U1951" s="135"/>
    </row>
    <row r="1952" spans="20:21" ht="15" customHeight="1" x14ac:dyDescent="0.25">
      <c r="T1952" s="135"/>
      <c r="U1952" s="135"/>
    </row>
    <row r="1953" spans="20:21" ht="15" customHeight="1" x14ac:dyDescent="0.25">
      <c r="T1953" s="135"/>
      <c r="U1953" s="135"/>
    </row>
    <row r="1954" spans="20:21" ht="15" customHeight="1" x14ac:dyDescent="0.25">
      <c r="T1954" s="135"/>
      <c r="U1954" s="135"/>
    </row>
    <row r="1955" spans="20:21" ht="15" customHeight="1" x14ac:dyDescent="0.25">
      <c r="T1955" s="135"/>
      <c r="U1955" s="135"/>
    </row>
    <row r="1956" spans="20:21" ht="15" customHeight="1" x14ac:dyDescent="0.25">
      <c r="T1956" s="135"/>
      <c r="U1956" s="135"/>
    </row>
    <row r="1957" spans="20:21" ht="15" customHeight="1" x14ac:dyDescent="0.25">
      <c r="T1957" s="135"/>
      <c r="U1957" s="135"/>
    </row>
    <row r="1958" spans="20:21" ht="15" customHeight="1" x14ac:dyDescent="0.25">
      <c r="T1958" s="135"/>
      <c r="U1958" s="135"/>
    </row>
    <row r="1959" spans="20:21" ht="15" customHeight="1" x14ac:dyDescent="0.25">
      <c r="T1959" s="135"/>
      <c r="U1959" s="135"/>
    </row>
    <row r="1960" spans="20:21" ht="15" customHeight="1" x14ac:dyDescent="0.25">
      <c r="T1960" s="135"/>
      <c r="U1960" s="135"/>
    </row>
    <row r="1961" spans="20:21" ht="15" customHeight="1" x14ac:dyDescent="0.25">
      <c r="T1961" s="135"/>
      <c r="U1961" s="135"/>
    </row>
    <row r="1962" spans="20:21" ht="15" customHeight="1" x14ac:dyDescent="0.25">
      <c r="T1962" s="135"/>
      <c r="U1962" s="135"/>
    </row>
    <row r="1963" spans="20:21" ht="15" customHeight="1" x14ac:dyDescent="0.25">
      <c r="T1963" s="135"/>
      <c r="U1963" s="135"/>
    </row>
    <row r="1964" spans="20:21" ht="15" customHeight="1" x14ac:dyDescent="0.25">
      <c r="T1964" s="135"/>
      <c r="U1964" s="135"/>
    </row>
    <row r="1965" spans="20:21" ht="15" customHeight="1" x14ac:dyDescent="0.25">
      <c r="T1965" s="135"/>
      <c r="U1965" s="135"/>
    </row>
    <row r="1966" spans="20:21" ht="15" customHeight="1" x14ac:dyDescent="0.25">
      <c r="T1966" s="135"/>
      <c r="U1966" s="135"/>
    </row>
    <row r="1967" spans="20:21" ht="15" customHeight="1" x14ac:dyDescent="0.25">
      <c r="T1967" s="135"/>
      <c r="U1967" s="135"/>
    </row>
    <row r="1968" spans="20:21" ht="15" customHeight="1" x14ac:dyDescent="0.25">
      <c r="T1968" s="135"/>
      <c r="U1968" s="135"/>
    </row>
    <row r="1969" spans="20:21" ht="15" customHeight="1" x14ac:dyDescent="0.25">
      <c r="T1969" s="135"/>
      <c r="U1969" s="135"/>
    </row>
    <row r="1970" spans="20:21" ht="15" customHeight="1" x14ac:dyDescent="0.25">
      <c r="T1970" s="135"/>
      <c r="U1970" s="135"/>
    </row>
    <row r="1971" spans="20:21" ht="15" customHeight="1" x14ac:dyDescent="0.25">
      <c r="T1971" s="135"/>
      <c r="U1971" s="135"/>
    </row>
    <row r="1972" spans="20:21" ht="15" customHeight="1" x14ac:dyDescent="0.25">
      <c r="T1972" s="135"/>
      <c r="U1972" s="135"/>
    </row>
    <row r="1973" spans="20:21" ht="15" customHeight="1" x14ac:dyDescent="0.25">
      <c r="T1973" s="135"/>
      <c r="U1973" s="135"/>
    </row>
    <row r="1974" spans="20:21" ht="15" customHeight="1" x14ac:dyDescent="0.25">
      <c r="T1974" s="135"/>
      <c r="U1974" s="135"/>
    </row>
    <row r="1975" spans="20:21" ht="15" customHeight="1" x14ac:dyDescent="0.25">
      <c r="T1975" s="135"/>
      <c r="U1975" s="135"/>
    </row>
    <row r="1976" spans="20:21" ht="15" customHeight="1" x14ac:dyDescent="0.25">
      <c r="T1976" s="135"/>
      <c r="U1976" s="135"/>
    </row>
    <row r="1977" spans="20:21" ht="15" customHeight="1" x14ac:dyDescent="0.25">
      <c r="T1977" s="135"/>
      <c r="U1977" s="135"/>
    </row>
    <row r="1978" spans="20:21" ht="15" customHeight="1" x14ac:dyDescent="0.25">
      <c r="T1978" s="135"/>
      <c r="U1978" s="135"/>
    </row>
    <row r="1979" spans="20:21" ht="15" customHeight="1" x14ac:dyDescent="0.25">
      <c r="T1979" s="135"/>
      <c r="U1979" s="135"/>
    </row>
    <row r="1980" spans="20:21" ht="15" customHeight="1" x14ac:dyDescent="0.25">
      <c r="T1980" s="135"/>
      <c r="U1980" s="135"/>
    </row>
    <row r="1981" spans="20:21" ht="15" customHeight="1" x14ac:dyDescent="0.25">
      <c r="T1981" s="135"/>
      <c r="U1981" s="135"/>
    </row>
    <row r="1982" spans="20:21" ht="15" customHeight="1" x14ac:dyDescent="0.25">
      <c r="T1982" s="135"/>
      <c r="U1982" s="135"/>
    </row>
    <row r="1983" spans="20:21" ht="15" customHeight="1" x14ac:dyDescent="0.25">
      <c r="T1983" s="135"/>
      <c r="U1983" s="135"/>
    </row>
    <row r="1984" spans="20:21" ht="15" customHeight="1" x14ac:dyDescent="0.25">
      <c r="T1984" s="135"/>
      <c r="U1984" s="135"/>
    </row>
    <row r="1985" spans="20:21" ht="15" customHeight="1" x14ac:dyDescent="0.25">
      <c r="T1985" s="135"/>
      <c r="U1985" s="135"/>
    </row>
    <row r="1986" spans="20:21" ht="15" customHeight="1" x14ac:dyDescent="0.25">
      <c r="T1986" s="135"/>
      <c r="U1986" s="135"/>
    </row>
    <row r="1987" spans="20:21" ht="15" customHeight="1" x14ac:dyDescent="0.25">
      <c r="T1987" s="135"/>
      <c r="U1987" s="135"/>
    </row>
    <row r="1988" spans="20:21" ht="15" customHeight="1" x14ac:dyDescent="0.25">
      <c r="T1988" s="135"/>
      <c r="U1988" s="135"/>
    </row>
    <row r="1989" spans="20:21" ht="15" customHeight="1" x14ac:dyDescent="0.25">
      <c r="T1989" s="135"/>
      <c r="U1989" s="135"/>
    </row>
    <row r="1990" spans="20:21" ht="15" customHeight="1" x14ac:dyDescent="0.25">
      <c r="T1990" s="135"/>
      <c r="U1990" s="135"/>
    </row>
    <row r="1991" spans="20:21" ht="15" customHeight="1" x14ac:dyDescent="0.25">
      <c r="T1991" s="135"/>
      <c r="U1991" s="135"/>
    </row>
    <row r="1992" spans="20:21" ht="15" customHeight="1" x14ac:dyDescent="0.25">
      <c r="T1992" s="135"/>
      <c r="U1992" s="135"/>
    </row>
    <row r="1993" spans="20:21" ht="15" customHeight="1" x14ac:dyDescent="0.25">
      <c r="T1993" s="135"/>
      <c r="U1993" s="135"/>
    </row>
    <row r="1994" spans="20:21" ht="15" customHeight="1" x14ac:dyDescent="0.25">
      <c r="T1994" s="135"/>
      <c r="U1994" s="135"/>
    </row>
    <row r="1995" spans="20:21" ht="15" customHeight="1" x14ac:dyDescent="0.25">
      <c r="T1995" s="135"/>
      <c r="U1995" s="135"/>
    </row>
    <row r="1996" spans="20:21" ht="15" customHeight="1" x14ac:dyDescent="0.25">
      <c r="T1996" s="135"/>
      <c r="U1996" s="135"/>
    </row>
    <row r="1997" spans="20:21" ht="15" customHeight="1" x14ac:dyDescent="0.25">
      <c r="T1997" s="135"/>
      <c r="U1997" s="135"/>
    </row>
    <row r="1998" spans="20:21" ht="15" customHeight="1" x14ac:dyDescent="0.25">
      <c r="T1998" s="135"/>
      <c r="U1998" s="135"/>
    </row>
    <row r="1999" spans="20:21" ht="15" customHeight="1" x14ac:dyDescent="0.25">
      <c r="T1999" s="135"/>
      <c r="U1999" s="135"/>
    </row>
    <row r="2000" spans="20:21" ht="15" customHeight="1" x14ac:dyDescent="0.25">
      <c r="T2000" s="135"/>
      <c r="U2000" s="135"/>
    </row>
    <row r="2001" spans="20:21" ht="15" customHeight="1" x14ac:dyDescent="0.25">
      <c r="T2001" s="135"/>
      <c r="U2001" s="135"/>
    </row>
    <row r="2002" spans="20:21" ht="15" customHeight="1" x14ac:dyDescent="0.25">
      <c r="T2002" s="135"/>
      <c r="U2002" s="135"/>
    </row>
    <row r="2003" spans="20:21" ht="15" customHeight="1" x14ac:dyDescent="0.25">
      <c r="T2003" s="135"/>
      <c r="U2003" s="135"/>
    </row>
    <row r="2004" spans="20:21" ht="15" customHeight="1" x14ac:dyDescent="0.25">
      <c r="T2004" s="135"/>
      <c r="U2004" s="135"/>
    </row>
    <row r="2005" spans="20:21" ht="15" customHeight="1" x14ac:dyDescent="0.25">
      <c r="T2005" s="135"/>
      <c r="U2005" s="135"/>
    </row>
    <row r="2006" spans="20:21" ht="15" customHeight="1" x14ac:dyDescent="0.25">
      <c r="T2006" s="135"/>
      <c r="U2006" s="135"/>
    </row>
    <row r="2007" spans="20:21" ht="15" customHeight="1" x14ac:dyDescent="0.25">
      <c r="T2007" s="135"/>
      <c r="U2007" s="135"/>
    </row>
    <row r="2008" spans="20:21" ht="15" customHeight="1" x14ac:dyDescent="0.25">
      <c r="T2008" s="135"/>
      <c r="U2008" s="135"/>
    </row>
    <row r="2009" spans="20:21" ht="15" customHeight="1" x14ac:dyDescent="0.25">
      <c r="T2009" s="135"/>
      <c r="U2009" s="135"/>
    </row>
    <row r="2010" spans="20:21" ht="15" customHeight="1" x14ac:dyDescent="0.25">
      <c r="T2010" s="135"/>
      <c r="U2010" s="135"/>
    </row>
    <row r="2011" spans="20:21" ht="15" customHeight="1" x14ac:dyDescent="0.25">
      <c r="T2011" s="135"/>
      <c r="U2011" s="135"/>
    </row>
    <row r="2012" spans="20:21" ht="15" customHeight="1" x14ac:dyDescent="0.25">
      <c r="T2012" s="135"/>
      <c r="U2012" s="135"/>
    </row>
    <row r="2013" spans="20:21" ht="15" customHeight="1" x14ac:dyDescent="0.25">
      <c r="T2013" s="135"/>
      <c r="U2013" s="135"/>
    </row>
    <row r="2014" spans="20:21" ht="15" customHeight="1" x14ac:dyDescent="0.25">
      <c r="T2014" s="135"/>
      <c r="U2014" s="135"/>
    </row>
    <row r="2015" spans="20:21" ht="15" customHeight="1" x14ac:dyDescent="0.25">
      <c r="T2015" s="135"/>
      <c r="U2015" s="135"/>
    </row>
    <row r="2016" spans="20:21" ht="15" customHeight="1" x14ac:dyDescent="0.25">
      <c r="T2016" s="135"/>
      <c r="U2016" s="135"/>
    </row>
    <row r="2017" spans="20:21" ht="15" customHeight="1" x14ac:dyDescent="0.25">
      <c r="T2017" s="135"/>
      <c r="U2017" s="135"/>
    </row>
    <row r="2018" spans="20:21" ht="15" customHeight="1" x14ac:dyDescent="0.25">
      <c r="T2018" s="135"/>
      <c r="U2018" s="135"/>
    </row>
    <row r="2019" spans="20:21" ht="15" customHeight="1" x14ac:dyDescent="0.25">
      <c r="T2019" s="135"/>
      <c r="U2019" s="135"/>
    </row>
    <row r="2020" spans="20:21" ht="15" customHeight="1" x14ac:dyDescent="0.25">
      <c r="T2020" s="135"/>
      <c r="U2020" s="135"/>
    </row>
    <row r="2021" spans="20:21" ht="15" customHeight="1" x14ac:dyDescent="0.25">
      <c r="T2021" s="135"/>
      <c r="U2021" s="135"/>
    </row>
    <row r="2022" spans="20:21" ht="15" customHeight="1" x14ac:dyDescent="0.25">
      <c r="T2022" s="135"/>
      <c r="U2022" s="135"/>
    </row>
    <row r="2023" spans="20:21" ht="15" customHeight="1" x14ac:dyDescent="0.25">
      <c r="T2023" s="135"/>
      <c r="U2023" s="135"/>
    </row>
    <row r="2024" spans="20:21" ht="15" customHeight="1" x14ac:dyDescent="0.25">
      <c r="T2024" s="135"/>
      <c r="U2024" s="135"/>
    </row>
    <row r="2025" spans="20:21" ht="15" customHeight="1" x14ac:dyDescent="0.25">
      <c r="T2025" s="135"/>
      <c r="U2025" s="135"/>
    </row>
    <row r="2026" spans="20:21" ht="15" customHeight="1" x14ac:dyDescent="0.25">
      <c r="T2026" s="135"/>
      <c r="U2026" s="135"/>
    </row>
    <row r="2027" spans="20:21" ht="15" customHeight="1" x14ac:dyDescent="0.25">
      <c r="T2027" s="135"/>
      <c r="U2027" s="135"/>
    </row>
    <row r="2028" spans="20:21" ht="15" customHeight="1" x14ac:dyDescent="0.25">
      <c r="T2028" s="135"/>
      <c r="U2028" s="135"/>
    </row>
    <row r="2029" spans="20:21" ht="15" customHeight="1" x14ac:dyDescent="0.25">
      <c r="T2029" s="135"/>
      <c r="U2029" s="135"/>
    </row>
    <row r="2030" spans="20:21" ht="15" customHeight="1" x14ac:dyDescent="0.25">
      <c r="T2030" s="135"/>
      <c r="U2030" s="135"/>
    </row>
    <row r="2031" spans="20:21" ht="15" customHeight="1" x14ac:dyDescent="0.25">
      <c r="T2031" s="135"/>
      <c r="U2031" s="135"/>
    </row>
    <row r="2032" spans="20:21" ht="15" customHeight="1" x14ac:dyDescent="0.25">
      <c r="T2032" s="135"/>
      <c r="U2032" s="135"/>
    </row>
    <row r="2033" spans="20:21" ht="15" customHeight="1" x14ac:dyDescent="0.25">
      <c r="T2033" s="135"/>
      <c r="U2033" s="135"/>
    </row>
    <row r="2034" spans="20:21" ht="15" customHeight="1" x14ac:dyDescent="0.25">
      <c r="T2034" s="135"/>
      <c r="U2034" s="135"/>
    </row>
    <row r="2035" spans="20:21" ht="15" customHeight="1" x14ac:dyDescent="0.25">
      <c r="T2035" s="135"/>
      <c r="U2035" s="135"/>
    </row>
    <row r="2036" spans="20:21" ht="15" customHeight="1" x14ac:dyDescent="0.25">
      <c r="T2036" s="135"/>
      <c r="U2036" s="135"/>
    </row>
    <row r="2037" spans="20:21" ht="15" customHeight="1" x14ac:dyDescent="0.25">
      <c r="T2037" s="135"/>
      <c r="U2037" s="135"/>
    </row>
    <row r="2038" spans="20:21" ht="15" customHeight="1" x14ac:dyDescent="0.25">
      <c r="T2038" s="135"/>
      <c r="U2038" s="135"/>
    </row>
    <row r="2039" spans="20:21" ht="15" customHeight="1" x14ac:dyDescent="0.25">
      <c r="T2039" s="135"/>
      <c r="U2039" s="135"/>
    </row>
    <row r="2040" spans="20:21" ht="15" customHeight="1" x14ac:dyDescent="0.25">
      <c r="T2040" s="135"/>
      <c r="U2040" s="135"/>
    </row>
    <row r="2041" spans="20:21" ht="15" customHeight="1" x14ac:dyDescent="0.25">
      <c r="T2041" s="135"/>
      <c r="U2041" s="135"/>
    </row>
    <row r="2042" spans="20:21" ht="15" customHeight="1" x14ac:dyDescent="0.25">
      <c r="T2042" s="135"/>
      <c r="U2042" s="135"/>
    </row>
    <row r="2043" spans="20:21" ht="15" customHeight="1" x14ac:dyDescent="0.25">
      <c r="T2043" s="135"/>
      <c r="U2043" s="135"/>
    </row>
    <row r="2044" spans="20:21" ht="15" customHeight="1" x14ac:dyDescent="0.25">
      <c r="T2044" s="135"/>
      <c r="U2044" s="135"/>
    </row>
    <row r="2045" spans="20:21" ht="15" customHeight="1" x14ac:dyDescent="0.25">
      <c r="T2045" s="135"/>
      <c r="U2045" s="135"/>
    </row>
    <row r="2046" spans="20:21" ht="15" customHeight="1" x14ac:dyDescent="0.25">
      <c r="T2046" s="135"/>
      <c r="U2046" s="135"/>
    </row>
    <row r="2047" spans="20:21" ht="15" customHeight="1" x14ac:dyDescent="0.25">
      <c r="T2047" s="135"/>
      <c r="U2047" s="135"/>
    </row>
    <row r="2048" spans="20:21" ht="15" customHeight="1" x14ac:dyDescent="0.25">
      <c r="T2048" s="135"/>
      <c r="U2048" s="135"/>
    </row>
    <row r="2049" spans="20:21" ht="15" customHeight="1" x14ac:dyDescent="0.25">
      <c r="T2049" s="135"/>
      <c r="U2049" s="135"/>
    </row>
    <row r="2050" spans="20:21" ht="15" customHeight="1" x14ac:dyDescent="0.25">
      <c r="T2050" s="135"/>
      <c r="U2050" s="135"/>
    </row>
    <row r="2051" spans="20:21" ht="15" customHeight="1" x14ac:dyDescent="0.25">
      <c r="T2051" s="135"/>
      <c r="U2051" s="135"/>
    </row>
    <row r="2052" spans="20:21" ht="15" customHeight="1" x14ac:dyDescent="0.25">
      <c r="T2052" s="135"/>
      <c r="U2052" s="135"/>
    </row>
    <row r="2053" spans="20:21" ht="15" customHeight="1" x14ac:dyDescent="0.25">
      <c r="T2053" s="135"/>
      <c r="U2053" s="135"/>
    </row>
    <row r="2054" spans="20:21" ht="15" customHeight="1" x14ac:dyDescent="0.25">
      <c r="T2054" s="135"/>
      <c r="U2054" s="135"/>
    </row>
    <row r="2055" spans="20:21" ht="15" customHeight="1" x14ac:dyDescent="0.25">
      <c r="T2055" s="135"/>
      <c r="U2055" s="135"/>
    </row>
    <row r="2056" spans="20:21" ht="15" customHeight="1" x14ac:dyDescent="0.25">
      <c r="T2056" s="135"/>
      <c r="U2056" s="135"/>
    </row>
    <row r="2057" spans="20:21" ht="15" customHeight="1" x14ac:dyDescent="0.25">
      <c r="T2057" s="135"/>
      <c r="U2057" s="135"/>
    </row>
    <row r="2058" spans="20:21" ht="15" customHeight="1" x14ac:dyDescent="0.25">
      <c r="T2058" s="135"/>
      <c r="U2058" s="135"/>
    </row>
    <row r="2059" spans="20:21" ht="15" customHeight="1" x14ac:dyDescent="0.25">
      <c r="T2059" s="135"/>
      <c r="U2059" s="135"/>
    </row>
    <row r="2060" spans="20:21" ht="15" customHeight="1" x14ac:dyDescent="0.25">
      <c r="T2060" s="135"/>
      <c r="U2060" s="135"/>
    </row>
    <row r="2061" spans="20:21" ht="15" customHeight="1" x14ac:dyDescent="0.25">
      <c r="T2061" s="135"/>
      <c r="U2061" s="135"/>
    </row>
    <row r="2062" spans="20:21" ht="15" customHeight="1" x14ac:dyDescent="0.25">
      <c r="T2062" s="135"/>
      <c r="U2062" s="135"/>
    </row>
    <row r="2063" spans="20:21" ht="15" customHeight="1" x14ac:dyDescent="0.25">
      <c r="T2063" s="135"/>
      <c r="U2063" s="135"/>
    </row>
    <row r="2064" spans="20:21" ht="15" customHeight="1" x14ac:dyDescent="0.25">
      <c r="T2064" s="135"/>
      <c r="U2064" s="135"/>
    </row>
    <row r="2065" spans="20:21" ht="15" customHeight="1" x14ac:dyDescent="0.25">
      <c r="T2065" s="135"/>
      <c r="U2065" s="135"/>
    </row>
    <row r="2066" spans="20:21" ht="15" customHeight="1" x14ac:dyDescent="0.25">
      <c r="T2066" s="135"/>
      <c r="U2066" s="135"/>
    </row>
    <row r="2067" spans="20:21" ht="15" customHeight="1" x14ac:dyDescent="0.25">
      <c r="T2067" s="135"/>
      <c r="U2067" s="135"/>
    </row>
    <row r="2068" spans="20:21" ht="15" customHeight="1" x14ac:dyDescent="0.25">
      <c r="T2068" s="135"/>
      <c r="U2068" s="135"/>
    </row>
    <row r="2069" spans="20:21" ht="15" customHeight="1" x14ac:dyDescent="0.25">
      <c r="T2069" s="135"/>
      <c r="U2069" s="135"/>
    </row>
    <row r="2070" spans="20:21" ht="15" customHeight="1" x14ac:dyDescent="0.25">
      <c r="T2070" s="135"/>
      <c r="U2070" s="135"/>
    </row>
    <row r="2071" spans="20:21" ht="15" customHeight="1" x14ac:dyDescent="0.25">
      <c r="T2071" s="135"/>
      <c r="U2071" s="135"/>
    </row>
    <row r="2072" spans="20:21" ht="15" customHeight="1" x14ac:dyDescent="0.25">
      <c r="T2072" s="135"/>
      <c r="U2072" s="135"/>
    </row>
    <row r="2073" spans="20:21" ht="15" customHeight="1" x14ac:dyDescent="0.25">
      <c r="T2073" s="135"/>
      <c r="U2073" s="135"/>
    </row>
    <row r="2074" spans="20:21" ht="15" customHeight="1" x14ac:dyDescent="0.25">
      <c r="T2074" s="135"/>
      <c r="U2074" s="135"/>
    </row>
    <row r="2075" spans="20:21" ht="15" customHeight="1" x14ac:dyDescent="0.25">
      <c r="T2075" s="135"/>
      <c r="U2075" s="135"/>
    </row>
    <row r="2076" spans="20:21" ht="15" customHeight="1" x14ac:dyDescent="0.25">
      <c r="T2076" s="135"/>
      <c r="U2076" s="135"/>
    </row>
    <row r="2077" spans="20:21" ht="15" customHeight="1" x14ac:dyDescent="0.25">
      <c r="T2077" s="135"/>
      <c r="U2077" s="135"/>
    </row>
    <row r="2078" spans="20:21" ht="15" customHeight="1" x14ac:dyDescent="0.25">
      <c r="T2078" s="135"/>
      <c r="U2078" s="135"/>
    </row>
    <row r="2079" spans="20:21" ht="15" customHeight="1" x14ac:dyDescent="0.25">
      <c r="T2079" s="135"/>
      <c r="U2079" s="135"/>
    </row>
    <row r="2080" spans="20:21" ht="15" customHeight="1" x14ac:dyDescent="0.25">
      <c r="T2080" s="135"/>
      <c r="U2080" s="135"/>
    </row>
    <row r="2081" spans="20:21" ht="15" customHeight="1" x14ac:dyDescent="0.25">
      <c r="T2081" s="135"/>
      <c r="U2081" s="135"/>
    </row>
    <row r="2082" spans="20:21" ht="15" customHeight="1" x14ac:dyDescent="0.25">
      <c r="T2082" s="135"/>
      <c r="U2082" s="135"/>
    </row>
    <row r="2083" spans="20:21" ht="15" customHeight="1" x14ac:dyDescent="0.25">
      <c r="T2083" s="135"/>
      <c r="U2083" s="135"/>
    </row>
    <row r="2084" spans="20:21" ht="15" customHeight="1" x14ac:dyDescent="0.25">
      <c r="T2084" s="135"/>
      <c r="U2084" s="135"/>
    </row>
    <row r="2085" spans="20:21" ht="15" customHeight="1" x14ac:dyDescent="0.25">
      <c r="T2085" s="135"/>
      <c r="U2085" s="135"/>
    </row>
    <row r="2086" spans="20:21" ht="15" customHeight="1" x14ac:dyDescent="0.25">
      <c r="T2086" s="135"/>
      <c r="U2086" s="135"/>
    </row>
    <row r="2087" spans="20:21" ht="15" customHeight="1" x14ac:dyDescent="0.25">
      <c r="T2087" s="135"/>
      <c r="U2087" s="135"/>
    </row>
    <row r="2088" spans="20:21" ht="15" customHeight="1" x14ac:dyDescent="0.25">
      <c r="T2088" s="135"/>
      <c r="U2088" s="135"/>
    </row>
    <row r="2089" spans="20:21" ht="15" customHeight="1" x14ac:dyDescent="0.25">
      <c r="T2089" s="135"/>
      <c r="U2089" s="135"/>
    </row>
    <row r="2090" spans="20:21" ht="15" customHeight="1" x14ac:dyDescent="0.25">
      <c r="T2090" s="135"/>
      <c r="U2090" s="135"/>
    </row>
    <row r="2091" spans="20:21" ht="15" customHeight="1" x14ac:dyDescent="0.25">
      <c r="T2091" s="135"/>
      <c r="U2091" s="135"/>
    </row>
    <row r="2092" spans="20:21" ht="15" customHeight="1" x14ac:dyDescent="0.25">
      <c r="T2092" s="135"/>
      <c r="U2092" s="135"/>
    </row>
    <row r="2093" spans="20:21" ht="15" customHeight="1" x14ac:dyDescent="0.25">
      <c r="T2093" s="135"/>
      <c r="U2093" s="135"/>
    </row>
    <row r="2094" spans="20:21" ht="15" customHeight="1" x14ac:dyDescent="0.25">
      <c r="T2094" s="135"/>
      <c r="U2094" s="135"/>
    </row>
    <row r="2095" spans="20:21" ht="15" customHeight="1" x14ac:dyDescent="0.25">
      <c r="T2095" s="135"/>
      <c r="U2095" s="135"/>
    </row>
    <row r="2096" spans="20:21" ht="15" customHeight="1" x14ac:dyDescent="0.25">
      <c r="T2096" s="135"/>
      <c r="U2096" s="135"/>
    </row>
    <row r="2097" spans="20:21" ht="15" customHeight="1" x14ac:dyDescent="0.25">
      <c r="T2097" s="135"/>
      <c r="U2097" s="135"/>
    </row>
    <row r="2098" spans="20:21" ht="15" customHeight="1" x14ac:dyDescent="0.25">
      <c r="T2098" s="135"/>
      <c r="U2098" s="135"/>
    </row>
    <row r="2099" spans="20:21" ht="15" customHeight="1" x14ac:dyDescent="0.25">
      <c r="T2099" s="135"/>
      <c r="U2099" s="135"/>
    </row>
    <row r="2100" spans="20:21" ht="15" customHeight="1" x14ac:dyDescent="0.25">
      <c r="T2100" s="135"/>
      <c r="U2100" s="135"/>
    </row>
    <row r="2101" spans="20:21" ht="15" customHeight="1" x14ac:dyDescent="0.25">
      <c r="T2101" s="135"/>
      <c r="U2101" s="135"/>
    </row>
    <row r="2102" spans="20:21" ht="15" customHeight="1" x14ac:dyDescent="0.25">
      <c r="T2102" s="135"/>
      <c r="U2102" s="135"/>
    </row>
    <row r="2103" spans="20:21" ht="15" customHeight="1" x14ac:dyDescent="0.25">
      <c r="T2103" s="135"/>
      <c r="U2103" s="135"/>
    </row>
    <row r="2104" spans="20:21" ht="15" customHeight="1" x14ac:dyDescent="0.25">
      <c r="T2104" s="135"/>
      <c r="U2104" s="135"/>
    </row>
    <row r="2105" spans="20:21" ht="15" customHeight="1" x14ac:dyDescent="0.25">
      <c r="T2105" s="135"/>
      <c r="U2105" s="135"/>
    </row>
    <row r="2106" spans="20:21" ht="15" customHeight="1" x14ac:dyDescent="0.25">
      <c r="T2106" s="135"/>
      <c r="U2106" s="135"/>
    </row>
    <row r="2107" spans="20:21" ht="15" customHeight="1" x14ac:dyDescent="0.25">
      <c r="T2107" s="135"/>
      <c r="U2107" s="135"/>
    </row>
    <row r="2108" spans="20:21" ht="15" customHeight="1" x14ac:dyDescent="0.25">
      <c r="T2108" s="135"/>
      <c r="U2108" s="135"/>
    </row>
    <row r="2109" spans="20:21" ht="15" customHeight="1" x14ac:dyDescent="0.25">
      <c r="T2109" s="135"/>
      <c r="U2109" s="135"/>
    </row>
    <row r="2110" spans="20:21" ht="15" customHeight="1" x14ac:dyDescent="0.25">
      <c r="T2110" s="135"/>
      <c r="U2110" s="135"/>
    </row>
    <row r="2111" spans="20:21" ht="15" customHeight="1" x14ac:dyDescent="0.25">
      <c r="T2111" s="135"/>
      <c r="U2111" s="135"/>
    </row>
    <row r="2112" spans="20:21" ht="15" customHeight="1" x14ac:dyDescent="0.25">
      <c r="T2112" s="135"/>
      <c r="U2112" s="135"/>
    </row>
    <row r="2113" spans="20:21" ht="15" customHeight="1" x14ac:dyDescent="0.25">
      <c r="T2113" s="135"/>
      <c r="U2113" s="135"/>
    </row>
    <row r="2114" spans="20:21" ht="15" customHeight="1" x14ac:dyDescent="0.25">
      <c r="T2114" s="135"/>
      <c r="U2114" s="135"/>
    </row>
    <row r="2115" spans="20:21" ht="15" customHeight="1" x14ac:dyDescent="0.25">
      <c r="T2115" s="135"/>
      <c r="U2115" s="135"/>
    </row>
    <row r="2116" spans="20:21" ht="15" customHeight="1" x14ac:dyDescent="0.25">
      <c r="T2116" s="135"/>
      <c r="U2116" s="135"/>
    </row>
    <row r="2117" spans="20:21" ht="15" customHeight="1" x14ac:dyDescent="0.25">
      <c r="T2117" s="135"/>
      <c r="U2117" s="135"/>
    </row>
    <row r="2118" spans="20:21" ht="15" customHeight="1" x14ac:dyDescent="0.25">
      <c r="T2118" s="135"/>
      <c r="U2118" s="135"/>
    </row>
    <row r="2119" spans="20:21" ht="15" customHeight="1" x14ac:dyDescent="0.25">
      <c r="T2119" s="135"/>
      <c r="U2119" s="135"/>
    </row>
    <row r="2120" spans="20:21" ht="15" customHeight="1" x14ac:dyDescent="0.25">
      <c r="T2120" s="135"/>
      <c r="U2120" s="135"/>
    </row>
    <row r="2121" spans="20:21" ht="15" customHeight="1" x14ac:dyDescent="0.25">
      <c r="T2121" s="135"/>
      <c r="U2121" s="135"/>
    </row>
    <row r="2122" spans="20:21" ht="15" customHeight="1" x14ac:dyDescent="0.25">
      <c r="T2122" s="135"/>
      <c r="U2122" s="135"/>
    </row>
    <row r="2123" spans="20:21" ht="15" customHeight="1" x14ac:dyDescent="0.25">
      <c r="T2123" s="135"/>
      <c r="U2123" s="135"/>
    </row>
    <row r="2124" spans="20:21" ht="15" customHeight="1" x14ac:dyDescent="0.25">
      <c r="T2124" s="135"/>
      <c r="U2124" s="135"/>
    </row>
    <row r="2125" spans="20:21" ht="15" customHeight="1" x14ac:dyDescent="0.25">
      <c r="T2125" s="135"/>
      <c r="U2125" s="135"/>
    </row>
    <row r="2126" spans="20:21" ht="15" customHeight="1" x14ac:dyDescent="0.25">
      <c r="T2126" s="135"/>
      <c r="U2126" s="135"/>
    </row>
    <row r="2127" spans="20:21" ht="15" customHeight="1" x14ac:dyDescent="0.25">
      <c r="T2127" s="135"/>
      <c r="U2127" s="135"/>
    </row>
    <row r="2128" spans="20:21" ht="15" customHeight="1" x14ac:dyDescent="0.25">
      <c r="T2128" s="135"/>
      <c r="U2128" s="135"/>
    </row>
    <row r="2129" spans="20:21" ht="15" customHeight="1" x14ac:dyDescent="0.25">
      <c r="T2129" s="135"/>
      <c r="U2129" s="135"/>
    </row>
    <row r="2130" spans="20:21" ht="15" customHeight="1" x14ac:dyDescent="0.25">
      <c r="T2130" s="135"/>
      <c r="U2130" s="135"/>
    </row>
    <row r="2131" spans="20:21" ht="15" customHeight="1" x14ac:dyDescent="0.25">
      <c r="T2131" s="135"/>
      <c r="U2131" s="135"/>
    </row>
    <row r="2132" spans="20:21" ht="15" customHeight="1" x14ac:dyDescent="0.25">
      <c r="T2132" s="135"/>
      <c r="U2132" s="135"/>
    </row>
    <row r="2133" spans="20:21" ht="15" customHeight="1" x14ac:dyDescent="0.25">
      <c r="T2133" s="135"/>
      <c r="U2133" s="135"/>
    </row>
    <row r="2134" spans="20:21" ht="15" customHeight="1" x14ac:dyDescent="0.25">
      <c r="T2134" s="135"/>
      <c r="U2134" s="135"/>
    </row>
    <row r="2135" spans="20:21" ht="15" customHeight="1" x14ac:dyDescent="0.25">
      <c r="T2135" s="135"/>
      <c r="U2135" s="135"/>
    </row>
    <row r="2136" spans="20:21" ht="15" customHeight="1" x14ac:dyDescent="0.25">
      <c r="T2136" s="135"/>
      <c r="U2136" s="135"/>
    </row>
    <row r="2137" spans="20:21" ht="15" customHeight="1" x14ac:dyDescent="0.25">
      <c r="T2137" s="135"/>
      <c r="U2137" s="135"/>
    </row>
    <row r="2138" spans="20:21" ht="15" customHeight="1" x14ac:dyDescent="0.25">
      <c r="T2138" s="135"/>
      <c r="U2138" s="135"/>
    </row>
    <row r="2139" spans="20:21" ht="15" customHeight="1" x14ac:dyDescent="0.25">
      <c r="T2139" s="135"/>
      <c r="U2139" s="135"/>
    </row>
    <row r="2140" spans="20:21" ht="15" customHeight="1" x14ac:dyDescent="0.25">
      <c r="T2140" s="135"/>
      <c r="U2140" s="135"/>
    </row>
    <row r="2141" spans="20:21" ht="15" customHeight="1" x14ac:dyDescent="0.25">
      <c r="T2141" s="135"/>
      <c r="U2141" s="135"/>
    </row>
    <row r="2142" spans="20:21" ht="15" customHeight="1" x14ac:dyDescent="0.25">
      <c r="T2142" s="135"/>
      <c r="U2142" s="135"/>
    </row>
    <row r="2143" spans="20:21" ht="15" customHeight="1" x14ac:dyDescent="0.25">
      <c r="T2143" s="135"/>
      <c r="U2143" s="135"/>
    </row>
    <row r="2144" spans="20:21" ht="15" customHeight="1" x14ac:dyDescent="0.25">
      <c r="T2144" s="135"/>
      <c r="U2144" s="135"/>
    </row>
    <row r="2145" spans="20:21" ht="15" customHeight="1" x14ac:dyDescent="0.25">
      <c r="T2145" s="135"/>
      <c r="U2145" s="135"/>
    </row>
    <row r="2146" spans="20:21" ht="15" customHeight="1" x14ac:dyDescent="0.25">
      <c r="T2146" s="135"/>
      <c r="U2146" s="135"/>
    </row>
    <row r="2147" spans="20:21" ht="15" customHeight="1" x14ac:dyDescent="0.25">
      <c r="T2147" s="135"/>
      <c r="U2147" s="135"/>
    </row>
    <row r="2148" spans="20:21" ht="15" customHeight="1" x14ac:dyDescent="0.25">
      <c r="T2148" s="135"/>
      <c r="U2148" s="135"/>
    </row>
    <row r="2149" spans="20:21" ht="15" customHeight="1" x14ac:dyDescent="0.25">
      <c r="T2149" s="135"/>
      <c r="U2149" s="135"/>
    </row>
    <row r="2150" spans="20:21" ht="15" customHeight="1" x14ac:dyDescent="0.25">
      <c r="T2150" s="135"/>
      <c r="U2150" s="135"/>
    </row>
    <row r="2151" spans="20:21" ht="15" customHeight="1" x14ac:dyDescent="0.25">
      <c r="T2151" s="135"/>
      <c r="U2151" s="135"/>
    </row>
    <row r="2152" spans="20:21" ht="15" customHeight="1" x14ac:dyDescent="0.25">
      <c r="T2152" s="135"/>
      <c r="U2152" s="135"/>
    </row>
    <row r="2153" spans="20:21" ht="15" customHeight="1" x14ac:dyDescent="0.25">
      <c r="T2153" s="135"/>
      <c r="U2153" s="135"/>
    </row>
    <row r="2154" spans="20:21" ht="15" customHeight="1" x14ac:dyDescent="0.25">
      <c r="T2154" s="135"/>
      <c r="U2154" s="135"/>
    </row>
    <row r="2155" spans="20:21" ht="15" customHeight="1" x14ac:dyDescent="0.25">
      <c r="T2155" s="135"/>
      <c r="U2155" s="135"/>
    </row>
    <row r="2156" spans="20:21" ht="15" customHeight="1" x14ac:dyDescent="0.25">
      <c r="T2156" s="135"/>
      <c r="U2156" s="135"/>
    </row>
    <row r="2157" spans="20:21" ht="15" customHeight="1" x14ac:dyDescent="0.25">
      <c r="T2157" s="135"/>
      <c r="U2157" s="135"/>
    </row>
    <row r="2158" spans="20:21" ht="15" customHeight="1" x14ac:dyDescent="0.25">
      <c r="T2158" s="135"/>
      <c r="U2158" s="135"/>
    </row>
    <row r="2159" spans="20:21" ht="15" customHeight="1" x14ac:dyDescent="0.25">
      <c r="T2159" s="135"/>
      <c r="U2159" s="135"/>
    </row>
    <row r="2160" spans="20:21" ht="15" customHeight="1" x14ac:dyDescent="0.25">
      <c r="T2160" s="135"/>
      <c r="U2160" s="135"/>
    </row>
    <row r="2161" spans="20:21" ht="15" customHeight="1" x14ac:dyDescent="0.25">
      <c r="T2161" s="135"/>
      <c r="U2161" s="135"/>
    </row>
    <row r="2162" spans="20:21" ht="15" customHeight="1" x14ac:dyDescent="0.25">
      <c r="T2162" s="135"/>
      <c r="U2162" s="135"/>
    </row>
    <row r="2163" spans="20:21" ht="15" customHeight="1" x14ac:dyDescent="0.25">
      <c r="T2163" s="135"/>
      <c r="U2163" s="135"/>
    </row>
    <row r="2164" spans="20:21" ht="15" customHeight="1" x14ac:dyDescent="0.25">
      <c r="T2164" s="135"/>
      <c r="U2164" s="135"/>
    </row>
    <row r="2165" spans="20:21" ht="15" customHeight="1" x14ac:dyDescent="0.25">
      <c r="T2165" s="135"/>
      <c r="U2165" s="135"/>
    </row>
    <row r="2166" spans="20:21" ht="15" customHeight="1" x14ac:dyDescent="0.25">
      <c r="T2166" s="135"/>
      <c r="U2166" s="135"/>
    </row>
    <row r="2167" spans="20:21" ht="15" customHeight="1" x14ac:dyDescent="0.25">
      <c r="T2167" s="135"/>
      <c r="U2167" s="135"/>
    </row>
    <row r="2168" spans="20:21" ht="15" customHeight="1" x14ac:dyDescent="0.25">
      <c r="T2168" s="135"/>
      <c r="U2168" s="135"/>
    </row>
    <row r="2169" spans="20:21" ht="15" customHeight="1" x14ac:dyDescent="0.25">
      <c r="T2169" s="135"/>
      <c r="U2169" s="135"/>
    </row>
    <row r="2170" spans="20:21" ht="15" customHeight="1" x14ac:dyDescent="0.25">
      <c r="T2170" s="135"/>
      <c r="U2170" s="135"/>
    </row>
    <row r="2171" spans="20:21" ht="15" customHeight="1" x14ac:dyDescent="0.25">
      <c r="T2171" s="135"/>
      <c r="U2171" s="135"/>
    </row>
    <row r="2172" spans="20:21" ht="15" customHeight="1" x14ac:dyDescent="0.25">
      <c r="T2172" s="135"/>
      <c r="U2172" s="135"/>
    </row>
    <row r="2173" spans="20:21" ht="15" customHeight="1" x14ac:dyDescent="0.25">
      <c r="T2173" s="135"/>
      <c r="U2173" s="135"/>
    </row>
    <row r="2174" spans="20:21" ht="15" customHeight="1" x14ac:dyDescent="0.25">
      <c r="T2174" s="135"/>
      <c r="U2174" s="135"/>
    </row>
    <row r="2175" spans="20:21" ht="15" customHeight="1" x14ac:dyDescent="0.25">
      <c r="T2175" s="135"/>
      <c r="U2175" s="135"/>
    </row>
    <row r="2176" spans="20:21" ht="15" customHeight="1" x14ac:dyDescent="0.25">
      <c r="T2176" s="135"/>
      <c r="U2176" s="135"/>
    </row>
    <row r="2177" spans="20:21" ht="15" customHeight="1" x14ac:dyDescent="0.25">
      <c r="T2177" s="135"/>
      <c r="U2177" s="135"/>
    </row>
    <row r="2178" spans="20:21" ht="15" customHeight="1" x14ac:dyDescent="0.25">
      <c r="T2178" s="135"/>
      <c r="U2178" s="135"/>
    </row>
    <row r="2179" spans="20:21" ht="15" customHeight="1" x14ac:dyDescent="0.25">
      <c r="T2179" s="135"/>
      <c r="U2179" s="135"/>
    </row>
    <row r="2180" spans="20:21" ht="15" customHeight="1" x14ac:dyDescent="0.25">
      <c r="T2180" s="135"/>
      <c r="U2180" s="135"/>
    </row>
    <row r="2181" spans="20:21" ht="15" customHeight="1" x14ac:dyDescent="0.25">
      <c r="T2181" s="135"/>
      <c r="U2181" s="135"/>
    </row>
    <row r="2182" spans="20:21" ht="15" customHeight="1" x14ac:dyDescent="0.25">
      <c r="T2182" s="135"/>
      <c r="U2182" s="135"/>
    </row>
    <row r="2183" spans="20:21" ht="15" customHeight="1" x14ac:dyDescent="0.25">
      <c r="T2183" s="135"/>
      <c r="U2183" s="135"/>
    </row>
    <row r="2184" spans="20:21" ht="15" customHeight="1" x14ac:dyDescent="0.25">
      <c r="T2184" s="135"/>
      <c r="U2184" s="135"/>
    </row>
    <row r="2185" spans="20:21" ht="15" customHeight="1" x14ac:dyDescent="0.25">
      <c r="T2185" s="135"/>
      <c r="U2185" s="135"/>
    </row>
    <row r="2186" spans="20:21" ht="15" customHeight="1" x14ac:dyDescent="0.25">
      <c r="T2186" s="135"/>
      <c r="U2186" s="135"/>
    </row>
    <row r="2187" spans="20:21" ht="15" customHeight="1" x14ac:dyDescent="0.25">
      <c r="T2187" s="135"/>
      <c r="U2187" s="135"/>
    </row>
    <row r="2188" spans="20:21" ht="15" customHeight="1" x14ac:dyDescent="0.25">
      <c r="T2188" s="135"/>
      <c r="U2188" s="135"/>
    </row>
    <row r="2189" spans="20:21" ht="15" customHeight="1" x14ac:dyDescent="0.25">
      <c r="T2189" s="135"/>
      <c r="U2189" s="135"/>
    </row>
    <row r="2190" spans="20:21" ht="15" customHeight="1" x14ac:dyDescent="0.25">
      <c r="T2190" s="135"/>
      <c r="U2190" s="135"/>
    </row>
    <row r="2191" spans="20:21" ht="15" customHeight="1" x14ac:dyDescent="0.25">
      <c r="T2191" s="135"/>
      <c r="U2191" s="135"/>
    </row>
    <row r="2192" spans="20:21" ht="15" customHeight="1" x14ac:dyDescent="0.25">
      <c r="T2192" s="135"/>
      <c r="U2192" s="135"/>
    </row>
    <row r="2193" spans="20:21" ht="15" customHeight="1" x14ac:dyDescent="0.25">
      <c r="T2193" s="135"/>
      <c r="U2193" s="135"/>
    </row>
    <row r="2194" spans="20:21" ht="15" customHeight="1" x14ac:dyDescent="0.25">
      <c r="T2194" s="135"/>
      <c r="U2194" s="135"/>
    </row>
    <row r="2195" spans="20:21" ht="15" customHeight="1" x14ac:dyDescent="0.25">
      <c r="T2195" s="135"/>
      <c r="U2195" s="135"/>
    </row>
    <row r="2196" spans="20:21" ht="15" customHeight="1" x14ac:dyDescent="0.25">
      <c r="T2196" s="135"/>
      <c r="U2196" s="135"/>
    </row>
    <row r="2197" spans="20:21" ht="15" customHeight="1" x14ac:dyDescent="0.25">
      <c r="T2197" s="135"/>
      <c r="U2197" s="135"/>
    </row>
    <row r="2198" spans="20:21" ht="15" customHeight="1" x14ac:dyDescent="0.25">
      <c r="T2198" s="135"/>
      <c r="U2198" s="135"/>
    </row>
    <row r="2199" spans="20:21" ht="15" customHeight="1" x14ac:dyDescent="0.25">
      <c r="T2199" s="135"/>
      <c r="U2199" s="135"/>
    </row>
    <row r="2200" spans="20:21" ht="15" customHeight="1" x14ac:dyDescent="0.25">
      <c r="T2200" s="135"/>
      <c r="U2200" s="135"/>
    </row>
    <row r="2201" spans="20:21" ht="15" customHeight="1" x14ac:dyDescent="0.25">
      <c r="T2201" s="135"/>
      <c r="U2201" s="135"/>
    </row>
    <row r="2202" spans="20:21" ht="15" customHeight="1" x14ac:dyDescent="0.25">
      <c r="T2202" s="135"/>
      <c r="U2202" s="135"/>
    </row>
    <row r="2203" spans="20:21" ht="15" customHeight="1" x14ac:dyDescent="0.25">
      <c r="T2203" s="135"/>
      <c r="U2203" s="135"/>
    </row>
    <row r="2204" spans="20:21" ht="15" customHeight="1" x14ac:dyDescent="0.25">
      <c r="T2204" s="135"/>
      <c r="U2204" s="135"/>
    </row>
    <row r="2205" spans="20:21" ht="15" customHeight="1" x14ac:dyDescent="0.25">
      <c r="T2205" s="135"/>
      <c r="U2205" s="135"/>
    </row>
    <row r="2206" spans="20:21" ht="15" customHeight="1" x14ac:dyDescent="0.25">
      <c r="T2206" s="135"/>
      <c r="U2206" s="135"/>
    </row>
    <row r="2207" spans="20:21" ht="15" customHeight="1" x14ac:dyDescent="0.25">
      <c r="T2207" s="135"/>
      <c r="U2207" s="135"/>
    </row>
    <row r="2208" spans="20:21" ht="15" customHeight="1" x14ac:dyDescent="0.25">
      <c r="T2208" s="135"/>
      <c r="U2208" s="135"/>
    </row>
    <row r="2209" spans="20:21" ht="15" customHeight="1" x14ac:dyDescent="0.25">
      <c r="T2209" s="135"/>
      <c r="U2209" s="135"/>
    </row>
    <row r="2210" spans="20:21" ht="15" customHeight="1" x14ac:dyDescent="0.25">
      <c r="T2210" s="135"/>
      <c r="U2210" s="135"/>
    </row>
    <row r="2211" spans="20:21" ht="15" customHeight="1" x14ac:dyDescent="0.25">
      <c r="T2211" s="135"/>
      <c r="U2211" s="135"/>
    </row>
    <row r="2212" spans="20:21" ht="15" customHeight="1" x14ac:dyDescent="0.25">
      <c r="T2212" s="135"/>
      <c r="U2212" s="135"/>
    </row>
    <row r="2213" spans="20:21" ht="15" customHeight="1" x14ac:dyDescent="0.25">
      <c r="T2213" s="135"/>
      <c r="U2213" s="135"/>
    </row>
    <row r="2214" spans="20:21" ht="15" customHeight="1" x14ac:dyDescent="0.25">
      <c r="T2214" s="135"/>
      <c r="U2214" s="135"/>
    </row>
    <row r="2215" spans="20:21" ht="15" customHeight="1" x14ac:dyDescent="0.25">
      <c r="T2215" s="135"/>
      <c r="U2215" s="135"/>
    </row>
    <row r="2216" spans="20:21" ht="15" customHeight="1" x14ac:dyDescent="0.25">
      <c r="T2216" s="135"/>
      <c r="U2216" s="135"/>
    </row>
    <row r="2217" spans="20:21" ht="15" customHeight="1" x14ac:dyDescent="0.25">
      <c r="T2217" s="135"/>
      <c r="U2217" s="135"/>
    </row>
    <row r="2218" spans="20:21" ht="15" customHeight="1" x14ac:dyDescent="0.25">
      <c r="T2218" s="135"/>
      <c r="U2218" s="135"/>
    </row>
    <row r="2219" spans="20:21" ht="15" customHeight="1" x14ac:dyDescent="0.25">
      <c r="T2219" s="135"/>
      <c r="U2219" s="135"/>
    </row>
    <row r="2220" spans="20:21" ht="15" customHeight="1" x14ac:dyDescent="0.25">
      <c r="T2220" s="135"/>
      <c r="U2220" s="135"/>
    </row>
    <row r="2221" spans="20:21" ht="15" customHeight="1" x14ac:dyDescent="0.25">
      <c r="T2221" s="135"/>
      <c r="U2221" s="135"/>
    </row>
    <row r="2222" spans="20:21" ht="15" customHeight="1" x14ac:dyDescent="0.25">
      <c r="T2222" s="135"/>
      <c r="U2222" s="135"/>
    </row>
    <row r="2223" spans="20:21" ht="15" customHeight="1" x14ac:dyDescent="0.25">
      <c r="T2223" s="135"/>
      <c r="U2223" s="135"/>
    </row>
    <row r="2224" spans="20:21" ht="15" customHeight="1" x14ac:dyDescent="0.25">
      <c r="T2224" s="135"/>
      <c r="U2224" s="135"/>
    </row>
    <row r="2225" spans="20:21" ht="15" customHeight="1" x14ac:dyDescent="0.25">
      <c r="T2225" s="135"/>
      <c r="U2225" s="135"/>
    </row>
    <row r="2226" spans="20:21" ht="15" customHeight="1" x14ac:dyDescent="0.25">
      <c r="T2226" s="135"/>
      <c r="U2226" s="135"/>
    </row>
    <row r="2227" spans="20:21" ht="15" customHeight="1" x14ac:dyDescent="0.25">
      <c r="T2227" s="135"/>
      <c r="U2227" s="135"/>
    </row>
    <row r="2228" spans="20:21" ht="15" customHeight="1" x14ac:dyDescent="0.25">
      <c r="T2228" s="135"/>
      <c r="U2228" s="135"/>
    </row>
    <row r="2229" spans="20:21" ht="15" customHeight="1" x14ac:dyDescent="0.25">
      <c r="T2229" s="135"/>
      <c r="U2229" s="135"/>
    </row>
    <row r="2230" spans="20:21" ht="15" customHeight="1" x14ac:dyDescent="0.25">
      <c r="T2230" s="135"/>
      <c r="U2230" s="135"/>
    </row>
    <row r="2231" spans="20:21" ht="15" customHeight="1" x14ac:dyDescent="0.25">
      <c r="T2231" s="135"/>
      <c r="U2231" s="135"/>
    </row>
    <row r="2232" spans="20:21" ht="15" customHeight="1" x14ac:dyDescent="0.25">
      <c r="T2232" s="135"/>
      <c r="U2232" s="135"/>
    </row>
    <row r="2233" spans="20:21" ht="15" customHeight="1" x14ac:dyDescent="0.25">
      <c r="T2233" s="135"/>
      <c r="U2233" s="135"/>
    </row>
    <row r="2234" spans="20:21" ht="15" customHeight="1" x14ac:dyDescent="0.25">
      <c r="T2234" s="135"/>
      <c r="U2234" s="135"/>
    </row>
    <row r="2235" spans="20:21" ht="15" customHeight="1" x14ac:dyDescent="0.25">
      <c r="T2235" s="135"/>
      <c r="U2235" s="135"/>
    </row>
    <row r="2236" spans="20:21" ht="15" customHeight="1" x14ac:dyDescent="0.25">
      <c r="T2236" s="135"/>
      <c r="U2236" s="135"/>
    </row>
    <row r="2237" spans="20:21" ht="15" customHeight="1" x14ac:dyDescent="0.25">
      <c r="T2237" s="135"/>
      <c r="U2237" s="135"/>
    </row>
    <row r="2238" spans="20:21" ht="15" customHeight="1" x14ac:dyDescent="0.25">
      <c r="T2238" s="135"/>
      <c r="U2238" s="135"/>
    </row>
    <row r="2239" spans="20:21" ht="15" customHeight="1" x14ac:dyDescent="0.25">
      <c r="T2239" s="135"/>
      <c r="U2239" s="135"/>
    </row>
    <row r="2240" spans="20:21" ht="15" customHeight="1" x14ac:dyDescent="0.25">
      <c r="T2240" s="135"/>
      <c r="U2240" s="135"/>
    </row>
    <row r="2241" spans="20:21" ht="15" customHeight="1" x14ac:dyDescent="0.25">
      <c r="T2241" s="135"/>
      <c r="U2241" s="135"/>
    </row>
    <row r="2242" spans="20:21" ht="15" customHeight="1" x14ac:dyDescent="0.25">
      <c r="T2242" s="135"/>
      <c r="U2242" s="135"/>
    </row>
    <row r="2243" spans="20:21" ht="15" customHeight="1" x14ac:dyDescent="0.25">
      <c r="T2243" s="135"/>
      <c r="U2243" s="135"/>
    </row>
    <row r="2244" spans="20:21" ht="15" customHeight="1" x14ac:dyDescent="0.25">
      <c r="T2244" s="135"/>
      <c r="U2244" s="135"/>
    </row>
    <row r="2245" spans="20:21" ht="15" customHeight="1" x14ac:dyDescent="0.25">
      <c r="T2245" s="135"/>
      <c r="U2245" s="135"/>
    </row>
    <row r="2246" spans="20:21" ht="15" customHeight="1" x14ac:dyDescent="0.25">
      <c r="T2246" s="135"/>
      <c r="U2246" s="135"/>
    </row>
    <row r="2247" spans="20:21" ht="15" customHeight="1" x14ac:dyDescent="0.25">
      <c r="T2247" s="135"/>
      <c r="U2247" s="135"/>
    </row>
    <row r="2248" spans="20:21" ht="15" customHeight="1" x14ac:dyDescent="0.25">
      <c r="T2248" s="135"/>
      <c r="U2248" s="135"/>
    </row>
    <row r="2249" spans="20:21" ht="15" customHeight="1" x14ac:dyDescent="0.25">
      <c r="T2249" s="135"/>
      <c r="U2249" s="135"/>
    </row>
    <row r="2250" spans="20:21" ht="15" customHeight="1" x14ac:dyDescent="0.25">
      <c r="T2250" s="135"/>
      <c r="U2250" s="135"/>
    </row>
    <row r="2251" spans="20:21" ht="15" customHeight="1" x14ac:dyDescent="0.25">
      <c r="T2251" s="135"/>
      <c r="U2251" s="135"/>
    </row>
    <row r="2252" spans="20:21" ht="15" customHeight="1" x14ac:dyDescent="0.25">
      <c r="T2252" s="135"/>
      <c r="U2252" s="135"/>
    </row>
    <row r="2253" spans="20:21" ht="15" customHeight="1" x14ac:dyDescent="0.25">
      <c r="T2253" s="135"/>
      <c r="U2253" s="135"/>
    </row>
    <row r="2254" spans="20:21" ht="15" customHeight="1" x14ac:dyDescent="0.25">
      <c r="T2254" s="135"/>
      <c r="U2254" s="135"/>
    </row>
    <row r="2255" spans="20:21" ht="15" customHeight="1" x14ac:dyDescent="0.25">
      <c r="T2255" s="135"/>
      <c r="U2255" s="135"/>
    </row>
    <row r="2256" spans="20:21" ht="15" customHeight="1" x14ac:dyDescent="0.25">
      <c r="T2256" s="135"/>
      <c r="U2256" s="135"/>
    </row>
    <row r="2257" spans="20:21" ht="15" customHeight="1" x14ac:dyDescent="0.25">
      <c r="T2257" s="135"/>
      <c r="U2257" s="135"/>
    </row>
    <row r="2258" spans="20:21" ht="15" customHeight="1" x14ac:dyDescent="0.25">
      <c r="T2258" s="135"/>
      <c r="U2258" s="135"/>
    </row>
    <row r="2259" spans="20:21" ht="15" customHeight="1" x14ac:dyDescent="0.25">
      <c r="T2259" s="135"/>
      <c r="U2259" s="135"/>
    </row>
    <row r="2260" spans="20:21" ht="15" customHeight="1" x14ac:dyDescent="0.25">
      <c r="T2260" s="135"/>
      <c r="U2260" s="135"/>
    </row>
    <row r="2261" spans="20:21" ht="15" customHeight="1" x14ac:dyDescent="0.25">
      <c r="T2261" s="135"/>
      <c r="U2261" s="135"/>
    </row>
    <row r="2262" spans="20:21" ht="15" customHeight="1" x14ac:dyDescent="0.25">
      <c r="T2262" s="135"/>
      <c r="U2262" s="135"/>
    </row>
    <row r="2263" spans="20:21" ht="15" customHeight="1" x14ac:dyDescent="0.25">
      <c r="T2263" s="135"/>
      <c r="U2263" s="135"/>
    </row>
    <row r="2264" spans="20:21" ht="15" customHeight="1" x14ac:dyDescent="0.25">
      <c r="T2264" s="135"/>
      <c r="U2264" s="135"/>
    </row>
    <row r="2265" spans="20:21" ht="15" customHeight="1" x14ac:dyDescent="0.25">
      <c r="T2265" s="135"/>
      <c r="U2265" s="135"/>
    </row>
    <row r="2266" spans="20:21" ht="15" customHeight="1" x14ac:dyDescent="0.25">
      <c r="T2266" s="135"/>
      <c r="U2266" s="135"/>
    </row>
    <row r="2267" spans="20:21" ht="15" customHeight="1" x14ac:dyDescent="0.25">
      <c r="T2267" s="135"/>
      <c r="U2267" s="135"/>
    </row>
    <row r="2268" spans="20:21" ht="15" customHeight="1" x14ac:dyDescent="0.25">
      <c r="T2268" s="135"/>
      <c r="U2268" s="135"/>
    </row>
    <row r="2269" spans="20:21" ht="15" customHeight="1" x14ac:dyDescent="0.25">
      <c r="T2269" s="135"/>
      <c r="U2269" s="135"/>
    </row>
    <row r="2270" spans="20:21" ht="15" customHeight="1" x14ac:dyDescent="0.25">
      <c r="T2270" s="135"/>
      <c r="U2270" s="135"/>
    </row>
    <row r="2271" spans="20:21" ht="15" customHeight="1" x14ac:dyDescent="0.25">
      <c r="T2271" s="135"/>
      <c r="U2271" s="135"/>
    </row>
    <row r="2272" spans="20:21" ht="15" customHeight="1" x14ac:dyDescent="0.25">
      <c r="T2272" s="135"/>
      <c r="U2272" s="135"/>
    </row>
    <row r="2273" spans="20:21" ht="15" customHeight="1" x14ac:dyDescent="0.25">
      <c r="T2273" s="135"/>
      <c r="U2273" s="135"/>
    </row>
    <row r="2274" spans="20:21" ht="15" customHeight="1" x14ac:dyDescent="0.25">
      <c r="T2274" s="135"/>
      <c r="U2274" s="135"/>
    </row>
    <row r="2275" spans="20:21" ht="15" customHeight="1" x14ac:dyDescent="0.25">
      <c r="T2275" s="135"/>
      <c r="U2275" s="135"/>
    </row>
    <row r="2276" spans="20:21" ht="15" customHeight="1" x14ac:dyDescent="0.25">
      <c r="T2276" s="135"/>
      <c r="U2276" s="135"/>
    </row>
    <row r="2277" spans="20:21" ht="15" customHeight="1" x14ac:dyDescent="0.25">
      <c r="T2277" s="135"/>
      <c r="U2277" s="135"/>
    </row>
    <row r="2278" spans="20:21" ht="15" customHeight="1" x14ac:dyDescent="0.25">
      <c r="T2278" s="135"/>
      <c r="U2278" s="135"/>
    </row>
    <row r="2279" spans="20:21" ht="15" customHeight="1" x14ac:dyDescent="0.25">
      <c r="T2279" s="135"/>
      <c r="U2279" s="135"/>
    </row>
    <row r="2280" spans="20:21" ht="15" customHeight="1" x14ac:dyDescent="0.25">
      <c r="T2280" s="135"/>
      <c r="U2280" s="135"/>
    </row>
    <row r="2281" spans="20:21" ht="15" customHeight="1" x14ac:dyDescent="0.25">
      <c r="T2281" s="135"/>
      <c r="U2281" s="135"/>
    </row>
    <row r="2282" spans="20:21" ht="15" customHeight="1" x14ac:dyDescent="0.25">
      <c r="T2282" s="135"/>
      <c r="U2282" s="135"/>
    </row>
    <row r="2283" spans="20:21" ht="15" customHeight="1" x14ac:dyDescent="0.25">
      <c r="T2283" s="135"/>
      <c r="U2283" s="135"/>
    </row>
    <row r="2284" spans="20:21" ht="15" customHeight="1" x14ac:dyDescent="0.25">
      <c r="T2284" s="135"/>
      <c r="U2284" s="135"/>
    </row>
    <row r="2285" spans="20:21" ht="15" customHeight="1" x14ac:dyDescent="0.25">
      <c r="T2285" s="135"/>
      <c r="U2285" s="135"/>
    </row>
    <row r="2286" spans="20:21" ht="15" customHeight="1" x14ac:dyDescent="0.25">
      <c r="T2286" s="135"/>
      <c r="U2286" s="135"/>
    </row>
    <row r="2287" spans="20:21" ht="15" customHeight="1" x14ac:dyDescent="0.25">
      <c r="T2287" s="135"/>
      <c r="U2287" s="135"/>
    </row>
    <row r="2288" spans="20:21" ht="15" customHeight="1" x14ac:dyDescent="0.25">
      <c r="T2288" s="135"/>
      <c r="U2288" s="135"/>
    </row>
    <row r="2289" spans="20:21" ht="15" customHeight="1" x14ac:dyDescent="0.25">
      <c r="T2289" s="135"/>
      <c r="U2289" s="135"/>
    </row>
    <row r="2290" spans="20:21" ht="15" customHeight="1" x14ac:dyDescent="0.25">
      <c r="T2290" s="135"/>
      <c r="U2290" s="135"/>
    </row>
    <row r="2291" spans="20:21" ht="15" customHeight="1" x14ac:dyDescent="0.25">
      <c r="T2291" s="135"/>
      <c r="U2291" s="135"/>
    </row>
    <row r="2292" spans="20:21" ht="15" customHeight="1" x14ac:dyDescent="0.25">
      <c r="T2292" s="135"/>
      <c r="U2292" s="135"/>
    </row>
    <row r="2293" spans="20:21" ht="15" customHeight="1" x14ac:dyDescent="0.25">
      <c r="T2293" s="135"/>
      <c r="U2293" s="135"/>
    </row>
    <row r="2294" spans="20:21" ht="15" customHeight="1" x14ac:dyDescent="0.25">
      <c r="T2294" s="135"/>
      <c r="U2294" s="135"/>
    </row>
    <row r="2295" spans="20:21" ht="15" customHeight="1" x14ac:dyDescent="0.25">
      <c r="T2295" s="135"/>
      <c r="U2295" s="135"/>
    </row>
    <row r="2296" spans="20:21" ht="15" customHeight="1" x14ac:dyDescent="0.25">
      <c r="T2296" s="135"/>
      <c r="U2296" s="135"/>
    </row>
    <row r="2297" spans="20:21" ht="15" customHeight="1" x14ac:dyDescent="0.25">
      <c r="T2297" s="135"/>
      <c r="U2297" s="135"/>
    </row>
    <row r="2298" spans="20:21" ht="15" customHeight="1" x14ac:dyDescent="0.25">
      <c r="T2298" s="135"/>
      <c r="U2298" s="135"/>
    </row>
    <row r="2299" spans="20:21" ht="15" customHeight="1" x14ac:dyDescent="0.25">
      <c r="T2299" s="135"/>
      <c r="U2299" s="135"/>
    </row>
    <row r="2300" spans="20:21" ht="15" customHeight="1" x14ac:dyDescent="0.25">
      <c r="T2300" s="135"/>
      <c r="U2300" s="135"/>
    </row>
    <row r="2301" spans="20:21" ht="15" customHeight="1" x14ac:dyDescent="0.25">
      <c r="T2301" s="135"/>
      <c r="U2301" s="135"/>
    </row>
    <row r="2302" spans="20:21" ht="15" customHeight="1" x14ac:dyDescent="0.25">
      <c r="T2302" s="135"/>
      <c r="U2302" s="135"/>
    </row>
    <row r="2303" spans="20:21" ht="15" customHeight="1" x14ac:dyDescent="0.25">
      <c r="T2303" s="135"/>
      <c r="U2303" s="135"/>
    </row>
    <row r="2304" spans="20:21" ht="15" customHeight="1" x14ac:dyDescent="0.25">
      <c r="T2304" s="135"/>
      <c r="U2304" s="135"/>
    </row>
    <row r="2305" spans="20:21" ht="15" customHeight="1" x14ac:dyDescent="0.25">
      <c r="T2305" s="135"/>
      <c r="U2305" s="135"/>
    </row>
    <row r="2306" spans="20:21" ht="15" customHeight="1" x14ac:dyDescent="0.25">
      <c r="T2306" s="135"/>
      <c r="U2306" s="135"/>
    </row>
    <row r="2307" spans="20:21" ht="15" customHeight="1" x14ac:dyDescent="0.25">
      <c r="T2307" s="135"/>
      <c r="U2307" s="135"/>
    </row>
    <row r="2308" spans="20:21" ht="15" customHeight="1" x14ac:dyDescent="0.25">
      <c r="T2308" s="135"/>
      <c r="U2308" s="135"/>
    </row>
    <row r="2309" spans="20:21" ht="15" customHeight="1" x14ac:dyDescent="0.25">
      <c r="T2309" s="135"/>
      <c r="U2309" s="135"/>
    </row>
    <row r="2310" spans="20:21" ht="15" customHeight="1" x14ac:dyDescent="0.25">
      <c r="T2310" s="135"/>
      <c r="U2310" s="135"/>
    </row>
    <row r="2311" spans="20:21" ht="15" customHeight="1" x14ac:dyDescent="0.25">
      <c r="T2311" s="135"/>
      <c r="U2311" s="135"/>
    </row>
    <row r="2312" spans="20:21" ht="15" customHeight="1" x14ac:dyDescent="0.25">
      <c r="T2312" s="135"/>
      <c r="U2312" s="135"/>
    </row>
    <row r="2313" spans="20:21" ht="15" customHeight="1" x14ac:dyDescent="0.25">
      <c r="T2313" s="135"/>
      <c r="U2313" s="135"/>
    </row>
    <row r="2314" spans="20:21" ht="15" customHeight="1" x14ac:dyDescent="0.25">
      <c r="T2314" s="135"/>
      <c r="U2314" s="135"/>
    </row>
    <row r="2315" spans="20:21" ht="15" customHeight="1" x14ac:dyDescent="0.25">
      <c r="T2315" s="135"/>
      <c r="U2315" s="135"/>
    </row>
    <row r="2316" spans="20:21" ht="15" customHeight="1" x14ac:dyDescent="0.25">
      <c r="T2316" s="135"/>
      <c r="U2316" s="135"/>
    </row>
    <row r="2317" spans="20:21" ht="15" customHeight="1" x14ac:dyDescent="0.25">
      <c r="T2317" s="135"/>
      <c r="U2317" s="135"/>
    </row>
    <row r="2318" spans="20:21" ht="15" customHeight="1" x14ac:dyDescent="0.25">
      <c r="T2318" s="135"/>
      <c r="U2318" s="135"/>
    </row>
    <row r="2319" spans="20:21" ht="15" customHeight="1" x14ac:dyDescent="0.25">
      <c r="T2319" s="135"/>
      <c r="U2319" s="135"/>
    </row>
    <row r="2320" spans="20:21" ht="15" customHeight="1" x14ac:dyDescent="0.25">
      <c r="T2320" s="135"/>
      <c r="U2320" s="135"/>
    </row>
    <row r="2321" spans="20:21" ht="15" customHeight="1" x14ac:dyDescent="0.25">
      <c r="T2321" s="135"/>
      <c r="U2321" s="135"/>
    </row>
    <row r="2322" spans="20:21" ht="15" customHeight="1" x14ac:dyDescent="0.25">
      <c r="T2322" s="135"/>
      <c r="U2322" s="135"/>
    </row>
    <row r="2323" spans="20:21" ht="15" customHeight="1" x14ac:dyDescent="0.25">
      <c r="T2323" s="135"/>
      <c r="U2323" s="135"/>
    </row>
    <row r="2324" spans="20:21" ht="15" customHeight="1" x14ac:dyDescent="0.25">
      <c r="T2324" s="135"/>
      <c r="U2324" s="135"/>
    </row>
    <row r="2325" spans="20:21" ht="15" customHeight="1" x14ac:dyDescent="0.25">
      <c r="T2325" s="135"/>
      <c r="U2325" s="135"/>
    </row>
    <row r="2326" spans="20:21" ht="15" customHeight="1" x14ac:dyDescent="0.25">
      <c r="T2326" s="135"/>
      <c r="U2326" s="135"/>
    </row>
    <row r="2327" spans="20:21" ht="15" customHeight="1" x14ac:dyDescent="0.25">
      <c r="T2327" s="135"/>
      <c r="U2327" s="135"/>
    </row>
    <row r="2328" spans="20:21" ht="15" customHeight="1" x14ac:dyDescent="0.25">
      <c r="T2328" s="135"/>
      <c r="U2328" s="135"/>
    </row>
    <row r="2329" spans="20:21" ht="15" customHeight="1" x14ac:dyDescent="0.25">
      <c r="T2329" s="135"/>
      <c r="U2329" s="135"/>
    </row>
    <row r="2330" spans="20:21" ht="15" customHeight="1" x14ac:dyDescent="0.25">
      <c r="T2330" s="135"/>
      <c r="U2330" s="135"/>
    </row>
    <row r="2331" spans="20:21" ht="15" customHeight="1" x14ac:dyDescent="0.25">
      <c r="T2331" s="135"/>
      <c r="U2331" s="135"/>
    </row>
    <row r="2332" spans="20:21" ht="15" customHeight="1" x14ac:dyDescent="0.25">
      <c r="T2332" s="135"/>
      <c r="U2332" s="135"/>
    </row>
    <row r="2333" spans="20:21" ht="15" customHeight="1" x14ac:dyDescent="0.25">
      <c r="T2333" s="135"/>
      <c r="U2333" s="135"/>
    </row>
    <row r="2334" spans="20:21" ht="15" customHeight="1" x14ac:dyDescent="0.25">
      <c r="T2334" s="135"/>
      <c r="U2334" s="135"/>
    </row>
    <row r="2335" spans="20:21" ht="15" customHeight="1" x14ac:dyDescent="0.25">
      <c r="T2335" s="135"/>
      <c r="U2335" s="135"/>
    </row>
    <row r="2336" spans="20:21" ht="15" customHeight="1" x14ac:dyDescent="0.25">
      <c r="T2336" s="135"/>
      <c r="U2336" s="135"/>
    </row>
    <row r="2337" spans="20:21" ht="15" customHeight="1" x14ac:dyDescent="0.25">
      <c r="T2337" s="135"/>
      <c r="U2337" s="135"/>
    </row>
    <row r="2338" spans="20:21" ht="15" customHeight="1" x14ac:dyDescent="0.25">
      <c r="T2338" s="135"/>
      <c r="U2338" s="135"/>
    </row>
    <row r="2339" spans="20:21" ht="15" customHeight="1" x14ac:dyDescent="0.25">
      <c r="T2339" s="135"/>
      <c r="U2339" s="135"/>
    </row>
    <row r="2340" spans="20:21" ht="15" customHeight="1" x14ac:dyDescent="0.25">
      <c r="T2340" s="135"/>
      <c r="U2340" s="135"/>
    </row>
    <row r="2341" spans="20:21" ht="15" customHeight="1" x14ac:dyDescent="0.25">
      <c r="T2341" s="135"/>
      <c r="U2341" s="135"/>
    </row>
    <row r="2342" spans="20:21" ht="15" customHeight="1" x14ac:dyDescent="0.25">
      <c r="T2342" s="135"/>
      <c r="U2342" s="135"/>
    </row>
    <row r="2343" spans="20:21" ht="15" customHeight="1" x14ac:dyDescent="0.25">
      <c r="T2343" s="135"/>
      <c r="U2343" s="135"/>
    </row>
    <row r="2344" spans="20:21" ht="15" customHeight="1" x14ac:dyDescent="0.25">
      <c r="T2344" s="135"/>
      <c r="U2344" s="135"/>
    </row>
    <row r="2345" spans="20:21" ht="15" customHeight="1" x14ac:dyDescent="0.25">
      <c r="T2345" s="135"/>
      <c r="U2345" s="135"/>
    </row>
    <row r="2346" spans="20:21" ht="15" customHeight="1" x14ac:dyDescent="0.25">
      <c r="T2346" s="135"/>
      <c r="U2346" s="135"/>
    </row>
    <row r="2347" spans="20:21" ht="15" customHeight="1" x14ac:dyDescent="0.25">
      <c r="T2347" s="135"/>
      <c r="U2347" s="135"/>
    </row>
    <row r="2348" spans="20:21" ht="15" customHeight="1" x14ac:dyDescent="0.25">
      <c r="T2348" s="135"/>
      <c r="U2348" s="135"/>
    </row>
    <row r="2349" spans="20:21" ht="15" customHeight="1" x14ac:dyDescent="0.25">
      <c r="T2349" s="135"/>
      <c r="U2349" s="135"/>
    </row>
    <row r="2350" spans="20:21" ht="15" customHeight="1" x14ac:dyDescent="0.25">
      <c r="T2350" s="135"/>
      <c r="U2350" s="135"/>
    </row>
    <row r="2351" spans="20:21" ht="15" customHeight="1" x14ac:dyDescent="0.25">
      <c r="T2351" s="135"/>
      <c r="U2351" s="135"/>
    </row>
    <row r="2352" spans="20:21" ht="15" customHeight="1" x14ac:dyDescent="0.25">
      <c r="T2352" s="135"/>
      <c r="U2352" s="135"/>
    </row>
    <row r="2353" spans="20:21" ht="15" customHeight="1" x14ac:dyDescent="0.25">
      <c r="T2353" s="135"/>
      <c r="U2353" s="135"/>
    </row>
    <row r="2354" spans="20:21" ht="15" customHeight="1" x14ac:dyDescent="0.25">
      <c r="T2354" s="135"/>
      <c r="U2354" s="135"/>
    </row>
    <row r="2355" spans="20:21" ht="15" customHeight="1" x14ac:dyDescent="0.25">
      <c r="T2355" s="135"/>
      <c r="U2355" s="135"/>
    </row>
    <row r="2356" spans="20:21" ht="15" customHeight="1" x14ac:dyDescent="0.25">
      <c r="T2356" s="135"/>
      <c r="U2356" s="135"/>
    </row>
    <row r="2357" spans="20:21" ht="15" customHeight="1" x14ac:dyDescent="0.25">
      <c r="T2357" s="135"/>
      <c r="U2357" s="135"/>
    </row>
    <row r="2358" spans="20:21" ht="15" customHeight="1" x14ac:dyDescent="0.25">
      <c r="T2358" s="135"/>
      <c r="U2358" s="135"/>
    </row>
    <row r="2359" spans="20:21" ht="15" customHeight="1" x14ac:dyDescent="0.25">
      <c r="T2359" s="135"/>
      <c r="U2359" s="135"/>
    </row>
    <row r="2360" spans="20:21" ht="15" customHeight="1" x14ac:dyDescent="0.25">
      <c r="T2360" s="135"/>
      <c r="U2360" s="135"/>
    </row>
    <row r="2361" spans="20:21" ht="15" customHeight="1" x14ac:dyDescent="0.25">
      <c r="T2361" s="135"/>
      <c r="U2361" s="135"/>
    </row>
    <row r="2362" spans="20:21" ht="15" customHeight="1" x14ac:dyDescent="0.25">
      <c r="T2362" s="135"/>
      <c r="U2362" s="135"/>
    </row>
    <row r="2363" spans="20:21" ht="15" customHeight="1" x14ac:dyDescent="0.25">
      <c r="T2363" s="135"/>
      <c r="U2363" s="135"/>
    </row>
    <row r="2364" spans="20:21" ht="15" customHeight="1" x14ac:dyDescent="0.25">
      <c r="T2364" s="135"/>
      <c r="U2364" s="135"/>
    </row>
    <row r="2365" spans="20:21" ht="15" customHeight="1" x14ac:dyDescent="0.25">
      <c r="T2365" s="135"/>
      <c r="U2365" s="135"/>
    </row>
    <row r="2366" spans="20:21" ht="15" customHeight="1" x14ac:dyDescent="0.25">
      <c r="T2366" s="135"/>
      <c r="U2366" s="135"/>
    </row>
    <row r="2367" spans="20:21" ht="15" customHeight="1" x14ac:dyDescent="0.25">
      <c r="T2367" s="135"/>
      <c r="U2367" s="135"/>
    </row>
    <row r="2368" spans="20:21" ht="15" customHeight="1" x14ac:dyDescent="0.25">
      <c r="T2368" s="135"/>
      <c r="U2368" s="135"/>
    </row>
    <row r="2369" spans="20:21" ht="15" customHeight="1" x14ac:dyDescent="0.25">
      <c r="T2369" s="135"/>
      <c r="U2369" s="135"/>
    </row>
    <row r="2370" spans="20:21" ht="15" customHeight="1" x14ac:dyDescent="0.25">
      <c r="T2370" s="135"/>
      <c r="U2370" s="135"/>
    </row>
    <row r="2371" spans="20:21" ht="15" customHeight="1" x14ac:dyDescent="0.25">
      <c r="T2371" s="135"/>
      <c r="U2371" s="135"/>
    </row>
    <row r="2372" spans="20:21" ht="15" customHeight="1" x14ac:dyDescent="0.25">
      <c r="T2372" s="135"/>
      <c r="U2372" s="135"/>
    </row>
    <row r="2373" spans="20:21" ht="15" customHeight="1" x14ac:dyDescent="0.25">
      <c r="T2373" s="135"/>
      <c r="U2373" s="135"/>
    </row>
    <row r="2374" spans="20:21" ht="15" customHeight="1" x14ac:dyDescent="0.25">
      <c r="T2374" s="135"/>
      <c r="U2374" s="135"/>
    </row>
    <row r="2375" spans="20:21" ht="15" customHeight="1" x14ac:dyDescent="0.25">
      <c r="T2375" s="135"/>
      <c r="U2375" s="135"/>
    </row>
    <row r="2376" spans="20:21" ht="15" customHeight="1" x14ac:dyDescent="0.25">
      <c r="T2376" s="135"/>
      <c r="U2376" s="135"/>
    </row>
    <row r="2377" spans="20:21" ht="15" customHeight="1" x14ac:dyDescent="0.25">
      <c r="T2377" s="135"/>
      <c r="U2377" s="135"/>
    </row>
    <row r="2378" spans="20:21" ht="15" customHeight="1" x14ac:dyDescent="0.25">
      <c r="T2378" s="135"/>
      <c r="U2378" s="135"/>
    </row>
    <row r="2379" spans="20:21" ht="15" customHeight="1" x14ac:dyDescent="0.25">
      <c r="T2379" s="135"/>
      <c r="U2379" s="135"/>
    </row>
    <row r="2380" spans="20:21" ht="15" customHeight="1" x14ac:dyDescent="0.25">
      <c r="T2380" s="135"/>
      <c r="U2380" s="135"/>
    </row>
    <row r="2381" spans="20:21" ht="15" customHeight="1" x14ac:dyDescent="0.25">
      <c r="T2381" s="135"/>
      <c r="U2381" s="135"/>
    </row>
    <row r="2382" spans="20:21" ht="15" customHeight="1" x14ac:dyDescent="0.25">
      <c r="T2382" s="135"/>
      <c r="U2382" s="135"/>
    </row>
    <row r="2383" spans="20:21" ht="15" customHeight="1" x14ac:dyDescent="0.25">
      <c r="T2383" s="135"/>
      <c r="U2383" s="135"/>
    </row>
    <row r="2384" spans="20:21" ht="15" customHeight="1" x14ac:dyDescent="0.25">
      <c r="T2384" s="135"/>
      <c r="U2384" s="135"/>
    </row>
    <row r="2385" spans="20:21" ht="15" customHeight="1" x14ac:dyDescent="0.25">
      <c r="T2385" s="135"/>
      <c r="U2385" s="135"/>
    </row>
    <row r="2386" spans="20:21" ht="15" customHeight="1" x14ac:dyDescent="0.25">
      <c r="T2386" s="135"/>
      <c r="U2386" s="135"/>
    </row>
    <row r="2387" spans="20:21" ht="15" customHeight="1" x14ac:dyDescent="0.25">
      <c r="T2387" s="135"/>
      <c r="U2387" s="135"/>
    </row>
    <row r="2388" spans="20:21" ht="15" customHeight="1" x14ac:dyDescent="0.25">
      <c r="T2388" s="135"/>
      <c r="U2388" s="135"/>
    </row>
    <row r="2389" spans="20:21" ht="15" customHeight="1" x14ac:dyDescent="0.25">
      <c r="T2389" s="135"/>
      <c r="U2389" s="135"/>
    </row>
    <row r="2390" spans="20:21" ht="15" customHeight="1" x14ac:dyDescent="0.25">
      <c r="T2390" s="135"/>
      <c r="U2390" s="135"/>
    </row>
    <row r="2391" spans="20:21" ht="15" customHeight="1" x14ac:dyDescent="0.25">
      <c r="T2391" s="135"/>
      <c r="U2391" s="135"/>
    </row>
    <row r="2392" spans="20:21" ht="15" customHeight="1" x14ac:dyDescent="0.25">
      <c r="T2392" s="135"/>
      <c r="U2392" s="135"/>
    </row>
    <row r="2393" spans="20:21" ht="15" customHeight="1" x14ac:dyDescent="0.25">
      <c r="T2393" s="135"/>
      <c r="U2393" s="135"/>
    </row>
    <row r="2394" spans="20:21" ht="15" customHeight="1" x14ac:dyDescent="0.25">
      <c r="T2394" s="135"/>
      <c r="U2394" s="135"/>
    </row>
    <row r="2395" spans="20:21" ht="15" customHeight="1" x14ac:dyDescent="0.25">
      <c r="T2395" s="135"/>
      <c r="U2395" s="135"/>
    </row>
    <row r="2396" spans="20:21" ht="15" customHeight="1" x14ac:dyDescent="0.25">
      <c r="T2396" s="135"/>
      <c r="U2396" s="135"/>
    </row>
    <row r="2397" spans="20:21" ht="15" customHeight="1" x14ac:dyDescent="0.25">
      <c r="T2397" s="135"/>
      <c r="U2397" s="135"/>
    </row>
    <row r="2398" spans="20:21" ht="15" customHeight="1" x14ac:dyDescent="0.25">
      <c r="T2398" s="135"/>
      <c r="U2398" s="135"/>
    </row>
    <row r="2399" spans="20:21" ht="15" customHeight="1" x14ac:dyDescent="0.25">
      <c r="T2399" s="135"/>
      <c r="U2399" s="135"/>
    </row>
    <row r="2400" spans="20:21" ht="15" customHeight="1" x14ac:dyDescent="0.25">
      <c r="T2400" s="135"/>
      <c r="U2400" s="135"/>
    </row>
    <row r="2401" spans="20:21" ht="15" customHeight="1" x14ac:dyDescent="0.25">
      <c r="T2401" s="135"/>
      <c r="U2401" s="135"/>
    </row>
    <row r="2402" spans="20:21" ht="15" customHeight="1" x14ac:dyDescent="0.25">
      <c r="T2402" s="135"/>
      <c r="U2402" s="135"/>
    </row>
    <row r="2403" spans="20:21" ht="15" customHeight="1" x14ac:dyDescent="0.25">
      <c r="T2403" s="135"/>
      <c r="U2403" s="135"/>
    </row>
    <row r="2404" spans="20:21" ht="15" customHeight="1" x14ac:dyDescent="0.25">
      <c r="T2404" s="135"/>
      <c r="U2404" s="135"/>
    </row>
    <row r="2405" spans="20:21" ht="15" customHeight="1" x14ac:dyDescent="0.25">
      <c r="T2405" s="135"/>
      <c r="U2405" s="135"/>
    </row>
    <row r="2406" spans="20:21" ht="15" customHeight="1" x14ac:dyDescent="0.25">
      <c r="T2406" s="135"/>
      <c r="U2406" s="135"/>
    </row>
    <row r="2407" spans="20:21" ht="15" customHeight="1" x14ac:dyDescent="0.25">
      <c r="T2407" s="135"/>
      <c r="U2407" s="135"/>
    </row>
    <row r="2408" spans="20:21" ht="15" customHeight="1" x14ac:dyDescent="0.25">
      <c r="T2408" s="135"/>
      <c r="U2408" s="135"/>
    </row>
    <row r="2409" spans="20:21" ht="15" customHeight="1" x14ac:dyDescent="0.25">
      <c r="T2409" s="135"/>
      <c r="U2409" s="135"/>
    </row>
    <row r="2410" spans="20:21" ht="15" customHeight="1" x14ac:dyDescent="0.25">
      <c r="T2410" s="135"/>
      <c r="U2410" s="135"/>
    </row>
    <row r="2411" spans="20:21" ht="15" customHeight="1" x14ac:dyDescent="0.25">
      <c r="T2411" s="135"/>
      <c r="U2411" s="135"/>
    </row>
    <row r="2412" spans="20:21" ht="15" customHeight="1" x14ac:dyDescent="0.25">
      <c r="T2412" s="135"/>
      <c r="U2412" s="135"/>
    </row>
    <row r="2413" spans="20:21" ht="15" customHeight="1" x14ac:dyDescent="0.25">
      <c r="T2413" s="135"/>
      <c r="U2413" s="135"/>
    </row>
    <row r="2414" spans="20:21" ht="15" customHeight="1" x14ac:dyDescent="0.25">
      <c r="T2414" s="135"/>
      <c r="U2414" s="135"/>
    </row>
    <row r="2415" spans="20:21" ht="15" customHeight="1" x14ac:dyDescent="0.25">
      <c r="T2415" s="135"/>
      <c r="U2415" s="135"/>
    </row>
    <row r="2416" spans="20:21" ht="15" customHeight="1" x14ac:dyDescent="0.25">
      <c r="T2416" s="135"/>
      <c r="U2416" s="135"/>
    </row>
    <row r="2417" spans="20:21" ht="15" customHeight="1" x14ac:dyDescent="0.25">
      <c r="T2417" s="135"/>
      <c r="U2417" s="135"/>
    </row>
    <row r="2418" spans="20:21" ht="15" customHeight="1" x14ac:dyDescent="0.25">
      <c r="T2418" s="135"/>
      <c r="U2418" s="135"/>
    </row>
    <row r="2419" spans="20:21" ht="15" customHeight="1" x14ac:dyDescent="0.25">
      <c r="T2419" s="135"/>
      <c r="U2419" s="135"/>
    </row>
    <row r="2420" spans="20:21" ht="15" customHeight="1" x14ac:dyDescent="0.25">
      <c r="T2420" s="135"/>
      <c r="U2420" s="135"/>
    </row>
    <row r="2421" spans="20:21" ht="15" customHeight="1" x14ac:dyDescent="0.25">
      <c r="T2421" s="135"/>
      <c r="U2421" s="135"/>
    </row>
    <row r="2422" spans="20:21" ht="15" customHeight="1" x14ac:dyDescent="0.25">
      <c r="T2422" s="135"/>
      <c r="U2422" s="135"/>
    </row>
    <row r="2423" spans="20:21" ht="15" customHeight="1" x14ac:dyDescent="0.25">
      <c r="T2423" s="135"/>
      <c r="U2423" s="135"/>
    </row>
    <row r="2424" spans="20:21" ht="15" customHeight="1" x14ac:dyDescent="0.25">
      <c r="T2424" s="135"/>
      <c r="U2424" s="135"/>
    </row>
    <row r="2425" spans="20:21" ht="15" customHeight="1" x14ac:dyDescent="0.25">
      <c r="T2425" s="135"/>
      <c r="U2425" s="135"/>
    </row>
    <row r="2426" spans="20:21" ht="15" customHeight="1" x14ac:dyDescent="0.25">
      <c r="T2426" s="135"/>
      <c r="U2426" s="135"/>
    </row>
    <row r="2427" spans="20:21" ht="15" customHeight="1" x14ac:dyDescent="0.25">
      <c r="T2427" s="135"/>
      <c r="U2427" s="135"/>
    </row>
    <row r="2428" spans="20:21" ht="15" customHeight="1" x14ac:dyDescent="0.25">
      <c r="T2428" s="135"/>
      <c r="U2428" s="135"/>
    </row>
    <row r="2429" spans="20:21" ht="15" customHeight="1" x14ac:dyDescent="0.25">
      <c r="T2429" s="135"/>
      <c r="U2429" s="135"/>
    </row>
    <row r="2430" spans="20:21" ht="15" customHeight="1" x14ac:dyDescent="0.25">
      <c r="T2430" s="135"/>
      <c r="U2430" s="135"/>
    </row>
    <row r="2431" spans="20:21" ht="15" customHeight="1" x14ac:dyDescent="0.25">
      <c r="T2431" s="135"/>
      <c r="U2431" s="135"/>
    </row>
    <row r="2432" spans="20:21" ht="15" customHeight="1" x14ac:dyDescent="0.25">
      <c r="T2432" s="135"/>
      <c r="U2432" s="135"/>
    </row>
    <row r="2433" spans="20:21" ht="15" customHeight="1" x14ac:dyDescent="0.25">
      <c r="T2433" s="135"/>
      <c r="U2433" s="135"/>
    </row>
    <row r="2434" spans="20:21" ht="15" customHeight="1" x14ac:dyDescent="0.25">
      <c r="T2434" s="135"/>
      <c r="U2434" s="135"/>
    </row>
    <row r="2435" spans="20:21" ht="15" customHeight="1" x14ac:dyDescent="0.25">
      <c r="T2435" s="135"/>
      <c r="U2435" s="135"/>
    </row>
    <row r="2436" spans="20:21" ht="15" customHeight="1" x14ac:dyDescent="0.25">
      <c r="T2436" s="135"/>
      <c r="U2436" s="135"/>
    </row>
    <row r="2437" spans="20:21" ht="15" customHeight="1" x14ac:dyDescent="0.25">
      <c r="T2437" s="135"/>
      <c r="U2437" s="135"/>
    </row>
    <row r="2438" spans="20:21" ht="15" customHeight="1" x14ac:dyDescent="0.25">
      <c r="T2438" s="135"/>
      <c r="U2438" s="135"/>
    </row>
    <row r="2439" spans="20:21" ht="15" customHeight="1" x14ac:dyDescent="0.25">
      <c r="T2439" s="135"/>
      <c r="U2439" s="135"/>
    </row>
    <row r="2440" spans="20:21" ht="15" customHeight="1" x14ac:dyDescent="0.25">
      <c r="T2440" s="135"/>
      <c r="U2440" s="135"/>
    </row>
    <row r="2441" spans="20:21" ht="15" customHeight="1" x14ac:dyDescent="0.25">
      <c r="T2441" s="135"/>
      <c r="U2441" s="135"/>
    </row>
    <row r="2442" spans="20:21" ht="15" customHeight="1" x14ac:dyDescent="0.25">
      <c r="T2442" s="135"/>
      <c r="U2442" s="135"/>
    </row>
    <row r="2443" spans="20:21" ht="15" customHeight="1" x14ac:dyDescent="0.25">
      <c r="T2443" s="135"/>
      <c r="U2443" s="135"/>
    </row>
    <row r="2444" spans="20:21" ht="15" customHeight="1" x14ac:dyDescent="0.25">
      <c r="T2444" s="135"/>
      <c r="U2444" s="135"/>
    </row>
    <row r="2445" spans="20:21" ht="15" customHeight="1" x14ac:dyDescent="0.25">
      <c r="T2445" s="135"/>
      <c r="U2445" s="135"/>
    </row>
    <row r="2446" spans="20:21" ht="15" customHeight="1" x14ac:dyDescent="0.25">
      <c r="T2446" s="135"/>
      <c r="U2446" s="135"/>
    </row>
    <row r="2447" spans="20:21" ht="15" customHeight="1" x14ac:dyDescent="0.25">
      <c r="T2447" s="135"/>
      <c r="U2447" s="135"/>
    </row>
    <row r="2448" spans="20:21" ht="15" customHeight="1" x14ac:dyDescent="0.25">
      <c r="T2448" s="135"/>
      <c r="U2448" s="135"/>
    </row>
    <row r="2449" spans="20:21" ht="15" customHeight="1" x14ac:dyDescent="0.25">
      <c r="T2449" s="135"/>
      <c r="U2449" s="135"/>
    </row>
    <row r="2450" spans="20:21" ht="15" customHeight="1" x14ac:dyDescent="0.25">
      <c r="T2450" s="135"/>
      <c r="U2450" s="135"/>
    </row>
    <row r="2451" spans="20:21" ht="15" customHeight="1" x14ac:dyDescent="0.25">
      <c r="T2451" s="135"/>
      <c r="U2451" s="135"/>
    </row>
    <row r="2452" spans="20:21" ht="15" customHeight="1" x14ac:dyDescent="0.25">
      <c r="T2452" s="135"/>
      <c r="U2452" s="135"/>
    </row>
    <row r="2453" spans="20:21" ht="15" customHeight="1" x14ac:dyDescent="0.25">
      <c r="T2453" s="135"/>
      <c r="U2453" s="135"/>
    </row>
    <row r="2454" spans="20:21" ht="15" customHeight="1" x14ac:dyDescent="0.25">
      <c r="T2454" s="135"/>
      <c r="U2454" s="135"/>
    </row>
    <row r="2455" spans="20:21" ht="15" customHeight="1" x14ac:dyDescent="0.25">
      <c r="T2455" s="135"/>
      <c r="U2455" s="135"/>
    </row>
    <row r="2456" spans="20:21" ht="15" customHeight="1" x14ac:dyDescent="0.25">
      <c r="T2456" s="135"/>
      <c r="U2456" s="135"/>
    </row>
    <row r="2457" spans="20:21" ht="15" customHeight="1" x14ac:dyDescent="0.25">
      <c r="T2457" s="135"/>
      <c r="U2457" s="135"/>
    </row>
    <row r="2458" spans="20:21" ht="15" customHeight="1" x14ac:dyDescent="0.25">
      <c r="T2458" s="135"/>
      <c r="U2458" s="135"/>
    </row>
    <row r="2459" spans="20:21" ht="15" customHeight="1" x14ac:dyDescent="0.25">
      <c r="T2459" s="135"/>
      <c r="U2459" s="135"/>
    </row>
    <row r="2460" spans="20:21" ht="15" customHeight="1" x14ac:dyDescent="0.25">
      <c r="T2460" s="135"/>
      <c r="U2460" s="135"/>
    </row>
    <row r="2461" spans="20:21" ht="15" customHeight="1" x14ac:dyDescent="0.25">
      <c r="T2461" s="135"/>
      <c r="U2461" s="135"/>
    </row>
    <row r="2462" spans="20:21" ht="15" customHeight="1" x14ac:dyDescent="0.25">
      <c r="T2462" s="135"/>
      <c r="U2462" s="135"/>
    </row>
    <row r="2463" spans="20:21" ht="15" customHeight="1" x14ac:dyDescent="0.25">
      <c r="T2463" s="135"/>
      <c r="U2463" s="135"/>
    </row>
    <row r="2464" spans="20:21" ht="15" customHeight="1" x14ac:dyDescent="0.25">
      <c r="T2464" s="135"/>
      <c r="U2464" s="135"/>
    </row>
    <row r="2465" spans="20:21" ht="15" customHeight="1" x14ac:dyDescent="0.25">
      <c r="T2465" s="135"/>
      <c r="U2465" s="135"/>
    </row>
    <row r="2466" spans="20:21" ht="15" customHeight="1" x14ac:dyDescent="0.25">
      <c r="T2466" s="135"/>
      <c r="U2466" s="135"/>
    </row>
    <row r="2467" spans="20:21" ht="15" customHeight="1" x14ac:dyDescent="0.25">
      <c r="T2467" s="135"/>
      <c r="U2467" s="135"/>
    </row>
    <row r="2468" spans="20:21" ht="15" customHeight="1" x14ac:dyDescent="0.25">
      <c r="T2468" s="135"/>
      <c r="U2468" s="135"/>
    </row>
    <row r="2469" spans="20:21" ht="15" customHeight="1" x14ac:dyDescent="0.25">
      <c r="T2469" s="135"/>
      <c r="U2469" s="135"/>
    </row>
    <row r="2470" spans="20:21" ht="15" customHeight="1" x14ac:dyDescent="0.25">
      <c r="T2470" s="135"/>
      <c r="U2470" s="135"/>
    </row>
    <row r="2471" spans="20:21" ht="15" customHeight="1" x14ac:dyDescent="0.25">
      <c r="T2471" s="135"/>
      <c r="U2471" s="135"/>
    </row>
    <row r="2472" spans="20:21" ht="15" customHeight="1" x14ac:dyDescent="0.25">
      <c r="T2472" s="135"/>
      <c r="U2472" s="135"/>
    </row>
    <row r="2473" spans="20:21" ht="15" customHeight="1" x14ac:dyDescent="0.25">
      <c r="T2473" s="135"/>
      <c r="U2473" s="135"/>
    </row>
    <row r="2474" spans="20:21" ht="15" customHeight="1" x14ac:dyDescent="0.25">
      <c r="T2474" s="135"/>
      <c r="U2474" s="135"/>
    </row>
    <row r="2475" spans="20:21" ht="15" customHeight="1" x14ac:dyDescent="0.25">
      <c r="T2475" s="135"/>
      <c r="U2475" s="135"/>
    </row>
    <row r="2476" spans="20:21" ht="15" customHeight="1" x14ac:dyDescent="0.25">
      <c r="T2476" s="135"/>
      <c r="U2476" s="135"/>
    </row>
    <row r="2477" spans="20:21" ht="15" customHeight="1" x14ac:dyDescent="0.25">
      <c r="T2477" s="135"/>
      <c r="U2477" s="135"/>
    </row>
    <row r="2478" spans="20:21" ht="15" customHeight="1" x14ac:dyDescent="0.25">
      <c r="T2478" s="135"/>
      <c r="U2478" s="135"/>
    </row>
    <row r="2479" spans="20:21" ht="15" customHeight="1" x14ac:dyDescent="0.25">
      <c r="T2479" s="135"/>
      <c r="U2479" s="135"/>
    </row>
    <row r="2480" spans="20:21" ht="15" customHeight="1" x14ac:dyDescent="0.25">
      <c r="T2480" s="135"/>
      <c r="U2480" s="135"/>
    </row>
    <row r="2481" spans="20:21" ht="15" customHeight="1" x14ac:dyDescent="0.25">
      <c r="T2481" s="135"/>
      <c r="U2481" s="135"/>
    </row>
    <row r="2482" spans="20:21" ht="15" customHeight="1" x14ac:dyDescent="0.25">
      <c r="T2482" s="135"/>
      <c r="U2482" s="135"/>
    </row>
    <row r="2483" spans="20:21" ht="15" customHeight="1" x14ac:dyDescent="0.25">
      <c r="T2483" s="135"/>
      <c r="U2483" s="135"/>
    </row>
    <row r="2484" spans="20:21" ht="15" customHeight="1" x14ac:dyDescent="0.25">
      <c r="T2484" s="135"/>
      <c r="U2484" s="135"/>
    </row>
    <row r="2485" spans="20:21" ht="15" customHeight="1" x14ac:dyDescent="0.25">
      <c r="T2485" s="135"/>
      <c r="U2485" s="135"/>
    </row>
    <row r="2486" spans="20:21" ht="15" customHeight="1" x14ac:dyDescent="0.25">
      <c r="T2486" s="135"/>
      <c r="U2486" s="135"/>
    </row>
    <row r="2487" spans="20:21" ht="15" customHeight="1" x14ac:dyDescent="0.25">
      <c r="T2487" s="135"/>
      <c r="U2487" s="135"/>
    </row>
    <row r="2488" spans="20:21" ht="15" customHeight="1" x14ac:dyDescent="0.25">
      <c r="T2488" s="135"/>
      <c r="U2488" s="135"/>
    </row>
    <row r="2489" spans="20:21" ht="15" customHeight="1" x14ac:dyDescent="0.25">
      <c r="T2489" s="135"/>
      <c r="U2489" s="135"/>
    </row>
    <row r="2490" spans="20:21" ht="15" customHeight="1" x14ac:dyDescent="0.25">
      <c r="T2490" s="135"/>
      <c r="U2490" s="135"/>
    </row>
    <row r="2491" spans="20:21" ht="15" customHeight="1" x14ac:dyDescent="0.25">
      <c r="T2491" s="135"/>
      <c r="U2491" s="135"/>
    </row>
    <row r="2492" spans="20:21" ht="15" customHeight="1" x14ac:dyDescent="0.25">
      <c r="T2492" s="135"/>
      <c r="U2492" s="135"/>
    </row>
    <row r="2493" spans="20:21" ht="15" customHeight="1" x14ac:dyDescent="0.25">
      <c r="T2493" s="135"/>
      <c r="U2493" s="135"/>
    </row>
    <row r="2494" spans="20:21" ht="15" customHeight="1" x14ac:dyDescent="0.25">
      <c r="T2494" s="135"/>
      <c r="U2494" s="135"/>
    </row>
    <row r="2495" spans="20:21" ht="15" customHeight="1" x14ac:dyDescent="0.25">
      <c r="T2495" s="135"/>
      <c r="U2495" s="135"/>
    </row>
    <row r="2496" spans="20:21" ht="15" customHeight="1" x14ac:dyDescent="0.25">
      <c r="T2496" s="135"/>
      <c r="U2496" s="135"/>
    </row>
    <row r="2497" spans="20:21" ht="15" customHeight="1" x14ac:dyDescent="0.25">
      <c r="T2497" s="135"/>
      <c r="U2497" s="135"/>
    </row>
    <row r="2498" spans="20:21" ht="15" customHeight="1" x14ac:dyDescent="0.25">
      <c r="T2498" s="135"/>
      <c r="U2498" s="135"/>
    </row>
    <row r="2499" spans="20:21" ht="15" customHeight="1" x14ac:dyDescent="0.25">
      <c r="T2499" s="135"/>
      <c r="U2499" s="135"/>
    </row>
    <row r="2500" spans="20:21" ht="15" customHeight="1" x14ac:dyDescent="0.25">
      <c r="T2500" s="135"/>
      <c r="U2500" s="135"/>
    </row>
    <row r="2501" spans="20:21" ht="15" customHeight="1" x14ac:dyDescent="0.25">
      <c r="T2501" s="135"/>
      <c r="U2501" s="135"/>
    </row>
    <row r="2502" spans="20:21" ht="15" customHeight="1" x14ac:dyDescent="0.25">
      <c r="T2502" s="135"/>
      <c r="U2502" s="135"/>
    </row>
    <row r="2503" spans="20:21" ht="15" customHeight="1" x14ac:dyDescent="0.25">
      <c r="T2503" s="135"/>
      <c r="U2503" s="135"/>
    </row>
    <row r="2504" spans="20:21" ht="15" customHeight="1" x14ac:dyDescent="0.25">
      <c r="T2504" s="135"/>
      <c r="U2504" s="135"/>
    </row>
    <row r="2505" spans="20:21" ht="15" customHeight="1" x14ac:dyDescent="0.25">
      <c r="T2505" s="135"/>
      <c r="U2505" s="135"/>
    </row>
    <row r="2506" spans="20:21" ht="15" customHeight="1" x14ac:dyDescent="0.25">
      <c r="T2506" s="135"/>
      <c r="U2506" s="135"/>
    </row>
    <row r="2507" spans="20:21" ht="15" customHeight="1" x14ac:dyDescent="0.25">
      <c r="T2507" s="135"/>
      <c r="U2507" s="135"/>
    </row>
    <row r="2508" spans="20:21" ht="15" customHeight="1" x14ac:dyDescent="0.25">
      <c r="T2508" s="135"/>
      <c r="U2508" s="135"/>
    </row>
    <row r="2509" spans="20:21" ht="15" customHeight="1" x14ac:dyDescent="0.25">
      <c r="T2509" s="135"/>
      <c r="U2509" s="135"/>
    </row>
    <row r="2510" spans="20:21" ht="15" customHeight="1" x14ac:dyDescent="0.25">
      <c r="T2510" s="135"/>
      <c r="U2510" s="135"/>
    </row>
    <row r="2511" spans="20:21" ht="15" customHeight="1" x14ac:dyDescent="0.25">
      <c r="T2511" s="135"/>
      <c r="U2511" s="135"/>
    </row>
    <row r="2512" spans="20:21" ht="15" customHeight="1" x14ac:dyDescent="0.25">
      <c r="T2512" s="135"/>
      <c r="U2512" s="135"/>
    </row>
    <row r="2513" spans="20:21" ht="15" customHeight="1" x14ac:dyDescent="0.25">
      <c r="T2513" s="135"/>
      <c r="U2513" s="135"/>
    </row>
    <row r="2514" spans="20:21" ht="15" customHeight="1" x14ac:dyDescent="0.25">
      <c r="T2514" s="135"/>
      <c r="U2514" s="135"/>
    </row>
    <row r="2515" spans="20:21" ht="15" customHeight="1" x14ac:dyDescent="0.25">
      <c r="T2515" s="135"/>
      <c r="U2515" s="135"/>
    </row>
    <row r="2516" spans="20:21" ht="15" customHeight="1" x14ac:dyDescent="0.25">
      <c r="T2516" s="135"/>
      <c r="U2516" s="135"/>
    </row>
    <row r="2517" spans="20:21" ht="15" customHeight="1" x14ac:dyDescent="0.25">
      <c r="T2517" s="135"/>
      <c r="U2517" s="135"/>
    </row>
    <row r="2518" spans="20:21" ht="15" customHeight="1" x14ac:dyDescent="0.25">
      <c r="T2518" s="135"/>
      <c r="U2518" s="135"/>
    </row>
    <row r="2519" spans="20:21" ht="15" customHeight="1" x14ac:dyDescent="0.25">
      <c r="T2519" s="135"/>
      <c r="U2519" s="135"/>
    </row>
    <row r="2520" spans="20:21" ht="15" customHeight="1" x14ac:dyDescent="0.25">
      <c r="T2520" s="135"/>
      <c r="U2520" s="135"/>
    </row>
    <row r="2521" spans="20:21" ht="15" customHeight="1" x14ac:dyDescent="0.25">
      <c r="T2521" s="135"/>
      <c r="U2521" s="135"/>
    </row>
    <row r="2522" spans="20:21" ht="15" customHeight="1" x14ac:dyDescent="0.25">
      <c r="T2522" s="135"/>
      <c r="U2522" s="135"/>
    </row>
    <row r="2523" spans="20:21" ht="15" customHeight="1" x14ac:dyDescent="0.25">
      <c r="T2523" s="135"/>
      <c r="U2523" s="135"/>
    </row>
    <row r="2524" spans="20:21" ht="15" customHeight="1" x14ac:dyDescent="0.25">
      <c r="T2524" s="135"/>
      <c r="U2524" s="135"/>
    </row>
    <row r="2525" spans="20:21" ht="15" customHeight="1" x14ac:dyDescent="0.25">
      <c r="T2525" s="135"/>
      <c r="U2525" s="135"/>
    </row>
    <row r="2526" spans="20:21" ht="15" customHeight="1" x14ac:dyDescent="0.25">
      <c r="T2526" s="135"/>
      <c r="U2526" s="135"/>
    </row>
    <row r="2527" spans="20:21" ht="15" customHeight="1" x14ac:dyDescent="0.25">
      <c r="T2527" s="135"/>
      <c r="U2527" s="135"/>
    </row>
    <row r="2528" spans="20:21" ht="15" customHeight="1" x14ac:dyDescent="0.25">
      <c r="T2528" s="135"/>
      <c r="U2528" s="135"/>
    </row>
    <row r="2529" spans="20:21" ht="15" customHeight="1" x14ac:dyDescent="0.25">
      <c r="T2529" s="135"/>
      <c r="U2529" s="135"/>
    </row>
    <row r="2530" spans="20:21" ht="15" customHeight="1" x14ac:dyDescent="0.25">
      <c r="T2530" s="135"/>
      <c r="U2530" s="135"/>
    </row>
    <row r="2531" spans="20:21" ht="15" customHeight="1" x14ac:dyDescent="0.25">
      <c r="T2531" s="135"/>
      <c r="U2531" s="135"/>
    </row>
    <row r="2532" spans="20:21" ht="15" customHeight="1" x14ac:dyDescent="0.25">
      <c r="T2532" s="135"/>
      <c r="U2532" s="135"/>
    </row>
    <row r="2533" spans="20:21" ht="15" customHeight="1" x14ac:dyDescent="0.25">
      <c r="T2533" s="135"/>
      <c r="U2533" s="135"/>
    </row>
    <row r="2534" spans="20:21" ht="15" customHeight="1" x14ac:dyDescent="0.25">
      <c r="T2534" s="135"/>
      <c r="U2534" s="135"/>
    </row>
    <row r="2535" spans="20:21" ht="15" customHeight="1" x14ac:dyDescent="0.25">
      <c r="T2535" s="135"/>
      <c r="U2535" s="135"/>
    </row>
    <row r="2536" spans="20:21" ht="15" customHeight="1" x14ac:dyDescent="0.25">
      <c r="T2536" s="135"/>
      <c r="U2536" s="135"/>
    </row>
    <row r="2537" spans="20:21" ht="15" customHeight="1" x14ac:dyDescent="0.25">
      <c r="T2537" s="135"/>
      <c r="U2537" s="135"/>
    </row>
    <row r="2538" spans="20:21" ht="15" customHeight="1" x14ac:dyDescent="0.25">
      <c r="T2538" s="135"/>
      <c r="U2538" s="135"/>
    </row>
    <row r="2539" spans="20:21" ht="15" customHeight="1" x14ac:dyDescent="0.25">
      <c r="T2539" s="135"/>
      <c r="U2539" s="135"/>
    </row>
    <row r="2540" spans="20:21" ht="15" customHeight="1" x14ac:dyDescent="0.25">
      <c r="T2540" s="135"/>
      <c r="U2540" s="135"/>
    </row>
    <row r="2541" spans="20:21" ht="15" customHeight="1" x14ac:dyDescent="0.25">
      <c r="T2541" s="135"/>
      <c r="U2541" s="135"/>
    </row>
    <row r="2542" spans="20:21" ht="15" customHeight="1" x14ac:dyDescent="0.25">
      <c r="T2542" s="135"/>
      <c r="U2542" s="135"/>
    </row>
    <row r="2543" spans="20:21" ht="15" customHeight="1" x14ac:dyDescent="0.25">
      <c r="T2543" s="135"/>
      <c r="U2543" s="135"/>
    </row>
    <row r="2544" spans="20:21" ht="15" customHeight="1" x14ac:dyDescent="0.25">
      <c r="T2544" s="135"/>
      <c r="U2544" s="135"/>
    </row>
    <row r="2545" spans="20:21" ht="15" customHeight="1" x14ac:dyDescent="0.25">
      <c r="T2545" s="135"/>
      <c r="U2545" s="135"/>
    </row>
    <row r="2546" spans="20:21" ht="15" customHeight="1" x14ac:dyDescent="0.25">
      <c r="T2546" s="135"/>
      <c r="U2546" s="135"/>
    </row>
    <row r="2547" spans="20:21" ht="15" customHeight="1" x14ac:dyDescent="0.25">
      <c r="T2547" s="135"/>
      <c r="U2547" s="135"/>
    </row>
    <row r="2548" spans="20:21" ht="15" customHeight="1" x14ac:dyDescent="0.25">
      <c r="T2548" s="135"/>
      <c r="U2548" s="135"/>
    </row>
    <row r="2549" spans="20:21" ht="15" customHeight="1" x14ac:dyDescent="0.25">
      <c r="T2549" s="135"/>
      <c r="U2549" s="135"/>
    </row>
    <row r="2550" spans="20:21" ht="15" customHeight="1" x14ac:dyDescent="0.25">
      <c r="T2550" s="135"/>
      <c r="U2550" s="135"/>
    </row>
    <row r="2551" spans="20:21" ht="15" customHeight="1" x14ac:dyDescent="0.25">
      <c r="T2551" s="135"/>
      <c r="U2551" s="135"/>
    </row>
    <row r="2552" spans="20:21" ht="15" customHeight="1" x14ac:dyDescent="0.25">
      <c r="T2552" s="135"/>
      <c r="U2552" s="135"/>
    </row>
    <row r="2553" spans="20:21" ht="15" customHeight="1" x14ac:dyDescent="0.25">
      <c r="T2553" s="135"/>
      <c r="U2553" s="135"/>
    </row>
    <row r="2554" spans="20:21" ht="15" customHeight="1" x14ac:dyDescent="0.25">
      <c r="T2554" s="135"/>
      <c r="U2554" s="135"/>
    </row>
    <row r="2555" spans="20:21" ht="15" customHeight="1" x14ac:dyDescent="0.25">
      <c r="T2555" s="135"/>
      <c r="U2555" s="135"/>
    </row>
    <row r="2556" spans="20:21" ht="15" customHeight="1" x14ac:dyDescent="0.25">
      <c r="T2556" s="135"/>
      <c r="U2556" s="135"/>
    </row>
    <row r="2557" spans="20:21" ht="15" customHeight="1" x14ac:dyDescent="0.25">
      <c r="T2557" s="135"/>
      <c r="U2557" s="135"/>
    </row>
    <row r="2558" spans="20:21" ht="15" customHeight="1" x14ac:dyDescent="0.25">
      <c r="T2558" s="135"/>
      <c r="U2558" s="135"/>
    </row>
    <row r="2559" spans="20:21" ht="15" customHeight="1" x14ac:dyDescent="0.25">
      <c r="T2559" s="135"/>
      <c r="U2559" s="135"/>
    </row>
    <row r="2560" spans="20:21" ht="15" customHeight="1" x14ac:dyDescent="0.25">
      <c r="T2560" s="135"/>
      <c r="U2560" s="135"/>
    </row>
    <row r="2561" spans="20:21" ht="15" customHeight="1" x14ac:dyDescent="0.25">
      <c r="T2561" s="135"/>
      <c r="U2561" s="135"/>
    </row>
    <row r="2562" spans="20:21" ht="15" customHeight="1" x14ac:dyDescent="0.25">
      <c r="T2562" s="135"/>
      <c r="U2562" s="135"/>
    </row>
    <row r="2563" spans="20:21" ht="15" customHeight="1" x14ac:dyDescent="0.25">
      <c r="T2563" s="135"/>
      <c r="U2563" s="135"/>
    </row>
    <row r="2564" spans="20:21" ht="15" customHeight="1" x14ac:dyDescent="0.25">
      <c r="T2564" s="135"/>
      <c r="U2564" s="135"/>
    </row>
    <row r="2565" spans="20:21" ht="15" customHeight="1" x14ac:dyDescent="0.25">
      <c r="T2565" s="135"/>
      <c r="U2565" s="135"/>
    </row>
    <row r="2566" spans="20:21" ht="15" customHeight="1" x14ac:dyDescent="0.25">
      <c r="T2566" s="135"/>
      <c r="U2566" s="135"/>
    </row>
    <row r="2567" spans="20:21" ht="15" customHeight="1" x14ac:dyDescent="0.25">
      <c r="T2567" s="135"/>
      <c r="U2567" s="135"/>
    </row>
    <row r="2568" spans="20:21" ht="15" customHeight="1" x14ac:dyDescent="0.25">
      <c r="T2568" s="135"/>
      <c r="U2568" s="135"/>
    </row>
    <row r="2569" spans="20:21" ht="15" customHeight="1" x14ac:dyDescent="0.25">
      <c r="T2569" s="135"/>
      <c r="U2569" s="135"/>
    </row>
    <row r="2570" spans="20:21" ht="15" customHeight="1" x14ac:dyDescent="0.25">
      <c r="T2570" s="135"/>
      <c r="U2570" s="135"/>
    </row>
    <row r="2571" spans="20:21" ht="15" customHeight="1" x14ac:dyDescent="0.25">
      <c r="T2571" s="135"/>
      <c r="U2571" s="135"/>
    </row>
    <row r="2572" spans="20:21" ht="15" customHeight="1" x14ac:dyDescent="0.25">
      <c r="T2572" s="135"/>
      <c r="U2572" s="135"/>
    </row>
    <row r="2573" spans="20:21" ht="15" customHeight="1" x14ac:dyDescent="0.25">
      <c r="T2573" s="135"/>
      <c r="U2573" s="135"/>
    </row>
    <row r="2574" spans="20:21" ht="15" customHeight="1" x14ac:dyDescent="0.25">
      <c r="T2574" s="135"/>
      <c r="U2574" s="135"/>
    </row>
    <row r="2575" spans="20:21" ht="15" customHeight="1" x14ac:dyDescent="0.25">
      <c r="T2575" s="135"/>
      <c r="U2575" s="135"/>
    </row>
    <row r="2576" spans="20:21" ht="15" customHeight="1" x14ac:dyDescent="0.25">
      <c r="T2576" s="135"/>
      <c r="U2576" s="135"/>
    </row>
    <row r="2577" spans="20:21" ht="15" customHeight="1" x14ac:dyDescent="0.25">
      <c r="T2577" s="135"/>
      <c r="U2577" s="135"/>
    </row>
    <row r="2578" spans="20:21" ht="15" customHeight="1" x14ac:dyDescent="0.25">
      <c r="T2578" s="135"/>
      <c r="U2578" s="135"/>
    </row>
    <row r="2579" spans="20:21" ht="15" customHeight="1" x14ac:dyDescent="0.25">
      <c r="T2579" s="135"/>
      <c r="U2579" s="135"/>
    </row>
    <row r="2580" spans="20:21" ht="15" customHeight="1" x14ac:dyDescent="0.25">
      <c r="T2580" s="135"/>
      <c r="U2580" s="135"/>
    </row>
    <row r="2581" spans="20:21" ht="15" customHeight="1" x14ac:dyDescent="0.25">
      <c r="T2581" s="135"/>
      <c r="U2581" s="135"/>
    </row>
    <row r="2582" spans="20:21" ht="15" customHeight="1" x14ac:dyDescent="0.25">
      <c r="T2582" s="135"/>
      <c r="U2582" s="135"/>
    </row>
    <row r="2583" spans="20:21" ht="15" customHeight="1" x14ac:dyDescent="0.25">
      <c r="T2583" s="135"/>
      <c r="U2583" s="135"/>
    </row>
    <row r="2584" spans="20:21" ht="15" customHeight="1" x14ac:dyDescent="0.25">
      <c r="T2584" s="135"/>
      <c r="U2584" s="135"/>
    </row>
    <row r="2585" spans="20:21" ht="15" customHeight="1" x14ac:dyDescent="0.25">
      <c r="T2585" s="135"/>
      <c r="U2585" s="135"/>
    </row>
    <row r="2586" spans="20:21" ht="15" customHeight="1" x14ac:dyDescent="0.25">
      <c r="T2586" s="135"/>
      <c r="U2586" s="135"/>
    </row>
    <row r="2587" spans="20:21" ht="15" customHeight="1" x14ac:dyDescent="0.25">
      <c r="T2587" s="135"/>
      <c r="U2587" s="135"/>
    </row>
    <row r="2588" spans="20:21" ht="15" customHeight="1" x14ac:dyDescent="0.25">
      <c r="T2588" s="135"/>
      <c r="U2588" s="135"/>
    </row>
    <row r="2589" spans="20:21" ht="15" customHeight="1" x14ac:dyDescent="0.25">
      <c r="T2589" s="135"/>
      <c r="U2589" s="135"/>
    </row>
    <row r="2590" spans="20:21" ht="15" customHeight="1" x14ac:dyDescent="0.25">
      <c r="T2590" s="135"/>
      <c r="U2590" s="135"/>
    </row>
    <row r="2591" spans="20:21" ht="15" customHeight="1" x14ac:dyDescent="0.25">
      <c r="T2591" s="135"/>
      <c r="U2591" s="135"/>
    </row>
    <row r="2592" spans="20:21" ht="15" customHeight="1" x14ac:dyDescent="0.25">
      <c r="T2592" s="135"/>
      <c r="U2592" s="135"/>
    </row>
    <row r="2593" spans="20:21" ht="15" customHeight="1" x14ac:dyDescent="0.25">
      <c r="T2593" s="135"/>
      <c r="U2593" s="135"/>
    </row>
    <row r="2594" spans="20:21" ht="15" customHeight="1" x14ac:dyDescent="0.25">
      <c r="T2594" s="135"/>
      <c r="U2594" s="135"/>
    </row>
    <row r="2595" spans="20:21" ht="15" customHeight="1" x14ac:dyDescent="0.25">
      <c r="T2595" s="135"/>
      <c r="U2595" s="135"/>
    </row>
    <row r="2596" spans="20:21" ht="15" customHeight="1" x14ac:dyDescent="0.25">
      <c r="T2596" s="135"/>
      <c r="U2596" s="135"/>
    </row>
    <row r="2597" spans="20:21" ht="15" customHeight="1" x14ac:dyDescent="0.25">
      <c r="T2597" s="135"/>
      <c r="U2597" s="135"/>
    </row>
    <row r="2598" spans="20:21" ht="15" customHeight="1" x14ac:dyDescent="0.25">
      <c r="T2598" s="135"/>
      <c r="U2598" s="135"/>
    </row>
    <row r="2599" spans="20:21" ht="15" customHeight="1" x14ac:dyDescent="0.25">
      <c r="T2599" s="135"/>
      <c r="U2599" s="135"/>
    </row>
    <row r="2600" spans="20:21" ht="15" customHeight="1" x14ac:dyDescent="0.25">
      <c r="T2600" s="135"/>
      <c r="U2600" s="135"/>
    </row>
    <row r="2601" spans="20:21" ht="15" customHeight="1" x14ac:dyDescent="0.25">
      <c r="T2601" s="135"/>
      <c r="U2601" s="135"/>
    </row>
    <row r="2602" spans="20:21" ht="15" customHeight="1" x14ac:dyDescent="0.25">
      <c r="T2602" s="135"/>
      <c r="U2602" s="135"/>
    </row>
    <row r="2603" spans="20:21" ht="15" customHeight="1" x14ac:dyDescent="0.25">
      <c r="T2603" s="135"/>
      <c r="U2603" s="135"/>
    </row>
    <row r="2604" spans="20:21" ht="15" customHeight="1" x14ac:dyDescent="0.25">
      <c r="T2604" s="135"/>
      <c r="U2604" s="135"/>
    </row>
    <row r="2605" spans="20:21" ht="15" customHeight="1" x14ac:dyDescent="0.25">
      <c r="T2605" s="135"/>
      <c r="U2605" s="135"/>
    </row>
    <row r="2606" spans="20:21" ht="15" customHeight="1" x14ac:dyDescent="0.25">
      <c r="T2606" s="135"/>
      <c r="U2606" s="135"/>
    </row>
    <row r="2607" spans="20:21" ht="15" customHeight="1" x14ac:dyDescent="0.25">
      <c r="T2607" s="135"/>
      <c r="U2607" s="135"/>
    </row>
    <row r="2608" spans="20:21" ht="15" customHeight="1" x14ac:dyDescent="0.25">
      <c r="T2608" s="135"/>
      <c r="U2608" s="135"/>
    </row>
    <row r="2609" spans="20:21" ht="15" customHeight="1" x14ac:dyDescent="0.25">
      <c r="T2609" s="135"/>
      <c r="U2609" s="135"/>
    </row>
    <row r="2610" spans="20:21" ht="15" customHeight="1" x14ac:dyDescent="0.25">
      <c r="T2610" s="135"/>
      <c r="U2610" s="135"/>
    </row>
    <row r="2611" spans="20:21" ht="15" customHeight="1" x14ac:dyDescent="0.25">
      <c r="T2611" s="135"/>
      <c r="U2611" s="135"/>
    </row>
    <row r="2612" spans="20:21" ht="15" customHeight="1" x14ac:dyDescent="0.25">
      <c r="T2612" s="135"/>
      <c r="U2612" s="135"/>
    </row>
    <row r="2613" spans="20:21" ht="15" customHeight="1" x14ac:dyDescent="0.25">
      <c r="T2613" s="135"/>
      <c r="U2613" s="135"/>
    </row>
    <row r="2614" spans="20:21" ht="15" customHeight="1" x14ac:dyDescent="0.25">
      <c r="T2614" s="135"/>
      <c r="U2614" s="135"/>
    </row>
    <row r="2615" spans="20:21" ht="15" customHeight="1" x14ac:dyDescent="0.25">
      <c r="T2615" s="135"/>
      <c r="U2615" s="135"/>
    </row>
    <row r="2616" spans="20:21" ht="15" customHeight="1" x14ac:dyDescent="0.25">
      <c r="T2616" s="135"/>
      <c r="U2616" s="135"/>
    </row>
    <row r="2617" spans="20:21" ht="15" customHeight="1" x14ac:dyDescent="0.25">
      <c r="T2617" s="135"/>
      <c r="U2617" s="135"/>
    </row>
    <row r="2618" spans="20:21" ht="15" customHeight="1" x14ac:dyDescent="0.25">
      <c r="T2618" s="135"/>
      <c r="U2618" s="135"/>
    </row>
    <row r="2619" spans="20:21" ht="15" customHeight="1" x14ac:dyDescent="0.25">
      <c r="T2619" s="135"/>
      <c r="U2619" s="135"/>
    </row>
    <row r="2620" spans="20:21" ht="15" customHeight="1" x14ac:dyDescent="0.25">
      <c r="T2620" s="135"/>
      <c r="U2620" s="135"/>
    </row>
    <row r="2621" spans="20:21" ht="15" customHeight="1" x14ac:dyDescent="0.25">
      <c r="T2621" s="135"/>
      <c r="U2621" s="135"/>
    </row>
    <row r="2622" spans="20:21" ht="15" customHeight="1" x14ac:dyDescent="0.25">
      <c r="T2622" s="135"/>
      <c r="U2622" s="135"/>
    </row>
    <row r="2623" spans="20:21" ht="15" customHeight="1" x14ac:dyDescent="0.25">
      <c r="T2623" s="135"/>
      <c r="U2623" s="135"/>
    </row>
    <row r="2624" spans="20:21" ht="15" customHeight="1" x14ac:dyDescent="0.25">
      <c r="T2624" s="135"/>
      <c r="U2624" s="135"/>
    </row>
    <row r="2625" spans="20:21" ht="15" customHeight="1" x14ac:dyDescent="0.25">
      <c r="T2625" s="135"/>
      <c r="U2625" s="135"/>
    </row>
    <row r="2626" spans="20:21" ht="15" customHeight="1" x14ac:dyDescent="0.25">
      <c r="T2626" s="135"/>
      <c r="U2626" s="135"/>
    </row>
    <row r="2627" spans="20:21" ht="15" customHeight="1" x14ac:dyDescent="0.25">
      <c r="T2627" s="135"/>
      <c r="U2627" s="135"/>
    </row>
    <row r="2628" spans="20:21" ht="15" customHeight="1" x14ac:dyDescent="0.25">
      <c r="T2628" s="135"/>
      <c r="U2628" s="135"/>
    </row>
    <row r="2629" spans="20:21" ht="15" customHeight="1" x14ac:dyDescent="0.25">
      <c r="T2629" s="135"/>
      <c r="U2629" s="135"/>
    </row>
    <row r="2630" spans="20:21" ht="15" customHeight="1" x14ac:dyDescent="0.25">
      <c r="T2630" s="135"/>
      <c r="U2630" s="135"/>
    </row>
    <row r="2631" spans="20:21" ht="15" customHeight="1" x14ac:dyDescent="0.25">
      <c r="T2631" s="135"/>
      <c r="U2631" s="135"/>
    </row>
    <row r="2632" spans="20:21" ht="15" customHeight="1" x14ac:dyDescent="0.25">
      <c r="T2632" s="135"/>
      <c r="U2632" s="135"/>
    </row>
    <row r="2633" spans="20:21" ht="15" customHeight="1" x14ac:dyDescent="0.25">
      <c r="T2633" s="135"/>
      <c r="U2633" s="135"/>
    </row>
    <row r="2634" spans="20:21" ht="15" customHeight="1" x14ac:dyDescent="0.25">
      <c r="T2634" s="135"/>
      <c r="U2634" s="135"/>
    </row>
    <row r="2635" spans="20:21" ht="15" customHeight="1" x14ac:dyDescent="0.25">
      <c r="T2635" s="135"/>
      <c r="U2635" s="135"/>
    </row>
    <row r="2636" spans="20:21" ht="15" customHeight="1" x14ac:dyDescent="0.25">
      <c r="T2636" s="135"/>
      <c r="U2636" s="135"/>
    </row>
    <row r="2637" spans="20:21" ht="15" customHeight="1" x14ac:dyDescent="0.25">
      <c r="T2637" s="135"/>
      <c r="U2637" s="135"/>
    </row>
    <row r="2638" spans="20:21" ht="15" customHeight="1" x14ac:dyDescent="0.25">
      <c r="T2638" s="135"/>
      <c r="U2638" s="135"/>
    </row>
    <row r="2639" spans="20:21" ht="15" customHeight="1" x14ac:dyDescent="0.25">
      <c r="T2639" s="135"/>
      <c r="U2639" s="135"/>
    </row>
    <row r="2640" spans="20:21" ht="15" customHeight="1" x14ac:dyDescent="0.25">
      <c r="T2640" s="135"/>
      <c r="U2640" s="135"/>
    </row>
    <row r="2641" spans="20:21" ht="15" customHeight="1" x14ac:dyDescent="0.25">
      <c r="T2641" s="135"/>
      <c r="U2641" s="135"/>
    </row>
    <row r="2642" spans="20:21" ht="15" customHeight="1" x14ac:dyDescent="0.25">
      <c r="T2642" s="135"/>
      <c r="U2642" s="135"/>
    </row>
    <row r="2643" spans="20:21" ht="15" customHeight="1" x14ac:dyDescent="0.25">
      <c r="T2643" s="135"/>
      <c r="U2643" s="135"/>
    </row>
    <row r="2644" spans="20:21" ht="15" customHeight="1" x14ac:dyDescent="0.25">
      <c r="T2644" s="135"/>
      <c r="U2644" s="135"/>
    </row>
    <row r="2645" spans="20:21" ht="15" customHeight="1" x14ac:dyDescent="0.25">
      <c r="T2645" s="135"/>
      <c r="U2645" s="135"/>
    </row>
    <row r="2646" spans="20:21" ht="15" customHeight="1" x14ac:dyDescent="0.25">
      <c r="T2646" s="135"/>
      <c r="U2646" s="135"/>
    </row>
    <row r="2647" spans="20:21" ht="15" customHeight="1" x14ac:dyDescent="0.25">
      <c r="T2647" s="135"/>
      <c r="U2647" s="135"/>
    </row>
    <row r="2648" spans="20:21" ht="15" customHeight="1" x14ac:dyDescent="0.25">
      <c r="T2648" s="135"/>
      <c r="U2648" s="135"/>
    </row>
    <row r="2649" spans="20:21" ht="15" customHeight="1" x14ac:dyDescent="0.25">
      <c r="T2649" s="135"/>
      <c r="U2649" s="135"/>
    </row>
    <row r="2650" spans="20:21" ht="15" customHeight="1" x14ac:dyDescent="0.25">
      <c r="T2650" s="135"/>
      <c r="U2650" s="135"/>
    </row>
    <row r="2651" spans="20:21" ht="15" customHeight="1" x14ac:dyDescent="0.25">
      <c r="T2651" s="135"/>
      <c r="U2651" s="135"/>
    </row>
    <row r="2652" spans="20:21" ht="15" customHeight="1" x14ac:dyDescent="0.25">
      <c r="T2652" s="135"/>
      <c r="U2652" s="135"/>
    </row>
    <row r="2653" spans="20:21" ht="15" customHeight="1" x14ac:dyDescent="0.25">
      <c r="T2653" s="135"/>
      <c r="U2653" s="135"/>
    </row>
    <row r="2654" spans="20:21" ht="15" customHeight="1" x14ac:dyDescent="0.25">
      <c r="T2654" s="135"/>
      <c r="U2654" s="135"/>
    </row>
    <row r="2655" spans="20:21" ht="15" customHeight="1" x14ac:dyDescent="0.25">
      <c r="T2655" s="135"/>
      <c r="U2655" s="135"/>
    </row>
    <row r="2656" spans="20:21" ht="15" customHeight="1" x14ac:dyDescent="0.25">
      <c r="T2656" s="135"/>
      <c r="U2656" s="135"/>
    </row>
    <row r="2657" spans="20:21" ht="15" customHeight="1" x14ac:dyDescent="0.25">
      <c r="T2657" s="135"/>
      <c r="U2657" s="135"/>
    </row>
    <row r="2658" spans="20:21" ht="15" customHeight="1" x14ac:dyDescent="0.25">
      <c r="T2658" s="135"/>
      <c r="U2658" s="135"/>
    </row>
    <row r="2659" spans="20:21" ht="15" customHeight="1" x14ac:dyDescent="0.25">
      <c r="T2659" s="135"/>
      <c r="U2659" s="135"/>
    </row>
    <row r="2660" spans="20:21" ht="15" customHeight="1" x14ac:dyDescent="0.25">
      <c r="T2660" s="135"/>
      <c r="U2660" s="135"/>
    </row>
    <row r="2661" spans="20:21" ht="15" customHeight="1" x14ac:dyDescent="0.25">
      <c r="T2661" s="135"/>
      <c r="U2661" s="135"/>
    </row>
    <row r="2662" spans="20:21" ht="15" customHeight="1" x14ac:dyDescent="0.25">
      <c r="T2662" s="135"/>
      <c r="U2662" s="135"/>
    </row>
    <row r="2663" spans="20:21" ht="15" customHeight="1" x14ac:dyDescent="0.25">
      <c r="T2663" s="135"/>
      <c r="U2663" s="135"/>
    </row>
    <row r="2664" spans="20:21" ht="15" customHeight="1" x14ac:dyDescent="0.25">
      <c r="T2664" s="135"/>
      <c r="U2664" s="135"/>
    </row>
    <row r="2665" spans="20:21" ht="15" customHeight="1" x14ac:dyDescent="0.25">
      <c r="T2665" s="135"/>
      <c r="U2665" s="135"/>
    </row>
    <row r="2666" spans="20:21" ht="15" customHeight="1" x14ac:dyDescent="0.25">
      <c r="T2666" s="135"/>
      <c r="U2666" s="135"/>
    </row>
    <row r="2667" spans="20:21" ht="15" customHeight="1" x14ac:dyDescent="0.25">
      <c r="T2667" s="135"/>
      <c r="U2667" s="135"/>
    </row>
    <row r="2668" spans="20:21" ht="15" customHeight="1" x14ac:dyDescent="0.25">
      <c r="T2668" s="135"/>
      <c r="U2668" s="135"/>
    </row>
    <row r="2669" spans="20:21" ht="15" customHeight="1" x14ac:dyDescent="0.25">
      <c r="T2669" s="135"/>
      <c r="U2669" s="135"/>
    </row>
    <row r="2670" spans="20:21" ht="15" customHeight="1" x14ac:dyDescent="0.25">
      <c r="T2670" s="135"/>
      <c r="U2670" s="135"/>
    </row>
    <row r="2671" spans="20:21" ht="15" customHeight="1" x14ac:dyDescent="0.25">
      <c r="T2671" s="135"/>
      <c r="U2671" s="135"/>
    </row>
    <row r="2672" spans="20:21" ht="15" customHeight="1" x14ac:dyDescent="0.25">
      <c r="T2672" s="135"/>
      <c r="U2672" s="135"/>
    </row>
    <row r="2673" spans="20:21" ht="15" customHeight="1" x14ac:dyDescent="0.25">
      <c r="T2673" s="135"/>
      <c r="U2673" s="135"/>
    </row>
    <row r="2674" spans="20:21" ht="15" customHeight="1" x14ac:dyDescent="0.25">
      <c r="T2674" s="135"/>
      <c r="U2674" s="135"/>
    </row>
    <row r="2675" spans="20:21" ht="15" customHeight="1" x14ac:dyDescent="0.25">
      <c r="T2675" s="135"/>
      <c r="U2675" s="135"/>
    </row>
    <row r="2676" spans="20:21" ht="15" customHeight="1" x14ac:dyDescent="0.25">
      <c r="T2676" s="135"/>
      <c r="U2676" s="135"/>
    </row>
    <row r="2677" spans="20:21" ht="15" customHeight="1" x14ac:dyDescent="0.25">
      <c r="T2677" s="135"/>
      <c r="U2677" s="135"/>
    </row>
    <row r="2678" spans="20:21" ht="15" customHeight="1" x14ac:dyDescent="0.25">
      <c r="T2678" s="135"/>
      <c r="U2678" s="135"/>
    </row>
    <row r="2679" spans="20:21" ht="15" customHeight="1" x14ac:dyDescent="0.25">
      <c r="T2679" s="135"/>
      <c r="U2679" s="135"/>
    </row>
    <row r="2680" spans="20:21" ht="15" customHeight="1" x14ac:dyDescent="0.25">
      <c r="T2680" s="135"/>
      <c r="U2680" s="135"/>
    </row>
    <row r="2681" spans="20:21" ht="15" customHeight="1" x14ac:dyDescent="0.25">
      <c r="T2681" s="135"/>
      <c r="U2681" s="135"/>
    </row>
    <row r="2682" spans="20:21" ht="15" customHeight="1" x14ac:dyDescent="0.25">
      <c r="T2682" s="135"/>
      <c r="U2682" s="135"/>
    </row>
    <row r="2683" spans="20:21" ht="15" customHeight="1" x14ac:dyDescent="0.25">
      <c r="T2683" s="135"/>
      <c r="U2683" s="135"/>
    </row>
    <row r="2684" spans="20:21" ht="15" customHeight="1" x14ac:dyDescent="0.25">
      <c r="T2684" s="135"/>
      <c r="U2684" s="135"/>
    </row>
    <row r="2685" spans="20:21" ht="15" customHeight="1" x14ac:dyDescent="0.25">
      <c r="T2685" s="135"/>
      <c r="U2685" s="135"/>
    </row>
    <row r="2686" spans="20:21" ht="15" customHeight="1" x14ac:dyDescent="0.25">
      <c r="T2686" s="135"/>
      <c r="U2686" s="135"/>
    </row>
    <row r="2687" spans="20:21" ht="15" customHeight="1" x14ac:dyDescent="0.25">
      <c r="T2687" s="135"/>
      <c r="U2687" s="135"/>
    </row>
    <row r="2688" spans="20:21" ht="15" customHeight="1" x14ac:dyDescent="0.25">
      <c r="T2688" s="135"/>
      <c r="U2688" s="135"/>
    </row>
    <row r="2689" spans="20:21" ht="15" customHeight="1" x14ac:dyDescent="0.25">
      <c r="T2689" s="135"/>
      <c r="U2689" s="135"/>
    </row>
    <row r="2690" spans="20:21" ht="15" customHeight="1" x14ac:dyDescent="0.25">
      <c r="T2690" s="135"/>
      <c r="U2690" s="135"/>
    </row>
    <row r="2691" spans="20:21" ht="15" customHeight="1" x14ac:dyDescent="0.25">
      <c r="T2691" s="135"/>
      <c r="U2691" s="135"/>
    </row>
    <row r="2692" spans="20:21" ht="15" customHeight="1" x14ac:dyDescent="0.25">
      <c r="T2692" s="135"/>
      <c r="U2692" s="135"/>
    </row>
    <row r="2693" spans="20:21" ht="15" customHeight="1" x14ac:dyDescent="0.25">
      <c r="T2693" s="135"/>
      <c r="U2693" s="135"/>
    </row>
    <row r="2694" spans="20:21" ht="15" customHeight="1" x14ac:dyDescent="0.25">
      <c r="T2694" s="135"/>
      <c r="U2694" s="135"/>
    </row>
    <row r="2695" spans="20:21" ht="15" customHeight="1" x14ac:dyDescent="0.25">
      <c r="T2695" s="135"/>
      <c r="U2695" s="135"/>
    </row>
    <row r="2696" spans="20:21" ht="15" customHeight="1" x14ac:dyDescent="0.25">
      <c r="T2696" s="135"/>
      <c r="U2696" s="135"/>
    </row>
    <row r="2697" spans="20:21" ht="15" customHeight="1" x14ac:dyDescent="0.25">
      <c r="T2697" s="135"/>
      <c r="U2697" s="135"/>
    </row>
    <row r="2698" spans="20:21" ht="15" customHeight="1" x14ac:dyDescent="0.25">
      <c r="T2698" s="135"/>
      <c r="U2698" s="135"/>
    </row>
    <row r="2699" spans="20:21" ht="15" customHeight="1" x14ac:dyDescent="0.25">
      <c r="T2699" s="135"/>
      <c r="U2699" s="135"/>
    </row>
    <row r="2700" spans="20:21" ht="15" customHeight="1" x14ac:dyDescent="0.25">
      <c r="T2700" s="135"/>
      <c r="U2700" s="135"/>
    </row>
    <row r="2701" spans="20:21" ht="15" customHeight="1" x14ac:dyDescent="0.25">
      <c r="T2701" s="135"/>
      <c r="U2701" s="135"/>
    </row>
    <row r="2702" spans="20:21" ht="15" customHeight="1" x14ac:dyDescent="0.25">
      <c r="T2702" s="135"/>
      <c r="U2702" s="135"/>
    </row>
    <row r="2703" spans="20:21" ht="15" customHeight="1" x14ac:dyDescent="0.25">
      <c r="T2703" s="135"/>
      <c r="U2703" s="135"/>
    </row>
    <row r="2704" spans="20:21" ht="15" customHeight="1" x14ac:dyDescent="0.25">
      <c r="T2704" s="135"/>
      <c r="U2704" s="135"/>
    </row>
    <row r="2705" spans="20:21" ht="15" customHeight="1" x14ac:dyDescent="0.25">
      <c r="T2705" s="135"/>
      <c r="U2705" s="135"/>
    </row>
    <row r="2706" spans="20:21" ht="15" customHeight="1" x14ac:dyDescent="0.25">
      <c r="T2706" s="135"/>
      <c r="U2706" s="135"/>
    </row>
    <row r="2707" spans="20:21" ht="15" customHeight="1" x14ac:dyDescent="0.25">
      <c r="T2707" s="135"/>
      <c r="U2707" s="135"/>
    </row>
    <row r="2708" spans="20:21" ht="15" customHeight="1" x14ac:dyDescent="0.25">
      <c r="T2708" s="135"/>
      <c r="U2708" s="135"/>
    </row>
    <row r="2709" spans="20:21" ht="15" customHeight="1" x14ac:dyDescent="0.25">
      <c r="T2709" s="135"/>
      <c r="U2709" s="135"/>
    </row>
    <row r="2710" spans="20:21" ht="15" customHeight="1" x14ac:dyDescent="0.25">
      <c r="T2710" s="135"/>
      <c r="U2710" s="135"/>
    </row>
    <row r="2711" spans="20:21" ht="15" customHeight="1" x14ac:dyDescent="0.25">
      <c r="T2711" s="135"/>
      <c r="U2711" s="135"/>
    </row>
    <row r="2712" spans="20:21" ht="15" customHeight="1" x14ac:dyDescent="0.25">
      <c r="T2712" s="135"/>
      <c r="U2712" s="135"/>
    </row>
    <row r="2713" spans="20:21" ht="15" customHeight="1" x14ac:dyDescent="0.25">
      <c r="T2713" s="135"/>
      <c r="U2713" s="135"/>
    </row>
    <row r="2714" spans="20:21" ht="15" customHeight="1" x14ac:dyDescent="0.25">
      <c r="T2714" s="135"/>
      <c r="U2714" s="135"/>
    </row>
    <row r="2715" spans="20:21" ht="15" customHeight="1" x14ac:dyDescent="0.25">
      <c r="T2715" s="135"/>
      <c r="U2715" s="135"/>
    </row>
    <row r="2716" spans="20:21" ht="15" customHeight="1" x14ac:dyDescent="0.25">
      <c r="T2716" s="135"/>
      <c r="U2716" s="135"/>
    </row>
    <row r="2717" spans="20:21" ht="15" customHeight="1" x14ac:dyDescent="0.25">
      <c r="T2717" s="135"/>
      <c r="U2717" s="135"/>
    </row>
    <row r="2718" spans="20:21" ht="15" customHeight="1" x14ac:dyDescent="0.25">
      <c r="T2718" s="135"/>
      <c r="U2718" s="135"/>
    </row>
    <row r="2719" spans="20:21" ht="15" customHeight="1" x14ac:dyDescent="0.25">
      <c r="T2719" s="135"/>
      <c r="U2719" s="135"/>
    </row>
    <row r="2720" spans="20:21" ht="15" customHeight="1" x14ac:dyDescent="0.25">
      <c r="T2720" s="135"/>
      <c r="U2720" s="135"/>
    </row>
    <row r="2721" spans="20:21" ht="15" customHeight="1" x14ac:dyDescent="0.25">
      <c r="T2721" s="135"/>
      <c r="U2721" s="135"/>
    </row>
    <row r="2722" spans="20:21" ht="15" customHeight="1" x14ac:dyDescent="0.25">
      <c r="T2722" s="135"/>
      <c r="U2722" s="135"/>
    </row>
    <row r="2723" spans="20:21" ht="15" customHeight="1" x14ac:dyDescent="0.25">
      <c r="T2723" s="135"/>
      <c r="U2723" s="135"/>
    </row>
    <row r="2724" spans="20:21" ht="15" customHeight="1" x14ac:dyDescent="0.25">
      <c r="T2724" s="135"/>
      <c r="U2724" s="135"/>
    </row>
    <row r="2725" spans="20:21" ht="15" customHeight="1" x14ac:dyDescent="0.25">
      <c r="T2725" s="135"/>
      <c r="U2725" s="135"/>
    </row>
    <row r="2726" spans="20:21" ht="15" customHeight="1" x14ac:dyDescent="0.25">
      <c r="T2726" s="135"/>
      <c r="U2726" s="135"/>
    </row>
    <row r="2727" spans="20:21" ht="15" customHeight="1" x14ac:dyDescent="0.25">
      <c r="T2727" s="135"/>
      <c r="U2727" s="135"/>
    </row>
    <row r="2728" spans="20:21" ht="15" customHeight="1" x14ac:dyDescent="0.25">
      <c r="T2728" s="135"/>
      <c r="U2728" s="135"/>
    </row>
    <row r="2729" spans="20:21" ht="15" customHeight="1" x14ac:dyDescent="0.25">
      <c r="T2729" s="135"/>
      <c r="U2729" s="135"/>
    </row>
    <row r="2730" spans="20:21" ht="15" customHeight="1" x14ac:dyDescent="0.25">
      <c r="T2730" s="135"/>
      <c r="U2730" s="135"/>
    </row>
    <row r="2731" spans="20:21" ht="15" customHeight="1" x14ac:dyDescent="0.25">
      <c r="T2731" s="135"/>
      <c r="U2731" s="135"/>
    </row>
    <row r="2732" spans="20:21" ht="15" customHeight="1" x14ac:dyDescent="0.25">
      <c r="T2732" s="135"/>
      <c r="U2732" s="135"/>
    </row>
    <row r="2733" spans="20:21" ht="15" customHeight="1" x14ac:dyDescent="0.25">
      <c r="T2733" s="135"/>
      <c r="U2733" s="135"/>
    </row>
    <row r="2734" spans="20:21" ht="15" customHeight="1" x14ac:dyDescent="0.25">
      <c r="T2734" s="135"/>
      <c r="U2734" s="135"/>
    </row>
    <row r="2735" spans="20:21" ht="15" customHeight="1" x14ac:dyDescent="0.25">
      <c r="T2735" s="135"/>
      <c r="U2735" s="135"/>
    </row>
    <row r="2736" spans="20:21" ht="15" customHeight="1" x14ac:dyDescent="0.25">
      <c r="T2736" s="135"/>
      <c r="U2736" s="135"/>
    </row>
    <row r="2737" spans="20:21" ht="15" customHeight="1" x14ac:dyDescent="0.25">
      <c r="T2737" s="135"/>
      <c r="U2737" s="135"/>
    </row>
    <row r="2738" spans="20:21" ht="15" customHeight="1" x14ac:dyDescent="0.25">
      <c r="T2738" s="135"/>
      <c r="U2738" s="135"/>
    </row>
    <row r="2739" spans="20:21" ht="15" customHeight="1" x14ac:dyDescent="0.25">
      <c r="T2739" s="135"/>
      <c r="U2739" s="135"/>
    </row>
    <row r="2740" spans="20:21" ht="15" customHeight="1" x14ac:dyDescent="0.25">
      <c r="T2740" s="135"/>
      <c r="U2740" s="135"/>
    </row>
    <row r="2741" spans="20:21" ht="15" customHeight="1" x14ac:dyDescent="0.25">
      <c r="T2741" s="135"/>
      <c r="U2741" s="135"/>
    </row>
    <row r="2742" spans="20:21" ht="15" customHeight="1" x14ac:dyDescent="0.25">
      <c r="T2742" s="135"/>
      <c r="U2742" s="135"/>
    </row>
    <row r="2743" spans="20:21" ht="15" customHeight="1" x14ac:dyDescent="0.25">
      <c r="T2743" s="135"/>
      <c r="U2743" s="135"/>
    </row>
    <row r="2744" spans="20:21" ht="15" customHeight="1" x14ac:dyDescent="0.25">
      <c r="T2744" s="135"/>
      <c r="U2744" s="135"/>
    </row>
    <row r="2745" spans="20:21" ht="15" customHeight="1" x14ac:dyDescent="0.25">
      <c r="T2745" s="135"/>
      <c r="U2745" s="135"/>
    </row>
    <row r="2746" spans="20:21" ht="15" customHeight="1" x14ac:dyDescent="0.25">
      <c r="T2746" s="135"/>
      <c r="U2746" s="135"/>
    </row>
    <row r="2747" spans="20:21" ht="15" customHeight="1" x14ac:dyDescent="0.25">
      <c r="T2747" s="135"/>
      <c r="U2747" s="135"/>
    </row>
    <row r="2748" spans="20:21" ht="15" customHeight="1" x14ac:dyDescent="0.25">
      <c r="T2748" s="135"/>
      <c r="U2748" s="135"/>
    </row>
    <row r="2749" spans="20:21" ht="15" customHeight="1" x14ac:dyDescent="0.25">
      <c r="T2749" s="135"/>
      <c r="U2749" s="135"/>
    </row>
    <row r="2750" spans="20:21" ht="15" customHeight="1" x14ac:dyDescent="0.25">
      <c r="T2750" s="135"/>
      <c r="U2750" s="135"/>
    </row>
    <row r="2751" spans="20:21" ht="15" customHeight="1" x14ac:dyDescent="0.25">
      <c r="T2751" s="135"/>
      <c r="U2751" s="135"/>
    </row>
    <row r="2752" spans="20:21" ht="15" customHeight="1" x14ac:dyDescent="0.25">
      <c r="T2752" s="135"/>
      <c r="U2752" s="135"/>
    </row>
    <row r="2753" spans="20:21" ht="15" customHeight="1" x14ac:dyDescent="0.25">
      <c r="T2753" s="135"/>
      <c r="U2753" s="135"/>
    </row>
    <row r="2754" spans="20:21" ht="15" customHeight="1" x14ac:dyDescent="0.25">
      <c r="T2754" s="135"/>
      <c r="U2754" s="135"/>
    </row>
    <row r="2755" spans="20:21" ht="15" customHeight="1" x14ac:dyDescent="0.25">
      <c r="T2755" s="135"/>
      <c r="U2755" s="135"/>
    </row>
    <row r="2756" spans="20:21" ht="15" customHeight="1" x14ac:dyDescent="0.25">
      <c r="T2756" s="135"/>
      <c r="U2756" s="135"/>
    </row>
    <row r="2757" spans="20:21" ht="15" customHeight="1" x14ac:dyDescent="0.25">
      <c r="T2757" s="135"/>
      <c r="U2757" s="135"/>
    </row>
    <row r="2758" spans="20:21" ht="15" customHeight="1" x14ac:dyDescent="0.25">
      <c r="T2758" s="135"/>
      <c r="U2758" s="135"/>
    </row>
    <row r="2759" spans="20:21" ht="15" customHeight="1" x14ac:dyDescent="0.25">
      <c r="T2759" s="135"/>
      <c r="U2759" s="135"/>
    </row>
    <row r="2760" spans="20:21" ht="15" customHeight="1" x14ac:dyDescent="0.25">
      <c r="T2760" s="135"/>
      <c r="U2760" s="135"/>
    </row>
    <row r="2761" spans="20:21" ht="15" customHeight="1" x14ac:dyDescent="0.25">
      <c r="T2761" s="135"/>
      <c r="U2761" s="135"/>
    </row>
    <row r="2762" spans="20:21" ht="15" customHeight="1" x14ac:dyDescent="0.25">
      <c r="T2762" s="135"/>
      <c r="U2762" s="135"/>
    </row>
    <row r="2763" spans="20:21" ht="15" customHeight="1" x14ac:dyDescent="0.25">
      <c r="T2763" s="135"/>
      <c r="U2763" s="135"/>
    </row>
    <row r="2764" spans="20:21" ht="15" customHeight="1" x14ac:dyDescent="0.25">
      <c r="T2764" s="135"/>
      <c r="U2764" s="135"/>
    </row>
    <row r="2765" spans="20:21" ht="15" customHeight="1" x14ac:dyDescent="0.25">
      <c r="T2765" s="135"/>
      <c r="U2765" s="135"/>
    </row>
    <row r="2766" spans="20:21" ht="15" customHeight="1" x14ac:dyDescent="0.25">
      <c r="T2766" s="135"/>
      <c r="U2766" s="135"/>
    </row>
    <row r="2767" spans="20:21" ht="15" customHeight="1" x14ac:dyDescent="0.25">
      <c r="T2767" s="135"/>
      <c r="U2767" s="135"/>
    </row>
    <row r="2768" spans="20:21" ht="15" customHeight="1" x14ac:dyDescent="0.25">
      <c r="T2768" s="135"/>
      <c r="U2768" s="135"/>
    </row>
    <row r="2769" spans="20:21" ht="15" customHeight="1" x14ac:dyDescent="0.25">
      <c r="T2769" s="135"/>
      <c r="U2769" s="135"/>
    </row>
    <row r="2770" spans="20:21" ht="15" customHeight="1" x14ac:dyDescent="0.25">
      <c r="T2770" s="135"/>
      <c r="U2770" s="135"/>
    </row>
    <row r="2771" spans="20:21" ht="15" customHeight="1" x14ac:dyDescent="0.25">
      <c r="T2771" s="135"/>
      <c r="U2771" s="135"/>
    </row>
    <row r="2772" spans="20:21" ht="15" customHeight="1" x14ac:dyDescent="0.25">
      <c r="T2772" s="135"/>
      <c r="U2772" s="135"/>
    </row>
    <row r="2773" spans="20:21" ht="15" customHeight="1" x14ac:dyDescent="0.25">
      <c r="T2773" s="135"/>
      <c r="U2773" s="135"/>
    </row>
    <row r="2774" spans="20:21" ht="15" customHeight="1" x14ac:dyDescent="0.25">
      <c r="T2774" s="135"/>
      <c r="U2774" s="135"/>
    </row>
    <row r="2775" spans="20:21" ht="15" customHeight="1" x14ac:dyDescent="0.25">
      <c r="T2775" s="135"/>
      <c r="U2775" s="135"/>
    </row>
    <row r="2776" spans="20:21" ht="15" customHeight="1" x14ac:dyDescent="0.25">
      <c r="T2776" s="135"/>
      <c r="U2776" s="135"/>
    </row>
    <row r="2777" spans="20:21" ht="15" customHeight="1" x14ac:dyDescent="0.25">
      <c r="T2777" s="135"/>
      <c r="U2777" s="135"/>
    </row>
    <row r="2778" spans="20:21" ht="15" customHeight="1" x14ac:dyDescent="0.25">
      <c r="T2778" s="135"/>
      <c r="U2778" s="135"/>
    </row>
    <row r="2779" spans="20:21" ht="15" customHeight="1" x14ac:dyDescent="0.25">
      <c r="T2779" s="135"/>
      <c r="U2779" s="135"/>
    </row>
    <row r="2780" spans="20:21" ht="15" customHeight="1" x14ac:dyDescent="0.25">
      <c r="T2780" s="135"/>
      <c r="U2780" s="135"/>
    </row>
    <row r="2781" spans="20:21" ht="15" customHeight="1" x14ac:dyDescent="0.25">
      <c r="T2781" s="135"/>
      <c r="U2781" s="135"/>
    </row>
    <row r="2782" spans="20:21" ht="15" customHeight="1" x14ac:dyDescent="0.25">
      <c r="T2782" s="135"/>
      <c r="U2782" s="135"/>
    </row>
    <row r="2783" spans="20:21" ht="15" customHeight="1" x14ac:dyDescent="0.25">
      <c r="T2783" s="135"/>
      <c r="U2783" s="135"/>
    </row>
    <row r="2784" spans="20:21" ht="15" customHeight="1" x14ac:dyDescent="0.25">
      <c r="T2784" s="135"/>
      <c r="U2784" s="135"/>
    </row>
    <row r="2785" spans="20:21" ht="15" customHeight="1" x14ac:dyDescent="0.25">
      <c r="T2785" s="135"/>
      <c r="U2785" s="135"/>
    </row>
    <row r="2786" spans="20:21" ht="15" customHeight="1" x14ac:dyDescent="0.25">
      <c r="T2786" s="135"/>
      <c r="U2786" s="135"/>
    </row>
    <row r="2787" spans="20:21" ht="15" customHeight="1" x14ac:dyDescent="0.25">
      <c r="T2787" s="135"/>
      <c r="U2787" s="135"/>
    </row>
    <row r="2788" spans="20:21" ht="15" customHeight="1" x14ac:dyDescent="0.25">
      <c r="T2788" s="135"/>
      <c r="U2788" s="135"/>
    </row>
    <row r="2789" spans="20:21" ht="15" customHeight="1" x14ac:dyDescent="0.25">
      <c r="T2789" s="135"/>
      <c r="U2789" s="135"/>
    </row>
    <row r="2790" spans="20:21" ht="15" customHeight="1" x14ac:dyDescent="0.25">
      <c r="T2790" s="135"/>
      <c r="U2790" s="135"/>
    </row>
    <row r="2791" spans="20:21" ht="15" customHeight="1" x14ac:dyDescent="0.25">
      <c r="T2791" s="135"/>
      <c r="U2791" s="135"/>
    </row>
    <row r="2792" spans="20:21" ht="15" customHeight="1" x14ac:dyDescent="0.25">
      <c r="T2792" s="135"/>
      <c r="U2792" s="135"/>
    </row>
    <row r="2793" spans="20:21" ht="15" customHeight="1" x14ac:dyDescent="0.25">
      <c r="T2793" s="135"/>
      <c r="U2793" s="135"/>
    </row>
    <row r="2794" spans="20:21" ht="15" customHeight="1" x14ac:dyDescent="0.25">
      <c r="T2794" s="135"/>
      <c r="U2794" s="135"/>
    </row>
    <row r="2795" spans="20:21" ht="15" customHeight="1" x14ac:dyDescent="0.25">
      <c r="T2795" s="135"/>
      <c r="U2795" s="135"/>
    </row>
    <row r="2796" spans="20:21" ht="15" customHeight="1" x14ac:dyDescent="0.25">
      <c r="T2796" s="135"/>
      <c r="U2796" s="135"/>
    </row>
    <row r="2797" spans="20:21" ht="15" customHeight="1" x14ac:dyDescent="0.25">
      <c r="T2797" s="135"/>
      <c r="U2797" s="135"/>
    </row>
    <row r="2798" spans="20:21" ht="15" customHeight="1" x14ac:dyDescent="0.25">
      <c r="T2798" s="135"/>
      <c r="U2798" s="135"/>
    </row>
    <row r="2799" spans="20:21" ht="15" customHeight="1" x14ac:dyDescent="0.25">
      <c r="T2799" s="135"/>
      <c r="U2799" s="135"/>
    </row>
    <row r="2800" spans="20:21" ht="15" customHeight="1" x14ac:dyDescent="0.25">
      <c r="T2800" s="135"/>
      <c r="U2800" s="135"/>
    </row>
    <row r="2801" spans="20:21" ht="15" customHeight="1" x14ac:dyDescent="0.25">
      <c r="T2801" s="135"/>
      <c r="U2801" s="135"/>
    </row>
    <row r="2802" spans="20:21" ht="15" customHeight="1" x14ac:dyDescent="0.25">
      <c r="T2802" s="135"/>
      <c r="U2802" s="135"/>
    </row>
    <row r="2803" spans="20:21" ht="15" customHeight="1" x14ac:dyDescent="0.25">
      <c r="T2803" s="135"/>
      <c r="U2803" s="135"/>
    </row>
    <row r="2804" spans="20:21" ht="15" customHeight="1" x14ac:dyDescent="0.25">
      <c r="T2804" s="135"/>
      <c r="U2804" s="135"/>
    </row>
    <row r="2805" spans="20:21" ht="15" customHeight="1" x14ac:dyDescent="0.25">
      <c r="T2805" s="135"/>
      <c r="U2805" s="135"/>
    </row>
    <row r="2806" spans="20:21" ht="15" customHeight="1" x14ac:dyDescent="0.25">
      <c r="T2806" s="135"/>
      <c r="U2806" s="135"/>
    </row>
    <row r="2807" spans="20:21" ht="15" customHeight="1" x14ac:dyDescent="0.25">
      <c r="T2807" s="135"/>
      <c r="U2807" s="135"/>
    </row>
    <row r="2808" spans="20:21" ht="15" customHeight="1" x14ac:dyDescent="0.25">
      <c r="T2808" s="135"/>
      <c r="U2808" s="135"/>
    </row>
    <row r="2809" spans="20:21" ht="15" customHeight="1" x14ac:dyDescent="0.25">
      <c r="T2809" s="135"/>
      <c r="U2809" s="135"/>
    </row>
    <row r="2810" spans="20:21" ht="15" customHeight="1" x14ac:dyDescent="0.25">
      <c r="T2810" s="135"/>
      <c r="U2810" s="135"/>
    </row>
    <row r="2811" spans="20:21" ht="15" customHeight="1" x14ac:dyDescent="0.25">
      <c r="T2811" s="135"/>
      <c r="U2811" s="135"/>
    </row>
    <row r="2812" spans="20:21" ht="15" customHeight="1" x14ac:dyDescent="0.25">
      <c r="T2812" s="135"/>
      <c r="U2812" s="135"/>
    </row>
    <row r="2813" spans="20:21" ht="15" customHeight="1" x14ac:dyDescent="0.25">
      <c r="T2813" s="135"/>
      <c r="U2813" s="135"/>
    </row>
    <row r="2814" spans="20:21" ht="15" customHeight="1" x14ac:dyDescent="0.25">
      <c r="T2814" s="135"/>
      <c r="U2814" s="135"/>
    </row>
    <row r="2815" spans="20:21" ht="15" customHeight="1" x14ac:dyDescent="0.25">
      <c r="T2815" s="135"/>
      <c r="U2815" s="135"/>
    </row>
    <row r="2816" spans="20:21" ht="15" customHeight="1" x14ac:dyDescent="0.25">
      <c r="T2816" s="135"/>
      <c r="U2816" s="135"/>
    </row>
    <row r="2817" spans="20:21" ht="15" customHeight="1" x14ac:dyDescent="0.25">
      <c r="T2817" s="135"/>
      <c r="U2817" s="135"/>
    </row>
    <row r="2818" spans="20:21" ht="15" customHeight="1" x14ac:dyDescent="0.25">
      <c r="T2818" s="135"/>
      <c r="U2818" s="135"/>
    </row>
    <row r="2819" spans="20:21" ht="15" customHeight="1" x14ac:dyDescent="0.25">
      <c r="T2819" s="135"/>
      <c r="U2819" s="135"/>
    </row>
    <row r="2820" spans="20:21" ht="15" customHeight="1" x14ac:dyDescent="0.25">
      <c r="T2820" s="135"/>
      <c r="U2820" s="135"/>
    </row>
    <row r="2821" spans="20:21" ht="15" customHeight="1" x14ac:dyDescent="0.25">
      <c r="T2821" s="135"/>
      <c r="U2821" s="135"/>
    </row>
    <row r="2822" spans="20:21" ht="15" customHeight="1" x14ac:dyDescent="0.25">
      <c r="T2822" s="135"/>
      <c r="U2822" s="135"/>
    </row>
    <row r="2823" spans="20:21" ht="15" customHeight="1" x14ac:dyDescent="0.25">
      <c r="T2823" s="135"/>
      <c r="U2823" s="135"/>
    </row>
    <row r="2824" spans="20:21" ht="15" customHeight="1" x14ac:dyDescent="0.25">
      <c r="T2824" s="135"/>
      <c r="U2824" s="135"/>
    </row>
    <row r="2825" spans="20:21" ht="15" customHeight="1" x14ac:dyDescent="0.25">
      <c r="T2825" s="135"/>
      <c r="U2825" s="135"/>
    </row>
    <row r="2826" spans="20:21" ht="15" customHeight="1" x14ac:dyDescent="0.25">
      <c r="T2826" s="135"/>
      <c r="U2826" s="135"/>
    </row>
    <row r="2827" spans="20:21" ht="15" customHeight="1" x14ac:dyDescent="0.25">
      <c r="T2827" s="135"/>
      <c r="U2827" s="135"/>
    </row>
    <row r="2828" spans="20:21" ht="15" customHeight="1" x14ac:dyDescent="0.25">
      <c r="T2828" s="135"/>
      <c r="U2828" s="135"/>
    </row>
    <row r="2829" spans="20:21" ht="15" customHeight="1" x14ac:dyDescent="0.25">
      <c r="T2829" s="135"/>
      <c r="U2829" s="135"/>
    </row>
    <row r="2830" spans="20:21" ht="15" customHeight="1" x14ac:dyDescent="0.25">
      <c r="T2830" s="135"/>
      <c r="U2830" s="135"/>
    </row>
    <row r="2831" spans="20:21" ht="15" customHeight="1" x14ac:dyDescent="0.25">
      <c r="T2831" s="135"/>
      <c r="U2831" s="135"/>
    </row>
    <row r="2832" spans="20:21" ht="15" customHeight="1" x14ac:dyDescent="0.25">
      <c r="T2832" s="135"/>
      <c r="U2832" s="135"/>
    </row>
    <row r="2833" spans="20:21" ht="15" customHeight="1" x14ac:dyDescent="0.25">
      <c r="T2833" s="135"/>
      <c r="U2833" s="135"/>
    </row>
    <row r="2834" spans="20:21" ht="15" customHeight="1" x14ac:dyDescent="0.25">
      <c r="T2834" s="135"/>
      <c r="U2834" s="135"/>
    </row>
    <row r="2835" spans="20:21" ht="15" customHeight="1" x14ac:dyDescent="0.25">
      <c r="T2835" s="135"/>
      <c r="U2835" s="135"/>
    </row>
    <row r="2836" spans="20:21" ht="15" customHeight="1" x14ac:dyDescent="0.25">
      <c r="T2836" s="135"/>
      <c r="U2836" s="135"/>
    </row>
    <row r="2837" spans="20:21" ht="15" customHeight="1" x14ac:dyDescent="0.25">
      <c r="T2837" s="135"/>
      <c r="U2837" s="135"/>
    </row>
    <row r="2838" spans="20:21" ht="15" customHeight="1" x14ac:dyDescent="0.25">
      <c r="T2838" s="135"/>
      <c r="U2838" s="135"/>
    </row>
    <row r="2839" spans="20:21" ht="15" customHeight="1" x14ac:dyDescent="0.25">
      <c r="T2839" s="135"/>
      <c r="U2839" s="135"/>
    </row>
    <row r="2840" spans="20:21" ht="15" customHeight="1" x14ac:dyDescent="0.25">
      <c r="T2840" s="135"/>
      <c r="U2840" s="135"/>
    </row>
    <row r="2841" spans="20:21" ht="15" customHeight="1" x14ac:dyDescent="0.25">
      <c r="T2841" s="135"/>
      <c r="U2841" s="135"/>
    </row>
    <row r="2842" spans="20:21" ht="15" customHeight="1" x14ac:dyDescent="0.25">
      <c r="T2842" s="135"/>
      <c r="U2842" s="135"/>
    </row>
    <row r="2843" spans="20:21" ht="15" customHeight="1" x14ac:dyDescent="0.25">
      <c r="T2843" s="135"/>
      <c r="U2843" s="135"/>
    </row>
    <row r="2844" spans="20:21" ht="15" customHeight="1" x14ac:dyDescent="0.25">
      <c r="T2844" s="135"/>
      <c r="U2844" s="135"/>
    </row>
    <row r="2845" spans="20:21" ht="15" customHeight="1" x14ac:dyDescent="0.25">
      <c r="T2845" s="135"/>
      <c r="U2845" s="135"/>
    </row>
    <row r="2846" spans="20:21" ht="15" customHeight="1" x14ac:dyDescent="0.25">
      <c r="T2846" s="135"/>
      <c r="U2846" s="135"/>
    </row>
    <row r="2847" spans="20:21" ht="15" customHeight="1" x14ac:dyDescent="0.25">
      <c r="T2847" s="135"/>
      <c r="U2847" s="135"/>
    </row>
    <row r="2848" spans="20:21" ht="15" customHeight="1" x14ac:dyDescent="0.25">
      <c r="T2848" s="135"/>
      <c r="U2848" s="135"/>
    </row>
    <row r="2849" spans="20:21" ht="15" customHeight="1" x14ac:dyDescent="0.25">
      <c r="T2849" s="135"/>
      <c r="U2849" s="135"/>
    </row>
    <row r="2850" spans="20:21" ht="15" customHeight="1" x14ac:dyDescent="0.25">
      <c r="T2850" s="135"/>
      <c r="U2850" s="135"/>
    </row>
    <row r="2851" spans="20:21" ht="15" customHeight="1" x14ac:dyDescent="0.25">
      <c r="T2851" s="135"/>
      <c r="U2851" s="135"/>
    </row>
    <row r="2852" spans="20:21" ht="15" customHeight="1" x14ac:dyDescent="0.25">
      <c r="T2852" s="135"/>
      <c r="U2852" s="135"/>
    </row>
    <row r="2853" spans="20:21" ht="15" customHeight="1" x14ac:dyDescent="0.25">
      <c r="T2853" s="135"/>
      <c r="U2853" s="135"/>
    </row>
    <row r="2854" spans="20:21" ht="15" customHeight="1" x14ac:dyDescent="0.25">
      <c r="T2854" s="135"/>
      <c r="U2854" s="135"/>
    </row>
    <row r="2855" spans="20:21" ht="15" customHeight="1" x14ac:dyDescent="0.25">
      <c r="T2855" s="135"/>
      <c r="U2855" s="135"/>
    </row>
    <row r="2856" spans="20:21" ht="15" customHeight="1" x14ac:dyDescent="0.25">
      <c r="T2856" s="135"/>
      <c r="U2856" s="135"/>
    </row>
    <row r="2857" spans="20:21" ht="15" customHeight="1" x14ac:dyDescent="0.25">
      <c r="T2857" s="135"/>
      <c r="U2857" s="135"/>
    </row>
    <row r="2858" spans="20:21" ht="15" customHeight="1" x14ac:dyDescent="0.25">
      <c r="T2858" s="135"/>
      <c r="U2858" s="135"/>
    </row>
    <row r="2859" spans="20:21" ht="15" customHeight="1" x14ac:dyDescent="0.25">
      <c r="T2859" s="135"/>
      <c r="U2859" s="135"/>
    </row>
    <row r="2860" spans="20:21" ht="15" customHeight="1" x14ac:dyDescent="0.25">
      <c r="T2860" s="135"/>
      <c r="U2860" s="135"/>
    </row>
    <row r="2861" spans="20:21" ht="15" customHeight="1" x14ac:dyDescent="0.25">
      <c r="T2861" s="135"/>
      <c r="U2861" s="135"/>
    </row>
    <row r="2862" spans="20:21" ht="15" customHeight="1" x14ac:dyDescent="0.25">
      <c r="T2862" s="135"/>
      <c r="U2862" s="135"/>
    </row>
    <row r="2863" spans="20:21" ht="15" customHeight="1" x14ac:dyDescent="0.25">
      <c r="T2863" s="135"/>
      <c r="U2863" s="135"/>
    </row>
    <row r="2864" spans="20:21" ht="15" customHeight="1" x14ac:dyDescent="0.25">
      <c r="T2864" s="135"/>
      <c r="U2864" s="135"/>
    </row>
    <row r="2865" spans="20:21" ht="15" customHeight="1" x14ac:dyDescent="0.25">
      <c r="T2865" s="135"/>
      <c r="U2865" s="135"/>
    </row>
    <row r="2866" spans="20:21" ht="15" customHeight="1" x14ac:dyDescent="0.25">
      <c r="T2866" s="135"/>
      <c r="U2866" s="135"/>
    </row>
    <row r="2867" spans="20:21" ht="15" customHeight="1" x14ac:dyDescent="0.25">
      <c r="T2867" s="135"/>
      <c r="U2867" s="135"/>
    </row>
    <row r="2868" spans="20:21" ht="15" customHeight="1" x14ac:dyDescent="0.25">
      <c r="T2868" s="135"/>
      <c r="U2868" s="135"/>
    </row>
    <row r="2869" spans="20:21" ht="15" customHeight="1" x14ac:dyDescent="0.25">
      <c r="T2869" s="135"/>
      <c r="U2869" s="135"/>
    </row>
    <row r="2870" spans="20:21" ht="15" customHeight="1" x14ac:dyDescent="0.25">
      <c r="T2870" s="135"/>
      <c r="U2870" s="135"/>
    </row>
    <row r="2871" spans="20:21" ht="15" customHeight="1" x14ac:dyDescent="0.25">
      <c r="T2871" s="135"/>
      <c r="U2871" s="135"/>
    </row>
    <row r="2872" spans="20:21" ht="15" customHeight="1" x14ac:dyDescent="0.25">
      <c r="T2872" s="135"/>
      <c r="U2872" s="135"/>
    </row>
    <row r="2873" spans="20:21" ht="15" customHeight="1" x14ac:dyDescent="0.25">
      <c r="T2873" s="135"/>
      <c r="U2873" s="135"/>
    </row>
    <row r="2874" spans="20:21" ht="15" customHeight="1" x14ac:dyDescent="0.25">
      <c r="T2874" s="135"/>
      <c r="U2874" s="135"/>
    </row>
    <row r="2875" spans="20:21" ht="15" customHeight="1" x14ac:dyDescent="0.25">
      <c r="T2875" s="135"/>
      <c r="U2875" s="135"/>
    </row>
    <row r="2876" spans="20:21" ht="15" customHeight="1" x14ac:dyDescent="0.25">
      <c r="T2876" s="135"/>
      <c r="U2876" s="135"/>
    </row>
    <row r="2877" spans="20:21" ht="15" customHeight="1" x14ac:dyDescent="0.25">
      <c r="T2877" s="135"/>
      <c r="U2877" s="135"/>
    </row>
    <row r="2878" spans="20:21" ht="15" customHeight="1" x14ac:dyDescent="0.25">
      <c r="T2878" s="135"/>
      <c r="U2878" s="135"/>
    </row>
    <row r="2879" spans="20:21" ht="15" customHeight="1" x14ac:dyDescent="0.25">
      <c r="T2879" s="135"/>
      <c r="U2879" s="135"/>
    </row>
    <row r="2880" spans="20:21" ht="15" customHeight="1" x14ac:dyDescent="0.25">
      <c r="T2880" s="135"/>
      <c r="U2880" s="135"/>
    </row>
    <row r="2881" spans="20:21" ht="15" customHeight="1" x14ac:dyDescent="0.25">
      <c r="T2881" s="135"/>
      <c r="U2881" s="135"/>
    </row>
    <row r="2882" spans="20:21" ht="15" customHeight="1" x14ac:dyDescent="0.25">
      <c r="T2882" s="135"/>
      <c r="U2882" s="135"/>
    </row>
    <row r="2883" spans="20:21" ht="15" customHeight="1" x14ac:dyDescent="0.25">
      <c r="T2883" s="135"/>
      <c r="U2883" s="135"/>
    </row>
    <row r="2884" spans="20:21" ht="15" customHeight="1" x14ac:dyDescent="0.25">
      <c r="T2884" s="135"/>
      <c r="U2884" s="135"/>
    </row>
    <row r="2885" spans="20:21" ht="15" customHeight="1" x14ac:dyDescent="0.25">
      <c r="T2885" s="135"/>
      <c r="U2885" s="135"/>
    </row>
    <row r="2886" spans="20:21" ht="15" customHeight="1" x14ac:dyDescent="0.25">
      <c r="T2886" s="135"/>
      <c r="U2886" s="135"/>
    </row>
    <row r="2887" spans="20:21" ht="15" customHeight="1" x14ac:dyDescent="0.25">
      <c r="T2887" s="135"/>
      <c r="U2887" s="135"/>
    </row>
    <row r="2888" spans="20:21" ht="15" customHeight="1" x14ac:dyDescent="0.25">
      <c r="T2888" s="135"/>
      <c r="U2888" s="135"/>
    </row>
    <row r="2889" spans="20:21" ht="15" customHeight="1" x14ac:dyDescent="0.25">
      <c r="T2889" s="135"/>
      <c r="U2889" s="135"/>
    </row>
    <row r="2890" spans="20:21" ht="15" customHeight="1" x14ac:dyDescent="0.25">
      <c r="T2890" s="135"/>
      <c r="U2890" s="135"/>
    </row>
    <row r="2891" spans="20:21" ht="15" customHeight="1" x14ac:dyDescent="0.25">
      <c r="T2891" s="135"/>
      <c r="U2891" s="135"/>
    </row>
    <row r="2892" spans="20:21" ht="15" customHeight="1" x14ac:dyDescent="0.25">
      <c r="T2892" s="135"/>
      <c r="U2892" s="135"/>
    </row>
    <row r="2893" spans="20:21" ht="15" customHeight="1" x14ac:dyDescent="0.25">
      <c r="T2893" s="135"/>
      <c r="U2893" s="135"/>
    </row>
    <row r="2894" spans="20:21" ht="15" customHeight="1" x14ac:dyDescent="0.25">
      <c r="T2894" s="135"/>
      <c r="U2894" s="135"/>
    </row>
    <row r="2895" spans="20:21" ht="15" customHeight="1" x14ac:dyDescent="0.25">
      <c r="T2895" s="135"/>
      <c r="U2895" s="135"/>
    </row>
    <row r="2896" spans="20:21" ht="15" customHeight="1" x14ac:dyDescent="0.25">
      <c r="T2896" s="135"/>
      <c r="U2896" s="135"/>
    </row>
    <row r="2897" spans="20:21" ht="15" customHeight="1" x14ac:dyDescent="0.25">
      <c r="T2897" s="135"/>
      <c r="U2897" s="135"/>
    </row>
    <row r="2898" spans="20:21" ht="15" customHeight="1" x14ac:dyDescent="0.25">
      <c r="T2898" s="135"/>
      <c r="U2898" s="135"/>
    </row>
    <row r="2899" spans="20:21" ht="15" customHeight="1" x14ac:dyDescent="0.25">
      <c r="T2899" s="135"/>
      <c r="U2899" s="135"/>
    </row>
    <row r="2900" spans="20:21" ht="15" customHeight="1" x14ac:dyDescent="0.25">
      <c r="T2900" s="135"/>
      <c r="U2900" s="135"/>
    </row>
    <row r="2901" spans="20:21" ht="15" customHeight="1" x14ac:dyDescent="0.25">
      <c r="T2901" s="135"/>
      <c r="U2901" s="135"/>
    </row>
    <row r="2902" spans="20:21" ht="15" customHeight="1" x14ac:dyDescent="0.25">
      <c r="T2902" s="135"/>
      <c r="U2902" s="135"/>
    </row>
    <row r="2903" spans="20:21" ht="15" customHeight="1" x14ac:dyDescent="0.25">
      <c r="T2903" s="135"/>
      <c r="U2903" s="135"/>
    </row>
    <row r="2904" spans="20:21" ht="15" customHeight="1" x14ac:dyDescent="0.25">
      <c r="T2904" s="135"/>
      <c r="U2904" s="135"/>
    </row>
    <row r="2905" spans="20:21" ht="15" customHeight="1" x14ac:dyDescent="0.25">
      <c r="T2905" s="135"/>
      <c r="U2905" s="135"/>
    </row>
    <row r="2906" spans="20:21" ht="15" customHeight="1" x14ac:dyDescent="0.25">
      <c r="T2906" s="135"/>
      <c r="U2906" s="135"/>
    </row>
    <row r="2907" spans="20:21" ht="15" customHeight="1" x14ac:dyDescent="0.25">
      <c r="T2907" s="135"/>
      <c r="U2907" s="135"/>
    </row>
    <row r="2908" spans="20:21" ht="15" customHeight="1" x14ac:dyDescent="0.25">
      <c r="T2908" s="135"/>
      <c r="U2908" s="135"/>
    </row>
    <row r="2909" spans="20:21" ht="15" customHeight="1" x14ac:dyDescent="0.25">
      <c r="T2909" s="135"/>
      <c r="U2909" s="135"/>
    </row>
    <row r="2910" spans="20:21" ht="15" customHeight="1" x14ac:dyDescent="0.25">
      <c r="T2910" s="135"/>
      <c r="U2910" s="135"/>
    </row>
    <row r="2911" spans="20:21" ht="15" customHeight="1" x14ac:dyDescent="0.25">
      <c r="T2911" s="135"/>
      <c r="U2911" s="135"/>
    </row>
    <row r="2912" spans="20:21" ht="15" customHeight="1" x14ac:dyDescent="0.25">
      <c r="T2912" s="135"/>
      <c r="U2912" s="135"/>
    </row>
    <row r="2913" spans="20:21" ht="15" customHeight="1" x14ac:dyDescent="0.25">
      <c r="T2913" s="135"/>
      <c r="U2913" s="135"/>
    </row>
    <row r="2914" spans="20:21" ht="15" customHeight="1" x14ac:dyDescent="0.25">
      <c r="T2914" s="135"/>
      <c r="U2914" s="135"/>
    </row>
    <row r="2915" spans="20:21" ht="15" customHeight="1" x14ac:dyDescent="0.25">
      <c r="T2915" s="135"/>
      <c r="U2915" s="135"/>
    </row>
    <row r="2916" spans="20:21" ht="15" customHeight="1" x14ac:dyDescent="0.25">
      <c r="T2916" s="135"/>
      <c r="U2916" s="135"/>
    </row>
    <row r="2917" spans="20:21" ht="15" customHeight="1" x14ac:dyDescent="0.25">
      <c r="T2917" s="135"/>
      <c r="U2917" s="135"/>
    </row>
    <row r="2918" spans="20:21" ht="15" customHeight="1" x14ac:dyDescent="0.25">
      <c r="T2918" s="135"/>
      <c r="U2918" s="135"/>
    </row>
    <row r="2919" spans="20:21" ht="15" customHeight="1" x14ac:dyDescent="0.25">
      <c r="T2919" s="135"/>
      <c r="U2919" s="135"/>
    </row>
    <row r="2920" spans="20:21" ht="15" customHeight="1" x14ac:dyDescent="0.25">
      <c r="T2920" s="135"/>
      <c r="U2920" s="135"/>
    </row>
    <row r="2921" spans="20:21" ht="15" customHeight="1" x14ac:dyDescent="0.25">
      <c r="T2921" s="135"/>
      <c r="U2921" s="135"/>
    </row>
    <row r="2922" spans="20:21" ht="15" customHeight="1" x14ac:dyDescent="0.25">
      <c r="T2922" s="135"/>
      <c r="U2922" s="135"/>
    </row>
    <row r="2923" spans="20:21" ht="15" customHeight="1" x14ac:dyDescent="0.25">
      <c r="T2923" s="135"/>
      <c r="U2923" s="135"/>
    </row>
    <row r="2924" spans="20:21" ht="15" customHeight="1" x14ac:dyDescent="0.25">
      <c r="T2924" s="135"/>
      <c r="U2924" s="135"/>
    </row>
    <row r="2925" spans="20:21" ht="15" customHeight="1" x14ac:dyDescent="0.25">
      <c r="T2925" s="135"/>
      <c r="U2925" s="135"/>
    </row>
    <row r="2926" spans="20:21" ht="15" customHeight="1" x14ac:dyDescent="0.25">
      <c r="T2926" s="135"/>
      <c r="U2926" s="135"/>
    </row>
    <row r="2927" spans="20:21" ht="15" customHeight="1" x14ac:dyDescent="0.25">
      <c r="T2927" s="135"/>
      <c r="U2927" s="135"/>
    </row>
    <row r="2928" spans="20:21" ht="15" customHeight="1" x14ac:dyDescent="0.25">
      <c r="T2928" s="135"/>
      <c r="U2928" s="135"/>
    </row>
    <row r="2929" spans="20:21" ht="15" customHeight="1" x14ac:dyDescent="0.25">
      <c r="T2929" s="135"/>
      <c r="U2929" s="135"/>
    </row>
    <row r="2930" spans="20:21" ht="15" customHeight="1" x14ac:dyDescent="0.25">
      <c r="T2930" s="135"/>
      <c r="U2930" s="135"/>
    </row>
    <row r="2931" spans="20:21" ht="15" customHeight="1" x14ac:dyDescent="0.25">
      <c r="T2931" s="135"/>
      <c r="U2931" s="135"/>
    </row>
    <row r="2932" spans="20:21" ht="15" customHeight="1" x14ac:dyDescent="0.25">
      <c r="T2932" s="135"/>
      <c r="U2932" s="135"/>
    </row>
    <row r="2933" spans="20:21" ht="15" customHeight="1" x14ac:dyDescent="0.25">
      <c r="T2933" s="135"/>
      <c r="U2933" s="135"/>
    </row>
    <row r="2934" spans="20:21" ht="15" customHeight="1" x14ac:dyDescent="0.25">
      <c r="T2934" s="135"/>
      <c r="U2934" s="135"/>
    </row>
    <row r="2935" spans="20:21" ht="15" customHeight="1" x14ac:dyDescent="0.25">
      <c r="T2935" s="135"/>
      <c r="U2935" s="135"/>
    </row>
    <row r="2936" spans="20:21" ht="15" customHeight="1" x14ac:dyDescent="0.25">
      <c r="T2936" s="135"/>
      <c r="U2936" s="135"/>
    </row>
    <row r="2937" spans="20:21" ht="15" customHeight="1" x14ac:dyDescent="0.25">
      <c r="T2937" s="135"/>
      <c r="U2937" s="135"/>
    </row>
    <row r="2938" spans="20:21" ht="15" customHeight="1" x14ac:dyDescent="0.25">
      <c r="T2938" s="135"/>
      <c r="U2938" s="135"/>
    </row>
    <row r="2939" spans="20:21" ht="15" customHeight="1" x14ac:dyDescent="0.25">
      <c r="T2939" s="135"/>
      <c r="U2939" s="135"/>
    </row>
    <row r="2940" spans="20:21" ht="15" customHeight="1" x14ac:dyDescent="0.25">
      <c r="T2940" s="135"/>
      <c r="U2940" s="135"/>
    </row>
    <row r="2941" spans="20:21" ht="15" customHeight="1" x14ac:dyDescent="0.25">
      <c r="T2941" s="135"/>
      <c r="U2941" s="135"/>
    </row>
    <row r="2942" spans="20:21" ht="15" customHeight="1" x14ac:dyDescent="0.25">
      <c r="T2942" s="135"/>
      <c r="U2942" s="135"/>
    </row>
    <row r="2943" spans="20:21" ht="15" customHeight="1" x14ac:dyDescent="0.25">
      <c r="T2943" s="135"/>
      <c r="U2943" s="135"/>
    </row>
    <row r="2944" spans="20:21" ht="15" customHeight="1" x14ac:dyDescent="0.25">
      <c r="T2944" s="135"/>
      <c r="U2944" s="135"/>
    </row>
    <row r="2945" spans="20:21" ht="15" customHeight="1" x14ac:dyDescent="0.25">
      <c r="T2945" s="135"/>
      <c r="U2945" s="135"/>
    </row>
    <row r="2946" spans="20:21" ht="15" customHeight="1" x14ac:dyDescent="0.25">
      <c r="T2946" s="135"/>
      <c r="U2946" s="135"/>
    </row>
    <row r="2947" spans="20:21" ht="15" customHeight="1" x14ac:dyDescent="0.25">
      <c r="T2947" s="135"/>
      <c r="U2947" s="135"/>
    </row>
    <row r="2948" spans="20:21" ht="15" customHeight="1" x14ac:dyDescent="0.25">
      <c r="T2948" s="135"/>
      <c r="U2948" s="135"/>
    </row>
    <row r="2949" spans="20:21" ht="15" customHeight="1" x14ac:dyDescent="0.25">
      <c r="T2949" s="135"/>
      <c r="U2949" s="135"/>
    </row>
    <row r="2950" spans="20:21" ht="15" customHeight="1" x14ac:dyDescent="0.25">
      <c r="T2950" s="135"/>
      <c r="U2950" s="135"/>
    </row>
    <row r="2951" spans="20:21" ht="15" customHeight="1" x14ac:dyDescent="0.25">
      <c r="T2951" s="135"/>
      <c r="U2951" s="135"/>
    </row>
    <row r="2952" spans="20:21" ht="15" customHeight="1" x14ac:dyDescent="0.25">
      <c r="T2952" s="135"/>
      <c r="U2952" s="135"/>
    </row>
    <row r="2953" spans="20:21" ht="15" customHeight="1" x14ac:dyDescent="0.25">
      <c r="T2953" s="135"/>
      <c r="U2953" s="135"/>
    </row>
    <row r="2954" spans="20:21" ht="15" customHeight="1" x14ac:dyDescent="0.25">
      <c r="T2954" s="135"/>
      <c r="U2954" s="135"/>
    </row>
    <row r="2955" spans="20:21" ht="15" customHeight="1" x14ac:dyDescent="0.25">
      <c r="T2955" s="135"/>
      <c r="U2955" s="135"/>
    </row>
    <row r="2956" spans="20:21" ht="15" customHeight="1" x14ac:dyDescent="0.25">
      <c r="T2956" s="135"/>
      <c r="U2956" s="135"/>
    </row>
    <row r="2957" spans="20:21" ht="15" customHeight="1" x14ac:dyDescent="0.25">
      <c r="T2957" s="135"/>
      <c r="U2957" s="135"/>
    </row>
    <row r="2958" spans="20:21" ht="15" customHeight="1" x14ac:dyDescent="0.25">
      <c r="T2958" s="135"/>
      <c r="U2958" s="135"/>
    </row>
    <row r="2959" spans="20:21" ht="15" customHeight="1" x14ac:dyDescent="0.25">
      <c r="T2959" s="135"/>
      <c r="U2959" s="135"/>
    </row>
    <row r="2960" spans="20:21" ht="15" customHeight="1" x14ac:dyDescent="0.25">
      <c r="T2960" s="135"/>
      <c r="U2960" s="135"/>
    </row>
    <row r="2961" spans="20:21" ht="15" customHeight="1" x14ac:dyDescent="0.25">
      <c r="T2961" s="135"/>
      <c r="U2961" s="135"/>
    </row>
    <row r="2962" spans="20:21" ht="15" customHeight="1" x14ac:dyDescent="0.25">
      <c r="T2962" s="135"/>
      <c r="U2962" s="135"/>
    </row>
    <row r="2963" spans="20:21" ht="15" customHeight="1" x14ac:dyDescent="0.25">
      <c r="T2963" s="135"/>
      <c r="U2963" s="135"/>
    </row>
    <row r="2964" spans="20:21" ht="15" customHeight="1" x14ac:dyDescent="0.25">
      <c r="T2964" s="135"/>
      <c r="U2964" s="135"/>
    </row>
    <row r="2965" spans="20:21" ht="15" customHeight="1" x14ac:dyDescent="0.25">
      <c r="T2965" s="135"/>
      <c r="U2965" s="135"/>
    </row>
    <row r="2966" spans="20:21" ht="15" customHeight="1" x14ac:dyDescent="0.25">
      <c r="T2966" s="135"/>
      <c r="U2966" s="135"/>
    </row>
    <row r="2967" spans="20:21" ht="15" customHeight="1" x14ac:dyDescent="0.25">
      <c r="T2967" s="135"/>
      <c r="U2967" s="135"/>
    </row>
    <row r="2968" spans="20:21" ht="15" customHeight="1" x14ac:dyDescent="0.25">
      <c r="T2968" s="135"/>
      <c r="U2968" s="135"/>
    </row>
    <row r="2969" spans="20:21" ht="15" customHeight="1" x14ac:dyDescent="0.25">
      <c r="T2969" s="135"/>
      <c r="U2969" s="135"/>
    </row>
    <row r="2970" spans="20:21" ht="15" customHeight="1" x14ac:dyDescent="0.25">
      <c r="T2970" s="135"/>
      <c r="U2970" s="135"/>
    </row>
    <row r="2971" spans="20:21" ht="15" customHeight="1" x14ac:dyDescent="0.25">
      <c r="T2971" s="135"/>
      <c r="U2971" s="135"/>
    </row>
    <row r="2972" spans="20:21" ht="15" customHeight="1" x14ac:dyDescent="0.25">
      <c r="T2972" s="135"/>
      <c r="U2972" s="135"/>
    </row>
    <row r="2973" spans="20:21" ht="15" customHeight="1" x14ac:dyDescent="0.25">
      <c r="T2973" s="135"/>
      <c r="U2973" s="135"/>
    </row>
    <row r="2974" spans="20:21" ht="15" customHeight="1" x14ac:dyDescent="0.25">
      <c r="T2974" s="135"/>
      <c r="U2974" s="135"/>
    </row>
    <row r="2975" spans="20:21" ht="15" customHeight="1" x14ac:dyDescent="0.25">
      <c r="T2975" s="135"/>
      <c r="U2975" s="135"/>
    </row>
    <row r="2976" spans="20:21" ht="15" customHeight="1" x14ac:dyDescent="0.25">
      <c r="T2976" s="135"/>
      <c r="U2976" s="135"/>
    </row>
    <row r="2977" spans="20:21" ht="15" customHeight="1" x14ac:dyDescent="0.25">
      <c r="T2977" s="135"/>
      <c r="U2977" s="135"/>
    </row>
    <row r="2978" spans="20:21" ht="15" customHeight="1" x14ac:dyDescent="0.25">
      <c r="T2978" s="135"/>
      <c r="U2978" s="135"/>
    </row>
    <row r="2979" spans="20:21" ht="15" customHeight="1" x14ac:dyDescent="0.25">
      <c r="T2979" s="135"/>
      <c r="U2979" s="135"/>
    </row>
    <row r="2980" spans="20:21" ht="15" customHeight="1" x14ac:dyDescent="0.25">
      <c r="T2980" s="135"/>
      <c r="U2980" s="135"/>
    </row>
    <row r="2981" spans="20:21" ht="15" customHeight="1" x14ac:dyDescent="0.25">
      <c r="T2981" s="135"/>
      <c r="U2981" s="135"/>
    </row>
    <row r="2982" spans="20:21" ht="15" customHeight="1" x14ac:dyDescent="0.25">
      <c r="T2982" s="135"/>
      <c r="U2982" s="135"/>
    </row>
    <row r="2983" spans="20:21" ht="15" customHeight="1" x14ac:dyDescent="0.25">
      <c r="T2983" s="135"/>
      <c r="U2983" s="135"/>
    </row>
    <row r="2984" spans="20:21" ht="15" customHeight="1" x14ac:dyDescent="0.25">
      <c r="T2984" s="135"/>
      <c r="U2984" s="135"/>
    </row>
    <row r="2985" spans="20:21" ht="15" customHeight="1" x14ac:dyDescent="0.25">
      <c r="T2985" s="135"/>
      <c r="U2985" s="135"/>
    </row>
    <row r="2986" spans="20:21" ht="15" customHeight="1" x14ac:dyDescent="0.25">
      <c r="T2986" s="135"/>
      <c r="U2986" s="135"/>
    </row>
    <row r="2987" spans="20:21" ht="15" customHeight="1" x14ac:dyDescent="0.25">
      <c r="T2987" s="135"/>
      <c r="U2987" s="135"/>
    </row>
    <row r="2988" spans="20:21" ht="15" customHeight="1" x14ac:dyDescent="0.25">
      <c r="T2988" s="135"/>
      <c r="U2988" s="135"/>
    </row>
    <row r="2989" spans="20:21" ht="15" customHeight="1" x14ac:dyDescent="0.25">
      <c r="T2989" s="135"/>
      <c r="U2989" s="135"/>
    </row>
    <row r="2990" spans="20:21" ht="15" customHeight="1" x14ac:dyDescent="0.25">
      <c r="T2990" s="135"/>
      <c r="U2990" s="135"/>
    </row>
    <row r="2991" spans="20:21" ht="15" customHeight="1" x14ac:dyDescent="0.25">
      <c r="T2991" s="135"/>
      <c r="U2991" s="135"/>
    </row>
    <row r="2992" spans="20:21" ht="15" customHeight="1" x14ac:dyDescent="0.25">
      <c r="T2992" s="135"/>
      <c r="U2992" s="135"/>
    </row>
    <row r="2993" spans="20:21" ht="15" customHeight="1" x14ac:dyDescent="0.25">
      <c r="T2993" s="135"/>
      <c r="U2993" s="135"/>
    </row>
    <row r="2994" spans="20:21" ht="15" customHeight="1" x14ac:dyDescent="0.25">
      <c r="T2994" s="135"/>
      <c r="U2994" s="135"/>
    </row>
    <row r="2995" spans="20:21" ht="15" customHeight="1" x14ac:dyDescent="0.25">
      <c r="T2995" s="135"/>
      <c r="U2995" s="135"/>
    </row>
    <row r="2996" spans="20:21" ht="15" customHeight="1" x14ac:dyDescent="0.25">
      <c r="T2996" s="135"/>
      <c r="U2996" s="135"/>
    </row>
    <row r="2997" spans="20:21" ht="15" customHeight="1" x14ac:dyDescent="0.25">
      <c r="T2997" s="135"/>
      <c r="U2997" s="135"/>
    </row>
    <row r="2998" spans="20:21" ht="15" customHeight="1" x14ac:dyDescent="0.25">
      <c r="T2998" s="135"/>
      <c r="U2998" s="135"/>
    </row>
    <row r="2999" spans="20:21" ht="15" customHeight="1" x14ac:dyDescent="0.25">
      <c r="T2999" s="135"/>
      <c r="U2999" s="135"/>
    </row>
    <row r="3000" spans="20:21" ht="15" customHeight="1" x14ac:dyDescent="0.25">
      <c r="T3000" s="135"/>
      <c r="U3000" s="135"/>
    </row>
    <row r="3001" spans="20:21" ht="15" customHeight="1" x14ac:dyDescent="0.25">
      <c r="T3001" s="135"/>
      <c r="U3001" s="135"/>
    </row>
    <row r="3002" spans="20:21" ht="15" customHeight="1" x14ac:dyDescent="0.25">
      <c r="T3002" s="135"/>
      <c r="U3002" s="135"/>
    </row>
    <row r="3003" spans="20:21" ht="15" customHeight="1" x14ac:dyDescent="0.25">
      <c r="T3003" s="135"/>
      <c r="U3003" s="135"/>
    </row>
    <row r="3004" spans="20:21" ht="15" customHeight="1" x14ac:dyDescent="0.25">
      <c r="T3004" s="135"/>
      <c r="U3004" s="135"/>
    </row>
    <row r="3005" spans="20:21" ht="15" customHeight="1" x14ac:dyDescent="0.25">
      <c r="T3005" s="135"/>
      <c r="U3005" s="135"/>
    </row>
    <row r="3006" spans="20:21" ht="15" customHeight="1" x14ac:dyDescent="0.25">
      <c r="T3006" s="135"/>
      <c r="U3006" s="135"/>
    </row>
    <row r="3007" spans="20:21" ht="15" customHeight="1" x14ac:dyDescent="0.25">
      <c r="T3007" s="135"/>
      <c r="U3007" s="135"/>
    </row>
    <row r="3008" spans="20:21" ht="15" customHeight="1" x14ac:dyDescent="0.25">
      <c r="T3008" s="135"/>
      <c r="U3008" s="135"/>
    </row>
    <row r="3009" spans="20:21" ht="15" customHeight="1" x14ac:dyDescent="0.25">
      <c r="T3009" s="135"/>
      <c r="U3009" s="135"/>
    </row>
    <row r="3010" spans="20:21" ht="15" customHeight="1" x14ac:dyDescent="0.25">
      <c r="T3010" s="135"/>
      <c r="U3010" s="135"/>
    </row>
    <row r="3011" spans="20:21" ht="15" customHeight="1" x14ac:dyDescent="0.25">
      <c r="T3011" s="135"/>
      <c r="U3011" s="135"/>
    </row>
    <row r="3012" spans="20:21" ht="15" customHeight="1" x14ac:dyDescent="0.25">
      <c r="T3012" s="135"/>
      <c r="U3012" s="135"/>
    </row>
    <row r="3013" spans="20:21" ht="15" customHeight="1" x14ac:dyDescent="0.25">
      <c r="T3013" s="135"/>
      <c r="U3013" s="135"/>
    </row>
    <row r="3014" spans="20:21" ht="15" customHeight="1" x14ac:dyDescent="0.25">
      <c r="T3014" s="135"/>
      <c r="U3014" s="135"/>
    </row>
    <row r="3015" spans="20:21" ht="15" customHeight="1" x14ac:dyDescent="0.25">
      <c r="T3015" s="135"/>
      <c r="U3015" s="135"/>
    </row>
    <row r="3016" spans="20:21" ht="15" customHeight="1" x14ac:dyDescent="0.25">
      <c r="T3016" s="135"/>
      <c r="U3016" s="135"/>
    </row>
    <row r="3017" spans="20:21" ht="15" customHeight="1" x14ac:dyDescent="0.25">
      <c r="T3017" s="135"/>
      <c r="U3017" s="135"/>
    </row>
    <row r="3018" spans="20:21" ht="15" customHeight="1" x14ac:dyDescent="0.25">
      <c r="T3018" s="135"/>
      <c r="U3018" s="135"/>
    </row>
    <row r="3019" spans="20:21" ht="15" customHeight="1" x14ac:dyDescent="0.25">
      <c r="T3019" s="135"/>
      <c r="U3019" s="135"/>
    </row>
    <row r="3020" spans="20:21" ht="15" customHeight="1" x14ac:dyDescent="0.25">
      <c r="T3020" s="135"/>
      <c r="U3020" s="135"/>
    </row>
    <row r="3021" spans="20:21" ht="15" customHeight="1" x14ac:dyDescent="0.25">
      <c r="T3021" s="135"/>
      <c r="U3021" s="135"/>
    </row>
    <row r="3022" spans="20:21" ht="15" customHeight="1" x14ac:dyDescent="0.25">
      <c r="T3022" s="135"/>
      <c r="U3022" s="135"/>
    </row>
    <row r="3023" spans="20:21" ht="15" customHeight="1" x14ac:dyDescent="0.25">
      <c r="T3023" s="135"/>
      <c r="U3023" s="135"/>
    </row>
    <row r="3024" spans="20:21" ht="15" customHeight="1" x14ac:dyDescent="0.25">
      <c r="T3024" s="135"/>
      <c r="U3024" s="135"/>
    </row>
    <row r="3025" spans="20:21" ht="15" customHeight="1" x14ac:dyDescent="0.25">
      <c r="T3025" s="135"/>
      <c r="U3025" s="135"/>
    </row>
    <row r="3026" spans="20:21" ht="15" customHeight="1" x14ac:dyDescent="0.25">
      <c r="T3026" s="135"/>
      <c r="U3026" s="135"/>
    </row>
    <row r="3027" spans="20:21" ht="15" customHeight="1" x14ac:dyDescent="0.25">
      <c r="T3027" s="135"/>
      <c r="U3027" s="135"/>
    </row>
    <row r="3028" spans="20:21" ht="15" customHeight="1" x14ac:dyDescent="0.25">
      <c r="T3028" s="135"/>
      <c r="U3028" s="135"/>
    </row>
    <row r="3029" spans="20:21" ht="15" customHeight="1" x14ac:dyDescent="0.25">
      <c r="T3029" s="135"/>
      <c r="U3029" s="135"/>
    </row>
    <row r="3030" spans="20:21" ht="15" customHeight="1" x14ac:dyDescent="0.25">
      <c r="T3030" s="135"/>
      <c r="U3030" s="135"/>
    </row>
    <row r="3031" spans="20:21" ht="15" customHeight="1" x14ac:dyDescent="0.25">
      <c r="T3031" s="135"/>
      <c r="U3031" s="135"/>
    </row>
    <row r="3032" spans="20:21" ht="15" customHeight="1" x14ac:dyDescent="0.25">
      <c r="T3032" s="135"/>
      <c r="U3032" s="135"/>
    </row>
    <row r="3033" spans="20:21" ht="15" customHeight="1" x14ac:dyDescent="0.25">
      <c r="T3033" s="135"/>
      <c r="U3033" s="135"/>
    </row>
    <row r="3034" spans="20:21" ht="15" customHeight="1" x14ac:dyDescent="0.25">
      <c r="T3034" s="135"/>
      <c r="U3034" s="135"/>
    </row>
    <row r="3035" spans="20:21" ht="15" customHeight="1" x14ac:dyDescent="0.25">
      <c r="T3035" s="135"/>
      <c r="U3035" s="135"/>
    </row>
    <row r="3036" spans="20:21" ht="15" customHeight="1" x14ac:dyDescent="0.25">
      <c r="T3036" s="135"/>
      <c r="U3036" s="135"/>
    </row>
    <row r="3037" spans="20:21" ht="15" customHeight="1" x14ac:dyDescent="0.25">
      <c r="T3037" s="135"/>
      <c r="U3037" s="135"/>
    </row>
    <row r="3038" spans="20:21" ht="15" customHeight="1" x14ac:dyDescent="0.25">
      <c r="T3038" s="135"/>
      <c r="U3038" s="135"/>
    </row>
    <row r="3039" spans="20:21" ht="15" customHeight="1" x14ac:dyDescent="0.25">
      <c r="T3039" s="135"/>
      <c r="U3039" s="135"/>
    </row>
    <row r="3040" spans="20:21" ht="15" customHeight="1" x14ac:dyDescent="0.25">
      <c r="T3040" s="135"/>
      <c r="U3040" s="135"/>
    </row>
    <row r="3041" spans="20:21" ht="15" customHeight="1" x14ac:dyDescent="0.25">
      <c r="T3041" s="135"/>
      <c r="U3041" s="135"/>
    </row>
    <row r="3042" spans="20:21" ht="15" customHeight="1" x14ac:dyDescent="0.25">
      <c r="T3042" s="135"/>
      <c r="U3042" s="135"/>
    </row>
    <row r="3043" spans="20:21" ht="15" customHeight="1" x14ac:dyDescent="0.25">
      <c r="T3043" s="135"/>
      <c r="U3043" s="135"/>
    </row>
    <row r="3044" spans="20:21" ht="15" customHeight="1" x14ac:dyDescent="0.25">
      <c r="T3044" s="135"/>
      <c r="U3044" s="135"/>
    </row>
    <row r="3045" spans="20:21" ht="15" customHeight="1" x14ac:dyDescent="0.25">
      <c r="T3045" s="135"/>
      <c r="U3045" s="135"/>
    </row>
    <row r="3046" spans="20:21" ht="15" customHeight="1" x14ac:dyDescent="0.25">
      <c r="T3046" s="135"/>
      <c r="U3046" s="135"/>
    </row>
    <row r="3047" spans="20:21" ht="15" customHeight="1" x14ac:dyDescent="0.25">
      <c r="T3047" s="135"/>
      <c r="U3047" s="135"/>
    </row>
    <row r="3048" spans="20:21" ht="15" customHeight="1" x14ac:dyDescent="0.25">
      <c r="T3048" s="135"/>
      <c r="U3048" s="135"/>
    </row>
    <row r="3049" spans="20:21" ht="15" customHeight="1" x14ac:dyDescent="0.25">
      <c r="T3049" s="135"/>
      <c r="U3049" s="135"/>
    </row>
    <row r="3050" spans="20:21" ht="15" customHeight="1" x14ac:dyDescent="0.25">
      <c r="T3050" s="135"/>
      <c r="U3050" s="135"/>
    </row>
    <row r="3051" spans="20:21" ht="15" customHeight="1" x14ac:dyDescent="0.25">
      <c r="T3051" s="135"/>
      <c r="U3051" s="135"/>
    </row>
    <row r="3052" spans="20:21" ht="15" customHeight="1" x14ac:dyDescent="0.25">
      <c r="T3052" s="135"/>
      <c r="U3052" s="135"/>
    </row>
    <row r="3053" spans="20:21" ht="15" customHeight="1" x14ac:dyDescent="0.25">
      <c r="T3053" s="135"/>
      <c r="U3053" s="135"/>
    </row>
    <row r="3054" spans="20:21" ht="15" customHeight="1" x14ac:dyDescent="0.25">
      <c r="T3054" s="135"/>
      <c r="U3054" s="135"/>
    </row>
    <row r="3055" spans="20:21" ht="15" customHeight="1" x14ac:dyDescent="0.25">
      <c r="T3055" s="135"/>
      <c r="U3055" s="135"/>
    </row>
    <row r="3056" spans="20:21" ht="15" customHeight="1" x14ac:dyDescent="0.25">
      <c r="T3056" s="135"/>
      <c r="U3056" s="135"/>
    </row>
    <row r="3057" spans="20:21" ht="15" customHeight="1" x14ac:dyDescent="0.25">
      <c r="T3057" s="135"/>
      <c r="U3057" s="135"/>
    </row>
    <row r="3058" spans="20:21" ht="15" customHeight="1" x14ac:dyDescent="0.25">
      <c r="T3058" s="135"/>
      <c r="U3058" s="135"/>
    </row>
    <row r="3059" spans="20:21" ht="15" customHeight="1" x14ac:dyDescent="0.25">
      <c r="T3059" s="135"/>
      <c r="U3059" s="135"/>
    </row>
    <row r="3060" spans="20:21" ht="15" customHeight="1" x14ac:dyDescent="0.25">
      <c r="T3060" s="135"/>
      <c r="U3060" s="135"/>
    </row>
    <row r="3061" spans="20:21" ht="15" customHeight="1" x14ac:dyDescent="0.25">
      <c r="T3061" s="135"/>
      <c r="U3061" s="135"/>
    </row>
    <row r="3062" spans="20:21" ht="15" customHeight="1" x14ac:dyDescent="0.25">
      <c r="T3062" s="135"/>
      <c r="U3062" s="135"/>
    </row>
    <row r="3063" spans="20:21" ht="15" customHeight="1" x14ac:dyDescent="0.25">
      <c r="T3063" s="135"/>
      <c r="U3063" s="135"/>
    </row>
    <row r="3064" spans="20:21" ht="15" customHeight="1" x14ac:dyDescent="0.25">
      <c r="T3064" s="135"/>
      <c r="U3064" s="135"/>
    </row>
    <row r="3065" spans="20:21" ht="15" customHeight="1" x14ac:dyDescent="0.25">
      <c r="T3065" s="135"/>
      <c r="U3065" s="135"/>
    </row>
    <row r="3066" spans="20:21" ht="15" customHeight="1" x14ac:dyDescent="0.25">
      <c r="T3066" s="135"/>
      <c r="U3066" s="135"/>
    </row>
    <row r="3067" spans="20:21" ht="15" customHeight="1" x14ac:dyDescent="0.25">
      <c r="T3067" s="135"/>
      <c r="U3067" s="135"/>
    </row>
    <row r="3068" spans="20:21" ht="15" customHeight="1" x14ac:dyDescent="0.25">
      <c r="T3068" s="135"/>
      <c r="U3068" s="135"/>
    </row>
    <row r="3069" spans="20:21" ht="15" customHeight="1" x14ac:dyDescent="0.25">
      <c r="T3069" s="135"/>
      <c r="U3069" s="135"/>
    </row>
    <row r="3070" spans="20:21" ht="15" customHeight="1" x14ac:dyDescent="0.25">
      <c r="T3070" s="135"/>
      <c r="U3070" s="135"/>
    </row>
    <row r="3071" spans="20:21" ht="15" customHeight="1" x14ac:dyDescent="0.25">
      <c r="T3071" s="135"/>
      <c r="U3071" s="135"/>
    </row>
    <row r="3072" spans="20:21" ht="15" customHeight="1" x14ac:dyDescent="0.25">
      <c r="T3072" s="135"/>
      <c r="U3072" s="135"/>
    </row>
    <row r="3073" spans="20:21" ht="15" customHeight="1" x14ac:dyDescent="0.25">
      <c r="T3073" s="135"/>
      <c r="U3073" s="135"/>
    </row>
    <row r="3074" spans="20:21" ht="15" customHeight="1" x14ac:dyDescent="0.25">
      <c r="T3074" s="135"/>
      <c r="U3074" s="135"/>
    </row>
    <row r="3075" spans="20:21" ht="15" customHeight="1" x14ac:dyDescent="0.25">
      <c r="T3075" s="135"/>
      <c r="U3075" s="135"/>
    </row>
    <row r="3076" spans="20:21" ht="15" customHeight="1" x14ac:dyDescent="0.25">
      <c r="T3076" s="135"/>
      <c r="U3076" s="135"/>
    </row>
    <row r="3077" spans="20:21" ht="15" customHeight="1" x14ac:dyDescent="0.25">
      <c r="T3077" s="135"/>
      <c r="U3077" s="135"/>
    </row>
    <row r="3078" spans="20:21" ht="15" customHeight="1" x14ac:dyDescent="0.25">
      <c r="T3078" s="135"/>
      <c r="U3078" s="135"/>
    </row>
    <row r="3079" spans="20:21" ht="15" customHeight="1" x14ac:dyDescent="0.25">
      <c r="T3079" s="135"/>
      <c r="U3079" s="135"/>
    </row>
    <row r="3080" spans="20:21" ht="15" customHeight="1" x14ac:dyDescent="0.25">
      <c r="T3080" s="135"/>
      <c r="U3080" s="135"/>
    </row>
    <row r="3081" spans="20:21" ht="15" customHeight="1" x14ac:dyDescent="0.25">
      <c r="T3081" s="135"/>
      <c r="U3081" s="135"/>
    </row>
    <row r="3082" spans="20:21" ht="15" customHeight="1" x14ac:dyDescent="0.25">
      <c r="T3082" s="135"/>
      <c r="U3082" s="135"/>
    </row>
    <row r="3083" spans="20:21" ht="15" customHeight="1" x14ac:dyDescent="0.25">
      <c r="T3083" s="135"/>
      <c r="U3083" s="135"/>
    </row>
    <row r="3084" spans="20:21" ht="15" customHeight="1" x14ac:dyDescent="0.25">
      <c r="T3084" s="135"/>
      <c r="U3084" s="135"/>
    </row>
    <row r="3085" spans="20:21" ht="15" customHeight="1" x14ac:dyDescent="0.25">
      <c r="T3085" s="135"/>
      <c r="U3085" s="135"/>
    </row>
    <row r="3086" spans="20:21" ht="15" customHeight="1" x14ac:dyDescent="0.25">
      <c r="T3086" s="135"/>
      <c r="U3086" s="135"/>
    </row>
    <row r="3087" spans="20:21" ht="15" customHeight="1" x14ac:dyDescent="0.25">
      <c r="T3087" s="135"/>
      <c r="U3087" s="135"/>
    </row>
    <row r="3088" spans="20:21" ht="15" customHeight="1" x14ac:dyDescent="0.25">
      <c r="T3088" s="135"/>
      <c r="U3088" s="135"/>
    </row>
    <row r="3089" spans="20:21" ht="15" customHeight="1" x14ac:dyDescent="0.25">
      <c r="T3089" s="135"/>
      <c r="U3089" s="135"/>
    </row>
    <row r="3090" spans="20:21" ht="15" customHeight="1" x14ac:dyDescent="0.25">
      <c r="T3090" s="135"/>
      <c r="U3090" s="135"/>
    </row>
    <row r="3091" spans="20:21" ht="15" customHeight="1" x14ac:dyDescent="0.25">
      <c r="T3091" s="135"/>
      <c r="U3091" s="135"/>
    </row>
    <row r="3092" spans="20:21" ht="15" customHeight="1" x14ac:dyDescent="0.25">
      <c r="T3092" s="135"/>
      <c r="U3092" s="135"/>
    </row>
    <row r="3093" spans="20:21" ht="15" customHeight="1" x14ac:dyDescent="0.25">
      <c r="T3093" s="135"/>
      <c r="U3093" s="135"/>
    </row>
    <row r="3094" spans="20:21" ht="15" customHeight="1" x14ac:dyDescent="0.25">
      <c r="T3094" s="135"/>
      <c r="U3094" s="135"/>
    </row>
    <row r="3095" spans="20:21" ht="15" customHeight="1" x14ac:dyDescent="0.25">
      <c r="T3095" s="135"/>
      <c r="U3095" s="135"/>
    </row>
    <row r="3096" spans="20:21" ht="15" customHeight="1" x14ac:dyDescent="0.25">
      <c r="T3096" s="135"/>
      <c r="U3096" s="135"/>
    </row>
    <row r="3097" spans="20:21" ht="15" customHeight="1" x14ac:dyDescent="0.25">
      <c r="T3097" s="135"/>
      <c r="U3097" s="135"/>
    </row>
    <row r="3098" spans="20:21" ht="15" customHeight="1" x14ac:dyDescent="0.25">
      <c r="T3098" s="135"/>
      <c r="U3098" s="135"/>
    </row>
    <row r="3099" spans="20:21" ht="15" customHeight="1" x14ac:dyDescent="0.25">
      <c r="T3099" s="135"/>
      <c r="U3099" s="135"/>
    </row>
    <row r="3100" spans="20:21" ht="15" customHeight="1" x14ac:dyDescent="0.25">
      <c r="T3100" s="135"/>
      <c r="U3100" s="135"/>
    </row>
    <row r="3101" spans="20:21" ht="15" customHeight="1" x14ac:dyDescent="0.25">
      <c r="T3101" s="135"/>
      <c r="U3101" s="135"/>
    </row>
    <row r="3102" spans="20:21" ht="15" customHeight="1" x14ac:dyDescent="0.25">
      <c r="T3102" s="135"/>
      <c r="U3102" s="135"/>
    </row>
    <row r="3103" spans="20:21" ht="15" customHeight="1" x14ac:dyDescent="0.25">
      <c r="T3103" s="135"/>
      <c r="U3103" s="135"/>
    </row>
    <row r="3104" spans="20:21" ht="15" customHeight="1" x14ac:dyDescent="0.25">
      <c r="T3104" s="135"/>
      <c r="U3104" s="135"/>
    </row>
    <row r="3105" spans="20:21" ht="15" customHeight="1" x14ac:dyDescent="0.25">
      <c r="T3105" s="135"/>
      <c r="U3105" s="135"/>
    </row>
    <row r="3106" spans="20:21" ht="15" customHeight="1" x14ac:dyDescent="0.25">
      <c r="T3106" s="135"/>
      <c r="U3106" s="135"/>
    </row>
    <row r="3107" spans="20:21" ht="15" customHeight="1" x14ac:dyDescent="0.25">
      <c r="T3107" s="135"/>
      <c r="U3107" s="135"/>
    </row>
    <row r="3108" spans="20:21" ht="15" customHeight="1" x14ac:dyDescent="0.25">
      <c r="T3108" s="135"/>
      <c r="U3108" s="135"/>
    </row>
    <row r="3109" spans="20:21" ht="15" customHeight="1" x14ac:dyDescent="0.25">
      <c r="T3109" s="135"/>
      <c r="U3109" s="135"/>
    </row>
    <row r="3110" spans="20:21" ht="15" customHeight="1" x14ac:dyDescent="0.25">
      <c r="T3110" s="135"/>
      <c r="U3110" s="135"/>
    </row>
    <row r="3111" spans="20:21" ht="15" customHeight="1" x14ac:dyDescent="0.25">
      <c r="T3111" s="135"/>
      <c r="U3111" s="135"/>
    </row>
    <row r="3112" spans="20:21" ht="15" customHeight="1" x14ac:dyDescent="0.25">
      <c r="T3112" s="135"/>
      <c r="U3112" s="135"/>
    </row>
    <row r="3113" spans="20:21" ht="15" customHeight="1" x14ac:dyDescent="0.25">
      <c r="T3113" s="135"/>
      <c r="U3113" s="135"/>
    </row>
    <row r="3114" spans="20:21" ht="15" customHeight="1" x14ac:dyDescent="0.25">
      <c r="T3114" s="135"/>
      <c r="U3114" s="135"/>
    </row>
    <row r="3115" spans="20:21" ht="15" customHeight="1" x14ac:dyDescent="0.25">
      <c r="T3115" s="135"/>
      <c r="U3115" s="135"/>
    </row>
    <row r="3116" spans="20:21" ht="15" customHeight="1" x14ac:dyDescent="0.25">
      <c r="T3116" s="135"/>
      <c r="U3116" s="135"/>
    </row>
    <row r="3117" spans="20:21" ht="15" customHeight="1" x14ac:dyDescent="0.25">
      <c r="T3117" s="135"/>
      <c r="U3117" s="135"/>
    </row>
    <row r="3118" spans="20:21" ht="15" customHeight="1" x14ac:dyDescent="0.25">
      <c r="T3118" s="135"/>
      <c r="U3118" s="135"/>
    </row>
    <row r="3119" spans="20:21" ht="15" customHeight="1" x14ac:dyDescent="0.25">
      <c r="T3119" s="135"/>
      <c r="U3119" s="135"/>
    </row>
    <row r="3120" spans="20:21" ht="15" customHeight="1" x14ac:dyDescent="0.25">
      <c r="T3120" s="135"/>
      <c r="U3120" s="135"/>
    </row>
    <row r="3121" spans="20:21" ht="15" customHeight="1" x14ac:dyDescent="0.25">
      <c r="T3121" s="135"/>
      <c r="U3121" s="135"/>
    </row>
    <row r="3122" spans="20:21" ht="15" customHeight="1" x14ac:dyDescent="0.25">
      <c r="T3122" s="135"/>
      <c r="U3122" s="135"/>
    </row>
    <row r="3123" spans="20:21" ht="15" customHeight="1" x14ac:dyDescent="0.25">
      <c r="T3123" s="135"/>
      <c r="U3123" s="135"/>
    </row>
    <row r="3124" spans="20:21" ht="15" customHeight="1" x14ac:dyDescent="0.25">
      <c r="T3124" s="135"/>
      <c r="U3124" s="135"/>
    </row>
    <row r="3125" spans="20:21" ht="15" customHeight="1" x14ac:dyDescent="0.25">
      <c r="T3125" s="135"/>
      <c r="U3125" s="135"/>
    </row>
    <row r="3126" spans="20:21" ht="15" customHeight="1" x14ac:dyDescent="0.25">
      <c r="T3126" s="135"/>
      <c r="U3126" s="135"/>
    </row>
    <row r="3127" spans="20:21" ht="15" customHeight="1" x14ac:dyDescent="0.25">
      <c r="T3127" s="135"/>
      <c r="U3127" s="135"/>
    </row>
    <row r="3128" spans="20:21" ht="15" customHeight="1" x14ac:dyDescent="0.25">
      <c r="T3128" s="135"/>
      <c r="U3128" s="135"/>
    </row>
    <row r="3129" spans="20:21" ht="15" customHeight="1" x14ac:dyDescent="0.25">
      <c r="T3129" s="135"/>
      <c r="U3129" s="135"/>
    </row>
    <row r="3130" spans="20:21" ht="15" customHeight="1" x14ac:dyDescent="0.25">
      <c r="T3130" s="135"/>
      <c r="U3130" s="135"/>
    </row>
    <row r="3131" spans="20:21" ht="15" customHeight="1" x14ac:dyDescent="0.25">
      <c r="T3131" s="135"/>
      <c r="U3131" s="135"/>
    </row>
    <row r="3132" spans="20:21" ht="15" customHeight="1" x14ac:dyDescent="0.25">
      <c r="T3132" s="135"/>
      <c r="U3132" s="135"/>
    </row>
    <row r="3133" spans="20:21" ht="15" customHeight="1" x14ac:dyDescent="0.25">
      <c r="T3133" s="135"/>
      <c r="U3133" s="135"/>
    </row>
    <row r="3134" spans="20:21" ht="15" customHeight="1" x14ac:dyDescent="0.25">
      <c r="T3134" s="135"/>
      <c r="U3134" s="135"/>
    </row>
    <row r="3135" spans="20:21" ht="15" customHeight="1" x14ac:dyDescent="0.25">
      <c r="T3135" s="135"/>
      <c r="U3135" s="135"/>
    </row>
    <row r="3136" spans="20:21" ht="15" customHeight="1" x14ac:dyDescent="0.25">
      <c r="T3136" s="135"/>
      <c r="U3136" s="135"/>
    </row>
    <row r="3137" spans="20:21" ht="15" customHeight="1" x14ac:dyDescent="0.25">
      <c r="T3137" s="135"/>
      <c r="U3137" s="135"/>
    </row>
    <row r="3138" spans="20:21" ht="15" customHeight="1" x14ac:dyDescent="0.25">
      <c r="T3138" s="135"/>
      <c r="U3138" s="135"/>
    </row>
    <row r="3139" spans="20:21" ht="15" customHeight="1" x14ac:dyDescent="0.25">
      <c r="T3139" s="135"/>
      <c r="U3139" s="135"/>
    </row>
    <row r="3140" spans="20:21" ht="15" customHeight="1" x14ac:dyDescent="0.25">
      <c r="T3140" s="135"/>
      <c r="U3140" s="135"/>
    </row>
    <row r="3141" spans="20:21" ht="15" customHeight="1" x14ac:dyDescent="0.25">
      <c r="T3141" s="135"/>
      <c r="U3141" s="135"/>
    </row>
    <row r="3142" spans="20:21" ht="15" customHeight="1" x14ac:dyDescent="0.25">
      <c r="T3142" s="135"/>
      <c r="U3142" s="135"/>
    </row>
    <row r="3143" spans="20:21" ht="15" customHeight="1" x14ac:dyDescent="0.25">
      <c r="T3143" s="135"/>
      <c r="U3143" s="135"/>
    </row>
    <row r="3144" spans="20:21" ht="15" customHeight="1" x14ac:dyDescent="0.25">
      <c r="T3144" s="135"/>
      <c r="U3144" s="135"/>
    </row>
    <row r="3145" spans="20:21" ht="15" customHeight="1" x14ac:dyDescent="0.25">
      <c r="T3145" s="135"/>
      <c r="U3145" s="135"/>
    </row>
    <row r="3146" spans="20:21" ht="15" customHeight="1" x14ac:dyDescent="0.25">
      <c r="T3146" s="135"/>
      <c r="U3146" s="135"/>
    </row>
    <row r="3147" spans="20:21" ht="15" customHeight="1" x14ac:dyDescent="0.25">
      <c r="T3147" s="135"/>
      <c r="U3147" s="135"/>
    </row>
    <row r="3148" spans="20:21" ht="15" customHeight="1" x14ac:dyDescent="0.25">
      <c r="T3148" s="135"/>
      <c r="U3148" s="135"/>
    </row>
    <row r="3149" spans="20:21" ht="15" customHeight="1" x14ac:dyDescent="0.25">
      <c r="T3149" s="135"/>
      <c r="U3149" s="135"/>
    </row>
    <row r="3150" spans="20:21" ht="15" customHeight="1" x14ac:dyDescent="0.25">
      <c r="T3150" s="135"/>
      <c r="U3150" s="135"/>
    </row>
    <row r="3151" spans="20:21" ht="15" customHeight="1" x14ac:dyDescent="0.25">
      <c r="T3151" s="135"/>
      <c r="U3151" s="135"/>
    </row>
    <row r="3152" spans="20:21" ht="15" customHeight="1" x14ac:dyDescent="0.25">
      <c r="T3152" s="135"/>
      <c r="U3152" s="135"/>
    </row>
    <row r="3153" spans="20:21" ht="15" customHeight="1" x14ac:dyDescent="0.25">
      <c r="T3153" s="135"/>
      <c r="U3153" s="135"/>
    </row>
    <row r="3154" spans="20:21" ht="15" customHeight="1" x14ac:dyDescent="0.25">
      <c r="T3154" s="135"/>
      <c r="U3154" s="135"/>
    </row>
    <row r="3155" spans="20:21" ht="15" customHeight="1" x14ac:dyDescent="0.25">
      <c r="T3155" s="135"/>
      <c r="U3155" s="135"/>
    </row>
    <row r="3156" spans="20:21" ht="15" customHeight="1" x14ac:dyDescent="0.25">
      <c r="T3156" s="135"/>
      <c r="U3156" s="135"/>
    </row>
    <row r="3157" spans="20:21" ht="15" customHeight="1" x14ac:dyDescent="0.25">
      <c r="T3157" s="135"/>
      <c r="U3157" s="135"/>
    </row>
    <row r="3158" spans="20:21" ht="15" customHeight="1" x14ac:dyDescent="0.25">
      <c r="T3158" s="135"/>
      <c r="U3158" s="135"/>
    </row>
    <row r="3159" spans="20:21" ht="15" customHeight="1" x14ac:dyDescent="0.25">
      <c r="T3159" s="135"/>
      <c r="U3159" s="135"/>
    </row>
    <row r="3160" spans="20:21" ht="15" customHeight="1" x14ac:dyDescent="0.25">
      <c r="T3160" s="135"/>
      <c r="U3160" s="135"/>
    </row>
    <row r="3161" spans="20:21" ht="15" customHeight="1" x14ac:dyDescent="0.25">
      <c r="T3161" s="135"/>
      <c r="U3161" s="135"/>
    </row>
    <row r="3162" spans="20:21" ht="15" customHeight="1" x14ac:dyDescent="0.25">
      <c r="T3162" s="135"/>
      <c r="U3162" s="135"/>
    </row>
    <row r="3163" spans="20:21" ht="15" customHeight="1" x14ac:dyDescent="0.25">
      <c r="T3163" s="135"/>
      <c r="U3163" s="135"/>
    </row>
    <row r="3164" spans="20:21" ht="15" customHeight="1" x14ac:dyDescent="0.25">
      <c r="T3164" s="135"/>
      <c r="U3164" s="135"/>
    </row>
    <row r="3165" spans="20:21" ht="15" customHeight="1" x14ac:dyDescent="0.25">
      <c r="T3165" s="135"/>
      <c r="U3165" s="135"/>
    </row>
    <row r="3166" spans="20:21" ht="15" customHeight="1" x14ac:dyDescent="0.25">
      <c r="T3166" s="135"/>
      <c r="U3166" s="135"/>
    </row>
    <row r="3167" spans="20:21" ht="15" customHeight="1" x14ac:dyDescent="0.25">
      <c r="T3167" s="135"/>
      <c r="U3167" s="135"/>
    </row>
    <row r="3168" spans="20:21" ht="15" customHeight="1" x14ac:dyDescent="0.25">
      <c r="T3168" s="135"/>
      <c r="U3168" s="135"/>
    </row>
    <row r="3169" spans="20:21" ht="15" customHeight="1" x14ac:dyDescent="0.25">
      <c r="T3169" s="135"/>
      <c r="U3169" s="135"/>
    </row>
    <row r="3170" spans="20:21" ht="15" customHeight="1" x14ac:dyDescent="0.25">
      <c r="T3170" s="135"/>
      <c r="U3170" s="135"/>
    </row>
    <row r="3171" spans="20:21" ht="15" customHeight="1" x14ac:dyDescent="0.25">
      <c r="T3171" s="135"/>
      <c r="U3171" s="135"/>
    </row>
    <row r="3172" spans="20:21" ht="15" customHeight="1" x14ac:dyDescent="0.25">
      <c r="T3172" s="135"/>
      <c r="U3172" s="135"/>
    </row>
    <row r="3173" spans="20:21" ht="15" customHeight="1" x14ac:dyDescent="0.25">
      <c r="T3173" s="135"/>
      <c r="U3173" s="135"/>
    </row>
    <row r="3174" spans="20:21" ht="15" customHeight="1" x14ac:dyDescent="0.25">
      <c r="T3174" s="135"/>
      <c r="U3174" s="135"/>
    </row>
    <row r="3175" spans="20:21" ht="15" customHeight="1" x14ac:dyDescent="0.25">
      <c r="T3175" s="135"/>
      <c r="U3175" s="135"/>
    </row>
    <row r="3176" spans="20:21" ht="15" customHeight="1" x14ac:dyDescent="0.25">
      <c r="T3176" s="135"/>
      <c r="U3176" s="135"/>
    </row>
    <row r="3177" spans="20:21" ht="15" customHeight="1" x14ac:dyDescent="0.25">
      <c r="T3177" s="135"/>
      <c r="U3177" s="135"/>
    </row>
    <row r="3178" spans="20:21" ht="15" customHeight="1" x14ac:dyDescent="0.25">
      <c r="T3178" s="135"/>
      <c r="U3178" s="135"/>
    </row>
    <row r="3179" spans="20:21" ht="15" customHeight="1" x14ac:dyDescent="0.25">
      <c r="T3179" s="135"/>
      <c r="U3179" s="135"/>
    </row>
    <row r="3180" spans="20:21" ht="15" customHeight="1" x14ac:dyDescent="0.25">
      <c r="T3180" s="135"/>
      <c r="U3180" s="135"/>
    </row>
    <row r="3181" spans="20:21" ht="15" customHeight="1" x14ac:dyDescent="0.25">
      <c r="T3181" s="135"/>
      <c r="U3181" s="135"/>
    </row>
    <row r="3182" spans="20:21" ht="15" customHeight="1" x14ac:dyDescent="0.25">
      <c r="T3182" s="135"/>
      <c r="U3182" s="135"/>
    </row>
    <row r="3183" spans="20:21" ht="15" customHeight="1" x14ac:dyDescent="0.25">
      <c r="T3183" s="135"/>
      <c r="U3183" s="135"/>
    </row>
    <row r="3184" spans="20:21" ht="15" customHeight="1" x14ac:dyDescent="0.25">
      <c r="T3184" s="135"/>
      <c r="U3184" s="135"/>
    </row>
    <row r="3185" spans="20:21" ht="15" customHeight="1" x14ac:dyDescent="0.25">
      <c r="T3185" s="135"/>
      <c r="U3185" s="135"/>
    </row>
    <row r="3186" spans="20:21" ht="15" customHeight="1" x14ac:dyDescent="0.25">
      <c r="T3186" s="135"/>
      <c r="U3186" s="135"/>
    </row>
    <row r="3187" spans="20:21" ht="15" customHeight="1" x14ac:dyDescent="0.25">
      <c r="T3187" s="135"/>
      <c r="U3187" s="135"/>
    </row>
    <row r="3188" spans="20:21" ht="15" customHeight="1" x14ac:dyDescent="0.25">
      <c r="T3188" s="135"/>
      <c r="U3188" s="135"/>
    </row>
    <row r="3189" spans="20:21" ht="15" customHeight="1" x14ac:dyDescent="0.25">
      <c r="T3189" s="135"/>
      <c r="U3189" s="135"/>
    </row>
    <row r="3190" spans="20:21" ht="15" customHeight="1" x14ac:dyDescent="0.25">
      <c r="T3190" s="135"/>
      <c r="U3190" s="135"/>
    </row>
    <row r="3191" spans="20:21" ht="15" customHeight="1" x14ac:dyDescent="0.25">
      <c r="T3191" s="135"/>
      <c r="U3191" s="135"/>
    </row>
    <row r="3192" spans="20:21" ht="15" customHeight="1" x14ac:dyDescent="0.25">
      <c r="T3192" s="135"/>
      <c r="U3192" s="135"/>
    </row>
    <row r="3193" spans="20:21" ht="15" customHeight="1" x14ac:dyDescent="0.25">
      <c r="T3193" s="135"/>
      <c r="U3193" s="135"/>
    </row>
    <row r="3194" spans="20:21" ht="15" customHeight="1" x14ac:dyDescent="0.25">
      <c r="T3194" s="135"/>
      <c r="U3194" s="135"/>
    </row>
    <row r="3195" spans="20:21" ht="15" customHeight="1" x14ac:dyDescent="0.25">
      <c r="T3195" s="135"/>
      <c r="U3195" s="135"/>
    </row>
    <row r="3196" spans="20:21" ht="15" customHeight="1" x14ac:dyDescent="0.25">
      <c r="T3196" s="135"/>
      <c r="U3196" s="135"/>
    </row>
    <row r="3197" spans="20:21" ht="15" customHeight="1" x14ac:dyDescent="0.25">
      <c r="T3197" s="135"/>
      <c r="U3197" s="135"/>
    </row>
    <row r="3198" spans="20:21" ht="15" customHeight="1" x14ac:dyDescent="0.25">
      <c r="T3198" s="135"/>
      <c r="U3198" s="135"/>
    </row>
    <row r="3199" spans="20:21" ht="15" customHeight="1" x14ac:dyDescent="0.25">
      <c r="T3199" s="135"/>
      <c r="U3199" s="135"/>
    </row>
    <row r="3200" spans="20:21" ht="15" customHeight="1" x14ac:dyDescent="0.25">
      <c r="T3200" s="135"/>
      <c r="U3200" s="135"/>
    </row>
    <row r="3201" spans="20:21" ht="15" customHeight="1" x14ac:dyDescent="0.25">
      <c r="T3201" s="135"/>
      <c r="U3201" s="135"/>
    </row>
    <row r="3202" spans="20:21" ht="15" customHeight="1" x14ac:dyDescent="0.25">
      <c r="T3202" s="135"/>
      <c r="U3202" s="135"/>
    </row>
    <row r="3203" spans="20:21" ht="15" customHeight="1" x14ac:dyDescent="0.25">
      <c r="T3203" s="135"/>
      <c r="U3203" s="135"/>
    </row>
    <row r="3204" spans="20:21" ht="15" customHeight="1" x14ac:dyDescent="0.25">
      <c r="T3204" s="135"/>
      <c r="U3204" s="135"/>
    </row>
    <row r="3205" spans="20:21" ht="15" customHeight="1" x14ac:dyDescent="0.25">
      <c r="T3205" s="135"/>
      <c r="U3205" s="135"/>
    </row>
    <row r="3206" spans="20:21" ht="15" customHeight="1" x14ac:dyDescent="0.25">
      <c r="T3206" s="135"/>
      <c r="U3206" s="135"/>
    </row>
    <row r="3207" spans="20:21" ht="15" customHeight="1" x14ac:dyDescent="0.25">
      <c r="T3207" s="135"/>
      <c r="U3207" s="135"/>
    </row>
    <row r="3208" spans="20:21" ht="15" customHeight="1" x14ac:dyDescent="0.25">
      <c r="T3208" s="135"/>
      <c r="U3208" s="135"/>
    </row>
    <row r="3209" spans="20:21" ht="15" customHeight="1" x14ac:dyDescent="0.25">
      <c r="T3209" s="135"/>
      <c r="U3209" s="135"/>
    </row>
    <row r="3210" spans="20:21" ht="15" customHeight="1" x14ac:dyDescent="0.25">
      <c r="T3210" s="135"/>
      <c r="U3210" s="135"/>
    </row>
    <row r="3211" spans="20:21" ht="15" customHeight="1" x14ac:dyDescent="0.25">
      <c r="T3211" s="135"/>
      <c r="U3211" s="135"/>
    </row>
    <row r="3212" spans="20:21" ht="15" customHeight="1" x14ac:dyDescent="0.25">
      <c r="T3212" s="135"/>
      <c r="U3212" s="135"/>
    </row>
    <row r="3213" spans="20:21" ht="15" customHeight="1" x14ac:dyDescent="0.25">
      <c r="T3213" s="135"/>
      <c r="U3213" s="135"/>
    </row>
    <row r="3214" spans="20:21" ht="15" customHeight="1" x14ac:dyDescent="0.25">
      <c r="T3214" s="135"/>
      <c r="U3214" s="135"/>
    </row>
    <row r="3215" spans="20:21" ht="15" customHeight="1" x14ac:dyDescent="0.25">
      <c r="T3215" s="135"/>
      <c r="U3215" s="135"/>
    </row>
    <row r="3216" spans="20:21" ht="15" customHeight="1" x14ac:dyDescent="0.25">
      <c r="T3216" s="135"/>
      <c r="U3216" s="135"/>
    </row>
    <row r="3217" spans="20:21" ht="15" customHeight="1" x14ac:dyDescent="0.25">
      <c r="T3217" s="135"/>
      <c r="U3217" s="135"/>
    </row>
    <row r="3218" spans="20:21" ht="15" customHeight="1" x14ac:dyDescent="0.25">
      <c r="T3218" s="135"/>
      <c r="U3218" s="135"/>
    </row>
    <row r="3219" spans="20:21" ht="15" customHeight="1" x14ac:dyDescent="0.25">
      <c r="T3219" s="135"/>
      <c r="U3219" s="135"/>
    </row>
    <row r="3220" spans="20:21" ht="15" customHeight="1" x14ac:dyDescent="0.25">
      <c r="T3220" s="135"/>
      <c r="U3220" s="135"/>
    </row>
    <row r="3221" spans="20:21" ht="15" customHeight="1" x14ac:dyDescent="0.25">
      <c r="T3221" s="135"/>
      <c r="U3221" s="135"/>
    </row>
    <row r="3222" spans="20:21" ht="15" customHeight="1" x14ac:dyDescent="0.25">
      <c r="T3222" s="135"/>
      <c r="U3222" s="135"/>
    </row>
    <row r="3223" spans="20:21" ht="15" customHeight="1" x14ac:dyDescent="0.25">
      <c r="T3223" s="135"/>
      <c r="U3223" s="135"/>
    </row>
    <row r="3224" spans="20:21" ht="15" customHeight="1" x14ac:dyDescent="0.25">
      <c r="T3224" s="135"/>
      <c r="U3224" s="135"/>
    </row>
    <row r="3225" spans="20:21" ht="15" customHeight="1" x14ac:dyDescent="0.25">
      <c r="T3225" s="135"/>
      <c r="U3225" s="135"/>
    </row>
    <row r="3226" spans="20:21" ht="15" customHeight="1" x14ac:dyDescent="0.25">
      <c r="T3226" s="135"/>
      <c r="U3226" s="135"/>
    </row>
    <row r="3227" spans="20:21" ht="15" customHeight="1" x14ac:dyDescent="0.25">
      <c r="T3227" s="135"/>
      <c r="U3227" s="135"/>
    </row>
    <row r="3228" spans="20:21" ht="15" customHeight="1" x14ac:dyDescent="0.25">
      <c r="T3228" s="135"/>
      <c r="U3228" s="135"/>
    </row>
    <row r="3229" spans="20:21" ht="15" customHeight="1" x14ac:dyDescent="0.25">
      <c r="T3229" s="135"/>
      <c r="U3229" s="135"/>
    </row>
    <row r="3230" spans="20:21" ht="15" customHeight="1" x14ac:dyDescent="0.25">
      <c r="T3230" s="135"/>
      <c r="U3230" s="135"/>
    </row>
    <row r="3231" spans="20:21" ht="15" customHeight="1" x14ac:dyDescent="0.25">
      <c r="T3231" s="135"/>
      <c r="U3231" s="135"/>
    </row>
    <row r="3232" spans="20:21" ht="15" customHeight="1" x14ac:dyDescent="0.25">
      <c r="T3232" s="135"/>
      <c r="U3232" s="135"/>
    </row>
    <row r="3233" spans="20:21" ht="15" customHeight="1" x14ac:dyDescent="0.25">
      <c r="T3233" s="135"/>
      <c r="U3233" s="135"/>
    </row>
    <row r="3234" spans="20:21" ht="15" customHeight="1" x14ac:dyDescent="0.25">
      <c r="T3234" s="135"/>
      <c r="U3234" s="135"/>
    </row>
    <row r="3235" spans="20:21" ht="15" customHeight="1" x14ac:dyDescent="0.25">
      <c r="T3235" s="135"/>
      <c r="U3235" s="135"/>
    </row>
    <row r="3236" spans="20:21" ht="15" customHeight="1" x14ac:dyDescent="0.25">
      <c r="T3236" s="135"/>
      <c r="U3236" s="135"/>
    </row>
    <row r="3237" spans="20:21" ht="15" customHeight="1" x14ac:dyDescent="0.25">
      <c r="T3237" s="135"/>
      <c r="U3237" s="135"/>
    </row>
    <row r="3238" spans="20:21" ht="15" customHeight="1" x14ac:dyDescent="0.25">
      <c r="T3238" s="135"/>
      <c r="U3238" s="135"/>
    </row>
    <row r="3239" spans="20:21" ht="15" customHeight="1" x14ac:dyDescent="0.25">
      <c r="T3239" s="135"/>
      <c r="U3239" s="135"/>
    </row>
    <row r="3240" spans="20:21" ht="15" customHeight="1" x14ac:dyDescent="0.25">
      <c r="T3240" s="135"/>
      <c r="U3240" s="135"/>
    </row>
    <row r="3241" spans="20:21" ht="15" customHeight="1" x14ac:dyDescent="0.25">
      <c r="T3241" s="135"/>
      <c r="U3241" s="135"/>
    </row>
    <row r="3242" spans="20:21" ht="15" customHeight="1" x14ac:dyDescent="0.25">
      <c r="T3242" s="135"/>
      <c r="U3242" s="135"/>
    </row>
    <row r="3243" spans="20:21" ht="15" customHeight="1" x14ac:dyDescent="0.25">
      <c r="T3243" s="135"/>
      <c r="U3243" s="135"/>
    </row>
    <row r="3244" spans="20:21" ht="15" customHeight="1" x14ac:dyDescent="0.25">
      <c r="T3244" s="135"/>
      <c r="U3244" s="135"/>
    </row>
    <row r="3245" spans="20:21" ht="15" customHeight="1" x14ac:dyDescent="0.25">
      <c r="T3245" s="135"/>
      <c r="U3245" s="135"/>
    </row>
    <row r="3246" spans="20:21" ht="15" customHeight="1" x14ac:dyDescent="0.25">
      <c r="T3246" s="135"/>
      <c r="U3246" s="135"/>
    </row>
    <row r="3247" spans="20:21" ht="15" customHeight="1" x14ac:dyDescent="0.25">
      <c r="T3247" s="135"/>
      <c r="U3247" s="135"/>
    </row>
    <row r="3248" spans="20:21" ht="15" customHeight="1" x14ac:dyDescent="0.25">
      <c r="T3248" s="135"/>
      <c r="U3248" s="135"/>
    </row>
    <row r="3249" spans="20:21" ht="15" customHeight="1" x14ac:dyDescent="0.25">
      <c r="T3249" s="135"/>
      <c r="U3249" s="135"/>
    </row>
    <row r="3250" spans="20:21" ht="15" customHeight="1" x14ac:dyDescent="0.25">
      <c r="T3250" s="135"/>
      <c r="U3250" s="135"/>
    </row>
    <row r="3251" spans="20:21" ht="15" customHeight="1" x14ac:dyDescent="0.25">
      <c r="T3251" s="135"/>
      <c r="U3251" s="135"/>
    </row>
    <row r="3252" spans="20:21" ht="15" customHeight="1" x14ac:dyDescent="0.25">
      <c r="T3252" s="135"/>
      <c r="U3252" s="135"/>
    </row>
    <row r="3253" spans="20:21" ht="15" customHeight="1" x14ac:dyDescent="0.25">
      <c r="T3253" s="135"/>
      <c r="U3253" s="135"/>
    </row>
    <row r="3254" spans="20:21" ht="15" customHeight="1" x14ac:dyDescent="0.25">
      <c r="T3254" s="135"/>
      <c r="U3254" s="135"/>
    </row>
    <row r="3255" spans="20:21" ht="15" customHeight="1" x14ac:dyDescent="0.25">
      <c r="T3255" s="135"/>
      <c r="U3255" s="135"/>
    </row>
    <row r="3256" spans="20:21" ht="15" customHeight="1" x14ac:dyDescent="0.25">
      <c r="T3256" s="135"/>
      <c r="U3256" s="135"/>
    </row>
    <row r="3257" spans="20:21" ht="15" customHeight="1" x14ac:dyDescent="0.25">
      <c r="T3257" s="135"/>
      <c r="U3257" s="135"/>
    </row>
    <row r="3258" spans="20:21" ht="15" customHeight="1" x14ac:dyDescent="0.25">
      <c r="T3258" s="135"/>
      <c r="U3258" s="135"/>
    </row>
    <row r="3259" spans="20:21" ht="15" customHeight="1" x14ac:dyDescent="0.25">
      <c r="T3259" s="135"/>
      <c r="U3259" s="135"/>
    </row>
    <row r="3260" spans="20:21" ht="15" customHeight="1" x14ac:dyDescent="0.25">
      <c r="T3260" s="135"/>
      <c r="U3260" s="135"/>
    </row>
    <row r="3261" spans="20:21" ht="15" customHeight="1" x14ac:dyDescent="0.25">
      <c r="T3261" s="135"/>
      <c r="U3261" s="135"/>
    </row>
    <row r="3262" spans="20:21" ht="15" customHeight="1" x14ac:dyDescent="0.25">
      <c r="T3262" s="135"/>
      <c r="U3262" s="135"/>
    </row>
    <row r="3263" spans="20:21" ht="15" customHeight="1" x14ac:dyDescent="0.25">
      <c r="T3263" s="135"/>
      <c r="U3263" s="135"/>
    </row>
    <row r="3264" spans="20:21" ht="15" customHeight="1" x14ac:dyDescent="0.25">
      <c r="T3264" s="135"/>
      <c r="U3264" s="135"/>
    </row>
    <row r="3265" spans="20:21" ht="15" customHeight="1" x14ac:dyDescent="0.25">
      <c r="T3265" s="135"/>
      <c r="U3265" s="135"/>
    </row>
    <row r="3266" spans="20:21" ht="15" customHeight="1" x14ac:dyDescent="0.25">
      <c r="T3266" s="135"/>
      <c r="U3266" s="135"/>
    </row>
    <row r="3267" spans="20:21" ht="15" customHeight="1" x14ac:dyDescent="0.25">
      <c r="T3267" s="135"/>
      <c r="U3267" s="135"/>
    </row>
    <row r="3268" spans="20:21" ht="15" customHeight="1" x14ac:dyDescent="0.25">
      <c r="T3268" s="135"/>
      <c r="U3268" s="135"/>
    </row>
    <row r="3269" spans="20:21" ht="15" customHeight="1" x14ac:dyDescent="0.25">
      <c r="T3269" s="135"/>
      <c r="U3269" s="135"/>
    </row>
    <row r="3270" spans="20:21" ht="15" customHeight="1" x14ac:dyDescent="0.25">
      <c r="T3270" s="135"/>
      <c r="U3270" s="135"/>
    </row>
    <row r="3271" spans="20:21" ht="15" customHeight="1" x14ac:dyDescent="0.25">
      <c r="T3271" s="135"/>
      <c r="U3271" s="135"/>
    </row>
    <row r="3272" spans="20:21" ht="15" customHeight="1" x14ac:dyDescent="0.25">
      <c r="T3272" s="135"/>
      <c r="U3272" s="135"/>
    </row>
    <row r="3273" spans="20:21" ht="15" customHeight="1" x14ac:dyDescent="0.25">
      <c r="T3273" s="135"/>
      <c r="U3273" s="135"/>
    </row>
    <row r="3274" spans="20:21" ht="15" customHeight="1" x14ac:dyDescent="0.25">
      <c r="T3274" s="135"/>
      <c r="U3274" s="135"/>
    </row>
    <row r="3275" spans="20:21" ht="15" customHeight="1" x14ac:dyDescent="0.25">
      <c r="T3275" s="135"/>
      <c r="U3275" s="135"/>
    </row>
    <row r="3276" spans="20:21" ht="15" customHeight="1" x14ac:dyDescent="0.25">
      <c r="T3276" s="135"/>
      <c r="U3276" s="135"/>
    </row>
    <row r="3277" spans="20:21" ht="15" customHeight="1" x14ac:dyDescent="0.25">
      <c r="T3277" s="135"/>
      <c r="U3277" s="135"/>
    </row>
    <row r="3278" spans="20:21" ht="15" customHeight="1" x14ac:dyDescent="0.25">
      <c r="T3278" s="135"/>
      <c r="U3278" s="135"/>
    </row>
    <row r="3279" spans="20:21" ht="15" customHeight="1" x14ac:dyDescent="0.25">
      <c r="T3279" s="135"/>
      <c r="U3279" s="135"/>
    </row>
    <row r="3280" spans="20:21" ht="15" customHeight="1" x14ac:dyDescent="0.25">
      <c r="T3280" s="135"/>
      <c r="U3280" s="135"/>
    </row>
    <row r="3281" spans="20:21" ht="15" customHeight="1" x14ac:dyDescent="0.25">
      <c r="T3281" s="135"/>
      <c r="U3281" s="135"/>
    </row>
    <row r="3282" spans="20:21" ht="15" customHeight="1" x14ac:dyDescent="0.25">
      <c r="T3282" s="135"/>
      <c r="U3282" s="135"/>
    </row>
    <row r="3283" spans="20:21" ht="15" customHeight="1" x14ac:dyDescent="0.25">
      <c r="T3283" s="135"/>
      <c r="U3283" s="135"/>
    </row>
    <row r="3284" spans="20:21" ht="15" customHeight="1" x14ac:dyDescent="0.25">
      <c r="T3284" s="135"/>
      <c r="U3284" s="135"/>
    </row>
    <row r="3285" spans="20:21" ht="15" customHeight="1" x14ac:dyDescent="0.25">
      <c r="T3285" s="135"/>
      <c r="U3285" s="135"/>
    </row>
    <row r="3286" spans="20:21" ht="15" customHeight="1" x14ac:dyDescent="0.25">
      <c r="T3286" s="135"/>
      <c r="U3286" s="135"/>
    </row>
    <row r="3287" spans="20:21" ht="15" customHeight="1" x14ac:dyDescent="0.25">
      <c r="T3287" s="135"/>
      <c r="U3287" s="135"/>
    </row>
    <row r="3288" spans="20:21" ht="15" customHeight="1" x14ac:dyDescent="0.25">
      <c r="T3288" s="135"/>
      <c r="U3288" s="135"/>
    </row>
    <row r="3289" spans="20:21" ht="15" customHeight="1" x14ac:dyDescent="0.25">
      <c r="T3289" s="135"/>
      <c r="U3289" s="135"/>
    </row>
    <row r="3290" spans="20:21" ht="15" customHeight="1" x14ac:dyDescent="0.25">
      <c r="T3290" s="135"/>
      <c r="U3290" s="135"/>
    </row>
    <row r="3291" spans="20:21" ht="15" customHeight="1" x14ac:dyDescent="0.25">
      <c r="T3291" s="135"/>
      <c r="U3291" s="135"/>
    </row>
    <row r="3292" spans="20:21" ht="15" customHeight="1" x14ac:dyDescent="0.25">
      <c r="T3292" s="135"/>
      <c r="U3292" s="135"/>
    </row>
    <row r="3293" spans="20:21" ht="15" customHeight="1" x14ac:dyDescent="0.25">
      <c r="T3293" s="135"/>
      <c r="U3293" s="135"/>
    </row>
    <row r="3294" spans="20:21" ht="15" customHeight="1" x14ac:dyDescent="0.25">
      <c r="T3294" s="135"/>
      <c r="U3294" s="135"/>
    </row>
    <row r="3295" spans="20:21" ht="15" customHeight="1" x14ac:dyDescent="0.25">
      <c r="T3295" s="135"/>
      <c r="U3295" s="135"/>
    </row>
    <row r="3296" spans="20:21" ht="15" customHeight="1" x14ac:dyDescent="0.25">
      <c r="T3296" s="135"/>
      <c r="U3296" s="135"/>
    </row>
    <row r="3297" spans="20:21" ht="15" customHeight="1" x14ac:dyDescent="0.25">
      <c r="T3297" s="135"/>
      <c r="U3297" s="135"/>
    </row>
    <row r="3298" spans="20:21" ht="15" customHeight="1" x14ac:dyDescent="0.25">
      <c r="T3298" s="135"/>
      <c r="U3298" s="135"/>
    </row>
    <row r="3299" spans="20:21" ht="15" customHeight="1" x14ac:dyDescent="0.25">
      <c r="T3299" s="135"/>
      <c r="U3299" s="135"/>
    </row>
    <row r="3300" spans="20:21" ht="15" customHeight="1" x14ac:dyDescent="0.25">
      <c r="T3300" s="135"/>
      <c r="U3300" s="135"/>
    </row>
    <row r="3301" spans="20:21" ht="15" customHeight="1" x14ac:dyDescent="0.25">
      <c r="T3301" s="135"/>
      <c r="U3301" s="135"/>
    </row>
    <row r="3302" spans="20:21" ht="15" customHeight="1" x14ac:dyDescent="0.25">
      <c r="T3302" s="135"/>
      <c r="U3302" s="135"/>
    </row>
    <row r="3303" spans="20:21" ht="15" customHeight="1" x14ac:dyDescent="0.25">
      <c r="T3303" s="135"/>
      <c r="U3303" s="135"/>
    </row>
    <row r="3304" spans="20:21" ht="15" customHeight="1" x14ac:dyDescent="0.25">
      <c r="T3304" s="135"/>
      <c r="U3304" s="135"/>
    </row>
    <row r="3305" spans="20:21" ht="15" customHeight="1" x14ac:dyDescent="0.25">
      <c r="T3305" s="135"/>
      <c r="U3305" s="135"/>
    </row>
    <row r="3306" spans="20:21" ht="15" customHeight="1" x14ac:dyDescent="0.25">
      <c r="T3306" s="135"/>
      <c r="U3306" s="135"/>
    </row>
    <row r="3307" spans="20:21" ht="15" customHeight="1" x14ac:dyDescent="0.25">
      <c r="T3307" s="135"/>
      <c r="U3307" s="135"/>
    </row>
    <row r="3308" spans="20:21" ht="15" customHeight="1" x14ac:dyDescent="0.25">
      <c r="T3308" s="135"/>
      <c r="U3308" s="135"/>
    </row>
    <row r="3309" spans="20:21" ht="15" customHeight="1" x14ac:dyDescent="0.25">
      <c r="T3309" s="135"/>
      <c r="U3309" s="135"/>
    </row>
    <row r="3310" spans="20:21" ht="15" customHeight="1" x14ac:dyDescent="0.25">
      <c r="T3310" s="135"/>
      <c r="U3310" s="135"/>
    </row>
    <row r="3311" spans="20:21" ht="15" customHeight="1" x14ac:dyDescent="0.25">
      <c r="T3311" s="135"/>
      <c r="U3311" s="135"/>
    </row>
    <row r="3312" spans="20:21" ht="15" customHeight="1" x14ac:dyDescent="0.25">
      <c r="T3312" s="135"/>
      <c r="U3312" s="135"/>
    </row>
    <row r="3313" spans="20:21" ht="15" customHeight="1" x14ac:dyDescent="0.25">
      <c r="T3313" s="135"/>
      <c r="U3313" s="135"/>
    </row>
    <row r="3314" spans="20:21" ht="15" customHeight="1" x14ac:dyDescent="0.25">
      <c r="T3314" s="135"/>
      <c r="U3314" s="135"/>
    </row>
    <row r="3315" spans="20:21" ht="15" customHeight="1" x14ac:dyDescent="0.25">
      <c r="T3315" s="135"/>
      <c r="U3315" s="135"/>
    </row>
    <row r="3316" spans="20:21" ht="15" customHeight="1" x14ac:dyDescent="0.25">
      <c r="T3316" s="135"/>
      <c r="U3316" s="135"/>
    </row>
    <row r="3317" spans="20:21" ht="15" customHeight="1" x14ac:dyDescent="0.25">
      <c r="T3317" s="135"/>
      <c r="U3317" s="135"/>
    </row>
    <row r="3318" spans="20:21" ht="15" customHeight="1" x14ac:dyDescent="0.25">
      <c r="T3318" s="135"/>
      <c r="U3318" s="135"/>
    </row>
    <row r="3319" spans="20:21" ht="15" customHeight="1" x14ac:dyDescent="0.25">
      <c r="T3319" s="135"/>
      <c r="U3319" s="135"/>
    </row>
    <row r="3320" spans="20:21" ht="15" customHeight="1" x14ac:dyDescent="0.25">
      <c r="T3320" s="135"/>
      <c r="U3320" s="135"/>
    </row>
    <row r="3321" spans="20:21" ht="15" customHeight="1" x14ac:dyDescent="0.25">
      <c r="T3321" s="135"/>
      <c r="U3321" s="135"/>
    </row>
    <row r="3322" spans="20:21" ht="15" customHeight="1" x14ac:dyDescent="0.25">
      <c r="T3322" s="135"/>
      <c r="U3322" s="135"/>
    </row>
    <row r="3323" spans="20:21" ht="15" customHeight="1" x14ac:dyDescent="0.25">
      <c r="T3323" s="135"/>
      <c r="U3323" s="135"/>
    </row>
    <row r="3324" spans="20:21" ht="15" customHeight="1" x14ac:dyDescent="0.25">
      <c r="T3324" s="135"/>
      <c r="U3324" s="135"/>
    </row>
    <row r="3325" spans="20:21" ht="15" customHeight="1" x14ac:dyDescent="0.25">
      <c r="T3325" s="135"/>
      <c r="U3325" s="135"/>
    </row>
    <row r="3326" spans="20:21" ht="15" customHeight="1" x14ac:dyDescent="0.25">
      <c r="T3326" s="135"/>
      <c r="U3326" s="135"/>
    </row>
    <row r="3327" spans="20:21" ht="15" customHeight="1" x14ac:dyDescent="0.25">
      <c r="T3327" s="135"/>
      <c r="U3327" s="135"/>
    </row>
    <row r="3328" spans="20:21" ht="15" customHeight="1" x14ac:dyDescent="0.25">
      <c r="T3328" s="135"/>
      <c r="U3328" s="135"/>
    </row>
    <row r="3329" spans="20:21" ht="15" customHeight="1" x14ac:dyDescent="0.25">
      <c r="T3329" s="135"/>
      <c r="U3329" s="135"/>
    </row>
    <row r="3330" spans="20:21" ht="15" customHeight="1" x14ac:dyDescent="0.25">
      <c r="T3330" s="135"/>
      <c r="U3330" s="135"/>
    </row>
    <row r="3331" spans="20:21" ht="15" customHeight="1" x14ac:dyDescent="0.25">
      <c r="T3331" s="135"/>
      <c r="U3331" s="135"/>
    </row>
    <row r="3332" spans="20:21" ht="15" customHeight="1" x14ac:dyDescent="0.25">
      <c r="T3332" s="135"/>
      <c r="U3332" s="135"/>
    </row>
    <row r="3333" spans="20:21" ht="15" customHeight="1" x14ac:dyDescent="0.25">
      <c r="T3333" s="135"/>
      <c r="U3333" s="135"/>
    </row>
    <row r="3334" spans="20:21" ht="15" customHeight="1" x14ac:dyDescent="0.25">
      <c r="T3334" s="135"/>
      <c r="U3334" s="135"/>
    </row>
    <row r="3335" spans="20:21" ht="15" customHeight="1" x14ac:dyDescent="0.25">
      <c r="T3335" s="135"/>
      <c r="U3335" s="135"/>
    </row>
    <row r="3336" spans="20:21" ht="15" customHeight="1" x14ac:dyDescent="0.25">
      <c r="T3336" s="135"/>
      <c r="U3336" s="135"/>
    </row>
    <row r="3337" spans="20:21" ht="15" customHeight="1" x14ac:dyDescent="0.25">
      <c r="T3337" s="135"/>
      <c r="U3337" s="135"/>
    </row>
    <row r="3338" spans="20:21" ht="15" customHeight="1" x14ac:dyDescent="0.25">
      <c r="T3338" s="135"/>
      <c r="U3338" s="135"/>
    </row>
    <row r="3339" spans="20:21" ht="15" customHeight="1" x14ac:dyDescent="0.25">
      <c r="T3339" s="135"/>
      <c r="U3339" s="135"/>
    </row>
    <row r="3340" spans="20:21" ht="15" customHeight="1" x14ac:dyDescent="0.25">
      <c r="T3340" s="135"/>
      <c r="U3340" s="135"/>
    </row>
    <row r="3341" spans="20:21" ht="15" customHeight="1" x14ac:dyDescent="0.25">
      <c r="T3341" s="135"/>
      <c r="U3341" s="135"/>
    </row>
    <row r="3342" spans="20:21" ht="15" customHeight="1" x14ac:dyDescent="0.25">
      <c r="T3342" s="135"/>
      <c r="U3342" s="135"/>
    </row>
    <row r="3343" spans="20:21" ht="15" customHeight="1" x14ac:dyDescent="0.25">
      <c r="T3343" s="135"/>
      <c r="U3343" s="135"/>
    </row>
    <row r="3344" spans="20:21" ht="15" customHeight="1" x14ac:dyDescent="0.25">
      <c r="T3344" s="135"/>
      <c r="U3344" s="135"/>
    </row>
    <row r="3345" spans="20:21" ht="15" customHeight="1" x14ac:dyDescent="0.25">
      <c r="T3345" s="135"/>
      <c r="U3345" s="135"/>
    </row>
    <row r="3346" spans="20:21" ht="15" customHeight="1" x14ac:dyDescent="0.25">
      <c r="T3346" s="135"/>
      <c r="U3346" s="135"/>
    </row>
    <row r="3347" spans="20:21" ht="15" customHeight="1" x14ac:dyDescent="0.25">
      <c r="T3347" s="135"/>
      <c r="U3347" s="135"/>
    </row>
    <row r="3348" spans="20:21" ht="15" customHeight="1" x14ac:dyDescent="0.25">
      <c r="T3348" s="135"/>
      <c r="U3348" s="135"/>
    </row>
    <row r="3349" spans="20:21" ht="15" customHeight="1" x14ac:dyDescent="0.25">
      <c r="T3349" s="135"/>
      <c r="U3349" s="135"/>
    </row>
    <row r="3350" spans="20:21" ht="15" customHeight="1" x14ac:dyDescent="0.25">
      <c r="T3350" s="135"/>
      <c r="U3350" s="135"/>
    </row>
    <row r="3351" spans="20:21" ht="15" customHeight="1" x14ac:dyDescent="0.25">
      <c r="T3351" s="135"/>
      <c r="U3351" s="135"/>
    </row>
    <row r="3352" spans="20:21" ht="15" customHeight="1" x14ac:dyDescent="0.25">
      <c r="T3352" s="135"/>
      <c r="U3352" s="135"/>
    </row>
    <row r="3353" spans="20:21" ht="15" customHeight="1" x14ac:dyDescent="0.25">
      <c r="T3353" s="135"/>
      <c r="U3353" s="135"/>
    </row>
    <row r="3354" spans="20:21" ht="15" customHeight="1" x14ac:dyDescent="0.25">
      <c r="T3354" s="135"/>
      <c r="U3354" s="135"/>
    </row>
    <row r="3355" spans="20:21" ht="15" customHeight="1" x14ac:dyDescent="0.25">
      <c r="T3355" s="135"/>
      <c r="U3355" s="135"/>
    </row>
    <row r="3356" spans="20:21" ht="15" customHeight="1" x14ac:dyDescent="0.25">
      <c r="T3356" s="135"/>
      <c r="U3356" s="135"/>
    </row>
    <row r="3357" spans="20:21" ht="15" customHeight="1" x14ac:dyDescent="0.25">
      <c r="T3357" s="135"/>
      <c r="U3357" s="135"/>
    </row>
    <row r="3358" spans="20:21" ht="15" customHeight="1" x14ac:dyDescent="0.25">
      <c r="T3358" s="135"/>
      <c r="U3358" s="135"/>
    </row>
    <row r="3359" spans="20:21" ht="15" customHeight="1" x14ac:dyDescent="0.25">
      <c r="T3359" s="135"/>
      <c r="U3359" s="135"/>
    </row>
    <row r="3360" spans="20:21" ht="15" customHeight="1" x14ac:dyDescent="0.25">
      <c r="T3360" s="135"/>
      <c r="U3360" s="135"/>
    </row>
    <row r="3361" spans="20:21" ht="15" customHeight="1" x14ac:dyDescent="0.25">
      <c r="T3361" s="135"/>
      <c r="U3361" s="135"/>
    </row>
    <row r="3362" spans="20:21" ht="15" customHeight="1" x14ac:dyDescent="0.25">
      <c r="T3362" s="135"/>
      <c r="U3362" s="135"/>
    </row>
    <row r="3363" spans="20:21" ht="15" customHeight="1" x14ac:dyDescent="0.25">
      <c r="T3363" s="135"/>
      <c r="U3363" s="135"/>
    </row>
    <row r="3364" spans="20:21" ht="15" customHeight="1" x14ac:dyDescent="0.25">
      <c r="T3364" s="135"/>
      <c r="U3364" s="135"/>
    </row>
    <row r="3365" spans="20:21" ht="15" customHeight="1" x14ac:dyDescent="0.25">
      <c r="T3365" s="135"/>
      <c r="U3365" s="135"/>
    </row>
    <row r="3366" spans="20:21" ht="15" customHeight="1" x14ac:dyDescent="0.25">
      <c r="T3366" s="135"/>
      <c r="U3366" s="135"/>
    </row>
    <row r="3367" spans="20:21" ht="15" customHeight="1" x14ac:dyDescent="0.25">
      <c r="T3367" s="135"/>
      <c r="U3367" s="135"/>
    </row>
    <row r="3368" spans="20:21" ht="15" customHeight="1" x14ac:dyDescent="0.25">
      <c r="T3368" s="135"/>
      <c r="U3368" s="135"/>
    </row>
    <row r="3369" spans="20:21" ht="15" customHeight="1" x14ac:dyDescent="0.25">
      <c r="T3369" s="135"/>
      <c r="U3369" s="135"/>
    </row>
    <row r="3370" spans="20:21" ht="15" customHeight="1" x14ac:dyDescent="0.25">
      <c r="T3370" s="135"/>
      <c r="U3370" s="135"/>
    </row>
    <row r="3371" spans="20:21" ht="15" customHeight="1" x14ac:dyDescent="0.25">
      <c r="T3371" s="135"/>
      <c r="U3371" s="135"/>
    </row>
    <row r="3372" spans="20:21" ht="15" customHeight="1" x14ac:dyDescent="0.25">
      <c r="T3372" s="135"/>
      <c r="U3372" s="135"/>
    </row>
    <row r="3373" spans="20:21" ht="15" customHeight="1" x14ac:dyDescent="0.25">
      <c r="T3373" s="135"/>
      <c r="U3373" s="135"/>
    </row>
    <row r="3374" spans="20:21" ht="15" customHeight="1" x14ac:dyDescent="0.25">
      <c r="T3374" s="135"/>
      <c r="U3374" s="135"/>
    </row>
    <row r="3375" spans="20:21" ht="15" customHeight="1" x14ac:dyDescent="0.25">
      <c r="T3375" s="135"/>
      <c r="U3375" s="135"/>
    </row>
    <row r="3376" spans="20:21" ht="15" customHeight="1" x14ac:dyDescent="0.25">
      <c r="T3376" s="135"/>
      <c r="U3376" s="135"/>
    </row>
    <row r="3377" spans="20:21" ht="15" customHeight="1" x14ac:dyDescent="0.25">
      <c r="T3377" s="135"/>
      <c r="U3377" s="135"/>
    </row>
    <row r="3378" spans="20:21" ht="15" customHeight="1" x14ac:dyDescent="0.25">
      <c r="T3378" s="135"/>
      <c r="U3378" s="135"/>
    </row>
    <row r="3379" spans="20:21" ht="15" customHeight="1" x14ac:dyDescent="0.25">
      <c r="T3379" s="135"/>
      <c r="U3379" s="135"/>
    </row>
    <row r="3380" spans="20:21" ht="15" customHeight="1" x14ac:dyDescent="0.25">
      <c r="T3380" s="135"/>
      <c r="U3380" s="135"/>
    </row>
    <row r="3381" spans="20:21" ht="15" customHeight="1" x14ac:dyDescent="0.25">
      <c r="T3381" s="135"/>
      <c r="U3381" s="135"/>
    </row>
    <row r="3382" spans="20:21" ht="15" customHeight="1" x14ac:dyDescent="0.25">
      <c r="T3382" s="135"/>
      <c r="U3382" s="135"/>
    </row>
    <row r="3383" spans="20:21" ht="15" customHeight="1" x14ac:dyDescent="0.25">
      <c r="T3383" s="135"/>
      <c r="U3383" s="135"/>
    </row>
    <row r="3384" spans="20:21" ht="15" customHeight="1" x14ac:dyDescent="0.25">
      <c r="T3384" s="135"/>
      <c r="U3384" s="135"/>
    </row>
    <row r="3385" spans="20:21" ht="15" customHeight="1" x14ac:dyDescent="0.25">
      <c r="T3385" s="135"/>
      <c r="U3385" s="135"/>
    </row>
    <row r="3386" spans="20:21" ht="15" customHeight="1" x14ac:dyDescent="0.25">
      <c r="T3386" s="135"/>
      <c r="U3386" s="135"/>
    </row>
    <row r="3387" spans="20:21" ht="15" customHeight="1" x14ac:dyDescent="0.25">
      <c r="T3387" s="135"/>
      <c r="U3387" s="135"/>
    </row>
    <row r="3388" spans="20:21" ht="15" customHeight="1" x14ac:dyDescent="0.25">
      <c r="T3388" s="135"/>
      <c r="U3388" s="135"/>
    </row>
    <row r="3389" spans="20:21" ht="15" customHeight="1" x14ac:dyDescent="0.25">
      <c r="T3389" s="135"/>
      <c r="U3389" s="135"/>
    </row>
    <row r="3390" spans="20:21" ht="15" customHeight="1" x14ac:dyDescent="0.25">
      <c r="T3390" s="135"/>
      <c r="U3390" s="135"/>
    </row>
    <row r="3391" spans="20:21" ht="15" customHeight="1" x14ac:dyDescent="0.25">
      <c r="T3391" s="135"/>
      <c r="U3391" s="135"/>
    </row>
    <row r="3392" spans="20:21" ht="15" customHeight="1" x14ac:dyDescent="0.25">
      <c r="T3392" s="135"/>
      <c r="U3392" s="135"/>
    </row>
    <row r="3393" spans="20:21" ht="15" customHeight="1" x14ac:dyDescent="0.25">
      <c r="T3393" s="135"/>
      <c r="U3393" s="135"/>
    </row>
    <row r="3394" spans="20:21" ht="15" customHeight="1" x14ac:dyDescent="0.25">
      <c r="T3394" s="135"/>
      <c r="U3394" s="135"/>
    </row>
    <row r="3395" spans="20:21" ht="15" customHeight="1" x14ac:dyDescent="0.25">
      <c r="T3395" s="135"/>
      <c r="U3395" s="135"/>
    </row>
    <row r="3396" spans="20:21" ht="15" customHeight="1" x14ac:dyDescent="0.25">
      <c r="T3396" s="135"/>
      <c r="U3396" s="135"/>
    </row>
    <row r="3397" spans="20:21" ht="15" customHeight="1" x14ac:dyDescent="0.25">
      <c r="T3397" s="135"/>
      <c r="U3397" s="135"/>
    </row>
    <row r="3398" spans="20:21" ht="15" customHeight="1" x14ac:dyDescent="0.25">
      <c r="T3398" s="135"/>
      <c r="U3398" s="135"/>
    </row>
    <row r="3399" spans="20:21" ht="15" customHeight="1" x14ac:dyDescent="0.25">
      <c r="T3399" s="135"/>
      <c r="U3399" s="135"/>
    </row>
    <row r="3400" spans="20:21" ht="15" customHeight="1" x14ac:dyDescent="0.25">
      <c r="T3400" s="135"/>
      <c r="U3400" s="135"/>
    </row>
    <row r="3401" spans="20:21" ht="15" customHeight="1" x14ac:dyDescent="0.25">
      <c r="T3401" s="135"/>
      <c r="U3401" s="135"/>
    </row>
    <row r="3402" spans="20:21" ht="15" customHeight="1" x14ac:dyDescent="0.25">
      <c r="T3402" s="135"/>
      <c r="U3402" s="135"/>
    </row>
    <row r="3403" spans="20:21" ht="15" customHeight="1" x14ac:dyDescent="0.25">
      <c r="T3403" s="135"/>
      <c r="U3403" s="135"/>
    </row>
    <row r="3404" spans="20:21" ht="15" customHeight="1" x14ac:dyDescent="0.25">
      <c r="T3404" s="135"/>
      <c r="U3404" s="135"/>
    </row>
    <row r="3405" spans="20:21" ht="15" customHeight="1" x14ac:dyDescent="0.25">
      <c r="T3405" s="135"/>
      <c r="U3405" s="135"/>
    </row>
    <row r="3406" spans="20:21" ht="15" customHeight="1" x14ac:dyDescent="0.25">
      <c r="T3406" s="135"/>
      <c r="U3406" s="135"/>
    </row>
    <row r="3407" spans="20:21" ht="15" customHeight="1" x14ac:dyDescent="0.25">
      <c r="T3407" s="135"/>
      <c r="U3407" s="135"/>
    </row>
    <row r="3408" spans="20:21" ht="15" customHeight="1" x14ac:dyDescent="0.25">
      <c r="T3408" s="135"/>
      <c r="U3408" s="135"/>
    </row>
    <row r="3409" spans="20:21" ht="15" customHeight="1" x14ac:dyDescent="0.25">
      <c r="T3409" s="135"/>
      <c r="U3409" s="135"/>
    </row>
    <row r="3410" spans="20:21" ht="15" customHeight="1" x14ac:dyDescent="0.25">
      <c r="T3410" s="135"/>
      <c r="U3410" s="135"/>
    </row>
    <row r="3411" spans="20:21" ht="15" customHeight="1" x14ac:dyDescent="0.25">
      <c r="T3411" s="135"/>
      <c r="U3411" s="135"/>
    </row>
    <row r="3412" spans="20:21" ht="15" customHeight="1" x14ac:dyDescent="0.25">
      <c r="T3412" s="135"/>
      <c r="U3412" s="135"/>
    </row>
    <row r="3413" spans="20:21" ht="15" customHeight="1" x14ac:dyDescent="0.25">
      <c r="T3413" s="135"/>
      <c r="U3413" s="135"/>
    </row>
    <row r="3414" spans="20:21" ht="15" customHeight="1" x14ac:dyDescent="0.25">
      <c r="T3414" s="135"/>
      <c r="U3414" s="135"/>
    </row>
    <row r="3415" spans="20:21" ht="15" customHeight="1" x14ac:dyDescent="0.25">
      <c r="T3415" s="135"/>
      <c r="U3415" s="135"/>
    </row>
    <row r="3416" spans="20:21" ht="15" customHeight="1" x14ac:dyDescent="0.25">
      <c r="T3416" s="135"/>
      <c r="U3416" s="135"/>
    </row>
    <row r="3417" spans="20:21" ht="15" customHeight="1" x14ac:dyDescent="0.25">
      <c r="T3417" s="135"/>
      <c r="U3417" s="135"/>
    </row>
    <row r="3418" spans="20:21" ht="15" customHeight="1" x14ac:dyDescent="0.25">
      <c r="T3418" s="135"/>
      <c r="U3418" s="135"/>
    </row>
    <row r="3419" spans="20:21" ht="15" customHeight="1" x14ac:dyDescent="0.25">
      <c r="T3419" s="135"/>
      <c r="U3419" s="135"/>
    </row>
    <row r="3420" spans="20:21" ht="15" customHeight="1" x14ac:dyDescent="0.25">
      <c r="T3420" s="135"/>
      <c r="U3420" s="135"/>
    </row>
    <row r="3421" spans="20:21" ht="15" customHeight="1" x14ac:dyDescent="0.25">
      <c r="T3421" s="135"/>
      <c r="U3421" s="135"/>
    </row>
    <row r="3422" spans="20:21" ht="15" customHeight="1" x14ac:dyDescent="0.25">
      <c r="T3422" s="135"/>
      <c r="U3422" s="135"/>
    </row>
    <row r="3423" spans="20:21" ht="15" customHeight="1" x14ac:dyDescent="0.25">
      <c r="T3423" s="135"/>
      <c r="U3423" s="135"/>
    </row>
    <row r="3424" spans="20:21" ht="15" customHeight="1" x14ac:dyDescent="0.25">
      <c r="T3424" s="135"/>
      <c r="U3424" s="135"/>
    </row>
    <row r="3425" spans="20:21" ht="15" customHeight="1" x14ac:dyDescent="0.25">
      <c r="T3425" s="135"/>
      <c r="U3425" s="135"/>
    </row>
    <row r="3426" spans="20:21" ht="15" customHeight="1" x14ac:dyDescent="0.25">
      <c r="T3426" s="135"/>
      <c r="U3426" s="135"/>
    </row>
    <row r="3427" spans="20:21" ht="15" customHeight="1" x14ac:dyDescent="0.25">
      <c r="T3427" s="135"/>
      <c r="U3427" s="135"/>
    </row>
    <row r="3428" spans="20:21" ht="15" customHeight="1" x14ac:dyDescent="0.25">
      <c r="T3428" s="135"/>
      <c r="U3428" s="135"/>
    </row>
    <row r="3429" spans="20:21" ht="15" customHeight="1" x14ac:dyDescent="0.25">
      <c r="T3429" s="135"/>
      <c r="U3429" s="135"/>
    </row>
    <row r="3430" spans="20:21" ht="15" customHeight="1" x14ac:dyDescent="0.25">
      <c r="T3430" s="135"/>
      <c r="U3430" s="135"/>
    </row>
    <row r="3431" spans="20:21" ht="15" customHeight="1" x14ac:dyDescent="0.25">
      <c r="T3431" s="135"/>
      <c r="U3431" s="135"/>
    </row>
    <row r="3432" spans="20:21" ht="15" customHeight="1" x14ac:dyDescent="0.25">
      <c r="T3432" s="135"/>
      <c r="U3432" s="135"/>
    </row>
    <row r="3433" spans="20:21" ht="15" customHeight="1" x14ac:dyDescent="0.25">
      <c r="T3433" s="135"/>
      <c r="U3433" s="135"/>
    </row>
    <row r="3434" spans="20:21" ht="15" customHeight="1" x14ac:dyDescent="0.25">
      <c r="T3434" s="135"/>
      <c r="U3434" s="135"/>
    </row>
    <row r="3435" spans="20:21" ht="15" customHeight="1" x14ac:dyDescent="0.25">
      <c r="T3435" s="135"/>
      <c r="U3435" s="135"/>
    </row>
    <row r="3436" spans="20:21" ht="15" customHeight="1" x14ac:dyDescent="0.25">
      <c r="T3436" s="135"/>
      <c r="U3436" s="135"/>
    </row>
    <row r="3437" spans="20:21" ht="15" customHeight="1" x14ac:dyDescent="0.25">
      <c r="T3437" s="135"/>
      <c r="U3437" s="135"/>
    </row>
    <row r="3438" spans="20:21" ht="15" customHeight="1" x14ac:dyDescent="0.25">
      <c r="T3438" s="135"/>
      <c r="U3438" s="135"/>
    </row>
    <row r="3439" spans="20:21" ht="15" customHeight="1" x14ac:dyDescent="0.25">
      <c r="T3439" s="135"/>
      <c r="U3439" s="135"/>
    </row>
    <row r="3440" spans="20:21" ht="15" customHeight="1" x14ac:dyDescent="0.25">
      <c r="T3440" s="135"/>
      <c r="U3440" s="135"/>
    </row>
    <row r="3441" spans="20:21" ht="15" customHeight="1" x14ac:dyDescent="0.25">
      <c r="T3441" s="135"/>
      <c r="U3441" s="135"/>
    </row>
    <row r="3442" spans="20:21" ht="15" customHeight="1" x14ac:dyDescent="0.25">
      <c r="T3442" s="135"/>
      <c r="U3442" s="135"/>
    </row>
    <row r="3443" spans="20:21" ht="15" customHeight="1" x14ac:dyDescent="0.25">
      <c r="T3443" s="135"/>
      <c r="U3443" s="135"/>
    </row>
    <row r="3444" spans="20:21" ht="15" customHeight="1" x14ac:dyDescent="0.25">
      <c r="T3444" s="135"/>
      <c r="U3444" s="135"/>
    </row>
    <row r="3445" spans="20:21" ht="15" customHeight="1" x14ac:dyDescent="0.25">
      <c r="T3445" s="135"/>
      <c r="U3445" s="135"/>
    </row>
    <row r="3446" spans="20:21" ht="15" customHeight="1" x14ac:dyDescent="0.25">
      <c r="T3446" s="135"/>
      <c r="U3446" s="135"/>
    </row>
    <row r="3447" spans="20:21" ht="15" customHeight="1" x14ac:dyDescent="0.25">
      <c r="T3447" s="135"/>
      <c r="U3447" s="135"/>
    </row>
    <row r="3448" spans="20:21" ht="15" customHeight="1" x14ac:dyDescent="0.25">
      <c r="T3448" s="135"/>
      <c r="U3448" s="135"/>
    </row>
    <row r="3449" spans="20:21" ht="15" customHeight="1" x14ac:dyDescent="0.25">
      <c r="T3449" s="135"/>
      <c r="U3449" s="135"/>
    </row>
    <row r="3450" spans="20:21" ht="15" customHeight="1" x14ac:dyDescent="0.25">
      <c r="T3450" s="135"/>
      <c r="U3450" s="135"/>
    </row>
    <row r="3451" spans="20:21" ht="15" customHeight="1" x14ac:dyDescent="0.25">
      <c r="T3451" s="135"/>
      <c r="U3451" s="135"/>
    </row>
    <row r="3452" spans="20:21" ht="15" customHeight="1" x14ac:dyDescent="0.25">
      <c r="T3452" s="135"/>
      <c r="U3452" s="135"/>
    </row>
    <row r="3453" spans="20:21" ht="15" customHeight="1" x14ac:dyDescent="0.25">
      <c r="T3453" s="135"/>
      <c r="U3453" s="135"/>
    </row>
    <row r="3454" spans="20:21" ht="15" customHeight="1" x14ac:dyDescent="0.25">
      <c r="T3454" s="135"/>
      <c r="U3454" s="135"/>
    </row>
    <row r="3455" spans="20:21" ht="15" customHeight="1" x14ac:dyDescent="0.25">
      <c r="T3455" s="135"/>
      <c r="U3455" s="135"/>
    </row>
    <row r="3456" spans="20:21" ht="15" customHeight="1" x14ac:dyDescent="0.25">
      <c r="T3456" s="135"/>
      <c r="U3456" s="135"/>
    </row>
    <row r="3457" spans="20:21" ht="15" customHeight="1" x14ac:dyDescent="0.25">
      <c r="T3457" s="135"/>
      <c r="U3457" s="135"/>
    </row>
    <row r="3458" spans="20:21" ht="15" customHeight="1" x14ac:dyDescent="0.25">
      <c r="T3458" s="135"/>
      <c r="U3458" s="135"/>
    </row>
    <row r="3459" spans="20:21" ht="15" customHeight="1" x14ac:dyDescent="0.25">
      <c r="T3459" s="135"/>
      <c r="U3459" s="135"/>
    </row>
    <row r="3460" spans="20:21" ht="15" customHeight="1" x14ac:dyDescent="0.25">
      <c r="T3460" s="135"/>
      <c r="U3460" s="135"/>
    </row>
    <row r="3461" spans="20:21" ht="15" customHeight="1" x14ac:dyDescent="0.25">
      <c r="T3461" s="135"/>
      <c r="U3461" s="135"/>
    </row>
    <row r="3462" spans="20:21" ht="15" customHeight="1" x14ac:dyDescent="0.25">
      <c r="T3462" s="135"/>
      <c r="U3462" s="135"/>
    </row>
    <row r="3463" spans="20:21" ht="15" customHeight="1" x14ac:dyDescent="0.25">
      <c r="T3463" s="135"/>
      <c r="U3463" s="135"/>
    </row>
    <row r="3464" spans="20:21" ht="15" customHeight="1" x14ac:dyDescent="0.25">
      <c r="T3464" s="135"/>
      <c r="U3464" s="135"/>
    </row>
    <row r="3465" spans="20:21" ht="15" customHeight="1" x14ac:dyDescent="0.25">
      <c r="T3465" s="135"/>
      <c r="U3465" s="135"/>
    </row>
    <row r="3466" spans="20:21" ht="15" customHeight="1" x14ac:dyDescent="0.25">
      <c r="T3466" s="135"/>
      <c r="U3466" s="135"/>
    </row>
    <row r="3467" spans="20:21" ht="15" customHeight="1" x14ac:dyDescent="0.25">
      <c r="T3467" s="135"/>
      <c r="U3467" s="135"/>
    </row>
    <row r="3468" spans="20:21" ht="15" customHeight="1" x14ac:dyDescent="0.25">
      <c r="T3468" s="135"/>
      <c r="U3468" s="135"/>
    </row>
    <row r="3469" spans="20:21" ht="15" customHeight="1" x14ac:dyDescent="0.25">
      <c r="T3469" s="135"/>
      <c r="U3469" s="135"/>
    </row>
    <row r="3470" spans="20:21" ht="15" customHeight="1" x14ac:dyDescent="0.25">
      <c r="T3470" s="135"/>
      <c r="U3470" s="135"/>
    </row>
    <row r="3471" spans="20:21" ht="15" customHeight="1" x14ac:dyDescent="0.25">
      <c r="T3471" s="135"/>
      <c r="U3471" s="135"/>
    </row>
    <row r="3472" spans="20:21" ht="15" customHeight="1" x14ac:dyDescent="0.25">
      <c r="T3472" s="135"/>
      <c r="U3472" s="135"/>
    </row>
    <row r="3473" spans="20:21" ht="15" customHeight="1" x14ac:dyDescent="0.25">
      <c r="T3473" s="135"/>
      <c r="U3473" s="135"/>
    </row>
    <row r="3474" spans="20:21" ht="15" customHeight="1" x14ac:dyDescent="0.25">
      <c r="T3474" s="135"/>
      <c r="U3474" s="135"/>
    </row>
    <row r="3475" spans="20:21" ht="15" customHeight="1" x14ac:dyDescent="0.25">
      <c r="T3475" s="135"/>
      <c r="U3475" s="135"/>
    </row>
    <row r="3476" spans="20:21" ht="15" customHeight="1" x14ac:dyDescent="0.25">
      <c r="T3476" s="135"/>
      <c r="U3476" s="135"/>
    </row>
    <row r="3477" spans="20:21" ht="15" customHeight="1" x14ac:dyDescent="0.25">
      <c r="T3477" s="135"/>
      <c r="U3477" s="135"/>
    </row>
    <row r="3478" spans="20:21" ht="15" customHeight="1" x14ac:dyDescent="0.25">
      <c r="T3478" s="135"/>
      <c r="U3478" s="135"/>
    </row>
    <row r="3479" spans="20:21" ht="15" customHeight="1" x14ac:dyDescent="0.25">
      <c r="T3479" s="135"/>
      <c r="U3479" s="135"/>
    </row>
    <row r="3480" spans="20:21" ht="15" customHeight="1" x14ac:dyDescent="0.25">
      <c r="T3480" s="135"/>
      <c r="U3480" s="135"/>
    </row>
    <row r="3481" spans="20:21" ht="15" customHeight="1" x14ac:dyDescent="0.25">
      <c r="T3481" s="135"/>
      <c r="U3481" s="135"/>
    </row>
    <row r="3482" spans="20:21" ht="15" customHeight="1" x14ac:dyDescent="0.25">
      <c r="T3482" s="135"/>
      <c r="U3482" s="135"/>
    </row>
    <row r="3483" spans="20:21" ht="15" customHeight="1" x14ac:dyDescent="0.25">
      <c r="T3483" s="135"/>
      <c r="U3483" s="135"/>
    </row>
    <row r="3484" spans="20:21" ht="15" customHeight="1" x14ac:dyDescent="0.25">
      <c r="T3484" s="135"/>
      <c r="U3484" s="135"/>
    </row>
    <row r="3485" spans="20:21" ht="15" customHeight="1" x14ac:dyDescent="0.25">
      <c r="T3485" s="135"/>
      <c r="U3485" s="135"/>
    </row>
    <row r="3486" spans="20:21" ht="15" customHeight="1" x14ac:dyDescent="0.25">
      <c r="T3486" s="135"/>
      <c r="U3486" s="135"/>
    </row>
    <row r="3487" spans="20:21" ht="15" customHeight="1" x14ac:dyDescent="0.25">
      <c r="T3487" s="135"/>
      <c r="U3487" s="135"/>
    </row>
    <row r="3488" spans="20:21" ht="15" customHeight="1" x14ac:dyDescent="0.25">
      <c r="T3488" s="135"/>
      <c r="U3488" s="135"/>
    </row>
    <row r="3489" spans="20:21" ht="15" customHeight="1" x14ac:dyDescent="0.25">
      <c r="T3489" s="135"/>
      <c r="U3489" s="135"/>
    </row>
    <row r="3490" spans="20:21" ht="15" customHeight="1" x14ac:dyDescent="0.25">
      <c r="T3490" s="135"/>
      <c r="U3490" s="135"/>
    </row>
    <row r="3491" spans="20:21" ht="15" customHeight="1" x14ac:dyDescent="0.25">
      <c r="T3491" s="135"/>
      <c r="U3491" s="135"/>
    </row>
    <row r="3492" spans="20:21" ht="15" customHeight="1" x14ac:dyDescent="0.25">
      <c r="T3492" s="135"/>
      <c r="U3492" s="135"/>
    </row>
    <row r="3493" spans="20:21" ht="15" customHeight="1" x14ac:dyDescent="0.25">
      <c r="T3493" s="135"/>
      <c r="U3493" s="135"/>
    </row>
    <row r="3494" spans="20:21" ht="15" customHeight="1" x14ac:dyDescent="0.25">
      <c r="T3494" s="135"/>
      <c r="U3494" s="135"/>
    </row>
    <row r="3495" spans="20:21" ht="15" customHeight="1" x14ac:dyDescent="0.25">
      <c r="T3495" s="135"/>
      <c r="U3495" s="135"/>
    </row>
    <row r="3496" spans="20:21" ht="15" customHeight="1" x14ac:dyDescent="0.25">
      <c r="T3496" s="135"/>
      <c r="U3496" s="135"/>
    </row>
    <row r="3497" spans="20:21" ht="15" customHeight="1" x14ac:dyDescent="0.25">
      <c r="T3497" s="135"/>
      <c r="U3497" s="135"/>
    </row>
    <row r="3498" spans="20:21" ht="15" customHeight="1" x14ac:dyDescent="0.25">
      <c r="T3498" s="135"/>
      <c r="U3498" s="135"/>
    </row>
    <row r="3499" spans="20:21" ht="15" customHeight="1" x14ac:dyDescent="0.25">
      <c r="T3499" s="135"/>
      <c r="U3499" s="135"/>
    </row>
    <row r="3500" spans="20:21" ht="15" customHeight="1" x14ac:dyDescent="0.25">
      <c r="T3500" s="135"/>
      <c r="U3500" s="135"/>
    </row>
    <row r="3501" spans="20:21" ht="15" customHeight="1" x14ac:dyDescent="0.25">
      <c r="T3501" s="135"/>
      <c r="U3501" s="135"/>
    </row>
    <row r="3502" spans="20:21" ht="15" customHeight="1" x14ac:dyDescent="0.25">
      <c r="T3502" s="135"/>
      <c r="U3502" s="135"/>
    </row>
    <row r="3503" spans="20:21" ht="15" customHeight="1" x14ac:dyDescent="0.25">
      <c r="T3503" s="135"/>
      <c r="U3503" s="135"/>
    </row>
    <row r="3504" spans="20:21" ht="15" customHeight="1" x14ac:dyDescent="0.25">
      <c r="T3504" s="135"/>
      <c r="U3504" s="135"/>
    </row>
    <row r="3505" spans="20:21" ht="15" customHeight="1" x14ac:dyDescent="0.25">
      <c r="T3505" s="135"/>
      <c r="U3505" s="135"/>
    </row>
    <row r="3506" spans="20:21" ht="15" customHeight="1" x14ac:dyDescent="0.25">
      <c r="T3506" s="135"/>
      <c r="U3506" s="135"/>
    </row>
    <row r="3507" spans="20:21" ht="15" customHeight="1" x14ac:dyDescent="0.25">
      <c r="T3507" s="135"/>
      <c r="U3507" s="135"/>
    </row>
    <row r="3508" spans="20:21" ht="15" customHeight="1" x14ac:dyDescent="0.25">
      <c r="T3508" s="135"/>
      <c r="U3508" s="135"/>
    </row>
    <row r="3509" spans="20:21" ht="15" customHeight="1" x14ac:dyDescent="0.25">
      <c r="T3509" s="135"/>
      <c r="U3509" s="135"/>
    </row>
    <row r="3510" spans="20:21" ht="15" customHeight="1" x14ac:dyDescent="0.25">
      <c r="T3510" s="135"/>
      <c r="U3510" s="135"/>
    </row>
    <row r="3511" spans="20:21" ht="15" customHeight="1" x14ac:dyDescent="0.25">
      <c r="T3511" s="135"/>
      <c r="U3511" s="135"/>
    </row>
    <row r="3512" spans="20:21" ht="15" customHeight="1" x14ac:dyDescent="0.25">
      <c r="T3512" s="135"/>
      <c r="U3512" s="135"/>
    </row>
    <row r="3513" spans="20:21" ht="15" customHeight="1" x14ac:dyDescent="0.25">
      <c r="T3513" s="135"/>
      <c r="U3513" s="135"/>
    </row>
    <row r="3514" spans="20:21" ht="15" customHeight="1" x14ac:dyDescent="0.25">
      <c r="T3514" s="135"/>
      <c r="U3514" s="135"/>
    </row>
    <row r="3515" spans="20:21" ht="15" customHeight="1" x14ac:dyDescent="0.25">
      <c r="T3515" s="135"/>
      <c r="U3515" s="135"/>
    </row>
    <row r="3516" spans="20:21" ht="15" customHeight="1" x14ac:dyDescent="0.25">
      <c r="T3516" s="135"/>
      <c r="U3516" s="135"/>
    </row>
    <row r="3517" spans="20:21" ht="15" customHeight="1" x14ac:dyDescent="0.25">
      <c r="T3517" s="135"/>
      <c r="U3517" s="135"/>
    </row>
    <row r="3518" spans="20:21" ht="15" customHeight="1" x14ac:dyDescent="0.25">
      <c r="T3518" s="135"/>
      <c r="U3518" s="135"/>
    </row>
    <row r="3519" spans="20:21" ht="15" customHeight="1" x14ac:dyDescent="0.25">
      <c r="T3519" s="135"/>
      <c r="U3519" s="135"/>
    </row>
    <row r="3520" spans="20:21" ht="15" customHeight="1" x14ac:dyDescent="0.25">
      <c r="T3520" s="135"/>
      <c r="U3520" s="135"/>
    </row>
    <row r="3521" spans="20:21" ht="15" customHeight="1" x14ac:dyDescent="0.25">
      <c r="T3521" s="135"/>
      <c r="U3521" s="135"/>
    </row>
    <row r="3522" spans="20:21" ht="15" customHeight="1" x14ac:dyDescent="0.25">
      <c r="T3522" s="135"/>
      <c r="U3522" s="135"/>
    </row>
    <row r="3523" spans="20:21" ht="15" customHeight="1" x14ac:dyDescent="0.25">
      <c r="T3523" s="135"/>
      <c r="U3523" s="135"/>
    </row>
    <row r="3524" spans="20:21" ht="15" customHeight="1" x14ac:dyDescent="0.25">
      <c r="T3524" s="135"/>
      <c r="U3524" s="135"/>
    </row>
    <row r="3525" spans="20:21" ht="15" customHeight="1" x14ac:dyDescent="0.25">
      <c r="T3525" s="135"/>
      <c r="U3525" s="135"/>
    </row>
    <row r="3526" spans="20:21" ht="15" customHeight="1" x14ac:dyDescent="0.25">
      <c r="T3526" s="135"/>
      <c r="U3526" s="135"/>
    </row>
    <row r="3527" spans="20:21" ht="15" customHeight="1" x14ac:dyDescent="0.25">
      <c r="T3527" s="135"/>
      <c r="U3527" s="135"/>
    </row>
    <row r="3528" spans="20:21" ht="15" customHeight="1" x14ac:dyDescent="0.25">
      <c r="T3528" s="135"/>
      <c r="U3528" s="135"/>
    </row>
    <row r="3529" spans="20:21" ht="15" customHeight="1" x14ac:dyDescent="0.25">
      <c r="T3529" s="135"/>
      <c r="U3529" s="135"/>
    </row>
    <row r="3530" spans="20:21" ht="15" customHeight="1" x14ac:dyDescent="0.25">
      <c r="T3530" s="135"/>
      <c r="U3530" s="135"/>
    </row>
    <row r="3531" spans="20:21" ht="15" customHeight="1" x14ac:dyDescent="0.25">
      <c r="T3531" s="135"/>
      <c r="U3531" s="135"/>
    </row>
    <row r="3532" spans="20:21" ht="15" customHeight="1" x14ac:dyDescent="0.25">
      <c r="T3532" s="135"/>
      <c r="U3532" s="135"/>
    </row>
    <row r="3533" spans="20:21" ht="15" customHeight="1" x14ac:dyDescent="0.25">
      <c r="T3533" s="135"/>
      <c r="U3533" s="135"/>
    </row>
    <row r="3534" spans="20:21" ht="15" customHeight="1" x14ac:dyDescent="0.25">
      <c r="T3534" s="135"/>
      <c r="U3534" s="135"/>
    </row>
    <row r="3535" spans="20:21" ht="15" customHeight="1" x14ac:dyDescent="0.25">
      <c r="T3535" s="135"/>
      <c r="U3535" s="135"/>
    </row>
    <row r="3536" spans="20:21" ht="15" customHeight="1" x14ac:dyDescent="0.25">
      <c r="T3536" s="135"/>
      <c r="U3536" s="135"/>
    </row>
    <row r="3537" spans="20:21" ht="15" customHeight="1" x14ac:dyDescent="0.25">
      <c r="T3537" s="135"/>
      <c r="U3537" s="135"/>
    </row>
    <row r="3538" spans="20:21" ht="15" customHeight="1" x14ac:dyDescent="0.25">
      <c r="T3538" s="135"/>
      <c r="U3538" s="135"/>
    </row>
    <row r="3539" spans="20:21" ht="15" customHeight="1" x14ac:dyDescent="0.25">
      <c r="T3539" s="135"/>
      <c r="U3539" s="135"/>
    </row>
    <row r="3540" spans="20:21" ht="15" customHeight="1" x14ac:dyDescent="0.25">
      <c r="T3540" s="135"/>
      <c r="U3540" s="135"/>
    </row>
    <row r="3541" spans="20:21" ht="15" customHeight="1" x14ac:dyDescent="0.25">
      <c r="T3541" s="135"/>
      <c r="U3541" s="135"/>
    </row>
    <row r="3542" spans="20:21" ht="15" customHeight="1" x14ac:dyDescent="0.25">
      <c r="T3542" s="135"/>
      <c r="U3542" s="135"/>
    </row>
    <row r="3543" spans="20:21" ht="15" customHeight="1" x14ac:dyDescent="0.25">
      <c r="T3543" s="135"/>
      <c r="U3543" s="135"/>
    </row>
    <row r="3544" spans="20:21" ht="15" customHeight="1" x14ac:dyDescent="0.25">
      <c r="T3544" s="135"/>
      <c r="U3544" s="135"/>
    </row>
    <row r="3545" spans="20:21" ht="15" customHeight="1" x14ac:dyDescent="0.25">
      <c r="T3545" s="135"/>
      <c r="U3545" s="135"/>
    </row>
    <row r="3546" spans="20:21" ht="15" customHeight="1" x14ac:dyDescent="0.25">
      <c r="T3546" s="135"/>
      <c r="U3546" s="135"/>
    </row>
    <row r="3547" spans="20:21" ht="15" customHeight="1" x14ac:dyDescent="0.25">
      <c r="T3547" s="135"/>
      <c r="U3547" s="135"/>
    </row>
    <row r="3548" spans="20:21" ht="15" customHeight="1" x14ac:dyDescent="0.25">
      <c r="T3548" s="135"/>
      <c r="U3548" s="135"/>
    </row>
    <row r="3549" spans="20:21" ht="15" customHeight="1" x14ac:dyDescent="0.25">
      <c r="T3549" s="135"/>
      <c r="U3549" s="135"/>
    </row>
    <row r="3550" spans="20:21" ht="15" customHeight="1" x14ac:dyDescent="0.25">
      <c r="T3550" s="135"/>
      <c r="U3550" s="135"/>
    </row>
    <row r="3551" spans="20:21" ht="15" customHeight="1" x14ac:dyDescent="0.25">
      <c r="T3551" s="135"/>
      <c r="U3551" s="135"/>
    </row>
    <row r="3552" spans="20:21" ht="15" customHeight="1" x14ac:dyDescent="0.25">
      <c r="T3552" s="135"/>
      <c r="U3552" s="135"/>
    </row>
    <row r="3553" spans="20:21" ht="15" customHeight="1" x14ac:dyDescent="0.25">
      <c r="T3553" s="135"/>
      <c r="U3553" s="135"/>
    </row>
    <row r="3554" spans="20:21" ht="15" customHeight="1" x14ac:dyDescent="0.25">
      <c r="T3554" s="135"/>
      <c r="U3554" s="135"/>
    </row>
    <row r="3555" spans="20:21" ht="15" customHeight="1" x14ac:dyDescent="0.25">
      <c r="T3555" s="135"/>
      <c r="U3555" s="135"/>
    </row>
    <row r="3556" spans="20:21" ht="15" customHeight="1" x14ac:dyDescent="0.25">
      <c r="T3556" s="135"/>
      <c r="U3556" s="135"/>
    </row>
    <row r="3557" spans="20:21" ht="15" customHeight="1" x14ac:dyDescent="0.25">
      <c r="T3557" s="135"/>
      <c r="U3557" s="135"/>
    </row>
    <row r="3558" spans="20:21" ht="15" customHeight="1" x14ac:dyDescent="0.25">
      <c r="T3558" s="135"/>
      <c r="U3558" s="135"/>
    </row>
    <row r="3559" spans="20:21" ht="15" customHeight="1" x14ac:dyDescent="0.25">
      <c r="T3559" s="135"/>
      <c r="U3559" s="135"/>
    </row>
    <row r="3560" spans="20:21" ht="15" customHeight="1" x14ac:dyDescent="0.25">
      <c r="T3560" s="135"/>
      <c r="U3560" s="135"/>
    </row>
    <row r="3561" spans="20:21" ht="15" customHeight="1" x14ac:dyDescent="0.25">
      <c r="T3561" s="135"/>
      <c r="U3561" s="135"/>
    </row>
    <row r="3562" spans="20:21" ht="15" customHeight="1" x14ac:dyDescent="0.25">
      <c r="T3562" s="135"/>
      <c r="U3562" s="135"/>
    </row>
    <row r="3563" spans="20:21" ht="15" customHeight="1" x14ac:dyDescent="0.25">
      <c r="T3563" s="135"/>
      <c r="U3563" s="135"/>
    </row>
    <row r="3564" spans="20:21" ht="15" customHeight="1" x14ac:dyDescent="0.25">
      <c r="T3564" s="135"/>
      <c r="U3564" s="135"/>
    </row>
    <row r="3565" spans="20:21" ht="15" customHeight="1" x14ac:dyDescent="0.25">
      <c r="T3565" s="135"/>
      <c r="U3565" s="135"/>
    </row>
    <row r="3566" spans="20:21" ht="15" customHeight="1" x14ac:dyDescent="0.25">
      <c r="T3566" s="135"/>
      <c r="U3566" s="135"/>
    </row>
    <row r="3567" spans="20:21" ht="15" customHeight="1" x14ac:dyDescent="0.25">
      <c r="T3567" s="135"/>
      <c r="U3567" s="135"/>
    </row>
    <row r="3568" spans="20:21" ht="15" customHeight="1" x14ac:dyDescent="0.25">
      <c r="T3568" s="135"/>
      <c r="U3568" s="135"/>
    </row>
    <row r="3569" spans="20:21" ht="15" customHeight="1" x14ac:dyDescent="0.25">
      <c r="T3569" s="135"/>
      <c r="U3569" s="135"/>
    </row>
    <row r="3570" spans="20:21" ht="15" customHeight="1" x14ac:dyDescent="0.25">
      <c r="T3570" s="135"/>
      <c r="U3570" s="135"/>
    </row>
    <row r="3571" spans="20:21" ht="15" customHeight="1" x14ac:dyDescent="0.25">
      <c r="T3571" s="135"/>
      <c r="U3571" s="135"/>
    </row>
    <row r="3572" spans="20:21" ht="15" customHeight="1" x14ac:dyDescent="0.25">
      <c r="T3572" s="135"/>
      <c r="U3572" s="135"/>
    </row>
    <row r="3573" spans="20:21" ht="15" customHeight="1" x14ac:dyDescent="0.25">
      <c r="T3573" s="135"/>
      <c r="U3573" s="135"/>
    </row>
    <row r="3574" spans="20:21" ht="15" customHeight="1" x14ac:dyDescent="0.25">
      <c r="T3574" s="135"/>
      <c r="U3574" s="135"/>
    </row>
    <row r="3575" spans="20:21" ht="15" customHeight="1" x14ac:dyDescent="0.25">
      <c r="T3575" s="135"/>
      <c r="U3575" s="135"/>
    </row>
    <row r="3576" spans="20:21" ht="15" customHeight="1" x14ac:dyDescent="0.25">
      <c r="T3576" s="135"/>
      <c r="U3576" s="135"/>
    </row>
    <row r="3577" spans="20:21" ht="15" customHeight="1" x14ac:dyDescent="0.25">
      <c r="T3577" s="135"/>
      <c r="U3577" s="135"/>
    </row>
    <row r="3578" spans="20:21" ht="15" customHeight="1" x14ac:dyDescent="0.25">
      <c r="T3578" s="135"/>
      <c r="U3578" s="135"/>
    </row>
    <row r="3579" spans="20:21" ht="15" customHeight="1" x14ac:dyDescent="0.25">
      <c r="T3579" s="135"/>
      <c r="U3579" s="135"/>
    </row>
    <row r="3580" spans="20:21" ht="15" customHeight="1" x14ac:dyDescent="0.25">
      <c r="T3580" s="135"/>
      <c r="U3580" s="135"/>
    </row>
    <row r="3581" spans="20:21" ht="15" customHeight="1" x14ac:dyDescent="0.25">
      <c r="T3581" s="135"/>
      <c r="U3581" s="135"/>
    </row>
    <row r="3582" spans="20:21" ht="15" customHeight="1" x14ac:dyDescent="0.25">
      <c r="T3582" s="135"/>
      <c r="U3582" s="135"/>
    </row>
    <row r="3583" spans="20:21" ht="15" customHeight="1" x14ac:dyDescent="0.25">
      <c r="T3583" s="135"/>
      <c r="U3583" s="135"/>
    </row>
    <row r="3584" spans="20:21" ht="15" customHeight="1" x14ac:dyDescent="0.25">
      <c r="T3584" s="135"/>
      <c r="U3584" s="135"/>
    </row>
    <row r="3585" spans="20:21" ht="15" customHeight="1" x14ac:dyDescent="0.25">
      <c r="T3585" s="135"/>
      <c r="U3585" s="135"/>
    </row>
    <row r="3586" spans="20:21" ht="15" customHeight="1" x14ac:dyDescent="0.25">
      <c r="T3586" s="135"/>
      <c r="U3586" s="135"/>
    </row>
    <row r="3587" spans="20:21" ht="15" customHeight="1" x14ac:dyDescent="0.25">
      <c r="T3587" s="135"/>
      <c r="U3587" s="135"/>
    </row>
    <row r="3588" spans="20:21" ht="15" customHeight="1" x14ac:dyDescent="0.25">
      <c r="T3588" s="135"/>
      <c r="U3588" s="135"/>
    </row>
    <row r="3589" spans="20:21" ht="15" customHeight="1" x14ac:dyDescent="0.25">
      <c r="T3589" s="135"/>
      <c r="U3589" s="135"/>
    </row>
    <row r="3590" spans="20:21" ht="15" customHeight="1" x14ac:dyDescent="0.25">
      <c r="T3590" s="135"/>
      <c r="U3590" s="135"/>
    </row>
    <row r="3591" spans="20:21" ht="15" customHeight="1" x14ac:dyDescent="0.25">
      <c r="T3591" s="135"/>
      <c r="U3591" s="135"/>
    </row>
    <row r="3592" spans="20:21" ht="15" customHeight="1" x14ac:dyDescent="0.25">
      <c r="T3592" s="135"/>
      <c r="U3592" s="135"/>
    </row>
    <row r="3593" spans="20:21" ht="15" customHeight="1" x14ac:dyDescent="0.25">
      <c r="T3593" s="135"/>
      <c r="U3593" s="135"/>
    </row>
    <row r="3594" spans="20:21" ht="15" customHeight="1" x14ac:dyDescent="0.25">
      <c r="T3594" s="135"/>
      <c r="U3594" s="135"/>
    </row>
    <row r="3595" spans="20:21" ht="15" customHeight="1" x14ac:dyDescent="0.25">
      <c r="T3595" s="135"/>
      <c r="U3595" s="135"/>
    </row>
    <row r="3596" spans="20:21" ht="15" customHeight="1" x14ac:dyDescent="0.25">
      <c r="T3596" s="135"/>
      <c r="U3596" s="135"/>
    </row>
    <row r="3597" spans="20:21" ht="15" customHeight="1" x14ac:dyDescent="0.25">
      <c r="T3597" s="135"/>
      <c r="U3597" s="135"/>
    </row>
    <row r="3598" spans="20:21" ht="15" customHeight="1" x14ac:dyDescent="0.25">
      <c r="T3598" s="135"/>
      <c r="U3598" s="135"/>
    </row>
    <row r="3599" spans="20:21" ht="15" customHeight="1" x14ac:dyDescent="0.25">
      <c r="T3599" s="135"/>
      <c r="U3599" s="135"/>
    </row>
    <row r="3600" spans="20:21" ht="15" customHeight="1" x14ac:dyDescent="0.25">
      <c r="T3600" s="135"/>
      <c r="U3600" s="135"/>
    </row>
    <row r="3601" spans="20:21" ht="15" customHeight="1" x14ac:dyDescent="0.25">
      <c r="T3601" s="135"/>
      <c r="U3601" s="135"/>
    </row>
    <row r="3602" spans="20:21" ht="15" customHeight="1" x14ac:dyDescent="0.25">
      <c r="T3602" s="135"/>
      <c r="U3602" s="135"/>
    </row>
    <row r="3603" spans="20:21" ht="15" customHeight="1" x14ac:dyDescent="0.25">
      <c r="T3603" s="135"/>
      <c r="U3603" s="135"/>
    </row>
    <row r="3604" spans="20:21" ht="15" customHeight="1" x14ac:dyDescent="0.25">
      <c r="T3604" s="135"/>
      <c r="U3604" s="135"/>
    </row>
    <row r="3605" spans="20:21" ht="15" customHeight="1" x14ac:dyDescent="0.25">
      <c r="T3605" s="135"/>
      <c r="U3605" s="135"/>
    </row>
    <row r="3606" spans="20:21" ht="15" customHeight="1" x14ac:dyDescent="0.25">
      <c r="T3606" s="135"/>
      <c r="U3606" s="135"/>
    </row>
    <row r="3607" spans="20:21" ht="15" customHeight="1" x14ac:dyDescent="0.25">
      <c r="T3607" s="135"/>
      <c r="U3607" s="135"/>
    </row>
    <row r="3608" spans="20:21" ht="15" customHeight="1" x14ac:dyDescent="0.25">
      <c r="T3608" s="135"/>
      <c r="U3608" s="135"/>
    </row>
    <row r="3609" spans="20:21" ht="15" customHeight="1" x14ac:dyDescent="0.25">
      <c r="T3609" s="135"/>
      <c r="U3609" s="135"/>
    </row>
    <row r="3610" spans="20:21" ht="15" customHeight="1" x14ac:dyDescent="0.25">
      <c r="T3610" s="135"/>
      <c r="U3610" s="135"/>
    </row>
    <row r="3611" spans="20:21" ht="15" customHeight="1" x14ac:dyDescent="0.25">
      <c r="T3611" s="135"/>
      <c r="U3611" s="135"/>
    </row>
    <row r="3612" spans="20:21" ht="15" customHeight="1" x14ac:dyDescent="0.25">
      <c r="T3612" s="135"/>
      <c r="U3612" s="135"/>
    </row>
    <row r="3613" spans="20:21" ht="15" customHeight="1" x14ac:dyDescent="0.25">
      <c r="T3613" s="135"/>
      <c r="U3613" s="135"/>
    </row>
    <row r="3614" spans="20:21" ht="15" customHeight="1" x14ac:dyDescent="0.25">
      <c r="T3614" s="135"/>
      <c r="U3614" s="135"/>
    </row>
    <row r="3615" spans="20:21" ht="15" customHeight="1" x14ac:dyDescent="0.25">
      <c r="T3615" s="135"/>
      <c r="U3615" s="135"/>
    </row>
    <row r="3616" spans="20:21" ht="15" customHeight="1" x14ac:dyDescent="0.25">
      <c r="T3616" s="135"/>
      <c r="U3616" s="135"/>
    </row>
    <row r="3617" spans="20:21" ht="15" customHeight="1" x14ac:dyDescent="0.25">
      <c r="T3617" s="135"/>
      <c r="U3617" s="135"/>
    </row>
    <row r="3618" spans="20:21" ht="15" customHeight="1" x14ac:dyDescent="0.25">
      <c r="T3618" s="135"/>
      <c r="U3618" s="135"/>
    </row>
    <row r="3619" spans="20:21" ht="15" customHeight="1" x14ac:dyDescent="0.25">
      <c r="T3619" s="135"/>
      <c r="U3619" s="135"/>
    </row>
    <row r="3620" spans="20:21" ht="15" customHeight="1" x14ac:dyDescent="0.25">
      <c r="T3620" s="135"/>
      <c r="U3620" s="135"/>
    </row>
    <row r="3621" spans="20:21" ht="15" customHeight="1" x14ac:dyDescent="0.25">
      <c r="T3621" s="135"/>
      <c r="U3621" s="135"/>
    </row>
    <row r="3622" spans="20:21" ht="15" customHeight="1" x14ac:dyDescent="0.25">
      <c r="T3622" s="135"/>
      <c r="U3622" s="135"/>
    </row>
    <row r="3623" spans="20:21" ht="15" customHeight="1" x14ac:dyDescent="0.25">
      <c r="T3623" s="135"/>
      <c r="U3623" s="135"/>
    </row>
    <row r="3624" spans="20:21" ht="15" customHeight="1" x14ac:dyDescent="0.25">
      <c r="T3624" s="135"/>
      <c r="U3624" s="135"/>
    </row>
    <row r="3625" spans="20:21" ht="15" customHeight="1" x14ac:dyDescent="0.25">
      <c r="T3625" s="135"/>
      <c r="U3625" s="135"/>
    </row>
    <row r="3626" spans="20:21" ht="15" customHeight="1" x14ac:dyDescent="0.25">
      <c r="T3626" s="135"/>
      <c r="U3626" s="135"/>
    </row>
    <row r="3627" spans="20:21" ht="15" customHeight="1" x14ac:dyDescent="0.25">
      <c r="T3627" s="135"/>
      <c r="U3627" s="135"/>
    </row>
    <row r="3628" spans="20:21" ht="15" customHeight="1" x14ac:dyDescent="0.25">
      <c r="T3628" s="135"/>
      <c r="U3628" s="135"/>
    </row>
    <row r="3629" spans="20:21" ht="15" customHeight="1" x14ac:dyDescent="0.25">
      <c r="T3629" s="135"/>
      <c r="U3629" s="135"/>
    </row>
    <row r="3630" spans="20:21" ht="15" customHeight="1" x14ac:dyDescent="0.25">
      <c r="T3630" s="135"/>
      <c r="U3630" s="135"/>
    </row>
    <row r="3631" spans="20:21" ht="15" customHeight="1" x14ac:dyDescent="0.25">
      <c r="T3631" s="135"/>
      <c r="U3631" s="135"/>
    </row>
    <row r="3632" spans="20:21" ht="15" customHeight="1" x14ac:dyDescent="0.25">
      <c r="T3632" s="135"/>
      <c r="U3632" s="135"/>
    </row>
    <row r="3633" spans="20:21" ht="15" customHeight="1" x14ac:dyDescent="0.25">
      <c r="T3633" s="135"/>
      <c r="U3633" s="135"/>
    </row>
    <row r="3634" spans="20:21" ht="15" customHeight="1" x14ac:dyDescent="0.25">
      <c r="T3634" s="135"/>
      <c r="U3634" s="135"/>
    </row>
    <row r="3635" spans="20:21" ht="15" customHeight="1" x14ac:dyDescent="0.25">
      <c r="T3635" s="135"/>
      <c r="U3635" s="135"/>
    </row>
    <row r="3636" spans="20:21" ht="15" customHeight="1" x14ac:dyDescent="0.25">
      <c r="T3636" s="135"/>
      <c r="U3636" s="135"/>
    </row>
    <row r="3637" spans="20:21" ht="15" customHeight="1" x14ac:dyDescent="0.25">
      <c r="T3637" s="135"/>
      <c r="U3637" s="135"/>
    </row>
    <row r="3638" spans="20:21" ht="15" customHeight="1" x14ac:dyDescent="0.25">
      <c r="T3638" s="135"/>
      <c r="U3638" s="135"/>
    </row>
    <row r="3639" spans="20:21" ht="15" customHeight="1" x14ac:dyDescent="0.25">
      <c r="T3639" s="135"/>
      <c r="U3639" s="135"/>
    </row>
    <row r="3640" spans="20:21" ht="15" customHeight="1" x14ac:dyDescent="0.25">
      <c r="T3640" s="135"/>
      <c r="U3640" s="135"/>
    </row>
    <row r="3641" spans="20:21" ht="15" customHeight="1" x14ac:dyDescent="0.25">
      <c r="T3641" s="135"/>
      <c r="U3641" s="135"/>
    </row>
    <row r="3642" spans="20:21" ht="15" customHeight="1" x14ac:dyDescent="0.25">
      <c r="T3642" s="135"/>
      <c r="U3642" s="135"/>
    </row>
    <row r="3643" spans="20:21" ht="15" customHeight="1" x14ac:dyDescent="0.25">
      <c r="T3643" s="135"/>
      <c r="U3643" s="135"/>
    </row>
    <row r="3644" spans="20:21" ht="15" customHeight="1" x14ac:dyDescent="0.25">
      <c r="T3644" s="135"/>
      <c r="U3644" s="135"/>
    </row>
    <row r="3645" spans="20:21" ht="15" customHeight="1" x14ac:dyDescent="0.25">
      <c r="T3645" s="135"/>
      <c r="U3645" s="135"/>
    </row>
    <row r="3646" spans="20:21" ht="15" customHeight="1" x14ac:dyDescent="0.25">
      <c r="T3646" s="135"/>
      <c r="U3646" s="135"/>
    </row>
    <row r="3647" spans="20:21" ht="15" customHeight="1" x14ac:dyDescent="0.25">
      <c r="T3647" s="135"/>
      <c r="U3647" s="135"/>
    </row>
    <row r="3648" spans="20:21" ht="15" customHeight="1" x14ac:dyDescent="0.25">
      <c r="T3648" s="135"/>
      <c r="U3648" s="135"/>
    </row>
    <row r="3649" spans="20:21" ht="15" customHeight="1" x14ac:dyDescent="0.25">
      <c r="T3649" s="135"/>
      <c r="U3649" s="135"/>
    </row>
    <row r="3650" spans="20:21" ht="15" customHeight="1" x14ac:dyDescent="0.25">
      <c r="T3650" s="135"/>
      <c r="U3650" s="135"/>
    </row>
    <row r="3651" spans="20:21" ht="15" customHeight="1" x14ac:dyDescent="0.25">
      <c r="T3651" s="135"/>
      <c r="U3651" s="135"/>
    </row>
    <row r="3652" spans="20:21" ht="15" customHeight="1" x14ac:dyDescent="0.25">
      <c r="T3652" s="135"/>
      <c r="U3652" s="135"/>
    </row>
    <row r="3653" spans="20:21" ht="15" customHeight="1" x14ac:dyDescent="0.25">
      <c r="T3653" s="135"/>
      <c r="U3653" s="135"/>
    </row>
    <row r="3654" spans="20:21" ht="15" customHeight="1" x14ac:dyDescent="0.25">
      <c r="T3654" s="135"/>
      <c r="U3654" s="135"/>
    </row>
    <row r="3655" spans="20:21" ht="15" customHeight="1" x14ac:dyDescent="0.25">
      <c r="T3655" s="135"/>
      <c r="U3655" s="135"/>
    </row>
    <row r="3656" spans="20:21" ht="15" customHeight="1" x14ac:dyDescent="0.25">
      <c r="T3656" s="135"/>
      <c r="U3656" s="135"/>
    </row>
    <row r="3657" spans="20:21" ht="15" customHeight="1" x14ac:dyDescent="0.25">
      <c r="T3657" s="135"/>
      <c r="U3657" s="135"/>
    </row>
    <row r="3658" spans="20:21" ht="15" customHeight="1" x14ac:dyDescent="0.25">
      <c r="T3658" s="135"/>
      <c r="U3658" s="135"/>
    </row>
    <row r="3659" spans="20:21" ht="15" customHeight="1" x14ac:dyDescent="0.25">
      <c r="T3659" s="135"/>
      <c r="U3659" s="135"/>
    </row>
    <row r="3660" spans="20:21" ht="15" customHeight="1" x14ac:dyDescent="0.25">
      <c r="T3660" s="135"/>
      <c r="U3660" s="135"/>
    </row>
    <row r="3661" spans="20:21" ht="15" customHeight="1" x14ac:dyDescent="0.25">
      <c r="T3661" s="135"/>
      <c r="U3661" s="135"/>
    </row>
    <row r="3662" spans="20:21" ht="15" customHeight="1" x14ac:dyDescent="0.25">
      <c r="T3662" s="135"/>
      <c r="U3662" s="135"/>
    </row>
    <row r="3663" spans="20:21" ht="15" customHeight="1" x14ac:dyDescent="0.25">
      <c r="T3663" s="135"/>
      <c r="U3663" s="135"/>
    </row>
    <row r="3664" spans="20:21" ht="15" customHeight="1" x14ac:dyDescent="0.25">
      <c r="T3664" s="135"/>
      <c r="U3664" s="135"/>
    </row>
    <row r="3665" spans="20:21" ht="15" customHeight="1" x14ac:dyDescent="0.25">
      <c r="T3665" s="135"/>
      <c r="U3665" s="135"/>
    </row>
    <row r="3666" spans="20:21" ht="15" customHeight="1" x14ac:dyDescent="0.25">
      <c r="T3666" s="135"/>
      <c r="U3666" s="135"/>
    </row>
    <row r="3667" spans="20:21" ht="15" customHeight="1" x14ac:dyDescent="0.25">
      <c r="T3667" s="135"/>
      <c r="U3667" s="135"/>
    </row>
    <row r="3668" spans="20:21" ht="15" customHeight="1" x14ac:dyDescent="0.25">
      <c r="T3668" s="135"/>
      <c r="U3668" s="135"/>
    </row>
    <row r="3669" spans="20:21" ht="15" customHeight="1" x14ac:dyDescent="0.25">
      <c r="T3669" s="135"/>
      <c r="U3669" s="135"/>
    </row>
    <row r="3670" spans="20:21" ht="15" customHeight="1" x14ac:dyDescent="0.25">
      <c r="T3670" s="135"/>
      <c r="U3670" s="135"/>
    </row>
    <row r="3671" spans="20:21" ht="15" customHeight="1" x14ac:dyDescent="0.25">
      <c r="T3671" s="135"/>
      <c r="U3671" s="135"/>
    </row>
    <row r="3672" spans="20:21" ht="15" customHeight="1" x14ac:dyDescent="0.25">
      <c r="T3672" s="135"/>
      <c r="U3672" s="135"/>
    </row>
    <row r="3673" spans="20:21" ht="15" customHeight="1" x14ac:dyDescent="0.25">
      <c r="T3673" s="135"/>
      <c r="U3673" s="135"/>
    </row>
    <row r="3674" spans="20:21" ht="15" customHeight="1" x14ac:dyDescent="0.25">
      <c r="T3674" s="135"/>
      <c r="U3674" s="135"/>
    </row>
    <row r="3675" spans="20:21" ht="15" customHeight="1" x14ac:dyDescent="0.25">
      <c r="T3675" s="135"/>
      <c r="U3675" s="135"/>
    </row>
    <row r="3676" spans="20:21" ht="15" customHeight="1" x14ac:dyDescent="0.25">
      <c r="T3676" s="135"/>
      <c r="U3676" s="135"/>
    </row>
    <row r="3677" spans="20:21" ht="15" customHeight="1" x14ac:dyDescent="0.25">
      <c r="T3677" s="135"/>
      <c r="U3677" s="135"/>
    </row>
    <row r="3678" spans="20:21" ht="15" customHeight="1" x14ac:dyDescent="0.25">
      <c r="T3678" s="135"/>
      <c r="U3678" s="135"/>
    </row>
    <row r="3679" spans="20:21" ht="15" customHeight="1" x14ac:dyDescent="0.25">
      <c r="T3679" s="135"/>
      <c r="U3679" s="135"/>
    </row>
    <row r="3680" spans="20:21" ht="15" customHeight="1" x14ac:dyDescent="0.25">
      <c r="T3680" s="135"/>
      <c r="U3680" s="135"/>
    </row>
    <row r="3681" spans="20:21" ht="15" customHeight="1" x14ac:dyDescent="0.25">
      <c r="T3681" s="135"/>
      <c r="U3681" s="135"/>
    </row>
    <row r="3682" spans="20:21" ht="15" customHeight="1" x14ac:dyDescent="0.25">
      <c r="T3682" s="135"/>
      <c r="U3682" s="135"/>
    </row>
    <row r="3683" spans="20:21" ht="15" customHeight="1" x14ac:dyDescent="0.25">
      <c r="T3683" s="135"/>
      <c r="U3683" s="135"/>
    </row>
    <row r="3684" spans="20:21" ht="15" customHeight="1" x14ac:dyDescent="0.25">
      <c r="T3684" s="135"/>
      <c r="U3684" s="135"/>
    </row>
    <row r="3685" spans="20:21" ht="15" customHeight="1" x14ac:dyDescent="0.25">
      <c r="T3685" s="135"/>
      <c r="U3685" s="135"/>
    </row>
    <row r="3686" spans="20:21" ht="15" customHeight="1" x14ac:dyDescent="0.25">
      <c r="T3686" s="135"/>
      <c r="U3686" s="135"/>
    </row>
    <row r="3687" spans="20:21" ht="15" customHeight="1" x14ac:dyDescent="0.25">
      <c r="T3687" s="135"/>
      <c r="U3687" s="135"/>
    </row>
    <row r="3688" spans="20:21" ht="15" customHeight="1" x14ac:dyDescent="0.25">
      <c r="T3688" s="135"/>
      <c r="U3688" s="135"/>
    </row>
    <row r="3689" spans="20:21" ht="15" customHeight="1" x14ac:dyDescent="0.25">
      <c r="T3689" s="135"/>
      <c r="U3689" s="135"/>
    </row>
    <row r="3690" spans="20:21" ht="15" customHeight="1" x14ac:dyDescent="0.25">
      <c r="T3690" s="135"/>
      <c r="U3690" s="135"/>
    </row>
    <row r="3691" spans="20:21" ht="15" customHeight="1" x14ac:dyDescent="0.25">
      <c r="T3691" s="135"/>
      <c r="U3691" s="135"/>
    </row>
    <row r="3692" spans="20:21" ht="15" customHeight="1" x14ac:dyDescent="0.25">
      <c r="T3692" s="135"/>
      <c r="U3692" s="135"/>
    </row>
    <row r="3693" spans="20:21" ht="15" customHeight="1" x14ac:dyDescent="0.25">
      <c r="T3693" s="135"/>
      <c r="U3693" s="135"/>
    </row>
    <row r="3694" spans="20:21" ht="15" customHeight="1" x14ac:dyDescent="0.25">
      <c r="T3694" s="135"/>
      <c r="U3694" s="135"/>
    </row>
    <row r="3695" spans="20:21" ht="15" customHeight="1" x14ac:dyDescent="0.25">
      <c r="T3695" s="135"/>
      <c r="U3695" s="135"/>
    </row>
    <row r="3696" spans="20:21" ht="15" customHeight="1" x14ac:dyDescent="0.25">
      <c r="T3696" s="135"/>
      <c r="U3696" s="135"/>
    </row>
    <row r="3697" spans="20:21" ht="15" customHeight="1" x14ac:dyDescent="0.25">
      <c r="T3697" s="135"/>
      <c r="U3697" s="135"/>
    </row>
    <row r="3698" spans="20:21" ht="15" customHeight="1" x14ac:dyDescent="0.25">
      <c r="T3698" s="135"/>
      <c r="U3698" s="135"/>
    </row>
    <row r="3699" spans="20:21" ht="15" customHeight="1" x14ac:dyDescent="0.25">
      <c r="T3699" s="135"/>
      <c r="U3699" s="135"/>
    </row>
    <row r="3700" spans="20:21" ht="15" customHeight="1" x14ac:dyDescent="0.25">
      <c r="T3700" s="135"/>
      <c r="U3700" s="135"/>
    </row>
    <row r="3701" spans="20:21" ht="15" customHeight="1" x14ac:dyDescent="0.25">
      <c r="T3701" s="135"/>
      <c r="U3701" s="135"/>
    </row>
    <row r="3702" spans="20:21" ht="15" customHeight="1" x14ac:dyDescent="0.25">
      <c r="T3702" s="135"/>
      <c r="U3702" s="135"/>
    </row>
    <row r="3703" spans="20:21" ht="15" customHeight="1" x14ac:dyDescent="0.25">
      <c r="T3703" s="135"/>
      <c r="U3703" s="135"/>
    </row>
    <row r="3704" spans="20:21" ht="15" customHeight="1" x14ac:dyDescent="0.25">
      <c r="T3704" s="135"/>
      <c r="U3704" s="135"/>
    </row>
    <row r="3705" spans="20:21" ht="15" customHeight="1" x14ac:dyDescent="0.25">
      <c r="T3705" s="135"/>
      <c r="U3705" s="135"/>
    </row>
    <row r="3706" spans="20:21" ht="15" customHeight="1" x14ac:dyDescent="0.25">
      <c r="T3706" s="135"/>
      <c r="U3706" s="135"/>
    </row>
    <row r="3707" spans="20:21" ht="15" customHeight="1" x14ac:dyDescent="0.25">
      <c r="T3707" s="135"/>
      <c r="U3707" s="135"/>
    </row>
    <row r="3708" spans="20:21" ht="15" customHeight="1" x14ac:dyDescent="0.25">
      <c r="T3708" s="135"/>
      <c r="U3708" s="135"/>
    </row>
    <row r="3709" spans="20:21" ht="15" customHeight="1" x14ac:dyDescent="0.25">
      <c r="T3709" s="135"/>
      <c r="U3709" s="135"/>
    </row>
    <row r="3710" spans="20:21" ht="15" customHeight="1" x14ac:dyDescent="0.25">
      <c r="T3710" s="135"/>
      <c r="U3710" s="135"/>
    </row>
    <row r="3711" spans="20:21" ht="15" customHeight="1" x14ac:dyDescent="0.25">
      <c r="T3711" s="135"/>
      <c r="U3711" s="135"/>
    </row>
    <row r="3712" spans="20:21" ht="15" customHeight="1" x14ac:dyDescent="0.25">
      <c r="T3712" s="135"/>
      <c r="U3712" s="135"/>
    </row>
    <row r="3713" spans="20:21" ht="15" customHeight="1" x14ac:dyDescent="0.25">
      <c r="T3713" s="135"/>
      <c r="U3713" s="135"/>
    </row>
    <row r="3714" spans="20:21" ht="15" customHeight="1" x14ac:dyDescent="0.25">
      <c r="T3714" s="135"/>
      <c r="U3714" s="135"/>
    </row>
    <row r="3715" spans="20:21" ht="15" customHeight="1" x14ac:dyDescent="0.25">
      <c r="T3715" s="135"/>
      <c r="U3715" s="135"/>
    </row>
    <row r="3716" spans="20:21" ht="15" customHeight="1" x14ac:dyDescent="0.25">
      <c r="T3716" s="135"/>
      <c r="U3716" s="135"/>
    </row>
    <row r="3717" spans="20:21" ht="15" customHeight="1" x14ac:dyDescent="0.25">
      <c r="T3717" s="135"/>
      <c r="U3717" s="135"/>
    </row>
    <row r="3718" spans="20:21" ht="15" customHeight="1" x14ac:dyDescent="0.25">
      <c r="T3718" s="135"/>
      <c r="U3718" s="135"/>
    </row>
    <row r="3719" spans="20:21" ht="15" customHeight="1" x14ac:dyDescent="0.25">
      <c r="T3719" s="135"/>
      <c r="U3719" s="135"/>
    </row>
    <row r="3720" spans="20:21" ht="15" customHeight="1" x14ac:dyDescent="0.25">
      <c r="T3720" s="135"/>
      <c r="U3720" s="135"/>
    </row>
    <row r="3721" spans="20:21" ht="15" customHeight="1" x14ac:dyDescent="0.25">
      <c r="T3721" s="135"/>
      <c r="U3721" s="135"/>
    </row>
    <row r="3722" spans="20:21" ht="15" customHeight="1" x14ac:dyDescent="0.25">
      <c r="T3722" s="135"/>
      <c r="U3722" s="135"/>
    </row>
    <row r="3723" spans="20:21" ht="15" customHeight="1" x14ac:dyDescent="0.25">
      <c r="T3723" s="135"/>
      <c r="U3723" s="135"/>
    </row>
    <row r="3724" spans="20:21" ht="15" customHeight="1" x14ac:dyDescent="0.25">
      <c r="T3724" s="135"/>
      <c r="U3724" s="135"/>
    </row>
    <row r="3725" spans="20:21" ht="15" customHeight="1" x14ac:dyDescent="0.25">
      <c r="T3725" s="135"/>
      <c r="U3725" s="135"/>
    </row>
    <row r="3726" spans="20:21" ht="15" customHeight="1" x14ac:dyDescent="0.25">
      <c r="T3726" s="135"/>
      <c r="U3726" s="135"/>
    </row>
    <row r="3727" spans="20:21" ht="15" customHeight="1" x14ac:dyDescent="0.25">
      <c r="T3727" s="135"/>
      <c r="U3727" s="135"/>
    </row>
    <row r="3728" spans="20:21" ht="15" customHeight="1" x14ac:dyDescent="0.25">
      <c r="T3728" s="135"/>
      <c r="U3728" s="135"/>
    </row>
    <row r="3729" spans="20:21" ht="15" customHeight="1" x14ac:dyDescent="0.25">
      <c r="T3729" s="135"/>
      <c r="U3729" s="135"/>
    </row>
    <row r="3730" spans="20:21" ht="15" customHeight="1" x14ac:dyDescent="0.25">
      <c r="T3730" s="135"/>
      <c r="U3730" s="135"/>
    </row>
    <row r="3731" spans="20:21" ht="15" customHeight="1" x14ac:dyDescent="0.25">
      <c r="T3731" s="135"/>
      <c r="U3731" s="135"/>
    </row>
    <row r="3732" spans="20:21" ht="15" customHeight="1" x14ac:dyDescent="0.25">
      <c r="T3732" s="135"/>
      <c r="U3732" s="135"/>
    </row>
    <row r="3733" spans="20:21" ht="15" customHeight="1" x14ac:dyDescent="0.25">
      <c r="T3733" s="135"/>
      <c r="U3733" s="135"/>
    </row>
    <row r="3734" spans="20:21" ht="15" customHeight="1" x14ac:dyDescent="0.25">
      <c r="T3734" s="135"/>
      <c r="U3734" s="135"/>
    </row>
    <row r="3735" spans="20:21" ht="15" customHeight="1" x14ac:dyDescent="0.25">
      <c r="T3735" s="135"/>
      <c r="U3735" s="135"/>
    </row>
    <row r="3736" spans="20:21" ht="15" customHeight="1" x14ac:dyDescent="0.25">
      <c r="T3736" s="135"/>
      <c r="U3736" s="135"/>
    </row>
    <row r="3737" spans="20:21" ht="15" customHeight="1" x14ac:dyDescent="0.25">
      <c r="T3737" s="135"/>
      <c r="U3737" s="135"/>
    </row>
    <row r="3738" spans="20:21" ht="15" customHeight="1" x14ac:dyDescent="0.25">
      <c r="T3738" s="135"/>
      <c r="U3738" s="135"/>
    </row>
    <row r="3739" spans="20:21" ht="15" customHeight="1" x14ac:dyDescent="0.25">
      <c r="T3739" s="135"/>
      <c r="U3739" s="135"/>
    </row>
    <row r="3740" spans="20:21" ht="15" customHeight="1" x14ac:dyDescent="0.25">
      <c r="T3740" s="135"/>
      <c r="U3740" s="135"/>
    </row>
    <row r="3741" spans="20:21" ht="15" customHeight="1" x14ac:dyDescent="0.25">
      <c r="T3741" s="135"/>
      <c r="U3741" s="135"/>
    </row>
    <row r="3742" spans="20:21" ht="15" customHeight="1" x14ac:dyDescent="0.25">
      <c r="T3742" s="135"/>
      <c r="U3742" s="135"/>
    </row>
    <row r="3743" spans="20:21" ht="15" customHeight="1" x14ac:dyDescent="0.25">
      <c r="T3743" s="135"/>
      <c r="U3743" s="135"/>
    </row>
    <row r="3744" spans="20:21" ht="15" customHeight="1" x14ac:dyDescent="0.25">
      <c r="T3744" s="135"/>
      <c r="U3744" s="135"/>
    </row>
    <row r="3745" spans="20:21" ht="15" customHeight="1" x14ac:dyDescent="0.25">
      <c r="T3745" s="135"/>
      <c r="U3745" s="135"/>
    </row>
    <row r="3746" spans="20:21" ht="15" customHeight="1" x14ac:dyDescent="0.25">
      <c r="T3746" s="135"/>
      <c r="U3746" s="135"/>
    </row>
    <row r="3747" spans="20:21" ht="15" customHeight="1" x14ac:dyDescent="0.25">
      <c r="T3747" s="135"/>
      <c r="U3747" s="135"/>
    </row>
    <row r="3748" spans="20:21" ht="15" customHeight="1" x14ac:dyDescent="0.25">
      <c r="T3748" s="135"/>
      <c r="U3748" s="135"/>
    </row>
    <row r="3749" spans="20:21" ht="15" customHeight="1" x14ac:dyDescent="0.25">
      <c r="T3749" s="135"/>
      <c r="U3749" s="135"/>
    </row>
    <row r="3750" spans="20:21" ht="15" customHeight="1" x14ac:dyDescent="0.25">
      <c r="T3750" s="135"/>
      <c r="U3750" s="135"/>
    </row>
    <row r="3751" spans="20:21" ht="15" customHeight="1" x14ac:dyDescent="0.25">
      <c r="T3751" s="135"/>
      <c r="U3751" s="135"/>
    </row>
    <row r="3752" spans="20:21" ht="15" customHeight="1" x14ac:dyDescent="0.25">
      <c r="T3752" s="135"/>
      <c r="U3752" s="135"/>
    </row>
    <row r="3753" spans="20:21" ht="15" customHeight="1" x14ac:dyDescent="0.25">
      <c r="T3753" s="135"/>
      <c r="U3753" s="135"/>
    </row>
    <row r="3754" spans="20:21" ht="15" customHeight="1" x14ac:dyDescent="0.25">
      <c r="T3754" s="135"/>
      <c r="U3754" s="135"/>
    </row>
    <row r="3755" spans="20:21" ht="15" customHeight="1" x14ac:dyDescent="0.25">
      <c r="T3755" s="135"/>
      <c r="U3755" s="135"/>
    </row>
    <row r="3756" spans="20:21" ht="15" customHeight="1" x14ac:dyDescent="0.25">
      <c r="T3756" s="135"/>
      <c r="U3756" s="135"/>
    </row>
    <row r="3757" spans="20:21" ht="15" customHeight="1" x14ac:dyDescent="0.25">
      <c r="T3757" s="135"/>
      <c r="U3757" s="135"/>
    </row>
    <row r="3758" spans="20:21" ht="15" customHeight="1" x14ac:dyDescent="0.25">
      <c r="T3758" s="135"/>
      <c r="U3758" s="135"/>
    </row>
    <row r="3759" spans="20:21" ht="15" customHeight="1" x14ac:dyDescent="0.25">
      <c r="T3759" s="135"/>
      <c r="U3759" s="135"/>
    </row>
    <row r="3760" spans="20:21" ht="15" customHeight="1" x14ac:dyDescent="0.25">
      <c r="T3760" s="135"/>
      <c r="U3760" s="135"/>
    </row>
    <row r="3761" spans="20:21" ht="15" customHeight="1" x14ac:dyDescent="0.25">
      <c r="T3761" s="135"/>
      <c r="U3761" s="135"/>
    </row>
    <row r="3762" spans="20:21" ht="15" customHeight="1" x14ac:dyDescent="0.25">
      <c r="T3762" s="135"/>
      <c r="U3762" s="135"/>
    </row>
    <row r="3763" spans="20:21" ht="15" customHeight="1" x14ac:dyDescent="0.25">
      <c r="T3763" s="135"/>
      <c r="U3763" s="135"/>
    </row>
    <row r="3764" spans="20:21" ht="15" customHeight="1" x14ac:dyDescent="0.25">
      <c r="T3764" s="135"/>
      <c r="U3764" s="135"/>
    </row>
    <row r="3765" spans="20:21" ht="15" customHeight="1" x14ac:dyDescent="0.25">
      <c r="T3765" s="135"/>
      <c r="U3765" s="135"/>
    </row>
    <row r="3766" spans="20:21" ht="15" customHeight="1" x14ac:dyDescent="0.25">
      <c r="T3766" s="135"/>
      <c r="U3766" s="135"/>
    </row>
    <row r="3767" spans="20:21" ht="15" customHeight="1" x14ac:dyDescent="0.25">
      <c r="T3767" s="135"/>
      <c r="U3767" s="135"/>
    </row>
    <row r="3768" spans="20:21" ht="15" customHeight="1" x14ac:dyDescent="0.25">
      <c r="T3768" s="135"/>
      <c r="U3768" s="135"/>
    </row>
    <row r="3769" spans="20:21" ht="15" customHeight="1" x14ac:dyDescent="0.25">
      <c r="T3769" s="135"/>
      <c r="U3769" s="135"/>
    </row>
    <row r="3770" spans="20:21" ht="15" customHeight="1" x14ac:dyDescent="0.25">
      <c r="T3770" s="135"/>
      <c r="U3770" s="135"/>
    </row>
    <row r="3771" spans="20:21" ht="15" customHeight="1" x14ac:dyDescent="0.25">
      <c r="T3771" s="135"/>
      <c r="U3771" s="135"/>
    </row>
    <row r="3772" spans="20:21" ht="15" customHeight="1" x14ac:dyDescent="0.25">
      <c r="T3772" s="135"/>
      <c r="U3772" s="135"/>
    </row>
    <row r="3773" spans="20:21" ht="15" customHeight="1" x14ac:dyDescent="0.25">
      <c r="T3773" s="135"/>
      <c r="U3773" s="135"/>
    </row>
    <row r="3774" spans="20:21" ht="15" customHeight="1" x14ac:dyDescent="0.25">
      <c r="T3774" s="135"/>
      <c r="U3774" s="135"/>
    </row>
    <row r="3775" spans="20:21" ht="15" customHeight="1" x14ac:dyDescent="0.25">
      <c r="T3775" s="135"/>
      <c r="U3775" s="135"/>
    </row>
    <row r="3776" spans="20:21" ht="15" customHeight="1" x14ac:dyDescent="0.25">
      <c r="T3776" s="135"/>
      <c r="U3776" s="135"/>
    </row>
    <row r="3777" spans="20:21" ht="15" customHeight="1" x14ac:dyDescent="0.25">
      <c r="T3777" s="135"/>
      <c r="U3777" s="135"/>
    </row>
    <row r="3778" spans="20:21" ht="15" customHeight="1" x14ac:dyDescent="0.25">
      <c r="T3778" s="135"/>
      <c r="U3778" s="135"/>
    </row>
    <row r="3779" spans="20:21" ht="15" customHeight="1" x14ac:dyDescent="0.25">
      <c r="T3779" s="135"/>
      <c r="U3779" s="135"/>
    </row>
    <row r="3780" spans="20:21" ht="15" customHeight="1" x14ac:dyDescent="0.25">
      <c r="T3780" s="135"/>
      <c r="U3780" s="135"/>
    </row>
    <row r="3781" spans="20:21" ht="15" customHeight="1" x14ac:dyDescent="0.25">
      <c r="T3781" s="135"/>
      <c r="U3781" s="135"/>
    </row>
    <row r="3782" spans="20:21" ht="15" customHeight="1" x14ac:dyDescent="0.25">
      <c r="T3782" s="135"/>
      <c r="U3782" s="135"/>
    </row>
    <row r="3783" spans="20:21" ht="15" customHeight="1" x14ac:dyDescent="0.25">
      <c r="T3783" s="135"/>
      <c r="U3783" s="135"/>
    </row>
    <row r="3784" spans="20:21" ht="15" customHeight="1" x14ac:dyDescent="0.25">
      <c r="T3784" s="135"/>
      <c r="U3784" s="135"/>
    </row>
    <row r="3785" spans="20:21" ht="15" customHeight="1" x14ac:dyDescent="0.25">
      <c r="T3785" s="135"/>
      <c r="U3785" s="135"/>
    </row>
    <row r="3786" spans="20:21" ht="15" customHeight="1" x14ac:dyDescent="0.25">
      <c r="T3786" s="135"/>
      <c r="U3786" s="135"/>
    </row>
    <row r="3787" spans="20:21" ht="15" customHeight="1" x14ac:dyDescent="0.25">
      <c r="T3787" s="135"/>
      <c r="U3787" s="135"/>
    </row>
    <row r="3788" spans="20:21" ht="15" customHeight="1" x14ac:dyDescent="0.25">
      <c r="T3788" s="135"/>
      <c r="U3788" s="135"/>
    </row>
    <row r="3789" spans="20:21" ht="15" customHeight="1" x14ac:dyDescent="0.25">
      <c r="T3789" s="135"/>
      <c r="U3789" s="135"/>
    </row>
    <row r="3790" spans="20:21" ht="15" customHeight="1" x14ac:dyDescent="0.25">
      <c r="T3790" s="135"/>
      <c r="U3790" s="135"/>
    </row>
    <row r="3791" spans="20:21" ht="15" customHeight="1" x14ac:dyDescent="0.25">
      <c r="T3791" s="135"/>
      <c r="U3791" s="135"/>
    </row>
    <row r="3792" spans="20:21" ht="15" customHeight="1" x14ac:dyDescent="0.25">
      <c r="T3792" s="135"/>
      <c r="U3792" s="135"/>
    </row>
    <row r="3793" spans="20:21" ht="15" customHeight="1" x14ac:dyDescent="0.25">
      <c r="T3793" s="135"/>
      <c r="U3793" s="135"/>
    </row>
    <row r="3794" spans="20:21" ht="15" customHeight="1" x14ac:dyDescent="0.25">
      <c r="T3794" s="135"/>
      <c r="U3794" s="135"/>
    </row>
    <row r="3795" spans="20:21" ht="15" customHeight="1" x14ac:dyDescent="0.25">
      <c r="T3795" s="135"/>
      <c r="U3795" s="135"/>
    </row>
    <row r="3796" spans="20:21" ht="15" customHeight="1" x14ac:dyDescent="0.25">
      <c r="T3796" s="135"/>
      <c r="U3796" s="135"/>
    </row>
    <row r="3797" spans="20:21" ht="15" customHeight="1" x14ac:dyDescent="0.25">
      <c r="T3797" s="135"/>
      <c r="U3797" s="135"/>
    </row>
    <row r="3798" spans="20:21" ht="15" customHeight="1" x14ac:dyDescent="0.25">
      <c r="T3798" s="135"/>
      <c r="U3798" s="135"/>
    </row>
    <row r="3799" spans="20:21" ht="15" customHeight="1" x14ac:dyDescent="0.25">
      <c r="T3799" s="135"/>
      <c r="U3799" s="135"/>
    </row>
    <row r="3800" spans="20:21" ht="15" customHeight="1" x14ac:dyDescent="0.25">
      <c r="T3800" s="135"/>
      <c r="U3800" s="135"/>
    </row>
    <row r="3801" spans="20:21" ht="15" customHeight="1" x14ac:dyDescent="0.25">
      <c r="T3801" s="135"/>
      <c r="U3801" s="135"/>
    </row>
    <row r="3802" spans="20:21" ht="15" customHeight="1" x14ac:dyDescent="0.25">
      <c r="T3802" s="135"/>
      <c r="U3802" s="135"/>
    </row>
    <row r="3803" spans="20:21" ht="15" customHeight="1" x14ac:dyDescent="0.25">
      <c r="T3803" s="135"/>
      <c r="U3803" s="135"/>
    </row>
    <row r="3804" spans="20:21" ht="15" customHeight="1" x14ac:dyDescent="0.25">
      <c r="T3804" s="135"/>
      <c r="U3804" s="135"/>
    </row>
    <row r="3805" spans="20:21" ht="15" customHeight="1" x14ac:dyDescent="0.25">
      <c r="T3805" s="135"/>
      <c r="U3805" s="135"/>
    </row>
    <row r="3806" spans="20:21" ht="15" customHeight="1" x14ac:dyDescent="0.25">
      <c r="T3806" s="135"/>
      <c r="U3806" s="135"/>
    </row>
    <row r="3807" spans="20:21" ht="15" customHeight="1" x14ac:dyDescent="0.25">
      <c r="T3807" s="135"/>
      <c r="U3807" s="135"/>
    </row>
    <row r="3808" spans="20:21" ht="15" customHeight="1" x14ac:dyDescent="0.25">
      <c r="T3808" s="135"/>
      <c r="U3808" s="135"/>
    </row>
    <row r="3809" spans="20:21" ht="15" customHeight="1" x14ac:dyDescent="0.25">
      <c r="T3809" s="135"/>
      <c r="U3809" s="135"/>
    </row>
    <row r="3810" spans="20:21" ht="15" customHeight="1" x14ac:dyDescent="0.25">
      <c r="T3810" s="135"/>
      <c r="U3810" s="135"/>
    </row>
    <row r="3811" spans="20:21" ht="15" customHeight="1" x14ac:dyDescent="0.25">
      <c r="T3811" s="135"/>
      <c r="U3811" s="135"/>
    </row>
    <row r="3812" spans="20:21" ht="15" customHeight="1" x14ac:dyDescent="0.25">
      <c r="T3812" s="135"/>
      <c r="U3812" s="135"/>
    </row>
    <row r="3813" spans="20:21" ht="15" customHeight="1" x14ac:dyDescent="0.25">
      <c r="T3813" s="135"/>
      <c r="U3813" s="135"/>
    </row>
    <row r="3814" spans="20:21" ht="15" customHeight="1" x14ac:dyDescent="0.25">
      <c r="T3814" s="135"/>
      <c r="U3814" s="135"/>
    </row>
    <row r="3815" spans="20:21" ht="15" customHeight="1" x14ac:dyDescent="0.25">
      <c r="T3815" s="135"/>
      <c r="U3815" s="135"/>
    </row>
    <row r="3816" spans="20:21" ht="15" customHeight="1" x14ac:dyDescent="0.25">
      <c r="T3816" s="135"/>
      <c r="U3816" s="135"/>
    </row>
    <row r="3817" spans="20:21" ht="15" customHeight="1" x14ac:dyDescent="0.25">
      <c r="T3817" s="135"/>
      <c r="U3817" s="135"/>
    </row>
    <row r="3818" spans="20:21" ht="15" customHeight="1" x14ac:dyDescent="0.25">
      <c r="T3818" s="135"/>
      <c r="U3818" s="135"/>
    </row>
    <row r="3819" spans="20:21" ht="15" customHeight="1" x14ac:dyDescent="0.25">
      <c r="T3819" s="135"/>
      <c r="U3819" s="135"/>
    </row>
    <row r="3820" spans="20:21" ht="15" customHeight="1" x14ac:dyDescent="0.25">
      <c r="T3820" s="135"/>
      <c r="U3820" s="135"/>
    </row>
    <row r="3821" spans="20:21" ht="15" customHeight="1" x14ac:dyDescent="0.25">
      <c r="T3821" s="135"/>
      <c r="U3821" s="135"/>
    </row>
    <row r="3822" spans="20:21" ht="15" customHeight="1" x14ac:dyDescent="0.25">
      <c r="T3822" s="135"/>
      <c r="U3822" s="135"/>
    </row>
    <row r="3823" spans="20:21" ht="15" customHeight="1" x14ac:dyDescent="0.25">
      <c r="T3823" s="135"/>
      <c r="U3823" s="135"/>
    </row>
    <row r="3824" spans="20:21" ht="15" customHeight="1" x14ac:dyDescent="0.25">
      <c r="T3824" s="135"/>
      <c r="U3824" s="135"/>
    </row>
    <row r="3825" spans="20:21" ht="15" customHeight="1" x14ac:dyDescent="0.25">
      <c r="T3825" s="135"/>
      <c r="U3825" s="135"/>
    </row>
    <row r="3826" spans="20:21" ht="15" customHeight="1" x14ac:dyDescent="0.25">
      <c r="T3826" s="135"/>
      <c r="U3826" s="135"/>
    </row>
    <row r="3827" spans="20:21" ht="15" customHeight="1" x14ac:dyDescent="0.25">
      <c r="T3827" s="135"/>
      <c r="U3827" s="135"/>
    </row>
    <row r="3828" spans="20:21" ht="15" customHeight="1" x14ac:dyDescent="0.25">
      <c r="T3828" s="135"/>
      <c r="U3828" s="135"/>
    </row>
    <row r="3829" spans="20:21" ht="15" customHeight="1" x14ac:dyDescent="0.25">
      <c r="T3829" s="135"/>
      <c r="U3829" s="135"/>
    </row>
    <row r="3830" spans="20:21" ht="15" customHeight="1" x14ac:dyDescent="0.25">
      <c r="T3830" s="135"/>
      <c r="U3830" s="135"/>
    </row>
    <row r="3831" spans="20:21" ht="15" customHeight="1" x14ac:dyDescent="0.25">
      <c r="T3831" s="135"/>
      <c r="U3831" s="135"/>
    </row>
    <row r="3832" spans="20:21" ht="15" customHeight="1" x14ac:dyDescent="0.25">
      <c r="T3832" s="135"/>
      <c r="U3832" s="135"/>
    </row>
    <row r="3833" spans="20:21" ht="15" customHeight="1" x14ac:dyDescent="0.25">
      <c r="T3833" s="135"/>
      <c r="U3833" s="135"/>
    </row>
    <row r="3834" spans="20:21" ht="15" customHeight="1" x14ac:dyDescent="0.25">
      <c r="T3834" s="135"/>
      <c r="U3834" s="135"/>
    </row>
    <row r="3835" spans="20:21" ht="15" customHeight="1" x14ac:dyDescent="0.25">
      <c r="T3835" s="135"/>
      <c r="U3835" s="135"/>
    </row>
    <row r="3836" spans="20:21" ht="15" customHeight="1" x14ac:dyDescent="0.25">
      <c r="T3836" s="135"/>
      <c r="U3836" s="135"/>
    </row>
    <row r="3837" spans="20:21" ht="15" customHeight="1" x14ac:dyDescent="0.25">
      <c r="T3837" s="135"/>
      <c r="U3837" s="135"/>
    </row>
    <row r="3838" spans="20:21" ht="15" customHeight="1" x14ac:dyDescent="0.25">
      <c r="T3838" s="135"/>
      <c r="U3838" s="135"/>
    </row>
    <row r="3839" spans="20:21" ht="15" customHeight="1" x14ac:dyDescent="0.25">
      <c r="T3839" s="135"/>
      <c r="U3839" s="135"/>
    </row>
    <row r="3840" spans="20:21" ht="15" customHeight="1" x14ac:dyDescent="0.25">
      <c r="T3840" s="135"/>
      <c r="U3840" s="135"/>
    </row>
    <row r="3841" spans="20:21" ht="15" customHeight="1" x14ac:dyDescent="0.25">
      <c r="T3841" s="135"/>
      <c r="U3841" s="135"/>
    </row>
    <row r="3842" spans="20:21" ht="15" customHeight="1" x14ac:dyDescent="0.25">
      <c r="T3842" s="135"/>
      <c r="U3842" s="135"/>
    </row>
    <row r="3843" spans="20:21" ht="15" customHeight="1" x14ac:dyDescent="0.25">
      <c r="T3843" s="135"/>
      <c r="U3843" s="135"/>
    </row>
    <row r="3844" spans="20:21" ht="15" customHeight="1" x14ac:dyDescent="0.25">
      <c r="T3844" s="135"/>
      <c r="U3844" s="135"/>
    </row>
    <row r="3845" spans="20:21" ht="15" customHeight="1" x14ac:dyDescent="0.25">
      <c r="T3845" s="135"/>
      <c r="U3845" s="135"/>
    </row>
    <row r="3846" spans="20:21" ht="15" customHeight="1" x14ac:dyDescent="0.25">
      <c r="T3846" s="135"/>
      <c r="U3846" s="135"/>
    </row>
    <row r="3847" spans="20:21" ht="15" customHeight="1" x14ac:dyDescent="0.25">
      <c r="T3847" s="135"/>
      <c r="U3847" s="135"/>
    </row>
    <row r="3848" spans="20:21" ht="15" customHeight="1" x14ac:dyDescent="0.25">
      <c r="T3848" s="135"/>
      <c r="U3848" s="135"/>
    </row>
    <row r="3849" spans="20:21" ht="15" customHeight="1" x14ac:dyDescent="0.25">
      <c r="T3849" s="135"/>
      <c r="U3849" s="135"/>
    </row>
    <row r="3850" spans="20:21" ht="15" customHeight="1" x14ac:dyDescent="0.25">
      <c r="T3850" s="135"/>
      <c r="U3850" s="135"/>
    </row>
    <row r="3851" spans="20:21" ht="15" customHeight="1" x14ac:dyDescent="0.25">
      <c r="T3851" s="135"/>
      <c r="U3851" s="135"/>
    </row>
    <row r="3852" spans="20:21" ht="15" customHeight="1" x14ac:dyDescent="0.25">
      <c r="T3852" s="135"/>
      <c r="U3852" s="135"/>
    </row>
    <row r="3853" spans="20:21" ht="15" customHeight="1" x14ac:dyDescent="0.25">
      <c r="T3853" s="135"/>
      <c r="U3853" s="135"/>
    </row>
    <row r="3854" spans="20:21" ht="15" customHeight="1" x14ac:dyDescent="0.25">
      <c r="T3854" s="135"/>
      <c r="U3854" s="135"/>
    </row>
    <row r="3855" spans="20:21" ht="15" customHeight="1" x14ac:dyDescent="0.25">
      <c r="T3855" s="135"/>
      <c r="U3855" s="135"/>
    </row>
    <row r="3856" spans="20:21" ht="15" customHeight="1" x14ac:dyDescent="0.25">
      <c r="T3856" s="135"/>
      <c r="U3856" s="135"/>
    </row>
    <row r="3857" spans="20:21" ht="15" customHeight="1" x14ac:dyDescent="0.25">
      <c r="T3857" s="135"/>
      <c r="U3857" s="135"/>
    </row>
    <row r="3858" spans="20:21" ht="15" customHeight="1" x14ac:dyDescent="0.25">
      <c r="T3858" s="135"/>
      <c r="U3858" s="135"/>
    </row>
    <row r="3859" spans="20:21" ht="15" customHeight="1" x14ac:dyDescent="0.25">
      <c r="T3859" s="135"/>
      <c r="U3859" s="135"/>
    </row>
    <row r="3860" spans="20:21" ht="15" customHeight="1" x14ac:dyDescent="0.25">
      <c r="T3860" s="135"/>
      <c r="U3860" s="135"/>
    </row>
    <row r="3861" spans="20:21" ht="15" customHeight="1" x14ac:dyDescent="0.25">
      <c r="T3861" s="135"/>
      <c r="U3861" s="135"/>
    </row>
    <row r="3862" spans="20:21" ht="15" customHeight="1" x14ac:dyDescent="0.25">
      <c r="T3862" s="135"/>
      <c r="U3862" s="135"/>
    </row>
    <row r="3863" spans="20:21" ht="15" customHeight="1" x14ac:dyDescent="0.25">
      <c r="T3863" s="135"/>
      <c r="U3863" s="135"/>
    </row>
    <row r="3864" spans="20:21" ht="15" customHeight="1" x14ac:dyDescent="0.25">
      <c r="T3864" s="135"/>
      <c r="U3864" s="135"/>
    </row>
    <row r="3865" spans="20:21" ht="15" customHeight="1" x14ac:dyDescent="0.25">
      <c r="T3865" s="135"/>
      <c r="U3865" s="135"/>
    </row>
    <row r="3866" spans="20:21" ht="15" customHeight="1" x14ac:dyDescent="0.25">
      <c r="T3866" s="135"/>
      <c r="U3866" s="135"/>
    </row>
    <row r="3867" spans="20:21" ht="15" customHeight="1" x14ac:dyDescent="0.25">
      <c r="T3867" s="135"/>
      <c r="U3867" s="135"/>
    </row>
    <row r="3868" spans="20:21" ht="15" customHeight="1" x14ac:dyDescent="0.25">
      <c r="T3868" s="135"/>
      <c r="U3868" s="135"/>
    </row>
    <row r="3869" spans="20:21" ht="15" customHeight="1" x14ac:dyDescent="0.25">
      <c r="T3869" s="135"/>
      <c r="U3869" s="135"/>
    </row>
    <row r="3870" spans="20:21" ht="15" customHeight="1" x14ac:dyDescent="0.25">
      <c r="T3870" s="135"/>
      <c r="U3870" s="135"/>
    </row>
    <row r="3871" spans="20:21" ht="15" customHeight="1" x14ac:dyDescent="0.25">
      <c r="T3871" s="135"/>
      <c r="U3871" s="135"/>
    </row>
    <row r="3872" spans="20:21" ht="15" customHeight="1" x14ac:dyDescent="0.25">
      <c r="T3872" s="135"/>
      <c r="U3872" s="135"/>
    </row>
    <row r="3873" spans="20:21" ht="15" customHeight="1" x14ac:dyDescent="0.25">
      <c r="T3873" s="135"/>
      <c r="U3873" s="135"/>
    </row>
    <row r="3874" spans="20:21" ht="15" customHeight="1" x14ac:dyDescent="0.25">
      <c r="T3874" s="135"/>
      <c r="U3874" s="135"/>
    </row>
    <row r="3875" spans="20:21" ht="15" customHeight="1" x14ac:dyDescent="0.25">
      <c r="T3875" s="135"/>
      <c r="U3875" s="135"/>
    </row>
    <row r="3876" spans="20:21" ht="15" customHeight="1" x14ac:dyDescent="0.25">
      <c r="T3876" s="135"/>
      <c r="U3876" s="135"/>
    </row>
    <row r="3877" spans="20:21" ht="15" customHeight="1" x14ac:dyDescent="0.25">
      <c r="T3877" s="135"/>
      <c r="U3877" s="135"/>
    </row>
    <row r="3878" spans="20:21" ht="15" customHeight="1" x14ac:dyDescent="0.25">
      <c r="T3878" s="135"/>
      <c r="U3878" s="135"/>
    </row>
    <row r="3879" spans="20:21" ht="15" customHeight="1" x14ac:dyDescent="0.25">
      <c r="T3879" s="135"/>
      <c r="U3879" s="135"/>
    </row>
    <row r="3880" spans="20:21" ht="15" customHeight="1" x14ac:dyDescent="0.25">
      <c r="T3880" s="135"/>
      <c r="U3880" s="135"/>
    </row>
    <row r="3881" spans="20:21" ht="15" customHeight="1" x14ac:dyDescent="0.25">
      <c r="T3881" s="135"/>
      <c r="U3881" s="135"/>
    </row>
    <row r="3882" spans="20:21" ht="15" customHeight="1" x14ac:dyDescent="0.25">
      <c r="T3882" s="135"/>
      <c r="U3882" s="135"/>
    </row>
    <row r="3883" spans="20:21" ht="15" customHeight="1" x14ac:dyDescent="0.25">
      <c r="T3883" s="135"/>
      <c r="U3883" s="135"/>
    </row>
    <row r="3884" spans="20:21" ht="15" customHeight="1" x14ac:dyDescent="0.25">
      <c r="T3884" s="135"/>
      <c r="U3884" s="135"/>
    </row>
    <row r="3885" spans="20:21" ht="15" customHeight="1" x14ac:dyDescent="0.25">
      <c r="T3885" s="135"/>
      <c r="U3885" s="135"/>
    </row>
    <row r="3886" spans="20:21" ht="15" customHeight="1" x14ac:dyDescent="0.25">
      <c r="T3886" s="135"/>
      <c r="U3886" s="135"/>
    </row>
    <row r="3887" spans="20:21" ht="15" customHeight="1" x14ac:dyDescent="0.25">
      <c r="T3887" s="135"/>
      <c r="U3887" s="135"/>
    </row>
    <row r="3888" spans="20:21" ht="15" customHeight="1" x14ac:dyDescent="0.25">
      <c r="T3888" s="135"/>
      <c r="U3888" s="135"/>
    </row>
    <row r="3889" spans="20:21" ht="15" customHeight="1" x14ac:dyDescent="0.25">
      <c r="T3889" s="135"/>
      <c r="U3889" s="135"/>
    </row>
    <row r="3890" spans="20:21" ht="15" customHeight="1" x14ac:dyDescent="0.25">
      <c r="T3890" s="135"/>
      <c r="U3890" s="135"/>
    </row>
    <row r="3891" spans="20:21" ht="15" customHeight="1" x14ac:dyDescent="0.25">
      <c r="T3891" s="135"/>
      <c r="U3891" s="135"/>
    </row>
    <row r="3892" spans="20:21" ht="15" customHeight="1" x14ac:dyDescent="0.25">
      <c r="T3892" s="135"/>
      <c r="U3892" s="135"/>
    </row>
    <row r="3893" spans="20:21" ht="15" customHeight="1" x14ac:dyDescent="0.25">
      <c r="T3893" s="135"/>
      <c r="U3893" s="135"/>
    </row>
    <row r="3894" spans="20:21" ht="15" customHeight="1" x14ac:dyDescent="0.25">
      <c r="T3894" s="135"/>
      <c r="U3894" s="135"/>
    </row>
    <row r="3895" spans="20:21" ht="15" customHeight="1" x14ac:dyDescent="0.25">
      <c r="T3895" s="135"/>
      <c r="U3895" s="135"/>
    </row>
    <row r="3896" spans="20:21" ht="15" customHeight="1" x14ac:dyDescent="0.25">
      <c r="T3896" s="135"/>
      <c r="U3896" s="135"/>
    </row>
    <row r="3897" spans="20:21" ht="15" customHeight="1" x14ac:dyDescent="0.25">
      <c r="T3897" s="135"/>
      <c r="U3897" s="135"/>
    </row>
    <row r="3898" spans="20:21" ht="15" customHeight="1" x14ac:dyDescent="0.25">
      <c r="T3898" s="135"/>
      <c r="U3898" s="135"/>
    </row>
    <row r="3899" spans="20:21" ht="15" customHeight="1" x14ac:dyDescent="0.25">
      <c r="T3899" s="135"/>
      <c r="U3899" s="135"/>
    </row>
    <row r="3900" spans="20:21" ht="15" customHeight="1" x14ac:dyDescent="0.25">
      <c r="T3900" s="135"/>
      <c r="U3900" s="135"/>
    </row>
    <row r="3901" spans="20:21" ht="15" customHeight="1" x14ac:dyDescent="0.25">
      <c r="T3901" s="135"/>
      <c r="U3901" s="135"/>
    </row>
    <row r="3902" spans="20:21" ht="15" customHeight="1" x14ac:dyDescent="0.25">
      <c r="T3902" s="135"/>
      <c r="U3902" s="135"/>
    </row>
    <row r="3903" spans="20:21" ht="15" customHeight="1" x14ac:dyDescent="0.25">
      <c r="T3903" s="135"/>
      <c r="U3903" s="135"/>
    </row>
    <row r="3904" spans="20:21" ht="15" customHeight="1" x14ac:dyDescent="0.25">
      <c r="T3904" s="135"/>
      <c r="U3904" s="135"/>
    </row>
    <row r="3905" spans="20:21" ht="15" customHeight="1" x14ac:dyDescent="0.25">
      <c r="T3905" s="135"/>
      <c r="U3905" s="135"/>
    </row>
    <row r="3906" spans="20:21" ht="15" customHeight="1" x14ac:dyDescent="0.25">
      <c r="T3906" s="135"/>
      <c r="U3906" s="135"/>
    </row>
    <row r="3907" spans="20:21" ht="15" customHeight="1" x14ac:dyDescent="0.25">
      <c r="T3907" s="135"/>
      <c r="U3907" s="135"/>
    </row>
    <row r="3908" spans="20:21" ht="15" customHeight="1" x14ac:dyDescent="0.25">
      <c r="T3908" s="135"/>
      <c r="U3908" s="135"/>
    </row>
    <row r="3909" spans="20:21" ht="15" customHeight="1" x14ac:dyDescent="0.25">
      <c r="T3909" s="135"/>
      <c r="U3909" s="135"/>
    </row>
    <row r="3910" spans="20:21" ht="15" customHeight="1" x14ac:dyDescent="0.25">
      <c r="T3910" s="135"/>
      <c r="U3910" s="135"/>
    </row>
    <row r="3911" spans="20:21" ht="15" customHeight="1" x14ac:dyDescent="0.25">
      <c r="T3911" s="135"/>
      <c r="U3911" s="135"/>
    </row>
    <row r="3912" spans="20:21" ht="15" customHeight="1" x14ac:dyDescent="0.25">
      <c r="T3912" s="135"/>
      <c r="U3912" s="135"/>
    </row>
    <row r="3913" spans="20:21" ht="15" customHeight="1" x14ac:dyDescent="0.25">
      <c r="T3913" s="135"/>
      <c r="U3913" s="135"/>
    </row>
    <row r="3914" spans="20:21" ht="15" customHeight="1" x14ac:dyDescent="0.25">
      <c r="T3914" s="135"/>
      <c r="U3914" s="135"/>
    </row>
    <row r="3915" spans="20:21" ht="15" customHeight="1" x14ac:dyDescent="0.25">
      <c r="T3915" s="135"/>
      <c r="U3915" s="135"/>
    </row>
    <row r="3916" spans="20:21" ht="15" customHeight="1" x14ac:dyDescent="0.25">
      <c r="T3916" s="135"/>
      <c r="U3916" s="135"/>
    </row>
    <row r="3917" spans="20:21" ht="15" customHeight="1" x14ac:dyDescent="0.25">
      <c r="T3917" s="135"/>
      <c r="U3917" s="135"/>
    </row>
    <row r="3918" spans="20:21" ht="15" customHeight="1" x14ac:dyDescent="0.25">
      <c r="T3918" s="135"/>
      <c r="U3918" s="135"/>
    </row>
    <row r="3919" spans="20:21" ht="15" customHeight="1" x14ac:dyDescent="0.25">
      <c r="T3919" s="135"/>
      <c r="U3919" s="135"/>
    </row>
    <row r="3920" spans="20:21" ht="15" customHeight="1" x14ac:dyDescent="0.25">
      <c r="T3920" s="135"/>
      <c r="U3920" s="135"/>
    </row>
    <row r="3921" spans="20:21" ht="15" customHeight="1" x14ac:dyDescent="0.25">
      <c r="T3921" s="135"/>
      <c r="U3921" s="135"/>
    </row>
    <row r="3922" spans="20:21" ht="15" customHeight="1" x14ac:dyDescent="0.25">
      <c r="T3922" s="135"/>
      <c r="U3922" s="135"/>
    </row>
    <row r="3923" spans="20:21" ht="15" customHeight="1" x14ac:dyDescent="0.25">
      <c r="T3923" s="135"/>
      <c r="U3923" s="135"/>
    </row>
    <row r="3924" spans="20:21" ht="15" customHeight="1" x14ac:dyDescent="0.25">
      <c r="T3924" s="135"/>
      <c r="U3924" s="135"/>
    </row>
    <row r="3925" spans="20:21" ht="15" customHeight="1" x14ac:dyDescent="0.25">
      <c r="T3925" s="135"/>
      <c r="U3925" s="135"/>
    </row>
    <row r="3926" spans="20:21" ht="15" customHeight="1" x14ac:dyDescent="0.25">
      <c r="T3926" s="135"/>
      <c r="U3926" s="135"/>
    </row>
    <row r="3927" spans="20:21" ht="15" customHeight="1" x14ac:dyDescent="0.25">
      <c r="T3927" s="135"/>
      <c r="U3927" s="135"/>
    </row>
    <row r="3928" spans="20:21" ht="15" customHeight="1" x14ac:dyDescent="0.25">
      <c r="T3928" s="135"/>
      <c r="U3928" s="135"/>
    </row>
    <row r="3929" spans="20:21" ht="15" customHeight="1" x14ac:dyDescent="0.25">
      <c r="T3929" s="135"/>
      <c r="U3929" s="135"/>
    </row>
    <row r="3930" spans="20:21" ht="15" customHeight="1" x14ac:dyDescent="0.25">
      <c r="T3930" s="135"/>
      <c r="U3930" s="135"/>
    </row>
    <row r="3931" spans="20:21" ht="15" customHeight="1" x14ac:dyDescent="0.25">
      <c r="T3931" s="135"/>
      <c r="U3931" s="135"/>
    </row>
    <row r="3932" spans="20:21" ht="15" customHeight="1" x14ac:dyDescent="0.25">
      <c r="T3932" s="135"/>
      <c r="U3932" s="135"/>
    </row>
    <row r="3933" spans="20:21" ht="15" customHeight="1" x14ac:dyDescent="0.25">
      <c r="T3933" s="135"/>
      <c r="U3933" s="135"/>
    </row>
    <row r="3934" spans="20:21" ht="15" customHeight="1" x14ac:dyDescent="0.25">
      <c r="T3934" s="135"/>
      <c r="U3934" s="135"/>
    </row>
    <row r="3935" spans="20:21" ht="15" customHeight="1" x14ac:dyDescent="0.25">
      <c r="T3935" s="135"/>
      <c r="U3935" s="135"/>
    </row>
    <row r="3936" spans="20:21" ht="15" customHeight="1" x14ac:dyDescent="0.25">
      <c r="T3936" s="135"/>
      <c r="U3936" s="135"/>
    </row>
    <row r="3937" spans="20:21" ht="15" customHeight="1" x14ac:dyDescent="0.25">
      <c r="T3937" s="135"/>
      <c r="U3937" s="135"/>
    </row>
    <row r="3938" spans="20:21" ht="15" customHeight="1" x14ac:dyDescent="0.25">
      <c r="T3938" s="135"/>
      <c r="U3938" s="135"/>
    </row>
    <row r="3939" spans="20:21" ht="15" customHeight="1" x14ac:dyDescent="0.25">
      <c r="T3939" s="135"/>
      <c r="U3939" s="135"/>
    </row>
    <row r="3940" spans="20:21" ht="15" customHeight="1" x14ac:dyDescent="0.25">
      <c r="T3940" s="135"/>
      <c r="U3940" s="135"/>
    </row>
    <row r="3941" spans="20:21" ht="15" customHeight="1" x14ac:dyDescent="0.25">
      <c r="T3941" s="135"/>
      <c r="U3941" s="135"/>
    </row>
    <row r="3942" spans="20:21" ht="15" customHeight="1" x14ac:dyDescent="0.25">
      <c r="T3942" s="135"/>
      <c r="U3942" s="135"/>
    </row>
    <row r="3943" spans="20:21" ht="15" customHeight="1" x14ac:dyDescent="0.25">
      <c r="T3943" s="135"/>
      <c r="U3943" s="135"/>
    </row>
    <row r="3944" spans="20:21" ht="15" customHeight="1" x14ac:dyDescent="0.25">
      <c r="T3944" s="135"/>
      <c r="U3944" s="135"/>
    </row>
    <row r="3945" spans="20:21" ht="15" customHeight="1" x14ac:dyDescent="0.25">
      <c r="T3945" s="135"/>
      <c r="U3945" s="135"/>
    </row>
    <row r="3946" spans="20:21" ht="15" customHeight="1" x14ac:dyDescent="0.25">
      <c r="T3946" s="135"/>
      <c r="U3946" s="135"/>
    </row>
    <row r="3947" spans="20:21" ht="15" customHeight="1" x14ac:dyDescent="0.25">
      <c r="T3947" s="135"/>
      <c r="U3947" s="135"/>
    </row>
    <row r="3948" spans="20:21" ht="15" customHeight="1" x14ac:dyDescent="0.25">
      <c r="T3948" s="135"/>
      <c r="U3948" s="135"/>
    </row>
    <row r="3949" spans="20:21" ht="15" customHeight="1" x14ac:dyDescent="0.25">
      <c r="T3949" s="135"/>
      <c r="U3949" s="135"/>
    </row>
    <row r="3950" spans="20:21" ht="15" customHeight="1" x14ac:dyDescent="0.25">
      <c r="T3950" s="135"/>
      <c r="U3950" s="135"/>
    </row>
    <row r="3951" spans="20:21" ht="15" customHeight="1" x14ac:dyDescent="0.25">
      <c r="T3951" s="135"/>
      <c r="U3951" s="135"/>
    </row>
    <row r="3952" spans="20:21" ht="15" customHeight="1" x14ac:dyDescent="0.25">
      <c r="T3952" s="135"/>
      <c r="U3952" s="135"/>
    </row>
    <row r="3953" spans="20:21" ht="15" customHeight="1" x14ac:dyDescent="0.25">
      <c r="T3953" s="135"/>
      <c r="U3953" s="135"/>
    </row>
    <row r="3954" spans="20:21" ht="15" customHeight="1" x14ac:dyDescent="0.25">
      <c r="T3954" s="135"/>
      <c r="U3954" s="135"/>
    </row>
    <row r="3955" spans="20:21" ht="15" customHeight="1" x14ac:dyDescent="0.25">
      <c r="T3955" s="135"/>
      <c r="U3955" s="135"/>
    </row>
    <row r="3956" spans="20:21" ht="15" customHeight="1" x14ac:dyDescent="0.25">
      <c r="T3956" s="135"/>
      <c r="U3956" s="135"/>
    </row>
    <row r="3957" spans="20:21" ht="15" customHeight="1" x14ac:dyDescent="0.25">
      <c r="T3957" s="135"/>
      <c r="U3957" s="135"/>
    </row>
    <row r="3958" spans="20:21" ht="15" customHeight="1" x14ac:dyDescent="0.25">
      <c r="T3958" s="135"/>
      <c r="U3958" s="135"/>
    </row>
    <row r="3959" spans="20:21" ht="15" customHeight="1" x14ac:dyDescent="0.25">
      <c r="T3959" s="135"/>
      <c r="U3959" s="135"/>
    </row>
    <row r="3960" spans="20:21" ht="15" customHeight="1" x14ac:dyDescent="0.25">
      <c r="T3960" s="135"/>
      <c r="U3960" s="135"/>
    </row>
    <row r="3961" spans="20:21" ht="15" customHeight="1" x14ac:dyDescent="0.25">
      <c r="T3961" s="135"/>
      <c r="U3961" s="135"/>
    </row>
    <row r="3962" spans="20:21" ht="15" customHeight="1" x14ac:dyDescent="0.25">
      <c r="T3962" s="135"/>
      <c r="U3962" s="135"/>
    </row>
    <row r="3963" spans="20:21" ht="15" customHeight="1" x14ac:dyDescent="0.25">
      <c r="T3963" s="135"/>
      <c r="U3963" s="135"/>
    </row>
    <row r="3964" spans="20:21" ht="15" customHeight="1" x14ac:dyDescent="0.25">
      <c r="T3964" s="135"/>
      <c r="U3964" s="135"/>
    </row>
    <row r="3965" spans="20:21" ht="15" customHeight="1" x14ac:dyDescent="0.25">
      <c r="T3965" s="135"/>
      <c r="U3965" s="135"/>
    </row>
    <row r="3966" spans="20:21" ht="15" customHeight="1" x14ac:dyDescent="0.25">
      <c r="T3966" s="135"/>
      <c r="U3966" s="135"/>
    </row>
    <row r="3967" spans="20:21" ht="15" customHeight="1" x14ac:dyDescent="0.25">
      <c r="T3967" s="135"/>
      <c r="U3967" s="135"/>
    </row>
    <row r="3968" spans="20:21" ht="15" customHeight="1" x14ac:dyDescent="0.25">
      <c r="T3968" s="135"/>
      <c r="U3968" s="135"/>
    </row>
    <row r="3969" spans="20:21" ht="15" customHeight="1" x14ac:dyDescent="0.25">
      <c r="T3969" s="135"/>
      <c r="U3969" s="135"/>
    </row>
    <row r="3970" spans="20:21" ht="15" customHeight="1" x14ac:dyDescent="0.25">
      <c r="T3970" s="135"/>
      <c r="U3970" s="135"/>
    </row>
    <row r="3971" spans="20:21" ht="15" customHeight="1" x14ac:dyDescent="0.25">
      <c r="T3971" s="135"/>
      <c r="U3971" s="135"/>
    </row>
    <row r="3972" spans="20:21" ht="15" customHeight="1" x14ac:dyDescent="0.25">
      <c r="T3972" s="135"/>
      <c r="U3972" s="135"/>
    </row>
    <row r="3973" spans="20:21" ht="15" customHeight="1" x14ac:dyDescent="0.25">
      <c r="T3973" s="135"/>
      <c r="U3973" s="135"/>
    </row>
    <row r="3974" spans="20:21" ht="15" customHeight="1" x14ac:dyDescent="0.25">
      <c r="T3974" s="135"/>
      <c r="U3974" s="135"/>
    </row>
    <row r="3975" spans="20:21" ht="15" customHeight="1" x14ac:dyDescent="0.25">
      <c r="T3975" s="135"/>
      <c r="U3975" s="135"/>
    </row>
    <row r="3976" spans="20:21" ht="15" customHeight="1" x14ac:dyDescent="0.25">
      <c r="T3976" s="135"/>
      <c r="U3976" s="135"/>
    </row>
    <row r="3977" spans="20:21" ht="15" customHeight="1" x14ac:dyDescent="0.25">
      <c r="T3977" s="135"/>
      <c r="U3977" s="135"/>
    </row>
    <row r="3978" spans="20:21" ht="15" customHeight="1" x14ac:dyDescent="0.25">
      <c r="T3978" s="135"/>
      <c r="U3978" s="135"/>
    </row>
    <row r="3979" spans="20:21" ht="15" customHeight="1" x14ac:dyDescent="0.25">
      <c r="T3979" s="135"/>
      <c r="U3979" s="135"/>
    </row>
    <row r="3980" spans="20:21" ht="15" customHeight="1" x14ac:dyDescent="0.25">
      <c r="T3980" s="135"/>
      <c r="U3980" s="135"/>
    </row>
    <row r="3981" spans="20:21" ht="15" customHeight="1" x14ac:dyDescent="0.25">
      <c r="T3981" s="135"/>
      <c r="U3981" s="135"/>
    </row>
    <row r="3982" spans="20:21" ht="15" customHeight="1" x14ac:dyDescent="0.25">
      <c r="T3982" s="135"/>
      <c r="U3982" s="135"/>
    </row>
    <row r="3983" spans="20:21" ht="15" customHeight="1" x14ac:dyDescent="0.25">
      <c r="T3983" s="135"/>
      <c r="U3983" s="135"/>
    </row>
    <row r="3984" spans="20:21" ht="15" customHeight="1" x14ac:dyDescent="0.25">
      <c r="T3984" s="135"/>
      <c r="U3984" s="135"/>
    </row>
    <row r="3985" spans="20:21" ht="15" customHeight="1" x14ac:dyDescent="0.25">
      <c r="T3985" s="135"/>
      <c r="U3985" s="135"/>
    </row>
    <row r="3986" spans="20:21" ht="15" customHeight="1" x14ac:dyDescent="0.25">
      <c r="T3986" s="135"/>
      <c r="U3986" s="135"/>
    </row>
    <row r="3987" spans="20:21" ht="15" customHeight="1" x14ac:dyDescent="0.25">
      <c r="T3987" s="135"/>
      <c r="U3987" s="135"/>
    </row>
    <row r="3988" spans="20:21" ht="15" customHeight="1" x14ac:dyDescent="0.25">
      <c r="T3988" s="135"/>
      <c r="U3988" s="135"/>
    </row>
    <row r="3989" spans="20:21" ht="15" customHeight="1" x14ac:dyDescent="0.25">
      <c r="T3989" s="135"/>
      <c r="U3989" s="135"/>
    </row>
    <row r="3990" spans="20:21" ht="15" customHeight="1" x14ac:dyDescent="0.25">
      <c r="T3990" s="135"/>
      <c r="U3990" s="135"/>
    </row>
    <row r="3991" spans="20:21" ht="15" customHeight="1" x14ac:dyDescent="0.25">
      <c r="T3991" s="135"/>
      <c r="U3991" s="135"/>
    </row>
    <row r="3992" spans="20:21" ht="15" customHeight="1" x14ac:dyDescent="0.25">
      <c r="T3992" s="135"/>
      <c r="U3992" s="135"/>
    </row>
    <row r="3993" spans="20:21" ht="15" customHeight="1" x14ac:dyDescent="0.25">
      <c r="T3993" s="135"/>
      <c r="U3993" s="135"/>
    </row>
    <row r="3994" spans="20:21" ht="15" customHeight="1" x14ac:dyDescent="0.25">
      <c r="T3994" s="135"/>
      <c r="U3994" s="135"/>
    </row>
    <row r="3995" spans="20:21" ht="15" customHeight="1" x14ac:dyDescent="0.25">
      <c r="T3995" s="135"/>
      <c r="U3995" s="135"/>
    </row>
    <row r="3996" spans="20:21" ht="15" customHeight="1" x14ac:dyDescent="0.25">
      <c r="T3996" s="135"/>
      <c r="U3996" s="135"/>
    </row>
    <row r="3997" spans="20:21" ht="15" customHeight="1" x14ac:dyDescent="0.25">
      <c r="T3997" s="135"/>
      <c r="U3997" s="135"/>
    </row>
    <row r="3998" spans="20:21" ht="15" customHeight="1" x14ac:dyDescent="0.25">
      <c r="T3998" s="135"/>
      <c r="U3998" s="135"/>
    </row>
    <row r="3999" spans="20:21" ht="15" customHeight="1" x14ac:dyDescent="0.25">
      <c r="T3999" s="135"/>
      <c r="U3999" s="135"/>
    </row>
    <row r="4000" spans="20:21" ht="15" customHeight="1" x14ac:dyDescent="0.25">
      <c r="T4000" s="135"/>
      <c r="U4000" s="135"/>
    </row>
    <row r="4001" spans="20:21" ht="15" customHeight="1" x14ac:dyDescent="0.25">
      <c r="T4001" s="135"/>
      <c r="U4001" s="135"/>
    </row>
    <row r="4002" spans="20:21" ht="15" customHeight="1" x14ac:dyDescent="0.25">
      <c r="T4002" s="135"/>
      <c r="U4002" s="135"/>
    </row>
    <row r="4003" spans="20:21" ht="15" customHeight="1" x14ac:dyDescent="0.25">
      <c r="T4003" s="135"/>
      <c r="U4003" s="135"/>
    </row>
    <row r="4004" spans="20:21" ht="15" customHeight="1" x14ac:dyDescent="0.25">
      <c r="T4004" s="135"/>
      <c r="U4004" s="135"/>
    </row>
    <row r="4005" spans="20:21" ht="15" customHeight="1" x14ac:dyDescent="0.25">
      <c r="T4005" s="135"/>
      <c r="U4005" s="135"/>
    </row>
    <row r="4006" spans="20:21" ht="15" customHeight="1" x14ac:dyDescent="0.25">
      <c r="T4006" s="135"/>
      <c r="U4006" s="135"/>
    </row>
    <row r="4007" spans="20:21" ht="15" customHeight="1" x14ac:dyDescent="0.25">
      <c r="T4007" s="135"/>
      <c r="U4007" s="135"/>
    </row>
    <row r="4008" spans="20:21" ht="15" customHeight="1" x14ac:dyDescent="0.25">
      <c r="T4008" s="135"/>
      <c r="U4008" s="135"/>
    </row>
    <row r="4009" spans="20:21" ht="15" customHeight="1" x14ac:dyDescent="0.25">
      <c r="T4009" s="135"/>
      <c r="U4009" s="135"/>
    </row>
    <row r="4010" spans="20:21" ht="15" customHeight="1" x14ac:dyDescent="0.25">
      <c r="T4010" s="135"/>
      <c r="U4010" s="135"/>
    </row>
    <row r="4011" spans="20:21" ht="15" customHeight="1" x14ac:dyDescent="0.25">
      <c r="T4011" s="135"/>
      <c r="U4011" s="135"/>
    </row>
    <row r="4012" spans="20:21" ht="15" customHeight="1" x14ac:dyDescent="0.25">
      <c r="T4012" s="135"/>
      <c r="U4012" s="135"/>
    </row>
    <row r="4013" spans="20:21" ht="15" customHeight="1" x14ac:dyDescent="0.25">
      <c r="T4013" s="135"/>
      <c r="U4013" s="135"/>
    </row>
    <row r="4014" spans="20:21" ht="15" customHeight="1" x14ac:dyDescent="0.25">
      <c r="T4014" s="135"/>
      <c r="U4014" s="135"/>
    </row>
    <row r="4015" spans="20:21" ht="15" customHeight="1" x14ac:dyDescent="0.25">
      <c r="T4015" s="135"/>
      <c r="U4015" s="135"/>
    </row>
    <row r="4016" spans="20:21" ht="15" customHeight="1" x14ac:dyDescent="0.25">
      <c r="T4016" s="135"/>
      <c r="U4016" s="135"/>
    </row>
    <row r="4017" spans="20:21" ht="15" customHeight="1" x14ac:dyDescent="0.25">
      <c r="T4017" s="135"/>
      <c r="U4017" s="135"/>
    </row>
    <row r="4018" spans="20:21" ht="15" customHeight="1" x14ac:dyDescent="0.25">
      <c r="T4018" s="135"/>
      <c r="U4018" s="135"/>
    </row>
    <row r="4019" spans="20:21" ht="15" customHeight="1" x14ac:dyDescent="0.25">
      <c r="T4019" s="135"/>
      <c r="U4019" s="135"/>
    </row>
    <row r="4020" spans="20:21" ht="15" customHeight="1" x14ac:dyDescent="0.25">
      <c r="T4020" s="135"/>
      <c r="U4020" s="135"/>
    </row>
    <row r="4021" spans="20:21" ht="15" customHeight="1" x14ac:dyDescent="0.25">
      <c r="T4021" s="135"/>
      <c r="U4021" s="135"/>
    </row>
    <row r="4022" spans="20:21" ht="15" customHeight="1" x14ac:dyDescent="0.25">
      <c r="T4022" s="135"/>
      <c r="U4022" s="135"/>
    </row>
    <row r="4023" spans="20:21" ht="15" customHeight="1" x14ac:dyDescent="0.25">
      <c r="T4023" s="135"/>
      <c r="U4023" s="135"/>
    </row>
    <row r="4024" spans="20:21" ht="15" customHeight="1" x14ac:dyDescent="0.25">
      <c r="T4024" s="135"/>
      <c r="U4024" s="135"/>
    </row>
    <row r="4025" spans="20:21" ht="15" customHeight="1" x14ac:dyDescent="0.25">
      <c r="T4025" s="135"/>
      <c r="U4025" s="135"/>
    </row>
    <row r="4026" spans="20:21" ht="15" customHeight="1" x14ac:dyDescent="0.25">
      <c r="T4026" s="135"/>
      <c r="U4026" s="135"/>
    </row>
    <row r="4027" spans="20:21" ht="15" customHeight="1" x14ac:dyDescent="0.25">
      <c r="T4027" s="135"/>
      <c r="U4027" s="135"/>
    </row>
    <row r="4028" spans="20:21" ht="15" customHeight="1" x14ac:dyDescent="0.25">
      <c r="T4028" s="135"/>
      <c r="U4028" s="135"/>
    </row>
    <row r="4029" spans="20:21" ht="15" customHeight="1" x14ac:dyDescent="0.25">
      <c r="T4029" s="135"/>
      <c r="U4029" s="135"/>
    </row>
    <row r="4030" spans="20:21" ht="15" customHeight="1" x14ac:dyDescent="0.25">
      <c r="T4030" s="135"/>
      <c r="U4030" s="135"/>
    </row>
    <row r="4031" spans="20:21" ht="15" customHeight="1" x14ac:dyDescent="0.25">
      <c r="T4031" s="135"/>
      <c r="U4031" s="135"/>
    </row>
    <row r="4032" spans="20:21" ht="15" customHeight="1" x14ac:dyDescent="0.25">
      <c r="T4032" s="135"/>
      <c r="U4032" s="135"/>
    </row>
    <row r="4033" spans="20:21" ht="15" customHeight="1" x14ac:dyDescent="0.25">
      <c r="T4033" s="135"/>
      <c r="U4033" s="135"/>
    </row>
    <row r="4034" spans="20:21" ht="15" customHeight="1" x14ac:dyDescent="0.25">
      <c r="T4034" s="135"/>
      <c r="U4034" s="135"/>
    </row>
    <row r="4035" spans="20:21" ht="15" customHeight="1" x14ac:dyDescent="0.25">
      <c r="T4035" s="135"/>
      <c r="U4035" s="135"/>
    </row>
    <row r="4036" spans="20:21" ht="15" customHeight="1" x14ac:dyDescent="0.25">
      <c r="T4036" s="135"/>
      <c r="U4036" s="135"/>
    </row>
    <row r="4037" spans="20:21" ht="15" customHeight="1" x14ac:dyDescent="0.25">
      <c r="T4037" s="135"/>
      <c r="U4037" s="135"/>
    </row>
    <row r="4038" spans="20:21" ht="15" customHeight="1" x14ac:dyDescent="0.25">
      <c r="T4038" s="135"/>
      <c r="U4038" s="135"/>
    </row>
    <row r="4039" spans="20:21" ht="15" customHeight="1" x14ac:dyDescent="0.25">
      <c r="T4039" s="135"/>
      <c r="U4039" s="135"/>
    </row>
    <row r="4040" spans="20:21" ht="15" customHeight="1" x14ac:dyDescent="0.25">
      <c r="T4040" s="135"/>
      <c r="U4040" s="135"/>
    </row>
    <row r="4041" spans="20:21" ht="15" customHeight="1" x14ac:dyDescent="0.25">
      <c r="T4041" s="135"/>
      <c r="U4041" s="135"/>
    </row>
    <row r="4042" spans="20:21" ht="15" customHeight="1" x14ac:dyDescent="0.25">
      <c r="T4042" s="135"/>
      <c r="U4042" s="135"/>
    </row>
    <row r="4043" spans="20:21" ht="15" customHeight="1" x14ac:dyDescent="0.25">
      <c r="T4043" s="135"/>
      <c r="U4043" s="135"/>
    </row>
    <row r="4044" spans="20:21" ht="15" customHeight="1" x14ac:dyDescent="0.25">
      <c r="T4044" s="135"/>
      <c r="U4044" s="135"/>
    </row>
    <row r="4045" spans="20:21" ht="15" customHeight="1" x14ac:dyDescent="0.25">
      <c r="T4045" s="135"/>
      <c r="U4045" s="135"/>
    </row>
    <row r="4046" spans="20:21" ht="15" customHeight="1" x14ac:dyDescent="0.25">
      <c r="T4046" s="135"/>
      <c r="U4046" s="135"/>
    </row>
    <row r="4047" spans="20:21" ht="15" customHeight="1" x14ac:dyDescent="0.25">
      <c r="T4047" s="135"/>
      <c r="U4047" s="135"/>
    </row>
    <row r="4048" spans="20:21" ht="15" customHeight="1" x14ac:dyDescent="0.25">
      <c r="T4048" s="135"/>
      <c r="U4048" s="135"/>
    </row>
    <row r="4049" spans="20:21" ht="15" customHeight="1" x14ac:dyDescent="0.25">
      <c r="T4049" s="135"/>
      <c r="U4049" s="135"/>
    </row>
    <row r="4050" spans="20:21" ht="15" customHeight="1" x14ac:dyDescent="0.25">
      <c r="T4050" s="135"/>
      <c r="U4050" s="135"/>
    </row>
    <row r="4051" spans="20:21" ht="15" customHeight="1" x14ac:dyDescent="0.25">
      <c r="T4051" s="135"/>
      <c r="U4051" s="135"/>
    </row>
    <row r="4052" spans="20:21" ht="15" customHeight="1" x14ac:dyDescent="0.25">
      <c r="T4052" s="135"/>
      <c r="U4052" s="135"/>
    </row>
    <row r="4053" spans="20:21" ht="15" customHeight="1" x14ac:dyDescent="0.25">
      <c r="T4053" s="135"/>
      <c r="U4053" s="135"/>
    </row>
    <row r="4054" spans="20:21" ht="15" customHeight="1" x14ac:dyDescent="0.25">
      <c r="T4054" s="135"/>
      <c r="U4054" s="135"/>
    </row>
    <row r="4055" spans="20:21" ht="15" customHeight="1" x14ac:dyDescent="0.25">
      <c r="T4055" s="135"/>
      <c r="U4055" s="135"/>
    </row>
    <row r="4056" spans="20:21" ht="15" customHeight="1" x14ac:dyDescent="0.25">
      <c r="T4056" s="135"/>
      <c r="U4056" s="135"/>
    </row>
    <row r="4057" spans="20:21" ht="15" customHeight="1" x14ac:dyDescent="0.25">
      <c r="T4057" s="135"/>
      <c r="U4057" s="135"/>
    </row>
    <row r="4058" spans="20:21" ht="15" customHeight="1" x14ac:dyDescent="0.25">
      <c r="T4058" s="135"/>
      <c r="U4058" s="135"/>
    </row>
    <row r="4059" spans="20:21" ht="15" customHeight="1" x14ac:dyDescent="0.25">
      <c r="T4059" s="135"/>
      <c r="U4059" s="135"/>
    </row>
    <row r="4060" spans="20:21" ht="15" customHeight="1" x14ac:dyDescent="0.25">
      <c r="T4060" s="135"/>
      <c r="U4060" s="135"/>
    </row>
    <row r="4061" spans="20:21" ht="15" customHeight="1" x14ac:dyDescent="0.25">
      <c r="T4061" s="135"/>
      <c r="U4061" s="135"/>
    </row>
    <row r="4062" spans="20:21" ht="15" customHeight="1" x14ac:dyDescent="0.25">
      <c r="T4062" s="135"/>
      <c r="U4062" s="135"/>
    </row>
    <row r="4063" spans="20:21" ht="15" customHeight="1" x14ac:dyDescent="0.25">
      <c r="T4063" s="135"/>
      <c r="U4063" s="135"/>
    </row>
    <row r="4064" spans="20:21" ht="15" customHeight="1" x14ac:dyDescent="0.25">
      <c r="T4064" s="135"/>
      <c r="U4064" s="135"/>
    </row>
    <row r="4065" spans="20:21" ht="15" customHeight="1" x14ac:dyDescent="0.25">
      <c r="T4065" s="135"/>
      <c r="U4065" s="135"/>
    </row>
    <row r="4066" spans="20:21" ht="15" customHeight="1" x14ac:dyDescent="0.25">
      <c r="T4066" s="135"/>
      <c r="U4066" s="135"/>
    </row>
    <row r="4067" spans="20:21" ht="15" customHeight="1" x14ac:dyDescent="0.25">
      <c r="T4067" s="135"/>
      <c r="U4067" s="135"/>
    </row>
    <row r="4068" spans="20:21" ht="15" customHeight="1" x14ac:dyDescent="0.25">
      <c r="T4068" s="135"/>
      <c r="U4068" s="135"/>
    </row>
    <row r="4069" spans="20:21" ht="15" customHeight="1" x14ac:dyDescent="0.25">
      <c r="T4069" s="135"/>
      <c r="U4069" s="135"/>
    </row>
    <row r="4070" spans="20:21" ht="15" customHeight="1" x14ac:dyDescent="0.25">
      <c r="T4070" s="135"/>
      <c r="U4070" s="135"/>
    </row>
    <row r="4071" spans="20:21" ht="15" customHeight="1" x14ac:dyDescent="0.25">
      <c r="T4071" s="135"/>
      <c r="U4071" s="135"/>
    </row>
    <row r="4072" spans="20:21" ht="15" customHeight="1" x14ac:dyDescent="0.25">
      <c r="T4072" s="135"/>
      <c r="U4072" s="135"/>
    </row>
    <row r="4073" spans="20:21" ht="15" customHeight="1" x14ac:dyDescent="0.25">
      <c r="T4073" s="135"/>
      <c r="U4073" s="135"/>
    </row>
    <row r="4074" spans="20:21" ht="15" customHeight="1" x14ac:dyDescent="0.25">
      <c r="T4074" s="135"/>
      <c r="U4074" s="135"/>
    </row>
    <row r="4075" spans="20:21" ht="15" customHeight="1" x14ac:dyDescent="0.25">
      <c r="T4075" s="135"/>
      <c r="U4075" s="135"/>
    </row>
    <row r="4076" spans="20:21" ht="15" customHeight="1" x14ac:dyDescent="0.25">
      <c r="T4076" s="135"/>
      <c r="U4076" s="135"/>
    </row>
    <row r="4077" spans="20:21" ht="15" customHeight="1" x14ac:dyDescent="0.25">
      <c r="T4077" s="135"/>
      <c r="U4077" s="135"/>
    </row>
    <row r="4078" spans="20:21" ht="15" customHeight="1" x14ac:dyDescent="0.25">
      <c r="T4078" s="135"/>
      <c r="U4078" s="135"/>
    </row>
    <row r="4079" spans="20:21" ht="15" customHeight="1" x14ac:dyDescent="0.25">
      <c r="T4079" s="135"/>
      <c r="U4079" s="135"/>
    </row>
    <row r="4080" spans="20:21" ht="15" customHeight="1" x14ac:dyDescent="0.25">
      <c r="T4080" s="135"/>
      <c r="U4080" s="135"/>
    </row>
    <row r="4081" spans="20:21" ht="15" customHeight="1" x14ac:dyDescent="0.25">
      <c r="T4081" s="135"/>
      <c r="U4081" s="135"/>
    </row>
    <row r="4082" spans="20:21" ht="15" customHeight="1" x14ac:dyDescent="0.25">
      <c r="T4082" s="135"/>
      <c r="U4082" s="135"/>
    </row>
    <row r="4083" spans="20:21" ht="15" customHeight="1" x14ac:dyDescent="0.25">
      <c r="T4083" s="135"/>
      <c r="U4083" s="135"/>
    </row>
    <row r="4084" spans="20:21" ht="15" customHeight="1" x14ac:dyDescent="0.25">
      <c r="T4084" s="135"/>
      <c r="U4084" s="135"/>
    </row>
    <row r="4085" spans="20:21" ht="15" customHeight="1" x14ac:dyDescent="0.25">
      <c r="T4085" s="135"/>
      <c r="U4085" s="135"/>
    </row>
    <row r="4086" spans="20:21" ht="15" customHeight="1" x14ac:dyDescent="0.25">
      <c r="T4086" s="135"/>
      <c r="U4086" s="135"/>
    </row>
    <row r="4087" spans="20:21" ht="15" customHeight="1" x14ac:dyDescent="0.25">
      <c r="T4087" s="135"/>
      <c r="U4087" s="135"/>
    </row>
    <row r="4088" spans="20:21" ht="15" customHeight="1" x14ac:dyDescent="0.25">
      <c r="T4088" s="135"/>
      <c r="U4088" s="135"/>
    </row>
    <row r="4089" spans="20:21" ht="15" customHeight="1" x14ac:dyDescent="0.25">
      <c r="T4089" s="135"/>
      <c r="U4089" s="135"/>
    </row>
    <row r="4090" spans="20:21" ht="15" customHeight="1" x14ac:dyDescent="0.25">
      <c r="T4090" s="135"/>
      <c r="U4090" s="135"/>
    </row>
    <row r="4091" spans="20:21" ht="15" customHeight="1" x14ac:dyDescent="0.25">
      <c r="T4091" s="135"/>
      <c r="U4091" s="135"/>
    </row>
    <row r="4092" spans="20:21" ht="15" customHeight="1" x14ac:dyDescent="0.25">
      <c r="T4092" s="135"/>
      <c r="U4092" s="135"/>
    </row>
    <row r="4093" spans="20:21" ht="15" customHeight="1" x14ac:dyDescent="0.25">
      <c r="T4093" s="135"/>
      <c r="U4093" s="135"/>
    </row>
    <row r="4094" spans="20:21" ht="15" customHeight="1" x14ac:dyDescent="0.25">
      <c r="T4094" s="135"/>
      <c r="U4094" s="135"/>
    </row>
    <row r="4095" spans="20:21" ht="15" customHeight="1" x14ac:dyDescent="0.25">
      <c r="T4095" s="135"/>
      <c r="U4095" s="135"/>
    </row>
    <row r="4096" spans="20:21" ht="15" customHeight="1" x14ac:dyDescent="0.25">
      <c r="T4096" s="135"/>
      <c r="U4096" s="135"/>
    </row>
    <row r="4097" spans="20:21" ht="15" customHeight="1" x14ac:dyDescent="0.25">
      <c r="T4097" s="135"/>
      <c r="U4097" s="135"/>
    </row>
    <row r="4098" spans="20:21" ht="15" customHeight="1" x14ac:dyDescent="0.25">
      <c r="T4098" s="135"/>
      <c r="U4098" s="135"/>
    </row>
    <row r="4099" spans="20:21" ht="15" customHeight="1" x14ac:dyDescent="0.25">
      <c r="T4099" s="135"/>
      <c r="U4099" s="135"/>
    </row>
    <row r="4100" spans="20:21" ht="15" customHeight="1" x14ac:dyDescent="0.25">
      <c r="T4100" s="135"/>
      <c r="U4100" s="135"/>
    </row>
    <row r="4101" spans="20:21" ht="15" customHeight="1" x14ac:dyDescent="0.25">
      <c r="T4101" s="135"/>
      <c r="U4101" s="135"/>
    </row>
    <row r="4102" spans="20:21" ht="15" customHeight="1" x14ac:dyDescent="0.25">
      <c r="T4102" s="135"/>
      <c r="U4102" s="135"/>
    </row>
    <row r="4103" spans="20:21" ht="15" customHeight="1" x14ac:dyDescent="0.25">
      <c r="T4103" s="135"/>
      <c r="U4103" s="135"/>
    </row>
    <row r="4104" spans="20:21" ht="15" customHeight="1" x14ac:dyDescent="0.25">
      <c r="T4104" s="135"/>
      <c r="U4104" s="135"/>
    </row>
    <row r="4105" spans="20:21" ht="15" customHeight="1" x14ac:dyDescent="0.25">
      <c r="T4105" s="135"/>
      <c r="U4105" s="135"/>
    </row>
    <row r="4106" spans="20:21" ht="15" customHeight="1" x14ac:dyDescent="0.25">
      <c r="T4106" s="135"/>
      <c r="U4106" s="135"/>
    </row>
    <row r="4107" spans="20:21" ht="15" customHeight="1" x14ac:dyDescent="0.25">
      <c r="T4107" s="135"/>
      <c r="U4107" s="135"/>
    </row>
    <row r="4108" spans="20:21" ht="15" customHeight="1" x14ac:dyDescent="0.25">
      <c r="T4108" s="135"/>
      <c r="U4108" s="135"/>
    </row>
    <row r="4109" spans="20:21" ht="15" customHeight="1" x14ac:dyDescent="0.25">
      <c r="T4109" s="135"/>
      <c r="U4109" s="135"/>
    </row>
    <row r="4110" spans="20:21" ht="15" customHeight="1" x14ac:dyDescent="0.25">
      <c r="T4110" s="135"/>
      <c r="U4110" s="135"/>
    </row>
    <row r="4111" spans="20:21" ht="15" customHeight="1" x14ac:dyDescent="0.25">
      <c r="T4111" s="135"/>
      <c r="U4111" s="135"/>
    </row>
    <row r="4112" spans="20:21" ht="15" customHeight="1" x14ac:dyDescent="0.25">
      <c r="T4112" s="135"/>
      <c r="U4112" s="135"/>
    </row>
    <row r="4113" spans="20:21" ht="15" customHeight="1" x14ac:dyDescent="0.25">
      <c r="T4113" s="135"/>
      <c r="U4113" s="135"/>
    </row>
    <row r="4114" spans="20:21" ht="15" customHeight="1" x14ac:dyDescent="0.25">
      <c r="T4114" s="135"/>
      <c r="U4114" s="135"/>
    </row>
    <row r="4115" spans="20:21" ht="15" customHeight="1" x14ac:dyDescent="0.25">
      <c r="T4115" s="135"/>
      <c r="U4115" s="135"/>
    </row>
    <row r="4116" spans="20:21" ht="15" customHeight="1" x14ac:dyDescent="0.25">
      <c r="T4116" s="135"/>
      <c r="U4116" s="135"/>
    </row>
    <row r="4117" spans="20:21" ht="15" customHeight="1" x14ac:dyDescent="0.25">
      <c r="T4117" s="135"/>
      <c r="U4117" s="135"/>
    </row>
    <row r="4118" spans="20:21" ht="15" customHeight="1" x14ac:dyDescent="0.25">
      <c r="T4118" s="135"/>
      <c r="U4118" s="135"/>
    </row>
    <row r="4119" spans="20:21" ht="15" customHeight="1" x14ac:dyDescent="0.25">
      <c r="T4119" s="135"/>
      <c r="U4119" s="135"/>
    </row>
    <row r="4120" spans="20:21" ht="15" customHeight="1" x14ac:dyDescent="0.25">
      <c r="T4120" s="135"/>
      <c r="U4120" s="135"/>
    </row>
    <row r="4121" spans="20:21" ht="15" customHeight="1" x14ac:dyDescent="0.25">
      <c r="T4121" s="135"/>
      <c r="U4121" s="135"/>
    </row>
    <row r="4122" spans="20:21" ht="15" customHeight="1" x14ac:dyDescent="0.25">
      <c r="T4122" s="135"/>
      <c r="U4122" s="135"/>
    </row>
    <row r="4123" spans="20:21" ht="15" customHeight="1" x14ac:dyDescent="0.25">
      <c r="T4123" s="135"/>
      <c r="U4123" s="135"/>
    </row>
    <row r="4124" spans="20:21" ht="15" customHeight="1" x14ac:dyDescent="0.25">
      <c r="T4124" s="135"/>
      <c r="U4124" s="135"/>
    </row>
    <row r="4125" spans="20:21" ht="15" customHeight="1" x14ac:dyDescent="0.25">
      <c r="T4125" s="135"/>
      <c r="U4125" s="135"/>
    </row>
    <row r="4126" spans="20:21" ht="15" customHeight="1" x14ac:dyDescent="0.25">
      <c r="T4126" s="135"/>
      <c r="U4126" s="135"/>
    </row>
    <row r="4127" spans="20:21" ht="15" customHeight="1" x14ac:dyDescent="0.25">
      <c r="T4127" s="135"/>
      <c r="U4127" s="135"/>
    </row>
    <row r="4128" spans="20:21" ht="15" customHeight="1" x14ac:dyDescent="0.25">
      <c r="T4128" s="135"/>
      <c r="U4128" s="135"/>
    </row>
    <row r="4129" spans="20:21" ht="15" customHeight="1" x14ac:dyDescent="0.25">
      <c r="T4129" s="135"/>
      <c r="U4129" s="135"/>
    </row>
    <row r="4130" spans="20:21" ht="15" customHeight="1" x14ac:dyDescent="0.25">
      <c r="T4130" s="135"/>
      <c r="U4130" s="135"/>
    </row>
    <row r="4131" spans="20:21" ht="15" customHeight="1" x14ac:dyDescent="0.25">
      <c r="T4131" s="135"/>
      <c r="U4131" s="135"/>
    </row>
    <row r="4132" spans="20:21" ht="15" customHeight="1" x14ac:dyDescent="0.25">
      <c r="T4132" s="135"/>
      <c r="U4132" s="135"/>
    </row>
    <row r="4133" spans="20:21" ht="15" customHeight="1" x14ac:dyDescent="0.25">
      <c r="T4133" s="135"/>
      <c r="U4133" s="135"/>
    </row>
    <row r="4134" spans="20:21" ht="15" customHeight="1" x14ac:dyDescent="0.25">
      <c r="T4134" s="135"/>
      <c r="U4134" s="135"/>
    </row>
    <row r="4135" spans="20:21" ht="15" customHeight="1" x14ac:dyDescent="0.25">
      <c r="T4135" s="135"/>
      <c r="U4135" s="135"/>
    </row>
    <row r="4136" spans="20:21" ht="15" customHeight="1" x14ac:dyDescent="0.25">
      <c r="T4136" s="135"/>
      <c r="U4136" s="135"/>
    </row>
    <row r="4137" spans="20:21" ht="15" customHeight="1" x14ac:dyDescent="0.25">
      <c r="T4137" s="135"/>
      <c r="U4137" s="135"/>
    </row>
    <row r="4138" spans="20:21" ht="15" customHeight="1" x14ac:dyDescent="0.25">
      <c r="T4138" s="135"/>
      <c r="U4138" s="135"/>
    </row>
    <row r="4139" spans="20:21" ht="15" customHeight="1" x14ac:dyDescent="0.25">
      <c r="T4139" s="135"/>
      <c r="U4139" s="135"/>
    </row>
    <row r="4140" spans="20:21" ht="15" customHeight="1" x14ac:dyDescent="0.25">
      <c r="T4140" s="135"/>
      <c r="U4140" s="135"/>
    </row>
    <row r="4141" spans="20:21" ht="15" customHeight="1" x14ac:dyDescent="0.25">
      <c r="T4141" s="135"/>
      <c r="U4141" s="135"/>
    </row>
    <row r="4142" spans="20:21" ht="15" customHeight="1" x14ac:dyDescent="0.25">
      <c r="T4142" s="135"/>
      <c r="U4142" s="135"/>
    </row>
    <row r="4143" spans="20:21" ht="15" customHeight="1" x14ac:dyDescent="0.25">
      <c r="T4143" s="135"/>
      <c r="U4143" s="135"/>
    </row>
    <row r="4144" spans="20:21" ht="15" customHeight="1" x14ac:dyDescent="0.25">
      <c r="T4144" s="135"/>
      <c r="U4144" s="135"/>
    </row>
    <row r="4145" spans="20:21" ht="15" customHeight="1" x14ac:dyDescent="0.25">
      <c r="T4145" s="135"/>
      <c r="U4145" s="135"/>
    </row>
    <row r="4146" spans="20:21" ht="15" customHeight="1" x14ac:dyDescent="0.25">
      <c r="T4146" s="135"/>
      <c r="U4146" s="135"/>
    </row>
    <row r="4147" spans="20:21" ht="15" customHeight="1" x14ac:dyDescent="0.25">
      <c r="T4147" s="135"/>
      <c r="U4147" s="135"/>
    </row>
    <row r="4148" spans="20:21" ht="15" customHeight="1" x14ac:dyDescent="0.25">
      <c r="T4148" s="135"/>
      <c r="U4148" s="135"/>
    </row>
    <row r="4149" spans="20:21" ht="15" customHeight="1" x14ac:dyDescent="0.25">
      <c r="T4149" s="135"/>
      <c r="U4149" s="135"/>
    </row>
    <row r="4150" spans="20:21" ht="15" customHeight="1" x14ac:dyDescent="0.25">
      <c r="T4150" s="135"/>
      <c r="U4150" s="135"/>
    </row>
    <row r="4151" spans="20:21" ht="15" customHeight="1" x14ac:dyDescent="0.25">
      <c r="T4151" s="135"/>
      <c r="U4151" s="135"/>
    </row>
    <row r="4152" spans="20:21" ht="15" customHeight="1" x14ac:dyDescent="0.25">
      <c r="T4152" s="135"/>
      <c r="U4152" s="135"/>
    </row>
    <row r="4153" spans="20:21" ht="15" customHeight="1" x14ac:dyDescent="0.25">
      <c r="T4153" s="135"/>
      <c r="U4153" s="135"/>
    </row>
    <row r="4154" spans="20:21" ht="15" customHeight="1" x14ac:dyDescent="0.25">
      <c r="T4154" s="135"/>
      <c r="U4154" s="135"/>
    </row>
    <row r="4155" spans="20:21" ht="15" customHeight="1" x14ac:dyDescent="0.25">
      <c r="T4155" s="135"/>
      <c r="U4155" s="135"/>
    </row>
    <row r="4156" spans="20:21" ht="15" customHeight="1" x14ac:dyDescent="0.25">
      <c r="T4156" s="135"/>
      <c r="U4156" s="135"/>
    </row>
    <row r="4157" spans="20:21" ht="15" customHeight="1" x14ac:dyDescent="0.25">
      <c r="T4157" s="135"/>
      <c r="U4157" s="135"/>
    </row>
    <row r="4158" spans="20:21" ht="15" customHeight="1" x14ac:dyDescent="0.25">
      <c r="T4158" s="135"/>
      <c r="U4158" s="135"/>
    </row>
    <row r="4159" spans="20:21" ht="15" customHeight="1" x14ac:dyDescent="0.25">
      <c r="T4159" s="135"/>
      <c r="U4159" s="135"/>
    </row>
    <row r="4160" spans="20:21" ht="15" customHeight="1" x14ac:dyDescent="0.25">
      <c r="T4160" s="135"/>
      <c r="U4160" s="135"/>
    </row>
    <row r="4161" spans="20:21" ht="15" customHeight="1" x14ac:dyDescent="0.25">
      <c r="T4161" s="135"/>
      <c r="U4161" s="135"/>
    </row>
    <row r="4162" spans="20:21" ht="15" customHeight="1" x14ac:dyDescent="0.25">
      <c r="T4162" s="135"/>
      <c r="U4162" s="135"/>
    </row>
    <row r="4163" spans="20:21" ht="15" customHeight="1" x14ac:dyDescent="0.25">
      <c r="T4163" s="135"/>
      <c r="U4163" s="135"/>
    </row>
    <row r="4164" spans="20:21" ht="15" customHeight="1" x14ac:dyDescent="0.25">
      <c r="T4164" s="135"/>
      <c r="U4164" s="135"/>
    </row>
    <row r="4165" spans="20:21" ht="15" customHeight="1" x14ac:dyDescent="0.25">
      <c r="T4165" s="135"/>
      <c r="U4165" s="135"/>
    </row>
    <row r="4166" spans="20:21" ht="15" customHeight="1" x14ac:dyDescent="0.25">
      <c r="T4166" s="135"/>
      <c r="U4166" s="135"/>
    </row>
    <row r="4167" spans="20:21" ht="15" customHeight="1" x14ac:dyDescent="0.25">
      <c r="T4167" s="135"/>
      <c r="U4167" s="135"/>
    </row>
    <row r="4168" spans="20:21" ht="15" customHeight="1" x14ac:dyDescent="0.25">
      <c r="T4168" s="135"/>
      <c r="U4168" s="135"/>
    </row>
    <row r="4169" spans="20:21" ht="15" customHeight="1" x14ac:dyDescent="0.25">
      <c r="T4169" s="135"/>
      <c r="U4169" s="135"/>
    </row>
    <row r="4170" spans="20:21" ht="15" customHeight="1" x14ac:dyDescent="0.25">
      <c r="T4170" s="135"/>
      <c r="U4170" s="135"/>
    </row>
    <row r="4171" spans="20:21" ht="15" customHeight="1" x14ac:dyDescent="0.25">
      <c r="T4171" s="135"/>
      <c r="U4171" s="135"/>
    </row>
    <row r="4172" spans="20:21" ht="15" customHeight="1" x14ac:dyDescent="0.25">
      <c r="T4172" s="135"/>
      <c r="U4172" s="135"/>
    </row>
    <row r="4173" spans="20:21" ht="15" customHeight="1" x14ac:dyDescent="0.25">
      <c r="T4173" s="135"/>
      <c r="U4173" s="135"/>
    </row>
    <row r="4174" spans="20:21" ht="15" customHeight="1" x14ac:dyDescent="0.25">
      <c r="T4174" s="135"/>
      <c r="U4174" s="135"/>
    </row>
    <row r="4175" spans="20:21" ht="15" customHeight="1" x14ac:dyDescent="0.25">
      <c r="T4175" s="135"/>
      <c r="U4175" s="135"/>
    </row>
    <row r="4176" spans="20:21" ht="15" customHeight="1" x14ac:dyDescent="0.25">
      <c r="T4176" s="135"/>
      <c r="U4176" s="135"/>
    </row>
    <row r="4177" spans="20:21" ht="15" customHeight="1" x14ac:dyDescent="0.25">
      <c r="T4177" s="135"/>
      <c r="U4177" s="135"/>
    </row>
    <row r="4178" spans="20:21" ht="15" customHeight="1" x14ac:dyDescent="0.25">
      <c r="T4178" s="135"/>
      <c r="U4178" s="135"/>
    </row>
    <row r="4179" spans="20:21" ht="15" customHeight="1" x14ac:dyDescent="0.25">
      <c r="T4179" s="135"/>
      <c r="U4179" s="135"/>
    </row>
    <row r="4180" spans="20:21" ht="15" customHeight="1" x14ac:dyDescent="0.25">
      <c r="T4180" s="135"/>
      <c r="U4180" s="135"/>
    </row>
    <row r="4181" spans="20:21" ht="15" customHeight="1" x14ac:dyDescent="0.25">
      <c r="T4181" s="135"/>
      <c r="U4181" s="135"/>
    </row>
    <row r="4182" spans="20:21" ht="15" customHeight="1" x14ac:dyDescent="0.25">
      <c r="T4182" s="135"/>
      <c r="U4182" s="135"/>
    </row>
    <row r="4183" spans="20:21" ht="15" customHeight="1" x14ac:dyDescent="0.25">
      <c r="T4183" s="135"/>
      <c r="U4183" s="135"/>
    </row>
    <row r="4184" spans="20:21" ht="15" customHeight="1" x14ac:dyDescent="0.25">
      <c r="T4184" s="135"/>
      <c r="U4184" s="135"/>
    </row>
    <row r="4185" spans="20:21" ht="15" customHeight="1" x14ac:dyDescent="0.25">
      <c r="T4185" s="135"/>
      <c r="U4185" s="135"/>
    </row>
    <row r="4186" spans="20:21" ht="15" customHeight="1" x14ac:dyDescent="0.25">
      <c r="T4186" s="135"/>
      <c r="U4186" s="135"/>
    </row>
    <row r="4187" spans="20:21" ht="15" customHeight="1" x14ac:dyDescent="0.25">
      <c r="T4187" s="135"/>
      <c r="U4187" s="135"/>
    </row>
    <row r="4188" spans="20:21" ht="15" customHeight="1" x14ac:dyDescent="0.25">
      <c r="T4188" s="135"/>
      <c r="U4188" s="135"/>
    </row>
    <row r="4189" spans="20:21" ht="15" customHeight="1" x14ac:dyDescent="0.25">
      <c r="T4189" s="135"/>
      <c r="U4189" s="135"/>
    </row>
    <row r="4190" spans="20:21" ht="15" customHeight="1" x14ac:dyDescent="0.25">
      <c r="T4190" s="135"/>
      <c r="U4190" s="135"/>
    </row>
    <row r="4191" spans="20:21" ht="15" customHeight="1" x14ac:dyDescent="0.25">
      <c r="T4191" s="135"/>
      <c r="U4191" s="135"/>
    </row>
    <row r="4192" spans="20:21" ht="15" customHeight="1" x14ac:dyDescent="0.25">
      <c r="T4192" s="135"/>
      <c r="U4192" s="135"/>
    </row>
    <row r="4193" spans="20:21" ht="15" customHeight="1" x14ac:dyDescent="0.25">
      <c r="T4193" s="135"/>
      <c r="U4193" s="135"/>
    </row>
    <row r="4194" spans="20:21" ht="15" customHeight="1" x14ac:dyDescent="0.25">
      <c r="T4194" s="135"/>
      <c r="U4194" s="135"/>
    </row>
    <row r="4195" spans="20:21" ht="15" customHeight="1" x14ac:dyDescent="0.25">
      <c r="T4195" s="135"/>
      <c r="U4195" s="135"/>
    </row>
    <row r="4196" spans="20:21" ht="15" customHeight="1" x14ac:dyDescent="0.25">
      <c r="T4196" s="135"/>
      <c r="U4196" s="135"/>
    </row>
    <row r="4197" spans="20:21" ht="15" customHeight="1" x14ac:dyDescent="0.25">
      <c r="T4197" s="135"/>
      <c r="U4197" s="135"/>
    </row>
    <row r="4198" spans="20:21" ht="15" customHeight="1" x14ac:dyDescent="0.25">
      <c r="T4198" s="135"/>
      <c r="U4198" s="135"/>
    </row>
    <row r="4199" spans="20:21" ht="15" customHeight="1" x14ac:dyDescent="0.25">
      <c r="T4199" s="135"/>
      <c r="U4199" s="135"/>
    </row>
    <row r="4200" spans="20:21" ht="15" customHeight="1" x14ac:dyDescent="0.25">
      <c r="T4200" s="135"/>
      <c r="U4200" s="135"/>
    </row>
    <row r="4201" spans="20:21" ht="15" customHeight="1" x14ac:dyDescent="0.25">
      <c r="T4201" s="135"/>
      <c r="U4201" s="135"/>
    </row>
    <row r="4202" spans="20:21" ht="15" customHeight="1" x14ac:dyDescent="0.25">
      <c r="T4202" s="135"/>
      <c r="U4202" s="135"/>
    </row>
    <row r="4203" spans="20:21" ht="15" customHeight="1" x14ac:dyDescent="0.25">
      <c r="T4203" s="135"/>
      <c r="U4203" s="135"/>
    </row>
    <row r="4204" spans="20:21" ht="15" customHeight="1" x14ac:dyDescent="0.25">
      <c r="T4204" s="135"/>
      <c r="U4204" s="135"/>
    </row>
    <row r="4205" spans="20:21" ht="15" customHeight="1" x14ac:dyDescent="0.25">
      <c r="T4205" s="135"/>
      <c r="U4205" s="135"/>
    </row>
    <row r="4206" spans="20:21" ht="15" customHeight="1" x14ac:dyDescent="0.25">
      <c r="T4206" s="135"/>
      <c r="U4206" s="135"/>
    </row>
    <row r="4207" spans="20:21" ht="15" customHeight="1" x14ac:dyDescent="0.25">
      <c r="T4207" s="135"/>
      <c r="U4207" s="135"/>
    </row>
    <row r="4208" spans="20:21" ht="15" customHeight="1" x14ac:dyDescent="0.25">
      <c r="T4208" s="135"/>
      <c r="U4208" s="135"/>
    </row>
    <row r="4209" spans="20:21" ht="15" customHeight="1" x14ac:dyDescent="0.25">
      <c r="T4209" s="135"/>
      <c r="U4209" s="135"/>
    </row>
    <row r="4210" spans="20:21" ht="15" customHeight="1" x14ac:dyDescent="0.25">
      <c r="T4210" s="135"/>
      <c r="U4210" s="135"/>
    </row>
    <row r="4211" spans="20:21" ht="15" customHeight="1" x14ac:dyDescent="0.25">
      <c r="T4211" s="135"/>
      <c r="U4211" s="135"/>
    </row>
    <row r="4212" spans="20:21" ht="15" customHeight="1" x14ac:dyDescent="0.25">
      <c r="T4212" s="135"/>
      <c r="U4212" s="135"/>
    </row>
    <row r="4213" spans="20:21" ht="15" customHeight="1" x14ac:dyDescent="0.25">
      <c r="T4213" s="135"/>
      <c r="U4213" s="135"/>
    </row>
    <row r="4214" spans="20:21" ht="15" customHeight="1" x14ac:dyDescent="0.25">
      <c r="T4214" s="135"/>
      <c r="U4214" s="135"/>
    </row>
    <row r="4215" spans="20:21" ht="15" customHeight="1" x14ac:dyDescent="0.25">
      <c r="T4215" s="135"/>
      <c r="U4215" s="135"/>
    </row>
    <row r="4216" spans="20:21" ht="15" customHeight="1" x14ac:dyDescent="0.25">
      <c r="T4216" s="135"/>
      <c r="U4216" s="135"/>
    </row>
    <row r="4217" spans="20:21" ht="15" customHeight="1" x14ac:dyDescent="0.25">
      <c r="T4217" s="135"/>
      <c r="U4217" s="135"/>
    </row>
    <row r="4218" spans="20:21" ht="15" customHeight="1" x14ac:dyDescent="0.25">
      <c r="T4218" s="135"/>
      <c r="U4218" s="135"/>
    </row>
    <row r="4219" spans="20:21" ht="15" customHeight="1" x14ac:dyDescent="0.25">
      <c r="T4219" s="135"/>
      <c r="U4219" s="135"/>
    </row>
    <row r="4220" spans="20:21" ht="15" customHeight="1" x14ac:dyDescent="0.25">
      <c r="T4220" s="135"/>
      <c r="U4220" s="135"/>
    </row>
    <row r="4221" spans="20:21" ht="15" customHeight="1" x14ac:dyDescent="0.25">
      <c r="T4221" s="135"/>
      <c r="U4221" s="135"/>
    </row>
    <row r="4222" spans="20:21" ht="15" customHeight="1" x14ac:dyDescent="0.25">
      <c r="T4222" s="135"/>
      <c r="U4222" s="135"/>
    </row>
    <row r="4223" spans="20:21" ht="15" customHeight="1" x14ac:dyDescent="0.25">
      <c r="T4223" s="135"/>
      <c r="U4223" s="135"/>
    </row>
    <row r="4224" spans="20:21" ht="15" customHeight="1" x14ac:dyDescent="0.25">
      <c r="T4224" s="135"/>
      <c r="U4224" s="135"/>
    </row>
    <row r="4225" spans="20:21" ht="15" customHeight="1" x14ac:dyDescent="0.25">
      <c r="T4225" s="135"/>
      <c r="U4225" s="135"/>
    </row>
    <row r="4226" spans="20:21" ht="15" customHeight="1" x14ac:dyDescent="0.25">
      <c r="T4226" s="135"/>
      <c r="U4226" s="135"/>
    </row>
    <row r="4227" spans="20:21" ht="15" customHeight="1" x14ac:dyDescent="0.25">
      <c r="T4227" s="135"/>
      <c r="U4227" s="135"/>
    </row>
    <row r="4228" spans="20:21" ht="15" customHeight="1" x14ac:dyDescent="0.25">
      <c r="T4228" s="135"/>
      <c r="U4228" s="135"/>
    </row>
    <row r="4229" spans="20:21" ht="15" customHeight="1" x14ac:dyDescent="0.25">
      <c r="T4229" s="135"/>
      <c r="U4229" s="135"/>
    </row>
    <row r="4230" spans="20:21" ht="15" customHeight="1" x14ac:dyDescent="0.25">
      <c r="T4230" s="135"/>
      <c r="U4230" s="135"/>
    </row>
    <row r="4231" spans="20:21" ht="15" customHeight="1" x14ac:dyDescent="0.25">
      <c r="T4231" s="135"/>
      <c r="U4231" s="135"/>
    </row>
    <row r="4232" spans="20:21" ht="15" customHeight="1" x14ac:dyDescent="0.25">
      <c r="T4232" s="135"/>
      <c r="U4232" s="135"/>
    </row>
    <row r="4233" spans="20:21" ht="15" customHeight="1" x14ac:dyDescent="0.25">
      <c r="T4233" s="135"/>
      <c r="U4233" s="135"/>
    </row>
    <row r="4234" spans="20:21" ht="15" customHeight="1" x14ac:dyDescent="0.25">
      <c r="T4234" s="135"/>
      <c r="U4234" s="135"/>
    </row>
    <row r="4235" spans="20:21" ht="15" customHeight="1" x14ac:dyDescent="0.25">
      <c r="T4235" s="135"/>
      <c r="U4235" s="135"/>
    </row>
    <row r="4236" spans="20:21" ht="15" customHeight="1" x14ac:dyDescent="0.25">
      <c r="T4236" s="135"/>
      <c r="U4236" s="135"/>
    </row>
    <row r="4237" spans="20:21" ht="15" customHeight="1" x14ac:dyDescent="0.25">
      <c r="T4237" s="135"/>
      <c r="U4237" s="135"/>
    </row>
    <row r="4238" spans="20:21" ht="15" customHeight="1" x14ac:dyDescent="0.25">
      <c r="T4238" s="135"/>
      <c r="U4238" s="135"/>
    </row>
    <row r="4239" spans="20:21" ht="15" customHeight="1" x14ac:dyDescent="0.25">
      <c r="T4239" s="135"/>
      <c r="U4239" s="135"/>
    </row>
    <row r="4240" spans="20:21" ht="15" customHeight="1" x14ac:dyDescent="0.25">
      <c r="T4240" s="135"/>
      <c r="U4240" s="135"/>
    </row>
    <row r="4241" spans="20:21" ht="15" customHeight="1" x14ac:dyDescent="0.25">
      <c r="T4241" s="135"/>
      <c r="U4241" s="135"/>
    </row>
    <row r="4242" spans="20:21" ht="15" customHeight="1" x14ac:dyDescent="0.25">
      <c r="T4242" s="135"/>
      <c r="U4242" s="135"/>
    </row>
    <row r="4243" spans="20:21" ht="15" customHeight="1" x14ac:dyDescent="0.25">
      <c r="T4243" s="135"/>
      <c r="U4243" s="135"/>
    </row>
    <row r="4244" spans="20:21" ht="15" customHeight="1" x14ac:dyDescent="0.25">
      <c r="T4244" s="135"/>
      <c r="U4244" s="135"/>
    </row>
    <row r="4245" spans="20:21" ht="15" customHeight="1" x14ac:dyDescent="0.25">
      <c r="T4245" s="135"/>
      <c r="U4245" s="135"/>
    </row>
    <row r="4246" spans="20:21" ht="15" customHeight="1" x14ac:dyDescent="0.25">
      <c r="T4246" s="135"/>
      <c r="U4246" s="135"/>
    </row>
    <row r="4247" spans="20:21" ht="15" customHeight="1" x14ac:dyDescent="0.25">
      <c r="T4247" s="135"/>
      <c r="U4247" s="135"/>
    </row>
    <row r="4248" spans="20:21" ht="15" customHeight="1" x14ac:dyDescent="0.25">
      <c r="T4248" s="135"/>
      <c r="U4248" s="135"/>
    </row>
    <row r="4249" spans="20:21" ht="15" customHeight="1" x14ac:dyDescent="0.25">
      <c r="T4249" s="135"/>
      <c r="U4249" s="135"/>
    </row>
    <row r="4250" spans="20:21" ht="15" customHeight="1" x14ac:dyDescent="0.25">
      <c r="T4250" s="135"/>
      <c r="U4250" s="135"/>
    </row>
    <row r="4251" spans="20:21" ht="15" customHeight="1" x14ac:dyDescent="0.25">
      <c r="T4251" s="135"/>
      <c r="U4251" s="135"/>
    </row>
    <row r="4252" spans="20:21" ht="15" customHeight="1" x14ac:dyDescent="0.25">
      <c r="T4252" s="135"/>
      <c r="U4252" s="135"/>
    </row>
    <row r="4253" spans="20:21" ht="15" customHeight="1" x14ac:dyDescent="0.25">
      <c r="T4253" s="135"/>
      <c r="U4253" s="135"/>
    </row>
    <row r="4254" spans="20:21" ht="15" customHeight="1" x14ac:dyDescent="0.25">
      <c r="T4254" s="135"/>
      <c r="U4254" s="135"/>
    </row>
    <row r="4255" spans="20:21" ht="15" customHeight="1" x14ac:dyDescent="0.25">
      <c r="T4255" s="135"/>
      <c r="U4255" s="135"/>
    </row>
    <row r="4256" spans="20:21" ht="15" customHeight="1" x14ac:dyDescent="0.25">
      <c r="T4256" s="135"/>
      <c r="U4256" s="135"/>
    </row>
    <row r="4257" spans="20:21" ht="15" customHeight="1" x14ac:dyDescent="0.25">
      <c r="T4257" s="135"/>
      <c r="U4257" s="135"/>
    </row>
    <row r="4258" spans="20:21" ht="15" customHeight="1" x14ac:dyDescent="0.25">
      <c r="T4258" s="135"/>
      <c r="U4258" s="135"/>
    </row>
    <row r="4259" spans="20:21" ht="15" customHeight="1" x14ac:dyDescent="0.25">
      <c r="T4259" s="135"/>
      <c r="U4259" s="135"/>
    </row>
    <row r="4260" spans="20:21" ht="15" customHeight="1" x14ac:dyDescent="0.25">
      <c r="T4260" s="135"/>
      <c r="U4260" s="135"/>
    </row>
    <row r="4261" spans="20:21" ht="15" customHeight="1" x14ac:dyDescent="0.25">
      <c r="T4261" s="135"/>
      <c r="U4261" s="135"/>
    </row>
    <row r="4262" spans="20:21" ht="15" customHeight="1" x14ac:dyDescent="0.25">
      <c r="T4262" s="135"/>
      <c r="U4262" s="135"/>
    </row>
    <row r="4263" spans="20:21" ht="15" customHeight="1" x14ac:dyDescent="0.25">
      <c r="T4263" s="135"/>
      <c r="U4263" s="135"/>
    </row>
    <row r="4264" spans="20:21" ht="15" customHeight="1" x14ac:dyDescent="0.25">
      <c r="T4264" s="135"/>
      <c r="U4264" s="135"/>
    </row>
    <row r="4265" spans="20:21" ht="15" customHeight="1" x14ac:dyDescent="0.25">
      <c r="T4265" s="135"/>
      <c r="U4265" s="135"/>
    </row>
    <row r="4266" spans="20:21" ht="15" customHeight="1" x14ac:dyDescent="0.25">
      <c r="T4266" s="135"/>
      <c r="U4266" s="135"/>
    </row>
    <row r="4267" spans="20:21" ht="15" customHeight="1" x14ac:dyDescent="0.25">
      <c r="T4267" s="135"/>
      <c r="U4267" s="135"/>
    </row>
    <row r="4268" spans="20:21" ht="15" customHeight="1" x14ac:dyDescent="0.25">
      <c r="T4268" s="135"/>
      <c r="U4268" s="135"/>
    </row>
    <row r="4269" spans="20:21" ht="15" customHeight="1" x14ac:dyDescent="0.25">
      <c r="T4269" s="135"/>
      <c r="U4269" s="135"/>
    </row>
    <row r="4270" spans="20:21" ht="15" customHeight="1" x14ac:dyDescent="0.25">
      <c r="T4270" s="135"/>
      <c r="U4270" s="135"/>
    </row>
    <row r="4271" spans="20:21" ht="15" customHeight="1" x14ac:dyDescent="0.25">
      <c r="T4271" s="135"/>
      <c r="U4271" s="135"/>
    </row>
    <row r="4272" spans="20:21" ht="15" customHeight="1" x14ac:dyDescent="0.25">
      <c r="T4272" s="135"/>
      <c r="U4272" s="135"/>
    </row>
    <row r="4273" spans="20:21" ht="15" customHeight="1" x14ac:dyDescent="0.25">
      <c r="T4273" s="135"/>
      <c r="U4273" s="135"/>
    </row>
    <row r="4274" spans="20:21" ht="15" customHeight="1" x14ac:dyDescent="0.25">
      <c r="T4274" s="135"/>
      <c r="U4274" s="135"/>
    </row>
    <row r="4275" spans="20:21" ht="15" customHeight="1" x14ac:dyDescent="0.25">
      <c r="T4275" s="135"/>
      <c r="U4275" s="135"/>
    </row>
    <row r="4276" spans="20:21" ht="15" customHeight="1" x14ac:dyDescent="0.25">
      <c r="T4276" s="135"/>
      <c r="U4276" s="135"/>
    </row>
    <row r="4277" spans="20:21" ht="15" customHeight="1" x14ac:dyDescent="0.25">
      <c r="T4277" s="135"/>
      <c r="U4277" s="135"/>
    </row>
    <row r="4278" spans="20:21" ht="15" customHeight="1" x14ac:dyDescent="0.25">
      <c r="T4278" s="135"/>
      <c r="U4278" s="135"/>
    </row>
    <row r="4279" spans="20:21" ht="15" customHeight="1" x14ac:dyDescent="0.25">
      <c r="T4279" s="135"/>
      <c r="U4279" s="135"/>
    </row>
    <row r="4280" spans="20:21" ht="15" customHeight="1" x14ac:dyDescent="0.25">
      <c r="T4280" s="135"/>
      <c r="U4280" s="135"/>
    </row>
    <row r="4281" spans="20:21" ht="15" customHeight="1" x14ac:dyDescent="0.25">
      <c r="T4281" s="135"/>
      <c r="U4281" s="135"/>
    </row>
    <row r="4282" spans="20:21" ht="15" customHeight="1" x14ac:dyDescent="0.25">
      <c r="T4282" s="135"/>
      <c r="U4282" s="135"/>
    </row>
    <row r="4283" spans="20:21" ht="15" customHeight="1" x14ac:dyDescent="0.25">
      <c r="T4283" s="135"/>
      <c r="U4283" s="135"/>
    </row>
    <row r="4284" spans="20:21" ht="15" customHeight="1" x14ac:dyDescent="0.25">
      <c r="T4284" s="135"/>
      <c r="U4284" s="135"/>
    </row>
    <row r="4285" spans="20:21" ht="15" customHeight="1" x14ac:dyDescent="0.25">
      <c r="T4285" s="135"/>
      <c r="U4285" s="135"/>
    </row>
    <row r="4286" spans="20:21" ht="15" customHeight="1" x14ac:dyDescent="0.25">
      <c r="T4286" s="135"/>
      <c r="U4286" s="135"/>
    </row>
    <row r="4287" spans="20:21" ht="15" customHeight="1" x14ac:dyDescent="0.25">
      <c r="T4287" s="135"/>
      <c r="U4287" s="135"/>
    </row>
    <row r="4288" spans="20:21" ht="15" customHeight="1" x14ac:dyDescent="0.25">
      <c r="T4288" s="135"/>
      <c r="U4288" s="135"/>
    </row>
    <row r="4289" spans="20:21" ht="15" customHeight="1" x14ac:dyDescent="0.25">
      <c r="T4289" s="135"/>
      <c r="U4289" s="135"/>
    </row>
    <row r="4290" spans="20:21" ht="15" customHeight="1" x14ac:dyDescent="0.25">
      <c r="T4290" s="135"/>
      <c r="U4290" s="135"/>
    </row>
    <row r="4291" spans="20:21" ht="15" customHeight="1" x14ac:dyDescent="0.25">
      <c r="T4291" s="135"/>
      <c r="U4291" s="135"/>
    </row>
    <row r="4292" spans="20:21" ht="15" customHeight="1" x14ac:dyDescent="0.25">
      <c r="T4292" s="135"/>
      <c r="U4292" s="135"/>
    </row>
    <row r="4293" spans="20:21" ht="15" customHeight="1" x14ac:dyDescent="0.25">
      <c r="T4293" s="135"/>
      <c r="U4293" s="135"/>
    </row>
    <row r="4294" spans="20:21" ht="15" customHeight="1" x14ac:dyDescent="0.25">
      <c r="T4294" s="135"/>
      <c r="U4294" s="135"/>
    </row>
    <row r="4295" spans="20:21" ht="15" customHeight="1" x14ac:dyDescent="0.25">
      <c r="T4295" s="135"/>
      <c r="U4295" s="135"/>
    </row>
    <row r="4296" spans="20:21" ht="15" customHeight="1" x14ac:dyDescent="0.25">
      <c r="T4296" s="135"/>
      <c r="U4296" s="135"/>
    </row>
    <row r="4297" spans="20:21" ht="15" customHeight="1" x14ac:dyDescent="0.25">
      <c r="T4297" s="135"/>
      <c r="U4297" s="135"/>
    </row>
    <row r="4298" spans="20:21" ht="15" customHeight="1" x14ac:dyDescent="0.25">
      <c r="T4298" s="135"/>
      <c r="U4298" s="135"/>
    </row>
    <row r="4299" spans="20:21" ht="15" customHeight="1" x14ac:dyDescent="0.25">
      <c r="T4299" s="135"/>
      <c r="U4299" s="135"/>
    </row>
    <row r="4300" spans="20:21" ht="15" customHeight="1" x14ac:dyDescent="0.25">
      <c r="T4300" s="135"/>
      <c r="U4300" s="135"/>
    </row>
    <row r="4301" spans="20:21" ht="15" customHeight="1" x14ac:dyDescent="0.25">
      <c r="T4301" s="135"/>
      <c r="U4301" s="135"/>
    </row>
    <row r="4302" spans="20:21" ht="15" customHeight="1" x14ac:dyDescent="0.25">
      <c r="T4302" s="135"/>
      <c r="U4302" s="135"/>
    </row>
    <row r="4303" spans="20:21" ht="15" customHeight="1" x14ac:dyDescent="0.25">
      <c r="T4303" s="135"/>
      <c r="U4303" s="135"/>
    </row>
    <row r="4304" spans="20:21" ht="15" customHeight="1" x14ac:dyDescent="0.25">
      <c r="T4304" s="135"/>
      <c r="U4304" s="135"/>
    </row>
    <row r="4305" spans="20:21" ht="15" customHeight="1" x14ac:dyDescent="0.25">
      <c r="T4305" s="135"/>
      <c r="U4305" s="135"/>
    </row>
    <row r="4306" spans="20:21" ht="15" customHeight="1" x14ac:dyDescent="0.25">
      <c r="T4306" s="135"/>
      <c r="U4306" s="135"/>
    </row>
    <row r="4307" spans="20:21" ht="15" customHeight="1" x14ac:dyDescent="0.25">
      <c r="T4307" s="135"/>
      <c r="U4307" s="135"/>
    </row>
    <row r="4308" spans="20:21" ht="15" customHeight="1" x14ac:dyDescent="0.25">
      <c r="T4308" s="135"/>
      <c r="U4308" s="135"/>
    </row>
    <row r="4309" spans="20:21" ht="15" customHeight="1" x14ac:dyDescent="0.25">
      <c r="T4309" s="135"/>
      <c r="U4309" s="135"/>
    </row>
    <row r="4310" spans="20:21" ht="15" customHeight="1" x14ac:dyDescent="0.25">
      <c r="T4310" s="135"/>
      <c r="U4310" s="135"/>
    </row>
    <row r="4311" spans="20:21" ht="15" customHeight="1" x14ac:dyDescent="0.25">
      <c r="T4311" s="135"/>
      <c r="U4311" s="135"/>
    </row>
    <row r="4312" spans="20:21" ht="15" customHeight="1" x14ac:dyDescent="0.25">
      <c r="T4312" s="135"/>
      <c r="U4312" s="135"/>
    </row>
    <row r="4313" spans="20:21" ht="15" customHeight="1" x14ac:dyDescent="0.25">
      <c r="T4313" s="135"/>
      <c r="U4313" s="135"/>
    </row>
    <row r="4314" spans="20:21" ht="15" customHeight="1" x14ac:dyDescent="0.25">
      <c r="T4314" s="135"/>
      <c r="U4314" s="135"/>
    </row>
    <row r="4315" spans="20:21" ht="15" customHeight="1" x14ac:dyDescent="0.25">
      <c r="T4315" s="135"/>
      <c r="U4315" s="135"/>
    </row>
    <row r="4316" spans="20:21" ht="15" customHeight="1" x14ac:dyDescent="0.25">
      <c r="T4316" s="135"/>
      <c r="U4316" s="135"/>
    </row>
    <row r="4317" spans="20:21" ht="15" customHeight="1" x14ac:dyDescent="0.25">
      <c r="T4317" s="135"/>
      <c r="U4317" s="135"/>
    </row>
    <row r="4318" spans="20:21" ht="15" customHeight="1" x14ac:dyDescent="0.25">
      <c r="T4318" s="135"/>
      <c r="U4318" s="135"/>
    </row>
    <row r="4319" spans="20:21" ht="15" customHeight="1" x14ac:dyDescent="0.25">
      <c r="T4319" s="135"/>
      <c r="U4319" s="135"/>
    </row>
    <row r="4320" spans="20:21" ht="15" customHeight="1" x14ac:dyDescent="0.25">
      <c r="T4320" s="135"/>
      <c r="U4320" s="135"/>
    </row>
    <row r="4321" spans="20:21" ht="15" customHeight="1" x14ac:dyDescent="0.25">
      <c r="T4321" s="135"/>
      <c r="U4321" s="135"/>
    </row>
    <row r="4322" spans="20:21" ht="15" customHeight="1" x14ac:dyDescent="0.25">
      <c r="T4322" s="135"/>
      <c r="U4322" s="135"/>
    </row>
    <row r="4323" spans="20:21" ht="15" customHeight="1" x14ac:dyDescent="0.25">
      <c r="T4323" s="135"/>
      <c r="U4323" s="135"/>
    </row>
    <row r="4324" spans="20:21" ht="15" customHeight="1" x14ac:dyDescent="0.25">
      <c r="T4324" s="135"/>
      <c r="U4324" s="135"/>
    </row>
    <row r="4325" spans="20:21" ht="15" customHeight="1" x14ac:dyDescent="0.25">
      <c r="T4325" s="135"/>
      <c r="U4325" s="135"/>
    </row>
    <row r="4326" spans="20:21" ht="15" customHeight="1" x14ac:dyDescent="0.25">
      <c r="T4326" s="135"/>
      <c r="U4326" s="135"/>
    </row>
    <row r="4327" spans="20:21" ht="15" customHeight="1" x14ac:dyDescent="0.25">
      <c r="T4327" s="135"/>
      <c r="U4327" s="135"/>
    </row>
    <row r="4328" spans="20:21" ht="15" customHeight="1" x14ac:dyDescent="0.25">
      <c r="T4328" s="135"/>
      <c r="U4328" s="135"/>
    </row>
    <row r="4329" spans="20:21" ht="15" customHeight="1" x14ac:dyDescent="0.25">
      <c r="T4329" s="135"/>
      <c r="U4329" s="135"/>
    </row>
    <row r="4330" spans="20:21" ht="15" customHeight="1" x14ac:dyDescent="0.25">
      <c r="T4330" s="135"/>
      <c r="U4330" s="135"/>
    </row>
    <row r="4331" spans="20:21" ht="15" customHeight="1" x14ac:dyDescent="0.25">
      <c r="T4331" s="135"/>
      <c r="U4331" s="135"/>
    </row>
    <row r="4332" spans="20:21" ht="15" customHeight="1" x14ac:dyDescent="0.25">
      <c r="T4332" s="135"/>
      <c r="U4332" s="135"/>
    </row>
    <row r="4333" spans="20:21" ht="15" customHeight="1" x14ac:dyDescent="0.25">
      <c r="T4333" s="135"/>
      <c r="U4333" s="135"/>
    </row>
    <row r="4334" spans="20:21" ht="15" customHeight="1" x14ac:dyDescent="0.25">
      <c r="T4334" s="135"/>
      <c r="U4334" s="135"/>
    </row>
    <row r="4335" spans="20:21" ht="15" customHeight="1" x14ac:dyDescent="0.25">
      <c r="T4335" s="135"/>
      <c r="U4335" s="135"/>
    </row>
    <row r="4336" spans="20:21" ht="15" customHeight="1" x14ac:dyDescent="0.25">
      <c r="T4336" s="135"/>
      <c r="U4336" s="135"/>
    </row>
    <row r="4337" spans="20:21" ht="15" customHeight="1" x14ac:dyDescent="0.25">
      <c r="T4337" s="135"/>
      <c r="U4337" s="135"/>
    </row>
    <row r="4338" spans="20:21" ht="15" customHeight="1" x14ac:dyDescent="0.25">
      <c r="T4338" s="135"/>
      <c r="U4338" s="135"/>
    </row>
    <row r="4339" spans="20:21" ht="15" customHeight="1" x14ac:dyDescent="0.25">
      <c r="T4339" s="135"/>
      <c r="U4339" s="135"/>
    </row>
    <row r="4340" spans="20:21" ht="15" customHeight="1" x14ac:dyDescent="0.25">
      <c r="T4340" s="135"/>
      <c r="U4340" s="135"/>
    </row>
    <row r="4341" spans="20:21" ht="15" customHeight="1" x14ac:dyDescent="0.25">
      <c r="T4341" s="135"/>
      <c r="U4341" s="135"/>
    </row>
    <row r="4342" spans="20:21" ht="15" customHeight="1" x14ac:dyDescent="0.25">
      <c r="T4342" s="135"/>
      <c r="U4342" s="135"/>
    </row>
    <row r="4343" spans="20:21" ht="15" customHeight="1" x14ac:dyDescent="0.25">
      <c r="T4343" s="135"/>
      <c r="U4343" s="135"/>
    </row>
    <row r="4344" spans="20:21" ht="15" customHeight="1" x14ac:dyDescent="0.25">
      <c r="T4344" s="135"/>
      <c r="U4344" s="135"/>
    </row>
    <row r="4345" spans="20:21" ht="15" customHeight="1" x14ac:dyDescent="0.25">
      <c r="T4345" s="135"/>
      <c r="U4345" s="135"/>
    </row>
    <row r="4346" spans="20:21" ht="15" customHeight="1" x14ac:dyDescent="0.25">
      <c r="T4346" s="135"/>
      <c r="U4346" s="135"/>
    </row>
    <row r="4347" spans="20:21" ht="15" customHeight="1" x14ac:dyDescent="0.25">
      <c r="T4347" s="135"/>
      <c r="U4347" s="135"/>
    </row>
    <row r="4348" spans="20:21" ht="15" customHeight="1" x14ac:dyDescent="0.25">
      <c r="T4348" s="135"/>
      <c r="U4348" s="135"/>
    </row>
    <row r="4349" spans="20:21" ht="15" customHeight="1" x14ac:dyDescent="0.25">
      <c r="T4349" s="135"/>
      <c r="U4349" s="135"/>
    </row>
    <row r="4350" spans="20:21" ht="15" customHeight="1" x14ac:dyDescent="0.25">
      <c r="T4350" s="135"/>
      <c r="U4350" s="135"/>
    </row>
    <row r="4351" spans="20:21" ht="15" customHeight="1" x14ac:dyDescent="0.25">
      <c r="T4351" s="135"/>
      <c r="U4351" s="135"/>
    </row>
    <row r="4352" spans="20:21" ht="15" customHeight="1" x14ac:dyDescent="0.25">
      <c r="T4352" s="135"/>
      <c r="U4352" s="135"/>
    </row>
    <row r="4353" spans="20:21" ht="15" customHeight="1" x14ac:dyDescent="0.25">
      <c r="T4353" s="135"/>
      <c r="U4353" s="135"/>
    </row>
    <row r="4354" spans="20:21" ht="15" customHeight="1" x14ac:dyDescent="0.25">
      <c r="T4354" s="135"/>
      <c r="U4354" s="135"/>
    </row>
    <row r="4355" spans="20:21" ht="15" customHeight="1" x14ac:dyDescent="0.25">
      <c r="T4355" s="135"/>
      <c r="U4355" s="135"/>
    </row>
    <row r="4356" spans="20:21" ht="15" customHeight="1" x14ac:dyDescent="0.25">
      <c r="T4356" s="135"/>
      <c r="U4356" s="135"/>
    </row>
    <row r="4357" spans="20:21" ht="15" customHeight="1" x14ac:dyDescent="0.25">
      <c r="T4357" s="135"/>
      <c r="U4357" s="135"/>
    </row>
    <row r="4358" spans="20:21" ht="15" customHeight="1" x14ac:dyDescent="0.25">
      <c r="T4358" s="135"/>
      <c r="U4358" s="135"/>
    </row>
    <row r="4359" spans="20:21" ht="15" customHeight="1" x14ac:dyDescent="0.25">
      <c r="T4359" s="135"/>
      <c r="U4359" s="135"/>
    </row>
    <row r="4360" spans="20:21" ht="15" customHeight="1" x14ac:dyDescent="0.25">
      <c r="T4360" s="135"/>
      <c r="U4360" s="135"/>
    </row>
    <row r="4361" spans="20:21" ht="15" customHeight="1" x14ac:dyDescent="0.25">
      <c r="T4361" s="135"/>
      <c r="U4361" s="135"/>
    </row>
    <row r="4362" spans="20:21" ht="15" customHeight="1" x14ac:dyDescent="0.25">
      <c r="T4362" s="135"/>
      <c r="U4362" s="135"/>
    </row>
    <row r="4363" spans="20:21" ht="15" customHeight="1" x14ac:dyDescent="0.25">
      <c r="T4363" s="135"/>
      <c r="U4363" s="135"/>
    </row>
    <row r="4364" spans="20:21" ht="15" customHeight="1" x14ac:dyDescent="0.25">
      <c r="T4364" s="135"/>
      <c r="U4364" s="135"/>
    </row>
    <row r="4365" spans="20:21" ht="15" customHeight="1" x14ac:dyDescent="0.25">
      <c r="T4365" s="135"/>
      <c r="U4365" s="135"/>
    </row>
    <row r="4366" spans="20:21" ht="15" customHeight="1" x14ac:dyDescent="0.25">
      <c r="T4366" s="135"/>
      <c r="U4366" s="135"/>
    </row>
    <row r="4367" spans="20:21" ht="15" customHeight="1" x14ac:dyDescent="0.25">
      <c r="T4367" s="135"/>
      <c r="U4367" s="135"/>
    </row>
    <row r="4368" spans="20:21" ht="15" customHeight="1" x14ac:dyDescent="0.25">
      <c r="T4368" s="135"/>
      <c r="U4368" s="135"/>
    </row>
    <row r="4369" spans="20:21" ht="15" customHeight="1" x14ac:dyDescent="0.25">
      <c r="T4369" s="135"/>
      <c r="U4369" s="135"/>
    </row>
    <row r="4370" spans="20:21" ht="15" customHeight="1" x14ac:dyDescent="0.25">
      <c r="T4370" s="135"/>
      <c r="U4370" s="135"/>
    </row>
    <row r="4371" spans="20:21" ht="15" customHeight="1" x14ac:dyDescent="0.25">
      <c r="T4371" s="135"/>
      <c r="U4371" s="135"/>
    </row>
    <row r="4372" spans="20:21" ht="15" customHeight="1" x14ac:dyDescent="0.25">
      <c r="T4372" s="135"/>
      <c r="U4372" s="135"/>
    </row>
    <row r="4373" spans="20:21" ht="15" customHeight="1" x14ac:dyDescent="0.25">
      <c r="T4373" s="135"/>
      <c r="U4373" s="135"/>
    </row>
    <row r="4374" spans="20:21" ht="15" customHeight="1" x14ac:dyDescent="0.25">
      <c r="T4374" s="135"/>
      <c r="U4374" s="135"/>
    </row>
    <row r="4375" spans="20:21" ht="15" customHeight="1" x14ac:dyDescent="0.25">
      <c r="T4375" s="135"/>
      <c r="U4375" s="135"/>
    </row>
    <row r="4376" spans="20:21" ht="15" customHeight="1" x14ac:dyDescent="0.25">
      <c r="T4376" s="135"/>
      <c r="U4376" s="135"/>
    </row>
    <row r="4377" spans="20:21" ht="15" customHeight="1" x14ac:dyDescent="0.25">
      <c r="T4377" s="135"/>
      <c r="U4377" s="135"/>
    </row>
    <row r="4378" spans="20:21" ht="15" customHeight="1" x14ac:dyDescent="0.25">
      <c r="T4378" s="135"/>
      <c r="U4378" s="135"/>
    </row>
    <row r="4379" spans="20:21" ht="15" customHeight="1" x14ac:dyDescent="0.25">
      <c r="T4379" s="135"/>
      <c r="U4379" s="135"/>
    </row>
    <row r="4380" spans="20:21" ht="15" customHeight="1" x14ac:dyDescent="0.25">
      <c r="T4380" s="135"/>
      <c r="U4380" s="135"/>
    </row>
    <row r="4381" spans="20:21" ht="15" customHeight="1" x14ac:dyDescent="0.25">
      <c r="T4381" s="135"/>
      <c r="U4381" s="135"/>
    </row>
    <row r="4382" spans="20:21" ht="15" customHeight="1" x14ac:dyDescent="0.25">
      <c r="T4382" s="135"/>
      <c r="U4382" s="135"/>
    </row>
    <row r="4383" spans="20:21" ht="15" customHeight="1" x14ac:dyDescent="0.25">
      <c r="T4383" s="135"/>
      <c r="U4383" s="135"/>
    </row>
    <row r="4384" spans="20:21" ht="15" customHeight="1" x14ac:dyDescent="0.25">
      <c r="T4384" s="135"/>
      <c r="U4384" s="135"/>
    </row>
    <row r="4385" spans="20:21" ht="15" customHeight="1" x14ac:dyDescent="0.25">
      <c r="T4385" s="135"/>
      <c r="U4385" s="135"/>
    </row>
    <row r="4386" spans="20:21" ht="15" customHeight="1" x14ac:dyDescent="0.25">
      <c r="T4386" s="135"/>
      <c r="U4386" s="135"/>
    </row>
    <row r="4387" spans="20:21" ht="15" customHeight="1" x14ac:dyDescent="0.25">
      <c r="T4387" s="135"/>
      <c r="U4387" s="135"/>
    </row>
    <row r="4388" spans="20:21" ht="15" customHeight="1" x14ac:dyDescent="0.25">
      <c r="T4388" s="135"/>
      <c r="U4388" s="135"/>
    </row>
    <row r="4389" spans="20:21" ht="15" customHeight="1" x14ac:dyDescent="0.25">
      <c r="T4389" s="135"/>
      <c r="U4389" s="135"/>
    </row>
    <row r="4390" spans="20:21" ht="15" customHeight="1" x14ac:dyDescent="0.25">
      <c r="T4390" s="135"/>
      <c r="U4390" s="135"/>
    </row>
    <row r="4391" spans="20:21" ht="15" customHeight="1" x14ac:dyDescent="0.25">
      <c r="T4391" s="135"/>
      <c r="U4391" s="135"/>
    </row>
    <row r="4392" spans="20:21" ht="15" customHeight="1" x14ac:dyDescent="0.25">
      <c r="T4392" s="135"/>
      <c r="U4392" s="135"/>
    </row>
    <row r="4393" spans="20:21" ht="15" customHeight="1" x14ac:dyDescent="0.25">
      <c r="T4393" s="135"/>
      <c r="U4393" s="135"/>
    </row>
    <row r="4394" spans="20:21" ht="15" customHeight="1" x14ac:dyDescent="0.25">
      <c r="T4394" s="135"/>
      <c r="U4394" s="135"/>
    </row>
    <row r="4395" spans="20:21" ht="15" customHeight="1" x14ac:dyDescent="0.25">
      <c r="T4395" s="135"/>
      <c r="U4395" s="135"/>
    </row>
    <row r="4396" spans="20:21" ht="15" customHeight="1" x14ac:dyDescent="0.25">
      <c r="T4396" s="135"/>
      <c r="U4396" s="135"/>
    </row>
    <row r="4397" spans="20:21" ht="15" customHeight="1" x14ac:dyDescent="0.25">
      <c r="T4397" s="135"/>
      <c r="U4397" s="135"/>
    </row>
    <row r="4398" spans="20:21" ht="15" customHeight="1" x14ac:dyDescent="0.25">
      <c r="T4398" s="135"/>
      <c r="U4398" s="135"/>
    </row>
    <row r="4399" spans="20:21" ht="15" customHeight="1" x14ac:dyDescent="0.25">
      <c r="T4399" s="135"/>
      <c r="U4399" s="135"/>
    </row>
    <row r="4400" spans="20:21" ht="15" customHeight="1" x14ac:dyDescent="0.25">
      <c r="T4400" s="135"/>
      <c r="U4400" s="135"/>
    </row>
    <row r="4401" spans="20:21" ht="15" customHeight="1" x14ac:dyDescent="0.25">
      <c r="T4401" s="135"/>
      <c r="U4401" s="135"/>
    </row>
    <row r="4402" spans="20:21" ht="15" customHeight="1" x14ac:dyDescent="0.25">
      <c r="T4402" s="135"/>
      <c r="U4402" s="135"/>
    </row>
    <row r="4403" spans="20:21" ht="15" customHeight="1" x14ac:dyDescent="0.25">
      <c r="T4403" s="135"/>
      <c r="U4403" s="135"/>
    </row>
    <row r="4404" spans="20:21" ht="15" customHeight="1" x14ac:dyDescent="0.25">
      <c r="T4404" s="135"/>
      <c r="U4404" s="135"/>
    </row>
    <row r="4405" spans="20:21" ht="15" customHeight="1" x14ac:dyDescent="0.25">
      <c r="T4405" s="135"/>
      <c r="U4405" s="135"/>
    </row>
    <row r="4406" spans="20:21" ht="15" customHeight="1" x14ac:dyDescent="0.25">
      <c r="T4406" s="135"/>
      <c r="U4406" s="135"/>
    </row>
    <row r="4407" spans="20:21" ht="15" customHeight="1" x14ac:dyDescent="0.25">
      <c r="T4407" s="135"/>
      <c r="U4407" s="135"/>
    </row>
    <row r="4408" spans="20:21" ht="15" customHeight="1" x14ac:dyDescent="0.25">
      <c r="T4408" s="135"/>
      <c r="U4408" s="135"/>
    </row>
    <row r="4409" spans="20:21" ht="15" customHeight="1" x14ac:dyDescent="0.25">
      <c r="T4409" s="135"/>
      <c r="U4409" s="135"/>
    </row>
    <row r="4410" spans="20:21" ht="15" customHeight="1" x14ac:dyDescent="0.25">
      <c r="T4410" s="135"/>
      <c r="U4410" s="135"/>
    </row>
    <row r="4411" spans="20:21" ht="15" customHeight="1" x14ac:dyDescent="0.25">
      <c r="T4411" s="135"/>
      <c r="U4411" s="135"/>
    </row>
    <row r="4412" spans="20:21" ht="15" customHeight="1" x14ac:dyDescent="0.25">
      <c r="T4412" s="135"/>
      <c r="U4412" s="135"/>
    </row>
    <row r="4413" spans="20:21" ht="15" customHeight="1" x14ac:dyDescent="0.25">
      <c r="T4413" s="135"/>
      <c r="U4413" s="135"/>
    </row>
    <row r="4414" spans="20:21" ht="15" customHeight="1" x14ac:dyDescent="0.25">
      <c r="T4414" s="135"/>
      <c r="U4414" s="135"/>
    </row>
    <row r="4415" spans="20:21" ht="15" customHeight="1" x14ac:dyDescent="0.25">
      <c r="T4415" s="135"/>
      <c r="U4415" s="135"/>
    </row>
    <row r="4416" spans="20:21" ht="15" customHeight="1" x14ac:dyDescent="0.25">
      <c r="T4416" s="135"/>
      <c r="U4416" s="135"/>
    </row>
    <row r="4417" spans="20:21" ht="15" customHeight="1" x14ac:dyDescent="0.25">
      <c r="T4417" s="135"/>
      <c r="U4417" s="135"/>
    </row>
    <row r="4418" spans="20:21" ht="15" customHeight="1" x14ac:dyDescent="0.25">
      <c r="T4418" s="135"/>
      <c r="U4418" s="135"/>
    </row>
    <row r="4419" spans="20:21" ht="15" customHeight="1" x14ac:dyDescent="0.25">
      <c r="T4419" s="135"/>
      <c r="U4419" s="135"/>
    </row>
    <row r="4420" spans="20:21" ht="15" customHeight="1" x14ac:dyDescent="0.25">
      <c r="T4420" s="135"/>
      <c r="U4420" s="135"/>
    </row>
    <row r="4421" spans="20:21" ht="15" customHeight="1" x14ac:dyDescent="0.25">
      <c r="T4421" s="135"/>
      <c r="U4421" s="135"/>
    </row>
    <row r="4422" spans="20:21" ht="15" customHeight="1" x14ac:dyDescent="0.25">
      <c r="T4422" s="135"/>
      <c r="U4422" s="135"/>
    </row>
    <row r="4423" spans="20:21" ht="15" customHeight="1" x14ac:dyDescent="0.25">
      <c r="T4423" s="135"/>
      <c r="U4423" s="135"/>
    </row>
    <row r="4424" spans="20:21" ht="15" customHeight="1" x14ac:dyDescent="0.25">
      <c r="T4424" s="135"/>
      <c r="U4424" s="135"/>
    </row>
    <row r="4425" spans="20:21" ht="15" customHeight="1" x14ac:dyDescent="0.25">
      <c r="T4425" s="135"/>
      <c r="U4425" s="135"/>
    </row>
    <row r="4426" spans="20:21" ht="15" customHeight="1" x14ac:dyDescent="0.25">
      <c r="T4426" s="135"/>
      <c r="U4426" s="135"/>
    </row>
    <row r="4427" spans="20:21" ht="15" customHeight="1" x14ac:dyDescent="0.25">
      <c r="T4427" s="135"/>
      <c r="U4427" s="135"/>
    </row>
    <row r="4428" spans="20:21" ht="15" customHeight="1" x14ac:dyDescent="0.25">
      <c r="T4428" s="135"/>
      <c r="U4428" s="135"/>
    </row>
    <row r="4429" spans="20:21" ht="15" customHeight="1" x14ac:dyDescent="0.25">
      <c r="T4429" s="135"/>
      <c r="U4429" s="135"/>
    </row>
    <row r="4430" spans="20:21" ht="15" customHeight="1" x14ac:dyDescent="0.25">
      <c r="T4430" s="135"/>
      <c r="U4430" s="135"/>
    </row>
    <row r="4431" spans="20:21" ht="15" customHeight="1" x14ac:dyDescent="0.25">
      <c r="T4431" s="135"/>
      <c r="U4431" s="135"/>
    </row>
    <row r="4432" spans="20:21" ht="15" customHeight="1" x14ac:dyDescent="0.25">
      <c r="T4432" s="135"/>
      <c r="U4432" s="135"/>
    </row>
    <row r="4433" spans="20:21" ht="15" customHeight="1" x14ac:dyDescent="0.25">
      <c r="T4433" s="135"/>
      <c r="U4433" s="135"/>
    </row>
    <row r="4434" spans="20:21" ht="15" customHeight="1" x14ac:dyDescent="0.25">
      <c r="T4434" s="135"/>
      <c r="U4434" s="135"/>
    </row>
    <row r="4435" spans="20:21" ht="15" customHeight="1" x14ac:dyDescent="0.25">
      <c r="T4435" s="135"/>
      <c r="U4435" s="135"/>
    </row>
    <row r="4436" spans="20:21" ht="15" customHeight="1" x14ac:dyDescent="0.25">
      <c r="T4436" s="135"/>
      <c r="U4436" s="135"/>
    </row>
    <row r="4437" spans="20:21" ht="15" customHeight="1" x14ac:dyDescent="0.25">
      <c r="T4437" s="135"/>
      <c r="U4437" s="135"/>
    </row>
    <row r="4438" spans="20:21" ht="15" customHeight="1" x14ac:dyDescent="0.25">
      <c r="T4438" s="135"/>
      <c r="U4438" s="135"/>
    </row>
    <row r="4439" spans="20:21" ht="15" customHeight="1" x14ac:dyDescent="0.25">
      <c r="T4439" s="135"/>
      <c r="U4439" s="135"/>
    </row>
    <row r="4440" spans="20:21" ht="15" customHeight="1" x14ac:dyDescent="0.25">
      <c r="T4440" s="135"/>
      <c r="U4440" s="135"/>
    </row>
    <row r="4441" spans="20:21" ht="15" customHeight="1" x14ac:dyDescent="0.25">
      <c r="T4441" s="135"/>
      <c r="U4441" s="135"/>
    </row>
    <row r="4442" spans="20:21" ht="15" customHeight="1" x14ac:dyDescent="0.25">
      <c r="T4442" s="135"/>
      <c r="U4442" s="135"/>
    </row>
    <row r="4443" spans="20:21" ht="15" customHeight="1" x14ac:dyDescent="0.25">
      <c r="T4443" s="135"/>
      <c r="U4443" s="135"/>
    </row>
    <row r="4444" spans="20:21" ht="15" customHeight="1" x14ac:dyDescent="0.25">
      <c r="T4444" s="135"/>
      <c r="U4444" s="135"/>
    </row>
    <row r="4445" spans="20:21" ht="15" customHeight="1" x14ac:dyDescent="0.25">
      <c r="T4445" s="135"/>
      <c r="U4445" s="135"/>
    </row>
    <row r="4446" spans="20:21" ht="15" customHeight="1" x14ac:dyDescent="0.25">
      <c r="T4446" s="135"/>
      <c r="U4446" s="135"/>
    </row>
    <row r="4447" spans="20:21" ht="15" customHeight="1" x14ac:dyDescent="0.25">
      <c r="T4447" s="135"/>
      <c r="U4447" s="135"/>
    </row>
    <row r="4448" spans="20:21" ht="15" customHeight="1" x14ac:dyDescent="0.25">
      <c r="T4448" s="135"/>
      <c r="U4448" s="135"/>
    </row>
    <row r="4449" spans="20:21" ht="15" customHeight="1" x14ac:dyDescent="0.25">
      <c r="T4449" s="135"/>
      <c r="U4449" s="135"/>
    </row>
    <row r="4450" spans="20:21" ht="15" customHeight="1" x14ac:dyDescent="0.25">
      <c r="T4450" s="135"/>
      <c r="U4450" s="135"/>
    </row>
    <row r="4451" spans="20:21" ht="15" customHeight="1" x14ac:dyDescent="0.25">
      <c r="T4451" s="135"/>
      <c r="U4451" s="135"/>
    </row>
    <row r="4452" spans="20:21" ht="15" customHeight="1" x14ac:dyDescent="0.25">
      <c r="T4452" s="135"/>
      <c r="U4452" s="135"/>
    </row>
    <row r="4453" spans="20:21" ht="15" customHeight="1" x14ac:dyDescent="0.25">
      <c r="T4453" s="135"/>
      <c r="U4453" s="135"/>
    </row>
    <row r="4454" spans="20:21" ht="15" customHeight="1" x14ac:dyDescent="0.25">
      <c r="T4454" s="135"/>
      <c r="U4454" s="135"/>
    </row>
    <row r="4455" spans="20:21" ht="15" customHeight="1" x14ac:dyDescent="0.25">
      <c r="T4455" s="135"/>
      <c r="U4455" s="135"/>
    </row>
    <row r="4456" spans="20:21" ht="15" customHeight="1" x14ac:dyDescent="0.25">
      <c r="T4456" s="135"/>
      <c r="U4456" s="135"/>
    </row>
    <row r="4457" spans="20:21" ht="15" customHeight="1" x14ac:dyDescent="0.25">
      <c r="T4457" s="135"/>
      <c r="U4457" s="135"/>
    </row>
    <row r="4458" spans="20:21" ht="15" customHeight="1" x14ac:dyDescent="0.25">
      <c r="T4458" s="135"/>
      <c r="U4458" s="135"/>
    </row>
    <row r="4459" spans="20:21" ht="15" customHeight="1" x14ac:dyDescent="0.25">
      <c r="T4459" s="135"/>
      <c r="U4459" s="135"/>
    </row>
    <row r="4460" spans="20:21" ht="15" customHeight="1" x14ac:dyDescent="0.25">
      <c r="T4460" s="135"/>
      <c r="U4460" s="135"/>
    </row>
    <row r="4461" spans="20:21" ht="15" customHeight="1" x14ac:dyDescent="0.25">
      <c r="T4461" s="135"/>
      <c r="U4461" s="135"/>
    </row>
    <row r="4462" spans="20:21" ht="15" customHeight="1" x14ac:dyDescent="0.25">
      <c r="T4462" s="135"/>
      <c r="U4462" s="135"/>
    </row>
    <row r="4463" spans="20:21" ht="15" customHeight="1" x14ac:dyDescent="0.25">
      <c r="T4463" s="135"/>
      <c r="U4463" s="135"/>
    </row>
    <row r="4464" spans="20:21" ht="15" customHeight="1" x14ac:dyDescent="0.25">
      <c r="T4464" s="135"/>
      <c r="U4464" s="135"/>
    </row>
    <row r="4465" spans="20:21" ht="15" customHeight="1" x14ac:dyDescent="0.25">
      <c r="T4465" s="135"/>
      <c r="U4465" s="135"/>
    </row>
    <row r="4466" spans="20:21" ht="15" customHeight="1" x14ac:dyDescent="0.25">
      <c r="T4466" s="135"/>
      <c r="U4466" s="135"/>
    </row>
    <row r="4467" spans="20:21" ht="15" customHeight="1" x14ac:dyDescent="0.25">
      <c r="T4467" s="135"/>
      <c r="U4467" s="135"/>
    </row>
    <row r="4468" spans="20:21" ht="15" customHeight="1" x14ac:dyDescent="0.25">
      <c r="T4468" s="135"/>
      <c r="U4468" s="135"/>
    </row>
    <row r="4469" spans="20:21" ht="15" customHeight="1" x14ac:dyDescent="0.25">
      <c r="T4469" s="135"/>
      <c r="U4469" s="135"/>
    </row>
    <row r="4470" spans="20:21" ht="15" customHeight="1" x14ac:dyDescent="0.25">
      <c r="T4470" s="135"/>
      <c r="U4470" s="135"/>
    </row>
    <row r="4471" spans="20:21" ht="15" customHeight="1" x14ac:dyDescent="0.25">
      <c r="T4471" s="135"/>
      <c r="U4471" s="135"/>
    </row>
    <row r="4472" spans="20:21" ht="15" customHeight="1" x14ac:dyDescent="0.25">
      <c r="T4472" s="135"/>
      <c r="U4472" s="135"/>
    </row>
    <row r="4473" spans="20:21" ht="15" customHeight="1" x14ac:dyDescent="0.25">
      <c r="T4473" s="135"/>
      <c r="U4473" s="135"/>
    </row>
    <row r="4474" spans="20:21" ht="15" customHeight="1" x14ac:dyDescent="0.25">
      <c r="T4474" s="135"/>
      <c r="U4474" s="135"/>
    </row>
    <row r="4475" spans="20:21" ht="15" customHeight="1" x14ac:dyDescent="0.25">
      <c r="T4475" s="135"/>
      <c r="U4475" s="135"/>
    </row>
    <row r="4476" spans="20:21" ht="15" customHeight="1" x14ac:dyDescent="0.25">
      <c r="T4476" s="135"/>
      <c r="U4476" s="135"/>
    </row>
    <row r="4477" spans="20:21" ht="15" customHeight="1" x14ac:dyDescent="0.25">
      <c r="T4477" s="135"/>
      <c r="U4477" s="135"/>
    </row>
    <row r="4478" spans="20:21" ht="15" customHeight="1" x14ac:dyDescent="0.25">
      <c r="T4478" s="135"/>
      <c r="U4478" s="135"/>
    </row>
    <row r="4479" spans="20:21" ht="15" customHeight="1" x14ac:dyDescent="0.25">
      <c r="T4479" s="135"/>
      <c r="U4479" s="135"/>
    </row>
    <row r="4480" spans="20:21" ht="15" customHeight="1" x14ac:dyDescent="0.25">
      <c r="T4480" s="135"/>
      <c r="U4480" s="135"/>
    </row>
    <row r="4481" spans="20:21" ht="15" customHeight="1" x14ac:dyDescent="0.25">
      <c r="T4481" s="135"/>
      <c r="U4481" s="135"/>
    </row>
    <row r="4482" spans="20:21" ht="15" customHeight="1" x14ac:dyDescent="0.25">
      <c r="T4482" s="135"/>
      <c r="U4482" s="135"/>
    </row>
    <row r="4483" spans="20:21" ht="15" customHeight="1" x14ac:dyDescent="0.25">
      <c r="T4483" s="135"/>
      <c r="U4483" s="135"/>
    </row>
    <row r="4484" spans="20:21" ht="15" customHeight="1" x14ac:dyDescent="0.25">
      <c r="T4484" s="135"/>
      <c r="U4484" s="135"/>
    </row>
    <row r="4485" spans="20:21" ht="15" customHeight="1" x14ac:dyDescent="0.25">
      <c r="T4485" s="135"/>
      <c r="U4485" s="135"/>
    </row>
    <row r="4486" spans="20:21" ht="15" customHeight="1" x14ac:dyDescent="0.25">
      <c r="T4486" s="135"/>
      <c r="U4486" s="135"/>
    </row>
    <row r="4487" spans="20:21" ht="15" customHeight="1" x14ac:dyDescent="0.25">
      <c r="T4487" s="135"/>
      <c r="U4487" s="135"/>
    </row>
    <row r="4488" spans="20:21" ht="15" customHeight="1" x14ac:dyDescent="0.25">
      <c r="T4488" s="135"/>
      <c r="U4488" s="135"/>
    </row>
    <row r="4489" spans="20:21" ht="15" customHeight="1" x14ac:dyDescent="0.25">
      <c r="T4489" s="135"/>
      <c r="U4489" s="135"/>
    </row>
    <row r="4490" spans="20:21" ht="15" customHeight="1" x14ac:dyDescent="0.25">
      <c r="T4490" s="135"/>
      <c r="U4490" s="135"/>
    </row>
    <row r="4491" spans="20:21" ht="15" customHeight="1" x14ac:dyDescent="0.25">
      <c r="T4491" s="135"/>
      <c r="U4491" s="135"/>
    </row>
    <row r="4492" spans="20:21" ht="15" customHeight="1" x14ac:dyDescent="0.25">
      <c r="T4492" s="135"/>
      <c r="U4492" s="135"/>
    </row>
    <row r="4493" spans="20:21" ht="15" customHeight="1" x14ac:dyDescent="0.25">
      <c r="T4493" s="135"/>
      <c r="U4493" s="135"/>
    </row>
    <row r="4494" spans="20:21" ht="15" customHeight="1" x14ac:dyDescent="0.25">
      <c r="T4494" s="135"/>
      <c r="U4494" s="135"/>
    </row>
    <row r="4495" spans="20:21" ht="15" customHeight="1" x14ac:dyDescent="0.25">
      <c r="T4495" s="135"/>
      <c r="U4495" s="135"/>
    </row>
    <row r="4496" spans="20:21" ht="15" customHeight="1" x14ac:dyDescent="0.25">
      <c r="T4496" s="135"/>
      <c r="U4496" s="135"/>
    </row>
    <row r="4497" spans="20:21" ht="15" customHeight="1" x14ac:dyDescent="0.25">
      <c r="T4497" s="135"/>
      <c r="U4497" s="135"/>
    </row>
    <row r="4498" spans="20:21" ht="15" customHeight="1" x14ac:dyDescent="0.25">
      <c r="T4498" s="135"/>
      <c r="U4498" s="135"/>
    </row>
    <row r="4499" spans="20:21" ht="15" customHeight="1" x14ac:dyDescent="0.25">
      <c r="T4499" s="135"/>
      <c r="U4499" s="135"/>
    </row>
    <row r="4500" spans="20:21" ht="15" customHeight="1" x14ac:dyDescent="0.25">
      <c r="T4500" s="135"/>
      <c r="U4500" s="135"/>
    </row>
    <row r="4501" spans="20:21" ht="15" customHeight="1" x14ac:dyDescent="0.25">
      <c r="T4501" s="135"/>
      <c r="U4501" s="135"/>
    </row>
    <row r="4502" spans="20:21" ht="15" customHeight="1" x14ac:dyDescent="0.25">
      <c r="T4502" s="135"/>
      <c r="U4502" s="135"/>
    </row>
    <row r="4503" spans="20:21" ht="15" customHeight="1" x14ac:dyDescent="0.25">
      <c r="T4503" s="135"/>
      <c r="U4503" s="135"/>
    </row>
    <row r="4504" spans="20:21" ht="15" customHeight="1" x14ac:dyDescent="0.25">
      <c r="T4504" s="135"/>
      <c r="U4504" s="135"/>
    </row>
    <row r="4505" spans="20:21" ht="15" customHeight="1" x14ac:dyDescent="0.25">
      <c r="T4505" s="135"/>
      <c r="U4505" s="135"/>
    </row>
    <row r="4506" spans="20:21" ht="15" customHeight="1" x14ac:dyDescent="0.25">
      <c r="T4506" s="135"/>
      <c r="U4506" s="135"/>
    </row>
    <row r="4507" spans="20:21" ht="15" customHeight="1" x14ac:dyDescent="0.25">
      <c r="T4507" s="135"/>
      <c r="U4507" s="135"/>
    </row>
    <row r="4508" spans="20:21" ht="15" customHeight="1" x14ac:dyDescent="0.25">
      <c r="T4508" s="135"/>
      <c r="U4508" s="135"/>
    </row>
    <row r="4509" spans="20:21" ht="15" customHeight="1" x14ac:dyDescent="0.25">
      <c r="T4509" s="135"/>
      <c r="U4509" s="135"/>
    </row>
    <row r="4510" spans="20:21" ht="15" customHeight="1" x14ac:dyDescent="0.25">
      <c r="T4510" s="135"/>
      <c r="U4510" s="135"/>
    </row>
    <row r="4511" spans="20:21" ht="15" customHeight="1" x14ac:dyDescent="0.25">
      <c r="T4511" s="135"/>
      <c r="U4511" s="135"/>
    </row>
    <row r="4512" spans="20:21" ht="15" customHeight="1" x14ac:dyDescent="0.25">
      <c r="T4512" s="135"/>
      <c r="U4512" s="135"/>
    </row>
    <row r="4513" spans="20:21" ht="15" customHeight="1" x14ac:dyDescent="0.25">
      <c r="T4513" s="135"/>
      <c r="U4513" s="135"/>
    </row>
    <row r="4514" spans="20:21" ht="15" customHeight="1" x14ac:dyDescent="0.25">
      <c r="T4514" s="135"/>
      <c r="U4514" s="135"/>
    </row>
    <row r="4515" spans="20:21" ht="15" customHeight="1" x14ac:dyDescent="0.25">
      <c r="T4515" s="135"/>
      <c r="U4515" s="135"/>
    </row>
    <row r="4516" spans="20:21" ht="15" customHeight="1" x14ac:dyDescent="0.25">
      <c r="T4516" s="135"/>
      <c r="U4516" s="135"/>
    </row>
    <row r="4517" spans="20:21" ht="15" customHeight="1" x14ac:dyDescent="0.25">
      <c r="T4517" s="135"/>
      <c r="U4517" s="135"/>
    </row>
    <row r="4518" spans="20:21" ht="15" customHeight="1" x14ac:dyDescent="0.25">
      <c r="T4518" s="135"/>
      <c r="U4518" s="135"/>
    </row>
    <row r="4519" spans="20:21" ht="15" customHeight="1" x14ac:dyDescent="0.25">
      <c r="T4519" s="135"/>
      <c r="U4519" s="135"/>
    </row>
    <row r="4520" spans="20:21" ht="15" customHeight="1" x14ac:dyDescent="0.25">
      <c r="T4520" s="135"/>
      <c r="U4520" s="135"/>
    </row>
    <row r="4521" spans="20:21" ht="15" customHeight="1" x14ac:dyDescent="0.25">
      <c r="T4521" s="135"/>
      <c r="U4521" s="135"/>
    </row>
    <row r="4522" spans="20:21" ht="15" customHeight="1" x14ac:dyDescent="0.25">
      <c r="T4522" s="135"/>
      <c r="U4522" s="135"/>
    </row>
    <row r="4523" spans="20:21" ht="15" customHeight="1" x14ac:dyDescent="0.25">
      <c r="T4523" s="135"/>
      <c r="U4523" s="135"/>
    </row>
    <row r="4524" spans="20:21" ht="15" customHeight="1" x14ac:dyDescent="0.25">
      <c r="T4524" s="135"/>
      <c r="U4524" s="135"/>
    </row>
    <row r="4525" spans="20:21" ht="15" customHeight="1" x14ac:dyDescent="0.25">
      <c r="T4525" s="135"/>
      <c r="U4525" s="135"/>
    </row>
    <row r="4526" spans="20:21" ht="15" customHeight="1" x14ac:dyDescent="0.25">
      <c r="T4526" s="135"/>
      <c r="U4526" s="135"/>
    </row>
    <row r="4527" spans="20:21" ht="15" customHeight="1" x14ac:dyDescent="0.25">
      <c r="T4527" s="135"/>
      <c r="U4527" s="135"/>
    </row>
    <row r="4528" spans="20:21" ht="15" customHeight="1" x14ac:dyDescent="0.25">
      <c r="T4528" s="135"/>
      <c r="U4528" s="135"/>
    </row>
    <row r="4529" spans="20:21" ht="15" customHeight="1" x14ac:dyDescent="0.25">
      <c r="T4529" s="135"/>
      <c r="U4529" s="135"/>
    </row>
    <row r="4530" spans="20:21" ht="15" customHeight="1" x14ac:dyDescent="0.25">
      <c r="T4530" s="135"/>
      <c r="U4530" s="135"/>
    </row>
    <row r="4531" spans="20:21" ht="15" customHeight="1" x14ac:dyDescent="0.25">
      <c r="T4531" s="135"/>
      <c r="U4531" s="135"/>
    </row>
    <row r="4532" spans="20:21" ht="15" customHeight="1" x14ac:dyDescent="0.25">
      <c r="T4532" s="135"/>
      <c r="U4532" s="135"/>
    </row>
    <row r="4533" spans="20:21" ht="15" customHeight="1" x14ac:dyDescent="0.25">
      <c r="T4533" s="135"/>
      <c r="U4533" s="135"/>
    </row>
    <row r="4534" spans="20:21" ht="15" customHeight="1" x14ac:dyDescent="0.25">
      <c r="T4534" s="135"/>
      <c r="U4534" s="135"/>
    </row>
    <row r="4535" spans="20:21" ht="15" customHeight="1" x14ac:dyDescent="0.25">
      <c r="T4535" s="135"/>
      <c r="U4535" s="135"/>
    </row>
    <row r="4536" spans="20:21" ht="15" customHeight="1" x14ac:dyDescent="0.25">
      <c r="T4536" s="135"/>
      <c r="U4536" s="135"/>
    </row>
    <row r="4537" spans="20:21" ht="15" customHeight="1" x14ac:dyDescent="0.25">
      <c r="T4537" s="135"/>
      <c r="U4537" s="135"/>
    </row>
    <row r="4538" spans="20:21" ht="15" customHeight="1" x14ac:dyDescent="0.25">
      <c r="T4538" s="135"/>
      <c r="U4538" s="135"/>
    </row>
    <row r="4539" spans="20:21" ht="15" customHeight="1" x14ac:dyDescent="0.25">
      <c r="T4539" s="135"/>
      <c r="U4539" s="135"/>
    </row>
    <row r="4540" spans="20:21" ht="15" customHeight="1" x14ac:dyDescent="0.25">
      <c r="T4540" s="135"/>
      <c r="U4540" s="135"/>
    </row>
    <row r="4541" spans="20:21" ht="15" customHeight="1" x14ac:dyDescent="0.25">
      <c r="T4541" s="135"/>
      <c r="U4541" s="135"/>
    </row>
    <row r="4542" spans="20:21" ht="15" customHeight="1" x14ac:dyDescent="0.25">
      <c r="T4542" s="135"/>
      <c r="U4542" s="135"/>
    </row>
    <row r="4543" spans="20:21" ht="15" customHeight="1" x14ac:dyDescent="0.25">
      <c r="T4543" s="135"/>
      <c r="U4543" s="135"/>
    </row>
    <row r="4544" spans="20:21" ht="15" customHeight="1" x14ac:dyDescent="0.25">
      <c r="T4544" s="135"/>
      <c r="U4544" s="135"/>
    </row>
    <row r="4545" spans="20:21" ht="15" customHeight="1" x14ac:dyDescent="0.25">
      <c r="T4545" s="135"/>
      <c r="U4545" s="135"/>
    </row>
    <row r="4546" spans="20:21" ht="15" customHeight="1" x14ac:dyDescent="0.25">
      <c r="T4546" s="135"/>
      <c r="U4546" s="135"/>
    </row>
    <row r="4547" spans="20:21" ht="15" customHeight="1" x14ac:dyDescent="0.25">
      <c r="T4547" s="135"/>
      <c r="U4547" s="135"/>
    </row>
    <row r="4548" spans="20:21" ht="15" customHeight="1" x14ac:dyDescent="0.25">
      <c r="T4548" s="135"/>
      <c r="U4548" s="135"/>
    </row>
    <row r="4549" spans="20:21" ht="15" customHeight="1" x14ac:dyDescent="0.25">
      <c r="T4549" s="135"/>
      <c r="U4549" s="135"/>
    </row>
    <row r="4550" spans="20:21" ht="15" customHeight="1" x14ac:dyDescent="0.25">
      <c r="T4550" s="135"/>
      <c r="U4550" s="135"/>
    </row>
    <row r="4551" spans="20:21" ht="15" customHeight="1" x14ac:dyDescent="0.25">
      <c r="T4551" s="135"/>
      <c r="U4551" s="135"/>
    </row>
    <row r="4552" spans="20:21" ht="15" customHeight="1" x14ac:dyDescent="0.25">
      <c r="T4552" s="135"/>
      <c r="U4552" s="135"/>
    </row>
    <row r="4553" spans="20:21" ht="15" customHeight="1" x14ac:dyDescent="0.25">
      <c r="T4553" s="135"/>
      <c r="U4553" s="135"/>
    </row>
    <row r="4554" spans="20:21" ht="15" customHeight="1" x14ac:dyDescent="0.25">
      <c r="T4554" s="135"/>
      <c r="U4554" s="135"/>
    </row>
    <row r="4555" spans="20:21" ht="15" customHeight="1" x14ac:dyDescent="0.25">
      <c r="T4555" s="135"/>
      <c r="U4555" s="135"/>
    </row>
    <row r="4556" spans="20:21" ht="15" customHeight="1" x14ac:dyDescent="0.25">
      <c r="T4556" s="135"/>
      <c r="U4556" s="135"/>
    </row>
    <row r="4557" spans="20:21" ht="15" customHeight="1" x14ac:dyDescent="0.25">
      <c r="T4557" s="135"/>
      <c r="U4557" s="135"/>
    </row>
    <row r="4558" spans="20:21" ht="15" customHeight="1" x14ac:dyDescent="0.25">
      <c r="T4558" s="135"/>
      <c r="U4558" s="135"/>
    </row>
    <row r="4559" spans="20:21" ht="15" customHeight="1" x14ac:dyDescent="0.25">
      <c r="T4559" s="135"/>
      <c r="U4559" s="135"/>
    </row>
    <row r="4560" spans="20:21" ht="15" customHeight="1" x14ac:dyDescent="0.25">
      <c r="T4560" s="135"/>
      <c r="U4560" s="135"/>
    </row>
    <row r="4561" spans="20:21" ht="15" customHeight="1" x14ac:dyDescent="0.25">
      <c r="T4561" s="135"/>
      <c r="U4561" s="135"/>
    </row>
    <row r="4562" spans="20:21" ht="15" customHeight="1" x14ac:dyDescent="0.25">
      <c r="T4562" s="135"/>
      <c r="U4562" s="135"/>
    </row>
    <row r="4563" spans="20:21" ht="15" customHeight="1" x14ac:dyDescent="0.25">
      <c r="T4563" s="135"/>
      <c r="U4563" s="135"/>
    </row>
    <row r="4564" spans="20:21" ht="15" customHeight="1" x14ac:dyDescent="0.25">
      <c r="T4564" s="135"/>
      <c r="U4564" s="135"/>
    </row>
    <row r="4565" spans="20:21" ht="15" customHeight="1" x14ac:dyDescent="0.25">
      <c r="T4565" s="135"/>
      <c r="U4565" s="135"/>
    </row>
    <row r="4566" spans="20:21" ht="15" customHeight="1" x14ac:dyDescent="0.25">
      <c r="T4566" s="135"/>
      <c r="U4566" s="135"/>
    </row>
    <row r="4567" spans="20:21" ht="15" customHeight="1" x14ac:dyDescent="0.25">
      <c r="T4567" s="135"/>
      <c r="U4567" s="135"/>
    </row>
    <row r="4568" spans="20:21" ht="15" customHeight="1" x14ac:dyDescent="0.25">
      <c r="T4568" s="135"/>
      <c r="U4568" s="135"/>
    </row>
    <row r="4569" spans="20:21" ht="15" customHeight="1" x14ac:dyDescent="0.25">
      <c r="T4569" s="135"/>
      <c r="U4569" s="135"/>
    </row>
    <row r="4570" spans="20:21" ht="15" customHeight="1" x14ac:dyDescent="0.25">
      <c r="T4570" s="135"/>
      <c r="U4570" s="135"/>
    </row>
    <row r="4571" spans="20:21" ht="15" customHeight="1" x14ac:dyDescent="0.25">
      <c r="T4571" s="135"/>
      <c r="U4571" s="135"/>
    </row>
    <row r="4572" spans="20:21" ht="15" customHeight="1" x14ac:dyDescent="0.25">
      <c r="T4572" s="135"/>
      <c r="U4572" s="135"/>
    </row>
    <row r="4573" spans="20:21" ht="15" customHeight="1" x14ac:dyDescent="0.25">
      <c r="T4573" s="135"/>
      <c r="U4573" s="135"/>
    </row>
    <row r="4574" spans="20:21" ht="15" customHeight="1" x14ac:dyDescent="0.25">
      <c r="T4574" s="135"/>
      <c r="U4574" s="135"/>
    </row>
    <row r="4575" spans="20:21" ht="15" customHeight="1" x14ac:dyDescent="0.25">
      <c r="T4575" s="135"/>
      <c r="U4575" s="135"/>
    </row>
    <row r="4576" spans="20:21" ht="15" customHeight="1" x14ac:dyDescent="0.25">
      <c r="T4576" s="135"/>
      <c r="U4576" s="135"/>
    </row>
    <row r="4577" spans="20:21" ht="15" customHeight="1" x14ac:dyDescent="0.25">
      <c r="T4577" s="135"/>
      <c r="U4577" s="135"/>
    </row>
    <row r="4578" spans="20:21" ht="15" customHeight="1" x14ac:dyDescent="0.25">
      <c r="T4578" s="135"/>
      <c r="U4578" s="135"/>
    </row>
    <row r="4579" spans="20:21" ht="15" customHeight="1" x14ac:dyDescent="0.25">
      <c r="T4579" s="135"/>
      <c r="U4579" s="135"/>
    </row>
    <row r="4580" spans="20:21" ht="15" customHeight="1" x14ac:dyDescent="0.25">
      <c r="T4580" s="135"/>
      <c r="U4580" s="135"/>
    </row>
    <row r="4581" spans="20:21" ht="15" customHeight="1" x14ac:dyDescent="0.25">
      <c r="T4581" s="135"/>
      <c r="U4581" s="135"/>
    </row>
    <row r="4582" spans="20:21" ht="15" customHeight="1" x14ac:dyDescent="0.25">
      <c r="T4582" s="135"/>
      <c r="U4582" s="135"/>
    </row>
    <row r="4583" spans="20:21" ht="15" customHeight="1" x14ac:dyDescent="0.25">
      <c r="T4583" s="135"/>
      <c r="U4583" s="135"/>
    </row>
    <row r="4584" spans="20:21" ht="15" customHeight="1" x14ac:dyDescent="0.25">
      <c r="T4584" s="135"/>
      <c r="U4584" s="135"/>
    </row>
    <row r="4585" spans="20:21" ht="15" customHeight="1" x14ac:dyDescent="0.25">
      <c r="T4585" s="135"/>
      <c r="U4585" s="135"/>
    </row>
    <row r="4586" spans="20:21" ht="15" customHeight="1" x14ac:dyDescent="0.25">
      <c r="T4586" s="135"/>
      <c r="U4586" s="135"/>
    </row>
    <row r="4587" spans="20:21" ht="15" customHeight="1" x14ac:dyDescent="0.25">
      <c r="T4587" s="135"/>
      <c r="U4587" s="135"/>
    </row>
    <row r="4588" spans="20:21" ht="15" customHeight="1" x14ac:dyDescent="0.25">
      <c r="T4588" s="135"/>
      <c r="U4588" s="135"/>
    </row>
    <row r="4589" spans="20:21" ht="15" customHeight="1" x14ac:dyDescent="0.25">
      <c r="T4589" s="135"/>
      <c r="U4589" s="135"/>
    </row>
    <row r="4590" spans="20:21" ht="15" customHeight="1" x14ac:dyDescent="0.25">
      <c r="T4590" s="135"/>
      <c r="U4590" s="135"/>
    </row>
    <row r="4591" spans="20:21" ht="15" customHeight="1" x14ac:dyDescent="0.25">
      <c r="T4591" s="135"/>
      <c r="U4591" s="135"/>
    </row>
    <row r="4592" spans="20:21" ht="15" customHeight="1" x14ac:dyDescent="0.25">
      <c r="T4592" s="135"/>
      <c r="U4592" s="135"/>
    </row>
    <row r="4593" spans="20:21" ht="15" customHeight="1" x14ac:dyDescent="0.25">
      <c r="T4593" s="135"/>
      <c r="U4593" s="135"/>
    </row>
    <row r="4594" spans="20:21" ht="15" customHeight="1" x14ac:dyDescent="0.25">
      <c r="T4594" s="135"/>
      <c r="U4594" s="135"/>
    </row>
    <row r="4595" spans="20:21" ht="15" customHeight="1" x14ac:dyDescent="0.25">
      <c r="T4595" s="135"/>
      <c r="U4595" s="135"/>
    </row>
    <row r="4596" spans="20:21" ht="15" customHeight="1" x14ac:dyDescent="0.25">
      <c r="T4596" s="135"/>
      <c r="U4596" s="135"/>
    </row>
    <row r="4597" spans="20:21" ht="15" customHeight="1" x14ac:dyDescent="0.25">
      <c r="T4597" s="135"/>
      <c r="U4597" s="135"/>
    </row>
    <row r="4598" spans="20:21" ht="15" customHeight="1" x14ac:dyDescent="0.25">
      <c r="T4598" s="135"/>
      <c r="U4598" s="135"/>
    </row>
    <row r="4599" spans="20:21" ht="15" customHeight="1" x14ac:dyDescent="0.25">
      <c r="T4599" s="135"/>
      <c r="U4599" s="135"/>
    </row>
    <row r="4600" spans="20:21" ht="15" customHeight="1" x14ac:dyDescent="0.25">
      <c r="T4600" s="135"/>
      <c r="U4600" s="135"/>
    </row>
    <row r="4601" spans="20:21" ht="15" customHeight="1" x14ac:dyDescent="0.25">
      <c r="T4601" s="135"/>
      <c r="U4601" s="135"/>
    </row>
    <row r="4602" spans="20:21" ht="15" customHeight="1" x14ac:dyDescent="0.25">
      <c r="T4602" s="135"/>
      <c r="U4602" s="135"/>
    </row>
    <row r="4603" spans="20:21" ht="15" customHeight="1" x14ac:dyDescent="0.25">
      <c r="T4603" s="135"/>
      <c r="U4603" s="135"/>
    </row>
    <row r="4604" spans="20:21" ht="15" customHeight="1" x14ac:dyDescent="0.25">
      <c r="T4604" s="135"/>
      <c r="U4604" s="135"/>
    </row>
    <row r="4605" spans="20:21" ht="15" customHeight="1" x14ac:dyDescent="0.25">
      <c r="T4605" s="135"/>
      <c r="U4605" s="135"/>
    </row>
    <row r="4606" spans="20:21" ht="15" customHeight="1" x14ac:dyDescent="0.25">
      <c r="T4606" s="135"/>
      <c r="U4606" s="135"/>
    </row>
    <row r="4607" spans="20:21" ht="15" customHeight="1" x14ac:dyDescent="0.25">
      <c r="T4607" s="135"/>
      <c r="U4607" s="135"/>
    </row>
    <row r="4608" spans="20:21" ht="15" customHeight="1" x14ac:dyDescent="0.25">
      <c r="T4608" s="135"/>
      <c r="U4608" s="135"/>
    </row>
    <row r="4609" spans="20:21" ht="15" customHeight="1" x14ac:dyDescent="0.25">
      <c r="T4609" s="135"/>
      <c r="U4609" s="135"/>
    </row>
    <row r="4610" spans="20:21" ht="15" customHeight="1" x14ac:dyDescent="0.25">
      <c r="T4610" s="135"/>
      <c r="U4610" s="135"/>
    </row>
    <row r="4611" spans="20:21" ht="15" customHeight="1" x14ac:dyDescent="0.25">
      <c r="T4611" s="135"/>
      <c r="U4611" s="135"/>
    </row>
    <row r="4612" spans="20:21" ht="15" customHeight="1" x14ac:dyDescent="0.25">
      <c r="T4612" s="135"/>
      <c r="U4612" s="135"/>
    </row>
    <row r="4613" spans="20:21" ht="15" customHeight="1" x14ac:dyDescent="0.25">
      <c r="T4613" s="135"/>
      <c r="U4613" s="135"/>
    </row>
    <row r="4614" spans="20:21" ht="15" customHeight="1" x14ac:dyDescent="0.25">
      <c r="T4614" s="135"/>
      <c r="U4614" s="135"/>
    </row>
    <row r="4615" spans="20:21" ht="15" customHeight="1" x14ac:dyDescent="0.25">
      <c r="T4615" s="135"/>
      <c r="U4615" s="135"/>
    </row>
    <row r="4616" spans="20:21" ht="15" customHeight="1" x14ac:dyDescent="0.25">
      <c r="T4616" s="135"/>
      <c r="U4616" s="135"/>
    </row>
    <row r="4617" spans="20:21" ht="15" customHeight="1" x14ac:dyDescent="0.25">
      <c r="T4617" s="135"/>
      <c r="U4617" s="135"/>
    </row>
    <row r="4618" spans="20:21" ht="15" customHeight="1" x14ac:dyDescent="0.25">
      <c r="T4618" s="135"/>
      <c r="U4618" s="135"/>
    </row>
    <row r="4619" spans="20:21" ht="15" customHeight="1" x14ac:dyDescent="0.25">
      <c r="T4619" s="135"/>
      <c r="U4619" s="135"/>
    </row>
    <row r="4620" spans="20:21" ht="15" customHeight="1" x14ac:dyDescent="0.25">
      <c r="T4620" s="135"/>
      <c r="U4620" s="135"/>
    </row>
    <row r="4621" spans="20:21" ht="15" customHeight="1" x14ac:dyDescent="0.25">
      <c r="T4621" s="135"/>
      <c r="U4621" s="135"/>
    </row>
    <row r="4622" spans="20:21" ht="15" customHeight="1" x14ac:dyDescent="0.25">
      <c r="T4622" s="135"/>
      <c r="U4622" s="135"/>
    </row>
    <row r="4623" spans="20:21" ht="15" customHeight="1" x14ac:dyDescent="0.25">
      <c r="T4623" s="135"/>
      <c r="U4623" s="135"/>
    </row>
    <row r="4624" spans="20:21" ht="15" customHeight="1" x14ac:dyDescent="0.25">
      <c r="T4624" s="135"/>
      <c r="U4624" s="135"/>
    </row>
    <row r="4625" spans="20:21" ht="15" customHeight="1" x14ac:dyDescent="0.25">
      <c r="T4625" s="135"/>
      <c r="U4625" s="135"/>
    </row>
    <row r="4626" spans="20:21" ht="15" customHeight="1" x14ac:dyDescent="0.25">
      <c r="T4626" s="135"/>
      <c r="U4626" s="135"/>
    </row>
    <row r="4627" spans="20:21" ht="15" customHeight="1" x14ac:dyDescent="0.25">
      <c r="T4627" s="135"/>
      <c r="U4627" s="135"/>
    </row>
    <row r="4628" spans="20:21" ht="15" customHeight="1" x14ac:dyDescent="0.25">
      <c r="T4628" s="135"/>
      <c r="U4628" s="135"/>
    </row>
    <row r="4629" spans="20:21" ht="15" customHeight="1" x14ac:dyDescent="0.25">
      <c r="T4629" s="135"/>
      <c r="U4629" s="135"/>
    </row>
    <row r="4630" spans="20:21" ht="15" customHeight="1" x14ac:dyDescent="0.25">
      <c r="T4630" s="135"/>
      <c r="U4630" s="135"/>
    </row>
    <row r="4631" spans="20:21" ht="15" customHeight="1" x14ac:dyDescent="0.25">
      <c r="T4631" s="135"/>
      <c r="U4631" s="135"/>
    </row>
    <row r="4632" spans="20:21" ht="15" customHeight="1" x14ac:dyDescent="0.25">
      <c r="T4632" s="135"/>
      <c r="U4632" s="135"/>
    </row>
    <row r="4633" spans="20:21" ht="15" customHeight="1" x14ac:dyDescent="0.25">
      <c r="T4633" s="135"/>
      <c r="U4633" s="135"/>
    </row>
    <row r="4634" spans="20:21" ht="15" customHeight="1" x14ac:dyDescent="0.25">
      <c r="T4634" s="135"/>
      <c r="U4634" s="135"/>
    </row>
    <row r="4635" spans="20:21" ht="15" customHeight="1" x14ac:dyDescent="0.25">
      <c r="T4635" s="135"/>
      <c r="U4635" s="135"/>
    </row>
    <row r="4636" spans="20:21" ht="15" customHeight="1" x14ac:dyDescent="0.25">
      <c r="T4636" s="135"/>
      <c r="U4636" s="135"/>
    </row>
    <row r="4637" spans="20:21" ht="15" customHeight="1" x14ac:dyDescent="0.25">
      <c r="T4637" s="135"/>
      <c r="U4637" s="135"/>
    </row>
    <row r="4638" spans="20:21" ht="15" customHeight="1" x14ac:dyDescent="0.25">
      <c r="T4638" s="135"/>
      <c r="U4638" s="135"/>
    </row>
    <row r="4639" spans="20:21" ht="15" customHeight="1" x14ac:dyDescent="0.25">
      <c r="T4639" s="135"/>
      <c r="U4639" s="135"/>
    </row>
    <row r="4640" spans="20:21" ht="15" customHeight="1" x14ac:dyDescent="0.25">
      <c r="T4640" s="135"/>
      <c r="U4640" s="135"/>
    </row>
    <row r="4641" spans="20:21" ht="15" customHeight="1" x14ac:dyDescent="0.25">
      <c r="T4641" s="135"/>
      <c r="U4641" s="135"/>
    </row>
    <row r="4642" spans="20:21" ht="15" customHeight="1" x14ac:dyDescent="0.25">
      <c r="T4642" s="135"/>
      <c r="U4642" s="135"/>
    </row>
    <row r="4643" spans="20:21" ht="15" customHeight="1" x14ac:dyDescent="0.25">
      <c r="T4643" s="135"/>
      <c r="U4643" s="135"/>
    </row>
    <row r="4644" spans="20:21" ht="15" customHeight="1" x14ac:dyDescent="0.25">
      <c r="T4644" s="135"/>
      <c r="U4644" s="135"/>
    </row>
    <row r="4645" spans="20:21" ht="15" customHeight="1" x14ac:dyDescent="0.25">
      <c r="T4645" s="135"/>
      <c r="U4645" s="135"/>
    </row>
    <row r="4646" spans="20:21" ht="15" customHeight="1" x14ac:dyDescent="0.25">
      <c r="T4646" s="135"/>
      <c r="U4646" s="135"/>
    </row>
    <row r="4647" spans="20:21" ht="15" customHeight="1" x14ac:dyDescent="0.25">
      <c r="T4647" s="135"/>
      <c r="U4647" s="135"/>
    </row>
    <row r="4648" spans="20:21" ht="15" customHeight="1" x14ac:dyDescent="0.25">
      <c r="T4648" s="135"/>
      <c r="U4648" s="135"/>
    </row>
    <row r="4649" spans="20:21" ht="15" customHeight="1" x14ac:dyDescent="0.25">
      <c r="T4649" s="135"/>
      <c r="U4649" s="135"/>
    </row>
    <row r="4650" spans="20:21" ht="15" customHeight="1" x14ac:dyDescent="0.25">
      <c r="T4650" s="135"/>
      <c r="U4650" s="135"/>
    </row>
    <row r="4651" spans="20:21" ht="15" customHeight="1" x14ac:dyDescent="0.25">
      <c r="T4651" s="135"/>
      <c r="U4651" s="135"/>
    </row>
    <row r="4652" spans="20:21" ht="15" customHeight="1" x14ac:dyDescent="0.25">
      <c r="T4652" s="135"/>
      <c r="U4652" s="135"/>
    </row>
    <row r="4653" spans="20:21" ht="15" customHeight="1" x14ac:dyDescent="0.25">
      <c r="T4653" s="135"/>
      <c r="U4653" s="135"/>
    </row>
    <row r="4654" spans="20:21" ht="15" customHeight="1" x14ac:dyDescent="0.25">
      <c r="T4654" s="135"/>
      <c r="U4654" s="135"/>
    </row>
    <row r="4655" spans="20:21" ht="15" customHeight="1" x14ac:dyDescent="0.25">
      <c r="T4655" s="135"/>
      <c r="U4655" s="135"/>
    </row>
    <row r="4656" spans="20:21" ht="15" customHeight="1" x14ac:dyDescent="0.25">
      <c r="T4656" s="135"/>
      <c r="U4656" s="135"/>
    </row>
    <row r="4657" spans="20:21" ht="15" customHeight="1" x14ac:dyDescent="0.25">
      <c r="T4657" s="135"/>
      <c r="U4657" s="135"/>
    </row>
    <row r="4658" spans="20:21" ht="15" customHeight="1" x14ac:dyDescent="0.25">
      <c r="T4658" s="135"/>
      <c r="U4658" s="135"/>
    </row>
    <row r="4659" spans="20:21" ht="15" customHeight="1" x14ac:dyDescent="0.25">
      <c r="T4659" s="135"/>
      <c r="U4659" s="135"/>
    </row>
    <row r="4660" spans="20:21" ht="15" customHeight="1" x14ac:dyDescent="0.25">
      <c r="T4660" s="135"/>
      <c r="U4660" s="135"/>
    </row>
    <row r="4661" spans="20:21" ht="15" customHeight="1" x14ac:dyDescent="0.25">
      <c r="T4661" s="135"/>
      <c r="U4661" s="135"/>
    </row>
    <row r="4662" spans="20:21" ht="15" customHeight="1" x14ac:dyDescent="0.25">
      <c r="T4662" s="135"/>
      <c r="U4662" s="135"/>
    </row>
    <row r="4663" spans="20:21" ht="15" customHeight="1" x14ac:dyDescent="0.25">
      <c r="T4663" s="135"/>
      <c r="U4663" s="135"/>
    </row>
    <row r="4664" spans="20:21" ht="15" customHeight="1" x14ac:dyDescent="0.25">
      <c r="T4664" s="135"/>
      <c r="U4664" s="135"/>
    </row>
    <row r="4665" spans="20:21" ht="15" customHeight="1" x14ac:dyDescent="0.25">
      <c r="T4665" s="135"/>
      <c r="U4665" s="135"/>
    </row>
    <row r="4666" spans="20:21" ht="15" customHeight="1" x14ac:dyDescent="0.25">
      <c r="T4666" s="135"/>
      <c r="U4666" s="135"/>
    </row>
    <row r="4667" spans="20:21" ht="15" customHeight="1" x14ac:dyDescent="0.25">
      <c r="T4667" s="135"/>
      <c r="U4667" s="135"/>
    </row>
    <row r="4668" spans="20:21" ht="15" customHeight="1" x14ac:dyDescent="0.25">
      <c r="T4668" s="135"/>
      <c r="U4668" s="135"/>
    </row>
    <row r="4669" spans="20:21" ht="15" customHeight="1" x14ac:dyDescent="0.25">
      <c r="T4669" s="135"/>
      <c r="U4669" s="135"/>
    </row>
    <row r="4670" spans="20:21" ht="15" customHeight="1" x14ac:dyDescent="0.25">
      <c r="T4670" s="135"/>
      <c r="U4670" s="135"/>
    </row>
    <row r="4671" spans="20:21" ht="15" customHeight="1" x14ac:dyDescent="0.25">
      <c r="T4671" s="135"/>
      <c r="U4671" s="135"/>
    </row>
    <row r="4672" spans="20:21" ht="15" customHeight="1" x14ac:dyDescent="0.25">
      <c r="T4672" s="135"/>
      <c r="U4672" s="135"/>
    </row>
    <row r="4673" spans="20:21" ht="15" customHeight="1" x14ac:dyDescent="0.25">
      <c r="T4673" s="135"/>
      <c r="U4673" s="135"/>
    </row>
    <row r="4674" spans="20:21" ht="15" customHeight="1" x14ac:dyDescent="0.25">
      <c r="T4674" s="135"/>
      <c r="U4674" s="135"/>
    </row>
    <row r="4675" spans="20:21" ht="15" customHeight="1" x14ac:dyDescent="0.25">
      <c r="T4675" s="135"/>
      <c r="U4675" s="135"/>
    </row>
    <row r="4676" spans="20:21" ht="15" customHeight="1" x14ac:dyDescent="0.25">
      <c r="T4676" s="135"/>
      <c r="U4676" s="135"/>
    </row>
    <row r="4677" spans="20:21" ht="15" customHeight="1" x14ac:dyDescent="0.25">
      <c r="T4677" s="135"/>
      <c r="U4677" s="135"/>
    </row>
    <row r="4678" spans="20:21" ht="15" customHeight="1" x14ac:dyDescent="0.25">
      <c r="T4678" s="135"/>
      <c r="U4678" s="135"/>
    </row>
    <row r="4679" spans="20:21" ht="15" customHeight="1" x14ac:dyDescent="0.25">
      <c r="T4679" s="135"/>
      <c r="U4679" s="135"/>
    </row>
    <row r="4680" spans="20:21" ht="15" customHeight="1" x14ac:dyDescent="0.25">
      <c r="T4680" s="135"/>
      <c r="U4680" s="135"/>
    </row>
    <row r="4681" spans="20:21" ht="15" customHeight="1" x14ac:dyDescent="0.25">
      <c r="T4681" s="135"/>
      <c r="U4681" s="135"/>
    </row>
    <row r="4682" spans="20:21" ht="15" customHeight="1" x14ac:dyDescent="0.25">
      <c r="T4682" s="135"/>
      <c r="U4682" s="135"/>
    </row>
    <row r="4683" spans="20:21" ht="15" customHeight="1" x14ac:dyDescent="0.25">
      <c r="T4683" s="135"/>
      <c r="U4683" s="135"/>
    </row>
    <row r="4684" spans="20:21" ht="15" customHeight="1" x14ac:dyDescent="0.25">
      <c r="T4684" s="135"/>
      <c r="U4684" s="135"/>
    </row>
    <row r="4685" spans="20:21" ht="15" customHeight="1" x14ac:dyDescent="0.25">
      <c r="T4685" s="135"/>
      <c r="U4685" s="135"/>
    </row>
    <row r="4686" spans="20:21" ht="15" customHeight="1" x14ac:dyDescent="0.25">
      <c r="T4686" s="135"/>
      <c r="U4686" s="135"/>
    </row>
    <row r="4687" spans="20:21" ht="15" customHeight="1" x14ac:dyDescent="0.25">
      <c r="T4687" s="135"/>
      <c r="U4687" s="135"/>
    </row>
    <row r="4688" spans="20:21" ht="15" customHeight="1" x14ac:dyDescent="0.25">
      <c r="T4688" s="135"/>
      <c r="U4688" s="135"/>
    </row>
    <row r="4689" spans="20:21" ht="15" customHeight="1" x14ac:dyDescent="0.25">
      <c r="T4689" s="135"/>
      <c r="U4689" s="135"/>
    </row>
    <row r="4690" spans="20:21" ht="15" customHeight="1" x14ac:dyDescent="0.25">
      <c r="T4690" s="135"/>
      <c r="U4690" s="135"/>
    </row>
    <row r="4691" spans="20:21" ht="15" customHeight="1" x14ac:dyDescent="0.25">
      <c r="T4691" s="135"/>
      <c r="U4691" s="135"/>
    </row>
    <row r="4692" spans="20:21" ht="15" customHeight="1" x14ac:dyDescent="0.25">
      <c r="T4692" s="135"/>
      <c r="U4692" s="135"/>
    </row>
    <row r="4693" spans="20:21" ht="15" customHeight="1" x14ac:dyDescent="0.25">
      <c r="T4693" s="135"/>
      <c r="U4693" s="135"/>
    </row>
    <row r="4694" spans="20:21" ht="15" customHeight="1" x14ac:dyDescent="0.25">
      <c r="T4694" s="135"/>
      <c r="U4694" s="135"/>
    </row>
    <row r="4695" spans="20:21" ht="15" customHeight="1" x14ac:dyDescent="0.25">
      <c r="T4695" s="135"/>
      <c r="U4695" s="135"/>
    </row>
    <row r="4696" spans="20:21" ht="15" customHeight="1" x14ac:dyDescent="0.25">
      <c r="T4696" s="135"/>
      <c r="U4696" s="135"/>
    </row>
    <row r="4697" spans="20:21" ht="15" customHeight="1" x14ac:dyDescent="0.25">
      <c r="T4697" s="135"/>
      <c r="U4697" s="135"/>
    </row>
    <row r="4698" spans="20:21" ht="15" customHeight="1" x14ac:dyDescent="0.25">
      <c r="T4698" s="135"/>
      <c r="U4698" s="135"/>
    </row>
    <row r="4699" spans="20:21" ht="15" customHeight="1" x14ac:dyDescent="0.25">
      <c r="T4699" s="135"/>
      <c r="U4699" s="135"/>
    </row>
    <row r="4700" spans="20:21" ht="15" customHeight="1" x14ac:dyDescent="0.25">
      <c r="T4700" s="135"/>
      <c r="U4700" s="135"/>
    </row>
    <row r="4701" spans="20:21" ht="15" customHeight="1" x14ac:dyDescent="0.25">
      <c r="T4701" s="135"/>
      <c r="U4701" s="135"/>
    </row>
    <row r="4702" spans="20:21" ht="15" customHeight="1" x14ac:dyDescent="0.25">
      <c r="T4702" s="135"/>
      <c r="U4702" s="135"/>
    </row>
    <row r="4703" spans="20:21" ht="15" customHeight="1" x14ac:dyDescent="0.25">
      <c r="T4703" s="135"/>
      <c r="U4703" s="135"/>
    </row>
    <row r="4704" spans="20:21" ht="15" customHeight="1" x14ac:dyDescent="0.25">
      <c r="T4704" s="135"/>
      <c r="U4704" s="135"/>
    </row>
    <row r="4705" spans="20:21" ht="15" customHeight="1" x14ac:dyDescent="0.25">
      <c r="T4705" s="135"/>
      <c r="U4705" s="135"/>
    </row>
    <row r="4706" spans="20:21" ht="15" customHeight="1" x14ac:dyDescent="0.25">
      <c r="T4706" s="135"/>
      <c r="U4706" s="135"/>
    </row>
    <row r="4707" spans="20:21" ht="15" customHeight="1" x14ac:dyDescent="0.25">
      <c r="T4707" s="135"/>
      <c r="U4707" s="135"/>
    </row>
    <row r="4708" spans="20:21" ht="15" customHeight="1" x14ac:dyDescent="0.25">
      <c r="T4708" s="135"/>
      <c r="U4708" s="135"/>
    </row>
    <row r="4709" spans="20:21" ht="15" customHeight="1" x14ac:dyDescent="0.25">
      <c r="T4709" s="135"/>
      <c r="U4709" s="135"/>
    </row>
    <row r="4710" spans="20:21" ht="15" customHeight="1" x14ac:dyDescent="0.25">
      <c r="T4710" s="135"/>
      <c r="U4710" s="135"/>
    </row>
    <row r="4711" spans="20:21" ht="15" customHeight="1" x14ac:dyDescent="0.25">
      <c r="T4711" s="135"/>
      <c r="U4711" s="135"/>
    </row>
    <row r="4712" spans="20:21" ht="15" customHeight="1" x14ac:dyDescent="0.25">
      <c r="T4712" s="135"/>
      <c r="U4712" s="135"/>
    </row>
    <row r="4713" spans="20:21" ht="15" customHeight="1" x14ac:dyDescent="0.25">
      <c r="T4713" s="135"/>
      <c r="U4713" s="135"/>
    </row>
    <row r="4714" spans="20:21" ht="15" customHeight="1" x14ac:dyDescent="0.25">
      <c r="T4714" s="135"/>
      <c r="U4714" s="135"/>
    </row>
    <row r="4715" spans="20:21" ht="15" customHeight="1" x14ac:dyDescent="0.25">
      <c r="T4715" s="135"/>
      <c r="U4715" s="135"/>
    </row>
    <row r="4716" spans="20:21" ht="15" customHeight="1" x14ac:dyDescent="0.25">
      <c r="T4716" s="135"/>
      <c r="U4716" s="135"/>
    </row>
    <row r="4717" spans="20:21" ht="15" customHeight="1" x14ac:dyDescent="0.25">
      <c r="T4717" s="135"/>
      <c r="U4717" s="135"/>
    </row>
    <row r="4718" spans="20:21" ht="15" customHeight="1" x14ac:dyDescent="0.25">
      <c r="T4718" s="135"/>
      <c r="U4718" s="135"/>
    </row>
    <row r="4719" spans="20:21" ht="15" customHeight="1" x14ac:dyDescent="0.25">
      <c r="T4719" s="135"/>
      <c r="U4719" s="135"/>
    </row>
    <row r="4720" spans="20:21" ht="15" customHeight="1" x14ac:dyDescent="0.25">
      <c r="T4720" s="135"/>
      <c r="U4720" s="135"/>
    </row>
    <row r="4721" spans="20:21" ht="15" customHeight="1" x14ac:dyDescent="0.25">
      <c r="T4721" s="135"/>
      <c r="U4721" s="135"/>
    </row>
    <row r="4722" spans="20:21" ht="15" customHeight="1" x14ac:dyDescent="0.25">
      <c r="T4722" s="135"/>
      <c r="U4722" s="135"/>
    </row>
    <row r="4723" spans="20:21" ht="15" customHeight="1" x14ac:dyDescent="0.25">
      <c r="T4723" s="135"/>
      <c r="U4723" s="135"/>
    </row>
    <row r="4724" spans="20:21" ht="15" customHeight="1" x14ac:dyDescent="0.25">
      <c r="T4724" s="135"/>
      <c r="U4724" s="135"/>
    </row>
    <row r="4725" spans="20:21" ht="15" customHeight="1" x14ac:dyDescent="0.25">
      <c r="T4725" s="135"/>
      <c r="U4725" s="135"/>
    </row>
    <row r="4726" spans="20:21" ht="15" customHeight="1" x14ac:dyDescent="0.25">
      <c r="T4726" s="135"/>
      <c r="U4726" s="135"/>
    </row>
    <row r="4727" spans="20:21" ht="15" customHeight="1" x14ac:dyDescent="0.25">
      <c r="T4727" s="135"/>
      <c r="U4727" s="135"/>
    </row>
    <row r="4728" spans="20:21" ht="15" customHeight="1" x14ac:dyDescent="0.25">
      <c r="T4728" s="135"/>
      <c r="U4728" s="135"/>
    </row>
    <row r="4729" spans="20:21" ht="15" customHeight="1" x14ac:dyDescent="0.25">
      <c r="T4729" s="135"/>
      <c r="U4729" s="135"/>
    </row>
    <row r="4730" spans="20:21" ht="15" customHeight="1" x14ac:dyDescent="0.25">
      <c r="T4730" s="135"/>
      <c r="U4730" s="135"/>
    </row>
    <row r="4731" spans="20:21" ht="15" customHeight="1" x14ac:dyDescent="0.25">
      <c r="T4731" s="135"/>
      <c r="U4731" s="135"/>
    </row>
    <row r="4732" spans="20:21" ht="15" customHeight="1" x14ac:dyDescent="0.25">
      <c r="T4732" s="135"/>
      <c r="U4732" s="135"/>
    </row>
    <row r="4733" spans="20:21" ht="15" customHeight="1" x14ac:dyDescent="0.25">
      <c r="T4733" s="135"/>
      <c r="U4733" s="135"/>
    </row>
    <row r="4734" spans="20:21" ht="15" customHeight="1" x14ac:dyDescent="0.25">
      <c r="T4734" s="135"/>
      <c r="U4734" s="135"/>
    </row>
    <row r="4735" spans="20:21" ht="15" customHeight="1" x14ac:dyDescent="0.25">
      <c r="T4735" s="135"/>
      <c r="U4735" s="135"/>
    </row>
    <row r="4736" spans="20:21" ht="15" customHeight="1" x14ac:dyDescent="0.25">
      <c r="T4736" s="135"/>
      <c r="U4736" s="135"/>
    </row>
    <row r="4737" spans="20:21" ht="15" customHeight="1" x14ac:dyDescent="0.25">
      <c r="T4737" s="135"/>
      <c r="U4737" s="135"/>
    </row>
    <row r="4738" spans="20:21" ht="15" customHeight="1" x14ac:dyDescent="0.25">
      <c r="T4738" s="135"/>
      <c r="U4738" s="135"/>
    </row>
    <row r="4739" spans="20:21" ht="15" customHeight="1" x14ac:dyDescent="0.25">
      <c r="T4739" s="135"/>
      <c r="U4739" s="135"/>
    </row>
    <row r="4740" spans="20:21" ht="15" customHeight="1" x14ac:dyDescent="0.25">
      <c r="T4740" s="135"/>
      <c r="U4740" s="135"/>
    </row>
    <row r="4741" spans="20:21" ht="15" customHeight="1" x14ac:dyDescent="0.25">
      <c r="T4741" s="135"/>
      <c r="U4741" s="135"/>
    </row>
    <row r="4742" spans="20:21" ht="15" customHeight="1" x14ac:dyDescent="0.25">
      <c r="T4742" s="135"/>
      <c r="U4742" s="135"/>
    </row>
    <row r="4743" spans="20:21" ht="15" customHeight="1" x14ac:dyDescent="0.25">
      <c r="T4743" s="135"/>
      <c r="U4743" s="135"/>
    </row>
    <row r="4744" spans="20:21" ht="15" customHeight="1" x14ac:dyDescent="0.25">
      <c r="T4744" s="135"/>
      <c r="U4744" s="135"/>
    </row>
    <row r="4745" spans="20:21" ht="15" customHeight="1" x14ac:dyDescent="0.25">
      <c r="T4745" s="135"/>
      <c r="U4745" s="135"/>
    </row>
    <row r="4746" spans="20:21" ht="15" customHeight="1" x14ac:dyDescent="0.25">
      <c r="T4746" s="135"/>
      <c r="U4746" s="135"/>
    </row>
    <row r="4747" spans="20:21" ht="15" customHeight="1" x14ac:dyDescent="0.25">
      <c r="T4747" s="135"/>
      <c r="U4747" s="135"/>
    </row>
    <row r="4748" spans="20:21" ht="15" customHeight="1" x14ac:dyDescent="0.25">
      <c r="T4748" s="135"/>
      <c r="U4748" s="135"/>
    </row>
    <row r="4749" spans="20:21" ht="15" customHeight="1" x14ac:dyDescent="0.25">
      <c r="T4749" s="135"/>
      <c r="U4749" s="135"/>
    </row>
    <row r="4750" spans="20:21" ht="15" customHeight="1" x14ac:dyDescent="0.25">
      <c r="T4750" s="135"/>
      <c r="U4750" s="135"/>
    </row>
    <row r="4751" spans="20:21" ht="15" customHeight="1" x14ac:dyDescent="0.25">
      <c r="T4751" s="135"/>
      <c r="U4751" s="135"/>
    </row>
    <row r="4752" spans="20:21" ht="15" customHeight="1" x14ac:dyDescent="0.25">
      <c r="T4752" s="135"/>
      <c r="U4752" s="135"/>
    </row>
    <row r="4753" spans="20:21" ht="15" customHeight="1" x14ac:dyDescent="0.25">
      <c r="T4753" s="135"/>
      <c r="U4753" s="135"/>
    </row>
    <row r="4754" spans="20:21" ht="15" customHeight="1" x14ac:dyDescent="0.25">
      <c r="T4754" s="135"/>
      <c r="U4754" s="135"/>
    </row>
    <row r="4755" spans="20:21" ht="15" customHeight="1" x14ac:dyDescent="0.25">
      <c r="T4755" s="135"/>
      <c r="U4755" s="135"/>
    </row>
    <row r="4756" spans="20:21" ht="15" customHeight="1" x14ac:dyDescent="0.25">
      <c r="T4756" s="135"/>
      <c r="U4756" s="135"/>
    </row>
    <row r="4757" spans="20:21" ht="15" customHeight="1" x14ac:dyDescent="0.25">
      <c r="T4757" s="135"/>
      <c r="U4757" s="135"/>
    </row>
    <row r="4758" spans="20:21" ht="15" customHeight="1" x14ac:dyDescent="0.25">
      <c r="T4758" s="135"/>
      <c r="U4758" s="135"/>
    </row>
    <row r="4759" spans="20:21" ht="15" customHeight="1" x14ac:dyDescent="0.25">
      <c r="T4759" s="135"/>
      <c r="U4759" s="135"/>
    </row>
    <row r="4760" spans="20:21" ht="15" customHeight="1" x14ac:dyDescent="0.25">
      <c r="T4760" s="135"/>
      <c r="U4760" s="135"/>
    </row>
    <row r="4761" spans="20:21" ht="15" customHeight="1" x14ac:dyDescent="0.25">
      <c r="T4761" s="135"/>
      <c r="U4761" s="135"/>
    </row>
    <row r="4762" spans="20:21" ht="15" customHeight="1" x14ac:dyDescent="0.25">
      <c r="T4762" s="135"/>
      <c r="U4762" s="135"/>
    </row>
    <row r="4763" spans="20:21" ht="15" customHeight="1" x14ac:dyDescent="0.25">
      <c r="T4763" s="135"/>
      <c r="U4763" s="135"/>
    </row>
    <row r="4764" spans="20:21" ht="15" customHeight="1" x14ac:dyDescent="0.25">
      <c r="T4764" s="135"/>
      <c r="U4764" s="135"/>
    </row>
    <row r="4765" spans="20:21" ht="15" customHeight="1" x14ac:dyDescent="0.25">
      <c r="T4765" s="135"/>
      <c r="U4765" s="135"/>
    </row>
    <row r="4766" spans="20:21" ht="15" customHeight="1" x14ac:dyDescent="0.25">
      <c r="T4766" s="135"/>
      <c r="U4766" s="135"/>
    </row>
    <row r="4767" spans="20:21" ht="15" customHeight="1" x14ac:dyDescent="0.25">
      <c r="T4767" s="135"/>
      <c r="U4767" s="135"/>
    </row>
    <row r="4768" spans="20:21" ht="15" customHeight="1" x14ac:dyDescent="0.25">
      <c r="T4768" s="135"/>
      <c r="U4768" s="135"/>
    </row>
    <row r="4769" spans="20:21" ht="15" customHeight="1" x14ac:dyDescent="0.25">
      <c r="T4769" s="135"/>
      <c r="U4769" s="135"/>
    </row>
    <row r="4770" spans="20:21" ht="15" customHeight="1" x14ac:dyDescent="0.25">
      <c r="T4770" s="135"/>
      <c r="U4770" s="135"/>
    </row>
    <row r="4771" spans="20:21" ht="15" customHeight="1" x14ac:dyDescent="0.25">
      <c r="T4771" s="135"/>
      <c r="U4771" s="135"/>
    </row>
    <row r="4772" spans="20:21" ht="15" customHeight="1" x14ac:dyDescent="0.25">
      <c r="T4772" s="135"/>
      <c r="U4772" s="135"/>
    </row>
    <row r="4773" spans="20:21" ht="15" customHeight="1" x14ac:dyDescent="0.25">
      <c r="T4773" s="135"/>
      <c r="U4773" s="135"/>
    </row>
    <row r="4774" spans="20:21" ht="15" customHeight="1" x14ac:dyDescent="0.25">
      <c r="T4774" s="135"/>
      <c r="U4774" s="135"/>
    </row>
    <row r="4775" spans="20:21" ht="15" customHeight="1" x14ac:dyDescent="0.25">
      <c r="T4775" s="135"/>
      <c r="U4775" s="135"/>
    </row>
    <row r="4776" spans="20:21" ht="15" customHeight="1" x14ac:dyDescent="0.25">
      <c r="T4776" s="135"/>
      <c r="U4776" s="135"/>
    </row>
    <row r="4777" spans="20:21" ht="15" customHeight="1" x14ac:dyDescent="0.25">
      <c r="T4777" s="135"/>
      <c r="U4777" s="135"/>
    </row>
    <row r="4778" spans="20:21" ht="15" customHeight="1" x14ac:dyDescent="0.25">
      <c r="T4778" s="135"/>
      <c r="U4778" s="135"/>
    </row>
    <row r="4779" spans="20:21" ht="15" customHeight="1" x14ac:dyDescent="0.25">
      <c r="T4779" s="135"/>
      <c r="U4779" s="135"/>
    </row>
    <row r="4780" spans="20:21" ht="15" customHeight="1" x14ac:dyDescent="0.25">
      <c r="T4780" s="135"/>
      <c r="U4780" s="135"/>
    </row>
    <row r="4781" spans="20:21" ht="15" customHeight="1" x14ac:dyDescent="0.25">
      <c r="T4781" s="135"/>
      <c r="U4781" s="135"/>
    </row>
    <row r="4782" spans="20:21" ht="15" customHeight="1" x14ac:dyDescent="0.25">
      <c r="T4782" s="135"/>
      <c r="U4782" s="135"/>
    </row>
    <row r="4783" spans="20:21" ht="15" customHeight="1" x14ac:dyDescent="0.25">
      <c r="T4783" s="135"/>
      <c r="U4783" s="135"/>
    </row>
    <row r="4784" spans="20:21" ht="15" customHeight="1" x14ac:dyDescent="0.25">
      <c r="T4784" s="135"/>
      <c r="U4784" s="135"/>
    </row>
    <row r="4785" spans="20:21" ht="15" customHeight="1" x14ac:dyDescent="0.25">
      <c r="T4785" s="135"/>
      <c r="U4785" s="135"/>
    </row>
    <row r="4786" spans="20:21" ht="15" customHeight="1" x14ac:dyDescent="0.25">
      <c r="T4786" s="135"/>
      <c r="U4786" s="135"/>
    </row>
    <row r="4787" spans="20:21" ht="15" customHeight="1" x14ac:dyDescent="0.25">
      <c r="T4787" s="135"/>
      <c r="U4787" s="135"/>
    </row>
    <row r="4788" spans="20:21" ht="15" customHeight="1" x14ac:dyDescent="0.25">
      <c r="T4788" s="135"/>
      <c r="U4788" s="135"/>
    </row>
    <row r="4789" spans="20:21" ht="15" customHeight="1" x14ac:dyDescent="0.25">
      <c r="T4789" s="135"/>
      <c r="U4789" s="135"/>
    </row>
    <row r="4790" spans="20:21" ht="15" customHeight="1" x14ac:dyDescent="0.25">
      <c r="T4790" s="135"/>
      <c r="U4790" s="135"/>
    </row>
    <row r="4791" spans="20:21" ht="15" customHeight="1" x14ac:dyDescent="0.25">
      <c r="T4791" s="135"/>
      <c r="U4791" s="135"/>
    </row>
    <row r="4792" spans="20:21" ht="15" customHeight="1" x14ac:dyDescent="0.25">
      <c r="T4792" s="135"/>
      <c r="U4792" s="135"/>
    </row>
    <row r="4793" spans="20:21" ht="15" customHeight="1" x14ac:dyDescent="0.25">
      <c r="T4793" s="135"/>
      <c r="U4793" s="135"/>
    </row>
    <row r="4794" spans="20:21" ht="15" customHeight="1" x14ac:dyDescent="0.25">
      <c r="T4794" s="135"/>
      <c r="U4794" s="135"/>
    </row>
    <row r="4795" spans="20:21" ht="15" customHeight="1" x14ac:dyDescent="0.25">
      <c r="T4795" s="135"/>
      <c r="U4795" s="135"/>
    </row>
    <row r="4796" spans="20:21" ht="15" customHeight="1" x14ac:dyDescent="0.25">
      <c r="T4796" s="135"/>
      <c r="U4796" s="135"/>
    </row>
    <row r="4797" spans="20:21" ht="15" customHeight="1" x14ac:dyDescent="0.25">
      <c r="T4797" s="135"/>
      <c r="U4797" s="135"/>
    </row>
    <row r="4798" spans="20:21" ht="15" customHeight="1" x14ac:dyDescent="0.25">
      <c r="T4798" s="135"/>
      <c r="U4798" s="135"/>
    </row>
    <row r="4799" spans="20:21" ht="15" customHeight="1" x14ac:dyDescent="0.25">
      <c r="T4799" s="135"/>
      <c r="U4799" s="135"/>
    </row>
    <row r="4800" spans="20:21" ht="15" customHeight="1" x14ac:dyDescent="0.25">
      <c r="T4800" s="135"/>
      <c r="U4800" s="135"/>
    </row>
    <row r="4801" spans="20:21" ht="15" customHeight="1" x14ac:dyDescent="0.25">
      <c r="T4801" s="135"/>
      <c r="U4801" s="135"/>
    </row>
    <row r="4802" spans="20:21" ht="15" customHeight="1" x14ac:dyDescent="0.25">
      <c r="T4802" s="135"/>
      <c r="U4802" s="135"/>
    </row>
    <row r="4803" spans="20:21" ht="15" customHeight="1" x14ac:dyDescent="0.25">
      <c r="T4803" s="135"/>
      <c r="U4803" s="135"/>
    </row>
    <row r="4804" spans="20:21" ht="15" customHeight="1" x14ac:dyDescent="0.25">
      <c r="T4804" s="135"/>
      <c r="U4804" s="135"/>
    </row>
    <row r="4805" spans="20:21" ht="15" customHeight="1" x14ac:dyDescent="0.25">
      <c r="T4805" s="135"/>
      <c r="U4805" s="135"/>
    </row>
    <row r="4806" spans="20:21" ht="15" customHeight="1" x14ac:dyDescent="0.25">
      <c r="T4806" s="135"/>
      <c r="U4806" s="135"/>
    </row>
    <row r="4807" spans="20:21" ht="15" customHeight="1" x14ac:dyDescent="0.25">
      <c r="T4807" s="135"/>
      <c r="U4807" s="135"/>
    </row>
    <row r="4808" spans="20:21" ht="15" customHeight="1" x14ac:dyDescent="0.25">
      <c r="T4808" s="135"/>
      <c r="U4808" s="135"/>
    </row>
    <row r="4809" spans="20:21" ht="15" customHeight="1" x14ac:dyDescent="0.25">
      <c r="T4809" s="135"/>
      <c r="U4809" s="135"/>
    </row>
    <row r="4810" spans="20:21" ht="15" customHeight="1" x14ac:dyDescent="0.25">
      <c r="T4810" s="135"/>
      <c r="U4810" s="135"/>
    </row>
    <row r="4811" spans="20:21" ht="15" customHeight="1" x14ac:dyDescent="0.25">
      <c r="T4811" s="135"/>
      <c r="U4811" s="135"/>
    </row>
    <row r="4812" spans="20:21" ht="15" customHeight="1" x14ac:dyDescent="0.25">
      <c r="T4812" s="135"/>
      <c r="U4812" s="135"/>
    </row>
    <row r="4813" spans="20:21" ht="15" customHeight="1" x14ac:dyDescent="0.25">
      <c r="T4813" s="135"/>
      <c r="U4813" s="135"/>
    </row>
    <row r="4814" spans="20:21" ht="15" customHeight="1" x14ac:dyDescent="0.25">
      <c r="T4814" s="135"/>
      <c r="U4814" s="135"/>
    </row>
    <row r="4815" spans="20:21" ht="15" customHeight="1" x14ac:dyDescent="0.25">
      <c r="T4815" s="135"/>
      <c r="U4815" s="135"/>
    </row>
    <row r="4816" spans="20:21" ht="15" customHeight="1" x14ac:dyDescent="0.25">
      <c r="T4816" s="135"/>
      <c r="U4816" s="135"/>
    </row>
    <row r="4817" spans="20:21" ht="15" customHeight="1" x14ac:dyDescent="0.25">
      <c r="T4817" s="135"/>
      <c r="U4817" s="135"/>
    </row>
    <row r="4818" spans="20:21" ht="15" customHeight="1" x14ac:dyDescent="0.25">
      <c r="T4818" s="135"/>
      <c r="U4818" s="135"/>
    </row>
    <row r="4819" spans="20:21" ht="15" customHeight="1" x14ac:dyDescent="0.25">
      <c r="T4819" s="135"/>
      <c r="U4819" s="135"/>
    </row>
    <row r="4820" spans="20:21" ht="15" customHeight="1" x14ac:dyDescent="0.25">
      <c r="T4820" s="135"/>
      <c r="U4820" s="135"/>
    </row>
    <row r="4821" spans="20:21" ht="15" customHeight="1" x14ac:dyDescent="0.25">
      <c r="T4821" s="135"/>
      <c r="U4821" s="135"/>
    </row>
    <row r="4822" spans="20:21" ht="15" customHeight="1" x14ac:dyDescent="0.25">
      <c r="T4822" s="135"/>
      <c r="U4822" s="135"/>
    </row>
    <row r="4823" spans="20:21" ht="15" customHeight="1" x14ac:dyDescent="0.25">
      <c r="T4823" s="135"/>
      <c r="U4823" s="135"/>
    </row>
    <row r="4824" spans="20:21" ht="15" customHeight="1" x14ac:dyDescent="0.25">
      <c r="T4824" s="135"/>
      <c r="U4824" s="135"/>
    </row>
    <row r="4825" spans="20:21" ht="15" customHeight="1" x14ac:dyDescent="0.25">
      <c r="T4825" s="135"/>
      <c r="U4825" s="135"/>
    </row>
    <row r="4826" spans="20:21" ht="15" customHeight="1" x14ac:dyDescent="0.25">
      <c r="T4826" s="135"/>
      <c r="U4826" s="135"/>
    </row>
    <row r="4827" spans="20:21" ht="15" customHeight="1" x14ac:dyDescent="0.25">
      <c r="T4827" s="135"/>
      <c r="U4827" s="135"/>
    </row>
    <row r="4828" spans="20:21" ht="15" customHeight="1" x14ac:dyDescent="0.25">
      <c r="T4828" s="135"/>
      <c r="U4828" s="135"/>
    </row>
    <row r="4829" spans="20:21" ht="15" customHeight="1" x14ac:dyDescent="0.25">
      <c r="T4829" s="135"/>
      <c r="U4829" s="135"/>
    </row>
    <row r="4830" spans="20:21" ht="15" customHeight="1" x14ac:dyDescent="0.25">
      <c r="T4830" s="135"/>
      <c r="U4830" s="135"/>
    </row>
    <row r="4831" spans="20:21" ht="15" customHeight="1" x14ac:dyDescent="0.25">
      <c r="T4831" s="135"/>
      <c r="U4831" s="135"/>
    </row>
    <row r="4832" spans="20:21" ht="15" customHeight="1" x14ac:dyDescent="0.25">
      <c r="T4832" s="135"/>
      <c r="U4832" s="135"/>
    </row>
    <row r="4833" spans="20:21" ht="15" customHeight="1" x14ac:dyDescent="0.25">
      <c r="T4833" s="135"/>
      <c r="U4833" s="135"/>
    </row>
    <row r="4834" spans="20:21" ht="15" customHeight="1" x14ac:dyDescent="0.25">
      <c r="T4834" s="135"/>
      <c r="U4834" s="135"/>
    </row>
    <row r="4835" spans="20:21" ht="15" customHeight="1" x14ac:dyDescent="0.25">
      <c r="T4835" s="135"/>
      <c r="U4835" s="135"/>
    </row>
    <row r="4836" spans="20:21" ht="15" customHeight="1" x14ac:dyDescent="0.25">
      <c r="T4836" s="135"/>
      <c r="U4836" s="135"/>
    </row>
    <row r="4837" spans="20:21" ht="15" customHeight="1" x14ac:dyDescent="0.25">
      <c r="T4837" s="135"/>
      <c r="U4837" s="135"/>
    </row>
    <row r="4838" spans="20:21" ht="15" customHeight="1" x14ac:dyDescent="0.25">
      <c r="T4838" s="135"/>
      <c r="U4838" s="135"/>
    </row>
    <row r="4839" spans="20:21" ht="15" customHeight="1" x14ac:dyDescent="0.25">
      <c r="T4839" s="135"/>
      <c r="U4839" s="135"/>
    </row>
    <row r="4840" spans="20:21" ht="15" customHeight="1" x14ac:dyDescent="0.25">
      <c r="T4840" s="135"/>
      <c r="U4840" s="135"/>
    </row>
    <row r="4841" spans="20:21" ht="15" customHeight="1" x14ac:dyDescent="0.25">
      <c r="T4841" s="135"/>
      <c r="U4841" s="135"/>
    </row>
    <row r="4842" spans="20:21" ht="15" customHeight="1" x14ac:dyDescent="0.25">
      <c r="T4842" s="135"/>
      <c r="U4842" s="135"/>
    </row>
    <row r="4843" spans="20:21" ht="15" customHeight="1" x14ac:dyDescent="0.25">
      <c r="T4843" s="135"/>
      <c r="U4843" s="135"/>
    </row>
    <row r="4844" spans="20:21" ht="15" customHeight="1" x14ac:dyDescent="0.25">
      <c r="T4844" s="135"/>
      <c r="U4844" s="135"/>
    </row>
    <row r="4845" spans="20:21" ht="15" customHeight="1" x14ac:dyDescent="0.25">
      <c r="T4845" s="135"/>
      <c r="U4845" s="135"/>
    </row>
    <row r="4846" spans="20:21" ht="15" customHeight="1" x14ac:dyDescent="0.25">
      <c r="T4846" s="135"/>
      <c r="U4846" s="135"/>
    </row>
    <row r="4847" spans="20:21" ht="15" customHeight="1" x14ac:dyDescent="0.25">
      <c r="T4847" s="135"/>
      <c r="U4847" s="135"/>
    </row>
    <row r="4848" spans="20:21" ht="15" customHeight="1" x14ac:dyDescent="0.25">
      <c r="T4848" s="135"/>
      <c r="U4848" s="135"/>
    </row>
    <row r="4849" spans="20:21" ht="15" customHeight="1" x14ac:dyDescent="0.25">
      <c r="T4849" s="135"/>
      <c r="U4849" s="135"/>
    </row>
    <row r="4850" spans="20:21" ht="15" customHeight="1" x14ac:dyDescent="0.25">
      <c r="T4850" s="135"/>
      <c r="U4850" s="135"/>
    </row>
    <row r="4851" spans="20:21" ht="15" customHeight="1" x14ac:dyDescent="0.25">
      <c r="T4851" s="135"/>
      <c r="U4851" s="135"/>
    </row>
    <row r="4852" spans="20:21" ht="15" customHeight="1" x14ac:dyDescent="0.25">
      <c r="T4852" s="135"/>
      <c r="U4852" s="135"/>
    </row>
    <row r="4853" spans="20:21" ht="15" customHeight="1" x14ac:dyDescent="0.25">
      <c r="T4853" s="135"/>
      <c r="U4853" s="135"/>
    </row>
    <row r="4854" spans="20:21" ht="15" customHeight="1" x14ac:dyDescent="0.25">
      <c r="T4854" s="135"/>
      <c r="U4854" s="135"/>
    </row>
    <row r="4855" spans="20:21" ht="15" customHeight="1" x14ac:dyDescent="0.25">
      <c r="T4855" s="135"/>
      <c r="U4855" s="135"/>
    </row>
    <row r="4856" spans="20:21" ht="15" customHeight="1" x14ac:dyDescent="0.25">
      <c r="T4856" s="135"/>
      <c r="U4856" s="135"/>
    </row>
    <row r="4857" spans="20:21" ht="15" customHeight="1" x14ac:dyDescent="0.25">
      <c r="T4857" s="135"/>
      <c r="U4857" s="135"/>
    </row>
    <row r="4858" spans="20:21" ht="15" customHeight="1" x14ac:dyDescent="0.25">
      <c r="T4858" s="135"/>
      <c r="U4858" s="135"/>
    </row>
    <row r="4859" spans="20:21" ht="15" customHeight="1" x14ac:dyDescent="0.25">
      <c r="T4859" s="135"/>
      <c r="U4859" s="135"/>
    </row>
    <row r="4860" spans="20:21" ht="15" customHeight="1" x14ac:dyDescent="0.25">
      <c r="T4860" s="135"/>
      <c r="U4860" s="135"/>
    </row>
    <row r="4861" spans="20:21" ht="15" customHeight="1" x14ac:dyDescent="0.25">
      <c r="T4861" s="135"/>
      <c r="U4861" s="135"/>
    </row>
    <row r="4862" spans="20:21" ht="15" customHeight="1" x14ac:dyDescent="0.25">
      <c r="T4862" s="135"/>
      <c r="U4862" s="135"/>
    </row>
    <row r="4863" spans="20:21" ht="15" customHeight="1" x14ac:dyDescent="0.25">
      <c r="T4863" s="135"/>
      <c r="U4863" s="135"/>
    </row>
    <row r="4864" spans="20:21" ht="15" customHeight="1" x14ac:dyDescent="0.25">
      <c r="T4864" s="135"/>
      <c r="U4864" s="135"/>
    </row>
    <row r="4865" spans="20:21" ht="15" customHeight="1" x14ac:dyDescent="0.25">
      <c r="T4865" s="135"/>
      <c r="U4865" s="135"/>
    </row>
    <row r="4866" spans="20:21" ht="15" customHeight="1" x14ac:dyDescent="0.25">
      <c r="T4866" s="135"/>
      <c r="U4866" s="135"/>
    </row>
    <row r="4867" spans="20:21" ht="15" customHeight="1" x14ac:dyDescent="0.25">
      <c r="T4867" s="135"/>
      <c r="U4867" s="135"/>
    </row>
    <row r="4868" spans="20:21" ht="15" customHeight="1" x14ac:dyDescent="0.25">
      <c r="T4868" s="135"/>
      <c r="U4868" s="135"/>
    </row>
    <row r="4869" spans="20:21" ht="15" customHeight="1" x14ac:dyDescent="0.25">
      <c r="T4869" s="135"/>
      <c r="U4869" s="135"/>
    </row>
    <row r="4870" spans="20:21" ht="15" customHeight="1" x14ac:dyDescent="0.25">
      <c r="T4870" s="135"/>
      <c r="U4870" s="135"/>
    </row>
    <row r="4871" spans="20:21" ht="15" customHeight="1" x14ac:dyDescent="0.25">
      <c r="T4871" s="135"/>
      <c r="U4871" s="135"/>
    </row>
    <row r="4872" spans="20:21" ht="15" customHeight="1" x14ac:dyDescent="0.25">
      <c r="T4872" s="135"/>
      <c r="U4872" s="135"/>
    </row>
    <row r="4873" spans="20:21" ht="15" customHeight="1" x14ac:dyDescent="0.25">
      <c r="T4873" s="135"/>
      <c r="U4873" s="135"/>
    </row>
    <row r="4874" spans="20:21" ht="15" customHeight="1" x14ac:dyDescent="0.25">
      <c r="T4874" s="135"/>
      <c r="U4874" s="135"/>
    </row>
    <row r="4875" spans="20:21" ht="15" customHeight="1" x14ac:dyDescent="0.25">
      <c r="T4875" s="135"/>
      <c r="U4875" s="135"/>
    </row>
    <row r="4876" spans="20:21" ht="15" customHeight="1" x14ac:dyDescent="0.25">
      <c r="T4876" s="135"/>
      <c r="U4876" s="135"/>
    </row>
    <row r="4877" spans="20:21" ht="15" customHeight="1" x14ac:dyDescent="0.25">
      <c r="T4877" s="135"/>
      <c r="U4877" s="135"/>
    </row>
    <row r="4878" spans="20:21" ht="15" customHeight="1" x14ac:dyDescent="0.25">
      <c r="T4878" s="135"/>
      <c r="U4878" s="135"/>
    </row>
    <row r="4879" spans="20:21" ht="15" customHeight="1" x14ac:dyDescent="0.25">
      <c r="T4879" s="135"/>
      <c r="U4879" s="135"/>
    </row>
    <row r="4880" spans="20:21" ht="15" customHeight="1" x14ac:dyDescent="0.25">
      <c r="T4880" s="135"/>
      <c r="U4880" s="135"/>
    </row>
    <row r="4881" spans="20:21" ht="15" customHeight="1" x14ac:dyDescent="0.25">
      <c r="T4881" s="135"/>
      <c r="U4881" s="135"/>
    </row>
    <row r="4882" spans="20:21" ht="15" customHeight="1" x14ac:dyDescent="0.25">
      <c r="T4882" s="135"/>
      <c r="U4882" s="135"/>
    </row>
    <row r="4883" spans="20:21" ht="15" customHeight="1" x14ac:dyDescent="0.25">
      <c r="T4883" s="135"/>
      <c r="U4883" s="135"/>
    </row>
    <row r="4884" spans="20:21" ht="15" customHeight="1" x14ac:dyDescent="0.25">
      <c r="T4884" s="135"/>
      <c r="U4884" s="135"/>
    </row>
    <row r="4885" spans="20:21" ht="15" customHeight="1" x14ac:dyDescent="0.25">
      <c r="T4885" s="135"/>
      <c r="U4885" s="135"/>
    </row>
    <row r="4886" spans="20:21" ht="15" customHeight="1" x14ac:dyDescent="0.25">
      <c r="T4886" s="135"/>
      <c r="U4886" s="135"/>
    </row>
    <row r="4887" spans="20:21" ht="15" customHeight="1" x14ac:dyDescent="0.25">
      <c r="T4887" s="135"/>
      <c r="U4887" s="135"/>
    </row>
    <row r="4888" spans="20:21" ht="15" customHeight="1" x14ac:dyDescent="0.25">
      <c r="T4888" s="135"/>
      <c r="U4888" s="135"/>
    </row>
    <row r="4889" spans="20:21" ht="15" customHeight="1" x14ac:dyDescent="0.25">
      <c r="T4889" s="135"/>
      <c r="U4889" s="135"/>
    </row>
    <row r="4890" spans="20:21" ht="15" customHeight="1" x14ac:dyDescent="0.25">
      <c r="T4890" s="135"/>
      <c r="U4890" s="135"/>
    </row>
    <row r="4891" spans="20:21" ht="15" customHeight="1" x14ac:dyDescent="0.25">
      <c r="T4891" s="135"/>
      <c r="U4891" s="135"/>
    </row>
    <row r="4892" spans="20:21" ht="15" customHeight="1" x14ac:dyDescent="0.25">
      <c r="T4892" s="135"/>
      <c r="U4892" s="135"/>
    </row>
    <row r="4893" spans="20:21" ht="15" customHeight="1" x14ac:dyDescent="0.25">
      <c r="T4893" s="135"/>
      <c r="U4893" s="135"/>
    </row>
    <row r="4894" spans="20:21" ht="15" customHeight="1" x14ac:dyDescent="0.25">
      <c r="T4894" s="135"/>
      <c r="U4894" s="135"/>
    </row>
    <row r="4895" spans="20:21" ht="15" customHeight="1" x14ac:dyDescent="0.25">
      <c r="T4895" s="135"/>
      <c r="U4895" s="135"/>
    </row>
    <row r="4896" spans="20:21" ht="15" customHeight="1" x14ac:dyDescent="0.25">
      <c r="T4896" s="135"/>
      <c r="U4896" s="135"/>
    </row>
    <row r="4897" spans="20:21" ht="15" customHeight="1" x14ac:dyDescent="0.25">
      <c r="T4897" s="135"/>
      <c r="U4897" s="135"/>
    </row>
    <row r="4898" spans="20:21" ht="15" customHeight="1" x14ac:dyDescent="0.25">
      <c r="T4898" s="135"/>
      <c r="U4898" s="135"/>
    </row>
    <row r="4899" spans="20:21" ht="15" customHeight="1" x14ac:dyDescent="0.25">
      <c r="T4899" s="135"/>
      <c r="U4899" s="135"/>
    </row>
    <row r="4900" spans="20:21" ht="15" customHeight="1" x14ac:dyDescent="0.25">
      <c r="T4900" s="135"/>
      <c r="U4900" s="135"/>
    </row>
    <row r="4901" spans="20:21" ht="15" customHeight="1" x14ac:dyDescent="0.25">
      <c r="T4901" s="135"/>
      <c r="U4901" s="135"/>
    </row>
    <row r="4902" spans="20:21" ht="15" customHeight="1" x14ac:dyDescent="0.25">
      <c r="T4902" s="135"/>
      <c r="U4902" s="135"/>
    </row>
    <row r="4903" spans="20:21" ht="15" customHeight="1" x14ac:dyDescent="0.25">
      <c r="T4903" s="135"/>
      <c r="U4903" s="135"/>
    </row>
    <row r="4904" spans="20:21" ht="15" customHeight="1" x14ac:dyDescent="0.25">
      <c r="T4904" s="135"/>
      <c r="U4904" s="135"/>
    </row>
    <row r="4905" spans="20:21" ht="15" customHeight="1" x14ac:dyDescent="0.25">
      <c r="T4905" s="135"/>
      <c r="U4905" s="135"/>
    </row>
    <row r="4906" spans="20:21" ht="15" customHeight="1" x14ac:dyDescent="0.25">
      <c r="T4906" s="135"/>
      <c r="U4906" s="135"/>
    </row>
    <row r="4907" spans="20:21" ht="15" customHeight="1" x14ac:dyDescent="0.25">
      <c r="T4907" s="135"/>
      <c r="U4907" s="135"/>
    </row>
    <row r="4908" spans="20:21" ht="15" customHeight="1" x14ac:dyDescent="0.25">
      <c r="T4908" s="135"/>
      <c r="U4908" s="135"/>
    </row>
    <row r="4909" spans="20:21" ht="15" customHeight="1" x14ac:dyDescent="0.25">
      <c r="T4909" s="135"/>
      <c r="U4909" s="135"/>
    </row>
    <row r="4910" spans="20:21" ht="15" customHeight="1" x14ac:dyDescent="0.25">
      <c r="T4910" s="135"/>
      <c r="U4910" s="135"/>
    </row>
    <row r="4911" spans="20:21" ht="15" customHeight="1" x14ac:dyDescent="0.25">
      <c r="T4911" s="135"/>
      <c r="U4911" s="135"/>
    </row>
    <row r="4912" spans="20:21" ht="15" customHeight="1" x14ac:dyDescent="0.25">
      <c r="T4912" s="135"/>
      <c r="U4912" s="135"/>
    </row>
    <row r="4913" spans="20:21" ht="15" customHeight="1" x14ac:dyDescent="0.25">
      <c r="T4913" s="135"/>
      <c r="U4913" s="135"/>
    </row>
    <row r="4914" spans="20:21" ht="15" customHeight="1" x14ac:dyDescent="0.25">
      <c r="T4914" s="135"/>
      <c r="U4914" s="135"/>
    </row>
    <row r="4915" spans="20:21" ht="15" customHeight="1" x14ac:dyDescent="0.25">
      <c r="T4915" s="135"/>
      <c r="U4915" s="135"/>
    </row>
    <row r="4916" spans="20:21" ht="15" customHeight="1" x14ac:dyDescent="0.25">
      <c r="T4916" s="135"/>
      <c r="U4916" s="135"/>
    </row>
    <row r="4917" spans="20:21" ht="15" customHeight="1" x14ac:dyDescent="0.25">
      <c r="T4917" s="135"/>
      <c r="U4917" s="135"/>
    </row>
    <row r="4918" spans="20:21" ht="15" customHeight="1" x14ac:dyDescent="0.25">
      <c r="T4918" s="135"/>
      <c r="U4918" s="135"/>
    </row>
    <row r="4919" spans="20:21" ht="15" customHeight="1" x14ac:dyDescent="0.25">
      <c r="T4919" s="135"/>
      <c r="U4919" s="135"/>
    </row>
    <row r="4920" spans="20:21" ht="15" customHeight="1" x14ac:dyDescent="0.25">
      <c r="T4920" s="135"/>
      <c r="U4920" s="135"/>
    </row>
    <row r="4921" spans="20:21" ht="15" customHeight="1" x14ac:dyDescent="0.25">
      <c r="T4921" s="135"/>
      <c r="U4921" s="135"/>
    </row>
    <row r="4922" spans="20:21" ht="15" customHeight="1" x14ac:dyDescent="0.25">
      <c r="T4922" s="135"/>
      <c r="U4922" s="135"/>
    </row>
    <row r="4923" spans="20:21" ht="15" customHeight="1" x14ac:dyDescent="0.25">
      <c r="T4923" s="135"/>
      <c r="U4923" s="135"/>
    </row>
    <row r="4924" spans="20:21" ht="15" customHeight="1" x14ac:dyDescent="0.25">
      <c r="T4924" s="135"/>
      <c r="U4924" s="135"/>
    </row>
    <row r="4925" spans="20:21" ht="15" customHeight="1" x14ac:dyDescent="0.25">
      <c r="T4925" s="135"/>
      <c r="U4925" s="135"/>
    </row>
    <row r="4926" spans="20:21" ht="15" customHeight="1" x14ac:dyDescent="0.25">
      <c r="T4926" s="135"/>
      <c r="U4926" s="135"/>
    </row>
    <row r="4927" spans="20:21" ht="15" customHeight="1" x14ac:dyDescent="0.25">
      <c r="T4927" s="135"/>
      <c r="U4927" s="135"/>
    </row>
    <row r="4928" spans="20:21" ht="15" customHeight="1" x14ac:dyDescent="0.25">
      <c r="T4928" s="135"/>
      <c r="U4928" s="135"/>
    </row>
    <row r="4929" spans="20:21" ht="15" customHeight="1" x14ac:dyDescent="0.25">
      <c r="T4929" s="135"/>
      <c r="U4929" s="135"/>
    </row>
    <row r="4930" spans="20:21" ht="15" customHeight="1" x14ac:dyDescent="0.25">
      <c r="T4930" s="135"/>
      <c r="U4930" s="135"/>
    </row>
    <row r="4931" spans="20:21" ht="15" customHeight="1" x14ac:dyDescent="0.25">
      <c r="T4931" s="135"/>
      <c r="U4931" s="135"/>
    </row>
    <row r="4932" spans="20:21" ht="15" customHeight="1" x14ac:dyDescent="0.25">
      <c r="T4932" s="135"/>
      <c r="U4932" s="135"/>
    </row>
    <row r="4933" spans="20:21" ht="15" customHeight="1" x14ac:dyDescent="0.25">
      <c r="T4933" s="135"/>
      <c r="U4933" s="135"/>
    </row>
    <row r="4934" spans="20:21" ht="15" customHeight="1" x14ac:dyDescent="0.25">
      <c r="T4934" s="135"/>
      <c r="U4934" s="135"/>
    </row>
    <row r="4935" spans="20:21" ht="15" customHeight="1" x14ac:dyDescent="0.25">
      <c r="T4935" s="135"/>
      <c r="U4935" s="135"/>
    </row>
    <row r="4936" spans="20:21" ht="15" customHeight="1" x14ac:dyDescent="0.25">
      <c r="T4936" s="135"/>
      <c r="U4936" s="135"/>
    </row>
    <row r="4937" spans="20:21" ht="15" customHeight="1" x14ac:dyDescent="0.25">
      <c r="T4937" s="135"/>
      <c r="U4937" s="135"/>
    </row>
    <row r="4938" spans="20:21" ht="15" customHeight="1" x14ac:dyDescent="0.25">
      <c r="T4938" s="135"/>
      <c r="U4938" s="135"/>
    </row>
    <row r="4939" spans="20:21" ht="15" customHeight="1" x14ac:dyDescent="0.25">
      <c r="T4939" s="135"/>
      <c r="U4939" s="135"/>
    </row>
    <row r="4940" spans="20:21" ht="15" customHeight="1" x14ac:dyDescent="0.25">
      <c r="T4940" s="135"/>
      <c r="U4940" s="135"/>
    </row>
    <row r="4941" spans="20:21" ht="15" customHeight="1" x14ac:dyDescent="0.25">
      <c r="T4941" s="135"/>
      <c r="U4941" s="135"/>
    </row>
    <row r="4942" spans="20:21" ht="15" customHeight="1" x14ac:dyDescent="0.25">
      <c r="T4942" s="135"/>
      <c r="U4942" s="135"/>
    </row>
    <row r="4943" spans="20:21" ht="15" customHeight="1" x14ac:dyDescent="0.25">
      <c r="T4943" s="135"/>
      <c r="U4943" s="135"/>
    </row>
    <row r="4944" spans="20:21" ht="15" customHeight="1" x14ac:dyDescent="0.25">
      <c r="T4944" s="135"/>
      <c r="U4944" s="135"/>
    </row>
    <row r="4945" spans="20:21" ht="15" customHeight="1" x14ac:dyDescent="0.25">
      <c r="T4945" s="135"/>
      <c r="U4945" s="135"/>
    </row>
    <row r="4946" spans="20:21" ht="15" customHeight="1" x14ac:dyDescent="0.25">
      <c r="T4946" s="135"/>
      <c r="U4946" s="135"/>
    </row>
    <row r="4947" spans="20:21" ht="15" customHeight="1" x14ac:dyDescent="0.25">
      <c r="T4947" s="135"/>
      <c r="U4947" s="135"/>
    </row>
    <row r="4948" spans="20:21" ht="15" customHeight="1" x14ac:dyDescent="0.25">
      <c r="T4948" s="135"/>
      <c r="U4948" s="135"/>
    </row>
    <row r="4949" spans="20:21" ht="15" customHeight="1" x14ac:dyDescent="0.25">
      <c r="T4949" s="135"/>
      <c r="U4949" s="135"/>
    </row>
    <row r="4950" spans="20:21" ht="15" customHeight="1" x14ac:dyDescent="0.25">
      <c r="T4950" s="135"/>
      <c r="U4950" s="135"/>
    </row>
    <row r="4951" spans="20:21" ht="15" customHeight="1" x14ac:dyDescent="0.25">
      <c r="T4951" s="135"/>
      <c r="U4951" s="135"/>
    </row>
    <row r="4952" spans="20:21" ht="15" customHeight="1" x14ac:dyDescent="0.25">
      <c r="T4952" s="135"/>
      <c r="U4952" s="135"/>
    </row>
    <row r="4953" spans="20:21" ht="15" customHeight="1" x14ac:dyDescent="0.25">
      <c r="T4953" s="135"/>
      <c r="U4953" s="135"/>
    </row>
    <row r="4954" spans="20:21" ht="15" customHeight="1" x14ac:dyDescent="0.25">
      <c r="T4954" s="135"/>
      <c r="U4954" s="135"/>
    </row>
    <row r="4955" spans="20:21" ht="15" customHeight="1" x14ac:dyDescent="0.25">
      <c r="T4955" s="135"/>
      <c r="U4955" s="135"/>
    </row>
    <row r="4956" spans="20:21" ht="15" customHeight="1" x14ac:dyDescent="0.25">
      <c r="T4956" s="135"/>
      <c r="U4956" s="135"/>
    </row>
    <row r="4957" spans="20:21" ht="15" customHeight="1" x14ac:dyDescent="0.25">
      <c r="T4957" s="135"/>
      <c r="U4957" s="135"/>
    </row>
    <row r="4958" spans="20:21" ht="15" customHeight="1" x14ac:dyDescent="0.25">
      <c r="T4958" s="135"/>
      <c r="U4958" s="135"/>
    </row>
    <row r="4959" spans="20:21" ht="15" customHeight="1" x14ac:dyDescent="0.25">
      <c r="T4959" s="135"/>
      <c r="U4959" s="135"/>
    </row>
    <row r="4960" spans="20:21" ht="15" customHeight="1" x14ac:dyDescent="0.25">
      <c r="T4960" s="135"/>
      <c r="U4960" s="135"/>
    </row>
    <row r="4961" spans="20:21" ht="15" customHeight="1" x14ac:dyDescent="0.25">
      <c r="T4961" s="135"/>
      <c r="U4961" s="135"/>
    </row>
    <row r="4962" spans="20:21" ht="15" customHeight="1" x14ac:dyDescent="0.25">
      <c r="T4962" s="135"/>
      <c r="U4962" s="135"/>
    </row>
    <row r="4963" spans="20:21" ht="15" customHeight="1" x14ac:dyDescent="0.25">
      <c r="T4963" s="135"/>
      <c r="U4963" s="135"/>
    </row>
    <row r="4964" spans="20:21" ht="15" customHeight="1" x14ac:dyDescent="0.25">
      <c r="T4964" s="135"/>
      <c r="U4964" s="135"/>
    </row>
    <row r="4965" spans="20:21" ht="15" customHeight="1" x14ac:dyDescent="0.25">
      <c r="T4965" s="135"/>
      <c r="U4965" s="135"/>
    </row>
    <row r="4966" spans="20:21" ht="15" customHeight="1" x14ac:dyDescent="0.25">
      <c r="T4966" s="135"/>
      <c r="U4966" s="135"/>
    </row>
    <row r="4967" spans="20:21" ht="15" customHeight="1" x14ac:dyDescent="0.25">
      <c r="T4967" s="135"/>
      <c r="U4967" s="135"/>
    </row>
    <row r="4968" spans="20:21" ht="15" customHeight="1" x14ac:dyDescent="0.25">
      <c r="T4968" s="135"/>
      <c r="U4968" s="135"/>
    </row>
    <row r="4969" spans="20:21" ht="15" customHeight="1" x14ac:dyDescent="0.25">
      <c r="T4969" s="135"/>
      <c r="U4969" s="135"/>
    </row>
    <row r="4970" spans="20:21" ht="15" customHeight="1" x14ac:dyDescent="0.25">
      <c r="T4970" s="135"/>
      <c r="U4970" s="135"/>
    </row>
    <row r="4971" spans="20:21" ht="15" customHeight="1" x14ac:dyDescent="0.25">
      <c r="T4971" s="135"/>
      <c r="U4971" s="135"/>
    </row>
    <row r="4972" spans="20:21" ht="15" customHeight="1" x14ac:dyDescent="0.25">
      <c r="T4972" s="135"/>
      <c r="U4972" s="135"/>
    </row>
    <row r="4973" spans="20:21" ht="15" customHeight="1" x14ac:dyDescent="0.25">
      <c r="T4973" s="135"/>
      <c r="U4973" s="135"/>
    </row>
    <row r="4974" spans="20:21" ht="15" customHeight="1" x14ac:dyDescent="0.25">
      <c r="T4974" s="135"/>
      <c r="U4974" s="135"/>
    </row>
    <row r="4975" spans="20:21" ht="15" customHeight="1" x14ac:dyDescent="0.25">
      <c r="T4975" s="135"/>
      <c r="U4975" s="135"/>
    </row>
    <row r="4976" spans="20:21" ht="15" customHeight="1" x14ac:dyDescent="0.25">
      <c r="T4976" s="135"/>
      <c r="U4976" s="135"/>
    </row>
    <row r="4977" spans="20:21" ht="15" customHeight="1" x14ac:dyDescent="0.25">
      <c r="T4977" s="135"/>
      <c r="U4977" s="135"/>
    </row>
    <row r="4978" spans="20:21" ht="15" customHeight="1" x14ac:dyDescent="0.25">
      <c r="T4978" s="135"/>
      <c r="U4978" s="135"/>
    </row>
    <row r="4979" spans="20:21" ht="15" customHeight="1" x14ac:dyDescent="0.25">
      <c r="T4979" s="135"/>
      <c r="U4979" s="135"/>
    </row>
    <row r="4980" spans="20:21" ht="15" customHeight="1" x14ac:dyDescent="0.25">
      <c r="T4980" s="135"/>
      <c r="U4980" s="135"/>
    </row>
    <row r="4981" spans="20:21" ht="15" customHeight="1" x14ac:dyDescent="0.25">
      <c r="T4981" s="135"/>
      <c r="U4981" s="135"/>
    </row>
    <row r="4982" spans="20:21" ht="15" customHeight="1" x14ac:dyDescent="0.25">
      <c r="T4982" s="135"/>
      <c r="U4982" s="135"/>
    </row>
    <row r="4983" spans="20:21" ht="15" customHeight="1" x14ac:dyDescent="0.25">
      <c r="T4983" s="135"/>
      <c r="U4983" s="135"/>
    </row>
    <row r="4984" spans="20:21" ht="15" customHeight="1" x14ac:dyDescent="0.25">
      <c r="T4984" s="135"/>
      <c r="U4984" s="135"/>
    </row>
    <row r="4985" spans="20:21" ht="15" customHeight="1" x14ac:dyDescent="0.25">
      <c r="T4985" s="135"/>
      <c r="U4985" s="135"/>
    </row>
    <row r="4986" spans="20:21" ht="15" customHeight="1" x14ac:dyDescent="0.25">
      <c r="T4986" s="135"/>
      <c r="U4986" s="135"/>
    </row>
    <row r="4987" spans="20:21" ht="15" customHeight="1" x14ac:dyDescent="0.25">
      <c r="T4987" s="135"/>
      <c r="U4987" s="135"/>
    </row>
    <row r="4988" spans="20:21" ht="15" customHeight="1" x14ac:dyDescent="0.25">
      <c r="T4988" s="135"/>
      <c r="U4988" s="135"/>
    </row>
    <row r="4989" spans="20:21" ht="15" customHeight="1" x14ac:dyDescent="0.25">
      <c r="T4989" s="135"/>
      <c r="U4989" s="135"/>
    </row>
    <row r="4990" spans="20:21" ht="15" customHeight="1" x14ac:dyDescent="0.25">
      <c r="T4990" s="135"/>
      <c r="U4990" s="135"/>
    </row>
    <row r="4991" spans="20:21" ht="15" customHeight="1" x14ac:dyDescent="0.25">
      <c r="T4991" s="135"/>
      <c r="U4991" s="135"/>
    </row>
    <row r="4992" spans="20:21" ht="15" customHeight="1" x14ac:dyDescent="0.25">
      <c r="T4992" s="135"/>
      <c r="U4992" s="135"/>
    </row>
    <row r="4993" spans="20:21" ht="15" customHeight="1" x14ac:dyDescent="0.25">
      <c r="T4993" s="135"/>
      <c r="U4993" s="135"/>
    </row>
    <row r="4994" spans="20:21" ht="15" customHeight="1" x14ac:dyDescent="0.25">
      <c r="T4994" s="135"/>
      <c r="U4994" s="135"/>
    </row>
    <row r="4995" spans="20:21" ht="15" customHeight="1" x14ac:dyDescent="0.25">
      <c r="T4995" s="135"/>
      <c r="U4995" s="135"/>
    </row>
    <row r="4996" spans="20:21" ht="15" customHeight="1" x14ac:dyDescent="0.25">
      <c r="T4996" s="135"/>
      <c r="U4996" s="135"/>
    </row>
    <row r="4997" spans="20:21" ht="15" customHeight="1" x14ac:dyDescent="0.25">
      <c r="T4997" s="135"/>
      <c r="U4997" s="135"/>
    </row>
    <row r="4998" spans="20:21" ht="15" customHeight="1" x14ac:dyDescent="0.25">
      <c r="T4998" s="135"/>
      <c r="U4998" s="135"/>
    </row>
    <row r="4999" spans="20:21" ht="15" customHeight="1" x14ac:dyDescent="0.25">
      <c r="T4999" s="135"/>
      <c r="U4999" s="135"/>
    </row>
    <row r="5000" spans="20:21" ht="15" customHeight="1" x14ac:dyDescent="0.25">
      <c r="T5000" s="135"/>
      <c r="U5000" s="135"/>
    </row>
    <row r="5001" spans="20:21" ht="15" customHeight="1" x14ac:dyDescent="0.25">
      <c r="T5001" s="135"/>
      <c r="U5001" s="135"/>
    </row>
    <row r="5002" spans="20:21" ht="15" customHeight="1" x14ac:dyDescent="0.25">
      <c r="T5002" s="135"/>
      <c r="U5002" s="135"/>
    </row>
    <row r="5003" spans="20:21" ht="15" customHeight="1" x14ac:dyDescent="0.25">
      <c r="T5003" s="135"/>
      <c r="U5003" s="135"/>
    </row>
    <row r="5004" spans="20:21" ht="15" customHeight="1" x14ac:dyDescent="0.25">
      <c r="T5004" s="135"/>
      <c r="U5004" s="135"/>
    </row>
    <row r="5005" spans="20:21" ht="15" customHeight="1" x14ac:dyDescent="0.25">
      <c r="T5005" s="135"/>
      <c r="U5005" s="135"/>
    </row>
    <row r="5006" spans="20:21" ht="15" customHeight="1" x14ac:dyDescent="0.25">
      <c r="T5006" s="135"/>
      <c r="U5006" s="135"/>
    </row>
    <row r="5007" spans="20:21" ht="15" customHeight="1" x14ac:dyDescent="0.25">
      <c r="T5007" s="135"/>
      <c r="U5007" s="135"/>
    </row>
    <row r="5008" spans="20:21" ht="15" customHeight="1" x14ac:dyDescent="0.25">
      <c r="T5008" s="135"/>
      <c r="U5008" s="135"/>
    </row>
    <row r="5009" spans="20:21" ht="15" customHeight="1" x14ac:dyDescent="0.25">
      <c r="T5009" s="135"/>
      <c r="U5009" s="135"/>
    </row>
    <row r="5010" spans="20:21" ht="15" customHeight="1" x14ac:dyDescent="0.25">
      <c r="T5010" s="135"/>
      <c r="U5010" s="135"/>
    </row>
    <row r="5011" spans="20:21" ht="15" customHeight="1" x14ac:dyDescent="0.25">
      <c r="T5011" s="135"/>
      <c r="U5011" s="135"/>
    </row>
    <row r="5012" spans="20:21" ht="15" customHeight="1" x14ac:dyDescent="0.25">
      <c r="T5012" s="135"/>
      <c r="U5012" s="135"/>
    </row>
    <row r="5013" spans="20:21" ht="15" customHeight="1" x14ac:dyDescent="0.25">
      <c r="T5013" s="135"/>
      <c r="U5013" s="135"/>
    </row>
    <row r="5014" spans="20:21" ht="15" customHeight="1" x14ac:dyDescent="0.25">
      <c r="T5014" s="135"/>
      <c r="U5014" s="135"/>
    </row>
    <row r="5015" spans="20:21" ht="15" customHeight="1" x14ac:dyDescent="0.25">
      <c r="T5015" s="135"/>
      <c r="U5015" s="135"/>
    </row>
    <row r="5016" spans="20:21" ht="15" customHeight="1" x14ac:dyDescent="0.25">
      <c r="T5016" s="135"/>
      <c r="U5016" s="135"/>
    </row>
    <row r="5017" spans="20:21" ht="15" customHeight="1" x14ac:dyDescent="0.25">
      <c r="T5017" s="135"/>
      <c r="U5017" s="135"/>
    </row>
    <row r="5018" spans="20:21" ht="15" customHeight="1" x14ac:dyDescent="0.25">
      <c r="T5018" s="135"/>
      <c r="U5018" s="135"/>
    </row>
    <row r="5019" spans="20:21" ht="15" customHeight="1" x14ac:dyDescent="0.25">
      <c r="T5019" s="135"/>
      <c r="U5019" s="135"/>
    </row>
    <row r="5020" spans="20:21" ht="15" customHeight="1" x14ac:dyDescent="0.25">
      <c r="T5020" s="135"/>
      <c r="U5020" s="135"/>
    </row>
    <row r="5021" spans="20:21" ht="15" customHeight="1" x14ac:dyDescent="0.25">
      <c r="T5021" s="135"/>
      <c r="U5021" s="135"/>
    </row>
    <row r="5022" spans="20:21" ht="15" customHeight="1" x14ac:dyDescent="0.25">
      <c r="T5022" s="135"/>
      <c r="U5022" s="135"/>
    </row>
    <row r="5023" spans="20:21" ht="15" customHeight="1" x14ac:dyDescent="0.25">
      <c r="T5023" s="135"/>
      <c r="U5023" s="135"/>
    </row>
    <row r="5024" spans="20:21" ht="15" customHeight="1" x14ac:dyDescent="0.25">
      <c r="T5024" s="135"/>
      <c r="U5024" s="135"/>
    </row>
    <row r="5025" spans="20:21" ht="15" customHeight="1" x14ac:dyDescent="0.25">
      <c r="T5025" s="135"/>
      <c r="U5025" s="135"/>
    </row>
    <row r="5026" spans="20:21" ht="15" customHeight="1" x14ac:dyDescent="0.25">
      <c r="T5026" s="135"/>
      <c r="U5026" s="135"/>
    </row>
    <row r="5027" spans="20:21" ht="15" customHeight="1" x14ac:dyDescent="0.25">
      <c r="T5027" s="135"/>
      <c r="U5027" s="135"/>
    </row>
    <row r="5028" spans="20:21" ht="15" customHeight="1" x14ac:dyDescent="0.25">
      <c r="T5028" s="135"/>
      <c r="U5028" s="135"/>
    </row>
    <row r="5029" spans="20:21" ht="15" customHeight="1" x14ac:dyDescent="0.25">
      <c r="T5029" s="135"/>
      <c r="U5029" s="135"/>
    </row>
    <row r="5030" spans="20:21" ht="15" customHeight="1" x14ac:dyDescent="0.25">
      <c r="T5030" s="135"/>
      <c r="U5030" s="135"/>
    </row>
    <row r="5031" spans="20:21" ht="15" customHeight="1" x14ac:dyDescent="0.25">
      <c r="T5031" s="135"/>
      <c r="U5031" s="135"/>
    </row>
    <row r="5032" spans="20:21" ht="15" customHeight="1" x14ac:dyDescent="0.25">
      <c r="T5032" s="135"/>
      <c r="U5032" s="135"/>
    </row>
    <row r="5033" spans="20:21" ht="15" customHeight="1" x14ac:dyDescent="0.25">
      <c r="T5033" s="135"/>
      <c r="U5033" s="135"/>
    </row>
    <row r="5034" spans="20:21" ht="15" customHeight="1" x14ac:dyDescent="0.25">
      <c r="T5034" s="135"/>
      <c r="U5034" s="135"/>
    </row>
    <row r="5035" spans="20:21" ht="15" customHeight="1" x14ac:dyDescent="0.25">
      <c r="T5035" s="135"/>
      <c r="U5035" s="135"/>
    </row>
    <row r="5036" spans="20:21" ht="15" customHeight="1" x14ac:dyDescent="0.25">
      <c r="T5036" s="135"/>
      <c r="U5036" s="135"/>
    </row>
    <row r="5037" spans="20:21" ht="15" customHeight="1" x14ac:dyDescent="0.25">
      <c r="T5037" s="135"/>
      <c r="U5037" s="135"/>
    </row>
    <row r="5038" spans="20:21" ht="15" customHeight="1" x14ac:dyDescent="0.25">
      <c r="T5038" s="135"/>
      <c r="U5038" s="135"/>
    </row>
    <row r="5039" spans="20:21" ht="15" customHeight="1" x14ac:dyDescent="0.25">
      <c r="T5039" s="135"/>
      <c r="U5039" s="135"/>
    </row>
    <row r="5040" spans="20:21" ht="15" customHeight="1" x14ac:dyDescent="0.25">
      <c r="T5040" s="135"/>
      <c r="U5040" s="135"/>
    </row>
    <row r="5041" spans="20:21" ht="15" customHeight="1" x14ac:dyDescent="0.25">
      <c r="T5041" s="135"/>
      <c r="U5041" s="135"/>
    </row>
    <row r="5042" spans="20:21" ht="15" customHeight="1" x14ac:dyDescent="0.25">
      <c r="T5042" s="135"/>
      <c r="U5042" s="135"/>
    </row>
    <row r="5043" spans="20:21" ht="15" customHeight="1" x14ac:dyDescent="0.25">
      <c r="T5043" s="135"/>
      <c r="U5043" s="135"/>
    </row>
    <row r="5044" spans="20:21" ht="15" customHeight="1" x14ac:dyDescent="0.25">
      <c r="T5044" s="135"/>
      <c r="U5044" s="135"/>
    </row>
    <row r="5045" spans="20:21" ht="15" customHeight="1" x14ac:dyDescent="0.25">
      <c r="T5045" s="135"/>
      <c r="U5045" s="135"/>
    </row>
    <row r="5046" spans="20:21" ht="15" customHeight="1" x14ac:dyDescent="0.25">
      <c r="T5046" s="135"/>
      <c r="U5046" s="135"/>
    </row>
    <row r="5047" spans="20:21" ht="15" customHeight="1" x14ac:dyDescent="0.25">
      <c r="T5047" s="135"/>
      <c r="U5047" s="135"/>
    </row>
    <row r="5048" spans="20:21" ht="15" customHeight="1" x14ac:dyDescent="0.25">
      <c r="T5048" s="135"/>
      <c r="U5048" s="135"/>
    </row>
    <row r="5049" spans="20:21" ht="15" customHeight="1" x14ac:dyDescent="0.25">
      <c r="T5049" s="135"/>
      <c r="U5049" s="135"/>
    </row>
    <row r="5050" spans="20:21" ht="15" customHeight="1" x14ac:dyDescent="0.25">
      <c r="T5050" s="135"/>
      <c r="U5050" s="135"/>
    </row>
    <row r="5051" spans="20:21" ht="15" customHeight="1" x14ac:dyDescent="0.25">
      <c r="T5051" s="135"/>
      <c r="U5051" s="135"/>
    </row>
    <row r="5052" spans="20:21" ht="15" customHeight="1" x14ac:dyDescent="0.25">
      <c r="T5052" s="135"/>
      <c r="U5052" s="135"/>
    </row>
    <row r="5053" spans="20:21" ht="15" customHeight="1" x14ac:dyDescent="0.25">
      <c r="T5053" s="135"/>
      <c r="U5053" s="135"/>
    </row>
    <row r="5054" spans="20:21" ht="15" customHeight="1" x14ac:dyDescent="0.25">
      <c r="T5054" s="135"/>
      <c r="U5054" s="135"/>
    </row>
    <row r="5055" spans="20:21" ht="15" customHeight="1" x14ac:dyDescent="0.25">
      <c r="T5055" s="135"/>
      <c r="U5055" s="135"/>
    </row>
    <row r="5056" spans="20:21" ht="15" customHeight="1" x14ac:dyDescent="0.25">
      <c r="T5056" s="135"/>
      <c r="U5056" s="135"/>
    </row>
    <row r="5057" spans="20:21" ht="15" customHeight="1" x14ac:dyDescent="0.25">
      <c r="T5057" s="135"/>
      <c r="U5057" s="135"/>
    </row>
    <row r="5058" spans="20:21" ht="15" customHeight="1" x14ac:dyDescent="0.25">
      <c r="T5058" s="135"/>
      <c r="U5058" s="135"/>
    </row>
    <row r="5059" spans="20:21" ht="15" customHeight="1" x14ac:dyDescent="0.25">
      <c r="T5059" s="135"/>
      <c r="U5059" s="135"/>
    </row>
    <row r="5060" spans="20:21" ht="15" customHeight="1" x14ac:dyDescent="0.25">
      <c r="T5060" s="135"/>
      <c r="U5060" s="135"/>
    </row>
    <row r="5061" spans="20:21" ht="15" customHeight="1" x14ac:dyDescent="0.25">
      <c r="T5061" s="135"/>
      <c r="U5061" s="135"/>
    </row>
    <row r="5062" spans="20:21" ht="15" customHeight="1" x14ac:dyDescent="0.25">
      <c r="T5062" s="135"/>
      <c r="U5062" s="135"/>
    </row>
    <row r="5063" spans="20:21" ht="15" customHeight="1" x14ac:dyDescent="0.25">
      <c r="T5063" s="135"/>
      <c r="U5063" s="135"/>
    </row>
    <row r="5064" spans="20:21" ht="15" customHeight="1" x14ac:dyDescent="0.25">
      <c r="T5064" s="135"/>
      <c r="U5064" s="135"/>
    </row>
    <row r="5065" spans="20:21" ht="15" customHeight="1" x14ac:dyDescent="0.25">
      <c r="T5065" s="135"/>
      <c r="U5065" s="135"/>
    </row>
    <row r="5066" spans="20:21" ht="15" customHeight="1" x14ac:dyDescent="0.25">
      <c r="T5066" s="135"/>
      <c r="U5066" s="135"/>
    </row>
    <row r="5067" spans="20:21" ht="15" customHeight="1" x14ac:dyDescent="0.25">
      <c r="T5067" s="135"/>
      <c r="U5067" s="135"/>
    </row>
    <row r="5068" spans="20:21" ht="15" customHeight="1" x14ac:dyDescent="0.25">
      <c r="T5068" s="135"/>
      <c r="U5068" s="135"/>
    </row>
    <row r="5069" spans="20:21" ht="15" customHeight="1" x14ac:dyDescent="0.25">
      <c r="T5069" s="135"/>
      <c r="U5069" s="135"/>
    </row>
    <row r="5070" spans="20:21" ht="15" customHeight="1" x14ac:dyDescent="0.25">
      <c r="T5070" s="135"/>
      <c r="U5070" s="135"/>
    </row>
    <row r="5071" spans="20:21" ht="15" customHeight="1" x14ac:dyDescent="0.25">
      <c r="T5071" s="135"/>
      <c r="U5071" s="135"/>
    </row>
    <row r="5072" spans="20:21" ht="15" customHeight="1" x14ac:dyDescent="0.25">
      <c r="T5072" s="135"/>
      <c r="U5072" s="135"/>
    </row>
    <row r="5073" spans="20:21" ht="15" customHeight="1" x14ac:dyDescent="0.25">
      <c r="T5073" s="135"/>
      <c r="U5073" s="135"/>
    </row>
    <row r="5074" spans="20:21" ht="15" customHeight="1" x14ac:dyDescent="0.25">
      <c r="T5074" s="135"/>
      <c r="U5074" s="135"/>
    </row>
    <row r="5075" spans="20:21" ht="15" customHeight="1" x14ac:dyDescent="0.25">
      <c r="T5075" s="135"/>
      <c r="U5075" s="135"/>
    </row>
    <row r="5076" spans="20:21" ht="15" customHeight="1" x14ac:dyDescent="0.25">
      <c r="T5076" s="135"/>
      <c r="U5076" s="135"/>
    </row>
    <row r="5077" spans="20:21" ht="15" customHeight="1" x14ac:dyDescent="0.25">
      <c r="T5077" s="135"/>
      <c r="U5077" s="135"/>
    </row>
    <row r="5078" spans="20:21" ht="15" customHeight="1" x14ac:dyDescent="0.25">
      <c r="T5078" s="135"/>
      <c r="U5078" s="135"/>
    </row>
    <row r="5079" spans="20:21" ht="15" customHeight="1" x14ac:dyDescent="0.25">
      <c r="T5079" s="135"/>
      <c r="U5079" s="135"/>
    </row>
    <row r="5080" spans="20:21" ht="15" customHeight="1" x14ac:dyDescent="0.25">
      <c r="T5080" s="135"/>
      <c r="U5080" s="135"/>
    </row>
    <row r="5081" spans="20:21" ht="15" customHeight="1" x14ac:dyDescent="0.25">
      <c r="T5081" s="135"/>
      <c r="U5081" s="135"/>
    </row>
    <row r="5082" spans="20:21" ht="15" customHeight="1" x14ac:dyDescent="0.25">
      <c r="T5082" s="135"/>
      <c r="U5082" s="135"/>
    </row>
    <row r="5083" spans="20:21" ht="15" customHeight="1" x14ac:dyDescent="0.25">
      <c r="T5083" s="135"/>
      <c r="U5083" s="135"/>
    </row>
    <row r="5084" spans="20:21" ht="15" customHeight="1" x14ac:dyDescent="0.25">
      <c r="T5084" s="135"/>
      <c r="U5084" s="135"/>
    </row>
    <row r="5085" spans="20:21" ht="15" customHeight="1" x14ac:dyDescent="0.25">
      <c r="T5085" s="135"/>
      <c r="U5085" s="135"/>
    </row>
    <row r="5086" spans="20:21" ht="15" customHeight="1" x14ac:dyDescent="0.25">
      <c r="T5086" s="135"/>
      <c r="U5086" s="135"/>
    </row>
    <row r="5087" spans="20:21" ht="15" customHeight="1" x14ac:dyDescent="0.25">
      <c r="T5087" s="135"/>
      <c r="U5087" s="135"/>
    </row>
    <row r="5088" spans="20:21" ht="15" customHeight="1" x14ac:dyDescent="0.25">
      <c r="T5088" s="135"/>
      <c r="U5088" s="135"/>
    </row>
    <row r="5089" spans="20:21" ht="15" customHeight="1" x14ac:dyDescent="0.25">
      <c r="T5089" s="135"/>
      <c r="U5089" s="135"/>
    </row>
    <row r="5090" spans="20:21" ht="15" customHeight="1" x14ac:dyDescent="0.25">
      <c r="T5090" s="135"/>
      <c r="U5090" s="135"/>
    </row>
    <row r="5091" spans="20:21" ht="15" customHeight="1" x14ac:dyDescent="0.25">
      <c r="T5091" s="135"/>
      <c r="U5091" s="135"/>
    </row>
    <row r="5092" spans="20:21" ht="15" customHeight="1" x14ac:dyDescent="0.25">
      <c r="T5092" s="135"/>
      <c r="U5092" s="135"/>
    </row>
    <row r="5093" spans="20:21" ht="15" customHeight="1" x14ac:dyDescent="0.25">
      <c r="T5093" s="135"/>
      <c r="U5093" s="135"/>
    </row>
    <row r="5094" spans="20:21" ht="15" customHeight="1" x14ac:dyDescent="0.25">
      <c r="T5094" s="135"/>
      <c r="U5094" s="135"/>
    </row>
    <row r="5095" spans="20:21" ht="15" customHeight="1" x14ac:dyDescent="0.25">
      <c r="T5095" s="135"/>
      <c r="U5095" s="135"/>
    </row>
    <row r="5096" spans="20:21" ht="15" customHeight="1" x14ac:dyDescent="0.25">
      <c r="T5096" s="135"/>
      <c r="U5096" s="135"/>
    </row>
    <row r="5097" spans="20:21" ht="15" customHeight="1" x14ac:dyDescent="0.25">
      <c r="T5097" s="135"/>
      <c r="U5097" s="135"/>
    </row>
    <row r="5098" spans="20:21" ht="15" customHeight="1" x14ac:dyDescent="0.25">
      <c r="T5098" s="135"/>
      <c r="U5098" s="135"/>
    </row>
    <row r="5099" spans="20:21" ht="15" customHeight="1" x14ac:dyDescent="0.25">
      <c r="T5099" s="135"/>
      <c r="U5099" s="135"/>
    </row>
    <row r="5100" spans="20:21" ht="15" customHeight="1" x14ac:dyDescent="0.25">
      <c r="T5100" s="135"/>
      <c r="U5100" s="135"/>
    </row>
    <row r="5101" spans="20:21" ht="15" customHeight="1" x14ac:dyDescent="0.25">
      <c r="T5101" s="135"/>
      <c r="U5101" s="135"/>
    </row>
    <row r="5102" spans="20:21" ht="15" customHeight="1" x14ac:dyDescent="0.25">
      <c r="T5102" s="135"/>
      <c r="U5102" s="135"/>
    </row>
    <row r="5103" spans="20:21" ht="15" customHeight="1" x14ac:dyDescent="0.25">
      <c r="T5103" s="135"/>
      <c r="U5103" s="135"/>
    </row>
    <row r="5104" spans="20:21" ht="15" customHeight="1" x14ac:dyDescent="0.25">
      <c r="T5104" s="135"/>
      <c r="U5104" s="135"/>
    </row>
    <row r="5105" spans="20:21" ht="15" customHeight="1" x14ac:dyDescent="0.25">
      <c r="T5105" s="135"/>
      <c r="U5105" s="135"/>
    </row>
    <row r="5106" spans="20:21" ht="15" customHeight="1" x14ac:dyDescent="0.25">
      <c r="T5106" s="135"/>
      <c r="U5106" s="135"/>
    </row>
    <row r="5107" spans="20:21" ht="15" customHeight="1" x14ac:dyDescent="0.25">
      <c r="T5107" s="135"/>
      <c r="U5107" s="135"/>
    </row>
    <row r="5108" spans="20:21" ht="15" customHeight="1" x14ac:dyDescent="0.25">
      <c r="T5108" s="135"/>
      <c r="U5108" s="135"/>
    </row>
    <row r="5109" spans="20:21" ht="15" customHeight="1" x14ac:dyDescent="0.25">
      <c r="T5109" s="135"/>
      <c r="U5109" s="135"/>
    </row>
    <row r="5110" spans="20:21" ht="15" customHeight="1" x14ac:dyDescent="0.25">
      <c r="T5110" s="135"/>
      <c r="U5110" s="135"/>
    </row>
    <row r="5111" spans="20:21" ht="15" customHeight="1" x14ac:dyDescent="0.25">
      <c r="T5111" s="135"/>
      <c r="U5111" s="135"/>
    </row>
    <row r="5112" spans="20:21" ht="15" customHeight="1" x14ac:dyDescent="0.25">
      <c r="T5112" s="135"/>
      <c r="U5112" s="135"/>
    </row>
    <row r="5113" spans="20:21" ht="15" customHeight="1" x14ac:dyDescent="0.25">
      <c r="T5113" s="135"/>
      <c r="U5113" s="135"/>
    </row>
    <row r="5114" spans="20:21" ht="15" customHeight="1" x14ac:dyDescent="0.25">
      <c r="T5114" s="135"/>
      <c r="U5114" s="135"/>
    </row>
    <row r="5115" spans="20:21" ht="15" customHeight="1" x14ac:dyDescent="0.25">
      <c r="T5115" s="135"/>
      <c r="U5115" s="135"/>
    </row>
    <row r="5116" spans="20:21" ht="15" customHeight="1" x14ac:dyDescent="0.25">
      <c r="T5116" s="135"/>
      <c r="U5116" s="135"/>
    </row>
    <row r="5117" spans="20:21" ht="15" customHeight="1" x14ac:dyDescent="0.25">
      <c r="T5117" s="135"/>
      <c r="U5117" s="135"/>
    </row>
    <row r="5118" spans="20:21" ht="15" customHeight="1" x14ac:dyDescent="0.25">
      <c r="T5118" s="135"/>
      <c r="U5118" s="135"/>
    </row>
    <row r="5119" spans="20:21" ht="15" customHeight="1" x14ac:dyDescent="0.25">
      <c r="T5119" s="135"/>
      <c r="U5119" s="135"/>
    </row>
    <row r="5120" spans="20:21" ht="15" customHeight="1" x14ac:dyDescent="0.25">
      <c r="T5120" s="135"/>
      <c r="U5120" s="135"/>
    </row>
    <row r="5121" spans="20:21" ht="15" customHeight="1" x14ac:dyDescent="0.25">
      <c r="T5121" s="135"/>
      <c r="U5121" s="135"/>
    </row>
    <row r="5122" spans="20:21" ht="15" customHeight="1" x14ac:dyDescent="0.25">
      <c r="T5122" s="135"/>
      <c r="U5122" s="135"/>
    </row>
    <row r="5123" spans="20:21" ht="15" customHeight="1" x14ac:dyDescent="0.25">
      <c r="T5123" s="135"/>
      <c r="U5123" s="135"/>
    </row>
    <row r="5124" spans="20:21" ht="15" customHeight="1" x14ac:dyDescent="0.25">
      <c r="T5124" s="135"/>
      <c r="U5124" s="135"/>
    </row>
    <row r="5125" spans="20:21" ht="15" customHeight="1" x14ac:dyDescent="0.25">
      <c r="T5125" s="135"/>
      <c r="U5125" s="135"/>
    </row>
    <row r="5126" spans="20:21" ht="15" customHeight="1" x14ac:dyDescent="0.25">
      <c r="T5126" s="135"/>
      <c r="U5126" s="135"/>
    </row>
    <row r="5127" spans="20:21" ht="15" customHeight="1" x14ac:dyDescent="0.25">
      <c r="T5127" s="135"/>
      <c r="U5127" s="135"/>
    </row>
    <row r="5128" spans="20:21" ht="15" customHeight="1" x14ac:dyDescent="0.25">
      <c r="T5128" s="135"/>
      <c r="U5128" s="135"/>
    </row>
    <row r="5129" spans="20:21" ht="15" customHeight="1" x14ac:dyDescent="0.25">
      <c r="T5129" s="135"/>
      <c r="U5129" s="135"/>
    </row>
    <row r="5130" spans="20:21" ht="15" customHeight="1" x14ac:dyDescent="0.25">
      <c r="T5130" s="135"/>
      <c r="U5130" s="135"/>
    </row>
    <row r="5131" spans="20:21" ht="15" customHeight="1" x14ac:dyDescent="0.25">
      <c r="T5131" s="135"/>
      <c r="U5131" s="135"/>
    </row>
    <row r="5132" spans="20:21" ht="15" customHeight="1" x14ac:dyDescent="0.25">
      <c r="T5132" s="135"/>
      <c r="U5132" s="135"/>
    </row>
    <row r="5133" spans="20:21" ht="15" customHeight="1" x14ac:dyDescent="0.25">
      <c r="T5133" s="135"/>
      <c r="U5133" s="135"/>
    </row>
    <row r="5134" spans="20:21" ht="15" customHeight="1" x14ac:dyDescent="0.25">
      <c r="T5134" s="135"/>
      <c r="U5134" s="135"/>
    </row>
    <row r="5135" spans="20:21" ht="15" customHeight="1" x14ac:dyDescent="0.25">
      <c r="T5135" s="135"/>
      <c r="U5135" s="135"/>
    </row>
    <row r="5136" spans="20:21" ht="15" customHeight="1" x14ac:dyDescent="0.25">
      <c r="T5136" s="135"/>
      <c r="U5136" s="135"/>
    </row>
    <row r="5137" spans="20:21" ht="15" customHeight="1" x14ac:dyDescent="0.25">
      <c r="T5137" s="135"/>
      <c r="U5137" s="135"/>
    </row>
    <row r="5138" spans="20:21" ht="15" customHeight="1" x14ac:dyDescent="0.25">
      <c r="T5138" s="135"/>
      <c r="U5138" s="135"/>
    </row>
    <row r="5139" spans="20:21" ht="15" customHeight="1" x14ac:dyDescent="0.25">
      <c r="T5139" s="135"/>
      <c r="U5139" s="135"/>
    </row>
    <row r="5140" spans="20:21" ht="15" customHeight="1" x14ac:dyDescent="0.25">
      <c r="T5140" s="135"/>
      <c r="U5140" s="135"/>
    </row>
    <row r="5141" spans="20:21" ht="15" customHeight="1" x14ac:dyDescent="0.25">
      <c r="T5141" s="135"/>
      <c r="U5141" s="135"/>
    </row>
    <row r="5142" spans="20:21" ht="15" customHeight="1" x14ac:dyDescent="0.25">
      <c r="T5142" s="135"/>
      <c r="U5142" s="135"/>
    </row>
    <row r="5143" spans="20:21" ht="15" customHeight="1" x14ac:dyDescent="0.25">
      <c r="T5143" s="135"/>
      <c r="U5143" s="135"/>
    </row>
    <row r="5144" spans="20:21" ht="15" customHeight="1" x14ac:dyDescent="0.25">
      <c r="T5144" s="135"/>
      <c r="U5144" s="135"/>
    </row>
    <row r="5145" spans="20:21" ht="15" customHeight="1" x14ac:dyDescent="0.25">
      <c r="T5145" s="135"/>
      <c r="U5145" s="135"/>
    </row>
    <row r="5146" spans="20:21" ht="15" customHeight="1" x14ac:dyDescent="0.25">
      <c r="T5146" s="135"/>
      <c r="U5146" s="135"/>
    </row>
    <row r="5147" spans="20:21" ht="15" customHeight="1" x14ac:dyDescent="0.25">
      <c r="T5147" s="135"/>
      <c r="U5147" s="135"/>
    </row>
    <row r="5148" spans="20:21" ht="15" customHeight="1" x14ac:dyDescent="0.25">
      <c r="T5148" s="135"/>
      <c r="U5148" s="135"/>
    </row>
    <row r="5149" spans="20:21" ht="15" customHeight="1" x14ac:dyDescent="0.25">
      <c r="T5149" s="135"/>
      <c r="U5149" s="135"/>
    </row>
    <row r="5150" spans="20:21" ht="15" customHeight="1" x14ac:dyDescent="0.25">
      <c r="T5150" s="135"/>
      <c r="U5150" s="135"/>
    </row>
    <row r="5151" spans="20:21" ht="15" customHeight="1" x14ac:dyDescent="0.25">
      <c r="T5151" s="135"/>
      <c r="U5151" s="135"/>
    </row>
    <row r="5152" spans="20:21" ht="15" customHeight="1" x14ac:dyDescent="0.25">
      <c r="T5152" s="135"/>
      <c r="U5152" s="135"/>
    </row>
    <row r="5153" spans="20:21" ht="15" customHeight="1" x14ac:dyDescent="0.25">
      <c r="T5153" s="135"/>
      <c r="U5153" s="135"/>
    </row>
    <row r="5154" spans="20:21" ht="15" customHeight="1" x14ac:dyDescent="0.25">
      <c r="T5154" s="135"/>
      <c r="U5154" s="135"/>
    </row>
    <row r="5155" spans="20:21" ht="15" customHeight="1" x14ac:dyDescent="0.25">
      <c r="T5155" s="135"/>
      <c r="U5155" s="135"/>
    </row>
    <row r="5156" spans="20:21" ht="15" customHeight="1" x14ac:dyDescent="0.25">
      <c r="T5156" s="135"/>
      <c r="U5156" s="135"/>
    </row>
    <row r="5157" spans="20:21" ht="15" customHeight="1" x14ac:dyDescent="0.25">
      <c r="T5157" s="135"/>
      <c r="U5157" s="135"/>
    </row>
    <row r="5158" spans="20:21" ht="15" customHeight="1" x14ac:dyDescent="0.25">
      <c r="T5158" s="135"/>
      <c r="U5158" s="135"/>
    </row>
    <row r="5159" spans="20:21" ht="15" customHeight="1" x14ac:dyDescent="0.25">
      <c r="T5159" s="135"/>
      <c r="U5159" s="135"/>
    </row>
    <row r="5160" spans="20:21" ht="15" customHeight="1" x14ac:dyDescent="0.25">
      <c r="T5160" s="135"/>
      <c r="U5160" s="135"/>
    </row>
    <row r="5161" spans="20:21" ht="15" customHeight="1" x14ac:dyDescent="0.25">
      <c r="T5161" s="135"/>
      <c r="U5161" s="135"/>
    </row>
    <row r="5162" spans="20:21" ht="15" customHeight="1" x14ac:dyDescent="0.25">
      <c r="T5162" s="135"/>
      <c r="U5162" s="135"/>
    </row>
    <row r="5163" spans="20:21" ht="15" customHeight="1" x14ac:dyDescent="0.25">
      <c r="T5163" s="135"/>
      <c r="U5163" s="135"/>
    </row>
    <row r="5164" spans="20:21" ht="15" customHeight="1" x14ac:dyDescent="0.25">
      <c r="T5164" s="135"/>
      <c r="U5164" s="135"/>
    </row>
    <row r="5165" spans="20:21" ht="15" customHeight="1" x14ac:dyDescent="0.25">
      <c r="T5165" s="135"/>
      <c r="U5165" s="135"/>
    </row>
    <row r="5166" spans="20:21" ht="15" customHeight="1" x14ac:dyDescent="0.25">
      <c r="T5166" s="135"/>
      <c r="U5166" s="135"/>
    </row>
    <row r="5167" spans="20:21" ht="15" customHeight="1" x14ac:dyDescent="0.25">
      <c r="T5167" s="135"/>
      <c r="U5167" s="135"/>
    </row>
    <row r="5168" spans="20:21" ht="15" customHeight="1" x14ac:dyDescent="0.25">
      <c r="T5168" s="135"/>
      <c r="U5168" s="135"/>
    </row>
    <row r="5169" spans="20:21" ht="15" customHeight="1" x14ac:dyDescent="0.25">
      <c r="T5169" s="135"/>
      <c r="U5169" s="135"/>
    </row>
    <row r="5170" spans="20:21" ht="15" customHeight="1" x14ac:dyDescent="0.25">
      <c r="T5170" s="135"/>
      <c r="U5170" s="135"/>
    </row>
    <row r="5171" spans="20:21" ht="15" customHeight="1" x14ac:dyDescent="0.25">
      <c r="T5171" s="135"/>
      <c r="U5171" s="135"/>
    </row>
    <row r="5172" spans="20:21" ht="15" customHeight="1" x14ac:dyDescent="0.25">
      <c r="T5172" s="135"/>
      <c r="U5172" s="135"/>
    </row>
    <row r="5173" spans="20:21" ht="15" customHeight="1" x14ac:dyDescent="0.25">
      <c r="T5173" s="135"/>
      <c r="U5173" s="135"/>
    </row>
    <row r="5174" spans="20:21" ht="15" customHeight="1" x14ac:dyDescent="0.25">
      <c r="T5174" s="135"/>
      <c r="U5174" s="135"/>
    </row>
    <row r="5175" spans="20:21" ht="15" customHeight="1" x14ac:dyDescent="0.25">
      <c r="T5175" s="135"/>
      <c r="U5175" s="135"/>
    </row>
    <row r="5176" spans="20:21" ht="15" customHeight="1" x14ac:dyDescent="0.25">
      <c r="T5176" s="135"/>
      <c r="U5176" s="135"/>
    </row>
    <row r="5177" spans="20:21" ht="15" customHeight="1" x14ac:dyDescent="0.25">
      <c r="T5177" s="135"/>
      <c r="U5177" s="135"/>
    </row>
    <row r="5178" spans="20:21" ht="15" customHeight="1" x14ac:dyDescent="0.25">
      <c r="T5178" s="135"/>
      <c r="U5178" s="135"/>
    </row>
    <row r="5179" spans="20:21" ht="15" customHeight="1" x14ac:dyDescent="0.25">
      <c r="T5179" s="135"/>
      <c r="U5179" s="135"/>
    </row>
    <row r="5180" spans="20:21" ht="15" customHeight="1" x14ac:dyDescent="0.25">
      <c r="T5180" s="135"/>
      <c r="U5180" s="135"/>
    </row>
    <row r="5181" spans="20:21" ht="15" customHeight="1" x14ac:dyDescent="0.25">
      <c r="T5181" s="135"/>
      <c r="U5181" s="135"/>
    </row>
    <row r="5182" spans="20:21" ht="15" customHeight="1" x14ac:dyDescent="0.25">
      <c r="T5182" s="135"/>
      <c r="U5182" s="135"/>
    </row>
    <row r="5183" spans="20:21" ht="15" customHeight="1" x14ac:dyDescent="0.25">
      <c r="T5183" s="135"/>
      <c r="U5183" s="135"/>
    </row>
    <row r="5184" spans="20:21" ht="15" customHeight="1" x14ac:dyDescent="0.25">
      <c r="T5184" s="135"/>
      <c r="U5184" s="135"/>
    </row>
    <row r="5185" spans="20:21" ht="15" customHeight="1" x14ac:dyDescent="0.25">
      <c r="T5185" s="135"/>
      <c r="U5185" s="135"/>
    </row>
    <row r="5186" spans="20:21" ht="15" customHeight="1" x14ac:dyDescent="0.25">
      <c r="T5186" s="135"/>
      <c r="U5186" s="135"/>
    </row>
    <row r="5187" spans="20:21" ht="15" customHeight="1" x14ac:dyDescent="0.25">
      <c r="T5187" s="135"/>
      <c r="U5187" s="135"/>
    </row>
    <row r="5188" spans="20:21" ht="15" customHeight="1" x14ac:dyDescent="0.25">
      <c r="T5188" s="135"/>
      <c r="U5188" s="135"/>
    </row>
    <row r="5189" spans="20:21" ht="15" customHeight="1" x14ac:dyDescent="0.25">
      <c r="T5189" s="135"/>
      <c r="U5189" s="135"/>
    </row>
    <row r="5190" spans="20:21" ht="15" customHeight="1" x14ac:dyDescent="0.25">
      <c r="T5190" s="135"/>
      <c r="U5190" s="135"/>
    </row>
    <row r="5191" spans="20:21" ht="15" customHeight="1" x14ac:dyDescent="0.25">
      <c r="T5191" s="135"/>
      <c r="U5191" s="135"/>
    </row>
    <row r="5192" spans="20:21" ht="15" customHeight="1" x14ac:dyDescent="0.25">
      <c r="T5192" s="135"/>
      <c r="U5192" s="135"/>
    </row>
    <row r="5193" spans="20:21" ht="15" customHeight="1" x14ac:dyDescent="0.25">
      <c r="T5193" s="135"/>
      <c r="U5193" s="135"/>
    </row>
    <row r="5194" spans="20:21" ht="15" customHeight="1" x14ac:dyDescent="0.25">
      <c r="T5194" s="135"/>
      <c r="U5194" s="135"/>
    </row>
    <row r="5195" spans="20:21" ht="15" customHeight="1" x14ac:dyDescent="0.25">
      <c r="T5195" s="135"/>
      <c r="U5195" s="135"/>
    </row>
    <row r="5196" spans="20:21" ht="15" customHeight="1" x14ac:dyDescent="0.25">
      <c r="T5196" s="135"/>
      <c r="U5196" s="135"/>
    </row>
    <row r="5197" spans="20:21" ht="15" customHeight="1" x14ac:dyDescent="0.25">
      <c r="T5197" s="135"/>
      <c r="U5197" s="135"/>
    </row>
    <row r="5198" spans="20:21" ht="15" customHeight="1" x14ac:dyDescent="0.25">
      <c r="T5198" s="135"/>
      <c r="U5198" s="135"/>
    </row>
    <row r="5199" spans="20:21" ht="15" customHeight="1" x14ac:dyDescent="0.25">
      <c r="T5199" s="135"/>
      <c r="U5199" s="135"/>
    </row>
    <row r="5200" spans="20:21" ht="15" customHeight="1" x14ac:dyDescent="0.25">
      <c r="T5200" s="135"/>
      <c r="U5200" s="135"/>
    </row>
    <row r="5201" spans="20:21" ht="15" customHeight="1" x14ac:dyDescent="0.25">
      <c r="T5201" s="135"/>
      <c r="U5201" s="135"/>
    </row>
    <row r="5202" spans="20:21" ht="15" customHeight="1" x14ac:dyDescent="0.25">
      <c r="T5202" s="135"/>
      <c r="U5202" s="135"/>
    </row>
    <row r="5203" spans="20:21" ht="15" customHeight="1" x14ac:dyDescent="0.25">
      <c r="T5203" s="135"/>
      <c r="U5203" s="135"/>
    </row>
    <row r="5204" spans="20:21" ht="15" customHeight="1" x14ac:dyDescent="0.25">
      <c r="T5204" s="135"/>
      <c r="U5204" s="135"/>
    </row>
    <row r="5205" spans="20:21" ht="15" customHeight="1" x14ac:dyDescent="0.25">
      <c r="T5205" s="135"/>
      <c r="U5205" s="135"/>
    </row>
    <row r="5206" spans="20:21" ht="15" customHeight="1" x14ac:dyDescent="0.25">
      <c r="T5206" s="135"/>
      <c r="U5206" s="135"/>
    </row>
    <row r="5207" spans="20:21" ht="15" customHeight="1" x14ac:dyDescent="0.25">
      <c r="T5207" s="135"/>
      <c r="U5207" s="135"/>
    </row>
    <row r="5208" spans="20:21" ht="15" customHeight="1" x14ac:dyDescent="0.25">
      <c r="T5208" s="135"/>
      <c r="U5208" s="135"/>
    </row>
    <row r="5209" spans="20:21" ht="15" customHeight="1" x14ac:dyDescent="0.25">
      <c r="T5209" s="135"/>
      <c r="U5209" s="135"/>
    </row>
    <row r="5210" spans="20:21" ht="15" customHeight="1" x14ac:dyDescent="0.25">
      <c r="T5210" s="135"/>
      <c r="U5210" s="135"/>
    </row>
    <row r="5211" spans="20:21" ht="15" customHeight="1" x14ac:dyDescent="0.25">
      <c r="T5211" s="135"/>
      <c r="U5211" s="135"/>
    </row>
    <row r="5212" spans="20:21" ht="15" customHeight="1" x14ac:dyDescent="0.25">
      <c r="T5212" s="135"/>
      <c r="U5212" s="135"/>
    </row>
    <row r="5213" spans="20:21" ht="15" customHeight="1" x14ac:dyDescent="0.25">
      <c r="T5213" s="135"/>
      <c r="U5213" s="135"/>
    </row>
    <row r="5214" spans="20:21" ht="15" customHeight="1" x14ac:dyDescent="0.25">
      <c r="T5214" s="135"/>
      <c r="U5214" s="135"/>
    </row>
    <row r="5215" spans="20:21" ht="15" customHeight="1" x14ac:dyDescent="0.25">
      <c r="T5215" s="135"/>
      <c r="U5215" s="135"/>
    </row>
    <row r="5216" spans="20:21" ht="15" customHeight="1" x14ac:dyDescent="0.25">
      <c r="T5216" s="135"/>
      <c r="U5216" s="135"/>
    </row>
    <row r="5217" spans="20:21" ht="15" customHeight="1" x14ac:dyDescent="0.25">
      <c r="T5217" s="135"/>
      <c r="U5217" s="135"/>
    </row>
    <row r="5218" spans="20:21" ht="15" customHeight="1" x14ac:dyDescent="0.25">
      <c r="T5218" s="135"/>
      <c r="U5218" s="135"/>
    </row>
    <row r="5219" spans="20:21" ht="15" customHeight="1" x14ac:dyDescent="0.25">
      <c r="T5219" s="135"/>
      <c r="U5219" s="135"/>
    </row>
    <row r="5220" spans="20:21" ht="15" customHeight="1" x14ac:dyDescent="0.25">
      <c r="T5220" s="135"/>
      <c r="U5220" s="135"/>
    </row>
    <row r="5221" spans="20:21" ht="15" customHeight="1" x14ac:dyDescent="0.25">
      <c r="T5221" s="135"/>
      <c r="U5221" s="135"/>
    </row>
    <row r="5222" spans="20:21" ht="15" customHeight="1" x14ac:dyDescent="0.25">
      <c r="T5222" s="135"/>
      <c r="U5222" s="135"/>
    </row>
    <row r="5223" spans="20:21" ht="15" customHeight="1" x14ac:dyDescent="0.25">
      <c r="T5223" s="135"/>
      <c r="U5223" s="135"/>
    </row>
    <row r="5224" spans="20:21" ht="15" customHeight="1" x14ac:dyDescent="0.25">
      <c r="T5224" s="135"/>
      <c r="U5224" s="135"/>
    </row>
    <row r="5225" spans="20:21" ht="15" customHeight="1" x14ac:dyDescent="0.25">
      <c r="T5225" s="135"/>
      <c r="U5225" s="135"/>
    </row>
    <row r="5226" spans="20:21" ht="15" customHeight="1" x14ac:dyDescent="0.25">
      <c r="T5226" s="135"/>
      <c r="U5226" s="135"/>
    </row>
    <row r="5227" spans="20:21" ht="15" customHeight="1" x14ac:dyDescent="0.25">
      <c r="T5227" s="135"/>
      <c r="U5227" s="135"/>
    </row>
    <row r="5228" spans="20:21" ht="15" customHeight="1" x14ac:dyDescent="0.25">
      <c r="T5228" s="135"/>
      <c r="U5228" s="135"/>
    </row>
    <row r="5229" spans="20:21" ht="15" customHeight="1" x14ac:dyDescent="0.25">
      <c r="T5229" s="135"/>
      <c r="U5229" s="135"/>
    </row>
    <row r="5230" spans="20:21" ht="15" customHeight="1" x14ac:dyDescent="0.25">
      <c r="T5230" s="135"/>
      <c r="U5230" s="135"/>
    </row>
    <row r="5231" spans="20:21" ht="15" customHeight="1" x14ac:dyDescent="0.25">
      <c r="T5231" s="135"/>
      <c r="U5231" s="135"/>
    </row>
    <row r="5232" spans="20:21" ht="15" customHeight="1" x14ac:dyDescent="0.25">
      <c r="T5232" s="135"/>
      <c r="U5232" s="135"/>
    </row>
    <row r="5233" spans="20:21" ht="15" customHeight="1" x14ac:dyDescent="0.25">
      <c r="T5233" s="135"/>
      <c r="U5233" s="135"/>
    </row>
    <row r="5234" spans="20:21" ht="15" customHeight="1" x14ac:dyDescent="0.25">
      <c r="T5234" s="135"/>
      <c r="U5234" s="135"/>
    </row>
    <row r="5235" spans="20:21" ht="15" customHeight="1" x14ac:dyDescent="0.25">
      <c r="T5235" s="135"/>
      <c r="U5235" s="135"/>
    </row>
    <row r="5236" spans="20:21" ht="15" customHeight="1" x14ac:dyDescent="0.25">
      <c r="T5236" s="135"/>
      <c r="U5236" s="135"/>
    </row>
    <row r="5237" spans="20:21" ht="15" customHeight="1" x14ac:dyDescent="0.25">
      <c r="T5237" s="135"/>
      <c r="U5237" s="135"/>
    </row>
    <row r="5238" spans="20:21" ht="15" customHeight="1" x14ac:dyDescent="0.25">
      <c r="T5238" s="135"/>
      <c r="U5238" s="135"/>
    </row>
    <row r="5239" spans="20:21" ht="15" customHeight="1" x14ac:dyDescent="0.25">
      <c r="T5239" s="135"/>
      <c r="U5239" s="135"/>
    </row>
    <row r="5240" spans="20:21" ht="15" customHeight="1" x14ac:dyDescent="0.25">
      <c r="T5240" s="135"/>
      <c r="U5240" s="135"/>
    </row>
    <row r="5241" spans="20:21" ht="15" customHeight="1" x14ac:dyDescent="0.25">
      <c r="T5241" s="135"/>
      <c r="U5241" s="135"/>
    </row>
    <row r="5242" spans="20:21" ht="15" customHeight="1" x14ac:dyDescent="0.25">
      <c r="T5242" s="135"/>
      <c r="U5242" s="135"/>
    </row>
    <row r="5243" spans="20:21" ht="15" customHeight="1" x14ac:dyDescent="0.25">
      <c r="T5243" s="135"/>
      <c r="U5243" s="135"/>
    </row>
    <row r="5244" spans="20:21" ht="15" customHeight="1" x14ac:dyDescent="0.25">
      <c r="T5244" s="135"/>
      <c r="U5244" s="135"/>
    </row>
    <row r="5245" spans="20:21" ht="15" customHeight="1" x14ac:dyDescent="0.25">
      <c r="T5245" s="135"/>
      <c r="U5245" s="135"/>
    </row>
    <row r="5246" spans="20:21" ht="15" customHeight="1" x14ac:dyDescent="0.25">
      <c r="T5246" s="135"/>
      <c r="U5246" s="135"/>
    </row>
    <row r="5247" spans="20:21" ht="15" customHeight="1" x14ac:dyDescent="0.25">
      <c r="T5247" s="135"/>
      <c r="U5247" s="135"/>
    </row>
    <row r="5248" spans="20:21" ht="15" customHeight="1" x14ac:dyDescent="0.25">
      <c r="T5248" s="135"/>
      <c r="U5248" s="135"/>
    </row>
    <row r="5249" spans="20:21" ht="15" customHeight="1" x14ac:dyDescent="0.25">
      <c r="T5249" s="135"/>
      <c r="U5249" s="135"/>
    </row>
    <row r="5250" spans="20:21" ht="15" customHeight="1" x14ac:dyDescent="0.25">
      <c r="T5250" s="135"/>
      <c r="U5250" s="135"/>
    </row>
    <row r="5251" spans="20:21" ht="15" customHeight="1" x14ac:dyDescent="0.25">
      <c r="T5251" s="135"/>
      <c r="U5251" s="135"/>
    </row>
    <row r="5252" spans="20:21" ht="15" customHeight="1" x14ac:dyDescent="0.25">
      <c r="T5252" s="135"/>
      <c r="U5252" s="135"/>
    </row>
    <row r="5253" spans="20:21" ht="15" customHeight="1" x14ac:dyDescent="0.25">
      <c r="T5253" s="135"/>
      <c r="U5253" s="135"/>
    </row>
    <row r="5254" spans="20:21" ht="15" customHeight="1" x14ac:dyDescent="0.25">
      <c r="T5254" s="135"/>
      <c r="U5254" s="135"/>
    </row>
    <row r="5255" spans="20:21" ht="15" customHeight="1" x14ac:dyDescent="0.25">
      <c r="T5255" s="135"/>
      <c r="U5255" s="135"/>
    </row>
    <row r="5256" spans="20:21" ht="15" customHeight="1" x14ac:dyDescent="0.25">
      <c r="T5256" s="135"/>
      <c r="U5256" s="135"/>
    </row>
    <row r="5257" spans="20:21" ht="15" customHeight="1" x14ac:dyDescent="0.25">
      <c r="T5257" s="135"/>
      <c r="U5257" s="135"/>
    </row>
    <row r="5258" spans="20:21" ht="15" customHeight="1" x14ac:dyDescent="0.25">
      <c r="T5258" s="135"/>
      <c r="U5258" s="135"/>
    </row>
    <row r="5259" spans="20:21" ht="15" customHeight="1" x14ac:dyDescent="0.25">
      <c r="T5259" s="135"/>
      <c r="U5259" s="135"/>
    </row>
    <row r="5260" spans="20:21" ht="15" customHeight="1" x14ac:dyDescent="0.25">
      <c r="T5260" s="135"/>
      <c r="U5260" s="135"/>
    </row>
    <row r="5261" spans="20:21" ht="15" customHeight="1" x14ac:dyDescent="0.25">
      <c r="T5261" s="135"/>
      <c r="U5261" s="135"/>
    </row>
    <row r="5262" spans="20:21" ht="15" customHeight="1" x14ac:dyDescent="0.25">
      <c r="T5262" s="135"/>
      <c r="U5262" s="135"/>
    </row>
    <row r="5263" spans="20:21" ht="15" customHeight="1" x14ac:dyDescent="0.25">
      <c r="T5263" s="135"/>
      <c r="U5263" s="135"/>
    </row>
    <row r="5264" spans="20:21" ht="15" customHeight="1" x14ac:dyDescent="0.25">
      <c r="T5264" s="135"/>
      <c r="U5264" s="135"/>
    </row>
    <row r="5265" spans="20:21" ht="15" customHeight="1" x14ac:dyDescent="0.25">
      <c r="T5265" s="135"/>
      <c r="U5265" s="135"/>
    </row>
    <row r="5266" spans="20:21" ht="15" customHeight="1" x14ac:dyDescent="0.25">
      <c r="T5266" s="135"/>
      <c r="U5266" s="135"/>
    </row>
    <row r="5267" spans="20:21" ht="15" customHeight="1" x14ac:dyDescent="0.25">
      <c r="T5267" s="135"/>
      <c r="U5267" s="135"/>
    </row>
    <row r="5268" spans="20:21" ht="15" customHeight="1" x14ac:dyDescent="0.25">
      <c r="T5268" s="135"/>
      <c r="U5268" s="135"/>
    </row>
    <row r="5269" spans="20:21" ht="15" customHeight="1" x14ac:dyDescent="0.25">
      <c r="T5269" s="135"/>
      <c r="U5269" s="135"/>
    </row>
    <row r="5270" spans="20:21" ht="15" customHeight="1" x14ac:dyDescent="0.25">
      <c r="T5270" s="135"/>
      <c r="U5270" s="135"/>
    </row>
    <row r="5271" spans="20:21" ht="15" customHeight="1" x14ac:dyDescent="0.25">
      <c r="T5271" s="135"/>
      <c r="U5271" s="135"/>
    </row>
    <row r="5272" spans="20:21" ht="15" customHeight="1" x14ac:dyDescent="0.25">
      <c r="T5272" s="135"/>
      <c r="U5272" s="135"/>
    </row>
    <row r="5273" spans="20:21" ht="15" customHeight="1" x14ac:dyDescent="0.25">
      <c r="T5273" s="135"/>
      <c r="U5273" s="135"/>
    </row>
    <row r="5274" spans="20:21" ht="15" customHeight="1" x14ac:dyDescent="0.25">
      <c r="T5274" s="135"/>
      <c r="U5274" s="135"/>
    </row>
    <row r="5275" spans="20:21" ht="15" customHeight="1" x14ac:dyDescent="0.25">
      <c r="T5275" s="135"/>
      <c r="U5275" s="135"/>
    </row>
    <row r="5276" spans="20:21" ht="15" customHeight="1" x14ac:dyDescent="0.25">
      <c r="T5276" s="135"/>
      <c r="U5276" s="135"/>
    </row>
    <row r="5277" spans="20:21" ht="15" customHeight="1" x14ac:dyDescent="0.25">
      <c r="T5277" s="135"/>
      <c r="U5277" s="135"/>
    </row>
    <row r="5278" spans="20:21" ht="15" customHeight="1" x14ac:dyDescent="0.25">
      <c r="T5278" s="135"/>
      <c r="U5278" s="135"/>
    </row>
    <row r="5279" spans="20:21" ht="15" customHeight="1" x14ac:dyDescent="0.25">
      <c r="T5279" s="135"/>
      <c r="U5279" s="135"/>
    </row>
    <row r="5280" spans="20:21" ht="15" customHeight="1" x14ac:dyDescent="0.25">
      <c r="T5280" s="135"/>
      <c r="U5280" s="135"/>
    </row>
    <row r="5281" spans="20:21" ht="15" customHeight="1" x14ac:dyDescent="0.25">
      <c r="T5281" s="135"/>
      <c r="U5281" s="135"/>
    </row>
    <row r="5282" spans="20:21" ht="15" customHeight="1" x14ac:dyDescent="0.25">
      <c r="T5282" s="135"/>
      <c r="U5282" s="135"/>
    </row>
    <row r="5283" spans="20:21" ht="15" customHeight="1" x14ac:dyDescent="0.25">
      <c r="T5283" s="135"/>
      <c r="U5283" s="135"/>
    </row>
    <row r="5284" spans="20:21" ht="15" customHeight="1" x14ac:dyDescent="0.25">
      <c r="T5284" s="135"/>
      <c r="U5284" s="135"/>
    </row>
    <row r="5285" spans="20:21" ht="15" customHeight="1" x14ac:dyDescent="0.25">
      <c r="T5285" s="135"/>
      <c r="U5285" s="135"/>
    </row>
    <row r="5286" spans="20:21" ht="15" customHeight="1" x14ac:dyDescent="0.25">
      <c r="T5286" s="135"/>
      <c r="U5286" s="135"/>
    </row>
    <row r="5287" spans="20:21" ht="15" customHeight="1" x14ac:dyDescent="0.25">
      <c r="T5287" s="135"/>
      <c r="U5287" s="135"/>
    </row>
    <row r="5288" spans="20:21" ht="15" customHeight="1" x14ac:dyDescent="0.25">
      <c r="T5288" s="135"/>
      <c r="U5288" s="135"/>
    </row>
    <row r="5289" spans="20:21" ht="15" customHeight="1" x14ac:dyDescent="0.25">
      <c r="T5289" s="135"/>
      <c r="U5289" s="135"/>
    </row>
    <row r="5290" spans="20:21" ht="15" customHeight="1" x14ac:dyDescent="0.25">
      <c r="T5290" s="135"/>
      <c r="U5290" s="135"/>
    </row>
    <row r="5291" spans="20:21" ht="15" customHeight="1" x14ac:dyDescent="0.25">
      <c r="T5291" s="135"/>
      <c r="U5291" s="135"/>
    </row>
    <row r="5292" spans="20:21" ht="15" customHeight="1" x14ac:dyDescent="0.25">
      <c r="T5292" s="135"/>
      <c r="U5292" s="135"/>
    </row>
    <row r="5293" spans="20:21" ht="15" customHeight="1" x14ac:dyDescent="0.25">
      <c r="T5293" s="135"/>
      <c r="U5293" s="135"/>
    </row>
    <row r="5294" spans="20:21" ht="15" customHeight="1" x14ac:dyDescent="0.25">
      <c r="T5294" s="135"/>
      <c r="U5294" s="135"/>
    </row>
    <row r="5295" spans="20:21" ht="15" customHeight="1" x14ac:dyDescent="0.25">
      <c r="T5295" s="135"/>
      <c r="U5295" s="135"/>
    </row>
    <row r="5296" spans="20:21" ht="15" customHeight="1" x14ac:dyDescent="0.25">
      <c r="T5296" s="135"/>
      <c r="U5296" s="135"/>
    </row>
    <row r="5297" spans="20:21" ht="15" customHeight="1" x14ac:dyDescent="0.25">
      <c r="T5297" s="135"/>
      <c r="U5297" s="135"/>
    </row>
    <row r="5298" spans="20:21" ht="15" customHeight="1" x14ac:dyDescent="0.25">
      <c r="T5298" s="135"/>
      <c r="U5298" s="135"/>
    </row>
    <row r="5299" spans="20:21" ht="15" customHeight="1" x14ac:dyDescent="0.25">
      <c r="T5299" s="135"/>
      <c r="U5299" s="135"/>
    </row>
    <row r="5300" spans="20:21" ht="15" customHeight="1" x14ac:dyDescent="0.25">
      <c r="T5300" s="135"/>
      <c r="U5300" s="135"/>
    </row>
    <row r="5301" spans="20:21" ht="15" customHeight="1" x14ac:dyDescent="0.25">
      <c r="T5301" s="135"/>
      <c r="U5301" s="135"/>
    </row>
    <row r="5302" spans="20:21" ht="15" customHeight="1" x14ac:dyDescent="0.25">
      <c r="T5302" s="135"/>
      <c r="U5302" s="135"/>
    </row>
    <row r="5303" spans="20:21" ht="15" customHeight="1" x14ac:dyDescent="0.25">
      <c r="T5303" s="135"/>
      <c r="U5303" s="135"/>
    </row>
    <row r="5304" spans="20:21" ht="15" customHeight="1" x14ac:dyDescent="0.25">
      <c r="T5304" s="135"/>
      <c r="U5304" s="135"/>
    </row>
    <row r="5305" spans="20:21" ht="15" customHeight="1" x14ac:dyDescent="0.25">
      <c r="T5305" s="135"/>
      <c r="U5305" s="135"/>
    </row>
    <row r="5306" spans="20:21" ht="15" customHeight="1" x14ac:dyDescent="0.25">
      <c r="T5306" s="135"/>
      <c r="U5306" s="135"/>
    </row>
    <row r="5307" spans="20:21" ht="15" customHeight="1" x14ac:dyDescent="0.25">
      <c r="T5307" s="135"/>
      <c r="U5307" s="135"/>
    </row>
    <row r="5308" spans="20:21" ht="15" customHeight="1" x14ac:dyDescent="0.25">
      <c r="T5308" s="135"/>
      <c r="U5308" s="135"/>
    </row>
    <row r="5309" spans="20:21" ht="15" customHeight="1" x14ac:dyDescent="0.25">
      <c r="T5309" s="135"/>
      <c r="U5309" s="135"/>
    </row>
    <row r="5310" spans="20:21" ht="15" customHeight="1" x14ac:dyDescent="0.25">
      <c r="T5310" s="135"/>
      <c r="U5310" s="135"/>
    </row>
    <row r="5311" spans="20:21" ht="15" customHeight="1" x14ac:dyDescent="0.25">
      <c r="T5311" s="135"/>
      <c r="U5311" s="135"/>
    </row>
    <row r="5312" spans="20:21" ht="15" customHeight="1" x14ac:dyDescent="0.25">
      <c r="T5312" s="135"/>
      <c r="U5312" s="135"/>
    </row>
    <row r="5313" spans="20:21" ht="15" customHeight="1" x14ac:dyDescent="0.25">
      <c r="T5313" s="135"/>
      <c r="U5313" s="135"/>
    </row>
    <row r="5314" spans="20:21" ht="15" customHeight="1" x14ac:dyDescent="0.25">
      <c r="T5314" s="135"/>
      <c r="U5314" s="135"/>
    </row>
    <row r="5315" spans="20:21" ht="15" customHeight="1" x14ac:dyDescent="0.25">
      <c r="T5315" s="135"/>
      <c r="U5315" s="135"/>
    </row>
    <row r="5316" spans="20:21" ht="15" customHeight="1" x14ac:dyDescent="0.25">
      <c r="T5316" s="135"/>
      <c r="U5316" s="135"/>
    </row>
    <row r="5317" spans="20:21" ht="15" customHeight="1" x14ac:dyDescent="0.25">
      <c r="T5317" s="135"/>
      <c r="U5317" s="135"/>
    </row>
    <row r="5318" spans="20:21" ht="15" customHeight="1" x14ac:dyDescent="0.25">
      <c r="T5318" s="135"/>
      <c r="U5318" s="135"/>
    </row>
    <row r="5319" spans="20:21" ht="15" customHeight="1" x14ac:dyDescent="0.25">
      <c r="T5319" s="135"/>
      <c r="U5319" s="135"/>
    </row>
    <row r="5320" spans="20:21" ht="15" customHeight="1" x14ac:dyDescent="0.25">
      <c r="T5320" s="135"/>
      <c r="U5320" s="135"/>
    </row>
    <row r="5321" spans="20:21" ht="15" customHeight="1" x14ac:dyDescent="0.25">
      <c r="T5321" s="135"/>
      <c r="U5321" s="135"/>
    </row>
    <row r="5322" spans="20:21" ht="15" customHeight="1" x14ac:dyDescent="0.25">
      <c r="T5322" s="135"/>
      <c r="U5322" s="135"/>
    </row>
    <row r="5323" spans="20:21" ht="15" customHeight="1" x14ac:dyDescent="0.25">
      <c r="T5323" s="135"/>
      <c r="U5323" s="135"/>
    </row>
    <row r="5324" spans="20:21" ht="15" customHeight="1" x14ac:dyDescent="0.25">
      <c r="T5324" s="135"/>
      <c r="U5324" s="135"/>
    </row>
    <row r="5325" spans="20:21" ht="15" customHeight="1" x14ac:dyDescent="0.25">
      <c r="T5325" s="135"/>
      <c r="U5325" s="135"/>
    </row>
    <row r="5326" spans="20:21" ht="15" customHeight="1" x14ac:dyDescent="0.25">
      <c r="T5326" s="135"/>
      <c r="U5326" s="135"/>
    </row>
    <row r="5327" spans="20:21" ht="15" customHeight="1" x14ac:dyDescent="0.25">
      <c r="T5327" s="135"/>
      <c r="U5327" s="135"/>
    </row>
    <row r="5328" spans="20:21" ht="15" customHeight="1" x14ac:dyDescent="0.25">
      <c r="T5328" s="135"/>
      <c r="U5328" s="135"/>
    </row>
    <row r="5329" spans="20:21" ht="15" customHeight="1" x14ac:dyDescent="0.25">
      <c r="T5329" s="135"/>
      <c r="U5329" s="135"/>
    </row>
    <row r="5330" spans="20:21" ht="15" customHeight="1" x14ac:dyDescent="0.25">
      <c r="T5330" s="135"/>
      <c r="U5330" s="135"/>
    </row>
    <row r="5331" spans="20:21" ht="15" customHeight="1" x14ac:dyDescent="0.25">
      <c r="T5331" s="135"/>
      <c r="U5331" s="135"/>
    </row>
    <row r="5332" spans="20:21" ht="15" customHeight="1" x14ac:dyDescent="0.25">
      <c r="T5332" s="135"/>
      <c r="U5332" s="135"/>
    </row>
    <row r="5333" spans="20:21" ht="15" customHeight="1" x14ac:dyDescent="0.25">
      <c r="T5333" s="135"/>
      <c r="U5333" s="135"/>
    </row>
    <row r="5334" spans="20:21" ht="15" customHeight="1" x14ac:dyDescent="0.25">
      <c r="T5334" s="135"/>
      <c r="U5334" s="135"/>
    </row>
    <row r="5335" spans="20:21" ht="15" customHeight="1" x14ac:dyDescent="0.25">
      <c r="T5335" s="135"/>
      <c r="U5335" s="135"/>
    </row>
    <row r="5336" spans="20:21" ht="15" customHeight="1" x14ac:dyDescent="0.25">
      <c r="T5336" s="135"/>
      <c r="U5336" s="135"/>
    </row>
    <row r="5337" spans="20:21" ht="15" customHeight="1" x14ac:dyDescent="0.25">
      <c r="T5337" s="135"/>
      <c r="U5337" s="135"/>
    </row>
    <row r="5338" spans="20:21" ht="15" customHeight="1" x14ac:dyDescent="0.25">
      <c r="T5338" s="135"/>
      <c r="U5338" s="135"/>
    </row>
    <row r="5339" spans="20:21" ht="15" customHeight="1" x14ac:dyDescent="0.25">
      <c r="T5339" s="135"/>
      <c r="U5339" s="135"/>
    </row>
    <row r="5340" spans="20:21" ht="15" customHeight="1" x14ac:dyDescent="0.25">
      <c r="T5340" s="135"/>
      <c r="U5340" s="135"/>
    </row>
    <row r="5341" spans="20:21" ht="15" customHeight="1" x14ac:dyDescent="0.25">
      <c r="T5341" s="135"/>
      <c r="U5341" s="135"/>
    </row>
    <row r="5342" spans="20:21" ht="15" customHeight="1" x14ac:dyDescent="0.25">
      <c r="T5342" s="135"/>
      <c r="U5342" s="135"/>
    </row>
    <row r="5343" spans="20:21" ht="15" customHeight="1" x14ac:dyDescent="0.25">
      <c r="T5343" s="135"/>
      <c r="U5343" s="135"/>
    </row>
    <row r="5344" spans="20:21" ht="15" customHeight="1" x14ac:dyDescent="0.25">
      <c r="T5344" s="135"/>
      <c r="U5344" s="135"/>
    </row>
    <row r="5345" spans="20:21" ht="15" customHeight="1" x14ac:dyDescent="0.25">
      <c r="T5345" s="135"/>
      <c r="U5345" s="135"/>
    </row>
    <row r="5346" spans="20:21" ht="15" customHeight="1" x14ac:dyDescent="0.25">
      <c r="T5346" s="135"/>
      <c r="U5346" s="135"/>
    </row>
    <row r="5347" spans="20:21" ht="15" customHeight="1" x14ac:dyDescent="0.25">
      <c r="T5347" s="135"/>
      <c r="U5347" s="135"/>
    </row>
    <row r="5348" spans="20:21" ht="15" customHeight="1" x14ac:dyDescent="0.25">
      <c r="T5348" s="135"/>
      <c r="U5348" s="135"/>
    </row>
    <row r="5349" spans="20:21" ht="15" customHeight="1" x14ac:dyDescent="0.25">
      <c r="T5349" s="135"/>
      <c r="U5349" s="135"/>
    </row>
    <row r="5350" spans="20:21" ht="15" customHeight="1" x14ac:dyDescent="0.25">
      <c r="T5350" s="135"/>
      <c r="U5350" s="135"/>
    </row>
    <row r="5351" spans="20:21" ht="15" customHeight="1" x14ac:dyDescent="0.25">
      <c r="T5351" s="135"/>
      <c r="U5351" s="135"/>
    </row>
    <row r="5352" spans="20:21" ht="15" customHeight="1" x14ac:dyDescent="0.25">
      <c r="T5352" s="135"/>
      <c r="U5352" s="135"/>
    </row>
    <row r="5353" spans="20:21" ht="15" customHeight="1" x14ac:dyDescent="0.25">
      <c r="T5353" s="135"/>
      <c r="U5353" s="135"/>
    </row>
    <row r="5354" spans="20:21" ht="15" customHeight="1" x14ac:dyDescent="0.25">
      <c r="T5354" s="135"/>
      <c r="U5354" s="135"/>
    </row>
    <row r="5355" spans="20:21" ht="15" customHeight="1" x14ac:dyDescent="0.25">
      <c r="T5355" s="135"/>
      <c r="U5355" s="135"/>
    </row>
    <row r="5356" spans="20:21" ht="15" customHeight="1" x14ac:dyDescent="0.25">
      <c r="T5356" s="135"/>
      <c r="U5356" s="135"/>
    </row>
    <row r="5357" spans="20:21" ht="15" customHeight="1" x14ac:dyDescent="0.25">
      <c r="T5357" s="135"/>
      <c r="U5357" s="135"/>
    </row>
    <row r="5358" spans="20:21" ht="15" customHeight="1" x14ac:dyDescent="0.25">
      <c r="T5358" s="135"/>
      <c r="U5358" s="135"/>
    </row>
    <row r="5359" spans="20:21" ht="15" customHeight="1" x14ac:dyDescent="0.25">
      <c r="T5359" s="135"/>
      <c r="U5359" s="135"/>
    </row>
    <row r="5360" spans="20:21" ht="15" customHeight="1" x14ac:dyDescent="0.25">
      <c r="T5360" s="135"/>
      <c r="U5360" s="135"/>
    </row>
    <row r="5361" spans="20:21" ht="15" customHeight="1" x14ac:dyDescent="0.25">
      <c r="T5361" s="135"/>
      <c r="U5361" s="135"/>
    </row>
    <row r="5362" spans="20:21" ht="15" customHeight="1" x14ac:dyDescent="0.25">
      <c r="T5362" s="135"/>
      <c r="U5362" s="135"/>
    </row>
    <row r="5363" spans="20:21" ht="15" customHeight="1" x14ac:dyDescent="0.25">
      <c r="T5363" s="135"/>
      <c r="U5363" s="135"/>
    </row>
    <row r="5364" spans="20:21" ht="15" customHeight="1" x14ac:dyDescent="0.25">
      <c r="T5364" s="135"/>
      <c r="U5364" s="135"/>
    </row>
    <row r="5365" spans="20:21" ht="15" customHeight="1" x14ac:dyDescent="0.25">
      <c r="T5365" s="135"/>
      <c r="U5365" s="135"/>
    </row>
    <row r="5366" spans="20:21" ht="15" customHeight="1" x14ac:dyDescent="0.25">
      <c r="T5366" s="135"/>
      <c r="U5366" s="135"/>
    </row>
    <row r="5367" spans="20:21" ht="15" customHeight="1" x14ac:dyDescent="0.25">
      <c r="T5367" s="135"/>
      <c r="U5367" s="135"/>
    </row>
    <row r="5368" spans="20:21" ht="15" customHeight="1" x14ac:dyDescent="0.25">
      <c r="T5368" s="135"/>
      <c r="U5368" s="135"/>
    </row>
    <row r="5369" spans="20:21" ht="15" customHeight="1" x14ac:dyDescent="0.25">
      <c r="T5369" s="135"/>
      <c r="U5369" s="135"/>
    </row>
    <row r="5370" spans="20:21" ht="15" customHeight="1" x14ac:dyDescent="0.25">
      <c r="T5370" s="135"/>
      <c r="U5370" s="135"/>
    </row>
    <row r="5371" spans="20:21" ht="15" customHeight="1" x14ac:dyDescent="0.25">
      <c r="T5371" s="135"/>
      <c r="U5371" s="135"/>
    </row>
    <row r="5372" spans="20:21" ht="15" customHeight="1" x14ac:dyDescent="0.25">
      <c r="T5372" s="135"/>
      <c r="U5372" s="135"/>
    </row>
    <row r="5373" spans="20:21" ht="15" customHeight="1" x14ac:dyDescent="0.25">
      <c r="T5373" s="135"/>
      <c r="U5373" s="135"/>
    </row>
    <row r="5374" spans="20:21" ht="15" customHeight="1" x14ac:dyDescent="0.25">
      <c r="T5374" s="135"/>
      <c r="U5374" s="135"/>
    </row>
    <row r="5375" spans="20:21" ht="15" customHeight="1" x14ac:dyDescent="0.25">
      <c r="T5375" s="135"/>
      <c r="U5375" s="135"/>
    </row>
    <row r="5376" spans="20:21" ht="15" customHeight="1" x14ac:dyDescent="0.25">
      <c r="T5376" s="135"/>
      <c r="U5376" s="135"/>
    </row>
    <row r="5377" spans="20:21" ht="15" customHeight="1" x14ac:dyDescent="0.25">
      <c r="T5377" s="135"/>
      <c r="U5377" s="135"/>
    </row>
    <row r="5378" spans="20:21" ht="15" customHeight="1" x14ac:dyDescent="0.25">
      <c r="T5378" s="135"/>
      <c r="U5378" s="135"/>
    </row>
    <row r="5379" spans="20:21" ht="15" customHeight="1" x14ac:dyDescent="0.25">
      <c r="T5379" s="135"/>
      <c r="U5379" s="135"/>
    </row>
    <row r="5380" spans="20:21" ht="15" customHeight="1" x14ac:dyDescent="0.25">
      <c r="T5380" s="135"/>
      <c r="U5380" s="135"/>
    </row>
    <row r="5381" spans="20:21" ht="15" customHeight="1" x14ac:dyDescent="0.25">
      <c r="T5381" s="135"/>
      <c r="U5381" s="135"/>
    </row>
    <row r="5382" spans="20:21" ht="15" customHeight="1" x14ac:dyDescent="0.25">
      <c r="T5382" s="135"/>
      <c r="U5382" s="135"/>
    </row>
    <row r="5383" spans="20:21" ht="15" customHeight="1" x14ac:dyDescent="0.25">
      <c r="T5383" s="135"/>
      <c r="U5383" s="135"/>
    </row>
    <row r="5384" spans="20:21" ht="15" customHeight="1" x14ac:dyDescent="0.25">
      <c r="T5384" s="135"/>
      <c r="U5384" s="135"/>
    </row>
    <row r="5385" spans="20:21" ht="15" customHeight="1" x14ac:dyDescent="0.25">
      <c r="T5385" s="135"/>
      <c r="U5385" s="135"/>
    </row>
    <row r="5386" spans="20:21" ht="15" customHeight="1" x14ac:dyDescent="0.25">
      <c r="T5386" s="135"/>
      <c r="U5386" s="135"/>
    </row>
    <row r="5387" spans="20:21" ht="15" customHeight="1" x14ac:dyDescent="0.25">
      <c r="T5387" s="135"/>
      <c r="U5387" s="135"/>
    </row>
    <row r="5388" spans="20:21" ht="15" customHeight="1" x14ac:dyDescent="0.25">
      <c r="T5388" s="135"/>
      <c r="U5388" s="135"/>
    </row>
    <row r="5389" spans="20:21" ht="15" customHeight="1" x14ac:dyDescent="0.25">
      <c r="T5389" s="135"/>
      <c r="U5389" s="135"/>
    </row>
    <row r="5390" spans="20:21" ht="15" customHeight="1" x14ac:dyDescent="0.25">
      <c r="T5390" s="135"/>
      <c r="U5390" s="135"/>
    </row>
    <row r="5391" spans="20:21" ht="15" customHeight="1" x14ac:dyDescent="0.25">
      <c r="T5391" s="135"/>
      <c r="U5391" s="135"/>
    </row>
    <row r="5392" spans="20:21" ht="15" customHeight="1" x14ac:dyDescent="0.25">
      <c r="T5392" s="135"/>
      <c r="U5392" s="135"/>
    </row>
    <row r="5393" spans="20:21" ht="15" customHeight="1" x14ac:dyDescent="0.25">
      <c r="T5393" s="135"/>
      <c r="U5393" s="135"/>
    </row>
    <row r="5394" spans="20:21" ht="15" customHeight="1" x14ac:dyDescent="0.25">
      <c r="T5394" s="135"/>
      <c r="U5394" s="135"/>
    </row>
    <row r="5395" spans="20:21" ht="15" customHeight="1" x14ac:dyDescent="0.25">
      <c r="T5395" s="135"/>
      <c r="U5395" s="135"/>
    </row>
    <row r="5396" spans="20:21" ht="15" customHeight="1" x14ac:dyDescent="0.25">
      <c r="T5396" s="135"/>
      <c r="U5396" s="135"/>
    </row>
    <row r="5397" spans="20:21" ht="15" customHeight="1" x14ac:dyDescent="0.25">
      <c r="T5397" s="135"/>
      <c r="U5397" s="135"/>
    </row>
    <row r="5398" spans="20:21" ht="15" customHeight="1" x14ac:dyDescent="0.25">
      <c r="T5398" s="135"/>
      <c r="U5398" s="135"/>
    </row>
    <row r="5399" spans="20:21" ht="15" customHeight="1" x14ac:dyDescent="0.25">
      <c r="T5399" s="135"/>
      <c r="U5399" s="135"/>
    </row>
    <row r="5400" spans="20:21" ht="15" customHeight="1" x14ac:dyDescent="0.25">
      <c r="T5400" s="135"/>
      <c r="U5400" s="135"/>
    </row>
    <row r="5401" spans="20:21" ht="15" customHeight="1" x14ac:dyDescent="0.25">
      <c r="T5401" s="135"/>
      <c r="U5401" s="135"/>
    </row>
    <row r="5402" spans="20:21" ht="15" customHeight="1" x14ac:dyDescent="0.25">
      <c r="T5402" s="135"/>
      <c r="U5402" s="135"/>
    </row>
    <row r="5403" spans="20:21" ht="15" customHeight="1" x14ac:dyDescent="0.25">
      <c r="T5403" s="135"/>
      <c r="U5403" s="135"/>
    </row>
    <row r="5404" spans="20:21" ht="15" customHeight="1" x14ac:dyDescent="0.25">
      <c r="T5404" s="135"/>
      <c r="U5404" s="135"/>
    </row>
    <row r="5405" spans="20:21" ht="15" customHeight="1" x14ac:dyDescent="0.25">
      <c r="T5405" s="135"/>
      <c r="U5405" s="135"/>
    </row>
    <row r="5406" spans="20:21" ht="15" customHeight="1" x14ac:dyDescent="0.25">
      <c r="T5406" s="135"/>
      <c r="U5406" s="135"/>
    </row>
    <row r="5407" spans="20:21" ht="15" customHeight="1" x14ac:dyDescent="0.25">
      <c r="T5407" s="135"/>
      <c r="U5407" s="135"/>
    </row>
    <row r="5408" spans="20:21" ht="15" customHeight="1" x14ac:dyDescent="0.25">
      <c r="T5408" s="135"/>
      <c r="U5408" s="135"/>
    </row>
    <row r="5409" spans="20:21" ht="15" customHeight="1" x14ac:dyDescent="0.25">
      <c r="T5409" s="135"/>
      <c r="U5409" s="135"/>
    </row>
    <row r="5410" spans="20:21" ht="15" customHeight="1" x14ac:dyDescent="0.25">
      <c r="T5410" s="135"/>
      <c r="U5410" s="135"/>
    </row>
    <row r="5411" spans="20:21" ht="15" customHeight="1" x14ac:dyDescent="0.25">
      <c r="T5411" s="135"/>
      <c r="U5411" s="135"/>
    </row>
    <row r="5412" spans="20:21" ht="15" customHeight="1" x14ac:dyDescent="0.25">
      <c r="T5412" s="135"/>
      <c r="U5412" s="135"/>
    </row>
    <row r="5413" spans="20:21" ht="15" customHeight="1" x14ac:dyDescent="0.25">
      <c r="T5413" s="135"/>
      <c r="U5413" s="135"/>
    </row>
    <row r="5414" spans="20:21" ht="15" customHeight="1" x14ac:dyDescent="0.25">
      <c r="T5414" s="135"/>
      <c r="U5414" s="135"/>
    </row>
    <row r="5415" spans="20:21" ht="15" customHeight="1" x14ac:dyDescent="0.25">
      <c r="T5415" s="135"/>
      <c r="U5415" s="135"/>
    </row>
    <row r="5416" spans="20:21" ht="15" customHeight="1" x14ac:dyDescent="0.25">
      <c r="T5416" s="135"/>
      <c r="U5416" s="135"/>
    </row>
    <row r="5417" spans="20:21" ht="15" customHeight="1" x14ac:dyDescent="0.25">
      <c r="T5417" s="135"/>
      <c r="U5417" s="135"/>
    </row>
    <row r="5418" spans="20:21" ht="15" customHeight="1" x14ac:dyDescent="0.25">
      <c r="T5418" s="135"/>
      <c r="U5418" s="135"/>
    </row>
    <row r="5419" spans="20:21" ht="15" customHeight="1" x14ac:dyDescent="0.25">
      <c r="T5419" s="135"/>
      <c r="U5419" s="135"/>
    </row>
    <row r="5420" spans="20:21" ht="15" customHeight="1" x14ac:dyDescent="0.25">
      <c r="T5420" s="135"/>
      <c r="U5420" s="135"/>
    </row>
    <row r="5421" spans="20:21" ht="15" customHeight="1" x14ac:dyDescent="0.25">
      <c r="T5421" s="135"/>
      <c r="U5421" s="135"/>
    </row>
    <row r="5422" spans="20:21" ht="15" customHeight="1" x14ac:dyDescent="0.25">
      <c r="T5422" s="135"/>
      <c r="U5422" s="135"/>
    </row>
    <row r="5423" spans="20:21" ht="15" customHeight="1" x14ac:dyDescent="0.25">
      <c r="T5423" s="135"/>
      <c r="U5423" s="135"/>
    </row>
    <row r="5424" spans="20:21" ht="15" customHeight="1" x14ac:dyDescent="0.25">
      <c r="T5424" s="135"/>
      <c r="U5424" s="135"/>
    </row>
    <row r="5425" spans="20:21" ht="15" customHeight="1" x14ac:dyDescent="0.25">
      <c r="T5425" s="135"/>
      <c r="U5425" s="135"/>
    </row>
    <row r="5426" spans="20:21" ht="15" customHeight="1" x14ac:dyDescent="0.25">
      <c r="T5426" s="135"/>
      <c r="U5426" s="135"/>
    </row>
    <row r="5427" spans="20:21" ht="15" customHeight="1" x14ac:dyDescent="0.25">
      <c r="T5427" s="135"/>
      <c r="U5427" s="135"/>
    </row>
    <row r="5428" spans="20:21" ht="15" customHeight="1" x14ac:dyDescent="0.25">
      <c r="T5428" s="135"/>
      <c r="U5428" s="135"/>
    </row>
    <row r="5429" spans="20:21" ht="15" customHeight="1" x14ac:dyDescent="0.25">
      <c r="T5429" s="135"/>
      <c r="U5429" s="135"/>
    </row>
    <row r="5430" spans="20:21" ht="15" customHeight="1" x14ac:dyDescent="0.25">
      <c r="T5430" s="135"/>
      <c r="U5430" s="135"/>
    </row>
    <row r="5431" spans="20:21" ht="15" customHeight="1" x14ac:dyDescent="0.25">
      <c r="T5431" s="135"/>
      <c r="U5431" s="135"/>
    </row>
    <row r="5432" spans="20:21" ht="15" customHeight="1" x14ac:dyDescent="0.25">
      <c r="T5432" s="135"/>
      <c r="U5432" s="135"/>
    </row>
    <row r="5433" spans="20:21" ht="15" customHeight="1" x14ac:dyDescent="0.25">
      <c r="T5433" s="135"/>
      <c r="U5433" s="135"/>
    </row>
    <row r="5434" spans="20:21" ht="15" customHeight="1" x14ac:dyDescent="0.25">
      <c r="T5434" s="135"/>
      <c r="U5434" s="135"/>
    </row>
    <row r="5435" spans="20:21" ht="15" customHeight="1" x14ac:dyDescent="0.25">
      <c r="T5435" s="135"/>
      <c r="U5435" s="135"/>
    </row>
    <row r="5436" spans="20:21" ht="15" customHeight="1" x14ac:dyDescent="0.25">
      <c r="T5436" s="135"/>
      <c r="U5436" s="135"/>
    </row>
    <row r="5437" spans="20:21" ht="15" customHeight="1" x14ac:dyDescent="0.25">
      <c r="T5437" s="135"/>
      <c r="U5437" s="135"/>
    </row>
    <row r="5438" spans="20:21" ht="15" customHeight="1" x14ac:dyDescent="0.25">
      <c r="T5438" s="135"/>
      <c r="U5438" s="135"/>
    </row>
    <row r="5439" spans="20:21" ht="15" customHeight="1" x14ac:dyDescent="0.25">
      <c r="T5439" s="135"/>
      <c r="U5439" s="135"/>
    </row>
    <row r="5440" spans="20:21" ht="15" customHeight="1" x14ac:dyDescent="0.25">
      <c r="T5440" s="135"/>
      <c r="U5440" s="135"/>
    </row>
    <row r="5441" spans="20:21" ht="15" customHeight="1" x14ac:dyDescent="0.25">
      <c r="T5441" s="135"/>
      <c r="U5441" s="135"/>
    </row>
    <row r="5442" spans="20:21" ht="15" customHeight="1" x14ac:dyDescent="0.25">
      <c r="T5442" s="135"/>
      <c r="U5442" s="135"/>
    </row>
    <row r="5443" spans="20:21" ht="15" customHeight="1" x14ac:dyDescent="0.25">
      <c r="T5443" s="135"/>
      <c r="U5443" s="135"/>
    </row>
    <row r="5444" spans="20:21" ht="15" customHeight="1" x14ac:dyDescent="0.25">
      <c r="T5444" s="135"/>
      <c r="U5444" s="135"/>
    </row>
    <row r="5445" spans="20:21" ht="15" customHeight="1" x14ac:dyDescent="0.25">
      <c r="T5445" s="135"/>
      <c r="U5445" s="135"/>
    </row>
    <row r="5446" spans="20:21" ht="15" customHeight="1" x14ac:dyDescent="0.25">
      <c r="T5446" s="135"/>
      <c r="U5446" s="135"/>
    </row>
    <row r="5447" spans="20:21" ht="15" customHeight="1" x14ac:dyDescent="0.25">
      <c r="T5447" s="135"/>
      <c r="U5447" s="135"/>
    </row>
    <row r="5448" spans="20:21" ht="15" customHeight="1" x14ac:dyDescent="0.25">
      <c r="T5448" s="135"/>
      <c r="U5448" s="135"/>
    </row>
    <row r="5449" spans="20:21" ht="15" customHeight="1" x14ac:dyDescent="0.25">
      <c r="T5449" s="135"/>
      <c r="U5449" s="135"/>
    </row>
    <row r="5450" spans="20:21" ht="15" customHeight="1" x14ac:dyDescent="0.25">
      <c r="T5450" s="135"/>
      <c r="U5450" s="135"/>
    </row>
    <row r="5451" spans="20:21" ht="15" customHeight="1" x14ac:dyDescent="0.25">
      <c r="T5451" s="135"/>
      <c r="U5451" s="135"/>
    </row>
    <row r="5452" spans="20:21" ht="15" customHeight="1" x14ac:dyDescent="0.25">
      <c r="T5452" s="135"/>
      <c r="U5452" s="135"/>
    </row>
    <row r="5453" spans="20:21" ht="15" customHeight="1" x14ac:dyDescent="0.25">
      <c r="T5453" s="135"/>
      <c r="U5453" s="135"/>
    </row>
    <row r="5454" spans="20:21" ht="15" customHeight="1" x14ac:dyDescent="0.25">
      <c r="T5454" s="135"/>
      <c r="U5454" s="135"/>
    </row>
    <row r="5455" spans="20:21" ht="15" customHeight="1" x14ac:dyDescent="0.25">
      <c r="T5455" s="135"/>
      <c r="U5455" s="135"/>
    </row>
    <row r="5456" spans="20:21" ht="15" customHeight="1" x14ac:dyDescent="0.25">
      <c r="T5456" s="135"/>
      <c r="U5456" s="135"/>
    </row>
    <row r="5457" spans="20:21" ht="15" customHeight="1" x14ac:dyDescent="0.25">
      <c r="T5457" s="135"/>
      <c r="U5457" s="135"/>
    </row>
    <row r="5458" spans="20:21" ht="15" customHeight="1" x14ac:dyDescent="0.25">
      <c r="T5458" s="135"/>
      <c r="U5458" s="135"/>
    </row>
    <row r="5459" spans="20:21" ht="15" customHeight="1" x14ac:dyDescent="0.25">
      <c r="T5459" s="135"/>
      <c r="U5459" s="135"/>
    </row>
    <row r="5460" spans="20:21" ht="15" customHeight="1" x14ac:dyDescent="0.25">
      <c r="T5460" s="135"/>
      <c r="U5460" s="135"/>
    </row>
    <row r="5461" spans="20:21" ht="15" customHeight="1" x14ac:dyDescent="0.25">
      <c r="T5461" s="135"/>
      <c r="U5461" s="135"/>
    </row>
    <row r="5462" spans="20:21" ht="15" customHeight="1" x14ac:dyDescent="0.25">
      <c r="T5462" s="135"/>
      <c r="U5462" s="135"/>
    </row>
    <row r="5463" spans="20:21" ht="15" customHeight="1" x14ac:dyDescent="0.25">
      <c r="T5463" s="135"/>
      <c r="U5463" s="135"/>
    </row>
    <row r="5464" spans="20:21" ht="15" customHeight="1" x14ac:dyDescent="0.25">
      <c r="T5464" s="135"/>
      <c r="U5464" s="135"/>
    </row>
    <row r="5465" spans="20:21" ht="15" customHeight="1" x14ac:dyDescent="0.25">
      <c r="T5465" s="135"/>
      <c r="U5465" s="135"/>
    </row>
    <row r="5466" spans="20:21" ht="15" customHeight="1" x14ac:dyDescent="0.25">
      <c r="T5466" s="135"/>
      <c r="U5466" s="135"/>
    </row>
    <row r="5467" spans="20:21" ht="15" customHeight="1" x14ac:dyDescent="0.25">
      <c r="T5467" s="135"/>
      <c r="U5467" s="135"/>
    </row>
    <row r="5468" spans="20:21" ht="15" customHeight="1" x14ac:dyDescent="0.25">
      <c r="T5468" s="135"/>
      <c r="U5468" s="135"/>
    </row>
    <row r="5469" spans="20:21" ht="15" customHeight="1" x14ac:dyDescent="0.25">
      <c r="T5469" s="135"/>
      <c r="U5469" s="135"/>
    </row>
    <row r="5470" spans="20:21" ht="15" customHeight="1" x14ac:dyDescent="0.25">
      <c r="T5470" s="135"/>
      <c r="U5470" s="135"/>
    </row>
    <row r="5471" spans="20:21" ht="15" customHeight="1" x14ac:dyDescent="0.25">
      <c r="T5471" s="135"/>
      <c r="U5471" s="135"/>
    </row>
    <row r="5472" spans="20:21" ht="15" customHeight="1" x14ac:dyDescent="0.25">
      <c r="T5472" s="135"/>
      <c r="U5472" s="135"/>
    </row>
    <row r="5473" spans="20:21" ht="15" customHeight="1" x14ac:dyDescent="0.25">
      <c r="T5473" s="135"/>
      <c r="U5473" s="135"/>
    </row>
    <row r="5474" spans="20:21" ht="15" customHeight="1" x14ac:dyDescent="0.25">
      <c r="T5474" s="135"/>
      <c r="U5474" s="135"/>
    </row>
    <row r="5475" spans="20:21" ht="15" customHeight="1" x14ac:dyDescent="0.25">
      <c r="T5475" s="135"/>
      <c r="U5475" s="135"/>
    </row>
    <row r="5476" spans="20:21" ht="15" customHeight="1" x14ac:dyDescent="0.25">
      <c r="T5476" s="135"/>
      <c r="U5476" s="135"/>
    </row>
    <row r="5477" spans="20:21" ht="15" customHeight="1" x14ac:dyDescent="0.25">
      <c r="T5477" s="135"/>
      <c r="U5477" s="135"/>
    </row>
    <row r="5478" spans="20:21" ht="15" customHeight="1" x14ac:dyDescent="0.25">
      <c r="T5478" s="135"/>
      <c r="U5478" s="135"/>
    </row>
    <row r="5479" spans="20:21" ht="15" customHeight="1" x14ac:dyDescent="0.25">
      <c r="T5479" s="135"/>
      <c r="U5479" s="135"/>
    </row>
    <row r="5480" spans="20:21" ht="15" customHeight="1" x14ac:dyDescent="0.25">
      <c r="T5480" s="135"/>
      <c r="U5480" s="135"/>
    </row>
    <row r="5481" spans="20:21" ht="15" customHeight="1" x14ac:dyDescent="0.25">
      <c r="T5481" s="135"/>
      <c r="U5481" s="135"/>
    </row>
    <row r="5482" spans="20:21" ht="15" customHeight="1" x14ac:dyDescent="0.25">
      <c r="T5482" s="135"/>
      <c r="U5482" s="135"/>
    </row>
    <row r="5483" spans="20:21" ht="15" customHeight="1" x14ac:dyDescent="0.25">
      <c r="T5483" s="135"/>
      <c r="U5483" s="135"/>
    </row>
    <row r="5484" spans="20:21" ht="15" customHeight="1" x14ac:dyDescent="0.25">
      <c r="T5484" s="135"/>
      <c r="U5484" s="135"/>
    </row>
    <row r="5485" spans="20:21" ht="15" customHeight="1" x14ac:dyDescent="0.25">
      <c r="T5485" s="135"/>
      <c r="U5485" s="135"/>
    </row>
    <row r="5486" spans="20:21" ht="15" customHeight="1" x14ac:dyDescent="0.25">
      <c r="T5486" s="135"/>
      <c r="U5486" s="135"/>
    </row>
    <row r="5487" spans="20:21" ht="15" customHeight="1" x14ac:dyDescent="0.25">
      <c r="T5487" s="135"/>
      <c r="U5487" s="135"/>
    </row>
    <row r="5488" spans="20:21" ht="15" customHeight="1" x14ac:dyDescent="0.25">
      <c r="T5488" s="135"/>
      <c r="U5488" s="135"/>
    </row>
    <row r="5489" spans="20:21" ht="15" customHeight="1" x14ac:dyDescent="0.25">
      <c r="T5489" s="135"/>
      <c r="U5489" s="135"/>
    </row>
    <row r="5490" spans="20:21" ht="15" customHeight="1" x14ac:dyDescent="0.25">
      <c r="T5490" s="135"/>
      <c r="U5490" s="135"/>
    </row>
    <row r="5491" spans="20:21" ht="15" customHeight="1" x14ac:dyDescent="0.25">
      <c r="T5491" s="135"/>
      <c r="U5491" s="135"/>
    </row>
    <row r="5492" spans="20:21" ht="15" customHeight="1" x14ac:dyDescent="0.25">
      <c r="T5492" s="135"/>
      <c r="U5492" s="135"/>
    </row>
    <row r="5493" spans="20:21" ht="15" customHeight="1" x14ac:dyDescent="0.25">
      <c r="T5493" s="135"/>
      <c r="U5493" s="135"/>
    </row>
    <row r="5494" spans="20:21" ht="15" customHeight="1" x14ac:dyDescent="0.25">
      <c r="T5494" s="135"/>
      <c r="U5494" s="135"/>
    </row>
    <row r="5495" spans="20:21" ht="15" customHeight="1" x14ac:dyDescent="0.25">
      <c r="T5495" s="135"/>
      <c r="U5495" s="135"/>
    </row>
    <row r="5496" spans="20:21" ht="15" customHeight="1" x14ac:dyDescent="0.25">
      <c r="T5496" s="135"/>
      <c r="U5496" s="135"/>
    </row>
    <row r="5497" spans="20:21" ht="15" customHeight="1" x14ac:dyDescent="0.25">
      <c r="T5497" s="135"/>
      <c r="U5497" s="135"/>
    </row>
    <row r="5498" spans="20:21" ht="15" customHeight="1" x14ac:dyDescent="0.25">
      <c r="T5498" s="135"/>
      <c r="U5498" s="135"/>
    </row>
    <row r="5499" spans="20:21" ht="15" customHeight="1" x14ac:dyDescent="0.25">
      <c r="T5499" s="135"/>
      <c r="U5499" s="135"/>
    </row>
    <row r="5500" spans="20:21" ht="15" customHeight="1" x14ac:dyDescent="0.25">
      <c r="T5500" s="135"/>
      <c r="U5500" s="135"/>
    </row>
    <row r="5501" spans="20:21" ht="15" customHeight="1" x14ac:dyDescent="0.25">
      <c r="T5501" s="135"/>
      <c r="U5501" s="135"/>
    </row>
    <row r="5502" spans="20:21" ht="15" customHeight="1" x14ac:dyDescent="0.25">
      <c r="T5502" s="135"/>
      <c r="U5502" s="135"/>
    </row>
    <row r="5503" spans="20:21" ht="15" customHeight="1" x14ac:dyDescent="0.25">
      <c r="T5503" s="135"/>
      <c r="U5503" s="135"/>
    </row>
    <row r="5504" spans="20:21" ht="15" customHeight="1" x14ac:dyDescent="0.25">
      <c r="T5504" s="135"/>
      <c r="U5504" s="135"/>
    </row>
    <row r="5505" spans="20:21" ht="15" customHeight="1" x14ac:dyDescent="0.25">
      <c r="T5505" s="135"/>
      <c r="U5505" s="135"/>
    </row>
    <row r="5506" spans="20:21" ht="15" customHeight="1" x14ac:dyDescent="0.25">
      <c r="T5506" s="135"/>
      <c r="U5506" s="135"/>
    </row>
    <row r="5507" spans="20:21" ht="15" customHeight="1" x14ac:dyDescent="0.25">
      <c r="T5507" s="135"/>
      <c r="U5507" s="135"/>
    </row>
    <row r="5508" spans="20:21" ht="15" customHeight="1" x14ac:dyDescent="0.25">
      <c r="T5508" s="135"/>
      <c r="U5508" s="135"/>
    </row>
    <row r="5509" spans="20:21" ht="15" customHeight="1" x14ac:dyDescent="0.25">
      <c r="T5509" s="135"/>
      <c r="U5509" s="135"/>
    </row>
    <row r="5510" spans="20:21" ht="15" customHeight="1" x14ac:dyDescent="0.25">
      <c r="T5510" s="135"/>
      <c r="U5510" s="135"/>
    </row>
    <row r="5511" spans="20:21" ht="15" customHeight="1" x14ac:dyDescent="0.25">
      <c r="T5511" s="135"/>
      <c r="U5511" s="135"/>
    </row>
    <row r="5512" spans="20:21" ht="15" customHeight="1" x14ac:dyDescent="0.25">
      <c r="T5512" s="135"/>
      <c r="U5512" s="135"/>
    </row>
    <row r="5513" spans="20:21" ht="15" customHeight="1" x14ac:dyDescent="0.25">
      <c r="T5513" s="135"/>
      <c r="U5513" s="135"/>
    </row>
    <row r="5514" spans="20:21" ht="15" customHeight="1" x14ac:dyDescent="0.25">
      <c r="T5514" s="135"/>
      <c r="U5514" s="135"/>
    </row>
    <row r="5515" spans="20:21" ht="15" customHeight="1" x14ac:dyDescent="0.25">
      <c r="T5515" s="135"/>
      <c r="U5515" s="135"/>
    </row>
    <row r="5516" spans="20:21" ht="15" customHeight="1" x14ac:dyDescent="0.25">
      <c r="T5516" s="135"/>
      <c r="U5516" s="135"/>
    </row>
    <row r="5517" spans="20:21" ht="15" customHeight="1" x14ac:dyDescent="0.25">
      <c r="T5517" s="135"/>
      <c r="U5517" s="135"/>
    </row>
    <row r="5518" spans="20:21" ht="15" customHeight="1" x14ac:dyDescent="0.25">
      <c r="T5518" s="135"/>
      <c r="U5518" s="135"/>
    </row>
    <row r="5519" spans="20:21" ht="15" customHeight="1" x14ac:dyDescent="0.25">
      <c r="T5519" s="135"/>
      <c r="U5519" s="135"/>
    </row>
    <row r="5520" spans="20:21" ht="15" customHeight="1" x14ac:dyDescent="0.25">
      <c r="T5520" s="135"/>
      <c r="U5520" s="135"/>
    </row>
    <row r="5521" spans="20:21" ht="15" customHeight="1" x14ac:dyDescent="0.25">
      <c r="T5521" s="135"/>
      <c r="U5521" s="135"/>
    </row>
    <row r="5522" spans="20:21" ht="15" customHeight="1" x14ac:dyDescent="0.25">
      <c r="T5522" s="135"/>
      <c r="U5522" s="135"/>
    </row>
    <row r="5523" spans="20:21" ht="15" customHeight="1" x14ac:dyDescent="0.25">
      <c r="T5523" s="135"/>
      <c r="U5523" s="135"/>
    </row>
    <row r="5524" spans="20:21" ht="15" customHeight="1" x14ac:dyDescent="0.25">
      <c r="T5524" s="135"/>
      <c r="U5524" s="135"/>
    </row>
    <row r="5525" spans="20:21" ht="15" customHeight="1" x14ac:dyDescent="0.25">
      <c r="T5525" s="135"/>
      <c r="U5525" s="135"/>
    </row>
    <row r="5526" spans="20:21" ht="15" customHeight="1" x14ac:dyDescent="0.25">
      <c r="T5526" s="135"/>
      <c r="U5526" s="135"/>
    </row>
    <row r="5527" spans="20:21" ht="15" customHeight="1" x14ac:dyDescent="0.25">
      <c r="T5527" s="135"/>
      <c r="U5527" s="135"/>
    </row>
    <row r="5528" spans="20:21" ht="15" customHeight="1" x14ac:dyDescent="0.25">
      <c r="T5528" s="135"/>
      <c r="U5528" s="135"/>
    </row>
    <row r="5529" spans="20:21" ht="15" customHeight="1" x14ac:dyDescent="0.25">
      <c r="T5529" s="135"/>
      <c r="U5529" s="135"/>
    </row>
    <row r="5530" spans="20:21" ht="15" customHeight="1" x14ac:dyDescent="0.25">
      <c r="T5530" s="135"/>
      <c r="U5530" s="135"/>
    </row>
    <row r="5531" spans="20:21" ht="15" customHeight="1" x14ac:dyDescent="0.25">
      <c r="T5531" s="135"/>
      <c r="U5531" s="135"/>
    </row>
    <row r="5532" spans="20:21" ht="15" customHeight="1" x14ac:dyDescent="0.25">
      <c r="T5532" s="135"/>
      <c r="U5532" s="135"/>
    </row>
    <row r="5533" spans="20:21" ht="15" customHeight="1" x14ac:dyDescent="0.25">
      <c r="T5533" s="135"/>
      <c r="U5533" s="135"/>
    </row>
    <row r="5534" spans="20:21" ht="15" customHeight="1" x14ac:dyDescent="0.25">
      <c r="T5534" s="135"/>
      <c r="U5534" s="135"/>
    </row>
    <row r="5535" spans="20:21" ht="15" customHeight="1" x14ac:dyDescent="0.25">
      <c r="T5535" s="135"/>
      <c r="U5535" s="135"/>
    </row>
    <row r="5536" spans="20:21" ht="15" customHeight="1" x14ac:dyDescent="0.25">
      <c r="T5536" s="135"/>
      <c r="U5536" s="135"/>
    </row>
    <row r="5537" spans="20:21" ht="15" customHeight="1" x14ac:dyDescent="0.25">
      <c r="T5537" s="135"/>
      <c r="U5537" s="135"/>
    </row>
    <row r="5538" spans="20:21" ht="15" customHeight="1" x14ac:dyDescent="0.25">
      <c r="T5538" s="135"/>
      <c r="U5538" s="135"/>
    </row>
    <row r="5539" spans="20:21" ht="15" customHeight="1" x14ac:dyDescent="0.25">
      <c r="T5539" s="135"/>
      <c r="U5539" s="135"/>
    </row>
    <row r="5540" spans="20:21" ht="15" customHeight="1" x14ac:dyDescent="0.25">
      <c r="T5540" s="135"/>
      <c r="U5540" s="135"/>
    </row>
    <row r="5541" spans="20:21" ht="15" customHeight="1" x14ac:dyDescent="0.25">
      <c r="T5541" s="135"/>
      <c r="U5541" s="135"/>
    </row>
    <row r="5542" spans="20:21" ht="15" customHeight="1" x14ac:dyDescent="0.25">
      <c r="T5542" s="135"/>
      <c r="U5542" s="135"/>
    </row>
    <row r="5543" spans="20:21" ht="15" customHeight="1" x14ac:dyDescent="0.25">
      <c r="T5543" s="135"/>
      <c r="U5543" s="135"/>
    </row>
    <row r="5544" spans="20:21" ht="15" customHeight="1" x14ac:dyDescent="0.25">
      <c r="T5544" s="135"/>
      <c r="U5544" s="135"/>
    </row>
    <row r="5545" spans="20:21" ht="15" customHeight="1" x14ac:dyDescent="0.25">
      <c r="T5545" s="135"/>
      <c r="U5545" s="135"/>
    </row>
    <row r="5546" spans="20:21" ht="15" customHeight="1" x14ac:dyDescent="0.25">
      <c r="T5546" s="135"/>
      <c r="U5546" s="135"/>
    </row>
    <row r="5547" spans="20:21" ht="15" customHeight="1" x14ac:dyDescent="0.25">
      <c r="T5547" s="135"/>
      <c r="U5547" s="135"/>
    </row>
    <row r="5548" spans="20:21" ht="15" customHeight="1" x14ac:dyDescent="0.25">
      <c r="T5548" s="135"/>
      <c r="U5548" s="135"/>
    </row>
    <row r="5549" spans="20:21" ht="15" customHeight="1" x14ac:dyDescent="0.25">
      <c r="T5549" s="135"/>
      <c r="U5549" s="135"/>
    </row>
    <row r="5550" spans="20:21" ht="15" customHeight="1" x14ac:dyDescent="0.25">
      <c r="T5550" s="135"/>
      <c r="U5550" s="135"/>
    </row>
    <row r="5551" spans="20:21" ht="15" customHeight="1" x14ac:dyDescent="0.25">
      <c r="T5551" s="135"/>
      <c r="U5551" s="135"/>
    </row>
    <row r="5552" spans="20:21" ht="15" customHeight="1" x14ac:dyDescent="0.25">
      <c r="T5552" s="135"/>
      <c r="U5552" s="135"/>
    </row>
    <row r="5553" spans="20:21" ht="15" customHeight="1" x14ac:dyDescent="0.25">
      <c r="T5553" s="135"/>
      <c r="U5553" s="135"/>
    </row>
    <row r="5554" spans="20:21" ht="15" customHeight="1" x14ac:dyDescent="0.25">
      <c r="T5554" s="135"/>
      <c r="U5554" s="135"/>
    </row>
    <row r="5555" spans="20:21" ht="15" customHeight="1" x14ac:dyDescent="0.25">
      <c r="T5555" s="135"/>
      <c r="U5555" s="135"/>
    </row>
    <row r="5556" spans="20:21" ht="15" customHeight="1" x14ac:dyDescent="0.25">
      <c r="T5556" s="135"/>
      <c r="U5556" s="135"/>
    </row>
    <row r="5557" spans="20:21" ht="15" customHeight="1" x14ac:dyDescent="0.25">
      <c r="T5557" s="135"/>
      <c r="U5557" s="135"/>
    </row>
    <row r="5558" spans="20:21" ht="15" customHeight="1" x14ac:dyDescent="0.25">
      <c r="T5558" s="135"/>
      <c r="U5558" s="135"/>
    </row>
    <row r="5559" spans="20:21" ht="15" customHeight="1" x14ac:dyDescent="0.25">
      <c r="T5559" s="135"/>
      <c r="U5559" s="135"/>
    </row>
    <row r="5560" spans="20:21" ht="15" customHeight="1" x14ac:dyDescent="0.25">
      <c r="T5560" s="135"/>
      <c r="U5560" s="135"/>
    </row>
    <row r="5561" spans="20:21" ht="15" customHeight="1" x14ac:dyDescent="0.25">
      <c r="T5561" s="135"/>
      <c r="U5561" s="135"/>
    </row>
    <row r="5562" spans="20:21" ht="15" customHeight="1" x14ac:dyDescent="0.25">
      <c r="T5562" s="135"/>
      <c r="U5562" s="135"/>
    </row>
    <row r="5563" spans="20:21" ht="15" customHeight="1" x14ac:dyDescent="0.25">
      <c r="T5563" s="135"/>
      <c r="U5563" s="135"/>
    </row>
    <row r="5564" spans="20:21" ht="15" customHeight="1" x14ac:dyDescent="0.25">
      <c r="T5564" s="135"/>
      <c r="U5564" s="135"/>
    </row>
    <row r="5565" spans="20:21" ht="15" customHeight="1" x14ac:dyDescent="0.25">
      <c r="T5565" s="135"/>
      <c r="U5565" s="135"/>
    </row>
    <row r="5566" spans="20:21" ht="15" customHeight="1" x14ac:dyDescent="0.25">
      <c r="T5566" s="135"/>
      <c r="U5566" s="135"/>
    </row>
    <row r="5567" spans="20:21" ht="15" customHeight="1" x14ac:dyDescent="0.25">
      <c r="T5567" s="135"/>
      <c r="U5567" s="135"/>
    </row>
    <row r="5568" spans="20:21" ht="15" customHeight="1" x14ac:dyDescent="0.25">
      <c r="T5568" s="135"/>
      <c r="U5568" s="135"/>
    </row>
    <row r="5569" spans="20:21" ht="15" customHeight="1" x14ac:dyDescent="0.25">
      <c r="T5569" s="135"/>
      <c r="U5569" s="135"/>
    </row>
    <row r="5570" spans="20:21" ht="15" customHeight="1" x14ac:dyDescent="0.25">
      <c r="T5570" s="135"/>
      <c r="U5570" s="135"/>
    </row>
    <row r="5571" spans="20:21" ht="15" customHeight="1" x14ac:dyDescent="0.25">
      <c r="T5571" s="135"/>
      <c r="U5571" s="135"/>
    </row>
    <row r="5572" spans="20:21" ht="15" customHeight="1" x14ac:dyDescent="0.25">
      <c r="T5572" s="135"/>
      <c r="U5572" s="135"/>
    </row>
    <row r="5573" spans="20:21" ht="15" customHeight="1" x14ac:dyDescent="0.25">
      <c r="T5573" s="135"/>
      <c r="U5573" s="135"/>
    </row>
    <row r="5574" spans="20:21" ht="15" customHeight="1" x14ac:dyDescent="0.25">
      <c r="T5574" s="135"/>
      <c r="U5574" s="135"/>
    </row>
    <row r="5575" spans="20:21" ht="15" customHeight="1" x14ac:dyDescent="0.25">
      <c r="T5575" s="135"/>
      <c r="U5575" s="135"/>
    </row>
    <row r="5576" spans="20:21" ht="15" customHeight="1" x14ac:dyDescent="0.25">
      <c r="T5576" s="135"/>
      <c r="U5576" s="135"/>
    </row>
    <row r="5577" spans="20:21" ht="15" customHeight="1" x14ac:dyDescent="0.25">
      <c r="T5577" s="135"/>
      <c r="U5577" s="135"/>
    </row>
    <row r="5578" spans="20:21" ht="15" customHeight="1" x14ac:dyDescent="0.25">
      <c r="T5578" s="135"/>
      <c r="U5578" s="135"/>
    </row>
    <row r="5579" spans="20:21" ht="15" customHeight="1" x14ac:dyDescent="0.25">
      <c r="T5579" s="135"/>
      <c r="U5579" s="135"/>
    </row>
    <row r="5580" spans="20:21" ht="15" customHeight="1" x14ac:dyDescent="0.25">
      <c r="T5580" s="135"/>
      <c r="U5580" s="135"/>
    </row>
    <row r="5581" spans="20:21" ht="15" customHeight="1" x14ac:dyDescent="0.25">
      <c r="T5581" s="135"/>
      <c r="U5581" s="135"/>
    </row>
    <row r="5582" spans="20:21" ht="15" customHeight="1" x14ac:dyDescent="0.25">
      <c r="T5582" s="135"/>
      <c r="U5582" s="135"/>
    </row>
    <row r="5583" spans="20:21" ht="15" customHeight="1" x14ac:dyDescent="0.25">
      <c r="T5583" s="135"/>
      <c r="U5583" s="135"/>
    </row>
    <row r="5584" spans="20:21" ht="15" customHeight="1" x14ac:dyDescent="0.25">
      <c r="T5584" s="135"/>
      <c r="U5584" s="135"/>
    </row>
    <row r="5585" spans="20:21" ht="15" customHeight="1" x14ac:dyDescent="0.25">
      <c r="T5585" s="135"/>
      <c r="U5585" s="135"/>
    </row>
    <row r="5586" spans="20:21" ht="15" customHeight="1" x14ac:dyDescent="0.25">
      <c r="T5586" s="135"/>
      <c r="U5586" s="135"/>
    </row>
    <row r="5587" spans="20:21" ht="15" customHeight="1" x14ac:dyDescent="0.25">
      <c r="T5587" s="135"/>
      <c r="U5587" s="135"/>
    </row>
    <row r="5588" spans="20:21" ht="15" customHeight="1" x14ac:dyDescent="0.25">
      <c r="T5588" s="135"/>
      <c r="U5588" s="135"/>
    </row>
    <row r="5589" spans="20:21" ht="15" customHeight="1" x14ac:dyDescent="0.25">
      <c r="T5589" s="135"/>
      <c r="U5589" s="135"/>
    </row>
    <row r="5590" spans="20:21" ht="15" customHeight="1" x14ac:dyDescent="0.25">
      <c r="T5590" s="135"/>
      <c r="U5590" s="135"/>
    </row>
    <row r="5591" spans="20:21" ht="15" customHeight="1" x14ac:dyDescent="0.25">
      <c r="T5591" s="135"/>
      <c r="U5591" s="135"/>
    </row>
    <row r="5592" spans="20:21" ht="15" customHeight="1" x14ac:dyDescent="0.25">
      <c r="T5592" s="135"/>
      <c r="U5592" s="135"/>
    </row>
    <row r="5593" spans="20:21" ht="15" customHeight="1" x14ac:dyDescent="0.25">
      <c r="T5593" s="135"/>
      <c r="U5593" s="135"/>
    </row>
    <row r="5594" spans="20:21" ht="15" customHeight="1" x14ac:dyDescent="0.25">
      <c r="T5594" s="135"/>
      <c r="U5594" s="135"/>
    </row>
    <row r="5595" spans="20:21" ht="15" customHeight="1" x14ac:dyDescent="0.25">
      <c r="T5595" s="135"/>
      <c r="U5595" s="135"/>
    </row>
    <row r="5596" spans="20:21" ht="15" customHeight="1" x14ac:dyDescent="0.25">
      <c r="T5596" s="135"/>
      <c r="U5596" s="135"/>
    </row>
    <row r="5597" spans="20:21" ht="15" customHeight="1" x14ac:dyDescent="0.25">
      <c r="T5597" s="135"/>
      <c r="U5597" s="135"/>
    </row>
    <row r="5598" spans="20:21" ht="15" customHeight="1" x14ac:dyDescent="0.25">
      <c r="T5598" s="135"/>
      <c r="U5598" s="135"/>
    </row>
    <row r="5599" spans="20:21" ht="15" customHeight="1" x14ac:dyDescent="0.25">
      <c r="T5599" s="135"/>
      <c r="U5599" s="135"/>
    </row>
    <row r="5600" spans="20:21" ht="15" customHeight="1" x14ac:dyDescent="0.25">
      <c r="T5600" s="135"/>
      <c r="U5600" s="135"/>
    </row>
    <row r="5601" spans="20:21" ht="15" customHeight="1" x14ac:dyDescent="0.25">
      <c r="T5601" s="135"/>
      <c r="U5601" s="135"/>
    </row>
    <row r="5602" spans="20:21" ht="15" customHeight="1" x14ac:dyDescent="0.25">
      <c r="T5602" s="135"/>
      <c r="U5602" s="135"/>
    </row>
    <row r="5603" spans="20:21" ht="15" customHeight="1" x14ac:dyDescent="0.25">
      <c r="T5603" s="135"/>
      <c r="U5603" s="135"/>
    </row>
    <row r="5604" spans="20:21" ht="15" customHeight="1" x14ac:dyDescent="0.25">
      <c r="T5604" s="135"/>
      <c r="U5604" s="135"/>
    </row>
    <row r="5605" spans="20:21" ht="15" customHeight="1" x14ac:dyDescent="0.25">
      <c r="T5605" s="135"/>
      <c r="U5605" s="135"/>
    </row>
    <row r="5606" spans="20:21" ht="15" customHeight="1" x14ac:dyDescent="0.25">
      <c r="T5606" s="135"/>
      <c r="U5606" s="135"/>
    </row>
    <row r="5607" spans="20:21" ht="15" customHeight="1" x14ac:dyDescent="0.25">
      <c r="T5607" s="135"/>
      <c r="U5607" s="135"/>
    </row>
    <row r="5608" spans="20:21" ht="15" customHeight="1" x14ac:dyDescent="0.25">
      <c r="T5608" s="135"/>
      <c r="U5608" s="135"/>
    </row>
    <row r="5609" spans="20:21" ht="15" customHeight="1" x14ac:dyDescent="0.25">
      <c r="T5609" s="135"/>
      <c r="U5609" s="135"/>
    </row>
    <row r="5610" spans="20:21" ht="15" customHeight="1" x14ac:dyDescent="0.25">
      <c r="T5610" s="135"/>
      <c r="U5610" s="135"/>
    </row>
    <row r="5611" spans="20:21" ht="15" customHeight="1" x14ac:dyDescent="0.25">
      <c r="T5611" s="135"/>
      <c r="U5611" s="135"/>
    </row>
    <row r="5612" spans="20:21" ht="15" customHeight="1" x14ac:dyDescent="0.25">
      <c r="T5612" s="135"/>
      <c r="U5612" s="135"/>
    </row>
    <row r="5613" spans="20:21" ht="15" customHeight="1" x14ac:dyDescent="0.25">
      <c r="T5613" s="135"/>
      <c r="U5613" s="135"/>
    </row>
    <row r="5614" spans="20:21" ht="15" customHeight="1" x14ac:dyDescent="0.25">
      <c r="T5614" s="135"/>
      <c r="U5614" s="135"/>
    </row>
    <row r="5615" spans="20:21" ht="15" customHeight="1" x14ac:dyDescent="0.25">
      <c r="T5615" s="135"/>
      <c r="U5615" s="135"/>
    </row>
    <row r="5616" spans="20:21" ht="15" customHeight="1" x14ac:dyDescent="0.25">
      <c r="T5616" s="135"/>
      <c r="U5616" s="135"/>
    </row>
    <row r="5617" spans="20:21" ht="15" customHeight="1" x14ac:dyDescent="0.25">
      <c r="T5617" s="135"/>
      <c r="U5617" s="135"/>
    </row>
    <row r="5618" spans="20:21" ht="15" customHeight="1" x14ac:dyDescent="0.25">
      <c r="T5618" s="135"/>
      <c r="U5618" s="135"/>
    </row>
    <row r="5619" spans="20:21" ht="15" customHeight="1" x14ac:dyDescent="0.25">
      <c r="T5619" s="135"/>
      <c r="U5619" s="135"/>
    </row>
    <row r="5620" spans="20:21" ht="15" customHeight="1" x14ac:dyDescent="0.25">
      <c r="T5620" s="135"/>
      <c r="U5620" s="135"/>
    </row>
    <row r="5621" spans="20:21" ht="15" customHeight="1" x14ac:dyDescent="0.25">
      <c r="T5621" s="135"/>
      <c r="U5621" s="135"/>
    </row>
    <row r="5622" spans="20:21" ht="15" customHeight="1" x14ac:dyDescent="0.25">
      <c r="T5622" s="135"/>
      <c r="U5622" s="135"/>
    </row>
    <row r="5623" spans="20:21" ht="15" customHeight="1" x14ac:dyDescent="0.25">
      <c r="T5623" s="135"/>
      <c r="U5623" s="135"/>
    </row>
    <row r="5624" spans="20:21" ht="15" customHeight="1" x14ac:dyDescent="0.25">
      <c r="T5624" s="135"/>
      <c r="U5624" s="135"/>
    </row>
    <row r="5625" spans="20:21" ht="15" customHeight="1" x14ac:dyDescent="0.25">
      <c r="T5625" s="135"/>
      <c r="U5625" s="135"/>
    </row>
    <row r="5626" spans="20:21" ht="15" customHeight="1" x14ac:dyDescent="0.25">
      <c r="T5626" s="135"/>
      <c r="U5626" s="135"/>
    </row>
    <row r="5627" spans="20:21" ht="15" customHeight="1" x14ac:dyDescent="0.25">
      <c r="T5627" s="135"/>
      <c r="U5627" s="135"/>
    </row>
    <row r="5628" spans="20:21" ht="15" customHeight="1" x14ac:dyDescent="0.25">
      <c r="T5628" s="135"/>
      <c r="U5628" s="135"/>
    </row>
    <row r="5629" spans="20:21" ht="15" customHeight="1" x14ac:dyDescent="0.25">
      <c r="T5629" s="135"/>
      <c r="U5629" s="135"/>
    </row>
    <row r="5630" spans="20:21" ht="15" customHeight="1" x14ac:dyDescent="0.25">
      <c r="T5630" s="135"/>
      <c r="U5630" s="135"/>
    </row>
    <row r="5631" spans="20:21" ht="15" customHeight="1" x14ac:dyDescent="0.25">
      <c r="T5631" s="135"/>
      <c r="U5631" s="135"/>
    </row>
    <row r="5632" spans="20:21" ht="15" customHeight="1" x14ac:dyDescent="0.25">
      <c r="T5632" s="135"/>
      <c r="U5632" s="135"/>
    </row>
    <row r="5633" spans="20:21" ht="15" customHeight="1" x14ac:dyDescent="0.25">
      <c r="T5633" s="135"/>
      <c r="U5633" s="135"/>
    </row>
    <row r="5634" spans="20:21" ht="15" customHeight="1" x14ac:dyDescent="0.25">
      <c r="T5634" s="135"/>
      <c r="U5634" s="135"/>
    </row>
    <row r="5635" spans="20:21" ht="15" customHeight="1" x14ac:dyDescent="0.25">
      <c r="T5635" s="135"/>
      <c r="U5635" s="135"/>
    </row>
    <row r="5636" spans="20:21" ht="15" customHeight="1" x14ac:dyDescent="0.25">
      <c r="T5636" s="135"/>
      <c r="U5636" s="135"/>
    </row>
    <row r="5637" spans="20:21" ht="15" customHeight="1" x14ac:dyDescent="0.25">
      <c r="T5637" s="135"/>
      <c r="U5637" s="135"/>
    </row>
    <row r="5638" spans="20:21" ht="15" customHeight="1" x14ac:dyDescent="0.25">
      <c r="T5638" s="135"/>
      <c r="U5638" s="135"/>
    </row>
    <row r="5639" spans="20:21" ht="15" customHeight="1" x14ac:dyDescent="0.25">
      <c r="T5639" s="135"/>
      <c r="U5639" s="135"/>
    </row>
    <row r="5640" spans="20:21" ht="15" customHeight="1" x14ac:dyDescent="0.25">
      <c r="T5640" s="135"/>
      <c r="U5640" s="135"/>
    </row>
    <row r="5641" spans="20:21" ht="15" customHeight="1" x14ac:dyDescent="0.25">
      <c r="T5641" s="135"/>
      <c r="U5641" s="135"/>
    </row>
    <row r="5642" spans="20:21" ht="15" customHeight="1" x14ac:dyDescent="0.25">
      <c r="T5642" s="135"/>
      <c r="U5642" s="135"/>
    </row>
    <row r="5643" spans="20:21" ht="15" customHeight="1" x14ac:dyDescent="0.25">
      <c r="T5643" s="135"/>
      <c r="U5643" s="135"/>
    </row>
    <row r="5644" spans="20:21" ht="15" customHeight="1" x14ac:dyDescent="0.25">
      <c r="T5644" s="135"/>
      <c r="U5644" s="135"/>
    </row>
    <row r="5645" spans="20:21" ht="15" customHeight="1" x14ac:dyDescent="0.25">
      <c r="T5645" s="135"/>
      <c r="U5645" s="135"/>
    </row>
    <row r="5646" spans="20:21" ht="15" customHeight="1" x14ac:dyDescent="0.25">
      <c r="T5646" s="135"/>
      <c r="U5646" s="135"/>
    </row>
    <row r="5647" spans="20:21" ht="15" customHeight="1" x14ac:dyDescent="0.25">
      <c r="T5647" s="135"/>
      <c r="U5647" s="135"/>
    </row>
    <row r="5648" spans="20:21" ht="15" customHeight="1" x14ac:dyDescent="0.25">
      <c r="T5648" s="135"/>
      <c r="U5648" s="135"/>
    </row>
    <row r="5649" spans="20:21" ht="15" customHeight="1" x14ac:dyDescent="0.25">
      <c r="T5649" s="135"/>
      <c r="U5649" s="135"/>
    </row>
    <row r="5650" spans="20:21" ht="15" customHeight="1" x14ac:dyDescent="0.25">
      <c r="T5650" s="135"/>
      <c r="U5650" s="135"/>
    </row>
    <row r="5651" spans="20:21" ht="15" customHeight="1" x14ac:dyDescent="0.25">
      <c r="T5651" s="135"/>
      <c r="U5651" s="135"/>
    </row>
    <row r="5652" spans="20:21" ht="15" customHeight="1" x14ac:dyDescent="0.25">
      <c r="T5652" s="135"/>
      <c r="U5652" s="135"/>
    </row>
    <row r="5653" spans="20:21" ht="15" customHeight="1" x14ac:dyDescent="0.25">
      <c r="T5653" s="135"/>
      <c r="U5653" s="135"/>
    </row>
    <row r="5654" spans="20:21" ht="15" customHeight="1" x14ac:dyDescent="0.25">
      <c r="T5654" s="135"/>
      <c r="U5654" s="135"/>
    </row>
    <row r="5655" spans="20:21" ht="15" customHeight="1" x14ac:dyDescent="0.25">
      <c r="T5655" s="135"/>
      <c r="U5655" s="135"/>
    </row>
    <row r="5656" spans="20:21" ht="15" customHeight="1" x14ac:dyDescent="0.25">
      <c r="T5656" s="135"/>
      <c r="U5656" s="135"/>
    </row>
    <row r="5657" spans="20:21" ht="15" customHeight="1" x14ac:dyDescent="0.25">
      <c r="T5657" s="135"/>
      <c r="U5657" s="135"/>
    </row>
    <row r="5658" spans="20:21" ht="15" customHeight="1" x14ac:dyDescent="0.25">
      <c r="T5658" s="135"/>
      <c r="U5658" s="135"/>
    </row>
    <row r="5659" spans="20:21" ht="15" customHeight="1" x14ac:dyDescent="0.25">
      <c r="T5659" s="135"/>
      <c r="U5659" s="135"/>
    </row>
    <row r="5660" spans="20:21" ht="15" customHeight="1" x14ac:dyDescent="0.25">
      <c r="T5660" s="135"/>
      <c r="U5660" s="135"/>
    </row>
    <row r="5661" spans="20:21" ht="15" customHeight="1" x14ac:dyDescent="0.25">
      <c r="T5661" s="135"/>
      <c r="U5661" s="135"/>
    </row>
    <row r="5662" spans="20:21" ht="15" customHeight="1" x14ac:dyDescent="0.25">
      <c r="T5662" s="135"/>
      <c r="U5662" s="135"/>
    </row>
    <row r="5663" spans="20:21" ht="15" customHeight="1" x14ac:dyDescent="0.25">
      <c r="T5663" s="135"/>
      <c r="U5663" s="135"/>
    </row>
    <row r="5664" spans="20:21" ht="15" customHeight="1" x14ac:dyDescent="0.25">
      <c r="T5664" s="135"/>
      <c r="U5664" s="135"/>
    </row>
    <row r="5665" spans="20:21" ht="15" customHeight="1" x14ac:dyDescent="0.25">
      <c r="T5665" s="135"/>
      <c r="U5665" s="135"/>
    </row>
    <row r="5666" spans="20:21" ht="15" customHeight="1" x14ac:dyDescent="0.25">
      <c r="T5666" s="135"/>
      <c r="U5666" s="135"/>
    </row>
    <row r="5667" spans="20:21" ht="15" customHeight="1" x14ac:dyDescent="0.25">
      <c r="T5667" s="135"/>
      <c r="U5667" s="135"/>
    </row>
    <row r="5668" spans="20:21" ht="15" customHeight="1" x14ac:dyDescent="0.25">
      <c r="T5668" s="135"/>
      <c r="U5668" s="135"/>
    </row>
    <row r="5669" spans="20:21" ht="15" customHeight="1" x14ac:dyDescent="0.25">
      <c r="T5669" s="135"/>
      <c r="U5669" s="135"/>
    </row>
    <row r="5670" spans="20:21" ht="15" customHeight="1" x14ac:dyDescent="0.25">
      <c r="T5670" s="135"/>
      <c r="U5670" s="135"/>
    </row>
    <row r="5671" spans="20:21" ht="15" customHeight="1" x14ac:dyDescent="0.25">
      <c r="T5671" s="135"/>
      <c r="U5671" s="135"/>
    </row>
    <row r="5672" spans="20:21" ht="15" customHeight="1" x14ac:dyDescent="0.25">
      <c r="T5672" s="135"/>
      <c r="U5672" s="135"/>
    </row>
    <row r="5673" spans="20:21" ht="15" customHeight="1" x14ac:dyDescent="0.25">
      <c r="T5673" s="135"/>
      <c r="U5673" s="135"/>
    </row>
    <row r="5674" spans="20:21" ht="15" customHeight="1" x14ac:dyDescent="0.25">
      <c r="T5674" s="135"/>
      <c r="U5674" s="135"/>
    </row>
    <row r="5675" spans="20:21" ht="15" customHeight="1" x14ac:dyDescent="0.25">
      <c r="T5675" s="135"/>
      <c r="U5675" s="135"/>
    </row>
    <row r="5676" spans="20:21" ht="15" customHeight="1" x14ac:dyDescent="0.25">
      <c r="T5676" s="135"/>
      <c r="U5676" s="135"/>
    </row>
    <row r="5677" spans="20:21" ht="15" customHeight="1" x14ac:dyDescent="0.25">
      <c r="T5677" s="135"/>
      <c r="U5677" s="135"/>
    </row>
    <row r="5678" spans="20:21" ht="15" customHeight="1" x14ac:dyDescent="0.25">
      <c r="T5678" s="135"/>
      <c r="U5678" s="135"/>
    </row>
    <row r="5679" spans="20:21" ht="15" customHeight="1" x14ac:dyDescent="0.25">
      <c r="T5679" s="135"/>
      <c r="U5679" s="135"/>
    </row>
    <row r="5680" spans="20:21" ht="15" customHeight="1" x14ac:dyDescent="0.25">
      <c r="T5680" s="135"/>
      <c r="U5680" s="135"/>
    </row>
    <row r="5681" spans="20:21" ht="15" customHeight="1" x14ac:dyDescent="0.25">
      <c r="T5681" s="135"/>
      <c r="U5681" s="135"/>
    </row>
    <row r="5682" spans="20:21" ht="15" customHeight="1" x14ac:dyDescent="0.25">
      <c r="T5682" s="135"/>
      <c r="U5682" s="135"/>
    </row>
    <row r="5683" spans="20:21" ht="15" customHeight="1" x14ac:dyDescent="0.25">
      <c r="T5683" s="135"/>
      <c r="U5683" s="135"/>
    </row>
    <row r="5684" spans="20:21" ht="15" customHeight="1" x14ac:dyDescent="0.25">
      <c r="T5684" s="135"/>
      <c r="U5684" s="135"/>
    </row>
    <row r="5685" spans="20:21" ht="15" customHeight="1" x14ac:dyDescent="0.25">
      <c r="T5685" s="135"/>
      <c r="U5685" s="135"/>
    </row>
    <row r="5686" spans="20:21" ht="15" customHeight="1" x14ac:dyDescent="0.25">
      <c r="T5686" s="135"/>
      <c r="U5686" s="135"/>
    </row>
    <row r="5687" spans="20:21" ht="15" customHeight="1" x14ac:dyDescent="0.25">
      <c r="T5687" s="135"/>
      <c r="U5687" s="135"/>
    </row>
    <row r="5688" spans="20:21" ht="15" customHeight="1" x14ac:dyDescent="0.25">
      <c r="T5688" s="135"/>
      <c r="U5688" s="135"/>
    </row>
    <row r="5689" spans="20:21" ht="15" customHeight="1" x14ac:dyDescent="0.25">
      <c r="T5689" s="135"/>
      <c r="U5689" s="135"/>
    </row>
    <row r="5690" spans="20:21" ht="15" customHeight="1" x14ac:dyDescent="0.25">
      <c r="T5690" s="135"/>
      <c r="U5690" s="135"/>
    </row>
    <row r="5691" spans="20:21" ht="15" customHeight="1" x14ac:dyDescent="0.25">
      <c r="T5691" s="135"/>
      <c r="U5691" s="135"/>
    </row>
    <row r="5692" spans="20:21" ht="15" customHeight="1" x14ac:dyDescent="0.25">
      <c r="T5692" s="135"/>
      <c r="U5692" s="135"/>
    </row>
    <row r="5693" spans="20:21" ht="15" customHeight="1" x14ac:dyDescent="0.25">
      <c r="T5693" s="135"/>
      <c r="U5693" s="135"/>
    </row>
    <row r="5694" spans="20:21" ht="15" customHeight="1" x14ac:dyDescent="0.25">
      <c r="T5694" s="135"/>
      <c r="U5694" s="135"/>
    </row>
    <row r="5695" spans="20:21" ht="15" customHeight="1" x14ac:dyDescent="0.25">
      <c r="T5695" s="135"/>
      <c r="U5695" s="135"/>
    </row>
    <row r="5696" spans="20:21" ht="15" customHeight="1" x14ac:dyDescent="0.25">
      <c r="T5696" s="135"/>
      <c r="U5696" s="135"/>
    </row>
    <row r="5697" spans="20:21" ht="15" customHeight="1" x14ac:dyDescent="0.25">
      <c r="T5697" s="135"/>
      <c r="U5697" s="135"/>
    </row>
    <row r="5698" spans="20:21" ht="15" customHeight="1" x14ac:dyDescent="0.25">
      <c r="T5698" s="135"/>
      <c r="U5698" s="135"/>
    </row>
    <row r="5699" spans="20:21" ht="15" customHeight="1" x14ac:dyDescent="0.25">
      <c r="T5699" s="135"/>
      <c r="U5699" s="135"/>
    </row>
    <row r="5700" spans="20:21" ht="15" customHeight="1" x14ac:dyDescent="0.25">
      <c r="T5700" s="135"/>
      <c r="U5700" s="135"/>
    </row>
    <row r="5701" spans="20:21" ht="15" customHeight="1" x14ac:dyDescent="0.25">
      <c r="T5701" s="135"/>
      <c r="U5701" s="135"/>
    </row>
    <row r="5702" spans="20:21" ht="15" customHeight="1" x14ac:dyDescent="0.25">
      <c r="T5702" s="135"/>
      <c r="U5702" s="135"/>
    </row>
    <row r="5703" spans="20:21" ht="15" customHeight="1" x14ac:dyDescent="0.25">
      <c r="T5703" s="135"/>
      <c r="U5703" s="135"/>
    </row>
    <row r="5704" spans="20:21" ht="15" customHeight="1" x14ac:dyDescent="0.25">
      <c r="T5704" s="135"/>
      <c r="U5704" s="135"/>
    </row>
    <row r="5705" spans="20:21" ht="15" customHeight="1" x14ac:dyDescent="0.25">
      <c r="T5705" s="135"/>
      <c r="U5705" s="135"/>
    </row>
    <row r="5706" spans="20:21" ht="15" customHeight="1" x14ac:dyDescent="0.25">
      <c r="T5706" s="135"/>
      <c r="U5706" s="135"/>
    </row>
    <row r="5707" spans="20:21" ht="15" customHeight="1" x14ac:dyDescent="0.25">
      <c r="T5707" s="135"/>
      <c r="U5707" s="135"/>
    </row>
    <row r="5708" spans="20:21" ht="15" customHeight="1" x14ac:dyDescent="0.25">
      <c r="T5708" s="135"/>
      <c r="U5708" s="135"/>
    </row>
    <row r="5709" spans="20:21" ht="15" customHeight="1" x14ac:dyDescent="0.25">
      <c r="T5709" s="135"/>
      <c r="U5709" s="135"/>
    </row>
    <row r="5710" spans="20:21" ht="15" customHeight="1" x14ac:dyDescent="0.25">
      <c r="T5710" s="135"/>
      <c r="U5710" s="135"/>
    </row>
    <row r="5711" spans="20:21" ht="15" customHeight="1" x14ac:dyDescent="0.25">
      <c r="T5711" s="135"/>
      <c r="U5711" s="135"/>
    </row>
    <row r="5712" spans="20:21" ht="15" customHeight="1" x14ac:dyDescent="0.25">
      <c r="T5712" s="135"/>
      <c r="U5712" s="135"/>
    </row>
    <row r="5713" spans="20:21" ht="15" customHeight="1" x14ac:dyDescent="0.25">
      <c r="T5713" s="135"/>
      <c r="U5713" s="135"/>
    </row>
    <row r="5714" spans="20:21" ht="15" customHeight="1" x14ac:dyDescent="0.25">
      <c r="T5714" s="135"/>
      <c r="U5714" s="135"/>
    </row>
    <row r="5715" spans="20:21" ht="15" customHeight="1" x14ac:dyDescent="0.25">
      <c r="T5715" s="135"/>
      <c r="U5715" s="135"/>
    </row>
    <row r="5716" spans="20:21" ht="15" customHeight="1" x14ac:dyDescent="0.25">
      <c r="T5716" s="135"/>
      <c r="U5716" s="135"/>
    </row>
    <row r="5717" spans="20:21" ht="15" customHeight="1" x14ac:dyDescent="0.25">
      <c r="T5717" s="135"/>
      <c r="U5717" s="135"/>
    </row>
    <row r="5718" spans="20:21" ht="15" customHeight="1" x14ac:dyDescent="0.25">
      <c r="T5718" s="135"/>
      <c r="U5718" s="135"/>
    </row>
    <row r="5719" spans="20:21" ht="15" customHeight="1" x14ac:dyDescent="0.25">
      <c r="T5719" s="135"/>
      <c r="U5719" s="135"/>
    </row>
    <row r="5720" spans="20:21" ht="15" customHeight="1" x14ac:dyDescent="0.25">
      <c r="T5720" s="135"/>
      <c r="U5720" s="135"/>
    </row>
    <row r="5721" spans="20:21" ht="15" customHeight="1" x14ac:dyDescent="0.25">
      <c r="T5721" s="135"/>
      <c r="U5721" s="135"/>
    </row>
    <row r="5722" spans="20:21" ht="15" customHeight="1" x14ac:dyDescent="0.25">
      <c r="T5722" s="135"/>
      <c r="U5722" s="135"/>
    </row>
    <row r="5723" spans="20:21" ht="15" customHeight="1" x14ac:dyDescent="0.25">
      <c r="T5723" s="135"/>
      <c r="U5723" s="135"/>
    </row>
    <row r="5724" spans="20:21" ht="15" customHeight="1" x14ac:dyDescent="0.25">
      <c r="T5724" s="135"/>
      <c r="U5724" s="135"/>
    </row>
    <row r="5725" spans="20:21" ht="15" customHeight="1" x14ac:dyDescent="0.25">
      <c r="T5725" s="135"/>
      <c r="U5725" s="135"/>
    </row>
    <row r="5726" spans="20:21" ht="15" customHeight="1" x14ac:dyDescent="0.25">
      <c r="T5726" s="135"/>
      <c r="U5726" s="135"/>
    </row>
    <row r="5727" spans="20:21" ht="15" customHeight="1" x14ac:dyDescent="0.25">
      <c r="T5727" s="135"/>
      <c r="U5727" s="135"/>
    </row>
    <row r="5728" spans="20:21" ht="15" customHeight="1" x14ac:dyDescent="0.25">
      <c r="T5728" s="135"/>
      <c r="U5728" s="135"/>
    </row>
    <row r="5729" spans="20:21" ht="15" customHeight="1" x14ac:dyDescent="0.25">
      <c r="T5729" s="135"/>
      <c r="U5729" s="135"/>
    </row>
    <row r="5730" spans="20:21" ht="15" customHeight="1" x14ac:dyDescent="0.25">
      <c r="T5730" s="135"/>
      <c r="U5730" s="135"/>
    </row>
    <row r="5731" spans="20:21" ht="15" customHeight="1" x14ac:dyDescent="0.25">
      <c r="T5731" s="135"/>
      <c r="U5731" s="135"/>
    </row>
    <row r="5732" spans="20:21" ht="15" customHeight="1" x14ac:dyDescent="0.25">
      <c r="T5732" s="135"/>
      <c r="U5732" s="135"/>
    </row>
    <row r="5733" spans="20:21" ht="15" customHeight="1" x14ac:dyDescent="0.25">
      <c r="T5733" s="135"/>
      <c r="U5733" s="135"/>
    </row>
    <row r="5734" spans="20:21" ht="15" customHeight="1" x14ac:dyDescent="0.25">
      <c r="T5734" s="135"/>
      <c r="U5734" s="135"/>
    </row>
    <row r="5735" spans="20:21" ht="15" customHeight="1" x14ac:dyDescent="0.25">
      <c r="T5735" s="135"/>
      <c r="U5735" s="135"/>
    </row>
    <row r="5736" spans="20:21" ht="15" customHeight="1" x14ac:dyDescent="0.25">
      <c r="T5736" s="135"/>
      <c r="U5736" s="135"/>
    </row>
    <row r="5737" spans="20:21" ht="15" customHeight="1" x14ac:dyDescent="0.25">
      <c r="T5737" s="135"/>
      <c r="U5737" s="135"/>
    </row>
    <row r="5738" spans="20:21" ht="15" customHeight="1" x14ac:dyDescent="0.25">
      <c r="T5738" s="135"/>
      <c r="U5738" s="135"/>
    </row>
    <row r="5739" spans="20:21" ht="15" customHeight="1" x14ac:dyDescent="0.25">
      <c r="T5739" s="135"/>
      <c r="U5739" s="135"/>
    </row>
    <row r="5740" spans="20:21" ht="15" customHeight="1" x14ac:dyDescent="0.25">
      <c r="T5740" s="135"/>
      <c r="U5740" s="135"/>
    </row>
    <row r="5741" spans="20:21" ht="15" customHeight="1" x14ac:dyDescent="0.25">
      <c r="T5741" s="135"/>
      <c r="U5741" s="135"/>
    </row>
    <row r="5742" spans="20:21" ht="15" customHeight="1" x14ac:dyDescent="0.25">
      <c r="T5742" s="135"/>
      <c r="U5742" s="135"/>
    </row>
    <row r="5743" spans="20:21" ht="15" customHeight="1" x14ac:dyDescent="0.25">
      <c r="T5743" s="135"/>
      <c r="U5743" s="135"/>
    </row>
    <row r="5744" spans="20:21" ht="15" customHeight="1" x14ac:dyDescent="0.25">
      <c r="T5744" s="135"/>
      <c r="U5744" s="135"/>
    </row>
    <row r="5745" spans="20:21" ht="15" customHeight="1" x14ac:dyDescent="0.25">
      <c r="T5745" s="135"/>
      <c r="U5745" s="135"/>
    </row>
    <row r="5746" spans="20:21" ht="15" customHeight="1" x14ac:dyDescent="0.25">
      <c r="T5746" s="135"/>
      <c r="U5746" s="135"/>
    </row>
    <row r="5747" spans="20:21" ht="15" customHeight="1" x14ac:dyDescent="0.25">
      <c r="T5747" s="135"/>
      <c r="U5747" s="135"/>
    </row>
    <row r="5748" spans="20:21" ht="15" customHeight="1" x14ac:dyDescent="0.25">
      <c r="T5748" s="135"/>
      <c r="U5748" s="135"/>
    </row>
    <row r="5749" spans="20:21" ht="15" customHeight="1" x14ac:dyDescent="0.25">
      <c r="T5749" s="135"/>
      <c r="U5749" s="135"/>
    </row>
    <row r="5750" spans="20:21" ht="15" customHeight="1" x14ac:dyDescent="0.25">
      <c r="T5750" s="135"/>
      <c r="U5750" s="135"/>
    </row>
    <row r="5751" spans="20:21" ht="15" customHeight="1" x14ac:dyDescent="0.25">
      <c r="T5751" s="135"/>
      <c r="U5751" s="135"/>
    </row>
    <row r="5752" spans="20:21" ht="15" customHeight="1" x14ac:dyDescent="0.25">
      <c r="T5752" s="135"/>
      <c r="U5752" s="135"/>
    </row>
    <row r="5753" spans="20:21" ht="15" customHeight="1" x14ac:dyDescent="0.25">
      <c r="T5753" s="135"/>
      <c r="U5753" s="135"/>
    </row>
    <row r="5754" spans="20:21" ht="15" customHeight="1" x14ac:dyDescent="0.25">
      <c r="T5754" s="135"/>
      <c r="U5754" s="135"/>
    </row>
    <row r="5755" spans="20:21" ht="15" customHeight="1" x14ac:dyDescent="0.25">
      <c r="T5755" s="135"/>
      <c r="U5755" s="135"/>
    </row>
    <row r="5756" spans="20:21" ht="15" customHeight="1" x14ac:dyDescent="0.25">
      <c r="T5756" s="135"/>
      <c r="U5756" s="135"/>
    </row>
    <row r="5757" spans="20:21" ht="15" customHeight="1" x14ac:dyDescent="0.25">
      <c r="T5757" s="135"/>
      <c r="U5757" s="135"/>
    </row>
    <row r="5758" spans="20:21" ht="15" customHeight="1" x14ac:dyDescent="0.25">
      <c r="T5758" s="135"/>
      <c r="U5758" s="135"/>
    </row>
    <row r="5759" spans="20:21" ht="15" customHeight="1" x14ac:dyDescent="0.25">
      <c r="T5759" s="135"/>
      <c r="U5759" s="135"/>
    </row>
    <row r="5760" spans="20:21" ht="15" customHeight="1" x14ac:dyDescent="0.25">
      <c r="T5760" s="135"/>
      <c r="U5760" s="135"/>
    </row>
    <row r="5761" spans="20:21" ht="15" customHeight="1" x14ac:dyDescent="0.25">
      <c r="T5761" s="135"/>
      <c r="U5761" s="135"/>
    </row>
    <row r="5762" spans="20:21" ht="15" customHeight="1" x14ac:dyDescent="0.25">
      <c r="T5762" s="135"/>
      <c r="U5762" s="135"/>
    </row>
    <row r="5763" spans="20:21" ht="15" customHeight="1" x14ac:dyDescent="0.25">
      <c r="T5763" s="135"/>
      <c r="U5763" s="135"/>
    </row>
    <row r="5764" spans="20:21" ht="15" customHeight="1" x14ac:dyDescent="0.25">
      <c r="T5764" s="135"/>
      <c r="U5764" s="135"/>
    </row>
    <row r="5765" spans="20:21" ht="15" customHeight="1" x14ac:dyDescent="0.25">
      <c r="T5765" s="135"/>
      <c r="U5765" s="135"/>
    </row>
    <row r="5766" spans="20:21" ht="15" customHeight="1" x14ac:dyDescent="0.25">
      <c r="T5766" s="135"/>
      <c r="U5766" s="135"/>
    </row>
    <row r="5767" spans="20:21" ht="15" customHeight="1" x14ac:dyDescent="0.25">
      <c r="T5767" s="135"/>
      <c r="U5767" s="135"/>
    </row>
    <row r="5768" spans="20:21" ht="15" customHeight="1" x14ac:dyDescent="0.25">
      <c r="T5768" s="135"/>
      <c r="U5768" s="135"/>
    </row>
    <row r="5769" spans="20:21" ht="15" customHeight="1" x14ac:dyDescent="0.25">
      <c r="T5769" s="135"/>
      <c r="U5769" s="135"/>
    </row>
    <row r="5770" spans="20:21" ht="15" customHeight="1" x14ac:dyDescent="0.25">
      <c r="T5770" s="135"/>
      <c r="U5770" s="135"/>
    </row>
    <row r="5771" spans="20:21" ht="15" customHeight="1" x14ac:dyDescent="0.25">
      <c r="T5771" s="135"/>
      <c r="U5771" s="135"/>
    </row>
    <row r="5772" spans="20:21" ht="15" customHeight="1" x14ac:dyDescent="0.25">
      <c r="T5772" s="135"/>
      <c r="U5772" s="135"/>
    </row>
    <row r="5773" spans="20:21" ht="15" customHeight="1" x14ac:dyDescent="0.25">
      <c r="T5773" s="135"/>
      <c r="U5773" s="135"/>
    </row>
    <row r="5774" spans="20:21" ht="15" customHeight="1" x14ac:dyDescent="0.25">
      <c r="T5774" s="135"/>
      <c r="U5774" s="135"/>
    </row>
    <row r="5775" spans="20:21" ht="15" customHeight="1" x14ac:dyDescent="0.25">
      <c r="T5775" s="135"/>
      <c r="U5775" s="135"/>
    </row>
    <row r="5776" spans="20:21" ht="15" customHeight="1" x14ac:dyDescent="0.25">
      <c r="T5776" s="135"/>
      <c r="U5776" s="135"/>
    </row>
    <row r="5777" spans="20:21" ht="15" customHeight="1" x14ac:dyDescent="0.25">
      <c r="T5777" s="135"/>
      <c r="U5777" s="135"/>
    </row>
    <row r="5778" spans="20:21" ht="15" customHeight="1" x14ac:dyDescent="0.25">
      <c r="T5778" s="135"/>
      <c r="U5778" s="135"/>
    </row>
    <row r="5779" spans="20:21" ht="15" customHeight="1" x14ac:dyDescent="0.25">
      <c r="T5779" s="135"/>
      <c r="U5779" s="135"/>
    </row>
    <row r="5780" spans="20:21" ht="15" customHeight="1" x14ac:dyDescent="0.25">
      <c r="T5780" s="135"/>
      <c r="U5780" s="135"/>
    </row>
    <row r="5781" spans="20:21" ht="15" customHeight="1" x14ac:dyDescent="0.25">
      <c r="T5781" s="135"/>
      <c r="U5781" s="135"/>
    </row>
    <row r="5782" spans="20:21" ht="15" customHeight="1" x14ac:dyDescent="0.25">
      <c r="T5782" s="135"/>
      <c r="U5782" s="135"/>
    </row>
    <row r="5783" spans="20:21" ht="15" customHeight="1" x14ac:dyDescent="0.25">
      <c r="T5783" s="135"/>
      <c r="U5783" s="135"/>
    </row>
    <row r="5784" spans="20:21" ht="15" customHeight="1" x14ac:dyDescent="0.25">
      <c r="T5784" s="135"/>
      <c r="U5784" s="135"/>
    </row>
    <row r="5785" spans="20:21" ht="15" customHeight="1" x14ac:dyDescent="0.25">
      <c r="T5785" s="135"/>
      <c r="U5785" s="135"/>
    </row>
    <row r="5786" spans="20:21" ht="15" customHeight="1" x14ac:dyDescent="0.25">
      <c r="T5786" s="135"/>
      <c r="U5786" s="135"/>
    </row>
    <row r="5787" spans="20:21" ht="15" customHeight="1" x14ac:dyDescent="0.25">
      <c r="T5787" s="135"/>
      <c r="U5787" s="135"/>
    </row>
    <row r="5788" spans="20:21" ht="15" customHeight="1" x14ac:dyDescent="0.25">
      <c r="T5788" s="135"/>
      <c r="U5788" s="135"/>
    </row>
    <row r="5789" spans="20:21" ht="15" customHeight="1" x14ac:dyDescent="0.25">
      <c r="T5789" s="135"/>
      <c r="U5789" s="135"/>
    </row>
    <row r="5790" spans="20:21" ht="15" customHeight="1" x14ac:dyDescent="0.25">
      <c r="T5790" s="135"/>
      <c r="U5790" s="135"/>
    </row>
    <row r="5791" spans="20:21" ht="15" customHeight="1" x14ac:dyDescent="0.25">
      <c r="T5791" s="135"/>
      <c r="U5791" s="135"/>
    </row>
    <row r="5792" spans="20:21" ht="15" customHeight="1" x14ac:dyDescent="0.25">
      <c r="T5792" s="135"/>
      <c r="U5792" s="135"/>
    </row>
    <row r="5793" spans="20:21" ht="15" customHeight="1" x14ac:dyDescent="0.25">
      <c r="T5793" s="135"/>
      <c r="U5793" s="135"/>
    </row>
    <row r="5794" spans="20:21" ht="15" customHeight="1" x14ac:dyDescent="0.25">
      <c r="T5794" s="135"/>
      <c r="U5794" s="135"/>
    </row>
    <row r="5795" spans="20:21" ht="15" customHeight="1" x14ac:dyDescent="0.25">
      <c r="T5795" s="135"/>
      <c r="U5795" s="135"/>
    </row>
    <row r="5796" spans="20:21" ht="15" customHeight="1" x14ac:dyDescent="0.25">
      <c r="T5796" s="135"/>
      <c r="U5796" s="135"/>
    </row>
    <row r="5797" spans="20:21" ht="15" customHeight="1" x14ac:dyDescent="0.25">
      <c r="T5797" s="135"/>
      <c r="U5797" s="135"/>
    </row>
    <row r="5798" spans="20:21" ht="15" customHeight="1" x14ac:dyDescent="0.25">
      <c r="T5798" s="135"/>
      <c r="U5798" s="135"/>
    </row>
    <row r="5799" spans="20:21" ht="15" customHeight="1" x14ac:dyDescent="0.25">
      <c r="T5799" s="135"/>
      <c r="U5799" s="135"/>
    </row>
    <row r="5800" spans="20:21" ht="15" customHeight="1" x14ac:dyDescent="0.25">
      <c r="T5800" s="135"/>
      <c r="U5800" s="135"/>
    </row>
    <row r="5801" spans="20:21" ht="15" customHeight="1" x14ac:dyDescent="0.25">
      <c r="T5801" s="135"/>
      <c r="U5801" s="135"/>
    </row>
    <row r="5802" spans="20:21" ht="15" customHeight="1" x14ac:dyDescent="0.25">
      <c r="T5802" s="135"/>
      <c r="U5802" s="135"/>
    </row>
    <row r="5803" spans="20:21" ht="15" customHeight="1" x14ac:dyDescent="0.25">
      <c r="T5803" s="135"/>
      <c r="U5803" s="135"/>
    </row>
    <row r="5804" spans="20:21" ht="15" customHeight="1" x14ac:dyDescent="0.25">
      <c r="T5804" s="135"/>
      <c r="U5804" s="135"/>
    </row>
    <row r="5805" spans="20:21" ht="15" customHeight="1" x14ac:dyDescent="0.25">
      <c r="T5805" s="135"/>
      <c r="U5805" s="135"/>
    </row>
    <row r="5806" spans="20:21" ht="15" customHeight="1" x14ac:dyDescent="0.25">
      <c r="T5806" s="135"/>
      <c r="U5806" s="135"/>
    </row>
    <row r="5807" spans="20:21" ht="15" customHeight="1" x14ac:dyDescent="0.25">
      <c r="T5807" s="135"/>
      <c r="U5807" s="135"/>
    </row>
    <row r="5808" spans="20:21" ht="15" customHeight="1" x14ac:dyDescent="0.25">
      <c r="T5808" s="135"/>
      <c r="U5808" s="135"/>
    </row>
    <row r="5809" spans="20:21" ht="15" customHeight="1" x14ac:dyDescent="0.25">
      <c r="T5809" s="135"/>
      <c r="U5809" s="135"/>
    </row>
    <row r="5810" spans="20:21" ht="15" customHeight="1" x14ac:dyDescent="0.25">
      <c r="T5810" s="135"/>
      <c r="U5810" s="135"/>
    </row>
    <row r="5811" spans="20:21" ht="15" customHeight="1" x14ac:dyDescent="0.25">
      <c r="T5811" s="135"/>
      <c r="U5811" s="135"/>
    </row>
    <row r="5812" spans="20:21" ht="15" customHeight="1" x14ac:dyDescent="0.25">
      <c r="T5812" s="135"/>
      <c r="U5812" s="135"/>
    </row>
    <row r="5813" spans="20:21" ht="15" customHeight="1" x14ac:dyDescent="0.25">
      <c r="T5813" s="135"/>
      <c r="U5813" s="135"/>
    </row>
    <row r="5814" spans="20:21" ht="15" customHeight="1" x14ac:dyDescent="0.25">
      <c r="T5814" s="135"/>
      <c r="U5814" s="135"/>
    </row>
    <row r="5815" spans="20:21" ht="15" customHeight="1" x14ac:dyDescent="0.25">
      <c r="T5815" s="135"/>
      <c r="U5815" s="135"/>
    </row>
    <row r="5816" spans="20:21" ht="15" customHeight="1" x14ac:dyDescent="0.25">
      <c r="T5816" s="135"/>
      <c r="U5816" s="135"/>
    </row>
    <row r="5817" spans="20:21" ht="15" customHeight="1" x14ac:dyDescent="0.25">
      <c r="T5817" s="135"/>
      <c r="U5817" s="135"/>
    </row>
    <row r="5818" spans="20:21" ht="15" customHeight="1" x14ac:dyDescent="0.25">
      <c r="T5818" s="135"/>
      <c r="U5818" s="135"/>
    </row>
    <row r="5819" spans="20:21" ht="15" customHeight="1" x14ac:dyDescent="0.25">
      <c r="T5819" s="135"/>
      <c r="U5819" s="135"/>
    </row>
    <row r="5820" spans="20:21" ht="15" customHeight="1" x14ac:dyDescent="0.25">
      <c r="T5820" s="135"/>
      <c r="U5820" s="135"/>
    </row>
    <row r="5821" spans="20:21" ht="15" customHeight="1" x14ac:dyDescent="0.25">
      <c r="T5821" s="135"/>
      <c r="U5821" s="135"/>
    </row>
    <row r="5822" spans="20:21" ht="15" customHeight="1" x14ac:dyDescent="0.25">
      <c r="T5822" s="135"/>
      <c r="U5822" s="135"/>
    </row>
    <row r="5823" spans="20:21" ht="15" customHeight="1" x14ac:dyDescent="0.25">
      <c r="T5823" s="135"/>
      <c r="U5823" s="135"/>
    </row>
    <row r="5824" spans="20:21" ht="15" customHeight="1" x14ac:dyDescent="0.25">
      <c r="T5824" s="135"/>
      <c r="U5824" s="135"/>
    </row>
    <row r="5825" spans="20:21" ht="15" customHeight="1" x14ac:dyDescent="0.25">
      <c r="T5825" s="135"/>
      <c r="U5825" s="135"/>
    </row>
    <row r="5826" spans="20:21" ht="15" customHeight="1" x14ac:dyDescent="0.25">
      <c r="T5826" s="135"/>
      <c r="U5826" s="135"/>
    </row>
    <row r="5827" spans="20:21" ht="15" customHeight="1" x14ac:dyDescent="0.25">
      <c r="T5827" s="135"/>
      <c r="U5827" s="135"/>
    </row>
    <row r="5828" spans="20:21" ht="15" customHeight="1" x14ac:dyDescent="0.25">
      <c r="T5828" s="135"/>
      <c r="U5828" s="135"/>
    </row>
    <row r="5829" spans="20:21" ht="15" customHeight="1" x14ac:dyDescent="0.25">
      <c r="T5829" s="135"/>
      <c r="U5829" s="135"/>
    </row>
    <row r="5830" spans="20:21" ht="15" customHeight="1" x14ac:dyDescent="0.25">
      <c r="T5830" s="135"/>
      <c r="U5830" s="135"/>
    </row>
    <row r="5831" spans="20:21" ht="15" customHeight="1" x14ac:dyDescent="0.25">
      <c r="T5831" s="135"/>
      <c r="U5831" s="135"/>
    </row>
    <row r="5832" spans="20:21" ht="15" customHeight="1" x14ac:dyDescent="0.25">
      <c r="T5832" s="135"/>
      <c r="U5832" s="135"/>
    </row>
    <row r="5833" spans="20:21" ht="15" customHeight="1" x14ac:dyDescent="0.25">
      <c r="T5833" s="135"/>
      <c r="U5833" s="135"/>
    </row>
    <row r="5834" spans="20:21" ht="15" customHeight="1" x14ac:dyDescent="0.25">
      <c r="T5834" s="135"/>
      <c r="U5834" s="135"/>
    </row>
    <row r="5835" spans="20:21" ht="15" customHeight="1" x14ac:dyDescent="0.25">
      <c r="T5835" s="135"/>
      <c r="U5835" s="135"/>
    </row>
    <row r="5836" spans="20:21" ht="15" customHeight="1" x14ac:dyDescent="0.25">
      <c r="T5836" s="135"/>
      <c r="U5836" s="135"/>
    </row>
    <row r="5837" spans="20:21" ht="15" customHeight="1" x14ac:dyDescent="0.25">
      <c r="T5837" s="135"/>
      <c r="U5837" s="135"/>
    </row>
    <row r="5838" spans="20:21" ht="15" customHeight="1" x14ac:dyDescent="0.25">
      <c r="T5838" s="135"/>
      <c r="U5838" s="135"/>
    </row>
    <row r="5839" spans="20:21" ht="15" customHeight="1" x14ac:dyDescent="0.25">
      <c r="T5839" s="135"/>
      <c r="U5839" s="135"/>
    </row>
    <row r="5840" spans="20:21" ht="15" customHeight="1" x14ac:dyDescent="0.25">
      <c r="T5840" s="135"/>
      <c r="U5840" s="135"/>
    </row>
    <row r="5841" spans="20:21" ht="15" customHeight="1" x14ac:dyDescent="0.25">
      <c r="T5841" s="135"/>
      <c r="U5841" s="135"/>
    </row>
    <row r="5842" spans="20:21" ht="15" customHeight="1" x14ac:dyDescent="0.25">
      <c r="T5842" s="135"/>
      <c r="U5842" s="135"/>
    </row>
    <row r="5843" spans="20:21" ht="15" customHeight="1" x14ac:dyDescent="0.25">
      <c r="T5843" s="135"/>
      <c r="U5843" s="135"/>
    </row>
    <row r="5844" spans="20:21" ht="15" customHeight="1" x14ac:dyDescent="0.25">
      <c r="T5844" s="135"/>
      <c r="U5844" s="135"/>
    </row>
    <row r="5845" spans="20:21" ht="15" customHeight="1" x14ac:dyDescent="0.25">
      <c r="T5845" s="135"/>
      <c r="U5845" s="135"/>
    </row>
    <row r="5846" spans="20:21" ht="15" customHeight="1" x14ac:dyDescent="0.25">
      <c r="T5846" s="135"/>
      <c r="U5846" s="135"/>
    </row>
    <row r="5847" spans="20:21" ht="15" customHeight="1" x14ac:dyDescent="0.25">
      <c r="T5847" s="135"/>
      <c r="U5847" s="135"/>
    </row>
    <row r="5848" spans="20:21" ht="15" customHeight="1" x14ac:dyDescent="0.25">
      <c r="T5848" s="135"/>
      <c r="U5848" s="135"/>
    </row>
    <row r="5849" spans="20:21" ht="15" customHeight="1" x14ac:dyDescent="0.25">
      <c r="T5849" s="135"/>
      <c r="U5849" s="135"/>
    </row>
    <row r="5850" spans="20:21" ht="15" customHeight="1" x14ac:dyDescent="0.25">
      <c r="T5850" s="135"/>
      <c r="U5850" s="135"/>
    </row>
    <row r="5851" spans="20:21" ht="15" customHeight="1" x14ac:dyDescent="0.25">
      <c r="T5851" s="135"/>
      <c r="U5851" s="135"/>
    </row>
    <row r="5852" spans="20:21" ht="15" customHeight="1" x14ac:dyDescent="0.25">
      <c r="T5852" s="135"/>
      <c r="U5852" s="135"/>
    </row>
    <row r="5853" spans="20:21" ht="15" customHeight="1" x14ac:dyDescent="0.25">
      <c r="T5853" s="135"/>
      <c r="U5853" s="135"/>
    </row>
    <row r="5854" spans="20:21" ht="15" customHeight="1" x14ac:dyDescent="0.25">
      <c r="T5854" s="135"/>
      <c r="U5854" s="135"/>
    </row>
    <row r="5855" spans="20:21" ht="15" customHeight="1" x14ac:dyDescent="0.25">
      <c r="T5855" s="135"/>
      <c r="U5855" s="135"/>
    </row>
    <row r="5856" spans="20:21" ht="15" customHeight="1" x14ac:dyDescent="0.25">
      <c r="T5856" s="135"/>
      <c r="U5856" s="135"/>
    </row>
    <row r="5857" spans="20:21" ht="15" customHeight="1" x14ac:dyDescent="0.25">
      <c r="T5857" s="135"/>
      <c r="U5857" s="135"/>
    </row>
    <row r="5858" spans="20:21" ht="15" customHeight="1" x14ac:dyDescent="0.25">
      <c r="T5858" s="135"/>
      <c r="U5858" s="135"/>
    </row>
    <row r="5859" spans="20:21" ht="15" customHeight="1" x14ac:dyDescent="0.25">
      <c r="T5859" s="135"/>
      <c r="U5859" s="135"/>
    </row>
    <row r="5860" spans="20:21" ht="15" customHeight="1" x14ac:dyDescent="0.25">
      <c r="T5860" s="135"/>
      <c r="U5860" s="135"/>
    </row>
    <row r="5861" spans="20:21" ht="15" customHeight="1" x14ac:dyDescent="0.25">
      <c r="T5861" s="135"/>
      <c r="U5861" s="135"/>
    </row>
    <row r="5862" spans="20:21" ht="15" customHeight="1" x14ac:dyDescent="0.25">
      <c r="T5862" s="135"/>
      <c r="U5862" s="135"/>
    </row>
    <row r="5863" spans="20:21" ht="15" customHeight="1" x14ac:dyDescent="0.25">
      <c r="T5863" s="135"/>
      <c r="U5863" s="135"/>
    </row>
    <row r="5864" spans="20:21" ht="15" customHeight="1" x14ac:dyDescent="0.25">
      <c r="T5864" s="135"/>
      <c r="U5864" s="135"/>
    </row>
    <row r="5865" spans="20:21" ht="15" customHeight="1" x14ac:dyDescent="0.25">
      <c r="T5865" s="135"/>
      <c r="U5865" s="135"/>
    </row>
    <row r="5866" spans="20:21" ht="15" customHeight="1" x14ac:dyDescent="0.25">
      <c r="T5866" s="135"/>
      <c r="U5866" s="135"/>
    </row>
    <row r="5867" spans="20:21" ht="15" customHeight="1" x14ac:dyDescent="0.25">
      <c r="T5867" s="135"/>
      <c r="U5867" s="135"/>
    </row>
    <row r="5868" spans="20:21" ht="15" customHeight="1" x14ac:dyDescent="0.25">
      <c r="T5868" s="135"/>
      <c r="U5868" s="135"/>
    </row>
    <row r="5869" spans="20:21" ht="15" customHeight="1" x14ac:dyDescent="0.25">
      <c r="T5869" s="135"/>
      <c r="U5869" s="135"/>
    </row>
    <row r="5870" spans="20:21" ht="15" customHeight="1" x14ac:dyDescent="0.25">
      <c r="T5870" s="135"/>
      <c r="U5870" s="135"/>
    </row>
    <row r="5871" spans="20:21" ht="15" customHeight="1" x14ac:dyDescent="0.25">
      <c r="T5871" s="135"/>
      <c r="U5871" s="135"/>
    </row>
    <row r="5872" spans="20:21" ht="15" customHeight="1" x14ac:dyDescent="0.25">
      <c r="T5872" s="135"/>
      <c r="U5872" s="135"/>
    </row>
    <row r="5873" spans="20:21" ht="15" customHeight="1" x14ac:dyDescent="0.25">
      <c r="T5873" s="135"/>
      <c r="U5873" s="135"/>
    </row>
    <row r="5874" spans="20:21" ht="15" customHeight="1" x14ac:dyDescent="0.25">
      <c r="T5874" s="135"/>
      <c r="U5874" s="135"/>
    </row>
    <row r="5875" spans="20:21" ht="15" customHeight="1" x14ac:dyDescent="0.25">
      <c r="T5875" s="135"/>
      <c r="U5875" s="135"/>
    </row>
    <row r="5876" spans="20:21" ht="15" customHeight="1" x14ac:dyDescent="0.25">
      <c r="T5876" s="135"/>
      <c r="U5876" s="135"/>
    </row>
    <row r="5877" spans="20:21" ht="15" customHeight="1" x14ac:dyDescent="0.25">
      <c r="T5877" s="135"/>
      <c r="U5877" s="135"/>
    </row>
    <row r="5878" spans="20:21" ht="15" customHeight="1" x14ac:dyDescent="0.25">
      <c r="T5878" s="135"/>
      <c r="U5878" s="135"/>
    </row>
    <row r="5879" spans="20:21" ht="15" customHeight="1" x14ac:dyDescent="0.25">
      <c r="T5879" s="135"/>
      <c r="U5879" s="135"/>
    </row>
    <row r="5880" spans="20:21" ht="15" customHeight="1" x14ac:dyDescent="0.25">
      <c r="T5880" s="135"/>
      <c r="U5880" s="135"/>
    </row>
    <row r="5881" spans="20:21" ht="15" customHeight="1" x14ac:dyDescent="0.25">
      <c r="T5881" s="135"/>
      <c r="U5881" s="135"/>
    </row>
    <row r="5882" spans="20:21" ht="15" customHeight="1" x14ac:dyDescent="0.25">
      <c r="T5882" s="135"/>
      <c r="U5882" s="135"/>
    </row>
    <row r="5883" spans="20:21" ht="15" customHeight="1" x14ac:dyDescent="0.25">
      <c r="T5883" s="135"/>
      <c r="U5883" s="135"/>
    </row>
    <row r="5884" spans="20:21" ht="15" customHeight="1" x14ac:dyDescent="0.25">
      <c r="T5884" s="135"/>
      <c r="U5884" s="135"/>
    </row>
    <row r="5885" spans="20:21" ht="15" customHeight="1" x14ac:dyDescent="0.25">
      <c r="T5885" s="135"/>
      <c r="U5885" s="135"/>
    </row>
    <row r="5886" spans="20:21" ht="15" customHeight="1" x14ac:dyDescent="0.25">
      <c r="T5886" s="135"/>
      <c r="U5886" s="135"/>
    </row>
    <row r="5887" spans="20:21" ht="15" customHeight="1" x14ac:dyDescent="0.25">
      <c r="T5887" s="135"/>
      <c r="U5887" s="135"/>
    </row>
    <row r="5888" spans="20:21" ht="15" customHeight="1" x14ac:dyDescent="0.25">
      <c r="T5888" s="135"/>
      <c r="U5888" s="135"/>
    </row>
    <row r="5889" spans="20:21" ht="15" customHeight="1" x14ac:dyDescent="0.25">
      <c r="T5889" s="135"/>
      <c r="U5889" s="135"/>
    </row>
    <row r="5890" spans="20:21" ht="15" customHeight="1" x14ac:dyDescent="0.25">
      <c r="T5890" s="135"/>
      <c r="U5890" s="135"/>
    </row>
    <row r="5891" spans="20:21" ht="15" customHeight="1" x14ac:dyDescent="0.25">
      <c r="T5891" s="135"/>
      <c r="U5891" s="135"/>
    </row>
    <row r="5892" spans="20:21" ht="15" customHeight="1" x14ac:dyDescent="0.25">
      <c r="T5892" s="135"/>
      <c r="U5892" s="135"/>
    </row>
    <row r="5893" spans="20:21" ht="15" customHeight="1" x14ac:dyDescent="0.25">
      <c r="T5893" s="135"/>
      <c r="U5893" s="135"/>
    </row>
    <row r="5894" spans="20:21" ht="15" customHeight="1" x14ac:dyDescent="0.25">
      <c r="T5894" s="135"/>
      <c r="U5894" s="135"/>
    </row>
    <row r="5895" spans="20:21" ht="15" customHeight="1" x14ac:dyDescent="0.25">
      <c r="T5895" s="135"/>
      <c r="U5895" s="135"/>
    </row>
    <row r="5896" spans="20:21" ht="15" customHeight="1" x14ac:dyDescent="0.25">
      <c r="T5896" s="135"/>
      <c r="U5896" s="135"/>
    </row>
    <row r="5897" spans="20:21" ht="15" customHeight="1" x14ac:dyDescent="0.25">
      <c r="T5897" s="135"/>
      <c r="U5897" s="135"/>
    </row>
    <row r="5898" spans="20:21" ht="15" customHeight="1" x14ac:dyDescent="0.25">
      <c r="T5898" s="135"/>
      <c r="U5898" s="135"/>
    </row>
    <row r="5899" spans="20:21" ht="15" customHeight="1" x14ac:dyDescent="0.25">
      <c r="T5899" s="135"/>
      <c r="U5899" s="135"/>
    </row>
    <row r="5900" spans="20:21" ht="15" customHeight="1" x14ac:dyDescent="0.25">
      <c r="T5900" s="135"/>
      <c r="U5900" s="135"/>
    </row>
    <row r="5901" spans="20:21" ht="15" customHeight="1" x14ac:dyDescent="0.25">
      <c r="T5901" s="135"/>
      <c r="U5901" s="135"/>
    </row>
    <row r="5902" spans="20:21" ht="15" customHeight="1" x14ac:dyDescent="0.25">
      <c r="T5902" s="135"/>
      <c r="U5902" s="135"/>
    </row>
    <row r="5903" spans="20:21" ht="15" customHeight="1" x14ac:dyDescent="0.25">
      <c r="T5903" s="135"/>
      <c r="U5903" s="135"/>
    </row>
    <row r="5904" spans="20:21" ht="15" customHeight="1" x14ac:dyDescent="0.25">
      <c r="T5904" s="135"/>
      <c r="U5904" s="135"/>
    </row>
    <row r="5905" spans="20:21" ht="15" customHeight="1" x14ac:dyDescent="0.25">
      <c r="T5905" s="135"/>
      <c r="U5905" s="135"/>
    </row>
    <row r="5906" spans="20:21" ht="15" customHeight="1" x14ac:dyDescent="0.25">
      <c r="T5906" s="135"/>
      <c r="U5906" s="135"/>
    </row>
    <row r="5907" spans="20:21" ht="15" customHeight="1" x14ac:dyDescent="0.25">
      <c r="T5907" s="135"/>
      <c r="U5907" s="135"/>
    </row>
    <row r="5908" spans="20:21" ht="15" customHeight="1" x14ac:dyDescent="0.25">
      <c r="T5908" s="135"/>
      <c r="U5908" s="135"/>
    </row>
    <row r="5909" spans="20:21" ht="15" customHeight="1" x14ac:dyDescent="0.25">
      <c r="T5909" s="135"/>
      <c r="U5909" s="135"/>
    </row>
    <row r="5910" spans="20:21" ht="15" customHeight="1" x14ac:dyDescent="0.25">
      <c r="T5910" s="135"/>
      <c r="U5910" s="135"/>
    </row>
    <row r="5911" spans="20:21" ht="15" customHeight="1" x14ac:dyDescent="0.25">
      <c r="T5911" s="135"/>
      <c r="U5911" s="135"/>
    </row>
    <row r="5912" spans="20:21" ht="15" customHeight="1" x14ac:dyDescent="0.25">
      <c r="T5912" s="135"/>
      <c r="U5912" s="135"/>
    </row>
    <row r="5913" spans="20:21" ht="15" customHeight="1" x14ac:dyDescent="0.25">
      <c r="T5913" s="135"/>
      <c r="U5913" s="135"/>
    </row>
    <row r="5914" spans="20:21" ht="15" customHeight="1" x14ac:dyDescent="0.25">
      <c r="T5914" s="135"/>
      <c r="U5914" s="135"/>
    </row>
    <row r="5915" spans="20:21" ht="15" customHeight="1" x14ac:dyDescent="0.25">
      <c r="T5915" s="135"/>
      <c r="U5915" s="135"/>
    </row>
    <row r="5916" spans="20:21" ht="15" customHeight="1" x14ac:dyDescent="0.25">
      <c r="T5916" s="135"/>
      <c r="U5916" s="135"/>
    </row>
    <row r="5917" spans="20:21" ht="15" customHeight="1" x14ac:dyDescent="0.25">
      <c r="T5917" s="135"/>
      <c r="U5917" s="135"/>
    </row>
    <row r="5918" spans="20:21" ht="15" customHeight="1" x14ac:dyDescent="0.25">
      <c r="T5918" s="135"/>
      <c r="U5918" s="135"/>
    </row>
    <row r="5919" spans="20:21" ht="15" customHeight="1" x14ac:dyDescent="0.25">
      <c r="T5919" s="135"/>
      <c r="U5919" s="135"/>
    </row>
    <row r="5920" spans="20:21" ht="15" customHeight="1" x14ac:dyDescent="0.25">
      <c r="T5920" s="135"/>
      <c r="U5920" s="135"/>
    </row>
    <row r="5921" spans="20:21" ht="15" customHeight="1" x14ac:dyDescent="0.25">
      <c r="T5921" s="135"/>
      <c r="U5921" s="135"/>
    </row>
    <row r="5922" spans="20:21" ht="15" customHeight="1" x14ac:dyDescent="0.25">
      <c r="T5922" s="135"/>
      <c r="U5922" s="135"/>
    </row>
    <row r="5923" spans="20:21" ht="15" customHeight="1" x14ac:dyDescent="0.25">
      <c r="T5923" s="135"/>
      <c r="U5923" s="135"/>
    </row>
    <row r="5924" spans="20:21" ht="15" customHeight="1" x14ac:dyDescent="0.25">
      <c r="T5924" s="135"/>
      <c r="U5924" s="135"/>
    </row>
    <row r="5925" spans="20:21" ht="15" customHeight="1" x14ac:dyDescent="0.25">
      <c r="T5925" s="135"/>
      <c r="U5925" s="135"/>
    </row>
    <row r="5926" spans="20:21" ht="15" customHeight="1" x14ac:dyDescent="0.25">
      <c r="T5926" s="135"/>
      <c r="U5926" s="135"/>
    </row>
    <row r="5927" spans="20:21" ht="15" customHeight="1" x14ac:dyDescent="0.25">
      <c r="T5927" s="135"/>
      <c r="U5927" s="135"/>
    </row>
    <row r="5928" spans="20:21" ht="15" customHeight="1" x14ac:dyDescent="0.25">
      <c r="T5928" s="135"/>
      <c r="U5928" s="135"/>
    </row>
    <row r="5929" spans="20:21" ht="15" customHeight="1" x14ac:dyDescent="0.25">
      <c r="T5929" s="135"/>
      <c r="U5929" s="135"/>
    </row>
    <row r="5930" spans="20:21" ht="15" customHeight="1" x14ac:dyDescent="0.25">
      <c r="T5930" s="135"/>
      <c r="U5930" s="135"/>
    </row>
    <row r="5931" spans="20:21" ht="15" customHeight="1" x14ac:dyDescent="0.25">
      <c r="T5931" s="135"/>
      <c r="U5931" s="135"/>
    </row>
    <row r="5932" spans="20:21" ht="15" customHeight="1" x14ac:dyDescent="0.25">
      <c r="T5932" s="135"/>
      <c r="U5932" s="135"/>
    </row>
    <row r="5933" spans="20:21" ht="15" customHeight="1" x14ac:dyDescent="0.25">
      <c r="T5933" s="135"/>
      <c r="U5933" s="135"/>
    </row>
    <row r="5934" spans="20:21" ht="15" customHeight="1" x14ac:dyDescent="0.25">
      <c r="T5934" s="135"/>
      <c r="U5934" s="135"/>
    </row>
    <row r="5935" spans="20:21" ht="15" customHeight="1" x14ac:dyDescent="0.25">
      <c r="T5935" s="135"/>
      <c r="U5935" s="135"/>
    </row>
    <row r="5936" spans="20:21" ht="15" customHeight="1" x14ac:dyDescent="0.25">
      <c r="T5936" s="135"/>
      <c r="U5936" s="135"/>
    </row>
    <row r="5937" spans="20:21" ht="15" customHeight="1" x14ac:dyDescent="0.25">
      <c r="T5937" s="135"/>
      <c r="U5937" s="135"/>
    </row>
    <row r="5938" spans="20:21" ht="15" customHeight="1" x14ac:dyDescent="0.25">
      <c r="T5938" s="135"/>
      <c r="U5938" s="135"/>
    </row>
    <row r="5939" spans="20:21" ht="15" customHeight="1" x14ac:dyDescent="0.25">
      <c r="T5939" s="135"/>
      <c r="U5939" s="135"/>
    </row>
    <row r="5940" spans="20:21" ht="15" customHeight="1" x14ac:dyDescent="0.25">
      <c r="T5940" s="135"/>
      <c r="U5940" s="135"/>
    </row>
    <row r="5941" spans="20:21" ht="15" customHeight="1" x14ac:dyDescent="0.25">
      <c r="T5941" s="135"/>
      <c r="U5941" s="135"/>
    </row>
    <row r="5942" spans="20:21" ht="15" customHeight="1" x14ac:dyDescent="0.25">
      <c r="T5942" s="135"/>
      <c r="U5942" s="135"/>
    </row>
    <row r="5943" spans="20:21" ht="15" customHeight="1" x14ac:dyDescent="0.25">
      <c r="T5943" s="135"/>
      <c r="U5943" s="135"/>
    </row>
    <row r="5944" spans="20:21" ht="15" customHeight="1" x14ac:dyDescent="0.25">
      <c r="T5944" s="135"/>
      <c r="U5944" s="135"/>
    </row>
    <row r="5945" spans="20:21" ht="15" customHeight="1" x14ac:dyDescent="0.25">
      <c r="T5945" s="135"/>
      <c r="U5945" s="135"/>
    </row>
    <row r="5946" spans="20:21" ht="15" customHeight="1" x14ac:dyDescent="0.25">
      <c r="T5946" s="135"/>
      <c r="U5946" s="135"/>
    </row>
    <row r="5947" spans="20:21" ht="15" customHeight="1" x14ac:dyDescent="0.25">
      <c r="T5947" s="135"/>
      <c r="U5947" s="135"/>
    </row>
    <row r="5948" spans="20:21" ht="15" customHeight="1" x14ac:dyDescent="0.25">
      <c r="T5948" s="135"/>
      <c r="U5948" s="135"/>
    </row>
    <row r="5949" spans="20:21" ht="15" customHeight="1" x14ac:dyDescent="0.25">
      <c r="T5949" s="135"/>
      <c r="U5949" s="135"/>
    </row>
    <row r="5950" spans="20:21" ht="15" customHeight="1" x14ac:dyDescent="0.25">
      <c r="T5950" s="135"/>
      <c r="U5950" s="135"/>
    </row>
    <row r="5951" spans="20:21" ht="15" customHeight="1" x14ac:dyDescent="0.25">
      <c r="T5951" s="135"/>
      <c r="U5951" s="135"/>
    </row>
    <row r="5952" spans="20:21" ht="15" customHeight="1" x14ac:dyDescent="0.25">
      <c r="T5952" s="135"/>
      <c r="U5952" s="135"/>
    </row>
    <row r="5953" spans="20:21" ht="15" customHeight="1" x14ac:dyDescent="0.25">
      <c r="T5953" s="135"/>
      <c r="U5953" s="135"/>
    </row>
    <row r="5954" spans="20:21" ht="15" customHeight="1" x14ac:dyDescent="0.25">
      <c r="T5954" s="135"/>
      <c r="U5954" s="135"/>
    </row>
    <row r="5955" spans="20:21" ht="15" customHeight="1" x14ac:dyDescent="0.25">
      <c r="T5955" s="135"/>
      <c r="U5955" s="135"/>
    </row>
    <row r="5956" spans="20:21" ht="15" customHeight="1" x14ac:dyDescent="0.25">
      <c r="T5956" s="135"/>
      <c r="U5956" s="135"/>
    </row>
    <row r="5957" spans="20:21" ht="15" customHeight="1" x14ac:dyDescent="0.25">
      <c r="T5957" s="135"/>
      <c r="U5957" s="135"/>
    </row>
    <row r="5958" spans="20:21" ht="15" customHeight="1" x14ac:dyDescent="0.25">
      <c r="T5958" s="135"/>
      <c r="U5958" s="135"/>
    </row>
    <row r="5959" spans="20:21" ht="15" customHeight="1" x14ac:dyDescent="0.25">
      <c r="T5959" s="135"/>
      <c r="U5959" s="135"/>
    </row>
    <row r="5960" spans="20:21" ht="15" customHeight="1" x14ac:dyDescent="0.25">
      <c r="T5960" s="135"/>
      <c r="U5960" s="135"/>
    </row>
    <row r="5961" spans="20:21" ht="15" customHeight="1" x14ac:dyDescent="0.25">
      <c r="T5961" s="135"/>
      <c r="U5961" s="135"/>
    </row>
    <row r="5962" spans="20:21" ht="15" customHeight="1" x14ac:dyDescent="0.25">
      <c r="T5962" s="135"/>
      <c r="U5962" s="135"/>
    </row>
    <row r="5963" spans="20:21" ht="15" customHeight="1" x14ac:dyDescent="0.25">
      <c r="T5963" s="135"/>
      <c r="U5963" s="135"/>
    </row>
    <row r="5964" spans="20:21" ht="15" customHeight="1" x14ac:dyDescent="0.25">
      <c r="T5964" s="135"/>
      <c r="U5964" s="135"/>
    </row>
    <row r="5965" spans="20:21" ht="15" customHeight="1" x14ac:dyDescent="0.25">
      <c r="T5965" s="135"/>
      <c r="U5965" s="135"/>
    </row>
    <row r="5966" spans="20:21" ht="15" customHeight="1" x14ac:dyDescent="0.25">
      <c r="T5966" s="135"/>
      <c r="U5966" s="135"/>
    </row>
    <row r="5967" spans="20:21" ht="15" customHeight="1" x14ac:dyDescent="0.25">
      <c r="T5967" s="135"/>
      <c r="U5967" s="135"/>
    </row>
    <row r="5968" spans="20:21" ht="15" customHeight="1" x14ac:dyDescent="0.25">
      <c r="T5968" s="135"/>
      <c r="U5968" s="135"/>
    </row>
    <row r="5969" spans="20:21" ht="15" customHeight="1" x14ac:dyDescent="0.25">
      <c r="T5969" s="135"/>
      <c r="U5969" s="135"/>
    </row>
    <row r="5970" spans="20:21" ht="15" customHeight="1" x14ac:dyDescent="0.25">
      <c r="T5970" s="135"/>
      <c r="U5970" s="135"/>
    </row>
    <row r="5971" spans="20:21" ht="15" customHeight="1" x14ac:dyDescent="0.25">
      <c r="T5971" s="135"/>
      <c r="U5971" s="135"/>
    </row>
    <row r="5972" spans="20:21" ht="15" customHeight="1" x14ac:dyDescent="0.25">
      <c r="T5972" s="135"/>
      <c r="U5972" s="135"/>
    </row>
    <row r="5973" spans="20:21" ht="15" customHeight="1" x14ac:dyDescent="0.25">
      <c r="T5973" s="135"/>
      <c r="U5973" s="135"/>
    </row>
    <row r="5974" spans="20:21" ht="15" customHeight="1" x14ac:dyDescent="0.25">
      <c r="T5974" s="135"/>
      <c r="U5974" s="135"/>
    </row>
    <row r="5975" spans="20:21" ht="15" customHeight="1" x14ac:dyDescent="0.25">
      <c r="T5975" s="135"/>
      <c r="U5975" s="135"/>
    </row>
    <row r="5976" spans="20:21" ht="15" customHeight="1" x14ac:dyDescent="0.25">
      <c r="T5976" s="135"/>
      <c r="U5976" s="135"/>
    </row>
    <row r="5977" spans="20:21" ht="15" customHeight="1" x14ac:dyDescent="0.25">
      <c r="T5977" s="135"/>
      <c r="U5977" s="135"/>
    </row>
    <row r="5978" spans="20:21" ht="15" customHeight="1" x14ac:dyDescent="0.25">
      <c r="T5978" s="135"/>
      <c r="U5978" s="135"/>
    </row>
    <row r="5979" spans="20:21" ht="15" customHeight="1" x14ac:dyDescent="0.25">
      <c r="T5979" s="135"/>
      <c r="U5979" s="135"/>
    </row>
    <row r="5980" spans="20:21" ht="15" customHeight="1" x14ac:dyDescent="0.25">
      <c r="T5980" s="135"/>
      <c r="U5980" s="135"/>
    </row>
    <row r="5981" spans="20:21" ht="15" customHeight="1" x14ac:dyDescent="0.25">
      <c r="T5981" s="135"/>
      <c r="U5981" s="135"/>
    </row>
    <row r="5982" spans="20:21" ht="15" customHeight="1" x14ac:dyDescent="0.25">
      <c r="T5982" s="135"/>
      <c r="U5982" s="135"/>
    </row>
    <row r="5983" spans="20:21" ht="15" customHeight="1" x14ac:dyDescent="0.25">
      <c r="T5983" s="135"/>
      <c r="U5983" s="135"/>
    </row>
    <row r="5984" spans="20:21" ht="15" customHeight="1" x14ac:dyDescent="0.25">
      <c r="T5984" s="135"/>
      <c r="U5984" s="135"/>
    </row>
    <row r="5985" spans="20:21" ht="15" customHeight="1" x14ac:dyDescent="0.25">
      <c r="T5985" s="135"/>
      <c r="U5985" s="135"/>
    </row>
    <row r="5986" spans="20:21" ht="15" customHeight="1" x14ac:dyDescent="0.25">
      <c r="T5986" s="135"/>
      <c r="U5986" s="135"/>
    </row>
    <row r="5987" spans="20:21" ht="15" customHeight="1" x14ac:dyDescent="0.25">
      <c r="T5987" s="135"/>
      <c r="U5987" s="135"/>
    </row>
    <row r="5988" spans="20:21" ht="15" customHeight="1" x14ac:dyDescent="0.25">
      <c r="T5988" s="135"/>
      <c r="U5988" s="135"/>
    </row>
    <row r="5989" spans="20:21" ht="15" customHeight="1" x14ac:dyDescent="0.25">
      <c r="T5989" s="135"/>
      <c r="U5989" s="135"/>
    </row>
    <row r="5990" spans="20:21" ht="15" customHeight="1" x14ac:dyDescent="0.25">
      <c r="T5990" s="135"/>
      <c r="U5990" s="135"/>
    </row>
    <row r="5991" spans="20:21" ht="15" customHeight="1" x14ac:dyDescent="0.25">
      <c r="T5991" s="135"/>
      <c r="U5991" s="135"/>
    </row>
    <row r="5992" spans="20:21" ht="15" customHeight="1" x14ac:dyDescent="0.25">
      <c r="T5992" s="135"/>
      <c r="U5992" s="135"/>
    </row>
    <row r="5993" spans="20:21" ht="15" customHeight="1" x14ac:dyDescent="0.25">
      <c r="T5993" s="135"/>
      <c r="U5993" s="135"/>
    </row>
    <row r="5994" spans="20:21" ht="15" customHeight="1" x14ac:dyDescent="0.25">
      <c r="T5994" s="135"/>
      <c r="U5994" s="135"/>
    </row>
    <row r="5995" spans="20:21" ht="15" customHeight="1" x14ac:dyDescent="0.25">
      <c r="T5995" s="135"/>
      <c r="U5995" s="135"/>
    </row>
    <row r="5996" spans="20:21" ht="15" customHeight="1" x14ac:dyDescent="0.25">
      <c r="T5996" s="135"/>
      <c r="U5996" s="135"/>
    </row>
    <row r="5997" spans="20:21" ht="15" customHeight="1" x14ac:dyDescent="0.25">
      <c r="T5997" s="135"/>
      <c r="U5997" s="135"/>
    </row>
    <row r="5998" spans="20:21" ht="15" customHeight="1" x14ac:dyDescent="0.25">
      <c r="T5998" s="135"/>
      <c r="U5998" s="135"/>
    </row>
    <row r="5999" spans="20:21" ht="15" customHeight="1" x14ac:dyDescent="0.25">
      <c r="T5999" s="135"/>
      <c r="U5999" s="135"/>
    </row>
    <row r="6000" spans="20:21" ht="15" customHeight="1" x14ac:dyDescent="0.25">
      <c r="T6000" s="135"/>
      <c r="U6000" s="135"/>
    </row>
    <row r="6001" spans="20:21" ht="15" customHeight="1" x14ac:dyDescent="0.25">
      <c r="T6001" s="135"/>
      <c r="U6001" s="135"/>
    </row>
    <row r="6002" spans="20:21" ht="15" customHeight="1" x14ac:dyDescent="0.25">
      <c r="T6002" s="135"/>
      <c r="U6002" s="135"/>
    </row>
    <row r="6003" spans="20:21" ht="15" customHeight="1" x14ac:dyDescent="0.25">
      <c r="T6003" s="135"/>
      <c r="U6003" s="135"/>
    </row>
    <row r="6004" spans="20:21" ht="15" customHeight="1" x14ac:dyDescent="0.25">
      <c r="T6004" s="135"/>
      <c r="U6004" s="135"/>
    </row>
    <row r="6005" spans="20:21" ht="15" customHeight="1" x14ac:dyDescent="0.25">
      <c r="T6005" s="135"/>
      <c r="U6005" s="135"/>
    </row>
    <row r="6006" spans="20:21" ht="15" customHeight="1" x14ac:dyDescent="0.25">
      <c r="T6006" s="135"/>
      <c r="U6006" s="135"/>
    </row>
    <row r="6007" spans="20:21" ht="15" customHeight="1" x14ac:dyDescent="0.25">
      <c r="T6007" s="135"/>
      <c r="U6007" s="135"/>
    </row>
    <row r="6008" spans="20:21" ht="15" customHeight="1" x14ac:dyDescent="0.25">
      <c r="T6008" s="135"/>
      <c r="U6008" s="135"/>
    </row>
    <row r="6009" spans="20:21" ht="15" customHeight="1" x14ac:dyDescent="0.25">
      <c r="T6009" s="135"/>
      <c r="U6009" s="135"/>
    </row>
    <row r="6010" spans="20:21" ht="15" customHeight="1" x14ac:dyDescent="0.25">
      <c r="T6010" s="135"/>
      <c r="U6010" s="135"/>
    </row>
    <row r="6011" spans="20:21" ht="15" customHeight="1" x14ac:dyDescent="0.25">
      <c r="T6011" s="135"/>
      <c r="U6011" s="135"/>
    </row>
    <row r="6012" spans="20:21" ht="15" customHeight="1" x14ac:dyDescent="0.25">
      <c r="T6012" s="135"/>
      <c r="U6012" s="135"/>
    </row>
    <row r="6013" spans="20:21" ht="15" customHeight="1" x14ac:dyDescent="0.25">
      <c r="T6013" s="135"/>
      <c r="U6013" s="135"/>
    </row>
    <row r="6014" spans="20:21" ht="15" customHeight="1" x14ac:dyDescent="0.25">
      <c r="T6014" s="135"/>
      <c r="U6014" s="135"/>
    </row>
    <row r="6015" spans="20:21" ht="15" customHeight="1" x14ac:dyDescent="0.25">
      <c r="T6015" s="135"/>
      <c r="U6015" s="135"/>
    </row>
    <row r="6016" spans="20:21" ht="15" customHeight="1" x14ac:dyDescent="0.25">
      <c r="T6016" s="135"/>
      <c r="U6016" s="135"/>
    </row>
    <row r="6017" spans="20:21" ht="15" customHeight="1" x14ac:dyDescent="0.25">
      <c r="T6017" s="135"/>
      <c r="U6017" s="135"/>
    </row>
    <row r="6018" spans="20:21" ht="15" customHeight="1" x14ac:dyDescent="0.25">
      <c r="T6018" s="135"/>
      <c r="U6018" s="135"/>
    </row>
    <row r="6019" spans="20:21" ht="15" customHeight="1" x14ac:dyDescent="0.25">
      <c r="T6019" s="135"/>
      <c r="U6019" s="135"/>
    </row>
    <row r="6020" spans="20:21" ht="15" customHeight="1" x14ac:dyDescent="0.25">
      <c r="T6020" s="135"/>
      <c r="U6020" s="135"/>
    </row>
    <row r="6021" spans="20:21" ht="15" customHeight="1" x14ac:dyDescent="0.25">
      <c r="T6021" s="135"/>
      <c r="U6021" s="135"/>
    </row>
    <row r="6022" spans="20:21" ht="15" customHeight="1" x14ac:dyDescent="0.25">
      <c r="T6022" s="135"/>
      <c r="U6022" s="135"/>
    </row>
    <row r="6023" spans="20:21" ht="15" customHeight="1" x14ac:dyDescent="0.25">
      <c r="T6023" s="135"/>
      <c r="U6023" s="135"/>
    </row>
    <row r="6024" spans="20:21" ht="15" customHeight="1" x14ac:dyDescent="0.25">
      <c r="T6024" s="135"/>
      <c r="U6024" s="135"/>
    </row>
    <row r="6025" spans="20:21" ht="15" customHeight="1" x14ac:dyDescent="0.25">
      <c r="T6025" s="135"/>
      <c r="U6025" s="135"/>
    </row>
    <row r="6026" spans="20:21" ht="15" customHeight="1" x14ac:dyDescent="0.25">
      <c r="T6026" s="135"/>
      <c r="U6026" s="135"/>
    </row>
    <row r="6027" spans="20:21" ht="15" customHeight="1" x14ac:dyDescent="0.25">
      <c r="T6027" s="135"/>
      <c r="U6027" s="135"/>
    </row>
    <row r="6028" spans="20:21" ht="15" customHeight="1" x14ac:dyDescent="0.25">
      <c r="T6028" s="135"/>
      <c r="U6028" s="135"/>
    </row>
    <row r="6029" spans="20:21" ht="15" customHeight="1" x14ac:dyDescent="0.25">
      <c r="T6029" s="135"/>
      <c r="U6029" s="135"/>
    </row>
    <row r="6030" spans="20:21" ht="15" customHeight="1" x14ac:dyDescent="0.25">
      <c r="T6030" s="135"/>
      <c r="U6030" s="135"/>
    </row>
    <row r="6031" spans="20:21" ht="15" customHeight="1" x14ac:dyDescent="0.25">
      <c r="T6031" s="135"/>
      <c r="U6031" s="135"/>
    </row>
    <row r="6032" spans="20:21" ht="15" customHeight="1" x14ac:dyDescent="0.25">
      <c r="T6032" s="135"/>
      <c r="U6032" s="135"/>
    </row>
    <row r="6033" spans="20:21" ht="15" customHeight="1" x14ac:dyDescent="0.25">
      <c r="T6033" s="135"/>
      <c r="U6033" s="135"/>
    </row>
    <row r="6034" spans="20:21" ht="15" customHeight="1" x14ac:dyDescent="0.25">
      <c r="T6034" s="135"/>
      <c r="U6034" s="135"/>
    </row>
    <row r="6035" spans="20:21" ht="15" customHeight="1" x14ac:dyDescent="0.25">
      <c r="T6035" s="135"/>
      <c r="U6035" s="135"/>
    </row>
    <row r="6036" spans="20:21" ht="15" customHeight="1" x14ac:dyDescent="0.25">
      <c r="T6036" s="135"/>
      <c r="U6036" s="135"/>
    </row>
    <row r="6037" spans="20:21" ht="15" customHeight="1" x14ac:dyDescent="0.25">
      <c r="T6037" s="135"/>
      <c r="U6037" s="135"/>
    </row>
    <row r="6038" spans="20:21" ht="15" customHeight="1" x14ac:dyDescent="0.25">
      <c r="T6038" s="135"/>
      <c r="U6038" s="135"/>
    </row>
    <row r="6039" spans="20:21" ht="15" customHeight="1" x14ac:dyDescent="0.25">
      <c r="T6039" s="135"/>
      <c r="U6039" s="135"/>
    </row>
    <row r="6040" spans="20:21" ht="15" customHeight="1" x14ac:dyDescent="0.25">
      <c r="T6040" s="135"/>
      <c r="U6040" s="135"/>
    </row>
    <row r="6041" spans="20:21" ht="15" customHeight="1" x14ac:dyDescent="0.25">
      <c r="T6041" s="135"/>
      <c r="U6041" s="135"/>
    </row>
    <row r="6042" spans="20:21" ht="15" customHeight="1" x14ac:dyDescent="0.25">
      <c r="T6042" s="135"/>
      <c r="U6042" s="135"/>
    </row>
    <row r="6043" spans="20:21" ht="15" customHeight="1" x14ac:dyDescent="0.25">
      <c r="T6043" s="135"/>
      <c r="U6043" s="135"/>
    </row>
    <row r="6044" spans="20:21" ht="15" customHeight="1" x14ac:dyDescent="0.25">
      <c r="T6044" s="135"/>
      <c r="U6044" s="135"/>
    </row>
    <row r="6045" spans="20:21" ht="15" customHeight="1" x14ac:dyDescent="0.25">
      <c r="T6045" s="135"/>
      <c r="U6045" s="135"/>
    </row>
    <row r="6046" spans="20:21" ht="15" customHeight="1" x14ac:dyDescent="0.25">
      <c r="T6046" s="135"/>
      <c r="U6046" s="135"/>
    </row>
    <row r="6047" spans="20:21" ht="15" customHeight="1" x14ac:dyDescent="0.25">
      <c r="T6047" s="135"/>
      <c r="U6047" s="135"/>
    </row>
    <row r="6048" spans="20:21" ht="15" customHeight="1" x14ac:dyDescent="0.25">
      <c r="T6048" s="135"/>
      <c r="U6048" s="135"/>
    </row>
    <row r="6049" spans="20:21" ht="15" customHeight="1" x14ac:dyDescent="0.25">
      <c r="T6049" s="135"/>
      <c r="U6049" s="135"/>
    </row>
    <row r="6050" spans="20:21" ht="15" customHeight="1" x14ac:dyDescent="0.25">
      <c r="T6050" s="135"/>
      <c r="U6050" s="135"/>
    </row>
    <row r="6051" spans="20:21" ht="15" customHeight="1" x14ac:dyDescent="0.25">
      <c r="T6051" s="135"/>
      <c r="U6051" s="135"/>
    </row>
    <row r="6052" spans="20:21" ht="15" customHeight="1" x14ac:dyDescent="0.25">
      <c r="T6052" s="135"/>
      <c r="U6052" s="135"/>
    </row>
    <row r="6053" spans="20:21" ht="15" customHeight="1" x14ac:dyDescent="0.25">
      <c r="T6053" s="135"/>
      <c r="U6053" s="135"/>
    </row>
    <row r="6054" spans="20:21" ht="15" customHeight="1" x14ac:dyDescent="0.25">
      <c r="T6054" s="135"/>
      <c r="U6054" s="135"/>
    </row>
    <row r="6055" spans="20:21" ht="15" customHeight="1" x14ac:dyDescent="0.25">
      <c r="T6055" s="135"/>
      <c r="U6055" s="135"/>
    </row>
    <row r="6056" spans="20:21" ht="15" customHeight="1" x14ac:dyDescent="0.25">
      <c r="T6056" s="135"/>
      <c r="U6056" s="135"/>
    </row>
    <row r="6057" spans="20:21" ht="15" customHeight="1" x14ac:dyDescent="0.25">
      <c r="T6057" s="135"/>
      <c r="U6057" s="135"/>
    </row>
    <row r="6058" spans="20:21" ht="15" customHeight="1" x14ac:dyDescent="0.25">
      <c r="T6058" s="135"/>
      <c r="U6058" s="135"/>
    </row>
    <row r="6059" spans="20:21" ht="15" customHeight="1" x14ac:dyDescent="0.25">
      <c r="T6059" s="135"/>
      <c r="U6059" s="135"/>
    </row>
    <row r="6060" spans="20:21" ht="15" customHeight="1" x14ac:dyDescent="0.25">
      <c r="T6060" s="135"/>
      <c r="U6060" s="135"/>
    </row>
    <row r="6061" spans="20:21" ht="15" customHeight="1" x14ac:dyDescent="0.25">
      <c r="T6061" s="135"/>
      <c r="U6061" s="135"/>
    </row>
    <row r="6062" spans="20:21" ht="15" customHeight="1" x14ac:dyDescent="0.25">
      <c r="T6062" s="135"/>
      <c r="U6062" s="135"/>
    </row>
    <row r="6063" spans="20:21" ht="15" customHeight="1" x14ac:dyDescent="0.25">
      <c r="T6063" s="135"/>
      <c r="U6063" s="135"/>
    </row>
    <row r="6064" spans="20:21" ht="15" customHeight="1" x14ac:dyDescent="0.25">
      <c r="T6064" s="135"/>
      <c r="U6064" s="135"/>
    </row>
    <row r="6065" spans="20:21" ht="15" customHeight="1" x14ac:dyDescent="0.25">
      <c r="T6065" s="135"/>
      <c r="U6065" s="135"/>
    </row>
    <row r="6066" spans="20:21" ht="15" customHeight="1" x14ac:dyDescent="0.25">
      <c r="T6066" s="135"/>
      <c r="U6066" s="135"/>
    </row>
    <row r="6067" spans="20:21" ht="15" customHeight="1" x14ac:dyDescent="0.25">
      <c r="T6067" s="135"/>
      <c r="U6067" s="135"/>
    </row>
    <row r="6068" spans="20:21" ht="15" customHeight="1" x14ac:dyDescent="0.25">
      <c r="T6068" s="135"/>
      <c r="U6068" s="135"/>
    </row>
    <row r="6069" spans="20:21" ht="15" customHeight="1" x14ac:dyDescent="0.25">
      <c r="T6069" s="135"/>
      <c r="U6069" s="135"/>
    </row>
    <row r="6070" spans="20:21" ht="15" customHeight="1" x14ac:dyDescent="0.25">
      <c r="T6070" s="135"/>
      <c r="U6070" s="135"/>
    </row>
    <row r="6071" spans="20:21" ht="15" customHeight="1" x14ac:dyDescent="0.25">
      <c r="T6071" s="135"/>
      <c r="U6071" s="135"/>
    </row>
    <row r="6072" spans="20:21" ht="15" customHeight="1" x14ac:dyDescent="0.25">
      <c r="T6072" s="135"/>
      <c r="U6072" s="135"/>
    </row>
    <row r="6073" spans="20:21" ht="15" customHeight="1" x14ac:dyDescent="0.25">
      <c r="T6073" s="135"/>
      <c r="U6073" s="135"/>
    </row>
    <row r="6074" spans="20:21" ht="15" customHeight="1" x14ac:dyDescent="0.25">
      <c r="T6074" s="135"/>
      <c r="U6074" s="135"/>
    </row>
    <row r="6075" spans="20:21" ht="15" customHeight="1" x14ac:dyDescent="0.25">
      <c r="T6075" s="135"/>
      <c r="U6075" s="135"/>
    </row>
    <row r="6076" spans="20:21" ht="15" customHeight="1" x14ac:dyDescent="0.25">
      <c r="T6076" s="135"/>
      <c r="U6076" s="135"/>
    </row>
    <row r="6077" spans="20:21" ht="15" customHeight="1" x14ac:dyDescent="0.25">
      <c r="T6077" s="135"/>
      <c r="U6077" s="135"/>
    </row>
    <row r="6078" spans="20:21" ht="15" customHeight="1" x14ac:dyDescent="0.25">
      <c r="T6078" s="135"/>
      <c r="U6078" s="135"/>
    </row>
    <row r="6079" spans="20:21" ht="15" customHeight="1" x14ac:dyDescent="0.25">
      <c r="T6079" s="135"/>
      <c r="U6079" s="135"/>
    </row>
    <row r="6080" spans="20:21" ht="15" customHeight="1" x14ac:dyDescent="0.25">
      <c r="T6080" s="135"/>
      <c r="U6080" s="135"/>
    </row>
    <row r="6081" spans="20:21" ht="15" customHeight="1" x14ac:dyDescent="0.25">
      <c r="T6081" s="135"/>
      <c r="U6081" s="135"/>
    </row>
    <row r="6082" spans="20:21" ht="15" customHeight="1" x14ac:dyDescent="0.25">
      <c r="T6082" s="135"/>
      <c r="U6082" s="135"/>
    </row>
    <row r="6083" spans="20:21" ht="15" customHeight="1" x14ac:dyDescent="0.25">
      <c r="T6083" s="135"/>
      <c r="U6083" s="135"/>
    </row>
    <row r="6084" spans="20:21" ht="15" customHeight="1" x14ac:dyDescent="0.25">
      <c r="T6084" s="135"/>
      <c r="U6084" s="135"/>
    </row>
    <row r="6085" spans="20:21" ht="15" customHeight="1" x14ac:dyDescent="0.25">
      <c r="T6085" s="135"/>
      <c r="U6085" s="135"/>
    </row>
    <row r="6086" spans="20:21" ht="15" customHeight="1" x14ac:dyDescent="0.25">
      <c r="T6086" s="135"/>
      <c r="U6086" s="135"/>
    </row>
    <row r="6087" spans="20:21" ht="15" customHeight="1" x14ac:dyDescent="0.25">
      <c r="T6087" s="135"/>
      <c r="U6087" s="135"/>
    </row>
    <row r="6088" spans="20:21" ht="15" customHeight="1" x14ac:dyDescent="0.25">
      <c r="T6088" s="135"/>
      <c r="U6088" s="135"/>
    </row>
    <row r="6089" spans="20:21" ht="15" customHeight="1" x14ac:dyDescent="0.25">
      <c r="T6089" s="135"/>
      <c r="U6089" s="135"/>
    </row>
    <row r="6090" spans="20:21" ht="15" customHeight="1" x14ac:dyDescent="0.25">
      <c r="T6090" s="135"/>
      <c r="U6090" s="135"/>
    </row>
    <row r="6091" spans="20:21" ht="15" customHeight="1" x14ac:dyDescent="0.25">
      <c r="T6091" s="135"/>
      <c r="U6091" s="135"/>
    </row>
    <row r="6092" spans="20:21" ht="15" customHeight="1" x14ac:dyDescent="0.25">
      <c r="T6092" s="135"/>
      <c r="U6092" s="135"/>
    </row>
    <row r="6093" spans="20:21" ht="15" customHeight="1" x14ac:dyDescent="0.25">
      <c r="T6093" s="135"/>
      <c r="U6093" s="135"/>
    </row>
    <row r="6094" spans="20:21" ht="15" customHeight="1" x14ac:dyDescent="0.25">
      <c r="T6094" s="135"/>
      <c r="U6094" s="135"/>
    </row>
    <row r="6095" spans="20:21" ht="15" customHeight="1" x14ac:dyDescent="0.25">
      <c r="T6095" s="135"/>
      <c r="U6095" s="135"/>
    </row>
    <row r="6096" spans="20:21" ht="15" customHeight="1" x14ac:dyDescent="0.25">
      <c r="T6096" s="135"/>
      <c r="U6096" s="135"/>
    </row>
    <row r="6097" spans="20:21" ht="15" customHeight="1" x14ac:dyDescent="0.25">
      <c r="T6097" s="135"/>
      <c r="U6097" s="135"/>
    </row>
    <row r="6098" spans="20:21" ht="15" customHeight="1" x14ac:dyDescent="0.25">
      <c r="T6098" s="135"/>
      <c r="U6098" s="135"/>
    </row>
    <row r="6099" spans="20:21" ht="15" customHeight="1" x14ac:dyDescent="0.25">
      <c r="T6099" s="135"/>
      <c r="U6099" s="135"/>
    </row>
    <row r="6100" spans="20:21" ht="15" customHeight="1" x14ac:dyDescent="0.25">
      <c r="T6100" s="135"/>
      <c r="U6100" s="135"/>
    </row>
    <row r="6101" spans="20:21" ht="15" customHeight="1" x14ac:dyDescent="0.25">
      <c r="T6101" s="135"/>
      <c r="U6101" s="135"/>
    </row>
    <row r="6102" spans="20:21" ht="15" customHeight="1" x14ac:dyDescent="0.25">
      <c r="T6102" s="135"/>
      <c r="U6102" s="135"/>
    </row>
    <row r="6103" spans="20:21" ht="15" customHeight="1" x14ac:dyDescent="0.25">
      <c r="T6103" s="135"/>
      <c r="U6103" s="135"/>
    </row>
    <row r="6104" spans="20:21" ht="15" customHeight="1" x14ac:dyDescent="0.25">
      <c r="T6104" s="135"/>
      <c r="U6104" s="135"/>
    </row>
    <row r="6105" spans="20:21" ht="15" customHeight="1" x14ac:dyDescent="0.25">
      <c r="T6105" s="135"/>
      <c r="U6105" s="135"/>
    </row>
    <row r="6106" spans="20:21" ht="15" customHeight="1" x14ac:dyDescent="0.25">
      <c r="T6106" s="135"/>
      <c r="U6106" s="135"/>
    </row>
    <row r="6107" spans="20:21" ht="15" customHeight="1" x14ac:dyDescent="0.25">
      <c r="T6107" s="135"/>
      <c r="U6107" s="135"/>
    </row>
    <row r="6108" spans="20:21" ht="15" customHeight="1" x14ac:dyDescent="0.25">
      <c r="T6108" s="135"/>
      <c r="U6108" s="135"/>
    </row>
    <row r="6109" spans="20:21" ht="15" customHeight="1" x14ac:dyDescent="0.25">
      <c r="T6109" s="135"/>
      <c r="U6109" s="135"/>
    </row>
    <row r="6110" spans="20:21" ht="15" customHeight="1" x14ac:dyDescent="0.25">
      <c r="T6110" s="135"/>
      <c r="U6110" s="135"/>
    </row>
    <row r="6111" spans="20:21" ht="15" customHeight="1" x14ac:dyDescent="0.25">
      <c r="T6111" s="135"/>
      <c r="U6111" s="135"/>
    </row>
    <row r="6112" spans="20:21" ht="15" customHeight="1" x14ac:dyDescent="0.25">
      <c r="T6112" s="135"/>
      <c r="U6112" s="135"/>
    </row>
    <row r="6113" spans="20:21" ht="15" customHeight="1" x14ac:dyDescent="0.25">
      <c r="T6113" s="135"/>
      <c r="U6113" s="135"/>
    </row>
    <row r="6114" spans="20:21" ht="15" customHeight="1" x14ac:dyDescent="0.25">
      <c r="T6114" s="135"/>
      <c r="U6114" s="135"/>
    </row>
    <row r="6115" spans="20:21" ht="15" customHeight="1" x14ac:dyDescent="0.25">
      <c r="T6115" s="135"/>
      <c r="U6115" s="135"/>
    </row>
    <row r="6116" spans="20:21" ht="15" customHeight="1" x14ac:dyDescent="0.25">
      <c r="T6116" s="135"/>
      <c r="U6116" s="135"/>
    </row>
    <row r="6117" spans="20:21" ht="15" customHeight="1" x14ac:dyDescent="0.25">
      <c r="T6117" s="135"/>
      <c r="U6117" s="135"/>
    </row>
    <row r="6118" spans="20:21" ht="15" customHeight="1" x14ac:dyDescent="0.25">
      <c r="T6118" s="135"/>
      <c r="U6118" s="135"/>
    </row>
    <row r="6119" spans="20:21" ht="15" customHeight="1" x14ac:dyDescent="0.25">
      <c r="T6119" s="135"/>
      <c r="U6119" s="135"/>
    </row>
    <row r="6120" spans="20:21" ht="15" customHeight="1" x14ac:dyDescent="0.25">
      <c r="T6120" s="135"/>
      <c r="U6120" s="135"/>
    </row>
    <row r="6121" spans="20:21" ht="15" customHeight="1" x14ac:dyDescent="0.25">
      <c r="T6121" s="135"/>
      <c r="U6121" s="135"/>
    </row>
    <row r="6122" spans="20:21" ht="15" customHeight="1" x14ac:dyDescent="0.25">
      <c r="T6122" s="135"/>
      <c r="U6122" s="135"/>
    </row>
    <row r="6123" spans="20:21" ht="15" customHeight="1" x14ac:dyDescent="0.25">
      <c r="T6123" s="135"/>
      <c r="U6123" s="135"/>
    </row>
    <row r="6124" spans="20:21" ht="15" customHeight="1" x14ac:dyDescent="0.25">
      <c r="T6124" s="135"/>
      <c r="U6124" s="135"/>
    </row>
    <row r="6125" spans="20:21" ht="15" customHeight="1" x14ac:dyDescent="0.25">
      <c r="T6125" s="135"/>
      <c r="U6125" s="135"/>
    </row>
    <row r="6126" spans="20:21" ht="15" customHeight="1" x14ac:dyDescent="0.25">
      <c r="T6126" s="135"/>
      <c r="U6126" s="135"/>
    </row>
    <row r="6127" spans="20:21" ht="15" customHeight="1" x14ac:dyDescent="0.25">
      <c r="T6127" s="135"/>
      <c r="U6127" s="135"/>
    </row>
    <row r="6128" spans="20:21" ht="15" customHeight="1" x14ac:dyDescent="0.25">
      <c r="T6128" s="135"/>
      <c r="U6128" s="135"/>
    </row>
    <row r="6129" spans="20:21" ht="15" customHeight="1" x14ac:dyDescent="0.25">
      <c r="T6129" s="135"/>
      <c r="U6129" s="135"/>
    </row>
    <row r="6130" spans="20:21" ht="15" customHeight="1" x14ac:dyDescent="0.25">
      <c r="T6130" s="135"/>
      <c r="U6130" s="135"/>
    </row>
    <row r="6131" spans="20:21" ht="15" customHeight="1" x14ac:dyDescent="0.25">
      <c r="T6131" s="135"/>
      <c r="U6131" s="135"/>
    </row>
    <row r="6132" spans="20:21" ht="15" customHeight="1" x14ac:dyDescent="0.25">
      <c r="T6132" s="135"/>
      <c r="U6132" s="135"/>
    </row>
    <row r="6133" spans="20:21" ht="15" customHeight="1" x14ac:dyDescent="0.25">
      <c r="T6133" s="135"/>
      <c r="U6133" s="135"/>
    </row>
    <row r="6134" spans="20:21" ht="15" customHeight="1" x14ac:dyDescent="0.25">
      <c r="T6134" s="135"/>
      <c r="U6134" s="135"/>
    </row>
    <row r="6135" spans="20:21" ht="15" customHeight="1" x14ac:dyDescent="0.25">
      <c r="T6135" s="135"/>
      <c r="U6135" s="135"/>
    </row>
    <row r="6136" spans="20:21" ht="15" customHeight="1" x14ac:dyDescent="0.25">
      <c r="T6136" s="135"/>
      <c r="U6136" s="135"/>
    </row>
    <row r="6137" spans="20:21" ht="15" customHeight="1" x14ac:dyDescent="0.25">
      <c r="T6137" s="135"/>
      <c r="U6137" s="135"/>
    </row>
    <row r="6138" spans="20:21" ht="15" customHeight="1" x14ac:dyDescent="0.25">
      <c r="T6138" s="135"/>
      <c r="U6138" s="135"/>
    </row>
    <row r="6139" spans="20:21" ht="15" customHeight="1" x14ac:dyDescent="0.25">
      <c r="T6139" s="135"/>
      <c r="U6139" s="135"/>
    </row>
    <row r="6140" spans="20:21" ht="15" customHeight="1" x14ac:dyDescent="0.25">
      <c r="T6140" s="135"/>
      <c r="U6140" s="135"/>
    </row>
    <row r="6141" spans="20:21" ht="15" customHeight="1" x14ac:dyDescent="0.25">
      <c r="T6141" s="135"/>
      <c r="U6141" s="135"/>
    </row>
    <row r="6142" spans="20:21" ht="15" customHeight="1" x14ac:dyDescent="0.25">
      <c r="T6142" s="135"/>
      <c r="U6142" s="135"/>
    </row>
    <row r="6143" spans="20:21" ht="15" customHeight="1" x14ac:dyDescent="0.25">
      <c r="T6143" s="135"/>
      <c r="U6143" s="135"/>
    </row>
    <row r="6144" spans="20:21" ht="15" customHeight="1" x14ac:dyDescent="0.25">
      <c r="T6144" s="135"/>
      <c r="U6144" s="135"/>
    </row>
    <row r="6145" spans="20:21" ht="15" customHeight="1" x14ac:dyDescent="0.25">
      <c r="T6145" s="135"/>
      <c r="U6145" s="135"/>
    </row>
    <row r="6146" spans="20:21" ht="15" customHeight="1" x14ac:dyDescent="0.25">
      <c r="T6146" s="135"/>
      <c r="U6146" s="135"/>
    </row>
    <row r="6147" spans="20:21" ht="15" customHeight="1" x14ac:dyDescent="0.25">
      <c r="T6147" s="135"/>
      <c r="U6147" s="135"/>
    </row>
    <row r="6148" spans="20:21" ht="15" customHeight="1" x14ac:dyDescent="0.25">
      <c r="T6148" s="135"/>
      <c r="U6148" s="135"/>
    </row>
    <row r="6149" spans="20:21" ht="15" customHeight="1" x14ac:dyDescent="0.25">
      <c r="T6149" s="135"/>
      <c r="U6149" s="135"/>
    </row>
    <row r="6150" spans="20:21" ht="15" customHeight="1" x14ac:dyDescent="0.25">
      <c r="T6150" s="135"/>
      <c r="U6150" s="135"/>
    </row>
    <row r="6151" spans="20:21" ht="15" customHeight="1" x14ac:dyDescent="0.25">
      <c r="T6151" s="135"/>
      <c r="U6151" s="135"/>
    </row>
    <row r="6152" spans="20:21" ht="15" customHeight="1" x14ac:dyDescent="0.25">
      <c r="T6152" s="135"/>
      <c r="U6152" s="135"/>
    </row>
    <row r="6153" spans="20:21" ht="15" customHeight="1" x14ac:dyDescent="0.25">
      <c r="T6153" s="135"/>
      <c r="U6153" s="135"/>
    </row>
    <row r="6154" spans="20:21" ht="15" customHeight="1" x14ac:dyDescent="0.25">
      <c r="T6154" s="135"/>
      <c r="U6154" s="135"/>
    </row>
    <row r="6155" spans="20:21" ht="15" customHeight="1" x14ac:dyDescent="0.25">
      <c r="T6155" s="135"/>
      <c r="U6155" s="135"/>
    </row>
    <row r="6156" spans="20:21" ht="15" customHeight="1" x14ac:dyDescent="0.25">
      <c r="T6156" s="135"/>
      <c r="U6156" s="135"/>
    </row>
    <row r="6157" spans="20:21" ht="15" customHeight="1" x14ac:dyDescent="0.25">
      <c r="T6157" s="135"/>
      <c r="U6157" s="135"/>
    </row>
    <row r="6158" spans="20:21" ht="15" customHeight="1" x14ac:dyDescent="0.25">
      <c r="T6158" s="135"/>
      <c r="U6158" s="135"/>
    </row>
    <row r="6159" spans="20:21" ht="15" customHeight="1" x14ac:dyDescent="0.25">
      <c r="T6159" s="135"/>
      <c r="U6159" s="135"/>
    </row>
    <row r="6160" spans="20:21" ht="15" customHeight="1" x14ac:dyDescent="0.25">
      <c r="T6160" s="135"/>
      <c r="U6160" s="135"/>
    </row>
    <row r="6161" spans="20:21" ht="15" customHeight="1" x14ac:dyDescent="0.25">
      <c r="T6161" s="135"/>
      <c r="U6161" s="135"/>
    </row>
    <row r="6162" spans="20:21" ht="15" customHeight="1" x14ac:dyDescent="0.25">
      <c r="T6162" s="135"/>
      <c r="U6162" s="135"/>
    </row>
    <row r="6163" spans="20:21" ht="15" customHeight="1" x14ac:dyDescent="0.25">
      <c r="T6163" s="135"/>
      <c r="U6163" s="135"/>
    </row>
    <row r="6164" spans="20:21" ht="15" customHeight="1" x14ac:dyDescent="0.25">
      <c r="T6164" s="135"/>
      <c r="U6164" s="135"/>
    </row>
    <row r="6165" spans="20:21" ht="15" customHeight="1" x14ac:dyDescent="0.25">
      <c r="T6165" s="135"/>
      <c r="U6165" s="135"/>
    </row>
    <row r="6166" spans="20:21" ht="15" customHeight="1" x14ac:dyDescent="0.25">
      <c r="T6166" s="135"/>
      <c r="U6166" s="135"/>
    </row>
    <row r="6167" spans="20:21" ht="15" customHeight="1" x14ac:dyDescent="0.25">
      <c r="T6167" s="135"/>
      <c r="U6167" s="135"/>
    </row>
    <row r="6168" spans="20:21" ht="15" customHeight="1" x14ac:dyDescent="0.25">
      <c r="T6168" s="135"/>
      <c r="U6168" s="135"/>
    </row>
    <row r="6169" spans="20:21" ht="15" customHeight="1" x14ac:dyDescent="0.25">
      <c r="T6169" s="135"/>
      <c r="U6169" s="135"/>
    </row>
    <row r="6170" spans="20:21" ht="15" customHeight="1" x14ac:dyDescent="0.25">
      <c r="T6170" s="135"/>
      <c r="U6170" s="135"/>
    </row>
    <row r="6171" spans="20:21" ht="15" customHeight="1" x14ac:dyDescent="0.25">
      <c r="T6171" s="135"/>
      <c r="U6171" s="135"/>
    </row>
    <row r="6172" spans="20:21" ht="15" customHeight="1" x14ac:dyDescent="0.25">
      <c r="T6172" s="135"/>
      <c r="U6172" s="135"/>
    </row>
    <row r="6173" spans="20:21" ht="15" customHeight="1" x14ac:dyDescent="0.25">
      <c r="T6173" s="135"/>
      <c r="U6173" s="135"/>
    </row>
    <row r="6174" spans="20:21" ht="15" customHeight="1" x14ac:dyDescent="0.25">
      <c r="T6174" s="135"/>
      <c r="U6174" s="135"/>
    </row>
    <row r="6175" spans="20:21" ht="15" customHeight="1" x14ac:dyDescent="0.25">
      <c r="T6175" s="135"/>
      <c r="U6175" s="135"/>
    </row>
    <row r="6176" spans="20:21" ht="15" customHeight="1" x14ac:dyDescent="0.25">
      <c r="T6176" s="135"/>
      <c r="U6176" s="135"/>
    </row>
    <row r="6177" spans="20:21" ht="15" customHeight="1" x14ac:dyDescent="0.25">
      <c r="T6177" s="135"/>
      <c r="U6177" s="135"/>
    </row>
    <row r="6178" spans="20:21" ht="15" customHeight="1" x14ac:dyDescent="0.25">
      <c r="T6178" s="135"/>
      <c r="U6178" s="135"/>
    </row>
    <row r="6179" spans="20:21" ht="15" customHeight="1" x14ac:dyDescent="0.25">
      <c r="T6179" s="135"/>
      <c r="U6179" s="135"/>
    </row>
    <row r="6180" spans="20:21" ht="15" customHeight="1" x14ac:dyDescent="0.25">
      <c r="T6180" s="135"/>
      <c r="U6180" s="135"/>
    </row>
    <row r="6181" spans="20:21" ht="15" customHeight="1" x14ac:dyDescent="0.25">
      <c r="T6181" s="135"/>
      <c r="U6181" s="135"/>
    </row>
    <row r="6182" spans="20:21" ht="15" customHeight="1" x14ac:dyDescent="0.25">
      <c r="T6182" s="135"/>
      <c r="U6182" s="135"/>
    </row>
    <row r="6183" spans="20:21" ht="15" customHeight="1" x14ac:dyDescent="0.25">
      <c r="T6183" s="135"/>
      <c r="U6183" s="135"/>
    </row>
    <row r="6184" spans="20:21" ht="15" customHeight="1" x14ac:dyDescent="0.25">
      <c r="T6184" s="135"/>
      <c r="U6184" s="135"/>
    </row>
    <row r="6185" spans="20:21" ht="15" customHeight="1" x14ac:dyDescent="0.25">
      <c r="T6185" s="135"/>
      <c r="U6185" s="135"/>
    </row>
    <row r="6186" spans="20:21" ht="15" customHeight="1" x14ac:dyDescent="0.25">
      <c r="T6186" s="135"/>
      <c r="U6186" s="135"/>
    </row>
    <row r="6187" spans="20:21" ht="15" customHeight="1" x14ac:dyDescent="0.25">
      <c r="T6187" s="135"/>
      <c r="U6187" s="135"/>
    </row>
    <row r="6188" spans="20:21" ht="15" customHeight="1" x14ac:dyDescent="0.25">
      <c r="T6188" s="135"/>
      <c r="U6188" s="135"/>
    </row>
    <row r="6189" spans="20:21" ht="15" customHeight="1" x14ac:dyDescent="0.25">
      <c r="T6189" s="135"/>
      <c r="U6189" s="135"/>
    </row>
    <row r="6190" spans="20:21" ht="15" customHeight="1" x14ac:dyDescent="0.25">
      <c r="T6190" s="135"/>
      <c r="U6190" s="135"/>
    </row>
    <row r="6191" spans="20:21" ht="15" customHeight="1" x14ac:dyDescent="0.25">
      <c r="T6191" s="135"/>
      <c r="U6191" s="135"/>
    </row>
    <row r="6192" spans="20:21" ht="15" customHeight="1" x14ac:dyDescent="0.25">
      <c r="T6192" s="135"/>
      <c r="U6192" s="135"/>
    </row>
    <row r="6193" spans="20:21" ht="15" customHeight="1" x14ac:dyDescent="0.25">
      <c r="T6193" s="135"/>
      <c r="U6193" s="135"/>
    </row>
    <row r="6194" spans="20:21" ht="15" customHeight="1" x14ac:dyDescent="0.25">
      <c r="T6194" s="135"/>
      <c r="U6194" s="135"/>
    </row>
    <row r="6195" spans="20:21" ht="15" customHeight="1" x14ac:dyDescent="0.25">
      <c r="T6195" s="135"/>
      <c r="U6195" s="135"/>
    </row>
    <row r="6196" spans="20:21" ht="15" customHeight="1" x14ac:dyDescent="0.25">
      <c r="T6196" s="135"/>
      <c r="U6196" s="135"/>
    </row>
    <row r="6197" spans="20:21" ht="15" customHeight="1" x14ac:dyDescent="0.25">
      <c r="T6197" s="135"/>
      <c r="U6197" s="135"/>
    </row>
    <row r="6198" spans="20:21" ht="15" customHeight="1" x14ac:dyDescent="0.25">
      <c r="T6198" s="135"/>
      <c r="U6198" s="135"/>
    </row>
    <row r="6199" spans="20:21" ht="15" customHeight="1" x14ac:dyDescent="0.25">
      <c r="T6199" s="135"/>
      <c r="U6199" s="135"/>
    </row>
    <row r="6200" spans="20:21" ht="15" customHeight="1" x14ac:dyDescent="0.25">
      <c r="T6200" s="135"/>
      <c r="U6200" s="135"/>
    </row>
    <row r="6201" spans="20:21" ht="15" customHeight="1" x14ac:dyDescent="0.25">
      <c r="T6201" s="135"/>
      <c r="U6201" s="135"/>
    </row>
    <row r="6202" spans="20:21" ht="15" customHeight="1" x14ac:dyDescent="0.25">
      <c r="T6202" s="135"/>
      <c r="U6202" s="135"/>
    </row>
    <row r="6203" spans="20:21" ht="15" customHeight="1" x14ac:dyDescent="0.25">
      <c r="T6203" s="135"/>
      <c r="U6203" s="135"/>
    </row>
    <row r="6204" spans="20:21" ht="15" customHeight="1" x14ac:dyDescent="0.25">
      <c r="T6204" s="135"/>
      <c r="U6204" s="135"/>
    </row>
    <row r="6205" spans="20:21" ht="15" customHeight="1" x14ac:dyDescent="0.25">
      <c r="T6205" s="135"/>
      <c r="U6205" s="135"/>
    </row>
    <row r="6206" spans="20:21" ht="15" customHeight="1" x14ac:dyDescent="0.25">
      <c r="T6206" s="135"/>
      <c r="U6206" s="135"/>
    </row>
    <row r="6207" spans="20:21" ht="15" customHeight="1" x14ac:dyDescent="0.25">
      <c r="T6207" s="135"/>
      <c r="U6207" s="135"/>
    </row>
    <row r="6208" spans="20:21" ht="15" customHeight="1" x14ac:dyDescent="0.25">
      <c r="T6208" s="135"/>
      <c r="U6208" s="135"/>
    </row>
    <row r="6209" spans="20:21" ht="15" customHeight="1" x14ac:dyDescent="0.25">
      <c r="T6209" s="135"/>
      <c r="U6209" s="135"/>
    </row>
    <row r="6210" spans="20:21" ht="15" customHeight="1" x14ac:dyDescent="0.25">
      <c r="T6210" s="135"/>
      <c r="U6210" s="135"/>
    </row>
    <row r="6211" spans="20:21" ht="15" customHeight="1" x14ac:dyDescent="0.25">
      <c r="T6211" s="135"/>
      <c r="U6211" s="135"/>
    </row>
    <row r="6212" spans="20:21" ht="15" customHeight="1" x14ac:dyDescent="0.25">
      <c r="T6212" s="135"/>
      <c r="U6212" s="135"/>
    </row>
    <row r="6213" spans="20:21" ht="15" customHeight="1" x14ac:dyDescent="0.25">
      <c r="T6213" s="135"/>
      <c r="U6213" s="135"/>
    </row>
    <row r="6214" spans="20:21" ht="15" customHeight="1" x14ac:dyDescent="0.25">
      <c r="T6214" s="135"/>
      <c r="U6214" s="135"/>
    </row>
    <row r="6215" spans="20:21" ht="15" customHeight="1" x14ac:dyDescent="0.25">
      <c r="T6215" s="135"/>
      <c r="U6215" s="135"/>
    </row>
    <row r="6216" spans="20:21" ht="15" customHeight="1" x14ac:dyDescent="0.25">
      <c r="T6216" s="135"/>
      <c r="U6216" s="135"/>
    </row>
    <row r="6217" spans="20:21" ht="15" customHeight="1" x14ac:dyDescent="0.25">
      <c r="T6217" s="135"/>
      <c r="U6217" s="135"/>
    </row>
    <row r="6218" spans="20:21" ht="15" customHeight="1" x14ac:dyDescent="0.25">
      <c r="T6218" s="135"/>
      <c r="U6218" s="135"/>
    </row>
    <row r="6219" spans="20:21" ht="15" customHeight="1" x14ac:dyDescent="0.25">
      <c r="T6219" s="135"/>
      <c r="U6219" s="135"/>
    </row>
    <row r="6220" spans="20:21" ht="15" customHeight="1" x14ac:dyDescent="0.25">
      <c r="T6220" s="135"/>
      <c r="U6220" s="135"/>
    </row>
    <row r="6221" spans="20:21" ht="15" customHeight="1" x14ac:dyDescent="0.25">
      <c r="T6221" s="135"/>
      <c r="U6221" s="135"/>
    </row>
    <row r="6222" spans="20:21" ht="15" customHeight="1" x14ac:dyDescent="0.25">
      <c r="T6222" s="135"/>
      <c r="U6222" s="135"/>
    </row>
    <row r="6223" spans="20:21" ht="15" customHeight="1" x14ac:dyDescent="0.25">
      <c r="T6223" s="135"/>
      <c r="U6223" s="135"/>
    </row>
    <row r="6224" spans="20:21" ht="15" customHeight="1" x14ac:dyDescent="0.25">
      <c r="T6224" s="135"/>
      <c r="U6224" s="135"/>
    </row>
    <row r="6225" spans="20:21" ht="15" customHeight="1" x14ac:dyDescent="0.25">
      <c r="T6225" s="135"/>
      <c r="U6225" s="135"/>
    </row>
    <row r="6226" spans="20:21" ht="15" customHeight="1" x14ac:dyDescent="0.25">
      <c r="T6226" s="135"/>
      <c r="U6226" s="135"/>
    </row>
    <row r="6227" spans="20:21" ht="15" customHeight="1" x14ac:dyDescent="0.25">
      <c r="T6227" s="135"/>
      <c r="U6227" s="135"/>
    </row>
    <row r="6228" spans="20:21" ht="15" customHeight="1" x14ac:dyDescent="0.25">
      <c r="T6228" s="135"/>
      <c r="U6228" s="135"/>
    </row>
    <row r="6229" spans="20:21" ht="15" customHeight="1" x14ac:dyDescent="0.25">
      <c r="T6229" s="135"/>
      <c r="U6229" s="135"/>
    </row>
    <row r="6230" spans="20:21" ht="15" customHeight="1" x14ac:dyDescent="0.25">
      <c r="T6230" s="135"/>
      <c r="U6230" s="135"/>
    </row>
    <row r="6231" spans="20:21" ht="15" customHeight="1" x14ac:dyDescent="0.25">
      <c r="T6231" s="135"/>
      <c r="U6231" s="135"/>
    </row>
    <row r="6232" spans="20:21" ht="15" customHeight="1" x14ac:dyDescent="0.25">
      <c r="T6232" s="135"/>
      <c r="U6232" s="135"/>
    </row>
    <row r="6233" spans="20:21" ht="15" customHeight="1" x14ac:dyDescent="0.25">
      <c r="T6233" s="135"/>
      <c r="U6233" s="135"/>
    </row>
    <row r="6234" spans="20:21" ht="15" customHeight="1" x14ac:dyDescent="0.25">
      <c r="T6234" s="135"/>
      <c r="U6234" s="135"/>
    </row>
    <row r="6235" spans="20:21" ht="15" customHeight="1" x14ac:dyDescent="0.25">
      <c r="T6235" s="135"/>
      <c r="U6235" s="135"/>
    </row>
    <row r="6236" spans="20:21" ht="15" customHeight="1" x14ac:dyDescent="0.25">
      <c r="T6236" s="135"/>
      <c r="U6236" s="135"/>
    </row>
    <row r="6237" spans="20:21" ht="15" customHeight="1" x14ac:dyDescent="0.25">
      <c r="T6237" s="135"/>
      <c r="U6237" s="135"/>
    </row>
    <row r="6238" spans="20:21" ht="15" customHeight="1" x14ac:dyDescent="0.25">
      <c r="T6238" s="135"/>
      <c r="U6238" s="135"/>
    </row>
    <row r="6239" spans="20:21" ht="15" customHeight="1" x14ac:dyDescent="0.25">
      <c r="T6239" s="135"/>
      <c r="U6239" s="135"/>
    </row>
    <row r="6240" spans="20:21" ht="15" customHeight="1" x14ac:dyDescent="0.25">
      <c r="T6240" s="135"/>
      <c r="U6240" s="135"/>
    </row>
    <row r="6241" spans="20:21" ht="15" customHeight="1" x14ac:dyDescent="0.25">
      <c r="T6241" s="135"/>
      <c r="U6241" s="135"/>
    </row>
    <row r="6242" spans="20:21" ht="15" customHeight="1" x14ac:dyDescent="0.25">
      <c r="T6242" s="135"/>
      <c r="U6242" s="135"/>
    </row>
    <row r="6243" spans="20:21" ht="15" customHeight="1" x14ac:dyDescent="0.25">
      <c r="T6243" s="135"/>
      <c r="U6243" s="135"/>
    </row>
    <row r="6244" spans="20:21" ht="15" customHeight="1" x14ac:dyDescent="0.25">
      <c r="T6244" s="135"/>
      <c r="U6244" s="135"/>
    </row>
    <row r="6245" spans="20:21" ht="15" customHeight="1" x14ac:dyDescent="0.25">
      <c r="T6245" s="135"/>
      <c r="U6245" s="135"/>
    </row>
    <row r="6246" spans="20:21" ht="15" customHeight="1" x14ac:dyDescent="0.25">
      <c r="T6246" s="135"/>
      <c r="U6246" s="135"/>
    </row>
    <row r="6247" spans="20:21" ht="15" customHeight="1" x14ac:dyDescent="0.25">
      <c r="T6247" s="135"/>
      <c r="U6247" s="135"/>
    </row>
    <row r="6248" spans="20:21" ht="15" customHeight="1" x14ac:dyDescent="0.25">
      <c r="T6248" s="135"/>
      <c r="U6248" s="135"/>
    </row>
    <row r="6249" spans="20:21" ht="15" customHeight="1" x14ac:dyDescent="0.25">
      <c r="T6249" s="135"/>
      <c r="U6249" s="135"/>
    </row>
    <row r="6250" spans="20:21" ht="15" customHeight="1" x14ac:dyDescent="0.25">
      <c r="T6250" s="135"/>
      <c r="U6250" s="135"/>
    </row>
    <row r="6251" spans="20:21" ht="15" customHeight="1" x14ac:dyDescent="0.25">
      <c r="T6251" s="135"/>
      <c r="U6251" s="135"/>
    </row>
    <row r="6252" spans="20:21" ht="15" customHeight="1" x14ac:dyDescent="0.25">
      <c r="T6252" s="135"/>
      <c r="U6252" s="135"/>
    </row>
    <row r="6253" spans="20:21" ht="15" customHeight="1" x14ac:dyDescent="0.25">
      <c r="T6253" s="135"/>
      <c r="U6253" s="135"/>
    </row>
    <row r="6254" spans="20:21" ht="15" customHeight="1" x14ac:dyDescent="0.25">
      <c r="T6254" s="135"/>
      <c r="U6254" s="135"/>
    </row>
    <row r="6255" spans="20:21" ht="15" customHeight="1" x14ac:dyDescent="0.25">
      <c r="T6255" s="135"/>
      <c r="U6255" s="135"/>
    </row>
    <row r="6256" spans="20:21" ht="15" customHeight="1" x14ac:dyDescent="0.25">
      <c r="T6256" s="135"/>
      <c r="U6256" s="135"/>
    </row>
    <row r="6257" spans="20:21" ht="15" customHeight="1" x14ac:dyDescent="0.25">
      <c r="T6257" s="135"/>
      <c r="U6257" s="135"/>
    </row>
    <row r="6258" spans="20:21" ht="15" customHeight="1" x14ac:dyDescent="0.25">
      <c r="T6258" s="135"/>
      <c r="U6258" s="135"/>
    </row>
    <row r="6259" spans="20:21" ht="15" customHeight="1" x14ac:dyDescent="0.25">
      <c r="T6259" s="135"/>
      <c r="U6259" s="135"/>
    </row>
    <row r="6260" spans="20:21" ht="15" customHeight="1" x14ac:dyDescent="0.25">
      <c r="T6260" s="135"/>
      <c r="U6260" s="135"/>
    </row>
    <row r="6261" spans="20:21" ht="15" customHeight="1" x14ac:dyDescent="0.25">
      <c r="T6261" s="135"/>
      <c r="U6261" s="135"/>
    </row>
    <row r="6262" spans="20:21" ht="15" customHeight="1" x14ac:dyDescent="0.25">
      <c r="T6262" s="135"/>
      <c r="U6262" s="135"/>
    </row>
    <row r="6263" spans="20:21" ht="15" customHeight="1" x14ac:dyDescent="0.25">
      <c r="T6263" s="135"/>
      <c r="U6263" s="135"/>
    </row>
    <row r="6264" spans="20:21" ht="15" customHeight="1" x14ac:dyDescent="0.25">
      <c r="T6264" s="135"/>
      <c r="U6264" s="135"/>
    </row>
    <row r="6265" spans="20:21" ht="15" customHeight="1" x14ac:dyDescent="0.25">
      <c r="T6265" s="135"/>
      <c r="U6265" s="135"/>
    </row>
    <row r="6266" spans="20:21" ht="15" customHeight="1" x14ac:dyDescent="0.25">
      <c r="T6266" s="135"/>
      <c r="U6266" s="135"/>
    </row>
    <row r="6267" spans="20:21" ht="15" customHeight="1" x14ac:dyDescent="0.25">
      <c r="T6267" s="135"/>
      <c r="U6267" s="135"/>
    </row>
    <row r="6268" spans="20:21" ht="15" customHeight="1" x14ac:dyDescent="0.25">
      <c r="T6268" s="135"/>
      <c r="U6268" s="135"/>
    </row>
    <row r="6269" spans="20:21" ht="15" customHeight="1" x14ac:dyDescent="0.25">
      <c r="T6269" s="135"/>
      <c r="U6269" s="135"/>
    </row>
    <row r="6270" spans="20:21" ht="15" customHeight="1" x14ac:dyDescent="0.25">
      <c r="T6270" s="135"/>
      <c r="U6270" s="135"/>
    </row>
    <row r="6271" spans="20:21" ht="15" customHeight="1" x14ac:dyDescent="0.25">
      <c r="T6271" s="135"/>
      <c r="U6271" s="135"/>
    </row>
    <row r="6272" spans="20:21" ht="15" customHeight="1" x14ac:dyDescent="0.25">
      <c r="T6272" s="135"/>
      <c r="U6272" s="135"/>
    </row>
    <row r="6273" spans="20:21" ht="15" customHeight="1" x14ac:dyDescent="0.25">
      <c r="T6273" s="135"/>
      <c r="U6273" s="135"/>
    </row>
    <row r="6274" spans="20:21" ht="15" customHeight="1" x14ac:dyDescent="0.25">
      <c r="T6274" s="135"/>
      <c r="U6274" s="135"/>
    </row>
    <row r="6275" spans="20:21" ht="15" customHeight="1" x14ac:dyDescent="0.25">
      <c r="T6275" s="135"/>
      <c r="U6275" s="135"/>
    </row>
    <row r="6276" spans="20:21" ht="15" customHeight="1" x14ac:dyDescent="0.25">
      <c r="T6276" s="135"/>
      <c r="U6276" s="135"/>
    </row>
    <row r="6277" spans="20:21" ht="15" customHeight="1" x14ac:dyDescent="0.25">
      <c r="T6277" s="135"/>
      <c r="U6277" s="135"/>
    </row>
    <row r="6278" spans="20:21" ht="15" customHeight="1" x14ac:dyDescent="0.25">
      <c r="T6278" s="135"/>
      <c r="U6278" s="135"/>
    </row>
    <row r="6279" spans="20:21" ht="15" customHeight="1" x14ac:dyDescent="0.25">
      <c r="T6279" s="135"/>
      <c r="U6279" s="135"/>
    </row>
    <row r="6280" spans="20:21" ht="15" customHeight="1" x14ac:dyDescent="0.25">
      <c r="T6280" s="135"/>
      <c r="U6280" s="135"/>
    </row>
    <row r="6281" spans="20:21" ht="15" customHeight="1" x14ac:dyDescent="0.25">
      <c r="T6281" s="135"/>
      <c r="U6281" s="135"/>
    </row>
    <row r="6282" spans="20:21" ht="15" customHeight="1" x14ac:dyDescent="0.25">
      <c r="T6282" s="135"/>
      <c r="U6282" s="135"/>
    </row>
    <row r="6283" spans="20:21" ht="15" customHeight="1" x14ac:dyDescent="0.25">
      <c r="T6283" s="135"/>
      <c r="U6283" s="135"/>
    </row>
    <row r="6284" spans="20:21" ht="15" customHeight="1" x14ac:dyDescent="0.25">
      <c r="T6284" s="135"/>
      <c r="U6284" s="135"/>
    </row>
    <row r="6285" spans="20:21" ht="15" customHeight="1" x14ac:dyDescent="0.25">
      <c r="T6285" s="135"/>
      <c r="U6285" s="135"/>
    </row>
    <row r="6286" spans="20:21" ht="15" customHeight="1" x14ac:dyDescent="0.25">
      <c r="T6286" s="135"/>
      <c r="U6286" s="135"/>
    </row>
    <row r="6287" spans="20:21" ht="15" customHeight="1" x14ac:dyDescent="0.25">
      <c r="T6287" s="135"/>
      <c r="U6287" s="135"/>
    </row>
    <row r="6288" spans="20:21" ht="15" customHeight="1" x14ac:dyDescent="0.25">
      <c r="T6288" s="135"/>
      <c r="U6288" s="135"/>
    </row>
    <row r="6289" spans="20:21" ht="15" customHeight="1" x14ac:dyDescent="0.25">
      <c r="T6289" s="135"/>
      <c r="U6289" s="135"/>
    </row>
    <row r="6290" spans="20:21" ht="15" customHeight="1" x14ac:dyDescent="0.25">
      <c r="T6290" s="135"/>
      <c r="U6290" s="135"/>
    </row>
    <row r="6291" spans="20:21" ht="15" customHeight="1" x14ac:dyDescent="0.25">
      <c r="T6291" s="135"/>
      <c r="U6291" s="135"/>
    </row>
    <row r="6292" spans="20:21" ht="15" customHeight="1" x14ac:dyDescent="0.25">
      <c r="T6292" s="135"/>
      <c r="U6292" s="135"/>
    </row>
    <row r="6293" spans="20:21" ht="15" customHeight="1" x14ac:dyDescent="0.25">
      <c r="T6293" s="135"/>
      <c r="U6293" s="135"/>
    </row>
    <row r="6294" spans="20:21" ht="15" customHeight="1" x14ac:dyDescent="0.25">
      <c r="T6294" s="135"/>
      <c r="U6294" s="135"/>
    </row>
    <row r="6295" spans="20:21" ht="15" customHeight="1" x14ac:dyDescent="0.25">
      <c r="T6295" s="135"/>
      <c r="U6295" s="135"/>
    </row>
    <row r="6296" spans="20:21" ht="15" customHeight="1" x14ac:dyDescent="0.25">
      <c r="T6296" s="135"/>
      <c r="U6296" s="135"/>
    </row>
    <row r="6297" spans="20:21" ht="15" customHeight="1" x14ac:dyDescent="0.25">
      <c r="T6297" s="135"/>
      <c r="U6297" s="135"/>
    </row>
    <row r="6298" spans="20:21" ht="15" customHeight="1" x14ac:dyDescent="0.25">
      <c r="T6298" s="135"/>
      <c r="U6298" s="135"/>
    </row>
    <row r="6299" spans="20:21" ht="15" customHeight="1" x14ac:dyDescent="0.25">
      <c r="T6299" s="135"/>
      <c r="U6299" s="135"/>
    </row>
    <row r="6300" spans="20:21" ht="15" customHeight="1" x14ac:dyDescent="0.25">
      <c r="T6300" s="135"/>
      <c r="U6300" s="135"/>
    </row>
    <row r="6301" spans="20:21" ht="15" customHeight="1" x14ac:dyDescent="0.25">
      <c r="T6301" s="135"/>
      <c r="U6301" s="135"/>
    </row>
    <row r="6302" spans="20:21" ht="15" customHeight="1" x14ac:dyDescent="0.25">
      <c r="T6302" s="135"/>
      <c r="U6302" s="135"/>
    </row>
    <row r="6303" spans="20:21" ht="15" customHeight="1" x14ac:dyDescent="0.25">
      <c r="T6303" s="135"/>
      <c r="U6303" s="135"/>
    </row>
    <row r="6304" spans="20:21" ht="15" customHeight="1" x14ac:dyDescent="0.25">
      <c r="T6304" s="135"/>
      <c r="U6304" s="135"/>
    </row>
    <row r="6305" spans="20:21" ht="15" customHeight="1" x14ac:dyDescent="0.25">
      <c r="T6305" s="135"/>
      <c r="U6305" s="135"/>
    </row>
    <row r="6306" spans="20:21" ht="15" customHeight="1" x14ac:dyDescent="0.25">
      <c r="T6306" s="135"/>
      <c r="U6306" s="135"/>
    </row>
    <row r="6307" spans="20:21" ht="15" customHeight="1" x14ac:dyDescent="0.25">
      <c r="T6307" s="135"/>
      <c r="U6307" s="135"/>
    </row>
    <row r="6308" spans="20:21" ht="15" customHeight="1" x14ac:dyDescent="0.25">
      <c r="T6308" s="135"/>
      <c r="U6308" s="135"/>
    </row>
    <row r="6309" spans="20:21" ht="15" customHeight="1" x14ac:dyDescent="0.25">
      <c r="T6309" s="135"/>
      <c r="U6309" s="135"/>
    </row>
    <row r="6310" spans="20:21" ht="15" customHeight="1" x14ac:dyDescent="0.25">
      <c r="T6310" s="135"/>
      <c r="U6310" s="135"/>
    </row>
    <row r="6311" spans="20:21" ht="15" customHeight="1" x14ac:dyDescent="0.25">
      <c r="T6311" s="135"/>
      <c r="U6311" s="135"/>
    </row>
    <row r="6312" spans="20:21" ht="15" customHeight="1" x14ac:dyDescent="0.25">
      <c r="T6312" s="135"/>
      <c r="U6312" s="135"/>
    </row>
    <row r="6313" spans="20:21" ht="15" customHeight="1" x14ac:dyDescent="0.25">
      <c r="T6313" s="135"/>
      <c r="U6313" s="135"/>
    </row>
    <row r="6314" spans="20:21" ht="15" customHeight="1" x14ac:dyDescent="0.25">
      <c r="T6314" s="135"/>
      <c r="U6314" s="135"/>
    </row>
    <row r="6315" spans="20:21" ht="15" customHeight="1" x14ac:dyDescent="0.25">
      <c r="T6315" s="135"/>
      <c r="U6315" s="135"/>
    </row>
    <row r="6316" spans="20:21" ht="15" customHeight="1" x14ac:dyDescent="0.25">
      <c r="T6316" s="135"/>
      <c r="U6316" s="135"/>
    </row>
    <row r="6317" spans="20:21" ht="15" customHeight="1" x14ac:dyDescent="0.25">
      <c r="T6317" s="135"/>
      <c r="U6317" s="135"/>
    </row>
    <row r="6318" spans="20:21" ht="15" customHeight="1" x14ac:dyDescent="0.25">
      <c r="T6318" s="135"/>
      <c r="U6318" s="135"/>
    </row>
    <row r="6319" spans="20:21" ht="15" customHeight="1" x14ac:dyDescent="0.25">
      <c r="T6319" s="135"/>
      <c r="U6319" s="135"/>
    </row>
    <row r="6320" spans="20:21" ht="15" customHeight="1" x14ac:dyDescent="0.25">
      <c r="T6320" s="135"/>
      <c r="U6320" s="135"/>
    </row>
    <row r="6321" spans="20:21" ht="15" customHeight="1" x14ac:dyDescent="0.25">
      <c r="T6321" s="135"/>
      <c r="U6321" s="135"/>
    </row>
    <row r="6322" spans="20:21" ht="15" customHeight="1" x14ac:dyDescent="0.25">
      <c r="T6322" s="135"/>
      <c r="U6322" s="135"/>
    </row>
    <row r="6323" spans="20:21" ht="15" customHeight="1" x14ac:dyDescent="0.25">
      <c r="T6323" s="135"/>
      <c r="U6323" s="135"/>
    </row>
    <row r="6324" spans="20:21" ht="15" customHeight="1" x14ac:dyDescent="0.25">
      <c r="T6324" s="135"/>
      <c r="U6324" s="135"/>
    </row>
    <row r="6325" spans="20:21" ht="15" customHeight="1" x14ac:dyDescent="0.25">
      <c r="T6325" s="135"/>
      <c r="U6325" s="135"/>
    </row>
    <row r="6326" spans="20:21" ht="15" customHeight="1" x14ac:dyDescent="0.25">
      <c r="T6326" s="135"/>
      <c r="U6326" s="135"/>
    </row>
    <row r="6327" spans="20:21" ht="15" customHeight="1" x14ac:dyDescent="0.25">
      <c r="T6327" s="135"/>
      <c r="U6327" s="135"/>
    </row>
    <row r="6328" spans="20:21" ht="15" customHeight="1" x14ac:dyDescent="0.25">
      <c r="T6328" s="135"/>
      <c r="U6328" s="135"/>
    </row>
    <row r="6329" spans="20:21" ht="15" customHeight="1" x14ac:dyDescent="0.25">
      <c r="T6329" s="135"/>
      <c r="U6329" s="135"/>
    </row>
    <row r="6330" spans="20:21" ht="15" customHeight="1" x14ac:dyDescent="0.25">
      <c r="T6330" s="135"/>
      <c r="U6330" s="135"/>
    </row>
    <row r="6331" spans="20:21" ht="15" customHeight="1" x14ac:dyDescent="0.25">
      <c r="T6331" s="135"/>
      <c r="U6331" s="135"/>
    </row>
    <row r="6332" spans="20:21" ht="15" customHeight="1" x14ac:dyDescent="0.25">
      <c r="T6332" s="135"/>
      <c r="U6332" s="135"/>
    </row>
    <row r="6333" spans="20:21" ht="15" customHeight="1" x14ac:dyDescent="0.25">
      <c r="T6333" s="135"/>
      <c r="U6333" s="135"/>
    </row>
    <row r="6334" spans="20:21" ht="15" customHeight="1" x14ac:dyDescent="0.25">
      <c r="T6334" s="135"/>
      <c r="U6334" s="135"/>
    </row>
    <row r="6335" spans="20:21" ht="15" customHeight="1" x14ac:dyDescent="0.25">
      <c r="T6335" s="135"/>
      <c r="U6335" s="135"/>
    </row>
    <row r="6336" spans="20:21" ht="15" customHeight="1" x14ac:dyDescent="0.25">
      <c r="T6336" s="135"/>
      <c r="U6336" s="135"/>
    </row>
    <row r="6337" spans="20:21" ht="15" customHeight="1" x14ac:dyDescent="0.25">
      <c r="T6337" s="135"/>
      <c r="U6337" s="135"/>
    </row>
    <row r="6338" spans="20:21" ht="15" customHeight="1" x14ac:dyDescent="0.25">
      <c r="T6338" s="135"/>
      <c r="U6338" s="135"/>
    </row>
    <row r="6339" spans="20:21" ht="15" customHeight="1" x14ac:dyDescent="0.25">
      <c r="T6339" s="135"/>
      <c r="U6339" s="135"/>
    </row>
    <row r="6340" spans="20:21" ht="15" customHeight="1" x14ac:dyDescent="0.25">
      <c r="T6340" s="135"/>
      <c r="U6340" s="135"/>
    </row>
    <row r="6341" spans="20:21" ht="15" customHeight="1" x14ac:dyDescent="0.25">
      <c r="T6341" s="135"/>
      <c r="U6341" s="135"/>
    </row>
    <row r="6342" spans="20:21" ht="15" customHeight="1" x14ac:dyDescent="0.25">
      <c r="T6342" s="135"/>
      <c r="U6342" s="135"/>
    </row>
    <row r="6343" spans="20:21" ht="15" customHeight="1" x14ac:dyDescent="0.25">
      <c r="T6343" s="135"/>
      <c r="U6343" s="135"/>
    </row>
    <row r="6344" spans="20:21" ht="15" customHeight="1" x14ac:dyDescent="0.25">
      <c r="T6344" s="135"/>
      <c r="U6344" s="135"/>
    </row>
    <row r="6345" spans="20:21" ht="15" customHeight="1" x14ac:dyDescent="0.25">
      <c r="T6345" s="135"/>
      <c r="U6345" s="135"/>
    </row>
    <row r="6346" spans="20:21" ht="15" customHeight="1" x14ac:dyDescent="0.25">
      <c r="T6346" s="135"/>
      <c r="U6346" s="135"/>
    </row>
    <row r="6347" spans="20:21" ht="15" customHeight="1" x14ac:dyDescent="0.25">
      <c r="T6347" s="135"/>
      <c r="U6347" s="135"/>
    </row>
    <row r="6348" spans="20:21" ht="15" customHeight="1" x14ac:dyDescent="0.25">
      <c r="T6348" s="135"/>
      <c r="U6348" s="135"/>
    </row>
    <row r="6349" spans="20:21" ht="15" customHeight="1" x14ac:dyDescent="0.25">
      <c r="T6349" s="135"/>
      <c r="U6349" s="135"/>
    </row>
    <row r="6350" spans="20:21" ht="15" customHeight="1" x14ac:dyDescent="0.25">
      <c r="T6350" s="135"/>
      <c r="U6350" s="135"/>
    </row>
    <row r="6351" spans="20:21" ht="15" customHeight="1" x14ac:dyDescent="0.25">
      <c r="T6351" s="135"/>
      <c r="U6351" s="135"/>
    </row>
    <row r="6352" spans="20:21" ht="15" customHeight="1" x14ac:dyDescent="0.25">
      <c r="T6352" s="135"/>
      <c r="U6352" s="135"/>
    </row>
    <row r="6353" spans="20:21" ht="15" customHeight="1" x14ac:dyDescent="0.25">
      <c r="T6353" s="135"/>
      <c r="U6353" s="135"/>
    </row>
    <row r="6354" spans="20:21" ht="15" customHeight="1" x14ac:dyDescent="0.25">
      <c r="T6354" s="135"/>
      <c r="U6354" s="135"/>
    </row>
    <row r="6355" spans="20:21" ht="15" customHeight="1" x14ac:dyDescent="0.25">
      <c r="T6355" s="135"/>
      <c r="U6355" s="135"/>
    </row>
    <row r="6356" spans="20:21" ht="15" customHeight="1" x14ac:dyDescent="0.25">
      <c r="T6356" s="135"/>
      <c r="U6356" s="135"/>
    </row>
    <row r="6357" spans="20:21" ht="15" customHeight="1" x14ac:dyDescent="0.25">
      <c r="T6357" s="135"/>
      <c r="U6357" s="135"/>
    </row>
    <row r="6358" spans="20:21" ht="15" customHeight="1" x14ac:dyDescent="0.25">
      <c r="T6358" s="135"/>
      <c r="U6358" s="135"/>
    </row>
    <row r="6359" spans="20:21" ht="15" customHeight="1" x14ac:dyDescent="0.25">
      <c r="T6359" s="135"/>
      <c r="U6359" s="135"/>
    </row>
    <row r="6360" spans="20:21" ht="15" customHeight="1" x14ac:dyDescent="0.25">
      <c r="T6360" s="135"/>
      <c r="U6360" s="135"/>
    </row>
    <row r="6361" spans="20:21" ht="15" customHeight="1" x14ac:dyDescent="0.25">
      <c r="T6361" s="135"/>
      <c r="U6361" s="135"/>
    </row>
    <row r="6362" spans="20:21" ht="15" customHeight="1" x14ac:dyDescent="0.25">
      <c r="T6362" s="135"/>
      <c r="U6362" s="135"/>
    </row>
    <row r="6363" spans="20:21" ht="15" customHeight="1" x14ac:dyDescent="0.25">
      <c r="T6363" s="135"/>
      <c r="U6363" s="135"/>
    </row>
    <row r="6364" spans="20:21" ht="15" customHeight="1" x14ac:dyDescent="0.25">
      <c r="T6364" s="135"/>
      <c r="U6364" s="135"/>
    </row>
    <row r="6365" spans="20:21" ht="15" customHeight="1" x14ac:dyDescent="0.25">
      <c r="T6365" s="135"/>
      <c r="U6365" s="135"/>
    </row>
    <row r="6366" spans="20:21" ht="15" customHeight="1" x14ac:dyDescent="0.25">
      <c r="T6366" s="135"/>
      <c r="U6366" s="135"/>
    </row>
    <row r="6367" spans="20:21" ht="15" customHeight="1" x14ac:dyDescent="0.25">
      <c r="T6367" s="135"/>
      <c r="U6367" s="135"/>
    </row>
    <row r="6368" spans="20:21" ht="15" customHeight="1" x14ac:dyDescent="0.25">
      <c r="T6368" s="135"/>
      <c r="U6368" s="135"/>
    </row>
    <row r="6369" spans="20:21" ht="15" customHeight="1" x14ac:dyDescent="0.25">
      <c r="T6369" s="135"/>
      <c r="U6369" s="135"/>
    </row>
    <row r="6370" spans="20:21" ht="15" customHeight="1" x14ac:dyDescent="0.25">
      <c r="T6370" s="135"/>
      <c r="U6370" s="135"/>
    </row>
    <row r="6371" spans="20:21" ht="15" customHeight="1" x14ac:dyDescent="0.25">
      <c r="T6371" s="135"/>
      <c r="U6371" s="135"/>
    </row>
    <row r="6372" spans="20:21" ht="15" customHeight="1" x14ac:dyDescent="0.25">
      <c r="T6372" s="135"/>
      <c r="U6372" s="135"/>
    </row>
    <row r="6373" spans="20:21" ht="15" customHeight="1" x14ac:dyDescent="0.25">
      <c r="T6373" s="135"/>
      <c r="U6373" s="135"/>
    </row>
    <row r="6374" spans="20:21" ht="15" customHeight="1" x14ac:dyDescent="0.25">
      <c r="T6374" s="135"/>
      <c r="U6374" s="135"/>
    </row>
    <row r="6375" spans="20:21" ht="15" customHeight="1" x14ac:dyDescent="0.25">
      <c r="T6375" s="135"/>
      <c r="U6375" s="135"/>
    </row>
    <row r="6376" spans="20:21" ht="15" customHeight="1" x14ac:dyDescent="0.25">
      <c r="T6376" s="135"/>
      <c r="U6376" s="135"/>
    </row>
    <row r="6377" spans="20:21" ht="15" customHeight="1" x14ac:dyDescent="0.25">
      <c r="T6377" s="135"/>
      <c r="U6377" s="135"/>
    </row>
    <row r="6378" spans="20:21" ht="15" customHeight="1" x14ac:dyDescent="0.25">
      <c r="T6378" s="135"/>
      <c r="U6378" s="135"/>
    </row>
    <row r="6379" spans="20:21" ht="15" customHeight="1" x14ac:dyDescent="0.25">
      <c r="T6379" s="135"/>
      <c r="U6379" s="135"/>
    </row>
    <row r="6380" spans="20:21" ht="15" customHeight="1" x14ac:dyDescent="0.25">
      <c r="T6380" s="135"/>
      <c r="U6380" s="135"/>
    </row>
    <row r="6381" spans="20:21" ht="15" customHeight="1" x14ac:dyDescent="0.25">
      <c r="T6381" s="135"/>
      <c r="U6381" s="135"/>
    </row>
    <row r="6382" spans="20:21" ht="15" customHeight="1" x14ac:dyDescent="0.25">
      <c r="T6382" s="135"/>
      <c r="U6382" s="135"/>
    </row>
    <row r="6383" spans="20:21" ht="15" customHeight="1" x14ac:dyDescent="0.25">
      <c r="T6383" s="135"/>
      <c r="U6383" s="135"/>
    </row>
    <row r="6384" spans="20:21" ht="15" customHeight="1" x14ac:dyDescent="0.25">
      <c r="T6384" s="135"/>
      <c r="U6384" s="135"/>
    </row>
    <row r="6385" spans="20:21" ht="15" customHeight="1" x14ac:dyDescent="0.25">
      <c r="T6385" s="135"/>
      <c r="U6385" s="135"/>
    </row>
    <row r="6386" spans="20:21" ht="15" customHeight="1" x14ac:dyDescent="0.25">
      <c r="T6386" s="135"/>
      <c r="U6386" s="135"/>
    </row>
    <row r="6387" spans="20:21" ht="15" customHeight="1" x14ac:dyDescent="0.25">
      <c r="T6387" s="135"/>
      <c r="U6387" s="135"/>
    </row>
    <row r="6388" spans="20:21" ht="15" customHeight="1" x14ac:dyDescent="0.25">
      <c r="T6388" s="135"/>
      <c r="U6388" s="135"/>
    </row>
    <row r="6389" spans="20:21" ht="15" customHeight="1" x14ac:dyDescent="0.25">
      <c r="T6389" s="135"/>
      <c r="U6389" s="135"/>
    </row>
    <row r="6390" spans="20:21" ht="15" customHeight="1" x14ac:dyDescent="0.25">
      <c r="T6390" s="135"/>
      <c r="U6390" s="135"/>
    </row>
    <row r="6391" spans="20:21" ht="15" customHeight="1" x14ac:dyDescent="0.25">
      <c r="T6391" s="135"/>
      <c r="U6391" s="135"/>
    </row>
    <row r="6392" spans="20:21" ht="15" customHeight="1" x14ac:dyDescent="0.25">
      <c r="T6392" s="135"/>
      <c r="U6392" s="135"/>
    </row>
    <row r="6393" spans="20:21" ht="15" customHeight="1" x14ac:dyDescent="0.25">
      <c r="T6393" s="135"/>
      <c r="U6393" s="135"/>
    </row>
    <row r="6394" spans="20:21" ht="15" customHeight="1" x14ac:dyDescent="0.25">
      <c r="T6394" s="135"/>
      <c r="U6394" s="135"/>
    </row>
    <row r="6395" spans="20:21" ht="15" customHeight="1" x14ac:dyDescent="0.25">
      <c r="T6395" s="135"/>
      <c r="U6395" s="135"/>
    </row>
    <row r="6396" spans="20:21" ht="15" customHeight="1" x14ac:dyDescent="0.25">
      <c r="T6396" s="135"/>
      <c r="U6396" s="135"/>
    </row>
    <row r="6397" spans="20:21" ht="15" customHeight="1" x14ac:dyDescent="0.25">
      <c r="T6397" s="135"/>
      <c r="U6397" s="135"/>
    </row>
    <row r="6398" spans="20:21" ht="15" customHeight="1" x14ac:dyDescent="0.25">
      <c r="T6398" s="135"/>
      <c r="U6398" s="135"/>
    </row>
    <row r="6399" spans="20:21" ht="15" customHeight="1" x14ac:dyDescent="0.25">
      <c r="T6399" s="135"/>
      <c r="U6399" s="135"/>
    </row>
    <row r="6400" spans="20:21" ht="15" customHeight="1" x14ac:dyDescent="0.25">
      <c r="T6400" s="135"/>
      <c r="U6400" s="135"/>
    </row>
    <row r="6401" spans="20:21" ht="15" customHeight="1" x14ac:dyDescent="0.25">
      <c r="T6401" s="135"/>
      <c r="U6401" s="135"/>
    </row>
    <row r="6402" spans="20:21" ht="15" customHeight="1" x14ac:dyDescent="0.25">
      <c r="T6402" s="135"/>
      <c r="U6402" s="135"/>
    </row>
    <row r="6403" spans="20:21" ht="15" customHeight="1" x14ac:dyDescent="0.25">
      <c r="T6403" s="135"/>
      <c r="U6403" s="135"/>
    </row>
    <row r="6404" spans="20:21" ht="15" customHeight="1" x14ac:dyDescent="0.25">
      <c r="T6404" s="135"/>
      <c r="U6404" s="135"/>
    </row>
    <row r="6405" spans="20:21" ht="15" customHeight="1" x14ac:dyDescent="0.25">
      <c r="T6405" s="135"/>
      <c r="U6405" s="135"/>
    </row>
    <row r="6406" spans="20:21" ht="15" customHeight="1" x14ac:dyDescent="0.25">
      <c r="T6406" s="135"/>
      <c r="U6406" s="135"/>
    </row>
    <row r="6407" spans="20:21" ht="15" customHeight="1" x14ac:dyDescent="0.25">
      <c r="T6407" s="135"/>
      <c r="U6407" s="135"/>
    </row>
    <row r="6408" spans="20:21" ht="15" customHeight="1" x14ac:dyDescent="0.25">
      <c r="T6408" s="135"/>
      <c r="U6408" s="135"/>
    </row>
    <row r="6409" spans="20:21" ht="15" customHeight="1" x14ac:dyDescent="0.25">
      <c r="T6409" s="135"/>
      <c r="U6409" s="135"/>
    </row>
    <row r="6410" spans="20:21" ht="15" customHeight="1" x14ac:dyDescent="0.25">
      <c r="T6410" s="135"/>
      <c r="U6410" s="135"/>
    </row>
    <row r="6411" spans="20:21" ht="15" customHeight="1" x14ac:dyDescent="0.25">
      <c r="T6411" s="135"/>
      <c r="U6411" s="135"/>
    </row>
    <row r="6412" spans="20:21" ht="15" customHeight="1" x14ac:dyDescent="0.25">
      <c r="T6412" s="135"/>
      <c r="U6412" s="135"/>
    </row>
    <row r="6413" spans="20:21" ht="15" customHeight="1" x14ac:dyDescent="0.25">
      <c r="T6413" s="135"/>
      <c r="U6413" s="135"/>
    </row>
    <row r="6414" spans="20:21" ht="15" customHeight="1" x14ac:dyDescent="0.25">
      <c r="T6414" s="135"/>
      <c r="U6414" s="135"/>
    </row>
    <row r="6415" spans="20:21" ht="15" customHeight="1" x14ac:dyDescent="0.25">
      <c r="T6415" s="135"/>
      <c r="U6415" s="135"/>
    </row>
    <row r="6416" spans="20:21" ht="15" customHeight="1" x14ac:dyDescent="0.25">
      <c r="T6416" s="135"/>
      <c r="U6416" s="135"/>
    </row>
    <row r="6417" spans="20:21" ht="15" customHeight="1" x14ac:dyDescent="0.25">
      <c r="T6417" s="135"/>
      <c r="U6417" s="135"/>
    </row>
    <row r="6418" spans="20:21" ht="15" customHeight="1" x14ac:dyDescent="0.25">
      <c r="T6418" s="135"/>
      <c r="U6418" s="135"/>
    </row>
    <row r="6419" spans="20:21" ht="15" customHeight="1" x14ac:dyDescent="0.25">
      <c r="T6419" s="135"/>
      <c r="U6419" s="135"/>
    </row>
    <row r="6420" spans="20:21" ht="15" customHeight="1" x14ac:dyDescent="0.25">
      <c r="T6420" s="135"/>
      <c r="U6420" s="135"/>
    </row>
    <row r="6421" spans="20:21" ht="15" customHeight="1" x14ac:dyDescent="0.25">
      <c r="T6421" s="135"/>
      <c r="U6421" s="135"/>
    </row>
    <row r="6422" spans="20:21" ht="15" customHeight="1" x14ac:dyDescent="0.25">
      <c r="T6422" s="135"/>
      <c r="U6422" s="135"/>
    </row>
    <row r="6423" spans="20:21" ht="15" customHeight="1" x14ac:dyDescent="0.25">
      <c r="T6423" s="135"/>
      <c r="U6423" s="135"/>
    </row>
    <row r="6424" spans="20:21" ht="15" customHeight="1" x14ac:dyDescent="0.25">
      <c r="T6424" s="135"/>
      <c r="U6424" s="135"/>
    </row>
    <row r="6425" spans="20:21" ht="15" customHeight="1" x14ac:dyDescent="0.25">
      <c r="T6425" s="135"/>
      <c r="U6425" s="135"/>
    </row>
    <row r="6426" spans="20:21" ht="15" customHeight="1" x14ac:dyDescent="0.25">
      <c r="T6426" s="135"/>
      <c r="U6426" s="135"/>
    </row>
    <row r="6427" spans="20:21" ht="15" customHeight="1" x14ac:dyDescent="0.25">
      <c r="T6427" s="135"/>
      <c r="U6427" s="135"/>
    </row>
    <row r="6428" spans="20:21" ht="15" customHeight="1" x14ac:dyDescent="0.25">
      <c r="T6428" s="135"/>
      <c r="U6428" s="135"/>
    </row>
    <row r="6429" spans="20:21" ht="15" customHeight="1" x14ac:dyDescent="0.25">
      <c r="T6429" s="135"/>
      <c r="U6429" s="135"/>
    </row>
    <row r="6430" spans="20:21" ht="15" customHeight="1" x14ac:dyDescent="0.25">
      <c r="T6430" s="135"/>
      <c r="U6430" s="135"/>
    </row>
    <row r="6431" spans="20:21" ht="15" customHeight="1" x14ac:dyDescent="0.25">
      <c r="T6431" s="135"/>
      <c r="U6431" s="135"/>
    </row>
    <row r="6432" spans="20:21" ht="15" customHeight="1" x14ac:dyDescent="0.25">
      <c r="T6432" s="135"/>
      <c r="U6432" s="135"/>
    </row>
    <row r="6433" spans="20:21" ht="15" customHeight="1" x14ac:dyDescent="0.25">
      <c r="T6433" s="135"/>
      <c r="U6433" s="135"/>
    </row>
    <row r="6434" spans="20:21" ht="15" customHeight="1" x14ac:dyDescent="0.25">
      <c r="T6434" s="135"/>
      <c r="U6434" s="135"/>
    </row>
    <row r="6435" spans="20:21" ht="15" customHeight="1" x14ac:dyDescent="0.25">
      <c r="T6435" s="135"/>
      <c r="U6435" s="135"/>
    </row>
    <row r="6436" spans="20:21" ht="15" customHeight="1" x14ac:dyDescent="0.25">
      <c r="T6436" s="135"/>
      <c r="U6436" s="135"/>
    </row>
    <row r="6437" spans="20:21" ht="15" customHeight="1" x14ac:dyDescent="0.25">
      <c r="T6437" s="135"/>
      <c r="U6437" s="135"/>
    </row>
    <row r="6438" spans="20:21" ht="15" customHeight="1" x14ac:dyDescent="0.25">
      <c r="T6438" s="135"/>
      <c r="U6438" s="135"/>
    </row>
    <row r="6439" spans="20:21" ht="15" customHeight="1" x14ac:dyDescent="0.25">
      <c r="T6439" s="135"/>
      <c r="U6439" s="135"/>
    </row>
    <row r="6440" spans="20:21" ht="15" customHeight="1" x14ac:dyDescent="0.25">
      <c r="T6440" s="135"/>
      <c r="U6440" s="135"/>
    </row>
    <row r="6441" spans="20:21" ht="15" customHeight="1" x14ac:dyDescent="0.25">
      <c r="T6441" s="135"/>
      <c r="U6441" s="135"/>
    </row>
    <row r="6442" spans="20:21" ht="15" customHeight="1" x14ac:dyDescent="0.25">
      <c r="T6442" s="135"/>
      <c r="U6442" s="135"/>
    </row>
    <row r="6443" spans="20:21" ht="15" customHeight="1" x14ac:dyDescent="0.25">
      <c r="T6443" s="135"/>
      <c r="U6443" s="135"/>
    </row>
    <row r="6444" spans="20:21" ht="15" customHeight="1" x14ac:dyDescent="0.25">
      <c r="T6444" s="135"/>
      <c r="U6444" s="135"/>
    </row>
    <row r="6445" spans="20:21" ht="15" customHeight="1" x14ac:dyDescent="0.25">
      <c r="T6445" s="135"/>
      <c r="U6445" s="135"/>
    </row>
    <row r="6446" spans="20:21" ht="15" customHeight="1" x14ac:dyDescent="0.25">
      <c r="T6446" s="135"/>
      <c r="U6446" s="135"/>
    </row>
    <row r="6447" spans="20:21" ht="15" customHeight="1" x14ac:dyDescent="0.25">
      <c r="T6447" s="135"/>
      <c r="U6447" s="135"/>
    </row>
    <row r="6448" spans="20:21" ht="15" customHeight="1" x14ac:dyDescent="0.25">
      <c r="T6448" s="135"/>
      <c r="U6448" s="135"/>
    </row>
    <row r="6449" spans="20:21" ht="15" customHeight="1" x14ac:dyDescent="0.25">
      <c r="T6449" s="135"/>
      <c r="U6449" s="135"/>
    </row>
    <row r="6450" spans="20:21" ht="15" customHeight="1" x14ac:dyDescent="0.25">
      <c r="T6450" s="135"/>
      <c r="U6450" s="135"/>
    </row>
    <row r="6451" spans="20:21" ht="15" customHeight="1" x14ac:dyDescent="0.25">
      <c r="T6451" s="135"/>
      <c r="U6451" s="135"/>
    </row>
    <row r="6452" spans="20:21" ht="15" customHeight="1" x14ac:dyDescent="0.25">
      <c r="T6452" s="135"/>
      <c r="U6452" s="135"/>
    </row>
    <row r="6453" spans="20:21" ht="15" customHeight="1" x14ac:dyDescent="0.25">
      <c r="T6453" s="135"/>
      <c r="U6453" s="135"/>
    </row>
    <row r="6454" spans="20:21" ht="15" customHeight="1" x14ac:dyDescent="0.25">
      <c r="T6454" s="135"/>
      <c r="U6454" s="135"/>
    </row>
    <row r="6455" spans="20:21" ht="15" customHeight="1" x14ac:dyDescent="0.25">
      <c r="T6455" s="135"/>
      <c r="U6455" s="135"/>
    </row>
    <row r="6456" spans="20:21" ht="15" customHeight="1" x14ac:dyDescent="0.25">
      <c r="T6456" s="135"/>
      <c r="U6456" s="135"/>
    </row>
    <row r="6457" spans="20:21" ht="15" customHeight="1" x14ac:dyDescent="0.25">
      <c r="T6457" s="135"/>
      <c r="U6457" s="135"/>
    </row>
    <row r="6458" spans="20:21" ht="15" customHeight="1" x14ac:dyDescent="0.25">
      <c r="T6458" s="135"/>
      <c r="U6458" s="135"/>
    </row>
    <row r="6459" spans="20:21" ht="15" customHeight="1" x14ac:dyDescent="0.25">
      <c r="T6459" s="135"/>
      <c r="U6459" s="135"/>
    </row>
    <row r="6460" spans="20:21" ht="15" customHeight="1" x14ac:dyDescent="0.25">
      <c r="T6460" s="135"/>
      <c r="U6460" s="135"/>
    </row>
    <row r="6461" spans="20:21" ht="15" customHeight="1" x14ac:dyDescent="0.25">
      <c r="T6461" s="135"/>
      <c r="U6461" s="135"/>
    </row>
    <row r="6462" spans="20:21" ht="15" customHeight="1" x14ac:dyDescent="0.25">
      <c r="T6462" s="135"/>
      <c r="U6462" s="135"/>
    </row>
    <row r="6463" spans="20:21" ht="15" customHeight="1" x14ac:dyDescent="0.25">
      <c r="T6463" s="135"/>
      <c r="U6463" s="135"/>
    </row>
    <row r="6464" spans="20:21" ht="15" customHeight="1" x14ac:dyDescent="0.25">
      <c r="T6464" s="135"/>
      <c r="U6464" s="135"/>
    </row>
    <row r="6465" spans="20:21" ht="15" customHeight="1" x14ac:dyDescent="0.25">
      <c r="T6465" s="135"/>
      <c r="U6465" s="135"/>
    </row>
    <row r="6466" spans="20:21" ht="15" customHeight="1" x14ac:dyDescent="0.25">
      <c r="T6466" s="135"/>
      <c r="U6466" s="135"/>
    </row>
    <row r="6467" spans="20:21" ht="15" customHeight="1" x14ac:dyDescent="0.25">
      <c r="T6467" s="135"/>
      <c r="U6467" s="135"/>
    </row>
    <row r="6468" spans="20:21" ht="15" customHeight="1" x14ac:dyDescent="0.25">
      <c r="T6468" s="135"/>
      <c r="U6468" s="135"/>
    </row>
    <row r="6469" spans="20:21" ht="15" customHeight="1" x14ac:dyDescent="0.25">
      <c r="T6469" s="135"/>
      <c r="U6469" s="135"/>
    </row>
    <row r="6470" spans="20:21" ht="15" customHeight="1" x14ac:dyDescent="0.25">
      <c r="T6470" s="135"/>
      <c r="U6470" s="135"/>
    </row>
    <row r="6471" spans="20:21" ht="15" customHeight="1" x14ac:dyDescent="0.25">
      <c r="T6471" s="135"/>
      <c r="U6471" s="135"/>
    </row>
    <row r="6472" spans="20:21" ht="15" customHeight="1" x14ac:dyDescent="0.25">
      <c r="T6472" s="135"/>
      <c r="U6472" s="135"/>
    </row>
    <row r="6473" spans="20:21" ht="15" customHeight="1" x14ac:dyDescent="0.25">
      <c r="T6473" s="135"/>
      <c r="U6473" s="135"/>
    </row>
    <row r="6474" spans="20:21" ht="15" customHeight="1" x14ac:dyDescent="0.25">
      <c r="T6474" s="135"/>
      <c r="U6474" s="135"/>
    </row>
    <row r="6475" spans="20:21" ht="15" customHeight="1" x14ac:dyDescent="0.25">
      <c r="T6475" s="135"/>
      <c r="U6475" s="135"/>
    </row>
    <row r="6476" spans="20:21" ht="15" customHeight="1" x14ac:dyDescent="0.25">
      <c r="T6476" s="135"/>
      <c r="U6476" s="135"/>
    </row>
    <row r="6477" spans="20:21" ht="15" customHeight="1" x14ac:dyDescent="0.25">
      <c r="T6477" s="135"/>
      <c r="U6477" s="135"/>
    </row>
    <row r="6478" spans="20:21" ht="15" customHeight="1" x14ac:dyDescent="0.25">
      <c r="T6478" s="135"/>
      <c r="U6478" s="135"/>
    </row>
    <row r="6479" spans="20:21" ht="15" customHeight="1" x14ac:dyDescent="0.25">
      <c r="T6479" s="135"/>
      <c r="U6479" s="135"/>
    </row>
    <row r="6480" spans="20:21" ht="15" customHeight="1" x14ac:dyDescent="0.25">
      <c r="T6480" s="135"/>
      <c r="U6480" s="135"/>
    </row>
    <row r="6481" spans="20:21" ht="15" customHeight="1" x14ac:dyDescent="0.25">
      <c r="T6481" s="135"/>
      <c r="U6481" s="135"/>
    </row>
    <row r="6482" spans="20:21" ht="15" customHeight="1" x14ac:dyDescent="0.25">
      <c r="T6482" s="135"/>
      <c r="U6482" s="135"/>
    </row>
    <row r="6483" spans="20:21" ht="15" customHeight="1" x14ac:dyDescent="0.25">
      <c r="T6483" s="135"/>
      <c r="U6483" s="135"/>
    </row>
    <row r="6484" spans="20:21" ht="15" customHeight="1" x14ac:dyDescent="0.25">
      <c r="T6484" s="135"/>
      <c r="U6484" s="135"/>
    </row>
    <row r="6485" spans="20:21" ht="15" customHeight="1" x14ac:dyDescent="0.25">
      <c r="T6485" s="135"/>
      <c r="U6485" s="135"/>
    </row>
    <row r="6486" spans="20:21" ht="15" customHeight="1" x14ac:dyDescent="0.25">
      <c r="T6486" s="135"/>
      <c r="U6486" s="135"/>
    </row>
    <row r="6487" spans="20:21" ht="15" customHeight="1" x14ac:dyDescent="0.25">
      <c r="T6487" s="135"/>
      <c r="U6487" s="135"/>
    </row>
    <row r="6488" spans="20:21" ht="15" customHeight="1" x14ac:dyDescent="0.25">
      <c r="T6488" s="135"/>
      <c r="U6488" s="135"/>
    </row>
    <row r="6489" spans="20:21" ht="15" customHeight="1" x14ac:dyDescent="0.25">
      <c r="T6489" s="135"/>
      <c r="U6489" s="135"/>
    </row>
    <row r="6490" spans="20:21" ht="15" customHeight="1" x14ac:dyDescent="0.25">
      <c r="T6490" s="135"/>
      <c r="U6490" s="135"/>
    </row>
    <row r="6491" spans="20:21" ht="15" customHeight="1" x14ac:dyDescent="0.25">
      <c r="T6491" s="135"/>
      <c r="U6491" s="135"/>
    </row>
    <row r="6492" spans="20:21" ht="15" customHeight="1" x14ac:dyDescent="0.25">
      <c r="T6492" s="135"/>
      <c r="U6492" s="135"/>
    </row>
    <row r="6493" spans="20:21" ht="15" customHeight="1" x14ac:dyDescent="0.25">
      <c r="T6493" s="135"/>
      <c r="U6493" s="135"/>
    </row>
    <row r="6494" spans="20:21" ht="15" customHeight="1" x14ac:dyDescent="0.25">
      <c r="T6494" s="135"/>
      <c r="U6494" s="135"/>
    </row>
    <row r="6495" spans="20:21" ht="15" customHeight="1" x14ac:dyDescent="0.25">
      <c r="T6495" s="135"/>
      <c r="U6495" s="135"/>
    </row>
    <row r="6496" spans="20:21" ht="15" customHeight="1" x14ac:dyDescent="0.25">
      <c r="T6496" s="135"/>
      <c r="U6496" s="135"/>
    </row>
    <row r="6497" spans="20:21" ht="15" customHeight="1" x14ac:dyDescent="0.25">
      <c r="T6497" s="135"/>
      <c r="U6497" s="135"/>
    </row>
    <row r="6498" spans="20:21" ht="15" customHeight="1" x14ac:dyDescent="0.25">
      <c r="T6498" s="135"/>
      <c r="U6498" s="135"/>
    </row>
    <row r="6499" spans="20:21" ht="15" customHeight="1" x14ac:dyDescent="0.25">
      <c r="T6499" s="135"/>
      <c r="U6499" s="135"/>
    </row>
    <row r="6500" spans="20:21" ht="15" customHeight="1" x14ac:dyDescent="0.25">
      <c r="T6500" s="135"/>
      <c r="U6500" s="135"/>
    </row>
    <row r="6501" spans="20:21" ht="15" customHeight="1" x14ac:dyDescent="0.25">
      <c r="T6501" s="135"/>
      <c r="U6501" s="135"/>
    </row>
    <row r="6502" spans="20:21" ht="15" customHeight="1" x14ac:dyDescent="0.25">
      <c r="T6502" s="135"/>
      <c r="U6502" s="135"/>
    </row>
    <row r="6503" spans="20:21" ht="15" customHeight="1" x14ac:dyDescent="0.25">
      <c r="T6503" s="135"/>
      <c r="U6503" s="135"/>
    </row>
    <row r="6504" spans="20:21" ht="15" customHeight="1" x14ac:dyDescent="0.25">
      <c r="T6504" s="135"/>
      <c r="U6504" s="135"/>
    </row>
    <row r="6505" spans="20:21" ht="15" customHeight="1" x14ac:dyDescent="0.25">
      <c r="T6505" s="135"/>
      <c r="U6505" s="135"/>
    </row>
    <row r="6506" spans="20:21" ht="15" customHeight="1" x14ac:dyDescent="0.25">
      <c r="T6506" s="135"/>
      <c r="U6506" s="135"/>
    </row>
    <row r="6507" spans="20:21" ht="15" customHeight="1" x14ac:dyDescent="0.25">
      <c r="T6507" s="135"/>
      <c r="U6507" s="135"/>
    </row>
    <row r="6508" spans="20:21" ht="15" customHeight="1" x14ac:dyDescent="0.25">
      <c r="T6508" s="135"/>
      <c r="U6508" s="135"/>
    </row>
    <row r="6509" spans="20:21" ht="15" customHeight="1" x14ac:dyDescent="0.25">
      <c r="T6509" s="135"/>
      <c r="U6509" s="135"/>
    </row>
    <row r="6510" spans="20:21" ht="15" customHeight="1" x14ac:dyDescent="0.25">
      <c r="T6510" s="135"/>
      <c r="U6510" s="135"/>
    </row>
    <row r="6511" spans="20:21" ht="15" customHeight="1" x14ac:dyDescent="0.25">
      <c r="T6511" s="135"/>
      <c r="U6511" s="135"/>
    </row>
    <row r="6512" spans="20:21" ht="15" customHeight="1" x14ac:dyDescent="0.25">
      <c r="T6512" s="135"/>
      <c r="U6512" s="135"/>
    </row>
    <row r="6513" spans="20:21" ht="15" customHeight="1" x14ac:dyDescent="0.25">
      <c r="T6513" s="135"/>
      <c r="U6513" s="135"/>
    </row>
    <row r="6514" spans="20:21" ht="15" customHeight="1" x14ac:dyDescent="0.25">
      <c r="T6514" s="135"/>
      <c r="U6514" s="135"/>
    </row>
    <row r="6515" spans="20:21" ht="15" customHeight="1" x14ac:dyDescent="0.25">
      <c r="T6515" s="135"/>
      <c r="U6515" s="135"/>
    </row>
    <row r="6516" spans="20:21" ht="15" customHeight="1" x14ac:dyDescent="0.25">
      <c r="T6516" s="135"/>
      <c r="U6516" s="135"/>
    </row>
    <row r="6517" spans="20:21" ht="15" customHeight="1" x14ac:dyDescent="0.25">
      <c r="T6517" s="135"/>
      <c r="U6517" s="135"/>
    </row>
    <row r="6518" spans="20:21" ht="15" customHeight="1" x14ac:dyDescent="0.25">
      <c r="T6518" s="135"/>
      <c r="U6518" s="135"/>
    </row>
    <row r="6519" spans="20:21" ht="15" customHeight="1" x14ac:dyDescent="0.25">
      <c r="T6519" s="135"/>
      <c r="U6519" s="135"/>
    </row>
    <row r="6520" spans="20:21" ht="15" customHeight="1" x14ac:dyDescent="0.25">
      <c r="T6520" s="135"/>
      <c r="U6520" s="135"/>
    </row>
    <row r="6521" spans="20:21" ht="15" customHeight="1" x14ac:dyDescent="0.25">
      <c r="T6521" s="135"/>
      <c r="U6521" s="135"/>
    </row>
    <row r="6522" spans="20:21" ht="15" customHeight="1" x14ac:dyDescent="0.25">
      <c r="T6522" s="135"/>
      <c r="U6522" s="135"/>
    </row>
    <row r="6523" spans="20:21" ht="15" customHeight="1" x14ac:dyDescent="0.25">
      <c r="T6523" s="135"/>
      <c r="U6523" s="135"/>
    </row>
    <row r="6524" spans="20:21" ht="15" customHeight="1" x14ac:dyDescent="0.25">
      <c r="T6524" s="135"/>
      <c r="U6524" s="135"/>
    </row>
    <row r="6525" spans="20:21" ht="15" customHeight="1" x14ac:dyDescent="0.25">
      <c r="T6525" s="135"/>
      <c r="U6525" s="135"/>
    </row>
    <row r="6526" spans="20:21" ht="15" customHeight="1" x14ac:dyDescent="0.25">
      <c r="T6526" s="135"/>
      <c r="U6526" s="135"/>
    </row>
    <row r="6527" spans="20:21" ht="15" customHeight="1" x14ac:dyDescent="0.25">
      <c r="T6527" s="135"/>
      <c r="U6527" s="135"/>
    </row>
    <row r="6528" spans="20:21" ht="15" customHeight="1" x14ac:dyDescent="0.25">
      <c r="T6528" s="135"/>
      <c r="U6528" s="135"/>
    </row>
    <row r="6529" spans="20:21" ht="15" customHeight="1" x14ac:dyDescent="0.25">
      <c r="T6529" s="135"/>
      <c r="U6529" s="135"/>
    </row>
    <row r="6530" spans="20:21" ht="15" customHeight="1" x14ac:dyDescent="0.25">
      <c r="T6530" s="135"/>
      <c r="U6530" s="135"/>
    </row>
    <row r="6531" spans="20:21" ht="15" customHeight="1" x14ac:dyDescent="0.25">
      <c r="T6531" s="135"/>
      <c r="U6531" s="135"/>
    </row>
    <row r="6532" spans="20:21" ht="15" customHeight="1" x14ac:dyDescent="0.25">
      <c r="T6532" s="135"/>
      <c r="U6532" s="135"/>
    </row>
    <row r="6533" spans="20:21" ht="15" customHeight="1" x14ac:dyDescent="0.25">
      <c r="T6533" s="135"/>
      <c r="U6533" s="135"/>
    </row>
    <row r="6534" spans="20:21" ht="15" customHeight="1" x14ac:dyDescent="0.25">
      <c r="T6534" s="135"/>
      <c r="U6534" s="135"/>
    </row>
    <row r="6535" spans="20:21" ht="15" customHeight="1" x14ac:dyDescent="0.25">
      <c r="T6535" s="135"/>
      <c r="U6535" s="135"/>
    </row>
    <row r="6536" spans="20:21" ht="15" customHeight="1" x14ac:dyDescent="0.25">
      <c r="T6536" s="135"/>
      <c r="U6536" s="135"/>
    </row>
    <row r="6537" spans="20:21" ht="15" customHeight="1" x14ac:dyDescent="0.25">
      <c r="T6537" s="135"/>
      <c r="U6537" s="135"/>
    </row>
    <row r="6538" spans="20:21" ht="15" customHeight="1" x14ac:dyDescent="0.25">
      <c r="T6538" s="135"/>
      <c r="U6538" s="135"/>
    </row>
    <row r="6539" spans="20:21" ht="15" customHeight="1" x14ac:dyDescent="0.25">
      <c r="T6539" s="135"/>
      <c r="U6539" s="135"/>
    </row>
    <row r="6540" spans="20:21" ht="15" customHeight="1" x14ac:dyDescent="0.25">
      <c r="T6540" s="135"/>
      <c r="U6540" s="135"/>
    </row>
    <row r="6541" spans="20:21" ht="15" customHeight="1" x14ac:dyDescent="0.25">
      <c r="T6541" s="135"/>
      <c r="U6541" s="135"/>
    </row>
    <row r="6542" spans="20:21" ht="15" customHeight="1" x14ac:dyDescent="0.25">
      <c r="T6542" s="135"/>
      <c r="U6542" s="135"/>
    </row>
    <row r="6543" spans="20:21" ht="15" customHeight="1" x14ac:dyDescent="0.25">
      <c r="T6543" s="135"/>
      <c r="U6543" s="135"/>
    </row>
    <row r="6544" spans="20:21" ht="15" customHeight="1" x14ac:dyDescent="0.25">
      <c r="T6544" s="135"/>
      <c r="U6544" s="135"/>
    </row>
    <row r="6545" spans="20:21" ht="15" customHeight="1" x14ac:dyDescent="0.25">
      <c r="T6545" s="135"/>
      <c r="U6545" s="135"/>
    </row>
    <row r="6546" spans="20:21" ht="15" customHeight="1" x14ac:dyDescent="0.25">
      <c r="T6546" s="135"/>
      <c r="U6546" s="135"/>
    </row>
    <row r="6547" spans="20:21" ht="15" customHeight="1" x14ac:dyDescent="0.25">
      <c r="T6547" s="135"/>
      <c r="U6547" s="135"/>
    </row>
    <row r="6548" spans="20:21" ht="15" customHeight="1" x14ac:dyDescent="0.25">
      <c r="T6548" s="135"/>
      <c r="U6548" s="135"/>
    </row>
    <row r="6549" spans="20:21" ht="15" customHeight="1" x14ac:dyDescent="0.25">
      <c r="T6549" s="135"/>
      <c r="U6549" s="135"/>
    </row>
    <row r="6550" spans="20:21" ht="15" customHeight="1" x14ac:dyDescent="0.25">
      <c r="T6550" s="135"/>
      <c r="U6550" s="135"/>
    </row>
    <row r="6551" spans="20:21" ht="15" customHeight="1" x14ac:dyDescent="0.25">
      <c r="T6551" s="135"/>
      <c r="U6551" s="135"/>
    </row>
    <row r="6552" spans="20:21" ht="15" customHeight="1" x14ac:dyDescent="0.25">
      <c r="T6552" s="135"/>
      <c r="U6552" s="135"/>
    </row>
    <row r="6553" spans="20:21" ht="15" customHeight="1" x14ac:dyDescent="0.25">
      <c r="T6553" s="135"/>
      <c r="U6553" s="135"/>
    </row>
    <row r="6554" spans="20:21" ht="15" customHeight="1" x14ac:dyDescent="0.25">
      <c r="T6554" s="135"/>
      <c r="U6554" s="135"/>
    </row>
    <row r="6555" spans="20:21" ht="15" customHeight="1" x14ac:dyDescent="0.25">
      <c r="T6555" s="135"/>
      <c r="U6555" s="135"/>
    </row>
    <row r="6556" spans="20:21" ht="15" customHeight="1" x14ac:dyDescent="0.25">
      <c r="T6556" s="135"/>
      <c r="U6556" s="135"/>
    </row>
    <row r="6557" spans="20:21" ht="15" customHeight="1" x14ac:dyDescent="0.25">
      <c r="T6557" s="135"/>
      <c r="U6557" s="135"/>
    </row>
    <row r="6558" spans="20:21" ht="15" customHeight="1" x14ac:dyDescent="0.25">
      <c r="T6558" s="135"/>
      <c r="U6558" s="135"/>
    </row>
    <row r="6559" spans="20:21" ht="15" customHeight="1" x14ac:dyDescent="0.25">
      <c r="T6559" s="135"/>
      <c r="U6559" s="135"/>
    </row>
    <row r="6560" spans="20:21" ht="15" customHeight="1" x14ac:dyDescent="0.25">
      <c r="T6560" s="135"/>
      <c r="U6560" s="135"/>
    </row>
    <row r="6561" spans="20:21" ht="15" customHeight="1" x14ac:dyDescent="0.25">
      <c r="T6561" s="135"/>
      <c r="U6561" s="135"/>
    </row>
    <row r="6562" spans="20:21" ht="15" customHeight="1" x14ac:dyDescent="0.25">
      <c r="T6562" s="135"/>
      <c r="U6562" s="135"/>
    </row>
    <row r="6563" spans="20:21" ht="15" customHeight="1" x14ac:dyDescent="0.25">
      <c r="T6563" s="135"/>
      <c r="U6563" s="135"/>
    </row>
    <row r="6564" spans="20:21" ht="15" customHeight="1" x14ac:dyDescent="0.25">
      <c r="T6564" s="135"/>
      <c r="U6564" s="135"/>
    </row>
    <row r="6565" spans="20:21" ht="15" customHeight="1" x14ac:dyDescent="0.25">
      <c r="T6565" s="135"/>
      <c r="U6565" s="135"/>
    </row>
    <row r="6566" spans="20:21" ht="15" customHeight="1" x14ac:dyDescent="0.25">
      <c r="T6566" s="135"/>
      <c r="U6566" s="135"/>
    </row>
    <row r="6567" spans="20:21" ht="15" customHeight="1" x14ac:dyDescent="0.25">
      <c r="T6567" s="135"/>
      <c r="U6567" s="135"/>
    </row>
    <row r="6568" spans="20:21" ht="15" customHeight="1" x14ac:dyDescent="0.25">
      <c r="T6568" s="135"/>
      <c r="U6568" s="135"/>
    </row>
    <row r="6569" spans="20:21" ht="15" customHeight="1" x14ac:dyDescent="0.25">
      <c r="T6569" s="135"/>
      <c r="U6569" s="135"/>
    </row>
    <row r="6570" spans="20:21" ht="15" customHeight="1" x14ac:dyDescent="0.25">
      <c r="T6570" s="135"/>
      <c r="U6570" s="135"/>
    </row>
    <row r="6571" spans="20:21" ht="15" customHeight="1" x14ac:dyDescent="0.25">
      <c r="T6571" s="135"/>
      <c r="U6571" s="135"/>
    </row>
    <row r="6572" spans="20:21" ht="15" customHeight="1" x14ac:dyDescent="0.25">
      <c r="T6572" s="135"/>
      <c r="U6572" s="135"/>
    </row>
    <row r="6573" spans="20:21" ht="15" customHeight="1" x14ac:dyDescent="0.25">
      <c r="T6573" s="135"/>
      <c r="U6573" s="135"/>
    </row>
    <row r="6574" spans="20:21" ht="15" customHeight="1" x14ac:dyDescent="0.25">
      <c r="T6574" s="135"/>
      <c r="U6574" s="135"/>
    </row>
    <row r="6575" spans="20:21" ht="15" customHeight="1" x14ac:dyDescent="0.25">
      <c r="T6575" s="135"/>
      <c r="U6575" s="135"/>
    </row>
    <row r="6576" spans="20:21" ht="15" customHeight="1" x14ac:dyDescent="0.25">
      <c r="T6576" s="135"/>
      <c r="U6576" s="135"/>
    </row>
    <row r="6577" spans="20:21" ht="15" customHeight="1" x14ac:dyDescent="0.25">
      <c r="T6577" s="135"/>
      <c r="U6577" s="135"/>
    </row>
    <row r="6578" spans="20:21" ht="15" customHeight="1" x14ac:dyDescent="0.25">
      <c r="T6578" s="135"/>
      <c r="U6578" s="135"/>
    </row>
    <row r="6579" spans="20:21" ht="15" customHeight="1" x14ac:dyDescent="0.25">
      <c r="T6579" s="135"/>
      <c r="U6579" s="135"/>
    </row>
    <row r="6580" spans="20:21" ht="15" customHeight="1" x14ac:dyDescent="0.25">
      <c r="T6580" s="135"/>
      <c r="U6580" s="135"/>
    </row>
    <row r="6581" spans="20:21" ht="15" customHeight="1" x14ac:dyDescent="0.25">
      <c r="T6581" s="135"/>
      <c r="U6581" s="135"/>
    </row>
    <row r="6582" spans="20:21" ht="15" customHeight="1" x14ac:dyDescent="0.25">
      <c r="T6582" s="135"/>
      <c r="U6582" s="135"/>
    </row>
    <row r="6583" spans="20:21" ht="15" customHeight="1" x14ac:dyDescent="0.25">
      <c r="T6583" s="135"/>
      <c r="U6583" s="135"/>
    </row>
    <row r="6584" spans="20:21" ht="15" customHeight="1" x14ac:dyDescent="0.25">
      <c r="T6584" s="135"/>
      <c r="U6584" s="135"/>
    </row>
    <row r="6585" spans="20:21" ht="15" customHeight="1" x14ac:dyDescent="0.25">
      <c r="T6585" s="135"/>
      <c r="U6585" s="135"/>
    </row>
    <row r="6586" spans="20:21" ht="15" customHeight="1" x14ac:dyDescent="0.25">
      <c r="T6586" s="135"/>
      <c r="U6586" s="135"/>
    </row>
    <row r="6587" spans="20:21" ht="15" customHeight="1" x14ac:dyDescent="0.25">
      <c r="T6587" s="135"/>
      <c r="U6587" s="135"/>
    </row>
    <row r="6588" spans="20:21" ht="15" customHeight="1" x14ac:dyDescent="0.25">
      <c r="T6588" s="135"/>
      <c r="U6588" s="135"/>
    </row>
    <row r="6589" spans="20:21" ht="15" customHeight="1" x14ac:dyDescent="0.25">
      <c r="T6589" s="135"/>
      <c r="U6589" s="135"/>
    </row>
    <row r="6590" spans="20:21" ht="15" customHeight="1" x14ac:dyDescent="0.25">
      <c r="T6590" s="135"/>
      <c r="U6590" s="135"/>
    </row>
    <row r="6591" spans="20:21" ht="15" customHeight="1" x14ac:dyDescent="0.25">
      <c r="T6591" s="135"/>
      <c r="U6591" s="135"/>
    </row>
    <row r="6592" spans="20:21" ht="15" customHeight="1" x14ac:dyDescent="0.25">
      <c r="T6592" s="135"/>
      <c r="U6592" s="135"/>
    </row>
    <row r="6593" spans="20:21" ht="15" customHeight="1" x14ac:dyDescent="0.25">
      <c r="T6593" s="135"/>
      <c r="U6593" s="135"/>
    </row>
    <row r="6594" spans="20:21" ht="15" customHeight="1" x14ac:dyDescent="0.25">
      <c r="T6594" s="135"/>
      <c r="U6594" s="135"/>
    </row>
    <row r="6595" spans="20:21" ht="15" customHeight="1" x14ac:dyDescent="0.25">
      <c r="T6595" s="135"/>
      <c r="U6595" s="135"/>
    </row>
    <row r="6596" spans="20:21" ht="15" customHeight="1" x14ac:dyDescent="0.25">
      <c r="T6596" s="135"/>
      <c r="U6596" s="135"/>
    </row>
    <row r="6597" spans="20:21" ht="15" customHeight="1" x14ac:dyDescent="0.25">
      <c r="T6597" s="135"/>
      <c r="U6597" s="135"/>
    </row>
    <row r="6598" spans="20:21" ht="15" customHeight="1" x14ac:dyDescent="0.25">
      <c r="T6598" s="135"/>
      <c r="U6598" s="135"/>
    </row>
    <row r="6599" spans="20:21" ht="15" customHeight="1" x14ac:dyDescent="0.25">
      <c r="T6599" s="135"/>
      <c r="U6599" s="135"/>
    </row>
    <row r="6600" spans="20:21" ht="15" customHeight="1" x14ac:dyDescent="0.25">
      <c r="T6600" s="135"/>
      <c r="U6600" s="135"/>
    </row>
    <row r="6601" spans="20:21" ht="15" customHeight="1" x14ac:dyDescent="0.25">
      <c r="T6601" s="135"/>
      <c r="U6601" s="135"/>
    </row>
    <row r="6602" spans="20:21" ht="15" customHeight="1" x14ac:dyDescent="0.25">
      <c r="T6602" s="135"/>
      <c r="U6602" s="135"/>
    </row>
    <row r="6603" spans="20:21" ht="15" customHeight="1" x14ac:dyDescent="0.25">
      <c r="T6603" s="135"/>
      <c r="U6603" s="135"/>
    </row>
    <row r="6604" spans="20:21" ht="15" customHeight="1" x14ac:dyDescent="0.25">
      <c r="T6604" s="135"/>
      <c r="U6604" s="135"/>
    </row>
    <row r="6605" spans="20:21" ht="15" customHeight="1" x14ac:dyDescent="0.25">
      <c r="T6605" s="135"/>
      <c r="U6605" s="135"/>
    </row>
    <row r="6606" spans="20:21" ht="15" customHeight="1" x14ac:dyDescent="0.25">
      <c r="T6606" s="135"/>
      <c r="U6606" s="135"/>
    </row>
    <row r="6607" spans="20:21" ht="15" customHeight="1" x14ac:dyDescent="0.25">
      <c r="T6607" s="135"/>
      <c r="U6607" s="135"/>
    </row>
    <row r="6608" spans="20:21" ht="15" customHeight="1" x14ac:dyDescent="0.25">
      <c r="T6608" s="135"/>
      <c r="U6608" s="135"/>
    </row>
    <row r="6609" spans="20:21" ht="15" customHeight="1" x14ac:dyDescent="0.25">
      <c r="T6609" s="135"/>
      <c r="U6609" s="135"/>
    </row>
    <row r="6610" spans="20:21" ht="15" customHeight="1" x14ac:dyDescent="0.25">
      <c r="T6610" s="135"/>
      <c r="U6610" s="135"/>
    </row>
    <row r="6611" spans="20:21" ht="15" customHeight="1" x14ac:dyDescent="0.25">
      <c r="T6611" s="135"/>
      <c r="U6611" s="135"/>
    </row>
    <row r="6612" spans="20:21" ht="15" customHeight="1" x14ac:dyDescent="0.25">
      <c r="T6612" s="135"/>
      <c r="U6612" s="135"/>
    </row>
    <row r="6613" spans="20:21" ht="15" customHeight="1" x14ac:dyDescent="0.25">
      <c r="T6613" s="135"/>
      <c r="U6613" s="135"/>
    </row>
    <row r="6614" spans="20:21" ht="15" customHeight="1" x14ac:dyDescent="0.25">
      <c r="T6614" s="135"/>
      <c r="U6614" s="135"/>
    </row>
    <row r="6615" spans="20:21" ht="15" customHeight="1" x14ac:dyDescent="0.25">
      <c r="T6615" s="135"/>
      <c r="U6615" s="135"/>
    </row>
    <row r="6616" spans="20:21" ht="15" customHeight="1" x14ac:dyDescent="0.25">
      <c r="T6616" s="135"/>
      <c r="U6616" s="135"/>
    </row>
    <row r="6617" spans="20:21" ht="15" customHeight="1" x14ac:dyDescent="0.25">
      <c r="T6617" s="135"/>
      <c r="U6617" s="135"/>
    </row>
    <row r="6618" spans="20:21" ht="15" customHeight="1" x14ac:dyDescent="0.25">
      <c r="T6618" s="135"/>
      <c r="U6618" s="135"/>
    </row>
    <row r="6619" spans="20:21" ht="15" customHeight="1" x14ac:dyDescent="0.25">
      <c r="T6619" s="135"/>
      <c r="U6619" s="135"/>
    </row>
    <row r="6620" spans="20:21" ht="15" customHeight="1" x14ac:dyDescent="0.25">
      <c r="T6620" s="135"/>
      <c r="U6620" s="135"/>
    </row>
    <row r="6621" spans="20:21" ht="15" customHeight="1" x14ac:dyDescent="0.25">
      <c r="T6621" s="135"/>
      <c r="U6621" s="135"/>
    </row>
    <row r="6622" spans="20:21" ht="15" customHeight="1" x14ac:dyDescent="0.25">
      <c r="T6622" s="135"/>
      <c r="U6622" s="135"/>
    </row>
    <row r="6623" spans="20:21" ht="15" customHeight="1" x14ac:dyDescent="0.25">
      <c r="T6623" s="135"/>
      <c r="U6623" s="135"/>
    </row>
    <row r="6624" spans="20:21" ht="15" customHeight="1" x14ac:dyDescent="0.25">
      <c r="T6624" s="135"/>
      <c r="U6624" s="135"/>
    </row>
    <row r="6625" spans="20:21" ht="15" customHeight="1" x14ac:dyDescent="0.25">
      <c r="T6625" s="135"/>
      <c r="U6625" s="135"/>
    </row>
    <row r="6626" spans="20:21" ht="15" customHeight="1" x14ac:dyDescent="0.25">
      <c r="T6626" s="135"/>
      <c r="U6626" s="135"/>
    </row>
    <row r="6627" spans="20:21" ht="15" customHeight="1" x14ac:dyDescent="0.25">
      <c r="T6627" s="135"/>
      <c r="U6627" s="135"/>
    </row>
    <row r="6628" spans="20:21" ht="15" customHeight="1" x14ac:dyDescent="0.25">
      <c r="T6628" s="135"/>
      <c r="U6628" s="135"/>
    </row>
    <row r="6629" spans="20:21" ht="15" customHeight="1" x14ac:dyDescent="0.25">
      <c r="T6629" s="135"/>
      <c r="U6629" s="135"/>
    </row>
    <row r="6630" spans="20:21" ht="15" customHeight="1" x14ac:dyDescent="0.25">
      <c r="T6630" s="135"/>
      <c r="U6630" s="135"/>
    </row>
    <row r="6631" spans="20:21" ht="15" customHeight="1" x14ac:dyDescent="0.25">
      <c r="T6631" s="135"/>
      <c r="U6631" s="135"/>
    </row>
    <row r="6632" spans="20:21" ht="15" customHeight="1" x14ac:dyDescent="0.25">
      <c r="T6632" s="135"/>
      <c r="U6632" s="135"/>
    </row>
    <row r="6633" spans="20:21" ht="15" customHeight="1" x14ac:dyDescent="0.25">
      <c r="T6633" s="135"/>
      <c r="U6633" s="135"/>
    </row>
    <row r="6634" spans="20:21" ht="15" customHeight="1" x14ac:dyDescent="0.25">
      <c r="T6634" s="135"/>
      <c r="U6634" s="135"/>
    </row>
    <row r="6635" spans="20:21" ht="15" customHeight="1" x14ac:dyDescent="0.25">
      <c r="T6635" s="135"/>
      <c r="U6635" s="135"/>
    </row>
    <row r="6636" spans="20:21" ht="15" customHeight="1" x14ac:dyDescent="0.25">
      <c r="T6636" s="135"/>
      <c r="U6636" s="135"/>
    </row>
    <row r="6637" spans="20:21" ht="15" customHeight="1" x14ac:dyDescent="0.25">
      <c r="T6637" s="135"/>
      <c r="U6637" s="135"/>
    </row>
    <row r="6638" spans="20:21" ht="15" customHeight="1" x14ac:dyDescent="0.25">
      <c r="T6638" s="135"/>
      <c r="U6638" s="135"/>
    </row>
    <row r="6639" spans="20:21" ht="15" customHeight="1" x14ac:dyDescent="0.25">
      <c r="T6639" s="135"/>
      <c r="U6639" s="135"/>
    </row>
    <row r="6640" spans="20:21" ht="15" customHeight="1" x14ac:dyDescent="0.25">
      <c r="T6640" s="135"/>
      <c r="U6640" s="135"/>
    </row>
    <row r="6641" spans="20:21" ht="15" customHeight="1" x14ac:dyDescent="0.25">
      <c r="T6641" s="135"/>
      <c r="U6641" s="135"/>
    </row>
    <row r="6642" spans="20:21" ht="15" customHeight="1" x14ac:dyDescent="0.25">
      <c r="T6642" s="135"/>
      <c r="U6642" s="135"/>
    </row>
    <row r="6643" spans="20:21" ht="15" customHeight="1" x14ac:dyDescent="0.25">
      <c r="T6643" s="135"/>
      <c r="U6643" s="135"/>
    </row>
    <row r="6644" spans="20:21" ht="15" customHeight="1" x14ac:dyDescent="0.25">
      <c r="T6644" s="135"/>
      <c r="U6644" s="135"/>
    </row>
    <row r="6645" spans="20:21" ht="15" customHeight="1" x14ac:dyDescent="0.25">
      <c r="T6645" s="135"/>
      <c r="U6645" s="135"/>
    </row>
    <row r="6646" spans="20:21" ht="15" customHeight="1" x14ac:dyDescent="0.25">
      <c r="T6646" s="135"/>
      <c r="U6646" s="135"/>
    </row>
    <row r="6647" spans="20:21" ht="15" customHeight="1" x14ac:dyDescent="0.25">
      <c r="T6647" s="135"/>
      <c r="U6647" s="135"/>
    </row>
    <row r="6648" spans="20:21" ht="15" customHeight="1" x14ac:dyDescent="0.25">
      <c r="T6648" s="135"/>
      <c r="U6648" s="135"/>
    </row>
    <row r="6649" spans="20:21" ht="15" customHeight="1" x14ac:dyDescent="0.25">
      <c r="T6649" s="135"/>
      <c r="U6649" s="135"/>
    </row>
    <row r="6650" spans="20:21" ht="15" customHeight="1" x14ac:dyDescent="0.25">
      <c r="T6650" s="135"/>
      <c r="U6650" s="135"/>
    </row>
    <row r="6651" spans="20:21" ht="15" customHeight="1" x14ac:dyDescent="0.25">
      <c r="T6651" s="135"/>
      <c r="U6651" s="135"/>
    </row>
    <row r="6652" spans="20:21" ht="15" customHeight="1" x14ac:dyDescent="0.25">
      <c r="T6652" s="135"/>
      <c r="U6652" s="135"/>
    </row>
    <row r="6653" spans="20:21" ht="15" customHeight="1" x14ac:dyDescent="0.25">
      <c r="T6653" s="135"/>
      <c r="U6653" s="135"/>
    </row>
    <row r="6654" spans="20:21" ht="15" customHeight="1" x14ac:dyDescent="0.25">
      <c r="T6654" s="135"/>
      <c r="U6654" s="135"/>
    </row>
    <row r="6655" spans="20:21" ht="15" customHeight="1" x14ac:dyDescent="0.25">
      <c r="T6655" s="135"/>
      <c r="U6655" s="135"/>
    </row>
    <row r="6656" spans="20:21" ht="15" customHeight="1" x14ac:dyDescent="0.25">
      <c r="T6656" s="135"/>
      <c r="U6656" s="135"/>
    </row>
    <row r="6657" spans="20:21" ht="15" customHeight="1" x14ac:dyDescent="0.25">
      <c r="T6657" s="135"/>
      <c r="U6657" s="135"/>
    </row>
    <row r="6658" spans="20:21" ht="15" customHeight="1" x14ac:dyDescent="0.25">
      <c r="T6658" s="135"/>
      <c r="U6658" s="135"/>
    </row>
    <row r="6659" spans="20:21" ht="15" customHeight="1" x14ac:dyDescent="0.25">
      <c r="T6659" s="135"/>
      <c r="U6659" s="135"/>
    </row>
    <row r="6660" spans="20:21" ht="15" customHeight="1" x14ac:dyDescent="0.25">
      <c r="T6660" s="135"/>
      <c r="U6660" s="135"/>
    </row>
    <row r="6661" spans="20:21" ht="15" customHeight="1" x14ac:dyDescent="0.25">
      <c r="T6661" s="135"/>
      <c r="U6661" s="135"/>
    </row>
    <row r="6662" spans="20:21" ht="15" customHeight="1" x14ac:dyDescent="0.25">
      <c r="T6662" s="135"/>
      <c r="U6662" s="135"/>
    </row>
    <row r="6663" spans="20:21" ht="15" customHeight="1" x14ac:dyDescent="0.25">
      <c r="T6663" s="135"/>
      <c r="U6663" s="135"/>
    </row>
    <row r="6664" spans="20:21" ht="15" customHeight="1" x14ac:dyDescent="0.25">
      <c r="T6664" s="135"/>
      <c r="U6664" s="135"/>
    </row>
    <row r="6665" spans="20:21" ht="15" customHeight="1" x14ac:dyDescent="0.25">
      <c r="T6665" s="135"/>
      <c r="U6665" s="135"/>
    </row>
    <row r="6666" spans="20:21" ht="15" customHeight="1" x14ac:dyDescent="0.25">
      <c r="T6666" s="135"/>
      <c r="U6666" s="135"/>
    </row>
    <row r="6667" spans="20:21" ht="15" customHeight="1" x14ac:dyDescent="0.25">
      <c r="T6667" s="135"/>
      <c r="U6667" s="135"/>
    </row>
    <row r="6668" spans="20:21" ht="15" customHeight="1" x14ac:dyDescent="0.25">
      <c r="T6668" s="135"/>
      <c r="U6668" s="135"/>
    </row>
    <row r="6669" spans="20:21" ht="15" customHeight="1" x14ac:dyDescent="0.25">
      <c r="T6669" s="135"/>
      <c r="U6669" s="135"/>
    </row>
    <row r="6670" spans="20:21" ht="15" customHeight="1" x14ac:dyDescent="0.25">
      <c r="T6670" s="135"/>
      <c r="U6670" s="135"/>
    </row>
    <row r="6671" spans="20:21" ht="15" customHeight="1" x14ac:dyDescent="0.25">
      <c r="T6671" s="135"/>
      <c r="U6671" s="135"/>
    </row>
    <row r="6672" spans="20:21" ht="15" customHeight="1" x14ac:dyDescent="0.25">
      <c r="T6672" s="135"/>
      <c r="U6672" s="135"/>
    </row>
    <row r="6673" spans="20:21" ht="15" customHeight="1" x14ac:dyDescent="0.25">
      <c r="T6673" s="135"/>
      <c r="U6673" s="135"/>
    </row>
    <row r="6674" spans="20:21" ht="15" customHeight="1" x14ac:dyDescent="0.25">
      <c r="T6674" s="135"/>
      <c r="U6674" s="135"/>
    </row>
    <row r="6675" spans="20:21" ht="15" customHeight="1" x14ac:dyDescent="0.25">
      <c r="T6675" s="135"/>
      <c r="U6675" s="135"/>
    </row>
    <row r="6676" spans="20:21" ht="15" customHeight="1" x14ac:dyDescent="0.25">
      <c r="T6676" s="135"/>
      <c r="U6676" s="135"/>
    </row>
    <row r="6677" spans="20:21" ht="15" customHeight="1" x14ac:dyDescent="0.25">
      <c r="T6677" s="135"/>
      <c r="U6677" s="135"/>
    </row>
    <row r="6678" spans="20:21" ht="15" customHeight="1" x14ac:dyDescent="0.25">
      <c r="T6678" s="135"/>
      <c r="U6678" s="135"/>
    </row>
    <row r="6679" spans="20:21" ht="15" customHeight="1" x14ac:dyDescent="0.25">
      <c r="T6679" s="135"/>
      <c r="U6679" s="135"/>
    </row>
    <row r="6680" spans="20:21" ht="15" customHeight="1" x14ac:dyDescent="0.25">
      <c r="T6680" s="135"/>
      <c r="U6680" s="135"/>
    </row>
    <row r="6681" spans="20:21" ht="15" customHeight="1" x14ac:dyDescent="0.25">
      <c r="T6681" s="135"/>
      <c r="U6681" s="135"/>
    </row>
    <row r="6682" spans="20:21" ht="15" customHeight="1" x14ac:dyDescent="0.25">
      <c r="T6682" s="135"/>
      <c r="U6682" s="135"/>
    </row>
    <row r="6683" spans="20:21" ht="15" customHeight="1" x14ac:dyDescent="0.25">
      <c r="T6683" s="135"/>
      <c r="U6683" s="135"/>
    </row>
    <row r="6684" spans="20:21" ht="15" customHeight="1" x14ac:dyDescent="0.25">
      <c r="T6684" s="135"/>
      <c r="U6684" s="135"/>
    </row>
    <row r="6685" spans="20:21" ht="15" customHeight="1" x14ac:dyDescent="0.25">
      <c r="T6685" s="135"/>
      <c r="U6685" s="135"/>
    </row>
    <row r="6686" spans="20:21" ht="15" customHeight="1" x14ac:dyDescent="0.25">
      <c r="T6686" s="135"/>
      <c r="U6686" s="135"/>
    </row>
    <row r="6687" spans="20:21" ht="15" customHeight="1" x14ac:dyDescent="0.25">
      <c r="T6687" s="135"/>
      <c r="U6687" s="135"/>
    </row>
    <row r="6688" spans="20:21" ht="15" customHeight="1" x14ac:dyDescent="0.25">
      <c r="T6688" s="135"/>
      <c r="U6688" s="135"/>
    </row>
    <row r="6689" spans="20:21" ht="15" customHeight="1" x14ac:dyDescent="0.25">
      <c r="T6689" s="135"/>
      <c r="U6689" s="135"/>
    </row>
    <row r="6690" spans="20:21" ht="15" customHeight="1" x14ac:dyDescent="0.25">
      <c r="T6690" s="135"/>
      <c r="U6690" s="135"/>
    </row>
    <row r="6691" spans="20:21" ht="15" customHeight="1" x14ac:dyDescent="0.25">
      <c r="T6691" s="135"/>
      <c r="U6691" s="135"/>
    </row>
    <row r="6692" spans="20:21" ht="15" customHeight="1" x14ac:dyDescent="0.25">
      <c r="T6692" s="135"/>
      <c r="U6692" s="135"/>
    </row>
    <row r="6693" spans="20:21" ht="15" customHeight="1" x14ac:dyDescent="0.25">
      <c r="T6693" s="135"/>
      <c r="U6693" s="135"/>
    </row>
    <row r="6694" spans="20:21" ht="15" customHeight="1" x14ac:dyDescent="0.25">
      <c r="T6694" s="135"/>
      <c r="U6694" s="135"/>
    </row>
    <row r="6695" spans="20:21" ht="15" customHeight="1" x14ac:dyDescent="0.25">
      <c r="T6695" s="135"/>
      <c r="U6695" s="135"/>
    </row>
    <row r="6696" spans="20:21" ht="15" customHeight="1" x14ac:dyDescent="0.25">
      <c r="T6696" s="135"/>
      <c r="U6696" s="135"/>
    </row>
    <row r="6697" spans="20:21" ht="15" customHeight="1" x14ac:dyDescent="0.25">
      <c r="T6697" s="135"/>
      <c r="U6697" s="135"/>
    </row>
    <row r="6698" spans="20:21" ht="15" customHeight="1" x14ac:dyDescent="0.25">
      <c r="T6698" s="135"/>
      <c r="U6698" s="135"/>
    </row>
    <row r="6699" spans="20:21" ht="15" customHeight="1" x14ac:dyDescent="0.25">
      <c r="T6699" s="135"/>
      <c r="U6699" s="135"/>
    </row>
    <row r="6700" spans="20:21" ht="15" customHeight="1" x14ac:dyDescent="0.25">
      <c r="T6700" s="135"/>
      <c r="U6700" s="135"/>
    </row>
    <row r="6701" spans="20:21" ht="15" customHeight="1" x14ac:dyDescent="0.25">
      <c r="T6701" s="135"/>
      <c r="U6701" s="135"/>
    </row>
    <row r="6702" spans="20:21" ht="15" customHeight="1" x14ac:dyDescent="0.25">
      <c r="T6702" s="135"/>
      <c r="U6702" s="135"/>
    </row>
    <row r="6703" spans="20:21" ht="15" customHeight="1" x14ac:dyDescent="0.25">
      <c r="T6703" s="135"/>
      <c r="U6703" s="135"/>
    </row>
    <row r="6704" spans="20:21" ht="15" customHeight="1" x14ac:dyDescent="0.25">
      <c r="T6704" s="135"/>
      <c r="U6704" s="135"/>
    </row>
    <row r="6705" spans="20:21" ht="15" customHeight="1" x14ac:dyDescent="0.25">
      <c r="T6705" s="135"/>
      <c r="U6705" s="135"/>
    </row>
    <row r="6706" spans="20:21" ht="15" customHeight="1" x14ac:dyDescent="0.25">
      <c r="T6706" s="135"/>
      <c r="U6706" s="135"/>
    </row>
    <row r="6707" spans="20:21" ht="15" customHeight="1" x14ac:dyDescent="0.25">
      <c r="T6707" s="135"/>
      <c r="U6707" s="135"/>
    </row>
    <row r="6708" spans="20:21" ht="15" customHeight="1" x14ac:dyDescent="0.25">
      <c r="T6708" s="135"/>
      <c r="U6708" s="135"/>
    </row>
    <row r="6709" spans="20:21" ht="15" customHeight="1" x14ac:dyDescent="0.25">
      <c r="T6709" s="135"/>
      <c r="U6709" s="135"/>
    </row>
    <row r="6710" spans="20:21" ht="15" customHeight="1" x14ac:dyDescent="0.25">
      <c r="T6710" s="135"/>
      <c r="U6710" s="135"/>
    </row>
    <row r="6711" spans="20:21" ht="15" customHeight="1" x14ac:dyDescent="0.25">
      <c r="T6711" s="135"/>
      <c r="U6711" s="135"/>
    </row>
    <row r="6712" spans="20:21" ht="15" customHeight="1" x14ac:dyDescent="0.25">
      <c r="T6712" s="135"/>
      <c r="U6712" s="135"/>
    </row>
    <row r="6713" spans="20:21" ht="15" customHeight="1" x14ac:dyDescent="0.25">
      <c r="T6713" s="135"/>
      <c r="U6713" s="135"/>
    </row>
    <row r="6714" spans="20:21" ht="15" customHeight="1" x14ac:dyDescent="0.25">
      <c r="T6714" s="135"/>
      <c r="U6714" s="135"/>
    </row>
    <row r="6715" spans="20:21" ht="15" customHeight="1" x14ac:dyDescent="0.25">
      <c r="T6715" s="135"/>
      <c r="U6715" s="135"/>
    </row>
    <row r="6716" spans="20:21" ht="15" customHeight="1" x14ac:dyDescent="0.25">
      <c r="T6716" s="135"/>
      <c r="U6716" s="135"/>
    </row>
    <row r="6717" spans="20:21" ht="15" customHeight="1" x14ac:dyDescent="0.25">
      <c r="T6717" s="135"/>
      <c r="U6717" s="135"/>
    </row>
    <row r="6718" spans="20:21" ht="15" customHeight="1" x14ac:dyDescent="0.25">
      <c r="T6718" s="135"/>
      <c r="U6718" s="135"/>
    </row>
    <row r="6719" spans="20:21" ht="15" customHeight="1" x14ac:dyDescent="0.25">
      <c r="T6719" s="135"/>
      <c r="U6719" s="135"/>
    </row>
    <row r="6720" spans="20:21" ht="15" customHeight="1" x14ac:dyDescent="0.25">
      <c r="T6720" s="135"/>
      <c r="U6720" s="135"/>
    </row>
    <row r="6721" spans="20:21" ht="15" customHeight="1" x14ac:dyDescent="0.25">
      <c r="T6721" s="135"/>
      <c r="U6721" s="135"/>
    </row>
    <row r="6722" spans="20:21" ht="15" customHeight="1" x14ac:dyDescent="0.25">
      <c r="T6722" s="135"/>
      <c r="U6722" s="135"/>
    </row>
    <row r="6723" spans="20:21" ht="15" customHeight="1" x14ac:dyDescent="0.25">
      <c r="T6723" s="135"/>
      <c r="U6723" s="135"/>
    </row>
    <row r="6724" spans="20:21" ht="15" customHeight="1" x14ac:dyDescent="0.25">
      <c r="T6724" s="135"/>
      <c r="U6724" s="135"/>
    </row>
    <row r="6725" spans="20:21" ht="15" customHeight="1" x14ac:dyDescent="0.25">
      <c r="T6725" s="135"/>
      <c r="U6725" s="135"/>
    </row>
    <row r="6726" spans="20:21" ht="15" customHeight="1" x14ac:dyDescent="0.25">
      <c r="T6726" s="135"/>
      <c r="U6726" s="135"/>
    </row>
    <row r="6727" spans="20:21" ht="15" customHeight="1" x14ac:dyDescent="0.25">
      <c r="T6727" s="135"/>
      <c r="U6727" s="135"/>
    </row>
    <row r="6728" spans="20:21" ht="15" customHeight="1" x14ac:dyDescent="0.25">
      <c r="T6728" s="135"/>
      <c r="U6728" s="135"/>
    </row>
    <row r="6729" spans="20:21" ht="15" customHeight="1" x14ac:dyDescent="0.25">
      <c r="T6729" s="135"/>
      <c r="U6729" s="135"/>
    </row>
    <row r="6730" spans="20:21" ht="15" customHeight="1" x14ac:dyDescent="0.25">
      <c r="T6730" s="135"/>
      <c r="U6730" s="135"/>
    </row>
    <row r="6731" spans="20:21" ht="15" customHeight="1" x14ac:dyDescent="0.25">
      <c r="T6731" s="135"/>
      <c r="U6731" s="135"/>
    </row>
    <row r="6732" spans="20:21" ht="15" customHeight="1" x14ac:dyDescent="0.25">
      <c r="T6732" s="135"/>
      <c r="U6732" s="135"/>
    </row>
    <row r="6733" spans="20:21" ht="15" customHeight="1" x14ac:dyDescent="0.25">
      <c r="T6733" s="135"/>
      <c r="U6733" s="135"/>
    </row>
    <row r="6734" spans="20:21" ht="15" customHeight="1" x14ac:dyDescent="0.25">
      <c r="T6734" s="135"/>
      <c r="U6734" s="135"/>
    </row>
    <row r="6735" spans="20:21" ht="15" customHeight="1" x14ac:dyDescent="0.25">
      <c r="T6735" s="135"/>
      <c r="U6735" s="135"/>
    </row>
    <row r="6736" spans="20:21" ht="15" customHeight="1" x14ac:dyDescent="0.25">
      <c r="T6736" s="135"/>
      <c r="U6736" s="135"/>
    </row>
    <row r="6737" spans="20:21" ht="15" customHeight="1" x14ac:dyDescent="0.25">
      <c r="T6737" s="135"/>
      <c r="U6737" s="135"/>
    </row>
    <row r="6738" spans="20:21" ht="15" customHeight="1" x14ac:dyDescent="0.25">
      <c r="T6738" s="135"/>
      <c r="U6738" s="135"/>
    </row>
    <row r="6739" spans="20:21" ht="15" customHeight="1" x14ac:dyDescent="0.25">
      <c r="T6739" s="135"/>
      <c r="U6739" s="135"/>
    </row>
    <row r="6740" spans="20:21" ht="15" customHeight="1" x14ac:dyDescent="0.25">
      <c r="T6740" s="135"/>
      <c r="U6740" s="135"/>
    </row>
    <row r="6741" spans="20:21" ht="15" customHeight="1" x14ac:dyDescent="0.25">
      <c r="T6741" s="135"/>
      <c r="U6741" s="135"/>
    </row>
    <row r="6742" spans="20:21" ht="15" customHeight="1" x14ac:dyDescent="0.25">
      <c r="T6742" s="135"/>
      <c r="U6742" s="135"/>
    </row>
    <row r="6743" spans="20:21" ht="15" customHeight="1" x14ac:dyDescent="0.25">
      <c r="T6743" s="135"/>
      <c r="U6743" s="135"/>
    </row>
    <row r="6744" spans="20:21" ht="15" customHeight="1" x14ac:dyDescent="0.25">
      <c r="T6744" s="135"/>
      <c r="U6744" s="135"/>
    </row>
    <row r="6745" spans="20:21" ht="15" customHeight="1" x14ac:dyDescent="0.25">
      <c r="T6745" s="135"/>
      <c r="U6745" s="135"/>
    </row>
    <row r="6746" spans="20:21" ht="15" customHeight="1" x14ac:dyDescent="0.25">
      <c r="T6746" s="135"/>
      <c r="U6746" s="135"/>
    </row>
    <row r="6747" spans="20:21" ht="15" customHeight="1" x14ac:dyDescent="0.25">
      <c r="T6747" s="135"/>
      <c r="U6747" s="135"/>
    </row>
    <row r="6748" spans="20:21" ht="15" customHeight="1" x14ac:dyDescent="0.25">
      <c r="T6748" s="135"/>
      <c r="U6748" s="135"/>
    </row>
    <row r="6749" spans="20:21" ht="15" customHeight="1" x14ac:dyDescent="0.25">
      <c r="T6749" s="135"/>
      <c r="U6749" s="135"/>
    </row>
    <row r="6750" spans="20:21" ht="15" customHeight="1" x14ac:dyDescent="0.25">
      <c r="T6750" s="135"/>
      <c r="U6750" s="135"/>
    </row>
    <row r="6751" spans="20:21" ht="15" customHeight="1" x14ac:dyDescent="0.25">
      <c r="T6751" s="135"/>
      <c r="U6751" s="135"/>
    </row>
    <row r="6752" spans="20:21" ht="15" customHeight="1" x14ac:dyDescent="0.25">
      <c r="T6752" s="135"/>
      <c r="U6752" s="135"/>
    </row>
    <row r="6753" spans="20:21" ht="15" customHeight="1" x14ac:dyDescent="0.25">
      <c r="T6753" s="135"/>
      <c r="U6753" s="135"/>
    </row>
    <row r="6754" spans="20:21" ht="15" customHeight="1" x14ac:dyDescent="0.25">
      <c r="T6754" s="135"/>
      <c r="U6754" s="135"/>
    </row>
    <row r="6755" spans="20:21" ht="15" customHeight="1" x14ac:dyDescent="0.25">
      <c r="T6755" s="135"/>
      <c r="U6755" s="135"/>
    </row>
    <row r="6756" spans="20:21" ht="15" customHeight="1" x14ac:dyDescent="0.25">
      <c r="T6756" s="135"/>
      <c r="U6756" s="135"/>
    </row>
    <row r="6757" spans="20:21" ht="15" customHeight="1" x14ac:dyDescent="0.25">
      <c r="T6757" s="135"/>
      <c r="U6757" s="135"/>
    </row>
    <row r="6758" spans="20:21" ht="15" customHeight="1" x14ac:dyDescent="0.25">
      <c r="T6758" s="135"/>
      <c r="U6758" s="135"/>
    </row>
    <row r="6759" spans="20:21" ht="15" customHeight="1" x14ac:dyDescent="0.25">
      <c r="T6759" s="135"/>
      <c r="U6759" s="135"/>
    </row>
    <row r="6760" spans="20:21" ht="15" customHeight="1" x14ac:dyDescent="0.25">
      <c r="T6760" s="135"/>
      <c r="U6760" s="135"/>
    </row>
    <row r="6761" spans="20:21" ht="15" customHeight="1" x14ac:dyDescent="0.25">
      <c r="T6761" s="135"/>
      <c r="U6761" s="135"/>
    </row>
    <row r="6762" spans="20:21" ht="15" customHeight="1" x14ac:dyDescent="0.25">
      <c r="T6762" s="135"/>
      <c r="U6762" s="135"/>
    </row>
    <row r="6763" spans="20:21" ht="15" customHeight="1" x14ac:dyDescent="0.25">
      <c r="T6763" s="135"/>
      <c r="U6763" s="135"/>
    </row>
    <row r="6764" spans="20:21" ht="15" customHeight="1" x14ac:dyDescent="0.25">
      <c r="T6764" s="135"/>
      <c r="U6764" s="135"/>
    </row>
    <row r="6765" spans="20:21" ht="15" customHeight="1" x14ac:dyDescent="0.25">
      <c r="T6765" s="135"/>
      <c r="U6765" s="135"/>
    </row>
    <row r="6766" spans="20:21" ht="15" customHeight="1" x14ac:dyDescent="0.25">
      <c r="T6766" s="135"/>
      <c r="U6766" s="135"/>
    </row>
    <row r="6767" spans="20:21" ht="15" customHeight="1" x14ac:dyDescent="0.25">
      <c r="T6767" s="135"/>
      <c r="U6767" s="135"/>
    </row>
    <row r="6768" spans="20:21" ht="15" customHeight="1" x14ac:dyDescent="0.25">
      <c r="T6768" s="135"/>
      <c r="U6768" s="135"/>
    </row>
    <row r="6769" spans="20:21" ht="15" customHeight="1" x14ac:dyDescent="0.25">
      <c r="T6769" s="135"/>
      <c r="U6769" s="135"/>
    </row>
    <row r="6770" spans="20:21" ht="15" customHeight="1" x14ac:dyDescent="0.25">
      <c r="T6770" s="135"/>
      <c r="U6770" s="135"/>
    </row>
    <row r="6771" spans="20:21" ht="15" customHeight="1" x14ac:dyDescent="0.25">
      <c r="T6771" s="135"/>
      <c r="U6771" s="135"/>
    </row>
    <row r="6772" spans="20:21" ht="15" customHeight="1" x14ac:dyDescent="0.25">
      <c r="T6772" s="135"/>
      <c r="U6772" s="135"/>
    </row>
    <row r="6773" spans="20:21" ht="15" customHeight="1" x14ac:dyDescent="0.25">
      <c r="T6773" s="135"/>
      <c r="U6773" s="135"/>
    </row>
    <row r="6774" spans="20:21" ht="15" customHeight="1" x14ac:dyDescent="0.25">
      <c r="T6774" s="135"/>
      <c r="U6774" s="135"/>
    </row>
    <row r="6775" spans="20:21" ht="15" customHeight="1" x14ac:dyDescent="0.25">
      <c r="T6775" s="135"/>
      <c r="U6775" s="135"/>
    </row>
    <row r="6776" spans="20:21" ht="15" customHeight="1" x14ac:dyDescent="0.25">
      <c r="T6776" s="135"/>
      <c r="U6776" s="135"/>
    </row>
    <row r="6777" spans="20:21" ht="15" customHeight="1" x14ac:dyDescent="0.25">
      <c r="T6777" s="135"/>
      <c r="U6777" s="135"/>
    </row>
    <row r="6778" spans="20:21" ht="15" customHeight="1" x14ac:dyDescent="0.25">
      <c r="T6778" s="135"/>
      <c r="U6778" s="135"/>
    </row>
    <row r="6779" spans="20:21" ht="15" customHeight="1" x14ac:dyDescent="0.25">
      <c r="T6779" s="135"/>
      <c r="U6779" s="135"/>
    </row>
    <row r="6780" spans="20:21" ht="15" customHeight="1" x14ac:dyDescent="0.25">
      <c r="T6780" s="135"/>
      <c r="U6780" s="135"/>
    </row>
    <row r="6781" spans="20:21" ht="15" customHeight="1" x14ac:dyDescent="0.25">
      <c r="T6781" s="135"/>
      <c r="U6781" s="135"/>
    </row>
    <row r="6782" spans="20:21" ht="15" customHeight="1" x14ac:dyDescent="0.25">
      <c r="T6782" s="135"/>
      <c r="U6782" s="135"/>
    </row>
    <row r="6783" spans="20:21" ht="15" customHeight="1" x14ac:dyDescent="0.25">
      <c r="T6783" s="135"/>
      <c r="U6783" s="135"/>
    </row>
    <row r="6784" spans="20:21" ht="15" customHeight="1" x14ac:dyDescent="0.25">
      <c r="T6784" s="135"/>
      <c r="U6784" s="135"/>
    </row>
    <row r="6785" spans="20:21" ht="15" customHeight="1" x14ac:dyDescent="0.25">
      <c r="T6785" s="135"/>
      <c r="U6785" s="135"/>
    </row>
    <row r="6786" spans="20:21" ht="15" customHeight="1" x14ac:dyDescent="0.25">
      <c r="T6786" s="135"/>
      <c r="U6786" s="135"/>
    </row>
    <row r="6787" spans="20:21" ht="15" customHeight="1" x14ac:dyDescent="0.25">
      <c r="T6787" s="135"/>
      <c r="U6787" s="135"/>
    </row>
    <row r="6788" spans="20:21" ht="15" customHeight="1" x14ac:dyDescent="0.25">
      <c r="T6788" s="135"/>
      <c r="U6788" s="135"/>
    </row>
    <row r="6789" spans="20:21" ht="15" customHeight="1" x14ac:dyDescent="0.25">
      <c r="T6789" s="135"/>
      <c r="U6789" s="135"/>
    </row>
    <row r="6790" spans="20:21" ht="15" customHeight="1" x14ac:dyDescent="0.25">
      <c r="T6790" s="135"/>
      <c r="U6790" s="135"/>
    </row>
    <row r="6791" spans="20:21" ht="15" customHeight="1" x14ac:dyDescent="0.25">
      <c r="T6791" s="135"/>
      <c r="U6791" s="135"/>
    </row>
    <row r="6792" spans="20:21" ht="15" customHeight="1" x14ac:dyDescent="0.25">
      <c r="T6792" s="135"/>
      <c r="U6792" s="135"/>
    </row>
    <row r="6793" spans="20:21" ht="15" customHeight="1" x14ac:dyDescent="0.25">
      <c r="T6793" s="135"/>
      <c r="U6793" s="135"/>
    </row>
    <row r="6794" spans="20:21" ht="15" customHeight="1" x14ac:dyDescent="0.25">
      <c r="T6794" s="135"/>
      <c r="U6794" s="135"/>
    </row>
    <row r="6795" spans="20:21" ht="15" customHeight="1" x14ac:dyDescent="0.25">
      <c r="T6795" s="135"/>
      <c r="U6795" s="135"/>
    </row>
    <row r="6796" spans="20:21" ht="15" customHeight="1" x14ac:dyDescent="0.25">
      <c r="T6796" s="135"/>
      <c r="U6796" s="135"/>
    </row>
    <row r="6797" spans="20:21" ht="15" customHeight="1" x14ac:dyDescent="0.25">
      <c r="T6797" s="135"/>
      <c r="U6797" s="135"/>
    </row>
    <row r="6798" spans="20:21" ht="15" customHeight="1" x14ac:dyDescent="0.25">
      <c r="T6798" s="135"/>
      <c r="U6798" s="135"/>
    </row>
    <row r="6799" spans="20:21" ht="15" customHeight="1" x14ac:dyDescent="0.25">
      <c r="T6799" s="135"/>
      <c r="U6799" s="135"/>
    </row>
    <row r="6800" spans="20:21" ht="15" customHeight="1" x14ac:dyDescent="0.25">
      <c r="T6800" s="135"/>
      <c r="U6800" s="135"/>
    </row>
    <row r="6801" spans="20:21" ht="15" customHeight="1" x14ac:dyDescent="0.25">
      <c r="T6801" s="135"/>
      <c r="U6801" s="135"/>
    </row>
    <row r="6802" spans="20:21" ht="15" customHeight="1" x14ac:dyDescent="0.25">
      <c r="T6802" s="135"/>
      <c r="U6802" s="135"/>
    </row>
    <row r="6803" spans="20:21" ht="15" customHeight="1" x14ac:dyDescent="0.25">
      <c r="T6803" s="135"/>
      <c r="U6803" s="135"/>
    </row>
    <row r="6804" spans="20:21" ht="15" customHeight="1" x14ac:dyDescent="0.25">
      <c r="T6804" s="135"/>
      <c r="U6804" s="135"/>
    </row>
    <row r="6805" spans="20:21" ht="15" customHeight="1" x14ac:dyDescent="0.25">
      <c r="T6805" s="135"/>
      <c r="U6805" s="135"/>
    </row>
    <row r="6806" spans="20:21" ht="15" customHeight="1" x14ac:dyDescent="0.25">
      <c r="T6806" s="135"/>
      <c r="U6806" s="135"/>
    </row>
    <row r="6807" spans="20:21" ht="15" customHeight="1" x14ac:dyDescent="0.25">
      <c r="T6807" s="135"/>
      <c r="U6807" s="135"/>
    </row>
    <row r="6808" spans="20:21" ht="15" customHeight="1" x14ac:dyDescent="0.25">
      <c r="T6808" s="135"/>
      <c r="U6808" s="135"/>
    </row>
    <row r="6809" spans="20:21" ht="15" customHeight="1" x14ac:dyDescent="0.25">
      <c r="T6809" s="135"/>
      <c r="U6809" s="135"/>
    </row>
    <row r="6810" spans="20:21" ht="15" customHeight="1" x14ac:dyDescent="0.25">
      <c r="T6810" s="135"/>
      <c r="U6810" s="135"/>
    </row>
    <row r="6811" spans="20:21" ht="15" customHeight="1" x14ac:dyDescent="0.25">
      <c r="T6811" s="135"/>
      <c r="U6811" s="135"/>
    </row>
    <row r="6812" spans="20:21" ht="15" customHeight="1" x14ac:dyDescent="0.25">
      <c r="T6812" s="135"/>
      <c r="U6812" s="135"/>
    </row>
    <row r="6813" spans="20:21" ht="15" customHeight="1" x14ac:dyDescent="0.25">
      <c r="T6813" s="135"/>
      <c r="U6813" s="135"/>
    </row>
    <row r="6814" spans="20:21" ht="15" customHeight="1" x14ac:dyDescent="0.25">
      <c r="T6814" s="135"/>
      <c r="U6814" s="135"/>
    </row>
    <row r="6815" spans="20:21" ht="15" customHeight="1" x14ac:dyDescent="0.25">
      <c r="T6815" s="135"/>
      <c r="U6815" s="135"/>
    </row>
    <row r="6816" spans="20:21" ht="15" customHeight="1" x14ac:dyDescent="0.25">
      <c r="T6816" s="135"/>
      <c r="U6816" s="135"/>
    </row>
    <row r="6817" spans="20:21" ht="15" customHeight="1" x14ac:dyDescent="0.25">
      <c r="T6817" s="135"/>
      <c r="U6817" s="135"/>
    </row>
    <row r="6818" spans="20:21" ht="15" customHeight="1" x14ac:dyDescent="0.25">
      <c r="T6818" s="135"/>
      <c r="U6818" s="135"/>
    </row>
    <row r="6819" spans="20:21" ht="15" customHeight="1" x14ac:dyDescent="0.25">
      <c r="T6819" s="135"/>
      <c r="U6819" s="135"/>
    </row>
    <row r="6820" spans="20:21" ht="15" customHeight="1" x14ac:dyDescent="0.25">
      <c r="T6820" s="135"/>
      <c r="U6820" s="135"/>
    </row>
    <row r="6821" spans="20:21" ht="15" customHeight="1" x14ac:dyDescent="0.25">
      <c r="T6821" s="135"/>
      <c r="U6821" s="135"/>
    </row>
    <row r="6822" spans="20:21" ht="15" customHeight="1" x14ac:dyDescent="0.25">
      <c r="T6822" s="135"/>
      <c r="U6822" s="135"/>
    </row>
    <row r="6823" spans="20:21" ht="15" customHeight="1" x14ac:dyDescent="0.25">
      <c r="T6823" s="135"/>
      <c r="U6823" s="135"/>
    </row>
    <row r="6824" spans="20:21" ht="15" customHeight="1" x14ac:dyDescent="0.25">
      <c r="T6824" s="135"/>
      <c r="U6824" s="135"/>
    </row>
    <row r="6825" spans="20:21" ht="15" customHeight="1" x14ac:dyDescent="0.25">
      <c r="T6825" s="135"/>
      <c r="U6825" s="135"/>
    </row>
    <row r="6826" spans="20:21" ht="15" customHeight="1" x14ac:dyDescent="0.25">
      <c r="T6826" s="135"/>
      <c r="U6826" s="135"/>
    </row>
    <row r="6827" spans="20:21" ht="15" customHeight="1" x14ac:dyDescent="0.25">
      <c r="T6827" s="135"/>
      <c r="U6827" s="135"/>
    </row>
    <row r="6828" spans="20:21" ht="15" customHeight="1" x14ac:dyDescent="0.25">
      <c r="T6828" s="135"/>
      <c r="U6828" s="135"/>
    </row>
    <row r="6829" spans="20:21" ht="15" customHeight="1" x14ac:dyDescent="0.25">
      <c r="T6829" s="135"/>
      <c r="U6829" s="135"/>
    </row>
    <row r="6830" spans="20:21" ht="15" customHeight="1" x14ac:dyDescent="0.25">
      <c r="T6830" s="135"/>
      <c r="U6830" s="135"/>
    </row>
    <row r="6831" spans="20:21" ht="15" customHeight="1" x14ac:dyDescent="0.25">
      <c r="T6831" s="135"/>
      <c r="U6831" s="135"/>
    </row>
    <row r="6832" spans="20:21" ht="15" customHeight="1" x14ac:dyDescent="0.25">
      <c r="T6832" s="135"/>
      <c r="U6832" s="135"/>
    </row>
    <row r="6833" spans="20:21" ht="15" customHeight="1" x14ac:dyDescent="0.25">
      <c r="T6833" s="135"/>
      <c r="U6833" s="135"/>
    </row>
    <row r="6834" spans="20:21" ht="15" customHeight="1" x14ac:dyDescent="0.25">
      <c r="T6834" s="135"/>
      <c r="U6834" s="135"/>
    </row>
    <row r="6835" spans="20:21" ht="15" customHeight="1" x14ac:dyDescent="0.25">
      <c r="T6835" s="135"/>
      <c r="U6835" s="135"/>
    </row>
    <row r="6836" spans="20:21" ht="15" customHeight="1" x14ac:dyDescent="0.25">
      <c r="T6836" s="135"/>
      <c r="U6836" s="135"/>
    </row>
    <row r="6837" spans="20:21" ht="15" customHeight="1" x14ac:dyDescent="0.25">
      <c r="T6837" s="135"/>
      <c r="U6837" s="135"/>
    </row>
    <row r="6838" spans="20:21" ht="15" customHeight="1" x14ac:dyDescent="0.25">
      <c r="T6838" s="135"/>
      <c r="U6838" s="135"/>
    </row>
    <row r="6839" spans="20:21" ht="15" customHeight="1" x14ac:dyDescent="0.25">
      <c r="T6839" s="135"/>
      <c r="U6839" s="135"/>
    </row>
    <row r="6840" spans="20:21" ht="15" customHeight="1" x14ac:dyDescent="0.25">
      <c r="T6840" s="135"/>
      <c r="U6840" s="135"/>
    </row>
    <row r="6841" spans="20:21" ht="15" customHeight="1" x14ac:dyDescent="0.25">
      <c r="T6841" s="135"/>
      <c r="U6841" s="135"/>
    </row>
    <row r="6842" spans="20:21" ht="15" customHeight="1" x14ac:dyDescent="0.25">
      <c r="T6842" s="135"/>
      <c r="U6842" s="135"/>
    </row>
    <row r="6843" spans="20:21" ht="15" customHeight="1" x14ac:dyDescent="0.25">
      <c r="T6843" s="135"/>
      <c r="U6843" s="135"/>
    </row>
    <row r="6844" spans="20:21" ht="15" customHeight="1" x14ac:dyDescent="0.25">
      <c r="T6844" s="135"/>
      <c r="U6844" s="135"/>
    </row>
    <row r="6845" spans="20:21" ht="15" customHeight="1" x14ac:dyDescent="0.25">
      <c r="T6845" s="135"/>
      <c r="U6845" s="135"/>
    </row>
    <row r="6846" spans="20:21" ht="15" customHeight="1" x14ac:dyDescent="0.25">
      <c r="T6846" s="135"/>
      <c r="U6846" s="135"/>
    </row>
    <row r="6847" spans="20:21" ht="15" customHeight="1" x14ac:dyDescent="0.25">
      <c r="T6847" s="135"/>
      <c r="U6847" s="135"/>
    </row>
    <row r="6848" spans="20:21" ht="15" customHeight="1" x14ac:dyDescent="0.25">
      <c r="T6848" s="135"/>
      <c r="U6848" s="135"/>
    </row>
    <row r="6849" spans="20:21" ht="15" customHeight="1" x14ac:dyDescent="0.25">
      <c r="T6849" s="135"/>
      <c r="U6849" s="135"/>
    </row>
    <row r="6850" spans="20:21" ht="15" customHeight="1" x14ac:dyDescent="0.25">
      <c r="T6850" s="135"/>
      <c r="U6850" s="135"/>
    </row>
    <row r="6851" spans="20:21" ht="15" customHeight="1" x14ac:dyDescent="0.25">
      <c r="T6851" s="135"/>
      <c r="U6851" s="135"/>
    </row>
    <row r="6852" spans="20:21" ht="15" customHeight="1" x14ac:dyDescent="0.25">
      <c r="T6852" s="135"/>
      <c r="U6852" s="135"/>
    </row>
    <row r="6853" spans="20:21" ht="15" customHeight="1" x14ac:dyDescent="0.25">
      <c r="T6853" s="135"/>
      <c r="U6853" s="135"/>
    </row>
    <row r="6854" spans="20:21" ht="15" customHeight="1" x14ac:dyDescent="0.25">
      <c r="T6854" s="135"/>
      <c r="U6854" s="135"/>
    </row>
    <row r="6855" spans="20:21" ht="15" customHeight="1" x14ac:dyDescent="0.25">
      <c r="T6855" s="135"/>
      <c r="U6855" s="135"/>
    </row>
    <row r="6856" spans="20:21" ht="15" customHeight="1" x14ac:dyDescent="0.25">
      <c r="T6856" s="135"/>
      <c r="U6856" s="135"/>
    </row>
    <row r="6857" spans="20:21" ht="15" customHeight="1" x14ac:dyDescent="0.25">
      <c r="T6857" s="135"/>
      <c r="U6857" s="135"/>
    </row>
    <row r="6858" spans="20:21" ht="15" customHeight="1" x14ac:dyDescent="0.25">
      <c r="T6858" s="135"/>
      <c r="U6858" s="135"/>
    </row>
    <row r="6859" spans="20:21" ht="15" customHeight="1" x14ac:dyDescent="0.25">
      <c r="T6859" s="135"/>
      <c r="U6859" s="135"/>
    </row>
    <row r="6860" spans="20:21" ht="15" customHeight="1" x14ac:dyDescent="0.25">
      <c r="T6860" s="135"/>
      <c r="U6860" s="135"/>
    </row>
    <row r="6861" spans="20:21" ht="15" customHeight="1" x14ac:dyDescent="0.25">
      <c r="T6861" s="135"/>
      <c r="U6861" s="135"/>
    </row>
    <row r="6862" spans="20:21" ht="15" customHeight="1" x14ac:dyDescent="0.25">
      <c r="T6862" s="135"/>
      <c r="U6862" s="135"/>
    </row>
    <row r="6863" spans="20:21" ht="15" customHeight="1" x14ac:dyDescent="0.25">
      <c r="T6863" s="135"/>
      <c r="U6863" s="135"/>
    </row>
    <row r="6864" spans="20:21" ht="15" customHeight="1" x14ac:dyDescent="0.25">
      <c r="T6864" s="135"/>
      <c r="U6864" s="135"/>
    </row>
    <row r="6865" spans="20:21" ht="15" customHeight="1" x14ac:dyDescent="0.25">
      <c r="T6865" s="135"/>
      <c r="U6865" s="135"/>
    </row>
    <row r="6866" spans="20:21" ht="15" customHeight="1" x14ac:dyDescent="0.25">
      <c r="T6866" s="135"/>
      <c r="U6866" s="135"/>
    </row>
    <row r="6867" spans="20:21" ht="15" customHeight="1" x14ac:dyDescent="0.25">
      <c r="T6867" s="135"/>
      <c r="U6867" s="135"/>
    </row>
    <row r="6868" spans="20:21" ht="15" customHeight="1" x14ac:dyDescent="0.25">
      <c r="T6868" s="135"/>
      <c r="U6868" s="135"/>
    </row>
    <row r="6869" spans="20:21" ht="15" customHeight="1" x14ac:dyDescent="0.25">
      <c r="T6869" s="135"/>
      <c r="U6869" s="135"/>
    </row>
    <row r="6870" spans="20:21" ht="15" customHeight="1" x14ac:dyDescent="0.25">
      <c r="T6870" s="135"/>
      <c r="U6870" s="135"/>
    </row>
    <row r="6871" spans="20:21" ht="15" customHeight="1" x14ac:dyDescent="0.25">
      <c r="T6871" s="135"/>
      <c r="U6871" s="135"/>
    </row>
    <row r="6872" spans="20:21" ht="15" customHeight="1" x14ac:dyDescent="0.25">
      <c r="T6872" s="135"/>
      <c r="U6872" s="135"/>
    </row>
    <row r="6873" spans="20:21" ht="15" customHeight="1" x14ac:dyDescent="0.25">
      <c r="T6873" s="135"/>
      <c r="U6873" s="135"/>
    </row>
    <row r="6874" spans="20:21" ht="15" customHeight="1" x14ac:dyDescent="0.25">
      <c r="T6874" s="135"/>
      <c r="U6874" s="135"/>
    </row>
    <row r="6875" spans="20:21" ht="15" customHeight="1" x14ac:dyDescent="0.25">
      <c r="T6875" s="135"/>
      <c r="U6875" s="135"/>
    </row>
    <row r="6876" spans="20:21" ht="15" customHeight="1" x14ac:dyDescent="0.25">
      <c r="T6876" s="135"/>
      <c r="U6876" s="135"/>
    </row>
    <row r="6877" spans="20:21" ht="15" customHeight="1" x14ac:dyDescent="0.25">
      <c r="T6877" s="135"/>
      <c r="U6877" s="135"/>
    </row>
    <row r="6878" spans="20:21" ht="15" customHeight="1" x14ac:dyDescent="0.25">
      <c r="T6878" s="135"/>
      <c r="U6878" s="135"/>
    </row>
    <row r="6879" spans="20:21" ht="15" customHeight="1" x14ac:dyDescent="0.25">
      <c r="T6879" s="135"/>
      <c r="U6879" s="135"/>
    </row>
    <row r="6880" spans="20:21" ht="15" customHeight="1" x14ac:dyDescent="0.25">
      <c r="T6880" s="135"/>
      <c r="U6880" s="135"/>
    </row>
    <row r="6881" spans="20:21" ht="15" customHeight="1" x14ac:dyDescent="0.25">
      <c r="T6881" s="135"/>
      <c r="U6881" s="135"/>
    </row>
    <row r="6882" spans="20:21" ht="15" customHeight="1" x14ac:dyDescent="0.25">
      <c r="T6882" s="135"/>
      <c r="U6882" s="135"/>
    </row>
    <row r="6883" spans="20:21" ht="15" customHeight="1" x14ac:dyDescent="0.25">
      <c r="T6883" s="135"/>
      <c r="U6883" s="135"/>
    </row>
    <row r="6884" spans="20:21" ht="15" customHeight="1" x14ac:dyDescent="0.25">
      <c r="T6884" s="135"/>
      <c r="U6884" s="135"/>
    </row>
    <row r="6885" spans="20:21" ht="15" customHeight="1" x14ac:dyDescent="0.25">
      <c r="T6885" s="135"/>
      <c r="U6885" s="135"/>
    </row>
    <row r="6886" spans="20:21" ht="15" customHeight="1" x14ac:dyDescent="0.25">
      <c r="T6886" s="135"/>
      <c r="U6886" s="135"/>
    </row>
    <row r="6887" spans="20:21" ht="15" customHeight="1" x14ac:dyDescent="0.25">
      <c r="T6887" s="135"/>
      <c r="U6887" s="135"/>
    </row>
    <row r="6888" spans="20:21" ht="15" customHeight="1" x14ac:dyDescent="0.25">
      <c r="T6888" s="135"/>
      <c r="U6888" s="135"/>
    </row>
    <row r="6889" spans="20:21" ht="15" customHeight="1" x14ac:dyDescent="0.25">
      <c r="T6889" s="135"/>
      <c r="U6889" s="135"/>
    </row>
    <row r="6890" spans="20:21" ht="15" customHeight="1" x14ac:dyDescent="0.25">
      <c r="T6890" s="135"/>
      <c r="U6890" s="135"/>
    </row>
    <row r="6891" spans="20:21" ht="15" customHeight="1" x14ac:dyDescent="0.25">
      <c r="T6891" s="135"/>
      <c r="U6891" s="135"/>
    </row>
    <row r="6892" spans="20:21" ht="15" customHeight="1" x14ac:dyDescent="0.25">
      <c r="T6892" s="135"/>
      <c r="U6892" s="135"/>
    </row>
    <row r="6893" spans="20:21" ht="15" customHeight="1" x14ac:dyDescent="0.25">
      <c r="T6893" s="135"/>
      <c r="U6893" s="135"/>
    </row>
    <row r="6894" spans="20:21" ht="15" customHeight="1" x14ac:dyDescent="0.25">
      <c r="T6894" s="135"/>
      <c r="U6894" s="135"/>
    </row>
    <row r="6895" spans="20:21" ht="15" customHeight="1" x14ac:dyDescent="0.25">
      <c r="T6895" s="135"/>
      <c r="U6895" s="135"/>
    </row>
    <row r="6896" spans="20:21" ht="15" customHeight="1" x14ac:dyDescent="0.25">
      <c r="T6896" s="135"/>
      <c r="U6896" s="135"/>
    </row>
    <row r="6897" spans="20:21" ht="15" customHeight="1" x14ac:dyDescent="0.25">
      <c r="T6897" s="135"/>
      <c r="U6897" s="135"/>
    </row>
    <row r="6898" spans="20:21" ht="15" customHeight="1" x14ac:dyDescent="0.25">
      <c r="T6898" s="135"/>
      <c r="U6898" s="135"/>
    </row>
    <row r="6899" spans="20:21" ht="15" customHeight="1" x14ac:dyDescent="0.25">
      <c r="T6899" s="135"/>
      <c r="U6899" s="135"/>
    </row>
    <row r="6900" spans="20:21" ht="15" customHeight="1" x14ac:dyDescent="0.25">
      <c r="T6900" s="135"/>
      <c r="U6900" s="135"/>
    </row>
    <row r="6901" spans="20:21" ht="15" customHeight="1" x14ac:dyDescent="0.25">
      <c r="T6901" s="135"/>
      <c r="U6901" s="135"/>
    </row>
    <row r="6902" spans="20:21" ht="15" customHeight="1" x14ac:dyDescent="0.25">
      <c r="T6902" s="135"/>
      <c r="U6902" s="135"/>
    </row>
    <row r="6903" spans="20:21" ht="15" customHeight="1" x14ac:dyDescent="0.25">
      <c r="T6903" s="135"/>
      <c r="U6903" s="135"/>
    </row>
    <row r="6904" spans="20:21" ht="15" customHeight="1" x14ac:dyDescent="0.25">
      <c r="T6904" s="135"/>
      <c r="U6904" s="135"/>
    </row>
    <row r="6905" spans="20:21" ht="15" customHeight="1" x14ac:dyDescent="0.25">
      <c r="T6905" s="135"/>
      <c r="U6905" s="135"/>
    </row>
    <row r="6906" spans="20:21" ht="15" customHeight="1" x14ac:dyDescent="0.25">
      <c r="T6906" s="135"/>
      <c r="U6906" s="135"/>
    </row>
    <row r="6907" spans="20:21" ht="15" customHeight="1" x14ac:dyDescent="0.25">
      <c r="T6907" s="135"/>
      <c r="U6907" s="135"/>
    </row>
    <row r="6908" spans="20:21" ht="15" customHeight="1" x14ac:dyDescent="0.25">
      <c r="T6908" s="135"/>
      <c r="U6908" s="135"/>
    </row>
    <row r="6909" spans="20:21" ht="15" customHeight="1" x14ac:dyDescent="0.25">
      <c r="T6909" s="135"/>
      <c r="U6909" s="135"/>
    </row>
    <row r="6910" spans="20:21" ht="15" customHeight="1" x14ac:dyDescent="0.25">
      <c r="T6910" s="135"/>
      <c r="U6910" s="135"/>
    </row>
    <row r="6911" spans="20:21" ht="15" customHeight="1" x14ac:dyDescent="0.25">
      <c r="T6911" s="135"/>
      <c r="U6911" s="135"/>
    </row>
    <row r="6912" spans="20:21" ht="15" customHeight="1" x14ac:dyDescent="0.25">
      <c r="T6912" s="135"/>
      <c r="U6912" s="135"/>
    </row>
    <row r="6913" spans="20:21" ht="15" customHeight="1" x14ac:dyDescent="0.25">
      <c r="T6913" s="135"/>
      <c r="U6913" s="135"/>
    </row>
    <row r="6914" spans="20:21" ht="15" customHeight="1" x14ac:dyDescent="0.25">
      <c r="T6914" s="135"/>
      <c r="U6914" s="135"/>
    </row>
    <row r="6915" spans="20:21" ht="15" customHeight="1" x14ac:dyDescent="0.25">
      <c r="T6915" s="135"/>
      <c r="U6915" s="135"/>
    </row>
    <row r="6916" spans="20:21" ht="15" customHeight="1" x14ac:dyDescent="0.25">
      <c r="T6916" s="135"/>
      <c r="U6916" s="135"/>
    </row>
    <row r="6917" spans="20:21" ht="15" customHeight="1" x14ac:dyDescent="0.25">
      <c r="T6917" s="135"/>
      <c r="U6917" s="135"/>
    </row>
    <row r="6918" spans="20:21" ht="15" customHeight="1" x14ac:dyDescent="0.25">
      <c r="T6918" s="135"/>
      <c r="U6918" s="135"/>
    </row>
    <row r="6919" spans="20:21" ht="15" customHeight="1" x14ac:dyDescent="0.25">
      <c r="T6919" s="135"/>
      <c r="U6919" s="135"/>
    </row>
    <row r="6920" spans="20:21" ht="15" customHeight="1" x14ac:dyDescent="0.25">
      <c r="T6920" s="135"/>
      <c r="U6920" s="135"/>
    </row>
    <row r="6921" spans="20:21" ht="15" customHeight="1" x14ac:dyDescent="0.25">
      <c r="T6921" s="135"/>
      <c r="U6921" s="135"/>
    </row>
    <row r="6922" spans="20:21" ht="15" customHeight="1" x14ac:dyDescent="0.25">
      <c r="T6922" s="135"/>
      <c r="U6922" s="135"/>
    </row>
    <row r="6923" spans="20:21" ht="15" customHeight="1" x14ac:dyDescent="0.25">
      <c r="T6923" s="135"/>
      <c r="U6923" s="135"/>
    </row>
    <row r="6924" spans="20:21" ht="15" customHeight="1" x14ac:dyDescent="0.25">
      <c r="T6924" s="135"/>
      <c r="U6924" s="135"/>
    </row>
    <row r="6925" spans="20:21" ht="15" customHeight="1" x14ac:dyDescent="0.25">
      <c r="T6925" s="135"/>
      <c r="U6925" s="135"/>
    </row>
    <row r="6926" spans="20:21" ht="15" customHeight="1" x14ac:dyDescent="0.25">
      <c r="T6926" s="135"/>
      <c r="U6926" s="135"/>
    </row>
    <row r="6927" spans="20:21" ht="15" customHeight="1" x14ac:dyDescent="0.25">
      <c r="T6927" s="135"/>
      <c r="U6927" s="135"/>
    </row>
    <row r="6928" spans="20:21" ht="15" customHeight="1" x14ac:dyDescent="0.25">
      <c r="T6928" s="135"/>
      <c r="U6928" s="135"/>
    </row>
    <row r="6929" spans="20:21" ht="15" customHeight="1" x14ac:dyDescent="0.25">
      <c r="T6929" s="135"/>
      <c r="U6929" s="135"/>
    </row>
    <row r="6930" spans="20:21" ht="15" customHeight="1" x14ac:dyDescent="0.25">
      <c r="T6930" s="135"/>
      <c r="U6930" s="135"/>
    </row>
    <row r="6931" spans="20:21" ht="15" customHeight="1" x14ac:dyDescent="0.25">
      <c r="T6931" s="135"/>
      <c r="U6931" s="135"/>
    </row>
    <row r="6932" spans="20:21" ht="15" customHeight="1" x14ac:dyDescent="0.25">
      <c r="T6932" s="135"/>
      <c r="U6932" s="135"/>
    </row>
    <row r="6933" spans="20:21" ht="15" customHeight="1" x14ac:dyDescent="0.25">
      <c r="T6933" s="135"/>
      <c r="U6933" s="135"/>
    </row>
    <row r="6934" spans="20:21" ht="15" customHeight="1" x14ac:dyDescent="0.25">
      <c r="T6934" s="135"/>
      <c r="U6934" s="135"/>
    </row>
    <row r="6935" spans="20:21" ht="15" customHeight="1" x14ac:dyDescent="0.25">
      <c r="T6935" s="135"/>
      <c r="U6935" s="135"/>
    </row>
    <row r="6936" spans="20:21" ht="15" customHeight="1" x14ac:dyDescent="0.25">
      <c r="T6936" s="135"/>
      <c r="U6936" s="135"/>
    </row>
    <row r="6937" spans="20:21" ht="15" customHeight="1" x14ac:dyDescent="0.25">
      <c r="T6937" s="135"/>
      <c r="U6937" s="135"/>
    </row>
    <row r="6938" spans="20:21" ht="15" customHeight="1" x14ac:dyDescent="0.25">
      <c r="T6938" s="135"/>
      <c r="U6938" s="135"/>
    </row>
    <row r="6939" spans="20:21" ht="15" customHeight="1" x14ac:dyDescent="0.25">
      <c r="T6939" s="135"/>
      <c r="U6939" s="135"/>
    </row>
    <row r="6940" spans="20:21" ht="15" customHeight="1" x14ac:dyDescent="0.25">
      <c r="T6940" s="135"/>
      <c r="U6940" s="135"/>
    </row>
    <row r="6941" spans="20:21" ht="15" customHeight="1" x14ac:dyDescent="0.25">
      <c r="T6941" s="135"/>
      <c r="U6941" s="135"/>
    </row>
    <row r="6942" spans="20:21" ht="15" customHeight="1" x14ac:dyDescent="0.25">
      <c r="T6942" s="135"/>
      <c r="U6942" s="135"/>
    </row>
    <row r="6943" spans="20:21" ht="15" customHeight="1" x14ac:dyDescent="0.25">
      <c r="T6943" s="135"/>
      <c r="U6943" s="135"/>
    </row>
    <row r="6944" spans="20:21" ht="15" customHeight="1" x14ac:dyDescent="0.25">
      <c r="T6944" s="135"/>
      <c r="U6944" s="135"/>
    </row>
    <row r="6945" spans="20:21" ht="15" customHeight="1" x14ac:dyDescent="0.25">
      <c r="T6945" s="135"/>
      <c r="U6945" s="135"/>
    </row>
    <row r="6946" spans="20:21" ht="15" customHeight="1" x14ac:dyDescent="0.25">
      <c r="T6946" s="135"/>
      <c r="U6946" s="135"/>
    </row>
    <row r="6947" spans="20:21" ht="15" customHeight="1" x14ac:dyDescent="0.25">
      <c r="T6947" s="135"/>
      <c r="U6947" s="135"/>
    </row>
    <row r="6948" spans="20:21" ht="15" customHeight="1" x14ac:dyDescent="0.25">
      <c r="T6948" s="135"/>
      <c r="U6948" s="135"/>
    </row>
    <row r="6949" spans="20:21" ht="15" customHeight="1" x14ac:dyDescent="0.25">
      <c r="T6949" s="135"/>
      <c r="U6949" s="135"/>
    </row>
    <row r="6950" spans="20:21" ht="15" customHeight="1" x14ac:dyDescent="0.25">
      <c r="T6950" s="135"/>
      <c r="U6950" s="135"/>
    </row>
    <row r="6951" spans="20:21" ht="15" customHeight="1" x14ac:dyDescent="0.25">
      <c r="T6951" s="135"/>
      <c r="U6951" s="135"/>
    </row>
    <row r="6952" spans="20:21" ht="15" customHeight="1" x14ac:dyDescent="0.25">
      <c r="T6952" s="135"/>
      <c r="U6952" s="135"/>
    </row>
    <row r="6953" spans="20:21" ht="15" customHeight="1" x14ac:dyDescent="0.25">
      <c r="T6953" s="135"/>
      <c r="U6953" s="135"/>
    </row>
    <row r="6954" spans="20:21" ht="15" customHeight="1" x14ac:dyDescent="0.25">
      <c r="T6954" s="135"/>
      <c r="U6954" s="135"/>
    </row>
    <row r="6955" spans="20:21" ht="15" customHeight="1" x14ac:dyDescent="0.25">
      <c r="T6955" s="135"/>
      <c r="U6955" s="135"/>
    </row>
    <row r="6956" spans="20:21" ht="15" customHeight="1" x14ac:dyDescent="0.25">
      <c r="T6956" s="135"/>
      <c r="U6956" s="135"/>
    </row>
    <row r="6957" spans="20:21" ht="15" customHeight="1" x14ac:dyDescent="0.25">
      <c r="T6957" s="135"/>
      <c r="U6957" s="135"/>
    </row>
    <row r="6958" spans="20:21" ht="15" customHeight="1" x14ac:dyDescent="0.25">
      <c r="T6958" s="135"/>
      <c r="U6958" s="135"/>
    </row>
    <row r="6959" spans="20:21" ht="15" customHeight="1" x14ac:dyDescent="0.25">
      <c r="T6959" s="135"/>
      <c r="U6959" s="135"/>
    </row>
    <row r="6960" spans="20:21" ht="15" customHeight="1" x14ac:dyDescent="0.25">
      <c r="T6960" s="135"/>
      <c r="U6960" s="135"/>
    </row>
    <row r="6961" spans="20:21" ht="15" customHeight="1" x14ac:dyDescent="0.25">
      <c r="T6961" s="135"/>
      <c r="U6961" s="135"/>
    </row>
    <row r="6962" spans="20:21" ht="15" customHeight="1" x14ac:dyDescent="0.25">
      <c r="T6962" s="135"/>
      <c r="U6962" s="135"/>
    </row>
    <row r="6963" spans="20:21" ht="15" customHeight="1" x14ac:dyDescent="0.25">
      <c r="T6963" s="135"/>
      <c r="U6963" s="135"/>
    </row>
    <row r="6964" spans="20:21" ht="15" customHeight="1" x14ac:dyDescent="0.25">
      <c r="T6964" s="135"/>
      <c r="U6964" s="135"/>
    </row>
    <row r="6965" spans="20:21" ht="15" customHeight="1" x14ac:dyDescent="0.25">
      <c r="T6965" s="135"/>
      <c r="U6965" s="135"/>
    </row>
    <row r="6966" spans="20:21" ht="15" customHeight="1" x14ac:dyDescent="0.25">
      <c r="T6966" s="135"/>
      <c r="U6966" s="135"/>
    </row>
    <row r="6967" spans="20:21" ht="15" customHeight="1" x14ac:dyDescent="0.25">
      <c r="T6967" s="135"/>
      <c r="U6967" s="135"/>
    </row>
    <row r="6968" spans="20:21" ht="15" customHeight="1" x14ac:dyDescent="0.25">
      <c r="T6968" s="135"/>
      <c r="U6968" s="135"/>
    </row>
    <row r="6969" spans="20:21" ht="15" customHeight="1" x14ac:dyDescent="0.25">
      <c r="T6969" s="135"/>
      <c r="U6969" s="135"/>
    </row>
    <row r="6970" spans="20:21" ht="15" customHeight="1" x14ac:dyDescent="0.25">
      <c r="T6970" s="135"/>
      <c r="U6970" s="135"/>
    </row>
    <row r="6971" spans="20:21" ht="15" customHeight="1" x14ac:dyDescent="0.25">
      <c r="T6971" s="135"/>
      <c r="U6971" s="135"/>
    </row>
    <row r="6972" spans="20:21" ht="15" customHeight="1" x14ac:dyDescent="0.25">
      <c r="T6972" s="135"/>
      <c r="U6972" s="135"/>
    </row>
    <row r="6973" spans="20:21" ht="15" customHeight="1" x14ac:dyDescent="0.25">
      <c r="T6973" s="135"/>
      <c r="U6973" s="135"/>
    </row>
    <row r="6974" spans="20:21" ht="15" customHeight="1" x14ac:dyDescent="0.25">
      <c r="T6974" s="135"/>
      <c r="U6974" s="135"/>
    </row>
    <row r="6975" spans="20:21" ht="15" customHeight="1" x14ac:dyDescent="0.25">
      <c r="T6975" s="135"/>
      <c r="U6975" s="135"/>
    </row>
    <row r="6976" spans="20:21" ht="15" customHeight="1" x14ac:dyDescent="0.25">
      <c r="T6976" s="135"/>
      <c r="U6976" s="135"/>
    </row>
    <row r="6977" spans="20:21" ht="15" customHeight="1" x14ac:dyDescent="0.25">
      <c r="T6977" s="135"/>
      <c r="U6977" s="135"/>
    </row>
    <row r="6978" spans="20:21" ht="15" customHeight="1" x14ac:dyDescent="0.25">
      <c r="T6978" s="135"/>
      <c r="U6978" s="135"/>
    </row>
    <row r="6979" spans="20:21" ht="15" customHeight="1" x14ac:dyDescent="0.25">
      <c r="T6979" s="135"/>
      <c r="U6979" s="135"/>
    </row>
    <row r="6980" spans="20:21" ht="15" customHeight="1" x14ac:dyDescent="0.25">
      <c r="T6980" s="135"/>
      <c r="U6980" s="135"/>
    </row>
    <row r="6981" spans="20:21" ht="15" customHeight="1" x14ac:dyDescent="0.25">
      <c r="T6981" s="135"/>
      <c r="U6981" s="135"/>
    </row>
    <row r="6982" spans="20:21" ht="15" customHeight="1" x14ac:dyDescent="0.25">
      <c r="T6982" s="135"/>
      <c r="U6982" s="135"/>
    </row>
    <row r="6983" spans="20:21" ht="15" customHeight="1" x14ac:dyDescent="0.25">
      <c r="T6983" s="135"/>
      <c r="U6983" s="135"/>
    </row>
    <row r="6984" spans="20:21" ht="15" customHeight="1" x14ac:dyDescent="0.25">
      <c r="T6984" s="135"/>
      <c r="U6984" s="135"/>
    </row>
    <row r="6985" spans="20:21" ht="15" customHeight="1" x14ac:dyDescent="0.25">
      <c r="T6985" s="135"/>
      <c r="U6985" s="135"/>
    </row>
    <row r="6986" spans="20:21" ht="15" customHeight="1" x14ac:dyDescent="0.25">
      <c r="T6986" s="135"/>
      <c r="U6986" s="135"/>
    </row>
    <row r="6987" spans="20:21" ht="15" customHeight="1" x14ac:dyDescent="0.25">
      <c r="T6987" s="135"/>
      <c r="U6987" s="135"/>
    </row>
    <row r="6988" spans="20:21" ht="15" customHeight="1" x14ac:dyDescent="0.25">
      <c r="T6988" s="135"/>
      <c r="U6988" s="135"/>
    </row>
    <row r="6989" spans="20:21" ht="15" customHeight="1" x14ac:dyDescent="0.25">
      <c r="T6989" s="135"/>
      <c r="U6989" s="135"/>
    </row>
    <row r="6990" spans="20:21" ht="15" customHeight="1" x14ac:dyDescent="0.25">
      <c r="T6990" s="135"/>
      <c r="U6990" s="135"/>
    </row>
    <row r="6991" spans="20:21" ht="15" customHeight="1" x14ac:dyDescent="0.25">
      <c r="T6991" s="135"/>
      <c r="U6991" s="135"/>
    </row>
    <row r="6992" spans="20:21" ht="15" customHeight="1" x14ac:dyDescent="0.25">
      <c r="T6992" s="135"/>
      <c r="U6992" s="135"/>
    </row>
    <row r="6993" spans="20:21" ht="15" customHeight="1" x14ac:dyDescent="0.25">
      <c r="T6993" s="135"/>
      <c r="U6993" s="135"/>
    </row>
    <row r="6994" spans="20:21" ht="15" customHeight="1" x14ac:dyDescent="0.25">
      <c r="T6994" s="135"/>
      <c r="U6994" s="135"/>
    </row>
    <row r="6995" spans="20:21" ht="15" customHeight="1" x14ac:dyDescent="0.25">
      <c r="T6995" s="135"/>
      <c r="U6995" s="135"/>
    </row>
    <row r="6996" spans="20:21" ht="15" customHeight="1" x14ac:dyDescent="0.25">
      <c r="T6996" s="135"/>
      <c r="U6996" s="135"/>
    </row>
    <row r="6997" spans="20:21" ht="15" customHeight="1" x14ac:dyDescent="0.25">
      <c r="T6997" s="135"/>
      <c r="U6997" s="135"/>
    </row>
    <row r="6998" spans="20:21" ht="15" customHeight="1" x14ac:dyDescent="0.25">
      <c r="T6998" s="135"/>
      <c r="U6998" s="135"/>
    </row>
    <row r="6999" spans="20:21" ht="15" customHeight="1" x14ac:dyDescent="0.25">
      <c r="T6999" s="135"/>
      <c r="U6999" s="135"/>
    </row>
    <row r="7000" spans="20:21" ht="15" customHeight="1" x14ac:dyDescent="0.25">
      <c r="T7000" s="135"/>
      <c r="U7000" s="135"/>
    </row>
    <row r="7001" spans="20:21" ht="15" customHeight="1" x14ac:dyDescent="0.25">
      <c r="T7001" s="135"/>
      <c r="U7001" s="135"/>
    </row>
    <row r="7002" spans="20:21" ht="15" customHeight="1" x14ac:dyDescent="0.25">
      <c r="T7002" s="135"/>
      <c r="U7002" s="135"/>
    </row>
    <row r="7003" spans="20:21" ht="15" customHeight="1" x14ac:dyDescent="0.25">
      <c r="T7003" s="135"/>
      <c r="U7003" s="135"/>
    </row>
    <row r="7004" spans="20:21" ht="15" customHeight="1" x14ac:dyDescent="0.25">
      <c r="T7004" s="135"/>
      <c r="U7004" s="135"/>
    </row>
    <row r="7005" spans="20:21" ht="15" customHeight="1" x14ac:dyDescent="0.25">
      <c r="T7005" s="135"/>
      <c r="U7005" s="135"/>
    </row>
    <row r="7006" spans="20:21" ht="15" customHeight="1" x14ac:dyDescent="0.25">
      <c r="T7006" s="135"/>
      <c r="U7006" s="135"/>
    </row>
    <row r="7007" spans="20:21" ht="15" customHeight="1" x14ac:dyDescent="0.25">
      <c r="T7007" s="135"/>
      <c r="U7007" s="135"/>
    </row>
    <row r="7008" spans="20:21" ht="15" customHeight="1" x14ac:dyDescent="0.25">
      <c r="T7008" s="135"/>
      <c r="U7008" s="135"/>
    </row>
    <row r="7009" spans="20:21" ht="15" customHeight="1" x14ac:dyDescent="0.25">
      <c r="T7009" s="135"/>
      <c r="U7009" s="135"/>
    </row>
    <row r="7010" spans="20:21" ht="15" customHeight="1" x14ac:dyDescent="0.25">
      <c r="T7010" s="135"/>
      <c r="U7010" s="135"/>
    </row>
    <row r="7011" spans="20:21" ht="15" customHeight="1" x14ac:dyDescent="0.25">
      <c r="T7011" s="135"/>
      <c r="U7011" s="135"/>
    </row>
    <row r="7012" spans="20:21" ht="15" customHeight="1" x14ac:dyDescent="0.25">
      <c r="T7012" s="135"/>
      <c r="U7012" s="135"/>
    </row>
    <row r="7013" spans="20:21" ht="15" customHeight="1" x14ac:dyDescent="0.25">
      <c r="T7013" s="135"/>
      <c r="U7013" s="135"/>
    </row>
    <row r="7014" spans="20:21" ht="15" customHeight="1" x14ac:dyDescent="0.25">
      <c r="T7014" s="135"/>
      <c r="U7014" s="135"/>
    </row>
    <row r="7015" spans="20:21" ht="15" customHeight="1" x14ac:dyDescent="0.25">
      <c r="T7015" s="135"/>
      <c r="U7015" s="135"/>
    </row>
    <row r="7016" spans="20:21" ht="15" customHeight="1" x14ac:dyDescent="0.25">
      <c r="T7016" s="135"/>
      <c r="U7016" s="135"/>
    </row>
    <row r="7017" spans="20:21" ht="15" customHeight="1" x14ac:dyDescent="0.25">
      <c r="T7017" s="135"/>
      <c r="U7017" s="135"/>
    </row>
    <row r="7018" spans="20:21" ht="15" customHeight="1" x14ac:dyDescent="0.25">
      <c r="T7018" s="135"/>
      <c r="U7018" s="135"/>
    </row>
    <row r="7019" spans="20:21" ht="15" customHeight="1" x14ac:dyDescent="0.25">
      <c r="T7019" s="135"/>
      <c r="U7019" s="135"/>
    </row>
    <row r="7020" spans="20:21" ht="15" customHeight="1" x14ac:dyDescent="0.25">
      <c r="T7020" s="135"/>
      <c r="U7020" s="135"/>
    </row>
    <row r="7021" spans="20:21" ht="15" customHeight="1" x14ac:dyDescent="0.25">
      <c r="T7021" s="135"/>
      <c r="U7021" s="135"/>
    </row>
    <row r="7022" spans="20:21" ht="15" customHeight="1" x14ac:dyDescent="0.25">
      <c r="T7022" s="135"/>
      <c r="U7022" s="135"/>
    </row>
    <row r="7023" spans="20:21" ht="15" customHeight="1" x14ac:dyDescent="0.25">
      <c r="T7023" s="135"/>
      <c r="U7023" s="135"/>
    </row>
    <row r="7024" spans="20:21" ht="15" customHeight="1" x14ac:dyDescent="0.25">
      <c r="T7024" s="135"/>
      <c r="U7024" s="135"/>
    </row>
    <row r="7025" spans="20:21" ht="15" customHeight="1" x14ac:dyDescent="0.25">
      <c r="T7025" s="135"/>
      <c r="U7025" s="135"/>
    </row>
    <row r="7026" spans="20:21" ht="15" customHeight="1" x14ac:dyDescent="0.25">
      <c r="T7026" s="135"/>
      <c r="U7026" s="135"/>
    </row>
    <row r="7027" spans="20:21" ht="15" customHeight="1" x14ac:dyDescent="0.25">
      <c r="T7027" s="135"/>
      <c r="U7027" s="135"/>
    </row>
    <row r="7028" spans="20:21" ht="15" customHeight="1" x14ac:dyDescent="0.25">
      <c r="T7028" s="135"/>
      <c r="U7028" s="135"/>
    </row>
    <row r="7029" spans="20:21" ht="15" customHeight="1" x14ac:dyDescent="0.25">
      <c r="T7029" s="135"/>
      <c r="U7029" s="135"/>
    </row>
    <row r="7030" spans="20:21" ht="15" customHeight="1" x14ac:dyDescent="0.25">
      <c r="T7030" s="135"/>
      <c r="U7030" s="135"/>
    </row>
    <row r="7031" spans="20:21" ht="15" customHeight="1" x14ac:dyDescent="0.25">
      <c r="T7031" s="135"/>
      <c r="U7031" s="135"/>
    </row>
    <row r="7032" spans="20:21" ht="15" customHeight="1" x14ac:dyDescent="0.25">
      <c r="T7032" s="135"/>
      <c r="U7032" s="135"/>
    </row>
    <row r="7033" spans="20:21" ht="15" customHeight="1" x14ac:dyDescent="0.25">
      <c r="T7033" s="135"/>
      <c r="U7033" s="135"/>
    </row>
    <row r="7034" spans="20:21" ht="15" customHeight="1" x14ac:dyDescent="0.25">
      <c r="T7034" s="135"/>
      <c r="U7034" s="135"/>
    </row>
    <row r="7035" spans="20:21" ht="15" customHeight="1" x14ac:dyDescent="0.25">
      <c r="T7035" s="135"/>
      <c r="U7035" s="135"/>
    </row>
    <row r="7036" spans="20:21" ht="15" customHeight="1" x14ac:dyDescent="0.25">
      <c r="T7036" s="135"/>
      <c r="U7036" s="135"/>
    </row>
    <row r="7037" spans="20:21" ht="15" customHeight="1" x14ac:dyDescent="0.25">
      <c r="T7037" s="135"/>
      <c r="U7037" s="135"/>
    </row>
    <row r="7038" spans="20:21" ht="15" customHeight="1" x14ac:dyDescent="0.25">
      <c r="T7038" s="135"/>
      <c r="U7038" s="135"/>
    </row>
    <row r="7039" spans="20:21" ht="15" customHeight="1" x14ac:dyDescent="0.25">
      <c r="T7039" s="135"/>
      <c r="U7039" s="135"/>
    </row>
    <row r="7040" spans="20:21" ht="15" customHeight="1" x14ac:dyDescent="0.25">
      <c r="T7040" s="135"/>
      <c r="U7040" s="135"/>
    </row>
    <row r="7041" spans="20:21" ht="15" customHeight="1" x14ac:dyDescent="0.25">
      <c r="T7041" s="135"/>
      <c r="U7041" s="135"/>
    </row>
    <row r="7042" spans="20:21" ht="15" customHeight="1" x14ac:dyDescent="0.25">
      <c r="T7042" s="135"/>
      <c r="U7042" s="135"/>
    </row>
    <row r="7043" spans="20:21" ht="15" customHeight="1" x14ac:dyDescent="0.25">
      <c r="T7043" s="135"/>
      <c r="U7043" s="135"/>
    </row>
    <row r="7044" spans="20:21" ht="15" customHeight="1" x14ac:dyDescent="0.25">
      <c r="T7044" s="135"/>
      <c r="U7044" s="135"/>
    </row>
    <row r="7045" spans="20:21" ht="15" customHeight="1" x14ac:dyDescent="0.25">
      <c r="T7045" s="135"/>
      <c r="U7045" s="135"/>
    </row>
    <row r="7046" spans="20:21" ht="15" customHeight="1" x14ac:dyDescent="0.25">
      <c r="T7046" s="135"/>
      <c r="U7046" s="135"/>
    </row>
    <row r="7047" spans="20:21" ht="15" customHeight="1" x14ac:dyDescent="0.25">
      <c r="T7047" s="135"/>
      <c r="U7047" s="135"/>
    </row>
    <row r="7048" spans="20:21" ht="15" customHeight="1" x14ac:dyDescent="0.25">
      <c r="T7048" s="135"/>
      <c r="U7048" s="135"/>
    </row>
    <row r="7049" spans="20:21" ht="15" customHeight="1" x14ac:dyDescent="0.25">
      <c r="T7049" s="135"/>
      <c r="U7049" s="135"/>
    </row>
    <row r="7050" spans="20:21" ht="15" customHeight="1" x14ac:dyDescent="0.25">
      <c r="T7050" s="135"/>
      <c r="U7050" s="135"/>
    </row>
    <row r="7051" spans="20:21" ht="15" customHeight="1" x14ac:dyDescent="0.25">
      <c r="T7051" s="135"/>
      <c r="U7051" s="135"/>
    </row>
    <row r="7052" spans="20:21" ht="15" customHeight="1" x14ac:dyDescent="0.25">
      <c r="T7052" s="135"/>
      <c r="U7052" s="135"/>
    </row>
    <row r="7053" spans="20:21" ht="15" customHeight="1" x14ac:dyDescent="0.25">
      <c r="T7053" s="135"/>
      <c r="U7053" s="135"/>
    </row>
    <row r="7054" spans="20:21" ht="15" customHeight="1" x14ac:dyDescent="0.25">
      <c r="T7054" s="135"/>
      <c r="U7054" s="135"/>
    </row>
    <row r="7055" spans="20:21" ht="15" customHeight="1" x14ac:dyDescent="0.25">
      <c r="T7055" s="135"/>
      <c r="U7055" s="135"/>
    </row>
    <row r="7056" spans="20:21" ht="15" customHeight="1" x14ac:dyDescent="0.25">
      <c r="T7056" s="135"/>
      <c r="U7056" s="135"/>
    </row>
    <row r="7057" spans="20:21" ht="15" customHeight="1" x14ac:dyDescent="0.25">
      <c r="T7057" s="135"/>
      <c r="U7057" s="135"/>
    </row>
    <row r="7058" spans="20:21" ht="15" customHeight="1" x14ac:dyDescent="0.25">
      <c r="T7058" s="135"/>
      <c r="U7058" s="135"/>
    </row>
    <row r="7059" spans="20:21" ht="15" customHeight="1" x14ac:dyDescent="0.25">
      <c r="T7059" s="135"/>
      <c r="U7059" s="135"/>
    </row>
    <row r="7060" spans="20:21" ht="15" customHeight="1" x14ac:dyDescent="0.25">
      <c r="T7060" s="135"/>
      <c r="U7060" s="135"/>
    </row>
    <row r="7061" spans="20:21" ht="15" customHeight="1" x14ac:dyDescent="0.25">
      <c r="T7061" s="135"/>
      <c r="U7061" s="135"/>
    </row>
    <row r="7062" spans="20:21" ht="15" customHeight="1" x14ac:dyDescent="0.25">
      <c r="T7062" s="135"/>
      <c r="U7062" s="135"/>
    </row>
    <row r="7063" spans="20:21" ht="15" customHeight="1" x14ac:dyDescent="0.25">
      <c r="T7063" s="135"/>
      <c r="U7063" s="135"/>
    </row>
    <row r="7064" spans="20:21" ht="15" customHeight="1" x14ac:dyDescent="0.25">
      <c r="T7064" s="135"/>
      <c r="U7064" s="135"/>
    </row>
    <row r="7065" spans="20:21" ht="15" customHeight="1" x14ac:dyDescent="0.25">
      <c r="T7065" s="135"/>
      <c r="U7065" s="135"/>
    </row>
    <row r="7066" spans="20:21" ht="15" customHeight="1" x14ac:dyDescent="0.25">
      <c r="T7066" s="135"/>
      <c r="U7066" s="135"/>
    </row>
    <row r="7067" spans="20:21" ht="15" customHeight="1" x14ac:dyDescent="0.25">
      <c r="T7067" s="135"/>
      <c r="U7067" s="135"/>
    </row>
    <row r="7068" spans="20:21" ht="15" customHeight="1" x14ac:dyDescent="0.25">
      <c r="T7068" s="135"/>
      <c r="U7068" s="135"/>
    </row>
    <row r="7069" spans="20:21" ht="15" customHeight="1" x14ac:dyDescent="0.25">
      <c r="T7069" s="135"/>
      <c r="U7069" s="135"/>
    </row>
    <row r="7070" spans="20:21" ht="15" customHeight="1" x14ac:dyDescent="0.25">
      <c r="T7070" s="135"/>
      <c r="U7070" s="135"/>
    </row>
    <row r="7071" spans="20:21" ht="15" customHeight="1" x14ac:dyDescent="0.25">
      <c r="T7071" s="135"/>
      <c r="U7071" s="135"/>
    </row>
    <row r="7072" spans="20:21" ht="15" customHeight="1" x14ac:dyDescent="0.25">
      <c r="T7072" s="135"/>
      <c r="U7072" s="135"/>
    </row>
    <row r="7073" spans="20:21" ht="15" customHeight="1" x14ac:dyDescent="0.25">
      <c r="T7073" s="135"/>
      <c r="U7073" s="135"/>
    </row>
    <row r="7074" spans="20:21" ht="15" customHeight="1" x14ac:dyDescent="0.25">
      <c r="T7074" s="135"/>
      <c r="U7074" s="135"/>
    </row>
    <row r="7075" spans="20:21" ht="15" customHeight="1" x14ac:dyDescent="0.25">
      <c r="T7075" s="135"/>
      <c r="U7075" s="135"/>
    </row>
    <row r="7076" spans="20:21" ht="15" customHeight="1" x14ac:dyDescent="0.25">
      <c r="T7076" s="135"/>
      <c r="U7076" s="135"/>
    </row>
    <row r="7077" spans="20:21" ht="15" customHeight="1" x14ac:dyDescent="0.25">
      <c r="T7077" s="135"/>
      <c r="U7077" s="135"/>
    </row>
    <row r="7078" spans="20:21" ht="15" customHeight="1" x14ac:dyDescent="0.25">
      <c r="T7078" s="135"/>
      <c r="U7078" s="135"/>
    </row>
    <row r="7079" spans="20:21" ht="15" customHeight="1" x14ac:dyDescent="0.25">
      <c r="T7079" s="135"/>
      <c r="U7079" s="135"/>
    </row>
    <row r="7080" spans="20:21" ht="15" customHeight="1" x14ac:dyDescent="0.25">
      <c r="T7080" s="135"/>
      <c r="U7080" s="135"/>
    </row>
    <row r="7081" spans="20:21" ht="15" customHeight="1" x14ac:dyDescent="0.25">
      <c r="T7081" s="135"/>
      <c r="U7081" s="135"/>
    </row>
    <row r="7082" spans="20:21" ht="15" customHeight="1" x14ac:dyDescent="0.25">
      <c r="T7082" s="135"/>
      <c r="U7082" s="135"/>
    </row>
    <row r="7083" spans="20:21" ht="15" customHeight="1" x14ac:dyDescent="0.25">
      <c r="T7083" s="135"/>
      <c r="U7083" s="135"/>
    </row>
    <row r="7084" spans="20:21" ht="15" customHeight="1" x14ac:dyDescent="0.25">
      <c r="T7084" s="135"/>
      <c r="U7084" s="135"/>
    </row>
    <row r="7085" spans="20:21" ht="15" customHeight="1" x14ac:dyDescent="0.25">
      <c r="T7085" s="135"/>
      <c r="U7085" s="135"/>
    </row>
    <row r="7086" spans="20:21" ht="15" customHeight="1" x14ac:dyDescent="0.25">
      <c r="T7086" s="135"/>
      <c r="U7086" s="135"/>
    </row>
    <row r="7087" spans="20:21" ht="15" customHeight="1" x14ac:dyDescent="0.25">
      <c r="T7087" s="135"/>
      <c r="U7087" s="135"/>
    </row>
    <row r="7088" spans="20:21" ht="15" customHeight="1" x14ac:dyDescent="0.25">
      <c r="T7088" s="135"/>
      <c r="U7088" s="135"/>
    </row>
    <row r="7089" spans="20:21" ht="15" customHeight="1" x14ac:dyDescent="0.25">
      <c r="T7089" s="135"/>
      <c r="U7089" s="135"/>
    </row>
    <row r="7090" spans="20:21" ht="15" customHeight="1" x14ac:dyDescent="0.25">
      <c r="T7090" s="135"/>
      <c r="U7090" s="135"/>
    </row>
    <row r="7091" spans="20:21" ht="15" customHeight="1" x14ac:dyDescent="0.25">
      <c r="T7091" s="135"/>
      <c r="U7091" s="135"/>
    </row>
    <row r="7092" spans="20:21" ht="15" customHeight="1" x14ac:dyDescent="0.25">
      <c r="T7092" s="135"/>
      <c r="U7092" s="135"/>
    </row>
    <row r="7093" spans="20:21" ht="15" customHeight="1" x14ac:dyDescent="0.25">
      <c r="T7093" s="135"/>
      <c r="U7093" s="135"/>
    </row>
    <row r="7094" spans="20:21" ht="15" customHeight="1" x14ac:dyDescent="0.25">
      <c r="T7094" s="135"/>
      <c r="U7094" s="135"/>
    </row>
    <row r="7095" spans="20:21" ht="15" customHeight="1" x14ac:dyDescent="0.25">
      <c r="T7095" s="135"/>
      <c r="U7095" s="135"/>
    </row>
    <row r="7096" spans="20:21" ht="15" customHeight="1" x14ac:dyDescent="0.25">
      <c r="T7096" s="135"/>
      <c r="U7096" s="135"/>
    </row>
    <row r="7097" spans="20:21" ht="15" customHeight="1" x14ac:dyDescent="0.25">
      <c r="T7097" s="135"/>
      <c r="U7097" s="135"/>
    </row>
    <row r="7098" spans="20:21" ht="15" customHeight="1" x14ac:dyDescent="0.25">
      <c r="T7098" s="135"/>
      <c r="U7098" s="135"/>
    </row>
    <row r="7099" spans="20:21" ht="15" customHeight="1" x14ac:dyDescent="0.25">
      <c r="T7099" s="135"/>
      <c r="U7099" s="135"/>
    </row>
    <row r="7100" spans="20:21" ht="15" customHeight="1" x14ac:dyDescent="0.25">
      <c r="T7100" s="135"/>
      <c r="U7100" s="135"/>
    </row>
    <row r="7101" spans="20:21" ht="15" customHeight="1" x14ac:dyDescent="0.25">
      <c r="T7101" s="135"/>
      <c r="U7101" s="135"/>
    </row>
    <row r="7102" spans="20:21" ht="15" customHeight="1" x14ac:dyDescent="0.25">
      <c r="T7102" s="135"/>
      <c r="U7102" s="135"/>
    </row>
    <row r="7103" spans="20:21" ht="15" customHeight="1" x14ac:dyDescent="0.25">
      <c r="T7103" s="135"/>
      <c r="U7103" s="135"/>
    </row>
    <row r="7104" spans="20:21" ht="15" customHeight="1" x14ac:dyDescent="0.25">
      <c r="T7104" s="135"/>
      <c r="U7104" s="135"/>
    </row>
    <row r="7105" spans="20:21" ht="15" customHeight="1" x14ac:dyDescent="0.25">
      <c r="T7105" s="135"/>
      <c r="U7105" s="135"/>
    </row>
    <row r="7106" spans="20:21" ht="15" customHeight="1" x14ac:dyDescent="0.25">
      <c r="T7106" s="135"/>
      <c r="U7106" s="135"/>
    </row>
    <row r="7107" spans="20:21" ht="15" customHeight="1" x14ac:dyDescent="0.25">
      <c r="T7107" s="135"/>
      <c r="U7107" s="135"/>
    </row>
    <row r="7108" spans="20:21" ht="15" customHeight="1" x14ac:dyDescent="0.25">
      <c r="T7108" s="135"/>
      <c r="U7108" s="135"/>
    </row>
    <row r="7109" spans="20:21" ht="15" customHeight="1" x14ac:dyDescent="0.25">
      <c r="T7109" s="135"/>
      <c r="U7109" s="135"/>
    </row>
    <row r="7110" spans="20:21" ht="15" customHeight="1" x14ac:dyDescent="0.25">
      <c r="T7110" s="135"/>
      <c r="U7110" s="135"/>
    </row>
    <row r="7111" spans="20:21" ht="15" customHeight="1" x14ac:dyDescent="0.25">
      <c r="T7111" s="135"/>
      <c r="U7111" s="135"/>
    </row>
    <row r="7112" spans="20:21" ht="15" customHeight="1" x14ac:dyDescent="0.25">
      <c r="T7112" s="135"/>
      <c r="U7112" s="135"/>
    </row>
    <row r="7113" spans="20:21" ht="15" customHeight="1" x14ac:dyDescent="0.25">
      <c r="T7113" s="135"/>
      <c r="U7113" s="135"/>
    </row>
    <row r="7114" spans="20:21" ht="15" customHeight="1" x14ac:dyDescent="0.25">
      <c r="T7114" s="135"/>
      <c r="U7114" s="135"/>
    </row>
    <row r="7115" spans="20:21" ht="15" customHeight="1" x14ac:dyDescent="0.25">
      <c r="T7115" s="135"/>
      <c r="U7115" s="135"/>
    </row>
    <row r="7116" spans="20:21" ht="15" customHeight="1" x14ac:dyDescent="0.25">
      <c r="T7116" s="135"/>
      <c r="U7116" s="135"/>
    </row>
    <row r="7117" spans="20:21" ht="15" customHeight="1" x14ac:dyDescent="0.25">
      <c r="T7117" s="135"/>
      <c r="U7117" s="135"/>
    </row>
    <row r="7118" spans="20:21" ht="15" customHeight="1" x14ac:dyDescent="0.25">
      <c r="T7118" s="135"/>
      <c r="U7118" s="135"/>
    </row>
    <row r="7119" spans="20:21" ht="15" customHeight="1" x14ac:dyDescent="0.25">
      <c r="T7119" s="135"/>
      <c r="U7119" s="135"/>
    </row>
    <row r="7120" spans="20:21" ht="15" customHeight="1" x14ac:dyDescent="0.25">
      <c r="T7120" s="135"/>
      <c r="U7120" s="135"/>
    </row>
    <row r="7121" spans="20:21" ht="15" customHeight="1" x14ac:dyDescent="0.25">
      <c r="T7121" s="135"/>
      <c r="U7121" s="135"/>
    </row>
    <row r="7122" spans="20:21" ht="15" customHeight="1" x14ac:dyDescent="0.25">
      <c r="T7122" s="135"/>
      <c r="U7122" s="135"/>
    </row>
    <row r="7123" spans="20:21" ht="15" customHeight="1" x14ac:dyDescent="0.25">
      <c r="T7123" s="135"/>
      <c r="U7123" s="135"/>
    </row>
    <row r="7124" spans="20:21" ht="15" customHeight="1" x14ac:dyDescent="0.25">
      <c r="T7124" s="135"/>
      <c r="U7124" s="135"/>
    </row>
    <row r="7125" spans="20:21" ht="15" customHeight="1" x14ac:dyDescent="0.25">
      <c r="T7125" s="135"/>
      <c r="U7125" s="135"/>
    </row>
    <row r="7126" spans="20:21" ht="15" customHeight="1" x14ac:dyDescent="0.25">
      <c r="T7126" s="135"/>
      <c r="U7126" s="135"/>
    </row>
    <row r="7127" spans="20:21" ht="15" customHeight="1" x14ac:dyDescent="0.25">
      <c r="T7127" s="135"/>
      <c r="U7127" s="135"/>
    </row>
    <row r="7128" spans="20:21" ht="15" customHeight="1" x14ac:dyDescent="0.25">
      <c r="T7128" s="135"/>
      <c r="U7128" s="135"/>
    </row>
    <row r="7129" spans="20:21" ht="15" customHeight="1" x14ac:dyDescent="0.25">
      <c r="T7129" s="135"/>
      <c r="U7129" s="135"/>
    </row>
    <row r="7130" spans="20:21" ht="15" customHeight="1" x14ac:dyDescent="0.25">
      <c r="T7130" s="135"/>
      <c r="U7130" s="135"/>
    </row>
    <row r="7131" spans="20:21" ht="15" customHeight="1" x14ac:dyDescent="0.25">
      <c r="T7131" s="135"/>
      <c r="U7131" s="135"/>
    </row>
    <row r="7132" spans="20:21" ht="15" customHeight="1" x14ac:dyDescent="0.25">
      <c r="T7132" s="135"/>
      <c r="U7132" s="135"/>
    </row>
    <row r="7133" spans="20:21" ht="15" customHeight="1" x14ac:dyDescent="0.25">
      <c r="T7133" s="135"/>
      <c r="U7133" s="135"/>
    </row>
    <row r="7134" spans="20:21" ht="15" customHeight="1" x14ac:dyDescent="0.25">
      <c r="T7134" s="135"/>
      <c r="U7134" s="135"/>
    </row>
    <row r="7135" spans="20:21" ht="15" customHeight="1" x14ac:dyDescent="0.25">
      <c r="T7135" s="135"/>
      <c r="U7135" s="135"/>
    </row>
    <row r="7136" spans="20:21" ht="15" customHeight="1" x14ac:dyDescent="0.25">
      <c r="T7136" s="135"/>
      <c r="U7136" s="135"/>
    </row>
    <row r="7137" spans="20:21" ht="15" customHeight="1" x14ac:dyDescent="0.25">
      <c r="T7137" s="135"/>
      <c r="U7137" s="135"/>
    </row>
    <row r="7138" spans="20:21" ht="15" customHeight="1" x14ac:dyDescent="0.25">
      <c r="T7138" s="135"/>
      <c r="U7138" s="135"/>
    </row>
    <row r="7139" spans="20:21" ht="15" customHeight="1" x14ac:dyDescent="0.25">
      <c r="T7139" s="135"/>
      <c r="U7139" s="135"/>
    </row>
    <row r="7140" spans="20:21" ht="15" customHeight="1" x14ac:dyDescent="0.25">
      <c r="T7140" s="135"/>
      <c r="U7140" s="135"/>
    </row>
    <row r="7141" spans="20:21" ht="15" customHeight="1" x14ac:dyDescent="0.25">
      <c r="T7141" s="135"/>
      <c r="U7141" s="135"/>
    </row>
    <row r="7142" spans="20:21" ht="15" customHeight="1" x14ac:dyDescent="0.25">
      <c r="T7142" s="135"/>
      <c r="U7142" s="135"/>
    </row>
    <row r="7143" spans="20:21" ht="15" customHeight="1" x14ac:dyDescent="0.25">
      <c r="T7143" s="135"/>
      <c r="U7143" s="135"/>
    </row>
    <row r="7144" spans="20:21" ht="15" customHeight="1" x14ac:dyDescent="0.25">
      <c r="T7144" s="135"/>
      <c r="U7144" s="135"/>
    </row>
    <row r="7145" spans="20:21" ht="15" customHeight="1" x14ac:dyDescent="0.25">
      <c r="T7145" s="135"/>
      <c r="U7145" s="135"/>
    </row>
    <row r="7146" spans="20:21" ht="15" customHeight="1" x14ac:dyDescent="0.25">
      <c r="T7146" s="135"/>
      <c r="U7146" s="135"/>
    </row>
    <row r="7147" spans="20:21" ht="15" customHeight="1" x14ac:dyDescent="0.25">
      <c r="T7147" s="135"/>
      <c r="U7147" s="135"/>
    </row>
    <row r="7148" spans="20:21" ht="15" customHeight="1" x14ac:dyDescent="0.25">
      <c r="T7148" s="135"/>
      <c r="U7148" s="135"/>
    </row>
    <row r="7149" spans="20:21" ht="15" customHeight="1" x14ac:dyDescent="0.25">
      <c r="T7149" s="135"/>
      <c r="U7149" s="135"/>
    </row>
    <row r="7150" spans="20:21" ht="15" customHeight="1" x14ac:dyDescent="0.25">
      <c r="T7150" s="135"/>
      <c r="U7150" s="135"/>
    </row>
    <row r="7151" spans="20:21" ht="15" customHeight="1" x14ac:dyDescent="0.25">
      <c r="T7151" s="135"/>
      <c r="U7151" s="135"/>
    </row>
    <row r="7152" spans="20:21" ht="15" customHeight="1" x14ac:dyDescent="0.25">
      <c r="T7152" s="135"/>
      <c r="U7152" s="135"/>
    </row>
    <row r="7153" spans="20:21" ht="15" customHeight="1" x14ac:dyDescent="0.25">
      <c r="T7153" s="135"/>
      <c r="U7153" s="135"/>
    </row>
    <row r="7154" spans="20:21" ht="15" customHeight="1" x14ac:dyDescent="0.25">
      <c r="T7154" s="135"/>
      <c r="U7154" s="135"/>
    </row>
    <row r="7155" spans="20:21" ht="15" customHeight="1" x14ac:dyDescent="0.25">
      <c r="T7155" s="135"/>
      <c r="U7155" s="135"/>
    </row>
    <row r="7156" spans="20:21" ht="15" customHeight="1" x14ac:dyDescent="0.25">
      <c r="T7156" s="135"/>
      <c r="U7156" s="135"/>
    </row>
    <row r="7157" spans="20:21" ht="15" customHeight="1" x14ac:dyDescent="0.25">
      <c r="T7157" s="135"/>
      <c r="U7157" s="135"/>
    </row>
    <row r="7158" spans="20:21" ht="15" customHeight="1" x14ac:dyDescent="0.25">
      <c r="T7158" s="135"/>
      <c r="U7158" s="135"/>
    </row>
    <row r="7159" spans="20:21" ht="15" customHeight="1" x14ac:dyDescent="0.25">
      <c r="T7159" s="135"/>
      <c r="U7159" s="135"/>
    </row>
    <row r="7160" spans="20:21" ht="15" customHeight="1" x14ac:dyDescent="0.25">
      <c r="T7160" s="135"/>
      <c r="U7160" s="135"/>
    </row>
    <row r="7161" spans="20:21" ht="15" customHeight="1" x14ac:dyDescent="0.25">
      <c r="T7161" s="135"/>
      <c r="U7161" s="135"/>
    </row>
    <row r="7162" spans="20:21" ht="15" customHeight="1" x14ac:dyDescent="0.25">
      <c r="T7162" s="135"/>
      <c r="U7162" s="135"/>
    </row>
    <row r="7163" spans="20:21" ht="15" customHeight="1" x14ac:dyDescent="0.25">
      <c r="T7163" s="135"/>
      <c r="U7163" s="135"/>
    </row>
    <row r="7164" spans="20:21" ht="15" customHeight="1" x14ac:dyDescent="0.25">
      <c r="T7164" s="135"/>
      <c r="U7164" s="135"/>
    </row>
    <row r="7165" spans="20:21" ht="15" customHeight="1" x14ac:dyDescent="0.25">
      <c r="T7165" s="135"/>
      <c r="U7165" s="135"/>
    </row>
    <row r="7166" spans="20:21" ht="15" customHeight="1" x14ac:dyDescent="0.25">
      <c r="T7166" s="135"/>
      <c r="U7166" s="135"/>
    </row>
    <row r="7167" spans="20:21" ht="15" customHeight="1" x14ac:dyDescent="0.25">
      <c r="T7167" s="135"/>
      <c r="U7167" s="135"/>
    </row>
    <row r="7168" spans="20:21" ht="15" customHeight="1" x14ac:dyDescent="0.25">
      <c r="T7168" s="135"/>
      <c r="U7168" s="135"/>
    </row>
    <row r="7169" spans="20:21" ht="15" customHeight="1" x14ac:dyDescent="0.25">
      <c r="T7169" s="135"/>
      <c r="U7169" s="135"/>
    </row>
    <row r="7170" spans="20:21" ht="15" customHeight="1" x14ac:dyDescent="0.25">
      <c r="T7170" s="135"/>
      <c r="U7170" s="135"/>
    </row>
    <row r="7171" spans="20:21" ht="15" customHeight="1" x14ac:dyDescent="0.25">
      <c r="T7171" s="135"/>
      <c r="U7171" s="135"/>
    </row>
    <row r="7172" spans="20:21" ht="15" customHeight="1" x14ac:dyDescent="0.25">
      <c r="T7172" s="135"/>
      <c r="U7172" s="135"/>
    </row>
    <row r="7173" spans="20:21" ht="15" customHeight="1" x14ac:dyDescent="0.25">
      <c r="T7173" s="135"/>
      <c r="U7173" s="135"/>
    </row>
    <row r="7174" spans="20:21" ht="15" customHeight="1" x14ac:dyDescent="0.25">
      <c r="T7174" s="135"/>
      <c r="U7174" s="135"/>
    </row>
    <row r="7175" spans="20:21" ht="15" customHeight="1" x14ac:dyDescent="0.25">
      <c r="T7175" s="135"/>
      <c r="U7175" s="135"/>
    </row>
    <row r="7176" spans="20:21" ht="15" customHeight="1" x14ac:dyDescent="0.25">
      <c r="T7176" s="135"/>
      <c r="U7176" s="135"/>
    </row>
    <row r="7177" spans="20:21" ht="15" customHeight="1" x14ac:dyDescent="0.25">
      <c r="T7177" s="135"/>
      <c r="U7177" s="135"/>
    </row>
    <row r="7178" spans="20:21" ht="15" customHeight="1" x14ac:dyDescent="0.25">
      <c r="T7178" s="135"/>
      <c r="U7178" s="135"/>
    </row>
    <row r="7179" spans="20:21" ht="15" customHeight="1" x14ac:dyDescent="0.25">
      <c r="T7179" s="135"/>
      <c r="U7179" s="135"/>
    </row>
    <row r="7180" spans="20:21" ht="15" customHeight="1" x14ac:dyDescent="0.25">
      <c r="T7180" s="135"/>
      <c r="U7180" s="135"/>
    </row>
    <row r="7181" spans="20:21" ht="15" customHeight="1" x14ac:dyDescent="0.25">
      <c r="T7181" s="135"/>
      <c r="U7181" s="135"/>
    </row>
    <row r="7182" spans="20:21" ht="15" customHeight="1" x14ac:dyDescent="0.25">
      <c r="T7182" s="135"/>
      <c r="U7182" s="135"/>
    </row>
    <row r="7183" spans="20:21" ht="15" customHeight="1" x14ac:dyDescent="0.25">
      <c r="T7183" s="135"/>
      <c r="U7183" s="135"/>
    </row>
    <row r="7184" spans="20:21" ht="15" customHeight="1" x14ac:dyDescent="0.25">
      <c r="T7184" s="135"/>
      <c r="U7184" s="135"/>
    </row>
    <row r="7185" spans="20:21" ht="15" customHeight="1" x14ac:dyDescent="0.25">
      <c r="T7185" s="135"/>
      <c r="U7185" s="135"/>
    </row>
    <row r="7186" spans="20:21" ht="15" customHeight="1" x14ac:dyDescent="0.25">
      <c r="T7186" s="135"/>
      <c r="U7186" s="135"/>
    </row>
    <row r="7187" spans="20:21" ht="15" customHeight="1" x14ac:dyDescent="0.25">
      <c r="T7187" s="135"/>
      <c r="U7187" s="135"/>
    </row>
    <row r="7188" spans="20:21" ht="15" customHeight="1" x14ac:dyDescent="0.25">
      <c r="T7188" s="135"/>
      <c r="U7188" s="135"/>
    </row>
    <row r="7189" spans="20:21" ht="15" customHeight="1" x14ac:dyDescent="0.25">
      <c r="T7189" s="135"/>
      <c r="U7189" s="135"/>
    </row>
    <row r="7190" spans="20:21" ht="15" customHeight="1" x14ac:dyDescent="0.25">
      <c r="T7190" s="135"/>
      <c r="U7190" s="135"/>
    </row>
    <row r="7191" spans="20:21" ht="15" customHeight="1" x14ac:dyDescent="0.25">
      <c r="T7191" s="135"/>
      <c r="U7191" s="135"/>
    </row>
    <row r="7192" spans="20:21" ht="15" customHeight="1" x14ac:dyDescent="0.25">
      <c r="T7192" s="135"/>
      <c r="U7192" s="135"/>
    </row>
    <row r="7193" spans="20:21" ht="15" customHeight="1" x14ac:dyDescent="0.25">
      <c r="T7193" s="135"/>
      <c r="U7193" s="135"/>
    </row>
    <row r="7194" spans="20:21" ht="15" customHeight="1" x14ac:dyDescent="0.25">
      <c r="T7194" s="135"/>
      <c r="U7194" s="135"/>
    </row>
    <row r="7195" spans="20:21" ht="15" customHeight="1" x14ac:dyDescent="0.25">
      <c r="T7195" s="135"/>
      <c r="U7195" s="135"/>
    </row>
    <row r="7196" spans="20:21" ht="15" customHeight="1" x14ac:dyDescent="0.25">
      <c r="T7196" s="135"/>
      <c r="U7196" s="135"/>
    </row>
    <row r="7197" spans="20:21" ht="15" customHeight="1" x14ac:dyDescent="0.25">
      <c r="T7197" s="135"/>
      <c r="U7197" s="135"/>
    </row>
    <row r="7198" spans="20:21" ht="15" customHeight="1" x14ac:dyDescent="0.25">
      <c r="T7198" s="135"/>
      <c r="U7198" s="135"/>
    </row>
    <row r="7199" spans="20:21" ht="15" customHeight="1" x14ac:dyDescent="0.25">
      <c r="T7199" s="135"/>
      <c r="U7199" s="135"/>
    </row>
    <row r="7200" spans="20:21" ht="15" customHeight="1" x14ac:dyDescent="0.25">
      <c r="T7200" s="135"/>
      <c r="U7200" s="135"/>
    </row>
    <row r="7201" spans="20:21" ht="15" customHeight="1" x14ac:dyDescent="0.25">
      <c r="T7201" s="135"/>
      <c r="U7201" s="135"/>
    </row>
    <row r="7202" spans="20:21" ht="15" customHeight="1" x14ac:dyDescent="0.25">
      <c r="T7202" s="135"/>
      <c r="U7202" s="135"/>
    </row>
    <row r="7203" spans="20:21" ht="15" customHeight="1" x14ac:dyDescent="0.25">
      <c r="T7203" s="135"/>
      <c r="U7203" s="135"/>
    </row>
    <row r="7204" spans="20:21" ht="15" customHeight="1" x14ac:dyDescent="0.25">
      <c r="T7204" s="135"/>
      <c r="U7204" s="135"/>
    </row>
    <row r="7205" spans="20:21" ht="15" customHeight="1" x14ac:dyDescent="0.25">
      <c r="T7205" s="135"/>
      <c r="U7205" s="135"/>
    </row>
    <row r="7206" spans="20:21" ht="15" customHeight="1" x14ac:dyDescent="0.25">
      <c r="T7206" s="135"/>
      <c r="U7206" s="135"/>
    </row>
    <row r="7207" spans="20:21" ht="15" customHeight="1" x14ac:dyDescent="0.25">
      <c r="T7207" s="135"/>
      <c r="U7207" s="135"/>
    </row>
    <row r="7208" spans="20:21" ht="15" customHeight="1" x14ac:dyDescent="0.25">
      <c r="T7208" s="135"/>
      <c r="U7208" s="135"/>
    </row>
    <row r="7209" spans="20:21" ht="15" customHeight="1" x14ac:dyDescent="0.25">
      <c r="T7209" s="135"/>
      <c r="U7209" s="135"/>
    </row>
    <row r="7210" spans="20:21" ht="15" customHeight="1" x14ac:dyDescent="0.25">
      <c r="T7210" s="135"/>
      <c r="U7210" s="135"/>
    </row>
    <row r="7211" spans="20:21" ht="15" customHeight="1" x14ac:dyDescent="0.25">
      <c r="T7211" s="135"/>
      <c r="U7211" s="135"/>
    </row>
    <row r="7212" spans="20:21" ht="15" customHeight="1" x14ac:dyDescent="0.25">
      <c r="T7212" s="135"/>
      <c r="U7212" s="135"/>
    </row>
    <row r="7213" spans="20:21" ht="15" customHeight="1" x14ac:dyDescent="0.25">
      <c r="T7213" s="135"/>
      <c r="U7213" s="135"/>
    </row>
    <row r="7214" spans="20:21" ht="15" customHeight="1" x14ac:dyDescent="0.25">
      <c r="T7214" s="135"/>
      <c r="U7214" s="135"/>
    </row>
    <row r="7215" spans="20:21" ht="15" customHeight="1" x14ac:dyDescent="0.25">
      <c r="T7215" s="135"/>
      <c r="U7215" s="135"/>
    </row>
    <row r="7216" spans="20:21" ht="15" customHeight="1" x14ac:dyDescent="0.25">
      <c r="T7216" s="135"/>
      <c r="U7216" s="135"/>
    </row>
    <row r="7217" spans="20:21" ht="15" customHeight="1" x14ac:dyDescent="0.25">
      <c r="T7217" s="135"/>
      <c r="U7217" s="135"/>
    </row>
    <row r="7218" spans="20:21" ht="15" customHeight="1" x14ac:dyDescent="0.25">
      <c r="T7218" s="135"/>
      <c r="U7218" s="135"/>
    </row>
    <row r="7219" spans="20:21" ht="15" customHeight="1" x14ac:dyDescent="0.25">
      <c r="T7219" s="135"/>
      <c r="U7219" s="135"/>
    </row>
    <row r="7220" spans="20:21" ht="15" customHeight="1" x14ac:dyDescent="0.25">
      <c r="T7220" s="135"/>
      <c r="U7220" s="135"/>
    </row>
    <row r="7221" spans="20:21" ht="15" customHeight="1" x14ac:dyDescent="0.25">
      <c r="T7221" s="135"/>
      <c r="U7221" s="135"/>
    </row>
    <row r="7222" spans="20:21" ht="15" customHeight="1" x14ac:dyDescent="0.25">
      <c r="T7222" s="135"/>
      <c r="U7222" s="135"/>
    </row>
    <row r="7223" spans="20:21" ht="15" customHeight="1" x14ac:dyDescent="0.25">
      <c r="T7223" s="135"/>
      <c r="U7223" s="135"/>
    </row>
    <row r="7224" spans="20:21" ht="15" customHeight="1" x14ac:dyDescent="0.25">
      <c r="T7224" s="135"/>
      <c r="U7224" s="135"/>
    </row>
    <row r="7225" spans="20:21" ht="15" customHeight="1" x14ac:dyDescent="0.25">
      <c r="T7225" s="135"/>
      <c r="U7225" s="135"/>
    </row>
    <row r="7226" spans="20:21" ht="15" customHeight="1" x14ac:dyDescent="0.25">
      <c r="T7226" s="135"/>
      <c r="U7226" s="135"/>
    </row>
    <row r="7227" spans="20:21" ht="15" customHeight="1" x14ac:dyDescent="0.25">
      <c r="T7227" s="135"/>
      <c r="U7227" s="135"/>
    </row>
    <row r="7228" spans="20:21" ht="15" customHeight="1" x14ac:dyDescent="0.25">
      <c r="T7228" s="135"/>
      <c r="U7228" s="135"/>
    </row>
    <row r="7229" spans="20:21" ht="15" customHeight="1" x14ac:dyDescent="0.25">
      <c r="T7229" s="135"/>
      <c r="U7229" s="135"/>
    </row>
    <row r="7230" spans="20:21" ht="15" customHeight="1" x14ac:dyDescent="0.25">
      <c r="T7230" s="135"/>
      <c r="U7230" s="135"/>
    </row>
    <row r="7231" spans="20:21" ht="15" customHeight="1" x14ac:dyDescent="0.25">
      <c r="T7231" s="135"/>
      <c r="U7231" s="135"/>
    </row>
    <row r="7232" spans="20:21" ht="15" customHeight="1" x14ac:dyDescent="0.25">
      <c r="T7232" s="135"/>
      <c r="U7232" s="135"/>
    </row>
    <row r="7233" spans="20:21" ht="15" customHeight="1" x14ac:dyDescent="0.25">
      <c r="T7233" s="135"/>
      <c r="U7233" s="135"/>
    </row>
    <row r="7234" spans="20:21" ht="15" customHeight="1" x14ac:dyDescent="0.25">
      <c r="T7234" s="135"/>
      <c r="U7234" s="135"/>
    </row>
    <row r="7235" spans="20:21" ht="15" customHeight="1" x14ac:dyDescent="0.25">
      <c r="T7235" s="135"/>
      <c r="U7235" s="135"/>
    </row>
    <row r="7236" spans="20:21" ht="15" customHeight="1" x14ac:dyDescent="0.25">
      <c r="T7236" s="135"/>
      <c r="U7236" s="135"/>
    </row>
    <row r="7237" spans="20:21" ht="15" customHeight="1" x14ac:dyDescent="0.25">
      <c r="T7237" s="135"/>
      <c r="U7237" s="135"/>
    </row>
    <row r="7238" spans="20:21" ht="15" customHeight="1" x14ac:dyDescent="0.25">
      <c r="T7238" s="135"/>
      <c r="U7238" s="135"/>
    </row>
    <row r="7239" spans="20:21" ht="15" customHeight="1" x14ac:dyDescent="0.25">
      <c r="T7239" s="135"/>
      <c r="U7239" s="135"/>
    </row>
    <row r="7240" spans="20:21" ht="15" customHeight="1" x14ac:dyDescent="0.25">
      <c r="T7240" s="135"/>
      <c r="U7240" s="135"/>
    </row>
    <row r="7241" spans="20:21" ht="15" customHeight="1" x14ac:dyDescent="0.25">
      <c r="T7241" s="135"/>
      <c r="U7241" s="135"/>
    </row>
    <row r="7242" spans="20:21" ht="15" customHeight="1" x14ac:dyDescent="0.25">
      <c r="T7242" s="135"/>
      <c r="U7242" s="135"/>
    </row>
    <row r="7243" spans="20:21" ht="15" customHeight="1" x14ac:dyDescent="0.25">
      <c r="T7243" s="135"/>
      <c r="U7243" s="135"/>
    </row>
    <row r="7244" spans="20:21" ht="15" customHeight="1" x14ac:dyDescent="0.25">
      <c r="T7244" s="135"/>
      <c r="U7244" s="135"/>
    </row>
    <row r="7245" spans="20:21" ht="15" customHeight="1" x14ac:dyDescent="0.25">
      <c r="T7245" s="135"/>
      <c r="U7245" s="135"/>
    </row>
    <row r="7246" spans="20:21" ht="15" customHeight="1" x14ac:dyDescent="0.25">
      <c r="T7246" s="135"/>
      <c r="U7246" s="135"/>
    </row>
    <row r="7247" spans="20:21" ht="15" customHeight="1" x14ac:dyDescent="0.25">
      <c r="T7247" s="135"/>
      <c r="U7247" s="135"/>
    </row>
    <row r="7248" spans="20:21" ht="15" customHeight="1" x14ac:dyDescent="0.25">
      <c r="T7248" s="135"/>
      <c r="U7248" s="135"/>
    </row>
    <row r="7249" spans="20:21" ht="15" customHeight="1" x14ac:dyDescent="0.25">
      <c r="T7249" s="135"/>
      <c r="U7249" s="135"/>
    </row>
    <row r="7250" spans="20:21" ht="15" customHeight="1" x14ac:dyDescent="0.25">
      <c r="T7250" s="135"/>
      <c r="U7250" s="135"/>
    </row>
    <row r="7251" spans="20:21" ht="15" customHeight="1" x14ac:dyDescent="0.25">
      <c r="T7251" s="135"/>
      <c r="U7251" s="135"/>
    </row>
    <row r="7252" spans="20:21" ht="15" customHeight="1" x14ac:dyDescent="0.25">
      <c r="T7252" s="135"/>
      <c r="U7252" s="135"/>
    </row>
    <row r="7253" spans="20:21" ht="15" customHeight="1" x14ac:dyDescent="0.25">
      <c r="T7253" s="135"/>
      <c r="U7253" s="135"/>
    </row>
    <row r="7254" spans="20:21" ht="15" customHeight="1" x14ac:dyDescent="0.25">
      <c r="T7254" s="135"/>
      <c r="U7254" s="135"/>
    </row>
    <row r="7255" spans="20:21" ht="15" customHeight="1" x14ac:dyDescent="0.25">
      <c r="T7255" s="135"/>
      <c r="U7255" s="135"/>
    </row>
    <row r="7256" spans="20:21" ht="15" customHeight="1" x14ac:dyDescent="0.25">
      <c r="T7256" s="135"/>
      <c r="U7256" s="135"/>
    </row>
    <row r="7257" spans="20:21" ht="15" customHeight="1" x14ac:dyDescent="0.25">
      <c r="T7257" s="135"/>
      <c r="U7257" s="135"/>
    </row>
    <row r="7258" spans="20:21" ht="15" customHeight="1" x14ac:dyDescent="0.25">
      <c r="T7258" s="135"/>
      <c r="U7258" s="135"/>
    </row>
    <row r="7259" spans="20:21" ht="15" customHeight="1" x14ac:dyDescent="0.25">
      <c r="T7259" s="135"/>
      <c r="U7259" s="135"/>
    </row>
    <row r="7260" spans="20:21" ht="15" customHeight="1" x14ac:dyDescent="0.25">
      <c r="T7260" s="135"/>
      <c r="U7260" s="135"/>
    </row>
    <row r="7261" spans="20:21" ht="15" customHeight="1" x14ac:dyDescent="0.25">
      <c r="T7261" s="135"/>
      <c r="U7261" s="135"/>
    </row>
    <row r="7262" spans="20:21" ht="15" customHeight="1" x14ac:dyDescent="0.25">
      <c r="T7262" s="135"/>
      <c r="U7262" s="135"/>
    </row>
    <row r="7263" spans="20:21" ht="15" customHeight="1" x14ac:dyDescent="0.25">
      <c r="T7263" s="135"/>
      <c r="U7263" s="135"/>
    </row>
    <row r="7264" spans="20:21" ht="15" customHeight="1" x14ac:dyDescent="0.25">
      <c r="T7264" s="135"/>
      <c r="U7264" s="135"/>
    </row>
    <row r="7265" spans="20:21" ht="15" customHeight="1" x14ac:dyDescent="0.25">
      <c r="T7265" s="135"/>
      <c r="U7265" s="135"/>
    </row>
    <row r="7266" spans="20:21" ht="15" customHeight="1" x14ac:dyDescent="0.25">
      <c r="T7266" s="135"/>
      <c r="U7266" s="135"/>
    </row>
    <row r="7267" spans="20:21" ht="15" customHeight="1" x14ac:dyDescent="0.25">
      <c r="T7267" s="135"/>
      <c r="U7267" s="135"/>
    </row>
    <row r="7268" spans="20:21" ht="15" customHeight="1" x14ac:dyDescent="0.25">
      <c r="T7268" s="135"/>
      <c r="U7268" s="135"/>
    </row>
    <row r="7269" spans="20:21" ht="15" customHeight="1" x14ac:dyDescent="0.25">
      <c r="T7269" s="135"/>
      <c r="U7269" s="135"/>
    </row>
    <row r="7270" spans="20:21" ht="15" customHeight="1" x14ac:dyDescent="0.25">
      <c r="T7270" s="135"/>
      <c r="U7270" s="135"/>
    </row>
    <row r="7271" spans="20:21" ht="15" customHeight="1" x14ac:dyDescent="0.25">
      <c r="T7271" s="135"/>
      <c r="U7271" s="135"/>
    </row>
    <row r="7272" spans="20:21" ht="15" customHeight="1" x14ac:dyDescent="0.25">
      <c r="T7272" s="135"/>
      <c r="U7272" s="135"/>
    </row>
    <row r="7273" spans="20:21" ht="15" customHeight="1" x14ac:dyDescent="0.25">
      <c r="T7273" s="135"/>
      <c r="U7273" s="135"/>
    </row>
    <row r="7274" spans="20:21" ht="15" customHeight="1" x14ac:dyDescent="0.25">
      <c r="T7274" s="135"/>
      <c r="U7274" s="135"/>
    </row>
    <row r="7275" spans="20:21" ht="15" customHeight="1" x14ac:dyDescent="0.25">
      <c r="T7275" s="135"/>
      <c r="U7275" s="135"/>
    </row>
    <row r="7276" spans="20:21" ht="15" customHeight="1" x14ac:dyDescent="0.25">
      <c r="T7276" s="135"/>
      <c r="U7276" s="135"/>
    </row>
    <row r="7277" spans="20:21" ht="15" customHeight="1" x14ac:dyDescent="0.25">
      <c r="T7277" s="135"/>
      <c r="U7277" s="135"/>
    </row>
    <row r="7278" spans="20:21" ht="15" customHeight="1" x14ac:dyDescent="0.25">
      <c r="T7278" s="135"/>
      <c r="U7278" s="135"/>
    </row>
    <row r="7279" spans="20:21" ht="15" customHeight="1" x14ac:dyDescent="0.25">
      <c r="T7279" s="135"/>
      <c r="U7279" s="135"/>
    </row>
    <row r="7280" spans="20:21" ht="15" customHeight="1" x14ac:dyDescent="0.25">
      <c r="T7280" s="135"/>
      <c r="U7280" s="135"/>
    </row>
    <row r="7281" spans="20:21" ht="15" customHeight="1" x14ac:dyDescent="0.25">
      <c r="T7281" s="135"/>
      <c r="U7281" s="135"/>
    </row>
    <row r="7282" spans="20:21" ht="15" customHeight="1" x14ac:dyDescent="0.25">
      <c r="T7282" s="135"/>
      <c r="U7282" s="135"/>
    </row>
    <row r="7283" spans="20:21" ht="15" customHeight="1" x14ac:dyDescent="0.25">
      <c r="T7283" s="135"/>
      <c r="U7283" s="135"/>
    </row>
    <row r="7284" spans="20:21" ht="15" customHeight="1" x14ac:dyDescent="0.25">
      <c r="T7284" s="135"/>
      <c r="U7284" s="135"/>
    </row>
    <row r="7285" spans="20:21" ht="15" customHeight="1" x14ac:dyDescent="0.25">
      <c r="T7285" s="135"/>
      <c r="U7285" s="135"/>
    </row>
    <row r="7286" spans="20:21" ht="15" customHeight="1" x14ac:dyDescent="0.25">
      <c r="T7286" s="135"/>
      <c r="U7286" s="135"/>
    </row>
    <row r="7287" spans="20:21" ht="15" customHeight="1" x14ac:dyDescent="0.25">
      <c r="T7287" s="135"/>
      <c r="U7287" s="135"/>
    </row>
    <row r="7288" spans="20:21" ht="15" customHeight="1" x14ac:dyDescent="0.25">
      <c r="T7288" s="135"/>
      <c r="U7288" s="135"/>
    </row>
    <row r="7289" spans="20:21" ht="15" customHeight="1" x14ac:dyDescent="0.25">
      <c r="T7289" s="135"/>
      <c r="U7289" s="135"/>
    </row>
    <row r="7290" spans="20:21" ht="15" customHeight="1" x14ac:dyDescent="0.25">
      <c r="T7290" s="135"/>
      <c r="U7290" s="135"/>
    </row>
    <row r="7291" spans="20:21" ht="15" customHeight="1" x14ac:dyDescent="0.25">
      <c r="T7291" s="135"/>
      <c r="U7291" s="135"/>
    </row>
    <row r="7292" spans="20:21" ht="15" customHeight="1" x14ac:dyDescent="0.25">
      <c r="T7292" s="135"/>
      <c r="U7292" s="135"/>
    </row>
    <row r="7293" spans="20:21" ht="15" customHeight="1" x14ac:dyDescent="0.25">
      <c r="T7293" s="135"/>
      <c r="U7293" s="135"/>
    </row>
    <row r="7294" spans="20:21" ht="15" customHeight="1" x14ac:dyDescent="0.25">
      <c r="T7294" s="135"/>
      <c r="U7294" s="135"/>
    </row>
    <row r="7295" spans="20:21" ht="15" customHeight="1" x14ac:dyDescent="0.25">
      <c r="T7295" s="135"/>
      <c r="U7295" s="135"/>
    </row>
    <row r="7296" spans="20:21" ht="15" customHeight="1" x14ac:dyDescent="0.25">
      <c r="T7296" s="135"/>
      <c r="U7296" s="135"/>
    </row>
    <row r="7297" spans="20:21" ht="15" customHeight="1" x14ac:dyDescent="0.25">
      <c r="T7297" s="135"/>
      <c r="U7297" s="135"/>
    </row>
    <row r="7298" spans="20:21" ht="15" customHeight="1" x14ac:dyDescent="0.25">
      <c r="T7298" s="135"/>
      <c r="U7298" s="135"/>
    </row>
    <row r="7299" spans="20:21" ht="15" customHeight="1" x14ac:dyDescent="0.25">
      <c r="T7299" s="135"/>
      <c r="U7299" s="135"/>
    </row>
    <row r="7300" spans="20:21" ht="15" customHeight="1" x14ac:dyDescent="0.25">
      <c r="T7300" s="135"/>
      <c r="U7300" s="135"/>
    </row>
    <row r="7301" spans="20:21" ht="15" customHeight="1" x14ac:dyDescent="0.25">
      <c r="T7301" s="135"/>
      <c r="U7301" s="135"/>
    </row>
    <row r="7302" spans="20:21" ht="15" customHeight="1" x14ac:dyDescent="0.25">
      <c r="T7302" s="135"/>
      <c r="U7302" s="135"/>
    </row>
    <row r="7303" spans="20:21" ht="15" customHeight="1" x14ac:dyDescent="0.25">
      <c r="T7303" s="135"/>
      <c r="U7303" s="135"/>
    </row>
    <row r="7304" spans="20:21" ht="15" customHeight="1" x14ac:dyDescent="0.25">
      <c r="T7304" s="135"/>
      <c r="U7304" s="135"/>
    </row>
    <row r="7305" spans="20:21" ht="15" customHeight="1" x14ac:dyDescent="0.25">
      <c r="T7305" s="135"/>
      <c r="U7305" s="135"/>
    </row>
    <row r="7306" spans="20:21" ht="15" customHeight="1" x14ac:dyDescent="0.25">
      <c r="T7306" s="135"/>
      <c r="U7306" s="135"/>
    </row>
    <row r="7307" spans="20:21" ht="15" customHeight="1" x14ac:dyDescent="0.25">
      <c r="T7307" s="135"/>
      <c r="U7307" s="135"/>
    </row>
    <row r="7308" spans="20:21" ht="15" customHeight="1" x14ac:dyDescent="0.25">
      <c r="T7308" s="135"/>
      <c r="U7308" s="135"/>
    </row>
    <row r="7309" spans="20:21" ht="15" customHeight="1" x14ac:dyDescent="0.25">
      <c r="T7309" s="135"/>
      <c r="U7309" s="135"/>
    </row>
    <row r="7310" spans="20:21" ht="15" customHeight="1" x14ac:dyDescent="0.25">
      <c r="T7310" s="135"/>
      <c r="U7310" s="135"/>
    </row>
    <row r="7311" spans="20:21" ht="15" customHeight="1" x14ac:dyDescent="0.25">
      <c r="T7311" s="135"/>
      <c r="U7311" s="135"/>
    </row>
    <row r="7312" spans="20:21" ht="15" customHeight="1" x14ac:dyDescent="0.25">
      <c r="T7312" s="135"/>
      <c r="U7312" s="135"/>
    </row>
    <row r="7313" spans="20:21" ht="15" customHeight="1" x14ac:dyDescent="0.25">
      <c r="T7313" s="135"/>
      <c r="U7313" s="135"/>
    </row>
    <row r="7314" spans="20:21" ht="15" customHeight="1" x14ac:dyDescent="0.25">
      <c r="T7314" s="135"/>
      <c r="U7314" s="135"/>
    </row>
    <row r="7315" spans="20:21" ht="15" customHeight="1" x14ac:dyDescent="0.25">
      <c r="T7315" s="135"/>
      <c r="U7315" s="135"/>
    </row>
    <row r="7316" spans="20:21" ht="15" customHeight="1" x14ac:dyDescent="0.25">
      <c r="T7316" s="135"/>
      <c r="U7316" s="135"/>
    </row>
    <row r="7317" spans="20:21" ht="15" customHeight="1" x14ac:dyDescent="0.25">
      <c r="T7317" s="135"/>
      <c r="U7317" s="135"/>
    </row>
    <row r="7318" spans="20:21" ht="15" customHeight="1" x14ac:dyDescent="0.25">
      <c r="T7318" s="135"/>
      <c r="U7318" s="135"/>
    </row>
    <row r="7319" spans="20:21" ht="15" customHeight="1" x14ac:dyDescent="0.25">
      <c r="T7319" s="135"/>
      <c r="U7319" s="135"/>
    </row>
    <row r="7320" spans="20:21" ht="15" customHeight="1" x14ac:dyDescent="0.25">
      <c r="T7320" s="135"/>
      <c r="U7320" s="135"/>
    </row>
    <row r="7321" spans="20:21" ht="15" customHeight="1" x14ac:dyDescent="0.25">
      <c r="T7321" s="135"/>
      <c r="U7321" s="135"/>
    </row>
    <row r="7322" spans="20:21" ht="15" customHeight="1" x14ac:dyDescent="0.25">
      <c r="T7322" s="135"/>
      <c r="U7322" s="135"/>
    </row>
    <row r="7323" spans="20:21" ht="15" customHeight="1" x14ac:dyDescent="0.25">
      <c r="T7323" s="135"/>
      <c r="U7323" s="135"/>
    </row>
    <row r="7324" spans="20:21" ht="15" customHeight="1" x14ac:dyDescent="0.25">
      <c r="T7324" s="135"/>
      <c r="U7324" s="135"/>
    </row>
    <row r="7325" spans="20:21" ht="15" customHeight="1" x14ac:dyDescent="0.25">
      <c r="T7325" s="135"/>
      <c r="U7325" s="135"/>
    </row>
    <row r="7326" spans="20:21" ht="15" customHeight="1" x14ac:dyDescent="0.25">
      <c r="T7326" s="135"/>
      <c r="U7326" s="135"/>
    </row>
    <row r="7327" spans="20:21" ht="15" customHeight="1" x14ac:dyDescent="0.25">
      <c r="T7327" s="135"/>
      <c r="U7327" s="135"/>
    </row>
    <row r="7328" spans="20:21" ht="15" customHeight="1" x14ac:dyDescent="0.25">
      <c r="T7328" s="135"/>
      <c r="U7328" s="135"/>
    </row>
    <row r="7329" spans="20:21" ht="15" customHeight="1" x14ac:dyDescent="0.25">
      <c r="T7329" s="135"/>
      <c r="U7329" s="135"/>
    </row>
    <row r="7330" spans="20:21" ht="15" customHeight="1" x14ac:dyDescent="0.25">
      <c r="T7330" s="135"/>
      <c r="U7330" s="135"/>
    </row>
    <row r="7331" spans="20:21" ht="15" customHeight="1" x14ac:dyDescent="0.25">
      <c r="T7331" s="135"/>
      <c r="U7331" s="135"/>
    </row>
    <row r="7332" spans="20:21" ht="15" customHeight="1" x14ac:dyDescent="0.25">
      <c r="T7332" s="135"/>
      <c r="U7332" s="135"/>
    </row>
    <row r="7333" spans="20:21" ht="15" customHeight="1" x14ac:dyDescent="0.25">
      <c r="T7333" s="135"/>
      <c r="U7333" s="135"/>
    </row>
    <row r="7334" spans="20:21" ht="15" customHeight="1" x14ac:dyDescent="0.25">
      <c r="T7334" s="135"/>
      <c r="U7334" s="135"/>
    </row>
    <row r="7335" spans="20:21" ht="15" customHeight="1" x14ac:dyDescent="0.25">
      <c r="T7335" s="135"/>
      <c r="U7335" s="135"/>
    </row>
    <row r="7336" spans="20:21" ht="15" customHeight="1" x14ac:dyDescent="0.25">
      <c r="T7336" s="135"/>
      <c r="U7336" s="135"/>
    </row>
    <row r="7337" spans="20:21" ht="15" customHeight="1" x14ac:dyDescent="0.25">
      <c r="T7337" s="135"/>
      <c r="U7337" s="135"/>
    </row>
    <row r="7338" spans="20:21" ht="15" customHeight="1" x14ac:dyDescent="0.25">
      <c r="T7338" s="135"/>
      <c r="U7338" s="135"/>
    </row>
    <row r="7339" spans="20:21" ht="15" customHeight="1" x14ac:dyDescent="0.25">
      <c r="T7339" s="135"/>
      <c r="U7339" s="135"/>
    </row>
    <row r="7340" spans="20:21" ht="15" customHeight="1" x14ac:dyDescent="0.25">
      <c r="T7340" s="135"/>
      <c r="U7340" s="135"/>
    </row>
    <row r="7341" spans="20:21" ht="15" customHeight="1" x14ac:dyDescent="0.25">
      <c r="T7341" s="135"/>
      <c r="U7341" s="135"/>
    </row>
    <row r="7342" spans="20:21" ht="15" customHeight="1" x14ac:dyDescent="0.25">
      <c r="T7342" s="135"/>
      <c r="U7342" s="135"/>
    </row>
    <row r="7343" spans="20:21" ht="15" customHeight="1" x14ac:dyDescent="0.25">
      <c r="T7343" s="135"/>
      <c r="U7343" s="135"/>
    </row>
    <row r="7344" spans="20:21" ht="15" customHeight="1" x14ac:dyDescent="0.25">
      <c r="T7344" s="135"/>
      <c r="U7344" s="135"/>
    </row>
    <row r="7345" spans="20:21" ht="15" customHeight="1" x14ac:dyDescent="0.25">
      <c r="T7345" s="135"/>
      <c r="U7345" s="135"/>
    </row>
    <row r="7346" spans="20:21" ht="15" customHeight="1" x14ac:dyDescent="0.25">
      <c r="T7346" s="135"/>
      <c r="U7346" s="135"/>
    </row>
    <row r="7347" spans="20:21" ht="15" customHeight="1" x14ac:dyDescent="0.25">
      <c r="T7347" s="135"/>
      <c r="U7347" s="135"/>
    </row>
    <row r="7348" spans="20:21" ht="15" customHeight="1" x14ac:dyDescent="0.25">
      <c r="T7348" s="135"/>
      <c r="U7348" s="135"/>
    </row>
    <row r="7349" spans="20:21" ht="15" customHeight="1" x14ac:dyDescent="0.25">
      <c r="T7349" s="135"/>
      <c r="U7349" s="135"/>
    </row>
    <row r="7350" spans="20:21" ht="15" customHeight="1" x14ac:dyDescent="0.25">
      <c r="T7350" s="135"/>
      <c r="U7350" s="135"/>
    </row>
    <row r="7351" spans="20:21" ht="15" customHeight="1" x14ac:dyDescent="0.25">
      <c r="T7351" s="135"/>
      <c r="U7351" s="135"/>
    </row>
    <row r="7352" spans="20:21" ht="15" customHeight="1" x14ac:dyDescent="0.25">
      <c r="T7352" s="135"/>
      <c r="U7352" s="135"/>
    </row>
    <row r="7353" spans="20:21" ht="15" customHeight="1" x14ac:dyDescent="0.25">
      <c r="T7353" s="135"/>
      <c r="U7353" s="135"/>
    </row>
    <row r="7354" spans="20:21" ht="15" customHeight="1" x14ac:dyDescent="0.25">
      <c r="T7354" s="135"/>
      <c r="U7354" s="135"/>
    </row>
    <row r="7355" spans="20:21" ht="15" customHeight="1" x14ac:dyDescent="0.25">
      <c r="T7355" s="135"/>
      <c r="U7355" s="135"/>
    </row>
    <row r="7356" spans="20:21" ht="15" customHeight="1" x14ac:dyDescent="0.25">
      <c r="T7356" s="135"/>
      <c r="U7356" s="135"/>
    </row>
    <row r="7357" spans="20:21" ht="15" customHeight="1" x14ac:dyDescent="0.25">
      <c r="T7357" s="135"/>
      <c r="U7357" s="135"/>
    </row>
    <row r="7358" spans="20:21" ht="15" customHeight="1" x14ac:dyDescent="0.25">
      <c r="T7358" s="135"/>
      <c r="U7358" s="135"/>
    </row>
    <row r="7359" spans="20:21" ht="15" customHeight="1" x14ac:dyDescent="0.25">
      <c r="T7359" s="135"/>
      <c r="U7359" s="135"/>
    </row>
    <row r="7360" spans="20:21" ht="15" customHeight="1" x14ac:dyDescent="0.25">
      <c r="T7360" s="135"/>
      <c r="U7360" s="135"/>
    </row>
    <row r="7361" spans="20:21" ht="15" customHeight="1" x14ac:dyDescent="0.25">
      <c r="T7361" s="135"/>
      <c r="U7361" s="135"/>
    </row>
    <row r="7362" spans="20:21" ht="15" customHeight="1" x14ac:dyDescent="0.25">
      <c r="T7362" s="135"/>
      <c r="U7362" s="135"/>
    </row>
    <row r="7363" spans="20:21" ht="15" customHeight="1" x14ac:dyDescent="0.25">
      <c r="T7363" s="135"/>
      <c r="U7363" s="135"/>
    </row>
    <row r="7364" spans="20:21" ht="15" customHeight="1" x14ac:dyDescent="0.25">
      <c r="T7364" s="135"/>
      <c r="U7364" s="135"/>
    </row>
    <row r="7365" spans="20:21" ht="15" customHeight="1" x14ac:dyDescent="0.25">
      <c r="T7365" s="135"/>
      <c r="U7365" s="135"/>
    </row>
    <row r="7366" spans="20:21" ht="15" customHeight="1" x14ac:dyDescent="0.25">
      <c r="T7366" s="135"/>
      <c r="U7366" s="135"/>
    </row>
    <row r="7367" spans="20:21" ht="15" customHeight="1" x14ac:dyDescent="0.25">
      <c r="T7367" s="135"/>
      <c r="U7367" s="135"/>
    </row>
    <row r="7368" spans="20:21" ht="15" customHeight="1" x14ac:dyDescent="0.25">
      <c r="T7368" s="135"/>
      <c r="U7368" s="135"/>
    </row>
    <row r="7369" spans="20:21" ht="15" customHeight="1" x14ac:dyDescent="0.25">
      <c r="T7369" s="135"/>
      <c r="U7369" s="135"/>
    </row>
    <row r="7370" spans="20:21" ht="15" customHeight="1" x14ac:dyDescent="0.25">
      <c r="T7370" s="135"/>
      <c r="U7370" s="135"/>
    </row>
    <row r="7371" spans="20:21" ht="15" customHeight="1" x14ac:dyDescent="0.25">
      <c r="T7371" s="135"/>
      <c r="U7371" s="135"/>
    </row>
    <row r="7372" spans="20:21" ht="15" customHeight="1" x14ac:dyDescent="0.25">
      <c r="T7372" s="135"/>
      <c r="U7372" s="135"/>
    </row>
    <row r="7373" spans="20:21" ht="15" customHeight="1" x14ac:dyDescent="0.25">
      <c r="T7373" s="135"/>
      <c r="U7373" s="135"/>
    </row>
    <row r="7374" spans="20:21" ht="15" customHeight="1" x14ac:dyDescent="0.25">
      <c r="T7374" s="135"/>
      <c r="U7374" s="135"/>
    </row>
    <row r="7375" spans="20:21" ht="15" customHeight="1" x14ac:dyDescent="0.25">
      <c r="T7375" s="135"/>
      <c r="U7375" s="135"/>
    </row>
    <row r="7376" spans="20:21" ht="15" customHeight="1" x14ac:dyDescent="0.25">
      <c r="T7376" s="135"/>
      <c r="U7376" s="135"/>
    </row>
    <row r="7377" spans="20:21" ht="15" customHeight="1" x14ac:dyDescent="0.25">
      <c r="T7377" s="135"/>
      <c r="U7377" s="135"/>
    </row>
    <row r="7378" spans="20:21" ht="15" customHeight="1" x14ac:dyDescent="0.25">
      <c r="T7378" s="135"/>
      <c r="U7378" s="135"/>
    </row>
    <row r="7379" spans="20:21" ht="15" customHeight="1" x14ac:dyDescent="0.25">
      <c r="T7379" s="135"/>
      <c r="U7379" s="135"/>
    </row>
    <row r="7380" spans="20:21" ht="15" customHeight="1" x14ac:dyDescent="0.25">
      <c r="T7380" s="135"/>
      <c r="U7380" s="135"/>
    </row>
    <row r="7381" spans="20:21" ht="15" customHeight="1" x14ac:dyDescent="0.25">
      <c r="T7381" s="135"/>
      <c r="U7381" s="135"/>
    </row>
    <row r="7382" spans="20:21" ht="15" customHeight="1" x14ac:dyDescent="0.25">
      <c r="T7382" s="135"/>
      <c r="U7382" s="135"/>
    </row>
    <row r="7383" spans="20:21" ht="15" customHeight="1" x14ac:dyDescent="0.25">
      <c r="T7383" s="135"/>
      <c r="U7383" s="135"/>
    </row>
    <row r="7384" spans="20:21" ht="15" customHeight="1" x14ac:dyDescent="0.25">
      <c r="T7384" s="135"/>
      <c r="U7384" s="135"/>
    </row>
    <row r="7385" spans="20:21" ht="15" customHeight="1" x14ac:dyDescent="0.25">
      <c r="T7385" s="135"/>
      <c r="U7385" s="135"/>
    </row>
    <row r="7386" spans="20:21" ht="15" customHeight="1" x14ac:dyDescent="0.25">
      <c r="T7386" s="135"/>
      <c r="U7386" s="135"/>
    </row>
    <row r="7387" spans="20:21" ht="15" customHeight="1" x14ac:dyDescent="0.25">
      <c r="T7387" s="135"/>
      <c r="U7387" s="135"/>
    </row>
    <row r="7388" spans="20:21" ht="15" customHeight="1" x14ac:dyDescent="0.25">
      <c r="T7388" s="135"/>
      <c r="U7388" s="135"/>
    </row>
    <row r="7389" spans="20:21" ht="15" customHeight="1" x14ac:dyDescent="0.25">
      <c r="T7389" s="135"/>
      <c r="U7389" s="135"/>
    </row>
    <row r="7390" spans="20:21" ht="15" customHeight="1" x14ac:dyDescent="0.25">
      <c r="T7390" s="135"/>
      <c r="U7390" s="135"/>
    </row>
    <row r="7391" spans="20:21" ht="15" customHeight="1" x14ac:dyDescent="0.25">
      <c r="T7391" s="135"/>
      <c r="U7391" s="135"/>
    </row>
    <row r="7392" spans="20:21" ht="15" customHeight="1" x14ac:dyDescent="0.25">
      <c r="T7392" s="135"/>
      <c r="U7392" s="135"/>
    </row>
    <row r="7393" spans="20:21" ht="15" customHeight="1" x14ac:dyDescent="0.25">
      <c r="T7393" s="135"/>
      <c r="U7393" s="135"/>
    </row>
    <row r="7394" spans="20:21" ht="15" customHeight="1" x14ac:dyDescent="0.25">
      <c r="T7394" s="135"/>
      <c r="U7394" s="135"/>
    </row>
    <row r="7395" spans="20:21" ht="15" customHeight="1" x14ac:dyDescent="0.25">
      <c r="T7395" s="135"/>
      <c r="U7395" s="135"/>
    </row>
    <row r="7396" spans="20:21" ht="15" customHeight="1" x14ac:dyDescent="0.25">
      <c r="T7396" s="135"/>
      <c r="U7396" s="135"/>
    </row>
    <row r="7397" spans="20:21" ht="15" customHeight="1" x14ac:dyDescent="0.25">
      <c r="T7397" s="135"/>
      <c r="U7397" s="135"/>
    </row>
    <row r="7398" spans="20:21" ht="15" customHeight="1" x14ac:dyDescent="0.25">
      <c r="T7398" s="135"/>
      <c r="U7398" s="135"/>
    </row>
    <row r="7399" spans="20:21" ht="15" customHeight="1" x14ac:dyDescent="0.25">
      <c r="T7399" s="135"/>
      <c r="U7399" s="135"/>
    </row>
    <row r="7400" spans="20:21" ht="15" customHeight="1" x14ac:dyDescent="0.25">
      <c r="T7400" s="135"/>
      <c r="U7400" s="135"/>
    </row>
    <row r="7401" spans="20:21" ht="15" customHeight="1" x14ac:dyDescent="0.25">
      <c r="T7401" s="135"/>
      <c r="U7401" s="135"/>
    </row>
    <row r="7402" spans="20:21" ht="15" customHeight="1" x14ac:dyDescent="0.25">
      <c r="T7402" s="135"/>
      <c r="U7402" s="135"/>
    </row>
    <row r="7403" spans="20:21" ht="15" customHeight="1" x14ac:dyDescent="0.25">
      <c r="T7403" s="135"/>
      <c r="U7403" s="135"/>
    </row>
    <row r="7404" spans="20:21" ht="15" customHeight="1" x14ac:dyDescent="0.25">
      <c r="T7404" s="135"/>
      <c r="U7404" s="135"/>
    </row>
    <row r="7405" spans="20:21" ht="15" customHeight="1" x14ac:dyDescent="0.25">
      <c r="T7405" s="135"/>
      <c r="U7405" s="135"/>
    </row>
    <row r="7406" spans="20:21" ht="15" customHeight="1" x14ac:dyDescent="0.25">
      <c r="T7406" s="135"/>
      <c r="U7406" s="135"/>
    </row>
    <row r="7407" spans="20:21" ht="15" customHeight="1" x14ac:dyDescent="0.25">
      <c r="T7407" s="135"/>
      <c r="U7407" s="135"/>
    </row>
    <row r="7408" spans="20:21" ht="15" customHeight="1" x14ac:dyDescent="0.25">
      <c r="T7408" s="135"/>
      <c r="U7408" s="135"/>
    </row>
    <row r="7409" spans="20:21" ht="15" customHeight="1" x14ac:dyDescent="0.25">
      <c r="T7409" s="135"/>
      <c r="U7409" s="135"/>
    </row>
    <row r="7410" spans="20:21" ht="15" customHeight="1" x14ac:dyDescent="0.25">
      <c r="T7410" s="135"/>
      <c r="U7410" s="135"/>
    </row>
    <row r="7411" spans="20:21" ht="15" customHeight="1" x14ac:dyDescent="0.25">
      <c r="T7411" s="135"/>
      <c r="U7411" s="135"/>
    </row>
    <row r="7412" spans="20:21" ht="15" customHeight="1" x14ac:dyDescent="0.25">
      <c r="T7412" s="135"/>
      <c r="U7412" s="135"/>
    </row>
    <row r="7413" spans="20:21" ht="15" customHeight="1" x14ac:dyDescent="0.25">
      <c r="T7413" s="135"/>
      <c r="U7413" s="135"/>
    </row>
    <row r="7414" spans="20:21" ht="15" customHeight="1" x14ac:dyDescent="0.25">
      <c r="T7414" s="135"/>
      <c r="U7414" s="135"/>
    </row>
    <row r="7415" spans="20:21" ht="15" customHeight="1" x14ac:dyDescent="0.25">
      <c r="T7415" s="135"/>
      <c r="U7415" s="135"/>
    </row>
    <row r="7416" spans="20:21" ht="15" customHeight="1" x14ac:dyDescent="0.25">
      <c r="T7416" s="135"/>
      <c r="U7416" s="135"/>
    </row>
    <row r="7417" spans="20:21" ht="15" customHeight="1" x14ac:dyDescent="0.25">
      <c r="T7417" s="135"/>
      <c r="U7417" s="135"/>
    </row>
    <row r="7418" spans="20:21" ht="15" customHeight="1" x14ac:dyDescent="0.25">
      <c r="T7418" s="135"/>
      <c r="U7418" s="135"/>
    </row>
    <row r="7419" spans="20:21" ht="15" customHeight="1" x14ac:dyDescent="0.25">
      <c r="T7419" s="135"/>
      <c r="U7419" s="135"/>
    </row>
    <row r="7420" spans="20:21" ht="15" customHeight="1" x14ac:dyDescent="0.25">
      <c r="T7420" s="135"/>
      <c r="U7420" s="135"/>
    </row>
    <row r="7421" spans="20:21" ht="15" customHeight="1" x14ac:dyDescent="0.25">
      <c r="T7421" s="135"/>
      <c r="U7421" s="135"/>
    </row>
    <row r="7422" spans="20:21" ht="15" customHeight="1" x14ac:dyDescent="0.25">
      <c r="T7422" s="135"/>
      <c r="U7422" s="135"/>
    </row>
    <row r="7423" spans="20:21" ht="15" customHeight="1" x14ac:dyDescent="0.25">
      <c r="T7423" s="135"/>
      <c r="U7423" s="135"/>
    </row>
    <row r="7424" spans="20:21" ht="15" customHeight="1" x14ac:dyDescent="0.25">
      <c r="T7424" s="135"/>
      <c r="U7424" s="135"/>
    </row>
    <row r="7425" spans="20:21" ht="15" customHeight="1" x14ac:dyDescent="0.25">
      <c r="T7425" s="135"/>
      <c r="U7425" s="135"/>
    </row>
    <row r="7426" spans="20:21" ht="15" customHeight="1" x14ac:dyDescent="0.25">
      <c r="T7426" s="135"/>
      <c r="U7426" s="135"/>
    </row>
    <row r="7427" spans="20:21" ht="15" customHeight="1" x14ac:dyDescent="0.25">
      <c r="T7427" s="135"/>
      <c r="U7427" s="135"/>
    </row>
    <row r="7428" spans="20:21" ht="15" customHeight="1" x14ac:dyDescent="0.25">
      <c r="T7428" s="135"/>
      <c r="U7428" s="135"/>
    </row>
    <row r="7429" spans="20:21" ht="15" customHeight="1" x14ac:dyDescent="0.25">
      <c r="T7429" s="135"/>
      <c r="U7429" s="135"/>
    </row>
    <row r="7430" spans="20:21" ht="15" customHeight="1" x14ac:dyDescent="0.25">
      <c r="T7430" s="135"/>
      <c r="U7430" s="135"/>
    </row>
    <row r="7431" spans="20:21" ht="15" customHeight="1" x14ac:dyDescent="0.25">
      <c r="T7431" s="135"/>
      <c r="U7431" s="135"/>
    </row>
    <row r="7432" spans="20:21" ht="15" customHeight="1" x14ac:dyDescent="0.25">
      <c r="T7432" s="135"/>
      <c r="U7432" s="135"/>
    </row>
    <row r="7433" spans="20:21" ht="15" customHeight="1" x14ac:dyDescent="0.25">
      <c r="T7433" s="135"/>
      <c r="U7433" s="135"/>
    </row>
    <row r="7434" spans="20:21" ht="15" customHeight="1" x14ac:dyDescent="0.25">
      <c r="T7434" s="135"/>
      <c r="U7434" s="135"/>
    </row>
    <row r="7435" spans="20:21" ht="15" customHeight="1" x14ac:dyDescent="0.25">
      <c r="T7435" s="135"/>
      <c r="U7435" s="135"/>
    </row>
    <row r="7436" spans="20:21" ht="15" customHeight="1" x14ac:dyDescent="0.25">
      <c r="T7436" s="135"/>
      <c r="U7436" s="135"/>
    </row>
    <row r="7437" spans="20:21" ht="15" customHeight="1" x14ac:dyDescent="0.25">
      <c r="T7437" s="135"/>
      <c r="U7437" s="135"/>
    </row>
    <row r="7438" spans="20:21" ht="15" customHeight="1" x14ac:dyDescent="0.25">
      <c r="T7438" s="135"/>
      <c r="U7438" s="135"/>
    </row>
    <row r="7439" spans="20:21" ht="15" customHeight="1" x14ac:dyDescent="0.25">
      <c r="T7439" s="135"/>
      <c r="U7439" s="135"/>
    </row>
    <row r="7440" spans="20:21" ht="15" customHeight="1" x14ac:dyDescent="0.25">
      <c r="T7440" s="135"/>
      <c r="U7440" s="135"/>
    </row>
    <row r="7441" spans="20:21" ht="15" customHeight="1" x14ac:dyDescent="0.25">
      <c r="T7441" s="135"/>
      <c r="U7441" s="135"/>
    </row>
    <row r="7442" spans="20:21" ht="15" customHeight="1" x14ac:dyDescent="0.25">
      <c r="T7442" s="135"/>
      <c r="U7442" s="135"/>
    </row>
    <row r="7443" spans="20:21" ht="15" customHeight="1" x14ac:dyDescent="0.25">
      <c r="T7443" s="135"/>
      <c r="U7443" s="135"/>
    </row>
    <row r="7444" spans="20:21" ht="15" customHeight="1" x14ac:dyDescent="0.25">
      <c r="T7444" s="135"/>
      <c r="U7444" s="135"/>
    </row>
    <row r="7445" spans="20:21" ht="15" customHeight="1" x14ac:dyDescent="0.25">
      <c r="T7445" s="135"/>
      <c r="U7445" s="135"/>
    </row>
    <row r="7446" spans="20:21" ht="15" customHeight="1" x14ac:dyDescent="0.25">
      <c r="T7446" s="135"/>
      <c r="U7446" s="135"/>
    </row>
    <row r="7447" spans="20:21" ht="15" customHeight="1" x14ac:dyDescent="0.25">
      <c r="T7447" s="135"/>
      <c r="U7447" s="135"/>
    </row>
    <row r="7448" spans="20:21" ht="15" customHeight="1" x14ac:dyDescent="0.25">
      <c r="T7448" s="135"/>
      <c r="U7448" s="135"/>
    </row>
    <row r="7449" spans="20:21" ht="15" customHeight="1" x14ac:dyDescent="0.25">
      <c r="T7449" s="135"/>
      <c r="U7449" s="135"/>
    </row>
    <row r="7450" spans="20:21" ht="15" customHeight="1" x14ac:dyDescent="0.25">
      <c r="T7450" s="135"/>
      <c r="U7450" s="135"/>
    </row>
    <row r="7451" spans="20:21" ht="15" customHeight="1" x14ac:dyDescent="0.25">
      <c r="T7451" s="135"/>
      <c r="U7451" s="135"/>
    </row>
    <row r="7452" spans="20:21" ht="15" customHeight="1" x14ac:dyDescent="0.25">
      <c r="T7452" s="135"/>
      <c r="U7452" s="135"/>
    </row>
    <row r="7453" spans="20:21" ht="15" customHeight="1" x14ac:dyDescent="0.25">
      <c r="T7453" s="135"/>
      <c r="U7453" s="135"/>
    </row>
    <row r="7454" spans="20:21" ht="15" customHeight="1" x14ac:dyDescent="0.25">
      <c r="T7454" s="135"/>
      <c r="U7454" s="135"/>
    </row>
    <row r="7455" spans="20:21" ht="15" customHeight="1" x14ac:dyDescent="0.25">
      <c r="T7455" s="135"/>
      <c r="U7455" s="135"/>
    </row>
    <row r="7456" spans="20:21" ht="15" customHeight="1" x14ac:dyDescent="0.25">
      <c r="T7456" s="135"/>
      <c r="U7456" s="135"/>
    </row>
    <row r="7457" spans="20:21" ht="15" customHeight="1" x14ac:dyDescent="0.25">
      <c r="T7457" s="135"/>
      <c r="U7457" s="135"/>
    </row>
    <row r="7458" spans="20:21" ht="15" customHeight="1" x14ac:dyDescent="0.25">
      <c r="T7458" s="135"/>
      <c r="U7458" s="135"/>
    </row>
    <row r="7459" spans="20:21" ht="15" customHeight="1" x14ac:dyDescent="0.25">
      <c r="T7459" s="135"/>
      <c r="U7459" s="135"/>
    </row>
    <row r="7460" spans="20:21" ht="15" customHeight="1" x14ac:dyDescent="0.25">
      <c r="T7460" s="135"/>
      <c r="U7460" s="135"/>
    </row>
    <row r="7461" spans="20:21" ht="15" customHeight="1" x14ac:dyDescent="0.25">
      <c r="T7461" s="135"/>
      <c r="U7461" s="135"/>
    </row>
    <row r="7462" spans="20:21" ht="15" customHeight="1" x14ac:dyDescent="0.25">
      <c r="T7462" s="135"/>
      <c r="U7462" s="135"/>
    </row>
    <row r="7463" spans="20:21" ht="15" customHeight="1" x14ac:dyDescent="0.25">
      <c r="T7463" s="135"/>
      <c r="U7463" s="135"/>
    </row>
    <row r="7464" spans="20:21" ht="15" customHeight="1" x14ac:dyDescent="0.25">
      <c r="T7464" s="135"/>
      <c r="U7464" s="135"/>
    </row>
    <row r="7465" spans="20:21" ht="15" customHeight="1" x14ac:dyDescent="0.25">
      <c r="T7465" s="135"/>
      <c r="U7465" s="135"/>
    </row>
    <row r="7466" spans="20:21" ht="15" customHeight="1" x14ac:dyDescent="0.25">
      <c r="T7466" s="135"/>
      <c r="U7466" s="135"/>
    </row>
    <row r="7467" spans="20:21" ht="15" customHeight="1" x14ac:dyDescent="0.25">
      <c r="T7467" s="135"/>
      <c r="U7467" s="135"/>
    </row>
    <row r="7468" spans="20:21" ht="15" customHeight="1" x14ac:dyDescent="0.25">
      <c r="T7468" s="135"/>
      <c r="U7468" s="135"/>
    </row>
    <row r="7469" spans="20:21" ht="15" customHeight="1" x14ac:dyDescent="0.25">
      <c r="T7469" s="135"/>
      <c r="U7469" s="135"/>
    </row>
    <row r="7470" spans="20:21" ht="15" customHeight="1" x14ac:dyDescent="0.25">
      <c r="T7470" s="135"/>
      <c r="U7470" s="135"/>
    </row>
    <row r="7471" spans="20:21" ht="15" customHeight="1" x14ac:dyDescent="0.25">
      <c r="T7471" s="135"/>
      <c r="U7471" s="135"/>
    </row>
    <row r="7472" spans="20:21" ht="15" customHeight="1" x14ac:dyDescent="0.25">
      <c r="T7472" s="135"/>
      <c r="U7472" s="135"/>
    </row>
    <row r="7473" spans="20:21" ht="15" customHeight="1" x14ac:dyDescent="0.25">
      <c r="T7473" s="135"/>
      <c r="U7473" s="135"/>
    </row>
    <row r="7474" spans="20:21" ht="15" customHeight="1" x14ac:dyDescent="0.25">
      <c r="T7474" s="135"/>
      <c r="U7474" s="135"/>
    </row>
    <row r="7475" spans="20:21" ht="15" customHeight="1" x14ac:dyDescent="0.25">
      <c r="T7475" s="135"/>
      <c r="U7475" s="135"/>
    </row>
    <row r="7476" spans="20:21" ht="15" customHeight="1" x14ac:dyDescent="0.25">
      <c r="T7476" s="135"/>
      <c r="U7476" s="135"/>
    </row>
    <row r="7477" spans="20:21" ht="15" customHeight="1" x14ac:dyDescent="0.25">
      <c r="T7477" s="135"/>
      <c r="U7477" s="135"/>
    </row>
    <row r="7478" spans="20:21" ht="15" customHeight="1" x14ac:dyDescent="0.25">
      <c r="T7478" s="135"/>
      <c r="U7478" s="135"/>
    </row>
    <row r="7479" spans="20:21" ht="15" customHeight="1" x14ac:dyDescent="0.25">
      <c r="T7479" s="135"/>
      <c r="U7479" s="135"/>
    </row>
    <row r="7480" spans="20:21" ht="15" customHeight="1" x14ac:dyDescent="0.25">
      <c r="T7480" s="135"/>
      <c r="U7480" s="135"/>
    </row>
    <row r="7481" spans="20:21" ht="15" customHeight="1" x14ac:dyDescent="0.25">
      <c r="T7481" s="135"/>
      <c r="U7481" s="135"/>
    </row>
    <row r="7482" spans="20:21" ht="15" customHeight="1" x14ac:dyDescent="0.25">
      <c r="T7482" s="135"/>
      <c r="U7482" s="135"/>
    </row>
    <row r="7483" spans="20:21" ht="15" customHeight="1" x14ac:dyDescent="0.25">
      <c r="T7483" s="135"/>
      <c r="U7483" s="135"/>
    </row>
    <row r="7484" spans="20:21" ht="15" customHeight="1" x14ac:dyDescent="0.25">
      <c r="T7484" s="135"/>
      <c r="U7484" s="135"/>
    </row>
    <row r="7485" spans="20:21" ht="15" customHeight="1" x14ac:dyDescent="0.25">
      <c r="T7485" s="135"/>
      <c r="U7485" s="135"/>
    </row>
    <row r="7486" spans="20:21" ht="15" customHeight="1" x14ac:dyDescent="0.25">
      <c r="T7486" s="135"/>
      <c r="U7486" s="135"/>
    </row>
    <row r="7487" spans="20:21" ht="15" customHeight="1" x14ac:dyDescent="0.25">
      <c r="T7487" s="135"/>
      <c r="U7487" s="135"/>
    </row>
    <row r="7488" spans="20:21" ht="15" customHeight="1" x14ac:dyDescent="0.25">
      <c r="T7488" s="135"/>
      <c r="U7488" s="135"/>
    </row>
    <row r="7489" spans="20:21" ht="15" customHeight="1" x14ac:dyDescent="0.25">
      <c r="T7489" s="135"/>
      <c r="U7489" s="135"/>
    </row>
    <row r="7490" spans="20:21" ht="15" customHeight="1" x14ac:dyDescent="0.25">
      <c r="T7490" s="135"/>
      <c r="U7490" s="135"/>
    </row>
    <row r="7491" spans="20:21" ht="15" customHeight="1" x14ac:dyDescent="0.25">
      <c r="T7491" s="135"/>
      <c r="U7491" s="135"/>
    </row>
    <row r="7492" spans="20:21" ht="15" customHeight="1" x14ac:dyDescent="0.25">
      <c r="T7492" s="135"/>
      <c r="U7492" s="135"/>
    </row>
    <row r="7493" spans="20:21" ht="15" customHeight="1" x14ac:dyDescent="0.25">
      <c r="T7493" s="135"/>
      <c r="U7493" s="135"/>
    </row>
    <row r="7494" spans="20:21" ht="15" customHeight="1" x14ac:dyDescent="0.25">
      <c r="T7494" s="135"/>
      <c r="U7494" s="135"/>
    </row>
    <row r="7495" spans="20:21" ht="15" customHeight="1" x14ac:dyDescent="0.25">
      <c r="T7495" s="135"/>
      <c r="U7495" s="135"/>
    </row>
    <row r="7496" spans="20:21" ht="15" customHeight="1" x14ac:dyDescent="0.25">
      <c r="T7496" s="135"/>
      <c r="U7496" s="135"/>
    </row>
    <row r="7497" spans="20:21" ht="15" customHeight="1" x14ac:dyDescent="0.25">
      <c r="T7497" s="135"/>
      <c r="U7497" s="135"/>
    </row>
    <row r="7498" spans="20:21" ht="15" customHeight="1" x14ac:dyDescent="0.25">
      <c r="T7498" s="135"/>
      <c r="U7498" s="135"/>
    </row>
    <row r="7499" spans="20:21" ht="15" customHeight="1" x14ac:dyDescent="0.25">
      <c r="T7499" s="135"/>
      <c r="U7499" s="135"/>
    </row>
    <row r="7500" spans="20:21" ht="15" customHeight="1" x14ac:dyDescent="0.25">
      <c r="T7500" s="135"/>
      <c r="U7500" s="135"/>
    </row>
    <row r="7501" spans="20:21" ht="15" customHeight="1" x14ac:dyDescent="0.25">
      <c r="T7501" s="135"/>
      <c r="U7501" s="135"/>
    </row>
    <row r="7502" spans="20:21" ht="15" customHeight="1" x14ac:dyDescent="0.25">
      <c r="T7502" s="135"/>
      <c r="U7502" s="135"/>
    </row>
    <row r="7503" spans="20:21" ht="15" customHeight="1" x14ac:dyDescent="0.25">
      <c r="T7503" s="135"/>
      <c r="U7503" s="135"/>
    </row>
    <row r="7504" spans="20:21" ht="15" customHeight="1" x14ac:dyDescent="0.25">
      <c r="T7504" s="135"/>
      <c r="U7504" s="135"/>
    </row>
    <row r="7505" spans="20:21" ht="15" customHeight="1" x14ac:dyDescent="0.25">
      <c r="T7505" s="135"/>
      <c r="U7505" s="135"/>
    </row>
    <row r="7506" spans="20:21" ht="15" customHeight="1" x14ac:dyDescent="0.25">
      <c r="T7506" s="135"/>
      <c r="U7506" s="135"/>
    </row>
    <row r="7507" spans="20:21" ht="15" customHeight="1" x14ac:dyDescent="0.25">
      <c r="T7507" s="135"/>
      <c r="U7507" s="135"/>
    </row>
    <row r="7508" spans="20:21" ht="15" customHeight="1" x14ac:dyDescent="0.25">
      <c r="T7508" s="135"/>
      <c r="U7508" s="135"/>
    </row>
    <row r="7509" spans="20:21" ht="15" customHeight="1" x14ac:dyDescent="0.25">
      <c r="T7509" s="135"/>
      <c r="U7509" s="135"/>
    </row>
    <row r="7510" spans="20:21" ht="15" customHeight="1" x14ac:dyDescent="0.25">
      <c r="T7510" s="135"/>
      <c r="U7510" s="135"/>
    </row>
    <row r="7511" spans="20:21" ht="15" customHeight="1" x14ac:dyDescent="0.25">
      <c r="T7511" s="135"/>
      <c r="U7511" s="135"/>
    </row>
    <row r="7512" spans="20:21" ht="15" customHeight="1" x14ac:dyDescent="0.25">
      <c r="T7512" s="135"/>
      <c r="U7512" s="135"/>
    </row>
    <row r="7513" spans="20:21" ht="15" customHeight="1" x14ac:dyDescent="0.25">
      <c r="T7513" s="135"/>
      <c r="U7513" s="135"/>
    </row>
    <row r="7514" spans="20:21" ht="15" customHeight="1" x14ac:dyDescent="0.25">
      <c r="T7514" s="135"/>
      <c r="U7514" s="135"/>
    </row>
    <row r="7515" spans="20:21" ht="15" customHeight="1" x14ac:dyDescent="0.25">
      <c r="T7515" s="135"/>
      <c r="U7515" s="135"/>
    </row>
    <row r="7516" spans="20:21" ht="15" customHeight="1" x14ac:dyDescent="0.25">
      <c r="T7516" s="135"/>
      <c r="U7516" s="135"/>
    </row>
    <row r="7517" spans="20:21" ht="15" customHeight="1" x14ac:dyDescent="0.25">
      <c r="T7517" s="135"/>
      <c r="U7517" s="135"/>
    </row>
    <row r="7518" spans="20:21" ht="15" customHeight="1" x14ac:dyDescent="0.25">
      <c r="T7518" s="135"/>
      <c r="U7518" s="135"/>
    </row>
    <row r="7519" spans="20:21" ht="15" customHeight="1" x14ac:dyDescent="0.25">
      <c r="T7519" s="135"/>
      <c r="U7519" s="135"/>
    </row>
    <row r="7520" spans="20:21" ht="15" customHeight="1" x14ac:dyDescent="0.25">
      <c r="T7520" s="135"/>
      <c r="U7520" s="135"/>
    </row>
    <row r="7521" spans="20:21" ht="15" customHeight="1" x14ac:dyDescent="0.25">
      <c r="T7521" s="135"/>
      <c r="U7521" s="135"/>
    </row>
    <row r="7522" spans="20:21" ht="15" customHeight="1" x14ac:dyDescent="0.25">
      <c r="T7522" s="135"/>
      <c r="U7522" s="135"/>
    </row>
    <row r="7523" spans="20:21" ht="15" customHeight="1" x14ac:dyDescent="0.25">
      <c r="T7523" s="135"/>
      <c r="U7523" s="135"/>
    </row>
    <row r="7524" spans="20:21" ht="15" customHeight="1" x14ac:dyDescent="0.25">
      <c r="T7524" s="135"/>
      <c r="U7524" s="135"/>
    </row>
    <row r="7525" spans="20:21" ht="15" customHeight="1" x14ac:dyDescent="0.25">
      <c r="T7525" s="135"/>
      <c r="U7525" s="135"/>
    </row>
    <row r="7526" spans="20:21" ht="15" customHeight="1" x14ac:dyDescent="0.25">
      <c r="T7526" s="135"/>
      <c r="U7526" s="135"/>
    </row>
    <row r="7527" spans="20:21" ht="15" customHeight="1" x14ac:dyDescent="0.25">
      <c r="T7527" s="135"/>
      <c r="U7527" s="135"/>
    </row>
    <row r="7528" spans="20:21" ht="15" customHeight="1" x14ac:dyDescent="0.25">
      <c r="T7528" s="135"/>
      <c r="U7528" s="135"/>
    </row>
    <row r="7529" spans="20:21" ht="15" customHeight="1" x14ac:dyDescent="0.25">
      <c r="T7529" s="135"/>
      <c r="U7529" s="135"/>
    </row>
    <row r="7530" spans="20:21" ht="15" customHeight="1" x14ac:dyDescent="0.25">
      <c r="T7530" s="135"/>
      <c r="U7530" s="135"/>
    </row>
    <row r="7531" spans="20:21" ht="15" customHeight="1" x14ac:dyDescent="0.25">
      <c r="T7531" s="135"/>
      <c r="U7531" s="135"/>
    </row>
    <row r="7532" spans="20:21" ht="15" customHeight="1" x14ac:dyDescent="0.25">
      <c r="T7532" s="135"/>
      <c r="U7532" s="135"/>
    </row>
    <row r="7533" spans="20:21" ht="15" customHeight="1" x14ac:dyDescent="0.25">
      <c r="T7533" s="135"/>
      <c r="U7533" s="135"/>
    </row>
    <row r="7534" spans="20:21" ht="15" customHeight="1" x14ac:dyDescent="0.25">
      <c r="T7534" s="135"/>
      <c r="U7534" s="135"/>
    </row>
    <row r="7535" spans="20:21" ht="15" customHeight="1" x14ac:dyDescent="0.25">
      <c r="T7535" s="135"/>
      <c r="U7535" s="135"/>
    </row>
    <row r="7536" spans="20:21" ht="15" customHeight="1" x14ac:dyDescent="0.25">
      <c r="T7536" s="135"/>
      <c r="U7536" s="135"/>
    </row>
    <row r="7537" spans="20:21" ht="15" customHeight="1" x14ac:dyDescent="0.25">
      <c r="T7537" s="135"/>
      <c r="U7537" s="135"/>
    </row>
    <row r="7538" spans="20:21" ht="15" customHeight="1" x14ac:dyDescent="0.25">
      <c r="T7538" s="135"/>
      <c r="U7538" s="135"/>
    </row>
    <row r="7539" spans="20:21" ht="15" customHeight="1" x14ac:dyDescent="0.25">
      <c r="T7539" s="135"/>
      <c r="U7539" s="135"/>
    </row>
    <row r="7540" spans="20:21" ht="15" customHeight="1" x14ac:dyDescent="0.25">
      <c r="T7540" s="135"/>
      <c r="U7540" s="135"/>
    </row>
    <row r="7541" spans="20:21" ht="15" customHeight="1" x14ac:dyDescent="0.25">
      <c r="T7541" s="135"/>
      <c r="U7541" s="135"/>
    </row>
    <row r="7542" spans="20:21" ht="15" customHeight="1" x14ac:dyDescent="0.25">
      <c r="T7542" s="135"/>
      <c r="U7542" s="135"/>
    </row>
    <row r="7543" spans="20:21" ht="15" customHeight="1" x14ac:dyDescent="0.25">
      <c r="T7543" s="135"/>
      <c r="U7543" s="135"/>
    </row>
    <row r="7544" spans="20:21" ht="15" customHeight="1" x14ac:dyDescent="0.25">
      <c r="T7544" s="135"/>
      <c r="U7544" s="135"/>
    </row>
    <row r="7545" spans="20:21" ht="15" customHeight="1" x14ac:dyDescent="0.25">
      <c r="T7545" s="135"/>
      <c r="U7545" s="135"/>
    </row>
    <row r="7546" spans="20:21" ht="15" customHeight="1" x14ac:dyDescent="0.25">
      <c r="T7546" s="135"/>
      <c r="U7546" s="135"/>
    </row>
    <row r="7547" spans="20:21" ht="15" customHeight="1" x14ac:dyDescent="0.25">
      <c r="T7547" s="135"/>
      <c r="U7547" s="135"/>
    </row>
    <row r="7548" spans="20:21" ht="15" customHeight="1" x14ac:dyDescent="0.25">
      <c r="T7548" s="135"/>
      <c r="U7548" s="135"/>
    </row>
    <row r="7549" spans="20:21" ht="15" customHeight="1" x14ac:dyDescent="0.25">
      <c r="T7549" s="135"/>
      <c r="U7549" s="135"/>
    </row>
    <row r="7550" spans="20:21" ht="15" customHeight="1" x14ac:dyDescent="0.25">
      <c r="T7550" s="135"/>
      <c r="U7550" s="135"/>
    </row>
    <row r="7551" spans="20:21" ht="15" customHeight="1" x14ac:dyDescent="0.25">
      <c r="T7551" s="135"/>
      <c r="U7551" s="135"/>
    </row>
    <row r="7552" spans="20:21" ht="15" customHeight="1" x14ac:dyDescent="0.25">
      <c r="T7552" s="135"/>
      <c r="U7552" s="135"/>
    </row>
    <row r="7553" spans="20:21" ht="15" customHeight="1" x14ac:dyDescent="0.25">
      <c r="T7553" s="135"/>
      <c r="U7553" s="135"/>
    </row>
    <row r="7554" spans="20:21" ht="15" customHeight="1" x14ac:dyDescent="0.25">
      <c r="T7554" s="135"/>
      <c r="U7554" s="135"/>
    </row>
    <row r="7555" spans="20:21" ht="15" customHeight="1" x14ac:dyDescent="0.25">
      <c r="T7555" s="135"/>
      <c r="U7555" s="135"/>
    </row>
    <row r="7556" spans="20:21" ht="15" customHeight="1" x14ac:dyDescent="0.25">
      <c r="T7556" s="135"/>
      <c r="U7556" s="135"/>
    </row>
    <row r="7557" spans="20:21" ht="15" customHeight="1" x14ac:dyDescent="0.25">
      <c r="T7557" s="135"/>
      <c r="U7557" s="135"/>
    </row>
    <row r="7558" spans="20:21" ht="15" customHeight="1" x14ac:dyDescent="0.25">
      <c r="T7558" s="135"/>
      <c r="U7558" s="135"/>
    </row>
    <row r="7559" spans="20:21" ht="15" customHeight="1" x14ac:dyDescent="0.25">
      <c r="T7559" s="135"/>
      <c r="U7559" s="135"/>
    </row>
    <row r="7560" spans="20:21" ht="15" customHeight="1" x14ac:dyDescent="0.25">
      <c r="T7560" s="135"/>
      <c r="U7560" s="135"/>
    </row>
    <row r="7561" spans="20:21" ht="15" customHeight="1" x14ac:dyDescent="0.25">
      <c r="T7561" s="135"/>
      <c r="U7561" s="135"/>
    </row>
    <row r="7562" spans="20:21" ht="15" customHeight="1" x14ac:dyDescent="0.25">
      <c r="T7562" s="135"/>
      <c r="U7562" s="135"/>
    </row>
    <row r="7563" spans="20:21" ht="15" customHeight="1" x14ac:dyDescent="0.25">
      <c r="T7563" s="135"/>
      <c r="U7563" s="135"/>
    </row>
    <row r="7564" spans="20:21" ht="15" customHeight="1" x14ac:dyDescent="0.25">
      <c r="T7564" s="135"/>
      <c r="U7564" s="135"/>
    </row>
    <row r="7565" spans="20:21" ht="15" customHeight="1" x14ac:dyDescent="0.25">
      <c r="T7565" s="135"/>
      <c r="U7565" s="135"/>
    </row>
    <row r="7566" spans="20:21" ht="15" customHeight="1" x14ac:dyDescent="0.25">
      <c r="T7566" s="135"/>
      <c r="U7566" s="135"/>
    </row>
    <row r="7567" spans="20:21" ht="15" customHeight="1" x14ac:dyDescent="0.25">
      <c r="T7567" s="135"/>
      <c r="U7567" s="135"/>
    </row>
    <row r="7568" spans="20:21" ht="15" customHeight="1" x14ac:dyDescent="0.25">
      <c r="T7568" s="135"/>
      <c r="U7568" s="135"/>
    </row>
    <row r="7569" spans="20:21" ht="15" customHeight="1" x14ac:dyDescent="0.25">
      <c r="T7569" s="135"/>
      <c r="U7569" s="135"/>
    </row>
    <row r="7570" spans="20:21" ht="15" customHeight="1" x14ac:dyDescent="0.25">
      <c r="T7570" s="135"/>
      <c r="U7570" s="135"/>
    </row>
    <row r="7571" spans="20:21" ht="15" customHeight="1" x14ac:dyDescent="0.25">
      <c r="T7571" s="135"/>
      <c r="U7571" s="135"/>
    </row>
    <row r="7572" spans="20:21" ht="15" customHeight="1" x14ac:dyDescent="0.25">
      <c r="T7572" s="135"/>
      <c r="U7572" s="135"/>
    </row>
    <row r="7573" spans="20:21" ht="15" customHeight="1" x14ac:dyDescent="0.25">
      <c r="T7573" s="135"/>
      <c r="U7573" s="135"/>
    </row>
    <row r="7574" spans="20:21" ht="15" customHeight="1" x14ac:dyDescent="0.25">
      <c r="T7574" s="135"/>
      <c r="U7574" s="135"/>
    </row>
    <row r="7575" spans="20:21" ht="15" customHeight="1" x14ac:dyDescent="0.25">
      <c r="T7575" s="135"/>
      <c r="U7575" s="135"/>
    </row>
    <row r="7576" spans="20:21" ht="15" customHeight="1" x14ac:dyDescent="0.25">
      <c r="T7576" s="135"/>
      <c r="U7576" s="135"/>
    </row>
    <row r="7577" spans="20:21" ht="15" customHeight="1" x14ac:dyDescent="0.25">
      <c r="T7577" s="135"/>
      <c r="U7577" s="135"/>
    </row>
    <row r="7578" spans="20:21" ht="15" customHeight="1" x14ac:dyDescent="0.25">
      <c r="T7578" s="135"/>
      <c r="U7578" s="135"/>
    </row>
    <row r="7579" spans="20:21" ht="15" customHeight="1" x14ac:dyDescent="0.25">
      <c r="T7579" s="135"/>
      <c r="U7579" s="135"/>
    </row>
    <row r="7580" spans="20:21" ht="15" customHeight="1" x14ac:dyDescent="0.25">
      <c r="T7580" s="135"/>
      <c r="U7580" s="135"/>
    </row>
    <row r="7581" spans="20:21" ht="15" customHeight="1" x14ac:dyDescent="0.25">
      <c r="T7581" s="135"/>
      <c r="U7581" s="135"/>
    </row>
    <row r="7582" spans="20:21" ht="15" customHeight="1" x14ac:dyDescent="0.25">
      <c r="T7582" s="135"/>
      <c r="U7582" s="135"/>
    </row>
    <row r="7583" spans="20:21" ht="15" customHeight="1" x14ac:dyDescent="0.25">
      <c r="T7583" s="135"/>
      <c r="U7583" s="135"/>
    </row>
    <row r="7584" spans="20:21" ht="15" customHeight="1" x14ac:dyDescent="0.25">
      <c r="T7584" s="135"/>
      <c r="U7584" s="135"/>
    </row>
    <row r="7585" spans="20:21" ht="15" customHeight="1" x14ac:dyDescent="0.25">
      <c r="T7585" s="135"/>
      <c r="U7585" s="135"/>
    </row>
    <row r="7586" spans="20:21" ht="15" customHeight="1" x14ac:dyDescent="0.25">
      <c r="T7586" s="135"/>
      <c r="U7586" s="135"/>
    </row>
    <row r="7587" spans="20:21" ht="15" customHeight="1" x14ac:dyDescent="0.25">
      <c r="T7587" s="135"/>
      <c r="U7587" s="135"/>
    </row>
    <row r="7588" spans="20:21" ht="15" customHeight="1" x14ac:dyDescent="0.25">
      <c r="T7588" s="135"/>
      <c r="U7588" s="135"/>
    </row>
    <row r="7589" spans="20:21" ht="15" customHeight="1" x14ac:dyDescent="0.25">
      <c r="T7589" s="135"/>
      <c r="U7589" s="135"/>
    </row>
    <row r="7590" spans="20:21" ht="15" customHeight="1" x14ac:dyDescent="0.25">
      <c r="T7590" s="135"/>
      <c r="U7590" s="135"/>
    </row>
    <row r="7591" spans="20:21" ht="15" customHeight="1" x14ac:dyDescent="0.25">
      <c r="T7591" s="135"/>
      <c r="U7591" s="135"/>
    </row>
    <row r="7592" spans="20:21" ht="15" customHeight="1" x14ac:dyDescent="0.25">
      <c r="T7592" s="135"/>
      <c r="U7592" s="135"/>
    </row>
    <row r="7593" spans="20:21" ht="15" customHeight="1" x14ac:dyDescent="0.25">
      <c r="T7593" s="135"/>
      <c r="U7593" s="135"/>
    </row>
    <row r="7594" spans="20:21" ht="15" customHeight="1" x14ac:dyDescent="0.25">
      <c r="T7594" s="135"/>
      <c r="U7594" s="135"/>
    </row>
    <row r="7595" spans="20:21" ht="15" customHeight="1" x14ac:dyDescent="0.25">
      <c r="T7595" s="135"/>
      <c r="U7595" s="135"/>
    </row>
    <row r="7596" spans="20:21" ht="15" customHeight="1" x14ac:dyDescent="0.25">
      <c r="T7596" s="135"/>
      <c r="U7596" s="135"/>
    </row>
    <row r="7597" spans="20:21" ht="15" customHeight="1" x14ac:dyDescent="0.25">
      <c r="T7597" s="135"/>
      <c r="U7597" s="135"/>
    </row>
    <row r="7598" spans="20:21" ht="15" customHeight="1" x14ac:dyDescent="0.25">
      <c r="T7598" s="135"/>
      <c r="U7598" s="135"/>
    </row>
    <row r="7599" spans="20:21" ht="15" customHeight="1" x14ac:dyDescent="0.25">
      <c r="T7599" s="135"/>
      <c r="U7599" s="135"/>
    </row>
    <row r="7600" spans="20:21" ht="15" customHeight="1" x14ac:dyDescent="0.25">
      <c r="T7600" s="135"/>
      <c r="U7600" s="135"/>
    </row>
    <row r="7601" spans="20:21" ht="15" customHeight="1" x14ac:dyDescent="0.25">
      <c r="T7601" s="135"/>
      <c r="U7601" s="135"/>
    </row>
    <row r="7602" spans="20:21" ht="15" customHeight="1" x14ac:dyDescent="0.25">
      <c r="T7602" s="135"/>
      <c r="U7602" s="135"/>
    </row>
    <row r="7603" spans="20:21" ht="15" customHeight="1" x14ac:dyDescent="0.25">
      <c r="T7603" s="135"/>
      <c r="U7603" s="135"/>
    </row>
    <row r="7604" spans="20:21" ht="15" customHeight="1" x14ac:dyDescent="0.25">
      <c r="T7604" s="135"/>
      <c r="U7604" s="135"/>
    </row>
    <row r="7605" spans="20:21" ht="15" customHeight="1" x14ac:dyDescent="0.25">
      <c r="T7605" s="135"/>
      <c r="U7605" s="135"/>
    </row>
    <row r="7606" spans="20:21" ht="15" customHeight="1" x14ac:dyDescent="0.25">
      <c r="T7606" s="135"/>
      <c r="U7606" s="135"/>
    </row>
    <row r="7607" spans="20:21" ht="15" customHeight="1" x14ac:dyDescent="0.25">
      <c r="T7607" s="135"/>
      <c r="U7607" s="135"/>
    </row>
    <row r="7608" spans="20:21" ht="15" customHeight="1" x14ac:dyDescent="0.25">
      <c r="T7608" s="135"/>
      <c r="U7608" s="135"/>
    </row>
    <row r="7609" spans="20:21" ht="15" customHeight="1" x14ac:dyDescent="0.25">
      <c r="T7609" s="135"/>
      <c r="U7609" s="135"/>
    </row>
    <row r="7610" spans="20:21" ht="15" customHeight="1" x14ac:dyDescent="0.25">
      <c r="T7610" s="135"/>
      <c r="U7610" s="135"/>
    </row>
    <row r="7611" spans="20:21" ht="15" customHeight="1" x14ac:dyDescent="0.25">
      <c r="T7611" s="135"/>
      <c r="U7611" s="135"/>
    </row>
    <row r="7612" spans="20:21" ht="15" customHeight="1" x14ac:dyDescent="0.25">
      <c r="T7612" s="135"/>
      <c r="U7612" s="135"/>
    </row>
    <row r="7613" spans="20:21" ht="15" customHeight="1" x14ac:dyDescent="0.25">
      <c r="T7613" s="135"/>
      <c r="U7613" s="135"/>
    </row>
    <row r="7614" spans="20:21" ht="15" customHeight="1" x14ac:dyDescent="0.25">
      <c r="T7614" s="135"/>
      <c r="U7614" s="135"/>
    </row>
    <row r="7615" spans="20:21" ht="15" customHeight="1" x14ac:dyDescent="0.25">
      <c r="T7615" s="135"/>
      <c r="U7615" s="135"/>
    </row>
    <row r="7616" spans="20:21" ht="15" customHeight="1" x14ac:dyDescent="0.25">
      <c r="T7616" s="135"/>
      <c r="U7616" s="135"/>
    </row>
    <row r="7617" spans="20:21" ht="15" customHeight="1" x14ac:dyDescent="0.25">
      <c r="T7617" s="135"/>
      <c r="U7617" s="135"/>
    </row>
    <row r="7618" spans="20:21" ht="15" customHeight="1" x14ac:dyDescent="0.25">
      <c r="T7618" s="135"/>
      <c r="U7618" s="135"/>
    </row>
    <row r="7619" spans="20:21" ht="15" customHeight="1" x14ac:dyDescent="0.25">
      <c r="T7619" s="135"/>
      <c r="U7619" s="135"/>
    </row>
    <row r="7620" spans="20:21" ht="15" customHeight="1" x14ac:dyDescent="0.25">
      <c r="T7620" s="135"/>
      <c r="U7620" s="135"/>
    </row>
    <row r="7621" spans="20:21" ht="15" customHeight="1" x14ac:dyDescent="0.25">
      <c r="T7621" s="135"/>
      <c r="U7621" s="135"/>
    </row>
    <row r="7622" spans="20:21" ht="15" customHeight="1" x14ac:dyDescent="0.25">
      <c r="T7622" s="135"/>
      <c r="U7622" s="135"/>
    </row>
    <row r="7623" spans="20:21" ht="15" customHeight="1" x14ac:dyDescent="0.25">
      <c r="T7623" s="135"/>
      <c r="U7623" s="135"/>
    </row>
    <row r="7624" spans="20:21" ht="15" customHeight="1" x14ac:dyDescent="0.25">
      <c r="T7624" s="135"/>
      <c r="U7624" s="135"/>
    </row>
    <row r="7625" spans="20:21" ht="15" customHeight="1" x14ac:dyDescent="0.25">
      <c r="T7625" s="135"/>
      <c r="U7625" s="135"/>
    </row>
    <row r="7626" spans="20:21" ht="15" customHeight="1" x14ac:dyDescent="0.25">
      <c r="T7626" s="135"/>
      <c r="U7626" s="135"/>
    </row>
    <row r="7627" spans="20:21" ht="15" customHeight="1" x14ac:dyDescent="0.25">
      <c r="T7627" s="135"/>
      <c r="U7627" s="135"/>
    </row>
    <row r="7628" spans="20:21" ht="15" customHeight="1" x14ac:dyDescent="0.25">
      <c r="T7628" s="135"/>
      <c r="U7628" s="135"/>
    </row>
    <row r="7629" spans="20:21" ht="15" customHeight="1" x14ac:dyDescent="0.25">
      <c r="T7629" s="135"/>
      <c r="U7629" s="135"/>
    </row>
    <row r="7630" spans="20:21" ht="15" customHeight="1" x14ac:dyDescent="0.25">
      <c r="T7630" s="135"/>
      <c r="U7630" s="135"/>
    </row>
    <row r="7631" spans="20:21" ht="15" customHeight="1" x14ac:dyDescent="0.25">
      <c r="T7631" s="135"/>
      <c r="U7631" s="135"/>
    </row>
    <row r="7632" spans="20:21" ht="15" customHeight="1" x14ac:dyDescent="0.25">
      <c r="T7632" s="135"/>
      <c r="U7632" s="135"/>
    </row>
    <row r="7633" spans="20:21" ht="15" customHeight="1" x14ac:dyDescent="0.25">
      <c r="T7633" s="135"/>
      <c r="U7633" s="135"/>
    </row>
    <row r="7634" spans="20:21" ht="15" customHeight="1" x14ac:dyDescent="0.25">
      <c r="T7634" s="135"/>
      <c r="U7634" s="135"/>
    </row>
    <row r="7635" spans="20:21" ht="15" customHeight="1" x14ac:dyDescent="0.25">
      <c r="T7635" s="135"/>
      <c r="U7635" s="135"/>
    </row>
    <row r="7636" spans="20:21" ht="15" customHeight="1" x14ac:dyDescent="0.25">
      <c r="T7636" s="135"/>
      <c r="U7636" s="135"/>
    </row>
    <row r="7637" spans="20:21" ht="15" customHeight="1" x14ac:dyDescent="0.25">
      <c r="T7637" s="135"/>
      <c r="U7637" s="135"/>
    </row>
    <row r="7638" spans="20:21" ht="15" customHeight="1" x14ac:dyDescent="0.25">
      <c r="T7638" s="135"/>
      <c r="U7638" s="135"/>
    </row>
    <row r="7639" spans="20:21" ht="15" customHeight="1" x14ac:dyDescent="0.25">
      <c r="T7639" s="135"/>
      <c r="U7639" s="135"/>
    </row>
    <row r="7640" spans="20:21" ht="15" customHeight="1" x14ac:dyDescent="0.25">
      <c r="T7640" s="135"/>
      <c r="U7640" s="135"/>
    </row>
    <row r="7641" spans="20:21" ht="15" customHeight="1" x14ac:dyDescent="0.25">
      <c r="T7641" s="135"/>
      <c r="U7641" s="135"/>
    </row>
    <row r="7642" spans="20:21" ht="15" customHeight="1" x14ac:dyDescent="0.25">
      <c r="T7642" s="135"/>
      <c r="U7642" s="135"/>
    </row>
    <row r="7643" spans="20:21" ht="15" customHeight="1" x14ac:dyDescent="0.25">
      <c r="T7643" s="135"/>
      <c r="U7643" s="135"/>
    </row>
    <row r="7644" spans="20:21" ht="15" customHeight="1" x14ac:dyDescent="0.25">
      <c r="T7644" s="135"/>
      <c r="U7644" s="135"/>
    </row>
    <row r="7645" spans="20:21" ht="15" customHeight="1" x14ac:dyDescent="0.25">
      <c r="T7645" s="135"/>
      <c r="U7645" s="135"/>
    </row>
    <row r="7646" spans="20:21" ht="15" customHeight="1" x14ac:dyDescent="0.25">
      <c r="T7646" s="135"/>
      <c r="U7646" s="135"/>
    </row>
    <row r="7647" spans="20:21" ht="15" customHeight="1" x14ac:dyDescent="0.25">
      <c r="T7647" s="135"/>
      <c r="U7647" s="135"/>
    </row>
    <row r="7648" spans="20:21" ht="15" customHeight="1" x14ac:dyDescent="0.25">
      <c r="T7648" s="135"/>
      <c r="U7648" s="135"/>
    </row>
    <row r="7649" spans="20:21" ht="15" customHeight="1" x14ac:dyDescent="0.25">
      <c r="T7649" s="135"/>
      <c r="U7649" s="135"/>
    </row>
    <row r="7650" spans="20:21" ht="15" customHeight="1" x14ac:dyDescent="0.25">
      <c r="T7650" s="135"/>
      <c r="U7650" s="135"/>
    </row>
    <row r="7651" spans="20:21" ht="15" customHeight="1" x14ac:dyDescent="0.25">
      <c r="T7651" s="135"/>
      <c r="U7651" s="135"/>
    </row>
    <row r="7652" spans="20:21" ht="15" customHeight="1" x14ac:dyDescent="0.25">
      <c r="T7652" s="135"/>
      <c r="U7652" s="135"/>
    </row>
    <row r="7653" spans="20:21" ht="15" customHeight="1" x14ac:dyDescent="0.25">
      <c r="T7653" s="135"/>
      <c r="U7653" s="135"/>
    </row>
    <row r="7654" spans="20:21" ht="15" customHeight="1" x14ac:dyDescent="0.25">
      <c r="T7654" s="135"/>
      <c r="U7654" s="135"/>
    </row>
    <row r="7655" spans="20:21" ht="15" customHeight="1" x14ac:dyDescent="0.25">
      <c r="T7655" s="135"/>
      <c r="U7655" s="135"/>
    </row>
    <row r="7656" spans="20:21" ht="15" customHeight="1" x14ac:dyDescent="0.25">
      <c r="T7656" s="135"/>
      <c r="U7656" s="135"/>
    </row>
    <row r="7657" spans="20:21" ht="15" customHeight="1" x14ac:dyDescent="0.25">
      <c r="T7657" s="135"/>
      <c r="U7657" s="135"/>
    </row>
    <row r="7658" spans="20:21" ht="15" customHeight="1" x14ac:dyDescent="0.25">
      <c r="T7658" s="135"/>
      <c r="U7658" s="135"/>
    </row>
    <row r="7659" spans="20:21" ht="15" customHeight="1" x14ac:dyDescent="0.25">
      <c r="T7659" s="135"/>
      <c r="U7659" s="135"/>
    </row>
    <row r="7660" spans="20:21" ht="15" customHeight="1" x14ac:dyDescent="0.25">
      <c r="T7660" s="135"/>
      <c r="U7660" s="135"/>
    </row>
    <row r="7661" spans="20:21" ht="15" customHeight="1" x14ac:dyDescent="0.25">
      <c r="T7661" s="135"/>
      <c r="U7661" s="135"/>
    </row>
    <row r="7662" spans="20:21" ht="15" customHeight="1" x14ac:dyDescent="0.25">
      <c r="T7662" s="135"/>
      <c r="U7662" s="135"/>
    </row>
    <row r="7663" spans="20:21" ht="15" customHeight="1" x14ac:dyDescent="0.25">
      <c r="T7663" s="135"/>
      <c r="U7663" s="135"/>
    </row>
    <row r="7664" spans="20:21" ht="15" customHeight="1" x14ac:dyDescent="0.25">
      <c r="T7664" s="135"/>
      <c r="U7664" s="135"/>
    </row>
    <row r="7665" spans="20:21" ht="15" customHeight="1" x14ac:dyDescent="0.25">
      <c r="T7665" s="135"/>
      <c r="U7665" s="135"/>
    </row>
    <row r="7666" spans="20:21" ht="15" customHeight="1" x14ac:dyDescent="0.25">
      <c r="T7666" s="135"/>
      <c r="U7666" s="135"/>
    </row>
    <row r="7667" spans="20:21" ht="15" customHeight="1" x14ac:dyDescent="0.25">
      <c r="T7667" s="135"/>
      <c r="U7667" s="135"/>
    </row>
    <row r="7668" spans="20:21" ht="15" customHeight="1" x14ac:dyDescent="0.25">
      <c r="T7668" s="135"/>
      <c r="U7668" s="135"/>
    </row>
    <row r="7669" spans="20:21" ht="15" customHeight="1" x14ac:dyDescent="0.25">
      <c r="T7669" s="135"/>
      <c r="U7669" s="135"/>
    </row>
    <row r="7670" spans="20:21" ht="15" customHeight="1" x14ac:dyDescent="0.25">
      <c r="T7670" s="135"/>
      <c r="U7670" s="135"/>
    </row>
    <row r="7671" spans="20:21" ht="15" customHeight="1" x14ac:dyDescent="0.25">
      <c r="T7671" s="135"/>
      <c r="U7671" s="135"/>
    </row>
    <row r="7672" spans="20:21" ht="15" customHeight="1" x14ac:dyDescent="0.25">
      <c r="T7672" s="135"/>
      <c r="U7672" s="135"/>
    </row>
    <row r="7673" spans="20:21" ht="15" customHeight="1" x14ac:dyDescent="0.25">
      <c r="T7673" s="135"/>
      <c r="U7673" s="135"/>
    </row>
    <row r="7674" spans="20:21" ht="15" customHeight="1" x14ac:dyDescent="0.25">
      <c r="T7674" s="135"/>
      <c r="U7674" s="135"/>
    </row>
    <row r="7675" spans="20:21" ht="15" customHeight="1" x14ac:dyDescent="0.25">
      <c r="T7675" s="135"/>
      <c r="U7675" s="135"/>
    </row>
    <row r="7676" spans="20:21" ht="15" customHeight="1" x14ac:dyDescent="0.25">
      <c r="T7676" s="135"/>
      <c r="U7676" s="135"/>
    </row>
    <row r="7677" spans="20:21" ht="15" customHeight="1" x14ac:dyDescent="0.25">
      <c r="T7677" s="135"/>
      <c r="U7677" s="135"/>
    </row>
    <row r="7678" spans="20:21" ht="15" customHeight="1" x14ac:dyDescent="0.25">
      <c r="T7678" s="135"/>
      <c r="U7678" s="135"/>
    </row>
    <row r="7679" spans="20:21" ht="15" customHeight="1" x14ac:dyDescent="0.25">
      <c r="T7679" s="135"/>
      <c r="U7679" s="135"/>
    </row>
    <row r="7680" spans="20:21" ht="15" customHeight="1" x14ac:dyDescent="0.25">
      <c r="T7680" s="135"/>
      <c r="U7680" s="135"/>
    </row>
    <row r="7681" spans="20:21" ht="15" customHeight="1" x14ac:dyDescent="0.25">
      <c r="T7681" s="135"/>
      <c r="U7681" s="135"/>
    </row>
    <row r="7682" spans="20:21" ht="15" customHeight="1" x14ac:dyDescent="0.25">
      <c r="T7682" s="135"/>
      <c r="U7682" s="135"/>
    </row>
    <row r="7683" spans="20:21" ht="15" customHeight="1" x14ac:dyDescent="0.25">
      <c r="T7683" s="135"/>
      <c r="U7683" s="135"/>
    </row>
    <row r="7684" spans="20:21" ht="15" customHeight="1" x14ac:dyDescent="0.25">
      <c r="T7684" s="135"/>
      <c r="U7684" s="135"/>
    </row>
    <row r="7685" spans="20:21" ht="15" customHeight="1" x14ac:dyDescent="0.25">
      <c r="T7685" s="135"/>
      <c r="U7685" s="135"/>
    </row>
    <row r="7686" spans="20:21" ht="15" customHeight="1" x14ac:dyDescent="0.25">
      <c r="T7686" s="135"/>
      <c r="U7686" s="135"/>
    </row>
    <row r="7687" spans="20:21" ht="15" customHeight="1" x14ac:dyDescent="0.25">
      <c r="T7687" s="135"/>
      <c r="U7687" s="135"/>
    </row>
    <row r="7688" spans="20:21" ht="15" customHeight="1" x14ac:dyDescent="0.25">
      <c r="T7688" s="135"/>
      <c r="U7688" s="135"/>
    </row>
    <row r="7689" spans="20:21" ht="15" customHeight="1" x14ac:dyDescent="0.25">
      <c r="T7689" s="135"/>
      <c r="U7689" s="135"/>
    </row>
    <row r="7690" spans="20:21" ht="15" customHeight="1" x14ac:dyDescent="0.25">
      <c r="T7690" s="135"/>
      <c r="U7690" s="135"/>
    </row>
    <row r="7691" spans="20:21" ht="15" customHeight="1" x14ac:dyDescent="0.25">
      <c r="T7691" s="135"/>
      <c r="U7691" s="135"/>
    </row>
    <row r="7692" spans="20:21" ht="15" customHeight="1" x14ac:dyDescent="0.25">
      <c r="T7692" s="135"/>
      <c r="U7692" s="135"/>
    </row>
    <row r="7693" spans="20:21" ht="15" customHeight="1" x14ac:dyDescent="0.25">
      <c r="T7693" s="135"/>
      <c r="U7693" s="135"/>
    </row>
    <row r="7694" spans="20:21" ht="15" customHeight="1" x14ac:dyDescent="0.25">
      <c r="T7694" s="135"/>
      <c r="U7694" s="135"/>
    </row>
    <row r="7695" spans="20:21" ht="15" customHeight="1" x14ac:dyDescent="0.25">
      <c r="T7695" s="135"/>
      <c r="U7695" s="135"/>
    </row>
    <row r="7696" spans="20:21" ht="15" customHeight="1" x14ac:dyDescent="0.25">
      <c r="T7696" s="135"/>
      <c r="U7696" s="135"/>
    </row>
    <row r="7697" spans="20:21" ht="15" customHeight="1" x14ac:dyDescent="0.25">
      <c r="T7697" s="135"/>
      <c r="U7697" s="135"/>
    </row>
    <row r="7698" spans="20:21" ht="15" customHeight="1" x14ac:dyDescent="0.25">
      <c r="T7698" s="135"/>
      <c r="U7698" s="135"/>
    </row>
    <row r="7699" spans="20:21" ht="15" customHeight="1" x14ac:dyDescent="0.25">
      <c r="T7699" s="135"/>
      <c r="U7699" s="135"/>
    </row>
    <row r="7700" spans="20:21" ht="15" customHeight="1" x14ac:dyDescent="0.25">
      <c r="T7700" s="135"/>
      <c r="U7700" s="135"/>
    </row>
    <row r="7701" spans="20:21" ht="15" customHeight="1" x14ac:dyDescent="0.25">
      <c r="T7701" s="135"/>
      <c r="U7701" s="135"/>
    </row>
    <row r="7702" spans="20:21" ht="15" customHeight="1" x14ac:dyDescent="0.25">
      <c r="T7702" s="135"/>
      <c r="U7702" s="135"/>
    </row>
    <row r="7703" spans="20:21" ht="15" customHeight="1" x14ac:dyDescent="0.25">
      <c r="T7703" s="135"/>
      <c r="U7703" s="135"/>
    </row>
    <row r="7704" spans="20:21" ht="15" customHeight="1" x14ac:dyDescent="0.25">
      <c r="T7704" s="135"/>
      <c r="U7704" s="135"/>
    </row>
    <row r="7705" spans="20:21" ht="15" customHeight="1" x14ac:dyDescent="0.25">
      <c r="T7705" s="135"/>
      <c r="U7705" s="135"/>
    </row>
    <row r="7706" spans="20:21" ht="15" customHeight="1" x14ac:dyDescent="0.25">
      <c r="T7706" s="135"/>
      <c r="U7706" s="135"/>
    </row>
    <row r="7707" spans="20:21" ht="15" customHeight="1" x14ac:dyDescent="0.25">
      <c r="T7707" s="135"/>
      <c r="U7707" s="135"/>
    </row>
    <row r="7708" spans="20:21" ht="15" customHeight="1" x14ac:dyDescent="0.25">
      <c r="T7708" s="135"/>
      <c r="U7708" s="135"/>
    </row>
    <row r="7709" spans="20:21" ht="15" customHeight="1" x14ac:dyDescent="0.25">
      <c r="T7709" s="135"/>
      <c r="U7709" s="135"/>
    </row>
    <row r="7710" spans="20:21" ht="15" customHeight="1" x14ac:dyDescent="0.25">
      <c r="T7710" s="135"/>
      <c r="U7710" s="135"/>
    </row>
    <row r="7711" spans="20:21" ht="15" customHeight="1" x14ac:dyDescent="0.25">
      <c r="T7711" s="135"/>
      <c r="U7711" s="135"/>
    </row>
    <row r="7712" spans="20:21" ht="15" customHeight="1" x14ac:dyDescent="0.25">
      <c r="T7712" s="135"/>
      <c r="U7712" s="135"/>
    </row>
    <row r="7713" spans="20:21" ht="15" customHeight="1" x14ac:dyDescent="0.25">
      <c r="T7713" s="135"/>
      <c r="U7713" s="135"/>
    </row>
    <row r="7714" spans="20:21" ht="15" customHeight="1" x14ac:dyDescent="0.25">
      <c r="T7714" s="135"/>
      <c r="U7714" s="135"/>
    </row>
    <row r="7715" spans="20:21" ht="15" customHeight="1" x14ac:dyDescent="0.25">
      <c r="T7715" s="135"/>
      <c r="U7715" s="135"/>
    </row>
    <row r="7716" spans="20:21" ht="15" customHeight="1" x14ac:dyDescent="0.25">
      <c r="T7716" s="135"/>
      <c r="U7716" s="135"/>
    </row>
    <row r="7717" spans="20:21" ht="15" customHeight="1" x14ac:dyDescent="0.25">
      <c r="T7717" s="135"/>
      <c r="U7717" s="135"/>
    </row>
    <row r="7718" spans="20:21" ht="15" customHeight="1" x14ac:dyDescent="0.25">
      <c r="T7718" s="135"/>
      <c r="U7718" s="135"/>
    </row>
    <row r="7719" spans="20:21" ht="15" customHeight="1" x14ac:dyDescent="0.25">
      <c r="T7719" s="135"/>
      <c r="U7719" s="135"/>
    </row>
    <row r="7720" spans="20:21" ht="15" customHeight="1" x14ac:dyDescent="0.25">
      <c r="T7720" s="135"/>
      <c r="U7720" s="135"/>
    </row>
    <row r="7721" spans="20:21" ht="15" customHeight="1" x14ac:dyDescent="0.25">
      <c r="T7721" s="135"/>
      <c r="U7721" s="135"/>
    </row>
    <row r="7722" spans="20:21" ht="15" customHeight="1" x14ac:dyDescent="0.25">
      <c r="T7722" s="135"/>
      <c r="U7722" s="135"/>
    </row>
    <row r="7723" spans="20:21" ht="15" customHeight="1" x14ac:dyDescent="0.25">
      <c r="T7723" s="135"/>
      <c r="U7723" s="135"/>
    </row>
    <row r="7724" spans="20:21" ht="15" customHeight="1" x14ac:dyDescent="0.25">
      <c r="T7724" s="135"/>
      <c r="U7724" s="135"/>
    </row>
    <row r="7725" spans="20:21" ht="15" customHeight="1" x14ac:dyDescent="0.25">
      <c r="T7725" s="135"/>
      <c r="U7725" s="135"/>
    </row>
    <row r="7726" spans="20:21" ht="15" customHeight="1" x14ac:dyDescent="0.25">
      <c r="T7726" s="135"/>
      <c r="U7726" s="135"/>
    </row>
    <row r="7727" spans="20:21" ht="15" customHeight="1" x14ac:dyDescent="0.25">
      <c r="T7727" s="135"/>
      <c r="U7727" s="135"/>
    </row>
    <row r="7728" spans="20:21" ht="15" customHeight="1" x14ac:dyDescent="0.25">
      <c r="T7728" s="135"/>
      <c r="U7728" s="135"/>
    </row>
    <row r="7729" spans="20:21" ht="15" customHeight="1" x14ac:dyDescent="0.25">
      <c r="T7729" s="135"/>
      <c r="U7729" s="135"/>
    </row>
    <row r="7730" spans="20:21" ht="15" customHeight="1" x14ac:dyDescent="0.25">
      <c r="T7730" s="135"/>
      <c r="U7730" s="135"/>
    </row>
    <row r="7731" spans="20:21" ht="15" customHeight="1" x14ac:dyDescent="0.25">
      <c r="T7731" s="135"/>
      <c r="U7731" s="135"/>
    </row>
    <row r="7732" spans="20:21" ht="15" customHeight="1" x14ac:dyDescent="0.25">
      <c r="T7732" s="135"/>
      <c r="U7732" s="135"/>
    </row>
    <row r="7733" spans="20:21" ht="15" customHeight="1" x14ac:dyDescent="0.25">
      <c r="T7733" s="135"/>
      <c r="U7733" s="135"/>
    </row>
    <row r="7734" spans="20:21" ht="15" customHeight="1" x14ac:dyDescent="0.25">
      <c r="T7734" s="135"/>
      <c r="U7734" s="135"/>
    </row>
    <row r="7735" spans="20:21" ht="15" customHeight="1" x14ac:dyDescent="0.25">
      <c r="T7735" s="135"/>
      <c r="U7735" s="135"/>
    </row>
    <row r="7736" spans="20:21" ht="15" customHeight="1" x14ac:dyDescent="0.25">
      <c r="T7736" s="135"/>
      <c r="U7736" s="135"/>
    </row>
    <row r="7737" spans="20:21" ht="15" customHeight="1" x14ac:dyDescent="0.25">
      <c r="T7737" s="135"/>
      <c r="U7737" s="135"/>
    </row>
    <row r="7738" spans="20:21" ht="15" customHeight="1" x14ac:dyDescent="0.25">
      <c r="T7738" s="135"/>
      <c r="U7738" s="135"/>
    </row>
    <row r="7739" spans="20:21" ht="15" customHeight="1" x14ac:dyDescent="0.25">
      <c r="T7739" s="135"/>
      <c r="U7739" s="135"/>
    </row>
    <row r="7740" spans="20:21" ht="15" customHeight="1" x14ac:dyDescent="0.25">
      <c r="T7740" s="135"/>
      <c r="U7740" s="135"/>
    </row>
    <row r="7741" spans="20:21" ht="15" customHeight="1" x14ac:dyDescent="0.25">
      <c r="T7741" s="135"/>
      <c r="U7741" s="135"/>
    </row>
    <row r="7742" spans="20:21" ht="15" customHeight="1" x14ac:dyDescent="0.25">
      <c r="T7742" s="135"/>
      <c r="U7742" s="135"/>
    </row>
    <row r="7743" spans="20:21" ht="15" customHeight="1" x14ac:dyDescent="0.25">
      <c r="T7743" s="135"/>
      <c r="U7743" s="135"/>
    </row>
    <row r="7744" spans="20:21" ht="15" customHeight="1" x14ac:dyDescent="0.25">
      <c r="T7744" s="135"/>
      <c r="U7744" s="135"/>
    </row>
    <row r="7745" spans="20:21" ht="15" customHeight="1" x14ac:dyDescent="0.25">
      <c r="T7745" s="135"/>
      <c r="U7745" s="135"/>
    </row>
    <row r="7746" spans="20:21" ht="15" customHeight="1" x14ac:dyDescent="0.25">
      <c r="T7746" s="135"/>
      <c r="U7746" s="135"/>
    </row>
    <row r="7747" spans="20:21" ht="15" customHeight="1" x14ac:dyDescent="0.25">
      <c r="T7747" s="135"/>
      <c r="U7747" s="135"/>
    </row>
    <row r="7748" spans="20:21" ht="15" customHeight="1" x14ac:dyDescent="0.25">
      <c r="T7748" s="135"/>
      <c r="U7748" s="135"/>
    </row>
    <row r="7749" spans="20:21" ht="15" customHeight="1" x14ac:dyDescent="0.25">
      <c r="T7749" s="135"/>
      <c r="U7749" s="135"/>
    </row>
    <row r="7750" spans="20:21" ht="15" customHeight="1" x14ac:dyDescent="0.25">
      <c r="T7750" s="135"/>
      <c r="U7750" s="135"/>
    </row>
    <row r="7751" spans="20:21" ht="15" customHeight="1" x14ac:dyDescent="0.25">
      <c r="T7751" s="135"/>
      <c r="U7751" s="135"/>
    </row>
    <row r="7752" spans="20:21" ht="15" customHeight="1" x14ac:dyDescent="0.25">
      <c r="T7752" s="135"/>
      <c r="U7752" s="135"/>
    </row>
    <row r="7753" spans="20:21" ht="15" customHeight="1" x14ac:dyDescent="0.25">
      <c r="T7753" s="135"/>
      <c r="U7753" s="135"/>
    </row>
    <row r="7754" spans="20:21" ht="15" customHeight="1" x14ac:dyDescent="0.25">
      <c r="T7754" s="135"/>
      <c r="U7754" s="135"/>
    </row>
    <row r="7755" spans="20:21" ht="15" customHeight="1" x14ac:dyDescent="0.25">
      <c r="T7755" s="135"/>
      <c r="U7755" s="135"/>
    </row>
    <row r="7756" spans="20:21" ht="15" customHeight="1" x14ac:dyDescent="0.25">
      <c r="T7756" s="135"/>
      <c r="U7756" s="135"/>
    </row>
    <row r="7757" spans="20:21" ht="15" customHeight="1" x14ac:dyDescent="0.25">
      <c r="T7757" s="135"/>
      <c r="U7757" s="135"/>
    </row>
    <row r="7758" spans="20:21" ht="15" customHeight="1" x14ac:dyDescent="0.25">
      <c r="T7758" s="135"/>
      <c r="U7758" s="135"/>
    </row>
    <row r="7759" spans="20:21" ht="15" customHeight="1" x14ac:dyDescent="0.25">
      <c r="T7759" s="135"/>
      <c r="U7759" s="135"/>
    </row>
    <row r="7760" spans="20:21" ht="15" customHeight="1" x14ac:dyDescent="0.25">
      <c r="T7760" s="135"/>
      <c r="U7760" s="135"/>
    </row>
    <row r="7761" spans="20:21" ht="15" customHeight="1" x14ac:dyDescent="0.25">
      <c r="T7761" s="135"/>
      <c r="U7761" s="135"/>
    </row>
    <row r="7762" spans="20:21" ht="15" customHeight="1" x14ac:dyDescent="0.25">
      <c r="T7762" s="135"/>
      <c r="U7762" s="135"/>
    </row>
    <row r="7763" spans="20:21" ht="15" customHeight="1" x14ac:dyDescent="0.25">
      <c r="T7763" s="135"/>
      <c r="U7763" s="135"/>
    </row>
    <row r="7764" spans="20:21" ht="15" customHeight="1" x14ac:dyDescent="0.25">
      <c r="T7764" s="135"/>
      <c r="U7764" s="135"/>
    </row>
    <row r="7765" spans="20:21" ht="15" customHeight="1" x14ac:dyDescent="0.25">
      <c r="T7765" s="135"/>
      <c r="U7765" s="135"/>
    </row>
    <row r="7766" spans="20:21" ht="15" customHeight="1" x14ac:dyDescent="0.25">
      <c r="T7766" s="135"/>
      <c r="U7766" s="135"/>
    </row>
    <row r="7767" spans="20:21" ht="15" customHeight="1" x14ac:dyDescent="0.25">
      <c r="T7767" s="135"/>
      <c r="U7767" s="135"/>
    </row>
    <row r="7768" spans="20:21" ht="15" customHeight="1" x14ac:dyDescent="0.25">
      <c r="T7768" s="135"/>
      <c r="U7768" s="135"/>
    </row>
    <row r="7769" spans="20:21" ht="15" customHeight="1" x14ac:dyDescent="0.25">
      <c r="T7769" s="135"/>
      <c r="U7769" s="135"/>
    </row>
    <row r="7770" spans="20:21" ht="15" customHeight="1" x14ac:dyDescent="0.25">
      <c r="T7770" s="135"/>
      <c r="U7770" s="135"/>
    </row>
    <row r="7771" spans="20:21" ht="15" customHeight="1" x14ac:dyDescent="0.25">
      <c r="T7771" s="135"/>
      <c r="U7771" s="135"/>
    </row>
    <row r="7772" spans="20:21" ht="15" customHeight="1" x14ac:dyDescent="0.25">
      <c r="T7772" s="135"/>
      <c r="U7772" s="135"/>
    </row>
    <row r="7773" spans="20:21" ht="15" customHeight="1" x14ac:dyDescent="0.25">
      <c r="T7773" s="135"/>
      <c r="U7773" s="135"/>
    </row>
    <row r="7774" spans="20:21" ht="15" customHeight="1" x14ac:dyDescent="0.25">
      <c r="T7774" s="135"/>
      <c r="U7774" s="135"/>
    </row>
    <row r="7775" spans="20:21" ht="15" customHeight="1" x14ac:dyDescent="0.25">
      <c r="T7775" s="135"/>
      <c r="U7775" s="135"/>
    </row>
    <row r="7776" spans="20:21" ht="15" customHeight="1" x14ac:dyDescent="0.25">
      <c r="T7776" s="135"/>
      <c r="U7776" s="135"/>
    </row>
    <row r="7777" spans="20:21" ht="15" customHeight="1" x14ac:dyDescent="0.25">
      <c r="T7777" s="135"/>
      <c r="U7777" s="135"/>
    </row>
    <row r="7778" spans="20:21" ht="15" customHeight="1" x14ac:dyDescent="0.25">
      <c r="T7778" s="135"/>
      <c r="U7778" s="135"/>
    </row>
    <row r="7779" spans="20:21" ht="15" customHeight="1" x14ac:dyDescent="0.25">
      <c r="T7779" s="135"/>
      <c r="U7779" s="135"/>
    </row>
    <row r="7780" spans="20:21" ht="15" customHeight="1" x14ac:dyDescent="0.25">
      <c r="T7780" s="135"/>
      <c r="U7780" s="135"/>
    </row>
    <row r="7781" spans="20:21" ht="15" customHeight="1" x14ac:dyDescent="0.25">
      <c r="T7781" s="135"/>
      <c r="U7781" s="135"/>
    </row>
    <row r="7782" spans="20:21" ht="15" customHeight="1" x14ac:dyDescent="0.25">
      <c r="T7782" s="135"/>
      <c r="U7782" s="135"/>
    </row>
    <row r="7783" spans="20:21" ht="15" customHeight="1" x14ac:dyDescent="0.25">
      <c r="T7783" s="135"/>
      <c r="U7783" s="135"/>
    </row>
    <row r="7784" spans="20:21" ht="15" customHeight="1" x14ac:dyDescent="0.25">
      <c r="T7784" s="135"/>
      <c r="U7784" s="135"/>
    </row>
    <row r="7785" spans="20:21" ht="15" customHeight="1" x14ac:dyDescent="0.25">
      <c r="T7785" s="135"/>
      <c r="U7785" s="135"/>
    </row>
    <row r="7786" spans="20:21" ht="15" customHeight="1" x14ac:dyDescent="0.25">
      <c r="T7786" s="135"/>
      <c r="U7786" s="135"/>
    </row>
    <row r="7787" spans="20:21" ht="15" customHeight="1" x14ac:dyDescent="0.25">
      <c r="T7787" s="135"/>
      <c r="U7787" s="135"/>
    </row>
    <row r="7788" spans="20:21" ht="15" customHeight="1" x14ac:dyDescent="0.25">
      <c r="T7788" s="135"/>
      <c r="U7788" s="135"/>
    </row>
    <row r="7789" spans="20:21" ht="15" customHeight="1" x14ac:dyDescent="0.25">
      <c r="T7789" s="135"/>
      <c r="U7789" s="135"/>
    </row>
    <row r="7790" spans="20:21" ht="15" customHeight="1" x14ac:dyDescent="0.25">
      <c r="T7790" s="135"/>
      <c r="U7790" s="135"/>
    </row>
    <row r="7791" spans="20:21" ht="15" customHeight="1" x14ac:dyDescent="0.25">
      <c r="T7791" s="135"/>
      <c r="U7791" s="135"/>
    </row>
    <row r="7792" spans="20:21" ht="15" customHeight="1" x14ac:dyDescent="0.25">
      <c r="T7792" s="135"/>
      <c r="U7792" s="135"/>
    </row>
    <row r="7793" spans="20:21" ht="15" customHeight="1" x14ac:dyDescent="0.25">
      <c r="T7793" s="135"/>
      <c r="U7793" s="135"/>
    </row>
    <row r="7794" spans="20:21" ht="15" customHeight="1" x14ac:dyDescent="0.25">
      <c r="T7794" s="135"/>
      <c r="U7794" s="135"/>
    </row>
    <row r="7795" spans="20:21" ht="15" customHeight="1" x14ac:dyDescent="0.25">
      <c r="T7795" s="135"/>
      <c r="U7795" s="135"/>
    </row>
    <row r="7796" spans="20:21" ht="15" customHeight="1" x14ac:dyDescent="0.25">
      <c r="T7796" s="135"/>
      <c r="U7796" s="135"/>
    </row>
    <row r="7797" spans="20:21" ht="15" customHeight="1" x14ac:dyDescent="0.25">
      <c r="T7797" s="135"/>
      <c r="U7797" s="135"/>
    </row>
    <row r="7798" spans="20:21" ht="15" customHeight="1" x14ac:dyDescent="0.25">
      <c r="T7798" s="135"/>
      <c r="U7798" s="135"/>
    </row>
    <row r="7799" spans="20:21" ht="15" customHeight="1" x14ac:dyDescent="0.25">
      <c r="T7799" s="135"/>
      <c r="U7799" s="135"/>
    </row>
    <row r="7800" spans="20:21" ht="15" customHeight="1" x14ac:dyDescent="0.25">
      <c r="T7800" s="135"/>
      <c r="U7800" s="135"/>
    </row>
    <row r="7801" spans="20:21" ht="15" customHeight="1" x14ac:dyDescent="0.25">
      <c r="T7801" s="135"/>
      <c r="U7801" s="135"/>
    </row>
    <row r="7802" spans="20:21" ht="15" customHeight="1" x14ac:dyDescent="0.25">
      <c r="T7802" s="135"/>
      <c r="U7802" s="135"/>
    </row>
    <row r="7803" spans="20:21" ht="15" customHeight="1" x14ac:dyDescent="0.25">
      <c r="T7803" s="135"/>
      <c r="U7803" s="135"/>
    </row>
    <row r="7804" spans="20:21" ht="15" customHeight="1" x14ac:dyDescent="0.25">
      <c r="T7804" s="135"/>
      <c r="U7804" s="135"/>
    </row>
    <row r="7805" spans="20:21" ht="15" customHeight="1" x14ac:dyDescent="0.25">
      <c r="T7805" s="135"/>
      <c r="U7805" s="135"/>
    </row>
    <row r="7806" spans="20:21" ht="15" customHeight="1" x14ac:dyDescent="0.25">
      <c r="T7806" s="135"/>
      <c r="U7806" s="135"/>
    </row>
    <row r="7807" spans="20:21" ht="15" customHeight="1" x14ac:dyDescent="0.25">
      <c r="T7807" s="135"/>
      <c r="U7807" s="135"/>
    </row>
    <row r="7808" spans="20:21" ht="15" customHeight="1" x14ac:dyDescent="0.25">
      <c r="T7808" s="135"/>
      <c r="U7808" s="135"/>
    </row>
    <row r="7809" spans="20:21" ht="15" customHeight="1" x14ac:dyDescent="0.25">
      <c r="T7809" s="135"/>
      <c r="U7809" s="135"/>
    </row>
    <row r="7810" spans="20:21" ht="15" customHeight="1" x14ac:dyDescent="0.25">
      <c r="T7810" s="135"/>
      <c r="U7810" s="135"/>
    </row>
    <row r="7811" spans="20:21" ht="15" customHeight="1" x14ac:dyDescent="0.25">
      <c r="T7811" s="135"/>
      <c r="U7811" s="135"/>
    </row>
    <row r="7812" spans="20:21" ht="15" customHeight="1" x14ac:dyDescent="0.25">
      <c r="T7812" s="135"/>
      <c r="U7812" s="135"/>
    </row>
    <row r="7813" spans="20:21" ht="15" customHeight="1" x14ac:dyDescent="0.25">
      <c r="T7813" s="135"/>
      <c r="U7813" s="135"/>
    </row>
    <row r="7814" spans="20:21" ht="15" customHeight="1" x14ac:dyDescent="0.25">
      <c r="T7814" s="135"/>
      <c r="U7814" s="135"/>
    </row>
    <row r="7815" spans="20:21" ht="15" customHeight="1" x14ac:dyDescent="0.25">
      <c r="T7815" s="135"/>
      <c r="U7815" s="135"/>
    </row>
    <row r="7816" spans="20:21" ht="15" customHeight="1" x14ac:dyDescent="0.25">
      <c r="T7816" s="135"/>
      <c r="U7816" s="135"/>
    </row>
    <row r="7817" spans="20:21" ht="15" customHeight="1" x14ac:dyDescent="0.25">
      <c r="T7817" s="135"/>
      <c r="U7817" s="135"/>
    </row>
    <row r="7818" spans="20:21" ht="15" customHeight="1" x14ac:dyDescent="0.25">
      <c r="T7818" s="135"/>
      <c r="U7818" s="135"/>
    </row>
    <row r="7819" spans="20:21" ht="15" customHeight="1" x14ac:dyDescent="0.25">
      <c r="T7819" s="135"/>
      <c r="U7819" s="135"/>
    </row>
    <row r="7820" spans="20:21" ht="15" customHeight="1" x14ac:dyDescent="0.25">
      <c r="T7820" s="135"/>
      <c r="U7820" s="135"/>
    </row>
    <row r="7821" spans="20:21" ht="15" customHeight="1" x14ac:dyDescent="0.25">
      <c r="T7821" s="135"/>
      <c r="U7821" s="135"/>
    </row>
    <row r="7822" spans="20:21" ht="15" customHeight="1" x14ac:dyDescent="0.25">
      <c r="T7822" s="135"/>
      <c r="U7822" s="135"/>
    </row>
    <row r="7823" spans="20:21" ht="15" customHeight="1" x14ac:dyDescent="0.25">
      <c r="T7823" s="135"/>
      <c r="U7823" s="135"/>
    </row>
    <row r="7824" spans="20:21" ht="15" customHeight="1" x14ac:dyDescent="0.25">
      <c r="T7824" s="135"/>
      <c r="U7824" s="135"/>
    </row>
    <row r="7825" spans="20:21" ht="15" customHeight="1" x14ac:dyDescent="0.25">
      <c r="T7825" s="135"/>
      <c r="U7825" s="135"/>
    </row>
    <row r="7826" spans="20:21" ht="15" customHeight="1" x14ac:dyDescent="0.25">
      <c r="T7826" s="135"/>
      <c r="U7826" s="135"/>
    </row>
    <row r="7827" spans="20:21" ht="15" customHeight="1" x14ac:dyDescent="0.25">
      <c r="T7827" s="135"/>
      <c r="U7827" s="135"/>
    </row>
    <row r="7828" spans="20:21" ht="15" customHeight="1" x14ac:dyDescent="0.25">
      <c r="T7828" s="135"/>
      <c r="U7828" s="135"/>
    </row>
    <row r="7829" spans="20:21" ht="15" customHeight="1" x14ac:dyDescent="0.25">
      <c r="T7829" s="135"/>
      <c r="U7829" s="135"/>
    </row>
    <row r="7830" spans="20:21" ht="15" customHeight="1" x14ac:dyDescent="0.25">
      <c r="T7830" s="135"/>
      <c r="U7830" s="135"/>
    </row>
    <row r="7831" spans="20:21" ht="15" customHeight="1" x14ac:dyDescent="0.25">
      <c r="T7831" s="135"/>
      <c r="U7831" s="135"/>
    </row>
    <row r="7832" spans="20:21" ht="15" customHeight="1" x14ac:dyDescent="0.25">
      <c r="T7832" s="135"/>
      <c r="U7832" s="135"/>
    </row>
    <row r="7833" spans="20:21" ht="15" customHeight="1" x14ac:dyDescent="0.25">
      <c r="T7833" s="135"/>
      <c r="U7833" s="135"/>
    </row>
    <row r="7834" spans="20:21" ht="15" customHeight="1" x14ac:dyDescent="0.25">
      <c r="T7834" s="135"/>
      <c r="U7834" s="135"/>
    </row>
    <row r="7835" spans="20:21" ht="15" customHeight="1" x14ac:dyDescent="0.25">
      <c r="T7835" s="135"/>
      <c r="U7835" s="135"/>
    </row>
    <row r="7836" spans="20:21" ht="15" customHeight="1" x14ac:dyDescent="0.25">
      <c r="T7836" s="135"/>
      <c r="U7836" s="135"/>
    </row>
    <row r="7837" spans="20:21" ht="15" customHeight="1" x14ac:dyDescent="0.25">
      <c r="T7837" s="135"/>
      <c r="U7837" s="135"/>
    </row>
    <row r="7838" spans="20:21" ht="15" customHeight="1" x14ac:dyDescent="0.25">
      <c r="T7838" s="135"/>
      <c r="U7838" s="135"/>
    </row>
    <row r="7839" spans="20:21" ht="15" customHeight="1" x14ac:dyDescent="0.25">
      <c r="T7839" s="135"/>
      <c r="U7839" s="135"/>
    </row>
    <row r="7840" spans="20:21" ht="15" customHeight="1" x14ac:dyDescent="0.25">
      <c r="T7840" s="135"/>
      <c r="U7840" s="135"/>
    </row>
    <row r="7841" spans="20:21" ht="15" customHeight="1" x14ac:dyDescent="0.25">
      <c r="T7841" s="135"/>
      <c r="U7841" s="135"/>
    </row>
    <row r="7842" spans="20:21" ht="15" customHeight="1" x14ac:dyDescent="0.25">
      <c r="T7842" s="135"/>
      <c r="U7842" s="135"/>
    </row>
    <row r="7843" spans="20:21" ht="15" customHeight="1" x14ac:dyDescent="0.25">
      <c r="T7843" s="135"/>
      <c r="U7843" s="135"/>
    </row>
    <row r="7844" spans="20:21" ht="15" customHeight="1" x14ac:dyDescent="0.25">
      <c r="T7844" s="135"/>
      <c r="U7844" s="135"/>
    </row>
    <row r="7845" spans="20:21" ht="15" customHeight="1" x14ac:dyDescent="0.25">
      <c r="T7845" s="135"/>
      <c r="U7845" s="135"/>
    </row>
    <row r="7846" spans="20:21" ht="15" customHeight="1" x14ac:dyDescent="0.25">
      <c r="T7846" s="135"/>
      <c r="U7846" s="135"/>
    </row>
    <row r="7847" spans="20:21" ht="15" customHeight="1" x14ac:dyDescent="0.25">
      <c r="T7847" s="135"/>
      <c r="U7847" s="135"/>
    </row>
    <row r="7848" spans="20:21" ht="15" customHeight="1" x14ac:dyDescent="0.25">
      <c r="T7848" s="135"/>
      <c r="U7848" s="135"/>
    </row>
    <row r="7849" spans="20:21" ht="15" customHeight="1" x14ac:dyDescent="0.25">
      <c r="T7849" s="135"/>
      <c r="U7849" s="135"/>
    </row>
    <row r="7850" spans="20:21" ht="15" customHeight="1" x14ac:dyDescent="0.25">
      <c r="T7850" s="135"/>
      <c r="U7850" s="135"/>
    </row>
    <row r="7851" spans="20:21" ht="15" customHeight="1" x14ac:dyDescent="0.25">
      <c r="T7851" s="135"/>
      <c r="U7851" s="135"/>
    </row>
    <row r="7852" spans="20:21" ht="15" customHeight="1" x14ac:dyDescent="0.25">
      <c r="T7852" s="135"/>
      <c r="U7852" s="135"/>
    </row>
    <row r="7853" spans="20:21" ht="15" customHeight="1" x14ac:dyDescent="0.25">
      <c r="T7853" s="135"/>
      <c r="U7853" s="135"/>
    </row>
    <row r="7854" spans="20:21" ht="15" customHeight="1" x14ac:dyDescent="0.25">
      <c r="T7854" s="135"/>
      <c r="U7854" s="135"/>
    </row>
    <row r="7855" spans="20:21" ht="15" customHeight="1" x14ac:dyDescent="0.25">
      <c r="T7855" s="135"/>
      <c r="U7855" s="135"/>
    </row>
    <row r="7856" spans="20:21" ht="15" customHeight="1" x14ac:dyDescent="0.25">
      <c r="T7856" s="135"/>
      <c r="U7856" s="135"/>
    </row>
    <row r="7857" spans="20:21" ht="15" customHeight="1" x14ac:dyDescent="0.25">
      <c r="T7857" s="135"/>
      <c r="U7857" s="135"/>
    </row>
    <row r="7858" spans="20:21" ht="15" customHeight="1" x14ac:dyDescent="0.25">
      <c r="T7858" s="135"/>
      <c r="U7858" s="135"/>
    </row>
    <row r="7859" spans="20:21" ht="15" customHeight="1" x14ac:dyDescent="0.25">
      <c r="T7859" s="135"/>
      <c r="U7859" s="135"/>
    </row>
    <row r="7860" spans="20:21" ht="15" customHeight="1" x14ac:dyDescent="0.25">
      <c r="T7860" s="135"/>
      <c r="U7860" s="135"/>
    </row>
    <row r="7861" spans="20:21" ht="15" customHeight="1" x14ac:dyDescent="0.25">
      <c r="T7861" s="135"/>
      <c r="U7861" s="135"/>
    </row>
    <row r="7862" spans="20:21" ht="15" customHeight="1" x14ac:dyDescent="0.25">
      <c r="T7862" s="135"/>
      <c r="U7862" s="135"/>
    </row>
    <row r="7863" spans="20:21" ht="15" customHeight="1" x14ac:dyDescent="0.25">
      <c r="T7863" s="135"/>
      <c r="U7863" s="135"/>
    </row>
    <row r="7864" spans="20:21" ht="15" customHeight="1" x14ac:dyDescent="0.25">
      <c r="T7864" s="135"/>
      <c r="U7864" s="135"/>
    </row>
    <row r="7865" spans="20:21" ht="15" customHeight="1" x14ac:dyDescent="0.25">
      <c r="T7865" s="135"/>
      <c r="U7865" s="135"/>
    </row>
    <row r="7866" spans="20:21" ht="15" customHeight="1" x14ac:dyDescent="0.25">
      <c r="T7866" s="135"/>
      <c r="U7866" s="135"/>
    </row>
    <row r="7867" spans="20:21" ht="15" customHeight="1" x14ac:dyDescent="0.25">
      <c r="T7867" s="135"/>
      <c r="U7867" s="135"/>
    </row>
    <row r="7868" spans="20:21" ht="15" customHeight="1" x14ac:dyDescent="0.25">
      <c r="T7868" s="135"/>
      <c r="U7868" s="135"/>
    </row>
    <row r="7869" spans="20:21" ht="15" customHeight="1" x14ac:dyDescent="0.25">
      <c r="T7869" s="135"/>
      <c r="U7869" s="135"/>
    </row>
    <row r="7870" spans="20:21" ht="15" customHeight="1" x14ac:dyDescent="0.25">
      <c r="T7870" s="135"/>
      <c r="U7870" s="135"/>
    </row>
    <row r="7871" spans="20:21" ht="15" customHeight="1" x14ac:dyDescent="0.25">
      <c r="T7871" s="135"/>
      <c r="U7871" s="135"/>
    </row>
    <row r="7872" spans="20:21" ht="15" customHeight="1" x14ac:dyDescent="0.25">
      <c r="T7872" s="135"/>
      <c r="U7872" s="135"/>
    </row>
    <row r="7873" spans="20:21" ht="15" customHeight="1" x14ac:dyDescent="0.25">
      <c r="T7873" s="135"/>
      <c r="U7873" s="135"/>
    </row>
    <row r="7874" spans="20:21" ht="15" customHeight="1" x14ac:dyDescent="0.25">
      <c r="T7874" s="135"/>
      <c r="U7874" s="135"/>
    </row>
    <row r="7875" spans="20:21" ht="15" customHeight="1" x14ac:dyDescent="0.25">
      <c r="T7875" s="135"/>
      <c r="U7875" s="135"/>
    </row>
    <row r="7876" spans="20:21" ht="15" customHeight="1" x14ac:dyDescent="0.25">
      <c r="T7876" s="135"/>
      <c r="U7876" s="135"/>
    </row>
    <row r="7877" spans="20:21" ht="15" customHeight="1" x14ac:dyDescent="0.25">
      <c r="T7877" s="135"/>
      <c r="U7877" s="135"/>
    </row>
    <row r="7878" spans="20:21" ht="15" customHeight="1" x14ac:dyDescent="0.25">
      <c r="T7878" s="135"/>
      <c r="U7878" s="135"/>
    </row>
    <row r="7879" spans="20:21" ht="15" customHeight="1" x14ac:dyDescent="0.25">
      <c r="T7879" s="135"/>
      <c r="U7879" s="135"/>
    </row>
    <row r="7880" spans="20:21" ht="15" customHeight="1" x14ac:dyDescent="0.25">
      <c r="T7880" s="135"/>
      <c r="U7880" s="135"/>
    </row>
    <row r="7881" spans="20:21" ht="15" customHeight="1" x14ac:dyDescent="0.25">
      <c r="T7881" s="135"/>
      <c r="U7881" s="135"/>
    </row>
    <row r="7882" spans="20:21" ht="15" customHeight="1" x14ac:dyDescent="0.25">
      <c r="T7882" s="135"/>
      <c r="U7882" s="135"/>
    </row>
    <row r="7883" spans="20:21" ht="15" customHeight="1" x14ac:dyDescent="0.25">
      <c r="T7883" s="135"/>
      <c r="U7883" s="135"/>
    </row>
    <row r="7884" spans="20:21" ht="15" customHeight="1" x14ac:dyDescent="0.25">
      <c r="T7884" s="135"/>
      <c r="U7884" s="135"/>
    </row>
    <row r="7885" spans="20:21" ht="15" customHeight="1" x14ac:dyDescent="0.25">
      <c r="T7885" s="135"/>
      <c r="U7885" s="135"/>
    </row>
    <row r="7886" spans="20:21" ht="15" customHeight="1" x14ac:dyDescent="0.25">
      <c r="T7886" s="135"/>
      <c r="U7886" s="135"/>
    </row>
    <row r="7887" spans="20:21" ht="15" customHeight="1" x14ac:dyDescent="0.25">
      <c r="T7887" s="135"/>
      <c r="U7887" s="135"/>
    </row>
    <row r="7888" spans="20:21" ht="15" customHeight="1" x14ac:dyDescent="0.25">
      <c r="T7888" s="135"/>
      <c r="U7888" s="135"/>
    </row>
    <row r="7889" spans="20:21" ht="15" customHeight="1" x14ac:dyDescent="0.25">
      <c r="T7889" s="135"/>
      <c r="U7889" s="135"/>
    </row>
    <row r="7890" spans="20:21" ht="15" customHeight="1" x14ac:dyDescent="0.25">
      <c r="T7890" s="135"/>
      <c r="U7890" s="135"/>
    </row>
    <row r="7891" spans="20:21" ht="15" customHeight="1" x14ac:dyDescent="0.25">
      <c r="T7891" s="135"/>
      <c r="U7891" s="135"/>
    </row>
    <row r="7892" spans="20:21" ht="15" customHeight="1" x14ac:dyDescent="0.25">
      <c r="T7892" s="135"/>
      <c r="U7892" s="135"/>
    </row>
    <row r="7893" spans="20:21" ht="15" customHeight="1" x14ac:dyDescent="0.25">
      <c r="T7893" s="135"/>
      <c r="U7893" s="135"/>
    </row>
    <row r="7894" spans="20:21" ht="15" customHeight="1" x14ac:dyDescent="0.25">
      <c r="T7894" s="135"/>
      <c r="U7894" s="135"/>
    </row>
    <row r="7895" spans="20:21" ht="15" customHeight="1" x14ac:dyDescent="0.25">
      <c r="T7895" s="135"/>
      <c r="U7895" s="135"/>
    </row>
    <row r="7896" spans="20:21" ht="15" customHeight="1" x14ac:dyDescent="0.25">
      <c r="T7896" s="135"/>
      <c r="U7896" s="135"/>
    </row>
    <row r="7897" spans="20:21" ht="15" customHeight="1" x14ac:dyDescent="0.25">
      <c r="T7897" s="135"/>
      <c r="U7897" s="135"/>
    </row>
    <row r="7898" spans="20:21" ht="15" customHeight="1" x14ac:dyDescent="0.25">
      <c r="T7898" s="135"/>
      <c r="U7898" s="135"/>
    </row>
    <row r="7899" spans="20:21" ht="15" customHeight="1" x14ac:dyDescent="0.25">
      <c r="T7899" s="135"/>
      <c r="U7899" s="135"/>
    </row>
    <row r="7900" spans="20:21" ht="15" customHeight="1" x14ac:dyDescent="0.25">
      <c r="T7900" s="135"/>
      <c r="U7900" s="135"/>
    </row>
    <row r="7901" spans="20:21" ht="15" customHeight="1" x14ac:dyDescent="0.25">
      <c r="T7901" s="135"/>
      <c r="U7901" s="135"/>
    </row>
    <row r="7902" spans="20:21" ht="15" customHeight="1" x14ac:dyDescent="0.25">
      <c r="T7902" s="135"/>
      <c r="U7902" s="135"/>
    </row>
    <row r="7903" spans="20:21" ht="15" customHeight="1" x14ac:dyDescent="0.25">
      <c r="T7903" s="135"/>
      <c r="U7903" s="135"/>
    </row>
    <row r="7904" spans="20:21" ht="15" customHeight="1" x14ac:dyDescent="0.25">
      <c r="T7904" s="135"/>
      <c r="U7904" s="135"/>
    </row>
    <row r="7905" spans="20:21" ht="15" customHeight="1" x14ac:dyDescent="0.25">
      <c r="T7905" s="135"/>
      <c r="U7905" s="135"/>
    </row>
    <row r="7906" spans="20:21" ht="15" customHeight="1" x14ac:dyDescent="0.25">
      <c r="T7906" s="135"/>
      <c r="U7906" s="135"/>
    </row>
    <row r="7907" spans="20:21" ht="15" customHeight="1" x14ac:dyDescent="0.25">
      <c r="T7907" s="135"/>
      <c r="U7907" s="135"/>
    </row>
    <row r="7908" spans="20:21" ht="15" customHeight="1" x14ac:dyDescent="0.25">
      <c r="T7908" s="135"/>
      <c r="U7908" s="135"/>
    </row>
    <row r="7909" spans="20:21" ht="15" customHeight="1" x14ac:dyDescent="0.25">
      <c r="T7909" s="135"/>
      <c r="U7909" s="135"/>
    </row>
    <row r="7910" spans="20:21" ht="15" customHeight="1" x14ac:dyDescent="0.25">
      <c r="T7910" s="135"/>
      <c r="U7910" s="135"/>
    </row>
    <row r="7911" spans="20:21" ht="15" customHeight="1" x14ac:dyDescent="0.25">
      <c r="T7911" s="135"/>
      <c r="U7911" s="135"/>
    </row>
    <row r="7912" spans="20:21" ht="15" customHeight="1" x14ac:dyDescent="0.25">
      <c r="T7912" s="135"/>
      <c r="U7912" s="135"/>
    </row>
    <row r="7913" spans="20:21" ht="15" customHeight="1" x14ac:dyDescent="0.25">
      <c r="T7913" s="135"/>
      <c r="U7913" s="135"/>
    </row>
    <row r="7914" spans="20:21" ht="15" customHeight="1" x14ac:dyDescent="0.25">
      <c r="T7914" s="135"/>
      <c r="U7914" s="135"/>
    </row>
    <row r="7915" spans="20:21" ht="15" customHeight="1" x14ac:dyDescent="0.25">
      <c r="T7915" s="135"/>
      <c r="U7915" s="135"/>
    </row>
    <row r="7916" spans="20:21" ht="15" customHeight="1" x14ac:dyDescent="0.25">
      <c r="T7916" s="135"/>
      <c r="U7916" s="135"/>
    </row>
    <row r="7917" spans="20:21" ht="15" customHeight="1" x14ac:dyDescent="0.25">
      <c r="T7917" s="135"/>
      <c r="U7917" s="135"/>
    </row>
    <row r="7918" spans="20:21" ht="15" customHeight="1" x14ac:dyDescent="0.25">
      <c r="T7918" s="135"/>
      <c r="U7918" s="135"/>
    </row>
    <row r="7919" spans="20:21" ht="15" customHeight="1" x14ac:dyDescent="0.25">
      <c r="T7919" s="135"/>
      <c r="U7919" s="135"/>
    </row>
    <row r="7920" spans="20:21" ht="15" customHeight="1" x14ac:dyDescent="0.25">
      <c r="T7920" s="135"/>
      <c r="U7920" s="135"/>
    </row>
    <row r="7921" spans="20:21" ht="15" customHeight="1" x14ac:dyDescent="0.25">
      <c r="T7921" s="135"/>
      <c r="U7921" s="135"/>
    </row>
    <row r="7922" spans="20:21" ht="15" customHeight="1" x14ac:dyDescent="0.25">
      <c r="T7922" s="135"/>
      <c r="U7922" s="135"/>
    </row>
    <row r="7923" spans="20:21" ht="15" customHeight="1" x14ac:dyDescent="0.25">
      <c r="T7923" s="135"/>
      <c r="U7923" s="135"/>
    </row>
    <row r="7924" spans="20:21" ht="15" customHeight="1" x14ac:dyDescent="0.25">
      <c r="T7924" s="135"/>
      <c r="U7924" s="135"/>
    </row>
    <row r="7925" spans="20:21" ht="15" customHeight="1" x14ac:dyDescent="0.25">
      <c r="T7925" s="135"/>
      <c r="U7925" s="135"/>
    </row>
    <row r="7926" spans="20:21" ht="15" customHeight="1" x14ac:dyDescent="0.25">
      <c r="T7926" s="135"/>
      <c r="U7926" s="135"/>
    </row>
    <row r="7927" spans="20:21" ht="15" customHeight="1" x14ac:dyDescent="0.25">
      <c r="T7927" s="135"/>
      <c r="U7927" s="135"/>
    </row>
    <row r="7928" spans="20:21" ht="15" customHeight="1" x14ac:dyDescent="0.25">
      <c r="T7928" s="135"/>
      <c r="U7928" s="135"/>
    </row>
    <row r="7929" spans="20:21" ht="15" customHeight="1" x14ac:dyDescent="0.25">
      <c r="T7929" s="135"/>
      <c r="U7929" s="135"/>
    </row>
    <row r="7930" spans="20:21" ht="15" customHeight="1" x14ac:dyDescent="0.25">
      <c r="T7930" s="135"/>
      <c r="U7930" s="135"/>
    </row>
    <row r="7931" spans="20:21" ht="15" customHeight="1" x14ac:dyDescent="0.25">
      <c r="T7931" s="135"/>
      <c r="U7931" s="135"/>
    </row>
    <row r="7932" spans="20:21" ht="15" customHeight="1" x14ac:dyDescent="0.25">
      <c r="T7932" s="135"/>
      <c r="U7932" s="135"/>
    </row>
    <row r="7933" spans="20:21" ht="15" customHeight="1" x14ac:dyDescent="0.25">
      <c r="T7933" s="135"/>
      <c r="U7933" s="135"/>
    </row>
    <row r="7934" spans="20:21" ht="15" customHeight="1" x14ac:dyDescent="0.25">
      <c r="T7934" s="135"/>
      <c r="U7934" s="135"/>
    </row>
    <row r="7935" spans="20:21" ht="15" customHeight="1" x14ac:dyDescent="0.25">
      <c r="T7935" s="135"/>
      <c r="U7935" s="135"/>
    </row>
    <row r="7936" spans="20:21" ht="15" customHeight="1" x14ac:dyDescent="0.25">
      <c r="T7936" s="135"/>
      <c r="U7936" s="135"/>
    </row>
    <row r="7937" spans="20:21" ht="15" customHeight="1" x14ac:dyDescent="0.25">
      <c r="T7937" s="135"/>
      <c r="U7937" s="135"/>
    </row>
    <row r="7938" spans="20:21" ht="15" customHeight="1" x14ac:dyDescent="0.25">
      <c r="T7938" s="135"/>
      <c r="U7938" s="135"/>
    </row>
    <row r="7939" spans="20:21" ht="15" customHeight="1" x14ac:dyDescent="0.25">
      <c r="T7939" s="135"/>
      <c r="U7939" s="135"/>
    </row>
    <row r="7940" spans="20:21" ht="15" customHeight="1" x14ac:dyDescent="0.25">
      <c r="T7940" s="135"/>
      <c r="U7940" s="135"/>
    </row>
    <row r="7941" spans="20:21" ht="15" customHeight="1" x14ac:dyDescent="0.25">
      <c r="T7941" s="135"/>
      <c r="U7941" s="135"/>
    </row>
    <row r="7942" spans="20:21" ht="15" customHeight="1" x14ac:dyDescent="0.25">
      <c r="T7942" s="135"/>
      <c r="U7942" s="135"/>
    </row>
    <row r="7943" spans="20:21" ht="15" customHeight="1" x14ac:dyDescent="0.25">
      <c r="T7943" s="135"/>
      <c r="U7943" s="135"/>
    </row>
    <row r="7944" spans="20:21" ht="15" customHeight="1" x14ac:dyDescent="0.25">
      <c r="T7944" s="135"/>
      <c r="U7944" s="135"/>
    </row>
    <row r="7945" spans="20:21" ht="15" customHeight="1" x14ac:dyDescent="0.25">
      <c r="T7945" s="135"/>
      <c r="U7945" s="135"/>
    </row>
    <row r="7946" spans="20:21" ht="15" customHeight="1" x14ac:dyDescent="0.25">
      <c r="T7946" s="135"/>
      <c r="U7946" s="135"/>
    </row>
    <row r="7947" spans="20:21" ht="15" customHeight="1" x14ac:dyDescent="0.25">
      <c r="T7947" s="135"/>
      <c r="U7947" s="135"/>
    </row>
    <row r="7948" spans="20:21" ht="15" customHeight="1" x14ac:dyDescent="0.25">
      <c r="T7948" s="135"/>
      <c r="U7948" s="135"/>
    </row>
    <row r="7949" spans="20:21" ht="15" customHeight="1" x14ac:dyDescent="0.25">
      <c r="T7949" s="135"/>
      <c r="U7949" s="135"/>
    </row>
    <row r="7950" spans="20:21" ht="15" customHeight="1" x14ac:dyDescent="0.25">
      <c r="T7950" s="135"/>
      <c r="U7950" s="135"/>
    </row>
    <row r="7951" spans="20:21" ht="15" customHeight="1" x14ac:dyDescent="0.25">
      <c r="T7951" s="135"/>
      <c r="U7951" s="135"/>
    </row>
    <row r="7952" spans="20:21" ht="15" customHeight="1" x14ac:dyDescent="0.25">
      <c r="T7952" s="135"/>
      <c r="U7952" s="135"/>
    </row>
    <row r="7953" spans="20:21" ht="15" customHeight="1" x14ac:dyDescent="0.25">
      <c r="T7953" s="135"/>
      <c r="U7953" s="135"/>
    </row>
    <row r="7954" spans="20:21" ht="15" customHeight="1" x14ac:dyDescent="0.25">
      <c r="T7954" s="135"/>
      <c r="U7954" s="135"/>
    </row>
    <row r="7955" spans="20:21" ht="15" customHeight="1" x14ac:dyDescent="0.25">
      <c r="T7955" s="135"/>
      <c r="U7955" s="135"/>
    </row>
    <row r="7956" spans="20:21" ht="15" customHeight="1" x14ac:dyDescent="0.25">
      <c r="T7956" s="135"/>
      <c r="U7956" s="135"/>
    </row>
    <row r="7957" spans="20:21" ht="15" customHeight="1" x14ac:dyDescent="0.25">
      <c r="T7957" s="135"/>
      <c r="U7957" s="135"/>
    </row>
    <row r="7958" spans="20:21" ht="15" customHeight="1" x14ac:dyDescent="0.25">
      <c r="T7958" s="135"/>
      <c r="U7958" s="135"/>
    </row>
    <row r="7959" spans="20:21" ht="15" customHeight="1" x14ac:dyDescent="0.25">
      <c r="T7959" s="135"/>
      <c r="U7959" s="135"/>
    </row>
    <row r="7960" spans="20:21" ht="15" customHeight="1" x14ac:dyDescent="0.25">
      <c r="T7960" s="135"/>
      <c r="U7960" s="135"/>
    </row>
    <row r="7961" spans="20:21" ht="15" customHeight="1" x14ac:dyDescent="0.25">
      <c r="T7961" s="135"/>
      <c r="U7961" s="135"/>
    </row>
    <row r="7962" spans="20:21" ht="15" customHeight="1" x14ac:dyDescent="0.25">
      <c r="T7962" s="135"/>
      <c r="U7962" s="135"/>
    </row>
    <row r="7963" spans="20:21" ht="15" customHeight="1" x14ac:dyDescent="0.25">
      <c r="T7963" s="135"/>
      <c r="U7963" s="135"/>
    </row>
    <row r="7964" spans="20:21" ht="15" customHeight="1" x14ac:dyDescent="0.25">
      <c r="T7964" s="135"/>
      <c r="U7964" s="135"/>
    </row>
    <row r="7965" spans="20:21" ht="15" customHeight="1" x14ac:dyDescent="0.25">
      <c r="T7965" s="135"/>
      <c r="U7965" s="135"/>
    </row>
    <row r="7966" spans="20:21" ht="15" customHeight="1" x14ac:dyDescent="0.25">
      <c r="T7966" s="135"/>
      <c r="U7966" s="135"/>
    </row>
    <row r="7967" spans="20:21" ht="15" customHeight="1" x14ac:dyDescent="0.25">
      <c r="T7967" s="135"/>
      <c r="U7967" s="135"/>
    </row>
    <row r="7968" spans="20:21" ht="15" customHeight="1" x14ac:dyDescent="0.25">
      <c r="T7968" s="135"/>
      <c r="U7968" s="135"/>
    </row>
    <row r="7969" spans="20:21" ht="15" customHeight="1" x14ac:dyDescent="0.25">
      <c r="T7969" s="135"/>
      <c r="U7969" s="135"/>
    </row>
    <row r="7970" spans="20:21" ht="15" customHeight="1" x14ac:dyDescent="0.25">
      <c r="T7970" s="135"/>
      <c r="U7970" s="135"/>
    </row>
    <row r="7971" spans="20:21" ht="15" customHeight="1" x14ac:dyDescent="0.25">
      <c r="T7971" s="135"/>
      <c r="U7971" s="135"/>
    </row>
    <row r="7972" spans="20:21" ht="15" customHeight="1" x14ac:dyDescent="0.25">
      <c r="T7972" s="135"/>
      <c r="U7972" s="135"/>
    </row>
    <row r="7973" spans="20:21" ht="15" customHeight="1" x14ac:dyDescent="0.25">
      <c r="T7973" s="135"/>
      <c r="U7973" s="135"/>
    </row>
    <row r="7974" spans="20:21" ht="15" customHeight="1" x14ac:dyDescent="0.25">
      <c r="T7974" s="135"/>
      <c r="U7974" s="135"/>
    </row>
    <row r="7975" spans="20:21" ht="15" customHeight="1" x14ac:dyDescent="0.25">
      <c r="T7975" s="135"/>
      <c r="U7975" s="135"/>
    </row>
    <row r="7976" spans="20:21" ht="15" customHeight="1" x14ac:dyDescent="0.25">
      <c r="T7976" s="135"/>
      <c r="U7976" s="135"/>
    </row>
    <row r="7977" spans="20:21" ht="15" customHeight="1" x14ac:dyDescent="0.25">
      <c r="T7977" s="135"/>
      <c r="U7977" s="135"/>
    </row>
    <row r="7978" spans="20:21" ht="15" customHeight="1" x14ac:dyDescent="0.25">
      <c r="T7978" s="135"/>
      <c r="U7978" s="135"/>
    </row>
    <row r="7979" spans="20:21" ht="15" customHeight="1" x14ac:dyDescent="0.25">
      <c r="T7979" s="135"/>
      <c r="U7979" s="135"/>
    </row>
    <row r="7980" spans="20:21" ht="15" customHeight="1" x14ac:dyDescent="0.25">
      <c r="T7980" s="135"/>
      <c r="U7980" s="135"/>
    </row>
    <row r="7981" spans="20:21" ht="15" customHeight="1" x14ac:dyDescent="0.25">
      <c r="T7981" s="135"/>
      <c r="U7981" s="135"/>
    </row>
    <row r="7982" spans="20:21" ht="15" customHeight="1" x14ac:dyDescent="0.25">
      <c r="T7982" s="135"/>
      <c r="U7982" s="135"/>
    </row>
    <row r="7983" spans="20:21" ht="15" customHeight="1" x14ac:dyDescent="0.25">
      <c r="T7983" s="135"/>
      <c r="U7983" s="135"/>
    </row>
    <row r="7984" spans="20:21" ht="15" customHeight="1" x14ac:dyDescent="0.25">
      <c r="T7984" s="135"/>
      <c r="U7984" s="135"/>
    </row>
    <row r="7985" spans="20:21" ht="15" customHeight="1" x14ac:dyDescent="0.25">
      <c r="T7985" s="135"/>
      <c r="U7985" s="135"/>
    </row>
    <row r="7986" spans="20:21" ht="15" customHeight="1" x14ac:dyDescent="0.25">
      <c r="T7986" s="135"/>
      <c r="U7986" s="135"/>
    </row>
    <row r="7987" spans="20:21" ht="15" customHeight="1" x14ac:dyDescent="0.25">
      <c r="T7987" s="135"/>
      <c r="U7987" s="135"/>
    </row>
    <row r="7988" spans="20:21" ht="15" customHeight="1" x14ac:dyDescent="0.25">
      <c r="T7988" s="135"/>
      <c r="U7988" s="135"/>
    </row>
    <row r="7989" spans="20:21" ht="15" customHeight="1" x14ac:dyDescent="0.25">
      <c r="T7989" s="135"/>
      <c r="U7989" s="135"/>
    </row>
    <row r="7990" spans="20:21" ht="15" customHeight="1" x14ac:dyDescent="0.25">
      <c r="T7990" s="135"/>
      <c r="U7990" s="135"/>
    </row>
    <row r="7991" spans="20:21" ht="15" customHeight="1" x14ac:dyDescent="0.25">
      <c r="T7991" s="135"/>
      <c r="U7991" s="135"/>
    </row>
    <row r="7992" spans="20:21" ht="15" customHeight="1" x14ac:dyDescent="0.25">
      <c r="T7992" s="135"/>
      <c r="U7992" s="135"/>
    </row>
    <row r="7993" spans="20:21" ht="15" customHeight="1" x14ac:dyDescent="0.25">
      <c r="T7993" s="135"/>
      <c r="U7993" s="135"/>
    </row>
    <row r="7994" spans="20:21" ht="15" customHeight="1" x14ac:dyDescent="0.25">
      <c r="T7994" s="135"/>
      <c r="U7994" s="135"/>
    </row>
    <row r="7995" spans="20:21" ht="15" customHeight="1" x14ac:dyDescent="0.25">
      <c r="T7995" s="135"/>
      <c r="U7995" s="135"/>
    </row>
    <row r="7996" spans="20:21" ht="15" customHeight="1" x14ac:dyDescent="0.25">
      <c r="T7996" s="135"/>
      <c r="U7996" s="135"/>
    </row>
    <row r="7997" spans="20:21" ht="15" customHeight="1" x14ac:dyDescent="0.25">
      <c r="T7997" s="135"/>
      <c r="U7997" s="135"/>
    </row>
    <row r="7998" spans="20:21" ht="15" customHeight="1" x14ac:dyDescent="0.25">
      <c r="T7998" s="135"/>
      <c r="U7998" s="135"/>
    </row>
    <row r="7999" spans="20:21" ht="15" customHeight="1" x14ac:dyDescent="0.25">
      <c r="T7999" s="135"/>
      <c r="U7999" s="135"/>
    </row>
    <row r="8000" spans="20:21" ht="15" customHeight="1" x14ac:dyDescent="0.25">
      <c r="T8000" s="135"/>
      <c r="U8000" s="135"/>
    </row>
    <row r="8001" spans="20:21" ht="15" customHeight="1" x14ac:dyDescent="0.25">
      <c r="T8001" s="135"/>
      <c r="U8001" s="135"/>
    </row>
    <row r="8002" spans="20:21" ht="15" customHeight="1" x14ac:dyDescent="0.25">
      <c r="T8002" s="135"/>
      <c r="U8002" s="135"/>
    </row>
    <row r="8003" spans="20:21" ht="15" customHeight="1" x14ac:dyDescent="0.25">
      <c r="T8003" s="135"/>
      <c r="U8003" s="135"/>
    </row>
    <row r="8004" spans="20:21" ht="15" customHeight="1" x14ac:dyDescent="0.25">
      <c r="T8004" s="135"/>
      <c r="U8004" s="135"/>
    </row>
    <row r="8005" spans="20:21" ht="15" customHeight="1" x14ac:dyDescent="0.25">
      <c r="T8005" s="135"/>
      <c r="U8005" s="135"/>
    </row>
    <row r="8006" spans="20:21" ht="15" customHeight="1" x14ac:dyDescent="0.25">
      <c r="T8006" s="135"/>
      <c r="U8006" s="135"/>
    </row>
    <row r="8007" spans="20:21" ht="15" customHeight="1" x14ac:dyDescent="0.25">
      <c r="T8007" s="135"/>
      <c r="U8007" s="135"/>
    </row>
    <row r="8008" spans="20:21" ht="15" customHeight="1" x14ac:dyDescent="0.25">
      <c r="T8008" s="135"/>
      <c r="U8008" s="135"/>
    </row>
    <row r="8009" spans="20:21" ht="15" customHeight="1" x14ac:dyDescent="0.25">
      <c r="T8009" s="135"/>
      <c r="U8009" s="135"/>
    </row>
    <row r="8010" spans="20:21" ht="15" customHeight="1" x14ac:dyDescent="0.25">
      <c r="T8010" s="135"/>
      <c r="U8010" s="135"/>
    </row>
    <row r="8011" spans="20:21" ht="15" customHeight="1" x14ac:dyDescent="0.25">
      <c r="T8011" s="135"/>
      <c r="U8011" s="135"/>
    </row>
    <row r="8012" spans="20:21" ht="15" customHeight="1" x14ac:dyDescent="0.25">
      <c r="T8012" s="135"/>
      <c r="U8012" s="135"/>
    </row>
    <row r="8013" spans="20:21" ht="15" customHeight="1" x14ac:dyDescent="0.25">
      <c r="T8013" s="135"/>
      <c r="U8013" s="135"/>
    </row>
    <row r="8014" spans="20:21" ht="15" customHeight="1" x14ac:dyDescent="0.25">
      <c r="T8014" s="135"/>
      <c r="U8014" s="135"/>
    </row>
    <row r="8015" spans="20:21" ht="15" customHeight="1" x14ac:dyDescent="0.25">
      <c r="T8015" s="135"/>
      <c r="U8015" s="135"/>
    </row>
    <row r="8016" spans="20:21" ht="15" customHeight="1" x14ac:dyDescent="0.25">
      <c r="T8016" s="135"/>
      <c r="U8016" s="135"/>
    </row>
    <row r="8017" spans="20:21" ht="15" customHeight="1" x14ac:dyDescent="0.25">
      <c r="T8017" s="135"/>
      <c r="U8017" s="135"/>
    </row>
    <row r="8018" spans="20:21" ht="15" customHeight="1" x14ac:dyDescent="0.25">
      <c r="T8018" s="135"/>
      <c r="U8018" s="135"/>
    </row>
    <row r="8019" spans="20:21" ht="15" customHeight="1" x14ac:dyDescent="0.25">
      <c r="T8019" s="135"/>
      <c r="U8019" s="135"/>
    </row>
    <row r="8020" spans="20:21" ht="15" customHeight="1" x14ac:dyDescent="0.25">
      <c r="T8020" s="135"/>
      <c r="U8020" s="135"/>
    </row>
    <row r="8021" spans="20:21" ht="15" customHeight="1" x14ac:dyDescent="0.25">
      <c r="T8021" s="135"/>
      <c r="U8021" s="135"/>
    </row>
    <row r="8022" spans="20:21" ht="15" customHeight="1" x14ac:dyDescent="0.25">
      <c r="T8022" s="135"/>
      <c r="U8022" s="135"/>
    </row>
    <row r="8023" spans="20:21" ht="15" customHeight="1" x14ac:dyDescent="0.25">
      <c r="T8023" s="135"/>
      <c r="U8023" s="135"/>
    </row>
    <row r="8024" spans="20:21" ht="15" customHeight="1" x14ac:dyDescent="0.25">
      <c r="T8024" s="135"/>
      <c r="U8024" s="135"/>
    </row>
    <row r="8025" spans="20:21" ht="15" customHeight="1" x14ac:dyDescent="0.25">
      <c r="T8025" s="135"/>
      <c r="U8025" s="135"/>
    </row>
    <row r="8026" spans="20:21" ht="15" customHeight="1" x14ac:dyDescent="0.25">
      <c r="T8026" s="135"/>
      <c r="U8026" s="135"/>
    </row>
    <row r="8027" spans="20:21" ht="15" customHeight="1" x14ac:dyDescent="0.25">
      <c r="T8027" s="135"/>
      <c r="U8027" s="135"/>
    </row>
    <row r="8028" spans="20:21" ht="15" customHeight="1" x14ac:dyDescent="0.25">
      <c r="T8028" s="135"/>
      <c r="U8028" s="135"/>
    </row>
    <row r="8029" spans="20:21" ht="15" customHeight="1" x14ac:dyDescent="0.25">
      <c r="T8029" s="135"/>
      <c r="U8029" s="135"/>
    </row>
    <row r="8030" spans="20:21" ht="15" customHeight="1" x14ac:dyDescent="0.25">
      <c r="T8030" s="135"/>
      <c r="U8030" s="135"/>
    </row>
    <row r="8031" spans="20:21" ht="15" customHeight="1" x14ac:dyDescent="0.25">
      <c r="T8031" s="135"/>
      <c r="U8031" s="135"/>
    </row>
    <row r="8032" spans="20:21" ht="15" customHeight="1" x14ac:dyDescent="0.25">
      <c r="T8032" s="135"/>
      <c r="U8032" s="135"/>
    </row>
    <row r="8033" spans="20:21" ht="15" customHeight="1" x14ac:dyDescent="0.25">
      <c r="T8033" s="135"/>
      <c r="U8033" s="135"/>
    </row>
    <row r="8034" spans="20:21" ht="15" customHeight="1" x14ac:dyDescent="0.25">
      <c r="T8034" s="135"/>
      <c r="U8034" s="135"/>
    </row>
    <row r="8035" spans="20:21" ht="15" customHeight="1" x14ac:dyDescent="0.25">
      <c r="T8035" s="135"/>
      <c r="U8035" s="135"/>
    </row>
    <row r="8036" spans="20:21" ht="15" customHeight="1" x14ac:dyDescent="0.25">
      <c r="T8036" s="135"/>
      <c r="U8036" s="135"/>
    </row>
    <row r="8037" spans="20:21" ht="15" customHeight="1" x14ac:dyDescent="0.25">
      <c r="T8037" s="135"/>
      <c r="U8037" s="135"/>
    </row>
    <row r="8038" spans="20:21" ht="15" customHeight="1" x14ac:dyDescent="0.25">
      <c r="T8038" s="135"/>
      <c r="U8038" s="135"/>
    </row>
    <row r="8039" spans="20:21" ht="15" customHeight="1" x14ac:dyDescent="0.25">
      <c r="T8039" s="135"/>
      <c r="U8039" s="135"/>
    </row>
    <row r="8040" spans="20:21" ht="15" customHeight="1" x14ac:dyDescent="0.25">
      <c r="T8040" s="135"/>
      <c r="U8040" s="135"/>
    </row>
    <row r="8041" spans="20:21" ht="15" customHeight="1" x14ac:dyDescent="0.25">
      <c r="T8041" s="135"/>
      <c r="U8041" s="135"/>
    </row>
    <row r="8042" spans="20:21" ht="15" customHeight="1" x14ac:dyDescent="0.25">
      <c r="T8042" s="135"/>
      <c r="U8042" s="135"/>
    </row>
    <row r="8043" spans="20:21" ht="15" customHeight="1" x14ac:dyDescent="0.25">
      <c r="T8043" s="135"/>
      <c r="U8043" s="135"/>
    </row>
    <row r="8044" spans="20:21" ht="15" customHeight="1" x14ac:dyDescent="0.25">
      <c r="T8044" s="135"/>
      <c r="U8044" s="135"/>
    </row>
    <row r="8045" spans="20:21" ht="15" customHeight="1" x14ac:dyDescent="0.25">
      <c r="T8045" s="135"/>
      <c r="U8045" s="135"/>
    </row>
    <row r="8046" spans="20:21" ht="15" customHeight="1" x14ac:dyDescent="0.25">
      <c r="T8046" s="135"/>
      <c r="U8046" s="135"/>
    </row>
    <row r="8047" spans="20:21" ht="15" customHeight="1" x14ac:dyDescent="0.25">
      <c r="T8047" s="135"/>
      <c r="U8047" s="135"/>
    </row>
    <row r="8048" spans="20:21" ht="15" customHeight="1" x14ac:dyDescent="0.25">
      <c r="T8048" s="135"/>
      <c r="U8048" s="135"/>
    </row>
    <row r="8049" spans="20:21" ht="15" customHeight="1" x14ac:dyDescent="0.25">
      <c r="T8049" s="135"/>
      <c r="U8049" s="135"/>
    </row>
    <row r="8050" spans="20:21" ht="15" customHeight="1" x14ac:dyDescent="0.25">
      <c r="T8050" s="135"/>
      <c r="U8050" s="135"/>
    </row>
    <row r="8051" spans="20:21" ht="15" customHeight="1" x14ac:dyDescent="0.25">
      <c r="T8051" s="135"/>
      <c r="U8051" s="135"/>
    </row>
    <row r="8052" spans="20:21" ht="15" customHeight="1" x14ac:dyDescent="0.25">
      <c r="T8052" s="135"/>
      <c r="U8052" s="135"/>
    </row>
    <row r="8053" spans="20:21" ht="15" customHeight="1" x14ac:dyDescent="0.25">
      <c r="T8053" s="135"/>
      <c r="U8053" s="135"/>
    </row>
    <row r="8054" spans="20:21" ht="15" customHeight="1" x14ac:dyDescent="0.25">
      <c r="T8054" s="135"/>
      <c r="U8054" s="135"/>
    </row>
    <row r="8055" spans="20:21" ht="15" customHeight="1" x14ac:dyDescent="0.25">
      <c r="T8055" s="135"/>
      <c r="U8055" s="135"/>
    </row>
    <row r="8056" spans="20:21" ht="15" customHeight="1" x14ac:dyDescent="0.25">
      <c r="T8056" s="135"/>
      <c r="U8056" s="135"/>
    </row>
    <row r="8057" spans="20:21" ht="15" customHeight="1" x14ac:dyDescent="0.25">
      <c r="T8057" s="135"/>
      <c r="U8057" s="135"/>
    </row>
    <row r="8058" spans="20:21" ht="15" customHeight="1" x14ac:dyDescent="0.25">
      <c r="T8058" s="135"/>
      <c r="U8058" s="135"/>
    </row>
    <row r="8059" spans="20:21" ht="15" customHeight="1" x14ac:dyDescent="0.25">
      <c r="T8059" s="135"/>
      <c r="U8059" s="135"/>
    </row>
    <row r="8060" spans="20:21" ht="15" customHeight="1" x14ac:dyDescent="0.25">
      <c r="T8060" s="135"/>
      <c r="U8060" s="135"/>
    </row>
    <row r="8061" spans="20:21" ht="15" customHeight="1" x14ac:dyDescent="0.25">
      <c r="T8061" s="135"/>
      <c r="U8061" s="135"/>
    </row>
    <row r="8062" spans="20:21" ht="15" customHeight="1" x14ac:dyDescent="0.25">
      <c r="T8062" s="135"/>
      <c r="U8062" s="135"/>
    </row>
    <row r="8063" spans="20:21" ht="15" customHeight="1" x14ac:dyDescent="0.25">
      <c r="T8063" s="135"/>
      <c r="U8063" s="135"/>
    </row>
    <row r="8064" spans="20:21" ht="15" customHeight="1" x14ac:dyDescent="0.25">
      <c r="T8064" s="135"/>
      <c r="U8064" s="135"/>
    </row>
    <row r="8065" spans="20:21" ht="15" customHeight="1" x14ac:dyDescent="0.25">
      <c r="T8065" s="135"/>
      <c r="U8065" s="135"/>
    </row>
    <row r="8066" spans="20:21" ht="15" customHeight="1" x14ac:dyDescent="0.25">
      <c r="T8066" s="135"/>
      <c r="U8066" s="135"/>
    </row>
    <row r="8067" spans="20:21" ht="15" customHeight="1" x14ac:dyDescent="0.25">
      <c r="T8067" s="135"/>
      <c r="U8067" s="135"/>
    </row>
    <row r="8068" spans="20:21" ht="15" customHeight="1" x14ac:dyDescent="0.25">
      <c r="T8068" s="135"/>
      <c r="U8068" s="135"/>
    </row>
    <row r="8069" spans="20:21" ht="15" customHeight="1" x14ac:dyDescent="0.25">
      <c r="T8069" s="135"/>
      <c r="U8069" s="135"/>
    </row>
    <row r="8070" spans="20:21" ht="15" customHeight="1" x14ac:dyDescent="0.25">
      <c r="T8070" s="135"/>
      <c r="U8070" s="135"/>
    </row>
    <row r="8071" spans="20:21" ht="15" customHeight="1" x14ac:dyDescent="0.25">
      <c r="T8071" s="135"/>
      <c r="U8071" s="135"/>
    </row>
    <row r="8072" spans="20:21" ht="15" customHeight="1" x14ac:dyDescent="0.25">
      <c r="T8072" s="135"/>
      <c r="U8072" s="135"/>
    </row>
    <row r="8073" spans="20:21" ht="15" customHeight="1" x14ac:dyDescent="0.25">
      <c r="T8073" s="135"/>
      <c r="U8073" s="135"/>
    </row>
    <row r="8074" spans="20:21" ht="15" customHeight="1" x14ac:dyDescent="0.25">
      <c r="T8074" s="135"/>
      <c r="U8074" s="135"/>
    </row>
    <row r="8075" spans="20:21" ht="15" customHeight="1" x14ac:dyDescent="0.25">
      <c r="T8075" s="135"/>
      <c r="U8075" s="135"/>
    </row>
    <row r="8076" spans="20:21" ht="15" customHeight="1" x14ac:dyDescent="0.25">
      <c r="T8076" s="135"/>
      <c r="U8076" s="135"/>
    </row>
    <row r="8077" spans="20:21" ht="15" customHeight="1" x14ac:dyDescent="0.25">
      <c r="T8077" s="135"/>
      <c r="U8077" s="135"/>
    </row>
    <row r="8078" spans="20:21" ht="15" customHeight="1" x14ac:dyDescent="0.25">
      <c r="T8078" s="135"/>
      <c r="U8078" s="135"/>
    </row>
    <row r="8079" spans="20:21" ht="15" customHeight="1" x14ac:dyDescent="0.25">
      <c r="T8079" s="135"/>
      <c r="U8079" s="135"/>
    </row>
    <row r="8080" spans="20:21" ht="15" customHeight="1" x14ac:dyDescent="0.25">
      <c r="T8080" s="135"/>
      <c r="U8080" s="135"/>
    </row>
    <row r="8081" spans="20:21" ht="15" customHeight="1" x14ac:dyDescent="0.25">
      <c r="T8081" s="135"/>
      <c r="U8081" s="135"/>
    </row>
    <row r="8082" spans="20:21" ht="15" customHeight="1" x14ac:dyDescent="0.25">
      <c r="T8082" s="135"/>
      <c r="U8082" s="135"/>
    </row>
    <row r="8083" spans="20:21" ht="15" customHeight="1" x14ac:dyDescent="0.25">
      <c r="T8083" s="135"/>
      <c r="U8083" s="135"/>
    </row>
    <row r="8084" spans="20:21" ht="15" customHeight="1" x14ac:dyDescent="0.25">
      <c r="T8084" s="135"/>
      <c r="U8084" s="135"/>
    </row>
    <row r="8085" spans="20:21" ht="15" customHeight="1" x14ac:dyDescent="0.25">
      <c r="T8085" s="135"/>
      <c r="U8085" s="135"/>
    </row>
    <row r="8086" spans="20:21" ht="15" customHeight="1" x14ac:dyDescent="0.25">
      <c r="T8086" s="135"/>
      <c r="U8086" s="135"/>
    </row>
    <row r="8087" spans="20:21" ht="15" customHeight="1" x14ac:dyDescent="0.25">
      <c r="T8087" s="135"/>
      <c r="U8087" s="135"/>
    </row>
    <row r="8088" spans="20:21" ht="15" customHeight="1" x14ac:dyDescent="0.25">
      <c r="T8088" s="135"/>
      <c r="U8088" s="135"/>
    </row>
    <row r="8089" spans="20:21" ht="15" customHeight="1" x14ac:dyDescent="0.25">
      <c r="T8089" s="135"/>
      <c r="U8089" s="135"/>
    </row>
    <row r="8090" spans="20:21" ht="15" customHeight="1" x14ac:dyDescent="0.25">
      <c r="T8090" s="135"/>
      <c r="U8090" s="135"/>
    </row>
    <row r="8091" spans="20:21" ht="15" customHeight="1" x14ac:dyDescent="0.25">
      <c r="T8091" s="135"/>
      <c r="U8091" s="135"/>
    </row>
    <row r="8092" spans="20:21" ht="15" customHeight="1" x14ac:dyDescent="0.25">
      <c r="T8092" s="135"/>
      <c r="U8092" s="135"/>
    </row>
    <row r="8093" spans="20:21" ht="15" customHeight="1" x14ac:dyDescent="0.25">
      <c r="T8093" s="135"/>
      <c r="U8093" s="135"/>
    </row>
    <row r="8094" spans="20:21" ht="15" customHeight="1" x14ac:dyDescent="0.25">
      <c r="T8094" s="135"/>
      <c r="U8094" s="135"/>
    </row>
    <row r="8095" spans="20:21" ht="15" customHeight="1" x14ac:dyDescent="0.25">
      <c r="T8095" s="135"/>
      <c r="U8095" s="135"/>
    </row>
    <row r="8096" spans="20:21" ht="15" customHeight="1" x14ac:dyDescent="0.25">
      <c r="T8096" s="135"/>
      <c r="U8096" s="135"/>
    </row>
    <row r="8097" spans="20:21" ht="15" customHeight="1" x14ac:dyDescent="0.25">
      <c r="T8097" s="135"/>
      <c r="U8097" s="135"/>
    </row>
    <row r="8098" spans="20:21" ht="15" customHeight="1" x14ac:dyDescent="0.25">
      <c r="T8098" s="135"/>
      <c r="U8098" s="135"/>
    </row>
    <row r="8099" spans="20:21" ht="15" customHeight="1" x14ac:dyDescent="0.25">
      <c r="T8099" s="135"/>
      <c r="U8099" s="135"/>
    </row>
    <row r="8100" spans="20:21" ht="15" customHeight="1" x14ac:dyDescent="0.25">
      <c r="T8100" s="135"/>
      <c r="U8100" s="135"/>
    </row>
    <row r="8101" spans="20:21" ht="15" customHeight="1" x14ac:dyDescent="0.25">
      <c r="T8101" s="135"/>
      <c r="U8101" s="135"/>
    </row>
    <row r="8102" spans="20:21" ht="15" customHeight="1" x14ac:dyDescent="0.25">
      <c r="T8102" s="135"/>
      <c r="U8102" s="135"/>
    </row>
    <row r="8103" spans="20:21" ht="15" customHeight="1" x14ac:dyDescent="0.25">
      <c r="T8103" s="135"/>
      <c r="U8103" s="135"/>
    </row>
    <row r="8104" spans="20:21" ht="15" customHeight="1" x14ac:dyDescent="0.25">
      <c r="T8104" s="135"/>
      <c r="U8104" s="135"/>
    </row>
    <row r="8105" spans="20:21" ht="15" customHeight="1" x14ac:dyDescent="0.25">
      <c r="T8105" s="135"/>
      <c r="U8105" s="135"/>
    </row>
    <row r="8106" spans="20:21" ht="15" customHeight="1" x14ac:dyDescent="0.25">
      <c r="T8106" s="135"/>
      <c r="U8106" s="135"/>
    </row>
    <row r="8107" spans="20:21" ht="15" customHeight="1" x14ac:dyDescent="0.25">
      <c r="T8107" s="135"/>
      <c r="U8107" s="135"/>
    </row>
    <row r="8108" spans="20:21" ht="15" customHeight="1" x14ac:dyDescent="0.25">
      <c r="T8108" s="135"/>
      <c r="U8108" s="135"/>
    </row>
    <row r="8109" spans="20:21" ht="15" customHeight="1" x14ac:dyDescent="0.25">
      <c r="T8109" s="135"/>
      <c r="U8109" s="135"/>
    </row>
    <row r="8110" spans="20:21" ht="15" customHeight="1" x14ac:dyDescent="0.25">
      <c r="T8110" s="135"/>
      <c r="U8110" s="135"/>
    </row>
    <row r="8111" spans="20:21" ht="15" customHeight="1" x14ac:dyDescent="0.25">
      <c r="T8111" s="135"/>
      <c r="U8111" s="135"/>
    </row>
    <row r="8112" spans="20:21" ht="15" customHeight="1" x14ac:dyDescent="0.25">
      <c r="T8112" s="135"/>
      <c r="U8112" s="135"/>
    </row>
    <row r="8113" spans="20:21" ht="15" customHeight="1" x14ac:dyDescent="0.25">
      <c r="T8113" s="135"/>
      <c r="U8113" s="135"/>
    </row>
    <row r="8114" spans="20:21" ht="15" customHeight="1" x14ac:dyDescent="0.25">
      <c r="T8114" s="135"/>
      <c r="U8114" s="135"/>
    </row>
    <row r="8115" spans="20:21" ht="15" customHeight="1" x14ac:dyDescent="0.25">
      <c r="T8115" s="135"/>
      <c r="U8115" s="135"/>
    </row>
    <row r="8116" spans="20:21" ht="15" customHeight="1" x14ac:dyDescent="0.25">
      <c r="T8116" s="135"/>
      <c r="U8116" s="135"/>
    </row>
    <row r="8117" spans="20:21" ht="15" customHeight="1" x14ac:dyDescent="0.25">
      <c r="T8117" s="135"/>
      <c r="U8117" s="135"/>
    </row>
    <row r="8118" spans="20:21" ht="15" customHeight="1" x14ac:dyDescent="0.25">
      <c r="T8118" s="135"/>
      <c r="U8118" s="135"/>
    </row>
    <row r="8119" spans="20:21" ht="15" customHeight="1" x14ac:dyDescent="0.25">
      <c r="T8119" s="135"/>
      <c r="U8119" s="135"/>
    </row>
    <row r="8120" spans="20:21" ht="15" customHeight="1" x14ac:dyDescent="0.25">
      <c r="T8120" s="135"/>
      <c r="U8120" s="135"/>
    </row>
    <row r="8121" spans="20:21" ht="15" customHeight="1" x14ac:dyDescent="0.25">
      <c r="T8121" s="135"/>
      <c r="U8121" s="135"/>
    </row>
    <row r="8122" spans="20:21" ht="15" customHeight="1" x14ac:dyDescent="0.25">
      <c r="T8122" s="135"/>
      <c r="U8122" s="135"/>
    </row>
    <row r="8123" spans="20:21" ht="15" customHeight="1" x14ac:dyDescent="0.25">
      <c r="T8123" s="135"/>
      <c r="U8123" s="135"/>
    </row>
    <row r="8124" spans="20:21" ht="15" customHeight="1" x14ac:dyDescent="0.25">
      <c r="T8124" s="135"/>
      <c r="U8124" s="135"/>
    </row>
    <row r="8125" spans="20:21" ht="15" customHeight="1" x14ac:dyDescent="0.25">
      <c r="T8125" s="135"/>
      <c r="U8125" s="135"/>
    </row>
    <row r="8126" spans="20:21" ht="15" customHeight="1" x14ac:dyDescent="0.25">
      <c r="T8126" s="135"/>
      <c r="U8126" s="135"/>
    </row>
    <row r="8127" spans="20:21" ht="15" customHeight="1" x14ac:dyDescent="0.25">
      <c r="T8127" s="135"/>
      <c r="U8127" s="135"/>
    </row>
    <row r="8128" spans="20:21" ht="15" customHeight="1" x14ac:dyDescent="0.25">
      <c r="T8128" s="135"/>
      <c r="U8128" s="135"/>
    </row>
    <row r="8129" spans="20:21" ht="15" customHeight="1" x14ac:dyDescent="0.25">
      <c r="T8129" s="135"/>
      <c r="U8129" s="135"/>
    </row>
    <row r="8130" spans="20:21" ht="15" customHeight="1" x14ac:dyDescent="0.25">
      <c r="T8130" s="135"/>
      <c r="U8130" s="135"/>
    </row>
    <row r="8131" spans="20:21" ht="15" customHeight="1" x14ac:dyDescent="0.25">
      <c r="T8131" s="135"/>
      <c r="U8131" s="135"/>
    </row>
    <row r="8132" spans="20:21" ht="15" customHeight="1" x14ac:dyDescent="0.25">
      <c r="T8132" s="135"/>
      <c r="U8132" s="135"/>
    </row>
    <row r="8133" spans="20:21" ht="15" customHeight="1" x14ac:dyDescent="0.25">
      <c r="T8133" s="135"/>
      <c r="U8133" s="135"/>
    </row>
    <row r="8134" spans="20:21" ht="15" customHeight="1" x14ac:dyDescent="0.25">
      <c r="T8134" s="135"/>
      <c r="U8134" s="135"/>
    </row>
    <row r="8135" spans="20:21" ht="15" customHeight="1" x14ac:dyDescent="0.25">
      <c r="T8135" s="135"/>
      <c r="U8135" s="135"/>
    </row>
    <row r="8136" spans="20:21" ht="15" customHeight="1" x14ac:dyDescent="0.25">
      <c r="T8136" s="135"/>
      <c r="U8136" s="135"/>
    </row>
    <row r="8137" spans="20:21" ht="15" customHeight="1" x14ac:dyDescent="0.25">
      <c r="T8137" s="135"/>
      <c r="U8137" s="135"/>
    </row>
    <row r="8138" spans="20:21" ht="15" customHeight="1" x14ac:dyDescent="0.25">
      <c r="T8138" s="135"/>
      <c r="U8138" s="135"/>
    </row>
    <row r="8139" spans="20:21" ht="15" customHeight="1" x14ac:dyDescent="0.25">
      <c r="T8139" s="135"/>
      <c r="U8139" s="135"/>
    </row>
    <row r="8140" spans="20:21" ht="15" customHeight="1" x14ac:dyDescent="0.25">
      <c r="T8140" s="135"/>
      <c r="U8140" s="135"/>
    </row>
    <row r="8141" spans="20:21" ht="15" customHeight="1" x14ac:dyDescent="0.25">
      <c r="T8141" s="135"/>
      <c r="U8141" s="135"/>
    </row>
    <row r="8142" spans="20:21" ht="15" customHeight="1" x14ac:dyDescent="0.25">
      <c r="T8142" s="135"/>
      <c r="U8142" s="135"/>
    </row>
    <row r="8143" spans="20:21" ht="15" customHeight="1" x14ac:dyDescent="0.25">
      <c r="T8143" s="135"/>
      <c r="U8143" s="135"/>
    </row>
    <row r="8144" spans="20:21" ht="15" customHeight="1" x14ac:dyDescent="0.25">
      <c r="T8144" s="135"/>
      <c r="U8144" s="135"/>
    </row>
    <row r="8145" spans="20:21" ht="15" customHeight="1" x14ac:dyDescent="0.25">
      <c r="T8145" s="135"/>
      <c r="U8145" s="135"/>
    </row>
    <row r="8146" spans="20:21" ht="15" customHeight="1" x14ac:dyDescent="0.25">
      <c r="T8146" s="135"/>
      <c r="U8146" s="135"/>
    </row>
    <row r="8147" spans="20:21" ht="15" customHeight="1" x14ac:dyDescent="0.25">
      <c r="T8147" s="135"/>
      <c r="U8147" s="135"/>
    </row>
    <row r="8148" spans="20:21" ht="15" customHeight="1" x14ac:dyDescent="0.25">
      <c r="T8148" s="135"/>
      <c r="U8148" s="135"/>
    </row>
    <row r="8149" spans="20:21" ht="15" customHeight="1" x14ac:dyDescent="0.25">
      <c r="T8149" s="135"/>
      <c r="U8149" s="135"/>
    </row>
    <row r="8150" spans="20:21" ht="15" customHeight="1" x14ac:dyDescent="0.25">
      <c r="T8150" s="135"/>
      <c r="U8150" s="135"/>
    </row>
    <row r="8151" spans="20:21" ht="15" customHeight="1" x14ac:dyDescent="0.25">
      <c r="T8151" s="135"/>
      <c r="U8151" s="135"/>
    </row>
    <row r="8152" spans="20:21" ht="15" customHeight="1" x14ac:dyDescent="0.25">
      <c r="T8152" s="135"/>
      <c r="U8152" s="135"/>
    </row>
    <row r="8153" spans="20:21" ht="15" customHeight="1" x14ac:dyDescent="0.25">
      <c r="T8153" s="135"/>
      <c r="U8153" s="135"/>
    </row>
    <row r="8154" spans="20:21" ht="15" customHeight="1" x14ac:dyDescent="0.25">
      <c r="T8154" s="135"/>
      <c r="U8154" s="135"/>
    </row>
    <row r="8155" spans="20:21" ht="15" customHeight="1" x14ac:dyDescent="0.25">
      <c r="T8155" s="135"/>
      <c r="U8155" s="135"/>
    </row>
    <row r="8156" spans="20:21" ht="15" customHeight="1" x14ac:dyDescent="0.25">
      <c r="T8156" s="135"/>
      <c r="U8156" s="135"/>
    </row>
    <row r="8157" spans="20:21" ht="15" customHeight="1" x14ac:dyDescent="0.25">
      <c r="T8157" s="135"/>
      <c r="U8157" s="135"/>
    </row>
    <row r="8158" spans="20:21" ht="15" customHeight="1" x14ac:dyDescent="0.25">
      <c r="T8158" s="135"/>
      <c r="U8158" s="135"/>
    </row>
    <row r="8159" spans="20:21" ht="15" customHeight="1" x14ac:dyDescent="0.25">
      <c r="T8159" s="135"/>
      <c r="U8159" s="135"/>
    </row>
    <row r="8160" spans="20:21" ht="15" customHeight="1" x14ac:dyDescent="0.25">
      <c r="T8160" s="135"/>
      <c r="U8160" s="135"/>
    </row>
    <row r="8161" spans="20:21" ht="15" customHeight="1" x14ac:dyDescent="0.25">
      <c r="T8161" s="135"/>
      <c r="U8161" s="135"/>
    </row>
    <row r="8162" spans="20:21" ht="15" customHeight="1" x14ac:dyDescent="0.25">
      <c r="T8162" s="135"/>
      <c r="U8162" s="135"/>
    </row>
    <row r="8163" spans="20:21" ht="15" customHeight="1" x14ac:dyDescent="0.25">
      <c r="T8163" s="135"/>
      <c r="U8163" s="135"/>
    </row>
    <row r="8164" spans="20:21" ht="15" customHeight="1" x14ac:dyDescent="0.25">
      <c r="T8164" s="135"/>
      <c r="U8164" s="135"/>
    </row>
    <row r="8165" spans="20:21" ht="15" customHeight="1" x14ac:dyDescent="0.25">
      <c r="T8165" s="135"/>
      <c r="U8165" s="135"/>
    </row>
    <row r="8166" spans="20:21" ht="15" customHeight="1" x14ac:dyDescent="0.25">
      <c r="T8166" s="135"/>
      <c r="U8166" s="135"/>
    </row>
    <row r="8167" spans="20:21" ht="15" customHeight="1" x14ac:dyDescent="0.25">
      <c r="T8167" s="135"/>
      <c r="U8167" s="135"/>
    </row>
    <row r="8168" spans="20:21" ht="15" customHeight="1" x14ac:dyDescent="0.25">
      <c r="T8168" s="135"/>
      <c r="U8168" s="135"/>
    </row>
    <row r="8169" spans="20:21" ht="15" customHeight="1" x14ac:dyDescent="0.25">
      <c r="T8169" s="135"/>
      <c r="U8169" s="135"/>
    </row>
    <row r="8170" spans="20:21" ht="15" customHeight="1" x14ac:dyDescent="0.25">
      <c r="T8170" s="135"/>
      <c r="U8170" s="135"/>
    </row>
    <row r="8171" spans="20:21" ht="15" customHeight="1" x14ac:dyDescent="0.25">
      <c r="T8171" s="135"/>
      <c r="U8171" s="135"/>
    </row>
    <row r="8172" spans="20:21" ht="15" customHeight="1" x14ac:dyDescent="0.25">
      <c r="T8172" s="135"/>
      <c r="U8172" s="135"/>
    </row>
    <row r="8173" spans="20:21" ht="15" customHeight="1" x14ac:dyDescent="0.25">
      <c r="T8173" s="135"/>
      <c r="U8173" s="135"/>
    </row>
    <row r="8174" spans="20:21" ht="15" customHeight="1" x14ac:dyDescent="0.25">
      <c r="T8174" s="135"/>
      <c r="U8174" s="135"/>
    </row>
    <row r="8175" spans="20:21" ht="15" customHeight="1" x14ac:dyDescent="0.25">
      <c r="T8175" s="135"/>
      <c r="U8175" s="135"/>
    </row>
    <row r="8176" spans="20:21" ht="15" customHeight="1" x14ac:dyDescent="0.25">
      <c r="T8176" s="135"/>
      <c r="U8176" s="135"/>
    </row>
    <row r="8177" spans="20:21" ht="15" customHeight="1" x14ac:dyDescent="0.25">
      <c r="T8177" s="135"/>
      <c r="U8177" s="135"/>
    </row>
    <row r="8178" spans="20:21" ht="15" customHeight="1" x14ac:dyDescent="0.25">
      <c r="T8178" s="135"/>
      <c r="U8178" s="135"/>
    </row>
    <row r="8179" spans="20:21" ht="15" customHeight="1" x14ac:dyDescent="0.25">
      <c r="T8179" s="135"/>
      <c r="U8179" s="135"/>
    </row>
    <row r="8180" spans="20:21" ht="15" customHeight="1" x14ac:dyDescent="0.25">
      <c r="T8180" s="135"/>
      <c r="U8180" s="135"/>
    </row>
    <row r="8181" spans="20:21" ht="15" customHeight="1" x14ac:dyDescent="0.25">
      <c r="T8181" s="135"/>
      <c r="U8181" s="135"/>
    </row>
    <row r="8182" spans="20:21" ht="15" customHeight="1" x14ac:dyDescent="0.25">
      <c r="T8182" s="135"/>
      <c r="U8182" s="135"/>
    </row>
    <row r="8183" spans="20:21" ht="15" customHeight="1" x14ac:dyDescent="0.25">
      <c r="T8183" s="135"/>
      <c r="U8183" s="135"/>
    </row>
    <row r="8184" spans="20:21" ht="15" customHeight="1" x14ac:dyDescent="0.25">
      <c r="T8184" s="135"/>
      <c r="U8184" s="135"/>
    </row>
    <row r="8185" spans="20:21" ht="15" customHeight="1" x14ac:dyDescent="0.25">
      <c r="T8185" s="135"/>
      <c r="U8185" s="135"/>
    </row>
    <row r="8186" spans="20:21" ht="15" customHeight="1" x14ac:dyDescent="0.25">
      <c r="T8186" s="135"/>
      <c r="U8186" s="135"/>
    </row>
    <row r="8187" spans="20:21" ht="15" customHeight="1" x14ac:dyDescent="0.25">
      <c r="T8187" s="135"/>
      <c r="U8187" s="135"/>
    </row>
    <row r="8188" spans="20:21" ht="15" customHeight="1" x14ac:dyDescent="0.25">
      <c r="T8188" s="135"/>
      <c r="U8188" s="135"/>
    </row>
    <row r="8189" spans="20:21" ht="15" customHeight="1" x14ac:dyDescent="0.25">
      <c r="T8189" s="135"/>
      <c r="U8189" s="135"/>
    </row>
    <row r="8190" spans="20:21" ht="15" customHeight="1" x14ac:dyDescent="0.25">
      <c r="T8190" s="135"/>
      <c r="U8190" s="135"/>
    </row>
    <row r="8191" spans="20:21" ht="15" customHeight="1" x14ac:dyDescent="0.25">
      <c r="T8191" s="135"/>
      <c r="U8191" s="135"/>
    </row>
    <row r="8192" spans="20:21" ht="15" customHeight="1" x14ac:dyDescent="0.25">
      <c r="T8192" s="135"/>
      <c r="U8192" s="135"/>
    </row>
    <row r="8193" spans="20:21" ht="15" customHeight="1" x14ac:dyDescent="0.25">
      <c r="T8193" s="135"/>
      <c r="U8193" s="135"/>
    </row>
    <row r="8194" spans="20:21" ht="15" customHeight="1" x14ac:dyDescent="0.25">
      <c r="T8194" s="135"/>
      <c r="U8194" s="135"/>
    </row>
    <row r="8195" spans="20:21" ht="15" customHeight="1" x14ac:dyDescent="0.25">
      <c r="T8195" s="135"/>
      <c r="U8195" s="135"/>
    </row>
    <row r="8196" spans="20:21" ht="15" customHeight="1" x14ac:dyDescent="0.25">
      <c r="T8196" s="135"/>
      <c r="U8196" s="135"/>
    </row>
    <row r="8197" spans="20:21" ht="15" customHeight="1" x14ac:dyDescent="0.25">
      <c r="T8197" s="135"/>
      <c r="U8197" s="135"/>
    </row>
    <row r="8198" spans="20:21" ht="15" customHeight="1" x14ac:dyDescent="0.25">
      <c r="T8198" s="135"/>
      <c r="U8198" s="135"/>
    </row>
    <row r="8199" spans="20:21" ht="15" customHeight="1" x14ac:dyDescent="0.25">
      <c r="T8199" s="135"/>
      <c r="U8199" s="135"/>
    </row>
    <row r="8200" spans="20:21" ht="15" customHeight="1" x14ac:dyDescent="0.25">
      <c r="T8200" s="135"/>
      <c r="U8200" s="135"/>
    </row>
    <row r="8201" spans="20:21" ht="15" customHeight="1" x14ac:dyDescent="0.25">
      <c r="T8201" s="135"/>
      <c r="U8201" s="135"/>
    </row>
    <row r="8202" spans="20:21" ht="15" customHeight="1" x14ac:dyDescent="0.25">
      <c r="T8202" s="135"/>
      <c r="U8202" s="135"/>
    </row>
    <row r="8203" spans="20:21" ht="15" customHeight="1" x14ac:dyDescent="0.25">
      <c r="T8203" s="135"/>
      <c r="U8203" s="135"/>
    </row>
    <row r="8204" spans="20:21" ht="15" customHeight="1" x14ac:dyDescent="0.25">
      <c r="T8204" s="135"/>
      <c r="U8204" s="135"/>
    </row>
    <row r="8205" spans="20:21" ht="15" customHeight="1" x14ac:dyDescent="0.25">
      <c r="T8205" s="135"/>
      <c r="U8205" s="135"/>
    </row>
    <row r="8206" spans="20:21" ht="15" customHeight="1" x14ac:dyDescent="0.25">
      <c r="T8206" s="135"/>
      <c r="U8206" s="135"/>
    </row>
    <row r="8207" spans="20:21" ht="15" customHeight="1" x14ac:dyDescent="0.25">
      <c r="T8207" s="135"/>
      <c r="U8207" s="135"/>
    </row>
    <row r="8208" spans="20:21" ht="15" customHeight="1" x14ac:dyDescent="0.25">
      <c r="T8208" s="135"/>
      <c r="U8208" s="135"/>
    </row>
    <row r="8209" spans="20:21" ht="15" customHeight="1" x14ac:dyDescent="0.25">
      <c r="T8209" s="135"/>
      <c r="U8209" s="135"/>
    </row>
    <row r="8210" spans="20:21" ht="15" customHeight="1" x14ac:dyDescent="0.25">
      <c r="T8210" s="135"/>
      <c r="U8210" s="135"/>
    </row>
    <row r="8211" spans="20:21" ht="15" customHeight="1" x14ac:dyDescent="0.25">
      <c r="T8211" s="135"/>
      <c r="U8211" s="135"/>
    </row>
    <row r="8212" spans="20:21" ht="15" customHeight="1" x14ac:dyDescent="0.25">
      <c r="T8212" s="135"/>
      <c r="U8212" s="135"/>
    </row>
    <row r="8213" spans="20:21" ht="15" customHeight="1" x14ac:dyDescent="0.25">
      <c r="T8213" s="135"/>
      <c r="U8213" s="135"/>
    </row>
    <row r="8214" spans="20:21" ht="15" customHeight="1" x14ac:dyDescent="0.25">
      <c r="T8214" s="135"/>
      <c r="U8214" s="135"/>
    </row>
    <row r="8215" spans="20:21" ht="15" customHeight="1" x14ac:dyDescent="0.25">
      <c r="T8215" s="135"/>
      <c r="U8215" s="135"/>
    </row>
    <row r="8216" spans="20:21" ht="15" customHeight="1" x14ac:dyDescent="0.25">
      <c r="T8216" s="135"/>
      <c r="U8216" s="135"/>
    </row>
    <row r="8217" spans="20:21" ht="15" customHeight="1" x14ac:dyDescent="0.25">
      <c r="T8217" s="135"/>
      <c r="U8217" s="135"/>
    </row>
    <row r="8218" spans="20:21" ht="15" customHeight="1" x14ac:dyDescent="0.25">
      <c r="T8218" s="135"/>
      <c r="U8218" s="135"/>
    </row>
    <row r="8219" spans="20:21" ht="15" customHeight="1" x14ac:dyDescent="0.25">
      <c r="T8219" s="135"/>
      <c r="U8219" s="135"/>
    </row>
    <row r="8220" spans="20:21" ht="15" customHeight="1" x14ac:dyDescent="0.25">
      <c r="T8220" s="135"/>
      <c r="U8220" s="135"/>
    </row>
    <row r="8221" spans="20:21" ht="15" customHeight="1" x14ac:dyDescent="0.25">
      <c r="T8221" s="135"/>
      <c r="U8221" s="135"/>
    </row>
    <row r="8222" spans="20:21" ht="15" customHeight="1" x14ac:dyDescent="0.25">
      <c r="T8222" s="135"/>
      <c r="U8222" s="135"/>
    </row>
    <row r="8223" spans="20:21" ht="15" customHeight="1" x14ac:dyDescent="0.25">
      <c r="T8223" s="135"/>
      <c r="U8223" s="135"/>
    </row>
    <row r="8224" spans="20:21" ht="15" customHeight="1" x14ac:dyDescent="0.25">
      <c r="T8224" s="135"/>
      <c r="U8224" s="135"/>
    </row>
    <row r="8225" spans="20:21" ht="15" customHeight="1" x14ac:dyDescent="0.25">
      <c r="T8225" s="135"/>
      <c r="U8225" s="135"/>
    </row>
    <row r="8226" spans="20:21" ht="15" customHeight="1" x14ac:dyDescent="0.25">
      <c r="T8226" s="135"/>
      <c r="U8226" s="135"/>
    </row>
    <row r="8227" spans="20:21" ht="15" customHeight="1" x14ac:dyDescent="0.25">
      <c r="T8227" s="135"/>
      <c r="U8227" s="135"/>
    </row>
    <row r="8228" spans="20:21" ht="15" customHeight="1" x14ac:dyDescent="0.25">
      <c r="T8228" s="135"/>
      <c r="U8228" s="135"/>
    </row>
    <row r="8229" spans="20:21" ht="15" customHeight="1" x14ac:dyDescent="0.25">
      <c r="T8229" s="135"/>
      <c r="U8229" s="135"/>
    </row>
    <row r="8230" spans="20:21" ht="15" customHeight="1" x14ac:dyDescent="0.25">
      <c r="T8230" s="135"/>
      <c r="U8230" s="135"/>
    </row>
    <row r="8231" spans="20:21" ht="15" customHeight="1" x14ac:dyDescent="0.25">
      <c r="T8231" s="135"/>
      <c r="U8231" s="135"/>
    </row>
    <row r="8232" spans="20:21" ht="15" customHeight="1" x14ac:dyDescent="0.25">
      <c r="T8232" s="135"/>
      <c r="U8232" s="135"/>
    </row>
    <row r="8233" spans="20:21" ht="15" customHeight="1" x14ac:dyDescent="0.25">
      <c r="T8233" s="135"/>
      <c r="U8233" s="135"/>
    </row>
    <row r="8234" spans="20:21" ht="15" customHeight="1" x14ac:dyDescent="0.25">
      <c r="T8234" s="135"/>
      <c r="U8234" s="135"/>
    </row>
    <row r="8235" spans="20:21" ht="15" customHeight="1" x14ac:dyDescent="0.25">
      <c r="T8235" s="135"/>
      <c r="U8235" s="135"/>
    </row>
    <row r="8236" spans="20:21" ht="15" customHeight="1" x14ac:dyDescent="0.25">
      <c r="T8236" s="135"/>
      <c r="U8236" s="135"/>
    </row>
    <row r="8237" spans="20:21" ht="15" customHeight="1" x14ac:dyDescent="0.25">
      <c r="T8237" s="135"/>
      <c r="U8237" s="135"/>
    </row>
    <row r="8238" spans="20:21" ht="15" customHeight="1" x14ac:dyDescent="0.25">
      <c r="T8238" s="135"/>
      <c r="U8238" s="135"/>
    </row>
    <row r="8239" spans="20:21" ht="15" customHeight="1" x14ac:dyDescent="0.25">
      <c r="T8239" s="135"/>
      <c r="U8239" s="135"/>
    </row>
    <row r="8240" spans="20:21" ht="15" customHeight="1" x14ac:dyDescent="0.25">
      <c r="T8240" s="135"/>
      <c r="U8240" s="135"/>
    </row>
    <row r="8241" spans="20:21" ht="15" customHeight="1" x14ac:dyDescent="0.25">
      <c r="T8241" s="135"/>
      <c r="U8241" s="135"/>
    </row>
    <row r="8242" spans="20:21" ht="15" customHeight="1" x14ac:dyDescent="0.25">
      <c r="T8242" s="135"/>
      <c r="U8242" s="135"/>
    </row>
    <row r="8243" spans="20:21" ht="15" customHeight="1" x14ac:dyDescent="0.25">
      <c r="T8243" s="135"/>
      <c r="U8243" s="135"/>
    </row>
    <row r="8244" spans="20:21" ht="15" customHeight="1" x14ac:dyDescent="0.25">
      <c r="T8244" s="135"/>
      <c r="U8244" s="135"/>
    </row>
    <row r="8245" spans="20:21" ht="15" customHeight="1" x14ac:dyDescent="0.25">
      <c r="T8245" s="135"/>
      <c r="U8245" s="135"/>
    </row>
    <row r="8246" spans="20:21" ht="15" customHeight="1" x14ac:dyDescent="0.25">
      <c r="T8246" s="135"/>
      <c r="U8246" s="135"/>
    </row>
    <row r="8247" spans="20:21" ht="15" customHeight="1" x14ac:dyDescent="0.25">
      <c r="T8247" s="135"/>
      <c r="U8247" s="135"/>
    </row>
    <row r="8248" spans="20:21" ht="15" customHeight="1" x14ac:dyDescent="0.25">
      <c r="T8248" s="135"/>
      <c r="U8248" s="135"/>
    </row>
    <row r="8249" spans="20:21" ht="15" customHeight="1" x14ac:dyDescent="0.25">
      <c r="T8249" s="135"/>
      <c r="U8249" s="135"/>
    </row>
    <row r="8250" spans="20:21" ht="15" customHeight="1" x14ac:dyDescent="0.25">
      <c r="T8250" s="135"/>
      <c r="U8250" s="135"/>
    </row>
    <row r="8251" spans="20:21" ht="15" customHeight="1" x14ac:dyDescent="0.25">
      <c r="T8251" s="135"/>
      <c r="U8251" s="135"/>
    </row>
    <row r="8252" spans="20:21" ht="15" customHeight="1" x14ac:dyDescent="0.25">
      <c r="T8252" s="135"/>
      <c r="U8252" s="135"/>
    </row>
    <row r="8253" spans="20:21" ht="15" customHeight="1" x14ac:dyDescent="0.25">
      <c r="T8253" s="135"/>
      <c r="U8253" s="135"/>
    </row>
    <row r="8254" spans="20:21" ht="15" customHeight="1" x14ac:dyDescent="0.25">
      <c r="T8254" s="135"/>
      <c r="U8254" s="135"/>
    </row>
    <row r="8255" spans="20:21" ht="15" customHeight="1" x14ac:dyDescent="0.25">
      <c r="T8255" s="135"/>
      <c r="U8255" s="135"/>
    </row>
    <row r="8256" spans="20:21" ht="15" customHeight="1" x14ac:dyDescent="0.25">
      <c r="T8256" s="135"/>
      <c r="U8256" s="135"/>
    </row>
    <row r="8257" spans="20:21" ht="15" customHeight="1" x14ac:dyDescent="0.25">
      <c r="T8257" s="135"/>
      <c r="U8257" s="135"/>
    </row>
    <row r="8258" spans="20:21" ht="15" customHeight="1" x14ac:dyDescent="0.25">
      <c r="T8258" s="135"/>
      <c r="U8258" s="135"/>
    </row>
    <row r="8259" spans="20:21" ht="15" customHeight="1" x14ac:dyDescent="0.25">
      <c r="T8259" s="135"/>
      <c r="U8259" s="135"/>
    </row>
    <row r="8260" spans="20:21" ht="15" customHeight="1" x14ac:dyDescent="0.25">
      <c r="T8260" s="135"/>
      <c r="U8260" s="135"/>
    </row>
    <row r="8261" spans="20:21" ht="15" customHeight="1" x14ac:dyDescent="0.25">
      <c r="T8261" s="135"/>
      <c r="U8261" s="135"/>
    </row>
    <row r="8262" spans="20:21" ht="15" customHeight="1" x14ac:dyDescent="0.25">
      <c r="T8262" s="135"/>
      <c r="U8262" s="135"/>
    </row>
    <row r="8263" spans="20:21" ht="15" customHeight="1" x14ac:dyDescent="0.25">
      <c r="T8263" s="135"/>
      <c r="U8263" s="135"/>
    </row>
    <row r="8264" spans="20:21" ht="15" customHeight="1" x14ac:dyDescent="0.25">
      <c r="T8264" s="135"/>
      <c r="U8264" s="135"/>
    </row>
    <row r="8265" spans="20:21" ht="15" customHeight="1" x14ac:dyDescent="0.25">
      <c r="T8265" s="135"/>
      <c r="U8265" s="135"/>
    </row>
    <row r="8266" spans="20:21" ht="15" customHeight="1" x14ac:dyDescent="0.25">
      <c r="T8266" s="135"/>
      <c r="U8266" s="135"/>
    </row>
    <row r="8267" spans="20:21" ht="15" customHeight="1" x14ac:dyDescent="0.25">
      <c r="T8267" s="135"/>
      <c r="U8267" s="135"/>
    </row>
    <row r="8268" spans="20:21" ht="15" customHeight="1" x14ac:dyDescent="0.25">
      <c r="T8268" s="135"/>
      <c r="U8268" s="135"/>
    </row>
    <row r="8269" spans="20:21" ht="15" customHeight="1" x14ac:dyDescent="0.25">
      <c r="T8269" s="135"/>
      <c r="U8269" s="135"/>
    </row>
    <row r="8270" spans="20:21" ht="15" customHeight="1" x14ac:dyDescent="0.25">
      <c r="T8270" s="135"/>
      <c r="U8270" s="135"/>
    </row>
    <row r="8271" spans="20:21" ht="15" customHeight="1" x14ac:dyDescent="0.25">
      <c r="T8271" s="135"/>
      <c r="U8271" s="135"/>
    </row>
    <row r="8272" spans="20:21" ht="15" customHeight="1" x14ac:dyDescent="0.25">
      <c r="T8272" s="135"/>
      <c r="U8272" s="135"/>
    </row>
    <row r="8273" spans="20:21" ht="15" customHeight="1" x14ac:dyDescent="0.25">
      <c r="T8273" s="135"/>
      <c r="U8273" s="135"/>
    </row>
    <row r="8274" spans="20:21" ht="15" customHeight="1" x14ac:dyDescent="0.25">
      <c r="T8274" s="135"/>
      <c r="U8274" s="135"/>
    </row>
    <row r="8275" spans="20:21" ht="15" customHeight="1" x14ac:dyDescent="0.25">
      <c r="T8275" s="135"/>
      <c r="U8275" s="135"/>
    </row>
    <row r="8276" spans="20:21" ht="15" customHeight="1" x14ac:dyDescent="0.25">
      <c r="T8276" s="135"/>
      <c r="U8276" s="135"/>
    </row>
    <row r="8277" spans="20:21" ht="15" customHeight="1" x14ac:dyDescent="0.25">
      <c r="T8277" s="135"/>
      <c r="U8277" s="135"/>
    </row>
    <row r="8278" spans="20:21" ht="15" customHeight="1" x14ac:dyDescent="0.25">
      <c r="T8278" s="135"/>
      <c r="U8278" s="135"/>
    </row>
    <row r="8279" spans="20:21" ht="15" customHeight="1" x14ac:dyDescent="0.25">
      <c r="T8279" s="135"/>
      <c r="U8279" s="135"/>
    </row>
    <row r="8280" spans="20:21" ht="15" customHeight="1" x14ac:dyDescent="0.25">
      <c r="T8280" s="135"/>
      <c r="U8280" s="135"/>
    </row>
    <row r="8281" spans="20:21" ht="15" customHeight="1" x14ac:dyDescent="0.25">
      <c r="T8281" s="135"/>
      <c r="U8281" s="135"/>
    </row>
    <row r="8282" spans="20:21" ht="15" customHeight="1" x14ac:dyDescent="0.25">
      <c r="T8282" s="135"/>
      <c r="U8282" s="135"/>
    </row>
    <row r="8283" spans="20:21" ht="15" customHeight="1" x14ac:dyDescent="0.25">
      <c r="T8283" s="135"/>
      <c r="U8283" s="135"/>
    </row>
    <row r="8284" spans="20:21" ht="15" customHeight="1" x14ac:dyDescent="0.25">
      <c r="T8284" s="135"/>
      <c r="U8284" s="135"/>
    </row>
    <row r="8285" spans="20:21" ht="15" customHeight="1" x14ac:dyDescent="0.25">
      <c r="T8285" s="135"/>
      <c r="U8285" s="135"/>
    </row>
    <row r="8286" spans="20:21" ht="15" customHeight="1" x14ac:dyDescent="0.25">
      <c r="T8286" s="135"/>
      <c r="U8286" s="135"/>
    </row>
    <row r="8287" spans="20:21" ht="15" customHeight="1" x14ac:dyDescent="0.25">
      <c r="T8287" s="135"/>
      <c r="U8287" s="135"/>
    </row>
    <row r="8288" spans="20:21" ht="15" customHeight="1" x14ac:dyDescent="0.25">
      <c r="T8288" s="135"/>
      <c r="U8288" s="135"/>
    </row>
    <row r="8289" spans="20:21" ht="15" customHeight="1" x14ac:dyDescent="0.25">
      <c r="T8289" s="135"/>
      <c r="U8289" s="135"/>
    </row>
    <row r="8290" spans="20:21" ht="15" customHeight="1" x14ac:dyDescent="0.25">
      <c r="T8290" s="135"/>
      <c r="U8290" s="135"/>
    </row>
    <row r="8291" spans="20:21" ht="15" customHeight="1" x14ac:dyDescent="0.25">
      <c r="T8291" s="135"/>
      <c r="U8291" s="135"/>
    </row>
    <row r="8292" spans="20:21" ht="15" customHeight="1" x14ac:dyDescent="0.25">
      <c r="T8292" s="135"/>
      <c r="U8292" s="135"/>
    </row>
    <row r="8293" spans="20:21" ht="15" customHeight="1" x14ac:dyDescent="0.25">
      <c r="T8293" s="135"/>
      <c r="U8293" s="135"/>
    </row>
    <row r="8294" spans="20:21" ht="15" customHeight="1" x14ac:dyDescent="0.25">
      <c r="T8294" s="135"/>
      <c r="U8294" s="135"/>
    </row>
    <row r="8295" spans="20:21" ht="15" customHeight="1" x14ac:dyDescent="0.25">
      <c r="T8295" s="135"/>
      <c r="U8295" s="135"/>
    </row>
    <row r="8296" spans="20:21" ht="15" customHeight="1" x14ac:dyDescent="0.25">
      <c r="T8296" s="135"/>
      <c r="U8296" s="135"/>
    </row>
    <row r="8297" spans="20:21" ht="15" customHeight="1" x14ac:dyDescent="0.25">
      <c r="T8297" s="135"/>
      <c r="U8297" s="135"/>
    </row>
    <row r="8298" spans="20:21" ht="15" customHeight="1" x14ac:dyDescent="0.25">
      <c r="T8298" s="135"/>
      <c r="U8298" s="135"/>
    </row>
    <row r="8299" spans="20:21" ht="15" customHeight="1" x14ac:dyDescent="0.25">
      <c r="T8299" s="135"/>
      <c r="U8299" s="135"/>
    </row>
    <row r="8300" spans="20:21" ht="15" customHeight="1" x14ac:dyDescent="0.25">
      <c r="T8300" s="135"/>
      <c r="U8300" s="135"/>
    </row>
    <row r="8301" spans="20:21" ht="15" customHeight="1" x14ac:dyDescent="0.25">
      <c r="T8301" s="135"/>
      <c r="U8301" s="135"/>
    </row>
    <row r="8302" spans="20:21" ht="15" customHeight="1" x14ac:dyDescent="0.25">
      <c r="T8302" s="135"/>
      <c r="U8302" s="135"/>
    </row>
    <row r="8303" spans="20:21" ht="15" customHeight="1" x14ac:dyDescent="0.25">
      <c r="T8303" s="135"/>
      <c r="U8303" s="135"/>
    </row>
    <row r="8304" spans="20:21" ht="15" customHeight="1" x14ac:dyDescent="0.25">
      <c r="T8304" s="135"/>
      <c r="U8304" s="135"/>
    </row>
    <row r="8305" spans="20:21" ht="15" customHeight="1" x14ac:dyDescent="0.25">
      <c r="T8305" s="135"/>
      <c r="U8305" s="135"/>
    </row>
    <row r="8306" spans="20:21" ht="15" customHeight="1" x14ac:dyDescent="0.25">
      <c r="T8306" s="135"/>
      <c r="U8306" s="135"/>
    </row>
    <row r="8307" spans="20:21" ht="15" customHeight="1" x14ac:dyDescent="0.25">
      <c r="T8307" s="135"/>
      <c r="U8307" s="135"/>
    </row>
    <row r="8308" spans="20:21" ht="15" customHeight="1" x14ac:dyDescent="0.25">
      <c r="T8308" s="135"/>
      <c r="U8308" s="135"/>
    </row>
    <row r="8309" spans="20:21" ht="15" customHeight="1" x14ac:dyDescent="0.25">
      <c r="T8309" s="135"/>
      <c r="U8309" s="135"/>
    </row>
    <row r="8310" spans="20:21" ht="15" customHeight="1" x14ac:dyDescent="0.25">
      <c r="T8310" s="135"/>
      <c r="U8310" s="135"/>
    </row>
    <row r="8311" spans="20:21" ht="15" customHeight="1" x14ac:dyDescent="0.25">
      <c r="T8311" s="135"/>
      <c r="U8311" s="135"/>
    </row>
    <row r="8312" spans="20:21" ht="15" customHeight="1" x14ac:dyDescent="0.25">
      <c r="T8312" s="135"/>
      <c r="U8312" s="135"/>
    </row>
    <row r="8313" spans="20:21" ht="15" customHeight="1" x14ac:dyDescent="0.25">
      <c r="T8313" s="135"/>
      <c r="U8313" s="135"/>
    </row>
    <row r="8314" spans="20:21" ht="15" customHeight="1" x14ac:dyDescent="0.25">
      <c r="T8314" s="135"/>
      <c r="U8314" s="135"/>
    </row>
    <row r="8315" spans="20:21" ht="15" customHeight="1" x14ac:dyDescent="0.25">
      <c r="T8315" s="135"/>
      <c r="U8315" s="135"/>
    </row>
    <row r="8316" spans="20:21" ht="15" customHeight="1" x14ac:dyDescent="0.25">
      <c r="T8316" s="135"/>
      <c r="U8316" s="135"/>
    </row>
    <row r="8317" spans="20:21" ht="15" customHeight="1" x14ac:dyDescent="0.25">
      <c r="T8317" s="135"/>
      <c r="U8317" s="135"/>
    </row>
    <row r="8318" spans="20:21" ht="15" customHeight="1" x14ac:dyDescent="0.25">
      <c r="T8318" s="135"/>
      <c r="U8318" s="135"/>
    </row>
    <row r="8319" spans="20:21" ht="15" customHeight="1" x14ac:dyDescent="0.25">
      <c r="T8319" s="135"/>
      <c r="U8319" s="135"/>
    </row>
    <row r="8320" spans="20:21" ht="15" customHeight="1" x14ac:dyDescent="0.25">
      <c r="T8320" s="135"/>
      <c r="U8320" s="135"/>
    </row>
    <row r="8321" spans="20:21" ht="15" customHeight="1" x14ac:dyDescent="0.25">
      <c r="T8321" s="135"/>
      <c r="U8321" s="135"/>
    </row>
    <row r="8322" spans="20:21" ht="15" customHeight="1" x14ac:dyDescent="0.25">
      <c r="T8322" s="135"/>
      <c r="U8322" s="135"/>
    </row>
    <row r="8323" spans="20:21" ht="15" customHeight="1" x14ac:dyDescent="0.25">
      <c r="T8323" s="135"/>
      <c r="U8323" s="135"/>
    </row>
    <row r="8324" spans="20:21" ht="15" customHeight="1" x14ac:dyDescent="0.25">
      <c r="T8324" s="135"/>
      <c r="U8324" s="135"/>
    </row>
    <row r="8325" spans="20:21" ht="15" customHeight="1" x14ac:dyDescent="0.25">
      <c r="T8325" s="135"/>
      <c r="U8325" s="135"/>
    </row>
    <row r="8326" spans="20:21" ht="15" customHeight="1" x14ac:dyDescent="0.25">
      <c r="T8326" s="135"/>
      <c r="U8326" s="135"/>
    </row>
    <row r="8327" spans="20:21" ht="15" customHeight="1" x14ac:dyDescent="0.25">
      <c r="T8327" s="135"/>
      <c r="U8327" s="135"/>
    </row>
    <row r="8328" spans="20:21" ht="15" customHeight="1" x14ac:dyDescent="0.25">
      <c r="T8328" s="135"/>
      <c r="U8328" s="135"/>
    </row>
    <row r="8329" spans="20:21" ht="15" customHeight="1" x14ac:dyDescent="0.25">
      <c r="T8329" s="135"/>
      <c r="U8329" s="135"/>
    </row>
    <row r="8330" spans="20:21" ht="15" customHeight="1" x14ac:dyDescent="0.25">
      <c r="T8330" s="135"/>
      <c r="U8330" s="135"/>
    </row>
    <row r="8331" spans="20:21" ht="15" customHeight="1" x14ac:dyDescent="0.25">
      <c r="T8331" s="135"/>
      <c r="U8331" s="135"/>
    </row>
    <row r="8332" spans="20:21" ht="15" customHeight="1" x14ac:dyDescent="0.25">
      <c r="T8332" s="135"/>
      <c r="U8332" s="135"/>
    </row>
    <row r="8333" spans="20:21" ht="15" customHeight="1" x14ac:dyDescent="0.25">
      <c r="T8333" s="135"/>
      <c r="U8333" s="135"/>
    </row>
    <row r="8334" spans="20:21" ht="15" customHeight="1" x14ac:dyDescent="0.25">
      <c r="T8334" s="135"/>
      <c r="U8334" s="135"/>
    </row>
    <row r="8335" spans="20:21" ht="15" customHeight="1" x14ac:dyDescent="0.25">
      <c r="T8335" s="135"/>
      <c r="U8335" s="135"/>
    </row>
    <row r="8336" spans="20:21" ht="15" customHeight="1" x14ac:dyDescent="0.25">
      <c r="T8336" s="135"/>
      <c r="U8336" s="135"/>
    </row>
    <row r="8337" spans="20:21" ht="15" customHeight="1" x14ac:dyDescent="0.25">
      <c r="T8337" s="135"/>
      <c r="U8337" s="135"/>
    </row>
    <row r="8338" spans="20:21" ht="15" customHeight="1" x14ac:dyDescent="0.25">
      <c r="T8338" s="135"/>
      <c r="U8338" s="135"/>
    </row>
    <row r="8339" spans="20:21" ht="15" customHeight="1" x14ac:dyDescent="0.25">
      <c r="T8339" s="135"/>
      <c r="U8339" s="135"/>
    </row>
    <row r="8340" spans="20:21" ht="15" customHeight="1" x14ac:dyDescent="0.25">
      <c r="T8340" s="135"/>
      <c r="U8340" s="135"/>
    </row>
    <row r="8341" spans="20:21" ht="15" customHeight="1" x14ac:dyDescent="0.25">
      <c r="T8341" s="135"/>
      <c r="U8341" s="135"/>
    </row>
    <row r="8342" spans="20:21" ht="15" customHeight="1" x14ac:dyDescent="0.25">
      <c r="T8342" s="135"/>
      <c r="U8342" s="135"/>
    </row>
    <row r="8343" spans="20:21" ht="15" customHeight="1" x14ac:dyDescent="0.25">
      <c r="T8343" s="135"/>
      <c r="U8343" s="135"/>
    </row>
    <row r="8344" spans="20:21" ht="15" customHeight="1" x14ac:dyDescent="0.25">
      <c r="T8344" s="135"/>
      <c r="U8344" s="135"/>
    </row>
    <row r="8345" spans="20:21" ht="15" customHeight="1" x14ac:dyDescent="0.25">
      <c r="T8345" s="135"/>
      <c r="U8345" s="135"/>
    </row>
    <row r="8346" spans="20:21" ht="15" customHeight="1" x14ac:dyDescent="0.25">
      <c r="T8346" s="135"/>
      <c r="U8346" s="135"/>
    </row>
    <row r="8347" spans="20:21" ht="15" customHeight="1" x14ac:dyDescent="0.25">
      <c r="T8347" s="135"/>
      <c r="U8347" s="135"/>
    </row>
    <row r="8348" spans="20:21" ht="15" customHeight="1" x14ac:dyDescent="0.25">
      <c r="T8348" s="135"/>
      <c r="U8348" s="135"/>
    </row>
    <row r="8349" spans="20:21" ht="15" customHeight="1" x14ac:dyDescent="0.25">
      <c r="T8349" s="135"/>
      <c r="U8349" s="135"/>
    </row>
    <row r="8350" spans="20:21" ht="15" customHeight="1" x14ac:dyDescent="0.25">
      <c r="T8350" s="135"/>
      <c r="U8350" s="135"/>
    </row>
    <row r="8351" spans="20:21" ht="15" customHeight="1" x14ac:dyDescent="0.25">
      <c r="T8351" s="135"/>
      <c r="U8351" s="135"/>
    </row>
    <row r="8352" spans="20:21" ht="15" customHeight="1" x14ac:dyDescent="0.25">
      <c r="T8352" s="135"/>
      <c r="U8352" s="135"/>
    </row>
    <row r="8353" spans="20:21" ht="15" customHeight="1" x14ac:dyDescent="0.25">
      <c r="T8353" s="135"/>
      <c r="U8353" s="135"/>
    </row>
    <row r="8354" spans="20:21" ht="15" customHeight="1" x14ac:dyDescent="0.25">
      <c r="T8354" s="135"/>
      <c r="U8354" s="135"/>
    </row>
    <row r="8355" spans="20:21" ht="15" customHeight="1" x14ac:dyDescent="0.25">
      <c r="T8355" s="135"/>
      <c r="U8355" s="135"/>
    </row>
    <row r="8356" spans="20:21" ht="15" customHeight="1" x14ac:dyDescent="0.25">
      <c r="T8356" s="135"/>
      <c r="U8356" s="135"/>
    </row>
    <row r="8357" spans="20:21" ht="15" customHeight="1" x14ac:dyDescent="0.25">
      <c r="T8357" s="135"/>
      <c r="U8357" s="135"/>
    </row>
    <row r="8358" spans="20:21" ht="15" customHeight="1" x14ac:dyDescent="0.25">
      <c r="T8358" s="135"/>
      <c r="U8358" s="135"/>
    </row>
    <row r="8359" spans="20:21" ht="15" customHeight="1" x14ac:dyDescent="0.25">
      <c r="T8359" s="135"/>
      <c r="U8359" s="135"/>
    </row>
    <row r="8360" spans="20:21" ht="15" customHeight="1" x14ac:dyDescent="0.25">
      <c r="T8360" s="135"/>
      <c r="U8360" s="135"/>
    </row>
    <row r="8361" spans="20:21" ht="15" customHeight="1" x14ac:dyDescent="0.25">
      <c r="T8361" s="135"/>
      <c r="U8361" s="135"/>
    </row>
    <row r="8362" spans="20:21" ht="15" customHeight="1" x14ac:dyDescent="0.25">
      <c r="T8362" s="135"/>
      <c r="U8362" s="135"/>
    </row>
    <row r="8363" spans="20:21" ht="15" customHeight="1" x14ac:dyDescent="0.25">
      <c r="T8363" s="135"/>
      <c r="U8363" s="135"/>
    </row>
    <row r="8364" spans="20:21" ht="15" customHeight="1" x14ac:dyDescent="0.25">
      <c r="T8364" s="135"/>
      <c r="U8364" s="135"/>
    </row>
    <row r="8365" spans="20:21" ht="15" customHeight="1" x14ac:dyDescent="0.25">
      <c r="T8365" s="135"/>
      <c r="U8365" s="135"/>
    </row>
    <row r="8366" spans="20:21" ht="15" customHeight="1" x14ac:dyDescent="0.25">
      <c r="T8366" s="135"/>
      <c r="U8366" s="135"/>
    </row>
    <row r="8367" spans="20:21" ht="15" customHeight="1" x14ac:dyDescent="0.25">
      <c r="T8367" s="135"/>
      <c r="U8367" s="135"/>
    </row>
    <row r="8368" spans="20:21" ht="15" customHeight="1" x14ac:dyDescent="0.25">
      <c r="T8368" s="135"/>
      <c r="U8368" s="135"/>
    </row>
    <row r="8369" spans="20:21" ht="15" customHeight="1" x14ac:dyDescent="0.25">
      <c r="T8369" s="135"/>
      <c r="U8369" s="135"/>
    </row>
    <row r="8370" spans="20:21" ht="15" customHeight="1" x14ac:dyDescent="0.25">
      <c r="T8370" s="135"/>
      <c r="U8370" s="135"/>
    </row>
    <row r="8371" spans="20:21" ht="15" customHeight="1" x14ac:dyDescent="0.25">
      <c r="T8371" s="135"/>
      <c r="U8371" s="135"/>
    </row>
    <row r="8372" spans="20:21" ht="15" customHeight="1" x14ac:dyDescent="0.25">
      <c r="T8372" s="135"/>
      <c r="U8372" s="135"/>
    </row>
    <row r="8373" spans="20:21" ht="15" customHeight="1" x14ac:dyDescent="0.25">
      <c r="T8373" s="135"/>
      <c r="U8373" s="135"/>
    </row>
    <row r="8374" spans="20:21" ht="15" customHeight="1" x14ac:dyDescent="0.25">
      <c r="T8374" s="135"/>
      <c r="U8374" s="135"/>
    </row>
    <row r="8375" spans="20:21" ht="15" customHeight="1" x14ac:dyDescent="0.25">
      <c r="T8375" s="135"/>
      <c r="U8375" s="135"/>
    </row>
    <row r="8376" spans="20:21" ht="15" customHeight="1" x14ac:dyDescent="0.25">
      <c r="T8376" s="135"/>
      <c r="U8376" s="135"/>
    </row>
    <row r="8377" spans="20:21" ht="15" customHeight="1" x14ac:dyDescent="0.25">
      <c r="T8377" s="135"/>
      <c r="U8377" s="135"/>
    </row>
    <row r="8378" spans="20:21" ht="15" customHeight="1" x14ac:dyDescent="0.25">
      <c r="T8378" s="135"/>
      <c r="U8378" s="135"/>
    </row>
    <row r="8379" spans="20:21" ht="15" customHeight="1" x14ac:dyDescent="0.25">
      <c r="T8379" s="135"/>
      <c r="U8379" s="135"/>
    </row>
    <row r="8380" spans="20:21" ht="15" customHeight="1" x14ac:dyDescent="0.25">
      <c r="T8380" s="135"/>
      <c r="U8380" s="135"/>
    </row>
    <row r="8381" spans="20:21" ht="15" customHeight="1" x14ac:dyDescent="0.25">
      <c r="T8381" s="135"/>
      <c r="U8381" s="135"/>
    </row>
    <row r="8382" spans="20:21" ht="15" customHeight="1" x14ac:dyDescent="0.25">
      <c r="T8382" s="135"/>
      <c r="U8382" s="135"/>
    </row>
    <row r="8383" spans="20:21" ht="15" customHeight="1" x14ac:dyDescent="0.25">
      <c r="T8383" s="135"/>
      <c r="U8383" s="135"/>
    </row>
    <row r="8384" spans="20:21" ht="15" customHeight="1" x14ac:dyDescent="0.25">
      <c r="T8384" s="135"/>
      <c r="U8384" s="135"/>
    </row>
    <row r="8385" spans="20:21" ht="15" customHeight="1" x14ac:dyDescent="0.25">
      <c r="T8385" s="135"/>
      <c r="U8385" s="135"/>
    </row>
    <row r="8386" spans="20:21" ht="15" customHeight="1" x14ac:dyDescent="0.25">
      <c r="T8386" s="135"/>
      <c r="U8386" s="135"/>
    </row>
    <row r="8387" spans="20:21" ht="15" customHeight="1" x14ac:dyDescent="0.25">
      <c r="T8387" s="135"/>
      <c r="U8387" s="135"/>
    </row>
    <row r="8388" spans="20:21" ht="15" customHeight="1" x14ac:dyDescent="0.25">
      <c r="T8388" s="135"/>
      <c r="U8388" s="135"/>
    </row>
    <row r="8389" spans="20:21" ht="15" customHeight="1" x14ac:dyDescent="0.25">
      <c r="T8389" s="135"/>
      <c r="U8389" s="135"/>
    </row>
    <row r="8390" spans="20:21" ht="15" customHeight="1" x14ac:dyDescent="0.25">
      <c r="T8390" s="135"/>
      <c r="U8390" s="135"/>
    </row>
    <row r="8391" spans="20:21" ht="15" customHeight="1" x14ac:dyDescent="0.25">
      <c r="T8391" s="135"/>
      <c r="U8391" s="135"/>
    </row>
    <row r="8392" spans="20:21" ht="15" customHeight="1" x14ac:dyDescent="0.25">
      <c r="T8392" s="135"/>
      <c r="U8392" s="135"/>
    </row>
    <row r="8393" spans="20:21" ht="15" customHeight="1" x14ac:dyDescent="0.25">
      <c r="T8393" s="135"/>
      <c r="U8393" s="135"/>
    </row>
    <row r="8394" spans="20:21" ht="15" customHeight="1" x14ac:dyDescent="0.25">
      <c r="T8394" s="135"/>
      <c r="U8394" s="135"/>
    </row>
    <row r="8395" spans="20:21" ht="15" customHeight="1" x14ac:dyDescent="0.25">
      <c r="T8395" s="135"/>
      <c r="U8395" s="135"/>
    </row>
    <row r="8396" spans="20:21" ht="15" customHeight="1" x14ac:dyDescent="0.25">
      <c r="T8396" s="135"/>
      <c r="U8396" s="135"/>
    </row>
    <row r="8397" spans="20:21" ht="15" customHeight="1" x14ac:dyDescent="0.25">
      <c r="T8397" s="135"/>
      <c r="U8397" s="135"/>
    </row>
    <row r="8398" spans="20:21" ht="15" customHeight="1" x14ac:dyDescent="0.25">
      <c r="T8398" s="135"/>
      <c r="U8398" s="135"/>
    </row>
    <row r="8399" spans="20:21" ht="15" customHeight="1" x14ac:dyDescent="0.25">
      <c r="T8399" s="135"/>
      <c r="U8399" s="135"/>
    </row>
    <row r="8400" spans="20:21" ht="15" customHeight="1" x14ac:dyDescent="0.25">
      <c r="T8400" s="135"/>
      <c r="U8400" s="135"/>
    </row>
    <row r="8401" spans="20:21" ht="15" customHeight="1" x14ac:dyDescent="0.25">
      <c r="T8401" s="135"/>
      <c r="U8401" s="135"/>
    </row>
    <row r="8402" spans="20:21" ht="15" customHeight="1" x14ac:dyDescent="0.25">
      <c r="T8402" s="135"/>
      <c r="U8402" s="135"/>
    </row>
    <row r="8403" spans="20:21" ht="15" customHeight="1" x14ac:dyDescent="0.25">
      <c r="T8403" s="135"/>
      <c r="U8403" s="135"/>
    </row>
    <row r="8404" spans="20:21" ht="15" customHeight="1" x14ac:dyDescent="0.25">
      <c r="T8404" s="135"/>
      <c r="U8404" s="135"/>
    </row>
    <row r="8405" spans="20:21" ht="15" customHeight="1" x14ac:dyDescent="0.25">
      <c r="T8405" s="135"/>
      <c r="U8405" s="135"/>
    </row>
    <row r="8406" spans="20:21" ht="15" customHeight="1" x14ac:dyDescent="0.25">
      <c r="T8406" s="135"/>
      <c r="U8406" s="135"/>
    </row>
    <row r="8407" spans="20:21" ht="15" customHeight="1" x14ac:dyDescent="0.25">
      <c r="T8407" s="135"/>
      <c r="U8407" s="135"/>
    </row>
    <row r="8408" spans="20:21" ht="15" customHeight="1" x14ac:dyDescent="0.25">
      <c r="T8408" s="135"/>
      <c r="U8408" s="135"/>
    </row>
    <row r="8409" spans="20:21" ht="15" customHeight="1" x14ac:dyDescent="0.25">
      <c r="T8409" s="135"/>
      <c r="U8409" s="135"/>
    </row>
    <row r="8410" spans="20:21" ht="15" customHeight="1" x14ac:dyDescent="0.25">
      <c r="T8410" s="135"/>
      <c r="U8410" s="135"/>
    </row>
    <row r="8411" spans="20:21" ht="15" customHeight="1" x14ac:dyDescent="0.25">
      <c r="T8411" s="135"/>
      <c r="U8411" s="135"/>
    </row>
    <row r="8412" spans="20:21" ht="15" customHeight="1" x14ac:dyDescent="0.25">
      <c r="T8412" s="135"/>
      <c r="U8412" s="135"/>
    </row>
    <row r="8413" spans="20:21" ht="15" customHeight="1" x14ac:dyDescent="0.25">
      <c r="T8413" s="135"/>
      <c r="U8413" s="135"/>
    </row>
    <row r="8414" spans="20:21" ht="15" customHeight="1" x14ac:dyDescent="0.25">
      <c r="T8414" s="135"/>
      <c r="U8414" s="135"/>
    </row>
    <row r="8415" spans="20:21" ht="15" customHeight="1" x14ac:dyDescent="0.25">
      <c r="T8415" s="135"/>
      <c r="U8415" s="135"/>
    </row>
    <row r="8416" spans="20:21" ht="15" customHeight="1" x14ac:dyDescent="0.25">
      <c r="T8416" s="135"/>
      <c r="U8416" s="135"/>
    </row>
    <row r="8417" spans="20:21" ht="15" customHeight="1" x14ac:dyDescent="0.25">
      <c r="T8417" s="135"/>
      <c r="U8417" s="135"/>
    </row>
    <row r="8418" spans="20:21" ht="15" customHeight="1" x14ac:dyDescent="0.25">
      <c r="T8418" s="135"/>
      <c r="U8418" s="135"/>
    </row>
    <row r="8419" spans="20:21" ht="15" customHeight="1" x14ac:dyDescent="0.25">
      <c r="T8419" s="135"/>
      <c r="U8419" s="135"/>
    </row>
    <row r="8420" spans="20:21" ht="15" customHeight="1" x14ac:dyDescent="0.25">
      <c r="T8420" s="135"/>
      <c r="U8420" s="135"/>
    </row>
    <row r="8421" spans="20:21" ht="15" customHeight="1" x14ac:dyDescent="0.25">
      <c r="T8421" s="135"/>
      <c r="U8421" s="135"/>
    </row>
    <row r="8422" spans="20:21" ht="15" customHeight="1" x14ac:dyDescent="0.25">
      <c r="T8422" s="135"/>
      <c r="U8422" s="135"/>
    </row>
    <row r="8423" spans="20:21" ht="15" customHeight="1" x14ac:dyDescent="0.25">
      <c r="T8423" s="135"/>
      <c r="U8423" s="135"/>
    </row>
    <row r="8424" spans="20:21" ht="15" customHeight="1" x14ac:dyDescent="0.25">
      <c r="T8424" s="135"/>
      <c r="U8424" s="135"/>
    </row>
    <row r="8425" spans="20:21" ht="15" customHeight="1" x14ac:dyDescent="0.25">
      <c r="T8425" s="135"/>
      <c r="U8425" s="135"/>
    </row>
    <row r="8426" spans="20:21" ht="15" customHeight="1" x14ac:dyDescent="0.25">
      <c r="T8426" s="135"/>
      <c r="U8426" s="135"/>
    </row>
    <row r="8427" spans="20:21" ht="15" customHeight="1" x14ac:dyDescent="0.25">
      <c r="T8427" s="135"/>
      <c r="U8427" s="135"/>
    </row>
    <row r="8428" spans="20:21" ht="15" customHeight="1" x14ac:dyDescent="0.25">
      <c r="T8428" s="135"/>
      <c r="U8428" s="135"/>
    </row>
    <row r="8429" spans="20:21" ht="15" customHeight="1" x14ac:dyDescent="0.25">
      <c r="T8429" s="135"/>
      <c r="U8429" s="135"/>
    </row>
    <row r="8430" spans="20:21" ht="15" customHeight="1" x14ac:dyDescent="0.25">
      <c r="T8430" s="135"/>
      <c r="U8430" s="135"/>
    </row>
    <row r="8431" spans="20:21" ht="15" customHeight="1" x14ac:dyDescent="0.25">
      <c r="T8431" s="135"/>
      <c r="U8431" s="135"/>
    </row>
    <row r="8432" spans="20:21" ht="15" customHeight="1" x14ac:dyDescent="0.25">
      <c r="T8432" s="135"/>
      <c r="U8432" s="135"/>
    </row>
    <row r="8433" spans="20:21" ht="15" customHeight="1" x14ac:dyDescent="0.25">
      <c r="T8433" s="135"/>
      <c r="U8433" s="135"/>
    </row>
    <row r="8434" spans="20:21" ht="15" customHeight="1" x14ac:dyDescent="0.25">
      <c r="T8434" s="135"/>
      <c r="U8434" s="135"/>
    </row>
    <row r="8435" spans="20:21" ht="15" customHeight="1" x14ac:dyDescent="0.25">
      <c r="T8435" s="135"/>
      <c r="U8435" s="135"/>
    </row>
    <row r="8436" spans="20:21" ht="15" customHeight="1" x14ac:dyDescent="0.25">
      <c r="T8436" s="135"/>
      <c r="U8436" s="135"/>
    </row>
    <row r="8437" spans="20:21" ht="15" customHeight="1" x14ac:dyDescent="0.25">
      <c r="T8437" s="135"/>
      <c r="U8437" s="135"/>
    </row>
    <row r="8438" spans="20:21" ht="15" customHeight="1" x14ac:dyDescent="0.25">
      <c r="T8438" s="135"/>
      <c r="U8438" s="135"/>
    </row>
    <row r="8439" spans="20:21" ht="15" customHeight="1" x14ac:dyDescent="0.25">
      <c r="T8439" s="135"/>
      <c r="U8439" s="135"/>
    </row>
    <row r="8440" spans="20:21" ht="15" customHeight="1" x14ac:dyDescent="0.25">
      <c r="T8440" s="135"/>
      <c r="U8440" s="135"/>
    </row>
    <row r="8441" spans="20:21" ht="15" customHeight="1" x14ac:dyDescent="0.25">
      <c r="T8441" s="135"/>
      <c r="U8441" s="135"/>
    </row>
    <row r="8442" spans="20:21" ht="15" customHeight="1" x14ac:dyDescent="0.25">
      <c r="T8442" s="135"/>
      <c r="U8442" s="135"/>
    </row>
    <row r="8443" spans="20:21" ht="15" customHeight="1" x14ac:dyDescent="0.25">
      <c r="T8443" s="135"/>
      <c r="U8443" s="135"/>
    </row>
    <row r="8444" spans="20:21" ht="15" customHeight="1" x14ac:dyDescent="0.25">
      <c r="T8444" s="135"/>
      <c r="U8444" s="135"/>
    </row>
    <row r="8445" spans="20:21" ht="15" customHeight="1" x14ac:dyDescent="0.25">
      <c r="T8445" s="135"/>
      <c r="U8445" s="135"/>
    </row>
    <row r="8446" spans="20:21" ht="15" customHeight="1" x14ac:dyDescent="0.25">
      <c r="T8446" s="135"/>
      <c r="U8446" s="135"/>
    </row>
    <row r="8447" spans="20:21" ht="15" customHeight="1" x14ac:dyDescent="0.25">
      <c r="T8447" s="135"/>
      <c r="U8447" s="135"/>
    </row>
    <row r="8448" spans="20:21" ht="15" customHeight="1" x14ac:dyDescent="0.25">
      <c r="T8448" s="135"/>
      <c r="U8448" s="135"/>
    </row>
    <row r="8449" spans="20:21" ht="15" customHeight="1" x14ac:dyDescent="0.25">
      <c r="T8449" s="135"/>
      <c r="U8449" s="135"/>
    </row>
    <row r="8450" spans="20:21" ht="15" customHeight="1" x14ac:dyDescent="0.25">
      <c r="T8450" s="135"/>
      <c r="U8450" s="135"/>
    </row>
    <row r="8451" spans="20:21" ht="15" customHeight="1" x14ac:dyDescent="0.25">
      <c r="T8451" s="135"/>
      <c r="U8451" s="135"/>
    </row>
    <row r="8452" spans="20:21" ht="15" customHeight="1" x14ac:dyDescent="0.25">
      <c r="T8452" s="135"/>
      <c r="U8452" s="135"/>
    </row>
    <row r="8453" spans="20:21" ht="15" customHeight="1" x14ac:dyDescent="0.25">
      <c r="T8453" s="135"/>
      <c r="U8453" s="135"/>
    </row>
    <row r="8454" spans="20:21" ht="15" customHeight="1" x14ac:dyDescent="0.25">
      <c r="T8454" s="135"/>
      <c r="U8454" s="135"/>
    </row>
    <row r="8455" spans="20:21" ht="15" customHeight="1" x14ac:dyDescent="0.25">
      <c r="T8455" s="135"/>
      <c r="U8455" s="135"/>
    </row>
    <row r="8456" spans="20:21" ht="15" customHeight="1" x14ac:dyDescent="0.25">
      <c r="T8456" s="135"/>
      <c r="U8456" s="135"/>
    </row>
    <row r="8457" spans="20:21" ht="15" customHeight="1" x14ac:dyDescent="0.25">
      <c r="T8457" s="135"/>
      <c r="U8457" s="135"/>
    </row>
    <row r="8458" spans="20:21" ht="15" customHeight="1" x14ac:dyDescent="0.25">
      <c r="T8458" s="135"/>
      <c r="U8458" s="135"/>
    </row>
    <row r="8459" spans="20:21" ht="15" customHeight="1" x14ac:dyDescent="0.25">
      <c r="T8459" s="135"/>
      <c r="U8459" s="135"/>
    </row>
    <row r="8460" spans="20:21" ht="15" customHeight="1" x14ac:dyDescent="0.25">
      <c r="T8460" s="135"/>
      <c r="U8460" s="135"/>
    </row>
    <row r="8461" spans="20:21" ht="15" customHeight="1" x14ac:dyDescent="0.25">
      <c r="T8461" s="135"/>
      <c r="U8461" s="135"/>
    </row>
    <row r="8462" spans="20:21" ht="15" customHeight="1" x14ac:dyDescent="0.25">
      <c r="T8462" s="135"/>
      <c r="U8462" s="135"/>
    </row>
    <row r="8463" spans="20:21" ht="15" customHeight="1" x14ac:dyDescent="0.25">
      <c r="T8463" s="135"/>
      <c r="U8463" s="135"/>
    </row>
    <row r="8464" spans="20:21" ht="15" customHeight="1" x14ac:dyDescent="0.25">
      <c r="T8464" s="135"/>
      <c r="U8464" s="135"/>
    </row>
    <row r="8465" spans="20:21" ht="15" customHeight="1" x14ac:dyDescent="0.25">
      <c r="T8465" s="135"/>
      <c r="U8465" s="135"/>
    </row>
    <row r="8466" spans="20:21" ht="15" customHeight="1" x14ac:dyDescent="0.25">
      <c r="T8466" s="135"/>
      <c r="U8466" s="135"/>
    </row>
    <row r="8467" spans="20:21" ht="15" customHeight="1" x14ac:dyDescent="0.25">
      <c r="T8467" s="135"/>
      <c r="U8467" s="135"/>
    </row>
    <row r="8468" spans="20:21" ht="15" customHeight="1" x14ac:dyDescent="0.25">
      <c r="T8468" s="135"/>
      <c r="U8468" s="135"/>
    </row>
    <row r="8469" spans="20:21" ht="15" customHeight="1" x14ac:dyDescent="0.25">
      <c r="T8469" s="135"/>
      <c r="U8469" s="135"/>
    </row>
    <row r="8470" spans="20:21" ht="15" customHeight="1" x14ac:dyDescent="0.25">
      <c r="T8470" s="135"/>
      <c r="U8470" s="135"/>
    </row>
    <row r="8471" spans="20:21" ht="15" customHeight="1" x14ac:dyDescent="0.25">
      <c r="T8471" s="135"/>
      <c r="U8471" s="135"/>
    </row>
    <row r="8472" spans="20:21" ht="15" customHeight="1" x14ac:dyDescent="0.25">
      <c r="T8472" s="135"/>
      <c r="U8472" s="135"/>
    </row>
    <row r="8473" spans="20:21" ht="15" customHeight="1" x14ac:dyDescent="0.25">
      <c r="T8473" s="135"/>
      <c r="U8473" s="135"/>
    </row>
    <row r="8474" spans="20:21" ht="15" customHeight="1" x14ac:dyDescent="0.25">
      <c r="T8474" s="135"/>
      <c r="U8474" s="135"/>
    </row>
    <row r="8475" spans="20:21" ht="15" customHeight="1" x14ac:dyDescent="0.25">
      <c r="T8475" s="135"/>
      <c r="U8475" s="135"/>
    </row>
    <row r="8476" spans="20:21" ht="15" customHeight="1" x14ac:dyDescent="0.25">
      <c r="T8476" s="135"/>
      <c r="U8476" s="135"/>
    </row>
    <row r="8477" spans="20:21" ht="15" customHeight="1" x14ac:dyDescent="0.25">
      <c r="T8477" s="135"/>
      <c r="U8477" s="135"/>
    </row>
    <row r="8478" spans="20:21" ht="15" customHeight="1" x14ac:dyDescent="0.25">
      <c r="T8478" s="135"/>
      <c r="U8478" s="135"/>
    </row>
    <row r="8479" spans="20:21" ht="15" customHeight="1" x14ac:dyDescent="0.25">
      <c r="T8479" s="135"/>
      <c r="U8479" s="135"/>
    </row>
    <row r="8480" spans="20:21" ht="15" customHeight="1" x14ac:dyDescent="0.25">
      <c r="T8480" s="135"/>
      <c r="U8480" s="135"/>
    </row>
    <row r="8481" spans="20:21" ht="15" customHeight="1" x14ac:dyDescent="0.25">
      <c r="T8481" s="135"/>
      <c r="U8481" s="135"/>
    </row>
    <row r="8482" spans="20:21" ht="15" customHeight="1" x14ac:dyDescent="0.25">
      <c r="T8482" s="135"/>
      <c r="U8482" s="135"/>
    </row>
    <row r="8483" spans="20:21" ht="15" customHeight="1" x14ac:dyDescent="0.25">
      <c r="T8483" s="135"/>
      <c r="U8483" s="135"/>
    </row>
    <row r="8484" spans="20:21" ht="15" customHeight="1" x14ac:dyDescent="0.25">
      <c r="T8484" s="135"/>
      <c r="U8484" s="135"/>
    </row>
    <row r="8485" spans="20:21" ht="15" customHeight="1" x14ac:dyDescent="0.25">
      <c r="T8485" s="135"/>
      <c r="U8485" s="135"/>
    </row>
    <row r="8486" spans="20:21" ht="15" customHeight="1" x14ac:dyDescent="0.25">
      <c r="T8486" s="135"/>
      <c r="U8486" s="135"/>
    </row>
    <row r="8487" spans="20:21" ht="15" customHeight="1" x14ac:dyDescent="0.25">
      <c r="T8487" s="135"/>
      <c r="U8487" s="135"/>
    </row>
    <row r="8488" spans="20:21" ht="15" customHeight="1" x14ac:dyDescent="0.25">
      <c r="T8488" s="135"/>
      <c r="U8488" s="135"/>
    </row>
    <row r="8489" spans="20:21" ht="15" customHeight="1" x14ac:dyDescent="0.25">
      <c r="T8489" s="135"/>
      <c r="U8489" s="135"/>
    </row>
    <row r="8490" spans="20:21" ht="15" customHeight="1" x14ac:dyDescent="0.25">
      <c r="T8490" s="135"/>
      <c r="U8490" s="135"/>
    </row>
    <row r="8491" spans="20:21" ht="15" customHeight="1" x14ac:dyDescent="0.25">
      <c r="T8491" s="135"/>
      <c r="U8491" s="135"/>
    </row>
    <row r="8492" spans="20:21" ht="15" customHeight="1" x14ac:dyDescent="0.25">
      <c r="T8492" s="135"/>
      <c r="U8492" s="135"/>
    </row>
    <row r="8493" spans="20:21" ht="15" customHeight="1" x14ac:dyDescent="0.25">
      <c r="T8493" s="135"/>
      <c r="U8493" s="135"/>
    </row>
    <row r="8494" spans="20:21" ht="15" customHeight="1" x14ac:dyDescent="0.25">
      <c r="T8494" s="135"/>
      <c r="U8494" s="135"/>
    </row>
    <row r="8495" spans="20:21" ht="15" customHeight="1" x14ac:dyDescent="0.25">
      <c r="T8495" s="135"/>
      <c r="U8495" s="135"/>
    </row>
    <row r="8496" spans="20:21" ht="15" customHeight="1" x14ac:dyDescent="0.25">
      <c r="T8496" s="135"/>
      <c r="U8496" s="135"/>
    </row>
    <row r="8497" spans="20:21" ht="15" customHeight="1" x14ac:dyDescent="0.25">
      <c r="T8497" s="135"/>
      <c r="U8497" s="135"/>
    </row>
    <row r="8498" spans="20:21" ht="15" customHeight="1" x14ac:dyDescent="0.25">
      <c r="T8498" s="135"/>
      <c r="U8498" s="135"/>
    </row>
    <row r="8499" spans="20:21" ht="15" customHeight="1" x14ac:dyDescent="0.25">
      <c r="T8499" s="135"/>
      <c r="U8499" s="135"/>
    </row>
    <row r="8500" spans="20:21" ht="15" customHeight="1" x14ac:dyDescent="0.25">
      <c r="T8500" s="135"/>
      <c r="U8500" s="135"/>
    </row>
    <row r="8501" spans="20:21" ht="15" customHeight="1" x14ac:dyDescent="0.25">
      <c r="T8501" s="135"/>
      <c r="U8501" s="135"/>
    </row>
    <row r="8502" spans="20:21" ht="15" customHeight="1" x14ac:dyDescent="0.25">
      <c r="T8502" s="135"/>
      <c r="U8502" s="135"/>
    </row>
    <row r="8503" spans="20:21" ht="15" customHeight="1" x14ac:dyDescent="0.25">
      <c r="T8503" s="135"/>
      <c r="U8503" s="135"/>
    </row>
    <row r="8504" spans="20:21" ht="15" customHeight="1" x14ac:dyDescent="0.25">
      <c r="T8504" s="135"/>
      <c r="U8504" s="135"/>
    </row>
    <row r="8505" spans="20:21" ht="15" customHeight="1" x14ac:dyDescent="0.25">
      <c r="T8505" s="135"/>
      <c r="U8505" s="135"/>
    </row>
    <row r="8506" spans="20:21" ht="15" customHeight="1" x14ac:dyDescent="0.25">
      <c r="T8506" s="135"/>
      <c r="U8506" s="135"/>
    </row>
    <row r="8507" spans="20:21" ht="15" customHeight="1" x14ac:dyDescent="0.25">
      <c r="T8507" s="135"/>
      <c r="U8507" s="135"/>
    </row>
    <row r="8508" spans="20:21" ht="15" customHeight="1" x14ac:dyDescent="0.25">
      <c r="T8508" s="135"/>
      <c r="U8508" s="135"/>
    </row>
    <row r="8509" spans="20:21" ht="15" customHeight="1" x14ac:dyDescent="0.25">
      <c r="T8509" s="135"/>
      <c r="U8509" s="135"/>
    </row>
    <row r="8510" spans="20:21" ht="15" customHeight="1" x14ac:dyDescent="0.25">
      <c r="T8510" s="135"/>
      <c r="U8510" s="135"/>
    </row>
    <row r="8511" spans="20:21" ht="15" customHeight="1" x14ac:dyDescent="0.25">
      <c r="T8511" s="135"/>
      <c r="U8511" s="135"/>
    </row>
    <row r="8512" spans="20:21" ht="15" customHeight="1" x14ac:dyDescent="0.25">
      <c r="T8512" s="135"/>
      <c r="U8512" s="135"/>
    </row>
    <row r="8513" spans="20:21" ht="15" customHeight="1" x14ac:dyDescent="0.25">
      <c r="T8513" s="135"/>
      <c r="U8513" s="135"/>
    </row>
    <row r="8514" spans="20:21" ht="15" customHeight="1" x14ac:dyDescent="0.25">
      <c r="T8514" s="135"/>
      <c r="U8514" s="135"/>
    </row>
    <row r="8515" spans="20:21" ht="15" customHeight="1" x14ac:dyDescent="0.25">
      <c r="T8515" s="135"/>
      <c r="U8515" s="135"/>
    </row>
    <row r="8516" spans="20:21" ht="15" customHeight="1" x14ac:dyDescent="0.25">
      <c r="T8516" s="135"/>
      <c r="U8516" s="135"/>
    </row>
    <row r="8517" spans="20:21" ht="15" customHeight="1" x14ac:dyDescent="0.25">
      <c r="T8517" s="135"/>
      <c r="U8517" s="135"/>
    </row>
    <row r="8518" spans="20:21" ht="15" customHeight="1" x14ac:dyDescent="0.25">
      <c r="T8518" s="135"/>
      <c r="U8518" s="135"/>
    </row>
    <row r="8519" spans="20:21" ht="15" customHeight="1" x14ac:dyDescent="0.25">
      <c r="T8519" s="135"/>
      <c r="U8519" s="135"/>
    </row>
    <row r="8520" spans="20:21" ht="15" customHeight="1" x14ac:dyDescent="0.25">
      <c r="T8520" s="135"/>
      <c r="U8520" s="135"/>
    </row>
    <row r="8521" spans="20:21" ht="15" customHeight="1" x14ac:dyDescent="0.25">
      <c r="T8521" s="135"/>
      <c r="U8521" s="135"/>
    </row>
    <row r="8522" spans="20:21" ht="15" customHeight="1" x14ac:dyDescent="0.25">
      <c r="T8522" s="135"/>
      <c r="U8522" s="135"/>
    </row>
    <row r="8523" spans="20:21" ht="15" customHeight="1" x14ac:dyDescent="0.25">
      <c r="T8523" s="135"/>
      <c r="U8523" s="135"/>
    </row>
    <row r="8524" spans="20:21" ht="15" customHeight="1" x14ac:dyDescent="0.25">
      <c r="T8524" s="135"/>
      <c r="U8524" s="135"/>
    </row>
    <row r="8525" spans="20:21" ht="15" customHeight="1" x14ac:dyDescent="0.25">
      <c r="T8525" s="135"/>
      <c r="U8525" s="135"/>
    </row>
    <row r="8526" spans="20:21" ht="15" customHeight="1" x14ac:dyDescent="0.25">
      <c r="T8526" s="135"/>
      <c r="U8526" s="135"/>
    </row>
    <row r="8527" spans="20:21" ht="15" customHeight="1" x14ac:dyDescent="0.25">
      <c r="T8527" s="135"/>
      <c r="U8527" s="135"/>
    </row>
    <row r="8528" spans="20:21" ht="15" customHeight="1" x14ac:dyDescent="0.25">
      <c r="T8528" s="135"/>
      <c r="U8528" s="135"/>
    </row>
    <row r="8529" spans="20:21" ht="15" customHeight="1" x14ac:dyDescent="0.25">
      <c r="T8529" s="135"/>
      <c r="U8529" s="135"/>
    </row>
    <row r="8530" spans="20:21" ht="15" customHeight="1" x14ac:dyDescent="0.25">
      <c r="T8530" s="135"/>
      <c r="U8530" s="135"/>
    </row>
    <row r="8531" spans="20:21" ht="15" customHeight="1" x14ac:dyDescent="0.25">
      <c r="T8531" s="135"/>
      <c r="U8531" s="135"/>
    </row>
    <row r="8532" spans="20:21" ht="15" customHeight="1" x14ac:dyDescent="0.25">
      <c r="T8532" s="135"/>
      <c r="U8532" s="135"/>
    </row>
    <row r="8533" spans="20:21" ht="15" customHeight="1" x14ac:dyDescent="0.25">
      <c r="T8533" s="135"/>
      <c r="U8533" s="135"/>
    </row>
    <row r="8534" spans="20:21" ht="15" customHeight="1" x14ac:dyDescent="0.25">
      <c r="T8534" s="135"/>
      <c r="U8534" s="135"/>
    </row>
    <row r="8535" spans="20:21" ht="15" customHeight="1" x14ac:dyDescent="0.25">
      <c r="T8535" s="135"/>
      <c r="U8535" s="135"/>
    </row>
    <row r="8536" spans="20:21" ht="15" customHeight="1" x14ac:dyDescent="0.25">
      <c r="T8536" s="135"/>
      <c r="U8536" s="135"/>
    </row>
    <row r="8537" spans="20:21" ht="15" customHeight="1" x14ac:dyDescent="0.25">
      <c r="T8537" s="135"/>
      <c r="U8537" s="135"/>
    </row>
    <row r="8538" spans="20:21" ht="15" customHeight="1" x14ac:dyDescent="0.25">
      <c r="T8538" s="135"/>
      <c r="U8538" s="135"/>
    </row>
    <row r="8539" spans="20:21" ht="15" customHeight="1" x14ac:dyDescent="0.25">
      <c r="T8539" s="135"/>
      <c r="U8539" s="135"/>
    </row>
    <row r="8540" spans="20:21" ht="15" customHeight="1" x14ac:dyDescent="0.25">
      <c r="T8540" s="135"/>
      <c r="U8540" s="135"/>
    </row>
    <row r="8541" spans="20:21" ht="15" customHeight="1" x14ac:dyDescent="0.25">
      <c r="T8541" s="135"/>
      <c r="U8541" s="135"/>
    </row>
    <row r="8542" spans="20:21" ht="15" customHeight="1" x14ac:dyDescent="0.25">
      <c r="T8542" s="135"/>
      <c r="U8542" s="135"/>
    </row>
    <row r="8543" spans="20:21" ht="15" customHeight="1" x14ac:dyDescent="0.25">
      <c r="T8543" s="135"/>
      <c r="U8543" s="135"/>
    </row>
    <row r="8544" spans="20:21" ht="15" customHeight="1" x14ac:dyDescent="0.25">
      <c r="T8544" s="135"/>
      <c r="U8544" s="135"/>
    </row>
    <row r="8545" spans="20:21" ht="15" customHeight="1" x14ac:dyDescent="0.25">
      <c r="T8545" s="135"/>
      <c r="U8545" s="135"/>
    </row>
    <row r="8546" spans="20:21" ht="15" customHeight="1" x14ac:dyDescent="0.25">
      <c r="T8546" s="135"/>
      <c r="U8546" s="135"/>
    </row>
    <row r="8547" spans="20:21" ht="15" customHeight="1" x14ac:dyDescent="0.25">
      <c r="T8547" s="135"/>
      <c r="U8547" s="135"/>
    </row>
    <row r="8548" spans="20:21" ht="15" customHeight="1" x14ac:dyDescent="0.25">
      <c r="T8548" s="135"/>
      <c r="U8548" s="135"/>
    </row>
    <row r="8549" spans="20:21" ht="15" customHeight="1" x14ac:dyDescent="0.25">
      <c r="T8549" s="135"/>
      <c r="U8549" s="135"/>
    </row>
    <row r="8550" spans="20:21" ht="15" customHeight="1" x14ac:dyDescent="0.25">
      <c r="T8550" s="135"/>
      <c r="U8550" s="135"/>
    </row>
    <row r="8551" spans="20:21" ht="15" customHeight="1" x14ac:dyDescent="0.25">
      <c r="T8551" s="135"/>
      <c r="U8551" s="135"/>
    </row>
    <row r="8552" spans="20:21" ht="15" customHeight="1" x14ac:dyDescent="0.25">
      <c r="T8552" s="135"/>
      <c r="U8552" s="135"/>
    </row>
    <row r="8553" spans="20:21" ht="15" customHeight="1" x14ac:dyDescent="0.25">
      <c r="T8553" s="135"/>
      <c r="U8553" s="135"/>
    </row>
    <row r="8554" spans="20:21" ht="15" customHeight="1" x14ac:dyDescent="0.25">
      <c r="T8554" s="135"/>
      <c r="U8554" s="135"/>
    </row>
    <row r="8555" spans="20:21" ht="15" customHeight="1" x14ac:dyDescent="0.25">
      <c r="T8555" s="135"/>
      <c r="U8555" s="135"/>
    </row>
    <row r="8556" spans="20:21" ht="15" customHeight="1" x14ac:dyDescent="0.25">
      <c r="T8556" s="135"/>
      <c r="U8556" s="135"/>
    </row>
    <row r="8557" spans="20:21" ht="15" customHeight="1" x14ac:dyDescent="0.25">
      <c r="T8557" s="135"/>
      <c r="U8557" s="135"/>
    </row>
    <row r="8558" spans="20:21" ht="15" customHeight="1" x14ac:dyDescent="0.25">
      <c r="T8558" s="135"/>
      <c r="U8558" s="135"/>
    </row>
    <row r="8559" spans="20:21" ht="15" customHeight="1" x14ac:dyDescent="0.25">
      <c r="T8559" s="135"/>
      <c r="U8559" s="135"/>
    </row>
    <row r="8560" spans="20:21" ht="15" customHeight="1" x14ac:dyDescent="0.25">
      <c r="T8560" s="135"/>
      <c r="U8560" s="135"/>
    </row>
    <row r="8561" spans="20:21" ht="15" customHeight="1" x14ac:dyDescent="0.25">
      <c r="T8561" s="135"/>
      <c r="U8561" s="135"/>
    </row>
    <row r="8562" spans="20:21" ht="15" customHeight="1" x14ac:dyDescent="0.25">
      <c r="T8562" s="135"/>
      <c r="U8562" s="135"/>
    </row>
    <row r="8563" spans="20:21" ht="15" customHeight="1" x14ac:dyDescent="0.25">
      <c r="T8563" s="135"/>
      <c r="U8563" s="135"/>
    </row>
    <row r="8564" spans="20:21" ht="15" customHeight="1" x14ac:dyDescent="0.25">
      <c r="T8564" s="135"/>
      <c r="U8564" s="135"/>
    </row>
    <row r="8565" spans="20:21" ht="15" customHeight="1" x14ac:dyDescent="0.25">
      <c r="T8565" s="135"/>
      <c r="U8565" s="135"/>
    </row>
    <row r="8566" spans="20:21" ht="15" customHeight="1" x14ac:dyDescent="0.25">
      <c r="T8566" s="135"/>
      <c r="U8566" s="135"/>
    </row>
    <row r="8567" spans="20:21" ht="15" customHeight="1" x14ac:dyDescent="0.25">
      <c r="T8567" s="135"/>
      <c r="U8567" s="135"/>
    </row>
    <row r="8568" spans="20:21" ht="15" customHeight="1" x14ac:dyDescent="0.25">
      <c r="T8568" s="135"/>
      <c r="U8568" s="135"/>
    </row>
    <row r="8569" spans="20:21" ht="15" customHeight="1" x14ac:dyDescent="0.25">
      <c r="T8569" s="135"/>
      <c r="U8569" s="135"/>
    </row>
    <row r="8570" spans="20:21" ht="15" customHeight="1" x14ac:dyDescent="0.25">
      <c r="T8570" s="135"/>
      <c r="U8570" s="135"/>
    </row>
    <row r="8571" spans="20:21" ht="15" customHeight="1" x14ac:dyDescent="0.25">
      <c r="T8571" s="135"/>
      <c r="U8571" s="135"/>
    </row>
    <row r="8572" spans="20:21" ht="15" customHeight="1" x14ac:dyDescent="0.25">
      <c r="T8572" s="135"/>
      <c r="U8572" s="135"/>
    </row>
    <row r="8573" spans="20:21" ht="15" customHeight="1" x14ac:dyDescent="0.25">
      <c r="T8573" s="135"/>
      <c r="U8573" s="135"/>
    </row>
    <row r="8574" spans="20:21" ht="15" customHeight="1" x14ac:dyDescent="0.25">
      <c r="T8574" s="135"/>
      <c r="U8574" s="135"/>
    </row>
    <row r="8575" spans="20:21" ht="15" customHeight="1" x14ac:dyDescent="0.25">
      <c r="T8575" s="135"/>
      <c r="U8575" s="135"/>
    </row>
    <row r="8576" spans="20:21" ht="15" customHeight="1" x14ac:dyDescent="0.25">
      <c r="T8576" s="135"/>
      <c r="U8576" s="135"/>
    </row>
    <row r="8577" spans="20:21" ht="15" customHeight="1" x14ac:dyDescent="0.25">
      <c r="T8577" s="135"/>
      <c r="U8577" s="135"/>
    </row>
    <row r="8578" spans="20:21" ht="15" customHeight="1" x14ac:dyDescent="0.25">
      <c r="T8578" s="135"/>
      <c r="U8578" s="135"/>
    </row>
    <row r="8579" spans="20:21" ht="15" customHeight="1" x14ac:dyDescent="0.25">
      <c r="T8579" s="135"/>
      <c r="U8579" s="135"/>
    </row>
    <row r="8580" spans="20:21" ht="15" customHeight="1" x14ac:dyDescent="0.25">
      <c r="T8580" s="135"/>
      <c r="U8580" s="135"/>
    </row>
    <row r="8581" spans="20:21" ht="15" customHeight="1" x14ac:dyDescent="0.25">
      <c r="T8581" s="135"/>
      <c r="U8581" s="135"/>
    </row>
    <row r="8582" spans="20:21" ht="15" customHeight="1" x14ac:dyDescent="0.25">
      <c r="T8582" s="135"/>
      <c r="U8582" s="135"/>
    </row>
    <row r="8583" spans="20:21" ht="15" customHeight="1" x14ac:dyDescent="0.25">
      <c r="T8583" s="135"/>
      <c r="U8583" s="135"/>
    </row>
    <row r="8584" spans="20:21" ht="15" customHeight="1" x14ac:dyDescent="0.25">
      <c r="T8584" s="135"/>
      <c r="U8584" s="135"/>
    </row>
    <row r="8585" spans="20:21" ht="15" customHeight="1" x14ac:dyDescent="0.25">
      <c r="T8585" s="135"/>
      <c r="U8585" s="135"/>
    </row>
    <row r="8586" spans="20:21" ht="15" customHeight="1" x14ac:dyDescent="0.25">
      <c r="T8586" s="135"/>
      <c r="U8586" s="135"/>
    </row>
    <row r="8587" spans="20:21" ht="15" customHeight="1" x14ac:dyDescent="0.25">
      <c r="T8587" s="135"/>
      <c r="U8587" s="135"/>
    </row>
    <row r="8588" spans="20:21" ht="15" customHeight="1" x14ac:dyDescent="0.25">
      <c r="T8588" s="135"/>
      <c r="U8588" s="135"/>
    </row>
    <row r="8589" spans="20:21" ht="15" customHeight="1" x14ac:dyDescent="0.25">
      <c r="T8589" s="135"/>
      <c r="U8589" s="135"/>
    </row>
    <row r="8590" spans="20:21" ht="15" customHeight="1" x14ac:dyDescent="0.25">
      <c r="T8590" s="135"/>
      <c r="U8590" s="135"/>
    </row>
    <row r="8591" spans="20:21" ht="15" customHeight="1" x14ac:dyDescent="0.25">
      <c r="T8591" s="135"/>
      <c r="U8591" s="135"/>
    </row>
    <row r="8592" spans="20:21" ht="15" customHeight="1" x14ac:dyDescent="0.25">
      <c r="T8592" s="135"/>
      <c r="U8592" s="135"/>
    </row>
    <row r="8593" spans="20:21" ht="15" customHeight="1" x14ac:dyDescent="0.25">
      <c r="T8593" s="135"/>
      <c r="U8593" s="135"/>
    </row>
    <row r="8594" spans="20:21" ht="15" customHeight="1" x14ac:dyDescent="0.25">
      <c r="T8594" s="135"/>
      <c r="U8594" s="135"/>
    </row>
    <row r="8595" spans="20:21" ht="15" customHeight="1" x14ac:dyDescent="0.25">
      <c r="T8595" s="135"/>
      <c r="U8595" s="135"/>
    </row>
    <row r="8596" spans="20:21" ht="15" customHeight="1" x14ac:dyDescent="0.25">
      <c r="T8596" s="135"/>
      <c r="U8596" s="135"/>
    </row>
    <row r="8597" spans="20:21" ht="15" customHeight="1" x14ac:dyDescent="0.25">
      <c r="T8597" s="135"/>
      <c r="U8597" s="135"/>
    </row>
    <row r="8598" spans="20:21" ht="15" customHeight="1" x14ac:dyDescent="0.25">
      <c r="T8598" s="135"/>
      <c r="U8598" s="135"/>
    </row>
    <row r="8599" spans="20:21" ht="15" customHeight="1" x14ac:dyDescent="0.25">
      <c r="T8599" s="135"/>
      <c r="U8599" s="135"/>
    </row>
    <row r="8600" spans="20:21" ht="15" customHeight="1" x14ac:dyDescent="0.25">
      <c r="T8600" s="135"/>
      <c r="U8600" s="135"/>
    </row>
    <row r="8601" spans="20:21" ht="15" customHeight="1" x14ac:dyDescent="0.25">
      <c r="T8601" s="135"/>
      <c r="U8601" s="135"/>
    </row>
    <row r="8602" spans="20:21" ht="15" customHeight="1" x14ac:dyDescent="0.25">
      <c r="T8602" s="135"/>
      <c r="U8602" s="135"/>
    </row>
    <row r="8603" spans="20:21" ht="15" customHeight="1" x14ac:dyDescent="0.25">
      <c r="T8603" s="135"/>
      <c r="U8603" s="135"/>
    </row>
    <row r="8604" spans="20:21" ht="15" customHeight="1" x14ac:dyDescent="0.25">
      <c r="T8604" s="135"/>
      <c r="U8604" s="135"/>
    </row>
    <row r="8605" spans="20:21" ht="15" customHeight="1" x14ac:dyDescent="0.25">
      <c r="T8605" s="135"/>
      <c r="U8605" s="135"/>
    </row>
    <row r="8606" spans="20:21" ht="15" customHeight="1" x14ac:dyDescent="0.25">
      <c r="T8606" s="135"/>
      <c r="U8606" s="135"/>
    </row>
    <row r="8607" spans="20:21" ht="15" customHeight="1" x14ac:dyDescent="0.25">
      <c r="T8607" s="135"/>
      <c r="U8607" s="135"/>
    </row>
    <row r="8608" spans="20:21" ht="15" customHeight="1" x14ac:dyDescent="0.25">
      <c r="T8608" s="135"/>
      <c r="U8608" s="135"/>
    </row>
    <row r="8609" spans="20:21" ht="15" customHeight="1" x14ac:dyDescent="0.25">
      <c r="T8609" s="135"/>
      <c r="U8609" s="135"/>
    </row>
    <row r="8610" spans="20:21" ht="15" customHeight="1" x14ac:dyDescent="0.25">
      <c r="T8610" s="135"/>
      <c r="U8610" s="135"/>
    </row>
    <row r="8611" spans="20:21" ht="15" customHeight="1" x14ac:dyDescent="0.25">
      <c r="T8611" s="135"/>
      <c r="U8611" s="135"/>
    </row>
    <row r="8612" spans="20:21" ht="15" customHeight="1" x14ac:dyDescent="0.25">
      <c r="T8612" s="135"/>
      <c r="U8612" s="135"/>
    </row>
    <row r="8613" spans="20:21" ht="15" customHeight="1" x14ac:dyDescent="0.25">
      <c r="T8613" s="135"/>
      <c r="U8613" s="135"/>
    </row>
    <row r="8614" spans="20:21" ht="15" customHeight="1" x14ac:dyDescent="0.25">
      <c r="T8614" s="135"/>
      <c r="U8614" s="135"/>
    </row>
    <row r="8615" spans="20:21" ht="15" customHeight="1" x14ac:dyDescent="0.25">
      <c r="T8615" s="135"/>
      <c r="U8615" s="135"/>
    </row>
    <row r="8616" spans="20:21" ht="15" customHeight="1" x14ac:dyDescent="0.25">
      <c r="T8616" s="135"/>
      <c r="U8616" s="135"/>
    </row>
    <row r="8617" spans="20:21" ht="15" customHeight="1" x14ac:dyDescent="0.25">
      <c r="T8617" s="135"/>
      <c r="U8617" s="135"/>
    </row>
    <row r="8618" spans="20:21" ht="15" customHeight="1" x14ac:dyDescent="0.25">
      <c r="T8618" s="135"/>
      <c r="U8618" s="135"/>
    </row>
    <row r="8619" spans="20:21" ht="15" customHeight="1" x14ac:dyDescent="0.25">
      <c r="T8619" s="135"/>
      <c r="U8619" s="135"/>
    </row>
    <row r="8620" spans="20:21" ht="15" customHeight="1" x14ac:dyDescent="0.25">
      <c r="T8620" s="135"/>
      <c r="U8620" s="135"/>
    </row>
    <row r="8621" spans="20:21" ht="15" customHeight="1" x14ac:dyDescent="0.25">
      <c r="T8621" s="135"/>
      <c r="U8621" s="135"/>
    </row>
    <row r="8622" spans="20:21" ht="15" customHeight="1" x14ac:dyDescent="0.25">
      <c r="T8622" s="135"/>
      <c r="U8622" s="135"/>
    </row>
    <row r="8623" spans="20:21" ht="15" customHeight="1" x14ac:dyDescent="0.25">
      <c r="T8623" s="135"/>
      <c r="U8623" s="135"/>
    </row>
    <row r="8624" spans="20:21" ht="15" customHeight="1" x14ac:dyDescent="0.25">
      <c r="T8624" s="135"/>
      <c r="U8624" s="135"/>
    </row>
    <row r="8625" spans="20:21" ht="15" customHeight="1" x14ac:dyDescent="0.25">
      <c r="T8625" s="135"/>
      <c r="U8625" s="135"/>
    </row>
    <row r="8626" spans="20:21" ht="15" customHeight="1" x14ac:dyDescent="0.25">
      <c r="T8626" s="135"/>
      <c r="U8626" s="135"/>
    </row>
    <row r="8627" spans="20:21" ht="15" customHeight="1" x14ac:dyDescent="0.25">
      <c r="T8627" s="135"/>
      <c r="U8627" s="135"/>
    </row>
    <row r="8628" spans="20:21" ht="15" customHeight="1" x14ac:dyDescent="0.25">
      <c r="T8628" s="135"/>
      <c r="U8628" s="135"/>
    </row>
    <row r="8629" spans="20:21" ht="15" customHeight="1" x14ac:dyDescent="0.25">
      <c r="T8629" s="135"/>
      <c r="U8629" s="135"/>
    </row>
    <row r="8630" spans="20:21" ht="15" customHeight="1" x14ac:dyDescent="0.25">
      <c r="T8630" s="135"/>
      <c r="U8630" s="135"/>
    </row>
    <row r="8631" spans="20:21" ht="15" customHeight="1" x14ac:dyDescent="0.25">
      <c r="T8631" s="135"/>
      <c r="U8631" s="135"/>
    </row>
    <row r="8632" spans="20:21" ht="15" customHeight="1" x14ac:dyDescent="0.25">
      <c r="T8632" s="135"/>
      <c r="U8632" s="135"/>
    </row>
    <row r="8633" spans="20:21" ht="15" customHeight="1" x14ac:dyDescent="0.25">
      <c r="T8633" s="135"/>
      <c r="U8633" s="135"/>
    </row>
    <row r="8634" spans="20:21" ht="15" customHeight="1" x14ac:dyDescent="0.25">
      <c r="T8634" s="135"/>
      <c r="U8634" s="135"/>
    </row>
    <row r="8635" spans="20:21" ht="15" customHeight="1" x14ac:dyDescent="0.25">
      <c r="T8635" s="135"/>
      <c r="U8635" s="135"/>
    </row>
    <row r="8636" spans="20:21" ht="15" customHeight="1" x14ac:dyDescent="0.25">
      <c r="T8636" s="135"/>
      <c r="U8636" s="135"/>
    </row>
    <row r="8637" spans="20:21" ht="15" customHeight="1" x14ac:dyDescent="0.25">
      <c r="T8637" s="135"/>
      <c r="U8637" s="135"/>
    </row>
    <row r="8638" spans="20:21" ht="15" customHeight="1" x14ac:dyDescent="0.25">
      <c r="T8638" s="135"/>
      <c r="U8638" s="135"/>
    </row>
    <row r="8639" spans="20:21" ht="15" customHeight="1" x14ac:dyDescent="0.25">
      <c r="T8639" s="135"/>
      <c r="U8639" s="135"/>
    </row>
    <row r="8640" spans="20:21" ht="15" customHeight="1" x14ac:dyDescent="0.25">
      <c r="T8640" s="135"/>
      <c r="U8640" s="135"/>
    </row>
    <row r="8641" spans="20:21" ht="15" customHeight="1" x14ac:dyDescent="0.25">
      <c r="T8641" s="135"/>
      <c r="U8641" s="135"/>
    </row>
    <row r="8642" spans="20:21" ht="15" customHeight="1" x14ac:dyDescent="0.25">
      <c r="T8642" s="135"/>
      <c r="U8642" s="135"/>
    </row>
    <row r="8643" spans="20:21" ht="15" customHeight="1" x14ac:dyDescent="0.25">
      <c r="T8643" s="135"/>
      <c r="U8643" s="135"/>
    </row>
    <row r="8644" spans="20:21" ht="15" customHeight="1" x14ac:dyDescent="0.25">
      <c r="T8644" s="135"/>
      <c r="U8644" s="135"/>
    </row>
    <row r="8645" spans="20:21" ht="15" customHeight="1" x14ac:dyDescent="0.25">
      <c r="T8645" s="135"/>
      <c r="U8645" s="135"/>
    </row>
    <row r="8646" spans="20:21" ht="15" customHeight="1" x14ac:dyDescent="0.25">
      <c r="T8646" s="135"/>
      <c r="U8646" s="135"/>
    </row>
    <row r="8647" spans="20:21" ht="15" customHeight="1" x14ac:dyDescent="0.25">
      <c r="T8647" s="135"/>
      <c r="U8647" s="135"/>
    </row>
    <row r="8648" spans="20:21" ht="15" customHeight="1" x14ac:dyDescent="0.25">
      <c r="T8648" s="135"/>
      <c r="U8648" s="135"/>
    </row>
    <row r="8649" spans="20:21" ht="15" customHeight="1" x14ac:dyDescent="0.25">
      <c r="T8649" s="135"/>
      <c r="U8649" s="135"/>
    </row>
    <row r="8650" spans="20:21" ht="15" customHeight="1" x14ac:dyDescent="0.25">
      <c r="T8650" s="135"/>
      <c r="U8650" s="135"/>
    </row>
    <row r="8651" spans="20:21" ht="15" customHeight="1" x14ac:dyDescent="0.25">
      <c r="T8651" s="135"/>
      <c r="U8651" s="135"/>
    </row>
    <row r="8652" spans="20:21" ht="15" customHeight="1" x14ac:dyDescent="0.25">
      <c r="T8652" s="135"/>
      <c r="U8652" s="135"/>
    </row>
    <row r="8653" spans="20:21" ht="15" customHeight="1" x14ac:dyDescent="0.25">
      <c r="T8653" s="135"/>
      <c r="U8653" s="135"/>
    </row>
    <row r="8654" spans="20:21" ht="15" customHeight="1" x14ac:dyDescent="0.25">
      <c r="T8654" s="135"/>
      <c r="U8654" s="135"/>
    </row>
    <row r="8655" spans="20:21" ht="15" customHeight="1" x14ac:dyDescent="0.25">
      <c r="T8655" s="135"/>
      <c r="U8655" s="135"/>
    </row>
    <row r="8656" spans="20:21" ht="15" customHeight="1" x14ac:dyDescent="0.25">
      <c r="T8656" s="135"/>
      <c r="U8656" s="135"/>
    </row>
    <row r="8657" spans="20:21" ht="15" customHeight="1" x14ac:dyDescent="0.25">
      <c r="T8657" s="135"/>
      <c r="U8657" s="135"/>
    </row>
    <row r="8658" spans="20:21" ht="15" customHeight="1" x14ac:dyDescent="0.25">
      <c r="T8658" s="135"/>
      <c r="U8658" s="135"/>
    </row>
    <row r="8659" spans="20:21" ht="15" customHeight="1" x14ac:dyDescent="0.25">
      <c r="T8659" s="135"/>
      <c r="U8659" s="135"/>
    </row>
    <row r="8660" spans="20:21" ht="15" customHeight="1" x14ac:dyDescent="0.25">
      <c r="T8660" s="135"/>
      <c r="U8660" s="135"/>
    </row>
    <row r="8661" spans="20:21" ht="15" customHeight="1" x14ac:dyDescent="0.25">
      <c r="T8661" s="135"/>
      <c r="U8661" s="135"/>
    </row>
    <row r="8662" spans="20:21" ht="15" customHeight="1" x14ac:dyDescent="0.25">
      <c r="T8662" s="135"/>
      <c r="U8662" s="135"/>
    </row>
    <row r="8663" spans="20:21" ht="15" customHeight="1" x14ac:dyDescent="0.25">
      <c r="T8663" s="135"/>
      <c r="U8663" s="135"/>
    </row>
    <row r="8664" spans="20:21" ht="15" customHeight="1" x14ac:dyDescent="0.25">
      <c r="T8664" s="135"/>
      <c r="U8664" s="135"/>
    </row>
    <row r="8665" spans="20:21" ht="15" customHeight="1" x14ac:dyDescent="0.25">
      <c r="T8665" s="135"/>
      <c r="U8665" s="135"/>
    </row>
    <row r="8666" spans="20:21" ht="15" customHeight="1" x14ac:dyDescent="0.25">
      <c r="T8666" s="135"/>
      <c r="U8666" s="135"/>
    </row>
    <row r="8667" spans="20:21" ht="15" customHeight="1" x14ac:dyDescent="0.25">
      <c r="T8667" s="135"/>
      <c r="U8667" s="135"/>
    </row>
    <row r="8668" spans="20:21" ht="15" customHeight="1" x14ac:dyDescent="0.25">
      <c r="T8668" s="135"/>
      <c r="U8668" s="135"/>
    </row>
    <row r="8669" spans="20:21" ht="15" customHeight="1" x14ac:dyDescent="0.25">
      <c r="T8669" s="135"/>
      <c r="U8669" s="135"/>
    </row>
    <row r="8670" spans="20:21" ht="15" customHeight="1" x14ac:dyDescent="0.25">
      <c r="T8670" s="135"/>
      <c r="U8670" s="135"/>
    </row>
    <row r="8671" spans="20:21" ht="15" customHeight="1" x14ac:dyDescent="0.25">
      <c r="T8671" s="135"/>
      <c r="U8671" s="135"/>
    </row>
    <row r="8672" spans="20:21" ht="15" customHeight="1" x14ac:dyDescent="0.25">
      <c r="T8672" s="135"/>
      <c r="U8672" s="135"/>
    </row>
    <row r="8673" spans="20:21" ht="15" customHeight="1" x14ac:dyDescent="0.25">
      <c r="T8673" s="135"/>
      <c r="U8673" s="135"/>
    </row>
    <row r="8674" spans="20:21" ht="15" customHeight="1" x14ac:dyDescent="0.25">
      <c r="T8674" s="135"/>
      <c r="U8674" s="135"/>
    </row>
    <row r="8675" spans="20:21" ht="15" customHeight="1" x14ac:dyDescent="0.25">
      <c r="T8675" s="135"/>
      <c r="U8675" s="135"/>
    </row>
    <row r="8676" spans="20:21" ht="15" customHeight="1" x14ac:dyDescent="0.25">
      <c r="T8676" s="135"/>
      <c r="U8676" s="135"/>
    </row>
    <row r="8677" spans="20:21" ht="15" customHeight="1" x14ac:dyDescent="0.25">
      <c r="T8677" s="135"/>
      <c r="U8677" s="135"/>
    </row>
    <row r="8678" spans="20:21" ht="15" customHeight="1" x14ac:dyDescent="0.25">
      <c r="T8678" s="135"/>
      <c r="U8678" s="135"/>
    </row>
    <row r="8679" spans="20:21" ht="15" customHeight="1" x14ac:dyDescent="0.25">
      <c r="T8679" s="135"/>
      <c r="U8679" s="135"/>
    </row>
    <row r="8680" spans="20:21" ht="15" customHeight="1" x14ac:dyDescent="0.25">
      <c r="T8680" s="135"/>
      <c r="U8680" s="135"/>
    </row>
    <row r="8681" spans="20:21" ht="15" customHeight="1" x14ac:dyDescent="0.25">
      <c r="T8681" s="135"/>
      <c r="U8681" s="135"/>
    </row>
    <row r="8682" spans="20:21" ht="15" customHeight="1" x14ac:dyDescent="0.25">
      <c r="T8682" s="135"/>
      <c r="U8682" s="135"/>
    </row>
    <row r="8683" spans="20:21" ht="15" customHeight="1" x14ac:dyDescent="0.25">
      <c r="T8683" s="135"/>
      <c r="U8683" s="135"/>
    </row>
    <row r="8684" spans="20:21" ht="15" customHeight="1" x14ac:dyDescent="0.25">
      <c r="T8684" s="135"/>
      <c r="U8684" s="135"/>
    </row>
    <row r="8685" spans="20:21" ht="15" customHeight="1" x14ac:dyDescent="0.25">
      <c r="T8685" s="135"/>
      <c r="U8685" s="135"/>
    </row>
    <row r="8686" spans="20:21" ht="15" customHeight="1" x14ac:dyDescent="0.25">
      <c r="T8686" s="135"/>
      <c r="U8686" s="135"/>
    </row>
    <row r="8687" spans="20:21" ht="15" customHeight="1" x14ac:dyDescent="0.25">
      <c r="T8687" s="135"/>
      <c r="U8687" s="135"/>
    </row>
    <row r="8688" spans="20:21" ht="15" customHeight="1" x14ac:dyDescent="0.25">
      <c r="T8688" s="135"/>
      <c r="U8688" s="135"/>
    </row>
    <row r="8689" spans="20:21" ht="15" customHeight="1" x14ac:dyDescent="0.25">
      <c r="T8689" s="135"/>
      <c r="U8689" s="135"/>
    </row>
    <row r="8690" spans="20:21" ht="15" customHeight="1" x14ac:dyDescent="0.25">
      <c r="T8690" s="135"/>
      <c r="U8690" s="135"/>
    </row>
    <row r="8691" spans="20:21" ht="15" customHeight="1" x14ac:dyDescent="0.25">
      <c r="T8691" s="135"/>
      <c r="U8691" s="135"/>
    </row>
    <row r="8692" spans="20:21" ht="15" customHeight="1" x14ac:dyDescent="0.25">
      <c r="T8692" s="135"/>
      <c r="U8692" s="135"/>
    </row>
    <row r="8693" spans="20:21" ht="15" customHeight="1" x14ac:dyDescent="0.25">
      <c r="T8693" s="135"/>
      <c r="U8693" s="135"/>
    </row>
    <row r="8694" spans="20:21" ht="15" customHeight="1" x14ac:dyDescent="0.25">
      <c r="T8694" s="135"/>
      <c r="U8694" s="135"/>
    </row>
    <row r="8695" spans="20:21" ht="15" customHeight="1" x14ac:dyDescent="0.25">
      <c r="T8695" s="135"/>
      <c r="U8695" s="135"/>
    </row>
    <row r="8696" spans="20:21" ht="15" customHeight="1" x14ac:dyDescent="0.25">
      <c r="T8696" s="135"/>
      <c r="U8696" s="135"/>
    </row>
    <row r="8697" spans="20:21" ht="15" customHeight="1" x14ac:dyDescent="0.25">
      <c r="T8697" s="135"/>
      <c r="U8697" s="135"/>
    </row>
    <row r="8698" spans="20:21" ht="15" customHeight="1" x14ac:dyDescent="0.25">
      <c r="T8698" s="135"/>
      <c r="U8698" s="135"/>
    </row>
    <row r="8699" spans="20:21" ht="15" customHeight="1" x14ac:dyDescent="0.25">
      <c r="T8699" s="135"/>
      <c r="U8699" s="135"/>
    </row>
    <row r="8700" spans="20:21" ht="15" customHeight="1" x14ac:dyDescent="0.25">
      <c r="T8700" s="135"/>
      <c r="U8700" s="135"/>
    </row>
    <row r="8701" spans="20:21" ht="15" customHeight="1" x14ac:dyDescent="0.25">
      <c r="T8701" s="135"/>
      <c r="U8701" s="135"/>
    </row>
    <row r="8702" spans="20:21" ht="15" customHeight="1" x14ac:dyDescent="0.25">
      <c r="T8702" s="135"/>
      <c r="U8702" s="135"/>
    </row>
    <row r="8703" spans="20:21" ht="15" customHeight="1" x14ac:dyDescent="0.25">
      <c r="T8703" s="135"/>
      <c r="U8703" s="135"/>
    </row>
    <row r="8704" spans="20:21" ht="15" customHeight="1" x14ac:dyDescent="0.25">
      <c r="T8704" s="135"/>
      <c r="U8704" s="135"/>
    </row>
    <row r="8705" spans="20:21" ht="15" customHeight="1" x14ac:dyDescent="0.25">
      <c r="T8705" s="135"/>
      <c r="U8705" s="135"/>
    </row>
    <row r="8706" spans="20:21" ht="15" customHeight="1" x14ac:dyDescent="0.25">
      <c r="T8706" s="135"/>
      <c r="U8706" s="135"/>
    </row>
    <row r="8707" spans="20:21" ht="15" customHeight="1" x14ac:dyDescent="0.25">
      <c r="T8707" s="135"/>
      <c r="U8707" s="135"/>
    </row>
    <row r="8708" spans="20:21" ht="15" customHeight="1" x14ac:dyDescent="0.25">
      <c r="T8708" s="135"/>
      <c r="U8708" s="135"/>
    </row>
    <row r="8709" spans="20:21" ht="15" customHeight="1" x14ac:dyDescent="0.25">
      <c r="T8709" s="135"/>
      <c r="U8709" s="135"/>
    </row>
    <row r="8710" spans="20:21" ht="15" customHeight="1" x14ac:dyDescent="0.25">
      <c r="T8710" s="135"/>
      <c r="U8710" s="135"/>
    </row>
    <row r="8711" spans="20:21" ht="15" customHeight="1" x14ac:dyDescent="0.25">
      <c r="T8711" s="135"/>
      <c r="U8711" s="135"/>
    </row>
    <row r="8712" spans="20:21" ht="15" customHeight="1" x14ac:dyDescent="0.25">
      <c r="T8712" s="135"/>
      <c r="U8712" s="135"/>
    </row>
    <row r="8713" spans="20:21" ht="15" customHeight="1" x14ac:dyDescent="0.25">
      <c r="T8713" s="135"/>
      <c r="U8713" s="135"/>
    </row>
    <row r="8714" spans="20:21" ht="15" customHeight="1" x14ac:dyDescent="0.25">
      <c r="T8714" s="135"/>
      <c r="U8714" s="135"/>
    </row>
    <row r="8715" spans="20:21" ht="15" customHeight="1" x14ac:dyDescent="0.25">
      <c r="T8715" s="135"/>
      <c r="U8715" s="135"/>
    </row>
    <row r="8716" spans="20:21" ht="15" customHeight="1" x14ac:dyDescent="0.25">
      <c r="T8716" s="135"/>
      <c r="U8716" s="135"/>
    </row>
    <row r="8717" spans="20:21" ht="15" customHeight="1" x14ac:dyDescent="0.25">
      <c r="T8717" s="135"/>
      <c r="U8717" s="135"/>
    </row>
    <row r="8718" spans="20:21" ht="15" customHeight="1" x14ac:dyDescent="0.25">
      <c r="T8718" s="135"/>
      <c r="U8718" s="135"/>
    </row>
    <row r="8719" spans="20:21" ht="15" customHeight="1" x14ac:dyDescent="0.25">
      <c r="T8719" s="135"/>
      <c r="U8719" s="135"/>
    </row>
    <row r="8720" spans="20:21" ht="15" customHeight="1" x14ac:dyDescent="0.25">
      <c r="T8720" s="135"/>
      <c r="U8720" s="135"/>
    </row>
    <row r="8721" spans="20:21" ht="15" customHeight="1" x14ac:dyDescent="0.25">
      <c r="T8721" s="135"/>
      <c r="U8721" s="135"/>
    </row>
    <row r="8722" spans="20:21" ht="15" customHeight="1" x14ac:dyDescent="0.25">
      <c r="T8722" s="135"/>
      <c r="U8722" s="135"/>
    </row>
    <row r="8723" spans="20:21" ht="15" customHeight="1" x14ac:dyDescent="0.25">
      <c r="T8723" s="135"/>
      <c r="U8723" s="135"/>
    </row>
    <row r="8724" spans="20:21" ht="15" customHeight="1" x14ac:dyDescent="0.25">
      <c r="T8724" s="135"/>
      <c r="U8724" s="135"/>
    </row>
    <row r="8725" spans="20:21" ht="15" customHeight="1" x14ac:dyDescent="0.25">
      <c r="T8725" s="135"/>
      <c r="U8725" s="135"/>
    </row>
    <row r="8726" spans="20:21" ht="15" customHeight="1" x14ac:dyDescent="0.25">
      <c r="T8726" s="135"/>
      <c r="U8726" s="135"/>
    </row>
    <row r="8727" spans="20:21" ht="15" customHeight="1" x14ac:dyDescent="0.25">
      <c r="T8727" s="135"/>
      <c r="U8727" s="135"/>
    </row>
    <row r="8728" spans="20:21" ht="15" customHeight="1" x14ac:dyDescent="0.25">
      <c r="T8728" s="135"/>
      <c r="U8728" s="135"/>
    </row>
    <row r="8729" spans="20:21" ht="15" customHeight="1" x14ac:dyDescent="0.25">
      <c r="T8729" s="135"/>
      <c r="U8729" s="135"/>
    </row>
    <row r="8730" spans="20:21" ht="15" customHeight="1" x14ac:dyDescent="0.25">
      <c r="T8730" s="135"/>
      <c r="U8730" s="135"/>
    </row>
    <row r="8731" spans="20:21" ht="15" customHeight="1" x14ac:dyDescent="0.25">
      <c r="T8731" s="135"/>
      <c r="U8731" s="135"/>
    </row>
    <row r="8732" spans="20:21" ht="15" customHeight="1" x14ac:dyDescent="0.25">
      <c r="T8732" s="135"/>
      <c r="U8732" s="135"/>
    </row>
    <row r="8733" spans="20:21" ht="15" customHeight="1" x14ac:dyDescent="0.25">
      <c r="T8733" s="135"/>
      <c r="U8733" s="135"/>
    </row>
    <row r="8734" spans="20:21" ht="15" customHeight="1" x14ac:dyDescent="0.25">
      <c r="T8734" s="135"/>
      <c r="U8734" s="135"/>
    </row>
    <row r="8735" spans="20:21" ht="15" customHeight="1" x14ac:dyDescent="0.25">
      <c r="T8735" s="135"/>
      <c r="U8735" s="135"/>
    </row>
    <row r="8736" spans="20:21" ht="15" customHeight="1" x14ac:dyDescent="0.25">
      <c r="T8736" s="135"/>
      <c r="U8736" s="135"/>
    </row>
    <row r="8737" spans="20:21" ht="15" customHeight="1" x14ac:dyDescent="0.25">
      <c r="T8737" s="135"/>
      <c r="U8737" s="135"/>
    </row>
    <row r="8738" spans="20:21" ht="15" customHeight="1" x14ac:dyDescent="0.25">
      <c r="T8738" s="135"/>
      <c r="U8738" s="135"/>
    </row>
    <row r="8739" spans="20:21" ht="15" customHeight="1" x14ac:dyDescent="0.25">
      <c r="T8739" s="135"/>
      <c r="U8739" s="135"/>
    </row>
    <row r="8740" spans="20:21" ht="15" customHeight="1" x14ac:dyDescent="0.25">
      <c r="T8740" s="135"/>
      <c r="U8740" s="135"/>
    </row>
    <row r="8741" spans="20:21" ht="15" customHeight="1" x14ac:dyDescent="0.25">
      <c r="T8741" s="135"/>
      <c r="U8741" s="135"/>
    </row>
    <row r="8742" spans="20:21" ht="15" customHeight="1" x14ac:dyDescent="0.25">
      <c r="T8742" s="135"/>
      <c r="U8742" s="135"/>
    </row>
    <row r="8743" spans="20:21" ht="15" customHeight="1" x14ac:dyDescent="0.25">
      <c r="T8743" s="135"/>
      <c r="U8743" s="135"/>
    </row>
    <row r="8744" spans="20:21" ht="15" customHeight="1" x14ac:dyDescent="0.25">
      <c r="T8744" s="135"/>
      <c r="U8744" s="135"/>
    </row>
    <row r="8745" spans="20:21" ht="15" customHeight="1" x14ac:dyDescent="0.25">
      <c r="T8745" s="135"/>
      <c r="U8745" s="135"/>
    </row>
    <row r="8746" spans="20:21" ht="15" customHeight="1" x14ac:dyDescent="0.25">
      <c r="T8746" s="135"/>
      <c r="U8746" s="135"/>
    </row>
    <row r="8747" spans="20:21" ht="15" customHeight="1" x14ac:dyDescent="0.25">
      <c r="T8747" s="135"/>
      <c r="U8747" s="135"/>
    </row>
    <row r="8748" spans="20:21" ht="15" customHeight="1" x14ac:dyDescent="0.25">
      <c r="T8748" s="135"/>
      <c r="U8748" s="135"/>
    </row>
    <row r="8749" spans="20:21" ht="15" customHeight="1" x14ac:dyDescent="0.25">
      <c r="T8749" s="135"/>
      <c r="U8749" s="135"/>
    </row>
    <row r="8750" spans="20:21" ht="15" customHeight="1" x14ac:dyDescent="0.25">
      <c r="T8750" s="135"/>
      <c r="U8750" s="135"/>
    </row>
    <row r="8751" spans="20:21" ht="15" customHeight="1" x14ac:dyDescent="0.25">
      <c r="T8751" s="135"/>
      <c r="U8751" s="135"/>
    </row>
    <row r="8752" spans="20:21" ht="15" customHeight="1" x14ac:dyDescent="0.25">
      <c r="T8752" s="135"/>
      <c r="U8752" s="135"/>
    </row>
    <row r="8753" spans="20:21" ht="15" customHeight="1" x14ac:dyDescent="0.25">
      <c r="T8753" s="135"/>
      <c r="U8753" s="135"/>
    </row>
    <row r="8754" spans="20:21" ht="15" customHeight="1" x14ac:dyDescent="0.25">
      <c r="T8754" s="135"/>
      <c r="U8754" s="135"/>
    </row>
    <row r="8755" spans="20:21" ht="15" customHeight="1" x14ac:dyDescent="0.25">
      <c r="T8755" s="135"/>
      <c r="U8755" s="135"/>
    </row>
    <row r="8756" spans="20:21" ht="15" customHeight="1" x14ac:dyDescent="0.25">
      <c r="T8756" s="135"/>
      <c r="U8756" s="135"/>
    </row>
    <row r="8757" spans="20:21" ht="15" customHeight="1" x14ac:dyDescent="0.25">
      <c r="T8757" s="135"/>
      <c r="U8757" s="135"/>
    </row>
    <row r="8758" spans="20:21" ht="15" customHeight="1" x14ac:dyDescent="0.25">
      <c r="T8758" s="135"/>
      <c r="U8758" s="135"/>
    </row>
    <row r="8759" spans="20:21" ht="15" customHeight="1" x14ac:dyDescent="0.25">
      <c r="T8759" s="135"/>
      <c r="U8759" s="135"/>
    </row>
    <row r="8760" spans="20:21" ht="15" customHeight="1" x14ac:dyDescent="0.25">
      <c r="T8760" s="135"/>
      <c r="U8760" s="135"/>
    </row>
    <row r="8761" spans="20:21" ht="15" customHeight="1" x14ac:dyDescent="0.25">
      <c r="T8761" s="135"/>
      <c r="U8761" s="135"/>
    </row>
    <row r="8762" spans="20:21" ht="15" customHeight="1" x14ac:dyDescent="0.25">
      <c r="T8762" s="135"/>
      <c r="U8762" s="135"/>
    </row>
    <row r="8763" spans="20:21" ht="15" customHeight="1" x14ac:dyDescent="0.25">
      <c r="T8763" s="135"/>
      <c r="U8763" s="135"/>
    </row>
    <row r="8764" spans="20:21" ht="15" customHeight="1" x14ac:dyDescent="0.25">
      <c r="T8764" s="135"/>
      <c r="U8764" s="135"/>
    </row>
    <row r="8765" spans="20:21" ht="15" customHeight="1" x14ac:dyDescent="0.25">
      <c r="T8765" s="135"/>
      <c r="U8765" s="135"/>
    </row>
    <row r="8766" spans="20:21" ht="15" customHeight="1" x14ac:dyDescent="0.25">
      <c r="T8766" s="135"/>
      <c r="U8766" s="135"/>
    </row>
    <row r="8767" spans="20:21" ht="15" customHeight="1" x14ac:dyDescent="0.25">
      <c r="T8767" s="135"/>
      <c r="U8767" s="135"/>
    </row>
    <row r="8768" spans="20:21" ht="15" customHeight="1" x14ac:dyDescent="0.25">
      <c r="T8768" s="135"/>
      <c r="U8768" s="135"/>
    </row>
    <row r="8769" spans="20:21" ht="15" customHeight="1" x14ac:dyDescent="0.25">
      <c r="T8769" s="135"/>
      <c r="U8769" s="135"/>
    </row>
    <row r="8770" spans="20:21" ht="15" customHeight="1" x14ac:dyDescent="0.25">
      <c r="T8770" s="135"/>
      <c r="U8770" s="135"/>
    </row>
    <row r="8771" spans="20:21" ht="15" customHeight="1" x14ac:dyDescent="0.25">
      <c r="T8771" s="135"/>
      <c r="U8771" s="135"/>
    </row>
    <row r="8772" spans="20:21" ht="15" customHeight="1" x14ac:dyDescent="0.25">
      <c r="T8772" s="135"/>
      <c r="U8772" s="135"/>
    </row>
    <row r="8773" spans="20:21" ht="15" customHeight="1" x14ac:dyDescent="0.25">
      <c r="T8773" s="135"/>
      <c r="U8773" s="135"/>
    </row>
    <row r="8774" spans="20:21" ht="15" customHeight="1" x14ac:dyDescent="0.25">
      <c r="T8774" s="135"/>
      <c r="U8774" s="135"/>
    </row>
    <row r="8775" spans="20:21" ht="15" customHeight="1" x14ac:dyDescent="0.25">
      <c r="T8775" s="135"/>
      <c r="U8775" s="135"/>
    </row>
    <row r="8776" spans="20:21" ht="15" customHeight="1" x14ac:dyDescent="0.25">
      <c r="T8776" s="135"/>
      <c r="U8776" s="135"/>
    </row>
    <row r="8777" spans="20:21" ht="15" customHeight="1" x14ac:dyDescent="0.25">
      <c r="T8777" s="135"/>
      <c r="U8777" s="135"/>
    </row>
    <row r="8778" spans="20:21" ht="15" customHeight="1" x14ac:dyDescent="0.25">
      <c r="T8778" s="135"/>
      <c r="U8778" s="135"/>
    </row>
    <row r="8779" spans="20:21" ht="15" customHeight="1" x14ac:dyDescent="0.25">
      <c r="T8779" s="135"/>
      <c r="U8779" s="135"/>
    </row>
    <row r="8780" spans="20:21" ht="15" customHeight="1" x14ac:dyDescent="0.25">
      <c r="T8780" s="135"/>
      <c r="U8780" s="135"/>
    </row>
    <row r="8781" spans="20:21" ht="15" customHeight="1" x14ac:dyDescent="0.25">
      <c r="T8781" s="135"/>
      <c r="U8781" s="135"/>
    </row>
    <row r="8782" spans="20:21" ht="15" customHeight="1" x14ac:dyDescent="0.25">
      <c r="T8782" s="135"/>
      <c r="U8782" s="135"/>
    </row>
    <row r="8783" spans="20:21" ht="15" customHeight="1" x14ac:dyDescent="0.25">
      <c r="T8783" s="135"/>
      <c r="U8783" s="135"/>
    </row>
    <row r="8784" spans="20:21" ht="15" customHeight="1" x14ac:dyDescent="0.25">
      <c r="T8784" s="135"/>
      <c r="U8784" s="135"/>
    </row>
    <row r="8785" spans="20:21" ht="15" customHeight="1" x14ac:dyDescent="0.25">
      <c r="T8785" s="135"/>
      <c r="U8785" s="135"/>
    </row>
    <row r="8786" spans="20:21" ht="15" customHeight="1" x14ac:dyDescent="0.25">
      <c r="T8786" s="135"/>
      <c r="U8786" s="135"/>
    </row>
    <row r="8787" spans="20:21" ht="15" customHeight="1" x14ac:dyDescent="0.25">
      <c r="T8787" s="135"/>
      <c r="U8787" s="135"/>
    </row>
    <row r="8788" spans="20:21" ht="15" customHeight="1" x14ac:dyDescent="0.25">
      <c r="T8788" s="135"/>
      <c r="U8788" s="135"/>
    </row>
    <row r="8789" spans="20:21" ht="15" customHeight="1" x14ac:dyDescent="0.25">
      <c r="T8789" s="135"/>
      <c r="U8789" s="135"/>
    </row>
    <row r="8790" spans="20:21" ht="15" customHeight="1" x14ac:dyDescent="0.25">
      <c r="T8790" s="135"/>
      <c r="U8790" s="135"/>
    </row>
    <row r="8791" spans="20:21" ht="15" customHeight="1" x14ac:dyDescent="0.25">
      <c r="T8791" s="135"/>
      <c r="U8791" s="135"/>
    </row>
    <row r="8792" spans="20:21" ht="15" customHeight="1" x14ac:dyDescent="0.25">
      <c r="T8792" s="135"/>
      <c r="U8792" s="135"/>
    </row>
    <row r="8793" spans="20:21" ht="15" customHeight="1" x14ac:dyDescent="0.25">
      <c r="T8793" s="135"/>
      <c r="U8793" s="135"/>
    </row>
    <row r="8794" spans="20:21" ht="15" customHeight="1" x14ac:dyDescent="0.25">
      <c r="T8794" s="135"/>
      <c r="U8794" s="135"/>
    </row>
    <row r="8795" spans="20:21" ht="15" customHeight="1" x14ac:dyDescent="0.25">
      <c r="T8795" s="135"/>
      <c r="U8795" s="135"/>
    </row>
    <row r="8796" spans="20:21" ht="15" customHeight="1" x14ac:dyDescent="0.25">
      <c r="T8796" s="135"/>
      <c r="U8796" s="135"/>
    </row>
    <row r="8797" spans="20:21" ht="15" customHeight="1" x14ac:dyDescent="0.25">
      <c r="T8797" s="135"/>
      <c r="U8797" s="135"/>
    </row>
    <row r="8798" spans="20:21" ht="15" customHeight="1" x14ac:dyDescent="0.25">
      <c r="T8798" s="135"/>
      <c r="U8798" s="135"/>
    </row>
    <row r="8799" spans="20:21" ht="15" customHeight="1" x14ac:dyDescent="0.25">
      <c r="T8799" s="135"/>
      <c r="U8799" s="135"/>
    </row>
    <row r="8800" spans="20:21" ht="15" customHeight="1" x14ac:dyDescent="0.25">
      <c r="T8800" s="135"/>
      <c r="U8800" s="135"/>
    </row>
    <row r="8801" spans="20:21" ht="15" customHeight="1" x14ac:dyDescent="0.25">
      <c r="T8801" s="135"/>
      <c r="U8801" s="135"/>
    </row>
    <row r="8802" spans="20:21" ht="15" customHeight="1" x14ac:dyDescent="0.25">
      <c r="T8802" s="135"/>
      <c r="U8802" s="135"/>
    </row>
    <row r="8803" spans="20:21" ht="15" customHeight="1" x14ac:dyDescent="0.25">
      <c r="T8803" s="135"/>
      <c r="U8803" s="135"/>
    </row>
    <row r="8804" spans="20:21" ht="15" customHeight="1" x14ac:dyDescent="0.25">
      <c r="T8804" s="135"/>
      <c r="U8804" s="135"/>
    </row>
    <row r="8805" spans="20:21" ht="15" customHeight="1" x14ac:dyDescent="0.25">
      <c r="T8805" s="135"/>
      <c r="U8805" s="135"/>
    </row>
    <row r="8806" spans="20:21" ht="15" customHeight="1" x14ac:dyDescent="0.25">
      <c r="T8806" s="135"/>
      <c r="U8806" s="135"/>
    </row>
    <row r="8807" spans="20:21" ht="15" customHeight="1" x14ac:dyDescent="0.25">
      <c r="T8807" s="135"/>
      <c r="U8807" s="135"/>
    </row>
    <row r="8808" spans="20:21" ht="15" customHeight="1" x14ac:dyDescent="0.25">
      <c r="T8808" s="135"/>
      <c r="U8808" s="135"/>
    </row>
    <row r="8809" spans="20:21" ht="15" customHeight="1" x14ac:dyDescent="0.25">
      <c r="T8809" s="135"/>
      <c r="U8809" s="135"/>
    </row>
    <row r="8810" spans="20:21" ht="15" customHeight="1" x14ac:dyDescent="0.25">
      <c r="T8810" s="135"/>
      <c r="U8810" s="135"/>
    </row>
    <row r="8811" spans="20:21" ht="15" customHeight="1" x14ac:dyDescent="0.25">
      <c r="T8811" s="135"/>
      <c r="U8811" s="135"/>
    </row>
    <row r="8812" spans="20:21" ht="15" customHeight="1" x14ac:dyDescent="0.25">
      <c r="T8812" s="135"/>
      <c r="U8812" s="135"/>
    </row>
    <row r="8813" spans="20:21" ht="15" customHeight="1" x14ac:dyDescent="0.25">
      <c r="T8813" s="135"/>
      <c r="U8813" s="135"/>
    </row>
    <row r="8814" spans="20:21" ht="15" customHeight="1" x14ac:dyDescent="0.25">
      <c r="T8814" s="135"/>
      <c r="U8814" s="135"/>
    </row>
    <row r="8815" spans="20:21" ht="15" customHeight="1" x14ac:dyDescent="0.25">
      <c r="T8815" s="135"/>
      <c r="U8815" s="135"/>
    </row>
    <row r="8816" spans="20:21" ht="15" customHeight="1" x14ac:dyDescent="0.25">
      <c r="T8816" s="135"/>
      <c r="U8816" s="135"/>
    </row>
    <row r="8817" spans="20:21" ht="15" customHeight="1" x14ac:dyDescent="0.25">
      <c r="T8817" s="135"/>
      <c r="U8817" s="135"/>
    </row>
    <row r="8818" spans="20:21" ht="15" customHeight="1" x14ac:dyDescent="0.25">
      <c r="T8818" s="135"/>
      <c r="U8818" s="135"/>
    </row>
    <row r="8819" spans="20:21" ht="15" customHeight="1" x14ac:dyDescent="0.25">
      <c r="T8819" s="135"/>
      <c r="U8819" s="135"/>
    </row>
    <row r="8820" spans="20:21" ht="15" customHeight="1" x14ac:dyDescent="0.25">
      <c r="T8820" s="135"/>
      <c r="U8820" s="135"/>
    </row>
    <row r="8821" spans="20:21" ht="15" customHeight="1" x14ac:dyDescent="0.25">
      <c r="T8821" s="135"/>
      <c r="U8821" s="135"/>
    </row>
    <row r="8822" spans="20:21" ht="15" customHeight="1" x14ac:dyDescent="0.25">
      <c r="T8822" s="135"/>
      <c r="U8822" s="135"/>
    </row>
    <row r="8823" spans="20:21" ht="15" customHeight="1" x14ac:dyDescent="0.25">
      <c r="T8823" s="135"/>
      <c r="U8823" s="135"/>
    </row>
    <row r="8824" spans="20:21" ht="15" customHeight="1" x14ac:dyDescent="0.25">
      <c r="T8824" s="135"/>
      <c r="U8824" s="135"/>
    </row>
    <row r="8825" spans="20:21" ht="15" customHeight="1" x14ac:dyDescent="0.25">
      <c r="T8825" s="135"/>
      <c r="U8825" s="135"/>
    </row>
    <row r="8826" spans="20:21" ht="15" customHeight="1" x14ac:dyDescent="0.25">
      <c r="T8826" s="135"/>
      <c r="U8826" s="135"/>
    </row>
    <row r="8827" spans="20:21" ht="15" customHeight="1" x14ac:dyDescent="0.25">
      <c r="T8827" s="135"/>
      <c r="U8827" s="135"/>
    </row>
    <row r="8828" spans="20:21" ht="15" customHeight="1" x14ac:dyDescent="0.25">
      <c r="T8828" s="135"/>
      <c r="U8828" s="135"/>
    </row>
    <row r="8829" spans="20:21" ht="15" customHeight="1" x14ac:dyDescent="0.25">
      <c r="T8829" s="135"/>
      <c r="U8829" s="135"/>
    </row>
    <row r="8830" spans="20:21" ht="15" customHeight="1" x14ac:dyDescent="0.25">
      <c r="T8830" s="135"/>
      <c r="U8830" s="135"/>
    </row>
    <row r="8831" spans="20:21" ht="15" customHeight="1" x14ac:dyDescent="0.25">
      <c r="T8831" s="135"/>
      <c r="U8831" s="135"/>
    </row>
    <row r="8832" spans="20:21" ht="15" customHeight="1" x14ac:dyDescent="0.25">
      <c r="T8832" s="135"/>
      <c r="U8832" s="135"/>
    </row>
    <row r="8833" spans="20:21" ht="15" customHeight="1" x14ac:dyDescent="0.25">
      <c r="T8833" s="135"/>
      <c r="U8833" s="135"/>
    </row>
    <row r="8834" spans="20:21" ht="15" customHeight="1" x14ac:dyDescent="0.25">
      <c r="T8834" s="135"/>
      <c r="U8834" s="135"/>
    </row>
    <row r="8835" spans="20:21" ht="15" customHeight="1" x14ac:dyDescent="0.25">
      <c r="T8835" s="135"/>
      <c r="U8835" s="135"/>
    </row>
    <row r="8836" spans="20:21" ht="15" customHeight="1" x14ac:dyDescent="0.25">
      <c r="T8836" s="135"/>
      <c r="U8836" s="135"/>
    </row>
    <row r="8837" spans="20:21" ht="15" customHeight="1" x14ac:dyDescent="0.25">
      <c r="T8837" s="135"/>
      <c r="U8837" s="135"/>
    </row>
    <row r="8838" spans="20:21" ht="15" customHeight="1" x14ac:dyDescent="0.25">
      <c r="T8838" s="135"/>
      <c r="U8838" s="135"/>
    </row>
    <row r="8839" spans="20:21" ht="15" customHeight="1" x14ac:dyDescent="0.25">
      <c r="T8839" s="135"/>
      <c r="U8839" s="135"/>
    </row>
    <row r="8840" spans="20:21" ht="15" customHeight="1" x14ac:dyDescent="0.25">
      <c r="T8840" s="135"/>
      <c r="U8840" s="135"/>
    </row>
    <row r="8841" spans="20:21" ht="15" customHeight="1" x14ac:dyDescent="0.25">
      <c r="T8841" s="135"/>
      <c r="U8841" s="135"/>
    </row>
    <row r="8842" spans="20:21" ht="15" customHeight="1" x14ac:dyDescent="0.25">
      <c r="T8842" s="135"/>
      <c r="U8842" s="135"/>
    </row>
    <row r="8843" spans="20:21" ht="15" customHeight="1" x14ac:dyDescent="0.25">
      <c r="T8843" s="135"/>
      <c r="U8843" s="135"/>
    </row>
    <row r="8844" spans="20:21" ht="15" customHeight="1" x14ac:dyDescent="0.25">
      <c r="T8844" s="135"/>
      <c r="U8844" s="135"/>
    </row>
    <row r="8845" spans="20:21" ht="15" customHeight="1" x14ac:dyDescent="0.25">
      <c r="T8845" s="135"/>
      <c r="U8845" s="135"/>
    </row>
    <row r="8846" spans="20:21" ht="15" customHeight="1" x14ac:dyDescent="0.25">
      <c r="T8846" s="135"/>
      <c r="U8846" s="135"/>
    </row>
    <row r="8847" spans="20:21" ht="15" customHeight="1" x14ac:dyDescent="0.25">
      <c r="T8847" s="135"/>
      <c r="U8847" s="135"/>
    </row>
    <row r="8848" spans="20:21" ht="15" customHeight="1" x14ac:dyDescent="0.25">
      <c r="T8848" s="135"/>
      <c r="U8848" s="135"/>
    </row>
    <row r="8849" spans="20:21" ht="15" customHeight="1" x14ac:dyDescent="0.25">
      <c r="T8849" s="135"/>
      <c r="U8849" s="135"/>
    </row>
    <row r="8850" spans="20:21" ht="15" customHeight="1" x14ac:dyDescent="0.25">
      <c r="T8850" s="135"/>
      <c r="U8850" s="135"/>
    </row>
    <row r="8851" spans="20:21" ht="15" customHeight="1" x14ac:dyDescent="0.25">
      <c r="T8851" s="135"/>
      <c r="U8851" s="135"/>
    </row>
    <row r="8852" spans="20:21" ht="15" customHeight="1" x14ac:dyDescent="0.25">
      <c r="T8852" s="135"/>
      <c r="U8852" s="135"/>
    </row>
    <row r="8853" spans="20:21" ht="15" customHeight="1" x14ac:dyDescent="0.25">
      <c r="T8853" s="135"/>
      <c r="U8853" s="135"/>
    </row>
    <row r="8854" spans="20:21" ht="15" customHeight="1" x14ac:dyDescent="0.25">
      <c r="T8854" s="135"/>
      <c r="U8854" s="135"/>
    </row>
    <row r="8855" spans="20:21" ht="15" customHeight="1" x14ac:dyDescent="0.25">
      <c r="T8855" s="135"/>
      <c r="U8855" s="135"/>
    </row>
    <row r="8856" spans="20:21" ht="15" customHeight="1" x14ac:dyDescent="0.25">
      <c r="T8856" s="135"/>
      <c r="U8856" s="135"/>
    </row>
    <row r="8857" spans="20:21" ht="15" customHeight="1" x14ac:dyDescent="0.25">
      <c r="T8857" s="135"/>
      <c r="U8857" s="135"/>
    </row>
    <row r="8858" spans="20:21" ht="15" customHeight="1" x14ac:dyDescent="0.25">
      <c r="T8858" s="135"/>
      <c r="U8858" s="135"/>
    </row>
    <row r="8859" spans="20:21" ht="15" customHeight="1" x14ac:dyDescent="0.25">
      <c r="T8859" s="135"/>
      <c r="U8859" s="135"/>
    </row>
    <row r="8860" spans="20:21" ht="15" customHeight="1" x14ac:dyDescent="0.25">
      <c r="T8860" s="135"/>
      <c r="U8860" s="135"/>
    </row>
    <row r="8861" spans="20:21" ht="15" customHeight="1" x14ac:dyDescent="0.25">
      <c r="T8861" s="135"/>
      <c r="U8861" s="135"/>
    </row>
    <row r="8862" spans="20:21" ht="15" customHeight="1" x14ac:dyDescent="0.25">
      <c r="T8862" s="135"/>
      <c r="U8862" s="135"/>
    </row>
    <row r="8863" spans="20:21" ht="15" customHeight="1" x14ac:dyDescent="0.25">
      <c r="T8863" s="135"/>
      <c r="U8863" s="135"/>
    </row>
    <row r="8864" spans="20:21" ht="15" customHeight="1" x14ac:dyDescent="0.25">
      <c r="T8864" s="135"/>
      <c r="U8864" s="135"/>
    </row>
    <row r="8865" spans="20:21" ht="15" customHeight="1" x14ac:dyDescent="0.25">
      <c r="T8865" s="135"/>
      <c r="U8865" s="135"/>
    </row>
    <row r="8866" spans="20:21" ht="15" customHeight="1" x14ac:dyDescent="0.25">
      <c r="T8866" s="135"/>
      <c r="U8866" s="135"/>
    </row>
    <row r="8867" spans="20:21" ht="15" customHeight="1" x14ac:dyDescent="0.25">
      <c r="T8867" s="135"/>
      <c r="U8867" s="135"/>
    </row>
    <row r="8868" spans="20:21" ht="15" customHeight="1" x14ac:dyDescent="0.25">
      <c r="T8868" s="135"/>
      <c r="U8868" s="135"/>
    </row>
    <row r="8869" spans="20:21" ht="15" customHeight="1" x14ac:dyDescent="0.25">
      <c r="T8869" s="135"/>
      <c r="U8869" s="135"/>
    </row>
    <row r="8870" spans="20:21" ht="15" customHeight="1" x14ac:dyDescent="0.25">
      <c r="T8870" s="135"/>
      <c r="U8870" s="135"/>
    </row>
    <row r="8871" spans="20:21" ht="15" customHeight="1" x14ac:dyDescent="0.25">
      <c r="T8871" s="135"/>
      <c r="U8871" s="135"/>
    </row>
    <row r="8872" spans="20:21" ht="15" customHeight="1" x14ac:dyDescent="0.25">
      <c r="T8872" s="135"/>
      <c r="U8872" s="135"/>
    </row>
    <row r="8873" spans="20:21" ht="15" customHeight="1" x14ac:dyDescent="0.25">
      <c r="T8873" s="135"/>
      <c r="U8873" s="135"/>
    </row>
    <row r="8874" spans="20:21" ht="15" customHeight="1" x14ac:dyDescent="0.25">
      <c r="T8874" s="135"/>
      <c r="U8874" s="135"/>
    </row>
    <row r="8875" spans="20:21" ht="15" customHeight="1" x14ac:dyDescent="0.25">
      <c r="T8875" s="135"/>
      <c r="U8875" s="135"/>
    </row>
    <row r="8876" spans="20:21" ht="15" customHeight="1" x14ac:dyDescent="0.25">
      <c r="T8876" s="135"/>
      <c r="U8876" s="135"/>
    </row>
    <row r="8877" spans="20:21" ht="15" customHeight="1" x14ac:dyDescent="0.25">
      <c r="T8877" s="135"/>
      <c r="U8877" s="135"/>
    </row>
    <row r="8878" spans="20:21" ht="15" customHeight="1" x14ac:dyDescent="0.25">
      <c r="T8878" s="135"/>
      <c r="U8878" s="135"/>
    </row>
    <row r="8879" spans="20:21" ht="15" customHeight="1" x14ac:dyDescent="0.25">
      <c r="T8879" s="135"/>
      <c r="U8879" s="135"/>
    </row>
    <row r="8880" spans="20:21" ht="15" customHeight="1" x14ac:dyDescent="0.25">
      <c r="T8880" s="135"/>
      <c r="U8880" s="135"/>
    </row>
    <row r="8881" spans="20:21" ht="15" customHeight="1" x14ac:dyDescent="0.25">
      <c r="T8881" s="135"/>
      <c r="U8881" s="135"/>
    </row>
    <row r="8882" spans="20:21" ht="15" customHeight="1" x14ac:dyDescent="0.25">
      <c r="T8882" s="135"/>
      <c r="U8882" s="135"/>
    </row>
    <row r="8883" spans="20:21" ht="15" customHeight="1" x14ac:dyDescent="0.25">
      <c r="T8883" s="135"/>
      <c r="U8883" s="135"/>
    </row>
    <row r="8884" spans="20:21" ht="15" customHeight="1" x14ac:dyDescent="0.25">
      <c r="T8884" s="135"/>
      <c r="U8884" s="135"/>
    </row>
    <row r="8885" spans="20:21" ht="15" customHeight="1" x14ac:dyDescent="0.25">
      <c r="T8885" s="135"/>
      <c r="U8885" s="135"/>
    </row>
    <row r="8886" spans="20:21" ht="15" customHeight="1" x14ac:dyDescent="0.25">
      <c r="T8886" s="135"/>
      <c r="U8886" s="135"/>
    </row>
    <row r="8887" spans="20:21" ht="15" customHeight="1" x14ac:dyDescent="0.25">
      <c r="T8887" s="135"/>
      <c r="U8887" s="135"/>
    </row>
    <row r="8888" spans="20:21" ht="15" customHeight="1" x14ac:dyDescent="0.25">
      <c r="T8888" s="135"/>
      <c r="U8888" s="135"/>
    </row>
    <row r="8889" spans="20:21" ht="15" customHeight="1" x14ac:dyDescent="0.25">
      <c r="T8889" s="135"/>
      <c r="U8889" s="135"/>
    </row>
    <row r="8890" spans="20:21" ht="15" customHeight="1" x14ac:dyDescent="0.25">
      <c r="T8890" s="135"/>
      <c r="U8890" s="135"/>
    </row>
    <row r="8891" spans="20:21" ht="15" customHeight="1" x14ac:dyDescent="0.25">
      <c r="T8891" s="135"/>
      <c r="U8891" s="135"/>
    </row>
    <row r="8892" spans="20:21" ht="15" customHeight="1" x14ac:dyDescent="0.25">
      <c r="T8892" s="135"/>
      <c r="U8892" s="135"/>
    </row>
    <row r="8893" spans="20:21" ht="15" customHeight="1" x14ac:dyDescent="0.25">
      <c r="T8893" s="135"/>
      <c r="U8893" s="135"/>
    </row>
    <row r="8894" spans="20:21" ht="15" customHeight="1" x14ac:dyDescent="0.25">
      <c r="T8894" s="135"/>
      <c r="U8894" s="135"/>
    </row>
    <row r="8895" spans="20:21" ht="15" customHeight="1" x14ac:dyDescent="0.25">
      <c r="T8895" s="135"/>
      <c r="U8895" s="135"/>
    </row>
    <row r="8896" spans="20:21" ht="15" customHeight="1" x14ac:dyDescent="0.25">
      <c r="T8896" s="135"/>
      <c r="U8896" s="135"/>
    </row>
    <row r="8897" spans="20:21" ht="15" customHeight="1" x14ac:dyDescent="0.25">
      <c r="T8897" s="135"/>
      <c r="U8897" s="135"/>
    </row>
    <row r="8898" spans="20:21" ht="15" customHeight="1" x14ac:dyDescent="0.25">
      <c r="T8898" s="135"/>
      <c r="U8898" s="135"/>
    </row>
    <row r="8899" spans="20:21" ht="15" customHeight="1" x14ac:dyDescent="0.25">
      <c r="T8899" s="135"/>
      <c r="U8899" s="135"/>
    </row>
    <row r="8900" spans="20:21" ht="15" customHeight="1" x14ac:dyDescent="0.25">
      <c r="T8900" s="135"/>
      <c r="U8900" s="135"/>
    </row>
    <row r="8901" spans="20:21" ht="15" customHeight="1" x14ac:dyDescent="0.25">
      <c r="T8901" s="135"/>
      <c r="U8901" s="135"/>
    </row>
    <row r="8902" spans="20:21" ht="15" customHeight="1" x14ac:dyDescent="0.25">
      <c r="T8902" s="135"/>
      <c r="U8902" s="135"/>
    </row>
    <row r="8903" spans="20:21" ht="15" customHeight="1" x14ac:dyDescent="0.25">
      <c r="T8903" s="135"/>
      <c r="U8903" s="135"/>
    </row>
    <row r="8904" spans="20:21" ht="15" customHeight="1" x14ac:dyDescent="0.25">
      <c r="T8904" s="135"/>
      <c r="U8904" s="135"/>
    </row>
    <row r="8905" spans="20:21" ht="15" customHeight="1" x14ac:dyDescent="0.25">
      <c r="T8905" s="135"/>
      <c r="U8905" s="135"/>
    </row>
    <row r="8906" spans="20:21" ht="15" customHeight="1" x14ac:dyDescent="0.25">
      <c r="T8906" s="135"/>
      <c r="U8906" s="135"/>
    </row>
    <row r="8907" spans="20:21" ht="15" customHeight="1" x14ac:dyDescent="0.25">
      <c r="T8907" s="135"/>
      <c r="U8907" s="135"/>
    </row>
    <row r="8908" spans="20:21" ht="15" customHeight="1" x14ac:dyDescent="0.25">
      <c r="T8908" s="135"/>
      <c r="U8908" s="135"/>
    </row>
    <row r="8909" spans="20:21" ht="15" customHeight="1" x14ac:dyDescent="0.25">
      <c r="T8909" s="135"/>
      <c r="U8909" s="135"/>
    </row>
    <row r="8910" spans="20:21" ht="15" customHeight="1" x14ac:dyDescent="0.25">
      <c r="T8910" s="135"/>
      <c r="U8910" s="135"/>
    </row>
    <row r="8911" spans="20:21" ht="15" customHeight="1" x14ac:dyDescent="0.25">
      <c r="T8911" s="135"/>
      <c r="U8911" s="135"/>
    </row>
    <row r="8912" spans="20:21" ht="15" customHeight="1" x14ac:dyDescent="0.25">
      <c r="T8912" s="135"/>
      <c r="U8912" s="135"/>
    </row>
    <row r="8913" spans="20:21" ht="15" customHeight="1" x14ac:dyDescent="0.25">
      <c r="T8913" s="135"/>
      <c r="U8913" s="135"/>
    </row>
    <row r="8914" spans="20:21" ht="15" customHeight="1" x14ac:dyDescent="0.25">
      <c r="T8914" s="135"/>
      <c r="U8914" s="135"/>
    </row>
    <row r="8915" spans="20:21" ht="15" customHeight="1" x14ac:dyDescent="0.25">
      <c r="T8915" s="135"/>
      <c r="U8915" s="135"/>
    </row>
    <row r="8916" spans="20:21" ht="15" customHeight="1" x14ac:dyDescent="0.25">
      <c r="T8916" s="135"/>
      <c r="U8916" s="135"/>
    </row>
    <row r="8917" spans="20:21" ht="15" customHeight="1" x14ac:dyDescent="0.25">
      <c r="T8917" s="135"/>
      <c r="U8917" s="135"/>
    </row>
    <row r="8918" spans="20:21" ht="15" customHeight="1" x14ac:dyDescent="0.25">
      <c r="T8918" s="135"/>
      <c r="U8918" s="135"/>
    </row>
    <row r="8919" spans="20:21" ht="15" customHeight="1" x14ac:dyDescent="0.25">
      <c r="T8919" s="135"/>
      <c r="U8919" s="135"/>
    </row>
    <row r="8920" spans="20:21" ht="15" customHeight="1" x14ac:dyDescent="0.25">
      <c r="T8920" s="135"/>
      <c r="U8920" s="135"/>
    </row>
    <row r="8921" spans="20:21" ht="15" customHeight="1" x14ac:dyDescent="0.25">
      <c r="T8921" s="135"/>
      <c r="U8921" s="135"/>
    </row>
    <row r="8922" spans="20:21" ht="15" customHeight="1" x14ac:dyDescent="0.25">
      <c r="T8922" s="135"/>
      <c r="U8922" s="135"/>
    </row>
    <row r="8923" spans="20:21" ht="15" customHeight="1" x14ac:dyDescent="0.25">
      <c r="T8923" s="135"/>
      <c r="U8923" s="135"/>
    </row>
    <row r="8924" spans="20:21" ht="15" customHeight="1" x14ac:dyDescent="0.25">
      <c r="T8924" s="135"/>
      <c r="U8924" s="135"/>
    </row>
    <row r="8925" spans="20:21" ht="15" customHeight="1" x14ac:dyDescent="0.25">
      <c r="T8925" s="135"/>
      <c r="U8925" s="135"/>
    </row>
    <row r="8926" spans="20:21" ht="15" customHeight="1" x14ac:dyDescent="0.25">
      <c r="T8926" s="135"/>
      <c r="U8926" s="135"/>
    </row>
    <row r="8927" spans="20:21" ht="15" customHeight="1" x14ac:dyDescent="0.25">
      <c r="T8927" s="135"/>
      <c r="U8927" s="135"/>
    </row>
    <row r="8928" spans="20:21" ht="15" customHeight="1" x14ac:dyDescent="0.25">
      <c r="T8928" s="135"/>
      <c r="U8928" s="135"/>
    </row>
    <row r="8929" spans="20:21" ht="15" customHeight="1" x14ac:dyDescent="0.25">
      <c r="T8929" s="135"/>
      <c r="U8929" s="135"/>
    </row>
    <row r="8930" spans="20:21" ht="15" customHeight="1" x14ac:dyDescent="0.25">
      <c r="T8930" s="135"/>
      <c r="U8930" s="135"/>
    </row>
    <row r="8931" spans="20:21" ht="15" customHeight="1" x14ac:dyDescent="0.25">
      <c r="T8931" s="135"/>
      <c r="U8931" s="135"/>
    </row>
    <row r="8932" spans="20:21" ht="15" customHeight="1" x14ac:dyDescent="0.25">
      <c r="T8932" s="135"/>
      <c r="U8932" s="135"/>
    </row>
    <row r="8933" spans="20:21" ht="15" customHeight="1" x14ac:dyDescent="0.25">
      <c r="T8933" s="135"/>
      <c r="U8933" s="135"/>
    </row>
    <row r="8934" spans="20:21" ht="15" customHeight="1" x14ac:dyDescent="0.25">
      <c r="T8934" s="135"/>
      <c r="U8934" s="135"/>
    </row>
    <row r="8935" spans="20:21" ht="15" customHeight="1" x14ac:dyDescent="0.25">
      <c r="T8935" s="135"/>
      <c r="U8935" s="135"/>
    </row>
    <row r="8936" spans="20:21" ht="15" customHeight="1" x14ac:dyDescent="0.25">
      <c r="T8936" s="135"/>
      <c r="U8936" s="135"/>
    </row>
    <row r="8937" spans="20:21" ht="15" customHeight="1" x14ac:dyDescent="0.25">
      <c r="T8937" s="135"/>
      <c r="U8937" s="135"/>
    </row>
    <row r="8938" spans="20:21" ht="15" customHeight="1" x14ac:dyDescent="0.25">
      <c r="T8938" s="135"/>
      <c r="U8938" s="135"/>
    </row>
    <row r="8939" spans="20:21" ht="15" customHeight="1" x14ac:dyDescent="0.25">
      <c r="T8939" s="135"/>
      <c r="U8939" s="135"/>
    </row>
    <row r="8940" spans="20:21" ht="15" customHeight="1" x14ac:dyDescent="0.25">
      <c r="T8940" s="135"/>
      <c r="U8940" s="135"/>
    </row>
    <row r="8941" spans="20:21" ht="15" customHeight="1" x14ac:dyDescent="0.25">
      <c r="T8941" s="135"/>
      <c r="U8941" s="135"/>
    </row>
    <row r="8942" spans="20:21" ht="15" customHeight="1" x14ac:dyDescent="0.25">
      <c r="T8942" s="135"/>
      <c r="U8942" s="135"/>
    </row>
    <row r="8943" spans="20:21" ht="15" customHeight="1" x14ac:dyDescent="0.25">
      <c r="T8943" s="135"/>
      <c r="U8943" s="135"/>
    </row>
    <row r="8944" spans="20:21" ht="15" customHeight="1" x14ac:dyDescent="0.25">
      <c r="T8944" s="135"/>
      <c r="U8944" s="135"/>
    </row>
    <row r="8945" spans="20:21" ht="15" customHeight="1" x14ac:dyDescent="0.25">
      <c r="T8945" s="135"/>
      <c r="U8945" s="135"/>
    </row>
    <row r="8946" spans="20:21" ht="15" customHeight="1" x14ac:dyDescent="0.25">
      <c r="T8946" s="135"/>
      <c r="U8946" s="135"/>
    </row>
    <row r="8947" spans="20:21" ht="15" customHeight="1" x14ac:dyDescent="0.25">
      <c r="T8947" s="135"/>
      <c r="U8947" s="135"/>
    </row>
    <row r="8948" spans="20:21" ht="15" customHeight="1" x14ac:dyDescent="0.25">
      <c r="T8948" s="135"/>
      <c r="U8948" s="135"/>
    </row>
    <row r="8949" spans="20:21" ht="15" customHeight="1" x14ac:dyDescent="0.25">
      <c r="T8949" s="135"/>
      <c r="U8949" s="135"/>
    </row>
    <row r="8950" spans="20:21" ht="15" customHeight="1" x14ac:dyDescent="0.25">
      <c r="T8950" s="135"/>
      <c r="U8950" s="135"/>
    </row>
    <row r="8951" spans="20:21" ht="15" customHeight="1" x14ac:dyDescent="0.25">
      <c r="T8951" s="135"/>
      <c r="U8951" s="135"/>
    </row>
    <row r="8952" spans="20:21" ht="15" customHeight="1" x14ac:dyDescent="0.25">
      <c r="T8952" s="135"/>
      <c r="U8952" s="135"/>
    </row>
    <row r="8953" spans="20:21" ht="15" customHeight="1" x14ac:dyDescent="0.25">
      <c r="T8953" s="135"/>
      <c r="U8953" s="135"/>
    </row>
    <row r="8954" spans="20:21" ht="15" customHeight="1" x14ac:dyDescent="0.25">
      <c r="T8954" s="135"/>
      <c r="U8954" s="135"/>
    </row>
    <row r="8955" spans="20:21" ht="15" customHeight="1" x14ac:dyDescent="0.25">
      <c r="T8955" s="135"/>
      <c r="U8955" s="135"/>
    </row>
    <row r="8956" spans="20:21" ht="15" customHeight="1" x14ac:dyDescent="0.25">
      <c r="T8956" s="135"/>
      <c r="U8956" s="135"/>
    </row>
    <row r="8957" spans="20:21" ht="15" customHeight="1" x14ac:dyDescent="0.25">
      <c r="T8957" s="135"/>
      <c r="U8957" s="135"/>
    </row>
    <row r="8958" spans="20:21" ht="15" customHeight="1" x14ac:dyDescent="0.25">
      <c r="T8958" s="135"/>
      <c r="U8958" s="135"/>
    </row>
    <row r="8959" spans="20:21" ht="15" customHeight="1" x14ac:dyDescent="0.25">
      <c r="T8959" s="135"/>
      <c r="U8959" s="135"/>
    </row>
    <row r="8960" spans="20:21" ht="15" customHeight="1" x14ac:dyDescent="0.25">
      <c r="T8960" s="135"/>
      <c r="U8960" s="135"/>
    </row>
    <row r="8961" spans="20:21" ht="15" customHeight="1" x14ac:dyDescent="0.25">
      <c r="T8961" s="135"/>
      <c r="U8961" s="135"/>
    </row>
    <row r="8962" spans="20:21" ht="15" customHeight="1" x14ac:dyDescent="0.25">
      <c r="T8962" s="135"/>
      <c r="U8962" s="135"/>
    </row>
    <row r="8963" spans="20:21" ht="15" customHeight="1" x14ac:dyDescent="0.25">
      <c r="T8963" s="135"/>
      <c r="U8963" s="135"/>
    </row>
    <row r="8964" spans="20:21" ht="15" customHeight="1" x14ac:dyDescent="0.25">
      <c r="T8964" s="135"/>
      <c r="U8964" s="135"/>
    </row>
    <row r="8965" spans="20:21" ht="15" customHeight="1" x14ac:dyDescent="0.25">
      <c r="T8965" s="135"/>
      <c r="U8965" s="135"/>
    </row>
    <row r="8966" spans="20:21" ht="15" customHeight="1" x14ac:dyDescent="0.25">
      <c r="T8966" s="135"/>
      <c r="U8966" s="135"/>
    </row>
    <row r="8967" spans="20:21" ht="15" customHeight="1" x14ac:dyDescent="0.25">
      <c r="T8967" s="135"/>
      <c r="U8967" s="135"/>
    </row>
    <row r="8968" spans="20:21" ht="15" customHeight="1" x14ac:dyDescent="0.25">
      <c r="T8968" s="135"/>
      <c r="U8968" s="135"/>
    </row>
    <row r="8969" spans="20:21" ht="15" customHeight="1" x14ac:dyDescent="0.25">
      <c r="T8969" s="135"/>
      <c r="U8969" s="135"/>
    </row>
    <row r="8970" spans="20:21" ht="15" customHeight="1" x14ac:dyDescent="0.25">
      <c r="T8970" s="135"/>
      <c r="U8970" s="135"/>
    </row>
    <row r="8971" spans="20:21" ht="15" customHeight="1" x14ac:dyDescent="0.25">
      <c r="T8971" s="135"/>
      <c r="U8971" s="135"/>
    </row>
    <row r="8972" spans="20:21" ht="15" customHeight="1" x14ac:dyDescent="0.25">
      <c r="T8972" s="135"/>
      <c r="U8972" s="135"/>
    </row>
    <row r="8973" spans="20:21" ht="15" customHeight="1" x14ac:dyDescent="0.25">
      <c r="T8973" s="135"/>
      <c r="U8973" s="135"/>
    </row>
    <row r="8974" spans="20:21" ht="15" customHeight="1" x14ac:dyDescent="0.25">
      <c r="T8974" s="135"/>
      <c r="U8974" s="135"/>
    </row>
    <row r="8975" spans="20:21" ht="15" customHeight="1" x14ac:dyDescent="0.25">
      <c r="T8975" s="135"/>
      <c r="U8975" s="135"/>
    </row>
    <row r="8976" spans="20:21" ht="15" customHeight="1" x14ac:dyDescent="0.25">
      <c r="T8976" s="135"/>
      <c r="U8976" s="135"/>
    </row>
    <row r="8977" spans="20:21" ht="15" customHeight="1" x14ac:dyDescent="0.25">
      <c r="T8977" s="135"/>
      <c r="U8977" s="135"/>
    </row>
    <row r="8978" spans="20:21" ht="15" customHeight="1" x14ac:dyDescent="0.25">
      <c r="T8978" s="135"/>
      <c r="U8978" s="135"/>
    </row>
    <row r="8979" spans="20:21" ht="15" customHeight="1" x14ac:dyDescent="0.25">
      <c r="T8979" s="135"/>
      <c r="U8979" s="135"/>
    </row>
    <row r="8980" spans="20:21" ht="15" customHeight="1" x14ac:dyDescent="0.25">
      <c r="T8980" s="135"/>
      <c r="U8980" s="135"/>
    </row>
    <row r="8981" spans="20:21" ht="15" customHeight="1" x14ac:dyDescent="0.25">
      <c r="T8981" s="135"/>
      <c r="U8981" s="135"/>
    </row>
    <row r="8982" spans="20:21" ht="15" customHeight="1" x14ac:dyDescent="0.25">
      <c r="T8982" s="135"/>
      <c r="U8982" s="135"/>
    </row>
    <row r="8983" spans="20:21" ht="15" customHeight="1" x14ac:dyDescent="0.25">
      <c r="T8983" s="135"/>
      <c r="U8983" s="135"/>
    </row>
    <row r="8984" spans="20:21" ht="15" customHeight="1" x14ac:dyDescent="0.25">
      <c r="T8984" s="135"/>
      <c r="U8984" s="135"/>
    </row>
    <row r="8985" spans="20:21" ht="15" customHeight="1" x14ac:dyDescent="0.25">
      <c r="T8985" s="135"/>
      <c r="U8985" s="135"/>
    </row>
    <row r="8986" spans="20:21" ht="15" customHeight="1" x14ac:dyDescent="0.25">
      <c r="T8986" s="135"/>
      <c r="U8986" s="135"/>
    </row>
    <row r="8987" spans="20:21" ht="15" customHeight="1" x14ac:dyDescent="0.25">
      <c r="T8987" s="135"/>
      <c r="U8987" s="135"/>
    </row>
    <row r="8988" spans="20:21" ht="15" customHeight="1" x14ac:dyDescent="0.25">
      <c r="T8988" s="135"/>
      <c r="U8988" s="135"/>
    </row>
    <row r="8989" spans="20:21" ht="15" customHeight="1" x14ac:dyDescent="0.25">
      <c r="T8989" s="135"/>
      <c r="U8989" s="135"/>
    </row>
    <row r="8990" spans="20:21" ht="15" customHeight="1" x14ac:dyDescent="0.25">
      <c r="T8990" s="135"/>
      <c r="U8990" s="135"/>
    </row>
    <row r="8991" spans="20:21" ht="15" customHeight="1" x14ac:dyDescent="0.25">
      <c r="T8991" s="135"/>
      <c r="U8991" s="135"/>
    </row>
    <row r="8992" spans="20:21" ht="15" customHeight="1" x14ac:dyDescent="0.25">
      <c r="T8992" s="135"/>
      <c r="U8992" s="135"/>
    </row>
    <row r="8993" spans="20:21" ht="15" customHeight="1" x14ac:dyDescent="0.25">
      <c r="T8993" s="135"/>
      <c r="U8993" s="135"/>
    </row>
    <row r="8994" spans="20:21" ht="15" customHeight="1" x14ac:dyDescent="0.25">
      <c r="T8994" s="135"/>
      <c r="U8994" s="135"/>
    </row>
    <row r="8995" spans="20:21" ht="15" customHeight="1" x14ac:dyDescent="0.25">
      <c r="T8995" s="135"/>
      <c r="U8995" s="135"/>
    </row>
    <row r="8996" spans="20:21" ht="15" customHeight="1" x14ac:dyDescent="0.25">
      <c r="T8996" s="135"/>
      <c r="U8996" s="135"/>
    </row>
    <row r="8997" spans="20:21" ht="15" customHeight="1" x14ac:dyDescent="0.25">
      <c r="T8997" s="135"/>
      <c r="U8997" s="135"/>
    </row>
    <row r="8998" spans="20:21" ht="15" customHeight="1" x14ac:dyDescent="0.25">
      <c r="T8998" s="135"/>
      <c r="U8998" s="135"/>
    </row>
    <row r="8999" spans="20:21" ht="15" customHeight="1" x14ac:dyDescent="0.25">
      <c r="T8999" s="135"/>
      <c r="U8999" s="135"/>
    </row>
    <row r="9000" spans="20:21" ht="15" customHeight="1" x14ac:dyDescent="0.25">
      <c r="T9000" s="135"/>
      <c r="U9000" s="135"/>
    </row>
    <row r="9001" spans="20:21" ht="15" customHeight="1" x14ac:dyDescent="0.25">
      <c r="T9001" s="135"/>
      <c r="U9001" s="135"/>
    </row>
    <row r="9002" spans="20:21" ht="15" customHeight="1" x14ac:dyDescent="0.25">
      <c r="T9002" s="135"/>
      <c r="U9002" s="135"/>
    </row>
    <row r="9003" spans="20:21" ht="15" customHeight="1" x14ac:dyDescent="0.25">
      <c r="T9003" s="135"/>
      <c r="U9003" s="135"/>
    </row>
    <row r="9004" spans="20:21" ht="15" customHeight="1" x14ac:dyDescent="0.25">
      <c r="T9004" s="135"/>
      <c r="U9004" s="135"/>
    </row>
    <row r="9005" spans="20:21" ht="15" customHeight="1" x14ac:dyDescent="0.25">
      <c r="T9005" s="135"/>
      <c r="U9005" s="135"/>
    </row>
    <row r="9006" spans="20:21" ht="15" customHeight="1" x14ac:dyDescent="0.25">
      <c r="T9006" s="135"/>
      <c r="U9006" s="135"/>
    </row>
    <row r="9007" spans="20:21" ht="15" customHeight="1" x14ac:dyDescent="0.25">
      <c r="T9007" s="135"/>
      <c r="U9007" s="135"/>
    </row>
    <row r="9008" spans="20:21" ht="15" customHeight="1" x14ac:dyDescent="0.25">
      <c r="T9008" s="135"/>
      <c r="U9008" s="135"/>
    </row>
    <row r="9009" spans="20:21" ht="15" customHeight="1" x14ac:dyDescent="0.25">
      <c r="T9009" s="135"/>
      <c r="U9009" s="135"/>
    </row>
    <row r="9010" spans="20:21" ht="15" customHeight="1" x14ac:dyDescent="0.25">
      <c r="T9010" s="135"/>
      <c r="U9010" s="135"/>
    </row>
    <row r="9011" spans="20:21" ht="15" customHeight="1" x14ac:dyDescent="0.25">
      <c r="T9011" s="135"/>
      <c r="U9011" s="135"/>
    </row>
    <row r="9012" spans="20:21" ht="15" customHeight="1" x14ac:dyDescent="0.25">
      <c r="T9012" s="135"/>
      <c r="U9012" s="135"/>
    </row>
    <row r="9013" spans="20:21" ht="15" customHeight="1" x14ac:dyDescent="0.25">
      <c r="T9013" s="135"/>
      <c r="U9013" s="135"/>
    </row>
    <row r="9014" spans="20:21" ht="15" customHeight="1" x14ac:dyDescent="0.25">
      <c r="T9014" s="135"/>
      <c r="U9014" s="135"/>
    </row>
    <row r="9015" spans="20:21" ht="15" customHeight="1" x14ac:dyDescent="0.25">
      <c r="T9015" s="135"/>
      <c r="U9015" s="135"/>
    </row>
    <row r="9016" spans="20:21" ht="15" customHeight="1" x14ac:dyDescent="0.25">
      <c r="T9016" s="135"/>
      <c r="U9016" s="135"/>
    </row>
    <row r="9017" spans="20:21" ht="15" customHeight="1" x14ac:dyDescent="0.25">
      <c r="T9017" s="135"/>
      <c r="U9017" s="135"/>
    </row>
    <row r="9018" spans="20:21" ht="15" customHeight="1" x14ac:dyDescent="0.25">
      <c r="T9018" s="135"/>
      <c r="U9018" s="135"/>
    </row>
    <row r="9019" spans="20:21" ht="15" customHeight="1" x14ac:dyDescent="0.25">
      <c r="T9019" s="135"/>
      <c r="U9019" s="135"/>
    </row>
    <row r="9020" spans="20:21" ht="15" customHeight="1" x14ac:dyDescent="0.25">
      <c r="T9020" s="135"/>
      <c r="U9020" s="135"/>
    </row>
    <row r="9021" spans="20:21" ht="15" customHeight="1" x14ac:dyDescent="0.25">
      <c r="T9021" s="135"/>
      <c r="U9021" s="135"/>
    </row>
    <row r="9022" spans="20:21" ht="15" customHeight="1" x14ac:dyDescent="0.25">
      <c r="T9022" s="135"/>
      <c r="U9022" s="135"/>
    </row>
    <row r="9023" spans="20:21" ht="15" customHeight="1" x14ac:dyDescent="0.25">
      <c r="T9023" s="135"/>
      <c r="U9023" s="135"/>
    </row>
    <row r="9024" spans="20:21" ht="15" customHeight="1" x14ac:dyDescent="0.25">
      <c r="T9024" s="135"/>
      <c r="U9024" s="135"/>
    </row>
    <row r="9025" spans="20:21" ht="15" customHeight="1" x14ac:dyDescent="0.25">
      <c r="T9025" s="135"/>
      <c r="U9025" s="135"/>
    </row>
    <row r="9026" spans="20:21" ht="15" customHeight="1" x14ac:dyDescent="0.25">
      <c r="T9026" s="135"/>
      <c r="U9026" s="135"/>
    </row>
    <row r="9027" spans="20:21" ht="15" customHeight="1" x14ac:dyDescent="0.25">
      <c r="T9027" s="135"/>
      <c r="U9027" s="135"/>
    </row>
    <row r="9028" spans="20:21" ht="15" customHeight="1" x14ac:dyDescent="0.25">
      <c r="T9028" s="135"/>
      <c r="U9028" s="135"/>
    </row>
    <row r="9029" spans="20:21" ht="15" customHeight="1" x14ac:dyDescent="0.25">
      <c r="T9029" s="135"/>
      <c r="U9029" s="135"/>
    </row>
    <row r="9030" spans="20:21" ht="15" customHeight="1" x14ac:dyDescent="0.25">
      <c r="T9030" s="135"/>
      <c r="U9030" s="135"/>
    </row>
    <row r="9031" spans="20:21" ht="15" customHeight="1" x14ac:dyDescent="0.25">
      <c r="T9031" s="135"/>
      <c r="U9031" s="135"/>
    </row>
    <row r="9032" spans="20:21" ht="15" customHeight="1" x14ac:dyDescent="0.25">
      <c r="T9032" s="135"/>
      <c r="U9032" s="135"/>
    </row>
    <row r="9033" spans="20:21" ht="15" customHeight="1" x14ac:dyDescent="0.25">
      <c r="T9033" s="135"/>
      <c r="U9033" s="135"/>
    </row>
    <row r="9034" spans="20:21" ht="15" customHeight="1" x14ac:dyDescent="0.25">
      <c r="T9034" s="135"/>
      <c r="U9034" s="135"/>
    </row>
    <row r="9035" spans="20:21" ht="15" customHeight="1" x14ac:dyDescent="0.25">
      <c r="T9035" s="135"/>
      <c r="U9035" s="135"/>
    </row>
    <row r="9036" spans="20:21" ht="15" customHeight="1" x14ac:dyDescent="0.25">
      <c r="T9036" s="135"/>
      <c r="U9036" s="135"/>
    </row>
    <row r="9037" spans="20:21" ht="15" customHeight="1" x14ac:dyDescent="0.25">
      <c r="T9037" s="135"/>
      <c r="U9037" s="135"/>
    </row>
    <row r="9038" spans="20:21" ht="15" customHeight="1" x14ac:dyDescent="0.25">
      <c r="T9038" s="135"/>
      <c r="U9038" s="135"/>
    </row>
    <row r="9039" spans="20:21" ht="15" customHeight="1" x14ac:dyDescent="0.25">
      <c r="T9039" s="135"/>
      <c r="U9039" s="135"/>
    </row>
    <row r="9040" spans="20:21" ht="15" customHeight="1" x14ac:dyDescent="0.25">
      <c r="T9040" s="135"/>
      <c r="U9040" s="135"/>
    </row>
    <row r="9041" spans="20:21" ht="15" customHeight="1" x14ac:dyDescent="0.25">
      <c r="T9041" s="135"/>
      <c r="U9041" s="135"/>
    </row>
    <row r="9042" spans="20:21" ht="15" customHeight="1" x14ac:dyDescent="0.25">
      <c r="T9042" s="135"/>
      <c r="U9042" s="135"/>
    </row>
    <row r="9043" spans="20:21" ht="15" customHeight="1" x14ac:dyDescent="0.25">
      <c r="T9043" s="135"/>
      <c r="U9043" s="135"/>
    </row>
    <row r="9044" spans="20:21" ht="15" customHeight="1" x14ac:dyDescent="0.25">
      <c r="T9044" s="135"/>
      <c r="U9044" s="135"/>
    </row>
    <row r="9045" spans="20:21" ht="15" customHeight="1" x14ac:dyDescent="0.25">
      <c r="T9045" s="135"/>
      <c r="U9045" s="135"/>
    </row>
    <row r="9046" spans="20:21" ht="15" customHeight="1" x14ac:dyDescent="0.25">
      <c r="T9046" s="135"/>
      <c r="U9046" s="135"/>
    </row>
    <row r="9047" spans="20:21" ht="15" customHeight="1" x14ac:dyDescent="0.25">
      <c r="T9047" s="135"/>
      <c r="U9047" s="135"/>
    </row>
    <row r="9048" spans="20:21" ht="15" customHeight="1" x14ac:dyDescent="0.25">
      <c r="T9048" s="135"/>
      <c r="U9048" s="135"/>
    </row>
    <row r="9049" spans="20:21" ht="15" customHeight="1" x14ac:dyDescent="0.25">
      <c r="T9049" s="135"/>
      <c r="U9049" s="135"/>
    </row>
    <row r="9050" spans="20:21" ht="15" customHeight="1" x14ac:dyDescent="0.25">
      <c r="T9050" s="135"/>
      <c r="U9050" s="135"/>
    </row>
    <row r="9051" spans="20:21" ht="15" customHeight="1" x14ac:dyDescent="0.25">
      <c r="T9051" s="135"/>
      <c r="U9051" s="135"/>
    </row>
    <row r="9052" spans="20:21" ht="15" customHeight="1" x14ac:dyDescent="0.25">
      <c r="T9052" s="135"/>
      <c r="U9052" s="135"/>
    </row>
    <row r="9053" spans="20:21" ht="15" customHeight="1" x14ac:dyDescent="0.25">
      <c r="T9053" s="135"/>
      <c r="U9053" s="135"/>
    </row>
    <row r="9054" spans="20:21" ht="15" customHeight="1" x14ac:dyDescent="0.25">
      <c r="T9054" s="135"/>
      <c r="U9054" s="135"/>
    </row>
    <row r="9055" spans="20:21" ht="15" customHeight="1" x14ac:dyDescent="0.25">
      <c r="T9055" s="135"/>
      <c r="U9055" s="135"/>
    </row>
    <row r="9056" spans="20:21" ht="15" customHeight="1" x14ac:dyDescent="0.25">
      <c r="T9056" s="135"/>
      <c r="U9056" s="135"/>
    </row>
    <row r="9057" spans="20:21" ht="15" customHeight="1" x14ac:dyDescent="0.25">
      <c r="T9057" s="135"/>
      <c r="U9057" s="135"/>
    </row>
    <row r="9058" spans="20:21" ht="15" customHeight="1" x14ac:dyDescent="0.25">
      <c r="T9058" s="135"/>
      <c r="U9058" s="135"/>
    </row>
    <row r="9059" spans="20:21" ht="15" customHeight="1" x14ac:dyDescent="0.25">
      <c r="T9059" s="135"/>
      <c r="U9059" s="135"/>
    </row>
    <row r="9060" spans="20:21" ht="15" customHeight="1" x14ac:dyDescent="0.25">
      <c r="T9060" s="135"/>
      <c r="U9060" s="135"/>
    </row>
    <row r="9061" spans="20:21" ht="15" customHeight="1" x14ac:dyDescent="0.25">
      <c r="T9061" s="135"/>
      <c r="U9061" s="135"/>
    </row>
    <row r="9062" spans="20:21" ht="15" customHeight="1" x14ac:dyDescent="0.25">
      <c r="T9062" s="135"/>
      <c r="U9062" s="135"/>
    </row>
    <row r="9063" spans="20:21" ht="15" customHeight="1" x14ac:dyDescent="0.25">
      <c r="T9063" s="135"/>
      <c r="U9063" s="135"/>
    </row>
    <row r="9064" spans="20:21" ht="15" customHeight="1" x14ac:dyDescent="0.25">
      <c r="T9064" s="135"/>
      <c r="U9064" s="135"/>
    </row>
    <row r="9065" spans="20:21" ht="15" customHeight="1" x14ac:dyDescent="0.25">
      <c r="T9065" s="135"/>
      <c r="U9065" s="135"/>
    </row>
    <row r="9066" spans="20:21" ht="15" customHeight="1" x14ac:dyDescent="0.25">
      <c r="T9066" s="135"/>
      <c r="U9066" s="135"/>
    </row>
    <row r="9067" spans="20:21" ht="15" customHeight="1" x14ac:dyDescent="0.25">
      <c r="T9067" s="135"/>
      <c r="U9067" s="135"/>
    </row>
    <row r="9068" spans="20:21" ht="15" customHeight="1" x14ac:dyDescent="0.25">
      <c r="T9068" s="135"/>
      <c r="U9068" s="135"/>
    </row>
    <row r="9069" spans="20:21" ht="15" customHeight="1" x14ac:dyDescent="0.25">
      <c r="T9069" s="135"/>
      <c r="U9069" s="135"/>
    </row>
    <row r="9070" spans="20:21" ht="15" customHeight="1" x14ac:dyDescent="0.25">
      <c r="T9070" s="135"/>
      <c r="U9070" s="135"/>
    </row>
    <row r="9071" spans="20:21" ht="15" customHeight="1" x14ac:dyDescent="0.25">
      <c r="T9071" s="135"/>
      <c r="U9071" s="135"/>
    </row>
    <row r="9072" spans="20:21" ht="15" customHeight="1" x14ac:dyDescent="0.25">
      <c r="T9072" s="135"/>
      <c r="U9072" s="135"/>
    </row>
    <row r="9073" spans="20:21" ht="15" customHeight="1" x14ac:dyDescent="0.25">
      <c r="T9073" s="135"/>
      <c r="U9073" s="135"/>
    </row>
    <row r="9074" spans="20:21" ht="15" customHeight="1" x14ac:dyDescent="0.25">
      <c r="T9074" s="135"/>
      <c r="U9074" s="135"/>
    </row>
    <row r="9075" spans="20:21" ht="15" customHeight="1" x14ac:dyDescent="0.25">
      <c r="T9075" s="135"/>
      <c r="U9075" s="135"/>
    </row>
    <row r="9076" spans="20:21" ht="15" customHeight="1" x14ac:dyDescent="0.25">
      <c r="T9076" s="135"/>
      <c r="U9076" s="135"/>
    </row>
    <row r="9077" spans="20:21" ht="15" customHeight="1" x14ac:dyDescent="0.25">
      <c r="T9077" s="135"/>
      <c r="U9077" s="135"/>
    </row>
    <row r="9078" spans="20:21" ht="15" customHeight="1" x14ac:dyDescent="0.25">
      <c r="T9078" s="135"/>
      <c r="U9078" s="135"/>
    </row>
    <row r="9079" spans="20:21" ht="15" customHeight="1" x14ac:dyDescent="0.25">
      <c r="T9079" s="135"/>
      <c r="U9079" s="135"/>
    </row>
    <row r="9080" spans="20:21" ht="15" customHeight="1" x14ac:dyDescent="0.25">
      <c r="T9080" s="135"/>
      <c r="U9080" s="135"/>
    </row>
    <row r="9081" spans="20:21" ht="15" customHeight="1" x14ac:dyDescent="0.25">
      <c r="T9081" s="135"/>
      <c r="U9081" s="135"/>
    </row>
    <row r="9082" spans="20:21" ht="15" customHeight="1" x14ac:dyDescent="0.25">
      <c r="T9082" s="135"/>
      <c r="U9082" s="135"/>
    </row>
    <row r="9083" spans="20:21" ht="15" customHeight="1" x14ac:dyDescent="0.25">
      <c r="T9083" s="135"/>
      <c r="U9083" s="135"/>
    </row>
    <row r="9084" spans="20:21" ht="15" customHeight="1" x14ac:dyDescent="0.25">
      <c r="T9084" s="135"/>
      <c r="U9084" s="135"/>
    </row>
    <row r="9085" spans="20:21" ht="15" customHeight="1" x14ac:dyDescent="0.25">
      <c r="T9085" s="135"/>
      <c r="U9085" s="135"/>
    </row>
    <row r="9086" spans="20:21" ht="15" customHeight="1" x14ac:dyDescent="0.25">
      <c r="T9086" s="135"/>
      <c r="U9086" s="135"/>
    </row>
    <row r="9087" spans="20:21" ht="15" customHeight="1" x14ac:dyDescent="0.25">
      <c r="T9087" s="135"/>
      <c r="U9087" s="135"/>
    </row>
    <row r="9088" spans="20:21" ht="15" customHeight="1" x14ac:dyDescent="0.25">
      <c r="T9088" s="135"/>
      <c r="U9088" s="135"/>
    </row>
    <row r="9089" spans="20:21" ht="15" customHeight="1" x14ac:dyDescent="0.25">
      <c r="T9089" s="135"/>
      <c r="U9089" s="135"/>
    </row>
    <row r="9090" spans="20:21" ht="15" customHeight="1" x14ac:dyDescent="0.25">
      <c r="T9090" s="135"/>
      <c r="U9090" s="135"/>
    </row>
    <row r="9091" spans="20:21" ht="15" customHeight="1" x14ac:dyDescent="0.25">
      <c r="T9091" s="135"/>
      <c r="U9091" s="135"/>
    </row>
    <row r="9092" spans="20:21" ht="15" customHeight="1" x14ac:dyDescent="0.25">
      <c r="T9092" s="135"/>
      <c r="U9092" s="135"/>
    </row>
    <row r="9093" spans="20:21" ht="15" customHeight="1" x14ac:dyDescent="0.25">
      <c r="T9093" s="135"/>
      <c r="U9093" s="135"/>
    </row>
    <row r="9094" spans="20:21" ht="15" customHeight="1" x14ac:dyDescent="0.25">
      <c r="T9094" s="135"/>
      <c r="U9094" s="135"/>
    </row>
    <row r="9095" spans="20:21" ht="15" customHeight="1" x14ac:dyDescent="0.25">
      <c r="T9095" s="135"/>
      <c r="U9095" s="135"/>
    </row>
    <row r="9096" spans="20:21" ht="15" customHeight="1" x14ac:dyDescent="0.25">
      <c r="T9096" s="135"/>
      <c r="U9096" s="135"/>
    </row>
    <row r="9097" spans="20:21" ht="15" customHeight="1" x14ac:dyDescent="0.25">
      <c r="T9097" s="135"/>
      <c r="U9097" s="135"/>
    </row>
    <row r="9098" spans="20:21" ht="15" customHeight="1" x14ac:dyDescent="0.25">
      <c r="T9098" s="135"/>
      <c r="U9098" s="135"/>
    </row>
    <row r="9099" spans="20:21" ht="15" customHeight="1" x14ac:dyDescent="0.25">
      <c r="T9099" s="135"/>
      <c r="U9099" s="135"/>
    </row>
    <row r="9100" spans="20:21" ht="15" customHeight="1" x14ac:dyDescent="0.25">
      <c r="T9100" s="135"/>
      <c r="U9100" s="135"/>
    </row>
    <row r="9101" spans="20:21" ht="15" customHeight="1" x14ac:dyDescent="0.25">
      <c r="T9101" s="135"/>
      <c r="U9101" s="135"/>
    </row>
    <row r="9102" spans="20:21" ht="15" customHeight="1" x14ac:dyDescent="0.25">
      <c r="T9102" s="135"/>
      <c r="U9102" s="135"/>
    </row>
    <row r="9103" spans="20:21" ht="15" customHeight="1" x14ac:dyDescent="0.25">
      <c r="T9103" s="135"/>
      <c r="U9103" s="135"/>
    </row>
    <row r="9104" spans="20:21" ht="15" customHeight="1" x14ac:dyDescent="0.25">
      <c r="T9104" s="135"/>
      <c r="U9104" s="135"/>
    </row>
    <row r="9105" spans="20:21" ht="15" customHeight="1" x14ac:dyDescent="0.25">
      <c r="T9105" s="135"/>
      <c r="U9105" s="135"/>
    </row>
    <row r="9106" spans="20:21" ht="15" customHeight="1" x14ac:dyDescent="0.25">
      <c r="T9106" s="135"/>
      <c r="U9106" s="135"/>
    </row>
    <row r="9107" spans="20:21" ht="15" customHeight="1" x14ac:dyDescent="0.25">
      <c r="T9107" s="135"/>
      <c r="U9107" s="135"/>
    </row>
    <row r="9108" spans="20:21" ht="15" customHeight="1" x14ac:dyDescent="0.25">
      <c r="T9108" s="135"/>
      <c r="U9108" s="135"/>
    </row>
    <row r="9109" spans="20:21" ht="15" customHeight="1" x14ac:dyDescent="0.25">
      <c r="T9109" s="135"/>
      <c r="U9109" s="135"/>
    </row>
    <row r="9110" spans="20:21" ht="15" customHeight="1" x14ac:dyDescent="0.25">
      <c r="T9110" s="135"/>
      <c r="U9110" s="135"/>
    </row>
    <row r="9111" spans="20:21" ht="15" customHeight="1" x14ac:dyDescent="0.25">
      <c r="T9111" s="135"/>
      <c r="U9111" s="135"/>
    </row>
    <row r="9112" spans="20:21" ht="15" customHeight="1" x14ac:dyDescent="0.25">
      <c r="T9112" s="135"/>
      <c r="U9112" s="135"/>
    </row>
    <row r="9113" spans="20:21" ht="15" customHeight="1" x14ac:dyDescent="0.25">
      <c r="T9113" s="135"/>
      <c r="U9113" s="135"/>
    </row>
    <row r="9114" spans="20:21" ht="15" customHeight="1" x14ac:dyDescent="0.25">
      <c r="T9114" s="135"/>
      <c r="U9114" s="135"/>
    </row>
    <row r="9115" spans="20:21" ht="15" customHeight="1" x14ac:dyDescent="0.25">
      <c r="T9115" s="135"/>
      <c r="U9115" s="135"/>
    </row>
    <row r="9116" spans="20:21" ht="15" customHeight="1" x14ac:dyDescent="0.25">
      <c r="T9116" s="135"/>
      <c r="U9116" s="135"/>
    </row>
    <row r="9117" spans="20:21" ht="15" customHeight="1" x14ac:dyDescent="0.25">
      <c r="T9117" s="135"/>
      <c r="U9117" s="135"/>
    </row>
    <row r="9118" spans="20:21" ht="15" customHeight="1" x14ac:dyDescent="0.25">
      <c r="T9118" s="135"/>
      <c r="U9118" s="135"/>
    </row>
    <row r="9119" spans="20:21" ht="15" customHeight="1" x14ac:dyDescent="0.25">
      <c r="T9119" s="135"/>
      <c r="U9119" s="135"/>
    </row>
    <row r="9120" spans="20:21" ht="15" customHeight="1" x14ac:dyDescent="0.25">
      <c r="T9120" s="135"/>
      <c r="U9120" s="135"/>
    </row>
    <row r="9121" spans="20:21" ht="15" customHeight="1" x14ac:dyDescent="0.25">
      <c r="T9121" s="135"/>
      <c r="U9121" s="135"/>
    </row>
    <row r="9122" spans="20:21" ht="15" customHeight="1" x14ac:dyDescent="0.25">
      <c r="T9122" s="135"/>
      <c r="U9122" s="135"/>
    </row>
    <row r="9123" spans="20:21" ht="15" customHeight="1" x14ac:dyDescent="0.25">
      <c r="T9123" s="135"/>
      <c r="U9123" s="135"/>
    </row>
    <row r="9124" spans="20:21" ht="15" customHeight="1" x14ac:dyDescent="0.25">
      <c r="T9124" s="135"/>
      <c r="U9124" s="135"/>
    </row>
    <row r="9125" spans="20:21" ht="15" customHeight="1" x14ac:dyDescent="0.25">
      <c r="T9125" s="135"/>
      <c r="U9125" s="135"/>
    </row>
    <row r="9126" spans="20:21" ht="15" customHeight="1" x14ac:dyDescent="0.25">
      <c r="T9126" s="135"/>
      <c r="U9126" s="135"/>
    </row>
    <row r="9127" spans="20:21" ht="15" customHeight="1" x14ac:dyDescent="0.25">
      <c r="T9127" s="135"/>
      <c r="U9127" s="135"/>
    </row>
    <row r="9128" spans="20:21" ht="15" customHeight="1" x14ac:dyDescent="0.25">
      <c r="T9128" s="135"/>
      <c r="U9128" s="135"/>
    </row>
    <row r="9129" spans="20:21" ht="15" customHeight="1" x14ac:dyDescent="0.25">
      <c r="T9129" s="135"/>
      <c r="U9129" s="135"/>
    </row>
    <row r="9130" spans="20:21" ht="15" customHeight="1" x14ac:dyDescent="0.25">
      <c r="T9130" s="135"/>
      <c r="U9130" s="135"/>
    </row>
    <row r="9131" spans="20:21" ht="15" customHeight="1" x14ac:dyDescent="0.25">
      <c r="T9131" s="135"/>
      <c r="U9131" s="135"/>
    </row>
    <row r="9132" spans="20:21" ht="15" customHeight="1" x14ac:dyDescent="0.25">
      <c r="T9132" s="135"/>
      <c r="U9132" s="135"/>
    </row>
    <row r="9133" spans="20:21" ht="15" customHeight="1" x14ac:dyDescent="0.25">
      <c r="T9133" s="135"/>
      <c r="U9133" s="135"/>
    </row>
    <row r="9134" spans="20:21" ht="15" customHeight="1" x14ac:dyDescent="0.25">
      <c r="T9134" s="135"/>
      <c r="U9134" s="135"/>
    </row>
    <row r="9135" spans="20:21" ht="15" customHeight="1" x14ac:dyDescent="0.25">
      <c r="T9135" s="135"/>
      <c r="U9135" s="135"/>
    </row>
    <row r="9136" spans="20:21" ht="15" customHeight="1" x14ac:dyDescent="0.25">
      <c r="T9136" s="135"/>
      <c r="U9136" s="135"/>
    </row>
    <row r="9137" spans="20:21" ht="15" customHeight="1" x14ac:dyDescent="0.25">
      <c r="T9137" s="135"/>
      <c r="U9137" s="135"/>
    </row>
    <row r="9138" spans="20:21" ht="15" customHeight="1" x14ac:dyDescent="0.25">
      <c r="T9138" s="135"/>
      <c r="U9138" s="135"/>
    </row>
    <row r="9139" spans="20:21" ht="15" customHeight="1" x14ac:dyDescent="0.25">
      <c r="T9139" s="135"/>
      <c r="U9139" s="135"/>
    </row>
    <row r="9140" spans="20:21" ht="15" customHeight="1" x14ac:dyDescent="0.25">
      <c r="T9140" s="135"/>
      <c r="U9140" s="135"/>
    </row>
    <row r="9141" spans="20:21" ht="15" customHeight="1" x14ac:dyDescent="0.25">
      <c r="T9141" s="135"/>
      <c r="U9141" s="135"/>
    </row>
    <row r="9142" spans="20:21" ht="15" customHeight="1" x14ac:dyDescent="0.25">
      <c r="T9142" s="135"/>
      <c r="U9142" s="135"/>
    </row>
    <row r="9143" spans="20:21" ht="15" customHeight="1" x14ac:dyDescent="0.25">
      <c r="T9143" s="135"/>
      <c r="U9143" s="135"/>
    </row>
    <row r="9144" spans="20:21" ht="15" customHeight="1" x14ac:dyDescent="0.25">
      <c r="T9144" s="135"/>
      <c r="U9144" s="135"/>
    </row>
    <row r="9145" spans="20:21" ht="15" customHeight="1" x14ac:dyDescent="0.25">
      <c r="T9145" s="135"/>
      <c r="U9145" s="135"/>
    </row>
    <row r="9146" spans="20:21" ht="15" customHeight="1" x14ac:dyDescent="0.25">
      <c r="T9146" s="135"/>
      <c r="U9146" s="135"/>
    </row>
    <row r="9147" spans="20:21" ht="15" customHeight="1" x14ac:dyDescent="0.25">
      <c r="T9147" s="135"/>
      <c r="U9147" s="135"/>
    </row>
    <row r="9148" spans="20:21" ht="15" customHeight="1" x14ac:dyDescent="0.25">
      <c r="T9148" s="135"/>
      <c r="U9148" s="135"/>
    </row>
    <row r="9149" spans="20:21" ht="15" customHeight="1" x14ac:dyDescent="0.25">
      <c r="T9149" s="135"/>
      <c r="U9149" s="135"/>
    </row>
    <row r="9150" spans="20:21" ht="15" customHeight="1" x14ac:dyDescent="0.25">
      <c r="T9150" s="135"/>
      <c r="U9150" s="135"/>
    </row>
    <row r="9151" spans="20:21" ht="15" customHeight="1" x14ac:dyDescent="0.25">
      <c r="T9151" s="135"/>
      <c r="U9151" s="135"/>
    </row>
    <row r="9152" spans="20:21" ht="15" customHeight="1" x14ac:dyDescent="0.25">
      <c r="T9152" s="135"/>
      <c r="U9152" s="135"/>
    </row>
    <row r="9153" spans="20:21" ht="15" customHeight="1" x14ac:dyDescent="0.25">
      <c r="T9153" s="135"/>
      <c r="U9153" s="135"/>
    </row>
    <row r="9154" spans="20:21" ht="15" customHeight="1" x14ac:dyDescent="0.25">
      <c r="T9154" s="135"/>
      <c r="U9154" s="135"/>
    </row>
    <row r="9155" spans="20:21" ht="15" customHeight="1" x14ac:dyDescent="0.25">
      <c r="T9155" s="135"/>
      <c r="U9155" s="135"/>
    </row>
    <row r="9156" spans="20:21" ht="15" customHeight="1" x14ac:dyDescent="0.25">
      <c r="T9156" s="135"/>
      <c r="U9156" s="135"/>
    </row>
    <row r="9157" spans="20:21" ht="15" customHeight="1" x14ac:dyDescent="0.25">
      <c r="T9157" s="135"/>
      <c r="U9157" s="135"/>
    </row>
    <row r="9158" spans="20:21" ht="15" customHeight="1" x14ac:dyDescent="0.25">
      <c r="T9158" s="135"/>
      <c r="U9158" s="135"/>
    </row>
    <row r="9159" spans="20:21" ht="15" customHeight="1" x14ac:dyDescent="0.25">
      <c r="T9159" s="135"/>
      <c r="U9159" s="135"/>
    </row>
    <row r="9160" spans="20:21" ht="15" customHeight="1" x14ac:dyDescent="0.25">
      <c r="T9160" s="135"/>
      <c r="U9160" s="135"/>
    </row>
    <row r="9161" spans="20:21" ht="15" customHeight="1" x14ac:dyDescent="0.25">
      <c r="T9161" s="135"/>
      <c r="U9161" s="135"/>
    </row>
    <row r="9162" spans="20:21" ht="15" customHeight="1" x14ac:dyDescent="0.25">
      <c r="T9162" s="135"/>
      <c r="U9162" s="135"/>
    </row>
    <row r="9163" spans="20:21" ht="15" customHeight="1" x14ac:dyDescent="0.25">
      <c r="T9163" s="135"/>
      <c r="U9163" s="135"/>
    </row>
    <row r="9164" spans="20:21" ht="15" customHeight="1" x14ac:dyDescent="0.25">
      <c r="T9164" s="135"/>
      <c r="U9164" s="135"/>
    </row>
    <row r="9165" spans="20:21" ht="15" customHeight="1" x14ac:dyDescent="0.25">
      <c r="T9165" s="135"/>
      <c r="U9165" s="135"/>
    </row>
    <row r="9166" spans="20:21" ht="15" customHeight="1" x14ac:dyDescent="0.25">
      <c r="T9166" s="135"/>
      <c r="U9166" s="135"/>
    </row>
    <row r="9167" spans="20:21" ht="15" customHeight="1" x14ac:dyDescent="0.25">
      <c r="T9167" s="135"/>
      <c r="U9167" s="135"/>
    </row>
    <row r="9168" spans="20:21" ht="15" customHeight="1" x14ac:dyDescent="0.25">
      <c r="T9168" s="135"/>
      <c r="U9168" s="135"/>
    </row>
    <row r="9169" spans="20:21" ht="15" customHeight="1" x14ac:dyDescent="0.25">
      <c r="T9169" s="135"/>
      <c r="U9169" s="135"/>
    </row>
    <row r="9170" spans="20:21" ht="15" customHeight="1" x14ac:dyDescent="0.25">
      <c r="T9170" s="135"/>
      <c r="U9170" s="135"/>
    </row>
    <row r="9171" spans="20:21" ht="15" customHeight="1" x14ac:dyDescent="0.25">
      <c r="T9171" s="135"/>
      <c r="U9171" s="135"/>
    </row>
    <row r="9172" spans="20:21" ht="15" customHeight="1" x14ac:dyDescent="0.25">
      <c r="T9172" s="135"/>
      <c r="U9172" s="135"/>
    </row>
    <row r="9173" spans="20:21" ht="15" customHeight="1" x14ac:dyDescent="0.25">
      <c r="T9173" s="135"/>
      <c r="U9173" s="135"/>
    </row>
    <row r="9174" spans="20:21" ht="15" customHeight="1" x14ac:dyDescent="0.25">
      <c r="T9174" s="135"/>
      <c r="U9174" s="135"/>
    </row>
    <row r="9175" spans="20:21" ht="15" customHeight="1" x14ac:dyDescent="0.25">
      <c r="T9175" s="135"/>
      <c r="U9175" s="135"/>
    </row>
    <row r="9176" spans="20:21" ht="15" customHeight="1" x14ac:dyDescent="0.25">
      <c r="T9176" s="135"/>
      <c r="U9176" s="135"/>
    </row>
    <row r="9177" spans="20:21" ht="15" customHeight="1" x14ac:dyDescent="0.25">
      <c r="T9177" s="135"/>
      <c r="U9177" s="135"/>
    </row>
    <row r="9178" spans="20:21" ht="15" customHeight="1" x14ac:dyDescent="0.25">
      <c r="T9178" s="135"/>
      <c r="U9178" s="135"/>
    </row>
    <row r="9179" spans="20:21" ht="15" customHeight="1" x14ac:dyDescent="0.25">
      <c r="T9179" s="135"/>
      <c r="U9179" s="135"/>
    </row>
    <row r="9180" spans="20:21" ht="15" customHeight="1" x14ac:dyDescent="0.25">
      <c r="T9180" s="135"/>
      <c r="U9180" s="135"/>
    </row>
    <row r="9181" spans="20:21" ht="15" customHeight="1" x14ac:dyDescent="0.25">
      <c r="T9181" s="135"/>
      <c r="U9181" s="135"/>
    </row>
    <row r="9182" spans="20:21" ht="15" customHeight="1" x14ac:dyDescent="0.25">
      <c r="T9182" s="135"/>
      <c r="U9182" s="135"/>
    </row>
    <row r="9183" spans="20:21" ht="15" customHeight="1" x14ac:dyDescent="0.25">
      <c r="T9183" s="135"/>
      <c r="U9183" s="135"/>
    </row>
    <row r="9184" spans="20:21" ht="15" customHeight="1" x14ac:dyDescent="0.25">
      <c r="T9184" s="135"/>
      <c r="U9184" s="135"/>
    </row>
    <row r="9185" spans="20:21" ht="15" customHeight="1" x14ac:dyDescent="0.25">
      <c r="T9185" s="135"/>
      <c r="U9185" s="135"/>
    </row>
    <row r="9186" spans="20:21" ht="15" customHeight="1" x14ac:dyDescent="0.25">
      <c r="T9186" s="135"/>
      <c r="U9186" s="135"/>
    </row>
    <row r="9187" spans="20:21" ht="15" customHeight="1" x14ac:dyDescent="0.25">
      <c r="T9187" s="135"/>
      <c r="U9187" s="135"/>
    </row>
    <row r="9188" spans="20:21" ht="15" customHeight="1" x14ac:dyDescent="0.25">
      <c r="T9188" s="135"/>
      <c r="U9188" s="135"/>
    </row>
    <row r="9189" spans="20:21" ht="15" customHeight="1" x14ac:dyDescent="0.25">
      <c r="T9189" s="135"/>
      <c r="U9189" s="135"/>
    </row>
    <row r="9190" spans="20:21" ht="15" customHeight="1" x14ac:dyDescent="0.25">
      <c r="T9190" s="135"/>
      <c r="U9190" s="135"/>
    </row>
    <row r="9191" spans="20:21" ht="15" customHeight="1" x14ac:dyDescent="0.25">
      <c r="T9191" s="135"/>
      <c r="U9191" s="135"/>
    </row>
    <row r="9192" spans="20:21" ht="15" customHeight="1" x14ac:dyDescent="0.25">
      <c r="T9192" s="135"/>
      <c r="U9192" s="135"/>
    </row>
    <row r="9193" spans="20:21" ht="15" customHeight="1" x14ac:dyDescent="0.25">
      <c r="T9193" s="135"/>
      <c r="U9193" s="135"/>
    </row>
    <row r="9194" spans="20:21" ht="15" customHeight="1" x14ac:dyDescent="0.25">
      <c r="T9194" s="135"/>
      <c r="U9194" s="135"/>
    </row>
    <row r="9195" spans="20:21" ht="15" customHeight="1" x14ac:dyDescent="0.25">
      <c r="T9195" s="135"/>
      <c r="U9195" s="135"/>
    </row>
    <row r="9196" spans="20:21" ht="15" customHeight="1" x14ac:dyDescent="0.25">
      <c r="T9196" s="135"/>
      <c r="U9196" s="135"/>
    </row>
    <row r="9197" spans="20:21" ht="15" customHeight="1" x14ac:dyDescent="0.25">
      <c r="T9197" s="135"/>
      <c r="U9197" s="135"/>
    </row>
    <row r="9198" spans="20:21" ht="15" customHeight="1" x14ac:dyDescent="0.25">
      <c r="T9198" s="135"/>
      <c r="U9198" s="135"/>
    </row>
    <row r="9199" spans="20:21" ht="15" customHeight="1" x14ac:dyDescent="0.25">
      <c r="T9199" s="135"/>
      <c r="U9199" s="135"/>
    </row>
    <row r="9200" spans="20:21" ht="15" customHeight="1" x14ac:dyDescent="0.25">
      <c r="T9200" s="135"/>
      <c r="U9200" s="135"/>
    </row>
    <row r="9201" spans="20:21" ht="15" customHeight="1" x14ac:dyDescent="0.25">
      <c r="T9201" s="135"/>
      <c r="U9201" s="135"/>
    </row>
    <row r="9202" spans="20:21" ht="15" customHeight="1" x14ac:dyDescent="0.25">
      <c r="T9202" s="135"/>
      <c r="U9202" s="135"/>
    </row>
    <row r="9203" spans="20:21" ht="15" customHeight="1" x14ac:dyDescent="0.25">
      <c r="T9203" s="135"/>
      <c r="U9203" s="135"/>
    </row>
    <row r="9204" spans="20:21" ht="15" customHeight="1" x14ac:dyDescent="0.25">
      <c r="T9204" s="135"/>
      <c r="U9204" s="135"/>
    </row>
    <row r="9205" spans="20:21" ht="15" customHeight="1" x14ac:dyDescent="0.25">
      <c r="T9205" s="135"/>
      <c r="U9205" s="135"/>
    </row>
    <row r="9206" spans="20:21" ht="15" customHeight="1" x14ac:dyDescent="0.25">
      <c r="T9206" s="135"/>
      <c r="U9206" s="135"/>
    </row>
    <row r="9207" spans="20:21" ht="15" customHeight="1" x14ac:dyDescent="0.25">
      <c r="T9207" s="135"/>
      <c r="U9207" s="135"/>
    </row>
    <row r="9208" spans="20:21" ht="15" customHeight="1" x14ac:dyDescent="0.25">
      <c r="T9208" s="135"/>
      <c r="U9208" s="135"/>
    </row>
    <row r="9209" spans="20:21" ht="15" customHeight="1" x14ac:dyDescent="0.25">
      <c r="T9209" s="135"/>
      <c r="U9209" s="135"/>
    </row>
    <row r="9210" spans="20:21" ht="15" customHeight="1" x14ac:dyDescent="0.25">
      <c r="T9210" s="135"/>
      <c r="U9210" s="135"/>
    </row>
    <row r="9211" spans="20:21" ht="15" customHeight="1" x14ac:dyDescent="0.25">
      <c r="T9211" s="135"/>
      <c r="U9211" s="135"/>
    </row>
    <row r="9212" spans="20:21" ht="15" customHeight="1" x14ac:dyDescent="0.25">
      <c r="T9212" s="135"/>
      <c r="U9212" s="135"/>
    </row>
    <row r="9213" spans="20:21" ht="15" customHeight="1" x14ac:dyDescent="0.25">
      <c r="T9213" s="135"/>
      <c r="U9213" s="135"/>
    </row>
    <row r="9214" spans="20:21" ht="15" customHeight="1" x14ac:dyDescent="0.25">
      <c r="T9214" s="135"/>
      <c r="U9214" s="135"/>
    </row>
    <row r="9215" spans="20:21" ht="15" customHeight="1" x14ac:dyDescent="0.25">
      <c r="T9215" s="135"/>
      <c r="U9215" s="135"/>
    </row>
    <row r="9216" spans="20:21" ht="15" customHeight="1" x14ac:dyDescent="0.25">
      <c r="T9216" s="135"/>
      <c r="U9216" s="135"/>
    </row>
    <row r="9217" spans="20:21" ht="15" customHeight="1" x14ac:dyDescent="0.25">
      <c r="T9217" s="135"/>
      <c r="U9217" s="135"/>
    </row>
    <row r="9218" spans="20:21" ht="15" customHeight="1" x14ac:dyDescent="0.25">
      <c r="T9218" s="135"/>
      <c r="U9218" s="135"/>
    </row>
    <row r="9219" spans="20:21" ht="15" customHeight="1" x14ac:dyDescent="0.25">
      <c r="T9219" s="135"/>
      <c r="U9219" s="135"/>
    </row>
    <row r="9220" spans="20:21" ht="15" customHeight="1" x14ac:dyDescent="0.25">
      <c r="T9220" s="135"/>
      <c r="U9220" s="135"/>
    </row>
    <row r="9221" spans="20:21" ht="15" customHeight="1" x14ac:dyDescent="0.25">
      <c r="T9221" s="135"/>
      <c r="U9221" s="135"/>
    </row>
    <row r="9222" spans="20:21" ht="15" customHeight="1" x14ac:dyDescent="0.25">
      <c r="T9222" s="135"/>
      <c r="U9222" s="135"/>
    </row>
    <row r="9223" spans="20:21" ht="15" customHeight="1" x14ac:dyDescent="0.25">
      <c r="T9223" s="135"/>
      <c r="U9223" s="135"/>
    </row>
    <row r="9224" spans="20:21" ht="15" customHeight="1" x14ac:dyDescent="0.25">
      <c r="T9224" s="135"/>
      <c r="U9224" s="135"/>
    </row>
    <row r="9225" spans="20:21" ht="15" customHeight="1" x14ac:dyDescent="0.25">
      <c r="T9225" s="135"/>
      <c r="U9225" s="135"/>
    </row>
    <row r="9226" spans="20:21" ht="15" customHeight="1" x14ac:dyDescent="0.25">
      <c r="T9226" s="135"/>
      <c r="U9226" s="135"/>
    </row>
    <row r="9227" spans="20:21" ht="15" customHeight="1" x14ac:dyDescent="0.25">
      <c r="T9227" s="135"/>
      <c r="U9227" s="135"/>
    </row>
    <row r="9228" spans="20:21" ht="15" customHeight="1" x14ac:dyDescent="0.25">
      <c r="T9228" s="135"/>
      <c r="U9228" s="135"/>
    </row>
    <row r="9229" spans="20:21" ht="15" customHeight="1" x14ac:dyDescent="0.25">
      <c r="T9229" s="135"/>
      <c r="U9229" s="135"/>
    </row>
    <row r="9230" spans="20:21" ht="15" customHeight="1" x14ac:dyDescent="0.25">
      <c r="T9230" s="135"/>
      <c r="U9230" s="135"/>
    </row>
    <row r="9231" spans="20:21" ht="15" customHeight="1" x14ac:dyDescent="0.25">
      <c r="T9231" s="135"/>
      <c r="U9231" s="135"/>
    </row>
    <row r="9232" spans="20:21" ht="15" customHeight="1" x14ac:dyDescent="0.25">
      <c r="T9232" s="135"/>
      <c r="U9232" s="135"/>
    </row>
    <row r="9233" spans="20:21" ht="15" customHeight="1" x14ac:dyDescent="0.25">
      <c r="T9233" s="135"/>
      <c r="U9233" s="135"/>
    </row>
    <row r="9234" spans="20:21" ht="15" customHeight="1" x14ac:dyDescent="0.25">
      <c r="T9234" s="135"/>
      <c r="U9234" s="135"/>
    </row>
    <row r="9235" spans="20:21" ht="15" customHeight="1" x14ac:dyDescent="0.25">
      <c r="T9235" s="135"/>
      <c r="U9235" s="135"/>
    </row>
    <row r="9236" spans="20:21" ht="15" customHeight="1" x14ac:dyDescent="0.25">
      <c r="T9236" s="135"/>
      <c r="U9236" s="135"/>
    </row>
    <row r="9237" spans="20:21" ht="15" customHeight="1" x14ac:dyDescent="0.25">
      <c r="T9237" s="135"/>
      <c r="U9237" s="135"/>
    </row>
    <row r="9238" spans="20:21" ht="15" customHeight="1" x14ac:dyDescent="0.25">
      <c r="T9238" s="135"/>
      <c r="U9238" s="135"/>
    </row>
    <row r="9239" spans="20:21" ht="15" customHeight="1" x14ac:dyDescent="0.25">
      <c r="T9239" s="135"/>
      <c r="U9239" s="135"/>
    </row>
    <row r="9240" spans="20:21" ht="15" customHeight="1" x14ac:dyDescent="0.25">
      <c r="T9240" s="135"/>
      <c r="U9240" s="135"/>
    </row>
    <row r="9241" spans="20:21" ht="15" customHeight="1" x14ac:dyDescent="0.25">
      <c r="T9241" s="135"/>
      <c r="U9241" s="135"/>
    </row>
    <row r="9242" spans="20:21" ht="15" customHeight="1" x14ac:dyDescent="0.25">
      <c r="T9242" s="135"/>
      <c r="U9242" s="135"/>
    </row>
    <row r="9243" spans="20:21" ht="15" customHeight="1" x14ac:dyDescent="0.25">
      <c r="T9243" s="135"/>
      <c r="U9243" s="135"/>
    </row>
    <row r="9244" spans="20:21" ht="15" customHeight="1" x14ac:dyDescent="0.25">
      <c r="T9244" s="135"/>
      <c r="U9244" s="135"/>
    </row>
    <row r="9245" spans="20:21" ht="15" customHeight="1" x14ac:dyDescent="0.25">
      <c r="T9245" s="135"/>
      <c r="U9245" s="135"/>
    </row>
    <row r="9246" spans="20:21" ht="15" customHeight="1" x14ac:dyDescent="0.25">
      <c r="T9246" s="135"/>
      <c r="U9246" s="135"/>
    </row>
    <row r="9247" spans="20:21" ht="15" customHeight="1" x14ac:dyDescent="0.25">
      <c r="T9247" s="135"/>
      <c r="U9247" s="135"/>
    </row>
    <row r="9248" spans="20:21" ht="15" customHeight="1" x14ac:dyDescent="0.25">
      <c r="T9248" s="135"/>
      <c r="U9248" s="135"/>
    </row>
    <row r="9249" spans="20:21" ht="15" customHeight="1" x14ac:dyDescent="0.25">
      <c r="T9249" s="135"/>
      <c r="U9249" s="135"/>
    </row>
    <row r="9250" spans="20:21" ht="15" customHeight="1" x14ac:dyDescent="0.25">
      <c r="T9250" s="135"/>
      <c r="U9250" s="135"/>
    </row>
    <row r="9251" spans="20:21" ht="15" customHeight="1" x14ac:dyDescent="0.25">
      <c r="T9251" s="135"/>
      <c r="U9251" s="135"/>
    </row>
    <row r="9252" spans="20:21" ht="15" customHeight="1" x14ac:dyDescent="0.25">
      <c r="T9252" s="135"/>
      <c r="U9252" s="135"/>
    </row>
    <row r="9253" spans="20:21" ht="15" customHeight="1" x14ac:dyDescent="0.25">
      <c r="T9253" s="135"/>
      <c r="U9253" s="135"/>
    </row>
    <row r="9254" spans="20:21" ht="15" customHeight="1" x14ac:dyDescent="0.25">
      <c r="T9254" s="135"/>
      <c r="U9254" s="135"/>
    </row>
    <row r="9255" spans="20:21" ht="15" customHeight="1" x14ac:dyDescent="0.25">
      <c r="T9255" s="135"/>
      <c r="U9255" s="135"/>
    </row>
    <row r="9256" spans="20:21" ht="15" customHeight="1" x14ac:dyDescent="0.25">
      <c r="T9256" s="135"/>
      <c r="U9256" s="135"/>
    </row>
    <row r="9257" spans="20:21" ht="15" customHeight="1" x14ac:dyDescent="0.25">
      <c r="T9257" s="135"/>
      <c r="U9257" s="135"/>
    </row>
    <row r="9258" spans="20:21" ht="15" customHeight="1" x14ac:dyDescent="0.25">
      <c r="T9258" s="135"/>
      <c r="U9258" s="135"/>
    </row>
    <row r="9259" spans="20:21" ht="15" customHeight="1" x14ac:dyDescent="0.25">
      <c r="T9259" s="135"/>
      <c r="U9259" s="135"/>
    </row>
    <row r="9260" spans="20:21" ht="15" customHeight="1" x14ac:dyDescent="0.25">
      <c r="T9260" s="135"/>
      <c r="U9260" s="135"/>
    </row>
    <row r="9261" spans="20:21" ht="15" customHeight="1" x14ac:dyDescent="0.25">
      <c r="T9261" s="135"/>
      <c r="U9261" s="135"/>
    </row>
    <row r="9262" spans="20:21" ht="15" customHeight="1" x14ac:dyDescent="0.25">
      <c r="T9262" s="135"/>
      <c r="U9262" s="135"/>
    </row>
    <row r="9263" spans="20:21" ht="15" customHeight="1" x14ac:dyDescent="0.25">
      <c r="T9263" s="135"/>
      <c r="U9263" s="135"/>
    </row>
    <row r="9264" spans="20:21" ht="15" customHeight="1" x14ac:dyDescent="0.25">
      <c r="T9264" s="135"/>
      <c r="U9264" s="135"/>
    </row>
    <row r="9265" spans="20:21" ht="15" customHeight="1" x14ac:dyDescent="0.25">
      <c r="T9265" s="135"/>
      <c r="U9265" s="135"/>
    </row>
    <row r="9266" spans="20:21" ht="15" customHeight="1" x14ac:dyDescent="0.25">
      <c r="T9266" s="135"/>
      <c r="U9266" s="135"/>
    </row>
    <row r="9267" spans="20:21" ht="15" customHeight="1" x14ac:dyDescent="0.25">
      <c r="T9267" s="135"/>
      <c r="U9267" s="135"/>
    </row>
    <row r="9268" spans="20:21" ht="15" customHeight="1" x14ac:dyDescent="0.25">
      <c r="T9268" s="135"/>
      <c r="U9268" s="135"/>
    </row>
    <row r="9269" spans="20:21" ht="15" customHeight="1" x14ac:dyDescent="0.25">
      <c r="T9269" s="135"/>
      <c r="U9269" s="135"/>
    </row>
    <row r="9270" spans="20:21" ht="15" customHeight="1" x14ac:dyDescent="0.25">
      <c r="T9270" s="135"/>
      <c r="U9270" s="135"/>
    </row>
    <row r="9271" spans="20:21" ht="15" customHeight="1" x14ac:dyDescent="0.25">
      <c r="T9271" s="135"/>
      <c r="U9271" s="135"/>
    </row>
    <row r="9272" spans="20:21" ht="15" customHeight="1" x14ac:dyDescent="0.25">
      <c r="T9272" s="135"/>
      <c r="U9272" s="135"/>
    </row>
    <row r="9273" spans="20:21" ht="15" customHeight="1" x14ac:dyDescent="0.25">
      <c r="T9273" s="135"/>
      <c r="U9273" s="135"/>
    </row>
    <row r="9274" spans="20:21" ht="15" customHeight="1" x14ac:dyDescent="0.25">
      <c r="T9274" s="135"/>
      <c r="U9274" s="135"/>
    </row>
    <row r="9275" spans="20:21" ht="15" customHeight="1" x14ac:dyDescent="0.25">
      <c r="T9275" s="135"/>
      <c r="U9275" s="135"/>
    </row>
    <row r="9276" spans="20:21" ht="15" customHeight="1" x14ac:dyDescent="0.25">
      <c r="T9276" s="135"/>
      <c r="U9276" s="135"/>
    </row>
    <row r="9277" spans="20:21" ht="15" customHeight="1" x14ac:dyDescent="0.25">
      <c r="T9277" s="135"/>
      <c r="U9277" s="135"/>
    </row>
    <row r="9278" spans="20:21" ht="15" customHeight="1" x14ac:dyDescent="0.25">
      <c r="T9278" s="135"/>
      <c r="U9278" s="135"/>
    </row>
    <row r="9279" spans="20:21" ht="15" customHeight="1" x14ac:dyDescent="0.25">
      <c r="T9279" s="135"/>
      <c r="U9279" s="135"/>
    </row>
    <row r="9280" spans="20:21" ht="15" customHeight="1" x14ac:dyDescent="0.25">
      <c r="T9280" s="135"/>
      <c r="U9280" s="135"/>
    </row>
    <row r="9281" spans="20:21" ht="15" customHeight="1" x14ac:dyDescent="0.25">
      <c r="T9281" s="135"/>
      <c r="U9281" s="135"/>
    </row>
    <row r="9282" spans="20:21" ht="15" customHeight="1" x14ac:dyDescent="0.25">
      <c r="T9282" s="135"/>
      <c r="U9282" s="135"/>
    </row>
    <row r="9283" spans="20:21" ht="15" customHeight="1" x14ac:dyDescent="0.25">
      <c r="T9283" s="135"/>
      <c r="U9283" s="135"/>
    </row>
    <row r="9284" spans="20:21" ht="15" customHeight="1" x14ac:dyDescent="0.25">
      <c r="T9284" s="135"/>
      <c r="U9284" s="135"/>
    </row>
    <row r="9285" spans="20:21" ht="15" customHeight="1" x14ac:dyDescent="0.25">
      <c r="T9285" s="135"/>
      <c r="U9285" s="135"/>
    </row>
    <row r="9286" spans="20:21" ht="15" customHeight="1" x14ac:dyDescent="0.25">
      <c r="T9286" s="135"/>
      <c r="U9286" s="135"/>
    </row>
    <row r="9287" spans="20:21" ht="15" customHeight="1" x14ac:dyDescent="0.25">
      <c r="T9287" s="135"/>
      <c r="U9287" s="135"/>
    </row>
    <row r="9288" spans="20:21" ht="15" customHeight="1" x14ac:dyDescent="0.25">
      <c r="T9288" s="135"/>
      <c r="U9288" s="135"/>
    </row>
    <row r="9289" spans="20:21" ht="15" customHeight="1" x14ac:dyDescent="0.25">
      <c r="T9289" s="135"/>
      <c r="U9289" s="135"/>
    </row>
    <row r="9290" spans="20:21" ht="15" customHeight="1" x14ac:dyDescent="0.25">
      <c r="T9290" s="135"/>
      <c r="U9290" s="135"/>
    </row>
    <row r="9291" spans="20:21" ht="15" customHeight="1" x14ac:dyDescent="0.25">
      <c r="T9291" s="135"/>
      <c r="U9291" s="135"/>
    </row>
    <row r="9292" spans="20:21" ht="15" customHeight="1" x14ac:dyDescent="0.25">
      <c r="T9292" s="135"/>
      <c r="U9292" s="135"/>
    </row>
    <row r="9293" spans="20:21" ht="15" customHeight="1" x14ac:dyDescent="0.25">
      <c r="T9293" s="135"/>
      <c r="U9293" s="135"/>
    </row>
    <row r="9294" spans="20:21" ht="15" customHeight="1" x14ac:dyDescent="0.25">
      <c r="T9294" s="135"/>
      <c r="U9294" s="135"/>
    </row>
    <row r="9295" spans="20:21" ht="15" customHeight="1" x14ac:dyDescent="0.25">
      <c r="T9295" s="135"/>
      <c r="U9295" s="135"/>
    </row>
    <row r="9296" spans="20:21" ht="15" customHeight="1" x14ac:dyDescent="0.25">
      <c r="T9296" s="135"/>
      <c r="U9296" s="135"/>
    </row>
    <row r="9297" spans="20:21" ht="15" customHeight="1" x14ac:dyDescent="0.25">
      <c r="T9297" s="135"/>
      <c r="U9297" s="135"/>
    </row>
    <row r="9298" spans="20:21" ht="15" customHeight="1" x14ac:dyDescent="0.25">
      <c r="T9298" s="135"/>
      <c r="U9298" s="135"/>
    </row>
    <row r="9299" spans="20:21" ht="15" customHeight="1" x14ac:dyDescent="0.25">
      <c r="T9299" s="135"/>
      <c r="U9299" s="135"/>
    </row>
    <row r="9300" spans="20:21" ht="15" customHeight="1" x14ac:dyDescent="0.25">
      <c r="T9300" s="135"/>
      <c r="U9300" s="135"/>
    </row>
    <row r="9301" spans="20:21" ht="15" customHeight="1" x14ac:dyDescent="0.25">
      <c r="T9301" s="135"/>
      <c r="U9301" s="135"/>
    </row>
    <row r="9302" spans="20:21" ht="15" customHeight="1" x14ac:dyDescent="0.25">
      <c r="T9302" s="135"/>
      <c r="U9302" s="135"/>
    </row>
    <row r="9303" spans="20:21" ht="15" customHeight="1" x14ac:dyDescent="0.25">
      <c r="T9303" s="135"/>
      <c r="U9303" s="135"/>
    </row>
    <row r="9304" spans="20:21" ht="15" customHeight="1" x14ac:dyDescent="0.25">
      <c r="T9304" s="135"/>
      <c r="U9304" s="135"/>
    </row>
    <row r="9305" spans="20:21" ht="15" customHeight="1" x14ac:dyDescent="0.25">
      <c r="T9305" s="135"/>
      <c r="U9305" s="135"/>
    </row>
    <row r="9306" spans="20:21" ht="15" customHeight="1" x14ac:dyDescent="0.25">
      <c r="T9306" s="135"/>
      <c r="U9306" s="135"/>
    </row>
    <row r="9307" spans="20:21" ht="15" customHeight="1" x14ac:dyDescent="0.25">
      <c r="T9307" s="135"/>
      <c r="U9307" s="135"/>
    </row>
    <row r="9308" spans="20:21" ht="15" customHeight="1" x14ac:dyDescent="0.25">
      <c r="T9308" s="135"/>
      <c r="U9308" s="135"/>
    </row>
    <row r="9309" spans="20:21" ht="15" customHeight="1" x14ac:dyDescent="0.25">
      <c r="T9309" s="135"/>
      <c r="U9309" s="135"/>
    </row>
    <row r="9310" spans="20:21" ht="15" customHeight="1" x14ac:dyDescent="0.25">
      <c r="T9310" s="135"/>
      <c r="U9310" s="135"/>
    </row>
    <row r="9311" spans="20:21" ht="15" customHeight="1" x14ac:dyDescent="0.25">
      <c r="T9311" s="135"/>
      <c r="U9311" s="135"/>
    </row>
    <row r="9312" spans="20:21" ht="15" customHeight="1" x14ac:dyDescent="0.25">
      <c r="T9312" s="135"/>
      <c r="U9312" s="135"/>
    </row>
    <row r="9313" spans="20:21" ht="15" customHeight="1" x14ac:dyDescent="0.25">
      <c r="T9313" s="135"/>
      <c r="U9313" s="135"/>
    </row>
    <row r="9314" spans="20:21" ht="15" customHeight="1" x14ac:dyDescent="0.25">
      <c r="T9314" s="135"/>
      <c r="U9314" s="135"/>
    </row>
    <row r="9315" spans="20:21" ht="15" customHeight="1" x14ac:dyDescent="0.25">
      <c r="T9315" s="135"/>
      <c r="U9315" s="135"/>
    </row>
    <row r="9316" spans="20:21" ht="15" customHeight="1" x14ac:dyDescent="0.25">
      <c r="T9316" s="135"/>
      <c r="U9316" s="135"/>
    </row>
    <row r="9317" spans="20:21" ht="15" customHeight="1" x14ac:dyDescent="0.25">
      <c r="T9317" s="135"/>
      <c r="U9317" s="135"/>
    </row>
    <row r="9318" spans="20:21" ht="15" customHeight="1" x14ac:dyDescent="0.25">
      <c r="T9318" s="135"/>
      <c r="U9318" s="135"/>
    </row>
    <row r="9319" spans="20:21" ht="15" customHeight="1" x14ac:dyDescent="0.25">
      <c r="T9319" s="135"/>
      <c r="U9319" s="135"/>
    </row>
    <row r="9320" spans="20:21" ht="15" customHeight="1" x14ac:dyDescent="0.25">
      <c r="T9320" s="135"/>
      <c r="U9320" s="135"/>
    </row>
    <row r="9321" spans="20:21" ht="15" customHeight="1" x14ac:dyDescent="0.25">
      <c r="T9321" s="135"/>
      <c r="U9321" s="135"/>
    </row>
    <row r="9322" spans="20:21" ht="15" customHeight="1" x14ac:dyDescent="0.25">
      <c r="T9322" s="135"/>
      <c r="U9322" s="135"/>
    </row>
    <row r="9323" spans="20:21" ht="15" customHeight="1" x14ac:dyDescent="0.25">
      <c r="T9323" s="135"/>
      <c r="U9323" s="135"/>
    </row>
    <row r="9324" spans="20:21" ht="15" customHeight="1" x14ac:dyDescent="0.25">
      <c r="T9324" s="135"/>
      <c r="U9324" s="135"/>
    </row>
    <row r="9325" spans="20:21" ht="15" customHeight="1" x14ac:dyDescent="0.25">
      <c r="T9325" s="135"/>
      <c r="U9325" s="135"/>
    </row>
    <row r="9326" spans="20:21" ht="15" customHeight="1" x14ac:dyDescent="0.25">
      <c r="T9326" s="135"/>
      <c r="U9326" s="135"/>
    </row>
    <row r="9327" spans="20:21" ht="15" customHeight="1" x14ac:dyDescent="0.25">
      <c r="T9327" s="135"/>
      <c r="U9327" s="135"/>
    </row>
    <row r="9328" spans="20:21" ht="15" customHeight="1" x14ac:dyDescent="0.25">
      <c r="T9328" s="135"/>
      <c r="U9328" s="135"/>
    </row>
    <row r="9329" spans="20:21" ht="15" customHeight="1" x14ac:dyDescent="0.25">
      <c r="T9329" s="135"/>
      <c r="U9329" s="135"/>
    </row>
    <row r="9330" spans="20:21" ht="15" customHeight="1" x14ac:dyDescent="0.25">
      <c r="T9330" s="135"/>
      <c r="U9330" s="135"/>
    </row>
    <row r="9331" spans="20:21" ht="15" customHeight="1" x14ac:dyDescent="0.25">
      <c r="T9331" s="135"/>
      <c r="U9331" s="135"/>
    </row>
    <row r="9332" spans="20:21" ht="15" customHeight="1" x14ac:dyDescent="0.25">
      <c r="T9332" s="135"/>
      <c r="U9332" s="135"/>
    </row>
    <row r="9333" spans="20:21" ht="15" customHeight="1" x14ac:dyDescent="0.25">
      <c r="T9333" s="135"/>
      <c r="U9333" s="135"/>
    </row>
    <row r="9334" spans="20:21" ht="15" customHeight="1" x14ac:dyDescent="0.25">
      <c r="T9334" s="135"/>
      <c r="U9334" s="135"/>
    </row>
    <row r="9335" spans="20:21" ht="15" customHeight="1" x14ac:dyDescent="0.25">
      <c r="T9335" s="135"/>
      <c r="U9335" s="135"/>
    </row>
    <row r="9336" spans="20:21" ht="15" customHeight="1" x14ac:dyDescent="0.25">
      <c r="T9336" s="135"/>
      <c r="U9336" s="135"/>
    </row>
    <row r="9337" spans="20:21" ht="15" customHeight="1" x14ac:dyDescent="0.25">
      <c r="T9337" s="135"/>
      <c r="U9337" s="135"/>
    </row>
    <row r="9338" spans="20:21" ht="15" customHeight="1" x14ac:dyDescent="0.25">
      <c r="T9338" s="135"/>
      <c r="U9338" s="135"/>
    </row>
    <row r="9339" spans="20:21" ht="15" customHeight="1" x14ac:dyDescent="0.25">
      <c r="T9339" s="135"/>
      <c r="U9339" s="135"/>
    </row>
    <row r="9340" spans="20:21" ht="15" customHeight="1" x14ac:dyDescent="0.25">
      <c r="T9340" s="135"/>
      <c r="U9340" s="135"/>
    </row>
    <row r="9341" spans="20:21" ht="15" customHeight="1" x14ac:dyDescent="0.25">
      <c r="T9341" s="135"/>
      <c r="U9341" s="135"/>
    </row>
    <row r="9342" spans="20:21" ht="15" customHeight="1" x14ac:dyDescent="0.25">
      <c r="T9342" s="135"/>
      <c r="U9342" s="135"/>
    </row>
    <row r="9343" spans="20:21" ht="15" customHeight="1" x14ac:dyDescent="0.25">
      <c r="T9343" s="135"/>
      <c r="U9343" s="135"/>
    </row>
    <row r="9344" spans="20:21" ht="15" customHeight="1" x14ac:dyDescent="0.25">
      <c r="T9344" s="135"/>
      <c r="U9344" s="135"/>
    </row>
    <row r="9345" spans="20:21" ht="15" customHeight="1" x14ac:dyDescent="0.25">
      <c r="T9345" s="135"/>
      <c r="U9345" s="135"/>
    </row>
    <row r="9346" spans="20:21" ht="15" customHeight="1" x14ac:dyDescent="0.25">
      <c r="T9346" s="135"/>
      <c r="U9346" s="135"/>
    </row>
    <row r="9347" spans="20:21" ht="15" customHeight="1" x14ac:dyDescent="0.25">
      <c r="T9347" s="135"/>
      <c r="U9347" s="135"/>
    </row>
    <row r="9348" spans="20:21" ht="15" customHeight="1" x14ac:dyDescent="0.25">
      <c r="T9348" s="135"/>
      <c r="U9348" s="135"/>
    </row>
    <row r="9349" spans="20:21" ht="15" customHeight="1" x14ac:dyDescent="0.25">
      <c r="T9349" s="135"/>
      <c r="U9349" s="135"/>
    </row>
    <row r="9350" spans="20:21" ht="15" customHeight="1" x14ac:dyDescent="0.25">
      <c r="T9350" s="135"/>
      <c r="U9350" s="135"/>
    </row>
    <row r="9351" spans="20:21" ht="15" customHeight="1" x14ac:dyDescent="0.25">
      <c r="T9351" s="135"/>
      <c r="U9351" s="135"/>
    </row>
    <row r="9352" spans="20:21" ht="15" customHeight="1" x14ac:dyDescent="0.25">
      <c r="T9352" s="135"/>
      <c r="U9352" s="135"/>
    </row>
    <row r="9353" spans="20:21" ht="15" customHeight="1" x14ac:dyDescent="0.25">
      <c r="T9353" s="135"/>
      <c r="U9353" s="135"/>
    </row>
    <row r="9354" spans="20:21" ht="15" customHeight="1" x14ac:dyDescent="0.25">
      <c r="T9354" s="135"/>
      <c r="U9354" s="135"/>
    </row>
    <row r="9355" spans="20:21" ht="15" customHeight="1" x14ac:dyDescent="0.25">
      <c r="T9355" s="135"/>
      <c r="U9355" s="135"/>
    </row>
    <row r="9356" spans="20:21" ht="15" customHeight="1" x14ac:dyDescent="0.25">
      <c r="T9356" s="135"/>
      <c r="U9356" s="135"/>
    </row>
    <row r="9357" spans="20:21" ht="15" customHeight="1" x14ac:dyDescent="0.25">
      <c r="T9357" s="135"/>
      <c r="U9357" s="135"/>
    </row>
    <row r="9358" spans="20:21" ht="15" customHeight="1" x14ac:dyDescent="0.25">
      <c r="T9358" s="135"/>
      <c r="U9358" s="135"/>
    </row>
    <row r="9359" spans="20:21" ht="15" customHeight="1" x14ac:dyDescent="0.25">
      <c r="T9359" s="135"/>
      <c r="U9359" s="135"/>
    </row>
    <row r="9360" spans="20:21" ht="15" customHeight="1" x14ac:dyDescent="0.25">
      <c r="T9360" s="135"/>
      <c r="U9360" s="135"/>
    </row>
    <row r="9361" spans="20:21" ht="15" customHeight="1" x14ac:dyDescent="0.25">
      <c r="T9361" s="135"/>
      <c r="U9361" s="135"/>
    </row>
    <row r="9362" spans="20:21" ht="15" customHeight="1" x14ac:dyDescent="0.25">
      <c r="T9362" s="135"/>
      <c r="U9362" s="135"/>
    </row>
    <row r="9363" spans="20:21" ht="15" customHeight="1" x14ac:dyDescent="0.25">
      <c r="T9363" s="135"/>
      <c r="U9363" s="135"/>
    </row>
    <row r="9364" spans="20:21" ht="15" customHeight="1" x14ac:dyDescent="0.25">
      <c r="T9364" s="135"/>
      <c r="U9364" s="135"/>
    </row>
    <row r="9365" spans="20:21" ht="15" customHeight="1" x14ac:dyDescent="0.25">
      <c r="T9365" s="135"/>
      <c r="U9365" s="135"/>
    </row>
    <row r="9366" spans="20:21" ht="15" customHeight="1" x14ac:dyDescent="0.25">
      <c r="T9366" s="135"/>
      <c r="U9366" s="135"/>
    </row>
    <row r="9367" spans="20:21" ht="15" customHeight="1" x14ac:dyDescent="0.25">
      <c r="T9367" s="135"/>
      <c r="U9367" s="135"/>
    </row>
    <row r="9368" spans="20:21" ht="15" customHeight="1" x14ac:dyDescent="0.25">
      <c r="T9368" s="135"/>
      <c r="U9368" s="135"/>
    </row>
    <row r="9369" spans="20:21" ht="15" customHeight="1" x14ac:dyDescent="0.25">
      <c r="T9369" s="135"/>
      <c r="U9369" s="135"/>
    </row>
    <row r="9370" spans="20:21" ht="15" customHeight="1" x14ac:dyDescent="0.25">
      <c r="T9370" s="135"/>
      <c r="U9370" s="135"/>
    </row>
    <row r="9371" spans="20:21" ht="15" customHeight="1" x14ac:dyDescent="0.25">
      <c r="T9371" s="135"/>
      <c r="U9371" s="135"/>
    </row>
    <row r="9372" spans="20:21" ht="15" customHeight="1" x14ac:dyDescent="0.25">
      <c r="T9372" s="135"/>
      <c r="U9372" s="135"/>
    </row>
    <row r="9373" spans="20:21" ht="15" customHeight="1" x14ac:dyDescent="0.25">
      <c r="T9373" s="135"/>
      <c r="U9373" s="135"/>
    </row>
    <row r="9374" spans="20:21" ht="15" customHeight="1" x14ac:dyDescent="0.25">
      <c r="T9374" s="135"/>
      <c r="U9374" s="135"/>
    </row>
    <row r="9375" spans="20:21" ht="15" customHeight="1" x14ac:dyDescent="0.25">
      <c r="T9375" s="135"/>
      <c r="U9375" s="135"/>
    </row>
    <row r="9376" spans="20:21" ht="15" customHeight="1" x14ac:dyDescent="0.25">
      <c r="T9376" s="135"/>
      <c r="U9376" s="135"/>
    </row>
    <row r="9377" spans="20:21" ht="15" customHeight="1" x14ac:dyDescent="0.25">
      <c r="T9377" s="135"/>
      <c r="U9377" s="135"/>
    </row>
    <row r="9378" spans="20:21" ht="15" customHeight="1" x14ac:dyDescent="0.25">
      <c r="T9378" s="135"/>
      <c r="U9378" s="135"/>
    </row>
    <row r="9379" spans="20:21" ht="15" customHeight="1" x14ac:dyDescent="0.25">
      <c r="T9379" s="135"/>
      <c r="U9379" s="135"/>
    </row>
    <row r="9380" spans="20:21" ht="15" customHeight="1" x14ac:dyDescent="0.25">
      <c r="T9380" s="135"/>
      <c r="U9380" s="135"/>
    </row>
    <row r="9381" spans="20:21" ht="15" customHeight="1" x14ac:dyDescent="0.25">
      <c r="T9381" s="135"/>
      <c r="U9381" s="135"/>
    </row>
    <row r="9382" spans="20:21" ht="15" customHeight="1" x14ac:dyDescent="0.25">
      <c r="T9382" s="135"/>
      <c r="U9382" s="135"/>
    </row>
    <row r="9383" spans="20:21" ht="15" customHeight="1" x14ac:dyDescent="0.25">
      <c r="T9383" s="135"/>
      <c r="U9383" s="135"/>
    </row>
    <row r="9384" spans="20:21" ht="15" customHeight="1" x14ac:dyDescent="0.25">
      <c r="T9384" s="135"/>
      <c r="U9384" s="135"/>
    </row>
    <row r="9385" spans="20:21" ht="15" customHeight="1" x14ac:dyDescent="0.25">
      <c r="T9385" s="135"/>
      <c r="U9385" s="135"/>
    </row>
    <row r="9386" spans="20:21" ht="15" customHeight="1" x14ac:dyDescent="0.25">
      <c r="T9386" s="135"/>
      <c r="U9386" s="135"/>
    </row>
    <row r="9387" spans="20:21" ht="15" customHeight="1" x14ac:dyDescent="0.25">
      <c r="T9387" s="135"/>
      <c r="U9387" s="135"/>
    </row>
    <row r="9388" spans="20:21" ht="15" customHeight="1" x14ac:dyDescent="0.25">
      <c r="T9388" s="135"/>
      <c r="U9388" s="135"/>
    </row>
    <row r="9389" spans="20:21" ht="15" customHeight="1" x14ac:dyDescent="0.25">
      <c r="T9389" s="135"/>
      <c r="U9389" s="135"/>
    </row>
    <row r="9390" spans="20:21" ht="15" customHeight="1" x14ac:dyDescent="0.25">
      <c r="T9390" s="135"/>
      <c r="U9390" s="135"/>
    </row>
    <row r="9391" spans="20:21" ht="15" customHeight="1" x14ac:dyDescent="0.25">
      <c r="T9391" s="135"/>
      <c r="U9391" s="135"/>
    </row>
    <row r="9392" spans="20:21" ht="15" customHeight="1" x14ac:dyDescent="0.25">
      <c r="T9392" s="135"/>
      <c r="U9392" s="135"/>
    </row>
    <row r="9393" spans="20:21" ht="15" customHeight="1" x14ac:dyDescent="0.25">
      <c r="T9393" s="135"/>
      <c r="U9393" s="135"/>
    </row>
    <row r="9394" spans="20:21" ht="15" customHeight="1" x14ac:dyDescent="0.25">
      <c r="T9394" s="135"/>
      <c r="U9394" s="135"/>
    </row>
    <row r="9395" spans="20:21" ht="15" customHeight="1" x14ac:dyDescent="0.25">
      <c r="T9395" s="135"/>
      <c r="U9395" s="135"/>
    </row>
    <row r="9396" spans="20:21" ht="15" customHeight="1" x14ac:dyDescent="0.25">
      <c r="T9396" s="135"/>
      <c r="U9396" s="135"/>
    </row>
    <row r="9397" spans="20:21" ht="15" customHeight="1" x14ac:dyDescent="0.25">
      <c r="T9397" s="135"/>
      <c r="U9397" s="135"/>
    </row>
    <row r="9398" spans="20:21" ht="15" customHeight="1" x14ac:dyDescent="0.25">
      <c r="T9398" s="135"/>
      <c r="U9398" s="135"/>
    </row>
    <row r="9399" spans="20:21" ht="15" customHeight="1" x14ac:dyDescent="0.25">
      <c r="T9399" s="135"/>
      <c r="U9399" s="135"/>
    </row>
    <row r="9400" spans="20:21" ht="15" customHeight="1" x14ac:dyDescent="0.25">
      <c r="T9400" s="135"/>
      <c r="U9400" s="135"/>
    </row>
    <row r="9401" spans="20:21" ht="15" customHeight="1" x14ac:dyDescent="0.25">
      <c r="T9401" s="135"/>
      <c r="U9401" s="135"/>
    </row>
    <row r="9402" spans="20:21" ht="15" customHeight="1" x14ac:dyDescent="0.25">
      <c r="T9402" s="135"/>
      <c r="U9402" s="135"/>
    </row>
    <row r="9403" spans="20:21" ht="15" customHeight="1" x14ac:dyDescent="0.25">
      <c r="T9403" s="135"/>
      <c r="U9403" s="135"/>
    </row>
    <row r="9404" spans="20:21" ht="15" customHeight="1" x14ac:dyDescent="0.25">
      <c r="T9404" s="135"/>
      <c r="U9404" s="135"/>
    </row>
    <row r="9405" spans="20:21" ht="15" customHeight="1" x14ac:dyDescent="0.25">
      <c r="T9405" s="135"/>
      <c r="U9405" s="135"/>
    </row>
    <row r="9406" spans="20:21" ht="15" customHeight="1" x14ac:dyDescent="0.25">
      <c r="T9406" s="135"/>
      <c r="U9406" s="135"/>
    </row>
    <row r="9407" spans="20:21" ht="15" customHeight="1" x14ac:dyDescent="0.25">
      <c r="T9407" s="135"/>
      <c r="U9407" s="135"/>
    </row>
    <row r="9408" spans="20:21" ht="15" customHeight="1" x14ac:dyDescent="0.25">
      <c r="T9408" s="135"/>
      <c r="U9408" s="135"/>
    </row>
    <row r="9409" spans="20:21" ht="15" customHeight="1" x14ac:dyDescent="0.25">
      <c r="T9409" s="135"/>
      <c r="U9409" s="135"/>
    </row>
    <row r="9410" spans="20:21" ht="15" customHeight="1" x14ac:dyDescent="0.25">
      <c r="T9410" s="135"/>
      <c r="U9410" s="135"/>
    </row>
    <row r="9411" spans="20:21" ht="15" customHeight="1" x14ac:dyDescent="0.25">
      <c r="T9411" s="135"/>
      <c r="U9411" s="135"/>
    </row>
    <row r="9412" spans="20:21" ht="15" customHeight="1" x14ac:dyDescent="0.25">
      <c r="T9412" s="135"/>
      <c r="U9412" s="135"/>
    </row>
    <row r="9413" spans="20:21" ht="15" customHeight="1" x14ac:dyDescent="0.25">
      <c r="T9413" s="135"/>
      <c r="U9413" s="135"/>
    </row>
    <row r="9414" spans="20:21" ht="15" customHeight="1" x14ac:dyDescent="0.25">
      <c r="T9414" s="135"/>
      <c r="U9414" s="135"/>
    </row>
    <row r="9415" spans="20:21" ht="15" customHeight="1" x14ac:dyDescent="0.25">
      <c r="T9415" s="135"/>
      <c r="U9415" s="135"/>
    </row>
    <row r="9416" spans="20:21" ht="15" customHeight="1" x14ac:dyDescent="0.25">
      <c r="T9416" s="135"/>
      <c r="U9416" s="135"/>
    </row>
    <row r="9417" spans="20:21" ht="15" customHeight="1" x14ac:dyDescent="0.25">
      <c r="T9417" s="135"/>
      <c r="U9417" s="135"/>
    </row>
    <row r="9418" spans="20:21" ht="15" customHeight="1" x14ac:dyDescent="0.25">
      <c r="T9418" s="135"/>
      <c r="U9418" s="135"/>
    </row>
    <row r="9419" spans="20:21" ht="15" customHeight="1" x14ac:dyDescent="0.25">
      <c r="T9419" s="135"/>
      <c r="U9419" s="135"/>
    </row>
    <row r="9420" spans="20:21" ht="15" customHeight="1" x14ac:dyDescent="0.25">
      <c r="T9420" s="135"/>
      <c r="U9420" s="135"/>
    </row>
    <row r="9421" spans="20:21" ht="15" customHeight="1" x14ac:dyDescent="0.25">
      <c r="T9421" s="135"/>
      <c r="U9421" s="135"/>
    </row>
    <row r="9422" spans="20:21" ht="15" customHeight="1" x14ac:dyDescent="0.25">
      <c r="T9422" s="135"/>
      <c r="U9422" s="135"/>
    </row>
    <row r="9423" spans="20:21" ht="15" customHeight="1" x14ac:dyDescent="0.25">
      <c r="T9423" s="135"/>
      <c r="U9423" s="135"/>
    </row>
    <row r="9424" spans="20:21" ht="15" customHeight="1" x14ac:dyDescent="0.25">
      <c r="T9424" s="135"/>
      <c r="U9424" s="135"/>
    </row>
    <row r="9425" spans="20:21" ht="15" customHeight="1" x14ac:dyDescent="0.25">
      <c r="T9425" s="135"/>
      <c r="U9425" s="135"/>
    </row>
    <row r="9426" spans="20:21" ht="15" customHeight="1" x14ac:dyDescent="0.25">
      <c r="T9426" s="135"/>
      <c r="U9426" s="135"/>
    </row>
    <row r="9427" spans="20:21" ht="15" customHeight="1" x14ac:dyDescent="0.25">
      <c r="T9427" s="135"/>
      <c r="U9427" s="135"/>
    </row>
    <row r="9428" spans="20:21" ht="15" customHeight="1" x14ac:dyDescent="0.25">
      <c r="T9428" s="135"/>
      <c r="U9428" s="135"/>
    </row>
    <row r="9429" spans="20:21" ht="15" customHeight="1" x14ac:dyDescent="0.25">
      <c r="T9429" s="135"/>
      <c r="U9429" s="135"/>
    </row>
    <row r="9430" spans="20:21" ht="15" customHeight="1" x14ac:dyDescent="0.25">
      <c r="T9430" s="135"/>
      <c r="U9430" s="135"/>
    </row>
    <row r="9431" spans="20:21" ht="15" customHeight="1" x14ac:dyDescent="0.25">
      <c r="T9431" s="135"/>
      <c r="U9431" s="135"/>
    </row>
    <row r="9432" spans="20:21" ht="15" customHeight="1" x14ac:dyDescent="0.25">
      <c r="T9432" s="135"/>
      <c r="U9432" s="135"/>
    </row>
    <row r="9433" spans="20:21" ht="15" customHeight="1" x14ac:dyDescent="0.25">
      <c r="T9433" s="135"/>
      <c r="U9433" s="135"/>
    </row>
    <row r="9434" spans="20:21" ht="15" customHeight="1" x14ac:dyDescent="0.25">
      <c r="T9434" s="135"/>
      <c r="U9434" s="135"/>
    </row>
    <row r="9435" spans="20:21" ht="15" customHeight="1" x14ac:dyDescent="0.25">
      <c r="T9435" s="135"/>
      <c r="U9435" s="135"/>
    </row>
    <row r="9436" spans="20:21" ht="15" customHeight="1" x14ac:dyDescent="0.25">
      <c r="T9436" s="135"/>
      <c r="U9436" s="135"/>
    </row>
    <row r="9437" spans="20:21" ht="15" customHeight="1" x14ac:dyDescent="0.25">
      <c r="T9437" s="135"/>
      <c r="U9437" s="135"/>
    </row>
    <row r="9438" spans="20:21" ht="15" customHeight="1" x14ac:dyDescent="0.25">
      <c r="T9438" s="135"/>
      <c r="U9438" s="135"/>
    </row>
    <row r="9439" spans="20:21" ht="15" customHeight="1" x14ac:dyDescent="0.25">
      <c r="T9439" s="135"/>
      <c r="U9439" s="135"/>
    </row>
    <row r="9440" spans="20:21" ht="15" customHeight="1" x14ac:dyDescent="0.25">
      <c r="T9440" s="135"/>
      <c r="U9440" s="135"/>
    </row>
    <row r="9441" spans="20:21" ht="15" customHeight="1" x14ac:dyDescent="0.25">
      <c r="T9441" s="135"/>
      <c r="U9441" s="135"/>
    </row>
    <row r="9442" spans="20:21" ht="15" customHeight="1" x14ac:dyDescent="0.25">
      <c r="T9442" s="135"/>
      <c r="U9442" s="135"/>
    </row>
    <row r="9443" spans="20:21" ht="15" customHeight="1" x14ac:dyDescent="0.25">
      <c r="T9443" s="135"/>
      <c r="U9443" s="135"/>
    </row>
    <row r="9444" spans="20:21" ht="15" customHeight="1" x14ac:dyDescent="0.25">
      <c r="T9444" s="135"/>
      <c r="U9444" s="135"/>
    </row>
    <row r="9445" spans="20:21" ht="15" customHeight="1" x14ac:dyDescent="0.25">
      <c r="T9445" s="135"/>
      <c r="U9445" s="135"/>
    </row>
    <row r="9446" spans="20:21" ht="15" customHeight="1" x14ac:dyDescent="0.25">
      <c r="T9446" s="135"/>
      <c r="U9446" s="135"/>
    </row>
    <row r="9447" spans="20:21" ht="15" customHeight="1" x14ac:dyDescent="0.25">
      <c r="T9447" s="135"/>
      <c r="U9447" s="135"/>
    </row>
    <row r="9448" spans="20:21" ht="15" customHeight="1" x14ac:dyDescent="0.25">
      <c r="T9448" s="135"/>
      <c r="U9448" s="135"/>
    </row>
    <row r="9449" spans="20:21" ht="15" customHeight="1" x14ac:dyDescent="0.25">
      <c r="T9449" s="135"/>
      <c r="U9449" s="135"/>
    </row>
    <row r="9450" spans="20:21" ht="15" customHeight="1" x14ac:dyDescent="0.25">
      <c r="T9450" s="135"/>
      <c r="U9450" s="135"/>
    </row>
    <row r="9451" spans="20:21" ht="15" customHeight="1" x14ac:dyDescent="0.25">
      <c r="T9451" s="135"/>
      <c r="U9451" s="135"/>
    </row>
    <row r="9452" spans="20:21" ht="15" customHeight="1" x14ac:dyDescent="0.25">
      <c r="T9452" s="135"/>
      <c r="U9452" s="135"/>
    </row>
    <row r="9453" spans="20:21" ht="15" customHeight="1" x14ac:dyDescent="0.25">
      <c r="T9453" s="135"/>
      <c r="U9453" s="135"/>
    </row>
    <row r="9454" spans="20:21" ht="15" customHeight="1" x14ac:dyDescent="0.25">
      <c r="T9454" s="135"/>
      <c r="U9454" s="135"/>
    </row>
    <row r="9455" spans="20:21" ht="15" customHeight="1" x14ac:dyDescent="0.25">
      <c r="T9455" s="135"/>
      <c r="U9455" s="135"/>
    </row>
    <row r="9456" spans="20:21" ht="15" customHeight="1" x14ac:dyDescent="0.25">
      <c r="T9456" s="135"/>
      <c r="U9456" s="135"/>
    </row>
    <row r="9457" spans="20:21" ht="15" customHeight="1" x14ac:dyDescent="0.25">
      <c r="T9457" s="135"/>
      <c r="U9457" s="135"/>
    </row>
    <row r="9458" spans="20:21" ht="15" customHeight="1" x14ac:dyDescent="0.25">
      <c r="T9458" s="135"/>
      <c r="U9458" s="135"/>
    </row>
    <row r="9459" spans="20:21" ht="15" customHeight="1" x14ac:dyDescent="0.25">
      <c r="T9459" s="135"/>
      <c r="U9459" s="135"/>
    </row>
    <row r="9460" spans="20:21" ht="15" customHeight="1" x14ac:dyDescent="0.25">
      <c r="T9460" s="135"/>
      <c r="U9460" s="135"/>
    </row>
    <row r="9461" spans="20:21" ht="15" customHeight="1" x14ac:dyDescent="0.25">
      <c r="T9461" s="135"/>
      <c r="U9461" s="135"/>
    </row>
    <row r="9462" spans="20:21" ht="15" customHeight="1" x14ac:dyDescent="0.25">
      <c r="T9462" s="135"/>
      <c r="U9462" s="135"/>
    </row>
    <row r="9463" spans="20:21" ht="15" customHeight="1" x14ac:dyDescent="0.25">
      <c r="T9463" s="135"/>
      <c r="U9463" s="135"/>
    </row>
    <row r="9464" spans="20:21" ht="15" customHeight="1" x14ac:dyDescent="0.25">
      <c r="T9464" s="135"/>
      <c r="U9464" s="135"/>
    </row>
    <row r="9465" spans="20:21" ht="15" customHeight="1" x14ac:dyDescent="0.25">
      <c r="T9465" s="135"/>
      <c r="U9465" s="135"/>
    </row>
    <row r="9466" spans="20:21" ht="15" customHeight="1" x14ac:dyDescent="0.25">
      <c r="T9466" s="135"/>
      <c r="U9466" s="135"/>
    </row>
    <row r="9467" spans="20:21" ht="15" customHeight="1" x14ac:dyDescent="0.25">
      <c r="T9467" s="135"/>
      <c r="U9467" s="135"/>
    </row>
    <row r="9468" spans="20:21" ht="15" customHeight="1" x14ac:dyDescent="0.25">
      <c r="T9468" s="135"/>
      <c r="U9468" s="135"/>
    </row>
    <row r="9469" spans="20:21" ht="15" customHeight="1" x14ac:dyDescent="0.25">
      <c r="T9469" s="135"/>
      <c r="U9469" s="135"/>
    </row>
    <row r="9470" spans="20:21" ht="15" customHeight="1" x14ac:dyDescent="0.25">
      <c r="T9470" s="135"/>
      <c r="U9470" s="135"/>
    </row>
    <row r="9471" spans="20:21" ht="15" customHeight="1" x14ac:dyDescent="0.25">
      <c r="T9471" s="135"/>
      <c r="U9471" s="135"/>
    </row>
    <row r="9472" spans="20:21" ht="15" customHeight="1" x14ac:dyDescent="0.25">
      <c r="T9472" s="135"/>
      <c r="U9472" s="135"/>
    </row>
    <row r="9473" spans="20:21" ht="15" customHeight="1" x14ac:dyDescent="0.25">
      <c r="T9473" s="135"/>
      <c r="U9473" s="135"/>
    </row>
    <row r="9474" spans="20:21" ht="15" customHeight="1" x14ac:dyDescent="0.25">
      <c r="T9474" s="135"/>
      <c r="U9474" s="135"/>
    </row>
    <row r="9475" spans="20:21" ht="15" customHeight="1" x14ac:dyDescent="0.25">
      <c r="T9475" s="135"/>
      <c r="U9475" s="135"/>
    </row>
    <row r="9476" spans="20:21" ht="15" customHeight="1" x14ac:dyDescent="0.25">
      <c r="T9476" s="135"/>
      <c r="U9476" s="135"/>
    </row>
    <row r="9477" spans="20:21" ht="15" customHeight="1" x14ac:dyDescent="0.25">
      <c r="T9477" s="135"/>
      <c r="U9477" s="135"/>
    </row>
    <row r="9478" spans="20:21" ht="15" customHeight="1" x14ac:dyDescent="0.25">
      <c r="T9478" s="135"/>
      <c r="U9478" s="135"/>
    </row>
    <row r="9479" spans="20:21" ht="15" customHeight="1" x14ac:dyDescent="0.25">
      <c r="T9479" s="135"/>
      <c r="U9479" s="135"/>
    </row>
    <row r="9480" spans="20:21" ht="15" customHeight="1" x14ac:dyDescent="0.25">
      <c r="T9480" s="135"/>
      <c r="U9480" s="135"/>
    </row>
    <row r="9481" spans="20:21" ht="15" customHeight="1" x14ac:dyDescent="0.25">
      <c r="T9481" s="135"/>
      <c r="U9481" s="135"/>
    </row>
    <row r="9482" spans="20:21" ht="15" customHeight="1" x14ac:dyDescent="0.25">
      <c r="T9482" s="135"/>
      <c r="U9482" s="135"/>
    </row>
    <row r="9483" spans="20:21" ht="15" customHeight="1" x14ac:dyDescent="0.25">
      <c r="T9483" s="135"/>
      <c r="U9483" s="135"/>
    </row>
    <row r="9484" spans="20:21" ht="15" customHeight="1" x14ac:dyDescent="0.25">
      <c r="T9484" s="135"/>
      <c r="U9484" s="135"/>
    </row>
    <row r="9485" spans="20:21" ht="15" customHeight="1" x14ac:dyDescent="0.25">
      <c r="T9485" s="135"/>
      <c r="U9485" s="135"/>
    </row>
    <row r="9486" spans="20:21" ht="15" customHeight="1" x14ac:dyDescent="0.25">
      <c r="T9486" s="135"/>
      <c r="U9486" s="135"/>
    </row>
    <row r="9487" spans="20:21" ht="15" customHeight="1" x14ac:dyDescent="0.25">
      <c r="T9487" s="135"/>
      <c r="U9487" s="135"/>
    </row>
    <row r="9488" spans="20:21" ht="15" customHeight="1" x14ac:dyDescent="0.25">
      <c r="T9488" s="135"/>
      <c r="U9488" s="135"/>
    </row>
    <row r="9489" spans="20:21" ht="15" customHeight="1" x14ac:dyDescent="0.25">
      <c r="T9489" s="135"/>
      <c r="U9489" s="135"/>
    </row>
    <row r="9490" spans="20:21" ht="15" customHeight="1" x14ac:dyDescent="0.25">
      <c r="T9490" s="135"/>
      <c r="U9490" s="135"/>
    </row>
    <row r="9491" spans="20:21" ht="15" customHeight="1" x14ac:dyDescent="0.25">
      <c r="T9491" s="135"/>
      <c r="U9491" s="135"/>
    </row>
    <row r="9492" spans="20:21" ht="15" customHeight="1" x14ac:dyDescent="0.25">
      <c r="T9492" s="135"/>
      <c r="U9492" s="135"/>
    </row>
    <row r="9493" spans="20:21" ht="15" customHeight="1" x14ac:dyDescent="0.25">
      <c r="T9493" s="135"/>
      <c r="U9493" s="135"/>
    </row>
    <row r="9494" spans="20:21" ht="15" customHeight="1" x14ac:dyDescent="0.25">
      <c r="T9494" s="135"/>
      <c r="U9494" s="135"/>
    </row>
    <row r="9495" spans="20:21" ht="15" customHeight="1" x14ac:dyDescent="0.25">
      <c r="T9495" s="135"/>
      <c r="U9495" s="135"/>
    </row>
    <row r="9496" spans="20:21" ht="15" customHeight="1" x14ac:dyDescent="0.25">
      <c r="T9496" s="135"/>
      <c r="U9496" s="135"/>
    </row>
    <row r="9497" spans="20:21" ht="15" customHeight="1" x14ac:dyDescent="0.25">
      <c r="T9497" s="135"/>
      <c r="U9497" s="135"/>
    </row>
    <row r="9498" spans="20:21" ht="15" customHeight="1" x14ac:dyDescent="0.25">
      <c r="T9498" s="135"/>
      <c r="U9498" s="135"/>
    </row>
    <row r="9499" spans="20:21" ht="15" customHeight="1" x14ac:dyDescent="0.25">
      <c r="T9499" s="135"/>
      <c r="U9499" s="135"/>
    </row>
    <row r="9500" spans="20:21" ht="15" customHeight="1" x14ac:dyDescent="0.25">
      <c r="T9500" s="135"/>
      <c r="U9500" s="135"/>
    </row>
    <row r="9501" spans="20:21" ht="15" customHeight="1" x14ac:dyDescent="0.25">
      <c r="T9501" s="135"/>
      <c r="U9501" s="135"/>
    </row>
    <row r="9502" spans="20:21" ht="15" customHeight="1" x14ac:dyDescent="0.25">
      <c r="T9502" s="135"/>
      <c r="U9502" s="135"/>
    </row>
    <row r="9503" spans="20:21" ht="15" customHeight="1" x14ac:dyDescent="0.25">
      <c r="T9503" s="135"/>
      <c r="U9503" s="135"/>
    </row>
    <row r="9504" spans="20:21" ht="15" customHeight="1" x14ac:dyDescent="0.25">
      <c r="T9504" s="135"/>
      <c r="U9504" s="135"/>
    </row>
    <row r="9505" spans="20:21" ht="15" customHeight="1" x14ac:dyDescent="0.25">
      <c r="T9505" s="135"/>
      <c r="U9505" s="135"/>
    </row>
    <row r="9506" spans="20:21" ht="15" customHeight="1" x14ac:dyDescent="0.25">
      <c r="T9506" s="135"/>
      <c r="U9506" s="135"/>
    </row>
    <row r="9507" spans="20:21" ht="15" customHeight="1" x14ac:dyDescent="0.25">
      <c r="T9507" s="135"/>
      <c r="U9507" s="135"/>
    </row>
    <row r="9508" spans="20:21" ht="15" customHeight="1" x14ac:dyDescent="0.25">
      <c r="T9508" s="135"/>
      <c r="U9508" s="135"/>
    </row>
    <row r="9509" spans="20:21" ht="15" customHeight="1" x14ac:dyDescent="0.25">
      <c r="T9509" s="135"/>
      <c r="U9509" s="135"/>
    </row>
    <row r="9510" spans="20:21" ht="15" customHeight="1" x14ac:dyDescent="0.25">
      <c r="T9510" s="135"/>
      <c r="U9510" s="135"/>
    </row>
    <row r="9511" spans="20:21" ht="15" customHeight="1" x14ac:dyDescent="0.25">
      <c r="T9511" s="135"/>
      <c r="U9511" s="135"/>
    </row>
    <row r="9512" spans="20:21" ht="15" customHeight="1" x14ac:dyDescent="0.25">
      <c r="T9512" s="135"/>
      <c r="U9512" s="135"/>
    </row>
    <row r="9513" spans="20:21" ht="15" customHeight="1" x14ac:dyDescent="0.25">
      <c r="T9513" s="135"/>
      <c r="U9513" s="135"/>
    </row>
    <row r="9514" spans="20:21" ht="15" customHeight="1" x14ac:dyDescent="0.25">
      <c r="T9514" s="135"/>
      <c r="U9514" s="135"/>
    </row>
    <row r="9515" spans="20:21" ht="15" customHeight="1" x14ac:dyDescent="0.25">
      <c r="T9515" s="135"/>
      <c r="U9515" s="135"/>
    </row>
    <row r="9516" spans="20:21" ht="15" customHeight="1" x14ac:dyDescent="0.25">
      <c r="T9516" s="135"/>
      <c r="U9516" s="135"/>
    </row>
    <row r="9517" spans="20:21" ht="15" customHeight="1" x14ac:dyDescent="0.25">
      <c r="T9517" s="135"/>
      <c r="U9517" s="135"/>
    </row>
    <row r="9518" spans="20:21" ht="15" customHeight="1" x14ac:dyDescent="0.25">
      <c r="T9518" s="135"/>
      <c r="U9518" s="135"/>
    </row>
    <row r="9519" spans="20:21" ht="15" customHeight="1" x14ac:dyDescent="0.25">
      <c r="T9519" s="135"/>
      <c r="U9519" s="135"/>
    </row>
    <row r="9520" spans="20:21" ht="15" customHeight="1" x14ac:dyDescent="0.25">
      <c r="T9520" s="135"/>
      <c r="U9520" s="135"/>
    </row>
    <row r="9521" spans="20:21" ht="15" customHeight="1" x14ac:dyDescent="0.25">
      <c r="T9521" s="135"/>
      <c r="U9521" s="135"/>
    </row>
    <row r="9522" spans="20:21" ht="15" customHeight="1" x14ac:dyDescent="0.25">
      <c r="T9522" s="135"/>
      <c r="U9522" s="135"/>
    </row>
    <row r="9523" spans="20:21" ht="15" customHeight="1" x14ac:dyDescent="0.25">
      <c r="T9523" s="135"/>
      <c r="U9523" s="135"/>
    </row>
    <row r="9524" spans="20:21" ht="15" customHeight="1" x14ac:dyDescent="0.25">
      <c r="T9524" s="135"/>
      <c r="U9524" s="135"/>
    </row>
    <row r="9525" spans="20:21" ht="15" customHeight="1" x14ac:dyDescent="0.25">
      <c r="T9525" s="135"/>
      <c r="U9525" s="135"/>
    </row>
    <row r="9526" spans="20:21" ht="15" customHeight="1" x14ac:dyDescent="0.25">
      <c r="T9526" s="135"/>
      <c r="U9526" s="135"/>
    </row>
    <row r="9527" spans="20:21" ht="15" customHeight="1" x14ac:dyDescent="0.25">
      <c r="T9527" s="135"/>
      <c r="U9527" s="135"/>
    </row>
    <row r="9528" spans="20:21" ht="15" customHeight="1" x14ac:dyDescent="0.25">
      <c r="T9528" s="135"/>
      <c r="U9528" s="135"/>
    </row>
    <row r="9529" spans="20:21" ht="15" customHeight="1" x14ac:dyDescent="0.25">
      <c r="T9529" s="135"/>
      <c r="U9529" s="135"/>
    </row>
    <row r="9530" spans="20:21" ht="15" customHeight="1" x14ac:dyDescent="0.25">
      <c r="T9530" s="135"/>
      <c r="U9530" s="135"/>
    </row>
    <row r="9531" spans="20:21" ht="15" customHeight="1" x14ac:dyDescent="0.25">
      <c r="T9531" s="135"/>
      <c r="U9531" s="135"/>
    </row>
    <row r="9532" spans="20:21" ht="15" customHeight="1" x14ac:dyDescent="0.25">
      <c r="T9532" s="135"/>
      <c r="U9532" s="135"/>
    </row>
    <row r="9533" spans="20:21" ht="15" customHeight="1" x14ac:dyDescent="0.25">
      <c r="T9533" s="135"/>
      <c r="U9533" s="135"/>
    </row>
    <row r="9534" spans="20:21" ht="15" customHeight="1" x14ac:dyDescent="0.25">
      <c r="T9534" s="135"/>
      <c r="U9534" s="135"/>
    </row>
    <row r="9535" spans="20:21" ht="15" customHeight="1" x14ac:dyDescent="0.25">
      <c r="T9535" s="135"/>
      <c r="U9535" s="135"/>
    </row>
    <row r="9536" spans="20:21" ht="15" customHeight="1" x14ac:dyDescent="0.25">
      <c r="T9536" s="135"/>
      <c r="U9536" s="135"/>
    </row>
    <row r="9537" spans="20:21" ht="15" customHeight="1" x14ac:dyDescent="0.25">
      <c r="T9537" s="135"/>
      <c r="U9537" s="135"/>
    </row>
    <row r="9538" spans="20:21" ht="15" customHeight="1" x14ac:dyDescent="0.25">
      <c r="T9538" s="135"/>
      <c r="U9538" s="135"/>
    </row>
    <row r="9539" spans="20:21" ht="15" customHeight="1" x14ac:dyDescent="0.25">
      <c r="T9539" s="135"/>
      <c r="U9539" s="135"/>
    </row>
    <row r="9540" spans="20:21" ht="15" customHeight="1" x14ac:dyDescent="0.25">
      <c r="T9540" s="135"/>
      <c r="U9540" s="135"/>
    </row>
    <row r="9541" spans="20:21" ht="15" customHeight="1" x14ac:dyDescent="0.25">
      <c r="T9541" s="135"/>
      <c r="U9541" s="135"/>
    </row>
    <row r="9542" spans="20:21" ht="15" customHeight="1" x14ac:dyDescent="0.25">
      <c r="T9542" s="135"/>
      <c r="U9542" s="135"/>
    </row>
    <row r="9543" spans="20:21" ht="15" customHeight="1" x14ac:dyDescent="0.25">
      <c r="T9543" s="135"/>
      <c r="U9543" s="135"/>
    </row>
    <row r="9544" spans="20:21" ht="15" customHeight="1" x14ac:dyDescent="0.25">
      <c r="T9544" s="135"/>
      <c r="U9544" s="135"/>
    </row>
    <row r="9545" spans="20:21" ht="15" customHeight="1" x14ac:dyDescent="0.25">
      <c r="T9545" s="135"/>
      <c r="U9545" s="135"/>
    </row>
    <row r="9546" spans="20:21" ht="15" customHeight="1" x14ac:dyDescent="0.25">
      <c r="T9546" s="135"/>
      <c r="U9546" s="135"/>
    </row>
    <row r="9547" spans="20:21" ht="15" customHeight="1" x14ac:dyDescent="0.25">
      <c r="T9547" s="135"/>
      <c r="U9547" s="135"/>
    </row>
    <row r="9548" spans="20:21" ht="15" customHeight="1" x14ac:dyDescent="0.25">
      <c r="T9548" s="135"/>
      <c r="U9548" s="135"/>
    </row>
    <row r="9549" spans="20:21" ht="15" customHeight="1" x14ac:dyDescent="0.25">
      <c r="T9549" s="135"/>
      <c r="U9549" s="135"/>
    </row>
    <row r="9550" spans="20:21" ht="15" customHeight="1" x14ac:dyDescent="0.25">
      <c r="T9550" s="135"/>
      <c r="U9550" s="135"/>
    </row>
    <row r="9551" spans="20:21" ht="15" customHeight="1" x14ac:dyDescent="0.25">
      <c r="T9551" s="135"/>
      <c r="U9551" s="135"/>
    </row>
    <row r="9552" spans="20:21" ht="15" customHeight="1" x14ac:dyDescent="0.25">
      <c r="T9552" s="135"/>
      <c r="U9552" s="135"/>
    </row>
    <row r="9553" spans="20:21" ht="15" customHeight="1" x14ac:dyDescent="0.25">
      <c r="T9553" s="135"/>
      <c r="U9553" s="135"/>
    </row>
    <row r="9554" spans="20:21" ht="15" customHeight="1" x14ac:dyDescent="0.25">
      <c r="T9554" s="135"/>
      <c r="U9554" s="135"/>
    </row>
    <row r="9555" spans="20:21" ht="15" customHeight="1" x14ac:dyDescent="0.25">
      <c r="T9555" s="135"/>
      <c r="U9555" s="135"/>
    </row>
    <row r="9556" spans="20:21" ht="15" customHeight="1" x14ac:dyDescent="0.25">
      <c r="T9556" s="135"/>
      <c r="U9556" s="135"/>
    </row>
    <row r="9557" spans="20:21" ht="15" customHeight="1" x14ac:dyDescent="0.25">
      <c r="T9557" s="135"/>
      <c r="U9557" s="135"/>
    </row>
    <row r="9558" spans="20:21" ht="15" customHeight="1" x14ac:dyDescent="0.25">
      <c r="T9558" s="135"/>
      <c r="U9558" s="135"/>
    </row>
    <row r="9559" spans="20:21" ht="15" customHeight="1" x14ac:dyDescent="0.25">
      <c r="T9559" s="135"/>
      <c r="U9559" s="135"/>
    </row>
    <row r="9560" spans="20:21" ht="15" customHeight="1" x14ac:dyDescent="0.25">
      <c r="T9560" s="135"/>
      <c r="U9560" s="135"/>
    </row>
    <row r="9561" spans="20:21" ht="15" customHeight="1" x14ac:dyDescent="0.25">
      <c r="T9561" s="135"/>
      <c r="U9561" s="135"/>
    </row>
    <row r="9562" spans="20:21" ht="15" customHeight="1" x14ac:dyDescent="0.25">
      <c r="T9562" s="135"/>
      <c r="U9562" s="135"/>
    </row>
    <row r="9563" spans="20:21" ht="15" customHeight="1" x14ac:dyDescent="0.25">
      <c r="T9563" s="135"/>
      <c r="U9563" s="135"/>
    </row>
    <row r="9564" spans="20:21" ht="15" customHeight="1" x14ac:dyDescent="0.25">
      <c r="T9564" s="135"/>
      <c r="U9564" s="135"/>
    </row>
    <row r="9565" spans="20:21" ht="15" customHeight="1" x14ac:dyDescent="0.25">
      <c r="T9565" s="135"/>
      <c r="U9565" s="135"/>
    </row>
    <row r="9566" spans="20:21" ht="15" customHeight="1" x14ac:dyDescent="0.25">
      <c r="T9566" s="135"/>
      <c r="U9566" s="135"/>
    </row>
    <row r="9567" spans="20:21" ht="15" customHeight="1" x14ac:dyDescent="0.25">
      <c r="T9567" s="135"/>
      <c r="U9567" s="135"/>
    </row>
    <row r="9568" spans="20:21" ht="15" customHeight="1" x14ac:dyDescent="0.25">
      <c r="T9568" s="135"/>
      <c r="U9568" s="135"/>
    </row>
    <row r="9569" spans="20:21" ht="15" customHeight="1" x14ac:dyDescent="0.25">
      <c r="T9569" s="135"/>
      <c r="U9569" s="135"/>
    </row>
    <row r="9570" spans="20:21" ht="15" customHeight="1" x14ac:dyDescent="0.25">
      <c r="T9570" s="135"/>
      <c r="U9570" s="135"/>
    </row>
    <row r="9571" spans="20:21" ht="15" customHeight="1" x14ac:dyDescent="0.25">
      <c r="T9571" s="135"/>
      <c r="U9571" s="135"/>
    </row>
    <row r="9572" spans="20:21" ht="15" customHeight="1" x14ac:dyDescent="0.25">
      <c r="T9572" s="135"/>
      <c r="U9572" s="135"/>
    </row>
    <row r="9573" spans="20:21" ht="15" customHeight="1" x14ac:dyDescent="0.25">
      <c r="T9573" s="135"/>
      <c r="U9573" s="135"/>
    </row>
    <row r="9574" spans="20:21" ht="15" customHeight="1" x14ac:dyDescent="0.25">
      <c r="T9574" s="135"/>
      <c r="U9574" s="135"/>
    </row>
    <row r="9575" spans="20:21" ht="15" customHeight="1" x14ac:dyDescent="0.25">
      <c r="T9575" s="135"/>
      <c r="U9575" s="135"/>
    </row>
    <row r="9576" spans="20:21" ht="15" customHeight="1" x14ac:dyDescent="0.25">
      <c r="T9576" s="135"/>
      <c r="U9576" s="135"/>
    </row>
    <row r="9577" spans="20:21" ht="15" customHeight="1" x14ac:dyDescent="0.25">
      <c r="T9577" s="135"/>
      <c r="U9577" s="135"/>
    </row>
    <row r="9578" spans="20:21" ht="15" customHeight="1" x14ac:dyDescent="0.25">
      <c r="T9578" s="135"/>
      <c r="U9578" s="135"/>
    </row>
    <row r="9579" spans="20:21" ht="15" customHeight="1" x14ac:dyDescent="0.25">
      <c r="T9579" s="135"/>
      <c r="U9579" s="135"/>
    </row>
    <row r="9580" spans="20:21" ht="15" customHeight="1" x14ac:dyDescent="0.25">
      <c r="T9580" s="135"/>
      <c r="U9580" s="135"/>
    </row>
    <row r="9581" spans="20:21" ht="15" customHeight="1" x14ac:dyDescent="0.25">
      <c r="T9581" s="135"/>
      <c r="U9581" s="135"/>
    </row>
    <row r="9582" spans="20:21" ht="15" customHeight="1" x14ac:dyDescent="0.25">
      <c r="T9582" s="135"/>
      <c r="U9582" s="135"/>
    </row>
    <row r="9583" spans="20:21" ht="15" customHeight="1" x14ac:dyDescent="0.25">
      <c r="T9583" s="135"/>
      <c r="U9583" s="135"/>
    </row>
    <row r="9584" spans="20:21" ht="15" customHeight="1" x14ac:dyDescent="0.25">
      <c r="T9584" s="135"/>
      <c r="U9584" s="135"/>
    </row>
    <row r="9585" spans="20:21" ht="15" customHeight="1" x14ac:dyDescent="0.25">
      <c r="T9585" s="135"/>
      <c r="U9585" s="135"/>
    </row>
    <row r="9586" spans="20:21" ht="15" customHeight="1" x14ac:dyDescent="0.25">
      <c r="T9586" s="135"/>
      <c r="U9586" s="135"/>
    </row>
    <row r="9587" spans="20:21" ht="15" customHeight="1" x14ac:dyDescent="0.25">
      <c r="T9587" s="135"/>
      <c r="U9587" s="135"/>
    </row>
    <row r="9588" spans="20:21" ht="15" customHeight="1" x14ac:dyDescent="0.25">
      <c r="T9588" s="135"/>
      <c r="U9588" s="135"/>
    </row>
    <row r="9589" spans="20:21" ht="15" customHeight="1" x14ac:dyDescent="0.25">
      <c r="T9589" s="135"/>
      <c r="U9589" s="135"/>
    </row>
    <row r="9590" spans="20:21" ht="15" customHeight="1" x14ac:dyDescent="0.25">
      <c r="T9590" s="135"/>
      <c r="U9590" s="135"/>
    </row>
    <row r="9591" spans="20:21" ht="15" customHeight="1" x14ac:dyDescent="0.25">
      <c r="T9591" s="135"/>
      <c r="U9591" s="135"/>
    </row>
    <row r="9592" spans="20:21" ht="15" customHeight="1" x14ac:dyDescent="0.25">
      <c r="T9592" s="135"/>
      <c r="U9592" s="135"/>
    </row>
    <row r="9593" spans="20:21" ht="15" customHeight="1" x14ac:dyDescent="0.25">
      <c r="T9593" s="135"/>
      <c r="U9593" s="135"/>
    </row>
    <row r="9594" spans="20:21" ht="15" customHeight="1" x14ac:dyDescent="0.25">
      <c r="T9594" s="135"/>
      <c r="U9594" s="135"/>
    </row>
    <row r="9595" spans="20:21" ht="15" customHeight="1" x14ac:dyDescent="0.25">
      <c r="T9595" s="135"/>
      <c r="U9595" s="135"/>
    </row>
    <row r="9596" spans="20:21" ht="15" customHeight="1" x14ac:dyDescent="0.25">
      <c r="T9596" s="135"/>
      <c r="U9596" s="135"/>
    </row>
    <row r="9597" spans="20:21" ht="15" customHeight="1" x14ac:dyDescent="0.25">
      <c r="T9597" s="135"/>
      <c r="U9597" s="135"/>
    </row>
    <row r="9598" spans="20:21" ht="15" customHeight="1" x14ac:dyDescent="0.25">
      <c r="T9598" s="135"/>
      <c r="U9598" s="135"/>
    </row>
    <row r="9599" spans="20:21" ht="15" customHeight="1" x14ac:dyDescent="0.25">
      <c r="T9599" s="135"/>
      <c r="U9599" s="135"/>
    </row>
    <row r="9600" spans="20:21" ht="15" customHeight="1" x14ac:dyDescent="0.25">
      <c r="T9600" s="135"/>
      <c r="U9600" s="135"/>
    </row>
    <row r="9601" spans="20:21" ht="15" customHeight="1" x14ac:dyDescent="0.25">
      <c r="T9601" s="135"/>
      <c r="U9601" s="135"/>
    </row>
    <row r="9602" spans="20:21" ht="15" customHeight="1" x14ac:dyDescent="0.25">
      <c r="T9602" s="135"/>
      <c r="U9602" s="135"/>
    </row>
    <row r="9603" spans="20:21" ht="15" customHeight="1" x14ac:dyDescent="0.25">
      <c r="T9603" s="135"/>
      <c r="U9603" s="135"/>
    </row>
    <row r="9604" spans="20:21" ht="15" customHeight="1" x14ac:dyDescent="0.25">
      <c r="T9604" s="135"/>
      <c r="U9604" s="135"/>
    </row>
    <row r="9605" spans="20:21" ht="15" customHeight="1" x14ac:dyDescent="0.25">
      <c r="T9605" s="135"/>
      <c r="U9605" s="135"/>
    </row>
    <row r="9606" spans="20:21" ht="15" customHeight="1" x14ac:dyDescent="0.25">
      <c r="T9606" s="135"/>
      <c r="U9606" s="135"/>
    </row>
    <row r="9607" spans="20:21" ht="15" customHeight="1" x14ac:dyDescent="0.25">
      <c r="T9607" s="135"/>
      <c r="U9607" s="135"/>
    </row>
    <row r="9608" spans="20:21" ht="15" customHeight="1" x14ac:dyDescent="0.25">
      <c r="T9608" s="135"/>
      <c r="U9608" s="135"/>
    </row>
    <row r="9609" spans="20:21" ht="15" customHeight="1" x14ac:dyDescent="0.25">
      <c r="T9609" s="135"/>
      <c r="U9609" s="135"/>
    </row>
    <row r="9610" spans="20:21" ht="15" customHeight="1" x14ac:dyDescent="0.25">
      <c r="T9610" s="135"/>
      <c r="U9610" s="135"/>
    </row>
    <row r="9611" spans="20:21" ht="15" customHeight="1" x14ac:dyDescent="0.25">
      <c r="T9611" s="135"/>
      <c r="U9611" s="135"/>
    </row>
    <row r="9612" spans="20:21" ht="15" customHeight="1" x14ac:dyDescent="0.25">
      <c r="T9612" s="135"/>
      <c r="U9612" s="135"/>
    </row>
    <row r="9613" spans="20:21" ht="15" customHeight="1" x14ac:dyDescent="0.25">
      <c r="T9613" s="135"/>
      <c r="U9613" s="135"/>
    </row>
    <row r="9614" spans="20:21" ht="15" customHeight="1" x14ac:dyDescent="0.25">
      <c r="T9614" s="135"/>
      <c r="U9614" s="135"/>
    </row>
    <row r="9615" spans="20:21" ht="15" customHeight="1" x14ac:dyDescent="0.25">
      <c r="T9615" s="135"/>
      <c r="U9615" s="135"/>
    </row>
    <row r="9616" spans="20:21" ht="15" customHeight="1" x14ac:dyDescent="0.25">
      <c r="T9616" s="135"/>
      <c r="U9616" s="135"/>
    </row>
    <row r="9617" spans="20:21" ht="15" customHeight="1" x14ac:dyDescent="0.25">
      <c r="T9617" s="135"/>
      <c r="U9617" s="135"/>
    </row>
    <row r="9618" spans="20:21" ht="15" customHeight="1" x14ac:dyDescent="0.25">
      <c r="T9618" s="135"/>
      <c r="U9618" s="135"/>
    </row>
    <row r="9619" spans="20:21" ht="15" customHeight="1" x14ac:dyDescent="0.25">
      <c r="T9619" s="135"/>
      <c r="U9619" s="135"/>
    </row>
    <row r="9620" spans="20:21" ht="15" customHeight="1" x14ac:dyDescent="0.25">
      <c r="T9620" s="135"/>
      <c r="U9620" s="135"/>
    </row>
    <row r="9621" spans="20:21" ht="15" customHeight="1" x14ac:dyDescent="0.25">
      <c r="T9621" s="135"/>
      <c r="U9621" s="135"/>
    </row>
    <row r="9622" spans="20:21" ht="15" customHeight="1" x14ac:dyDescent="0.25">
      <c r="T9622" s="135"/>
      <c r="U9622" s="135"/>
    </row>
    <row r="9623" spans="20:21" ht="15" customHeight="1" x14ac:dyDescent="0.25">
      <c r="T9623" s="135"/>
      <c r="U9623" s="135"/>
    </row>
    <row r="9624" spans="20:21" ht="15" customHeight="1" x14ac:dyDescent="0.25">
      <c r="T9624" s="135"/>
      <c r="U9624" s="135"/>
    </row>
    <row r="9625" spans="20:21" ht="15" customHeight="1" x14ac:dyDescent="0.25">
      <c r="T9625" s="135"/>
      <c r="U9625" s="135"/>
    </row>
    <row r="9626" spans="20:21" ht="15" customHeight="1" x14ac:dyDescent="0.25">
      <c r="T9626" s="135"/>
      <c r="U9626" s="135"/>
    </row>
    <row r="9627" spans="20:21" ht="15" customHeight="1" x14ac:dyDescent="0.25">
      <c r="T9627" s="135"/>
      <c r="U9627" s="135"/>
    </row>
    <row r="9628" spans="20:21" ht="15" customHeight="1" x14ac:dyDescent="0.25">
      <c r="T9628" s="135"/>
      <c r="U9628" s="135"/>
    </row>
    <row r="9629" spans="20:21" ht="15" customHeight="1" x14ac:dyDescent="0.25">
      <c r="T9629" s="135"/>
      <c r="U9629" s="135"/>
    </row>
    <row r="9630" spans="20:21" ht="15" customHeight="1" x14ac:dyDescent="0.25">
      <c r="T9630" s="135"/>
      <c r="U9630" s="135"/>
    </row>
    <row r="9631" spans="20:21" ht="15" customHeight="1" x14ac:dyDescent="0.25">
      <c r="T9631" s="135"/>
      <c r="U9631" s="135"/>
    </row>
    <row r="9632" spans="20:21" ht="15" customHeight="1" x14ac:dyDescent="0.25">
      <c r="T9632" s="135"/>
      <c r="U9632" s="135"/>
    </row>
    <row r="9633" spans="20:21" ht="15" customHeight="1" x14ac:dyDescent="0.25">
      <c r="T9633" s="135"/>
      <c r="U9633" s="135"/>
    </row>
    <row r="9634" spans="20:21" ht="15" customHeight="1" x14ac:dyDescent="0.25">
      <c r="T9634" s="135"/>
      <c r="U9634" s="135"/>
    </row>
    <row r="9635" spans="20:21" ht="15" customHeight="1" x14ac:dyDescent="0.25">
      <c r="T9635" s="135"/>
      <c r="U9635" s="135"/>
    </row>
    <row r="9636" spans="20:21" ht="15" customHeight="1" x14ac:dyDescent="0.25">
      <c r="T9636" s="135"/>
      <c r="U9636" s="135"/>
    </row>
    <row r="9637" spans="20:21" ht="15" customHeight="1" x14ac:dyDescent="0.25">
      <c r="T9637" s="135"/>
      <c r="U9637" s="135"/>
    </row>
    <row r="9638" spans="20:21" ht="15" customHeight="1" x14ac:dyDescent="0.25">
      <c r="T9638" s="135"/>
      <c r="U9638" s="135"/>
    </row>
    <row r="9639" spans="20:21" ht="15" customHeight="1" x14ac:dyDescent="0.25">
      <c r="T9639" s="135"/>
      <c r="U9639" s="135"/>
    </row>
    <row r="9640" spans="20:21" ht="15" customHeight="1" x14ac:dyDescent="0.25">
      <c r="T9640" s="135"/>
      <c r="U9640" s="135"/>
    </row>
    <row r="9641" spans="20:21" ht="15" customHeight="1" x14ac:dyDescent="0.25">
      <c r="T9641" s="135"/>
      <c r="U9641" s="135"/>
    </row>
    <row r="9642" spans="20:21" ht="15" customHeight="1" x14ac:dyDescent="0.25">
      <c r="T9642" s="135"/>
      <c r="U9642" s="135"/>
    </row>
    <row r="9643" spans="20:21" ht="15" customHeight="1" x14ac:dyDescent="0.25">
      <c r="T9643" s="135"/>
      <c r="U9643" s="135"/>
    </row>
    <row r="9644" spans="20:21" ht="15" customHeight="1" x14ac:dyDescent="0.25">
      <c r="T9644" s="135"/>
      <c r="U9644" s="135"/>
    </row>
    <row r="9645" spans="20:21" ht="15" customHeight="1" x14ac:dyDescent="0.25">
      <c r="T9645" s="135"/>
      <c r="U9645" s="135"/>
    </row>
    <row r="9646" spans="20:21" ht="15" customHeight="1" x14ac:dyDescent="0.25">
      <c r="T9646" s="135"/>
      <c r="U9646" s="135"/>
    </row>
    <row r="9647" spans="20:21" ht="15" customHeight="1" x14ac:dyDescent="0.25">
      <c r="T9647" s="135"/>
      <c r="U9647" s="135"/>
    </row>
    <row r="9648" spans="20:21" ht="15" customHeight="1" x14ac:dyDescent="0.25">
      <c r="T9648" s="135"/>
      <c r="U9648" s="135"/>
    </row>
    <row r="9649" spans="20:21" ht="15" customHeight="1" x14ac:dyDescent="0.25">
      <c r="T9649" s="135"/>
      <c r="U9649" s="135"/>
    </row>
    <row r="9650" spans="20:21" ht="15" customHeight="1" x14ac:dyDescent="0.25">
      <c r="T9650" s="135"/>
      <c r="U9650" s="135"/>
    </row>
    <row r="9651" spans="20:21" ht="15" customHeight="1" x14ac:dyDescent="0.25">
      <c r="T9651" s="135"/>
      <c r="U9651" s="135"/>
    </row>
    <row r="9652" spans="20:21" ht="15" customHeight="1" x14ac:dyDescent="0.25">
      <c r="T9652" s="135"/>
      <c r="U9652" s="135"/>
    </row>
    <row r="9653" spans="20:21" ht="15" customHeight="1" x14ac:dyDescent="0.25">
      <c r="T9653" s="135"/>
      <c r="U9653" s="135"/>
    </row>
    <row r="9654" spans="20:21" ht="15" customHeight="1" x14ac:dyDescent="0.25">
      <c r="T9654" s="135"/>
      <c r="U9654" s="135"/>
    </row>
    <row r="9655" spans="20:21" ht="15" customHeight="1" x14ac:dyDescent="0.25">
      <c r="T9655" s="135"/>
      <c r="U9655" s="135"/>
    </row>
    <row r="9656" spans="20:21" ht="15" customHeight="1" x14ac:dyDescent="0.25">
      <c r="T9656" s="135"/>
      <c r="U9656" s="135"/>
    </row>
    <row r="9657" spans="20:21" ht="15" customHeight="1" x14ac:dyDescent="0.25">
      <c r="T9657" s="135"/>
      <c r="U9657" s="135"/>
    </row>
    <row r="9658" spans="20:21" ht="15" customHeight="1" x14ac:dyDescent="0.25">
      <c r="T9658" s="135"/>
      <c r="U9658" s="135"/>
    </row>
    <row r="9659" spans="20:21" ht="15" customHeight="1" x14ac:dyDescent="0.25">
      <c r="T9659" s="135"/>
      <c r="U9659" s="135"/>
    </row>
    <row r="9660" spans="20:21" ht="15" customHeight="1" x14ac:dyDescent="0.25">
      <c r="T9660" s="135"/>
      <c r="U9660" s="135"/>
    </row>
    <row r="9661" spans="20:21" ht="15" customHeight="1" x14ac:dyDescent="0.25">
      <c r="T9661" s="135"/>
      <c r="U9661" s="135"/>
    </row>
    <row r="9662" spans="20:21" ht="15" customHeight="1" x14ac:dyDescent="0.25">
      <c r="T9662" s="135"/>
      <c r="U9662" s="135"/>
    </row>
    <row r="9663" spans="20:21" ht="15" customHeight="1" x14ac:dyDescent="0.25">
      <c r="T9663" s="135"/>
      <c r="U9663" s="135"/>
    </row>
    <row r="9664" spans="20:21" ht="15" customHeight="1" x14ac:dyDescent="0.25">
      <c r="T9664" s="135"/>
      <c r="U9664" s="135"/>
    </row>
    <row r="9665" spans="20:21" ht="15" customHeight="1" x14ac:dyDescent="0.25">
      <c r="T9665" s="135"/>
      <c r="U9665" s="135"/>
    </row>
    <row r="9666" spans="20:21" ht="15" customHeight="1" x14ac:dyDescent="0.25">
      <c r="T9666" s="135"/>
      <c r="U9666" s="135"/>
    </row>
    <row r="9667" spans="20:21" ht="15" customHeight="1" x14ac:dyDescent="0.25">
      <c r="T9667" s="135"/>
      <c r="U9667" s="135"/>
    </row>
    <row r="9668" spans="20:21" ht="15" customHeight="1" x14ac:dyDescent="0.25">
      <c r="T9668" s="135"/>
      <c r="U9668" s="135"/>
    </row>
    <row r="9669" spans="20:21" ht="15" customHeight="1" x14ac:dyDescent="0.25">
      <c r="T9669" s="135"/>
      <c r="U9669" s="135"/>
    </row>
    <row r="9670" spans="20:21" ht="15" customHeight="1" x14ac:dyDescent="0.25">
      <c r="T9670" s="135"/>
      <c r="U9670" s="135"/>
    </row>
    <row r="9671" spans="20:21" ht="15" customHeight="1" x14ac:dyDescent="0.25">
      <c r="T9671" s="135"/>
      <c r="U9671" s="135"/>
    </row>
    <row r="9672" spans="20:21" ht="15" customHeight="1" x14ac:dyDescent="0.25">
      <c r="T9672" s="135"/>
      <c r="U9672" s="135"/>
    </row>
    <row r="9673" spans="20:21" ht="15" customHeight="1" x14ac:dyDescent="0.25">
      <c r="T9673" s="135"/>
      <c r="U9673" s="135"/>
    </row>
    <row r="9674" spans="20:21" ht="15" customHeight="1" x14ac:dyDescent="0.25">
      <c r="T9674" s="135"/>
      <c r="U9674" s="135"/>
    </row>
    <row r="9675" spans="20:21" ht="15" customHeight="1" x14ac:dyDescent="0.25">
      <c r="T9675" s="135"/>
      <c r="U9675" s="135"/>
    </row>
    <row r="9676" spans="20:21" ht="15" customHeight="1" x14ac:dyDescent="0.25">
      <c r="T9676" s="135"/>
      <c r="U9676" s="135"/>
    </row>
    <row r="9677" spans="20:21" ht="15" customHeight="1" x14ac:dyDescent="0.25">
      <c r="T9677" s="135"/>
      <c r="U9677" s="135"/>
    </row>
    <row r="9678" spans="20:21" ht="15" customHeight="1" x14ac:dyDescent="0.25">
      <c r="T9678" s="135"/>
      <c r="U9678" s="135"/>
    </row>
    <row r="9679" spans="20:21" ht="15" customHeight="1" x14ac:dyDescent="0.25">
      <c r="T9679" s="135"/>
      <c r="U9679" s="135"/>
    </row>
    <row r="9680" spans="20:21" ht="15" customHeight="1" x14ac:dyDescent="0.25">
      <c r="T9680" s="135"/>
      <c r="U9680" s="135"/>
    </row>
    <row r="9681" spans="20:21" ht="15" customHeight="1" x14ac:dyDescent="0.25">
      <c r="T9681" s="135"/>
      <c r="U9681" s="135"/>
    </row>
    <row r="9682" spans="20:21" ht="15" customHeight="1" x14ac:dyDescent="0.25">
      <c r="T9682" s="135"/>
      <c r="U9682" s="135"/>
    </row>
    <row r="9683" spans="20:21" ht="15" customHeight="1" x14ac:dyDescent="0.25">
      <c r="T9683" s="135"/>
      <c r="U9683" s="135"/>
    </row>
    <row r="9684" spans="20:21" ht="15" customHeight="1" x14ac:dyDescent="0.25">
      <c r="T9684" s="135"/>
      <c r="U9684" s="135"/>
    </row>
    <row r="9685" spans="20:21" ht="15" customHeight="1" x14ac:dyDescent="0.25">
      <c r="T9685" s="135"/>
      <c r="U9685" s="135"/>
    </row>
    <row r="9686" spans="20:21" ht="15" customHeight="1" x14ac:dyDescent="0.25">
      <c r="T9686" s="135"/>
      <c r="U9686" s="135"/>
    </row>
    <row r="9687" spans="20:21" ht="15" customHeight="1" x14ac:dyDescent="0.25">
      <c r="T9687" s="135"/>
      <c r="U9687" s="135"/>
    </row>
    <row r="9688" spans="20:21" ht="15" customHeight="1" x14ac:dyDescent="0.25">
      <c r="T9688" s="135"/>
      <c r="U9688" s="135"/>
    </row>
    <row r="9689" spans="20:21" ht="15" customHeight="1" x14ac:dyDescent="0.25">
      <c r="T9689" s="135"/>
      <c r="U9689" s="135"/>
    </row>
    <row r="9690" spans="20:21" ht="15" customHeight="1" x14ac:dyDescent="0.25">
      <c r="T9690" s="135"/>
      <c r="U9690" s="135"/>
    </row>
    <row r="9691" spans="20:21" ht="15" customHeight="1" x14ac:dyDescent="0.25">
      <c r="T9691" s="135"/>
      <c r="U9691" s="135"/>
    </row>
    <row r="9692" spans="20:21" ht="15" customHeight="1" x14ac:dyDescent="0.25">
      <c r="T9692" s="135"/>
      <c r="U9692" s="135"/>
    </row>
    <row r="9693" spans="20:21" ht="15" customHeight="1" x14ac:dyDescent="0.25">
      <c r="T9693" s="135"/>
      <c r="U9693" s="135"/>
    </row>
    <row r="9694" spans="20:21" ht="15" customHeight="1" x14ac:dyDescent="0.25">
      <c r="T9694" s="135"/>
      <c r="U9694" s="135"/>
    </row>
    <row r="9695" spans="20:21" ht="15" customHeight="1" x14ac:dyDescent="0.25">
      <c r="T9695" s="135"/>
      <c r="U9695" s="135"/>
    </row>
    <row r="9696" spans="20:21" ht="15" customHeight="1" x14ac:dyDescent="0.25">
      <c r="T9696" s="135"/>
      <c r="U9696" s="135"/>
    </row>
    <row r="9697" spans="20:21" ht="15" customHeight="1" x14ac:dyDescent="0.25">
      <c r="T9697" s="135"/>
      <c r="U9697" s="135"/>
    </row>
    <row r="9698" spans="20:21" ht="15" customHeight="1" x14ac:dyDescent="0.25">
      <c r="T9698" s="135"/>
      <c r="U9698" s="135"/>
    </row>
    <row r="9699" spans="20:21" ht="15" customHeight="1" x14ac:dyDescent="0.25">
      <c r="T9699" s="135"/>
      <c r="U9699" s="135"/>
    </row>
    <row r="9700" spans="20:21" ht="15" customHeight="1" x14ac:dyDescent="0.25">
      <c r="T9700" s="135"/>
      <c r="U9700" s="135"/>
    </row>
    <row r="9701" spans="20:21" ht="15" customHeight="1" x14ac:dyDescent="0.25">
      <c r="T9701" s="135"/>
      <c r="U9701" s="135"/>
    </row>
    <row r="9702" spans="20:21" ht="15" customHeight="1" x14ac:dyDescent="0.25">
      <c r="T9702" s="135"/>
      <c r="U9702" s="135"/>
    </row>
    <row r="9703" spans="20:21" ht="15" customHeight="1" x14ac:dyDescent="0.25">
      <c r="T9703" s="135"/>
      <c r="U9703" s="135"/>
    </row>
    <row r="9704" spans="20:21" ht="15" customHeight="1" x14ac:dyDescent="0.25">
      <c r="T9704" s="135"/>
      <c r="U9704" s="135"/>
    </row>
    <row r="9705" spans="20:21" ht="15" customHeight="1" x14ac:dyDescent="0.25">
      <c r="T9705" s="135"/>
      <c r="U9705" s="135"/>
    </row>
    <row r="9706" spans="20:21" ht="15" customHeight="1" x14ac:dyDescent="0.25">
      <c r="T9706" s="135"/>
      <c r="U9706" s="135"/>
    </row>
    <row r="9707" spans="20:21" ht="15" customHeight="1" x14ac:dyDescent="0.25">
      <c r="T9707" s="135"/>
      <c r="U9707" s="135"/>
    </row>
    <row r="9708" spans="20:21" ht="15" customHeight="1" x14ac:dyDescent="0.25">
      <c r="T9708" s="135"/>
      <c r="U9708" s="135"/>
    </row>
    <row r="9709" spans="20:21" ht="15" customHeight="1" x14ac:dyDescent="0.25">
      <c r="T9709" s="135"/>
      <c r="U9709" s="135"/>
    </row>
    <row r="9710" spans="20:21" ht="15" customHeight="1" x14ac:dyDescent="0.25">
      <c r="T9710" s="135"/>
      <c r="U9710" s="135"/>
    </row>
    <row r="9711" spans="20:21" ht="15" customHeight="1" x14ac:dyDescent="0.25">
      <c r="T9711" s="135"/>
      <c r="U9711" s="135"/>
    </row>
    <row r="9712" spans="20:21" ht="15" customHeight="1" x14ac:dyDescent="0.25">
      <c r="T9712" s="135"/>
      <c r="U9712" s="135"/>
    </row>
    <row r="9713" spans="20:21" ht="15" customHeight="1" x14ac:dyDescent="0.25">
      <c r="T9713" s="135"/>
      <c r="U9713" s="135"/>
    </row>
    <row r="9714" spans="20:21" ht="15" customHeight="1" x14ac:dyDescent="0.25">
      <c r="T9714" s="135"/>
      <c r="U9714" s="135"/>
    </row>
    <row r="9715" spans="20:21" ht="15" customHeight="1" x14ac:dyDescent="0.25">
      <c r="T9715" s="135"/>
      <c r="U9715" s="135"/>
    </row>
    <row r="9716" spans="20:21" ht="15" customHeight="1" x14ac:dyDescent="0.25">
      <c r="T9716" s="135"/>
      <c r="U9716" s="135"/>
    </row>
    <row r="9717" spans="20:21" ht="15" customHeight="1" x14ac:dyDescent="0.25">
      <c r="T9717" s="135"/>
      <c r="U9717" s="135"/>
    </row>
    <row r="9718" spans="20:21" ht="15" customHeight="1" x14ac:dyDescent="0.25">
      <c r="T9718" s="135"/>
      <c r="U9718" s="135"/>
    </row>
    <row r="9719" spans="20:21" ht="15" customHeight="1" x14ac:dyDescent="0.25">
      <c r="T9719" s="135"/>
      <c r="U9719" s="135"/>
    </row>
    <row r="9720" spans="20:21" ht="15" customHeight="1" x14ac:dyDescent="0.25">
      <c r="T9720" s="135"/>
      <c r="U9720" s="135"/>
    </row>
    <row r="9721" spans="20:21" ht="15" customHeight="1" x14ac:dyDescent="0.25">
      <c r="T9721" s="135"/>
      <c r="U9721" s="135"/>
    </row>
    <row r="9722" spans="20:21" ht="15" customHeight="1" x14ac:dyDescent="0.25">
      <c r="T9722" s="135"/>
      <c r="U9722" s="135"/>
    </row>
    <row r="9723" spans="20:21" ht="15" customHeight="1" x14ac:dyDescent="0.25">
      <c r="T9723" s="135"/>
      <c r="U9723" s="135"/>
    </row>
    <row r="9724" spans="20:21" ht="15" customHeight="1" x14ac:dyDescent="0.25">
      <c r="T9724" s="135"/>
      <c r="U9724" s="135"/>
    </row>
    <row r="9725" spans="20:21" ht="15" customHeight="1" x14ac:dyDescent="0.25">
      <c r="T9725" s="135"/>
      <c r="U9725" s="135"/>
    </row>
    <row r="9726" spans="20:21" ht="15" customHeight="1" x14ac:dyDescent="0.25">
      <c r="T9726" s="135"/>
      <c r="U9726" s="135"/>
    </row>
    <row r="9727" spans="20:21" ht="15" customHeight="1" x14ac:dyDescent="0.25">
      <c r="T9727" s="135"/>
      <c r="U9727" s="135"/>
    </row>
    <row r="9728" spans="20:21" ht="15" customHeight="1" x14ac:dyDescent="0.25">
      <c r="T9728" s="135"/>
      <c r="U9728" s="135"/>
    </row>
    <row r="9729" spans="20:21" ht="15" customHeight="1" x14ac:dyDescent="0.25">
      <c r="T9729" s="135"/>
      <c r="U9729" s="135"/>
    </row>
    <row r="9730" spans="20:21" ht="15" customHeight="1" x14ac:dyDescent="0.25">
      <c r="T9730" s="135"/>
      <c r="U9730" s="135"/>
    </row>
    <row r="9731" spans="20:21" ht="15" customHeight="1" x14ac:dyDescent="0.25">
      <c r="T9731" s="135"/>
      <c r="U9731" s="135"/>
    </row>
    <row r="9732" spans="20:21" ht="15" customHeight="1" x14ac:dyDescent="0.25">
      <c r="T9732" s="135"/>
      <c r="U9732" s="135"/>
    </row>
    <row r="9733" spans="20:21" ht="15" customHeight="1" x14ac:dyDescent="0.25">
      <c r="T9733" s="135"/>
      <c r="U9733" s="135"/>
    </row>
    <row r="9734" spans="20:21" ht="15" customHeight="1" x14ac:dyDescent="0.25">
      <c r="T9734" s="135"/>
      <c r="U9734" s="135"/>
    </row>
    <row r="9735" spans="20:21" ht="15" customHeight="1" x14ac:dyDescent="0.25">
      <c r="T9735" s="135"/>
      <c r="U9735" s="135"/>
    </row>
    <row r="9736" spans="20:21" ht="15" customHeight="1" x14ac:dyDescent="0.25">
      <c r="T9736" s="135"/>
      <c r="U9736" s="135"/>
    </row>
    <row r="9737" spans="20:21" ht="15" customHeight="1" x14ac:dyDescent="0.25">
      <c r="T9737" s="135"/>
      <c r="U9737" s="135"/>
    </row>
    <row r="9738" spans="20:21" ht="15" customHeight="1" x14ac:dyDescent="0.25">
      <c r="T9738" s="135"/>
      <c r="U9738" s="135"/>
    </row>
    <row r="9739" spans="20:21" ht="15" customHeight="1" x14ac:dyDescent="0.25">
      <c r="T9739" s="135"/>
      <c r="U9739" s="135"/>
    </row>
    <row r="9740" spans="20:21" ht="15" customHeight="1" x14ac:dyDescent="0.25">
      <c r="T9740" s="135"/>
      <c r="U9740" s="135"/>
    </row>
    <row r="9741" spans="20:21" ht="15" customHeight="1" x14ac:dyDescent="0.25">
      <c r="T9741" s="135"/>
      <c r="U9741" s="135"/>
    </row>
    <row r="9742" spans="20:21" ht="15" customHeight="1" x14ac:dyDescent="0.25">
      <c r="T9742" s="135"/>
      <c r="U9742" s="135"/>
    </row>
    <row r="9743" spans="20:21" ht="15" customHeight="1" x14ac:dyDescent="0.25">
      <c r="T9743" s="135"/>
      <c r="U9743" s="135"/>
    </row>
    <row r="9744" spans="20:21" ht="15" customHeight="1" x14ac:dyDescent="0.25">
      <c r="T9744" s="135"/>
      <c r="U9744" s="135"/>
    </row>
    <row r="9745" spans="20:21" ht="15" customHeight="1" x14ac:dyDescent="0.25">
      <c r="T9745" s="135"/>
      <c r="U9745" s="135"/>
    </row>
    <row r="9746" spans="20:21" ht="15" customHeight="1" x14ac:dyDescent="0.25">
      <c r="T9746" s="135"/>
      <c r="U9746" s="135"/>
    </row>
    <row r="9747" spans="20:21" ht="15" customHeight="1" x14ac:dyDescent="0.25">
      <c r="T9747" s="135"/>
      <c r="U9747" s="135"/>
    </row>
    <row r="9748" spans="20:21" ht="15" customHeight="1" x14ac:dyDescent="0.25">
      <c r="T9748" s="135"/>
      <c r="U9748" s="135"/>
    </row>
    <row r="9749" spans="20:21" ht="15" customHeight="1" x14ac:dyDescent="0.25">
      <c r="T9749" s="135"/>
      <c r="U9749" s="135"/>
    </row>
    <row r="9750" spans="20:21" ht="15" customHeight="1" x14ac:dyDescent="0.25">
      <c r="T9750" s="135"/>
      <c r="U9750" s="135"/>
    </row>
    <row r="9751" spans="20:21" ht="15" customHeight="1" x14ac:dyDescent="0.25">
      <c r="T9751" s="135"/>
      <c r="U9751" s="135"/>
    </row>
    <row r="9752" spans="20:21" ht="15" customHeight="1" x14ac:dyDescent="0.25">
      <c r="T9752" s="135"/>
      <c r="U9752" s="135"/>
    </row>
    <row r="9753" spans="20:21" ht="15" customHeight="1" x14ac:dyDescent="0.25">
      <c r="T9753" s="135"/>
      <c r="U9753" s="135"/>
    </row>
    <row r="9754" spans="20:21" ht="15" customHeight="1" x14ac:dyDescent="0.25">
      <c r="T9754" s="135"/>
      <c r="U9754" s="135"/>
    </row>
    <row r="9755" spans="20:21" ht="15" customHeight="1" x14ac:dyDescent="0.25">
      <c r="T9755" s="135"/>
      <c r="U9755" s="135"/>
    </row>
    <row r="9756" spans="20:21" ht="15" customHeight="1" x14ac:dyDescent="0.25">
      <c r="T9756" s="135"/>
      <c r="U9756" s="135"/>
    </row>
    <row r="9757" spans="20:21" ht="15" customHeight="1" x14ac:dyDescent="0.25">
      <c r="T9757" s="135"/>
      <c r="U9757" s="135"/>
    </row>
    <row r="9758" spans="20:21" ht="15" customHeight="1" x14ac:dyDescent="0.25">
      <c r="T9758" s="135"/>
      <c r="U9758" s="135"/>
    </row>
    <row r="9759" spans="20:21" ht="15" customHeight="1" x14ac:dyDescent="0.25">
      <c r="T9759" s="135"/>
      <c r="U9759" s="135"/>
    </row>
    <row r="9760" spans="20:21" ht="15" customHeight="1" x14ac:dyDescent="0.25">
      <c r="T9760" s="135"/>
      <c r="U9760" s="135"/>
    </row>
    <row r="9761" spans="20:21" ht="15" customHeight="1" x14ac:dyDescent="0.25">
      <c r="T9761" s="135"/>
      <c r="U9761" s="135"/>
    </row>
    <row r="9762" spans="20:21" ht="15" customHeight="1" x14ac:dyDescent="0.25">
      <c r="T9762" s="135"/>
      <c r="U9762" s="135"/>
    </row>
    <row r="9763" spans="20:21" ht="15" customHeight="1" x14ac:dyDescent="0.25">
      <c r="T9763" s="135"/>
      <c r="U9763" s="135"/>
    </row>
    <row r="9764" spans="20:21" ht="15" customHeight="1" x14ac:dyDescent="0.25">
      <c r="T9764" s="135"/>
      <c r="U9764" s="135"/>
    </row>
    <row r="9765" spans="20:21" ht="15" customHeight="1" x14ac:dyDescent="0.25">
      <c r="T9765" s="135"/>
      <c r="U9765" s="135"/>
    </row>
    <row r="9766" spans="20:21" ht="15" customHeight="1" x14ac:dyDescent="0.25">
      <c r="T9766" s="135"/>
      <c r="U9766" s="135"/>
    </row>
    <row r="9767" spans="20:21" ht="15" customHeight="1" x14ac:dyDescent="0.25">
      <c r="T9767" s="135"/>
      <c r="U9767" s="135"/>
    </row>
    <row r="9768" spans="20:21" ht="15" customHeight="1" x14ac:dyDescent="0.25">
      <c r="T9768" s="135"/>
      <c r="U9768" s="135"/>
    </row>
    <row r="9769" spans="20:21" ht="15" customHeight="1" x14ac:dyDescent="0.25">
      <c r="T9769" s="135"/>
      <c r="U9769" s="135"/>
    </row>
    <row r="9770" spans="20:21" ht="15" customHeight="1" x14ac:dyDescent="0.25">
      <c r="T9770" s="135"/>
      <c r="U9770" s="135"/>
    </row>
    <row r="9771" spans="20:21" ht="15" customHeight="1" x14ac:dyDescent="0.25">
      <c r="T9771" s="135"/>
      <c r="U9771" s="135"/>
    </row>
    <row r="9772" spans="20:21" ht="15" customHeight="1" x14ac:dyDescent="0.25">
      <c r="T9772" s="135"/>
      <c r="U9772" s="135"/>
    </row>
    <row r="9773" spans="20:21" ht="15" customHeight="1" x14ac:dyDescent="0.25">
      <c r="T9773" s="135"/>
      <c r="U9773" s="135"/>
    </row>
    <row r="9774" spans="20:21" ht="15" customHeight="1" x14ac:dyDescent="0.25">
      <c r="T9774" s="135"/>
      <c r="U9774" s="135"/>
    </row>
    <row r="9775" spans="20:21" ht="15" customHeight="1" x14ac:dyDescent="0.25">
      <c r="T9775" s="135"/>
      <c r="U9775" s="135"/>
    </row>
    <row r="9776" spans="20:21" ht="15" customHeight="1" x14ac:dyDescent="0.25">
      <c r="T9776" s="135"/>
      <c r="U9776" s="135"/>
    </row>
    <row r="9777" spans="20:21" ht="15" customHeight="1" x14ac:dyDescent="0.25">
      <c r="T9777" s="135"/>
      <c r="U9777" s="135"/>
    </row>
    <row r="9778" spans="20:21" ht="15" customHeight="1" x14ac:dyDescent="0.25">
      <c r="T9778" s="135"/>
      <c r="U9778" s="135"/>
    </row>
    <row r="9779" spans="20:21" ht="15" customHeight="1" x14ac:dyDescent="0.25">
      <c r="T9779" s="135"/>
      <c r="U9779" s="135"/>
    </row>
    <row r="9780" spans="20:21" ht="15" customHeight="1" x14ac:dyDescent="0.25">
      <c r="T9780" s="135"/>
      <c r="U9780" s="135"/>
    </row>
    <row r="9781" spans="20:21" ht="15" customHeight="1" x14ac:dyDescent="0.25">
      <c r="T9781" s="135"/>
      <c r="U9781" s="135"/>
    </row>
    <row r="9782" spans="20:21" ht="15" customHeight="1" x14ac:dyDescent="0.25">
      <c r="T9782" s="135"/>
      <c r="U9782" s="135"/>
    </row>
    <row r="9783" spans="20:21" ht="15" customHeight="1" x14ac:dyDescent="0.25">
      <c r="T9783" s="135"/>
      <c r="U9783" s="135"/>
    </row>
    <row r="9784" spans="20:21" ht="15" customHeight="1" x14ac:dyDescent="0.25">
      <c r="T9784" s="135"/>
      <c r="U9784" s="135"/>
    </row>
    <row r="9785" spans="20:21" ht="15" customHeight="1" x14ac:dyDescent="0.25">
      <c r="T9785" s="135"/>
      <c r="U9785" s="135"/>
    </row>
    <row r="9786" spans="20:21" ht="15" customHeight="1" x14ac:dyDescent="0.25">
      <c r="T9786" s="135"/>
      <c r="U9786" s="135"/>
    </row>
    <row r="9787" spans="20:21" ht="15" customHeight="1" x14ac:dyDescent="0.25">
      <c r="T9787" s="135"/>
      <c r="U9787" s="135"/>
    </row>
    <row r="9788" spans="20:21" ht="15" customHeight="1" x14ac:dyDescent="0.25">
      <c r="T9788" s="135"/>
      <c r="U9788" s="135"/>
    </row>
    <row r="9789" spans="20:21" ht="15" customHeight="1" x14ac:dyDescent="0.25">
      <c r="T9789" s="135"/>
      <c r="U9789" s="135"/>
    </row>
    <row r="9790" spans="20:21" ht="15" customHeight="1" x14ac:dyDescent="0.25">
      <c r="T9790" s="135"/>
      <c r="U9790" s="135"/>
    </row>
    <row r="9791" spans="20:21" ht="15" customHeight="1" x14ac:dyDescent="0.25">
      <c r="T9791" s="135"/>
      <c r="U9791" s="135"/>
    </row>
    <row r="9792" spans="20:21" ht="15" customHeight="1" x14ac:dyDescent="0.25">
      <c r="T9792" s="135"/>
      <c r="U9792" s="135"/>
    </row>
    <row r="9793" spans="20:21" ht="15" customHeight="1" x14ac:dyDescent="0.25">
      <c r="T9793" s="135"/>
      <c r="U9793" s="135"/>
    </row>
    <row r="9794" spans="20:21" ht="15" customHeight="1" x14ac:dyDescent="0.25">
      <c r="T9794" s="135"/>
      <c r="U9794" s="135"/>
    </row>
    <row r="9795" spans="20:21" ht="15" customHeight="1" x14ac:dyDescent="0.25">
      <c r="T9795" s="135"/>
      <c r="U9795" s="135"/>
    </row>
    <row r="9796" spans="20:21" ht="15" customHeight="1" x14ac:dyDescent="0.25">
      <c r="T9796" s="135"/>
      <c r="U9796" s="135"/>
    </row>
    <row r="9797" spans="20:21" ht="15" customHeight="1" x14ac:dyDescent="0.25">
      <c r="T9797" s="135"/>
      <c r="U9797" s="135"/>
    </row>
    <row r="9798" spans="20:21" ht="15" customHeight="1" x14ac:dyDescent="0.25">
      <c r="T9798" s="135"/>
      <c r="U9798" s="135"/>
    </row>
    <row r="9799" spans="20:21" ht="15" customHeight="1" x14ac:dyDescent="0.25">
      <c r="T9799" s="135"/>
      <c r="U9799" s="135"/>
    </row>
    <row r="9800" spans="20:21" ht="15" customHeight="1" x14ac:dyDescent="0.25">
      <c r="T9800" s="135"/>
      <c r="U9800" s="135"/>
    </row>
    <row r="9801" spans="20:21" ht="15" customHeight="1" x14ac:dyDescent="0.25">
      <c r="T9801" s="135"/>
      <c r="U9801" s="135"/>
    </row>
    <row r="9802" spans="20:21" ht="15" customHeight="1" x14ac:dyDescent="0.25">
      <c r="T9802" s="135"/>
      <c r="U9802" s="135"/>
    </row>
    <row r="9803" spans="20:21" ht="15" customHeight="1" x14ac:dyDescent="0.25">
      <c r="T9803" s="135"/>
      <c r="U9803" s="135"/>
    </row>
    <row r="9804" spans="20:21" ht="15" customHeight="1" x14ac:dyDescent="0.25">
      <c r="T9804" s="135"/>
      <c r="U9804" s="135"/>
    </row>
    <row r="9805" spans="20:21" ht="15" customHeight="1" x14ac:dyDescent="0.25">
      <c r="T9805" s="135"/>
      <c r="U9805" s="135"/>
    </row>
    <row r="9806" spans="20:21" ht="15" customHeight="1" x14ac:dyDescent="0.25">
      <c r="T9806" s="135"/>
      <c r="U9806" s="135"/>
    </row>
    <row r="9807" spans="20:21" ht="15" customHeight="1" x14ac:dyDescent="0.25">
      <c r="T9807" s="135"/>
      <c r="U9807" s="135"/>
    </row>
    <row r="9808" spans="20:21" ht="15" customHeight="1" x14ac:dyDescent="0.25">
      <c r="T9808" s="135"/>
      <c r="U9808" s="135"/>
    </row>
    <row r="9809" spans="20:21" ht="15" customHeight="1" x14ac:dyDescent="0.25">
      <c r="T9809" s="135"/>
      <c r="U9809" s="135"/>
    </row>
    <row r="9810" spans="20:21" ht="15" customHeight="1" x14ac:dyDescent="0.25">
      <c r="T9810" s="135"/>
      <c r="U9810" s="135"/>
    </row>
    <row r="9811" spans="20:21" ht="15" customHeight="1" x14ac:dyDescent="0.25">
      <c r="T9811" s="135"/>
      <c r="U9811" s="135"/>
    </row>
    <row r="9812" spans="20:21" ht="15" customHeight="1" x14ac:dyDescent="0.25">
      <c r="T9812" s="135"/>
      <c r="U9812" s="135"/>
    </row>
    <row r="9813" spans="20:21" ht="15" customHeight="1" x14ac:dyDescent="0.25">
      <c r="T9813" s="135"/>
      <c r="U9813" s="135"/>
    </row>
    <row r="9814" spans="20:21" ht="15" customHeight="1" x14ac:dyDescent="0.25">
      <c r="T9814" s="135"/>
      <c r="U9814" s="135"/>
    </row>
    <row r="9815" spans="20:21" ht="15" customHeight="1" x14ac:dyDescent="0.25">
      <c r="T9815" s="135"/>
      <c r="U9815" s="135"/>
    </row>
    <row r="9816" spans="20:21" ht="15" customHeight="1" x14ac:dyDescent="0.25">
      <c r="T9816" s="135"/>
      <c r="U9816" s="135"/>
    </row>
    <row r="9817" spans="20:21" ht="15" customHeight="1" x14ac:dyDescent="0.25">
      <c r="T9817" s="135"/>
      <c r="U9817" s="135"/>
    </row>
    <row r="9818" spans="20:21" ht="15" customHeight="1" x14ac:dyDescent="0.25">
      <c r="T9818" s="135"/>
      <c r="U9818" s="135"/>
    </row>
    <row r="9819" spans="20:21" ht="15" customHeight="1" x14ac:dyDescent="0.25">
      <c r="T9819" s="135"/>
      <c r="U9819" s="135"/>
    </row>
    <row r="9820" spans="20:21" ht="15" customHeight="1" x14ac:dyDescent="0.25">
      <c r="T9820" s="135"/>
      <c r="U9820" s="135"/>
    </row>
    <row r="9821" spans="20:21" ht="15" customHeight="1" x14ac:dyDescent="0.25">
      <c r="T9821" s="135"/>
      <c r="U9821" s="135"/>
    </row>
    <row r="9822" spans="20:21" ht="15" customHeight="1" x14ac:dyDescent="0.25">
      <c r="T9822" s="135"/>
      <c r="U9822" s="135"/>
    </row>
    <row r="9823" spans="20:21" ht="15" customHeight="1" x14ac:dyDescent="0.25">
      <c r="T9823" s="135"/>
      <c r="U9823" s="135"/>
    </row>
    <row r="9824" spans="20:21" ht="15" customHeight="1" x14ac:dyDescent="0.25">
      <c r="T9824" s="135"/>
      <c r="U9824" s="135"/>
    </row>
    <row r="9825" spans="20:21" ht="15" customHeight="1" x14ac:dyDescent="0.25">
      <c r="T9825" s="135"/>
      <c r="U9825" s="135"/>
    </row>
    <row r="9826" spans="20:21" ht="15" customHeight="1" x14ac:dyDescent="0.25">
      <c r="T9826" s="135"/>
      <c r="U9826" s="135"/>
    </row>
    <row r="9827" spans="20:21" ht="15" customHeight="1" x14ac:dyDescent="0.25">
      <c r="T9827" s="135"/>
      <c r="U9827" s="135"/>
    </row>
    <row r="9828" spans="20:21" ht="15" customHeight="1" x14ac:dyDescent="0.25">
      <c r="T9828" s="135"/>
      <c r="U9828" s="135"/>
    </row>
    <row r="9829" spans="20:21" ht="15" customHeight="1" x14ac:dyDescent="0.25">
      <c r="T9829" s="135"/>
      <c r="U9829" s="135"/>
    </row>
    <row r="9830" spans="20:21" ht="15" customHeight="1" x14ac:dyDescent="0.25">
      <c r="T9830" s="135"/>
      <c r="U9830" s="135"/>
    </row>
    <row r="9831" spans="20:21" ht="15" customHeight="1" x14ac:dyDescent="0.25">
      <c r="T9831" s="135"/>
      <c r="U9831" s="135"/>
    </row>
    <row r="9832" spans="20:21" ht="15" customHeight="1" x14ac:dyDescent="0.25">
      <c r="T9832" s="135"/>
      <c r="U9832" s="135"/>
    </row>
    <row r="9833" spans="20:21" ht="15" customHeight="1" x14ac:dyDescent="0.25">
      <c r="T9833" s="135"/>
      <c r="U9833" s="135"/>
    </row>
    <row r="9834" spans="20:21" ht="15" customHeight="1" x14ac:dyDescent="0.25">
      <c r="T9834" s="135"/>
      <c r="U9834" s="135"/>
    </row>
    <row r="9835" spans="20:21" ht="15" customHeight="1" x14ac:dyDescent="0.25">
      <c r="T9835" s="135"/>
      <c r="U9835" s="135"/>
    </row>
    <row r="9836" spans="20:21" ht="15" customHeight="1" x14ac:dyDescent="0.25">
      <c r="T9836" s="135"/>
      <c r="U9836" s="135"/>
    </row>
    <row r="9837" spans="20:21" ht="15" customHeight="1" x14ac:dyDescent="0.25">
      <c r="T9837" s="135"/>
      <c r="U9837" s="135"/>
    </row>
    <row r="9838" spans="20:21" ht="15" customHeight="1" x14ac:dyDescent="0.25">
      <c r="T9838" s="135"/>
      <c r="U9838" s="135"/>
    </row>
    <row r="9839" spans="20:21" ht="15" customHeight="1" x14ac:dyDescent="0.25">
      <c r="T9839" s="135"/>
      <c r="U9839" s="135"/>
    </row>
    <row r="9840" spans="20:21" ht="15" customHeight="1" x14ac:dyDescent="0.25">
      <c r="T9840" s="135"/>
      <c r="U9840" s="135"/>
    </row>
    <row r="9841" spans="20:21" ht="15" customHeight="1" x14ac:dyDescent="0.25">
      <c r="T9841" s="135"/>
      <c r="U9841" s="135"/>
    </row>
    <row r="9842" spans="20:21" ht="15" customHeight="1" x14ac:dyDescent="0.25">
      <c r="T9842" s="135"/>
      <c r="U9842" s="135"/>
    </row>
    <row r="9843" spans="20:21" ht="15" customHeight="1" x14ac:dyDescent="0.25">
      <c r="T9843" s="135"/>
      <c r="U9843" s="135"/>
    </row>
    <row r="9844" spans="20:21" ht="15" customHeight="1" x14ac:dyDescent="0.25">
      <c r="T9844" s="135"/>
      <c r="U9844" s="135"/>
    </row>
    <row r="9845" spans="20:21" ht="15" customHeight="1" x14ac:dyDescent="0.25">
      <c r="T9845" s="135"/>
      <c r="U9845" s="135"/>
    </row>
    <row r="9846" spans="20:21" ht="15" customHeight="1" x14ac:dyDescent="0.25">
      <c r="T9846" s="135"/>
      <c r="U9846" s="135"/>
    </row>
    <row r="9847" spans="20:21" ht="15" customHeight="1" x14ac:dyDescent="0.25">
      <c r="T9847" s="135"/>
      <c r="U9847" s="135"/>
    </row>
    <row r="9848" spans="20:21" ht="15" customHeight="1" x14ac:dyDescent="0.25">
      <c r="T9848" s="135"/>
      <c r="U9848" s="135"/>
    </row>
    <row r="9849" spans="20:21" ht="15" customHeight="1" x14ac:dyDescent="0.25">
      <c r="T9849" s="135"/>
      <c r="U9849" s="135"/>
    </row>
    <row r="9850" spans="20:21" ht="15" customHeight="1" x14ac:dyDescent="0.25">
      <c r="T9850" s="135"/>
      <c r="U9850" s="135"/>
    </row>
    <row r="9851" spans="20:21" ht="15" customHeight="1" x14ac:dyDescent="0.25">
      <c r="T9851" s="135"/>
      <c r="U9851" s="135"/>
    </row>
    <row r="9852" spans="20:21" ht="15" customHeight="1" x14ac:dyDescent="0.25">
      <c r="T9852" s="135"/>
      <c r="U9852" s="135"/>
    </row>
    <row r="9853" spans="20:21" ht="15" customHeight="1" x14ac:dyDescent="0.25">
      <c r="T9853" s="135"/>
      <c r="U9853" s="135"/>
    </row>
    <row r="9854" spans="20:21" ht="15" customHeight="1" x14ac:dyDescent="0.25">
      <c r="T9854" s="135"/>
      <c r="U9854" s="135"/>
    </row>
    <row r="9855" spans="20:21" ht="15" customHeight="1" x14ac:dyDescent="0.25">
      <c r="T9855" s="135"/>
      <c r="U9855" s="135"/>
    </row>
    <row r="9856" spans="20:21" ht="15" customHeight="1" x14ac:dyDescent="0.25">
      <c r="T9856" s="135"/>
      <c r="U9856" s="135"/>
    </row>
    <row r="9857" spans="20:21" ht="15" customHeight="1" x14ac:dyDescent="0.25">
      <c r="T9857" s="135"/>
      <c r="U9857" s="135"/>
    </row>
    <row r="9858" spans="20:21" ht="15" customHeight="1" x14ac:dyDescent="0.25">
      <c r="T9858" s="135"/>
      <c r="U9858" s="135"/>
    </row>
    <row r="9859" spans="20:21" ht="15" customHeight="1" x14ac:dyDescent="0.25">
      <c r="T9859" s="135"/>
      <c r="U9859" s="135"/>
    </row>
    <row r="9860" spans="20:21" ht="15" customHeight="1" x14ac:dyDescent="0.25">
      <c r="T9860" s="135"/>
      <c r="U9860" s="135"/>
    </row>
    <row r="9861" spans="20:21" ht="15" customHeight="1" x14ac:dyDescent="0.25">
      <c r="T9861" s="135"/>
      <c r="U9861" s="135"/>
    </row>
    <row r="9862" spans="20:21" ht="15" customHeight="1" x14ac:dyDescent="0.25">
      <c r="T9862" s="135"/>
      <c r="U9862" s="135"/>
    </row>
    <row r="9863" spans="20:21" ht="15" customHeight="1" x14ac:dyDescent="0.25">
      <c r="T9863" s="135"/>
      <c r="U9863" s="135"/>
    </row>
    <row r="9864" spans="20:21" ht="15" customHeight="1" x14ac:dyDescent="0.25">
      <c r="T9864" s="135"/>
      <c r="U9864" s="135"/>
    </row>
    <row r="9865" spans="20:21" ht="15" customHeight="1" x14ac:dyDescent="0.25">
      <c r="T9865" s="135"/>
      <c r="U9865" s="135"/>
    </row>
    <row r="9866" spans="20:21" ht="15" customHeight="1" x14ac:dyDescent="0.25">
      <c r="T9866" s="135"/>
      <c r="U9866" s="135"/>
    </row>
    <row r="9867" spans="20:21" ht="15" customHeight="1" x14ac:dyDescent="0.25">
      <c r="T9867" s="135"/>
      <c r="U9867" s="135"/>
    </row>
    <row r="9868" spans="20:21" ht="15" customHeight="1" x14ac:dyDescent="0.25">
      <c r="T9868" s="135"/>
      <c r="U9868" s="135"/>
    </row>
    <row r="9869" spans="20:21" ht="15" customHeight="1" x14ac:dyDescent="0.25">
      <c r="T9869" s="135"/>
      <c r="U9869" s="135"/>
    </row>
    <row r="9870" spans="20:21" ht="15" customHeight="1" x14ac:dyDescent="0.25">
      <c r="T9870" s="135"/>
      <c r="U9870" s="135"/>
    </row>
    <row r="9871" spans="20:21" ht="15" customHeight="1" x14ac:dyDescent="0.25">
      <c r="T9871" s="135"/>
      <c r="U9871" s="135"/>
    </row>
    <row r="9872" spans="20:21" ht="15" customHeight="1" x14ac:dyDescent="0.25">
      <c r="T9872" s="135"/>
      <c r="U9872" s="135"/>
    </row>
    <row r="9873" spans="20:21" ht="15" customHeight="1" x14ac:dyDescent="0.25">
      <c r="T9873" s="135"/>
      <c r="U9873" s="135"/>
    </row>
    <row r="9874" spans="20:21" ht="15" customHeight="1" x14ac:dyDescent="0.25">
      <c r="T9874" s="135"/>
      <c r="U9874" s="135"/>
    </row>
    <row r="9875" spans="20:21" ht="15" customHeight="1" x14ac:dyDescent="0.25">
      <c r="T9875" s="135"/>
      <c r="U9875" s="135"/>
    </row>
    <row r="9876" spans="20:21" ht="15" customHeight="1" x14ac:dyDescent="0.25">
      <c r="T9876" s="135"/>
      <c r="U9876" s="135"/>
    </row>
    <row r="9877" spans="20:21" ht="15" customHeight="1" x14ac:dyDescent="0.25">
      <c r="T9877" s="135"/>
      <c r="U9877" s="135"/>
    </row>
    <row r="9878" spans="20:21" ht="15" customHeight="1" x14ac:dyDescent="0.25">
      <c r="T9878" s="135"/>
      <c r="U9878" s="135"/>
    </row>
    <row r="9879" spans="20:21" ht="15" customHeight="1" x14ac:dyDescent="0.25">
      <c r="T9879" s="135"/>
      <c r="U9879" s="135"/>
    </row>
    <row r="9880" spans="20:21" ht="15" customHeight="1" x14ac:dyDescent="0.25">
      <c r="T9880" s="135"/>
      <c r="U9880" s="135"/>
    </row>
    <row r="9881" spans="20:21" ht="15" customHeight="1" x14ac:dyDescent="0.25">
      <c r="T9881" s="135"/>
      <c r="U9881" s="135"/>
    </row>
    <row r="9882" spans="20:21" ht="15" customHeight="1" x14ac:dyDescent="0.25">
      <c r="T9882" s="135"/>
      <c r="U9882" s="135"/>
    </row>
    <row r="9883" spans="20:21" ht="15" customHeight="1" x14ac:dyDescent="0.25">
      <c r="T9883" s="135"/>
      <c r="U9883" s="135"/>
    </row>
    <row r="9884" spans="20:21" ht="15" customHeight="1" x14ac:dyDescent="0.25">
      <c r="T9884" s="135"/>
      <c r="U9884" s="135"/>
    </row>
    <row r="9885" spans="20:21" ht="15" customHeight="1" x14ac:dyDescent="0.25">
      <c r="T9885" s="135"/>
      <c r="U9885" s="135"/>
    </row>
    <row r="9886" spans="20:21" ht="15" customHeight="1" x14ac:dyDescent="0.25">
      <c r="T9886" s="135"/>
      <c r="U9886" s="135"/>
    </row>
    <row r="9887" spans="20:21" ht="15" customHeight="1" x14ac:dyDescent="0.25">
      <c r="T9887" s="135"/>
      <c r="U9887" s="135"/>
    </row>
    <row r="9888" spans="20:21" ht="15" customHeight="1" x14ac:dyDescent="0.25">
      <c r="T9888" s="135"/>
      <c r="U9888" s="135"/>
    </row>
    <row r="9889" spans="20:21" ht="15" customHeight="1" x14ac:dyDescent="0.25">
      <c r="T9889" s="135"/>
      <c r="U9889" s="135"/>
    </row>
    <row r="9890" spans="20:21" ht="15" customHeight="1" x14ac:dyDescent="0.25">
      <c r="T9890" s="135"/>
      <c r="U9890" s="135"/>
    </row>
    <row r="9891" spans="20:21" ht="15" customHeight="1" x14ac:dyDescent="0.25">
      <c r="T9891" s="135"/>
      <c r="U9891" s="135"/>
    </row>
    <row r="9892" spans="20:21" ht="15" customHeight="1" x14ac:dyDescent="0.25">
      <c r="T9892" s="135"/>
      <c r="U9892" s="135"/>
    </row>
    <row r="9893" spans="20:21" ht="15" customHeight="1" x14ac:dyDescent="0.25">
      <c r="T9893" s="135"/>
      <c r="U9893" s="135"/>
    </row>
    <row r="9894" spans="20:21" ht="15" customHeight="1" x14ac:dyDescent="0.25">
      <c r="T9894" s="135"/>
      <c r="U9894" s="135"/>
    </row>
    <row r="9895" spans="20:21" ht="15" customHeight="1" x14ac:dyDescent="0.25">
      <c r="T9895" s="135"/>
      <c r="U9895" s="135"/>
    </row>
    <row r="9896" spans="20:21" ht="15" customHeight="1" x14ac:dyDescent="0.25">
      <c r="T9896" s="135"/>
      <c r="U9896" s="135"/>
    </row>
    <row r="9897" spans="20:21" ht="15" customHeight="1" x14ac:dyDescent="0.25">
      <c r="T9897" s="135"/>
      <c r="U9897" s="135"/>
    </row>
    <row r="9898" spans="20:21" ht="15" customHeight="1" x14ac:dyDescent="0.25">
      <c r="T9898" s="135"/>
      <c r="U9898" s="135"/>
    </row>
    <row r="9899" spans="20:21" ht="15" customHeight="1" x14ac:dyDescent="0.25">
      <c r="T9899" s="135"/>
      <c r="U9899" s="135"/>
    </row>
    <row r="9900" spans="20:21" ht="15" customHeight="1" x14ac:dyDescent="0.25">
      <c r="T9900" s="135"/>
      <c r="U9900" s="135"/>
    </row>
    <row r="9901" spans="20:21" ht="15" customHeight="1" x14ac:dyDescent="0.25">
      <c r="T9901" s="135"/>
      <c r="U9901" s="135"/>
    </row>
    <row r="9902" spans="20:21" ht="15" customHeight="1" x14ac:dyDescent="0.25">
      <c r="T9902" s="135"/>
      <c r="U9902" s="135"/>
    </row>
    <row r="9903" spans="20:21" ht="15" customHeight="1" x14ac:dyDescent="0.25">
      <c r="T9903" s="135"/>
      <c r="U9903" s="135"/>
    </row>
    <row r="9904" spans="20:21" ht="15" customHeight="1" x14ac:dyDescent="0.25">
      <c r="T9904" s="135"/>
      <c r="U9904" s="135"/>
    </row>
    <row r="9905" spans="20:21" ht="15" customHeight="1" x14ac:dyDescent="0.25">
      <c r="T9905" s="135"/>
      <c r="U9905" s="135"/>
    </row>
    <row r="9906" spans="20:21" ht="15" customHeight="1" x14ac:dyDescent="0.25">
      <c r="T9906" s="135"/>
      <c r="U9906" s="135"/>
    </row>
    <row r="9907" spans="20:21" ht="15" customHeight="1" x14ac:dyDescent="0.25">
      <c r="T9907" s="135"/>
      <c r="U9907" s="135"/>
    </row>
    <row r="9908" spans="20:21" ht="15" customHeight="1" x14ac:dyDescent="0.25">
      <c r="T9908" s="135"/>
      <c r="U9908" s="135"/>
    </row>
    <row r="9909" spans="20:21" ht="15" customHeight="1" x14ac:dyDescent="0.25">
      <c r="T9909" s="135"/>
      <c r="U9909" s="135"/>
    </row>
    <row r="9910" spans="20:21" ht="15" customHeight="1" x14ac:dyDescent="0.25">
      <c r="T9910" s="135"/>
      <c r="U9910" s="135"/>
    </row>
    <row r="9911" spans="20:21" ht="15" customHeight="1" x14ac:dyDescent="0.25">
      <c r="T9911" s="135"/>
      <c r="U9911" s="135"/>
    </row>
    <row r="9912" spans="20:21" ht="15" customHeight="1" x14ac:dyDescent="0.25">
      <c r="T9912" s="135"/>
      <c r="U9912" s="135"/>
    </row>
    <row r="9913" spans="20:21" ht="15" customHeight="1" x14ac:dyDescent="0.25">
      <c r="T9913" s="135"/>
      <c r="U9913" s="135"/>
    </row>
    <row r="9914" spans="20:21" ht="15" customHeight="1" x14ac:dyDescent="0.25">
      <c r="T9914" s="135"/>
      <c r="U9914" s="135"/>
    </row>
    <row r="9915" spans="20:21" ht="15" customHeight="1" x14ac:dyDescent="0.25">
      <c r="T9915" s="135"/>
      <c r="U9915" s="135"/>
    </row>
    <row r="9916" spans="20:21" ht="15" customHeight="1" x14ac:dyDescent="0.25">
      <c r="T9916" s="135"/>
      <c r="U9916" s="135"/>
    </row>
    <row r="9917" spans="20:21" ht="15" customHeight="1" x14ac:dyDescent="0.25">
      <c r="T9917" s="135"/>
      <c r="U9917" s="135"/>
    </row>
    <row r="9918" spans="20:21" ht="15" customHeight="1" x14ac:dyDescent="0.25">
      <c r="T9918" s="135"/>
      <c r="U9918" s="135"/>
    </row>
    <row r="9919" spans="20:21" ht="15" customHeight="1" x14ac:dyDescent="0.25">
      <c r="T9919" s="135"/>
      <c r="U9919" s="135"/>
    </row>
    <row r="9920" spans="20:21" ht="15" customHeight="1" x14ac:dyDescent="0.25">
      <c r="T9920" s="135"/>
      <c r="U9920" s="135"/>
    </row>
    <row r="9921" spans="20:21" ht="15" customHeight="1" x14ac:dyDescent="0.25">
      <c r="T9921" s="135"/>
      <c r="U9921" s="135"/>
    </row>
    <row r="9922" spans="20:21" ht="15" customHeight="1" x14ac:dyDescent="0.25">
      <c r="T9922" s="135"/>
      <c r="U9922" s="135"/>
    </row>
    <row r="9923" spans="20:21" ht="15" customHeight="1" x14ac:dyDescent="0.25">
      <c r="T9923" s="135"/>
      <c r="U9923" s="135"/>
    </row>
    <row r="9924" spans="20:21" ht="15" customHeight="1" x14ac:dyDescent="0.25">
      <c r="T9924" s="135"/>
      <c r="U9924" s="135"/>
    </row>
    <row r="9925" spans="20:21" ht="15" customHeight="1" x14ac:dyDescent="0.25">
      <c r="T9925" s="135"/>
      <c r="U9925" s="135"/>
    </row>
    <row r="9926" spans="20:21" ht="15" customHeight="1" x14ac:dyDescent="0.25">
      <c r="T9926" s="135"/>
      <c r="U9926" s="135"/>
    </row>
    <row r="9927" spans="20:21" ht="15" customHeight="1" x14ac:dyDescent="0.25">
      <c r="T9927" s="135"/>
      <c r="U9927" s="135"/>
    </row>
    <row r="9928" spans="20:21" ht="15" customHeight="1" x14ac:dyDescent="0.25">
      <c r="T9928" s="135"/>
      <c r="U9928" s="135"/>
    </row>
    <row r="9929" spans="20:21" ht="15" customHeight="1" x14ac:dyDescent="0.25">
      <c r="T9929" s="135"/>
      <c r="U9929" s="135"/>
    </row>
    <row r="9930" spans="20:21" ht="15" customHeight="1" x14ac:dyDescent="0.25">
      <c r="T9930" s="135"/>
      <c r="U9930" s="135"/>
    </row>
    <row r="9931" spans="20:21" ht="15" customHeight="1" x14ac:dyDescent="0.25">
      <c r="T9931" s="135"/>
      <c r="U9931" s="135"/>
    </row>
    <row r="9932" spans="20:21" ht="15" customHeight="1" x14ac:dyDescent="0.25">
      <c r="T9932" s="135"/>
      <c r="U9932" s="135"/>
    </row>
    <row r="9933" spans="20:21" ht="15" customHeight="1" x14ac:dyDescent="0.25">
      <c r="T9933" s="135"/>
      <c r="U9933" s="135"/>
    </row>
    <row r="9934" spans="20:21" ht="15" customHeight="1" x14ac:dyDescent="0.25">
      <c r="T9934" s="135"/>
      <c r="U9934" s="135"/>
    </row>
    <row r="9935" spans="20:21" ht="15" customHeight="1" x14ac:dyDescent="0.25">
      <c r="T9935" s="135"/>
      <c r="U9935" s="135"/>
    </row>
    <row r="9936" spans="20:21" ht="15" customHeight="1" x14ac:dyDescent="0.25">
      <c r="T9936" s="135"/>
      <c r="U9936" s="135"/>
    </row>
    <row r="9937" spans="20:21" ht="15" customHeight="1" x14ac:dyDescent="0.25">
      <c r="T9937" s="135"/>
      <c r="U9937" s="135"/>
    </row>
    <row r="9938" spans="20:21" ht="15" customHeight="1" x14ac:dyDescent="0.25">
      <c r="T9938" s="135"/>
      <c r="U9938" s="135"/>
    </row>
    <row r="9939" spans="20:21" ht="15" customHeight="1" x14ac:dyDescent="0.25">
      <c r="T9939" s="135"/>
      <c r="U9939" s="135"/>
    </row>
    <row r="9940" spans="20:21" ht="15" customHeight="1" x14ac:dyDescent="0.25">
      <c r="T9940" s="135"/>
      <c r="U9940" s="135"/>
    </row>
    <row r="9941" spans="20:21" ht="15" customHeight="1" x14ac:dyDescent="0.25">
      <c r="T9941" s="135"/>
      <c r="U9941" s="135"/>
    </row>
    <row r="9942" spans="20:21" ht="15" customHeight="1" x14ac:dyDescent="0.25">
      <c r="T9942" s="135"/>
      <c r="U9942" s="135"/>
    </row>
    <row r="9943" spans="20:21" ht="15" customHeight="1" x14ac:dyDescent="0.25">
      <c r="T9943" s="135"/>
      <c r="U9943" s="135"/>
    </row>
    <row r="9944" spans="20:21" ht="15" customHeight="1" x14ac:dyDescent="0.25">
      <c r="T9944" s="135"/>
      <c r="U9944" s="135"/>
    </row>
    <row r="9945" spans="20:21" ht="15" customHeight="1" x14ac:dyDescent="0.25">
      <c r="T9945" s="135"/>
      <c r="U9945" s="135"/>
    </row>
    <row r="9946" spans="20:21" ht="15" customHeight="1" x14ac:dyDescent="0.25">
      <c r="T9946" s="135"/>
      <c r="U9946" s="135"/>
    </row>
    <row r="9947" spans="20:21" ht="15" customHeight="1" x14ac:dyDescent="0.25">
      <c r="T9947" s="135"/>
      <c r="U9947" s="135"/>
    </row>
    <row r="9948" spans="20:21" ht="15" customHeight="1" x14ac:dyDescent="0.25">
      <c r="T9948" s="135"/>
      <c r="U9948" s="135"/>
    </row>
    <row r="9949" spans="20:21" ht="15" customHeight="1" x14ac:dyDescent="0.25">
      <c r="T9949" s="135"/>
      <c r="U9949" s="135"/>
    </row>
    <row r="9950" spans="20:21" ht="15" customHeight="1" x14ac:dyDescent="0.25">
      <c r="T9950" s="135"/>
      <c r="U9950" s="135"/>
    </row>
    <row r="9951" spans="20:21" ht="15" customHeight="1" x14ac:dyDescent="0.25">
      <c r="T9951" s="135"/>
      <c r="U9951" s="135"/>
    </row>
    <row r="9952" spans="20:21" ht="15" customHeight="1" x14ac:dyDescent="0.25">
      <c r="T9952" s="135"/>
      <c r="U9952" s="135"/>
    </row>
    <row r="9953" spans="20:21" ht="15" customHeight="1" x14ac:dyDescent="0.25">
      <c r="T9953" s="135"/>
      <c r="U9953" s="135"/>
    </row>
    <row r="9954" spans="20:21" ht="15" customHeight="1" x14ac:dyDescent="0.25">
      <c r="T9954" s="135"/>
      <c r="U9954" s="135"/>
    </row>
    <row r="9955" spans="20:21" ht="15" customHeight="1" x14ac:dyDescent="0.25">
      <c r="T9955" s="135"/>
      <c r="U9955" s="135"/>
    </row>
    <row r="9956" spans="20:21" ht="15" customHeight="1" x14ac:dyDescent="0.25">
      <c r="T9956" s="135"/>
      <c r="U9956" s="135"/>
    </row>
    <row r="9957" spans="20:21" ht="15" customHeight="1" x14ac:dyDescent="0.25">
      <c r="T9957" s="135"/>
      <c r="U9957" s="135"/>
    </row>
    <row r="9958" spans="20:21" ht="15" customHeight="1" x14ac:dyDescent="0.25">
      <c r="T9958" s="135"/>
      <c r="U9958" s="135"/>
    </row>
    <row r="9959" spans="20:21" ht="15" customHeight="1" x14ac:dyDescent="0.25">
      <c r="T9959" s="135"/>
      <c r="U9959" s="135"/>
    </row>
    <row r="9960" spans="20:21" ht="15" customHeight="1" x14ac:dyDescent="0.25">
      <c r="T9960" s="135"/>
      <c r="U9960" s="135"/>
    </row>
    <row r="9961" spans="20:21" ht="15" customHeight="1" x14ac:dyDescent="0.25">
      <c r="T9961" s="135"/>
      <c r="U9961" s="135"/>
    </row>
    <row r="9962" spans="20:21" ht="15" customHeight="1" x14ac:dyDescent="0.25">
      <c r="T9962" s="135"/>
      <c r="U9962" s="135"/>
    </row>
    <row r="9963" spans="20:21" ht="15" customHeight="1" x14ac:dyDescent="0.25">
      <c r="T9963" s="135"/>
      <c r="U9963" s="135"/>
    </row>
    <row r="9964" spans="20:21" ht="15" customHeight="1" x14ac:dyDescent="0.25">
      <c r="T9964" s="135"/>
      <c r="U9964" s="135"/>
    </row>
    <row r="9965" spans="20:21" ht="15" customHeight="1" x14ac:dyDescent="0.25">
      <c r="T9965" s="135"/>
      <c r="U9965" s="135"/>
    </row>
    <row r="9966" spans="20:21" ht="15" customHeight="1" x14ac:dyDescent="0.25">
      <c r="T9966" s="135"/>
      <c r="U9966" s="135"/>
    </row>
    <row r="9967" spans="20:21" ht="15" customHeight="1" x14ac:dyDescent="0.25">
      <c r="T9967" s="135"/>
      <c r="U9967" s="135"/>
    </row>
    <row r="9968" spans="20:21" ht="15" customHeight="1" x14ac:dyDescent="0.25">
      <c r="T9968" s="135"/>
      <c r="U9968" s="135"/>
    </row>
    <row r="9969" spans="20:21" ht="15" customHeight="1" x14ac:dyDescent="0.25">
      <c r="T9969" s="135"/>
      <c r="U9969" s="135"/>
    </row>
    <row r="9970" spans="20:21" ht="15" customHeight="1" x14ac:dyDescent="0.25">
      <c r="T9970" s="135"/>
      <c r="U9970" s="135"/>
    </row>
    <row r="9971" spans="20:21" ht="15" customHeight="1" x14ac:dyDescent="0.25">
      <c r="T9971" s="135"/>
      <c r="U9971" s="135"/>
    </row>
    <row r="9972" spans="20:21" ht="15" customHeight="1" x14ac:dyDescent="0.25">
      <c r="T9972" s="135"/>
      <c r="U9972" s="135"/>
    </row>
    <row r="9973" spans="20:21" ht="15" customHeight="1" x14ac:dyDescent="0.25">
      <c r="T9973" s="135"/>
      <c r="U9973" s="135"/>
    </row>
    <row r="9974" spans="20:21" ht="15" customHeight="1" x14ac:dyDescent="0.25">
      <c r="T9974" s="135"/>
      <c r="U9974" s="135"/>
    </row>
    <row r="9975" spans="20:21" ht="15" customHeight="1" x14ac:dyDescent="0.25">
      <c r="T9975" s="135"/>
      <c r="U9975" s="135"/>
    </row>
    <row r="9976" spans="20:21" ht="15" customHeight="1" x14ac:dyDescent="0.25">
      <c r="T9976" s="135"/>
      <c r="U9976" s="135"/>
    </row>
    <row r="9977" spans="20:21" ht="15" customHeight="1" x14ac:dyDescent="0.25">
      <c r="T9977" s="135"/>
      <c r="U9977" s="135"/>
    </row>
    <row r="9978" spans="20:21" ht="15" customHeight="1" x14ac:dyDescent="0.25">
      <c r="T9978" s="135"/>
      <c r="U9978" s="135"/>
    </row>
    <row r="9979" spans="20:21" ht="15" customHeight="1" x14ac:dyDescent="0.25">
      <c r="T9979" s="135"/>
      <c r="U9979" s="135"/>
    </row>
    <row r="9980" spans="20:21" ht="15" customHeight="1" x14ac:dyDescent="0.25">
      <c r="T9980" s="135"/>
      <c r="U9980" s="135"/>
    </row>
    <row r="9981" spans="20:21" ht="15" customHeight="1" x14ac:dyDescent="0.25">
      <c r="T9981" s="135"/>
      <c r="U9981" s="135"/>
    </row>
    <row r="9982" spans="20:21" ht="15" customHeight="1" x14ac:dyDescent="0.25">
      <c r="T9982" s="135"/>
      <c r="U9982" s="135"/>
    </row>
    <row r="9983" spans="20:21" ht="15" customHeight="1" x14ac:dyDescent="0.25">
      <c r="T9983" s="135"/>
      <c r="U9983" s="135"/>
    </row>
    <row r="9984" spans="20:21" ht="15" customHeight="1" x14ac:dyDescent="0.25">
      <c r="T9984" s="135"/>
      <c r="U9984" s="135"/>
    </row>
    <row r="9985" spans="20:21" ht="15" customHeight="1" x14ac:dyDescent="0.25">
      <c r="T9985" s="135"/>
      <c r="U9985" s="135"/>
    </row>
    <row r="9986" spans="20:21" ht="15" customHeight="1" x14ac:dyDescent="0.25">
      <c r="T9986" s="135"/>
      <c r="U9986" s="135"/>
    </row>
    <row r="9987" spans="20:21" ht="15" customHeight="1" x14ac:dyDescent="0.25">
      <c r="T9987" s="135"/>
      <c r="U9987" s="135"/>
    </row>
    <row r="9988" spans="20:21" ht="15" customHeight="1" x14ac:dyDescent="0.25">
      <c r="T9988" s="135"/>
      <c r="U9988" s="135"/>
    </row>
    <row r="9989" spans="20:21" ht="15" customHeight="1" x14ac:dyDescent="0.25">
      <c r="T9989" s="135"/>
      <c r="U9989" s="135"/>
    </row>
    <row r="9990" spans="20:21" ht="15" customHeight="1" x14ac:dyDescent="0.25">
      <c r="T9990" s="135"/>
      <c r="U9990" s="135"/>
    </row>
    <row r="9991" spans="20:21" ht="15" customHeight="1" x14ac:dyDescent="0.25">
      <c r="T9991" s="135"/>
      <c r="U9991" s="135"/>
    </row>
    <row r="9992" spans="20:21" ht="15" customHeight="1" x14ac:dyDescent="0.25">
      <c r="T9992" s="135"/>
      <c r="U9992" s="135"/>
    </row>
    <row r="9993" spans="20:21" ht="15" customHeight="1" x14ac:dyDescent="0.25">
      <c r="T9993" s="135"/>
      <c r="U9993" s="135"/>
    </row>
    <row r="9994" spans="20:21" ht="15" customHeight="1" x14ac:dyDescent="0.25">
      <c r="T9994" s="135"/>
      <c r="U9994" s="135"/>
    </row>
    <row r="9995" spans="20:21" ht="15" customHeight="1" x14ac:dyDescent="0.25">
      <c r="T9995" s="135"/>
      <c r="U9995" s="135"/>
    </row>
    <row r="9996" spans="20:21" ht="15" customHeight="1" x14ac:dyDescent="0.25">
      <c r="T9996" s="135"/>
      <c r="U9996" s="135"/>
    </row>
    <row r="9997" spans="20:21" ht="15" customHeight="1" x14ac:dyDescent="0.25">
      <c r="T9997" s="135"/>
      <c r="U9997" s="135"/>
    </row>
    <row r="9998" spans="20:21" ht="15" customHeight="1" x14ac:dyDescent="0.25">
      <c r="T9998" s="135"/>
      <c r="U9998" s="135"/>
    </row>
    <row r="9999" spans="20:21" ht="15" customHeight="1" x14ac:dyDescent="0.25">
      <c r="T9999" s="135"/>
      <c r="U9999" s="135"/>
    </row>
    <row r="10000" spans="20:21" ht="15" customHeight="1" x14ac:dyDescent="0.25">
      <c r="T10000" s="135"/>
      <c r="U10000" s="135"/>
    </row>
    <row r="10001" spans="20:21" ht="15" customHeight="1" x14ac:dyDescent="0.25">
      <c r="T10001" s="135"/>
      <c r="U10001" s="135"/>
    </row>
    <row r="10002" spans="20:21" ht="15" customHeight="1" x14ac:dyDescent="0.25">
      <c r="T10002" s="135"/>
      <c r="U10002" s="135"/>
    </row>
    <row r="10003" spans="20:21" ht="15" customHeight="1" x14ac:dyDescent="0.25">
      <c r="T10003" s="135"/>
      <c r="U10003" s="135"/>
    </row>
    <row r="10004" spans="20:21" ht="15" customHeight="1" x14ac:dyDescent="0.25">
      <c r="T10004" s="135"/>
      <c r="U10004" s="135"/>
    </row>
    <row r="10005" spans="20:21" ht="15" customHeight="1" x14ac:dyDescent="0.25">
      <c r="T10005" s="135"/>
      <c r="U10005" s="135"/>
    </row>
    <row r="10006" spans="20:21" ht="15" customHeight="1" x14ac:dyDescent="0.25">
      <c r="T10006" s="135"/>
      <c r="U10006" s="135"/>
    </row>
    <row r="10007" spans="20:21" ht="15" customHeight="1" x14ac:dyDescent="0.25">
      <c r="T10007" s="135"/>
      <c r="U10007" s="135"/>
    </row>
    <row r="10008" spans="20:21" ht="15" customHeight="1" x14ac:dyDescent="0.25">
      <c r="T10008" s="135"/>
      <c r="U10008" s="135"/>
    </row>
    <row r="10009" spans="20:21" ht="15" customHeight="1" x14ac:dyDescent="0.25">
      <c r="T10009" s="135"/>
      <c r="U10009" s="135"/>
    </row>
    <row r="10010" spans="20:21" ht="15" customHeight="1" x14ac:dyDescent="0.25">
      <c r="T10010" s="135"/>
      <c r="U10010" s="135"/>
    </row>
    <row r="10011" spans="20:21" ht="15" customHeight="1" x14ac:dyDescent="0.25">
      <c r="T10011" s="135"/>
      <c r="U10011" s="135"/>
    </row>
    <row r="10012" spans="20:21" ht="15" customHeight="1" x14ac:dyDescent="0.25">
      <c r="T10012" s="135"/>
      <c r="U10012" s="135"/>
    </row>
    <row r="10013" spans="20:21" ht="15" customHeight="1" x14ac:dyDescent="0.25">
      <c r="T10013" s="135"/>
      <c r="U10013" s="135"/>
    </row>
    <row r="10014" spans="20:21" ht="15" customHeight="1" x14ac:dyDescent="0.25">
      <c r="T10014" s="135"/>
      <c r="U10014" s="135"/>
    </row>
    <row r="10015" spans="20:21" ht="15" customHeight="1" x14ac:dyDescent="0.25">
      <c r="T10015" s="135"/>
      <c r="U10015" s="135"/>
    </row>
    <row r="10016" spans="20:21" ht="15" customHeight="1" x14ac:dyDescent="0.25">
      <c r="T10016" s="135"/>
      <c r="U10016" s="135"/>
    </row>
    <row r="10017" spans="20:21" ht="15" customHeight="1" x14ac:dyDescent="0.25">
      <c r="T10017" s="135"/>
      <c r="U10017" s="135"/>
    </row>
    <row r="10018" spans="20:21" ht="15" customHeight="1" x14ac:dyDescent="0.25">
      <c r="T10018" s="135"/>
      <c r="U10018" s="135"/>
    </row>
    <row r="10019" spans="20:21" ht="15" customHeight="1" x14ac:dyDescent="0.25">
      <c r="T10019" s="135"/>
      <c r="U10019" s="135"/>
    </row>
    <row r="10020" spans="20:21" ht="15" customHeight="1" x14ac:dyDescent="0.25">
      <c r="T10020" s="135"/>
      <c r="U10020" s="135"/>
    </row>
    <row r="10021" spans="20:21" ht="15" customHeight="1" x14ac:dyDescent="0.25">
      <c r="T10021" s="135"/>
      <c r="U10021" s="135"/>
    </row>
    <row r="10022" spans="20:21" ht="15" customHeight="1" x14ac:dyDescent="0.25">
      <c r="T10022" s="135"/>
      <c r="U10022" s="135"/>
    </row>
    <row r="10023" spans="20:21" ht="15" customHeight="1" x14ac:dyDescent="0.25">
      <c r="T10023" s="135"/>
      <c r="U10023" s="135"/>
    </row>
    <row r="10024" spans="20:21" ht="15" customHeight="1" x14ac:dyDescent="0.25">
      <c r="T10024" s="135"/>
      <c r="U10024" s="135"/>
    </row>
    <row r="10025" spans="20:21" ht="15" customHeight="1" x14ac:dyDescent="0.25">
      <c r="T10025" s="135"/>
      <c r="U10025" s="135"/>
    </row>
    <row r="10026" spans="20:21" ht="15" customHeight="1" x14ac:dyDescent="0.25">
      <c r="T10026" s="135"/>
      <c r="U10026" s="135"/>
    </row>
    <row r="10027" spans="20:21" ht="15" customHeight="1" x14ac:dyDescent="0.25">
      <c r="T10027" s="135"/>
      <c r="U10027" s="135"/>
    </row>
    <row r="10028" spans="20:21" ht="15" customHeight="1" x14ac:dyDescent="0.25">
      <c r="T10028" s="135"/>
      <c r="U10028" s="135"/>
    </row>
    <row r="10029" spans="20:21" ht="15" customHeight="1" x14ac:dyDescent="0.25">
      <c r="T10029" s="135"/>
      <c r="U10029" s="135"/>
    </row>
    <row r="10030" spans="20:21" ht="15" customHeight="1" x14ac:dyDescent="0.25">
      <c r="T10030" s="135"/>
      <c r="U10030" s="135"/>
    </row>
    <row r="10031" spans="20:21" ht="15" customHeight="1" x14ac:dyDescent="0.25">
      <c r="T10031" s="135"/>
      <c r="U10031" s="135"/>
    </row>
    <row r="10032" spans="20:21" ht="15" customHeight="1" x14ac:dyDescent="0.25">
      <c r="T10032" s="135"/>
      <c r="U10032" s="135"/>
    </row>
    <row r="10033" spans="20:21" ht="15" customHeight="1" x14ac:dyDescent="0.25">
      <c r="T10033" s="135"/>
      <c r="U10033" s="135"/>
    </row>
    <row r="10034" spans="20:21" ht="15" customHeight="1" x14ac:dyDescent="0.25">
      <c r="T10034" s="135"/>
      <c r="U10034" s="135"/>
    </row>
    <row r="10035" spans="20:21" ht="15" customHeight="1" x14ac:dyDescent="0.25">
      <c r="T10035" s="135"/>
      <c r="U10035" s="135"/>
    </row>
    <row r="10036" spans="20:21" ht="15" customHeight="1" x14ac:dyDescent="0.25">
      <c r="T10036" s="135"/>
      <c r="U10036" s="135"/>
    </row>
    <row r="10037" spans="20:21" ht="15" customHeight="1" x14ac:dyDescent="0.25">
      <c r="T10037" s="135"/>
      <c r="U10037" s="135"/>
    </row>
    <row r="10038" spans="20:21" ht="15" customHeight="1" x14ac:dyDescent="0.25">
      <c r="T10038" s="135"/>
      <c r="U10038" s="135"/>
    </row>
    <row r="10039" spans="20:21" ht="15" customHeight="1" x14ac:dyDescent="0.25">
      <c r="T10039" s="135"/>
      <c r="U10039" s="135"/>
    </row>
    <row r="10040" spans="20:21" ht="15" customHeight="1" x14ac:dyDescent="0.25">
      <c r="T10040" s="135"/>
      <c r="U10040" s="135"/>
    </row>
    <row r="10041" spans="20:21" ht="15" customHeight="1" x14ac:dyDescent="0.25">
      <c r="T10041" s="135"/>
      <c r="U10041" s="135"/>
    </row>
    <row r="10042" spans="20:21" ht="15" customHeight="1" x14ac:dyDescent="0.25">
      <c r="T10042" s="135"/>
      <c r="U10042" s="135"/>
    </row>
    <row r="10043" spans="20:21" ht="15" customHeight="1" x14ac:dyDescent="0.25">
      <c r="T10043" s="135"/>
      <c r="U10043" s="135"/>
    </row>
    <row r="10044" spans="20:21" ht="15" customHeight="1" x14ac:dyDescent="0.25">
      <c r="T10044" s="135"/>
      <c r="U10044" s="135"/>
    </row>
    <row r="10045" spans="20:21" ht="15" customHeight="1" x14ac:dyDescent="0.25">
      <c r="T10045" s="135"/>
      <c r="U10045" s="135"/>
    </row>
    <row r="10046" spans="20:21" ht="15" customHeight="1" x14ac:dyDescent="0.25">
      <c r="T10046" s="135"/>
      <c r="U10046" s="135"/>
    </row>
    <row r="10047" spans="20:21" ht="15" customHeight="1" x14ac:dyDescent="0.25">
      <c r="T10047" s="135"/>
      <c r="U10047" s="135"/>
    </row>
    <row r="10048" spans="20:21" ht="15" customHeight="1" x14ac:dyDescent="0.25">
      <c r="T10048" s="135"/>
      <c r="U10048" s="135"/>
    </row>
    <row r="10049" spans="20:21" ht="15" customHeight="1" x14ac:dyDescent="0.25">
      <c r="T10049" s="135"/>
      <c r="U10049" s="135"/>
    </row>
    <row r="10050" spans="20:21" ht="15" customHeight="1" x14ac:dyDescent="0.25">
      <c r="T10050" s="135"/>
      <c r="U10050" s="135"/>
    </row>
    <row r="10051" spans="20:21" ht="15" customHeight="1" x14ac:dyDescent="0.25">
      <c r="T10051" s="135"/>
      <c r="U10051" s="135"/>
    </row>
    <row r="10052" spans="20:21" ht="15" customHeight="1" x14ac:dyDescent="0.25">
      <c r="T10052" s="135"/>
      <c r="U10052" s="135"/>
    </row>
    <row r="10053" spans="20:21" ht="15" customHeight="1" x14ac:dyDescent="0.25">
      <c r="T10053" s="135"/>
      <c r="U10053" s="135"/>
    </row>
    <row r="10054" spans="20:21" ht="15" customHeight="1" x14ac:dyDescent="0.25">
      <c r="T10054" s="135"/>
      <c r="U10054" s="135"/>
    </row>
    <row r="10055" spans="20:21" ht="15" customHeight="1" x14ac:dyDescent="0.25">
      <c r="T10055" s="135"/>
      <c r="U10055" s="135"/>
    </row>
    <row r="10056" spans="20:21" ht="15" customHeight="1" x14ac:dyDescent="0.25">
      <c r="T10056" s="135"/>
      <c r="U10056" s="135"/>
    </row>
    <row r="10057" spans="20:21" ht="15" customHeight="1" x14ac:dyDescent="0.25">
      <c r="T10057" s="135"/>
      <c r="U10057" s="135"/>
    </row>
    <row r="10058" spans="20:21" ht="15" customHeight="1" x14ac:dyDescent="0.25">
      <c r="T10058" s="135"/>
      <c r="U10058" s="135"/>
    </row>
    <row r="10059" spans="20:21" ht="15" customHeight="1" x14ac:dyDescent="0.25">
      <c r="T10059" s="135"/>
      <c r="U10059" s="135"/>
    </row>
    <row r="10060" spans="20:21" ht="15" customHeight="1" x14ac:dyDescent="0.25">
      <c r="T10060" s="135"/>
      <c r="U10060" s="135"/>
    </row>
    <row r="10061" spans="20:21" ht="15" customHeight="1" x14ac:dyDescent="0.25">
      <c r="T10061" s="135"/>
      <c r="U10061" s="135"/>
    </row>
    <row r="10062" spans="20:21" ht="15" customHeight="1" x14ac:dyDescent="0.25">
      <c r="T10062" s="135"/>
      <c r="U10062" s="135"/>
    </row>
    <row r="10063" spans="20:21" ht="15" customHeight="1" x14ac:dyDescent="0.25">
      <c r="T10063" s="135"/>
      <c r="U10063" s="135"/>
    </row>
    <row r="10064" spans="20:21" ht="15" customHeight="1" x14ac:dyDescent="0.25">
      <c r="T10064" s="135"/>
      <c r="U10064" s="135"/>
    </row>
    <row r="10065" spans="20:21" ht="15" customHeight="1" x14ac:dyDescent="0.25">
      <c r="T10065" s="135"/>
      <c r="U10065" s="135"/>
    </row>
    <row r="10066" spans="20:21" ht="15" customHeight="1" x14ac:dyDescent="0.25">
      <c r="T10066" s="135"/>
      <c r="U10066" s="135"/>
    </row>
    <row r="10067" spans="20:21" ht="15" customHeight="1" x14ac:dyDescent="0.25">
      <c r="T10067" s="135"/>
      <c r="U10067" s="135"/>
    </row>
    <row r="10068" spans="20:21" ht="15" customHeight="1" x14ac:dyDescent="0.25">
      <c r="T10068" s="135"/>
      <c r="U10068" s="135"/>
    </row>
    <row r="10069" spans="20:21" ht="15" customHeight="1" x14ac:dyDescent="0.25">
      <c r="T10069" s="135"/>
      <c r="U10069" s="135"/>
    </row>
    <row r="10070" spans="20:21" ht="15" customHeight="1" x14ac:dyDescent="0.25">
      <c r="T10070" s="135"/>
      <c r="U10070" s="135"/>
    </row>
    <row r="10071" spans="20:21" ht="15" customHeight="1" x14ac:dyDescent="0.25">
      <c r="T10071" s="135"/>
      <c r="U10071" s="135"/>
    </row>
    <row r="10072" spans="20:21" ht="15" customHeight="1" x14ac:dyDescent="0.25">
      <c r="T10072" s="135"/>
      <c r="U10072" s="135"/>
    </row>
    <row r="10073" spans="20:21" ht="15" customHeight="1" x14ac:dyDescent="0.25">
      <c r="T10073" s="135"/>
      <c r="U10073" s="135"/>
    </row>
    <row r="10074" spans="20:21" ht="15" customHeight="1" x14ac:dyDescent="0.25">
      <c r="T10074" s="135"/>
      <c r="U10074" s="135"/>
    </row>
    <row r="10075" spans="20:21" ht="15" customHeight="1" x14ac:dyDescent="0.25">
      <c r="T10075" s="135"/>
      <c r="U10075" s="135"/>
    </row>
    <row r="10076" spans="20:21" ht="15" customHeight="1" x14ac:dyDescent="0.25">
      <c r="T10076" s="135"/>
      <c r="U10076" s="135"/>
    </row>
    <row r="10077" spans="20:21" ht="15" customHeight="1" x14ac:dyDescent="0.25">
      <c r="T10077" s="135"/>
      <c r="U10077" s="135"/>
    </row>
    <row r="10078" spans="20:21" ht="15" customHeight="1" x14ac:dyDescent="0.25">
      <c r="T10078" s="135"/>
      <c r="U10078" s="135"/>
    </row>
    <row r="10079" spans="20:21" ht="15" customHeight="1" x14ac:dyDescent="0.25">
      <c r="T10079" s="135"/>
      <c r="U10079" s="135"/>
    </row>
    <row r="10080" spans="20:21" ht="15" customHeight="1" x14ac:dyDescent="0.25">
      <c r="T10080" s="135"/>
      <c r="U10080" s="135"/>
    </row>
    <row r="10081" spans="20:21" ht="15" customHeight="1" x14ac:dyDescent="0.25">
      <c r="T10081" s="135"/>
      <c r="U10081" s="135"/>
    </row>
    <row r="10082" spans="20:21" ht="15" customHeight="1" x14ac:dyDescent="0.25">
      <c r="T10082" s="135"/>
      <c r="U10082" s="135"/>
    </row>
    <row r="10083" spans="20:21" ht="15" customHeight="1" x14ac:dyDescent="0.25">
      <c r="T10083" s="135"/>
      <c r="U10083" s="135"/>
    </row>
    <row r="10084" spans="20:21" ht="15" customHeight="1" x14ac:dyDescent="0.25">
      <c r="T10084" s="135"/>
      <c r="U10084" s="135"/>
    </row>
    <row r="10085" spans="20:21" ht="15" customHeight="1" x14ac:dyDescent="0.25">
      <c r="T10085" s="135"/>
      <c r="U10085" s="135"/>
    </row>
    <row r="10086" spans="20:21" ht="15" customHeight="1" x14ac:dyDescent="0.25">
      <c r="T10086" s="135"/>
      <c r="U10086" s="135"/>
    </row>
    <row r="10087" spans="20:21" ht="15" customHeight="1" x14ac:dyDescent="0.25">
      <c r="T10087" s="135"/>
      <c r="U10087" s="135"/>
    </row>
    <row r="10088" spans="20:21" ht="15" customHeight="1" x14ac:dyDescent="0.25">
      <c r="T10088" s="135"/>
      <c r="U10088" s="135"/>
    </row>
    <row r="10089" spans="20:21" ht="15" customHeight="1" x14ac:dyDescent="0.25">
      <c r="T10089" s="135"/>
      <c r="U10089" s="135"/>
    </row>
    <row r="10090" spans="20:21" ht="15" customHeight="1" x14ac:dyDescent="0.25">
      <c r="T10090" s="135"/>
      <c r="U10090" s="135"/>
    </row>
    <row r="10091" spans="20:21" ht="15" customHeight="1" x14ac:dyDescent="0.25">
      <c r="T10091" s="135"/>
      <c r="U10091" s="135"/>
    </row>
    <row r="10092" spans="20:21" ht="15" customHeight="1" x14ac:dyDescent="0.25">
      <c r="T10092" s="135"/>
      <c r="U10092" s="135"/>
    </row>
    <row r="10093" spans="20:21" ht="15" customHeight="1" x14ac:dyDescent="0.25">
      <c r="T10093" s="135"/>
      <c r="U10093" s="135"/>
    </row>
    <row r="10094" spans="20:21" ht="15" customHeight="1" x14ac:dyDescent="0.25">
      <c r="T10094" s="135"/>
      <c r="U10094" s="135"/>
    </row>
    <row r="10095" spans="20:21" ht="15" customHeight="1" x14ac:dyDescent="0.25">
      <c r="T10095" s="135"/>
      <c r="U10095" s="135"/>
    </row>
    <row r="10096" spans="20:21" ht="15" customHeight="1" x14ac:dyDescent="0.25">
      <c r="T10096" s="135"/>
      <c r="U10096" s="135"/>
    </row>
    <row r="10097" spans="20:21" ht="15" customHeight="1" x14ac:dyDescent="0.25">
      <c r="T10097" s="135"/>
      <c r="U10097" s="135"/>
    </row>
    <row r="10098" spans="20:21" ht="15" customHeight="1" x14ac:dyDescent="0.25">
      <c r="T10098" s="135"/>
      <c r="U10098" s="135"/>
    </row>
    <row r="10099" spans="20:21" ht="15" customHeight="1" x14ac:dyDescent="0.25">
      <c r="T10099" s="135"/>
      <c r="U10099" s="135"/>
    </row>
    <row r="10100" spans="20:21" ht="15" customHeight="1" x14ac:dyDescent="0.25">
      <c r="T10100" s="135"/>
      <c r="U10100" s="135"/>
    </row>
    <row r="10101" spans="20:21" ht="15" customHeight="1" x14ac:dyDescent="0.25">
      <c r="T10101" s="135"/>
      <c r="U10101" s="135"/>
    </row>
    <row r="10102" spans="20:21" ht="15" customHeight="1" x14ac:dyDescent="0.25">
      <c r="T10102" s="135"/>
      <c r="U10102" s="135"/>
    </row>
    <row r="10103" spans="20:21" ht="15" customHeight="1" x14ac:dyDescent="0.25">
      <c r="T10103" s="135"/>
      <c r="U10103" s="135"/>
    </row>
    <row r="10104" spans="20:21" ht="15" customHeight="1" x14ac:dyDescent="0.25">
      <c r="T10104" s="135"/>
      <c r="U10104" s="135"/>
    </row>
    <row r="10105" spans="20:21" ht="15" customHeight="1" x14ac:dyDescent="0.25">
      <c r="T10105" s="135"/>
      <c r="U10105" s="135"/>
    </row>
    <row r="10106" spans="20:21" ht="15" customHeight="1" x14ac:dyDescent="0.25">
      <c r="T10106" s="135"/>
      <c r="U10106" s="135"/>
    </row>
    <row r="10107" spans="20:21" ht="15" customHeight="1" x14ac:dyDescent="0.25">
      <c r="T10107" s="135"/>
      <c r="U10107" s="135"/>
    </row>
    <row r="10108" spans="20:21" ht="15" customHeight="1" x14ac:dyDescent="0.25">
      <c r="T10108" s="135"/>
      <c r="U10108" s="135"/>
    </row>
    <row r="10109" spans="20:21" ht="15" customHeight="1" x14ac:dyDescent="0.25">
      <c r="T10109" s="135"/>
      <c r="U10109" s="135"/>
    </row>
    <row r="10110" spans="20:21" ht="15" customHeight="1" x14ac:dyDescent="0.25">
      <c r="T10110" s="135"/>
      <c r="U10110" s="135"/>
    </row>
    <row r="10111" spans="20:21" ht="15" customHeight="1" x14ac:dyDescent="0.25">
      <c r="T10111" s="135"/>
      <c r="U10111" s="135"/>
    </row>
    <row r="10112" spans="20:21" ht="15" customHeight="1" x14ac:dyDescent="0.25">
      <c r="T10112" s="135"/>
      <c r="U10112" s="135"/>
    </row>
    <row r="10113" spans="20:21" ht="15" customHeight="1" x14ac:dyDescent="0.25">
      <c r="T10113" s="135"/>
      <c r="U10113" s="135"/>
    </row>
    <row r="10114" spans="20:21" ht="15" customHeight="1" x14ac:dyDescent="0.25">
      <c r="T10114" s="135"/>
      <c r="U10114" s="135"/>
    </row>
    <row r="10115" spans="20:21" ht="15" customHeight="1" x14ac:dyDescent="0.25">
      <c r="T10115" s="135"/>
      <c r="U10115" s="135"/>
    </row>
    <row r="10116" spans="20:21" ht="15" customHeight="1" x14ac:dyDescent="0.25">
      <c r="T10116" s="135"/>
      <c r="U10116" s="135"/>
    </row>
    <row r="10117" spans="20:21" ht="15" customHeight="1" x14ac:dyDescent="0.25">
      <c r="T10117" s="135"/>
      <c r="U10117" s="135"/>
    </row>
    <row r="10118" spans="20:21" ht="15" customHeight="1" x14ac:dyDescent="0.25">
      <c r="T10118" s="135"/>
      <c r="U10118" s="135"/>
    </row>
    <row r="10119" spans="20:21" ht="15" customHeight="1" x14ac:dyDescent="0.25">
      <c r="T10119" s="135"/>
      <c r="U10119" s="135"/>
    </row>
    <row r="10120" spans="20:21" ht="15" customHeight="1" x14ac:dyDescent="0.25">
      <c r="T10120" s="135"/>
      <c r="U10120" s="135"/>
    </row>
    <row r="10121" spans="20:21" ht="15" customHeight="1" x14ac:dyDescent="0.25">
      <c r="T10121" s="135"/>
      <c r="U10121" s="135"/>
    </row>
    <row r="10122" spans="20:21" ht="15" customHeight="1" x14ac:dyDescent="0.25">
      <c r="T10122" s="135"/>
      <c r="U10122" s="135"/>
    </row>
    <row r="10123" spans="20:21" ht="15" customHeight="1" x14ac:dyDescent="0.25">
      <c r="T10123" s="135"/>
      <c r="U10123" s="135"/>
    </row>
    <row r="10124" spans="20:21" ht="15" customHeight="1" x14ac:dyDescent="0.25">
      <c r="T10124" s="135"/>
      <c r="U10124" s="135"/>
    </row>
    <row r="10125" spans="20:21" ht="15" customHeight="1" x14ac:dyDescent="0.25">
      <c r="T10125" s="135"/>
      <c r="U10125" s="135"/>
    </row>
    <row r="10126" spans="20:21" ht="15" customHeight="1" x14ac:dyDescent="0.25">
      <c r="T10126" s="135"/>
      <c r="U10126" s="135"/>
    </row>
    <row r="10127" spans="20:21" ht="15" customHeight="1" x14ac:dyDescent="0.25">
      <c r="T10127" s="135"/>
      <c r="U10127" s="135"/>
    </row>
    <row r="10128" spans="20:21" ht="15" customHeight="1" x14ac:dyDescent="0.25">
      <c r="T10128" s="135"/>
      <c r="U10128" s="135"/>
    </row>
    <row r="10129" spans="20:21" ht="15" customHeight="1" x14ac:dyDescent="0.25">
      <c r="T10129" s="135"/>
      <c r="U10129" s="135"/>
    </row>
    <row r="10130" spans="20:21" ht="15" customHeight="1" x14ac:dyDescent="0.25">
      <c r="T10130" s="135"/>
      <c r="U10130" s="135"/>
    </row>
    <row r="10131" spans="20:21" ht="15" customHeight="1" x14ac:dyDescent="0.25">
      <c r="T10131" s="135"/>
      <c r="U10131" s="135"/>
    </row>
    <row r="10132" spans="20:21" ht="15" customHeight="1" x14ac:dyDescent="0.25">
      <c r="T10132" s="135"/>
      <c r="U10132" s="135"/>
    </row>
    <row r="10133" spans="20:21" ht="15" customHeight="1" x14ac:dyDescent="0.25">
      <c r="T10133" s="135"/>
      <c r="U10133" s="135"/>
    </row>
    <row r="10134" spans="20:21" ht="15" customHeight="1" x14ac:dyDescent="0.25">
      <c r="T10134" s="135"/>
      <c r="U10134" s="135"/>
    </row>
    <row r="10135" spans="20:21" ht="15" customHeight="1" x14ac:dyDescent="0.25">
      <c r="T10135" s="135"/>
      <c r="U10135" s="135"/>
    </row>
    <row r="10136" spans="20:21" ht="15" customHeight="1" x14ac:dyDescent="0.25">
      <c r="T10136" s="135"/>
      <c r="U10136" s="135"/>
    </row>
    <row r="10137" spans="20:21" ht="15" customHeight="1" x14ac:dyDescent="0.25">
      <c r="T10137" s="135"/>
      <c r="U10137" s="135"/>
    </row>
    <row r="10138" spans="20:21" ht="15" customHeight="1" x14ac:dyDescent="0.25">
      <c r="T10138" s="135"/>
      <c r="U10138" s="135"/>
    </row>
    <row r="10139" spans="20:21" ht="15" customHeight="1" x14ac:dyDescent="0.25">
      <c r="T10139" s="135"/>
      <c r="U10139" s="135"/>
    </row>
    <row r="10140" spans="20:21" ht="15" customHeight="1" x14ac:dyDescent="0.25">
      <c r="T10140" s="135"/>
      <c r="U10140" s="135"/>
    </row>
    <row r="10141" spans="20:21" ht="15" customHeight="1" x14ac:dyDescent="0.25">
      <c r="T10141" s="135"/>
      <c r="U10141" s="135"/>
    </row>
    <row r="10142" spans="20:21" ht="15" customHeight="1" x14ac:dyDescent="0.25">
      <c r="T10142" s="135"/>
      <c r="U10142" s="135"/>
    </row>
    <row r="10143" spans="20:21" ht="15" customHeight="1" x14ac:dyDescent="0.25">
      <c r="T10143" s="135"/>
      <c r="U10143" s="135"/>
    </row>
    <row r="10144" spans="20:21" ht="15" customHeight="1" x14ac:dyDescent="0.25">
      <c r="T10144" s="135"/>
      <c r="U10144" s="135"/>
    </row>
    <row r="10145" spans="20:21" ht="15" customHeight="1" x14ac:dyDescent="0.25">
      <c r="T10145" s="135"/>
      <c r="U10145" s="135"/>
    </row>
    <row r="10146" spans="20:21" ht="15" customHeight="1" x14ac:dyDescent="0.25">
      <c r="T10146" s="135"/>
      <c r="U10146" s="135"/>
    </row>
    <row r="10147" spans="20:21" ht="15" customHeight="1" x14ac:dyDescent="0.25">
      <c r="T10147" s="135"/>
      <c r="U10147" s="135"/>
    </row>
    <row r="10148" spans="20:21" ht="15" customHeight="1" x14ac:dyDescent="0.25">
      <c r="T10148" s="135"/>
      <c r="U10148" s="135"/>
    </row>
    <row r="10149" spans="20:21" ht="15" customHeight="1" x14ac:dyDescent="0.25">
      <c r="T10149" s="135"/>
      <c r="U10149" s="135"/>
    </row>
    <row r="10150" spans="20:21" ht="15" customHeight="1" x14ac:dyDescent="0.25">
      <c r="T10150" s="135"/>
      <c r="U10150" s="135"/>
    </row>
    <row r="10151" spans="20:21" ht="15" customHeight="1" x14ac:dyDescent="0.25">
      <c r="T10151" s="135"/>
      <c r="U10151" s="135"/>
    </row>
    <row r="10152" spans="20:21" ht="15" customHeight="1" x14ac:dyDescent="0.25">
      <c r="T10152" s="135"/>
      <c r="U10152" s="135"/>
    </row>
    <row r="10153" spans="20:21" ht="15" customHeight="1" x14ac:dyDescent="0.25">
      <c r="T10153" s="135"/>
      <c r="U10153" s="135"/>
    </row>
    <row r="10154" spans="20:21" ht="15" customHeight="1" x14ac:dyDescent="0.25">
      <c r="T10154" s="135"/>
      <c r="U10154" s="135"/>
    </row>
    <row r="10155" spans="20:21" ht="15" customHeight="1" x14ac:dyDescent="0.25">
      <c r="T10155" s="135"/>
      <c r="U10155" s="135"/>
    </row>
    <row r="10156" spans="20:21" ht="15" customHeight="1" x14ac:dyDescent="0.25">
      <c r="T10156" s="135"/>
      <c r="U10156" s="135"/>
    </row>
    <row r="10157" spans="20:21" ht="15" customHeight="1" x14ac:dyDescent="0.25">
      <c r="T10157" s="135"/>
      <c r="U10157" s="135"/>
    </row>
    <row r="10158" spans="20:21" ht="15" customHeight="1" x14ac:dyDescent="0.25">
      <c r="T10158" s="135"/>
      <c r="U10158" s="135"/>
    </row>
    <row r="10159" spans="20:21" ht="15" customHeight="1" x14ac:dyDescent="0.25">
      <c r="T10159" s="135"/>
      <c r="U10159" s="135"/>
    </row>
    <row r="10160" spans="20:21" ht="15" customHeight="1" x14ac:dyDescent="0.25">
      <c r="T10160" s="135"/>
      <c r="U10160" s="135"/>
    </row>
    <row r="10161" spans="20:21" ht="15" customHeight="1" x14ac:dyDescent="0.25">
      <c r="T10161" s="135"/>
      <c r="U10161" s="135"/>
    </row>
    <row r="10162" spans="20:21" ht="15" customHeight="1" x14ac:dyDescent="0.25">
      <c r="T10162" s="135"/>
      <c r="U10162" s="135"/>
    </row>
    <row r="10163" spans="20:21" ht="15" customHeight="1" x14ac:dyDescent="0.25">
      <c r="T10163" s="135"/>
      <c r="U10163" s="135"/>
    </row>
    <row r="10164" spans="20:21" ht="15" customHeight="1" x14ac:dyDescent="0.25">
      <c r="T10164" s="135"/>
      <c r="U10164" s="135"/>
    </row>
    <row r="10165" spans="20:21" ht="15" customHeight="1" x14ac:dyDescent="0.25">
      <c r="T10165" s="135"/>
      <c r="U10165" s="135"/>
    </row>
    <row r="10166" spans="20:21" ht="15" customHeight="1" x14ac:dyDescent="0.25">
      <c r="T10166" s="135"/>
      <c r="U10166" s="135"/>
    </row>
    <row r="10167" spans="20:21" ht="15" customHeight="1" x14ac:dyDescent="0.25">
      <c r="T10167" s="135"/>
      <c r="U10167" s="135"/>
    </row>
    <row r="10168" spans="20:21" ht="15" customHeight="1" x14ac:dyDescent="0.25">
      <c r="T10168" s="135"/>
      <c r="U10168" s="135"/>
    </row>
    <row r="10169" spans="20:21" ht="15" customHeight="1" x14ac:dyDescent="0.25">
      <c r="T10169" s="135"/>
      <c r="U10169" s="135"/>
    </row>
    <row r="10170" spans="20:21" ht="15" customHeight="1" x14ac:dyDescent="0.25">
      <c r="T10170" s="135"/>
      <c r="U10170" s="135"/>
    </row>
    <row r="10171" spans="20:21" ht="15" customHeight="1" x14ac:dyDescent="0.25">
      <c r="T10171" s="135"/>
      <c r="U10171" s="135"/>
    </row>
    <row r="10172" spans="20:21" ht="15" customHeight="1" x14ac:dyDescent="0.25">
      <c r="T10172" s="135"/>
      <c r="U10172" s="135"/>
    </row>
    <row r="10173" spans="20:21" ht="15" customHeight="1" x14ac:dyDescent="0.25">
      <c r="T10173" s="135"/>
      <c r="U10173" s="135"/>
    </row>
    <row r="10174" spans="20:21" ht="15" customHeight="1" x14ac:dyDescent="0.25">
      <c r="T10174" s="135"/>
      <c r="U10174" s="135"/>
    </row>
    <row r="10175" spans="20:21" ht="15" customHeight="1" x14ac:dyDescent="0.25">
      <c r="T10175" s="135"/>
      <c r="U10175" s="135"/>
    </row>
    <row r="10176" spans="20:21" ht="15" customHeight="1" x14ac:dyDescent="0.25">
      <c r="T10176" s="135"/>
      <c r="U10176" s="135"/>
    </row>
    <row r="10177" spans="20:21" ht="15" customHeight="1" x14ac:dyDescent="0.25">
      <c r="T10177" s="135"/>
      <c r="U10177" s="135"/>
    </row>
    <row r="10178" spans="20:21" ht="15" customHeight="1" x14ac:dyDescent="0.25">
      <c r="T10178" s="135"/>
      <c r="U10178" s="135"/>
    </row>
    <row r="10179" spans="20:21" ht="15" customHeight="1" x14ac:dyDescent="0.25">
      <c r="T10179" s="135"/>
      <c r="U10179" s="135"/>
    </row>
    <row r="10180" spans="20:21" ht="15" customHeight="1" x14ac:dyDescent="0.25">
      <c r="T10180" s="135"/>
      <c r="U10180" s="135"/>
    </row>
    <row r="10181" spans="20:21" ht="15" customHeight="1" x14ac:dyDescent="0.25">
      <c r="T10181" s="135"/>
      <c r="U10181" s="135"/>
    </row>
    <row r="10182" spans="20:21" ht="15" customHeight="1" x14ac:dyDescent="0.25">
      <c r="T10182" s="135"/>
      <c r="U10182" s="135"/>
    </row>
    <row r="10183" spans="20:21" ht="15" customHeight="1" x14ac:dyDescent="0.25">
      <c r="T10183" s="135"/>
      <c r="U10183" s="135"/>
    </row>
    <row r="10184" spans="20:21" ht="15" customHeight="1" x14ac:dyDescent="0.25">
      <c r="T10184" s="135"/>
      <c r="U10184" s="135"/>
    </row>
    <row r="10185" spans="20:21" ht="15" customHeight="1" x14ac:dyDescent="0.25">
      <c r="T10185" s="135"/>
      <c r="U10185" s="135"/>
    </row>
    <row r="10186" spans="20:21" ht="15" customHeight="1" x14ac:dyDescent="0.25">
      <c r="T10186" s="135"/>
      <c r="U10186" s="135"/>
    </row>
    <row r="10187" spans="20:21" ht="15" customHeight="1" x14ac:dyDescent="0.25">
      <c r="T10187" s="135"/>
      <c r="U10187" s="135"/>
    </row>
    <row r="10188" spans="20:21" ht="15" customHeight="1" x14ac:dyDescent="0.25">
      <c r="T10188" s="135"/>
      <c r="U10188" s="135"/>
    </row>
    <row r="10189" spans="20:21" ht="15" customHeight="1" x14ac:dyDescent="0.25">
      <c r="T10189" s="135"/>
      <c r="U10189" s="135"/>
    </row>
    <row r="10190" spans="20:21" ht="15" customHeight="1" x14ac:dyDescent="0.25">
      <c r="T10190" s="135"/>
      <c r="U10190" s="135"/>
    </row>
    <row r="10191" spans="20:21" ht="15" customHeight="1" x14ac:dyDescent="0.25">
      <c r="T10191" s="135"/>
      <c r="U10191" s="135"/>
    </row>
    <row r="10192" spans="20:21" ht="15" customHeight="1" x14ac:dyDescent="0.25">
      <c r="T10192" s="135"/>
      <c r="U10192" s="135"/>
    </row>
    <row r="10193" spans="20:21" ht="15" customHeight="1" x14ac:dyDescent="0.25">
      <c r="T10193" s="135"/>
      <c r="U10193" s="135"/>
    </row>
    <row r="10194" spans="20:21" ht="15" customHeight="1" x14ac:dyDescent="0.25">
      <c r="T10194" s="135"/>
      <c r="U10194" s="135"/>
    </row>
    <row r="10195" spans="20:21" ht="15" customHeight="1" x14ac:dyDescent="0.25">
      <c r="T10195" s="135"/>
      <c r="U10195" s="135"/>
    </row>
    <row r="10196" spans="20:21" ht="15" customHeight="1" x14ac:dyDescent="0.25">
      <c r="T10196" s="135"/>
      <c r="U10196" s="135"/>
    </row>
    <row r="10197" spans="20:21" ht="15" customHeight="1" x14ac:dyDescent="0.25">
      <c r="T10197" s="135"/>
      <c r="U10197" s="135"/>
    </row>
    <row r="10198" spans="20:21" ht="15" customHeight="1" x14ac:dyDescent="0.25">
      <c r="T10198" s="135"/>
      <c r="U10198" s="135"/>
    </row>
    <row r="10199" spans="20:21" ht="15" customHeight="1" x14ac:dyDescent="0.25">
      <c r="T10199" s="135"/>
      <c r="U10199" s="135"/>
    </row>
    <row r="10200" spans="20:21" ht="15" customHeight="1" x14ac:dyDescent="0.25">
      <c r="T10200" s="135"/>
      <c r="U10200" s="135"/>
    </row>
    <row r="10201" spans="20:21" ht="15" customHeight="1" x14ac:dyDescent="0.25">
      <c r="T10201" s="135"/>
      <c r="U10201" s="135"/>
    </row>
    <row r="10202" spans="20:21" ht="15" customHeight="1" x14ac:dyDescent="0.25">
      <c r="T10202" s="135"/>
      <c r="U10202" s="135"/>
    </row>
    <row r="10203" spans="20:21" ht="15" customHeight="1" x14ac:dyDescent="0.25">
      <c r="T10203" s="135"/>
      <c r="U10203" s="135"/>
    </row>
    <row r="10204" spans="20:21" ht="15" customHeight="1" x14ac:dyDescent="0.25">
      <c r="T10204" s="135"/>
      <c r="U10204" s="135"/>
    </row>
    <row r="10205" spans="20:21" ht="15" customHeight="1" x14ac:dyDescent="0.25">
      <c r="T10205" s="135"/>
      <c r="U10205" s="135"/>
    </row>
    <row r="10206" spans="20:21" ht="15" customHeight="1" x14ac:dyDescent="0.25">
      <c r="T10206" s="135"/>
      <c r="U10206" s="135"/>
    </row>
    <row r="10207" spans="20:21" ht="15" customHeight="1" x14ac:dyDescent="0.25">
      <c r="T10207" s="135"/>
      <c r="U10207" s="135"/>
    </row>
    <row r="10208" spans="20:21" ht="15" customHeight="1" x14ac:dyDescent="0.25">
      <c r="T10208" s="135"/>
      <c r="U10208" s="135"/>
    </row>
    <row r="10209" spans="20:21" ht="15" customHeight="1" x14ac:dyDescent="0.25">
      <c r="T10209" s="135"/>
      <c r="U10209" s="135"/>
    </row>
    <row r="10210" spans="20:21" ht="15" customHeight="1" x14ac:dyDescent="0.25">
      <c r="T10210" s="135"/>
      <c r="U10210" s="135"/>
    </row>
    <row r="10211" spans="20:21" ht="15" customHeight="1" x14ac:dyDescent="0.25">
      <c r="T10211" s="135"/>
      <c r="U10211" s="135"/>
    </row>
    <row r="10212" spans="20:21" ht="15" customHeight="1" x14ac:dyDescent="0.25">
      <c r="T10212" s="135"/>
      <c r="U10212" s="135"/>
    </row>
    <row r="10213" spans="20:21" ht="15" customHeight="1" x14ac:dyDescent="0.25">
      <c r="T10213" s="135"/>
      <c r="U10213" s="135"/>
    </row>
    <row r="10214" spans="20:21" ht="15" customHeight="1" x14ac:dyDescent="0.25">
      <c r="T10214" s="135"/>
      <c r="U10214" s="135"/>
    </row>
    <row r="10215" spans="20:21" ht="15" customHeight="1" x14ac:dyDescent="0.25">
      <c r="T10215" s="135"/>
      <c r="U10215" s="135"/>
    </row>
    <row r="10216" spans="20:21" ht="15" customHeight="1" x14ac:dyDescent="0.25">
      <c r="T10216" s="135"/>
      <c r="U10216" s="135"/>
    </row>
    <row r="10217" spans="20:21" ht="15" customHeight="1" x14ac:dyDescent="0.25">
      <c r="T10217" s="135"/>
      <c r="U10217" s="135"/>
    </row>
    <row r="10218" spans="20:21" ht="15" customHeight="1" x14ac:dyDescent="0.25">
      <c r="T10218" s="135"/>
      <c r="U10218" s="135"/>
    </row>
    <row r="10219" spans="20:21" ht="15" customHeight="1" x14ac:dyDescent="0.25">
      <c r="T10219" s="135"/>
      <c r="U10219" s="135"/>
    </row>
    <row r="10220" spans="20:21" ht="15" customHeight="1" x14ac:dyDescent="0.25">
      <c r="T10220" s="135"/>
      <c r="U10220" s="135"/>
    </row>
    <row r="10221" spans="20:21" ht="15" customHeight="1" x14ac:dyDescent="0.25">
      <c r="T10221" s="135"/>
      <c r="U10221" s="135"/>
    </row>
    <row r="10222" spans="20:21" ht="15" customHeight="1" x14ac:dyDescent="0.25">
      <c r="T10222" s="135"/>
      <c r="U10222" s="135"/>
    </row>
    <row r="10223" spans="20:21" ht="15" customHeight="1" x14ac:dyDescent="0.25">
      <c r="T10223" s="135"/>
      <c r="U10223" s="135"/>
    </row>
    <row r="10224" spans="20:21" ht="15" customHeight="1" x14ac:dyDescent="0.25">
      <c r="T10224" s="135"/>
      <c r="U10224" s="135"/>
    </row>
    <row r="10225" spans="20:21" ht="15" customHeight="1" x14ac:dyDescent="0.25">
      <c r="T10225" s="135"/>
      <c r="U10225" s="135"/>
    </row>
    <row r="10226" spans="20:21" ht="15" customHeight="1" x14ac:dyDescent="0.25">
      <c r="T10226" s="135"/>
      <c r="U10226" s="135"/>
    </row>
    <row r="10227" spans="20:21" ht="15" customHeight="1" x14ac:dyDescent="0.25">
      <c r="T10227" s="135"/>
      <c r="U10227" s="135"/>
    </row>
    <row r="10228" spans="20:21" ht="15" customHeight="1" x14ac:dyDescent="0.25">
      <c r="T10228" s="135"/>
      <c r="U10228" s="135"/>
    </row>
    <row r="10229" spans="20:21" ht="15" customHeight="1" x14ac:dyDescent="0.25">
      <c r="T10229" s="135"/>
      <c r="U10229" s="135"/>
    </row>
    <row r="10230" spans="20:21" ht="15" customHeight="1" x14ac:dyDescent="0.25">
      <c r="T10230" s="135"/>
      <c r="U10230" s="135"/>
    </row>
    <row r="10231" spans="20:21" ht="15" customHeight="1" x14ac:dyDescent="0.25">
      <c r="T10231" s="135"/>
      <c r="U10231" s="135"/>
    </row>
    <row r="10232" spans="20:21" ht="15" customHeight="1" x14ac:dyDescent="0.25">
      <c r="T10232" s="135"/>
      <c r="U10232" s="135"/>
    </row>
    <row r="10233" spans="20:21" ht="15" customHeight="1" x14ac:dyDescent="0.25">
      <c r="T10233" s="135"/>
      <c r="U10233" s="135"/>
    </row>
    <row r="10234" spans="20:21" ht="15" customHeight="1" x14ac:dyDescent="0.25">
      <c r="T10234" s="135"/>
      <c r="U10234" s="135"/>
    </row>
    <row r="10235" spans="20:21" ht="15" customHeight="1" x14ac:dyDescent="0.25">
      <c r="T10235" s="135"/>
      <c r="U10235" s="135"/>
    </row>
    <row r="10236" spans="20:21" ht="15" customHeight="1" x14ac:dyDescent="0.25">
      <c r="T10236" s="135"/>
      <c r="U10236" s="135"/>
    </row>
    <row r="10237" spans="20:21" ht="15" customHeight="1" x14ac:dyDescent="0.25">
      <c r="T10237" s="135"/>
      <c r="U10237" s="135"/>
    </row>
    <row r="10238" spans="20:21" ht="15" customHeight="1" x14ac:dyDescent="0.25">
      <c r="T10238" s="135"/>
      <c r="U10238" s="135"/>
    </row>
    <row r="10239" spans="20:21" ht="15" customHeight="1" x14ac:dyDescent="0.25">
      <c r="T10239" s="135"/>
      <c r="U10239" s="135"/>
    </row>
    <row r="10240" spans="20:21" ht="15" customHeight="1" x14ac:dyDescent="0.25">
      <c r="T10240" s="135"/>
      <c r="U10240" s="135"/>
    </row>
    <row r="10241" spans="20:21" ht="15" customHeight="1" x14ac:dyDescent="0.25">
      <c r="T10241" s="135"/>
      <c r="U10241" s="135"/>
    </row>
    <row r="10242" spans="20:21" ht="15" customHeight="1" x14ac:dyDescent="0.25">
      <c r="T10242" s="135"/>
      <c r="U10242" s="135"/>
    </row>
    <row r="10243" spans="20:21" ht="15" customHeight="1" x14ac:dyDescent="0.25">
      <c r="T10243" s="135"/>
      <c r="U10243" s="135"/>
    </row>
    <row r="10244" spans="20:21" ht="15" customHeight="1" x14ac:dyDescent="0.25">
      <c r="T10244" s="135"/>
      <c r="U10244" s="135"/>
    </row>
    <row r="10245" spans="20:21" ht="15" customHeight="1" x14ac:dyDescent="0.25">
      <c r="T10245" s="135"/>
      <c r="U10245" s="135"/>
    </row>
    <row r="10246" spans="20:21" ht="15" customHeight="1" x14ac:dyDescent="0.25">
      <c r="T10246" s="135"/>
      <c r="U10246" s="135"/>
    </row>
    <row r="10247" spans="20:21" ht="15" customHeight="1" x14ac:dyDescent="0.25">
      <c r="T10247" s="135"/>
      <c r="U10247" s="135"/>
    </row>
    <row r="10248" spans="20:21" ht="15" customHeight="1" x14ac:dyDescent="0.25">
      <c r="T10248" s="135"/>
      <c r="U10248" s="135"/>
    </row>
    <row r="10249" spans="20:21" ht="15" customHeight="1" x14ac:dyDescent="0.25">
      <c r="T10249" s="135"/>
      <c r="U10249" s="135"/>
    </row>
    <row r="10250" spans="20:21" ht="15" customHeight="1" x14ac:dyDescent="0.25">
      <c r="T10250" s="135"/>
      <c r="U10250" s="135"/>
    </row>
    <row r="10251" spans="20:21" ht="15" customHeight="1" x14ac:dyDescent="0.25">
      <c r="T10251" s="135"/>
      <c r="U10251" s="135"/>
    </row>
    <row r="10252" spans="20:21" ht="15" customHeight="1" x14ac:dyDescent="0.25">
      <c r="T10252" s="135"/>
      <c r="U10252" s="135"/>
    </row>
    <row r="10253" spans="20:21" ht="15" customHeight="1" x14ac:dyDescent="0.25">
      <c r="T10253" s="135"/>
      <c r="U10253" s="135"/>
    </row>
    <row r="10254" spans="20:21" ht="15" customHeight="1" x14ac:dyDescent="0.25">
      <c r="T10254" s="135"/>
      <c r="U10254" s="135"/>
    </row>
    <row r="10255" spans="20:21" ht="15" customHeight="1" x14ac:dyDescent="0.25">
      <c r="T10255" s="135"/>
      <c r="U10255" s="135"/>
    </row>
    <row r="10256" spans="20:21" ht="15" customHeight="1" x14ac:dyDescent="0.25">
      <c r="T10256" s="135"/>
      <c r="U10256" s="135"/>
    </row>
    <row r="10257" spans="20:21" ht="15" customHeight="1" x14ac:dyDescent="0.25">
      <c r="T10257" s="135"/>
      <c r="U10257" s="135"/>
    </row>
    <row r="10258" spans="20:21" ht="15" customHeight="1" x14ac:dyDescent="0.25">
      <c r="T10258" s="135"/>
      <c r="U10258" s="135"/>
    </row>
    <row r="10259" spans="20:21" ht="15" customHeight="1" x14ac:dyDescent="0.25">
      <c r="T10259" s="135"/>
      <c r="U10259" s="135"/>
    </row>
    <row r="10260" spans="20:21" ht="15" customHeight="1" x14ac:dyDescent="0.25">
      <c r="T10260" s="135"/>
      <c r="U10260" s="135"/>
    </row>
    <row r="10261" spans="20:21" ht="15" customHeight="1" x14ac:dyDescent="0.25">
      <c r="T10261" s="135"/>
      <c r="U10261" s="135"/>
    </row>
    <row r="10262" spans="20:21" ht="15" customHeight="1" x14ac:dyDescent="0.25">
      <c r="T10262" s="135"/>
      <c r="U10262" s="135"/>
    </row>
    <row r="10263" spans="20:21" ht="15" customHeight="1" x14ac:dyDescent="0.25">
      <c r="T10263" s="135"/>
      <c r="U10263" s="135"/>
    </row>
    <row r="10264" spans="20:21" ht="15" customHeight="1" x14ac:dyDescent="0.25">
      <c r="T10264" s="135"/>
      <c r="U10264" s="135"/>
    </row>
    <row r="10265" spans="20:21" ht="15" customHeight="1" x14ac:dyDescent="0.25">
      <c r="T10265" s="135"/>
      <c r="U10265" s="135"/>
    </row>
    <row r="10266" spans="20:21" ht="15" customHeight="1" x14ac:dyDescent="0.25">
      <c r="T10266" s="135"/>
      <c r="U10266" s="135"/>
    </row>
    <row r="10267" spans="20:21" ht="15" customHeight="1" x14ac:dyDescent="0.25">
      <c r="T10267" s="135"/>
      <c r="U10267" s="135"/>
    </row>
    <row r="10268" spans="20:21" ht="15" customHeight="1" x14ac:dyDescent="0.25">
      <c r="T10268" s="135"/>
      <c r="U10268" s="135"/>
    </row>
    <row r="10269" spans="20:21" ht="15" customHeight="1" x14ac:dyDescent="0.25">
      <c r="T10269" s="135"/>
      <c r="U10269" s="135"/>
    </row>
    <row r="10270" spans="20:21" ht="15" customHeight="1" x14ac:dyDescent="0.25">
      <c r="T10270" s="135"/>
      <c r="U10270" s="135"/>
    </row>
    <row r="10271" spans="20:21" ht="15" customHeight="1" x14ac:dyDescent="0.25">
      <c r="T10271" s="135"/>
      <c r="U10271" s="135"/>
    </row>
    <row r="10272" spans="20:21" ht="15" customHeight="1" x14ac:dyDescent="0.25">
      <c r="T10272" s="135"/>
      <c r="U10272" s="135"/>
    </row>
    <row r="10273" spans="20:21" ht="15" customHeight="1" x14ac:dyDescent="0.25">
      <c r="T10273" s="135"/>
      <c r="U10273" s="135"/>
    </row>
    <row r="10274" spans="20:21" ht="15" customHeight="1" x14ac:dyDescent="0.25">
      <c r="T10274" s="135"/>
      <c r="U10274" s="135"/>
    </row>
    <row r="10275" spans="20:21" ht="15" customHeight="1" x14ac:dyDescent="0.25">
      <c r="T10275" s="135"/>
      <c r="U10275" s="135"/>
    </row>
    <row r="10276" spans="20:21" ht="15" customHeight="1" x14ac:dyDescent="0.25">
      <c r="T10276" s="135"/>
      <c r="U10276" s="135"/>
    </row>
    <row r="10277" spans="20:21" ht="15" customHeight="1" x14ac:dyDescent="0.25">
      <c r="T10277" s="135"/>
      <c r="U10277" s="135"/>
    </row>
    <row r="10278" spans="20:21" ht="15" customHeight="1" x14ac:dyDescent="0.25">
      <c r="T10278" s="135"/>
      <c r="U10278" s="135"/>
    </row>
    <row r="10279" spans="20:21" ht="15" customHeight="1" x14ac:dyDescent="0.25">
      <c r="T10279" s="135"/>
      <c r="U10279" s="135"/>
    </row>
    <row r="10280" spans="20:21" ht="15" customHeight="1" x14ac:dyDescent="0.25">
      <c r="T10280" s="135"/>
      <c r="U10280" s="135"/>
    </row>
    <row r="10281" spans="20:21" ht="15" customHeight="1" x14ac:dyDescent="0.25">
      <c r="T10281" s="135"/>
      <c r="U10281" s="135"/>
    </row>
    <row r="10282" spans="20:21" ht="15" customHeight="1" x14ac:dyDescent="0.25">
      <c r="T10282" s="135"/>
      <c r="U10282" s="135"/>
    </row>
    <row r="10283" spans="20:21" ht="15" customHeight="1" x14ac:dyDescent="0.25">
      <c r="T10283" s="135"/>
      <c r="U10283" s="135"/>
    </row>
    <row r="10284" spans="20:21" ht="15" customHeight="1" x14ac:dyDescent="0.25">
      <c r="T10284" s="135"/>
      <c r="U10284" s="135"/>
    </row>
    <row r="10285" spans="20:21" ht="15" customHeight="1" x14ac:dyDescent="0.25">
      <c r="T10285" s="135"/>
      <c r="U10285" s="135"/>
    </row>
    <row r="10286" spans="20:21" ht="15" customHeight="1" x14ac:dyDescent="0.25">
      <c r="T10286" s="135"/>
      <c r="U10286" s="135"/>
    </row>
    <row r="10287" spans="20:21" ht="15" customHeight="1" x14ac:dyDescent="0.25">
      <c r="T10287" s="135"/>
      <c r="U10287" s="135"/>
    </row>
    <row r="10288" spans="20:21" ht="15" customHeight="1" x14ac:dyDescent="0.25">
      <c r="T10288" s="135"/>
      <c r="U10288" s="135"/>
    </row>
    <row r="10289" spans="20:21" ht="15" customHeight="1" x14ac:dyDescent="0.25">
      <c r="T10289" s="135"/>
      <c r="U10289" s="135"/>
    </row>
    <row r="10290" spans="20:21" ht="15" customHeight="1" x14ac:dyDescent="0.25">
      <c r="T10290" s="135"/>
      <c r="U10290" s="135"/>
    </row>
    <row r="10291" spans="20:21" ht="15" customHeight="1" x14ac:dyDescent="0.25">
      <c r="T10291" s="135"/>
      <c r="U10291" s="135"/>
    </row>
    <row r="10292" spans="20:21" ht="15" customHeight="1" x14ac:dyDescent="0.25">
      <c r="T10292" s="135"/>
      <c r="U10292" s="135"/>
    </row>
    <row r="10293" spans="20:21" ht="15" customHeight="1" x14ac:dyDescent="0.25">
      <c r="T10293" s="135"/>
      <c r="U10293" s="135"/>
    </row>
    <row r="10294" spans="20:21" ht="15" customHeight="1" x14ac:dyDescent="0.25">
      <c r="T10294" s="135"/>
      <c r="U10294" s="135"/>
    </row>
    <row r="10295" spans="20:21" ht="15" customHeight="1" x14ac:dyDescent="0.25">
      <c r="T10295" s="135"/>
      <c r="U10295" s="135"/>
    </row>
    <row r="10296" spans="20:21" ht="15" customHeight="1" x14ac:dyDescent="0.25">
      <c r="T10296" s="135"/>
      <c r="U10296" s="135"/>
    </row>
    <row r="10297" spans="20:21" ht="15" customHeight="1" x14ac:dyDescent="0.25">
      <c r="T10297" s="135"/>
      <c r="U10297" s="135"/>
    </row>
    <row r="10298" spans="20:21" ht="15" customHeight="1" x14ac:dyDescent="0.25">
      <c r="T10298" s="135"/>
      <c r="U10298" s="135"/>
    </row>
    <row r="10299" spans="20:21" ht="15" customHeight="1" x14ac:dyDescent="0.25">
      <c r="T10299" s="135"/>
      <c r="U10299" s="135"/>
    </row>
    <row r="10300" spans="20:21" ht="15" customHeight="1" x14ac:dyDescent="0.25">
      <c r="T10300" s="135"/>
      <c r="U10300" s="135"/>
    </row>
    <row r="10301" spans="20:21" ht="15" customHeight="1" x14ac:dyDescent="0.25">
      <c r="T10301" s="135"/>
      <c r="U10301" s="135"/>
    </row>
    <row r="10302" spans="20:21" ht="15" customHeight="1" x14ac:dyDescent="0.25">
      <c r="T10302" s="135"/>
      <c r="U10302" s="135"/>
    </row>
    <row r="10303" spans="20:21" ht="15" customHeight="1" x14ac:dyDescent="0.25">
      <c r="T10303" s="135"/>
      <c r="U10303" s="135"/>
    </row>
    <row r="10304" spans="20:21" ht="15" customHeight="1" x14ac:dyDescent="0.25">
      <c r="T10304" s="135"/>
      <c r="U10304" s="135"/>
    </row>
    <row r="10305" spans="20:21" ht="15" customHeight="1" x14ac:dyDescent="0.25">
      <c r="T10305" s="135"/>
      <c r="U10305" s="135"/>
    </row>
    <row r="10306" spans="20:21" ht="15" customHeight="1" x14ac:dyDescent="0.25">
      <c r="T10306" s="135"/>
      <c r="U10306" s="135"/>
    </row>
    <row r="10307" spans="20:21" ht="15" customHeight="1" x14ac:dyDescent="0.25">
      <c r="T10307" s="135"/>
      <c r="U10307" s="135"/>
    </row>
    <row r="10308" spans="20:21" ht="15" customHeight="1" x14ac:dyDescent="0.25">
      <c r="T10308" s="135"/>
      <c r="U10308" s="135"/>
    </row>
    <row r="10309" spans="20:21" ht="15" customHeight="1" x14ac:dyDescent="0.25">
      <c r="T10309" s="135"/>
      <c r="U10309" s="135"/>
    </row>
    <row r="10310" spans="20:21" ht="15" customHeight="1" x14ac:dyDescent="0.25">
      <c r="T10310" s="135"/>
      <c r="U10310" s="135"/>
    </row>
    <row r="10311" spans="20:21" ht="15" customHeight="1" x14ac:dyDescent="0.25">
      <c r="T10311" s="135"/>
      <c r="U10311" s="135"/>
    </row>
    <row r="10312" spans="20:21" ht="15" customHeight="1" x14ac:dyDescent="0.25">
      <c r="T10312" s="135"/>
      <c r="U10312" s="135"/>
    </row>
    <row r="10313" spans="20:21" ht="15" customHeight="1" x14ac:dyDescent="0.25">
      <c r="T10313" s="135"/>
      <c r="U10313" s="135"/>
    </row>
    <row r="10314" spans="20:21" ht="15" customHeight="1" x14ac:dyDescent="0.25">
      <c r="T10314" s="135"/>
      <c r="U10314" s="135"/>
    </row>
    <row r="10315" spans="20:21" ht="15" customHeight="1" x14ac:dyDescent="0.25">
      <c r="T10315" s="135"/>
      <c r="U10315" s="135"/>
    </row>
    <row r="10316" spans="20:21" ht="15" customHeight="1" x14ac:dyDescent="0.25">
      <c r="T10316" s="135"/>
      <c r="U10316" s="135"/>
    </row>
    <row r="10317" spans="20:21" ht="15" customHeight="1" x14ac:dyDescent="0.25">
      <c r="T10317" s="135"/>
      <c r="U10317" s="135"/>
    </row>
    <row r="10318" spans="20:21" ht="15" customHeight="1" x14ac:dyDescent="0.25">
      <c r="T10318" s="135"/>
      <c r="U10318" s="135"/>
    </row>
    <row r="10319" spans="20:21" ht="15" customHeight="1" x14ac:dyDescent="0.25">
      <c r="T10319" s="135"/>
      <c r="U10319" s="135"/>
    </row>
    <row r="10320" spans="20:21" ht="15" customHeight="1" x14ac:dyDescent="0.25">
      <c r="T10320" s="135"/>
      <c r="U10320" s="135"/>
    </row>
    <row r="10321" spans="20:21" ht="15" customHeight="1" x14ac:dyDescent="0.25">
      <c r="T10321" s="135"/>
      <c r="U10321" s="135"/>
    </row>
    <row r="10322" spans="20:21" ht="15" customHeight="1" x14ac:dyDescent="0.25">
      <c r="T10322" s="135"/>
      <c r="U10322" s="135"/>
    </row>
    <row r="10323" spans="20:21" ht="15" customHeight="1" x14ac:dyDescent="0.25">
      <c r="T10323" s="135"/>
      <c r="U10323" s="135"/>
    </row>
    <row r="10324" spans="20:21" ht="15" customHeight="1" x14ac:dyDescent="0.25">
      <c r="T10324" s="135"/>
      <c r="U10324" s="135"/>
    </row>
    <row r="10325" spans="20:21" ht="15" customHeight="1" x14ac:dyDescent="0.25">
      <c r="T10325" s="135"/>
      <c r="U10325" s="135"/>
    </row>
    <row r="10326" spans="20:21" ht="15" customHeight="1" x14ac:dyDescent="0.25">
      <c r="T10326" s="135"/>
      <c r="U10326" s="135"/>
    </row>
    <row r="10327" spans="20:21" ht="15" customHeight="1" x14ac:dyDescent="0.25">
      <c r="T10327" s="135"/>
      <c r="U10327" s="135"/>
    </row>
    <row r="10328" spans="20:21" ht="15" customHeight="1" x14ac:dyDescent="0.25">
      <c r="T10328" s="135"/>
      <c r="U10328" s="135"/>
    </row>
    <row r="10329" spans="20:21" ht="15" customHeight="1" x14ac:dyDescent="0.25">
      <c r="T10329" s="135"/>
      <c r="U10329" s="135"/>
    </row>
    <row r="10330" spans="20:21" ht="15" customHeight="1" x14ac:dyDescent="0.25">
      <c r="T10330" s="135"/>
      <c r="U10330" s="135"/>
    </row>
    <row r="10331" spans="20:21" ht="15" customHeight="1" x14ac:dyDescent="0.25">
      <c r="T10331" s="135"/>
      <c r="U10331" s="135"/>
    </row>
    <row r="10332" spans="20:21" ht="15" customHeight="1" x14ac:dyDescent="0.25">
      <c r="T10332" s="135"/>
      <c r="U10332" s="135"/>
    </row>
    <row r="10333" spans="20:21" ht="15" customHeight="1" x14ac:dyDescent="0.25">
      <c r="T10333" s="135"/>
      <c r="U10333" s="135"/>
    </row>
    <row r="10334" spans="20:21" ht="15" customHeight="1" x14ac:dyDescent="0.25">
      <c r="T10334" s="135"/>
      <c r="U10334" s="135"/>
    </row>
    <row r="10335" spans="20:21" ht="15" customHeight="1" x14ac:dyDescent="0.25">
      <c r="T10335" s="135"/>
      <c r="U10335" s="135"/>
    </row>
    <row r="10336" spans="20:21" ht="15" customHeight="1" x14ac:dyDescent="0.25">
      <c r="T10336" s="135"/>
      <c r="U10336" s="135"/>
    </row>
    <row r="10337" spans="20:21" ht="15" customHeight="1" x14ac:dyDescent="0.25">
      <c r="T10337" s="135"/>
      <c r="U10337" s="135"/>
    </row>
    <row r="10338" spans="20:21" ht="15" customHeight="1" x14ac:dyDescent="0.25">
      <c r="T10338" s="135"/>
      <c r="U10338" s="135"/>
    </row>
    <row r="10339" spans="20:21" ht="15" customHeight="1" x14ac:dyDescent="0.25">
      <c r="T10339" s="135"/>
      <c r="U10339" s="135"/>
    </row>
    <row r="10340" spans="20:21" ht="15" customHeight="1" x14ac:dyDescent="0.25">
      <c r="T10340" s="135"/>
      <c r="U10340" s="135"/>
    </row>
    <row r="10341" spans="20:21" ht="15" customHeight="1" x14ac:dyDescent="0.25">
      <c r="T10341" s="135"/>
      <c r="U10341" s="135"/>
    </row>
    <row r="10342" spans="20:21" ht="15" customHeight="1" x14ac:dyDescent="0.25">
      <c r="T10342" s="135"/>
      <c r="U10342" s="135"/>
    </row>
    <row r="10343" spans="20:21" ht="15" customHeight="1" x14ac:dyDescent="0.25">
      <c r="T10343" s="135"/>
      <c r="U10343" s="135"/>
    </row>
    <row r="10344" spans="20:21" ht="15" customHeight="1" x14ac:dyDescent="0.25">
      <c r="T10344" s="135"/>
      <c r="U10344" s="135"/>
    </row>
    <row r="10345" spans="20:21" ht="15" customHeight="1" x14ac:dyDescent="0.25">
      <c r="T10345" s="135"/>
      <c r="U10345" s="135"/>
    </row>
    <row r="10346" spans="20:21" ht="15" customHeight="1" x14ac:dyDescent="0.25">
      <c r="T10346" s="135"/>
      <c r="U10346" s="135"/>
    </row>
    <row r="10347" spans="20:21" ht="15" customHeight="1" x14ac:dyDescent="0.25">
      <c r="T10347" s="135"/>
      <c r="U10347" s="135"/>
    </row>
    <row r="10348" spans="20:21" ht="15" customHeight="1" x14ac:dyDescent="0.25">
      <c r="T10348" s="135"/>
      <c r="U10348" s="135"/>
    </row>
    <row r="10349" spans="20:21" ht="15" customHeight="1" x14ac:dyDescent="0.25">
      <c r="T10349" s="135"/>
      <c r="U10349" s="135"/>
    </row>
    <row r="10350" spans="20:21" ht="15" customHeight="1" x14ac:dyDescent="0.25">
      <c r="T10350" s="135"/>
      <c r="U10350" s="135"/>
    </row>
    <row r="10351" spans="20:21" ht="15" customHeight="1" x14ac:dyDescent="0.25">
      <c r="T10351" s="135"/>
      <c r="U10351" s="135"/>
    </row>
    <row r="10352" spans="20:21" ht="15" customHeight="1" x14ac:dyDescent="0.25">
      <c r="T10352" s="135"/>
      <c r="U10352" s="135"/>
    </row>
    <row r="10353" spans="20:21" ht="15" customHeight="1" x14ac:dyDescent="0.25">
      <c r="T10353" s="135"/>
      <c r="U10353" s="135"/>
    </row>
    <row r="10354" spans="20:21" ht="15" customHeight="1" x14ac:dyDescent="0.25">
      <c r="T10354" s="135"/>
      <c r="U10354" s="135"/>
    </row>
    <row r="10355" spans="20:21" ht="15" customHeight="1" x14ac:dyDescent="0.25">
      <c r="T10355" s="135"/>
      <c r="U10355" s="135"/>
    </row>
    <row r="10356" spans="20:21" ht="15" customHeight="1" x14ac:dyDescent="0.25">
      <c r="T10356" s="135"/>
      <c r="U10356" s="135"/>
    </row>
    <row r="10357" spans="20:21" ht="15" customHeight="1" x14ac:dyDescent="0.25">
      <c r="T10357" s="135"/>
      <c r="U10357" s="135"/>
    </row>
    <row r="10358" spans="20:21" ht="15" customHeight="1" x14ac:dyDescent="0.25">
      <c r="T10358" s="135"/>
      <c r="U10358" s="135"/>
    </row>
    <row r="10359" spans="20:21" ht="15" customHeight="1" x14ac:dyDescent="0.25">
      <c r="T10359" s="135"/>
      <c r="U10359" s="135"/>
    </row>
    <row r="10360" spans="20:21" ht="15" customHeight="1" x14ac:dyDescent="0.25">
      <c r="T10360" s="135"/>
      <c r="U10360" s="135"/>
    </row>
    <row r="10361" spans="20:21" ht="15" customHeight="1" x14ac:dyDescent="0.25">
      <c r="T10361" s="135"/>
      <c r="U10361" s="135"/>
    </row>
    <row r="10362" spans="20:21" ht="15" customHeight="1" x14ac:dyDescent="0.25">
      <c r="T10362" s="135"/>
      <c r="U10362" s="135"/>
    </row>
    <row r="10363" spans="20:21" ht="15" customHeight="1" x14ac:dyDescent="0.25">
      <c r="T10363" s="135"/>
      <c r="U10363" s="135"/>
    </row>
    <row r="10364" spans="20:21" ht="15" customHeight="1" x14ac:dyDescent="0.25">
      <c r="T10364" s="135"/>
      <c r="U10364" s="135"/>
    </row>
    <row r="10365" spans="20:21" ht="15" customHeight="1" x14ac:dyDescent="0.25">
      <c r="T10365" s="135"/>
      <c r="U10365" s="135"/>
    </row>
    <row r="10366" spans="20:21" ht="15" customHeight="1" x14ac:dyDescent="0.25">
      <c r="T10366" s="135"/>
      <c r="U10366" s="135"/>
    </row>
    <row r="10367" spans="20:21" ht="15" customHeight="1" x14ac:dyDescent="0.25">
      <c r="T10367" s="135"/>
      <c r="U10367" s="135"/>
    </row>
    <row r="10368" spans="20:21" ht="15" customHeight="1" x14ac:dyDescent="0.25">
      <c r="T10368" s="135"/>
      <c r="U10368" s="135"/>
    </row>
    <row r="10369" spans="20:21" ht="15" customHeight="1" x14ac:dyDescent="0.25">
      <c r="T10369" s="135"/>
      <c r="U10369" s="135"/>
    </row>
    <row r="10370" spans="20:21" ht="15" customHeight="1" x14ac:dyDescent="0.25">
      <c r="T10370" s="135"/>
      <c r="U10370" s="135"/>
    </row>
    <row r="10371" spans="20:21" ht="15" customHeight="1" x14ac:dyDescent="0.25">
      <c r="T10371" s="135"/>
      <c r="U10371" s="135"/>
    </row>
    <row r="10372" spans="20:21" ht="15" customHeight="1" x14ac:dyDescent="0.25">
      <c r="T10372" s="135"/>
      <c r="U10372" s="135"/>
    </row>
    <row r="10373" spans="20:21" ht="15" customHeight="1" x14ac:dyDescent="0.25">
      <c r="T10373" s="135"/>
      <c r="U10373" s="135"/>
    </row>
    <row r="10374" spans="20:21" ht="15" customHeight="1" x14ac:dyDescent="0.25">
      <c r="T10374" s="135"/>
      <c r="U10374" s="135"/>
    </row>
    <row r="10375" spans="20:21" ht="15" customHeight="1" x14ac:dyDescent="0.25">
      <c r="T10375" s="135"/>
      <c r="U10375" s="135"/>
    </row>
    <row r="10376" spans="20:21" ht="15" customHeight="1" x14ac:dyDescent="0.25">
      <c r="T10376" s="135"/>
      <c r="U10376" s="135"/>
    </row>
    <row r="10377" spans="20:21" ht="15" customHeight="1" x14ac:dyDescent="0.25">
      <c r="T10377" s="135"/>
      <c r="U10377" s="135"/>
    </row>
    <row r="10378" spans="20:21" ht="15" customHeight="1" x14ac:dyDescent="0.25">
      <c r="T10378" s="135"/>
      <c r="U10378" s="135"/>
    </row>
    <row r="10379" spans="20:21" ht="15" customHeight="1" x14ac:dyDescent="0.25">
      <c r="T10379" s="135"/>
      <c r="U10379" s="135"/>
    </row>
    <row r="10380" spans="20:21" ht="15" customHeight="1" x14ac:dyDescent="0.25">
      <c r="T10380" s="135"/>
      <c r="U10380" s="135"/>
    </row>
    <row r="10381" spans="20:21" ht="15" customHeight="1" x14ac:dyDescent="0.25">
      <c r="T10381" s="135"/>
      <c r="U10381" s="135"/>
    </row>
    <row r="10382" spans="20:21" ht="15" customHeight="1" x14ac:dyDescent="0.25">
      <c r="T10382" s="135"/>
      <c r="U10382" s="135"/>
    </row>
    <row r="10383" spans="20:21" ht="15" customHeight="1" x14ac:dyDescent="0.25">
      <c r="T10383" s="135"/>
      <c r="U10383" s="135"/>
    </row>
    <row r="10384" spans="20:21" ht="15" customHeight="1" x14ac:dyDescent="0.25">
      <c r="T10384" s="135"/>
      <c r="U10384" s="135"/>
    </row>
    <row r="10385" spans="20:21" ht="15" customHeight="1" x14ac:dyDescent="0.25">
      <c r="T10385" s="135"/>
      <c r="U10385" s="135"/>
    </row>
    <row r="10386" spans="20:21" ht="15" customHeight="1" x14ac:dyDescent="0.25">
      <c r="T10386" s="135"/>
      <c r="U10386" s="135"/>
    </row>
    <row r="10387" spans="20:21" ht="15" customHeight="1" x14ac:dyDescent="0.25">
      <c r="T10387" s="135"/>
      <c r="U10387" s="135"/>
    </row>
    <row r="10388" spans="20:21" ht="15" customHeight="1" x14ac:dyDescent="0.25">
      <c r="T10388" s="135"/>
      <c r="U10388" s="135"/>
    </row>
    <row r="10389" spans="20:21" ht="15" customHeight="1" x14ac:dyDescent="0.25">
      <c r="T10389" s="135"/>
      <c r="U10389" s="135"/>
    </row>
    <row r="10390" spans="20:21" ht="15" customHeight="1" x14ac:dyDescent="0.25">
      <c r="T10390" s="135"/>
      <c r="U10390" s="135"/>
    </row>
    <row r="10391" spans="20:21" ht="15" customHeight="1" x14ac:dyDescent="0.25">
      <c r="T10391" s="135"/>
      <c r="U10391" s="135"/>
    </row>
    <row r="10392" spans="20:21" ht="15" customHeight="1" x14ac:dyDescent="0.25">
      <c r="T10392" s="135"/>
      <c r="U10392" s="135"/>
    </row>
    <row r="10393" spans="20:21" ht="15" customHeight="1" x14ac:dyDescent="0.25">
      <c r="T10393" s="135"/>
      <c r="U10393" s="135"/>
    </row>
    <row r="10394" spans="20:21" ht="15" customHeight="1" x14ac:dyDescent="0.25">
      <c r="T10394" s="135"/>
      <c r="U10394" s="135"/>
    </row>
    <row r="10395" spans="20:21" ht="15" customHeight="1" x14ac:dyDescent="0.25">
      <c r="T10395" s="135"/>
      <c r="U10395" s="135"/>
    </row>
    <row r="10396" spans="20:21" ht="15" customHeight="1" x14ac:dyDescent="0.25">
      <c r="T10396" s="135"/>
      <c r="U10396" s="135"/>
    </row>
    <row r="10397" spans="20:21" ht="15" customHeight="1" x14ac:dyDescent="0.25">
      <c r="T10397" s="135"/>
      <c r="U10397" s="135"/>
    </row>
    <row r="10398" spans="20:21" ht="15" customHeight="1" x14ac:dyDescent="0.25">
      <c r="T10398" s="135"/>
      <c r="U10398" s="135"/>
    </row>
    <row r="10399" spans="20:21" ht="15" customHeight="1" x14ac:dyDescent="0.25">
      <c r="T10399" s="135"/>
      <c r="U10399" s="135"/>
    </row>
    <row r="10400" spans="20:21" ht="15" customHeight="1" x14ac:dyDescent="0.25">
      <c r="T10400" s="135"/>
      <c r="U10400" s="135"/>
    </row>
    <row r="10401" spans="20:21" ht="15" customHeight="1" x14ac:dyDescent="0.25">
      <c r="T10401" s="135"/>
      <c r="U10401" s="135"/>
    </row>
    <row r="10402" spans="20:21" ht="15" customHeight="1" x14ac:dyDescent="0.25">
      <c r="T10402" s="135"/>
      <c r="U10402" s="135"/>
    </row>
    <row r="10403" spans="20:21" ht="15" customHeight="1" x14ac:dyDescent="0.25">
      <c r="T10403" s="135"/>
      <c r="U10403" s="135"/>
    </row>
    <row r="10404" spans="20:21" ht="15" customHeight="1" x14ac:dyDescent="0.25">
      <c r="T10404" s="135"/>
      <c r="U10404" s="135"/>
    </row>
    <row r="10405" spans="20:21" ht="15" customHeight="1" x14ac:dyDescent="0.25">
      <c r="T10405" s="135"/>
      <c r="U10405" s="135"/>
    </row>
    <row r="10406" spans="20:21" ht="15" customHeight="1" x14ac:dyDescent="0.25">
      <c r="T10406" s="135"/>
      <c r="U10406" s="135"/>
    </row>
    <row r="10407" spans="20:21" ht="15" customHeight="1" x14ac:dyDescent="0.25">
      <c r="T10407" s="135"/>
      <c r="U10407" s="135"/>
    </row>
    <row r="10408" spans="20:21" ht="15" customHeight="1" x14ac:dyDescent="0.25">
      <c r="T10408" s="135"/>
      <c r="U10408" s="135"/>
    </row>
    <row r="10409" spans="20:21" ht="15" customHeight="1" x14ac:dyDescent="0.25">
      <c r="T10409" s="135"/>
      <c r="U10409" s="135"/>
    </row>
    <row r="10410" spans="20:21" ht="15" customHeight="1" x14ac:dyDescent="0.25">
      <c r="T10410" s="135"/>
      <c r="U10410" s="135"/>
    </row>
    <row r="10411" spans="20:21" ht="15" customHeight="1" x14ac:dyDescent="0.25">
      <c r="T10411" s="135"/>
      <c r="U10411" s="135"/>
    </row>
    <row r="10412" spans="20:21" ht="15" customHeight="1" x14ac:dyDescent="0.25">
      <c r="T10412" s="135"/>
      <c r="U10412" s="135"/>
    </row>
    <row r="10413" spans="20:21" ht="15" customHeight="1" x14ac:dyDescent="0.25">
      <c r="T10413" s="135"/>
      <c r="U10413" s="135"/>
    </row>
    <row r="10414" spans="20:21" ht="15" customHeight="1" x14ac:dyDescent="0.25">
      <c r="T10414" s="135"/>
      <c r="U10414" s="135"/>
    </row>
    <row r="10415" spans="20:21" ht="15" customHeight="1" x14ac:dyDescent="0.25">
      <c r="T10415" s="135"/>
      <c r="U10415" s="135"/>
    </row>
    <row r="10416" spans="20:21" ht="15" customHeight="1" x14ac:dyDescent="0.25">
      <c r="T10416" s="135"/>
      <c r="U10416" s="135"/>
    </row>
    <row r="10417" spans="20:21" ht="15" customHeight="1" x14ac:dyDescent="0.25">
      <c r="T10417" s="135"/>
      <c r="U10417" s="135"/>
    </row>
    <row r="10418" spans="20:21" ht="15" customHeight="1" x14ac:dyDescent="0.25">
      <c r="T10418" s="135"/>
      <c r="U10418" s="135"/>
    </row>
    <row r="10419" spans="20:21" ht="15" customHeight="1" x14ac:dyDescent="0.25">
      <c r="T10419" s="135"/>
      <c r="U10419" s="135"/>
    </row>
    <row r="10420" spans="20:21" ht="15" customHeight="1" x14ac:dyDescent="0.25">
      <c r="T10420" s="135"/>
      <c r="U10420" s="135"/>
    </row>
    <row r="10421" spans="20:21" ht="15" customHeight="1" x14ac:dyDescent="0.25">
      <c r="T10421" s="135"/>
      <c r="U10421" s="135"/>
    </row>
    <row r="10422" spans="20:21" ht="15" customHeight="1" x14ac:dyDescent="0.25">
      <c r="T10422" s="135"/>
      <c r="U10422" s="135"/>
    </row>
    <row r="10423" spans="20:21" ht="15" customHeight="1" x14ac:dyDescent="0.25">
      <c r="T10423" s="135"/>
      <c r="U10423" s="135"/>
    </row>
    <row r="10424" spans="20:21" ht="15" customHeight="1" x14ac:dyDescent="0.25">
      <c r="T10424" s="135"/>
      <c r="U10424" s="135"/>
    </row>
    <row r="10425" spans="20:21" ht="15" customHeight="1" x14ac:dyDescent="0.25">
      <c r="T10425" s="135"/>
      <c r="U10425" s="135"/>
    </row>
    <row r="10426" spans="20:21" ht="15" customHeight="1" x14ac:dyDescent="0.25">
      <c r="T10426" s="135"/>
      <c r="U10426" s="135"/>
    </row>
    <row r="10427" spans="20:21" ht="15" customHeight="1" x14ac:dyDescent="0.25">
      <c r="T10427" s="135"/>
      <c r="U10427" s="135"/>
    </row>
    <row r="10428" spans="20:21" ht="15" customHeight="1" x14ac:dyDescent="0.25">
      <c r="T10428" s="135"/>
      <c r="U10428" s="135"/>
    </row>
    <row r="10429" spans="20:21" ht="15" customHeight="1" x14ac:dyDescent="0.25">
      <c r="T10429" s="135"/>
      <c r="U10429" s="135"/>
    </row>
    <row r="10430" spans="20:21" ht="15" customHeight="1" x14ac:dyDescent="0.25">
      <c r="T10430" s="135"/>
      <c r="U10430" s="135"/>
    </row>
    <row r="10431" spans="20:21" ht="15" customHeight="1" x14ac:dyDescent="0.25">
      <c r="T10431" s="135"/>
      <c r="U10431" s="135"/>
    </row>
    <row r="10432" spans="20:21" ht="15" customHeight="1" x14ac:dyDescent="0.25">
      <c r="T10432" s="135"/>
      <c r="U10432" s="135"/>
    </row>
    <row r="10433" spans="20:21" ht="15" customHeight="1" x14ac:dyDescent="0.25">
      <c r="T10433" s="135"/>
      <c r="U10433" s="135"/>
    </row>
    <row r="10434" spans="20:21" ht="15" customHeight="1" x14ac:dyDescent="0.25">
      <c r="T10434" s="135"/>
      <c r="U10434" s="135"/>
    </row>
    <row r="10435" spans="20:21" ht="15" customHeight="1" x14ac:dyDescent="0.25">
      <c r="T10435" s="135"/>
      <c r="U10435" s="135"/>
    </row>
    <row r="10436" spans="20:21" ht="15" customHeight="1" x14ac:dyDescent="0.25">
      <c r="T10436" s="135"/>
      <c r="U10436" s="135"/>
    </row>
    <row r="10437" spans="20:21" ht="15" customHeight="1" x14ac:dyDescent="0.25">
      <c r="T10437" s="135"/>
      <c r="U10437" s="135"/>
    </row>
    <row r="10438" spans="20:21" ht="15" customHeight="1" x14ac:dyDescent="0.25">
      <c r="T10438" s="135"/>
      <c r="U10438" s="135"/>
    </row>
    <row r="10439" spans="20:21" ht="15" customHeight="1" x14ac:dyDescent="0.25">
      <c r="T10439" s="135"/>
      <c r="U10439" s="135"/>
    </row>
    <row r="10440" spans="20:21" ht="15" customHeight="1" x14ac:dyDescent="0.25">
      <c r="T10440" s="135"/>
      <c r="U10440" s="135"/>
    </row>
    <row r="10441" spans="20:21" ht="15" customHeight="1" x14ac:dyDescent="0.25">
      <c r="T10441" s="135"/>
      <c r="U10441" s="135"/>
    </row>
    <row r="10442" spans="20:21" ht="15" customHeight="1" x14ac:dyDescent="0.25">
      <c r="T10442" s="135"/>
      <c r="U10442" s="135"/>
    </row>
    <row r="10443" spans="20:21" ht="15" customHeight="1" x14ac:dyDescent="0.25">
      <c r="T10443" s="135"/>
      <c r="U10443" s="135"/>
    </row>
    <row r="10444" spans="20:21" ht="15" customHeight="1" x14ac:dyDescent="0.25">
      <c r="T10444" s="135"/>
      <c r="U10444" s="135"/>
    </row>
    <row r="10445" spans="20:21" ht="15" customHeight="1" x14ac:dyDescent="0.25">
      <c r="T10445" s="135"/>
      <c r="U10445" s="135"/>
    </row>
    <row r="10446" spans="20:21" ht="15" customHeight="1" x14ac:dyDescent="0.25">
      <c r="T10446" s="135"/>
      <c r="U10446" s="135"/>
    </row>
    <row r="10447" spans="20:21" ht="15" customHeight="1" x14ac:dyDescent="0.25">
      <c r="T10447" s="135"/>
      <c r="U10447" s="135"/>
    </row>
    <row r="10448" spans="20:21" ht="15" customHeight="1" x14ac:dyDescent="0.25">
      <c r="T10448" s="135"/>
      <c r="U10448" s="135"/>
    </row>
    <row r="10449" spans="20:21" ht="15" customHeight="1" x14ac:dyDescent="0.25">
      <c r="T10449" s="135"/>
      <c r="U10449" s="135"/>
    </row>
    <row r="10450" spans="20:21" ht="15" customHeight="1" x14ac:dyDescent="0.25">
      <c r="T10450" s="135"/>
      <c r="U10450" s="135"/>
    </row>
    <row r="10451" spans="20:21" ht="15" customHeight="1" x14ac:dyDescent="0.25">
      <c r="T10451" s="135"/>
      <c r="U10451" s="135"/>
    </row>
    <row r="10452" spans="20:21" ht="15" customHeight="1" x14ac:dyDescent="0.25">
      <c r="T10452" s="135"/>
      <c r="U10452" s="135"/>
    </row>
    <row r="10453" spans="20:21" ht="15" customHeight="1" x14ac:dyDescent="0.25">
      <c r="T10453" s="135"/>
      <c r="U10453" s="135"/>
    </row>
    <row r="10454" spans="20:21" ht="15" customHeight="1" x14ac:dyDescent="0.25">
      <c r="T10454" s="135"/>
      <c r="U10454" s="135"/>
    </row>
    <row r="10455" spans="20:21" ht="15" customHeight="1" x14ac:dyDescent="0.25">
      <c r="T10455" s="135"/>
      <c r="U10455" s="135"/>
    </row>
    <row r="10456" spans="20:21" ht="15" customHeight="1" x14ac:dyDescent="0.25">
      <c r="T10456" s="135"/>
      <c r="U10456" s="135"/>
    </row>
    <row r="10457" spans="20:21" ht="15" customHeight="1" x14ac:dyDescent="0.25">
      <c r="T10457" s="135"/>
      <c r="U10457" s="135"/>
    </row>
    <row r="10458" spans="20:21" ht="15" customHeight="1" x14ac:dyDescent="0.25">
      <c r="T10458" s="135"/>
      <c r="U10458" s="135"/>
    </row>
    <row r="10459" spans="20:21" ht="15" customHeight="1" x14ac:dyDescent="0.25">
      <c r="T10459" s="135"/>
      <c r="U10459" s="135"/>
    </row>
    <row r="10460" spans="20:21" ht="15" customHeight="1" x14ac:dyDescent="0.25">
      <c r="T10460" s="135"/>
      <c r="U10460" s="135"/>
    </row>
    <row r="10461" spans="20:21" ht="15" customHeight="1" x14ac:dyDescent="0.25">
      <c r="T10461" s="135"/>
      <c r="U10461" s="135"/>
    </row>
    <row r="10462" spans="20:21" ht="15" customHeight="1" x14ac:dyDescent="0.25">
      <c r="T10462" s="135"/>
      <c r="U10462" s="135"/>
    </row>
    <row r="10463" spans="20:21" ht="15" customHeight="1" x14ac:dyDescent="0.25">
      <c r="T10463" s="135"/>
      <c r="U10463" s="135"/>
    </row>
    <row r="10464" spans="20:21" ht="15" customHeight="1" x14ac:dyDescent="0.25">
      <c r="T10464" s="135"/>
      <c r="U10464" s="135"/>
    </row>
    <row r="10465" spans="20:21" ht="15" customHeight="1" x14ac:dyDescent="0.25">
      <c r="T10465" s="135"/>
      <c r="U10465" s="135"/>
    </row>
    <row r="10466" spans="20:21" ht="15" customHeight="1" x14ac:dyDescent="0.25">
      <c r="T10466" s="135"/>
      <c r="U10466" s="135"/>
    </row>
    <row r="10467" spans="20:21" ht="15" customHeight="1" x14ac:dyDescent="0.25">
      <c r="T10467" s="135"/>
      <c r="U10467" s="135"/>
    </row>
    <row r="10468" spans="20:21" ht="15" customHeight="1" x14ac:dyDescent="0.25">
      <c r="T10468" s="135"/>
      <c r="U10468" s="135"/>
    </row>
    <row r="10469" spans="20:21" ht="15" customHeight="1" x14ac:dyDescent="0.25">
      <c r="T10469" s="135"/>
      <c r="U10469" s="135"/>
    </row>
    <row r="10470" spans="20:21" ht="15" customHeight="1" x14ac:dyDescent="0.25">
      <c r="T10470" s="135"/>
      <c r="U10470" s="135"/>
    </row>
    <row r="10471" spans="20:21" ht="15" customHeight="1" x14ac:dyDescent="0.25">
      <c r="T10471" s="135"/>
      <c r="U10471" s="135"/>
    </row>
    <row r="10472" spans="20:21" ht="15" customHeight="1" x14ac:dyDescent="0.25">
      <c r="T10472" s="135"/>
      <c r="U10472" s="135"/>
    </row>
    <row r="10473" spans="20:21" ht="15" customHeight="1" x14ac:dyDescent="0.25">
      <c r="T10473" s="135"/>
      <c r="U10473" s="135"/>
    </row>
    <row r="10474" spans="20:21" ht="15" customHeight="1" x14ac:dyDescent="0.25">
      <c r="T10474" s="135"/>
      <c r="U10474" s="135"/>
    </row>
    <row r="10475" spans="20:21" ht="15" customHeight="1" x14ac:dyDescent="0.25">
      <c r="T10475" s="135"/>
      <c r="U10475" s="135"/>
    </row>
    <row r="10476" spans="20:21" ht="15" customHeight="1" x14ac:dyDescent="0.25">
      <c r="T10476" s="135"/>
      <c r="U10476" s="135"/>
    </row>
    <row r="10477" spans="20:21" ht="15" customHeight="1" x14ac:dyDescent="0.25">
      <c r="T10477" s="135"/>
      <c r="U10477" s="135"/>
    </row>
    <row r="10478" spans="20:21" ht="15" customHeight="1" x14ac:dyDescent="0.25">
      <c r="T10478" s="135"/>
      <c r="U10478" s="135"/>
    </row>
    <row r="10479" spans="20:21" ht="15" customHeight="1" x14ac:dyDescent="0.25">
      <c r="T10479" s="135"/>
      <c r="U10479" s="135"/>
    </row>
    <row r="10480" spans="20:21" ht="15" customHeight="1" x14ac:dyDescent="0.25">
      <c r="T10480" s="135"/>
      <c r="U10480" s="135"/>
    </row>
    <row r="10481" spans="20:21" ht="15" customHeight="1" x14ac:dyDescent="0.25">
      <c r="T10481" s="135"/>
      <c r="U10481" s="135"/>
    </row>
    <row r="10482" spans="20:21" ht="15" customHeight="1" x14ac:dyDescent="0.25">
      <c r="T10482" s="135"/>
      <c r="U10482" s="135"/>
    </row>
    <row r="10483" spans="20:21" ht="15" customHeight="1" x14ac:dyDescent="0.25">
      <c r="T10483" s="135"/>
      <c r="U10483" s="135"/>
    </row>
    <row r="10484" spans="20:21" ht="15" customHeight="1" x14ac:dyDescent="0.25">
      <c r="T10484" s="135"/>
      <c r="U10484" s="135"/>
    </row>
    <row r="10485" spans="20:21" ht="15" customHeight="1" x14ac:dyDescent="0.25">
      <c r="T10485" s="135"/>
      <c r="U10485" s="135"/>
    </row>
    <row r="10486" spans="20:21" ht="15" customHeight="1" x14ac:dyDescent="0.25">
      <c r="T10486" s="135"/>
      <c r="U10486" s="135"/>
    </row>
    <row r="10487" spans="20:21" ht="15" customHeight="1" x14ac:dyDescent="0.25">
      <c r="T10487" s="135"/>
      <c r="U10487" s="135"/>
    </row>
    <row r="10488" spans="20:21" ht="15" customHeight="1" x14ac:dyDescent="0.25">
      <c r="T10488" s="135"/>
      <c r="U10488" s="135"/>
    </row>
    <row r="10489" spans="20:21" ht="15" customHeight="1" x14ac:dyDescent="0.25">
      <c r="T10489" s="135"/>
      <c r="U10489" s="135"/>
    </row>
    <row r="10490" spans="20:21" ht="15" customHeight="1" x14ac:dyDescent="0.25">
      <c r="T10490" s="135"/>
      <c r="U10490" s="135"/>
    </row>
    <row r="10491" spans="20:21" ht="15" customHeight="1" x14ac:dyDescent="0.25">
      <c r="T10491" s="135"/>
      <c r="U10491" s="135"/>
    </row>
    <row r="10492" spans="20:21" ht="15" customHeight="1" x14ac:dyDescent="0.25">
      <c r="T10492" s="135"/>
      <c r="U10492" s="135"/>
    </row>
    <row r="10493" spans="20:21" ht="15" customHeight="1" x14ac:dyDescent="0.25">
      <c r="T10493" s="135"/>
      <c r="U10493" s="135"/>
    </row>
    <row r="10494" spans="20:21" ht="15" customHeight="1" x14ac:dyDescent="0.25">
      <c r="T10494" s="135"/>
      <c r="U10494" s="135"/>
    </row>
    <row r="10495" spans="20:21" ht="15" customHeight="1" x14ac:dyDescent="0.25">
      <c r="T10495" s="135"/>
      <c r="U10495" s="135"/>
    </row>
    <row r="10496" spans="20:21" ht="15" customHeight="1" x14ac:dyDescent="0.25">
      <c r="T10496" s="135"/>
      <c r="U10496" s="135"/>
    </row>
    <row r="10497" spans="20:21" ht="15" customHeight="1" x14ac:dyDescent="0.25">
      <c r="T10497" s="135"/>
      <c r="U10497" s="135"/>
    </row>
    <row r="10498" spans="20:21" ht="15" customHeight="1" x14ac:dyDescent="0.25">
      <c r="T10498" s="135"/>
      <c r="U10498" s="135"/>
    </row>
    <row r="10499" spans="20:21" ht="15" customHeight="1" x14ac:dyDescent="0.25">
      <c r="T10499" s="135"/>
      <c r="U10499" s="135"/>
    </row>
    <row r="10500" spans="20:21" ht="15" customHeight="1" x14ac:dyDescent="0.25">
      <c r="T10500" s="135"/>
      <c r="U10500" s="135"/>
    </row>
    <row r="10501" spans="20:21" ht="15" customHeight="1" x14ac:dyDescent="0.25">
      <c r="T10501" s="135"/>
      <c r="U10501" s="135"/>
    </row>
    <row r="10502" spans="20:21" ht="15" customHeight="1" x14ac:dyDescent="0.25">
      <c r="T10502" s="135"/>
      <c r="U10502" s="135"/>
    </row>
    <row r="10503" spans="20:21" ht="15" customHeight="1" x14ac:dyDescent="0.25">
      <c r="T10503" s="135"/>
      <c r="U10503" s="135"/>
    </row>
    <row r="10504" spans="20:21" ht="15" customHeight="1" x14ac:dyDescent="0.25">
      <c r="T10504" s="135"/>
      <c r="U10504" s="135"/>
    </row>
    <row r="10505" spans="20:21" ht="15" customHeight="1" x14ac:dyDescent="0.25">
      <c r="T10505" s="135"/>
      <c r="U10505" s="135"/>
    </row>
    <row r="10506" spans="20:21" ht="15" customHeight="1" x14ac:dyDescent="0.25">
      <c r="T10506" s="135"/>
      <c r="U10506" s="135"/>
    </row>
    <row r="10507" spans="20:21" ht="15" customHeight="1" x14ac:dyDescent="0.25">
      <c r="T10507" s="135"/>
      <c r="U10507" s="135"/>
    </row>
    <row r="10508" spans="20:21" ht="15" customHeight="1" x14ac:dyDescent="0.25">
      <c r="T10508" s="135"/>
      <c r="U10508" s="135"/>
    </row>
    <row r="10509" spans="20:21" ht="15" customHeight="1" x14ac:dyDescent="0.25">
      <c r="T10509" s="135"/>
      <c r="U10509" s="135"/>
    </row>
    <row r="10510" spans="20:21" ht="15" customHeight="1" x14ac:dyDescent="0.25">
      <c r="T10510" s="135"/>
      <c r="U10510" s="135"/>
    </row>
    <row r="10511" spans="20:21" ht="15" customHeight="1" x14ac:dyDescent="0.25">
      <c r="T10511" s="135"/>
      <c r="U10511" s="135"/>
    </row>
    <row r="10512" spans="20:21" ht="15" customHeight="1" x14ac:dyDescent="0.25">
      <c r="T10512" s="135"/>
      <c r="U10512" s="135"/>
    </row>
    <row r="10513" spans="20:21" ht="15" customHeight="1" x14ac:dyDescent="0.25">
      <c r="T10513" s="135"/>
      <c r="U10513" s="135"/>
    </row>
    <row r="10514" spans="20:21" ht="15" customHeight="1" x14ac:dyDescent="0.25">
      <c r="T10514" s="135"/>
      <c r="U10514" s="135"/>
    </row>
    <row r="10515" spans="20:21" ht="15" customHeight="1" x14ac:dyDescent="0.25">
      <c r="T10515" s="135"/>
      <c r="U10515" s="135"/>
    </row>
    <row r="10516" spans="20:21" ht="15" customHeight="1" x14ac:dyDescent="0.25">
      <c r="T10516" s="135"/>
      <c r="U10516" s="135"/>
    </row>
    <row r="10517" spans="20:21" ht="15" customHeight="1" x14ac:dyDescent="0.25">
      <c r="T10517" s="135"/>
      <c r="U10517" s="135"/>
    </row>
    <row r="10518" spans="20:21" ht="15" customHeight="1" x14ac:dyDescent="0.25">
      <c r="T10518" s="135"/>
      <c r="U10518" s="135"/>
    </row>
    <row r="10519" spans="20:21" ht="15" customHeight="1" x14ac:dyDescent="0.25">
      <c r="T10519" s="135"/>
      <c r="U10519" s="135"/>
    </row>
    <row r="10520" spans="20:21" ht="15" customHeight="1" x14ac:dyDescent="0.25">
      <c r="T10520" s="135"/>
      <c r="U10520" s="135"/>
    </row>
    <row r="10521" spans="20:21" ht="15" customHeight="1" x14ac:dyDescent="0.25">
      <c r="T10521" s="135"/>
      <c r="U10521" s="135"/>
    </row>
    <row r="10522" spans="20:21" ht="15" customHeight="1" x14ac:dyDescent="0.25">
      <c r="T10522" s="135"/>
      <c r="U10522" s="135"/>
    </row>
    <row r="10523" spans="20:21" ht="15" customHeight="1" x14ac:dyDescent="0.25">
      <c r="T10523" s="135"/>
      <c r="U10523" s="135"/>
    </row>
    <row r="10524" spans="20:21" ht="15" customHeight="1" x14ac:dyDescent="0.25">
      <c r="T10524" s="135"/>
      <c r="U10524" s="135"/>
    </row>
    <row r="10525" spans="20:21" ht="15" customHeight="1" x14ac:dyDescent="0.25">
      <c r="T10525" s="135"/>
      <c r="U10525" s="135"/>
    </row>
    <row r="10526" spans="20:21" ht="15" customHeight="1" x14ac:dyDescent="0.25">
      <c r="T10526" s="135"/>
      <c r="U10526" s="135"/>
    </row>
    <row r="10527" spans="20:21" ht="15" customHeight="1" x14ac:dyDescent="0.25">
      <c r="T10527" s="135"/>
      <c r="U10527" s="135"/>
    </row>
    <row r="10528" spans="20:21" ht="15" customHeight="1" x14ac:dyDescent="0.25">
      <c r="T10528" s="135"/>
      <c r="U10528" s="135"/>
    </row>
    <row r="10529" spans="20:21" ht="15" customHeight="1" x14ac:dyDescent="0.25">
      <c r="T10529" s="135"/>
      <c r="U10529" s="135"/>
    </row>
    <row r="10530" spans="20:21" ht="15" customHeight="1" x14ac:dyDescent="0.25">
      <c r="T10530" s="135"/>
      <c r="U10530" s="135"/>
    </row>
    <row r="10531" spans="20:21" ht="15" customHeight="1" x14ac:dyDescent="0.25">
      <c r="T10531" s="135"/>
      <c r="U10531" s="135"/>
    </row>
    <row r="10532" spans="20:21" ht="15" customHeight="1" x14ac:dyDescent="0.25">
      <c r="T10532" s="135"/>
      <c r="U10532" s="135"/>
    </row>
    <row r="10533" spans="20:21" ht="15" customHeight="1" x14ac:dyDescent="0.25">
      <c r="T10533" s="135"/>
      <c r="U10533" s="135"/>
    </row>
    <row r="10534" spans="20:21" ht="15" customHeight="1" x14ac:dyDescent="0.25">
      <c r="T10534" s="135"/>
      <c r="U10534" s="135"/>
    </row>
    <row r="10535" spans="20:21" ht="15" customHeight="1" x14ac:dyDescent="0.25">
      <c r="T10535" s="135"/>
      <c r="U10535" s="135"/>
    </row>
    <row r="10536" spans="20:21" ht="15" customHeight="1" x14ac:dyDescent="0.25">
      <c r="T10536" s="135"/>
      <c r="U10536" s="135"/>
    </row>
    <row r="10537" spans="20:21" ht="15" customHeight="1" x14ac:dyDescent="0.25">
      <c r="T10537" s="135"/>
      <c r="U10537" s="135"/>
    </row>
    <row r="10538" spans="20:21" ht="15" customHeight="1" x14ac:dyDescent="0.25">
      <c r="T10538" s="135"/>
      <c r="U10538" s="135"/>
    </row>
    <row r="10539" spans="20:21" ht="15" customHeight="1" x14ac:dyDescent="0.25">
      <c r="T10539" s="135"/>
      <c r="U10539" s="135"/>
    </row>
    <row r="10540" spans="20:21" ht="15" customHeight="1" x14ac:dyDescent="0.25">
      <c r="T10540" s="135"/>
      <c r="U10540" s="135"/>
    </row>
    <row r="10541" spans="20:21" ht="15" customHeight="1" x14ac:dyDescent="0.25">
      <c r="T10541" s="135"/>
      <c r="U10541" s="135"/>
    </row>
    <row r="10542" spans="20:21" ht="15" customHeight="1" x14ac:dyDescent="0.25">
      <c r="T10542" s="135"/>
      <c r="U10542" s="135"/>
    </row>
    <row r="10543" spans="20:21" ht="15" customHeight="1" x14ac:dyDescent="0.25">
      <c r="T10543" s="135"/>
      <c r="U10543" s="135"/>
    </row>
    <row r="10544" spans="20:21" ht="15" customHeight="1" x14ac:dyDescent="0.25">
      <c r="T10544" s="135"/>
      <c r="U10544" s="135"/>
    </row>
    <row r="10545" spans="20:21" ht="15" customHeight="1" x14ac:dyDescent="0.25">
      <c r="T10545" s="135"/>
      <c r="U10545" s="135"/>
    </row>
    <row r="10546" spans="20:21" ht="15" customHeight="1" x14ac:dyDescent="0.25">
      <c r="T10546" s="135"/>
      <c r="U10546" s="135"/>
    </row>
    <row r="10547" spans="20:21" ht="15" customHeight="1" x14ac:dyDescent="0.25">
      <c r="T10547" s="135"/>
      <c r="U10547" s="135"/>
    </row>
    <row r="10548" spans="20:21" ht="15" customHeight="1" x14ac:dyDescent="0.25">
      <c r="T10548" s="135"/>
      <c r="U10548" s="135"/>
    </row>
    <row r="10549" spans="20:21" ht="15" customHeight="1" x14ac:dyDescent="0.25">
      <c r="T10549" s="135"/>
      <c r="U10549" s="135"/>
    </row>
    <row r="10550" spans="20:21" ht="15" customHeight="1" x14ac:dyDescent="0.25">
      <c r="T10550" s="135"/>
      <c r="U10550" s="135"/>
    </row>
    <row r="10551" spans="20:21" ht="15" customHeight="1" x14ac:dyDescent="0.25">
      <c r="T10551" s="135"/>
      <c r="U10551" s="135"/>
    </row>
    <row r="10552" spans="20:21" ht="15" customHeight="1" x14ac:dyDescent="0.25">
      <c r="T10552" s="135"/>
      <c r="U10552" s="135"/>
    </row>
    <row r="10553" spans="20:21" ht="15" customHeight="1" x14ac:dyDescent="0.25">
      <c r="T10553" s="135"/>
      <c r="U10553" s="135"/>
    </row>
    <row r="10554" spans="20:21" ht="15" customHeight="1" x14ac:dyDescent="0.25">
      <c r="T10554" s="135"/>
      <c r="U10554" s="135"/>
    </row>
    <row r="10555" spans="20:21" ht="15" customHeight="1" x14ac:dyDescent="0.25">
      <c r="T10555" s="135"/>
      <c r="U10555" s="135"/>
    </row>
    <row r="10556" spans="20:21" ht="15" customHeight="1" x14ac:dyDescent="0.25">
      <c r="T10556" s="135"/>
      <c r="U10556" s="135"/>
    </row>
    <row r="10557" spans="20:21" ht="15" customHeight="1" x14ac:dyDescent="0.25">
      <c r="T10557" s="135"/>
      <c r="U10557" s="135"/>
    </row>
    <row r="10558" spans="20:21" ht="15" customHeight="1" x14ac:dyDescent="0.25">
      <c r="T10558" s="135"/>
      <c r="U10558" s="135"/>
    </row>
    <row r="10559" spans="20:21" ht="15" customHeight="1" x14ac:dyDescent="0.25">
      <c r="T10559" s="135"/>
      <c r="U10559" s="135"/>
    </row>
    <row r="10560" spans="20:21" ht="15" customHeight="1" x14ac:dyDescent="0.25">
      <c r="T10560" s="135"/>
      <c r="U10560" s="135"/>
    </row>
    <row r="10561" spans="20:21" ht="15" customHeight="1" x14ac:dyDescent="0.25">
      <c r="T10561" s="135"/>
      <c r="U10561" s="135"/>
    </row>
    <row r="10562" spans="20:21" ht="15" customHeight="1" x14ac:dyDescent="0.25">
      <c r="T10562" s="135"/>
      <c r="U10562" s="135"/>
    </row>
    <row r="10563" spans="20:21" ht="15" customHeight="1" x14ac:dyDescent="0.25">
      <c r="T10563" s="135"/>
      <c r="U10563" s="135"/>
    </row>
    <row r="10564" spans="20:21" ht="15" customHeight="1" x14ac:dyDescent="0.25">
      <c r="T10564" s="135"/>
      <c r="U10564" s="135"/>
    </row>
    <row r="10565" spans="20:21" ht="15" customHeight="1" x14ac:dyDescent="0.25">
      <c r="T10565" s="135"/>
      <c r="U10565" s="135"/>
    </row>
    <row r="10566" spans="20:21" ht="15" customHeight="1" x14ac:dyDescent="0.25">
      <c r="T10566" s="135"/>
      <c r="U10566" s="135"/>
    </row>
    <row r="10567" spans="20:21" ht="15" customHeight="1" x14ac:dyDescent="0.25">
      <c r="T10567" s="135"/>
      <c r="U10567" s="135"/>
    </row>
    <row r="10568" spans="20:21" ht="15" customHeight="1" x14ac:dyDescent="0.25">
      <c r="T10568" s="135"/>
      <c r="U10568" s="135"/>
    </row>
    <row r="10569" spans="20:21" ht="15" customHeight="1" x14ac:dyDescent="0.25">
      <c r="T10569" s="135"/>
      <c r="U10569" s="135"/>
    </row>
    <row r="10570" spans="20:21" ht="15" customHeight="1" x14ac:dyDescent="0.25">
      <c r="T10570" s="135"/>
      <c r="U10570" s="135"/>
    </row>
    <row r="10571" spans="20:21" ht="15" customHeight="1" x14ac:dyDescent="0.25">
      <c r="T10571" s="135"/>
      <c r="U10571" s="135"/>
    </row>
    <row r="10572" spans="20:21" ht="15" customHeight="1" x14ac:dyDescent="0.25">
      <c r="T10572" s="135"/>
      <c r="U10572" s="135"/>
    </row>
    <row r="10573" spans="20:21" ht="15" customHeight="1" x14ac:dyDescent="0.25">
      <c r="T10573" s="135"/>
      <c r="U10573" s="135"/>
    </row>
    <row r="10574" spans="20:21" ht="15" customHeight="1" x14ac:dyDescent="0.25">
      <c r="T10574" s="135"/>
      <c r="U10574" s="135"/>
    </row>
    <row r="10575" spans="20:21" ht="15" customHeight="1" x14ac:dyDescent="0.25">
      <c r="T10575" s="135"/>
      <c r="U10575" s="135"/>
    </row>
    <row r="10576" spans="20:21" ht="15" customHeight="1" x14ac:dyDescent="0.25">
      <c r="T10576" s="135"/>
      <c r="U10576" s="135"/>
    </row>
    <row r="10577" spans="20:21" ht="15" customHeight="1" x14ac:dyDescent="0.25">
      <c r="T10577" s="135"/>
      <c r="U10577" s="135"/>
    </row>
    <row r="10578" spans="20:21" ht="15" customHeight="1" x14ac:dyDescent="0.25">
      <c r="T10578" s="135"/>
      <c r="U10578" s="135"/>
    </row>
    <row r="10579" spans="20:21" ht="15" customHeight="1" x14ac:dyDescent="0.25">
      <c r="T10579" s="135"/>
      <c r="U10579" s="135"/>
    </row>
    <row r="10580" spans="20:21" ht="15" customHeight="1" x14ac:dyDescent="0.25">
      <c r="T10580" s="135"/>
      <c r="U10580" s="135"/>
    </row>
    <row r="10581" spans="20:21" ht="15" customHeight="1" x14ac:dyDescent="0.25">
      <c r="T10581" s="135"/>
      <c r="U10581" s="135"/>
    </row>
    <row r="10582" spans="20:21" ht="15" customHeight="1" x14ac:dyDescent="0.25">
      <c r="T10582" s="135"/>
      <c r="U10582" s="135"/>
    </row>
    <row r="10583" spans="20:21" ht="15" customHeight="1" x14ac:dyDescent="0.25">
      <c r="T10583" s="135"/>
      <c r="U10583" s="135"/>
    </row>
    <row r="10584" spans="20:21" ht="15" customHeight="1" x14ac:dyDescent="0.25">
      <c r="T10584" s="135"/>
      <c r="U10584" s="135"/>
    </row>
    <row r="10585" spans="20:21" ht="15" customHeight="1" x14ac:dyDescent="0.25">
      <c r="T10585" s="135"/>
      <c r="U10585" s="135"/>
    </row>
    <row r="10586" spans="20:21" ht="15" customHeight="1" x14ac:dyDescent="0.25">
      <c r="T10586" s="135"/>
      <c r="U10586" s="135"/>
    </row>
    <row r="10587" spans="20:21" ht="15" customHeight="1" x14ac:dyDescent="0.25">
      <c r="T10587" s="135"/>
      <c r="U10587" s="135"/>
    </row>
    <row r="10588" spans="20:21" ht="15" customHeight="1" x14ac:dyDescent="0.25">
      <c r="T10588" s="135"/>
      <c r="U10588" s="135"/>
    </row>
    <row r="10589" spans="20:21" ht="15" customHeight="1" x14ac:dyDescent="0.25">
      <c r="T10589" s="135"/>
      <c r="U10589" s="135"/>
    </row>
    <row r="10590" spans="20:21" ht="15" customHeight="1" x14ac:dyDescent="0.25">
      <c r="T10590" s="135"/>
      <c r="U10590" s="135"/>
    </row>
    <row r="10591" spans="20:21" ht="15" customHeight="1" x14ac:dyDescent="0.25">
      <c r="T10591" s="135"/>
      <c r="U10591" s="135"/>
    </row>
    <row r="10592" spans="20:21" ht="15" customHeight="1" x14ac:dyDescent="0.25">
      <c r="T10592" s="135"/>
      <c r="U10592" s="135"/>
    </row>
    <row r="10593" spans="20:21" ht="15" customHeight="1" x14ac:dyDescent="0.25">
      <c r="T10593" s="135"/>
      <c r="U10593" s="135"/>
    </row>
    <row r="10594" spans="20:21" ht="15" customHeight="1" x14ac:dyDescent="0.25">
      <c r="T10594" s="135"/>
      <c r="U10594" s="135"/>
    </row>
    <row r="10595" spans="20:21" ht="15" customHeight="1" x14ac:dyDescent="0.25">
      <c r="T10595" s="135"/>
      <c r="U10595" s="135"/>
    </row>
    <row r="10596" spans="20:21" ht="15" customHeight="1" x14ac:dyDescent="0.25">
      <c r="T10596" s="135"/>
      <c r="U10596" s="135"/>
    </row>
    <row r="10597" spans="20:21" ht="15" customHeight="1" x14ac:dyDescent="0.25">
      <c r="T10597" s="135"/>
      <c r="U10597" s="135"/>
    </row>
    <row r="10598" spans="20:21" ht="15" customHeight="1" x14ac:dyDescent="0.25">
      <c r="T10598" s="135"/>
      <c r="U10598" s="135"/>
    </row>
    <row r="10599" spans="20:21" ht="15" customHeight="1" x14ac:dyDescent="0.25">
      <c r="T10599" s="135"/>
      <c r="U10599" s="135"/>
    </row>
    <row r="10600" spans="20:21" ht="15" customHeight="1" x14ac:dyDescent="0.25">
      <c r="T10600" s="135"/>
      <c r="U10600" s="135"/>
    </row>
    <row r="10601" spans="20:21" ht="15" customHeight="1" x14ac:dyDescent="0.25">
      <c r="T10601" s="135"/>
      <c r="U10601" s="135"/>
    </row>
    <row r="10602" spans="20:21" ht="15" customHeight="1" x14ac:dyDescent="0.25">
      <c r="T10602" s="135"/>
      <c r="U10602" s="135"/>
    </row>
    <row r="10603" spans="20:21" ht="15" customHeight="1" x14ac:dyDescent="0.25">
      <c r="T10603" s="135"/>
      <c r="U10603" s="135"/>
    </row>
    <row r="10604" spans="20:21" ht="15" customHeight="1" x14ac:dyDescent="0.25">
      <c r="T10604" s="135"/>
      <c r="U10604" s="135"/>
    </row>
    <row r="10605" spans="20:21" ht="15" customHeight="1" x14ac:dyDescent="0.25">
      <c r="T10605" s="135"/>
      <c r="U10605" s="135"/>
    </row>
    <row r="10606" spans="20:21" ht="15" customHeight="1" x14ac:dyDescent="0.25">
      <c r="T10606" s="135"/>
      <c r="U10606" s="135"/>
    </row>
    <row r="10607" spans="20:21" ht="15" customHeight="1" x14ac:dyDescent="0.25">
      <c r="T10607" s="135"/>
      <c r="U10607" s="135"/>
    </row>
    <row r="10608" spans="20:21" ht="15" customHeight="1" x14ac:dyDescent="0.25">
      <c r="T10608" s="135"/>
      <c r="U10608" s="135"/>
    </row>
    <row r="10609" spans="20:21" ht="15" customHeight="1" x14ac:dyDescent="0.25">
      <c r="T10609" s="135"/>
      <c r="U10609" s="135"/>
    </row>
    <row r="10610" spans="20:21" ht="15" customHeight="1" x14ac:dyDescent="0.25">
      <c r="T10610" s="135"/>
      <c r="U10610" s="135"/>
    </row>
    <row r="10611" spans="20:21" ht="15" customHeight="1" x14ac:dyDescent="0.25">
      <c r="T10611" s="135"/>
      <c r="U10611" s="135"/>
    </row>
    <row r="10612" spans="20:21" ht="15" customHeight="1" x14ac:dyDescent="0.25">
      <c r="T10612" s="135"/>
      <c r="U10612" s="135"/>
    </row>
    <row r="10613" spans="20:21" ht="15" customHeight="1" x14ac:dyDescent="0.25">
      <c r="T10613" s="135"/>
      <c r="U10613" s="135"/>
    </row>
    <row r="10614" spans="20:21" ht="15" customHeight="1" x14ac:dyDescent="0.25">
      <c r="T10614" s="135"/>
      <c r="U10614" s="135"/>
    </row>
    <row r="10615" spans="20:21" ht="15" customHeight="1" x14ac:dyDescent="0.25">
      <c r="T10615" s="135"/>
      <c r="U10615" s="135"/>
    </row>
    <row r="10616" spans="20:21" ht="15" customHeight="1" x14ac:dyDescent="0.25">
      <c r="T10616" s="135"/>
      <c r="U10616" s="135"/>
    </row>
    <row r="10617" spans="20:21" ht="15" customHeight="1" x14ac:dyDescent="0.25">
      <c r="T10617" s="135"/>
      <c r="U10617" s="135"/>
    </row>
    <row r="10618" spans="20:21" ht="15" customHeight="1" x14ac:dyDescent="0.25">
      <c r="T10618" s="135"/>
      <c r="U10618" s="135"/>
    </row>
    <row r="10619" spans="20:21" ht="15" customHeight="1" x14ac:dyDescent="0.25">
      <c r="T10619" s="135"/>
      <c r="U10619" s="135"/>
    </row>
    <row r="10620" spans="20:21" ht="15" customHeight="1" x14ac:dyDescent="0.25">
      <c r="T10620" s="135"/>
      <c r="U10620" s="135"/>
    </row>
    <row r="10621" spans="20:21" ht="15" customHeight="1" x14ac:dyDescent="0.25">
      <c r="T10621" s="135"/>
      <c r="U10621" s="135"/>
    </row>
    <row r="10622" spans="20:21" ht="15" customHeight="1" x14ac:dyDescent="0.25">
      <c r="T10622" s="135"/>
      <c r="U10622" s="135"/>
    </row>
    <row r="10623" spans="20:21" ht="15" customHeight="1" x14ac:dyDescent="0.25">
      <c r="T10623" s="135"/>
      <c r="U10623" s="135"/>
    </row>
    <row r="10624" spans="20:21" ht="15" customHeight="1" x14ac:dyDescent="0.25">
      <c r="T10624" s="135"/>
      <c r="U10624" s="135"/>
    </row>
    <row r="10625" spans="20:21" ht="15" customHeight="1" x14ac:dyDescent="0.25">
      <c r="T10625" s="135"/>
      <c r="U10625" s="135"/>
    </row>
    <row r="10626" spans="20:21" ht="15" customHeight="1" x14ac:dyDescent="0.25">
      <c r="T10626" s="135"/>
      <c r="U10626" s="135"/>
    </row>
    <row r="10627" spans="20:21" ht="15" customHeight="1" x14ac:dyDescent="0.25">
      <c r="T10627" s="135"/>
      <c r="U10627" s="135"/>
    </row>
    <row r="10628" spans="20:21" ht="15" customHeight="1" x14ac:dyDescent="0.25">
      <c r="T10628" s="135"/>
      <c r="U10628" s="135"/>
    </row>
    <row r="10629" spans="20:21" ht="15" customHeight="1" x14ac:dyDescent="0.25">
      <c r="T10629" s="135"/>
      <c r="U10629" s="135"/>
    </row>
    <row r="10630" spans="20:21" ht="15" customHeight="1" x14ac:dyDescent="0.25">
      <c r="T10630" s="135"/>
      <c r="U10630" s="135"/>
    </row>
    <row r="10631" spans="20:21" ht="15" customHeight="1" x14ac:dyDescent="0.25">
      <c r="T10631" s="135"/>
      <c r="U10631" s="135"/>
    </row>
    <row r="10632" spans="20:21" ht="15" customHeight="1" x14ac:dyDescent="0.25">
      <c r="T10632" s="135"/>
      <c r="U10632" s="135"/>
    </row>
    <row r="10633" spans="20:21" ht="15" customHeight="1" x14ac:dyDescent="0.25">
      <c r="T10633" s="135"/>
      <c r="U10633" s="135"/>
    </row>
    <row r="10634" spans="20:21" ht="15" customHeight="1" x14ac:dyDescent="0.25">
      <c r="T10634" s="135"/>
      <c r="U10634" s="135"/>
    </row>
    <row r="10635" spans="20:21" ht="15" customHeight="1" x14ac:dyDescent="0.25">
      <c r="T10635" s="135"/>
      <c r="U10635" s="135"/>
    </row>
    <row r="10636" spans="20:21" ht="15" customHeight="1" x14ac:dyDescent="0.25">
      <c r="T10636" s="135"/>
      <c r="U10636" s="135"/>
    </row>
    <row r="10637" spans="20:21" ht="15" customHeight="1" x14ac:dyDescent="0.25">
      <c r="T10637" s="135"/>
      <c r="U10637" s="135"/>
    </row>
    <row r="10638" spans="20:21" ht="15" customHeight="1" x14ac:dyDescent="0.25">
      <c r="T10638" s="135"/>
      <c r="U10638" s="135"/>
    </row>
    <row r="10639" spans="20:21" ht="15" customHeight="1" x14ac:dyDescent="0.25">
      <c r="T10639" s="135"/>
      <c r="U10639" s="135"/>
    </row>
    <row r="10640" spans="20:21" ht="15" customHeight="1" x14ac:dyDescent="0.25">
      <c r="T10640" s="135"/>
      <c r="U10640" s="135"/>
    </row>
    <row r="10641" spans="20:21" ht="15" customHeight="1" x14ac:dyDescent="0.25">
      <c r="T10641" s="135"/>
      <c r="U10641" s="135"/>
    </row>
    <row r="10642" spans="20:21" ht="15" customHeight="1" x14ac:dyDescent="0.25">
      <c r="T10642" s="135"/>
      <c r="U10642" s="135"/>
    </row>
    <row r="10643" spans="20:21" ht="15" customHeight="1" x14ac:dyDescent="0.25">
      <c r="T10643" s="135"/>
      <c r="U10643" s="135"/>
    </row>
    <row r="10644" spans="20:21" ht="15" customHeight="1" x14ac:dyDescent="0.25">
      <c r="T10644" s="135"/>
      <c r="U10644" s="135"/>
    </row>
    <row r="10645" spans="20:21" ht="15" customHeight="1" x14ac:dyDescent="0.25">
      <c r="T10645" s="135"/>
      <c r="U10645" s="135"/>
    </row>
    <row r="10646" spans="20:21" ht="15" customHeight="1" x14ac:dyDescent="0.25">
      <c r="T10646" s="135"/>
      <c r="U10646" s="135"/>
    </row>
    <row r="10647" spans="20:21" ht="15" customHeight="1" x14ac:dyDescent="0.25">
      <c r="T10647" s="135"/>
      <c r="U10647" s="135"/>
    </row>
    <row r="10648" spans="20:21" ht="15" customHeight="1" x14ac:dyDescent="0.25">
      <c r="T10648" s="135"/>
      <c r="U10648" s="135"/>
    </row>
    <row r="10649" spans="20:21" ht="15" customHeight="1" x14ac:dyDescent="0.25">
      <c r="T10649" s="135"/>
      <c r="U10649" s="135"/>
    </row>
    <row r="10650" spans="20:21" ht="15" customHeight="1" x14ac:dyDescent="0.25">
      <c r="T10650" s="135"/>
      <c r="U10650" s="135"/>
    </row>
    <row r="10651" spans="20:21" ht="15" customHeight="1" x14ac:dyDescent="0.25">
      <c r="T10651" s="135"/>
      <c r="U10651" s="135"/>
    </row>
    <row r="10652" spans="20:21" ht="15" customHeight="1" x14ac:dyDescent="0.25">
      <c r="T10652" s="135"/>
      <c r="U10652" s="135"/>
    </row>
    <row r="10653" spans="20:21" ht="15" customHeight="1" x14ac:dyDescent="0.25">
      <c r="T10653" s="135"/>
      <c r="U10653" s="135"/>
    </row>
    <row r="10654" spans="20:21" ht="15" customHeight="1" x14ac:dyDescent="0.25">
      <c r="T10654" s="135"/>
      <c r="U10654" s="135"/>
    </row>
    <row r="10655" spans="20:21" ht="15" customHeight="1" x14ac:dyDescent="0.25">
      <c r="T10655" s="135"/>
      <c r="U10655" s="135"/>
    </row>
    <row r="10656" spans="20:21" ht="15" customHeight="1" x14ac:dyDescent="0.25">
      <c r="T10656" s="135"/>
      <c r="U10656" s="135"/>
    </row>
    <row r="10657" spans="20:21" ht="15" customHeight="1" x14ac:dyDescent="0.25">
      <c r="T10657" s="135"/>
      <c r="U10657" s="135"/>
    </row>
    <row r="10658" spans="20:21" ht="15" customHeight="1" x14ac:dyDescent="0.25">
      <c r="T10658" s="135"/>
      <c r="U10658" s="135"/>
    </row>
    <row r="10659" spans="20:21" ht="15" customHeight="1" x14ac:dyDescent="0.25">
      <c r="T10659" s="135"/>
      <c r="U10659" s="135"/>
    </row>
    <row r="10660" spans="20:21" ht="15" customHeight="1" x14ac:dyDescent="0.25">
      <c r="T10660" s="135"/>
      <c r="U10660" s="135"/>
    </row>
    <row r="10661" spans="20:21" ht="15" customHeight="1" x14ac:dyDescent="0.25">
      <c r="T10661" s="135"/>
      <c r="U10661" s="135"/>
    </row>
    <row r="10662" spans="20:21" ht="15" customHeight="1" x14ac:dyDescent="0.25">
      <c r="T10662" s="135"/>
      <c r="U10662" s="135"/>
    </row>
    <row r="10663" spans="20:21" ht="15" customHeight="1" x14ac:dyDescent="0.25">
      <c r="T10663" s="135"/>
      <c r="U10663" s="135"/>
    </row>
    <row r="10664" spans="20:21" ht="15" customHeight="1" x14ac:dyDescent="0.25">
      <c r="T10664" s="135"/>
      <c r="U10664" s="135"/>
    </row>
    <row r="10665" spans="20:21" ht="15" customHeight="1" x14ac:dyDescent="0.25">
      <c r="T10665" s="135"/>
      <c r="U10665" s="135"/>
    </row>
    <row r="10666" spans="20:21" ht="15" customHeight="1" x14ac:dyDescent="0.25">
      <c r="T10666" s="135"/>
      <c r="U10666" s="135"/>
    </row>
    <row r="10667" spans="20:21" ht="15" customHeight="1" x14ac:dyDescent="0.25">
      <c r="T10667" s="135"/>
      <c r="U10667" s="135"/>
    </row>
    <row r="10668" spans="20:21" ht="15" customHeight="1" x14ac:dyDescent="0.25">
      <c r="T10668" s="135"/>
      <c r="U10668" s="135"/>
    </row>
    <row r="10669" spans="20:21" ht="15" customHeight="1" x14ac:dyDescent="0.25">
      <c r="T10669" s="135"/>
      <c r="U10669" s="135"/>
    </row>
    <row r="10670" spans="20:21" ht="15" customHeight="1" x14ac:dyDescent="0.25">
      <c r="T10670" s="135"/>
      <c r="U10670" s="135"/>
    </row>
    <row r="10671" spans="20:21" ht="15" customHeight="1" x14ac:dyDescent="0.25">
      <c r="T10671" s="135"/>
      <c r="U10671" s="135"/>
    </row>
    <row r="10672" spans="20:21" ht="15" customHeight="1" x14ac:dyDescent="0.25">
      <c r="T10672" s="135"/>
      <c r="U10672" s="135"/>
    </row>
    <row r="10673" spans="20:21" ht="15" customHeight="1" x14ac:dyDescent="0.25">
      <c r="T10673" s="135"/>
      <c r="U10673" s="135"/>
    </row>
    <row r="10674" spans="20:21" ht="15" customHeight="1" x14ac:dyDescent="0.25">
      <c r="T10674" s="135"/>
      <c r="U10674" s="135"/>
    </row>
    <row r="10675" spans="20:21" ht="15" customHeight="1" x14ac:dyDescent="0.25">
      <c r="T10675" s="135"/>
      <c r="U10675" s="135"/>
    </row>
    <row r="10676" spans="20:21" ht="15" customHeight="1" x14ac:dyDescent="0.25">
      <c r="T10676" s="135"/>
      <c r="U10676" s="135"/>
    </row>
    <row r="10677" spans="20:21" ht="15" customHeight="1" x14ac:dyDescent="0.25">
      <c r="T10677" s="135"/>
      <c r="U10677" s="135"/>
    </row>
    <row r="10678" spans="20:21" ht="15" customHeight="1" x14ac:dyDescent="0.25">
      <c r="T10678" s="135"/>
      <c r="U10678" s="135"/>
    </row>
    <row r="10679" spans="20:21" ht="15" customHeight="1" x14ac:dyDescent="0.25">
      <c r="T10679" s="135"/>
      <c r="U10679" s="135"/>
    </row>
    <row r="10680" spans="20:21" ht="15" customHeight="1" x14ac:dyDescent="0.25">
      <c r="T10680" s="135"/>
      <c r="U10680" s="135"/>
    </row>
    <row r="10681" spans="20:21" ht="15" customHeight="1" x14ac:dyDescent="0.25">
      <c r="T10681" s="135"/>
      <c r="U10681" s="135"/>
    </row>
    <row r="10682" spans="20:21" ht="15" customHeight="1" x14ac:dyDescent="0.25">
      <c r="T10682" s="135"/>
      <c r="U10682" s="135"/>
    </row>
    <row r="10683" spans="20:21" ht="15" customHeight="1" x14ac:dyDescent="0.25">
      <c r="T10683" s="135"/>
      <c r="U10683" s="135"/>
    </row>
    <row r="10684" spans="20:21" ht="15" customHeight="1" x14ac:dyDescent="0.25">
      <c r="T10684" s="135"/>
      <c r="U10684" s="135"/>
    </row>
    <row r="10685" spans="20:21" ht="15" customHeight="1" x14ac:dyDescent="0.25">
      <c r="T10685" s="135"/>
      <c r="U10685" s="135"/>
    </row>
    <row r="10686" spans="20:21" ht="15" customHeight="1" x14ac:dyDescent="0.25">
      <c r="T10686" s="135"/>
      <c r="U10686" s="135"/>
    </row>
    <row r="10687" spans="20:21" ht="15" customHeight="1" x14ac:dyDescent="0.25">
      <c r="T10687" s="135"/>
      <c r="U10687" s="135"/>
    </row>
    <row r="10688" spans="20:21" ht="15" customHeight="1" x14ac:dyDescent="0.25">
      <c r="T10688" s="135"/>
      <c r="U10688" s="135"/>
    </row>
    <row r="10689" spans="20:21" ht="15" customHeight="1" x14ac:dyDescent="0.25">
      <c r="T10689" s="135"/>
      <c r="U10689" s="135"/>
    </row>
    <row r="10690" spans="20:21" ht="15" customHeight="1" x14ac:dyDescent="0.25">
      <c r="T10690" s="135"/>
      <c r="U10690" s="135"/>
    </row>
    <row r="10691" spans="20:21" ht="15" customHeight="1" x14ac:dyDescent="0.25">
      <c r="T10691" s="135"/>
      <c r="U10691" s="135"/>
    </row>
    <row r="10692" spans="20:21" ht="15" customHeight="1" x14ac:dyDescent="0.25">
      <c r="T10692" s="135"/>
      <c r="U10692" s="135"/>
    </row>
    <row r="10693" spans="20:21" ht="15" customHeight="1" x14ac:dyDescent="0.25">
      <c r="T10693" s="135"/>
      <c r="U10693" s="135"/>
    </row>
    <row r="10694" spans="20:21" ht="15" customHeight="1" x14ac:dyDescent="0.25">
      <c r="T10694" s="135"/>
      <c r="U10694" s="135"/>
    </row>
    <row r="10695" spans="20:21" ht="15" customHeight="1" x14ac:dyDescent="0.25">
      <c r="T10695" s="135"/>
      <c r="U10695" s="135"/>
    </row>
    <row r="10696" spans="20:21" ht="15" customHeight="1" x14ac:dyDescent="0.25">
      <c r="T10696" s="135"/>
      <c r="U10696" s="135"/>
    </row>
    <row r="10697" spans="20:21" ht="15" customHeight="1" x14ac:dyDescent="0.25">
      <c r="T10697" s="135"/>
      <c r="U10697" s="135"/>
    </row>
    <row r="10698" spans="20:21" ht="15" customHeight="1" x14ac:dyDescent="0.25">
      <c r="T10698" s="135"/>
      <c r="U10698" s="135"/>
    </row>
    <row r="10699" spans="20:21" ht="15" customHeight="1" x14ac:dyDescent="0.25">
      <c r="T10699" s="135"/>
      <c r="U10699" s="135"/>
    </row>
    <row r="10700" spans="20:21" ht="15" customHeight="1" x14ac:dyDescent="0.25">
      <c r="T10700" s="135"/>
      <c r="U10700" s="135"/>
    </row>
    <row r="10701" spans="20:21" ht="15" customHeight="1" x14ac:dyDescent="0.25">
      <c r="T10701" s="135"/>
      <c r="U10701" s="135"/>
    </row>
    <row r="10702" spans="20:21" ht="15" customHeight="1" x14ac:dyDescent="0.25">
      <c r="T10702" s="135"/>
      <c r="U10702" s="135"/>
    </row>
    <row r="10703" spans="20:21" ht="15" customHeight="1" x14ac:dyDescent="0.25">
      <c r="T10703" s="135"/>
      <c r="U10703" s="135"/>
    </row>
    <row r="10704" spans="20:21" ht="15" customHeight="1" x14ac:dyDescent="0.25">
      <c r="T10704" s="135"/>
      <c r="U10704" s="135"/>
    </row>
    <row r="10705" spans="20:21" ht="15" customHeight="1" x14ac:dyDescent="0.25">
      <c r="T10705" s="135"/>
      <c r="U10705" s="135"/>
    </row>
    <row r="10706" spans="20:21" ht="15" customHeight="1" x14ac:dyDescent="0.25">
      <c r="T10706" s="135"/>
      <c r="U10706" s="135"/>
    </row>
    <row r="10707" spans="20:21" ht="15" customHeight="1" x14ac:dyDescent="0.25">
      <c r="T10707" s="135"/>
      <c r="U10707" s="135"/>
    </row>
    <row r="10708" spans="20:21" ht="15" customHeight="1" x14ac:dyDescent="0.25">
      <c r="T10708" s="135"/>
      <c r="U10708" s="135"/>
    </row>
    <row r="10709" spans="20:21" ht="15" customHeight="1" x14ac:dyDescent="0.25">
      <c r="T10709" s="135"/>
      <c r="U10709" s="135"/>
    </row>
    <row r="10710" spans="20:21" ht="15" customHeight="1" x14ac:dyDescent="0.25">
      <c r="T10710" s="135"/>
      <c r="U10710" s="135"/>
    </row>
    <row r="10711" spans="20:21" ht="15" customHeight="1" x14ac:dyDescent="0.25">
      <c r="T10711" s="135"/>
      <c r="U10711" s="135"/>
    </row>
    <row r="10712" spans="20:21" ht="15" customHeight="1" x14ac:dyDescent="0.25">
      <c r="T10712" s="135"/>
      <c r="U10712" s="135"/>
    </row>
    <row r="10713" spans="20:21" ht="15" customHeight="1" x14ac:dyDescent="0.25">
      <c r="T10713" s="135"/>
      <c r="U10713" s="135"/>
    </row>
    <row r="10714" spans="20:21" ht="15" customHeight="1" x14ac:dyDescent="0.25">
      <c r="T10714" s="135"/>
      <c r="U10714" s="135"/>
    </row>
    <row r="10715" spans="20:21" ht="15" customHeight="1" x14ac:dyDescent="0.25">
      <c r="T10715" s="135"/>
      <c r="U10715" s="135"/>
    </row>
    <row r="10716" spans="20:21" ht="15" customHeight="1" x14ac:dyDescent="0.25">
      <c r="T10716" s="135"/>
      <c r="U10716" s="135"/>
    </row>
    <row r="10717" spans="20:21" ht="15" customHeight="1" x14ac:dyDescent="0.25">
      <c r="T10717" s="135"/>
      <c r="U10717" s="135"/>
    </row>
    <row r="10718" spans="20:21" ht="15" customHeight="1" x14ac:dyDescent="0.25">
      <c r="T10718" s="135"/>
      <c r="U10718" s="135"/>
    </row>
    <row r="10719" spans="20:21" ht="15" customHeight="1" x14ac:dyDescent="0.25">
      <c r="T10719" s="135"/>
      <c r="U10719" s="135"/>
    </row>
    <row r="10720" spans="20:21" ht="15" customHeight="1" x14ac:dyDescent="0.25">
      <c r="T10720" s="135"/>
      <c r="U10720" s="135"/>
    </row>
    <row r="10721" spans="20:21" ht="15" customHeight="1" x14ac:dyDescent="0.25">
      <c r="T10721" s="135"/>
      <c r="U10721" s="135"/>
    </row>
    <row r="10722" spans="20:21" ht="15" customHeight="1" x14ac:dyDescent="0.25">
      <c r="T10722" s="135"/>
      <c r="U10722" s="135"/>
    </row>
    <row r="10723" spans="20:21" ht="15" customHeight="1" x14ac:dyDescent="0.25">
      <c r="T10723" s="135"/>
      <c r="U10723" s="135"/>
    </row>
    <row r="10724" spans="20:21" ht="15" customHeight="1" x14ac:dyDescent="0.25">
      <c r="T10724" s="135"/>
      <c r="U10724" s="135"/>
    </row>
    <row r="10725" spans="20:21" ht="15" customHeight="1" x14ac:dyDescent="0.25">
      <c r="T10725" s="135"/>
      <c r="U10725" s="135"/>
    </row>
    <row r="10726" spans="20:21" ht="15" customHeight="1" x14ac:dyDescent="0.25">
      <c r="T10726" s="135"/>
      <c r="U10726" s="135"/>
    </row>
    <row r="10727" spans="20:21" ht="15" customHeight="1" x14ac:dyDescent="0.25">
      <c r="T10727" s="135"/>
      <c r="U10727" s="135"/>
    </row>
    <row r="10728" spans="20:21" ht="15" customHeight="1" x14ac:dyDescent="0.25">
      <c r="T10728" s="135"/>
      <c r="U10728" s="135"/>
    </row>
    <row r="10729" spans="20:21" ht="15" customHeight="1" x14ac:dyDescent="0.25">
      <c r="T10729" s="135"/>
      <c r="U10729" s="135"/>
    </row>
    <row r="10730" spans="20:21" ht="15" customHeight="1" x14ac:dyDescent="0.25">
      <c r="T10730" s="135"/>
      <c r="U10730" s="135"/>
    </row>
    <row r="10731" spans="20:21" ht="15" customHeight="1" x14ac:dyDescent="0.25">
      <c r="T10731" s="135"/>
      <c r="U10731" s="135"/>
    </row>
    <row r="10732" spans="20:21" ht="15" customHeight="1" x14ac:dyDescent="0.25">
      <c r="T10732" s="135"/>
      <c r="U10732" s="135"/>
    </row>
    <row r="10733" spans="20:21" ht="15" customHeight="1" x14ac:dyDescent="0.25">
      <c r="T10733" s="135"/>
      <c r="U10733" s="135"/>
    </row>
    <row r="10734" spans="20:21" ht="15" customHeight="1" x14ac:dyDescent="0.25">
      <c r="T10734" s="135"/>
      <c r="U10734" s="135"/>
    </row>
    <row r="10735" spans="20:21" ht="15" customHeight="1" x14ac:dyDescent="0.25">
      <c r="T10735" s="135"/>
      <c r="U10735" s="135"/>
    </row>
    <row r="10736" spans="20:21" ht="15" customHeight="1" x14ac:dyDescent="0.25">
      <c r="T10736" s="135"/>
      <c r="U10736" s="135"/>
    </row>
    <row r="10737" spans="20:21" ht="15" customHeight="1" x14ac:dyDescent="0.25">
      <c r="T10737" s="135"/>
      <c r="U10737" s="135"/>
    </row>
    <row r="10738" spans="20:21" ht="15" customHeight="1" x14ac:dyDescent="0.25">
      <c r="T10738" s="135"/>
      <c r="U10738" s="135"/>
    </row>
    <row r="10739" spans="20:21" ht="15" customHeight="1" x14ac:dyDescent="0.25">
      <c r="T10739" s="135"/>
      <c r="U10739" s="135"/>
    </row>
    <row r="10740" spans="20:21" ht="15" customHeight="1" x14ac:dyDescent="0.25">
      <c r="T10740" s="135"/>
      <c r="U10740" s="135"/>
    </row>
    <row r="10741" spans="20:21" ht="15" customHeight="1" x14ac:dyDescent="0.25">
      <c r="T10741" s="135"/>
      <c r="U10741" s="135"/>
    </row>
    <row r="10742" spans="20:21" ht="15" customHeight="1" x14ac:dyDescent="0.25">
      <c r="T10742" s="135"/>
      <c r="U10742" s="135"/>
    </row>
    <row r="10743" spans="20:21" ht="15" customHeight="1" x14ac:dyDescent="0.25">
      <c r="T10743" s="135"/>
      <c r="U10743" s="135"/>
    </row>
    <row r="10744" spans="20:21" ht="15" customHeight="1" x14ac:dyDescent="0.25">
      <c r="T10744" s="135"/>
      <c r="U10744" s="135"/>
    </row>
    <row r="10745" spans="20:21" ht="15" customHeight="1" x14ac:dyDescent="0.25">
      <c r="T10745" s="135"/>
      <c r="U10745" s="135"/>
    </row>
    <row r="10746" spans="20:21" ht="15" customHeight="1" x14ac:dyDescent="0.25">
      <c r="T10746" s="135"/>
      <c r="U10746" s="135"/>
    </row>
    <row r="10747" spans="20:21" ht="15" customHeight="1" x14ac:dyDescent="0.25">
      <c r="T10747" s="135"/>
      <c r="U10747" s="135"/>
    </row>
    <row r="10748" spans="20:21" ht="15" customHeight="1" x14ac:dyDescent="0.25">
      <c r="T10748" s="135"/>
      <c r="U10748" s="135"/>
    </row>
    <row r="10749" spans="20:21" ht="15" customHeight="1" x14ac:dyDescent="0.25">
      <c r="T10749" s="135"/>
      <c r="U10749" s="135"/>
    </row>
    <row r="10750" spans="20:21" ht="15" customHeight="1" x14ac:dyDescent="0.25">
      <c r="T10750" s="135"/>
      <c r="U10750" s="135"/>
    </row>
    <row r="10751" spans="20:21" ht="15" customHeight="1" x14ac:dyDescent="0.25">
      <c r="T10751" s="135"/>
      <c r="U10751" s="135"/>
    </row>
    <row r="10752" spans="20:21" ht="15" customHeight="1" x14ac:dyDescent="0.25">
      <c r="T10752" s="135"/>
      <c r="U10752" s="135"/>
    </row>
    <row r="10753" spans="20:21" ht="15" customHeight="1" x14ac:dyDescent="0.25">
      <c r="T10753" s="135"/>
      <c r="U10753" s="135"/>
    </row>
    <row r="10754" spans="20:21" ht="15" customHeight="1" x14ac:dyDescent="0.25">
      <c r="T10754" s="135"/>
      <c r="U10754" s="135"/>
    </row>
    <row r="10755" spans="20:21" ht="15" customHeight="1" x14ac:dyDescent="0.25">
      <c r="T10755" s="135"/>
      <c r="U10755" s="135"/>
    </row>
    <row r="10756" spans="20:21" ht="15" customHeight="1" x14ac:dyDescent="0.25">
      <c r="T10756" s="135"/>
      <c r="U10756" s="135"/>
    </row>
    <row r="10757" spans="20:21" ht="15" customHeight="1" x14ac:dyDescent="0.25">
      <c r="T10757" s="135"/>
      <c r="U10757" s="135"/>
    </row>
    <row r="10758" spans="20:21" ht="15" customHeight="1" x14ac:dyDescent="0.25">
      <c r="T10758" s="135"/>
      <c r="U10758" s="135"/>
    </row>
    <row r="10759" spans="20:21" ht="15" customHeight="1" x14ac:dyDescent="0.25">
      <c r="T10759" s="135"/>
      <c r="U10759" s="135"/>
    </row>
    <row r="10760" spans="20:21" ht="15" customHeight="1" x14ac:dyDescent="0.25">
      <c r="T10760" s="135"/>
      <c r="U10760" s="135"/>
    </row>
    <row r="10761" spans="20:21" ht="15" customHeight="1" x14ac:dyDescent="0.25">
      <c r="T10761" s="135"/>
      <c r="U10761" s="135"/>
    </row>
    <row r="10762" spans="20:21" ht="15" customHeight="1" x14ac:dyDescent="0.25">
      <c r="T10762" s="135"/>
      <c r="U10762" s="135"/>
    </row>
    <row r="10763" spans="20:21" ht="15" customHeight="1" x14ac:dyDescent="0.25">
      <c r="T10763" s="135"/>
      <c r="U10763" s="135"/>
    </row>
    <row r="10764" spans="20:21" ht="15" customHeight="1" x14ac:dyDescent="0.25">
      <c r="T10764" s="135"/>
      <c r="U10764" s="135"/>
    </row>
    <row r="10765" spans="20:21" ht="15" customHeight="1" x14ac:dyDescent="0.25">
      <c r="T10765" s="135"/>
      <c r="U10765" s="135"/>
    </row>
    <row r="10766" spans="20:21" ht="15" customHeight="1" x14ac:dyDescent="0.25">
      <c r="T10766" s="135"/>
      <c r="U10766" s="135"/>
    </row>
    <row r="10767" spans="20:21" ht="15" customHeight="1" x14ac:dyDescent="0.25">
      <c r="T10767" s="135"/>
      <c r="U10767" s="135"/>
    </row>
    <row r="10768" spans="20:21" ht="15" customHeight="1" x14ac:dyDescent="0.25">
      <c r="T10768" s="135"/>
      <c r="U10768" s="135"/>
    </row>
    <row r="10769" spans="20:21" ht="15" customHeight="1" x14ac:dyDescent="0.25">
      <c r="T10769" s="135"/>
      <c r="U10769" s="135"/>
    </row>
    <row r="10770" spans="20:21" ht="15" customHeight="1" x14ac:dyDescent="0.25">
      <c r="T10770" s="135"/>
      <c r="U10770" s="135"/>
    </row>
    <row r="10771" spans="20:21" ht="15" customHeight="1" x14ac:dyDescent="0.25">
      <c r="T10771" s="135"/>
      <c r="U10771" s="135"/>
    </row>
    <row r="10772" spans="20:21" ht="15" customHeight="1" x14ac:dyDescent="0.25">
      <c r="T10772" s="135"/>
      <c r="U10772" s="135"/>
    </row>
    <row r="10773" spans="20:21" ht="15" customHeight="1" x14ac:dyDescent="0.25">
      <c r="T10773" s="135"/>
      <c r="U10773" s="135"/>
    </row>
    <row r="10774" spans="20:21" ht="15" customHeight="1" x14ac:dyDescent="0.25">
      <c r="T10774" s="135"/>
      <c r="U10774" s="135"/>
    </row>
    <row r="10775" spans="20:21" ht="15" customHeight="1" x14ac:dyDescent="0.25">
      <c r="T10775" s="135"/>
      <c r="U10775" s="135"/>
    </row>
    <row r="10776" spans="20:21" ht="15" customHeight="1" x14ac:dyDescent="0.25">
      <c r="T10776" s="135"/>
      <c r="U10776" s="135"/>
    </row>
    <row r="10777" spans="20:21" ht="15" customHeight="1" x14ac:dyDescent="0.25">
      <c r="T10777" s="135"/>
      <c r="U10777" s="135"/>
    </row>
    <row r="10778" spans="20:21" ht="15" customHeight="1" x14ac:dyDescent="0.25">
      <c r="T10778" s="135"/>
      <c r="U10778" s="135"/>
    </row>
    <row r="10779" spans="20:21" ht="15" customHeight="1" x14ac:dyDescent="0.25">
      <c r="T10779" s="135"/>
      <c r="U10779" s="135"/>
    </row>
    <row r="10780" spans="20:21" ht="15" customHeight="1" x14ac:dyDescent="0.25">
      <c r="T10780" s="135"/>
      <c r="U10780" s="135"/>
    </row>
    <row r="10781" spans="20:21" ht="15" customHeight="1" x14ac:dyDescent="0.25">
      <c r="T10781" s="135"/>
      <c r="U10781" s="135"/>
    </row>
    <row r="10782" spans="20:21" ht="15" customHeight="1" x14ac:dyDescent="0.25">
      <c r="T10782" s="135"/>
      <c r="U10782" s="135"/>
    </row>
    <row r="10783" spans="20:21" ht="15" customHeight="1" x14ac:dyDescent="0.25">
      <c r="T10783" s="135"/>
      <c r="U10783" s="135"/>
    </row>
    <row r="10784" spans="20:21" ht="15" customHeight="1" x14ac:dyDescent="0.25">
      <c r="T10784" s="135"/>
      <c r="U10784" s="135"/>
    </row>
    <row r="10785" spans="20:21" ht="15" customHeight="1" x14ac:dyDescent="0.25">
      <c r="T10785" s="135"/>
      <c r="U10785" s="135"/>
    </row>
    <row r="10786" spans="20:21" ht="15" customHeight="1" x14ac:dyDescent="0.25">
      <c r="T10786" s="135"/>
      <c r="U10786" s="135"/>
    </row>
    <row r="10787" spans="20:21" ht="15" customHeight="1" x14ac:dyDescent="0.25">
      <c r="T10787" s="135"/>
      <c r="U10787" s="135"/>
    </row>
    <row r="10788" spans="20:21" ht="15" customHeight="1" x14ac:dyDescent="0.25">
      <c r="T10788" s="135"/>
      <c r="U10788" s="135"/>
    </row>
    <row r="10789" spans="20:21" ht="15" customHeight="1" x14ac:dyDescent="0.25">
      <c r="T10789" s="135"/>
      <c r="U10789" s="135"/>
    </row>
    <row r="10790" spans="20:21" ht="15" customHeight="1" x14ac:dyDescent="0.25">
      <c r="T10790" s="135"/>
      <c r="U10790" s="135"/>
    </row>
    <row r="10791" spans="20:21" ht="15" customHeight="1" x14ac:dyDescent="0.25">
      <c r="T10791" s="135"/>
      <c r="U10791" s="135"/>
    </row>
    <row r="10792" spans="20:21" ht="15" customHeight="1" x14ac:dyDescent="0.25">
      <c r="T10792" s="135"/>
      <c r="U10792" s="135"/>
    </row>
    <row r="10793" spans="20:21" ht="15" customHeight="1" x14ac:dyDescent="0.25">
      <c r="T10793" s="135"/>
      <c r="U10793" s="135"/>
    </row>
    <row r="10794" spans="20:21" ht="15" customHeight="1" x14ac:dyDescent="0.25">
      <c r="T10794" s="135"/>
      <c r="U10794" s="135"/>
    </row>
    <row r="10795" spans="20:21" ht="15" customHeight="1" x14ac:dyDescent="0.25">
      <c r="T10795" s="135"/>
      <c r="U10795" s="135"/>
    </row>
    <row r="10796" spans="20:21" ht="15" customHeight="1" x14ac:dyDescent="0.25">
      <c r="T10796" s="135"/>
      <c r="U10796" s="135"/>
    </row>
    <row r="10797" spans="20:21" ht="15" customHeight="1" x14ac:dyDescent="0.25">
      <c r="T10797" s="135"/>
      <c r="U10797" s="135"/>
    </row>
    <row r="10798" spans="20:21" ht="15" customHeight="1" x14ac:dyDescent="0.25">
      <c r="T10798" s="135"/>
      <c r="U10798" s="135"/>
    </row>
    <row r="10799" spans="20:21" ht="15" customHeight="1" x14ac:dyDescent="0.25">
      <c r="T10799" s="135"/>
      <c r="U10799" s="135"/>
    </row>
    <row r="10800" spans="20:21" ht="15" customHeight="1" x14ac:dyDescent="0.25">
      <c r="T10800" s="135"/>
      <c r="U10800" s="135"/>
    </row>
    <row r="10801" spans="20:21" ht="15" customHeight="1" x14ac:dyDescent="0.25">
      <c r="T10801" s="135"/>
      <c r="U10801" s="135"/>
    </row>
    <row r="10802" spans="20:21" ht="15" customHeight="1" x14ac:dyDescent="0.25">
      <c r="T10802" s="135"/>
      <c r="U10802" s="135"/>
    </row>
    <row r="10803" spans="20:21" ht="15" customHeight="1" x14ac:dyDescent="0.25">
      <c r="T10803" s="135"/>
      <c r="U10803" s="135"/>
    </row>
    <row r="10804" spans="20:21" ht="15" customHeight="1" x14ac:dyDescent="0.25">
      <c r="T10804" s="135"/>
      <c r="U10804" s="135"/>
    </row>
    <row r="10805" spans="20:21" ht="15" customHeight="1" x14ac:dyDescent="0.25">
      <c r="T10805" s="135"/>
      <c r="U10805" s="135"/>
    </row>
    <row r="10806" spans="20:21" ht="15" customHeight="1" x14ac:dyDescent="0.25">
      <c r="T10806" s="135"/>
      <c r="U10806" s="135"/>
    </row>
    <row r="10807" spans="20:21" ht="15" customHeight="1" x14ac:dyDescent="0.25">
      <c r="T10807" s="135"/>
      <c r="U10807" s="135"/>
    </row>
    <row r="10808" spans="20:21" ht="15" customHeight="1" x14ac:dyDescent="0.25">
      <c r="T10808" s="135"/>
      <c r="U10808" s="135"/>
    </row>
    <row r="10809" spans="20:21" ht="15" customHeight="1" x14ac:dyDescent="0.25">
      <c r="T10809" s="135"/>
      <c r="U10809" s="135"/>
    </row>
    <row r="10810" spans="20:21" ht="15" customHeight="1" x14ac:dyDescent="0.25">
      <c r="T10810" s="135"/>
      <c r="U10810" s="135"/>
    </row>
    <row r="10811" spans="20:21" ht="15" customHeight="1" x14ac:dyDescent="0.25">
      <c r="T10811" s="135"/>
      <c r="U10811" s="135"/>
    </row>
    <row r="10812" spans="20:21" ht="15" customHeight="1" x14ac:dyDescent="0.25">
      <c r="T10812" s="135"/>
      <c r="U10812" s="135"/>
    </row>
    <row r="10813" spans="20:21" ht="15" customHeight="1" x14ac:dyDescent="0.25">
      <c r="T10813" s="135"/>
      <c r="U10813" s="135"/>
    </row>
    <row r="10814" spans="20:21" ht="15" customHeight="1" x14ac:dyDescent="0.25">
      <c r="T10814" s="135"/>
      <c r="U10814" s="135"/>
    </row>
    <row r="10815" spans="20:21" ht="15" customHeight="1" x14ac:dyDescent="0.25">
      <c r="T10815" s="135"/>
      <c r="U10815" s="135"/>
    </row>
    <row r="10816" spans="20:21" ht="15" customHeight="1" x14ac:dyDescent="0.25">
      <c r="T10816" s="135"/>
      <c r="U10816" s="135"/>
    </row>
    <row r="10817" spans="20:21" ht="15" customHeight="1" x14ac:dyDescent="0.25">
      <c r="T10817" s="135"/>
      <c r="U10817" s="135"/>
    </row>
    <row r="10818" spans="20:21" ht="15" customHeight="1" x14ac:dyDescent="0.25">
      <c r="T10818" s="135"/>
      <c r="U10818" s="135"/>
    </row>
    <row r="10819" spans="20:21" ht="15" customHeight="1" x14ac:dyDescent="0.25">
      <c r="T10819" s="135"/>
      <c r="U10819" s="135"/>
    </row>
    <row r="10820" spans="20:21" ht="15" customHeight="1" x14ac:dyDescent="0.25">
      <c r="T10820" s="135"/>
      <c r="U10820" s="135"/>
    </row>
    <row r="10821" spans="20:21" ht="15" customHeight="1" x14ac:dyDescent="0.25">
      <c r="T10821" s="135"/>
      <c r="U10821" s="135"/>
    </row>
    <row r="10822" spans="20:21" ht="15" customHeight="1" x14ac:dyDescent="0.25">
      <c r="T10822" s="135"/>
      <c r="U10822" s="135"/>
    </row>
    <row r="10823" spans="20:21" ht="15" customHeight="1" x14ac:dyDescent="0.25">
      <c r="T10823" s="135"/>
      <c r="U10823" s="135"/>
    </row>
    <row r="10824" spans="20:21" ht="15" customHeight="1" x14ac:dyDescent="0.25">
      <c r="T10824" s="135"/>
      <c r="U10824" s="135"/>
    </row>
    <row r="10825" spans="20:21" ht="15" customHeight="1" x14ac:dyDescent="0.25">
      <c r="T10825" s="135"/>
      <c r="U10825" s="135"/>
    </row>
    <row r="10826" spans="20:21" ht="15" customHeight="1" x14ac:dyDescent="0.25">
      <c r="T10826" s="135"/>
      <c r="U10826" s="135"/>
    </row>
    <row r="10827" spans="20:21" ht="15" customHeight="1" x14ac:dyDescent="0.25">
      <c r="T10827" s="135"/>
      <c r="U10827" s="135"/>
    </row>
    <row r="10828" spans="20:21" ht="15" customHeight="1" x14ac:dyDescent="0.25">
      <c r="T10828" s="135"/>
      <c r="U10828" s="135"/>
    </row>
    <row r="10829" spans="20:21" ht="15" customHeight="1" x14ac:dyDescent="0.25">
      <c r="T10829" s="135"/>
      <c r="U10829" s="135"/>
    </row>
    <row r="10830" spans="20:21" ht="15" customHeight="1" x14ac:dyDescent="0.25">
      <c r="T10830" s="135"/>
      <c r="U10830" s="135"/>
    </row>
    <row r="10831" spans="20:21" ht="15" customHeight="1" x14ac:dyDescent="0.25">
      <c r="T10831" s="135"/>
      <c r="U10831" s="135"/>
    </row>
    <row r="10832" spans="20:21" ht="15" customHeight="1" x14ac:dyDescent="0.25">
      <c r="T10832" s="135"/>
      <c r="U10832" s="135"/>
    </row>
    <row r="10833" spans="20:21" ht="15" customHeight="1" x14ac:dyDescent="0.25">
      <c r="T10833" s="135"/>
      <c r="U10833" s="135"/>
    </row>
    <row r="10834" spans="20:21" ht="15" customHeight="1" x14ac:dyDescent="0.25">
      <c r="T10834" s="135"/>
      <c r="U10834" s="135"/>
    </row>
    <row r="10835" spans="20:21" ht="15" customHeight="1" x14ac:dyDescent="0.25">
      <c r="T10835" s="135"/>
      <c r="U10835" s="135"/>
    </row>
    <row r="10836" spans="20:21" ht="15" customHeight="1" x14ac:dyDescent="0.25">
      <c r="T10836" s="135"/>
      <c r="U10836" s="135"/>
    </row>
    <row r="10837" spans="20:21" ht="15" customHeight="1" x14ac:dyDescent="0.25">
      <c r="T10837" s="135"/>
      <c r="U10837" s="135"/>
    </row>
    <row r="10838" spans="20:21" ht="15" customHeight="1" x14ac:dyDescent="0.25">
      <c r="T10838" s="135"/>
      <c r="U10838" s="135"/>
    </row>
    <row r="10839" spans="20:21" ht="15" customHeight="1" x14ac:dyDescent="0.25">
      <c r="T10839" s="135"/>
      <c r="U10839" s="135"/>
    </row>
    <row r="10840" spans="20:21" ht="15" customHeight="1" x14ac:dyDescent="0.25">
      <c r="T10840" s="135"/>
      <c r="U10840" s="135"/>
    </row>
    <row r="10841" spans="20:21" ht="15" customHeight="1" x14ac:dyDescent="0.25">
      <c r="T10841" s="135"/>
      <c r="U10841" s="135"/>
    </row>
    <row r="10842" spans="20:21" ht="15" customHeight="1" x14ac:dyDescent="0.25">
      <c r="T10842" s="135"/>
      <c r="U10842" s="135"/>
    </row>
    <row r="10843" spans="20:21" ht="15" customHeight="1" x14ac:dyDescent="0.25">
      <c r="T10843" s="135"/>
      <c r="U10843" s="135"/>
    </row>
    <row r="10844" spans="20:21" ht="15" customHeight="1" x14ac:dyDescent="0.25">
      <c r="T10844" s="135"/>
      <c r="U10844" s="135"/>
    </row>
    <row r="10845" spans="20:21" ht="15" customHeight="1" x14ac:dyDescent="0.25">
      <c r="T10845" s="135"/>
      <c r="U10845" s="135"/>
    </row>
    <row r="10846" spans="20:21" ht="15" customHeight="1" x14ac:dyDescent="0.25">
      <c r="T10846" s="135"/>
      <c r="U10846" s="135"/>
    </row>
    <row r="10847" spans="20:21" ht="15" customHeight="1" x14ac:dyDescent="0.25">
      <c r="T10847" s="135"/>
      <c r="U10847" s="135"/>
    </row>
    <row r="10848" spans="20:21" ht="15" customHeight="1" x14ac:dyDescent="0.25">
      <c r="T10848" s="135"/>
      <c r="U10848" s="135"/>
    </row>
    <row r="10849" spans="20:21" ht="15" customHeight="1" x14ac:dyDescent="0.25">
      <c r="T10849" s="135"/>
      <c r="U10849" s="135"/>
    </row>
    <row r="10850" spans="20:21" ht="15" customHeight="1" x14ac:dyDescent="0.25">
      <c r="T10850" s="135"/>
      <c r="U10850" s="135"/>
    </row>
    <row r="10851" spans="20:21" ht="15" customHeight="1" x14ac:dyDescent="0.25">
      <c r="T10851" s="135"/>
      <c r="U10851" s="135"/>
    </row>
    <row r="10852" spans="20:21" ht="15" customHeight="1" x14ac:dyDescent="0.25">
      <c r="T10852" s="135"/>
      <c r="U10852" s="135"/>
    </row>
    <row r="10853" spans="20:21" ht="15" customHeight="1" x14ac:dyDescent="0.25">
      <c r="T10853" s="135"/>
      <c r="U10853" s="135"/>
    </row>
    <row r="10854" spans="20:21" ht="15" customHeight="1" x14ac:dyDescent="0.25">
      <c r="T10854" s="135"/>
      <c r="U10854" s="135"/>
    </row>
    <row r="10855" spans="20:21" ht="15" customHeight="1" x14ac:dyDescent="0.25">
      <c r="T10855" s="135"/>
      <c r="U10855" s="135"/>
    </row>
    <row r="10856" spans="20:21" ht="15" customHeight="1" x14ac:dyDescent="0.25">
      <c r="T10856" s="135"/>
      <c r="U10856" s="135"/>
    </row>
    <row r="10857" spans="20:21" ht="15" customHeight="1" x14ac:dyDescent="0.25">
      <c r="T10857" s="135"/>
      <c r="U10857" s="135"/>
    </row>
    <row r="10858" spans="20:21" ht="15" customHeight="1" x14ac:dyDescent="0.25">
      <c r="T10858" s="135"/>
      <c r="U10858" s="135"/>
    </row>
    <row r="10859" spans="20:21" ht="15" customHeight="1" x14ac:dyDescent="0.25">
      <c r="T10859" s="135"/>
      <c r="U10859" s="135"/>
    </row>
    <row r="10860" spans="20:21" ht="15" customHeight="1" x14ac:dyDescent="0.25">
      <c r="T10860" s="135"/>
      <c r="U10860" s="135"/>
    </row>
    <row r="10861" spans="20:21" ht="15" customHeight="1" x14ac:dyDescent="0.25">
      <c r="T10861" s="135"/>
      <c r="U10861" s="135"/>
    </row>
    <row r="10862" spans="20:21" ht="15" customHeight="1" x14ac:dyDescent="0.25">
      <c r="T10862" s="135"/>
      <c r="U10862" s="135"/>
    </row>
    <row r="10863" spans="20:21" ht="15" customHeight="1" x14ac:dyDescent="0.25">
      <c r="T10863" s="135"/>
      <c r="U10863" s="135"/>
    </row>
    <row r="10864" spans="20:21" ht="15" customHeight="1" x14ac:dyDescent="0.25">
      <c r="T10864" s="135"/>
      <c r="U10864" s="135"/>
    </row>
    <row r="10865" spans="20:21" ht="15" customHeight="1" x14ac:dyDescent="0.25">
      <c r="T10865" s="135"/>
      <c r="U10865" s="135"/>
    </row>
    <row r="10866" spans="20:21" ht="15" customHeight="1" x14ac:dyDescent="0.25">
      <c r="T10866" s="135"/>
      <c r="U10866" s="135"/>
    </row>
    <row r="10867" spans="20:21" ht="15" customHeight="1" x14ac:dyDescent="0.25">
      <c r="T10867" s="135"/>
      <c r="U10867" s="135"/>
    </row>
    <row r="10868" spans="20:21" ht="15" customHeight="1" x14ac:dyDescent="0.25">
      <c r="T10868" s="135"/>
      <c r="U10868" s="135"/>
    </row>
    <row r="10869" spans="20:21" ht="15" customHeight="1" x14ac:dyDescent="0.25">
      <c r="T10869" s="135"/>
      <c r="U10869" s="135"/>
    </row>
    <row r="10870" spans="20:21" ht="15" customHeight="1" x14ac:dyDescent="0.25">
      <c r="T10870" s="135"/>
      <c r="U10870" s="135"/>
    </row>
    <row r="10871" spans="20:21" ht="15" customHeight="1" x14ac:dyDescent="0.25">
      <c r="T10871" s="135"/>
      <c r="U10871" s="135"/>
    </row>
    <row r="10872" spans="20:21" ht="15" customHeight="1" x14ac:dyDescent="0.25">
      <c r="T10872" s="135"/>
      <c r="U10872" s="135"/>
    </row>
    <row r="10873" spans="20:21" ht="15" customHeight="1" x14ac:dyDescent="0.25">
      <c r="T10873" s="135"/>
      <c r="U10873" s="135"/>
    </row>
    <row r="10874" spans="20:21" ht="15" customHeight="1" x14ac:dyDescent="0.25">
      <c r="T10874" s="135"/>
      <c r="U10874" s="135"/>
    </row>
    <row r="10875" spans="20:21" ht="15" customHeight="1" x14ac:dyDescent="0.25">
      <c r="T10875" s="135"/>
      <c r="U10875" s="135"/>
    </row>
    <row r="10876" spans="20:21" ht="15" customHeight="1" x14ac:dyDescent="0.25">
      <c r="T10876" s="135"/>
      <c r="U10876" s="135"/>
    </row>
    <row r="10877" spans="20:21" ht="15" customHeight="1" x14ac:dyDescent="0.25">
      <c r="T10877" s="135"/>
      <c r="U10877" s="135"/>
    </row>
    <row r="10878" spans="20:21" ht="15" customHeight="1" x14ac:dyDescent="0.25">
      <c r="T10878" s="135"/>
      <c r="U10878" s="135"/>
    </row>
    <row r="10879" spans="20:21" ht="15" customHeight="1" x14ac:dyDescent="0.25">
      <c r="T10879" s="135"/>
      <c r="U10879" s="135"/>
    </row>
    <row r="10880" spans="20:21" ht="15" customHeight="1" x14ac:dyDescent="0.25">
      <c r="T10880" s="135"/>
      <c r="U10880" s="135"/>
    </row>
    <row r="10881" spans="20:21" ht="15" customHeight="1" x14ac:dyDescent="0.25">
      <c r="T10881" s="135"/>
      <c r="U10881" s="135"/>
    </row>
    <row r="10882" spans="20:21" ht="15" customHeight="1" x14ac:dyDescent="0.25">
      <c r="T10882" s="135"/>
      <c r="U10882" s="135"/>
    </row>
    <row r="10883" spans="20:21" ht="15" customHeight="1" x14ac:dyDescent="0.25">
      <c r="T10883" s="135"/>
      <c r="U10883" s="135"/>
    </row>
    <row r="10884" spans="20:21" ht="15" customHeight="1" x14ac:dyDescent="0.25">
      <c r="T10884" s="135"/>
      <c r="U10884" s="135"/>
    </row>
    <row r="10885" spans="20:21" ht="15" customHeight="1" x14ac:dyDescent="0.25">
      <c r="T10885" s="135"/>
      <c r="U10885" s="135"/>
    </row>
    <row r="10886" spans="20:21" ht="15" customHeight="1" x14ac:dyDescent="0.25">
      <c r="T10886" s="135"/>
      <c r="U10886" s="135"/>
    </row>
    <row r="10887" spans="20:21" ht="15" customHeight="1" x14ac:dyDescent="0.25">
      <c r="T10887" s="135"/>
      <c r="U10887" s="135"/>
    </row>
    <row r="10888" spans="20:21" ht="15" customHeight="1" x14ac:dyDescent="0.25">
      <c r="T10888" s="135"/>
      <c r="U10888" s="135"/>
    </row>
    <row r="10889" spans="20:21" ht="15" customHeight="1" x14ac:dyDescent="0.25">
      <c r="T10889" s="135"/>
      <c r="U10889" s="135"/>
    </row>
    <row r="10890" spans="20:21" ht="15" customHeight="1" x14ac:dyDescent="0.25">
      <c r="T10890" s="135"/>
      <c r="U10890" s="135"/>
    </row>
    <row r="10891" spans="20:21" ht="15" customHeight="1" x14ac:dyDescent="0.25">
      <c r="T10891" s="135"/>
      <c r="U10891" s="135"/>
    </row>
    <row r="10892" spans="20:21" ht="15" customHeight="1" x14ac:dyDescent="0.25">
      <c r="T10892" s="135"/>
      <c r="U10892" s="135"/>
    </row>
    <row r="10893" spans="20:21" ht="15" customHeight="1" x14ac:dyDescent="0.25">
      <c r="T10893" s="135"/>
      <c r="U10893" s="135"/>
    </row>
    <row r="10894" spans="20:21" ht="15" customHeight="1" x14ac:dyDescent="0.25">
      <c r="T10894" s="135"/>
      <c r="U10894" s="135"/>
    </row>
    <row r="10895" spans="20:21" ht="15" customHeight="1" x14ac:dyDescent="0.25">
      <c r="T10895" s="135"/>
      <c r="U10895" s="135"/>
    </row>
    <row r="10896" spans="20:21" ht="15" customHeight="1" x14ac:dyDescent="0.25">
      <c r="T10896" s="135"/>
      <c r="U10896" s="135"/>
    </row>
    <row r="10897" spans="20:21" ht="15" customHeight="1" x14ac:dyDescent="0.25">
      <c r="T10897" s="135"/>
      <c r="U10897" s="135"/>
    </row>
    <row r="10898" spans="20:21" ht="15" customHeight="1" x14ac:dyDescent="0.25">
      <c r="T10898" s="135"/>
      <c r="U10898" s="135"/>
    </row>
    <row r="10899" spans="20:21" ht="15" customHeight="1" x14ac:dyDescent="0.25">
      <c r="T10899" s="135"/>
      <c r="U10899" s="135"/>
    </row>
    <row r="10900" spans="20:21" ht="15" customHeight="1" x14ac:dyDescent="0.25">
      <c r="T10900" s="135"/>
      <c r="U10900" s="135"/>
    </row>
    <row r="10901" spans="20:21" ht="15" customHeight="1" x14ac:dyDescent="0.25">
      <c r="T10901" s="135"/>
      <c r="U10901" s="135"/>
    </row>
    <row r="10902" spans="20:21" ht="15" customHeight="1" x14ac:dyDescent="0.25">
      <c r="T10902" s="135"/>
      <c r="U10902" s="135"/>
    </row>
    <row r="10903" spans="20:21" ht="15" customHeight="1" x14ac:dyDescent="0.25">
      <c r="T10903" s="135"/>
      <c r="U10903" s="135"/>
    </row>
    <row r="10904" spans="20:21" ht="15" customHeight="1" x14ac:dyDescent="0.25">
      <c r="T10904" s="135"/>
      <c r="U10904" s="135"/>
    </row>
    <row r="10905" spans="20:21" ht="15" customHeight="1" x14ac:dyDescent="0.25">
      <c r="T10905" s="135"/>
      <c r="U10905" s="135"/>
    </row>
    <row r="10906" spans="20:21" ht="15" customHeight="1" x14ac:dyDescent="0.25">
      <c r="T10906" s="135"/>
      <c r="U10906" s="135"/>
    </row>
    <row r="10907" spans="20:21" ht="15" customHeight="1" x14ac:dyDescent="0.25">
      <c r="T10907" s="135"/>
      <c r="U10907" s="135"/>
    </row>
    <row r="10908" spans="20:21" ht="15" customHeight="1" x14ac:dyDescent="0.25">
      <c r="T10908" s="135"/>
      <c r="U10908" s="135"/>
    </row>
    <row r="10909" spans="20:21" ht="15" customHeight="1" x14ac:dyDescent="0.25">
      <c r="T10909" s="135"/>
      <c r="U10909" s="135"/>
    </row>
    <row r="10910" spans="20:21" ht="15" customHeight="1" x14ac:dyDescent="0.25">
      <c r="T10910" s="135"/>
      <c r="U10910" s="135"/>
    </row>
    <row r="10911" spans="20:21" ht="15" customHeight="1" x14ac:dyDescent="0.25">
      <c r="T10911" s="135"/>
      <c r="U10911" s="135"/>
    </row>
    <row r="10912" spans="20:21" ht="15" customHeight="1" x14ac:dyDescent="0.25">
      <c r="T10912" s="135"/>
      <c r="U10912" s="135"/>
    </row>
    <row r="10913" spans="20:21" ht="15" customHeight="1" x14ac:dyDescent="0.25">
      <c r="T10913" s="135"/>
      <c r="U10913" s="135"/>
    </row>
    <row r="10914" spans="20:21" ht="15" customHeight="1" x14ac:dyDescent="0.25">
      <c r="T10914" s="135"/>
      <c r="U10914" s="135"/>
    </row>
    <row r="10915" spans="20:21" ht="15" customHeight="1" x14ac:dyDescent="0.25">
      <c r="T10915" s="135"/>
      <c r="U10915" s="135"/>
    </row>
    <row r="10916" spans="20:21" ht="15" customHeight="1" x14ac:dyDescent="0.25">
      <c r="T10916" s="135"/>
      <c r="U10916" s="135"/>
    </row>
    <row r="10917" spans="20:21" ht="15" customHeight="1" x14ac:dyDescent="0.25">
      <c r="T10917" s="135"/>
      <c r="U10917" s="135"/>
    </row>
    <row r="10918" spans="20:21" ht="15" customHeight="1" x14ac:dyDescent="0.25">
      <c r="T10918" s="135"/>
      <c r="U10918" s="135"/>
    </row>
    <row r="10919" spans="20:21" ht="15" customHeight="1" x14ac:dyDescent="0.25">
      <c r="T10919" s="135"/>
      <c r="U10919" s="135"/>
    </row>
    <row r="10920" spans="20:21" ht="15" customHeight="1" x14ac:dyDescent="0.25">
      <c r="T10920" s="135"/>
      <c r="U10920" s="135"/>
    </row>
    <row r="10921" spans="20:21" ht="15" customHeight="1" x14ac:dyDescent="0.25">
      <c r="T10921" s="135"/>
      <c r="U10921" s="135"/>
    </row>
    <row r="10922" spans="20:21" ht="15" customHeight="1" x14ac:dyDescent="0.25">
      <c r="T10922" s="135"/>
      <c r="U10922" s="135"/>
    </row>
    <row r="10923" spans="20:21" ht="15" customHeight="1" x14ac:dyDescent="0.25">
      <c r="T10923" s="135"/>
      <c r="U10923" s="135"/>
    </row>
    <row r="10924" spans="20:21" ht="15" customHeight="1" x14ac:dyDescent="0.25">
      <c r="T10924" s="135"/>
      <c r="U10924" s="135"/>
    </row>
    <row r="10925" spans="20:21" ht="15" customHeight="1" x14ac:dyDescent="0.25">
      <c r="T10925" s="135"/>
      <c r="U10925" s="135"/>
    </row>
    <row r="10926" spans="20:21" ht="15" customHeight="1" x14ac:dyDescent="0.25">
      <c r="T10926" s="135"/>
      <c r="U10926" s="135"/>
    </row>
    <row r="10927" spans="20:21" ht="15" customHeight="1" x14ac:dyDescent="0.25">
      <c r="T10927" s="135"/>
      <c r="U10927" s="135"/>
    </row>
    <row r="10928" spans="20:21" ht="15" customHeight="1" x14ac:dyDescent="0.25">
      <c r="T10928" s="135"/>
      <c r="U10928" s="135"/>
    </row>
    <row r="10929" spans="20:21" ht="15" customHeight="1" x14ac:dyDescent="0.25">
      <c r="T10929" s="135"/>
      <c r="U10929" s="135"/>
    </row>
    <row r="10930" spans="20:21" ht="15" customHeight="1" x14ac:dyDescent="0.25">
      <c r="T10930" s="135"/>
      <c r="U10930" s="135"/>
    </row>
    <row r="10931" spans="20:21" ht="15" customHeight="1" x14ac:dyDescent="0.25">
      <c r="T10931" s="135"/>
      <c r="U10931" s="135"/>
    </row>
    <row r="10932" spans="20:21" ht="15" customHeight="1" x14ac:dyDescent="0.25">
      <c r="T10932" s="135"/>
      <c r="U10932" s="135"/>
    </row>
    <row r="10933" spans="20:21" ht="15" customHeight="1" x14ac:dyDescent="0.25">
      <c r="T10933" s="135"/>
      <c r="U10933" s="135"/>
    </row>
    <row r="10934" spans="20:21" ht="15" customHeight="1" x14ac:dyDescent="0.25">
      <c r="T10934" s="135"/>
      <c r="U10934" s="135"/>
    </row>
    <row r="10935" spans="20:21" ht="15" customHeight="1" x14ac:dyDescent="0.25">
      <c r="T10935" s="135"/>
      <c r="U10935" s="135"/>
    </row>
    <row r="10936" spans="20:21" ht="15" customHeight="1" x14ac:dyDescent="0.25">
      <c r="T10936" s="135"/>
      <c r="U10936" s="135"/>
    </row>
    <row r="10937" spans="20:21" ht="15" customHeight="1" x14ac:dyDescent="0.25">
      <c r="T10937" s="135"/>
      <c r="U10937" s="135"/>
    </row>
    <row r="10938" spans="20:21" ht="15" customHeight="1" x14ac:dyDescent="0.25">
      <c r="T10938" s="135"/>
      <c r="U10938" s="135"/>
    </row>
    <row r="10939" spans="20:21" ht="15" customHeight="1" x14ac:dyDescent="0.25">
      <c r="T10939" s="135"/>
      <c r="U10939" s="135"/>
    </row>
    <row r="10940" spans="20:21" ht="15" customHeight="1" x14ac:dyDescent="0.25">
      <c r="T10940" s="135"/>
      <c r="U10940" s="135"/>
    </row>
    <row r="10941" spans="20:21" ht="15" customHeight="1" x14ac:dyDescent="0.25">
      <c r="T10941" s="135"/>
      <c r="U10941" s="135"/>
    </row>
    <row r="10942" spans="20:21" ht="15" customHeight="1" x14ac:dyDescent="0.25">
      <c r="T10942" s="135"/>
      <c r="U10942" s="135"/>
    </row>
    <row r="10943" spans="20:21" ht="15" customHeight="1" x14ac:dyDescent="0.25">
      <c r="T10943" s="135"/>
      <c r="U10943" s="135"/>
    </row>
    <row r="10944" spans="20:21" ht="15" customHeight="1" x14ac:dyDescent="0.25">
      <c r="T10944" s="135"/>
      <c r="U10944" s="135"/>
    </row>
    <row r="10945" spans="20:21" ht="15" customHeight="1" x14ac:dyDescent="0.25">
      <c r="T10945" s="135"/>
      <c r="U10945" s="135"/>
    </row>
    <row r="10946" spans="20:21" ht="15" customHeight="1" x14ac:dyDescent="0.25">
      <c r="T10946" s="135"/>
      <c r="U10946" s="135"/>
    </row>
    <row r="10947" spans="20:21" ht="15" customHeight="1" x14ac:dyDescent="0.25">
      <c r="T10947" s="135"/>
      <c r="U10947" s="135"/>
    </row>
    <row r="10948" spans="20:21" ht="15" customHeight="1" x14ac:dyDescent="0.25">
      <c r="T10948" s="135"/>
      <c r="U10948" s="135"/>
    </row>
    <row r="10949" spans="20:21" ht="15" customHeight="1" x14ac:dyDescent="0.25">
      <c r="T10949" s="135"/>
      <c r="U10949" s="135"/>
    </row>
    <row r="10950" spans="20:21" ht="15" customHeight="1" x14ac:dyDescent="0.25">
      <c r="T10950" s="135"/>
      <c r="U10950" s="135"/>
    </row>
    <row r="10951" spans="20:21" ht="15" customHeight="1" x14ac:dyDescent="0.25">
      <c r="T10951" s="135"/>
      <c r="U10951" s="135"/>
    </row>
    <row r="10952" spans="20:21" ht="15" customHeight="1" x14ac:dyDescent="0.25">
      <c r="T10952" s="135"/>
      <c r="U10952" s="135"/>
    </row>
    <row r="10953" spans="20:21" ht="15" customHeight="1" x14ac:dyDescent="0.25">
      <c r="T10953" s="135"/>
      <c r="U10953" s="135"/>
    </row>
    <row r="10954" spans="20:21" ht="15" customHeight="1" x14ac:dyDescent="0.25">
      <c r="T10954" s="135"/>
      <c r="U10954" s="135"/>
    </row>
    <row r="10955" spans="20:21" ht="15" customHeight="1" x14ac:dyDescent="0.25">
      <c r="T10955" s="135"/>
      <c r="U10955" s="135"/>
    </row>
    <row r="10956" spans="20:21" ht="15" customHeight="1" x14ac:dyDescent="0.25">
      <c r="T10956" s="135"/>
      <c r="U10956" s="135"/>
    </row>
    <row r="10957" spans="20:21" ht="15" customHeight="1" x14ac:dyDescent="0.25">
      <c r="T10957" s="135"/>
      <c r="U10957" s="135"/>
    </row>
    <row r="10958" spans="20:21" ht="15" customHeight="1" x14ac:dyDescent="0.25">
      <c r="T10958" s="135"/>
      <c r="U10958" s="135"/>
    </row>
    <row r="10959" spans="20:21" ht="15" customHeight="1" x14ac:dyDescent="0.25">
      <c r="T10959" s="135"/>
      <c r="U10959" s="135"/>
    </row>
    <row r="10960" spans="20:21" ht="15" customHeight="1" x14ac:dyDescent="0.25">
      <c r="T10960" s="135"/>
      <c r="U10960" s="135"/>
    </row>
    <row r="10961" spans="20:21" ht="15" customHeight="1" x14ac:dyDescent="0.25">
      <c r="T10961" s="135"/>
      <c r="U10961" s="135"/>
    </row>
    <row r="10962" spans="20:21" ht="15" customHeight="1" x14ac:dyDescent="0.25">
      <c r="T10962" s="135"/>
      <c r="U10962" s="135"/>
    </row>
    <row r="10963" spans="20:21" ht="15" customHeight="1" x14ac:dyDescent="0.25">
      <c r="T10963" s="135"/>
      <c r="U10963" s="135"/>
    </row>
    <row r="10964" spans="20:21" ht="15" customHeight="1" x14ac:dyDescent="0.25">
      <c r="T10964" s="135"/>
      <c r="U10964" s="135"/>
    </row>
    <row r="10965" spans="20:21" ht="15" customHeight="1" x14ac:dyDescent="0.25">
      <c r="T10965" s="135"/>
      <c r="U10965" s="135"/>
    </row>
    <row r="10966" spans="20:21" ht="15" customHeight="1" x14ac:dyDescent="0.25">
      <c r="T10966" s="135"/>
      <c r="U10966" s="135"/>
    </row>
    <row r="10967" spans="20:21" ht="15" customHeight="1" x14ac:dyDescent="0.25">
      <c r="T10967" s="135"/>
      <c r="U10967" s="135"/>
    </row>
    <row r="10968" spans="20:21" ht="15" customHeight="1" x14ac:dyDescent="0.25">
      <c r="T10968" s="135"/>
      <c r="U10968" s="135"/>
    </row>
    <row r="10969" spans="20:21" ht="15" customHeight="1" x14ac:dyDescent="0.25">
      <c r="T10969" s="135"/>
      <c r="U10969" s="135"/>
    </row>
    <row r="10970" spans="20:21" ht="15" customHeight="1" x14ac:dyDescent="0.25">
      <c r="T10970" s="135"/>
      <c r="U10970" s="135"/>
    </row>
    <row r="10971" spans="20:21" ht="15" customHeight="1" x14ac:dyDescent="0.25">
      <c r="T10971" s="135"/>
      <c r="U10971" s="135"/>
    </row>
    <row r="10972" spans="20:21" ht="15" customHeight="1" x14ac:dyDescent="0.25">
      <c r="T10972" s="135"/>
      <c r="U10972" s="135"/>
    </row>
    <row r="10973" spans="20:21" ht="15" customHeight="1" x14ac:dyDescent="0.25">
      <c r="T10973" s="135"/>
      <c r="U10973" s="135"/>
    </row>
    <row r="10974" spans="20:21" ht="15" customHeight="1" x14ac:dyDescent="0.25">
      <c r="T10974" s="135"/>
      <c r="U10974" s="135"/>
    </row>
    <row r="10975" spans="20:21" ht="15" customHeight="1" x14ac:dyDescent="0.25">
      <c r="T10975" s="135"/>
      <c r="U10975" s="135"/>
    </row>
    <row r="10976" spans="20:21" ht="15" customHeight="1" x14ac:dyDescent="0.25">
      <c r="T10976" s="135"/>
      <c r="U10976" s="135"/>
    </row>
    <row r="10977" spans="20:21" ht="15" customHeight="1" x14ac:dyDescent="0.25">
      <c r="T10977" s="135"/>
      <c r="U10977" s="135"/>
    </row>
    <row r="10978" spans="20:21" ht="15" customHeight="1" x14ac:dyDescent="0.25">
      <c r="T10978" s="135"/>
      <c r="U10978" s="135"/>
    </row>
    <row r="10979" spans="20:21" ht="15" customHeight="1" x14ac:dyDescent="0.25">
      <c r="T10979" s="135"/>
      <c r="U10979" s="135"/>
    </row>
    <row r="10980" spans="20:21" ht="15" customHeight="1" x14ac:dyDescent="0.25">
      <c r="T10980" s="135"/>
      <c r="U10980" s="135"/>
    </row>
    <row r="10981" spans="20:21" ht="15" customHeight="1" x14ac:dyDescent="0.25">
      <c r="T10981" s="135"/>
      <c r="U10981" s="135"/>
    </row>
    <row r="10982" spans="20:21" ht="15" customHeight="1" x14ac:dyDescent="0.25">
      <c r="T10982" s="135"/>
      <c r="U10982" s="135"/>
    </row>
    <row r="10983" spans="20:21" ht="15" customHeight="1" x14ac:dyDescent="0.25">
      <c r="T10983" s="135"/>
      <c r="U10983" s="135"/>
    </row>
    <row r="10984" spans="20:21" ht="15" customHeight="1" x14ac:dyDescent="0.25">
      <c r="T10984" s="135"/>
      <c r="U10984" s="135"/>
    </row>
    <row r="10985" spans="20:21" ht="15" customHeight="1" x14ac:dyDescent="0.25">
      <c r="T10985" s="135"/>
      <c r="U10985" s="135"/>
    </row>
    <row r="10986" spans="20:21" ht="15" customHeight="1" x14ac:dyDescent="0.25">
      <c r="T10986" s="135"/>
      <c r="U10986" s="135"/>
    </row>
    <row r="10987" spans="20:21" ht="15" customHeight="1" x14ac:dyDescent="0.25">
      <c r="T10987" s="135"/>
      <c r="U10987" s="135"/>
    </row>
    <row r="10988" spans="20:21" ht="15" customHeight="1" x14ac:dyDescent="0.25">
      <c r="T10988" s="135"/>
      <c r="U10988" s="135"/>
    </row>
    <row r="10989" spans="20:21" ht="15" customHeight="1" x14ac:dyDescent="0.25">
      <c r="T10989" s="135"/>
      <c r="U10989" s="135"/>
    </row>
    <row r="10990" spans="20:21" ht="15" customHeight="1" x14ac:dyDescent="0.25">
      <c r="T10990" s="135"/>
      <c r="U10990" s="135"/>
    </row>
    <row r="10991" spans="20:21" ht="15" customHeight="1" x14ac:dyDescent="0.25">
      <c r="T10991" s="135"/>
      <c r="U10991" s="135"/>
    </row>
    <row r="10992" spans="20:21" ht="15" customHeight="1" x14ac:dyDescent="0.25">
      <c r="T10992" s="135"/>
      <c r="U10992" s="135"/>
    </row>
    <row r="10993" spans="20:21" ht="15" customHeight="1" x14ac:dyDescent="0.25">
      <c r="T10993" s="135"/>
      <c r="U10993" s="135"/>
    </row>
    <row r="10994" spans="20:21" ht="15" customHeight="1" x14ac:dyDescent="0.25">
      <c r="T10994" s="135"/>
      <c r="U10994" s="135"/>
    </row>
    <row r="10995" spans="20:21" ht="15" customHeight="1" x14ac:dyDescent="0.25">
      <c r="T10995" s="135"/>
      <c r="U10995" s="135"/>
    </row>
    <row r="10996" spans="20:21" ht="15" customHeight="1" x14ac:dyDescent="0.25">
      <c r="T10996" s="135"/>
      <c r="U10996" s="135"/>
    </row>
    <row r="10997" spans="20:21" ht="15" customHeight="1" x14ac:dyDescent="0.25">
      <c r="T10997" s="135"/>
      <c r="U10997" s="135"/>
    </row>
    <row r="10998" spans="20:21" ht="15" customHeight="1" x14ac:dyDescent="0.25">
      <c r="T10998" s="135"/>
      <c r="U10998" s="135"/>
    </row>
    <row r="10999" spans="20:21" ht="15" customHeight="1" x14ac:dyDescent="0.25">
      <c r="T10999" s="135"/>
      <c r="U10999" s="135"/>
    </row>
    <row r="11000" spans="20:21" ht="15" customHeight="1" x14ac:dyDescent="0.25">
      <c r="T11000" s="135"/>
      <c r="U11000" s="135"/>
    </row>
    <row r="11001" spans="20:21" ht="15" customHeight="1" x14ac:dyDescent="0.25">
      <c r="T11001" s="135"/>
      <c r="U11001" s="135"/>
    </row>
    <row r="11002" spans="20:21" ht="15" customHeight="1" x14ac:dyDescent="0.25">
      <c r="T11002" s="135"/>
      <c r="U11002" s="135"/>
    </row>
    <row r="11003" spans="20:21" ht="15" customHeight="1" x14ac:dyDescent="0.25">
      <c r="T11003" s="135"/>
      <c r="U11003" s="135"/>
    </row>
    <row r="11004" spans="20:21" ht="15" customHeight="1" x14ac:dyDescent="0.25">
      <c r="T11004" s="135"/>
      <c r="U11004" s="135"/>
    </row>
    <row r="11005" spans="20:21" ht="15" customHeight="1" x14ac:dyDescent="0.25">
      <c r="T11005" s="135"/>
      <c r="U11005" s="135"/>
    </row>
    <row r="11006" spans="20:21" ht="15" customHeight="1" x14ac:dyDescent="0.25">
      <c r="T11006" s="135"/>
      <c r="U11006" s="135"/>
    </row>
    <row r="11007" spans="20:21" ht="15" customHeight="1" x14ac:dyDescent="0.25">
      <c r="T11007" s="135"/>
      <c r="U11007" s="135"/>
    </row>
    <row r="11008" spans="20:21" ht="15" customHeight="1" x14ac:dyDescent="0.25">
      <c r="T11008" s="135"/>
      <c r="U11008" s="135"/>
    </row>
    <row r="11009" spans="20:21" ht="15" customHeight="1" x14ac:dyDescent="0.25">
      <c r="T11009" s="135"/>
      <c r="U11009" s="135"/>
    </row>
    <row r="11010" spans="20:21" ht="15" customHeight="1" x14ac:dyDescent="0.25">
      <c r="T11010" s="135"/>
      <c r="U11010" s="135"/>
    </row>
    <row r="11011" spans="20:21" ht="15" customHeight="1" x14ac:dyDescent="0.25">
      <c r="T11011" s="135"/>
      <c r="U11011" s="135"/>
    </row>
    <row r="11012" spans="20:21" ht="15" customHeight="1" x14ac:dyDescent="0.25">
      <c r="T11012" s="135"/>
      <c r="U11012" s="135"/>
    </row>
    <row r="11013" spans="20:21" ht="15" customHeight="1" x14ac:dyDescent="0.25">
      <c r="T11013" s="135"/>
      <c r="U11013" s="135"/>
    </row>
    <row r="11014" spans="20:21" ht="15" customHeight="1" x14ac:dyDescent="0.25">
      <c r="T11014" s="135"/>
      <c r="U11014" s="135"/>
    </row>
    <row r="11015" spans="20:21" ht="15" customHeight="1" x14ac:dyDescent="0.25">
      <c r="T11015" s="135"/>
      <c r="U11015" s="135"/>
    </row>
    <row r="11016" spans="20:21" ht="15" customHeight="1" x14ac:dyDescent="0.25">
      <c r="T11016" s="135"/>
      <c r="U11016" s="135"/>
    </row>
    <row r="11017" spans="20:21" ht="15" customHeight="1" x14ac:dyDescent="0.25">
      <c r="T11017" s="135"/>
      <c r="U11017" s="135"/>
    </row>
    <row r="11018" spans="20:21" ht="15" customHeight="1" x14ac:dyDescent="0.25">
      <c r="T11018" s="135"/>
      <c r="U11018" s="135"/>
    </row>
    <row r="11019" spans="20:21" ht="15" customHeight="1" x14ac:dyDescent="0.25">
      <c r="T11019" s="135"/>
      <c r="U11019" s="135"/>
    </row>
    <row r="11020" spans="20:21" ht="15" customHeight="1" x14ac:dyDescent="0.25">
      <c r="T11020" s="135"/>
      <c r="U11020" s="135"/>
    </row>
    <row r="11021" spans="20:21" ht="15" customHeight="1" x14ac:dyDescent="0.25">
      <c r="T11021" s="135"/>
      <c r="U11021" s="135"/>
    </row>
    <row r="11022" spans="20:21" ht="15" customHeight="1" x14ac:dyDescent="0.25">
      <c r="T11022" s="135"/>
      <c r="U11022" s="135"/>
    </row>
    <row r="11023" spans="20:21" ht="15" customHeight="1" x14ac:dyDescent="0.25">
      <c r="T11023" s="135"/>
      <c r="U11023" s="135"/>
    </row>
    <row r="11024" spans="20:21" ht="15" customHeight="1" x14ac:dyDescent="0.25">
      <c r="T11024" s="135"/>
      <c r="U11024" s="135"/>
    </row>
    <row r="11025" spans="20:21" ht="15" customHeight="1" x14ac:dyDescent="0.25">
      <c r="T11025" s="135"/>
      <c r="U11025" s="135"/>
    </row>
    <row r="11026" spans="20:21" ht="15" customHeight="1" x14ac:dyDescent="0.25">
      <c r="T11026" s="135"/>
      <c r="U11026" s="135"/>
    </row>
    <row r="11027" spans="20:21" ht="15" customHeight="1" x14ac:dyDescent="0.25">
      <c r="T11027" s="135"/>
      <c r="U11027" s="135"/>
    </row>
    <row r="11028" spans="20:21" ht="15" customHeight="1" x14ac:dyDescent="0.25">
      <c r="T11028" s="135"/>
      <c r="U11028" s="135"/>
    </row>
    <row r="11029" spans="20:21" ht="15" customHeight="1" x14ac:dyDescent="0.25">
      <c r="T11029" s="135"/>
      <c r="U11029" s="135"/>
    </row>
    <row r="11030" spans="20:21" ht="15" customHeight="1" x14ac:dyDescent="0.25">
      <c r="T11030" s="135"/>
      <c r="U11030" s="135"/>
    </row>
    <row r="11031" spans="20:21" ht="15" customHeight="1" x14ac:dyDescent="0.25">
      <c r="T11031" s="135"/>
      <c r="U11031" s="135"/>
    </row>
    <row r="11032" spans="20:21" ht="15" customHeight="1" x14ac:dyDescent="0.25">
      <c r="T11032" s="135"/>
      <c r="U11032" s="135"/>
    </row>
    <row r="11033" spans="20:21" ht="15" customHeight="1" x14ac:dyDescent="0.25">
      <c r="T11033" s="135"/>
      <c r="U11033" s="135"/>
    </row>
    <row r="11034" spans="20:21" ht="15" customHeight="1" x14ac:dyDescent="0.25">
      <c r="T11034" s="135"/>
      <c r="U11034" s="135"/>
    </row>
    <row r="11035" spans="20:21" ht="15" customHeight="1" x14ac:dyDescent="0.25">
      <c r="T11035" s="135"/>
      <c r="U11035" s="135"/>
    </row>
    <row r="11036" spans="20:21" ht="15" customHeight="1" x14ac:dyDescent="0.25">
      <c r="T11036" s="135"/>
      <c r="U11036" s="135"/>
    </row>
    <row r="11037" spans="20:21" ht="15" customHeight="1" x14ac:dyDescent="0.25">
      <c r="T11037" s="135"/>
      <c r="U11037" s="135"/>
    </row>
    <row r="11038" spans="20:21" ht="15" customHeight="1" x14ac:dyDescent="0.25">
      <c r="T11038" s="135"/>
      <c r="U11038" s="135"/>
    </row>
    <row r="11039" spans="20:21" ht="15" customHeight="1" x14ac:dyDescent="0.25">
      <c r="T11039" s="135"/>
      <c r="U11039" s="135"/>
    </row>
    <row r="11040" spans="20:21" ht="15" customHeight="1" x14ac:dyDescent="0.25">
      <c r="T11040" s="135"/>
      <c r="U11040" s="135"/>
    </row>
    <row r="11041" spans="20:21" ht="15" customHeight="1" x14ac:dyDescent="0.25">
      <c r="T11041" s="135"/>
      <c r="U11041" s="135"/>
    </row>
    <row r="11042" spans="20:21" ht="15" customHeight="1" x14ac:dyDescent="0.25">
      <c r="T11042" s="135"/>
      <c r="U11042" s="135"/>
    </row>
    <row r="11043" spans="20:21" ht="15" customHeight="1" x14ac:dyDescent="0.25">
      <c r="T11043" s="135"/>
      <c r="U11043" s="135"/>
    </row>
    <row r="11044" spans="20:21" ht="15" customHeight="1" x14ac:dyDescent="0.25">
      <c r="T11044" s="135"/>
      <c r="U11044" s="135"/>
    </row>
    <row r="11045" spans="20:21" ht="15" customHeight="1" x14ac:dyDescent="0.25">
      <c r="T11045" s="135"/>
      <c r="U11045" s="135"/>
    </row>
    <row r="11046" spans="20:21" ht="15" customHeight="1" x14ac:dyDescent="0.25">
      <c r="T11046" s="135"/>
      <c r="U11046" s="135"/>
    </row>
    <row r="11047" spans="20:21" ht="15" customHeight="1" x14ac:dyDescent="0.25">
      <c r="T11047" s="135"/>
      <c r="U11047" s="135"/>
    </row>
    <row r="11048" spans="20:21" ht="15" customHeight="1" x14ac:dyDescent="0.25">
      <c r="T11048" s="135"/>
      <c r="U11048" s="135"/>
    </row>
    <row r="11049" spans="20:21" ht="15" customHeight="1" x14ac:dyDescent="0.25">
      <c r="T11049" s="135"/>
      <c r="U11049" s="135"/>
    </row>
    <row r="11050" spans="20:21" ht="15" customHeight="1" x14ac:dyDescent="0.25">
      <c r="T11050" s="135"/>
      <c r="U11050" s="135"/>
    </row>
    <row r="11051" spans="20:21" ht="15" customHeight="1" x14ac:dyDescent="0.25">
      <c r="T11051" s="135"/>
      <c r="U11051" s="135"/>
    </row>
    <row r="11052" spans="20:21" ht="15" customHeight="1" x14ac:dyDescent="0.25">
      <c r="T11052" s="135"/>
      <c r="U11052" s="135"/>
    </row>
    <row r="11053" spans="20:21" ht="15" customHeight="1" x14ac:dyDescent="0.25">
      <c r="T11053" s="135"/>
      <c r="U11053" s="135"/>
    </row>
    <row r="11054" spans="20:21" ht="15" customHeight="1" x14ac:dyDescent="0.25">
      <c r="T11054" s="135"/>
      <c r="U11054" s="135"/>
    </row>
    <row r="11055" spans="20:21" ht="15" customHeight="1" x14ac:dyDescent="0.25">
      <c r="T11055" s="135"/>
      <c r="U11055" s="135"/>
    </row>
    <row r="11056" spans="20:21" ht="15" customHeight="1" x14ac:dyDescent="0.25">
      <c r="T11056" s="135"/>
      <c r="U11056" s="135"/>
    </row>
    <row r="11057" spans="20:21" ht="15" customHeight="1" x14ac:dyDescent="0.25">
      <c r="T11057" s="135"/>
      <c r="U11057" s="135"/>
    </row>
    <row r="11058" spans="20:21" ht="15" customHeight="1" x14ac:dyDescent="0.25">
      <c r="T11058" s="135"/>
      <c r="U11058" s="135"/>
    </row>
    <row r="11059" spans="20:21" ht="15" customHeight="1" x14ac:dyDescent="0.25">
      <c r="T11059" s="135"/>
      <c r="U11059" s="135"/>
    </row>
    <row r="11060" spans="20:21" ht="15" customHeight="1" x14ac:dyDescent="0.25">
      <c r="T11060" s="135"/>
      <c r="U11060" s="135"/>
    </row>
    <row r="11061" spans="20:21" ht="15" customHeight="1" x14ac:dyDescent="0.25">
      <c r="T11061" s="135"/>
      <c r="U11061" s="135"/>
    </row>
    <row r="11062" spans="20:21" ht="15" customHeight="1" x14ac:dyDescent="0.25">
      <c r="T11062" s="135"/>
      <c r="U11062" s="135"/>
    </row>
    <row r="11063" spans="20:21" ht="15" customHeight="1" x14ac:dyDescent="0.25">
      <c r="T11063" s="135"/>
      <c r="U11063" s="135"/>
    </row>
    <row r="11064" spans="20:21" ht="15" customHeight="1" x14ac:dyDescent="0.25">
      <c r="T11064" s="135"/>
      <c r="U11064" s="135"/>
    </row>
    <row r="11065" spans="20:21" ht="15" customHeight="1" x14ac:dyDescent="0.25">
      <c r="T11065" s="135"/>
      <c r="U11065" s="135"/>
    </row>
    <row r="11066" spans="20:21" ht="15" customHeight="1" x14ac:dyDescent="0.25">
      <c r="T11066" s="135"/>
      <c r="U11066" s="135"/>
    </row>
    <row r="11067" spans="20:21" ht="15" customHeight="1" x14ac:dyDescent="0.25">
      <c r="T11067" s="135"/>
      <c r="U11067" s="135"/>
    </row>
    <row r="11068" spans="20:21" ht="15" customHeight="1" x14ac:dyDescent="0.25">
      <c r="T11068" s="135"/>
      <c r="U11068" s="135"/>
    </row>
    <row r="11069" spans="20:21" ht="15" customHeight="1" x14ac:dyDescent="0.25">
      <c r="T11069" s="135"/>
      <c r="U11069" s="135"/>
    </row>
    <row r="11070" spans="20:21" ht="15" customHeight="1" x14ac:dyDescent="0.25">
      <c r="T11070" s="135"/>
      <c r="U11070" s="135"/>
    </row>
    <row r="11071" spans="20:21" ht="15" customHeight="1" x14ac:dyDescent="0.25">
      <c r="T11071" s="135"/>
      <c r="U11071" s="135"/>
    </row>
    <row r="11072" spans="20:21" ht="15" customHeight="1" x14ac:dyDescent="0.25">
      <c r="T11072" s="135"/>
      <c r="U11072" s="135"/>
    </row>
    <row r="11073" spans="20:21" ht="15" customHeight="1" x14ac:dyDescent="0.25">
      <c r="T11073" s="135"/>
      <c r="U11073" s="135"/>
    </row>
    <row r="11074" spans="20:21" ht="15" customHeight="1" x14ac:dyDescent="0.25">
      <c r="T11074" s="135"/>
      <c r="U11074" s="135"/>
    </row>
    <row r="11075" spans="20:21" ht="15" customHeight="1" x14ac:dyDescent="0.25">
      <c r="T11075" s="135"/>
      <c r="U11075" s="135"/>
    </row>
    <row r="11076" spans="20:21" ht="15" customHeight="1" x14ac:dyDescent="0.25">
      <c r="T11076" s="135"/>
      <c r="U11076" s="135"/>
    </row>
    <row r="11077" spans="20:21" ht="15" customHeight="1" x14ac:dyDescent="0.25">
      <c r="T11077" s="135"/>
      <c r="U11077" s="135"/>
    </row>
    <row r="11078" spans="20:21" ht="15" customHeight="1" x14ac:dyDescent="0.25">
      <c r="T11078" s="135"/>
      <c r="U11078" s="135"/>
    </row>
    <row r="11079" spans="20:21" ht="15" customHeight="1" x14ac:dyDescent="0.25">
      <c r="T11079" s="135"/>
      <c r="U11079" s="135"/>
    </row>
    <row r="11080" spans="20:21" ht="15" customHeight="1" x14ac:dyDescent="0.25">
      <c r="T11080" s="135"/>
      <c r="U11080" s="135"/>
    </row>
    <row r="11081" spans="20:21" ht="15" customHeight="1" x14ac:dyDescent="0.25">
      <c r="T11081" s="135"/>
      <c r="U11081" s="135"/>
    </row>
    <row r="11082" spans="20:21" ht="15" customHeight="1" x14ac:dyDescent="0.25">
      <c r="T11082" s="135"/>
      <c r="U11082" s="135"/>
    </row>
    <row r="11083" spans="20:21" ht="15" customHeight="1" x14ac:dyDescent="0.25">
      <c r="T11083" s="135"/>
      <c r="U11083" s="135"/>
    </row>
    <row r="11084" spans="20:21" ht="15" customHeight="1" x14ac:dyDescent="0.25">
      <c r="T11084" s="135"/>
      <c r="U11084" s="135"/>
    </row>
    <row r="11085" spans="20:21" ht="15" customHeight="1" x14ac:dyDescent="0.25">
      <c r="T11085" s="135"/>
      <c r="U11085" s="135"/>
    </row>
    <row r="11086" spans="20:21" ht="15" customHeight="1" x14ac:dyDescent="0.25">
      <c r="T11086" s="135"/>
      <c r="U11086" s="135"/>
    </row>
    <row r="11087" spans="20:21" ht="15" customHeight="1" x14ac:dyDescent="0.25">
      <c r="T11087" s="135"/>
      <c r="U11087" s="135"/>
    </row>
    <row r="11088" spans="20:21" ht="15" customHeight="1" x14ac:dyDescent="0.25">
      <c r="T11088" s="135"/>
      <c r="U11088" s="135"/>
    </row>
    <row r="11089" spans="20:21" ht="15" customHeight="1" x14ac:dyDescent="0.25">
      <c r="T11089" s="135"/>
      <c r="U11089" s="135"/>
    </row>
    <row r="11090" spans="20:21" ht="15" customHeight="1" x14ac:dyDescent="0.25">
      <c r="T11090" s="135"/>
      <c r="U11090" s="135"/>
    </row>
    <row r="11091" spans="20:21" ht="15" customHeight="1" x14ac:dyDescent="0.25">
      <c r="T11091" s="135"/>
      <c r="U11091" s="135"/>
    </row>
    <row r="11092" spans="20:21" ht="15" customHeight="1" x14ac:dyDescent="0.25">
      <c r="T11092" s="135"/>
      <c r="U11092" s="135"/>
    </row>
    <row r="11093" spans="20:21" ht="15" customHeight="1" x14ac:dyDescent="0.25">
      <c r="T11093" s="135"/>
      <c r="U11093" s="135"/>
    </row>
    <row r="11094" spans="20:21" ht="15" customHeight="1" x14ac:dyDescent="0.25">
      <c r="T11094" s="135"/>
      <c r="U11094" s="135"/>
    </row>
    <row r="11095" spans="20:21" ht="15" customHeight="1" x14ac:dyDescent="0.25">
      <c r="T11095" s="135"/>
      <c r="U11095" s="135"/>
    </row>
    <row r="11096" spans="20:21" ht="15" customHeight="1" x14ac:dyDescent="0.25">
      <c r="T11096" s="135"/>
      <c r="U11096" s="135"/>
    </row>
    <row r="11097" spans="20:21" ht="15" customHeight="1" x14ac:dyDescent="0.25">
      <c r="T11097" s="135"/>
      <c r="U11097" s="135"/>
    </row>
    <row r="11098" spans="20:21" ht="15" customHeight="1" x14ac:dyDescent="0.25">
      <c r="T11098" s="135"/>
      <c r="U11098" s="135"/>
    </row>
    <row r="11099" spans="20:21" ht="15" customHeight="1" x14ac:dyDescent="0.25">
      <c r="T11099" s="135"/>
      <c r="U11099" s="135"/>
    </row>
    <row r="11100" spans="20:21" ht="15" customHeight="1" x14ac:dyDescent="0.25">
      <c r="T11100" s="135"/>
      <c r="U11100" s="135"/>
    </row>
    <row r="11101" spans="20:21" ht="15" customHeight="1" x14ac:dyDescent="0.25">
      <c r="T11101" s="135"/>
      <c r="U11101" s="135"/>
    </row>
    <row r="11102" spans="20:21" ht="15" customHeight="1" x14ac:dyDescent="0.25">
      <c r="T11102" s="135"/>
      <c r="U11102" s="135"/>
    </row>
    <row r="11103" spans="20:21" ht="15" customHeight="1" x14ac:dyDescent="0.25">
      <c r="T11103" s="135"/>
      <c r="U11103" s="135"/>
    </row>
    <row r="11104" spans="20:21" ht="15" customHeight="1" x14ac:dyDescent="0.25">
      <c r="T11104" s="135"/>
      <c r="U11104" s="135"/>
    </row>
    <row r="11105" spans="20:21" ht="15" customHeight="1" x14ac:dyDescent="0.25">
      <c r="T11105" s="135"/>
      <c r="U11105" s="135"/>
    </row>
    <row r="11106" spans="20:21" ht="15" customHeight="1" x14ac:dyDescent="0.25">
      <c r="T11106" s="135"/>
      <c r="U11106" s="135"/>
    </row>
    <row r="11107" spans="20:21" ht="15" customHeight="1" x14ac:dyDescent="0.25">
      <c r="T11107" s="135"/>
      <c r="U11107" s="135"/>
    </row>
    <row r="11108" spans="20:21" ht="15" customHeight="1" x14ac:dyDescent="0.25">
      <c r="T11108" s="135"/>
      <c r="U11108" s="135"/>
    </row>
    <row r="11109" spans="20:21" ht="15" customHeight="1" x14ac:dyDescent="0.25">
      <c r="T11109" s="135"/>
      <c r="U11109" s="135"/>
    </row>
    <row r="11110" spans="20:21" ht="15" customHeight="1" x14ac:dyDescent="0.25">
      <c r="T11110" s="135"/>
      <c r="U11110" s="135"/>
    </row>
    <row r="11111" spans="20:21" ht="15" customHeight="1" x14ac:dyDescent="0.25">
      <c r="T11111" s="135"/>
      <c r="U11111" s="135"/>
    </row>
    <row r="11112" spans="20:21" ht="15" customHeight="1" x14ac:dyDescent="0.25">
      <c r="T11112" s="135"/>
      <c r="U11112" s="135"/>
    </row>
    <row r="11113" spans="20:21" ht="15" customHeight="1" x14ac:dyDescent="0.25">
      <c r="T11113" s="135"/>
      <c r="U11113" s="135"/>
    </row>
    <row r="11114" spans="20:21" ht="15" customHeight="1" x14ac:dyDescent="0.25">
      <c r="T11114" s="135"/>
      <c r="U11114" s="135"/>
    </row>
    <row r="11115" spans="20:21" ht="15" customHeight="1" x14ac:dyDescent="0.25">
      <c r="T11115" s="135"/>
      <c r="U11115" s="135"/>
    </row>
    <row r="11116" spans="20:21" ht="15" customHeight="1" x14ac:dyDescent="0.25">
      <c r="T11116" s="135"/>
      <c r="U11116" s="135"/>
    </row>
    <row r="11117" spans="20:21" ht="15" customHeight="1" x14ac:dyDescent="0.25">
      <c r="T11117" s="135"/>
      <c r="U11117" s="135"/>
    </row>
    <row r="11118" spans="20:21" ht="15" customHeight="1" x14ac:dyDescent="0.25">
      <c r="T11118" s="135"/>
      <c r="U11118" s="135"/>
    </row>
    <row r="11119" spans="20:21" ht="15" customHeight="1" x14ac:dyDescent="0.25">
      <c r="T11119" s="135"/>
      <c r="U11119" s="135"/>
    </row>
    <row r="11120" spans="20:21" ht="15" customHeight="1" x14ac:dyDescent="0.25">
      <c r="T11120" s="135"/>
      <c r="U11120" s="135"/>
    </row>
    <row r="11121" spans="20:21" ht="15" customHeight="1" x14ac:dyDescent="0.25">
      <c r="T11121" s="135"/>
      <c r="U11121" s="135"/>
    </row>
    <row r="11122" spans="20:21" ht="15" customHeight="1" x14ac:dyDescent="0.25">
      <c r="T11122" s="135"/>
      <c r="U11122" s="135"/>
    </row>
    <row r="11123" spans="20:21" ht="15" customHeight="1" x14ac:dyDescent="0.25">
      <c r="T11123" s="135"/>
      <c r="U11123" s="135"/>
    </row>
    <row r="11124" spans="20:21" ht="15" customHeight="1" x14ac:dyDescent="0.25">
      <c r="T11124" s="135"/>
      <c r="U11124" s="135"/>
    </row>
    <row r="11125" spans="20:21" ht="15" customHeight="1" x14ac:dyDescent="0.25">
      <c r="T11125" s="135"/>
      <c r="U11125" s="135"/>
    </row>
    <row r="11126" spans="20:21" ht="15" customHeight="1" x14ac:dyDescent="0.25">
      <c r="T11126" s="135"/>
      <c r="U11126" s="135"/>
    </row>
    <row r="11127" spans="20:21" ht="15" customHeight="1" x14ac:dyDescent="0.25">
      <c r="T11127" s="135"/>
      <c r="U11127" s="135"/>
    </row>
    <row r="11128" spans="20:21" ht="15" customHeight="1" x14ac:dyDescent="0.25">
      <c r="T11128" s="135"/>
      <c r="U11128" s="135"/>
    </row>
    <row r="11129" spans="20:21" ht="15" customHeight="1" x14ac:dyDescent="0.25">
      <c r="T11129" s="135"/>
      <c r="U11129" s="135"/>
    </row>
    <row r="11130" spans="20:21" ht="15" customHeight="1" x14ac:dyDescent="0.25">
      <c r="T11130" s="135"/>
      <c r="U11130" s="135"/>
    </row>
    <row r="11131" spans="20:21" ht="15" customHeight="1" x14ac:dyDescent="0.25">
      <c r="T11131" s="135"/>
      <c r="U11131" s="135"/>
    </row>
    <row r="11132" spans="20:21" ht="15" customHeight="1" x14ac:dyDescent="0.25">
      <c r="T11132" s="135"/>
      <c r="U11132" s="135"/>
    </row>
    <row r="11133" spans="20:21" ht="15" customHeight="1" x14ac:dyDescent="0.25">
      <c r="T11133" s="135"/>
      <c r="U11133" s="135"/>
    </row>
    <row r="11134" spans="20:21" ht="15" customHeight="1" x14ac:dyDescent="0.25">
      <c r="T11134" s="135"/>
      <c r="U11134" s="135"/>
    </row>
    <row r="11135" spans="20:21" ht="15" customHeight="1" x14ac:dyDescent="0.25">
      <c r="T11135" s="135"/>
      <c r="U11135" s="135"/>
    </row>
    <row r="11136" spans="20:21" ht="15" customHeight="1" x14ac:dyDescent="0.25">
      <c r="T11136" s="135"/>
      <c r="U11136" s="135"/>
    </row>
    <row r="11137" spans="20:21" ht="15" customHeight="1" x14ac:dyDescent="0.25">
      <c r="T11137" s="135"/>
      <c r="U11137" s="135"/>
    </row>
    <row r="11138" spans="20:21" ht="15" customHeight="1" x14ac:dyDescent="0.25">
      <c r="T11138" s="135"/>
      <c r="U11138" s="135"/>
    </row>
    <row r="11139" spans="20:21" ht="15" customHeight="1" x14ac:dyDescent="0.25">
      <c r="T11139" s="135"/>
      <c r="U11139" s="135"/>
    </row>
    <row r="11140" spans="20:21" ht="15" customHeight="1" x14ac:dyDescent="0.25">
      <c r="T11140" s="135"/>
      <c r="U11140" s="135"/>
    </row>
    <row r="11141" spans="20:21" ht="15" customHeight="1" x14ac:dyDescent="0.25">
      <c r="T11141" s="135"/>
      <c r="U11141" s="135"/>
    </row>
    <row r="11142" spans="20:21" ht="15" customHeight="1" x14ac:dyDescent="0.25">
      <c r="T11142" s="135"/>
      <c r="U11142" s="135"/>
    </row>
    <row r="11143" spans="20:21" ht="15" customHeight="1" x14ac:dyDescent="0.25">
      <c r="T11143" s="135"/>
      <c r="U11143" s="135"/>
    </row>
    <row r="11144" spans="20:21" ht="15" customHeight="1" x14ac:dyDescent="0.25">
      <c r="T11144" s="135"/>
      <c r="U11144" s="135"/>
    </row>
    <row r="11145" spans="20:21" ht="15" customHeight="1" x14ac:dyDescent="0.25">
      <c r="T11145" s="135"/>
      <c r="U11145" s="135"/>
    </row>
    <row r="11146" spans="20:21" ht="15" customHeight="1" x14ac:dyDescent="0.25">
      <c r="T11146" s="135"/>
      <c r="U11146" s="135"/>
    </row>
    <row r="11147" spans="20:21" ht="15" customHeight="1" x14ac:dyDescent="0.25">
      <c r="T11147" s="135"/>
      <c r="U11147" s="135"/>
    </row>
    <row r="11148" spans="20:21" ht="15" customHeight="1" x14ac:dyDescent="0.25">
      <c r="T11148" s="135"/>
      <c r="U11148" s="135"/>
    </row>
    <row r="11149" spans="20:21" ht="15" customHeight="1" x14ac:dyDescent="0.25">
      <c r="T11149" s="135"/>
      <c r="U11149" s="135"/>
    </row>
    <row r="11150" spans="20:21" ht="15" customHeight="1" x14ac:dyDescent="0.25">
      <c r="T11150" s="135"/>
      <c r="U11150" s="135"/>
    </row>
    <row r="11151" spans="20:21" ht="15" customHeight="1" x14ac:dyDescent="0.25">
      <c r="T11151" s="135"/>
      <c r="U11151" s="135"/>
    </row>
    <row r="11152" spans="20:21" ht="15" customHeight="1" x14ac:dyDescent="0.25">
      <c r="T11152" s="135"/>
      <c r="U11152" s="135"/>
    </row>
    <row r="11153" spans="20:21" ht="15" customHeight="1" x14ac:dyDescent="0.25">
      <c r="T11153" s="135"/>
      <c r="U11153" s="135"/>
    </row>
    <row r="11154" spans="20:21" ht="15" customHeight="1" x14ac:dyDescent="0.25">
      <c r="T11154" s="135"/>
      <c r="U11154" s="135"/>
    </row>
    <row r="11155" spans="20:21" ht="15" customHeight="1" x14ac:dyDescent="0.25">
      <c r="T11155" s="135"/>
      <c r="U11155" s="135"/>
    </row>
    <row r="11156" spans="20:21" ht="15" customHeight="1" x14ac:dyDescent="0.25">
      <c r="T11156" s="135"/>
      <c r="U11156" s="135"/>
    </row>
    <row r="11157" spans="20:21" ht="15" customHeight="1" x14ac:dyDescent="0.25">
      <c r="T11157" s="135"/>
      <c r="U11157" s="135"/>
    </row>
    <row r="11158" spans="20:21" ht="15" customHeight="1" x14ac:dyDescent="0.25">
      <c r="T11158" s="135"/>
      <c r="U11158" s="135"/>
    </row>
    <row r="11159" spans="20:21" ht="15" customHeight="1" x14ac:dyDescent="0.25">
      <c r="T11159" s="135"/>
      <c r="U11159" s="135"/>
    </row>
    <row r="11160" spans="20:21" ht="15" customHeight="1" x14ac:dyDescent="0.25">
      <c r="T11160" s="135"/>
      <c r="U11160" s="135"/>
    </row>
    <row r="11161" spans="20:21" ht="15" customHeight="1" x14ac:dyDescent="0.25">
      <c r="T11161" s="135"/>
      <c r="U11161" s="135"/>
    </row>
    <row r="11162" spans="20:21" ht="15" customHeight="1" x14ac:dyDescent="0.25">
      <c r="T11162" s="135"/>
      <c r="U11162" s="135"/>
    </row>
    <row r="11163" spans="20:21" ht="15" customHeight="1" x14ac:dyDescent="0.25">
      <c r="T11163" s="135"/>
      <c r="U11163" s="135"/>
    </row>
    <row r="11164" spans="20:21" ht="15" customHeight="1" x14ac:dyDescent="0.25">
      <c r="T11164" s="135"/>
      <c r="U11164" s="135"/>
    </row>
    <row r="11165" spans="20:21" ht="15" customHeight="1" x14ac:dyDescent="0.25">
      <c r="T11165" s="135"/>
      <c r="U11165" s="135"/>
    </row>
    <row r="11166" spans="20:21" ht="15" customHeight="1" x14ac:dyDescent="0.25">
      <c r="T11166" s="135"/>
      <c r="U11166" s="135"/>
    </row>
    <row r="11167" spans="20:21" ht="15" customHeight="1" x14ac:dyDescent="0.25">
      <c r="T11167" s="135"/>
      <c r="U11167" s="135"/>
    </row>
    <row r="11168" spans="20:21" ht="15" customHeight="1" x14ac:dyDescent="0.25">
      <c r="T11168" s="135"/>
      <c r="U11168" s="135"/>
    </row>
    <row r="11169" spans="20:21" ht="15" customHeight="1" x14ac:dyDescent="0.25">
      <c r="T11169" s="135"/>
      <c r="U11169" s="135"/>
    </row>
    <row r="11170" spans="20:21" ht="15" customHeight="1" x14ac:dyDescent="0.25">
      <c r="T11170" s="135"/>
      <c r="U11170" s="135"/>
    </row>
    <row r="11171" spans="20:21" ht="15" customHeight="1" x14ac:dyDescent="0.25">
      <c r="T11171" s="135"/>
      <c r="U11171" s="135"/>
    </row>
    <row r="11172" spans="20:21" ht="15" customHeight="1" x14ac:dyDescent="0.25">
      <c r="T11172" s="135"/>
      <c r="U11172" s="135"/>
    </row>
    <row r="11173" spans="20:21" ht="15" customHeight="1" x14ac:dyDescent="0.25">
      <c r="T11173" s="135"/>
      <c r="U11173" s="135"/>
    </row>
    <row r="11174" spans="20:21" ht="15" customHeight="1" x14ac:dyDescent="0.25">
      <c r="T11174" s="135"/>
      <c r="U11174" s="135"/>
    </row>
    <row r="11175" spans="20:21" ht="15" customHeight="1" x14ac:dyDescent="0.25">
      <c r="T11175" s="135"/>
      <c r="U11175" s="135"/>
    </row>
    <row r="11176" spans="20:21" ht="15" customHeight="1" x14ac:dyDescent="0.25">
      <c r="T11176" s="135"/>
      <c r="U11176" s="135"/>
    </row>
    <row r="11177" spans="20:21" ht="15" customHeight="1" x14ac:dyDescent="0.25">
      <c r="T11177" s="135"/>
      <c r="U11177" s="135"/>
    </row>
    <row r="11178" spans="20:21" ht="15" customHeight="1" x14ac:dyDescent="0.25">
      <c r="T11178" s="135"/>
      <c r="U11178" s="135"/>
    </row>
    <row r="11179" spans="20:21" ht="15" customHeight="1" x14ac:dyDescent="0.25">
      <c r="T11179" s="135"/>
      <c r="U11179" s="135"/>
    </row>
    <row r="11180" spans="20:21" ht="15" customHeight="1" x14ac:dyDescent="0.25">
      <c r="T11180" s="135"/>
      <c r="U11180" s="135"/>
    </row>
    <row r="11181" spans="20:21" ht="15" customHeight="1" x14ac:dyDescent="0.25">
      <c r="T11181" s="135"/>
      <c r="U11181" s="135"/>
    </row>
    <row r="11182" spans="20:21" ht="15" customHeight="1" x14ac:dyDescent="0.25">
      <c r="T11182" s="135"/>
      <c r="U11182" s="135"/>
    </row>
    <row r="11183" spans="20:21" ht="15" customHeight="1" x14ac:dyDescent="0.25">
      <c r="T11183" s="135"/>
      <c r="U11183" s="135"/>
    </row>
    <row r="11184" spans="20:21" ht="15" customHeight="1" x14ac:dyDescent="0.25">
      <c r="T11184" s="135"/>
      <c r="U11184" s="135"/>
    </row>
    <row r="11185" spans="20:21" ht="15" customHeight="1" x14ac:dyDescent="0.25">
      <c r="T11185" s="135"/>
      <c r="U11185" s="135"/>
    </row>
    <row r="11186" spans="20:21" ht="15" customHeight="1" x14ac:dyDescent="0.25">
      <c r="T11186" s="135"/>
      <c r="U11186" s="135"/>
    </row>
    <row r="11187" spans="20:21" ht="15" customHeight="1" x14ac:dyDescent="0.25">
      <c r="T11187" s="135"/>
      <c r="U11187" s="135"/>
    </row>
    <row r="11188" spans="20:21" ht="15" customHeight="1" x14ac:dyDescent="0.25">
      <c r="T11188" s="135"/>
      <c r="U11188" s="135"/>
    </row>
    <row r="11189" spans="20:21" ht="15" customHeight="1" x14ac:dyDescent="0.25">
      <c r="T11189" s="135"/>
      <c r="U11189" s="135"/>
    </row>
    <row r="11190" spans="20:21" ht="15" customHeight="1" x14ac:dyDescent="0.25">
      <c r="T11190" s="135"/>
      <c r="U11190" s="135"/>
    </row>
    <row r="11191" spans="20:21" ht="15" customHeight="1" x14ac:dyDescent="0.25">
      <c r="T11191" s="135"/>
      <c r="U11191" s="135"/>
    </row>
    <row r="11192" spans="20:21" ht="15" customHeight="1" x14ac:dyDescent="0.25">
      <c r="T11192" s="135"/>
      <c r="U11192" s="135"/>
    </row>
    <row r="11193" spans="20:21" ht="15" customHeight="1" x14ac:dyDescent="0.25">
      <c r="T11193" s="135"/>
      <c r="U11193" s="135"/>
    </row>
    <row r="11194" spans="20:21" ht="15" customHeight="1" x14ac:dyDescent="0.25">
      <c r="T11194" s="135"/>
      <c r="U11194" s="135"/>
    </row>
    <row r="11195" spans="20:21" ht="15" customHeight="1" x14ac:dyDescent="0.25">
      <c r="T11195" s="135"/>
      <c r="U11195" s="135"/>
    </row>
    <row r="11196" spans="20:21" ht="15" customHeight="1" x14ac:dyDescent="0.25">
      <c r="T11196" s="135"/>
      <c r="U11196" s="135"/>
    </row>
    <row r="11197" spans="20:21" ht="15" customHeight="1" x14ac:dyDescent="0.25">
      <c r="T11197" s="135"/>
      <c r="U11197" s="135"/>
    </row>
    <row r="11198" spans="20:21" ht="15" customHeight="1" x14ac:dyDescent="0.25">
      <c r="T11198" s="135"/>
      <c r="U11198" s="135"/>
    </row>
    <row r="11199" spans="20:21" ht="15" customHeight="1" x14ac:dyDescent="0.25">
      <c r="T11199" s="135"/>
      <c r="U11199" s="135"/>
    </row>
    <row r="11200" spans="20:21" ht="15" customHeight="1" x14ac:dyDescent="0.25">
      <c r="T11200" s="135"/>
      <c r="U11200" s="135"/>
    </row>
    <row r="11201" spans="20:21" ht="15" customHeight="1" x14ac:dyDescent="0.25">
      <c r="T11201" s="135"/>
      <c r="U11201" s="135"/>
    </row>
    <row r="11202" spans="20:21" ht="15" customHeight="1" x14ac:dyDescent="0.25">
      <c r="T11202" s="135"/>
      <c r="U11202" s="135"/>
    </row>
    <row r="11203" spans="20:21" ht="15" customHeight="1" x14ac:dyDescent="0.25">
      <c r="T11203" s="135"/>
      <c r="U11203" s="135"/>
    </row>
    <row r="11204" spans="20:21" ht="15" customHeight="1" x14ac:dyDescent="0.25">
      <c r="T11204" s="135"/>
      <c r="U11204" s="135"/>
    </row>
    <row r="11205" spans="20:21" ht="15" customHeight="1" x14ac:dyDescent="0.25">
      <c r="T11205" s="135"/>
      <c r="U11205" s="135"/>
    </row>
    <row r="11206" spans="20:21" ht="15" customHeight="1" x14ac:dyDescent="0.25">
      <c r="T11206" s="135"/>
      <c r="U11206" s="135"/>
    </row>
    <row r="11207" spans="20:21" ht="15" customHeight="1" x14ac:dyDescent="0.25">
      <c r="T11207" s="135"/>
      <c r="U11207" s="135"/>
    </row>
    <row r="11208" spans="20:21" ht="15" customHeight="1" x14ac:dyDescent="0.25">
      <c r="T11208" s="135"/>
      <c r="U11208" s="135"/>
    </row>
    <row r="11209" spans="20:21" ht="15" customHeight="1" x14ac:dyDescent="0.25">
      <c r="T11209" s="135"/>
      <c r="U11209" s="135"/>
    </row>
    <row r="11210" spans="20:21" ht="15" customHeight="1" x14ac:dyDescent="0.25">
      <c r="T11210" s="135"/>
      <c r="U11210" s="135"/>
    </row>
    <row r="11211" spans="20:21" ht="15" customHeight="1" x14ac:dyDescent="0.25">
      <c r="T11211" s="135"/>
      <c r="U11211" s="135"/>
    </row>
    <row r="11212" spans="20:21" ht="15" customHeight="1" x14ac:dyDescent="0.25">
      <c r="T11212" s="135"/>
      <c r="U11212" s="135"/>
    </row>
    <row r="11213" spans="20:21" ht="15" customHeight="1" x14ac:dyDescent="0.25">
      <c r="T11213" s="135"/>
      <c r="U11213" s="135"/>
    </row>
    <row r="11214" spans="20:21" ht="15" customHeight="1" x14ac:dyDescent="0.25">
      <c r="T11214" s="135"/>
      <c r="U11214" s="135"/>
    </row>
    <row r="11215" spans="20:21" ht="15" customHeight="1" x14ac:dyDescent="0.25">
      <c r="T11215" s="135"/>
      <c r="U11215" s="135"/>
    </row>
    <row r="11216" spans="20:21" ht="15" customHeight="1" x14ac:dyDescent="0.25">
      <c r="T11216" s="135"/>
      <c r="U11216" s="135"/>
    </row>
    <row r="11217" spans="20:21" ht="15" customHeight="1" x14ac:dyDescent="0.25">
      <c r="T11217" s="135"/>
      <c r="U11217" s="135"/>
    </row>
    <row r="11218" spans="20:21" ht="15" customHeight="1" x14ac:dyDescent="0.25">
      <c r="T11218" s="135"/>
      <c r="U11218" s="135"/>
    </row>
    <row r="11219" spans="20:21" ht="15" customHeight="1" x14ac:dyDescent="0.25">
      <c r="T11219" s="135"/>
      <c r="U11219" s="135"/>
    </row>
    <row r="11220" spans="20:21" ht="15" customHeight="1" x14ac:dyDescent="0.25">
      <c r="T11220" s="135"/>
      <c r="U11220" s="135"/>
    </row>
    <row r="11221" spans="20:21" ht="15" customHeight="1" x14ac:dyDescent="0.25">
      <c r="T11221" s="135"/>
      <c r="U11221" s="135"/>
    </row>
    <row r="11222" spans="20:21" ht="15" customHeight="1" x14ac:dyDescent="0.25">
      <c r="T11222" s="135"/>
      <c r="U11222" s="135"/>
    </row>
    <row r="11223" spans="20:21" ht="15" customHeight="1" x14ac:dyDescent="0.25">
      <c r="T11223" s="135"/>
      <c r="U11223" s="135"/>
    </row>
    <row r="11224" spans="20:21" ht="15" customHeight="1" x14ac:dyDescent="0.25">
      <c r="T11224" s="135"/>
      <c r="U11224" s="135"/>
    </row>
    <row r="11225" spans="20:21" ht="15" customHeight="1" x14ac:dyDescent="0.25">
      <c r="T11225" s="135"/>
      <c r="U11225" s="135"/>
    </row>
    <row r="11226" spans="20:21" ht="15" customHeight="1" x14ac:dyDescent="0.25">
      <c r="T11226" s="135"/>
      <c r="U11226" s="135"/>
    </row>
    <row r="11227" spans="20:21" ht="15" customHeight="1" x14ac:dyDescent="0.25">
      <c r="T11227" s="135"/>
      <c r="U11227" s="135"/>
    </row>
    <row r="11228" spans="20:21" ht="15" customHeight="1" x14ac:dyDescent="0.25">
      <c r="T11228" s="135"/>
      <c r="U11228" s="135"/>
    </row>
    <row r="11229" spans="20:21" ht="15" customHeight="1" x14ac:dyDescent="0.25">
      <c r="T11229" s="135"/>
      <c r="U11229" s="135"/>
    </row>
    <row r="11230" spans="20:21" ht="15" customHeight="1" x14ac:dyDescent="0.25">
      <c r="T11230" s="135"/>
      <c r="U11230" s="135"/>
    </row>
    <row r="11231" spans="20:21" ht="15" customHeight="1" x14ac:dyDescent="0.25">
      <c r="T11231" s="135"/>
      <c r="U11231" s="135"/>
    </row>
    <row r="11232" spans="20:21" ht="15" customHeight="1" x14ac:dyDescent="0.25">
      <c r="T11232" s="135"/>
      <c r="U11232" s="135"/>
    </row>
    <row r="11233" spans="20:21" ht="15" customHeight="1" x14ac:dyDescent="0.25">
      <c r="T11233" s="135"/>
      <c r="U11233" s="135"/>
    </row>
    <row r="11234" spans="20:21" ht="15" customHeight="1" x14ac:dyDescent="0.25">
      <c r="T11234" s="135"/>
      <c r="U11234" s="135"/>
    </row>
    <row r="11235" spans="20:21" ht="15" customHeight="1" x14ac:dyDescent="0.25">
      <c r="T11235" s="135"/>
      <c r="U11235" s="135"/>
    </row>
    <row r="11236" spans="20:21" ht="15" customHeight="1" x14ac:dyDescent="0.25">
      <c r="T11236" s="135"/>
      <c r="U11236" s="135"/>
    </row>
    <row r="11237" spans="20:21" ht="15" customHeight="1" x14ac:dyDescent="0.25">
      <c r="T11237" s="135"/>
      <c r="U11237" s="135"/>
    </row>
    <row r="11238" spans="20:21" ht="15" customHeight="1" x14ac:dyDescent="0.25">
      <c r="T11238" s="135"/>
      <c r="U11238" s="135"/>
    </row>
    <row r="11239" spans="20:21" ht="15" customHeight="1" x14ac:dyDescent="0.25">
      <c r="T11239" s="135"/>
      <c r="U11239" s="135"/>
    </row>
    <row r="11240" spans="20:21" ht="15" customHeight="1" x14ac:dyDescent="0.25">
      <c r="T11240" s="135"/>
      <c r="U11240" s="135"/>
    </row>
    <row r="11241" spans="20:21" ht="15" customHeight="1" x14ac:dyDescent="0.25">
      <c r="T11241" s="135"/>
      <c r="U11241" s="135"/>
    </row>
    <row r="11242" spans="20:21" ht="15" customHeight="1" x14ac:dyDescent="0.25">
      <c r="T11242" s="135"/>
      <c r="U11242" s="135"/>
    </row>
    <row r="11243" spans="20:21" ht="15" customHeight="1" x14ac:dyDescent="0.25">
      <c r="T11243" s="135"/>
      <c r="U11243" s="135"/>
    </row>
    <row r="11244" spans="20:21" ht="15" customHeight="1" x14ac:dyDescent="0.25">
      <c r="T11244" s="135"/>
      <c r="U11244" s="135"/>
    </row>
    <row r="11245" spans="20:21" ht="15" customHeight="1" x14ac:dyDescent="0.25">
      <c r="T11245" s="135"/>
      <c r="U11245" s="135"/>
    </row>
    <row r="11246" spans="20:21" ht="15" customHeight="1" x14ac:dyDescent="0.25">
      <c r="T11246" s="135"/>
      <c r="U11246" s="135"/>
    </row>
    <row r="11247" spans="20:21" ht="15" customHeight="1" x14ac:dyDescent="0.25">
      <c r="T11247" s="135"/>
      <c r="U11247" s="135"/>
    </row>
    <row r="11248" spans="20:21" ht="15" customHeight="1" x14ac:dyDescent="0.25">
      <c r="T11248" s="135"/>
      <c r="U11248" s="135"/>
    </row>
    <row r="11249" spans="20:21" ht="15" customHeight="1" x14ac:dyDescent="0.25">
      <c r="T11249" s="135"/>
      <c r="U11249" s="135"/>
    </row>
    <row r="11250" spans="20:21" ht="15" customHeight="1" x14ac:dyDescent="0.25">
      <c r="T11250" s="135"/>
      <c r="U11250" s="135"/>
    </row>
    <row r="11251" spans="20:21" ht="15" customHeight="1" x14ac:dyDescent="0.25">
      <c r="T11251" s="135"/>
      <c r="U11251" s="135"/>
    </row>
    <row r="11252" spans="20:21" ht="15" customHeight="1" x14ac:dyDescent="0.25">
      <c r="T11252" s="135"/>
      <c r="U11252" s="135"/>
    </row>
    <row r="11253" spans="20:21" ht="15" customHeight="1" x14ac:dyDescent="0.25">
      <c r="T11253" s="135"/>
      <c r="U11253" s="135"/>
    </row>
    <row r="11254" spans="20:21" ht="15" customHeight="1" x14ac:dyDescent="0.25">
      <c r="T11254" s="135"/>
      <c r="U11254" s="135"/>
    </row>
    <row r="11255" spans="20:21" ht="15" customHeight="1" x14ac:dyDescent="0.25">
      <c r="T11255" s="135"/>
      <c r="U11255" s="135"/>
    </row>
    <row r="11256" spans="20:21" ht="15" customHeight="1" x14ac:dyDescent="0.25">
      <c r="T11256" s="135"/>
      <c r="U11256" s="135"/>
    </row>
    <row r="11257" spans="20:21" ht="15" customHeight="1" x14ac:dyDescent="0.25">
      <c r="T11257" s="135"/>
      <c r="U11257" s="135"/>
    </row>
    <row r="11258" spans="20:21" ht="15" customHeight="1" x14ac:dyDescent="0.25">
      <c r="T11258" s="135"/>
      <c r="U11258" s="135"/>
    </row>
    <row r="11259" spans="20:21" ht="15" customHeight="1" x14ac:dyDescent="0.25">
      <c r="T11259" s="135"/>
      <c r="U11259" s="135"/>
    </row>
    <row r="11260" spans="20:21" ht="15" customHeight="1" x14ac:dyDescent="0.25">
      <c r="T11260" s="135"/>
      <c r="U11260" s="135"/>
    </row>
    <row r="11261" spans="20:21" ht="15" customHeight="1" x14ac:dyDescent="0.25">
      <c r="T11261" s="135"/>
      <c r="U11261" s="135"/>
    </row>
    <row r="11262" spans="20:21" ht="15" customHeight="1" x14ac:dyDescent="0.25">
      <c r="T11262" s="135"/>
      <c r="U11262" s="135"/>
    </row>
    <row r="11263" spans="20:21" ht="15" customHeight="1" x14ac:dyDescent="0.25">
      <c r="T11263" s="135"/>
      <c r="U11263" s="135"/>
    </row>
    <row r="11264" spans="20:21" ht="15" customHeight="1" x14ac:dyDescent="0.25">
      <c r="T11264" s="135"/>
      <c r="U11264" s="135"/>
    </row>
    <row r="11265" spans="20:21" ht="15" customHeight="1" x14ac:dyDescent="0.25">
      <c r="T11265" s="135"/>
      <c r="U11265" s="135"/>
    </row>
    <row r="11266" spans="20:21" ht="15" customHeight="1" x14ac:dyDescent="0.25">
      <c r="T11266" s="135"/>
      <c r="U11266" s="135"/>
    </row>
    <row r="11267" spans="20:21" ht="15" customHeight="1" x14ac:dyDescent="0.25">
      <c r="T11267" s="135"/>
      <c r="U11267" s="135"/>
    </row>
    <row r="11268" spans="20:21" ht="15" customHeight="1" x14ac:dyDescent="0.25">
      <c r="T11268" s="135"/>
      <c r="U11268" s="135"/>
    </row>
    <row r="11269" spans="20:21" ht="15" customHeight="1" x14ac:dyDescent="0.25">
      <c r="T11269" s="135"/>
      <c r="U11269" s="135"/>
    </row>
    <row r="11270" spans="20:21" ht="15" customHeight="1" x14ac:dyDescent="0.25">
      <c r="T11270" s="135"/>
      <c r="U11270" s="135"/>
    </row>
    <row r="11271" spans="20:21" ht="15" customHeight="1" x14ac:dyDescent="0.25">
      <c r="T11271" s="135"/>
      <c r="U11271" s="135"/>
    </row>
    <row r="11272" spans="20:21" ht="15" customHeight="1" x14ac:dyDescent="0.25">
      <c r="T11272" s="135"/>
      <c r="U11272" s="135"/>
    </row>
    <row r="11273" spans="20:21" ht="15" customHeight="1" x14ac:dyDescent="0.25">
      <c r="T11273" s="135"/>
      <c r="U11273" s="135"/>
    </row>
    <row r="11274" spans="20:21" ht="15" customHeight="1" x14ac:dyDescent="0.25">
      <c r="T11274" s="135"/>
      <c r="U11274" s="135"/>
    </row>
    <row r="11275" spans="20:21" ht="15" customHeight="1" x14ac:dyDescent="0.25">
      <c r="T11275" s="135"/>
      <c r="U11275" s="135"/>
    </row>
    <row r="11276" spans="20:21" ht="15" customHeight="1" x14ac:dyDescent="0.25">
      <c r="T11276" s="135"/>
      <c r="U11276" s="135"/>
    </row>
    <row r="11277" spans="20:21" ht="15" customHeight="1" x14ac:dyDescent="0.25">
      <c r="T11277" s="135"/>
      <c r="U11277" s="135"/>
    </row>
    <row r="11278" spans="20:21" ht="15" customHeight="1" x14ac:dyDescent="0.25">
      <c r="T11278" s="135"/>
      <c r="U11278" s="135"/>
    </row>
    <row r="11279" spans="20:21" ht="15" customHeight="1" x14ac:dyDescent="0.25">
      <c r="T11279" s="135"/>
      <c r="U11279" s="135"/>
    </row>
    <row r="11280" spans="20:21" ht="15" customHeight="1" x14ac:dyDescent="0.25">
      <c r="T11280" s="135"/>
      <c r="U11280" s="135"/>
    </row>
    <row r="11281" spans="20:21" ht="15" customHeight="1" x14ac:dyDescent="0.25">
      <c r="T11281" s="135"/>
      <c r="U11281" s="135"/>
    </row>
    <row r="11282" spans="20:21" ht="15" customHeight="1" x14ac:dyDescent="0.25">
      <c r="T11282" s="135"/>
      <c r="U11282" s="135"/>
    </row>
    <row r="11283" spans="20:21" ht="15" customHeight="1" x14ac:dyDescent="0.25">
      <c r="T11283" s="135"/>
      <c r="U11283" s="135"/>
    </row>
    <row r="11284" spans="20:21" ht="15" customHeight="1" x14ac:dyDescent="0.25">
      <c r="T11284" s="135"/>
      <c r="U11284" s="135"/>
    </row>
    <row r="11285" spans="20:21" ht="15" customHeight="1" x14ac:dyDescent="0.25">
      <c r="T11285" s="135"/>
      <c r="U11285" s="135"/>
    </row>
    <row r="11286" spans="20:21" ht="15" customHeight="1" x14ac:dyDescent="0.25">
      <c r="T11286" s="135"/>
      <c r="U11286" s="135"/>
    </row>
    <row r="11287" spans="20:21" ht="15" customHeight="1" x14ac:dyDescent="0.25">
      <c r="T11287" s="135"/>
      <c r="U11287" s="135"/>
    </row>
    <row r="11288" spans="20:21" ht="15" customHeight="1" x14ac:dyDescent="0.25">
      <c r="T11288" s="135"/>
      <c r="U11288" s="135"/>
    </row>
    <row r="11289" spans="20:21" ht="15" customHeight="1" x14ac:dyDescent="0.25">
      <c r="T11289" s="135"/>
      <c r="U11289" s="135"/>
    </row>
    <row r="11290" spans="20:21" ht="15" customHeight="1" x14ac:dyDescent="0.25">
      <c r="T11290" s="135"/>
      <c r="U11290" s="135"/>
    </row>
    <row r="11291" spans="20:21" ht="15" customHeight="1" x14ac:dyDescent="0.25">
      <c r="T11291" s="135"/>
      <c r="U11291" s="135"/>
    </row>
    <row r="11292" spans="20:21" ht="15" customHeight="1" x14ac:dyDescent="0.25">
      <c r="T11292" s="135"/>
      <c r="U11292" s="135"/>
    </row>
    <row r="11293" spans="20:21" ht="15" customHeight="1" x14ac:dyDescent="0.25">
      <c r="T11293" s="135"/>
      <c r="U11293" s="135"/>
    </row>
    <row r="11294" spans="20:21" ht="15" customHeight="1" x14ac:dyDescent="0.25">
      <c r="T11294" s="135"/>
      <c r="U11294" s="135"/>
    </row>
    <row r="11295" spans="20:21" ht="15" customHeight="1" x14ac:dyDescent="0.25">
      <c r="T11295" s="135"/>
      <c r="U11295" s="135"/>
    </row>
    <row r="11296" spans="20:21" ht="15" customHeight="1" x14ac:dyDescent="0.25">
      <c r="T11296" s="135"/>
      <c r="U11296" s="135"/>
    </row>
    <row r="11297" spans="20:21" ht="15" customHeight="1" x14ac:dyDescent="0.25">
      <c r="T11297" s="135"/>
      <c r="U11297" s="135"/>
    </row>
    <row r="11298" spans="20:21" ht="15" customHeight="1" x14ac:dyDescent="0.25">
      <c r="T11298" s="135"/>
      <c r="U11298" s="135"/>
    </row>
    <row r="11299" spans="20:21" ht="15" customHeight="1" x14ac:dyDescent="0.25">
      <c r="T11299" s="135"/>
      <c r="U11299" s="135"/>
    </row>
    <row r="11300" spans="20:21" ht="15" customHeight="1" x14ac:dyDescent="0.25">
      <c r="T11300" s="135"/>
      <c r="U11300" s="135"/>
    </row>
    <row r="11301" spans="20:21" ht="15" customHeight="1" x14ac:dyDescent="0.25">
      <c r="T11301" s="135"/>
      <c r="U11301" s="135"/>
    </row>
    <row r="11302" spans="20:21" ht="15" customHeight="1" x14ac:dyDescent="0.25">
      <c r="T11302" s="135"/>
      <c r="U11302" s="135"/>
    </row>
    <row r="11303" spans="20:21" ht="15" customHeight="1" x14ac:dyDescent="0.25">
      <c r="T11303" s="135"/>
      <c r="U11303" s="135"/>
    </row>
    <row r="11304" spans="20:21" ht="15" customHeight="1" x14ac:dyDescent="0.25">
      <c r="T11304" s="135"/>
      <c r="U11304" s="135"/>
    </row>
    <row r="11305" spans="20:21" ht="15" customHeight="1" x14ac:dyDescent="0.25">
      <c r="T11305" s="135"/>
      <c r="U11305" s="135"/>
    </row>
    <row r="11306" spans="20:21" ht="15" customHeight="1" x14ac:dyDescent="0.25">
      <c r="T11306" s="135"/>
      <c r="U11306" s="135"/>
    </row>
    <row r="11307" spans="20:21" ht="15" customHeight="1" x14ac:dyDescent="0.25">
      <c r="T11307" s="135"/>
      <c r="U11307" s="135"/>
    </row>
    <row r="11308" spans="20:21" ht="15" customHeight="1" x14ac:dyDescent="0.25">
      <c r="T11308" s="135"/>
      <c r="U11308" s="135"/>
    </row>
    <row r="11309" spans="20:21" ht="15" customHeight="1" x14ac:dyDescent="0.25">
      <c r="T11309" s="135"/>
      <c r="U11309" s="135"/>
    </row>
    <row r="11310" spans="20:21" ht="15" customHeight="1" x14ac:dyDescent="0.25">
      <c r="T11310" s="135"/>
      <c r="U11310" s="135"/>
    </row>
    <row r="11311" spans="20:21" ht="15" customHeight="1" x14ac:dyDescent="0.25">
      <c r="T11311" s="135"/>
      <c r="U11311" s="135"/>
    </row>
    <row r="11312" spans="20:21" ht="15" customHeight="1" x14ac:dyDescent="0.25">
      <c r="T11312" s="135"/>
      <c r="U11312" s="135"/>
    </row>
    <row r="11313" spans="20:21" ht="15" customHeight="1" x14ac:dyDescent="0.25">
      <c r="T11313" s="135"/>
      <c r="U11313" s="135"/>
    </row>
    <row r="11314" spans="20:21" ht="15" customHeight="1" x14ac:dyDescent="0.25">
      <c r="T11314" s="135"/>
      <c r="U11314" s="135"/>
    </row>
    <row r="11315" spans="20:21" ht="15" customHeight="1" x14ac:dyDescent="0.25">
      <c r="T11315" s="135"/>
      <c r="U11315" s="135"/>
    </row>
    <row r="11316" spans="20:21" ht="15" customHeight="1" x14ac:dyDescent="0.25">
      <c r="T11316" s="135"/>
      <c r="U11316" s="135"/>
    </row>
    <row r="11317" spans="20:21" ht="15" customHeight="1" x14ac:dyDescent="0.25">
      <c r="T11317" s="135"/>
      <c r="U11317" s="135"/>
    </row>
    <row r="11318" spans="20:21" ht="15" customHeight="1" x14ac:dyDescent="0.25">
      <c r="T11318" s="135"/>
      <c r="U11318" s="135"/>
    </row>
    <row r="11319" spans="20:21" ht="15" customHeight="1" x14ac:dyDescent="0.25">
      <c r="T11319" s="135"/>
      <c r="U11319" s="135"/>
    </row>
    <row r="11320" spans="20:21" ht="15" customHeight="1" x14ac:dyDescent="0.25">
      <c r="T11320" s="135"/>
      <c r="U11320" s="135"/>
    </row>
    <row r="11321" spans="20:21" ht="15" customHeight="1" x14ac:dyDescent="0.25">
      <c r="T11321" s="135"/>
      <c r="U11321" s="135"/>
    </row>
    <row r="11322" spans="20:21" ht="15" customHeight="1" x14ac:dyDescent="0.25">
      <c r="T11322" s="135"/>
      <c r="U11322" s="135"/>
    </row>
    <row r="11323" spans="20:21" ht="15" customHeight="1" x14ac:dyDescent="0.25">
      <c r="T11323" s="135"/>
      <c r="U11323" s="135"/>
    </row>
    <row r="11324" spans="20:21" ht="15" customHeight="1" x14ac:dyDescent="0.25">
      <c r="T11324" s="135"/>
      <c r="U11324" s="135"/>
    </row>
    <row r="11325" spans="20:21" ht="15" customHeight="1" x14ac:dyDescent="0.25">
      <c r="T11325" s="135"/>
      <c r="U11325" s="135"/>
    </row>
    <row r="11326" spans="20:21" ht="15" customHeight="1" x14ac:dyDescent="0.25">
      <c r="T11326" s="135"/>
      <c r="U11326" s="135"/>
    </row>
    <row r="11327" spans="20:21" ht="15" customHeight="1" x14ac:dyDescent="0.25">
      <c r="T11327" s="135"/>
      <c r="U11327" s="135"/>
    </row>
    <row r="11328" spans="20:21" ht="15" customHeight="1" x14ac:dyDescent="0.25">
      <c r="T11328" s="135"/>
      <c r="U11328" s="135"/>
    </row>
    <row r="11329" spans="20:21" ht="15" customHeight="1" x14ac:dyDescent="0.25">
      <c r="T11329" s="135"/>
      <c r="U11329" s="135"/>
    </row>
    <row r="11330" spans="20:21" ht="15" customHeight="1" x14ac:dyDescent="0.25">
      <c r="T11330" s="135"/>
      <c r="U11330" s="135"/>
    </row>
    <row r="11331" spans="20:21" ht="15" customHeight="1" x14ac:dyDescent="0.25">
      <c r="T11331" s="135"/>
      <c r="U11331" s="135"/>
    </row>
    <row r="11332" spans="20:21" ht="15" customHeight="1" x14ac:dyDescent="0.25">
      <c r="T11332" s="135"/>
      <c r="U11332" s="135"/>
    </row>
    <row r="11333" spans="20:21" ht="15" customHeight="1" x14ac:dyDescent="0.25">
      <c r="T11333" s="135"/>
      <c r="U11333" s="135"/>
    </row>
    <row r="11334" spans="20:21" ht="15" customHeight="1" x14ac:dyDescent="0.25">
      <c r="T11334" s="135"/>
      <c r="U11334" s="135"/>
    </row>
    <row r="11335" spans="20:21" ht="15" customHeight="1" x14ac:dyDescent="0.25">
      <c r="T11335" s="135"/>
      <c r="U11335" s="135"/>
    </row>
    <row r="11336" spans="20:21" ht="15" customHeight="1" x14ac:dyDescent="0.25">
      <c r="T11336" s="135"/>
      <c r="U11336" s="135"/>
    </row>
    <row r="11337" spans="20:21" ht="15" customHeight="1" x14ac:dyDescent="0.25">
      <c r="T11337" s="135"/>
      <c r="U11337" s="135"/>
    </row>
    <row r="11338" spans="20:21" ht="15" customHeight="1" x14ac:dyDescent="0.25">
      <c r="T11338" s="135"/>
      <c r="U11338" s="135"/>
    </row>
    <row r="11339" spans="20:21" ht="15" customHeight="1" x14ac:dyDescent="0.25">
      <c r="T11339" s="135"/>
      <c r="U11339" s="135"/>
    </row>
    <row r="11340" spans="20:21" ht="15" customHeight="1" x14ac:dyDescent="0.25">
      <c r="T11340" s="135"/>
      <c r="U11340" s="135"/>
    </row>
    <row r="11341" spans="20:21" ht="15" customHeight="1" x14ac:dyDescent="0.25">
      <c r="T11341" s="135"/>
      <c r="U11341" s="135"/>
    </row>
    <row r="11342" spans="20:21" ht="15" customHeight="1" x14ac:dyDescent="0.25">
      <c r="T11342" s="135"/>
      <c r="U11342" s="135"/>
    </row>
    <row r="11343" spans="20:21" ht="15" customHeight="1" x14ac:dyDescent="0.25">
      <c r="T11343" s="135"/>
      <c r="U11343" s="135"/>
    </row>
    <row r="11344" spans="20:21" ht="15" customHeight="1" x14ac:dyDescent="0.25">
      <c r="T11344" s="135"/>
      <c r="U11344" s="135"/>
    </row>
    <row r="11345" spans="20:21" ht="15" customHeight="1" x14ac:dyDescent="0.25">
      <c r="T11345" s="135"/>
      <c r="U11345" s="135"/>
    </row>
    <row r="11346" spans="20:21" ht="15" customHeight="1" x14ac:dyDescent="0.25">
      <c r="T11346" s="135"/>
      <c r="U11346" s="135"/>
    </row>
    <row r="11347" spans="20:21" ht="15" customHeight="1" x14ac:dyDescent="0.25">
      <c r="T11347" s="135"/>
      <c r="U11347" s="135"/>
    </row>
    <row r="11348" spans="20:21" ht="15" customHeight="1" x14ac:dyDescent="0.25">
      <c r="T11348" s="135"/>
      <c r="U11348" s="135"/>
    </row>
    <row r="11349" spans="20:21" ht="15" customHeight="1" x14ac:dyDescent="0.25">
      <c r="T11349" s="135"/>
      <c r="U11349" s="135"/>
    </row>
    <row r="11350" spans="20:21" ht="15" customHeight="1" x14ac:dyDescent="0.25">
      <c r="T11350" s="135"/>
      <c r="U11350" s="135"/>
    </row>
    <row r="11351" spans="20:21" ht="15" customHeight="1" x14ac:dyDescent="0.25">
      <c r="T11351" s="135"/>
      <c r="U11351" s="135"/>
    </row>
    <row r="11352" spans="20:21" ht="15" customHeight="1" x14ac:dyDescent="0.25">
      <c r="T11352" s="135"/>
      <c r="U11352" s="135"/>
    </row>
    <row r="11353" spans="20:21" ht="15" customHeight="1" x14ac:dyDescent="0.25">
      <c r="T11353" s="135"/>
      <c r="U11353" s="135"/>
    </row>
    <row r="11354" spans="20:21" ht="15" customHeight="1" x14ac:dyDescent="0.25">
      <c r="T11354" s="135"/>
      <c r="U11354" s="135"/>
    </row>
    <row r="11355" spans="20:21" ht="15" customHeight="1" x14ac:dyDescent="0.25">
      <c r="T11355" s="135"/>
      <c r="U11355" s="135"/>
    </row>
    <row r="11356" spans="20:21" ht="15" customHeight="1" x14ac:dyDescent="0.25">
      <c r="T11356" s="135"/>
      <c r="U11356" s="135"/>
    </row>
    <row r="11357" spans="20:21" ht="15" customHeight="1" x14ac:dyDescent="0.25">
      <c r="T11357" s="135"/>
      <c r="U11357" s="135"/>
    </row>
    <row r="11358" spans="20:21" ht="15" customHeight="1" x14ac:dyDescent="0.25">
      <c r="T11358" s="135"/>
      <c r="U11358" s="135"/>
    </row>
    <row r="11359" spans="20:21" ht="15" customHeight="1" x14ac:dyDescent="0.25">
      <c r="T11359" s="135"/>
      <c r="U11359" s="135"/>
    </row>
    <row r="11360" spans="20:21" ht="15" customHeight="1" x14ac:dyDescent="0.25">
      <c r="T11360" s="135"/>
      <c r="U11360" s="135"/>
    </row>
    <row r="11361" spans="20:21" ht="15" customHeight="1" x14ac:dyDescent="0.25">
      <c r="T11361" s="135"/>
      <c r="U11361" s="135"/>
    </row>
    <row r="11362" spans="20:21" ht="15" customHeight="1" x14ac:dyDescent="0.25">
      <c r="T11362" s="135"/>
      <c r="U11362" s="135"/>
    </row>
    <row r="11363" spans="20:21" ht="15" customHeight="1" x14ac:dyDescent="0.25">
      <c r="T11363" s="135"/>
      <c r="U11363" s="135"/>
    </row>
    <row r="11364" spans="20:21" ht="15" customHeight="1" x14ac:dyDescent="0.25">
      <c r="T11364" s="135"/>
      <c r="U11364" s="135"/>
    </row>
    <row r="11365" spans="20:21" ht="15" customHeight="1" x14ac:dyDescent="0.25">
      <c r="T11365" s="135"/>
      <c r="U11365" s="135"/>
    </row>
    <row r="11366" spans="20:21" ht="15" customHeight="1" x14ac:dyDescent="0.25">
      <c r="T11366" s="135"/>
      <c r="U11366" s="135"/>
    </row>
    <row r="11367" spans="20:21" ht="15" customHeight="1" x14ac:dyDescent="0.25">
      <c r="T11367" s="135"/>
      <c r="U11367" s="135"/>
    </row>
    <row r="11368" spans="20:21" ht="15" customHeight="1" x14ac:dyDescent="0.25">
      <c r="T11368" s="135"/>
      <c r="U11368" s="135"/>
    </row>
    <row r="11369" spans="20:21" ht="15" customHeight="1" x14ac:dyDescent="0.25">
      <c r="T11369" s="135"/>
      <c r="U11369" s="135"/>
    </row>
    <row r="11370" spans="20:21" ht="15" customHeight="1" x14ac:dyDescent="0.25">
      <c r="T11370" s="135"/>
      <c r="U11370" s="135"/>
    </row>
    <row r="11371" spans="20:21" ht="15" customHeight="1" x14ac:dyDescent="0.25">
      <c r="T11371" s="135"/>
      <c r="U11371" s="135"/>
    </row>
    <row r="11372" spans="20:21" ht="15" customHeight="1" x14ac:dyDescent="0.25">
      <c r="T11372" s="135"/>
      <c r="U11372" s="135"/>
    </row>
    <row r="11373" spans="20:21" ht="15" customHeight="1" x14ac:dyDescent="0.25">
      <c r="T11373" s="135"/>
      <c r="U11373" s="135"/>
    </row>
    <row r="11374" spans="20:21" ht="15" customHeight="1" x14ac:dyDescent="0.25">
      <c r="T11374" s="135"/>
      <c r="U11374" s="135"/>
    </row>
    <row r="11375" spans="20:21" ht="15" customHeight="1" x14ac:dyDescent="0.25">
      <c r="T11375" s="135"/>
      <c r="U11375" s="135"/>
    </row>
    <row r="11376" spans="20:21" ht="15" customHeight="1" x14ac:dyDescent="0.25">
      <c r="T11376" s="135"/>
      <c r="U11376" s="135"/>
    </row>
    <row r="11377" spans="20:21" ht="15" customHeight="1" x14ac:dyDescent="0.25">
      <c r="T11377" s="135"/>
      <c r="U11377" s="135"/>
    </row>
    <row r="11378" spans="20:21" ht="15" customHeight="1" x14ac:dyDescent="0.25">
      <c r="T11378" s="135"/>
      <c r="U11378" s="135"/>
    </row>
    <row r="11379" spans="20:21" ht="15" customHeight="1" x14ac:dyDescent="0.25">
      <c r="T11379" s="135"/>
      <c r="U11379" s="135"/>
    </row>
    <row r="11380" spans="20:21" ht="15" customHeight="1" x14ac:dyDescent="0.25">
      <c r="T11380" s="135"/>
      <c r="U11380" s="135"/>
    </row>
    <row r="11381" spans="20:21" ht="15" customHeight="1" x14ac:dyDescent="0.25">
      <c r="T11381" s="135"/>
      <c r="U11381" s="135"/>
    </row>
    <row r="11382" spans="20:21" ht="15" customHeight="1" x14ac:dyDescent="0.25">
      <c r="T11382" s="135"/>
      <c r="U11382" s="135"/>
    </row>
    <row r="11383" spans="20:21" ht="15" customHeight="1" x14ac:dyDescent="0.25">
      <c r="T11383" s="135"/>
      <c r="U11383" s="135"/>
    </row>
    <row r="11384" spans="20:21" ht="15" customHeight="1" x14ac:dyDescent="0.25">
      <c r="T11384" s="135"/>
      <c r="U11384" s="135"/>
    </row>
    <row r="11385" spans="20:21" ht="15" customHeight="1" x14ac:dyDescent="0.25">
      <c r="T11385" s="135"/>
      <c r="U11385" s="135"/>
    </row>
    <row r="11386" spans="20:21" ht="15" customHeight="1" x14ac:dyDescent="0.25">
      <c r="T11386" s="135"/>
      <c r="U11386" s="135"/>
    </row>
    <row r="11387" spans="20:21" ht="15" customHeight="1" x14ac:dyDescent="0.25">
      <c r="T11387" s="135"/>
      <c r="U11387" s="135"/>
    </row>
    <row r="11388" spans="20:21" ht="15" customHeight="1" x14ac:dyDescent="0.25">
      <c r="T11388" s="135"/>
      <c r="U11388" s="135"/>
    </row>
    <row r="11389" spans="20:21" ht="15" customHeight="1" x14ac:dyDescent="0.25">
      <c r="T11389" s="135"/>
      <c r="U11389" s="135"/>
    </row>
    <row r="11390" spans="20:21" ht="15" customHeight="1" x14ac:dyDescent="0.25">
      <c r="T11390" s="135"/>
      <c r="U11390" s="135"/>
    </row>
    <row r="11391" spans="20:21" ht="15" customHeight="1" x14ac:dyDescent="0.25">
      <c r="T11391" s="135"/>
      <c r="U11391" s="135"/>
    </row>
    <row r="11392" spans="20:21" ht="15" customHeight="1" x14ac:dyDescent="0.25">
      <c r="T11392" s="135"/>
      <c r="U11392" s="135"/>
    </row>
    <row r="11393" spans="20:21" ht="15" customHeight="1" x14ac:dyDescent="0.25">
      <c r="T11393" s="135"/>
      <c r="U11393" s="135"/>
    </row>
    <row r="11394" spans="20:21" ht="15" customHeight="1" x14ac:dyDescent="0.25">
      <c r="T11394" s="135"/>
      <c r="U11394" s="135"/>
    </row>
    <row r="11395" spans="20:21" ht="15" customHeight="1" x14ac:dyDescent="0.25">
      <c r="T11395" s="135"/>
      <c r="U11395" s="135"/>
    </row>
    <row r="11396" spans="20:21" ht="15" customHeight="1" x14ac:dyDescent="0.25">
      <c r="T11396" s="135"/>
      <c r="U11396" s="135"/>
    </row>
    <row r="11397" spans="20:21" ht="15" customHeight="1" x14ac:dyDescent="0.25">
      <c r="T11397" s="135"/>
      <c r="U11397" s="135"/>
    </row>
    <row r="11398" spans="20:21" ht="15" customHeight="1" x14ac:dyDescent="0.25">
      <c r="T11398" s="135"/>
      <c r="U11398" s="135"/>
    </row>
    <row r="11399" spans="20:21" ht="15" customHeight="1" x14ac:dyDescent="0.25">
      <c r="T11399" s="135"/>
      <c r="U11399" s="135"/>
    </row>
    <row r="11400" spans="20:21" ht="15" customHeight="1" x14ac:dyDescent="0.25">
      <c r="T11400" s="135"/>
      <c r="U11400" s="135"/>
    </row>
    <row r="11401" spans="20:21" ht="15" customHeight="1" x14ac:dyDescent="0.25">
      <c r="T11401" s="135"/>
      <c r="U11401" s="135"/>
    </row>
    <row r="11402" spans="20:21" ht="15" customHeight="1" x14ac:dyDescent="0.25">
      <c r="T11402" s="135"/>
      <c r="U11402" s="135"/>
    </row>
    <row r="11403" spans="20:21" ht="15" customHeight="1" x14ac:dyDescent="0.25">
      <c r="T11403" s="135"/>
      <c r="U11403" s="135"/>
    </row>
    <row r="11404" spans="20:21" ht="15" customHeight="1" x14ac:dyDescent="0.25">
      <c r="T11404" s="135"/>
      <c r="U11404" s="135"/>
    </row>
    <row r="11405" spans="20:21" ht="15" customHeight="1" x14ac:dyDescent="0.25">
      <c r="T11405" s="135"/>
      <c r="U11405" s="135"/>
    </row>
    <row r="11406" spans="20:21" ht="15" customHeight="1" x14ac:dyDescent="0.25">
      <c r="T11406" s="135"/>
      <c r="U11406" s="135"/>
    </row>
    <row r="11407" spans="20:21" ht="15" customHeight="1" x14ac:dyDescent="0.25">
      <c r="T11407" s="135"/>
      <c r="U11407" s="135"/>
    </row>
    <row r="11408" spans="20:21" ht="15" customHeight="1" x14ac:dyDescent="0.25">
      <c r="T11408" s="135"/>
      <c r="U11408" s="135"/>
    </row>
    <row r="11409" spans="20:21" ht="15" customHeight="1" x14ac:dyDescent="0.25">
      <c r="T11409" s="135"/>
      <c r="U11409" s="135"/>
    </row>
    <row r="11410" spans="20:21" ht="15" customHeight="1" x14ac:dyDescent="0.25">
      <c r="T11410" s="135"/>
      <c r="U11410" s="135"/>
    </row>
    <row r="11411" spans="20:21" ht="15" customHeight="1" x14ac:dyDescent="0.25">
      <c r="T11411" s="135"/>
      <c r="U11411" s="135"/>
    </row>
    <row r="11412" spans="20:21" ht="15" customHeight="1" x14ac:dyDescent="0.25">
      <c r="T11412" s="135"/>
      <c r="U11412" s="135"/>
    </row>
    <row r="11413" spans="20:21" ht="15" customHeight="1" x14ac:dyDescent="0.25">
      <c r="T11413" s="135"/>
      <c r="U11413" s="135"/>
    </row>
    <row r="11414" spans="20:21" ht="15" customHeight="1" x14ac:dyDescent="0.25">
      <c r="T11414" s="135"/>
      <c r="U11414" s="135"/>
    </row>
    <row r="11415" spans="20:21" ht="15" customHeight="1" x14ac:dyDescent="0.25">
      <c r="T11415" s="135"/>
      <c r="U11415" s="135"/>
    </row>
    <row r="11416" spans="20:21" ht="15" customHeight="1" x14ac:dyDescent="0.25">
      <c r="T11416" s="135"/>
      <c r="U11416" s="135"/>
    </row>
    <row r="11417" spans="20:21" ht="15" customHeight="1" x14ac:dyDescent="0.25">
      <c r="T11417" s="135"/>
      <c r="U11417" s="135"/>
    </row>
    <row r="11418" spans="20:21" ht="15" customHeight="1" x14ac:dyDescent="0.25">
      <c r="T11418" s="135"/>
      <c r="U11418" s="135"/>
    </row>
    <row r="11419" spans="20:21" ht="15" customHeight="1" x14ac:dyDescent="0.25">
      <c r="T11419" s="135"/>
      <c r="U11419" s="135"/>
    </row>
    <row r="11420" spans="20:21" ht="15" customHeight="1" x14ac:dyDescent="0.25">
      <c r="T11420" s="135"/>
      <c r="U11420" s="135"/>
    </row>
    <row r="11421" spans="20:21" ht="15" customHeight="1" x14ac:dyDescent="0.25">
      <c r="T11421" s="135"/>
      <c r="U11421" s="135"/>
    </row>
    <row r="11422" spans="20:21" ht="15" customHeight="1" x14ac:dyDescent="0.25">
      <c r="T11422" s="135"/>
      <c r="U11422" s="135"/>
    </row>
    <row r="11423" spans="20:21" ht="15" customHeight="1" x14ac:dyDescent="0.25">
      <c r="T11423" s="135"/>
      <c r="U11423" s="135"/>
    </row>
    <row r="11424" spans="20:21" ht="15" customHeight="1" x14ac:dyDescent="0.25">
      <c r="T11424" s="135"/>
      <c r="U11424" s="135"/>
    </row>
    <row r="11425" spans="20:21" ht="15" customHeight="1" x14ac:dyDescent="0.25">
      <c r="T11425" s="135"/>
      <c r="U11425" s="135"/>
    </row>
    <row r="11426" spans="20:21" ht="15" customHeight="1" x14ac:dyDescent="0.25">
      <c r="T11426" s="135"/>
      <c r="U11426" s="135"/>
    </row>
    <row r="11427" spans="20:21" ht="15" customHeight="1" x14ac:dyDescent="0.25">
      <c r="T11427" s="135"/>
      <c r="U11427" s="135"/>
    </row>
    <row r="11428" spans="20:21" ht="15" customHeight="1" x14ac:dyDescent="0.25">
      <c r="T11428" s="135"/>
      <c r="U11428" s="135"/>
    </row>
    <row r="11429" spans="20:21" ht="15" customHeight="1" x14ac:dyDescent="0.25">
      <c r="T11429" s="135"/>
      <c r="U11429" s="135"/>
    </row>
    <row r="11430" spans="20:21" ht="15" customHeight="1" x14ac:dyDescent="0.25">
      <c r="T11430" s="135"/>
      <c r="U11430" s="135"/>
    </row>
    <row r="11431" spans="20:21" ht="15" customHeight="1" x14ac:dyDescent="0.25">
      <c r="T11431" s="135"/>
      <c r="U11431" s="135"/>
    </row>
    <row r="11432" spans="20:21" ht="15" customHeight="1" x14ac:dyDescent="0.25">
      <c r="T11432" s="135"/>
      <c r="U11432" s="135"/>
    </row>
    <row r="11433" spans="20:21" ht="15" customHeight="1" x14ac:dyDescent="0.25">
      <c r="T11433" s="135"/>
      <c r="U11433" s="135"/>
    </row>
    <row r="11434" spans="20:21" ht="15" customHeight="1" x14ac:dyDescent="0.25">
      <c r="T11434" s="135"/>
      <c r="U11434" s="135"/>
    </row>
    <row r="11435" spans="20:21" ht="15" customHeight="1" x14ac:dyDescent="0.25">
      <c r="T11435" s="135"/>
      <c r="U11435" s="135"/>
    </row>
    <row r="11436" spans="20:21" ht="15" customHeight="1" x14ac:dyDescent="0.25">
      <c r="T11436" s="135"/>
      <c r="U11436" s="135"/>
    </row>
    <row r="11437" spans="20:21" ht="15" customHeight="1" x14ac:dyDescent="0.25">
      <c r="T11437" s="135"/>
      <c r="U11437" s="135"/>
    </row>
    <row r="11438" spans="20:21" ht="15" customHeight="1" x14ac:dyDescent="0.25">
      <c r="T11438" s="135"/>
      <c r="U11438" s="135"/>
    </row>
    <row r="11439" spans="20:21" ht="15" customHeight="1" x14ac:dyDescent="0.25">
      <c r="T11439" s="135"/>
      <c r="U11439" s="135"/>
    </row>
    <row r="11440" spans="20:21" ht="15" customHeight="1" x14ac:dyDescent="0.25">
      <c r="T11440" s="135"/>
      <c r="U11440" s="135"/>
    </row>
    <row r="11441" spans="20:21" ht="15" customHeight="1" x14ac:dyDescent="0.25">
      <c r="T11441" s="135"/>
      <c r="U11441" s="135"/>
    </row>
    <row r="11442" spans="20:21" ht="15" customHeight="1" x14ac:dyDescent="0.25">
      <c r="T11442" s="135"/>
      <c r="U11442" s="135"/>
    </row>
    <row r="11443" spans="20:21" ht="15" customHeight="1" x14ac:dyDescent="0.25">
      <c r="T11443" s="135"/>
      <c r="U11443" s="135"/>
    </row>
    <row r="11444" spans="20:21" ht="15" customHeight="1" x14ac:dyDescent="0.25">
      <c r="T11444" s="135"/>
      <c r="U11444" s="135"/>
    </row>
    <row r="11445" spans="20:21" ht="15" customHeight="1" x14ac:dyDescent="0.25">
      <c r="T11445" s="135"/>
      <c r="U11445" s="135"/>
    </row>
    <row r="11446" spans="20:21" ht="15" customHeight="1" x14ac:dyDescent="0.25">
      <c r="T11446" s="135"/>
      <c r="U11446" s="135"/>
    </row>
    <row r="11447" spans="20:21" ht="15" customHeight="1" x14ac:dyDescent="0.25">
      <c r="T11447" s="135"/>
      <c r="U11447" s="135"/>
    </row>
    <row r="11448" spans="20:21" ht="15" customHeight="1" x14ac:dyDescent="0.25">
      <c r="T11448" s="135"/>
      <c r="U11448" s="135"/>
    </row>
    <row r="11449" spans="20:21" ht="15" customHeight="1" x14ac:dyDescent="0.25">
      <c r="T11449" s="135"/>
      <c r="U11449" s="135"/>
    </row>
    <row r="11450" spans="20:21" ht="15" customHeight="1" x14ac:dyDescent="0.25">
      <c r="T11450" s="135"/>
      <c r="U11450" s="135"/>
    </row>
    <row r="11451" spans="20:21" ht="15" customHeight="1" x14ac:dyDescent="0.25">
      <c r="T11451" s="135"/>
      <c r="U11451" s="135"/>
    </row>
    <row r="11452" spans="20:21" ht="15" customHeight="1" x14ac:dyDescent="0.25">
      <c r="T11452" s="135"/>
      <c r="U11452" s="135"/>
    </row>
    <row r="11453" spans="20:21" ht="15" customHeight="1" x14ac:dyDescent="0.25">
      <c r="T11453" s="135"/>
      <c r="U11453" s="135"/>
    </row>
    <row r="11454" spans="20:21" ht="15" customHeight="1" x14ac:dyDescent="0.25">
      <c r="T11454" s="135"/>
      <c r="U11454" s="135"/>
    </row>
    <row r="11455" spans="20:21" ht="15" customHeight="1" x14ac:dyDescent="0.25">
      <c r="T11455" s="135"/>
      <c r="U11455" s="135"/>
    </row>
    <row r="11456" spans="20:21" ht="15" customHeight="1" x14ac:dyDescent="0.25">
      <c r="T11456" s="135"/>
      <c r="U11456" s="135"/>
    </row>
    <row r="11457" spans="20:21" ht="15" customHeight="1" x14ac:dyDescent="0.25">
      <c r="T11457" s="135"/>
      <c r="U11457" s="135"/>
    </row>
    <row r="11458" spans="20:21" ht="15" customHeight="1" x14ac:dyDescent="0.25">
      <c r="T11458" s="135"/>
      <c r="U11458" s="135"/>
    </row>
    <row r="11459" spans="20:21" ht="15" customHeight="1" x14ac:dyDescent="0.25">
      <c r="T11459" s="135"/>
      <c r="U11459" s="135"/>
    </row>
    <row r="11460" spans="20:21" ht="15" customHeight="1" x14ac:dyDescent="0.25">
      <c r="T11460" s="135"/>
      <c r="U11460" s="135"/>
    </row>
    <row r="11461" spans="20:21" ht="15" customHeight="1" x14ac:dyDescent="0.25">
      <c r="T11461" s="135"/>
      <c r="U11461" s="135"/>
    </row>
    <row r="11462" spans="20:21" ht="15" customHeight="1" x14ac:dyDescent="0.25">
      <c r="T11462" s="135"/>
      <c r="U11462" s="135"/>
    </row>
    <row r="11463" spans="20:21" ht="15" customHeight="1" x14ac:dyDescent="0.25">
      <c r="T11463" s="135"/>
      <c r="U11463" s="135"/>
    </row>
    <row r="11464" spans="20:21" ht="15" customHeight="1" x14ac:dyDescent="0.25">
      <c r="T11464" s="135"/>
      <c r="U11464" s="135"/>
    </row>
    <row r="11465" spans="20:21" ht="15" customHeight="1" x14ac:dyDescent="0.25">
      <c r="T11465" s="135"/>
      <c r="U11465" s="135"/>
    </row>
    <row r="11466" spans="20:21" ht="15" customHeight="1" x14ac:dyDescent="0.25">
      <c r="T11466" s="135"/>
      <c r="U11466" s="135"/>
    </row>
    <row r="11467" spans="20:21" ht="15" customHeight="1" x14ac:dyDescent="0.25">
      <c r="T11467" s="135"/>
      <c r="U11467" s="135"/>
    </row>
    <row r="11468" spans="20:21" ht="15" customHeight="1" x14ac:dyDescent="0.25">
      <c r="T11468" s="135"/>
      <c r="U11468" s="135"/>
    </row>
    <row r="11469" spans="20:21" ht="15" customHeight="1" x14ac:dyDescent="0.25">
      <c r="T11469" s="135"/>
      <c r="U11469" s="135"/>
    </row>
    <row r="11470" spans="20:21" ht="15" customHeight="1" x14ac:dyDescent="0.25">
      <c r="T11470" s="135"/>
      <c r="U11470" s="135"/>
    </row>
    <row r="11471" spans="20:21" ht="15" customHeight="1" x14ac:dyDescent="0.25">
      <c r="T11471" s="135"/>
      <c r="U11471" s="135"/>
    </row>
    <row r="11472" spans="20:21" ht="15" customHeight="1" x14ac:dyDescent="0.25">
      <c r="T11472" s="135"/>
      <c r="U11472" s="135"/>
    </row>
    <row r="11473" spans="20:21" ht="15" customHeight="1" x14ac:dyDescent="0.25">
      <c r="T11473" s="135"/>
      <c r="U11473" s="135"/>
    </row>
    <row r="11474" spans="20:21" ht="15" customHeight="1" x14ac:dyDescent="0.25">
      <c r="T11474" s="135"/>
      <c r="U11474" s="135"/>
    </row>
    <row r="11475" spans="20:21" ht="15" customHeight="1" x14ac:dyDescent="0.25">
      <c r="T11475" s="135"/>
      <c r="U11475" s="135"/>
    </row>
    <row r="11476" spans="20:21" ht="15" customHeight="1" x14ac:dyDescent="0.25">
      <c r="T11476" s="135"/>
      <c r="U11476" s="135"/>
    </row>
    <row r="11477" spans="20:21" ht="15" customHeight="1" x14ac:dyDescent="0.25">
      <c r="T11477" s="135"/>
      <c r="U11477" s="135"/>
    </row>
    <row r="11478" spans="20:21" ht="15" customHeight="1" x14ac:dyDescent="0.25">
      <c r="T11478" s="135"/>
      <c r="U11478" s="135"/>
    </row>
    <row r="11479" spans="20:21" ht="15" customHeight="1" x14ac:dyDescent="0.25">
      <c r="T11479" s="135"/>
      <c r="U11479" s="135"/>
    </row>
    <row r="11480" spans="20:21" ht="15" customHeight="1" x14ac:dyDescent="0.25">
      <c r="T11480" s="135"/>
      <c r="U11480" s="135"/>
    </row>
    <row r="11481" spans="20:21" ht="15" customHeight="1" x14ac:dyDescent="0.25">
      <c r="T11481" s="135"/>
      <c r="U11481" s="135"/>
    </row>
    <row r="11482" spans="20:21" ht="15" customHeight="1" x14ac:dyDescent="0.25">
      <c r="T11482" s="135"/>
      <c r="U11482" s="135"/>
    </row>
    <row r="11483" spans="20:21" ht="15" customHeight="1" x14ac:dyDescent="0.25">
      <c r="T11483" s="135"/>
      <c r="U11483" s="135"/>
    </row>
    <row r="11484" spans="20:21" ht="15" customHeight="1" x14ac:dyDescent="0.25">
      <c r="T11484" s="135"/>
      <c r="U11484" s="135"/>
    </row>
    <row r="11485" spans="20:21" ht="15" customHeight="1" x14ac:dyDescent="0.25">
      <c r="T11485" s="135"/>
      <c r="U11485" s="135"/>
    </row>
    <row r="11486" spans="20:21" ht="15" customHeight="1" x14ac:dyDescent="0.25">
      <c r="T11486" s="135"/>
      <c r="U11486" s="135"/>
    </row>
    <row r="11487" spans="20:21" ht="15" customHeight="1" x14ac:dyDescent="0.25">
      <c r="T11487" s="135"/>
      <c r="U11487" s="135"/>
    </row>
    <row r="11488" spans="20:21" ht="15" customHeight="1" x14ac:dyDescent="0.25">
      <c r="T11488" s="135"/>
      <c r="U11488" s="135"/>
    </row>
    <row r="11489" spans="20:21" ht="15" customHeight="1" x14ac:dyDescent="0.25">
      <c r="T11489" s="135"/>
      <c r="U11489" s="135"/>
    </row>
    <row r="11490" spans="20:21" ht="15" customHeight="1" x14ac:dyDescent="0.25">
      <c r="T11490" s="135"/>
      <c r="U11490" s="135"/>
    </row>
    <row r="11491" spans="20:21" ht="15" customHeight="1" x14ac:dyDescent="0.25">
      <c r="T11491" s="135"/>
      <c r="U11491" s="135"/>
    </row>
    <row r="11492" spans="20:21" ht="15" customHeight="1" x14ac:dyDescent="0.25">
      <c r="T11492" s="135"/>
      <c r="U11492" s="135"/>
    </row>
    <row r="11493" spans="20:21" ht="15" customHeight="1" x14ac:dyDescent="0.25">
      <c r="T11493" s="135"/>
      <c r="U11493" s="135"/>
    </row>
    <row r="11494" spans="20:21" ht="15" customHeight="1" x14ac:dyDescent="0.25">
      <c r="T11494" s="135"/>
      <c r="U11494" s="135"/>
    </row>
    <row r="11495" spans="20:21" ht="15" customHeight="1" x14ac:dyDescent="0.25">
      <c r="T11495" s="135"/>
      <c r="U11495" s="135"/>
    </row>
    <row r="11496" spans="20:21" ht="15" customHeight="1" x14ac:dyDescent="0.25">
      <c r="T11496" s="135"/>
      <c r="U11496" s="135"/>
    </row>
    <row r="11497" spans="20:21" ht="15" customHeight="1" x14ac:dyDescent="0.25">
      <c r="T11497" s="135"/>
      <c r="U11497" s="135"/>
    </row>
    <row r="11498" spans="20:21" ht="15" customHeight="1" x14ac:dyDescent="0.25">
      <c r="T11498" s="135"/>
      <c r="U11498" s="135"/>
    </row>
    <row r="11499" spans="20:21" ht="15" customHeight="1" x14ac:dyDescent="0.25">
      <c r="T11499" s="135"/>
      <c r="U11499" s="135"/>
    </row>
    <row r="11500" spans="20:21" ht="15" customHeight="1" x14ac:dyDescent="0.25">
      <c r="T11500" s="135"/>
      <c r="U11500" s="135"/>
    </row>
    <row r="11501" spans="20:21" ht="15" customHeight="1" x14ac:dyDescent="0.25">
      <c r="T11501" s="135"/>
      <c r="U11501" s="135"/>
    </row>
    <row r="11502" spans="20:21" ht="15" customHeight="1" x14ac:dyDescent="0.25">
      <c r="T11502" s="135"/>
      <c r="U11502" s="135"/>
    </row>
    <row r="11503" spans="20:21" ht="15" customHeight="1" x14ac:dyDescent="0.25">
      <c r="T11503" s="135"/>
      <c r="U11503" s="135"/>
    </row>
    <row r="11504" spans="20:21" ht="15" customHeight="1" x14ac:dyDescent="0.25">
      <c r="T11504" s="135"/>
      <c r="U11504" s="135"/>
    </row>
    <row r="11505" spans="20:21" ht="15" customHeight="1" x14ac:dyDescent="0.25">
      <c r="T11505" s="135"/>
      <c r="U11505" s="135"/>
    </row>
    <row r="11506" spans="20:21" ht="15" customHeight="1" x14ac:dyDescent="0.25">
      <c r="T11506" s="135"/>
      <c r="U11506" s="135"/>
    </row>
    <row r="11507" spans="20:21" ht="15" customHeight="1" x14ac:dyDescent="0.25">
      <c r="T11507" s="135"/>
      <c r="U11507" s="135"/>
    </row>
    <row r="11508" spans="20:21" ht="15" customHeight="1" x14ac:dyDescent="0.25">
      <c r="T11508" s="135"/>
      <c r="U11508" s="135"/>
    </row>
    <row r="11509" spans="20:21" ht="15" customHeight="1" x14ac:dyDescent="0.25">
      <c r="T11509" s="135"/>
      <c r="U11509" s="135"/>
    </row>
    <row r="11510" spans="20:21" ht="15" customHeight="1" x14ac:dyDescent="0.25">
      <c r="T11510" s="135"/>
      <c r="U11510" s="135"/>
    </row>
    <row r="11511" spans="20:21" ht="15" customHeight="1" x14ac:dyDescent="0.25">
      <c r="T11511" s="135"/>
      <c r="U11511" s="135"/>
    </row>
    <row r="11512" spans="20:21" ht="15" customHeight="1" x14ac:dyDescent="0.25">
      <c r="T11512" s="135"/>
      <c r="U11512" s="135"/>
    </row>
    <row r="11513" spans="20:21" ht="15" customHeight="1" x14ac:dyDescent="0.25">
      <c r="T11513" s="135"/>
      <c r="U11513" s="135"/>
    </row>
    <row r="11514" spans="20:21" ht="15" customHeight="1" x14ac:dyDescent="0.25">
      <c r="T11514" s="135"/>
      <c r="U11514" s="135"/>
    </row>
    <row r="11515" spans="20:21" ht="15" customHeight="1" x14ac:dyDescent="0.25">
      <c r="T11515" s="135"/>
      <c r="U11515" s="135"/>
    </row>
    <row r="11516" spans="20:21" ht="15" customHeight="1" x14ac:dyDescent="0.25">
      <c r="T11516" s="135"/>
      <c r="U11516" s="135"/>
    </row>
    <row r="11517" spans="20:21" ht="15" customHeight="1" x14ac:dyDescent="0.25">
      <c r="T11517" s="135"/>
      <c r="U11517" s="135"/>
    </row>
    <row r="11518" spans="20:21" ht="15" customHeight="1" x14ac:dyDescent="0.25">
      <c r="T11518" s="135"/>
      <c r="U11518" s="135"/>
    </row>
    <row r="11519" spans="20:21" ht="15" customHeight="1" x14ac:dyDescent="0.25">
      <c r="T11519" s="135"/>
      <c r="U11519" s="135"/>
    </row>
    <row r="11520" spans="20:21" ht="15" customHeight="1" x14ac:dyDescent="0.25">
      <c r="T11520" s="135"/>
      <c r="U11520" s="135"/>
    </row>
    <row r="11521" spans="20:21" ht="15" customHeight="1" x14ac:dyDescent="0.25">
      <c r="T11521" s="135"/>
      <c r="U11521" s="135"/>
    </row>
    <row r="11522" spans="20:21" ht="15" customHeight="1" x14ac:dyDescent="0.25">
      <c r="T11522" s="135"/>
      <c r="U11522" s="135"/>
    </row>
    <row r="11523" spans="20:21" ht="15" customHeight="1" x14ac:dyDescent="0.25">
      <c r="T11523" s="135"/>
      <c r="U11523" s="135"/>
    </row>
    <row r="11524" spans="20:21" ht="15" customHeight="1" x14ac:dyDescent="0.25">
      <c r="T11524" s="135"/>
      <c r="U11524" s="135"/>
    </row>
    <row r="11525" spans="20:21" ht="15" customHeight="1" x14ac:dyDescent="0.25">
      <c r="T11525" s="135"/>
      <c r="U11525" s="135"/>
    </row>
    <row r="11526" spans="20:21" ht="15" customHeight="1" x14ac:dyDescent="0.25">
      <c r="T11526" s="135"/>
      <c r="U11526" s="135"/>
    </row>
    <row r="11527" spans="20:21" ht="15" customHeight="1" x14ac:dyDescent="0.25">
      <c r="T11527" s="135"/>
      <c r="U11527" s="135"/>
    </row>
    <row r="11528" spans="20:21" ht="15" customHeight="1" x14ac:dyDescent="0.25">
      <c r="T11528" s="135"/>
      <c r="U11528" s="135"/>
    </row>
    <row r="11529" spans="20:21" ht="15" customHeight="1" x14ac:dyDescent="0.25">
      <c r="T11529" s="135"/>
      <c r="U11529" s="135"/>
    </row>
    <row r="11530" spans="20:21" ht="15" customHeight="1" x14ac:dyDescent="0.25">
      <c r="T11530" s="135"/>
      <c r="U11530" s="135"/>
    </row>
    <row r="11531" spans="20:21" ht="15" customHeight="1" x14ac:dyDescent="0.25">
      <c r="T11531" s="135"/>
      <c r="U11531" s="135"/>
    </row>
    <row r="11532" spans="20:21" ht="15" customHeight="1" x14ac:dyDescent="0.25">
      <c r="T11532" s="135"/>
      <c r="U11532" s="135"/>
    </row>
    <row r="11533" spans="20:21" ht="15" customHeight="1" x14ac:dyDescent="0.25">
      <c r="T11533" s="135"/>
      <c r="U11533" s="135"/>
    </row>
    <row r="11534" spans="20:21" ht="15" customHeight="1" x14ac:dyDescent="0.25">
      <c r="T11534" s="135"/>
      <c r="U11534" s="135"/>
    </row>
    <row r="11535" spans="20:21" ht="15" customHeight="1" x14ac:dyDescent="0.25">
      <c r="T11535" s="135"/>
      <c r="U11535" s="135"/>
    </row>
    <row r="11536" spans="20:21" ht="15" customHeight="1" x14ac:dyDescent="0.25">
      <c r="T11536" s="135"/>
      <c r="U11536" s="135"/>
    </row>
    <row r="11537" spans="20:21" ht="15" customHeight="1" x14ac:dyDescent="0.25">
      <c r="T11537" s="135"/>
      <c r="U11537" s="135"/>
    </row>
    <row r="11538" spans="20:21" ht="15" customHeight="1" x14ac:dyDescent="0.25">
      <c r="T11538" s="135"/>
      <c r="U11538" s="135"/>
    </row>
    <row r="11539" spans="20:21" ht="15" customHeight="1" x14ac:dyDescent="0.25">
      <c r="T11539" s="135"/>
      <c r="U11539" s="135"/>
    </row>
    <row r="11540" spans="20:21" ht="15" customHeight="1" x14ac:dyDescent="0.25">
      <c r="T11540" s="135"/>
      <c r="U11540" s="135"/>
    </row>
    <row r="11541" spans="20:21" ht="15" customHeight="1" x14ac:dyDescent="0.25">
      <c r="T11541" s="135"/>
      <c r="U11541" s="135"/>
    </row>
    <row r="11542" spans="20:21" ht="15" customHeight="1" x14ac:dyDescent="0.25">
      <c r="T11542" s="135"/>
      <c r="U11542" s="135"/>
    </row>
    <row r="11543" spans="20:21" ht="15" customHeight="1" x14ac:dyDescent="0.25">
      <c r="T11543" s="135"/>
      <c r="U11543" s="135"/>
    </row>
    <row r="11544" spans="20:21" ht="15" customHeight="1" x14ac:dyDescent="0.25">
      <c r="T11544" s="135"/>
      <c r="U11544" s="135"/>
    </row>
    <row r="11545" spans="20:21" ht="15" customHeight="1" x14ac:dyDescent="0.25">
      <c r="T11545" s="135"/>
      <c r="U11545" s="135"/>
    </row>
    <row r="11546" spans="20:21" ht="15" customHeight="1" x14ac:dyDescent="0.25">
      <c r="T11546" s="135"/>
      <c r="U11546" s="135"/>
    </row>
    <row r="11547" spans="20:21" ht="15" customHeight="1" x14ac:dyDescent="0.25">
      <c r="T11547" s="135"/>
      <c r="U11547" s="135"/>
    </row>
    <row r="11548" spans="20:21" ht="15" customHeight="1" x14ac:dyDescent="0.25">
      <c r="T11548" s="135"/>
      <c r="U11548" s="135"/>
    </row>
    <row r="11549" spans="20:21" ht="15" customHeight="1" x14ac:dyDescent="0.25">
      <c r="T11549" s="135"/>
      <c r="U11549" s="135"/>
    </row>
    <row r="11550" spans="20:21" ht="15" customHeight="1" x14ac:dyDescent="0.25">
      <c r="T11550" s="135"/>
      <c r="U11550" s="135"/>
    </row>
    <row r="11551" spans="20:21" ht="15" customHeight="1" x14ac:dyDescent="0.25">
      <c r="T11551" s="135"/>
      <c r="U11551" s="135"/>
    </row>
    <row r="11552" spans="20:21" ht="15" customHeight="1" x14ac:dyDescent="0.25">
      <c r="T11552" s="135"/>
      <c r="U11552" s="135"/>
    </row>
    <row r="11553" spans="20:21" ht="15" customHeight="1" x14ac:dyDescent="0.25">
      <c r="T11553" s="135"/>
      <c r="U11553" s="135"/>
    </row>
    <row r="11554" spans="20:21" ht="15" customHeight="1" x14ac:dyDescent="0.25">
      <c r="T11554" s="135"/>
      <c r="U11554" s="135"/>
    </row>
    <row r="11555" spans="20:21" ht="15" customHeight="1" x14ac:dyDescent="0.25">
      <c r="T11555" s="135"/>
      <c r="U11555" s="135"/>
    </row>
    <row r="11556" spans="20:21" ht="15" customHeight="1" x14ac:dyDescent="0.25">
      <c r="T11556" s="135"/>
      <c r="U11556" s="135"/>
    </row>
    <row r="11557" spans="20:21" ht="15" customHeight="1" x14ac:dyDescent="0.25">
      <c r="T11557" s="135"/>
      <c r="U11557" s="135"/>
    </row>
    <row r="11558" spans="20:21" ht="15" customHeight="1" x14ac:dyDescent="0.25">
      <c r="T11558" s="135"/>
      <c r="U11558" s="135"/>
    </row>
    <row r="11559" spans="20:21" ht="15" customHeight="1" x14ac:dyDescent="0.25">
      <c r="T11559" s="135"/>
      <c r="U11559" s="135"/>
    </row>
    <row r="11560" spans="20:21" ht="15" customHeight="1" x14ac:dyDescent="0.25">
      <c r="T11560" s="135"/>
      <c r="U11560" s="135"/>
    </row>
    <row r="11561" spans="20:21" ht="15" customHeight="1" x14ac:dyDescent="0.25">
      <c r="T11561" s="135"/>
      <c r="U11561" s="135"/>
    </row>
    <row r="11562" spans="20:21" ht="15" customHeight="1" x14ac:dyDescent="0.25">
      <c r="T11562" s="135"/>
      <c r="U11562" s="135"/>
    </row>
    <row r="11563" spans="20:21" ht="15" customHeight="1" x14ac:dyDescent="0.25">
      <c r="T11563" s="135"/>
      <c r="U11563" s="135"/>
    </row>
    <row r="11564" spans="20:21" ht="15" customHeight="1" x14ac:dyDescent="0.25">
      <c r="T11564" s="135"/>
      <c r="U11564" s="135"/>
    </row>
    <row r="11565" spans="20:21" ht="15" customHeight="1" x14ac:dyDescent="0.25">
      <c r="T11565" s="135"/>
      <c r="U11565" s="135"/>
    </row>
    <row r="11566" spans="20:21" ht="15" customHeight="1" x14ac:dyDescent="0.25">
      <c r="T11566" s="135"/>
      <c r="U11566" s="135"/>
    </row>
    <row r="11567" spans="20:21" ht="15" customHeight="1" x14ac:dyDescent="0.25">
      <c r="T11567" s="135"/>
      <c r="U11567" s="135"/>
    </row>
    <row r="11568" spans="20:21" ht="15" customHeight="1" x14ac:dyDescent="0.25">
      <c r="T11568" s="135"/>
      <c r="U11568" s="135"/>
    </row>
    <row r="11569" spans="20:21" ht="15" customHeight="1" x14ac:dyDescent="0.25">
      <c r="T11569" s="135"/>
      <c r="U11569" s="135"/>
    </row>
    <row r="11570" spans="20:21" ht="15" customHeight="1" x14ac:dyDescent="0.25">
      <c r="T11570" s="135"/>
      <c r="U11570" s="135"/>
    </row>
    <row r="11571" spans="20:21" ht="15" customHeight="1" x14ac:dyDescent="0.25">
      <c r="T11571" s="135"/>
      <c r="U11571" s="135"/>
    </row>
    <row r="11572" spans="20:21" ht="15" customHeight="1" x14ac:dyDescent="0.25">
      <c r="T11572" s="135"/>
      <c r="U11572" s="135"/>
    </row>
    <row r="11573" spans="20:21" ht="15" customHeight="1" x14ac:dyDescent="0.25">
      <c r="T11573" s="135"/>
      <c r="U11573" s="135"/>
    </row>
    <row r="11574" spans="20:21" ht="15" customHeight="1" x14ac:dyDescent="0.25">
      <c r="T11574" s="135"/>
      <c r="U11574" s="135"/>
    </row>
    <row r="11575" spans="20:21" ht="15" customHeight="1" x14ac:dyDescent="0.25">
      <c r="T11575" s="135"/>
      <c r="U11575" s="135"/>
    </row>
    <row r="11576" spans="20:21" ht="15" customHeight="1" x14ac:dyDescent="0.25">
      <c r="T11576" s="135"/>
      <c r="U11576" s="135"/>
    </row>
    <row r="11577" spans="20:21" ht="15" customHeight="1" x14ac:dyDescent="0.25">
      <c r="T11577" s="135"/>
      <c r="U11577" s="135"/>
    </row>
    <row r="11578" spans="20:21" ht="15" customHeight="1" x14ac:dyDescent="0.25">
      <c r="T11578" s="135"/>
      <c r="U11578" s="135"/>
    </row>
    <row r="11579" spans="20:21" ht="15" customHeight="1" x14ac:dyDescent="0.25">
      <c r="T11579" s="135"/>
      <c r="U11579" s="135"/>
    </row>
    <row r="11580" spans="20:21" ht="15" customHeight="1" x14ac:dyDescent="0.25">
      <c r="T11580" s="135"/>
      <c r="U11580" s="135"/>
    </row>
    <row r="11581" spans="20:21" ht="15" customHeight="1" x14ac:dyDescent="0.25">
      <c r="T11581" s="135"/>
      <c r="U11581" s="135"/>
    </row>
    <row r="11582" spans="20:21" ht="15" customHeight="1" x14ac:dyDescent="0.25">
      <c r="T11582" s="135"/>
      <c r="U11582" s="135"/>
    </row>
    <row r="11583" spans="20:21" ht="15" customHeight="1" x14ac:dyDescent="0.25">
      <c r="T11583" s="135"/>
      <c r="U11583" s="135"/>
    </row>
    <row r="11584" spans="20:21" ht="15" customHeight="1" x14ac:dyDescent="0.25">
      <c r="T11584" s="135"/>
      <c r="U11584" s="135"/>
    </row>
    <row r="11585" spans="20:21" ht="15" customHeight="1" x14ac:dyDescent="0.25">
      <c r="T11585" s="135"/>
      <c r="U11585" s="135"/>
    </row>
    <row r="11586" spans="20:21" ht="15" customHeight="1" x14ac:dyDescent="0.25">
      <c r="T11586" s="135"/>
      <c r="U11586" s="135"/>
    </row>
    <row r="11587" spans="20:21" ht="15" customHeight="1" x14ac:dyDescent="0.25">
      <c r="T11587" s="135"/>
      <c r="U11587" s="135"/>
    </row>
    <row r="11588" spans="20:21" ht="15" customHeight="1" x14ac:dyDescent="0.25">
      <c r="T11588" s="135"/>
      <c r="U11588" s="135"/>
    </row>
    <row r="11589" spans="20:21" ht="15" customHeight="1" x14ac:dyDescent="0.25">
      <c r="T11589" s="135"/>
      <c r="U11589" s="135"/>
    </row>
    <row r="11590" spans="20:21" ht="15" customHeight="1" x14ac:dyDescent="0.25">
      <c r="T11590" s="135"/>
      <c r="U11590" s="135"/>
    </row>
    <row r="11591" spans="20:21" ht="15" customHeight="1" x14ac:dyDescent="0.25">
      <c r="T11591" s="135"/>
      <c r="U11591" s="135"/>
    </row>
    <row r="11592" spans="20:21" ht="15" customHeight="1" x14ac:dyDescent="0.25">
      <c r="T11592" s="135"/>
      <c r="U11592" s="135"/>
    </row>
    <row r="11593" spans="20:21" ht="15" customHeight="1" x14ac:dyDescent="0.25">
      <c r="T11593" s="135"/>
      <c r="U11593" s="135"/>
    </row>
    <row r="11594" spans="20:21" ht="15" customHeight="1" x14ac:dyDescent="0.25">
      <c r="T11594" s="135"/>
      <c r="U11594" s="135"/>
    </row>
    <row r="11595" spans="20:21" ht="15" customHeight="1" x14ac:dyDescent="0.25">
      <c r="T11595" s="135"/>
      <c r="U11595" s="135"/>
    </row>
    <row r="11596" spans="20:21" ht="15" customHeight="1" x14ac:dyDescent="0.25">
      <c r="T11596" s="135"/>
      <c r="U11596" s="135"/>
    </row>
    <row r="11597" spans="20:21" ht="15" customHeight="1" x14ac:dyDescent="0.25">
      <c r="T11597" s="135"/>
      <c r="U11597" s="135"/>
    </row>
    <row r="11598" spans="20:21" ht="15" customHeight="1" x14ac:dyDescent="0.25">
      <c r="T11598" s="135"/>
      <c r="U11598" s="135"/>
    </row>
    <row r="11599" spans="20:21" ht="15" customHeight="1" x14ac:dyDescent="0.25">
      <c r="T11599" s="135"/>
      <c r="U11599" s="135"/>
    </row>
    <row r="11600" spans="20:21" ht="15" customHeight="1" x14ac:dyDescent="0.25">
      <c r="T11600" s="135"/>
      <c r="U11600" s="135"/>
    </row>
    <row r="11601" spans="20:21" ht="15" customHeight="1" x14ac:dyDescent="0.25">
      <c r="T11601" s="135"/>
      <c r="U11601" s="135"/>
    </row>
    <row r="11602" spans="20:21" ht="15" customHeight="1" x14ac:dyDescent="0.25">
      <c r="T11602" s="135"/>
      <c r="U11602" s="135"/>
    </row>
    <row r="11603" spans="20:21" ht="15" customHeight="1" x14ac:dyDescent="0.25">
      <c r="T11603" s="135"/>
      <c r="U11603" s="135"/>
    </row>
    <row r="11604" spans="20:21" ht="15" customHeight="1" x14ac:dyDescent="0.25">
      <c r="T11604" s="135"/>
      <c r="U11604" s="135"/>
    </row>
    <row r="11605" spans="20:21" ht="15" customHeight="1" x14ac:dyDescent="0.25">
      <c r="T11605" s="135"/>
      <c r="U11605" s="135"/>
    </row>
    <row r="11606" spans="20:21" ht="15" customHeight="1" x14ac:dyDescent="0.25">
      <c r="T11606" s="135"/>
      <c r="U11606" s="135"/>
    </row>
    <row r="11607" spans="20:21" ht="15" customHeight="1" x14ac:dyDescent="0.25">
      <c r="T11607" s="135"/>
      <c r="U11607" s="135"/>
    </row>
    <row r="11608" spans="20:21" ht="15" customHeight="1" x14ac:dyDescent="0.25">
      <c r="T11608" s="135"/>
      <c r="U11608" s="135"/>
    </row>
    <row r="11609" spans="20:21" ht="15" customHeight="1" x14ac:dyDescent="0.25">
      <c r="T11609" s="135"/>
      <c r="U11609" s="135"/>
    </row>
    <row r="11610" spans="20:21" ht="15" customHeight="1" x14ac:dyDescent="0.25">
      <c r="T11610" s="135"/>
      <c r="U11610" s="135"/>
    </row>
    <row r="11611" spans="20:21" ht="15" customHeight="1" x14ac:dyDescent="0.25">
      <c r="T11611" s="135"/>
      <c r="U11611" s="135"/>
    </row>
    <row r="11612" spans="20:21" ht="15" customHeight="1" x14ac:dyDescent="0.25">
      <c r="T11612" s="135"/>
      <c r="U11612" s="135"/>
    </row>
    <row r="11613" spans="20:21" ht="15" customHeight="1" x14ac:dyDescent="0.25">
      <c r="T11613" s="135"/>
      <c r="U11613" s="135"/>
    </row>
    <row r="11614" spans="20:21" ht="15" customHeight="1" x14ac:dyDescent="0.25">
      <c r="T11614" s="135"/>
      <c r="U11614" s="135"/>
    </row>
    <row r="11615" spans="20:21" ht="15" customHeight="1" x14ac:dyDescent="0.25">
      <c r="T11615" s="135"/>
      <c r="U11615" s="135"/>
    </row>
    <row r="11616" spans="20:21" ht="15" customHeight="1" x14ac:dyDescent="0.25">
      <c r="T11616" s="135"/>
      <c r="U11616" s="135"/>
    </row>
    <row r="11617" spans="20:21" ht="15" customHeight="1" x14ac:dyDescent="0.25">
      <c r="T11617" s="135"/>
      <c r="U11617" s="135"/>
    </row>
    <row r="11618" spans="20:21" ht="15" customHeight="1" x14ac:dyDescent="0.25">
      <c r="T11618" s="135"/>
      <c r="U11618" s="135"/>
    </row>
    <row r="11619" spans="20:21" ht="15" customHeight="1" x14ac:dyDescent="0.25">
      <c r="T11619" s="135"/>
      <c r="U11619" s="135"/>
    </row>
    <row r="11620" spans="20:21" ht="15" customHeight="1" x14ac:dyDescent="0.25">
      <c r="T11620" s="135"/>
      <c r="U11620" s="135"/>
    </row>
    <row r="11621" spans="20:21" ht="15" customHeight="1" x14ac:dyDescent="0.25">
      <c r="T11621" s="135"/>
      <c r="U11621" s="135"/>
    </row>
    <row r="11622" spans="20:21" ht="15" customHeight="1" x14ac:dyDescent="0.25">
      <c r="T11622" s="135"/>
      <c r="U11622" s="135"/>
    </row>
    <row r="11623" spans="20:21" ht="15" customHeight="1" x14ac:dyDescent="0.25">
      <c r="T11623" s="135"/>
      <c r="U11623" s="135"/>
    </row>
    <row r="11624" spans="20:21" ht="15" customHeight="1" x14ac:dyDescent="0.25">
      <c r="T11624" s="135"/>
      <c r="U11624" s="135"/>
    </row>
    <row r="11625" spans="20:21" ht="15" customHeight="1" x14ac:dyDescent="0.25">
      <c r="T11625" s="135"/>
      <c r="U11625" s="135"/>
    </row>
    <row r="11626" spans="20:21" ht="15" customHeight="1" x14ac:dyDescent="0.25">
      <c r="T11626" s="135"/>
      <c r="U11626" s="135"/>
    </row>
    <row r="11627" spans="20:21" ht="15" customHeight="1" x14ac:dyDescent="0.25">
      <c r="T11627" s="135"/>
      <c r="U11627" s="135"/>
    </row>
    <row r="11628" spans="20:21" ht="15" customHeight="1" x14ac:dyDescent="0.25">
      <c r="T11628" s="135"/>
      <c r="U11628" s="135"/>
    </row>
    <row r="11629" spans="20:21" ht="15" customHeight="1" x14ac:dyDescent="0.25">
      <c r="T11629" s="135"/>
      <c r="U11629" s="135"/>
    </row>
    <row r="11630" spans="20:21" ht="15" customHeight="1" x14ac:dyDescent="0.25">
      <c r="T11630" s="135"/>
      <c r="U11630" s="135"/>
    </row>
    <row r="11631" spans="20:21" ht="15" customHeight="1" x14ac:dyDescent="0.25">
      <c r="T11631" s="135"/>
      <c r="U11631" s="135"/>
    </row>
    <row r="11632" spans="20:21" ht="15" customHeight="1" x14ac:dyDescent="0.25">
      <c r="T11632" s="135"/>
      <c r="U11632" s="135"/>
    </row>
    <row r="11633" spans="20:21" ht="15" customHeight="1" x14ac:dyDescent="0.25">
      <c r="T11633" s="135"/>
      <c r="U11633" s="135"/>
    </row>
    <row r="11634" spans="20:21" ht="15" customHeight="1" x14ac:dyDescent="0.25">
      <c r="T11634" s="135"/>
      <c r="U11634" s="135"/>
    </row>
    <row r="11635" spans="20:21" ht="15" customHeight="1" x14ac:dyDescent="0.25">
      <c r="T11635" s="135"/>
      <c r="U11635" s="135"/>
    </row>
    <row r="11636" spans="20:21" ht="15" customHeight="1" x14ac:dyDescent="0.25">
      <c r="T11636" s="135"/>
      <c r="U11636" s="135"/>
    </row>
    <row r="11637" spans="20:21" ht="15" customHeight="1" x14ac:dyDescent="0.25">
      <c r="T11637" s="135"/>
      <c r="U11637" s="135"/>
    </row>
    <row r="11638" spans="20:21" ht="15" customHeight="1" x14ac:dyDescent="0.25">
      <c r="T11638" s="135"/>
      <c r="U11638" s="135"/>
    </row>
    <row r="11639" spans="20:21" ht="15" customHeight="1" x14ac:dyDescent="0.25">
      <c r="T11639" s="135"/>
      <c r="U11639" s="135"/>
    </row>
    <row r="11640" spans="20:21" ht="15" customHeight="1" x14ac:dyDescent="0.25">
      <c r="T11640" s="135"/>
      <c r="U11640" s="135"/>
    </row>
    <row r="11641" spans="20:21" ht="15" customHeight="1" x14ac:dyDescent="0.25">
      <c r="T11641" s="135"/>
      <c r="U11641" s="135"/>
    </row>
    <row r="11642" spans="20:21" ht="15" customHeight="1" x14ac:dyDescent="0.25">
      <c r="T11642" s="135"/>
      <c r="U11642" s="135"/>
    </row>
    <row r="11643" spans="20:21" ht="15" customHeight="1" x14ac:dyDescent="0.25">
      <c r="T11643" s="135"/>
      <c r="U11643" s="135"/>
    </row>
    <row r="11644" spans="20:21" ht="15" customHeight="1" x14ac:dyDescent="0.25">
      <c r="T11644" s="135"/>
      <c r="U11644" s="135"/>
    </row>
    <row r="11645" spans="20:21" ht="15" customHeight="1" x14ac:dyDescent="0.25">
      <c r="T11645" s="135"/>
      <c r="U11645" s="135"/>
    </row>
    <row r="11646" spans="20:21" ht="15" customHeight="1" x14ac:dyDescent="0.25">
      <c r="T11646" s="135"/>
      <c r="U11646" s="135"/>
    </row>
    <row r="11647" spans="20:21" ht="15" customHeight="1" x14ac:dyDescent="0.25">
      <c r="T11647" s="135"/>
      <c r="U11647" s="135"/>
    </row>
    <row r="11648" spans="20:21" ht="15" customHeight="1" x14ac:dyDescent="0.25">
      <c r="T11648" s="135"/>
      <c r="U11648" s="135"/>
    </row>
    <row r="11649" spans="20:21" ht="15" customHeight="1" x14ac:dyDescent="0.25">
      <c r="T11649" s="135"/>
      <c r="U11649" s="135"/>
    </row>
    <row r="11650" spans="20:21" ht="15" customHeight="1" x14ac:dyDescent="0.25">
      <c r="T11650" s="135"/>
      <c r="U11650" s="135"/>
    </row>
    <row r="11651" spans="20:21" ht="15" customHeight="1" x14ac:dyDescent="0.25">
      <c r="T11651" s="135"/>
      <c r="U11651" s="135"/>
    </row>
    <row r="11652" spans="20:21" ht="15" customHeight="1" x14ac:dyDescent="0.25">
      <c r="T11652" s="135"/>
      <c r="U11652" s="135"/>
    </row>
    <row r="11653" spans="20:21" ht="15" customHeight="1" x14ac:dyDescent="0.25">
      <c r="T11653" s="135"/>
      <c r="U11653" s="135"/>
    </row>
    <row r="11654" spans="20:21" ht="15" customHeight="1" x14ac:dyDescent="0.25">
      <c r="T11654" s="135"/>
      <c r="U11654" s="135"/>
    </row>
    <row r="11655" spans="20:21" ht="15" customHeight="1" x14ac:dyDescent="0.25">
      <c r="T11655" s="135"/>
      <c r="U11655" s="135"/>
    </row>
    <row r="11656" spans="20:21" ht="15" customHeight="1" x14ac:dyDescent="0.25">
      <c r="T11656" s="135"/>
      <c r="U11656" s="135"/>
    </row>
    <row r="11657" spans="20:21" ht="15" customHeight="1" x14ac:dyDescent="0.25">
      <c r="T11657" s="135"/>
      <c r="U11657" s="135"/>
    </row>
    <row r="11658" spans="20:21" ht="15" customHeight="1" x14ac:dyDescent="0.25">
      <c r="T11658" s="135"/>
      <c r="U11658" s="135"/>
    </row>
    <row r="11659" spans="20:21" ht="15" customHeight="1" x14ac:dyDescent="0.25">
      <c r="T11659" s="135"/>
      <c r="U11659" s="135"/>
    </row>
    <row r="11660" spans="20:21" ht="15" customHeight="1" x14ac:dyDescent="0.25">
      <c r="T11660" s="135"/>
      <c r="U11660" s="135"/>
    </row>
    <row r="11661" spans="20:21" ht="15" customHeight="1" x14ac:dyDescent="0.25">
      <c r="T11661" s="135"/>
      <c r="U11661" s="135"/>
    </row>
    <row r="11662" spans="20:21" ht="15" customHeight="1" x14ac:dyDescent="0.25">
      <c r="T11662" s="135"/>
      <c r="U11662" s="135"/>
    </row>
    <row r="11663" spans="20:21" ht="15" customHeight="1" x14ac:dyDescent="0.25">
      <c r="T11663" s="135"/>
      <c r="U11663" s="135"/>
    </row>
    <row r="11664" spans="20:21" ht="15" customHeight="1" x14ac:dyDescent="0.25">
      <c r="T11664" s="135"/>
      <c r="U11664" s="135"/>
    </row>
    <row r="11665" spans="20:21" ht="15" customHeight="1" x14ac:dyDescent="0.25">
      <c r="T11665" s="135"/>
      <c r="U11665" s="135"/>
    </row>
    <row r="11666" spans="20:21" ht="15" customHeight="1" x14ac:dyDescent="0.25">
      <c r="T11666" s="135"/>
      <c r="U11666" s="135"/>
    </row>
    <row r="11667" spans="20:21" ht="15" customHeight="1" x14ac:dyDescent="0.25">
      <c r="T11667" s="135"/>
      <c r="U11667" s="135"/>
    </row>
    <row r="11668" spans="20:21" ht="15" customHeight="1" x14ac:dyDescent="0.25">
      <c r="T11668" s="135"/>
      <c r="U11668" s="135"/>
    </row>
    <row r="11669" spans="20:21" ht="15" customHeight="1" x14ac:dyDescent="0.25">
      <c r="T11669" s="135"/>
      <c r="U11669" s="135"/>
    </row>
    <row r="11670" spans="20:21" ht="15" customHeight="1" x14ac:dyDescent="0.25">
      <c r="T11670" s="135"/>
      <c r="U11670" s="135"/>
    </row>
    <row r="11671" spans="20:21" ht="15" customHeight="1" x14ac:dyDescent="0.25">
      <c r="T11671" s="135"/>
      <c r="U11671" s="135"/>
    </row>
    <row r="11672" spans="20:21" ht="15" customHeight="1" x14ac:dyDescent="0.25">
      <c r="T11672" s="135"/>
      <c r="U11672" s="135"/>
    </row>
    <row r="11673" spans="20:21" ht="15" customHeight="1" x14ac:dyDescent="0.25">
      <c r="T11673" s="135"/>
      <c r="U11673" s="135"/>
    </row>
    <row r="11674" spans="20:21" ht="15" customHeight="1" x14ac:dyDescent="0.25">
      <c r="T11674" s="135"/>
      <c r="U11674" s="135"/>
    </row>
    <row r="11675" spans="20:21" ht="15" customHeight="1" x14ac:dyDescent="0.25">
      <c r="T11675" s="135"/>
      <c r="U11675" s="135"/>
    </row>
    <row r="11676" spans="20:21" ht="15" customHeight="1" x14ac:dyDescent="0.25">
      <c r="T11676" s="135"/>
      <c r="U11676" s="135"/>
    </row>
    <row r="11677" spans="20:21" ht="15" customHeight="1" x14ac:dyDescent="0.25">
      <c r="T11677" s="135"/>
      <c r="U11677" s="135"/>
    </row>
    <row r="11678" spans="20:21" ht="15" customHeight="1" x14ac:dyDescent="0.25">
      <c r="T11678" s="135"/>
      <c r="U11678" s="135"/>
    </row>
    <row r="11679" spans="20:21" ht="15" customHeight="1" x14ac:dyDescent="0.25">
      <c r="T11679" s="135"/>
      <c r="U11679" s="135"/>
    </row>
    <row r="11680" spans="20:21" ht="15" customHeight="1" x14ac:dyDescent="0.25">
      <c r="T11680" s="135"/>
      <c r="U11680" s="135"/>
    </row>
    <row r="11681" spans="20:21" ht="15" customHeight="1" x14ac:dyDescent="0.25">
      <c r="T11681" s="135"/>
      <c r="U11681" s="135"/>
    </row>
    <row r="11682" spans="20:21" ht="15" customHeight="1" x14ac:dyDescent="0.25">
      <c r="T11682" s="135"/>
      <c r="U11682" s="135"/>
    </row>
    <row r="11683" spans="20:21" ht="15" customHeight="1" x14ac:dyDescent="0.25">
      <c r="T11683" s="135"/>
      <c r="U11683" s="135"/>
    </row>
    <row r="11684" spans="20:21" ht="15" customHeight="1" x14ac:dyDescent="0.25">
      <c r="T11684" s="135"/>
      <c r="U11684" s="135"/>
    </row>
    <row r="11685" spans="20:21" ht="15" customHeight="1" x14ac:dyDescent="0.25">
      <c r="T11685" s="135"/>
      <c r="U11685" s="135"/>
    </row>
    <row r="11686" spans="20:21" ht="15" customHeight="1" x14ac:dyDescent="0.25">
      <c r="T11686" s="135"/>
      <c r="U11686" s="135"/>
    </row>
    <row r="11687" spans="20:21" ht="15" customHeight="1" x14ac:dyDescent="0.25">
      <c r="T11687" s="135"/>
      <c r="U11687" s="135"/>
    </row>
    <row r="11688" spans="20:21" ht="15" customHeight="1" x14ac:dyDescent="0.25">
      <c r="T11688" s="135"/>
      <c r="U11688" s="135"/>
    </row>
    <row r="11689" spans="20:21" ht="15" customHeight="1" x14ac:dyDescent="0.25">
      <c r="T11689" s="135"/>
      <c r="U11689" s="135"/>
    </row>
    <row r="11690" spans="20:21" ht="15" customHeight="1" x14ac:dyDescent="0.25">
      <c r="T11690" s="135"/>
      <c r="U11690" s="135"/>
    </row>
    <row r="11691" spans="20:21" ht="15" customHeight="1" x14ac:dyDescent="0.25">
      <c r="T11691" s="135"/>
      <c r="U11691" s="135"/>
    </row>
    <row r="11692" spans="20:21" ht="15" customHeight="1" x14ac:dyDescent="0.25">
      <c r="T11692" s="135"/>
      <c r="U11692" s="135"/>
    </row>
    <row r="11693" spans="20:21" ht="15" customHeight="1" x14ac:dyDescent="0.25">
      <c r="T11693" s="135"/>
      <c r="U11693" s="135"/>
    </row>
    <row r="11694" spans="20:21" ht="15" customHeight="1" x14ac:dyDescent="0.25">
      <c r="T11694" s="135"/>
      <c r="U11694" s="135"/>
    </row>
    <row r="11695" spans="20:21" ht="15" customHeight="1" x14ac:dyDescent="0.25">
      <c r="T11695" s="135"/>
      <c r="U11695" s="135"/>
    </row>
    <row r="11696" spans="20:21" ht="15" customHeight="1" x14ac:dyDescent="0.25">
      <c r="T11696" s="135"/>
      <c r="U11696" s="135"/>
    </row>
    <row r="11697" spans="20:21" ht="15" customHeight="1" x14ac:dyDescent="0.25">
      <c r="T11697" s="135"/>
      <c r="U11697" s="135"/>
    </row>
    <row r="11698" spans="20:21" ht="15" customHeight="1" x14ac:dyDescent="0.25">
      <c r="T11698" s="135"/>
      <c r="U11698" s="135"/>
    </row>
    <row r="11699" spans="20:21" ht="15" customHeight="1" x14ac:dyDescent="0.25">
      <c r="T11699" s="135"/>
      <c r="U11699" s="135"/>
    </row>
    <row r="11700" spans="20:21" ht="15" customHeight="1" x14ac:dyDescent="0.25">
      <c r="T11700" s="135"/>
      <c r="U11700" s="135"/>
    </row>
    <row r="11701" spans="20:21" ht="15" customHeight="1" x14ac:dyDescent="0.25">
      <c r="T11701" s="135"/>
      <c r="U11701" s="135"/>
    </row>
    <row r="11702" spans="20:21" ht="15" customHeight="1" x14ac:dyDescent="0.25">
      <c r="T11702" s="135"/>
      <c r="U11702" s="135"/>
    </row>
    <row r="11703" spans="20:21" ht="15" customHeight="1" x14ac:dyDescent="0.25">
      <c r="T11703" s="135"/>
      <c r="U11703" s="135"/>
    </row>
    <row r="11704" spans="20:21" ht="15" customHeight="1" x14ac:dyDescent="0.25">
      <c r="T11704" s="135"/>
      <c r="U11704" s="135"/>
    </row>
    <row r="11705" spans="20:21" ht="15" customHeight="1" x14ac:dyDescent="0.25">
      <c r="T11705" s="135"/>
      <c r="U11705" s="135"/>
    </row>
    <row r="11706" spans="20:21" ht="15" customHeight="1" x14ac:dyDescent="0.25">
      <c r="T11706" s="135"/>
      <c r="U11706" s="135"/>
    </row>
    <row r="11707" spans="20:21" ht="15" customHeight="1" x14ac:dyDescent="0.25">
      <c r="T11707" s="135"/>
      <c r="U11707" s="135"/>
    </row>
    <row r="11708" spans="20:21" ht="15" customHeight="1" x14ac:dyDescent="0.25">
      <c r="T11708" s="135"/>
      <c r="U11708" s="135"/>
    </row>
    <row r="11709" spans="20:21" ht="15" customHeight="1" x14ac:dyDescent="0.25">
      <c r="T11709" s="135"/>
      <c r="U11709" s="135"/>
    </row>
    <row r="11710" spans="20:21" ht="15" customHeight="1" x14ac:dyDescent="0.25">
      <c r="T11710" s="135"/>
      <c r="U11710" s="135"/>
    </row>
    <row r="11711" spans="20:21" ht="15" customHeight="1" x14ac:dyDescent="0.25">
      <c r="T11711" s="135"/>
      <c r="U11711" s="135"/>
    </row>
    <row r="11712" spans="20:21" ht="15" customHeight="1" x14ac:dyDescent="0.25">
      <c r="T11712" s="135"/>
      <c r="U11712" s="135"/>
    </row>
    <row r="11713" spans="20:21" ht="15" customHeight="1" x14ac:dyDescent="0.25">
      <c r="T11713" s="135"/>
      <c r="U11713" s="135"/>
    </row>
    <row r="11714" spans="20:21" ht="15" customHeight="1" x14ac:dyDescent="0.25">
      <c r="T11714" s="135"/>
      <c r="U11714" s="135"/>
    </row>
    <row r="11715" spans="20:21" ht="15" customHeight="1" x14ac:dyDescent="0.25">
      <c r="T11715" s="135"/>
      <c r="U11715" s="135"/>
    </row>
    <row r="11716" spans="20:21" ht="15" customHeight="1" x14ac:dyDescent="0.25">
      <c r="T11716" s="135"/>
      <c r="U11716" s="135"/>
    </row>
    <row r="11717" spans="20:21" ht="15" customHeight="1" x14ac:dyDescent="0.25">
      <c r="T11717" s="135"/>
      <c r="U11717" s="135"/>
    </row>
    <row r="11718" spans="20:21" ht="15" customHeight="1" x14ac:dyDescent="0.25">
      <c r="T11718" s="135"/>
      <c r="U11718" s="135"/>
    </row>
    <row r="11719" spans="20:21" ht="15" customHeight="1" x14ac:dyDescent="0.25">
      <c r="T11719" s="135"/>
      <c r="U11719" s="135"/>
    </row>
    <row r="11720" spans="20:21" ht="15" customHeight="1" x14ac:dyDescent="0.25">
      <c r="T11720" s="135"/>
      <c r="U11720" s="135"/>
    </row>
    <row r="11721" spans="20:21" ht="15" customHeight="1" x14ac:dyDescent="0.25">
      <c r="T11721" s="135"/>
      <c r="U11721" s="135"/>
    </row>
    <row r="11722" spans="20:21" ht="15" customHeight="1" x14ac:dyDescent="0.25">
      <c r="T11722" s="135"/>
      <c r="U11722" s="135"/>
    </row>
    <row r="11723" spans="20:21" ht="15" customHeight="1" x14ac:dyDescent="0.25">
      <c r="T11723" s="135"/>
      <c r="U11723" s="135"/>
    </row>
    <row r="11724" spans="20:21" ht="15" customHeight="1" x14ac:dyDescent="0.25">
      <c r="T11724" s="135"/>
      <c r="U11724" s="135"/>
    </row>
    <row r="11725" spans="20:21" ht="15" customHeight="1" x14ac:dyDescent="0.25">
      <c r="T11725" s="135"/>
      <c r="U11725" s="135"/>
    </row>
    <row r="11726" spans="20:21" ht="15" customHeight="1" x14ac:dyDescent="0.25">
      <c r="T11726" s="135"/>
      <c r="U11726" s="135"/>
    </row>
    <row r="11727" spans="20:21" ht="15" customHeight="1" x14ac:dyDescent="0.25">
      <c r="T11727" s="135"/>
      <c r="U11727" s="135"/>
    </row>
    <row r="11728" spans="20:21" ht="15" customHeight="1" x14ac:dyDescent="0.25">
      <c r="T11728" s="135"/>
      <c r="U11728" s="135"/>
    </row>
    <row r="11729" spans="20:21" ht="15" customHeight="1" x14ac:dyDescent="0.25">
      <c r="T11729" s="135"/>
      <c r="U11729" s="135"/>
    </row>
    <row r="11730" spans="20:21" ht="15" customHeight="1" x14ac:dyDescent="0.25">
      <c r="T11730" s="135"/>
      <c r="U11730" s="135"/>
    </row>
    <row r="11731" spans="20:21" ht="15" customHeight="1" x14ac:dyDescent="0.25">
      <c r="T11731" s="135"/>
      <c r="U11731" s="135"/>
    </row>
    <row r="11732" spans="20:21" ht="15" customHeight="1" x14ac:dyDescent="0.25">
      <c r="T11732" s="135"/>
      <c r="U11732" s="135"/>
    </row>
    <row r="11733" spans="20:21" ht="15" customHeight="1" x14ac:dyDescent="0.25">
      <c r="T11733" s="135"/>
      <c r="U11733" s="135"/>
    </row>
    <row r="11734" spans="20:21" ht="15" customHeight="1" x14ac:dyDescent="0.25">
      <c r="T11734" s="135"/>
      <c r="U11734" s="135"/>
    </row>
    <row r="11735" spans="20:21" ht="15" customHeight="1" x14ac:dyDescent="0.25">
      <c r="T11735" s="135"/>
      <c r="U11735" s="135"/>
    </row>
    <row r="11736" spans="20:21" ht="15" customHeight="1" x14ac:dyDescent="0.25">
      <c r="T11736" s="135"/>
      <c r="U11736" s="135"/>
    </row>
    <row r="11737" spans="20:21" ht="15" customHeight="1" x14ac:dyDescent="0.25">
      <c r="T11737" s="135"/>
      <c r="U11737" s="135"/>
    </row>
    <row r="11738" spans="20:21" ht="15" customHeight="1" x14ac:dyDescent="0.25">
      <c r="T11738" s="135"/>
      <c r="U11738" s="135"/>
    </row>
    <row r="11739" spans="20:21" ht="15" customHeight="1" x14ac:dyDescent="0.25">
      <c r="T11739" s="135"/>
      <c r="U11739" s="135"/>
    </row>
    <row r="11740" spans="20:21" ht="15" customHeight="1" x14ac:dyDescent="0.25">
      <c r="T11740" s="135"/>
      <c r="U11740" s="135"/>
    </row>
    <row r="11741" spans="20:21" ht="15" customHeight="1" x14ac:dyDescent="0.25">
      <c r="T11741" s="135"/>
      <c r="U11741" s="135"/>
    </row>
    <row r="11742" spans="20:21" ht="15" customHeight="1" x14ac:dyDescent="0.25">
      <c r="T11742" s="135"/>
      <c r="U11742" s="135"/>
    </row>
    <row r="11743" spans="20:21" ht="15" customHeight="1" x14ac:dyDescent="0.25">
      <c r="T11743" s="135"/>
      <c r="U11743" s="135"/>
    </row>
    <row r="11744" spans="20:21" ht="15" customHeight="1" x14ac:dyDescent="0.25">
      <c r="T11744" s="135"/>
      <c r="U11744" s="135"/>
    </row>
    <row r="11745" spans="20:21" ht="15" customHeight="1" x14ac:dyDescent="0.25">
      <c r="T11745" s="135"/>
      <c r="U11745" s="135"/>
    </row>
    <row r="11746" spans="20:21" ht="15" customHeight="1" x14ac:dyDescent="0.25">
      <c r="T11746" s="135"/>
      <c r="U11746" s="135"/>
    </row>
    <row r="11747" spans="20:21" ht="15" customHeight="1" x14ac:dyDescent="0.25">
      <c r="T11747" s="135"/>
      <c r="U11747" s="135"/>
    </row>
    <row r="11748" spans="20:21" ht="15" customHeight="1" x14ac:dyDescent="0.25">
      <c r="T11748" s="135"/>
      <c r="U11748" s="135"/>
    </row>
    <row r="11749" spans="20:21" ht="15" customHeight="1" x14ac:dyDescent="0.25">
      <c r="T11749" s="135"/>
      <c r="U11749" s="135"/>
    </row>
    <row r="11750" spans="20:21" ht="15" customHeight="1" x14ac:dyDescent="0.25">
      <c r="T11750" s="135"/>
      <c r="U11750" s="135"/>
    </row>
    <row r="11751" spans="20:21" ht="15" customHeight="1" x14ac:dyDescent="0.25">
      <c r="T11751" s="135"/>
      <c r="U11751" s="135"/>
    </row>
    <row r="11752" spans="20:21" ht="15" customHeight="1" x14ac:dyDescent="0.25">
      <c r="T11752" s="135"/>
      <c r="U11752" s="135"/>
    </row>
    <row r="11753" spans="20:21" ht="15" customHeight="1" x14ac:dyDescent="0.25">
      <c r="T11753" s="135"/>
      <c r="U11753" s="135"/>
    </row>
    <row r="11754" spans="20:21" ht="15" customHeight="1" x14ac:dyDescent="0.25">
      <c r="T11754" s="135"/>
      <c r="U11754" s="135"/>
    </row>
    <row r="11755" spans="20:21" ht="15" customHeight="1" x14ac:dyDescent="0.25">
      <c r="T11755" s="135"/>
      <c r="U11755" s="135"/>
    </row>
    <row r="11756" spans="20:21" ht="15" customHeight="1" x14ac:dyDescent="0.25">
      <c r="T11756" s="135"/>
      <c r="U11756" s="135"/>
    </row>
    <row r="11757" spans="20:21" ht="15" customHeight="1" x14ac:dyDescent="0.25">
      <c r="T11757" s="135"/>
      <c r="U11757" s="135"/>
    </row>
    <row r="11758" spans="20:21" ht="15" customHeight="1" x14ac:dyDescent="0.25">
      <c r="T11758" s="135"/>
      <c r="U11758" s="135"/>
    </row>
    <row r="11759" spans="20:21" ht="15" customHeight="1" x14ac:dyDescent="0.25">
      <c r="T11759" s="135"/>
      <c r="U11759" s="135"/>
    </row>
    <row r="11760" spans="20:21" ht="15" customHeight="1" x14ac:dyDescent="0.25">
      <c r="T11760" s="135"/>
      <c r="U11760" s="135"/>
    </row>
    <row r="11761" spans="20:21" ht="15" customHeight="1" x14ac:dyDescent="0.25">
      <c r="T11761" s="135"/>
      <c r="U11761" s="135"/>
    </row>
    <row r="11762" spans="20:21" ht="15" customHeight="1" x14ac:dyDescent="0.25">
      <c r="T11762" s="135"/>
      <c r="U11762" s="135"/>
    </row>
    <row r="11763" spans="20:21" ht="15" customHeight="1" x14ac:dyDescent="0.25">
      <c r="T11763" s="135"/>
      <c r="U11763" s="135"/>
    </row>
    <row r="11764" spans="20:21" ht="15" customHeight="1" x14ac:dyDescent="0.25">
      <c r="T11764" s="135"/>
      <c r="U11764" s="135"/>
    </row>
    <row r="11765" spans="20:21" ht="15" customHeight="1" x14ac:dyDescent="0.25">
      <c r="T11765" s="135"/>
      <c r="U11765" s="135"/>
    </row>
    <row r="11766" spans="20:21" ht="15" customHeight="1" x14ac:dyDescent="0.25">
      <c r="T11766" s="135"/>
      <c r="U11766" s="135"/>
    </row>
    <row r="11767" spans="20:21" ht="15" customHeight="1" x14ac:dyDescent="0.25">
      <c r="T11767" s="135"/>
      <c r="U11767" s="135"/>
    </row>
    <row r="11768" spans="20:21" ht="15" customHeight="1" x14ac:dyDescent="0.25">
      <c r="T11768" s="135"/>
      <c r="U11768" s="135"/>
    </row>
    <row r="11769" spans="20:21" ht="15" customHeight="1" x14ac:dyDescent="0.25">
      <c r="T11769" s="135"/>
      <c r="U11769" s="135"/>
    </row>
    <row r="11770" spans="20:21" ht="15" customHeight="1" x14ac:dyDescent="0.25">
      <c r="T11770" s="135"/>
      <c r="U11770" s="135"/>
    </row>
    <row r="11771" spans="20:21" ht="15" customHeight="1" x14ac:dyDescent="0.25">
      <c r="T11771" s="135"/>
      <c r="U11771" s="135"/>
    </row>
    <row r="11772" spans="20:21" ht="15" customHeight="1" x14ac:dyDescent="0.25">
      <c r="T11772" s="135"/>
      <c r="U11772" s="135"/>
    </row>
    <row r="11773" spans="20:21" ht="15" customHeight="1" x14ac:dyDescent="0.25">
      <c r="T11773" s="135"/>
      <c r="U11773" s="135"/>
    </row>
    <row r="11774" spans="20:21" ht="15" customHeight="1" x14ac:dyDescent="0.25">
      <c r="T11774" s="135"/>
      <c r="U11774" s="135"/>
    </row>
    <row r="11775" spans="20:21" ht="15" customHeight="1" x14ac:dyDescent="0.25">
      <c r="T11775" s="135"/>
      <c r="U11775" s="135"/>
    </row>
    <row r="11776" spans="20:21" ht="15" customHeight="1" x14ac:dyDescent="0.25">
      <c r="T11776" s="135"/>
      <c r="U11776" s="135"/>
    </row>
    <row r="11777" spans="20:21" ht="15" customHeight="1" x14ac:dyDescent="0.25">
      <c r="T11777" s="135"/>
      <c r="U11777" s="135"/>
    </row>
    <row r="11778" spans="20:21" ht="15" customHeight="1" x14ac:dyDescent="0.25">
      <c r="T11778" s="135"/>
      <c r="U11778" s="135"/>
    </row>
    <row r="11779" spans="20:21" ht="15" customHeight="1" x14ac:dyDescent="0.25">
      <c r="T11779" s="135"/>
      <c r="U11779" s="135"/>
    </row>
    <row r="11780" spans="20:21" ht="15" customHeight="1" x14ac:dyDescent="0.25">
      <c r="T11780" s="135"/>
      <c r="U11780" s="135"/>
    </row>
    <row r="11781" spans="20:21" ht="15" customHeight="1" x14ac:dyDescent="0.25">
      <c r="T11781" s="135"/>
      <c r="U11781" s="135"/>
    </row>
    <row r="11782" spans="20:21" ht="15" customHeight="1" x14ac:dyDescent="0.25">
      <c r="T11782" s="135"/>
      <c r="U11782" s="135"/>
    </row>
    <row r="11783" spans="20:21" ht="15" customHeight="1" x14ac:dyDescent="0.25">
      <c r="T11783" s="135"/>
      <c r="U11783" s="135"/>
    </row>
    <row r="11784" spans="20:21" ht="15" customHeight="1" x14ac:dyDescent="0.25">
      <c r="T11784" s="135"/>
      <c r="U11784" s="135"/>
    </row>
    <row r="11785" spans="20:21" ht="15" customHeight="1" x14ac:dyDescent="0.25">
      <c r="T11785" s="135"/>
      <c r="U11785" s="135"/>
    </row>
    <row r="11786" spans="20:21" ht="15" customHeight="1" x14ac:dyDescent="0.25">
      <c r="T11786" s="135"/>
      <c r="U11786" s="135"/>
    </row>
    <row r="11787" spans="20:21" ht="15" customHeight="1" x14ac:dyDescent="0.25">
      <c r="T11787" s="135"/>
      <c r="U11787" s="135"/>
    </row>
    <row r="11788" spans="20:21" ht="15" customHeight="1" x14ac:dyDescent="0.25">
      <c r="T11788" s="135"/>
      <c r="U11788" s="135"/>
    </row>
    <row r="11789" spans="20:21" ht="15" customHeight="1" x14ac:dyDescent="0.25">
      <c r="T11789" s="135"/>
      <c r="U11789" s="135"/>
    </row>
    <row r="11790" spans="20:21" ht="15" customHeight="1" x14ac:dyDescent="0.25">
      <c r="T11790" s="135"/>
      <c r="U11790" s="135"/>
    </row>
    <row r="11791" spans="20:21" ht="15" customHeight="1" x14ac:dyDescent="0.25">
      <c r="T11791" s="135"/>
      <c r="U11791" s="135"/>
    </row>
    <row r="11792" spans="20:21" ht="15" customHeight="1" x14ac:dyDescent="0.25">
      <c r="T11792" s="135"/>
      <c r="U11792" s="135"/>
    </row>
    <row r="11793" spans="20:21" ht="15" customHeight="1" x14ac:dyDescent="0.25">
      <c r="T11793" s="135"/>
      <c r="U11793" s="135"/>
    </row>
    <row r="11794" spans="20:21" ht="15" customHeight="1" x14ac:dyDescent="0.25">
      <c r="T11794" s="135"/>
      <c r="U11794" s="135"/>
    </row>
    <row r="11795" spans="20:21" ht="15" customHeight="1" x14ac:dyDescent="0.25">
      <c r="T11795" s="135"/>
      <c r="U11795" s="135"/>
    </row>
    <row r="11796" spans="20:21" ht="15" customHeight="1" x14ac:dyDescent="0.25">
      <c r="T11796" s="135"/>
      <c r="U11796" s="135"/>
    </row>
    <row r="11797" spans="20:21" ht="15" customHeight="1" x14ac:dyDescent="0.25">
      <c r="T11797" s="135"/>
      <c r="U11797" s="135"/>
    </row>
    <row r="11798" spans="20:21" ht="15" customHeight="1" x14ac:dyDescent="0.25">
      <c r="T11798" s="135"/>
      <c r="U11798" s="135"/>
    </row>
    <row r="11799" spans="20:21" ht="15" customHeight="1" x14ac:dyDescent="0.25">
      <c r="T11799" s="135"/>
      <c r="U11799" s="135"/>
    </row>
    <row r="11800" spans="20:21" ht="15" customHeight="1" x14ac:dyDescent="0.25">
      <c r="T11800" s="135"/>
      <c r="U11800" s="135"/>
    </row>
    <row r="11801" spans="20:21" ht="15" customHeight="1" x14ac:dyDescent="0.25">
      <c r="T11801" s="135"/>
      <c r="U11801" s="135"/>
    </row>
    <row r="11802" spans="20:21" ht="15" customHeight="1" x14ac:dyDescent="0.25">
      <c r="T11802" s="135"/>
      <c r="U11802" s="135"/>
    </row>
    <row r="11803" spans="20:21" ht="15" customHeight="1" x14ac:dyDescent="0.25">
      <c r="T11803" s="135"/>
      <c r="U11803" s="135"/>
    </row>
    <row r="11804" spans="20:21" ht="15" customHeight="1" x14ac:dyDescent="0.25">
      <c r="T11804" s="135"/>
      <c r="U11804" s="135"/>
    </row>
    <row r="11805" spans="20:21" ht="15" customHeight="1" x14ac:dyDescent="0.25">
      <c r="T11805" s="135"/>
      <c r="U11805" s="135"/>
    </row>
    <row r="11806" spans="20:21" ht="15" customHeight="1" x14ac:dyDescent="0.25">
      <c r="T11806" s="135"/>
      <c r="U11806" s="135"/>
    </row>
    <row r="11807" spans="20:21" ht="15" customHeight="1" x14ac:dyDescent="0.25">
      <c r="T11807" s="135"/>
      <c r="U11807" s="135"/>
    </row>
    <row r="11808" spans="20:21" ht="15" customHeight="1" x14ac:dyDescent="0.25">
      <c r="T11808" s="135"/>
      <c r="U11808" s="135"/>
    </row>
    <row r="11809" spans="20:21" ht="15" customHeight="1" x14ac:dyDescent="0.25">
      <c r="T11809" s="135"/>
      <c r="U11809" s="135"/>
    </row>
    <row r="11810" spans="20:21" ht="15" customHeight="1" x14ac:dyDescent="0.25">
      <c r="T11810" s="135"/>
      <c r="U11810" s="135"/>
    </row>
    <row r="11811" spans="20:21" ht="15" customHeight="1" x14ac:dyDescent="0.25">
      <c r="T11811" s="135"/>
      <c r="U11811" s="135"/>
    </row>
    <row r="11812" spans="20:21" ht="15" customHeight="1" x14ac:dyDescent="0.25">
      <c r="T11812" s="135"/>
      <c r="U11812" s="135"/>
    </row>
    <row r="11813" spans="20:21" ht="15" customHeight="1" x14ac:dyDescent="0.25">
      <c r="T11813" s="135"/>
      <c r="U11813" s="135"/>
    </row>
    <row r="11814" spans="20:21" ht="15" customHeight="1" x14ac:dyDescent="0.25">
      <c r="T11814" s="135"/>
      <c r="U11814" s="135"/>
    </row>
    <row r="11815" spans="20:21" ht="15" customHeight="1" x14ac:dyDescent="0.25">
      <c r="T11815" s="135"/>
      <c r="U11815" s="135"/>
    </row>
    <row r="11816" spans="20:21" ht="15" customHeight="1" x14ac:dyDescent="0.25">
      <c r="T11816" s="135"/>
      <c r="U11816" s="135"/>
    </row>
    <row r="11817" spans="20:21" ht="15" customHeight="1" x14ac:dyDescent="0.25">
      <c r="T11817" s="135"/>
      <c r="U11817" s="135"/>
    </row>
    <row r="11818" spans="20:21" ht="15" customHeight="1" x14ac:dyDescent="0.25">
      <c r="T11818" s="135"/>
      <c r="U11818" s="135"/>
    </row>
    <row r="11819" spans="20:21" ht="15" customHeight="1" x14ac:dyDescent="0.25">
      <c r="T11819" s="135"/>
      <c r="U11819" s="135"/>
    </row>
    <row r="11820" spans="20:21" ht="15" customHeight="1" x14ac:dyDescent="0.25">
      <c r="T11820" s="135"/>
      <c r="U11820" s="135"/>
    </row>
    <row r="11821" spans="20:21" ht="15" customHeight="1" x14ac:dyDescent="0.25">
      <c r="T11821" s="135"/>
      <c r="U11821" s="135"/>
    </row>
    <row r="11822" spans="20:21" ht="15" customHeight="1" x14ac:dyDescent="0.25">
      <c r="T11822" s="135"/>
      <c r="U11822" s="135"/>
    </row>
    <row r="11823" spans="20:21" ht="15" customHeight="1" x14ac:dyDescent="0.25">
      <c r="T11823" s="135"/>
      <c r="U11823" s="135"/>
    </row>
    <row r="11824" spans="20:21" ht="15" customHeight="1" x14ac:dyDescent="0.25">
      <c r="T11824" s="135"/>
      <c r="U11824" s="135"/>
    </row>
    <row r="11825" spans="20:21" ht="15" customHeight="1" x14ac:dyDescent="0.25">
      <c r="T11825" s="135"/>
      <c r="U11825" s="135"/>
    </row>
    <row r="11826" spans="20:21" ht="15" customHeight="1" x14ac:dyDescent="0.25">
      <c r="T11826" s="135"/>
      <c r="U11826" s="135"/>
    </row>
    <row r="11827" spans="20:21" ht="15" customHeight="1" x14ac:dyDescent="0.25">
      <c r="T11827" s="135"/>
      <c r="U11827" s="135"/>
    </row>
    <row r="11828" spans="20:21" ht="15" customHeight="1" x14ac:dyDescent="0.25">
      <c r="T11828" s="135"/>
      <c r="U11828" s="135"/>
    </row>
    <row r="11829" spans="20:21" ht="15" customHeight="1" x14ac:dyDescent="0.25">
      <c r="T11829" s="135"/>
      <c r="U11829" s="135"/>
    </row>
    <row r="11830" spans="20:21" ht="15" customHeight="1" x14ac:dyDescent="0.25">
      <c r="T11830" s="135"/>
      <c r="U11830" s="135"/>
    </row>
    <row r="11831" spans="20:21" ht="15" customHeight="1" x14ac:dyDescent="0.25">
      <c r="T11831" s="135"/>
      <c r="U11831" s="135"/>
    </row>
    <row r="11832" spans="20:21" ht="15" customHeight="1" x14ac:dyDescent="0.25">
      <c r="T11832" s="135"/>
      <c r="U11832" s="135"/>
    </row>
    <row r="11833" spans="20:21" ht="15" customHeight="1" x14ac:dyDescent="0.25">
      <c r="T11833" s="135"/>
      <c r="U11833" s="135"/>
    </row>
    <row r="11834" spans="20:21" ht="15" customHeight="1" x14ac:dyDescent="0.25">
      <c r="T11834" s="135"/>
      <c r="U11834" s="135"/>
    </row>
    <row r="11835" spans="20:21" ht="15" customHeight="1" x14ac:dyDescent="0.25">
      <c r="T11835" s="135"/>
      <c r="U11835" s="135"/>
    </row>
    <row r="11836" spans="20:21" ht="15" customHeight="1" x14ac:dyDescent="0.25">
      <c r="T11836" s="135"/>
      <c r="U11836" s="135"/>
    </row>
    <row r="11837" spans="20:21" ht="15" customHeight="1" x14ac:dyDescent="0.25">
      <c r="T11837" s="135"/>
      <c r="U11837" s="135"/>
    </row>
    <row r="11838" spans="20:21" ht="15" customHeight="1" x14ac:dyDescent="0.25">
      <c r="T11838" s="135"/>
      <c r="U11838" s="135"/>
    </row>
    <row r="11839" spans="20:21" ht="15" customHeight="1" x14ac:dyDescent="0.25">
      <c r="T11839" s="135"/>
      <c r="U11839" s="135"/>
    </row>
    <row r="11840" spans="20:21" ht="15" customHeight="1" x14ac:dyDescent="0.25">
      <c r="T11840" s="135"/>
      <c r="U11840" s="135"/>
    </row>
    <row r="11841" spans="20:21" ht="15" customHeight="1" x14ac:dyDescent="0.25">
      <c r="T11841" s="135"/>
      <c r="U11841" s="135"/>
    </row>
    <row r="11842" spans="20:21" ht="15" customHeight="1" x14ac:dyDescent="0.25">
      <c r="T11842" s="135"/>
      <c r="U11842" s="135"/>
    </row>
    <row r="11843" spans="20:21" ht="15" customHeight="1" x14ac:dyDescent="0.25">
      <c r="T11843" s="135"/>
      <c r="U11843" s="135"/>
    </row>
    <row r="11844" spans="20:21" ht="15" customHeight="1" x14ac:dyDescent="0.25">
      <c r="T11844" s="135"/>
      <c r="U11844" s="135"/>
    </row>
    <row r="11845" spans="20:21" ht="15" customHeight="1" x14ac:dyDescent="0.25">
      <c r="T11845" s="135"/>
      <c r="U11845" s="135"/>
    </row>
    <row r="11846" spans="20:21" ht="15" customHeight="1" x14ac:dyDescent="0.25">
      <c r="T11846" s="135"/>
      <c r="U11846" s="135"/>
    </row>
    <row r="11847" spans="20:21" ht="15" customHeight="1" x14ac:dyDescent="0.25">
      <c r="T11847" s="135"/>
      <c r="U11847" s="135"/>
    </row>
    <row r="11848" spans="20:21" ht="15" customHeight="1" x14ac:dyDescent="0.25">
      <c r="T11848" s="135"/>
      <c r="U11848" s="135"/>
    </row>
    <row r="11849" spans="20:21" ht="15" customHeight="1" x14ac:dyDescent="0.25">
      <c r="T11849" s="135"/>
      <c r="U11849" s="135"/>
    </row>
    <row r="11850" spans="20:21" ht="15" customHeight="1" x14ac:dyDescent="0.25">
      <c r="T11850" s="135"/>
      <c r="U11850" s="135"/>
    </row>
    <row r="11851" spans="20:21" ht="15" customHeight="1" x14ac:dyDescent="0.25">
      <c r="T11851" s="135"/>
      <c r="U11851" s="135"/>
    </row>
    <row r="11852" spans="20:21" ht="15" customHeight="1" x14ac:dyDescent="0.25">
      <c r="T11852" s="135"/>
      <c r="U11852" s="135"/>
    </row>
    <row r="11853" spans="20:21" ht="15" customHeight="1" x14ac:dyDescent="0.25">
      <c r="T11853" s="135"/>
      <c r="U11853" s="135"/>
    </row>
    <row r="11854" spans="20:21" ht="15" customHeight="1" x14ac:dyDescent="0.25">
      <c r="T11854" s="135"/>
      <c r="U11854" s="135"/>
    </row>
    <row r="11855" spans="20:21" ht="15" customHeight="1" x14ac:dyDescent="0.25">
      <c r="T11855" s="135"/>
      <c r="U11855" s="135"/>
    </row>
    <row r="11856" spans="20:21" ht="15" customHeight="1" x14ac:dyDescent="0.25">
      <c r="T11856" s="135"/>
      <c r="U11856" s="135"/>
    </row>
    <row r="11857" spans="20:21" ht="15" customHeight="1" x14ac:dyDescent="0.25">
      <c r="T11857" s="135"/>
      <c r="U11857" s="135"/>
    </row>
    <row r="11858" spans="20:21" ht="15" customHeight="1" x14ac:dyDescent="0.25">
      <c r="T11858" s="135"/>
      <c r="U11858" s="135"/>
    </row>
    <row r="11859" spans="20:21" ht="15" customHeight="1" x14ac:dyDescent="0.25">
      <c r="T11859" s="135"/>
      <c r="U11859" s="135"/>
    </row>
    <row r="11860" spans="20:21" ht="15" customHeight="1" x14ac:dyDescent="0.25">
      <c r="T11860" s="135"/>
      <c r="U11860" s="135"/>
    </row>
    <row r="11861" spans="20:21" ht="15" customHeight="1" x14ac:dyDescent="0.25">
      <c r="T11861" s="135"/>
      <c r="U11861" s="135"/>
    </row>
    <row r="11862" spans="20:21" ht="15" customHeight="1" x14ac:dyDescent="0.25">
      <c r="T11862" s="135"/>
      <c r="U11862" s="135"/>
    </row>
    <row r="11863" spans="20:21" ht="15" customHeight="1" x14ac:dyDescent="0.25">
      <c r="T11863" s="135"/>
      <c r="U11863" s="135"/>
    </row>
    <row r="11864" spans="20:21" ht="15" customHeight="1" x14ac:dyDescent="0.25">
      <c r="T11864" s="135"/>
      <c r="U11864" s="135"/>
    </row>
    <row r="11865" spans="20:21" ht="15" customHeight="1" x14ac:dyDescent="0.25">
      <c r="T11865" s="135"/>
      <c r="U11865" s="135"/>
    </row>
    <row r="11866" spans="20:21" ht="15" customHeight="1" x14ac:dyDescent="0.25">
      <c r="T11866" s="135"/>
      <c r="U11866" s="135"/>
    </row>
    <row r="11867" spans="20:21" ht="15" customHeight="1" x14ac:dyDescent="0.25">
      <c r="T11867" s="135"/>
      <c r="U11867" s="135"/>
    </row>
    <row r="11868" spans="20:21" ht="15" customHeight="1" x14ac:dyDescent="0.25">
      <c r="T11868" s="135"/>
      <c r="U11868" s="135"/>
    </row>
    <row r="11869" spans="20:21" ht="15" customHeight="1" x14ac:dyDescent="0.25">
      <c r="T11869" s="135"/>
      <c r="U11869" s="135"/>
    </row>
    <row r="11870" spans="20:21" ht="15" customHeight="1" x14ac:dyDescent="0.25">
      <c r="T11870" s="135"/>
      <c r="U11870" s="135"/>
    </row>
    <row r="11871" spans="20:21" ht="15" customHeight="1" x14ac:dyDescent="0.25">
      <c r="T11871" s="135"/>
      <c r="U11871" s="135"/>
    </row>
    <row r="11872" spans="20:21" ht="15" customHeight="1" x14ac:dyDescent="0.25">
      <c r="T11872" s="135"/>
      <c r="U11872" s="135"/>
    </row>
    <row r="11873" spans="20:21" ht="15" customHeight="1" x14ac:dyDescent="0.25">
      <c r="T11873" s="135"/>
      <c r="U11873" s="135"/>
    </row>
    <row r="11874" spans="20:21" ht="15" customHeight="1" x14ac:dyDescent="0.25">
      <c r="T11874" s="135"/>
      <c r="U11874" s="135"/>
    </row>
    <row r="11875" spans="20:21" ht="15" customHeight="1" x14ac:dyDescent="0.25">
      <c r="T11875" s="135"/>
      <c r="U11875" s="135"/>
    </row>
    <row r="11876" spans="20:21" ht="15" customHeight="1" x14ac:dyDescent="0.25">
      <c r="T11876" s="135"/>
      <c r="U11876" s="135"/>
    </row>
    <row r="11877" spans="20:21" ht="15" customHeight="1" x14ac:dyDescent="0.25">
      <c r="T11877" s="135"/>
      <c r="U11877" s="135"/>
    </row>
    <row r="11878" spans="20:21" ht="15" customHeight="1" x14ac:dyDescent="0.25">
      <c r="T11878" s="135"/>
      <c r="U11878" s="135"/>
    </row>
    <row r="11879" spans="20:21" ht="15" customHeight="1" x14ac:dyDescent="0.25">
      <c r="T11879" s="135"/>
      <c r="U11879" s="135"/>
    </row>
    <row r="11880" spans="20:21" ht="15" customHeight="1" x14ac:dyDescent="0.25">
      <c r="T11880" s="135"/>
      <c r="U11880" s="135"/>
    </row>
    <row r="11881" spans="20:21" ht="15" customHeight="1" x14ac:dyDescent="0.25">
      <c r="T11881" s="135"/>
      <c r="U11881" s="135"/>
    </row>
    <row r="11882" spans="20:21" ht="15" customHeight="1" x14ac:dyDescent="0.25">
      <c r="T11882" s="135"/>
      <c r="U11882" s="135"/>
    </row>
    <row r="11883" spans="20:21" ht="15" customHeight="1" x14ac:dyDescent="0.25">
      <c r="T11883" s="135"/>
      <c r="U11883" s="135"/>
    </row>
    <row r="11884" spans="20:21" ht="15" customHeight="1" x14ac:dyDescent="0.25">
      <c r="T11884" s="135"/>
      <c r="U11884" s="135"/>
    </row>
    <row r="11885" spans="20:21" ht="15" customHeight="1" x14ac:dyDescent="0.25">
      <c r="T11885" s="135"/>
      <c r="U11885" s="135"/>
    </row>
    <row r="11886" spans="20:21" ht="15" customHeight="1" x14ac:dyDescent="0.25">
      <c r="T11886" s="135"/>
      <c r="U11886" s="135"/>
    </row>
    <row r="11887" spans="20:21" ht="15" customHeight="1" x14ac:dyDescent="0.25">
      <c r="T11887" s="135"/>
      <c r="U11887" s="135"/>
    </row>
    <row r="11888" spans="20:21" ht="15" customHeight="1" x14ac:dyDescent="0.25">
      <c r="T11888" s="135"/>
      <c r="U11888" s="135"/>
    </row>
    <row r="11889" spans="20:21" ht="15" customHeight="1" x14ac:dyDescent="0.25">
      <c r="T11889" s="135"/>
      <c r="U11889" s="135"/>
    </row>
    <row r="11890" spans="20:21" ht="15" customHeight="1" x14ac:dyDescent="0.25">
      <c r="T11890" s="135"/>
      <c r="U11890" s="135"/>
    </row>
    <row r="11891" spans="20:21" ht="15" customHeight="1" x14ac:dyDescent="0.25">
      <c r="T11891" s="135"/>
      <c r="U11891" s="135"/>
    </row>
    <row r="11892" spans="20:21" ht="15" customHeight="1" x14ac:dyDescent="0.25">
      <c r="T11892" s="135"/>
      <c r="U11892" s="135"/>
    </row>
    <row r="11893" spans="20:21" ht="15" customHeight="1" x14ac:dyDescent="0.25">
      <c r="T11893" s="135"/>
      <c r="U11893" s="135"/>
    </row>
    <row r="11894" spans="20:21" ht="15" customHeight="1" x14ac:dyDescent="0.25">
      <c r="T11894" s="135"/>
      <c r="U11894" s="135"/>
    </row>
    <row r="11895" spans="20:21" ht="15" customHeight="1" x14ac:dyDescent="0.25">
      <c r="T11895" s="135"/>
      <c r="U11895" s="135"/>
    </row>
    <row r="11896" spans="20:21" ht="15" customHeight="1" x14ac:dyDescent="0.25">
      <c r="T11896" s="135"/>
      <c r="U11896" s="135"/>
    </row>
    <row r="11897" spans="20:21" ht="15" customHeight="1" x14ac:dyDescent="0.25">
      <c r="T11897" s="135"/>
      <c r="U11897" s="135"/>
    </row>
    <row r="11898" spans="20:21" ht="15" customHeight="1" x14ac:dyDescent="0.25">
      <c r="T11898" s="135"/>
      <c r="U11898" s="135"/>
    </row>
    <row r="11899" spans="20:21" ht="15" customHeight="1" x14ac:dyDescent="0.25">
      <c r="T11899" s="135"/>
      <c r="U11899" s="135"/>
    </row>
    <row r="11900" spans="20:21" ht="15" customHeight="1" x14ac:dyDescent="0.25">
      <c r="T11900" s="135"/>
      <c r="U11900" s="135"/>
    </row>
    <row r="11901" spans="20:21" ht="15" customHeight="1" x14ac:dyDescent="0.25">
      <c r="T11901" s="135"/>
      <c r="U11901" s="135"/>
    </row>
    <row r="11902" spans="20:21" ht="15" customHeight="1" x14ac:dyDescent="0.25">
      <c r="T11902" s="135"/>
      <c r="U11902" s="135"/>
    </row>
    <row r="11903" spans="20:21" ht="15" customHeight="1" x14ac:dyDescent="0.25">
      <c r="T11903" s="135"/>
      <c r="U11903" s="135"/>
    </row>
    <row r="11904" spans="20:21" ht="15" customHeight="1" x14ac:dyDescent="0.25">
      <c r="T11904" s="135"/>
      <c r="U11904" s="135"/>
    </row>
    <row r="11905" spans="20:21" ht="15" customHeight="1" x14ac:dyDescent="0.25">
      <c r="T11905" s="135"/>
      <c r="U11905" s="135"/>
    </row>
    <row r="11906" spans="20:21" ht="15" customHeight="1" x14ac:dyDescent="0.25">
      <c r="T11906" s="135"/>
      <c r="U11906" s="135"/>
    </row>
    <row r="11907" spans="20:21" ht="15" customHeight="1" x14ac:dyDescent="0.25">
      <c r="T11907" s="135"/>
      <c r="U11907" s="135"/>
    </row>
    <row r="11908" spans="20:21" ht="15" customHeight="1" x14ac:dyDescent="0.25">
      <c r="T11908" s="135"/>
      <c r="U11908" s="135"/>
    </row>
    <row r="11909" spans="20:21" ht="15" customHeight="1" x14ac:dyDescent="0.25">
      <c r="T11909" s="135"/>
      <c r="U11909" s="135"/>
    </row>
    <row r="11910" spans="20:21" ht="15" customHeight="1" x14ac:dyDescent="0.25">
      <c r="T11910" s="135"/>
      <c r="U11910" s="135"/>
    </row>
    <row r="11911" spans="20:21" ht="15" customHeight="1" x14ac:dyDescent="0.25">
      <c r="T11911" s="135"/>
      <c r="U11911" s="135"/>
    </row>
    <row r="11912" spans="20:21" ht="15" customHeight="1" x14ac:dyDescent="0.25">
      <c r="T11912" s="135"/>
      <c r="U11912" s="135"/>
    </row>
    <row r="11913" spans="20:21" ht="15" customHeight="1" x14ac:dyDescent="0.25">
      <c r="T11913" s="135"/>
      <c r="U11913" s="135"/>
    </row>
    <row r="11914" spans="20:21" ht="15" customHeight="1" x14ac:dyDescent="0.25">
      <c r="T11914" s="135"/>
      <c r="U11914" s="135"/>
    </row>
    <row r="11915" spans="20:21" ht="15" customHeight="1" x14ac:dyDescent="0.25">
      <c r="T11915" s="135"/>
      <c r="U11915" s="135"/>
    </row>
    <row r="11916" spans="20:21" ht="15" customHeight="1" x14ac:dyDescent="0.25">
      <c r="T11916" s="135"/>
      <c r="U11916" s="135"/>
    </row>
    <row r="11917" spans="20:21" ht="15" customHeight="1" x14ac:dyDescent="0.25">
      <c r="T11917" s="135"/>
      <c r="U11917" s="135"/>
    </row>
    <row r="11918" spans="20:21" ht="15" customHeight="1" x14ac:dyDescent="0.25">
      <c r="T11918" s="135"/>
      <c r="U11918" s="135"/>
    </row>
    <row r="11919" spans="20:21" ht="15" customHeight="1" x14ac:dyDescent="0.25">
      <c r="T11919" s="135"/>
      <c r="U11919" s="135"/>
    </row>
    <row r="11920" spans="20:21" ht="15" customHeight="1" x14ac:dyDescent="0.25">
      <c r="T11920" s="135"/>
      <c r="U11920" s="135"/>
    </row>
    <row r="11921" spans="20:21" ht="15" customHeight="1" x14ac:dyDescent="0.25">
      <c r="T11921" s="135"/>
      <c r="U11921" s="135"/>
    </row>
    <row r="11922" spans="20:21" ht="15" customHeight="1" x14ac:dyDescent="0.25">
      <c r="T11922" s="135"/>
      <c r="U11922" s="135"/>
    </row>
    <row r="11923" spans="20:21" ht="15" customHeight="1" x14ac:dyDescent="0.25">
      <c r="T11923" s="135"/>
      <c r="U11923" s="135"/>
    </row>
    <row r="11924" spans="20:21" ht="15" customHeight="1" x14ac:dyDescent="0.25">
      <c r="T11924" s="135"/>
      <c r="U11924" s="135"/>
    </row>
    <row r="11925" spans="20:21" ht="15" customHeight="1" x14ac:dyDescent="0.25">
      <c r="T11925" s="135"/>
      <c r="U11925" s="135"/>
    </row>
    <row r="11926" spans="20:21" ht="15" customHeight="1" x14ac:dyDescent="0.25">
      <c r="T11926" s="135"/>
      <c r="U11926" s="135"/>
    </row>
    <row r="11927" spans="20:21" ht="15" customHeight="1" x14ac:dyDescent="0.25">
      <c r="T11927" s="135"/>
      <c r="U11927" s="135"/>
    </row>
    <row r="11928" spans="20:21" ht="15" customHeight="1" x14ac:dyDescent="0.25">
      <c r="T11928" s="135"/>
      <c r="U11928" s="135"/>
    </row>
    <row r="11929" spans="20:21" ht="15" customHeight="1" x14ac:dyDescent="0.25">
      <c r="T11929" s="135"/>
      <c r="U11929" s="135"/>
    </row>
    <row r="11930" spans="20:21" ht="15" customHeight="1" x14ac:dyDescent="0.25">
      <c r="T11930" s="135"/>
      <c r="U11930" s="135"/>
    </row>
    <row r="11931" spans="20:21" ht="15" customHeight="1" x14ac:dyDescent="0.25">
      <c r="T11931" s="135"/>
      <c r="U11931" s="135"/>
    </row>
    <row r="11932" spans="20:21" ht="15" customHeight="1" x14ac:dyDescent="0.25">
      <c r="T11932" s="135"/>
      <c r="U11932" s="135"/>
    </row>
    <row r="11933" spans="20:21" ht="15" customHeight="1" x14ac:dyDescent="0.25">
      <c r="T11933" s="135"/>
      <c r="U11933" s="135"/>
    </row>
    <row r="11934" spans="20:21" ht="15" customHeight="1" x14ac:dyDescent="0.25">
      <c r="T11934" s="135"/>
      <c r="U11934" s="135"/>
    </row>
    <row r="11935" spans="20:21" ht="15" customHeight="1" x14ac:dyDescent="0.25">
      <c r="T11935" s="135"/>
      <c r="U11935" s="135"/>
    </row>
    <row r="11936" spans="20:21" ht="15" customHeight="1" x14ac:dyDescent="0.25">
      <c r="T11936" s="135"/>
      <c r="U11936" s="135"/>
    </row>
    <row r="11937" spans="20:21" ht="15" customHeight="1" x14ac:dyDescent="0.25">
      <c r="T11937" s="135"/>
      <c r="U11937" s="135"/>
    </row>
    <row r="11938" spans="20:21" ht="15" customHeight="1" x14ac:dyDescent="0.25">
      <c r="T11938" s="135"/>
      <c r="U11938" s="135"/>
    </row>
    <row r="11939" spans="20:21" ht="15" customHeight="1" x14ac:dyDescent="0.25">
      <c r="T11939" s="135"/>
      <c r="U11939" s="135"/>
    </row>
    <row r="11940" spans="20:21" ht="15" customHeight="1" x14ac:dyDescent="0.25">
      <c r="T11940" s="135"/>
      <c r="U11940" s="135"/>
    </row>
    <row r="11941" spans="20:21" ht="15" customHeight="1" x14ac:dyDescent="0.25">
      <c r="T11941" s="135"/>
      <c r="U11941" s="135"/>
    </row>
    <row r="11942" spans="20:21" ht="15" customHeight="1" x14ac:dyDescent="0.25">
      <c r="T11942" s="135"/>
      <c r="U11942" s="135"/>
    </row>
    <row r="11943" spans="20:21" ht="15" customHeight="1" x14ac:dyDescent="0.25">
      <c r="T11943" s="135"/>
      <c r="U11943" s="135"/>
    </row>
    <row r="11944" spans="20:21" ht="15" customHeight="1" x14ac:dyDescent="0.25">
      <c r="T11944" s="135"/>
      <c r="U11944" s="135"/>
    </row>
    <row r="11945" spans="20:21" ht="15" customHeight="1" x14ac:dyDescent="0.25">
      <c r="T11945" s="135"/>
      <c r="U11945" s="135"/>
    </row>
    <row r="11946" spans="20:21" ht="15" customHeight="1" x14ac:dyDescent="0.25">
      <c r="T11946" s="135"/>
      <c r="U11946" s="135"/>
    </row>
    <row r="11947" spans="20:21" ht="15" customHeight="1" x14ac:dyDescent="0.25">
      <c r="T11947" s="135"/>
      <c r="U11947" s="135"/>
    </row>
    <row r="11948" spans="20:21" ht="15" customHeight="1" x14ac:dyDescent="0.25">
      <c r="T11948" s="135"/>
      <c r="U11948" s="135"/>
    </row>
    <row r="11949" spans="20:21" ht="15" customHeight="1" x14ac:dyDescent="0.25">
      <c r="T11949" s="135"/>
      <c r="U11949" s="135"/>
    </row>
    <row r="11950" spans="20:21" ht="15" customHeight="1" x14ac:dyDescent="0.25">
      <c r="T11950" s="135"/>
      <c r="U11950" s="135"/>
    </row>
    <row r="11951" spans="20:21" ht="15" customHeight="1" x14ac:dyDescent="0.25">
      <c r="T11951" s="135"/>
      <c r="U11951" s="135"/>
    </row>
    <row r="11952" spans="20:21" ht="15" customHeight="1" x14ac:dyDescent="0.25">
      <c r="T11952" s="135"/>
      <c r="U11952" s="135"/>
    </row>
    <row r="11953" spans="20:21" ht="15" customHeight="1" x14ac:dyDescent="0.25">
      <c r="T11953" s="135"/>
      <c r="U11953" s="135"/>
    </row>
    <row r="11954" spans="20:21" ht="15" customHeight="1" x14ac:dyDescent="0.25">
      <c r="T11954" s="135"/>
      <c r="U11954" s="135"/>
    </row>
    <row r="11955" spans="20:21" ht="15" customHeight="1" x14ac:dyDescent="0.25">
      <c r="T11955" s="135"/>
      <c r="U11955" s="135"/>
    </row>
    <row r="11956" spans="20:21" ht="15" customHeight="1" x14ac:dyDescent="0.25">
      <c r="T11956" s="135"/>
      <c r="U11956" s="135"/>
    </row>
    <row r="11957" spans="20:21" ht="15" customHeight="1" x14ac:dyDescent="0.25">
      <c r="T11957" s="135"/>
      <c r="U11957" s="135"/>
    </row>
    <row r="11958" spans="20:21" ht="15" customHeight="1" x14ac:dyDescent="0.25">
      <c r="T11958" s="135"/>
      <c r="U11958" s="135"/>
    </row>
    <row r="11959" spans="20:21" ht="15" customHeight="1" x14ac:dyDescent="0.25">
      <c r="T11959" s="135"/>
      <c r="U11959" s="135"/>
    </row>
    <row r="11960" spans="20:21" ht="15" customHeight="1" x14ac:dyDescent="0.25">
      <c r="T11960" s="135"/>
      <c r="U11960" s="135"/>
    </row>
    <row r="11961" spans="20:21" ht="15" customHeight="1" x14ac:dyDescent="0.25">
      <c r="T11961" s="135"/>
      <c r="U11961" s="135"/>
    </row>
    <row r="11962" spans="20:21" ht="15" customHeight="1" x14ac:dyDescent="0.25">
      <c r="T11962" s="135"/>
      <c r="U11962" s="135"/>
    </row>
    <row r="11963" spans="20:21" ht="15" customHeight="1" x14ac:dyDescent="0.25">
      <c r="T11963" s="135"/>
      <c r="U11963" s="135"/>
    </row>
    <row r="11964" spans="20:21" ht="15" customHeight="1" x14ac:dyDescent="0.25">
      <c r="T11964" s="135"/>
      <c r="U11964" s="135"/>
    </row>
    <row r="11965" spans="20:21" ht="15" customHeight="1" x14ac:dyDescent="0.25">
      <c r="T11965" s="135"/>
      <c r="U11965" s="135"/>
    </row>
    <row r="11966" spans="20:21" ht="15" customHeight="1" x14ac:dyDescent="0.25">
      <c r="T11966" s="135"/>
      <c r="U11966" s="135"/>
    </row>
    <row r="11967" spans="20:21" ht="15" customHeight="1" x14ac:dyDescent="0.25">
      <c r="T11967" s="135"/>
      <c r="U11967" s="135"/>
    </row>
    <row r="11968" spans="20:21" ht="15" customHeight="1" x14ac:dyDescent="0.25">
      <c r="T11968" s="135"/>
      <c r="U11968" s="135"/>
    </row>
    <row r="11969" spans="20:21" ht="15" customHeight="1" x14ac:dyDescent="0.25">
      <c r="T11969" s="135"/>
      <c r="U11969" s="135"/>
    </row>
    <row r="11970" spans="20:21" ht="15" customHeight="1" x14ac:dyDescent="0.25">
      <c r="T11970" s="135"/>
      <c r="U11970" s="135"/>
    </row>
    <row r="11971" spans="20:21" ht="15" customHeight="1" x14ac:dyDescent="0.25">
      <c r="T11971" s="135"/>
      <c r="U11971" s="135"/>
    </row>
    <row r="11972" spans="20:21" ht="15" customHeight="1" x14ac:dyDescent="0.25">
      <c r="T11972" s="135"/>
      <c r="U11972" s="135"/>
    </row>
    <row r="11973" spans="20:21" ht="15" customHeight="1" x14ac:dyDescent="0.25">
      <c r="T11973" s="135"/>
      <c r="U11973" s="135"/>
    </row>
    <row r="11974" spans="20:21" ht="15" customHeight="1" x14ac:dyDescent="0.25">
      <c r="T11974" s="135"/>
      <c r="U11974" s="135"/>
    </row>
    <row r="11975" spans="20:21" ht="15" customHeight="1" x14ac:dyDescent="0.25">
      <c r="T11975" s="135"/>
      <c r="U11975" s="135"/>
    </row>
    <row r="11976" spans="20:21" ht="15" customHeight="1" x14ac:dyDescent="0.25">
      <c r="T11976" s="135"/>
      <c r="U11976" s="135"/>
    </row>
    <row r="11977" spans="20:21" ht="15" customHeight="1" x14ac:dyDescent="0.25">
      <c r="T11977" s="135"/>
      <c r="U11977" s="135"/>
    </row>
    <row r="11978" spans="20:21" ht="15" customHeight="1" x14ac:dyDescent="0.25">
      <c r="T11978" s="135"/>
      <c r="U11978" s="135"/>
    </row>
    <row r="11979" spans="20:21" ht="15" customHeight="1" x14ac:dyDescent="0.25">
      <c r="T11979" s="135"/>
      <c r="U11979" s="135"/>
    </row>
    <row r="11980" spans="20:21" ht="15" customHeight="1" x14ac:dyDescent="0.25">
      <c r="T11980" s="135"/>
      <c r="U11980" s="135"/>
    </row>
    <row r="11981" spans="20:21" ht="15" customHeight="1" x14ac:dyDescent="0.25">
      <c r="T11981" s="135"/>
      <c r="U11981" s="135"/>
    </row>
    <row r="11982" spans="20:21" ht="15" customHeight="1" x14ac:dyDescent="0.25">
      <c r="T11982" s="135"/>
      <c r="U11982" s="135"/>
    </row>
    <row r="11983" spans="20:21" ht="15" customHeight="1" x14ac:dyDescent="0.25">
      <c r="T11983" s="135"/>
      <c r="U11983" s="135"/>
    </row>
    <row r="11984" spans="20:21" ht="15" customHeight="1" x14ac:dyDescent="0.25">
      <c r="T11984" s="135"/>
      <c r="U11984" s="135"/>
    </row>
    <row r="11985" spans="20:21" ht="15" customHeight="1" x14ac:dyDescent="0.25">
      <c r="T11985" s="135"/>
      <c r="U11985" s="135"/>
    </row>
    <row r="11986" spans="20:21" ht="15" customHeight="1" x14ac:dyDescent="0.25">
      <c r="T11986" s="135"/>
      <c r="U11986" s="135"/>
    </row>
    <row r="11987" spans="20:21" ht="15" customHeight="1" x14ac:dyDescent="0.25">
      <c r="T11987" s="135"/>
      <c r="U11987" s="135"/>
    </row>
    <row r="11988" spans="20:21" ht="15" customHeight="1" x14ac:dyDescent="0.25">
      <c r="T11988" s="135"/>
      <c r="U11988" s="135"/>
    </row>
    <row r="11989" spans="20:21" ht="15" customHeight="1" x14ac:dyDescent="0.25">
      <c r="T11989" s="135"/>
      <c r="U11989" s="135"/>
    </row>
    <row r="11990" spans="20:21" ht="15" customHeight="1" x14ac:dyDescent="0.25">
      <c r="T11990" s="135"/>
      <c r="U11990" s="135"/>
    </row>
    <row r="11991" spans="20:21" ht="15" customHeight="1" x14ac:dyDescent="0.25">
      <c r="T11991" s="135"/>
      <c r="U11991" s="135"/>
    </row>
    <row r="11992" spans="20:21" ht="15" customHeight="1" x14ac:dyDescent="0.25">
      <c r="T11992" s="135"/>
      <c r="U11992" s="135"/>
    </row>
    <row r="11993" spans="20:21" ht="15" customHeight="1" x14ac:dyDescent="0.25">
      <c r="T11993" s="135"/>
      <c r="U11993" s="135"/>
    </row>
    <row r="11994" spans="20:21" ht="15" customHeight="1" x14ac:dyDescent="0.25">
      <c r="T11994" s="135"/>
      <c r="U11994" s="135"/>
    </row>
    <row r="11995" spans="20:21" ht="15" customHeight="1" x14ac:dyDescent="0.25">
      <c r="T11995" s="135"/>
      <c r="U11995" s="135"/>
    </row>
    <row r="11996" spans="20:21" ht="15" customHeight="1" x14ac:dyDescent="0.25">
      <c r="T11996" s="135"/>
      <c r="U11996" s="135"/>
    </row>
    <row r="11997" spans="20:21" ht="15" customHeight="1" x14ac:dyDescent="0.25">
      <c r="T11997" s="135"/>
      <c r="U11997" s="135"/>
    </row>
    <row r="11998" spans="20:21" ht="15" customHeight="1" x14ac:dyDescent="0.25">
      <c r="T11998" s="135"/>
      <c r="U11998" s="135"/>
    </row>
    <row r="11999" spans="20:21" ht="15" customHeight="1" x14ac:dyDescent="0.25">
      <c r="T11999" s="135"/>
      <c r="U11999" s="135"/>
    </row>
    <row r="12000" spans="20:21" ht="15" customHeight="1" x14ac:dyDescent="0.25">
      <c r="T12000" s="135"/>
      <c r="U12000" s="135"/>
    </row>
    <row r="12001" spans="20:21" ht="15" customHeight="1" x14ac:dyDescent="0.25">
      <c r="T12001" s="135"/>
      <c r="U12001" s="135"/>
    </row>
    <row r="12002" spans="20:21" ht="15" customHeight="1" x14ac:dyDescent="0.25">
      <c r="T12002" s="135"/>
      <c r="U12002" s="135"/>
    </row>
    <row r="12003" spans="20:21" ht="15" customHeight="1" x14ac:dyDescent="0.25">
      <c r="T12003" s="135"/>
      <c r="U12003" s="135"/>
    </row>
    <row r="12004" spans="20:21" ht="15" customHeight="1" x14ac:dyDescent="0.25">
      <c r="T12004" s="135"/>
      <c r="U12004" s="135"/>
    </row>
    <row r="12005" spans="20:21" ht="15" customHeight="1" x14ac:dyDescent="0.25">
      <c r="T12005" s="135"/>
      <c r="U12005" s="135"/>
    </row>
    <row r="12006" spans="20:21" ht="15" customHeight="1" x14ac:dyDescent="0.25">
      <c r="T12006" s="135"/>
      <c r="U12006" s="135"/>
    </row>
    <row r="12007" spans="20:21" ht="15" customHeight="1" x14ac:dyDescent="0.25">
      <c r="T12007" s="135"/>
      <c r="U12007" s="135"/>
    </row>
    <row r="12008" spans="20:21" ht="15" customHeight="1" x14ac:dyDescent="0.25">
      <c r="T12008" s="135"/>
      <c r="U12008" s="135"/>
    </row>
    <row r="12009" spans="20:21" ht="15" customHeight="1" x14ac:dyDescent="0.25">
      <c r="T12009" s="135"/>
      <c r="U12009" s="135"/>
    </row>
    <row r="12010" spans="20:21" ht="15" customHeight="1" x14ac:dyDescent="0.25">
      <c r="T12010" s="135"/>
      <c r="U12010" s="135"/>
    </row>
    <row r="12011" spans="20:21" ht="15" customHeight="1" x14ac:dyDescent="0.25">
      <c r="T12011" s="135"/>
      <c r="U12011" s="135"/>
    </row>
    <row r="12012" spans="20:21" ht="15" customHeight="1" x14ac:dyDescent="0.25">
      <c r="T12012" s="135"/>
      <c r="U12012" s="135"/>
    </row>
    <row r="12013" spans="20:21" ht="15" customHeight="1" x14ac:dyDescent="0.25">
      <c r="T12013" s="135"/>
      <c r="U12013" s="135"/>
    </row>
    <row r="12014" spans="20:21" ht="15" customHeight="1" x14ac:dyDescent="0.25">
      <c r="T12014" s="135"/>
      <c r="U12014" s="135"/>
    </row>
    <row r="12015" spans="20:21" ht="15" customHeight="1" x14ac:dyDescent="0.25">
      <c r="T12015" s="135"/>
      <c r="U12015" s="135"/>
    </row>
    <row r="12016" spans="20:21" ht="15" customHeight="1" x14ac:dyDescent="0.25">
      <c r="T12016" s="135"/>
      <c r="U12016" s="135"/>
    </row>
    <row r="12017" spans="20:21" ht="15" customHeight="1" x14ac:dyDescent="0.25">
      <c r="T12017" s="135"/>
      <c r="U12017" s="135"/>
    </row>
    <row r="12018" spans="20:21" ht="15" customHeight="1" x14ac:dyDescent="0.25">
      <c r="T12018" s="135"/>
      <c r="U12018" s="135"/>
    </row>
    <row r="12019" spans="20:21" ht="15" customHeight="1" x14ac:dyDescent="0.25">
      <c r="T12019" s="135"/>
      <c r="U12019" s="135"/>
    </row>
    <row r="12020" spans="20:21" ht="15" customHeight="1" x14ac:dyDescent="0.25">
      <c r="T12020" s="135"/>
      <c r="U12020" s="135"/>
    </row>
    <row r="12021" spans="20:21" ht="15" customHeight="1" x14ac:dyDescent="0.25">
      <c r="T12021" s="135"/>
      <c r="U12021" s="135"/>
    </row>
    <row r="12022" spans="20:21" ht="15" customHeight="1" x14ac:dyDescent="0.25">
      <c r="T12022" s="135"/>
      <c r="U12022" s="135"/>
    </row>
    <row r="12023" spans="20:21" ht="15" customHeight="1" x14ac:dyDescent="0.25">
      <c r="T12023" s="135"/>
      <c r="U12023" s="135"/>
    </row>
    <row r="12024" spans="20:21" ht="15" customHeight="1" x14ac:dyDescent="0.25">
      <c r="T12024" s="135"/>
      <c r="U12024" s="135"/>
    </row>
    <row r="12025" spans="20:21" ht="15" customHeight="1" x14ac:dyDescent="0.25">
      <c r="T12025" s="135"/>
      <c r="U12025" s="135"/>
    </row>
    <row r="12026" spans="20:21" ht="15" customHeight="1" x14ac:dyDescent="0.25">
      <c r="T12026" s="135"/>
      <c r="U12026" s="135"/>
    </row>
    <row r="12027" spans="20:21" ht="15" customHeight="1" x14ac:dyDescent="0.25">
      <c r="T12027" s="135"/>
      <c r="U12027" s="135"/>
    </row>
    <row r="12028" spans="20:21" ht="15" customHeight="1" x14ac:dyDescent="0.25">
      <c r="T12028" s="135"/>
      <c r="U12028" s="135"/>
    </row>
    <row r="12029" spans="20:21" ht="15" customHeight="1" x14ac:dyDescent="0.25">
      <c r="T12029" s="135"/>
      <c r="U12029" s="135"/>
    </row>
    <row r="12030" spans="20:21" ht="15" customHeight="1" x14ac:dyDescent="0.25">
      <c r="T12030" s="135"/>
      <c r="U12030" s="135"/>
    </row>
    <row r="12031" spans="20:21" ht="15" customHeight="1" x14ac:dyDescent="0.25">
      <c r="T12031" s="135"/>
      <c r="U12031" s="135"/>
    </row>
    <row r="12032" spans="20:21" ht="15" customHeight="1" x14ac:dyDescent="0.25">
      <c r="T12032" s="135"/>
      <c r="U12032" s="135"/>
    </row>
    <row r="12033" spans="20:21" ht="15" customHeight="1" x14ac:dyDescent="0.25">
      <c r="T12033" s="135"/>
      <c r="U12033" s="135"/>
    </row>
    <row r="12034" spans="20:21" ht="15" customHeight="1" x14ac:dyDescent="0.25">
      <c r="T12034" s="135"/>
      <c r="U12034" s="135"/>
    </row>
    <row r="12035" spans="20:21" ht="15" customHeight="1" x14ac:dyDescent="0.25">
      <c r="T12035" s="135"/>
      <c r="U12035" s="135"/>
    </row>
    <row r="12036" spans="20:21" ht="15" customHeight="1" x14ac:dyDescent="0.25">
      <c r="T12036" s="135"/>
      <c r="U12036" s="135"/>
    </row>
    <row r="12037" spans="20:21" ht="15" customHeight="1" x14ac:dyDescent="0.25">
      <c r="T12037" s="135"/>
      <c r="U12037" s="135"/>
    </row>
    <row r="12038" spans="20:21" ht="15" customHeight="1" x14ac:dyDescent="0.25">
      <c r="T12038" s="135"/>
      <c r="U12038" s="135"/>
    </row>
    <row r="12039" spans="20:21" ht="15" customHeight="1" x14ac:dyDescent="0.25">
      <c r="T12039" s="135"/>
      <c r="U12039" s="135"/>
    </row>
    <row r="12040" spans="20:21" ht="15" customHeight="1" x14ac:dyDescent="0.25">
      <c r="T12040" s="135"/>
      <c r="U12040" s="135"/>
    </row>
    <row r="12041" spans="20:21" ht="15" customHeight="1" x14ac:dyDescent="0.25">
      <c r="T12041" s="135"/>
      <c r="U12041" s="135"/>
    </row>
    <row r="12042" spans="20:21" ht="15" customHeight="1" x14ac:dyDescent="0.25">
      <c r="T12042" s="135"/>
      <c r="U12042" s="135"/>
    </row>
    <row r="12043" spans="20:21" ht="15" customHeight="1" x14ac:dyDescent="0.25">
      <c r="T12043" s="135"/>
      <c r="U12043" s="135"/>
    </row>
    <row r="12044" spans="20:21" ht="15" customHeight="1" x14ac:dyDescent="0.25">
      <c r="T12044" s="135"/>
      <c r="U12044" s="135"/>
    </row>
    <row r="12045" spans="20:21" ht="15" customHeight="1" x14ac:dyDescent="0.25">
      <c r="T12045" s="135"/>
      <c r="U12045" s="135"/>
    </row>
    <row r="12046" spans="20:21" ht="15" customHeight="1" x14ac:dyDescent="0.25">
      <c r="T12046" s="135"/>
      <c r="U12046" s="135"/>
    </row>
    <row r="12047" spans="20:21" ht="15" customHeight="1" x14ac:dyDescent="0.25">
      <c r="T12047" s="135"/>
      <c r="U12047" s="135"/>
    </row>
    <row r="12048" spans="20:21" ht="15" customHeight="1" x14ac:dyDescent="0.25">
      <c r="T12048" s="135"/>
      <c r="U12048" s="135"/>
    </row>
    <row r="12049" spans="20:21" ht="15" customHeight="1" x14ac:dyDescent="0.25">
      <c r="T12049" s="135"/>
      <c r="U12049" s="135"/>
    </row>
    <row r="12050" spans="20:21" ht="15" customHeight="1" x14ac:dyDescent="0.25">
      <c r="T12050" s="135"/>
      <c r="U12050" s="135"/>
    </row>
    <row r="12051" spans="20:21" ht="15" customHeight="1" x14ac:dyDescent="0.25">
      <c r="T12051" s="135"/>
      <c r="U12051" s="135"/>
    </row>
    <row r="12052" spans="20:21" ht="15" customHeight="1" x14ac:dyDescent="0.25">
      <c r="T12052" s="135"/>
      <c r="U12052" s="135"/>
    </row>
    <row r="12053" spans="20:21" ht="15" customHeight="1" x14ac:dyDescent="0.25">
      <c r="T12053" s="135"/>
      <c r="U12053" s="135"/>
    </row>
    <row r="12054" spans="20:21" ht="15" customHeight="1" x14ac:dyDescent="0.25">
      <c r="T12054" s="135"/>
      <c r="U12054" s="135"/>
    </row>
    <row r="12055" spans="20:21" ht="15" customHeight="1" x14ac:dyDescent="0.25">
      <c r="T12055" s="135"/>
      <c r="U12055" s="135"/>
    </row>
    <row r="12056" spans="20:21" ht="15" customHeight="1" x14ac:dyDescent="0.25">
      <c r="T12056" s="135"/>
      <c r="U12056" s="135"/>
    </row>
    <row r="12057" spans="20:21" ht="15" customHeight="1" x14ac:dyDescent="0.25">
      <c r="T12057" s="135"/>
      <c r="U12057" s="135"/>
    </row>
    <row r="12058" spans="20:21" ht="15" customHeight="1" x14ac:dyDescent="0.25">
      <c r="T12058" s="135"/>
      <c r="U12058" s="135"/>
    </row>
    <row r="12059" spans="20:21" ht="15" customHeight="1" x14ac:dyDescent="0.25">
      <c r="T12059" s="135"/>
      <c r="U12059" s="135"/>
    </row>
    <row r="12060" spans="20:21" ht="15" customHeight="1" x14ac:dyDescent="0.25">
      <c r="T12060" s="135"/>
      <c r="U12060" s="135"/>
    </row>
    <row r="12061" spans="20:21" ht="15" customHeight="1" x14ac:dyDescent="0.25">
      <c r="T12061" s="135"/>
      <c r="U12061" s="135"/>
    </row>
    <row r="12062" spans="20:21" ht="15" customHeight="1" x14ac:dyDescent="0.25">
      <c r="T12062" s="135"/>
      <c r="U12062" s="135"/>
    </row>
    <row r="12063" spans="20:21" ht="15" customHeight="1" x14ac:dyDescent="0.25">
      <c r="T12063" s="135"/>
      <c r="U12063" s="135"/>
    </row>
    <row r="12064" spans="20:21" ht="15" customHeight="1" x14ac:dyDescent="0.25">
      <c r="T12064" s="135"/>
      <c r="U12064" s="135"/>
    </row>
    <row r="12065" spans="20:21" ht="15" customHeight="1" x14ac:dyDescent="0.25">
      <c r="T12065" s="135"/>
      <c r="U12065" s="135"/>
    </row>
    <row r="12066" spans="20:21" ht="15" customHeight="1" x14ac:dyDescent="0.25">
      <c r="T12066" s="135"/>
      <c r="U12066" s="135"/>
    </row>
    <row r="12067" spans="20:21" ht="15" customHeight="1" x14ac:dyDescent="0.25">
      <c r="T12067" s="135"/>
      <c r="U12067" s="135"/>
    </row>
    <row r="12068" spans="20:21" ht="15" customHeight="1" x14ac:dyDescent="0.25">
      <c r="T12068" s="135"/>
      <c r="U12068" s="135"/>
    </row>
    <row r="12069" spans="20:21" ht="15" customHeight="1" x14ac:dyDescent="0.25">
      <c r="T12069" s="135"/>
      <c r="U12069" s="135"/>
    </row>
    <row r="12070" spans="20:21" ht="15" customHeight="1" x14ac:dyDescent="0.25">
      <c r="T12070" s="135"/>
      <c r="U12070" s="135"/>
    </row>
    <row r="12071" spans="20:21" ht="15" customHeight="1" x14ac:dyDescent="0.25">
      <c r="T12071" s="135"/>
      <c r="U12071" s="135"/>
    </row>
    <row r="12072" spans="20:21" ht="15" customHeight="1" x14ac:dyDescent="0.25">
      <c r="T12072" s="135"/>
      <c r="U12072" s="135"/>
    </row>
    <row r="12073" spans="20:21" ht="15" customHeight="1" x14ac:dyDescent="0.25">
      <c r="T12073" s="135"/>
      <c r="U12073" s="135"/>
    </row>
    <row r="12074" spans="20:21" ht="15" customHeight="1" x14ac:dyDescent="0.25">
      <c r="T12074" s="135"/>
      <c r="U12074" s="135"/>
    </row>
    <row r="12075" spans="20:21" ht="15" customHeight="1" x14ac:dyDescent="0.25">
      <c r="T12075" s="135"/>
      <c r="U12075" s="135"/>
    </row>
    <row r="12076" spans="20:21" ht="15" customHeight="1" x14ac:dyDescent="0.25">
      <c r="T12076" s="135"/>
      <c r="U12076" s="135"/>
    </row>
    <row r="12077" spans="20:21" ht="15" customHeight="1" x14ac:dyDescent="0.25">
      <c r="T12077" s="135"/>
      <c r="U12077" s="135"/>
    </row>
    <row r="12078" spans="20:21" ht="15" customHeight="1" x14ac:dyDescent="0.25">
      <c r="T12078" s="135"/>
      <c r="U12078" s="135"/>
    </row>
    <row r="12079" spans="20:21" ht="15" customHeight="1" x14ac:dyDescent="0.25">
      <c r="T12079" s="135"/>
      <c r="U12079" s="135"/>
    </row>
    <row r="12080" spans="20:21" ht="15" customHeight="1" x14ac:dyDescent="0.25">
      <c r="T12080" s="135"/>
      <c r="U12080" s="135"/>
    </row>
    <row r="12081" spans="20:21" ht="15" customHeight="1" x14ac:dyDescent="0.25">
      <c r="T12081" s="135"/>
      <c r="U12081" s="135"/>
    </row>
    <row r="12082" spans="20:21" ht="15" customHeight="1" x14ac:dyDescent="0.25">
      <c r="T12082" s="135"/>
      <c r="U12082" s="135"/>
    </row>
    <row r="12083" spans="20:21" ht="15" customHeight="1" x14ac:dyDescent="0.25">
      <c r="T12083" s="135"/>
      <c r="U12083" s="135"/>
    </row>
    <row r="12084" spans="20:21" ht="15" customHeight="1" x14ac:dyDescent="0.25">
      <c r="T12084" s="135"/>
      <c r="U12084" s="135"/>
    </row>
    <row r="12085" spans="20:21" ht="15" customHeight="1" x14ac:dyDescent="0.25">
      <c r="T12085" s="135"/>
      <c r="U12085" s="135"/>
    </row>
    <row r="12086" spans="20:21" ht="15" customHeight="1" x14ac:dyDescent="0.25">
      <c r="T12086" s="135"/>
      <c r="U12086" s="135"/>
    </row>
    <row r="12087" spans="20:21" ht="15" customHeight="1" x14ac:dyDescent="0.25">
      <c r="T12087" s="135"/>
      <c r="U12087" s="135"/>
    </row>
    <row r="12088" spans="20:21" ht="15" customHeight="1" x14ac:dyDescent="0.25">
      <c r="T12088" s="135"/>
      <c r="U12088" s="135"/>
    </row>
    <row r="12089" spans="20:21" ht="15" customHeight="1" x14ac:dyDescent="0.25">
      <c r="T12089" s="135"/>
      <c r="U12089" s="135"/>
    </row>
    <row r="12090" spans="20:21" ht="15" customHeight="1" x14ac:dyDescent="0.25">
      <c r="T12090" s="135"/>
      <c r="U12090" s="135"/>
    </row>
    <row r="12091" spans="20:21" ht="15" customHeight="1" x14ac:dyDescent="0.25">
      <c r="T12091" s="135"/>
      <c r="U12091" s="135"/>
    </row>
    <row r="12092" spans="20:21" ht="15" customHeight="1" x14ac:dyDescent="0.25">
      <c r="T12092" s="135"/>
      <c r="U12092" s="135"/>
    </row>
    <row r="12093" spans="20:21" ht="15" customHeight="1" x14ac:dyDescent="0.25">
      <c r="T12093" s="135"/>
      <c r="U12093" s="135"/>
    </row>
    <row r="12094" spans="20:21" ht="15" customHeight="1" x14ac:dyDescent="0.25">
      <c r="T12094" s="135"/>
      <c r="U12094" s="135"/>
    </row>
    <row r="12095" spans="20:21" ht="15" customHeight="1" x14ac:dyDescent="0.25">
      <c r="T12095" s="135"/>
      <c r="U12095" s="135"/>
    </row>
    <row r="12096" spans="20:21" ht="15" customHeight="1" x14ac:dyDescent="0.25">
      <c r="T12096" s="135"/>
      <c r="U12096" s="135"/>
    </row>
    <row r="12097" spans="20:21" ht="15" customHeight="1" x14ac:dyDescent="0.25">
      <c r="T12097" s="135"/>
      <c r="U12097" s="135"/>
    </row>
    <row r="12098" spans="20:21" ht="15" customHeight="1" x14ac:dyDescent="0.25">
      <c r="T12098" s="135"/>
      <c r="U12098" s="135"/>
    </row>
    <row r="12099" spans="20:21" ht="15" customHeight="1" x14ac:dyDescent="0.25">
      <c r="T12099" s="135"/>
      <c r="U12099" s="135"/>
    </row>
    <row r="12100" spans="20:21" ht="15" customHeight="1" x14ac:dyDescent="0.25">
      <c r="T12100" s="135"/>
      <c r="U12100" s="135"/>
    </row>
    <row r="12101" spans="20:21" ht="15" customHeight="1" x14ac:dyDescent="0.25">
      <c r="T12101" s="135"/>
      <c r="U12101" s="135"/>
    </row>
    <row r="12102" spans="20:21" ht="15" customHeight="1" x14ac:dyDescent="0.25">
      <c r="T12102" s="135"/>
      <c r="U12102" s="135"/>
    </row>
    <row r="12103" spans="20:21" ht="15" customHeight="1" x14ac:dyDescent="0.25">
      <c r="T12103" s="135"/>
      <c r="U12103" s="135"/>
    </row>
    <row r="12104" spans="20:21" ht="15" customHeight="1" x14ac:dyDescent="0.25">
      <c r="T12104" s="135"/>
      <c r="U12104" s="135"/>
    </row>
    <row r="12105" spans="20:21" ht="15" customHeight="1" x14ac:dyDescent="0.25">
      <c r="T12105" s="135"/>
      <c r="U12105" s="135"/>
    </row>
    <row r="12106" spans="20:21" ht="15" customHeight="1" x14ac:dyDescent="0.25">
      <c r="T12106" s="135"/>
      <c r="U12106" s="135"/>
    </row>
    <row r="12107" spans="20:21" ht="15" customHeight="1" x14ac:dyDescent="0.25">
      <c r="T12107" s="135"/>
      <c r="U12107" s="135"/>
    </row>
    <row r="12108" spans="20:21" ht="15" customHeight="1" x14ac:dyDescent="0.25">
      <c r="T12108" s="135"/>
      <c r="U12108" s="135"/>
    </row>
    <row r="12109" spans="20:21" ht="15" customHeight="1" x14ac:dyDescent="0.25">
      <c r="T12109" s="135"/>
      <c r="U12109" s="135"/>
    </row>
    <row r="12110" spans="20:21" ht="15" customHeight="1" x14ac:dyDescent="0.25">
      <c r="T12110" s="135"/>
      <c r="U12110" s="135"/>
    </row>
    <row r="12111" spans="20:21" ht="15" customHeight="1" x14ac:dyDescent="0.25">
      <c r="T12111" s="135"/>
      <c r="U12111" s="135"/>
    </row>
    <row r="12112" spans="20:21" ht="15" customHeight="1" x14ac:dyDescent="0.25">
      <c r="T12112" s="135"/>
      <c r="U12112" s="135"/>
    </row>
    <row r="12113" spans="20:21" ht="15" customHeight="1" x14ac:dyDescent="0.25">
      <c r="T12113" s="135"/>
      <c r="U12113" s="135"/>
    </row>
    <row r="12114" spans="20:21" ht="15" customHeight="1" x14ac:dyDescent="0.25">
      <c r="T12114" s="135"/>
      <c r="U12114" s="135"/>
    </row>
    <row r="12115" spans="20:21" ht="15" customHeight="1" x14ac:dyDescent="0.25">
      <c r="T12115" s="135"/>
      <c r="U12115" s="135"/>
    </row>
    <row r="12116" spans="20:21" ht="15" customHeight="1" x14ac:dyDescent="0.25">
      <c r="T12116" s="135"/>
      <c r="U12116" s="135"/>
    </row>
    <row r="12117" spans="20:21" ht="15" customHeight="1" x14ac:dyDescent="0.25">
      <c r="T12117" s="135"/>
      <c r="U12117" s="135"/>
    </row>
    <row r="12118" spans="20:21" ht="15" customHeight="1" x14ac:dyDescent="0.25">
      <c r="T12118" s="135"/>
      <c r="U12118" s="135"/>
    </row>
    <row r="12119" spans="20:21" ht="15" customHeight="1" x14ac:dyDescent="0.25">
      <c r="T12119" s="135"/>
      <c r="U12119" s="135"/>
    </row>
    <row r="12120" spans="20:21" ht="15" customHeight="1" x14ac:dyDescent="0.25">
      <c r="T12120" s="135"/>
      <c r="U12120" s="135"/>
    </row>
    <row r="12121" spans="20:21" ht="15" customHeight="1" x14ac:dyDescent="0.25">
      <c r="T12121" s="135"/>
      <c r="U12121" s="135"/>
    </row>
    <row r="12122" spans="20:21" ht="15" customHeight="1" x14ac:dyDescent="0.25">
      <c r="T12122" s="135"/>
      <c r="U12122" s="135"/>
    </row>
    <row r="12123" spans="20:21" ht="15" customHeight="1" x14ac:dyDescent="0.25">
      <c r="T12123" s="135"/>
      <c r="U12123" s="135"/>
    </row>
    <row r="12124" spans="20:21" ht="15" customHeight="1" x14ac:dyDescent="0.25">
      <c r="T12124" s="135"/>
      <c r="U12124" s="135"/>
    </row>
    <row r="12125" spans="20:21" ht="15" customHeight="1" x14ac:dyDescent="0.25">
      <c r="T12125" s="135"/>
      <c r="U12125" s="135"/>
    </row>
    <row r="12126" spans="20:21" ht="15" customHeight="1" x14ac:dyDescent="0.25">
      <c r="T12126" s="135"/>
      <c r="U12126" s="135"/>
    </row>
    <row r="12127" spans="20:21" ht="15" customHeight="1" x14ac:dyDescent="0.25">
      <c r="T12127" s="135"/>
      <c r="U12127" s="135"/>
    </row>
    <row r="12128" spans="20:21" ht="15" customHeight="1" x14ac:dyDescent="0.25">
      <c r="T12128" s="135"/>
      <c r="U12128" s="135"/>
    </row>
    <row r="12129" spans="20:21" ht="15" customHeight="1" x14ac:dyDescent="0.25">
      <c r="T12129" s="135"/>
      <c r="U12129" s="135"/>
    </row>
    <row r="12130" spans="20:21" ht="15" customHeight="1" x14ac:dyDescent="0.25">
      <c r="T12130" s="135"/>
      <c r="U12130" s="135"/>
    </row>
    <row r="12131" spans="20:21" ht="15" customHeight="1" x14ac:dyDescent="0.25">
      <c r="T12131" s="135"/>
      <c r="U12131" s="135"/>
    </row>
    <row r="12132" spans="20:21" ht="15" customHeight="1" x14ac:dyDescent="0.25">
      <c r="T12132" s="135"/>
      <c r="U12132" s="135"/>
    </row>
    <row r="12133" spans="20:21" ht="15" customHeight="1" x14ac:dyDescent="0.25">
      <c r="T12133" s="135"/>
      <c r="U12133" s="135"/>
    </row>
    <row r="12134" spans="20:21" ht="15" customHeight="1" x14ac:dyDescent="0.25">
      <c r="T12134" s="135"/>
      <c r="U12134" s="135"/>
    </row>
    <row r="12135" spans="20:21" ht="15" customHeight="1" x14ac:dyDescent="0.25">
      <c r="T12135" s="135"/>
      <c r="U12135" s="135"/>
    </row>
    <row r="12136" spans="20:21" ht="15" customHeight="1" x14ac:dyDescent="0.25">
      <c r="T12136" s="135"/>
      <c r="U12136" s="135"/>
    </row>
    <row r="12137" spans="20:21" ht="15" customHeight="1" x14ac:dyDescent="0.25">
      <c r="T12137" s="135"/>
      <c r="U12137" s="135"/>
    </row>
    <row r="12138" spans="20:21" ht="15" customHeight="1" x14ac:dyDescent="0.25">
      <c r="T12138" s="135"/>
      <c r="U12138" s="135"/>
    </row>
    <row r="12139" spans="20:21" ht="15" customHeight="1" x14ac:dyDescent="0.25">
      <c r="T12139" s="135"/>
      <c r="U12139" s="135"/>
    </row>
    <row r="12140" spans="20:21" ht="15" customHeight="1" x14ac:dyDescent="0.25">
      <c r="T12140" s="135"/>
      <c r="U12140" s="135"/>
    </row>
    <row r="12141" spans="20:21" ht="15" customHeight="1" x14ac:dyDescent="0.25">
      <c r="T12141" s="135"/>
      <c r="U12141" s="135"/>
    </row>
    <row r="12142" spans="20:21" ht="15" customHeight="1" x14ac:dyDescent="0.25">
      <c r="T12142" s="135"/>
      <c r="U12142" s="135"/>
    </row>
    <row r="12143" spans="20:21" ht="15" customHeight="1" x14ac:dyDescent="0.25">
      <c r="T12143" s="135"/>
      <c r="U12143" s="135"/>
    </row>
    <row r="12144" spans="20:21" ht="15" customHeight="1" x14ac:dyDescent="0.25">
      <c r="T12144" s="135"/>
      <c r="U12144" s="135"/>
    </row>
    <row r="12145" spans="20:21" ht="15" customHeight="1" x14ac:dyDescent="0.25">
      <c r="T12145" s="135"/>
      <c r="U12145" s="135"/>
    </row>
    <row r="12146" spans="20:21" ht="15" customHeight="1" x14ac:dyDescent="0.25">
      <c r="T12146" s="135"/>
      <c r="U12146" s="135"/>
    </row>
    <row r="12147" spans="20:21" ht="15" customHeight="1" x14ac:dyDescent="0.25">
      <c r="T12147" s="135"/>
      <c r="U12147" s="135"/>
    </row>
    <row r="12148" spans="20:21" ht="15" customHeight="1" x14ac:dyDescent="0.25">
      <c r="T12148" s="135"/>
      <c r="U12148" s="135"/>
    </row>
    <row r="12149" spans="20:21" ht="15" customHeight="1" x14ac:dyDescent="0.25">
      <c r="T12149" s="135"/>
      <c r="U12149" s="135"/>
    </row>
    <row r="12150" spans="20:21" ht="15" customHeight="1" x14ac:dyDescent="0.25">
      <c r="T12150" s="135"/>
      <c r="U12150" s="135"/>
    </row>
    <row r="12151" spans="20:21" ht="15" customHeight="1" x14ac:dyDescent="0.25">
      <c r="T12151" s="135"/>
      <c r="U12151" s="135"/>
    </row>
    <row r="12152" spans="20:21" ht="15" customHeight="1" x14ac:dyDescent="0.25">
      <c r="T12152" s="135"/>
      <c r="U12152" s="135"/>
    </row>
    <row r="12153" spans="20:21" ht="15" customHeight="1" x14ac:dyDescent="0.25">
      <c r="T12153" s="135"/>
      <c r="U12153" s="135"/>
    </row>
    <row r="12154" spans="20:21" ht="15" customHeight="1" x14ac:dyDescent="0.25">
      <c r="T12154" s="135"/>
      <c r="U12154" s="135"/>
    </row>
    <row r="12155" spans="20:21" ht="15" customHeight="1" x14ac:dyDescent="0.25">
      <c r="T12155" s="135"/>
      <c r="U12155" s="135"/>
    </row>
    <row r="12156" spans="20:21" ht="15" customHeight="1" x14ac:dyDescent="0.25">
      <c r="T12156" s="135"/>
      <c r="U12156" s="135"/>
    </row>
    <row r="12157" spans="20:21" ht="15" customHeight="1" x14ac:dyDescent="0.25">
      <c r="T12157" s="135"/>
      <c r="U12157" s="135"/>
    </row>
    <row r="12158" spans="20:21" ht="15" customHeight="1" x14ac:dyDescent="0.25">
      <c r="T12158" s="135"/>
      <c r="U12158" s="135"/>
    </row>
    <row r="12159" spans="20:21" ht="15" customHeight="1" x14ac:dyDescent="0.25">
      <c r="T12159" s="135"/>
      <c r="U12159" s="135"/>
    </row>
    <row r="12160" spans="20:21" ht="15" customHeight="1" x14ac:dyDescent="0.25">
      <c r="T12160" s="135"/>
      <c r="U12160" s="135"/>
    </row>
    <row r="12161" spans="20:21" ht="15" customHeight="1" x14ac:dyDescent="0.25">
      <c r="T12161" s="135"/>
      <c r="U12161" s="135"/>
    </row>
    <row r="12162" spans="20:21" ht="15" customHeight="1" x14ac:dyDescent="0.25">
      <c r="T12162" s="135"/>
      <c r="U12162" s="135"/>
    </row>
    <row r="12163" spans="20:21" ht="15" customHeight="1" x14ac:dyDescent="0.25">
      <c r="T12163" s="135"/>
      <c r="U12163" s="135"/>
    </row>
    <row r="12164" spans="20:21" ht="15" customHeight="1" x14ac:dyDescent="0.25">
      <c r="T12164" s="135"/>
      <c r="U12164" s="135"/>
    </row>
    <row r="12165" spans="20:21" ht="15" customHeight="1" x14ac:dyDescent="0.25">
      <c r="T12165" s="135"/>
      <c r="U12165" s="135"/>
    </row>
    <row r="12166" spans="20:21" ht="15" customHeight="1" x14ac:dyDescent="0.25">
      <c r="T12166" s="135"/>
      <c r="U12166" s="135"/>
    </row>
    <row r="12167" spans="20:21" ht="15" customHeight="1" x14ac:dyDescent="0.25">
      <c r="T12167" s="135"/>
      <c r="U12167" s="135"/>
    </row>
    <row r="12168" spans="20:21" ht="15" customHeight="1" x14ac:dyDescent="0.25">
      <c r="T12168" s="135"/>
      <c r="U12168" s="135"/>
    </row>
    <row r="12169" spans="20:21" ht="15" customHeight="1" x14ac:dyDescent="0.25">
      <c r="T12169" s="135"/>
      <c r="U12169" s="135"/>
    </row>
    <row r="12170" spans="20:21" ht="15" customHeight="1" x14ac:dyDescent="0.25">
      <c r="T12170" s="135"/>
      <c r="U12170" s="135"/>
    </row>
    <row r="12171" spans="20:21" ht="15" customHeight="1" x14ac:dyDescent="0.25">
      <c r="T12171" s="135"/>
      <c r="U12171" s="135"/>
    </row>
    <row r="12172" spans="20:21" ht="15" customHeight="1" x14ac:dyDescent="0.25">
      <c r="T12172" s="135"/>
      <c r="U12172" s="135"/>
    </row>
    <row r="12173" spans="20:21" ht="15" customHeight="1" x14ac:dyDescent="0.25">
      <c r="T12173" s="135"/>
      <c r="U12173" s="135"/>
    </row>
    <row r="12174" spans="20:21" ht="15" customHeight="1" x14ac:dyDescent="0.25">
      <c r="T12174" s="135"/>
      <c r="U12174" s="135"/>
    </row>
    <row r="12175" spans="20:21" ht="15" customHeight="1" x14ac:dyDescent="0.25">
      <c r="T12175" s="135"/>
      <c r="U12175" s="135"/>
    </row>
    <row r="12176" spans="20:21" ht="15" customHeight="1" x14ac:dyDescent="0.25">
      <c r="T12176" s="135"/>
      <c r="U12176" s="135"/>
    </row>
    <row r="12177" spans="20:21" ht="15" customHeight="1" x14ac:dyDescent="0.25">
      <c r="T12177" s="135"/>
      <c r="U12177" s="135"/>
    </row>
    <row r="12178" spans="20:21" ht="15" customHeight="1" x14ac:dyDescent="0.25">
      <c r="T12178" s="135"/>
      <c r="U12178" s="135"/>
    </row>
    <row r="12179" spans="20:21" ht="15" customHeight="1" x14ac:dyDescent="0.25">
      <c r="T12179" s="135"/>
      <c r="U12179" s="135"/>
    </row>
    <row r="12180" spans="20:21" ht="15" customHeight="1" x14ac:dyDescent="0.25">
      <c r="T12180" s="135"/>
      <c r="U12180" s="135"/>
    </row>
    <row r="12181" spans="20:21" ht="15" customHeight="1" x14ac:dyDescent="0.25">
      <c r="T12181" s="135"/>
      <c r="U12181" s="135"/>
    </row>
    <row r="12182" spans="20:21" ht="15" customHeight="1" x14ac:dyDescent="0.25">
      <c r="T12182" s="135"/>
      <c r="U12182" s="135"/>
    </row>
    <row r="12183" spans="20:21" ht="15" customHeight="1" x14ac:dyDescent="0.25">
      <c r="T12183" s="135"/>
      <c r="U12183" s="135"/>
    </row>
    <row r="12184" spans="20:21" ht="15" customHeight="1" x14ac:dyDescent="0.25">
      <c r="T12184" s="135"/>
      <c r="U12184" s="135"/>
    </row>
    <row r="12185" spans="20:21" ht="15" customHeight="1" x14ac:dyDescent="0.25">
      <c r="T12185" s="135"/>
      <c r="U12185" s="135"/>
    </row>
    <row r="12186" spans="20:21" ht="15" customHeight="1" x14ac:dyDescent="0.25">
      <c r="T12186" s="135"/>
      <c r="U12186" s="135"/>
    </row>
    <row r="12187" spans="20:21" ht="15" customHeight="1" x14ac:dyDescent="0.25">
      <c r="T12187" s="135"/>
      <c r="U12187" s="135"/>
    </row>
    <row r="12188" spans="20:21" ht="15" customHeight="1" x14ac:dyDescent="0.25">
      <c r="T12188" s="135"/>
      <c r="U12188" s="135"/>
    </row>
    <row r="12189" spans="20:21" ht="15" customHeight="1" x14ac:dyDescent="0.25">
      <c r="T12189" s="135"/>
      <c r="U12189" s="135"/>
    </row>
    <row r="12190" spans="20:21" ht="15" customHeight="1" x14ac:dyDescent="0.25">
      <c r="T12190" s="135"/>
      <c r="U12190" s="135"/>
    </row>
    <row r="12191" spans="20:21" ht="15" customHeight="1" x14ac:dyDescent="0.25">
      <c r="T12191" s="135"/>
      <c r="U12191" s="135"/>
    </row>
    <row r="12192" spans="20:21" ht="15" customHeight="1" x14ac:dyDescent="0.25">
      <c r="T12192" s="135"/>
      <c r="U12192" s="135"/>
    </row>
    <row r="12193" spans="20:21" ht="15" customHeight="1" x14ac:dyDescent="0.25">
      <c r="T12193" s="135"/>
      <c r="U12193" s="135"/>
    </row>
    <row r="12194" spans="20:21" ht="15" customHeight="1" x14ac:dyDescent="0.25">
      <c r="T12194" s="135"/>
      <c r="U12194" s="135"/>
    </row>
    <row r="12195" spans="20:21" ht="15" customHeight="1" x14ac:dyDescent="0.25">
      <c r="T12195" s="135"/>
      <c r="U12195" s="135"/>
    </row>
    <row r="12196" spans="20:21" ht="15" customHeight="1" x14ac:dyDescent="0.25">
      <c r="T12196" s="135"/>
      <c r="U12196" s="135"/>
    </row>
    <row r="12197" spans="20:21" ht="15" customHeight="1" x14ac:dyDescent="0.25">
      <c r="T12197" s="135"/>
      <c r="U12197" s="135"/>
    </row>
    <row r="12198" spans="20:21" ht="15" customHeight="1" x14ac:dyDescent="0.25">
      <c r="T12198" s="135"/>
      <c r="U12198" s="135"/>
    </row>
    <row r="12199" spans="20:21" ht="15" customHeight="1" x14ac:dyDescent="0.25">
      <c r="T12199" s="135"/>
      <c r="U12199" s="135"/>
    </row>
    <row r="12200" spans="20:21" ht="15" customHeight="1" x14ac:dyDescent="0.25">
      <c r="T12200" s="135"/>
      <c r="U12200" s="135"/>
    </row>
    <row r="12201" spans="20:21" ht="15" customHeight="1" x14ac:dyDescent="0.25">
      <c r="T12201" s="135"/>
      <c r="U12201" s="135"/>
    </row>
    <row r="12202" spans="20:21" ht="15" customHeight="1" x14ac:dyDescent="0.25">
      <c r="T12202" s="135"/>
      <c r="U12202" s="135"/>
    </row>
    <row r="12203" spans="20:21" ht="15" customHeight="1" x14ac:dyDescent="0.25">
      <c r="T12203" s="135"/>
      <c r="U12203" s="135"/>
    </row>
    <row r="12204" spans="20:21" ht="15" customHeight="1" x14ac:dyDescent="0.25">
      <c r="T12204" s="135"/>
      <c r="U12204" s="135"/>
    </row>
    <row r="12205" spans="20:21" ht="15" customHeight="1" x14ac:dyDescent="0.25">
      <c r="T12205" s="135"/>
      <c r="U12205" s="135"/>
    </row>
    <row r="12206" spans="20:21" ht="15" customHeight="1" x14ac:dyDescent="0.25">
      <c r="T12206" s="135"/>
      <c r="U12206" s="135"/>
    </row>
    <row r="12207" spans="20:21" ht="15" customHeight="1" x14ac:dyDescent="0.25">
      <c r="T12207" s="135"/>
      <c r="U12207" s="135"/>
    </row>
    <row r="12208" spans="20:21" ht="15" customHeight="1" x14ac:dyDescent="0.25">
      <c r="T12208" s="135"/>
      <c r="U12208" s="135"/>
    </row>
    <row r="12209" spans="20:21" ht="15" customHeight="1" x14ac:dyDescent="0.25">
      <c r="T12209" s="135"/>
      <c r="U12209" s="135"/>
    </row>
    <row r="12210" spans="20:21" ht="15" customHeight="1" x14ac:dyDescent="0.25">
      <c r="T12210" s="135"/>
      <c r="U12210" s="135"/>
    </row>
    <row r="12211" spans="20:21" ht="15" customHeight="1" x14ac:dyDescent="0.25">
      <c r="T12211" s="135"/>
      <c r="U12211" s="135"/>
    </row>
    <row r="12212" spans="20:21" ht="15" customHeight="1" x14ac:dyDescent="0.25">
      <c r="T12212" s="135"/>
      <c r="U12212" s="135"/>
    </row>
    <row r="12213" spans="20:21" ht="15" customHeight="1" x14ac:dyDescent="0.25">
      <c r="T12213" s="135"/>
      <c r="U12213" s="135"/>
    </row>
    <row r="12214" spans="20:21" ht="15" customHeight="1" x14ac:dyDescent="0.25">
      <c r="T12214" s="135"/>
      <c r="U12214" s="135"/>
    </row>
    <row r="12215" spans="20:21" ht="15" customHeight="1" x14ac:dyDescent="0.25">
      <c r="T12215" s="135"/>
      <c r="U12215" s="135"/>
    </row>
    <row r="12216" spans="20:21" ht="15" customHeight="1" x14ac:dyDescent="0.25">
      <c r="T12216" s="135"/>
      <c r="U12216" s="135"/>
    </row>
    <row r="12217" spans="20:21" ht="15" customHeight="1" x14ac:dyDescent="0.25">
      <c r="T12217" s="135"/>
      <c r="U12217" s="135"/>
    </row>
    <row r="12218" spans="20:21" ht="15" customHeight="1" x14ac:dyDescent="0.25">
      <c r="T12218" s="135"/>
      <c r="U12218" s="135"/>
    </row>
    <row r="12219" spans="20:21" ht="15" customHeight="1" x14ac:dyDescent="0.25">
      <c r="T12219" s="135"/>
      <c r="U12219" s="135"/>
    </row>
    <row r="12220" spans="20:21" ht="15" customHeight="1" x14ac:dyDescent="0.25">
      <c r="T12220" s="135"/>
      <c r="U12220" s="135"/>
    </row>
    <row r="12221" spans="20:21" ht="15" customHeight="1" x14ac:dyDescent="0.25">
      <c r="T12221" s="135"/>
      <c r="U12221" s="135"/>
    </row>
    <row r="12222" spans="20:21" ht="15" customHeight="1" x14ac:dyDescent="0.25">
      <c r="T12222" s="135"/>
      <c r="U12222" s="135"/>
    </row>
    <row r="12223" spans="20:21" ht="15" customHeight="1" x14ac:dyDescent="0.25">
      <c r="T12223" s="135"/>
      <c r="U12223" s="135"/>
    </row>
    <row r="12224" spans="20:21" ht="15" customHeight="1" x14ac:dyDescent="0.25">
      <c r="T12224" s="135"/>
      <c r="U12224" s="135"/>
    </row>
    <row r="12225" spans="20:21" ht="15" customHeight="1" x14ac:dyDescent="0.25">
      <c r="T12225" s="135"/>
      <c r="U12225" s="135"/>
    </row>
    <row r="12226" spans="20:21" ht="15" customHeight="1" x14ac:dyDescent="0.25">
      <c r="T12226" s="135"/>
      <c r="U12226" s="135"/>
    </row>
    <row r="12227" spans="20:21" ht="15" customHeight="1" x14ac:dyDescent="0.25">
      <c r="T12227" s="135"/>
      <c r="U12227" s="135"/>
    </row>
    <row r="12228" spans="20:21" ht="15" customHeight="1" x14ac:dyDescent="0.25">
      <c r="T12228" s="135"/>
      <c r="U12228" s="135"/>
    </row>
    <row r="12229" spans="20:21" ht="15" customHeight="1" x14ac:dyDescent="0.25">
      <c r="T12229" s="135"/>
      <c r="U12229" s="135"/>
    </row>
    <row r="12230" spans="20:21" ht="15" customHeight="1" x14ac:dyDescent="0.25">
      <c r="T12230" s="135"/>
      <c r="U12230" s="135"/>
    </row>
    <row r="12231" spans="20:21" ht="15" customHeight="1" x14ac:dyDescent="0.25">
      <c r="T12231" s="135"/>
      <c r="U12231" s="135"/>
    </row>
    <row r="12232" spans="20:21" ht="15" customHeight="1" x14ac:dyDescent="0.25">
      <c r="T12232" s="135"/>
      <c r="U12232" s="135"/>
    </row>
    <row r="12233" spans="20:21" ht="15" customHeight="1" x14ac:dyDescent="0.25">
      <c r="T12233" s="135"/>
      <c r="U12233" s="135"/>
    </row>
    <row r="12234" spans="20:21" ht="15" customHeight="1" x14ac:dyDescent="0.25">
      <c r="T12234" s="135"/>
      <c r="U12234" s="135"/>
    </row>
    <row r="12235" spans="20:21" ht="15" customHeight="1" x14ac:dyDescent="0.25">
      <c r="T12235" s="135"/>
      <c r="U12235" s="135"/>
    </row>
    <row r="12236" spans="20:21" ht="15" customHeight="1" x14ac:dyDescent="0.25">
      <c r="T12236" s="135"/>
      <c r="U12236" s="135"/>
    </row>
    <row r="12237" spans="20:21" ht="15" customHeight="1" x14ac:dyDescent="0.25">
      <c r="T12237" s="135"/>
      <c r="U12237" s="135"/>
    </row>
    <row r="12238" spans="20:21" ht="15" customHeight="1" x14ac:dyDescent="0.25">
      <c r="T12238" s="135"/>
      <c r="U12238" s="135"/>
    </row>
    <row r="12239" spans="20:21" ht="15" customHeight="1" x14ac:dyDescent="0.25">
      <c r="T12239" s="135"/>
      <c r="U12239" s="135"/>
    </row>
    <row r="12240" spans="20:21" ht="15" customHeight="1" x14ac:dyDescent="0.25">
      <c r="T12240" s="135"/>
      <c r="U12240" s="135"/>
    </row>
    <row r="12241" spans="20:21" ht="15" customHeight="1" x14ac:dyDescent="0.25">
      <c r="T12241" s="135"/>
      <c r="U12241" s="135"/>
    </row>
    <row r="12242" spans="20:21" ht="15" customHeight="1" x14ac:dyDescent="0.25">
      <c r="T12242" s="135"/>
      <c r="U12242" s="135"/>
    </row>
    <row r="12243" spans="20:21" ht="15" customHeight="1" x14ac:dyDescent="0.25">
      <c r="T12243" s="135"/>
      <c r="U12243" s="135"/>
    </row>
    <row r="12244" spans="20:21" ht="15" customHeight="1" x14ac:dyDescent="0.25">
      <c r="T12244" s="135"/>
      <c r="U12244" s="135"/>
    </row>
    <row r="12245" spans="20:21" ht="15" customHeight="1" x14ac:dyDescent="0.25">
      <c r="T12245" s="135"/>
      <c r="U12245" s="135"/>
    </row>
    <row r="12246" spans="20:21" ht="15" customHeight="1" x14ac:dyDescent="0.25">
      <c r="T12246" s="135"/>
      <c r="U12246" s="135"/>
    </row>
    <row r="12247" spans="20:21" ht="15" customHeight="1" x14ac:dyDescent="0.25">
      <c r="T12247" s="135"/>
      <c r="U12247" s="135"/>
    </row>
    <row r="12248" spans="20:21" ht="15" customHeight="1" x14ac:dyDescent="0.25">
      <c r="T12248" s="135"/>
      <c r="U12248" s="135"/>
    </row>
    <row r="12249" spans="20:21" ht="15" customHeight="1" x14ac:dyDescent="0.25">
      <c r="T12249" s="135"/>
      <c r="U12249" s="135"/>
    </row>
    <row r="12250" spans="20:21" ht="15" customHeight="1" x14ac:dyDescent="0.25">
      <c r="T12250" s="135"/>
      <c r="U12250" s="135"/>
    </row>
    <row r="12251" spans="20:21" ht="15" customHeight="1" x14ac:dyDescent="0.25">
      <c r="T12251" s="135"/>
      <c r="U12251" s="135"/>
    </row>
    <row r="12252" spans="20:21" ht="15" customHeight="1" x14ac:dyDescent="0.25">
      <c r="T12252" s="135"/>
      <c r="U12252" s="135"/>
    </row>
    <row r="12253" spans="20:21" ht="15" customHeight="1" x14ac:dyDescent="0.25">
      <c r="T12253" s="135"/>
      <c r="U12253" s="135"/>
    </row>
    <row r="12254" spans="20:21" ht="15" customHeight="1" x14ac:dyDescent="0.25">
      <c r="T12254" s="135"/>
      <c r="U12254" s="135"/>
    </row>
    <row r="12255" spans="20:21" ht="15" customHeight="1" x14ac:dyDescent="0.25">
      <c r="T12255" s="135"/>
      <c r="U12255" s="135"/>
    </row>
    <row r="12256" spans="20:21" ht="15" customHeight="1" x14ac:dyDescent="0.25">
      <c r="T12256" s="135"/>
      <c r="U12256" s="135"/>
    </row>
    <row r="12257" spans="20:21" ht="15" customHeight="1" x14ac:dyDescent="0.25">
      <c r="T12257" s="135"/>
      <c r="U12257" s="135"/>
    </row>
    <row r="12258" spans="20:21" ht="15" customHeight="1" x14ac:dyDescent="0.25">
      <c r="T12258" s="135"/>
      <c r="U12258" s="135"/>
    </row>
    <row r="12259" spans="20:21" ht="15" customHeight="1" x14ac:dyDescent="0.25">
      <c r="T12259" s="135"/>
      <c r="U12259" s="135"/>
    </row>
    <row r="12260" spans="20:21" ht="15" customHeight="1" x14ac:dyDescent="0.25">
      <c r="T12260" s="135"/>
      <c r="U12260" s="135"/>
    </row>
    <row r="12261" spans="20:21" ht="15" customHeight="1" x14ac:dyDescent="0.25">
      <c r="T12261" s="135"/>
      <c r="U12261" s="135"/>
    </row>
    <row r="12262" spans="20:21" ht="15" customHeight="1" x14ac:dyDescent="0.25">
      <c r="T12262" s="135"/>
      <c r="U12262" s="135"/>
    </row>
    <row r="12263" spans="20:21" ht="15" customHeight="1" x14ac:dyDescent="0.25">
      <c r="T12263" s="135"/>
      <c r="U12263" s="135"/>
    </row>
    <row r="12264" spans="20:21" ht="15" customHeight="1" x14ac:dyDescent="0.25">
      <c r="T12264" s="135"/>
      <c r="U12264" s="135"/>
    </row>
    <row r="12265" spans="20:21" ht="15" customHeight="1" x14ac:dyDescent="0.25">
      <c r="T12265" s="135"/>
      <c r="U12265" s="135"/>
    </row>
    <row r="12266" spans="20:21" ht="15" customHeight="1" x14ac:dyDescent="0.25">
      <c r="T12266" s="135"/>
      <c r="U12266" s="135"/>
    </row>
    <row r="12267" spans="20:21" ht="15" customHeight="1" x14ac:dyDescent="0.25">
      <c r="T12267" s="135"/>
      <c r="U12267" s="135"/>
    </row>
    <row r="12268" spans="20:21" ht="15" customHeight="1" x14ac:dyDescent="0.25">
      <c r="T12268" s="135"/>
      <c r="U12268" s="135"/>
    </row>
    <row r="12269" spans="20:21" ht="15" customHeight="1" x14ac:dyDescent="0.25">
      <c r="T12269" s="135"/>
      <c r="U12269" s="135"/>
    </row>
    <row r="12270" spans="20:21" ht="15" customHeight="1" x14ac:dyDescent="0.25">
      <c r="T12270" s="135"/>
      <c r="U12270" s="135"/>
    </row>
    <row r="12271" spans="20:21" ht="15" customHeight="1" x14ac:dyDescent="0.25">
      <c r="T12271" s="135"/>
      <c r="U12271" s="135"/>
    </row>
    <row r="12272" spans="20:21" ht="15" customHeight="1" x14ac:dyDescent="0.25">
      <c r="T12272" s="135"/>
      <c r="U12272" s="135"/>
    </row>
    <row r="12273" spans="20:21" ht="15" customHeight="1" x14ac:dyDescent="0.25">
      <c r="T12273" s="135"/>
      <c r="U12273" s="135"/>
    </row>
    <row r="12274" spans="20:21" ht="15" customHeight="1" x14ac:dyDescent="0.25">
      <c r="T12274" s="135"/>
      <c r="U12274" s="135"/>
    </row>
    <row r="12275" spans="20:21" ht="15" customHeight="1" x14ac:dyDescent="0.25">
      <c r="T12275" s="135"/>
      <c r="U12275" s="135"/>
    </row>
    <row r="12276" spans="20:21" ht="15" customHeight="1" x14ac:dyDescent="0.25">
      <c r="T12276" s="135"/>
      <c r="U12276" s="135"/>
    </row>
    <row r="12277" spans="20:21" ht="15" customHeight="1" x14ac:dyDescent="0.25">
      <c r="T12277" s="135"/>
      <c r="U12277" s="135"/>
    </row>
    <row r="12278" spans="20:21" ht="15" customHeight="1" x14ac:dyDescent="0.25">
      <c r="T12278" s="135"/>
      <c r="U12278" s="135"/>
    </row>
    <row r="12279" spans="20:21" ht="15" customHeight="1" x14ac:dyDescent="0.25">
      <c r="T12279" s="135"/>
      <c r="U12279" s="135"/>
    </row>
    <row r="12280" spans="20:21" ht="15" customHeight="1" x14ac:dyDescent="0.25">
      <c r="T12280" s="135"/>
      <c r="U12280" s="135"/>
    </row>
    <row r="12281" spans="20:21" ht="15" customHeight="1" x14ac:dyDescent="0.25">
      <c r="T12281" s="135"/>
      <c r="U12281" s="135"/>
    </row>
    <row r="12282" spans="20:21" ht="15" customHeight="1" x14ac:dyDescent="0.25">
      <c r="T12282" s="135"/>
      <c r="U12282" s="135"/>
    </row>
    <row r="12283" spans="20:21" ht="15" customHeight="1" x14ac:dyDescent="0.25">
      <c r="T12283" s="135"/>
      <c r="U12283" s="135"/>
    </row>
    <row r="12284" spans="20:21" ht="15" customHeight="1" x14ac:dyDescent="0.25">
      <c r="T12284" s="135"/>
      <c r="U12284" s="135"/>
    </row>
    <row r="12285" spans="20:21" ht="15" customHeight="1" x14ac:dyDescent="0.25">
      <c r="T12285" s="135"/>
      <c r="U12285" s="135"/>
    </row>
    <row r="12286" spans="20:21" ht="15" customHeight="1" x14ac:dyDescent="0.25">
      <c r="T12286" s="135"/>
      <c r="U12286" s="135"/>
    </row>
    <row r="12287" spans="20:21" ht="15" customHeight="1" x14ac:dyDescent="0.25">
      <c r="T12287" s="135"/>
      <c r="U12287" s="135"/>
    </row>
    <row r="12288" spans="20:21" ht="15" customHeight="1" x14ac:dyDescent="0.25">
      <c r="T12288" s="135"/>
      <c r="U12288" s="135"/>
    </row>
    <row r="12289" spans="20:21" ht="15" customHeight="1" x14ac:dyDescent="0.25">
      <c r="T12289" s="135"/>
      <c r="U12289" s="135"/>
    </row>
    <row r="12290" spans="20:21" ht="15" customHeight="1" x14ac:dyDescent="0.25">
      <c r="T12290" s="135"/>
      <c r="U12290" s="135"/>
    </row>
    <row r="12291" spans="20:21" ht="15" customHeight="1" x14ac:dyDescent="0.25">
      <c r="T12291" s="135"/>
      <c r="U12291" s="135"/>
    </row>
    <row r="12292" spans="20:21" ht="15" customHeight="1" x14ac:dyDescent="0.25">
      <c r="T12292" s="135"/>
      <c r="U12292" s="135"/>
    </row>
    <row r="12293" spans="20:21" ht="15" customHeight="1" x14ac:dyDescent="0.25">
      <c r="T12293" s="135"/>
      <c r="U12293" s="135"/>
    </row>
    <row r="12294" spans="20:21" ht="15" customHeight="1" x14ac:dyDescent="0.25">
      <c r="T12294" s="135"/>
      <c r="U12294" s="135"/>
    </row>
    <row r="12295" spans="20:21" ht="15" customHeight="1" x14ac:dyDescent="0.25">
      <c r="T12295" s="135"/>
      <c r="U12295" s="135"/>
    </row>
    <row r="12296" spans="20:21" ht="15" customHeight="1" x14ac:dyDescent="0.25">
      <c r="T12296" s="135"/>
      <c r="U12296" s="135"/>
    </row>
    <row r="12297" spans="20:21" ht="15" customHeight="1" x14ac:dyDescent="0.25">
      <c r="T12297" s="135"/>
      <c r="U12297" s="135"/>
    </row>
    <row r="12298" spans="20:21" ht="15" customHeight="1" x14ac:dyDescent="0.25">
      <c r="T12298" s="135"/>
      <c r="U12298" s="135"/>
    </row>
    <row r="12299" spans="20:21" ht="15" customHeight="1" x14ac:dyDescent="0.25">
      <c r="T12299" s="135"/>
      <c r="U12299" s="135"/>
    </row>
    <row r="12300" spans="20:21" ht="15" customHeight="1" x14ac:dyDescent="0.25">
      <c r="T12300" s="135"/>
      <c r="U12300" s="135"/>
    </row>
    <row r="12301" spans="20:21" ht="15" customHeight="1" x14ac:dyDescent="0.25">
      <c r="T12301" s="135"/>
      <c r="U12301" s="135"/>
    </row>
    <row r="12302" spans="20:21" ht="15" customHeight="1" x14ac:dyDescent="0.25">
      <c r="T12302" s="135"/>
      <c r="U12302" s="135"/>
    </row>
    <row r="12303" spans="20:21" ht="15" customHeight="1" x14ac:dyDescent="0.25">
      <c r="T12303" s="135"/>
      <c r="U12303" s="135"/>
    </row>
    <row r="12304" spans="20:21" ht="15" customHeight="1" x14ac:dyDescent="0.25">
      <c r="T12304" s="135"/>
      <c r="U12304" s="135"/>
    </row>
    <row r="12305" spans="20:21" ht="15" customHeight="1" x14ac:dyDescent="0.25">
      <c r="T12305" s="135"/>
      <c r="U12305" s="135"/>
    </row>
    <row r="12306" spans="20:21" ht="15" customHeight="1" x14ac:dyDescent="0.25">
      <c r="T12306" s="135"/>
      <c r="U12306" s="135"/>
    </row>
    <row r="12307" spans="20:21" ht="15" customHeight="1" x14ac:dyDescent="0.25">
      <c r="T12307" s="135"/>
      <c r="U12307" s="135"/>
    </row>
    <row r="12308" spans="20:21" ht="15" customHeight="1" x14ac:dyDescent="0.25">
      <c r="T12308" s="135"/>
      <c r="U12308" s="135"/>
    </row>
    <row r="12309" spans="20:21" ht="15" customHeight="1" x14ac:dyDescent="0.25">
      <c r="T12309" s="135"/>
      <c r="U12309" s="135"/>
    </row>
    <row r="12310" spans="20:21" ht="15" customHeight="1" x14ac:dyDescent="0.25">
      <c r="T12310" s="135"/>
      <c r="U12310" s="135"/>
    </row>
    <row r="12311" spans="20:21" ht="15" customHeight="1" x14ac:dyDescent="0.25">
      <c r="T12311" s="135"/>
      <c r="U12311" s="135"/>
    </row>
    <row r="12312" spans="20:21" ht="15" customHeight="1" x14ac:dyDescent="0.25">
      <c r="T12312" s="135"/>
      <c r="U12312" s="135"/>
    </row>
    <row r="12313" spans="20:21" ht="15" customHeight="1" x14ac:dyDescent="0.25">
      <c r="T12313" s="135"/>
      <c r="U12313" s="135"/>
    </row>
    <row r="12314" spans="20:21" ht="15" customHeight="1" x14ac:dyDescent="0.25">
      <c r="T12314" s="135"/>
      <c r="U12314" s="135"/>
    </row>
    <row r="12315" spans="20:21" ht="15" customHeight="1" x14ac:dyDescent="0.25">
      <c r="T12315" s="135"/>
      <c r="U12315" s="135"/>
    </row>
    <row r="12316" spans="20:21" ht="15" customHeight="1" x14ac:dyDescent="0.25">
      <c r="T12316" s="135"/>
      <c r="U12316" s="135"/>
    </row>
    <row r="12317" spans="20:21" ht="15" customHeight="1" x14ac:dyDescent="0.25">
      <c r="T12317" s="135"/>
      <c r="U12317" s="135"/>
    </row>
    <row r="12318" spans="20:21" ht="15" customHeight="1" x14ac:dyDescent="0.25">
      <c r="T12318" s="135"/>
      <c r="U12318" s="135"/>
    </row>
    <row r="12319" spans="20:21" ht="15" customHeight="1" x14ac:dyDescent="0.25">
      <c r="T12319" s="135"/>
      <c r="U12319" s="135"/>
    </row>
    <row r="12320" spans="20:21" ht="15" customHeight="1" x14ac:dyDescent="0.25">
      <c r="T12320" s="135"/>
      <c r="U12320" s="135"/>
    </row>
    <row r="12321" spans="20:21" ht="15" customHeight="1" x14ac:dyDescent="0.25">
      <c r="T12321" s="135"/>
      <c r="U12321" s="135"/>
    </row>
    <row r="12322" spans="20:21" ht="15" customHeight="1" x14ac:dyDescent="0.25">
      <c r="T12322" s="135"/>
      <c r="U12322" s="135"/>
    </row>
    <row r="12323" spans="20:21" ht="15" customHeight="1" x14ac:dyDescent="0.25">
      <c r="T12323" s="135"/>
      <c r="U12323" s="135"/>
    </row>
    <row r="12324" spans="20:21" ht="15" customHeight="1" x14ac:dyDescent="0.25">
      <c r="T12324" s="135"/>
      <c r="U12324" s="135"/>
    </row>
    <row r="12325" spans="20:21" ht="15" customHeight="1" x14ac:dyDescent="0.25">
      <c r="T12325" s="135"/>
      <c r="U12325" s="135"/>
    </row>
    <row r="12326" spans="20:21" ht="15" customHeight="1" x14ac:dyDescent="0.25">
      <c r="T12326" s="135"/>
      <c r="U12326" s="135"/>
    </row>
    <row r="12327" spans="20:21" ht="15" customHeight="1" x14ac:dyDescent="0.25">
      <c r="T12327" s="135"/>
      <c r="U12327" s="135"/>
    </row>
    <row r="12328" spans="20:21" ht="15" customHeight="1" x14ac:dyDescent="0.25">
      <c r="T12328" s="135"/>
      <c r="U12328" s="135"/>
    </row>
    <row r="12329" spans="20:21" ht="15" customHeight="1" x14ac:dyDescent="0.25">
      <c r="T12329" s="135"/>
      <c r="U12329" s="135"/>
    </row>
    <row r="12330" spans="20:21" ht="15" customHeight="1" x14ac:dyDescent="0.25">
      <c r="T12330" s="135"/>
      <c r="U12330" s="135"/>
    </row>
    <row r="12331" spans="20:21" ht="15" customHeight="1" x14ac:dyDescent="0.25">
      <c r="T12331" s="135"/>
      <c r="U12331" s="135"/>
    </row>
    <row r="12332" spans="20:21" ht="15" customHeight="1" x14ac:dyDescent="0.25">
      <c r="T12332" s="135"/>
      <c r="U12332" s="135"/>
    </row>
    <row r="12333" spans="20:21" ht="15" customHeight="1" x14ac:dyDescent="0.25">
      <c r="T12333" s="135"/>
      <c r="U12333" s="135"/>
    </row>
    <row r="12334" spans="20:21" ht="15" customHeight="1" x14ac:dyDescent="0.25">
      <c r="T12334" s="135"/>
      <c r="U12334" s="135"/>
    </row>
    <row r="12335" spans="20:21" ht="15" customHeight="1" x14ac:dyDescent="0.25">
      <c r="T12335" s="135"/>
      <c r="U12335" s="135"/>
    </row>
    <row r="12336" spans="20:21" ht="15" customHeight="1" x14ac:dyDescent="0.25">
      <c r="T12336" s="135"/>
      <c r="U12336" s="135"/>
    </row>
    <row r="12337" spans="20:21" ht="15" customHeight="1" x14ac:dyDescent="0.25">
      <c r="T12337" s="135"/>
      <c r="U12337" s="135"/>
    </row>
    <row r="12338" spans="20:21" ht="15" customHeight="1" x14ac:dyDescent="0.25">
      <c r="T12338" s="135"/>
      <c r="U12338" s="135"/>
    </row>
    <row r="12339" spans="20:21" ht="15" customHeight="1" x14ac:dyDescent="0.25">
      <c r="T12339" s="135"/>
      <c r="U12339" s="135"/>
    </row>
    <row r="12340" spans="20:21" ht="15" customHeight="1" x14ac:dyDescent="0.25">
      <c r="T12340" s="135"/>
      <c r="U12340" s="135"/>
    </row>
    <row r="12341" spans="20:21" ht="15" customHeight="1" x14ac:dyDescent="0.25">
      <c r="T12341" s="135"/>
      <c r="U12341" s="135"/>
    </row>
    <row r="12342" spans="20:21" ht="15" customHeight="1" x14ac:dyDescent="0.25">
      <c r="T12342" s="135"/>
      <c r="U12342" s="135"/>
    </row>
    <row r="12343" spans="20:21" ht="15" customHeight="1" x14ac:dyDescent="0.25">
      <c r="T12343" s="135"/>
      <c r="U12343" s="135"/>
    </row>
    <row r="12344" spans="20:21" ht="15" customHeight="1" x14ac:dyDescent="0.25">
      <c r="T12344" s="135"/>
      <c r="U12344" s="135"/>
    </row>
    <row r="12345" spans="20:21" ht="15" customHeight="1" x14ac:dyDescent="0.25">
      <c r="T12345" s="135"/>
      <c r="U12345" s="135"/>
    </row>
    <row r="12346" spans="20:21" ht="15" customHeight="1" x14ac:dyDescent="0.25">
      <c r="T12346" s="135"/>
      <c r="U12346" s="135"/>
    </row>
    <row r="12347" spans="20:21" ht="15" customHeight="1" x14ac:dyDescent="0.25">
      <c r="T12347" s="135"/>
      <c r="U12347" s="135"/>
    </row>
    <row r="12348" spans="20:21" ht="15" customHeight="1" x14ac:dyDescent="0.25">
      <c r="T12348" s="135"/>
      <c r="U12348" s="135"/>
    </row>
    <row r="12349" spans="20:21" ht="15" customHeight="1" x14ac:dyDescent="0.25">
      <c r="T12349" s="135"/>
      <c r="U12349" s="135"/>
    </row>
    <row r="12350" spans="20:21" ht="15" customHeight="1" x14ac:dyDescent="0.25">
      <c r="T12350" s="135"/>
      <c r="U12350" s="135"/>
    </row>
    <row r="12351" spans="20:21" ht="15" customHeight="1" x14ac:dyDescent="0.25">
      <c r="T12351" s="135"/>
      <c r="U12351" s="135"/>
    </row>
    <row r="12352" spans="20:21" ht="15" customHeight="1" x14ac:dyDescent="0.25">
      <c r="T12352" s="135"/>
      <c r="U12352" s="135"/>
    </row>
    <row r="12353" spans="20:21" ht="15" customHeight="1" x14ac:dyDescent="0.25">
      <c r="T12353" s="135"/>
      <c r="U12353" s="135"/>
    </row>
    <row r="12354" spans="20:21" ht="15" customHeight="1" x14ac:dyDescent="0.25">
      <c r="T12354" s="135"/>
      <c r="U12354" s="135"/>
    </row>
    <row r="12355" spans="20:21" ht="15" customHeight="1" x14ac:dyDescent="0.25">
      <c r="T12355" s="135"/>
      <c r="U12355" s="135"/>
    </row>
    <row r="12356" spans="20:21" ht="15" customHeight="1" x14ac:dyDescent="0.25">
      <c r="T12356" s="135"/>
      <c r="U12356" s="135"/>
    </row>
    <row r="12357" spans="20:21" ht="15" customHeight="1" x14ac:dyDescent="0.25">
      <c r="T12357" s="135"/>
      <c r="U12357" s="135"/>
    </row>
    <row r="12358" spans="20:21" ht="15" customHeight="1" x14ac:dyDescent="0.25">
      <c r="T12358" s="135"/>
      <c r="U12358" s="135"/>
    </row>
    <row r="12359" spans="20:21" ht="15" customHeight="1" x14ac:dyDescent="0.25">
      <c r="T12359" s="135"/>
      <c r="U12359" s="135"/>
    </row>
    <row r="12360" spans="20:21" ht="15" customHeight="1" x14ac:dyDescent="0.25">
      <c r="T12360" s="135"/>
      <c r="U12360" s="135"/>
    </row>
    <row r="12361" spans="20:21" ht="15" customHeight="1" x14ac:dyDescent="0.25">
      <c r="T12361" s="135"/>
      <c r="U12361" s="135"/>
    </row>
    <row r="12362" spans="20:21" ht="15" customHeight="1" x14ac:dyDescent="0.25">
      <c r="T12362" s="135"/>
      <c r="U12362" s="135"/>
    </row>
    <row r="12363" spans="20:21" ht="15" customHeight="1" x14ac:dyDescent="0.25">
      <c r="T12363" s="135"/>
      <c r="U12363" s="135"/>
    </row>
    <row r="12364" spans="20:21" ht="15" customHeight="1" x14ac:dyDescent="0.25">
      <c r="T12364" s="135"/>
      <c r="U12364" s="135"/>
    </row>
    <row r="12365" spans="20:21" ht="15" customHeight="1" x14ac:dyDescent="0.25">
      <c r="T12365" s="135"/>
      <c r="U12365" s="135"/>
    </row>
    <row r="12366" spans="20:21" ht="15" customHeight="1" x14ac:dyDescent="0.25">
      <c r="T12366" s="135"/>
      <c r="U12366" s="135"/>
    </row>
    <row r="12367" spans="20:21" ht="15" customHeight="1" x14ac:dyDescent="0.25">
      <c r="T12367" s="135"/>
      <c r="U12367" s="135"/>
    </row>
    <row r="12368" spans="20:21" ht="15" customHeight="1" x14ac:dyDescent="0.25">
      <c r="T12368" s="135"/>
      <c r="U12368" s="135"/>
    </row>
    <row r="12369" spans="20:21" ht="15" customHeight="1" x14ac:dyDescent="0.25">
      <c r="T12369" s="135"/>
      <c r="U12369" s="135"/>
    </row>
    <row r="12370" spans="20:21" ht="15" customHeight="1" x14ac:dyDescent="0.25">
      <c r="T12370" s="135"/>
      <c r="U12370" s="135"/>
    </row>
    <row r="12371" spans="20:21" ht="15" customHeight="1" x14ac:dyDescent="0.25">
      <c r="T12371" s="135"/>
      <c r="U12371" s="135"/>
    </row>
    <row r="12372" spans="20:21" ht="15" customHeight="1" x14ac:dyDescent="0.25">
      <c r="T12372" s="135"/>
      <c r="U12372" s="135"/>
    </row>
    <row r="12373" spans="20:21" ht="15" customHeight="1" x14ac:dyDescent="0.25">
      <c r="T12373" s="135"/>
      <c r="U12373" s="135"/>
    </row>
    <row r="12374" spans="20:21" ht="15" customHeight="1" x14ac:dyDescent="0.25">
      <c r="T12374" s="135"/>
      <c r="U12374" s="135"/>
    </row>
    <row r="12375" spans="20:21" ht="15" customHeight="1" x14ac:dyDescent="0.25">
      <c r="T12375" s="135"/>
      <c r="U12375" s="135"/>
    </row>
    <row r="12376" spans="20:21" ht="15" customHeight="1" x14ac:dyDescent="0.25">
      <c r="T12376" s="135"/>
      <c r="U12376" s="135"/>
    </row>
    <row r="12377" spans="20:21" ht="15" customHeight="1" x14ac:dyDescent="0.25">
      <c r="T12377" s="135"/>
      <c r="U12377" s="135"/>
    </row>
    <row r="12378" spans="20:21" ht="15" customHeight="1" x14ac:dyDescent="0.25">
      <c r="T12378" s="135"/>
      <c r="U12378" s="135"/>
    </row>
    <row r="12379" spans="20:21" ht="15" customHeight="1" x14ac:dyDescent="0.25">
      <c r="T12379" s="135"/>
      <c r="U12379" s="135"/>
    </row>
    <row r="12380" spans="20:21" ht="15" customHeight="1" x14ac:dyDescent="0.25">
      <c r="T12380" s="135"/>
      <c r="U12380" s="135"/>
    </row>
    <row r="12381" spans="20:21" ht="15" customHeight="1" x14ac:dyDescent="0.25">
      <c r="T12381" s="135"/>
      <c r="U12381" s="135"/>
    </row>
    <row r="12382" spans="20:21" ht="15" customHeight="1" x14ac:dyDescent="0.25">
      <c r="T12382" s="135"/>
      <c r="U12382" s="135"/>
    </row>
    <row r="12383" spans="20:21" ht="15" customHeight="1" x14ac:dyDescent="0.25">
      <c r="T12383" s="135"/>
      <c r="U12383" s="135"/>
    </row>
    <row r="12384" spans="20:21" ht="15" customHeight="1" x14ac:dyDescent="0.25">
      <c r="T12384" s="135"/>
      <c r="U12384" s="135"/>
    </row>
    <row r="12385" spans="20:21" ht="15" customHeight="1" x14ac:dyDescent="0.25">
      <c r="T12385" s="135"/>
      <c r="U12385" s="135"/>
    </row>
    <row r="12386" spans="20:21" ht="15" customHeight="1" x14ac:dyDescent="0.25">
      <c r="T12386" s="135"/>
      <c r="U12386" s="135"/>
    </row>
    <row r="12387" spans="20:21" ht="15" customHeight="1" x14ac:dyDescent="0.25">
      <c r="T12387" s="135"/>
      <c r="U12387" s="135"/>
    </row>
    <row r="12388" spans="20:21" ht="15" customHeight="1" x14ac:dyDescent="0.25">
      <c r="T12388" s="135"/>
      <c r="U12388" s="135"/>
    </row>
    <row r="12389" spans="20:21" ht="15" customHeight="1" x14ac:dyDescent="0.25">
      <c r="T12389" s="135"/>
      <c r="U12389" s="135"/>
    </row>
    <row r="12390" spans="20:21" ht="15" customHeight="1" x14ac:dyDescent="0.25">
      <c r="T12390" s="135"/>
      <c r="U12390" s="135"/>
    </row>
    <row r="12391" spans="20:21" ht="15" customHeight="1" x14ac:dyDescent="0.25">
      <c r="T12391" s="135"/>
      <c r="U12391" s="135"/>
    </row>
    <row r="12392" spans="20:21" ht="15" customHeight="1" x14ac:dyDescent="0.25">
      <c r="T12392" s="135"/>
      <c r="U12392" s="135"/>
    </row>
    <row r="12393" spans="20:21" ht="15" customHeight="1" x14ac:dyDescent="0.25">
      <c r="T12393" s="135"/>
      <c r="U12393" s="135"/>
    </row>
    <row r="12394" spans="20:21" ht="15" customHeight="1" x14ac:dyDescent="0.25">
      <c r="T12394" s="135"/>
      <c r="U12394" s="135"/>
    </row>
    <row r="12395" spans="20:21" ht="15" customHeight="1" x14ac:dyDescent="0.25">
      <c r="T12395" s="135"/>
      <c r="U12395" s="135"/>
    </row>
    <row r="12396" spans="20:21" ht="15" customHeight="1" x14ac:dyDescent="0.25">
      <c r="T12396" s="135"/>
      <c r="U12396" s="135"/>
    </row>
    <row r="12397" spans="20:21" ht="15" customHeight="1" x14ac:dyDescent="0.25">
      <c r="T12397" s="135"/>
      <c r="U12397" s="135"/>
    </row>
    <row r="12398" spans="20:21" ht="15" customHeight="1" x14ac:dyDescent="0.25">
      <c r="T12398" s="135"/>
      <c r="U12398" s="135"/>
    </row>
    <row r="12399" spans="20:21" ht="15" customHeight="1" x14ac:dyDescent="0.25">
      <c r="T12399" s="135"/>
      <c r="U12399" s="135"/>
    </row>
    <row r="12400" spans="20:21" ht="15" customHeight="1" x14ac:dyDescent="0.25">
      <c r="T12400" s="135"/>
      <c r="U12400" s="135"/>
    </row>
    <row r="12401" spans="20:21" ht="15" customHeight="1" x14ac:dyDescent="0.25">
      <c r="T12401" s="135"/>
      <c r="U12401" s="135"/>
    </row>
    <row r="12402" spans="20:21" ht="15" customHeight="1" x14ac:dyDescent="0.25">
      <c r="T12402" s="135"/>
      <c r="U12402" s="135"/>
    </row>
    <row r="12403" spans="20:21" ht="15" customHeight="1" x14ac:dyDescent="0.25">
      <c r="T12403" s="135"/>
      <c r="U12403" s="135"/>
    </row>
    <row r="12404" spans="20:21" ht="15" customHeight="1" x14ac:dyDescent="0.25">
      <c r="T12404" s="135"/>
      <c r="U12404" s="135"/>
    </row>
    <row r="12405" spans="20:21" ht="15" customHeight="1" x14ac:dyDescent="0.25">
      <c r="T12405" s="135"/>
      <c r="U12405" s="135"/>
    </row>
    <row r="12406" spans="20:21" ht="15" customHeight="1" x14ac:dyDescent="0.25">
      <c r="T12406" s="135"/>
      <c r="U12406" s="135"/>
    </row>
    <row r="12407" spans="20:21" ht="15" customHeight="1" x14ac:dyDescent="0.25">
      <c r="T12407" s="135"/>
      <c r="U12407" s="135"/>
    </row>
    <row r="12408" spans="20:21" ht="15" customHeight="1" x14ac:dyDescent="0.25">
      <c r="T12408" s="135"/>
      <c r="U12408" s="135"/>
    </row>
    <row r="12409" spans="20:21" ht="15" customHeight="1" x14ac:dyDescent="0.25">
      <c r="T12409" s="135"/>
      <c r="U12409" s="135"/>
    </row>
    <row r="12410" spans="20:21" ht="15" customHeight="1" x14ac:dyDescent="0.25">
      <c r="T12410" s="135"/>
      <c r="U12410" s="135"/>
    </row>
    <row r="12411" spans="20:21" ht="15" customHeight="1" x14ac:dyDescent="0.25">
      <c r="T12411" s="135"/>
      <c r="U12411" s="135"/>
    </row>
    <row r="12412" spans="20:21" ht="15" customHeight="1" x14ac:dyDescent="0.25">
      <c r="T12412" s="135"/>
      <c r="U12412" s="135"/>
    </row>
    <row r="12413" spans="20:21" ht="15" customHeight="1" x14ac:dyDescent="0.25">
      <c r="T12413" s="135"/>
      <c r="U12413" s="135"/>
    </row>
    <row r="12414" spans="20:21" ht="15" customHeight="1" x14ac:dyDescent="0.25">
      <c r="T12414" s="135"/>
      <c r="U12414" s="135"/>
    </row>
    <row r="12415" spans="20:21" ht="15" customHeight="1" x14ac:dyDescent="0.25">
      <c r="T12415" s="135"/>
      <c r="U12415" s="135"/>
    </row>
    <row r="12416" spans="20:21" ht="15" customHeight="1" x14ac:dyDescent="0.25">
      <c r="T12416" s="135"/>
      <c r="U12416" s="135"/>
    </row>
    <row r="12417" spans="20:21" ht="15" customHeight="1" x14ac:dyDescent="0.25">
      <c r="T12417" s="135"/>
      <c r="U12417" s="135"/>
    </row>
    <row r="12418" spans="20:21" ht="15" customHeight="1" x14ac:dyDescent="0.25">
      <c r="T12418" s="135"/>
      <c r="U12418" s="135"/>
    </row>
    <row r="12419" spans="20:21" ht="15" customHeight="1" x14ac:dyDescent="0.25">
      <c r="T12419" s="135"/>
      <c r="U12419" s="135"/>
    </row>
    <row r="12420" spans="20:21" ht="15" customHeight="1" x14ac:dyDescent="0.25">
      <c r="T12420" s="135"/>
      <c r="U12420" s="135"/>
    </row>
    <row r="12421" spans="20:21" ht="15" customHeight="1" x14ac:dyDescent="0.25">
      <c r="T12421" s="135"/>
      <c r="U12421" s="135"/>
    </row>
    <row r="12422" spans="20:21" ht="15" customHeight="1" x14ac:dyDescent="0.25">
      <c r="T12422" s="135"/>
      <c r="U12422" s="135"/>
    </row>
    <row r="12423" spans="20:21" ht="15" customHeight="1" x14ac:dyDescent="0.25">
      <c r="T12423" s="135"/>
      <c r="U12423" s="135"/>
    </row>
    <row r="12424" spans="20:21" ht="15" customHeight="1" x14ac:dyDescent="0.25">
      <c r="T12424" s="135"/>
      <c r="U12424" s="135"/>
    </row>
    <row r="12425" spans="20:21" ht="15" customHeight="1" x14ac:dyDescent="0.25">
      <c r="T12425" s="135"/>
      <c r="U12425" s="135"/>
    </row>
    <row r="12426" spans="20:21" ht="15" customHeight="1" x14ac:dyDescent="0.25">
      <c r="T12426" s="135"/>
      <c r="U12426" s="135"/>
    </row>
    <row r="12427" spans="20:21" ht="15" customHeight="1" x14ac:dyDescent="0.25">
      <c r="T12427" s="135"/>
      <c r="U12427" s="135"/>
    </row>
    <row r="12428" spans="20:21" ht="15" customHeight="1" x14ac:dyDescent="0.25">
      <c r="T12428" s="135"/>
      <c r="U12428" s="135"/>
    </row>
    <row r="12429" spans="20:21" ht="15" customHeight="1" x14ac:dyDescent="0.25">
      <c r="T12429" s="135"/>
      <c r="U12429" s="135"/>
    </row>
    <row r="12430" spans="20:21" ht="15" customHeight="1" x14ac:dyDescent="0.25">
      <c r="T12430" s="135"/>
      <c r="U12430" s="135"/>
    </row>
    <row r="12431" spans="20:21" ht="15" customHeight="1" x14ac:dyDescent="0.25">
      <c r="T12431" s="135"/>
      <c r="U12431" s="135"/>
    </row>
    <row r="12432" spans="20:21" ht="15" customHeight="1" x14ac:dyDescent="0.25">
      <c r="T12432" s="135"/>
      <c r="U12432" s="135"/>
    </row>
    <row r="12433" spans="20:21" ht="15" customHeight="1" x14ac:dyDescent="0.25">
      <c r="T12433" s="135"/>
      <c r="U12433" s="135"/>
    </row>
    <row r="12434" spans="20:21" ht="15" customHeight="1" x14ac:dyDescent="0.25">
      <c r="T12434" s="135"/>
      <c r="U12434" s="135"/>
    </row>
    <row r="12435" spans="20:21" ht="15" customHeight="1" x14ac:dyDescent="0.25">
      <c r="T12435" s="135"/>
      <c r="U12435" s="135"/>
    </row>
    <row r="12436" spans="20:21" ht="15" customHeight="1" x14ac:dyDescent="0.25">
      <c r="T12436" s="135"/>
      <c r="U12436" s="135"/>
    </row>
    <row r="12437" spans="20:21" ht="15" customHeight="1" x14ac:dyDescent="0.25">
      <c r="T12437" s="135"/>
      <c r="U12437" s="135"/>
    </row>
    <row r="12438" spans="20:21" ht="15" customHeight="1" x14ac:dyDescent="0.25">
      <c r="T12438" s="135"/>
      <c r="U12438" s="135"/>
    </row>
    <row r="12439" spans="20:21" ht="15" customHeight="1" x14ac:dyDescent="0.25">
      <c r="T12439" s="135"/>
      <c r="U12439" s="135"/>
    </row>
    <row r="12440" spans="20:21" ht="15" customHeight="1" x14ac:dyDescent="0.25">
      <c r="T12440" s="135"/>
      <c r="U12440" s="135"/>
    </row>
    <row r="12441" spans="20:21" ht="15" customHeight="1" x14ac:dyDescent="0.25">
      <c r="T12441" s="135"/>
      <c r="U12441" s="135"/>
    </row>
    <row r="12442" spans="20:21" ht="15" customHeight="1" x14ac:dyDescent="0.25">
      <c r="T12442" s="135"/>
      <c r="U12442" s="135"/>
    </row>
    <row r="12443" spans="20:21" ht="15" customHeight="1" x14ac:dyDescent="0.25">
      <c r="T12443" s="135"/>
      <c r="U12443" s="135"/>
    </row>
    <row r="12444" spans="20:21" ht="15" customHeight="1" x14ac:dyDescent="0.25">
      <c r="T12444" s="135"/>
      <c r="U12444" s="135"/>
    </row>
    <row r="12445" spans="20:21" ht="15" customHeight="1" x14ac:dyDescent="0.25">
      <c r="T12445" s="135"/>
      <c r="U12445" s="135"/>
    </row>
    <row r="12446" spans="20:21" ht="15" customHeight="1" x14ac:dyDescent="0.25">
      <c r="T12446" s="135"/>
      <c r="U12446" s="135"/>
    </row>
    <row r="12447" spans="20:21" ht="15" customHeight="1" x14ac:dyDescent="0.25">
      <c r="T12447" s="135"/>
      <c r="U12447" s="135"/>
    </row>
    <row r="12448" spans="20:21" ht="15" customHeight="1" x14ac:dyDescent="0.25">
      <c r="T12448" s="135"/>
      <c r="U12448" s="135"/>
    </row>
    <row r="12449" spans="20:21" ht="15" customHeight="1" x14ac:dyDescent="0.25">
      <c r="T12449" s="135"/>
      <c r="U12449" s="135"/>
    </row>
    <row r="12450" spans="20:21" ht="15" customHeight="1" x14ac:dyDescent="0.25">
      <c r="T12450" s="135"/>
      <c r="U12450" s="135"/>
    </row>
    <row r="12451" spans="20:21" ht="15" customHeight="1" x14ac:dyDescent="0.25">
      <c r="T12451" s="135"/>
      <c r="U12451" s="135"/>
    </row>
    <row r="12452" spans="20:21" ht="15" customHeight="1" x14ac:dyDescent="0.25">
      <c r="T12452" s="135"/>
      <c r="U12452" s="135"/>
    </row>
    <row r="12453" spans="20:21" ht="15" customHeight="1" x14ac:dyDescent="0.25">
      <c r="T12453" s="135"/>
      <c r="U12453" s="135"/>
    </row>
    <row r="12454" spans="20:21" ht="15" customHeight="1" x14ac:dyDescent="0.25">
      <c r="T12454" s="135"/>
      <c r="U12454" s="135"/>
    </row>
    <row r="12455" spans="20:21" ht="15" customHeight="1" x14ac:dyDescent="0.25">
      <c r="T12455" s="135"/>
      <c r="U12455" s="135"/>
    </row>
    <row r="12456" spans="20:21" ht="15" customHeight="1" x14ac:dyDescent="0.25">
      <c r="T12456" s="135"/>
      <c r="U12456" s="135"/>
    </row>
    <row r="12457" spans="20:21" ht="15" customHeight="1" x14ac:dyDescent="0.25">
      <c r="T12457" s="135"/>
      <c r="U12457" s="135"/>
    </row>
    <row r="12458" spans="20:21" ht="15" customHeight="1" x14ac:dyDescent="0.25">
      <c r="T12458" s="135"/>
      <c r="U12458" s="135"/>
    </row>
    <row r="12459" spans="20:21" ht="15" customHeight="1" x14ac:dyDescent="0.25">
      <c r="T12459" s="135"/>
      <c r="U12459" s="135"/>
    </row>
    <row r="12460" spans="20:21" ht="15" customHeight="1" x14ac:dyDescent="0.25">
      <c r="T12460" s="135"/>
      <c r="U12460" s="135"/>
    </row>
    <row r="12461" spans="20:21" ht="15" customHeight="1" x14ac:dyDescent="0.25">
      <c r="T12461" s="135"/>
      <c r="U12461" s="135"/>
    </row>
    <row r="12462" spans="20:21" ht="15" customHeight="1" x14ac:dyDescent="0.25">
      <c r="T12462" s="135"/>
      <c r="U12462" s="135"/>
    </row>
    <row r="12463" spans="20:21" ht="15" customHeight="1" x14ac:dyDescent="0.25">
      <c r="T12463" s="135"/>
      <c r="U12463" s="135"/>
    </row>
    <row r="12464" spans="20:21" ht="15" customHeight="1" x14ac:dyDescent="0.25">
      <c r="T12464" s="135"/>
      <c r="U12464" s="135"/>
    </row>
    <row r="12465" spans="20:21" ht="15" customHeight="1" x14ac:dyDescent="0.25">
      <c r="T12465" s="135"/>
      <c r="U12465" s="135"/>
    </row>
    <row r="12466" spans="20:21" ht="15" customHeight="1" x14ac:dyDescent="0.25">
      <c r="T12466" s="135"/>
      <c r="U12466" s="135"/>
    </row>
    <row r="12467" spans="20:21" ht="15" customHeight="1" x14ac:dyDescent="0.25">
      <c r="T12467" s="135"/>
      <c r="U12467" s="135"/>
    </row>
    <row r="12468" spans="20:21" ht="15" customHeight="1" x14ac:dyDescent="0.25">
      <c r="T12468" s="135"/>
      <c r="U12468" s="135"/>
    </row>
    <row r="12469" spans="20:21" ht="15" customHeight="1" x14ac:dyDescent="0.25">
      <c r="T12469" s="135"/>
      <c r="U12469" s="135"/>
    </row>
    <row r="12470" spans="20:21" ht="15" customHeight="1" x14ac:dyDescent="0.25">
      <c r="T12470" s="135"/>
      <c r="U12470" s="135"/>
    </row>
    <row r="12471" spans="20:21" ht="15" customHeight="1" x14ac:dyDescent="0.25">
      <c r="T12471" s="135"/>
      <c r="U12471" s="135"/>
    </row>
    <row r="12472" spans="20:21" ht="15" customHeight="1" x14ac:dyDescent="0.25">
      <c r="T12472" s="135"/>
      <c r="U12472" s="135"/>
    </row>
    <row r="12473" spans="20:21" ht="15" customHeight="1" x14ac:dyDescent="0.25">
      <c r="T12473" s="135"/>
      <c r="U12473" s="135"/>
    </row>
    <row r="12474" spans="20:21" ht="15" customHeight="1" x14ac:dyDescent="0.25">
      <c r="T12474" s="135"/>
      <c r="U12474" s="135"/>
    </row>
    <row r="12475" spans="20:21" ht="15" customHeight="1" x14ac:dyDescent="0.25">
      <c r="T12475" s="135"/>
      <c r="U12475" s="135"/>
    </row>
    <row r="12476" spans="20:21" ht="15" customHeight="1" x14ac:dyDescent="0.25">
      <c r="T12476" s="135"/>
      <c r="U12476" s="135"/>
    </row>
    <row r="12477" spans="20:21" ht="15" customHeight="1" x14ac:dyDescent="0.25">
      <c r="T12477" s="135"/>
      <c r="U12477" s="135"/>
    </row>
    <row r="12478" spans="20:21" ht="15" customHeight="1" x14ac:dyDescent="0.25">
      <c r="T12478" s="135"/>
      <c r="U12478" s="135"/>
    </row>
    <row r="12479" spans="20:21" ht="15" customHeight="1" x14ac:dyDescent="0.25">
      <c r="T12479" s="135"/>
      <c r="U12479" s="135"/>
    </row>
    <row r="12480" spans="20:21" ht="15" customHeight="1" x14ac:dyDescent="0.25">
      <c r="T12480" s="135"/>
      <c r="U12480" s="135"/>
    </row>
    <row r="12481" spans="20:21" ht="15" customHeight="1" x14ac:dyDescent="0.25">
      <c r="T12481" s="135"/>
      <c r="U12481" s="135"/>
    </row>
    <row r="12482" spans="20:21" ht="15" customHeight="1" x14ac:dyDescent="0.25">
      <c r="T12482" s="135"/>
      <c r="U12482" s="135"/>
    </row>
    <row r="12483" spans="20:21" ht="15" customHeight="1" x14ac:dyDescent="0.25">
      <c r="T12483" s="135"/>
      <c r="U12483" s="135"/>
    </row>
    <row r="12484" spans="20:21" ht="15" customHeight="1" x14ac:dyDescent="0.25">
      <c r="T12484" s="135"/>
      <c r="U12484" s="135"/>
    </row>
    <row r="12485" spans="20:21" ht="15" customHeight="1" x14ac:dyDescent="0.25">
      <c r="T12485" s="135"/>
      <c r="U12485" s="135"/>
    </row>
    <row r="12486" spans="20:21" ht="15" customHeight="1" x14ac:dyDescent="0.25">
      <c r="T12486" s="135"/>
      <c r="U12486" s="135"/>
    </row>
    <row r="12487" spans="20:21" ht="15" customHeight="1" x14ac:dyDescent="0.25">
      <c r="T12487" s="135"/>
      <c r="U12487" s="135"/>
    </row>
    <row r="12488" spans="20:21" ht="15" customHeight="1" x14ac:dyDescent="0.25">
      <c r="T12488" s="135"/>
      <c r="U12488" s="135"/>
    </row>
    <row r="12489" spans="20:21" ht="15" customHeight="1" x14ac:dyDescent="0.25">
      <c r="T12489" s="135"/>
      <c r="U12489" s="135"/>
    </row>
    <row r="12490" spans="20:21" ht="15" customHeight="1" x14ac:dyDescent="0.25">
      <c r="T12490" s="135"/>
      <c r="U12490" s="135"/>
    </row>
    <row r="12491" spans="20:21" ht="15" customHeight="1" x14ac:dyDescent="0.25">
      <c r="T12491" s="135"/>
      <c r="U12491" s="135"/>
    </row>
    <row r="12492" spans="20:21" ht="15" customHeight="1" x14ac:dyDescent="0.25">
      <c r="T12492" s="135"/>
      <c r="U12492" s="135"/>
    </row>
    <row r="12493" spans="20:21" ht="15" customHeight="1" x14ac:dyDescent="0.25">
      <c r="T12493" s="135"/>
      <c r="U12493" s="135"/>
    </row>
    <row r="12494" spans="20:21" ht="15" customHeight="1" x14ac:dyDescent="0.25">
      <c r="T12494" s="135"/>
      <c r="U12494" s="135"/>
    </row>
    <row r="12495" spans="20:21" ht="15" customHeight="1" x14ac:dyDescent="0.25">
      <c r="T12495" s="135"/>
      <c r="U12495" s="135"/>
    </row>
    <row r="12496" spans="20:21" ht="15" customHeight="1" x14ac:dyDescent="0.25">
      <c r="T12496" s="135"/>
      <c r="U12496" s="135"/>
    </row>
    <row r="12497" spans="20:21" ht="15" customHeight="1" x14ac:dyDescent="0.25">
      <c r="T12497" s="135"/>
      <c r="U12497" s="135"/>
    </row>
    <row r="12498" spans="20:21" ht="15" customHeight="1" x14ac:dyDescent="0.25">
      <c r="T12498" s="135"/>
      <c r="U12498" s="135"/>
    </row>
    <row r="12499" spans="20:21" ht="15" customHeight="1" x14ac:dyDescent="0.25">
      <c r="T12499" s="135"/>
      <c r="U12499" s="135"/>
    </row>
    <row r="12500" spans="20:21" ht="15" customHeight="1" x14ac:dyDescent="0.25">
      <c r="T12500" s="135"/>
      <c r="U12500" s="135"/>
    </row>
    <row r="12501" spans="20:21" ht="15" customHeight="1" x14ac:dyDescent="0.25">
      <c r="T12501" s="135"/>
      <c r="U12501" s="135"/>
    </row>
    <row r="12502" spans="20:21" ht="15" customHeight="1" x14ac:dyDescent="0.25">
      <c r="T12502" s="135"/>
      <c r="U12502" s="135"/>
    </row>
    <row r="12503" spans="20:21" ht="15" customHeight="1" x14ac:dyDescent="0.25">
      <c r="T12503" s="135"/>
      <c r="U12503" s="135"/>
    </row>
    <row r="12504" spans="20:21" ht="15" customHeight="1" x14ac:dyDescent="0.25">
      <c r="T12504" s="135"/>
      <c r="U12504" s="135"/>
    </row>
    <row r="12505" spans="20:21" ht="15" customHeight="1" x14ac:dyDescent="0.25">
      <c r="T12505" s="135"/>
      <c r="U12505" s="135"/>
    </row>
    <row r="12506" spans="20:21" ht="15" customHeight="1" x14ac:dyDescent="0.25">
      <c r="T12506" s="135"/>
      <c r="U12506" s="135"/>
    </row>
    <row r="12507" spans="20:21" ht="15" customHeight="1" x14ac:dyDescent="0.25">
      <c r="T12507" s="135"/>
      <c r="U12507" s="135"/>
    </row>
    <row r="12508" spans="20:21" ht="15" customHeight="1" x14ac:dyDescent="0.25">
      <c r="T12508" s="135"/>
      <c r="U12508" s="135"/>
    </row>
    <row r="12509" spans="20:21" ht="15" customHeight="1" x14ac:dyDescent="0.25">
      <c r="T12509" s="135"/>
      <c r="U12509" s="135"/>
    </row>
    <row r="12510" spans="20:21" ht="15" customHeight="1" x14ac:dyDescent="0.25">
      <c r="T12510" s="135"/>
      <c r="U12510" s="135"/>
    </row>
    <row r="12511" spans="20:21" ht="15" customHeight="1" x14ac:dyDescent="0.25">
      <c r="T12511" s="135"/>
      <c r="U12511" s="135"/>
    </row>
    <row r="12512" spans="20:21" ht="15" customHeight="1" x14ac:dyDescent="0.25">
      <c r="T12512" s="135"/>
      <c r="U12512" s="135"/>
    </row>
    <row r="12513" spans="20:21" ht="15" customHeight="1" x14ac:dyDescent="0.25">
      <c r="T12513" s="135"/>
      <c r="U12513" s="135"/>
    </row>
    <row r="12514" spans="20:21" ht="15" customHeight="1" x14ac:dyDescent="0.25">
      <c r="T12514" s="135"/>
      <c r="U12514" s="135"/>
    </row>
    <row r="12515" spans="20:21" ht="15" customHeight="1" x14ac:dyDescent="0.25">
      <c r="T12515" s="135"/>
      <c r="U12515" s="135"/>
    </row>
    <row r="12516" spans="20:21" ht="15" customHeight="1" x14ac:dyDescent="0.25">
      <c r="T12516" s="135"/>
      <c r="U12516" s="135"/>
    </row>
    <row r="12517" spans="20:21" ht="15" customHeight="1" x14ac:dyDescent="0.25">
      <c r="T12517" s="135"/>
      <c r="U12517" s="135"/>
    </row>
    <row r="12518" spans="20:21" ht="15" customHeight="1" x14ac:dyDescent="0.25">
      <c r="T12518" s="135"/>
      <c r="U12518" s="135"/>
    </row>
    <row r="12519" spans="20:21" ht="15" customHeight="1" x14ac:dyDescent="0.25">
      <c r="T12519" s="135"/>
      <c r="U12519" s="135"/>
    </row>
    <row r="12520" spans="20:21" ht="15" customHeight="1" x14ac:dyDescent="0.25">
      <c r="T12520" s="135"/>
      <c r="U12520" s="135"/>
    </row>
    <row r="12521" spans="20:21" ht="15" customHeight="1" x14ac:dyDescent="0.25">
      <c r="T12521" s="135"/>
      <c r="U12521" s="135"/>
    </row>
    <row r="12522" spans="20:21" ht="15" customHeight="1" x14ac:dyDescent="0.25">
      <c r="T12522" s="135"/>
      <c r="U12522" s="135"/>
    </row>
    <row r="12523" spans="20:21" ht="15" customHeight="1" x14ac:dyDescent="0.25">
      <c r="T12523" s="135"/>
      <c r="U12523" s="135"/>
    </row>
    <row r="12524" spans="20:21" ht="15" customHeight="1" x14ac:dyDescent="0.25">
      <c r="T12524" s="135"/>
      <c r="U12524" s="135"/>
    </row>
    <row r="12525" spans="20:21" ht="15" customHeight="1" x14ac:dyDescent="0.25">
      <c r="T12525" s="135"/>
      <c r="U12525" s="135"/>
    </row>
    <row r="12526" spans="20:21" ht="15" customHeight="1" x14ac:dyDescent="0.25">
      <c r="T12526" s="135"/>
      <c r="U12526" s="135"/>
    </row>
    <row r="12527" spans="20:21" ht="15" customHeight="1" x14ac:dyDescent="0.25">
      <c r="T12527" s="135"/>
      <c r="U12527" s="135"/>
    </row>
    <row r="12528" spans="20:21" ht="15" customHeight="1" x14ac:dyDescent="0.25">
      <c r="T12528" s="135"/>
      <c r="U12528" s="135"/>
    </row>
    <row r="12529" spans="20:21" ht="15" customHeight="1" x14ac:dyDescent="0.25">
      <c r="T12529" s="135"/>
      <c r="U12529" s="135"/>
    </row>
    <row r="12530" spans="20:21" ht="15" customHeight="1" x14ac:dyDescent="0.25">
      <c r="T12530" s="135"/>
      <c r="U12530" s="135"/>
    </row>
    <row r="12531" spans="20:21" ht="15" customHeight="1" x14ac:dyDescent="0.25">
      <c r="T12531" s="135"/>
      <c r="U12531" s="135"/>
    </row>
    <row r="12532" spans="20:21" ht="15" customHeight="1" x14ac:dyDescent="0.25">
      <c r="T12532" s="135"/>
      <c r="U12532" s="135"/>
    </row>
    <row r="12533" spans="20:21" ht="15" customHeight="1" x14ac:dyDescent="0.25">
      <c r="T12533" s="135"/>
      <c r="U12533" s="135"/>
    </row>
    <row r="12534" spans="20:21" ht="15" customHeight="1" x14ac:dyDescent="0.25">
      <c r="T12534" s="135"/>
      <c r="U12534" s="135"/>
    </row>
    <row r="12535" spans="20:21" ht="15" customHeight="1" x14ac:dyDescent="0.25">
      <c r="T12535" s="135"/>
      <c r="U12535" s="135"/>
    </row>
    <row r="12536" spans="20:21" ht="15" customHeight="1" x14ac:dyDescent="0.25">
      <c r="T12536" s="135"/>
      <c r="U12536" s="135"/>
    </row>
    <row r="12537" spans="20:21" ht="15" customHeight="1" x14ac:dyDescent="0.25">
      <c r="T12537" s="135"/>
      <c r="U12537" s="135"/>
    </row>
    <row r="12538" spans="20:21" ht="15" customHeight="1" x14ac:dyDescent="0.25">
      <c r="T12538" s="135"/>
      <c r="U12538" s="135"/>
    </row>
    <row r="12539" spans="20:21" ht="15" customHeight="1" x14ac:dyDescent="0.25">
      <c r="T12539" s="135"/>
      <c r="U12539" s="135"/>
    </row>
    <row r="12540" spans="20:21" ht="15" customHeight="1" x14ac:dyDescent="0.25">
      <c r="T12540" s="135"/>
      <c r="U12540" s="135"/>
    </row>
    <row r="12541" spans="20:21" ht="15" customHeight="1" x14ac:dyDescent="0.25">
      <c r="T12541" s="135"/>
      <c r="U12541" s="135"/>
    </row>
    <row r="12542" spans="20:21" ht="15" customHeight="1" x14ac:dyDescent="0.25">
      <c r="T12542" s="135"/>
      <c r="U12542" s="135"/>
    </row>
    <row r="12543" spans="20:21" ht="15" customHeight="1" x14ac:dyDescent="0.25">
      <c r="T12543" s="135"/>
      <c r="U12543" s="135"/>
    </row>
    <row r="12544" spans="20:21" ht="15" customHeight="1" x14ac:dyDescent="0.25">
      <c r="T12544" s="135"/>
      <c r="U12544" s="135"/>
    </row>
    <row r="12545" spans="20:21" ht="15" customHeight="1" x14ac:dyDescent="0.25">
      <c r="T12545" s="135"/>
      <c r="U12545" s="135"/>
    </row>
    <row r="12546" spans="20:21" ht="15" customHeight="1" x14ac:dyDescent="0.25">
      <c r="T12546" s="135"/>
      <c r="U12546" s="135"/>
    </row>
    <row r="12547" spans="20:21" ht="15" customHeight="1" x14ac:dyDescent="0.25">
      <c r="T12547" s="135"/>
      <c r="U12547" s="135"/>
    </row>
    <row r="12548" spans="20:21" ht="15" customHeight="1" x14ac:dyDescent="0.25">
      <c r="T12548" s="135"/>
      <c r="U12548" s="135"/>
    </row>
    <row r="12549" spans="20:21" ht="15" customHeight="1" x14ac:dyDescent="0.25">
      <c r="T12549" s="135"/>
      <c r="U12549" s="135"/>
    </row>
    <row r="12550" spans="20:21" ht="15" customHeight="1" x14ac:dyDescent="0.25">
      <c r="T12550" s="135"/>
      <c r="U12550" s="135"/>
    </row>
    <row r="12551" spans="20:21" ht="15" customHeight="1" x14ac:dyDescent="0.25">
      <c r="T12551" s="135"/>
      <c r="U12551" s="135"/>
    </row>
    <row r="12552" spans="20:21" ht="15" customHeight="1" x14ac:dyDescent="0.25">
      <c r="T12552" s="135"/>
      <c r="U12552" s="135"/>
    </row>
    <row r="12553" spans="20:21" ht="15" customHeight="1" x14ac:dyDescent="0.25">
      <c r="T12553" s="135"/>
      <c r="U12553" s="135"/>
    </row>
    <row r="12554" spans="20:21" ht="15" customHeight="1" x14ac:dyDescent="0.25">
      <c r="T12554" s="135"/>
      <c r="U12554" s="135"/>
    </row>
    <row r="12555" spans="20:21" ht="15" customHeight="1" x14ac:dyDescent="0.25">
      <c r="T12555" s="135"/>
      <c r="U12555" s="135"/>
    </row>
    <row r="12556" spans="20:21" ht="15" customHeight="1" x14ac:dyDescent="0.25">
      <c r="T12556" s="135"/>
      <c r="U12556" s="135"/>
    </row>
    <row r="12557" spans="20:21" ht="15" customHeight="1" x14ac:dyDescent="0.25">
      <c r="T12557" s="135"/>
      <c r="U12557" s="135"/>
    </row>
    <row r="12558" spans="20:21" ht="15" customHeight="1" x14ac:dyDescent="0.25">
      <c r="T12558" s="135"/>
      <c r="U12558" s="135"/>
    </row>
    <row r="12559" spans="20:21" ht="15" customHeight="1" x14ac:dyDescent="0.25">
      <c r="T12559" s="135"/>
      <c r="U12559" s="135"/>
    </row>
    <row r="12560" spans="20:21" ht="15" customHeight="1" x14ac:dyDescent="0.25">
      <c r="T12560" s="135"/>
      <c r="U12560" s="135"/>
    </row>
    <row r="12561" spans="20:21" ht="15" customHeight="1" x14ac:dyDescent="0.25">
      <c r="T12561" s="135"/>
      <c r="U12561" s="135"/>
    </row>
    <row r="12562" spans="20:21" ht="15" customHeight="1" x14ac:dyDescent="0.25">
      <c r="T12562" s="135"/>
      <c r="U12562" s="135"/>
    </row>
    <row r="12563" spans="20:21" ht="15" customHeight="1" x14ac:dyDescent="0.25">
      <c r="T12563" s="135"/>
      <c r="U12563" s="135"/>
    </row>
    <row r="12564" spans="20:21" ht="15" customHeight="1" x14ac:dyDescent="0.25">
      <c r="T12564" s="135"/>
      <c r="U12564" s="135"/>
    </row>
    <row r="12565" spans="20:21" ht="15" customHeight="1" x14ac:dyDescent="0.25">
      <c r="T12565" s="135"/>
      <c r="U12565" s="135"/>
    </row>
    <row r="12566" spans="20:21" ht="15" customHeight="1" x14ac:dyDescent="0.25">
      <c r="T12566" s="135"/>
      <c r="U12566" s="135"/>
    </row>
    <row r="12567" spans="20:21" ht="15" customHeight="1" x14ac:dyDescent="0.25">
      <c r="T12567" s="135"/>
      <c r="U12567" s="135"/>
    </row>
    <row r="12568" spans="20:21" ht="15" customHeight="1" x14ac:dyDescent="0.25">
      <c r="T12568" s="135"/>
      <c r="U12568" s="135"/>
    </row>
    <row r="12569" spans="20:21" ht="15" customHeight="1" x14ac:dyDescent="0.25">
      <c r="T12569" s="135"/>
      <c r="U12569" s="135"/>
    </row>
    <row r="12570" spans="20:21" ht="15" customHeight="1" x14ac:dyDescent="0.25">
      <c r="T12570" s="135"/>
      <c r="U12570" s="135"/>
    </row>
    <row r="12571" spans="20:21" ht="15" customHeight="1" x14ac:dyDescent="0.25">
      <c r="T12571" s="135"/>
      <c r="U12571" s="135"/>
    </row>
    <row r="12572" spans="20:21" ht="15" customHeight="1" x14ac:dyDescent="0.25">
      <c r="T12572" s="135"/>
      <c r="U12572" s="135"/>
    </row>
    <row r="12573" spans="20:21" ht="15" customHeight="1" x14ac:dyDescent="0.25">
      <c r="T12573" s="135"/>
      <c r="U12573" s="135"/>
    </row>
    <row r="12574" spans="20:21" ht="15" customHeight="1" x14ac:dyDescent="0.25">
      <c r="T12574" s="135"/>
      <c r="U12574" s="135"/>
    </row>
    <row r="12575" spans="20:21" ht="15" customHeight="1" x14ac:dyDescent="0.25">
      <c r="T12575" s="135"/>
      <c r="U12575" s="135"/>
    </row>
    <row r="12576" spans="20:21" ht="15" customHeight="1" x14ac:dyDescent="0.25">
      <c r="T12576" s="135"/>
      <c r="U12576" s="135"/>
    </row>
    <row r="12577" spans="20:21" ht="15" customHeight="1" x14ac:dyDescent="0.25">
      <c r="T12577" s="135"/>
      <c r="U12577" s="135"/>
    </row>
    <row r="12578" spans="20:21" ht="15" customHeight="1" x14ac:dyDescent="0.25">
      <c r="T12578" s="135"/>
      <c r="U12578" s="135"/>
    </row>
    <row r="12579" spans="20:21" ht="15" customHeight="1" x14ac:dyDescent="0.25">
      <c r="T12579" s="135"/>
      <c r="U12579" s="135"/>
    </row>
    <row r="12580" spans="20:21" ht="15" customHeight="1" x14ac:dyDescent="0.25">
      <c r="T12580" s="135"/>
      <c r="U12580" s="135"/>
    </row>
    <row r="12581" spans="20:21" ht="15" customHeight="1" x14ac:dyDescent="0.25">
      <c r="T12581" s="135"/>
      <c r="U12581" s="135"/>
    </row>
    <row r="12582" spans="20:21" ht="15" customHeight="1" x14ac:dyDescent="0.25">
      <c r="T12582" s="135"/>
      <c r="U12582" s="135"/>
    </row>
    <row r="12583" spans="20:21" ht="15" customHeight="1" x14ac:dyDescent="0.25">
      <c r="T12583" s="135"/>
      <c r="U12583" s="135"/>
    </row>
    <row r="12584" spans="20:21" ht="15" customHeight="1" x14ac:dyDescent="0.25">
      <c r="T12584" s="135"/>
      <c r="U12584" s="135"/>
    </row>
    <row r="12585" spans="20:21" ht="15" customHeight="1" x14ac:dyDescent="0.25">
      <c r="T12585" s="135"/>
      <c r="U12585" s="135"/>
    </row>
    <row r="12586" spans="20:21" ht="15" customHeight="1" x14ac:dyDescent="0.25">
      <c r="T12586" s="135"/>
      <c r="U12586" s="135"/>
    </row>
    <row r="12587" spans="20:21" ht="15" customHeight="1" x14ac:dyDescent="0.25">
      <c r="T12587" s="135"/>
      <c r="U12587" s="135"/>
    </row>
    <row r="12588" spans="20:21" ht="15" customHeight="1" x14ac:dyDescent="0.25">
      <c r="T12588" s="135"/>
      <c r="U12588" s="135"/>
    </row>
    <row r="12589" spans="20:21" ht="15" customHeight="1" x14ac:dyDescent="0.25">
      <c r="T12589" s="135"/>
      <c r="U12589" s="135"/>
    </row>
    <row r="12590" spans="20:21" ht="15" customHeight="1" x14ac:dyDescent="0.25">
      <c r="T12590" s="135"/>
      <c r="U12590" s="135"/>
    </row>
    <row r="12591" spans="20:21" ht="15" customHeight="1" x14ac:dyDescent="0.25">
      <c r="T12591" s="135"/>
      <c r="U12591" s="135"/>
    </row>
    <row r="12592" spans="20:21" ht="15" customHeight="1" x14ac:dyDescent="0.25">
      <c r="T12592" s="135"/>
      <c r="U12592" s="135"/>
    </row>
    <row r="12593" spans="20:21" ht="15" customHeight="1" x14ac:dyDescent="0.25">
      <c r="T12593" s="135"/>
      <c r="U12593" s="135"/>
    </row>
    <row r="12594" spans="20:21" ht="15" customHeight="1" x14ac:dyDescent="0.25">
      <c r="T12594" s="135"/>
      <c r="U12594" s="135"/>
    </row>
    <row r="12595" spans="20:21" ht="15" customHeight="1" x14ac:dyDescent="0.25">
      <c r="T12595" s="135"/>
      <c r="U12595" s="135"/>
    </row>
    <row r="12596" spans="20:21" ht="15" customHeight="1" x14ac:dyDescent="0.25">
      <c r="T12596" s="135"/>
      <c r="U12596" s="135"/>
    </row>
    <row r="12597" spans="20:21" ht="15" customHeight="1" x14ac:dyDescent="0.25">
      <c r="T12597" s="135"/>
      <c r="U12597" s="135"/>
    </row>
    <row r="12598" spans="20:21" ht="15" customHeight="1" x14ac:dyDescent="0.25">
      <c r="T12598" s="135"/>
      <c r="U12598" s="135"/>
    </row>
    <row r="12599" spans="20:21" ht="15" customHeight="1" x14ac:dyDescent="0.25">
      <c r="T12599" s="135"/>
      <c r="U12599" s="135"/>
    </row>
    <row r="12600" spans="20:21" ht="15" customHeight="1" x14ac:dyDescent="0.25">
      <c r="T12600" s="135"/>
      <c r="U12600" s="135"/>
    </row>
    <row r="12601" spans="20:21" ht="15" customHeight="1" x14ac:dyDescent="0.25">
      <c r="T12601" s="135"/>
      <c r="U12601" s="135"/>
    </row>
    <row r="12602" spans="20:21" ht="15" customHeight="1" x14ac:dyDescent="0.25">
      <c r="T12602" s="135"/>
      <c r="U12602" s="135"/>
    </row>
    <row r="12603" spans="20:21" ht="15" customHeight="1" x14ac:dyDescent="0.25">
      <c r="T12603" s="135"/>
      <c r="U12603" s="135"/>
    </row>
    <row r="12604" spans="20:21" ht="15" customHeight="1" x14ac:dyDescent="0.25">
      <c r="T12604" s="135"/>
      <c r="U12604" s="135"/>
    </row>
    <row r="12605" spans="20:21" ht="15" customHeight="1" x14ac:dyDescent="0.25">
      <c r="T12605" s="135"/>
      <c r="U12605" s="135"/>
    </row>
    <row r="12606" spans="20:21" ht="15" customHeight="1" x14ac:dyDescent="0.25">
      <c r="T12606" s="135"/>
      <c r="U12606" s="135"/>
    </row>
    <row r="12607" spans="20:21" ht="15" customHeight="1" x14ac:dyDescent="0.25">
      <c r="T12607" s="135"/>
      <c r="U12607" s="135"/>
    </row>
    <row r="12608" spans="20:21" ht="15" customHeight="1" x14ac:dyDescent="0.25">
      <c r="T12608" s="135"/>
      <c r="U12608" s="135"/>
    </row>
    <row r="12609" spans="20:21" ht="15" customHeight="1" x14ac:dyDescent="0.25">
      <c r="T12609" s="135"/>
      <c r="U12609" s="135"/>
    </row>
    <row r="12610" spans="20:21" ht="15" customHeight="1" x14ac:dyDescent="0.25">
      <c r="T12610" s="135"/>
      <c r="U12610" s="135"/>
    </row>
    <row r="12611" spans="20:21" ht="15" customHeight="1" x14ac:dyDescent="0.25">
      <c r="T12611" s="135"/>
      <c r="U12611" s="135"/>
    </row>
    <row r="12612" spans="20:21" ht="15" customHeight="1" x14ac:dyDescent="0.25">
      <c r="T12612" s="135"/>
      <c r="U12612" s="135"/>
    </row>
    <row r="12613" spans="20:21" ht="15" customHeight="1" x14ac:dyDescent="0.25">
      <c r="T12613" s="135"/>
      <c r="U12613" s="135"/>
    </row>
    <row r="12614" spans="20:21" ht="15" customHeight="1" x14ac:dyDescent="0.25">
      <c r="T12614" s="135"/>
      <c r="U12614" s="135"/>
    </row>
    <row r="12615" spans="20:21" ht="15" customHeight="1" x14ac:dyDescent="0.25">
      <c r="T12615" s="135"/>
      <c r="U12615" s="135"/>
    </row>
    <row r="12616" spans="20:21" ht="15" customHeight="1" x14ac:dyDescent="0.25">
      <c r="T12616" s="135"/>
      <c r="U12616" s="135"/>
    </row>
    <row r="12617" spans="20:21" ht="15" customHeight="1" x14ac:dyDescent="0.25">
      <c r="T12617" s="135"/>
      <c r="U12617" s="135"/>
    </row>
    <row r="12618" spans="20:21" ht="15" customHeight="1" x14ac:dyDescent="0.25">
      <c r="T12618" s="135"/>
      <c r="U12618" s="135"/>
    </row>
    <row r="12619" spans="20:21" ht="15" customHeight="1" x14ac:dyDescent="0.25">
      <c r="T12619" s="135"/>
      <c r="U12619" s="135"/>
    </row>
    <row r="12620" spans="20:21" ht="15" customHeight="1" x14ac:dyDescent="0.25">
      <c r="T12620" s="135"/>
      <c r="U12620" s="135"/>
    </row>
    <row r="12621" spans="20:21" ht="15" customHeight="1" x14ac:dyDescent="0.25">
      <c r="T12621" s="135"/>
      <c r="U12621" s="135"/>
    </row>
    <row r="12622" spans="20:21" ht="15" customHeight="1" x14ac:dyDescent="0.25">
      <c r="T12622" s="135"/>
      <c r="U12622" s="135"/>
    </row>
    <row r="12623" spans="20:21" ht="15" customHeight="1" x14ac:dyDescent="0.25">
      <c r="T12623" s="135"/>
      <c r="U12623" s="135"/>
    </row>
    <row r="12624" spans="20:21" ht="15" customHeight="1" x14ac:dyDescent="0.25">
      <c r="T12624" s="135"/>
      <c r="U12624" s="135"/>
    </row>
    <row r="12625" spans="20:21" ht="15" customHeight="1" x14ac:dyDescent="0.25">
      <c r="T12625" s="135"/>
      <c r="U12625" s="135"/>
    </row>
    <row r="12626" spans="20:21" ht="15" customHeight="1" x14ac:dyDescent="0.25">
      <c r="T12626" s="135"/>
      <c r="U12626" s="135"/>
    </row>
    <row r="12627" spans="20:21" ht="15" customHeight="1" x14ac:dyDescent="0.25">
      <c r="T12627" s="135"/>
      <c r="U12627" s="135"/>
    </row>
    <row r="12628" spans="20:21" ht="15" customHeight="1" x14ac:dyDescent="0.25">
      <c r="T12628" s="135"/>
      <c r="U12628" s="135"/>
    </row>
    <row r="12629" spans="20:21" ht="15" customHeight="1" x14ac:dyDescent="0.25">
      <c r="T12629" s="135"/>
      <c r="U12629" s="135"/>
    </row>
    <row r="12630" spans="20:21" ht="15" customHeight="1" x14ac:dyDescent="0.25">
      <c r="T12630" s="135"/>
      <c r="U12630" s="135"/>
    </row>
    <row r="12631" spans="20:21" ht="15" customHeight="1" x14ac:dyDescent="0.25">
      <c r="T12631" s="135"/>
      <c r="U12631" s="135"/>
    </row>
    <row r="12632" spans="20:21" ht="15" customHeight="1" x14ac:dyDescent="0.25">
      <c r="T12632" s="135"/>
      <c r="U12632" s="135"/>
    </row>
    <row r="12633" spans="20:21" ht="15" customHeight="1" x14ac:dyDescent="0.25">
      <c r="T12633" s="135"/>
      <c r="U12633" s="135"/>
    </row>
    <row r="12634" spans="20:21" ht="15" customHeight="1" x14ac:dyDescent="0.25">
      <c r="T12634" s="135"/>
      <c r="U12634" s="135"/>
    </row>
    <row r="12635" spans="20:21" ht="15" customHeight="1" x14ac:dyDescent="0.25">
      <c r="T12635" s="135"/>
      <c r="U12635" s="135"/>
    </row>
    <row r="12636" spans="20:21" ht="15" customHeight="1" x14ac:dyDescent="0.25">
      <c r="T12636" s="135"/>
      <c r="U12636" s="135"/>
    </row>
    <row r="12637" spans="20:21" ht="15" customHeight="1" x14ac:dyDescent="0.25">
      <c r="T12637" s="135"/>
      <c r="U12637" s="135"/>
    </row>
    <row r="12638" spans="20:21" ht="15" customHeight="1" x14ac:dyDescent="0.25">
      <c r="T12638" s="135"/>
      <c r="U12638" s="135"/>
    </row>
    <row r="12639" spans="20:21" ht="15" customHeight="1" x14ac:dyDescent="0.25">
      <c r="T12639" s="135"/>
      <c r="U12639" s="135"/>
    </row>
    <row r="12640" spans="20:21" ht="15" customHeight="1" x14ac:dyDescent="0.25">
      <c r="T12640" s="135"/>
      <c r="U12640" s="135"/>
    </row>
    <row r="12641" spans="20:21" ht="15" customHeight="1" x14ac:dyDescent="0.25">
      <c r="T12641" s="135"/>
      <c r="U12641" s="135"/>
    </row>
    <row r="12642" spans="20:21" ht="15" customHeight="1" x14ac:dyDescent="0.25">
      <c r="T12642" s="135"/>
      <c r="U12642" s="135"/>
    </row>
    <row r="12643" spans="20:21" ht="15" customHeight="1" x14ac:dyDescent="0.25">
      <c r="T12643" s="135"/>
      <c r="U12643" s="135"/>
    </row>
    <row r="12644" spans="20:21" ht="15" customHeight="1" x14ac:dyDescent="0.25">
      <c r="T12644" s="135"/>
      <c r="U12644" s="135"/>
    </row>
    <row r="12645" spans="20:21" ht="15" customHeight="1" x14ac:dyDescent="0.25">
      <c r="T12645" s="135"/>
      <c r="U12645" s="135"/>
    </row>
    <row r="12646" spans="20:21" ht="15" customHeight="1" x14ac:dyDescent="0.25">
      <c r="T12646" s="135"/>
      <c r="U12646" s="135"/>
    </row>
    <row r="12647" spans="20:21" ht="15" customHeight="1" x14ac:dyDescent="0.25">
      <c r="T12647" s="135"/>
      <c r="U12647" s="135"/>
    </row>
    <row r="12648" spans="20:21" ht="15" customHeight="1" x14ac:dyDescent="0.25">
      <c r="T12648" s="135"/>
      <c r="U12648" s="135"/>
    </row>
    <row r="12649" spans="20:21" ht="15" customHeight="1" x14ac:dyDescent="0.25">
      <c r="T12649" s="135"/>
      <c r="U12649" s="135"/>
    </row>
    <row r="12650" spans="20:21" ht="15" customHeight="1" x14ac:dyDescent="0.25">
      <c r="T12650" s="135"/>
      <c r="U12650" s="135"/>
    </row>
    <row r="12651" spans="20:21" ht="15" customHeight="1" x14ac:dyDescent="0.25">
      <c r="T12651" s="135"/>
      <c r="U12651" s="135"/>
    </row>
    <row r="12652" spans="20:21" ht="15" customHeight="1" x14ac:dyDescent="0.25">
      <c r="T12652" s="135"/>
      <c r="U12652" s="135"/>
    </row>
    <row r="12653" spans="20:21" ht="15" customHeight="1" x14ac:dyDescent="0.25">
      <c r="T12653" s="135"/>
      <c r="U12653" s="135"/>
    </row>
    <row r="12654" spans="20:21" ht="15" customHeight="1" x14ac:dyDescent="0.25">
      <c r="T12654" s="135"/>
      <c r="U12654" s="135"/>
    </row>
    <row r="12655" spans="20:21" ht="15" customHeight="1" x14ac:dyDescent="0.25">
      <c r="T12655" s="135"/>
      <c r="U12655" s="135"/>
    </row>
    <row r="12656" spans="20:21" ht="15" customHeight="1" x14ac:dyDescent="0.25">
      <c r="T12656" s="135"/>
      <c r="U12656" s="135"/>
    </row>
    <row r="12657" spans="20:21" ht="15" customHeight="1" x14ac:dyDescent="0.25">
      <c r="T12657" s="135"/>
      <c r="U12657" s="135"/>
    </row>
    <row r="12658" spans="20:21" ht="15" customHeight="1" x14ac:dyDescent="0.25">
      <c r="T12658" s="135"/>
      <c r="U12658" s="135"/>
    </row>
    <row r="12659" spans="20:21" ht="15" customHeight="1" x14ac:dyDescent="0.25">
      <c r="T12659" s="135"/>
      <c r="U12659" s="135"/>
    </row>
    <row r="12660" spans="20:21" ht="15" customHeight="1" x14ac:dyDescent="0.25">
      <c r="T12660" s="135"/>
      <c r="U12660" s="135"/>
    </row>
    <row r="12661" spans="20:21" ht="15" customHeight="1" x14ac:dyDescent="0.25">
      <c r="T12661" s="135"/>
      <c r="U12661" s="135"/>
    </row>
    <row r="12662" spans="20:21" ht="15" customHeight="1" x14ac:dyDescent="0.25">
      <c r="T12662" s="135"/>
      <c r="U12662" s="135"/>
    </row>
    <row r="12663" spans="20:21" ht="15" customHeight="1" x14ac:dyDescent="0.25">
      <c r="T12663" s="135"/>
      <c r="U12663" s="135"/>
    </row>
    <row r="12664" spans="20:21" ht="15" customHeight="1" x14ac:dyDescent="0.25">
      <c r="T12664" s="135"/>
      <c r="U12664" s="135"/>
    </row>
    <row r="12665" spans="20:21" ht="15" customHeight="1" x14ac:dyDescent="0.25">
      <c r="T12665" s="135"/>
      <c r="U12665" s="135"/>
    </row>
    <row r="12666" spans="20:21" ht="15" customHeight="1" x14ac:dyDescent="0.25">
      <c r="T12666" s="135"/>
      <c r="U12666" s="135"/>
    </row>
    <row r="12667" spans="20:21" ht="15" customHeight="1" x14ac:dyDescent="0.25">
      <c r="T12667" s="135"/>
      <c r="U12667" s="135"/>
    </row>
    <row r="12668" spans="20:21" ht="15" customHeight="1" x14ac:dyDescent="0.25">
      <c r="T12668" s="135"/>
      <c r="U12668" s="135"/>
    </row>
    <row r="12669" spans="20:21" ht="15" customHeight="1" x14ac:dyDescent="0.25">
      <c r="T12669" s="135"/>
      <c r="U12669" s="135"/>
    </row>
    <row r="12670" spans="20:21" ht="15" customHeight="1" x14ac:dyDescent="0.25">
      <c r="T12670" s="135"/>
      <c r="U12670" s="135"/>
    </row>
    <row r="12671" spans="20:21" ht="15" customHeight="1" x14ac:dyDescent="0.25">
      <c r="T12671" s="135"/>
      <c r="U12671" s="135"/>
    </row>
    <row r="12672" spans="20:21" ht="15" customHeight="1" x14ac:dyDescent="0.25">
      <c r="T12672" s="135"/>
      <c r="U12672" s="135"/>
    </row>
    <row r="12673" spans="20:21" ht="15" customHeight="1" x14ac:dyDescent="0.25">
      <c r="T12673" s="135"/>
      <c r="U12673" s="135"/>
    </row>
    <row r="12674" spans="20:21" ht="15" customHeight="1" x14ac:dyDescent="0.25">
      <c r="T12674" s="135"/>
      <c r="U12674" s="135"/>
    </row>
    <row r="12675" spans="20:21" ht="15" customHeight="1" x14ac:dyDescent="0.25">
      <c r="T12675" s="135"/>
      <c r="U12675" s="135"/>
    </row>
    <row r="12676" spans="20:21" ht="15" customHeight="1" x14ac:dyDescent="0.25">
      <c r="T12676" s="135"/>
      <c r="U12676" s="135"/>
    </row>
    <row r="12677" spans="20:21" ht="15" customHeight="1" x14ac:dyDescent="0.25">
      <c r="T12677" s="135"/>
      <c r="U12677" s="135"/>
    </row>
    <row r="12678" spans="20:21" ht="15" customHeight="1" x14ac:dyDescent="0.25">
      <c r="T12678" s="135"/>
      <c r="U12678" s="135"/>
    </row>
    <row r="12679" spans="20:21" ht="15" customHeight="1" x14ac:dyDescent="0.25">
      <c r="T12679" s="135"/>
      <c r="U12679" s="135"/>
    </row>
    <row r="12680" spans="20:21" ht="15" customHeight="1" x14ac:dyDescent="0.25">
      <c r="T12680" s="135"/>
      <c r="U12680" s="135"/>
    </row>
    <row r="12681" spans="20:21" ht="15" customHeight="1" x14ac:dyDescent="0.25">
      <c r="T12681" s="135"/>
      <c r="U12681" s="135"/>
    </row>
    <row r="12682" spans="20:21" ht="15" customHeight="1" x14ac:dyDescent="0.25">
      <c r="T12682" s="135"/>
      <c r="U12682" s="135"/>
    </row>
    <row r="12683" spans="20:21" ht="15" customHeight="1" x14ac:dyDescent="0.25">
      <c r="T12683" s="135"/>
      <c r="U12683" s="135"/>
    </row>
    <row r="12684" spans="20:21" ht="15" customHeight="1" x14ac:dyDescent="0.25">
      <c r="T12684" s="135"/>
      <c r="U12684" s="135"/>
    </row>
    <row r="12685" spans="20:21" ht="15" customHeight="1" x14ac:dyDescent="0.25">
      <c r="T12685" s="135"/>
      <c r="U12685" s="135"/>
    </row>
    <row r="12686" spans="20:21" ht="15" customHeight="1" x14ac:dyDescent="0.25">
      <c r="T12686" s="135"/>
      <c r="U12686" s="135"/>
    </row>
    <row r="12687" spans="20:21" ht="15" customHeight="1" x14ac:dyDescent="0.25">
      <c r="T12687" s="135"/>
      <c r="U12687" s="135"/>
    </row>
    <row r="12688" spans="20:21" ht="15" customHeight="1" x14ac:dyDescent="0.25">
      <c r="T12688" s="135"/>
      <c r="U12688" s="135"/>
    </row>
    <row r="12689" spans="20:21" ht="15" customHeight="1" x14ac:dyDescent="0.25">
      <c r="T12689" s="135"/>
      <c r="U12689" s="135"/>
    </row>
    <row r="12690" spans="20:21" ht="15" customHeight="1" x14ac:dyDescent="0.25">
      <c r="T12690" s="135"/>
      <c r="U12690" s="135"/>
    </row>
    <row r="12691" spans="20:21" ht="15" customHeight="1" x14ac:dyDescent="0.25">
      <c r="T12691" s="135"/>
      <c r="U12691" s="135"/>
    </row>
    <row r="12692" spans="20:21" ht="15" customHeight="1" x14ac:dyDescent="0.25">
      <c r="T12692" s="135"/>
      <c r="U12692" s="135"/>
    </row>
    <row r="12693" spans="20:21" ht="15" customHeight="1" x14ac:dyDescent="0.25">
      <c r="T12693" s="135"/>
      <c r="U12693" s="135"/>
    </row>
    <row r="12694" spans="20:21" ht="15" customHeight="1" x14ac:dyDescent="0.25">
      <c r="T12694" s="135"/>
      <c r="U12694" s="135"/>
    </row>
    <row r="12695" spans="20:21" ht="15" customHeight="1" x14ac:dyDescent="0.25">
      <c r="T12695" s="135"/>
      <c r="U12695" s="135"/>
    </row>
    <row r="12696" spans="20:21" ht="15" customHeight="1" x14ac:dyDescent="0.25">
      <c r="T12696" s="135"/>
      <c r="U12696" s="135"/>
    </row>
    <row r="12697" spans="20:21" ht="15" customHeight="1" x14ac:dyDescent="0.25">
      <c r="T12697" s="135"/>
      <c r="U12697" s="135"/>
    </row>
    <row r="12698" spans="20:21" ht="15" customHeight="1" x14ac:dyDescent="0.25">
      <c r="T12698" s="135"/>
      <c r="U12698" s="135"/>
    </row>
    <row r="12699" spans="20:21" ht="15" customHeight="1" x14ac:dyDescent="0.25">
      <c r="T12699" s="135"/>
      <c r="U12699" s="135"/>
    </row>
    <row r="12700" spans="20:21" ht="15" customHeight="1" x14ac:dyDescent="0.25">
      <c r="T12700" s="135"/>
      <c r="U12700" s="135"/>
    </row>
    <row r="12701" spans="20:21" ht="15" customHeight="1" x14ac:dyDescent="0.25">
      <c r="T12701" s="135"/>
      <c r="U12701" s="135"/>
    </row>
    <row r="12702" spans="20:21" ht="15" customHeight="1" x14ac:dyDescent="0.25">
      <c r="T12702" s="135"/>
      <c r="U12702" s="135"/>
    </row>
    <row r="12703" spans="20:21" ht="15" customHeight="1" x14ac:dyDescent="0.25">
      <c r="T12703" s="135"/>
      <c r="U12703" s="135"/>
    </row>
    <row r="12704" spans="20:21" ht="15" customHeight="1" x14ac:dyDescent="0.25">
      <c r="T12704" s="135"/>
      <c r="U12704" s="135"/>
    </row>
    <row r="12705" spans="20:21" ht="15" customHeight="1" x14ac:dyDescent="0.25">
      <c r="T12705" s="135"/>
      <c r="U12705" s="135"/>
    </row>
    <row r="12706" spans="20:21" ht="15" customHeight="1" x14ac:dyDescent="0.25">
      <c r="T12706" s="135"/>
      <c r="U12706" s="135"/>
    </row>
    <row r="12707" spans="20:21" ht="15" customHeight="1" x14ac:dyDescent="0.25">
      <c r="T12707" s="135"/>
      <c r="U12707" s="135"/>
    </row>
    <row r="12708" spans="20:21" ht="15" customHeight="1" x14ac:dyDescent="0.25">
      <c r="T12708" s="135"/>
      <c r="U12708" s="135"/>
    </row>
    <row r="12709" spans="20:21" ht="15" customHeight="1" x14ac:dyDescent="0.25">
      <c r="T12709" s="135"/>
      <c r="U12709" s="135"/>
    </row>
    <row r="12710" spans="20:21" ht="15" customHeight="1" x14ac:dyDescent="0.25">
      <c r="T12710" s="135"/>
      <c r="U12710" s="135"/>
    </row>
    <row r="12711" spans="20:21" ht="15" customHeight="1" x14ac:dyDescent="0.25">
      <c r="T12711" s="135"/>
      <c r="U12711" s="135"/>
    </row>
    <row r="12712" spans="20:21" ht="15" customHeight="1" x14ac:dyDescent="0.25">
      <c r="T12712" s="135"/>
      <c r="U12712" s="135"/>
    </row>
    <row r="12713" spans="20:21" ht="15" customHeight="1" x14ac:dyDescent="0.25">
      <c r="T12713" s="135"/>
      <c r="U12713" s="135"/>
    </row>
    <row r="12714" spans="20:21" ht="15" customHeight="1" x14ac:dyDescent="0.25">
      <c r="T12714" s="135"/>
      <c r="U12714" s="135"/>
    </row>
    <row r="12715" spans="20:21" ht="15" customHeight="1" x14ac:dyDescent="0.25">
      <c r="T12715" s="135"/>
      <c r="U12715" s="135"/>
    </row>
    <row r="12716" spans="20:21" ht="15" customHeight="1" x14ac:dyDescent="0.25">
      <c r="T12716" s="135"/>
      <c r="U12716" s="135"/>
    </row>
    <row r="12717" spans="20:21" ht="15" customHeight="1" x14ac:dyDescent="0.25">
      <c r="T12717" s="135"/>
      <c r="U12717" s="135"/>
    </row>
    <row r="12718" spans="20:21" ht="15" customHeight="1" x14ac:dyDescent="0.25">
      <c r="T12718" s="135"/>
      <c r="U12718" s="135"/>
    </row>
    <row r="12719" spans="20:21" ht="15" customHeight="1" x14ac:dyDescent="0.25">
      <c r="T12719" s="135"/>
      <c r="U12719" s="135"/>
    </row>
    <row r="12720" spans="20:21" ht="15" customHeight="1" x14ac:dyDescent="0.25">
      <c r="T12720" s="135"/>
      <c r="U12720" s="135"/>
    </row>
    <row r="12721" spans="20:21" ht="15" customHeight="1" x14ac:dyDescent="0.25">
      <c r="T12721" s="135"/>
      <c r="U12721" s="135"/>
    </row>
    <row r="12722" spans="20:21" ht="15" customHeight="1" x14ac:dyDescent="0.25">
      <c r="T12722" s="135"/>
      <c r="U12722" s="135"/>
    </row>
    <row r="12723" spans="20:21" ht="15" customHeight="1" x14ac:dyDescent="0.25">
      <c r="T12723" s="135"/>
      <c r="U12723" s="135"/>
    </row>
    <row r="12724" spans="20:21" ht="15" customHeight="1" x14ac:dyDescent="0.25">
      <c r="T12724" s="135"/>
      <c r="U12724" s="135"/>
    </row>
    <row r="12725" spans="20:21" ht="15" customHeight="1" x14ac:dyDescent="0.25">
      <c r="T12725" s="135"/>
      <c r="U12725" s="135"/>
    </row>
    <row r="12726" spans="20:21" ht="15" customHeight="1" x14ac:dyDescent="0.25">
      <c r="T12726" s="135"/>
      <c r="U12726" s="135"/>
    </row>
    <row r="12727" spans="20:21" ht="15" customHeight="1" x14ac:dyDescent="0.25">
      <c r="T12727" s="135"/>
      <c r="U12727" s="135"/>
    </row>
    <row r="12728" spans="20:21" ht="15" customHeight="1" x14ac:dyDescent="0.25">
      <c r="T12728" s="135"/>
      <c r="U12728" s="135"/>
    </row>
    <row r="12729" spans="20:21" ht="15" customHeight="1" x14ac:dyDescent="0.25">
      <c r="T12729" s="135"/>
      <c r="U12729" s="135"/>
    </row>
    <row r="12730" spans="20:21" ht="15" customHeight="1" x14ac:dyDescent="0.25">
      <c r="T12730" s="135"/>
      <c r="U12730" s="135"/>
    </row>
    <row r="12731" spans="20:21" ht="15" customHeight="1" x14ac:dyDescent="0.25">
      <c r="T12731" s="135"/>
      <c r="U12731" s="135"/>
    </row>
    <row r="12732" spans="20:21" ht="15" customHeight="1" x14ac:dyDescent="0.25">
      <c r="T12732" s="135"/>
      <c r="U12732" s="135"/>
    </row>
    <row r="12733" spans="20:21" ht="15" customHeight="1" x14ac:dyDescent="0.25">
      <c r="T12733" s="135"/>
      <c r="U12733" s="135"/>
    </row>
    <row r="12734" spans="20:21" ht="15" customHeight="1" x14ac:dyDescent="0.25">
      <c r="T12734" s="135"/>
      <c r="U12734" s="135"/>
    </row>
    <row r="12735" spans="20:21" ht="15" customHeight="1" x14ac:dyDescent="0.25">
      <c r="T12735" s="135"/>
      <c r="U12735" s="135"/>
    </row>
    <row r="12736" spans="20:21" ht="15" customHeight="1" x14ac:dyDescent="0.25">
      <c r="T12736" s="135"/>
      <c r="U12736" s="135"/>
    </row>
    <row r="12737" spans="20:21" ht="15" customHeight="1" x14ac:dyDescent="0.25">
      <c r="T12737" s="135"/>
      <c r="U12737" s="135"/>
    </row>
    <row r="12738" spans="20:21" ht="15" customHeight="1" x14ac:dyDescent="0.25">
      <c r="T12738" s="135"/>
      <c r="U12738" s="135"/>
    </row>
    <row r="12739" spans="20:21" ht="15" customHeight="1" x14ac:dyDescent="0.25">
      <c r="T12739" s="135"/>
      <c r="U12739" s="135"/>
    </row>
    <row r="12740" spans="20:21" ht="15" customHeight="1" x14ac:dyDescent="0.25">
      <c r="T12740" s="135"/>
      <c r="U12740" s="135"/>
    </row>
    <row r="12741" spans="20:21" ht="15" customHeight="1" x14ac:dyDescent="0.25">
      <c r="T12741" s="135"/>
      <c r="U12741" s="135"/>
    </row>
    <row r="12742" spans="20:21" ht="15" customHeight="1" x14ac:dyDescent="0.25">
      <c r="T12742" s="135"/>
      <c r="U12742" s="135"/>
    </row>
    <row r="12743" spans="20:21" ht="15" customHeight="1" x14ac:dyDescent="0.25">
      <c r="T12743" s="135"/>
      <c r="U12743" s="135"/>
    </row>
    <row r="12744" spans="20:21" ht="15" customHeight="1" x14ac:dyDescent="0.25">
      <c r="T12744" s="135"/>
      <c r="U12744" s="135"/>
    </row>
    <row r="12745" spans="20:21" ht="15" customHeight="1" x14ac:dyDescent="0.25">
      <c r="T12745" s="135"/>
      <c r="U12745" s="135"/>
    </row>
    <row r="12746" spans="20:21" ht="15" customHeight="1" x14ac:dyDescent="0.25">
      <c r="T12746" s="135"/>
      <c r="U12746" s="135"/>
    </row>
    <row r="12747" spans="20:21" ht="15" customHeight="1" x14ac:dyDescent="0.25">
      <c r="T12747" s="135"/>
      <c r="U12747" s="135"/>
    </row>
    <row r="12748" spans="20:21" ht="15" customHeight="1" x14ac:dyDescent="0.25">
      <c r="T12748" s="135"/>
      <c r="U12748" s="135"/>
    </row>
    <row r="12749" spans="20:21" ht="15" customHeight="1" x14ac:dyDescent="0.25">
      <c r="T12749" s="135"/>
      <c r="U12749" s="135"/>
    </row>
    <row r="12750" spans="20:21" ht="15" customHeight="1" x14ac:dyDescent="0.25">
      <c r="T12750" s="135"/>
      <c r="U12750" s="135"/>
    </row>
    <row r="12751" spans="20:21" ht="15" customHeight="1" x14ac:dyDescent="0.25">
      <c r="T12751" s="135"/>
      <c r="U12751" s="135"/>
    </row>
    <row r="12752" spans="20:21" ht="15" customHeight="1" x14ac:dyDescent="0.25">
      <c r="T12752" s="135"/>
      <c r="U12752" s="135"/>
    </row>
    <row r="12753" spans="20:21" ht="15" customHeight="1" x14ac:dyDescent="0.25">
      <c r="T12753" s="135"/>
      <c r="U12753" s="135"/>
    </row>
    <row r="12754" spans="20:21" ht="15" customHeight="1" x14ac:dyDescent="0.25">
      <c r="T12754" s="135"/>
      <c r="U12754" s="135"/>
    </row>
    <row r="12755" spans="20:21" ht="15" customHeight="1" x14ac:dyDescent="0.25">
      <c r="T12755" s="135"/>
      <c r="U12755" s="135"/>
    </row>
    <row r="12756" spans="20:21" ht="15" customHeight="1" x14ac:dyDescent="0.25">
      <c r="T12756" s="135"/>
      <c r="U12756" s="135"/>
    </row>
    <row r="12757" spans="20:21" ht="15" customHeight="1" x14ac:dyDescent="0.25">
      <c r="T12757" s="135"/>
      <c r="U12757" s="135"/>
    </row>
    <row r="12758" spans="20:21" ht="15" customHeight="1" x14ac:dyDescent="0.25">
      <c r="T12758" s="135"/>
      <c r="U12758" s="135"/>
    </row>
    <row r="12759" spans="20:21" ht="15" customHeight="1" x14ac:dyDescent="0.25">
      <c r="T12759" s="135"/>
      <c r="U12759" s="135"/>
    </row>
    <row r="12760" spans="20:21" ht="15" customHeight="1" x14ac:dyDescent="0.25">
      <c r="T12760" s="135"/>
      <c r="U12760" s="135"/>
    </row>
    <row r="12761" spans="20:21" ht="15" customHeight="1" x14ac:dyDescent="0.25">
      <c r="T12761" s="135"/>
      <c r="U12761" s="135"/>
    </row>
    <row r="12762" spans="20:21" ht="15" customHeight="1" x14ac:dyDescent="0.25">
      <c r="T12762" s="135"/>
      <c r="U12762" s="135"/>
    </row>
    <row r="12763" spans="20:21" ht="15" customHeight="1" x14ac:dyDescent="0.25">
      <c r="T12763" s="135"/>
      <c r="U12763" s="135"/>
    </row>
    <row r="12764" spans="20:21" ht="15" customHeight="1" x14ac:dyDescent="0.25">
      <c r="T12764" s="135"/>
      <c r="U12764" s="135"/>
    </row>
    <row r="12765" spans="20:21" ht="15" customHeight="1" x14ac:dyDescent="0.25">
      <c r="T12765" s="135"/>
      <c r="U12765" s="135"/>
    </row>
    <row r="12766" spans="20:21" ht="15" customHeight="1" x14ac:dyDescent="0.25">
      <c r="T12766" s="135"/>
      <c r="U12766" s="135"/>
    </row>
    <row r="12767" spans="20:21" ht="15" customHeight="1" x14ac:dyDescent="0.25">
      <c r="T12767" s="135"/>
      <c r="U12767" s="135"/>
    </row>
    <row r="12768" spans="20:21" ht="15" customHeight="1" x14ac:dyDescent="0.25">
      <c r="T12768" s="135"/>
      <c r="U12768" s="135"/>
    </row>
    <row r="12769" spans="20:21" ht="15" customHeight="1" x14ac:dyDescent="0.25">
      <c r="T12769" s="135"/>
      <c r="U12769" s="135"/>
    </row>
    <row r="12770" spans="20:21" ht="15" customHeight="1" x14ac:dyDescent="0.25">
      <c r="T12770" s="135"/>
      <c r="U12770" s="135"/>
    </row>
    <row r="12771" spans="20:21" ht="15" customHeight="1" x14ac:dyDescent="0.25">
      <c r="T12771" s="135"/>
      <c r="U12771" s="135"/>
    </row>
    <row r="12772" spans="20:21" ht="15" customHeight="1" x14ac:dyDescent="0.25">
      <c r="T12772" s="135"/>
      <c r="U12772" s="135"/>
    </row>
    <row r="12773" spans="20:21" ht="15" customHeight="1" x14ac:dyDescent="0.25">
      <c r="T12773" s="135"/>
      <c r="U12773" s="135"/>
    </row>
    <row r="12774" spans="20:21" ht="15" customHeight="1" x14ac:dyDescent="0.25">
      <c r="T12774" s="135"/>
      <c r="U12774" s="135"/>
    </row>
    <row r="12775" spans="20:21" ht="15" customHeight="1" x14ac:dyDescent="0.25">
      <c r="T12775" s="135"/>
      <c r="U12775" s="135"/>
    </row>
    <row r="12776" spans="20:21" ht="15" customHeight="1" x14ac:dyDescent="0.25">
      <c r="T12776" s="135"/>
      <c r="U12776" s="135"/>
    </row>
    <row r="12777" spans="20:21" ht="15" customHeight="1" x14ac:dyDescent="0.25">
      <c r="T12777" s="135"/>
      <c r="U12777" s="135"/>
    </row>
    <row r="12778" spans="20:21" ht="15" customHeight="1" x14ac:dyDescent="0.25">
      <c r="T12778" s="135"/>
      <c r="U12778" s="135"/>
    </row>
    <row r="12779" spans="20:21" ht="15" customHeight="1" x14ac:dyDescent="0.25">
      <c r="T12779" s="135"/>
      <c r="U12779" s="135"/>
    </row>
    <row r="12780" spans="20:21" ht="15" customHeight="1" x14ac:dyDescent="0.25">
      <c r="T12780" s="135"/>
      <c r="U12780" s="135"/>
    </row>
    <row r="12781" spans="20:21" ht="15" customHeight="1" x14ac:dyDescent="0.25">
      <c r="T12781" s="135"/>
      <c r="U12781" s="135"/>
    </row>
    <row r="12782" spans="20:21" ht="15" customHeight="1" x14ac:dyDescent="0.25">
      <c r="T12782" s="135"/>
      <c r="U12782" s="135"/>
    </row>
    <row r="12783" spans="20:21" ht="15" customHeight="1" x14ac:dyDescent="0.25">
      <c r="T12783" s="135"/>
      <c r="U12783" s="135"/>
    </row>
    <row r="12784" spans="20:21" ht="15" customHeight="1" x14ac:dyDescent="0.25">
      <c r="T12784" s="135"/>
      <c r="U12784" s="135"/>
    </row>
    <row r="12785" spans="20:21" ht="15" customHeight="1" x14ac:dyDescent="0.25">
      <c r="T12785" s="135"/>
      <c r="U12785" s="135"/>
    </row>
    <row r="12786" spans="20:21" ht="15" customHeight="1" x14ac:dyDescent="0.25">
      <c r="T12786" s="135"/>
      <c r="U12786" s="135"/>
    </row>
    <row r="12787" spans="20:21" ht="15" customHeight="1" x14ac:dyDescent="0.25">
      <c r="T12787" s="135"/>
      <c r="U12787" s="135"/>
    </row>
    <row r="12788" spans="20:21" ht="15" customHeight="1" x14ac:dyDescent="0.25">
      <c r="T12788" s="135"/>
      <c r="U12788" s="135"/>
    </row>
    <row r="12789" spans="20:21" ht="15" customHeight="1" x14ac:dyDescent="0.25">
      <c r="T12789" s="135"/>
      <c r="U12789" s="135"/>
    </row>
    <row r="12790" spans="20:21" ht="15" customHeight="1" x14ac:dyDescent="0.25">
      <c r="T12790" s="135"/>
      <c r="U12790" s="135"/>
    </row>
    <row r="12791" spans="20:21" ht="15" customHeight="1" x14ac:dyDescent="0.25">
      <c r="T12791" s="135"/>
      <c r="U12791" s="135"/>
    </row>
    <row r="12792" spans="20:21" ht="15" customHeight="1" x14ac:dyDescent="0.25">
      <c r="T12792" s="135"/>
      <c r="U12792" s="135"/>
    </row>
    <row r="12793" spans="20:21" ht="15" customHeight="1" x14ac:dyDescent="0.25">
      <c r="T12793" s="135"/>
      <c r="U12793" s="135"/>
    </row>
    <row r="12794" spans="20:21" ht="15" customHeight="1" x14ac:dyDescent="0.25">
      <c r="T12794" s="135"/>
      <c r="U12794" s="135"/>
    </row>
    <row r="12795" spans="20:21" ht="15" customHeight="1" x14ac:dyDescent="0.25">
      <c r="T12795" s="135"/>
      <c r="U12795" s="135"/>
    </row>
    <row r="12796" spans="20:21" ht="15" customHeight="1" x14ac:dyDescent="0.25">
      <c r="T12796" s="135"/>
      <c r="U12796" s="135"/>
    </row>
    <row r="12797" spans="20:21" ht="15" customHeight="1" x14ac:dyDescent="0.25">
      <c r="T12797" s="135"/>
      <c r="U12797" s="135"/>
    </row>
    <row r="12798" spans="20:21" ht="15" customHeight="1" x14ac:dyDescent="0.25">
      <c r="T12798" s="135"/>
      <c r="U12798" s="135"/>
    </row>
    <row r="12799" spans="20:21" ht="15" customHeight="1" x14ac:dyDescent="0.25">
      <c r="T12799" s="135"/>
      <c r="U12799" s="135"/>
    </row>
    <row r="12800" spans="20:21" ht="15" customHeight="1" x14ac:dyDescent="0.25">
      <c r="T12800" s="135"/>
      <c r="U12800" s="135"/>
    </row>
    <row r="12801" spans="20:21" ht="15" customHeight="1" x14ac:dyDescent="0.25">
      <c r="T12801" s="135"/>
      <c r="U12801" s="135"/>
    </row>
    <row r="12802" spans="20:21" ht="15" customHeight="1" x14ac:dyDescent="0.25">
      <c r="T12802" s="135"/>
      <c r="U12802" s="135"/>
    </row>
    <row r="12803" spans="20:21" ht="15" customHeight="1" x14ac:dyDescent="0.25">
      <c r="T12803" s="135"/>
      <c r="U12803" s="135"/>
    </row>
    <row r="12804" spans="20:21" ht="15" customHeight="1" x14ac:dyDescent="0.25">
      <c r="T12804" s="135"/>
      <c r="U12804" s="135"/>
    </row>
    <row r="12805" spans="20:21" ht="15" customHeight="1" x14ac:dyDescent="0.25">
      <c r="T12805" s="135"/>
      <c r="U12805" s="135"/>
    </row>
    <row r="12806" spans="20:21" ht="15" customHeight="1" x14ac:dyDescent="0.25">
      <c r="T12806" s="135"/>
      <c r="U12806" s="135"/>
    </row>
    <row r="12807" spans="20:21" ht="15" customHeight="1" x14ac:dyDescent="0.25">
      <c r="T12807" s="135"/>
      <c r="U12807" s="135"/>
    </row>
    <row r="12808" spans="20:21" ht="15" customHeight="1" x14ac:dyDescent="0.25">
      <c r="T12808" s="135"/>
      <c r="U12808" s="135"/>
    </row>
    <row r="12809" spans="20:21" ht="15" customHeight="1" x14ac:dyDescent="0.25">
      <c r="T12809" s="135"/>
      <c r="U12809" s="135"/>
    </row>
    <row r="12810" spans="20:21" ht="15" customHeight="1" x14ac:dyDescent="0.25">
      <c r="T12810" s="135"/>
      <c r="U12810" s="135"/>
    </row>
    <row r="12811" spans="20:21" ht="15" customHeight="1" x14ac:dyDescent="0.25">
      <c r="T12811" s="135"/>
      <c r="U12811" s="135"/>
    </row>
    <row r="12812" spans="20:21" ht="15" customHeight="1" x14ac:dyDescent="0.25">
      <c r="T12812" s="135"/>
      <c r="U12812" s="135"/>
    </row>
    <row r="12813" spans="20:21" ht="15" customHeight="1" x14ac:dyDescent="0.25">
      <c r="T12813" s="135"/>
      <c r="U12813" s="135"/>
    </row>
    <row r="12814" spans="20:21" ht="15" customHeight="1" x14ac:dyDescent="0.25">
      <c r="T12814" s="135"/>
      <c r="U12814" s="135"/>
    </row>
    <row r="12815" spans="20:21" ht="15" customHeight="1" x14ac:dyDescent="0.25">
      <c r="T12815" s="135"/>
      <c r="U12815" s="135"/>
    </row>
    <row r="12816" spans="20:21" ht="15" customHeight="1" x14ac:dyDescent="0.25">
      <c r="T12816" s="135"/>
      <c r="U12816" s="135"/>
    </row>
    <row r="12817" spans="20:21" ht="15" customHeight="1" x14ac:dyDescent="0.25">
      <c r="T12817" s="135"/>
      <c r="U12817" s="135"/>
    </row>
    <row r="12818" spans="20:21" ht="15" customHeight="1" x14ac:dyDescent="0.25">
      <c r="T12818" s="135"/>
      <c r="U12818" s="135"/>
    </row>
    <row r="12819" spans="20:21" ht="15" customHeight="1" x14ac:dyDescent="0.25">
      <c r="T12819" s="135"/>
      <c r="U12819" s="135"/>
    </row>
    <row r="12820" spans="20:21" ht="15" customHeight="1" x14ac:dyDescent="0.25">
      <c r="T12820" s="135"/>
      <c r="U12820" s="135"/>
    </row>
    <row r="12821" spans="20:21" ht="15" customHeight="1" x14ac:dyDescent="0.25">
      <c r="T12821" s="135"/>
      <c r="U12821" s="135"/>
    </row>
    <row r="12822" spans="20:21" ht="15" customHeight="1" x14ac:dyDescent="0.25">
      <c r="T12822" s="135"/>
      <c r="U12822" s="135"/>
    </row>
    <row r="12823" spans="20:21" ht="15" customHeight="1" x14ac:dyDescent="0.25">
      <c r="T12823" s="135"/>
      <c r="U12823" s="135"/>
    </row>
    <row r="12824" spans="20:21" ht="15" customHeight="1" x14ac:dyDescent="0.25">
      <c r="T12824" s="135"/>
      <c r="U12824" s="135"/>
    </row>
    <row r="12825" spans="20:21" ht="15" customHeight="1" x14ac:dyDescent="0.25">
      <c r="T12825" s="135"/>
      <c r="U12825" s="135"/>
    </row>
    <row r="12826" spans="20:21" ht="15" customHeight="1" x14ac:dyDescent="0.25">
      <c r="T12826" s="135"/>
      <c r="U12826" s="135"/>
    </row>
    <row r="12827" spans="20:21" ht="15" customHeight="1" x14ac:dyDescent="0.25">
      <c r="T12827" s="135"/>
      <c r="U12827" s="135"/>
    </row>
    <row r="12828" spans="20:21" ht="15" customHeight="1" x14ac:dyDescent="0.25">
      <c r="T12828" s="135"/>
      <c r="U12828" s="135"/>
    </row>
    <row r="12829" spans="20:21" ht="15" customHeight="1" x14ac:dyDescent="0.25">
      <c r="T12829" s="135"/>
      <c r="U12829" s="135"/>
    </row>
    <row r="12830" spans="20:21" ht="15" customHeight="1" x14ac:dyDescent="0.25">
      <c r="T12830" s="135"/>
      <c r="U12830" s="135"/>
    </row>
    <row r="12831" spans="20:21" ht="15" customHeight="1" x14ac:dyDescent="0.25">
      <c r="T12831" s="135"/>
      <c r="U12831" s="135"/>
    </row>
    <row r="12832" spans="20:21" ht="15" customHeight="1" x14ac:dyDescent="0.25">
      <c r="T12832" s="135"/>
      <c r="U12832" s="135"/>
    </row>
    <row r="12833" spans="20:21" ht="15" customHeight="1" x14ac:dyDescent="0.25">
      <c r="T12833" s="135"/>
      <c r="U12833" s="135"/>
    </row>
    <row r="12834" spans="20:21" ht="15" customHeight="1" x14ac:dyDescent="0.25">
      <c r="T12834" s="135"/>
      <c r="U12834" s="135"/>
    </row>
    <row r="12835" spans="20:21" ht="15" customHeight="1" x14ac:dyDescent="0.25">
      <c r="T12835" s="135"/>
      <c r="U12835" s="135"/>
    </row>
    <row r="12836" spans="20:21" ht="15" customHeight="1" x14ac:dyDescent="0.25">
      <c r="T12836" s="135"/>
      <c r="U12836" s="135"/>
    </row>
    <row r="12837" spans="20:21" ht="15" customHeight="1" x14ac:dyDescent="0.25">
      <c r="T12837" s="135"/>
      <c r="U12837" s="135"/>
    </row>
    <row r="12838" spans="20:21" ht="15" customHeight="1" x14ac:dyDescent="0.25">
      <c r="T12838" s="135"/>
      <c r="U12838" s="135"/>
    </row>
    <row r="12839" spans="20:21" ht="15" customHeight="1" x14ac:dyDescent="0.25">
      <c r="T12839" s="135"/>
      <c r="U12839" s="135"/>
    </row>
    <row r="12840" spans="20:21" ht="15" customHeight="1" x14ac:dyDescent="0.25">
      <c r="T12840" s="135"/>
      <c r="U12840" s="135"/>
    </row>
    <row r="12841" spans="20:21" ht="15" customHeight="1" x14ac:dyDescent="0.25">
      <c r="T12841" s="135"/>
      <c r="U12841" s="135"/>
    </row>
    <row r="12842" spans="20:21" ht="15" customHeight="1" x14ac:dyDescent="0.25">
      <c r="T12842" s="135"/>
      <c r="U12842" s="135"/>
    </row>
    <row r="12843" spans="20:21" ht="15" customHeight="1" x14ac:dyDescent="0.25">
      <c r="T12843" s="135"/>
      <c r="U12843" s="135"/>
    </row>
    <row r="12844" spans="20:21" ht="15" customHeight="1" x14ac:dyDescent="0.25">
      <c r="T12844" s="135"/>
      <c r="U12844" s="135"/>
    </row>
    <row r="12845" spans="20:21" ht="15" customHeight="1" x14ac:dyDescent="0.25">
      <c r="T12845" s="135"/>
      <c r="U12845" s="135"/>
    </row>
    <row r="12846" spans="20:21" ht="15" customHeight="1" x14ac:dyDescent="0.25">
      <c r="T12846" s="135"/>
      <c r="U12846" s="135"/>
    </row>
    <row r="12847" spans="20:21" ht="15" customHeight="1" x14ac:dyDescent="0.25">
      <c r="T12847" s="135"/>
      <c r="U12847" s="135"/>
    </row>
    <row r="12848" spans="20:21" ht="15" customHeight="1" x14ac:dyDescent="0.25">
      <c r="T12848" s="135"/>
      <c r="U12848" s="135"/>
    </row>
    <row r="12849" spans="20:21" ht="15" customHeight="1" x14ac:dyDescent="0.25">
      <c r="T12849" s="135"/>
      <c r="U12849" s="135"/>
    </row>
    <row r="12850" spans="20:21" ht="15" customHeight="1" x14ac:dyDescent="0.25">
      <c r="T12850" s="135"/>
      <c r="U12850" s="135"/>
    </row>
    <row r="12851" spans="20:21" ht="15" customHeight="1" x14ac:dyDescent="0.25">
      <c r="T12851" s="135"/>
      <c r="U12851" s="135"/>
    </row>
    <row r="12852" spans="20:21" ht="15" customHeight="1" x14ac:dyDescent="0.25">
      <c r="T12852" s="135"/>
      <c r="U12852" s="135"/>
    </row>
    <row r="12853" spans="20:21" ht="15" customHeight="1" x14ac:dyDescent="0.25">
      <c r="T12853" s="135"/>
      <c r="U12853" s="135"/>
    </row>
    <row r="12854" spans="20:21" ht="15" customHeight="1" x14ac:dyDescent="0.25">
      <c r="T12854" s="135"/>
      <c r="U12854" s="135"/>
    </row>
    <row r="12855" spans="20:21" ht="15" customHeight="1" x14ac:dyDescent="0.25">
      <c r="T12855" s="135"/>
      <c r="U12855" s="135"/>
    </row>
    <row r="12856" spans="20:21" ht="15" customHeight="1" x14ac:dyDescent="0.25">
      <c r="T12856" s="135"/>
      <c r="U12856" s="135"/>
    </row>
    <row r="12857" spans="20:21" ht="15" customHeight="1" x14ac:dyDescent="0.25">
      <c r="T12857" s="135"/>
      <c r="U12857" s="135"/>
    </row>
    <row r="12858" spans="20:21" ht="15" customHeight="1" x14ac:dyDescent="0.25">
      <c r="T12858" s="135"/>
      <c r="U12858" s="135"/>
    </row>
    <row r="12859" spans="20:21" ht="15" customHeight="1" x14ac:dyDescent="0.25">
      <c r="T12859" s="135"/>
      <c r="U12859" s="135"/>
    </row>
    <row r="12860" spans="20:21" ht="15" customHeight="1" x14ac:dyDescent="0.25">
      <c r="T12860" s="135"/>
      <c r="U12860" s="135"/>
    </row>
    <row r="12861" spans="20:21" ht="15" customHeight="1" x14ac:dyDescent="0.25">
      <c r="T12861" s="135"/>
      <c r="U12861" s="135"/>
    </row>
    <row r="12862" spans="20:21" ht="15" customHeight="1" x14ac:dyDescent="0.25">
      <c r="T12862" s="135"/>
      <c r="U12862" s="135"/>
    </row>
    <row r="12863" spans="20:21" ht="15" customHeight="1" x14ac:dyDescent="0.25">
      <c r="T12863" s="135"/>
      <c r="U12863" s="135"/>
    </row>
    <row r="12864" spans="20:21" ht="15" customHeight="1" x14ac:dyDescent="0.25">
      <c r="T12864" s="135"/>
      <c r="U12864" s="135"/>
    </row>
    <row r="12865" spans="20:21" ht="15" customHeight="1" x14ac:dyDescent="0.25">
      <c r="T12865" s="135"/>
      <c r="U12865" s="135"/>
    </row>
    <row r="12866" spans="20:21" ht="15" customHeight="1" x14ac:dyDescent="0.25">
      <c r="T12866" s="135"/>
      <c r="U12866" s="135"/>
    </row>
    <row r="12867" spans="20:21" ht="15" customHeight="1" x14ac:dyDescent="0.25">
      <c r="T12867" s="135"/>
      <c r="U12867" s="135"/>
    </row>
    <row r="12868" spans="20:21" ht="15" customHeight="1" x14ac:dyDescent="0.25">
      <c r="T12868" s="135"/>
      <c r="U12868" s="135"/>
    </row>
    <row r="12869" spans="20:21" ht="15" customHeight="1" x14ac:dyDescent="0.25">
      <c r="T12869" s="135"/>
      <c r="U12869" s="135"/>
    </row>
    <row r="12870" spans="20:21" ht="15" customHeight="1" x14ac:dyDescent="0.25">
      <c r="T12870" s="135"/>
      <c r="U12870" s="135"/>
    </row>
    <row r="12871" spans="20:21" ht="15" customHeight="1" x14ac:dyDescent="0.25">
      <c r="T12871" s="135"/>
      <c r="U12871" s="135"/>
    </row>
    <row r="12872" spans="20:21" ht="15" customHeight="1" x14ac:dyDescent="0.25">
      <c r="T12872" s="135"/>
      <c r="U12872" s="135"/>
    </row>
    <row r="12873" spans="20:21" ht="15" customHeight="1" x14ac:dyDescent="0.25">
      <c r="T12873" s="135"/>
      <c r="U12873" s="135"/>
    </row>
    <row r="12874" spans="20:21" ht="15" customHeight="1" x14ac:dyDescent="0.25">
      <c r="T12874" s="135"/>
      <c r="U12874" s="135"/>
    </row>
    <row r="12875" spans="20:21" ht="15" customHeight="1" x14ac:dyDescent="0.25">
      <c r="T12875" s="135"/>
      <c r="U12875" s="135"/>
    </row>
    <row r="12876" spans="20:21" ht="15" customHeight="1" x14ac:dyDescent="0.25">
      <c r="T12876" s="135"/>
      <c r="U12876" s="135"/>
    </row>
    <row r="12877" spans="20:21" ht="15" customHeight="1" x14ac:dyDescent="0.25">
      <c r="T12877" s="135"/>
      <c r="U12877" s="135"/>
    </row>
    <row r="12878" spans="20:21" ht="15" customHeight="1" x14ac:dyDescent="0.25">
      <c r="T12878" s="135"/>
      <c r="U12878" s="135"/>
    </row>
    <row r="12879" spans="20:21" ht="15" customHeight="1" x14ac:dyDescent="0.25">
      <c r="T12879" s="135"/>
      <c r="U12879" s="135"/>
    </row>
    <row r="12880" spans="20:21" ht="15" customHeight="1" x14ac:dyDescent="0.25">
      <c r="T12880" s="135"/>
      <c r="U12880" s="135"/>
    </row>
    <row r="12881" spans="20:21" ht="15" customHeight="1" x14ac:dyDescent="0.25">
      <c r="T12881" s="135"/>
      <c r="U12881" s="135"/>
    </row>
    <row r="12882" spans="20:21" ht="15" customHeight="1" x14ac:dyDescent="0.25">
      <c r="T12882" s="135"/>
      <c r="U12882" s="135"/>
    </row>
    <row r="12883" spans="20:21" ht="15" customHeight="1" x14ac:dyDescent="0.25">
      <c r="T12883" s="135"/>
      <c r="U12883" s="135"/>
    </row>
    <row r="12884" spans="20:21" ht="15" customHeight="1" x14ac:dyDescent="0.25">
      <c r="T12884" s="135"/>
      <c r="U12884" s="135"/>
    </row>
    <row r="12885" spans="20:21" ht="15" customHeight="1" x14ac:dyDescent="0.25">
      <c r="T12885" s="135"/>
      <c r="U12885" s="135"/>
    </row>
    <row r="12886" spans="20:21" ht="15" customHeight="1" x14ac:dyDescent="0.25">
      <c r="T12886" s="135"/>
      <c r="U12886" s="135"/>
    </row>
    <row r="12887" spans="20:21" ht="15" customHeight="1" x14ac:dyDescent="0.25">
      <c r="T12887" s="135"/>
      <c r="U12887" s="135"/>
    </row>
    <row r="12888" spans="20:21" ht="15" customHeight="1" x14ac:dyDescent="0.25">
      <c r="T12888" s="135"/>
      <c r="U12888" s="135"/>
    </row>
    <row r="12889" spans="20:21" ht="15" customHeight="1" x14ac:dyDescent="0.25">
      <c r="T12889" s="135"/>
      <c r="U12889" s="135"/>
    </row>
    <row r="12890" spans="20:21" ht="15" customHeight="1" x14ac:dyDescent="0.25">
      <c r="T12890" s="135"/>
      <c r="U12890" s="135"/>
    </row>
    <row r="12891" spans="20:21" ht="15" customHeight="1" x14ac:dyDescent="0.25">
      <c r="T12891" s="135"/>
      <c r="U12891" s="135"/>
    </row>
    <row r="12892" spans="20:21" ht="15" customHeight="1" x14ac:dyDescent="0.25">
      <c r="T12892" s="135"/>
      <c r="U12892" s="135"/>
    </row>
    <row r="12893" spans="20:21" ht="15" customHeight="1" x14ac:dyDescent="0.25">
      <c r="T12893" s="135"/>
      <c r="U12893" s="135"/>
    </row>
    <row r="12894" spans="20:21" ht="15" customHeight="1" x14ac:dyDescent="0.25">
      <c r="T12894" s="135"/>
      <c r="U12894" s="135"/>
    </row>
    <row r="12895" spans="20:21" ht="15" customHeight="1" x14ac:dyDescent="0.25">
      <c r="T12895" s="135"/>
      <c r="U12895" s="135"/>
    </row>
    <row r="12896" spans="20:21" ht="15" customHeight="1" x14ac:dyDescent="0.25">
      <c r="T12896" s="135"/>
      <c r="U12896" s="135"/>
    </row>
    <row r="12897" spans="20:21" ht="15" customHeight="1" x14ac:dyDescent="0.25">
      <c r="T12897" s="135"/>
      <c r="U12897" s="135"/>
    </row>
    <row r="12898" spans="20:21" ht="15" customHeight="1" x14ac:dyDescent="0.25">
      <c r="T12898" s="135"/>
      <c r="U12898" s="135"/>
    </row>
    <row r="12899" spans="20:21" ht="15" customHeight="1" x14ac:dyDescent="0.25">
      <c r="T12899" s="135"/>
      <c r="U12899" s="135"/>
    </row>
    <row r="12900" spans="20:21" ht="15" customHeight="1" x14ac:dyDescent="0.25">
      <c r="T12900" s="135"/>
      <c r="U12900" s="135"/>
    </row>
    <row r="12901" spans="20:21" ht="15" customHeight="1" x14ac:dyDescent="0.25">
      <c r="T12901" s="135"/>
      <c r="U12901" s="135"/>
    </row>
    <row r="12902" spans="20:21" ht="15" customHeight="1" x14ac:dyDescent="0.25">
      <c r="T12902" s="135"/>
      <c r="U12902" s="135"/>
    </row>
    <row r="12903" spans="20:21" ht="15" customHeight="1" x14ac:dyDescent="0.25">
      <c r="T12903" s="135"/>
      <c r="U12903" s="135"/>
    </row>
    <row r="12904" spans="20:21" ht="15" customHeight="1" x14ac:dyDescent="0.25">
      <c r="T12904" s="135"/>
      <c r="U12904" s="135"/>
    </row>
    <row r="12905" spans="20:21" ht="15" customHeight="1" x14ac:dyDescent="0.25">
      <c r="T12905" s="135"/>
      <c r="U12905" s="135"/>
    </row>
    <row r="12906" spans="20:21" ht="15" customHeight="1" x14ac:dyDescent="0.25">
      <c r="T12906" s="135"/>
      <c r="U12906" s="135"/>
    </row>
    <row r="12907" spans="20:21" ht="15" customHeight="1" x14ac:dyDescent="0.25">
      <c r="T12907" s="135"/>
      <c r="U12907" s="135"/>
    </row>
    <row r="12908" spans="20:21" ht="15" customHeight="1" x14ac:dyDescent="0.25">
      <c r="T12908" s="135"/>
      <c r="U12908" s="135"/>
    </row>
    <row r="12909" spans="20:21" ht="15" customHeight="1" x14ac:dyDescent="0.25">
      <c r="T12909" s="135"/>
      <c r="U12909" s="135"/>
    </row>
    <row r="12910" spans="20:21" ht="15" customHeight="1" x14ac:dyDescent="0.25">
      <c r="T12910" s="135"/>
      <c r="U12910" s="135"/>
    </row>
    <row r="12911" spans="20:21" ht="15" customHeight="1" x14ac:dyDescent="0.25">
      <c r="T12911" s="135"/>
      <c r="U12911" s="135"/>
    </row>
    <row r="12912" spans="20:21" ht="15" customHeight="1" x14ac:dyDescent="0.25">
      <c r="T12912" s="135"/>
      <c r="U12912" s="135"/>
    </row>
    <row r="12913" spans="20:21" ht="15" customHeight="1" x14ac:dyDescent="0.25">
      <c r="T12913" s="135"/>
      <c r="U12913" s="135"/>
    </row>
    <row r="12914" spans="20:21" ht="15" customHeight="1" x14ac:dyDescent="0.25">
      <c r="T12914" s="135"/>
      <c r="U12914" s="135"/>
    </row>
    <row r="12915" spans="20:21" ht="15" customHeight="1" x14ac:dyDescent="0.25">
      <c r="T12915" s="135"/>
      <c r="U12915" s="135"/>
    </row>
    <row r="12916" spans="20:21" ht="15" customHeight="1" x14ac:dyDescent="0.25">
      <c r="T12916" s="135"/>
      <c r="U12916" s="135"/>
    </row>
    <row r="12917" spans="20:21" ht="15" customHeight="1" x14ac:dyDescent="0.25">
      <c r="T12917" s="135"/>
      <c r="U12917" s="135"/>
    </row>
    <row r="12918" spans="20:21" ht="15" customHeight="1" x14ac:dyDescent="0.25">
      <c r="T12918" s="135"/>
      <c r="U12918" s="135"/>
    </row>
    <row r="12919" spans="20:21" ht="15" customHeight="1" x14ac:dyDescent="0.25">
      <c r="T12919" s="135"/>
      <c r="U12919" s="135"/>
    </row>
    <row r="12920" spans="20:21" ht="15" customHeight="1" x14ac:dyDescent="0.25">
      <c r="T12920" s="135"/>
      <c r="U12920" s="135"/>
    </row>
    <row r="12921" spans="20:21" ht="15" customHeight="1" x14ac:dyDescent="0.25">
      <c r="T12921" s="135"/>
      <c r="U12921" s="135"/>
    </row>
    <row r="12922" spans="20:21" ht="15" customHeight="1" x14ac:dyDescent="0.25">
      <c r="T12922" s="135"/>
      <c r="U12922" s="135"/>
    </row>
    <row r="12923" spans="20:21" ht="15" customHeight="1" x14ac:dyDescent="0.25">
      <c r="T12923" s="135"/>
      <c r="U12923" s="135"/>
    </row>
    <row r="12924" spans="20:21" ht="15" customHeight="1" x14ac:dyDescent="0.25">
      <c r="T12924" s="135"/>
      <c r="U12924" s="135"/>
    </row>
    <row r="12925" spans="20:21" ht="15" customHeight="1" x14ac:dyDescent="0.25">
      <c r="T12925" s="135"/>
      <c r="U12925" s="135"/>
    </row>
    <row r="12926" spans="20:21" ht="15" customHeight="1" x14ac:dyDescent="0.25">
      <c r="T12926" s="135"/>
      <c r="U12926" s="135"/>
    </row>
    <row r="12927" spans="20:21" ht="15" customHeight="1" x14ac:dyDescent="0.25">
      <c r="T12927" s="135"/>
      <c r="U12927" s="135"/>
    </row>
    <row r="12928" spans="20:21" ht="15" customHeight="1" x14ac:dyDescent="0.25">
      <c r="T12928" s="135"/>
      <c r="U12928" s="135"/>
    </row>
    <row r="12929" spans="20:21" ht="15" customHeight="1" x14ac:dyDescent="0.25">
      <c r="T12929" s="135"/>
      <c r="U12929" s="135"/>
    </row>
    <row r="12930" spans="20:21" ht="15" customHeight="1" x14ac:dyDescent="0.25">
      <c r="T12930" s="135"/>
      <c r="U12930" s="135"/>
    </row>
    <row r="12931" spans="20:21" ht="15" customHeight="1" x14ac:dyDescent="0.25">
      <c r="T12931" s="135"/>
      <c r="U12931" s="135"/>
    </row>
    <row r="12932" spans="20:21" ht="15" customHeight="1" x14ac:dyDescent="0.25">
      <c r="T12932" s="135"/>
      <c r="U12932" s="135"/>
    </row>
    <row r="12933" spans="20:21" ht="15" customHeight="1" x14ac:dyDescent="0.25">
      <c r="T12933" s="135"/>
      <c r="U12933" s="135"/>
    </row>
    <row r="12934" spans="20:21" ht="15" customHeight="1" x14ac:dyDescent="0.25">
      <c r="T12934" s="135"/>
      <c r="U12934" s="135"/>
    </row>
    <row r="12935" spans="20:21" ht="15" customHeight="1" x14ac:dyDescent="0.25">
      <c r="T12935" s="135"/>
      <c r="U12935" s="135"/>
    </row>
    <row r="12936" spans="20:21" ht="15" customHeight="1" x14ac:dyDescent="0.25">
      <c r="T12936" s="135"/>
      <c r="U12936" s="135"/>
    </row>
    <row r="12937" spans="20:21" ht="15" customHeight="1" x14ac:dyDescent="0.25">
      <c r="T12937" s="135"/>
      <c r="U12937" s="135"/>
    </row>
    <row r="12938" spans="20:21" ht="15" customHeight="1" x14ac:dyDescent="0.25">
      <c r="T12938" s="135"/>
      <c r="U12938" s="135"/>
    </row>
    <row r="12939" spans="20:21" ht="15" customHeight="1" x14ac:dyDescent="0.25">
      <c r="T12939" s="135"/>
      <c r="U12939" s="135"/>
    </row>
    <row r="12940" spans="20:21" ht="15" customHeight="1" x14ac:dyDescent="0.25">
      <c r="T12940" s="135"/>
      <c r="U12940" s="135"/>
    </row>
    <row r="12941" spans="20:21" ht="15" customHeight="1" x14ac:dyDescent="0.25">
      <c r="T12941" s="135"/>
      <c r="U12941" s="135"/>
    </row>
    <row r="12942" spans="20:21" ht="15" customHeight="1" x14ac:dyDescent="0.25">
      <c r="T12942" s="135"/>
      <c r="U12942" s="135"/>
    </row>
    <row r="12943" spans="20:21" ht="15" customHeight="1" x14ac:dyDescent="0.25">
      <c r="T12943" s="135"/>
      <c r="U12943" s="135"/>
    </row>
    <row r="12944" spans="20:21" ht="15" customHeight="1" x14ac:dyDescent="0.25">
      <c r="T12944" s="135"/>
      <c r="U12944" s="135"/>
    </row>
    <row r="12945" spans="20:21" ht="15" customHeight="1" x14ac:dyDescent="0.25">
      <c r="T12945" s="135"/>
      <c r="U12945" s="135"/>
    </row>
    <row r="12946" spans="20:21" ht="15" customHeight="1" x14ac:dyDescent="0.25">
      <c r="T12946" s="135"/>
      <c r="U12946" s="135"/>
    </row>
    <row r="12947" spans="20:21" ht="15" customHeight="1" x14ac:dyDescent="0.25">
      <c r="T12947" s="135"/>
      <c r="U12947" s="135"/>
    </row>
    <row r="12948" spans="20:21" ht="15" customHeight="1" x14ac:dyDescent="0.25">
      <c r="T12948" s="135"/>
      <c r="U12948" s="135"/>
    </row>
    <row r="12949" spans="20:21" ht="15" customHeight="1" x14ac:dyDescent="0.25">
      <c r="T12949" s="135"/>
      <c r="U12949" s="135"/>
    </row>
    <row r="12950" spans="20:21" ht="15" customHeight="1" x14ac:dyDescent="0.25">
      <c r="T12950" s="135"/>
      <c r="U12950" s="135"/>
    </row>
    <row r="12951" spans="20:21" ht="15" customHeight="1" x14ac:dyDescent="0.25">
      <c r="T12951" s="135"/>
      <c r="U12951" s="135"/>
    </row>
    <row r="12952" spans="20:21" ht="15" customHeight="1" x14ac:dyDescent="0.25">
      <c r="T12952" s="135"/>
      <c r="U12952" s="135"/>
    </row>
    <row r="12953" spans="20:21" ht="15" customHeight="1" x14ac:dyDescent="0.25">
      <c r="T12953" s="135"/>
      <c r="U12953" s="135"/>
    </row>
    <row r="12954" spans="20:21" ht="15" customHeight="1" x14ac:dyDescent="0.25">
      <c r="T12954" s="135"/>
      <c r="U12954" s="135"/>
    </row>
    <row r="12955" spans="20:21" ht="15" customHeight="1" x14ac:dyDescent="0.25">
      <c r="T12955" s="135"/>
      <c r="U12955" s="135"/>
    </row>
    <row r="12956" spans="20:21" ht="15" customHeight="1" x14ac:dyDescent="0.25">
      <c r="T12956" s="135"/>
      <c r="U12956" s="135"/>
    </row>
    <row r="12957" spans="20:21" ht="15" customHeight="1" x14ac:dyDescent="0.25">
      <c r="T12957" s="135"/>
      <c r="U12957" s="135"/>
    </row>
    <row r="12958" spans="20:21" ht="15" customHeight="1" x14ac:dyDescent="0.25">
      <c r="T12958" s="135"/>
      <c r="U12958" s="135"/>
    </row>
    <row r="12959" spans="20:21" ht="15" customHeight="1" x14ac:dyDescent="0.25">
      <c r="T12959" s="135"/>
      <c r="U12959" s="135"/>
    </row>
    <row r="12960" spans="20:21" ht="15" customHeight="1" x14ac:dyDescent="0.25">
      <c r="T12960" s="135"/>
      <c r="U12960" s="135"/>
    </row>
    <row r="12961" spans="20:21" ht="15" customHeight="1" x14ac:dyDescent="0.25">
      <c r="T12961" s="135"/>
      <c r="U12961" s="135"/>
    </row>
    <row r="12962" spans="20:21" ht="15" customHeight="1" x14ac:dyDescent="0.25">
      <c r="T12962" s="135"/>
      <c r="U12962" s="135"/>
    </row>
    <row r="12963" spans="20:21" ht="15" customHeight="1" x14ac:dyDescent="0.25">
      <c r="T12963" s="135"/>
      <c r="U12963" s="135"/>
    </row>
    <row r="12964" spans="20:21" ht="15" customHeight="1" x14ac:dyDescent="0.25">
      <c r="T12964" s="135"/>
      <c r="U12964" s="135"/>
    </row>
    <row r="12965" spans="20:21" ht="15" customHeight="1" x14ac:dyDescent="0.25">
      <c r="T12965" s="135"/>
      <c r="U12965" s="135"/>
    </row>
    <row r="12966" spans="20:21" ht="15" customHeight="1" x14ac:dyDescent="0.25">
      <c r="T12966" s="135"/>
      <c r="U12966" s="135"/>
    </row>
    <row r="12967" spans="20:21" ht="15" customHeight="1" x14ac:dyDescent="0.25">
      <c r="T12967" s="135"/>
      <c r="U12967" s="135"/>
    </row>
    <row r="12968" spans="20:21" ht="15" customHeight="1" x14ac:dyDescent="0.25">
      <c r="T12968" s="135"/>
      <c r="U12968" s="135"/>
    </row>
    <row r="12969" spans="20:21" ht="15" customHeight="1" x14ac:dyDescent="0.25">
      <c r="T12969" s="135"/>
      <c r="U12969" s="135"/>
    </row>
    <row r="12970" spans="20:21" ht="15" customHeight="1" x14ac:dyDescent="0.25">
      <c r="T12970" s="135"/>
      <c r="U12970" s="135"/>
    </row>
    <row r="12971" spans="20:21" ht="15" customHeight="1" x14ac:dyDescent="0.25">
      <c r="T12971" s="135"/>
      <c r="U12971" s="135"/>
    </row>
    <row r="12972" spans="20:21" ht="15" customHeight="1" x14ac:dyDescent="0.25">
      <c r="T12972" s="135"/>
      <c r="U12972" s="135"/>
    </row>
    <row r="12973" spans="20:21" ht="15" customHeight="1" x14ac:dyDescent="0.25">
      <c r="T12973" s="135"/>
      <c r="U12973" s="135"/>
    </row>
    <row r="12974" spans="20:21" ht="15" customHeight="1" x14ac:dyDescent="0.25">
      <c r="T12974" s="135"/>
      <c r="U12974" s="135"/>
    </row>
    <row r="12975" spans="20:21" ht="15" customHeight="1" x14ac:dyDescent="0.25">
      <c r="T12975" s="135"/>
      <c r="U12975" s="135"/>
    </row>
    <row r="12976" spans="20:21" ht="15" customHeight="1" x14ac:dyDescent="0.25">
      <c r="T12976" s="135"/>
      <c r="U12976" s="135"/>
    </row>
    <row r="12977" spans="20:21" ht="15" customHeight="1" x14ac:dyDescent="0.25">
      <c r="T12977" s="135"/>
      <c r="U12977" s="135"/>
    </row>
    <row r="12978" spans="20:21" ht="15" customHeight="1" x14ac:dyDescent="0.25">
      <c r="T12978" s="135"/>
      <c r="U12978" s="135"/>
    </row>
    <row r="12979" spans="20:21" ht="15" customHeight="1" x14ac:dyDescent="0.25">
      <c r="T12979" s="135"/>
      <c r="U12979" s="135"/>
    </row>
    <row r="12980" spans="20:21" ht="15" customHeight="1" x14ac:dyDescent="0.25">
      <c r="T12980" s="135"/>
      <c r="U12980" s="135"/>
    </row>
    <row r="12981" spans="20:21" ht="15" customHeight="1" x14ac:dyDescent="0.25">
      <c r="T12981" s="135"/>
      <c r="U12981" s="135"/>
    </row>
    <row r="12982" spans="20:21" ht="15" customHeight="1" x14ac:dyDescent="0.25">
      <c r="T12982" s="135"/>
      <c r="U12982" s="135"/>
    </row>
    <row r="12983" spans="20:21" ht="15" customHeight="1" x14ac:dyDescent="0.25">
      <c r="T12983" s="135"/>
      <c r="U12983" s="135"/>
    </row>
    <row r="12984" spans="20:21" ht="15" customHeight="1" x14ac:dyDescent="0.25">
      <c r="T12984" s="135"/>
      <c r="U12984" s="135"/>
    </row>
    <row r="12985" spans="20:21" ht="15" customHeight="1" x14ac:dyDescent="0.25">
      <c r="T12985" s="135"/>
      <c r="U12985" s="135"/>
    </row>
    <row r="12986" spans="20:21" ht="15" customHeight="1" x14ac:dyDescent="0.25">
      <c r="T12986" s="135"/>
      <c r="U12986" s="135"/>
    </row>
    <row r="12987" spans="20:21" ht="15" customHeight="1" x14ac:dyDescent="0.25">
      <c r="T12987" s="135"/>
      <c r="U12987" s="135"/>
    </row>
    <row r="12988" spans="20:21" ht="15" customHeight="1" x14ac:dyDescent="0.25">
      <c r="T12988" s="135"/>
      <c r="U12988" s="135"/>
    </row>
    <row r="12989" spans="20:21" ht="15" customHeight="1" x14ac:dyDescent="0.25">
      <c r="T12989" s="135"/>
      <c r="U12989" s="135"/>
    </row>
    <row r="12990" spans="20:21" ht="15" customHeight="1" x14ac:dyDescent="0.25">
      <c r="T12990" s="135"/>
      <c r="U12990" s="135"/>
    </row>
    <row r="12991" spans="20:21" ht="15" customHeight="1" x14ac:dyDescent="0.25">
      <c r="T12991" s="135"/>
      <c r="U12991" s="135"/>
    </row>
    <row r="12992" spans="20:21" ht="15" customHeight="1" x14ac:dyDescent="0.25">
      <c r="T12992" s="135"/>
      <c r="U12992" s="135"/>
    </row>
    <row r="12993" spans="20:21" ht="15" customHeight="1" x14ac:dyDescent="0.25">
      <c r="T12993" s="135"/>
      <c r="U12993" s="135"/>
    </row>
    <row r="12994" spans="20:21" ht="15" customHeight="1" x14ac:dyDescent="0.25">
      <c r="T12994" s="135"/>
      <c r="U12994" s="135"/>
    </row>
    <row r="12995" spans="20:21" ht="15" customHeight="1" x14ac:dyDescent="0.25">
      <c r="T12995" s="135"/>
      <c r="U12995" s="135"/>
    </row>
    <row r="12996" spans="20:21" ht="15" customHeight="1" x14ac:dyDescent="0.25">
      <c r="T12996" s="135"/>
      <c r="U12996" s="135"/>
    </row>
    <row r="12997" spans="20:21" ht="15" customHeight="1" x14ac:dyDescent="0.25">
      <c r="T12997" s="135"/>
      <c r="U12997" s="135"/>
    </row>
    <row r="12998" spans="20:21" ht="15" customHeight="1" x14ac:dyDescent="0.25">
      <c r="T12998" s="135"/>
      <c r="U12998" s="135"/>
    </row>
    <row r="12999" spans="20:21" ht="15" customHeight="1" x14ac:dyDescent="0.25">
      <c r="T12999" s="135"/>
      <c r="U12999" s="135"/>
    </row>
    <row r="13000" spans="20:21" ht="15" customHeight="1" x14ac:dyDescent="0.25">
      <c r="T13000" s="135"/>
      <c r="U13000" s="135"/>
    </row>
    <row r="13001" spans="20:21" ht="15" customHeight="1" x14ac:dyDescent="0.25">
      <c r="T13001" s="135"/>
      <c r="U13001" s="135"/>
    </row>
    <row r="13002" spans="20:21" ht="15" customHeight="1" x14ac:dyDescent="0.25">
      <c r="T13002" s="135"/>
      <c r="U13002" s="135"/>
    </row>
    <row r="13003" spans="20:21" ht="15" customHeight="1" x14ac:dyDescent="0.25">
      <c r="T13003" s="135"/>
      <c r="U13003" s="135"/>
    </row>
    <row r="13004" spans="20:21" ht="15" customHeight="1" x14ac:dyDescent="0.25">
      <c r="T13004" s="135"/>
      <c r="U13004" s="135"/>
    </row>
    <row r="13005" spans="20:21" ht="15" customHeight="1" x14ac:dyDescent="0.25">
      <c r="T13005" s="135"/>
      <c r="U13005" s="135"/>
    </row>
    <row r="13006" spans="20:21" ht="15" customHeight="1" x14ac:dyDescent="0.25">
      <c r="T13006" s="135"/>
      <c r="U13006" s="135"/>
    </row>
    <row r="13007" spans="20:21" ht="15" customHeight="1" x14ac:dyDescent="0.25">
      <c r="T13007" s="135"/>
      <c r="U13007" s="135"/>
    </row>
    <row r="13008" spans="20:21" ht="15" customHeight="1" x14ac:dyDescent="0.25">
      <c r="T13008" s="135"/>
      <c r="U13008" s="135"/>
    </row>
    <row r="13009" spans="20:21" ht="15" customHeight="1" x14ac:dyDescent="0.25">
      <c r="T13009" s="135"/>
      <c r="U13009" s="135"/>
    </row>
    <row r="13010" spans="20:21" ht="15" customHeight="1" x14ac:dyDescent="0.25">
      <c r="T13010" s="135"/>
      <c r="U13010" s="135"/>
    </row>
    <row r="13011" spans="20:21" ht="15" customHeight="1" x14ac:dyDescent="0.25">
      <c r="T13011" s="135"/>
      <c r="U13011" s="135"/>
    </row>
    <row r="13012" spans="20:21" ht="15" customHeight="1" x14ac:dyDescent="0.25">
      <c r="T13012" s="135"/>
      <c r="U13012" s="135"/>
    </row>
    <row r="13013" spans="20:21" ht="15" customHeight="1" x14ac:dyDescent="0.25">
      <c r="T13013" s="135"/>
      <c r="U13013" s="135"/>
    </row>
    <row r="13014" spans="20:21" ht="15" customHeight="1" x14ac:dyDescent="0.25">
      <c r="T13014" s="135"/>
      <c r="U13014" s="135"/>
    </row>
    <row r="13015" spans="20:21" ht="15" customHeight="1" x14ac:dyDescent="0.25">
      <c r="T13015" s="135"/>
      <c r="U13015" s="135"/>
    </row>
    <row r="13016" spans="20:21" ht="15" customHeight="1" x14ac:dyDescent="0.25">
      <c r="T13016" s="135"/>
      <c r="U13016" s="135"/>
    </row>
    <row r="13017" spans="20:21" ht="15" customHeight="1" x14ac:dyDescent="0.25">
      <c r="T13017" s="135"/>
      <c r="U13017" s="135"/>
    </row>
    <row r="13018" spans="20:21" ht="15" customHeight="1" x14ac:dyDescent="0.25">
      <c r="T13018" s="135"/>
      <c r="U13018" s="135"/>
    </row>
    <row r="13019" spans="20:21" ht="15" customHeight="1" x14ac:dyDescent="0.25">
      <c r="T13019" s="135"/>
      <c r="U13019" s="135"/>
    </row>
    <row r="13020" spans="20:21" ht="15" customHeight="1" x14ac:dyDescent="0.25">
      <c r="T13020" s="135"/>
      <c r="U13020" s="135"/>
    </row>
    <row r="13021" spans="20:21" ht="15" customHeight="1" x14ac:dyDescent="0.25">
      <c r="T13021" s="135"/>
      <c r="U13021" s="135"/>
    </row>
    <row r="13022" spans="20:21" ht="15" customHeight="1" x14ac:dyDescent="0.25">
      <c r="T13022" s="135"/>
      <c r="U13022" s="135"/>
    </row>
    <row r="13023" spans="20:21" ht="15" customHeight="1" x14ac:dyDescent="0.25">
      <c r="T13023" s="135"/>
      <c r="U13023" s="135"/>
    </row>
    <row r="13024" spans="20:21" ht="15" customHeight="1" x14ac:dyDescent="0.25">
      <c r="T13024" s="135"/>
      <c r="U13024" s="135"/>
    </row>
    <row r="13025" spans="20:21" ht="15" customHeight="1" x14ac:dyDescent="0.25">
      <c r="T13025" s="135"/>
      <c r="U13025" s="135"/>
    </row>
    <row r="13026" spans="20:21" ht="15" customHeight="1" x14ac:dyDescent="0.25">
      <c r="T13026" s="135"/>
      <c r="U13026" s="135"/>
    </row>
    <row r="13027" spans="20:21" ht="15" customHeight="1" x14ac:dyDescent="0.25">
      <c r="T13027" s="135"/>
      <c r="U13027" s="135"/>
    </row>
    <row r="13028" spans="20:21" ht="15" customHeight="1" x14ac:dyDescent="0.25">
      <c r="T13028" s="135"/>
      <c r="U13028" s="135"/>
    </row>
    <row r="13029" spans="20:21" ht="15" customHeight="1" x14ac:dyDescent="0.25">
      <c r="T13029" s="135"/>
      <c r="U13029" s="135"/>
    </row>
    <row r="13030" spans="20:21" ht="15" customHeight="1" x14ac:dyDescent="0.25">
      <c r="T13030" s="135"/>
      <c r="U13030" s="135"/>
    </row>
    <row r="13031" spans="20:21" ht="15" customHeight="1" x14ac:dyDescent="0.25">
      <c r="T13031" s="135"/>
      <c r="U13031" s="135"/>
    </row>
    <row r="13032" spans="20:21" ht="15" customHeight="1" x14ac:dyDescent="0.25">
      <c r="T13032" s="135"/>
      <c r="U13032" s="135"/>
    </row>
    <row r="13033" spans="20:21" ht="15" customHeight="1" x14ac:dyDescent="0.25">
      <c r="T13033" s="135"/>
      <c r="U13033" s="135"/>
    </row>
    <row r="13034" spans="20:21" ht="15" customHeight="1" x14ac:dyDescent="0.25">
      <c r="T13034" s="135"/>
      <c r="U13034" s="135"/>
    </row>
    <row r="13035" spans="20:21" ht="15" customHeight="1" x14ac:dyDescent="0.25">
      <c r="T13035" s="135"/>
      <c r="U13035" s="135"/>
    </row>
    <row r="13036" spans="20:21" ht="15" customHeight="1" x14ac:dyDescent="0.25">
      <c r="T13036" s="135"/>
      <c r="U13036" s="135"/>
    </row>
    <row r="13037" spans="20:21" ht="15" customHeight="1" x14ac:dyDescent="0.25">
      <c r="T13037" s="135"/>
      <c r="U13037" s="135"/>
    </row>
    <row r="13038" spans="20:21" ht="15" customHeight="1" x14ac:dyDescent="0.25">
      <c r="T13038" s="135"/>
      <c r="U13038" s="135"/>
    </row>
    <row r="13039" spans="20:21" ht="15" customHeight="1" x14ac:dyDescent="0.25">
      <c r="T13039" s="135"/>
      <c r="U13039" s="135"/>
    </row>
    <row r="13040" spans="20:21" ht="15" customHeight="1" x14ac:dyDescent="0.25">
      <c r="T13040" s="135"/>
      <c r="U13040" s="135"/>
    </row>
    <row r="13041" spans="20:21" ht="15" customHeight="1" x14ac:dyDescent="0.25">
      <c r="T13041" s="135"/>
      <c r="U13041" s="135"/>
    </row>
    <row r="13042" spans="20:21" ht="15" customHeight="1" x14ac:dyDescent="0.25">
      <c r="T13042" s="135"/>
      <c r="U13042" s="135"/>
    </row>
    <row r="13043" spans="20:21" ht="15" customHeight="1" x14ac:dyDescent="0.25">
      <c r="T13043" s="135"/>
      <c r="U13043" s="135"/>
    </row>
    <row r="13044" spans="20:21" ht="15" customHeight="1" x14ac:dyDescent="0.25">
      <c r="T13044" s="135"/>
      <c r="U13044" s="135"/>
    </row>
    <row r="13045" spans="20:21" ht="15" customHeight="1" x14ac:dyDescent="0.25">
      <c r="T13045" s="135"/>
      <c r="U13045" s="135"/>
    </row>
    <row r="13046" spans="20:21" ht="15" customHeight="1" x14ac:dyDescent="0.25">
      <c r="T13046" s="135"/>
      <c r="U13046" s="135"/>
    </row>
    <row r="13047" spans="20:21" ht="15" customHeight="1" x14ac:dyDescent="0.25">
      <c r="T13047" s="135"/>
      <c r="U13047" s="135"/>
    </row>
    <row r="13048" spans="20:21" ht="15" customHeight="1" x14ac:dyDescent="0.25">
      <c r="T13048" s="135"/>
      <c r="U13048" s="135"/>
    </row>
    <row r="13049" spans="20:21" ht="15" customHeight="1" x14ac:dyDescent="0.25">
      <c r="T13049" s="135"/>
      <c r="U13049" s="135"/>
    </row>
    <row r="13050" spans="20:21" ht="15" customHeight="1" x14ac:dyDescent="0.25">
      <c r="T13050" s="135"/>
      <c r="U13050" s="135"/>
    </row>
    <row r="13051" spans="20:21" ht="15" customHeight="1" x14ac:dyDescent="0.25">
      <c r="T13051" s="135"/>
      <c r="U13051" s="135"/>
    </row>
    <row r="13052" spans="20:21" ht="15" customHeight="1" x14ac:dyDescent="0.25">
      <c r="T13052" s="135"/>
      <c r="U13052" s="135"/>
    </row>
    <row r="13053" spans="20:21" ht="15" customHeight="1" x14ac:dyDescent="0.25">
      <c r="T13053" s="135"/>
      <c r="U13053" s="135"/>
    </row>
    <row r="13054" spans="20:21" ht="15" customHeight="1" x14ac:dyDescent="0.25">
      <c r="T13054" s="135"/>
      <c r="U13054" s="135"/>
    </row>
    <row r="13055" spans="20:21" ht="15" customHeight="1" x14ac:dyDescent="0.25">
      <c r="T13055" s="135"/>
      <c r="U13055" s="135"/>
    </row>
    <row r="13056" spans="20:21" ht="15" customHeight="1" x14ac:dyDescent="0.25">
      <c r="T13056" s="135"/>
      <c r="U13056" s="135"/>
    </row>
    <row r="13057" spans="20:21" ht="15" customHeight="1" x14ac:dyDescent="0.25">
      <c r="T13057" s="135"/>
      <c r="U13057" s="135"/>
    </row>
    <row r="13058" spans="20:21" ht="15" customHeight="1" x14ac:dyDescent="0.25">
      <c r="T13058" s="135"/>
      <c r="U13058" s="135"/>
    </row>
    <row r="13059" spans="20:21" ht="15" customHeight="1" x14ac:dyDescent="0.25">
      <c r="T13059" s="135"/>
      <c r="U13059" s="135"/>
    </row>
    <row r="13060" spans="20:21" ht="15" customHeight="1" x14ac:dyDescent="0.25">
      <c r="T13060" s="135"/>
      <c r="U13060" s="135"/>
    </row>
    <row r="13061" spans="20:21" ht="15" customHeight="1" x14ac:dyDescent="0.25">
      <c r="T13061" s="135"/>
      <c r="U13061" s="135"/>
    </row>
    <row r="13062" spans="20:21" ht="15" customHeight="1" x14ac:dyDescent="0.25">
      <c r="T13062" s="135"/>
      <c r="U13062" s="135"/>
    </row>
    <row r="13063" spans="20:21" ht="15" customHeight="1" x14ac:dyDescent="0.25">
      <c r="T13063" s="135"/>
      <c r="U13063" s="135"/>
    </row>
    <row r="13064" spans="20:21" ht="15" customHeight="1" x14ac:dyDescent="0.25">
      <c r="T13064" s="135"/>
      <c r="U13064" s="135"/>
    </row>
    <row r="13065" spans="20:21" ht="15" customHeight="1" x14ac:dyDescent="0.25">
      <c r="T13065" s="135"/>
      <c r="U13065" s="135"/>
    </row>
    <row r="13066" spans="20:21" ht="15" customHeight="1" x14ac:dyDescent="0.25">
      <c r="T13066" s="135"/>
      <c r="U13066" s="135"/>
    </row>
    <row r="13067" spans="20:21" ht="15" customHeight="1" x14ac:dyDescent="0.25">
      <c r="T13067" s="135"/>
      <c r="U13067" s="135"/>
    </row>
    <row r="13068" spans="20:21" ht="15" customHeight="1" x14ac:dyDescent="0.25">
      <c r="T13068" s="135"/>
      <c r="U13068" s="135"/>
    </row>
    <row r="13069" spans="20:21" ht="15" customHeight="1" x14ac:dyDescent="0.25">
      <c r="T13069" s="135"/>
      <c r="U13069" s="135"/>
    </row>
    <row r="13070" spans="20:21" ht="15" customHeight="1" x14ac:dyDescent="0.25">
      <c r="T13070" s="135"/>
      <c r="U13070" s="135"/>
    </row>
    <row r="13071" spans="20:21" ht="15" customHeight="1" x14ac:dyDescent="0.25">
      <c r="T13071" s="135"/>
      <c r="U13071" s="135"/>
    </row>
    <row r="13072" spans="20:21" ht="15" customHeight="1" x14ac:dyDescent="0.25">
      <c r="T13072" s="135"/>
      <c r="U13072" s="135"/>
    </row>
    <row r="13073" spans="20:21" ht="15" customHeight="1" x14ac:dyDescent="0.25">
      <c r="T13073" s="135"/>
      <c r="U13073" s="135"/>
    </row>
    <row r="13074" spans="20:21" ht="15" customHeight="1" x14ac:dyDescent="0.25">
      <c r="T13074" s="135"/>
      <c r="U13074" s="135"/>
    </row>
    <row r="13075" spans="20:21" ht="15" customHeight="1" x14ac:dyDescent="0.25">
      <c r="T13075" s="135"/>
      <c r="U13075" s="135"/>
    </row>
    <row r="13076" spans="20:21" ht="15" customHeight="1" x14ac:dyDescent="0.25">
      <c r="T13076" s="135"/>
      <c r="U13076" s="135"/>
    </row>
    <row r="13077" spans="20:21" ht="15" customHeight="1" x14ac:dyDescent="0.25">
      <c r="T13077" s="135"/>
      <c r="U13077" s="135"/>
    </row>
    <row r="13078" spans="20:21" ht="15" customHeight="1" x14ac:dyDescent="0.25">
      <c r="T13078" s="135"/>
      <c r="U13078" s="135"/>
    </row>
    <row r="13079" spans="20:21" ht="15" customHeight="1" x14ac:dyDescent="0.25">
      <c r="T13079" s="135"/>
      <c r="U13079" s="135"/>
    </row>
    <row r="13080" spans="20:21" ht="15" customHeight="1" x14ac:dyDescent="0.25">
      <c r="T13080" s="135"/>
      <c r="U13080" s="135"/>
    </row>
    <row r="13081" spans="20:21" ht="15" customHeight="1" x14ac:dyDescent="0.25">
      <c r="T13081" s="135"/>
      <c r="U13081" s="135"/>
    </row>
    <row r="13082" spans="20:21" ht="15" customHeight="1" x14ac:dyDescent="0.25">
      <c r="T13082" s="135"/>
      <c r="U13082" s="135"/>
    </row>
    <row r="13083" spans="20:21" ht="15" customHeight="1" x14ac:dyDescent="0.25">
      <c r="T13083" s="135"/>
      <c r="U13083" s="135"/>
    </row>
    <row r="13084" spans="20:21" ht="15" customHeight="1" x14ac:dyDescent="0.25">
      <c r="T13084" s="135"/>
      <c r="U13084" s="135"/>
    </row>
    <row r="13085" spans="20:21" ht="15" customHeight="1" x14ac:dyDescent="0.25">
      <c r="T13085" s="135"/>
      <c r="U13085" s="135"/>
    </row>
    <row r="13086" spans="20:21" ht="15" customHeight="1" x14ac:dyDescent="0.25">
      <c r="T13086" s="135"/>
      <c r="U13086" s="135"/>
    </row>
    <row r="13087" spans="20:21" ht="15" customHeight="1" x14ac:dyDescent="0.25">
      <c r="T13087" s="135"/>
      <c r="U13087" s="135"/>
    </row>
    <row r="13088" spans="20:21" ht="15" customHeight="1" x14ac:dyDescent="0.25">
      <c r="T13088" s="135"/>
      <c r="U13088" s="135"/>
    </row>
    <row r="13089" spans="20:21" ht="15" customHeight="1" x14ac:dyDescent="0.25">
      <c r="T13089" s="135"/>
      <c r="U13089" s="135"/>
    </row>
    <row r="13090" spans="20:21" ht="15" customHeight="1" x14ac:dyDescent="0.25">
      <c r="T13090" s="135"/>
      <c r="U13090" s="135"/>
    </row>
    <row r="13091" spans="20:21" ht="15" customHeight="1" x14ac:dyDescent="0.25">
      <c r="T13091" s="135"/>
      <c r="U13091" s="135"/>
    </row>
    <row r="13092" spans="20:21" ht="15" customHeight="1" x14ac:dyDescent="0.25">
      <c r="T13092" s="135"/>
      <c r="U13092" s="135"/>
    </row>
    <row r="13093" spans="20:21" ht="15" customHeight="1" x14ac:dyDescent="0.25">
      <c r="T13093" s="135"/>
      <c r="U13093" s="135"/>
    </row>
    <row r="13094" spans="20:21" ht="15" customHeight="1" x14ac:dyDescent="0.25">
      <c r="T13094" s="135"/>
      <c r="U13094" s="135"/>
    </row>
    <row r="13095" spans="20:21" ht="15" customHeight="1" x14ac:dyDescent="0.25">
      <c r="T13095" s="135"/>
      <c r="U13095" s="135"/>
    </row>
    <row r="13096" spans="20:21" ht="15" customHeight="1" x14ac:dyDescent="0.25">
      <c r="T13096" s="135"/>
      <c r="U13096" s="135"/>
    </row>
    <row r="13097" spans="20:21" ht="15" customHeight="1" x14ac:dyDescent="0.25">
      <c r="T13097" s="135"/>
      <c r="U13097" s="135"/>
    </row>
    <row r="13098" spans="20:21" ht="15" customHeight="1" x14ac:dyDescent="0.25">
      <c r="T13098" s="135"/>
      <c r="U13098" s="135"/>
    </row>
    <row r="13099" spans="20:21" ht="15" customHeight="1" x14ac:dyDescent="0.25">
      <c r="T13099" s="135"/>
      <c r="U13099" s="135"/>
    </row>
    <row r="13100" spans="20:21" ht="15" customHeight="1" x14ac:dyDescent="0.25">
      <c r="T13100" s="135"/>
      <c r="U13100" s="135"/>
    </row>
    <row r="13101" spans="20:21" ht="15" customHeight="1" x14ac:dyDescent="0.25">
      <c r="T13101" s="135"/>
      <c r="U13101" s="135"/>
    </row>
    <row r="13102" spans="20:21" ht="15" customHeight="1" x14ac:dyDescent="0.25">
      <c r="T13102" s="135"/>
      <c r="U13102" s="135"/>
    </row>
    <row r="13103" spans="20:21" ht="15" customHeight="1" x14ac:dyDescent="0.25">
      <c r="T13103" s="135"/>
      <c r="U13103" s="135"/>
    </row>
    <row r="13104" spans="20:21" ht="15" customHeight="1" x14ac:dyDescent="0.25">
      <c r="T13104" s="135"/>
      <c r="U13104" s="135"/>
    </row>
    <row r="13105" spans="20:21" ht="15" customHeight="1" x14ac:dyDescent="0.25">
      <c r="T13105" s="135"/>
      <c r="U13105" s="135"/>
    </row>
    <row r="13106" spans="20:21" ht="15" customHeight="1" x14ac:dyDescent="0.25">
      <c r="T13106" s="135"/>
      <c r="U13106" s="135"/>
    </row>
    <row r="13107" spans="20:21" ht="15" customHeight="1" x14ac:dyDescent="0.25">
      <c r="T13107" s="135"/>
      <c r="U13107" s="135"/>
    </row>
    <row r="13108" spans="20:21" ht="15" customHeight="1" x14ac:dyDescent="0.25">
      <c r="T13108" s="135"/>
      <c r="U13108" s="135"/>
    </row>
    <row r="13109" spans="20:21" ht="15" customHeight="1" x14ac:dyDescent="0.25">
      <c r="T13109" s="135"/>
      <c r="U13109" s="135"/>
    </row>
    <row r="13110" spans="20:21" ht="15" customHeight="1" x14ac:dyDescent="0.25">
      <c r="T13110" s="135"/>
      <c r="U13110" s="135"/>
    </row>
    <row r="13111" spans="20:21" ht="15" customHeight="1" x14ac:dyDescent="0.25">
      <c r="T13111" s="135"/>
      <c r="U13111" s="135"/>
    </row>
    <row r="13112" spans="20:21" ht="15" customHeight="1" x14ac:dyDescent="0.25">
      <c r="T13112" s="135"/>
      <c r="U13112" s="135"/>
    </row>
    <row r="13113" spans="20:21" ht="15" customHeight="1" x14ac:dyDescent="0.25">
      <c r="T13113" s="135"/>
      <c r="U13113" s="135"/>
    </row>
    <row r="13114" spans="20:21" ht="15" customHeight="1" x14ac:dyDescent="0.25">
      <c r="T13114" s="135"/>
      <c r="U13114" s="135"/>
    </row>
    <row r="13115" spans="20:21" ht="15" customHeight="1" x14ac:dyDescent="0.25">
      <c r="T13115" s="135"/>
      <c r="U13115" s="135"/>
    </row>
    <row r="13116" spans="20:21" ht="15" customHeight="1" x14ac:dyDescent="0.25">
      <c r="T13116" s="135"/>
      <c r="U13116" s="135"/>
    </row>
    <row r="13117" spans="20:21" ht="15" customHeight="1" x14ac:dyDescent="0.25">
      <c r="T13117" s="135"/>
      <c r="U13117" s="135"/>
    </row>
    <row r="13118" spans="20:21" ht="15" customHeight="1" x14ac:dyDescent="0.25">
      <c r="T13118" s="135"/>
      <c r="U13118" s="135"/>
    </row>
    <row r="13119" spans="20:21" ht="15" customHeight="1" x14ac:dyDescent="0.25">
      <c r="T13119" s="135"/>
      <c r="U13119" s="135"/>
    </row>
    <row r="13120" spans="20:21" ht="15" customHeight="1" x14ac:dyDescent="0.25">
      <c r="T13120" s="135"/>
      <c r="U13120" s="135"/>
    </row>
    <row r="13121" spans="20:21" ht="15" customHeight="1" x14ac:dyDescent="0.25">
      <c r="T13121" s="135"/>
      <c r="U13121" s="135"/>
    </row>
    <row r="13122" spans="20:21" ht="15" customHeight="1" x14ac:dyDescent="0.25">
      <c r="T13122" s="135"/>
      <c r="U13122" s="135"/>
    </row>
    <row r="13123" spans="20:21" ht="15" customHeight="1" x14ac:dyDescent="0.25">
      <c r="T13123" s="135"/>
      <c r="U13123" s="135"/>
    </row>
    <row r="13124" spans="20:21" ht="15" customHeight="1" x14ac:dyDescent="0.25">
      <c r="T13124" s="135"/>
      <c r="U13124" s="135"/>
    </row>
    <row r="13125" spans="20:21" ht="15" customHeight="1" x14ac:dyDescent="0.25">
      <c r="T13125" s="135"/>
      <c r="U13125" s="135"/>
    </row>
    <row r="13126" spans="20:21" ht="15" customHeight="1" x14ac:dyDescent="0.25">
      <c r="T13126" s="135"/>
      <c r="U13126" s="135"/>
    </row>
    <row r="13127" spans="20:21" ht="15" customHeight="1" x14ac:dyDescent="0.25">
      <c r="T13127" s="135"/>
      <c r="U13127" s="135"/>
    </row>
    <row r="13128" spans="20:21" ht="15" customHeight="1" x14ac:dyDescent="0.25">
      <c r="T13128" s="135"/>
      <c r="U13128" s="135"/>
    </row>
    <row r="13129" spans="20:21" ht="15" customHeight="1" x14ac:dyDescent="0.25">
      <c r="T13129" s="135"/>
      <c r="U13129" s="135"/>
    </row>
    <row r="13130" spans="20:21" ht="15" customHeight="1" x14ac:dyDescent="0.25">
      <c r="T13130" s="135"/>
      <c r="U13130" s="135"/>
    </row>
    <row r="13131" spans="20:21" ht="15" customHeight="1" x14ac:dyDescent="0.25">
      <c r="T13131" s="135"/>
      <c r="U13131" s="135"/>
    </row>
    <row r="13132" spans="20:21" ht="15" customHeight="1" x14ac:dyDescent="0.25">
      <c r="T13132" s="135"/>
      <c r="U13132" s="135"/>
    </row>
    <row r="13133" spans="20:21" ht="15" customHeight="1" x14ac:dyDescent="0.25">
      <c r="T13133" s="135"/>
      <c r="U13133" s="135"/>
    </row>
    <row r="13134" spans="20:21" ht="15" customHeight="1" x14ac:dyDescent="0.25">
      <c r="T13134" s="135"/>
      <c r="U13134" s="135"/>
    </row>
    <row r="13135" spans="20:21" ht="15" customHeight="1" x14ac:dyDescent="0.25">
      <c r="T13135" s="135"/>
      <c r="U13135" s="135"/>
    </row>
    <row r="13136" spans="20:21" ht="15" customHeight="1" x14ac:dyDescent="0.25">
      <c r="T13136" s="135"/>
      <c r="U13136" s="135"/>
    </row>
    <row r="13137" spans="20:21" ht="15" customHeight="1" x14ac:dyDescent="0.25">
      <c r="T13137" s="135"/>
      <c r="U13137" s="135"/>
    </row>
    <row r="13138" spans="20:21" ht="15" customHeight="1" x14ac:dyDescent="0.25">
      <c r="T13138" s="135"/>
      <c r="U13138" s="135"/>
    </row>
    <row r="13139" spans="20:21" ht="15" customHeight="1" x14ac:dyDescent="0.25">
      <c r="T13139" s="135"/>
      <c r="U13139" s="135"/>
    </row>
    <row r="13140" spans="20:21" ht="15" customHeight="1" x14ac:dyDescent="0.25">
      <c r="T13140" s="135"/>
      <c r="U13140" s="135"/>
    </row>
    <row r="13141" spans="20:21" ht="15" customHeight="1" x14ac:dyDescent="0.25">
      <c r="T13141" s="135"/>
      <c r="U13141" s="135"/>
    </row>
    <row r="13142" spans="20:21" ht="15" customHeight="1" x14ac:dyDescent="0.25">
      <c r="T13142" s="135"/>
      <c r="U13142" s="135"/>
    </row>
    <row r="13143" spans="20:21" ht="15" customHeight="1" x14ac:dyDescent="0.25">
      <c r="T13143" s="135"/>
      <c r="U13143" s="135"/>
    </row>
    <row r="13144" spans="20:21" ht="15" customHeight="1" x14ac:dyDescent="0.25">
      <c r="T13144" s="135"/>
      <c r="U13144" s="135"/>
    </row>
    <row r="13145" spans="20:21" ht="15" customHeight="1" x14ac:dyDescent="0.25">
      <c r="T13145" s="135"/>
      <c r="U13145" s="135"/>
    </row>
    <row r="13146" spans="20:21" ht="15" customHeight="1" x14ac:dyDescent="0.25">
      <c r="T13146" s="135"/>
      <c r="U13146" s="135"/>
    </row>
    <row r="13147" spans="20:21" ht="15" customHeight="1" x14ac:dyDescent="0.25">
      <c r="T13147" s="135"/>
      <c r="U13147" s="135"/>
    </row>
    <row r="13148" spans="20:21" ht="15" customHeight="1" x14ac:dyDescent="0.25">
      <c r="T13148" s="135"/>
      <c r="U13148" s="135"/>
    </row>
    <row r="13149" spans="20:21" ht="15" customHeight="1" x14ac:dyDescent="0.25">
      <c r="T13149" s="135"/>
      <c r="U13149" s="135"/>
    </row>
    <row r="13150" spans="20:21" ht="15" customHeight="1" x14ac:dyDescent="0.25">
      <c r="T13150" s="135"/>
      <c r="U13150" s="135"/>
    </row>
    <row r="13151" spans="20:21" ht="15" customHeight="1" x14ac:dyDescent="0.25">
      <c r="T13151" s="135"/>
      <c r="U13151" s="135"/>
    </row>
    <row r="13152" spans="20:21" ht="15" customHeight="1" x14ac:dyDescent="0.25">
      <c r="T13152" s="135"/>
      <c r="U13152" s="135"/>
    </row>
    <row r="13153" spans="20:21" ht="15" customHeight="1" x14ac:dyDescent="0.25">
      <c r="T13153" s="135"/>
      <c r="U13153" s="135"/>
    </row>
    <row r="13154" spans="20:21" ht="15" customHeight="1" x14ac:dyDescent="0.25">
      <c r="T13154" s="135"/>
      <c r="U13154" s="135"/>
    </row>
    <row r="13155" spans="20:21" ht="15" customHeight="1" x14ac:dyDescent="0.25">
      <c r="T13155" s="135"/>
      <c r="U13155" s="135"/>
    </row>
    <row r="13156" spans="20:21" ht="15" customHeight="1" x14ac:dyDescent="0.25">
      <c r="T13156" s="135"/>
      <c r="U13156" s="135"/>
    </row>
    <row r="13157" spans="20:21" ht="15" customHeight="1" x14ac:dyDescent="0.25">
      <c r="T13157" s="135"/>
      <c r="U13157" s="135"/>
    </row>
    <row r="13158" spans="20:21" ht="15" customHeight="1" x14ac:dyDescent="0.25">
      <c r="T13158" s="135"/>
      <c r="U13158" s="135"/>
    </row>
    <row r="13159" spans="20:21" ht="15" customHeight="1" x14ac:dyDescent="0.25">
      <c r="T13159" s="135"/>
      <c r="U13159" s="135"/>
    </row>
    <row r="13160" spans="20:21" ht="15" customHeight="1" x14ac:dyDescent="0.25">
      <c r="T13160" s="135"/>
      <c r="U13160" s="135"/>
    </row>
    <row r="13161" spans="20:21" ht="15" customHeight="1" x14ac:dyDescent="0.25">
      <c r="T13161" s="135"/>
      <c r="U13161" s="135"/>
    </row>
    <row r="13162" spans="20:21" ht="15" customHeight="1" x14ac:dyDescent="0.25">
      <c r="T13162" s="135"/>
      <c r="U13162" s="135"/>
    </row>
    <row r="13163" spans="20:21" ht="15" customHeight="1" x14ac:dyDescent="0.25">
      <c r="T13163" s="135"/>
      <c r="U13163" s="135"/>
    </row>
    <row r="13164" spans="20:21" ht="15" customHeight="1" x14ac:dyDescent="0.25">
      <c r="T13164" s="135"/>
      <c r="U13164" s="135"/>
    </row>
    <row r="13165" spans="20:21" ht="15" customHeight="1" x14ac:dyDescent="0.25">
      <c r="T13165" s="135"/>
      <c r="U13165" s="135"/>
    </row>
    <row r="13166" spans="20:21" ht="15" customHeight="1" x14ac:dyDescent="0.25">
      <c r="T13166" s="135"/>
      <c r="U13166" s="135"/>
    </row>
    <row r="13167" spans="20:21" ht="15" customHeight="1" x14ac:dyDescent="0.25">
      <c r="T13167" s="135"/>
      <c r="U13167" s="135"/>
    </row>
    <row r="13168" spans="20:21" ht="15" customHeight="1" x14ac:dyDescent="0.25">
      <c r="T13168" s="135"/>
      <c r="U13168" s="135"/>
    </row>
    <row r="13169" spans="20:21" ht="15" customHeight="1" x14ac:dyDescent="0.25">
      <c r="T13169" s="135"/>
      <c r="U13169" s="135"/>
    </row>
    <row r="13170" spans="20:21" ht="15" customHeight="1" x14ac:dyDescent="0.25">
      <c r="T13170" s="135"/>
      <c r="U13170" s="135"/>
    </row>
    <row r="13171" spans="20:21" ht="15" customHeight="1" x14ac:dyDescent="0.25">
      <c r="T13171" s="135"/>
      <c r="U13171" s="135"/>
    </row>
    <row r="13172" spans="20:21" ht="15" customHeight="1" x14ac:dyDescent="0.25">
      <c r="T13172" s="135"/>
      <c r="U13172" s="135"/>
    </row>
    <row r="13173" spans="20:21" ht="15" customHeight="1" x14ac:dyDescent="0.25">
      <c r="T13173" s="135"/>
      <c r="U13173" s="135"/>
    </row>
    <row r="13174" spans="20:21" ht="15" customHeight="1" x14ac:dyDescent="0.25">
      <c r="T13174" s="135"/>
      <c r="U13174" s="135"/>
    </row>
    <row r="13175" spans="20:21" ht="15" customHeight="1" x14ac:dyDescent="0.25">
      <c r="T13175" s="135"/>
      <c r="U13175" s="135"/>
    </row>
    <row r="13176" spans="20:21" ht="15" customHeight="1" x14ac:dyDescent="0.25">
      <c r="T13176" s="135"/>
      <c r="U13176" s="135"/>
    </row>
    <row r="13177" spans="20:21" ht="15" customHeight="1" x14ac:dyDescent="0.25">
      <c r="T13177" s="135"/>
      <c r="U13177" s="135"/>
    </row>
    <row r="13178" spans="20:21" ht="15" customHeight="1" x14ac:dyDescent="0.25">
      <c r="T13178" s="135"/>
      <c r="U13178" s="135"/>
    </row>
    <row r="13179" spans="20:21" ht="15" customHeight="1" x14ac:dyDescent="0.25">
      <c r="T13179" s="135"/>
      <c r="U13179" s="135"/>
    </row>
    <row r="13180" spans="20:21" ht="15" customHeight="1" x14ac:dyDescent="0.25">
      <c r="T13180" s="135"/>
      <c r="U13180" s="135"/>
    </row>
    <row r="13181" spans="20:21" ht="15" customHeight="1" x14ac:dyDescent="0.25">
      <c r="T13181" s="135"/>
      <c r="U13181" s="135"/>
    </row>
    <row r="13182" spans="20:21" ht="15" customHeight="1" x14ac:dyDescent="0.25">
      <c r="T13182" s="135"/>
      <c r="U13182" s="135"/>
    </row>
    <row r="13183" spans="20:21" ht="15" customHeight="1" x14ac:dyDescent="0.25">
      <c r="T13183" s="135"/>
      <c r="U13183" s="135"/>
    </row>
    <row r="13184" spans="20:21" ht="15" customHeight="1" x14ac:dyDescent="0.25">
      <c r="T13184" s="135"/>
      <c r="U13184" s="135"/>
    </row>
    <row r="13185" spans="20:21" ht="15" customHeight="1" x14ac:dyDescent="0.25">
      <c r="T13185" s="135"/>
      <c r="U13185" s="135"/>
    </row>
    <row r="13186" spans="20:21" ht="15" customHeight="1" x14ac:dyDescent="0.25">
      <c r="T13186" s="135"/>
      <c r="U13186" s="135"/>
    </row>
    <row r="13187" spans="20:21" ht="15" customHeight="1" x14ac:dyDescent="0.25">
      <c r="T13187" s="135"/>
      <c r="U13187" s="135"/>
    </row>
    <row r="13188" spans="20:21" ht="15" customHeight="1" x14ac:dyDescent="0.25">
      <c r="T13188" s="135"/>
      <c r="U13188" s="135"/>
    </row>
    <row r="13189" spans="20:21" ht="15" customHeight="1" x14ac:dyDescent="0.25">
      <c r="T13189" s="135"/>
      <c r="U13189" s="135"/>
    </row>
    <row r="13190" spans="20:21" ht="15" customHeight="1" x14ac:dyDescent="0.25">
      <c r="T13190" s="135"/>
      <c r="U13190" s="135"/>
    </row>
    <row r="13191" spans="20:21" ht="15" customHeight="1" x14ac:dyDescent="0.25">
      <c r="T13191" s="135"/>
      <c r="U13191" s="135"/>
    </row>
    <row r="13192" spans="20:21" ht="15" customHeight="1" x14ac:dyDescent="0.25">
      <c r="T13192" s="135"/>
      <c r="U13192" s="135"/>
    </row>
    <row r="13193" spans="20:21" ht="15" customHeight="1" x14ac:dyDescent="0.25">
      <c r="T13193" s="135"/>
      <c r="U13193" s="135"/>
    </row>
    <row r="13194" spans="20:21" ht="15" customHeight="1" x14ac:dyDescent="0.25">
      <c r="T13194" s="135"/>
      <c r="U13194" s="135"/>
    </row>
    <row r="13195" spans="20:21" ht="15" customHeight="1" x14ac:dyDescent="0.25">
      <c r="T13195" s="135"/>
      <c r="U13195" s="135"/>
    </row>
    <row r="13196" spans="20:21" ht="15" customHeight="1" x14ac:dyDescent="0.25">
      <c r="T13196" s="135"/>
      <c r="U13196" s="135"/>
    </row>
    <row r="13197" spans="20:21" ht="15" customHeight="1" x14ac:dyDescent="0.25">
      <c r="T13197" s="135"/>
      <c r="U13197" s="135"/>
    </row>
    <row r="13198" spans="20:21" ht="15" customHeight="1" x14ac:dyDescent="0.25">
      <c r="T13198" s="135"/>
      <c r="U13198" s="135"/>
    </row>
    <row r="13199" spans="20:21" ht="15" customHeight="1" x14ac:dyDescent="0.25">
      <c r="T13199" s="135"/>
      <c r="U13199" s="135"/>
    </row>
    <row r="13200" spans="20:21" ht="15" customHeight="1" x14ac:dyDescent="0.25">
      <c r="T13200" s="135"/>
      <c r="U13200" s="135"/>
    </row>
    <row r="13201" spans="20:21" ht="15" customHeight="1" x14ac:dyDescent="0.25">
      <c r="T13201" s="135"/>
      <c r="U13201" s="135"/>
    </row>
    <row r="13202" spans="20:21" ht="15" customHeight="1" x14ac:dyDescent="0.25">
      <c r="T13202" s="135"/>
      <c r="U13202" s="135"/>
    </row>
    <row r="13203" spans="20:21" ht="15" customHeight="1" x14ac:dyDescent="0.25">
      <c r="T13203" s="135"/>
      <c r="U13203" s="135"/>
    </row>
    <row r="13204" spans="20:21" ht="15" customHeight="1" x14ac:dyDescent="0.25">
      <c r="T13204" s="135"/>
      <c r="U13204" s="135"/>
    </row>
    <row r="13205" spans="20:21" ht="15" customHeight="1" x14ac:dyDescent="0.25">
      <c r="T13205" s="135"/>
      <c r="U13205" s="135"/>
    </row>
    <row r="13206" spans="20:21" ht="15" customHeight="1" x14ac:dyDescent="0.25">
      <c r="T13206" s="135"/>
      <c r="U13206" s="135"/>
    </row>
    <row r="13207" spans="20:21" ht="15" customHeight="1" x14ac:dyDescent="0.25">
      <c r="T13207" s="135"/>
      <c r="U13207" s="135"/>
    </row>
    <row r="13208" spans="20:21" ht="15" customHeight="1" x14ac:dyDescent="0.25">
      <c r="T13208" s="135"/>
      <c r="U13208" s="135"/>
    </row>
    <row r="13209" spans="20:21" ht="15" customHeight="1" x14ac:dyDescent="0.25">
      <c r="T13209" s="135"/>
      <c r="U13209" s="135"/>
    </row>
    <row r="13210" spans="20:21" ht="15" customHeight="1" x14ac:dyDescent="0.25">
      <c r="T13210" s="135"/>
      <c r="U13210" s="135"/>
    </row>
    <row r="13211" spans="20:21" ht="15" customHeight="1" x14ac:dyDescent="0.25">
      <c r="T13211" s="135"/>
      <c r="U13211" s="135"/>
    </row>
    <row r="13212" spans="20:21" ht="15" customHeight="1" x14ac:dyDescent="0.25">
      <c r="T13212" s="135"/>
      <c r="U13212" s="135"/>
    </row>
    <row r="13213" spans="20:21" ht="15" customHeight="1" x14ac:dyDescent="0.25">
      <c r="T13213" s="135"/>
      <c r="U13213" s="135"/>
    </row>
    <row r="13214" spans="20:21" ht="15" customHeight="1" x14ac:dyDescent="0.25">
      <c r="T13214" s="135"/>
      <c r="U13214" s="135"/>
    </row>
    <row r="13215" spans="20:21" ht="15" customHeight="1" x14ac:dyDescent="0.25">
      <c r="T13215" s="135"/>
      <c r="U13215" s="135"/>
    </row>
    <row r="13216" spans="20:21" ht="15" customHeight="1" x14ac:dyDescent="0.25">
      <c r="T13216" s="135"/>
      <c r="U13216" s="135"/>
    </row>
    <row r="13217" spans="20:21" ht="15" customHeight="1" x14ac:dyDescent="0.25">
      <c r="T13217" s="135"/>
      <c r="U13217" s="135"/>
    </row>
    <row r="13218" spans="20:21" ht="15" customHeight="1" x14ac:dyDescent="0.25">
      <c r="T13218" s="135"/>
      <c r="U13218" s="135"/>
    </row>
    <row r="13219" spans="20:21" ht="15" customHeight="1" x14ac:dyDescent="0.25">
      <c r="T13219" s="135"/>
      <c r="U13219" s="135"/>
    </row>
    <row r="13220" spans="20:21" ht="15" customHeight="1" x14ac:dyDescent="0.25">
      <c r="T13220" s="135"/>
      <c r="U13220" s="135"/>
    </row>
    <row r="13221" spans="20:21" ht="15" customHeight="1" x14ac:dyDescent="0.25">
      <c r="T13221" s="135"/>
      <c r="U13221" s="135"/>
    </row>
    <row r="13222" spans="20:21" ht="15" customHeight="1" x14ac:dyDescent="0.25">
      <c r="T13222" s="135"/>
      <c r="U13222" s="135"/>
    </row>
    <row r="13223" spans="20:21" ht="15" customHeight="1" x14ac:dyDescent="0.25">
      <c r="T13223" s="135"/>
      <c r="U13223" s="135"/>
    </row>
    <row r="13224" spans="20:21" ht="15" customHeight="1" x14ac:dyDescent="0.25">
      <c r="T13224" s="135"/>
      <c r="U13224" s="135"/>
    </row>
    <row r="13225" spans="20:21" ht="15" customHeight="1" x14ac:dyDescent="0.25">
      <c r="T13225" s="135"/>
      <c r="U13225" s="135"/>
    </row>
    <row r="13226" spans="20:21" ht="15" customHeight="1" x14ac:dyDescent="0.25">
      <c r="T13226" s="135"/>
      <c r="U13226" s="135"/>
    </row>
    <row r="13227" spans="20:21" ht="15" customHeight="1" x14ac:dyDescent="0.25">
      <c r="T13227" s="135"/>
      <c r="U13227" s="135"/>
    </row>
    <row r="13228" spans="20:21" ht="15" customHeight="1" x14ac:dyDescent="0.25">
      <c r="T13228" s="135"/>
      <c r="U13228" s="135"/>
    </row>
    <row r="13229" spans="20:21" ht="15" customHeight="1" x14ac:dyDescent="0.25">
      <c r="T13229" s="135"/>
      <c r="U13229" s="135"/>
    </row>
    <row r="13230" spans="20:21" ht="15" customHeight="1" x14ac:dyDescent="0.25">
      <c r="T13230" s="135"/>
      <c r="U13230" s="135"/>
    </row>
    <row r="13231" spans="20:21" ht="15" customHeight="1" x14ac:dyDescent="0.25">
      <c r="T13231" s="135"/>
      <c r="U13231" s="135"/>
    </row>
    <row r="13232" spans="20:21" ht="15" customHeight="1" x14ac:dyDescent="0.25">
      <c r="T13232" s="135"/>
      <c r="U13232" s="135"/>
    </row>
    <row r="13233" spans="20:21" ht="15" customHeight="1" x14ac:dyDescent="0.25">
      <c r="T13233" s="135"/>
      <c r="U13233" s="135"/>
    </row>
    <row r="13234" spans="20:21" ht="15" customHeight="1" x14ac:dyDescent="0.25">
      <c r="T13234" s="135"/>
      <c r="U13234" s="135"/>
    </row>
    <row r="13235" spans="20:21" ht="15" customHeight="1" x14ac:dyDescent="0.25">
      <c r="T13235" s="135"/>
      <c r="U13235" s="135"/>
    </row>
    <row r="13236" spans="20:21" ht="15" customHeight="1" x14ac:dyDescent="0.25">
      <c r="T13236" s="135"/>
      <c r="U13236" s="135"/>
    </row>
    <row r="13237" spans="20:21" ht="15" customHeight="1" x14ac:dyDescent="0.25">
      <c r="T13237" s="135"/>
      <c r="U13237" s="135"/>
    </row>
    <row r="13238" spans="20:21" ht="15" customHeight="1" x14ac:dyDescent="0.25">
      <c r="T13238" s="135"/>
      <c r="U13238" s="135"/>
    </row>
    <row r="13239" spans="20:21" ht="15" customHeight="1" x14ac:dyDescent="0.25">
      <c r="T13239" s="135"/>
      <c r="U13239" s="135"/>
    </row>
    <row r="13240" spans="20:21" ht="15" customHeight="1" x14ac:dyDescent="0.25">
      <c r="T13240" s="135"/>
      <c r="U13240" s="135"/>
    </row>
    <row r="13241" spans="20:21" ht="15" customHeight="1" x14ac:dyDescent="0.25">
      <c r="T13241" s="135"/>
      <c r="U13241" s="135"/>
    </row>
    <row r="13242" spans="20:21" ht="15" customHeight="1" x14ac:dyDescent="0.25">
      <c r="T13242" s="135"/>
      <c r="U13242" s="135"/>
    </row>
    <row r="13243" spans="20:21" ht="15" customHeight="1" x14ac:dyDescent="0.25">
      <c r="T13243" s="135"/>
      <c r="U13243" s="135"/>
    </row>
    <row r="13244" spans="20:21" ht="15" customHeight="1" x14ac:dyDescent="0.25">
      <c r="T13244" s="135"/>
      <c r="U13244" s="135"/>
    </row>
    <row r="13245" spans="20:21" ht="15" customHeight="1" x14ac:dyDescent="0.25">
      <c r="T13245" s="135"/>
      <c r="U13245" s="135"/>
    </row>
    <row r="13246" spans="20:21" ht="15" customHeight="1" x14ac:dyDescent="0.25">
      <c r="T13246" s="135"/>
      <c r="U13246" s="135"/>
    </row>
    <row r="13247" spans="20:21" ht="15" customHeight="1" x14ac:dyDescent="0.25">
      <c r="T13247" s="135"/>
      <c r="U13247" s="135"/>
    </row>
    <row r="13248" spans="20:21" ht="15" customHeight="1" x14ac:dyDescent="0.25">
      <c r="T13248" s="135"/>
      <c r="U13248" s="135"/>
    </row>
    <row r="13249" spans="20:21" ht="15" customHeight="1" x14ac:dyDescent="0.25">
      <c r="T13249" s="135"/>
      <c r="U13249" s="135"/>
    </row>
    <row r="13250" spans="20:21" ht="15" customHeight="1" x14ac:dyDescent="0.25">
      <c r="T13250" s="135"/>
      <c r="U13250" s="135"/>
    </row>
    <row r="13251" spans="20:21" ht="15" customHeight="1" x14ac:dyDescent="0.25">
      <c r="T13251" s="135"/>
      <c r="U13251" s="135"/>
    </row>
    <row r="13252" spans="20:21" ht="15" customHeight="1" x14ac:dyDescent="0.25">
      <c r="T13252" s="135"/>
      <c r="U13252" s="135"/>
    </row>
    <row r="13253" spans="20:21" ht="15" customHeight="1" x14ac:dyDescent="0.25">
      <c r="T13253" s="135"/>
      <c r="U13253" s="135"/>
    </row>
    <row r="13254" spans="20:21" ht="15" customHeight="1" x14ac:dyDescent="0.25">
      <c r="T13254" s="135"/>
      <c r="U13254" s="135"/>
    </row>
    <row r="13255" spans="20:21" ht="15" customHeight="1" x14ac:dyDescent="0.25">
      <c r="T13255" s="135"/>
      <c r="U13255" s="135"/>
    </row>
    <row r="13256" spans="20:21" ht="15" customHeight="1" x14ac:dyDescent="0.25">
      <c r="T13256" s="135"/>
      <c r="U13256" s="135"/>
    </row>
    <row r="13257" spans="20:21" ht="15" customHeight="1" x14ac:dyDescent="0.25">
      <c r="T13257" s="135"/>
      <c r="U13257" s="135"/>
    </row>
    <row r="13258" spans="20:21" ht="15" customHeight="1" x14ac:dyDescent="0.25">
      <c r="T13258" s="135"/>
      <c r="U13258" s="135"/>
    </row>
    <row r="13259" spans="20:21" ht="15" customHeight="1" x14ac:dyDescent="0.25">
      <c r="T13259" s="135"/>
      <c r="U13259" s="135"/>
    </row>
    <row r="13260" spans="20:21" ht="15" customHeight="1" x14ac:dyDescent="0.25">
      <c r="T13260" s="135"/>
      <c r="U13260" s="135"/>
    </row>
    <row r="13261" spans="20:21" ht="15" customHeight="1" x14ac:dyDescent="0.25">
      <c r="T13261" s="135"/>
      <c r="U13261" s="135"/>
    </row>
    <row r="13262" spans="20:21" ht="15" customHeight="1" x14ac:dyDescent="0.25">
      <c r="T13262" s="135"/>
      <c r="U13262" s="135"/>
    </row>
    <row r="13263" spans="20:21" ht="15" customHeight="1" x14ac:dyDescent="0.25">
      <c r="T13263" s="135"/>
      <c r="U13263" s="135"/>
    </row>
    <row r="13264" spans="20:21" ht="15" customHeight="1" x14ac:dyDescent="0.25">
      <c r="T13264" s="135"/>
      <c r="U13264" s="135"/>
    </row>
    <row r="13265" spans="20:21" ht="15" customHeight="1" x14ac:dyDescent="0.25">
      <c r="T13265" s="135"/>
      <c r="U13265" s="135"/>
    </row>
    <row r="13266" spans="20:21" ht="15" customHeight="1" x14ac:dyDescent="0.25">
      <c r="T13266" s="135"/>
      <c r="U13266" s="135"/>
    </row>
    <row r="13267" spans="20:21" ht="15" customHeight="1" x14ac:dyDescent="0.25">
      <c r="T13267" s="135"/>
      <c r="U13267" s="135"/>
    </row>
    <row r="13268" spans="20:21" ht="15" customHeight="1" x14ac:dyDescent="0.25">
      <c r="T13268" s="135"/>
      <c r="U13268" s="135"/>
    </row>
    <row r="13269" spans="20:21" ht="15" customHeight="1" x14ac:dyDescent="0.25">
      <c r="T13269" s="135"/>
      <c r="U13269" s="135"/>
    </row>
    <row r="13270" spans="20:21" ht="15" customHeight="1" x14ac:dyDescent="0.25">
      <c r="T13270" s="135"/>
      <c r="U13270" s="135"/>
    </row>
    <row r="13271" spans="20:21" ht="15" customHeight="1" x14ac:dyDescent="0.25">
      <c r="T13271" s="135"/>
      <c r="U13271" s="135"/>
    </row>
    <row r="13272" spans="20:21" ht="15" customHeight="1" x14ac:dyDescent="0.25">
      <c r="T13272" s="135"/>
      <c r="U13272" s="135"/>
    </row>
    <row r="13273" spans="20:21" ht="15" customHeight="1" x14ac:dyDescent="0.25">
      <c r="T13273" s="135"/>
      <c r="U13273" s="135"/>
    </row>
    <row r="13274" spans="20:21" ht="15" customHeight="1" x14ac:dyDescent="0.25">
      <c r="T13274" s="135"/>
      <c r="U13274" s="135"/>
    </row>
    <row r="13275" spans="20:21" ht="15" customHeight="1" x14ac:dyDescent="0.25">
      <c r="T13275" s="135"/>
      <c r="U13275" s="135"/>
    </row>
    <row r="13276" spans="20:21" ht="15" customHeight="1" x14ac:dyDescent="0.25">
      <c r="T13276" s="135"/>
      <c r="U13276" s="135"/>
    </row>
    <row r="13277" spans="20:21" ht="15" customHeight="1" x14ac:dyDescent="0.25">
      <c r="T13277" s="135"/>
      <c r="U13277" s="135"/>
    </row>
    <row r="13278" spans="20:21" ht="15" customHeight="1" x14ac:dyDescent="0.25">
      <c r="T13278" s="135"/>
      <c r="U13278" s="135"/>
    </row>
    <row r="13279" spans="20:21" ht="15" customHeight="1" x14ac:dyDescent="0.25">
      <c r="T13279" s="135"/>
      <c r="U13279" s="135"/>
    </row>
    <row r="13280" spans="20:21" ht="15" customHeight="1" x14ac:dyDescent="0.25">
      <c r="T13280" s="135"/>
      <c r="U13280" s="135"/>
    </row>
    <row r="13281" spans="20:21" ht="15" customHeight="1" x14ac:dyDescent="0.25">
      <c r="T13281" s="135"/>
      <c r="U13281" s="135"/>
    </row>
    <row r="13282" spans="20:21" ht="15" customHeight="1" x14ac:dyDescent="0.25">
      <c r="T13282" s="135"/>
      <c r="U13282" s="135"/>
    </row>
    <row r="13283" spans="20:21" ht="15" customHeight="1" x14ac:dyDescent="0.25">
      <c r="T13283" s="135"/>
      <c r="U13283" s="135"/>
    </row>
    <row r="13284" spans="20:21" ht="15" customHeight="1" x14ac:dyDescent="0.25">
      <c r="T13284" s="135"/>
      <c r="U13284" s="135"/>
    </row>
    <row r="13285" spans="20:21" ht="15" customHeight="1" x14ac:dyDescent="0.25">
      <c r="T13285" s="135"/>
      <c r="U13285" s="135"/>
    </row>
    <row r="13286" spans="20:21" ht="15" customHeight="1" x14ac:dyDescent="0.25">
      <c r="T13286" s="135"/>
      <c r="U13286" s="135"/>
    </row>
    <row r="13287" spans="20:21" ht="15" customHeight="1" x14ac:dyDescent="0.25">
      <c r="T13287" s="135"/>
      <c r="U13287" s="135"/>
    </row>
    <row r="13288" spans="20:21" ht="15" customHeight="1" x14ac:dyDescent="0.25">
      <c r="T13288" s="135"/>
      <c r="U13288" s="135"/>
    </row>
    <row r="13289" spans="20:21" ht="15" customHeight="1" x14ac:dyDescent="0.25">
      <c r="T13289" s="135"/>
      <c r="U13289" s="135"/>
    </row>
    <row r="13290" spans="20:21" ht="15" customHeight="1" x14ac:dyDescent="0.25">
      <c r="T13290" s="135"/>
      <c r="U13290" s="135"/>
    </row>
    <row r="13291" spans="20:21" ht="15" customHeight="1" x14ac:dyDescent="0.25">
      <c r="T13291" s="135"/>
      <c r="U13291" s="135"/>
    </row>
    <row r="13292" spans="20:21" ht="15" customHeight="1" x14ac:dyDescent="0.25">
      <c r="T13292" s="135"/>
      <c r="U13292" s="135"/>
    </row>
    <row r="13293" spans="20:21" ht="15" customHeight="1" x14ac:dyDescent="0.25">
      <c r="T13293" s="135"/>
      <c r="U13293" s="135"/>
    </row>
    <row r="13294" spans="20:21" ht="15" customHeight="1" x14ac:dyDescent="0.25">
      <c r="T13294" s="135"/>
      <c r="U13294" s="135"/>
    </row>
    <row r="13295" spans="20:21" ht="15" customHeight="1" x14ac:dyDescent="0.25">
      <c r="T13295" s="135"/>
      <c r="U13295" s="135"/>
    </row>
    <row r="13296" spans="20:21" ht="15" customHeight="1" x14ac:dyDescent="0.25">
      <c r="T13296" s="135"/>
      <c r="U13296" s="135"/>
    </row>
    <row r="13297" spans="20:21" ht="15" customHeight="1" x14ac:dyDescent="0.25">
      <c r="T13297" s="135"/>
      <c r="U13297" s="135"/>
    </row>
    <row r="13298" spans="20:21" ht="15" customHeight="1" x14ac:dyDescent="0.25">
      <c r="T13298" s="135"/>
      <c r="U13298" s="135"/>
    </row>
    <row r="13299" spans="20:21" ht="15" customHeight="1" x14ac:dyDescent="0.25">
      <c r="T13299" s="135"/>
      <c r="U13299" s="135"/>
    </row>
    <row r="13300" spans="20:21" ht="15" customHeight="1" x14ac:dyDescent="0.25">
      <c r="T13300" s="135"/>
      <c r="U13300" s="135"/>
    </row>
    <row r="13301" spans="20:21" ht="15" customHeight="1" x14ac:dyDescent="0.25">
      <c r="T13301" s="135"/>
      <c r="U13301" s="135"/>
    </row>
    <row r="13302" spans="20:21" ht="15" customHeight="1" x14ac:dyDescent="0.25">
      <c r="T13302" s="135"/>
      <c r="U13302" s="135"/>
    </row>
    <row r="13303" spans="20:21" ht="15" customHeight="1" x14ac:dyDescent="0.25">
      <c r="T13303" s="135"/>
      <c r="U13303" s="135"/>
    </row>
    <row r="13304" spans="20:21" ht="15" customHeight="1" x14ac:dyDescent="0.25">
      <c r="T13304" s="135"/>
      <c r="U13304" s="135"/>
    </row>
    <row r="13305" spans="20:21" ht="15" customHeight="1" x14ac:dyDescent="0.25">
      <c r="T13305" s="135"/>
      <c r="U13305" s="135"/>
    </row>
    <row r="13306" spans="20:21" ht="15" customHeight="1" x14ac:dyDescent="0.25">
      <c r="T13306" s="135"/>
      <c r="U13306" s="135"/>
    </row>
    <row r="13307" spans="20:21" ht="15" customHeight="1" x14ac:dyDescent="0.25">
      <c r="T13307" s="135"/>
      <c r="U13307" s="135"/>
    </row>
    <row r="13308" spans="20:21" ht="15" customHeight="1" x14ac:dyDescent="0.25">
      <c r="T13308" s="135"/>
      <c r="U13308" s="135"/>
    </row>
    <row r="13309" spans="20:21" ht="15" customHeight="1" x14ac:dyDescent="0.25">
      <c r="T13309" s="135"/>
      <c r="U13309" s="135"/>
    </row>
    <row r="13310" spans="20:21" ht="15" customHeight="1" x14ac:dyDescent="0.25">
      <c r="T13310" s="135"/>
      <c r="U13310" s="135"/>
    </row>
    <row r="13311" spans="20:21" ht="15" customHeight="1" x14ac:dyDescent="0.25">
      <c r="T13311" s="135"/>
      <c r="U13311" s="135"/>
    </row>
    <row r="13312" spans="20:21" ht="15" customHeight="1" x14ac:dyDescent="0.25">
      <c r="T13312" s="135"/>
      <c r="U13312" s="135"/>
    </row>
    <row r="13313" spans="20:21" ht="15" customHeight="1" x14ac:dyDescent="0.25">
      <c r="T13313" s="135"/>
      <c r="U13313" s="135"/>
    </row>
    <row r="13314" spans="20:21" ht="15" customHeight="1" x14ac:dyDescent="0.25">
      <c r="T13314" s="135"/>
      <c r="U13314" s="135"/>
    </row>
    <row r="13315" spans="20:21" ht="15" customHeight="1" x14ac:dyDescent="0.25">
      <c r="T13315" s="135"/>
      <c r="U13315" s="135"/>
    </row>
    <row r="13316" spans="20:21" ht="15" customHeight="1" x14ac:dyDescent="0.25">
      <c r="T13316" s="135"/>
      <c r="U13316" s="135"/>
    </row>
    <row r="13317" spans="20:21" ht="15" customHeight="1" x14ac:dyDescent="0.25">
      <c r="T13317" s="135"/>
      <c r="U13317" s="135"/>
    </row>
    <row r="13318" spans="20:21" ht="15" customHeight="1" x14ac:dyDescent="0.25">
      <c r="T13318" s="135"/>
      <c r="U13318" s="135"/>
    </row>
    <row r="13319" spans="20:21" ht="15" customHeight="1" x14ac:dyDescent="0.25">
      <c r="T13319" s="135"/>
      <c r="U13319" s="135"/>
    </row>
    <row r="13320" spans="20:21" ht="15" customHeight="1" x14ac:dyDescent="0.25">
      <c r="T13320" s="135"/>
      <c r="U13320" s="135"/>
    </row>
    <row r="13321" spans="20:21" ht="15" customHeight="1" x14ac:dyDescent="0.25">
      <c r="T13321" s="135"/>
      <c r="U13321" s="135"/>
    </row>
    <row r="13322" spans="20:21" ht="15" customHeight="1" x14ac:dyDescent="0.25">
      <c r="T13322" s="135"/>
      <c r="U13322" s="135"/>
    </row>
    <row r="13323" spans="20:21" ht="15" customHeight="1" x14ac:dyDescent="0.25">
      <c r="T13323" s="135"/>
      <c r="U13323" s="135"/>
    </row>
    <row r="13324" spans="20:21" ht="15" customHeight="1" x14ac:dyDescent="0.25">
      <c r="T13324" s="135"/>
      <c r="U13324" s="135"/>
    </row>
    <row r="13325" spans="20:21" ht="15" customHeight="1" x14ac:dyDescent="0.25">
      <c r="T13325" s="135"/>
      <c r="U13325" s="135"/>
    </row>
    <row r="13326" spans="20:21" ht="15" customHeight="1" x14ac:dyDescent="0.25">
      <c r="T13326" s="135"/>
      <c r="U13326" s="135"/>
    </row>
    <row r="13327" spans="20:21" ht="15" customHeight="1" x14ac:dyDescent="0.25">
      <c r="T13327" s="135"/>
      <c r="U13327" s="135"/>
    </row>
    <row r="13328" spans="20:21" ht="15" customHeight="1" x14ac:dyDescent="0.25">
      <c r="T13328" s="135"/>
      <c r="U13328" s="135"/>
    </row>
    <row r="13329" spans="20:21" ht="15" customHeight="1" x14ac:dyDescent="0.25">
      <c r="T13329" s="135"/>
      <c r="U13329" s="135"/>
    </row>
    <row r="13330" spans="20:21" ht="15" customHeight="1" x14ac:dyDescent="0.25">
      <c r="T13330" s="135"/>
      <c r="U13330" s="135"/>
    </row>
    <row r="13331" spans="20:21" ht="15" customHeight="1" x14ac:dyDescent="0.25">
      <c r="T13331" s="135"/>
      <c r="U13331" s="135"/>
    </row>
    <row r="13332" spans="20:21" ht="15" customHeight="1" x14ac:dyDescent="0.25">
      <c r="T13332" s="135"/>
      <c r="U13332" s="135"/>
    </row>
    <row r="13333" spans="20:21" ht="15" customHeight="1" x14ac:dyDescent="0.25">
      <c r="T13333" s="135"/>
      <c r="U13333" s="135"/>
    </row>
    <row r="13334" spans="20:21" ht="15" customHeight="1" x14ac:dyDescent="0.25">
      <c r="T13334" s="135"/>
      <c r="U13334" s="135"/>
    </row>
    <row r="13335" spans="20:21" ht="15" customHeight="1" x14ac:dyDescent="0.25">
      <c r="T13335" s="135"/>
      <c r="U13335" s="135"/>
    </row>
    <row r="13336" spans="20:21" ht="15" customHeight="1" x14ac:dyDescent="0.25">
      <c r="T13336" s="135"/>
      <c r="U13336" s="135"/>
    </row>
    <row r="13337" spans="20:21" ht="15" customHeight="1" x14ac:dyDescent="0.25">
      <c r="T13337" s="135"/>
      <c r="U13337" s="135"/>
    </row>
    <row r="13338" spans="20:21" ht="15" customHeight="1" x14ac:dyDescent="0.25">
      <c r="T13338" s="135"/>
      <c r="U13338" s="135"/>
    </row>
    <row r="13339" spans="20:21" ht="15" customHeight="1" x14ac:dyDescent="0.25">
      <c r="T13339" s="135"/>
      <c r="U13339" s="135"/>
    </row>
    <row r="13340" spans="20:21" ht="15" customHeight="1" x14ac:dyDescent="0.25">
      <c r="T13340" s="135"/>
      <c r="U13340" s="135"/>
    </row>
    <row r="13341" spans="20:21" ht="15" customHeight="1" x14ac:dyDescent="0.25">
      <c r="T13341" s="135"/>
      <c r="U13341" s="135"/>
    </row>
    <row r="13342" spans="20:21" ht="15" customHeight="1" x14ac:dyDescent="0.25">
      <c r="T13342" s="135"/>
      <c r="U13342" s="135"/>
    </row>
    <row r="13343" spans="20:21" ht="15" customHeight="1" x14ac:dyDescent="0.25">
      <c r="T13343" s="135"/>
      <c r="U13343" s="135"/>
    </row>
    <row r="13344" spans="20:21" ht="15" customHeight="1" x14ac:dyDescent="0.25">
      <c r="T13344" s="135"/>
      <c r="U13344" s="135"/>
    </row>
    <row r="13345" spans="20:21" ht="15" customHeight="1" x14ac:dyDescent="0.25">
      <c r="T13345" s="135"/>
      <c r="U13345" s="135"/>
    </row>
    <row r="13346" spans="20:21" ht="15" customHeight="1" x14ac:dyDescent="0.25">
      <c r="T13346" s="135"/>
      <c r="U13346" s="135"/>
    </row>
    <row r="13347" spans="20:21" ht="15" customHeight="1" x14ac:dyDescent="0.25">
      <c r="T13347" s="135"/>
      <c r="U13347" s="135"/>
    </row>
    <row r="13348" spans="20:21" ht="15" customHeight="1" x14ac:dyDescent="0.25">
      <c r="T13348" s="135"/>
      <c r="U13348" s="135"/>
    </row>
    <row r="13349" spans="20:21" ht="15" customHeight="1" x14ac:dyDescent="0.25">
      <c r="T13349" s="135"/>
      <c r="U13349" s="135"/>
    </row>
    <row r="13350" spans="20:21" ht="15" customHeight="1" x14ac:dyDescent="0.25">
      <c r="T13350" s="135"/>
      <c r="U13350" s="135"/>
    </row>
    <row r="13351" spans="20:21" ht="15" customHeight="1" x14ac:dyDescent="0.25">
      <c r="T13351" s="135"/>
      <c r="U13351" s="135"/>
    </row>
    <row r="13352" spans="20:21" ht="15" customHeight="1" x14ac:dyDescent="0.25">
      <c r="T13352" s="135"/>
      <c r="U13352" s="135"/>
    </row>
    <row r="13353" spans="20:21" ht="15" customHeight="1" x14ac:dyDescent="0.25">
      <c r="T13353" s="135"/>
      <c r="U13353" s="135"/>
    </row>
    <row r="13354" spans="20:21" ht="15" customHeight="1" x14ac:dyDescent="0.25">
      <c r="T13354" s="135"/>
      <c r="U13354" s="135"/>
    </row>
    <row r="13355" spans="20:21" ht="15" customHeight="1" x14ac:dyDescent="0.25">
      <c r="T13355" s="135"/>
      <c r="U13355" s="135"/>
    </row>
    <row r="13356" spans="20:21" ht="15" customHeight="1" x14ac:dyDescent="0.25">
      <c r="T13356" s="135"/>
      <c r="U13356" s="135"/>
    </row>
    <row r="13357" spans="20:21" ht="15" customHeight="1" x14ac:dyDescent="0.25">
      <c r="T13357" s="135"/>
      <c r="U13357" s="135"/>
    </row>
    <row r="13358" spans="20:21" ht="15" customHeight="1" x14ac:dyDescent="0.25">
      <c r="T13358" s="135"/>
      <c r="U13358" s="135"/>
    </row>
    <row r="13359" spans="20:21" ht="15" customHeight="1" x14ac:dyDescent="0.25">
      <c r="T13359" s="135"/>
      <c r="U13359" s="135"/>
    </row>
    <row r="13360" spans="20:21" ht="15" customHeight="1" x14ac:dyDescent="0.25">
      <c r="T13360" s="135"/>
      <c r="U13360" s="135"/>
    </row>
    <row r="13361" spans="20:21" ht="15" customHeight="1" x14ac:dyDescent="0.25">
      <c r="T13361" s="135"/>
      <c r="U13361" s="135"/>
    </row>
    <row r="13362" spans="20:21" ht="15" customHeight="1" x14ac:dyDescent="0.25">
      <c r="T13362" s="135"/>
      <c r="U13362" s="135"/>
    </row>
    <row r="13363" spans="20:21" ht="15" customHeight="1" x14ac:dyDescent="0.25">
      <c r="T13363" s="135"/>
      <c r="U13363" s="135"/>
    </row>
    <row r="13364" spans="20:21" ht="15" customHeight="1" x14ac:dyDescent="0.25">
      <c r="T13364" s="135"/>
      <c r="U13364" s="135"/>
    </row>
    <row r="13365" spans="20:21" ht="15" customHeight="1" x14ac:dyDescent="0.25">
      <c r="T13365" s="135"/>
      <c r="U13365" s="135"/>
    </row>
    <row r="13366" spans="20:21" ht="15" customHeight="1" x14ac:dyDescent="0.25">
      <c r="T13366" s="135"/>
      <c r="U13366" s="135"/>
    </row>
    <row r="13367" spans="20:21" ht="15" customHeight="1" x14ac:dyDescent="0.25">
      <c r="T13367" s="135"/>
      <c r="U13367" s="135"/>
    </row>
    <row r="13368" spans="20:21" ht="15" customHeight="1" x14ac:dyDescent="0.25">
      <c r="T13368" s="135"/>
      <c r="U13368" s="135"/>
    </row>
    <row r="13369" spans="20:21" ht="15" customHeight="1" x14ac:dyDescent="0.25">
      <c r="T13369" s="135"/>
      <c r="U13369" s="135"/>
    </row>
    <row r="13370" spans="20:21" ht="15" customHeight="1" x14ac:dyDescent="0.25">
      <c r="T13370" s="135"/>
      <c r="U13370" s="135"/>
    </row>
    <row r="13371" spans="20:21" ht="15" customHeight="1" x14ac:dyDescent="0.25">
      <c r="T13371" s="135"/>
      <c r="U13371" s="135"/>
    </row>
    <row r="13372" spans="20:21" ht="15" customHeight="1" x14ac:dyDescent="0.25">
      <c r="T13372" s="135"/>
      <c r="U13372" s="135"/>
    </row>
    <row r="13373" spans="20:21" ht="15" customHeight="1" x14ac:dyDescent="0.25">
      <c r="T13373" s="135"/>
      <c r="U13373" s="135"/>
    </row>
    <row r="13374" spans="20:21" ht="15" customHeight="1" x14ac:dyDescent="0.25">
      <c r="T13374" s="135"/>
      <c r="U13374" s="135"/>
    </row>
    <row r="13375" spans="20:21" ht="15" customHeight="1" x14ac:dyDescent="0.25">
      <c r="T13375" s="135"/>
      <c r="U13375" s="135"/>
    </row>
    <row r="13376" spans="20:21" ht="15" customHeight="1" x14ac:dyDescent="0.25">
      <c r="T13376" s="135"/>
      <c r="U13376" s="135"/>
    </row>
    <row r="13377" spans="20:21" ht="15" customHeight="1" x14ac:dyDescent="0.25">
      <c r="T13377" s="135"/>
      <c r="U13377" s="135"/>
    </row>
    <row r="13378" spans="20:21" ht="15" customHeight="1" x14ac:dyDescent="0.25">
      <c r="T13378" s="135"/>
      <c r="U13378" s="135"/>
    </row>
    <row r="13379" spans="20:21" ht="15" customHeight="1" x14ac:dyDescent="0.25">
      <c r="T13379" s="135"/>
      <c r="U13379" s="135"/>
    </row>
    <row r="13380" spans="20:21" ht="15" customHeight="1" x14ac:dyDescent="0.25">
      <c r="T13380" s="135"/>
      <c r="U13380" s="135"/>
    </row>
    <row r="13381" spans="20:21" ht="15" customHeight="1" x14ac:dyDescent="0.25">
      <c r="T13381" s="135"/>
      <c r="U13381" s="135"/>
    </row>
    <row r="13382" spans="20:21" ht="15" customHeight="1" x14ac:dyDescent="0.25">
      <c r="T13382" s="135"/>
      <c r="U13382" s="135"/>
    </row>
    <row r="13383" spans="20:21" ht="15" customHeight="1" x14ac:dyDescent="0.25">
      <c r="T13383" s="135"/>
      <c r="U13383" s="135"/>
    </row>
    <row r="13384" spans="20:21" ht="15" customHeight="1" x14ac:dyDescent="0.25">
      <c r="T13384" s="135"/>
      <c r="U13384" s="135"/>
    </row>
    <row r="13385" spans="20:21" ht="15" customHeight="1" x14ac:dyDescent="0.25">
      <c r="T13385" s="135"/>
      <c r="U13385" s="135"/>
    </row>
    <row r="13386" spans="20:21" ht="15" customHeight="1" x14ac:dyDescent="0.25">
      <c r="T13386" s="135"/>
      <c r="U13386" s="135"/>
    </row>
    <row r="13387" spans="20:21" ht="15" customHeight="1" x14ac:dyDescent="0.25">
      <c r="T13387" s="135"/>
      <c r="U13387" s="135"/>
    </row>
    <row r="13388" spans="20:21" ht="15" customHeight="1" x14ac:dyDescent="0.25">
      <c r="T13388" s="135"/>
      <c r="U13388" s="135"/>
    </row>
    <row r="13389" spans="20:21" ht="15" customHeight="1" x14ac:dyDescent="0.25">
      <c r="T13389" s="135"/>
      <c r="U13389" s="135"/>
    </row>
    <row r="13390" spans="20:21" ht="15" customHeight="1" x14ac:dyDescent="0.25">
      <c r="T13390" s="135"/>
      <c r="U13390" s="135"/>
    </row>
    <row r="13391" spans="20:21" ht="15" customHeight="1" x14ac:dyDescent="0.25">
      <c r="T13391" s="135"/>
      <c r="U13391" s="135"/>
    </row>
    <row r="13392" spans="20:21" ht="15" customHeight="1" x14ac:dyDescent="0.25">
      <c r="T13392" s="135"/>
      <c r="U13392" s="135"/>
    </row>
    <row r="13393" spans="20:21" ht="15" customHeight="1" x14ac:dyDescent="0.25">
      <c r="T13393" s="135"/>
      <c r="U13393" s="135"/>
    </row>
    <row r="13394" spans="20:21" ht="15" customHeight="1" x14ac:dyDescent="0.25">
      <c r="T13394" s="135"/>
      <c r="U13394" s="135"/>
    </row>
    <row r="13395" spans="20:21" ht="15" customHeight="1" x14ac:dyDescent="0.25">
      <c r="T13395" s="135"/>
      <c r="U13395" s="135"/>
    </row>
    <row r="13396" spans="20:21" ht="15" customHeight="1" x14ac:dyDescent="0.25">
      <c r="T13396" s="135"/>
      <c r="U13396" s="135"/>
    </row>
    <row r="13397" spans="20:21" ht="15" customHeight="1" x14ac:dyDescent="0.25">
      <c r="T13397" s="135"/>
      <c r="U13397" s="135"/>
    </row>
    <row r="13398" spans="20:21" ht="15" customHeight="1" x14ac:dyDescent="0.25">
      <c r="T13398" s="135"/>
      <c r="U13398" s="135"/>
    </row>
    <row r="13399" spans="20:21" ht="15" customHeight="1" x14ac:dyDescent="0.25">
      <c r="T13399" s="135"/>
      <c r="U13399" s="135"/>
    </row>
    <row r="13400" spans="20:21" ht="15" customHeight="1" x14ac:dyDescent="0.25">
      <c r="T13400" s="135"/>
      <c r="U13400" s="135"/>
    </row>
    <row r="13401" spans="20:21" ht="15" customHeight="1" x14ac:dyDescent="0.25">
      <c r="T13401" s="135"/>
      <c r="U13401" s="135"/>
    </row>
    <row r="13402" spans="20:21" ht="15" customHeight="1" x14ac:dyDescent="0.25">
      <c r="T13402" s="135"/>
      <c r="U13402" s="135"/>
    </row>
    <row r="13403" spans="20:21" ht="15" customHeight="1" x14ac:dyDescent="0.25">
      <c r="T13403" s="135"/>
      <c r="U13403" s="135"/>
    </row>
    <row r="13404" spans="20:21" ht="15" customHeight="1" x14ac:dyDescent="0.25">
      <c r="T13404" s="135"/>
      <c r="U13404" s="135"/>
    </row>
    <row r="13405" spans="20:21" ht="15" customHeight="1" x14ac:dyDescent="0.25">
      <c r="T13405" s="135"/>
      <c r="U13405" s="135"/>
    </row>
    <row r="13406" spans="20:21" ht="15" customHeight="1" x14ac:dyDescent="0.25">
      <c r="T13406" s="135"/>
      <c r="U13406" s="135"/>
    </row>
    <row r="13407" spans="20:21" ht="15" customHeight="1" x14ac:dyDescent="0.25">
      <c r="T13407" s="135"/>
      <c r="U13407" s="135"/>
    </row>
    <row r="13408" spans="20:21" ht="15" customHeight="1" x14ac:dyDescent="0.25">
      <c r="T13408" s="135"/>
      <c r="U13408" s="135"/>
    </row>
    <row r="13409" spans="20:21" ht="15" customHeight="1" x14ac:dyDescent="0.25">
      <c r="T13409" s="135"/>
      <c r="U13409" s="135"/>
    </row>
    <row r="13410" spans="20:21" ht="15" customHeight="1" x14ac:dyDescent="0.25">
      <c r="T13410" s="135"/>
      <c r="U13410" s="135"/>
    </row>
    <row r="13411" spans="20:21" ht="15" customHeight="1" x14ac:dyDescent="0.25">
      <c r="T13411" s="135"/>
      <c r="U13411" s="135"/>
    </row>
    <row r="13412" spans="20:21" ht="15" customHeight="1" x14ac:dyDescent="0.25">
      <c r="T13412" s="135"/>
      <c r="U13412" s="135"/>
    </row>
    <row r="13413" spans="20:21" ht="15" customHeight="1" x14ac:dyDescent="0.25">
      <c r="T13413" s="135"/>
      <c r="U13413" s="135"/>
    </row>
    <row r="13414" spans="20:21" ht="15" customHeight="1" x14ac:dyDescent="0.25">
      <c r="T13414" s="135"/>
      <c r="U13414" s="135"/>
    </row>
    <row r="13415" spans="20:21" ht="15" customHeight="1" x14ac:dyDescent="0.25">
      <c r="T13415" s="135"/>
      <c r="U13415" s="135"/>
    </row>
    <row r="13416" spans="20:21" ht="15" customHeight="1" x14ac:dyDescent="0.25">
      <c r="T13416" s="135"/>
      <c r="U13416" s="135"/>
    </row>
    <row r="13417" spans="20:21" ht="15" customHeight="1" x14ac:dyDescent="0.25">
      <c r="T13417" s="135"/>
      <c r="U13417" s="135"/>
    </row>
    <row r="13418" spans="20:21" ht="15" customHeight="1" x14ac:dyDescent="0.25">
      <c r="T13418" s="135"/>
      <c r="U13418" s="135"/>
    </row>
    <row r="13419" spans="20:21" ht="15" customHeight="1" x14ac:dyDescent="0.25">
      <c r="T13419" s="135"/>
      <c r="U13419" s="135"/>
    </row>
    <row r="13420" spans="20:21" ht="15" customHeight="1" x14ac:dyDescent="0.25">
      <c r="T13420" s="135"/>
      <c r="U13420" s="135"/>
    </row>
    <row r="13421" spans="20:21" ht="15" customHeight="1" x14ac:dyDescent="0.25">
      <c r="T13421" s="135"/>
      <c r="U13421" s="135"/>
    </row>
    <row r="13422" spans="20:21" ht="15" customHeight="1" x14ac:dyDescent="0.25">
      <c r="T13422" s="135"/>
      <c r="U13422" s="135"/>
    </row>
    <row r="13423" spans="20:21" ht="15" customHeight="1" x14ac:dyDescent="0.25">
      <c r="T13423" s="135"/>
      <c r="U13423" s="135"/>
    </row>
    <row r="13424" spans="20:21" ht="15" customHeight="1" x14ac:dyDescent="0.25">
      <c r="T13424" s="135"/>
      <c r="U13424" s="135"/>
    </row>
    <row r="13425" spans="20:21" ht="15" customHeight="1" x14ac:dyDescent="0.25">
      <c r="T13425" s="135"/>
      <c r="U13425" s="135"/>
    </row>
    <row r="13426" spans="20:21" ht="15" customHeight="1" x14ac:dyDescent="0.25">
      <c r="T13426" s="135"/>
      <c r="U13426" s="135"/>
    </row>
    <row r="13427" spans="20:21" ht="15" customHeight="1" x14ac:dyDescent="0.25">
      <c r="T13427" s="135"/>
      <c r="U13427" s="135"/>
    </row>
    <row r="13428" spans="20:21" ht="15" customHeight="1" x14ac:dyDescent="0.25">
      <c r="T13428" s="135"/>
      <c r="U13428" s="135"/>
    </row>
    <row r="13429" spans="20:21" ht="15" customHeight="1" x14ac:dyDescent="0.25">
      <c r="T13429" s="135"/>
      <c r="U13429" s="135"/>
    </row>
    <row r="13430" spans="20:21" ht="15" customHeight="1" x14ac:dyDescent="0.25">
      <c r="T13430" s="135"/>
      <c r="U13430" s="135"/>
    </row>
    <row r="13431" spans="20:21" ht="15" customHeight="1" x14ac:dyDescent="0.25">
      <c r="T13431" s="135"/>
      <c r="U13431" s="135"/>
    </row>
    <row r="13432" spans="20:21" ht="15" customHeight="1" x14ac:dyDescent="0.25">
      <c r="T13432" s="135"/>
      <c r="U13432" s="135"/>
    </row>
    <row r="13433" spans="20:21" ht="15" customHeight="1" x14ac:dyDescent="0.25">
      <c r="T13433" s="135"/>
      <c r="U13433" s="135"/>
    </row>
    <row r="13434" spans="20:21" ht="15" customHeight="1" x14ac:dyDescent="0.25">
      <c r="T13434" s="135"/>
      <c r="U13434" s="135"/>
    </row>
    <row r="13435" spans="20:21" ht="15" customHeight="1" x14ac:dyDescent="0.25">
      <c r="T13435" s="135"/>
      <c r="U13435" s="135"/>
    </row>
    <row r="13436" spans="20:21" ht="15" customHeight="1" x14ac:dyDescent="0.25">
      <c r="T13436" s="135"/>
      <c r="U13436" s="135"/>
    </row>
    <row r="13437" spans="20:21" ht="15" customHeight="1" x14ac:dyDescent="0.25">
      <c r="T13437" s="135"/>
      <c r="U13437" s="135"/>
    </row>
    <row r="13438" spans="20:21" ht="15" customHeight="1" x14ac:dyDescent="0.25">
      <c r="T13438" s="135"/>
      <c r="U13438" s="135"/>
    </row>
    <row r="13439" spans="20:21" ht="15" customHeight="1" x14ac:dyDescent="0.25">
      <c r="T13439" s="135"/>
      <c r="U13439" s="135"/>
    </row>
    <row r="13440" spans="20:21" ht="15" customHeight="1" x14ac:dyDescent="0.25">
      <c r="T13440" s="135"/>
      <c r="U13440" s="135"/>
    </row>
    <row r="13441" spans="20:21" ht="15" customHeight="1" x14ac:dyDescent="0.25">
      <c r="T13441" s="135"/>
      <c r="U13441" s="135"/>
    </row>
    <row r="13442" spans="20:21" ht="15" customHeight="1" x14ac:dyDescent="0.25">
      <c r="T13442" s="135"/>
      <c r="U13442" s="135"/>
    </row>
    <row r="13443" spans="20:21" ht="15" customHeight="1" x14ac:dyDescent="0.25">
      <c r="T13443" s="135"/>
      <c r="U13443" s="135"/>
    </row>
    <row r="13444" spans="20:21" ht="15" customHeight="1" x14ac:dyDescent="0.25">
      <c r="T13444" s="135"/>
      <c r="U13444" s="135"/>
    </row>
    <row r="13445" spans="20:21" ht="15" customHeight="1" x14ac:dyDescent="0.25">
      <c r="T13445" s="135"/>
      <c r="U13445" s="135"/>
    </row>
    <row r="13446" spans="20:21" ht="15" customHeight="1" x14ac:dyDescent="0.25">
      <c r="T13446" s="135"/>
      <c r="U13446" s="135"/>
    </row>
    <row r="13447" spans="20:21" ht="15" customHeight="1" x14ac:dyDescent="0.25">
      <c r="T13447" s="135"/>
      <c r="U13447" s="135"/>
    </row>
    <row r="13448" spans="20:21" ht="15" customHeight="1" x14ac:dyDescent="0.25">
      <c r="T13448" s="135"/>
      <c r="U13448" s="135"/>
    </row>
    <row r="13449" spans="20:21" ht="15" customHeight="1" x14ac:dyDescent="0.25">
      <c r="T13449" s="135"/>
      <c r="U13449" s="135"/>
    </row>
    <row r="13450" spans="20:21" ht="15" customHeight="1" x14ac:dyDescent="0.25">
      <c r="T13450" s="135"/>
      <c r="U13450" s="135"/>
    </row>
    <row r="13451" spans="20:21" ht="15" customHeight="1" x14ac:dyDescent="0.25">
      <c r="T13451" s="135"/>
      <c r="U13451" s="135"/>
    </row>
    <row r="13452" spans="20:21" ht="15" customHeight="1" x14ac:dyDescent="0.25">
      <c r="T13452" s="135"/>
      <c r="U13452" s="135"/>
    </row>
    <row r="13453" spans="20:21" ht="15" customHeight="1" x14ac:dyDescent="0.25">
      <c r="T13453" s="135"/>
      <c r="U13453" s="135"/>
    </row>
    <row r="13454" spans="20:21" ht="15" customHeight="1" x14ac:dyDescent="0.25">
      <c r="T13454" s="135"/>
      <c r="U13454" s="135"/>
    </row>
    <row r="13455" spans="20:21" ht="15" customHeight="1" x14ac:dyDescent="0.25">
      <c r="T13455" s="135"/>
      <c r="U13455" s="135"/>
    </row>
    <row r="13456" spans="20:21" ht="15" customHeight="1" x14ac:dyDescent="0.25">
      <c r="T13456" s="135"/>
      <c r="U13456" s="135"/>
    </row>
    <row r="13457" spans="20:21" ht="15" customHeight="1" x14ac:dyDescent="0.25">
      <c r="T13457" s="135"/>
      <c r="U13457" s="135"/>
    </row>
    <row r="13458" spans="20:21" ht="15" customHeight="1" x14ac:dyDescent="0.25">
      <c r="T13458" s="135"/>
      <c r="U13458" s="135"/>
    </row>
    <row r="13459" spans="20:21" ht="15" customHeight="1" x14ac:dyDescent="0.25">
      <c r="T13459" s="135"/>
      <c r="U13459" s="135"/>
    </row>
    <row r="13460" spans="20:21" ht="15" customHeight="1" x14ac:dyDescent="0.25">
      <c r="T13460" s="135"/>
      <c r="U13460" s="135"/>
    </row>
    <row r="13461" spans="20:21" ht="15" customHeight="1" x14ac:dyDescent="0.25">
      <c r="T13461" s="135"/>
      <c r="U13461" s="135"/>
    </row>
    <row r="13462" spans="20:21" ht="15" customHeight="1" x14ac:dyDescent="0.25">
      <c r="T13462" s="135"/>
      <c r="U13462" s="135"/>
    </row>
    <row r="13463" spans="20:21" ht="15" customHeight="1" x14ac:dyDescent="0.25">
      <c r="T13463" s="135"/>
      <c r="U13463" s="135"/>
    </row>
    <row r="13464" spans="20:21" ht="15" customHeight="1" x14ac:dyDescent="0.25">
      <c r="T13464" s="135"/>
      <c r="U13464" s="135"/>
    </row>
    <row r="13465" spans="20:21" ht="15" customHeight="1" x14ac:dyDescent="0.25">
      <c r="T13465" s="135"/>
      <c r="U13465" s="135"/>
    </row>
    <row r="13466" spans="20:21" ht="15" customHeight="1" x14ac:dyDescent="0.25">
      <c r="T13466" s="135"/>
      <c r="U13466" s="135"/>
    </row>
    <row r="13467" spans="20:21" ht="15" customHeight="1" x14ac:dyDescent="0.25">
      <c r="T13467" s="135"/>
      <c r="U13467" s="135"/>
    </row>
    <row r="13468" spans="20:21" ht="15" customHeight="1" x14ac:dyDescent="0.25">
      <c r="T13468" s="135"/>
      <c r="U13468" s="135"/>
    </row>
    <row r="13469" spans="20:21" ht="15" customHeight="1" x14ac:dyDescent="0.25">
      <c r="T13469" s="135"/>
      <c r="U13469" s="135"/>
    </row>
    <row r="13470" spans="20:21" ht="15" customHeight="1" x14ac:dyDescent="0.25">
      <c r="T13470" s="135"/>
      <c r="U13470" s="135"/>
    </row>
    <row r="13471" spans="20:21" ht="15" customHeight="1" x14ac:dyDescent="0.25">
      <c r="T13471" s="135"/>
      <c r="U13471" s="135"/>
    </row>
    <row r="13472" spans="20:21" ht="15" customHeight="1" x14ac:dyDescent="0.25">
      <c r="T13472" s="135"/>
      <c r="U13472" s="135"/>
    </row>
    <row r="13473" spans="20:21" ht="15" customHeight="1" x14ac:dyDescent="0.25">
      <c r="T13473" s="135"/>
      <c r="U13473" s="135"/>
    </row>
    <row r="13474" spans="20:21" ht="15" customHeight="1" x14ac:dyDescent="0.25">
      <c r="T13474" s="135"/>
      <c r="U13474" s="135"/>
    </row>
    <row r="13475" spans="20:21" ht="15" customHeight="1" x14ac:dyDescent="0.25">
      <c r="T13475" s="135"/>
      <c r="U13475" s="135"/>
    </row>
    <row r="13476" spans="20:21" ht="15" customHeight="1" x14ac:dyDescent="0.25">
      <c r="T13476" s="135"/>
      <c r="U13476" s="135"/>
    </row>
    <row r="13477" spans="20:21" ht="15" customHeight="1" x14ac:dyDescent="0.25">
      <c r="T13477" s="135"/>
      <c r="U13477" s="135"/>
    </row>
    <row r="13478" spans="20:21" ht="15" customHeight="1" x14ac:dyDescent="0.25">
      <c r="T13478" s="135"/>
      <c r="U13478" s="135"/>
    </row>
    <row r="13479" spans="20:21" ht="15" customHeight="1" x14ac:dyDescent="0.25">
      <c r="T13479" s="135"/>
      <c r="U13479" s="135"/>
    </row>
    <row r="13480" spans="20:21" ht="15" customHeight="1" x14ac:dyDescent="0.25">
      <c r="T13480" s="135"/>
      <c r="U13480" s="135"/>
    </row>
    <row r="13481" spans="20:21" ht="15" customHeight="1" x14ac:dyDescent="0.25">
      <c r="T13481" s="135"/>
      <c r="U13481" s="135"/>
    </row>
    <row r="13482" spans="20:21" ht="15" customHeight="1" x14ac:dyDescent="0.25">
      <c r="T13482" s="135"/>
      <c r="U13482" s="135"/>
    </row>
    <row r="13483" spans="20:21" ht="15" customHeight="1" x14ac:dyDescent="0.25">
      <c r="T13483" s="135"/>
      <c r="U13483" s="135"/>
    </row>
    <row r="13484" spans="20:21" ht="15" customHeight="1" x14ac:dyDescent="0.25">
      <c r="T13484" s="135"/>
      <c r="U13484" s="135"/>
    </row>
    <row r="13485" spans="20:21" ht="15" customHeight="1" x14ac:dyDescent="0.25">
      <c r="T13485" s="135"/>
      <c r="U13485" s="135"/>
    </row>
    <row r="13486" spans="20:21" ht="15" customHeight="1" x14ac:dyDescent="0.25">
      <c r="T13486" s="135"/>
      <c r="U13486" s="135"/>
    </row>
    <row r="13487" spans="20:21" ht="15" customHeight="1" x14ac:dyDescent="0.25">
      <c r="T13487" s="135"/>
      <c r="U13487" s="135"/>
    </row>
    <row r="13488" spans="20:21" ht="15" customHeight="1" x14ac:dyDescent="0.25">
      <c r="T13488" s="135"/>
      <c r="U13488" s="135"/>
    </row>
    <row r="13489" spans="20:21" ht="15" customHeight="1" x14ac:dyDescent="0.25">
      <c r="T13489" s="135"/>
      <c r="U13489" s="135"/>
    </row>
    <row r="13490" spans="20:21" ht="15" customHeight="1" x14ac:dyDescent="0.25">
      <c r="T13490" s="135"/>
      <c r="U13490" s="135"/>
    </row>
    <row r="13491" spans="20:21" ht="15" customHeight="1" x14ac:dyDescent="0.25">
      <c r="T13491" s="135"/>
      <c r="U13491" s="135"/>
    </row>
    <row r="13492" spans="20:21" ht="15" customHeight="1" x14ac:dyDescent="0.25">
      <c r="T13492" s="135"/>
      <c r="U13492" s="135"/>
    </row>
    <row r="13493" spans="20:21" ht="15" customHeight="1" x14ac:dyDescent="0.25">
      <c r="T13493" s="135"/>
      <c r="U13493" s="135"/>
    </row>
    <row r="13494" spans="20:21" ht="15" customHeight="1" x14ac:dyDescent="0.25">
      <c r="T13494" s="135"/>
      <c r="U13494" s="135"/>
    </row>
    <row r="13495" spans="20:21" ht="15" customHeight="1" x14ac:dyDescent="0.25">
      <c r="T13495" s="135"/>
      <c r="U13495" s="135"/>
    </row>
    <row r="13496" spans="20:21" ht="15" customHeight="1" x14ac:dyDescent="0.25">
      <c r="T13496" s="135"/>
      <c r="U13496" s="135"/>
    </row>
    <row r="13497" spans="20:21" ht="15" customHeight="1" x14ac:dyDescent="0.25">
      <c r="T13497" s="135"/>
      <c r="U13497" s="135"/>
    </row>
    <row r="13498" spans="20:21" ht="15" customHeight="1" x14ac:dyDescent="0.25">
      <c r="T13498" s="135"/>
      <c r="U13498" s="135"/>
    </row>
    <row r="13499" spans="20:21" ht="15" customHeight="1" x14ac:dyDescent="0.25">
      <c r="T13499" s="135"/>
      <c r="U13499" s="135"/>
    </row>
    <row r="13500" spans="20:21" ht="15" customHeight="1" x14ac:dyDescent="0.25">
      <c r="T13500" s="135"/>
      <c r="U13500" s="135"/>
    </row>
    <row r="13501" spans="20:21" ht="15" customHeight="1" x14ac:dyDescent="0.25">
      <c r="T13501" s="135"/>
      <c r="U13501" s="135"/>
    </row>
    <row r="13502" spans="20:21" ht="15" customHeight="1" x14ac:dyDescent="0.25">
      <c r="T13502" s="135"/>
      <c r="U13502" s="135"/>
    </row>
    <row r="13503" spans="20:21" ht="15" customHeight="1" x14ac:dyDescent="0.25">
      <c r="T13503" s="135"/>
      <c r="U13503" s="135"/>
    </row>
    <row r="13504" spans="20:21" ht="15" customHeight="1" x14ac:dyDescent="0.25">
      <c r="T13504" s="135"/>
      <c r="U13504" s="135"/>
    </row>
    <row r="13505" spans="20:21" ht="15" customHeight="1" x14ac:dyDescent="0.25">
      <c r="T13505" s="135"/>
      <c r="U13505" s="135"/>
    </row>
    <row r="13506" spans="20:21" ht="15" customHeight="1" x14ac:dyDescent="0.25">
      <c r="T13506" s="135"/>
      <c r="U13506" s="135"/>
    </row>
    <row r="13507" spans="20:21" ht="15" customHeight="1" x14ac:dyDescent="0.25">
      <c r="T13507" s="135"/>
      <c r="U13507" s="135"/>
    </row>
    <row r="13508" spans="20:21" ht="15" customHeight="1" x14ac:dyDescent="0.25">
      <c r="T13508" s="135"/>
      <c r="U13508" s="135"/>
    </row>
    <row r="13509" spans="20:21" ht="15" customHeight="1" x14ac:dyDescent="0.25">
      <c r="T13509" s="135"/>
      <c r="U13509" s="135"/>
    </row>
    <row r="13510" spans="20:21" ht="15" customHeight="1" x14ac:dyDescent="0.25">
      <c r="T13510" s="135"/>
      <c r="U13510" s="135"/>
    </row>
    <row r="13511" spans="20:21" ht="15" customHeight="1" x14ac:dyDescent="0.25">
      <c r="T13511" s="135"/>
      <c r="U13511" s="135"/>
    </row>
    <row r="13512" spans="20:21" ht="15" customHeight="1" x14ac:dyDescent="0.25">
      <c r="T13512" s="135"/>
      <c r="U13512" s="135"/>
    </row>
    <row r="13513" spans="20:21" ht="15" customHeight="1" x14ac:dyDescent="0.25">
      <c r="T13513" s="135"/>
      <c r="U13513" s="135"/>
    </row>
    <row r="13514" spans="20:21" ht="15" customHeight="1" x14ac:dyDescent="0.25">
      <c r="T13514" s="135"/>
      <c r="U13514" s="135"/>
    </row>
    <row r="13515" spans="20:21" ht="15" customHeight="1" x14ac:dyDescent="0.25">
      <c r="T13515" s="135"/>
      <c r="U13515" s="135"/>
    </row>
    <row r="13516" spans="20:21" ht="15" customHeight="1" x14ac:dyDescent="0.25">
      <c r="T13516" s="135"/>
      <c r="U13516" s="135"/>
    </row>
    <row r="13517" spans="20:21" ht="15" customHeight="1" x14ac:dyDescent="0.25">
      <c r="T13517" s="135"/>
      <c r="U13517" s="135"/>
    </row>
    <row r="13518" spans="20:21" ht="15" customHeight="1" x14ac:dyDescent="0.25">
      <c r="T13518" s="135"/>
      <c r="U13518" s="135"/>
    </row>
    <row r="13519" spans="20:21" ht="15" customHeight="1" x14ac:dyDescent="0.25">
      <c r="T13519" s="135"/>
      <c r="U13519" s="135"/>
    </row>
    <row r="13520" spans="20:21" ht="15" customHeight="1" x14ac:dyDescent="0.25">
      <c r="T13520" s="135"/>
      <c r="U13520" s="135"/>
    </row>
    <row r="13521" spans="20:21" ht="15" customHeight="1" x14ac:dyDescent="0.25">
      <c r="T13521" s="135"/>
      <c r="U13521" s="135"/>
    </row>
    <row r="13522" spans="20:21" ht="15" customHeight="1" x14ac:dyDescent="0.25">
      <c r="T13522" s="135"/>
      <c r="U13522" s="135"/>
    </row>
    <row r="13523" spans="20:21" ht="15" customHeight="1" x14ac:dyDescent="0.25">
      <c r="T13523" s="135"/>
      <c r="U13523" s="135"/>
    </row>
    <row r="13524" spans="20:21" ht="15" customHeight="1" x14ac:dyDescent="0.25">
      <c r="T13524" s="135"/>
      <c r="U13524" s="135"/>
    </row>
    <row r="13525" spans="20:21" ht="15" customHeight="1" x14ac:dyDescent="0.25">
      <c r="T13525" s="135"/>
      <c r="U13525" s="135"/>
    </row>
    <row r="13526" spans="20:21" ht="15" customHeight="1" x14ac:dyDescent="0.25">
      <c r="T13526" s="135"/>
      <c r="U13526" s="135"/>
    </row>
    <row r="13527" spans="20:21" ht="15" customHeight="1" x14ac:dyDescent="0.25">
      <c r="T13527" s="135"/>
      <c r="U13527" s="135"/>
    </row>
    <row r="13528" spans="20:21" ht="15" customHeight="1" x14ac:dyDescent="0.25">
      <c r="T13528" s="135"/>
      <c r="U13528" s="135"/>
    </row>
    <row r="13529" spans="20:21" ht="15" customHeight="1" x14ac:dyDescent="0.25">
      <c r="T13529" s="135"/>
      <c r="U13529" s="135"/>
    </row>
    <row r="13530" spans="20:21" ht="15" customHeight="1" x14ac:dyDescent="0.25">
      <c r="T13530" s="135"/>
      <c r="U13530" s="135"/>
    </row>
    <row r="13531" spans="20:21" ht="15" customHeight="1" x14ac:dyDescent="0.25">
      <c r="T13531" s="135"/>
      <c r="U13531" s="135"/>
    </row>
    <row r="13532" spans="20:21" ht="15" customHeight="1" x14ac:dyDescent="0.25">
      <c r="T13532" s="135"/>
      <c r="U13532" s="135"/>
    </row>
    <row r="13533" spans="20:21" ht="15" customHeight="1" x14ac:dyDescent="0.25">
      <c r="T13533" s="135"/>
      <c r="U13533" s="135"/>
    </row>
    <row r="13534" spans="20:21" ht="15" customHeight="1" x14ac:dyDescent="0.25">
      <c r="T13534" s="135"/>
      <c r="U13534" s="135"/>
    </row>
    <row r="13535" spans="20:21" ht="15" customHeight="1" x14ac:dyDescent="0.25">
      <c r="T13535" s="135"/>
      <c r="U13535" s="135"/>
    </row>
    <row r="13536" spans="20:21" ht="15" customHeight="1" x14ac:dyDescent="0.25">
      <c r="T13536" s="135"/>
      <c r="U13536" s="135"/>
    </row>
    <row r="13537" spans="20:21" ht="15" customHeight="1" x14ac:dyDescent="0.25">
      <c r="T13537" s="135"/>
      <c r="U13537" s="135"/>
    </row>
    <row r="13538" spans="20:21" ht="15" customHeight="1" x14ac:dyDescent="0.25">
      <c r="T13538" s="135"/>
      <c r="U13538" s="135"/>
    </row>
    <row r="13539" spans="20:21" ht="15" customHeight="1" x14ac:dyDescent="0.25">
      <c r="T13539" s="135"/>
      <c r="U13539" s="135"/>
    </row>
    <row r="13540" spans="20:21" ht="15" customHeight="1" x14ac:dyDescent="0.25">
      <c r="T13540" s="135"/>
      <c r="U13540" s="135"/>
    </row>
    <row r="13541" spans="20:21" ht="15" customHeight="1" x14ac:dyDescent="0.25">
      <c r="T13541" s="135"/>
      <c r="U13541" s="135"/>
    </row>
    <row r="13542" spans="20:21" ht="15" customHeight="1" x14ac:dyDescent="0.25">
      <c r="T13542" s="135"/>
      <c r="U13542" s="135"/>
    </row>
    <row r="13543" spans="20:21" ht="15" customHeight="1" x14ac:dyDescent="0.25">
      <c r="T13543" s="135"/>
      <c r="U13543" s="135"/>
    </row>
    <row r="13544" spans="20:21" ht="15" customHeight="1" x14ac:dyDescent="0.25">
      <c r="T13544" s="135"/>
      <c r="U13544" s="135"/>
    </row>
    <row r="13545" spans="20:21" ht="15" customHeight="1" x14ac:dyDescent="0.25">
      <c r="T13545" s="135"/>
      <c r="U13545" s="135"/>
    </row>
    <row r="13546" spans="20:21" ht="15" customHeight="1" x14ac:dyDescent="0.25">
      <c r="T13546" s="135"/>
      <c r="U13546" s="135"/>
    </row>
    <row r="13547" spans="20:21" ht="15" customHeight="1" x14ac:dyDescent="0.25">
      <c r="T13547" s="135"/>
      <c r="U13547" s="135"/>
    </row>
    <row r="13548" spans="20:21" ht="15" customHeight="1" x14ac:dyDescent="0.25">
      <c r="T13548" s="135"/>
      <c r="U13548" s="135"/>
    </row>
    <row r="13549" spans="20:21" ht="15" customHeight="1" x14ac:dyDescent="0.25">
      <c r="T13549" s="135"/>
      <c r="U13549" s="135"/>
    </row>
    <row r="13550" spans="20:21" ht="15" customHeight="1" x14ac:dyDescent="0.25">
      <c r="T13550" s="135"/>
      <c r="U13550" s="135"/>
    </row>
    <row r="13551" spans="20:21" ht="15" customHeight="1" x14ac:dyDescent="0.25">
      <c r="T13551" s="135"/>
      <c r="U13551" s="135"/>
    </row>
    <row r="13552" spans="20:21" ht="15" customHeight="1" x14ac:dyDescent="0.25">
      <c r="T13552" s="135"/>
      <c r="U13552" s="135"/>
    </row>
    <row r="13553" spans="20:21" ht="15" customHeight="1" x14ac:dyDescent="0.25">
      <c r="T13553" s="135"/>
      <c r="U13553" s="135"/>
    </row>
    <row r="13554" spans="20:21" ht="15" customHeight="1" x14ac:dyDescent="0.25">
      <c r="T13554" s="135"/>
      <c r="U13554" s="135"/>
    </row>
    <row r="13555" spans="20:21" ht="15" customHeight="1" x14ac:dyDescent="0.25">
      <c r="T13555" s="135"/>
      <c r="U13555" s="135"/>
    </row>
    <row r="13556" spans="20:21" ht="15" customHeight="1" x14ac:dyDescent="0.25">
      <c r="T13556" s="135"/>
      <c r="U13556" s="135"/>
    </row>
    <row r="13557" spans="20:21" ht="15" customHeight="1" x14ac:dyDescent="0.25">
      <c r="T13557" s="135"/>
      <c r="U13557" s="135"/>
    </row>
    <row r="13558" spans="20:21" ht="15" customHeight="1" x14ac:dyDescent="0.25">
      <c r="T13558" s="135"/>
      <c r="U13558" s="135"/>
    </row>
    <row r="13559" spans="20:21" ht="15" customHeight="1" x14ac:dyDescent="0.25">
      <c r="T13559" s="135"/>
      <c r="U13559" s="135"/>
    </row>
    <row r="13560" spans="20:21" ht="15" customHeight="1" x14ac:dyDescent="0.25">
      <c r="T13560" s="135"/>
      <c r="U13560" s="135"/>
    </row>
    <row r="13561" spans="20:21" ht="15" customHeight="1" x14ac:dyDescent="0.25">
      <c r="T13561" s="135"/>
      <c r="U13561" s="135"/>
    </row>
    <row r="13562" spans="20:21" ht="15" customHeight="1" x14ac:dyDescent="0.25">
      <c r="T13562" s="135"/>
      <c r="U13562" s="135"/>
    </row>
    <row r="13563" spans="20:21" ht="15" customHeight="1" x14ac:dyDescent="0.25">
      <c r="T13563" s="135"/>
      <c r="U13563" s="135"/>
    </row>
    <row r="13564" spans="20:21" ht="15" customHeight="1" x14ac:dyDescent="0.25">
      <c r="T13564" s="135"/>
      <c r="U13564" s="135"/>
    </row>
    <row r="13565" spans="20:21" ht="15" customHeight="1" x14ac:dyDescent="0.25">
      <c r="T13565" s="135"/>
      <c r="U13565" s="135"/>
    </row>
    <row r="13566" spans="20:21" ht="15" customHeight="1" x14ac:dyDescent="0.25">
      <c r="T13566" s="135"/>
      <c r="U13566" s="135"/>
    </row>
    <row r="13567" spans="20:21" ht="15" customHeight="1" x14ac:dyDescent="0.25">
      <c r="T13567" s="135"/>
      <c r="U13567" s="135"/>
    </row>
    <row r="13568" spans="20:21" ht="15" customHeight="1" x14ac:dyDescent="0.25">
      <c r="T13568" s="135"/>
      <c r="U13568" s="135"/>
    </row>
    <row r="13569" spans="20:21" ht="15" customHeight="1" x14ac:dyDescent="0.25">
      <c r="T13569" s="135"/>
      <c r="U13569" s="135"/>
    </row>
    <row r="13570" spans="20:21" ht="15" customHeight="1" x14ac:dyDescent="0.25">
      <c r="T13570" s="135"/>
      <c r="U13570" s="135"/>
    </row>
    <row r="13571" spans="20:21" ht="15" customHeight="1" x14ac:dyDescent="0.25">
      <c r="T13571" s="135"/>
      <c r="U13571" s="135"/>
    </row>
    <row r="13572" spans="20:21" ht="15" customHeight="1" x14ac:dyDescent="0.25">
      <c r="T13572" s="135"/>
      <c r="U13572" s="135"/>
    </row>
    <row r="13573" spans="20:21" ht="15" customHeight="1" x14ac:dyDescent="0.25">
      <c r="T13573" s="135"/>
      <c r="U13573" s="135"/>
    </row>
    <row r="13574" spans="20:21" ht="15" customHeight="1" x14ac:dyDescent="0.25">
      <c r="T13574" s="135"/>
      <c r="U13574" s="135"/>
    </row>
    <row r="13575" spans="20:21" ht="15" customHeight="1" x14ac:dyDescent="0.25">
      <c r="T13575" s="135"/>
      <c r="U13575" s="135"/>
    </row>
    <row r="13576" spans="20:21" ht="15" customHeight="1" x14ac:dyDescent="0.25">
      <c r="T13576" s="135"/>
      <c r="U13576" s="135"/>
    </row>
    <row r="13577" spans="20:21" ht="15" customHeight="1" x14ac:dyDescent="0.25">
      <c r="T13577" s="135"/>
      <c r="U13577" s="135"/>
    </row>
    <row r="13578" spans="20:21" ht="15" customHeight="1" x14ac:dyDescent="0.25">
      <c r="T13578" s="135"/>
      <c r="U13578" s="135"/>
    </row>
    <row r="13579" spans="20:21" ht="15" customHeight="1" x14ac:dyDescent="0.25">
      <c r="T13579" s="135"/>
      <c r="U13579" s="135"/>
    </row>
    <row r="13580" spans="20:21" ht="15" customHeight="1" x14ac:dyDescent="0.25">
      <c r="T13580" s="135"/>
      <c r="U13580" s="135"/>
    </row>
    <row r="13581" spans="20:21" ht="15" customHeight="1" x14ac:dyDescent="0.25">
      <c r="T13581" s="135"/>
      <c r="U13581" s="135"/>
    </row>
    <row r="13582" spans="20:21" ht="15" customHeight="1" x14ac:dyDescent="0.25">
      <c r="T13582" s="135"/>
      <c r="U13582" s="135"/>
    </row>
    <row r="13583" spans="20:21" ht="15" customHeight="1" x14ac:dyDescent="0.25">
      <c r="T13583" s="135"/>
      <c r="U13583" s="135"/>
    </row>
    <row r="13584" spans="20:21" ht="15" customHeight="1" x14ac:dyDescent="0.25">
      <c r="T13584" s="135"/>
      <c r="U13584" s="135"/>
    </row>
    <row r="13585" spans="20:21" ht="15" customHeight="1" x14ac:dyDescent="0.25">
      <c r="T13585" s="135"/>
      <c r="U13585" s="135"/>
    </row>
    <row r="13586" spans="20:21" ht="15" customHeight="1" x14ac:dyDescent="0.25">
      <c r="T13586" s="135"/>
      <c r="U13586" s="135"/>
    </row>
    <row r="13587" spans="20:21" ht="15" customHeight="1" x14ac:dyDescent="0.25">
      <c r="T13587" s="135"/>
      <c r="U13587" s="135"/>
    </row>
    <row r="13588" spans="20:21" ht="15" customHeight="1" x14ac:dyDescent="0.25">
      <c r="T13588" s="135"/>
      <c r="U13588" s="135"/>
    </row>
    <row r="13589" spans="20:21" ht="15" customHeight="1" x14ac:dyDescent="0.25">
      <c r="T13589" s="135"/>
      <c r="U13589" s="135"/>
    </row>
    <row r="13590" spans="20:21" ht="15" customHeight="1" x14ac:dyDescent="0.25">
      <c r="T13590" s="135"/>
      <c r="U13590" s="135"/>
    </row>
    <row r="13591" spans="20:21" ht="15" customHeight="1" x14ac:dyDescent="0.25">
      <c r="T13591" s="135"/>
      <c r="U13591" s="135"/>
    </row>
    <row r="13592" spans="20:21" ht="15" customHeight="1" x14ac:dyDescent="0.25">
      <c r="T13592" s="135"/>
      <c r="U13592" s="135"/>
    </row>
    <row r="13593" spans="20:21" ht="15" customHeight="1" x14ac:dyDescent="0.25">
      <c r="T13593" s="135"/>
      <c r="U13593" s="135"/>
    </row>
    <row r="13594" spans="20:21" ht="15" customHeight="1" x14ac:dyDescent="0.25">
      <c r="T13594" s="135"/>
      <c r="U13594" s="135"/>
    </row>
    <row r="13595" spans="20:21" ht="15" customHeight="1" x14ac:dyDescent="0.25">
      <c r="T13595" s="135"/>
      <c r="U13595" s="135"/>
    </row>
    <row r="13596" spans="20:21" ht="15" customHeight="1" x14ac:dyDescent="0.25">
      <c r="T13596" s="135"/>
      <c r="U13596" s="135"/>
    </row>
    <row r="13597" spans="20:21" ht="15" customHeight="1" x14ac:dyDescent="0.25">
      <c r="T13597" s="135"/>
      <c r="U13597" s="135"/>
    </row>
    <row r="13598" spans="20:21" ht="15" customHeight="1" x14ac:dyDescent="0.25">
      <c r="T13598" s="135"/>
      <c r="U13598" s="135"/>
    </row>
    <row r="13599" spans="20:21" ht="15" customHeight="1" x14ac:dyDescent="0.25">
      <c r="T13599" s="135"/>
      <c r="U13599" s="135"/>
    </row>
    <row r="13600" spans="20:21" ht="15" customHeight="1" x14ac:dyDescent="0.25">
      <c r="T13600" s="135"/>
      <c r="U13600" s="135"/>
    </row>
    <row r="13601" spans="20:21" ht="15" customHeight="1" x14ac:dyDescent="0.25">
      <c r="T13601" s="135"/>
      <c r="U13601" s="135"/>
    </row>
    <row r="13602" spans="20:21" ht="15" customHeight="1" x14ac:dyDescent="0.25">
      <c r="T13602" s="135"/>
      <c r="U13602" s="135"/>
    </row>
    <row r="13603" spans="20:21" ht="15" customHeight="1" x14ac:dyDescent="0.25">
      <c r="T13603" s="135"/>
      <c r="U13603" s="135"/>
    </row>
    <row r="13604" spans="20:21" ht="15" customHeight="1" x14ac:dyDescent="0.25">
      <c r="T13604" s="135"/>
      <c r="U13604" s="135"/>
    </row>
    <row r="13605" spans="20:21" ht="15" customHeight="1" x14ac:dyDescent="0.25">
      <c r="T13605" s="135"/>
      <c r="U13605" s="135"/>
    </row>
    <row r="13606" spans="20:21" ht="15" customHeight="1" x14ac:dyDescent="0.25">
      <c r="T13606" s="135"/>
      <c r="U13606" s="135"/>
    </row>
    <row r="13607" spans="20:21" ht="15" customHeight="1" x14ac:dyDescent="0.25">
      <c r="T13607" s="135"/>
      <c r="U13607" s="135"/>
    </row>
    <row r="13608" spans="20:21" ht="15" customHeight="1" x14ac:dyDescent="0.25">
      <c r="T13608" s="135"/>
      <c r="U13608" s="135"/>
    </row>
    <row r="13609" spans="20:21" ht="15" customHeight="1" x14ac:dyDescent="0.25">
      <c r="T13609" s="135"/>
      <c r="U13609" s="135"/>
    </row>
    <row r="13610" spans="20:21" ht="15" customHeight="1" x14ac:dyDescent="0.25">
      <c r="T13610" s="135"/>
      <c r="U13610" s="135"/>
    </row>
    <row r="13611" spans="20:21" ht="15" customHeight="1" x14ac:dyDescent="0.25">
      <c r="T13611" s="135"/>
      <c r="U13611" s="135"/>
    </row>
    <row r="13612" spans="20:21" ht="15" customHeight="1" x14ac:dyDescent="0.25">
      <c r="T13612" s="135"/>
      <c r="U13612" s="135"/>
    </row>
    <row r="13613" spans="20:21" ht="15" customHeight="1" x14ac:dyDescent="0.25">
      <c r="T13613" s="135"/>
      <c r="U13613" s="135"/>
    </row>
    <row r="13614" spans="20:21" ht="15" customHeight="1" x14ac:dyDescent="0.25">
      <c r="T13614" s="135"/>
      <c r="U13614" s="135"/>
    </row>
    <row r="13615" spans="20:21" ht="15" customHeight="1" x14ac:dyDescent="0.25">
      <c r="T13615" s="135"/>
      <c r="U13615" s="135"/>
    </row>
    <row r="13616" spans="20:21" ht="15" customHeight="1" x14ac:dyDescent="0.25">
      <c r="T13616" s="135"/>
      <c r="U13616" s="135"/>
    </row>
    <row r="13617" spans="20:21" ht="15" customHeight="1" x14ac:dyDescent="0.25">
      <c r="T13617" s="135"/>
      <c r="U13617" s="135"/>
    </row>
    <row r="13618" spans="20:21" ht="15" customHeight="1" x14ac:dyDescent="0.25">
      <c r="T13618" s="135"/>
      <c r="U13618" s="135"/>
    </row>
    <row r="13619" spans="20:21" ht="15" customHeight="1" x14ac:dyDescent="0.25">
      <c r="T13619" s="135"/>
      <c r="U13619" s="135"/>
    </row>
    <row r="13620" spans="20:21" ht="15" customHeight="1" x14ac:dyDescent="0.25">
      <c r="T13620" s="135"/>
      <c r="U13620" s="135"/>
    </row>
    <row r="13621" spans="20:21" ht="15" customHeight="1" x14ac:dyDescent="0.25">
      <c r="T13621" s="135"/>
      <c r="U13621" s="135"/>
    </row>
    <row r="13622" spans="20:21" ht="15" customHeight="1" x14ac:dyDescent="0.25">
      <c r="T13622" s="135"/>
      <c r="U13622" s="135"/>
    </row>
    <row r="13623" spans="20:21" ht="15" customHeight="1" x14ac:dyDescent="0.25">
      <c r="T13623" s="135"/>
      <c r="U13623" s="135"/>
    </row>
    <row r="13624" spans="20:21" ht="15" customHeight="1" x14ac:dyDescent="0.25">
      <c r="T13624" s="135"/>
      <c r="U13624" s="135"/>
    </row>
    <row r="13625" spans="20:21" ht="15" customHeight="1" x14ac:dyDescent="0.25">
      <c r="T13625" s="135"/>
      <c r="U13625" s="135"/>
    </row>
    <row r="13626" spans="20:21" ht="15" customHeight="1" x14ac:dyDescent="0.25">
      <c r="T13626" s="135"/>
      <c r="U13626" s="135"/>
    </row>
    <row r="13627" spans="20:21" ht="15" customHeight="1" x14ac:dyDescent="0.25">
      <c r="T13627" s="135"/>
      <c r="U13627" s="135"/>
    </row>
    <row r="13628" spans="20:21" ht="15" customHeight="1" x14ac:dyDescent="0.25">
      <c r="T13628" s="135"/>
      <c r="U13628" s="135"/>
    </row>
    <row r="13629" spans="20:21" ht="15" customHeight="1" x14ac:dyDescent="0.25">
      <c r="T13629" s="135"/>
      <c r="U13629" s="135"/>
    </row>
    <row r="13630" spans="20:21" ht="15" customHeight="1" x14ac:dyDescent="0.25">
      <c r="T13630" s="135"/>
      <c r="U13630" s="135"/>
    </row>
    <row r="13631" spans="20:21" ht="15" customHeight="1" x14ac:dyDescent="0.25">
      <c r="T13631" s="135"/>
      <c r="U13631" s="135"/>
    </row>
    <row r="13632" spans="20:21" ht="15" customHeight="1" x14ac:dyDescent="0.25">
      <c r="T13632" s="135"/>
      <c r="U13632" s="135"/>
    </row>
    <row r="13633" spans="20:21" ht="15" customHeight="1" x14ac:dyDescent="0.25">
      <c r="T13633" s="135"/>
      <c r="U13633" s="135"/>
    </row>
    <row r="13634" spans="20:21" ht="15" customHeight="1" x14ac:dyDescent="0.25">
      <c r="T13634" s="135"/>
      <c r="U13634" s="135"/>
    </row>
    <row r="13635" spans="20:21" ht="15" customHeight="1" x14ac:dyDescent="0.25">
      <c r="T13635" s="135"/>
      <c r="U13635" s="135"/>
    </row>
    <row r="13636" spans="20:21" ht="15" customHeight="1" x14ac:dyDescent="0.25">
      <c r="T13636" s="135"/>
      <c r="U13636" s="135"/>
    </row>
    <row r="13637" spans="20:21" ht="15" customHeight="1" x14ac:dyDescent="0.25">
      <c r="T13637" s="135"/>
      <c r="U13637" s="135"/>
    </row>
    <row r="13638" spans="20:21" ht="15" customHeight="1" x14ac:dyDescent="0.25">
      <c r="T13638" s="135"/>
      <c r="U13638" s="135"/>
    </row>
    <row r="13639" spans="20:21" ht="15" customHeight="1" x14ac:dyDescent="0.25">
      <c r="T13639" s="135"/>
      <c r="U13639" s="135"/>
    </row>
    <row r="13640" spans="20:21" ht="15" customHeight="1" x14ac:dyDescent="0.25">
      <c r="T13640" s="135"/>
      <c r="U13640" s="135"/>
    </row>
    <row r="13641" spans="20:21" ht="15" customHeight="1" x14ac:dyDescent="0.25">
      <c r="T13641" s="135"/>
      <c r="U13641" s="135"/>
    </row>
    <row r="13642" spans="20:21" ht="15" customHeight="1" x14ac:dyDescent="0.25">
      <c r="T13642" s="135"/>
      <c r="U13642" s="135"/>
    </row>
    <row r="13643" spans="20:21" ht="15" customHeight="1" x14ac:dyDescent="0.25">
      <c r="T13643" s="135"/>
      <c r="U13643" s="135"/>
    </row>
    <row r="13644" spans="20:21" ht="15" customHeight="1" x14ac:dyDescent="0.25">
      <c r="T13644" s="135"/>
      <c r="U13644" s="135"/>
    </row>
    <row r="13645" spans="20:21" ht="15" customHeight="1" x14ac:dyDescent="0.25">
      <c r="T13645" s="135"/>
      <c r="U13645" s="135"/>
    </row>
    <row r="13646" spans="20:21" ht="15" customHeight="1" x14ac:dyDescent="0.25">
      <c r="T13646" s="135"/>
      <c r="U13646" s="135"/>
    </row>
    <row r="13647" spans="20:21" ht="15" customHeight="1" x14ac:dyDescent="0.25">
      <c r="T13647" s="135"/>
      <c r="U13647" s="135"/>
    </row>
    <row r="13648" spans="20:21" ht="15" customHeight="1" x14ac:dyDescent="0.25">
      <c r="T13648" s="135"/>
      <c r="U13648" s="135"/>
    </row>
    <row r="13649" spans="20:21" ht="15" customHeight="1" x14ac:dyDescent="0.25">
      <c r="T13649" s="135"/>
      <c r="U13649" s="135"/>
    </row>
    <row r="13650" spans="20:21" ht="15" customHeight="1" x14ac:dyDescent="0.25">
      <c r="T13650" s="135"/>
      <c r="U13650" s="135"/>
    </row>
    <row r="13651" spans="20:21" ht="15" customHeight="1" x14ac:dyDescent="0.25">
      <c r="T13651" s="135"/>
      <c r="U13651" s="135"/>
    </row>
    <row r="13652" spans="20:21" ht="15" customHeight="1" x14ac:dyDescent="0.25">
      <c r="T13652" s="135"/>
      <c r="U13652" s="135"/>
    </row>
    <row r="13653" spans="20:21" ht="15" customHeight="1" x14ac:dyDescent="0.25">
      <c r="T13653" s="135"/>
      <c r="U13653" s="135"/>
    </row>
    <row r="13654" spans="20:21" ht="15" customHeight="1" x14ac:dyDescent="0.25">
      <c r="T13654" s="135"/>
      <c r="U13654" s="135"/>
    </row>
    <row r="13655" spans="20:21" ht="15" customHeight="1" x14ac:dyDescent="0.25">
      <c r="T13655" s="135"/>
      <c r="U13655" s="135"/>
    </row>
    <row r="13656" spans="20:21" ht="15" customHeight="1" x14ac:dyDescent="0.25">
      <c r="T13656" s="135"/>
      <c r="U13656" s="135"/>
    </row>
    <row r="13657" spans="20:21" ht="15" customHeight="1" x14ac:dyDescent="0.25">
      <c r="T13657" s="135"/>
      <c r="U13657" s="135"/>
    </row>
    <row r="13658" spans="20:21" ht="15" customHeight="1" x14ac:dyDescent="0.25">
      <c r="T13658" s="135"/>
      <c r="U13658" s="135"/>
    </row>
    <row r="13659" spans="20:21" ht="15" customHeight="1" x14ac:dyDescent="0.25">
      <c r="T13659" s="135"/>
      <c r="U13659" s="135"/>
    </row>
    <row r="13660" spans="20:21" ht="15" customHeight="1" x14ac:dyDescent="0.25">
      <c r="T13660" s="135"/>
      <c r="U13660" s="135"/>
    </row>
    <row r="13661" spans="20:21" ht="15" customHeight="1" x14ac:dyDescent="0.25">
      <c r="T13661" s="135"/>
      <c r="U13661" s="135"/>
    </row>
    <row r="13662" spans="20:21" ht="15" customHeight="1" x14ac:dyDescent="0.25">
      <c r="T13662" s="135"/>
      <c r="U13662" s="135"/>
    </row>
    <row r="13663" spans="20:21" ht="15" customHeight="1" x14ac:dyDescent="0.25">
      <c r="T13663" s="135"/>
      <c r="U13663" s="135"/>
    </row>
    <row r="13664" spans="20:21" ht="15" customHeight="1" x14ac:dyDescent="0.25">
      <c r="T13664" s="135"/>
      <c r="U13664" s="135"/>
    </row>
    <row r="13665" spans="20:21" ht="15" customHeight="1" x14ac:dyDescent="0.25">
      <c r="T13665" s="135"/>
      <c r="U13665" s="135"/>
    </row>
    <row r="13666" spans="20:21" ht="15" customHeight="1" x14ac:dyDescent="0.25">
      <c r="T13666" s="135"/>
      <c r="U13666" s="135"/>
    </row>
    <row r="13667" spans="20:21" ht="15" customHeight="1" x14ac:dyDescent="0.25">
      <c r="T13667" s="135"/>
      <c r="U13667" s="135"/>
    </row>
    <row r="13668" spans="20:21" ht="15" customHeight="1" x14ac:dyDescent="0.25">
      <c r="T13668" s="135"/>
      <c r="U13668" s="135"/>
    </row>
    <row r="13669" spans="20:21" ht="15" customHeight="1" x14ac:dyDescent="0.25">
      <c r="T13669" s="135"/>
      <c r="U13669" s="135"/>
    </row>
    <row r="13670" spans="20:21" ht="15" customHeight="1" x14ac:dyDescent="0.25">
      <c r="T13670" s="135"/>
      <c r="U13670" s="135"/>
    </row>
    <row r="13671" spans="20:21" ht="15" customHeight="1" x14ac:dyDescent="0.25">
      <c r="T13671" s="135"/>
      <c r="U13671" s="135"/>
    </row>
    <row r="13672" spans="20:21" ht="15" customHeight="1" x14ac:dyDescent="0.25">
      <c r="T13672" s="135"/>
      <c r="U13672" s="135"/>
    </row>
    <row r="13673" spans="20:21" ht="15" customHeight="1" x14ac:dyDescent="0.25">
      <c r="T13673" s="135"/>
      <c r="U13673" s="135"/>
    </row>
    <row r="13674" spans="20:21" ht="15" customHeight="1" x14ac:dyDescent="0.25">
      <c r="T13674" s="135"/>
      <c r="U13674" s="135"/>
    </row>
    <row r="13675" spans="20:21" ht="15" customHeight="1" x14ac:dyDescent="0.25">
      <c r="T13675" s="135"/>
      <c r="U13675" s="135"/>
    </row>
    <row r="13676" spans="20:21" ht="15" customHeight="1" x14ac:dyDescent="0.25">
      <c r="T13676" s="135"/>
      <c r="U13676" s="135"/>
    </row>
    <row r="13677" spans="20:21" ht="15" customHeight="1" x14ac:dyDescent="0.25">
      <c r="T13677" s="135"/>
      <c r="U13677" s="135"/>
    </row>
    <row r="13678" spans="20:21" ht="15" customHeight="1" x14ac:dyDescent="0.25">
      <c r="T13678" s="135"/>
      <c r="U13678" s="135"/>
    </row>
    <row r="13679" spans="20:21" ht="15" customHeight="1" x14ac:dyDescent="0.25">
      <c r="T13679" s="135"/>
      <c r="U13679" s="135"/>
    </row>
    <row r="13680" spans="20:21" ht="15" customHeight="1" x14ac:dyDescent="0.25">
      <c r="T13680" s="135"/>
      <c r="U13680" s="135"/>
    </row>
    <row r="13681" spans="20:21" ht="15" customHeight="1" x14ac:dyDescent="0.25">
      <c r="T13681" s="135"/>
      <c r="U13681" s="135"/>
    </row>
    <row r="13682" spans="20:21" ht="15" customHeight="1" x14ac:dyDescent="0.25">
      <c r="T13682" s="135"/>
      <c r="U13682" s="135"/>
    </row>
    <row r="13683" spans="20:21" ht="15" customHeight="1" x14ac:dyDescent="0.25">
      <c r="T13683" s="135"/>
      <c r="U13683" s="135"/>
    </row>
    <row r="13684" spans="20:21" ht="15" customHeight="1" x14ac:dyDescent="0.25">
      <c r="T13684" s="135"/>
      <c r="U13684" s="135"/>
    </row>
    <row r="13685" spans="20:21" ht="15" customHeight="1" x14ac:dyDescent="0.25">
      <c r="T13685" s="135"/>
      <c r="U13685" s="135"/>
    </row>
    <row r="13686" spans="20:21" ht="15" customHeight="1" x14ac:dyDescent="0.25">
      <c r="T13686" s="135"/>
      <c r="U13686" s="135"/>
    </row>
    <row r="13687" spans="20:21" ht="15" customHeight="1" x14ac:dyDescent="0.25">
      <c r="T13687" s="135"/>
      <c r="U13687" s="135"/>
    </row>
    <row r="13688" spans="20:21" ht="15" customHeight="1" x14ac:dyDescent="0.25">
      <c r="T13688" s="135"/>
      <c r="U13688" s="135"/>
    </row>
    <row r="13689" spans="20:21" ht="15" customHeight="1" x14ac:dyDescent="0.25">
      <c r="T13689" s="135"/>
      <c r="U13689" s="135"/>
    </row>
    <row r="13690" spans="20:21" ht="15" customHeight="1" x14ac:dyDescent="0.25">
      <c r="T13690" s="135"/>
      <c r="U13690" s="135"/>
    </row>
    <row r="13691" spans="20:21" ht="15" customHeight="1" x14ac:dyDescent="0.25">
      <c r="T13691" s="135"/>
      <c r="U13691" s="135"/>
    </row>
    <row r="13692" spans="20:21" ht="15" customHeight="1" x14ac:dyDescent="0.25">
      <c r="T13692" s="135"/>
      <c r="U13692" s="135"/>
    </row>
    <row r="13693" spans="20:21" ht="15" customHeight="1" x14ac:dyDescent="0.25">
      <c r="T13693" s="135"/>
      <c r="U13693" s="135"/>
    </row>
    <row r="13694" spans="20:21" ht="15" customHeight="1" x14ac:dyDescent="0.25">
      <c r="T13694" s="135"/>
      <c r="U13694" s="135"/>
    </row>
    <row r="13695" spans="20:21" ht="15" customHeight="1" x14ac:dyDescent="0.25">
      <c r="T13695" s="135"/>
      <c r="U13695" s="135"/>
    </row>
    <row r="13696" spans="20:21" ht="15" customHeight="1" x14ac:dyDescent="0.25">
      <c r="T13696" s="135"/>
      <c r="U13696" s="135"/>
    </row>
    <row r="13697" spans="20:21" ht="15" customHeight="1" x14ac:dyDescent="0.25">
      <c r="T13697" s="135"/>
      <c r="U13697" s="135"/>
    </row>
    <row r="13698" spans="20:21" ht="15" customHeight="1" x14ac:dyDescent="0.25">
      <c r="T13698" s="135"/>
      <c r="U13698" s="135"/>
    </row>
    <row r="13699" spans="20:21" ht="15" customHeight="1" x14ac:dyDescent="0.25">
      <c r="T13699" s="135"/>
      <c r="U13699" s="135"/>
    </row>
    <row r="13700" spans="20:21" ht="15" customHeight="1" x14ac:dyDescent="0.25">
      <c r="T13700" s="135"/>
      <c r="U13700" s="135"/>
    </row>
    <row r="13701" spans="20:21" ht="15" customHeight="1" x14ac:dyDescent="0.25">
      <c r="T13701" s="135"/>
      <c r="U13701" s="135"/>
    </row>
    <row r="13702" spans="20:21" ht="15" customHeight="1" x14ac:dyDescent="0.25">
      <c r="T13702" s="135"/>
      <c r="U13702" s="135"/>
    </row>
    <row r="13703" spans="20:21" ht="15" customHeight="1" x14ac:dyDescent="0.25">
      <c r="T13703" s="135"/>
      <c r="U13703" s="135"/>
    </row>
    <row r="13704" spans="20:21" ht="15" customHeight="1" x14ac:dyDescent="0.25">
      <c r="T13704" s="135"/>
      <c r="U13704" s="135"/>
    </row>
    <row r="13705" spans="20:21" ht="15" customHeight="1" x14ac:dyDescent="0.25">
      <c r="T13705" s="135"/>
      <c r="U13705" s="135"/>
    </row>
    <row r="13706" spans="20:21" ht="15" customHeight="1" x14ac:dyDescent="0.25">
      <c r="T13706" s="135"/>
      <c r="U13706" s="135"/>
    </row>
    <row r="13707" spans="20:21" ht="15" customHeight="1" x14ac:dyDescent="0.25">
      <c r="T13707" s="135"/>
      <c r="U13707" s="135"/>
    </row>
    <row r="13708" spans="20:21" ht="15" customHeight="1" x14ac:dyDescent="0.25">
      <c r="T13708" s="135"/>
      <c r="U13708" s="135"/>
    </row>
    <row r="13709" spans="20:21" ht="15" customHeight="1" x14ac:dyDescent="0.25">
      <c r="T13709" s="135"/>
      <c r="U13709" s="135"/>
    </row>
    <row r="13710" spans="20:21" ht="15" customHeight="1" x14ac:dyDescent="0.25">
      <c r="T13710" s="135"/>
      <c r="U13710" s="135"/>
    </row>
    <row r="13711" spans="20:21" ht="15" customHeight="1" x14ac:dyDescent="0.25">
      <c r="T13711" s="135"/>
      <c r="U13711" s="135"/>
    </row>
    <row r="13712" spans="20:21" ht="15" customHeight="1" x14ac:dyDescent="0.25">
      <c r="T13712" s="135"/>
      <c r="U13712" s="135"/>
    </row>
    <row r="13713" spans="20:21" ht="15" customHeight="1" x14ac:dyDescent="0.25">
      <c r="T13713" s="135"/>
      <c r="U13713" s="135"/>
    </row>
    <row r="13714" spans="20:21" ht="15" customHeight="1" x14ac:dyDescent="0.25">
      <c r="T13714" s="135"/>
      <c r="U13714" s="135"/>
    </row>
    <row r="13715" spans="20:21" ht="15" customHeight="1" x14ac:dyDescent="0.25">
      <c r="T13715" s="135"/>
      <c r="U13715" s="135"/>
    </row>
    <row r="13716" spans="20:21" ht="15" customHeight="1" x14ac:dyDescent="0.25">
      <c r="T13716" s="135"/>
      <c r="U13716" s="135"/>
    </row>
    <row r="13717" spans="20:21" ht="15" customHeight="1" x14ac:dyDescent="0.25">
      <c r="T13717" s="135"/>
      <c r="U13717" s="135"/>
    </row>
    <row r="13718" spans="20:21" ht="15" customHeight="1" x14ac:dyDescent="0.25">
      <c r="T13718" s="135"/>
      <c r="U13718" s="135"/>
    </row>
    <row r="13719" spans="20:21" ht="15" customHeight="1" x14ac:dyDescent="0.25">
      <c r="T13719" s="135"/>
      <c r="U13719" s="135"/>
    </row>
    <row r="13720" spans="20:21" ht="15" customHeight="1" x14ac:dyDescent="0.25">
      <c r="T13720" s="135"/>
      <c r="U13720" s="135"/>
    </row>
    <row r="13721" spans="20:21" ht="15" customHeight="1" x14ac:dyDescent="0.25">
      <c r="T13721" s="135"/>
      <c r="U13721" s="135"/>
    </row>
    <row r="13722" spans="20:21" ht="15" customHeight="1" x14ac:dyDescent="0.25">
      <c r="T13722" s="135"/>
      <c r="U13722" s="135"/>
    </row>
    <row r="13723" spans="20:21" ht="15" customHeight="1" x14ac:dyDescent="0.25">
      <c r="T13723" s="135"/>
      <c r="U13723" s="135"/>
    </row>
    <row r="13724" spans="20:21" ht="15" customHeight="1" x14ac:dyDescent="0.25">
      <c r="T13724" s="135"/>
      <c r="U13724" s="135"/>
    </row>
    <row r="13725" spans="20:21" ht="15" customHeight="1" x14ac:dyDescent="0.25">
      <c r="T13725" s="135"/>
      <c r="U13725" s="135"/>
    </row>
    <row r="13726" spans="20:21" ht="15" customHeight="1" x14ac:dyDescent="0.25">
      <c r="T13726" s="135"/>
      <c r="U13726" s="135"/>
    </row>
    <row r="13727" spans="20:21" ht="15" customHeight="1" x14ac:dyDescent="0.25">
      <c r="T13727" s="135"/>
      <c r="U13727" s="135"/>
    </row>
    <row r="13728" spans="20:21" ht="15" customHeight="1" x14ac:dyDescent="0.25">
      <c r="T13728" s="135"/>
      <c r="U13728" s="135"/>
    </row>
    <row r="13729" spans="20:21" ht="15" customHeight="1" x14ac:dyDescent="0.25">
      <c r="T13729" s="135"/>
      <c r="U13729" s="135"/>
    </row>
    <row r="13730" spans="20:21" ht="15" customHeight="1" x14ac:dyDescent="0.25">
      <c r="T13730" s="135"/>
      <c r="U13730" s="135"/>
    </row>
    <row r="13731" spans="20:21" ht="15" customHeight="1" x14ac:dyDescent="0.25">
      <c r="T13731" s="135"/>
      <c r="U13731" s="135"/>
    </row>
    <row r="13732" spans="20:21" ht="15" customHeight="1" x14ac:dyDescent="0.25">
      <c r="T13732" s="135"/>
      <c r="U13732" s="135"/>
    </row>
    <row r="13733" spans="20:21" ht="15" customHeight="1" x14ac:dyDescent="0.25">
      <c r="T13733" s="135"/>
      <c r="U13733" s="135"/>
    </row>
    <row r="13734" spans="20:21" ht="15" customHeight="1" x14ac:dyDescent="0.25">
      <c r="T13734" s="135"/>
      <c r="U13734" s="135"/>
    </row>
    <row r="13735" spans="20:21" ht="15" customHeight="1" x14ac:dyDescent="0.25">
      <c r="T13735" s="135"/>
      <c r="U13735" s="135"/>
    </row>
    <row r="13736" spans="20:21" ht="15" customHeight="1" x14ac:dyDescent="0.25">
      <c r="T13736" s="135"/>
      <c r="U13736" s="135"/>
    </row>
    <row r="13737" spans="20:21" ht="15" customHeight="1" x14ac:dyDescent="0.25">
      <c r="T13737" s="135"/>
      <c r="U13737" s="135"/>
    </row>
    <row r="13738" spans="20:21" ht="15" customHeight="1" x14ac:dyDescent="0.25">
      <c r="T13738" s="135"/>
      <c r="U13738" s="135"/>
    </row>
    <row r="13739" spans="20:21" ht="15" customHeight="1" x14ac:dyDescent="0.25">
      <c r="T13739" s="135"/>
      <c r="U13739" s="135"/>
    </row>
    <row r="13740" spans="20:21" ht="15" customHeight="1" x14ac:dyDescent="0.25">
      <c r="T13740" s="135"/>
      <c r="U13740" s="135"/>
    </row>
    <row r="13741" spans="20:21" ht="15" customHeight="1" x14ac:dyDescent="0.25">
      <c r="T13741" s="135"/>
      <c r="U13741" s="135"/>
    </row>
    <row r="13742" spans="20:21" ht="15" customHeight="1" x14ac:dyDescent="0.25">
      <c r="T13742" s="135"/>
      <c r="U13742" s="135"/>
    </row>
    <row r="13743" spans="20:21" ht="15" customHeight="1" x14ac:dyDescent="0.25">
      <c r="T13743" s="135"/>
      <c r="U13743" s="135"/>
    </row>
    <row r="13744" spans="20:21" ht="15" customHeight="1" x14ac:dyDescent="0.25">
      <c r="T13744" s="135"/>
      <c r="U13744" s="135"/>
    </row>
    <row r="13745" spans="20:21" ht="15" customHeight="1" x14ac:dyDescent="0.25">
      <c r="T13745" s="135"/>
      <c r="U13745" s="135"/>
    </row>
    <row r="13746" spans="20:21" ht="15" customHeight="1" x14ac:dyDescent="0.25">
      <c r="T13746" s="135"/>
      <c r="U13746" s="135"/>
    </row>
    <row r="13747" spans="20:21" ht="15" customHeight="1" x14ac:dyDescent="0.25">
      <c r="T13747" s="135"/>
      <c r="U13747" s="135"/>
    </row>
    <row r="13748" spans="20:21" ht="15" customHeight="1" x14ac:dyDescent="0.25">
      <c r="T13748" s="135"/>
      <c r="U13748" s="135"/>
    </row>
    <row r="13749" spans="20:21" ht="15" customHeight="1" x14ac:dyDescent="0.25">
      <c r="T13749" s="135"/>
      <c r="U13749" s="135"/>
    </row>
    <row r="13750" spans="20:21" ht="15" customHeight="1" x14ac:dyDescent="0.25">
      <c r="T13750" s="135"/>
      <c r="U13750" s="135"/>
    </row>
    <row r="13751" spans="20:21" ht="15" customHeight="1" x14ac:dyDescent="0.25">
      <c r="T13751" s="135"/>
      <c r="U13751" s="135"/>
    </row>
    <row r="13752" spans="20:21" ht="15" customHeight="1" x14ac:dyDescent="0.25">
      <c r="T13752" s="135"/>
      <c r="U13752" s="135"/>
    </row>
    <row r="13753" spans="20:21" ht="15" customHeight="1" x14ac:dyDescent="0.25">
      <c r="T13753" s="135"/>
      <c r="U13753" s="135"/>
    </row>
    <row r="13754" spans="20:21" ht="15" customHeight="1" x14ac:dyDescent="0.25">
      <c r="T13754" s="135"/>
      <c r="U13754" s="135"/>
    </row>
    <row r="13755" spans="20:21" ht="15" customHeight="1" x14ac:dyDescent="0.25">
      <c r="T13755" s="135"/>
      <c r="U13755" s="135"/>
    </row>
    <row r="13756" spans="20:21" ht="15" customHeight="1" x14ac:dyDescent="0.25">
      <c r="T13756" s="135"/>
      <c r="U13756" s="135"/>
    </row>
    <row r="13757" spans="20:21" ht="15" customHeight="1" x14ac:dyDescent="0.25">
      <c r="T13757" s="135"/>
      <c r="U13757" s="135"/>
    </row>
    <row r="13758" spans="20:21" ht="15" customHeight="1" x14ac:dyDescent="0.25">
      <c r="T13758" s="135"/>
      <c r="U13758" s="135"/>
    </row>
    <row r="13759" spans="20:21" ht="15" customHeight="1" x14ac:dyDescent="0.25">
      <c r="T13759" s="135"/>
      <c r="U13759" s="135"/>
    </row>
    <row r="13760" spans="20:21" ht="15" customHeight="1" x14ac:dyDescent="0.25">
      <c r="T13760" s="135"/>
      <c r="U13760" s="135"/>
    </row>
    <row r="13761" spans="20:21" ht="15" customHeight="1" x14ac:dyDescent="0.25">
      <c r="T13761" s="135"/>
      <c r="U13761" s="135"/>
    </row>
    <row r="13762" spans="20:21" ht="15" customHeight="1" x14ac:dyDescent="0.25">
      <c r="T13762" s="135"/>
      <c r="U13762" s="135"/>
    </row>
    <row r="13763" spans="20:21" ht="15" customHeight="1" x14ac:dyDescent="0.25">
      <c r="T13763" s="135"/>
      <c r="U13763" s="135"/>
    </row>
    <row r="13764" spans="20:21" ht="15" customHeight="1" x14ac:dyDescent="0.25">
      <c r="T13764" s="135"/>
      <c r="U13764" s="135"/>
    </row>
    <row r="13765" spans="20:21" ht="15" customHeight="1" x14ac:dyDescent="0.25">
      <c r="T13765" s="135"/>
      <c r="U13765" s="135"/>
    </row>
    <row r="13766" spans="20:21" ht="15" customHeight="1" x14ac:dyDescent="0.25">
      <c r="T13766" s="135"/>
      <c r="U13766" s="135"/>
    </row>
    <row r="13767" spans="20:21" ht="15" customHeight="1" x14ac:dyDescent="0.25">
      <c r="T13767" s="135"/>
      <c r="U13767" s="135"/>
    </row>
    <row r="13768" spans="20:21" ht="15" customHeight="1" x14ac:dyDescent="0.25">
      <c r="T13768" s="135"/>
      <c r="U13768" s="135"/>
    </row>
    <row r="13769" spans="20:21" ht="15" customHeight="1" x14ac:dyDescent="0.25">
      <c r="T13769" s="135"/>
      <c r="U13769" s="135"/>
    </row>
    <row r="13770" spans="20:21" ht="15" customHeight="1" x14ac:dyDescent="0.25">
      <c r="T13770" s="135"/>
      <c r="U13770" s="135"/>
    </row>
    <row r="13771" spans="20:21" ht="15" customHeight="1" x14ac:dyDescent="0.25">
      <c r="T13771" s="135"/>
      <c r="U13771" s="135"/>
    </row>
    <row r="13772" spans="20:21" ht="15" customHeight="1" x14ac:dyDescent="0.25">
      <c r="T13772" s="135"/>
      <c r="U13772" s="135"/>
    </row>
    <row r="13773" spans="20:21" ht="15" customHeight="1" x14ac:dyDescent="0.25">
      <c r="T13773" s="135"/>
      <c r="U13773" s="135"/>
    </row>
    <row r="13774" spans="20:21" ht="15" customHeight="1" x14ac:dyDescent="0.25">
      <c r="T13774" s="135"/>
      <c r="U13774" s="135"/>
    </row>
    <row r="13775" spans="20:21" ht="15" customHeight="1" x14ac:dyDescent="0.25">
      <c r="T13775" s="135"/>
      <c r="U13775" s="135"/>
    </row>
    <row r="13776" spans="20:21" ht="15" customHeight="1" x14ac:dyDescent="0.25">
      <c r="T13776" s="135"/>
      <c r="U13776" s="135"/>
    </row>
    <row r="13777" spans="20:21" ht="15" customHeight="1" x14ac:dyDescent="0.25">
      <c r="T13777" s="135"/>
      <c r="U13777" s="135"/>
    </row>
    <row r="13778" spans="20:21" ht="15" customHeight="1" x14ac:dyDescent="0.25">
      <c r="T13778" s="135"/>
      <c r="U13778" s="135"/>
    </row>
    <row r="13779" spans="20:21" ht="15" customHeight="1" x14ac:dyDescent="0.25">
      <c r="T13779" s="135"/>
      <c r="U13779" s="135"/>
    </row>
    <row r="13780" spans="20:21" ht="15" customHeight="1" x14ac:dyDescent="0.25">
      <c r="T13780" s="135"/>
      <c r="U13780" s="135"/>
    </row>
    <row r="13781" spans="20:21" ht="15" customHeight="1" x14ac:dyDescent="0.25">
      <c r="T13781" s="135"/>
      <c r="U13781" s="135"/>
    </row>
    <row r="13782" spans="20:21" ht="15" customHeight="1" x14ac:dyDescent="0.25">
      <c r="T13782" s="135"/>
      <c r="U13782" s="135"/>
    </row>
    <row r="13783" spans="20:21" ht="15" customHeight="1" x14ac:dyDescent="0.25">
      <c r="T13783" s="135"/>
      <c r="U13783" s="135"/>
    </row>
    <row r="13784" spans="20:21" ht="15" customHeight="1" x14ac:dyDescent="0.25">
      <c r="T13784" s="135"/>
      <c r="U13784" s="135"/>
    </row>
    <row r="13785" spans="20:21" ht="15" customHeight="1" x14ac:dyDescent="0.25">
      <c r="T13785" s="135"/>
      <c r="U13785" s="135"/>
    </row>
    <row r="13786" spans="20:21" ht="15" customHeight="1" x14ac:dyDescent="0.25">
      <c r="T13786" s="135"/>
      <c r="U13786" s="135"/>
    </row>
    <row r="13787" spans="20:21" ht="15" customHeight="1" x14ac:dyDescent="0.25">
      <c r="T13787" s="135"/>
      <c r="U13787" s="135"/>
    </row>
    <row r="13788" spans="20:21" ht="15" customHeight="1" x14ac:dyDescent="0.25">
      <c r="T13788" s="135"/>
      <c r="U13788" s="135"/>
    </row>
    <row r="13789" spans="20:21" ht="15" customHeight="1" x14ac:dyDescent="0.25">
      <c r="T13789" s="135"/>
      <c r="U13789" s="135"/>
    </row>
    <row r="13790" spans="20:21" ht="15" customHeight="1" x14ac:dyDescent="0.25">
      <c r="T13790" s="135"/>
      <c r="U13790" s="135"/>
    </row>
    <row r="13791" spans="20:21" ht="15" customHeight="1" x14ac:dyDescent="0.25">
      <c r="T13791" s="135"/>
      <c r="U13791" s="135"/>
    </row>
    <row r="13792" spans="20:21" ht="15" customHeight="1" x14ac:dyDescent="0.25">
      <c r="T13792" s="135"/>
      <c r="U13792" s="135"/>
    </row>
    <row r="13793" spans="20:21" ht="15" customHeight="1" x14ac:dyDescent="0.25">
      <c r="T13793" s="135"/>
      <c r="U13793" s="135"/>
    </row>
    <row r="13794" spans="20:21" ht="15" customHeight="1" x14ac:dyDescent="0.25">
      <c r="T13794" s="135"/>
      <c r="U13794" s="135"/>
    </row>
    <row r="13795" spans="20:21" ht="15" customHeight="1" x14ac:dyDescent="0.25">
      <c r="T13795" s="135"/>
      <c r="U13795" s="135"/>
    </row>
    <row r="13796" spans="20:21" ht="15" customHeight="1" x14ac:dyDescent="0.25">
      <c r="T13796" s="135"/>
      <c r="U13796" s="135"/>
    </row>
    <row r="13797" spans="20:21" ht="15" customHeight="1" x14ac:dyDescent="0.25">
      <c r="T13797" s="135"/>
      <c r="U13797" s="135"/>
    </row>
    <row r="13798" spans="20:21" ht="15" customHeight="1" x14ac:dyDescent="0.25">
      <c r="T13798" s="135"/>
      <c r="U13798" s="135"/>
    </row>
    <row r="13799" spans="20:21" ht="15" customHeight="1" x14ac:dyDescent="0.25">
      <c r="T13799" s="135"/>
      <c r="U13799" s="135"/>
    </row>
    <row r="13800" spans="20:21" ht="15" customHeight="1" x14ac:dyDescent="0.25">
      <c r="T13800" s="135"/>
      <c r="U13800" s="135"/>
    </row>
    <row r="13801" spans="20:21" ht="15" customHeight="1" x14ac:dyDescent="0.25">
      <c r="T13801" s="135"/>
      <c r="U13801" s="135"/>
    </row>
    <row r="13802" spans="20:21" ht="15" customHeight="1" x14ac:dyDescent="0.25">
      <c r="T13802" s="135"/>
      <c r="U13802" s="135"/>
    </row>
    <row r="13803" spans="20:21" ht="15" customHeight="1" x14ac:dyDescent="0.25">
      <c r="T13803" s="135"/>
      <c r="U13803" s="135"/>
    </row>
    <row r="13804" spans="20:21" ht="15" customHeight="1" x14ac:dyDescent="0.25">
      <c r="T13804" s="135"/>
      <c r="U13804" s="135"/>
    </row>
    <row r="13805" spans="20:21" ht="15" customHeight="1" x14ac:dyDescent="0.25">
      <c r="T13805" s="135"/>
      <c r="U13805" s="135"/>
    </row>
    <row r="13806" spans="20:21" ht="15" customHeight="1" x14ac:dyDescent="0.25">
      <c r="T13806" s="135"/>
      <c r="U13806" s="135"/>
    </row>
    <row r="13807" spans="20:21" ht="15" customHeight="1" x14ac:dyDescent="0.25">
      <c r="T13807" s="135"/>
      <c r="U13807" s="135"/>
    </row>
    <row r="13808" spans="20:21" ht="15" customHeight="1" x14ac:dyDescent="0.25">
      <c r="T13808" s="135"/>
      <c r="U13808" s="135"/>
    </row>
    <row r="13809" spans="20:21" ht="15" customHeight="1" x14ac:dyDescent="0.25">
      <c r="T13809" s="135"/>
      <c r="U13809" s="135"/>
    </row>
    <row r="13810" spans="20:21" ht="15" customHeight="1" x14ac:dyDescent="0.25">
      <c r="T13810" s="135"/>
      <c r="U13810" s="135"/>
    </row>
    <row r="13811" spans="20:21" ht="15" customHeight="1" x14ac:dyDescent="0.25">
      <c r="T13811" s="135"/>
      <c r="U13811" s="135"/>
    </row>
    <row r="13812" spans="20:21" ht="15" customHeight="1" x14ac:dyDescent="0.25">
      <c r="T13812" s="135"/>
      <c r="U13812" s="135"/>
    </row>
    <row r="13813" spans="20:21" ht="15" customHeight="1" x14ac:dyDescent="0.25">
      <c r="T13813" s="135"/>
      <c r="U13813" s="135"/>
    </row>
    <row r="13814" spans="20:21" ht="15" customHeight="1" x14ac:dyDescent="0.25">
      <c r="T13814" s="135"/>
      <c r="U13814" s="135"/>
    </row>
    <row r="13815" spans="20:21" ht="15" customHeight="1" x14ac:dyDescent="0.25">
      <c r="T13815" s="135"/>
      <c r="U13815" s="135"/>
    </row>
    <row r="13816" spans="20:21" ht="15" customHeight="1" x14ac:dyDescent="0.25">
      <c r="T13816" s="135"/>
      <c r="U13816" s="135"/>
    </row>
    <row r="13817" spans="20:21" ht="15" customHeight="1" x14ac:dyDescent="0.25">
      <c r="T13817" s="135"/>
      <c r="U13817" s="135"/>
    </row>
    <row r="13818" spans="20:21" ht="15" customHeight="1" x14ac:dyDescent="0.25">
      <c r="T13818" s="135"/>
      <c r="U13818" s="135"/>
    </row>
    <row r="13819" spans="20:21" ht="15" customHeight="1" x14ac:dyDescent="0.25">
      <c r="T13819" s="135"/>
      <c r="U13819" s="135"/>
    </row>
    <row r="13820" spans="20:21" ht="15" customHeight="1" x14ac:dyDescent="0.25">
      <c r="T13820" s="135"/>
      <c r="U13820" s="135"/>
    </row>
    <row r="13821" spans="20:21" ht="15" customHeight="1" x14ac:dyDescent="0.25">
      <c r="T13821" s="135"/>
      <c r="U13821" s="135"/>
    </row>
    <row r="13822" spans="20:21" ht="15" customHeight="1" x14ac:dyDescent="0.25">
      <c r="T13822" s="135"/>
      <c r="U13822" s="135"/>
    </row>
    <row r="13823" spans="20:21" ht="15" customHeight="1" x14ac:dyDescent="0.25">
      <c r="T13823" s="135"/>
      <c r="U13823" s="135"/>
    </row>
    <row r="13824" spans="20:21" ht="15" customHeight="1" x14ac:dyDescent="0.25">
      <c r="T13824" s="135"/>
      <c r="U13824" s="135"/>
    </row>
    <row r="13825" spans="20:21" ht="15" customHeight="1" x14ac:dyDescent="0.25">
      <c r="T13825" s="135"/>
      <c r="U13825" s="135"/>
    </row>
    <row r="13826" spans="20:21" ht="15" customHeight="1" x14ac:dyDescent="0.25">
      <c r="T13826" s="135"/>
      <c r="U13826" s="135"/>
    </row>
    <row r="13827" spans="20:21" ht="15" customHeight="1" x14ac:dyDescent="0.25">
      <c r="T13827" s="135"/>
      <c r="U13827" s="135"/>
    </row>
    <row r="13828" spans="20:21" ht="15" customHeight="1" x14ac:dyDescent="0.25">
      <c r="T13828" s="135"/>
      <c r="U13828" s="135"/>
    </row>
    <row r="13829" spans="20:21" ht="15" customHeight="1" x14ac:dyDescent="0.25">
      <c r="T13829" s="135"/>
      <c r="U13829" s="135"/>
    </row>
    <row r="13830" spans="20:21" ht="15" customHeight="1" x14ac:dyDescent="0.25">
      <c r="T13830" s="135"/>
      <c r="U13830" s="135"/>
    </row>
    <row r="13831" spans="20:21" ht="15" customHeight="1" x14ac:dyDescent="0.25">
      <c r="T13831" s="135"/>
      <c r="U13831" s="135"/>
    </row>
    <row r="13832" spans="20:21" ht="15" customHeight="1" x14ac:dyDescent="0.25">
      <c r="T13832" s="135"/>
      <c r="U13832" s="135"/>
    </row>
    <row r="13833" spans="20:21" ht="15" customHeight="1" x14ac:dyDescent="0.25">
      <c r="T13833" s="135"/>
      <c r="U13833" s="135"/>
    </row>
    <row r="13834" spans="20:21" ht="15" customHeight="1" x14ac:dyDescent="0.25">
      <c r="T13834" s="135"/>
      <c r="U13834" s="135"/>
    </row>
    <row r="13835" spans="20:21" ht="15" customHeight="1" x14ac:dyDescent="0.25">
      <c r="T13835" s="135"/>
      <c r="U13835" s="135"/>
    </row>
    <row r="13836" spans="20:21" ht="15" customHeight="1" x14ac:dyDescent="0.25">
      <c r="T13836" s="135"/>
      <c r="U13836" s="135"/>
    </row>
    <row r="13837" spans="20:21" ht="15" customHeight="1" x14ac:dyDescent="0.25">
      <c r="T13837" s="135"/>
      <c r="U13837" s="135"/>
    </row>
    <row r="13838" spans="20:21" ht="15" customHeight="1" x14ac:dyDescent="0.25">
      <c r="T13838" s="135"/>
      <c r="U13838" s="135"/>
    </row>
    <row r="13839" spans="20:21" ht="15" customHeight="1" x14ac:dyDescent="0.25">
      <c r="T13839" s="135"/>
      <c r="U13839" s="135"/>
    </row>
    <row r="13840" spans="20:21" ht="15" customHeight="1" x14ac:dyDescent="0.25">
      <c r="T13840" s="135"/>
      <c r="U13840" s="135"/>
    </row>
    <row r="13841" spans="20:21" ht="15" customHeight="1" x14ac:dyDescent="0.25">
      <c r="T13841" s="135"/>
      <c r="U13841" s="135"/>
    </row>
    <row r="13842" spans="20:21" ht="15" customHeight="1" x14ac:dyDescent="0.25">
      <c r="T13842" s="135"/>
      <c r="U13842" s="135"/>
    </row>
    <row r="13843" spans="20:21" ht="15" customHeight="1" x14ac:dyDescent="0.25">
      <c r="T13843" s="135"/>
      <c r="U13843" s="135"/>
    </row>
    <row r="13844" spans="20:21" ht="15" customHeight="1" x14ac:dyDescent="0.25">
      <c r="T13844" s="135"/>
      <c r="U13844" s="135"/>
    </row>
    <row r="13845" spans="20:21" ht="15" customHeight="1" x14ac:dyDescent="0.25">
      <c r="T13845" s="135"/>
      <c r="U13845" s="135"/>
    </row>
    <row r="13846" spans="20:21" ht="15" customHeight="1" x14ac:dyDescent="0.25">
      <c r="T13846" s="135"/>
      <c r="U13846" s="135"/>
    </row>
    <row r="13847" spans="20:21" ht="15" customHeight="1" x14ac:dyDescent="0.25">
      <c r="T13847" s="135"/>
      <c r="U13847" s="135"/>
    </row>
    <row r="13848" spans="20:21" ht="15" customHeight="1" x14ac:dyDescent="0.25">
      <c r="T13848" s="135"/>
      <c r="U13848" s="135"/>
    </row>
    <row r="13849" spans="20:21" ht="15" customHeight="1" x14ac:dyDescent="0.25">
      <c r="T13849" s="135"/>
      <c r="U13849" s="135"/>
    </row>
    <row r="13850" spans="20:21" ht="15" customHeight="1" x14ac:dyDescent="0.25">
      <c r="T13850" s="135"/>
      <c r="U13850" s="135"/>
    </row>
    <row r="13851" spans="20:21" ht="15" customHeight="1" x14ac:dyDescent="0.25">
      <c r="T13851" s="135"/>
      <c r="U13851" s="135"/>
    </row>
    <row r="13852" spans="20:21" ht="15" customHeight="1" x14ac:dyDescent="0.25">
      <c r="T13852" s="135"/>
      <c r="U13852" s="135"/>
    </row>
    <row r="13853" spans="20:21" ht="15" customHeight="1" x14ac:dyDescent="0.25">
      <c r="T13853" s="135"/>
      <c r="U13853" s="135"/>
    </row>
    <row r="13854" spans="20:21" ht="15" customHeight="1" x14ac:dyDescent="0.25">
      <c r="T13854" s="135"/>
      <c r="U13854" s="135"/>
    </row>
    <row r="13855" spans="20:21" ht="15" customHeight="1" x14ac:dyDescent="0.25">
      <c r="T13855" s="135"/>
      <c r="U13855" s="135"/>
    </row>
    <row r="13856" spans="20:21" ht="15" customHeight="1" x14ac:dyDescent="0.25">
      <c r="T13856" s="135"/>
      <c r="U13856" s="135"/>
    </row>
    <row r="13857" spans="20:21" ht="15" customHeight="1" x14ac:dyDescent="0.25">
      <c r="T13857" s="135"/>
      <c r="U13857" s="135"/>
    </row>
    <row r="13858" spans="20:21" ht="15" customHeight="1" x14ac:dyDescent="0.25">
      <c r="T13858" s="135"/>
      <c r="U13858" s="135"/>
    </row>
    <row r="13859" spans="20:21" ht="15" customHeight="1" x14ac:dyDescent="0.25">
      <c r="T13859" s="135"/>
      <c r="U13859" s="135"/>
    </row>
    <row r="13860" spans="20:21" ht="15" customHeight="1" x14ac:dyDescent="0.25">
      <c r="T13860" s="135"/>
      <c r="U13860" s="135"/>
    </row>
    <row r="13861" spans="20:21" ht="15" customHeight="1" x14ac:dyDescent="0.25">
      <c r="T13861" s="135"/>
      <c r="U13861" s="135"/>
    </row>
    <row r="13862" spans="20:21" ht="15" customHeight="1" x14ac:dyDescent="0.25">
      <c r="T13862" s="135"/>
      <c r="U13862" s="135"/>
    </row>
    <row r="13863" spans="20:21" ht="15" customHeight="1" x14ac:dyDescent="0.25">
      <c r="T13863" s="135"/>
      <c r="U13863" s="135"/>
    </row>
    <row r="13864" spans="20:21" ht="15" customHeight="1" x14ac:dyDescent="0.25">
      <c r="T13864" s="135"/>
      <c r="U13864" s="135"/>
    </row>
    <row r="13865" spans="20:21" ht="15" customHeight="1" x14ac:dyDescent="0.25">
      <c r="T13865" s="135"/>
      <c r="U13865" s="135"/>
    </row>
    <row r="13866" spans="20:21" ht="15" customHeight="1" x14ac:dyDescent="0.25">
      <c r="T13866" s="135"/>
      <c r="U13866" s="135"/>
    </row>
    <row r="13867" spans="20:21" ht="15" customHeight="1" x14ac:dyDescent="0.25">
      <c r="T13867" s="135"/>
      <c r="U13867" s="135"/>
    </row>
    <row r="13868" spans="20:21" ht="15" customHeight="1" x14ac:dyDescent="0.25">
      <c r="T13868" s="135"/>
      <c r="U13868" s="135"/>
    </row>
    <row r="13869" spans="20:21" ht="15" customHeight="1" x14ac:dyDescent="0.25">
      <c r="T13869" s="135"/>
      <c r="U13869" s="135"/>
    </row>
    <row r="13870" spans="20:21" ht="15" customHeight="1" x14ac:dyDescent="0.25">
      <c r="T13870" s="135"/>
      <c r="U13870" s="135"/>
    </row>
    <row r="13871" spans="20:21" ht="15" customHeight="1" x14ac:dyDescent="0.25">
      <c r="T13871" s="135"/>
      <c r="U13871" s="135"/>
    </row>
    <row r="13872" spans="20:21" ht="15" customHeight="1" x14ac:dyDescent="0.25">
      <c r="T13872" s="135"/>
      <c r="U13872" s="135"/>
    </row>
    <row r="13873" spans="20:21" ht="15" customHeight="1" x14ac:dyDescent="0.25">
      <c r="T13873" s="135"/>
      <c r="U13873" s="135"/>
    </row>
    <row r="13874" spans="20:21" ht="15" customHeight="1" x14ac:dyDescent="0.25">
      <c r="T13874" s="135"/>
      <c r="U13874" s="135"/>
    </row>
    <row r="13875" spans="20:21" ht="15" customHeight="1" x14ac:dyDescent="0.25">
      <c r="T13875" s="135"/>
      <c r="U13875" s="135"/>
    </row>
    <row r="13876" spans="20:21" ht="15" customHeight="1" x14ac:dyDescent="0.25">
      <c r="T13876" s="135"/>
      <c r="U13876" s="135"/>
    </row>
    <row r="13877" spans="20:21" ht="15" customHeight="1" x14ac:dyDescent="0.25">
      <c r="T13877" s="135"/>
      <c r="U13877" s="135"/>
    </row>
    <row r="13878" spans="20:21" ht="15" customHeight="1" x14ac:dyDescent="0.25">
      <c r="T13878" s="135"/>
      <c r="U13878" s="135"/>
    </row>
    <row r="13879" spans="20:21" ht="15" customHeight="1" x14ac:dyDescent="0.25">
      <c r="T13879" s="135"/>
      <c r="U13879" s="135"/>
    </row>
    <row r="13880" spans="20:21" ht="15" customHeight="1" x14ac:dyDescent="0.25">
      <c r="T13880" s="135"/>
      <c r="U13880" s="135"/>
    </row>
    <row r="13881" spans="20:21" ht="15" customHeight="1" x14ac:dyDescent="0.25">
      <c r="T13881" s="135"/>
      <c r="U13881" s="135"/>
    </row>
    <row r="13882" spans="20:21" ht="15" customHeight="1" x14ac:dyDescent="0.25">
      <c r="T13882" s="135"/>
      <c r="U13882" s="135"/>
    </row>
    <row r="13883" spans="20:21" ht="15" customHeight="1" x14ac:dyDescent="0.25">
      <c r="T13883" s="135"/>
      <c r="U13883" s="135"/>
    </row>
    <row r="13884" spans="20:21" ht="15" customHeight="1" x14ac:dyDescent="0.25">
      <c r="T13884" s="135"/>
      <c r="U13884" s="135"/>
    </row>
    <row r="13885" spans="20:21" ht="15" customHeight="1" x14ac:dyDescent="0.25">
      <c r="T13885" s="135"/>
      <c r="U13885" s="135"/>
    </row>
    <row r="13886" spans="20:21" ht="15" customHeight="1" x14ac:dyDescent="0.25">
      <c r="T13886" s="135"/>
      <c r="U13886" s="135"/>
    </row>
    <row r="13887" spans="20:21" ht="15" customHeight="1" x14ac:dyDescent="0.25">
      <c r="T13887" s="135"/>
      <c r="U13887" s="135"/>
    </row>
    <row r="13888" spans="20:21" ht="15" customHeight="1" x14ac:dyDescent="0.25">
      <c r="T13888" s="135"/>
      <c r="U13888" s="135"/>
    </row>
    <row r="13889" spans="20:21" ht="15" customHeight="1" x14ac:dyDescent="0.25">
      <c r="T13889" s="135"/>
      <c r="U13889" s="135"/>
    </row>
    <row r="13890" spans="20:21" ht="15" customHeight="1" x14ac:dyDescent="0.25">
      <c r="T13890" s="135"/>
      <c r="U13890" s="135"/>
    </row>
    <row r="13891" spans="20:21" ht="15" customHeight="1" x14ac:dyDescent="0.25">
      <c r="T13891" s="135"/>
      <c r="U13891" s="135"/>
    </row>
    <row r="13892" spans="20:21" ht="15" customHeight="1" x14ac:dyDescent="0.25">
      <c r="T13892" s="135"/>
      <c r="U13892" s="135"/>
    </row>
    <row r="13893" spans="20:21" ht="15" customHeight="1" x14ac:dyDescent="0.25">
      <c r="T13893" s="135"/>
      <c r="U13893" s="135"/>
    </row>
    <row r="13894" spans="20:21" ht="15" customHeight="1" x14ac:dyDescent="0.25">
      <c r="T13894" s="135"/>
      <c r="U13894" s="135"/>
    </row>
    <row r="13895" spans="20:21" ht="15" customHeight="1" x14ac:dyDescent="0.25">
      <c r="T13895" s="135"/>
      <c r="U13895" s="135"/>
    </row>
    <row r="13896" spans="20:21" ht="15" customHeight="1" x14ac:dyDescent="0.25">
      <c r="T13896" s="135"/>
      <c r="U13896" s="135"/>
    </row>
    <row r="13897" spans="20:21" ht="15" customHeight="1" x14ac:dyDescent="0.25">
      <c r="T13897" s="135"/>
      <c r="U13897" s="135"/>
    </row>
    <row r="13898" spans="20:21" ht="15" customHeight="1" x14ac:dyDescent="0.25">
      <c r="T13898" s="135"/>
      <c r="U13898" s="135"/>
    </row>
    <row r="13899" spans="20:21" ht="15" customHeight="1" x14ac:dyDescent="0.25">
      <c r="T13899" s="135"/>
      <c r="U13899" s="135"/>
    </row>
    <row r="13900" spans="20:21" ht="15" customHeight="1" x14ac:dyDescent="0.25">
      <c r="T13900" s="135"/>
      <c r="U13900" s="135"/>
    </row>
    <row r="13901" spans="20:21" ht="15" customHeight="1" x14ac:dyDescent="0.25">
      <c r="T13901" s="135"/>
      <c r="U13901" s="135"/>
    </row>
    <row r="13902" spans="20:21" ht="15" customHeight="1" x14ac:dyDescent="0.25">
      <c r="T13902" s="135"/>
      <c r="U13902" s="135"/>
    </row>
    <row r="13903" spans="20:21" ht="15" customHeight="1" x14ac:dyDescent="0.25">
      <c r="T13903" s="135"/>
      <c r="U13903" s="135"/>
    </row>
    <row r="13904" spans="20:21" ht="15" customHeight="1" x14ac:dyDescent="0.25">
      <c r="T13904" s="135"/>
      <c r="U13904" s="135"/>
    </row>
    <row r="13905" spans="20:21" ht="15" customHeight="1" x14ac:dyDescent="0.25">
      <c r="T13905" s="135"/>
      <c r="U13905" s="135"/>
    </row>
    <row r="13906" spans="20:21" ht="15" customHeight="1" x14ac:dyDescent="0.25">
      <c r="T13906" s="135"/>
      <c r="U13906" s="135"/>
    </row>
    <row r="13907" spans="20:21" ht="15" customHeight="1" x14ac:dyDescent="0.25">
      <c r="T13907" s="135"/>
      <c r="U13907" s="135"/>
    </row>
    <row r="13908" spans="20:21" ht="15" customHeight="1" x14ac:dyDescent="0.25">
      <c r="T13908" s="135"/>
      <c r="U13908" s="135"/>
    </row>
    <row r="13909" spans="20:21" ht="15" customHeight="1" x14ac:dyDescent="0.25">
      <c r="T13909" s="135"/>
      <c r="U13909" s="135"/>
    </row>
    <row r="13910" spans="20:21" ht="15" customHeight="1" x14ac:dyDescent="0.25">
      <c r="T13910" s="135"/>
      <c r="U13910" s="135"/>
    </row>
    <row r="13911" spans="20:21" ht="15" customHeight="1" x14ac:dyDescent="0.25">
      <c r="T13911" s="135"/>
      <c r="U13911" s="135"/>
    </row>
    <row r="13912" spans="20:21" ht="15" customHeight="1" x14ac:dyDescent="0.25">
      <c r="T13912" s="135"/>
      <c r="U13912" s="135"/>
    </row>
    <row r="13913" spans="20:21" ht="15" customHeight="1" x14ac:dyDescent="0.25">
      <c r="T13913" s="135"/>
      <c r="U13913" s="135"/>
    </row>
    <row r="13914" spans="20:21" ht="15" customHeight="1" x14ac:dyDescent="0.25">
      <c r="T13914" s="135"/>
      <c r="U13914" s="135"/>
    </row>
    <row r="13915" spans="20:21" ht="15" customHeight="1" x14ac:dyDescent="0.25">
      <c r="T13915" s="135"/>
      <c r="U13915" s="135"/>
    </row>
    <row r="13916" spans="20:21" ht="15" customHeight="1" x14ac:dyDescent="0.25">
      <c r="T13916" s="135"/>
      <c r="U13916" s="135"/>
    </row>
    <row r="13917" spans="20:21" ht="15" customHeight="1" x14ac:dyDescent="0.25">
      <c r="T13917" s="135"/>
      <c r="U13917" s="135"/>
    </row>
    <row r="13918" spans="20:21" ht="15" customHeight="1" x14ac:dyDescent="0.25">
      <c r="T13918" s="135"/>
      <c r="U13918" s="135"/>
    </row>
    <row r="13919" spans="20:21" ht="15" customHeight="1" x14ac:dyDescent="0.25">
      <c r="T13919" s="135"/>
      <c r="U13919" s="135"/>
    </row>
    <row r="13920" spans="20:21" ht="15" customHeight="1" x14ac:dyDescent="0.25">
      <c r="T13920" s="135"/>
      <c r="U13920" s="135"/>
    </row>
    <row r="13921" spans="20:21" ht="15" customHeight="1" x14ac:dyDescent="0.25">
      <c r="T13921" s="135"/>
      <c r="U13921" s="135"/>
    </row>
    <row r="13922" spans="20:21" ht="15" customHeight="1" x14ac:dyDescent="0.25">
      <c r="T13922" s="135"/>
      <c r="U13922" s="135"/>
    </row>
    <row r="13923" spans="20:21" ht="15" customHeight="1" x14ac:dyDescent="0.25">
      <c r="T13923" s="135"/>
      <c r="U13923" s="135"/>
    </row>
    <row r="13924" spans="20:21" ht="15" customHeight="1" x14ac:dyDescent="0.25">
      <c r="T13924" s="135"/>
      <c r="U13924" s="135"/>
    </row>
    <row r="13925" spans="20:21" ht="15" customHeight="1" x14ac:dyDescent="0.25">
      <c r="T13925" s="135"/>
      <c r="U13925" s="135"/>
    </row>
    <row r="13926" spans="20:21" ht="15" customHeight="1" x14ac:dyDescent="0.25">
      <c r="T13926" s="135"/>
      <c r="U13926" s="135"/>
    </row>
    <row r="13927" spans="20:21" ht="15" customHeight="1" x14ac:dyDescent="0.25">
      <c r="T13927" s="135"/>
      <c r="U13927" s="135"/>
    </row>
    <row r="13928" spans="20:21" ht="15" customHeight="1" x14ac:dyDescent="0.25">
      <c r="T13928" s="135"/>
      <c r="U13928" s="135"/>
    </row>
    <row r="13929" spans="20:21" ht="15" customHeight="1" x14ac:dyDescent="0.25">
      <c r="T13929" s="135"/>
      <c r="U13929" s="135"/>
    </row>
    <row r="13930" spans="20:21" ht="15" customHeight="1" x14ac:dyDescent="0.25">
      <c r="T13930" s="135"/>
      <c r="U13930" s="135"/>
    </row>
    <row r="13931" spans="20:21" ht="15" customHeight="1" x14ac:dyDescent="0.25">
      <c r="T13931" s="135"/>
      <c r="U13931" s="135"/>
    </row>
    <row r="13932" spans="20:21" ht="15" customHeight="1" x14ac:dyDescent="0.25">
      <c r="T13932" s="135"/>
      <c r="U13932" s="135"/>
    </row>
    <row r="13933" spans="20:21" ht="15" customHeight="1" x14ac:dyDescent="0.25">
      <c r="T13933" s="135"/>
      <c r="U13933" s="135"/>
    </row>
    <row r="13934" spans="20:21" ht="15" customHeight="1" x14ac:dyDescent="0.25">
      <c r="T13934" s="135"/>
      <c r="U13934" s="135"/>
    </row>
    <row r="13935" spans="20:21" ht="15" customHeight="1" x14ac:dyDescent="0.25">
      <c r="T13935" s="135"/>
      <c r="U13935" s="135"/>
    </row>
    <row r="13936" spans="20:21" ht="15" customHeight="1" x14ac:dyDescent="0.25">
      <c r="T13936" s="135"/>
      <c r="U13936" s="135"/>
    </row>
    <row r="13937" spans="20:21" ht="15" customHeight="1" x14ac:dyDescent="0.25">
      <c r="T13937" s="135"/>
      <c r="U13937" s="135"/>
    </row>
    <row r="13938" spans="20:21" ht="15" customHeight="1" x14ac:dyDescent="0.25">
      <c r="T13938" s="135"/>
      <c r="U13938" s="135"/>
    </row>
    <row r="13939" spans="20:21" ht="15" customHeight="1" x14ac:dyDescent="0.25">
      <c r="T13939" s="135"/>
      <c r="U13939" s="135"/>
    </row>
    <row r="13940" spans="20:21" ht="15" customHeight="1" x14ac:dyDescent="0.25">
      <c r="T13940" s="135"/>
      <c r="U13940" s="135"/>
    </row>
    <row r="13941" spans="20:21" ht="15" customHeight="1" x14ac:dyDescent="0.25">
      <c r="T13941" s="135"/>
      <c r="U13941" s="135"/>
    </row>
    <row r="13942" spans="20:21" ht="15" customHeight="1" x14ac:dyDescent="0.25">
      <c r="T13942" s="135"/>
      <c r="U13942" s="135"/>
    </row>
    <row r="13943" spans="20:21" ht="15" customHeight="1" x14ac:dyDescent="0.25">
      <c r="T13943" s="135"/>
      <c r="U13943" s="135"/>
    </row>
    <row r="13944" spans="20:21" ht="15" customHeight="1" x14ac:dyDescent="0.25">
      <c r="T13944" s="135"/>
      <c r="U13944" s="135"/>
    </row>
    <row r="13945" spans="20:21" ht="15" customHeight="1" x14ac:dyDescent="0.25">
      <c r="T13945" s="135"/>
      <c r="U13945" s="135"/>
    </row>
    <row r="13946" spans="20:21" ht="15" customHeight="1" x14ac:dyDescent="0.25">
      <c r="T13946" s="135"/>
      <c r="U13946" s="135"/>
    </row>
    <row r="13947" spans="20:21" ht="15" customHeight="1" x14ac:dyDescent="0.25">
      <c r="T13947" s="135"/>
      <c r="U13947" s="135"/>
    </row>
    <row r="13948" spans="20:21" ht="15" customHeight="1" x14ac:dyDescent="0.25">
      <c r="T13948" s="135"/>
      <c r="U13948" s="135"/>
    </row>
    <row r="13949" spans="20:21" ht="15" customHeight="1" x14ac:dyDescent="0.25">
      <c r="T13949" s="135"/>
      <c r="U13949" s="135"/>
    </row>
    <row r="13950" spans="20:21" ht="15" customHeight="1" x14ac:dyDescent="0.25">
      <c r="T13950" s="135"/>
      <c r="U13950" s="135"/>
    </row>
    <row r="13951" spans="20:21" ht="15" customHeight="1" x14ac:dyDescent="0.25">
      <c r="T13951" s="135"/>
      <c r="U13951" s="135"/>
    </row>
    <row r="13952" spans="20:21" ht="15" customHeight="1" x14ac:dyDescent="0.25">
      <c r="T13952" s="135"/>
      <c r="U13952" s="135"/>
    </row>
    <row r="13953" spans="20:21" ht="15" customHeight="1" x14ac:dyDescent="0.25">
      <c r="T13953" s="135"/>
      <c r="U13953" s="135"/>
    </row>
    <row r="13954" spans="20:21" ht="15" customHeight="1" x14ac:dyDescent="0.25">
      <c r="T13954" s="135"/>
      <c r="U13954" s="135"/>
    </row>
    <row r="13955" spans="20:21" ht="15" customHeight="1" x14ac:dyDescent="0.25">
      <c r="T13955" s="135"/>
      <c r="U13955" s="135"/>
    </row>
    <row r="13956" spans="20:21" ht="15" customHeight="1" x14ac:dyDescent="0.25">
      <c r="T13956" s="135"/>
      <c r="U13956" s="135"/>
    </row>
    <row r="13957" spans="20:21" ht="15" customHeight="1" x14ac:dyDescent="0.25">
      <c r="T13957" s="135"/>
      <c r="U13957" s="135"/>
    </row>
    <row r="13958" spans="20:21" ht="15" customHeight="1" x14ac:dyDescent="0.25">
      <c r="T13958" s="135"/>
      <c r="U13958" s="135"/>
    </row>
    <row r="13959" spans="20:21" ht="15" customHeight="1" x14ac:dyDescent="0.25">
      <c r="T13959" s="135"/>
      <c r="U13959" s="135"/>
    </row>
    <row r="13960" spans="20:21" ht="15" customHeight="1" x14ac:dyDescent="0.25">
      <c r="T13960" s="135"/>
      <c r="U13960" s="135"/>
    </row>
    <row r="13961" spans="20:21" ht="15" customHeight="1" x14ac:dyDescent="0.25">
      <c r="T13961" s="135"/>
      <c r="U13961" s="135"/>
    </row>
    <row r="13962" spans="20:21" ht="15" customHeight="1" x14ac:dyDescent="0.25">
      <c r="T13962" s="135"/>
      <c r="U13962" s="135"/>
    </row>
    <row r="13963" spans="20:21" ht="15" customHeight="1" x14ac:dyDescent="0.25">
      <c r="T13963" s="135"/>
      <c r="U13963" s="135"/>
    </row>
    <row r="13964" spans="20:21" ht="15" customHeight="1" x14ac:dyDescent="0.25">
      <c r="T13964" s="135"/>
      <c r="U13964" s="135"/>
    </row>
    <row r="13965" spans="20:21" ht="15" customHeight="1" x14ac:dyDescent="0.25">
      <c r="T13965" s="135"/>
      <c r="U13965" s="135"/>
    </row>
    <row r="13966" spans="20:21" ht="15" customHeight="1" x14ac:dyDescent="0.25">
      <c r="T13966" s="135"/>
      <c r="U13966" s="135"/>
    </row>
    <row r="13967" spans="20:21" ht="15" customHeight="1" x14ac:dyDescent="0.25">
      <c r="T13967" s="135"/>
      <c r="U13967" s="135"/>
    </row>
    <row r="13968" spans="20:21" ht="15" customHeight="1" x14ac:dyDescent="0.25">
      <c r="T13968" s="135"/>
      <c r="U13968" s="135"/>
    </row>
    <row r="13969" spans="20:21" ht="15" customHeight="1" x14ac:dyDescent="0.25">
      <c r="T13969" s="135"/>
      <c r="U13969" s="135"/>
    </row>
    <row r="13970" spans="20:21" ht="15" customHeight="1" x14ac:dyDescent="0.25">
      <c r="T13970" s="135"/>
      <c r="U13970" s="135"/>
    </row>
    <row r="13971" spans="20:21" ht="15" customHeight="1" x14ac:dyDescent="0.25">
      <c r="T13971" s="135"/>
      <c r="U13971" s="135"/>
    </row>
    <row r="13972" spans="20:21" ht="15" customHeight="1" x14ac:dyDescent="0.25">
      <c r="T13972" s="135"/>
      <c r="U13972" s="135"/>
    </row>
    <row r="13973" spans="20:21" ht="15" customHeight="1" x14ac:dyDescent="0.25">
      <c r="T13973" s="135"/>
      <c r="U13973" s="135"/>
    </row>
    <row r="13974" spans="20:21" ht="15" customHeight="1" x14ac:dyDescent="0.25">
      <c r="T13974" s="135"/>
      <c r="U13974" s="135"/>
    </row>
    <row r="13975" spans="20:21" ht="15" customHeight="1" x14ac:dyDescent="0.25">
      <c r="T13975" s="135"/>
      <c r="U13975" s="135"/>
    </row>
    <row r="13976" spans="20:21" ht="15" customHeight="1" x14ac:dyDescent="0.25">
      <c r="T13976" s="135"/>
      <c r="U13976" s="135"/>
    </row>
    <row r="13977" spans="20:21" ht="15" customHeight="1" x14ac:dyDescent="0.25">
      <c r="T13977" s="135"/>
      <c r="U13977" s="135"/>
    </row>
    <row r="13978" spans="20:21" ht="15" customHeight="1" x14ac:dyDescent="0.25">
      <c r="T13978" s="135"/>
      <c r="U13978" s="135"/>
    </row>
    <row r="13979" spans="20:21" ht="15" customHeight="1" x14ac:dyDescent="0.25">
      <c r="T13979" s="135"/>
      <c r="U13979" s="135"/>
    </row>
    <row r="13980" spans="20:21" ht="15" customHeight="1" x14ac:dyDescent="0.25">
      <c r="T13980" s="135"/>
      <c r="U13980" s="135"/>
    </row>
    <row r="13981" spans="20:21" ht="15" customHeight="1" x14ac:dyDescent="0.25">
      <c r="T13981" s="135"/>
      <c r="U13981" s="135"/>
    </row>
    <row r="13982" spans="20:21" ht="15" customHeight="1" x14ac:dyDescent="0.25">
      <c r="T13982" s="135"/>
      <c r="U13982" s="135"/>
    </row>
    <row r="13983" spans="20:21" ht="15" customHeight="1" x14ac:dyDescent="0.25">
      <c r="T13983" s="135"/>
      <c r="U13983" s="135"/>
    </row>
    <row r="13984" spans="20:21" ht="15" customHeight="1" x14ac:dyDescent="0.25">
      <c r="T13984" s="135"/>
      <c r="U13984" s="135"/>
    </row>
    <row r="13985" spans="20:21" ht="15" customHeight="1" x14ac:dyDescent="0.25">
      <c r="T13985" s="135"/>
      <c r="U13985" s="135"/>
    </row>
    <row r="13986" spans="20:21" ht="15" customHeight="1" x14ac:dyDescent="0.25">
      <c r="T13986" s="135"/>
      <c r="U13986" s="135"/>
    </row>
    <row r="13987" spans="20:21" ht="15" customHeight="1" x14ac:dyDescent="0.25">
      <c r="T13987" s="135"/>
      <c r="U13987" s="135"/>
    </row>
    <row r="13988" spans="20:21" ht="15" customHeight="1" x14ac:dyDescent="0.25">
      <c r="T13988" s="135"/>
      <c r="U13988" s="135"/>
    </row>
    <row r="13989" spans="20:21" ht="15" customHeight="1" x14ac:dyDescent="0.25">
      <c r="T13989" s="135"/>
      <c r="U13989" s="135"/>
    </row>
    <row r="13990" spans="20:21" ht="15" customHeight="1" x14ac:dyDescent="0.25">
      <c r="T13990" s="135"/>
      <c r="U13990" s="135"/>
    </row>
    <row r="13991" spans="20:21" ht="15" customHeight="1" x14ac:dyDescent="0.25">
      <c r="T13991" s="135"/>
      <c r="U13991" s="135"/>
    </row>
    <row r="13992" spans="20:21" ht="15" customHeight="1" x14ac:dyDescent="0.25">
      <c r="T13992" s="135"/>
      <c r="U13992" s="135"/>
    </row>
    <row r="13993" spans="20:21" ht="15" customHeight="1" x14ac:dyDescent="0.25">
      <c r="T13993" s="135"/>
      <c r="U13993" s="135"/>
    </row>
    <row r="13994" spans="20:21" ht="15" customHeight="1" x14ac:dyDescent="0.25">
      <c r="T13994" s="135"/>
      <c r="U13994" s="135"/>
    </row>
    <row r="13995" spans="20:21" ht="15" customHeight="1" x14ac:dyDescent="0.25">
      <c r="T13995" s="135"/>
      <c r="U13995" s="135"/>
    </row>
    <row r="13996" spans="20:21" ht="15" customHeight="1" x14ac:dyDescent="0.25">
      <c r="T13996" s="135"/>
      <c r="U13996" s="135"/>
    </row>
    <row r="13997" spans="20:21" ht="15" customHeight="1" x14ac:dyDescent="0.25">
      <c r="T13997" s="135"/>
      <c r="U13997" s="135"/>
    </row>
    <row r="13998" spans="20:21" ht="15" customHeight="1" x14ac:dyDescent="0.25">
      <c r="T13998" s="135"/>
      <c r="U13998" s="135"/>
    </row>
    <row r="13999" spans="20:21" ht="15" customHeight="1" x14ac:dyDescent="0.25">
      <c r="T13999" s="135"/>
      <c r="U13999" s="135"/>
    </row>
    <row r="14000" spans="20:21" ht="15" customHeight="1" x14ac:dyDescent="0.25">
      <c r="T14000" s="135"/>
      <c r="U14000" s="135"/>
    </row>
    <row r="14001" spans="20:21" ht="15" customHeight="1" x14ac:dyDescent="0.25">
      <c r="T14001" s="135"/>
      <c r="U14001" s="135"/>
    </row>
    <row r="14002" spans="20:21" ht="15" customHeight="1" x14ac:dyDescent="0.25">
      <c r="T14002" s="135"/>
      <c r="U14002" s="135"/>
    </row>
    <row r="14003" spans="20:21" ht="15" customHeight="1" x14ac:dyDescent="0.25">
      <c r="T14003" s="135"/>
      <c r="U14003" s="135"/>
    </row>
    <row r="14004" spans="20:21" ht="15" customHeight="1" x14ac:dyDescent="0.25">
      <c r="T14004" s="135"/>
      <c r="U14004" s="135"/>
    </row>
    <row r="14005" spans="20:21" ht="15" customHeight="1" x14ac:dyDescent="0.25">
      <c r="T14005" s="135"/>
      <c r="U14005" s="135"/>
    </row>
    <row r="14006" spans="20:21" ht="15" customHeight="1" x14ac:dyDescent="0.25">
      <c r="T14006" s="135"/>
      <c r="U14006" s="135"/>
    </row>
    <row r="14007" spans="20:21" ht="15" customHeight="1" x14ac:dyDescent="0.25">
      <c r="T14007" s="135"/>
      <c r="U14007" s="135"/>
    </row>
    <row r="14008" spans="20:21" ht="15" customHeight="1" x14ac:dyDescent="0.25">
      <c r="T14008" s="135"/>
      <c r="U14008" s="135"/>
    </row>
    <row r="14009" spans="20:21" ht="15" customHeight="1" x14ac:dyDescent="0.25">
      <c r="T14009" s="135"/>
      <c r="U14009" s="135"/>
    </row>
    <row r="14010" spans="20:21" ht="15" customHeight="1" x14ac:dyDescent="0.25">
      <c r="T14010" s="135"/>
      <c r="U14010" s="135"/>
    </row>
    <row r="14011" spans="20:21" ht="15" customHeight="1" x14ac:dyDescent="0.25">
      <c r="T14011" s="135"/>
      <c r="U14011" s="135"/>
    </row>
    <row r="14012" spans="20:21" ht="15" customHeight="1" x14ac:dyDescent="0.25">
      <c r="T14012" s="135"/>
      <c r="U14012" s="135"/>
    </row>
    <row r="14013" spans="20:21" ht="15" customHeight="1" x14ac:dyDescent="0.25">
      <c r="T14013" s="135"/>
      <c r="U14013" s="135"/>
    </row>
    <row r="14014" spans="20:21" ht="15" customHeight="1" x14ac:dyDescent="0.25">
      <c r="T14014" s="135"/>
      <c r="U14014" s="135"/>
    </row>
    <row r="14015" spans="20:21" ht="15" customHeight="1" x14ac:dyDescent="0.25">
      <c r="T14015" s="135"/>
      <c r="U14015" s="135"/>
    </row>
    <row r="14016" spans="20:21" ht="15" customHeight="1" x14ac:dyDescent="0.25">
      <c r="T14016" s="135"/>
      <c r="U14016" s="135"/>
    </row>
    <row r="14017" spans="20:21" ht="15" customHeight="1" x14ac:dyDescent="0.25">
      <c r="T14017" s="135"/>
      <c r="U14017" s="135"/>
    </row>
    <row r="14018" spans="20:21" ht="15" customHeight="1" x14ac:dyDescent="0.25">
      <c r="T14018" s="135"/>
      <c r="U14018" s="135"/>
    </row>
    <row r="14019" spans="20:21" ht="15" customHeight="1" x14ac:dyDescent="0.25">
      <c r="T14019" s="135"/>
      <c r="U14019" s="135"/>
    </row>
    <row r="14020" spans="20:21" ht="15" customHeight="1" x14ac:dyDescent="0.25">
      <c r="T14020" s="135"/>
      <c r="U14020" s="135"/>
    </row>
    <row r="14021" spans="20:21" ht="15" customHeight="1" x14ac:dyDescent="0.25">
      <c r="T14021" s="135"/>
      <c r="U14021" s="135"/>
    </row>
    <row r="14022" spans="20:21" ht="15" customHeight="1" x14ac:dyDescent="0.25">
      <c r="T14022" s="135"/>
      <c r="U14022" s="135"/>
    </row>
    <row r="14023" spans="20:21" ht="15" customHeight="1" x14ac:dyDescent="0.25">
      <c r="T14023" s="135"/>
      <c r="U14023" s="135"/>
    </row>
    <row r="14024" spans="20:21" ht="15" customHeight="1" x14ac:dyDescent="0.25">
      <c r="T14024" s="135"/>
      <c r="U14024" s="135"/>
    </row>
    <row r="14025" spans="20:21" ht="15" customHeight="1" x14ac:dyDescent="0.25">
      <c r="T14025" s="135"/>
      <c r="U14025" s="135"/>
    </row>
    <row r="14026" spans="20:21" ht="15" customHeight="1" x14ac:dyDescent="0.25">
      <c r="T14026" s="135"/>
      <c r="U14026" s="135"/>
    </row>
    <row r="14027" spans="20:21" ht="15" customHeight="1" x14ac:dyDescent="0.25">
      <c r="T14027" s="135"/>
      <c r="U14027" s="135"/>
    </row>
    <row r="14028" spans="20:21" ht="15" customHeight="1" x14ac:dyDescent="0.25">
      <c r="T14028" s="135"/>
      <c r="U14028" s="135"/>
    </row>
    <row r="14029" spans="20:21" ht="15" customHeight="1" x14ac:dyDescent="0.25">
      <c r="T14029" s="135"/>
      <c r="U14029" s="135"/>
    </row>
    <row r="14030" spans="20:21" ht="15" customHeight="1" x14ac:dyDescent="0.25">
      <c r="T14030" s="135"/>
      <c r="U14030" s="135"/>
    </row>
    <row r="14031" spans="20:21" ht="15" customHeight="1" x14ac:dyDescent="0.25">
      <c r="T14031" s="135"/>
      <c r="U14031" s="135"/>
    </row>
    <row r="14032" spans="20:21" ht="15" customHeight="1" x14ac:dyDescent="0.25">
      <c r="T14032" s="135"/>
      <c r="U14032" s="135"/>
    </row>
    <row r="14033" spans="20:21" ht="15" customHeight="1" x14ac:dyDescent="0.25">
      <c r="T14033" s="135"/>
      <c r="U14033" s="135"/>
    </row>
    <row r="14034" spans="20:21" ht="15" customHeight="1" x14ac:dyDescent="0.25">
      <c r="T14034" s="135"/>
      <c r="U14034" s="135"/>
    </row>
    <row r="14035" spans="20:21" ht="15" customHeight="1" x14ac:dyDescent="0.25">
      <c r="T14035" s="135"/>
      <c r="U14035" s="135"/>
    </row>
    <row r="14036" spans="20:21" ht="15" customHeight="1" x14ac:dyDescent="0.25">
      <c r="T14036" s="135"/>
      <c r="U14036" s="135"/>
    </row>
    <row r="14037" spans="20:21" ht="15" customHeight="1" x14ac:dyDescent="0.25">
      <c r="T14037" s="135"/>
      <c r="U14037" s="135"/>
    </row>
    <row r="14038" spans="20:21" ht="15" customHeight="1" x14ac:dyDescent="0.25">
      <c r="T14038" s="135"/>
      <c r="U14038" s="135"/>
    </row>
    <row r="14039" spans="20:21" ht="15" customHeight="1" x14ac:dyDescent="0.25">
      <c r="T14039" s="135"/>
      <c r="U14039" s="135"/>
    </row>
    <row r="14040" spans="20:21" ht="15" customHeight="1" x14ac:dyDescent="0.25">
      <c r="T14040" s="135"/>
      <c r="U14040" s="135"/>
    </row>
    <row r="14041" spans="20:21" ht="15" customHeight="1" x14ac:dyDescent="0.25">
      <c r="T14041" s="135"/>
      <c r="U14041" s="135"/>
    </row>
    <row r="14042" spans="20:21" ht="15" customHeight="1" x14ac:dyDescent="0.25">
      <c r="T14042" s="135"/>
      <c r="U14042" s="135"/>
    </row>
    <row r="14043" spans="20:21" ht="15" customHeight="1" x14ac:dyDescent="0.25">
      <c r="T14043" s="135"/>
      <c r="U14043" s="135"/>
    </row>
    <row r="14044" spans="20:21" ht="15" customHeight="1" x14ac:dyDescent="0.25">
      <c r="T14044" s="135"/>
      <c r="U14044" s="135"/>
    </row>
    <row r="14045" spans="20:21" ht="15" customHeight="1" x14ac:dyDescent="0.25">
      <c r="T14045" s="135"/>
      <c r="U14045" s="135"/>
    </row>
    <row r="14046" spans="20:21" ht="15" customHeight="1" x14ac:dyDescent="0.25">
      <c r="T14046" s="135"/>
      <c r="U14046" s="135"/>
    </row>
    <row r="14047" spans="20:21" ht="15" customHeight="1" x14ac:dyDescent="0.25">
      <c r="T14047" s="135"/>
      <c r="U14047" s="135"/>
    </row>
    <row r="14048" spans="20:21" ht="15" customHeight="1" x14ac:dyDescent="0.25">
      <c r="T14048" s="135"/>
      <c r="U14048" s="135"/>
    </row>
    <row r="14049" spans="20:21" ht="15" customHeight="1" x14ac:dyDescent="0.25">
      <c r="T14049" s="135"/>
      <c r="U14049" s="135"/>
    </row>
    <row r="14050" spans="20:21" ht="15" customHeight="1" x14ac:dyDescent="0.25">
      <c r="T14050" s="135"/>
      <c r="U14050" s="135"/>
    </row>
    <row r="14051" spans="20:21" ht="15" customHeight="1" x14ac:dyDescent="0.25">
      <c r="T14051" s="135"/>
      <c r="U14051" s="135"/>
    </row>
    <row r="14052" spans="20:21" ht="15" customHeight="1" x14ac:dyDescent="0.25">
      <c r="T14052" s="135"/>
      <c r="U14052" s="135"/>
    </row>
    <row r="14053" spans="20:21" ht="15" customHeight="1" x14ac:dyDescent="0.25">
      <c r="T14053" s="135"/>
      <c r="U14053" s="135"/>
    </row>
    <row r="14054" spans="20:21" ht="15" customHeight="1" x14ac:dyDescent="0.25">
      <c r="T14054" s="135"/>
      <c r="U14054" s="135"/>
    </row>
    <row r="14055" spans="20:21" ht="15" customHeight="1" x14ac:dyDescent="0.25">
      <c r="T14055" s="135"/>
      <c r="U14055" s="135"/>
    </row>
    <row r="14056" spans="20:21" ht="15" customHeight="1" x14ac:dyDescent="0.25">
      <c r="T14056" s="135"/>
      <c r="U14056" s="135"/>
    </row>
    <row r="14057" spans="20:21" ht="15" customHeight="1" x14ac:dyDescent="0.25">
      <c r="T14057" s="135"/>
      <c r="U14057" s="135"/>
    </row>
    <row r="14058" spans="20:21" ht="15" customHeight="1" x14ac:dyDescent="0.25">
      <c r="T14058" s="135"/>
      <c r="U14058" s="135"/>
    </row>
    <row r="14059" spans="20:21" ht="15" customHeight="1" x14ac:dyDescent="0.25">
      <c r="T14059" s="135"/>
      <c r="U14059" s="135"/>
    </row>
    <row r="14060" spans="20:21" ht="15" customHeight="1" x14ac:dyDescent="0.25">
      <c r="T14060" s="135"/>
      <c r="U14060" s="135"/>
    </row>
    <row r="14061" spans="20:21" ht="15" customHeight="1" x14ac:dyDescent="0.25">
      <c r="T14061" s="135"/>
      <c r="U14061" s="135"/>
    </row>
    <row r="14062" spans="20:21" ht="15" customHeight="1" x14ac:dyDescent="0.25">
      <c r="T14062" s="135"/>
      <c r="U14062" s="135"/>
    </row>
    <row r="14063" spans="20:21" ht="15" customHeight="1" x14ac:dyDescent="0.25">
      <c r="T14063" s="135"/>
      <c r="U14063" s="135"/>
    </row>
    <row r="14064" spans="20:21" ht="15" customHeight="1" x14ac:dyDescent="0.25">
      <c r="T14064" s="135"/>
      <c r="U14064" s="135"/>
    </row>
    <row r="14065" spans="20:21" ht="15" customHeight="1" x14ac:dyDescent="0.25">
      <c r="T14065" s="135"/>
      <c r="U14065" s="135"/>
    </row>
    <row r="14066" spans="20:21" ht="15" customHeight="1" x14ac:dyDescent="0.25">
      <c r="T14066" s="135"/>
      <c r="U14066" s="135"/>
    </row>
    <row r="14067" spans="20:21" ht="15" customHeight="1" x14ac:dyDescent="0.25">
      <c r="T14067" s="135"/>
      <c r="U14067" s="135"/>
    </row>
    <row r="14068" spans="20:21" ht="15" customHeight="1" x14ac:dyDescent="0.25">
      <c r="T14068" s="135"/>
      <c r="U14068" s="135"/>
    </row>
    <row r="14069" spans="20:21" ht="15" customHeight="1" x14ac:dyDescent="0.25">
      <c r="T14069" s="135"/>
      <c r="U14069" s="135"/>
    </row>
    <row r="14070" spans="20:21" ht="15" customHeight="1" x14ac:dyDescent="0.25">
      <c r="T14070" s="135"/>
      <c r="U14070" s="135"/>
    </row>
    <row r="14071" spans="20:21" ht="15" customHeight="1" x14ac:dyDescent="0.25">
      <c r="T14071" s="135"/>
      <c r="U14071" s="135"/>
    </row>
    <row r="14072" spans="20:21" ht="15" customHeight="1" x14ac:dyDescent="0.25">
      <c r="T14072" s="135"/>
      <c r="U14072" s="135"/>
    </row>
    <row r="14073" spans="20:21" ht="15" customHeight="1" x14ac:dyDescent="0.25">
      <c r="T14073" s="135"/>
      <c r="U14073" s="135"/>
    </row>
    <row r="14074" spans="20:21" ht="15" customHeight="1" x14ac:dyDescent="0.25">
      <c r="T14074" s="135"/>
      <c r="U14074" s="135"/>
    </row>
    <row r="14075" spans="20:21" ht="15" customHeight="1" x14ac:dyDescent="0.25">
      <c r="T14075" s="135"/>
      <c r="U14075" s="135"/>
    </row>
    <row r="14076" spans="20:21" ht="15" customHeight="1" x14ac:dyDescent="0.25">
      <c r="T14076" s="135"/>
      <c r="U14076" s="135"/>
    </row>
    <row r="14077" spans="20:21" ht="15" customHeight="1" x14ac:dyDescent="0.25">
      <c r="T14077" s="135"/>
      <c r="U14077" s="135"/>
    </row>
    <row r="14078" spans="20:21" ht="15" customHeight="1" x14ac:dyDescent="0.25">
      <c r="T14078" s="135"/>
      <c r="U14078" s="135"/>
    </row>
    <row r="14079" spans="20:21" ht="15" customHeight="1" x14ac:dyDescent="0.25">
      <c r="T14079" s="135"/>
      <c r="U14079" s="135"/>
    </row>
    <row r="14080" spans="20:21" ht="15" customHeight="1" x14ac:dyDescent="0.25">
      <c r="T14080" s="135"/>
      <c r="U14080" s="135"/>
    </row>
    <row r="14081" spans="20:21" ht="15" customHeight="1" x14ac:dyDescent="0.25">
      <c r="T14081" s="135"/>
      <c r="U14081" s="135"/>
    </row>
    <row r="14082" spans="20:21" ht="15" customHeight="1" x14ac:dyDescent="0.25">
      <c r="T14082" s="135"/>
      <c r="U14082" s="135"/>
    </row>
    <row r="14083" spans="20:21" ht="15" customHeight="1" x14ac:dyDescent="0.25">
      <c r="T14083" s="135"/>
      <c r="U14083" s="135"/>
    </row>
    <row r="14084" spans="20:21" ht="15" customHeight="1" x14ac:dyDescent="0.25">
      <c r="T14084" s="135"/>
      <c r="U14084" s="135"/>
    </row>
    <row r="14085" spans="20:21" ht="15" customHeight="1" x14ac:dyDescent="0.25">
      <c r="T14085" s="135"/>
      <c r="U14085" s="135"/>
    </row>
    <row r="14086" spans="20:21" ht="15" customHeight="1" x14ac:dyDescent="0.25">
      <c r="T14086" s="135"/>
      <c r="U14086" s="135"/>
    </row>
    <row r="14087" spans="20:21" ht="15" customHeight="1" x14ac:dyDescent="0.25">
      <c r="T14087" s="135"/>
      <c r="U14087" s="135"/>
    </row>
    <row r="14088" spans="20:21" ht="15" customHeight="1" x14ac:dyDescent="0.25">
      <c r="T14088" s="135"/>
      <c r="U14088" s="135"/>
    </row>
    <row r="14089" spans="20:21" ht="15" customHeight="1" x14ac:dyDescent="0.25">
      <c r="T14089" s="135"/>
      <c r="U14089" s="135"/>
    </row>
    <row r="14090" spans="20:21" ht="15" customHeight="1" x14ac:dyDescent="0.25">
      <c r="T14090" s="135"/>
      <c r="U14090" s="135"/>
    </row>
    <row r="14091" spans="20:21" ht="15" customHeight="1" x14ac:dyDescent="0.25">
      <c r="T14091" s="135"/>
      <c r="U14091" s="135"/>
    </row>
    <row r="14092" spans="20:21" ht="15" customHeight="1" x14ac:dyDescent="0.25">
      <c r="T14092" s="135"/>
      <c r="U14092" s="135"/>
    </row>
    <row r="14093" spans="20:21" ht="15" customHeight="1" x14ac:dyDescent="0.25">
      <c r="T14093" s="135"/>
      <c r="U14093" s="135"/>
    </row>
    <row r="14094" spans="20:21" ht="15" customHeight="1" x14ac:dyDescent="0.25">
      <c r="T14094" s="135"/>
      <c r="U14094" s="135"/>
    </row>
    <row r="14095" spans="20:21" ht="15" customHeight="1" x14ac:dyDescent="0.25">
      <c r="T14095" s="135"/>
      <c r="U14095" s="135"/>
    </row>
    <row r="14096" spans="20:21" ht="15" customHeight="1" x14ac:dyDescent="0.25">
      <c r="T14096" s="135"/>
      <c r="U14096" s="135"/>
    </row>
    <row r="14097" spans="20:21" ht="15" customHeight="1" x14ac:dyDescent="0.25">
      <c r="T14097" s="135"/>
      <c r="U14097" s="135"/>
    </row>
    <row r="14098" spans="20:21" ht="15" customHeight="1" x14ac:dyDescent="0.25">
      <c r="T14098" s="135"/>
      <c r="U14098" s="135"/>
    </row>
    <row r="14099" spans="20:21" ht="15" customHeight="1" x14ac:dyDescent="0.25">
      <c r="T14099" s="135"/>
      <c r="U14099" s="135"/>
    </row>
    <row r="14100" spans="20:21" ht="15" customHeight="1" x14ac:dyDescent="0.25">
      <c r="T14100" s="135"/>
      <c r="U14100" s="135"/>
    </row>
    <row r="14101" spans="20:21" ht="15" customHeight="1" x14ac:dyDescent="0.25">
      <c r="T14101" s="135"/>
      <c r="U14101" s="135"/>
    </row>
    <row r="14102" spans="20:21" ht="15" customHeight="1" x14ac:dyDescent="0.25">
      <c r="T14102" s="135"/>
      <c r="U14102" s="135"/>
    </row>
    <row r="14103" spans="20:21" ht="15" customHeight="1" x14ac:dyDescent="0.25">
      <c r="T14103" s="135"/>
      <c r="U14103" s="135"/>
    </row>
    <row r="14104" spans="20:21" ht="15" customHeight="1" x14ac:dyDescent="0.25">
      <c r="T14104" s="135"/>
      <c r="U14104" s="135"/>
    </row>
    <row r="14105" spans="20:21" ht="15" customHeight="1" x14ac:dyDescent="0.25">
      <c r="T14105" s="135"/>
      <c r="U14105" s="135"/>
    </row>
    <row r="14106" spans="20:21" ht="15" customHeight="1" x14ac:dyDescent="0.25">
      <c r="T14106" s="135"/>
      <c r="U14106" s="135"/>
    </row>
    <row r="14107" spans="20:21" ht="15" customHeight="1" x14ac:dyDescent="0.25">
      <c r="T14107" s="135"/>
      <c r="U14107" s="135"/>
    </row>
    <row r="14108" spans="20:21" ht="15" customHeight="1" x14ac:dyDescent="0.25">
      <c r="T14108" s="135"/>
      <c r="U14108" s="135"/>
    </row>
    <row r="14109" spans="20:21" ht="15" customHeight="1" x14ac:dyDescent="0.25">
      <c r="T14109" s="135"/>
      <c r="U14109" s="135"/>
    </row>
    <row r="14110" spans="20:21" ht="15" customHeight="1" x14ac:dyDescent="0.25">
      <c r="T14110" s="135"/>
      <c r="U14110" s="135"/>
    </row>
    <row r="14111" spans="20:21" ht="15" customHeight="1" x14ac:dyDescent="0.25">
      <c r="T14111" s="135"/>
      <c r="U14111" s="135"/>
    </row>
    <row r="14112" spans="20:21" ht="15" customHeight="1" x14ac:dyDescent="0.25">
      <c r="T14112" s="135"/>
      <c r="U14112" s="135"/>
    </row>
    <row r="14113" spans="20:21" ht="15" customHeight="1" x14ac:dyDescent="0.25">
      <c r="T14113" s="135"/>
      <c r="U14113" s="135"/>
    </row>
    <row r="14114" spans="20:21" ht="15" customHeight="1" x14ac:dyDescent="0.25">
      <c r="T14114" s="135"/>
      <c r="U14114" s="135"/>
    </row>
    <row r="14115" spans="20:21" ht="15" customHeight="1" x14ac:dyDescent="0.25">
      <c r="T14115" s="135"/>
      <c r="U14115" s="135"/>
    </row>
    <row r="14116" spans="20:21" ht="15" customHeight="1" x14ac:dyDescent="0.25">
      <c r="T14116" s="135"/>
      <c r="U14116" s="135"/>
    </row>
    <row r="14117" spans="20:21" ht="15" customHeight="1" x14ac:dyDescent="0.25">
      <c r="T14117" s="135"/>
      <c r="U14117" s="135"/>
    </row>
    <row r="14118" spans="20:21" ht="15" customHeight="1" x14ac:dyDescent="0.25">
      <c r="T14118" s="135"/>
      <c r="U14118" s="135"/>
    </row>
    <row r="14119" spans="20:21" ht="15" customHeight="1" x14ac:dyDescent="0.25">
      <c r="T14119" s="135"/>
      <c r="U14119" s="135"/>
    </row>
    <row r="14120" spans="20:21" ht="15" customHeight="1" x14ac:dyDescent="0.25">
      <c r="T14120" s="135"/>
      <c r="U14120" s="135"/>
    </row>
    <row r="14121" spans="20:21" ht="15" customHeight="1" x14ac:dyDescent="0.25">
      <c r="T14121" s="135"/>
      <c r="U14121" s="135"/>
    </row>
    <row r="14122" spans="20:21" ht="15" customHeight="1" x14ac:dyDescent="0.25">
      <c r="T14122" s="135"/>
      <c r="U14122" s="135"/>
    </row>
    <row r="14123" spans="20:21" ht="15" customHeight="1" x14ac:dyDescent="0.25">
      <c r="T14123" s="135"/>
      <c r="U14123" s="135"/>
    </row>
    <row r="14124" spans="20:21" ht="15" customHeight="1" x14ac:dyDescent="0.25">
      <c r="T14124" s="135"/>
      <c r="U14124" s="135"/>
    </row>
    <row r="14125" spans="20:21" ht="15" customHeight="1" x14ac:dyDescent="0.25">
      <c r="T14125" s="135"/>
      <c r="U14125" s="135"/>
    </row>
    <row r="14126" spans="20:21" ht="15" customHeight="1" x14ac:dyDescent="0.25">
      <c r="T14126" s="135"/>
      <c r="U14126" s="135"/>
    </row>
    <row r="14127" spans="20:21" ht="15" customHeight="1" x14ac:dyDescent="0.25">
      <c r="T14127" s="135"/>
      <c r="U14127" s="135"/>
    </row>
    <row r="14128" spans="20:21" ht="15" customHeight="1" x14ac:dyDescent="0.25">
      <c r="T14128" s="135"/>
      <c r="U14128" s="135"/>
    </row>
    <row r="14129" spans="20:21" ht="15" customHeight="1" x14ac:dyDescent="0.25">
      <c r="T14129" s="135"/>
      <c r="U14129" s="135"/>
    </row>
    <row r="14130" spans="20:21" ht="15" customHeight="1" x14ac:dyDescent="0.25">
      <c r="T14130" s="135"/>
      <c r="U14130" s="135"/>
    </row>
    <row r="14131" spans="20:21" ht="15" customHeight="1" x14ac:dyDescent="0.25">
      <c r="T14131" s="135"/>
      <c r="U14131" s="135"/>
    </row>
    <row r="14132" spans="20:21" ht="15" customHeight="1" x14ac:dyDescent="0.25">
      <c r="T14132" s="135"/>
      <c r="U14132" s="135"/>
    </row>
    <row r="14133" spans="20:21" ht="15" customHeight="1" x14ac:dyDescent="0.25">
      <c r="T14133" s="135"/>
      <c r="U14133" s="135"/>
    </row>
    <row r="14134" spans="20:21" ht="15" customHeight="1" x14ac:dyDescent="0.25">
      <c r="T14134" s="135"/>
      <c r="U14134" s="135"/>
    </row>
    <row r="14135" spans="20:21" ht="15" customHeight="1" x14ac:dyDescent="0.25">
      <c r="T14135" s="135"/>
      <c r="U14135" s="135"/>
    </row>
    <row r="14136" spans="20:21" ht="15" customHeight="1" x14ac:dyDescent="0.25">
      <c r="T14136" s="135"/>
      <c r="U14136" s="135"/>
    </row>
    <row r="14137" spans="20:21" ht="15" customHeight="1" x14ac:dyDescent="0.25">
      <c r="T14137" s="135"/>
      <c r="U14137" s="135"/>
    </row>
    <row r="14138" spans="20:21" ht="15" customHeight="1" x14ac:dyDescent="0.25">
      <c r="T14138" s="135"/>
      <c r="U14138" s="135"/>
    </row>
    <row r="14139" spans="20:21" ht="15" customHeight="1" x14ac:dyDescent="0.25">
      <c r="T14139" s="135"/>
      <c r="U14139" s="135"/>
    </row>
    <row r="14140" spans="20:21" ht="15" customHeight="1" x14ac:dyDescent="0.25">
      <c r="T14140" s="135"/>
      <c r="U14140" s="135"/>
    </row>
    <row r="14141" spans="20:21" ht="15" customHeight="1" x14ac:dyDescent="0.25">
      <c r="T14141" s="135"/>
      <c r="U14141" s="135"/>
    </row>
    <row r="14142" spans="20:21" ht="15" customHeight="1" x14ac:dyDescent="0.25">
      <c r="T14142" s="135"/>
      <c r="U14142" s="135"/>
    </row>
    <row r="14143" spans="20:21" ht="15" customHeight="1" x14ac:dyDescent="0.25">
      <c r="T14143" s="135"/>
      <c r="U14143" s="135"/>
    </row>
    <row r="14144" spans="20:21" ht="15" customHeight="1" x14ac:dyDescent="0.25">
      <c r="T14144" s="135"/>
      <c r="U14144" s="135"/>
    </row>
    <row r="14145" spans="20:21" ht="15" customHeight="1" x14ac:dyDescent="0.25">
      <c r="T14145" s="135"/>
      <c r="U14145" s="135"/>
    </row>
    <row r="14146" spans="20:21" ht="15" customHeight="1" x14ac:dyDescent="0.25">
      <c r="T14146" s="135"/>
      <c r="U14146" s="135"/>
    </row>
    <row r="14147" spans="20:21" ht="15" customHeight="1" x14ac:dyDescent="0.25">
      <c r="T14147" s="135"/>
      <c r="U14147" s="135"/>
    </row>
    <row r="14148" spans="20:21" ht="15" customHeight="1" x14ac:dyDescent="0.25">
      <c r="T14148" s="135"/>
      <c r="U14148" s="135"/>
    </row>
    <row r="14149" spans="20:21" ht="15" customHeight="1" x14ac:dyDescent="0.25">
      <c r="T14149" s="135"/>
      <c r="U14149" s="135"/>
    </row>
    <row r="14150" spans="20:21" ht="15" customHeight="1" x14ac:dyDescent="0.25">
      <c r="T14150" s="135"/>
      <c r="U14150" s="135"/>
    </row>
    <row r="14151" spans="20:21" ht="15" customHeight="1" x14ac:dyDescent="0.25">
      <c r="T14151" s="135"/>
      <c r="U14151" s="135"/>
    </row>
    <row r="14152" spans="20:21" ht="15" customHeight="1" x14ac:dyDescent="0.25">
      <c r="T14152" s="135"/>
      <c r="U14152" s="135"/>
    </row>
    <row r="14153" spans="20:21" ht="15" customHeight="1" x14ac:dyDescent="0.25">
      <c r="T14153" s="135"/>
      <c r="U14153" s="135"/>
    </row>
    <row r="14154" spans="20:21" ht="15" customHeight="1" x14ac:dyDescent="0.25">
      <c r="T14154" s="135"/>
      <c r="U14154" s="135"/>
    </row>
    <row r="14155" spans="20:21" ht="15" customHeight="1" x14ac:dyDescent="0.25">
      <c r="T14155" s="135"/>
      <c r="U14155" s="135"/>
    </row>
    <row r="14156" spans="20:21" ht="15" customHeight="1" x14ac:dyDescent="0.25">
      <c r="T14156" s="135"/>
      <c r="U14156" s="135"/>
    </row>
    <row r="14157" spans="20:21" ht="15" customHeight="1" x14ac:dyDescent="0.25">
      <c r="T14157" s="135"/>
      <c r="U14157" s="135"/>
    </row>
    <row r="14158" spans="20:21" ht="15" customHeight="1" x14ac:dyDescent="0.25">
      <c r="T14158" s="135"/>
      <c r="U14158" s="135"/>
    </row>
    <row r="14159" spans="20:21" ht="15" customHeight="1" x14ac:dyDescent="0.25">
      <c r="T14159" s="135"/>
      <c r="U14159" s="135"/>
    </row>
    <row r="14160" spans="20:21" ht="15" customHeight="1" x14ac:dyDescent="0.25">
      <c r="T14160" s="135"/>
      <c r="U14160" s="135"/>
    </row>
    <row r="14161" spans="20:21" ht="15" customHeight="1" x14ac:dyDescent="0.25">
      <c r="T14161" s="135"/>
      <c r="U14161" s="135"/>
    </row>
    <row r="14162" spans="20:21" ht="15" customHeight="1" x14ac:dyDescent="0.25">
      <c r="T14162" s="135"/>
      <c r="U14162" s="135"/>
    </row>
    <row r="14163" spans="20:21" ht="15" customHeight="1" x14ac:dyDescent="0.25">
      <c r="T14163" s="135"/>
      <c r="U14163" s="135"/>
    </row>
    <row r="14164" spans="20:21" ht="15" customHeight="1" x14ac:dyDescent="0.25">
      <c r="T14164" s="135"/>
      <c r="U14164" s="135"/>
    </row>
    <row r="14165" spans="20:21" ht="15" customHeight="1" x14ac:dyDescent="0.25">
      <c r="T14165" s="135"/>
      <c r="U14165" s="135"/>
    </row>
    <row r="14166" spans="20:21" ht="15" customHeight="1" x14ac:dyDescent="0.25">
      <c r="T14166" s="135"/>
      <c r="U14166" s="135"/>
    </row>
    <row r="14167" spans="20:21" ht="15" customHeight="1" x14ac:dyDescent="0.25">
      <c r="T14167" s="135"/>
      <c r="U14167" s="135"/>
    </row>
    <row r="14168" spans="20:21" ht="15" customHeight="1" x14ac:dyDescent="0.25">
      <c r="T14168" s="135"/>
      <c r="U14168" s="135"/>
    </row>
    <row r="14169" spans="20:21" ht="15" customHeight="1" x14ac:dyDescent="0.25">
      <c r="T14169" s="135"/>
      <c r="U14169" s="135"/>
    </row>
    <row r="14170" spans="20:21" ht="15" customHeight="1" x14ac:dyDescent="0.25">
      <c r="T14170" s="135"/>
      <c r="U14170" s="135"/>
    </row>
    <row r="14171" spans="20:21" ht="15" customHeight="1" x14ac:dyDescent="0.25">
      <c r="T14171" s="135"/>
      <c r="U14171" s="135"/>
    </row>
    <row r="14172" spans="20:21" ht="15" customHeight="1" x14ac:dyDescent="0.25">
      <c r="T14172" s="135"/>
      <c r="U14172" s="135"/>
    </row>
    <row r="14173" spans="20:21" ht="15" customHeight="1" x14ac:dyDescent="0.25">
      <c r="T14173" s="135"/>
      <c r="U14173" s="135"/>
    </row>
    <row r="14174" spans="20:21" ht="15" customHeight="1" x14ac:dyDescent="0.25">
      <c r="T14174" s="135"/>
      <c r="U14174" s="135"/>
    </row>
    <row r="14175" spans="20:21" ht="15" customHeight="1" x14ac:dyDescent="0.25">
      <c r="T14175" s="135"/>
      <c r="U14175" s="135"/>
    </row>
    <row r="14176" spans="20:21" ht="15" customHeight="1" x14ac:dyDescent="0.25">
      <c r="T14176" s="135"/>
      <c r="U14176" s="135"/>
    </row>
    <row r="14177" spans="20:21" ht="15" customHeight="1" x14ac:dyDescent="0.25">
      <c r="T14177" s="135"/>
      <c r="U14177" s="135"/>
    </row>
    <row r="14178" spans="20:21" ht="15" customHeight="1" x14ac:dyDescent="0.25">
      <c r="T14178" s="135"/>
      <c r="U14178" s="135"/>
    </row>
    <row r="14179" spans="20:21" ht="15" customHeight="1" x14ac:dyDescent="0.25">
      <c r="T14179" s="135"/>
      <c r="U14179" s="135"/>
    </row>
    <row r="14180" spans="20:21" ht="15" customHeight="1" x14ac:dyDescent="0.25">
      <c r="T14180" s="135"/>
      <c r="U14180" s="135"/>
    </row>
    <row r="14181" spans="20:21" ht="15" customHeight="1" x14ac:dyDescent="0.25">
      <c r="T14181" s="135"/>
      <c r="U14181" s="135"/>
    </row>
    <row r="14182" spans="20:21" ht="15" customHeight="1" x14ac:dyDescent="0.25">
      <c r="T14182" s="135"/>
      <c r="U14182" s="135"/>
    </row>
    <row r="14183" spans="20:21" ht="15" customHeight="1" x14ac:dyDescent="0.25">
      <c r="T14183" s="135"/>
      <c r="U14183" s="135"/>
    </row>
    <row r="14184" spans="20:21" ht="15" customHeight="1" x14ac:dyDescent="0.25">
      <c r="T14184" s="135"/>
      <c r="U14184" s="135"/>
    </row>
    <row r="14185" spans="20:21" ht="15" customHeight="1" x14ac:dyDescent="0.25">
      <c r="T14185" s="135"/>
      <c r="U14185" s="135"/>
    </row>
    <row r="14186" spans="20:21" ht="15" customHeight="1" x14ac:dyDescent="0.25">
      <c r="T14186" s="135"/>
      <c r="U14186" s="135"/>
    </row>
    <row r="14187" spans="20:21" ht="15" customHeight="1" x14ac:dyDescent="0.25">
      <c r="T14187" s="135"/>
      <c r="U14187" s="135"/>
    </row>
    <row r="14188" spans="20:21" ht="15" customHeight="1" x14ac:dyDescent="0.25">
      <c r="T14188" s="135"/>
      <c r="U14188" s="135"/>
    </row>
    <row r="14189" spans="20:21" ht="15" customHeight="1" x14ac:dyDescent="0.25">
      <c r="T14189" s="135"/>
      <c r="U14189" s="135"/>
    </row>
    <row r="14190" spans="20:21" ht="15" customHeight="1" x14ac:dyDescent="0.25">
      <c r="T14190" s="135"/>
      <c r="U14190" s="135"/>
    </row>
    <row r="14191" spans="20:21" ht="15" customHeight="1" x14ac:dyDescent="0.25">
      <c r="T14191" s="135"/>
      <c r="U14191" s="135"/>
    </row>
    <row r="14192" spans="20:21" ht="15" customHeight="1" x14ac:dyDescent="0.25">
      <c r="T14192" s="135"/>
      <c r="U14192" s="135"/>
    </row>
    <row r="14193" spans="20:21" ht="15" customHeight="1" x14ac:dyDescent="0.25">
      <c r="T14193" s="135"/>
      <c r="U14193" s="135"/>
    </row>
    <row r="14194" spans="20:21" ht="15" customHeight="1" x14ac:dyDescent="0.25">
      <c r="T14194" s="135"/>
      <c r="U14194" s="135"/>
    </row>
    <row r="14195" spans="20:21" ht="15" customHeight="1" x14ac:dyDescent="0.25">
      <c r="T14195" s="135"/>
      <c r="U14195" s="135"/>
    </row>
    <row r="14196" spans="20:21" ht="15" customHeight="1" x14ac:dyDescent="0.25">
      <c r="T14196" s="135"/>
      <c r="U14196" s="135"/>
    </row>
    <row r="14197" spans="20:21" ht="15" customHeight="1" x14ac:dyDescent="0.25">
      <c r="T14197" s="135"/>
      <c r="U14197" s="135"/>
    </row>
    <row r="14198" spans="20:21" ht="15" customHeight="1" x14ac:dyDescent="0.25">
      <c r="T14198" s="135"/>
      <c r="U14198" s="135"/>
    </row>
    <row r="14199" spans="20:21" ht="15" customHeight="1" x14ac:dyDescent="0.25">
      <c r="T14199" s="135"/>
      <c r="U14199" s="135"/>
    </row>
    <row r="14200" spans="20:21" ht="15" customHeight="1" x14ac:dyDescent="0.25">
      <c r="T14200" s="135"/>
      <c r="U14200" s="135"/>
    </row>
    <row r="14201" spans="20:21" ht="15" customHeight="1" x14ac:dyDescent="0.25">
      <c r="T14201" s="135"/>
      <c r="U14201" s="135"/>
    </row>
    <row r="14202" spans="20:21" ht="15" customHeight="1" x14ac:dyDescent="0.25">
      <c r="T14202" s="135"/>
      <c r="U14202" s="135"/>
    </row>
    <row r="14203" spans="20:21" ht="15" customHeight="1" x14ac:dyDescent="0.25">
      <c r="T14203" s="135"/>
      <c r="U14203" s="135"/>
    </row>
    <row r="14204" spans="20:21" ht="15" customHeight="1" x14ac:dyDescent="0.25">
      <c r="T14204" s="135"/>
      <c r="U14204" s="135"/>
    </row>
    <row r="14205" spans="20:21" ht="15" customHeight="1" x14ac:dyDescent="0.25">
      <c r="T14205" s="135"/>
      <c r="U14205" s="135"/>
    </row>
    <row r="14206" spans="20:21" ht="15" customHeight="1" x14ac:dyDescent="0.25">
      <c r="T14206" s="135"/>
      <c r="U14206" s="135"/>
    </row>
    <row r="14207" spans="20:21" ht="15" customHeight="1" x14ac:dyDescent="0.25">
      <c r="T14207" s="135"/>
      <c r="U14207" s="135"/>
    </row>
    <row r="14208" spans="20:21" ht="15" customHeight="1" x14ac:dyDescent="0.25">
      <c r="T14208" s="135"/>
      <c r="U14208" s="135"/>
    </row>
    <row r="14209" spans="20:21" ht="15" customHeight="1" x14ac:dyDescent="0.25">
      <c r="T14209" s="135"/>
      <c r="U14209" s="135"/>
    </row>
    <row r="14210" spans="20:21" ht="15" customHeight="1" x14ac:dyDescent="0.25">
      <c r="T14210" s="135"/>
      <c r="U14210" s="135"/>
    </row>
    <row r="14211" spans="20:21" ht="15" customHeight="1" x14ac:dyDescent="0.25">
      <c r="T14211" s="135"/>
      <c r="U14211" s="135"/>
    </row>
    <row r="14212" spans="20:21" ht="15" customHeight="1" x14ac:dyDescent="0.25">
      <c r="T14212" s="135"/>
      <c r="U14212" s="135"/>
    </row>
    <row r="14213" spans="20:21" ht="15" customHeight="1" x14ac:dyDescent="0.25">
      <c r="T14213" s="135"/>
      <c r="U14213" s="135"/>
    </row>
    <row r="14214" spans="20:21" ht="15" customHeight="1" x14ac:dyDescent="0.25">
      <c r="T14214" s="135"/>
      <c r="U14214" s="135"/>
    </row>
    <row r="14215" spans="20:21" ht="15" customHeight="1" x14ac:dyDescent="0.25">
      <c r="T14215" s="135"/>
      <c r="U14215" s="135"/>
    </row>
    <row r="14216" spans="20:21" ht="15" customHeight="1" x14ac:dyDescent="0.25">
      <c r="T14216" s="135"/>
      <c r="U14216" s="135"/>
    </row>
    <row r="14217" spans="20:21" ht="15" customHeight="1" x14ac:dyDescent="0.25">
      <c r="T14217" s="135"/>
      <c r="U14217" s="135"/>
    </row>
    <row r="14218" spans="20:21" ht="15" customHeight="1" x14ac:dyDescent="0.25">
      <c r="T14218" s="135"/>
      <c r="U14218" s="135"/>
    </row>
    <row r="14219" spans="20:21" ht="15" customHeight="1" x14ac:dyDescent="0.25">
      <c r="T14219" s="135"/>
      <c r="U14219" s="135"/>
    </row>
    <row r="14220" spans="20:21" ht="15" customHeight="1" x14ac:dyDescent="0.25">
      <c r="T14220" s="135"/>
      <c r="U14220" s="135"/>
    </row>
    <row r="14221" spans="20:21" ht="15" customHeight="1" x14ac:dyDescent="0.25">
      <c r="T14221" s="135"/>
      <c r="U14221" s="135"/>
    </row>
    <row r="14222" spans="20:21" ht="15" customHeight="1" x14ac:dyDescent="0.25">
      <c r="T14222" s="135"/>
      <c r="U14222" s="135"/>
    </row>
    <row r="14223" spans="20:21" ht="15" customHeight="1" x14ac:dyDescent="0.25">
      <c r="T14223" s="135"/>
      <c r="U14223" s="135"/>
    </row>
    <row r="14224" spans="20:21" ht="15" customHeight="1" x14ac:dyDescent="0.25">
      <c r="T14224" s="135"/>
      <c r="U14224" s="135"/>
    </row>
    <row r="14225" spans="20:21" ht="15" customHeight="1" x14ac:dyDescent="0.25">
      <c r="T14225" s="135"/>
      <c r="U14225" s="135"/>
    </row>
    <row r="14226" spans="20:21" ht="15" customHeight="1" x14ac:dyDescent="0.25">
      <c r="T14226" s="135"/>
      <c r="U14226" s="135"/>
    </row>
    <row r="14227" spans="20:21" ht="15" customHeight="1" x14ac:dyDescent="0.25">
      <c r="T14227" s="135"/>
      <c r="U14227" s="135"/>
    </row>
    <row r="14228" spans="20:21" ht="15" customHeight="1" x14ac:dyDescent="0.25">
      <c r="T14228" s="135"/>
      <c r="U14228" s="135"/>
    </row>
    <row r="14229" spans="20:21" ht="15" customHeight="1" x14ac:dyDescent="0.25">
      <c r="T14229" s="135"/>
      <c r="U14229" s="135"/>
    </row>
    <row r="14230" spans="20:21" ht="15" customHeight="1" x14ac:dyDescent="0.25">
      <c r="T14230" s="135"/>
      <c r="U14230" s="135"/>
    </row>
    <row r="14231" spans="20:21" ht="15" customHeight="1" x14ac:dyDescent="0.25">
      <c r="T14231" s="135"/>
      <c r="U14231" s="135"/>
    </row>
    <row r="14232" spans="20:21" ht="15" customHeight="1" x14ac:dyDescent="0.25">
      <c r="T14232" s="135"/>
      <c r="U14232" s="135"/>
    </row>
    <row r="14233" spans="20:21" ht="15" customHeight="1" x14ac:dyDescent="0.25">
      <c r="T14233" s="135"/>
      <c r="U14233" s="135"/>
    </row>
    <row r="14234" spans="20:21" ht="15" customHeight="1" x14ac:dyDescent="0.25">
      <c r="T14234" s="135"/>
      <c r="U14234" s="135"/>
    </row>
    <row r="14235" spans="20:21" ht="15" customHeight="1" x14ac:dyDescent="0.25">
      <c r="T14235" s="135"/>
      <c r="U14235" s="135"/>
    </row>
    <row r="14236" spans="20:21" ht="15" customHeight="1" x14ac:dyDescent="0.25">
      <c r="T14236" s="135"/>
      <c r="U14236" s="135"/>
    </row>
    <row r="14237" spans="20:21" ht="15" customHeight="1" x14ac:dyDescent="0.25">
      <c r="T14237" s="135"/>
      <c r="U14237" s="135"/>
    </row>
    <row r="14238" spans="20:21" ht="15" customHeight="1" x14ac:dyDescent="0.25">
      <c r="T14238" s="135"/>
      <c r="U14238" s="135"/>
    </row>
    <row r="14239" spans="20:21" ht="15" customHeight="1" x14ac:dyDescent="0.25">
      <c r="T14239" s="135"/>
      <c r="U14239" s="135"/>
    </row>
    <row r="14240" spans="20:21" ht="15" customHeight="1" x14ac:dyDescent="0.25">
      <c r="T14240" s="135"/>
      <c r="U14240" s="135"/>
    </row>
    <row r="14241" spans="20:21" ht="15" customHeight="1" x14ac:dyDescent="0.25">
      <c r="T14241" s="135"/>
      <c r="U14241" s="135"/>
    </row>
    <row r="14242" spans="20:21" ht="15" customHeight="1" x14ac:dyDescent="0.25">
      <c r="T14242" s="135"/>
      <c r="U14242" s="135"/>
    </row>
    <row r="14243" spans="20:21" ht="15" customHeight="1" x14ac:dyDescent="0.25">
      <c r="T14243" s="135"/>
      <c r="U14243" s="135"/>
    </row>
    <row r="14244" spans="20:21" ht="15" customHeight="1" x14ac:dyDescent="0.25">
      <c r="T14244" s="135"/>
      <c r="U14244" s="135"/>
    </row>
    <row r="14245" spans="20:21" ht="15" customHeight="1" x14ac:dyDescent="0.25">
      <c r="T14245" s="135"/>
      <c r="U14245" s="135"/>
    </row>
    <row r="14246" spans="20:21" ht="15" customHeight="1" x14ac:dyDescent="0.25">
      <c r="T14246" s="135"/>
      <c r="U14246" s="135"/>
    </row>
    <row r="14247" spans="20:21" ht="15" customHeight="1" x14ac:dyDescent="0.25">
      <c r="T14247" s="135"/>
      <c r="U14247" s="135"/>
    </row>
    <row r="14248" spans="20:21" ht="15" customHeight="1" x14ac:dyDescent="0.25">
      <c r="T14248" s="135"/>
      <c r="U14248" s="135"/>
    </row>
    <row r="14249" spans="20:21" ht="15" customHeight="1" x14ac:dyDescent="0.25">
      <c r="T14249" s="135"/>
      <c r="U14249" s="135"/>
    </row>
    <row r="14250" spans="20:21" ht="15" customHeight="1" x14ac:dyDescent="0.25">
      <c r="T14250" s="135"/>
      <c r="U14250" s="135"/>
    </row>
    <row r="14251" spans="20:21" ht="15" customHeight="1" x14ac:dyDescent="0.25">
      <c r="T14251" s="135"/>
      <c r="U14251" s="135"/>
    </row>
    <row r="14252" spans="20:21" ht="15" customHeight="1" x14ac:dyDescent="0.25">
      <c r="T14252" s="135"/>
      <c r="U14252" s="135"/>
    </row>
    <row r="14253" spans="20:21" ht="15" customHeight="1" x14ac:dyDescent="0.25">
      <c r="T14253" s="135"/>
      <c r="U14253" s="135"/>
    </row>
    <row r="14254" spans="20:21" ht="15" customHeight="1" x14ac:dyDescent="0.25">
      <c r="T14254" s="135"/>
      <c r="U14254" s="135"/>
    </row>
    <row r="14255" spans="20:21" ht="15" customHeight="1" x14ac:dyDescent="0.25">
      <c r="T14255" s="135"/>
      <c r="U14255" s="135"/>
    </row>
    <row r="14256" spans="20:21" ht="15" customHeight="1" x14ac:dyDescent="0.25">
      <c r="T14256" s="135"/>
      <c r="U14256" s="135"/>
    </row>
    <row r="14257" spans="20:21" ht="15" customHeight="1" x14ac:dyDescent="0.25">
      <c r="T14257" s="135"/>
      <c r="U14257" s="135"/>
    </row>
    <row r="14258" spans="20:21" ht="15" customHeight="1" x14ac:dyDescent="0.25">
      <c r="T14258" s="135"/>
      <c r="U14258" s="135"/>
    </row>
    <row r="14259" spans="20:21" ht="15" customHeight="1" x14ac:dyDescent="0.25">
      <c r="T14259" s="135"/>
      <c r="U14259" s="135"/>
    </row>
    <row r="14260" spans="20:21" ht="15" customHeight="1" x14ac:dyDescent="0.25">
      <c r="T14260" s="135"/>
      <c r="U14260" s="135"/>
    </row>
    <row r="14261" spans="20:21" ht="15" customHeight="1" x14ac:dyDescent="0.25">
      <c r="T14261" s="135"/>
      <c r="U14261" s="135"/>
    </row>
    <row r="14262" spans="20:21" ht="15" customHeight="1" x14ac:dyDescent="0.25">
      <c r="T14262" s="135"/>
      <c r="U14262" s="135"/>
    </row>
    <row r="14263" spans="20:21" ht="15" customHeight="1" x14ac:dyDescent="0.25">
      <c r="T14263" s="135"/>
      <c r="U14263" s="135"/>
    </row>
    <row r="14264" spans="20:21" ht="15" customHeight="1" x14ac:dyDescent="0.25">
      <c r="T14264" s="135"/>
      <c r="U14264" s="135"/>
    </row>
    <row r="14265" spans="20:21" ht="15" customHeight="1" x14ac:dyDescent="0.25">
      <c r="T14265" s="135"/>
      <c r="U14265" s="135"/>
    </row>
    <row r="14266" spans="20:21" ht="15" customHeight="1" x14ac:dyDescent="0.25">
      <c r="T14266" s="135"/>
      <c r="U14266" s="135"/>
    </row>
    <row r="14267" spans="20:21" ht="15" customHeight="1" x14ac:dyDescent="0.25">
      <c r="T14267" s="135"/>
      <c r="U14267" s="135"/>
    </row>
    <row r="14268" spans="20:21" ht="15" customHeight="1" x14ac:dyDescent="0.25">
      <c r="T14268" s="135"/>
      <c r="U14268" s="135"/>
    </row>
    <row r="14269" spans="20:21" ht="15" customHeight="1" x14ac:dyDescent="0.25">
      <c r="T14269" s="135"/>
      <c r="U14269" s="135"/>
    </row>
    <row r="14270" spans="20:21" ht="15" customHeight="1" x14ac:dyDescent="0.25">
      <c r="T14270" s="135"/>
      <c r="U14270" s="135"/>
    </row>
    <row r="14271" spans="20:21" ht="15" customHeight="1" x14ac:dyDescent="0.25">
      <c r="T14271" s="135"/>
      <c r="U14271" s="135"/>
    </row>
    <row r="14272" spans="20:21" ht="15" customHeight="1" x14ac:dyDescent="0.25">
      <c r="T14272" s="135"/>
      <c r="U14272" s="135"/>
    </row>
    <row r="14273" spans="20:21" ht="15" customHeight="1" x14ac:dyDescent="0.25">
      <c r="T14273" s="135"/>
      <c r="U14273" s="135"/>
    </row>
    <row r="14274" spans="20:21" ht="15" customHeight="1" x14ac:dyDescent="0.25">
      <c r="T14274" s="135"/>
      <c r="U14274" s="135"/>
    </row>
    <row r="14275" spans="20:21" ht="15" customHeight="1" x14ac:dyDescent="0.25">
      <c r="T14275" s="135"/>
      <c r="U14275" s="135"/>
    </row>
    <row r="14276" spans="20:21" ht="15" customHeight="1" x14ac:dyDescent="0.25">
      <c r="T14276" s="135"/>
      <c r="U14276" s="135"/>
    </row>
    <row r="14277" spans="20:21" ht="15" customHeight="1" x14ac:dyDescent="0.25">
      <c r="T14277" s="135"/>
      <c r="U14277" s="135"/>
    </row>
    <row r="14278" spans="20:21" ht="15" customHeight="1" x14ac:dyDescent="0.25">
      <c r="T14278" s="135"/>
      <c r="U14278" s="135"/>
    </row>
    <row r="14279" spans="20:21" ht="15" customHeight="1" x14ac:dyDescent="0.25">
      <c r="T14279" s="135"/>
      <c r="U14279" s="135"/>
    </row>
    <row r="14280" spans="20:21" ht="15" customHeight="1" x14ac:dyDescent="0.25">
      <c r="T14280" s="135"/>
      <c r="U14280" s="135"/>
    </row>
    <row r="14281" spans="20:21" ht="15" customHeight="1" x14ac:dyDescent="0.25">
      <c r="T14281" s="135"/>
      <c r="U14281" s="135"/>
    </row>
    <row r="14282" spans="20:21" ht="15" customHeight="1" x14ac:dyDescent="0.25">
      <c r="T14282" s="135"/>
      <c r="U14282" s="135"/>
    </row>
    <row r="14283" spans="20:21" ht="15" customHeight="1" x14ac:dyDescent="0.25">
      <c r="T14283" s="135"/>
      <c r="U14283" s="135"/>
    </row>
    <row r="14284" spans="20:21" ht="15" customHeight="1" x14ac:dyDescent="0.25">
      <c r="T14284" s="135"/>
      <c r="U14284" s="135"/>
    </row>
    <row r="14285" spans="20:21" ht="15" customHeight="1" x14ac:dyDescent="0.25">
      <c r="T14285" s="135"/>
      <c r="U14285" s="135"/>
    </row>
    <row r="14286" spans="20:21" ht="15" customHeight="1" x14ac:dyDescent="0.25">
      <c r="T14286" s="135"/>
      <c r="U14286" s="135"/>
    </row>
    <row r="14287" spans="20:21" ht="15" customHeight="1" x14ac:dyDescent="0.25">
      <c r="T14287" s="135"/>
      <c r="U14287" s="135"/>
    </row>
    <row r="14288" spans="20:21" ht="15" customHeight="1" x14ac:dyDescent="0.25">
      <c r="T14288" s="135"/>
      <c r="U14288" s="135"/>
    </row>
    <row r="14289" spans="20:21" ht="15" customHeight="1" x14ac:dyDescent="0.25">
      <c r="T14289" s="135"/>
      <c r="U14289" s="135"/>
    </row>
    <row r="14290" spans="20:21" ht="15" customHeight="1" x14ac:dyDescent="0.25">
      <c r="T14290" s="135"/>
      <c r="U14290" s="135"/>
    </row>
    <row r="14291" spans="20:21" ht="15" customHeight="1" x14ac:dyDescent="0.25">
      <c r="T14291" s="135"/>
      <c r="U14291" s="135"/>
    </row>
    <row r="14292" spans="20:21" ht="15" customHeight="1" x14ac:dyDescent="0.25">
      <c r="T14292" s="135"/>
      <c r="U14292" s="135"/>
    </row>
    <row r="14293" spans="20:21" ht="15" customHeight="1" x14ac:dyDescent="0.25">
      <c r="T14293" s="135"/>
      <c r="U14293" s="135"/>
    </row>
    <row r="14294" spans="20:21" ht="15" customHeight="1" x14ac:dyDescent="0.25">
      <c r="T14294" s="135"/>
      <c r="U14294" s="135"/>
    </row>
    <row r="14295" spans="20:21" ht="15" customHeight="1" x14ac:dyDescent="0.25">
      <c r="T14295" s="135"/>
      <c r="U14295" s="135"/>
    </row>
    <row r="14296" spans="20:21" ht="15" customHeight="1" x14ac:dyDescent="0.25">
      <c r="T14296" s="135"/>
      <c r="U14296" s="135"/>
    </row>
    <row r="14297" spans="20:21" ht="15" customHeight="1" x14ac:dyDescent="0.25">
      <c r="T14297" s="135"/>
      <c r="U14297" s="135"/>
    </row>
    <row r="14298" spans="20:21" ht="15" customHeight="1" x14ac:dyDescent="0.25">
      <c r="T14298" s="135"/>
      <c r="U14298" s="135"/>
    </row>
    <row r="14299" spans="20:21" ht="15" customHeight="1" x14ac:dyDescent="0.25">
      <c r="T14299" s="135"/>
      <c r="U14299" s="135"/>
    </row>
    <row r="14300" spans="20:21" ht="15" customHeight="1" x14ac:dyDescent="0.25">
      <c r="T14300" s="135"/>
      <c r="U14300" s="135"/>
    </row>
    <row r="14301" spans="20:21" ht="15" customHeight="1" x14ac:dyDescent="0.25">
      <c r="T14301" s="135"/>
      <c r="U14301" s="135"/>
    </row>
    <row r="14302" spans="20:21" ht="15" customHeight="1" x14ac:dyDescent="0.25">
      <c r="T14302" s="135"/>
      <c r="U14302" s="135"/>
    </row>
    <row r="14303" spans="20:21" ht="15" customHeight="1" x14ac:dyDescent="0.25">
      <c r="T14303" s="135"/>
      <c r="U14303" s="135"/>
    </row>
    <row r="14304" spans="20:21" ht="15" customHeight="1" x14ac:dyDescent="0.25">
      <c r="T14304" s="135"/>
      <c r="U14304" s="135"/>
    </row>
    <row r="14305" spans="20:21" ht="15" customHeight="1" x14ac:dyDescent="0.25">
      <c r="T14305" s="135"/>
      <c r="U14305" s="135"/>
    </row>
    <row r="14306" spans="20:21" ht="15" customHeight="1" x14ac:dyDescent="0.25">
      <c r="T14306" s="135"/>
      <c r="U14306" s="135"/>
    </row>
    <row r="14307" spans="20:21" ht="15" customHeight="1" x14ac:dyDescent="0.25">
      <c r="T14307" s="135"/>
      <c r="U14307" s="135"/>
    </row>
    <row r="14308" spans="20:21" ht="15" customHeight="1" x14ac:dyDescent="0.25">
      <c r="T14308" s="135"/>
      <c r="U14308" s="135"/>
    </row>
    <row r="14309" spans="20:21" ht="15" customHeight="1" x14ac:dyDescent="0.25">
      <c r="T14309" s="135"/>
      <c r="U14309" s="135"/>
    </row>
    <row r="14310" spans="20:21" ht="15" customHeight="1" x14ac:dyDescent="0.25">
      <c r="T14310" s="135"/>
      <c r="U14310" s="135"/>
    </row>
    <row r="14311" spans="20:21" ht="15" customHeight="1" x14ac:dyDescent="0.25">
      <c r="T14311" s="135"/>
      <c r="U14311" s="135"/>
    </row>
    <row r="14312" spans="20:21" ht="15" customHeight="1" x14ac:dyDescent="0.25">
      <c r="T14312" s="135"/>
      <c r="U14312" s="135"/>
    </row>
    <row r="14313" spans="20:21" ht="15" customHeight="1" x14ac:dyDescent="0.25">
      <c r="T14313" s="135"/>
      <c r="U14313" s="135"/>
    </row>
    <row r="14314" spans="20:21" ht="15" customHeight="1" x14ac:dyDescent="0.25">
      <c r="T14314" s="135"/>
      <c r="U14314" s="135"/>
    </row>
    <row r="14315" spans="20:21" ht="15" customHeight="1" x14ac:dyDescent="0.25">
      <c r="T14315" s="135"/>
      <c r="U14315" s="135"/>
    </row>
    <row r="14316" spans="20:21" ht="15" customHeight="1" x14ac:dyDescent="0.25">
      <c r="T14316" s="135"/>
      <c r="U14316" s="135"/>
    </row>
    <row r="14317" spans="20:21" ht="15" customHeight="1" x14ac:dyDescent="0.25">
      <c r="T14317" s="135"/>
      <c r="U14317" s="135"/>
    </row>
    <row r="14318" spans="20:21" ht="15" customHeight="1" x14ac:dyDescent="0.25">
      <c r="T14318" s="135"/>
      <c r="U14318" s="135"/>
    </row>
    <row r="14319" spans="20:21" ht="15" customHeight="1" x14ac:dyDescent="0.25">
      <c r="T14319" s="135"/>
      <c r="U14319" s="135"/>
    </row>
    <row r="14320" spans="20:21" ht="15" customHeight="1" x14ac:dyDescent="0.25">
      <c r="T14320" s="135"/>
      <c r="U14320" s="135"/>
    </row>
    <row r="14321" spans="20:21" ht="15" customHeight="1" x14ac:dyDescent="0.25">
      <c r="T14321" s="135"/>
      <c r="U14321" s="135"/>
    </row>
    <row r="14322" spans="20:21" ht="15" customHeight="1" x14ac:dyDescent="0.25">
      <c r="T14322" s="135"/>
      <c r="U14322" s="135"/>
    </row>
    <row r="14323" spans="20:21" ht="15" customHeight="1" x14ac:dyDescent="0.25">
      <c r="T14323" s="135"/>
      <c r="U14323" s="135"/>
    </row>
    <row r="14324" spans="20:21" ht="15" customHeight="1" x14ac:dyDescent="0.25">
      <c r="T14324" s="135"/>
      <c r="U14324" s="135"/>
    </row>
    <row r="14325" spans="20:21" ht="15" customHeight="1" x14ac:dyDescent="0.25">
      <c r="T14325" s="135"/>
      <c r="U14325" s="135"/>
    </row>
    <row r="14326" spans="20:21" ht="15" customHeight="1" x14ac:dyDescent="0.25">
      <c r="T14326" s="135"/>
      <c r="U14326" s="135"/>
    </row>
    <row r="14327" spans="20:21" ht="15" customHeight="1" x14ac:dyDescent="0.25">
      <c r="T14327" s="135"/>
      <c r="U14327" s="135"/>
    </row>
    <row r="14328" spans="20:21" ht="15" customHeight="1" x14ac:dyDescent="0.25">
      <c r="T14328" s="135"/>
      <c r="U14328" s="135"/>
    </row>
    <row r="14329" spans="20:21" ht="15" customHeight="1" x14ac:dyDescent="0.25">
      <c r="T14329" s="135"/>
      <c r="U14329" s="135"/>
    </row>
    <row r="14330" spans="20:21" ht="15" customHeight="1" x14ac:dyDescent="0.25">
      <c r="T14330" s="135"/>
      <c r="U14330" s="135"/>
    </row>
    <row r="14331" spans="20:21" ht="15" customHeight="1" x14ac:dyDescent="0.25">
      <c r="T14331" s="135"/>
      <c r="U14331" s="135"/>
    </row>
    <row r="14332" spans="20:21" ht="15" customHeight="1" x14ac:dyDescent="0.25">
      <c r="T14332" s="135"/>
      <c r="U14332" s="135"/>
    </row>
    <row r="14333" spans="20:21" ht="15" customHeight="1" x14ac:dyDescent="0.25">
      <c r="T14333" s="135"/>
      <c r="U14333" s="135"/>
    </row>
    <row r="14334" spans="20:21" ht="15" customHeight="1" x14ac:dyDescent="0.25">
      <c r="T14334" s="135"/>
      <c r="U14334" s="135"/>
    </row>
    <row r="14335" spans="20:21" ht="15" customHeight="1" x14ac:dyDescent="0.25">
      <c r="T14335" s="135"/>
      <c r="U14335" s="135"/>
    </row>
    <row r="14336" spans="20:21" ht="15" customHeight="1" x14ac:dyDescent="0.25">
      <c r="T14336" s="135"/>
      <c r="U14336" s="135"/>
    </row>
    <row r="14337" spans="20:21" ht="15" customHeight="1" x14ac:dyDescent="0.25">
      <c r="T14337" s="135"/>
      <c r="U14337" s="135"/>
    </row>
    <row r="14338" spans="20:21" ht="15" customHeight="1" x14ac:dyDescent="0.25">
      <c r="T14338" s="135"/>
      <c r="U14338" s="135"/>
    </row>
    <row r="14339" spans="20:21" ht="15" customHeight="1" x14ac:dyDescent="0.25">
      <c r="T14339" s="135"/>
      <c r="U14339" s="135"/>
    </row>
    <row r="14340" spans="20:21" ht="15" customHeight="1" x14ac:dyDescent="0.25">
      <c r="T14340" s="135"/>
      <c r="U14340" s="135"/>
    </row>
    <row r="14341" spans="20:21" ht="15" customHeight="1" x14ac:dyDescent="0.25">
      <c r="T14341" s="135"/>
      <c r="U14341" s="135"/>
    </row>
    <row r="14342" spans="20:21" ht="15" customHeight="1" x14ac:dyDescent="0.25">
      <c r="T14342" s="135"/>
      <c r="U14342" s="135"/>
    </row>
    <row r="14343" spans="20:21" ht="15" customHeight="1" x14ac:dyDescent="0.25">
      <c r="T14343" s="135"/>
      <c r="U14343" s="135"/>
    </row>
    <row r="14344" spans="20:21" ht="15" customHeight="1" x14ac:dyDescent="0.25">
      <c r="T14344" s="135"/>
      <c r="U14344" s="135"/>
    </row>
    <row r="14345" spans="20:21" ht="15" customHeight="1" x14ac:dyDescent="0.25">
      <c r="T14345" s="135"/>
      <c r="U14345" s="135"/>
    </row>
    <row r="14346" spans="20:21" ht="15" customHeight="1" x14ac:dyDescent="0.25">
      <c r="T14346" s="135"/>
      <c r="U14346" s="135"/>
    </row>
    <row r="14347" spans="20:21" ht="15" customHeight="1" x14ac:dyDescent="0.25">
      <c r="T14347" s="135"/>
      <c r="U14347" s="135"/>
    </row>
    <row r="14348" spans="20:21" ht="15" customHeight="1" x14ac:dyDescent="0.25">
      <c r="T14348" s="135"/>
      <c r="U14348" s="135"/>
    </row>
    <row r="14349" spans="20:21" ht="15" customHeight="1" x14ac:dyDescent="0.25">
      <c r="T14349" s="135"/>
      <c r="U14349" s="135"/>
    </row>
    <row r="14350" spans="20:21" ht="15" customHeight="1" x14ac:dyDescent="0.25">
      <c r="T14350" s="135"/>
      <c r="U14350" s="135"/>
    </row>
    <row r="14351" spans="20:21" ht="15" customHeight="1" x14ac:dyDescent="0.25">
      <c r="T14351" s="135"/>
      <c r="U14351" s="135"/>
    </row>
    <row r="14352" spans="20:21" ht="15" customHeight="1" x14ac:dyDescent="0.25">
      <c r="T14352" s="135"/>
      <c r="U14352" s="135"/>
    </row>
    <row r="14353" spans="20:21" ht="15" customHeight="1" x14ac:dyDescent="0.25">
      <c r="T14353" s="135"/>
      <c r="U14353" s="135"/>
    </row>
    <row r="14354" spans="20:21" ht="15" customHeight="1" x14ac:dyDescent="0.25">
      <c r="T14354" s="135"/>
      <c r="U14354" s="135"/>
    </row>
    <row r="14355" spans="20:21" ht="15" customHeight="1" x14ac:dyDescent="0.25">
      <c r="T14355" s="135"/>
      <c r="U14355" s="135"/>
    </row>
    <row r="14356" spans="20:21" ht="15" customHeight="1" x14ac:dyDescent="0.25">
      <c r="T14356" s="135"/>
      <c r="U14356" s="135"/>
    </row>
    <row r="14357" spans="20:21" ht="15" customHeight="1" x14ac:dyDescent="0.25">
      <c r="T14357" s="135"/>
      <c r="U14357" s="135"/>
    </row>
    <row r="14358" spans="20:21" ht="15" customHeight="1" x14ac:dyDescent="0.25">
      <c r="T14358" s="135"/>
      <c r="U14358" s="135"/>
    </row>
    <row r="14359" spans="20:21" ht="15" customHeight="1" x14ac:dyDescent="0.25">
      <c r="T14359" s="135"/>
      <c r="U14359" s="135"/>
    </row>
    <row r="14360" spans="20:21" ht="15" customHeight="1" x14ac:dyDescent="0.25">
      <c r="T14360" s="135"/>
      <c r="U14360" s="135"/>
    </row>
    <row r="14361" spans="20:21" ht="15" customHeight="1" x14ac:dyDescent="0.25">
      <c r="T14361" s="135"/>
      <c r="U14361" s="135"/>
    </row>
    <row r="14362" spans="20:21" ht="15" customHeight="1" x14ac:dyDescent="0.25">
      <c r="T14362" s="135"/>
      <c r="U14362" s="135"/>
    </row>
    <row r="14363" spans="20:21" ht="15" customHeight="1" x14ac:dyDescent="0.25">
      <c r="T14363" s="135"/>
      <c r="U14363" s="135"/>
    </row>
    <row r="14364" spans="20:21" ht="15" customHeight="1" x14ac:dyDescent="0.25">
      <c r="T14364" s="135"/>
      <c r="U14364" s="135"/>
    </row>
    <row r="14365" spans="20:21" ht="15" customHeight="1" x14ac:dyDescent="0.25">
      <c r="T14365" s="135"/>
      <c r="U14365" s="135"/>
    </row>
    <row r="14366" spans="20:21" ht="15" customHeight="1" x14ac:dyDescent="0.25">
      <c r="T14366" s="135"/>
      <c r="U14366" s="135"/>
    </row>
    <row r="14367" spans="20:21" ht="15" customHeight="1" x14ac:dyDescent="0.25">
      <c r="T14367" s="135"/>
      <c r="U14367" s="135"/>
    </row>
    <row r="14368" spans="20:21" ht="15" customHeight="1" x14ac:dyDescent="0.25">
      <c r="T14368" s="135"/>
      <c r="U14368" s="135"/>
    </row>
    <row r="14369" spans="20:21" ht="15" customHeight="1" x14ac:dyDescent="0.25">
      <c r="T14369" s="135"/>
      <c r="U14369" s="135"/>
    </row>
    <row r="14370" spans="20:21" ht="15" customHeight="1" x14ac:dyDescent="0.25">
      <c r="T14370" s="135"/>
      <c r="U14370" s="135"/>
    </row>
    <row r="14371" spans="20:21" ht="15" customHeight="1" x14ac:dyDescent="0.25">
      <c r="T14371" s="135"/>
      <c r="U14371" s="135"/>
    </row>
    <row r="14372" spans="20:21" ht="15" customHeight="1" x14ac:dyDescent="0.25">
      <c r="T14372" s="135"/>
      <c r="U14372" s="135"/>
    </row>
    <row r="14373" spans="20:21" ht="15" customHeight="1" x14ac:dyDescent="0.25">
      <c r="T14373" s="135"/>
      <c r="U14373" s="135"/>
    </row>
    <row r="14374" spans="20:21" ht="15" customHeight="1" x14ac:dyDescent="0.25">
      <c r="T14374" s="135"/>
      <c r="U14374" s="135"/>
    </row>
    <row r="14375" spans="20:21" ht="15" customHeight="1" x14ac:dyDescent="0.25">
      <c r="T14375" s="135"/>
      <c r="U14375" s="135"/>
    </row>
    <row r="14376" spans="20:21" ht="15" customHeight="1" x14ac:dyDescent="0.25">
      <c r="T14376" s="135"/>
      <c r="U14376" s="135"/>
    </row>
    <row r="14377" spans="20:21" ht="15" customHeight="1" x14ac:dyDescent="0.25">
      <c r="T14377" s="135"/>
      <c r="U14377" s="135"/>
    </row>
    <row r="14378" spans="20:21" ht="15" customHeight="1" x14ac:dyDescent="0.25">
      <c r="T14378" s="135"/>
      <c r="U14378" s="135"/>
    </row>
    <row r="14379" spans="20:21" ht="15" customHeight="1" x14ac:dyDescent="0.25">
      <c r="T14379" s="135"/>
      <c r="U14379" s="135"/>
    </row>
    <row r="14380" spans="20:21" ht="15" customHeight="1" x14ac:dyDescent="0.25">
      <c r="T14380" s="135"/>
      <c r="U14380" s="135"/>
    </row>
    <row r="14381" spans="20:21" ht="15" customHeight="1" x14ac:dyDescent="0.25">
      <c r="T14381" s="135"/>
      <c r="U14381" s="135"/>
    </row>
    <row r="14382" spans="20:21" ht="15" customHeight="1" x14ac:dyDescent="0.25">
      <c r="T14382" s="135"/>
      <c r="U14382" s="135"/>
    </row>
    <row r="14383" spans="20:21" ht="15" customHeight="1" x14ac:dyDescent="0.25">
      <c r="T14383" s="135"/>
      <c r="U14383" s="135"/>
    </row>
    <row r="14384" spans="20:21" ht="15" customHeight="1" x14ac:dyDescent="0.25">
      <c r="T14384" s="135"/>
      <c r="U14384" s="135"/>
    </row>
    <row r="14385" spans="20:21" ht="15" customHeight="1" x14ac:dyDescent="0.25">
      <c r="T14385" s="135"/>
      <c r="U14385" s="135"/>
    </row>
    <row r="14386" spans="20:21" ht="15" customHeight="1" x14ac:dyDescent="0.25">
      <c r="T14386" s="135"/>
      <c r="U14386" s="135"/>
    </row>
    <row r="14387" spans="20:21" ht="15" customHeight="1" x14ac:dyDescent="0.25">
      <c r="T14387" s="135"/>
      <c r="U14387" s="135"/>
    </row>
    <row r="14388" spans="20:21" ht="15" customHeight="1" x14ac:dyDescent="0.25">
      <c r="T14388" s="135"/>
      <c r="U14388" s="135"/>
    </row>
    <row r="14389" spans="20:21" ht="15" customHeight="1" x14ac:dyDescent="0.25">
      <c r="T14389" s="135"/>
      <c r="U14389" s="135"/>
    </row>
    <row r="14390" spans="20:21" ht="15" customHeight="1" x14ac:dyDescent="0.25">
      <c r="T14390" s="135"/>
      <c r="U14390" s="135"/>
    </row>
    <row r="14391" spans="20:21" ht="15" customHeight="1" x14ac:dyDescent="0.25">
      <c r="T14391" s="135"/>
      <c r="U14391" s="135"/>
    </row>
    <row r="14392" spans="20:21" ht="15" customHeight="1" x14ac:dyDescent="0.25">
      <c r="T14392" s="135"/>
      <c r="U14392" s="135"/>
    </row>
    <row r="14393" spans="20:21" ht="15" customHeight="1" x14ac:dyDescent="0.25">
      <c r="T14393" s="135"/>
      <c r="U14393" s="135"/>
    </row>
    <row r="14394" spans="20:21" ht="15" customHeight="1" x14ac:dyDescent="0.25">
      <c r="T14394" s="135"/>
      <c r="U14394" s="135"/>
    </row>
    <row r="14395" spans="20:21" ht="15" customHeight="1" x14ac:dyDescent="0.25">
      <c r="T14395" s="135"/>
      <c r="U14395" s="135"/>
    </row>
    <row r="14396" spans="20:21" ht="15" customHeight="1" x14ac:dyDescent="0.25">
      <c r="T14396" s="135"/>
      <c r="U14396" s="135"/>
    </row>
    <row r="14397" spans="20:21" ht="15" customHeight="1" x14ac:dyDescent="0.25">
      <c r="T14397" s="135"/>
      <c r="U14397" s="135"/>
    </row>
    <row r="14398" spans="20:21" ht="15" customHeight="1" x14ac:dyDescent="0.25">
      <c r="T14398" s="135"/>
      <c r="U14398" s="135"/>
    </row>
    <row r="14399" spans="20:21" ht="15" customHeight="1" x14ac:dyDescent="0.25">
      <c r="T14399" s="135"/>
      <c r="U14399" s="135"/>
    </row>
    <row r="14400" spans="20:21" ht="15" customHeight="1" x14ac:dyDescent="0.25">
      <c r="T14400" s="135"/>
      <c r="U14400" s="135"/>
    </row>
    <row r="14401" spans="20:21" ht="15" customHeight="1" x14ac:dyDescent="0.25">
      <c r="T14401" s="135"/>
      <c r="U14401" s="135"/>
    </row>
    <row r="14402" spans="20:21" ht="15" customHeight="1" x14ac:dyDescent="0.25">
      <c r="T14402" s="135"/>
      <c r="U14402" s="135"/>
    </row>
    <row r="14403" spans="20:21" ht="15" customHeight="1" x14ac:dyDescent="0.25">
      <c r="T14403" s="135"/>
      <c r="U14403" s="135"/>
    </row>
    <row r="14404" spans="20:21" ht="15" customHeight="1" x14ac:dyDescent="0.25">
      <c r="T14404" s="135"/>
      <c r="U14404" s="135"/>
    </row>
    <row r="14405" spans="20:21" ht="15" customHeight="1" x14ac:dyDescent="0.25">
      <c r="T14405" s="135"/>
      <c r="U14405" s="135"/>
    </row>
    <row r="14406" spans="20:21" ht="15" customHeight="1" x14ac:dyDescent="0.25">
      <c r="T14406" s="135"/>
      <c r="U14406" s="135"/>
    </row>
    <row r="14407" spans="20:21" ht="15" customHeight="1" x14ac:dyDescent="0.25">
      <c r="T14407" s="135"/>
      <c r="U14407" s="135"/>
    </row>
    <row r="14408" spans="20:21" ht="15" customHeight="1" x14ac:dyDescent="0.25">
      <c r="T14408" s="135"/>
      <c r="U14408" s="135"/>
    </row>
    <row r="14409" spans="20:21" ht="15" customHeight="1" x14ac:dyDescent="0.25">
      <c r="T14409" s="135"/>
      <c r="U14409" s="135"/>
    </row>
    <row r="14410" spans="20:21" ht="15" customHeight="1" x14ac:dyDescent="0.25">
      <c r="T14410" s="135"/>
      <c r="U14410" s="135"/>
    </row>
    <row r="14411" spans="20:21" ht="15" customHeight="1" x14ac:dyDescent="0.25">
      <c r="T14411" s="135"/>
      <c r="U14411" s="135"/>
    </row>
    <row r="14412" spans="20:21" ht="15" customHeight="1" x14ac:dyDescent="0.25">
      <c r="T14412" s="135"/>
      <c r="U14412" s="135"/>
    </row>
    <row r="14413" spans="20:21" ht="15" customHeight="1" x14ac:dyDescent="0.25">
      <c r="T14413" s="135"/>
      <c r="U14413" s="135"/>
    </row>
    <row r="14414" spans="20:21" ht="15" customHeight="1" x14ac:dyDescent="0.25">
      <c r="T14414" s="135"/>
      <c r="U14414" s="135"/>
    </row>
    <row r="14415" spans="20:21" ht="15" customHeight="1" x14ac:dyDescent="0.25">
      <c r="T14415" s="135"/>
      <c r="U14415" s="135"/>
    </row>
    <row r="14416" spans="20:21" ht="15" customHeight="1" x14ac:dyDescent="0.25">
      <c r="T14416" s="135"/>
      <c r="U14416" s="135"/>
    </row>
    <row r="14417" spans="20:21" ht="15" customHeight="1" x14ac:dyDescent="0.25">
      <c r="T14417" s="135"/>
      <c r="U14417" s="135"/>
    </row>
    <row r="14418" spans="20:21" ht="15" customHeight="1" x14ac:dyDescent="0.25">
      <c r="T14418" s="135"/>
      <c r="U14418" s="135"/>
    </row>
    <row r="14419" spans="20:21" ht="15" customHeight="1" x14ac:dyDescent="0.25">
      <c r="T14419" s="135"/>
      <c r="U14419" s="135"/>
    </row>
    <row r="14420" spans="20:21" ht="15" customHeight="1" x14ac:dyDescent="0.25">
      <c r="T14420" s="135"/>
      <c r="U14420" s="135"/>
    </row>
    <row r="14421" spans="20:21" ht="15" customHeight="1" x14ac:dyDescent="0.25">
      <c r="T14421" s="135"/>
      <c r="U14421" s="135"/>
    </row>
    <row r="14422" spans="20:21" ht="15" customHeight="1" x14ac:dyDescent="0.25">
      <c r="T14422" s="135"/>
      <c r="U14422" s="135"/>
    </row>
    <row r="14423" spans="20:21" ht="15" customHeight="1" x14ac:dyDescent="0.25">
      <c r="T14423" s="135"/>
      <c r="U14423" s="135"/>
    </row>
    <row r="14424" spans="20:21" ht="15" customHeight="1" x14ac:dyDescent="0.25">
      <c r="T14424" s="135"/>
      <c r="U14424" s="135"/>
    </row>
    <row r="14425" spans="20:21" ht="15" customHeight="1" x14ac:dyDescent="0.25">
      <c r="T14425" s="135"/>
      <c r="U14425" s="135"/>
    </row>
    <row r="14426" spans="20:21" ht="15" customHeight="1" x14ac:dyDescent="0.25">
      <c r="T14426" s="135"/>
      <c r="U14426" s="135"/>
    </row>
    <row r="14427" spans="20:21" ht="15" customHeight="1" x14ac:dyDescent="0.25">
      <c r="T14427" s="135"/>
      <c r="U14427" s="135"/>
    </row>
    <row r="14428" spans="20:21" ht="15" customHeight="1" x14ac:dyDescent="0.25">
      <c r="T14428" s="135"/>
      <c r="U14428" s="135"/>
    </row>
    <row r="14429" spans="20:21" ht="15" customHeight="1" x14ac:dyDescent="0.25">
      <c r="T14429" s="135"/>
      <c r="U14429" s="135"/>
    </row>
    <row r="14430" spans="20:21" ht="15" customHeight="1" x14ac:dyDescent="0.25">
      <c r="T14430" s="135"/>
      <c r="U14430" s="135"/>
    </row>
    <row r="14431" spans="20:21" ht="15" customHeight="1" x14ac:dyDescent="0.25">
      <c r="T14431" s="135"/>
      <c r="U14431" s="135"/>
    </row>
    <row r="14432" spans="20:21" ht="15" customHeight="1" x14ac:dyDescent="0.25">
      <c r="T14432" s="135"/>
      <c r="U14432" s="135"/>
    </row>
    <row r="14433" spans="20:21" ht="15" customHeight="1" x14ac:dyDescent="0.25">
      <c r="T14433" s="135"/>
      <c r="U14433" s="135"/>
    </row>
    <row r="14434" spans="20:21" ht="15" customHeight="1" x14ac:dyDescent="0.25">
      <c r="T14434" s="135"/>
      <c r="U14434" s="135"/>
    </row>
    <row r="14435" spans="20:21" ht="15" customHeight="1" x14ac:dyDescent="0.25">
      <c r="T14435" s="135"/>
      <c r="U14435" s="135"/>
    </row>
    <row r="14436" spans="20:21" ht="15" customHeight="1" x14ac:dyDescent="0.25">
      <c r="T14436" s="135"/>
      <c r="U14436" s="135"/>
    </row>
    <row r="14437" spans="20:21" ht="15" customHeight="1" x14ac:dyDescent="0.25">
      <c r="T14437" s="135"/>
      <c r="U14437" s="135"/>
    </row>
    <row r="14438" spans="20:21" ht="15" customHeight="1" x14ac:dyDescent="0.25">
      <c r="T14438" s="135"/>
      <c r="U14438" s="135"/>
    </row>
    <row r="14439" spans="20:21" ht="15" customHeight="1" x14ac:dyDescent="0.25">
      <c r="T14439" s="135"/>
      <c r="U14439" s="135"/>
    </row>
    <row r="14440" spans="20:21" ht="15" customHeight="1" x14ac:dyDescent="0.25">
      <c r="T14440" s="135"/>
      <c r="U14440" s="135"/>
    </row>
    <row r="14441" spans="20:21" ht="15" customHeight="1" x14ac:dyDescent="0.25">
      <c r="T14441" s="135"/>
      <c r="U14441" s="135"/>
    </row>
    <row r="14442" spans="20:21" ht="15" customHeight="1" x14ac:dyDescent="0.25">
      <c r="T14442" s="135"/>
      <c r="U14442" s="135"/>
    </row>
    <row r="14443" spans="20:21" ht="15" customHeight="1" x14ac:dyDescent="0.25">
      <c r="T14443" s="135"/>
      <c r="U14443" s="135"/>
    </row>
    <row r="14444" spans="20:21" ht="15" customHeight="1" x14ac:dyDescent="0.25">
      <c r="T14444" s="135"/>
      <c r="U14444" s="135"/>
    </row>
    <row r="14445" spans="20:21" ht="15" customHeight="1" x14ac:dyDescent="0.25">
      <c r="T14445" s="135"/>
      <c r="U14445" s="135"/>
    </row>
    <row r="14446" spans="20:21" ht="15" customHeight="1" x14ac:dyDescent="0.25">
      <c r="T14446" s="135"/>
      <c r="U14446" s="135"/>
    </row>
    <row r="14447" spans="20:21" ht="15" customHeight="1" x14ac:dyDescent="0.25">
      <c r="T14447" s="135"/>
      <c r="U14447" s="135"/>
    </row>
    <row r="14448" spans="20:21" ht="15" customHeight="1" x14ac:dyDescent="0.25">
      <c r="T14448" s="135"/>
      <c r="U14448" s="135"/>
    </row>
    <row r="14449" spans="20:21" ht="15" customHeight="1" x14ac:dyDescent="0.25">
      <c r="T14449" s="135"/>
      <c r="U14449" s="135"/>
    </row>
    <row r="14450" spans="20:21" ht="15" customHeight="1" x14ac:dyDescent="0.25">
      <c r="T14450" s="135"/>
      <c r="U14450" s="135"/>
    </row>
    <row r="14451" spans="20:21" ht="15" customHeight="1" x14ac:dyDescent="0.25">
      <c r="T14451" s="135"/>
      <c r="U14451" s="135"/>
    </row>
    <row r="14452" spans="20:21" ht="15" customHeight="1" x14ac:dyDescent="0.25">
      <c r="T14452" s="135"/>
      <c r="U14452" s="135"/>
    </row>
    <row r="14453" spans="20:21" ht="15" customHeight="1" x14ac:dyDescent="0.25">
      <c r="T14453" s="135"/>
      <c r="U14453" s="135"/>
    </row>
    <row r="14454" spans="20:21" ht="15" customHeight="1" x14ac:dyDescent="0.25">
      <c r="T14454" s="135"/>
      <c r="U14454" s="135"/>
    </row>
    <row r="14455" spans="20:21" ht="15" customHeight="1" x14ac:dyDescent="0.25">
      <c r="T14455" s="135"/>
      <c r="U14455" s="135"/>
    </row>
    <row r="14456" spans="20:21" ht="15" customHeight="1" x14ac:dyDescent="0.25">
      <c r="T14456" s="135"/>
      <c r="U14456" s="135"/>
    </row>
    <row r="14457" spans="20:21" ht="15" customHeight="1" x14ac:dyDescent="0.25">
      <c r="T14457" s="135"/>
      <c r="U14457" s="135"/>
    </row>
    <row r="14458" spans="20:21" ht="15" customHeight="1" x14ac:dyDescent="0.25">
      <c r="T14458" s="135"/>
      <c r="U14458" s="135"/>
    </row>
    <row r="14459" spans="20:21" ht="15" customHeight="1" x14ac:dyDescent="0.25">
      <c r="T14459" s="135"/>
      <c r="U14459" s="135"/>
    </row>
    <row r="14460" spans="20:21" ht="15" customHeight="1" x14ac:dyDescent="0.25">
      <c r="T14460" s="135"/>
      <c r="U14460" s="135"/>
    </row>
    <row r="14461" spans="20:21" ht="15" customHeight="1" x14ac:dyDescent="0.25">
      <c r="T14461" s="135"/>
      <c r="U14461" s="135"/>
    </row>
    <row r="14462" spans="20:21" ht="15" customHeight="1" x14ac:dyDescent="0.25">
      <c r="T14462" s="135"/>
      <c r="U14462" s="135"/>
    </row>
    <row r="14463" spans="20:21" ht="15" customHeight="1" x14ac:dyDescent="0.25">
      <c r="T14463" s="135"/>
      <c r="U14463" s="135"/>
    </row>
    <row r="14464" spans="20:21" ht="15" customHeight="1" x14ac:dyDescent="0.25">
      <c r="T14464" s="135"/>
      <c r="U14464" s="135"/>
    </row>
    <row r="14465" spans="20:21" ht="15" customHeight="1" x14ac:dyDescent="0.25">
      <c r="T14465" s="135"/>
      <c r="U14465" s="135"/>
    </row>
    <row r="14466" spans="20:21" ht="15" customHeight="1" x14ac:dyDescent="0.25">
      <c r="T14466" s="135"/>
      <c r="U14466" s="135"/>
    </row>
    <row r="14467" spans="20:21" ht="15" customHeight="1" x14ac:dyDescent="0.25">
      <c r="T14467" s="135"/>
      <c r="U14467" s="135"/>
    </row>
    <row r="14468" spans="20:21" ht="15" customHeight="1" x14ac:dyDescent="0.25">
      <c r="T14468" s="135"/>
      <c r="U14468" s="135"/>
    </row>
    <row r="14469" spans="20:21" ht="15" customHeight="1" x14ac:dyDescent="0.25">
      <c r="T14469" s="135"/>
      <c r="U14469" s="135"/>
    </row>
    <row r="14470" spans="20:21" ht="15" customHeight="1" x14ac:dyDescent="0.25">
      <c r="T14470" s="135"/>
      <c r="U14470" s="135"/>
    </row>
    <row r="14471" spans="20:21" ht="15" customHeight="1" x14ac:dyDescent="0.25">
      <c r="T14471" s="135"/>
      <c r="U14471" s="135"/>
    </row>
    <row r="14472" spans="20:21" ht="15" customHeight="1" x14ac:dyDescent="0.25">
      <c r="T14472" s="135"/>
      <c r="U14472" s="135"/>
    </row>
    <row r="14473" spans="20:21" ht="15" customHeight="1" x14ac:dyDescent="0.25">
      <c r="T14473" s="135"/>
      <c r="U14473" s="135"/>
    </row>
    <row r="14474" spans="20:21" ht="15" customHeight="1" x14ac:dyDescent="0.25">
      <c r="T14474" s="135"/>
      <c r="U14474" s="135"/>
    </row>
    <row r="14475" spans="20:21" ht="15" customHeight="1" x14ac:dyDescent="0.25">
      <c r="T14475" s="135"/>
      <c r="U14475" s="135"/>
    </row>
    <row r="14476" spans="20:21" ht="15" customHeight="1" x14ac:dyDescent="0.25">
      <c r="T14476" s="135"/>
      <c r="U14476" s="135"/>
    </row>
    <row r="14477" spans="20:21" ht="15" customHeight="1" x14ac:dyDescent="0.25">
      <c r="T14477" s="135"/>
      <c r="U14477" s="135"/>
    </row>
    <row r="14478" spans="20:21" ht="15" customHeight="1" x14ac:dyDescent="0.25">
      <c r="T14478" s="135"/>
      <c r="U14478" s="135"/>
    </row>
    <row r="14479" spans="20:21" ht="15" customHeight="1" x14ac:dyDescent="0.25">
      <c r="T14479" s="135"/>
      <c r="U14479" s="135"/>
    </row>
    <row r="14480" spans="20:21" ht="15" customHeight="1" x14ac:dyDescent="0.25">
      <c r="T14480" s="135"/>
      <c r="U14480" s="135"/>
    </row>
    <row r="14481" spans="20:21" ht="15" customHeight="1" x14ac:dyDescent="0.25">
      <c r="T14481" s="135"/>
      <c r="U14481" s="135"/>
    </row>
    <row r="14482" spans="20:21" ht="15" customHeight="1" x14ac:dyDescent="0.25">
      <c r="T14482" s="135"/>
      <c r="U14482" s="135"/>
    </row>
    <row r="14483" spans="20:21" ht="15" customHeight="1" x14ac:dyDescent="0.25">
      <c r="T14483" s="135"/>
      <c r="U14483" s="135"/>
    </row>
    <row r="14484" spans="20:21" ht="15" customHeight="1" x14ac:dyDescent="0.25">
      <c r="T14484" s="135"/>
      <c r="U14484" s="135"/>
    </row>
    <row r="14485" spans="20:21" ht="15" customHeight="1" x14ac:dyDescent="0.25">
      <c r="T14485" s="135"/>
      <c r="U14485" s="135"/>
    </row>
    <row r="14486" spans="20:21" ht="15" customHeight="1" x14ac:dyDescent="0.25">
      <c r="T14486" s="135"/>
      <c r="U14486" s="135"/>
    </row>
    <row r="14487" spans="20:21" ht="15" customHeight="1" x14ac:dyDescent="0.25">
      <c r="T14487" s="135"/>
      <c r="U14487" s="135"/>
    </row>
    <row r="14488" spans="20:21" ht="15" customHeight="1" x14ac:dyDescent="0.25">
      <c r="T14488" s="135"/>
      <c r="U14488" s="135"/>
    </row>
    <row r="14489" spans="20:21" ht="15" customHeight="1" x14ac:dyDescent="0.25">
      <c r="T14489" s="135"/>
      <c r="U14489" s="135"/>
    </row>
    <row r="14490" spans="20:21" ht="15" customHeight="1" x14ac:dyDescent="0.25">
      <c r="T14490" s="135"/>
      <c r="U14490" s="135"/>
    </row>
    <row r="14491" spans="20:21" ht="15" customHeight="1" x14ac:dyDescent="0.25">
      <c r="T14491" s="135"/>
      <c r="U14491" s="135"/>
    </row>
    <row r="14492" spans="20:21" ht="15" customHeight="1" x14ac:dyDescent="0.25">
      <c r="T14492" s="135"/>
      <c r="U14492" s="135"/>
    </row>
    <row r="14493" spans="20:21" ht="15" customHeight="1" x14ac:dyDescent="0.25">
      <c r="T14493" s="135"/>
      <c r="U14493" s="135"/>
    </row>
    <row r="14494" spans="20:21" ht="15" customHeight="1" x14ac:dyDescent="0.25">
      <c r="T14494" s="135"/>
      <c r="U14494" s="135"/>
    </row>
    <row r="14495" spans="20:21" ht="15" customHeight="1" x14ac:dyDescent="0.25">
      <c r="T14495" s="135"/>
      <c r="U14495" s="135"/>
    </row>
    <row r="14496" spans="20:21" ht="15" customHeight="1" x14ac:dyDescent="0.25">
      <c r="T14496" s="135"/>
      <c r="U14496" s="135"/>
    </row>
    <row r="14497" spans="20:21" ht="15" customHeight="1" x14ac:dyDescent="0.25">
      <c r="T14497" s="135"/>
      <c r="U14497" s="135"/>
    </row>
    <row r="14498" spans="20:21" ht="15" customHeight="1" x14ac:dyDescent="0.25">
      <c r="T14498" s="135"/>
      <c r="U14498" s="135"/>
    </row>
    <row r="14499" spans="20:21" ht="15" customHeight="1" x14ac:dyDescent="0.25">
      <c r="T14499" s="135"/>
      <c r="U14499" s="135"/>
    </row>
    <row r="14500" spans="20:21" ht="15" customHeight="1" x14ac:dyDescent="0.25">
      <c r="T14500" s="135"/>
      <c r="U14500" s="135"/>
    </row>
    <row r="14501" spans="20:21" ht="15" customHeight="1" x14ac:dyDescent="0.25">
      <c r="T14501" s="135"/>
      <c r="U14501" s="135"/>
    </row>
    <row r="14502" spans="20:21" ht="15" customHeight="1" x14ac:dyDescent="0.25">
      <c r="T14502" s="135"/>
      <c r="U14502" s="135"/>
    </row>
    <row r="14503" spans="20:21" ht="15" customHeight="1" x14ac:dyDescent="0.25">
      <c r="T14503" s="135"/>
      <c r="U14503" s="135"/>
    </row>
    <row r="14504" spans="20:21" ht="15" customHeight="1" x14ac:dyDescent="0.25">
      <c r="T14504" s="135"/>
      <c r="U14504" s="135"/>
    </row>
    <row r="14505" spans="20:21" ht="15" customHeight="1" x14ac:dyDescent="0.25">
      <c r="T14505" s="135"/>
      <c r="U14505" s="135"/>
    </row>
    <row r="14506" spans="20:21" ht="15" customHeight="1" x14ac:dyDescent="0.25">
      <c r="T14506" s="135"/>
      <c r="U14506" s="135"/>
    </row>
    <row r="14507" spans="20:21" ht="15" customHeight="1" x14ac:dyDescent="0.25">
      <c r="T14507" s="135"/>
      <c r="U14507" s="135"/>
    </row>
    <row r="14508" spans="20:21" ht="15" customHeight="1" x14ac:dyDescent="0.25">
      <c r="T14508" s="135"/>
      <c r="U14508" s="135"/>
    </row>
    <row r="14509" spans="20:21" ht="15" customHeight="1" x14ac:dyDescent="0.25">
      <c r="T14509" s="135"/>
      <c r="U14509" s="135"/>
    </row>
    <row r="14510" spans="20:21" ht="15" customHeight="1" x14ac:dyDescent="0.25">
      <c r="T14510" s="135"/>
      <c r="U14510" s="135"/>
    </row>
    <row r="14511" spans="20:21" ht="15" customHeight="1" x14ac:dyDescent="0.25">
      <c r="T14511" s="135"/>
      <c r="U14511" s="135"/>
    </row>
    <row r="14512" spans="20:21" ht="15" customHeight="1" x14ac:dyDescent="0.25">
      <c r="T14512" s="135"/>
      <c r="U14512" s="135"/>
    </row>
    <row r="14513" spans="20:21" ht="15" customHeight="1" x14ac:dyDescent="0.25">
      <c r="T14513" s="135"/>
      <c r="U14513" s="135"/>
    </row>
    <row r="14514" spans="20:21" ht="15" customHeight="1" x14ac:dyDescent="0.25">
      <c r="T14514" s="135"/>
      <c r="U14514" s="135"/>
    </row>
    <row r="14515" spans="20:21" ht="15" customHeight="1" x14ac:dyDescent="0.25">
      <c r="T14515" s="135"/>
      <c r="U14515" s="135"/>
    </row>
    <row r="14516" spans="20:21" ht="15" customHeight="1" x14ac:dyDescent="0.25">
      <c r="T14516" s="135"/>
      <c r="U14516" s="135"/>
    </row>
    <row r="14517" spans="20:21" ht="15" customHeight="1" x14ac:dyDescent="0.25">
      <c r="T14517" s="135"/>
      <c r="U14517" s="135"/>
    </row>
    <row r="14518" spans="20:21" ht="15" customHeight="1" x14ac:dyDescent="0.25">
      <c r="T14518" s="135"/>
      <c r="U14518" s="135"/>
    </row>
    <row r="14519" spans="20:21" ht="15" customHeight="1" x14ac:dyDescent="0.25">
      <c r="T14519" s="135"/>
      <c r="U14519" s="135"/>
    </row>
    <row r="14520" spans="20:21" ht="15" customHeight="1" x14ac:dyDescent="0.25">
      <c r="T14520" s="135"/>
      <c r="U14520" s="135"/>
    </row>
    <row r="14521" spans="20:21" ht="15" customHeight="1" x14ac:dyDescent="0.25">
      <c r="T14521" s="135"/>
      <c r="U14521" s="135"/>
    </row>
    <row r="14522" spans="20:21" ht="15" customHeight="1" x14ac:dyDescent="0.25">
      <c r="T14522" s="135"/>
      <c r="U14522" s="135"/>
    </row>
    <row r="14523" spans="20:21" ht="15" customHeight="1" x14ac:dyDescent="0.25">
      <c r="T14523" s="135"/>
      <c r="U14523" s="135"/>
    </row>
    <row r="14524" spans="20:21" ht="15" customHeight="1" x14ac:dyDescent="0.25">
      <c r="T14524" s="135"/>
      <c r="U14524" s="135"/>
    </row>
    <row r="14525" spans="20:21" ht="15" customHeight="1" x14ac:dyDescent="0.25">
      <c r="T14525" s="135"/>
      <c r="U14525" s="135"/>
    </row>
    <row r="14526" spans="20:21" ht="15" customHeight="1" x14ac:dyDescent="0.25">
      <c r="T14526" s="135"/>
      <c r="U14526" s="135"/>
    </row>
    <row r="14527" spans="20:21" ht="15" customHeight="1" x14ac:dyDescent="0.25">
      <c r="T14527" s="135"/>
      <c r="U14527" s="135"/>
    </row>
    <row r="14528" spans="20:21" ht="15" customHeight="1" x14ac:dyDescent="0.25">
      <c r="T14528" s="135"/>
      <c r="U14528" s="135"/>
    </row>
    <row r="14529" spans="20:21" ht="15" customHeight="1" x14ac:dyDescent="0.25">
      <c r="T14529" s="135"/>
      <c r="U14529" s="135"/>
    </row>
    <row r="14530" spans="20:21" ht="15" customHeight="1" x14ac:dyDescent="0.25">
      <c r="T14530" s="135"/>
      <c r="U14530" s="135"/>
    </row>
    <row r="14531" spans="20:21" ht="15" customHeight="1" x14ac:dyDescent="0.25">
      <c r="T14531" s="135"/>
      <c r="U14531" s="135"/>
    </row>
    <row r="14532" spans="20:21" ht="15" customHeight="1" x14ac:dyDescent="0.25">
      <c r="T14532" s="135"/>
      <c r="U14532" s="135"/>
    </row>
    <row r="14533" spans="20:21" ht="15" customHeight="1" x14ac:dyDescent="0.25">
      <c r="T14533" s="135"/>
      <c r="U14533" s="135"/>
    </row>
    <row r="14534" spans="20:21" ht="15" customHeight="1" x14ac:dyDescent="0.25">
      <c r="T14534" s="135"/>
      <c r="U14534" s="135"/>
    </row>
    <row r="14535" spans="20:21" ht="15" customHeight="1" x14ac:dyDescent="0.25">
      <c r="T14535" s="135"/>
      <c r="U14535" s="135"/>
    </row>
    <row r="14536" spans="20:21" ht="15" customHeight="1" x14ac:dyDescent="0.25">
      <c r="T14536" s="135"/>
      <c r="U14536" s="135"/>
    </row>
    <row r="14537" spans="20:21" ht="15" customHeight="1" x14ac:dyDescent="0.25">
      <c r="T14537" s="135"/>
      <c r="U14537" s="135"/>
    </row>
    <row r="14538" spans="20:21" ht="15" customHeight="1" x14ac:dyDescent="0.25">
      <c r="T14538" s="135"/>
      <c r="U14538" s="135"/>
    </row>
    <row r="14539" spans="20:21" ht="15" customHeight="1" x14ac:dyDescent="0.25">
      <c r="T14539" s="135"/>
      <c r="U14539" s="135"/>
    </row>
    <row r="14540" spans="20:21" ht="15" customHeight="1" x14ac:dyDescent="0.25">
      <c r="T14540" s="135"/>
      <c r="U14540" s="135"/>
    </row>
    <row r="14541" spans="20:21" ht="15" customHeight="1" x14ac:dyDescent="0.25">
      <c r="T14541" s="135"/>
      <c r="U14541" s="135"/>
    </row>
    <row r="14542" spans="20:21" ht="15" customHeight="1" x14ac:dyDescent="0.25">
      <c r="T14542" s="135"/>
      <c r="U14542" s="135"/>
    </row>
    <row r="14543" spans="20:21" ht="15" customHeight="1" x14ac:dyDescent="0.25">
      <c r="T14543" s="135"/>
      <c r="U14543" s="135"/>
    </row>
    <row r="14544" spans="20:21" ht="15" customHeight="1" x14ac:dyDescent="0.25">
      <c r="T14544" s="135"/>
      <c r="U14544" s="135"/>
    </row>
    <row r="14545" spans="20:21" ht="15" customHeight="1" x14ac:dyDescent="0.25">
      <c r="T14545" s="135"/>
      <c r="U14545" s="135"/>
    </row>
    <row r="14546" spans="20:21" ht="15" customHeight="1" x14ac:dyDescent="0.25">
      <c r="T14546" s="135"/>
      <c r="U14546" s="135"/>
    </row>
    <row r="14547" spans="20:21" ht="15" customHeight="1" x14ac:dyDescent="0.25">
      <c r="T14547" s="135"/>
      <c r="U14547" s="135"/>
    </row>
    <row r="14548" spans="20:21" ht="15" customHeight="1" x14ac:dyDescent="0.25">
      <c r="T14548" s="135"/>
      <c r="U14548" s="135"/>
    </row>
    <row r="14549" spans="20:21" ht="15" customHeight="1" x14ac:dyDescent="0.25">
      <c r="T14549" s="135"/>
      <c r="U14549" s="135"/>
    </row>
    <row r="14550" spans="20:21" ht="15" customHeight="1" x14ac:dyDescent="0.25">
      <c r="T14550" s="135"/>
      <c r="U14550" s="135"/>
    </row>
    <row r="14551" spans="20:21" ht="15" customHeight="1" x14ac:dyDescent="0.25">
      <c r="T14551" s="135"/>
      <c r="U14551" s="135"/>
    </row>
    <row r="14552" spans="20:21" ht="15" customHeight="1" x14ac:dyDescent="0.25">
      <c r="T14552" s="135"/>
      <c r="U14552" s="135"/>
    </row>
    <row r="14553" spans="20:21" ht="15" customHeight="1" x14ac:dyDescent="0.25">
      <c r="T14553" s="135"/>
      <c r="U14553" s="135"/>
    </row>
    <row r="14554" spans="20:21" ht="15" customHeight="1" x14ac:dyDescent="0.25">
      <c r="T14554" s="135"/>
      <c r="U14554" s="135"/>
    </row>
    <row r="14555" spans="20:21" ht="15" customHeight="1" x14ac:dyDescent="0.25">
      <c r="T14555" s="135"/>
      <c r="U14555" s="135"/>
    </row>
    <row r="14556" spans="20:21" ht="15" customHeight="1" x14ac:dyDescent="0.25">
      <c r="T14556" s="135"/>
      <c r="U14556" s="135"/>
    </row>
    <row r="14557" spans="20:21" ht="15" customHeight="1" x14ac:dyDescent="0.25">
      <c r="T14557" s="135"/>
      <c r="U14557" s="135"/>
    </row>
    <row r="14558" spans="20:21" ht="15" customHeight="1" x14ac:dyDescent="0.25">
      <c r="T14558" s="135"/>
      <c r="U14558" s="135"/>
    </row>
    <row r="14559" spans="20:21" ht="15" customHeight="1" x14ac:dyDescent="0.25">
      <c r="T14559" s="135"/>
      <c r="U14559" s="135"/>
    </row>
    <row r="14560" spans="20:21" ht="15" customHeight="1" x14ac:dyDescent="0.25">
      <c r="T14560" s="135"/>
      <c r="U14560" s="135"/>
    </row>
    <row r="14561" spans="20:21" ht="15" customHeight="1" x14ac:dyDescent="0.25">
      <c r="T14561" s="135"/>
      <c r="U14561" s="135"/>
    </row>
    <row r="14562" spans="20:21" ht="15" customHeight="1" x14ac:dyDescent="0.25">
      <c r="T14562" s="135"/>
      <c r="U14562" s="135"/>
    </row>
    <row r="14563" spans="20:21" ht="15" customHeight="1" x14ac:dyDescent="0.25">
      <c r="T14563" s="135"/>
      <c r="U14563" s="135"/>
    </row>
    <row r="14564" spans="20:21" ht="15" customHeight="1" x14ac:dyDescent="0.25">
      <c r="T14564" s="135"/>
      <c r="U14564" s="135"/>
    </row>
    <row r="14565" spans="20:21" ht="15" customHeight="1" x14ac:dyDescent="0.25">
      <c r="T14565" s="135"/>
      <c r="U14565" s="135"/>
    </row>
    <row r="14566" spans="20:21" ht="15" customHeight="1" x14ac:dyDescent="0.25">
      <c r="T14566" s="135"/>
      <c r="U14566" s="135"/>
    </row>
    <row r="14567" spans="20:21" ht="15" customHeight="1" x14ac:dyDescent="0.25">
      <c r="T14567" s="135"/>
      <c r="U14567" s="135"/>
    </row>
    <row r="14568" spans="20:21" ht="15" customHeight="1" x14ac:dyDescent="0.25">
      <c r="T14568" s="135"/>
      <c r="U14568" s="135"/>
    </row>
    <row r="14569" spans="20:21" ht="15" customHeight="1" x14ac:dyDescent="0.25">
      <c r="T14569" s="135"/>
      <c r="U14569" s="135"/>
    </row>
    <row r="14570" spans="20:21" ht="15" customHeight="1" x14ac:dyDescent="0.25">
      <c r="T14570" s="135"/>
      <c r="U14570" s="135"/>
    </row>
    <row r="14571" spans="20:21" ht="15" customHeight="1" x14ac:dyDescent="0.25">
      <c r="T14571" s="135"/>
      <c r="U14571" s="135"/>
    </row>
    <row r="14572" spans="20:21" ht="15" customHeight="1" x14ac:dyDescent="0.25">
      <c r="T14572" s="135"/>
      <c r="U14572" s="135"/>
    </row>
    <row r="14573" spans="20:21" ht="15" customHeight="1" x14ac:dyDescent="0.25">
      <c r="T14573" s="135"/>
      <c r="U14573" s="135"/>
    </row>
    <row r="14574" spans="20:21" ht="15" customHeight="1" x14ac:dyDescent="0.25">
      <c r="T14574" s="135"/>
      <c r="U14574" s="135"/>
    </row>
    <row r="14575" spans="20:21" ht="15" customHeight="1" x14ac:dyDescent="0.25">
      <c r="T14575" s="135"/>
      <c r="U14575" s="135"/>
    </row>
    <row r="14576" spans="20:21" ht="15" customHeight="1" x14ac:dyDescent="0.25">
      <c r="T14576" s="135"/>
      <c r="U14576" s="135"/>
    </row>
    <row r="14577" spans="20:21" ht="15" customHeight="1" x14ac:dyDescent="0.25">
      <c r="T14577" s="135"/>
      <c r="U14577" s="135"/>
    </row>
    <row r="14578" spans="20:21" ht="15" customHeight="1" x14ac:dyDescent="0.25">
      <c r="T14578" s="135"/>
      <c r="U14578" s="135"/>
    </row>
    <row r="14579" spans="20:21" ht="15" customHeight="1" x14ac:dyDescent="0.25">
      <c r="T14579" s="135"/>
      <c r="U14579" s="135"/>
    </row>
    <row r="14580" spans="20:21" ht="15" customHeight="1" x14ac:dyDescent="0.25">
      <c r="T14580" s="135"/>
      <c r="U14580" s="135"/>
    </row>
    <row r="14581" spans="20:21" ht="15" customHeight="1" x14ac:dyDescent="0.25">
      <c r="T14581" s="135"/>
      <c r="U14581" s="135"/>
    </row>
    <row r="14582" spans="20:21" ht="15" customHeight="1" x14ac:dyDescent="0.25">
      <c r="T14582" s="135"/>
      <c r="U14582" s="135"/>
    </row>
    <row r="14583" spans="20:21" ht="15" customHeight="1" x14ac:dyDescent="0.25">
      <c r="T14583" s="135"/>
      <c r="U14583" s="135"/>
    </row>
    <row r="14584" spans="20:21" ht="15" customHeight="1" x14ac:dyDescent="0.25">
      <c r="T14584" s="135"/>
      <c r="U14584" s="135"/>
    </row>
    <row r="14585" spans="20:21" ht="15" customHeight="1" x14ac:dyDescent="0.25">
      <c r="T14585" s="135"/>
      <c r="U14585" s="135"/>
    </row>
    <row r="14586" spans="20:21" ht="15" customHeight="1" x14ac:dyDescent="0.25">
      <c r="T14586" s="135"/>
      <c r="U14586" s="135"/>
    </row>
    <row r="14587" spans="20:21" ht="15" customHeight="1" x14ac:dyDescent="0.25">
      <c r="T14587" s="135"/>
      <c r="U14587" s="135"/>
    </row>
    <row r="14588" spans="20:21" ht="15" customHeight="1" x14ac:dyDescent="0.25">
      <c r="T14588" s="135"/>
      <c r="U14588" s="135"/>
    </row>
    <row r="14589" spans="20:21" ht="15" customHeight="1" x14ac:dyDescent="0.25">
      <c r="T14589" s="135"/>
      <c r="U14589" s="135"/>
    </row>
    <row r="14590" spans="20:21" ht="15" customHeight="1" x14ac:dyDescent="0.25">
      <c r="T14590" s="135"/>
      <c r="U14590" s="135"/>
    </row>
    <row r="14591" spans="20:21" ht="15" customHeight="1" x14ac:dyDescent="0.25">
      <c r="T14591" s="135"/>
      <c r="U14591" s="135"/>
    </row>
    <row r="14592" spans="20:21" ht="15" customHeight="1" x14ac:dyDescent="0.25">
      <c r="T14592" s="135"/>
      <c r="U14592" s="135"/>
    </row>
    <row r="14593" spans="20:21" ht="15" customHeight="1" x14ac:dyDescent="0.25">
      <c r="T14593" s="135"/>
      <c r="U14593" s="135"/>
    </row>
    <row r="14594" spans="20:21" ht="15" customHeight="1" x14ac:dyDescent="0.25">
      <c r="T14594" s="135"/>
      <c r="U14594" s="135"/>
    </row>
    <row r="14595" spans="20:21" ht="15" customHeight="1" x14ac:dyDescent="0.25">
      <c r="T14595" s="135"/>
      <c r="U14595" s="135"/>
    </row>
    <row r="14596" spans="20:21" ht="15" customHeight="1" x14ac:dyDescent="0.25">
      <c r="T14596" s="135"/>
      <c r="U14596" s="135"/>
    </row>
    <row r="14597" spans="20:21" ht="15" customHeight="1" x14ac:dyDescent="0.25">
      <c r="T14597" s="135"/>
      <c r="U14597" s="135"/>
    </row>
    <row r="14598" spans="20:21" ht="15" customHeight="1" x14ac:dyDescent="0.25">
      <c r="T14598" s="135"/>
      <c r="U14598" s="135"/>
    </row>
    <row r="14599" spans="20:21" ht="15" customHeight="1" x14ac:dyDescent="0.25">
      <c r="T14599" s="135"/>
      <c r="U14599" s="135"/>
    </row>
    <row r="14600" spans="20:21" ht="15" customHeight="1" x14ac:dyDescent="0.25">
      <c r="T14600" s="135"/>
      <c r="U14600" s="135"/>
    </row>
    <row r="14601" spans="20:21" ht="15" customHeight="1" x14ac:dyDescent="0.25">
      <c r="T14601" s="135"/>
      <c r="U14601" s="135"/>
    </row>
    <row r="14602" spans="20:21" ht="15" customHeight="1" x14ac:dyDescent="0.25">
      <c r="T14602" s="135"/>
      <c r="U14602" s="135"/>
    </row>
    <row r="14603" spans="20:21" ht="15" customHeight="1" x14ac:dyDescent="0.25">
      <c r="T14603" s="135"/>
      <c r="U14603" s="135"/>
    </row>
    <row r="14604" spans="20:21" ht="15" customHeight="1" x14ac:dyDescent="0.25">
      <c r="T14604" s="135"/>
      <c r="U14604" s="135"/>
    </row>
    <row r="14605" spans="20:21" ht="15" customHeight="1" x14ac:dyDescent="0.25">
      <c r="T14605" s="135"/>
      <c r="U14605" s="135"/>
    </row>
    <row r="14606" spans="20:21" ht="15" customHeight="1" x14ac:dyDescent="0.25">
      <c r="T14606" s="135"/>
      <c r="U14606" s="135"/>
    </row>
    <row r="14607" spans="20:21" ht="15" customHeight="1" x14ac:dyDescent="0.25">
      <c r="T14607" s="135"/>
      <c r="U14607" s="135"/>
    </row>
    <row r="14608" spans="20:21" ht="15" customHeight="1" x14ac:dyDescent="0.25">
      <c r="T14608" s="135"/>
      <c r="U14608" s="135"/>
    </row>
    <row r="14609" spans="20:21" ht="15" customHeight="1" x14ac:dyDescent="0.25">
      <c r="T14609" s="135"/>
      <c r="U14609" s="135"/>
    </row>
    <row r="14610" spans="20:21" ht="15" customHeight="1" x14ac:dyDescent="0.25">
      <c r="T14610" s="135"/>
      <c r="U14610" s="135"/>
    </row>
    <row r="14611" spans="20:21" ht="15" customHeight="1" x14ac:dyDescent="0.25">
      <c r="T14611" s="135"/>
      <c r="U14611" s="135"/>
    </row>
    <row r="14612" spans="20:21" ht="15" customHeight="1" x14ac:dyDescent="0.25">
      <c r="T14612" s="135"/>
      <c r="U14612" s="135"/>
    </row>
    <row r="14613" spans="20:21" ht="15" customHeight="1" x14ac:dyDescent="0.25">
      <c r="T14613" s="135"/>
      <c r="U14613" s="135"/>
    </row>
    <row r="14614" spans="20:21" ht="15" customHeight="1" x14ac:dyDescent="0.25">
      <c r="T14614" s="135"/>
      <c r="U14614" s="135"/>
    </row>
    <row r="14615" spans="20:21" ht="15" customHeight="1" x14ac:dyDescent="0.25">
      <c r="T14615" s="135"/>
      <c r="U14615" s="135"/>
    </row>
    <row r="14616" spans="20:21" ht="15" customHeight="1" x14ac:dyDescent="0.25">
      <c r="T14616" s="135"/>
      <c r="U14616" s="135"/>
    </row>
    <row r="14617" spans="20:21" ht="15" customHeight="1" x14ac:dyDescent="0.25">
      <c r="T14617" s="135"/>
      <c r="U14617" s="135"/>
    </row>
    <row r="14618" spans="20:21" ht="15" customHeight="1" x14ac:dyDescent="0.25">
      <c r="T14618" s="135"/>
      <c r="U14618" s="135"/>
    </row>
    <row r="14619" spans="20:21" ht="15" customHeight="1" x14ac:dyDescent="0.25">
      <c r="T14619" s="135"/>
      <c r="U14619" s="135"/>
    </row>
    <row r="14620" spans="20:21" ht="15" customHeight="1" x14ac:dyDescent="0.25">
      <c r="T14620" s="135"/>
      <c r="U14620" s="135"/>
    </row>
    <row r="14621" spans="20:21" ht="15" customHeight="1" x14ac:dyDescent="0.25">
      <c r="T14621" s="135"/>
      <c r="U14621" s="135"/>
    </row>
    <row r="14622" spans="20:21" ht="15" customHeight="1" x14ac:dyDescent="0.25">
      <c r="T14622" s="135"/>
      <c r="U14622" s="135"/>
    </row>
    <row r="14623" spans="20:21" ht="15" customHeight="1" x14ac:dyDescent="0.25">
      <c r="T14623" s="135"/>
      <c r="U14623" s="135"/>
    </row>
    <row r="14624" spans="20:21" ht="15" customHeight="1" x14ac:dyDescent="0.25">
      <c r="T14624" s="135"/>
      <c r="U14624" s="135"/>
    </row>
    <row r="14625" spans="20:21" ht="15" customHeight="1" x14ac:dyDescent="0.25">
      <c r="T14625" s="135"/>
      <c r="U14625" s="135"/>
    </row>
    <row r="14626" spans="20:21" ht="15" customHeight="1" x14ac:dyDescent="0.25">
      <c r="T14626" s="135"/>
      <c r="U14626" s="135"/>
    </row>
    <row r="14627" spans="20:21" ht="15" customHeight="1" x14ac:dyDescent="0.25">
      <c r="T14627" s="135"/>
      <c r="U14627" s="135"/>
    </row>
    <row r="14628" spans="20:21" ht="15" customHeight="1" x14ac:dyDescent="0.25">
      <c r="T14628" s="135"/>
      <c r="U14628" s="135"/>
    </row>
    <row r="14629" spans="20:21" ht="15" customHeight="1" x14ac:dyDescent="0.25">
      <c r="T14629" s="135"/>
      <c r="U14629" s="135"/>
    </row>
    <row r="14630" spans="20:21" ht="15" customHeight="1" x14ac:dyDescent="0.25">
      <c r="T14630" s="135"/>
      <c r="U14630" s="135"/>
    </row>
    <row r="14631" spans="20:21" ht="15" customHeight="1" x14ac:dyDescent="0.25">
      <c r="T14631" s="135"/>
      <c r="U14631" s="135"/>
    </row>
    <row r="14632" spans="20:21" ht="15" customHeight="1" x14ac:dyDescent="0.25">
      <c r="T14632" s="135"/>
      <c r="U14632" s="135"/>
    </row>
    <row r="14633" spans="20:21" ht="15" customHeight="1" x14ac:dyDescent="0.25">
      <c r="T14633" s="135"/>
      <c r="U14633" s="135"/>
    </row>
    <row r="14634" spans="20:21" ht="15" customHeight="1" x14ac:dyDescent="0.25">
      <c r="T14634" s="135"/>
      <c r="U14634" s="135"/>
    </row>
    <row r="14635" spans="20:21" ht="15" customHeight="1" x14ac:dyDescent="0.25">
      <c r="T14635" s="135"/>
      <c r="U14635" s="135"/>
    </row>
    <row r="14636" spans="20:21" ht="15" customHeight="1" x14ac:dyDescent="0.25">
      <c r="T14636" s="135"/>
      <c r="U14636" s="135"/>
    </row>
    <row r="14637" spans="20:21" ht="15" customHeight="1" x14ac:dyDescent="0.25">
      <c r="T14637" s="135"/>
      <c r="U14637" s="135"/>
    </row>
    <row r="14638" spans="20:21" ht="15" customHeight="1" x14ac:dyDescent="0.25">
      <c r="T14638" s="135"/>
      <c r="U14638" s="135"/>
    </row>
    <row r="14639" spans="20:21" ht="15" customHeight="1" x14ac:dyDescent="0.25">
      <c r="T14639" s="135"/>
      <c r="U14639" s="135"/>
    </row>
    <row r="14640" spans="20:21" ht="15" customHeight="1" x14ac:dyDescent="0.25">
      <c r="T14640" s="135"/>
      <c r="U14640" s="135"/>
    </row>
    <row r="14641" spans="20:21" ht="15" customHeight="1" x14ac:dyDescent="0.25">
      <c r="T14641" s="135"/>
      <c r="U14641" s="135"/>
    </row>
    <row r="14642" spans="20:21" ht="15" customHeight="1" x14ac:dyDescent="0.25">
      <c r="T14642" s="135"/>
      <c r="U14642" s="135"/>
    </row>
    <row r="14643" spans="20:21" ht="15" customHeight="1" x14ac:dyDescent="0.25">
      <c r="T14643" s="135"/>
      <c r="U14643" s="135"/>
    </row>
    <row r="14644" spans="20:21" ht="15" customHeight="1" x14ac:dyDescent="0.25">
      <c r="T14644" s="135"/>
      <c r="U14644" s="135"/>
    </row>
    <row r="14645" spans="20:21" ht="15" customHeight="1" x14ac:dyDescent="0.25">
      <c r="T14645" s="135"/>
      <c r="U14645" s="135"/>
    </row>
    <row r="14646" spans="20:21" ht="15" customHeight="1" x14ac:dyDescent="0.25">
      <c r="T14646" s="135"/>
      <c r="U14646" s="135"/>
    </row>
    <row r="14647" spans="20:21" ht="15" customHeight="1" x14ac:dyDescent="0.25">
      <c r="T14647" s="135"/>
      <c r="U14647" s="135"/>
    </row>
    <row r="14648" spans="20:21" ht="15" customHeight="1" x14ac:dyDescent="0.25">
      <c r="T14648" s="135"/>
      <c r="U14648" s="135"/>
    </row>
    <row r="14649" spans="20:21" ht="15" customHeight="1" x14ac:dyDescent="0.25">
      <c r="T14649" s="135"/>
      <c r="U14649" s="135"/>
    </row>
    <row r="14650" spans="20:21" ht="15" customHeight="1" x14ac:dyDescent="0.25">
      <c r="T14650" s="135"/>
      <c r="U14650" s="135"/>
    </row>
    <row r="14651" spans="20:21" ht="15" customHeight="1" x14ac:dyDescent="0.25">
      <c r="T14651" s="135"/>
      <c r="U14651" s="135"/>
    </row>
    <row r="14652" spans="20:21" ht="15" customHeight="1" x14ac:dyDescent="0.25">
      <c r="T14652" s="135"/>
      <c r="U14652" s="135"/>
    </row>
    <row r="14653" spans="20:21" ht="15" customHeight="1" x14ac:dyDescent="0.25">
      <c r="T14653" s="135"/>
      <c r="U14653" s="135"/>
    </row>
    <row r="14654" spans="20:21" ht="15" customHeight="1" x14ac:dyDescent="0.25">
      <c r="T14654" s="135"/>
      <c r="U14654" s="135"/>
    </row>
    <row r="14655" spans="20:21" ht="15" customHeight="1" x14ac:dyDescent="0.25">
      <c r="T14655" s="135"/>
      <c r="U14655" s="135"/>
    </row>
    <row r="14656" spans="20:21" ht="15" customHeight="1" x14ac:dyDescent="0.25">
      <c r="T14656" s="135"/>
      <c r="U14656" s="135"/>
    </row>
    <row r="14657" spans="20:21" ht="15" customHeight="1" x14ac:dyDescent="0.25">
      <c r="T14657" s="135"/>
      <c r="U14657" s="135"/>
    </row>
    <row r="14658" spans="20:21" ht="15" customHeight="1" x14ac:dyDescent="0.25">
      <c r="T14658" s="135"/>
      <c r="U14658" s="135"/>
    </row>
    <row r="14659" spans="20:21" ht="15" customHeight="1" x14ac:dyDescent="0.25">
      <c r="T14659" s="135"/>
      <c r="U14659" s="135"/>
    </row>
    <row r="14660" spans="20:21" ht="15" customHeight="1" x14ac:dyDescent="0.25">
      <c r="T14660" s="135"/>
      <c r="U14660" s="135"/>
    </row>
    <row r="14661" spans="20:21" ht="15" customHeight="1" x14ac:dyDescent="0.25">
      <c r="T14661" s="135"/>
      <c r="U14661" s="135"/>
    </row>
    <row r="14662" spans="20:21" ht="15" customHeight="1" x14ac:dyDescent="0.25">
      <c r="T14662" s="135"/>
      <c r="U14662" s="135"/>
    </row>
    <row r="14663" spans="20:21" ht="15" customHeight="1" x14ac:dyDescent="0.25">
      <c r="T14663" s="135"/>
      <c r="U14663" s="135"/>
    </row>
    <row r="14664" spans="20:21" ht="15" customHeight="1" x14ac:dyDescent="0.25">
      <c r="T14664" s="135"/>
      <c r="U14664" s="135"/>
    </row>
    <row r="14665" spans="20:21" ht="15" customHeight="1" x14ac:dyDescent="0.25">
      <c r="T14665" s="135"/>
      <c r="U14665" s="135"/>
    </row>
    <row r="14666" spans="20:21" ht="15" customHeight="1" x14ac:dyDescent="0.25">
      <c r="T14666" s="135"/>
      <c r="U14666" s="135"/>
    </row>
    <row r="14667" spans="20:21" ht="15" customHeight="1" x14ac:dyDescent="0.25">
      <c r="T14667" s="135"/>
      <c r="U14667" s="135"/>
    </row>
    <row r="14668" spans="20:21" ht="15" customHeight="1" x14ac:dyDescent="0.25">
      <c r="T14668" s="135"/>
      <c r="U14668" s="135"/>
    </row>
    <row r="14669" spans="20:21" ht="15" customHeight="1" x14ac:dyDescent="0.25">
      <c r="T14669" s="135"/>
      <c r="U14669" s="135"/>
    </row>
    <row r="14670" spans="20:21" ht="15" customHeight="1" x14ac:dyDescent="0.25">
      <c r="T14670" s="135"/>
      <c r="U14670" s="135"/>
    </row>
    <row r="14671" spans="20:21" ht="15" customHeight="1" x14ac:dyDescent="0.25">
      <c r="T14671" s="135"/>
      <c r="U14671" s="135"/>
    </row>
    <row r="14672" spans="20:21" ht="15" customHeight="1" x14ac:dyDescent="0.25">
      <c r="T14672" s="135"/>
      <c r="U14672" s="135"/>
    </row>
    <row r="14673" spans="20:21" ht="15" customHeight="1" x14ac:dyDescent="0.25">
      <c r="T14673" s="135"/>
      <c r="U14673" s="135"/>
    </row>
    <row r="14674" spans="20:21" ht="15" customHeight="1" x14ac:dyDescent="0.25">
      <c r="T14674" s="135"/>
      <c r="U14674" s="135"/>
    </row>
    <row r="14675" spans="20:21" ht="15" customHeight="1" x14ac:dyDescent="0.25">
      <c r="T14675" s="135"/>
      <c r="U14675" s="135"/>
    </row>
    <row r="14676" spans="20:21" ht="15" customHeight="1" x14ac:dyDescent="0.25">
      <c r="T14676" s="135"/>
      <c r="U14676" s="135"/>
    </row>
    <row r="14677" spans="20:21" ht="15" customHeight="1" x14ac:dyDescent="0.25">
      <c r="T14677" s="135"/>
      <c r="U14677" s="135"/>
    </row>
    <row r="14678" spans="20:21" ht="15" customHeight="1" x14ac:dyDescent="0.25">
      <c r="T14678" s="135"/>
      <c r="U14678" s="135"/>
    </row>
    <row r="14679" spans="20:21" ht="15" customHeight="1" x14ac:dyDescent="0.25">
      <c r="T14679" s="135"/>
      <c r="U14679" s="135"/>
    </row>
    <row r="14680" spans="20:21" ht="15" customHeight="1" x14ac:dyDescent="0.25">
      <c r="T14680" s="135"/>
      <c r="U14680" s="135"/>
    </row>
    <row r="14681" spans="20:21" ht="15" customHeight="1" x14ac:dyDescent="0.25">
      <c r="T14681" s="135"/>
      <c r="U14681" s="135"/>
    </row>
    <row r="14682" spans="20:21" ht="15" customHeight="1" x14ac:dyDescent="0.25">
      <c r="T14682" s="135"/>
      <c r="U14682" s="135"/>
    </row>
    <row r="14683" spans="20:21" ht="15" customHeight="1" x14ac:dyDescent="0.25">
      <c r="T14683" s="135"/>
      <c r="U14683" s="135"/>
    </row>
    <row r="14684" spans="20:21" ht="15" customHeight="1" x14ac:dyDescent="0.25">
      <c r="T14684" s="135"/>
      <c r="U14684" s="135"/>
    </row>
    <row r="14685" spans="20:21" ht="15" customHeight="1" x14ac:dyDescent="0.25">
      <c r="T14685" s="135"/>
      <c r="U14685" s="135"/>
    </row>
    <row r="14686" spans="20:21" ht="15" customHeight="1" x14ac:dyDescent="0.25">
      <c r="T14686" s="135"/>
      <c r="U14686" s="135"/>
    </row>
    <row r="14687" spans="20:21" ht="15" customHeight="1" x14ac:dyDescent="0.25">
      <c r="T14687" s="135"/>
      <c r="U14687" s="135"/>
    </row>
    <row r="14688" spans="20:21" ht="15" customHeight="1" x14ac:dyDescent="0.25">
      <c r="T14688" s="135"/>
      <c r="U14688" s="135"/>
    </row>
    <row r="14689" spans="20:21" ht="15" customHeight="1" x14ac:dyDescent="0.25">
      <c r="T14689" s="135"/>
      <c r="U14689" s="135"/>
    </row>
    <row r="14690" spans="20:21" ht="15" customHeight="1" x14ac:dyDescent="0.25">
      <c r="T14690" s="135"/>
      <c r="U14690" s="135"/>
    </row>
    <row r="14691" spans="20:21" ht="15" customHeight="1" x14ac:dyDescent="0.25">
      <c r="T14691" s="135"/>
      <c r="U14691" s="135"/>
    </row>
    <row r="14692" spans="20:21" ht="15" customHeight="1" x14ac:dyDescent="0.25">
      <c r="T14692" s="135"/>
      <c r="U14692" s="135"/>
    </row>
    <row r="14693" spans="20:21" ht="15" customHeight="1" x14ac:dyDescent="0.25">
      <c r="T14693" s="135"/>
      <c r="U14693" s="135"/>
    </row>
    <row r="14694" spans="20:21" ht="15" customHeight="1" x14ac:dyDescent="0.25">
      <c r="T14694" s="135"/>
      <c r="U14694" s="135"/>
    </row>
    <row r="14695" spans="20:21" ht="15" customHeight="1" x14ac:dyDescent="0.25">
      <c r="T14695" s="135"/>
      <c r="U14695" s="135"/>
    </row>
    <row r="14696" spans="20:21" ht="15" customHeight="1" x14ac:dyDescent="0.25">
      <c r="T14696" s="135"/>
      <c r="U14696" s="135"/>
    </row>
    <row r="14697" spans="20:21" ht="15" customHeight="1" x14ac:dyDescent="0.25">
      <c r="T14697" s="135"/>
      <c r="U14697" s="135"/>
    </row>
    <row r="14698" spans="20:21" ht="15" customHeight="1" x14ac:dyDescent="0.25">
      <c r="T14698" s="135"/>
      <c r="U14698" s="135"/>
    </row>
    <row r="14699" spans="20:21" ht="15" customHeight="1" x14ac:dyDescent="0.25">
      <c r="T14699" s="135"/>
      <c r="U14699" s="135"/>
    </row>
    <row r="14700" spans="20:21" ht="15" customHeight="1" x14ac:dyDescent="0.25">
      <c r="T14700" s="135"/>
      <c r="U14700" s="135"/>
    </row>
    <row r="14701" spans="20:21" ht="15" customHeight="1" x14ac:dyDescent="0.25">
      <c r="T14701" s="135"/>
      <c r="U14701" s="135"/>
    </row>
    <row r="14702" spans="20:21" ht="15" customHeight="1" x14ac:dyDescent="0.25">
      <c r="T14702" s="135"/>
      <c r="U14702" s="135"/>
    </row>
    <row r="14703" spans="20:21" ht="15" customHeight="1" x14ac:dyDescent="0.25">
      <c r="T14703" s="135"/>
      <c r="U14703" s="135"/>
    </row>
    <row r="14704" spans="20:21" ht="15" customHeight="1" x14ac:dyDescent="0.25">
      <c r="T14704" s="135"/>
      <c r="U14704" s="135"/>
    </row>
    <row r="14705" spans="20:21" ht="15" customHeight="1" x14ac:dyDescent="0.25">
      <c r="T14705" s="135"/>
      <c r="U14705" s="135"/>
    </row>
    <row r="14706" spans="20:21" ht="15" customHeight="1" x14ac:dyDescent="0.25">
      <c r="T14706" s="135"/>
      <c r="U14706" s="135"/>
    </row>
    <row r="14707" spans="20:21" ht="15" customHeight="1" x14ac:dyDescent="0.25">
      <c r="T14707" s="135"/>
      <c r="U14707" s="135"/>
    </row>
    <row r="14708" spans="20:21" ht="15" customHeight="1" x14ac:dyDescent="0.25">
      <c r="T14708" s="135"/>
      <c r="U14708" s="135"/>
    </row>
    <row r="14709" spans="20:21" ht="15" customHeight="1" x14ac:dyDescent="0.25">
      <c r="T14709" s="135"/>
      <c r="U14709" s="135"/>
    </row>
    <row r="14710" spans="20:21" ht="15" customHeight="1" x14ac:dyDescent="0.25">
      <c r="T14710" s="135"/>
      <c r="U14710" s="135"/>
    </row>
    <row r="14711" spans="20:21" ht="15" customHeight="1" x14ac:dyDescent="0.25">
      <c r="T14711" s="135"/>
      <c r="U14711" s="135"/>
    </row>
    <row r="14712" spans="20:21" ht="15" customHeight="1" x14ac:dyDescent="0.25">
      <c r="T14712" s="135"/>
      <c r="U14712" s="135"/>
    </row>
    <row r="14713" spans="20:21" ht="15" customHeight="1" x14ac:dyDescent="0.25">
      <c r="T14713" s="135"/>
      <c r="U14713" s="135"/>
    </row>
    <row r="14714" spans="20:21" ht="15" customHeight="1" x14ac:dyDescent="0.25">
      <c r="T14714" s="135"/>
      <c r="U14714" s="135"/>
    </row>
    <row r="14715" spans="20:21" ht="15" customHeight="1" x14ac:dyDescent="0.25">
      <c r="T14715" s="135"/>
      <c r="U14715" s="135"/>
    </row>
    <row r="14716" spans="20:21" ht="15" customHeight="1" x14ac:dyDescent="0.25">
      <c r="T14716" s="135"/>
      <c r="U14716" s="135"/>
    </row>
    <row r="14717" spans="20:21" ht="15" customHeight="1" x14ac:dyDescent="0.25">
      <c r="T14717" s="135"/>
      <c r="U14717" s="135"/>
    </row>
    <row r="14718" spans="20:21" ht="15" customHeight="1" x14ac:dyDescent="0.25">
      <c r="T14718" s="135"/>
      <c r="U14718" s="135"/>
    </row>
    <row r="14719" spans="20:21" ht="15" customHeight="1" x14ac:dyDescent="0.25">
      <c r="T14719" s="135"/>
      <c r="U14719" s="135"/>
    </row>
    <row r="14720" spans="20:21" ht="15" customHeight="1" x14ac:dyDescent="0.25">
      <c r="T14720" s="135"/>
      <c r="U14720" s="135"/>
    </row>
    <row r="14721" spans="20:21" ht="15" customHeight="1" x14ac:dyDescent="0.25">
      <c r="T14721" s="135"/>
      <c r="U14721" s="135"/>
    </row>
    <row r="14722" spans="20:21" ht="15" customHeight="1" x14ac:dyDescent="0.25">
      <c r="T14722" s="135"/>
      <c r="U14722" s="135"/>
    </row>
    <row r="14723" spans="20:21" ht="15" customHeight="1" x14ac:dyDescent="0.25">
      <c r="T14723" s="135"/>
      <c r="U14723" s="135"/>
    </row>
    <row r="14724" spans="20:21" ht="15" customHeight="1" x14ac:dyDescent="0.25">
      <c r="T14724" s="135"/>
      <c r="U14724" s="135"/>
    </row>
    <row r="14725" spans="20:21" ht="15" customHeight="1" x14ac:dyDescent="0.25">
      <c r="T14725" s="135"/>
      <c r="U14725" s="135"/>
    </row>
    <row r="14726" spans="20:21" ht="15" customHeight="1" x14ac:dyDescent="0.25">
      <c r="T14726" s="135"/>
      <c r="U14726" s="135"/>
    </row>
    <row r="14727" spans="20:21" ht="15" customHeight="1" x14ac:dyDescent="0.25">
      <c r="T14727" s="135"/>
      <c r="U14727" s="135"/>
    </row>
    <row r="14728" spans="20:21" ht="15" customHeight="1" x14ac:dyDescent="0.25">
      <c r="T14728" s="135"/>
      <c r="U14728" s="135"/>
    </row>
    <row r="14729" spans="20:21" ht="15" customHeight="1" x14ac:dyDescent="0.25">
      <c r="T14729" s="135"/>
      <c r="U14729" s="135"/>
    </row>
    <row r="14730" spans="20:21" ht="15" customHeight="1" x14ac:dyDescent="0.25">
      <c r="T14730" s="135"/>
      <c r="U14730" s="135"/>
    </row>
    <row r="14731" spans="20:21" ht="15" customHeight="1" x14ac:dyDescent="0.25">
      <c r="T14731" s="135"/>
      <c r="U14731" s="135"/>
    </row>
    <row r="14732" spans="20:21" ht="15" customHeight="1" x14ac:dyDescent="0.25">
      <c r="T14732" s="135"/>
      <c r="U14732" s="135"/>
    </row>
    <row r="14733" spans="20:21" ht="15" customHeight="1" x14ac:dyDescent="0.25">
      <c r="T14733" s="135"/>
      <c r="U14733" s="135"/>
    </row>
    <row r="14734" spans="20:21" ht="15" customHeight="1" x14ac:dyDescent="0.25">
      <c r="T14734" s="135"/>
      <c r="U14734" s="135"/>
    </row>
    <row r="14735" spans="20:21" ht="15" customHeight="1" x14ac:dyDescent="0.25">
      <c r="T14735" s="135"/>
      <c r="U14735" s="135"/>
    </row>
    <row r="14736" spans="20:21" ht="15" customHeight="1" x14ac:dyDescent="0.25">
      <c r="T14736" s="135"/>
      <c r="U14736" s="135"/>
    </row>
    <row r="14737" spans="20:21" ht="15" customHeight="1" x14ac:dyDescent="0.25">
      <c r="T14737" s="135"/>
      <c r="U14737" s="135"/>
    </row>
    <row r="14738" spans="20:21" ht="15" customHeight="1" x14ac:dyDescent="0.25">
      <c r="T14738" s="135"/>
      <c r="U14738" s="135"/>
    </row>
    <row r="14739" spans="20:21" ht="15" customHeight="1" x14ac:dyDescent="0.25">
      <c r="T14739" s="135"/>
      <c r="U14739" s="135"/>
    </row>
    <row r="14740" spans="20:21" ht="15" customHeight="1" x14ac:dyDescent="0.25">
      <c r="T14740" s="135"/>
      <c r="U14740" s="135"/>
    </row>
    <row r="14741" spans="20:21" ht="15" customHeight="1" x14ac:dyDescent="0.25">
      <c r="T14741" s="135"/>
      <c r="U14741" s="135"/>
    </row>
    <row r="14742" spans="20:21" ht="15" customHeight="1" x14ac:dyDescent="0.25">
      <c r="T14742" s="135"/>
      <c r="U14742" s="135"/>
    </row>
    <row r="14743" spans="20:21" ht="15" customHeight="1" x14ac:dyDescent="0.25">
      <c r="T14743" s="135"/>
      <c r="U14743" s="135"/>
    </row>
    <row r="14744" spans="20:21" ht="15" customHeight="1" x14ac:dyDescent="0.25">
      <c r="T14744" s="135"/>
      <c r="U14744" s="135"/>
    </row>
    <row r="14745" spans="20:21" ht="15" customHeight="1" x14ac:dyDescent="0.25">
      <c r="T14745" s="135"/>
      <c r="U14745" s="135"/>
    </row>
    <row r="14746" spans="20:21" ht="15" customHeight="1" x14ac:dyDescent="0.25">
      <c r="T14746" s="135"/>
      <c r="U14746" s="135"/>
    </row>
    <row r="14747" spans="20:21" ht="15" customHeight="1" x14ac:dyDescent="0.25">
      <c r="T14747" s="135"/>
      <c r="U14747" s="135"/>
    </row>
    <row r="14748" spans="20:21" ht="15" customHeight="1" x14ac:dyDescent="0.25">
      <c r="T14748" s="135"/>
      <c r="U14748" s="135"/>
    </row>
    <row r="14749" spans="20:21" ht="15" customHeight="1" x14ac:dyDescent="0.25">
      <c r="T14749" s="135"/>
      <c r="U14749" s="135"/>
    </row>
    <row r="14750" spans="20:21" ht="15" customHeight="1" x14ac:dyDescent="0.25">
      <c r="T14750" s="135"/>
      <c r="U14750" s="135"/>
    </row>
    <row r="14751" spans="20:21" ht="15" customHeight="1" x14ac:dyDescent="0.25">
      <c r="T14751" s="135"/>
      <c r="U14751" s="135"/>
    </row>
    <row r="14752" spans="20:21" ht="15" customHeight="1" x14ac:dyDescent="0.25">
      <c r="T14752" s="135"/>
      <c r="U14752" s="135"/>
    </row>
    <row r="14753" spans="20:21" ht="15" customHeight="1" x14ac:dyDescent="0.25">
      <c r="T14753" s="135"/>
      <c r="U14753" s="135"/>
    </row>
    <row r="14754" spans="20:21" ht="15" customHeight="1" x14ac:dyDescent="0.25">
      <c r="T14754" s="135"/>
      <c r="U14754" s="135"/>
    </row>
    <row r="14755" spans="20:21" ht="15" customHeight="1" x14ac:dyDescent="0.25">
      <c r="T14755" s="135"/>
      <c r="U14755" s="135"/>
    </row>
    <row r="14756" spans="20:21" ht="15" customHeight="1" x14ac:dyDescent="0.25">
      <c r="T14756" s="135"/>
      <c r="U14756" s="135"/>
    </row>
    <row r="14757" spans="20:21" ht="15" customHeight="1" x14ac:dyDescent="0.25">
      <c r="T14757" s="135"/>
      <c r="U14757" s="135"/>
    </row>
    <row r="14758" spans="20:21" ht="15" customHeight="1" x14ac:dyDescent="0.25">
      <c r="T14758" s="135"/>
      <c r="U14758" s="135"/>
    </row>
    <row r="14759" spans="20:21" ht="15" customHeight="1" x14ac:dyDescent="0.25">
      <c r="T14759" s="135"/>
      <c r="U14759" s="135"/>
    </row>
    <row r="14760" spans="20:21" ht="15" customHeight="1" x14ac:dyDescent="0.25">
      <c r="T14760" s="135"/>
      <c r="U14760" s="135"/>
    </row>
    <row r="14761" spans="20:21" ht="15" customHeight="1" x14ac:dyDescent="0.25">
      <c r="T14761" s="135"/>
      <c r="U14761" s="135"/>
    </row>
    <row r="14762" spans="20:21" ht="15" customHeight="1" x14ac:dyDescent="0.25">
      <c r="T14762" s="135"/>
      <c r="U14762" s="135"/>
    </row>
    <row r="14763" spans="20:21" ht="15" customHeight="1" x14ac:dyDescent="0.25">
      <c r="T14763" s="135"/>
      <c r="U14763" s="135"/>
    </row>
    <row r="14764" spans="20:21" ht="15" customHeight="1" x14ac:dyDescent="0.25">
      <c r="T14764" s="135"/>
      <c r="U14764" s="135"/>
    </row>
    <row r="14765" spans="20:21" ht="15" customHeight="1" x14ac:dyDescent="0.25">
      <c r="T14765" s="135"/>
      <c r="U14765" s="135"/>
    </row>
    <row r="14766" spans="20:21" ht="15" customHeight="1" x14ac:dyDescent="0.25">
      <c r="T14766" s="135"/>
      <c r="U14766" s="135"/>
    </row>
    <row r="14767" spans="20:21" ht="15" customHeight="1" x14ac:dyDescent="0.25">
      <c r="T14767" s="135"/>
      <c r="U14767" s="135"/>
    </row>
    <row r="14768" spans="20:21" ht="15" customHeight="1" x14ac:dyDescent="0.25">
      <c r="T14768" s="135"/>
      <c r="U14768" s="135"/>
    </row>
    <row r="14769" spans="20:21" ht="15" customHeight="1" x14ac:dyDescent="0.25">
      <c r="T14769" s="135"/>
      <c r="U14769" s="135"/>
    </row>
    <row r="14770" spans="20:21" ht="15" customHeight="1" x14ac:dyDescent="0.25">
      <c r="T14770" s="135"/>
      <c r="U14770" s="135"/>
    </row>
    <row r="14771" spans="20:21" ht="15" customHeight="1" x14ac:dyDescent="0.25">
      <c r="T14771" s="135"/>
      <c r="U14771" s="135"/>
    </row>
    <row r="14772" spans="20:21" ht="15" customHeight="1" x14ac:dyDescent="0.25">
      <c r="T14772" s="135"/>
      <c r="U14772" s="135"/>
    </row>
    <row r="14773" spans="20:21" ht="15" customHeight="1" x14ac:dyDescent="0.25">
      <c r="T14773" s="135"/>
      <c r="U14773" s="135"/>
    </row>
    <row r="14774" spans="20:21" ht="15" customHeight="1" x14ac:dyDescent="0.25">
      <c r="T14774" s="135"/>
      <c r="U14774" s="135"/>
    </row>
    <row r="14775" spans="20:21" ht="15" customHeight="1" x14ac:dyDescent="0.25">
      <c r="T14775" s="135"/>
      <c r="U14775" s="135"/>
    </row>
    <row r="14776" spans="20:21" ht="15" customHeight="1" x14ac:dyDescent="0.25">
      <c r="T14776" s="135"/>
      <c r="U14776" s="135"/>
    </row>
    <row r="14777" spans="20:21" ht="15" customHeight="1" x14ac:dyDescent="0.25">
      <c r="T14777" s="135"/>
      <c r="U14777" s="135"/>
    </row>
    <row r="14778" spans="20:21" ht="15" customHeight="1" x14ac:dyDescent="0.25">
      <c r="T14778" s="135"/>
      <c r="U14778" s="135"/>
    </row>
    <row r="14779" spans="20:21" ht="15" customHeight="1" x14ac:dyDescent="0.25">
      <c r="T14779" s="135"/>
      <c r="U14779" s="135"/>
    </row>
    <row r="14780" spans="20:21" ht="15" customHeight="1" x14ac:dyDescent="0.25">
      <c r="T14780" s="135"/>
      <c r="U14780" s="135"/>
    </row>
    <row r="14781" spans="20:21" ht="15" customHeight="1" x14ac:dyDescent="0.25">
      <c r="T14781" s="135"/>
      <c r="U14781" s="135"/>
    </row>
    <row r="14782" spans="20:21" ht="15" customHeight="1" x14ac:dyDescent="0.25">
      <c r="T14782" s="135"/>
      <c r="U14782" s="135"/>
    </row>
    <row r="14783" spans="20:21" ht="15" customHeight="1" x14ac:dyDescent="0.25">
      <c r="T14783" s="135"/>
      <c r="U14783" s="135"/>
    </row>
    <row r="14784" spans="20:21" ht="15" customHeight="1" x14ac:dyDescent="0.25">
      <c r="T14784" s="135"/>
      <c r="U14784" s="135"/>
    </row>
    <row r="14785" spans="20:21" ht="15" customHeight="1" x14ac:dyDescent="0.25">
      <c r="T14785" s="135"/>
      <c r="U14785" s="135"/>
    </row>
    <row r="14786" spans="20:21" ht="15" customHeight="1" x14ac:dyDescent="0.25">
      <c r="T14786" s="135"/>
      <c r="U14786" s="135"/>
    </row>
    <row r="14787" spans="20:21" ht="15" customHeight="1" x14ac:dyDescent="0.25">
      <c r="T14787" s="135"/>
      <c r="U14787" s="135"/>
    </row>
    <row r="14788" spans="20:21" ht="15" customHeight="1" x14ac:dyDescent="0.25">
      <c r="T14788" s="135"/>
      <c r="U14788" s="135"/>
    </row>
    <row r="14789" spans="20:21" ht="15" customHeight="1" x14ac:dyDescent="0.25">
      <c r="T14789" s="135"/>
      <c r="U14789" s="135"/>
    </row>
    <row r="14790" spans="20:21" ht="15" customHeight="1" x14ac:dyDescent="0.25">
      <c r="T14790" s="135"/>
      <c r="U14790" s="135"/>
    </row>
    <row r="14791" spans="20:21" ht="15" customHeight="1" x14ac:dyDescent="0.25">
      <c r="T14791" s="135"/>
      <c r="U14791" s="135"/>
    </row>
    <row r="14792" spans="20:21" ht="15" customHeight="1" x14ac:dyDescent="0.25">
      <c r="T14792" s="135"/>
      <c r="U14792" s="135"/>
    </row>
    <row r="14793" spans="20:21" ht="15" customHeight="1" x14ac:dyDescent="0.25">
      <c r="T14793" s="135"/>
      <c r="U14793" s="135"/>
    </row>
    <row r="14794" spans="20:21" ht="15" customHeight="1" x14ac:dyDescent="0.25">
      <c r="T14794" s="135"/>
      <c r="U14794" s="135"/>
    </row>
    <row r="14795" spans="20:21" ht="15" customHeight="1" x14ac:dyDescent="0.25">
      <c r="T14795" s="135"/>
      <c r="U14795" s="135"/>
    </row>
    <row r="14796" spans="20:21" ht="15" customHeight="1" x14ac:dyDescent="0.25">
      <c r="T14796" s="135"/>
      <c r="U14796" s="135"/>
    </row>
    <row r="14797" spans="20:21" ht="15" customHeight="1" x14ac:dyDescent="0.25">
      <c r="T14797" s="135"/>
      <c r="U14797" s="135"/>
    </row>
    <row r="14798" spans="20:21" ht="15" customHeight="1" x14ac:dyDescent="0.25">
      <c r="T14798" s="135"/>
      <c r="U14798" s="135"/>
    </row>
    <row r="14799" spans="20:21" ht="15" customHeight="1" x14ac:dyDescent="0.25">
      <c r="T14799" s="135"/>
      <c r="U14799" s="135"/>
    </row>
    <row r="14800" spans="20:21" ht="15" customHeight="1" x14ac:dyDescent="0.25">
      <c r="T14800" s="135"/>
      <c r="U14800" s="135"/>
    </row>
    <row r="14801" spans="20:21" ht="15" customHeight="1" x14ac:dyDescent="0.25">
      <c r="T14801" s="135"/>
      <c r="U14801" s="135"/>
    </row>
    <row r="14802" spans="20:21" ht="15" customHeight="1" x14ac:dyDescent="0.25">
      <c r="T14802" s="135"/>
      <c r="U14802" s="135"/>
    </row>
    <row r="14803" spans="20:21" ht="15" customHeight="1" x14ac:dyDescent="0.25">
      <c r="T14803" s="135"/>
      <c r="U14803" s="135"/>
    </row>
    <row r="14804" spans="20:21" ht="15" customHeight="1" x14ac:dyDescent="0.25">
      <c r="T14804" s="135"/>
      <c r="U14804" s="135"/>
    </row>
    <row r="14805" spans="20:21" ht="15" customHeight="1" x14ac:dyDescent="0.25">
      <c r="T14805" s="135"/>
      <c r="U14805" s="135"/>
    </row>
    <row r="14806" spans="20:21" ht="15" customHeight="1" x14ac:dyDescent="0.25">
      <c r="T14806" s="135"/>
      <c r="U14806" s="135"/>
    </row>
    <row r="14807" spans="20:21" ht="15" customHeight="1" x14ac:dyDescent="0.25">
      <c r="T14807" s="135"/>
      <c r="U14807" s="135"/>
    </row>
    <row r="14808" spans="20:21" ht="15" customHeight="1" x14ac:dyDescent="0.25">
      <c r="T14808" s="135"/>
      <c r="U14808" s="135"/>
    </row>
    <row r="14809" spans="20:21" ht="15" customHeight="1" x14ac:dyDescent="0.25">
      <c r="T14809" s="135"/>
      <c r="U14809" s="135"/>
    </row>
    <row r="14810" spans="20:21" ht="15" customHeight="1" x14ac:dyDescent="0.25">
      <c r="T14810" s="135"/>
      <c r="U14810" s="135"/>
    </row>
    <row r="14811" spans="20:21" ht="15" customHeight="1" x14ac:dyDescent="0.25">
      <c r="T14811" s="135"/>
      <c r="U14811" s="135"/>
    </row>
    <row r="14812" spans="20:21" ht="15" customHeight="1" x14ac:dyDescent="0.25">
      <c r="T14812" s="135"/>
      <c r="U14812" s="135"/>
    </row>
    <row r="14813" spans="20:21" ht="15" customHeight="1" x14ac:dyDescent="0.25">
      <c r="T14813" s="135"/>
      <c r="U14813" s="135"/>
    </row>
    <row r="14814" spans="20:21" ht="15" customHeight="1" x14ac:dyDescent="0.25">
      <c r="T14814" s="135"/>
      <c r="U14814" s="135"/>
    </row>
    <row r="14815" spans="20:21" ht="15" customHeight="1" x14ac:dyDescent="0.25">
      <c r="T14815" s="135"/>
      <c r="U14815" s="135"/>
    </row>
    <row r="14816" spans="20:21" ht="15" customHeight="1" x14ac:dyDescent="0.25">
      <c r="T14816" s="135"/>
      <c r="U14816" s="135"/>
    </row>
    <row r="14817" spans="20:21" ht="15" customHeight="1" x14ac:dyDescent="0.25">
      <c r="T14817" s="135"/>
      <c r="U14817" s="135"/>
    </row>
    <row r="14818" spans="20:21" ht="15" customHeight="1" x14ac:dyDescent="0.25">
      <c r="T14818" s="135"/>
      <c r="U14818" s="135"/>
    </row>
    <row r="14819" spans="20:21" ht="15" customHeight="1" x14ac:dyDescent="0.25">
      <c r="T14819" s="135"/>
      <c r="U14819" s="135"/>
    </row>
    <row r="14820" spans="20:21" ht="15" customHeight="1" x14ac:dyDescent="0.25">
      <c r="T14820" s="135"/>
      <c r="U14820" s="135"/>
    </row>
    <row r="14821" spans="20:21" ht="15" customHeight="1" x14ac:dyDescent="0.25">
      <c r="T14821" s="135"/>
      <c r="U14821" s="135"/>
    </row>
    <row r="14822" spans="20:21" ht="15" customHeight="1" x14ac:dyDescent="0.25">
      <c r="T14822" s="135"/>
      <c r="U14822" s="135"/>
    </row>
    <row r="14823" spans="20:21" ht="15" customHeight="1" x14ac:dyDescent="0.25">
      <c r="T14823" s="135"/>
      <c r="U14823" s="135"/>
    </row>
    <row r="14824" spans="20:21" ht="15" customHeight="1" x14ac:dyDescent="0.25">
      <c r="T14824" s="135"/>
      <c r="U14824" s="135"/>
    </row>
    <row r="14825" spans="20:21" ht="15" customHeight="1" x14ac:dyDescent="0.25">
      <c r="T14825" s="135"/>
      <c r="U14825" s="135"/>
    </row>
    <row r="14826" spans="20:21" ht="15" customHeight="1" x14ac:dyDescent="0.25">
      <c r="T14826" s="135"/>
      <c r="U14826" s="135"/>
    </row>
    <row r="14827" spans="20:21" ht="15" customHeight="1" x14ac:dyDescent="0.25">
      <c r="T14827" s="135"/>
      <c r="U14827" s="135"/>
    </row>
    <row r="14828" spans="20:21" ht="15" customHeight="1" x14ac:dyDescent="0.25">
      <c r="T14828" s="135"/>
      <c r="U14828" s="135"/>
    </row>
    <row r="14829" spans="20:21" ht="15" customHeight="1" x14ac:dyDescent="0.25">
      <c r="T14829" s="135"/>
      <c r="U14829" s="135"/>
    </row>
    <row r="14830" spans="20:21" ht="15" customHeight="1" x14ac:dyDescent="0.25">
      <c r="T14830" s="135"/>
      <c r="U14830" s="135"/>
    </row>
    <row r="14831" spans="20:21" ht="15" customHeight="1" x14ac:dyDescent="0.25">
      <c r="T14831" s="135"/>
      <c r="U14831" s="135"/>
    </row>
    <row r="14832" spans="20:21" ht="15" customHeight="1" x14ac:dyDescent="0.25">
      <c r="T14832" s="135"/>
      <c r="U14832" s="135"/>
    </row>
    <row r="14833" spans="20:21" ht="15" customHeight="1" x14ac:dyDescent="0.25">
      <c r="T14833" s="135"/>
      <c r="U14833" s="135"/>
    </row>
    <row r="14834" spans="20:21" ht="15" customHeight="1" x14ac:dyDescent="0.25">
      <c r="T14834" s="135"/>
      <c r="U14834" s="135"/>
    </row>
    <row r="14835" spans="20:21" ht="15" customHeight="1" x14ac:dyDescent="0.25">
      <c r="T14835" s="135"/>
      <c r="U14835" s="135"/>
    </row>
    <row r="14836" spans="20:21" ht="15" customHeight="1" x14ac:dyDescent="0.25">
      <c r="T14836" s="135"/>
      <c r="U14836" s="135"/>
    </row>
    <row r="14837" spans="20:21" ht="15" customHeight="1" x14ac:dyDescent="0.25">
      <c r="T14837" s="135"/>
      <c r="U14837" s="135"/>
    </row>
    <row r="14838" spans="20:21" ht="15" customHeight="1" x14ac:dyDescent="0.25">
      <c r="T14838" s="135"/>
      <c r="U14838" s="135"/>
    </row>
    <row r="14839" spans="20:21" ht="15" customHeight="1" x14ac:dyDescent="0.25">
      <c r="T14839" s="135"/>
      <c r="U14839" s="135"/>
    </row>
    <row r="14840" spans="20:21" ht="15" customHeight="1" x14ac:dyDescent="0.25">
      <c r="T14840" s="135"/>
      <c r="U14840" s="135"/>
    </row>
    <row r="14841" spans="20:21" ht="15" customHeight="1" x14ac:dyDescent="0.25">
      <c r="T14841" s="135"/>
      <c r="U14841" s="135"/>
    </row>
    <row r="14842" spans="20:21" ht="15" customHeight="1" x14ac:dyDescent="0.25">
      <c r="T14842" s="135"/>
      <c r="U14842" s="135"/>
    </row>
    <row r="14843" spans="20:21" ht="15" customHeight="1" x14ac:dyDescent="0.25">
      <c r="T14843" s="135"/>
      <c r="U14843" s="135"/>
    </row>
    <row r="14844" spans="20:21" ht="15" customHeight="1" x14ac:dyDescent="0.25">
      <c r="T14844" s="135"/>
      <c r="U14844" s="135"/>
    </row>
    <row r="14845" spans="20:21" ht="15" customHeight="1" x14ac:dyDescent="0.25">
      <c r="T14845" s="135"/>
      <c r="U14845" s="135"/>
    </row>
    <row r="14846" spans="20:21" ht="15" customHeight="1" x14ac:dyDescent="0.25">
      <c r="T14846" s="135"/>
      <c r="U14846" s="135"/>
    </row>
    <row r="14847" spans="20:21" ht="15" customHeight="1" x14ac:dyDescent="0.25">
      <c r="T14847" s="135"/>
      <c r="U14847" s="135"/>
    </row>
    <row r="14848" spans="20:21" ht="15" customHeight="1" x14ac:dyDescent="0.25">
      <c r="T14848" s="135"/>
      <c r="U14848" s="135"/>
    </row>
    <row r="14849" spans="20:21" ht="15" customHeight="1" x14ac:dyDescent="0.25">
      <c r="T14849" s="135"/>
      <c r="U14849" s="135"/>
    </row>
    <row r="14850" spans="20:21" ht="15" customHeight="1" x14ac:dyDescent="0.25">
      <c r="T14850" s="135"/>
      <c r="U14850" s="135"/>
    </row>
    <row r="14851" spans="20:21" ht="15" customHeight="1" x14ac:dyDescent="0.25">
      <c r="T14851" s="135"/>
      <c r="U14851" s="135"/>
    </row>
    <row r="14852" spans="20:21" ht="15" customHeight="1" x14ac:dyDescent="0.25">
      <c r="T14852" s="135"/>
      <c r="U14852" s="135"/>
    </row>
    <row r="14853" spans="20:21" ht="15" customHeight="1" x14ac:dyDescent="0.25">
      <c r="T14853" s="135"/>
      <c r="U14853" s="135"/>
    </row>
    <row r="14854" spans="20:21" ht="15" customHeight="1" x14ac:dyDescent="0.25">
      <c r="T14854" s="135"/>
      <c r="U14854" s="135"/>
    </row>
    <row r="14855" spans="20:21" ht="15" customHeight="1" x14ac:dyDescent="0.25">
      <c r="T14855" s="135"/>
      <c r="U14855" s="135"/>
    </row>
    <row r="14856" spans="20:21" ht="15" customHeight="1" x14ac:dyDescent="0.25">
      <c r="T14856" s="135"/>
      <c r="U14856" s="135"/>
    </row>
    <row r="14857" spans="20:21" ht="15" customHeight="1" x14ac:dyDescent="0.25">
      <c r="T14857" s="135"/>
      <c r="U14857" s="135"/>
    </row>
    <row r="14858" spans="20:21" ht="15" customHeight="1" x14ac:dyDescent="0.25">
      <c r="T14858" s="135"/>
      <c r="U14858" s="135"/>
    </row>
    <row r="14859" spans="20:21" ht="15" customHeight="1" x14ac:dyDescent="0.25">
      <c r="T14859" s="135"/>
      <c r="U14859" s="135"/>
    </row>
    <row r="14860" spans="20:21" ht="15" customHeight="1" x14ac:dyDescent="0.25">
      <c r="T14860" s="135"/>
      <c r="U14860" s="135"/>
    </row>
    <row r="14861" spans="20:21" ht="15" customHeight="1" x14ac:dyDescent="0.25">
      <c r="T14861" s="135"/>
      <c r="U14861" s="135"/>
    </row>
    <row r="14862" spans="20:21" ht="15" customHeight="1" x14ac:dyDescent="0.25">
      <c r="T14862" s="135"/>
      <c r="U14862" s="135"/>
    </row>
    <row r="14863" spans="20:21" ht="15" customHeight="1" x14ac:dyDescent="0.25">
      <c r="T14863" s="135"/>
      <c r="U14863" s="135"/>
    </row>
    <row r="14864" spans="20:21" ht="15" customHeight="1" x14ac:dyDescent="0.25">
      <c r="T14864" s="135"/>
      <c r="U14864" s="135"/>
    </row>
    <row r="14865" spans="20:21" ht="15" customHeight="1" x14ac:dyDescent="0.25">
      <c r="T14865" s="135"/>
      <c r="U14865" s="135"/>
    </row>
    <row r="14866" spans="20:21" ht="15" customHeight="1" x14ac:dyDescent="0.25">
      <c r="T14866" s="135"/>
      <c r="U14866" s="135"/>
    </row>
    <row r="14867" spans="20:21" ht="15" customHeight="1" x14ac:dyDescent="0.25">
      <c r="T14867" s="135"/>
      <c r="U14867" s="135"/>
    </row>
    <row r="14868" spans="20:21" ht="15" customHeight="1" x14ac:dyDescent="0.25">
      <c r="T14868" s="135"/>
      <c r="U14868" s="135"/>
    </row>
    <row r="14869" spans="20:21" ht="15" customHeight="1" x14ac:dyDescent="0.25">
      <c r="T14869" s="135"/>
      <c r="U14869" s="135"/>
    </row>
    <row r="14870" spans="20:21" ht="15" customHeight="1" x14ac:dyDescent="0.25">
      <c r="T14870" s="135"/>
      <c r="U14870" s="135"/>
    </row>
    <row r="14871" spans="20:21" ht="15" customHeight="1" x14ac:dyDescent="0.25">
      <c r="T14871" s="135"/>
      <c r="U14871" s="135"/>
    </row>
    <row r="14872" spans="20:21" ht="15" customHeight="1" x14ac:dyDescent="0.25">
      <c r="T14872" s="135"/>
      <c r="U14872" s="135"/>
    </row>
    <row r="14873" spans="20:21" ht="15" customHeight="1" x14ac:dyDescent="0.25">
      <c r="T14873" s="135"/>
      <c r="U14873" s="135"/>
    </row>
    <row r="14874" spans="20:21" ht="15" customHeight="1" x14ac:dyDescent="0.25">
      <c r="T14874" s="135"/>
      <c r="U14874" s="135"/>
    </row>
    <row r="14875" spans="20:21" ht="15" customHeight="1" x14ac:dyDescent="0.25">
      <c r="T14875" s="135"/>
      <c r="U14875" s="135"/>
    </row>
    <row r="14876" spans="20:21" ht="15" customHeight="1" x14ac:dyDescent="0.25">
      <c r="T14876" s="135"/>
      <c r="U14876" s="135"/>
    </row>
    <row r="14877" spans="20:21" ht="15" customHeight="1" x14ac:dyDescent="0.25">
      <c r="T14877" s="135"/>
      <c r="U14877" s="135"/>
    </row>
    <row r="14878" spans="20:21" ht="15" customHeight="1" x14ac:dyDescent="0.25">
      <c r="T14878" s="135"/>
      <c r="U14878" s="135"/>
    </row>
    <row r="14879" spans="20:21" ht="15" customHeight="1" x14ac:dyDescent="0.25">
      <c r="T14879" s="135"/>
      <c r="U14879" s="135"/>
    </row>
    <row r="14880" spans="20:21" ht="15" customHeight="1" x14ac:dyDescent="0.25">
      <c r="T14880" s="135"/>
      <c r="U14880" s="135"/>
    </row>
    <row r="14881" spans="20:21" ht="15" customHeight="1" x14ac:dyDescent="0.25">
      <c r="T14881" s="135"/>
      <c r="U14881" s="135"/>
    </row>
    <row r="14882" spans="20:21" ht="15" customHeight="1" x14ac:dyDescent="0.25">
      <c r="T14882" s="135"/>
      <c r="U14882" s="135"/>
    </row>
    <row r="14883" spans="20:21" ht="15" customHeight="1" x14ac:dyDescent="0.25">
      <c r="T14883" s="135"/>
      <c r="U14883" s="135"/>
    </row>
    <row r="14884" spans="20:21" ht="15" customHeight="1" x14ac:dyDescent="0.25">
      <c r="T14884" s="135"/>
      <c r="U14884" s="135"/>
    </row>
    <row r="14885" spans="20:21" ht="15" customHeight="1" x14ac:dyDescent="0.25">
      <c r="T14885" s="135"/>
      <c r="U14885" s="135"/>
    </row>
    <row r="14886" spans="20:21" ht="15" customHeight="1" x14ac:dyDescent="0.25">
      <c r="T14886" s="135"/>
      <c r="U14886" s="135"/>
    </row>
    <row r="14887" spans="20:21" ht="15" customHeight="1" x14ac:dyDescent="0.25">
      <c r="T14887" s="135"/>
      <c r="U14887" s="135"/>
    </row>
    <row r="14888" spans="20:21" ht="15" customHeight="1" x14ac:dyDescent="0.25">
      <c r="T14888" s="135"/>
      <c r="U14888" s="135"/>
    </row>
    <row r="14889" spans="20:21" ht="15" customHeight="1" x14ac:dyDescent="0.25">
      <c r="T14889" s="135"/>
      <c r="U14889" s="135"/>
    </row>
    <row r="14890" spans="20:21" ht="15" customHeight="1" x14ac:dyDescent="0.25">
      <c r="T14890" s="135"/>
      <c r="U14890" s="135"/>
    </row>
    <row r="14891" spans="20:21" ht="15" customHeight="1" x14ac:dyDescent="0.25">
      <c r="T14891" s="135"/>
      <c r="U14891" s="135"/>
    </row>
    <row r="14892" spans="20:21" ht="15" customHeight="1" x14ac:dyDescent="0.25">
      <c r="T14892" s="135"/>
      <c r="U14892" s="135"/>
    </row>
    <row r="14893" spans="20:21" ht="15" customHeight="1" x14ac:dyDescent="0.25">
      <c r="T14893" s="135"/>
      <c r="U14893" s="135"/>
    </row>
    <row r="14894" spans="20:21" ht="15" customHeight="1" x14ac:dyDescent="0.25">
      <c r="T14894" s="135"/>
      <c r="U14894" s="135"/>
    </row>
    <row r="14895" spans="20:21" ht="15" customHeight="1" x14ac:dyDescent="0.25">
      <c r="T14895" s="135"/>
      <c r="U14895" s="135"/>
    </row>
    <row r="14896" spans="20:21" ht="15" customHeight="1" x14ac:dyDescent="0.25">
      <c r="T14896" s="135"/>
      <c r="U14896" s="135"/>
    </row>
    <row r="14897" spans="20:21" ht="15" customHeight="1" x14ac:dyDescent="0.25">
      <c r="T14897" s="135"/>
      <c r="U14897" s="135"/>
    </row>
    <row r="14898" spans="20:21" ht="15" customHeight="1" x14ac:dyDescent="0.25">
      <c r="T14898" s="135"/>
      <c r="U14898" s="135"/>
    </row>
    <row r="14899" spans="20:21" ht="15" customHeight="1" x14ac:dyDescent="0.25">
      <c r="T14899" s="135"/>
      <c r="U14899" s="135"/>
    </row>
    <row r="14900" spans="20:21" ht="15" customHeight="1" x14ac:dyDescent="0.25">
      <c r="T14900" s="135"/>
      <c r="U14900" s="135"/>
    </row>
    <row r="14901" spans="20:21" ht="15" customHeight="1" x14ac:dyDescent="0.25">
      <c r="T14901" s="135"/>
      <c r="U14901" s="135"/>
    </row>
    <row r="14902" spans="20:21" ht="15" customHeight="1" x14ac:dyDescent="0.25">
      <c r="T14902" s="135"/>
      <c r="U14902" s="135"/>
    </row>
    <row r="14903" spans="20:21" ht="15" customHeight="1" x14ac:dyDescent="0.25">
      <c r="T14903" s="135"/>
      <c r="U14903" s="135"/>
    </row>
    <row r="14904" spans="20:21" ht="15" customHeight="1" x14ac:dyDescent="0.25">
      <c r="T14904" s="135"/>
      <c r="U14904" s="135"/>
    </row>
    <row r="14905" spans="20:21" ht="15" customHeight="1" x14ac:dyDescent="0.25">
      <c r="T14905" s="135"/>
      <c r="U14905" s="135"/>
    </row>
    <row r="14906" spans="20:21" ht="15" customHeight="1" x14ac:dyDescent="0.25">
      <c r="T14906" s="135"/>
      <c r="U14906" s="135"/>
    </row>
    <row r="14907" spans="20:21" ht="15" customHeight="1" x14ac:dyDescent="0.25">
      <c r="T14907" s="135"/>
      <c r="U14907" s="135"/>
    </row>
    <row r="14908" spans="20:21" ht="15" customHeight="1" x14ac:dyDescent="0.25">
      <c r="T14908" s="135"/>
      <c r="U14908" s="135"/>
    </row>
    <row r="14909" spans="20:21" ht="15" customHeight="1" x14ac:dyDescent="0.25">
      <c r="T14909" s="135"/>
      <c r="U14909" s="135"/>
    </row>
    <row r="14910" spans="20:21" ht="15" customHeight="1" x14ac:dyDescent="0.25">
      <c r="T14910" s="135"/>
      <c r="U14910" s="135"/>
    </row>
    <row r="14911" spans="20:21" ht="15" customHeight="1" x14ac:dyDescent="0.25">
      <c r="T14911" s="135"/>
      <c r="U14911" s="135"/>
    </row>
    <row r="14912" spans="20:21" ht="15" customHeight="1" x14ac:dyDescent="0.25">
      <c r="T14912" s="135"/>
      <c r="U14912" s="135"/>
    </row>
    <row r="14913" spans="20:21" ht="15" customHeight="1" x14ac:dyDescent="0.25">
      <c r="T14913" s="135"/>
      <c r="U14913" s="135"/>
    </row>
    <row r="14914" spans="20:21" ht="15" customHeight="1" x14ac:dyDescent="0.25">
      <c r="T14914" s="135"/>
      <c r="U14914" s="135"/>
    </row>
    <row r="14915" spans="20:21" ht="15" customHeight="1" x14ac:dyDescent="0.25">
      <c r="T14915" s="135"/>
      <c r="U14915" s="135"/>
    </row>
    <row r="14916" spans="20:21" ht="15" customHeight="1" x14ac:dyDescent="0.25">
      <c r="T14916" s="135"/>
      <c r="U14916" s="135"/>
    </row>
    <row r="14917" spans="20:21" ht="15" customHeight="1" x14ac:dyDescent="0.25">
      <c r="T14917" s="135"/>
      <c r="U14917" s="135"/>
    </row>
    <row r="14918" spans="20:21" ht="15" customHeight="1" x14ac:dyDescent="0.25">
      <c r="T14918" s="135"/>
      <c r="U14918" s="135"/>
    </row>
    <row r="14919" spans="20:21" ht="15" customHeight="1" x14ac:dyDescent="0.25">
      <c r="T14919" s="135"/>
      <c r="U14919" s="135"/>
    </row>
    <row r="14920" spans="20:21" ht="15" customHeight="1" x14ac:dyDescent="0.25">
      <c r="T14920" s="135"/>
      <c r="U14920" s="135"/>
    </row>
    <row r="14921" spans="20:21" ht="15" customHeight="1" x14ac:dyDescent="0.25">
      <c r="T14921" s="135"/>
      <c r="U14921" s="135"/>
    </row>
    <row r="14922" spans="20:21" ht="15" customHeight="1" x14ac:dyDescent="0.25">
      <c r="T14922" s="135"/>
      <c r="U14922" s="135"/>
    </row>
    <row r="14923" spans="20:21" ht="15" customHeight="1" x14ac:dyDescent="0.25">
      <c r="T14923" s="135"/>
      <c r="U14923" s="135"/>
    </row>
    <row r="14924" spans="20:21" ht="15" customHeight="1" x14ac:dyDescent="0.25">
      <c r="T14924" s="135"/>
      <c r="U14924" s="135"/>
    </row>
    <row r="14925" spans="20:21" ht="15" customHeight="1" x14ac:dyDescent="0.25">
      <c r="T14925" s="135"/>
      <c r="U14925" s="135"/>
    </row>
    <row r="14926" spans="20:21" ht="15" customHeight="1" x14ac:dyDescent="0.25">
      <c r="T14926" s="135"/>
      <c r="U14926" s="135"/>
    </row>
    <row r="14927" spans="20:21" ht="15" customHeight="1" x14ac:dyDescent="0.25">
      <c r="T14927" s="135"/>
      <c r="U14927" s="135"/>
    </row>
    <row r="14928" spans="20:21" ht="15" customHeight="1" x14ac:dyDescent="0.25">
      <c r="T14928" s="135"/>
      <c r="U14928" s="135"/>
    </row>
    <row r="14929" spans="20:21" ht="15" customHeight="1" x14ac:dyDescent="0.25">
      <c r="T14929" s="135"/>
      <c r="U14929" s="135"/>
    </row>
    <row r="14930" spans="20:21" ht="15" customHeight="1" x14ac:dyDescent="0.25">
      <c r="T14930" s="135"/>
      <c r="U14930" s="135"/>
    </row>
    <row r="14931" spans="20:21" ht="15" customHeight="1" x14ac:dyDescent="0.25">
      <c r="T14931" s="135"/>
      <c r="U14931" s="135"/>
    </row>
    <row r="14932" spans="20:21" ht="15" customHeight="1" x14ac:dyDescent="0.25">
      <c r="T14932" s="135"/>
      <c r="U14932" s="135"/>
    </row>
    <row r="14933" spans="20:21" ht="15" customHeight="1" x14ac:dyDescent="0.25">
      <c r="T14933" s="135"/>
      <c r="U14933" s="135"/>
    </row>
    <row r="14934" spans="20:21" ht="15" customHeight="1" x14ac:dyDescent="0.25">
      <c r="T14934" s="135"/>
      <c r="U14934" s="135"/>
    </row>
    <row r="14935" spans="20:21" ht="15" customHeight="1" x14ac:dyDescent="0.25">
      <c r="T14935" s="135"/>
      <c r="U14935" s="135"/>
    </row>
    <row r="14936" spans="20:21" ht="15" customHeight="1" x14ac:dyDescent="0.25">
      <c r="T14936" s="135"/>
      <c r="U14936" s="135"/>
    </row>
    <row r="14937" spans="20:21" ht="15" customHeight="1" x14ac:dyDescent="0.25">
      <c r="T14937" s="135"/>
      <c r="U14937" s="135"/>
    </row>
    <row r="14938" spans="20:21" ht="15" customHeight="1" x14ac:dyDescent="0.25">
      <c r="T14938" s="135"/>
      <c r="U14938" s="135"/>
    </row>
    <row r="14939" spans="20:21" ht="15" customHeight="1" x14ac:dyDescent="0.25">
      <c r="T14939" s="135"/>
      <c r="U14939" s="135"/>
    </row>
    <row r="14940" spans="20:21" ht="15" customHeight="1" x14ac:dyDescent="0.25">
      <c r="T14940" s="135"/>
      <c r="U14940" s="135"/>
    </row>
    <row r="14941" spans="20:21" ht="15" customHeight="1" x14ac:dyDescent="0.25">
      <c r="T14941" s="135"/>
      <c r="U14941" s="135"/>
    </row>
    <row r="14942" spans="20:21" ht="15" customHeight="1" x14ac:dyDescent="0.25">
      <c r="T14942" s="135"/>
      <c r="U14942" s="135"/>
    </row>
    <row r="14943" spans="20:21" ht="15" customHeight="1" x14ac:dyDescent="0.25">
      <c r="T14943" s="135"/>
      <c r="U14943" s="135"/>
    </row>
    <row r="14944" spans="20:21" ht="15" customHeight="1" x14ac:dyDescent="0.25">
      <c r="T14944" s="135"/>
      <c r="U14944" s="135"/>
    </row>
    <row r="14945" spans="20:21" ht="15" customHeight="1" x14ac:dyDescent="0.25">
      <c r="T14945" s="135"/>
      <c r="U14945" s="135"/>
    </row>
    <row r="14946" spans="20:21" ht="15" customHeight="1" x14ac:dyDescent="0.25">
      <c r="T14946" s="135"/>
      <c r="U14946" s="135"/>
    </row>
    <row r="14947" spans="20:21" ht="15" customHeight="1" x14ac:dyDescent="0.25">
      <c r="T14947" s="135"/>
      <c r="U14947" s="135"/>
    </row>
    <row r="14948" spans="20:21" ht="15" customHeight="1" x14ac:dyDescent="0.25">
      <c r="T14948" s="135"/>
      <c r="U14948" s="135"/>
    </row>
    <row r="14949" spans="20:21" ht="15" customHeight="1" x14ac:dyDescent="0.25">
      <c r="T14949" s="135"/>
      <c r="U14949" s="135"/>
    </row>
    <row r="14950" spans="20:21" ht="15" customHeight="1" x14ac:dyDescent="0.25">
      <c r="T14950" s="135"/>
      <c r="U14950" s="135"/>
    </row>
    <row r="14951" spans="20:21" ht="15" customHeight="1" x14ac:dyDescent="0.25">
      <c r="T14951" s="135"/>
      <c r="U14951" s="135"/>
    </row>
    <row r="14952" spans="20:21" ht="15" customHeight="1" x14ac:dyDescent="0.25">
      <c r="T14952" s="135"/>
      <c r="U14952" s="135"/>
    </row>
    <row r="14953" spans="20:21" ht="15" customHeight="1" x14ac:dyDescent="0.25">
      <c r="T14953" s="135"/>
      <c r="U14953" s="135"/>
    </row>
    <row r="14954" spans="20:21" ht="15" customHeight="1" x14ac:dyDescent="0.25">
      <c r="T14954" s="135"/>
      <c r="U14954" s="135"/>
    </row>
    <row r="14955" spans="20:21" ht="15" customHeight="1" x14ac:dyDescent="0.25">
      <c r="T14955" s="135"/>
      <c r="U14955" s="135"/>
    </row>
    <row r="14956" spans="20:21" ht="15" customHeight="1" x14ac:dyDescent="0.25">
      <c r="T14956" s="135"/>
      <c r="U14956" s="135"/>
    </row>
    <row r="14957" spans="20:21" ht="15" customHeight="1" x14ac:dyDescent="0.25">
      <c r="T14957" s="135"/>
      <c r="U14957" s="135"/>
    </row>
    <row r="14958" spans="20:21" ht="15" customHeight="1" x14ac:dyDescent="0.25">
      <c r="T14958" s="135"/>
      <c r="U14958" s="135"/>
    </row>
    <row r="14959" spans="20:21" ht="15" customHeight="1" x14ac:dyDescent="0.25">
      <c r="T14959" s="135"/>
      <c r="U14959" s="135"/>
    </row>
    <row r="14960" spans="20:21" ht="15" customHeight="1" x14ac:dyDescent="0.25">
      <c r="T14960" s="135"/>
      <c r="U14960" s="135"/>
    </row>
    <row r="14961" spans="20:21" ht="15" customHeight="1" x14ac:dyDescent="0.25">
      <c r="T14961" s="135"/>
      <c r="U14961" s="135"/>
    </row>
    <row r="14962" spans="20:21" ht="15" customHeight="1" x14ac:dyDescent="0.25">
      <c r="T14962" s="135"/>
      <c r="U14962" s="135"/>
    </row>
    <row r="14963" spans="20:21" ht="15" customHeight="1" x14ac:dyDescent="0.25">
      <c r="T14963" s="135"/>
      <c r="U14963" s="135"/>
    </row>
    <row r="14964" spans="20:21" ht="15" customHeight="1" x14ac:dyDescent="0.25">
      <c r="T14964" s="135"/>
      <c r="U14964" s="135"/>
    </row>
    <row r="14965" spans="20:21" ht="15" customHeight="1" x14ac:dyDescent="0.25">
      <c r="T14965" s="135"/>
      <c r="U14965" s="135"/>
    </row>
    <row r="14966" spans="20:21" ht="15" customHeight="1" x14ac:dyDescent="0.25">
      <c r="T14966" s="135"/>
      <c r="U14966" s="135"/>
    </row>
    <row r="14967" spans="20:21" ht="15" customHeight="1" x14ac:dyDescent="0.25">
      <c r="T14967" s="135"/>
      <c r="U14967" s="135"/>
    </row>
    <row r="14968" spans="20:21" ht="15" customHeight="1" x14ac:dyDescent="0.25">
      <c r="T14968" s="135"/>
      <c r="U14968" s="135"/>
    </row>
    <row r="14969" spans="20:21" ht="15" customHeight="1" x14ac:dyDescent="0.25">
      <c r="T14969" s="135"/>
      <c r="U14969" s="135"/>
    </row>
    <row r="14970" spans="20:21" ht="15" customHeight="1" x14ac:dyDescent="0.25">
      <c r="T14970" s="135"/>
      <c r="U14970" s="135"/>
    </row>
    <row r="14971" spans="20:21" ht="15" customHeight="1" x14ac:dyDescent="0.25">
      <c r="T14971" s="135"/>
      <c r="U14971" s="135"/>
    </row>
    <row r="14972" spans="20:21" ht="15" customHeight="1" x14ac:dyDescent="0.25">
      <c r="T14972" s="135"/>
      <c r="U14972" s="135"/>
    </row>
    <row r="14973" spans="20:21" ht="15" customHeight="1" x14ac:dyDescent="0.25">
      <c r="T14973" s="135"/>
      <c r="U14973" s="135"/>
    </row>
    <row r="14974" spans="20:21" ht="15" customHeight="1" x14ac:dyDescent="0.25">
      <c r="T14974" s="135"/>
      <c r="U14974" s="135"/>
    </row>
    <row r="14975" spans="20:21" ht="15" customHeight="1" x14ac:dyDescent="0.25">
      <c r="T14975" s="135"/>
      <c r="U14975" s="135"/>
    </row>
    <row r="14976" spans="20:21" ht="15" customHeight="1" x14ac:dyDescent="0.25">
      <c r="T14976" s="135"/>
      <c r="U14976" s="135"/>
    </row>
    <row r="14977" spans="20:21" ht="15" customHeight="1" x14ac:dyDescent="0.25">
      <c r="T14977" s="135"/>
      <c r="U14977" s="135"/>
    </row>
    <row r="14978" spans="20:21" ht="15" customHeight="1" x14ac:dyDescent="0.25">
      <c r="T14978" s="135"/>
      <c r="U14978" s="135"/>
    </row>
    <row r="14979" spans="20:21" ht="15" customHeight="1" x14ac:dyDescent="0.25">
      <c r="T14979" s="135"/>
      <c r="U14979" s="135"/>
    </row>
    <row r="14980" spans="20:21" ht="15" customHeight="1" x14ac:dyDescent="0.25">
      <c r="T14980" s="135"/>
      <c r="U14980" s="135"/>
    </row>
    <row r="14981" spans="20:21" ht="15" customHeight="1" x14ac:dyDescent="0.25">
      <c r="T14981" s="135"/>
      <c r="U14981" s="135"/>
    </row>
    <row r="14982" spans="20:21" ht="15" customHeight="1" x14ac:dyDescent="0.25">
      <c r="T14982" s="135"/>
      <c r="U14982" s="135"/>
    </row>
    <row r="14983" spans="20:21" ht="15" customHeight="1" x14ac:dyDescent="0.25">
      <c r="T14983" s="135"/>
      <c r="U14983" s="135"/>
    </row>
    <row r="14984" spans="20:21" ht="15" customHeight="1" x14ac:dyDescent="0.25">
      <c r="T14984" s="135"/>
      <c r="U14984" s="135"/>
    </row>
    <row r="14985" spans="20:21" ht="15" customHeight="1" x14ac:dyDescent="0.25">
      <c r="T14985" s="135"/>
      <c r="U14985" s="135"/>
    </row>
    <row r="14986" spans="20:21" ht="15" customHeight="1" x14ac:dyDescent="0.25">
      <c r="T14986" s="135"/>
      <c r="U14986" s="135"/>
    </row>
    <row r="14987" spans="20:21" ht="15" customHeight="1" x14ac:dyDescent="0.25">
      <c r="T14987" s="135"/>
      <c r="U14987" s="135"/>
    </row>
    <row r="14988" spans="20:21" ht="15" customHeight="1" x14ac:dyDescent="0.25">
      <c r="T14988" s="135"/>
      <c r="U14988" s="135"/>
    </row>
    <row r="14989" spans="20:21" ht="15" customHeight="1" x14ac:dyDescent="0.25">
      <c r="T14989" s="135"/>
      <c r="U14989" s="135"/>
    </row>
    <row r="14990" spans="20:21" ht="15" customHeight="1" x14ac:dyDescent="0.25">
      <c r="T14990" s="135"/>
      <c r="U14990" s="135"/>
    </row>
    <row r="14991" spans="20:21" ht="15" customHeight="1" x14ac:dyDescent="0.25">
      <c r="T14991" s="135"/>
      <c r="U14991" s="135"/>
    </row>
    <row r="14992" spans="20:21" ht="15" customHeight="1" x14ac:dyDescent="0.25">
      <c r="T14992" s="135"/>
      <c r="U14992" s="135"/>
    </row>
    <row r="14993" spans="20:21" ht="15" customHeight="1" x14ac:dyDescent="0.25">
      <c r="T14993" s="135"/>
      <c r="U14993" s="135"/>
    </row>
    <row r="14994" spans="20:21" ht="15" customHeight="1" x14ac:dyDescent="0.25">
      <c r="T14994" s="135"/>
      <c r="U14994" s="135"/>
    </row>
    <row r="14995" spans="20:21" ht="15" customHeight="1" x14ac:dyDescent="0.25">
      <c r="T14995" s="135"/>
      <c r="U14995" s="135"/>
    </row>
    <row r="14996" spans="20:21" ht="15" customHeight="1" x14ac:dyDescent="0.25">
      <c r="T14996" s="135"/>
      <c r="U14996" s="135"/>
    </row>
    <row r="14997" spans="20:21" ht="15" customHeight="1" x14ac:dyDescent="0.25">
      <c r="T14997" s="135"/>
      <c r="U14997" s="135"/>
    </row>
    <row r="14998" spans="20:21" ht="15" customHeight="1" x14ac:dyDescent="0.25">
      <c r="T14998" s="135"/>
      <c r="U14998" s="135"/>
    </row>
    <row r="14999" spans="20:21" ht="15" customHeight="1" x14ac:dyDescent="0.25">
      <c r="T14999" s="135"/>
      <c r="U14999" s="135"/>
    </row>
    <row r="15000" spans="20:21" ht="15" customHeight="1" x14ac:dyDescent="0.25">
      <c r="T15000" s="135"/>
      <c r="U15000" s="135"/>
    </row>
    <row r="15001" spans="20:21" ht="15" customHeight="1" x14ac:dyDescent="0.25">
      <c r="T15001" s="135"/>
      <c r="U15001" s="135"/>
    </row>
    <row r="15002" spans="20:21" ht="15" customHeight="1" x14ac:dyDescent="0.25">
      <c r="T15002" s="135"/>
      <c r="U15002" s="135"/>
    </row>
    <row r="15003" spans="20:21" ht="15" customHeight="1" x14ac:dyDescent="0.25">
      <c r="T15003" s="135"/>
      <c r="U15003" s="135"/>
    </row>
    <row r="15004" spans="20:21" ht="15" customHeight="1" x14ac:dyDescent="0.25">
      <c r="T15004" s="135"/>
      <c r="U15004" s="135"/>
    </row>
    <row r="15005" spans="20:21" ht="15" customHeight="1" x14ac:dyDescent="0.25">
      <c r="T15005" s="135"/>
      <c r="U15005" s="135"/>
    </row>
    <row r="15006" spans="20:21" ht="15" customHeight="1" x14ac:dyDescent="0.25">
      <c r="T15006" s="135"/>
      <c r="U15006" s="135"/>
    </row>
    <row r="15007" spans="20:21" ht="15" customHeight="1" x14ac:dyDescent="0.25">
      <c r="T15007" s="135"/>
      <c r="U15007" s="135"/>
    </row>
    <row r="15008" spans="20:21" ht="15" customHeight="1" x14ac:dyDescent="0.25">
      <c r="T15008" s="135"/>
      <c r="U15008" s="135"/>
    </row>
    <row r="15009" spans="20:21" ht="15" customHeight="1" x14ac:dyDescent="0.25">
      <c r="T15009" s="135"/>
      <c r="U15009" s="135"/>
    </row>
    <row r="15010" spans="20:21" ht="15" customHeight="1" x14ac:dyDescent="0.25">
      <c r="T15010" s="135"/>
      <c r="U15010" s="135"/>
    </row>
    <row r="15011" spans="20:21" ht="15" customHeight="1" x14ac:dyDescent="0.25">
      <c r="T15011" s="135"/>
      <c r="U15011" s="135"/>
    </row>
    <row r="15012" spans="20:21" ht="15" customHeight="1" x14ac:dyDescent="0.25">
      <c r="T15012" s="135"/>
      <c r="U15012" s="135"/>
    </row>
    <row r="15013" spans="20:21" ht="15" customHeight="1" x14ac:dyDescent="0.25">
      <c r="T15013" s="135"/>
      <c r="U15013" s="135"/>
    </row>
    <row r="15014" spans="20:21" ht="15" customHeight="1" x14ac:dyDescent="0.25">
      <c r="T15014" s="135"/>
      <c r="U15014" s="135"/>
    </row>
    <row r="15015" spans="20:21" ht="15" customHeight="1" x14ac:dyDescent="0.25">
      <c r="T15015" s="135"/>
      <c r="U15015" s="135"/>
    </row>
    <row r="15016" spans="20:21" ht="15" customHeight="1" x14ac:dyDescent="0.25">
      <c r="T15016" s="135"/>
      <c r="U15016" s="135"/>
    </row>
    <row r="15017" spans="20:21" ht="15" customHeight="1" x14ac:dyDescent="0.25">
      <c r="T15017" s="135"/>
      <c r="U15017" s="135"/>
    </row>
    <row r="15018" spans="20:21" ht="15" customHeight="1" x14ac:dyDescent="0.25">
      <c r="T15018" s="135"/>
      <c r="U15018" s="135"/>
    </row>
    <row r="15019" spans="20:21" ht="15" customHeight="1" x14ac:dyDescent="0.25">
      <c r="T15019" s="135"/>
      <c r="U15019" s="135"/>
    </row>
    <row r="15020" spans="20:21" ht="15" customHeight="1" x14ac:dyDescent="0.25">
      <c r="T15020" s="135"/>
      <c r="U15020" s="135"/>
    </row>
    <row r="15021" spans="20:21" ht="15" customHeight="1" x14ac:dyDescent="0.25">
      <c r="T15021" s="135"/>
      <c r="U15021" s="135"/>
    </row>
    <row r="15022" spans="20:21" ht="15" customHeight="1" x14ac:dyDescent="0.25">
      <c r="T15022" s="135"/>
      <c r="U15022" s="135"/>
    </row>
    <row r="15023" spans="20:21" ht="15" customHeight="1" x14ac:dyDescent="0.25">
      <c r="T15023" s="135"/>
      <c r="U15023" s="135"/>
    </row>
    <row r="15024" spans="20:21" ht="15" customHeight="1" x14ac:dyDescent="0.25">
      <c r="T15024" s="135"/>
      <c r="U15024" s="135"/>
    </row>
    <row r="15025" spans="20:21" ht="15" customHeight="1" x14ac:dyDescent="0.25">
      <c r="T15025" s="135"/>
      <c r="U15025" s="135"/>
    </row>
    <row r="15026" spans="20:21" ht="15" customHeight="1" x14ac:dyDescent="0.25">
      <c r="T15026" s="135"/>
      <c r="U15026" s="135"/>
    </row>
    <row r="15027" spans="20:21" ht="15" customHeight="1" x14ac:dyDescent="0.25">
      <c r="T15027" s="135"/>
      <c r="U15027" s="135"/>
    </row>
    <row r="15028" spans="20:21" ht="15" customHeight="1" x14ac:dyDescent="0.25">
      <c r="T15028" s="135"/>
      <c r="U15028" s="135"/>
    </row>
    <row r="15029" spans="20:21" ht="15" customHeight="1" x14ac:dyDescent="0.25">
      <c r="T15029" s="135"/>
      <c r="U15029" s="135"/>
    </row>
    <row r="15030" spans="20:21" ht="15" customHeight="1" x14ac:dyDescent="0.25">
      <c r="T15030" s="135"/>
      <c r="U15030" s="135"/>
    </row>
    <row r="15031" spans="20:21" ht="15" customHeight="1" x14ac:dyDescent="0.25">
      <c r="T15031" s="135"/>
      <c r="U15031" s="135"/>
    </row>
    <row r="15032" spans="20:21" ht="15" customHeight="1" x14ac:dyDescent="0.25">
      <c r="T15032" s="135"/>
      <c r="U15032" s="135"/>
    </row>
    <row r="15033" spans="20:21" ht="15" customHeight="1" x14ac:dyDescent="0.25">
      <c r="T15033" s="135"/>
      <c r="U15033" s="135"/>
    </row>
    <row r="15034" spans="20:21" ht="15" customHeight="1" x14ac:dyDescent="0.25">
      <c r="T15034" s="135"/>
      <c r="U15034" s="135"/>
    </row>
    <row r="15035" spans="20:21" ht="15" customHeight="1" x14ac:dyDescent="0.25">
      <c r="T15035" s="135"/>
      <c r="U15035" s="135"/>
    </row>
    <row r="15036" spans="20:21" ht="15" customHeight="1" x14ac:dyDescent="0.25">
      <c r="T15036" s="135"/>
      <c r="U15036" s="135"/>
    </row>
    <row r="15037" spans="20:21" ht="15" customHeight="1" x14ac:dyDescent="0.25">
      <c r="T15037" s="135"/>
      <c r="U15037" s="135"/>
    </row>
    <row r="15038" spans="20:21" ht="15" customHeight="1" x14ac:dyDescent="0.25">
      <c r="T15038" s="135"/>
      <c r="U15038" s="135"/>
    </row>
    <row r="15039" spans="20:21" ht="15" customHeight="1" x14ac:dyDescent="0.25">
      <c r="T15039" s="135"/>
      <c r="U15039" s="135"/>
    </row>
    <row r="15040" spans="20:21" ht="15" customHeight="1" x14ac:dyDescent="0.25">
      <c r="T15040" s="135"/>
      <c r="U15040" s="135"/>
    </row>
    <row r="15041" spans="20:21" ht="15" customHeight="1" x14ac:dyDescent="0.25">
      <c r="T15041" s="135"/>
      <c r="U15041" s="135"/>
    </row>
    <row r="15042" spans="20:21" ht="15" customHeight="1" x14ac:dyDescent="0.25">
      <c r="T15042" s="135"/>
      <c r="U15042" s="135"/>
    </row>
    <row r="15043" spans="20:21" ht="15" customHeight="1" x14ac:dyDescent="0.25">
      <c r="T15043" s="135"/>
      <c r="U15043" s="135"/>
    </row>
    <row r="15044" spans="20:21" ht="15" customHeight="1" x14ac:dyDescent="0.25">
      <c r="T15044" s="135"/>
      <c r="U15044" s="135"/>
    </row>
    <row r="15045" spans="20:21" ht="15" customHeight="1" x14ac:dyDescent="0.25">
      <c r="T15045" s="135"/>
      <c r="U15045" s="135"/>
    </row>
    <row r="15046" spans="20:21" ht="15" customHeight="1" x14ac:dyDescent="0.25">
      <c r="T15046" s="135"/>
      <c r="U15046" s="135"/>
    </row>
    <row r="15047" spans="20:21" ht="15" customHeight="1" x14ac:dyDescent="0.25">
      <c r="T15047" s="135"/>
      <c r="U15047" s="135"/>
    </row>
    <row r="15048" spans="20:21" ht="15" customHeight="1" x14ac:dyDescent="0.25">
      <c r="T15048" s="135"/>
      <c r="U15048" s="135"/>
    </row>
    <row r="15049" spans="20:21" ht="15" customHeight="1" x14ac:dyDescent="0.25">
      <c r="T15049" s="135"/>
      <c r="U15049" s="135"/>
    </row>
    <row r="15050" spans="20:21" ht="15" customHeight="1" x14ac:dyDescent="0.25">
      <c r="T15050" s="135"/>
      <c r="U15050" s="135"/>
    </row>
    <row r="15051" spans="20:21" ht="15" customHeight="1" x14ac:dyDescent="0.25">
      <c r="T15051" s="135"/>
      <c r="U15051" s="135"/>
    </row>
    <row r="15052" spans="20:21" ht="15" customHeight="1" x14ac:dyDescent="0.25">
      <c r="T15052" s="135"/>
      <c r="U15052" s="135"/>
    </row>
    <row r="15053" spans="20:21" ht="15" customHeight="1" x14ac:dyDescent="0.25">
      <c r="T15053" s="135"/>
      <c r="U15053" s="135"/>
    </row>
    <row r="15054" spans="20:21" ht="15" customHeight="1" x14ac:dyDescent="0.25">
      <c r="T15054" s="135"/>
      <c r="U15054" s="135"/>
    </row>
    <row r="15055" spans="20:21" ht="15" customHeight="1" x14ac:dyDescent="0.25">
      <c r="T15055" s="135"/>
      <c r="U15055" s="135"/>
    </row>
    <row r="15056" spans="20:21" ht="15" customHeight="1" x14ac:dyDescent="0.25">
      <c r="T15056" s="135"/>
      <c r="U15056" s="135"/>
    </row>
    <row r="15057" spans="20:21" ht="15" customHeight="1" x14ac:dyDescent="0.25">
      <c r="T15057" s="135"/>
      <c r="U15057" s="135"/>
    </row>
    <row r="15058" spans="20:21" ht="15" customHeight="1" x14ac:dyDescent="0.25">
      <c r="T15058" s="135"/>
      <c r="U15058" s="135"/>
    </row>
    <row r="15059" spans="20:21" ht="15" customHeight="1" x14ac:dyDescent="0.25">
      <c r="T15059" s="135"/>
      <c r="U15059" s="135"/>
    </row>
    <row r="15060" spans="20:21" ht="15" customHeight="1" x14ac:dyDescent="0.25">
      <c r="T15060" s="135"/>
      <c r="U15060" s="135"/>
    </row>
    <row r="15061" spans="20:21" ht="15" customHeight="1" x14ac:dyDescent="0.25">
      <c r="T15061" s="135"/>
      <c r="U15061" s="135"/>
    </row>
    <row r="15062" spans="20:21" ht="15" customHeight="1" x14ac:dyDescent="0.25">
      <c r="T15062" s="135"/>
      <c r="U15062" s="135"/>
    </row>
    <row r="15063" spans="20:21" ht="15" customHeight="1" x14ac:dyDescent="0.25">
      <c r="T15063" s="135"/>
      <c r="U15063" s="135"/>
    </row>
    <row r="15064" spans="20:21" ht="15" customHeight="1" x14ac:dyDescent="0.25">
      <c r="T15064" s="135"/>
      <c r="U15064" s="135"/>
    </row>
    <row r="15065" spans="20:21" ht="15" customHeight="1" x14ac:dyDescent="0.25">
      <c r="T15065" s="135"/>
      <c r="U15065" s="135"/>
    </row>
    <row r="15066" spans="20:21" ht="15" customHeight="1" x14ac:dyDescent="0.25">
      <c r="T15066" s="135"/>
      <c r="U15066" s="135"/>
    </row>
    <row r="15067" spans="20:21" ht="15" customHeight="1" x14ac:dyDescent="0.25">
      <c r="T15067" s="135"/>
      <c r="U15067" s="135"/>
    </row>
    <row r="15068" spans="20:21" ht="15" customHeight="1" x14ac:dyDescent="0.25">
      <c r="T15068" s="135"/>
      <c r="U15068" s="135"/>
    </row>
    <row r="15069" spans="20:21" ht="15" customHeight="1" x14ac:dyDescent="0.25">
      <c r="T15069" s="135"/>
      <c r="U15069" s="135"/>
    </row>
    <row r="15070" spans="20:21" ht="15" customHeight="1" x14ac:dyDescent="0.25">
      <c r="T15070" s="135"/>
      <c r="U15070" s="135"/>
    </row>
    <row r="15071" spans="20:21" ht="15" customHeight="1" x14ac:dyDescent="0.25">
      <c r="T15071" s="135"/>
      <c r="U15071" s="135"/>
    </row>
    <row r="15072" spans="20:21" ht="15" customHeight="1" x14ac:dyDescent="0.25">
      <c r="T15072" s="135"/>
      <c r="U15072" s="135"/>
    </row>
    <row r="15073" spans="20:21" ht="15" customHeight="1" x14ac:dyDescent="0.25">
      <c r="T15073" s="135"/>
      <c r="U15073" s="135"/>
    </row>
    <row r="15074" spans="20:21" ht="15" customHeight="1" x14ac:dyDescent="0.25">
      <c r="T15074" s="135"/>
      <c r="U15074" s="135"/>
    </row>
    <row r="15075" spans="20:21" ht="15" customHeight="1" x14ac:dyDescent="0.25">
      <c r="T15075" s="135"/>
      <c r="U15075" s="135"/>
    </row>
    <row r="15076" spans="20:21" ht="15" customHeight="1" x14ac:dyDescent="0.25">
      <c r="T15076" s="135"/>
      <c r="U15076" s="135"/>
    </row>
    <row r="15077" spans="20:21" ht="15" customHeight="1" x14ac:dyDescent="0.25">
      <c r="T15077" s="135"/>
      <c r="U15077" s="135"/>
    </row>
    <row r="15078" spans="20:21" ht="15" customHeight="1" x14ac:dyDescent="0.25">
      <c r="T15078" s="135"/>
      <c r="U15078" s="135"/>
    </row>
    <row r="15079" spans="20:21" ht="15" customHeight="1" x14ac:dyDescent="0.25">
      <c r="T15079" s="135"/>
      <c r="U15079" s="135"/>
    </row>
    <row r="15080" spans="20:21" ht="15" customHeight="1" x14ac:dyDescent="0.25">
      <c r="T15080" s="135"/>
      <c r="U15080" s="135"/>
    </row>
    <row r="15081" spans="20:21" ht="15" customHeight="1" x14ac:dyDescent="0.25">
      <c r="T15081" s="135"/>
      <c r="U15081" s="135"/>
    </row>
    <row r="15082" spans="20:21" ht="15" customHeight="1" x14ac:dyDescent="0.25">
      <c r="T15082" s="135"/>
      <c r="U15082" s="135"/>
    </row>
    <row r="15083" spans="20:21" ht="15" customHeight="1" x14ac:dyDescent="0.25">
      <c r="T15083" s="135"/>
      <c r="U15083" s="135"/>
    </row>
    <row r="15084" spans="20:21" ht="15" customHeight="1" x14ac:dyDescent="0.25">
      <c r="T15084" s="135"/>
      <c r="U15084" s="135"/>
    </row>
    <row r="15085" spans="20:21" ht="15" customHeight="1" x14ac:dyDescent="0.25">
      <c r="T15085" s="135"/>
      <c r="U15085" s="135"/>
    </row>
    <row r="15086" spans="20:21" ht="15" customHeight="1" x14ac:dyDescent="0.25">
      <c r="T15086" s="135"/>
      <c r="U15086" s="135"/>
    </row>
    <row r="15087" spans="20:21" ht="15" customHeight="1" x14ac:dyDescent="0.25">
      <c r="T15087" s="135"/>
      <c r="U15087" s="135"/>
    </row>
    <row r="15088" spans="20:21" ht="15" customHeight="1" x14ac:dyDescent="0.25">
      <c r="T15088" s="135"/>
      <c r="U15088" s="135"/>
    </row>
    <row r="15089" spans="20:21" ht="15" customHeight="1" x14ac:dyDescent="0.25">
      <c r="T15089" s="135"/>
      <c r="U15089" s="135"/>
    </row>
    <row r="15090" spans="20:21" ht="15" customHeight="1" x14ac:dyDescent="0.25">
      <c r="T15090" s="135"/>
      <c r="U15090" s="135"/>
    </row>
    <row r="15091" spans="20:21" ht="15" customHeight="1" x14ac:dyDescent="0.25">
      <c r="T15091" s="135"/>
      <c r="U15091" s="135"/>
    </row>
    <row r="15092" spans="20:21" ht="15" customHeight="1" x14ac:dyDescent="0.25">
      <c r="T15092" s="135"/>
      <c r="U15092" s="135"/>
    </row>
    <row r="15093" spans="20:21" ht="15" customHeight="1" x14ac:dyDescent="0.25">
      <c r="T15093" s="135"/>
      <c r="U15093" s="135"/>
    </row>
    <row r="15094" spans="20:21" ht="15" customHeight="1" x14ac:dyDescent="0.25">
      <c r="T15094" s="135"/>
      <c r="U15094" s="135"/>
    </row>
    <row r="15095" spans="20:21" ht="15" customHeight="1" x14ac:dyDescent="0.25">
      <c r="T15095" s="135"/>
      <c r="U15095" s="135"/>
    </row>
    <row r="15096" spans="20:21" ht="15" customHeight="1" x14ac:dyDescent="0.25">
      <c r="T15096" s="135"/>
      <c r="U15096" s="135"/>
    </row>
    <row r="15097" spans="20:21" ht="15" customHeight="1" x14ac:dyDescent="0.25">
      <c r="T15097" s="135"/>
      <c r="U15097" s="135"/>
    </row>
    <row r="15098" spans="20:21" ht="15" customHeight="1" x14ac:dyDescent="0.25">
      <c r="T15098" s="135"/>
      <c r="U15098" s="135"/>
    </row>
    <row r="15099" spans="20:21" ht="15" customHeight="1" x14ac:dyDescent="0.25">
      <c r="T15099" s="135"/>
      <c r="U15099" s="135"/>
    </row>
    <row r="15100" spans="20:21" ht="15" customHeight="1" x14ac:dyDescent="0.25">
      <c r="T15100" s="135"/>
      <c r="U15100" s="135"/>
    </row>
    <row r="15101" spans="20:21" ht="15" customHeight="1" x14ac:dyDescent="0.25">
      <c r="T15101" s="135"/>
      <c r="U15101" s="135"/>
    </row>
    <row r="15102" spans="20:21" ht="15" customHeight="1" x14ac:dyDescent="0.25">
      <c r="T15102" s="135"/>
      <c r="U15102" s="135"/>
    </row>
    <row r="15103" spans="20:21" ht="15" customHeight="1" x14ac:dyDescent="0.25">
      <c r="T15103" s="135"/>
      <c r="U15103" s="135"/>
    </row>
    <row r="15104" spans="20:21" ht="15" customHeight="1" x14ac:dyDescent="0.25">
      <c r="T15104" s="135"/>
      <c r="U15104" s="135"/>
    </row>
    <row r="15105" spans="20:21" ht="15" customHeight="1" x14ac:dyDescent="0.25">
      <c r="T15105" s="135"/>
      <c r="U15105" s="135"/>
    </row>
    <row r="15106" spans="20:21" ht="15" customHeight="1" x14ac:dyDescent="0.25">
      <c r="T15106" s="135"/>
      <c r="U15106" s="135"/>
    </row>
    <row r="15107" spans="20:21" ht="15" customHeight="1" x14ac:dyDescent="0.25">
      <c r="T15107" s="135"/>
      <c r="U15107" s="135"/>
    </row>
    <row r="15108" spans="20:21" ht="15" customHeight="1" x14ac:dyDescent="0.25">
      <c r="T15108" s="135"/>
      <c r="U15108" s="135"/>
    </row>
    <row r="15109" spans="20:21" ht="15" customHeight="1" x14ac:dyDescent="0.25">
      <c r="T15109" s="135"/>
      <c r="U15109" s="135"/>
    </row>
    <row r="15110" spans="20:21" ht="15" customHeight="1" x14ac:dyDescent="0.25">
      <c r="T15110" s="135"/>
      <c r="U15110" s="135"/>
    </row>
    <row r="15111" spans="20:21" ht="15" customHeight="1" x14ac:dyDescent="0.25">
      <c r="T15111" s="135"/>
      <c r="U15111" s="135"/>
    </row>
    <row r="15112" spans="20:21" ht="15" customHeight="1" x14ac:dyDescent="0.25">
      <c r="T15112" s="135"/>
      <c r="U15112" s="135"/>
    </row>
    <row r="15113" spans="20:21" ht="15" customHeight="1" x14ac:dyDescent="0.25">
      <c r="T15113" s="135"/>
      <c r="U15113" s="135"/>
    </row>
    <row r="15114" spans="20:21" ht="15" customHeight="1" x14ac:dyDescent="0.25">
      <c r="T15114" s="135"/>
      <c r="U15114" s="135"/>
    </row>
    <row r="15115" spans="20:21" ht="15" customHeight="1" x14ac:dyDescent="0.25">
      <c r="T15115" s="135"/>
      <c r="U15115" s="135"/>
    </row>
    <row r="15116" spans="20:21" ht="15" customHeight="1" x14ac:dyDescent="0.25">
      <c r="T15116" s="135"/>
      <c r="U15116" s="135"/>
    </row>
    <row r="15117" spans="20:21" ht="15" customHeight="1" x14ac:dyDescent="0.25">
      <c r="T15117" s="135"/>
      <c r="U15117" s="135"/>
    </row>
    <row r="15118" spans="20:21" ht="15" customHeight="1" x14ac:dyDescent="0.25">
      <c r="T15118" s="135"/>
      <c r="U15118" s="135"/>
    </row>
    <row r="15119" spans="20:21" ht="15" customHeight="1" x14ac:dyDescent="0.25">
      <c r="T15119" s="135"/>
      <c r="U15119" s="135"/>
    </row>
    <row r="15120" spans="20:21" ht="15" customHeight="1" x14ac:dyDescent="0.25">
      <c r="T15120" s="135"/>
      <c r="U15120" s="135"/>
    </row>
    <row r="15121" spans="20:21" ht="15" customHeight="1" x14ac:dyDescent="0.25">
      <c r="T15121" s="135"/>
      <c r="U15121" s="135"/>
    </row>
    <row r="15122" spans="20:21" ht="15" customHeight="1" x14ac:dyDescent="0.25">
      <c r="T15122" s="135"/>
      <c r="U15122" s="135"/>
    </row>
    <row r="15123" spans="20:21" ht="15" customHeight="1" x14ac:dyDescent="0.25">
      <c r="T15123" s="135"/>
      <c r="U15123" s="135"/>
    </row>
    <row r="15124" spans="20:21" ht="15" customHeight="1" x14ac:dyDescent="0.25">
      <c r="T15124" s="135"/>
      <c r="U15124" s="135"/>
    </row>
    <row r="15125" spans="20:21" ht="15" customHeight="1" x14ac:dyDescent="0.25">
      <c r="T15125" s="135"/>
      <c r="U15125" s="135"/>
    </row>
    <row r="15126" spans="20:21" ht="15" customHeight="1" x14ac:dyDescent="0.25">
      <c r="T15126" s="135"/>
      <c r="U15126" s="135"/>
    </row>
    <row r="15127" spans="20:21" ht="15" customHeight="1" x14ac:dyDescent="0.25">
      <c r="T15127" s="135"/>
      <c r="U15127" s="135"/>
    </row>
    <row r="15128" spans="20:21" ht="15" customHeight="1" x14ac:dyDescent="0.25">
      <c r="T15128" s="135"/>
      <c r="U15128" s="135"/>
    </row>
    <row r="15129" spans="20:21" ht="15" customHeight="1" x14ac:dyDescent="0.25">
      <c r="T15129" s="135"/>
      <c r="U15129" s="135"/>
    </row>
    <row r="15130" spans="20:21" ht="15" customHeight="1" x14ac:dyDescent="0.25">
      <c r="T15130" s="135"/>
      <c r="U15130" s="135"/>
    </row>
    <row r="15131" spans="20:21" ht="15" customHeight="1" x14ac:dyDescent="0.25">
      <c r="T15131" s="135"/>
      <c r="U15131" s="135"/>
    </row>
    <row r="15132" spans="20:21" ht="15" customHeight="1" x14ac:dyDescent="0.25">
      <c r="T15132" s="135"/>
      <c r="U15132" s="135"/>
    </row>
    <row r="15133" spans="20:21" ht="15" customHeight="1" x14ac:dyDescent="0.25">
      <c r="T15133" s="135"/>
      <c r="U15133" s="135"/>
    </row>
    <row r="15134" spans="20:21" ht="15" customHeight="1" x14ac:dyDescent="0.25">
      <c r="T15134" s="135"/>
      <c r="U15134" s="135"/>
    </row>
    <row r="15135" spans="20:21" ht="15" customHeight="1" x14ac:dyDescent="0.25">
      <c r="T15135" s="135"/>
      <c r="U15135" s="135"/>
    </row>
    <row r="15136" spans="20:21" ht="15" customHeight="1" x14ac:dyDescent="0.25">
      <c r="T15136" s="135"/>
      <c r="U15136" s="135"/>
    </row>
    <row r="15137" spans="20:21" ht="15" customHeight="1" x14ac:dyDescent="0.25">
      <c r="T15137" s="135"/>
      <c r="U15137" s="135"/>
    </row>
    <row r="15138" spans="20:21" ht="15" customHeight="1" x14ac:dyDescent="0.25">
      <c r="T15138" s="135"/>
      <c r="U15138" s="135"/>
    </row>
    <row r="15139" spans="20:21" ht="15" customHeight="1" x14ac:dyDescent="0.25">
      <c r="T15139" s="135"/>
      <c r="U15139" s="135"/>
    </row>
    <row r="15140" spans="20:21" ht="15" customHeight="1" x14ac:dyDescent="0.25">
      <c r="T15140" s="135"/>
      <c r="U15140" s="135"/>
    </row>
    <row r="15141" spans="20:21" ht="15" customHeight="1" x14ac:dyDescent="0.25">
      <c r="T15141" s="135"/>
      <c r="U15141" s="135"/>
    </row>
    <row r="15142" spans="20:21" ht="15" customHeight="1" x14ac:dyDescent="0.25">
      <c r="T15142" s="135"/>
      <c r="U15142" s="135"/>
    </row>
    <row r="15143" spans="20:21" ht="15" customHeight="1" x14ac:dyDescent="0.25">
      <c r="T15143" s="135"/>
      <c r="U15143" s="135"/>
    </row>
    <row r="15144" spans="20:21" ht="15" customHeight="1" x14ac:dyDescent="0.25">
      <c r="T15144" s="135"/>
      <c r="U15144" s="135"/>
    </row>
    <row r="15145" spans="20:21" ht="15" customHeight="1" x14ac:dyDescent="0.25">
      <c r="T15145" s="135"/>
      <c r="U15145" s="135"/>
    </row>
    <row r="15146" spans="20:21" ht="15" customHeight="1" x14ac:dyDescent="0.25">
      <c r="T15146" s="135"/>
      <c r="U15146" s="135"/>
    </row>
    <row r="15147" spans="20:21" ht="15" customHeight="1" x14ac:dyDescent="0.25">
      <c r="T15147" s="135"/>
      <c r="U15147" s="135"/>
    </row>
    <row r="15148" spans="20:21" ht="15" customHeight="1" x14ac:dyDescent="0.25">
      <c r="T15148" s="135"/>
      <c r="U15148" s="135"/>
    </row>
    <row r="15149" spans="20:21" ht="15" customHeight="1" x14ac:dyDescent="0.25">
      <c r="T15149" s="135"/>
      <c r="U15149" s="135"/>
    </row>
    <row r="15150" spans="20:21" ht="15" customHeight="1" x14ac:dyDescent="0.25">
      <c r="T15150" s="135"/>
      <c r="U15150" s="135"/>
    </row>
    <row r="15151" spans="20:21" ht="15" customHeight="1" x14ac:dyDescent="0.25">
      <c r="T15151" s="135"/>
      <c r="U15151" s="135"/>
    </row>
    <row r="15152" spans="20:21" ht="15" customHeight="1" x14ac:dyDescent="0.25">
      <c r="T15152" s="135"/>
      <c r="U15152" s="135"/>
    </row>
    <row r="15153" spans="20:21" ht="15" customHeight="1" x14ac:dyDescent="0.25">
      <c r="T15153" s="135"/>
      <c r="U15153" s="135"/>
    </row>
    <row r="15154" spans="20:21" ht="15" customHeight="1" x14ac:dyDescent="0.25">
      <c r="T15154" s="135"/>
      <c r="U15154" s="135"/>
    </row>
    <row r="15155" spans="20:21" ht="15" customHeight="1" x14ac:dyDescent="0.25">
      <c r="T15155" s="135"/>
      <c r="U15155" s="135"/>
    </row>
    <row r="15156" spans="20:21" ht="15" customHeight="1" x14ac:dyDescent="0.25">
      <c r="T15156" s="135"/>
      <c r="U15156" s="135"/>
    </row>
    <row r="15157" spans="20:21" ht="15" customHeight="1" x14ac:dyDescent="0.25">
      <c r="T15157" s="135"/>
      <c r="U15157" s="135"/>
    </row>
    <row r="15158" spans="20:21" ht="15" customHeight="1" x14ac:dyDescent="0.25">
      <c r="T15158" s="135"/>
      <c r="U15158" s="135"/>
    </row>
    <row r="15159" spans="20:21" ht="15" customHeight="1" x14ac:dyDescent="0.25">
      <c r="T15159" s="135"/>
      <c r="U15159" s="135"/>
    </row>
    <row r="15160" spans="20:21" ht="15" customHeight="1" x14ac:dyDescent="0.25">
      <c r="T15160" s="135"/>
      <c r="U15160" s="135"/>
    </row>
    <row r="15161" spans="20:21" ht="15" customHeight="1" x14ac:dyDescent="0.25">
      <c r="T15161" s="135"/>
      <c r="U15161" s="135"/>
    </row>
    <row r="15162" spans="20:21" ht="15" customHeight="1" x14ac:dyDescent="0.25">
      <c r="T15162" s="135"/>
      <c r="U15162" s="135"/>
    </row>
    <row r="15163" spans="20:21" ht="15" customHeight="1" x14ac:dyDescent="0.25">
      <c r="T15163" s="135"/>
      <c r="U15163" s="135"/>
    </row>
    <row r="15164" spans="20:21" ht="15" customHeight="1" x14ac:dyDescent="0.25">
      <c r="T15164" s="135"/>
      <c r="U15164" s="135"/>
    </row>
    <row r="15165" spans="20:21" ht="15" customHeight="1" x14ac:dyDescent="0.25">
      <c r="T15165" s="135"/>
      <c r="U15165" s="135"/>
    </row>
    <row r="15166" spans="20:21" ht="15" customHeight="1" x14ac:dyDescent="0.25">
      <c r="T15166" s="135"/>
      <c r="U15166" s="135"/>
    </row>
    <row r="15167" spans="20:21" ht="15" customHeight="1" x14ac:dyDescent="0.25">
      <c r="T15167" s="135"/>
      <c r="U15167" s="135"/>
    </row>
    <row r="15168" spans="20:21" ht="15" customHeight="1" x14ac:dyDescent="0.25">
      <c r="T15168" s="135"/>
      <c r="U15168" s="135"/>
    </row>
    <row r="15169" spans="20:21" ht="15" customHeight="1" x14ac:dyDescent="0.25">
      <c r="T15169" s="135"/>
      <c r="U15169" s="135"/>
    </row>
    <row r="15170" spans="20:21" ht="15" customHeight="1" x14ac:dyDescent="0.25">
      <c r="T15170" s="135"/>
      <c r="U15170" s="135"/>
    </row>
    <row r="15171" spans="20:21" ht="15" customHeight="1" x14ac:dyDescent="0.25">
      <c r="T15171" s="135"/>
      <c r="U15171" s="135"/>
    </row>
    <row r="15172" spans="20:21" ht="15" customHeight="1" x14ac:dyDescent="0.25">
      <c r="T15172" s="135"/>
      <c r="U15172" s="135"/>
    </row>
    <row r="15173" spans="20:21" ht="15" customHeight="1" x14ac:dyDescent="0.25">
      <c r="T15173" s="135"/>
      <c r="U15173" s="135"/>
    </row>
    <row r="15174" spans="20:21" ht="15" customHeight="1" x14ac:dyDescent="0.25">
      <c r="T15174" s="135"/>
      <c r="U15174" s="135"/>
    </row>
    <row r="15175" spans="20:21" ht="15" customHeight="1" x14ac:dyDescent="0.25">
      <c r="T15175" s="135"/>
      <c r="U15175" s="135"/>
    </row>
    <row r="15176" spans="20:21" ht="15" customHeight="1" x14ac:dyDescent="0.25">
      <c r="T15176" s="135"/>
      <c r="U15176" s="135"/>
    </row>
    <row r="15177" spans="20:21" ht="15" customHeight="1" x14ac:dyDescent="0.25">
      <c r="T15177" s="135"/>
      <c r="U15177" s="135"/>
    </row>
    <row r="15178" spans="20:21" ht="15" customHeight="1" x14ac:dyDescent="0.25">
      <c r="T15178" s="135"/>
      <c r="U15178" s="135"/>
    </row>
    <row r="15179" spans="20:21" ht="15" customHeight="1" x14ac:dyDescent="0.25">
      <c r="T15179" s="135"/>
      <c r="U15179" s="135"/>
    </row>
    <row r="15180" spans="20:21" ht="15" customHeight="1" x14ac:dyDescent="0.25">
      <c r="T15180" s="135"/>
      <c r="U15180" s="135"/>
    </row>
    <row r="15181" spans="20:21" ht="15" customHeight="1" x14ac:dyDescent="0.25">
      <c r="T15181" s="135"/>
      <c r="U15181" s="135"/>
    </row>
    <row r="15182" spans="20:21" ht="15" customHeight="1" x14ac:dyDescent="0.25">
      <c r="T15182" s="135"/>
      <c r="U15182" s="135"/>
    </row>
    <row r="15183" spans="20:21" ht="15" customHeight="1" x14ac:dyDescent="0.25">
      <c r="T15183" s="135"/>
      <c r="U15183" s="135"/>
    </row>
    <row r="15184" spans="20:21" ht="15" customHeight="1" x14ac:dyDescent="0.25">
      <c r="T15184" s="135"/>
      <c r="U15184" s="135"/>
    </row>
    <row r="15185" spans="20:21" ht="15" customHeight="1" x14ac:dyDescent="0.25">
      <c r="T15185" s="135"/>
      <c r="U15185" s="135"/>
    </row>
    <row r="15186" spans="20:21" ht="15" customHeight="1" x14ac:dyDescent="0.25">
      <c r="T15186" s="135"/>
      <c r="U15186" s="135"/>
    </row>
    <row r="15187" spans="20:21" ht="15" customHeight="1" x14ac:dyDescent="0.25">
      <c r="T15187" s="135"/>
      <c r="U15187" s="135"/>
    </row>
    <row r="15188" spans="20:21" ht="15" customHeight="1" x14ac:dyDescent="0.25">
      <c r="T15188" s="135"/>
      <c r="U15188" s="135"/>
    </row>
    <row r="15189" spans="20:21" ht="15" customHeight="1" x14ac:dyDescent="0.25">
      <c r="T15189" s="135"/>
      <c r="U15189" s="135"/>
    </row>
    <row r="15190" spans="20:21" ht="15" customHeight="1" x14ac:dyDescent="0.25">
      <c r="T15190" s="135"/>
      <c r="U15190" s="135"/>
    </row>
    <row r="15191" spans="20:21" ht="15" customHeight="1" x14ac:dyDescent="0.25">
      <c r="T15191" s="135"/>
      <c r="U15191" s="135"/>
    </row>
    <row r="15192" spans="20:21" ht="15" customHeight="1" x14ac:dyDescent="0.25">
      <c r="T15192" s="135"/>
      <c r="U15192" s="135"/>
    </row>
    <row r="15193" spans="20:21" ht="15" customHeight="1" x14ac:dyDescent="0.25">
      <c r="T15193" s="135"/>
      <c r="U15193" s="135"/>
    </row>
    <row r="15194" spans="20:21" ht="15" customHeight="1" x14ac:dyDescent="0.25">
      <c r="T15194" s="135"/>
      <c r="U15194" s="135"/>
    </row>
    <row r="15195" spans="20:21" ht="15" customHeight="1" x14ac:dyDescent="0.25">
      <c r="T15195" s="135"/>
      <c r="U15195" s="135"/>
    </row>
    <row r="15196" spans="20:21" ht="15" customHeight="1" x14ac:dyDescent="0.25">
      <c r="T15196" s="135"/>
      <c r="U15196" s="135"/>
    </row>
    <row r="15197" spans="20:21" ht="15" customHeight="1" x14ac:dyDescent="0.25">
      <c r="T15197" s="135"/>
      <c r="U15197" s="135"/>
    </row>
    <row r="15198" spans="20:21" ht="15" customHeight="1" x14ac:dyDescent="0.25">
      <c r="T15198" s="135"/>
      <c r="U15198" s="135"/>
    </row>
    <row r="15199" spans="20:21" ht="15" customHeight="1" x14ac:dyDescent="0.25">
      <c r="T15199" s="135"/>
      <c r="U15199" s="135"/>
    </row>
    <row r="15200" spans="20:21" ht="15" customHeight="1" x14ac:dyDescent="0.25">
      <c r="T15200" s="135"/>
      <c r="U15200" s="135"/>
    </row>
    <row r="15201" spans="20:21" ht="15" customHeight="1" x14ac:dyDescent="0.25">
      <c r="T15201" s="135"/>
      <c r="U15201" s="135"/>
    </row>
    <row r="15202" spans="20:21" ht="15" customHeight="1" x14ac:dyDescent="0.25">
      <c r="T15202" s="135"/>
      <c r="U15202" s="135"/>
    </row>
    <row r="15203" spans="20:21" ht="15" customHeight="1" x14ac:dyDescent="0.25">
      <c r="T15203" s="135"/>
      <c r="U15203" s="135"/>
    </row>
    <row r="15204" spans="20:21" ht="15" customHeight="1" x14ac:dyDescent="0.25">
      <c r="T15204" s="135"/>
      <c r="U15204" s="135"/>
    </row>
    <row r="15205" spans="20:21" ht="15" customHeight="1" x14ac:dyDescent="0.25">
      <c r="T15205" s="135"/>
      <c r="U15205" s="135"/>
    </row>
    <row r="15206" spans="20:21" ht="15" customHeight="1" x14ac:dyDescent="0.25">
      <c r="T15206" s="135"/>
      <c r="U15206" s="135"/>
    </row>
    <row r="15207" spans="20:21" ht="15" customHeight="1" x14ac:dyDescent="0.25">
      <c r="T15207" s="135"/>
      <c r="U15207" s="135"/>
    </row>
    <row r="15208" spans="20:21" ht="15" customHeight="1" x14ac:dyDescent="0.25">
      <c r="T15208" s="135"/>
      <c r="U15208" s="135"/>
    </row>
    <row r="15209" spans="20:21" ht="15" customHeight="1" x14ac:dyDescent="0.25">
      <c r="T15209" s="135"/>
      <c r="U15209" s="135"/>
    </row>
    <row r="15210" spans="20:21" ht="15" customHeight="1" x14ac:dyDescent="0.25">
      <c r="T15210" s="135"/>
      <c r="U15210" s="135"/>
    </row>
    <row r="15211" spans="20:21" ht="15" customHeight="1" x14ac:dyDescent="0.25">
      <c r="T15211" s="135"/>
      <c r="U15211" s="135"/>
    </row>
    <row r="15212" spans="20:21" ht="15" customHeight="1" x14ac:dyDescent="0.25">
      <c r="T15212" s="135"/>
      <c r="U15212" s="135"/>
    </row>
    <row r="15213" spans="20:21" ht="15" customHeight="1" x14ac:dyDescent="0.25">
      <c r="T15213" s="135"/>
      <c r="U15213" s="135"/>
    </row>
    <row r="15214" spans="20:21" ht="15" customHeight="1" x14ac:dyDescent="0.25">
      <c r="T15214" s="135"/>
      <c r="U15214" s="135"/>
    </row>
    <row r="15215" spans="20:21" ht="15" customHeight="1" x14ac:dyDescent="0.25">
      <c r="T15215" s="135"/>
      <c r="U15215" s="135"/>
    </row>
    <row r="15216" spans="20:21" ht="15" customHeight="1" x14ac:dyDescent="0.25">
      <c r="T15216" s="135"/>
      <c r="U15216" s="135"/>
    </row>
    <row r="15217" spans="20:21" ht="15" customHeight="1" x14ac:dyDescent="0.25">
      <c r="T15217" s="135"/>
      <c r="U15217" s="135"/>
    </row>
    <row r="15218" spans="20:21" ht="15" customHeight="1" x14ac:dyDescent="0.25">
      <c r="T15218" s="135"/>
      <c r="U15218" s="135"/>
    </row>
    <row r="15219" spans="20:21" ht="15" customHeight="1" x14ac:dyDescent="0.25">
      <c r="T15219" s="135"/>
      <c r="U15219" s="135"/>
    </row>
    <row r="15220" spans="20:21" ht="15" customHeight="1" x14ac:dyDescent="0.25">
      <c r="T15220" s="135"/>
      <c r="U15220" s="135"/>
    </row>
    <row r="15221" spans="20:21" ht="15" customHeight="1" x14ac:dyDescent="0.25">
      <c r="T15221" s="135"/>
      <c r="U15221" s="135"/>
    </row>
    <row r="15222" spans="20:21" ht="15" customHeight="1" x14ac:dyDescent="0.25">
      <c r="T15222" s="135"/>
      <c r="U15222" s="135"/>
    </row>
    <row r="15223" spans="20:21" ht="15" customHeight="1" x14ac:dyDescent="0.25">
      <c r="T15223" s="135"/>
      <c r="U15223" s="135"/>
    </row>
    <row r="15224" spans="20:21" ht="15" customHeight="1" x14ac:dyDescent="0.25">
      <c r="T15224" s="135"/>
      <c r="U15224" s="135"/>
    </row>
    <row r="15225" spans="20:21" ht="15" customHeight="1" x14ac:dyDescent="0.25">
      <c r="T15225" s="135"/>
      <c r="U15225" s="135"/>
    </row>
    <row r="15226" spans="20:21" ht="15" customHeight="1" x14ac:dyDescent="0.25">
      <c r="T15226" s="135"/>
      <c r="U15226" s="135"/>
    </row>
    <row r="15227" spans="20:21" ht="15" customHeight="1" x14ac:dyDescent="0.25">
      <c r="T15227" s="135"/>
      <c r="U15227" s="135"/>
    </row>
    <row r="15228" spans="20:21" ht="15" customHeight="1" x14ac:dyDescent="0.25">
      <c r="T15228" s="135"/>
      <c r="U15228" s="135"/>
    </row>
    <row r="15229" spans="20:21" ht="15" customHeight="1" x14ac:dyDescent="0.25">
      <c r="T15229" s="135"/>
      <c r="U15229" s="135"/>
    </row>
    <row r="15230" spans="20:21" ht="15" customHeight="1" x14ac:dyDescent="0.25">
      <c r="T15230" s="135"/>
      <c r="U15230" s="135"/>
    </row>
    <row r="15231" spans="20:21" ht="15" customHeight="1" x14ac:dyDescent="0.25">
      <c r="T15231" s="135"/>
      <c r="U15231" s="135"/>
    </row>
    <row r="15232" spans="20:21" ht="15" customHeight="1" x14ac:dyDescent="0.25">
      <c r="T15232" s="135"/>
      <c r="U15232" s="135"/>
    </row>
    <row r="15233" spans="20:21" ht="15" customHeight="1" x14ac:dyDescent="0.25">
      <c r="T15233" s="135"/>
      <c r="U15233" s="135"/>
    </row>
    <row r="15234" spans="20:21" ht="15" customHeight="1" x14ac:dyDescent="0.25">
      <c r="T15234" s="135"/>
      <c r="U15234" s="135"/>
    </row>
    <row r="15235" spans="20:21" ht="15" customHeight="1" x14ac:dyDescent="0.25">
      <c r="T15235" s="135"/>
      <c r="U15235" s="135"/>
    </row>
    <row r="15236" spans="20:21" ht="15" customHeight="1" x14ac:dyDescent="0.25">
      <c r="T15236" s="135"/>
      <c r="U15236" s="135"/>
    </row>
    <row r="15237" spans="20:21" ht="15" customHeight="1" x14ac:dyDescent="0.25">
      <c r="T15237" s="135"/>
      <c r="U15237" s="135"/>
    </row>
    <row r="15238" spans="20:21" ht="15" customHeight="1" x14ac:dyDescent="0.25">
      <c r="T15238" s="135"/>
      <c r="U15238" s="135"/>
    </row>
    <row r="15239" spans="20:21" ht="15" customHeight="1" x14ac:dyDescent="0.25">
      <c r="T15239" s="135"/>
      <c r="U15239" s="135"/>
    </row>
    <row r="15240" spans="20:21" ht="15" customHeight="1" x14ac:dyDescent="0.25">
      <c r="T15240" s="135"/>
      <c r="U15240" s="135"/>
    </row>
    <row r="15241" spans="20:21" ht="15" customHeight="1" x14ac:dyDescent="0.25">
      <c r="T15241" s="135"/>
      <c r="U15241" s="135"/>
    </row>
    <row r="15242" spans="20:21" ht="15" customHeight="1" x14ac:dyDescent="0.25">
      <c r="T15242" s="135"/>
      <c r="U15242" s="135"/>
    </row>
    <row r="15243" spans="20:21" ht="15" customHeight="1" x14ac:dyDescent="0.25">
      <c r="T15243" s="135"/>
      <c r="U15243" s="135"/>
    </row>
    <row r="15244" spans="20:21" ht="15" customHeight="1" x14ac:dyDescent="0.25">
      <c r="T15244" s="135"/>
      <c r="U15244" s="135"/>
    </row>
    <row r="15245" spans="20:21" ht="15" customHeight="1" x14ac:dyDescent="0.25">
      <c r="T15245" s="135"/>
      <c r="U15245" s="135"/>
    </row>
    <row r="15246" spans="20:21" ht="15" customHeight="1" x14ac:dyDescent="0.25">
      <c r="T15246" s="135"/>
      <c r="U15246" s="135"/>
    </row>
    <row r="15247" spans="20:21" ht="15" customHeight="1" x14ac:dyDescent="0.25">
      <c r="T15247" s="135"/>
      <c r="U15247" s="135"/>
    </row>
    <row r="15248" spans="20:21" ht="15" customHeight="1" x14ac:dyDescent="0.25">
      <c r="T15248" s="135"/>
      <c r="U15248" s="135"/>
    </row>
    <row r="15249" spans="20:21" ht="15" customHeight="1" x14ac:dyDescent="0.25">
      <c r="T15249" s="135"/>
      <c r="U15249" s="135"/>
    </row>
    <row r="15250" spans="20:21" ht="15" customHeight="1" x14ac:dyDescent="0.25">
      <c r="T15250" s="135"/>
      <c r="U15250" s="135"/>
    </row>
    <row r="15251" spans="20:21" ht="15" customHeight="1" x14ac:dyDescent="0.25">
      <c r="T15251" s="135"/>
      <c r="U15251" s="135"/>
    </row>
    <row r="15252" spans="20:21" ht="15" customHeight="1" x14ac:dyDescent="0.25">
      <c r="T15252" s="135"/>
      <c r="U15252" s="135"/>
    </row>
    <row r="15253" spans="20:21" ht="15" customHeight="1" x14ac:dyDescent="0.25">
      <c r="T15253" s="135"/>
      <c r="U15253" s="135"/>
    </row>
    <row r="15254" spans="20:21" ht="15" customHeight="1" x14ac:dyDescent="0.25">
      <c r="T15254" s="135"/>
      <c r="U15254" s="135"/>
    </row>
    <row r="15255" spans="20:21" ht="15" customHeight="1" x14ac:dyDescent="0.25">
      <c r="T15255" s="135"/>
      <c r="U15255" s="135"/>
    </row>
    <row r="15256" spans="20:21" ht="15" customHeight="1" x14ac:dyDescent="0.25">
      <c r="T15256" s="135"/>
      <c r="U15256" s="135"/>
    </row>
    <row r="15257" spans="20:21" ht="15" customHeight="1" x14ac:dyDescent="0.25">
      <c r="T15257" s="135"/>
      <c r="U15257" s="135"/>
    </row>
    <row r="15258" spans="20:21" ht="15" customHeight="1" x14ac:dyDescent="0.25">
      <c r="T15258" s="135"/>
      <c r="U15258" s="135"/>
    </row>
    <row r="15259" spans="20:21" ht="15" customHeight="1" x14ac:dyDescent="0.25">
      <c r="T15259" s="135"/>
      <c r="U15259" s="135"/>
    </row>
    <row r="15260" spans="20:21" ht="15" customHeight="1" x14ac:dyDescent="0.25">
      <c r="T15260" s="135"/>
      <c r="U15260" s="135"/>
    </row>
    <row r="15261" spans="20:21" ht="15" customHeight="1" x14ac:dyDescent="0.25">
      <c r="T15261" s="135"/>
      <c r="U15261" s="135"/>
    </row>
    <row r="15262" spans="20:21" ht="15" customHeight="1" x14ac:dyDescent="0.25">
      <c r="T15262" s="135"/>
      <c r="U15262" s="135"/>
    </row>
    <row r="15263" spans="20:21" ht="15" customHeight="1" x14ac:dyDescent="0.25">
      <c r="T15263" s="135"/>
      <c r="U15263" s="135"/>
    </row>
    <row r="15264" spans="20:21" ht="15" customHeight="1" x14ac:dyDescent="0.25">
      <c r="T15264" s="135"/>
      <c r="U15264" s="135"/>
    </row>
    <row r="15265" spans="20:21" ht="15" customHeight="1" x14ac:dyDescent="0.25">
      <c r="T15265" s="135"/>
      <c r="U15265" s="135"/>
    </row>
    <row r="15266" spans="20:21" ht="15" customHeight="1" x14ac:dyDescent="0.25">
      <c r="T15266" s="135"/>
      <c r="U15266" s="135"/>
    </row>
    <row r="15267" spans="20:21" ht="15" customHeight="1" x14ac:dyDescent="0.25">
      <c r="T15267" s="135"/>
      <c r="U15267" s="135"/>
    </row>
    <row r="15268" spans="20:21" ht="15" customHeight="1" x14ac:dyDescent="0.25">
      <c r="T15268" s="135"/>
      <c r="U15268" s="135"/>
    </row>
    <row r="15269" spans="20:21" ht="15" customHeight="1" x14ac:dyDescent="0.25">
      <c r="T15269" s="135"/>
      <c r="U15269" s="135"/>
    </row>
    <row r="15270" spans="20:21" ht="15" customHeight="1" x14ac:dyDescent="0.25">
      <c r="T15270" s="135"/>
      <c r="U15270" s="135"/>
    </row>
    <row r="15271" spans="20:21" ht="15" customHeight="1" x14ac:dyDescent="0.25">
      <c r="T15271" s="135"/>
      <c r="U15271" s="135"/>
    </row>
    <row r="15272" spans="20:21" ht="15" customHeight="1" x14ac:dyDescent="0.25">
      <c r="T15272" s="135"/>
      <c r="U15272" s="135"/>
    </row>
    <row r="15273" spans="20:21" ht="15" customHeight="1" x14ac:dyDescent="0.25">
      <c r="T15273" s="135"/>
      <c r="U15273" s="135"/>
    </row>
    <row r="15274" spans="20:21" ht="15" customHeight="1" x14ac:dyDescent="0.25">
      <c r="T15274" s="135"/>
      <c r="U15274" s="135"/>
    </row>
    <row r="15275" spans="20:21" ht="15" customHeight="1" x14ac:dyDescent="0.25">
      <c r="T15275" s="135"/>
      <c r="U15275" s="135"/>
    </row>
    <row r="15276" spans="20:21" ht="15" customHeight="1" x14ac:dyDescent="0.25">
      <c r="T15276" s="135"/>
      <c r="U15276" s="135"/>
    </row>
    <row r="15277" spans="20:21" ht="15" customHeight="1" x14ac:dyDescent="0.25">
      <c r="T15277" s="135"/>
      <c r="U15277" s="135"/>
    </row>
    <row r="15278" spans="20:21" ht="15" customHeight="1" x14ac:dyDescent="0.25">
      <c r="T15278" s="135"/>
      <c r="U15278" s="135"/>
    </row>
    <row r="15279" spans="20:21" ht="15" customHeight="1" x14ac:dyDescent="0.25">
      <c r="T15279" s="135"/>
      <c r="U15279" s="135"/>
    </row>
    <row r="15280" spans="20:21" ht="15" customHeight="1" x14ac:dyDescent="0.25">
      <c r="T15280" s="135"/>
      <c r="U15280" s="135"/>
    </row>
    <row r="15281" spans="20:21" ht="15" customHeight="1" x14ac:dyDescent="0.25">
      <c r="T15281" s="135"/>
      <c r="U15281" s="135"/>
    </row>
    <row r="15282" spans="20:21" ht="15" customHeight="1" x14ac:dyDescent="0.25">
      <c r="T15282" s="135"/>
      <c r="U15282" s="135"/>
    </row>
    <row r="15283" spans="20:21" ht="15" customHeight="1" x14ac:dyDescent="0.25">
      <c r="T15283" s="135"/>
      <c r="U15283" s="135"/>
    </row>
    <row r="15284" spans="20:21" ht="15" customHeight="1" x14ac:dyDescent="0.25">
      <c r="T15284" s="135"/>
      <c r="U15284" s="135"/>
    </row>
    <row r="15285" spans="20:21" ht="15" customHeight="1" x14ac:dyDescent="0.25">
      <c r="T15285" s="135"/>
      <c r="U15285" s="135"/>
    </row>
    <row r="15286" spans="20:21" ht="15" customHeight="1" x14ac:dyDescent="0.25">
      <c r="T15286" s="135"/>
      <c r="U15286" s="135"/>
    </row>
    <row r="15287" spans="20:21" ht="15" customHeight="1" x14ac:dyDescent="0.25">
      <c r="T15287" s="135"/>
      <c r="U15287" s="135"/>
    </row>
    <row r="15288" spans="20:21" ht="15" customHeight="1" x14ac:dyDescent="0.25">
      <c r="T15288" s="135"/>
      <c r="U15288" s="135"/>
    </row>
    <row r="15289" spans="20:21" ht="15" customHeight="1" x14ac:dyDescent="0.25">
      <c r="T15289" s="135"/>
      <c r="U15289" s="135"/>
    </row>
    <row r="15290" spans="20:21" ht="15" customHeight="1" x14ac:dyDescent="0.25">
      <c r="T15290" s="135"/>
      <c r="U15290" s="135"/>
    </row>
    <row r="15291" spans="20:21" ht="15" customHeight="1" x14ac:dyDescent="0.25">
      <c r="T15291" s="135"/>
      <c r="U15291" s="135"/>
    </row>
    <row r="15292" spans="20:21" ht="15" customHeight="1" x14ac:dyDescent="0.25">
      <c r="T15292" s="135"/>
      <c r="U15292" s="135"/>
    </row>
    <row r="15293" spans="20:21" ht="15" customHeight="1" x14ac:dyDescent="0.25">
      <c r="T15293" s="135"/>
      <c r="U15293" s="135"/>
    </row>
    <row r="15294" spans="20:21" ht="15" customHeight="1" x14ac:dyDescent="0.25">
      <c r="T15294" s="135"/>
      <c r="U15294" s="135"/>
    </row>
    <row r="15295" spans="20:21" ht="15" customHeight="1" x14ac:dyDescent="0.25">
      <c r="T15295" s="135"/>
      <c r="U15295" s="135"/>
    </row>
    <row r="15296" spans="20:21" ht="15" customHeight="1" x14ac:dyDescent="0.25">
      <c r="T15296" s="135"/>
      <c r="U15296" s="135"/>
    </row>
    <row r="15297" spans="20:21" ht="15" customHeight="1" x14ac:dyDescent="0.25">
      <c r="T15297" s="135"/>
      <c r="U15297" s="135"/>
    </row>
    <row r="15298" spans="20:21" ht="15" customHeight="1" x14ac:dyDescent="0.25">
      <c r="T15298" s="135"/>
      <c r="U15298" s="135"/>
    </row>
    <row r="15299" spans="20:21" ht="15" customHeight="1" x14ac:dyDescent="0.25">
      <c r="T15299" s="135"/>
      <c r="U15299" s="135"/>
    </row>
    <row r="15300" spans="20:21" ht="15" customHeight="1" x14ac:dyDescent="0.25">
      <c r="T15300" s="135"/>
      <c r="U15300" s="135"/>
    </row>
    <row r="15301" spans="20:21" ht="15" customHeight="1" x14ac:dyDescent="0.25">
      <c r="T15301" s="135"/>
      <c r="U15301" s="135"/>
    </row>
    <row r="15302" spans="20:21" ht="15" customHeight="1" x14ac:dyDescent="0.25">
      <c r="T15302" s="135"/>
      <c r="U15302" s="135"/>
    </row>
    <row r="15303" spans="20:21" ht="15" customHeight="1" x14ac:dyDescent="0.25">
      <c r="T15303" s="135"/>
      <c r="U15303" s="135"/>
    </row>
    <row r="15304" spans="20:21" ht="15" customHeight="1" x14ac:dyDescent="0.25">
      <c r="T15304" s="135"/>
      <c r="U15304" s="135"/>
    </row>
    <row r="15305" spans="20:21" ht="15" customHeight="1" x14ac:dyDescent="0.25">
      <c r="T15305" s="135"/>
      <c r="U15305" s="135"/>
    </row>
    <row r="15306" spans="20:21" ht="15" customHeight="1" x14ac:dyDescent="0.25">
      <c r="T15306" s="135"/>
      <c r="U15306" s="135"/>
    </row>
    <row r="15307" spans="20:21" ht="15" customHeight="1" x14ac:dyDescent="0.25">
      <c r="T15307" s="135"/>
      <c r="U15307" s="135"/>
    </row>
    <row r="15308" spans="20:21" ht="15" customHeight="1" x14ac:dyDescent="0.25">
      <c r="T15308" s="135"/>
      <c r="U15308" s="135"/>
    </row>
    <row r="15309" spans="20:21" ht="15" customHeight="1" x14ac:dyDescent="0.25">
      <c r="T15309" s="135"/>
      <c r="U15309" s="135"/>
    </row>
    <row r="15310" spans="20:21" ht="15" customHeight="1" x14ac:dyDescent="0.25">
      <c r="T15310" s="135"/>
      <c r="U15310" s="135"/>
    </row>
    <row r="15311" spans="20:21" ht="15" customHeight="1" x14ac:dyDescent="0.25">
      <c r="T15311" s="135"/>
      <c r="U15311" s="135"/>
    </row>
    <row r="15312" spans="20:21" ht="15" customHeight="1" x14ac:dyDescent="0.25">
      <c r="T15312" s="135"/>
      <c r="U15312" s="135"/>
    </row>
    <row r="15313" spans="20:21" ht="15" customHeight="1" x14ac:dyDescent="0.25">
      <c r="T15313" s="135"/>
      <c r="U15313" s="135"/>
    </row>
    <row r="15314" spans="20:21" ht="15" customHeight="1" x14ac:dyDescent="0.25">
      <c r="T15314" s="135"/>
      <c r="U15314" s="135"/>
    </row>
    <row r="15315" spans="20:21" ht="15" customHeight="1" x14ac:dyDescent="0.25">
      <c r="T15315" s="135"/>
      <c r="U15315" s="135"/>
    </row>
    <row r="15316" spans="20:21" ht="15" customHeight="1" x14ac:dyDescent="0.25">
      <c r="T15316" s="135"/>
      <c r="U15316" s="135"/>
    </row>
    <row r="15317" spans="20:21" ht="15" customHeight="1" x14ac:dyDescent="0.25">
      <c r="T15317" s="135"/>
      <c r="U15317" s="135"/>
    </row>
    <row r="15318" spans="20:21" ht="15" customHeight="1" x14ac:dyDescent="0.25">
      <c r="T15318" s="135"/>
      <c r="U15318" s="135"/>
    </row>
    <row r="15319" spans="20:21" ht="15" customHeight="1" x14ac:dyDescent="0.25">
      <c r="T15319" s="135"/>
      <c r="U15319" s="135"/>
    </row>
    <row r="15320" spans="20:21" ht="15" customHeight="1" x14ac:dyDescent="0.25">
      <c r="T15320" s="135"/>
      <c r="U15320" s="135"/>
    </row>
    <row r="15321" spans="20:21" ht="15" customHeight="1" x14ac:dyDescent="0.25">
      <c r="T15321" s="135"/>
      <c r="U15321" s="135"/>
    </row>
    <row r="15322" spans="20:21" ht="15" customHeight="1" x14ac:dyDescent="0.25">
      <c r="T15322" s="135"/>
      <c r="U15322" s="135"/>
    </row>
    <row r="15323" spans="20:21" ht="15" customHeight="1" x14ac:dyDescent="0.25">
      <c r="T15323" s="135"/>
      <c r="U15323" s="135"/>
    </row>
    <row r="15324" spans="20:21" ht="15" customHeight="1" x14ac:dyDescent="0.25">
      <c r="T15324" s="135"/>
      <c r="U15324" s="135"/>
    </row>
    <row r="15325" spans="20:21" ht="15" customHeight="1" x14ac:dyDescent="0.25">
      <c r="T15325" s="135"/>
      <c r="U15325" s="135"/>
    </row>
    <row r="15326" spans="20:21" ht="15" customHeight="1" x14ac:dyDescent="0.25">
      <c r="T15326" s="135"/>
      <c r="U15326" s="135"/>
    </row>
    <row r="15327" spans="20:21" ht="15" customHeight="1" x14ac:dyDescent="0.25">
      <c r="T15327" s="135"/>
      <c r="U15327" s="135"/>
    </row>
    <row r="15328" spans="20:21" ht="15" customHeight="1" x14ac:dyDescent="0.25">
      <c r="T15328" s="135"/>
      <c r="U15328" s="135"/>
    </row>
    <row r="15329" spans="20:21" ht="15" customHeight="1" x14ac:dyDescent="0.25">
      <c r="T15329" s="135"/>
      <c r="U15329" s="135"/>
    </row>
    <row r="15330" spans="20:21" ht="15" customHeight="1" x14ac:dyDescent="0.25">
      <c r="T15330" s="135"/>
      <c r="U15330" s="135"/>
    </row>
    <row r="15331" spans="20:21" ht="15" customHeight="1" x14ac:dyDescent="0.25">
      <c r="T15331" s="135"/>
      <c r="U15331" s="135"/>
    </row>
    <row r="15332" spans="20:21" ht="15" customHeight="1" x14ac:dyDescent="0.25">
      <c r="T15332" s="135"/>
      <c r="U15332" s="135"/>
    </row>
    <row r="15333" spans="20:21" ht="15" customHeight="1" x14ac:dyDescent="0.25">
      <c r="T15333" s="135"/>
      <c r="U15333" s="135"/>
    </row>
    <row r="15334" spans="20:21" ht="15" customHeight="1" x14ac:dyDescent="0.25">
      <c r="T15334" s="135"/>
      <c r="U15334" s="135"/>
    </row>
    <row r="15335" spans="20:21" ht="15" customHeight="1" x14ac:dyDescent="0.25">
      <c r="T15335" s="135"/>
      <c r="U15335" s="135"/>
    </row>
    <row r="15336" spans="20:21" ht="15" customHeight="1" x14ac:dyDescent="0.25">
      <c r="T15336" s="135"/>
      <c r="U15336" s="135"/>
    </row>
    <row r="15337" spans="20:21" ht="15" customHeight="1" x14ac:dyDescent="0.25">
      <c r="T15337" s="135"/>
      <c r="U15337" s="135"/>
    </row>
    <row r="15338" spans="20:21" ht="15" customHeight="1" x14ac:dyDescent="0.25">
      <c r="T15338" s="135"/>
      <c r="U15338" s="135"/>
    </row>
    <row r="15339" spans="20:21" ht="15" customHeight="1" x14ac:dyDescent="0.25">
      <c r="T15339" s="135"/>
      <c r="U15339" s="135"/>
    </row>
    <row r="15340" spans="20:21" ht="15" customHeight="1" x14ac:dyDescent="0.25">
      <c r="T15340" s="135"/>
      <c r="U15340" s="135"/>
    </row>
    <row r="15341" spans="20:21" ht="15" customHeight="1" x14ac:dyDescent="0.25">
      <c r="T15341" s="135"/>
      <c r="U15341" s="135"/>
    </row>
    <row r="15342" spans="20:21" ht="15" customHeight="1" x14ac:dyDescent="0.25">
      <c r="T15342" s="135"/>
      <c r="U15342" s="135"/>
    </row>
    <row r="15343" spans="20:21" ht="15" customHeight="1" x14ac:dyDescent="0.25">
      <c r="T15343" s="135"/>
      <c r="U15343" s="135"/>
    </row>
    <row r="15344" spans="20:21" ht="15" customHeight="1" x14ac:dyDescent="0.25">
      <c r="T15344" s="135"/>
      <c r="U15344" s="135"/>
    </row>
    <row r="15345" spans="20:21" ht="15" customHeight="1" x14ac:dyDescent="0.25">
      <c r="T15345" s="135"/>
      <c r="U15345" s="135"/>
    </row>
    <row r="15346" spans="20:21" ht="15" customHeight="1" x14ac:dyDescent="0.25">
      <c r="T15346" s="135"/>
      <c r="U15346" s="135"/>
    </row>
    <row r="15347" spans="20:21" ht="15" customHeight="1" x14ac:dyDescent="0.25">
      <c r="T15347" s="135"/>
      <c r="U15347" s="135"/>
    </row>
    <row r="15348" spans="20:21" ht="15" customHeight="1" x14ac:dyDescent="0.25">
      <c r="T15348" s="135"/>
      <c r="U15348" s="135"/>
    </row>
    <row r="15349" spans="20:21" ht="15" customHeight="1" x14ac:dyDescent="0.25">
      <c r="T15349" s="135"/>
      <c r="U15349" s="135"/>
    </row>
    <row r="15350" spans="20:21" ht="15" customHeight="1" x14ac:dyDescent="0.25">
      <c r="T15350" s="135"/>
      <c r="U15350" s="135"/>
    </row>
    <row r="15351" spans="20:21" ht="15" customHeight="1" x14ac:dyDescent="0.25">
      <c r="T15351" s="135"/>
      <c r="U15351" s="135"/>
    </row>
    <row r="15352" spans="20:21" ht="15" customHeight="1" x14ac:dyDescent="0.25">
      <c r="T15352" s="135"/>
      <c r="U15352" s="135"/>
    </row>
    <row r="15353" spans="20:21" ht="15" customHeight="1" x14ac:dyDescent="0.25">
      <c r="T15353" s="135"/>
      <c r="U15353" s="135"/>
    </row>
    <row r="15354" spans="20:21" ht="15" customHeight="1" x14ac:dyDescent="0.25">
      <c r="T15354" s="135"/>
      <c r="U15354" s="135"/>
    </row>
    <row r="15355" spans="20:21" ht="15" customHeight="1" x14ac:dyDescent="0.25">
      <c r="T15355" s="135"/>
      <c r="U15355" s="135"/>
    </row>
    <row r="15356" spans="20:21" ht="15" customHeight="1" x14ac:dyDescent="0.25">
      <c r="T15356" s="135"/>
      <c r="U15356" s="135"/>
    </row>
    <row r="15357" spans="20:21" ht="15" customHeight="1" x14ac:dyDescent="0.25">
      <c r="T15357" s="135"/>
      <c r="U15357" s="135"/>
    </row>
    <row r="15358" spans="20:21" ht="15" customHeight="1" x14ac:dyDescent="0.25">
      <c r="T15358" s="135"/>
      <c r="U15358" s="135"/>
    </row>
    <row r="15359" spans="20:21" ht="15" customHeight="1" x14ac:dyDescent="0.25">
      <c r="T15359" s="135"/>
      <c r="U15359" s="135"/>
    </row>
    <row r="15360" spans="20:21" ht="15" customHeight="1" x14ac:dyDescent="0.25">
      <c r="T15360" s="135"/>
      <c r="U15360" s="135"/>
    </row>
    <row r="15361" spans="20:21" ht="15" customHeight="1" x14ac:dyDescent="0.25">
      <c r="T15361" s="135"/>
      <c r="U15361" s="135"/>
    </row>
    <row r="15362" spans="20:21" ht="15" customHeight="1" x14ac:dyDescent="0.25">
      <c r="T15362" s="135"/>
      <c r="U15362" s="135"/>
    </row>
    <row r="15363" spans="20:21" ht="15" customHeight="1" x14ac:dyDescent="0.25">
      <c r="T15363" s="135"/>
      <c r="U15363" s="135"/>
    </row>
    <row r="15364" spans="20:21" ht="15" customHeight="1" x14ac:dyDescent="0.25">
      <c r="T15364" s="135"/>
      <c r="U15364" s="135"/>
    </row>
    <row r="15365" spans="20:21" ht="15" customHeight="1" x14ac:dyDescent="0.25">
      <c r="T15365" s="135"/>
      <c r="U15365" s="135"/>
    </row>
    <row r="15366" spans="20:21" ht="15" customHeight="1" x14ac:dyDescent="0.25">
      <c r="T15366" s="135"/>
      <c r="U15366" s="135"/>
    </row>
    <row r="15367" spans="20:21" ht="15" customHeight="1" x14ac:dyDescent="0.25">
      <c r="T15367" s="135"/>
      <c r="U15367" s="135"/>
    </row>
    <row r="15368" spans="20:21" ht="15" customHeight="1" x14ac:dyDescent="0.25">
      <c r="T15368" s="135"/>
      <c r="U15368" s="135"/>
    </row>
    <row r="15369" spans="20:21" ht="15" customHeight="1" x14ac:dyDescent="0.25">
      <c r="T15369" s="135"/>
      <c r="U15369" s="135"/>
    </row>
    <row r="15370" spans="20:21" ht="15" customHeight="1" x14ac:dyDescent="0.25">
      <c r="T15370" s="135"/>
      <c r="U15370" s="135"/>
    </row>
    <row r="15371" spans="20:21" ht="15" customHeight="1" x14ac:dyDescent="0.25">
      <c r="T15371" s="135"/>
      <c r="U15371" s="135"/>
    </row>
    <row r="15372" spans="20:21" ht="15" customHeight="1" x14ac:dyDescent="0.25">
      <c r="T15372" s="135"/>
      <c r="U15372" s="135"/>
    </row>
    <row r="15373" spans="20:21" ht="15" customHeight="1" x14ac:dyDescent="0.25">
      <c r="T15373" s="135"/>
      <c r="U15373" s="135"/>
    </row>
    <row r="15374" spans="20:21" ht="15" customHeight="1" x14ac:dyDescent="0.25">
      <c r="T15374" s="135"/>
      <c r="U15374" s="135"/>
    </row>
    <row r="15375" spans="20:21" ht="15" customHeight="1" x14ac:dyDescent="0.25">
      <c r="T15375" s="135"/>
      <c r="U15375" s="135"/>
    </row>
    <row r="15376" spans="20:21" ht="15" customHeight="1" x14ac:dyDescent="0.25">
      <c r="T15376" s="135"/>
      <c r="U15376" s="135"/>
    </row>
    <row r="15377" spans="20:21" ht="15" customHeight="1" x14ac:dyDescent="0.25">
      <c r="T15377" s="135"/>
      <c r="U15377" s="135"/>
    </row>
    <row r="15378" spans="20:21" ht="15" customHeight="1" x14ac:dyDescent="0.25">
      <c r="T15378" s="135"/>
      <c r="U15378" s="135"/>
    </row>
    <row r="15379" spans="20:21" ht="15" customHeight="1" x14ac:dyDescent="0.25">
      <c r="T15379" s="135"/>
      <c r="U15379" s="135"/>
    </row>
    <row r="15380" spans="20:21" ht="15" customHeight="1" x14ac:dyDescent="0.25">
      <c r="T15380" s="135"/>
      <c r="U15380" s="135"/>
    </row>
    <row r="15381" spans="20:21" ht="15" customHeight="1" x14ac:dyDescent="0.25">
      <c r="T15381" s="135"/>
      <c r="U15381" s="135"/>
    </row>
    <row r="15382" spans="20:21" ht="15" customHeight="1" x14ac:dyDescent="0.25">
      <c r="T15382" s="135"/>
      <c r="U15382" s="135"/>
    </row>
    <row r="15383" spans="20:21" ht="15" customHeight="1" x14ac:dyDescent="0.25">
      <c r="T15383" s="135"/>
      <c r="U15383" s="135"/>
    </row>
    <row r="15384" spans="20:21" ht="15" customHeight="1" x14ac:dyDescent="0.25">
      <c r="T15384" s="135"/>
      <c r="U15384" s="135"/>
    </row>
    <row r="15385" spans="20:21" ht="15" customHeight="1" x14ac:dyDescent="0.25">
      <c r="T15385" s="135"/>
      <c r="U15385" s="135"/>
    </row>
    <row r="15386" spans="20:21" ht="15" customHeight="1" x14ac:dyDescent="0.25">
      <c r="T15386" s="135"/>
      <c r="U15386" s="135"/>
    </row>
    <row r="15387" spans="20:21" ht="15" customHeight="1" x14ac:dyDescent="0.25">
      <c r="T15387" s="135"/>
      <c r="U15387" s="135"/>
    </row>
    <row r="15388" spans="20:21" ht="15" customHeight="1" x14ac:dyDescent="0.25">
      <c r="T15388" s="135"/>
      <c r="U15388" s="135"/>
    </row>
    <row r="15389" spans="20:21" ht="15" customHeight="1" x14ac:dyDescent="0.25">
      <c r="T15389" s="135"/>
      <c r="U15389" s="135"/>
    </row>
    <row r="15390" spans="20:21" ht="15" customHeight="1" x14ac:dyDescent="0.25">
      <c r="T15390" s="135"/>
      <c r="U15390" s="135"/>
    </row>
    <row r="15391" spans="20:21" ht="15" customHeight="1" x14ac:dyDescent="0.25">
      <c r="T15391" s="135"/>
      <c r="U15391" s="135"/>
    </row>
    <row r="15392" spans="20:21" ht="15" customHeight="1" x14ac:dyDescent="0.25">
      <c r="T15392" s="135"/>
      <c r="U15392" s="135"/>
    </row>
    <row r="15393" spans="20:21" ht="15" customHeight="1" x14ac:dyDescent="0.25">
      <c r="T15393" s="135"/>
      <c r="U15393" s="135"/>
    </row>
    <row r="15394" spans="20:21" ht="15" customHeight="1" x14ac:dyDescent="0.25">
      <c r="T15394" s="135"/>
      <c r="U15394" s="135"/>
    </row>
    <row r="15395" spans="20:21" ht="15" customHeight="1" x14ac:dyDescent="0.25">
      <c r="T15395" s="135"/>
      <c r="U15395" s="135"/>
    </row>
    <row r="15396" spans="20:21" ht="15" customHeight="1" x14ac:dyDescent="0.25">
      <c r="T15396" s="135"/>
      <c r="U15396" s="135"/>
    </row>
    <row r="15397" spans="20:21" ht="15" customHeight="1" x14ac:dyDescent="0.25">
      <c r="T15397" s="135"/>
      <c r="U15397" s="135"/>
    </row>
    <row r="15398" spans="20:21" ht="15" customHeight="1" x14ac:dyDescent="0.25">
      <c r="T15398" s="135"/>
      <c r="U15398" s="135"/>
    </row>
    <row r="15399" spans="20:21" ht="15" customHeight="1" x14ac:dyDescent="0.25">
      <c r="T15399" s="135"/>
      <c r="U15399" s="135"/>
    </row>
    <row r="15400" spans="20:21" ht="15" customHeight="1" x14ac:dyDescent="0.25">
      <c r="T15400" s="135"/>
      <c r="U15400" s="135"/>
    </row>
    <row r="15401" spans="20:21" ht="15" customHeight="1" x14ac:dyDescent="0.25">
      <c r="T15401" s="135"/>
      <c r="U15401" s="135"/>
    </row>
    <row r="15402" spans="20:21" ht="15" customHeight="1" x14ac:dyDescent="0.25">
      <c r="T15402" s="135"/>
      <c r="U15402" s="135"/>
    </row>
    <row r="15403" spans="20:21" ht="15" customHeight="1" x14ac:dyDescent="0.25">
      <c r="T15403" s="135"/>
      <c r="U15403" s="135"/>
    </row>
    <row r="15404" spans="20:21" ht="15" customHeight="1" x14ac:dyDescent="0.25">
      <c r="T15404" s="135"/>
      <c r="U15404" s="135"/>
    </row>
    <row r="15405" spans="20:21" ht="15" customHeight="1" x14ac:dyDescent="0.25">
      <c r="T15405" s="135"/>
      <c r="U15405" s="135"/>
    </row>
    <row r="15406" spans="20:21" ht="15" customHeight="1" x14ac:dyDescent="0.25">
      <c r="T15406" s="135"/>
      <c r="U15406" s="135"/>
    </row>
    <row r="15407" spans="20:21" ht="15" customHeight="1" x14ac:dyDescent="0.25">
      <c r="T15407" s="135"/>
      <c r="U15407" s="135"/>
    </row>
    <row r="15408" spans="20:21" ht="15" customHeight="1" x14ac:dyDescent="0.25">
      <c r="T15408" s="135"/>
      <c r="U15408" s="135"/>
    </row>
    <row r="15409" spans="20:21" ht="15" customHeight="1" x14ac:dyDescent="0.25">
      <c r="T15409" s="135"/>
      <c r="U15409" s="135"/>
    </row>
    <row r="15410" spans="20:21" ht="15" customHeight="1" x14ac:dyDescent="0.25">
      <c r="T15410" s="135"/>
      <c r="U15410" s="135"/>
    </row>
    <row r="15411" spans="20:21" ht="15" customHeight="1" x14ac:dyDescent="0.25">
      <c r="T15411" s="135"/>
      <c r="U15411" s="135"/>
    </row>
    <row r="15412" spans="20:21" ht="15" customHeight="1" x14ac:dyDescent="0.25">
      <c r="T15412" s="135"/>
      <c r="U15412" s="135"/>
    </row>
    <row r="15413" spans="20:21" ht="15" customHeight="1" x14ac:dyDescent="0.25">
      <c r="T15413" s="135"/>
      <c r="U15413" s="135"/>
    </row>
    <row r="15414" spans="20:21" ht="15" customHeight="1" x14ac:dyDescent="0.25">
      <c r="T15414" s="135"/>
      <c r="U15414" s="135"/>
    </row>
    <row r="15415" spans="20:21" ht="15" customHeight="1" x14ac:dyDescent="0.25">
      <c r="T15415" s="135"/>
      <c r="U15415" s="135"/>
    </row>
    <row r="15416" spans="20:21" ht="15" customHeight="1" x14ac:dyDescent="0.25">
      <c r="T15416" s="135"/>
      <c r="U15416" s="135"/>
    </row>
    <row r="15417" spans="20:21" ht="15" customHeight="1" x14ac:dyDescent="0.25">
      <c r="T15417" s="135"/>
      <c r="U15417" s="135"/>
    </row>
    <row r="15418" spans="20:21" ht="15" customHeight="1" x14ac:dyDescent="0.25">
      <c r="T15418" s="135"/>
      <c r="U15418" s="135"/>
    </row>
    <row r="15419" spans="20:21" ht="15" customHeight="1" x14ac:dyDescent="0.25">
      <c r="T15419" s="135"/>
      <c r="U15419" s="135"/>
    </row>
    <row r="15420" spans="20:21" ht="15" customHeight="1" x14ac:dyDescent="0.25">
      <c r="T15420" s="135"/>
      <c r="U15420" s="135"/>
    </row>
    <row r="15421" spans="20:21" ht="15" customHeight="1" x14ac:dyDescent="0.25">
      <c r="T15421" s="135"/>
      <c r="U15421" s="135"/>
    </row>
    <row r="15422" spans="20:21" ht="15" customHeight="1" x14ac:dyDescent="0.25">
      <c r="T15422" s="135"/>
      <c r="U15422" s="135"/>
    </row>
    <row r="15423" spans="20:21" ht="15" customHeight="1" x14ac:dyDescent="0.25">
      <c r="T15423" s="135"/>
      <c r="U15423" s="135"/>
    </row>
    <row r="15424" spans="20:21" ht="15" customHeight="1" x14ac:dyDescent="0.25">
      <c r="T15424" s="135"/>
      <c r="U15424" s="135"/>
    </row>
    <row r="15425" spans="20:21" ht="15" customHeight="1" x14ac:dyDescent="0.25">
      <c r="T15425" s="135"/>
      <c r="U15425" s="135"/>
    </row>
    <row r="15426" spans="20:21" ht="15" customHeight="1" x14ac:dyDescent="0.25">
      <c r="T15426" s="135"/>
      <c r="U15426" s="135"/>
    </row>
    <row r="15427" spans="20:21" ht="15" customHeight="1" x14ac:dyDescent="0.25">
      <c r="T15427" s="135"/>
      <c r="U15427" s="135"/>
    </row>
    <row r="15428" spans="20:21" ht="15" customHeight="1" x14ac:dyDescent="0.25">
      <c r="T15428" s="135"/>
      <c r="U15428" s="135"/>
    </row>
    <row r="15429" spans="20:21" ht="15" customHeight="1" x14ac:dyDescent="0.25">
      <c r="T15429" s="135"/>
      <c r="U15429" s="135"/>
    </row>
    <row r="15430" spans="20:21" ht="15" customHeight="1" x14ac:dyDescent="0.25">
      <c r="T15430" s="135"/>
      <c r="U15430" s="135"/>
    </row>
    <row r="15431" spans="20:21" ht="15" customHeight="1" x14ac:dyDescent="0.25">
      <c r="T15431" s="135"/>
      <c r="U15431" s="135"/>
    </row>
    <row r="15432" spans="20:21" ht="15" customHeight="1" x14ac:dyDescent="0.25">
      <c r="T15432" s="135"/>
      <c r="U15432" s="135"/>
    </row>
    <row r="15433" spans="20:21" ht="15" customHeight="1" x14ac:dyDescent="0.25">
      <c r="T15433" s="135"/>
      <c r="U15433" s="135"/>
    </row>
    <row r="15434" spans="20:21" ht="15" customHeight="1" x14ac:dyDescent="0.25">
      <c r="T15434" s="135"/>
      <c r="U15434" s="135"/>
    </row>
    <row r="15435" spans="20:21" ht="15" customHeight="1" x14ac:dyDescent="0.25">
      <c r="T15435" s="135"/>
      <c r="U15435" s="135"/>
    </row>
    <row r="15436" spans="20:21" ht="15" customHeight="1" x14ac:dyDescent="0.25">
      <c r="T15436" s="135"/>
      <c r="U15436" s="135"/>
    </row>
    <row r="15437" spans="20:21" ht="15" customHeight="1" x14ac:dyDescent="0.25">
      <c r="T15437" s="135"/>
      <c r="U15437" s="135"/>
    </row>
    <row r="15438" spans="20:21" ht="15" customHeight="1" x14ac:dyDescent="0.25">
      <c r="T15438" s="135"/>
      <c r="U15438" s="135"/>
    </row>
    <row r="15439" spans="20:21" ht="15" customHeight="1" x14ac:dyDescent="0.25">
      <c r="T15439" s="135"/>
      <c r="U15439" s="135"/>
    </row>
    <row r="15440" spans="20:21" ht="15" customHeight="1" x14ac:dyDescent="0.25">
      <c r="T15440" s="135"/>
      <c r="U15440" s="135"/>
    </row>
    <row r="15441" spans="20:21" ht="15" customHeight="1" x14ac:dyDescent="0.25">
      <c r="T15441" s="135"/>
      <c r="U15441" s="135"/>
    </row>
    <row r="15442" spans="20:21" ht="15" customHeight="1" x14ac:dyDescent="0.25">
      <c r="T15442" s="135"/>
      <c r="U15442" s="135"/>
    </row>
    <row r="15443" spans="20:21" ht="15" customHeight="1" x14ac:dyDescent="0.25">
      <c r="T15443" s="135"/>
      <c r="U15443" s="135"/>
    </row>
    <row r="15444" spans="20:21" ht="15" customHeight="1" x14ac:dyDescent="0.25">
      <c r="T15444" s="135"/>
      <c r="U15444" s="135"/>
    </row>
    <row r="15445" spans="20:21" ht="15" customHeight="1" x14ac:dyDescent="0.25">
      <c r="T15445" s="135"/>
      <c r="U15445" s="135"/>
    </row>
    <row r="15446" spans="20:21" ht="15" customHeight="1" x14ac:dyDescent="0.25">
      <c r="T15446" s="135"/>
      <c r="U15446" s="135"/>
    </row>
    <row r="15447" spans="20:21" ht="15" customHeight="1" x14ac:dyDescent="0.25">
      <c r="T15447" s="135"/>
      <c r="U15447" s="135"/>
    </row>
    <row r="15448" spans="20:21" ht="15" customHeight="1" x14ac:dyDescent="0.25">
      <c r="T15448" s="135"/>
      <c r="U15448" s="135"/>
    </row>
    <row r="15449" spans="20:21" ht="15" customHeight="1" x14ac:dyDescent="0.25">
      <c r="T15449" s="135"/>
      <c r="U15449" s="135"/>
    </row>
    <row r="15450" spans="20:21" ht="15" customHeight="1" x14ac:dyDescent="0.25">
      <c r="T15450" s="135"/>
      <c r="U15450" s="135"/>
    </row>
    <row r="15451" spans="20:21" ht="15" customHeight="1" x14ac:dyDescent="0.25">
      <c r="T15451" s="135"/>
      <c r="U15451" s="135"/>
    </row>
    <row r="15452" spans="20:21" ht="15" customHeight="1" x14ac:dyDescent="0.25">
      <c r="T15452" s="135"/>
      <c r="U15452" s="135"/>
    </row>
    <row r="15453" spans="20:21" ht="15" customHeight="1" x14ac:dyDescent="0.25">
      <c r="T15453" s="135"/>
      <c r="U15453" s="135"/>
    </row>
    <row r="15454" spans="20:21" ht="15" customHeight="1" x14ac:dyDescent="0.25">
      <c r="T15454" s="135"/>
      <c r="U15454" s="135"/>
    </row>
    <row r="15455" spans="20:21" ht="15" customHeight="1" x14ac:dyDescent="0.25">
      <c r="T15455" s="135"/>
      <c r="U15455" s="135"/>
    </row>
    <row r="15456" spans="20:21" ht="15" customHeight="1" x14ac:dyDescent="0.25">
      <c r="T15456" s="135"/>
      <c r="U15456" s="135"/>
    </row>
    <row r="15457" spans="20:21" ht="15" customHeight="1" x14ac:dyDescent="0.25">
      <c r="T15457" s="135"/>
      <c r="U15457" s="135"/>
    </row>
    <row r="15458" spans="20:21" ht="15" customHeight="1" x14ac:dyDescent="0.25">
      <c r="T15458" s="135"/>
      <c r="U15458" s="135"/>
    </row>
    <row r="15459" spans="20:21" ht="15" customHeight="1" x14ac:dyDescent="0.25">
      <c r="T15459" s="135"/>
      <c r="U15459" s="135"/>
    </row>
    <row r="15460" spans="20:21" ht="15" customHeight="1" x14ac:dyDescent="0.25">
      <c r="T15460" s="135"/>
      <c r="U15460" s="135"/>
    </row>
    <row r="15461" spans="20:21" ht="15" customHeight="1" x14ac:dyDescent="0.25">
      <c r="T15461" s="135"/>
      <c r="U15461" s="135"/>
    </row>
    <row r="15462" spans="20:21" ht="15" customHeight="1" x14ac:dyDescent="0.25">
      <c r="T15462" s="135"/>
      <c r="U15462" s="135"/>
    </row>
    <row r="15463" spans="20:21" ht="15" customHeight="1" x14ac:dyDescent="0.25">
      <c r="T15463" s="135"/>
      <c r="U15463" s="135"/>
    </row>
    <row r="15464" spans="20:21" ht="15" customHeight="1" x14ac:dyDescent="0.25">
      <c r="T15464" s="135"/>
      <c r="U15464" s="135"/>
    </row>
    <row r="15465" spans="20:21" ht="15" customHeight="1" x14ac:dyDescent="0.25">
      <c r="T15465" s="135"/>
      <c r="U15465" s="135"/>
    </row>
    <row r="15466" spans="20:21" ht="15" customHeight="1" x14ac:dyDescent="0.25">
      <c r="T15466" s="135"/>
      <c r="U15466" s="135"/>
    </row>
    <row r="15467" spans="20:21" ht="15" customHeight="1" x14ac:dyDescent="0.25">
      <c r="T15467" s="135"/>
      <c r="U15467" s="135"/>
    </row>
    <row r="15468" spans="20:21" ht="15" customHeight="1" x14ac:dyDescent="0.25">
      <c r="T15468" s="135"/>
      <c r="U15468" s="135"/>
    </row>
    <row r="15469" spans="20:21" ht="15" customHeight="1" x14ac:dyDescent="0.25">
      <c r="T15469" s="135"/>
      <c r="U15469" s="135"/>
    </row>
    <row r="15470" spans="20:21" ht="15" customHeight="1" x14ac:dyDescent="0.25">
      <c r="T15470" s="135"/>
      <c r="U15470" s="135"/>
    </row>
    <row r="15471" spans="20:21" ht="15" customHeight="1" x14ac:dyDescent="0.25">
      <c r="T15471" s="135"/>
      <c r="U15471" s="135"/>
    </row>
    <row r="15472" spans="20:21" ht="15" customHeight="1" x14ac:dyDescent="0.25">
      <c r="T15472" s="135"/>
      <c r="U15472" s="135"/>
    </row>
    <row r="15473" spans="20:21" ht="15" customHeight="1" x14ac:dyDescent="0.25">
      <c r="T15473" s="135"/>
      <c r="U15473" s="135"/>
    </row>
    <row r="15474" spans="20:21" ht="15" customHeight="1" x14ac:dyDescent="0.25">
      <c r="T15474" s="135"/>
      <c r="U15474" s="135"/>
    </row>
    <row r="15475" spans="20:21" ht="15" customHeight="1" x14ac:dyDescent="0.25">
      <c r="T15475" s="135"/>
      <c r="U15475" s="135"/>
    </row>
    <row r="15476" spans="20:21" ht="15" customHeight="1" x14ac:dyDescent="0.25">
      <c r="T15476" s="135"/>
      <c r="U15476" s="135"/>
    </row>
    <row r="15477" spans="20:21" ht="15" customHeight="1" x14ac:dyDescent="0.25">
      <c r="T15477" s="135"/>
      <c r="U15477" s="135"/>
    </row>
    <row r="15478" spans="20:21" ht="15" customHeight="1" x14ac:dyDescent="0.25">
      <c r="T15478" s="135"/>
      <c r="U15478" s="135"/>
    </row>
    <row r="15479" spans="20:21" ht="15" customHeight="1" x14ac:dyDescent="0.25">
      <c r="T15479" s="135"/>
      <c r="U15479" s="135"/>
    </row>
    <row r="15480" spans="20:21" ht="15" customHeight="1" x14ac:dyDescent="0.25">
      <c r="T15480" s="135"/>
      <c r="U15480" s="135"/>
    </row>
    <row r="15481" spans="20:21" ht="15" customHeight="1" x14ac:dyDescent="0.25">
      <c r="T15481" s="135"/>
      <c r="U15481" s="135"/>
    </row>
    <row r="15482" spans="20:21" ht="15" customHeight="1" x14ac:dyDescent="0.25">
      <c r="T15482" s="135"/>
      <c r="U15482" s="135"/>
    </row>
    <row r="15483" spans="20:21" ht="15" customHeight="1" x14ac:dyDescent="0.25">
      <c r="T15483" s="135"/>
      <c r="U15483" s="135"/>
    </row>
    <row r="15484" spans="20:21" ht="15" customHeight="1" x14ac:dyDescent="0.25">
      <c r="T15484" s="135"/>
      <c r="U15484" s="135"/>
    </row>
    <row r="15485" spans="20:21" ht="15" customHeight="1" x14ac:dyDescent="0.25">
      <c r="T15485" s="135"/>
      <c r="U15485" s="135"/>
    </row>
    <row r="15486" spans="20:21" ht="15" customHeight="1" x14ac:dyDescent="0.25">
      <c r="T15486" s="135"/>
      <c r="U15486" s="135"/>
    </row>
    <row r="15487" spans="20:21" ht="15" customHeight="1" x14ac:dyDescent="0.25">
      <c r="T15487" s="135"/>
      <c r="U15487" s="135"/>
    </row>
    <row r="15488" spans="20:21" ht="15" customHeight="1" x14ac:dyDescent="0.25">
      <c r="T15488" s="135"/>
      <c r="U15488" s="135"/>
    </row>
    <row r="15489" spans="20:21" ht="15" customHeight="1" x14ac:dyDescent="0.25">
      <c r="T15489" s="135"/>
      <c r="U15489" s="135"/>
    </row>
    <row r="15490" spans="20:21" ht="15" customHeight="1" x14ac:dyDescent="0.25">
      <c r="T15490" s="135"/>
      <c r="U15490" s="135"/>
    </row>
    <row r="15491" spans="20:21" ht="15" customHeight="1" x14ac:dyDescent="0.25">
      <c r="T15491" s="135"/>
      <c r="U15491" s="135"/>
    </row>
    <row r="15492" spans="20:21" ht="15" customHeight="1" x14ac:dyDescent="0.25">
      <c r="T15492" s="135"/>
      <c r="U15492" s="135"/>
    </row>
    <row r="15493" spans="20:21" ht="15" customHeight="1" x14ac:dyDescent="0.25">
      <c r="T15493" s="135"/>
      <c r="U15493" s="135"/>
    </row>
    <row r="15494" spans="20:21" ht="15" customHeight="1" x14ac:dyDescent="0.25">
      <c r="T15494" s="135"/>
      <c r="U15494" s="135"/>
    </row>
    <row r="15495" spans="20:21" ht="15" customHeight="1" x14ac:dyDescent="0.25">
      <c r="T15495" s="135"/>
      <c r="U15495" s="135"/>
    </row>
    <row r="15496" spans="20:21" ht="15" customHeight="1" x14ac:dyDescent="0.25">
      <c r="T15496" s="135"/>
      <c r="U15496" s="135"/>
    </row>
    <row r="15497" spans="20:21" ht="15" customHeight="1" x14ac:dyDescent="0.25">
      <c r="T15497" s="135"/>
      <c r="U15497" s="135"/>
    </row>
    <row r="15498" spans="20:21" ht="15" customHeight="1" x14ac:dyDescent="0.25">
      <c r="T15498" s="135"/>
      <c r="U15498" s="135"/>
    </row>
    <row r="15499" spans="20:21" ht="15" customHeight="1" x14ac:dyDescent="0.25">
      <c r="T15499" s="135"/>
      <c r="U15499" s="135"/>
    </row>
    <row r="15500" spans="20:21" ht="15" customHeight="1" x14ac:dyDescent="0.25">
      <c r="T15500" s="135"/>
      <c r="U15500" s="135"/>
    </row>
    <row r="15501" spans="20:21" ht="15" customHeight="1" x14ac:dyDescent="0.25">
      <c r="T15501" s="135"/>
      <c r="U15501" s="135"/>
    </row>
    <row r="15502" spans="20:21" ht="15" customHeight="1" x14ac:dyDescent="0.25">
      <c r="T15502" s="135"/>
      <c r="U15502" s="135"/>
    </row>
    <row r="15503" spans="20:21" ht="15" customHeight="1" x14ac:dyDescent="0.25">
      <c r="T15503" s="135"/>
      <c r="U15503" s="135"/>
    </row>
    <row r="15504" spans="20:21" ht="15" customHeight="1" x14ac:dyDescent="0.25">
      <c r="T15504" s="135"/>
      <c r="U15504" s="135"/>
    </row>
    <row r="15505" spans="20:21" ht="15" customHeight="1" x14ac:dyDescent="0.25">
      <c r="T15505" s="135"/>
      <c r="U15505" s="135"/>
    </row>
    <row r="15506" spans="20:21" ht="15" customHeight="1" x14ac:dyDescent="0.25">
      <c r="T15506" s="135"/>
      <c r="U15506" s="135"/>
    </row>
    <row r="15507" spans="20:21" ht="15" customHeight="1" x14ac:dyDescent="0.25">
      <c r="T15507" s="135"/>
      <c r="U15507" s="135"/>
    </row>
    <row r="15508" spans="20:21" ht="15" customHeight="1" x14ac:dyDescent="0.25">
      <c r="T15508" s="135"/>
      <c r="U15508" s="135"/>
    </row>
    <row r="15509" spans="20:21" ht="15" customHeight="1" x14ac:dyDescent="0.25">
      <c r="T15509" s="135"/>
      <c r="U15509" s="135"/>
    </row>
    <row r="15510" spans="20:21" ht="15" customHeight="1" x14ac:dyDescent="0.25">
      <c r="T15510" s="135"/>
      <c r="U15510" s="135"/>
    </row>
    <row r="15511" spans="20:21" ht="15" customHeight="1" x14ac:dyDescent="0.25">
      <c r="T15511" s="135"/>
      <c r="U15511" s="135"/>
    </row>
    <row r="15512" spans="20:21" ht="15" customHeight="1" x14ac:dyDescent="0.25">
      <c r="T15512" s="135"/>
      <c r="U15512" s="135"/>
    </row>
    <row r="15513" spans="20:21" ht="15" customHeight="1" x14ac:dyDescent="0.25">
      <c r="T15513" s="135"/>
      <c r="U15513" s="135"/>
    </row>
    <row r="15514" spans="20:21" ht="15" customHeight="1" x14ac:dyDescent="0.25">
      <c r="T15514" s="135"/>
      <c r="U15514" s="135"/>
    </row>
    <row r="15515" spans="20:21" ht="15" customHeight="1" x14ac:dyDescent="0.25">
      <c r="T15515" s="135"/>
      <c r="U15515" s="135"/>
    </row>
    <row r="15516" spans="20:21" ht="15" customHeight="1" x14ac:dyDescent="0.25">
      <c r="T15516" s="135"/>
      <c r="U15516" s="135"/>
    </row>
    <row r="15517" spans="20:21" ht="15" customHeight="1" x14ac:dyDescent="0.25">
      <c r="T15517" s="135"/>
      <c r="U15517" s="135"/>
    </row>
    <row r="15518" spans="20:21" ht="15" customHeight="1" x14ac:dyDescent="0.25">
      <c r="T15518" s="135"/>
      <c r="U15518" s="135"/>
    </row>
    <row r="15519" spans="20:21" ht="15" customHeight="1" x14ac:dyDescent="0.25">
      <c r="T15519" s="135"/>
      <c r="U15519" s="135"/>
    </row>
    <row r="15520" spans="20:21" ht="15" customHeight="1" x14ac:dyDescent="0.25">
      <c r="T15520" s="135"/>
      <c r="U15520" s="135"/>
    </row>
    <row r="15521" spans="20:21" ht="15" customHeight="1" x14ac:dyDescent="0.25">
      <c r="T15521" s="135"/>
      <c r="U15521" s="135"/>
    </row>
    <row r="15522" spans="20:21" ht="15" customHeight="1" x14ac:dyDescent="0.25">
      <c r="T15522" s="135"/>
      <c r="U15522" s="135"/>
    </row>
    <row r="15523" spans="20:21" ht="15" customHeight="1" x14ac:dyDescent="0.25">
      <c r="T15523" s="135"/>
      <c r="U15523" s="135"/>
    </row>
    <row r="15524" spans="20:21" ht="15" customHeight="1" x14ac:dyDescent="0.25">
      <c r="T15524" s="135"/>
      <c r="U15524" s="135"/>
    </row>
    <row r="15525" spans="20:21" ht="15" customHeight="1" x14ac:dyDescent="0.25">
      <c r="T15525" s="135"/>
      <c r="U15525" s="135"/>
    </row>
    <row r="15526" spans="20:21" ht="15" customHeight="1" x14ac:dyDescent="0.25">
      <c r="T15526" s="135"/>
      <c r="U15526" s="135"/>
    </row>
    <row r="15527" spans="20:21" ht="15" customHeight="1" x14ac:dyDescent="0.25">
      <c r="T15527" s="135"/>
      <c r="U15527" s="135"/>
    </row>
    <row r="15528" spans="20:21" ht="15" customHeight="1" x14ac:dyDescent="0.25">
      <c r="T15528" s="135"/>
      <c r="U15528" s="135"/>
    </row>
    <row r="15529" spans="20:21" ht="15" customHeight="1" x14ac:dyDescent="0.25">
      <c r="T15529" s="135"/>
      <c r="U15529" s="135"/>
    </row>
    <row r="15530" spans="20:21" ht="15" customHeight="1" x14ac:dyDescent="0.25">
      <c r="T15530" s="135"/>
      <c r="U15530" s="135"/>
    </row>
    <row r="15531" spans="20:21" ht="15" customHeight="1" x14ac:dyDescent="0.25">
      <c r="T15531" s="135"/>
      <c r="U15531" s="135"/>
    </row>
    <row r="15532" spans="20:21" ht="15" customHeight="1" x14ac:dyDescent="0.25">
      <c r="T15532" s="135"/>
      <c r="U15532" s="135"/>
    </row>
    <row r="15533" spans="20:21" ht="15" customHeight="1" x14ac:dyDescent="0.25">
      <c r="T15533" s="135"/>
      <c r="U15533" s="135"/>
    </row>
    <row r="15534" spans="20:21" ht="15" customHeight="1" x14ac:dyDescent="0.25">
      <c r="T15534" s="135"/>
      <c r="U15534" s="135"/>
    </row>
    <row r="15535" spans="20:21" ht="15" customHeight="1" x14ac:dyDescent="0.25">
      <c r="T15535" s="135"/>
      <c r="U15535" s="135"/>
    </row>
    <row r="15536" spans="20:21" ht="15" customHeight="1" x14ac:dyDescent="0.25">
      <c r="T15536" s="135"/>
      <c r="U15536" s="135"/>
    </row>
    <row r="15537" spans="20:21" ht="15" customHeight="1" x14ac:dyDescent="0.25">
      <c r="T15537" s="135"/>
      <c r="U15537" s="135"/>
    </row>
    <row r="15538" spans="20:21" ht="15" customHeight="1" x14ac:dyDescent="0.25">
      <c r="T15538" s="135"/>
      <c r="U15538" s="135"/>
    </row>
    <row r="15539" spans="20:21" ht="15" customHeight="1" x14ac:dyDescent="0.25">
      <c r="T15539" s="135"/>
      <c r="U15539" s="135"/>
    </row>
    <row r="15540" spans="20:21" ht="15" customHeight="1" x14ac:dyDescent="0.25">
      <c r="T15540" s="135"/>
      <c r="U15540" s="135"/>
    </row>
    <row r="15541" spans="20:21" ht="15" customHeight="1" x14ac:dyDescent="0.25">
      <c r="T15541" s="135"/>
      <c r="U15541" s="135"/>
    </row>
    <row r="15542" spans="20:21" ht="15" customHeight="1" x14ac:dyDescent="0.25">
      <c r="T15542" s="135"/>
      <c r="U15542" s="135"/>
    </row>
    <row r="15543" spans="20:21" ht="15" customHeight="1" x14ac:dyDescent="0.25">
      <c r="T15543" s="135"/>
      <c r="U15543" s="135"/>
    </row>
    <row r="15544" spans="20:21" ht="15" customHeight="1" x14ac:dyDescent="0.25">
      <c r="T15544" s="135"/>
      <c r="U15544" s="135"/>
    </row>
    <row r="15545" spans="20:21" ht="15" customHeight="1" x14ac:dyDescent="0.25">
      <c r="T15545" s="135"/>
      <c r="U15545" s="135"/>
    </row>
    <row r="15546" spans="20:21" ht="15" customHeight="1" x14ac:dyDescent="0.25">
      <c r="T15546" s="135"/>
      <c r="U15546" s="135"/>
    </row>
    <row r="15547" spans="20:21" ht="15" customHeight="1" x14ac:dyDescent="0.25">
      <c r="T15547" s="135"/>
      <c r="U15547" s="135"/>
    </row>
    <row r="15548" spans="20:21" ht="15" customHeight="1" x14ac:dyDescent="0.25">
      <c r="T15548" s="135"/>
      <c r="U15548" s="135"/>
    </row>
    <row r="15549" spans="20:21" ht="15" customHeight="1" x14ac:dyDescent="0.25">
      <c r="T15549" s="135"/>
      <c r="U15549" s="135"/>
    </row>
    <row r="15550" spans="20:21" ht="15" customHeight="1" x14ac:dyDescent="0.25">
      <c r="T15550" s="135"/>
      <c r="U15550" s="135"/>
    </row>
    <row r="15551" spans="20:21" ht="15" customHeight="1" x14ac:dyDescent="0.25">
      <c r="T15551" s="135"/>
      <c r="U15551" s="135"/>
    </row>
    <row r="15552" spans="20:21" ht="15" customHeight="1" x14ac:dyDescent="0.25">
      <c r="T15552" s="135"/>
      <c r="U15552" s="135"/>
    </row>
    <row r="15553" spans="20:21" ht="15" customHeight="1" x14ac:dyDescent="0.25">
      <c r="T15553" s="135"/>
      <c r="U15553" s="135"/>
    </row>
    <row r="15554" spans="20:21" ht="15" customHeight="1" x14ac:dyDescent="0.25">
      <c r="T15554" s="135"/>
      <c r="U15554" s="135"/>
    </row>
    <row r="15555" spans="20:21" ht="15" customHeight="1" x14ac:dyDescent="0.25">
      <c r="T15555" s="135"/>
      <c r="U15555" s="135"/>
    </row>
    <row r="15556" spans="20:21" ht="15" customHeight="1" x14ac:dyDescent="0.25">
      <c r="T15556" s="135"/>
      <c r="U15556" s="135"/>
    </row>
    <row r="15557" spans="20:21" ht="15" customHeight="1" x14ac:dyDescent="0.25">
      <c r="T15557" s="135"/>
      <c r="U15557" s="135"/>
    </row>
    <row r="15558" spans="20:21" ht="15" customHeight="1" x14ac:dyDescent="0.25">
      <c r="T15558" s="135"/>
      <c r="U15558" s="135"/>
    </row>
    <row r="15559" spans="20:21" ht="15" customHeight="1" x14ac:dyDescent="0.25">
      <c r="T15559" s="135"/>
      <c r="U15559" s="135"/>
    </row>
    <row r="15560" spans="20:21" ht="15" customHeight="1" x14ac:dyDescent="0.25">
      <c r="T15560" s="135"/>
      <c r="U15560" s="135"/>
    </row>
    <row r="15561" spans="20:21" ht="15" customHeight="1" x14ac:dyDescent="0.25">
      <c r="T15561" s="135"/>
      <c r="U15561" s="135"/>
    </row>
    <row r="15562" spans="20:21" ht="15" customHeight="1" x14ac:dyDescent="0.25">
      <c r="T15562" s="135"/>
      <c r="U15562" s="135"/>
    </row>
    <row r="15563" spans="20:21" ht="15" customHeight="1" x14ac:dyDescent="0.25">
      <c r="T15563" s="135"/>
      <c r="U15563" s="135"/>
    </row>
    <row r="15564" spans="20:21" ht="15" customHeight="1" x14ac:dyDescent="0.25">
      <c r="T15564" s="135"/>
      <c r="U15564" s="135"/>
    </row>
    <row r="15565" spans="20:21" ht="15" customHeight="1" x14ac:dyDescent="0.25">
      <c r="T15565" s="135"/>
      <c r="U15565" s="135"/>
    </row>
    <row r="15566" spans="20:21" ht="15" customHeight="1" x14ac:dyDescent="0.25">
      <c r="T15566" s="135"/>
      <c r="U15566" s="135"/>
    </row>
    <row r="15567" spans="20:21" ht="15" customHeight="1" x14ac:dyDescent="0.25">
      <c r="T15567" s="135"/>
      <c r="U15567" s="135"/>
    </row>
    <row r="15568" spans="20:21" ht="15" customHeight="1" x14ac:dyDescent="0.25">
      <c r="T15568" s="135"/>
      <c r="U15568" s="135"/>
    </row>
    <row r="15569" spans="20:21" ht="15" customHeight="1" x14ac:dyDescent="0.25">
      <c r="T15569" s="135"/>
      <c r="U15569" s="135"/>
    </row>
    <row r="15570" spans="20:21" ht="15" customHeight="1" x14ac:dyDescent="0.25">
      <c r="T15570" s="135"/>
      <c r="U15570" s="135"/>
    </row>
    <row r="15571" spans="20:21" ht="15" customHeight="1" x14ac:dyDescent="0.25">
      <c r="T15571" s="135"/>
      <c r="U15571" s="135"/>
    </row>
    <row r="15572" spans="20:21" ht="15" customHeight="1" x14ac:dyDescent="0.25">
      <c r="T15572" s="135"/>
      <c r="U15572" s="135"/>
    </row>
    <row r="15573" spans="20:21" ht="15" customHeight="1" x14ac:dyDescent="0.25">
      <c r="T15573" s="135"/>
      <c r="U15573" s="135"/>
    </row>
    <row r="15574" spans="20:21" ht="15" customHeight="1" x14ac:dyDescent="0.25">
      <c r="T15574" s="135"/>
      <c r="U15574" s="135"/>
    </row>
    <row r="15575" spans="20:21" ht="15" customHeight="1" x14ac:dyDescent="0.25">
      <c r="T15575" s="135"/>
      <c r="U15575" s="135"/>
    </row>
    <row r="15576" spans="20:21" ht="15" customHeight="1" x14ac:dyDescent="0.25">
      <c r="T15576" s="135"/>
      <c r="U15576" s="135"/>
    </row>
    <row r="15577" spans="20:21" ht="15" customHeight="1" x14ac:dyDescent="0.25">
      <c r="T15577" s="135"/>
      <c r="U15577" s="135"/>
    </row>
    <row r="15578" spans="20:21" ht="15" customHeight="1" x14ac:dyDescent="0.25">
      <c r="T15578" s="135"/>
      <c r="U15578" s="135"/>
    </row>
    <row r="15579" spans="20:21" ht="15" customHeight="1" x14ac:dyDescent="0.25">
      <c r="T15579" s="135"/>
      <c r="U15579" s="135"/>
    </row>
    <row r="15580" spans="20:21" ht="15" customHeight="1" x14ac:dyDescent="0.25">
      <c r="T15580" s="135"/>
      <c r="U15580" s="135"/>
    </row>
    <row r="15581" spans="20:21" ht="15" customHeight="1" x14ac:dyDescent="0.25">
      <c r="T15581" s="135"/>
      <c r="U15581" s="135"/>
    </row>
    <row r="15582" spans="20:21" ht="15" customHeight="1" x14ac:dyDescent="0.25">
      <c r="T15582" s="135"/>
      <c r="U15582" s="135"/>
    </row>
    <row r="15583" spans="20:21" ht="15" customHeight="1" x14ac:dyDescent="0.25">
      <c r="T15583" s="135"/>
      <c r="U15583" s="135"/>
    </row>
    <row r="15584" spans="20:21" ht="15" customHeight="1" x14ac:dyDescent="0.25">
      <c r="T15584" s="135"/>
      <c r="U15584" s="135"/>
    </row>
    <row r="15585" spans="20:21" ht="15" customHeight="1" x14ac:dyDescent="0.25">
      <c r="T15585" s="135"/>
      <c r="U15585" s="135"/>
    </row>
    <row r="15586" spans="20:21" ht="15" customHeight="1" x14ac:dyDescent="0.25">
      <c r="T15586" s="135"/>
      <c r="U15586" s="135"/>
    </row>
    <row r="15587" spans="20:21" ht="15" customHeight="1" x14ac:dyDescent="0.25">
      <c r="T15587" s="135"/>
      <c r="U15587" s="135"/>
    </row>
    <row r="15588" spans="20:21" ht="15" customHeight="1" x14ac:dyDescent="0.25">
      <c r="T15588" s="135"/>
      <c r="U15588" s="135"/>
    </row>
    <row r="15589" spans="20:21" ht="15" customHeight="1" x14ac:dyDescent="0.25">
      <c r="T15589" s="135"/>
      <c r="U15589" s="135"/>
    </row>
    <row r="15590" spans="20:21" ht="15" customHeight="1" x14ac:dyDescent="0.25">
      <c r="T15590" s="135"/>
      <c r="U15590" s="135"/>
    </row>
    <row r="15591" spans="20:21" ht="15" customHeight="1" x14ac:dyDescent="0.25">
      <c r="T15591" s="135"/>
      <c r="U15591" s="135"/>
    </row>
    <row r="15592" spans="20:21" ht="15" customHeight="1" x14ac:dyDescent="0.25">
      <c r="T15592" s="135"/>
      <c r="U15592" s="135"/>
    </row>
    <row r="15593" spans="20:21" ht="15" customHeight="1" x14ac:dyDescent="0.25">
      <c r="T15593" s="135"/>
      <c r="U15593" s="135"/>
    </row>
    <row r="15594" spans="20:21" ht="15" customHeight="1" x14ac:dyDescent="0.25">
      <c r="T15594" s="135"/>
      <c r="U15594" s="135"/>
    </row>
    <row r="15595" spans="20:21" ht="15" customHeight="1" x14ac:dyDescent="0.25">
      <c r="T15595" s="135"/>
      <c r="U15595" s="135"/>
    </row>
    <row r="15596" spans="20:21" ht="15" customHeight="1" x14ac:dyDescent="0.25">
      <c r="T15596" s="135"/>
      <c r="U15596" s="135"/>
    </row>
    <row r="15597" spans="20:21" ht="15" customHeight="1" x14ac:dyDescent="0.25">
      <c r="T15597" s="135"/>
      <c r="U15597" s="135"/>
    </row>
    <row r="15598" spans="20:21" ht="15" customHeight="1" x14ac:dyDescent="0.25">
      <c r="T15598" s="135"/>
      <c r="U15598" s="135"/>
    </row>
    <row r="15599" spans="20:21" ht="15" customHeight="1" x14ac:dyDescent="0.25">
      <c r="T15599" s="135"/>
      <c r="U15599" s="135"/>
    </row>
    <row r="15600" spans="20:21" ht="15" customHeight="1" x14ac:dyDescent="0.25">
      <c r="T15600" s="135"/>
      <c r="U15600" s="135"/>
    </row>
    <row r="15601" spans="20:21" ht="15" customHeight="1" x14ac:dyDescent="0.25">
      <c r="T15601" s="135"/>
      <c r="U15601" s="135"/>
    </row>
    <row r="15602" spans="20:21" ht="15" customHeight="1" x14ac:dyDescent="0.25">
      <c r="T15602" s="135"/>
      <c r="U15602" s="135"/>
    </row>
    <row r="15603" spans="20:21" ht="15" customHeight="1" x14ac:dyDescent="0.25">
      <c r="T15603" s="135"/>
      <c r="U15603" s="135"/>
    </row>
    <row r="15604" spans="20:21" ht="15" customHeight="1" x14ac:dyDescent="0.25">
      <c r="T15604" s="135"/>
      <c r="U15604" s="135"/>
    </row>
    <row r="15605" spans="20:21" ht="15" customHeight="1" x14ac:dyDescent="0.25">
      <c r="T15605" s="135"/>
      <c r="U15605" s="135"/>
    </row>
    <row r="15606" spans="20:21" ht="15" customHeight="1" x14ac:dyDescent="0.25">
      <c r="T15606" s="135"/>
      <c r="U15606" s="135"/>
    </row>
    <row r="15607" spans="20:21" ht="15" customHeight="1" x14ac:dyDescent="0.25">
      <c r="T15607" s="135"/>
      <c r="U15607" s="135"/>
    </row>
    <row r="15608" spans="20:21" ht="15" customHeight="1" x14ac:dyDescent="0.25">
      <c r="T15608" s="135"/>
      <c r="U15608" s="135"/>
    </row>
    <row r="15609" spans="20:21" ht="15" customHeight="1" x14ac:dyDescent="0.25">
      <c r="T15609" s="135"/>
      <c r="U15609" s="135"/>
    </row>
    <row r="15610" spans="20:21" ht="15" customHeight="1" x14ac:dyDescent="0.25">
      <c r="T15610" s="135"/>
      <c r="U15610" s="135"/>
    </row>
    <row r="15611" spans="20:21" ht="15" customHeight="1" x14ac:dyDescent="0.25">
      <c r="T15611" s="135"/>
      <c r="U15611" s="135"/>
    </row>
    <row r="15612" spans="20:21" ht="15" customHeight="1" x14ac:dyDescent="0.25">
      <c r="T15612" s="135"/>
      <c r="U15612" s="135"/>
    </row>
    <row r="15613" spans="20:21" ht="15" customHeight="1" x14ac:dyDescent="0.25">
      <c r="T15613" s="135"/>
      <c r="U15613" s="135"/>
    </row>
    <row r="15614" spans="20:21" ht="15" customHeight="1" x14ac:dyDescent="0.25">
      <c r="T15614" s="135"/>
      <c r="U15614" s="135"/>
    </row>
    <row r="15615" spans="20:21" ht="15" customHeight="1" x14ac:dyDescent="0.25">
      <c r="T15615" s="135"/>
      <c r="U15615" s="135"/>
    </row>
    <row r="15616" spans="20:21" ht="15" customHeight="1" x14ac:dyDescent="0.25">
      <c r="T15616" s="135"/>
      <c r="U15616" s="135"/>
    </row>
    <row r="15617" spans="20:21" ht="15" customHeight="1" x14ac:dyDescent="0.25">
      <c r="T15617" s="135"/>
      <c r="U15617" s="135"/>
    </row>
    <row r="15618" spans="20:21" ht="15" customHeight="1" x14ac:dyDescent="0.25">
      <c r="T15618" s="135"/>
      <c r="U15618" s="135"/>
    </row>
    <row r="15619" spans="20:21" ht="15" customHeight="1" x14ac:dyDescent="0.25">
      <c r="T15619" s="135"/>
      <c r="U15619" s="135"/>
    </row>
    <row r="15620" spans="20:21" ht="15" customHeight="1" x14ac:dyDescent="0.25">
      <c r="T15620" s="135"/>
      <c r="U15620" s="135"/>
    </row>
    <row r="15621" spans="20:21" ht="15" customHeight="1" x14ac:dyDescent="0.25">
      <c r="T15621" s="135"/>
      <c r="U15621" s="135"/>
    </row>
    <row r="15622" spans="20:21" ht="15" customHeight="1" x14ac:dyDescent="0.25">
      <c r="T15622" s="135"/>
      <c r="U15622" s="135"/>
    </row>
    <row r="15623" spans="20:21" ht="15" customHeight="1" x14ac:dyDescent="0.25">
      <c r="T15623" s="135"/>
      <c r="U15623" s="135"/>
    </row>
    <row r="15624" spans="20:21" ht="15" customHeight="1" x14ac:dyDescent="0.25">
      <c r="T15624" s="135"/>
      <c r="U15624" s="135"/>
    </row>
    <row r="15625" spans="20:21" ht="15" customHeight="1" x14ac:dyDescent="0.25">
      <c r="T15625" s="135"/>
      <c r="U15625" s="135"/>
    </row>
    <row r="15626" spans="20:21" ht="15" customHeight="1" x14ac:dyDescent="0.25">
      <c r="T15626" s="135"/>
      <c r="U15626" s="135"/>
    </row>
    <row r="15627" spans="20:21" ht="15" customHeight="1" x14ac:dyDescent="0.25">
      <c r="T15627" s="135"/>
      <c r="U15627" s="135"/>
    </row>
    <row r="15628" spans="20:21" ht="15" customHeight="1" x14ac:dyDescent="0.25">
      <c r="T15628" s="135"/>
      <c r="U15628" s="135"/>
    </row>
    <row r="15629" spans="20:21" ht="15" customHeight="1" x14ac:dyDescent="0.25">
      <c r="T15629" s="135"/>
      <c r="U15629" s="135"/>
    </row>
    <row r="15630" spans="20:21" ht="15" customHeight="1" x14ac:dyDescent="0.25">
      <c r="T15630" s="135"/>
      <c r="U15630" s="135"/>
    </row>
    <row r="15631" spans="20:21" ht="15" customHeight="1" x14ac:dyDescent="0.25">
      <c r="T15631" s="135"/>
      <c r="U15631" s="135"/>
    </row>
    <row r="15632" spans="20:21" ht="15" customHeight="1" x14ac:dyDescent="0.25">
      <c r="T15632" s="135"/>
      <c r="U15632" s="135"/>
    </row>
    <row r="15633" spans="20:21" ht="15" customHeight="1" x14ac:dyDescent="0.25">
      <c r="T15633" s="135"/>
      <c r="U15633" s="135"/>
    </row>
    <row r="15634" spans="20:21" ht="15" customHeight="1" x14ac:dyDescent="0.25">
      <c r="T15634" s="135"/>
      <c r="U15634" s="135"/>
    </row>
    <row r="15635" spans="20:21" ht="15" customHeight="1" x14ac:dyDescent="0.25">
      <c r="T15635" s="135"/>
      <c r="U15635" s="135"/>
    </row>
    <row r="15636" spans="20:21" ht="15" customHeight="1" x14ac:dyDescent="0.25">
      <c r="T15636" s="135"/>
      <c r="U15636" s="135"/>
    </row>
    <row r="15637" spans="20:21" ht="15" customHeight="1" x14ac:dyDescent="0.25">
      <c r="T15637" s="135"/>
      <c r="U15637" s="135"/>
    </row>
    <row r="15638" spans="20:21" ht="15" customHeight="1" x14ac:dyDescent="0.25">
      <c r="T15638" s="135"/>
      <c r="U15638" s="135"/>
    </row>
    <row r="15639" spans="20:21" ht="15" customHeight="1" x14ac:dyDescent="0.25">
      <c r="T15639" s="135"/>
      <c r="U15639" s="135"/>
    </row>
    <row r="15640" spans="20:21" ht="15" customHeight="1" x14ac:dyDescent="0.25">
      <c r="T15640" s="135"/>
      <c r="U15640" s="135"/>
    </row>
    <row r="15641" spans="20:21" ht="15" customHeight="1" x14ac:dyDescent="0.25">
      <c r="T15641" s="135"/>
      <c r="U15641" s="135"/>
    </row>
    <row r="15642" spans="20:21" ht="15" customHeight="1" x14ac:dyDescent="0.25">
      <c r="T15642" s="135"/>
      <c r="U15642" s="135"/>
    </row>
    <row r="15643" spans="20:21" ht="15" customHeight="1" x14ac:dyDescent="0.25">
      <c r="T15643" s="135"/>
      <c r="U15643" s="135"/>
    </row>
    <row r="15644" spans="20:21" ht="15" customHeight="1" x14ac:dyDescent="0.25">
      <c r="T15644" s="135"/>
      <c r="U15644" s="135"/>
    </row>
    <row r="15645" spans="20:21" ht="15" customHeight="1" x14ac:dyDescent="0.25">
      <c r="T15645" s="135"/>
      <c r="U15645" s="135"/>
    </row>
    <row r="15646" spans="20:21" ht="15" customHeight="1" x14ac:dyDescent="0.25">
      <c r="T15646" s="135"/>
      <c r="U15646" s="135"/>
    </row>
    <row r="15647" spans="20:21" ht="15" customHeight="1" x14ac:dyDescent="0.25">
      <c r="T15647" s="135"/>
      <c r="U15647" s="135"/>
    </row>
    <row r="15648" spans="20:21" ht="15" customHeight="1" x14ac:dyDescent="0.25">
      <c r="T15648" s="135"/>
      <c r="U15648" s="135"/>
    </row>
    <row r="15649" spans="20:21" ht="15" customHeight="1" x14ac:dyDescent="0.25">
      <c r="T15649" s="135"/>
      <c r="U15649" s="135"/>
    </row>
    <row r="15650" spans="20:21" ht="15" customHeight="1" x14ac:dyDescent="0.25">
      <c r="T15650" s="135"/>
      <c r="U15650" s="135"/>
    </row>
    <row r="15651" spans="20:21" ht="15" customHeight="1" x14ac:dyDescent="0.25">
      <c r="T15651" s="135"/>
      <c r="U15651" s="135"/>
    </row>
    <row r="15652" spans="20:21" ht="15" customHeight="1" x14ac:dyDescent="0.25">
      <c r="T15652" s="135"/>
      <c r="U15652" s="135"/>
    </row>
    <row r="15653" spans="20:21" ht="15" customHeight="1" x14ac:dyDescent="0.25">
      <c r="T15653" s="135"/>
      <c r="U15653" s="135"/>
    </row>
    <row r="15654" spans="20:21" ht="15" customHeight="1" x14ac:dyDescent="0.25">
      <c r="T15654" s="135"/>
      <c r="U15654" s="135"/>
    </row>
    <row r="15655" spans="20:21" ht="15" customHeight="1" x14ac:dyDescent="0.25">
      <c r="T15655" s="135"/>
      <c r="U15655" s="135"/>
    </row>
    <row r="15656" spans="20:21" ht="15" customHeight="1" x14ac:dyDescent="0.25">
      <c r="T15656" s="135"/>
      <c r="U15656" s="135"/>
    </row>
    <row r="15657" spans="20:21" ht="15" customHeight="1" x14ac:dyDescent="0.25">
      <c r="T15657" s="135"/>
      <c r="U15657" s="135"/>
    </row>
    <row r="15658" spans="20:21" ht="15" customHeight="1" x14ac:dyDescent="0.25">
      <c r="T15658" s="135"/>
      <c r="U15658" s="135"/>
    </row>
    <row r="15659" spans="20:21" ht="15" customHeight="1" x14ac:dyDescent="0.25">
      <c r="T15659" s="135"/>
      <c r="U15659" s="135"/>
    </row>
    <row r="15660" spans="20:21" ht="15" customHeight="1" x14ac:dyDescent="0.25">
      <c r="T15660" s="135"/>
      <c r="U15660" s="135"/>
    </row>
    <row r="15661" spans="20:21" ht="15" customHeight="1" x14ac:dyDescent="0.25">
      <c r="T15661" s="135"/>
      <c r="U15661" s="135"/>
    </row>
    <row r="15662" spans="20:21" ht="15" customHeight="1" x14ac:dyDescent="0.25">
      <c r="T15662" s="135"/>
      <c r="U15662" s="135"/>
    </row>
    <row r="15663" spans="20:21" ht="15" customHeight="1" x14ac:dyDescent="0.25">
      <c r="T15663" s="135"/>
      <c r="U15663" s="135"/>
    </row>
    <row r="15664" spans="20:21" ht="15" customHeight="1" x14ac:dyDescent="0.25">
      <c r="T15664" s="135"/>
      <c r="U15664" s="135"/>
    </row>
    <row r="15665" spans="20:21" ht="15" customHeight="1" x14ac:dyDescent="0.25">
      <c r="T15665" s="135"/>
      <c r="U15665" s="135"/>
    </row>
    <row r="15666" spans="20:21" ht="15" customHeight="1" x14ac:dyDescent="0.25">
      <c r="T15666" s="135"/>
      <c r="U15666" s="135"/>
    </row>
    <row r="15667" spans="20:21" ht="15" customHeight="1" x14ac:dyDescent="0.25">
      <c r="T15667" s="135"/>
      <c r="U15667" s="135"/>
    </row>
    <row r="15668" spans="20:21" ht="15" customHeight="1" x14ac:dyDescent="0.25">
      <c r="T15668" s="135"/>
      <c r="U15668" s="135"/>
    </row>
    <row r="15669" spans="20:21" ht="15" customHeight="1" x14ac:dyDescent="0.25">
      <c r="T15669" s="135"/>
      <c r="U15669" s="135"/>
    </row>
    <row r="15670" spans="20:21" ht="15" customHeight="1" x14ac:dyDescent="0.25">
      <c r="T15670" s="135"/>
      <c r="U15670" s="135"/>
    </row>
    <row r="15671" spans="20:21" ht="15" customHeight="1" x14ac:dyDescent="0.25">
      <c r="T15671" s="135"/>
      <c r="U15671" s="135"/>
    </row>
    <row r="15672" spans="20:21" ht="15" customHeight="1" x14ac:dyDescent="0.25">
      <c r="T15672" s="135"/>
      <c r="U15672" s="135"/>
    </row>
    <row r="15673" spans="20:21" ht="15" customHeight="1" x14ac:dyDescent="0.25">
      <c r="T15673" s="135"/>
      <c r="U15673" s="135"/>
    </row>
    <row r="15674" spans="20:21" ht="15" customHeight="1" x14ac:dyDescent="0.25">
      <c r="T15674" s="135"/>
      <c r="U15674" s="135"/>
    </row>
    <row r="15675" spans="20:21" ht="15" customHeight="1" x14ac:dyDescent="0.25">
      <c r="T15675" s="135"/>
      <c r="U15675" s="135"/>
    </row>
    <row r="15676" spans="20:21" ht="15" customHeight="1" x14ac:dyDescent="0.25">
      <c r="T15676" s="135"/>
      <c r="U15676" s="135"/>
    </row>
    <row r="15677" spans="20:21" ht="15" customHeight="1" x14ac:dyDescent="0.25">
      <c r="T15677" s="135"/>
      <c r="U15677" s="135"/>
    </row>
    <row r="15678" spans="20:21" ht="15" customHeight="1" x14ac:dyDescent="0.25">
      <c r="T15678" s="135"/>
      <c r="U15678" s="135"/>
    </row>
    <row r="15679" spans="20:21" ht="15" customHeight="1" x14ac:dyDescent="0.25">
      <c r="T15679" s="135"/>
      <c r="U15679" s="135"/>
    </row>
    <row r="15680" spans="20:21" ht="15" customHeight="1" x14ac:dyDescent="0.25">
      <c r="T15680" s="135"/>
      <c r="U15680" s="135"/>
    </row>
    <row r="15681" spans="20:21" ht="15" customHeight="1" x14ac:dyDescent="0.25">
      <c r="T15681" s="135"/>
      <c r="U15681" s="135"/>
    </row>
    <row r="15682" spans="20:21" ht="15" customHeight="1" x14ac:dyDescent="0.25">
      <c r="T15682" s="135"/>
      <c r="U15682" s="135"/>
    </row>
    <row r="15683" spans="20:21" ht="15" customHeight="1" x14ac:dyDescent="0.25">
      <c r="T15683" s="135"/>
      <c r="U15683" s="135"/>
    </row>
    <row r="15684" spans="20:21" ht="15" customHeight="1" x14ac:dyDescent="0.25">
      <c r="T15684" s="135"/>
      <c r="U15684" s="135"/>
    </row>
    <row r="15685" spans="20:21" ht="15" customHeight="1" x14ac:dyDescent="0.25">
      <c r="T15685" s="135"/>
      <c r="U15685" s="135"/>
    </row>
    <row r="15686" spans="20:21" ht="15" customHeight="1" x14ac:dyDescent="0.25">
      <c r="T15686" s="135"/>
      <c r="U15686" s="135"/>
    </row>
    <row r="15687" spans="20:21" ht="15" customHeight="1" x14ac:dyDescent="0.25">
      <c r="T15687" s="135"/>
      <c r="U15687" s="135"/>
    </row>
    <row r="15688" spans="20:21" ht="15" customHeight="1" x14ac:dyDescent="0.25">
      <c r="T15688" s="135"/>
      <c r="U15688" s="135"/>
    </row>
    <row r="15689" spans="20:21" ht="15" customHeight="1" x14ac:dyDescent="0.25">
      <c r="T15689" s="135"/>
      <c r="U15689" s="135"/>
    </row>
    <row r="15690" spans="20:21" ht="15" customHeight="1" x14ac:dyDescent="0.25">
      <c r="T15690" s="135"/>
      <c r="U15690" s="135"/>
    </row>
    <row r="15691" spans="20:21" ht="15" customHeight="1" x14ac:dyDescent="0.25">
      <c r="T15691" s="135"/>
      <c r="U15691" s="135"/>
    </row>
    <row r="15692" spans="20:21" ht="15" customHeight="1" x14ac:dyDescent="0.25">
      <c r="T15692" s="135"/>
      <c r="U15692" s="135"/>
    </row>
    <row r="15693" spans="20:21" ht="15" customHeight="1" x14ac:dyDescent="0.25">
      <c r="T15693" s="135"/>
      <c r="U15693" s="135"/>
    </row>
    <row r="15694" spans="20:21" ht="15" customHeight="1" x14ac:dyDescent="0.25">
      <c r="T15694" s="135"/>
      <c r="U15694" s="135"/>
    </row>
    <row r="15695" spans="20:21" ht="15" customHeight="1" x14ac:dyDescent="0.25">
      <c r="T15695" s="135"/>
      <c r="U15695" s="135"/>
    </row>
    <row r="15696" spans="20:21" ht="15" customHeight="1" x14ac:dyDescent="0.25">
      <c r="T15696" s="135"/>
      <c r="U15696" s="135"/>
    </row>
    <row r="15697" spans="20:21" ht="15" customHeight="1" x14ac:dyDescent="0.25">
      <c r="T15697" s="135"/>
      <c r="U15697" s="135"/>
    </row>
    <row r="15698" spans="20:21" ht="15" customHeight="1" x14ac:dyDescent="0.25">
      <c r="T15698" s="135"/>
      <c r="U15698" s="135"/>
    </row>
    <row r="15699" spans="20:21" ht="15" customHeight="1" x14ac:dyDescent="0.25">
      <c r="T15699" s="135"/>
      <c r="U15699" s="135"/>
    </row>
    <row r="15700" spans="20:21" ht="15" customHeight="1" x14ac:dyDescent="0.25">
      <c r="T15700" s="135"/>
      <c r="U15700" s="135"/>
    </row>
    <row r="15701" spans="20:21" ht="15" customHeight="1" x14ac:dyDescent="0.25">
      <c r="T15701" s="135"/>
      <c r="U15701" s="135"/>
    </row>
    <row r="15702" spans="20:21" ht="15" customHeight="1" x14ac:dyDescent="0.25">
      <c r="T15702" s="135"/>
      <c r="U15702" s="135"/>
    </row>
    <row r="15703" spans="20:21" ht="15" customHeight="1" x14ac:dyDescent="0.25">
      <c r="T15703" s="135"/>
      <c r="U15703" s="135"/>
    </row>
    <row r="15704" spans="20:21" ht="15" customHeight="1" x14ac:dyDescent="0.25">
      <c r="T15704" s="135"/>
      <c r="U15704" s="135"/>
    </row>
    <row r="15705" spans="20:21" ht="15" customHeight="1" x14ac:dyDescent="0.25">
      <c r="T15705" s="135"/>
      <c r="U15705" s="135"/>
    </row>
    <row r="15706" spans="20:21" ht="15" customHeight="1" x14ac:dyDescent="0.25">
      <c r="T15706" s="135"/>
      <c r="U15706" s="135"/>
    </row>
    <row r="15707" spans="20:21" ht="15" customHeight="1" x14ac:dyDescent="0.25">
      <c r="T15707" s="135"/>
      <c r="U15707" s="135"/>
    </row>
    <row r="15708" spans="20:21" ht="15" customHeight="1" x14ac:dyDescent="0.25">
      <c r="T15708" s="135"/>
      <c r="U15708" s="135"/>
    </row>
    <row r="15709" spans="20:21" ht="15" customHeight="1" x14ac:dyDescent="0.25">
      <c r="T15709" s="135"/>
      <c r="U15709" s="135"/>
    </row>
    <row r="15710" spans="20:21" ht="15" customHeight="1" x14ac:dyDescent="0.25">
      <c r="T15710" s="135"/>
      <c r="U15710" s="135"/>
    </row>
    <row r="15711" spans="20:21" ht="15" customHeight="1" x14ac:dyDescent="0.25">
      <c r="T15711" s="135"/>
      <c r="U15711" s="135"/>
    </row>
    <row r="15712" spans="20:21" ht="15" customHeight="1" x14ac:dyDescent="0.25">
      <c r="T15712" s="135"/>
      <c r="U15712" s="135"/>
    </row>
    <row r="15713" spans="20:21" ht="15" customHeight="1" x14ac:dyDescent="0.25">
      <c r="T15713" s="135"/>
      <c r="U15713" s="135"/>
    </row>
    <row r="15714" spans="20:21" ht="15" customHeight="1" x14ac:dyDescent="0.25">
      <c r="T15714" s="135"/>
      <c r="U15714" s="135"/>
    </row>
    <row r="15715" spans="20:21" ht="15" customHeight="1" x14ac:dyDescent="0.25">
      <c r="T15715" s="135"/>
      <c r="U15715" s="135"/>
    </row>
    <row r="15716" spans="20:21" ht="15" customHeight="1" x14ac:dyDescent="0.25">
      <c r="T15716" s="135"/>
      <c r="U15716" s="135"/>
    </row>
    <row r="15717" spans="20:21" ht="15" customHeight="1" x14ac:dyDescent="0.25">
      <c r="T15717" s="135"/>
      <c r="U15717" s="135"/>
    </row>
    <row r="15718" spans="20:21" ht="15" customHeight="1" x14ac:dyDescent="0.25">
      <c r="T15718" s="135"/>
      <c r="U15718" s="135"/>
    </row>
    <row r="15719" spans="20:21" ht="15" customHeight="1" x14ac:dyDescent="0.25">
      <c r="T15719" s="135"/>
      <c r="U15719" s="135"/>
    </row>
    <row r="15720" spans="20:21" ht="15" customHeight="1" x14ac:dyDescent="0.25">
      <c r="T15720" s="135"/>
      <c r="U15720" s="135"/>
    </row>
    <row r="15721" spans="20:21" ht="15" customHeight="1" x14ac:dyDescent="0.25">
      <c r="T15721" s="135"/>
      <c r="U15721" s="135"/>
    </row>
    <row r="15722" spans="20:21" ht="15" customHeight="1" x14ac:dyDescent="0.25">
      <c r="T15722" s="135"/>
      <c r="U15722" s="135"/>
    </row>
    <row r="15723" spans="20:21" ht="15" customHeight="1" x14ac:dyDescent="0.25">
      <c r="T15723" s="135"/>
      <c r="U15723" s="135"/>
    </row>
    <row r="15724" spans="20:21" ht="15" customHeight="1" x14ac:dyDescent="0.25">
      <c r="T15724" s="135"/>
      <c r="U15724" s="135"/>
    </row>
    <row r="15725" spans="20:21" ht="15" customHeight="1" x14ac:dyDescent="0.25">
      <c r="T15725" s="135"/>
      <c r="U15725" s="135"/>
    </row>
    <row r="15726" spans="20:21" ht="15" customHeight="1" x14ac:dyDescent="0.25">
      <c r="T15726" s="135"/>
      <c r="U15726" s="135"/>
    </row>
    <row r="15727" spans="20:21" ht="15" customHeight="1" x14ac:dyDescent="0.25">
      <c r="T15727" s="135"/>
      <c r="U15727" s="135"/>
    </row>
    <row r="15728" spans="20:21" ht="15" customHeight="1" x14ac:dyDescent="0.25">
      <c r="T15728" s="135"/>
      <c r="U15728" s="135"/>
    </row>
    <row r="15729" spans="20:21" ht="15" customHeight="1" x14ac:dyDescent="0.25">
      <c r="T15729" s="135"/>
      <c r="U15729" s="135"/>
    </row>
    <row r="15730" spans="20:21" ht="15" customHeight="1" x14ac:dyDescent="0.25">
      <c r="T15730" s="135"/>
      <c r="U15730" s="135"/>
    </row>
    <row r="15731" spans="20:21" ht="15" customHeight="1" x14ac:dyDescent="0.25">
      <c r="T15731" s="135"/>
      <c r="U15731" s="135"/>
    </row>
    <row r="15732" spans="20:21" ht="15" customHeight="1" x14ac:dyDescent="0.25">
      <c r="T15732" s="135"/>
      <c r="U15732" s="135"/>
    </row>
    <row r="15733" spans="20:21" ht="15" customHeight="1" x14ac:dyDescent="0.25">
      <c r="T15733" s="135"/>
      <c r="U15733" s="135"/>
    </row>
    <row r="15734" spans="20:21" ht="15" customHeight="1" x14ac:dyDescent="0.25">
      <c r="T15734" s="135"/>
      <c r="U15734" s="135"/>
    </row>
    <row r="15735" spans="20:21" ht="15" customHeight="1" x14ac:dyDescent="0.25">
      <c r="T15735" s="135"/>
      <c r="U15735" s="135"/>
    </row>
    <row r="15736" spans="20:21" ht="15" customHeight="1" x14ac:dyDescent="0.25">
      <c r="T15736" s="135"/>
      <c r="U15736" s="135"/>
    </row>
    <row r="15737" spans="20:21" ht="15" customHeight="1" x14ac:dyDescent="0.25">
      <c r="T15737" s="135"/>
      <c r="U15737" s="135"/>
    </row>
    <row r="15738" spans="20:21" ht="15" customHeight="1" x14ac:dyDescent="0.25">
      <c r="T15738" s="135"/>
      <c r="U15738" s="135"/>
    </row>
    <row r="15739" spans="20:21" ht="15" customHeight="1" x14ac:dyDescent="0.25">
      <c r="T15739" s="135"/>
      <c r="U15739" s="135"/>
    </row>
    <row r="15740" spans="20:21" ht="15" customHeight="1" x14ac:dyDescent="0.25">
      <c r="T15740" s="135"/>
      <c r="U15740" s="135"/>
    </row>
    <row r="15741" spans="20:21" ht="15" customHeight="1" x14ac:dyDescent="0.25">
      <c r="T15741" s="135"/>
      <c r="U15741" s="135"/>
    </row>
    <row r="15742" spans="20:21" ht="15" customHeight="1" x14ac:dyDescent="0.25">
      <c r="T15742" s="135"/>
      <c r="U15742" s="135"/>
    </row>
    <row r="15743" spans="20:21" ht="15" customHeight="1" x14ac:dyDescent="0.25">
      <c r="T15743" s="135"/>
      <c r="U15743" s="135"/>
    </row>
    <row r="15744" spans="20:21" ht="15" customHeight="1" x14ac:dyDescent="0.25">
      <c r="T15744" s="135"/>
      <c r="U15744" s="135"/>
    </row>
    <row r="15745" spans="20:21" ht="15" customHeight="1" x14ac:dyDescent="0.25">
      <c r="T15745" s="135"/>
      <c r="U15745" s="135"/>
    </row>
    <row r="15746" spans="20:21" ht="15" customHeight="1" x14ac:dyDescent="0.25">
      <c r="T15746" s="135"/>
      <c r="U15746" s="135"/>
    </row>
    <row r="15747" spans="20:21" ht="15" customHeight="1" x14ac:dyDescent="0.25">
      <c r="T15747" s="135"/>
      <c r="U15747" s="135"/>
    </row>
    <row r="15748" spans="20:21" ht="15" customHeight="1" x14ac:dyDescent="0.25">
      <c r="T15748" s="135"/>
      <c r="U15748" s="135"/>
    </row>
    <row r="15749" spans="20:21" ht="15" customHeight="1" x14ac:dyDescent="0.25">
      <c r="T15749" s="135"/>
      <c r="U15749" s="135"/>
    </row>
    <row r="15750" spans="20:21" ht="15" customHeight="1" x14ac:dyDescent="0.25">
      <c r="T15750" s="135"/>
      <c r="U15750" s="135"/>
    </row>
    <row r="15751" spans="20:21" ht="15" customHeight="1" x14ac:dyDescent="0.25">
      <c r="T15751" s="135"/>
      <c r="U15751" s="135"/>
    </row>
    <row r="15752" spans="20:21" ht="15" customHeight="1" x14ac:dyDescent="0.25">
      <c r="T15752" s="135"/>
      <c r="U15752" s="135"/>
    </row>
    <row r="15753" spans="20:21" ht="15" customHeight="1" x14ac:dyDescent="0.25">
      <c r="T15753" s="135"/>
      <c r="U15753" s="135"/>
    </row>
    <row r="15754" spans="20:21" ht="15" customHeight="1" x14ac:dyDescent="0.25">
      <c r="T15754" s="135"/>
      <c r="U15754" s="135"/>
    </row>
    <row r="15755" spans="20:21" ht="15" customHeight="1" x14ac:dyDescent="0.25">
      <c r="T15755" s="135"/>
      <c r="U15755" s="135"/>
    </row>
    <row r="15756" spans="20:21" ht="15" customHeight="1" x14ac:dyDescent="0.25">
      <c r="T15756" s="135"/>
      <c r="U15756" s="135"/>
    </row>
    <row r="15757" spans="20:21" ht="15" customHeight="1" x14ac:dyDescent="0.25">
      <c r="T15757" s="135"/>
      <c r="U15757" s="135"/>
    </row>
    <row r="15758" spans="20:21" ht="15" customHeight="1" x14ac:dyDescent="0.25">
      <c r="T15758" s="135"/>
      <c r="U15758" s="135"/>
    </row>
    <row r="15759" spans="20:21" ht="15" customHeight="1" x14ac:dyDescent="0.25">
      <c r="T15759" s="135"/>
      <c r="U15759" s="135"/>
    </row>
    <row r="15760" spans="20:21" ht="15" customHeight="1" x14ac:dyDescent="0.25">
      <c r="T15760" s="135"/>
      <c r="U15760" s="135"/>
    </row>
    <row r="15761" spans="20:21" ht="15" customHeight="1" x14ac:dyDescent="0.25">
      <c r="T15761" s="135"/>
      <c r="U15761" s="135"/>
    </row>
    <row r="15762" spans="20:21" ht="15" customHeight="1" x14ac:dyDescent="0.25">
      <c r="T15762" s="135"/>
      <c r="U15762" s="135"/>
    </row>
    <row r="15763" spans="20:21" ht="15" customHeight="1" x14ac:dyDescent="0.25">
      <c r="T15763" s="135"/>
      <c r="U15763" s="135"/>
    </row>
    <row r="15764" spans="20:21" ht="15" customHeight="1" x14ac:dyDescent="0.25">
      <c r="T15764" s="135"/>
      <c r="U15764" s="135"/>
    </row>
    <row r="15765" spans="20:21" ht="15" customHeight="1" x14ac:dyDescent="0.25">
      <c r="T15765" s="135"/>
      <c r="U15765" s="135"/>
    </row>
    <row r="15766" spans="20:21" ht="15" customHeight="1" x14ac:dyDescent="0.25">
      <c r="T15766" s="135"/>
      <c r="U15766" s="135"/>
    </row>
    <row r="15767" spans="20:21" ht="15" customHeight="1" x14ac:dyDescent="0.25">
      <c r="T15767" s="135"/>
      <c r="U15767" s="135"/>
    </row>
    <row r="15768" spans="20:21" ht="15" customHeight="1" x14ac:dyDescent="0.25">
      <c r="T15768" s="135"/>
      <c r="U15768" s="135"/>
    </row>
    <row r="15769" spans="20:21" ht="15" customHeight="1" x14ac:dyDescent="0.25">
      <c r="T15769" s="135"/>
      <c r="U15769" s="135"/>
    </row>
    <row r="15770" spans="20:21" ht="15" customHeight="1" x14ac:dyDescent="0.25">
      <c r="T15770" s="135"/>
      <c r="U15770" s="135"/>
    </row>
    <row r="15771" spans="20:21" ht="15" customHeight="1" x14ac:dyDescent="0.25">
      <c r="T15771" s="135"/>
      <c r="U15771" s="135"/>
    </row>
    <row r="15772" spans="20:21" ht="15" customHeight="1" x14ac:dyDescent="0.25">
      <c r="T15772" s="135"/>
      <c r="U15772" s="135"/>
    </row>
    <row r="15773" spans="20:21" ht="15" customHeight="1" x14ac:dyDescent="0.25">
      <c r="T15773" s="135"/>
      <c r="U15773" s="135"/>
    </row>
    <row r="15774" spans="20:21" ht="15" customHeight="1" x14ac:dyDescent="0.25">
      <c r="T15774" s="135"/>
      <c r="U15774" s="135"/>
    </row>
    <row r="15775" spans="20:21" ht="15" customHeight="1" x14ac:dyDescent="0.25">
      <c r="T15775" s="135"/>
      <c r="U15775" s="135"/>
    </row>
    <row r="15776" spans="20:21" ht="15" customHeight="1" x14ac:dyDescent="0.25">
      <c r="T15776" s="135"/>
      <c r="U15776" s="135"/>
    </row>
    <row r="15777" spans="20:21" ht="15" customHeight="1" x14ac:dyDescent="0.25">
      <c r="T15777" s="135"/>
      <c r="U15777" s="135"/>
    </row>
    <row r="15778" spans="20:21" ht="15" customHeight="1" x14ac:dyDescent="0.25">
      <c r="T15778" s="135"/>
      <c r="U15778" s="135"/>
    </row>
    <row r="15779" spans="20:21" ht="15" customHeight="1" x14ac:dyDescent="0.25">
      <c r="T15779" s="135"/>
      <c r="U15779" s="135"/>
    </row>
    <row r="15780" spans="20:21" ht="15" customHeight="1" x14ac:dyDescent="0.25">
      <c r="T15780" s="135"/>
      <c r="U15780" s="135"/>
    </row>
    <row r="15781" spans="20:21" ht="15" customHeight="1" x14ac:dyDescent="0.25">
      <c r="T15781" s="135"/>
      <c r="U15781" s="135"/>
    </row>
    <row r="15782" spans="20:21" ht="15" customHeight="1" x14ac:dyDescent="0.25">
      <c r="T15782" s="135"/>
      <c r="U15782" s="135"/>
    </row>
    <row r="15783" spans="20:21" ht="15" customHeight="1" x14ac:dyDescent="0.25">
      <c r="T15783" s="135"/>
      <c r="U15783" s="135"/>
    </row>
    <row r="15784" spans="20:21" ht="15" customHeight="1" x14ac:dyDescent="0.25">
      <c r="T15784" s="135"/>
      <c r="U15784" s="135"/>
    </row>
    <row r="15785" spans="20:21" ht="15" customHeight="1" x14ac:dyDescent="0.25">
      <c r="T15785" s="135"/>
      <c r="U15785" s="135"/>
    </row>
    <row r="15786" spans="20:21" ht="15" customHeight="1" x14ac:dyDescent="0.25">
      <c r="T15786" s="135"/>
      <c r="U15786" s="135"/>
    </row>
    <row r="15787" spans="20:21" ht="15" customHeight="1" x14ac:dyDescent="0.25">
      <c r="T15787" s="135"/>
      <c r="U15787" s="135"/>
    </row>
    <row r="15788" spans="20:21" ht="15" customHeight="1" x14ac:dyDescent="0.25">
      <c r="T15788" s="135"/>
      <c r="U15788" s="135"/>
    </row>
    <row r="15789" spans="20:21" ht="15" customHeight="1" x14ac:dyDescent="0.25">
      <c r="T15789" s="135"/>
      <c r="U15789" s="135"/>
    </row>
    <row r="15790" spans="20:21" ht="15" customHeight="1" x14ac:dyDescent="0.25">
      <c r="T15790" s="135"/>
      <c r="U15790" s="135"/>
    </row>
    <row r="15791" spans="20:21" ht="15" customHeight="1" x14ac:dyDescent="0.25">
      <c r="T15791" s="135"/>
      <c r="U15791" s="135"/>
    </row>
    <row r="15792" spans="20:21" ht="15" customHeight="1" x14ac:dyDescent="0.25">
      <c r="T15792" s="135"/>
      <c r="U15792" s="135"/>
    </row>
    <row r="15793" spans="20:21" ht="15" customHeight="1" x14ac:dyDescent="0.25">
      <c r="T15793" s="135"/>
      <c r="U15793" s="135"/>
    </row>
    <row r="15794" spans="20:21" ht="15" customHeight="1" x14ac:dyDescent="0.25">
      <c r="T15794" s="135"/>
      <c r="U15794" s="135"/>
    </row>
    <row r="15795" spans="20:21" ht="15" customHeight="1" x14ac:dyDescent="0.25">
      <c r="T15795" s="135"/>
      <c r="U15795" s="135"/>
    </row>
    <row r="15796" spans="20:21" ht="15" customHeight="1" x14ac:dyDescent="0.25">
      <c r="T15796" s="135"/>
      <c r="U15796" s="135"/>
    </row>
    <row r="15797" spans="20:21" ht="15" customHeight="1" x14ac:dyDescent="0.25">
      <c r="T15797" s="135"/>
      <c r="U15797" s="135"/>
    </row>
    <row r="15798" spans="20:21" ht="15" customHeight="1" x14ac:dyDescent="0.25">
      <c r="T15798" s="135"/>
      <c r="U15798" s="135"/>
    </row>
    <row r="15799" spans="20:21" ht="15" customHeight="1" x14ac:dyDescent="0.25">
      <c r="T15799" s="135"/>
      <c r="U15799" s="135"/>
    </row>
    <row r="15800" spans="20:21" ht="15" customHeight="1" x14ac:dyDescent="0.25">
      <c r="T15800" s="135"/>
      <c r="U15800" s="135"/>
    </row>
    <row r="15801" spans="20:21" ht="15" customHeight="1" x14ac:dyDescent="0.25">
      <c r="T15801" s="135"/>
      <c r="U15801" s="135"/>
    </row>
    <row r="15802" spans="20:21" ht="15" customHeight="1" x14ac:dyDescent="0.25">
      <c r="T15802" s="135"/>
      <c r="U15802" s="135"/>
    </row>
    <row r="15803" spans="20:21" ht="15" customHeight="1" x14ac:dyDescent="0.25">
      <c r="T15803" s="135"/>
      <c r="U15803" s="135"/>
    </row>
    <row r="15804" spans="20:21" ht="15" customHeight="1" x14ac:dyDescent="0.25">
      <c r="T15804" s="135"/>
      <c r="U15804" s="135"/>
    </row>
    <row r="15805" spans="20:21" ht="15" customHeight="1" x14ac:dyDescent="0.25">
      <c r="T15805" s="135"/>
      <c r="U15805" s="135"/>
    </row>
    <row r="15806" spans="20:21" ht="15" customHeight="1" x14ac:dyDescent="0.25">
      <c r="T15806" s="135"/>
      <c r="U15806" s="135"/>
    </row>
    <row r="15807" spans="20:21" ht="15" customHeight="1" x14ac:dyDescent="0.25">
      <c r="T15807" s="135"/>
      <c r="U15807" s="135"/>
    </row>
    <row r="15808" spans="20:21" ht="15" customHeight="1" x14ac:dyDescent="0.25">
      <c r="T15808" s="135"/>
      <c r="U15808" s="135"/>
    </row>
    <row r="15809" spans="20:21" ht="15" customHeight="1" x14ac:dyDescent="0.25">
      <c r="T15809" s="135"/>
      <c r="U15809" s="135"/>
    </row>
    <row r="15810" spans="20:21" ht="15" customHeight="1" x14ac:dyDescent="0.25">
      <c r="T15810" s="135"/>
      <c r="U15810" s="135"/>
    </row>
    <row r="15811" spans="20:21" ht="15" customHeight="1" x14ac:dyDescent="0.25">
      <c r="T15811" s="135"/>
      <c r="U15811" s="135"/>
    </row>
    <row r="15812" spans="20:21" ht="15" customHeight="1" x14ac:dyDescent="0.25">
      <c r="T15812" s="135"/>
      <c r="U15812" s="135"/>
    </row>
    <row r="15813" spans="20:21" ht="15" customHeight="1" x14ac:dyDescent="0.25">
      <c r="T15813" s="135"/>
      <c r="U15813" s="135"/>
    </row>
    <row r="15814" spans="20:21" ht="15" customHeight="1" x14ac:dyDescent="0.25">
      <c r="T15814" s="135"/>
      <c r="U15814" s="135"/>
    </row>
    <row r="15815" spans="20:21" ht="15" customHeight="1" x14ac:dyDescent="0.25">
      <c r="T15815" s="135"/>
      <c r="U15815" s="135"/>
    </row>
    <row r="15816" spans="20:21" ht="15" customHeight="1" x14ac:dyDescent="0.25">
      <c r="T15816" s="135"/>
      <c r="U15816" s="135"/>
    </row>
    <row r="15817" spans="20:21" ht="15" customHeight="1" x14ac:dyDescent="0.25">
      <c r="T15817" s="135"/>
      <c r="U15817" s="135"/>
    </row>
    <row r="15818" spans="20:21" ht="15" customHeight="1" x14ac:dyDescent="0.25">
      <c r="T15818" s="135"/>
      <c r="U15818" s="135"/>
    </row>
    <row r="15819" spans="20:21" ht="15" customHeight="1" x14ac:dyDescent="0.25">
      <c r="T15819" s="135"/>
      <c r="U15819" s="135"/>
    </row>
    <row r="15820" spans="20:21" ht="15" customHeight="1" x14ac:dyDescent="0.25">
      <c r="T15820" s="135"/>
      <c r="U15820" s="135"/>
    </row>
    <row r="15821" spans="20:21" ht="15" customHeight="1" x14ac:dyDescent="0.25">
      <c r="T15821" s="135"/>
      <c r="U15821" s="135"/>
    </row>
    <row r="15822" spans="20:21" ht="15" customHeight="1" x14ac:dyDescent="0.25">
      <c r="T15822" s="135"/>
      <c r="U15822" s="135"/>
    </row>
    <row r="15823" spans="20:21" ht="15" customHeight="1" x14ac:dyDescent="0.25">
      <c r="T15823" s="135"/>
      <c r="U15823" s="135"/>
    </row>
    <row r="15824" spans="20:21" ht="15" customHeight="1" x14ac:dyDescent="0.25">
      <c r="T15824" s="135"/>
      <c r="U15824" s="135"/>
    </row>
    <row r="15825" spans="20:21" ht="15" customHeight="1" x14ac:dyDescent="0.25">
      <c r="T15825" s="135"/>
      <c r="U15825" s="135"/>
    </row>
    <row r="15826" spans="20:21" ht="15" customHeight="1" x14ac:dyDescent="0.25">
      <c r="T15826" s="135"/>
      <c r="U15826" s="135"/>
    </row>
    <row r="15827" spans="20:21" ht="15" customHeight="1" x14ac:dyDescent="0.25">
      <c r="T15827" s="135"/>
      <c r="U15827" s="135"/>
    </row>
    <row r="15828" spans="20:21" ht="15" customHeight="1" x14ac:dyDescent="0.25">
      <c r="T15828" s="135"/>
      <c r="U15828" s="135"/>
    </row>
    <row r="15829" spans="20:21" ht="15" customHeight="1" x14ac:dyDescent="0.25">
      <c r="T15829" s="135"/>
      <c r="U15829" s="135"/>
    </row>
    <row r="15830" spans="20:21" ht="15" customHeight="1" x14ac:dyDescent="0.25">
      <c r="T15830" s="135"/>
      <c r="U15830" s="135"/>
    </row>
    <row r="15831" spans="20:21" ht="15" customHeight="1" x14ac:dyDescent="0.25">
      <c r="T15831" s="135"/>
      <c r="U15831" s="135"/>
    </row>
    <row r="15832" spans="20:21" ht="15" customHeight="1" x14ac:dyDescent="0.25">
      <c r="T15832" s="135"/>
      <c r="U15832" s="135"/>
    </row>
    <row r="15833" spans="20:21" ht="15" customHeight="1" x14ac:dyDescent="0.25">
      <c r="T15833" s="135"/>
      <c r="U15833" s="135"/>
    </row>
    <row r="15834" spans="20:21" ht="15" customHeight="1" x14ac:dyDescent="0.25">
      <c r="T15834" s="135"/>
      <c r="U15834" s="135"/>
    </row>
    <row r="15835" spans="20:21" ht="15" customHeight="1" x14ac:dyDescent="0.25">
      <c r="T15835" s="135"/>
      <c r="U15835" s="135"/>
    </row>
    <row r="15836" spans="20:21" ht="15" customHeight="1" x14ac:dyDescent="0.25">
      <c r="T15836" s="135"/>
      <c r="U15836" s="135"/>
    </row>
    <row r="15837" spans="20:21" ht="15" customHeight="1" x14ac:dyDescent="0.25">
      <c r="T15837" s="135"/>
      <c r="U15837" s="135"/>
    </row>
    <row r="15838" spans="20:21" ht="15" customHeight="1" x14ac:dyDescent="0.25">
      <c r="T15838" s="135"/>
      <c r="U15838" s="135"/>
    </row>
    <row r="15839" spans="20:21" ht="15" customHeight="1" x14ac:dyDescent="0.25">
      <c r="T15839" s="135"/>
      <c r="U15839" s="135"/>
    </row>
    <row r="15840" spans="20:21" ht="15" customHeight="1" x14ac:dyDescent="0.25">
      <c r="T15840" s="135"/>
      <c r="U15840" s="135"/>
    </row>
    <row r="15841" spans="20:21" ht="15" customHeight="1" x14ac:dyDescent="0.25">
      <c r="T15841" s="135"/>
      <c r="U15841" s="135"/>
    </row>
    <row r="15842" spans="20:21" ht="15" customHeight="1" x14ac:dyDescent="0.25">
      <c r="T15842" s="135"/>
      <c r="U15842" s="135"/>
    </row>
    <row r="15843" spans="20:21" ht="15" customHeight="1" x14ac:dyDescent="0.25">
      <c r="T15843" s="135"/>
      <c r="U15843" s="135"/>
    </row>
    <row r="15844" spans="20:21" ht="15" customHeight="1" x14ac:dyDescent="0.25">
      <c r="T15844" s="135"/>
      <c r="U15844" s="135"/>
    </row>
    <row r="15845" spans="20:21" ht="15" customHeight="1" x14ac:dyDescent="0.25">
      <c r="T15845" s="135"/>
      <c r="U15845" s="135"/>
    </row>
    <row r="15846" spans="20:21" ht="15" customHeight="1" x14ac:dyDescent="0.25">
      <c r="T15846" s="135"/>
      <c r="U15846" s="135"/>
    </row>
    <row r="15847" spans="20:21" ht="15" customHeight="1" x14ac:dyDescent="0.25">
      <c r="T15847" s="135"/>
      <c r="U15847" s="135"/>
    </row>
    <row r="15848" spans="20:21" ht="15" customHeight="1" x14ac:dyDescent="0.25">
      <c r="T15848" s="135"/>
      <c r="U15848" s="135"/>
    </row>
    <row r="15849" spans="20:21" ht="15" customHeight="1" x14ac:dyDescent="0.25">
      <c r="T15849" s="135"/>
      <c r="U15849" s="135"/>
    </row>
    <row r="15850" spans="20:21" ht="15" customHeight="1" x14ac:dyDescent="0.25">
      <c r="T15850" s="135"/>
      <c r="U15850" s="135"/>
    </row>
    <row r="15851" spans="20:21" ht="15" customHeight="1" x14ac:dyDescent="0.25">
      <c r="T15851" s="135"/>
      <c r="U15851" s="135"/>
    </row>
    <row r="15852" spans="20:21" ht="15" customHeight="1" x14ac:dyDescent="0.25">
      <c r="T15852" s="135"/>
      <c r="U15852" s="135"/>
    </row>
    <row r="15853" spans="20:21" ht="15" customHeight="1" x14ac:dyDescent="0.25">
      <c r="T15853" s="135"/>
      <c r="U15853" s="135"/>
    </row>
    <row r="15854" spans="20:21" ht="15" customHeight="1" x14ac:dyDescent="0.25">
      <c r="T15854" s="135"/>
      <c r="U15854" s="135"/>
    </row>
    <row r="15855" spans="20:21" ht="15" customHeight="1" x14ac:dyDescent="0.25">
      <c r="T15855" s="135"/>
      <c r="U15855" s="135"/>
    </row>
    <row r="15856" spans="20:21" ht="15" customHeight="1" x14ac:dyDescent="0.25">
      <c r="T15856" s="135"/>
      <c r="U15856" s="135"/>
    </row>
    <row r="15857" spans="20:21" ht="15" customHeight="1" x14ac:dyDescent="0.25">
      <c r="T15857" s="135"/>
      <c r="U15857" s="135"/>
    </row>
    <row r="15858" spans="20:21" ht="15" customHeight="1" x14ac:dyDescent="0.25">
      <c r="T15858" s="135"/>
      <c r="U15858" s="135"/>
    </row>
    <row r="15859" spans="20:21" ht="15" customHeight="1" x14ac:dyDescent="0.25">
      <c r="T15859" s="135"/>
      <c r="U15859" s="135"/>
    </row>
    <row r="15860" spans="20:21" ht="15" customHeight="1" x14ac:dyDescent="0.25">
      <c r="T15860" s="135"/>
      <c r="U15860" s="135"/>
    </row>
    <row r="15861" spans="20:21" ht="15" customHeight="1" x14ac:dyDescent="0.25">
      <c r="T15861" s="135"/>
      <c r="U15861" s="135"/>
    </row>
    <row r="15862" spans="20:21" ht="15" customHeight="1" x14ac:dyDescent="0.25">
      <c r="T15862" s="135"/>
      <c r="U15862" s="135"/>
    </row>
    <row r="15863" spans="20:21" ht="15" customHeight="1" x14ac:dyDescent="0.25">
      <c r="T15863" s="135"/>
      <c r="U15863" s="135"/>
    </row>
    <row r="15864" spans="20:21" ht="15" customHeight="1" x14ac:dyDescent="0.25">
      <c r="T15864" s="135"/>
      <c r="U15864" s="135"/>
    </row>
    <row r="15865" spans="20:21" ht="15" customHeight="1" x14ac:dyDescent="0.25">
      <c r="T15865" s="135"/>
      <c r="U15865" s="135"/>
    </row>
    <row r="15866" spans="20:21" ht="15" customHeight="1" x14ac:dyDescent="0.25">
      <c r="T15866" s="135"/>
      <c r="U15866" s="135"/>
    </row>
    <row r="15867" spans="20:21" ht="15" customHeight="1" x14ac:dyDescent="0.25">
      <c r="T15867" s="135"/>
      <c r="U15867" s="135"/>
    </row>
    <row r="15868" spans="20:21" ht="15" customHeight="1" x14ac:dyDescent="0.25">
      <c r="T15868" s="135"/>
      <c r="U15868" s="135"/>
    </row>
    <row r="15869" spans="20:21" ht="15" customHeight="1" x14ac:dyDescent="0.25">
      <c r="T15869" s="135"/>
      <c r="U15869" s="135"/>
    </row>
    <row r="15870" spans="20:21" ht="15" customHeight="1" x14ac:dyDescent="0.25">
      <c r="T15870" s="135"/>
      <c r="U15870" s="135"/>
    </row>
    <row r="15871" spans="20:21" ht="15" customHeight="1" x14ac:dyDescent="0.25">
      <c r="T15871" s="135"/>
      <c r="U15871" s="135"/>
    </row>
    <row r="15872" spans="20:21" ht="15" customHeight="1" x14ac:dyDescent="0.25">
      <c r="T15872" s="135"/>
      <c r="U15872" s="135"/>
    </row>
    <row r="15873" spans="20:21" ht="15" customHeight="1" x14ac:dyDescent="0.25">
      <c r="T15873" s="135"/>
      <c r="U15873" s="135"/>
    </row>
    <row r="15874" spans="20:21" ht="15" customHeight="1" x14ac:dyDescent="0.25">
      <c r="T15874" s="135"/>
      <c r="U15874" s="135"/>
    </row>
    <row r="15875" spans="20:21" ht="15" customHeight="1" x14ac:dyDescent="0.25">
      <c r="T15875" s="135"/>
      <c r="U15875" s="135"/>
    </row>
    <row r="15876" spans="20:21" ht="15" customHeight="1" x14ac:dyDescent="0.25">
      <c r="T15876" s="135"/>
      <c r="U15876" s="135"/>
    </row>
    <row r="15877" spans="20:21" ht="15" customHeight="1" x14ac:dyDescent="0.25">
      <c r="T15877" s="135"/>
      <c r="U15877" s="135"/>
    </row>
    <row r="15878" spans="20:21" ht="15" customHeight="1" x14ac:dyDescent="0.25">
      <c r="T15878" s="135"/>
      <c r="U15878" s="135"/>
    </row>
    <row r="15879" spans="20:21" ht="15" customHeight="1" x14ac:dyDescent="0.25">
      <c r="T15879" s="135"/>
      <c r="U15879" s="135"/>
    </row>
    <row r="15880" spans="20:21" ht="15" customHeight="1" x14ac:dyDescent="0.25">
      <c r="T15880" s="135"/>
      <c r="U15880" s="135"/>
    </row>
    <row r="15881" spans="20:21" ht="15" customHeight="1" x14ac:dyDescent="0.25">
      <c r="T15881" s="135"/>
      <c r="U15881" s="135"/>
    </row>
    <row r="15882" spans="20:21" ht="15" customHeight="1" x14ac:dyDescent="0.25">
      <c r="T15882" s="135"/>
      <c r="U15882" s="135"/>
    </row>
    <row r="15883" spans="20:21" ht="15" customHeight="1" x14ac:dyDescent="0.25">
      <c r="T15883" s="135"/>
      <c r="U15883" s="135"/>
    </row>
    <row r="15884" spans="20:21" ht="15" customHeight="1" x14ac:dyDescent="0.25">
      <c r="T15884" s="135"/>
      <c r="U15884" s="135"/>
    </row>
    <row r="15885" spans="20:21" ht="15" customHeight="1" x14ac:dyDescent="0.25">
      <c r="T15885" s="135"/>
      <c r="U15885" s="135"/>
    </row>
    <row r="15886" spans="20:21" ht="15" customHeight="1" x14ac:dyDescent="0.25">
      <c r="T15886" s="135"/>
      <c r="U15886" s="135"/>
    </row>
    <row r="15887" spans="20:21" ht="15" customHeight="1" x14ac:dyDescent="0.25">
      <c r="T15887" s="135"/>
      <c r="U15887" s="135"/>
    </row>
    <row r="15888" spans="20:21" ht="15" customHeight="1" x14ac:dyDescent="0.25">
      <c r="T15888" s="135"/>
      <c r="U15888" s="135"/>
    </row>
    <row r="15889" spans="20:21" ht="15" customHeight="1" x14ac:dyDescent="0.25">
      <c r="T15889" s="135"/>
      <c r="U15889" s="135"/>
    </row>
    <row r="15890" spans="20:21" ht="15" customHeight="1" x14ac:dyDescent="0.25">
      <c r="T15890" s="135"/>
      <c r="U15890" s="135"/>
    </row>
    <row r="15891" spans="20:21" ht="15" customHeight="1" x14ac:dyDescent="0.25">
      <c r="T15891" s="135"/>
      <c r="U15891" s="135"/>
    </row>
    <row r="15892" spans="20:21" ht="15" customHeight="1" x14ac:dyDescent="0.25">
      <c r="T15892" s="135"/>
      <c r="U15892" s="135"/>
    </row>
    <row r="15893" spans="20:21" ht="15" customHeight="1" x14ac:dyDescent="0.25">
      <c r="T15893" s="135"/>
      <c r="U15893" s="135"/>
    </row>
    <row r="15894" spans="20:21" ht="15" customHeight="1" x14ac:dyDescent="0.25">
      <c r="T15894" s="135"/>
      <c r="U15894" s="135"/>
    </row>
    <row r="15895" spans="20:21" ht="15" customHeight="1" x14ac:dyDescent="0.25">
      <c r="T15895" s="135"/>
      <c r="U15895" s="135"/>
    </row>
    <row r="15896" spans="20:21" ht="15" customHeight="1" x14ac:dyDescent="0.25">
      <c r="T15896" s="135"/>
      <c r="U15896" s="135"/>
    </row>
    <row r="15897" spans="20:21" ht="15" customHeight="1" x14ac:dyDescent="0.25">
      <c r="T15897" s="135"/>
      <c r="U15897" s="135"/>
    </row>
    <row r="15898" spans="20:21" ht="15" customHeight="1" x14ac:dyDescent="0.25">
      <c r="T15898" s="135"/>
      <c r="U15898" s="135"/>
    </row>
    <row r="15899" spans="20:21" ht="15" customHeight="1" x14ac:dyDescent="0.25">
      <c r="T15899" s="135"/>
      <c r="U15899" s="135"/>
    </row>
    <row r="15900" spans="20:21" ht="15" customHeight="1" x14ac:dyDescent="0.25">
      <c r="T15900" s="135"/>
      <c r="U15900" s="135"/>
    </row>
    <row r="15901" spans="20:21" ht="15" customHeight="1" x14ac:dyDescent="0.25">
      <c r="T15901" s="135"/>
      <c r="U15901" s="135"/>
    </row>
    <row r="15902" spans="20:21" ht="15" customHeight="1" x14ac:dyDescent="0.25">
      <c r="T15902" s="135"/>
      <c r="U15902" s="135"/>
    </row>
    <row r="15903" spans="20:21" ht="15" customHeight="1" x14ac:dyDescent="0.25">
      <c r="T15903" s="135"/>
      <c r="U15903" s="135"/>
    </row>
    <row r="15904" spans="20:21" ht="15" customHeight="1" x14ac:dyDescent="0.25">
      <c r="T15904" s="135"/>
      <c r="U15904" s="135"/>
    </row>
    <row r="15905" spans="20:21" ht="15" customHeight="1" x14ac:dyDescent="0.25">
      <c r="T15905" s="135"/>
      <c r="U15905" s="135"/>
    </row>
    <row r="15906" spans="20:21" ht="15" customHeight="1" x14ac:dyDescent="0.25">
      <c r="T15906" s="135"/>
      <c r="U15906" s="135"/>
    </row>
    <row r="15907" spans="20:21" ht="15" customHeight="1" x14ac:dyDescent="0.25">
      <c r="T15907" s="135"/>
      <c r="U15907" s="135"/>
    </row>
    <row r="15908" spans="20:21" ht="15" customHeight="1" x14ac:dyDescent="0.25">
      <c r="T15908" s="135"/>
      <c r="U15908" s="135"/>
    </row>
    <row r="15909" spans="20:21" ht="15" customHeight="1" x14ac:dyDescent="0.25">
      <c r="T15909" s="135"/>
      <c r="U15909" s="135"/>
    </row>
    <row r="15910" spans="20:21" ht="15" customHeight="1" x14ac:dyDescent="0.25">
      <c r="T15910" s="135"/>
      <c r="U15910" s="135"/>
    </row>
    <row r="15911" spans="20:21" ht="15" customHeight="1" x14ac:dyDescent="0.25">
      <c r="T15911" s="135"/>
      <c r="U15911" s="135"/>
    </row>
    <row r="15912" spans="20:21" ht="15" customHeight="1" x14ac:dyDescent="0.25">
      <c r="T15912" s="135"/>
      <c r="U15912" s="135"/>
    </row>
    <row r="15913" spans="20:21" ht="15" customHeight="1" x14ac:dyDescent="0.25">
      <c r="T15913" s="135"/>
      <c r="U15913" s="135"/>
    </row>
    <row r="15914" spans="20:21" ht="15" customHeight="1" x14ac:dyDescent="0.25">
      <c r="T15914" s="135"/>
      <c r="U15914" s="135"/>
    </row>
    <row r="15915" spans="20:21" ht="15" customHeight="1" x14ac:dyDescent="0.25">
      <c r="T15915" s="135"/>
      <c r="U15915" s="135"/>
    </row>
    <row r="15916" spans="20:21" ht="15" customHeight="1" x14ac:dyDescent="0.25">
      <c r="T15916" s="135"/>
      <c r="U15916" s="135"/>
    </row>
    <row r="15917" spans="20:21" ht="15" customHeight="1" x14ac:dyDescent="0.25">
      <c r="T15917" s="135"/>
      <c r="U15917" s="135"/>
    </row>
    <row r="15918" spans="20:21" ht="15" customHeight="1" x14ac:dyDescent="0.25">
      <c r="T15918" s="135"/>
      <c r="U15918" s="135"/>
    </row>
    <row r="15919" spans="20:21" ht="15" customHeight="1" x14ac:dyDescent="0.25">
      <c r="T15919" s="135"/>
      <c r="U15919" s="135"/>
    </row>
    <row r="15920" spans="20:21" ht="15" customHeight="1" x14ac:dyDescent="0.25">
      <c r="T15920" s="135"/>
      <c r="U15920" s="135"/>
    </row>
    <row r="15921" spans="20:21" ht="15" customHeight="1" x14ac:dyDescent="0.25">
      <c r="T15921" s="135"/>
      <c r="U15921" s="135"/>
    </row>
    <row r="15922" spans="20:21" ht="15" customHeight="1" x14ac:dyDescent="0.25">
      <c r="T15922" s="135"/>
      <c r="U15922" s="135"/>
    </row>
    <row r="15923" spans="20:21" ht="15" customHeight="1" x14ac:dyDescent="0.25">
      <c r="T15923" s="135"/>
      <c r="U15923" s="135"/>
    </row>
    <row r="15924" spans="20:21" ht="15" customHeight="1" x14ac:dyDescent="0.25">
      <c r="T15924" s="135"/>
      <c r="U15924" s="135"/>
    </row>
    <row r="15925" spans="20:21" ht="15" customHeight="1" x14ac:dyDescent="0.25">
      <c r="T15925" s="135"/>
      <c r="U15925" s="135"/>
    </row>
    <row r="15926" spans="20:21" ht="15" customHeight="1" x14ac:dyDescent="0.25">
      <c r="T15926" s="135"/>
      <c r="U15926" s="135"/>
    </row>
    <row r="15927" spans="20:21" ht="15" customHeight="1" x14ac:dyDescent="0.25">
      <c r="T15927" s="135"/>
      <c r="U15927" s="135"/>
    </row>
    <row r="15928" spans="20:21" ht="15" customHeight="1" x14ac:dyDescent="0.25">
      <c r="T15928" s="135"/>
      <c r="U15928" s="135"/>
    </row>
    <row r="15929" spans="20:21" ht="15" customHeight="1" x14ac:dyDescent="0.25">
      <c r="T15929" s="135"/>
      <c r="U15929" s="135"/>
    </row>
    <row r="15930" spans="20:21" ht="15" customHeight="1" x14ac:dyDescent="0.25">
      <c r="T15930" s="135"/>
      <c r="U15930" s="135"/>
    </row>
    <row r="15931" spans="20:21" ht="15" customHeight="1" x14ac:dyDescent="0.25">
      <c r="T15931" s="135"/>
      <c r="U15931" s="135"/>
    </row>
    <row r="15932" spans="20:21" ht="15" customHeight="1" x14ac:dyDescent="0.25">
      <c r="T15932" s="135"/>
      <c r="U15932" s="135"/>
    </row>
    <row r="15933" spans="20:21" ht="15" customHeight="1" x14ac:dyDescent="0.25">
      <c r="T15933" s="135"/>
      <c r="U15933" s="135"/>
    </row>
    <row r="15934" spans="20:21" ht="15" customHeight="1" x14ac:dyDescent="0.25">
      <c r="T15934" s="135"/>
      <c r="U15934" s="135"/>
    </row>
    <row r="15935" spans="20:21" ht="15" customHeight="1" x14ac:dyDescent="0.25">
      <c r="T15935" s="135"/>
      <c r="U15935" s="135"/>
    </row>
    <row r="15936" spans="20:21" ht="15" customHeight="1" x14ac:dyDescent="0.25">
      <c r="T15936" s="135"/>
      <c r="U15936" s="135"/>
    </row>
    <row r="15937" spans="20:21" ht="15" customHeight="1" x14ac:dyDescent="0.25">
      <c r="T15937" s="135"/>
      <c r="U15937" s="135"/>
    </row>
    <row r="15938" spans="20:21" ht="15" customHeight="1" x14ac:dyDescent="0.25">
      <c r="T15938" s="135"/>
      <c r="U15938" s="135"/>
    </row>
    <row r="15939" spans="20:21" ht="15" customHeight="1" x14ac:dyDescent="0.25">
      <c r="T15939" s="135"/>
      <c r="U15939" s="135"/>
    </row>
    <row r="15940" spans="20:21" ht="15" customHeight="1" x14ac:dyDescent="0.25">
      <c r="T15940" s="135"/>
      <c r="U15940" s="135"/>
    </row>
    <row r="15941" spans="20:21" ht="15" customHeight="1" x14ac:dyDescent="0.25">
      <c r="T15941" s="135"/>
      <c r="U15941" s="135"/>
    </row>
    <row r="15942" spans="20:21" ht="15" customHeight="1" x14ac:dyDescent="0.25">
      <c r="T15942" s="135"/>
      <c r="U15942" s="135"/>
    </row>
    <row r="15943" spans="20:21" ht="15" customHeight="1" x14ac:dyDescent="0.25">
      <c r="T15943" s="135"/>
      <c r="U15943" s="135"/>
    </row>
    <row r="15944" spans="20:21" ht="15" customHeight="1" x14ac:dyDescent="0.25">
      <c r="T15944" s="135"/>
      <c r="U15944" s="135"/>
    </row>
    <row r="15945" spans="20:21" ht="15" customHeight="1" x14ac:dyDescent="0.25">
      <c r="T15945" s="135"/>
      <c r="U15945" s="135"/>
    </row>
    <row r="15946" spans="20:21" ht="15" customHeight="1" x14ac:dyDescent="0.25">
      <c r="T15946" s="135"/>
      <c r="U15946" s="135"/>
    </row>
    <row r="15947" spans="20:21" ht="15" customHeight="1" x14ac:dyDescent="0.25">
      <c r="T15947" s="135"/>
      <c r="U15947" s="135"/>
    </row>
    <row r="15948" spans="20:21" ht="15" customHeight="1" x14ac:dyDescent="0.25">
      <c r="T15948" s="135"/>
      <c r="U15948" s="135"/>
    </row>
    <row r="15949" spans="20:21" ht="15" customHeight="1" x14ac:dyDescent="0.25">
      <c r="T15949" s="135"/>
      <c r="U15949" s="135"/>
    </row>
    <row r="15950" spans="20:21" ht="15" customHeight="1" x14ac:dyDescent="0.25">
      <c r="T15950" s="135"/>
      <c r="U15950" s="135"/>
    </row>
    <row r="15951" spans="20:21" ht="15" customHeight="1" x14ac:dyDescent="0.25">
      <c r="T15951" s="135"/>
      <c r="U15951" s="135"/>
    </row>
    <row r="15952" spans="20:21" ht="15" customHeight="1" x14ac:dyDescent="0.25">
      <c r="T15952" s="135"/>
      <c r="U15952" s="135"/>
    </row>
    <row r="15953" spans="20:21" ht="15" customHeight="1" x14ac:dyDescent="0.25">
      <c r="T15953" s="135"/>
      <c r="U15953" s="135"/>
    </row>
    <row r="15954" spans="20:21" ht="15" customHeight="1" x14ac:dyDescent="0.25">
      <c r="T15954" s="135"/>
      <c r="U15954" s="135"/>
    </row>
    <row r="15955" spans="20:21" ht="15" customHeight="1" x14ac:dyDescent="0.25">
      <c r="T15955" s="135"/>
      <c r="U15955" s="135"/>
    </row>
    <row r="15956" spans="20:21" ht="15" customHeight="1" x14ac:dyDescent="0.25">
      <c r="T15956" s="135"/>
      <c r="U15956" s="135"/>
    </row>
    <row r="15957" spans="20:21" ht="15" customHeight="1" x14ac:dyDescent="0.25">
      <c r="T15957" s="135"/>
      <c r="U15957" s="135"/>
    </row>
    <row r="15958" spans="20:21" ht="15" customHeight="1" x14ac:dyDescent="0.25">
      <c r="T15958" s="135"/>
      <c r="U15958" s="135"/>
    </row>
    <row r="15959" spans="20:21" ht="15" customHeight="1" x14ac:dyDescent="0.25">
      <c r="T15959" s="135"/>
      <c r="U15959" s="135"/>
    </row>
    <row r="15960" spans="20:21" ht="15" customHeight="1" x14ac:dyDescent="0.25">
      <c r="T15960" s="135"/>
      <c r="U15960" s="135"/>
    </row>
    <row r="15961" spans="20:21" ht="15" customHeight="1" x14ac:dyDescent="0.25">
      <c r="T15961" s="135"/>
      <c r="U15961" s="135"/>
    </row>
    <row r="15962" spans="20:21" ht="15" customHeight="1" x14ac:dyDescent="0.25">
      <c r="T15962" s="135"/>
      <c r="U15962" s="135"/>
    </row>
    <row r="15963" spans="20:21" ht="15" customHeight="1" x14ac:dyDescent="0.25">
      <c r="T15963" s="135"/>
      <c r="U15963" s="135"/>
    </row>
    <row r="15964" spans="20:21" ht="15" customHeight="1" x14ac:dyDescent="0.25">
      <c r="T15964" s="135"/>
      <c r="U15964" s="135"/>
    </row>
    <row r="15965" spans="20:21" ht="15" customHeight="1" x14ac:dyDescent="0.25">
      <c r="T15965" s="135"/>
      <c r="U15965" s="135"/>
    </row>
    <row r="15966" spans="20:21" ht="15" customHeight="1" x14ac:dyDescent="0.25">
      <c r="T15966" s="135"/>
      <c r="U15966" s="135"/>
    </row>
    <row r="15967" spans="20:21" ht="15" customHeight="1" x14ac:dyDescent="0.25">
      <c r="T15967" s="135"/>
      <c r="U15967" s="135"/>
    </row>
    <row r="15968" spans="20:21" ht="15" customHeight="1" x14ac:dyDescent="0.25">
      <c r="T15968" s="135"/>
      <c r="U15968" s="135"/>
    </row>
    <row r="15969" spans="20:21" ht="15" customHeight="1" x14ac:dyDescent="0.25">
      <c r="T15969" s="135"/>
      <c r="U15969" s="135"/>
    </row>
    <row r="15970" spans="20:21" ht="15" customHeight="1" x14ac:dyDescent="0.25">
      <c r="T15970" s="135"/>
      <c r="U15970" s="135"/>
    </row>
    <row r="15971" spans="20:21" ht="15" customHeight="1" x14ac:dyDescent="0.25">
      <c r="T15971" s="135"/>
      <c r="U15971" s="135"/>
    </row>
    <row r="15972" spans="20:21" ht="15" customHeight="1" x14ac:dyDescent="0.25">
      <c r="T15972" s="135"/>
      <c r="U15972" s="135"/>
    </row>
    <row r="15973" spans="20:21" ht="15" customHeight="1" x14ac:dyDescent="0.25">
      <c r="T15973" s="135"/>
      <c r="U15973" s="135"/>
    </row>
    <row r="15974" spans="20:21" ht="15" customHeight="1" x14ac:dyDescent="0.25">
      <c r="T15974" s="135"/>
      <c r="U15974" s="135"/>
    </row>
    <row r="15975" spans="20:21" ht="15" customHeight="1" x14ac:dyDescent="0.25">
      <c r="T15975" s="135"/>
      <c r="U15975" s="135"/>
    </row>
    <row r="15976" spans="20:21" ht="15" customHeight="1" x14ac:dyDescent="0.25">
      <c r="T15976" s="135"/>
      <c r="U15976" s="135"/>
    </row>
    <row r="15977" spans="20:21" ht="15" customHeight="1" x14ac:dyDescent="0.25">
      <c r="T15977" s="135"/>
      <c r="U15977" s="135"/>
    </row>
    <row r="15978" spans="20:21" ht="15" customHeight="1" x14ac:dyDescent="0.25">
      <c r="T15978" s="135"/>
      <c r="U15978" s="135"/>
    </row>
    <row r="15979" spans="20:21" ht="15" customHeight="1" x14ac:dyDescent="0.25">
      <c r="T15979" s="135"/>
      <c r="U15979" s="135"/>
    </row>
    <row r="15980" spans="20:21" ht="15" customHeight="1" x14ac:dyDescent="0.25">
      <c r="T15980" s="135"/>
      <c r="U15980" s="135"/>
    </row>
    <row r="15981" spans="20:21" ht="15" customHeight="1" x14ac:dyDescent="0.25">
      <c r="T15981" s="135"/>
      <c r="U15981" s="135"/>
    </row>
    <row r="15982" spans="20:21" ht="15" customHeight="1" x14ac:dyDescent="0.25">
      <c r="T15982" s="135"/>
      <c r="U15982" s="135"/>
    </row>
    <row r="15983" spans="20:21" ht="15" customHeight="1" x14ac:dyDescent="0.25">
      <c r="T15983" s="135"/>
      <c r="U15983" s="135"/>
    </row>
    <row r="15984" spans="20:21" ht="15" customHeight="1" x14ac:dyDescent="0.25">
      <c r="T15984" s="135"/>
      <c r="U15984" s="135"/>
    </row>
    <row r="15985" spans="20:21" ht="15" customHeight="1" x14ac:dyDescent="0.25">
      <c r="T15985" s="135"/>
      <c r="U15985" s="135"/>
    </row>
    <row r="15986" spans="20:21" ht="15" customHeight="1" x14ac:dyDescent="0.25">
      <c r="T15986" s="135"/>
      <c r="U15986" s="135"/>
    </row>
    <row r="15987" spans="20:21" ht="15" customHeight="1" x14ac:dyDescent="0.25">
      <c r="T15987" s="135"/>
      <c r="U15987" s="135"/>
    </row>
    <row r="15988" spans="20:21" ht="15" customHeight="1" x14ac:dyDescent="0.25">
      <c r="T15988" s="135"/>
      <c r="U15988" s="135"/>
    </row>
    <row r="15989" spans="20:21" ht="15" customHeight="1" x14ac:dyDescent="0.25">
      <c r="T15989" s="135"/>
      <c r="U15989" s="135"/>
    </row>
    <row r="15990" spans="20:21" ht="15" customHeight="1" x14ac:dyDescent="0.25">
      <c r="T15990" s="135"/>
      <c r="U15990" s="135"/>
    </row>
    <row r="15991" spans="20:21" ht="15" customHeight="1" x14ac:dyDescent="0.25">
      <c r="T15991" s="135"/>
      <c r="U15991" s="135"/>
    </row>
    <row r="15992" spans="20:21" ht="15" customHeight="1" x14ac:dyDescent="0.25">
      <c r="T15992" s="135"/>
      <c r="U15992" s="135"/>
    </row>
    <row r="15993" spans="20:21" ht="15" customHeight="1" x14ac:dyDescent="0.25">
      <c r="T15993" s="135"/>
      <c r="U15993" s="135"/>
    </row>
    <row r="15994" spans="20:21" ht="15" customHeight="1" x14ac:dyDescent="0.25">
      <c r="T15994" s="135"/>
      <c r="U15994" s="135"/>
    </row>
    <row r="15995" spans="20:21" ht="15" customHeight="1" x14ac:dyDescent="0.25">
      <c r="T15995" s="135"/>
      <c r="U15995" s="135"/>
    </row>
    <row r="15996" spans="20:21" ht="15" customHeight="1" x14ac:dyDescent="0.25">
      <c r="T15996" s="135"/>
      <c r="U15996" s="135"/>
    </row>
    <row r="15997" spans="20:21" ht="15" customHeight="1" x14ac:dyDescent="0.25">
      <c r="T15997" s="135"/>
      <c r="U15997" s="135"/>
    </row>
    <row r="15998" spans="20:21" ht="15" customHeight="1" x14ac:dyDescent="0.25">
      <c r="T15998" s="135"/>
      <c r="U15998" s="135"/>
    </row>
    <row r="15999" spans="20:21" ht="15" customHeight="1" x14ac:dyDescent="0.25">
      <c r="T15999" s="135"/>
      <c r="U15999" s="135"/>
    </row>
    <row r="16000" spans="20:21" ht="15" customHeight="1" x14ac:dyDescent="0.25">
      <c r="T16000" s="135"/>
      <c r="U16000" s="135"/>
    </row>
    <row r="16001" spans="20:21" ht="15" customHeight="1" x14ac:dyDescent="0.25">
      <c r="T16001" s="135"/>
      <c r="U16001" s="135"/>
    </row>
    <row r="16002" spans="20:21" ht="15" customHeight="1" x14ac:dyDescent="0.25">
      <c r="T16002" s="135"/>
      <c r="U16002" s="135"/>
    </row>
    <row r="16003" spans="20:21" ht="15" customHeight="1" x14ac:dyDescent="0.25">
      <c r="T16003" s="135"/>
      <c r="U16003" s="135"/>
    </row>
    <row r="16004" spans="20:21" ht="15" customHeight="1" x14ac:dyDescent="0.25">
      <c r="T16004" s="135"/>
      <c r="U16004" s="135"/>
    </row>
    <row r="16005" spans="20:21" ht="15" customHeight="1" x14ac:dyDescent="0.25">
      <c r="T16005" s="135"/>
      <c r="U16005" s="135"/>
    </row>
    <row r="16006" spans="20:21" ht="15" customHeight="1" x14ac:dyDescent="0.25">
      <c r="T16006" s="135"/>
      <c r="U16006" s="135"/>
    </row>
    <row r="16007" spans="20:21" ht="15" customHeight="1" x14ac:dyDescent="0.25">
      <c r="T16007" s="135"/>
      <c r="U16007" s="135"/>
    </row>
    <row r="16008" spans="20:21" ht="15" customHeight="1" x14ac:dyDescent="0.25">
      <c r="T16008" s="135"/>
      <c r="U16008" s="135"/>
    </row>
    <row r="16009" spans="20:21" ht="15" customHeight="1" x14ac:dyDescent="0.25">
      <c r="T16009" s="135"/>
      <c r="U16009" s="135"/>
    </row>
    <row r="16010" spans="20:21" ht="15" customHeight="1" x14ac:dyDescent="0.25">
      <c r="T16010" s="135"/>
      <c r="U16010" s="135"/>
    </row>
    <row r="16011" spans="20:21" ht="15" customHeight="1" x14ac:dyDescent="0.25">
      <c r="T16011" s="135"/>
      <c r="U16011" s="135"/>
    </row>
    <row r="16012" spans="20:21" ht="15" customHeight="1" x14ac:dyDescent="0.25">
      <c r="T16012" s="135"/>
      <c r="U16012" s="135"/>
    </row>
    <row r="16013" spans="20:21" ht="15" customHeight="1" x14ac:dyDescent="0.25">
      <c r="T16013" s="135"/>
      <c r="U16013" s="135"/>
    </row>
    <row r="16014" spans="20:21" ht="15" customHeight="1" x14ac:dyDescent="0.25">
      <c r="T16014" s="135"/>
      <c r="U16014" s="135"/>
    </row>
    <row r="16015" spans="20:21" ht="15" customHeight="1" x14ac:dyDescent="0.25">
      <c r="T16015" s="135"/>
      <c r="U16015" s="135"/>
    </row>
    <row r="16016" spans="20:21" ht="15" customHeight="1" x14ac:dyDescent="0.25">
      <c r="T16016" s="135"/>
      <c r="U16016" s="135"/>
    </row>
    <row r="16017" spans="20:21" ht="15" customHeight="1" x14ac:dyDescent="0.25">
      <c r="T16017" s="135"/>
      <c r="U16017" s="135"/>
    </row>
    <row r="16018" spans="20:21" ht="15" customHeight="1" x14ac:dyDescent="0.25">
      <c r="T16018" s="135"/>
      <c r="U16018" s="135"/>
    </row>
    <row r="16019" spans="20:21" ht="15" customHeight="1" x14ac:dyDescent="0.25">
      <c r="T16019" s="135"/>
      <c r="U16019" s="135"/>
    </row>
    <row r="16020" spans="20:21" ht="15" customHeight="1" x14ac:dyDescent="0.25">
      <c r="T16020" s="135"/>
      <c r="U16020" s="135"/>
    </row>
    <row r="16021" spans="20:21" ht="15" customHeight="1" x14ac:dyDescent="0.25">
      <c r="T16021" s="135"/>
      <c r="U16021" s="135"/>
    </row>
    <row r="16022" spans="20:21" ht="15" customHeight="1" x14ac:dyDescent="0.25">
      <c r="T16022" s="135"/>
      <c r="U16022" s="135"/>
    </row>
    <row r="16023" spans="20:21" ht="15" customHeight="1" x14ac:dyDescent="0.25">
      <c r="T16023" s="135"/>
      <c r="U16023" s="135"/>
    </row>
    <row r="16024" spans="20:21" ht="15" customHeight="1" x14ac:dyDescent="0.25">
      <c r="T16024" s="135"/>
      <c r="U16024" s="135"/>
    </row>
    <row r="16025" spans="20:21" ht="15" customHeight="1" x14ac:dyDescent="0.25">
      <c r="T16025" s="135"/>
      <c r="U16025" s="135"/>
    </row>
    <row r="16026" spans="20:21" ht="15" customHeight="1" x14ac:dyDescent="0.25">
      <c r="T16026" s="135"/>
      <c r="U16026" s="135"/>
    </row>
    <row r="16027" spans="20:21" ht="15" customHeight="1" x14ac:dyDescent="0.25">
      <c r="T16027" s="135"/>
      <c r="U16027" s="135"/>
    </row>
    <row r="16028" spans="20:21" ht="15" customHeight="1" x14ac:dyDescent="0.25">
      <c r="T16028" s="135"/>
      <c r="U16028" s="135"/>
    </row>
    <row r="16029" spans="20:21" ht="15" customHeight="1" x14ac:dyDescent="0.25">
      <c r="T16029" s="135"/>
      <c r="U16029" s="135"/>
    </row>
    <row r="16030" spans="20:21" ht="15" customHeight="1" x14ac:dyDescent="0.25">
      <c r="T16030" s="135"/>
      <c r="U16030" s="135"/>
    </row>
    <row r="16031" spans="20:21" ht="15" customHeight="1" x14ac:dyDescent="0.25">
      <c r="T16031" s="135"/>
      <c r="U16031" s="135"/>
    </row>
    <row r="16032" spans="20:21" ht="15" customHeight="1" x14ac:dyDescent="0.25">
      <c r="T16032" s="135"/>
      <c r="U16032" s="135"/>
    </row>
    <row r="16033" spans="20:21" ht="15" customHeight="1" x14ac:dyDescent="0.25">
      <c r="T16033" s="135"/>
      <c r="U16033" s="135"/>
    </row>
    <row r="16034" spans="20:21" ht="15" customHeight="1" x14ac:dyDescent="0.25">
      <c r="T16034" s="135"/>
      <c r="U16034" s="135"/>
    </row>
    <row r="16035" spans="20:21" ht="15" customHeight="1" x14ac:dyDescent="0.25">
      <c r="T16035" s="135"/>
      <c r="U16035" s="135"/>
    </row>
    <row r="16036" spans="20:21" ht="15" customHeight="1" x14ac:dyDescent="0.25">
      <c r="T16036" s="135"/>
      <c r="U16036" s="135"/>
    </row>
    <row r="16037" spans="20:21" ht="15" customHeight="1" x14ac:dyDescent="0.25">
      <c r="T16037" s="135"/>
      <c r="U16037" s="135"/>
    </row>
    <row r="16038" spans="20:21" ht="15" customHeight="1" x14ac:dyDescent="0.25">
      <c r="T16038" s="135"/>
      <c r="U16038" s="135"/>
    </row>
    <row r="16039" spans="20:21" ht="15" customHeight="1" x14ac:dyDescent="0.25">
      <c r="T16039" s="135"/>
      <c r="U16039" s="135"/>
    </row>
    <row r="16040" spans="20:21" ht="15" customHeight="1" x14ac:dyDescent="0.25">
      <c r="T16040" s="135"/>
      <c r="U16040" s="135"/>
    </row>
    <row r="16041" spans="20:21" ht="15" customHeight="1" x14ac:dyDescent="0.25">
      <c r="T16041" s="135"/>
      <c r="U16041" s="135"/>
    </row>
    <row r="16042" spans="20:21" ht="15" customHeight="1" x14ac:dyDescent="0.25">
      <c r="T16042" s="135"/>
      <c r="U16042" s="135"/>
    </row>
    <row r="16043" spans="20:21" ht="15" customHeight="1" x14ac:dyDescent="0.25">
      <c r="T16043" s="135"/>
      <c r="U16043" s="135"/>
    </row>
    <row r="16044" spans="20:21" ht="15" customHeight="1" x14ac:dyDescent="0.25">
      <c r="T16044" s="135"/>
      <c r="U16044" s="135"/>
    </row>
    <row r="16045" spans="20:21" ht="15" customHeight="1" x14ac:dyDescent="0.25">
      <c r="T16045" s="135"/>
      <c r="U16045" s="135"/>
    </row>
    <row r="16046" spans="20:21" ht="15" customHeight="1" x14ac:dyDescent="0.25">
      <c r="T16046" s="135"/>
      <c r="U16046" s="135"/>
    </row>
    <row r="16047" spans="20:21" ht="15" customHeight="1" x14ac:dyDescent="0.25">
      <c r="T16047" s="135"/>
      <c r="U16047" s="135"/>
    </row>
    <row r="16048" spans="20:21" ht="15" customHeight="1" x14ac:dyDescent="0.25">
      <c r="T16048" s="135"/>
      <c r="U16048" s="135"/>
    </row>
    <row r="16049" spans="20:21" ht="15" customHeight="1" x14ac:dyDescent="0.25">
      <c r="T16049" s="135"/>
      <c r="U16049" s="135"/>
    </row>
    <row r="16050" spans="20:21" ht="15" customHeight="1" x14ac:dyDescent="0.25">
      <c r="T16050" s="135"/>
      <c r="U16050" s="135"/>
    </row>
    <row r="16051" spans="20:21" ht="15" customHeight="1" x14ac:dyDescent="0.25">
      <c r="T16051" s="135"/>
      <c r="U16051" s="135"/>
    </row>
    <row r="16052" spans="20:21" ht="15" customHeight="1" x14ac:dyDescent="0.25">
      <c r="T16052" s="135"/>
      <c r="U16052" s="135"/>
    </row>
    <row r="16053" spans="20:21" ht="15" customHeight="1" x14ac:dyDescent="0.25">
      <c r="T16053" s="135"/>
      <c r="U16053" s="135"/>
    </row>
    <row r="16054" spans="20:21" ht="15" customHeight="1" x14ac:dyDescent="0.25">
      <c r="T16054" s="135"/>
      <c r="U16054" s="135"/>
    </row>
    <row r="16055" spans="20:21" ht="15" customHeight="1" x14ac:dyDescent="0.25">
      <c r="T16055" s="135"/>
      <c r="U16055" s="135"/>
    </row>
    <row r="16056" spans="20:21" ht="15" customHeight="1" x14ac:dyDescent="0.25">
      <c r="T16056" s="135"/>
      <c r="U16056" s="135"/>
    </row>
    <row r="16057" spans="20:21" ht="15" customHeight="1" x14ac:dyDescent="0.25">
      <c r="T16057" s="135"/>
      <c r="U16057" s="135"/>
    </row>
    <row r="16058" spans="20:21" ht="15" customHeight="1" x14ac:dyDescent="0.25">
      <c r="T16058" s="135"/>
      <c r="U16058" s="135"/>
    </row>
    <row r="16059" spans="20:21" ht="15" customHeight="1" x14ac:dyDescent="0.25">
      <c r="T16059" s="135"/>
      <c r="U16059" s="135"/>
    </row>
    <row r="16060" spans="20:21" ht="15" customHeight="1" x14ac:dyDescent="0.25">
      <c r="T16060" s="135"/>
      <c r="U16060" s="135"/>
    </row>
    <row r="16061" spans="20:21" ht="15" customHeight="1" x14ac:dyDescent="0.25">
      <c r="T16061" s="135"/>
      <c r="U16061" s="135"/>
    </row>
    <row r="16062" spans="20:21" ht="15" customHeight="1" x14ac:dyDescent="0.25">
      <c r="T16062" s="135"/>
      <c r="U16062" s="135"/>
    </row>
    <row r="16063" spans="20:21" ht="15" customHeight="1" x14ac:dyDescent="0.25">
      <c r="T16063" s="135"/>
      <c r="U16063" s="135"/>
    </row>
    <row r="16064" spans="20:21" ht="15" customHeight="1" x14ac:dyDescent="0.25">
      <c r="T16064" s="135"/>
      <c r="U16064" s="135"/>
    </row>
    <row r="16065" spans="20:21" ht="15" customHeight="1" x14ac:dyDescent="0.25">
      <c r="T16065" s="135"/>
      <c r="U16065" s="135"/>
    </row>
    <row r="16066" spans="20:21" ht="15" customHeight="1" x14ac:dyDescent="0.25">
      <c r="T16066" s="135"/>
      <c r="U16066" s="135"/>
    </row>
    <row r="16067" spans="20:21" ht="15" customHeight="1" x14ac:dyDescent="0.25">
      <c r="T16067" s="135"/>
      <c r="U16067" s="135"/>
    </row>
    <row r="16068" spans="20:21" ht="15" customHeight="1" x14ac:dyDescent="0.25">
      <c r="T16068" s="135"/>
      <c r="U16068" s="135"/>
    </row>
    <row r="16069" spans="20:21" ht="15" customHeight="1" x14ac:dyDescent="0.25">
      <c r="T16069" s="135"/>
      <c r="U16069" s="135"/>
    </row>
    <row r="16070" spans="20:21" ht="15" customHeight="1" x14ac:dyDescent="0.25">
      <c r="T16070" s="135"/>
      <c r="U16070" s="135"/>
    </row>
    <row r="16071" spans="20:21" ht="15" customHeight="1" x14ac:dyDescent="0.25">
      <c r="T16071" s="135"/>
      <c r="U16071" s="135"/>
    </row>
    <row r="16072" spans="20:21" ht="15" customHeight="1" x14ac:dyDescent="0.25">
      <c r="T16072" s="135"/>
      <c r="U16072" s="135"/>
    </row>
    <row r="16073" spans="20:21" ht="15" customHeight="1" x14ac:dyDescent="0.25">
      <c r="T16073" s="135"/>
      <c r="U16073" s="135"/>
    </row>
    <row r="16074" spans="20:21" ht="15" customHeight="1" x14ac:dyDescent="0.25">
      <c r="T16074" s="135"/>
      <c r="U16074" s="135"/>
    </row>
    <row r="16075" spans="20:21" ht="15" customHeight="1" x14ac:dyDescent="0.25">
      <c r="T16075" s="135"/>
      <c r="U16075" s="135"/>
    </row>
    <row r="16076" spans="20:21" ht="15" customHeight="1" x14ac:dyDescent="0.25">
      <c r="T16076" s="135"/>
      <c r="U16076" s="135"/>
    </row>
    <row r="16077" spans="20:21" ht="15" customHeight="1" x14ac:dyDescent="0.25">
      <c r="T16077" s="135"/>
      <c r="U16077" s="135"/>
    </row>
    <row r="16078" spans="20:21" ht="15" customHeight="1" x14ac:dyDescent="0.25">
      <c r="T16078" s="135"/>
      <c r="U16078" s="135"/>
    </row>
    <row r="16079" spans="20:21" ht="15" customHeight="1" x14ac:dyDescent="0.25">
      <c r="T16079" s="135"/>
      <c r="U16079" s="135"/>
    </row>
    <row r="16080" spans="20:21" ht="15" customHeight="1" x14ac:dyDescent="0.25">
      <c r="T16080" s="135"/>
      <c r="U16080" s="135"/>
    </row>
    <row r="16081" spans="20:21" ht="15" customHeight="1" x14ac:dyDescent="0.25">
      <c r="T16081" s="135"/>
      <c r="U16081" s="135"/>
    </row>
    <row r="16082" spans="20:21" ht="15" customHeight="1" x14ac:dyDescent="0.25">
      <c r="T16082" s="135"/>
      <c r="U16082" s="135"/>
    </row>
    <row r="16083" spans="20:21" ht="15" customHeight="1" x14ac:dyDescent="0.25">
      <c r="T16083" s="135"/>
      <c r="U16083" s="135"/>
    </row>
    <row r="16084" spans="20:21" ht="15" customHeight="1" x14ac:dyDescent="0.25">
      <c r="T16084" s="135"/>
      <c r="U16084" s="135"/>
    </row>
    <row r="16085" spans="20:21" ht="15" customHeight="1" x14ac:dyDescent="0.25">
      <c r="T16085" s="135"/>
      <c r="U16085" s="135"/>
    </row>
    <row r="16086" spans="20:21" ht="15" customHeight="1" x14ac:dyDescent="0.25">
      <c r="T16086" s="135"/>
      <c r="U16086" s="135"/>
    </row>
    <row r="16087" spans="20:21" ht="15" customHeight="1" x14ac:dyDescent="0.25">
      <c r="T16087" s="135"/>
      <c r="U16087" s="135"/>
    </row>
    <row r="16088" spans="20:21" ht="15" customHeight="1" x14ac:dyDescent="0.25">
      <c r="T16088" s="135"/>
      <c r="U16088" s="135"/>
    </row>
    <row r="16089" spans="20:21" ht="15" customHeight="1" x14ac:dyDescent="0.25">
      <c r="T16089" s="135"/>
      <c r="U16089" s="135"/>
    </row>
    <row r="16090" spans="20:21" ht="15" customHeight="1" x14ac:dyDescent="0.25">
      <c r="T16090" s="135"/>
      <c r="U16090" s="135"/>
    </row>
    <row r="16091" spans="20:21" ht="15" customHeight="1" x14ac:dyDescent="0.25">
      <c r="T16091" s="135"/>
      <c r="U16091" s="135"/>
    </row>
    <row r="16092" spans="20:21" ht="15" customHeight="1" x14ac:dyDescent="0.25">
      <c r="T16092" s="135"/>
      <c r="U16092" s="135"/>
    </row>
    <row r="16093" spans="20:21" ht="15" customHeight="1" x14ac:dyDescent="0.25">
      <c r="T16093" s="135"/>
      <c r="U16093" s="135"/>
    </row>
    <row r="16094" spans="20:21" ht="15" customHeight="1" x14ac:dyDescent="0.25">
      <c r="T16094" s="135"/>
      <c r="U16094" s="135"/>
    </row>
    <row r="16095" spans="20:21" ht="15" customHeight="1" x14ac:dyDescent="0.25">
      <c r="T16095" s="135"/>
      <c r="U16095" s="135"/>
    </row>
    <row r="16096" spans="20:21" ht="15" customHeight="1" x14ac:dyDescent="0.25">
      <c r="T16096" s="135"/>
      <c r="U16096" s="135"/>
    </row>
    <row r="16097" spans="20:21" ht="15" customHeight="1" x14ac:dyDescent="0.25">
      <c r="T16097" s="135"/>
      <c r="U16097" s="135"/>
    </row>
    <row r="16098" spans="20:21" ht="15" customHeight="1" x14ac:dyDescent="0.25">
      <c r="T16098" s="135"/>
      <c r="U16098" s="135"/>
    </row>
    <row r="16099" spans="20:21" ht="15" customHeight="1" x14ac:dyDescent="0.25">
      <c r="T16099" s="135"/>
      <c r="U16099" s="135"/>
    </row>
    <row r="16100" spans="20:21" ht="15" customHeight="1" x14ac:dyDescent="0.25">
      <c r="T16100" s="135"/>
      <c r="U16100" s="135"/>
    </row>
    <row r="16101" spans="20:21" ht="15" customHeight="1" x14ac:dyDescent="0.25">
      <c r="T16101" s="135"/>
      <c r="U16101" s="135"/>
    </row>
    <row r="16102" spans="20:21" ht="15" customHeight="1" x14ac:dyDescent="0.25">
      <c r="T16102" s="135"/>
      <c r="U16102" s="135"/>
    </row>
    <row r="16103" spans="20:21" ht="15" customHeight="1" x14ac:dyDescent="0.25">
      <c r="T16103" s="135"/>
      <c r="U16103" s="135"/>
    </row>
    <row r="16104" spans="20:21" ht="15" customHeight="1" x14ac:dyDescent="0.25">
      <c r="T16104" s="135"/>
      <c r="U16104" s="135"/>
    </row>
    <row r="16105" spans="20:21" ht="15" customHeight="1" x14ac:dyDescent="0.25">
      <c r="T16105" s="135"/>
      <c r="U16105" s="135"/>
    </row>
    <row r="16106" spans="20:21" ht="15" customHeight="1" x14ac:dyDescent="0.25">
      <c r="T16106" s="135"/>
      <c r="U16106" s="135"/>
    </row>
    <row r="16107" spans="20:21" ht="15" customHeight="1" x14ac:dyDescent="0.25">
      <c r="T16107" s="135"/>
      <c r="U16107" s="135"/>
    </row>
    <row r="16108" spans="20:21" ht="15" customHeight="1" x14ac:dyDescent="0.25">
      <c r="T16108" s="135"/>
      <c r="U16108" s="135"/>
    </row>
    <row r="16109" spans="20:21" ht="15" customHeight="1" x14ac:dyDescent="0.25">
      <c r="T16109" s="135"/>
      <c r="U16109" s="135"/>
    </row>
    <row r="16110" spans="20:21" ht="15" customHeight="1" x14ac:dyDescent="0.25">
      <c r="T16110" s="135"/>
      <c r="U16110" s="135"/>
    </row>
    <row r="16111" spans="20:21" ht="15" customHeight="1" x14ac:dyDescent="0.25">
      <c r="T16111" s="135"/>
      <c r="U16111" s="135"/>
    </row>
    <row r="16112" spans="20:21" ht="15" customHeight="1" x14ac:dyDescent="0.25">
      <c r="T16112" s="135"/>
      <c r="U16112" s="135"/>
    </row>
    <row r="16113" spans="20:21" ht="15" customHeight="1" x14ac:dyDescent="0.25">
      <c r="T16113" s="135"/>
      <c r="U16113" s="135"/>
    </row>
    <row r="16114" spans="20:21" ht="15" customHeight="1" x14ac:dyDescent="0.25">
      <c r="T16114" s="135"/>
      <c r="U16114" s="135"/>
    </row>
    <row r="16115" spans="20:21" ht="15" customHeight="1" x14ac:dyDescent="0.25">
      <c r="T16115" s="135"/>
      <c r="U16115" s="135"/>
    </row>
    <row r="16116" spans="20:21" ht="15" customHeight="1" x14ac:dyDescent="0.25">
      <c r="T16116" s="135"/>
      <c r="U16116" s="135"/>
    </row>
    <row r="16117" spans="20:21" ht="15" customHeight="1" x14ac:dyDescent="0.25">
      <c r="T16117" s="135"/>
      <c r="U16117" s="135"/>
    </row>
    <row r="16118" spans="20:21" ht="15" customHeight="1" x14ac:dyDescent="0.25">
      <c r="T16118" s="135"/>
      <c r="U16118" s="135"/>
    </row>
    <row r="16119" spans="20:21" ht="15" customHeight="1" x14ac:dyDescent="0.25">
      <c r="T16119" s="135"/>
      <c r="U16119" s="135"/>
    </row>
    <row r="16120" spans="20:21" ht="15" customHeight="1" x14ac:dyDescent="0.25">
      <c r="T16120" s="135"/>
      <c r="U16120" s="135"/>
    </row>
    <row r="16121" spans="20:21" ht="15" customHeight="1" x14ac:dyDescent="0.25">
      <c r="T16121" s="135"/>
      <c r="U16121" s="135"/>
    </row>
    <row r="16122" spans="20:21" ht="15" customHeight="1" x14ac:dyDescent="0.25">
      <c r="T16122" s="135"/>
      <c r="U16122" s="135"/>
    </row>
    <row r="16123" spans="20:21" ht="15" customHeight="1" x14ac:dyDescent="0.25">
      <c r="T16123" s="135"/>
      <c r="U16123" s="135"/>
    </row>
    <row r="16124" spans="20:21" ht="15" customHeight="1" x14ac:dyDescent="0.25">
      <c r="T16124" s="135"/>
      <c r="U16124" s="135"/>
    </row>
    <row r="16125" spans="20:21" ht="15" customHeight="1" x14ac:dyDescent="0.25">
      <c r="T16125" s="135"/>
      <c r="U16125" s="135"/>
    </row>
    <row r="16126" spans="20:21" ht="15" customHeight="1" x14ac:dyDescent="0.25">
      <c r="T16126" s="135"/>
      <c r="U16126" s="135"/>
    </row>
    <row r="16127" spans="20:21" ht="15" customHeight="1" x14ac:dyDescent="0.25">
      <c r="T16127" s="135"/>
      <c r="U16127" s="135"/>
    </row>
    <row r="16128" spans="20:21" ht="15" customHeight="1" x14ac:dyDescent="0.25">
      <c r="T16128" s="135"/>
      <c r="U16128" s="135"/>
    </row>
    <row r="16129" spans="20:21" ht="15" customHeight="1" x14ac:dyDescent="0.25">
      <c r="T16129" s="135"/>
      <c r="U16129" s="135"/>
    </row>
    <row r="16130" spans="20:21" ht="15" customHeight="1" x14ac:dyDescent="0.25">
      <c r="T16130" s="135"/>
      <c r="U16130" s="135"/>
    </row>
    <row r="16131" spans="20:21" ht="15" customHeight="1" x14ac:dyDescent="0.25">
      <c r="T16131" s="135"/>
      <c r="U16131" s="135"/>
    </row>
    <row r="16132" spans="20:21" ht="15" customHeight="1" x14ac:dyDescent="0.25">
      <c r="T16132" s="135"/>
      <c r="U16132" s="135"/>
    </row>
    <row r="16133" spans="20:21" ht="15" customHeight="1" x14ac:dyDescent="0.25">
      <c r="T16133" s="135"/>
      <c r="U16133" s="135"/>
    </row>
    <row r="16134" spans="20:21" ht="15" customHeight="1" x14ac:dyDescent="0.25">
      <c r="T16134" s="135"/>
      <c r="U16134" s="135"/>
    </row>
    <row r="16135" spans="20:21" ht="15" customHeight="1" x14ac:dyDescent="0.25">
      <c r="T16135" s="135"/>
      <c r="U16135" s="135"/>
    </row>
    <row r="16136" spans="20:21" ht="15" customHeight="1" x14ac:dyDescent="0.25">
      <c r="T16136" s="135"/>
      <c r="U16136" s="135"/>
    </row>
    <row r="16137" spans="20:21" ht="15" customHeight="1" x14ac:dyDescent="0.25">
      <c r="T16137" s="135"/>
      <c r="U16137" s="135"/>
    </row>
    <row r="16138" spans="20:21" ht="15" customHeight="1" x14ac:dyDescent="0.25">
      <c r="T16138" s="135"/>
      <c r="U16138" s="135"/>
    </row>
    <row r="16139" spans="20:21" ht="15" customHeight="1" x14ac:dyDescent="0.25">
      <c r="T16139" s="135"/>
      <c r="U16139" s="135"/>
    </row>
    <row r="16140" spans="20:21" ht="15" customHeight="1" x14ac:dyDescent="0.25">
      <c r="T16140" s="135"/>
      <c r="U16140" s="135"/>
    </row>
    <row r="16141" spans="20:21" ht="15" customHeight="1" x14ac:dyDescent="0.25">
      <c r="T16141" s="135"/>
      <c r="U16141" s="135"/>
    </row>
    <row r="16142" spans="20:21" ht="15" customHeight="1" x14ac:dyDescent="0.25">
      <c r="T16142" s="135"/>
      <c r="U16142" s="135"/>
    </row>
    <row r="16143" spans="20:21" ht="15" customHeight="1" x14ac:dyDescent="0.25">
      <c r="T16143" s="135"/>
      <c r="U16143" s="135"/>
    </row>
    <row r="16144" spans="20:21" ht="15" customHeight="1" x14ac:dyDescent="0.25">
      <c r="T16144" s="135"/>
      <c r="U16144" s="135"/>
    </row>
    <row r="16145" spans="20:21" ht="15" customHeight="1" x14ac:dyDescent="0.25">
      <c r="T16145" s="135"/>
      <c r="U16145" s="135"/>
    </row>
    <row r="16146" spans="20:21" ht="15" customHeight="1" x14ac:dyDescent="0.25">
      <c r="T16146" s="135"/>
      <c r="U16146" s="135"/>
    </row>
    <row r="16147" spans="20:21" ht="15" customHeight="1" x14ac:dyDescent="0.25">
      <c r="T16147" s="135"/>
      <c r="U16147" s="135"/>
    </row>
    <row r="16148" spans="20:21" ht="15" customHeight="1" x14ac:dyDescent="0.25">
      <c r="T16148" s="135"/>
      <c r="U16148" s="135"/>
    </row>
    <row r="16149" spans="20:21" ht="15" customHeight="1" x14ac:dyDescent="0.25">
      <c r="T16149" s="135"/>
      <c r="U16149" s="135"/>
    </row>
    <row r="16150" spans="20:21" ht="15" customHeight="1" x14ac:dyDescent="0.25">
      <c r="T16150" s="135"/>
      <c r="U16150" s="135"/>
    </row>
    <row r="16151" spans="20:21" ht="15" customHeight="1" x14ac:dyDescent="0.25">
      <c r="T16151" s="135"/>
      <c r="U16151" s="135"/>
    </row>
    <row r="16152" spans="20:21" ht="15" customHeight="1" x14ac:dyDescent="0.25">
      <c r="T16152" s="135"/>
      <c r="U16152" s="135"/>
    </row>
    <row r="16153" spans="20:21" ht="15" customHeight="1" x14ac:dyDescent="0.25">
      <c r="T16153" s="135"/>
      <c r="U16153" s="135"/>
    </row>
    <row r="16154" spans="20:21" ht="15" customHeight="1" x14ac:dyDescent="0.25">
      <c r="T16154" s="135"/>
      <c r="U16154" s="135"/>
    </row>
    <row r="16155" spans="20:21" ht="15" customHeight="1" x14ac:dyDescent="0.25">
      <c r="T16155" s="135"/>
      <c r="U16155" s="135"/>
    </row>
    <row r="16156" spans="20:21" ht="15" customHeight="1" x14ac:dyDescent="0.25">
      <c r="T16156" s="135"/>
      <c r="U16156" s="135"/>
    </row>
    <row r="16157" spans="20:21" ht="15" customHeight="1" x14ac:dyDescent="0.25">
      <c r="T16157" s="135"/>
      <c r="U16157" s="135"/>
    </row>
    <row r="16158" spans="20:21" ht="15" customHeight="1" x14ac:dyDescent="0.25">
      <c r="T16158" s="135"/>
      <c r="U16158" s="135"/>
    </row>
    <row r="16159" spans="20:21" ht="15" customHeight="1" x14ac:dyDescent="0.25">
      <c r="T16159" s="135"/>
      <c r="U16159" s="135"/>
    </row>
    <row r="16160" spans="20:21" ht="15" customHeight="1" x14ac:dyDescent="0.25">
      <c r="T16160" s="135"/>
      <c r="U16160" s="135"/>
    </row>
    <row r="16161" spans="20:21" ht="15" customHeight="1" x14ac:dyDescent="0.25">
      <c r="T16161" s="135"/>
      <c r="U16161" s="135"/>
    </row>
    <row r="16162" spans="20:21" ht="15" customHeight="1" x14ac:dyDescent="0.25">
      <c r="T16162" s="135"/>
      <c r="U16162" s="135"/>
    </row>
    <row r="16163" spans="20:21" ht="15" customHeight="1" x14ac:dyDescent="0.25">
      <c r="T16163" s="135"/>
      <c r="U16163" s="135"/>
    </row>
    <row r="16164" spans="20:21" ht="15" customHeight="1" x14ac:dyDescent="0.25">
      <c r="T16164" s="135"/>
      <c r="U16164" s="135"/>
    </row>
    <row r="16165" spans="20:21" ht="15" customHeight="1" x14ac:dyDescent="0.25">
      <c r="T16165" s="135"/>
      <c r="U16165" s="135"/>
    </row>
    <row r="16166" spans="20:21" ht="15" customHeight="1" x14ac:dyDescent="0.25">
      <c r="T16166" s="135"/>
      <c r="U16166" s="135"/>
    </row>
    <row r="16167" spans="20:21" ht="15" customHeight="1" x14ac:dyDescent="0.25">
      <c r="T16167" s="135"/>
      <c r="U16167" s="135"/>
    </row>
    <row r="16168" spans="20:21" ht="15" customHeight="1" x14ac:dyDescent="0.25">
      <c r="T16168" s="135"/>
      <c r="U16168" s="135"/>
    </row>
    <row r="16169" spans="20:21" ht="15" customHeight="1" x14ac:dyDescent="0.25">
      <c r="T16169" s="135"/>
      <c r="U16169" s="135"/>
    </row>
    <row r="16170" spans="20:21" ht="15" customHeight="1" x14ac:dyDescent="0.25">
      <c r="T16170" s="135"/>
      <c r="U16170" s="135"/>
    </row>
    <row r="16171" spans="20:21" ht="15" customHeight="1" x14ac:dyDescent="0.25">
      <c r="T16171" s="135"/>
      <c r="U16171" s="135"/>
    </row>
    <row r="16172" spans="20:21" ht="15" customHeight="1" x14ac:dyDescent="0.25">
      <c r="T16172" s="135"/>
      <c r="U16172" s="135"/>
    </row>
    <row r="16173" spans="20:21" ht="15" customHeight="1" x14ac:dyDescent="0.25">
      <c r="T16173" s="135"/>
      <c r="U16173" s="135"/>
    </row>
    <row r="16174" spans="20:21" ht="15" customHeight="1" x14ac:dyDescent="0.25">
      <c r="T16174" s="135"/>
      <c r="U16174" s="135"/>
    </row>
    <row r="16175" spans="20:21" ht="15" customHeight="1" x14ac:dyDescent="0.25">
      <c r="T16175" s="135"/>
      <c r="U16175" s="135"/>
    </row>
    <row r="16176" spans="20:21" ht="15" customHeight="1" x14ac:dyDescent="0.25">
      <c r="T16176" s="135"/>
      <c r="U16176" s="135"/>
    </row>
    <row r="16177" spans="20:21" ht="15" customHeight="1" x14ac:dyDescent="0.25">
      <c r="T16177" s="135"/>
      <c r="U16177" s="135"/>
    </row>
    <row r="16178" spans="20:21" ht="15" customHeight="1" x14ac:dyDescent="0.25">
      <c r="T16178" s="135"/>
      <c r="U16178" s="135"/>
    </row>
    <row r="16179" spans="20:21" ht="15" customHeight="1" x14ac:dyDescent="0.25">
      <c r="T16179" s="135"/>
      <c r="U16179" s="135"/>
    </row>
    <row r="16180" spans="20:21" ht="15" customHeight="1" x14ac:dyDescent="0.25">
      <c r="T16180" s="135"/>
      <c r="U16180" s="135"/>
    </row>
    <row r="16181" spans="20:21" ht="15" customHeight="1" x14ac:dyDescent="0.25">
      <c r="T16181" s="135"/>
      <c r="U16181" s="135"/>
    </row>
    <row r="16182" spans="20:21" ht="15" customHeight="1" x14ac:dyDescent="0.25">
      <c r="T16182" s="135"/>
      <c r="U16182" s="135"/>
    </row>
    <row r="16183" spans="20:21" ht="15" customHeight="1" x14ac:dyDescent="0.25">
      <c r="T16183" s="135"/>
      <c r="U16183" s="135"/>
    </row>
    <row r="16184" spans="20:21" ht="15" customHeight="1" x14ac:dyDescent="0.25">
      <c r="T16184" s="135"/>
      <c r="U16184" s="135"/>
    </row>
    <row r="16185" spans="20:21" ht="15" customHeight="1" x14ac:dyDescent="0.25">
      <c r="T16185" s="135"/>
      <c r="U16185" s="135"/>
    </row>
    <row r="16186" spans="20:21" ht="15" customHeight="1" x14ac:dyDescent="0.25">
      <c r="T16186" s="135"/>
      <c r="U16186" s="135"/>
    </row>
    <row r="16187" spans="20:21" ht="15" customHeight="1" x14ac:dyDescent="0.25">
      <c r="T16187" s="135"/>
      <c r="U16187" s="135"/>
    </row>
    <row r="16188" spans="20:21" ht="15" customHeight="1" x14ac:dyDescent="0.25">
      <c r="T16188" s="135"/>
      <c r="U16188" s="135"/>
    </row>
    <row r="16189" spans="20:21" ht="15" customHeight="1" x14ac:dyDescent="0.25">
      <c r="T16189" s="135"/>
      <c r="U16189" s="135"/>
    </row>
    <row r="16190" spans="20:21" ht="15" customHeight="1" x14ac:dyDescent="0.25">
      <c r="T16190" s="135"/>
      <c r="U16190" s="135"/>
    </row>
    <row r="16191" spans="20:21" ht="15" customHeight="1" x14ac:dyDescent="0.25">
      <c r="T16191" s="135"/>
      <c r="U16191" s="135"/>
    </row>
    <row r="16192" spans="20:21" ht="15" customHeight="1" x14ac:dyDescent="0.25">
      <c r="T16192" s="135"/>
      <c r="U16192" s="135"/>
    </row>
    <row r="16193" spans="20:21" ht="15" customHeight="1" x14ac:dyDescent="0.25">
      <c r="T16193" s="135"/>
      <c r="U16193" s="135"/>
    </row>
    <row r="16194" spans="20:21" ht="15" customHeight="1" x14ac:dyDescent="0.25">
      <c r="T16194" s="135"/>
      <c r="U16194" s="135"/>
    </row>
    <row r="16195" spans="20:21" ht="15" customHeight="1" x14ac:dyDescent="0.25">
      <c r="T16195" s="135"/>
      <c r="U16195" s="135"/>
    </row>
    <row r="16196" spans="20:21" ht="15" customHeight="1" x14ac:dyDescent="0.25">
      <c r="T16196" s="135"/>
      <c r="U16196" s="135"/>
    </row>
    <row r="16197" spans="20:21" ht="15" customHeight="1" x14ac:dyDescent="0.25">
      <c r="T16197" s="135"/>
      <c r="U16197" s="135"/>
    </row>
    <row r="16198" spans="20:21" ht="15" customHeight="1" x14ac:dyDescent="0.25">
      <c r="T16198" s="135"/>
      <c r="U16198" s="135"/>
    </row>
    <row r="16199" spans="20:21" ht="15" customHeight="1" x14ac:dyDescent="0.25">
      <c r="T16199" s="135"/>
      <c r="U16199" s="135"/>
    </row>
    <row r="16200" spans="20:21" ht="15" customHeight="1" x14ac:dyDescent="0.25">
      <c r="T16200" s="135"/>
      <c r="U16200" s="135"/>
    </row>
    <row r="16201" spans="20:21" ht="15" customHeight="1" x14ac:dyDescent="0.25">
      <c r="T16201" s="135"/>
      <c r="U16201" s="135"/>
    </row>
    <row r="16202" spans="20:21" ht="15" customHeight="1" x14ac:dyDescent="0.25">
      <c r="T16202" s="135"/>
      <c r="U16202" s="135"/>
    </row>
    <row r="16203" spans="20:21" ht="15" customHeight="1" x14ac:dyDescent="0.25">
      <c r="T16203" s="135"/>
      <c r="U16203" s="135"/>
    </row>
    <row r="16204" spans="20:21" ht="15" customHeight="1" x14ac:dyDescent="0.25">
      <c r="T16204" s="135"/>
      <c r="U16204" s="135"/>
    </row>
    <row r="16205" spans="20:21" ht="15" customHeight="1" x14ac:dyDescent="0.25">
      <c r="T16205" s="135"/>
      <c r="U16205" s="135"/>
    </row>
    <row r="16206" spans="20:21" ht="15" customHeight="1" x14ac:dyDescent="0.25">
      <c r="T16206" s="135"/>
      <c r="U16206" s="135"/>
    </row>
    <row r="16207" spans="20:21" ht="15" customHeight="1" x14ac:dyDescent="0.25">
      <c r="T16207" s="135"/>
      <c r="U16207" s="135"/>
    </row>
    <row r="16208" spans="20:21" ht="15" customHeight="1" x14ac:dyDescent="0.25">
      <c r="T16208" s="135"/>
      <c r="U16208" s="135"/>
    </row>
    <row r="16209" spans="20:21" ht="15" customHeight="1" x14ac:dyDescent="0.25">
      <c r="T16209" s="135"/>
      <c r="U16209" s="135"/>
    </row>
    <row r="16210" spans="20:21" ht="15" customHeight="1" x14ac:dyDescent="0.25">
      <c r="T16210" s="135"/>
      <c r="U16210" s="135"/>
    </row>
    <row r="16211" spans="20:21" ht="15" customHeight="1" x14ac:dyDescent="0.25">
      <c r="T16211" s="135"/>
      <c r="U16211" s="135"/>
    </row>
    <row r="16212" spans="20:21" ht="15" customHeight="1" x14ac:dyDescent="0.25">
      <c r="T16212" s="135"/>
      <c r="U16212" s="135"/>
    </row>
    <row r="16213" spans="20:21" ht="15" customHeight="1" x14ac:dyDescent="0.25">
      <c r="T16213" s="135"/>
      <c r="U16213" s="135"/>
    </row>
    <row r="16214" spans="20:21" ht="15" customHeight="1" x14ac:dyDescent="0.25">
      <c r="T16214" s="135"/>
      <c r="U16214" s="135"/>
    </row>
    <row r="16215" spans="20:21" ht="15" customHeight="1" x14ac:dyDescent="0.25">
      <c r="T16215" s="135"/>
      <c r="U16215" s="135"/>
    </row>
    <row r="16216" spans="20:21" ht="15" customHeight="1" x14ac:dyDescent="0.25">
      <c r="T16216" s="135"/>
      <c r="U16216" s="135"/>
    </row>
    <row r="16217" spans="20:21" ht="15" customHeight="1" x14ac:dyDescent="0.25">
      <c r="T16217" s="135"/>
      <c r="U16217" s="135"/>
    </row>
    <row r="16218" spans="20:21" ht="15" customHeight="1" x14ac:dyDescent="0.25">
      <c r="T16218" s="135"/>
      <c r="U16218" s="135"/>
    </row>
    <row r="16219" spans="20:21" ht="15" customHeight="1" x14ac:dyDescent="0.25">
      <c r="T16219" s="135"/>
      <c r="U16219" s="135"/>
    </row>
    <row r="16220" spans="20:21" ht="15" customHeight="1" x14ac:dyDescent="0.25">
      <c r="T16220" s="135"/>
      <c r="U16220" s="135"/>
    </row>
    <row r="16221" spans="20:21" ht="15" customHeight="1" x14ac:dyDescent="0.25">
      <c r="T16221" s="135"/>
      <c r="U16221" s="135"/>
    </row>
    <row r="16222" spans="20:21" ht="15" customHeight="1" x14ac:dyDescent="0.25">
      <c r="T16222" s="135"/>
      <c r="U16222" s="135"/>
    </row>
    <row r="16223" spans="20:21" ht="15" customHeight="1" x14ac:dyDescent="0.25">
      <c r="T16223" s="135"/>
      <c r="U16223" s="135"/>
    </row>
    <row r="16224" spans="20:21" ht="15" customHeight="1" x14ac:dyDescent="0.25">
      <c r="T16224" s="135"/>
      <c r="U16224" s="135"/>
    </row>
    <row r="16225" spans="20:21" ht="15" customHeight="1" x14ac:dyDescent="0.25">
      <c r="T16225" s="135"/>
      <c r="U16225" s="135"/>
    </row>
    <row r="16226" spans="20:21" ht="15" customHeight="1" x14ac:dyDescent="0.25">
      <c r="T16226" s="135"/>
      <c r="U16226" s="135"/>
    </row>
    <row r="16227" spans="20:21" ht="15" customHeight="1" x14ac:dyDescent="0.25">
      <c r="T16227" s="135"/>
      <c r="U16227" s="135"/>
    </row>
    <row r="16228" spans="20:21" ht="15" customHeight="1" x14ac:dyDescent="0.25">
      <c r="T16228" s="135"/>
      <c r="U16228" s="135"/>
    </row>
    <row r="16229" spans="20:21" ht="15" customHeight="1" x14ac:dyDescent="0.25">
      <c r="T16229" s="135"/>
      <c r="U16229" s="135"/>
    </row>
    <row r="16230" spans="20:21" ht="15" customHeight="1" x14ac:dyDescent="0.25">
      <c r="T16230" s="135"/>
      <c r="U16230" s="135"/>
    </row>
    <row r="16231" spans="20:21" ht="15" customHeight="1" x14ac:dyDescent="0.25">
      <c r="T16231" s="135"/>
      <c r="U16231" s="135"/>
    </row>
    <row r="16232" spans="20:21" ht="15" customHeight="1" x14ac:dyDescent="0.25">
      <c r="T16232" s="135"/>
      <c r="U16232" s="135"/>
    </row>
    <row r="16233" spans="20:21" ht="15" customHeight="1" x14ac:dyDescent="0.25">
      <c r="T16233" s="135"/>
      <c r="U16233" s="135"/>
    </row>
    <row r="16234" spans="20:21" ht="15" customHeight="1" x14ac:dyDescent="0.25">
      <c r="T16234" s="135"/>
      <c r="U16234" s="135"/>
    </row>
    <row r="16235" spans="20:21" ht="15" customHeight="1" x14ac:dyDescent="0.25">
      <c r="T16235" s="135"/>
      <c r="U16235" s="135"/>
    </row>
    <row r="16236" spans="20:21" ht="15" customHeight="1" x14ac:dyDescent="0.25">
      <c r="T16236" s="135"/>
      <c r="U16236" s="135"/>
    </row>
    <row r="16237" spans="20:21" ht="15" customHeight="1" x14ac:dyDescent="0.25">
      <c r="T16237" s="135"/>
      <c r="U16237" s="135"/>
    </row>
    <row r="16238" spans="20:21" ht="15" customHeight="1" x14ac:dyDescent="0.25">
      <c r="T16238" s="135"/>
      <c r="U16238" s="135"/>
    </row>
    <row r="16239" spans="20:21" ht="15" customHeight="1" x14ac:dyDescent="0.25">
      <c r="T16239" s="135"/>
      <c r="U16239" s="135"/>
    </row>
    <row r="16240" spans="20:21" ht="15" customHeight="1" x14ac:dyDescent="0.25">
      <c r="T16240" s="135"/>
      <c r="U16240" s="135"/>
    </row>
    <row r="16241" spans="20:21" ht="15" customHeight="1" x14ac:dyDescent="0.25">
      <c r="T16241" s="135"/>
      <c r="U16241" s="135"/>
    </row>
    <row r="16242" spans="20:21" ht="15" customHeight="1" x14ac:dyDescent="0.25">
      <c r="T16242" s="135"/>
      <c r="U16242" s="135"/>
    </row>
    <row r="16243" spans="20:21" ht="15" customHeight="1" x14ac:dyDescent="0.25">
      <c r="T16243" s="135"/>
      <c r="U16243" s="135"/>
    </row>
    <row r="16244" spans="20:21" ht="15" customHeight="1" x14ac:dyDescent="0.25">
      <c r="T16244" s="135"/>
      <c r="U16244" s="135"/>
    </row>
    <row r="16245" spans="20:21" ht="15" customHeight="1" x14ac:dyDescent="0.25">
      <c r="T16245" s="135"/>
      <c r="U16245" s="135"/>
    </row>
    <row r="16246" spans="20:21" ht="15" customHeight="1" x14ac:dyDescent="0.25">
      <c r="T16246" s="135"/>
      <c r="U16246" s="135"/>
    </row>
    <row r="16247" spans="20:21" ht="15" customHeight="1" x14ac:dyDescent="0.25">
      <c r="T16247" s="135"/>
      <c r="U16247" s="135"/>
    </row>
    <row r="16248" spans="20:21" ht="15" customHeight="1" x14ac:dyDescent="0.25">
      <c r="T16248" s="135"/>
      <c r="U16248" s="135"/>
    </row>
    <row r="16249" spans="20:21" ht="15" customHeight="1" x14ac:dyDescent="0.25">
      <c r="T16249" s="135"/>
      <c r="U16249" s="135"/>
    </row>
    <row r="16250" spans="20:21" ht="15" customHeight="1" x14ac:dyDescent="0.25">
      <c r="T16250" s="135"/>
      <c r="U16250" s="135"/>
    </row>
    <row r="16251" spans="20:21" ht="15" customHeight="1" x14ac:dyDescent="0.25">
      <c r="T16251" s="135"/>
      <c r="U16251" s="135"/>
    </row>
    <row r="16252" spans="20:21" ht="15" customHeight="1" x14ac:dyDescent="0.25">
      <c r="T16252" s="135"/>
      <c r="U16252" s="135"/>
    </row>
    <row r="16253" spans="20:21" ht="15" customHeight="1" x14ac:dyDescent="0.25">
      <c r="T16253" s="135"/>
      <c r="U16253" s="135"/>
    </row>
    <row r="16254" spans="20:21" ht="15" customHeight="1" x14ac:dyDescent="0.25">
      <c r="T16254" s="135"/>
      <c r="U16254" s="135"/>
    </row>
    <row r="16255" spans="20:21" ht="15" customHeight="1" x14ac:dyDescent="0.25">
      <c r="T16255" s="135"/>
      <c r="U16255" s="135"/>
    </row>
    <row r="16256" spans="20:21" ht="15" customHeight="1" x14ac:dyDescent="0.25">
      <c r="T16256" s="135"/>
      <c r="U16256" s="135"/>
    </row>
    <row r="16257" spans="20:21" ht="15" customHeight="1" x14ac:dyDescent="0.25">
      <c r="T16257" s="135"/>
      <c r="U16257" s="135"/>
    </row>
    <row r="16258" spans="20:21" ht="15" customHeight="1" x14ac:dyDescent="0.25">
      <c r="T16258" s="135"/>
      <c r="U16258" s="135"/>
    </row>
    <row r="16259" spans="20:21" ht="15" customHeight="1" x14ac:dyDescent="0.25">
      <c r="T16259" s="135"/>
      <c r="U16259" s="135"/>
    </row>
    <row r="16260" spans="20:21" ht="15" customHeight="1" x14ac:dyDescent="0.25">
      <c r="T16260" s="135"/>
      <c r="U16260" s="135"/>
    </row>
    <row r="16261" spans="20:21" ht="15" customHeight="1" x14ac:dyDescent="0.25">
      <c r="T16261" s="135"/>
      <c r="U16261" s="135"/>
    </row>
    <row r="16262" spans="20:21" ht="15" customHeight="1" x14ac:dyDescent="0.25">
      <c r="T16262" s="135"/>
      <c r="U16262" s="135"/>
    </row>
    <row r="16263" spans="20:21" ht="15" customHeight="1" x14ac:dyDescent="0.25">
      <c r="T16263" s="135"/>
      <c r="U16263" s="135"/>
    </row>
    <row r="16264" spans="20:21" ht="15" customHeight="1" x14ac:dyDescent="0.25">
      <c r="T16264" s="135"/>
      <c r="U16264" s="135"/>
    </row>
    <row r="16265" spans="20:21" ht="15" customHeight="1" x14ac:dyDescent="0.25">
      <c r="T16265" s="135"/>
      <c r="U16265" s="135"/>
    </row>
    <row r="16266" spans="20:21" ht="15" customHeight="1" x14ac:dyDescent="0.25">
      <c r="T16266" s="135"/>
      <c r="U16266" s="135"/>
    </row>
    <row r="16267" spans="20:21" ht="15" customHeight="1" x14ac:dyDescent="0.25">
      <c r="T16267" s="135"/>
      <c r="U16267" s="135"/>
    </row>
    <row r="16268" spans="20:21" ht="15" customHeight="1" x14ac:dyDescent="0.25">
      <c r="T16268" s="135"/>
      <c r="U16268" s="135"/>
    </row>
    <row r="16269" spans="20:21" ht="15" customHeight="1" x14ac:dyDescent="0.25">
      <c r="T16269" s="135"/>
      <c r="U16269" s="135"/>
    </row>
    <row r="16270" spans="20:21" ht="15" customHeight="1" x14ac:dyDescent="0.25">
      <c r="T16270" s="135"/>
      <c r="U16270" s="135"/>
    </row>
    <row r="16271" spans="20:21" ht="15" customHeight="1" x14ac:dyDescent="0.25">
      <c r="T16271" s="135"/>
      <c r="U16271" s="135"/>
    </row>
    <row r="16272" spans="20:21" ht="15" customHeight="1" x14ac:dyDescent="0.25">
      <c r="T16272" s="135"/>
      <c r="U16272" s="135"/>
    </row>
    <row r="16273" spans="20:21" ht="15" customHeight="1" x14ac:dyDescent="0.25">
      <c r="T16273" s="135"/>
      <c r="U16273" s="135"/>
    </row>
    <row r="16274" spans="20:21" ht="15" customHeight="1" x14ac:dyDescent="0.25">
      <c r="T16274" s="135"/>
      <c r="U16274" s="135"/>
    </row>
    <row r="16275" spans="20:21" ht="15" customHeight="1" x14ac:dyDescent="0.25">
      <c r="T16275" s="135"/>
      <c r="U16275" s="135"/>
    </row>
    <row r="16276" spans="20:21" ht="15" customHeight="1" x14ac:dyDescent="0.25">
      <c r="T16276" s="135"/>
      <c r="U16276" s="135"/>
    </row>
    <row r="16277" spans="20:21" ht="15" customHeight="1" x14ac:dyDescent="0.25">
      <c r="T16277" s="135"/>
      <c r="U16277" s="135"/>
    </row>
    <row r="16278" spans="20:21" ht="15" customHeight="1" x14ac:dyDescent="0.25">
      <c r="T16278" s="135"/>
      <c r="U16278" s="135"/>
    </row>
    <row r="16279" spans="20:21" ht="15" customHeight="1" x14ac:dyDescent="0.25">
      <c r="T16279" s="135"/>
      <c r="U16279" s="135"/>
    </row>
    <row r="16280" spans="20:21" ht="15" customHeight="1" x14ac:dyDescent="0.25">
      <c r="T16280" s="135"/>
      <c r="U16280" s="135"/>
    </row>
    <row r="16281" spans="20:21" ht="15" customHeight="1" x14ac:dyDescent="0.25">
      <c r="T16281" s="135"/>
      <c r="U16281" s="135"/>
    </row>
    <row r="16282" spans="20:21" ht="15" customHeight="1" x14ac:dyDescent="0.25">
      <c r="T16282" s="135"/>
      <c r="U16282" s="135"/>
    </row>
    <row r="16283" spans="20:21" ht="15" customHeight="1" x14ac:dyDescent="0.25">
      <c r="T16283" s="135"/>
      <c r="U16283" s="135"/>
    </row>
    <row r="16284" spans="20:21" ht="15" customHeight="1" x14ac:dyDescent="0.25">
      <c r="T16284" s="135"/>
      <c r="U16284" s="135"/>
    </row>
    <row r="16285" spans="20:21" ht="15" customHeight="1" x14ac:dyDescent="0.25">
      <c r="T16285" s="135"/>
      <c r="U16285" s="135"/>
    </row>
    <row r="16286" spans="20:21" ht="15" customHeight="1" x14ac:dyDescent="0.25">
      <c r="T16286" s="135"/>
      <c r="U16286" s="135"/>
    </row>
    <row r="16287" spans="20:21" ht="15" customHeight="1" x14ac:dyDescent="0.25">
      <c r="T16287" s="135"/>
      <c r="U16287" s="135"/>
    </row>
    <row r="16288" spans="20:21" ht="15" customHeight="1" x14ac:dyDescent="0.25">
      <c r="T16288" s="135"/>
      <c r="U16288" s="135"/>
    </row>
    <row r="16289" spans="20:21" ht="15" customHeight="1" x14ac:dyDescent="0.25">
      <c r="T16289" s="135"/>
      <c r="U16289" s="135"/>
    </row>
    <row r="16290" spans="20:21" ht="15" customHeight="1" x14ac:dyDescent="0.25">
      <c r="T16290" s="135"/>
      <c r="U16290" s="135"/>
    </row>
    <row r="16291" spans="20:21" ht="15" customHeight="1" x14ac:dyDescent="0.25">
      <c r="T16291" s="135"/>
      <c r="U16291" s="135"/>
    </row>
    <row r="16292" spans="20:21" ht="15" customHeight="1" x14ac:dyDescent="0.25">
      <c r="T16292" s="135"/>
      <c r="U16292" s="135"/>
    </row>
    <row r="16293" spans="20:21" ht="15" customHeight="1" x14ac:dyDescent="0.25">
      <c r="T16293" s="135"/>
      <c r="U16293" s="135"/>
    </row>
    <row r="16294" spans="20:21" ht="15" customHeight="1" x14ac:dyDescent="0.25">
      <c r="T16294" s="135"/>
      <c r="U16294" s="135"/>
    </row>
    <row r="16295" spans="20:21" ht="15" customHeight="1" x14ac:dyDescent="0.25">
      <c r="T16295" s="135"/>
      <c r="U16295" s="135"/>
    </row>
    <row r="16296" spans="20:21" ht="15" customHeight="1" x14ac:dyDescent="0.25">
      <c r="T16296" s="135"/>
      <c r="U16296" s="135"/>
    </row>
    <row r="16297" spans="20:21" ht="15" customHeight="1" x14ac:dyDescent="0.25">
      <c r="T16297" s="135"/>
      <c r="U16297" s="135"/>
    </row>
    <row r="16298" spans="20:21" ht="15" customHeight="1" x14ac:dyDescent="0.25">
      <c r="T16298" s="135"/>
      <c r="U16298" s="135"/>
    </row>
    <row r="16299" spans="20:21" ht="15" customHeight="1" x14ac:dyDescent="0.25">
      <c r="T16299" s="135"/>
      <c r="U16299" s="135"/>
    </row>
    <row r="16300" spans="20:21" ht="15" customHeight="1" x14ac:dyDescent="0.25">
      <c r="T16300" s="135"/>
      <c r="U16300" s="135"/>
    </row>
    <row r="16301" spans="20:21" ht="15" customHeight="1" x14ac:dyDescent="0.25">
      <c r="T16301" s="135"/>
      <c r="U16301" s="135"/>
    </row>
    <row r="16302" spans="20:21" ht="15" customHeight="1" x14ac:dyDescent="0.25">
      <c r="T16302" s="135"/>
      <c r="U16302" s="135"/>
    </row>
    <row r="16303" spans="20:21" ht="15" customHeight="1" x14ac:dyDescent="0.25">
      <c r="T16303" s="135"/>
      <c r="U16303" s="135"/>
    </row>
    <row r="16304" spans="20:21" ht="15" customHeight="1" x14ac:dyDescent="0.25">
      <c r="T16304" s="135"/>
      <c r="U16304" s="135"/>
    </row>
    <row r="16305" spans="20:21" ht="15" customHeight="1" x14ac:dyDescent="0.25">
      <c r="T16305" s="135"/>
      <c r="U16305" s="135"/>
    </row>
    <row r="16306" spans="20:21" ht="15" customHeight="1" x14ac:dyDescent="0.25">
      <c r="T16306" s="135"/>
      <c r="U16306" s="135"/>
    </row>
    <row r="16307" spans="20:21" ht="15" customHeight="1" x14ac:dyDescent="0.25">
      <c r="T16307" s="135"/>
      <c r="U16307" s="135"/>
    </row>
    <row r="16308" spans="20:21" ht="15" customHeight="1" x14ac:dyDescent="0.25">
      <c r="T16308" s="135"/>
      <c r="U16308" s="135"/>
    </row>
    <row r="16309" spans="20:21" ht="15" customHeight="1" x14ac:dyDescent="0.25">
      <c r="T16309" s="135"/>
      <c r="U16309" s="135"/>
    </row>
    <row r="16310" spans="20:21" ht="15" customHeight="1" x14ac:dyDescent="0.25">
      <c r="T16310" s="135"/>
      <c r="U16310" s="135"/>
    </row>
    <row r="16311" spans="20:21" ht="15" customHeight="1" x14ac:dyDescent="0.25">
      <c r="T16311" s="135"/>
      <c r="U16311" s="135"/>
    </row>
    <row r="16312" spans="20:21" ht="15" customHeight="1" x14ac:dyDescent="0.25">
      <c r="T16312" s="135"/>
      <c r="U16312" s="135"/>
    </row>
    <row r="16313" spans="20:21" ht="15" customHeight="1" x14ac:dyDescent="0.25">
      <c r="T16313" s="135"/>
      <c r="U16313" s="135"/>
    </row>
    <row r="16314" spans="20:21" ht="15" customHeight="1" x14ac:dyDescent="0.25">
      <c r="T16314" s="135"/>
      <c r="U16314" s="135"/>
    </row>
    <row r="16315" spans="20:21" ht="15" customHeight="1" x14ac:dyDescent="0.25">
      <c r="T16315" s="135"/>
      <c r="U16315" s="135"/>
    </row>
    <row r="16316" spans="20:21" ht="15" customHeight="1" x14ac:dyDescent="0.25">
      <c r="T16316" s="135"/>
      <c r="U16316" s="135"/>
    </row>
    <row r="16317" spans="20:21" ht="15" customHeight="1" x14ac:dyDescent="0.25">
      <c r="T16317" s="135"/>
      <c r="U16317" s="135"/>
    </row>
    <row r="16318" spans="20:21" ht="15" customHeight="1" x14ac:dyDescent="0.25">
      <c r="T16318" s="135"/>
      <c r="U16318" s="135"/>
    </row>
    <row r="16319" spans="20:21" ht="15" customHeight="1" x14ac:dyDescent="0.25">
      <c r="T16319" s="135"/>
      <c r="U16319" s="135"/>
    </row>
    <row r="16320" spans="20:21" ht="15" customHeight="1" x14ac:dyDescent="0.25">
      <c r="T16320" s="135"/>
      <c r="U16320" s="135"/>
    </row>
    <row r="16321" spans="20:21" ht="15" customHeight="1" x14ac:dyDescent="0.25">
      <c r="T16321" s="135"/>
      <c r="U16321" s="135"/>
    </row>
    <row r="16322" spans="20:21" ht="15" customHeight="1" x14ac:dyDescent="0.25">
      <c r="T16322" s="135"/>
      <c r="U16322" s="135"/>
    </row>
    <row r="16323" spans="20:21" ht="15" customHeight="1" x14ac:dyDescent="0.25">
      <c r="T16323" s="135"/>
      <c r="U16323" s="135"/>
    </row>
    <row r="16324" spans="20:21" ht="15" customHeight="1" x14ac:dyDescent="0.25">
      <c r="T16324" s="135"/>
      <c r="U16324" s="135"/>
    </row>
    <row r="16325" spans="20:21" ht="15" customHeight="1" x14ac:dyDescent="0.25">
      <c r="T16325" s="135"/>
      <c r="U16325" s="135"/>
    </row>
    <row r="16326" spans="20:21" ht="15" customHeight="1" x14ac:dyDescent="0.25">
      <c r="T16326" s="135"/>
      <c r="U16326" s="135"/>
    </row>
    <row r="16327" spans="20:21" ht="15" customHeight="1" x14ac:dyDescent="0.25">
      <c r="T16327" s="135"/>
      <c r="U16327" s="135"/>
    </row>
    <row r="16328" spans="20:21" ht="15" customHeight="1" x14ac:dyDescent="0.25">
      <c r="T16328" s="135"/>
      <c r="U16328" s="135"/>
    </row>
    <row r="16329" spans="20:21" ht="15" customHeight="1" x14ac:dyDescent="0.25">
      <c r="T16329" s="135"/>
      <c r="U16329" s="135"/>
    </row>
    <row r="16330" spans="20:21" ht="15" customHeight="1" x14ac:dyDescent="0.25">
      <c r="T16330" s="135"/>
      <c r="U16330" s="135"/>
    </row>
    <row r="16331" spans="20:21" ht="15" customHeight="1" x14ac:dyDescent="0.25">
      <c r="T16331" s="135"/>
      <c r="U16331" s="135"/>
    </row>
    <row r="16332" spans="20:21" ht="15" customHeight="1" x14ac:dyDescent="0.25">
      <c r="T16332" s="135"/>
      <c r="U16332" s="135"/>
    </row>
    <row r="16333" spans="20:21" ht="15" customHeight="1" x14ac:dyDescent="0.25">
      <c r="T16333" s="135"/>
      <c r="U16333" s="135"/>
    </row>
    <row r="16334" spans="20:21" ht="15" customHeight="1" x14ac:dyDescent="0.25">
      <c r="T16334" s="135"/>
      <c r="U16334" s="135"/>
    </row>
    <row r="16335" spans="20:21" ht="15" customHeight="1" x14ac:dyDescent="0.25">
      <c r="T16335" s="135"/>
      <c r="U16335" s="135"/>
    </row>
    <row r="16336" spans="20:21" ht="15" customHeight="1" x14ac:dyDescent="0.25">
      <c r="T16336" s="135"/>
      <c r="U16336" s="135"/>
    </row>
    <row r="16337" spans="20:21" ht="15" customHeight="1" x14ac:dyDescent="0.25">
      <c r="T16337" s="135"/>
      <c r="U16337" s="135"/>
    </row>
    <row r="16338" spans="20:21" ht="15" customHeight="1" x14ac:dyDescent="0.25">
      <c r="T16338" s="135"/>
      <c r="U16338" s="135"/>
    </row>
    <row r="16339" spans="20:21" ht="15" customHeight="1" x14ac:dyDescent="0.25">
      <c r="T16339" s="135"/>
      <c r="U16339" s="135"/>
    </row>
    <row r="16340" spans="20:21" ht="15" customHeight="1" x14ac:dyDescent="0.25">
      <c r="T16340" s="135"/>
      <c r="U16340" s="135"/>
    </row>
    <row r="16341" spans="20:21" ht="15" customHeight="1" x14ac:dyDescent="0.25">
      <c r="T16341" s="135"/>
      <c r="U16341" s="135"/>
    </row>
    <row r="16342" spans="20:21" ht="15" customHeight="1" x14ac:dyDescent="0.25">
      <c r="T16342" s="135"/>
      <c r="U16342" s="135"/>
    </row>
    <row r="16343" spans="20:21" ht="15" customHeight="1" x14ac:dyDescent="0.25">
      <c r="T16343" s="135"/>
      <c r="U16343" s="135"/>
    </row>
    <row r="16344" spans="20:21" ht="15" customHeight="1" x14ac:dyDescent="0.25">
      <c r="T16344" s="135"/>
      <c r="U16344" s="135"/>
    </row>
    <row r="16345" spans="20:21" ht="15" customHeight="1" x14ac:dyDescent="0.25">
      <c r="T16345" s="135"/>
      <c r="U16345" s="135"/>
    </row>
    <row r="16346" spans="20:21" ht="15" customHeight="1" x14ac:dyDescent="0.25">
      <c r="T16346" s="135"/>
      <c r="U16346" s="135"/>
    </row>
    <row r="16347" spans="20:21" ht="15" customHeight="1" x14ac:dyDescent="0.25">
      <c r="T16347" s="135"/>
      <c r="U16347" s="135"/>
    </row>
    <row r="16348" spans="20:21" ht="15" customHeight="1" x14ac:dyDescent="0.25">
      <c r="T16348" s="135"/>
      <c r="U16348" s="135"/>
    </row>
    <row r="16349" spans="20:21" ht="15" customHeight="1" x14ac:dyDescent="0.25">
      <c r="T16349" s="135"/>
      <c r="U16349" s="135"/>
    </row>
    <row r="16350" spans="20:21" ht="15" customHeight="1" x14ac:dyDescent="0.25">
      <c r="T16350" s="135"/>
      <c r="U16350" s="135"/>
    </row>
    <row r="16351" spans="20:21" ht="15" customHeight="1" x14ac:dyDescent="0.25">
      <c r="T16351" s="135"/>
      <c r="U16351" s="135"/>
    </row>
    <row r="16352" spans="20:21" ht="15" customHeight="1" x14ac:dyDescent="0.25">
      <c r="T16352" s="135"/>
      <c r="U16352" s="135"/>
    </row>
    <row r="16353" spans="20:21" ht="15" customHeight="1" x14ac:dyDescent="0.25">
      <c r="T16353" s="135"/>
      <c r="U16353" s="135"/>
    </row>
    <row r="16354" spans="20:21" ht="15" customHeight="1" x14ac:dyDescent="0.25">
      <c r="T16354" s="135"/>
      <c r="U16354" s="135"/>
    </row>
    <row r="16355" spans="20:21" ht="15" customHeight="1" x14ac:dyDescent="0.25">
      <c r="T16355" s="135"/>
      <c r="U16355" s="135"/>
    </row>
    <row r="16356" spans="20:21" ht="15" customHeight="1" x14ac:dyDescent="0.25">
      <c r="T16356" s="135"/>
      <c r="U16356" s="135"/>
    </row>
    <row r="16357" spans="20:21" ht="15" customHeight="1" x14ac:dyDescent="0.25">
      <c r="T16357" s="135"/>
      <c r="U16357" s="135"/>
    </row>
    <row r="16358" spans="20:21" ht="15" customHeight="1" x14ac:dyDescent="0.25">
      <c r="T16358" s="135"/>
      <c r="U16358" s="135"/>
    </row>
    <row r="16359" spans="20:21" ht="15" customHeight="1" x14ac:dyDescent="0.25">
      <c r="T16359" s="135"/>
      <c r="U16359" s="135"/>
    </row>
    <row r="16360" spans="20:21" ht="15" customHeight="1" x14ac:dyDescent="0.25">
      <c r="T16360" s="135"/>
      <c r="U16360" s="135"/>
    </row>
    <row r="16361" spans="20:21" ht="15" customHeight="1" x14ac:dyDescent="0.25">
      <c r="T16361" s="135"/>
      <c r="U16361" s="135"/>
    </row>
    <row r="16362" spans="20:21" ht="15" customHeight="1" x14ac:dyDescent="0.25">
      <c r="T16362" s="135"/>
      <c r="U16362" s="135"/>
    </row>
    <row r="16363" spans="20:21" ht="15" customHeight="1" x14ac:dyDescent="0.25">
      <c r="T16363" s="135"/>
      <c r="U16363" s="135"/>
    </row>
    <row r="16364" spans="20:21" ht="15" customHeight="1" x14ac:dyDescent="0.25">
      <c r="T16364" s="135"/>
      <c r="U16364" s="135"/>
    </row>
    <row r="16365" spans="20:21" ht="15" customHeight="1" x14ac:dyDescent="0.25">
      <c r="T16365" s="135"/>
      <c r="U16365" s="135"/>
    </row>
    <row r="16366" spans="20:21" ht="15" customHeight="1" x14ac:dyDescent="0.25">
      <c r="T16366" s="135"/>
      <c r="U16366" s="135"/>
    </row>
    <row r="16367" spans="20:21" ht="15" customHeight="1" x14ac:dyDescent="0.25">
      <c r="T16367" s="135"/>
      <c r="U16367" s="135"/>
    </row>
    <row r="16368" spans="20:21" ht="15" customHeight="1" x14ac:dyDescent="0.25">
      <c r="T16368" s="135"/>
      <c r="U16368" s="135"/>
    </row>
    <row r="16369" spans="20:21" ht="15" customHeight="1" x14ac:dyDescent="0.25">
      <c r="T16369" s="135"/>
      <c r="U16369" s="135"/>
    </row>
    <row r="16370" spans="20:21" ht="15" customHeight="1" x14ac:dyDescent="0.25">
      <c r="T16370" s="135"/>
      <c r="U16370" s="135"/>
    </row>
    <row r="16371" spans="20:21" ht="15" customHeight="1" x14ac:dyDescent="0.25">
      <c r="T16371" s="135"/>
      <c r="U16371" s="135"/>
    </row>
    <row r="16372" spans="20:21" ht="15" customHeight="1" x14ac:dyDescent="0.25">
      <c r="T16372" s="135"/>
      <c r="U16372" s="135"/>
    </row>
    <row r="16373" spans="20:21" ht="15" customHeight="1" x14ac:dyDescent="0.25">
      <c r="T16373" s="135"/>
      <c r="U16373" s="135"/>
    </row>
    <row r="16374" spans="20:21" ht="15" customHeight="1" x14ac:dyDescent="0.25">
      <c r="T16374" s="135"/>
      <c r="U16374" s="135"/>
    </row>
    <row r="16375" spans="20:21" ht="15" customHeight="1" x14ac:dyDescent="0.25">
      <c r="T16375" s="135"/>
      <c r="U16375" s="135"/>
    </row>
    <row r="16376" spans="20:21" ht="15" customHeight="1" x14ac:dyDescent="0.25">
      <c r="T16376" s="135"/>
      <c r="U16376" s="135"/>
    </row>
    <row r="16377" spans="20:21" ht="15" customHeight="1" x14ac:dyDescent="0.25">
      <c r="T16377" s="135"/>
      <c r="U16377" s="135"/>
    </row>
    <row r="16378" spans="20:21" ht="15" customHeight="1" x14ac:dyDescent="0.25">
      <c r="T16378" s="135"/>
      <c r="U16378" s="135"/>
    </row>
    <row r="16379" spans="20:21" ht="15" customHeight="1" x14ac:dyDescent="0.25">
      <c r="T16379" s="135"/>
      <c r="U16379" s="135"/>
    </row>
    <row r="16380" spans="20:21" ht="15" customHeight="1" x14ac:dyDescent="0.25">
      <c r="T16380" s="135"/>
      <c r="U16380" s="135"/>
    </row>
    <row r="16381" spans="20:21" ht="15" customHeight="1" x14ac:dyDescent="0.25">
      <c r="T16381" s="135"/>
      <c r="U16381" s="135"/>
    </row>
    <row r="16382" spans="20:21" ht="15" customHeight="1" x14ac:dyDescent="0.25">
      <c r="T16382" s="135"/>
      <c r="U16382" s="135"/>
    </row>
    <row r="16383" spans="20:21" ht="15" customHeight="1" x14ac:dyDescent="0.25">
      <c r="T16383" s="135"/>
      <c r="U16383" s="135"/>
    </row>
    <row r="16384" spans="20:21" ht="15" customHeight="1" x14ac:dyDescent="0.25">
      <c r="T16384" s="135"/>
      <c r="U16384" s="135"/>
    </row>
    <row r="16385" spans="20:21" ht="15" customHeight="1" x14ac:dyDescent="0.25">
      <c r="T16385" s="135"/>
      <c r="U16385" s="135"/>
    </row>
    <row r="16386" spans="20:21" ht="15" customHeight="1" x14ac:dyDescent="0.25">
      <c r="T16386" s="135"/>
      <c r="U16386" s="135"/>
    </row>
    <row r="16387" spans="20:21" ht="15" customHeight="1" x14ac:dyDescent="0.25">
      <c r="T16387" s="135"/>
      <c r="U16387" s="135"/>
    </row>
    <row r="16388" spans="20:21" ht="15" customHeight="1" x14ac:dyDescent="0.25">
      <c r="T16388" s="135"/>
      <c r="U16388" s="135"/>
    </row>
    <row r="16389" spans="20:21" ht="15" customHeight="1" x14ac:dyDescent="0.25">
      <c r="T16389" s="135"/>
      <c r="U16389" s="135"/>
    </row>
    <row r="16390" spans="20:21" ht="15" customHeight="1" x14ac:dyDescent="0.25">
      <c r="T16390" s="135"/>
      <c r="U16390" s="135"/>
    </row>
    <row r="16391" spans="20:21" ht="15" customHeight="1" x14ac:dyDescent="0.25">
      <c r="T16391" s="135"/>
      <c r="U16391" s="135"/>
    </row>
    <row r="16392" spans="20:21" ht="15" customHeight="1" x14ac:dyDescent="0.25">
      <c r="T16392" s="135"/>
      <c r="U16392" s="135"/>
    </row>
    <row r="16393" spans="20:21" ht="15" customHeight="1" x14ac:dyDescent="0.25">
      <c r="T16393" s="135"/>
      <c r="U16393" s="135"/>
    </row>
    <row r="16394" spans="20:21" ht="15" customHeight="1" x14ac:dyDescent="0.25">
      <c r="T16394" s="135"/>
      <c r="U16394" s="135"/>
    </row>
    <row r="16395" spans="20:21" ht="15" customHeight="1" x14ac:dyDescent="0.25">
      <c r="T16395" s="135"/>
      <c r="U16395" s="135"/>
    </row>
    <row r="16396" spans="20:21" ht="15" customHeight="1" x14ac:dyDescent="0.25">
      <c r="T16396" s="135"/>
      <c r="U16396" s="135"/>
    </row>
    <row r="16397" spans="20:21" ht="15" customHeight="1" x14ac:dyDescent="0.25">
      <c r="T16397" s="135"/>
      <c r="U16397" s="135"/>
    </row>
    <row r="16398" spans="20:21" ht="15" customHeight="1" x14ac:dyDescent="0.25">
      <c r="T16398" s="135"/>
      <c r="U16398" s="135"/>
    </row>
    <row r="16399" spans="20:21" ht="15" customHeight="1" x14ac:dyDescent="0.25">
      <c r="T16399" s="135"/>
      <c r="U16399" s="135"/>
    </row>
    <row r="16400" spans="20:21" ht="15" customHeight="1" x14ac:dyDescent="0.25">
      <c r="T16400" s="135"/>
      <c r="U16400" s="135"/>
    </row>
    <row r="16401" spans="20:21" ht="15" customHeight="1" x14ac:dyDescent="0.25">
      <c r="T16401" s="135"/>
      <c r="U16401" s="135"/>
    </row>
    <row r="16402" spans="20:21" ht="15" customHeight="1" x14ac:dyDescent="0.25">
      <c r="T16402" s="135"/>
      <c r="U16402" s="135"/>
    </row>
    <row r="16403" spans="20:21" ht="15" customHeight="1" x14ac:dyDescent="0.25">
      <c r="T16403" s="135"/>
      <c r="U16403" s="135"/>
    </row>
    <row r="16404" spans="20:21" ht="15" customHeight="1" x14ac:dyDescent="0.25">
      <c r="T16404" s="135"/>
      <c r="U16404" s="135"/>
    </row>
    <row r="16405" spans="20:21" ht="15" customHeight="1" x14ac:dyDescent="0.25">
      <c r="T16405" s="135"/>
      <c r="U16405" s="135"/>
    </row>
    <row r="16406" spans="20:21" ht="15" customHeight="1" x14ac:dyDescent="0.25">
      <c r="T16406" s="135"/>
      <c r="U16406" s="135"/>
    </row>
    <row r="16407" spans="20:21" ht="15" customHeight="1" x14ac:dyDescent="0.25">
      <c r="T16407" s="135"/>
      <c r="U16407" s="135"/>
    </row>
    <row r="16408" spans="20:21" ht="15" customHeight="1" x14ac:dyDescent="0.25">
      <c r="T16408" s="135"/>
      <c r="U16408" s="135"/>
    </row>
    <row r="16409" spans="20:21" ht="15" customHeight="1" x14ac:dyDescent="0.25">
      <c r="T16409" s="135"/>
      <c r="U16409" s="135"/>
    </row>
    <row r="16410" spans="20:21" ht="15" customHeight="1" x14ac:dyDescent="0.25">
      <c r="T16410" s="135"/>
      <c r="U16410" s="135"/>
    </row>
    <row r="16411" spans="20:21" ht="15" customHeight="1" x14ac:dyDescent="0.25">
      <c r="T16411" s="135"/>
      <c r="U16411" s="135"/>
    </row>
    <row r="16412" spans="20:21" ht="15" customHeight="1" x14ac:dyDescent="0.25">
      <c r="T16412" s="135"/>
      <c r="U16412" s="135"/>
    </row>
    <row r="16413" spans="20:21" ht="15" customHeight="1" x14ac:dyDescent="0.25">
      <c r="T16413" s="135"/>
      <c r="U16413" s="135"/>
    </row>
    <row r="16414" spans="20:21" ht="15" customHeight="1" x14ac:dyDescent="0.25">
      <c r="T16414" s="135"/>
      <c r="U16414" s="135"/>
    </row>
    <row r="16415" spans="20:21" ht="15" customHeight="1" x14ac:dyDescent="0.25">
      <c r="T16415" s="135"/>
      <c r="U16415" s="135"/>
    </row>
    <row r="16416" spans="20:21" ht="15" customHeight="1" x14ac:dyDescent="0.25">
      <c r="T16416" s="135"/>
      <c r="U16416" s="135"/>
    </row>
    <row r="16417" spans="20:21" ht="15" customHeight="1" x14ac:dyDescent="0.25">
      <c r="T16417" s="135"/>
      <c r="U16417" s="135"/>
    </row>
    <row r="16418" spans="20:21" ht="15" customHeight="1" x14ac:dyDescent="0.25">
      <c r="T16418" s="135"/>
      <c r="U16418" s="135"/>
    </row>
    <row r="16419" spans="20:21" ht="15" customHeight="1" x14ac:dyDescent="0.25">
      <c r="T16419" s="135"/>
      <c r="U16419" s="135"/>
    </row>
    <row r="16420" spans="20:21" ht="15" customHeight="1" x14ac:dyDescent="0.25">
      <c r="T16420" s="135"/>
      <c r="U16420" s="135"/>
    </row>
    <row r="16421" spans="20:21" ht="15" customHeight="1" x14ac:dyDescent="0.25">
      <c r="T16421" s="135"/>
      <c r="U16421" s="135"/>
    </row>
    <row r="16422" spans="20:21" ht="15" customHeight="1" x14ac:dyDescent="0.25">
      <c r="T16422" s="135"/>
      <c r="U16422" s="135"/>
    </row>
    <row r="16423" spans="20:21" ht="15" customHeight="1" x14ac:dyDescent="0.25">
      <c r="T16423" s="135"/>
      <c r="U16423" s="135"/>
    </row>
    <row r="16424" spans="20:21" ht="15" customHeight="1" x14ac:dyDescent="0.25">
      <c r="T16424" s="135"/>
      <c r="U16424" s="135"/>
    </row>
    <row r="16425" spans="20:21" ht="15" customHeight="1" x14ac:dyDescent="0.25">
      <c r="T16425" s="135"/>
      <c r="U16425" s="135"/>
    </row>
    <row r="16426" spans="20:21" ht="15" customHeight="1" x14ac:dyDescent="0.25">
      <c r="T16426" s="135"/>
      <c r="U16426" s="135"/>
    </row>
    <row r="16427" spans="20:21" ht="15" customHeight="1" x14ac:dyDescent="0.25">
      <c r="T16427" s="135"/>
      <c r="U16427" s="135"/>
    </row>
    <row r="16428" spans="20:21" ht="15" customHeight="1" x14ac:dyDescent="0.25">
      <c r="T16428" s="135"/>
      <c r="U16428" s="135"/>
    </row>
    <row r="16429" spans="20:21" ht="15" customHeight="1" x14ac:dyDescent="0.25">
      <c r="T16429" s="135"/>
      <c r="U16429" s="135"/>
    </row>
    <row r="16430" spans="20:21" ht="15" customHeight="1" x14ac:dyDescent="0.25">
      <c r="T16430" s="135"/>
      <c r="U16430" s="135"/>
    </row>
    <row r="16431" spans="20:21" ht="15" customHeight="1" x14ac:dyDescent="0.25">
      <c r="T16431" s="135"/>
      <c r="U16431" s="135"/>
    </row>
    <row r="16432" spans="20:21" ht="15" customHeight="1" x14ac:dyDescent="0.25">
      <c r="T16432" s="135"/>
      <c r="U16432" s="135"/>
    </row>
    <row r="16433" spans="20:21" ht="15" customHeight="1" x14ac:dyDescent="0.25">
      <c r="T16433" s="135"/>
      <c r="U16433" s="135"/>
    </row>
    <row r="16434" spans="20:21" ht="15" customHeight="1" x14ac:dyDescent="0.25">
      <c r="T16434" s="135"/>
      <c r="U16434" s="135"/>
    </row>
    <row r="16435" spans="20:21" ht="15" customHeight="1" x14ac:dyDescent="0.25">
      <c r="T16435" s="135"/>
      <c r="U16435" s="135"/>
    </row>
    <row r="16436" spans="20:21" ht="15" customHeight="1" x14ac:dyDescent="0.25">
      <c r="T16436" s="135"/>
      <c r="U16436" s="135"/>
    </row>
    <row r="16437" spans="20:21" ht="15" customHeight="1" x14ac:dyDescent="0.25">
      <c r="T16437" s="135"/>
      <c r="U16437" s="135"/>
    </row>
    <row r="16438" spans="20:21" ht="15" customHeight="1" x14ac:dyDescent="0.25">
      <c r="T16438" s="135"/>
      <c r="U16438" s="135"/>
    </row>
    <row r="16439" spans="20:21" ht="15" customHeight="1" x14ac:dyDescent="0.25">
      <c r="T16439" s="135"/>
      <c r="U16439" s="135"/>
    </row>
    <row r="16440" spans="20:21" ht="15" customHeight="1" x14ac:dyDescent="0.25">
      <c r="T16440" s="135"/>
      <c r="U16440" s="135"/>
    </row>
    <row r="16441" spans="20:21" ht="15" customHeight="1" x14ac:dyDescent="0.25">
      <c r="T16441" s="135"/>
      <c r="U16441" s="135"/>
    </row>
    <row r="16442" spans="20:21" ht="15" customHeight="1" x14ac:dyDescent="0.25">
      <c r="T16442" s="135"/>
      <c r="U16442" s="135"/>
    </row>
    <row r="16443" spans="20:21" ht="15" customHeight="1" x14ac:dyDescent="0.25">
      <c r="T16443" s="135"/>
      <c r="U16443" s="135"/>
    </row>
    <row r="16444" spans="20:21" ht="15" customHeight="1" x14ac:dyDescent="0.25">
      <c r="T16444" s="135"/>
      <c r="U16444" s="135"/>
    </row>
    <row r="16445" spans="20:21" ht="15" customHeight="1" x14ac:dyDescent="0.25">
      <c r="T16445" s="135"/>
      <c r="U16445" s="135"/>
    </row>
    <row r="16446" spans="20:21" ht="15" customHeight="1" x14ac:dyDescent="0.25">
      <c r="T16446" s="135"/>
      <c r="U16446" s="135"/>
    </row>
    <row r="16447" spans="20:21" ht="15" customHeight="1" x14ac:dyDescent="0.25">
      <c r="T16447" s="135"/>
      <c r="U16447" s="135"/>
    </row>
    <row r="16448" spans="20:21" ht="15" customHeight="1" x14ac:dyDescent="0.25">
      <c r="T16448" s="135"/>
      <c r="U16448" s="135"/>
    </row>
    <row r="16449" spans="20:21" ht="15" customHeight="1" x14ac:dyDescent="0.25">
      <c r="T16449" s="135"/>
      <c r="U16449" s="135"/>
    </row>
    <row r="16450" spans="20:21" ht="15" customHeight="1" x14ac:dyDescent="0.25">
      <c r="T16450" s="135"/>
      <c r="U16450" s="135"/>
    </row>
    <row r="16451" spans="20:21" ht="15" customHeight="1" x14ac:dyDescent="0.25">
      <c r="T16451" s="135"/>
      <c r="U16451" s="135"/>
    </row>
    <row r="16452" spans="20:21" ht="15" customHeight="1" x14ac:dyDescent="0.25">
      <c r="T16452" s="135"/>
      <c r="U16452" s="135"/>
    </row>
    <row r="16453" spans="20:21" ht="15" customHeight="1" x14ac:dyDescent="0.25">
      <c r="T16453" s="135"/>
      <c r="U16453" s="135"/>
    </row>
    <row r="16454" spans="20:21" ht="15" customHeight="1" x14ac:dyDescent="0.25">
      <c r="T16454" s="135"/>
      <c r="U16454" s="135"/>
    </row>
    <row r="16455" spans="20:21" ht="15" customHeight="1" x14ac:dyDescent="0.25">
      <c r="T16455" s="135"/>
      <c r="U16455" s="135"/>
    </row>
    <row r="16456" spans="20:21" ht="15" customHeight="1" x14ac:dyDescent="0.25">
      <c r="T16456" s="135"/>
      <c r="U16456" s="135"/>
    </row>
    <row r="16457" spans="20:21" ht="15" customHeight="1" x14ac:dyDescent="0.25">
      <c r="T16457" s="135"/>
      <c r="U16457" s="135"/>
    </row>
    <row r="16458" spans="20:21" ht="15" customHeight="1" x14ac:dyDescent="0.25">
      <c r="T16458" s="135"/>
      <c r="U16458" s="135"/>
    </row>
    <row r="16459" spans="20:21" ht="15" customHeight="1" x14ac:dyDescent="0.25">
      <c r="T16459" s="135"/>
      <c r="U16459" s="135"/>
    </row>
    <row r="16460" spans="20:21" ht="15" customHeight="1" x14ac:dyDescent="0.25">
      <c r="T16460" s="135"/>
      <c r="U16460" s="135"/>
    </row>
    <row r="16461" spans="20:21" ht="15" customHeight="1" x14ac:dyDescent="0.25">
      <c r="T16461" s="135"/>
      <c r="U16461" s="135"/>
    </row>
    <row r="16462" spans="20:21" ht="15" customHeight="1" x14ac:dyDescent="0.25">
      <c r="T16462" s="135"/>
      <c r="U16462" s="135"/>
    </row>
    <row r="16463" spans="20:21" ht="15" customHeight="1" x14ac:dyDescent="0.25">
      <c r="T16463" s="135"/>
      <c r="U16463" s="135"/>
    </row>
    <row r="16464" spans="20:21" ht="15" customHeight="1" x14ac:dyDescent="0.25">
      <c r="T16464" s="135"/>
      <c r="U16464" s="135"/>
    </row>
    <row r="16465" spans="20:21" ht="15" customHeight="1" x14ac:dyDescent="0.25">
      <c r="T16465" s="135"/>
      <c r="U16465" s="135"/>
    </row>
    <row r="16466" spans="20:21" ht="15" customHeight="1" x14ac:dyDescent="0.25">
      <c r="T16466" s="135"/>
      <c r="U16466" s="135"/>
    </row>
    <row r="16467" spans="20:21" ht="15" customHeight="1" x14ac:dyDescent="0.25">
      <c r="T16467" s="135"/>
      <c r="U16467" s="135"/>
    </row>
    <row r="16468" spans="20:21" ht="15" customHeight="1" x14ac:dyDescent="0.25">
      <c r="T16468" s="135"/>
      <c r="U16468" s="135"/>
    </row>
    <row r="16469" spans="20:21" ht="15" customHeight="1" x14ac:dyDescent="0.25">
      <c r="T16469" s="135"/>
      <c r="U16469" s="135"/>
    </row>
    <row r="16470" spans="20:21" ht="15" customHeight="1" x14ac:dyDescent="0.25">
      <c r="T16470" s="135"/>
      <c r="U16470" s="135"/>
    </row>
    <row r="16471" spans="20:21" ht="15" customHeight="1" x14ac:dyDescent="0.25">
      <c r="T16471" s="135"/>
      <c r="U16471" s="135"/>
    </row>
    <row r="16472" spans="20:21" ht="15" customHeight="1" x14ac:dyDescent="0.25">
      <c r="T16472" s="135"/>
      <c r="U16472" s="135"/>
    </row>
    <row r="16473" spans="20:21" ht="15" customHeight="1" x14ac:dyDescent="0.25">
      <c r="T16473" s="135"/>
      <c r="U16473" s="135"/>
    </row>
    <row r="16474" spans="20:21" ht="15" customHeight="1" x14ac:dyDescent="0.25">
      <c r="T16474" s="135"/>
      <c r="U16474" s="135"/>
    </row>
    <row r="16475" spans="20:21" ht="15" customHeight="1" x14ac:dyDescent="0.25">
      <c r="T16475" s="135"/>
      <c r="U16475" s="135"/>
    </row>
    <row r="16476" spans="20:21" ht="15" customHeight="1" x14ac:dyDescent="0.25">
      <c r="T16476" s="135"/>
      <c r="U16476" s="135"/>
    </row>
    <row r="16477" spans="20:21" ht="15" customHeight="1" x14ac:dyDescent="0.25">
      <c r="T16477" s="135"/>
      <c r="U16477" s="135"/>
    </row>
    <row r="16478" spans="20:21" ht="15" customHeight="1" x14ac:dyDescent="0.25">
      <c r="T16478" s="135"/>
      <c r="U16478" s="135"/>
    </row>
    <row r="16479" spans="20:21" ht="15" customHeight="1" x14ac:dyDescent="0.25">
      <c r="T16479" s="135"/>
      <c r="U16479" s="135"/>
    </row>
    <row r="16480" spans="20:21" ht="15" customHeight="1" x14ac:dyDescent="0.25">
      <c r="T16480" s="135"/>
      <c r="U16480" s="135"/>
    </row>
    <row r="16481" spans="20:21" ht="15" customHeight="1" x14ac:dyDescent="0.25">
      <c r="T16481" s="135"/>
      <c r="U16481" s="135"/>
    </row>
    <row r="16482" spans="20:21" ht="15" customHeight="1" x14ac:dyDescent="0.25">
      <c r="T16482" s="135"/>
      <c r="U16482" s="135"/>
    </row>
    <row r="16483" spans="20:21" ht="15" customHeight="1" x14ac:dyDescent="0.25">
      <c r="T16483" s="135"/>
      <c r="U16483" s="135"/>
    </row>
    <row r="16484" spans="20:21" ht="15" customHeight="1" x14ac:dyDescent="0.25">
      <c r="T16484" s="135"/>
      <c r="U16484" s="135"/>
    </row>
    <row r="16485" spans="20:21" ht="15" customHeight="1" x14ac:dyDescent="0.25">
      <c r="T16485" s="135"/>
      <c r="U16485" s="135"/>
    </row>
    <row r="16486" spans="20:21" ht="15" customHeight="1" x14ac:dyDescent="0.25">
      <c r="T16486" s="135"/>
      <c r="U16486" s="135"/>
    </row>
    <row r="16487" spans="20:21" ht="15" customHeight="1" x14ac:dyDescent="0.25">
      <c r="T16487" s="135"/>
      <c r="U16487" s="135"/>
    </row>
    <row r="16488" spans="20:21" ht="15" customHeight="1" x14ac:dyDescent="0.25">
      <c r="T16488" s="135"/>
      <c r="U16488" s="135"/>
    </row>
    <row r="16489" spans="20:21" ht="15" customHeight="1" x14ac:dyDescent="0.25">
      <c r="T16489" s="135"/>
      <c r="U16489" s="135"/>
    </row>
    <row r="16490" spans="20:21" ht="15" customHeight="1" x14ac:dyDescent="0.25">
      <c r="T16490" s="135"/>
      <c r="U16490" s="135"/>
    </row>
    <row r="16491" spans="20:21" ht="15" customHeight="1" x14ac:dyDescent="0.25">
      <c r="T16491" s="135"/>
      <c r="U16491" s="135"/>
    </row>
    <row r="16492" spans="20:21" ht="15" customHeight="1" x14ac:dyDescent="0.25">
      <c r="T16492" s="135"/>
      <c r="U16492" s="135"/>
    </row>
    <row r="16493" spans="20:21" ht="15" customHeight="1" x14ac:dyDescent="0.25">
      <c r="T16493" s="135"/>
      <c r="U16493" s="135"/>
    </row>
    <row r="16494" spans="20:21" ht="15" customHeight="1" x14ac:dyDescent="0.25">
      <c r="T16494" s="135"/>
      <c r="U16494" s="135"/>
    </row>
    <row r="16495" spans="20:21" ht="15" customHeight="1" x14ac:dyDescent="0.25">
      <c r="T16495" s="135"/>
      <c r="U16495" s="135"/>
    </row>
    <row r="16496" spans="20:21" ht="15" customHeight="1" x14ac:dyDescent="0.25">
      <c r="T16496" s="135"/>
      <c r="U16496" s="135"/>
    </row>
    <row r="16497" spans="20:21" ht="15" customHeight="1" x14ac:dyDescent="0.25">
      <c r="T16497" s="135"/>
      <c r="U16497" s="135"/>
    </row>
    <row r="16498" spans="20:21" ht="15" customHeight="1" x14ac:dyDescent="0.25">
      <c r="T16498" s="135"/>
      <c r="U16498" s="135"/>
    </row>
    <row r="16499" spans="20:21" ht="15" customHeight="1" x14ac:dyDescent="0.25">
      <c r="T16499" s="135"/>
      <c r="U16499" s="135"/>
    </row>
    <row r="16500" spans="20:21" ht="15" customHeight="1" x14ac:dyDescent="0.25">
      <c r="T16500" s="135"/>
      <c r="U16500" s="135"/>
    </row>
    <row r="16501" spans="20:21" ht="15" customHeight="1" x14ac:dyDescent="0.25">
      <c r="T16501" s="135"/>
      <c r="U16501" s="135"/>
    </row>
    <row r="16502" spans="20:21" ht="15" customHeight="1" x14ac:dyDescent="0.25">
      <c r="T16502" s="135"/>
      <c r="U16502" s="135"/>
    </row>
    <row r="16503" spans="20:21" ht="15" customHeight="1" x14ac:dyDescent="0.25">
      <c r="T16503" s="135"/>
      <c r="U16503" s="135"/>
    </row>
    <row r="16504" spans="20:21" ht="15" customHeight="1" x14ac:dyDescent="0.25">
      <c r="T16504" s="135"/>
      <c r="U16504" s="135"/>
    </row>
    <row r="16505" spans="20:21" ht="15" customHeight="1" x14ac:dyDescent="0.25">
      <c r="T16505" s="135"/>
      <c r="U16505" s="135"/>
    </row>
    <row r="16506" spans="20:21" ht="15" customHeight="1" x14ac:dyDescent="0.25">
      <c r="T16506" s="135"/>
      <c r="U16506" s="135"/>
    </row>
    <row r="16507" spans="20:21" ht="15" customHeight="1" x14ac:dyDescent="0.25">
      <c r="T16507" s="135"/>
      <c r="U16507" s="135"/>
    </row>
    <row r="16508" spans="20:21" ht="15" customHeight="1" x14ac:dyDescent="0.25">
      <c r="T16508" s="135"/>
      <c r="U16508" s="135"/>
    </row>
    <row r="16509" spans="20:21" ht="15" customHeight="1" x14ac:dyDescent="0.25">
      <c r="T16509" s="135"/>
      <c r="U16509" s="135"/>
    </row>
    <row r="16510" spans="20:21" ht="15" customHeight="1" x14ac:dyDescent="0.25">
      <c r="T16510" s="135"/>
      <c r="U16510" s="135"/>
    </row>
    <row r="16511" spans="20:21" ht="15" customHeight="1" x14ac:dyDescent="0.25">
      <c r="T16511" s="135"/>
      <c r="U16511" s="135"/>
    </row>
    <row r="16512" spans="20:21" ht="15" customHeight="1" x14ac:dyDescent="0.25">
      <c r="T16512" s="135"/>
      <c r="U16512" s="135"/>
    </row>
    <row r="16513" spans="20:21" ht="15" customHeight="1" x14ac:dyDescent="0.25">
      <c r="T16513" s="135"/>
      <c r="U16513" s="135"/>
    </row>
    <row r="16514" spans="20:21" ht="15" customHeight="1" x14ac:dyDescent="0.25">
      <c r="T16514" s="135"/>
      <c r="U16514" s="135"/>
    </row>
    <row r="16515" spans="20:21" ht="15" customHeight="1" x14ac:dyDescent="0.25">
      <c r="T16515" s="135"/>
      <c r="U16515" s="135"/>
    </row>
    <row r="16516" spans="20:21" ht="15" customHeight="1" x14ac:dyDescent="0.25">
      <c r="T16516" s="135"/>
      <c r="U16516" s="135"/>
    </row>
    <row r="16517" spans="20:21" ht="15" customHeight="1" x14ac:dyDescent="0.25">
      <c r="T16517" s="135"/>
      <c r="U16517" s="135"/>
    </row>
    <row r="16518" spans="20:21" ht="15" customHeight="1" x14ac:dyDescent="0.25">
      <c r="T16518" s="135"/>
      <c r="U16518" s="135"/>
    </row>
    <row r="16519" spans="20:21" ht="15" customHeight="1" x14ac:dyDescent="0.25">
      <c r="T16519" s="135"/>
      <c r="U16519" s="135"/>
    </row>
    <row r="16520" spans="20:21" ht="15" customHeight="1" x14ac:dyDescent="0.25">
      <c r="T16520" s="135"/>
      <c r="U16520" s="135"/>
    </row>
    <row r="16521" spans="20:21" ht="15" customHeight="1" x14ac:dyDescent="0.25">
      <c r="T16521" s="135"/>
      <c r="U16521" s="135"/>
    </row>
    <row r="16522" spans="20:21" ht="15" customHeight="1" x14ac:dyDescent="0.25">
      <c r="T16522" s="135"/>
      <c r="U16522" s="135"/>
    </row>
    <row r="16523" spans="20:21" ht="15" customHeight="1" x14ac:dyDescent="0.25">
      <c r="T16523" s="135"/>
      <c r="U16523" s="135"/>
    </row>
    <row r="16524" spans="20:21" ht="15" customHeight="1" x14ac:dyDescent="0.25">
      <c r="T16524" s="135"/>
      <c r="U16524" s="135"/>
    </row>
    <row r="16525" spans="20:21" ht="15" customHeight="1" x14ac:dyDescent="0.25">
      <c r="T16525" s="135"/>
      <c r="U16525" s="135"/>
    </row>
    <row r="16526" spans="20:21" ht="15" customHeight="1" x14ac:dyDescent="0.25">
      <c r="T16526" s="135"/>
      <c r="U16526" s="135"/>
    </row>
    <row r="16527" spans="20:21" ht="15" customHeight="1" x14ac:dyDescent="0.25">
      <c r="T16527" s="135"/>
      <c r="U16527" s="135"/>
    </row>
    <row r="16528" spans="20:21" ht="15" customHeight="1" x14ac:dyDescent="0.25">
      <c r="T16528" s="135"/>
      <c r="U16528" s="135"/>
    </row>
    <row r="16529" spans="20:21" ht="15" customHeight="1" x14ac:dyDescent="0.25">
      <c r="T16529" s="135"/>
      <c r="U16529" s="135"/>
    </row>
    <row r="16530" spans="20:21" ht="15" customHeight="1" x14ac:dyDescent="0.25">
      <c r="T16530" s="135"/>
      <c r="U16530" s="135"/>
    </row>
    <row r="16531" spans="20:21" ht="15" customHeight="1" x14ac:dyDescent="0.25">
      <c r="T16531" s="135"/>
      <c r="U16531" s="135"/>
    </row>
    <row r="16532" spans="20:21" ht="15" customHeight="1" x14ac:dyDescent="0.25">
      <c r="T16532" s="135"/>
      <c r="U16532" s="135"/>
    </row>
    <row r="16533" spans="20:21" ht="15" customHeight="1" x14ac:dyDescent="0.25">
      <c r="T16533" s="135"/>
      <c r="U16533" s="135"/>
    </row>
    <row r="16534" spans="20:21" ht="15" customHeight="1" x14ac:dyDescent="0.25">
      <c r="T16534" s="135"/>
      <c r="U16534" s="135"/>
    </row>
    <row r="16535" spans="20:21" ht="15" customHeight="1" x14ac:dyDescent="0.25">
      <c r="T16535" s="135"/>
      <c r="U16535" s="135"/>
    </row>
    <row r="16536" spans="20:21" ht="15" customHeight="1" x14ac:dyDescent="0.25">
      <c r="T16536" s="135"/>
      <c r="U16536" s="135"/>
    </row>
    <row r="16537" spans="20:21" ht="15" customHeight="1" x14ac:dyDescent="0.25">
      <c r="T16537" s="135"/>
      <c r="U16537" s="135"/>
    </row>
    <row r="16538" spans="20:21" ht="15" customHeight="1" x14ac:dyDescent="0.25">
      <c r="T16538" s="135"/>
      <c r="U16538" s="135"/>
    </row>
    <row r="16539" spans="20:21" ht="15" customHeight="1" x14ac:dyDescent="0.25">
      <c r="T16539" s="135"/>
      <c r="U16539" s="135"/>
    </row>
    <row r="16540" spans="20:21" ht="15" customHeight="1" x14ac:dyDescent="0.25">
      <c r="T16540" s="135"/>
      <c r="U16540" s="135"/>
    </row>
    <row r="16541" spans="20:21" ht="15" customHeight="1" x14ac:dyDescent="0.25">
      <c r="T16541" s="135"/>
      <c r="U16541" s="135"/>
    </row>
    <row r="16542" spans="20:21" ht="15" customHeight="1" x14ac:dyDescent="0.25">
      <c r="T16542" s="135"/>
      <c r="U16542" s="135"/>
    </row>
    <row r="16543" spans="20:21" ht="15" customHeight="1" x14ac:dyDescent="0.25">
      <c r="T16543" s="135"/>
      <c r="U16543" s="135"/>
    </row>
    <row r="16544" spans="20:21" ht="15" customHeight="1" x14ac:dyDescent="0.25">
      <c r="T16544" s="135"/>
      <c r="U16544" s="135"/>
    </row>
    <row r="16545" spans="20:21" ht="15" customHeight="1" x14ac:dyDescent="0.25">
      <c r="T16545" s="135"/>
      <c r="U16545" s="135"/>
    </row>
    <row r="16546" spans="20:21" ht="15" customHeight="1" x14ac:dyDescent="0.25">
      <c r="T16546" s="135"/>
      <c r="U16546" s="135"/>
    </row>
    <row r="16547" spans="20:21" ht="15" customHeight="1" x14ac:dyDescent="0.25">
      <c r="T16547" s="135"/>
      <c r="U16547" s="135"/>
    </row>
    <row r="16548" spans="20:21" ht="15" customHeight="1" x14ac:dyDescent="0.25">
      <c r="T16548" s="135"/>
      <c r="U16548" s="135"/>
    </row>
    <row r="16549" spans="20:21" ht="15" customHeight="1" x14ac:dyDescent="0.25">
      <c r="T16549" s="135"/>
      <c r="U16549" s="135"/>
    </row>
    <row r="16550" spans="20:21" ht="15" customHeight="1" x14ac:dyDescent="0.25">
      <c r="T16550" s="135"/>
      <c r="U16550" s="135"/>
    </row>
    <row r="16551" spans="20:21" ht="15" customHeight="1" x14ac:dyDescent="0.25">
      <c r="T16551" s="135"/>
      <c r="U16551" s="135"/>
    </row>
    <row r="16552" spans="20:21" ht="15" customHeight="1" x14ac:dyDescent="0.25">
      <c r="T16552" s="135"/>
      <c r="U16552" s="135"/>
    </row>
    <row r="16553" spans="20:21" ht="15" customHeight="1" x14ac:dyDescent="0.25">
      <c r="T16553" s="135"/>
      <c r="U16553" s="135"/>
    </row>
    <row r="16554" spans="20:21" ht="15" customHeight="1" x14ac:dyDescent="0.25">
      <c r="T16554" s="135"/>
      <c r="U16554" s="135"/>
    </row>
    <row r="16555" spans="20:21" ht="15" customHeight="1" x14ac:dyDescent="0.25">
      <c r="T16555" s="135"/>
      <c r="U16555" s="135"/>
    </row>
    <row r="16556" spans="20:21" ht="15" customHeight="1" x14ac:dyDescent="0.25">
      <c r="T16556" s="135"/>
      <c r="U16556" s="135"/>
    </row>
    <row r="16557" spans="20:21" ht="15" customHeight="1" x14ac:dyDescent="0.25">
      <c r="T16557" s="135"/>
      <c r="U16557" s="135"/>
    </row>
    <row r="16558" spans="20:21" ht="15" customHeight="1" x14ac:dyDescent="0.25">
      <c r="T16558" s="135"/>
      <c r="U16558" s="135"/>
    </row>
    <row r="16559" spans="20:21" ht="15" customHeight="1" x14ac:dyDescent="0.25">
      <c r="T16559" s="135"/>
      <c r="U16559" s="135"/>
    </row>
    <row r="16560" spans="20:21" ht="15" customHeight="1" x14ac:dyDescent="0.25">
      <c r="T16560" s="135"/>
      <c r="U16560" s="135"/>
    </row>
    <row r="16561" spans="20:21" ht="15" customHeight="1" x14ac:dyDescent="0.25">
      <c r="T16561" s="135"/>
      <c r="U16561" s="135"/>
    </row>
    <row r="16562" spans="20:21" ht="15" customHeight="1" x14ac:dyDescent="0.25">
      <c r="T16562" s="135"/>
      <c r="U16562" s="135"/>
    </row>
    <row r="16563" spans="20:21" ht="15" customHeight="1" x14ac:dyDescent="0.25">
      <c r="T16563" s="135"/>
      <c r="U16563" s="135"/>
    </row>
    <row r="16564" spans="20:21" ht="15" customHeight="1" x14ac:dyDescent="0.25">
      <c r="T16564" s="135"/>
      <c r="U16564" s="135"/>
    </row>
    <row r="16565" spans="20:21" ht="15" customHeight="1" x14ac:dyDescent="0.25">
      <c r="T16565" s="135"/>
      <c r="U16565" s="135"/>
    </row>
    <row r="16566" spans="20:21" ht="15" customHeight="1" x14ac:dyDescent="0.25">
      <c r="T16566" s="135"/>
      <c r="U16566" s="135"/>
    </row>
    <row r="16567" spans="20:21" ht="15" customHeight="1" x14ac:dyDescent="0.25">
      <c r="T16567" s="135"/>
      <c r="U16567" s="135"/>
    </row>
    <row r="16568" spans="20:21" ht="15" customHeight="1" x14ac:dyDescent="0.25">
      <c r="T16568" s="135"/>
      <c r="U16568" s="135"/>
    </row>
    <row r="16569" spans="20:21" ht="15" customHeight="1" x14ac:dyDescent="0.25">
      <c r="T16569" s="135"/>
      <c r="U16569" s="135"/>
    </row>
    <row r="16570" spans="20:21" ht="15" customHeight="1" x14ac:dyDescent="0.25">
      <c r="T16570" s="135"/>
      <c r="U16570" s="135"/>
    </row>
    <row r="16571" spans="20:21" ht="15" customHeight="1" x14ac:dyDescent="0.25">
      <c r="T16571" s="135"/>
      <c r="U16571" s="135"/>
    </row>
    <row r="16572" spans="20:21" ht="15" customHeight="1" x14ac:dyDescent="0.25">
      <c r="T16572" s="135"/>
      <c r="U16572" s="135"/>
    </row>
    <row r="16573" spans="20:21" ht="15" customHeight="1" x14ac:dyDescent="0.25">
      <c r="T16573" s="135"/>
      <c r="U16573" s="135"/>
    </row>
    <row r="16574" spans="20:21" ht="15" customHeight="1" x14ac:dyDescent="0.25">
      <c r="T16574" s="135"/>
      <c r="U16574" s="135"/>
    </row>
    <row r="16575" spans="20:21" ht="15" customHeight="1" x14ac:dyDescent="0.25">
      <c r="T16575" s="135"/>
      <c r="U16575" s="135"/>
    </row>
    <row r="16576" spans="20:21" ht="15" customHeight="1" x14ac:dyDescent="0.25">
      <c r="T16576" s="135"/>
      <c r="U16576" s="135"/>
    </row>
    <row r="16577" spans="20:21" ht="15" customHeight="1" x14ac:dyDescent="0.25">
      <c r="T16577" s="135"/>
      <c r="U16577" s="135"/>
    </row>
    <row r="16578" spans="20:21" ht="15" customHeight="1" x14ac:dyDescent="0.25">
      <c r="T16578" s="135"/>
      <c r="U16578" s="135"/>
    </row>
    <row r="16579" spans="20:21" ht="15" customHeight="1" x14ac:dyDescent="0.25">
      <c r="T16579" s="135"/>
      <c r="U16579" s="135"/>
    </row>
    <row r="16580" spans="20:21" ht="15" customHeight="1" x14ac:dyDescent="0.25">
      <c r="T16580" s="135"/>
      <c r="U16580" s="135"/>
    </row>
    <row r="16581" spans="20:21" ht="15" customHeight="1" x14ac:dyDescent="0.25">
      <c r="T16581" s="135"/>
      <c r="U16581" s="135"/>
    </row>
    <row r="16582" spans="20:21" ht="15" customHeight="1" x14ac:dyDescent="0.25">
      <c r="T16582" s="135"/>
      <c r="U16582" s="135"/>
    </row>
    <row r="16583" spans="20:21" ht="15" customHeight="1" x14ac:dyDescent="0.25">
      <c r="T16583" s="135"/>
      <c r="U16583" s="135"/>
    </row>
    <row r="16584" spans="20:21" ht="15" customHeight="1" x14ac:dyDescent="0.25">
      <c r="T16584" s="135"/>
      <c r="U16584" s="135"/>
    </row>
    <row r="16585" spans="20:21" ht="15" customHeight="1" x14ac:dyDescent="0.25">
      <c r="T16585" s="135"/>
      <c r="U16585" s="135"/>
    </row>
    <row r="16586" spans="20:21" ht="15" customHeight="1" x14ac:dyDescent="0.25">
      <c r="T16586" s="135"/>
      <c r="U16586" s="135"/>
    </row>
    <row r="16587" spans="20:21" ht="15" customHeight="1" x14ac:dyDescent="0.25">
      <c r="T16587" s="135"/>
      <c r="U16587" s="135"/>
    </row>
    <row r="16588" spans="20:21" ht="15" customHeight="1" x14ac:dyDescent="0.25">
      <c r="T16588" s="135"/>
      <c r="U16588" s="135"/>
    </row>
    <row r="16589" spans="20:21" ht="15" customHeight="1" x14ac:dyDescent="0.25">
      <c r="T16589" s="135"/>
      <c r="U16589" s="135"/>
    </row>
    <row r="16590" spans="20:21" ht="15" customHeight="1" x14ac:dyDescent="0.25">
      <c r="T16590" s="135"/>
      <c r="U16590" s="135"/>
    </row>
    <row r="16591" spans="20:21" ht="15" customHeight="1" x14ac:dyDescent="0.25">
      <c r="T16591" s="135"/>
      <c r="U16591" s="135"/>
    </row>
    <row r="16592" spans="20:21" ht="15" customHeight="1" x14ac:dyDescent="0.25">
      <c r="T16592" s="135"/>
      <c r="U16592" s="135"/>
    </row>
    <row r="16593" spans="20:21" ht="15" customHeight="1" x14ac:dyDescent="0.25">
      <c r="T16593" s="135"/>
      <c r="U16593" s="135"/>
    </row>
    <row r="16594" spans="20:21" ht="15" customHeight="1" x14ac:dyDescent="0.25">
      <c r="T16594" s="135"/>
      <c r="U16594" s="135"/>
    </row>
    <row r="16595" spans="20:21" ht="15" customHeight="1" x14ac:dyDescent="0.25">
      <c r="T16595" s="135"/>
      <c r="U16595" s="135"/>
    </row>
    <row r="16596" spans="20:21" ht="15" customHeight="1" x14ac:dyDescent="0.25">
      <c r="T16596" s="135"/>
      <c r="U16596" s="135"/>
    </row>
    <row r="16597" spans="20:21" ht="15" customHeight="1" x14ac:dyDescent="0.25">
      <c r="T16597" s="135"/>
      <c r="U16597" s="135"/>
    </row>
    <row r="16598" spans="20:21" ht="15" customHeight="1" x14ac:dyDescent="0.25">
      <c r="T16598" s="135"/>
      <c r="U16598" s="135"/>
    </row>
    <row r="16599" spans="20:21" ht="15" customHeight="1" x14ac:dyDescent="0.25">
      <c r="T16599" s="135"/>
      <c r="U16599" s="135"/>
    </row>
    <row r="16600" spans="20:21" ht="15" customHeight="1" x14ac:dyDescent="0.25">
      <c r="T16600" s="135"/>
      <c r="U16600" s="135"/>
    </row>
    <row r="16601" spans="20:21" ht="15" customHeight="1" x14ac:dyDescent="0.25">
      <c r="T16601" s="135"/>
      <c r="U16601" s="135"/>
    </row>
    <row r="16602" spans="20:21" ht="15" customHeight="1" x14ac:dyDescent="0.25">
      <c r="T16602" s="135"/>
      <c r="U16602" s="135"/>
    </row>
    <row r="16603" spans="20:21" ht="15" customHeight="1" x14ac:dyDescent="0.25">
      <c r="T16603" s="135"/>
      <c r="U16603" s="135"/>
    </row>
    <row r="16604" spans="20:21" ht="15" customHeight="1" x14ac:dyDescent="0.25">
      <c r="T16604" s="135"/>
      <c r="U16604" s="135"/>
    </row>
    <row r="16605" spans="20:21" ht="15" customHeight="1" x14ac:dyDescent="0.25">
      <c r="T16605" s="135"/>
      <c r="U16605" s="135"/>
    </row>
    <row r="16606" spans="20:21" ht="15" customHeight="1" x14ac:dyDescent="0.25">
      <c r="T16606" s="135"/>
      <c r="U16606" s="135"/>
    </row>
    <row r="16607" spans="20:21" ht="15" customHeight="1" x14ac:dyDescent="0.25">
      <c r="T16607" s="135"/>
      <c r="U16607" s="135"/>
    </row>
    <row r="16608" spans="20:21" ht="15" customHeight="1" x14ac:dyDescent="0.25">
      <c r="T16608" s="135"/>
      <c r="U16608" s="135"/>
    </row>
    <row r="16609" spans="20:21" ht="15" customHeight="1" x14ac:dyDescent="0.25">
      <c r="T16609" s="135"/>
      <c r="U16609" s="135"/>
    </row>
    <row r="16610" spans="20:21" ht="15" customHeight="1" x14ac:dyDescent="0.25">
      <c r="T16610" s="135"/>
      <c r="U16610" s="135"/>
    </row>
    <row r="16611" spans="20:21" ht="15" customHeight="1" x14ac:dyDescent="0.25">
      <c r="T16611" s="135"/>
      <c r="U16611" s="135"/>
    </row>
    <row r="16612" spans="20:21" ht="15" customHeight="1" x14ac:dyDescent="0.25">
      <c r="T16612" s="135"/>
      <c r="U16612" s="135"/>
    </row>
    <row r="16613" spans="20:21" ht="15" customHeight="1" x14ac:dyDescent="0.25">
      <c r="T16613" s="135"/>
      <c r="U16613" s="135"/>
    </row>
    <row r="16614" spans="20:21" ht="15" customHeight="1" x14ac:dyDescent="0.25">
      <c r="T16614" s="135"/>
      <c r="U16614" s="135"/>
    </row>
    <row r="16615" spans="20:21" ht="15" customHeight="1" x14ac:dyDescent="0.25">
      <c r="T16615" s="135"/>
      <c r="U16615" s="135"/>
    </row>
    <row r="16616" spans="20:21" ht="15" customHeight="1" x14ac:dyDescent="0.25">
      <c r="T16616" s="135"/>
      <c r="U16616" s="135"/>
    </row>
    <row r="16617" spans="20:21" ht="15" customHeight="1" x14ac:dyDescent="0.25">
      <c r="T16617" s="135"/>
      <c r="U16617" s="135"/>
    </row>
    <row r="16618" spans="20:21" ht="15" customHeight="1" x14ac:dyDescent="0.25">
      <c r="T16618" s="135"/>
      <c r="U16618" s="135"/>
    </row>
    <row r="16619" spans="20:21" ht="15" customHeight="1" x14ac:dyDescent="0.25">
      <c r="T16619" s="135"/>
      <c r="U16619" s="135"/>
    </row>
    <row r="16620" spans="20:21" ht="15" customHeight="1" x14ac:dyDescent="0.25">
      <c r="T16620" s="135"/>
      <c r="U16620" s="135"/>
    </row>
    <row r="16621" spans="20:21" ht="15" customHeight="1" x14ac:dyDescent="0.25">
      <c r="T16621" s="135"/>
      <c r="U16621" s="135"/>
    </row>
    <row r="16622" spans="20:21" ht="15" customHeight="1" x14ac:dyDescent="0.25">
      <c r="T16622" s="135"/>
      <c r="U16622" s="135"/>
    </row>
    <row r="16623" spans="20:21" ht="15" customHeight="1" x14ac:dyDescent="0.25">
      <c r="T16623" s="135"/>
      <c r="U16623" s="135"/>
    </row>
    <row r="16624" spans="20:21" ht="15" customHeight="1" x14ac:dyDescent="0.25">
      <c r="T16624" s="135"/>
      <c r="U16624" s="135"/>
    </row>
    <row r="16625" spans="20:21" ht="15" customHeight="1" x14ac:dyDescent="0.25">
      <c r="T16625" s="135"/>
      <c r="U16625" s="135"/>
    </row>
    <row r="16626" spans="20:21" ht="15" customHeight="1" x14ac:dyDescent="0.25">
      <c r="T16626" s="135"/>
      <c r="U16626" s="135"/>
    </row>
    <row r="16627" spans="20:21" ht="15" customHeight="1" x14ac:dyDescent="0.25">
      <c r="T16627" s="135"/>
      <c r="U16627" s="135"/>
    </row>
    <row r="16628" spans="20:21" ht="15" customHeight="1" x14ac:dyDescent="0.25">
      <c r="T16628" s="135"/>
      <c r="U16628" s="135"/>
    </row>
    <row r="16629" spans="20:21" ht="15" customHeight="1" x14ac:dyDescent="0.25">
      <c r="T16629" s="135"/>
      <c r="U16629" s="135"/>
    </row>
    <row r="16630" spans="20:21" ht="15" customHeight="1" x14ac:dyDescent="0.25">
      <c r="T16630" s="135"/>
      <c r="U16630" s="135"/>
    </row>
    <row r="16631" spans="20:21" ht="15" customHeight="1" x14ac:dyDescent="0.25">
      <c r="T16631" s="135"/>
      <c r="U16631" s="135"/>
    </row>
    <row r="16632" spans="20:21" ht="15" customHeight="1" x14ac:dyDescent="0.25">
      <c r="T16632" s="135"/>
      <c r="U16632" s="135"/>
    </row>
    <row r="16633" spans="20:21" ht="15" customHeight="1" x14ac:dyDescent="0.25">
      <c r="T16633" s="135"/>
      <c r="U16633" s="135"/>
    </row>
    <row r="16634" spans="20:21" ht="15" customHeight="1" x14ac:dyDescent="0.25">
      <c r="T16634" s="135"/>
      <c r="U16634" s="135"/>
    </row>
    <row r="16635" spans="20:21" ht="15" customHeight="1" x14ac:dyDescent="0.25">
      <c r="T16635" s="135"/>
      <c r="U16635" s="135"/>
    </row>
    <row r="16636" spans="20:21" ht="15" customHeight="1" x14ac:dyDescent="0.25">
      <c r="T16636" s="135"/>
      <c r="U16636" s="135"/>
    </row>
    <row r="16637" spans="20:21" ht="15" customHeight="1" x14ac:dyDescent="0.25">
      <c r="T16637" s="135"/>
      <c r="U16637" s="135"/>
    </row>
    <row r="16638" spans="20:21" ht="15" customHeight="1" x14ac:dyDescent="0.25">
      <c r="T16638" s="135"/>
      <c r="U16638" s="135"/>
    </row>
    <row r="16639" spans="20:21" ht="15" customHeight="1" x14ac:dyDescent="0.25">
      <c r="T16639" s="135"/>
      <c r="U16639" s="135"/>
    </row>
    <row r="16640" spans="20:21" ht="15" customHeight="1" x14ac:dyDescent="0.25">
      <c r="T16640" s="135"/>
      <c r="U16640" s="135"/>
    </row>
    <row r="16641" spans="20:21" ht="15" customHeight="1" x14ac:dyDescent="0.25">
      <c r="T16641" s="135"/>
      <c r="U16641" s="135"/>
    </row>
    <row r="16642" spans="20:21" ht="15" customHeight="1" x14ac:dyDescent="0.25">
      <c r="T16642" s="135"/>
      <c r="U16642" s="135"/>
    </row>
    <row r="16643" spans="20:21" ht="15" customHeight="1" x14ac:dyDescent="0.25">
      <c r="T16643" s="135"/>
      <c r="U16643" s="135"/>
    </row>
    <row r="16644" spans="20:21" ht="15" customHeight="1" x14ac:dyDescent="0.25">
      <c r="T16644" s="135"/>
      <c r="U16644" s="135"/>
    </row>
    <row r="16645" spans="20:21" ht="15" customHeight="1" x14ac:dyDescent="0.25">
      <c r="T16645" s="135"/>
      <c r="U16645" s="135"/>
    </row>
    <row r="16646" spans="20:21" ht="15" customHeight="1" x14ac:dyDescent="0.25">
      <c r="T16646" s="135"/>
      <c r="U16646" s="135"/>
    </row>
    <row r="16647" spans="20:21" ht="15" customHeight="1" x14ac:dyDescent="0.25">
      <c r="T16647" s="135"/>
      <c r="U16647" s="135"/>
    </row>
    <row r="16648" spans="20:21" ht="15" customHeight="1" x14ac:dyDescent="0.25">
      <c r="T16648" s="135"/>
      <c r="U16648" s="135"/>
    </row>
    <row r="16649" spans="20:21" ht="15" customHeight="1" x14ac:dyDescent="0.25">
      <c r="T16649" s="135"/>
      <c r="U16649" s="135"/>
    </row>
    <row r="16650" spans="20:21" ht="15" customHeight="1" x14ac:dyDescent="0.25">
      <c r="T16650" s="135"/>
      <c r="U16650" s="135"/>
    </row>
    <row r="16651" spans="20:21" ht="15" customHeight="1" x14ac:dyDescent="0.25">
      <c r="T16651" s="135"/>
      <c r="U16651" s="135"/>
    </row>
    <row r="16652" spans="20:21" ht="15" customHeight="1" x14ac:dyDescent="0.25">
      <c r="T16652" s="135"/>
      <c r="U16652" s="135"/>
    </row>
    <row r="16653" spans="20:21" ht="15" customHeight="1" x14ac:dyDescent="0.25">
      <c r="T16653" s="135"/>
      <c r="U16653" s="135"/>
    </row>
    <row r="16654" spans="20:21" ht="15" customHeight="1" x14ac:dyDescent="0.25">
      <c r="T16654" s="135"/>
      <c r="U16654" s="135"/>
    </row>
    <row r="16655" spans="20:21" ht="15" customHeight="1" x14ac:dyDescent="0.25">
      <c r="T16655" s="135"/>
      <c r="U16655" s="135"/>
    </row>
    <row r="16656" spans="20:21" ht="15" customHeight="1" x14ac:dyDescent="0.25">
      <c r="T16656" s="135"/>
      <c r="U16656" s="135"/>
    </row>
    <row r="16657" spans="20:21" ht="15" customHeight="1" x14ac:dyDescent="0.25">
      <c r="T16657" s="135"/>
      <c r="U16657" s="135"/>
    </row>
    <row r="16658" spans="20:21" ht="15" customHeight="1" x14ac:dyDescent="0.25">
      <c r="T16658" s="135"/>
      <c r="U16658" s="135"/>
    </row>
    <row r="16659" spans="20:21" ht="15" customHeight="1" x14ac:dyDescent="0.25">
      <c r="T16659" s="135"/>
      <c r="U16659" s="135"/>
    </row>
    <row r="16660" spans="20:21" ht="15" customHeight="1" x14ac:dyDescent="0.25">
      <c r="T16660" s="135"/>
      <c r="U16660" s="135"/>
    </row>
    <row r="16661" spans="20:21" ht="15" customHeight="1" x14ac:dyDescent="0.25">
      <c r="T16661" s="135"/>
      <c r="U16661" s="135"/>
    </row>
    <row r="16662" spans="20:21" ht="15" customHeight="1" x14ac:dyDescent="0.25">
      <c r="T16662" s="135"/>
      <c r="U16662" s="135"/>
    </row>
    <row r="16663" spans="20:21" ht="15" customHeight="1" x14ac:dyDescent="0.25">
      <c r="T16663" s="135"/>
      <c r="U16663" s="135"/>
    </row>
    <row r="16664" spans="20:21" ht="15" customHeight="1" x14ac:dyDescent="0.25">
      <c r="T16664" s="135"/>
      <c r="U16664" s="135"/>
    </row>
    <row r="16665" spans="20:21" ht="15" customHeight="1" x14ac:dyDescent="0.25">
      <c r="T16665" s="135"/>
      <c r="U16665" s="135"/>
    </row>
    <row r="16666" spans="20:21" ht="15" customHeight="1" x14ac:dyDescent="0.25">
      <c r="T16666" s="135"/>
      <c r="U16666" s="135"/>
    </row>
    <row r="16667" spans="20:21" ht="15" customHeight="1" x14ac:dyDescent="0.25">
      <c r="T16667" s="135"/>
      <c r="U16667" s="135"/>
    </row>
    <row r="16668" spans="20:21" ht="15" customHeight="1" x14ac:dyDescent="0.25">
      <c r="T16668" s="135"/>
      <c r="U16668" s="135"/>
    </row>
    <row r="16669" spans="20:21" ht="15" customHeight="1" x14ac:dyDescent="0.25">
      <c r="T16669" s="135"/>
      <c r="U16669" s="135"/>
    </row>
    <row r="16670" spans="20:21" ht="15" customHeight="1" x14ac:dyDescent="0.25">
      <c r="T16670" s="135"/>
      <c r="U16670" s="135"/>
    </row>
    <row r="16671" spans="20:21" ht="15" customHeight="1" x14ac:dyDescent="0.25">
      <c r="T16671" s="135"/>
      <c r="U16671" s="135"/>
    </row>
    <row r="16672" spans="20:21" ht="15" customHeight="1" x14ac:dyDescent="0.25">
      <c r="T16672" s="135"/>
      <c r="U16672" s="135"/>
    </row>
    <row r="16673" spans="20:21" ht="15" customHeight="1" x14ac:dyDescent="0.25">
      <c r="T16673" s="135"/>
      <c r="U16673" s="135"/>
    </row>
    <row r="16674" spans="20:21" ht="15" customHeight="1" x14ac:dyDescent="0.25">
      <c r="T16674" s="135"/>
      <c r="U16674" s="135"/>
    </row>
    <row r="16675" spans="20:21" ht="15" customHeight="1" x14ac:dyDescent="0.25">
      <c r="T16675" s="135"/>
      <c r="U16675" s="135"/>
    </row>
    <row r="16676" spans="20:21" ht="15" customHeight="1" x14ac:dyDescent="0.25">
      <c r="T16676" s="135"/>
      <c r="U16676" s="135"/>
    </row>
    <row r="16677" spans="20:21" ht="15" customHeight="1" x14ac:dyDescent="0.25">
      <c r="T16677" s="135"/>
      <c r="U16677" s="135"/>
    </row>
    <row r="16678" spans="20:21" ht="15" customHeight="1" x14ac:dyDescent="0.25">
      <c r="T16678" s="135"/>
      <c r="U16678" s="135"/>
    </row>
    <row r="16679" spans="20:21" ht="15" customHeight="1" x14ac:dyDescent="0.25">
      <c r="T16679" s="135"/>
      <c r="U16679" s="135"/>
    </row>
    <row r="16680" spans="20:21" ht="15" customHeight="1" x14ac:dyDescent="0.25">
      <c r="T16680" s="135"/>
      <c r="U16680" s="135"/>
    </row>
    <row r="16681" spans="20:21" ht="15" customHeight="1" x14ac:dyDescent="0.25">
      <c r="T16681" s="135"/>
      <c r="U16681" s="135"/>
    </row>
    <row r="16682" spans="20:21" ht="15" customHeight="1" x14ac:dyDescent="0.25">
      <c r="T16682" s="135"/>
      <c r="U16682" s="135"/>
    </row>
    <row r="16683" spans="20:21" ht="15" customHeight="1" x14ac:dyDescent="0.25">
      <c r="T16683" s="135"/>
      <c r="U16683" s="135"/>
    </row>
    <row r="16684" spans="20:21" ht="15" customHeight="1" x14ac:dyDescent="0.25">
      <c r="T16684" s="135"/>
      <c r="U16684" s="135"/>
    </row>
    <row r="16685" spans="20:21" ht="15" customHeight="1" x14ac:dyDescent="0.25">
      <c r="T16685" s="135"/>
      <c r="U16685" s="135"/>
    </row>
    <row r="16686" spans="20:21" ht="15" customHeight="1" x14ac:dyDescent="0.25">
      <c r="T16686" s="135"/>
      <c r="U16686" s="135"/>
    </row>
    <row r="16687" spans="20:21" ht="15" customHeight="1" x14ac:dyDescent="0.25">
      <c r="T16687" s="135"/>
      <c r="U16687" s="135"/>
    </row>
    <row r="16688" spans="20:21" ht="15" customHeight="1" x14ac:dyDescent="0.25">
      <c r="T16688" s="135"/>
      <c r="U16688" s="135"/>
    </row>
    <row r="16689" spans="20:21" ht="15" customHeight="1" x14ac:dyDescent="0.25">
      <c r="T16689" s="135"/>
      <c r="U16689" s="135"/>
    </row>
    <row r="16690" spans="20:21" ht="15" customHeight="1" x14ac:dyDescent="0.25">
      <c r="T16690" s="135"/>
      <c r="U16690" s="135"/>
    </row>
    <row r="16691" spans="20:21" ht="15" customHeight="1" x14ac:dyDescent="0.25">
      <c r="T16691" s="135"/>
      <c r="U16691" s="135"/>
    </row>
    <row r="16692" spans="20:21" ht="15" customHeight="1" x14ac:dyDescent="0.25">
      <c r="T16692" s="135"/>
      <c r="U16692" s="135"/>
    </row>
    <row r="16693" spans="20:21" ht="15" customHeight="1" x14ac:dyDescent="0.25">
      <c r="T16693" s="135"/>
      <c r="U16693" s="135"/>
    </row>
    <row r="16694" spans="20:21" ht="15" customHeight="1" x14ac:dyDescent="0.25">
      <c r="T16694" s="135"/>
      <c r="U16694" s="135"/>
    </row>
    <row r="16695" spans="20:21" ht="15" customHeight="1" x14ac:dyDescent="0.25">
      <c r="T16695" s="135"/>
      <c r="U16695" s="135"/>
    </row>
    <row r="16696" spans="20:21" ht="15" customHeight="1" x14ac:dyDescent="0.25">
      <c r="T16696" s="135"/>
      <c r="U16696" s="135"/>
    </row>
    <row r="16697" spans="20:21" ht="15" customHeight="1" x14ac:dyDescent="0.25">
      <c r="T16697" s="135"/>
      <c r="U16697" s="135"/>
    </row>
    <row r="16698" spans="20:21" ht="15" customHeight="1" x14ac:dyDescent="0.25">
      <c r="T16698" s="135"/>
      <c r="U16698" s="135"/>
    </row>
    <row r="16699" spans="20:21" ht="15" customHeight="1" x14ac:dyDescent="0.25">
      <c r="T16699" s="135"/>
      <c r="U16699" s="135"/>
    </row>
    <row r="16700" spans="20:21" ht="15" customHeight="1" x14ac:dyDescent="0.25">
      <c r="T16700" s="135"/>
      <c r="U16700" s="135"/>
    </row>
    <row r="16701" spans="20:21" ht="15" customHeight="1" x14ac:dyDescent="0.25">
      <c r="T16701" s="135"/>
      <c r="U16701" s="135"/>
    </row>
    <row r="16702" spans="20:21" ht="15" customHeight="1" x14ac:dyDescent="0.25">
      <c r="T16702" s="135"/>
      <c r="U16702" s="135"/>
    </row>
    <row r="16703" spans="20:21" ht="15" customHeight="1" x14ac:dyDescent="0.25">
      <c r="T16703" s="135"/>
      <c r="U16703" s="135"/>
    </row>
    <row r="16704" spans="20:21" ht="15" customHeight="1" x14ac:dyDescent="0.25">
      <c r="T16704" s="135"/>
      <c r="U16704" s="135"/>
    </row>
    <row r="16705" spans="20:21" ht="15" customHeight="1" x14ac:dyDescent="0.25">
      <c r="T16705" s="135"/>
      <c r="U16705" s="135"/>
    </row>
    <row r="16706" spans="20:21" ht="15" customHeight="1" x14ac:dyDescent="0.25">
      <c r="T16706" s="135"/>
      <c r="U16706" s="135"/>
    </row>
    <row r="16707" spans="20:21" ht="15" customHeight="1" x14ac:dyDescent="0.25">
      <c r="T16707" s="135"/>
      <c r="U16707" s="135"/>
    </row>
    <row r="16708" spans="20:21" ht="15" customHeight="1" x14ac:dyDescent="0.25">
      <c r="T16708" s="135"/>
      <c r="U16708" s="135"/>
    </row>
    <row r="16709" spans="20:21" ht="15" customHeight="1" x14ac:dyDescent="0.25">
      <c r="T16709" s="135"/>
      <c r="U16709" s="135"/>
    </row>
    <row r="16710" spans="20:21" ht="15" customHeight="1" x14ac:dyDescent="0.25">
      <c r="T16710" s="135"/>
      <c r="U16710" s="135"/>
    </row>
    <row r="16711" spans="20:21" ht="15" customHeight="1" x14ac:dyDescent="0.25">
      <c r="T16711" s="135"/>
      <c r="U16711" s="135"/>
    </row>
    <row r="16712" spans="20:21" ht="15" customHeight="1" x14ac:dyDescent="0.25">
      <c r="T16712" s="135"/>
      <c r="U16712" s="135"/>
    </row>
    <row r="16713" spans="20:21" ht="15" customHeight="1" x14ac:dyDescent="0.25">
      <c r="T16713" s="135"/>
      <c r="U16713" s="135"/>
    </row>
    <row r="16714" spans="20:21" ht="15" customHeight="1" x14ac:dyDescent="0.25">
      <c r="T16714" s="135"/>
      <c r="U16714" s="135"/>
    </row>
    <row r="16715" spans="20:21" ht="15" customHeight="1" x14ac:dyDescent="0.25">
      <c r="T16715" s="135"/>
      <c r="U16715" s="135"/>
    </row>
    <row r="16716" spans="20:21" ht="15" customHeight="1" x14ac:dyDescent="0.25">
      <c r="T16716" s="135"/>
      <c r="U16716" s="135"/>
    </row>
    <row r="16717" spans="20:21" ht="15" customHeight="1" x14ac:dyDescent="0.25">
      <c r="T16717" s="135"/>
      <c r="U16717" s="135"/>
    </row>
    <row r="16718" spans="20:21" ht="15" customHeight="1" x14ac:dyDescent="0.25">
      <c r="T16718" s="135"/>
      <c r="U16718" s="135"/>
    </row>
    <row r="16719" spans="20:21" ht="15" customHeight="1" x14ac:dyDescent="0.25">
      <c r="T16719" s="135"/>
      <c r="U16719" s="135"/>
    </row>
    <row r="16720" spans="20:21" ht="15" customHeight="1" x14ac:dyDescent="0.25">
      <c r="T16720" s="135"/>
      <c r="U16720" s="135"/>
    </row>
    <row r="16721" spans="20:21" ht="15" customHeight="1" x14ac:dyDescent="0.25">
      <c r="T16721" s="135"/>
      <c r="U16721" s="135"/>
    </row>
    <row r="16722" spans="20:21" ht="15" customHeight="1" x14ac:dyDescent="0.25">
      <c r="T16722" s="135"/>
      <c r="U16722" s="135"/>
    </row>
    <row r="16723" spans="20:21" ht="15" customHeight="1" x14ac:dyDescent="0.25">
      <c r="T16723" s="135"/>
      <c r="U16723" s="135"/>
    </row>
    <row r="16724" spans="20:21" ht="15" customHeight="1" x14ac:dyDescent="0.25">
      <c r="T16724" s="135"/>
      <c r="U16724" s="135"/>
    </row>
    <row r="16725" spans="20:21" ht="15" customHeight="1" x14ac:dyDescent="0.25">
      <c r="T16725" s="135"/>
      <c r="U16725" s="135"/>
    </row>
    <row r="16726" spans="20:21" ht="15" customHeight="1" x14ac:dyDescent="0.25">
      <c r="T16726" s="135"/>
      <c r="U16726" s="135"/>
    </row>
    <row r="16727" spans="20:21" ht="15" customHeight="1" x14ac:dyDescent="0.25">
      <c r="T16727" s="135"/>
      <c r="U16727" s="135"/>
    </row>
    <row r="16728" spans="20:21" ht="15" customHeight="1" x14ac:dyDescent="0.25">
      <c r="T16728" s="135"/>
      <c r="U16728" s="135"/>
    </row>
    <row r="16729" spans="20:21" ht="15" customHeight="1" x14ac:dyDescent="0.25">
      <c r="T16729" s="135"/>
      <c r="U16729" s="135"/>
    </row>
    <row r="16730" spans="20:21" ht="15" customHeight="1" x14ac:dyDescent="0.25">
      <c r="T16730" s="135"/>
      <c r="U16730" s="135"/>
    </row>
    <row r="16731" spans="20:21" ht="15" customHeight="1" x14ac:dyDescent="0.25">
      <c r="T16731" s="135"/>
      <c r="U16731" s="135"/>
    </row>
    <row r="16732" spans="20:21" ht="15" customHeight="1" x14ac:dyDescent="0.25">
      <c r="T16732" s="135"/>
      <c r="U16732" s="135"/>
    </row>
    <row r="16733" spans="20:21" ht="15" customHeight="1" x14ac:dyDescent="0.25">
      <c r="T16733" s="135"/>
      <c r="U16733" s="135"/>
    </row>
    <row r="16734" spans="20:21" ht="15" customHeight="1" x14ac:dyDescent="0.25">
      <c r="T16734" s="135"/>
      <c r="U16734" s="135"/>
    </row>
    <row r="16735" spans="20:21" ht="15" customHeight="1" x14ac:dyDescent="0.25">
      <c r="T16735" s="135"/>
      <c r="U16735" s="135"/>
    </row>
    <row r="16736" spans="20:21" ht="15" customHeight="1" x14ac:dyDescent="0.25">
      <c r="T16736" s="135"/>
      <c r="U16736" s="135"/>
    </row>
    <row r="16737" spans="20:21" ht="15" customHeight="1" x14ac:dyDescent="0.25">
      <c r="T16737" s="135"/>
      <c r="U16737" s="135"/>
    </row>
    <row r="16738" spans="20:21" ht="15" customHeight="1" x14ac:dyDescent="0.25">
      <c r="T16738" s="135"/>
      <c r="U16738" s="135"/>
    </row>
    <row r="16739" spans="20:21" ht="15" customHeight="1" x14ac:dyDescent="0.25">
      <c r="T16739" s="135"/>
      <c r="U16739" s="135"/>
    </row>
    <row r="16740" spans="20:21" ht="15" customHeight="1" x14ac:dyDescent="0.25">
      <c r="T16740" s="135"/>
      <c r="U16740" s="135"/>
    </row>
    <row r="16741" spans="20:21" ht="15" customHeight="1" x14ac:dyDescent="0.25">
      <c r="T16741" s="135"/>
      <c r="U16741" s="135"/>
    </row>
    <row r="16742" spans="20:21" ht="15" customHeight="1" x14ac:dyDescent="0.25">
      <c r="T16742" s="135"/>
      <c r="U16742" s="135"/>
    </row>
    <row r="16743" spans="20:21" ht="15" customHeight="1" x14ac:dyDescent="0.25">
      <c r="T16743" s="135"/>
      <c r="U16743" s="135"/>
    </row>
    <row r="16744" spans="20:21" ht="15" customHeight="1" x14ac:dyDescent="0.25">
      <c r="T16744" s="135"/>
      <c r="U16744" s="135"/>
    </row>
    <row r="16745" spans="20:21" ht="15" customHeight="1" x14ac:dyDescent="0.25">
      <c r="T16745" s="135"/>
      <c r="U16745" s="135"/>
    </row>
    <row r="16746" spans="20:21" ht="15" customHeight="1" x14ac:dyDescent="0.25">
      <c r="T16746" s="135"/>
      <c r="U16746" s="135"/>
    </row>
    <row r="16747" spans="20:21" ht="15" customHeight="1" x14ac:dyDescent="0.25">
      <c r="T16747" s="135"/>
      <c r="U16747" s="135"/>
    </row>
    <row r="16748" spans="20:21" ht="15" customHeight="1" x14ac:dyDescent="0.25">
      <c r="T16748" s="135"/>
      <c r="U16748" s="135"/>
    </row>
    <row r="16749" spans="20:21" ht="15" customHeight="1" x14ac:dyDescent="0.25">
      <c r="T16749" s="135"/>
      <c r="U16749" s="135"/>
    </row>
    <row r="16750" spans="20:21" ht="15" customHeight="1" x14ac:dyDescent="0.25">
      <c r="T16750" s="135"/>
      <c r="U16750" s="135"/>
    </row>
    <row r="16751" spans="20:21" ht="15" customHeight="1" x14ac:dyDescent="0.25">
      <c r="T16751" s="135"/>
      <c r="U16751" s="135"/>
    </row>
    <row r="16752" spans="20:21" ht="15" customHeight="1" x14ac:dyDescent="0.25">
      <c r="T16752" s="135"/>
      <c r="U16752" s="135"/>
    </row>
    <row r="16753" spans="20:21" ht="15" customHeight="1" x14ac:dyDescent="0.25">
      <c r="T16753" s="135"/>
      <c r="U16753" s="135"/>
    </row>
    <row r="16754" spans="20:21" ht="15" customHeight="1" x14ac:dyDescent="0.25">
      <c r="T16754" s="135"/>
      <c r="U16754" s="135"/>
    </row>
    <row r="16755" spans="20:21" ht="15" customHeight="1" x14ac:dyDescent="0.25">
      <c r="T16755" s="135"/>
      <c r="U16755" s="135"/>
    </row>
    <row r="16756" spans="20:21" ht="15" customHeight="1" x14ac:dyDescent="0.25">
      <c r="T16756" s="135"/>
      <c r="U16756" s="135"/>
    </row>
    <row r="16757" spans="20:21" ht="15" customHeight="1" x14ac:dyDescent="0.25">
      <c r="T16757" s="135"/>
      <c r="U16757" s="135"/>
    </row>
    <row r="16758" spans="20:21" ht="15" customHeight="1" x14ac:dyDescent="0.25">
      <c r="T16758" s="135"/>
      <c r="U16758" s="135"/>
    </row>
    <row r="16759" spans="20:21" ht="15" customHeight="1" x14ac:dyDescent="0.25">
      <c r="T16759" s="135"/>
      <c r="U16759" s="135"/>
    </row>
    <row r="16760" spans="20:21" ht="15" customHeight="1" x14ac:dyDescent="0.25">
      <c r="T16760" s="135"/>
      <c r="U16760" s="135"/>
    </row>
    <row r="16761" spans="20:21" ht="15" customHeight="1" x14ac:dyDescent="0.25">
      <c r="T16761" s="135"/>
      <c r="U16761" s="135"/>
    </row>
    <row r="16762" spans="20:21" ht="15" customHeight="1" x14ac:dyDescent="0.25">
      <c r="T16762" s="135"/>
      <c r="U16762" s="135"/>
    </row>
    <row r="16763" spans="20:21" ht="15" customHeight="1" x14ac:dyDescent="0.25">
      <c r="T16763" s="135"/>
      <c r="U16763" s="135"/>
    </row>
    <row r="16764" spans="20:21" ht="15" customHeight="1" x14ac:dyDescent="0.25">
      <c r="T16764" s="135"/>
      <c r="U16764" s="135"/>
    </row>
    <row r="16765" spans="20:21" ht="15" customHeight="1" x14ac:dyDescent="0.25">
      <c r="T16765" s="135"/>
      <c r="U16765" s="135"/>
    </row>
    <row r="16766" spans="20:21" ht="15" customHeight="1" x14ac:dyDescent="0.25">
      <c r="T16766" s="135"/>
      <c r="U16766" s="135"/>
    </row>
    <row r="16767" spans="20:21" ht="15" customHeight="1" x14ac:dyDescent="0.25">
      <c r="T16767" s="135"/>
      <c r="U16767" s="135"/>
    </row>
    <row r="16768" spans="20:21" ht="15" customHeight="1" x14ac:dyDescent="0.25">
      <c r="T16768" s="135"/>
      <c r="U16768" s="135"/>
    </row>
    <row r="16769" spans="20:21" ht="15" customHeight="1" x14ac:dyDescent="0.25">
      <c r="T16769" s="135"/>
      <c r="U16769" s="135"/>
    </row>
    <row r="16770" spans="20:21" ht="15" customHeight="1" x14ac:dyDescent="0.25">
      <c r="T16770" s="135"/>
      <c r="U16770" s="135"/>
    </row>
    <row r="16771" spans="20:21" ht="15" customHeight="1" x14ac:dyDescent="0.25">
      <c r="T16771" s="135"/>
      <c r="U16771" s="135"/>
    </row>
    <row r="16772" spans="20:21" ht="15" customHeight="1" x14ac:dyDescent="0.25">
      <c r="T16772" s="135"/>
      <c r="U16772" s="135"/>
    </row>
    <row r="16773" spans="20:21" ht="15" customHeight="1" x14ac:dyDescent="0.25">
      <c r="T16773" s="135"/>
      <c r="U16773" s="135"/>
    </row>
    <row r="16774" spans="20:21" ht="15" customHeight="1" x14ac:dyDescent="0.25">
      <c r="T16774" s="135"/>
      <c r="U16774" s="135"/>
    </row>
    <row r="16775" spans="20:21" ht="15" customHeight="1" x14ac:dyDescent="0.25">
      <c r="T16775" s="135"/>
      <c r="U16775" s="135"/>
    </row>
    <row r="16776" spans="20:21" ht="15" customHeight="1" x14ac:dyDescent="0.25">
      <c r="T16776" s="135"/>
      <c r="U16776" s="135"/>
    </row>
    <row r="16777" spans="20:21" ht="15" customHeight="1" x14ac:dyDescent="0.25">
      <c r="T16777" s="135"/>
      <c r="U16777" s="135"/>
    </row>
    <row r="16778" spans="20:21" ht="15" customHeight="1" x14ac:dyDescent="0.25">
      <c r="T16778" s="135"/>
      <c r="U16778" s="135"/>
    </row>
    <row r="16779" spans="20:21" ht="15" customHeight="1" x14ac:dyDescent="0.25">
      <c r="T16779" s="135"/>
      <c r="U16779" s="135"/>
    </row>
    <row r="16780" spans="20:21" ht="15" customHeight="1" x14ac:dyDescent="0.25">
      <c r="T16780" s="135"/>
      <c r="U16780" s="135"/>
    </row>
    <row r="16781" spans="20:21" ht="15" customHeight="1" x14ac:dyDescent="0.25">
      <c r="T16781" s="135"/>
      <c r="U16781" s="135"/>
    </row>
    <row r="16782" spans="20:21" ht="15" customHeight="1" x14ac:dyDescent="0.25">
      <c r="T16782" s="135"/>
      <c r="U16782" s="135"/>
    </row>
    <row r="16783" spans="20:21" ht="15" customHeight="1" x14ac:dyDescent="0.25">
      <c r="T16783" s="135"/>
      <c r="U16783" s="135"/>
    </row>
    <row r="16784" spans="20:21" ht="15" customHeight="1" x14ac:dyDescent="0.25">
      <c r="T16784" s="135"/>
      <c r="U16784" s="135"/>
    </row>
    <row r="16785" spans="20:21" ht="15" customHeight="1" x14ac:dyDescent="0.25">
      <c r="T16785" s="135"/>
      <c r="U16785" s="135"/>
    </row>
    <row r="16786" spans="20:21" ht="15" customHeight="1" x14ac:dyDescent="0.25">
      <c r="T16786" s="135"/>
      <c r="U16786" s="135"/>
    </row>
    <row r="16787" spans="20:21" ht="15" customHeight="1" x14ac:dyDescent="0.25">
      <c r="T16787" s="135"/>
      <c r="U16787" s="135"/>
    </row>
    <row r="16788" spans="20:21" ht="15" customHeight="1" x14ac:dyDescent="0.25">
      <c r="T16788" s="135"/>
      <c r="U16788" s="135"/>
    </row>
    <row r="16789" spans="20:21" ht="15" customHeight="1" x14ac:dyDescent="0.25">
      <c r="T16789" s="135"/>
      <c r="U16789" s="135"/>
    </row>
    <row r="16790" spans="20:21" ht="15" customHeight="1" x14ac:dyDescent="0.25">
      <c r="T16790" s="135"/>
      <c r="U16790" s="135"/>
    </row>
    <row r="16791" spans="20:21" ht="15" customHeight="1" x14ac:dyDescent="0.25">
      <c r="T16791" s="135"/>
      <c r="U16791" s="135"/>
    </row>
    <row r="16792" spans="20:21" ht="15" customHeight="1" x14ac:dyDescent="0.25">
      <c r="T16792" s="135"/>
      <c r="U16792" s="135"/>
    </row>
    <row r="16793" spans="20:21" ht="15" customHeight="1" x14ac:dyDescent="0.25">
      <c r="T16793" s="135"/>
      <c r="U16793" s="135"/>
    </row>
    <row r="16794" spans="20:21" ht="15" customHeight="1" x14ac:dyDescent="0.25">
      <c r="T16794" s="135"/>
      <c r="U16794" s="135"/>
    </row>
    <row r="16795" spans="20:21" ht="15" customHeight="1" x14ac:dyDescent="0.25">
      <c r="T16795" s="135"/>
      <c r="U16795" s="135"/>
    </row>
    <row r="16796" spans="20:21" ht="15" customHeight="1" x14ac:dyDescent="0.25">
      <c r="T16796" s="135"/>
      <c r="U16796" s="135"/>
    </row>
    <row r="16797" spans="20:21" ht="15" customHeight="1" x14ac:dyDescent="0.25">
      <c r="T16797" s="135"/>
      <c r="U16797" s="135"/>
    </row>
    <row r="16798" spans="20:21" ht="15" customHeight="1" x14ac:dyDescent="0.25">
      <c r="T16798" s="135"/>
      <c r="U16798" s="135"/>
    </row>
    <row r="16799" spans="20:21" ht="15" customHeight="1" x14ac:dyDescent="0.25">
      <c r="T16799" s="135"/>
      <c r="U16799" s="135"/>
    </row>
    <row r="16800" spans="20:21" ht="15" customHeight="1" x14ac:dyDescent="0.25">
      <c r="T16800" s="135"/>
      <c r="U16800" s="135"/>
    </row>
    <row r="16801" spans="20:21" ht="15" customHeight="1" x14ac:dyDescent="0.25">
      <c r="T16801" s="135"/>
      <c r="U16801" s="135"/>
    </row>
    <row r="16802" spans="20:21" ht="15" customHeight="1" x14ac:dyDescent="0.25">
      <c r="T16802" s="135"/>
      <c r="U16802" s="135"/>
    </row>
    <row r="16803" spans="20:21" ht="15" customHeight="1" x14ac:dyDescent="0.25">
      <c r="T16803" s="135"/>
      <c r="U16803" s="135"/>
    </row>
    <row r="16804" spans="20:21" ht="15" customHeight="1" x14ac:dyDescent="0.25">
      <c r="T16804" s="135"/>
      <c r="U16804" s="135"/>
    </row>
    <row r="16805" spans="20:21" ht="15" customHeight="1" x14ac:dyDescent="0.25">
      <c r="T16805" s="135"/>
      <c r="U16805" s="135"/>
    </row>
    <row r="16806" spans="20:21" ht="15" customHeight="1" x14ac:dyDescent="0.25">
      <c r="T16806" s="135"/>
      <c r="U16806" s="135"/>
    </row>
    <row r="16807" spans="20:21" ht="15" customHeight="1" x14ac:dyDescent="0.25">
      <c r="T16807" s="135"/>
      <c r="U16807" s="135"/>
    </row>
    <row r="16808" spans="20:21" ht="15" customHeight="1" x14ac:dyDescent="0.25">
      <c r="T16808" s="135"/>
      <c r="U16808" s="135"/>
    </row>
    <row r="16809" spans="20:21" ht="15" customHeight="1" x14ac:dyDescent="0.25">
      <c r="T16809" s="135"/>
      <c r="U16809" s="135"/>
    </row>
    <row r="16810" spans="20:21" ht="15" customHeight="1" x14ac:dyDescent="0.25">
      <c r="T16810" s="135"/>
      <c r="U16810" s="135"/>
    </row>
    <row r="16811" spans="20:21" ht="15" customHeight="1" x14ac:dyDescent="0.25">
      <c r="T16811" s="135"/>
      <c r="U16811" s="135"/>
    </row>
    <row r="16812" spans="20:21" ht="15" customHeight="1" x14ac:dyDescent="0.25">
      <c r="T16812" s="135"/>
      <c r="U16812" s="135"/>
    </row>
    <row r="16813" spans="20:21" ht="15" customHeight="1" x14ac:dyDescent="0.25">
      <c r="T16813" s="135"/>
      <c r="U16813" s="135"/>
    </row>
    <row r="16814" spans="20:21" ht="15" customHeight="1" x14ac:dyDescent="0.25">
      <c r="T16814" s="135"/>
      <c r="U16814" s="135"/>
    </row>
    <row r="16815" spans="20:21" ht="15" customHeight="1" x14ac:dyDescent="0.25">
      <c r="T16815" s="135"/>
      <c r="U16815" s="135"/>
    </row>
    <row r="16816" spans="20:21" ht="15" customHeight="1" x14ac:dyDescent="0.25">
      <c r="T16816" s="135"/>
      <c r="U16816" s="135"/>
    </row>
    <row r="16817" spans="20:21" ht="15" customHeight="1" x14ac:dyDescent="0.25">
      <c r="T16817" s="135"/>
      <c r="U16817" s="135"/>
    </row>
    <row r="16818" spans="20:21" ht="15" customHeight="1" x14ac:dyDescent="0.25">
      <c r="T16818" s="135"/>
      <c r="U16818" s="135"/>
    </row>
    <row r="16819" spans="20:21" ht="15" customHeight="1" x14ac:dyDescent="0.25">
      <c r="T16819" s="135"/>
      <c r="U16819" s="135"/>
    </row>
    <row r="16820" spans="20:21" ht="15" customHeight="1" x14ac:dyDescent="0.25">
      <c r="T16820" s="135"/>
      <c r="U16820" s="135"/>
    </row>
    <row r="16821" spans="20:21" ht="15" customHeight="1" x14ac:dyDescent="0.25">
      <c r="T16821" s="135"/>
      <c r="U16821" s="135"/>
    </row>
    <row r="16822" spans="20:21" ht="15" customHeight="1" x14ac:dyDescent="0.25">
      <c r="T16822" s="135"/>
      <c r="U16822" s="135"/>
    </row>
    <row r="16823" spans="20:21" ht="15" customHeight="1" x14ac:dyDescent="0.25">
      <c r="T16823" s="135"/>
      <c r="U16823" s="135"/>
    </row>
    <row r="16824" spans="20:21" ht="15" customHeight="1" x14ac:dyDescent="0.25">
      <c r="T16824" s="135"/>
      <c r="U16824" s="135"/>
    </row>
    <row r="16825" spans="20:21" ht="15" customHeight="1" x14ac:dyDescent="0.25">
      <c r="T16825" s="135"/>
      <c r="U16825" s="135"/>
    </row>
    <row r="16826" spans="20:21" ht="15" customHeight="1" x14ac:dyDescent="0.25">
      <c r="T16826" s="135"/>
      <c r="U16826" s="135"/>
    </row>
    <row r="16827" spans="20:21" ht="15" customHeight="1" x14ac:dyDescent="0.25">
      <c r="T16827" s="135"/>
      <c r="U16827" s="135"/>
    </row>
    <row r="16828" spans="20:21" ht="15" customHeight="1" x14ac:dyDescent="0.25">
      <c r="T16828" s="135"/>
      <c r="U16828" s="135"/>
    </row>
    <row r="16829" spans="20:21" ht="15" customHeight="1" x14ac:dyDescent="0.25">
      <c r="T16829" s="135"/>
      <c r="U16829" s="135"/>
    </row>
    <row r="16830" spans="20:21" ht="15" customHeight="1" x14ac:dyDescent="0.25">
      <c r="T16830" s="135"/>
      <c r="U16830" s="135"/>
    </row>
    <row r="16831" spans="20:21" ht="15" customHeight="1" x14ac:dyDescent="0.25">
      <c r="T16831" s="135"/>
      <c r="U16831" s="135"/>
    </row>
    <row r="16832" spans="20:21" ht="15" customHeight="1" x14ac:dyDescent="0.25">
      <c r="T16832" s="135"/>
      <c r="U16832" s="135"/>
    </row>
    <row r="16833" spans="20:21" ht="15" customHeight="1" x14ac:dyDescent="0.25">
      <c r="T16833" s="135"/>
      <c r="U16833" s="135"/>
    </row>
    <row r="16834" spans="20:21" ht="15" customHeight="1" x14ac:dyDescent="0.25">
      <c r="T16834" s="135"/>
      <c r="U16834" s="135"/>
    </row>
    <row r="16835" spans="20:21" ht="15" customHeight="1" x14ac:dyDescent="0.25">
      <c r="T16835" s="135"/>
      <c r="U16835" s="135"/>
    </row>
    <row r="16836" spans="20:21" ht="15" customHeight="1" x14ac:dyDescent="0.25">
      <c r="T16836" s="135"/>
      <c r="U16836" s="135"/>
    </row>
    <row r="16837" spans="20:21" ht="15" customHeight="1" x14ac:dyDescent="0.25">
      <c r="T16837" s="135"/>
      <c r="U16837" s="135"/>
    </row>
    <row r="16838" spans="20:21" ht="15" customHeight="1" x14ac:dyDescent="0.25">
      <c r="T16838" s="135"/>
      <c r="U16838" s="135"/>
    </row>
    <row r="16839" spans="20:21" ht="15" customHeight="1" x14ac:dyDescent="0.25">
      <c r="T16839" s="135"/>
      <c r="U16839" s="135"/>
    </row>
    <row r="16840" spans="20:21" ht="15" customHeight="1" x14ac:dyDescent="0.25">
      <c r="T16840" s="135"/>
      <c r="U16840" s="135"/>
    </row>
    <row r="16841" spans="20:21" ht="15" customHeight="1" x14ac:dyDescent="0.25">
      <c r="T16841" s="135"/>
      <c r="U16841" s="135"/>
    </row>
    <row r="16842" spans="20:21" ht="15" customHeight="1" x14ac:dyDescent="0.25">
      <c r="T16842" s="135"/>
      <c r="U16842" s="135"/>
    </row>
    <row r="16843" spans="20:21" ht="15" customHeight="1" x14ac:dyDescent="0.25">
      <c r="T16843" s="135"/>
      <c r="U16843" s="135"/>
    </row>
    <row r="16844" spans="20:21" ht="15" customHeight="1" x14ac:dyDescent="0.25">
      <c r="T16844" s="135"/>
      <c r="U16844" s="135"/>
    </row>
    <row r="16845" spans="20:21" ht="15" customHeight="1" x14ac:dyDescent="0.25">
      <c r="T16845" s="135"/>
      <c r="U16845" s="135"/>
    </row>
    <row r="16846" spans="20:21" ht="15" customHeight="1" x14ac:dyDescent="0.25">
      <c r="T16846" s="135"/>
      <c r="U16846" s="135"/>
    </row>
    <row r="16847" spans="20:21" ht="15" customHeight="1" x14ac:dyDescent="0.25">
      <c r="T16847" s="135"/>
      <c r="U16847" s="135"/>
    </row>
    <row r="16848" spans="20:21" ht="15" customHeight="1" x14ac:dyDescent="0.25">
      <c r="T16848" s="135"/>
      <c r="U16848" s="135"/>
    </row>
    <row r="16849" spans="20:21" ht="15" customHeight="1" x14ac:dyDescent="0.25">
      <c r="T16849" s="135"/>
      <c r="U16849" s="135"/>
    </row>
    <row r="16850" spans="20:21" ht="15" customHeight="1" x14ac:dyDescent="0.25">
      <c r="T16850" s="135"/>
      <c r="U16850" s="135"/>
    </row>
    <row r="16851" spans="20:21" ht="15" customHeight="1" x14ac:dyDescent="0.25">
      <c r="T16851" s="135"/>
      <c r="U16851" s="135"/>
    </row>
    <row r="16852" spans="20:21" ht="15" customHeight="1" x14ac:dyDescent="0.25">
      <c r="T16852" s="135"/>
      <c r="U16852" s="135"/>
    </row>
    <row r="16853" spans="20:21" ht="15" customHeight="1" x14ac:dyDescent="0.25">
      <c r="T16853" s="135"/>
      <c r="U16853" s="135"/>
    </row>
    <row r="16854" spans="20:21" ht="15" customHeight="1" x14ac:dyDescent="0.25">
      <c r="T16854" s="135"/>
      <c r="U16854" s="135"/>
    </row>
    <row r="16855" spans="20:21" ht="15" customHeight="1" x14ac:dyDescent="0.25">
      <c r="T16855" s="135"/>
      <c r="U16855" s="135"/>
    </row>
    <row r="16856" spans="20:21" ht="15" customHeight="1" x14ac:dyDescent="0.25">
      <c r="T16856" s="135"/>
      <c r="U16856" s="135"/>
    </row>
    <row r="16857" spans="20:21" ht="15" customHeight="1" x14ac:dyDescent="0.25">
      <c r="T16857" s="135"/>
      <c r="U16857" s="135"/>
    </row>
    <row r="16858" spans="20:21" ht="15" customHeight="1" x14ac:dyDescent="0.25">
      <c r="T16858" s="135"/>
      <c r="U16858" s="135"/>
    </row>
    <row r="16859" spans="20:21" ht="15" customHeight="1" x14ac:dyDescent="0.25">
      <c r="T16859" s="135"/>
      <c r="U16859" s="135"/>
    </row>
    <row r="16860" spans="20:21" ht="15" customHeight="1" x14ac:dyDescent="0.25">
      <c r="T16860" s="135"/>
      <c r="U16860" s="135"/>
    </row>
    <row r="16861" spans="20:21" ht="15" customHeight="1" x14ac:dyDescent="0.25">
      <c r="T16861" s="135"/>
      <c r="U16861" s="135"/>
    </row>
    <row r="16862" spans="20:21" ht="15" customHeight="1" x14ac:dyDescent="0.25">
      <c r="T16862" s="135"/>
      <c r="U16862" s="135"/>
    </row>
    <row r="16863" spans="20:21" ht="15" customHeight="1" x14ac:dyDescent="0.25">
      <c r="T16863" s="135"/>
      <c r="U16863" s="135"/>
    </row>
    <row r="16864" spans="20:21" ht="15" customHeight="1" x14ac:dyDescent="0.25">
      <c r="T16864" s="135"/>
      <c r="U16864" s="135"/>
    </row>
    <row r="16865" spans="20:21" ht="15" customHeight="1" x14ac:dyDescent="0.25">
      <c r="T16865" s="135"/>
      <c r="U16865" s="135"/>
    </row>
    <row r="16866" spans="20:21" ht="15" customHeight="1" x14ac:dyDescent="0.25">
      <c r="T16866" s="135"/>
      <c r="U16866" s="135"/>
    </row>
    <row r="16867" spans="20:21" ht="15" customHeight="1" x14ac:dyDescent="0.25">
      <c r="T16867" s="135"/>
      <c r="U16867" s="135"/>
    </row>
    <row r="16868" spans="20:21" ht="15" customHeight="1" x14ac:dyDescent="0.25">
      <c r="T16868" s="135"/>
      <c r="U16868" s="135"/>
    </row>
    <row r="16869" spans="20:21" ht="15" customHeight="1" x14ac:dyDescent="0.25">
      <c r="T16869" s="135"/>
      <c r="U16869" s="135"/>
    </row>
    <row r="16870" spans="20:21" ht="15" customHeight="1" x14ac:dyDescent="0.25">
      <c r="T16870" s="135"/>
      <c r="U16870" s="135"/>
    </row>
    <row r="16871" spans="20:21" ht="15" customHeight="1" x14ac:dyDescent="0.25">
      <c r="T16871" s="135"/>
      <c r="U16871" s="135"/>
    </row>
    <row r="16872" spans="20:21" ht="15" customHeight="1" x14ac:dyDescent="0.25">
      <c r="T16872" s="135"/>
      <c r="U16872" s="135"/>
    </row>
    <row r="16873" spans="20:21" ht="15" customHeight="1" x14ac:dyDescent="0.25">
      <c r="T16873" s="135"/>
      <c r="U16873" s="135"/>
    </row>
    <row r="16874" spans="20:21" ht="15" customHeight="1" x14ac:dyDescent="0.25">
      <c r="T16874" s="135"/>
      <c r="U16874" s="135"/>
    </row>
    <row r="16875" spans="20:21" ht="15" customHeight="1" x14ac:dyDescent="0.25">
      <c r="T16875" s="135"/>
      <c r="U16875" s="135"/>
    </row>
    <row r="16876" spans="20:21" ht="15" customHeight="1" x14ac:dyDescent="0.25">
      <c r="T16876" s="135"/>
      <c r="U16876" s="135"/>
    </row>
    <row r="16877" spans="20:21" ht="15" customHeight="1" x14ac:dyDescent="0.25">
      <c r="T16877" s="135"/>
      <c r="U16877" s="135"/>
    </row>
    <row r="16878" spans="20:21" ht="15" customHeight="1" x14ac:dyDescent="0.25">
      <c r="T16878" s="135"/>
      <c r="U16878" s="135"/>
    </row>
    <row r="16879" spans="20:21" ht="15" customHeight="1" x14ac:dyDescent="0.25">
      <c r="T16879" s="135"/>
      <c r="U16879" s="135"/>
    </row>
    <row r="16880" spans="20:21" ht="15" customHeight="1" x14ac:dyDescent="0.25">
      <c r="T16880" s="135"/>
      <c r="U16880" s="135"/>
    </row>
    <row r="16881" spans="20:21" ht="15" customHeight="1" x14ac:dyDescent="0.25">
      <c r="T16881" s="135"/>
      <c r="U16881" s="135"/>
    </row>
    <row r="16882" spans="20:21" ht="15" customHeight="1" x14ac:dyDescent="0.25">
      <c r="T16882" s="135"/>
      <c r="U16882" s="135"/>
    </row>
    <row r="16883" spans="20:21" ht="15" customHeight="1" x14ac:dyDescent="0.25">
      <c r="T16883" s="135"/>
      <c r="U16883" s="135"/>
    </row>
    <row r="16884" spans="20:21" ht="15" customHeight="1" x14ac:dyDescent="0.25">
      <c r="T16884" s="135"/>
      <c r="U16884" s="135"/>
    </row>
    <row r="16885" spans="20:21" ht="15" customHeight="1" x14ac:dyDescent="0.25">
      <c r="T16885" s="135"/>
      <c r="U16885" s="135"/>
    </row>
    <row r="16886" spans="20:21" ht="15" customHeight="1" x14ac:dyDescent="0.25">
      <c r="T16886" s="135"/>
      <c r="U16886" s="135"/>
    </row>
    <row r="16887" spans="20:21" ht="15" customHeight="1" x14ac:dyDescent="0.25">
      <c r="T16887" s="135"/>
      <c r="U16887" s="135"/>
    </row>
    <row r="16888" spans="20:21" ht="15" customHeight="1" x14ac:dyDescent="0.25">
      <c r="T16888" s="135"/>
      <c r="U16888" s="135"/>
    </row>
    <row r="16889" spans="20:21" ht="15" customHeight="1" x14ac:dyDescent="0.25">
      <c r="T16889" s="135"/>
      <c r="U16889" s="135"/>
    </row>
    <row r="16890" spans="20:21" ht="15" customHeight="1" x14ac:dyDescent="0.25">
      <c r="T16890" s="135"/>
      <c r="U16890" s="135"/>
    </row>
    <row r="16891" spans="20:21" ht="15" customHeight="1" x14ac:dyDescent="0.25">
      <c r="T16891" s="135"/>
      <c r="U16891" s="135"/>
    </row>
    <row r="16892" spans="20:21" ht="15" customHeight="1" x14ac:dyDescent="0.25">
      <c r="T16892" s="135"/>
      <c r="U16892" s="135"/>
    </row>
    <row r="16893" spans="20:21" ht="15" customHeight="1" x14ac:dyDescent="0.25">
      <c r="T16893" s="135"/>
      <c r="U16893" s="135"/>
    </row>
    <row r="16894" spans="20:21" ht="15" customHeight="1" x14ac:dyDescent="0.25">
      <c r="T16894" s="135"/>
      <c r="U16894" s="135"/>
    </row>
    <row r="16895" spans="20:21" ht="15" customHeight="1" x14ac:dyDescent="0.25">
      <c r="T16895" s="135"/>
      <c r="U16895" s="135"/>
    </row>
    <row r="16896" spans="20:21" ht="15" customHeight="1" x14ac:dyDescent="0.25">
      <c r="T16896" s="135"/>
      <c r="U16896" s="135"/>
    </row>
    <row r="16897" spans="20:21" ht="15" customHeight="1" x14ac:dyDescent="0.25">
      <c r="T16897" s="135"/>
      <c r="U16897" s="135"/>
    </row>
    <row r="16898" spans="20:21" ht="15" customHeight="1" x14ac:dyDescent="0.25">
      <c r="T16898" s="135"/>
      <c r="U16898" s="135"/>
    </row>
    <row r="16899" spans="20:21" ht="15" customHeight="1" x14ac:dyDescent="0.25">
      <c r="T16899" s="135"/>
      <c r="U16899" s="135"/>
    </row>
    <row r="16900" spans="20:21" ht="15" customHeight="1" x14ac:dyDescent="0.25">
      <c r="T16900" s="135"/>
      <c r="U16900" s="135"/>
    </row>
    <row r="16901" spans="20:21" ht="15" customHeight="1" x14ac:dyDescent="0.25">
      <c r="T16901" s="135"/>
      <c r="U16901" s="135"/>
    </row>
    <row r="16902" spans="20:21" ht="15" customHeight="1" x14ac:dyDescent="0.25">
      <c r="T16902" s="135"/>
      <c r="U16902" s="135"/>
    </row>
    <row r="16903" spans="20:21" ht="15" customHeight="1" x14ac:dyDescent="0.25">
      <c r="T16903" s="135"/>
      <c r="U16903" s="135"/>
    </row>
    <row r="16904" spans="20:21" ht="15" customHeight="1" x14ac:dyDescent="0.25">
      <c r="T16904" s="135"/>
      <c r="U16904" s="135"/>
    </row>
    <row r="16905" spans="20:21" ht="15" customHeight="1" x14ac:dyDescent="0.25">
      <c r="T16905" s="135"/>
      <c r="U16905" s="135"/>
    </row>
    <row r="16906" spans="20:21" ht="15" customHeight="1" x14ac:dyDescent="0.25">
      <c r="T16906" s="135"/>
      <c r="U16906" s="135"/>
    </row>
    <row r="16907" spans="20:21" ht="15" customHeight="1" x14ac:dyDescent="0.25">
      <c r="T16907" s="135"/>
      <c r="U16907" s="135"/>
    </row>
    <row r="16908" spans="20:21" ht="15" customHeight="1" x14ac:dyDescent="0.25">
      <c r="T16908" s="135"/>
      <c r="U16908" s="135"/>
    </row>
    <row r="16909" spans="20:21" ht="15" customHeight="1" x14ac:dyDescent="0.25">
      <c r="T16909" s="135"/>
      <c r="U16909" s="135"/>
    </row>
    <row r="16910" spans="20:21" ht="15" customHeight="1" x14ac:dyDescent="0.25">
      <c r="T16910" s="135"/>
      <c r="U16910" s="135"/>
    </row>
    <row r="16911" spans="20:21" ht="15" customHeight="1" x14ac:dyDescent="0.25">
      <c r="T16911" s="135"/>
      <c r="U16911" s="135"/>
    </row>
    <row r="16912" spans="20:21" ht="15" customHeight="1" x14ac:dyDescent="0.25">
      <c r="T16912" s="135"/>
      <c r="U16912" s="135"/>
    </row>
    <row r="16913" spans="20:21" ht="15" customHeight="1" x14ac:dyDescent="0.25">
      <c r="T16913" s="135"/>
      <c r="U16913" s="135"/>
    </row>
    <row r="16914" spans="20:21" ht="15" customHeight="1" x14ac:dyDescent="0.25">
      <c r="T16914" s="135"/>
      <c r="U16914" s="135"/>
    </row>
    <row r="16915" spans="20:21" ht="15" customHeight="1" x14ac:dyDescent="0.25">
      <c r="T16915" s="135"/>
      <c r="U16915" s="135"/>
    </row>
    <row r="16916" spans="20:21" ht="15" customHeight="1" x14ac:dyDescent="0.25">
      <c r="T16916" s="135"/>
      <c r="U16916" s="135"/>
    </row>
    <row r="16917" spans="20:21" ht="15" customHeight="1" x14ac:dyDescent="0.25">
      <c r="T16917" s="135"/>
      <c r="U16917" s="135"/>
    </row>
    <row r="16918" spans="20:21" ht="15" customHeight="1" x14ac:dyDescent="0.25">
      <c r="T16918" s="135"/>
      <c r="U16918" s="135"/>
    </row>
    <row r="16919" spans="20:21" ht="15" customHeight="1" x14ac:dyDescent="0.25">
      <c r="T16919" s="135"/>
      <c r="U16919" s="135"/>
    </row>
    <row r="16920" spans="20:21" ht="15" customHeight="1" x14ac:dyDescent="0.25">
      <c r="T16920" s="135"/>
      <c r="U16920" s="135"/>
    </row>
    <row r="16921" spans="20:21" ht="15" customHeight="1" x14ac:dyDescent="0.25">
      <c r="T16921" s="135"/>
      <c r="U16921" s="135"/>
    </row>
    <row r="16922" spans="20:21" ht="15" customHeight="1" x14ac:dyDescent="0.25">
      <c r="T16922" s="135"/>
      <c r="U16922" s="135"/>
    </row>
    <row r="16923" spans="20:21" ht="15" customHeight="1" x14ac:dyDescent="0.25">
      <c r="T16923" s="135"/>
      <c r="U16923" s="135"/>
    </row>
    <row r="16924" spans="20:21" ht="15" customHeight="1" x14ac:dyDescent="0.25">
      <c r="T16924" s="135"/>
      <c r="U16924" s="135"/>
    </row>
    <row r="16925" spans="20:21" ht="15" customHeight="1" x14ac:dyDescent="0.25">
      <c r="T16925" s="135"/>
      <c r="U16925" s="135"/>
    </row>
    <row r="16926" spans="20:21" ht="15" customHeight="1" x14ac:dyDescent="0.25">
      <c r="T16926" s="135"/>
      <c r="U16926" s="135"/>
    </row>
    <row r="16927" spans="20:21" ht="15" customHeight="1" x14ac:dyDescent="0.25">
      <c r="T16927" s="135"/>
      <c r="U16927" s="135"/>
    </row>
    <row r="16928" spans="20:21" ht="15" customHeight="1" x14ac:dyDescent="0.25">
      <c r="T16928" s="135"/>
      <c r="U16928" s="135"/>
    </row>
    <row r="16929" spans="20:21" ht="15" customHeight="1" x14ac:dyDescent="0.25">
      <c r="T16929" s="135"/>
      <c r="U16929" s="135"/>
    </row>
    <row r="16930" spans="20:21" ht="15" customHeight="1" x14ac:dyDescent="0.25">
      <c r="T16930" s="135"/>
      <c r="U16930" s="135"/>
    </row>
    <row r="16931" spans="20:21" ht="15" customHeight="1" x14ac:dyDescent="0.25">
      <c r="T16931" s="135"/>
      <c r="U16931" s="135"/>
    </row>
    <row r="16932" spans="20:21" ht="15" customHeight="1" x14ac:dyDescent="0.25">
      <c r="T16932" s="135"/>
      <c r="U16932" s="135"/>
    </row>
    <row r="16933" spans="20:21" ht="15" customHeight="1" x14ac:dyDescent="0.25">
      <c r="T16933" s="135"/>
      <c r="U16933" s="135"/>
    </row>
    <row r="16934" spans="20:21" ht="15" customHeight="1" x14ac:dyDescent="0.25">
      <c r="T16934" s="135"/>
      <c r="U16934" s="135"/>
    </row>
    <row r="16935" spans="20:21" ht="15" customHeight="1" x14ac:dyDescent="0.25">
      <c r="T16935" s="135"/>
      <c r="U16935" s="135"/>
    </row>
    <row r="16936" spans="20:21" ht="15" customHeight="1" x14ac:dyDescent="0.25">
      <c r="T16936" s="135"/>
      <c r="U16936" s="135"/>
    </row>
    <row r="16937" spans="20:21" ht="15" customHeight="1" x14ac:dyDescent="0.25">
      <c r="T16937" s="135"/>
      <c r="U16937" s="135"/>
    </row>
    <row r="16938" spans="20:21" ht="15" customHeight="1" x14ac:dyDescent="0.25">
      <c r="T16938" s="135"/>
      <c r="U16938" s="135"/>
    </row>
    <row r="16939" spans="20:21" ht="15" customHeight="1" x14ac:dyDescent="0.25">
      <c r="T16939" s="135"/>
      <c r="U16939" s="135"/>
    </row>
    <row r="16940" spans="20:21" ht="15" customHeight="1" x14ac:dyDescent="0.25">
      <c r="T16940" s="135"/>
      <c r="U16940" s="135"/>
    </row>
    <row r="16941" spans="20:21" ht="15" customHeight="1" x14ac:dyDescent="0.25">
      <c r="T16941" s="135"/>
      <c r="U16941" s="135"/>
    </row>
    <row r="16942" spans="20:21" ht="15" customHeight="1" x14ac:dyDescent="0.25">
      <c r="T16942" s="135"/>
      <c r="U16942" s="135"/>
    </row>
    <row r="16943" spans="20:21" ht="15" customHeight="1" x14ac:dyDescent="0.25">
      <c r="T16943" s="135"/>
      <c r="U16943" s="135"/>
    </row>
    <row r="16944" spans="20:21" ht="15" customHeight="1" x14ac:dyDescent="0.25">
      <c r="T16944" s="135"/>
      <c r="U16944" s="135"/>
    </row>
    <row r="16945" spans="20:21" ht="15" customHeight="1" x14ac:dyDescent="0.25">
      <c r="T16945" s="135"/>
      <c r="U16945" s="135"/>
    </row>
    <row r="16946" spans="20:21" ht="15" customHeight="1" x14ac:dyDescent="0.25">
      <c r="T16946" s="135"/>
      <c r="U16946" s="135"/>
    </row>
    <row r="16947" spans="20:21" ht="15" customHeight="1" x14ac:dyDescent="0.25">
      <c r="T16947" s="135"/>
      <c r="U16947" s="135"/>
    </row>
    <row r="16948" spans="20:21" ht="15" customHeight="1" x14ac:dyDescent="0.25">
      <c r="T16948" s="135"/>
      <c r="U16948" s="135"/>
    </row>
    <row r="16949" spans="20:21" ht="15" customHeight="1" x14ac:dyDescent="0.25">
      <c r="T16949" s="135"/>
      <c r="U16949" s="135"/>
    </row>
    <row r="16950" spans="20:21" ht="15" customHeight="1" x14ac:dyDescent="0.25">
      <c r="T16950" s="135"/>
      <c r="U16950" s="135"/>
    </row>
    <row r="16951" spans="20:21" ht="15" customHeight="1" x14ac:dyDescent="0.25">
      <c r="T16951" s="135"/>
      <c r="U16951" s="135"/>
    </row>
    <row r="16952" spans="20:21" ht="15" customHeight="1" x14ac:dyDescent="0.25">
      <c r="T16952" s="135"/>
      <c r="U16952" s="135"/>
    </row>
    <row r="16953" spans="20:21" ht="15" customHeight="1" x14ac:dyDescent="0.25">
      <c r="T16953" s="135"/>
      <c r="U16953" s="135"/>
    </row>
    <row r="16954" spans="20:21" ht="15" customHeight="1" x14ac:dyDescent="0.25">
      <c r="T16954" s="135"/>
      <c r="U16954" s="135"/>
    </row>
    <row r="16955" spans="20:21" ht="15" customHeight="1" x14ac:dyDescent="0.25">
      <c r="T16955" s="135"/>
      <c r="U16955" s="135"/>
    </row>
    <row r="16956" spans="20:21" ht="15" customHeight="1" x14ac:dyDescent="0.25">
      <c r="T16956" s="135"/>
      <c r="U16956" s="135"/>
    </row>
    <row r="16957" spans="20:21" ht="15" customHeight="1" x14ac:dyDescent="0.25">
      <c r="T16957" s="135"/>
      <c r="U16957" s="135"/>
    </row>
    <row r="16958" spans="20:21" ht="15" customHeight="1" x14ac:dyDescent="0.25">
      <c r="T16958" s="135"/>
      <c r="U16958" s="135"/>
    </row>
    <row r="16959" spans="20:21" ht="15" customHeight="1" x14ac:dyDescent="0.25">
      <c r="T16959" s="135"/>
      <c r="U16959" s="135"/>
    </row>
    <row r="16960" spans="20:21" ht="15" customHeight="1" x14ac:dyDescent="0.25">
      <c r="T16960" s="135"/>
      <c r="U16960" s="135"/>
    </row>
    <row r="16961" spans="20:21" ht="15" customHeight="1" x14ac:dyDescent="0.25">
      <c r="T16961" s="135"/>
      <c r="U16961" s="135"/>
    </row>
    <row r="16962" spans="20:21" ht="15" customHeight="1" x14ac:dyDescent="0.25">
      <c r="T16962" s="135"/>
      <c r="U16962" s="135"/>
    </row>
    <row r="16963" spans="20:21" ht="15" customHeight="1" x14ac:dyDescent="0.25">
      <c r="T16963" s="135"/>
      <c r="U16963" s="135"/>
    </row>
    <row r="16964" spans="20:21" ht="15" customHeight="1" x14ac:dyDescent="0.25">
      <c r="T16964" s="135"/>
      <c r="U16964" s="135"/>
    </row>
    <row r="16965" spans="20:21" ht="15" customHeight="1" x14ac:dyDescent="0.25">
      <c r="T16965" s="135"/>
      <c r="U16965" s="135"/>
    </row>
    <row r="16966" spans="20:21" ht="15" customHeight="1" x14ac:dyDescent="0.25">
      <c r="T16966" s="135"/>
      <c r="U16966" s="135"/>
    </row>
    <row r="16967" spans="20:21" ht="15" customHeight="1" x14ac:dyDescent="0.25">
      <c r="T16967" s="135"/>
      <c r="U16967" s="135"/>
    </row>
    <row r="16968" spans="20:21" ht="15" customHeight="1" x14ac:dyDescent="0.25">
      <c r="T16968" s="135"/>
      <c r="U16968" s="135"/>
    </row>
    <row r="16969" spans="20:21" ht="15" customHeight="1" x14ac:dyDescent="0.25">
      <c r="T16969" s="135"/>
      <c r="U16969" s="135"/>
    </row>
    <row r="16970" spans="20:21" ht="15" customHeight="1" x14ac:dyDescent="0.25">
      <c r="T16970" s="135"/>
      <c r="U16970" s="135"/>
    </row>
    <row r="16971" spans="20:21" ht="15" customHeight="1" x14ac:dyDescent="0.25">
      <c r="T16971" s="135"/>
      <c r="U16971" s="135"/>
    </row>
    <row r="16972" spans="20:21" ht="15" customHeight="1" x14ac:dyDescent="0.25">
      <c r="T16972" s="135"/>
      <c r="U16972" s="135"/>
    </row>
    <row r="16973" spans="20:21" ht="15" customHeight="1" x14ac:dyDescent="0.25">
      <c r="T16973" s="135"/>
      <c r="U16973" s="135"/>
    </row>
    <row r="16974" spans="20:21" ht="15" customHeight="1" x14ac:dyDescent="0.25">
      <c r="T16974" s="135"/>
      <c r="U16974" s="135"/>
    </row>
    <row r="16975" spans="20:21" ht="15" customHeight="1" x14ac:dyDescent="0.25">
      <c r="T16975" s="135"/>
      <c r="U16975" s="135"/>
    </row>
    <row r="16976" spans="20:21" ht="15" customHeight="1" x14ac:dyDescent="0.25">
      <c r="T16976" s="135"/>
      <c r="U16976" s="135"/>
    </row>
    <row r="16977" spans="20:21" ht="15" customHeight="1" x14ac:dyDescent="0.25">
      <c r="T16977" s="135"/>
      <c r="U16977" s="135"/>
    </row>
    <row r="16978" spans="20:21" ht="15" customHeight="1" x14ac:dyDescent="0.25">
      <c r="T16978" s="135"/>
      <c r="U16978" s="135"/>
    </row>
    <row r="16979" spans="20:21" ht="15" customHeight="1" x14ac:dyDescent="0.25">
      <c r="T16979" s="135"/>
      <c r="U16979" s="135"/>
    </row>
    <row r="16980" spans="20:21" ht="15" customHeight="1" x14ac:dyDescent="0.25">
      <c r="T16980" s="135"/>
      <c r="U16980" s="135"/>
    </row>
    <row r="16981" spans="20:21" ht="15" customHeight="1" x14ac:dyDescent="0.25">
      <c r="T16981" s="135"/>
      <c r="U16981" s="135"/>
    </row>
    <row r="16982" spans="20:21" ht="15" customHeight="1" x14ac:dyDescent="0.25">
      <c r="T16982" s="135"/>
      <c r="U16982" s="135"/>
    </row>
    <row r="16983" spans="20:21" ht="15" customHeight="1" x14ac:dyDescent="0.25">
      <c r="T16983" s="135"/>
      <c r="U16983" s="135"/>
    </row>
    <row r="16984" spans="20:21" ht="15" customHeight="1" x14ac:dyDescent="0.25">
      <c r="T16984" s="135"/>
      <c r="U16984" s="135"/>
    </row>
    <row r="16985" spans="20:21" ht="15" customHeight="1" x14ac:dyDescent="0.25">
      <c r="T16985" s="135"/>
      <c r="U16985" s="135"/>
    </row>
    <row r="16986" spans="20:21" ht="15" customHeight="1" x14ac:dyDescent="0.25">
      <c r="T16986" s="135"/>
      <c r="U16986" s="135"/>
    </row>
    <row r="16987" spans="20:21" ht="15" customHeight="1" x14ac:dyDescent="0.25">
      <c r="T16987" s="135"/>
      <c r="U16987" s="135"/>
    </row>
    <row r="16988" spans="20:21" ht="15" customHeight="1" x14ac:dyDescent="0.25">
      <c r="T16988" s="135"/>
      <c r="U16988" s="135"/>
    </row>
    <row r="16989" spans="20:21" ht="15" customHeight="1" x14ac:dyDescent="0.25">
      <c r="T16989" s="135"/>
      <c r="U16989" s="135"/>
    </row>
    <row r="16990" spans="20:21" ht="15" customHeight="1" x14ac:dyDescent="0.25">
      <c r="T16990" s="135"/>
      <c r="U16990" s="135"/>
    </row>
    <row r="16991" spans="20:21" ht="15" customHeight="1" x14ac:dyDescent="0.25">
      <c r="T16991" s="135"/>
      <c r="U16991" s="135"/>
    </row>
    <row r="16992" spans="20:21" ht="15" customHeight="1" x14ac:dyDescent="0.25">
      <c r="T16992" s="135"/>
      <c r="U16992" s="135"/>
    </row>
    <row r="16993" spans="20:21" ht="15" customHeight="1" x14ac:dyDescent="0.25">
      <c r="T16993" s="135"/>
      <c r="U16993" s="135"/>
    </row>
    <row r="16994" spans="20:21" ht="15" customHeight="1" x14ac:dyDescent="0.25">
      <c r="T16994" s="135"/>
      <c r="U16994" s="135"/>
    </row>
    <row r="16995" spans="20:21" ht="15" customHeight="1" x14ac:dyDescent="0.25">
      <c r="T16995" s="135"/>
      <c r="U16995" s="135"/>
    </row>
    <row r="16996" spans="20:21" ht="15" customHeight="1" x14ac:dyDescent="0.25">
      <c r="T16996" s="135"/>
      <c r="U16996" s="135"/>
    </row>
    <row r="16997" spans="20:21" ht="15" customHeight="1" x14ac:dyDescent="0.25">
      <c r="T16997" s="135"/>
      <c r="U16997" s="135"/>
    </row>
    <row r="16998" spans="20:21" ht="15" customHeight="1" x14ac:dyDescent="0.25">
      <c r="T16998" s="135"/>
      <c r="U16998" s="135"/>
    </row>
    <row r="16999" spans="20:21" ht="15" customHeight="1" x14ac:dyDescent="0.25">
      <c r="T16999" s="135"/>
      <c r="U16999" s="135"/>
    </row>
    <row r="17000" spans="20:21" ht="15" customHeight="1" x14ac:dyDescent="0.25">
      <c r="T17000" s="135"/>
      <c r="U17000" s="135"/>
    </row>
    <row r="17001" spans="20:21" ht="15" customHeight="1" x14ac:dyDescent="0.25">
      <c r="T17001" s="135"/>
      <c r="U17001" s="135"/>
    </row>
    <row r="17002" spans="20:21" ht="15" customHeight="1" x14ac:dyDescent="0.25">
      <c r="T17002" s="135"/>
      <c r="U17002" s="135"/>
    </row>
    <row r="17003" spans="20:21" ht="15" customHeight="1" x14ac:dyDescent="0.25">
      <c r="T17003" s="135"/>
      <c r="U17003" s="135"/>
    </row>
    <row r="17004" spans="20:21" ht="15" customHeight="1" x14ac:dyDescent="0.25">
      <c r="T17004" s="135"/>
      <c r="U17004" s="135"/>
    </row>
    <row r="17005" spans="20:21" ht="15" customHeight="1" x14ac:dyDescent="0.25">
      <c r="T17005" s="135"/>
      <c r="U17005" s="135"/>
    </row>
    <row r="17006" spans="20:21" ht="15" customHeight="1" x14ac:dyDescent="0.25">
      <c r="T17006" s="135"/>
      <c r="U17006" s="135"/>
    </row>
    <row r="17007" spans="20:21" ht="15" customHeight="1" x14ac:dyDescent="0.25">
      <c r="T17007" s="135"/>
      <c r="U17007" s="135"/>
    </row>
    <row r="17008" spans="20:21" ht="15" customHeight="1" x14ac:dyDescent="0.25">
      <c r="T17008" s="135"/>
      <c r="U17008" s="135"/>
    </row>
    <row r="17009" spans="20:21" ht="15" customHeight="1" x14ac:dyDescent="0.25">
      <c r="T17009" s="135"/>
      <c r="U17009" s="135"/>
    </row>
    <row r="17010" spans="20:21" ht="15" customHeight="1" x14ac:dyDescent="0.25">
      <c r="T17010" s="135"/>
      <c r="U17010" s="135"/>
    </row>
    <row r="17011" spans="20:21" ht="15" customHeight="1" x14ac:dyDescent="0.25">
      <c r="T17011" s="135"/>
      <c r="U17011" s="135"/>
    </row>
    <row r="17012" spans="20:21" ht="15" customHeight="1" x14ac:dyDescent="0.25">
      <c r="T17012" s="135"/>
      <c r="U17012" s="135"/>
    </row>
    <row r="17013" spans="20:21" ht="15" customHeight="1" x14ac:dyDescent="0.25">
      <c r="T17013" s="135"/>
      <c r="U17013" s="135"/>
    </row>
    <row r="17014" spans="20:21" ht="15" customHeight="1" x14ac:dyDescent="0.25">
      <c r="T17014" s="135"/>
      <c r="U17014" s="135"/>
    </row>
    <row r="17015" spans="20:21" ht="15" customHeight="1" x14ac:dyDescent="0.25">
      <c r="T17015" s="135"/>
      <c r="U17015" s="135"/>
    </row>
    <row r="17016" spans="20:21" ht="15" customHeight="1" x14ac:dyDescent="0.25">
      <c r="T17016" s="135"/>
      <c r="U17016" s="135"/>
    </row>
    <row r="17017" spans="20:21" ht="15" customHeight="1" x14ac:dyDescent="0.25">
      <c r="T17017" s="135"/>
      <c r="U17017" s="135"/>
    </row>
    <row r="17018" spans="20:21" ht="15" customHeight="1" x14ac:dyDescent="0.25">
      <c r="T17018" s="135"/>
      <c r="U17018" s="135"/>
    </row>
    <row r="17019" spans="20:21" ht="15" customHeight="1" x14ac:dyDescent="0.25">
      <c r="T17019" s="135"/>
      <c r="U17019" s="135"/>
    </row>
    <row r="17020" spans="20:21" ht="15" customHeight="1" x14ac:dyDescent="0.25">
      <c r="T17020" s="135"/>
      <c r="U17020" s="135"/>
    </row>
    <row r="17021" spans="20:21" ht="15" customHeight="1" x14ac:dyDescent="0.25">
      <c r="T17021" s="135"/>
      <c r="U17021" s="135"/>
    </row>
    <row r="17022" spans="20:21" ht="15" customHeight="1" x14ac:dyDescent="0.25">
      <c r="T17022" s="135"/>
      <c r="U17022" s="135"/>
    </row>
    <row r="17023" spans="20:21" ht="15" customHeight="1" x14ac:dyDescent="0.25">
      <c r="T17023" s="135"/>
      <c r="U17023" s="135"/>
    </row>
    <row r="17024" spans="20:21" ht="15" customHeight="1" x14ac:dyDescent="0.25">
      <c r="T17024" s="135"/>
      <c r="U17024" s="135"/>
    </row>
    <row r="17025" spans="20:21" ht="15" customHeight="1" x14ac:dyDescent="0.25">
      <c r="T17025" s="135"/>
      <c r="U17025" s="135"/>
    </row>
    <row r="17026" spans="20:21" ht="15" customHeight="1" x14ac:dyDescent="0.25">
      <c r="T17026" s="135"/>
      <c r="U17026" s="135"/>
    </row>
    <row r="17027" spans="20:21" ht="15" customHeight="1" x14ac:dyDescent="0.25">
      <c r="T17027" s="135"/>
      <c r="U17027" s="135"/>
    </row>
    <row r="17028" spans="20:21" ht="15" customHeight="1" x14ac:dyDescent="0.25">
      <c r="T17028" s="135"/>
      <c r="U17028" s="135"/>
    </row>
    <row r="17029" spans="20:21" ht="15" customHeight="1" x14ac:dyDescent="0.25">
      <c r="T17029" s="135"/>
      <c r="U17029" s="135"/>
    </row>
    <row r="17030" spans="20:21" ht="15" customHeight="1" x14ac:dyDescent="0.25">
      <c r="T17030" s="135"/>
      <c r="U17030" s="135"/>
    </row>
    <row r="17031" spans="20:21" ht="15" customHeight="1" x14ac:dyDescent="0.25">
      <c r="T17031" s="135"/>
      <c r="U17031" s="135"/>
    </row>
    <row r="17032" spans="20:21" ht="15" customHeight="1" x14ac:dyDescent="0.25">
      <c r="T17032" s="135"/>
      <c r="U17032" s="135"/>
    </row>
    <row r="17033" spans="20:21" ht="15" customHeight="1" x14ac:dyDescent="0.25">
      <c r="T17033" s="135"/>
      <c r="U17033" s="135"/>
    </row>
    <row r="17034" spans="20:21" ht="15" customHeight="1" x14ac:dyDescent="0.25">
      <c r="T17034" s="135"/>
      <c r="U17034" s="135"/>
    </row>
    <row r="17035" spans="20:21" ht="15" customHeight="1" x14ac:dyDescent="0.25">
      <c r="T17035" s="135"/>
      <c r="U17035" s="135"/>
    </row>
    <row r="17036" spans="20:21" ht="15" customHeight="1" x14ac:dyDescent="0.25">
      <c r="T17036" s="135"/>
      <c r="U17036" s="135"/>
    </row>
    <row r="17037" spans="20:21" ht="15" customHeight="1" x14ac:dyDescent="0.25">
      <c r="T17037" s="135"/>
      <c r="U17037" s="135"/>
    </row>
    <row r="17038" spans="20:21" ht="15" customHeight="1" x14ac:dyDescent="0.25">
      <c r="T17038" s="135"/>
      <c r="U17038" s="135"/>
    </row>
    <row r="17039" spans="20:21" ht="15" customHeight="1" x14ac:dyDescent="0.25">
      <c r="T17039" s="135"/>
      <c r="U17039" s="135"/>
    </row>
    <row r="17040" spans="20:21" ht="15" customHeight="1" x14ac:dyDescent="0.25">
      <c r="T17040" s="135"/>
      <c r="U17040" s="135"/>
    </row>
    <row r="17041" spans="20:21" ht="15" customHeight="1" x14ac:dyDescent="0.25">
      <c r="T17041" s="135"/>
      <c r="U17041" s="135"/>
    </row>
    <row r="17042" spans="20:21" ht="15" customHeight="1" x14ac:dyDescent="0.25">
      <c r="T17042" s="135"/>
      <c r="U17042" s="135"/>
    </row>
    <row r="17043" spans="20:21" ht="15" customHeight="1" x14ac:dyDescent="0.25">
      <c r="T17043" s="135"/>
      <c r="U17043" s="135"/>
    </row>
    <row r="17044" spans="20:21" ht="15" customHeight="1" x14ac:dyDescent="0.25">
      <c r="T17044" s="135"/>
      <c r="U17044" s="135"/>
    </row>
    <row r="17045" spans="20:21" ht="15" customHeight="1" x14ac:dyDescent="0.25">
      <c r="T17045" s="135"/>
      <c r="U17045" s="135"/>
    </row>
    <row r="17046" spans="20:21" ht="15" customHeight="1" x14ac:dyDescent="0.25">
      <c r="T17046" s="135"/>
      <c r="U17046" s="135"/>
    </row>
    <row r="17047" spans="20:21" ht="15" customHeight="1" x14ac:dyDescent="0.25">
      <c r="T17047" s="135"/>
      <c r="U17047" s="135"/>
    </row>
    <row r="17048" spans="20:21" ht="15" customHeight="1" x14ac:dyDescent="0.25">
      <c r="T17048" s="135"/>
      <c r="U17048" s="135"/>
    </row>
    <row r="17049" spans="20:21" ht="15" customHeight="1" x14ac:dyDescent="0.25">
      <c r="T17049" s="135"/>
      <c r="U17049" s="135"/>
    </row>
    <row r="17050" spans="20:21" ht="15" customHeight="1" x14ac:dyDescent="0.25">
      <c r="T17050" s="135"/>
      <c r="U17050" s="135"/>
    </row>
    <row r="17051" spans="20:21" ht="15" customHeight="1" x14ac:dyDescent="0.25">
      <c r="T17051" s="135"/>
      <c r="U17051" s="135"/>
    </row>
    <row r="17052" spans="20:21" ht="15" customHeight="1" x14ac:dyDescent="0.25">
      <c r="T17052" s="135"/>
      <c r="U17052" s="135"/>
    </row>
    <row r="17053" spans="20:21" ht="15" customHeight="1" x14ac:dyDescent="0.25">
      <c r="T17053" s="135"/>
      <c r="U17053" s="135"/>
    </row>
    <row r="17054" spans="20:21" ht="15" customHeight="1" x14ac:dyDescent="0.25">
      <c r="T17054" s="135"/>
      <c r="U17054" s="135"/>
    </row>
    <row r="17055" spans="20:21" ht="15" customHeight="1" x14ac:dyDescent="0.25">
      <c r="T17055" s="135"/>
      <c r="U17055" s="135"/>
    </row>
    <row r="17056" spans="20:21" ht="15" customHeight="1" x14ac:dyDescent="0.25">
      <c r="T17056" s="135"/>
      <c r="U17056" s="135"/>
    </row>
    <row r="17057" spans="20:21" ht="15" customHeight="1" x14ac:dyDescent="0.25">
      <c r="T17057" s="135"/>
      <c r="U17057" s="135"/>
    </row>
    <row r="17058" spans="20:21" ht="15" customHeight="1" x14ac:dyDescent="0.25">
      <c r="T17058" s="135"/>
      <c r="U17058" s="135"/>
    </row>
    <row r="17059" spans="20:21" ht="15" customHeight="1" x14ac:dyDescent="0.25">
      <c r="T17059" s="135"/>
      <c r="U17059" s="135"/>
    </row>
    <row r="17060" spans="20:21" ht="15" customHeight="1" x14ac:dyDescent="0.25">
      <c r="T17060" s="135"/>
      <c r="U17060" s="135"/>
    </row>
    <row r="17061" spans="20:21" ht="15" customHeight="1" x14ac:dyDescent="0.25">
      <c r="T17061" s="135"/>
      <c r="U17061" s="135"/>
    </row>
    <row r="17062" spans="20:21" ht="15" customHeight="1" x14ac:dyDescent="0.25">
      <c r="T17062" s="135"/>
      <c r="U17062" s="135"/>
    </row>
    <row r="17063" spans="20:21" ht="15" customHeight="1" x14ac:dyDescent="0.25">
      <c r="T17063" s="135"/>
      <c r="U17063" s="135"/>
    </row>
    <row r="17064" spans="20:21" ht="15" customHeight="1" x14ac:dyDescent="0.25">
      <c r="T17064" s="135"/>
      <c r="U17064" s="135"/>
    </row>
    <row r="17065" spans="20:21" ht="15" customHeight="1" x14ac:dyDescent="0.25">
      <c r="T17065" s="135"/>
      <c r="U17065" s="135"/>
    </row>
    <row r="17066" spans="20:21" ht="15" customHeight="1" x14ac:dyDescent="0.25">
      <c r="T17066" s="135"/>
      <c r="U17066" s="135"/>
    </row>
    <row r="17067" spans="20:21" ht="15" customHeight="1" x14ac:dyDescent="0.25">
      <c r="T17067" s="135"/>
      <c r="U17067" s="135"/>
    </row>
    <row r="17068" spans="20:21" ht="15" customHeight="1" x14ac:dyDescent="0.25">
      <c r="T17068" s="135"/>
      <c r="U17068" s="135"/>
    </row>
    <row r="17069" spans="20:21" ht="15" customHeight="1" x14ac:dyDescent="0.25">
      <c r="T17069" s="135"/>
      <c r="U17069" s="135"/>
    </row>
    <row r="17070" spans="20:21" ht="15" customHeight="1" x14ac:dyDescent="0.25">
      <c r="T17070" s="135"/>
      <c r="U17070" s="135"/>
    </row>
    <row r="17071" spans="20:21" ht="15" customHeight="1" x14ac:dyDescent="0.25">
      <c r="T17071" s="135"/>
      <c r="U17071" s="135"/>
    </row>
    <row r="17072" spans="20:21" ht="15" customHeight="1" x14ac:dyDescent="0.25">
      <c r="T17072" s="135"/>
      <c r="U17072" s="135"/>
    </row>
    <row r="17073" spans="20:21" ht="15" customHeight="1" x14ac:dyDescent="0.25">
      <c r="T17073" s="135"/>
      <c r="U17073" s="135"/>
    </row>
    <row r="17074" spans="20:21" ht="15" customHeight="1" x14ac:dyDescent="0.25">
      <c r="T17074" s="135"/>
      <c r="U17074" s="135"/>
    </row>
    <row r="17075" spans="20:21" ht="15" customHeight="1" x14ac:dyDescent="0.25">
      <c r="T17075" s="135"/>
      <c r="U17075" s="135"/>
    </row>
    <row r="17076" spans="20:21" ht="15" customHeight="1" x14ac:dyDescent="0.25">
      <c r="T17076" s="135"/>
      <c r="U17076" s="135"/>
    </row>
    <row r="17077" spans="20:21" ht="15" customHeight="1" x14ac:dyDescent="0.25">
      <c r="T17077" s="135"/>
      <c r="U17077" s="135"/>
    </row>
    <row r="17078" spans="20:21" ht="15" customHeight="1" x14ac:dyDescent="0.25">
      <c r="T17078" s="135"/>
      <c r="U17078" s="135"/>
    </row>
    <row r="17079" spans="20:21" ht="15" customHeight="1" x14ac:dyDescent="0.25">
      <c r="T17079" s="135"/>
      <c r="U17079" s="135"/>
    </row>
    <row r="17080" spans="20:21" ht="15" customHeight="1" x14ac:dyDescent="0.25">
      <c r="T17080" s="135"/>
      <c r="U17080" s="135"/>
    </row>
    <row r="17081" spans="20:21" ht="15" customHeight="1" x14ac:dyDescent="0.25">
      <c r="T17081" s="135"/>
      <c r="U17081" s="135"/>
    </row>
    <row r="17082" spans="20:21" ht="15" customHeight="1" x14ac:dyDescent="0.25">
      <c r="T17082" s="135"/>
      <c r="U17082" s="135"/>
    </row>
    <row r="17083" spans="20:21" ht="15" customHeight="1" x14ac:dyDescent="0.25">
      <c r="T17083" s="135"/>
      <c r="U17083" s="135"/>
    </row>
    <row r="17084" spans="20:21" ht="15" customHeight="1" x14ac:dyDescent="0.25">
      <c r="T17084" s="135"/>
      <c r="U17084" s="135"/>
    </row>
    <row r="17085" spans="20:21" ht="15" customHeight="1" x14ac:dyDescent="0.25">
      <c r="T17085" s="135"/>
      <c r="U17085" s="135"/>
    </row>
    <row r="17086" spans="20:21" ht="15" customHeight="1" x14ac:dyDescent="0.25">
      <c r="T17086" s="135"/>
      <c r="U17086" s="135"/>
    </row>
    <row r="17087" spans="20:21" ht="15" customHeight="1" x14ac:dyDescent="0.25">
      <c r="T17087" s="135"/>
      <c r="U17087" s="135"/>
    </row>
    <row r="17088" spans="20:21" ht="15" customHeight="1" x14ac:dyDescent="0.25">
      <c r="T17088" s="135"/>
      <c r="U17088" s="135"/>
    </row>
    <row r="17089" spans="20:21" ht="15" customHeight="1" x14ac:dyDescent="0.25">
      <c r="T17089" s="135"/>
      <c r="U17089" s="135"/>
    </row>
    <row r="17090" spans="20:21" ht="15" customHeight="1" x14ac:dyDescent="0.25">
      <c r="T17090" s="135"/>
      <c r="U17090" s="135"/>
    </row>
    <row r="17091" spans="20:21" ht="15" customHeight="1" x14ac:dyDescent="0.25">
      <c r="T17091" s="135"/>
      <c r="U17091" s="135"/>
    </row>
    <row r="17092" spans="20:21" ht="15" customHeight="1" x14ac:dyDescent="0.25">
      <c r="T17092" s="135"/>
      <c r="U17092" s="135"/>
    </row>
    <row r="17093" spans="20:21" ht="15" customHeight="1" x14ac:dyDescent="0.25">
      <c r="T17093" s="135"/>
      <c r="U17093" s="135"/>
    </row>
    <row r="17094" spans="20:21" ht="15" customHeight="1" x14ac:dyDescent="0.25">
      <c r="T17094" s="135"/>
      <c r="U17094" s="135"/>
    </row>
    <row r="17095" spans="20:21" ht="15" customHeight="1" x14ac:dyDescent="0.25">
      <c r="T17095" s="135"/>
      <c r="U17095" s="135"/>
    </row>
    <row r="17096" spans="20:21" ht="15" customHeight="1" x14ac:dyDescent="0.25">
      <c r="T17096" s="135"/>
      <c r="U17096" s="135"/>
    </row>
    <row r="17097" spans="20:21" ht="15" customHeight="1" x14ac:dyDescent="0.25">
      <c r="T17097" s="135"/>
      <c r="U17097" s="135"/>
    </row>
    <row r="17098" spans="20:21" ht="15" customHeight="1" x14ac:dyDescent="0.25">
      <c r="T17098" s="135"/>
      <c r="U17098" s="135"/>
    </row>
    <row r="17099" spans="20:21" ht="15" customHeight="1" x14ac:dyDescent="0.25">
      <c r="T17099" s="135"/>
      <c r="U17099" s="135"/>
    </row>
    <row r="17100" spans="20:21" ht="15" customHeight="1" x14ac:dyDescent="0.25">
      <c r="T17100" s="135"/>
      <c r="U17100" s="135"/>
    </row>
    <row r="17101" spans="20:21" ht="15" customHeight="1" x14ac:dyDescent="0.25">
      <c r="T17101" s="135"/>
      <c r="U17101" s="135"/>
    </row>
    <row r="17102" spans="20:21" ht="15" customHeight="1" x14ac:dyDescent="0.25">
      <c r="T17102" s="135"/>
      <c r="U17102" s="135"/>
    </row>
    <row r="17103" spans="20:21" ht="15" customHeight="1" x14ac:dyDescent="0.25">
      <c r="T17103" s="135"/>
      <c r="U17103" s="135"/>
    </row>
    <row r="17104" spans="20:21" ht="15" customHeight="1" x14ac:dyDescent="0.25">
      <c r="T17104" s="135"/>
      <c r="U17104" s="135"/>
    </row>
    <row r="17105" spans="20:21" ht="15" customHeight="1" x14ac:dyDescent="0.25">
      <c r="T17105" s="135"/>
      <c r="U17105" s="135"/>
    </row>
    <row r="17106" spans="20:21" ht="15" customHeight="1" x14ac:dyDescent="0.25">
      <c r="T17106" s="135"/>
      <c r="U17106" s="135"/>
    </row>
    <row r="17107" spans="20:21" ht="15" customHeight="1" x14ac:dyDescent="0.25">
      <c r="T17107" s="135"/>
      <c r="U17107" s="135"/>
    </row>
    <row r="17108" spans="20:21" ht="15" customHeight="1" x14ac:dyDescent="0.25">
      <c r="T17108" s="135"/>
      <c r="U17108" s="135"/>
    </row>
    <row r="17109" spans="20:21" ht="15" customHeight="1" x14ac:dyDescent="0.25">
      <c r="T17109" s="135"/>
      <c r="U17109" s="135"/>
    </row>
    <row r="17110" spans="20:21" ht="15" customHeight="1" x14ac:dyDescent="0.25">
      <c r="T17110" s="135"/>
      <c r="U17110" s="135"/>
    </row>
    <row r="17111" spans="20:21" ht="15" customHeight="1" x14ac:dyDescent="0.25">
      <c r="T17111" s="135"/>
      <c r="U17111" s="135"/>
    </row>
    <row r="17112" spans="20:21" ht="15" customHeight="1" x14ac:dyDescent="0.25">
      <c r="T17112" s="135"/>
      <c r="U17112" s="135"/>
    </row>
    <row r="17113" spans="20:21" ht="15" customHeight="1" x14ac:dyDescent="0.25">
      <c r="T17113" s="135"/>
      <c r="U17113" s="135"/>
    </row>
    <row r="17114" spans="20:21" ht="15" customHeight="1" x14ac:dyDescent="0.25">
      <c r="T17114" s="135"/>
      <c r="U17114" s="135"/>
    </row>
    <row r="17115" spans="20:21" ht="15" customHeight="1" x14ac:dyDescent="0.25">
      <c r="T17115" s="135"/>
      <c r="U17115" s="135"/>
    </row>
    <row r="17116" spans="20:21" ht="15" customHeight="1" x14ac:dyDescent="0.25">
      <c r="T17116" s="135"/>
      <c r="U17116" s="135"/>
    </row>
    <row r="17117" spans="20:21" ht="15" customHeight="1" x14ac:dyDescent="0.25">
      <c r="T17117" s="135"/>
      <c r="U17117" s="135"/>
    </row>
    <row r="17118" spans="20:21" ht="15" customHeight="1" x14ac:dyDescent="0.25">
      <c r="T17118" s="135"/>
      <c r="U17118" s="135"/>
    </row>
    <row r="17119" spans="20:21" ht="15" customHeight="1" x14ac:dyDescent="0.25">
      <c r="T17119" s="135"/>
      <c r="U17119" s="135"/>
    </row>
    <row r="17120" spans="20:21" ht="15" customHeight="1" x14ac:dyDescent="0.25">
      <c r="T17120" s="135"/>
      <c r="U17120" s="135"/>
    </row>
    <row r="17121" spans="20:21" ht="15" customHeight="1" x14ac:dyDescent="0.25">
      <c r="T17121" s="135"/>
      <c r="U17121" s="135"/>
    </row>
    <row r="17122" spans="20:21" ht="15" customHeight="1" x14ac:dyDescent="0.25">
      <c r="T17122" s="135"/>
      <c r="U17122" s="135"/>
    </row>
    <row r="17123" spans="20:21" ht="15" customHeight="1" x14ac:dyDescent="0.25">
      <c r="T17123" s="135"/>
      <c r="U17123" s="135"/>
    </row>
    <row r="17124" spans="20:21" ht="15" customHeight="1" x14ac:dyDescent="0.25">
      <c r="T17124" s="135"/>
      <c r="U17124" s="135"/>
    </row>
    <row r="17125" spans="20:21" ht="15" customHeight="1" x14ac:dyDescent="0.25">
      <c r="T17125" s="135"/>
      <c r="U17125" s="135"/>
    </row>
    <row r="17126" spans="20:21" ht="15" customHeight="1" x14ac:dyDescent="0.25">
      <c r="T17126" s="135"/>
      <c r="U17126" s="135"/>
    </row>
    <row r="17127" spans="20:21" ht="15" customHeight="1" x14ac:dyDescent="0.25">
      <c r="T17127" s="135"/>
      <c r="U17127" s="135"/>
    </row>
    <row r="17128" spans="20:21" ht="15" customHeight="1" x14ac:dyDescent="0.25">
      <c r="T17128" s="135"/>
      <c r="U17128" s="135"/>
    </row>
    <row r="17129" spans="20:21" ht="15" customHeight="1" x14ac:dyDescent="0.25">
      <c r="T17129" s="135"/>
      <c r="U17129" s="135"/>
    </row>
    <row r="17130" spans="20:21" ht="15" customHeight="1" x14ac:dyDescent="0.25">
      <c r="T17130" s="135"/>
      <c r="U17130" s="135"/>
    </row>
    <row r="17131" spans="20:21" ht="15" customHeight="1" x14ac:dyDescent="0.25">
      <c r="T17131" s="135"/>
      <c r="U17131" s="135"/>
    </row>
    <row r="17132" spans="20:21" ht="15" customHeight="1" x14ac:dyDescent="0.25">
      <c r="T17132" s="135"/>
      <c r="U17132" s="135"/>
    </row>
    <row r="17133" spans="20:21" ht="15" customHeight="1" x14ac:dyDescent="0.25">
      <c r="T17133" s="135"/>
      <c r="U17133" s="135"/>
    </row>
    <row r="17134" spans="20:21" ht="15" customHeight="1" x14ac:dyDescent="0.25">
      <c r="T17134" s="135"/>
      <c r="U17134" s="135"/>
    </row>
    <row r="17135" spans="20:21" ht="15" customHeight="1" x14ac:dyDescent="0.25">
      <c r="T17135" s="135"/>
      <c r="U17135" s="135"/>
    </row>
    <row r="17136" spans="20:21" ht="15" customHeight="1" x14ac:dyDescent="0.25">
      <c r="T17136" s="135"/>
      <c r="U17136" s="135"/>
    </row>
    <row r="17137" spans="20:21" ht="15" customHeight="1" x14ac:dyDescent="0.25">
      <c r="T17137" s="135"/>
      <c r="U17137" s="135"/>
    </row>
    <row r="17138" spans="20:21" ht="15" customHeight="1" x14ac:dyDescent="0.25">
      <c r="T17138" s="135"/>
      <c r="U17138" s="135"/>
    </row>
    <row r="17139" spans="20:21" ht="15" customHeight="1" x14ac:dyDescent="0.25">
      <c r="T17139" s="135"/>
      <c r="U17139" s="135"/>
    </row>
    <row r="17140" spans="20:21" ht="15" customHeight="1" x14ac:dyDescent="0.25">
      <c r="T17140" s="135"/>
      <c r="U17140" s="135"/>
    </row>
    <row r="17141" spans="20:21" ht="15" customHeight="1" x14ac:dyDescent="0.25">
      <c r="T17141" s="135"/>
      <c r="U17141" s="135"/>
    </row>
    <row r="17142" spans="20:21" ht="15" customHeight="1" x14ac:dyDescent="0.25">
      <c r="T17142" s="135"/>
      <c r="U17142" s="135"/>
    </row>
    <row r="17143" spans="20:21" ht="15" customHeight="1" x14ac:dyDescent="0.25">
      <c r="T17143" s="135"/>
      <c r="U17143" s="135"/>
    </row>
    <row r="17144" spans="20:21" ht="15" customHeight="1" x14ac:dyDescent="0.25">
      <c r="T17144" s="135"/>
      <c r="U17144" s="135"/>
    </row>
    <row r="17145" spans="20:21" ht="15" customHeight="1" x14ac:dyDescent="0.25">
      <c r="T17145" s="135"/>
      <c r="U17145" s="135"/>
    </row>
    <row r="17146" spans="20:21" ht="15" customHeight="1" x14ac:dyDescent="0.25">
      <c r="T17146" s="135"/>
      <c r="U17146" s="135"/>
    </row>
    <row r="17147" spans="20:21" ht="15" customHeight="1" x14ac:dyDescent="0.25">
      <c r="T17147" s="135"/>
      <c r="U17147" s="135"/>
    </row>
    <row r="17148" spans="20:21" ht="15" customHeight="1" x14ac:dyDescent="0.25">
      <c r="T17148" s="135"/>
      <c r="U17148" s="135"/>
    </row>
    <row r="17149" spans="20:21" ht="15" customHeight="1" x14ac:dyDescent="0.25">
      <c r="T17149" s="135"/>
      <c r="U17149" s="135"/>
    </row>
    <row r="17150" spans="20:21" ht="15" customHeight="1" x14ac:dyDescent="0.25">
      <c r="T17150" s="135"/>
      <c r="U17150" s="135"/>
    </row>
    <row r="17151" spans="20:21" ht="15" customHeight="1" x14ac:dyDescent="0.25">
      <c r="T17151" s="135"/>
      <c r="U17151" s="135"/>
    </row>
    <row r="17152" spans="20:21" ht="15" customHeight="1" x14ac:dyDescent="0.25">
      <c r="T17152" s="135"/>
      <c r="U17152" s="135"/>
    </row>
    <row r="17153" spans="20:21" ht="15" customHeight="1" x14ac:dyDescent="0.25">
      <c r="T17153" s="135"/>
      <c r="U17153" s="135"/>
    </row>
    <row r="17154" spans="20:21" ht="15" customHeight="1" x14ac:dyDescent="0.25">
      <c r="T17154" s="135"/>
      <c r="U17154" s="135"/>
    </row>
    <row r="17155" spans="20:21" ht="15" customHeight="1" x14ac:dyDescent="0.25">
      <c r="T17155" s="135"/>
      <c r="U17155" s="135"/>
    </row>
    <row r="17156" spans="20:21" ht="15" customHeight="1" x14ac:dyDescent="0.25">
      <c r="T17156" s="135"/>
      <c r="U17156" s="135"/>
    </row>
    <row r="17157" spans="20:21" ht="15" customHeight="1" x14ac:dyDescent="0.25">
      <c r="T17157" s="135"/>
      <c r="U17157" s="135"/>
    </row>
    <row r="17158" spans="20:21" ht="15" customHeight="1" x14ac:dyDescent="0.25">
      <c r="T17158" s="135"/>
      <c r="U17158" s="135"/>
    </row>
    <row r="17159" spans="20:21" ht="15" customHeight="1" x14ac:dyDescent="0.25">
      <c r="T17159" s="135"/>
      <c r="U17159" s="135"/>
    </row>
    <row r="17160" spans="20:21" ht="15" customHeight="1" x14ac:dyDescent="0.25">
      <c r="T17160" s="135"/>
      <c r="U17160" s="135"/>
    </row>
    <row r="17161" spans="20:21" ht="15" customHeight="1" x14ac:dyDescent="0.25">
      <c r="T17161" s="135"/>
      <c r="U17161" s="135"/>
    </row>
    <row r="17162" spans="20:21" ht="15" customHeight="1" x14ac:dyDescent="0.25">
      <c r="T17162" s="135"/>
      <c r="U17162" s="135"/>
    </row>
    <row r="17163" spans="20:21" ht="15" customHeight="1" x14ac:dyDescent="0.25">
      <c r="T17163" s="135"/>
      <c r="U17163" s="135"/>
    </row>
    <row r="17164" spans="20:21" ht="15" customHeight="1" x14ac:dyDescent="0.25">
      <c r="T17164" s="135"/>
      <c r="U17164" s="135"/>
    </row>
    <row r="17165" spans="20:21" ht="15" customHeight="1" x14ac:dyDescent="0.25">
      <c r="T17165" s="135"/>
      <c r="U17165" s="135"/>
    </row>
    <row r="17166" spans="20:21" ht="15" customHeight="1" x14ac:dyDescent="0.25">
      <c r="T17166" s="135"/>
      <c r="U17166" s="135"/>
    </row>
    <row r="17167" spans="20:21" ht="15" customHeight="1" x14ac:dyDescent="0.25">
      <c r="T17167" s="135"/>
      <c r="U17167" s="135"/>
    </row>
    <row r="17168" spans="20:21" ht="15" customHeight="1" x14ac:dyDescent="0.25">
      <c r="T17168" s="135"/>
      <c r="U17168" s="135"/>
    </row>
    <row r="17169" spans="20:21" ht="15" customHeight="1" x14ac:dyDescent="0.25">
      <c r="T17169" s="135"/>
      <c r="U17169" s="135"/>
    </row>
    <row r="17170" spans="20:21" ht="15" customHeight="1" x14ac:dyDescent="0.25">
      <c r="T17170" s="135"/>
      <c r="U17170" s="135"/>
    </row>
    <row r="17171" spans="20:21" ht="15" customHeight="1" x14ac:dyDescent="0.25">
      <c r="T17171" s="135"/>
      <c r="U17171" s="135"/>
    </row>
    <row r="17172" spans="20:21" ht="15" customHeight="1" x14ac:dyDescent="0.25">
      <c r="T17172" s="135"/>
      <c r="U17172" s="135"/>
    </row>
    <row r="17173" spans="20:21" ht="15" customHeight="1" x14ac:dyDescent="0.25">
      <c r="T17173" s="135"/>
      <c r="U17173" s="135"/>
    </row>
    <row r="17174" spans="20:21" ht="15" customHeight="1" x14ac:dyDescent="0.25">
      <c r="T17174" s="135"/>
      <c r="U17174" s="135"/>
    </row>
    <row r="17175" spans="20:21" ht="15" customHeight="1" x14ac:dyDescent="0.25">
      <c r="T17175" s="135"/>
      <c r="U17175" s="135"/>
    </row>
    <row r="17176" spans="20:21" ht="15" customHeight="1" x14ac:dyDescent="0.25">
      <c r="T17176" s="135"/>
      <c r="U17176" s="135"/>
    </row>
    <row r="17177" spans="20:21" ht="15" customHeight="1" x14ac:dyDescent="0.25">
      <c r="T17177" s="135"/>
      <c r="U17177" s="135"/>
    </row>
    <row r="17178" spans="20:21" ht="15" customHeight="1" x14ac:dyDescent="0.25">
      <c r="T17178" s="135"/>
      <c r="U17178" s="135"/>
    </row>
    <row r="17179" spans="20:21" ht="15" customHeight="1" x14ac:dyDescent="0.25">
      <c r="T17179" s="135"/>
      <c r="U17179" s="135"/>
    </row>
    <row r="17180" spans="20:21" ht="15" customHeight="1" x14ac:dyDescent="0.25">
      <c r="T17180" s="135"/>
      <c r="U17180" s="135"/>
    </row>
    <row r="17181" spans="20:21" ht="15" customHeight="1" x14ac:dyDescent="0.25">
      <c r="T17181" s="135"/>
      <c r="U17181" s="135"/>
    </row>
    <row r="17182" spans="20:21" ht="15" customHeight="1" x14ac:dyDescent="0.25">
      <c r="T17182" s="135"/>
      <c r="U17182" s="135"/>
    </row>
    <row r="17183" spans="20:21" ht="15" customHeight="1" x14ac:dyDescent="0.25">
      <c r="T17183" s="135"/>
      <c r="U17183" s="135"/>
    </row>
    <row r="17184" spans="20:21" ht="15" customHeight="1" x14ac:dyDescent="0.25">
      <c r="T17184" s="135"/>
      <c r="U17184" s="135"/>
    </row>
    <row r="17185" spans="20:21" ht="15" customHeight="1" x14ac:dyDescent="0.25">
      <c r="T17185" s="135"/>
      <c r="U17185" s="135"/>
    </row>
    <row r="17186" spans="20:21" ht="15" customHeight="1" x14ac:dyDescent="0.25">
      <c r="T17186" s="135"/>
      <c r="U17186" s="135"/>
    </row>
    <row r="17187" spans="20:21" ht="15" customHeight="1" x14ac:dyDescent="0.25">
      <c r="T17187" s="135"/>
      <c r="U17187" s="135"/>
    </row>
    <row r="17188" spans="20:21" ht="15" customHeight="1" x14ac:dyDescent="0.25">
      <c r="T17188" s="135"/>
      <c r="U17188" s="135"/>
    </row>
    <row r="17189" spans="20:21" ht="15" customHeight="1" x14ac:dyDescent="0.25">
      <c r="T17189" s="135"/>
      <c r="U17189" s="135"/>
    </row>
    <row r="17190" spans="20:21" ht="15" customHeight="1" x14ac:dyDescent="0.25">
      <c r="T17190" s="135"/>
      <c r="U17190" s="135"/>
    </row>
    <row r="17191" spans="20:21" ht="15" customHeight="1" x14ac:dyDescent="0.25">
      <c r="T17191" s="135"/>
      <c r="U17191" s="135"/>
    </row>
    <row r="17192" spans="20:21" ht="15" customHeight="1" x14ac:dyDescent="0.25">
      <c r="T17192" s="135"/>
      <c r="U17192" s="135"/>
    </row>
    <row r="17193" spans="20:21" ht="15" customHeight="1" x14ac:dyDescent="0.25">
      <c r="T17193" s="135"/>
      <c r="U17193" s="135"/>
    </row>
    <row r="17194" spans="20:21" ht="15" customHeight="1" x14ac:dyDescent="0.25">
      <c r="T17194" s="135"/>
      <c r="U17194" s="135"/>
    </row>
    <row r="17195" spans="20:21" ht="15" customHeight="1" x14ac:dyDescent="0.25">
      <c r="T17195" s="135"/>
      <c r="U17195" s="135"/>
    </row>
    <row r="17196" spans="20:21" ht="15" customHeight="1" x14ac:dyDescent="0.25">
      <c r="T17196" s="135"/>
      <c r="U17196" s="135"/>
    </row>
    <row r="17197" spans="20:21" ht="15" customHeight="1" x14ac:dyDescent="0.25">
      <c r="T17197" s="135"/>
      <c r="U17197" s="135"/>
    </row>
    <row r="17198" spans="20:21" ht="15" customHeight="1" x14ac:dyDescent="0.25">
      <c r="T17198" s="135"/>
      <c r="U17198" s="135"/>
    </row>
    <row r="17199" spans="20:21" ht="15" customHeight="1" x14ac:dyDescent="0.25">
      <c r="T17199" s="135"/>
      <c r="U17199" s="135"/>
    </row>
    <row r="17200" spans="20:21" ht="15" customHeight="1" x14ac:dyDescent="0.25">
      <c r="T17200" s="135"/>
      <c r="U17200" s="135"/>
    </row>
    <row r="17201" spans="20:21" ht="15" customHeight="1" x14ac:dyDescent="0.25">
      <c r="T17201" s="135"/>
      <c r="U17201" s="135"/>
    </row>
    <row r="17202" spans="20:21" ht="15" customHeight="1" x14ac:dyDescent="0.25">
      <c r="T17202" s="135"/>
      <c r="U17202" s="135"/>
    </row>
    <row r="17203" spans="20:21" ht="15" customHeight="1" x14ac:dyDescent="0.25">
      <c r="T17203" s="135"/>
      <c r="U17203" s="135"/>
    </row>
    <row r="17204" spans="20:21" ht="15" customHeight="1" x14ac:dyDescent="0.25">
      <c r="T17204" s="135"/>
      <c r="U17204" s="135"/>
    </row>
    <row r="17205" spans="20:21" ht="15" customHeight="1" x14ac:dyDescent="0.25">
      <c r="T17205" s="135"/>
      <c r="U17205" s="135"/>
    </row>
    <row r="17206" spans="20:21" ht="15" customHeight="1" x14ac:dyDescent="0.25">
      <c r="T17206" s="135"/>
      <c r="U17206" s="135"/>
    </row>
    <row r="17207" spans="20:21" ht="15" customHeight="1" x14ac:dyDescent="0.25">
      <c r="T17207" s="135"/>
      <c r="U17207" s="135"/>
    </row>
    <row r="17208" spans="20:21" ht="15" customHeight="1" x14ac:dyDescent="0.25">
      <c r="T17208" s="135"/>
      <c r="U17208" s="135"/>
    </row>
    <row r="17209" spans="20:21" ht="15" customHeight="1" x14ac:dyDescent="0.25">
      <c r="T17209" s="135"/>
      <c r="U17209" s="135"/>
    </row>
    <row r="17210" spans="20:21" ht="15" customHeight="1" x14ac:dyDescent="0.25">
      <c r="T17210" s="135"/>
      <c r="U17210" s="135"/>
    </row>
    <row r="17211" spans="20:21" ht="15" customHeight="1" x14ac:dyDescent="0.25">
      <c r="T17211" s="135"/>
      <c r="U17211" s="135"/>
    </row>
    <row r="17212" spans="20:21" ht="15" customHeight="1" x14ac:dyDescent="0.25">
      <c r="T17212" s="135"/>
      <c r="U17212" s="135"/>
    </row>
    <row r="17213" spans="20:21" ht="15" customHeight="1" x14ac:dyDescent="0.25">
      <c r="T17213" s="135"/>
      <c r="U17213" s="135"/>
    </row>
    <row r="17214" spans="20:21" ht="15" customHeight="1" x14ac:dyDescent="0.25">
      <c r="T17214" s="135"/>
      <c r="U17214" s="135"/>
    </row>
    <row r="17215" spans="20:21" ht="15" customHeight="1" x14ac:dyDescent="0.25">
      <c r="T17215" s="135"/>
      <c r="U17215" s="135"/>
    </row>
    <row r="17216" spans="20:21" ht="15" customHeight="1" x14ac:dyDescent="0.25">
      <c r="T17216" s="135"/>
      <c r="U17216" s="135"/>
    </row>
    <row r="17217" spans="20:21" ht="15" customHeight="1" x14ac:dyDescent="0.25">
      <c r="T17217" s="135"/>
      <c r="U17217" s="135"/>
    </row>
    <row r="17218" spans="20:21" ht="15" customHeight="1" x14ac:dyDescent="0.25">
      <c r="T17218" s="135"/>
      <c r="U17218" s="135"/>
    </row>
    <row r="17219" spans="20:21" ht="15" customHeight="1" x14ac:dyDescent="0.25">
      <c r="T17219" s="135"/>
      <c r="U17219" s="135"/>
    </row>
    <row r="17220" spans="20:21" ht="15" customHeight="1" x14ac:dyDescent="0.25">
      <c r="T17220" s="135"/>
      <c r="U17220" s="135"/>
    </row>
    <row r="17221" spans="20:21" ht="15" customHeight="1" x14ac:dyDescent="0.25">
      <c r="T17221" s="135"/>
      <c r="U17221" s="135"/>
    </row>
    <row r="17222" spans="20:21" ht="15" customHeight="1" x14ac:dyDescent="0.25">
      <c r="T17222" s="135"/>
      <c r="U17222" s="135"/>
    </row>
    <row r="17223" spans="20:21" ht="15" customHeight="1" x14ac:dyDescent="0.25">
      <c r="T17223" s="135"/>
      <c r="U17223" s="135"/>
    </row>
    <row r="17224" spans="20:21" ht="15" customHeight="1" x14ac:dyDescent="0.25">
      <c r="T17224" s="135"/>
      <c r="U17224" s="135"/>
    </row>
    <row r="17225" spans="20:21" ht="15" customHeight="1" x14ac:dyDescent="0.25">
      <c r="T17225" s="135"/>
      <c r="U17225" s="135"/>
    </row>
    <row r="17226" spans="20:21" ht="15" customHeight="1" x14ac:dyDescent="0.25">
      <c r="T17226" s="135"/>
      <c r="U17226" s="135"/>
    </row>
    <row r="17227" spans="20:21" ht="15" customHeight="1" x14ac:dyDescent="0.25">
      <c r="T17227" s="135"/>
      <c r="U17227" s="135"/>
    </row>
    <row r="17228" spans="20:21" ht="15" customHeight="1" x14ac:dyDescent="0.25">
      <c r="T17228" s="135"/>
      <c r="U17228" s="135"/>
    </row>
    <row r="17229" spans="20:21" ht="15" customHeight="1" x14ac:dyDescent="0.25">
      <c r="T17229" s="135"/>
      <c r="U17229" s="135"/>
    </row>
    <row r="17230" spans="20:21" ht="15" customHeight="1" x14ac:dyDescent="0.25">
      <c r="T17230" s="135"/>
      <c r="U17230" s="135"/>
    </row>
    <row r="17231" spans="20:21" ht="15" customHeight="1" x14ac:dyDescent="0.25">
      <c r="T17231" s="135"/>
      <c r="U17231" s="135"/>
    </row>
    <row r="17232" spans="20:21" ht="15" customHeight="1" x14ac:dyDescent="0.25">
      <c r="T17232" s="135"/>
      <c r="U17232" s="135"/>
    </row>
    <row r="17233" spans="20:21" ht="15" customHeight="1" x14ac:dyDescent="0.25">
      <c r="T17233" s="135"/>
      <c r="U17233" s="135"/>
    </row>
    <row r="17234" spans="20:21" ht="15" customHeight="1" x14ac:dyDescent="0.25">
      <c r="T17234" s="135"/>
      <c r="U17234" s="135"/>
    </row>
    <row r="17235" spans="20:21" ht="15" customHeight="1" x14ac:dyDescent="0.25">
      <c r="T17235" s="135"/>
      <c r="U17235" s="135"/>
    </row>
    <row r="17236" spans="20:21" ht="15" customHeight="1" x14ac:dyDescent="0.25">
      <c r="T17236" s="135"/>
      <c r="U17236" s="135"/>
    </row>
    <row r="17237" spans="20:21" ht="15" customHeight="1" x14ac:dyDescent="0.25">
      <c r="T17237" s="135"/>
      <c r="U17237" s="135"/>
    </row>
    <row r="17238" spans="20:21" ht="15" customHeight="1" x14ac:dyDescent="0.25">
      <c r="T17238" s="135"/>
      <c r="U17238" s="135"/>
    </row>
    <row r="17239" spans="20:21" ht="15" customHeight="1" x14ac:dyDescent="0.25">
      <c r="T17239" s="135"/>
      <c r="U17239" s="135"/>
    </row>
    <row r="17240" spans="20:21" ht="15" customHeight="1" x14ac:dyDescent="0.25">
      <c r="T17240" s="135"/>
      <c r="U17240" s="135"/>
    </row>
    <row r="17241" spans="20:21" ht="15" customHeight="1" x14ac:dyDescent="0.25">
      <c r="T17241" s="135"/>
      <c r="U17241" s="135"/>
    </row>
    <row r="17242" spans="20:21" ht="15" customHeight="1" x14ac:dyDescent="0.25">
      <c r="T17242" s="135"/>
      <c r="U17242" s="135"/>
    </row>
    <row r="17243" spans="20:21" ht="15" customHeight="1" x14ac:dyDescent="0.25">
      <c r="T17243" s="135"/>
      <c r="U17243" s="135"/>
    </row>
    <row r="17244" spans="20:21" ht="15" customHeight="1" x14ac:dyDescent="0.25">
      <c r="T17244" s="135"/>
      <c r="U17244" s="135"/>
    </row>
    <row r="17245" spans="20:21" ht="15" customHeight="1" x14ac:dyDescent="0.25">
      <c r="T17245" s="135"/>
      <c r="U17245" s="135"/>
    </row>
    <row r="17246" spans="20:21" ht="15" customHeight="1" x14ac:dyDescent="0.25">
      <c r="T17246" s="135"/>
      <c r="U17246" s="135"/>
    </row>
    <row r="17247" spans="20:21" ht="15" customHeight="1" x14ac:dyDescent="0.25">
      <c r="T17247" s="135"/>
      <c r="U17247" s="135"/>
    </row>
    <row r="17248" spans="20:21" ht="15" customHeight="1" x14ac:dyDescent="0.25">
      <c r="T17248" s="135"/>
      <c r="U17248" s="135"/>
    </row>
    <row r="17249" spans="20:21" ht="15" customHeight="1" x14ac:dyDescent="0.25">
      <c r="T17249" s="135"/>
      <c r="U17249" s="135"/>
    </row>
    <row r="17250" spans="20:21" ht="15" customHeight="1" x14ac:dyDescent="0.25">
      <c r="T17250" s="135"/>
      <c r="U17250" s="135"/>
    </row>
    <row r="17251" spans="20:21" ht="15" customHeight="1" x14ac:dyDescent="0.25">
      <c r="T17251" s="135"/>
      <c r="U17251" s="135"/>
    </row>
    <row r="17252" spans="20:21" ht="15" customHeight="1" x14ac:dyDescent="0.25">
      <c r="T17252" s="135"/>
      <c r="U17252" s="135"/>
    </row>
    <row r="17253" spans="20:21" ht="15" customHeight="1" x14ac:dyDescent="0.25">
      <c r="T17253" s="135"/>
      <c r="U17253" s="135"/>
    </row>
    <row r="17254" spans="20:21" ht="15" customHeight="1" x14ac:dyDescent="0.25">
      <c r="T17254" s="135"/>
      <c r="U17254" s="135"/>
    </row>
    <row r="17255" spans="20:21" ht="15" customHeight="1" x14ac:dyDescent="0.25">
      <c r="T17255" s="135"/>
      <c r="U17255" s="135"/>
    </row>
    <row r="17256" spans="20:21" ht="15" customHeight="1" x14ac:dyDescent="0.25">
      <c r="T17256" s="135"/>
      <c r="U17256" s="135"/>
    </row>
    <row r="17257" spans="20:21" ht="15" customHeight="1" x14ac:dyDescent="0.25">
      <c r="T17257" s="135"/>
      <c r="U17257" s="135"/>
    </row>
    <row r="17258" spans="20:21" ht="15" customHeight="1" x14ac:dyDescent="0.25">
      <c r="T17258" s="135"/>
      <c r="U17258" s="135"/>
    </row>
    <row r="17259" spans="20:21" ht="15" customHeight="1" x14ac:dyDescent="0.25">
      <c r="T17259" s="135"/>
      <c r="U17259" s="135"/>
    </row>
    <row r="17260" spans="20:21" ht="15" customHeight="1" x14ac:dyDescent="0.25">
      <c r="T17260" s="135"/>
      <c r="U17260" s="135"/>
    </row>
    <row r="17261" spans="20:21" ht="15" customHeight="1" x14ac:dyDescent="0.25">
      <c r="T17261" s="135"/>
      <c r="U17261" s="135"/>
    </row>
    <row r="17262" spans="20:21" ht="15" customHeight="1" x14ac:dyDescent="0.25">
      <c r="T17262" s="135"/>
      <c r="U17262" s="135"/>
    </row>
    <row r="17263" spans="20:21" ht="15" customHeight="1" x14ac:dyDescent="0.25">
      <c r="T17263" s="135"/>
      <c r="U17263" s="135"/>
    </row>
    <row r="17264" spans="20:21" ht="15" customHeight="1" x14ac:dyDescent="0.25">
      <c r="T17264" s="135"/>
      <c r="U17264" s="135"/>
    </row>
    <row r="17265" spans="20:21" ht="15" customHeight="1" x14ac:dyDescent="0.25">
      <c r="T17265" s="135"/>
      <c r="U17265" s="135"/>
    </row>
    <row r="17266" spans="20:21" ht="15" customHeight="1" x14ac:dyDescent="0.25">
      <c r="T17266" s="135"/>
      <c r="U17266" s="135"/>
    </row>
    <row r="17267" spans="20:21" ht="15" customHeight="1" x14ac:dyDescent="0.25">
      <c r="T17267" s="135"/>
      <c r="U17267" s="135"/>
    </row>
    <row r="17268" spans="20:21" ht="15" customHeight="1" x14ac:dyDescent="0.25">
      <c r="T17268" s="135"/>
      <c r="U17268" s="135"/>
    </row>
    <row r="17269" spans="20:21" ht="15" customHeight="1" x14ac:dyDescent="0.25">
      <c r="T17269" s="135"/>
      <c r="U17269" s="135"/>
    </row>
    <row r="17270" spans="20:21" ht="15" customHeight="1" x14ac:dyDescent="0.25">
      <c r="T17270" s="135"/>
      <c r="U17270" s="135"/>
    </row>
    <row r="17271" spans="20:21" ht="15" customHeight="1" x14ac:dyDescent="0.25">
      <c r="T17271" s="135"/>
      <c r="U17271" s="135"/>
    </row>
    <row r="17272" spans="20:21" ht="15" customHeight="1" x14ac:dyDescent="0.25">
      <c r="T17272" s="135"/>
      <c r="U17272" s="135"/>
    </row>
    <row r="17273" spans="20:21" ht="15" customHeight="1" x14ac:dyDescent="0.25">
      <c r="T17273" s="135"/>
      <c r="U17273" s="135"/>
    </row>
    <row r="17274" spans="20:21" ht="15" customHeight="1" x14ac:dyDescent="0.25">
      <c r="T17274" s="135"/>
      <c r="U17274" s="135"/>
    </row>
    <row r="17275" spans="20:21" ht="15" customHeight="1" x14ac:dyDescent="0.25">
      <c r="T17275" s="135"/>
      <c r="U17275" s="135"/>
    </row>
    <row r="17276" spans="20:21" ht="15" customHeight="1" x14ac:dyDescent="0.25">
      <c r="T17276" s="135"/>
      <c r="U17276" s="135"/>
    </row>
    <row r="17277" spans="20:21" ht="15" customHeight="1" x14ac:dyDescent="0.25">
      <c r="T17277" s="135"/>
      <c r="U17277" s="135"/>
    </row>
    <row r="17278" spans="20:21" ht="15" customHeight="1" x14ac:dyDescent="0.25">
      <c r="T17278" s="135"/>
      <c r="U17278" s="135"/>
    </row>
    <row r="17279" spans="20:21" ht="15" customHeight="1" x14ac:dyDescent="0.25">
      <c r="T17279" s="135"/>
      <c r="U17279" s="135"/>
    </row>
    <row r="17280" spans="20:21" ht="15" customHeight="1" x14ac:dyDescent="0.25">
      <c r="T17280" s="135"/>
      <c r="U17280" s="135"/>
    </row>
    <row r="17281" spans="20:21" ht="15" customHeight="1" x14ac:dyDescent="0.25">
      <c r="T17281" s="135"/>
      <c r="U17281" s="135"/>
    </row>
    <row r="17282" spans="20:21" ht="15" customHeight="1" x14ac:dyDescent="0.25">
      <c r="T17282" s="135"/>
      <c r="U17282" s="135"/>
    </row>
    <row r="17283" spans="20:21" ht="15" customHeight="1" x14ac:dyDescent="0.25">
      <c r="T17283" s="135"/>
      <c r="U17283" s="135"/>
    </row>
    <row r="17284" spans="20:21" ht="15" customHeight="1" x14ac:dyDescent="0.25">
      <c r="T17284" s="135"/>
      <c r="U17284" s="135"/>
    </row>
    <row r="17285" spans="20:21" ht="15" customHeight="1" x14ac:dyDescent="0.25">
      <c r="T17285" s="135"/>
      <c r="U17285" s="135"/>
    </row>
    <row r="17286" spans="20:21" ht="15" customHeight="1" x14ac:dyDescent="0.25">
      <c r="T17286" s="135"/>
      <c r="U17286" s="135"/>
    </row>
    <row r="17287" spans="20:21" ht="15" customHeight="1" x14ac:dyDescent="0.25">
      <c r="T17287" s="135"/>
      <c r="U17287" s="135"/>
    </row>
    <row r="17288" spans="20:21" ht="15" customHeight="1" x14ac:dyDescent="0.25">
      <c r="T17288" s="135"/>
      <c r="U17288" s="135"/>
    </row>
    <row r="17289" spans="20:21" ht="15" customHeight="1" x14ac:dyDescent="0.25">
      <c r="T17289" s="135"/>
      <c r="U17289" s="135"/>
    </row>
    <row r="17290" spans="20:21" ht="15" customHeight="1" x14ac:dyDescent="0.25">
      <c r="T17290" s="135"/>
      <c r="U17290" s="135"/>
    </row>
    <row r="17291" spans="20:21" ht="15" customHeight="1" x14ac:dyDescent="0.25">
      <c r="T17291" s="135"/>
      <c r="U17291" s="135"/>
    </row>
    <row r="17292" spans="20:21" ht="15" customHeight="1" x14ac:dyDescent="0.25">
      <c r="T17292" s="135"/>
      <c r="U17292" s="135"/>
    </row>
    <row r="17293" spans="20:21" ht="15" customHeight="1" x14ac:dyDescent="0.25">
      <c r="T17293" s="135"/>
      <c r="U17293" s="135"/>
    </row>
    <row r="17294" spans="20:21" ht="15" customHeight="1" x14ac:dyDescent="0.25">
      <c r="T17294" s="135"/>
      <c r="U17294" s="135"/>
    </row>
    <row r="17295" spans="20:21" ht="15" customHeight="1" x14ac:dyDescent="0.25">
      <c r="T17295" s="135"/>
      <c r="U17295" s="135"/>
    </row>
    <row r="17296" spans="20:21" ht="15" customHeight="1" x14ac:dyDescent="0.25">
      <c r="T17296" s="135"/>
      <c r="U17296" s="135"/>
    </row>
    <row r="17297" spans="20:21" ht="15" customHeight="1" x14ac:dyDescent="0.25">
      <c r="T17297" s="135"/>
      <c r="U17297" s="135"/>
    </row>
    <row r="17298" spans="20:21" ht="15" customHeight="1" x14ac:dyDescent="0.25">
      <c r="T17298" s="135"/>
      <c r="U17298" s="135"/>
    </row>
    <row r="17299" spans="20:21" ht="15" customHeight="1" x14ac:dyDescent="0.25">
      <c r="T17299" s="135"/>
      <c r="U17299" s="135"/>
    </row>
    <row r="17300" spans="20:21" ht="15" customHeight="1" x14ac:dyDescent="0.25">
      <c r="T17300" s="135"/>
      <c r="U17300" s="135"/>
    </row>
    <row r="17301" spans="20:21" ht="15" customHeight="1" x14ac:dyDescent="0.25">
      <c r="T17301" s="135"/>
      <c r="U17301" s="135"/>
    </row>
    <row r="17302" spans="20:21" ht="15" customHeight="1" x14ac:dyDescent="0.25">
      <c r="T17302" s="135"/>
      <c r="U17302" s="135"/>
    </row>
    <row r="17303" spans="20:21" ht="15" customHeight="1" x14ac:dyDescent="0.25">
      <c r="T17303" s="135"/>
      <c r="U17303" s="135"/>
    </row>
    <row r="17304" spans="20:21" ht="15" customHeight="1" x14ac:dyDescent="0.25">
      <c r="T17304" s="135"/>
      <c r="U17304" s="135"/>
    </row>
    <row r="17305" spans="20:21" ht="15" customHeight="1" x14ac:dyDescent="0.25">
      <c r="T17305" s="135"/>
      <c r="U17305" s="135"/>
    </row>
    <row r="17306" spans="20:21" ht="15" customHeight="1" x14ac:dyDescent="0.25">
      <c r="T17306" s="135"/>
      <c r="U17306" s="135"/>
    </row>
    <row r="17307" spans="20:21" ht="15" customHeight="1" x14ac:dyDescent="0.25">
      <c r="T17307" s="135"/>
      <c r="U17307" s="135"/>
    </row>
    <row r="17308" spans="20:21" ht="15" customHeight="1" x14ac:dyDescent="0.25">
      <c r="T17308" s="135"/>
      <c r="U17308" s="135"/>
    </row>
    <row r="17309" spans="20:21" ht="15" customHeight="1" x14ac:dyDescent="0.25">
      <c r="T17309" s="135"/>
      <c r="U17309" s="135"/>
    </row>
    <row r="17310" spans="20:21" ht="15" customHeight="1" x14ac:dyDescent="0.25">
      <c r="T17310" s="135"/>
      <c r="U17310" s="135"/>
    </row>
    <row r="17311" spans="20:21" ht="15" customHeight="1" x14ac:dyDescent="0.25">
      <c r="T17311" s="135"/>
      <c r="U17311" s="135"/>
    </row>
    <row r="17312" spans="20:21" ht="15" customHeight="1" x14ac:dyDescent="0.25">
      <c r="T17312" s="135"/>
      <c r="U17312" s="135"/>
    </row>
    <row r="17313" spans="20:21" ht="15" customHeight="1" x14ac:dyDescent="0.25">
      <c r="T17313" s="135"/>
      <c r="U17313" s="135"/>
    </row>
    <row r="17314" spans="20:21" ht="15" customHeight="1" x14ac:dyDescent="0.25">
      <c r="T17314" s="135"/>
      <c r="U17314" s="135"/>
    </row>
    <row r="17315" spans="20:21" ht="15" customHeight="1" x14ac:dyDescent="0.25">
      <c r="T17315" s="135"/>
      <c r="U17315" s="135"/>
    </row>
    <row r="17316" spans="20:21" ht="15" customHeight="1" x14ac:dyDescent="0.25">
      <c r="T17316" s="135"/>
      <c r="U17316" s="135"/>
    </row>
    <row r="17317" spans="20:21" ht="15" customHeight="1" x14ac:dyDescent="0.25">
      <c r="T17317" s="135"/>
      <c r="U17317" s="135"/>
    </row>
    <row r="17318" spans="20:21" ht="15" customHeight="1" x14ac:dyDescent="0.25">
      <c r="T17318" s="135"/>
      <c r="U17318" s="135"/>
    </row>
    <row r="17319" spans="20:21" ht="15" customHeight="1" x14ac:dyDescent="0.25">
      <c r="T17319" s="135"/>
      <c r="U17319" s="135"/>
    </row>
    <row r="17320" spans="20:21" ht="15" customHeight="1" x14ac:dyDescent="0.25">
      <c r="T17320" s="135"/>
      <c r="U17320" s="135"/>
    </row>
    <row r="17321" spans="20:21" ht="15" customHeight="1" x14ac:dyDescent="0.25">
      <c r="T17321" s="135"/>
      <c r="U17321" s="135"/>
    </row>
    <row r="17322" spans="20:21" ht="15" customHeight="1" x14ac:dyDescent="0.25">
      <c r="T17322" s="135"/>
      <c r="U17322" s="135"/>
    </row>
    <row r="17323" spans="20:21" ht="15" customHeight="1" x14ac:dyDescent="0.25">
      <c r="T17323" s="135"/>
      <c r="U17323" s="135"/>
    </row>
    <row r="17324" spans="20:21" ht="15" customHeight="1" x14ac:dyDescent="0.25">
      <c r="T17324" s="135"/>
      <c r="U17324" s="135"/>
    </row>
    <row r="17325" spans="20:21" ht="15" customHeight="1" x14ac:dyDescent="0.25">
      <c r="T17325" s="135"/>
      <c r="U17325" s="135"/>
    </row>
    <row r="17326" spans="20:21" ht="15" customHeight="1" x14ac:dyDescent="0.25">
      <c r="T17326" s="135"/>
      <c r="U17326" s="135"/>
    </row>
    <row r="17327" spans="20:21" ht="15" customHeight="1" x14ac:dyDescent="0.25">
      <c r="T17327" s="135"/>
      <c r="U17327" s="135"/>
    </row>
    <row r="17328" spans="20:21" ht="15" customHeight="1" x14ac:dyDescent="0.25">
      <c r="T17328" s="135"/>
      <c r="U17328" s="135"/>
    </row>
    <row r="17329" spans="20:21" ht="15" customHeight="1" x14ac:dyDescent="0.25">
      <c r="T17329" s="135"/>
      <c r="U17329" s="135"/>
    </row>
    <row r="17330" spans="20:21" ht="15" customHeight="1" x14ac:dyDescent="0.25">
      <c r="T17330" s="135"/>
      <c r="U17330" s="135"/>
    </row>
    <row r="17331" spans="20:21" ht="15" customHeight="1" x14ac:dyDescent="0.25">
      <c r="T17331" s="135"/>
      <c r="U17331" s="135"/>
    </row>
    <row r="17332" spans="20:21" ht="15" customHeight="1" x14ac:dyDescent="0.25">
      <c r="T17332" s="135"/>
      <c r="U17332" s="135"/>
    </row>
    <row r="17333" spans="20:21" ht="15" customHeight="1" x14ac:dyDescent="0.25">
      <c r="T17333" s="135"/>
      <c r="U17333" s="135"/>
    </row>
    <row r="17334" spans="20:21" ht="15" customHeight="1" x14ac:dyDescent="0.25">
      <c r="T17334" s="135"/>
      <c r="U17334" s="135"/>
    </row>
    <row r="17335" spans="20:21" ht="15" customHeight="1" x14ac:dyDescent="0.25">
      <c r="T17335" s="135"/>
      <c r="U17335" s="135"/>
    </row>
    <row r="17336" spans="20:21" ht="15" customHeight="1" x14ac:dyDescent="0.25">
      <c r="T17336" s="135"/>
      <c r="U17336" s="135"/>
    </row>
    <row r="17337" spans="20:21" ht="15" customHeight="1" x14ac:dyDescent="0.25">
      <c r="T17337" s="135"/>
      <c r="U17337" s="135"/>
    </row>
    <row r="17338" spans="20:21" ht="15" customHeight="1" x14ac:dyDescent="0.25">
      <c r="T17338" s="135"/>
      <c r="U17338" s="135"/>
    </row>
    <row r="17339" spans="20:21" ht="15" customHeight="1" x14ac:dyDescent="0.25">
      <c r="T17339" s="135"/>
      <c r="U17339" s="135"/>
    </row>
    <row r="17340" spans="20:21" ht="15" customHeight="1" x14ac:dyDescent="0.25">
      <c r="T17340" s="135"/>
      <c r="U17340" s="135"/>
    </row>
    <row r="17341" spans="20:21" ht="15" customHeight="1" x14ac:dyDescent="0.25">
      <c r="T17341" s="135"/>
      <c r="U17341" s="135"/>
    </row>
    <row r="17342" spans="20:21" ht="15" customHeight="1" x14ac:dyDescent="0.25">
      <c r="T17342" s="135"/>
      <c r="U17342" s="135"/>
    </row>
    <row r="17343" spans="20:21" ht="15" customHeight="1" x14ac:dyDescent="0.25">
      <c r="T17343" s="135"/>
      <c r="U17343" s="135"/>
    </row>
    <row r="17344" spans="20:21" ht="15" customHeight="1" x14ac:dyDescent="0.25">
      <c r="T17344" s="135"/>
      <c r="U17344" s="135"/>
    </row>
    <row r="17345" spans="20:21" ht="15" customHeight="1" x14ac:dyDescent="0.25">
      <c r="T17345" s="135"/>
      <c r="U17345" s="135"/>
    </row>
    <row r="17346" spans="20:21" ht="15" customHeight="1" x14ac:dyDescent="0.25">
      <c r="T17346" s="135"/>
      <c r="U17346" s="135"/>
    </row>
    <row r="17347" spans="20:21" ht="15" customHeight="1" x14ac:dyDescent="0.25">
      <c r="T17347" s="135"/>
      <c r="U17347" s="135"/>
    </row>
    <row r="17348" spans="20:21" ht="15" customHeight="1" x14ac:dyDescent="0.25">
      <c r="T17348" s="135"/>
      <c r="U17348" s="135"/>
    </row>
    <row r="17349" spans="20:21" ht="15" customHeight="1" x14ac:dyDescent="0.25">
      <c r="T17349" s="135"/>
      <c r="U17349" s="135"/>
    </row>
    <row r="17350" spans="20:21" ht="15" customHeight="1" x14ac:dyDescent="0.25">
      <c r="T17350" s="135"/>
      <c r="U17350" s="135"/>
    </row>
    <row r="17351" spans="20:21" ht="15" customHeight="1" x14ac:dyDescent="0.25">
      <c r="T17351" s="135"/>
      <c r="U17351" s="135"/>
    </row>
    <row r="17352" spans="20:21" ht="15" customHeight="1" x14ac:dyDescent="0.25">
      <c r="T17352" s="135"/>
      <c r="U17352" s="135"/>
    </row>
    <row r="17353" spans="20:21" ht="15" customHeight="1" x14ac:dyDescent="0.25">
      <c r="T17353" s="135"/>
      <c r="U17353" s="135"/>
    </row>
    <row r="17354" spans="20:21" ht="15" customHeight="1" x14ac:dyDescent="0.25">
      <c r="T17354" s="135"/>
      <c r="U17354" s="135"/>
    </row>
    <row r="17355" spans="20:21" ht="15" customHeight="1" x14ac:dyDescent="0.25">
      <c r="T17355" s="135"/>
      <c r="U17355" s="135"/>
    </row>
    <row r="17356" spans="20:21" ht="15" customHeight="1" x14ac:dyDescent="0.25">
      <c r="T17356" s="135"/>
      <c r="U17356" s="135"/>
    </row>
    <row r="17357" spans="20:21" ht="15" customHeight="1" x14ac:dyDescent="0.25">
      <c r="T17357" s="135"/>
      <c r="U17357" s="135"/>
    </row>
    <row r="17358" spans="20:21" ht="15" customHeight="1" x14ac:dyDescent="0.25">
      <c r="T17358" s="135"/>
      <c r="U17358" s="135"/>
    </row>
    <row r="17359" spans="20:21" ht="15" customHeight="1" x14ac:dyDescent="0.25">
      <c r="T17359" s="135"/>
      <c r="U17359" s="135"/>
    </row>
    <row r="17360" spans="20:21" ht="15" customHeight="1" x14ac:dyDescent="0.25">
      <c r="T17360" s="135"/>
      <c r="U17360" s="135"/>
    </row>
    <row r="17361" spans="20:21" ht="15" customHeight="1" x14ac:dyDescent="0.25">
      <c r="T17361" s="135"/>
      <c r="U17361" s="135"/>
    </row>
    <row r="17362" spans="20:21" ht="15" customHeight="1" x14ac:dyDescent="0.25">
      <c r="T17362" s="135"/>
      <c r="U17362" s="135"/>
    </row>
    <row r="17363" spans="20:21" ht="15" customHeight="1" x14ac:dyDescent="0.25">
      <c r="T17363" s="135"/>
      <c r="U17363" s="135"/>
    </row>
    <row r="17364" spans="20:21" ht="15" customHeight="1" x14ac:dyDescent="0.25">
      <c r="T17364" s="135"/>
      <c r="U17364" s="135"/>
    </row>
    <row r="17365" spans="20:21" ht="15" customHeight="1" x14ac:dyDescent="0.25">
      <c r="T17365" s="135"/>
      <c r="U17365" s="135"/>
    </row>
    <row r="17366" spans="20:21" ht="15" customHeight="1" x14ac:dyDescent="0.25">
      <c r="T17366" s="135"/>
      <c r="U17366" s="135"/>
    </row>
    <row r="17367" spans="20:21" ht="15" customHeight="1" x14ac:dyDescent="0.25">
      <c r="T17367" s="135"/>
      <c r="U17367" s="135"/>
    </row>
    <row r="17368" spans="20:21" ht="15" customHeight="1" x14ac:dyDescent="0.25">
      <c r="T17368" s="135"/>
      <c r="U17368" s="135"/>
    </row>
    <row r="17369" spans="20:21" ht="15" customHeight="1" x14ac:dyDescent="0.25">
      <c r="T17369" s="135"/>
      <c r="U17369" s="135"/>
    </row>
    <row r="17370" spans="20:21" ht="15" customHeight="1" x14ac:dyDescent="0.25">
      <c r="T17370" s="135"/>
      <c r="U17370" s="135"/>
    </row>
    <row r="17371" spans="20:21" ht="15" customHeight="1" x14ac:dyDescent="0.25">
      <c r="T17371" s="135"/>
      <c r="U17371" s="135"/>
    </row>
    <row r="17372" spans="20:21" ht="15" customHeight="1" x14ac:dyDescent="0.25">
      <c r="T17372" s="135"/>
      <c r="U17372" s="135"/>
    </row>
    <row r="17373" spans="20:21" ht="15" customHeight="1" x14ac:dyDescent="0.25">
      <c r="T17373" s="135"/>
      <c r="U17373" s="135"/>
    </row>
    <row r="17374" spans="20:21" ht="15" customHeight="1" x14ac:dyDescent="0.25">
      <c r="T17374" s="135"/>
      <c r="U17374" s="135"/>
    </row>
    <row r="17375" spans="20:21" ht="15" customHeight="1" x14ac:dyDescent="0.25">
      <c r="T17375" s="135"/>
      <c r="U17375" s="135"/>
    </row>
    <row r="17376" spans="20:21" ht="15" customHeight="1" x14ac:dyDescent="0.25">
      <c r="T17376" s="135"/>
      <c r="U17376" s="135"/>
    </row>
    <row r="17377" spans="20:21" ht="15" customHeight="1" x14ac:dyDescent="0.25">
      <c r="T17377" s="135"/>
      <c r="U17377" s="135"/>
    </row>
    <row r="17378" spans="20:21" ht="15" customHeight="1" x14ac:dyDescent="0.25">
      <c r="T17378" s="135"/>
      <c r="U17378" s="135"/>
    </row>
    <row r="17379" spans="20:21" ht="15" customHeight="1" x14ac:dyDescent="0.25">
      <c r="T17379" s="135"/>
      <c r="U17379" s="135"/>
    </row>
    <row r="17380" spans="20:21" ht="15" customHeight="1" x14ac:dyDescent="0.25">
      <c r="T17380" s="135"/>
      <c r="U17380" s="135"/>
    </row>
    <row r="17381" spans="20:21" ht="15" customHeight="1" x14ac:dyDescent="0.25">
      <c r="T17381" s="135"/>
      <c r="U17381" s="135"/>
    </row>
    <row r="17382" spans="20:21" ht="15" customHeight="1" x14ac:dyDescent="0.25">
      <c r="T17382" s="135"/>
      <c r="U17382" s="135"/>
    </row>
    <row r="17383" spans="20:21" ht="15" customHeight="1" x14ac:dyDescent="0.25">
      <c r="T17383" s="135"/>
      <c r="U17383" s="135"/>
    </row>
    <row r="17384" spans="20:21" ht="15" customHeight="1" x14ac:dyDescent="0.25">
      <c r="T17384" s="135"/>
      <c r="U17384" s="135"/>
    </row>
    <row r="17385" spans="20:21" ht="15" customHeight="1" x14ac:dyDescent="0.25">
      <c r="T17385" s="135"/>
      <c r="U17385" s="135"/>
    </row>
    <row r="17386" spans="20:21" ht="15" customHeight="1" x14ac:dyDescent="0.25">
      <c r="T17386" s="135"/>
      <c r="U17386" s="135"/>
    </row>
    <row r="17387" spans="20:21" ht="15" customHeight="1" x14ac:dyDescent="0.25">
      <c r="T17387" s="135"/>
      <c r="U17387" s="135"/>
    </row>
    <row r="17388" spans="20:21" ht="15" customHeight="1" x14ac:dyDescent="0.25">
      <c r="T17388" s="135"/>
      <c r="U17388" s="135"/>
    </row>
    <row r="17389" spans="20:21" ht="15" customHeight="1" x14ac:dyDescent="0.25">
      <c r="T17389" s="135"/>
      <c r="U17389" s="135"/>
    </row>
    <row r="17390" spans="20:21" ht="15" customHeight="1" x14ac:dyDescent="0.25">
      <c r="T17390" s="135"/>
      <c r="U17390" s="135"/>
    </row>
    <row r="17391" spans="20:21" ht="15" customHeight="1" x14ac:dyDescent="0.25">
      <c r="T17391" s="135"/>
      <c r="U17391" s="135"/>
    </row>
    <row r="17392" spans="20:21" ht="15" customHeight="1" x14ac:dyDescent="0.25">
      <c r="T17392" s="135"/>
      <c r="U17392" s="135"/>
    </row>
    <row r="17393" spans="20:21" ht="15" customHeight="1" x14ac:dyDescent="0.25">
      <c r="T17393" s="135"/>
      <c r="U17393" s="135"/>
    </row>
    <row r="17394" spans="20:21" ht="15" customHeight="1" x14ac:dyDescent="0.25">
      <c r="T17394" s="135"/>
      <c r="U17394" s="135"/>
    </row>
    <row r="17395" spans="20:21" ht="15" customHeight="1" x14ac:dyDescent="0.25">
      <c r="T17395" s="135"/>
      <c r="U17395" s="135"/>
    </row>
    <row r="17396" spans="20:21" ht="15" customHeight="1" x14ac:dyDescent="0.25">
      <c r="T17396" s="135"/>
      <c r="U17396" s="135"/>
    </row>
    <row r="17397" spans="20:21" ht="15" customHeight="1" x14ac:dyDescent="0.25">
      <c r="T17397" s="135"/>
      <c r="U17397" s="135"/>
    </row>
    <row r="17398" spans="20:21" ht="15" customHeight="1" x14ac:dyDescent="0.25">
      <c r="T17398" s="135"/>
      <c r="U17398" s="135"/>
    </row>
    <row r="17399" spans="20:21" ht="15" customHeight="1" x14ac:dyDescent="0.25">
      <c r="T17399" s="135"/>
      <c r="U17399" s="135"/>
    </row>
    <row r="17400" spans="20:21" ht="15" customHeight="1" x14ac:dyDescent="0.25">
      <c r="T17400" s="135"/>
      <c r="U17400" s="135"/>
    </row>
    <row r="17401" spans="20:21" ht="15" customHeight="1" x14ac:dyDescent="0.25">
      <c r="T17401" s="135"/>
      <c r="U17401" s="135"/>
    </row>
    <row r="17402" spans="20:21" ht="15" customHeight="1" x14ac:dyDescent="0.25">
      <c r="T17402" s="135"/>
      <c r="U17402" s="135"/>
    </row>
    <row r="17403" spans="20:21" ht="15" customHeight="1" x14ac:dyDescent="0.25">
      <c r="T17403" s="135"/>
      <c r="U17403" s="135"/>
    </row>
    <row r="17404" spans="20:21" ht="15" customHeight="1" x14ac:dyDescent="0.25">
      <c r="T17404" s="135"/>
      <c r="U17404" s="135"/>
    </row>
    <row r="17405" spans="20:21" ht="15" customHeight="1" x14ac:dyDescent="0.25">
      <c r="T17405" s="135"/>
      <c r="U17405" s="135"/>
    </row>
    <row r="17406" spans="20:21" ht="15" customHeight="1" x14ac:dyDescent="0.25">
      <c r="T17406" s="135"/>
      <c r="U17406" s="135"/>
    </row>
    <row r="17407" spans="20:21" ht="15" customHeight="1" x14ac:dyDescent="0.25">
      <c r="T17407" s="135"/>
      <c r="U17407" s="135"/>
    </row>
    <row r="17408" spans="20:21" ht="15" customHeight="1" x14ac:dyDescent="0.25">
      <c r="T17408" s="135"/>
      <c r="U17408" s="135"/>
    </row>
    <row r="17409" spans="20:21" ht="15" customHeight="1" x14ac:dyDescent="0.25">
      <c r="T17409" s="135"/>
      <c r="U17409" s="135"/>
    </row>
    <row r="17410" spans="20:21" ht="15" customHeight="1" x14ac:dyDescent="0.25">
      <c r="T17410" s="135"/>
      <c r="U17410" s="135"/>
    </row>
    <row r="17411" spans="20:21" ht="15" customHeight="1" x14ac:dyDescent="0.25">
      <c r="T17411" s="135"/>
      <c r="U17411" s="135"/>
    </row>
    <row r="17412" spans="20:21" ht="15" customHeight="1" x14ac:dyDescent="0.25">
      <c r="T17412" s="135"/>
      <c r="U17412" s="135"/>
    </row>
    <row r="17413" spans="20:21" ht="15" customHeight="1" x14ac:dyDescent="0.25">
      <c r="T17413" s="135"/>
      <c r="U17413" s="135"/>
    </row>
    <row r="17414" spans="20:21" ht="15" customHeight="1" x14ac:dyDescent="0.25">
      <c r="T17414" s="135"/>
      <c r="U17414" s="135"/>
    </row>
    <row r="17415" spans="20:21" ht="15" customHeight="1" x14ac:dyDescent="0.25">
      <c r="T17415" s="135"/>
      <c r="U17415" s="135"/>
    </row>
    <row r="17416" spans="20:21" ht="15" customHeight="1" x14ac:dyDescent="0.25">
      <c r="T17416" s="135"/>
      <c r="U17416" s="135"/>
    </row>
    <row r="17417" spans="20:21" ht="15" customHeight="1" x14ac:dyDescent="0.25">
      <c r="T17417" s="135"/>
      <c r="U17417" s="135"/>
    </row>
    <row r="17418" spans="20:21" ht="15" customHeight="1" x14ac:dyDescent="0.25">
      <c r="T17418" s="135"/>
      <c r="U17418" s="135"/>
    </row>
    <row r="17419" spans="20:21" ht="15" customHeight="1" x14ac:dyDescent="0.25">
      <c r="T17419" s="135"/>
      <c r="U17419" s="135"/>
    </row>
    <row r="17420" spans="20:21" ht="15" customHeight="1" x14ac:dyDescent="0.25">
      <c r="T17420" s="135"/>
      <c r="U17420" s="135"/>
    </row>
    <row r="17421" spans="20:21" ht="15" customHeight="1" x14ac:dyDescent="0.25">
      <c r="T17421" s="135"/>
      <c r="U17421" s="135"/>
    </row>
    <row r="17422" spans="20:21" ht="15" customHeight="1" x14ac:dyDescent="0.25">
      <c r="T17422" s="135"/>
      <c r="U17422" s="135"/>
    </row>
    <row r="17423" spans="20:21" ht="15" customHeight="1" x14ac:dyDescent="0.25">
      <c r="T17423" s="135"/>
      <c r="U17423" s="135"/>
    </row>
    <row r="17424" spans="20:21" ht="15" customHeight="1" x14ac:dyDescent="0.25">
      <c r="T17424" s="135"/>
      <c r="U17424" s="135"/>
    </row>
    <row r="17425" spans="20:21" ht="15" customHeight="1" x14ac:dyDescent="0.25">
      <c r="T17425" s="135"/>
      <c r="U17425" s="135"/>
    </row>
    <row r="17426" spans="20:21" ht="15" customHeight="1" x14ac:dyDescent="0.25">
      <c r="T17426" s="135"/>
      <c r="U17426" s="135"/>
    </row>
    <row r="17427" spans="20:21" ht="15" customHeight="1" x14ac:dyDescent="0.25">
      <c r="T17427" s="135"/>
      <c r="U17427" s="135"/>
    </row>
    <row r="17428" spans="20:21" ht="15" customHeight="1" x14ac:dyDescent="0.25">
      <c r="T17428" s="135"/>
      <c r="U17428" s="135"/>
    </row>
    <row r="17429" spans="20:21" ht="15" customHeight="1" x14ac:dyDescent="0.25">
      <c r="T17429" s="135"/>
      <c r="U17429" s="135"/>
    </row>
    <row r="17430" spans="20:21" ht="15" customHeight="1" x14ac:dyDescent="0.25">
      <c r="T17430" s="135"/>
      <c r="U17430" s="135"/>
    </row>
    <row r="17431" spans="20:21" ht="15" customHeight="1" x14ac:dyDescent="0.25">
      <c r="T17431" s="135"/>
      <c r="U17431" s="135"/>
    </row>
    <row r="17432" spans="20:21" ht="15" customHeight="1" x14ac:dyDescent="0.25">
      <c r="T17432" s="135"/>
      <c r="U17432" s="135"/>
    </row>
    <row r="17433" spans="20:21" ht="15" customHeight="1" x14ac:dyDescent="0.25">
      <c r="T17433" s="135"/>
      <c r="U17433" s="135"/>
    </row>
    <row r="17434" spans="20:21" ht="15" customHeight="1" x14ac:dyDescent="0.25">
      <c r="T17434" s="135"/>
      <c r="U17434" s="135"/>
    </row>
    <row r="17435" spans="20:21" ht="15" customHeight="1" x14ac:dyDescent="0.25">
      <c r="T17435" s="135"/>
      <c r="U17435" s="135"/>
    </row>
    <row r="17436" spans="20:21" ht="15" customHeight="1" x14ac:dyDescent="0.25">
      <c r="T17436" s="135"/>
      <c r="U17436" s="135"/>
    </row>
    <row r="17437" spans="20:21" ht="15" customHeight="1" x14ac:dyDescent="0.25">
      <c r="T17437" s="135"/>
      <c r="U17437" s="135"/>
    </row>
    <row r="17438" spans="20:21" ht="15" customHeight="1" x14ac:dyDescent="0.25">
      <c r="T17438" s="135"/>
      <c r="U17438" s="135"/>
    </row>
    <row r="17439" spans="20:21" ht="15" customHeight="1" x14ac:dyDescent="0.25">
      <c r="T17439" s="135"/>
      <c r="U17439" s="135"/>
    </row>
    <row r="17440" spans="20:21" ht="15" customHeight="1" x14ac:dyDescent="0.25">
      <c r="T17440" s="135"/>
      <c r="U17440" s="135"/>
    </row>
    <row r="17441" spans="20:21" ht="15" customHeight="1" x14ac:dyDescent="0.25">
      <c r="T17441" s="135"/>
      <c r="U17441" s="135"/>
    </row>
    <row r="17442" spans="20:21" ht="15" customHeight="1" x14ac:dyDescent="0.25">
      <c r="T17442" s="135"/>
      <c r="U17442" s="135"/>
    </row>
    <row r="17443" spans="20:21" ht="15" customHeight="1" x14ac:dyDescent="0.25">
      <c r="T17443" s="135"/>
      <c r="U17443" s="135"/>
    </row>
    <row r="17444" spans="20:21" ht="15" customHeight="1" x14ac:dyDescent="0.25">
      <c r="T17444" s="135"/>
      <c r="U17444" s="135"/>
    </row>
    <row r="17445" spans="20:21" ht="15" customHeight="1" x14ac:dyDescent="0.25">
      <c r="T17445" s="135"/>
      <c r="U17445" s="135"/>
    </row>
    <row r="17446" spans="20:21" ht="15" customHeight="1" x14ac:dyDescent="0.25">
      <c r="T17446" s="135"/>
      <c r="U17446" s="135"/>
    </row>
    <row r="17447" spans="20:21" ht="15" customHeight="1" x14ac:dyDescent="0.25">
      <c r="T17447" s="135"/>
      <c r="U17447" s="135"/>
    </row>
    <row r="17448" spans="20:21" ht="15" customHeight="1" x14ac:dyDescent="0.25">
      <c r="T17448" s="135"/>
      <c r="U17448" s="135"/>
    </row>
    <row r="17449" spans="20:21" ht="15" customHeight="1" x14ac:dyDescent="0.25">
      <c r="T17449" s="135"/>
      <c r="U17449" s="135"/>
    </row>
    <row r="17450" spans="20:21" ht="15" customHeight="1" x14ac:dyDescent="0.25">
      <c r="T17450" s="135"/>
      <c r="U17450" s="135"/>
    </row>
    <row r="17451" spans="20:21" ht="15" customHeight="1" x14ac:dyDescent="0.25">
      <c r="T17451" s="135"/>
      <c r="U17451" s="135"/>
    </row>
    <row r="17452" spans="20:21" ht="15" customHeight="1" x14ac:dyDescent="0.25">
      <c r="T17452" s="135"/>
      <c r="U17452" s="135"/>
    </row>
    <row r="17453" spans="20:21" ht="15" customHeight="1" x14ac:dyDescent="0.25">
      <c r="T17453" s="135"/>
      <c r="U17453" s="135"/>
    </row>
    <row r="17454" spans="20:21" ht="15" customHeight="1" x14ac:dyDescent="0.25">
      <c r="T17454" s="135"/>
      <c r="U17454" s="135"/>
    </row>
    <row r="17455" spans="20:21" ht="15" customHeight="1" x14ac:dyDescent="0.25">
      <c r="T17455" s="135"/>
      <c r="U17455" s="135"/>
    </row>
    <row r="17456" spans="20:21" ht="15" customHeight="1" x14ac:dyDescent="0.25">
      <c r="T17456" s="135"/>
      <c r="U17456" s="135"/>
    </row>
    <row r="17457" spans="20:21" ht="15" customHeight="1" x14ac:dyDescent="0.25">
      <c r="T17457" s="135"/>
      <c r="U17457" s="135"/>
    </row>
    <row r="17458" spans="20:21" ht="15" customHeight="1" x14ac:dyDescent="0.25">
      <c r="T17458" s="135"/>
      <c r="U17458" s="135"/>
    </row>
    <row r="17459" spans="20:21" ht="15" customHeight="1" x14ac:dyDescent="0.25">
      <c r="T17459" s="135"/>
      <c r="U17459" s="135"/>
    </row>
    <row r="17460" spans="20:21" ht="15" customHeight="1" x14ac:dyDescent="0.25">
      <c r="T17460" s="135"/>
      <c r="U17460" s="135"/>
    </row>
    <row r="17461" spans="20:21" ht="15" customHeight="1" x14ac:dyDescent="0.25">
      <c r="T17461" s="135"/>
      <c r="U17461" s="135"/>
    </row>
    <row r="17462" spans="20:21" ht="15" customHeight="1" x14ac:dyDescent="0.25">
      <c r="T17462" s="135"/>
      <c r="U17462" s="135"/>
    </row>
    <row r="17463" spans="20:21" ht="15" customHeight="1" x14ac:dyDescent="0.25">
      <c r="T17463" s="135"/>
      <c r="U17463" s="135"/>
    </row>
    <row r="17464" spans="20:21" ht="15" customHeight="1" x14ac:dyDescent="0.25">
      <c r="T17464" s="135"/>
      <c r="U17464" s="135"/>
    </row>
    <row r="17465" spans="20:21" ht="15" customHeight="1" x14ac:dyDescent="0.25">
      <c r="T17465" s="135"/>
      <c r="U17465" s="135"/>
    </row>
    <row r="17466" spans="20:21" ht="15" customHeight="1" x14ac:dyDescent="0.25">
      <c r="T17466" s="135"/>
      <c r="U17466" s="135"/>
    </row>
    <row r="17467" spans="20:21" ht="15" customHeight="1" x14ac:dyDescent="0.25">
      <c r="T17467" s="135"/>
      <c r="U17467" s="135"/>
    </row>
    <row r="17468" spans="20:21" ht="15" customHeight="1" x14ac:dyDescent="0.25">
      <c r="T17468" s="135"/>
      <c r="U17468" s="135"/>
    </row>
    <row r="17469" spans="20:21" ht="15" customHeight="1" x14ac:dyDescent="0.25">
      <c r="T17469" s="135"/>
      <c r="U17469" s="135"/>
    </row>
    <row r="17470" spans="20:21" ht="15" customHeight="1" x14ac:dyDescent="0.25">
      <c r="T17470" s="135"/>
      <c r="U17470" s="135"/>
    </row>
    <row r="17471" spans="20:21" ht="15" customHeight="1" x14ac:dyDescent="0.25">
      <c r="T17471" s="135"/>
      <c r="U17471" s="135"/>
    </row>
    <row r="17472" spans="20:21" ht="15" customHeight="1" x14ac:dyDescent="0.25">
      <c r="T17472" s="135"/>
      <c r="U17472" s="135"/>
    </row>
    <row r="17473" spans="20:21" ht="15" customHeight="1" x14ac:dyDescent="0.25">
      <c r="T17473" s="135"/>
      <c r="U17473" s="135"/>
    </row>
    <row r="17474" spans="20:21" ht="15" customHeight="1" x14ac:dyDescent="0.25">
      <c r="T17474" s="135"/>
      <c r="U17474" s="135"/>
    </row>
    <row r="17475" spans="20:21" ht="15" customHeight="1" x14ac:dyDescent="0.25">
      <c r="T17475" s="135"/>
      <c r="U17475" s="135"/>
    </row>
    <row r="17476" spans="20:21" ht="15" customHeight="1" x14ac:dyDescent="0.25">
      <c r="T17476" s="135"/>
      <c r="U17476" s="135"/>
    </row>
    <row r="17477" spans="20:21" ht="15" customHeight="1" x14ac:dyDescent="0.25">
      <c r="T17477" s="135"/>
      <c r="U17477" s="135"/>
    </row>
    <row r="17478" spans="20:21" ht="15" customHeight="1" x14ac:dyDescent="0.25">
      <c r="T17478" s="135"/>
      <c r="U17478" s="135"/>
    </row>
    <row r="17479" spans="20:21" ht="15" customHeight="1" x14ac:dyDescent="0.25">
      <c r="T17479" s="135"/>
      <c r="U17479" s="135"/>
    </row>
    <row r="17480" spans="20:21" ht="15" customHeight="1" x14ac:dyDescent="0.25">
      <c r="T17480" s="135"/>
      <c r="U17480" s="135"/>
    </row>
    <row r="17481" spans="20:21" ht="15" customHeight="1" x14ac:dyDescent="0.25">
      <c r="T17481" s="135"/>
      <c r="U17481" s="135"/>
    </row>
    <row r="17482" spans="20:21" ht="15" customHeight="1" x14ac:dyDescent="0.25">
      <c r="T17482" s="135"/>
      <c r="U17482" s="135"/>
    </row>
    <row r="17483" spans="20:21" ht="15" customHeight="1" x14ac:dyDescent="0.25">
      <c r="T17483" s="135"/>
      <c r="U17483" s="135"/>
    </row>
    <row r="17484" spans="20:21" ht="15" customHeight="1" x14ac:dyDescent="0.25">
      <c r="T17484" s="135"/>
      <c r="U17484" s="135"/>
    </row>
    <row r="17485" spans="20:21" ht="15" customHeight="1" x14ac:dyDescent="0.25">
      <c r="T17485" s="135"/>
      <c r="U17485" s="135"/>
    </row>
    <row r="17486" spans="20:21" ht="15" customHeight="1" x14ac:dyDescent="0.25">
      <c r="T17486" s="135"/>
      <c r="U17486" s="135"/>
    </row>
    <row r="17487" spans="20:21" ht="15" customHeight="1" x14ac:dyDescent="0.25">
      <c r="T17487" s="135"/>
      <c r="U17487" s="135"/>
    </row>
    <row r="17488" spans="20:21" ht="15" customHeight="1" x14ac:dyDescent="0.25">
      <c r="T17488" s="135"/>
      <c r="U17488" s="135"/>
    </row>
    <row r="17489" spans="20:21" ht="15" customHeight="1" x14ac:dyDescent="0.25">
      <c r="T17489" s="135"/>
      <c r="U17489" s="135"/>
    </row>
    <row r="17490" spans="20:21" ht="15" customHeight="1" x14ac:dyDescent="0.25">
      <c r="T17490" s="135"/>
      <c r="U17490" s="135"/>
    </row>
    <row r="17491" spans="20:21" ht="15" customHeight="1" x14ac:dyDescent="0.25">
      <c r="T17491" s="135"/>
      <c r="U17491" s="135"/>
    </row>
    <row r="17492" spans="20:21" ht="15" customHeight="1" x14ac:dyDescent="0.25">
      <c r="T17492" s="135"/>
      <c r="U17492" s="135"/>
    </row>
    <row r="17493" spans="20:21" ht="15" customHeight="1" x14ac:dyDescent="0.25">
      <c r="T17493" s="135"/>
      <c r="U17493" s="135"/>
    </row>
    <row r="17494" spans="20:21" ht="15" customHeight="1" x14ac:dyDescent="0.25">
      <c r="T17494" s="135"/>
      <c r="U17494" s="135"/>
    </row>
    <row r="17495" spans="20:21" ht="15" customHeight="1" x14ac:dyDescent="0.25">
      <c r="T17495" s="135"/>
      <c r="U17495" s="135"/>
    </row>
    <row r="17496" spans="20:21" ht="15" customHeight="1" x14ac:dyDescent="0.25">
      <c r="T17496" s="135"/>
      <c r="U17496" s="135"/>
    </row>
    <row r="17497" spans="20:21" ht="15" customHeight="1" x14ac:dyDescent="0.25">
      <c r="T17497" s="135"/>
      <c r="U17497" s="135"/>
    </row>
    <row r="17498" spans="20:21" ht="15" customHeight="1" x14ac:dyDescent="0.25">
      <c r="T17498" s="135"/>
      <c r="U17498" s="135"/>
    </row>
    <row r="17499" spans="20:21" ht="15" customHeight="1" x14ac:dyDescent="0.25">
      <c r="T17499" s="135"/>
      <c r="U17499" s="135"/>
    </row>
    <row r="17500" spans="20:21" ht="15" customHeight="1" x14ac:dyDescent="0.25">
      <c r="T17500" s="135"/>
      <c r="U17500" s="135"/>
    </row>
    <row r="17501" spans="20:21" ht="15" customHeight="1" x14ac:dyDescent="0.25">
      <c r="T17501" s="135"/>
      <c r="U17501" s="135"/>
    </row>
    <row r="17502" spans="20:21" ht="15" customHeight="1" x14ac:dyDescent="0.25">
      <c r="T17502" s="135"/>
      <c r="U17502" s="135"/>
    </row>
    <row r="17503" spans="20:21" ht="15" customHeight="1" x14ac:dyDescent="0.25">
      <c r="T17503" s="135"/>
      <c r="U17503" s="135"/>
    </row>
    <row r="17504" spans="20:21" ht="15" customHeight="1" x14ac:dyDescent="0.25">
      <c r="T17504" s="135"/>
      <c r="U17504" s="135"/>
    </row>
    <row r="17505" spans="20:21" ht="15" customHeight="1" x14ac:dyDescent="0.25">
      <c r="T17505" s="135"/>
      <c r="U17505" s="135"/>
    </row>
    <row r="17506" spans="20:21" ht="15" customHeight="1" x14ac:dyDescent="0.25">
      <c r="T17506" s="135"/>
      <c r="U17506" s="135"/>
    </row>
    <row r="17507" spans="20:21" ht="15" customHeight="1" x14ac:dyDescent="0.25">
      <c r="T17507" s="135"/>
      <c r="U17507" s="135"/>
    </row>
    <row r="17508" spans="20:21" ht="15" customHeight="1" x14ac:dyDescent="0.25">
      <c r="T17508" s="135"/>
      <c r="U17508" s="135"/>
    </row>
    <row r="17509" spans="20:21" ht="15" customHeight="1" x14ac:dyDescent="0.25">
      <c r="T17509" s="135"/>
      <c r="U17509" s="135"/>
    </row>
    <row r="17510" spans="20:21" ht="15" customHeight="1" x14ac:dyDescent="0.25">
      <c r="T17510" s="135"/>
      <c r="U17510" s="135"/>
    </row>
    <row r="17511" spans="20:21" ht="15" customHeight="1" x14ac:dyDescent="0.25">
      <c r="T17511" s="135"/>
      <c r="U17511" s="135"/>
    </row>
    <row r="17512" spans="20:21" ht="15" customHeight="1" x14ac:dyDescent="0.25">
      <c r="T17512" s="135"/>
      <c r="U17512" s="135"/>
    </row>
    <row r="17513" spans="20:21" ht="15" customHeight="1" x14ac:dyDescent="0.25">
      <c r="T17513" s="135"/>
      <c r="U17513" s="135"/>
    </row>
    <row r="17514" spans="20:21" ht="15" customHeight="1" x14ac:dyDescent="0.25">
      <c r="T17514" s="135"/>
      <c r="U17514" s="135"/>
    </row>
    <row r="17515" spans="20:21" ht="15" customHeight="1" x14ac:dyDescent="0.25">
      <c r="T17515" s="135"/>
      <c r="U17515" s="135"/>
    </row>
    <row r="17516" spans="20:21" ht="15" customHeight="1" x14ac:dyDescent="0.25">
      <c r="T17516" s="135"/>
      <c r="U17516" s="135"/>
    </row>
    <row r="17517" spans="20:21" ht="15" customHeight="1" x14ac:dyDescent="0.25">
      <c r="T17517" s="135"/>
      <c r="U17517" s="135"/>
    </row>
    <row r="17518" spans="20:21" ht="15" customHeight="1" x14ac:dyDescent="0.25">
      <c r="T17518" s="135"/>
      <c r="U17518" s="135"/>
    </row>
    <row r="17519" spans="20:21" ht="15" customHeight="1" x14ac:dyDescent="0.25">
      <c r="T17519" s="135"/>
      <c r="U17519" s="135"/>
    </row>
    <row r="17520" spans="20:21" ht="15" customHeight="1" x14ac:dyDescent="0.25">
      <c r="T17520" s="135"/>
      <c r="U17520" s="135"/>
    </row>
    <row r="17521" spans="20:21" ht="15" customHeight="1" x14ac:dyDescent="0.25">
      <c r="T17521" s="135"/>
      <c r="U17521" s="135"/>
    </row>
    <row r="17522" spans="20:21" ht="15" customHeight="1" x14ac:dyDescent="0.25">
      <c r="T17522" s="135"/>
      <c r="U17522" s="135"/>
    </row>
    <row r="17523" spans="20:21" ht="15" customHeight="1" x14ac:dyDescent="0.25">
      <c r="T17523" s="135"/>
      <c r="U17523" s="135"/>
    </row>
    <row r="17524" spans="20:21" ht="15" customHeight="1" x14ac:dyDescent="0.25">
      <c r="T17524" s="135"/>
      <c r="U17524" s="135"/>
    </row>
    <row r="17525" spans="20:21" ht="15" customHeight="1" x14ac:dyDescent="0.25">
      <c r="T17525" s="135"/>
      <c r="U17525" s="135"/>
    </row>
    <row r="17526" spans="20:21" ht="15" customHeight="1" x14ac:dyDescent="0.25">
      <c r="T17526" s="135"/>
      <c r="U17526" s="135"/>
    </row>
    <row r="17527" spans="20:21" ht="15" customHeight="1" x14ac:dyDescent="0.25">
      <c r="T17527" s="135"/>
      <c r="U17527" s="135"/>
    </row>
    <row r="17528" spans="20:21" ht="15" customHeight="1" x14ac:dyDescent="0.25">
      <c r="T17528" s="135"/>
      <c r="U17528" s="135"/>
    </row>
    <row r="17529" spans="20:21" ht="15" customHeight="1" x14ac:dyDescent="0.25">
      <c r="T17529" s="135"/>
      <c r="U17529" s="135"/>
    </row>
    <row r="17530" spans="20:21" ht="15" customHeight="1" x14ac:dyDescent="0.25">
      <c r="T17530" s="135"/>
      <c r="U17530" s="135"/>
    </row>
    <row r="17531" spans="20:21" ht="15" customHeight="1" x14ac:dyDescent="0.25">
      <c r="T17531" s="135"/>
      <c r="U17531" s="135"/>
    </row>
    <row r="17532" spans="20:21" ht="15" customHeight="1" x14ac:dyDescent="0.25">
      <c r="T17532" s="135"/>
      <c r="U17532" s="135"/>
    </row>
    <row r="17533" spans="20:21" ht="15" customHeight="1" x14ac:dyDescent="0.25">
      <c r="T17533" s="135"/>
      <c r="U17533" s="135"/>
    </row>
    <row r="17534" spans="20:21" ht="15" customHeight="1" x14ac:dyDescent="0.25">
      <c r="T17534" s="135"/>
      <c r="U17534" s="135"/>
    </row>
    <row r="17535" spans="20:21" ht="15" customHeight="1" x14ac:dyDescent="0.25">
      <c r="T17535" s="135"/>
      <c r="U17535" s="135"/>
    </row>
    <row r="17536" spans="20:21" ht="15" customHeight="1" x14ac:dyDescent="0.25">
      <c r="T17536" s="135"/>
      <c r="U17536" s="135"/>
    </row>
    <row r="17537" spans="20:21" ht="15" customHeight="1" x14ac:dyDescent="0.25">
      <c r="T17537" s="135"/>
      <c r="U17537" s="135"/>
    </row>
    <row r="17538" spans="20:21" ht="15" customHeight="1" x14ac:dyDescent="0.25">
      <c r="T17538" s="135"/>
      <c r="U17538" s="135"/>
    </row>
    <row r="17539" spans="20:21" ht="15" customHeight="1" x14ac:dyDescent="0.25">
      <c r="T17539" s="135"/>
      <c r="U17539" s="135"/>
    </row>
    <row r="17540" spans="20:21" ht="15" customHeight="1" x14ac:dyDescent="0.25">
      <c r="T17540" s="135"/>
      <c r="U17540" s="135"/>
    </row>
    <row r="17541" spans="20:21" ht="15" customHeight="1" x14ac:dyDescent="0.25">
      <c r="T17541" s="135"/>
      <c r="U17541" s="135"/>
    </row>
    <row r="17542" spans="20:21" ht="15" customHeight="1" x14ac:dyDescent="0.25">
      <c r="T17542" s="135"/>
      <c r="U17542" s="135"/>
    </row>
    <row r="17543" spans="20:21" ht="15" customHeight="1" x14ac:dyDescent="0.25">
      <c r="T17543" s="135"/>
      <c r="U17543" s="135"/>
    </row>
    <row r="17544" spans="20:21" ht="15" customHeight="1" x14ac:dyDescent="0.25">
      <c r="T17544" s="135"/>
      <c r="U17544" s="135"/>
    </row>
    <row r="17545" spans="20:21" ht="15" customHeight="1" x14ac:dyDescent="0.25">
      <c r="T17545" s="135"/>
      <c r="U17545" s="135"/>
    </row>
    <row r="17546" spans="20:21" ht="15" customHeight="1" x14ac:dyDescent="0.25">
      <c r="T17546" s="135"/>
      <c r="U17546" s="135"/>
    </row>
    <row r="17547" spans="20:21" ht="15" customHeight="1" x14ac:dyDescent="0.25">
      <c r="T17547" s="135"/>
      <c r="U17547" s="135"/>
    </row>
    <row r="17548" spans="20:21" ht="15" customHeight="1" x14ac:dyDescent="0.25">
      <c r="T17548" s="135"/>
      <c r="U17548" s="135"/>
    </row>
    <row r="17549" spans="20:21" ht="15" customHeight="1" x14ac:dyDescent="0.25">
      <c r="T17549" s="135"/>
      <c r="U17549" s="135"/>
    </row>
    <row r="17550" spans="20:21" ht="15" customHeight="1" x14ac:dyDescent="0.25">
      <c r="T17550" s="135"/>
      <c r="U17550" s="135"/>
    </row>
    <row r="17551" spans="20:21" ht="15" customHeight="1" x14ac:dyDescent="0.25">
      <c r="T17551" s="135"/>
      <c r="U17551" s="135"/>
    </row>
    <row r="17552" spans="20:21" ht="15" customHeight="1" x14ac:dyDescent="0.25">
      <c r="T17552" s="135"/>
      <c r="U17552" s="135"/>
    </row>
    <row r="17553" spans="20:21" ht="15" customHeight="1" x14ac:dyDescent="0.25">
      <c r="T17553" s="135"/>
      <c r="U17553" s="135"/>
    </row>
    <row r="17554" spans="20:21" ht="15" customHeight="1" x14ac:dyDescent="0.25">
      <c r="T17554" s="135"/>
      <c r="U17554" s="135"/>
    </row>
    <row r="17555" spans="20:21" ht="15" customHeight="1" x14ac:dyDescent="0.25">
      <c r="T17555" s="135"/>
      <c r="U17555" s="135"/>
    </row>
    <row r="17556" spans="20:21" ht="15" customHeight="1" x14ac:dyDescent="0.25">
      <c r="T17556" s="135"/>
      <c r="U17556" s="135"/>
    </row>
    <row r="17557" spans="20:21" ht="15" customHeight="1" x14ac:dyDescent="0.25">
      <c r="T17557" s="135"/>
      <c r="U17557" s="135"/>
    </row>
    <row r="17558" spans="20:21" ht="15" customHeight="1" x14ac:dyDescent="0.25">
      <c r="T17558" s="135"/>
      <c r="U17558" s="135"/>
    </row>
    <row r="17559" spans="20:21" ht="15" customHeight="1" x14ac:dyDescent="0.25">
      <c r="T17559" s="135"/>
      <c r="U17559" s="135"/>
    </row>
    <row r="17560" spans="20:21" ht="15" customHeight="1" x14ac:dyDescent="0.25">
      <c r="T17560" s="135"/>
      <c r="U17560" s="135"/>
    </row>
    <row r="17561" spans="20:21" ht="15" customHeight="1" x14ac:dyDescent="0.25">
      <c r="T17561" s="135"/>
      <c r="U17561" s="135"/>
    </row>
    <row r="17562" spans="20:21" ht="15" customHeight="1" x14ac:dyDescent="0.25">
      <c r="T17562" s="135"/>
      <c r="U17562" s="135"/>
    </row>
    <row r="17563" spans="20:21" ht="15" customHeight="1" x14ac:dyDescent="0.25">
      <c r="T17563" s="135"/>
      <c r="U17563" s="135"/>
    </row>
    <row r="17564" spans="20:21" ht="15" customHeight="1" x14ac:dyDescent="0.25">
      <c r="T17564" s="135"/>
      <c r="U17564" s="135"/>
    </row>
    <row r="17565" spans="20:21" ht="15" customHeight="1" x14ac:dyDescent="0.25">
      <c r="T17565" s="135"/>
      <c r="U17565" s="135"/>
    </row>
    <row r="17566" spans="20:21" ht="15" customHeight="1" x14ac:dyDescent="0.25">
      <c r="T17566" s="135"/>
      <c r="U17566" s="135"/>
    </row>
    <row r="17567" spans="20:21" ht="15" customHeight="1" x14ac:dyDescent="0.25">
      <c r="T17567" s="135"/>
      <c r="U17567" s="135"/>
    </row>
    <row r="17568" spans="20:21" ht="15" customHeight="1" x14ac:dyDescent="0.25">
      <c r="T17568" s="135"/>
      <c r="U17568" s="135"/>
    </row>
    <row r="17569" spans="20:21" ht="15" customHeight="1" x14ac:dyDescent="0.25">
      <c r="T17569" s="135"/>
      <c r="U17569" s="135"/>
    </row>
    <row r="17570" spans="20:21" ht="15" customHeight="1" x14ac:dyDescent="0.25">
      <c r="T17570" s="135"/>
      <c r="U17570" s="135"/>
    </row>
    <row r="17571" spans="20:21" ht="15" customHeight="1" x14ac:dyDescent="0.25">
      <c r="T17571" s="135"/>
      <c r="U17571" s="135"/>
    </row>
    <row r="17572" spans="20:21" ht="15" customHeight="1" x14ac:dyDescent="0.25">
      <c r="T17572" s="135"/>
      <c r="U17572" s="135"/>
    </row>
    <row r="17573" spans="20:21" ht="15" customHeight="1" x14ac:dyDescent="0.25">
      <c r="T17573" s="135"/>
      <c r="U17573" s="135"/>
    </row>
    <row r="17574" spans="20:21" ht="15" customHeight="1" x14ac:dyDescent="0.25">
      <c r="T17574" s="135"/>
      <c r="U17574" s="135"/>
    </row>
    <row r="17575" spans="20:21" ht="15" customHeight="1" x14ac:dyDescent="0.25">
      <c r="T17575" s="135"/>
      <c r="U17575" s="135"/>
    </row>
    <row r="17576" spans="20:21" ht="15" customHeight="1" x14ac:dyDescent="0.25">
      <c r="T17576" s="135"/>
      <c r="U17576" s="135"/>
    </row>
    <row r="17577" spans="20:21" ht="15" customHeight="1" x14ac:dyDescent="0.25">
      <c r="T17577" s="135"/>
      <c r="U17577" s="135"/>
    </row>
    <row r="17578" spans="20:21" ht="15" customHeight="1" x14ac:dyDescent="0.25">
      <c r="T17578" s="135"/>
      <c r="U17578" s="135"/>
    </row>
    <row r="17579" spans="20:21" ht="15" customHeight="1" x14ac:dyDescent="0.25">
      <c r="T17579" s="135"/>
      <c r="U17579" s="135"/>
    </row>
    <row r="17580" spans="20:21" ht="15" customHeight="1" x14ac:dyDescent="0.25">
      <c r="T17580" s="135"/>
      <c r="U17580" s="135"/>
    </row>
    <row r="17581" spans="20:21" ht="15" customHeight="1" x14ac:dyDescent="0.25">
      <c r="T17581" s="135"/>
      <c r="U17581" s="135"/>
    </row>
    <row r="17582" spans="20:21" ht="15" customHeight="1" x14ac:dyDescent="0.25">
      <c r="T17582" s="135"/>
      <c r="U17582" s="135"/>
    </row>
    <row r="17583" spans="20:21" ht="15" customHeight="1" x14ac:dyDescent="0.25">
      <c r="T17583" s="135"/>
      <c r="U17583" s="135"/>
    </row>
    <row r="17584" spans="20:21" ht="15" customHeight="1" x14ac:dyDescent="0.25">
      <c r="T17584" s="135"/>
      <c r="U17584" s="135"/>
    </row>
    <row r="17585" spans="20:21" ht="15" customHeight="1" x14ac:dyDescent="0.25">
      <c r="T17585" s="135"/>
      <c r="U17585" s="135"/>
    </row>
    <row r="17586" spans="20:21" ht="15" customHeight="1" x14ac:dyDescent="0.25">
      <c r="T17586" s="135"/>
      <c r="U17586" s="135"/>
    </row>
    <row r="17587" spans="20:21" ht="15" customHeight="1" x14ac:dyDescent="0.25">
      <c r="T17587" s="135"/>
      <c r="U17587" s="135"/>
    </row>
    <row r="17588" spans="20:21" ht="15" customHeight="1" x14ac:dyDescent="0.25">
      <c r="T17588" s="135"/>
      <c r="U17588" s="135"/>
    </row>
    <row r="17589" spans="20:21" ht="15" customHeight="1" x14ac:dyDescent="0.25">
      <c r="T17589" s="135"/>
      <c r="U17589" s="135"/>
    </row>
    <row r="17590" spans="20:21" ht="15" customHeight="1" x14ac:dyDescent="0.25">
      <c r="T17590" s="135"/>
      <c r="U17590" s="135"/>
    </row>
    <row r="17591" spans="20:21" ht="15" customHeight="1" x14ac:dyDescent="0.25">
      <c r="T17591" s="135"/>
      <c r="U17591" s="135"/>
    </row>
    <row r="17592" spans="20:21" ht="15" customHeight="1" x14ac:dyDescent="0.25">
      <c r="T17592" s="135"/>
      <c r="U17592" s="135"/>
    </row>
    <row r="17593" spans="20:21" ht="15" customHeight="1" x14ac:dyDescent="0.25">
      <c r="T17593" s="135"/>
      <c r="U17593" s="135"/>
    </row>
    <row r="17594" spans="20:21" ht="15" customHeight="1" x14ac:dyDescent="0.25">
      <c r="T17594" s="135"/>
      <c r="U17594" s="135"/>
    </row>
    <row r="17595" spans="20:21" ht="15" customHeight="1" x14ac:dyDescent="0.25">
      <c r="T17595" s="135"/>
      <c r="U17595" s="135"/>
    </row>
    <row r="17596" spans="20:21" ht="15" customHeight="1" x14ac:dyDescent="0.25">
      <c r="T17596" s="135"/>
      <c r="U17596" s="135"/>
    </row>
    <row r="17597" spans="20:21" ht="15" customHeight="1" x14ac:dyDescent="0.25">
      <c r="T17597" s="135"/>
      <c r="U17597" s="135"/>
    </row>
    <row r="17598" spans="20:21" ht="15" customHeight="1" x14ac:dyDescent="0.25">
      <c r="T17598" s="135"/>
      <c r="U17598" s="135"/>
    </row>
    <row r="17599" spans="20:21" ht="15" customHeight="1" x14ac:dyDescent="0.25">
      <c r="T17599" s="135"/>
      <c r="U17599" s="135"/>
    </row>
    <row r="17600" spans="20:21" ht="15" customHeight="1" x14ac:dyDescent="0.25">
      <c r="T17600" s="135"/>
      <c r="U17600" s="135"/>
    </row>
    <row r="17601" spans="20:21" ht="15" customHeight="1" x14ac:dyDescent="0.25">
      <c r="T17601" s="135"/>
      <c r="U17601" s="135"/>
    </row>
    <row r="17602" spans="20:21" ht="15" customHeight="1" x14ac:dyDescent="0.25">
      <c r="T17602" s="135"/>
      <c r="U17602" s="135"/>
    </row>
    <row r="17603" spans="20:21" ht="15" customHeight="1" x14ac:dyDescent="0.25">
      <c r="T17603" s="135"/>
      <c r="U17603" s="135"/>
    </row>
    <row r="17604" spans="20:21" ht="15" customHeight="1" x14ac:dyDescent="0.25">
      <c r="T17604" s="135"/>
      <c r="U17604" s="135"/>
    </row>
    <row r="17605" spans="20:21" ht="15" customHeight="1" x14ac:dyDescent="0.25">
      <c r="T17605" s="135"/>
      <c r="U17605" s="135"/>
    </row>
    <row r="17606" spans="20:21" ht="15" customHeight="1" x14ac:dyDescent="0.25">
      <c r="T17606" s="135"/>
      <c r="U17606" s="135"/>
    </row>
    <row r="17607" spans="20:21" ht="15" customHeight="1" x14ac:dyDescent="0.25">
      <c r="T17607" s="135"/>
      <c r="U17607" s="135"/>
    </row>
    <row r="17608" spans="20:21" ht="15" customHeight="1" x14ac:dyDescent="0.25">
      <c r="T17608" s="135"/>
      <c r="U17608" s="135"/>
    </row>
    <row r="17609" spans="20:21" ht="15" customHeight="1" x14ac:dyDescent="0.25">
      <c r="T17609" s="135"/>
      <c r="U17609" s="135"/>
    </row>
    <row r="17610" spans="20:21" ht="15" customHeight="1" x14ac:dyDescent="0.25">
      <c r="T17610" s="135"/>
      <c r="U17610" s="135"/>
    </row>
    <row r="17611" spans="20:21" ht="15" customHeight="1" x14ac:dyDescent="0.25">
      <c r="T17611" s="135"/>
      <c r="U17611" s="135"/>
    </row>
    <row r="17612" spans="20:21" ht="15" customHeight="1" x14ac:dyDescent="0.25">
      <c r="T17612" s="135"/>
      <c r="U17612" s="135"/>
    </row>
    <row r="17613" spans="20:21" ht="15" customHeight="1" x14ac:dyDescent="0.25">
      <c r="T17613" s="135"/>
      <c r="U17613" s="135"/>
    </row>
    <row r="17614" spans="20:21" ht="15" customHeight="1" x14ac:dyDescent="0.25">
      <c r="T17614" s="135"/>
      <c r="U17614" s="135"/>
    </row>
    <row r="17615" spans="20:21" ht="15" customHeight="1" x14ac:dyDescent="0.25">
      <c r="T17615" s="135"/>
      <c r="U17615" s="135"/>
    </row>
    <row r="17616" spans="20:21" ht="15" customHeight="1" x14ac:dyDescent="0.25">
      <c r="T17616" s="135"/>
      <c r="U17616" s="135"/>
    </row>
    <row r="17617" spans="20:21" ht="15" customHeight="1" x14ac:dyDescent="0.25">
      <c r="T17617" s="135"/>
      <c r="U17617" s="135"/>
    </row>
    <row r="17618" spans="20:21" ht="15" customHeight="1" x14ac:dyDescent="0.25">
      <c r="T17618" s="135"/>
      <c r="U17618" s="135"/>
    </row>
    <row r="17619" spans="20:21" ht="15" customHeight="1" x14ac:dyDescent="0.25">
      <c r="T17619" s="135"/>
      <c r="U17619" s="135"/>
    </row>
    <row r="17620" spans="20:21" ht="15" customHeight="1" x14ac:dyDescent="0.25">
      <c r="T17620" s="135"/>
      <c r="U17620" s="135"/>
    </row>
    <row r="17621" spans="20:21" ht="15" customHeight="1" x14ac:dyDescent="0.25">
      <c r="T17621" s="135"/>
      <c r="U17621" s="135"/>
    </row>
    <row r="17622" spans="20:21" ht="15" customHeight="1" x14ac:dyDescent="0.25">
      <c r="T17622" s="135"/>
      <c r="U17622" s="135"/>
    </row>
    <row r="17623" spans="20:21" ht="15" customHeight="1" x14ac:dyDescent="0.25">
      <c r="T17623" s="135"/>
      <c r="U17623" s="135"/>
    </row>
    <row r="17624" spans="20:21" ht="15" customHeight="1" x14ac:dyDescent="0.25">
      <c r="T17624" s="135"/>
      <c r="U17624" s="135"/>
    </row>
    <row r="17625" spans="20:21" ht="15" customHeight="1" x14ac:dyDescent="0.25">
      <c r="T17625" s="135"/>
      <c r="U17625" s="135"/>
    </row>
    <row r="17626" spans="20:21" ht="15" customHeight="1" x14ac:dyDescent="0.25">
      <c r="T17626" s="135"/>
      <c r="U17626" s="135"/>
    </row>
    <row r="17627" spans="20:21" ht="15" customHeight="1" x14ac:dyDescent="0.25">
      <c r="T17627" s="135"/>
      <c r="U17627" s="135"/>
    </row>
    <row r="17628" spans="20:21" ht="15" customHeight="1" x14ac:dyDescent="0.25">
      <c r="T17628" s="135"/>
      <c r="U17628" s="135"/>
    </row>
    <row r="17629" spans="20:21" ht="15" customHeight="1" x14ac:dyDescent="0.25">
      <c r="T17629" s="135"/>
      <c r="U17629" s="135"/>
    </row>
    <row r="17630" spans="20:21" ht="15" customHeight="1" x14ac:dyDescent="0.25">
      <c r="T17630" s="135"/>
      <c r="U17630" s="135"/>
    </row>
    <row r="17631" spans="20:21" ht="15" customHeight="1" x14ac:dyDescent="0.25">
      <c r="T17631" s="135"/>
      <c r="U17631" s="135"/>
    </row>
    <row r="17632" spans="20:21" ht="15" customHeight="1" x14ac:dyDescent="0.25">
      <c r="T17632" s="135"/>
      <c r="U17632" s="135"/>
    </row>
    <row r="17633" spans="20:21" ht="15" customHeight="1" x14ac:dyDescent="0.25">
      <c r="T17633" s="135"/>
      <c r="U17633" s="135"/>
    </row>
    <row r="17634" spans="20:21" ht="15" customHeight="1" x14ac:dyDescent="0.25">
      <c r="T17634" s="135"/>
      <c r="U17634" s="135"/>
    </row>
    <row r="17635" spans="20:21" ht="15" customHeight="1" x14ac:dyDescent="0.25">
      <c r="T17635" s="135"/>
      <c r="U17635" s="135"/>
    </row>
    <row r="17636" spans="20:21" ht="15" customHeight="1" x14ac:dyDescent="0.25">
      <c r="T17636" s="135"/>
      <c r="U17636" s="135"/>
    </row>
    <row r="17637" spans="20:21" ht="15" customHeight="1" x14ac:dyDescent="0.25">
      <c r="T17637" s="135"/>
      <c r="U17637" s="135"/>
    </row>
    <row r="17638" spans="20:21" ht="15" customHeight="1" x14ac:dyDescent="0.25">
      <c r="T17638" s="135"/>
      <c r="U17638" s="135"/>
    </row>
    <row r="17639" spans="20:21" ht="15" customHeight="1" x14ac:dyDescent="0.25">
      <c r="T17639" s="135"/>
      <c r="U17639" s="135"/>
    </row>
    <row r="17640" spans="20:21" ht="15" customHeight="1" x14ac:dyDescent="0.25">
      <c r="T17640" s="135"/>
      <c r="U17640" s="135"/>
    </row>
    <row r="17641" spans="20:21" ht="15" customHeight="1" x14ac:dyDescent="0.25">
      <c r="T17641" s="135"/>
      <c r="U17641" s="135"/>
    </row>
    <row r="17642" spans="20:21" ht="15" customHeight="1" x14ac:dyDescent="0.25">
      <c r="T17642" s="135"/>
      <c r="U17642" s="135"/>
    </row>
    <row r="17643" spans="20:21" ht="15" customHeight="1" x14ac:dyDescent="0.25">
      <c r="T17643" s="135"/>
      <c r="U17643" s="135"/>
    </row>
    <row r="17644" spans="20:21" ht="15" customHeight="1" x14ac:dyDescent="0.25">
      <c r="T17644" s="135"/>
      <c r="U17644" s="135"/>
    </row>
    <row r="17645" spans="20:21" ht="15" customHeight="1" x14ac:dyDescent="0.25">
      <c r="T17645" s="135"/>
      <c r="U17645" s="135"/>
    </row>
    <row r="17646" spans="20:21" ht="15" customHeight="1" x14ac:dyDescent="0.25">
      <c r="T17646" s="135"/>
      <c r="U17646" s="135"/>
    </row>
    <row r="17647" spans="20:21" ht="15" customHeight="1" x14ac:dyDescent="0.25">
      <c r="T17647" s="135"/>
      <c r="U17647" s="135"/>
    </row>
    <row r="17648" spans="20:21" ht="15" customHeight="1" x14ac:dyDescent="0.25">
      <c r="T17648" s="135"/>
      <c r="U17648" s="135"/>
    </row>
    <row r="17649" spans="20:21" ht="15" customHeight="1" x14ac:dyDescent="0.25">
      <c r="T17649" s="135"/>
      <c r="U17649" s="135"/>
    </row>
    <row r="17650" spans="20:21" ht="15" customHeight="1" x14ac:dyDescent="0.25">
      <c r="T17650" s="135"/>
      <c r="U17650" s="135"/>
    </row>
    <row r="17651" spans="20:21" ht="15" customHeight="1" x14ac:dyDescent="0.25">
      <c r="T17651" s="135"/>
      <c r="U17651" s="135"/>
    </row>
    <row r="17652" spans="20:21" ht="15" customHeight="1" x14ac:dyDescent="0.25">
      <c r="T17652" s="135"/>
      <c r="U17652" s="135"/>
    </row>
    <row r="17653" spans="20:21" ht="15" customHeight="1" x14ac:dyDescent="0.25">
      <c r="T17653" s="135"/>
      <c r="U17653" s="135"/>
    </row>
    <row r="17654" spans="20:21" ht="15" customHeight="1" x14ac:dyDescent="0.25">
      <c r="T17654" s="135"/>
      <c r="U17654" s="135"/>
    </row>
    <row r="17655" spans="20:21" ht="15" customHeight="1" x14ac:dyDescent="0.25">
      <c r="T17655" s="135"/>
      <c r="U17655" s="135"/>
    </row>
    <row r="17656" spans="20:21" ht="15" customHeight="1" x14ac:dyDescent="0.25">
      <c r="T17656" s="135"/>
      <c r="U17656" s="135"/>
    </row>
    <row r="17657" spans="20:21" ht="15" customHeight="1" x14ac:dyDescent="0.25">
      <c r="T17657" s="135"/>
      <c r="U17657" s="135"/>
    </row>
    <row r="17658" spans="20:21" ht="15" customHeight="1" x14ac:dyDescent="0.25">
      <c r="T17658" s="135"/>
      <c r="U17658" s="135"/>
    </row>
    <row r="17659" spans="20:21" ht="15" customHeight="1" x14ac:dyDescent="0.25">
      <c r="T17659" s="135"/>
      <c r="U17659" s="135"/>
    </row>
    <row r="17660" spans="20:21" ht="15" customHeight="1" x14ac:dyDescent="0.25">
      <c r="T17660" s="135"/>
      <c r="U17660" s="135"/>
    </row>
    <row r="17661" spans="20:21" ht="15" customHeight="1" x14ac:dyDescent="0.25">
      <c r="T17661" s="135"/>
      <c r="U17661" s="135"/>
    </row>
    <row r="17662" spans="20:21" ht="15" customHeight="1" x14ac:dyDescent="0.25">
      <c r="T17662" s="135"/>
      <c r="U17662" s="135"/>
    </row>
    <row r="17663" spans="20:21" ht="15" customHeight="1" x14ac:dyDescent="0.25">
      <c r="T17663" s="135"/>
      <c r="U17663" s="135"/>
    </row>
    <row r="17664" spans="20:21" ht="15" customHeight="1" x14ac:dyDescent="0.25">
      <c r="T17664" s="135"/>
      <c r="U17664" s="135"/>
    </row>
    <row r="17665" spans="20:21" ht="15" customHeight="1" x14ac:dyDescent="0.25">
      <c r="T17665" s="135"/>
      <c r="U17665" s="135"/>
    </row>
    <row r="17666" spans="20:21" ht="15" customHeight="1" x14ac:dyDescent="0.25">
      <c r="T17666" s="135"/>
      <c r="U17666" s="135"/>
    </row>
    <row r="17667" spans="20:21" ht="15" customHeight="1" x14ac:dyDescent="0.25">
      <c r="T17667" s="135"/>
      <c r="U17667" s="135"/>
    </row>
    <row r="17668" spans="20:21" ht="15" customHeight="1" x14ac:dyDescent="0.25">
      <c r="T17668" s="135"/>
      <c r="U17668" s="135"/>
    </row>
    <row r="17669" spans="20:21" ht="15" customHeight="1" x14ac:dyDescent="0.25">
      <c r="T17669" s="135"/>
      <c r="U17669" s="135"/>
    </row>
    <row r="17670" spans="20:21" ht="15" customHeight="1" x14ac:dyDescent="0.25">
      <c r="T17670" s="135"/>
      <c r="U17670" s="135"/>
    </row>
    <row r="17671" spans="20:21" ht="15" customHeight="1" x14ac:dyDescent="0.25">
      <c r="T17671" s="135"/>
      <c r="U17671" s="135"/>
    </row>
    <row r="17672" spans="20:21" ht="15" customHeight="1" x14ac:dyDescent="0.25">
      <c r="T17672" s="135"/>
      <c r="U17672" s="135"/>
    </row>
    <row r="17673" spans="20:21" ht="15" customHeight="1" x14ac:dyDescent="0.25">
      <c r="T17673" s="135"/>
      <c r="U17673" s="135"/>
    </row>
    <row r="17674" spans="20:21" ht="15" customHeight="1" x14ac:dyDescent="0.25">
      <c r="T17674" s="135"/>
      <c r="U17674" s="135"/>
    </row>
    <row r="17675" spans="20:21" ht="15" customHeight="1" x14ac:dyDescent="0.25">
      <c r="T17675" s="135"/>
      <c r="U17675" s="135"/>
    </row>
    <row r="17676" spans="20:21" ht="15" customHeight="1" x14ac:dyDescent="0.25">
      <c r="T17676" s="135"/>
      <c r="U17676" s="135"/>
    </row>
    <row r="17677" spans="20:21" ht="15" customHeight="1" x14ac:dyDescent="0.25">
      <c r="T17677" s="135"/>
      <c r="U17677" s="135"/>
    </row>
    <row r="17678" spans="20:21" ht="15" customHeight="1" x14ac:dyDescent="0.25">
      <c r="T17678" s="135"/>
      <c r="U17678" s="135"/>
    </row>
    <row r="17679" spans="20:21" ht="15" customHeight="1" x14ac:dyDescent="0.25">
      <c r="T17679" s="135"/>
      <c r="U17679" s="135"/>
    </row>
    <row r="17680" spans="20:21" ht="15" customHeight="1" x14ac:dyDescent="0.25">
      <c r="T17680" s="135"/>
      <c r="U17680" s="135"/>
    </row>
    <row r="17681" spans="20:21" ht="15" customHeight="1" x14ac:dyDescent="0.25">
      <c r="T17681" s="135"/>
      <c r="U17681" s="135"/>
    </row>
    <row r="17682" spans="20:21" ht="15" customHeight="1" x14ac:dyDescent="0.25">
      <c r="T17682" s="135"/>
      <c r="U17682" s="135"/>
    </row>
    <row r="17683" spans="20:21" ht="15" customHeight="1" x14ac:dyDescent="0.25">
      <c r="T17683" s="135"/>
      <c r="U17683" s="135"/>
    </row>
    <row r="17684" spans="20:21" ht="15" customHeight="1" x14ac:dyDescent="0.25">
      <c r="T17684" s="135"/>
      <c r="U17684" s="135"/>
    </row>
    <row r="17685" spans="20:21" ht="15" customHeight="1" x14ac:dyDescent="0.25">
      <c r="T17685" s="135"/>
      <c r="U17685" s="135"/>
    </row>
    <row r="17686" spans="20:21" ht="15" customHeight="1" x14ac:dyDescent="0.25">
      <c r="T17686" s="135"/>
      <c r="U17686" s="135"/>
    </row>
    <row r="17687" spans="20:21" ht="15" customHeight="1" x14ac:dyDescent="0.25">
      <c r="T17687" s="135"/>
      <c r="U17687" s="135"/>
    </row>
    <row r="17688" spans="20:21" ht="15" customHeight="1" x14ac:dyDescent="0.25">
      <c r="T17688" s="135"/>
      <c r="U17688" s="135"/>
    </row>
    <row r="17689" spans="20:21" ht="15" customHeight="1" x14ac:dyDescent="0.25">
      <c r="T17689" s="135"/>
      <c r="U17689" s="135"/>
    </row>
    <row r="17690" spans="20:21" ht="15" customHeight="1" x14ac:dyDescent="0.25">
      <c r="T17690" s="135"/>
      <c r="U17690" s="135"/>
    </row>
    <row r="17691" spans="20:21" ht="15" customHeight="1" x14ac:dyDescent="0.25">
      <c r="T17691" s="135"/>
      <c r="U17691" s="135"/>
    </row>
    <row r="17692" spans="20:21" ht="15" customHeight="1" x14ac:dyDescent="0.25">
      <c r="T17692" s="135"/>
      <c r="U17692" s="135"/>
    </row>
    <row r="17693" spans="20:21" ht="15" customHeight="1" x14ac:dyDescent="0.25">
      <c r="T17693" s="135"/>
      <c r="U17693" s="135"/>
    </row>
    <row r="17694" spans="20:21" ht="15" customHeight="1" x14ac:dyDescent="0.25">
      <c r="T17694" s="135"/>
      <c r="U17694" s="135"/>
    </row>
    <row r="17695" spans="20:21" ht="15" customHeight="1" x14ac:dyDescent="0.25">
      <c r="T17695" s="135"/>
      <c r="U17695" s="135"/>
    </row>
    <row r="17696" spans="20:21" ht="15" customHeight="1" x14ac:dyDescent="0.25">
      <c r="T17696" s="135"/>
      <c r="U17696" s="135"/>
    </row>
    <row r="17697" spans="20:21" ht="15" customHeight="1" x14ac:dyDescent="0.25">
      <c r="T17697" s="135"/>
      <c r="U17697" s="135"/>
    </row>
    <row r="17698" spans="20:21" ht="15" customHeight="1" x14ac:dyDescent="0.25">
      <c r="T17698" s="135"/>
      <c r="U17698" s="135"/>
    </row>
    <row r="17699" spans="20:21" ht="15" customHeight="1" x14ac:dyDescent="0.25">
      <c r="T17699" s="135"/>
      <c r="U17699" s="135"/>
    </row>
    <row r="17700" spans="20:21" ht="15" customHeight="1" x14ac:dyDescent="0.25">
      <c r="T17700" s="135"/>
      <c r="U17700" s="135"/>
    </row>
    <row r="17701" spans="20:21" ht="15" customHeight="1" x14ac:dyDescent="0.25">
      <c r="T17701" s="135"/>
      <c r="U17701" s="135"/>
    </row>
    <row r="17702" spans="20:21" ht="15" customHeight="1" x14ac:dyDescent="0.25">
      <c r="T17702" s="135"/>
      <c r="U17702" s="135"/>
    </row>
    <row r="17703" spans="20:21" ht="15" customHeight="1" x14ac:dyDescent="0.25">
      <c r="T17703" s="135"/>
      <c r="U17703" s="135"/>
    </row>
    <row r="17704" spans="20:21" ht="15" customHeight="1" x14ac:dyDescent="0.25">
      <c r="T17704" s="135"/>
      <c r="U17704" s="135"/>
    </row>
    <row r="17705" spans="20:21" ht="15" customHeight="1" x14ac:dyDescent="0.25">
      <c r="T17705" s="135"/>
      <c r="U17705" s="135"/>
    </row>
    <row r="17706" spans="20:21" ht="15" customHeight="1" x14ac:dyDescent="0.25">
      <c r="T17706" s="135"/>
      <c r="U17706" s="135"/>
    </row>
    <row r="17707" spans="20:21" ht="15" customHeight="1" x14ac:dyDescent="0.25">
      <c r="T17707" s="135"/>
      <c r="U17707" s="135"/>
    </row>
    <row r="17708" spans="20:21" ht="15" customHeight="1" x14ac:dyDescent="0.25">
      <c r="T17708" s="135"/>
      <c r="U17708" s="135"/>
    </row>
    <row r="17709" spans="20:21" ht="15" customHeight="1" x14ac:dyDescent="0.25">
      <c r="T17709" s="135"/>
      <c r="U17709" s="135"/>
    </row>
    <row r="17710" spans="20:21" ht="15" customHeight="1" x14ac:dyDescent="0.25">
      <c r="T17710" s="135"/>
      <c r="U17710" s="135"/>
    </row>
    <row r="17711" spans="20:21" ht="15" customHeight="1" x14ac:dyDescent="0.25">
      <c r="T17711" s="135"/>
      <c r="U17711" s="135"/>
    </row>
    <row r="17712" spans="20:21" ht="15" customHeight="1" x14ac:dyDescent="0.25">
      <c r="T17712" s="135"/>
      <c r="U17712" s="135"/>
    </row>
    <row r="17713" spans="20:21" ht="15" customHeight="1" x14ac:dyDescent="0.25">
      <c r="T17713" s="135"/>
      <c r="U17713" s="135"/>
    </row>
    <row r="17714" spans="20:21" ht="15" customHeight="1" x14ac:dyDescent="0.25">
      <c r="T17714" s="135"/>
      <c r="U17714" s="135"/>
    </row>
    <row r="17715" spans="20:21" ht="15" customHeight="1" x14ac:dyDescent="0.25">
      <c r="T17715" s="135"/>
      <c r="U17715" s="135"/>
    </row>
    <row r="17716" spans="20:21" ht="15" customHeight="1" x14ac:dyDescent="0.25">
      <c r="T17716" s="135"/>
      <c r="U17716" s="135"/>
    </row>
    <row r="17717" spans="20:21" ht="15" customHeight="1" x14ac:dyDescent="0.25">
      <c r="T17717" s="135"/>
      <c r="U17717" s="135"/>
    </row>
    <row r="17718" spans="20:21" ht="15" customHeight="1" x14ac:dyDescent="0.25">
      <c r="T17718" s="135"/>
      <c r="U17718" s="135"/>
    </row>
    <row r="17719" spans="20:21" ht="15" customHeight="1" x14ac:dyDescent="0.25">
      <c r="T17719" s="135"/>
      <c r="U17719" s="135"/>
    </row>
    <row r="17720" spans="20:21" ht="15" customHeight="1" x14ac:dyDescent="0.25">
      <c r="T17720" s="135"/>
      <c r="U17720" s="135"/>
    </row>
    <row r="17721" spans="20:21" ht="15" customHeight="1" x14ac:dyDescent="0.25">
      <c r="T17721" s="135"/>
      <c r="U17721" s="135"/>
    </row>
    <row r="17722" spans="20:21" ht="15" customHeight="1" x14ac:dyDescent="0.25">
      <c r="T17722" s="135"/>
      <c r="U17722" s="135"/>
    </row>
    <row r="17723" spans="20:21" ht="15" customHeight="1" x14ac:dyDescent="0.25">
      <c r="T17723" s="135"/>
      <c r="U17723" s="135"/>
    </row>
    <row r="17724" spans="20:21" ht="15" customHeight="1" x14ac:dyDescent="0.25">
      <c r="T17724" s="135"/>
      <c r="U17724" s="135"/>
    </row>
    <row r="17725" spans="20:21" ht="15" customHeight="1" x14ac:dyDescent="0.25">
      <c r="T17725" s="135"/>
      <c r="U17725" s="135"/>
    </row>
    <row r="17726" spans="20:21" ht="15" customHeight="1" x14ac:dyDescent="0.25">
      <c r="T17726" s="135"/>
      <c r="U17726" s="135"/>
    </row>
    <row r="17727" spans="20:21" ht="15" customHeight="1" x14ac:dyDescent="0.25">
      <c r="T17727" s="135"/>
      <c r="U17727" s="135"/>
    </row>
    <row r="17728" spans="20:21" ht="15" customHeight="1" x14ac:dyDescent="0.25">
      <c r="T17728" s="135"/>
      <c r="U17728" s="135"/>
    </row>
    <row r="17729" spans="20:21" ht="15" customHeight="1" x14ac:dyDescent="0.25">
      <c r="T17729" s="135"/>
      <c r="U17729" s="135"/>
    </row>
    <row r="17730" spans="20:21" ht="15" customHeight="1" x14ac:dyDescent="0.25">
      <c r="T17730" s="135"/>
      <c r="U17730" s="135"/>
    </row>
    <row r="17731" spans="20:21" ht="15" customHeight="1" x14ac:dyDescent="0.25">
      <c r="T17731" s="135"/>
      <c r="U17731" s="135"/>
    </row>
    <row r="17732" spans="20:21" ht="15" customHeight="1" x14ac:dyDescent="0.25">
      <c r="T17732" s="135"/>
      <c r="U17732" s="135"/>
    </row>
    <row r="17733" spans="20:21" ht="15" customHeight="1" x14ac:dyDescent="0.25">
      <c r="T17733" s="135"/>
      <c r="U17733" s="135"/>
    </row>
    <row r="17734" spans="20:21" ht="15" customHeight="1" x14ac:dyDescent="0.25">
      <c r="T17734" s="135"/>
      <c r="U17734" s="135"/>
    </row>
    <row r="17735" spans="20:21" ht="15" customHeight="1" x14ac:dyDescent="0.25">
      <c r="T17735" s="135"/>
      <c r="U17735" s="135"/>
    </row>
    <row r="17736" spans="20:21" ht="15" customHeight="1" x14ac:dyDescent="0.25">
      <c r="T17736" s="135"/>
      <c r="U17736" s="135"/>
    </row>
    <row r="17737" spans="20:21" ht="15" customHeight="1" x14ac:dyDescent="0.25">
      <c r="T17737" s="135"/>
      <c r="U17737" s="135"/>
    </row>
    <row r="17738" spans="20:21" ht="15" customHeight="1" x14ac:dyDescent="0.25">
      <c r="T17738" s="135"/>
      <c r="U17738" s="135"/>
    </row>
    <row r="17739" spans="20:21" ht="15" customHeight="1" x14ac:dyDescent="0.25">
      <c r="T17739" s="135"/>
      <c r="U17739" s="135"/>
    </row>
    <row r="17740" spans="20:21" ht="15" customHeight="1" x14ac:dyDescent="0.25">
      <c r="T17740" s="135"/>
      <c r="U17740" s="135"/>
    </row>
    <row r="17741" spans="20:21" ht="15" customHeight="1" x14ac:dyDescent="0.25">
      <c r="T17741" s="135"/>
      <c r="U17741" s="135"/>
    </row>
    <row r="17742" spans="20:21" ht="15" customHeight="1" x14ac:dyDescent="0.25">
      <c r="T17742" s="135"/>
      <c r="U17742" s="135"/>
    </row>
    <row r="17743" spans="20:21" ht="15" customHeight="1" x14ac:dyDescent="0.25">
      <c r="T17743" s="135"/>
      <c r="U17743" s="135"/>
    </row>
    <row r="17744" spans="20:21" ht="15" customHeight="1" x14ac:dyDescent="0.25">
      <c r="T17744" s="135"/>
      <c r="U17744" s="135"/>
    </row>
    <row r="17745" spans="20:21" ht="15" customHeight="1" x14ac:dyDescent="0.25">
      <c r="T17745" s="135"/>
      <c r="U17745" s="135"/>
    </row>
    <row r="17746" spans="20:21" ht="15" customHeight="1" x14ac:dyDescent="0.25">
      <c r="T17746" s="135"/>
      <c r="U17746" s="135"/>
    </row>
    <row r="17747" spans="20:21" ht="15" customHeight="1" x14ac:dyDescent="0.25">
      <c r="T17747" s="135"/>
      <c r="U17747" s="135"/>
    </row>
    <row r="17748" spans="20:21" ht="15" customHeight="1" x14ac:dyDescent="0.25">
      <c r="T17748" s="135"/>
      <c r="U17748" s="135"/>
    </row>
    <row r="17749" spans="20:21" ht="15" customHeight="1" x14ac:dyDescent="0.25">
      <c r="T17749" s="135"/>
      <c r="U17749" s="135"/>
    </row>
    <row r="17750" spans="20:21" ht="15" customHeight="1" x14ac:dyDescent="0.25">
      <c r="T17750" s="135"/>
      <c r="U17750" s="135"/>
    </row>
    <row r="17751" spans="20:21" ht="15" customHeight="1" x14ac:dyDescent="0.25">
      <c r="T17751" s="135"/>
      <c r="U17751" s="135"/>
    </row>
    <row r="17752" spans="20:21" ht="15" customHeight="1" x14ac:dyDescent="0.25">
      <c r="T17752" s="135"/>
      <c r="U17752" s="135"/>
    </row>
    <row r="17753" spans="20:21" ht="15" customHeight="1" x14ac:dyDescent="0.25">
      <c r="T17753" s="135"/>
      <c r="U17753" s="135"/>
    </row>
    <row r="17754" spans="20:21" ht="15" customHeight="1" x14ac:dyDescent="0.25">
      <c r="T17754" s="135"/>
      <c r="U17754" s="135"/>
    </row>
    <row r="17755" spans="20:21" ht="15" customHeight="1" x14ac:dyDescent="0.25">
      <c r="T17755" s="135"/>
      <c r="U17755" s="135"/>
    </row>
    <row r="17756" spans="20:21" ht="15" customHeight="1" x14ac:dyDescent="0.25">
      <c r="T17756" s="135"/>
      <c r="U17756" s="135"/>
    </row>
    <row r="17757" spans="20:21" ht="15" customHeight="1" x14ac:dyDescent="0.25">
      <c r="T17757" s="135"/>
      <c r="U17757" s="135"/>
    </row>
    <row r="17758" spans="20:21" ht="15" customHeight="1" x14ac:dyDescent="0.25">
      <c r="T17758" s="135"/>
      <c r="U17758" s="135"/>
    </row>
    <row r="17759" spans="20:21" ht="15" customHeight="1" x14ac:dyDescent="0.25">
      <c r="T17759" s="135"/>
      <c r="U17759" s="135"/>
    </row>
    <row r="17760" spans="20:21" ht="15" customHeight="1" x14ac:dyDescent="0.25">
      <c r="T17760" s="135"/>
      <c r="U17760" s="135"/>
    </row>
    <row r="17761" spans="20:21" ht="15" customHeight="1" x14ac:dyDescent="0.25">
      <c r="T17761" s="135"/>
      <c r="U17761" s="135"/>
    </row>
    <row r="17762" spans="20:21" ht="15" customHeight="1" x14ac:dyDescent="0.25">
      <c r="T17762" s="135"/>
      <c r="U17762" s="135"/>
    </row>
    <row r="17763" spans="20:21" ht="15" customHeight="1" x14ac:dyDescent="0.25">
      <c r="T17763" s="135"/>
      <c r="U17763" s="135"/>
    </row>
    <row r="17764" spans="20:21" ht="15" customHeight="1" x14ac:dyDescent="0.25">
      <c r="T17764" s="135"/>
      <c r="U17764" s="135"/>
    </row>
    <row r="17765" spans="20:21" ht="15" customHeight="1" x14ac:dyDescent="0.25">
      <c r="T17765" s="135"/>
      <c r="U17765" s="135"/>
    </row>
    <row r="17766" spans="20:21" ht="15" customHeight="1" x14ac:dyDescent="0.25">
      <c r="T17766" s="135"/>
      <c r="U17766" s="135"/>
    </row>
    <row r="17767" spans="20:21" ht="15" customHeight="1" x14ac:dyDescent="0.25">
      <c r="T17767" s="135"/>
      <c r="U17767" s="135"/>
    </row>
    <row r="17768" spans="20:21" ht="15" customHeight="1" x14ac:dyDescent="0.25">
      <c r="T17768" s="135"/>
      <c r="U17768" s="135"/>
    </row>
    <row r="17769" spans="20:21" ht="15" customHeight="1" x14ac:dyDescent="0.25">
      <c r="T17769" s="135"/>
      <c r="U17769" s="135"/>
    </row>
    <row r="17770" spans="20:21" ht="15" customHeight="1" x14ac:dyDescent="0.25">
      <c r="T17770" s="135"/>
      <c r="U17770" s="135"/>
    </row>
    <row r="17771" spans="20:21" ht="15" customHeight="1" x14ac:dyDescent="0.25">
      <c r="T17771" s="135"/>
      <c r="U17771" s="135"/>
    </row>
    <row r="17772" spans="20:21" ht="15" customHeight="1" x14ac:dyDescent="0.25">
      <c r="T17772" s="135"/>
      <c r="U17772" s="135"/>
    </row>
    <row r="17773" spans="20:21" ht="15" customHeight="1" x14ac:dyDescent="0.25">
      <c r="T17773" s="135"/>
      <c r="U17773" s="135"/>
    </row>
    <row r="17774" spans="20:21" ht="15" customHeight="1" x14ac:dyDescent="0.25">
      <c r="T17774" s="135"/>
      <c r="U17774" s="135"/>
    </row>
    <row r="17775" spans="20:21" ht="15" customHeight="1" x14ac:dyDescent="0.25">
      <c r="T17775" s="135"/>
      <c r="U17775" s="135"/>
    </row>
    <row r="17776" spans="20:21" ht="15" customHeight="1" x14ac:dyDescent="0.25">
      <c r="T17776" s="135"/>
      <c r="U17776" s="135"/>
    </row>
    <row r="17777" spans="20:21" ht="15" customHeight="1" x14ac:dyDescent="0.25">
      <c r="T17777" s="135"/>
      <c r="U17777" s="135"/>
    </row>
    <row r="17778" spans="20:21" ht="15" customHeight="1" x14ac:dyDescent="0.25">
      <c r="T17778" s="135"/>
      <c r="U17778" s="135"/>
    </row>
    <row r="17779" spans="20:21" ht="15" customHeight="1" x14ac:dyDescent="0.25">
      <c r="T17779" s="135"/>
      <c r="U17779" s="135"/>
    </row>
    <row r="17780" spans="20:21" ht="15" customHeight="1" x14ac:dyDescent="0.25">
      <c r="T17780" s="135"/>
      <c r="U17780" s="135"/>
    </row>
    <row r="17781" spans="20:21" ht="15" customHeight="1" x14ac:dyDescent="0.25">
      <c r="T17781" s="135"/>
      <c r="U17781" s="135"/>
    </row>
    <row r="17782" spans="20:21" ht="15" customHeight="1" x14ac:dyDescent="0.25">
      <c r="T17782" s="135"/>
      <c r="U17782" s="135"/>
    </row>
    <row r="17783" spans="20:21" ht="15" customHeight="1" x14ac:dyDescent="0.25">
      <c r="T17783" s="135"/>
      <c r="U17783" s="135"/>
    </row>
    <row r="17784" spans="20:21" ht="15" customHeight="1" x14ac:dyDescent="0.25">
      <c r="T17784" s="135"/>
      <c r="U17784" s="135"/>
    </row>
    <row r="17785" spans="20:21" ht="15" customHeight="1" x14ac:dyDescent="0.25">
      <c r="T17785" s="135"/>
      <c r="U17785" s="135"/>
    </row>
    <row r="17786" spans="20:21" ht="15" customHeight="1" x14ac:dyDescent="0.25">
      <c r="T17786" s="135"/>
      <c r="U17786" s="135"/>
    </row>
    <row r="17787" spans="20:21" ht="15" customHeight="1" x14ac:dyDescent="0.25">
      <c r="T17787" s="135"/>
      <c r="U17787" s="135"/>
    </row>
    <row r="17788" spans="20:21" ht="15" customHeight="1" x14ac:dyDescent="0.25">
      <c r="T17788" s="135"/>
      <c r="U17788" s="135"/>
    </row>
    <row r="17789" spans="20:21" ht="15" customHeight="1" x14ac:dyDescent="0.25">
      <c r="T17789" s="135"/>
      <c r="U17789" s="135"/>
    </row>
    <row r="17790" spans="20:21" ht="15" customHeight="1" x14ac:dyDescent="0.25">
      <c r="T17790" s="135"/>
      <c r="U17790" s="135"/>
    </row>
    <row r="17791" spans="20:21" ht="15" customHeight="1" x14ac:dyDescent="0.25">
      <c r="T17791" s="135"/>
      <c r="U17791" s="135"/>
    </row>
    <row r="17792" spans="20:21" ht="15" customHeight="1" x14ac:dyDescent="0.25">
      <c r="T17792" s="135"/>
      <c r="U17792" s="135"/>
    </row>
    <row r="17793" spans="20:21" ht="15" customHeight="1" x14ac:dyDescent="0.25">
      <c r="T17793" s="135"/>
      <c r="U17793" s="135"/>
    </row>
    <row r="17794" spans="20:21" ht="15" customHeight="1" x14ac:dyDescent="0.25">
      <c r="T17794" s="135"/>
      <c r="U17794" s="135"/>
    </row>
    <row r="17795" spans="20:21" ht="15" customHeight="1" x14ac:dyDescent="0.25">
      <c r="T17795" s="135"/>
      <c r="U17795" s="135"/>
    </row>
    <row r="17796" spans="20:21" ht="15" customHeight="1" x14ac:dyDescent="0.25">
      <c r="T17796" s="135"/>
      <c r="U17796" s="135"/>
    </row>
    <row r="17797" spans="20:21" ht="15" customHeight="1" x14ac:dyDescent="0.25">
      <c r="T17797" s="135"/>
      <c r="U17797" s="135"/>
    </row>
    <row r="17798" spans="20:21" ht="15" customHeight="1" x14ac:dyDescent="0.25">
      <c r="T17798" s="135"/>
      <c r="U17798" s="135"/>
    </row>
    <row r="17799" spans="20:21" ht="15" customHeight="1" x14ac:dyDescent="0.25">
      <c r="T17799" s="135"/>
      <c r="U17799" s="135"/>
    </row>
    <row r="17800" spans="20:21" ht="15" customHeight="1" x14ac:dyDescent="0.25">
      <c r="T17800" s="135"/>
      <c r="U17800" s="135"/>
    </row>
    <row r="17801" spans="20:21" ht="15" customHeight="1" x14ac:dyDescent="0.25">
      <c r="T17801" s="135"/>
      <c r="U17801" s="135"/>
    </row>
    <row r="17802" spans="20:21" ht="15" customHeight="1" x14ac:dyDescent="0.25">
      <c r="T17802" s="135"/>
      <c r="U17802" s="135"/>
    </row>
    <row r="17803" spans="20:21" ht="15" customHeight="1" x14ac:dyDescent="0.25">
      <c r="T17803" s="135"/>
      <c r="U17803" s="135"/>
    </row>
    <row r="17804" spans="20:21" ht="15" customHeight="1" x14ac:dyDescent="0.25">
      <c r="T17804" s="135"/>
      <c r="U17804" s="135"/>
    </row>
    <row r="17805" spans="20:21" ht="15" customHeight="1" x14ac:dyDescent="0.25">
      <c r="T17805" s="135"/>
      <c r="U17805" s="135"/>
    </row>
    <row r="17806" spans="20:21" ht="15" customHeight="1" x14ac:dyDescent="0.25">
      <c r="T17806" s="135"/>
      <c r="U17806" s="135"/>
    </row>
    <row r="17807" spans="20:21" ht="15" customHeight="1" x14ac:dyDescent="0.25">
      <c r="T17807" s="135"/>
      <c r="U17807" s="135"/>
    </row>
    <row r="17808" spans="20:21" ht="15" customHeight="1" x14ac:dyDescent="0.25">
      <c r="T17808" s="135"/>
      <c r="U17808" s="135"/>
    </row>
    <row r="17809" spans="20:21" ht="15" customHeight="1" x14ac:dyDescent="0.25">
      <c r="T17809" s="135"/>
      <c r="U17809" s="135"/>
    </row>
    <row r="17810" spans="20:21" ht="15" customHeight="1" x14ac:dyDescent="0.25">
      <c r="T17810" s="135"/>
      <c r="U17810" s="135"/>
    </row>
    <row r="17811" spans="20:21" ht="15" customHeight="1" x14ac:dyDescent="0.25">
      <c r="T17811" s="135"/>
      <c r="U17811" s="135"/>
    </row>
    <row r="17812" spans="20:21" ht="15" customHeight="1" x14ac:dyDescent="0.25">
      <c r="T17812" s="135"/>
      <c r="U17812" s="135"/>
    </row>
    <row r="17813" spans="20:21" ht="15" customHeight="1" x14ac:dyDescent="0.25">
      <c r="T17813" s="135"/>
      <c r="U17813" s="135"/>
    </row>
    <row r="17814" spans="20:21" ht="15" customHeight="1" x14ac:dyDescent="0.25">
      <c r="T17814" s="135"/>
      <c r="U17814" s="135"/>
    </row>
    <row r="17815" spans="20:21" ht="15" customHeight="1" x14ac:dyDescent="0.25">
      <c r="T17815" s="135"/>
      <c r="U17815" s="135"/>
    </row>
    <row r="17816" spans="20:21" ht="15" customHeight="1" x14ac:dyDescent="0.25">
      <c r="T17816" s="135"/>
      <c r="U17816" s="135"/>
    </row>
    <row r="17817" spans="20:21" ht="15" customHeight="1" x14ac:dyDescent="0.25">
      <c r="T17817" s="135"/>
      <c r="U17817" s="135"/>
    </row>
    <row r="17818" spans="20:21" ht="15" customHeight="1" x14ac:dyDescent="0.25">
      <c r="T17818" s="135"/>
      <c r="U17818" s="135"/>
    </row>
    <row r="17819" spans="20:21" ht="15" customHeight="1" x14ac:dyDescent="0.25">
      <c r="T17819" s="135"/>
      <c r="U17819" s="135"/>
    </row>
    <row r="17820" spans="20:21" ht="15" customHeight="1" x14ac:dyDescent="0.25">
      <c r="T17820" s="135"/>
      <c r="U17820" s="135"/>
    </row>
    <row r="17821" spans="20:21" ht="15" customHeight="1" x14ac:dyDescent="0.25">
      <c r="T17821" s="135"/>
      <c r="U17821" s="135"/>
    </row>
    <row r="17822" spans="20:21" ht="15" customHeight="1" x14ac:dyDescent="0.25">
      <c r="T17822" s="135"/>
      <c r="U17822" s="135"/>
    </row>
    <row r="17823" spans="20:21" ht="15" customHeight="1" x14ac:dyDescent="0.25">
      <c r="T17823" s="135"/>
      <c r="U17823" s="135"/>
    </row>
    <row r="17824" spans="20:21" ht="15" customHeight="1" x14ac:dyDescent="0.25">
      <c r="T17824" s="135"/>
      <c r="U17824" s="135"/>
    </row>
    <row r="17825" spans="20:21" ht="15" customHeight="1" x14ac:dyDescent="0.25">
      <c r="T17825" s="135"/>
      <c r="U17825" s="135"/>
    </row>
    <row r="17826" spans="20:21" ht="15" customHeight="1" x14ac:dyDescent="0.25">
      <c r="T17826" s="135"/>
      <c r="U17826" s="135"/>
    </row>
    <row r="17827" spans="20:21" ht="15" customHeight="1" x14ac:dyDescent="0.25">
      <c r="T17827" s="135"/>
      <c r="U17827" s="135"/>
    </row>
    <row r="17828" spans="20:21" ht="15" customHeight="1" x14ac:dyDescent="0.25">
      <c r="T17828" s="135"/>
      <c r="U17828" s="135"/>
    </row>
    <row r="17829" spans="20:21" ht="15" customHeight="1" x14ac:dyDescent="0.25">
      <c r="T17829" s="135"/>
      <c r="U17829" s="135"/>
    </row>
    <row r="17830" spans="20:21" ht="15" customHeight="1" x14ac:dyDescent="0.25">
      <c r="T17830" s="135"/>
      <c r="U17830" s="135"/>
    </row>
    <row r="17831" spans="20:21" ht="15" customHeight="1" x14ac:dyDescent="0.25">
      <c r="T17831" s="135"/>
      <c r="U17831" s="135"/>
    </row>
    <row r="17832" spans="20:21" ht="15" customHeight="1" x14ac:dyDescent="0.25">
      <c r="T17832" s="135"/>
      <c r="U17832" s="135"/>
    </row>
    <row r="17833" spans="20:21" ht="15" customHeight="1" x14ac:dyDescent="0.25">
      <c r="T17833" s="135"/>
      <c r="U17833" s="135"/>
    </row>
    <row r="17834" spans="20:21" ht="15" customHeight="1" x14ac:dyDescent="0.25">
      <c r="T17834" s="135"/>
      <c r="U17834" s="135"/>
    </row>
    <row r="17835" spans="20:21" ht="15" customHeight="1" x14ac:dyDescent="0.25">
      <c r="T17835" s="135"/>
      <c r="U17835" s="135"/>
    </row>
    <row r="17836" spans="20:21" ht="15" customHeight="1" x14ac:dyDescent="0.25">
      <c r="T17836" s="135"/>
      <c r="U17836" s="135"/>
    </row>
    <row r="17837" spans="20:21" ht="15" customHeight="1" x14ac:dyDescent="0.25">
      <c r="T17837" s="135"/>
      <c r="U17837" s="135"/>
    </row>
    <row r="17838" spans="20:21" ht="15" customHeight="1" x14ac:dyDescent="0.25">
      <c r="T17838" s="135"/>
      <c r="U17838" s="135"/>
    </row>
    <row r="17839" spans="20:21" ht="15" customHeight="1" x14ac:dyDescent="0.25">
      <c r="T17839" s="135"/>
      <c r="U17839" s="135"/>
    </row>
    <row r="17840" spans="20:21" ht="15" customHeight="1" x14ac:dyDescent="0.25">
      <c r="T17840" s="135"/>
      <c r="U17840" s="135"/>
    </row>
    <row r="17841" spans="20:21" ht="15" customHeight="1" x14ac:dyDescent="0.25">
      <c r="T17841" s="135"/>
      <c r="U17841" s="135"/>
    </row>
    <row r="17842" spans="20:21" ht="15" customHeight="1" x14ac:dyDescent="0.25">
      <c r="T17842" s="135"/>
      <c r="U17842" s="135"/>
    </row>
    <row r="17843" spans="20:21" ht="15" customHeight="1" x14ac:dyDescent="0.25">
      <c r="T17843" s="135"/>
      <c r="U17843" s="135"/>
    </row>
    <row r="17844" spans="20:21" ht="15" customHeight="1" x14ac:dyDescent="0.25">
      <c r="T17844" s="135"/>
      <c r="U17844" s="135"/>
    </row>
    <row r="17845" spans="20:21" ht="15" customHeight="1" x14ac:dyDescent="0.25">
      <c r="T17845" s="135"/>
      <c r="U17845" s="135"/>
    </row>
    <row r="17846" spans="20:21" ht="15" customHeight="1" x14ac:dyDescent="0.25">
      <c r="T17846" s="135"/>
      <c r="U17846" s="135"/>
    </row>
    <row r="17847" spans="20:21" ht="15" customHeight="1" x14ac:dyDescent="0.25">
      <c r="T17847" s="135"/>
      <c r="U17847" s="135"/>
    </row>
    <row r="17848" spans="20:21" ht="15" customHeight="1" x14ac:dyDescent="0.25">
      <c r="T17848" s="135"/>
      <c r="U17848" s="135"/>
    </row>
    <row r="17849" spans="20:21" ht="15" customHeight="1" x14ac:dyDescent="0.25">
      <c r="T17849" s="135"/>
      <c r="U17849" s="135"/>
    </row>
    <row r="17850" spans="20:21" ht="15" customHeight="1" x14ac:dyDescent="0.25">
      <c r="T17850" s="135"/>
      <c r="U17850" s="135"/>
    </row>
    <row r="17851" spans="20:21" ht="15" customHeight="1" x14ac:dyDescent="0.25">
      <c r="T17851" s="135"/>
      <c r="U17851" s="135"/>
    </row>
    <row r="17852" spans="20:21" ht="15" customHeight="1" x14ac:dyDescent="0.25">
      <c r="T17852" s="135"/>
      <c r="U17852" s="135"/>
    </row>
    <row r="17853" spans="20:21" ht="15" customHeight="1" x14ac:dyDescent="0.25">
      <c r="T17853" s="135"/>
      <c r="U17853" s="135"/>
    </row>
    <row r="17854" spans="20:21" ht="15" customHeight="1" x14ac:dyDescent="0.25">
      <c r="T17854" s="135"/>
      <c r="U17854" s="135"/>
    </row>
    <row r="17855" spans="20:21" ht="15" customHeight="1" x14ac:dyDescent="0.25">
      <c r="T17855" s="135"/>
      <c r="U17855" s="135"/>
    </row>
    <row r="17856" spans="20:21" ht="15" customHeight="1" x14ac:dyDescent="0.25">
      <c r="T17856" s="135"/>
      <c r="U17856" s="135"/>
    </row>
    <row r="17857" spans="20:21" ht="15" customHeight="1" x14ac:dyDescent="0.25">
      <c r="T17857" s="135"/>
      <c r="U17857" s="135"/>
    </row>
    <row r="17858" spans="20:21" ht="15" customHeight="1" x14ac:dyDescent="0.25">
      <c r="T17858" s="135"/>
      <c r="U17858" s="135"/>
    </row>
    <row r="17859" spans="20:21" ht="15" customHeight="1" x14ac:dyDescent="0.25">
      <c r="T17859" s="135"/>
      <c r="U17859" s="135"/>
    </row>
    <row r="17860" spans="20:21" ht="15" customHeight="1" x14ac:dyDescent="0.25">
      <c r="T17860" s="135"/>
      <c r="U17860" s="135"/>
    </row>
    <row r="17861" spans="20:21" ht="15" customHeight="1" x14ac:dyDescent="0.25">
      <c r="T17861" s="135"/>
      <c r="U17861" s="135"/>
    </row>
    <row r="17862" spans="20:21" ht="15" customHeight="1" x14ac:dyDescent="0.25">
      <c r="T17862" s="135"/>
      <c r="U17862" s="135"/>
    </row>
    <row r="17863" spans="20:21" ht="15" customHeight="1" x14ac:dyDescent="0.25">
      <c r="T17863" s="135"/>
      <c r="U17863" s="135"/>
    </row>
    <row r="17864" spans="20:21" ht="15" customHeight="1" x14ac:dyDescent="0.25">
      <c r="T17864" s="135"/>
      <c r="U17864" s="135"/>
    </row>
    <row r="17865" spans="20:21" ht="15" customHeight="1" x14ac:dyDescent="0.25">
      <c r="T17865" s="135"/>
      <c r="U17865" s="135"/>
    </row>
    <row r="17866" spans="20:21" ht="15" customHeight="1" x14ac:dyDescent="0.25">
      <c r="T17866" s="135"/>
      <c r="U17866" s="135"/>
    </row>
    <row r="17867" spans="20:21" ht="15" customHeight="1" x14ac:dyDescent="0.25">
      <c r="T17867" s="135"/>
      <c r="U17867" s="135"/>
    </row>
    <row r="17868" spans="20:21" ht="15" customHeight="1" x14ac:dyDescent="0.25">
      <c r="T17868" s="135"/>
      <c r="U17868" s="135"/>
    </row>
    <row r="17869" spans="20:21" ht="15" customHeight="1" x14ac:dyDescent="0.25">
      <c r="T17869" s="135"/>
      <c r="U17869" s="135"/>
    </row>
    <row r="17870" spans="20:21" ht="15" customHeight="1" x14ac:dyDescent="0.25">
      <c r="T17870" s="135"/>
      <c r="U17870" s="135"/>
    </row>
    <row r="17871" spans="20:21" ht="15" customHeight="1" x14ac:dyDescent="0.25">
      <c r="T17871" s="135"/>
      <c r="U17871" s="135"/>
    </row>
    <row r="17872" spans="20:21" ht="15" customHeight="1" x14ac:dyDescent="0.25">
      <c r="T17872" s="135"/>
      <c r="U17872" s="135"/>
    </row>
    <row r="17873" spans="20:21" ht="15" customHeight="1" x14ac:dyDescent="0.25">
      <c r="T17873" s="135"/>
      <c r="U17873" s="135"/>
    </row>
    <row r="17874" spans="20:21" ht="15" customHeight="1" x14ac:dyDescent="0.25">
      <c r="T17874" s="135"/>
      <c r="U17874" s="135"/>
    </row>
    <row r="17875" spans="20:21" ht="15" customHeight="1" x14ac:dyDescent="0.25">
      <c r="T17875" s="135"/>
      <c r="U17875" s="135"/>
    </row>
    <row r="17876" spans="20:21" ht="15" customHeight="1" x14ac:dyDescent="0.25">
      <c r="T17876" s="135"/>
      <c r="U17876" s="135"/>
    </row>
    <row r="17877" spans="20:21" ht="15" customHeight="1" x14ac:dyDescent="0.25">
      <c r="T17877" s="135"/>
      <c r="U17877" s="135"/>
    </row>
    <row r="17878" spans="20:21" ht="15" customHeight="1" x14ac:dyDescent="0.25">
      <c r="T17878" s="135"/>
      <c r="U17878" s="135"/>
    </row>
    <row r="17879" spans="20:21" ht="15" customHeight="1" x14ac:dyDescent="0.25">
      <c r="T17879" s="135"/>
      <c r="U17879" s="135"/>
    </row>
    <row r="17880" spans="20:21" ht="15" customHeight="1" x14ac:dyDescent="0.25">
      <c r="T17880" s="135"/>
      <c r="U17880" s="135"/>
    </row>
    <row r="17881" spans="20:21" ht="15" customHeight="1" x14ac:dyDescent="0.25">
      <c r="T17881" s="135"/>
      <c r="U17881" s="135"/>
    </row>
    <row r="17882" spans="20:21" ht="15" customHeight="1" x14ac:dyDescent="0.25">
      <c r="T17882" s="135"/>
      <c r="U17882" s="135"/>
    </row>
    <row r="17883" spans="20:21" ht="15" customHeight="1" x14ac:dyDescent="0.25">
      <c r="T17883" s="135"/>
      <c r="U17883" s="135"/>
    </row>
    <row r="17884" spans="20:21" ht="15" customHeight="1" x14ac:dyDescent="0.25">
      <c r="T17884" s="135"/>
      <c r="U17884" s="135"/>
    </row>
    <row r="17885" spans="20:21" ht="15" customHeight="1" x14ac:dyDescent="0.25">
      <c r="T17885" s="135"/>
      <c r="U17885" s="135"/>
    </row>
    <row r="17886" spans="20:21" ht="15" customHeight="1" x14ac:dyDescent="0.25">
      <c r="T17886" s="135"/>
      <c r="U17886" s="135"/>
    </row>
    <row r="17887" spans="20:21" ht="15" customHeight="1" x14ac:dyDescent="0.25">
      <c r="T17887" s="135"/>
      <c r="U17887" s="135"/>
    </row>
    <row r="17888" spans="20:21" ht="15" customHeight="1" x14ac:dyDescent="0.25">
      <c r="T17888" s="135"/>
      <c r="U17888" s="135"/>
    </row>
    <row r="17889" spans="20:21" ht="15" customHeight="1" x14ac:dyDescent="0.25">
      <c r="T17889" s="135"/>
      <c r="U17889" s="135"/>
    </row>
    <row r="17890" spans="20:21" ht="15" customHeight="1" x14ac:dyDescent="0.25">
      <c r="T17890" s="135"/>
      <c r="U17890" s="135"/>
    </row>
    <row r="17891" spans="20:21" ht="15" customHeight="1" x14ac:dyDescent="0.25">
      <c r="T17891" s="135"/>
      <c r="U17891" s="135"/>
    </row>
    <row r="17892" spans="20:21" ht="15" customHeight="1" x14ac:dyDescent="0.25">
      <c r="T17892" s="135"/>
      <c r="U17892" s="135"/>
    </row>
    <row r="17893" spans="20:21" ht="15" customHeight="1" x14ac:dyDescent="0.25">
      <c r="T17893" s="135"/>
      <c r="U17893" s="135"/>
    </row>
    <row r="17894" spans="20:21" ht="15" customHeight="1" x14ac:dyDescent="0.25">
      <c r="T17894" s="135"/>
      <c r="U17894" s="135"/>
    </row>
    <row r="17895" spans="20:21" ht="15" customHeight="1" x14ac:dyDescent="0.25">
      <c r="T17895" s="135"/>
      <c r="U17895" s="135"/>
    </row>
    <row r="17896" spans="20:21" ht="15" customHeight="1" x14ac:dyDescent="0.25">
      <c r="T17896" s="135"/>
      <c r="U17896" s="135"/>
    </row>
    <row r="17897" spans="20:21" ht="15" customHeight="1" x14ac:dyDescent="0.25">
      <c r="T17897" s="135"/>
      <c r="U17897" s="135"/>
    </row>
    <row r="17898" spans="20:21" ht="15" customHeight="1" x14ac:dyDescent="0.25">
      <c r="T17898" s="135"/>
      <c r="U17898" s="135"/>
    </row>
    <row r="17899" spans="20:21" ht="15" customHeight="1" x14ac:dyDescent="0.25">
      <c r="T17899" s="135"/>
      <c r="U17899" s="135"/>
    </row>
    <row r="17900" spans="20:21" ht="15" customHeight="1" x14ac:dyDescent="0.25">
      <c r="T17900" s="135"/>
      <c r="U17900" s="135"/>
    </row>
    <row r="17901" spans="20:21" ht="15" customHeight="1" x14ac:dyDescent="0.25">
      <c r="T17901" s="135"/>
      <c r="U17901" s="135"/>
    </row>
    <row r="17902" spans="20:21" ht="15" customHeight="1" x14ac:dyDescent="0.25">
      <c r="T17902" s="135"/>
      <c r="U17902" s="135"/>
    </row>
    <row r="17903" spans="20:21" ht="15" customHeight="1" x14ac:dyDescent="0.25">
      <c r="T17903" s="135"/>
      <c r="U17903" s="135"/>
    </row>
    <row r="17904" spans="20:21" ht="15" customHeight="1" x14ac:dyDescent="0.25">
      <c r="T17904" s="135"/>
      <c r="U17904" s="135"/>
    </row>
    <row r="17905" spans="20:21" ht="15" customHeight="1" x14ac:dyDescent="0.25">
      <c r="T17905" s="135"/>
      <c r="U17905" s="135"/>
    </row>
    <row r="17906" spans="20:21" ht="15" customHeight="1" x14ac:dyDescent="0.25">
      <c r="T17906" s="135"/>
      <c r="U17906" s="135"/>
    </row>
    <row r="17907" spans="20:21" ht="15" customHeight="1" x14ac:dyDescent="0.25">
      <c r="T17907" s="135"/>
      <c r="U17907" s="135"/>
    </row>
    <row r="17908" spans="20:21" ht="15" customHeight="1" x14ac:dyDescent="0.25">
      <c r="T17908" s="135"/>
      <c r="U17908" s="135"/>
    </row>
    <row r="17909" spans="20:21" ht="15" customHeight="1" x14ac:dyDescent="0.25">
      <c r="T17909" s="135"/>
      <c r="U17909" s="135"/>
    </row>
    <row r="17910" spans="20:21" ht="15" customHeight="1" x14ac:dyDescent="0.25">
      <c r="T17910" s="135"/>
      <c r="U17910" s="135"/>
    </row>
    <row r="17911" spans="20:21" ht="15" customHeight="1" x14ac:dyDescent="0.25">
      <c r="T17911" s="135"/>
      <c r="U17911" s="135"/>
    </row>
    <row r="17912" spans="20:21" ht="15" customHeight="1" x14ac:dyDescent="0.25">
      <c r="T17912" s="135"/>
      <c r="U17912" s="135"/>
    </row>
    <row r="17913" spans="20:21" ht="15" customHeight="1" x14ac:dyDescent="0.25">
      <c r="T17913" s="135"/>
      <c r="U17913" s="135"/>
    </row>
    <row r="17914" spans="20:21" ht="15" customHeight="1" x14ac:dyDescent="0.25">
      <c r="T17914" s="135"/>
      <c r="U17914" s="135"/>
    </row>
    <row r="17915" spans="20:21" ht="15" customHeight="1" x14ac:dyDescent="0.25">
      <c r="T17915" s="135"/>
      <c r="U17915" s="135"/>
    </row>
    <row r="17916" spans="20:21" ht="15" customHeight="1" x14ac:dyDescent="0.25">
      <c r="T17916" s="135"/>
      <c r="U17916" s="135"/>
    </row>
    <row r="17917" spans="20:21" ht="15" customHeight="1" x14ac:dyDescent="0.25">
      <c r="T17917" s="135"/>
      <c r="U17917" s="135"/>
    </row>
    <row r="17918" spans="20:21" ht="15" customHeight="1" x14ac:dyDescent="0.25">
      <c r="T17918" s="135"/>
      <c r="U17918" s="135"/>
    </row>
    <row r="17919" spans="20:21" ht="15" customHeight="1" x14ac:dyDescent="0.25">
      <c r="T17919" s="135"/>
      <c r="U17919" s="135"/>
    </row>
    <row r="17920" spans="20:21" ht="15" customHeight="1" x14ac:dyDescent="0.25">
      <c r="T17920" s="135"/>
      <c r="U17920" s="135"/>
    </row>
    <row r="17921" spans="20:21" ht="15" customHeight="1" x14ac:dyDescent="0.25">
      <c r="T17921" s="135"/>
      <c r="U17921" s="135"/>
    </row>
    <row r="17922" spans="20:21" ht="15" customHeight="1" x14ac:dyDescent="0.25">
      <c r="T17922" s="135"/>
      <c r="U17922" s="135"/>
    </row>
    <row r="17923" spans="20:21" ht="15" customHeight="1" x14ac:dyDescent="0.25">
      <c r="T17923" s="135"/>
      <c r="U17923" s="135"/>
    </row>
    <row r="17924" spans="20:21" ht="15" customHeight="1" x14ac:dyDescent="0.25">
      <c r="T17924" s="135"/>
      <c r="U17924" s="135"/>
    </row>
    <row r="17925" spans="20:21" ht="15" customHeight="1" x14ac:dyDescent="0.25">
      <c r="T17925" s="135"/>
      <c r="U17925" s="135"/>
    </row>
    <row r="17926" spans="20:21" ht="15" customHeight="1" x14ac:dyDescent="0.25">
      <c r="T17926" s="135"/>
      <c r="U17926" s="135"/>
    </row>
    <row r="17927" spans="20:21" ht="15" customHeight="1" x14ac:dyDescent="0.25">
      <c r="T17927" s="135"/>
      <c r="U17927" s="135"/>
    </row>
    <row r="17928" spans="20:21" ht="15" customHeight="1" x14ac:dyDescent="0.25">
      <c r="T17928" s="135"/>
      <c r="U17928" s="135"/>
    </row>
    <row r="17929" spans="20:21" ht="15" customHeight="1" x14ac:dyDescent="0.25">
      <c r="T17929" s="135"/>
      <c r="U17929" s="135"/>
    </row>
    <row r="17930" spans="20:21" ht="15" customHeight="1" x14ac:dyDescent="0.25">
      <c r="T17930" s="135"/>
      <c r="U17930" s="135"/>
    </row>
    <row r="17931" spans="20:21" ht="15" customHeight="1" x14ac:dyDescent="0.25">
      <c r="T17931" s="135"/>
      <c r="U17931" s="135"/>
    </row>
    <row r="17932" spans="20:21" ht="15" customHeight="1" x14ac:dyDescent="0.25">
      <c r="T17932" s="135"/>
      <c r="U17932" s="135"/>
    </row>
    <row r="17933" spans="20:21" ht="15" customHeight="1" x14ac:dyDescent="0.25">
      <c r="T17933" s="135"/>
      <c r="U17933" s="135"/>
    </row>
    <row r="17934" spans="20:21" ht="15" customHeight="1" x14ac:dyDescent="0.25">
      <c r="T17934" s="135"/>
      <c r="U17934" s="135"/>
    </row>
    <row r="17935" spans="20:21" ht="15" customHeight="1" x14ac:dyDescent="0.25">
      <c r="T17935" s="135"/>
      <c r="U17935" s="135"/>
    </row>
    <row r="17936" spans="20:21" ht="15" customHeight="1" x14ac:dyDescent="0.25">
      <c r="T17936" s="135"/>
      <c r="U17936" s="135"/>
    </row>
    <row r="17937" spans="20:21" ht="15" customHeight="1" x14ac:dyDescent="0.25">
      <c r="T17937" s="135"/>
      <c r="U17937" s="135"/>
    </row>
    <row r="17938" spans="20:21" ht="15" customHeight="1" x14ac:dyDescent="0.25">
      <c r="T17938" s="135"/>
      <c r="U17938" s="135"/>
    </row>
    <row r="17939" spans="20:21" ht="15" customHeight="1" x14ac:dyDescent="0.25">
      <c r="T17939" s="135"/>
      <c r="U17939" s="135"/>
    </row>
    <row r="17940" spans="20:21" ht="15" customHeight="1" x14ac:dyDescent="0.25">
      <c r="T17940" s="135"/>
      <c r="U17940" s="135"/>
    </row>
    <row r="17941" spans="20:21" ht="15" customHeight="1" x14ac:dyDescent="0.25">
      <c r="T17941" s="135"/>
      <c r="U17941" s="135"/>
    </row>
    <row r="17942" spans="20:21" ht="15" customHeight="1" x14ac:dyDescent="0.25">
      <c r="T17942" s="135"/>
      <c r="U17942" s="135"/>
    </row>
    <row r="17943" spans="20:21" ht="15" customHeight="1" x14ac:dyDescent="0.25">
      <c r="T17943" s="135"/>
      <c r="U17943" s="135"/>
    </row>
    <row r="17944" spans="20:21" ht="15" customHeight="1" x14ac:dyDescent="0.25">
      <c r="T17944" s="135"/>
      <c r="U17944" s="135"/>
    </row>
    <row r="17945" spans="20:21" ht="15" customHeight="1" x14ac:dyDescent="0.25">
      <c r="T17945" s="135"/>
      <c r="U17945" s="135"/>
    </row>
    <row r="17946" spans="20:21" ht="15" customHeight="1" x14ac:dyDescent="0.25">
      <c r="T17946" s="135"/>
      <c r="U17946" s="135"/>
    </row>
    <row r="17947" spans="20:21" ht="15" customHeight="1" x14ac:dyDescent="0.25">
      <c r="T17947" s="135"/>
      <c r="U17947" s="135"/>
    </row>
    <row r="17948" spans="20:21" ht="15" customHeight="1" x14ac:dyDescent="0.25">
      <c r="T17948" s="135"/>
      <c r="U17948" s="135"/>
    </row>
    <row r="17949" spans="20:21" ht="15" customHeight="1" x14ac:dyDescent="0.25">
      <c r="T17949" s="135"/>
      <c r="U17949" s="135"/>
    </row>
    <row r="17950" spans="20:21" ht="15" customHeight="1" x14ac:dyDescent="0.25">
      <c r="T17950" s="135"/>
      <c r="U17950" s="135"/>
    </row>
    <row r="17951" spans="20:21" ht="15" customHeight="1" x14ac:dyDescent="0.25">
      <c r="T17951" s="135"/>
      <c r="U17951" s="135"/>
    </row>
    <row r="17952" spans="20:21" ht="15" customHeight="1" x14ac:dyDescent="0.25">
      <c r="T17952" s="135"/>
      <c r="U17952" s="135"/>
    </row>
    <row r="17953" spans="20:21" ht="15" customHeight="1" x14ac:dyDescent="0.25">
      <c r="T17953" s="135"/>
      <c r="U17953" s="135"/>
    </row>
    <row r="17954" spans="20:21" ht="15" customHeight="1" x14ac:dyDescent="0.25">
      <c r="T17954" s="135"/>
      <c r="U17954" s="135"/>
    </row>
    <row r="17955" spans="20:21" ht="15" customHeight="1" x14ac:dyDescent="0.25">
      <c r="T17955" s="135"/>
      <c r="U17955" s="135"/>
    </row>
    <row r="17956" spans="20:21" ht="15" customHeight="1" x14ac:dyDescent="0.25">
      <c r="T17956" s="135"/>
      <c r="U17956" s="135"/>
    </row>
    <row r="17957" spans="20:21" ht="15" customHeight="1" x14ac:dyDescent="0.25">
      <c r="T17957" s="135"/>
      <c r="U17957" s="135"/>
    </row>
    <row r="17958" spans="20:21" ht="15" customHeight="1" x14ac:dyDescent="0.25">
      <c r="T17958" s="135"/>
      <c r="U17958" s="135"/>
    </row>
    <row r="17959" spans="20:21" ht="15" customHeight="1" x14ac:dyDescent="0.25">
      <c r="T17959" s="135"/>
      <c r="U17959" s="135"/>
    </row>
    <row r="17960" spans="20:21" ht="15" customHeight="1" x14ac:dyDescent="0.25">
      <c r="T17960" s="135"/>
      <c r="U17960" s="135"/>
    </row>
    <row r="17961" spans="20:21" ht="15" customHeight="1" x14ac:dyDescent="0.25">
      <c r="T17961" s="135"/>
      <c r="U17961" s="135"/>
    </row>
    <row r="17962" spans="20:21" ht="15" customHeight="1" x14ac:dyDescent="0.25">
      <c r="T17962" s="135"/>
      <c r="U17962" s="135"/>
    </row>
    <row r="17963" spans="20:21" ht="15" customHeight="1" x14ac:dyDescent="0.25">
      <c r="T17963" s="135"/>
      <c r="U17963" s="135"/>
    </row>
    <row r="17964" spans="20:21" ht="15" customHeight="1" x14ac:dyDescent="0.25">
      <c r="T17964" s="135"/>
      <c r="U17964" s="135"/>
    </row>
    <row r="17965" spans="20:21" ht="15" customHeight="1" x14ac:dyDescent="0.25">
      <c r="T17965" s="135"/>
      <c r="U17965" s="135"/>
    </row>
    <row r="17966" spans="20:21" ht="15" customHeight="1" x14ac:dyDescent="0.25">
      <c r="T17966" s="135"/>
      <c r="U17966" s="135"/>
    </row>
    <row r="17967" spans="20:21" ht="15" customHeight="1" x14ac:dyDescent="0.25">
      <c r="T17967" s="135"/>
      <c r="U17967" s="135"/>
    </row>
    <row r="17968" spans="20:21" ht="15" customHeight="1" x14ac:dyDescent="0.25">
      <c r="T17968" s="135"/>
      <c r="U17968" s="135"/>
    </row>
    <row r="17969" spans="20:21" ht="15" customHeight="1" x14ac:dyDescent="0.25">
      <c r="T17969" s="135"/>
      <c r="U17969" s="135"/>
    </row>
    <row r="17970" spans="20:21" ht="15" customHeight="1" x14ac:dyDescent="0.25">
      <c r="T17970" s="135"/>
      <c r="U17970" s="135"/>
    </row>
    <row r="17971" spans="20:21" ht="15" customHeight="1" x14ac:dyDescent="0.25">
      <c r="T17971" s="135"/>
      <c r="U17971" s="135"/>
    </row>
    <row r="17972" spans="20:21" ht="15" customHeight="1" x14ac:dyDescent="0.25">
      <c r="T17972" s="135"/>
      <c r="U17972" s="135"/>
    </row>
    <row r="17973" spans="20:21" ht="15" customHeight="1" x14ac:dyDescent="0.25">
      <c r="T17973" s="135"/>
      <c r="U17973" s="135"/>
    </row>
    <row r="17974" spans="20:21" ht="15" customHeight="1" x14ac:dyDescent="0.25">
      <c r="T17974" s="135"/>
      <c r="U17974" s="135"/>
    </row>
    <row r="17975" spans="20:21" ht="15" customHeight="1" x14ac:dyDescent="0.25">
      <c r="T17975" s="135"/>
      <c r="U17975" s="135"/>
    </row>
    <row r="17976" spans="20:21" ht="15" customHeight="1" x14ac:dyDescent="0.25">
      <c r="T17976" s="135"/>
      <c r="U17976" s="135"/>
    </row>
    <row r="17977" spans="20:21" ht="15" customHeight="1" x14ac:dyDescent="0.25">
      <c r="T17977" s="135"/>
      <c r="U17977" s="135"/>
    </row>
    <row r="17978" spans="20:21" ht="15" customHeight="1" x14ac:dyDescent="0.25">
      <c r="T17978" s="135"/>
      <c r="U17978" s="135"/>
    </row>
    <row r="17979" spans="20:21" ht="15" customHeight="1" x14ac:dyDescent="0.25">
      <c r="T17979" s="135"/>
      <c r="U17979" s="135"/>
    </row>
    <row r="17980" spans="20:21" ht="15" customHeight="1" x14ac:dyDescent="0.25">
      <c r="T17980" s="135"/>
      <c r="U17980" s="135"/>
    </row>
    <row r="17981" spans="20:21" ht="15" customHeight="1" x14ac:dyDescent="0.25">
      <c r="T17981" s="135"/>
      <c r="U17981" s="135"/>
    </row>
    <row r="17982" spans="20:21" ht="15" customHeight="1" x14ac:dyDescent="0.25">
      <c r="T17982" s="135"/>
      <c r="U17982" s="135"/>
    </row>
    <row r="17983" spans="20:21" ht="15" customHeight="1" x14ac:dyDescent="0.25">
      <c r="T17983" s="135"/>
      <c r="U17983" s="135"/>
    </row>
    <row r="17984" spans="20:21" ht="15" customHeight="1" x14ac:dyDescent="0.25">
      <c r="T17984" s="135"/>
      <c r="U17984" s="135"/>
    </row>
    <row r="17985" spans="20:21" ht="15" customHeight="1" x14ac:dyDescent="0.25">
      <c r="T17985" s="135"/>
      <c r="U17985" s="135"/>
    </row>
    <row r="17986" spans="20:21" ht="15" customHeight="1" x14ac:dyDescent="0.25">
      <c r="T17986" s="135"/>
      <c r="U17986" s="135"/>
    </row>
    <row r="17987" spans="20:21" ht="15" customHeight="1" x14ac:dyDescent="0.25">
      <c r="T17987" s="135"/>
      <c r="U17987" s="135"/>
    </row>
    <row r="17988" spans="20:21" ht="15" customHeight="1" x14ac:dyDescent="0.25">
      <c r="T17988" s="135"/>
      <c r="U17988" s="135"/>
    </row>
    <row r="17989" spans="20:21" ht="15" customHeight="1" x14ac:dyDescent="0.25">
      <c r="T17989" s="135"/>
      <c r="U17989" s="135"/>
    </row>
    <row r="17990" spans="20:21" ht="15" customHeight="1" x14ac:dyDescent="0.25">
      <c r="T17990" s="135"/>
      <c r="U17990" s="135"/>
    </row>
    <row r="17991" spans="20:21" ht="15" customHeight="1" x14ac:dyDescent="0.25">
      <c r="T17991" s="135"/>
      <c r="U17991" s="135"/>
    </row>
    <row r="17992" spans="20:21" ht="15" customHeight="1" x14ac:dyDescent="0.25">
      <c r="T17992" s="135"/>
      <c r="U17992" s="135"/>
    </row>
    <row r="17993" spans="20:21" ht="15" customHeight="1" x14ac:dyDescent="0.25">
      <c r="T17993" s="135"/>
      <c r="U17993" s="135"/>
    </row>
    <row r="17994" spans="20:21" ht="15" customHeight="1" x14ac:dyDescent="0.25">
      <c r="T17994" s="135"/>
      <c r="U17994" s="135"/>
    </row>
    <row r="17995" spans="20:21" ht="15" customHeight="1" x14ac:dyDescent="0.25">
      <c r="T17995" s="135"/>
      <c r="U17995" s="135"/>
    </row>
    <row r="17996" spans="20:21" ht="15" customHeight="1" x14ac:dyDescent="0.25">
      <c r="T17996" s="135"/>
      <c r="U17996" s="135"/>
    </row>
    <row r="17997" spans="20:21" ht="15" customHeight="1" x14ac:dyDescent="0.25">
      <c r="T17997" s="135"/>
      <c r="U17997" s="135"/>
    </row>
    <row r="17998" spans="20:21" ht="15" customHeight="1" x14ac:dyDescent="0.25">
      <c r="T17998" s="135"/>
      <c r="U17998" s="135"/>
    </row>
    <row r="17999" spans="20:21" ht="15" customHeight="1" x14ac:dyDescent="0.25">
      <c r="T17999" s="135"/>
      <c r="U17999" s="135"/>
    </row>
    <row r="18000" spans="20:21" ht="15" customHeight="1" x14ac:dyDescent="0.25">
      <c r="T18000" s="135"/>
      <c r="U18000" s="135"/>
    </row>
    <row r="18001" spans="20:21" ht="15" customHeight="1" x14ac:dyDescent="0.25">
      <c r="T18001" s="135"/>
      <c r="U18001" s="135"/>
    </row>
    <row r="18002" spans="20:21" ht="15" customHeight="1" x14ac:dyDescent="0.25">
      <c r="T18002" s="135"/>
      <c r="U18002" s="135"/>
    </row>
    <row r="18003" spans="20:21" ht="15" customHeight="1" x14ac:dyDescent="0.25">
      <c r="T18003" s="135"/>
      <c r="U18003" s="135"/>
    </row>
    <row r="18004" spans="20:21" ht="15" customHeight="1" x14ac:dyDescent="0.25">
      <c r="T18004" s="135"/>
      <c r="U18004" s="135"/>
    </row>
    <row r="18005" spans="20:21" ht="15" customHeight="1" x14ac:dyDescent="0.25">
      <c r="T18005" s="135"/>
      <c r="U18005" s="135"/>
    </row>
    <row r="18006" spans="20:21" ht="15" customHeight="1" x14ac:dyDescent="0.25">
      <c r="T18006" s="135"/>
      <c r="U18006" s="135"/>
    </row>
    <row r="18007" spans="20:21" ht="15" customHeight="1" x14ac:dyDescent="0.25">
      <c r="T18007" s="135"/>
      <c r="U18007" s="135"/>
    </row>
    <row r="18008" spans="20:21" ht="15" customHeight="1" x14ac:dyDescent="0.25">
      <c r="T18008" s="135"/>
      <c r="U18008" s="135"/>
    </row>
    <row r="18009" spans="20:21" ht="15" customHeight="1" x14ac:dyDescent="0.25">
      <c r="T18009" s="135"/>
      <c r="U18009" s="135"/>
    </row>
    <row r="18010" spans="20:21" ht="15" customHeight="1" x14ac:dyDescent="0.25">
      <c r="T18010" s="135"/>
      <c r="U18010" s="135"/>
    </row>
    <row r="18011" spans="20:21" ht="15" customHeight="1" x14ac:dyDescent="0.25">
      <c r="T18011" s="135"/>
      <c r="U18011" s="135"/>
    </row>
    <row r="18012" spans="20:21" ht="15" customHeight="1" x14ac:dyDescent="0.25">
      <c r="T18012" s="135"/>
      <c r="U18012" s="135"/>
    </row>
    <row r="18013" spans="20:21" ht="15" customHeight="1" x14ac:dyDescent="0.25">
      <c r="T18013" s="135"/>
      <c r="U18013" s="135"/>
    </row>
    <row r="18014" spans="20:21" ht="15" customHeight="1" x14ac:dyDescent="0.25">
      <c r="T18014" s="135"/>
      <c r="U18014" s="135"/>
    </row>
    <row r="18015" spans="20:21" ht="15" customHeight="1" x14ac:dyDescent="0.25">
      <c r="T18015" s="135"/>
      <c r="U18015" s="135"/>
    </row>
    <row r="18016" spans="20:21" ht="15" customHeight="1" x14ac:dyDescent="0.25">
      <c r="T18016" s="135"/>
      <c r="U18016" s="135"/>
    </row>
    <row r="18017" spans="20:21" ht="15" customHeight="1" x14ac:dyDescent="0.25">
      <c r="T18017" s="135"/>
      <c r="U18017" s="135"/>
    </row>
    <row r="18018" spans="20:21" ht="15" customHeight="1" x14ac:dyDescent="0.25">
      <c r="T18018" s="135"/>
      <c r="U18018" s="135"/>
    </row>
    <row r="18019" spans="20:21" ht="15" customHeight="1" x14ac:dyDescent="0.25">
      <c r="T18019" s="135"/>
      <c r="U18019" s="135"/>
    </row>
    <row r="18020" spans="20:21" ht="15" customHeight="1" x14ac:dyDescent="0.25">
      <c r="T18020" s="135"/>
      <c r="U18020" s="135"/>
    </row>
    <row r="18021" spans="20:21" ht="15" customHeight="1" x14ac:dyDescent="0.25">
      <c r="T18021" s="135"/>
      <c r="U18021" s="135"/>
    </row>
    <row r="18022" spans="20:21" ht="15" customHeight="1" x14ac:dyDescent="0.25">
      <c r="T18022" s="135"/>
      <c r="U18022" s="135"/>
    </row>
    <row r="18023" spans="20:21" ht="15" customHeight="1" x14ac:dyDescent="0.25">
      <c r="T18023" s="135"/>
      <c r="U18023" s="135"/>
    </row>
    <row r="18024" spans="20:21" ht="15" customHeight="1" x14ac:dyDescent="0.25">
      <c r="T18024" s="135"/>
      <c r="U18024" s="135"/>
    </row>
    <row r="18025" spans="20:21" ht="15" customHeight="1" x14ac:dyDescent="0.25">
      <c r="T18025" s="135"/>
      <c r="U18025" s="135"/>
    </row>
    <row r="18026" spans="20:21" ht="15" customHeight="1" x14ac:dyDescent="0.25">
      <c r="T18026" s="135"/>
      <c r="U18026" s="135"/>
    </row>
    <row r="18027" spans="20:21" ht="15" customHeight="1" x14ac:dyDescent="0.25">
      <c r="T18027" s="135"/>
      <c r="U18027" s="135"/>
    </row>
    <row r="18028" spans="20:21" ht="15" customHeight="1" x14ac:dyDescent="0.25">
      <c r="T18028" s="135"/>
      <c r="U18028" s="135"/>
    </row>
    <row r="18029" spans="20:21" ht="15" customHeight="1" x14ac:dyDescent="0.25">
      <c r="T18029" s="135"/>
      <c r="U18029" s="135"/>
    </row>
    <row r="18030" spans="20:21" ht="15" customHeight="1" x14ac:dyDescent="0.25">
      <c r="T18030" s="135"/>
      <c r="U18030" s="135"/>
    </row>
    <row r="18031" spans="20:21" ht="15" customHeight="1" x14ac:dyDescent="0.25">
      <c r="T18031" s="135"/>
      <c r="U18031" s="135"/>
    </row>
    <row r="18032" spans="20:21" ht="15" customHeight="1" x14ac:dyDescent="0.25">
      <c r="T18032" s="135"/>
      <c r="U18032" s="135"/>
    </row>
    <row r="18033" spans="20:21" ht="15" customHeight="1" x14ac:dyDescent="0.25">
      <c r="T18033" s="135"/>
      <c r="U18033" s="135"/>
    </row>
    <row r="18034" spans="20:21" ht="15" customHeight="1" x14ac:dyDescent="0.25">
      <c r="T18034" s="135"/>
      <c r="U18034" s="135"/>
    </row>
    <row r="18035" spans="20:21" ht="15" customHeight="1" x14ac:dyDescent="0.25">
      <c r="T18035" s="135"/>
      <c r="U18035" s="135"/>
    </row>
    <row r="18036" spans="20:21" ht="15" customHeight="1" x14ac:dyDescent="0.25">
      <c r="T18036" s="135"/>
      <c r="U18036" s="135"/>
    </row>
    <row r="18037" spans="20:21" ht="15" customHeight="1" x14ac:dyDescent="0.25">
      <c r="T18037" s="135"/>
      <c r="U18037" s="135"/>
    </row>
    <row r="18038" spans="20:21" ht="15" customHeight="1" x14ac:dyDescent="0.25">
      <c r="T18038" s="135"/>
      <c r="U18038" s="135"/>
    </row>
    <row r="18039" spans="20:21" ht="15" customHeight="1" x14ac:dyDescent="0.25">
      <c r="T18039" s="135"/>
      <c r="U18039" s="135"/>
    </row>
    <row r="18040" spans="20:21" ht="15" customHeight="1" x14ac:dyDescent="0.25">
      <c r="T18040" s="135"/>
      <c r="U18040" s="135"/>
    </row>
    <row r="18041" spans="20:21" ht="15" customHeight="1" x14ac:dyDescent="0.25">
      <c r="T18041" s="135"/>
      <c r="U18041" s="135"/>
    </row>
    <row r="18042" spans="20:21" ht="15" customHeight="1" x14ac:dyDescent="0.25">
      <c r="T18042" s="135"/>
      <c r="U18042" s="135"/>
    </row>
    <row r="18043" spans="20:21" ht="15" customHeight="1" x14ac:dyDescent="0.25">
      <c r="T18043" s="135"/>
      <c r="U18043" s="135"/>
    </row>
    <row r="18044" spans="20:21" ht="15" customHeight="1" x14ac:dyDescent="0.25">
      <c r="T18044" s="135"/>
      <c r="U18044" s="135"/>
    </row>
    <row r="18045" spans="20:21" ht="15" customHeight="1" x14ac:dyDescent="0.25">
      <c r="T18045" s="135"/>
      <c r="U18045" s="135"/>
    </row>
    <row r="18046" spans="20:21" ht="15" customHeight="1" x14ac:dyDescent="0.25">
      <c r="T18046" s="135"/>
      <c r="U18046" s="135"/>
    </row>
    <row r="18047" spans="20:21" ht="15" customHeight="1" x14ac:dyDescent="0.25">
      <c r="T18047" s="135"/>
      <c r="U18047" s="135"/>
    </row>
    <row r="18048" spans="20:21" ht="15" customHeight="1" x14ac:dyDescent="0.25">
      <c r="T18048" s="135"/>
      <c r="U18048" s="135"/>
    </row>
    <row r="18049" spans="20:21" ht="15" customHeight="1" x14ac:dyDescent="0.25">
      <c r="T18049" s="135"/>
      <c r="U18049" s="135"/>
    </row>
    <row r="18050" spans="20:21" ht="15" customHeight="1" x14ac:dyDescent="0.25">
      <c r="T18050" s="135"/>
      <c r="U18050" s="135"/>
    </row>
    <row r="18051" spans="20:21" ht="15" customHeight="1" x14ac:dyDescent="0.25">
      <c r="T18051" s="135"/>
      <c r="U18051" s="135"/>
    </row>
    <row r="18052" spans="20:21" ht="15" customHeight="1" x14ac:dyDescent="0.25">
      <c r="T18052" s="135"/>
      <c r="U18052" s="135"/>
    </row>
    <row r="18053" spans="20:21" ht="15" customHeight="1" x14ac:dyDescent="0.25">
      <c r="T18053" s="135"/>
      <c r="U18053" s="135"/>
    </row>
    <row r="18054" spans="20:21" ht="15" customHeight="1" x14ac:dyDescent="0.25">
      <c r="T18054" s="135"/>
      <c r="U18054" s="135"/>
    </row>
    <row r="18055" spans="20:21" ht="15" customHeight="1" x14ac:dyDescent="0.25">
      <c r="T18055" s="135"/>
      <c r="U18055" s="135"/>
    </row>
    <row r="18056" spans="20:21" ht="15" customHeight="1" x14ac:dyDescent="0.25">
      <c r="T18056" s="135"/>
      <c r="U18056" s="135"/>
    </row>
    <row r="18057" spans="20:21" ht="15" customHeight="1" x14ac:dyDescent="0.25">
      <c r="T18057" s="135"/>
      <c r="U18057" s="135"/>
    </row>
    <row r="18058" spans="20:21" ht="15" customHeight="1" x14ac:dyDescent="0.25">
      <c r="T18058" s="135"/>
      <c r="U18058" s="135"/>
    </row>
    <row r="18059" spans="20:21" ht="15" customHeight="1" x14ac:dyDescent="0.25">
      <c r="T18059" s="135"/>
      <c r="U18059" s="135"/>
    </row>
    <row r="18060" spans="20:21" ht="15" customHeight="1" x14ac:dyDescent="0.25">
      <c r="T18060" s="135"/>
      <c r="U18060" s="135"/>
    </row>
    <row r="18061" spans="20:21" ht="15" customHeight="1" x14ac:dyDescent="0.25">
      <c r="T18061" s="135"/>
      <c r="U18061" s="135"/>
    </row>
    <row r="18062" spans="20:21" ht="15" customHeight="1" x14ac:dyDescent="0.25">
      <c r="T18062" s="135"/>
      <c r="U18062" s="135"/>
    </row>
    <row r="18063" spans="20:21" ht="15" customHeight="1" x14ac:dyDescent="0.25">
      <c r="T18063" s="135"/>
      <c r="U18063" s="135"/>
    </row>
    <row r="18064" spans="20:21" ht="15" customHeight="1" x14ac:dyDescent="0.25">
      <c r="T18064" s="135"/>
      <c r="U18064" s="135"/>
    </row>
    <row r="18065" spans="20:21" ht="15" customHeight="1" x14ac:dyDescent="0.25">
      <c r="T18065" s="135"/>
      <c r="U18065" s="135"/>
    </row>
    <row r="18066" spans="20:21" ht="15" customHeight="1" x14ac:dyDescent="0.25">
      <c r="T18066" s="135"/>
      <c r="U18066" s="135"/>
    </row>
    <row r="18067" spans="20:21" ht="15" customHeight="1" x14ac:dyDescent="0.25">
      <c r="T18067" s="135"/>
      <c r="U18067" s="135"/>
    </row>
    <row r="18068" spans="20:21" ht="15" customHeight="1" x14ac:dyDescent="0.25">
      <c r="T18068" s="135"/>
      <c r="U18068" s="135"/>
    </row>
    <row r="18069" spans="20:21" ht="15" customHeight="1" x14ac:dyDescent="0.25">
      <c r="T18069" s="135"/>
      <c r="U18069" s="135"/>
    </row>
    <row r="18070" spans="20:21" ht="15" customHeight="1" x14ac:dyDescent="0.25">
      <c r="T18070" s="135"/>
      <c r="U18070" s="135"/>
    </row>
    <row r="18071" spans="20:21" ht="15" customHeight="1" x14ac:dyDescent="0.25">
      <c r="T18071" s="135"/>
      <c r="U18071" s="135"/>
    </row>
    <row r="18072" spans="20:21" ht="15" customHeight="1" x14ac:dyDescent="0.25">
      <c r="T18072" s="135"/>
      <c r="U18072" s="135"/>
    </row>
    <row r="18073" spans="20:21" ht="15" customHeight="1" x14ac:dyDescent="0.25">
      <c r="T18073" s="135"/>
      <c r="U18073" s="135"/>
    </row>
    <row r="18074" spans="20:21" ht="15" customHeight="1" x14ac:dyDescent="0.25">
      <c r="T18074" s="135"/>
      <c r="U18074" s="135"/>
    </row>
    <row r="18075" spans="20:21" ht="15" customHeight="1" x14ac:dyDescent="0.25">
      <c r="T18075" s="135"/>
      <c r="U18075" s="135"/>
    </row>
    <row r="18076" spans="20:21" ht="15" customHeight="1" x14ac:dyDescent="0.25">
      <c r="T18076" s="135"/>
      <c r="U18076" s="135"/>
    </row>
    <row r="18077" spans="20:21" ht="15" customHeight="1" x14ac:dyDescent="0.25">
      <c r="T18077" s="135"/>
      <c r="U18077" s="135"/>
    </row>
    <row r="18078" spans="20:21" ht="15" customHeight="1" x14ac:dyDescent="0.25">
      <c r="T18078" s="135"/>
      <c r="U18078" s="135"/>
    </row>
    <row r="18079" spans="20:21" ht="15" customHeight="1" x14ac:dyDescent="0.25">
      <c r="T18079" s="135"/>
      <c r="U18079" s="135"/>
    </row>
    <row r="18080" spans="20:21" ht="15" customHeight="1" x14ac:dyDescent="0.25">
      <c r="T18080" s="135"/>
      <c r="U18080" s="135"/>
    </row>
    <row r="18081" spans="20:21" ht="15" customHeight="1" x14ac:dyDescent="0.25">
      <c r="T18081" s="135"/>
      <c r="U18081" s="135"/>
    </row>
    <row r="18082" spans="20:21" ht="15" customHeight="1" x14ac:dyDescent="0.25">
      <c r="T18082" s="135"/>
      <c r="U18082" s="135"/>
    </row>
    <row r="18083" spans="20:21" ht="15" customHeight="1" x14ac:dyDescent="0.25">
      <c r="T18083" s="135"/>
      <c r="U18083" s="135"/>
    </row>
    <row r="18084" spans="20:21" ht="15" customHeight="1" x14ac:dyDescent="0.25">
      <c r="T18084" s="135"/>
      <c r="U18084" s="135"/>
    </row>
    <row r="18085" spans="20:21" ht="15" customHeight="1" x14ac:dyDescent="0.25">
      <c r="T18085" s="135"/>
      <c r="U18085" s="135"/>
    </row>
    <row r="18086" spans="20:21" ht="15" customHeight="1" x14ac:dyDescent="0.25">
      <c r="T18086" s="135"/>
      <c r="U18086" s="135"/>
    </row>
    <row r="18087" spans="20:21" ht="15" customHeight="1" x14ac:dyDescent="0.25">
      <c r="T18087" s="135"/>
      <c r="U18087" s="135"/>
    </row>
    <row r="18088" spans="20:21" ht="15" customHeight="1" x14ac:dyDescent="0.25">
      <c r="T18088" s="135"/>
      <c r="U18088" s="135"/>
    </row>
    <row r="18089" spans="20:21" ht="15" customHeight="1" x14ac:dyDescent="0.25">
      <c r="T18089" s="135"/>
      <c r="U18089" s="135"/>
    </row>
    <row r="18090" spans="20:21" ht="15" customHeight="1" x14ac:dyDescent="0.25">
      <c r="T18090" s="135"/>
      <c r="U18090" s="135"/>
    </row>
    <row r="18091" spans="20:21" ht="15" customHeight="1" x14ac:dyDescent="0.25">
      <c r="T18091" s="135"/>
      <c r="U18091" s="135"/>
    </row>
    <row r="18092" spans="20:21" ht="15" customHeight="1" x14ac:dyDescent="0.25">
      <c r="T18092" s="135"/>
      <c r="U18092" s="135"/>
    </row>
    <row r="18093" spans="20:21" ht="15" customHeight="1" x14ac:dyDescent="0.25">
      <c r="T18093" s="135"/>
      <c r="U18093" s="135"/>
    </row>
    <row r="18094" spans="20:21" ht="15" customHeight="1" x14ac:dyDescent="0.25">
      <c r="T18094" s="135"/>
      <c r="U18094" s="135"/>
    </row>
    <row r="18095" spans="20:21" ht="15" customHeight="1" x14ac:dyDescent="0.25">
      <c r="T18095" s="135"/>
      <c r="U18095" s="135"/>
    </row>
    <row r="18096" spans="20:21" ht="15" customHeight="1" x14ac:dyDescent="0.25">
      <c r="T18096" s="135"/>
      <c r="U18096" s="135"/>
    </row>
    <row r="18097" spans="20:21" ht="15" customHeight="1" x14ac:dyDescent="0.25">
      <c r="T18097" s="135"/>
      <c r="U18097" s="135"/>
    </row>
    <row r="18098" spans="20:21" ht="15" customHeight="1" x14ac:dyDescent="0.25">
      <c r="T18098" s="135"/>
      <c r="U18098" s="135"/>
    </row>
    <row r="18099" spans="20:21" ht="15" customHeight="1" x14ac:dyDescent="0.25">
      <c r="T18099" s="135"/>
      <c r="U18099" s="135"/>
    </row>
    <row r="18100" spans="20:21" ht="15" customHeight="1" x14ac:dyDescent="0.25">
      <c r="T18100" s="135"/>
      <c r="U18100" s="135"/>
    </row>
    <row r="18101" spans="20:21" ht="15" customHeight="1" x14ac:dyDescent="0.25">
      <c r="T18101" s="135"/>
      <c r="U18101" s="135"/>
    </row>
    <row r="18102" spans="20:21" ht="15" customHeight="1" x14ac:dyDescent="0.25">
      <c r="T18102" s="135"/>
      <c r="U18102" s="135"/>
    </row>
    <row r="18103" spans="20:21" ht="15" customHeight="1" x14ac:dyDescent="0.25">
      <c r="T18103" s="135"/>
      <c r="U18103" s="135"/>
    </row>
    <row r="18104" spans="20:21" ht="15" customHeight="1" x14ac:dyDescent="0.25">
      <c r="T18104" s="135"/>
      <c r="U18104" s="135"/>
    </row>
    <row r="18105" spans="20:21" ht="15" customHeight="1" x14ac:dyDescent="0.25">
      <c r="T18105" s="135"/>
      <c r="U18105" s="135"/>
    </row>
    <row r="18106" spans="20:21" ht="15" customHeight="1" x14ac:dyDescent="0.25">
      <c r="T18106" s="135"/>
      <c r="U18106" s="135"/>
    </row>
    <row r="18107" spans="20:21" ht="15" customHeight="1" x14ac:dyDescent="0.25">
      <c r="T18107" s="135"/>
      <c r="U18107" s="135"/>
    </row>
    <row r="18108" spans="20:21" ht="15" customHeight="1" x14ac:dyDescent="0.25">
      <c r="T18108" s="135"/>
      <c r="U18108" s="135"/>
    </row>
    <row r="18109" spans="20:21" ht="15" customHeight="1" x14ac:dyDescent="0.25">
      <c r="T18109" s="135"/>
      <c r="U18109" s="135"/>
    </row>
    <row r="18110" spans="20:21" ht="15" customHeight="1" x14ac:dyDescent="0.25">
      <c r="T18110" s="135"/>
      <c r="U18110" s="135"/>
    </row>
    <row r="18111" spans="20:21" ht="15" customHeight="1" x14ac:dyDescent="0.25">
      <c r="T18111" s="135"/>
      <c r="U18111" s="135"/>
    </row>
    <row r="18112" spans="20:21" ht="15" customHeight="1" x14ac:dyDescent="0.25">
      <c r="T18112" s="135"/>
      <c r="U18112" s="135"/>
    </row>
    <row r="18113" spans="20:21" ht="15" customHeight="1" x14ac:dyDescent="0.25">
      <c r="T18113" s="135"/>
      <c r="U18113" s="135"/>
    </row>
    <row r="18114" spans="20:21" ht="15" customHeight="1" x14ac:dyDescent="0.25">
      <c r="T18114" s="135"/>
      <c r="U18114" s="135"/>
    </row>
    <row r="18115" spans="20:21" ht="15" customHeight="1" x14ac:dyDescent="0.25">
      <c r="T18115" s="135"/>
      <c r="U18115" s="135"/>
    </row>
    <row r="18116" spans="20:21" ht="15" customHeight="1" x14ac:dyDescent="0.25">
      <c r="T18116" s="135"/>
      <c r="U18116" s="135"/>
    </row>
    <row r="18117" spans="20:21" ht="15" customHeight="1" x14ac:dyDescent="0.25">
      <c r="T18117" s="135"/>
      <c r="U18117" s="135"/>
    </row>
    <row r="18118" spans="20:21" ht="15" customHeight="1" x14ac:dyDescent="0.25">
      <c r="T18118" s="135"/>
      <c r="U18118" s="135"/>
    </row>
    <row r="18119" spans="20:21" ht="15" customHeight="1" x14ac:dyDescent="0.25">
      <c r="T18119" s="135"/>
      <c r="U18119" s="135"/>
    </row>
    <row r="18120" spans="20:21" ht="15" customHeight="1" x14ac:dyDescent="0.25">
      <c r="T18120" s="135"/>
      <c r="U18120" s="135"/>
    </row>
    <row r="18121" spans="20:21" ht="15" customHeight="1" x14ac:dyDescent="0.25">
      <c r="T18121" s="135"/>
      <c r="U18121" s="135"/>
    </row>
    <row r="18122" spans="20:21" ht="15" customHeight="1" x14ac:dyDescent="0.25">
      <c r="T18122" s="135"/>
      <c r="U18122" s="135"/>
    </row>
    <row r="18123" spans="20:21" ht="15" customHeight="1" x14ac:dyDescent="0.25">
      <c r="T18123" s="135"/>
      <c r="U18123" s="135"/>
    </row>
    <row r="18124" spans="20:21" ht="15" customHeight="1" x14ac:dyDescent="0.25">
      <c r="T18124" s="135"/>
      <c r="U18124" s="135"/>
    </row>
    <row r="18125" spans="20:21" ht="15" customHeight="1" x14ac:dyDescent="0.25">
      <c r="T18125" s="135"/>
      <c r="U18125" s="135"/>
    </row>
    <row r="18126" spans="20:21" ht="15" customHeight="1" x14ac:dyDescent="0.25">
      <c r="T18126" s="135"/>
      <c r="U18126" s="135"/>
    </row>
    <row r="18127" spans="20:21" ht="15" customHeight="1" x14ac:dyDescent="0.25">
      <c r="T18127" s="135"/>
      <c r="U18127" s="135"/>
    </row>
    <row r="18128" spans="20:21" ht="15" customHeight="1" x14ac:dyDescent="0.25">
      <c r="T18128" s="135"/>
      <c r="U18128" s="135"/>
    </row>
    <row r="18129" spans="20:21" ht="15" customHeight="1" x14ac:dyDescent="0.25">
      <c r="T18129" s="135"/>
      <c r="U18129" s="135"/>
    </row>
    <row r="18130" spans="20:21" ht="15" customHeight="1" x14ac:dyDescent="0.25">
      <c r="T18130" s="135"/>
      <c r="U18130" s="135"/>
    </row>
    <row r="18131" spans="20:21" ht="15" customHeight="1" x14ac:dyDescent="0.25">
      <c r="T18131" s="135"/>
      <c r="U18131" s="135"/>
    </row>
    <row r="18132" spans="20:21" ht="15" customHeight="1" x14ac:dyDescent="0.25">
      <c r="T18132" s="135"/>
      <c r="U18132" s="135"/>
    </row>
    <row r="18133" spans="20:21" ht="15" customHeight="1" x14ac:dyDescent="0.25">
      <c r="T18133" s="135"/>
      <c r="U18133" s="135"/>
    </row>
    <row r="18134" spans="20:21" ht="15" customHeight="1" x14ac:dyDescent="0.25">
      <c r="T18134" s="135"/>
      <c r="U18134" s="135"/>
    </row>
    <row r="18135" spans="20:21" ht="15" customHeight="1" x14ac:dyDescent="0.25">
      <c r="T18135" s="135"/>
      <c r="U18135" s="135"/>
    </row>
    <row r="18136" spans="20:21" ht="15" customHeight="1" x14ac:dyDescent="0.25">
      <c r="T18136" s="135"/>
      <c r="U18136" s="135"/>
    </row>
    <row r="18137" spans="20:21" ht="15" customHeight="1" x14ac:dyDescent="0.25">
      <c r="T18137" s="135"/>
      <c r="U18137" s="135"/>
    </row>
    <row r="18138" spans="20:21" ht="15" customHeight="1" x14ac:dyDescent="0.25">
      <c r="T18138" s="135"/>
      <c r="U18138" s="135"/>
    </row>
    <row r="18139" spans="20:21" ht="15" customHeight="1" x14ac:dyDescent="0.25">
      <c r="T18139" s="135"/>
      <c r="U18139" s="135"/>
    </row>
    <row r="18140" spans="20:21" ht="15" customHeight="1" x14ac:dyDescent="0.25">
      <c r="T18140" s="135"/>
      <c r="U18140" s="135"/>
    </row>
    <row r="18141" spans="20:21" ht="15" customHeight="1" x14ac:dyDescent="0.25">
      <c r="T18141" s="135"/>
      <c r="U18141" s="135"/>
    </row>
    <row r="18142" spans="20:21" ht="15" customHeight="1" x14ac:dyDescent="0.25">
      <c r="T18142" s="135"/>
      <c r="U18142" s="135"/>
    </row>
    <row r="18143" spans="20:21" ht="15" customHeight="1" x14ac:dyDescent="0.25">
      <c r="T18143" s="135"/>
      <c r="U18143" s="135"/>
    </row>
    <row r="18144" spans="20:21" ht="15" customHeight="1" x14ac:dyDescent="0.25">
      <c r="T18144" s="135"/>
      <c r="U18144" s="135"/>
    </row>
    <row r="18145" spans="20:21" ht="15" customHeight="1" x14ac:dyDescent="0.25">
      <c r="T18145" s="135"/>
      <c r="U18145" s="135"/>
    </row>
    <row r="18146" spans="20:21" ht="15" customHeight="1" x14ac:dyDescent="0.25">
      <c r="T18146" s="135"/>
      <c r="U18146" s="135"/>
    </row>
    <row r="18147" spans="20:21" ht="15" customHeight="1" x14ac:dyDescent="0.25">
      <c r="T18147" s="135"/>
      <c r="U18147" s="135"/>
    </row>
    <row r="18148" spans="20:21" ht="15" customHeight="1" x14ac:dyDescent="0.25">
      <c r="T18148" s="135"/>
      <c r="U18148" s="135"/>
    </row>
    <row r="18149" spans="20:21" ht="15" customHeight="1" x14ac:dyDescent="0.25">
      <c r="T18149" s="135"/>
      <c r="U18149" s="135"/>
    </row>
    <row r="18150" spans="20:21" ht="15" customHeight="1" x14ac:dyDescent="0.25">
      <c r="T18150" s="135"/>
      <c r="U18150" s="135"/>
    </row>
    <row r="18151" spans="20:21" ht="15" customHeight="1" x14ac:dyDescent="0.25">
      <c r="T18151" s="135"/>
      <c r="U18151" s="135"/>
    </row>
    <row r="18152" spans="20:21" ht="15" customHeight="1" x14ac:dyDescent="0.25">
      <c r="T18152" s="135"/>
      <c r="U18152" s="135"/>
    </row>
    <row r="18153" spans="20:21" ht="15" customHeight="1" x14ac:dyDescent="0.25">
      <c r="T18153" s="135"/>
      <c r="U18153" s="135"/>
    </row>
    <row r="18154" spans="20:21" ht="15" customHeight="1" x14ac:dyDescent="0.25">
      <c r="T18154" s="135"/>
      <c r="U18154" s="135"/>
    </row>
    <row r="18155" spans="20:21" ht="15" customHeight="1" x14ac:dyDescent="0.25">
      <c r="T18155" s="135"/>
      <c r="U18155" s="135"/>
    </row>
    <row r="18156" spans="20:21" ht="15" customHeight="1" x14ac:dyDescent="0.25">
      <c r="T18156" s="135"/>
      <c r="U18156" s="135"/>
    </row>
    <row r="18157" spans="20:21" ht="15" customHeight="1" x14ac:dyDescent="0.25">
      <c r="T18157" s="135"/>
      <c r="U18157" s="135"/>
    </row>
    <row r="18158" spans="20:21" ht="15" customHeight="1" x14ac:dyDescent="0.25">
      <c r="T18158" s="135"/>
      <c r="U18158" s="135"/>
    </row>
    <row r="18159" spans="20:21" ht="15" customHeight="1" x14ac:dyDescent="0.25">
      <c r="T18159" s="135"/>
      <c r="U18159" s="135"/>
    </row>
    <row r="18160" spans="20:21" ht="15" customHeight="1" x14ac:dyDescent="0.25">
      <c r="T18160" s="135"/>
      <c r="U18160" s="135"/>
    </row>
    <row r="18161" spans="20:21" ht="15" customHeight="1" x14ac:dyDescent="0.25">
      <c r="T18161" s="135"/>
      <c r="U18161" s="135"/>
    </row>
    <row r="18162" spans="20:21" ht="15" customHeight="1" x14ac:dyDescent="0.25">
      <c r="T18162" s="135"/>
      <c r="U18162" s="135"/>
    </row>
    <row r="18163" spans="20:21" ht="15" customHeight="1" x14ac:dyDescent="0.25">
      <c r="T18163" s="135"/>
      <c r="U18163" s="135"/>
    </row>
    <row r="18164" spans="20:21" ht="15" customHeight="1" x14ac:dyDescent="0.25">
      <c r="T18164" s="135"/>
      <c r="U18164" s="135"/>
    </row>
    <row r="18165" spans="20:21" ht="15" customHeight="1" x14ac:dyDescent="0.25">
      <c r="T18165" s="135"/>
      <c r="U18165" s="135"/>
    </row>
    <row r="18166" spans="20:21" ht="15" customHeight="1" x14ac:dyDescent="0.25">
      <c r="T18166" s="135"/>
      <c r="U18166" s="135"/>
    </row>
    <row r="18167" spans="20:21" ht="15" customHeight="1" x14ac:dyDescent="0.25">
      <c r="T18167" s="135"/>
      <c r="U18167" s="135"/>
    </row>
    <row r="18168" spans="20:21" ht="15" customHeight="1" x14ac:dyDescent="0.25">
      <c r="T18168" s="135"/>
      <c r="U18168" s="135"/>
    </row>
    <row r="18169" spans="20:21" ht="15" customHeight="1" x14ac:dyDescent="0.25">
      <c r="T18169" s="135"/>
      <c r="U18169" s="135"/>
    </row>
    <row r="18170" spans="20:21" ht="15" customHeight="1" x14ac:dyDescent="0.25">
      <c r="T18170" s="135"/>
      <c r="U18170" s="135"/>
    </row>
    <row r="18171" spans="20:21" ht="15" customHeight="1" x14ac:dyDescent="0.25">
      <c r="T18171" s="135"/>
      <c r="U18171" s="135"/>
    </row>
    <row r="18172" spans="20:21" ht="15" customHeight="1" x14ac:dyDescent="0.25">
      <c r="T18172" s="135"/>
      <c r="U18172" s="135"/>
    </row>
    <row r="18173" spans="20:21" ht="15" customHeight="1" x14ac:dyDescent="0.25">
      <c r="T18173" s="135"/>
      <c r="U18173" s="135"/>
    </row>
    <row r="18174" spans="20:21" ht="15" customHeight="1" x14ac:dyDescent="0.25">
      <c r="T18174" s="135"/>
      <c r="U18174" s="135"/>
    </row>
    <row r="18175" spans="20:21" ht="15" customHeight="1" x14ac:dyDescent="0.25">
      <c r="T18175" s="135"/>
      <c r="U18175" s="135"/>
    </row>
    <row r="18176" spans="20:21" ht="15" customHeight="1" x14ac:dyDescent="0.25">
      <c r="T18176" s="135"/>
      <c r="U18176" s="135"/>
    </row>
    <row r="18177" spans="20:21" ht="15" customHeight="1" x14ac:dyDescent="0.25">
      <c r="T18177" s="135"/>
      <c r="U18177" s="135"/>
    </row>
    <row r="18178" spans="20:21" ht="15" customHeight="1" x14ac:dyDescent="0.25">
      <c r="T18178" s="135"/>
      <c r="U18178" s="135"/>
    </row>
    <row r="18179" spans="20:21" ht="15" customHeight="1" x14ac:dyDescent="0.25">
      <c r="T18179" s="135"/>
      <c r="U18179" s="135"/>
    </row>
    <row r="18180" spans="20:21" ht="15" customHeight="1" x14ac:dyDescent="0.25">
      <c r="T18180" s="135"/>
      <c r="U18180" s="135"/>
    </row>
    <row r="18181" spans="20:21" ht="15" customHeight="1" x14ac:dyDescent="0.25">
      <c r="T18181" s="135"/>
      <c r="U18181" s="135"/>
    </row>
    <row r="18182" spans="20:21" ht="15" customHeight="1" x14ac:dyDescent="0.25">
      <c r="T18182" s="135"/>
      <c r="U18182" s="135"/>
    </row>
    <row r="18183" spans="20:21" ht="15" customHeight="1" x14ac:dyDescent="0.25">
      <c r="T18183" s="135"/>
      <c r="U18183" s="135"/>
    </row>
    <row r="18184" spans="20:21" ht="15" customHeight="1" x14ac:dyDescent="0.25">
      <c r="T18184" s="135"/>
      <c r="U18184" s="135"/>
    </row>
    <row r="18185" spans="20:21" ht="15" customHeight="1" x14ac:dyDescent="0.25">
      <c r="T18185" s="135"/>
      <c r="U18185" s="135"/>
    </row>
    <row r="18186" spans="20:21" ht="15" customHeight="1" x14ac:dyDescent="0.25">
      <c r="T18186" s="135"/>
      <c r="U18186" s="135"/>
    </row>
    <row r="18187" spans="20:21" ht="15" customHeight="1" x14ac:dyDescent="0.25">
      <c r="T18187" s="135"/>
      <c r="U18187" s="135"/>
    </row>
    <row r="18188" spans="20:21" ht="15" customHeight="1" x14ac:dyDescent="0.25">
      <c r="T18188" s="135"/>
      <c r="U18188" s="135"/>
    </row>
    <row r="18189" spans="20:21" ht="15" customHeight="1" x14ac:dyDescent="0.25">
      <c r="T18189" s="135"/>
      <c r="U18189" s="135"/>
    </row>
    <row r="18190" spans="20:21" ht="15" customHeight="1" x14ac:dyDescent="0.25">
      <c r="T18190" s="135"/>
      <c r="U18190" s="135"/>
    </row>
    <row r="18191" spans="20:21" ht="15" customHeight="1" x14ac:dyDescent="0.25">
      <c r="T18191" s="135"/>
      <c r="U18191" s="135"/>
    </row>
    <row r="18192" spans="20:21" ht="15" customHeight="1" x14ac:dyDescent="0.25">
      <c r="T18192" s="135"/>
      <c r="U18192" s="135"/>
    </row>
    <row r="18193" spans="20:21" ht="15" customHeight="1" x14ac:dyDescent="0.25">
      <c r="T18193" s="135"/>
      <c r="U18193" s="135"/>
    </row>
    <row r="18194" spans="20:21" ht="15" customHeight="1" x14ac:dyDescent="0.25">
      <c r="T18194" s="135"/>
      <c r="U18194" s="135"/>
    </row>
    <row r="18195" spans="20:21" ht="15" customHeight="1" x14ac:dyDescent="0.25">
      <c r="T18195" s="135"/>
      <c r="U18195" s="135"/>
    </row>
    <row r="18196" spans="20:21" ht="15" customHeight="1" x14ac:dyDescent="0.25">
      <c r="T18196" s="135"/>
      <c r="U18196" s="135"/>
    </row>
    <row r="18197" spans="20:21" ht="15" customHeight="1" x14ac:dyDescent="0.25">
      <c r="T18197" s="135"/>
      <c r="U18197" s="135"/>
    </row>
    <row r="18198" spans="20:21" ht="15" customHeight="1" x14ac:dyDescent="0.25">
      <c r="T18198" s="135"/>
      <c r="U18198" s="135"/>
    </row>
    <row r="18199" spans="20:21" ht="15" customHeight="1" x14ac:dyDescent="0.25">
      <c r="T18199" s="135"/>
      <c r="U18199" s="135"/>
    </row>
    <row r="18200" spans="20:21" ht="15" customHeight="1" x14ac:dyDescent="0.25">
      <c r="T18200" s="135"/>
      <c r="U18200" s="135"/>
    </row>
    <row r="18201" spans="20:21" ht="15" customHeight="1" x14ac:dyDescent="0.25">
      <c r="T18201" s="135"/>
      <c r="U18201" s="135"/>
    </row>
    <row r="18202" spans="20:21" ht="15" customHeight="1" x14ac:dyDescent="0.25">
      <c r="T18202" s="135"/>
      <c r="U18202" s="135"/>
    </row>
    <row r="18203" spans="20:21" ht="15" customHeight="1" x14ac:dyDescent="0.25">
      <c r="T18203" s="135"/>
      <c r="U18203" s="135"/>
    </row>
    <row r="18204" spans="20:21" ht="15" customHeight="1" x14ac:dyDescent="0.25">
      <c r="T18204" s="135"/>
      <c r="U18204" s="135"/>
    </row>
    <row r="18205" spans="20:21" ht="15" customHeight="1" x14ac:dyDescent="0.25">
      <c r="T18205" s="135"/>
      <c r="U18205" s="135"/>
    </row>
    <row r="18206" spans="20:21" ht="15" customHeight="1" x14ac:dyDescent="0.25">
      <c r="T18206" s="135"/>
      <c r="U18206" s="135"/>
    </row>
    <row r="18207" spans="20:21" ht="15" customHeight="1" x14ac:dyDescent="0.25">
      <c r="T18207" s="135"/>
      <c r="U18207" s="135"/>
    </row>
    <row r="18208" spans="20:21" ht="15" customHeight="1" x14ac:dyDescent="0.25">
      <c r="T18208" s="135"/>
      <c r="U18208" s="135"/>
    </row>
    <row r="18209" spans="20:21" ht="15" customHeight="1" x14ac:dyDescent="0.25">
      <c r="T18209" s="135"/>
      <c r="U18209" s="135"/>
    </row>
    <row r="18210" spans="20:21" ht="15" customHeight="1" x14ac:dyDescent="0.25">
      <c r="T18210" s="135"/>
      <c r="U18210" s="135"/>
    </row>
    <row r="18211" spans="20:21" ht="15" customHeight="1" x14ac:dyDescent="0.25">
      <c r="T18211" s="135"/>
      <c r="U18211" s="135"/>
    </row>
    <row r="18212" spans="20:21" ht="15" customHeight="1" x14ac:dyDescent="0.25">
      <c r="T18212" s="135"/>
      <c r="U18212" s="135"/>
    </row>
    <row r="18213" spans="20:21" ht="15" customHeight="1" x14ac:dyDescent="0.25">
      <c r="T18213" s="135"/>
      <c r="U18213" s="135"/>
    </row>
    <row r="18214" spans="20:21" ht="15" customHeight="1" x14ac:dyDescent="0.25">
      <c r="T18214" s="135"/>
      <c r="U18214" s="135"/>
    </row>
    <row r="18215" spans="20:21" ht="15" customHeight="1" x14ac:dyDescent="0.25">
      <c r="T18215" s="135"/>
      <c r="U18215" s="135"/>
    </row>
    <row r="18216" spans="20:21" ht="15" customHeight="1" x14ac:dyDescent="0.25">
      <c r="T18216" s="135"/>
      <c r="U18216" s="135"/>
    </row>
    <row r="18217" spans="20:21" ht="15" customHeight="1" x14ac:dyDescent="0.25">
      <c r="T18217" s="135"/>
      <c r="U18217" s="135"/>
    </row>
    <row r="18218" spans="20:21" ht="15" customHeight="1" x14ac:dyDescent="0.25">
      <c r="T18218" s="135"/>
      <c r="U18218" s="135"/>
    </row>
    <row r="18219" spans="20:21" ht="15" customHeight="1" x14ac:dyDescent="0.25">
      <c r="T18219" s="135"/>
      <c r="U18219" s="135"/>
    </row>
    <row r="18220" spans="20:21" ht="15" customHeight="1" x14ac:dyDescent="0.25">
      <c r="T18220" s="135"/>
      <c r="U18220" s="135"/>
    </row>
    <row r="18221" spans="20:21" ht="15" customHeight="1" x14ac:dyDescent="0.25">
      <c r="T18221" s="135"/>
      <c r="U18221" s="135"/>
    </row>
    <row r="18222" spans="20:21" ht="15" customHeight="1" x14ac:dyDescent="0.25">
      <c r="T18222" s="135"/>
      <c r="U18222" s="135"/>
    </row>
    <row r="18223" spans="20:21" ht="15" customHeight="1" x14ac:dyDescent="0.25">
      <c r="T18223" s="135"/>
      <c r="U18223" s="135"/>
    </row>
    <row r="18224" spans="20:21" ht="15" customHeight="1" x14ac:dyDescent="0.25">
      <c r="T18224" s="135"/>
      <c r="U18224" s="135"/>
    </row>
    <row r="18225" spans="20:21" ht="15" customHeight="1" x14ac:dyDescent="0.25">
      <c r="T18225" s="135"/>
      <c r="U18225" s="135"/>
    </row>
    <row r="18226" spans="20:21" ht="15" customHeight="1" x14ac:dyDescent="0.25">
      <c r="T18226" s="135"/>
      <c r="U18226" s="135"/>
    </row>
    <row r="18227" spans="20:21" ht="15" customHeight="1" x14ac:dyDescent="0.25">
      <c r="T18227" s="135"/>
      <c r="U18227" s="135"/>
    </row>
    <row r="18228" spans="20:21" ht="15" customHeight="1" x14ac:dyDescent="0.25">
      <c r="T18228" s="135"/>
      <c r="U18228" s="135"/>
    </row>
    <row r="18229" spans="20:21" ht="15" customHeight="1" x14ac:dyDescent="0.25">
      <c r="T18229" s="135"/>
      <c r="U18229" s="135"/>
    </row>
    <row r="18230" spans="20:21" ht="15" customHeight="1" x14ac:dyDescent="0.25">
      <c r="T18230" s="135"/>
      <c r="U18230" s="135"/>
    </row>
    <row r="18231" spans="20:21" ht="15" customHeight="1" x14ac:dyDescent="0.25">
      <c r="T18231" s="135"/>
      <c r="U18231" s="135"/>
    </row>
    <row r="18232" spans="20:21" ht="15" customHeight="1" x14ac:dyDescent="0.25">
      <c r="T18232" s="135"/>
      <c r="U18232" s="135"/>
    </row>
    <row r="18233" spans="20:21" ht="15" customHeight="1" x14ac:dyDescent="0.25">
      <c r="T18233" s="135"/>
      <c r="U18233" s="135"/>
    </row>
    <row r="18234" spans="20:21" ht="15" customHeight="1" x14ac:dyDescent="0.25">
      <c r="T18234" s="135"/>
      <c r="U18234" s="135"/>
    </row>
    <row r="18235" spans="20:21" ht="15" customHeight="1" x14ac:dyDescent="0.25">
      <c r="T18235" s="135"/>
      <c r="U18235" s="135"/>
    </row>
    <row r="18236" spans="20:21" ht="15" customHeight="1" x14ac:dyDescent="0.25">
      <c r="T18236" s="135"/>
      <c r="U18236" s="135"/>
    </row>
    <row r="18237" spans="20:21" ht="15" customHeight="1" x14ac:dyDescent="0.25">
      <c r="T18237" s="135"/>
      <c r="U18237" s="135"/>
    </row>
    <row r="18238" spans="20:21" ht="15" customHeight="1" x14ac:dyDescent="0.25">
      <c r="T18238" s="135"/>
      <c r="U18238" s="135"/>
    </row>
    <row r="18239" spans="20:21" ht="15" customHeight="1" x14ac:dyDescent="0.25">
      <c r="T18239" s="135"/>
      <c r="U18239" s="135"/>
    </row>
    <row r="18240" spans="20:21" ht="15" customHeight="1" x14ac:dyDescent="0.25">
      <c r="T18240" s="135"/>
      <c r="U18240" s="135"/>
    </row>
    <row r="18241" spans="20:21" ht="15" customHeight="1" x14ac:dyDescent="0.25">
      <c r="T18241" s="135"/>
      <c r="U18241" s="135"/>
    </row>
    <row r="18242" spans="20:21" ht="15" customHeight="1" x14ac:dyDescent="0.25">
      <c r="T18242" s="135"/>
      <c r="U18242" s="135"/>
    </row>
    <row r="18243" spans="20:21" ht="15" customHeight="1" x14ac:dyDescent="0.25">
      <c r="T18243" s="135"/>
      <c r="U18243" s="135"/>
    </row>
    <row r="18244" spans="20:21" ht="15" customHeight="1" x14ac:dyDescent="0.25">
      <c r="T18244" s="135"/>
      <c r="U18244" s="135"/>
    </row>
    <row r="18245" spans="20:21" ht="15" customHeight="1" x14ac:dyDescent="0.25">
      <c r="T18245" s="135"/>
      <c r="U18245" s="135"/>
    </row>
    <row r="18246" spans="20:21" ht="15" customHeight="1" x14ac:dyDescent="0.25">
      <c r="T18246" s="135"/>
      <c r="U18246" s="135"/>
    </row>
    <row r="18247" spans="20:21" ht="15" customHeight="1" x14ac:dyDescent="0.25">
      <c r="T18247" s="135"/>
      <c r="U18247" s="135"/>
    </row>
    <row r="18248" spans="20:21" ht="15" customHeight="1" x14ac:dyDescent="0.25">
      <c r="T18248" s="135"/>
      <c r="U18248" s="135"/>
    </row>
    <row r="18249" spans="20:21" ht="15" customHeight="1" x14ac:dyDescent="0.25">
      <c r="T18249" s="135"/>
      <c r="U18249" s="135"/>
    </row>
    <row r="18250" spans="20:21" ht="15" customHeight="1" x14ac:dyDescent="0.25">
      <c r="T18250" s="135"/>
      <c r="U18250" s="135"/>
    </row>
    <row r="18251" spans="20:21" ht="15" customHeight="1" x14ac:dyDescent="0.25">
      <c r="T18251" s="135"/>
      <c r="U18251" s="135"/>
    </row>
    <row r="18252" spans="20:21" ht="15" customHeight="1" x14ac:dyDescent="0.25">
      <c r="T18252" s="135"/>
      <c r="U18252" s="135"/>
    </row>
    <row r="18253" spans="20:21" ht="15" customHeight="1" x14ac:dyDescent="0.25">
      <c r="T18253" s="135"/>
      <c r="U18253" s="135"/>
    </row>
    <row r="18254" spans="20:21" ht="15" customHeight="1" x14ac:dyDescent="0.25">
      <c r="T18254" s="135"/>
      <c r="U18254" s="135"/>
    </row>
    <row r="18255" spans="20:21" ht="15" customHeight="1" x14ac:dyDescent="0.25">
      <c r="T18255" s="135"/>
      <c r="U18255" s="135"/>
    </row>
    <row r="18256" spans="20:21" ht="15" customHeight="1" x14ac:dyDescent="0.25">
      <c r="T18256" s="135"/>
      <c r="U18256" s="135"/>
    </row>
    <row r="18257" spans="20:21" ht="15" customHeight="1" x14ac:dyDescent="0.25">
      <c r="T18257" s="135"/>
      <c r="U18257" s="135"/>
    </row>
    <row r="18258" spans="20:21" ht="15" customHeight="1" x14ac:dyDescent="0.25">
      <c r="T18258" s="135"/>
      <c r="U18258" s="135"/>
    </row>
    <row r="18259" spans="20:21" ht="15" customHeight="1" x14ac:dyDescent="0.25">
      <c r="T18259" s="135"/>
      <c r="U18259" s="135"/>
    </row>
    <row r="18260" spans="20:21" ht="15" customHeight="1" x14ac:dyDescent="0.25">
      <c r="T18260" s="135"/>
      <c r="U18260" s="135"/>
    </row>
    <row r="18261" spans="20:21" ht="15" customHeight="1" x14ac:dyDescent="0.25">
      <c r="T18261" s="135"/>
      <c r="U18261" s="135"/>
    </row>
    <row r="18262" spans="20:21" ht="15" customHeight="1" x14ac:dyDescent="0.25">
      <c r="T18262" s="135"/>
      <c r="U18262" s="135"/>
    </row>
    <row r="18263" spans="20:21" ht="15" customHeight="1" x14ac:dyDescent="0.25">
      <c r="T18263" s="135"/>
      <c r="U18263" s="135"/>
    </row>
    <row r="18264" spans="20:21" ht="15" customHeight="1" x14ac:dyDescent="0.25">
      <c r="T18264" s="135"/>
      <c r="U18264" s="135"/>
    </row>
    <row r="18265" spans="20:21" ht="15" customHeight="1" x14ac:dyDescent="0.25">
      <c r="T18265" s="135"/>
      <c r="U18265" s="135"/>
    </row>
    <row r="18266" spans="20:21" ht="15" customHeight="1" x14ac:dyDescent="0.25">
      <c r="T18266" s="135"/>
      <c r="U18266" s="135"/>
    </row>
    <row r="18267" spans="20:21" ht="15" customHeight="1" x14ac:dyDescent="0.25">
      <c r="T18267" s="135"/>
      <c r="U18267" s="135"/>
    </row>
    <row r="18268" spans="20:21" ht="15" customHeight="1" x14ac:dyDescent="0.25">
      <c r="T18268" s="135"/>
      <c r="U18268" s="135"/>
    </row>
    <row r="18269" spans="20:21" ht="15" customHeight="1" x14ac:dyDescent="0.25">
      <c r="T18269" s="135"/>
      <c r="U18269" s="135"/>
    </row>
    <row r="18270" spans="20:21" ht="15" customHeight="1" x14ac:dyDescent="0.25">
      <c r="T18270" s="135"/>
      <c r="U18270" s="135"/>
    </row>
    <row r="18271" spans="20:21" ht="15" customHeight="1" x14ac:dyDescent="0.25">
      <c r="T18271" s="135"/>
      <c r="U18271" s="135"/>
    </row>
    <row r="18272" spans="20:21" ht="15" customHeight="1" x14ac:dyDescent="0.25">
      <c r="T18272" s="135"/>
      <c r="U18272" s="135"/>
    </row>
    <row r="18273" spans="20:21" ht="15" customHeight="1" x14ac:dyDescent="0.25">
      <c r="T18273" s="135"/>
      <c r="U18273" s="135"/>
    </row>
    <row r="18274" spans="20:21" ht="15" customHeight="1" x14ac:dyDescent="0.25">
      <c r="T18274" s="135"/>
      <c r="U18274" s="135"/>
    </row>
    <row r="18275" spans="20:21" ht="15" customHeight="1" x14ac:dyDescent="0.25">
      <c r="T18275" s="135"/>
      <c r="U18275" s="135"/>
    </row>
    <row r="18276" spans="20:21" ht="15" customHeight="1" x14ac:dyDescent="0.25">
      <c r="T18276" s="135"/>
      <c r="U18276" s="135"/>
    </row>
    <row r="18277" spans="20:21" ht="15" customHeight="1" x14ac:dyDescent="0.25">
      <c r="T18277" s="135"/>
      <c r="U18277" s="135"/>
    </row>
    <row r="18278" spans="20:21" ht="15" customHeight="1" x14ac:dyDescent="0.25">
      <c r="T18278" s="135"/>
      <c r="U18278" s="135"/>
    </row>
    <row r="18279" spans="20:21" ht="15" customHeight="1" x14ac:dyDescent="0.25">
      <c r="T18279" s="135"/>
      <c r="U18279" s="135"/>
    </row>
    <row r="18280" spans="20:21" ht="15" customHeight="1" x14ac:dyDescent="0.25">
      <c r="T18280" s="135"/>
      <c r="U18280" s="135"/>
    </row>
    <row r="18281" spans="20:21" ht="15" customHeight="1" x14ac:dyDescent="0.25">
      <c r="T18281" s="135"/>
      <c r="U18281" s="135"/>
    </row>
    <row r="18282" spans="20:21" ht="15" customHeight="1" x14ac:dyDescent="0.25">
      <c r="T18282" s="135"/>
      <c r="U18282" s="135"/>
    </row>
    <row r="18283" spans="20:21" ht="15" customHeight="1" x14ac:dyDescent="0.25">
      <c r="T18283" s="135"/>
      <c r="U18283" s="135"/>
    </row>
    <row r="18284" spans="20:21" ht="15" customHeight="1" x14ac:dyDescent="0.25">
      <c r="T18284" s="135"/>
      <c r="U18284" s="135"/>
    </row>
    <row r="18285" spans="20:21" ht="15" customHeight="1" x14ac:dyDescent="0.25">
      <c r="T18285" s="135"/>
      <c r="U18285" s="135"/>
    </row>
    <row r="18286" spans="20:21" ht="15" customHeight="1" x14ac:dyDescent="0.25">
      <c r="T18286" s="135"/>
      <c r="U18286" s="135"/>
    </row>
    <row r="18287" spans="20:21" ht="15" customHeight="1" x14ac:dyDescent="0.25">
      <c r="T18287" s="135"/>
      <c r="U18287" s="135"/>
    </row>
    <row r="18288" spans="20:21" ht="15" customHeight="1" x14ac:dyDescent="0.25">
      <c r="T18288" s="135"/>
      <c r="U18288" s="135"/>
    </row>
    <row r="18289" spans="20:21" ht="15" customHeight="1" x14ac:dyDescent="0.25">
      <c r="T18289" s="135"/>
      <c r="U18289" s="135"/>
    </row>
    <row r="18290" spans="20:21" ht="15" customHeight="1" x14ac:dyDescent="0.25">
      <c r="T18290" s="135"/>
      <c r="U18290" s="135"/>
    </row>
    <row r="18291" spans="20:21" ht="15" customHeight="1" x14ac:dyDescent="0.25">
      <c r="T18291" s="135"/>
      <c r="U18291" s="135"/>
    </row>
    <row r="18292" spans="20:21" ht="15" customHeight="1" x14ac:dyDescent="0.25">
      <c r="T18292" s="135"/>
      <c r="U18292" s="135"/>
    </row>
    <row r="18293" spans="20:21" ht="15" customHeight="1" x14ac:dyDescent="0.25">
      <c r="T18293" s="135"/>
      <c r="U18293" s="135"/>
    </row>
    <row r="18294" spans="20:21" ht="15" customHeight="1" x14ac:dyDescent="0.25">
      <c r="T18294" s="135"/>
      <c r="U18294" s="135"/>
    </row>
    <row r="18295" spans="20:21" ht="15" customHeight="1" x14ac:dyDescent="0.25">
      <c r="T18295" s="135"/>
      <c r="U18295" s="135"/>
    </row>
    <row r="18296" spans="20:21" ht="15" customHeight="1" x14ac:dyDescent="0.25">
      <c r="T18296" s="135"/>
      <c r="U18296" s="135"/>
    </row>
    <row r="18297" spans="20:21" ht="15" customHeight="1" x14ac:dyDescent="0.25">
      <c r="T18297" s="135"/>
      <c r="U18297" s="135"/>
    </row>
    <row r="18298" spans="20:21" ht="15" customHeight="1" x14ac:dyDescent="0.25">
      <c r="T18298" s="135"/>
      <c r="U18298" s="135"/>
    </row>
    <row r="18299" spans="20:21" ht="15" customHeight="1" x14ac:dyDescent="0.25">
      <c r="T18299" s="135"/>
      <c r="U18299" s="135"/>
    </row>
    <row r="18300" spans="20:21" ht="15" customHeight="1" x14ac:dyDescent="0.25">
      <c r="T18300" s="135"/>
      <c r="U18300" s="135"/>
    </row>
    <row r="18301" spans="20:21" ht="15" customHeight="1" x14ac:dyDescent="0.25">
      <c r="T18301" s="135"/>
      <c r="U18301" s="135"/>
    </row>
    <row r="18302" spans="20:21" ht="15" customHeight="1" x14ac:dyDescent="0.25">
      <c r="T18302" s="135"/>
      <c r="U18302" s="135"/>
    </row>
    <row r="18303" spans="20:21" ht="15" customHeight="1" x14ac:dyDescent="0.25">
      <c r="T18303" s="135"/>
      <c r="U18303" s="135"/>
    </row>
    <row r="18304" spans="20:21" ht="15" customHeight="1" x14ac:dyDescent="0.25">
      <c r="T18304" s="135"/>
      <c r="U18304" s="135"/>
    </row>
    <row r="18305" spans="20:21" ht="15" customHeight="1" x14ac:dyDescent="0.25">
      <c r="T18305" s="135"/>
      <c r="U18305" s="135"/>
    </row>
    <row r="18306" spans="20:21" ht="15" customHeight="1" x14ac:dyDescent="0.25">
      <c r="T18306" s="135"/>
      <c r="U18306" s="135"/>
    </row>
    <row r="18307" spans="20:21" ht="15" customHeight="1" x14ac:dyDescent="0.25">
      <c r="T18307" s="135"/>
      <c r="U18307" s="135"/>
    </row>
    <row r="18308" spans="20:21" ht="15" customHeight="1" x14ac:dyDescent="0.25">
      <c r="T18308" s="135"/>
      <c r="U18308" s="135"/>
    </row>
    <row r="18309" spans="20:21" ht="15" customHeight="1" x14ac:dyDescent="0.25">
      <c r="T18309" s="135"/>
      <c r="U18309" s="135"/>
    </row>
    <row r="18310" spans="20:21" ht="15" customHeight="1" x14ac:dyDescent="0.25">
      <c r="T18310" s="135"/>
      <c r="U18310" s="135"/>
    </row>
    <row r="18311" spans="20:21" ht="15" customHeight="1" x14ac:dyDescent="0.25">
      <c r="T18311" s="135"/>
      <c r="U18311" s="135"/>
    </row>
    <row r="18312" spans="20:21" ht="15" customHeight="1" x14ac:dyDescent="0.25">
      <c r="T18312" s="135"/>
      <c r="U18312" s="135"/>
    </row>
    <row r="18313" spans="20:21" ht="15" customHeight="1" x14ac:dyDescent="0.25">
      <c r="T18313" s="135"/>
      <c r="U18313" s="135"/>
    </row>
    <row r="18314" spans="20:21" ht="15" customHeight="1" x14ac:dyDescent="0.25">
      <c r="T18314" s="135"/>
      <c r="U18314" s="135"/>
    </row>
    <row r="18315" spans="20:21" ht="15" customHeight="1" x14ac:dyDescent="0.25">
      <c r="T18315" s="135"/>
      <c r="U18315" s="135"/>
    </row>
    <row r="18316" spans="20:21" ht="15" customHeight="1" x14ac:dyDescent="0.25">
      <c r="T18316" s="135"/>
      <c r="U18316" s="135"/>
    </row>
    <row r="18317" spans="20:21" ht="15" customHeight="1" x14ac:dyDescent="0.25">
      <c r="T18317" s="135"/>
      <c r="U18317" s="135"/>
    </row>
    <row r="18318" spans="20:21" ht="15" customHeight="1" x14ac:dyDescent="0.25">
      <c r="T18318" s="135"/>
      <c r="U18318" s="135"/>
    </row>
    <row r="18319" spans="20:21" ht="15" customHeight="1" x14ac:dyDescent="0.25">
      <c r="T18319" s="135"/>
      <c r="U18319" s="135"/>
    </row>
    <row r="18320" spans="20:21" ht="15" customHeight="1" x14ac:dyDescent="0.25">
      <c r="T18320" s="135"/>
      <c r="U18320" s="135"/>
    </row>
    <row r="18321" spans="20:21" ht="15" customHeight="1" x14ac:dyDescent="0.25">
      <c r="T18321" s="135"/>
      <c r="U18321" s="135"/>
    </row>
    <row r="18322" spans="20:21" ht="15" customHeight="1" x14ac:dyDescent="0.25">
      <c r="T18322" s="135"/>
      <c r="U18322" s="135"/>
    </row>
    <row r="18323" spans="20:21" ht="15" customHeight="1" x14ac:dyDescent="0.25">
      <c r="T18323" s="135"/>
      <c r="U18323" s="135"/>
    </row>
    <row r="18324" spans="20:21" ht="15" customHeight="1" x14ac:dyDescent="0.25">
      <c r="T18324" s="135"/>
      <c r="U18324" s="135"/>
    </row>
    <row r="18325" spans="20:21" ht="15" customHeight="1" x14ac:dyDescent="0.25">
      <c r="T18325" s="135"/>
      <c r="U18325" s="135"/>
    </row>
    <row r="18326" spans="20:21" ht="15" customHeight="1" x14ac:dyDescent="0.25">
      <c r="T18326" s="135"/>
      <c r="U18326" s="135"/>
    </row>
    <row r="18327" spans="20:21" ht="15" customHeight="1" x14ac:dyDescent="0.25">
      <c r="T18327" s="135"/>
      <c r="U18327" s="135"/>
    </row>
    <row r="18328" spans="20:21" ht="15" customHeight="1" x14ac:dyDescent="0.25">
      <c r="T18328" s="135"/>
      <c r="U18328" s="135"/>
    </row>
    <row r="18329" spans="20:21" ht="15" customHeight="1" x14ac:dyDescent="0.25">
      <c r="T18329" s="135"/>
      <c r="U18329" s="135"/>
    </row>
    <row r="18330" spans="20:21" ht="15" customHeight="1" x14ac:dyDescent="0.25">
      <c r="T18330" s="135"/>
      <c r="U18330" s="135"/>
    </row>
    <row r="18331" spans="20:21" ht="15" customHeight="1" x14ac:dyDescent="0.25">
      <c r="T18331" s="135"/>
      <c r="U18331" s="135"/>
    </row>
    <row r="18332" spans="20:21" ht="15" customHeight="1" x14ac:dyDescent="0.25">
      <c r="T18332" s="135"/>
      <c r="U18332" s="135"/>
    </row>
    <row r="18333" spans="20:21" ht="15" customHeight="1" x14ac:dyDescent="0.25">
      <c r="T18333" s="135"/>
      <c r="U18333" s="135"/>
    </row>
    <row r="18334" spans="20:21" ht="15" customHeight="1" x14ac:dyDescent="0.25">
      <c r="T18334" s="135"/>
      <c r="U18334" s="135"/>
    </row>
    <row r="18335" spans="20:21" ht="15" customHeight="1" x14ac:dyDescent="0.25">
      <c r="T18335" s="135"/>
      <c r="U18335" s="135"/>
    </row>
    <row r="18336" spans="20:21" ht="15" customHeight="1" x14ac:dyDescent="0.25">
      <c r="T18336" s="135"/>
      <c r="U18336" s="135"/>
    </row>
    <row r="18337" spans="20:21" ht="15" customHeight="1" x14ac:dyDescent="0.25">
      <c r="T18337" s="135"/>
      <c r="U18337" s="135"/>
    </row>
    <row r="18338" spans="20:21" ht="15" customHeight="1" x14ac:dyDescent="0.25">
      <c r="T18338" s="135"/>
      <c r="U18338" s="135"/>
    </row>
    <row r="18339" spans="20:21" ht="15" customHeight="1" x14ac:dyDescent="0.25">
      <c r="T18339" s="135"/>
      <c r="U18339" s="135"/>
    </row>
    <row r="18340" spans="20:21" ht="15" customHeight="1" x14ac:dyDescent="0.25">
      <c r="T18340" s="135"/>
      <c r="U18340" s="135"/>
    </row>
    <row r="18341" spans="20:21" ht="15" customHeight="1" x14ac:dyDescent="0.25">
      <c r="T18341" s="135"/>
      <c r="U18341" s="135"/>
    </row>
    <row r="18342" spans="20:21" ht="15" customHeight="1" x14ac:dyDescent="0.25">
      <c r="T18342" s="135"/>
      <c r="U18342" s="135"/>
    </row>
    <row r="18343" spans="20:21" ht="15" customHeight="1" x14ac:dyDescent="0.25">
      <c r="T18343" s="135"/>
      <c r="U18343" s="135"/>
    </row>
    <row r="18344" spans="20:21" ht="15" customHeight="1" x14ac:dyDescent="0.25">
      <c r="T18344" s="135"/>
      <c r="U18344" s="135"/>
    </row>
    <row r="18345" spans="20:21" ht="15" customHeight="1" x14ac:dyDescent="0.25">
      <c r="T18345" s="135"/>
      <c r="U18345" s="135"/>
    </row>
    <row r="18346" spans="20:21" ht="15" customHeight="1" x14ac:dyDescent="0.25">
      <c r="T18346" s="135"/>
      <c r="U18346" s="135"/>
    </row>
    <row r="18347" spans="20:21" ht="15" customHeight="1" x14ac:dyDescent="0.25">
      <c r="T18347" s="135"/>
      <c r="U18347" s="135"/>
    </row>
    <row r="18348" spans="20:21" ht="15" customHeight="1" x14ac:dyDescent="0.25">
      <c r="T18348" s="135"/>
      <c r="U18348" s="135"/>
    </row>
    <row r="18349" spans="20:21" ht="15" customHeight="1" x14ac:dyDescent="0.25">
      <c r="T18349" s="135"/>
      <c r="U18349" s="135"/>
    </row>
    <row r="18350" spans="20:21" ht="15" customHeight="1" x14ac:dyDescent="0.25">
      <c r="T18350" s="135"/>
      <c r="U18350" s="135"/>
    </row>
    <row r="18351" spans="20:21" ht="15" customHeight="1" x14ac:dyDescent="0.25">
      <c r="T18351" s="135"/>
      <c r="U18351" s="135"/>
    </row>
    <row r="18352" spans="20:21" ht="15" customHeight="1" x14ac:dyDescent="0.25">
      <c r="T18352" s="135"/>
      <c r="U18352" s="135"/>
    </row>
    <row r="18353" spans="20:21" ht="15" customHeight="1" x14ac:dyDescent="0.25">
      <c r="T18353" s="135"/>
      <c r="U18353" s="135"/>
    </row>
    <row r="18354" spans="20:21" ht="15" customHeight="1" x14ac:dyDescent="0.25">
      <c r="T18354" s="135"/>
      <c r="U18354" s="135"/>
    </row>
    <row r="18355" spans="20:21" ht="15" customHeight="1" x14ac:dyDescent="0.25">
      <c r="T18355" s="135"/>
      <c r="U18355" s="135"/>
    </row>
    <row r="18356" spans="20:21" ht="15" customHeight="1" x14ac:dyDescent="0.25">
      <c r="T18356" s="135"/>
      <c r="U18356" s="135"/>
    </row>
    <row r="18357" spans="20:21" ht="15" customHeight="1" x14ac:dyDescent="0.25">
      <c r="T18357" s="135"/>
      <c r="U18357" s="135"/>
    </row>
    <row r="18358" spans="20:21" ht="15" customHeight="1" x14ac:dyDescent="0.25">
      <c r="T18358" s="135"/>
      <c r="U18358" s="135"/>
    </row>
    <row r="18359" spans="20:21" ht="15" customHeight="1" x14ac:dyDescent="0.25">
      <c r="T18359" s="135"/>
      <c r="U18359" s="135"/>
    </row>
    <row r="18360" spans="20:21" ht="15" customHeight="1" x14ac:dyDescent="0.25">
      <c r="T18360" s="135"/>
      <c r="U18360" s="135"/>
    </row>
    <row r="18361" spans="20:21" ht="15" customHeight="1" x14ac:dyDescent="0.25">
      <c r="T18361" s="135"/>
      <c r="U18361" s="135"/>
    </row>
    <row r="18362" spans="20:21" ht="15" customHeight="1" x14ac:dyDescent="0.25">
      <c r="T18362" s="135"/>
      <c r="U18362" s="135"/>
    </row>
    <row r="18363" spans="20:21" ht="15" customHeight="1" x14ac:dyDescent="0.25">
      <c r="T18363" s="135"/>
      <c r="U18363" s="135"/>
    </row>
    <row r="18364" spans="20:21" ht="15" customHeight="1" x14ac:dyDescent="0.25">
      <c r="T18364" s="135"/>
      <c r="U18364" s="135"/>
    </row>
    <row r="18365" spans="20:21" ht="15" customHeight="1" x14ac:dyDescent="0.25">
      <c r="T18365" s="135"/>
      <c r="U18365" s="135"/>
    </row>
    <row r="18366" spans="20:21" ht="15" customHeight="1" x14ac:dyDescent="0.25">
      <c r="T18366" s="135"/>
      <c r="U18366" s="135"/>
    </row>
    <row r="18367" spans="20:21" ht="15" customHeight="1" x14ac:dyDescent="0.25">
      <c r="T18367" s="135"/>
      <c r="U18367" s="135"/>
    </row>
    <row r="18368" spans="20:21" ht="15" customHeight="1" x14ac:dyDescent="0.25">
      <c r="T18368" s="135"/>
      <c r="U18368" s="135"/>
    </row>
    <row r="18369" spans="20:21" ht="15" customHeight="1" x14ac:dyDescent="0.25">
      <c r="T18369" s="135"/>
      <c r="U18369" s="135"/>
    </row>
    <row r="18370" spans="20:21" ht="15" customHeight="1" x14ac:dyDescent="0.25">
      <c r="T18370" s="135"/>
      <c r="U18370" s="135"/>
    </row>
    <row r="18371" spans="20:21" ht="15" customHeight="1" x14ac:dyDescent="0.25">
      <c r="T18371" s="135"/>
      <c r="U18371" s="135"/>
    </row>
    <row r="18372" spans="20:21" ht="15" customHeight="1" x14ac:dyDescent="0.25">
      <c r="T18372" s="135"/>
      <c r="U18372" s="135"/>
    </row>
    <row r="18373" spans="20:21" ht="15" customHeight="1" x14ac:dyDescent="0.25">
      <c r="T18373" s="135"/>
      <c r="U18373" s="135"/>
    </row>
    <row r="18374" spans="20:21" ht="15" customHeight="1" x14ac:dyDescent="0.25">
      <c r="T18374" s="135"/>
      <c r="U18374" s="135"/>
    </row>
    <row r="18375" spans="20:21" ht="15" customHeight="1" x14ac:dyDescent="0.25">
      <c r="T18375" s="135"/>
      <c r="U18375" s="135"/>
    </row>
    <row r="18376" spans="20:21" ht="15" customHeight="1" x14ac:dyDescent="0.25">
      <c r="T18376" s="135"/>
      <c r="U18376" s="135"/>
    </row>
    <row r="18377" spans="20:21" ht="15" customHeight="1" x14ac:dyDescent="0.25">
      <c r="T18377" s="135"/>
      <c r="U18377" s="135"/>
    </row>
    <row r="18378" spans="20:21" ht="15" customHeight="1" x14ac:dyDescent="0.25">
      <c r="T18378" s="135"/>
      <c r="U18378" s="135"/>
    </row>
    <row r="18379" spans="20:21" ht="15" customHeight="1" x14ac:dyDescent="0.25">
      <c r="T18379" s="135"/>
      <c r="U18379" s="135"/>
    </row>
    <row r="18380" spans="20:21" ht="15" customHeight="1" x14ac:dyDescent="0.25">
      <c r="T18380" s="135"/>
      <c r="U18380" s="135"/>
    </row>
    <row r="18381" spans="20:21" ht="15" customHeight="1" x14ac:dyDescent="0.25">
      <c r="T18381" s="135"/>
      <c r="U18381" s="135"/>
    </row>
    <row r="18382" spans="20:21" ht="15" customHeight="1" x14ac:dyDescent="0.25">
      <c r="T18382" s="135"/>
      <c r="U18382" s="135"/>
    </row>
    <row r="18383" spans="20:21" ht="15" customHeight="1" x14ac:dyDescent="0.25">
      <c r="T18383" s="135"/>
      <c r="U18383" s="135"/>
    </row>
    <row r="18384" spans="20:21" ht="15" customHeight="1" x14ac:dyDescent="0.25">
      <c r="T18384" s="135"/>
      <c r="U18384" s="135"/>
    </row>
    <row r="18385" spans="20:21" ht="15" customHeight="1" x14ac:dyDescent="0.25">
      <c r="T18385" s="135"/>
      <c r="U18385" s="135"/>
    </row>
    <row r="18386" spans="20:21" ht="15" customHeight="1" x14ac:dyDescent="0.25">
      <c r="T18386" s="135"/>
      <c r="U18386" s="135"/>
    </row>
    <row r="18387" spans="20:21" ht="15" customHeight="1" x14ac:dyDescent="0.25">
      <c r="T18387" s="135"/>
      <c r="U18387" s="135"/>
    </row>
    <row r="18388" spans="20:21" ht="15" customHeight="1" x14ac:dyDescent="0.25">
      <c r="T18388" s="135"/>
      <c r="U18388" s="135"/>
    </row>
    <row r="18389" spans="20:21" ht="15" customHeight="1" x14ac:dyDescent="0.25">
      <c r="T18389" s="135"/>
      <c r="U18389" s="135"/>
    </row>
    <row r="18390" spans="20:21" ht="15" customHeight="1" x14ac:dyDescent="0.25">
      <c r="T18390" s="135"/>
      <c r="U18390" s="135"/>
    </row>
    <row r="18391" spans="20:21" ht="15" customHeight="1" x14ac:dyDescent="0.25">
      <c r="T18391" s="135"/>
      <c r="U18391" s="135"/>
    </row>
    <row r="18392" spans="20:21" ht="15" customHeight="1" x14ac:dyDescent="0.25">
      <c r="T18392" s="135"/>
      <c r="U18392" s="135"/>
    </row>
    <row r="18393" spans="20:21" ht="15" customHeight="1" x14ac:dyDescent="0.25">
      <c r="T18393" s="135"/>
      <c r="U18393" s="135"/>
    </row>
    <row r="18394" spans="20:21" ht="15" customHeight="1" x14ac:dyDescent="0.25">
      <c r="T18394" s="135"/>
      <c r="U18394" s="135"/>
    </row>
    <row r="18395" spans="20:21" ht="15" customHeight="1" x14ac:dyDescent="0.25">
      <c r="T18395" s="135"/>
      <c r="U18395" s="135"/>
    </row>
    <row r="18396" spans="20:21" ht="15" customHeight="1" x14ac:dyDescent="0.25">
      <c r="T18396" s="135"/>
      <c r="U18396" s="135"/>
    </row>
    <row r="18397" spans="20:21" ht="15" customHeight="1" x14ac:dyDescent="0.25">
      <c r="T18397" s="135"/>
      <c r="U18397" s="135"/>
    </row>
    <row r="18398" spans="20:21" ht="15" customHeight="1" x14ac:dyDescent="0.25">
      <c r="T18398" s="135"/>
      <c r="U18398" s="135"/>
    </row>
    <row r="18399" spans="20:21" ht="15" customHeight="1" x14ac:dyDescent="0.25">
      <c r="T18399" s="135"/>
      <c r="U18399" s="135"/>
    </row>
    <row r="18400" spans="20:21" ht="15" customHeight="1" x14ac:dyDescent="0.25">
      <c r="T18400" s="135"/>
      <c r="U18400" s="135"/>
    </row>
    <row r="18401" spans="20:21" ht="15" customHeight="1" x14ac:dyDescent="0.25">
      <c r="T18401" s="135"/>
      <c r="U18401" s="135"/>
    </row>
    <row r="18402" spans="20:21" ht="15" customHeight="1" x14ac:dyDescent="0.25">
      <c r="T18402" s="135"/>
      <c r="U18402" s="135"/>
    </row>
    <row r="18403" spans="20:21" ht="15" customHeight="1" x14ac:dyDescent="0.25">
      <c r="T18403" s="135"/>
      <c r="U18403" s="135"/>
    </row>
    <row r="18404" spans="20:21" ht="15" customHeight="1" x14ac:dyDescent="0.25">
      <c r="T18404" s="135"/>
      <c r="U18404" s="135"/>
    </row>
    <row r="18405" spans="20:21" ht="15" customHeight="1" x14ac:dyDescent="0.25">
      <c r="T18405" s="135"/>
      <c r="U18405" s="135"/>
    </row>
    <row r="18406" spans="20:21" ht="15" customHeight="1" x14ac:dyDescent="0.25">
      <c r="T18406" s="135"/>
      <c r="U18406" s="135"/>
    </row>
    <row r="18407" spans="20:21" ht="15" customHeight="1" x14ac:dyDescent="0.25">
      <c r="T18407" s="135"/>
      <c r="U18407" s="135"/>
    </row>
    <row r="18408" spans="20:21" ht="15" customHeight="1" x14ac:dyDescent="0.25">
      <c r="T18408" s="135"/>
      <c r="U18408" s="135"/>
    </row>
    <row r="18409" spans="20:21" ht="15" customHeight="1" x14ac:dyDescent="0.25">
      <c r="T18409" s="135"/>
      <c r="U18409" s="135"/>
    </row>
    <row r="18410" spans="20:21" ht="15" customHeight="1" x14ac:dyDescent="0.25">
      <c r="T18410" s="135"/>
      <c r="U18410" s="135"/>
    </row>
    <row r="18411" spans="20:21" ht="15" customHeight="1" x14ac:dyDescent="0.25">
      <c r="T18411" s="135"/>
      <c r="U18411" s="135"/>
    </row>
    <row r="18412" spans="20:21" ht="15" customHeight="1" x14ac:dyDescent="0.25">
      <c r="T18412" s="135"/>
      <c r="U18412" s="135"/>
    </row>
    <row r="18413" spans="20:21" ht="15" customHeight="1" x14ac:dyDescent="0.25">
      <c r="T18413" s="135"/>
      <c r="U18413" s="135"/>
    </row>
    <row r="18414" spans="20:21" ht="15" customHeight="1" x14ac:dyDescent="0.25">
      <c r="T18414" s="135"/>
      <c r="U18414" s="135"/>
    </row>
    <row r="18415" spans="20:21" ht="15" customHeight="1" x14ac:dyDescent="0.25">
      <c r="T18415" s="135"/>
      <c r="U18415" s="135"/>
    </row>
    <row r="18416" spans="20:21" ht="15" customHeight="1" x14ac:dyDescent="0.25">
      <c r="T18416" s="135"/>
      <c r="U18416" s="135"/>
    </row>
    <row r="18417" spans="20:21" ht="15" customHeight="1" x14ac:dyDescent="0.25">
      <c r="T18417" s="135"/>
      <c r="U18417" s="135"/>
    </row>
    <row r="18418" spans="20:21" ht="15" customHeight="1" x14ac:dyDescent="0.25">
      <c r="T18418" s="135"/>
      <c r="U18418" s="135"/>
    </row>
    <row r="18419" spans="20:21" ht="15" customHeight="1" x14ac:dyDescent="0.25">
      <c r="T18419" s="135"/>
      <c r="U18419" s="135"/>
    </row>
    <row r="18420" spans="20:21" ht="15" customHeight="1" x14ac:dyDescent="0.25">
      <c r="T18420" s="135"/>
      <c r="U18420" s="135"/>
    </row>
    <row r="18421" spans="20:21" ht="15" customHeight="1" x14ac:dyDescent="0.25">
      <c r="T18421" s="135"/>
      <c r="U18421" s="135"/>
    </row>
    <row r="18422" spans="20:21" ht="15" customHeight="1" x14ac:dyDescent="0.25">
      <c r="T18422" s="135"/>
      <c r="U18422" s="135"/>
    </row>
    <row r="18423" spans="20:21" ht="15" customHeight="1" x14ac:dyDescent="0.25">
      <c r="T18423" s="135"/>
      <c r="U18423" s="135"/>
    </row>
    <row r="18424" spans="20:21" ht="15" customHeight="1" x14ac:dyDescent="0.25">
      <c r="T18424" s="135"/>
      <c r="U18424" s="135"/>
    </row>
    <row r="18425" spans="20:21" ht="15" customHeight="1" x14ac:dyDescent="0.25">
      <c r="T18425" s="135"/>
      <c r="U18425" s="135"/>
    </row>
    <row r="18426" spans="20:21" ht="15" customHeight="1" x14ac:dyDescent="0.25">
      <c r="T18426" s="135"/>
      <c r="U18426" s="135"/>
    </row>
    <row r="18427" spans="20:21" ht="15" customHeight="1" x14ac:dyDescent="0.25">
      <c r="T18427" s="135"/>
      <c r="U18427" s="135"/>
    </row>
    <row r="18428" spans="20:21" ht="15" customHeight="1" x14ac:dyDescent="0.25">
      <c r="T18428" s="135"/>
      <c r="U18428" s="135"/>
    </row>
    <row r="18429" spans="20:21" ht="15" customHeight="1" x14ac:dyDescent="0.25">
      <c r="T18429" s="135"/>
      <c r="U18429" s="135"/>
    </row>
    <row r="18430" spans="20:21" ht="15" customHeight="1" x14ac:dyDescent="0.25">
      <c r="T18430" s="135"/>
      <c r="U18430" s="135"/>
    </row>
    <row r="18431" spans="20:21" ht="15" customHeight="1" x14ac:dyDescent="0.25">
      <c r="T18431" s="135"/>
      <c r="U18431" s="135"/>
    </row>
    <row r="18432" spans="20:21" ht="15" customHeight="1" x14ac:dyDescent="0.25">
      <c r="T18432" s="135"/>
      <c r="U18432" s="135"/>
    </row>
    <row r="18433" spans="20:21" ht="15" customHeight="1" x14ac:dyDescent="0.25">
      <c r="T18433" s="135"/>
      <c r="U18433" s="135"/>
    </row>
    <row r="18434" spans="20:21" ht="15" customHeight="1" x14ac:dyDescent="0.25">
      <c r="T18434" s="135"/>
      <c r="U18434" s="135"/>
    </row>
    <row r="18435" spans="20:21" ht="15" customHeight="1" x14ac:dyDescent="0.25">
      <c r="T18435" s="135"/>
      <c r="U18435" s="135"/>
    </row>
    <row r="18436" spans="20:21" ht="15" customHeight="1" x14ac:dyDescent="0.25">
      <c r="T18436" s="135"/>
      <c r="U18436" s="135"/>
    </row>
    <row r="18437" spans="20:21" ht="15" customHeight="1" x14ac:dyDescent="0.25">
      <c r="T18437" s="135"/>
      <c r="U18437" s="135"/>
    </row>
    <row r="18438" spans="20:21" ht="15" customHeight="1" x14ac:dyDescent="0.25">
      <c r="T18438" s="135"/>
      <c r="U18438" s="135"/>
    </row>
    <row r="18439" spans="20:21" ht="15" customHeight="1" x14ac:dyDescent="0.25">
      <c r="T18439" s="135"/>
      <c r="U18439" s="135"/>
    </row>
    <row r="18440" spans="20:21" ht="15" customHeight="1" x14ac:dyDescent="0.25">
      <c r="T18440" s="135"/>
      <c r="U18440" s="135"/>
    </row>
    <row r="18441" spans="20:21" ht="15" customHeight="1" x14ac:dyDescent="0.25">
      <c r="T18441" s="135"/>
      <c r="U18441" s="135"/>
    </row>
    <row r="18442" spans="20:21" ht="15" customHeight="1" x14ac:dyDescent="0.25">
      <c r="T18442" s="135"/>
      <c r="U18442" s="135"/>
    </row>
    <row r="18443" spans="20:21" ht="15" customHeight="1" x14ac:dyDescent="0.25">
      <c r="T18443" s="135"/>
      <c r="U18443" s="135"/>
    </row>
    <row r="18444" spans="20:21" ht="15" customHeight="1" x14ac:dyDescent="0.25">
      <c r="T18444" s="135"/>
      <c r="U18444" s="135"/>
    </row>
    <row r="18445" spans="20:21" ht="15" customHeight="1" x14ac:dyDescent="0.25">
      <c r="T18445" s="135"/>
      <c r="U18445" s="135"/>
    </row>
    <row r="18446" spans="20:21" ht="15" customHeight="1" x14ac:dyDescent="0.25">
      <c r="T18446" s="135"/>
      <c r="U18446" s="135"/>
    </row>
    <row r="18447" spans="20:21" ht="15" customHeight="1" x14ac:dyDescent="0.25">
      <c r="T18447" s="135"/>
      <c r="U18447" s="135"/>
    </row>
    <row r="18448" spans="20:21" ht="15" customHeight="1" x14ac:dyDescent="0.25">
      <c r="T18448" s="135"/>
      <c r="U18448" s="135"/>
    </row>
    <row r="18449" spans="20:21" ht="15" customHeight="1" x14ac:dyDescent="0.25">
      <c r="T18449" s="135"/>
      <c r="U18449" s="135"/>
    </row>
    <row r="18450" spans="20:21" ht="15" customHeight="1" x14ac:dyDescent="0.25">
      <c r="T18450" s="135"/>
      <c r="U18450" s="135"/>
    </row>
    <row r="18451" spans="20:21" ht="15" customHeight="1" x14ac:dyDescent="0.25">
      <c r="T18451" s="135"/>
      <c r="U18451" s="135"/>
    </row>
    <row r="18452" spans="20:21" ht="15" customHeight="1" x14ac:dyDescent="0.25">
      <c r="T18452" s="135"/>
      <c r="U18452" s="135"/>
    </row>
    <row r="18453" spans="20:21" ht="15" customHeight="1" x14ac:dyDescent="0.25">
      <c r="T18453" s="135"/>
      <c r="U18453" s="135"/>
    </row>
    <row r="18454" spans="20:21" ht="15" customHeight="1" x14ac:dyDescent="0.25">
      <c r="T18454" s="135"/>
      <c r="U18454" s="135"/>
    </row>
    <row r="18455" spans="20:21" ht="15" customHeight="1" x14ac:dyDescent="0.25">
      <c r="T18455" s="135"/>
      <c r="U18455" s="135"/>
    </row>
    <row r="18456" spans="20:21" ht="15" customHeight="1" x14ac:dyDescent="0.25">
      <c r="T18456" s="135"/>
      <c r="U18456" s="135"/>
    </row>
    <row r="18457" spans="20:21" ht="15" customHeight="1" x14ac:dyDescent="0.25">
      <c r="T18457" s="135"/>
      <c r="U18457" s="135"/>
    </row>
    <row r="18458" spans="20:21" ht="15" customHeight="1" x14ac:dyDescent="0.25">
      <c r="T18458" s="135"/>
      <c r="U18458" s="135"/>
    </row>
    <row r="18459" spans="20:21" ht="15" customHeight="1" x14ac:dyDescent="0.25">
      <c r="T18459" s="135"/>
      <c r="U18459" s="135"/>
    </row>
    <row r="18460" spans="20:21" ht="15" customHeight="1" x14ac:dyDescent="0.25">
      <c r="T18460" s="135"/>
      <c r="U18460" s="135"/>
    </row>
    <row r="18461" spans="20:21" ht="15" customHeight="1" x14ac:dyDescent="0.25">
      <c r="T18461" s="135"/>
      <c r="U18461" s="135"/>
    </row>
    <row r="18462" spans="20:21" ht="15" customHeight="1" x14ac:dyDescent="0.25">
      <c r="T18462" s="135"/>
      <c r="U18462" s="135"/>
    </row>
    <row r="18463" spans="20:21" ht="15" customHeight="1" x14ac:dyDescent="0.25">
      <c r="T18463" s="135"/>
      <c r="U18463" s="135"/>
    </row>
    <row r="18464" spans="20:21" ht="15" customHeight="1" x14ac:dyDescent="0.25">
      <c r="T18464" s="135"/>
      <c r="U18464" s="135"/>
    </row>
    <row r="18465" spans="20:21" ht="15" customHeight="1" x14ac:dyDescent="0.25">
      <c r="T18465" s="135"/>
      <c r="U18465" s="135"/>
    </row>
    <row r="18466" spans="20:21" ht="15" customHeight="1" x14ac:dyDescent="0.25">
      <c r="T18466" s="135"/>
      <c r="U18466" s="135"/>
    </row>
    <row r="18467" spans="20:21" ht="15" customHeight="1" x14ac:dyDescent="0.25">
      <c r="T18467" s="135"/>
      <c r="U18467" s="135"/>
    </row>
    <row r="18468" spans="20:21" ht="15" customHeight="1" x14ac:dyDescent="0.25">
      <c r="T18468" s="135"/>
      <c r="U18468" s="135"/>
    </row>
    <row r="18469" spans="20:21" ht="15" customHeight="1" x14ac:dyDescent="0.25">
      <c r="T18469" s="135"/>
      <c r="U18469" s="135"/>
    </row>
    <row r="18470" spans="20:21" ht="15" customHeight="1" x14ac:dyDescent="0.25">
      <c r="T18470" s="135"/>
      <c r="U18470" s="135"/>
    </row>
    <row r="18471" spans="20:21" ht="15" customHeight="1" x14ac:dyDescent="0.25">
      <c r="T18471" s="135"/>
      <c r="U18471" s="135"/>
    </row>
    <row r="18472" spans="20:21" ht="15" customHeight="1" x14ac:dyDescent="0.25">
      <c r="T18472" s="135"/>
      <c r="U18472" s="135"/>
    </row>
    <row r="18473" spans="20:21" ht="15" customHeight="1" x14ac:dyDescent="0.25">
      <c r="T18473" s="135"/>
      <c r="U18473" s="135"/>
    </row>
    <row r="18474" spans="20:21" ht="15" customHeight="1" x14ac:dyDescent="0.25">
      <c r="T18474" s="135"/>
      <c r="U18474" s="135"/>
    </row>
    <row r="18475" spans="20:21" ht="15" customHeight="1" x14ac:dyDescent="0.25">
      <c r="T18475" s="135"/>
      <c r="U18475" s="135"/>
    </row>
    <row r="18476" spans="20:21" ht="15" customHeight="1" x14ac:dyDescent="0.25">
      <c r="T18476" s="135"/>
      <c r="U18476" s="135"/>
    </row>
    <row r="18477" spans="20:21" ht="15" customHeight="1" x14ac:dyDescent="0.25">
      <c r="T18477" s="135"/>
      <c r="U18477" s="135"/>
    </row>
    <row r="18478" spans="20:21" ht="15" customHeight="1" x14ac:dyDescent="0.25">
      <c r="T18478" s="135"/>
      <c r="U18478" s="135"/>
    </row>
    <row r="18479" spans="20:21" ht="15" customHeight="1" x14ac:dyDescent="0.25">
      <c r="T18479" s="135"/>
      <c r="U18479" s="135"/>
    </row>
    <row r="18480" spans="20:21" ht="15" customHeight="1" x14ac:dyDescent="0.25">
      <c r="T18480" s="135"/>
      <c r="U18480" s="135"/>
    </row>
    <row r="18481" spans="20:21" ht="15" customHeight="1" x14ac:dyDescent="0.25">
      <c r="T18481" s="135"/>
      <c r="U18481" s="135"/>
    </row>
    <row r="18482" spans="20:21" ht="15" customHeight="1" x14ac:dyDescent="0.25">
      <c r="T18482" s="135"/>
      <c r="U18482" s="135"/>
    </row>
    <row r="18483" spans="20:21" ht="15" customHeight="1" x14ac:dyDescent="0.25">
      <c r="T18483" s="135"/>
      <c r="U18483" s="135"/>
    </row>
    <row r="18484" spans="20:21" ht="15" customHeight="1" x14ac:dyDescent="0.25">
      <c r="T18484" s="135"/>
      <c r="U18484" s="135"/>
    </row>
    <row r="18485" spans="20:21" ht="15" customHeight="1" x14ac:dyDescent="0.25">
      <c r="T18485" s="135"/>
      <c r="U18485" s="135"/>
    </row>
    <row r="18486" spans="20:21" ht="15" customHeight="1" x14ac:dyDescent="0.25">
      <c r="T18486" s="135"/>
      <c r="U18486" s="135"/>
    </row>
    <row r="18487" spans="20:21" ht="15" customHeight="1" x14ac:dyDescent="0.25">
      <c r="T18487" s="135"/>
      <c r="U18487" s="135"/>
    </row>
    <row r="18488" spans="20:21" ht="15" customHeight="1" x14ac:dyDescent="0.25">
      <c r="T18488" s="135"/>
      <c r="U18488" s="135"/>
    </row>
    <row r="18489" spans="20:21" ht="15" customHeight="1" x14ac:dyDescent="0.25">
      <c r="T18489" s="135"/>
      <c r="U18489" s="135"/>
    </row>
    <row r="18490" spans="20:21" ht="15" customHeight="1" x14ac:dyDescent="0.25">
      <c r="T18490" s="135"/>
      <c r="U18490" s="135"/>
    </row>
    <row r="18491" spans="20:21" ht="15" customHeight="1" x14ac:dyDescent="0.25">
      <c r="T18491" s="135"/>
      <c r="U18491" s="135"/>
    </row>
    <row r="18492" spans="20:21" ht="15" customHeight="1" x14ac:dyDescent="0.25">
      <c r="T18492" s="135"/>
      <c r="U18492" s="135"/>
    </row>
    <row r="18493" spans="20:21" ht="15" customHeight="1" x14ac:dyDescent="0.25">
      <c r="T18493" s="135"/>
      <c r="U18493" s="135"/>
    </row>
    <row r="18494" spans="20:21" ht="15" customHeight="1" x14ac:dyDescent="0.25">
      <c r="T18494" s="135"/>
      <c r="U18494" s="135"/>
    </row>
    <row r="18495" spans="20:21" ht="15" customHeight="1" x14ac:dyDescent="0.25">
      <c r="T18495" s="135"/>
      <c r="U18495" s="135"/>
    </row>
    <row r="18496" spans="20:21" ht="15" customHeight="1" x14ac:dyDescent="0.25">
      <c r="T18496" s="135"/>
      <c r="U18496" s="135"/>
    </row>
    <row r="18497" spans="20:21" ht="15" customHeight="1" x14ac:dyDescent="0.25">
      <c r="T18497" s="135"/>
      <c r="U18497" s="135"/>
    </row>
    <row r="18498" spans="20:21" ht="15" customHeight="1" x14ac:dyDescent="0.25">
      <c r="T18498" s="135"/>
      <c r="U18498" s="135"/>
    </row>
    <row r="18499" spans="20:21" ht="15" customHeight="1" x14ac:dyDescent="0.25">
      <c r="T18499" s="135"/>
      <c r="U18499" s="135"/>
    </row>
    <row r="18500" spans="20:21" ht="15" customHeight="1" x14ac:dyDescent="0.25">
      <c r="T18500" s="135"/>
      <c r="U18500" s="135"/>
    </row>
    <row r="18501" spans="20:21" ht="15" customHeight="1" x14ac:dyDescent="0.25">
      <c r="T18501" s="135"/>
      <c r="U18501" s="135"/>
    </row>
    <row r="18502" spans="20:21" ht="15" customHeight="1" x14ac:dyDescent="0.25">
      <c r="T18502" s="135"/>
      <c r="U18502" s="135"/>
    </row>
    <row r="18503" spans="20:21" ht="15" customHeight="1" x14ac:dyDescent="0.25">
      <c r="T18503" s="135"/>
      <c r="U18503" s="135"/>
    </row>
    <row r="18504" spans="20:21" ht="15" customHeight="1" x14ac:dyDescent="0.25">
      <c r="T18504" s="135"/>
      <c r="U18504" s="135"/>
    </row>
    <row r="18505" spans="20:21" ht="15" customHeight="1" x14ac:dyDescent="0.25">
      <c r="T18505" s="135"/>
      <c r="U18505" s="135"/>
    </row>
    <row r="18506" spans="20:21" ht="15" customHeight="1" x14ac:dyDescent="0.25">
      <c r="T18506" s="135"/>
      <c r="U18506" s="135"/>
    </row>
    <row r="18507" spans="20:21" ht="15" customHeight="1" x14ac:dyDescent="0.25">
      <c r="T18507" s="135"/>
      <c r="U18507" s="135"/>
    </row>
    <row r="18508" spans="20:21" ht="15" customHeight="1" x14ac:dyDescent="0.25">
      <c r="T18508" s="135"/>
      <c r="U18508" s="135"/>
    </row>
    <row r="18509" spans="20:21" ht="15" customHeight="1" x14ac:dyDescent="0.25">
      <c r="T18509" s="135"/>
      <c r="U18509" s="135"/>
    </row>
    <row r="18510" spans="20:21" ht="15" customHeight="1" x14ac:dyDescent="0.25">
      <c r="T18510" s="135"/>
      <c r="U18510" s="135"/>
    </row>
    <row r="18511" spans="20:21" ht="15" customHeight="1" x14ac:dyDescent="0.25">
      <c r="T18511" s="135"/>
      <c r="U18511" s="135"/>
    </row>
    <row r="18512" spans="20:21" ht="15" customHeight="1" x14ac:dyDescent="0.25">
      <c r="T18512" s="135"/>
      <c r="U18512" s="135"/>
    </row>
    <row r="18513" spans="20:21" ht="15" customHeight="1" x14ac:dyDescent="0.25">
      <c r="T18513" s="135"/>
      <c r="U18513" s="135"/>
    </row>
    <row r="18514" spans="20:21" ht="15" customHeight="1" x14ac:dyDescent="0.25">
      <c r="T18514" s="135"/>
      <c r="U18514" s="135"/>
    </row>
    <row r="18515" spans="20:21" ht="15" customHeight="1" x14ac:dyDescent="0.25">
      <c r="T18515" s="135"/>
      <c r="U18515" s="135"/>
    </row>
    <row r="18516" spans="20:21" ht="15" customHeight="1" x14ac:dyDescent="0.25">
      <c r="T18516" s="135"/>
      <c r="U18516" s="135"/>
    </row>
    <row r="18517" spans="20:21" ht="15" customHeight="1" x14ac:dyDescent="0.25">
      <c r="T18517" s="135"/>
      <c r="U18517" s="135"/>
    </row>
    <row r="18518" spans="20:21" ht="15" customHeight="1" x14ac:dyDescent="0.25">
      <c r="T18518" s="135"/>
      <c r="U18518" s="135"/>
    </row>
    <row r="18519" spans="20:21" ht="15" customHeight="1" x14ac:dyDescent="0.25">
      <c r="T18519" s="135"/>
      <c r="U18519" s="135"/>
    </row>
    <row r="18520" spans="20:21" ht="15" customHeight="1" x14ac:dyDescent="0.25">
      <c r="T18520" s="135"/>
      <c r="U18520" s="135"/>
    </row>
    <row r="18521" spans="20:21" ht="15" customHeight="1" x14ac:dyDescent="0.25">
      <c r="T18521" s="135"/>
      <c r="U18521" s="135"/>
    </row>
    <row r="18522" spans="20:21" ht="15" customHeight="1" x14ac:dyDescent="0.25">
      <c r="T18522" s="135"/>
      <c r="U18522" s="135"/>
    </row>
    <row r="18523" spans="20:21" ht="15" customHeight="1" x14ac:dyDescent="0.25">
      <c r="T18523" s="135"/>
      <c r="U18523" s="135"/>
    </row>
    <row r="18524" spans="20:21" ht="15" customHeight="1" x14ac:dyDescent="0.25">
      <c r="T18524" s="135"/>
      <c r="U18524" s="135"/>
    </row>
    <row r="18525" spans="20:21" ht="15" customHeight="1" x14ac:dyDescent="0.25">
      <c r="T18525" s="135"/>
      <c r="U18525" s="135"/>
    </row>
    <row r="18526" spans="20:21" ht="15" customHeight="1" x14ac:dyDescent="0.25">
      <c r="T18526" s="135"/>
      <c r="U18526" s="135"/>
    </row>
    <row r="18527" spans="20:21" ht="15" customHeight="1" x14ac:dyDescent="0.25">
      <c r="T18527" s="135"/>
      <c r="U18527" s="135"/>
    </row>
    <row r="18528" spans="20:21" ht="15" customHeight="1" x14ac:dyDescent="0.25">
      <c r="T18528" s="135"/>
      <c r="U18528" s="135"/>
    </row>
    <row r="18529" spans="20:21" ht="15" customHeight="1" x14ac:dyDescent="0.25">
      <c r="T18529" s="135"/>
      <c r="U18529" s="135"/>
    </row>
    <row r="18530" spans="20:21" ht="15" customHeight="1" x14ac:dyDescent="0.25">
      <c r="T18530" s="135"/>
      <c r="U18530" s="135"/>
    </row>
    <row r="18531" spans="20:21" ht="15" customHeight="1" x14ac:dyDescent="0.25">
      <c r="T18531" s="135"/>
      <c r="U18531" s="135"/>
    </row>
    <row r="18532" spans="20:21" ht="15" customHeight="1" x14ac:dyDescent="0.25">
      <c r="T18532" s="135"/>
      <c r="U18532" s="135"/>
    </row>
    <row r="18533" spans="20:21" ht="15" customHeight="1" x14ac:dyDescent="0.25">
      <c r="T18533" s="135"/>
      <c r="U18533" s="135"/>
    </row>
    <row r="18534" spans="20:21" ht="15" customHeight="1" x14ac:dyDescent="0.25">
      <c r="T18534" s="135"/>
      <c r="U18534" s="135"/>
    </row>
    <row r="18535" spans="20:21" ht="15" customHeight="1" x14ac:dyDescent="0.25">
      <c r="T18535" s="135"/>
      <c r="U18535" s="135"/>
    </row>
    <row r="18536" spans="20:21" ht="15" customHeight="1" x14ac:dyDescent="0.25">
      <c r="T18536" s="135"/>
      <c r="U18536" s="135"/>
    </row>
    <row r="18537" spans="20:21" ht="15" customHeight="1" x14ac:dyDescent="0.25">
      <c r="T18537" s="135"/>
      <c r="U18537" s="135"/>
    </row>
    <row r="18538" spans="20:21" ht="15" customHeight="1" x14ac:dyDescent="0.25">
      <c r="T18538" s="135"/>
      <c r="U18538" s="135"/>
    </row>
    <row r="18539" spans="20:21" ht="15" customHeight="1" x14ac:dyDescent="0.25">
      <c r="T18539" s="135"/>
      <c r="U18539" s="135"/>
    </row>
    <row r="18540" spans="20:21" ht="15" customHeight="1" x14ac:dyDescent="0.25">
      <c r="T18540" s="135"/>
      <c r="U18540" s="135"/>
    </row>
    <row r="18541" spans="20:21" ht="15" customHeight="1" x14ac:dyDescent="0.25">
      <c r="T18541" s="135"/>
      <c r="U18541" s="135"/>
    </row>
    <row r="18542" spans="20:21" ht="15" customHeight="1" x14ac:dyDescent="0.25">
      <c r="T18542" s="135"/>
      <c r="U18542" s="135"/>
    </row>
    <row r="18543" spans="20:21" ht="15" customHeight="1" x14ac:dyDescent="0.25">
      <c r="T18543" s="135"/>
      <c r="U18543" s="135"/>
    </row>
    <row r="18544" spans="20:21" ht="15" customHeight="1" x14ac:dyDescent="0.25">
      <c r="T18544" s="135"/>
      <c r="U18544" s="135"/>
    </row>
    <row r="18545" spans="20:21" ht="15" customHeight="1" x14ac:dyDescent="0.25">
      <c r="T18545" s="135"/>
      <c r="U18545" s="135"/>
    </row>
    <row r="18546" spans="20:21" ht="15" customHeight="1" x14ac:dyDescent="0.25">
      <c r="T18546" s="135"/>
      <c r="U18546" s="135"/>
    </row>
    <row r="18547" spans="20:21" ht="15" customHeight="1" x14ac:dyDescent="0.25">
      <c r="T18547" s="135"/>
      <c r="U18547" s="135"/>
    </row>
    <row r="18548" spans="20:21" ht="15" customHeight="1" x14ac:dyDescent="0.25">
      <c r="T18548" s="135"/>
      <c r="U18548" s="135"/>
    </row>
    <row r="18549" spans="20:21" ht="15" customHeight="1" x14ac:dyDescent="0.25">
      <c r="T18549" s="135"/>
      <c r="U18549" s="135"/>
    </row>
    <row r="18550" spans="20:21" ht="15" customHeight="1" x14ac:dyDescent="0.25">
      <c r="T18550" s="135"/>
      <c r="U18550" s="135"/>
    </row>
    <row r="18551" spans="20:21" ht="15" customHeight="1" x14ac:dyDescent="0.25">
      <c r="T18551" s="135"/>
      <c r="U18551" s="135"/>
    </row>
    <row r="18552" spans="20:21" ht="15" customHeight="1" x14ac:dyDescent="0.25">
      <c r="T18552" s="135"/>
      <c r="U18552" s="135"/>
    </row>
    <row r="18553" spans="20:21" ht="15" customHeight="1" x14ac:dyDescent="0.25">
      <c r="T18553" s="135"/>
      <c r="U18553" s="135"/>
    </row>
    <row r="18554" spans="20:21" ht="15" customHeight="1" x14ac:dyDescent="0.25">
      <c r="T18554" s="135"/>
      <c r="U18554" s="135"/>
    </row>
    <row r="18555" spans="20:21" ht="15" customHeight="1" x14ac:dyDescent="0.25">
      <c r="T18555" s="135"/>
      <c r="U18555" s="135"/>
    </row>
    <row r="18556" spans="20:21" ht="15" customHeight="1" x14ac:dyDescent="0.25">
      <c r="T18556" s="135"/>
      <c r="U18556" s="135"/>
    </row>
    <row r="18557" spans="20:21" ht="15" customHeight="1" x14ac:dyDescent="0.25">
      <c r="T18557" s="135"/>
      <c r="U18557" s="135"/>
    </row>
    <row r="18558" spans="20:21" ht="15" customHeight="1" x14ac:dyDescent="0.25">
      <c r="T18558" s="135"/>
      <c r="U18558" s="135"/>
    </row>
    <row r="18559" spans="20:21" ht="15" customHeight="1" x14ac:dyDescent="0.25">
      <c r="T18559" s="135"/>
      <c r="U18559" s="135"/>
    </row>
    <row r="18560" spans="20:21" ht="15" customHeight="1" x14ac:dyDescent="0.25">
      <c r="T18560" s="135"/>
      <c r="U18560" s="135"/>
    </row>
    <row r="18561" spans="20:21" ht="15" customHeight="1" x14ac:dyDescent="0.25">
      <c r="T18561" s="135"/>
      <c r="U18561" s="135"/>
    </row>
    <row r="18562" spans="20:21" ht="15" customHeight="1" x14ac:dyDescent="0.25">
      <c r="T18562" s="135"/>
      <c r="U18562" s="135"/>
    </row>
    <row r="18563" spans="20:21" ht="15" customHeight="1" x14ac:dyDescent="0.25">
      <c r="T18563" s="135"/>
      <c r="U18563" s="135"/>
    </row>
    <row r="18564" spans="20:21" ht="15" customHeight="1" x14ac:dyDescent="0.25">
      <c r="T18564" s="135"/>
      <c r="U18564" s="135"/>
    </row>
    <row r="18565" spans="20:21" ht="15" customHeight="1" x14ac:dyDescent="0.25">
      <c r="T18565" s="135"/>
      <c r="U18565" s="135"/>
    </row>
    <row r="18566" spans="20:21" ht="15" customHeight="1" x14ac:dyDescent="0.25">
      <c r="T18566" s="135"/>
      <c r="U18566" s="135"/>
    </row>
    <row r="18567" spans="20:21" ht="15" customHeight="1" x14ac:dyDescent="0.25">
      <c r="T18567" s="135"/>
      <c r="U18567" s="135"/>
    </row>
    <row r="18568" spans="20:21" ht="15" customHeight="1" x14ac:dyDescent="0.25">
      <c r="T18568" s="135"/>
      <c r="U18568" s="135"/>
    </row>
    <row r="18569" spans="20:21" ht="15" customHeight="1" x14ac:dyDescent="0.25">
      <c r="T18569" s="135"/>
      <c r="U18569" s="135"/>
    </row>
    <row r="18570" spans="20:21" ht="15" customHeight="1" x14ac:dyDescent="0.25">
      <c r="T18570" s="135"/>
      <c r="U18570" s="135"/>
    </row>
    <row r="18571" spans="20:21" ht="15" customHeight="1" x14ac:dyDescent="0.25">
      <c r="T18571" s="135"/>
      <c r="U18571" s="135"/>
    </row>
    <row r="18572" spans="20:21" ht="15" customHeight="1" x14ac:dyDescent="0.25">
      <c r="T18572" s="135"/>
      <c r="U18572" s="135"/>
    </row>
    <row r="18573" spans="20:21" ht="15" customHeight="1" x14ac:dyDescent="0.25">
      <c r="T18573" s="135"/>
      <c r="U18573" s="135"/>
    </row>
    <row r="18574" spans="20:21" ht="15" customHeight="1" x14ac:dyDescent="0.25">
      <c r="T18574" s="135"/>
      <c r="U18574" s="135"/>
    </row>
    <row r="18575" spans="20:21" ht="15" customHeight="1" x14ac:dyDescent="0.25">
      <c r="T18575" s="135"/>
      <c r="U18575" s="135"/>
    </row>
    <row r="18576" spans="20:21" ht="15" customHeight="1" x14ac:dyDescent="0.25">
      <c r="T18576" s="135"/>
      <c r="U18576" s="135"/>
    </row>
    <row r="18577" spans="20:21" ht="15" customHeight="1" x14ac:dyDescent="0.25">
      <c r="T18577" s="135"/>
      <c r="U18577" s="135"/>
    </row>
    <row r="18578" spans="20:21" ht="15" customHeight="1" x14ac:dyDescent="0.25">
      <c r="T18578" s="135"/>
      <c r="U18578" s="135"/>
    </row>
    <row r="18579" spans="20:21" ht="15" customHeight="1" x14ac:dyDescent="0.25">
      <c r="T18579" s="135"/>
      <c r="U18579" s="135"/>
    </row>
    <row r="18580" spans="20:21" ht="15" customHeight="1" x14ac:dyDescent="0.25">
      <c r="T18580" s="135"/>
      <c r="U18580" s="135"/>
    </row>
    <row r="18581" spans="20:21" ht="15" customHeight="1" x14ac:dyDescent="0.25">
      <c r="T18581" s="135"/>
      <c r="U18581" s="135"/>
    </row>
    <row r="18582" spans="20:21" ht="15" customHeight="1" x14ac:dyDescent="0.25">
      <c r="T18582" s="135"/>
      <c r="U18582" s="135"/>
    </row>
    <row r="18583" spans="20:21" ht="15" customHeight="1" x14ac:dyDescent="0.25">
      <c r="T18583" s="135"/>
      <c r="U18583" s="135"/>
    </row>
    <row r="18584" spans="20:21" ht="15" customHeight="1" x14ac:dyDescent="0.25">
      <c r="T18584" s="135"/>
      <c r="U18584" s="135"/>
    </row>
    <row r="18585" spans="20:21" ht="15" customHeight="1" x14ac:dyDescent="0.25">
      <c r="T18585" s="135"/>
      <c r="U18585" s="135"/>
    </row>
    <row r="18586" spans="20:21" ht="15" customHeight="1" x14ac:dyDescent="0.25">
      <c r="T18586" s="135"/>
      <c r="U18586" s="135"/>
    </row>
    <row r="18587" spans="20:21" ht="15" customHeight="1" x14ac:dyDescent="0.25">
      <c r="T18587" s="135"/>
      <c r="U18587" s="135"/>
    </row>
    <row r="18588" spans="20:21" ht="15" customHeight="1" x14ac:dyDescent="0.25">
      <c r="T18588" s="135"/>
      <c r="U18588" s="135"/>
    </row>
    <row r="18589" spans="20:21" ht="15" customHeight="1" x14ac:dyDescent="0.25">
      <c r="T18589" s="135"/>
      <c r="U18589" s="135"/>
    </row>
    <row r="18590" spans="20:21" ht="15" customHeight="1" x14ac:dyDescent="0.25">
      <c r="T18590" s="135"/>
      <c r="U18590" s="135"/>
    </row>
    <row r="18591" spans="20:21" ht="15" customHeight="1" x14ac:dyDescent="0.25">
      <c r="T18591" s="135"/>
      <c r="U18591" s="135"/>
    </row>
    <row r="18592" spans="20:21" ht="15" customHeight="1" x14ac:dyDescent="0.25">
      <c r="T18592" s="135"/>
      <c r="U18592" s="135"/>
    </row>
    <row r="18593" spans="20:21" ht="15" customHeight="1" x14ac:dyDescent="0.25">
      <c r="T18593" s="135"/>
      <c r="U18593" s="135"/>
    </row>
    <row r="18594" spans="20:21" ht="15" customHeight="1" x14ac:dyDescent="0.25">
      <c r="T18594" s="135"/>
      <c r="U18594" s="135"/>
    </row>
    <row r="18595" spans="20:21" ht="15" customHeight="1" x14ac:dyDescent="0.25">
      <c r="T18595" s="135"/>
      <c r="U18595" s="135"/>
    </row>
    <row r="18596" spans="20:21" ht="15" customHeight="1" x14ac:dyDescent="0.25">
      <c r="T18596" s="135"/>
      <c r="U18596" s="135"/>
    </row>
    <row r="18597" spans="20:21" ht="15" customHeight="1" x14ac:dyDescent="0.25">
      <c r="T18597" s="135"/>
      <c r="U18597" s="135"/>
    </row>
    <row r="18598" spans="20:21" ht="15" customHeight="1" x14ac:dyDescent="0.25">
      <c r="T18598" s="135"/>
      <c r="U18598" s="135"/>
    </row>
    <row r="18599" spans="20:21" ht="15" customHeight="1" x14ac:dyDescent="0.25">
      <c r="T18599" s="135"/>
      <c r="U18599" s="135"/>
    </row>
    <row r="18600" spans="20:21" ht="15" customHeight="1" x14ac:dyDescent="0.25">
      <c r="T18600" s="135"/>
      <c r="U18600" s="135"/>
    </row>
    <row r="18601" spans="20:21" ht="15" customHeight="1" x14ac:dyDescent="0.25">
      <c r="T18601" s="135"/>
      <c r="U18601" s="135"/>
    </row>
    <row r="18602" spans="20:21" ht="15" customHeight="1" x14ac:dyDescent="0.25">
      <c r="T18602" s="135"/>
      <c r="U18602" s="135"/>
    </row>
    <row r="18603" spans="20:21" ht="15" customHeight="1" x14ac:dyDescent="0.25">
      <c r="T18603" s="135"/>
      <c r="U18603" s="135"/>
    </row>
    <row r="18604" spans="20:21" ht="15" customHeight="1" x14ac:dyDescent="0.25">
      <c r="T18604" s="135"/>
      <c r="U18604" s="135"/>
    </row>
    <row r="18605" spans="20:21" ht="15" customHeight="1" x14ac:dyDescent="0.25">
      <c r="T18605" s="135"/>
      <c r="U18605" s="135"/>
    </row>
    <row r="18606" spans="20:21" ht="15" customHeight="1" x14ac:dyDescent="0.25">
      <c r="T18606" s="135"/>
      <c r="U18606" s="135"/>
    </row>
    <row r="18607" spans="20:21" ht="15" customHeight="1" x14ac:dyDescent="0.25">
      <c r="T18607" s="135"/>
      <c r="U18607" s="135"/>
    </row>
    <row r="18608" spans="20:21" ht="15" customHeight="1" x14ac:dyDescent="0.25">
      <c r="T18608" s="135"/>
      <c r="U18608" s="135"/>
    </row>
    <row r="18609" spans="20:21" ht="15" customHeight="1" x14ac:dyDescent="0.25">
      <c r="T18609" s="135"/>
      <c r="U18609" s="135"/>
    </row>
    <row r="18610" spans="20:21" ht="15" customHeight="1" x14ac:dyDescent="0.25">
      <c r="T18610" s="135"/>
      <c r="U18610" s="135"/>
    </row>
    <row r="18611" spans="20:21" ht="15" customHeight="1" x14ac:dyDescent="0.25">
      <c r="T18611" s="135"/>
      <c r="U18611" s="135"/>
    </row>
    <row r="18612" spans="20:21" ht="15" customHeight="1" x14ac:dyDescent="0.25">
      <c r="T18612" s="135"/>
      <c r="U18612" s="135"/>
    </row>
    <row r="18613" spans="20:21" ht="15" customHeight="1" x14ac:dyDescent="0.25">
      <c r="T18613" s="135"/>
      <c r="U18613" s="135"/>
    </row>
    <row r="18614" spans="20:21" ht="15" customHeight="1" x14ac:dyDescent="0.25">
      <c r="T18614" s="135"/>
      <c r="U18614" s="135"/>
    </row>
    <row r="18615" spans="20:21" ht="15" customHeight="1" x14ac:dyDescent="0.25">
      <c r="T18615" s="135"/>
      <c r="U18615" s="135"/>
    </row>
    <row r="18616" spans="20:21" ht="15" customHeight="1" x14ac:dyDescent="0.25">
      <c r="T18616" s="135"/>
      <c r="U18616" s="135"/>
    </row>
    <row r="18617" spans="20:21" ht="15" customHeight="1" x14ac:dyDescent="0.25">
      <c r="T18617" s="135"/>
      <c r="U18617" s="135"/>
    </row>
    <row r="18618" spans="20:21" ht="15" customHeight="1" x14ac:dyDescent="0.25">
      <c r="T18618" s="135"/>
      <c r="U18618" s="135"/>
    </row>
    <row r="18619" spans="20:21" ht="15" customHeight="1" x14ac:dyDescent="0.25">
      <c r="T18619" s="135"/>
      <c r="U18619" s="135"/>
    </row>
    <row r="18620" spans="20:21" ht="15" customHeight="1" x14ac:dyDescent="0.25">
      <c r="T18620" s="135"/>
      <c r="U18620" s="135"/>
    </row>
    <row r="18621" spans="20:21" ht="15" customHeight="1" x14ac:dyDescent="0.25">
      <c r="T18621" s="135"/>
      <c r="U18621" s="135"/>
    </row>
    <row r="18622" spans="20:21" ht="15" customHeight="1" x14ac:dyDescent="0.25">
      <c r="T18622" s="135"/>
      <c r="U18622" s="135"/>
    </row>
    <row r="18623" spans="20:21" ht="15" customHeight="1" x14ac:dyDescent="0.25">
      <c r="T18623" s="135"/>
      <c r="U18623" s="135"/>
    </row>
    <row r="18624" spans="20:21" ht="15" customHeight="1" x14ac:dyDescent="0.25">
      <c r="T18624" s="135"/>
      <c r="U18624" s="135"/>
    </row>
    <row r="18625" spans="20:21" ht="15" customHeight="1" x14ac:dyDescent="0.25">
      <c r="T18625" s="135"/>
      <c r="U18625" s="135"/>
    </row>
    <row r="18626" spans="20:21" ht="15" customHeight="1" x14ac:dyDescent="0.25">
      <c r="T18626" s="135"/>
      <c r="U18626" s="135"/>
    </row>
    <row r="18627" spans="20:21" ht="15" customHeight="1" x14ac:dyDescent="0.25">
      <c r="T18627" s="135"/>
      <c r="U18627" s="135"/>
    </row>
    <row r="18628" spans="20:21" ht="15" customHeight="1" x14ac:dyDescent="0.25">
      <c r="T18628" s="135"/>
      <c r="U18628" s="135"/>
    </row>
    <row r="18629" spans="20:21" ht="15" customHeight="1" x14ac:dyDescent="0.25">
      <c r="T18629" s="135"/>
      <c r="U18629" s="135"/>
    </row>
    <row r="18630" spans="20:21" ht="15" customHeight="1" x14ac:dyDescent="0.25">
      <c r="T18630" s="135"/>
      <c r="U18630" s="135"/>
    </row>
    <row r="18631" spans="20:21" ht="15" customHeight="1" x14ac:dyDescent="0.25">
      <c r="T18631" s="135"/>
      <c r="U18631" s="135"/>
    </row>
    <row r="18632" spans="20:21" ht="15" customHeight="1" x14ac:dyDescent="0.25">
      <c r="T18632" s="135"/>
      <c r="U18632" s="135"/>
    </row>
    <row r="18633" spans="20:21" ht="15" customHeight="1" x14ac:dyDescent="0.25">
      <c r="T18633" s="135"/>
      <c r="U18633" s="135"/>
    </row>
    <row r="18634" spans="20:21" ht="15" customHeight="1" x14ac:dyDescent="0.25">
      <c r="T18634" s="135"/>
      <c r="U18634" s="135"/>
    </row>
    <row r="18635" spans="20:21" ht="15" customHeight="1" x14ac:dyDescent="0.25">
      <c r="T18635" s="135"/>
      <c r="U18635" s="135"/>
    </row>
    <row r="18636" spans="20:21" ht="15" customHeight="1" x14ac:dyDescent="0.25">
      <c r="T18636" s="135"/>
      <c r="U18636" s="135"/>
    </row>
    <row r="18637" spans="20:21" ht="15" customHeight="1" x14ac:dyDescent="0.25">
      <c r="T18637" s="135"/>
      <c r="U18637" s="135"/>
    </row>
    <row r="18638" spans="20:21" ht="15" customHeight="1" x14ac:dyDescent="0.25">
      <c r="T18638" s="135"/>
      <c r="U18638" s="135"/>
    </row>
    <row r="18639" spans="20:21" ht="15" customHeight="1" x14ac:dyDescent="0.25">
      <c r="T18639" s="135"/>
      <c r="U18639" s="135"/>
    </row>
    <row r="18640" spans="20:21" ht="15" customHeight="1" x14ac:dyDescent="0.25">
      <c r="T18640" s="135"/>
      <c r="U18640" s="135"/>
    </row>
    <row r="18641" spans="20:21" ht="15" customHeight="1" x14ac:dyDescent="0.25">
      <c r="T18641" s="135"/>
      <c r="U18641" s="135"/>
    </row>
    <row r="18642" spans="20:21" ht="15" customHeight="1" x14ac:dyDescent="0.25">
      <c r="T18642" s="135"/>
      <c r="U18642" s="135"/>
    </row>
    <row r="18643" spans="20:21" ht="15" customHeight="1" x14ac:dyDescent="0.25">
      <c r="T18643" s="135"/>
      <c r="U18643" s="135"/>
    </row>
    <row r="18644" spans="20:21" ht="15" customHeight="1" x14ac:dyDescent="0.25">
      <c r="T18644" s="135"/>
      <c r="U18644" s="135"/>
    </row>
    <row r="18645" spans="20:21" ht="15" customHeight="1" x14ac:dyDescent="0.25">
      <c r="T18645" s="135"/>
      <c r="U18645" s="135"/>
    </row>
    <row r="18646" spans="20:21" ht="15" customHeight="1" x14ac:dyDescent="0.25">
      <c r="T18646" s="135"/>
      <c r="U18646" s="135"/>
    </row>
    <row r="18647" spans="20:21" ht="15" customHeight="1" x14ac:dyDescent="0.25">
      <c r="T18647" s="135"/>
      <c r="U18647" s="135"/>
    </row>
    <row r="18648" spans="20:21" ht="15" customHeight="1" x14ac:dyDescent="0.25">
      <c r="T18648" s="135"/>
      <c r="U18648" s="135"/>
    </row>
    <row r="18649" spans="20:21" ht="15" customHeight="1" x14ac:dyDescent="0.25">
      <c r="T18649" s="135"/>
      <c r="U18649" s="135"/>
    </row>
    <row r="18650" spans="20:21" ht="15" customHeight="1" x14ac:dyDescent="0.25">
      <c r="T18650" s="135"/>
      <c r="U18650" s="135"/>
    </row>
    <row r="18651" spans="20:21" ht="15" customHeight="1" x14ac:dyDescent="0.25">
      <c r="T18651" s="135"/>
      <c r="U18651" s="135"/>
    </row>
    <row r="18652" spans="20:21" ht="15" customHeight="1" x14ac:dyDescent="0.25">
      <c r="T18652" s="135"/>
      <c r="U18652" s="135"/>
    </row>
    <row r="18653" spans="20:21" ht="15" customHeight="1" x14ac:dyDescent="0.25">
      <c r="T18653" s="135"/>
      <c r="U18653" s="135"/>
    </row>
    <row r="18654" spans="20:21" ht="15" customHeight="1" x14ac:dyDescent="0.25">
      <c r="T18654" s="135"/>
      <c r="U18654" s="135"/>
    </row>
    <row r="18655" spans="20:21" ht="15" customHeight="1" x14ac:dyDescent="0.25">
      <c r="T18655" s="135"/>
      <c r="U18655" s="135"/>
    </row>
    <row r="18656" spans="20:21" ht="15" customHeight="1" x14ac:dyDescent="0.25">
      <c r="T18656" s="135"/>
      <c r="U18656" s="135"/>
    </row>
    <row r="18657" spans="20:21" ht="15" customHeight="1" x14ac:dyDescent="0.25">
      <c r="T18657" s="135"/>
      <c r="U18657" s="135"/>
    </row>
    <row r="18658" spans="20:21" ht="15" customHeight="1" x14ac:dyDescent="0.25">
      <c r="T18658" s="135"/>
      <c r="U18658" s="135"/>
    </row>
    <row r="18659" spans="20:21" ht="15" customHeight="1" x14ac:dyDescent="0.25">
      <c r="T18659" s="135"/>
      <c r="U18659" s="135"/>
    </row>
    <row r="18660" spans="20:21" ht="15" customHeight="1" x14ac:dyDescent="0.25">
      <c r="T18660" s="135"/>
      <c r="U18660" s="135"/>
    </row>
    <row r="18661" spans="20:21" ht="15" customHeight="1" x14ac:dyDescent="0.25">
      <c r="T18661" s="135"/>
      <c r="U18661" s="135"/>
    </row>
    <row r="18662" spans="20:21" ht="15" customHeight="1" x14ac:dyDescent="0.25">
      <c r="T18662" s="135"/>
      <c r="U18662" s="135"/>
    </row>
    <row r="18663" spans="20:21" ht="15" customHeight="1" x14ac:dyDescent="0.25">
      <c r="T18663" s="135"/>
      <c r="U18663" s="135"/>
    </row>
    <row r="18664" spans="20:21" ht="15" customHeight="1" x14ac:dyDescent="0.25">
      <c r="T18664" s="135"/>
      <c r="U18664" s="135"/>
    </row>
    <row r="18665" spans="20:21" ht="15" customHeight="1" x14ac:dyDescent="0.25">
      <c r="T18665" s="135"/>
      <c r="U18665" s="135"/>
    </row>
    <row r="18666" spans="20:21" ht="15" customHeight="1" x14ac:dyDescent="0.25">
      <c r="T18666" s="135"/>
      <c r="U18666" s="135"/>
    </row>
    <row r="18667" spans="20:21" ht="15" customHeight="1" x14ac:dyDescent="0.25">
      <c r="T18667" s="135"/>
      <c r="U18667" s="135"/>
    </row>
    <row r="18668" spans="20:21" ht="15" customHeight="1" x14ac:dyDescent="0.25">
      <c r="T18668" s="135"/>
      <c r="U18668" s="135"/>
    </row>
    <row r="18669" spans="20:21" ht="15" customHeight="1" x14ac:dyDescent="0.25">
      <c r="T18669" s="135"/>
      <c r="U18669" s="135"/>
    </row>
    <row r="18670" spans="20:21" ht="15" customHeight="1" x14ac:dyDescent="0.25">
      <c r="T18670" s="135"/>
      <c r="U18670" s="135"/>
    </row>
    <row r="18671" spans="20:21" ht="15" customHeight="1" x14ac:dyDescent="0.25">
      <c r="T18671" s="135"/>
      <c r="U18671" s="135"/>
    </row>
    <row r="18672" spans="20:21" ht="15" customHeight="1" x14ac:dyDescent="0.25">
      <c r="T18672" s="135"/>
      <c r="U18672" s="135"/>
    </row>
    <row r="18673" spans="20:21" ht="15" customHeight="1" x14ac:dyDescent="0.25">
      <c r="T18673" s="135"/>
      <c r="U18673" s="135"/>
    </row>
    <row r="18674" spans="20:21" ht="15" customHeight="1" x14ac:dyDescent="0.25">
      <c r="T18674" s="135"/>
      <c r="U18674" s="135"/>
    </row>
    <row r="18675" spans="20:21" ht="15" customHeight="1" x14ac:dyDescent="0.25">
      <c r="T18675" s="135"/>
      <c r="U18675" s="135"/>
    </row>
    <row r="18676" spans="20:21" ht="15" customHeight="1" x14ac:dyDescent="0.25">
      <c r="T18676" s="135"/>
      <c r="U18676" s="135"/>
    </row>
    <row r="18677" spans="20:21" ht="15" customHeight="1" x14ac:dyDescent="0.25">
      <c r="T18677" s="135"/>
      <c r="U18677" s="135"/>
    </row>
    <row r="18678" spans="20:21" ht="15" customHeight="1" x14ac:dyDescent="0.25">
      <c r="T18678" s="135"/>
      <c r="U18678" s="135"/>
    </row>
    <row r="18679" spans="20:21" ht="15" customHeight="1" x14ac:dyDescent="0.25">
      <c r="T18679" s="135"/>
      <c r="U18679" s="135"/>
    </row>
    <row r="18680" spans="20:21" ht="15" customHeight="1" x14ac:dyDescent="0.25">
      <c r="T18680" s="135"/>
      <c r="U18680" s="135"/>
    </row>
    <row r="18681" spans="20:21" ht="15" customHeight="1" x14ac:dyDescent="0.25">
      <c r="T18681" s="135"/>
      <c r="U18681" s="135"/>
    </row>
    <row r="18682" spans="20:21" ht="15" customHeight="1" x14ac:dyDescent="0.25">
      <c r="T18682" s="135"/>
      <c r="U18682" s="135"/>
    </row>
    <row r="18683" spans="20:21" ht="15" customHeight="1" x14ac:dyDescent="0.25">
      <c r="T18683" s="135"/>
      <c r="U18683" s="135"/>
    </row>
    <row r="18684" spans="20:21" ht="15" customHeight="1" x14ac:dyDescent="0.25">
      <c r="T18684" s="135"/>
      <c r="U18684" s="135"/>
    </row>
    <row r="18685" spans="20:21" ht="15" customHeight="1" x14ac:dyDescent="0.25">
      <c r="T18685" s="135"/>
      <c r="U18685" s="135"/>
    </row>
    <row r="18686" spans="20:21" ht="15" customHeight="1" x14ac:dyDescent="0.25">
      <c r="T18686" s="135"/>
      <c r="U18686" s="135"/>
    </row>
    <row r="18687" spans="20:21" ht="15" customHeight="1" x14ac:dyDescent="0.25">
      <c r="T18687" s="135"/>
      <c r="U18687" s="135"/>
    </row>
    <row r="18688" spans="20:21" ht="15" customHeight="1" x14ac:dyDescent="0.25">
      <c r="T18688" s="135"/>
      <c r="U18688" s="135"/>
    </row>
    <row r="18689" spans="20:21" ht="15" customHeight="1" x14ac:dyDescent="0.25">
      <c r="T18689" s="135"/>
      <c r="U18689" s="135"/>
    </row>
    <row r="18690" spans="20:21" ht="15" customHeight="1" x14ac:dyDescent="0.25">
      <c r="T18690" s="135"/>
      <c r="U18690" s="135"/>
    </row>
    <row r="18691" spans="20:21" ht="15" customHeight="1" x14ac:dyDescent="0.25">
      <c r="T18691" s="135"/>
      <c r="U18691" s="135"/>
    </row>
    <row r="18692" spans="20:21" ht="15" customHeight="1" x14ac:dyDescent="0.25">
      <c r="T18692" s="135"/>
      <c r="U18692" s="135"/>
    </row>
    <row r="18693" spans="20:21" ht="15" customHeight="1" x14ac:dyDescent="0.25">
      <c r="T18693" s="135"/>
      <c r="U18693" s="135"/>
    </row>
    <row r="18694" spans="20:21" ht="15" customHeight="1" x14ac:dyDescent="0.25">
      <c r="T18694" s="135"/>
      <c r="U18694" s="135"/>
    </row>
    <row r="18695" spans="20:21" ht="15" customHeight="1" x14ac:dyDescent="0.25">
      <c r="T18695" s="135"/>
      <c r="U18695" s="135"/>
    </row>
    <row r="18696" spans="20:21" ht="15" customHeight="1" x14ac:dyDescent="0.25">
      <c r="T18696" s="135"/>
      <c r="U18696" s="135"/>
    </row>
    <row r="18697" spans="20:21" ht="15" customHeight="1" x14ac:dyDescent="0.25">
      <c r="T18697" s="135"/>
      <c r="U18697" s="135"/>
    </row>
    <row r="18698" spans="20:21" ht="15" customHeight="1" x14ac:dyDescent="0.25">
      <c r="T18698" s="135"/>
      <c r="U18698" s="135"/>
    </row>
    <row r="18699" spans="20:21" ht="15" customHeight="1" x14ac:dyDescent="0.25">
      <c r="T18699" s="135"/>
      <c r="U18699" s="135"/>
    </row>
    <row r="18700" spans="20:21" ht="15" customHeight="1" x14ac:dyDescent="0.25">
      <c r="T18700" s="135"/>
      <c r="U18700" s="135"/>
    </row>
    <row r="18701" spans="20:21" ht="15" customHeight="1" x14ac:dyDescent="0.25">
      <c r="T18701" s="135"/>
      <c r="U18701" s="135"/>
    </row>
    <row r="18702" spans="20:21" ht="15" customHeight="1" x14ac:dyDescent="0.25">
      <c r="T18702" s="135"/>
      <c r="U18702" s="135"/>
    </row>
    <row r="18703" spans="20:21" ht="15" customHeight="1" x14ac:dyDescent="0.25">
      <c r="T18703" s="135"/>
      <c r="U18703" s="135"/>
    </row>
    <row r="18704" spans="20:21" ht="15" customHeight="1" x14ac:dyDescent="0.25">
      <c r="T18704" s="135"/>
      <c r="U18704" s="135"/>
    </row>
    <row r="18705" spans="20:21" ht="15" customHeight="1" x14ac:dyDescent="0.25">
      <c r="T18705" s="135"/>
      <c r="U18705" s="135"/>
    </row>
    <row r="18706" spans="20:21" ht="15" customHeight="1" x14ac:dyDescent="0.25">
      <c r="T18706" s="135"/>
      <c r="U18706" s="135"/>
    </row>
    <row r="18707" spans="20:21" ht="15" customHeight="1" x14ac:dyDescent="0.25">
      <c r="T18707" s="135"/>
      <c r="U18707" s="135"/>
    </row>
    <row r="18708" spans="20:21" ht="15" customHeight="1" x14ac:dyDescent="0.25">
      <c r="T18708" s="135"/>
      <c r="U18708" s="135"/>
    </row>
    <row r="18709" spans="20:21" ht="15" customHeight="1" x14ac:dyDescent="0.25">
      <c r="T18709" s="135"/>
      <c r="U18709" s="135"/>
    </row>
    <row r="18710" spans="20:21" ht="15" customHeight="1" x14ac:dyDescent="0.25">
      <c r="T18710" s="135"/>
      <c r="U18710" s="135"/>
    </row>
    <row r="18711" spans="20:21" ht="15" customHeight="1" x14ac:dyDescent="0.25">
      <c r="T18711" s="135"/>
      <c r="U18711" s="135"/>
    </row>
    <row r="18712" spans="20:21" ht="15" customHeight="1" x14ac:dyDescent="0.25">
      <c r="T18712" s="135"/>
      <c r="U18712" s="135"/>
    </row>
    <row r="18713" spans="20:21" ht="15" customHeight="1" x14ac:dyDescent="0.25">
      <c r="T18713" s="135"/>
      <c r="U18713" s="135"/>
    </row>
    <row r="18714" spans="20:21" ht="15" customHeight="1" x14ac:dyDescent="0.25">
      <c r="T18714" s="135"/>
      <c r="U18714" s="135"/>
    </row>
    <row r="18715" spans="20:21" ht="15" customHeight="1" x14ac:dyDescent="0.25">
      <c r="T18715" s="135"/>
      <c r="U18715" s="135"/>
    </row>
    <row r="18716" spans="20:21" ht="15" customHeight="1" x14ac:dyDescent="0.25">
      <c r="T18716" s="135"/>
      <c r="U18716" s="135"/>
    </row>
    <row r="18717" spans="20:21" ht="15" customHeight="1" x14ac:dyDescent="0.25">
      <c r="T18717" s="135"/>
      <c r="U18717" s="135"/>
    </row>
    <row r="18718" spans="20:21" ht="15" customHeight="1" x14ac:dyDescent="0.25">
      <c r="T18718" s="135"/>
      <c r="U18718" s="135"/>
    </row>
    <row r="18719" spans="20:21" ht="15" customHeight="1" x14ac:dyDescent="0.25">
      <c r="T18719" s="135"/>
      <c r="U18719" s="135"/>
    </row>
    <row r="18720" spans="20:21" ht="15" customHeight="1" x14ac:dyDescent="0.25">
      <c r="T18720" s="135"/>
      <c r="U18720" s="135"/>
    </row>
    <row r="18721" spans="20:21" ht="15" customHeight="1" x14ac:dyDescent="0.25">
      <c r="T18721" s="135"/>
      <c r="U18721" s="135"/>
    </row>
    <row r="18722" spans="20:21" ht="15" customHeight="1" x14ac:dyDescent="0.25">
      <c r="T18722" s="135"/>
      <c r="U18722" s="135"/>
    </row>
    <row r="18723" spans="20:21" ht="15" customHeight="1" x14ac:dyDescent="0.25">
      <c r="T18723" s="135"/>
      <c r="U18723" s="135"/>
    </row>
    <row r="18724" spans="20:21" ht="15" customHeight="1" x14ac:dyDescent="0.25">
      <c r="T18724" s="135"/>
      <c r="U18724" s="135"/>
    </row>
    <row r="18725" spans="20:21" ht="15" customHeight="1" x14ac:dyDescent="0.25">
      <c r="T18725" s="135"/>
      <c r="U18725" s="135"/>
    </row>
    <row r="18726" spans="20:21" ht="15" customHeight="1" x14ac:dyDescent="0.25">
      <c r="T18726" s="135"/>
      <c r="U18726" s="135"/>
    </row>
    <row r="18727" spans="20:21" ht="15" customHeight="1" x14ac:dyDescent="0.25">
      <c r="T18727" s="135"/>
      <c r="U18727" s="135"/>
    </row>
    <row r="18728" spans="20:21" ht="15" customHeight="1" x14ac:dyDescent="0.25">
      <c r="T18728" s="135"/>
      <c r="U18728" s="135"/>
    </row>
    <row r="18729" spans="20:21" ht="15" customHeight="1" x14ac:dyDescent="0.25">
      <c r="T18729" s="135"/>
      <c r="U18729" s="135"/>
    </row>
    <row r="18730" spans="20:21" ht="15" customHeight="1" x14ac:dyDescent="0.25">
      <c r="T18730" s="135"/>
      <c r="U18730" s="135"/>
    </row>
    <row r="18731" spans="20:21" ht="15" customHeight="1" x14ac:dyDescent="0.25">
      <c r="T18731" s="135"/>
      <c r="U18731" s="135"/>
    </row>
    <row r="18732" spans="20:21" ht="15" customHeight="1" x14ac:dyDescent="0.25">
      <c r="T18732" s="135"/>
      <c r="U18732" s="135"/>
    </row>
    <row r="18733" spans="20:21" ht="15" customHeight="1" x14ac:dyDescent="0.25">
      <c r="T18733" s="135"/>
      <c r="U18733" s="135"/>
    </row>
    <row r="18734" spans="20:21" ht="15" customHeight="1" x14ac:dyDescent="0.25">
      <c r="T18734" s="135"/>
      <c r="U18734" s="135"/>
    </row>
    <row r="18735" spans="20:21" ht="15" customHeight="1" x14ac:dyDescent="0.25">
      <c r="T18735" s="135"/>
      <c r="U18735" s="135"/>
    </row>
    <row r="18736" spans="20:21" ht="15" customHeight="1" x14ac:dyDescent="0.25">
      <c r="T18736" s="135"/>
      <c r="U18736" s="135"/>
    </row>
    <row r="18737" spans="20:21" ht="15" customHeight="1" x14ac:dyDescent="0.25">
      <c r="T18737" s="135"/>
      <c r="U18737" s="135"/>
    </row>
    <row r="18738" spans="20:21" ht="15" customHeight="1" x14ac:dyDescent="0.25">
      <c r="T18738" s="135"/>
      <c r="U18738" s="135"/>
    </row>
    <row r="18739" spans="20:21" ht="15" customHeight="1" x14ac:dyDescent="0.25">
      <c r="T18739" s="135"/>
      <c r="U18739" s="135"/>
    </row>
    <row r="18740" spans="20:21" ht="15" customHeight="1" x14ac:dyDescent="0.25">
      <c r="T18740" s="135"/>
      <c r="U18740" s="135"/>
    </row>
    <row r="18741" spans="20:21" ht="15" customHeight="1" x14ac:dyDescent="0.25">
      <c r="T18741" s="135"/>
      <c r="U18741" s="135"/>
    </row>
    <row r="18742" spans="20:21" ht="15" customHeight="1" x14ac:dyDescent="0.25">
      <c r="T18742" s="135"/>
      <c r="U18742" s="135"/>
    </row>
    <row r="18743" spans="20:21" ht="15" customHeight="1" x14ac:dyDescent="0.25">
      <c r="T18743" s="135"/>
      <c r="U18743" s="135"/>
    </row>
    <row r="18744" spans="20:21" ht="15" customHeight="1" x14ac:dyDescent="0.25">
      <c r="T18744" s="135"/>
      <c r="U18744" s="135"/>
    </row>
    <row r="18745" spans="20:21" ht="15" customHeight="1" x14ac:dyDescent="0.25">
      <c r="T18745" s="135"/>
      <c r="U18745" s="135"/>
    </row>
    <row r="18746" spans="20:21" ht="15" customHeight="1" x14ac:dyDescent="0.25">
      <c r="T18746" s="135"/>
      <c r="U18746" s="135"/>
    </row>
    <row r="18747" spans="20:21" ht="15" customHeight="1" x14ac:dyDescent="0.25">
      <c r="T18747" s="135"/>
      <c r="U18747" s="135"/>
    </row>
    <row r="18748" spans="20:21" ht="15" customHeight="1" x14ac:dyDescent="0.25">
      <c r="T18748" s="135"/>
      <c r="U18748" s="135"/>
    </row>
    <row r="18749" spans="20:21" ht="15" customHeight="1" x14ac:dyDescent="0.25">
      <c r="T18749" s="135"/>
      <c r="U18749" s="135"/>
    </row>
    <row r="18750" spans="20:21" ht="15" customHeight="1" x14ac:dyDescent="0.25">
      <c r="T18750" s="135"/>
      <c r="U18750" s="135"/>
    </row>
    <row r="18751" spans="20:21" ht="15" customHeight="1" x14ac:dyDescent="0.25">
      <c r="T18751" s="135"/>
      <c r="U18751" s="135"/>
    </row>
    <row r="18752" spans="20:21" ht="15" customHeight="1" x14ac:dyDescent="0.25">
      <c r="T18752" s="135"/>
      <c r="U18752" s="135"/>
    </row>
    <row r="18753" spans="20:21" ht="15" customHeight="1" x14ac:dyDescent="0.25">
      <c r="T18753" s="135"/>
      <c r="U18753" s="135"/>
    </row>
    <row r="18754" spans="20:21" ht="15" customHeight="1" x14ac:dyDescent="0.25">
      <c r="T18754" s="135"/>
      <c r="U18754" s="135"/>
    </row>
    <row r="18755" spans="20:21" ht="15" customHeight="1" x14ac:dyDescent="0.25">
      <c r="T18755" s="135"/>
      <c r="U18755" s="135"/>
    </row>
    <row r="18756" spans="20:21" ht="15" customHeight="1" x14ac:dyDescent="0.25">
      <c r="T18756" s="135"/>
      <c r="U18756" s="135"/>
    </row>
    <row r="18757" spans="20:21" ht="15" customHeight="1" x14ac:dyDescent="0.25">
      <c r="T18757" s="135"/>
      <c r="U18757" s="135"/>
    </row>
    <row r="18758" spans="20:21" ht="15" customHeight="1" x14ac:dyDescent="0.25">
      <c r="T18758" s="135"/>
      <c r="U18758" s="135"/>
    </row>
    <row r="18759" spans="20:21" ht="15" customHeight="1" x14ac:dyDescent="0.25">
      <c r="T18759" s="135"/>
      <c r="U18759" s="135"/>
    </row>
    <row r="18760" spans="20:21" ht="15" customHeight="1" x14ac:dyDescent="0.25">
      <c r="T18760" s="135"/>
      <c r="U18760" s="135"/>
    </row>
    <row r="18761" spans="20:21" ht="15" customHeight="1" x14ac:dyDescent="0.25">
      <c r="T18761" s="135"/>
      <c r="U18761" s="135"/>
    </row>
    <row r="18762" spans="20:21" ht="15" customHeight="1" x14ac:dyDescent="0.25">
      <c r="T18762" s="135"/>
      <c r="U18762" s="135"/>
    </row>
    <row r="18763" spans="20:21" ht="15" customHeight="1" x14ac:dyDescent="0.25">
      <c r="T18763" s="135"/>
      <c r="U18763" s="135"/>
    </row>
    <row r="18764" spans="20:21" ht="15" customHeight="1" x14ac:dyDescent="0.25">
      <c r="T18764" s="135"/>
      <c r="U18764" s="135"/>
    </row>
    <row r="18765" spans="20:21" ht="15" customHeight="1" x14ac:dyDescent="0.25">
      <c r="T18765" s="135"/>
      <c r="U18765" s="135"/>
    </row>
    <row r="18766" spans="20:21" ht="15" customHeight="1" x14ac:dyDescent="0.25">
      <c r="T18766" s="135"/>
      <c r="U18766" s="135"/>
    </row>
    <row r="18767" spans="20:21" ht="15" customHeight="1" x14ac:dyDescent="0.25">
      <c r="T18767" s="135"/>
      <c r="U18767" s="135"/>
    </row>
    <row r="18768" spans="20:21" ht="15" customHeight="1" x14ac:dyDescent="0.25">
      <c r="T18768" s="135"/>
      <c r="U18768" s="135"/>
    </row>
    <row r="18769" spans="20:21" ht="15" customHeight="1" x14ac:dyDescent="0.25">
      <c r="T18769" s="135"/>
      <c r="U18769" s="135"/>
    </row>
    <row r="18770" spans="20:21" ht="15" customHeight="1" x14ac:dyDescent="0.25">
      <c r="T18770" s="135"/>
      <c r="U18770" s="135"/>
    </row>
    <row r="18771" spans="20:21" ht="15" customHeight="1" x14ac:dyDescent="0.25">
      <c r="T18771" s="135"/>
      <c r="U18771" s="135"/>
    </row>
    <row r="18772" spans="20:21" ht="15" customHeight="1" x14ac:dyDescent="0.25">
      <c r="T18772" s="135"/>
      <c r="U18772" s="135"/>
    </row>
    <row r="18773" spans="20:21" ht="15" customHeight="1" x14ac:dyDescent="0.25">
      <c r="T18773" s="135"/>
      <c r="U18773" s="135"/>
    </row>
    <row r="18774" spans="20:21" ht="15" customHeight="1" x14ac:dyDescent="0.25">
      <c r="T18774" s="135"/>
      <c r="U18774" s="135"/>
    </row>
    <row r="18775" spans="20:21" ht="15" customHeight="1" x14ac:dyDescent="0.25">
      <c r="T18775" s="135"/>
      <c r="U18775" s="135"/>
    </row>
    <row r="18776" spans="20:21" ht="15" customHeight="1" x14ac:dyDescent="0.25">
      <c r="T18776" s="135"/>
      <c r="U18776" s="135"/>
    </row>
    <row r="18777" spans="20:21" ht="15" customHeight="1" x14ac:dyDescent="0.25">
      <c r="T18777" s="135"/>
      <c r="U18777" s="135"/>
    </row>
    <row r="18778" spans="20:21" ht="15" customHeight="1" x14ac:dyDescent="0.25">
      <c r="T18778" s="135"/>
      <c r="U18778" s="135"/>
    </row>
    <row r="18779" spans="20:21" ht="15" customHeight="1" x14ac:dyDescent="0.25">
      <c r="T18779" s="135"/>
      <c r="U18779" s="135"/>
    </row>
    <row r="18780" spans="20:21" ht="15" customHeight="1" x14ac:dyDescent="0.25">
      <c r="T18780" s="135"/>
      <c r="U18780" s="135"/>
    </row>
    <row r="18781" spans="20:21" ht="15" customHeight="1" x14ac:dyDescent="0.25">
      <c r="T18781" s="135"/>
      <c r="U18781" s="135"/>
    </row>
    <row r="18782" spans="20:21" ht="15" customHeight="1" x14ac:dyDescent="0.25">
      <c r="T18782" s="135"/>
      <c r="U18782" s="135"/>
    </row>
    <row r="18783" spans="20:21" ht="15" customHeight="1" x14ac:dyDescent="0.25">
      <c r="T18783" s="135"/>
      <c r="U18783" s="135"/>
    </row>
    <row r="18784" spans="20:21" ht="15" customHeight="1" x14ac:dyDescent="0.25">
      <c r="T18784" s="135"/>
      <c r="U18784" s="135"/>
    </row>
    <row r="18785" spans="20:21" ht="15" customHeight="1" x14ac:dyDescent="0.25">
      <c r="T18785" s="135"/>
      <c r="U18785" s="135"/>
    </row>
    <row r="18786" spans="20:21" ht="15" customHeight="1" x14ac:dyDescent="0.25">
      <c r="T18786" s="135"/>
      <c r="U18786" s="135"/>
    </row>
    <row r="18787" spans="20:21" ht="15" customHeight="1" x14ac:dyDescent="0.25">
      <c r="T18787" s="135"/>
      <c r="U18787" s="135"/>
    </row>
    <row r="18788" spans="20:21" ht="15" customHeight="1" x14ac:dyDescent="0.25">
      <c r="T18788" s="135"/>
      <c r="U18788" s="135"/>
    </row>
    <row r="18789" spans="20:21" ht="15" customHeight="1" x14ac:dyDescent="0.25">
      <c r="T18789" s="135"/>
      <c r="U18789" s="135"/>
    </row>
    <row r="18790" spans="20:21" ht="15" customHeight="1" x14ac:dyDescent="0.25">
      <c r="T18790" s="135"/>
      <c r="U18790" s="135"/>
    </row>
    <row r="18791" spans="20:21" ht="15" customHeight="1" x14ac:dyDescent="0.25">
      <c r="T18791" s="135"/>
      <c r="U18791" s="135"/>
    </row>
    <row r="18792" spans="20:21" ht="15" customHeight="1" x14ac:dyDescent="0.25">
      <c r="T18792" s="135"/>
      <c r="U18792" s="135"/>
    </row>
    <row r="18793" spans="20:21" ht="15" customHeight="1" x14ac:dyDescent="0.25">
      <c r="T18793" s="135"/>
      <c r="U18793" s="135"/>
    </row>
    <row r="18794" spans="20:21" ht="15" customHeight="1" x14ac:dyDescent="0.25">
      <c r="T18794" s="135"/>
      <c r="U18794" s="135"/>
    </row>
    <row r="18795" spans="20:21" ht="15" customHeight="1" x14ac:dyDescent="0.25">
      <c r="T18795" s="135"/>
      <c r="U18795" s="135"/>
    </row>
    <row r="18796" spans="20:21" ht="15" customHeight="1" x14ac:dyDescent="0.25">
      <c r="T18796" s="135"/>
      <c r="U18796" s="135"/>
    </row>
    <row r="18797" spans="20:21" ht="15" customHeight="1" x14ac:dyDescent="0.25">
      <c r="T18797" s="135"/>
      <c r="U18797" s="135"/>
    </row>
    <row r="18798" spans="20:21" ht="15" customHeight="1" x14ac:dyDescent="0.25">
      <c r="T18798" s="135"/>
      <c r="U18798" s="135"/>
    </row>
    <row r="18799" spans="20:21" ht="15" customHeight="1" x14ac:dyDescent="0.25">
      <c r="T18799" s="135"/>
      <c r="U18799" s="135"/>
    </row>
    <row r="18800" spans="20:21" ht="15" customHeight="1" x14ac:dyDescent="0.25">
      <c r="T18800" s="135"/>
      <c r="U18800" s="135"/>
    </row>
    <row r="18801" spans="20:21" ht="15" customHeight="1" x14ac:dyDescent="0.25">
      <c r="T18801" s="135"/>
      <c r="U18801" s="135"/>
    </row>
    <row r="18802" spans="20:21" ht="15" customHeight="1" x14ac:dyDescent="0.25">
      <c r="T18802" s="135"/>
      <c r="U18802" s="135"/>
    </row>
    <row r="18803" spans="20:21" ht="15" customHeight="1" x14ac:dyDescent="0.25">
      <c r="T18803" s="135"/>
      <c r="U18803" s="135"/>
    </row>
    <row r="18804" spans="20:21" ht="15" customHeight="1" x14ac:dyDescent="0.25">
      <c r="T18804" s="135"/>
      <c r="U18804" s="135"/>
    </row>
    <row r="18805" spans="20:21" ht="15" customHeight="1" x14ac:dyDescent="0.25">
      <c r="T18805" s="135"/>
      <c r="U18805" s="135"/>
    </row>
    <row r="18806" spans="20:21" ht="15" customHeight="1" x14ac:dyDescent="0.25">
      <c r="T18806" s="135"/>
      <c r="U18806" s="135"/>
    </row>
    <row r="18807" spans="20:21" ht="15" customHeight="1" x14ac:dyDescent="0.25">
      <c r="T18807" s="135"/>
      <c r="U18807" s="135"/>
    </row>
    <row r="18808" spans="20:21" ht="15" customHeight="1" x14ac:dyDescent="0.25">
      <c r="T18808" s="135"/>
      <c r="U18808" s="135"/>
    </row>
    <row r="18809" spans="20:21" ht="15" customHeight="1" x14ac:dyDescent="0.25">
      <c r="T18809" s="135"/>
      <c r="U18809" s="135"/>
    </row>
    <row r="18810" spans="20:21" ht="15" customHeight="1" x14ac:dyDescent="0.25">
      <c r="T18810" s="135"/>
      <c r="U18810" s="135"/>
    </row>
    <row r="18811" spans="20:21" ht="15" customHeight="1" x14ac:dyDescent="0.25">
      <c r="T18811" s="135"/>
      <c r="U18811" s="135"/>
    </row>
    <row r="18812" spans="20:21" ht="15" customHeight="1" x14ac:dyDescent="0.25">
      <c r="T18812" s="135"/>
      <c r="U18812" s="135"/>
    </row>
    <row r="18813" spans="20:21" ht="15" customHeight="1" x14ac:dyDescent="0.25">
      <c r="T18813" s="135"/>
      <c r="U18813" s="135"/>
    </row>
    <row r="18814" spans="20:21" ht="15" customHeight="1" x14ac:dyDescent="0.25">
      <c r="T18814" s="135"/>
      <c r="U18814" s="135"/>
    </row>
    <row r="18815" spans="20:21" ht="15" customHeight="1" x14ac:dyDescent="0.25">
      <c r="T18815" s="135"/>
      <c r="U18815" s="135"/>
    </row>
    <row r="18816" spans="20:21" ht="15" customHeight="1" x14ac:dyDescent="0.25">
      <c r="T18816" s="135"/>
      <c r="U18816" s="135"/>
    </row>
    <row r="18817" spans="20:21" ht="15" customHeight="1" x14ac:dyDescent="0.25">
      <c r="T18817" s="135"/>
      <c r="U18817" s="135"/>
    </row>
    <row r="18818" spans="20:21" ht="15" customHeight="1" x14ac:dyDescent="0.25">
      <c r="T18818" s="135"/>
      <c r="U18818" s="135"/>
    </row>
    <row r="18819" spans="20:21" ht="15" customHeight="1" x14ac:dyDescent="0.25">
      <c r="T18819" s="135"/>
      <c r="U18819" s="135"/>
    </row>
    <row r="18820" spans="20:21" ht="15" customHeight="1" x14ac:dyDescent="0.25">
      <c r="T18820" s="135"/>
      <c r="U18820" s="135"/>
    </row>
    <row r="18821" spans="20:21" ht="15" customHeight="1" x14ac:dyDescent="0.25">
      <c r="T18821" s="135"/>
      <c r="U18821" s="135"/>
    </row>
    <row r="18822" spans="20:21" ht="15" customHeight="1" x14ac:dyDescent="0.25">
      <c r="T18822" s="135"/>
      <c r="U18822" s="135"/>
    </row>
    <row r="18823" spans="20:21" ht="15" customHeight="1" x14ac:dyDescent="0.25">
      <c r="T18823" s="135"/>
      <c r="U18823" s="135"/>
    </row>
    <row r="18824" spans="20:21" ht="15" customHeight="1" x14ac:dyDescent="0.25">
      <c r="T18824" s="135"/>
      <c r="U18824" s="135"/>
    </row>
    <row r="18825" spans="20:21" ht="15" customHeight="1" x14ac:dyDescent="0.25">
      <c r="T18825" s="135"/>
      <c r="U18825" s="135"/>
    </row>
    <row r="18826" spans="20:21" ht="15" customHeight="1" x14ac:dyDescent="0.25">
      <c r="T18826" s="135"/>
      <c r="U18826" s="135"/>
    </row>
    <row r="18827" spans="20:21" ht="15" customHeight="1" x14ac:dyDescent="0.25">
      <c r="T18827" s="135"/>
      <c r="U18827" s="135"/>
    </row>
    <row r="18828" spans="20:21" ht="15" customHeight="1" x14ac:dyDescent="0.25">
      <c r="T18828" s="135"/>
      <c r="U18828" s="135"/>
    </row>
    <row r="18829" spans="20:21" ht="15" customHeight="1" x14ac:dyDescent="0.25">
      <c r="T18829" s="135"/>
      <c r="U18829" s="135"/>
    </row>
    <row r="18830" spans="20:21" ht="15" customHeight="1" x14ac:dyDescent="0.25">
      <c r="T18830" s="135"/>
      <c r="U18830" s="135"/>
    </row>
    <row r="18831" spans="20:21" ht="15" customHeight="1" x14ac:dyDescent="0.25">
      <c r="T18831" s="135"/>
      <c r="U18831" s="135"/>
    </row>
    <row r="18832" spans="20:21" ht="15" customHeight="1" x14ac:dyDescent="0.25">
      <c r="T18832" s="135"/>
      <c r="U18832" s="135"/>
    </row>
    <row r="18833" spans="20:21" ht="15" customHeight="1" x14ac:dyDescent="0.25">
      <c r="T18833" s="135"/>
      <c r="U18833" s="135"/>
    </row>
    <row r="18834" spans="20:21" ht="15" customHeight="1" x14ac:dyDescent="0.25">
      <c r="T18834" s="135"/>
      <c r="U18834" s="135"/>
    </row>
    <row r="18835" spans="20:21" ht="15" customHeight="1" x14ac:dyDescent="0.25">
      <c r="T18835" s="135"/>
      <c r="U18835" s="135"/>
    </row>
    <row r="18836" spans="20:21" ht="15" customHeight="1" x14ac:dyDescent="0.25">
      <c r="T18836" s="135"/>
      <c r="U18836" s="135"/>
    </row>
    <row r="18837" spans="20:21" ht="15" customHeight="1" x14ac:dyDescent="0.25">
      <c r="T18837" s="135"/>
      <c r="U18837" s="135"/>
    </row>
    <row r="18838" spans="20:21" ht="15" customHeight="1" x14ac:dyDescent="0.25">
      <c r="T18838" s="135"/>
      <c r="U18838" s="135"/>
    </row>
    <row r="18839" spans="20:21" ht="15" customHeight="1" x14ac:dyDescent="0.25">
      <c r="T18839" s="135"/>
      <c r="U18839" s="135"/>
    </row>
    <row r="18840" spans="20:21" ht="15" customHeight="1" x14ac:dyDescent="0.25">
      <c r="T18840" s="135"/>
      <c r="U18840" s="135"/>
    </row>
    <row r="18841" spans="20:21" ht="15" customHeight="1" x14ac:dyDescent="0.25">
      <c r="T18841" s="135"/>
      <c r="U18841" s="135"/>
    </row>
    <row r="18842" spans="20:21" ht="15" customHeight="1" x14ac:dyDescent="0.25">
      <c r="T18842" s="135"/>
      <c r="U18842" s="135"/>
    </row>
    <row r="18843" spans="20:21" ht="15" customHeight="1" x14ac:dyDescent="0.25">
      <c r="T18843" s="135"/>
      <c r="U18843" s="135"/>
    </row>
    <row r="18844" spans="20:21" ht="15" customHeight="1" x14ac:dyDescent="0.25">
      <c r="T18844" s="135"/>
      <c r="U18844" s="135"/>
    </row>
    <row r="18845" spans="20:21" ht="15" customHeight="1" x14ac:dyDescent="0.25">
      <c r="T18845" s="135"/>
      <c r="U18845" s="135"/>
    </row>
    <row r="18846" spans="20:21" ht="15" customHeight="1" x14ac:dyDescent="0.25">
      <c r="T18846" s="135"/>
      <c r="U18846" s="135"/>
    </row>
    <row r="18847" spans="20:21" ht="15" customHeight="1" x14ac:dyDescent="0.25">
      <c r="T18847" s="135"/>
      <c r="U18847" s="135"/>
    </row>
    <row r="18848" spans="20:21" ht="15" customHeight="1" x14ac:dyDescent="0.25">
      <c r="T18848" s="135"/>
      <c r="U18848" s="135"/>
    </row>
    <row r="18849" spans="20:21" ht="15" customHeight="1" x14ac:dyDescent="0.25">
      <c r="T18849" s="135"/>
      <c r="U18849" s="135"/>
    </row>
    <row r="18850" spans="20:21" ht="15" customHeight="1" x14ac:dyDescent="0.25">
      <c r="T18850" s="135"/>
      <c r="U18850" s="135"/>
    </row>
    <row r="18851" spans="20:21" ht="15" customHeight="1" x14ac:dyDescent="0.25">
      <c r="T18851" s="135"/>
      <c r="U18851" s="135"/>
    </row>
    <row r="18852" spans="20:21" ht="15" customHeight="1" x14ac:dyDescent="0.25">
      <c r="T18852" s="135"/>
      <c r="U18852" s="135"/>
    </row>
    <row r="18853" spans="20:21" ht="15" customHeight="1" x14ac:dyDescent="0.25">
      <c r="T18853" s="135"/>
      <c r="U18853" s="135"/>
    </row>
    <row r="18854" spans="20:21" ht="15" customHeight="1" x14ac:dyDescent="0.25">
      <c r="T18854" s="135"/>
      <c r="U18854" s="135"/>
    </row>
    <row r="18855" spans="20:21" ht="15" customHeight="1" x14ac:dyDescent="0.25">
      <c r="T18855" s="135"/>
      <c r="U18855" s="135"/>
    </row>
    <row r="18856" spans="20:21" ht="15" customHeight="1" x14ac:dyDescent="0.25">
      <c r="T18856" s="135"/>
      <c r="U18856" s="135"/>
    </row>
    <row r="18857" spans="20:21" ht="15" customHeight="1" x14ac:dyDescent="0.25">
      <c r="T18857" s="135"/>
      <c r="U18857" s="135"/>
    </row>
    <row r="18858" spans="20:21" ht="15" customHeight="1" x14ac:dyDescent="0.25">
      <c r="T18858" s="135"/>
      <c r="U18858" s="135"/>
    </row>
    <row r="18859" spans="20:21" ht="15" customHeight="1" x14ac:dyDescent="0.25">
      <c r="T18859" s="135"/>
      <c r="U18859" s="135"/>
    </row>
    <row r="18860" spans="20:21" ht="15" customHeight="1" x14ac:dyDescent="0.25">
      <c r="T18860" s="135"/>
      <c r="U18860" s="135"/>
    </row>
    <row r="18861" spans="20:21" ht="15" customHeight="1" x14ac:dyDescent="0.25">
      <c r="T18861" s="135"/>
      <c r="U18861" s="135"/>
    </row>
    <row r="18862" spans="20:21" ht="15" customHeight="1" x14ac:dyDescent="0.25">
      <c r="T18862" s="135"/>
      <c r="U18862" s="135"/>
    </row>
    <row r="18863" spans="20:21" ht="15" customHeight="1" x14ac:dyDescent="0.25">
      <c r="T18863" s="135"/>
      <c r="U18863" s="135"/>
    </row>
    <row r="18864" spans="20:21" ht="15" customHeight="1" x14ac:dyDescent="0.25">
      <c r="T18864" s="135"/>
      <c r="U18864" s="135"/>
    </row>
    <row r="18865" spans="20:21" ht="15" customHeight="1" x14ac:dyDescent="0.25">
      <c r="T18865" s="135"/>
      <c r="U18865" s="135"/>
    </row>
    <row r="18866" spans="20:21" ht="15" customHeight="1" x14ac:dyDescent="0.25">
      <c r="T18866" s="135"/>
      <c r="U18866" s="135"/>
    </row>
    <row r="18867" spans="20:21" ht="15" customHeight="1" x14ac:dyDescent="0.25">
      <c r="T18867" s="135"/>
      <c r="U18867" s="135"/>
    </row>
    <row r="18868" spans="20:21" ht="15" customHeight="1" x14ac:dyDescent="0.25">
      <c r="T18868" s="135"/>
      <c r="U18868" s="135"/>
    </row>
    <row r="18869" spans="20:21" ht="15" customHeight="1" x14ac:dyDescent="0.25">
      <c r="T18869" s="135"/>
      <c r="U18869" s="135"/>
    </row>
    <row r="18870" spans="20:21" ht="15" customHeight="1" x14ac:dyDescent="0.25">
      <c r="T18870" s="135"/>
      <c r="U18870" s="135"/>
    </row>
    <row r="18871" spans="20:21" ht="15" customHeight="1" x14ac:dyDescent="0.25">
      <c r="T18871" s="135"/>
      <c r="U18871" s="135"/>
    </row>
    <row r="18872" spans="20:21" ht="15" customHeight="1" x14ac:dyDescent="0.25">
      <c r="T18872" s="135"/>
      <c r="U18872" s="135"/>
    </row>
    <row r="18873" spans="20:21" ht="15" customHeight="1" x14ac:dyDescent="0.25">
      <c r="T18873" s="135"/>
      <c r="U18873" s="135"/>
    </row>
    <row r="18874" spans="20:21" ht="15" customHeight="1" x14ac:dyDescent="0.25">
      <c r="T18874" s="135"/>
      <c r="U18874" s="135"/>
    </row>
    <row r="18875" spans="20:21" ht="15" customHeight="1" x14ac:dyDescent="0.25">
      <c r="T18875" s="135"/>
      <c r="U18875" s="135"/>
    </row>
    <row r="18876" spans="20:21" ht="15" customHeight="1" x14ac:dyDescent="0.25">
      <c r="T18876" s="135"/>
      <c r="U18876" s="135"/>
    </row>
    <row r="18877" spans="20:21" ht="15" customHeight="1" x14ac:dyDescent="0.25">
      <c r="T18877" s="135"/>
      <c r="U18877" s="135"/>
    </row>
    <row r="18878" spans="20:21" ht="15" customHeight="1" x14ac:dyDescent="0.25">
      <c r="T18878" s="135"/>
      <c r="U18878" s="135"/>
    </row>
    <row r="18879" spans="20:21" ht="15" customHeight="1" x14ac:dyDescent="0.25">
      <c r="T18879" s="135"/>
      <c r="U18879" s="135"/>
    </row>
    <row r="18880" spans="20:21" ht="15" customHeight="1" x14ac:dyDescent="0.25">
      <c r="T18880" s="135"/>
      <c r="U18880" s="135"/>
    </row>
    <row r="18881" spans="20:21" ht="15" customHeight="1" x14ac:dyDescent="0.25">
      <c r="T18881" s="135"/>
      <c r="U18881" s="135"/>
    </row>
    <row r="18882" spans="20:21" ht="15" customHeight="1" x14ac:dyDescent="0.25">
      <c r="T18882" s="135"/>
      <c r="U18882" s="135"/>
    </row>
    <row r="18883" spans="20:21" ht="15" customHeight="1" x14ac:dyDescent="0.25">
      <c r="T18883" s="135"/>
      <c r="U18883" s="135"/>
    </row>
    <row r="18884" spans="20:21" ht="15" customHeight="1" x14ac:dyDescent="0.25">
      <c r="T18884" s="135"/>
      <c r="U18884" s="135"/>
    </row>
    <row r="18885" spans="20:21" ht="15" customHeight="1" x14ac:dyDescent="0.25">
      <c r="T18885" s="135"/>
      <c r="U18885" s="135"/>
    </row>
    <row r="18886" spans="20:21" ht="15" customHeight="1" x14ac:dyDescent="0.25">
      <c r="T18886" s="135"/>
      <c r="U18886" s="135"/>
    </row>
    <row r="18887" spans="20:21" ht="15" customHeight="1" x14ac:dyDescent="0.25">
      <c r="T18887" s="135"/>
      <c r="U18887" s="135"/>
    </row>
    <row r="18888" spans="20:21" ht="15" customHeight="1" x14ac:dyDescent="0.25">
      <c r="T18888" s="135"/>
      <c r="U18888" s="135"/>
    </row>
    <row r="18889" spans="20:21" ht="15" customHeight="1" x14ac:dyDescent="0.25">
      <c r="T18889" s="135"/>
      <c r="U18889" s="135"/>
    </row>
    <row r="18890" spans="20:21" ht="15" customHeight="1" x14ac:dyDescent="0.25">
      <c r="T18890" s="135"/>
      <c r="U18890" s="135"/>
    </row>
    <row r="18891" spans="20:21" ht="15" customHeight="1" x14ac:dyDescent="0.25">
      <c r="T18891" s="135"/>
      <c r="U18891" s="135"/>
    </row>
    <row r="18892" spans="20:21" ht="15" customHeight="1" x14ac:dyDescent="0.25">
      <c r="T18892" s="135"/>
      <c r="U18892" s="135"/>
    </row>
    <row r="18893" spans="20:21" ht="15" customHeight="1" x14ac:dyDescent="0.25">
      <c r="T18893" s="135"/>
      <c r="U18893" s="135"/>
    </row>
    <row r="18894" spans="20:21" ht="15" customHeight="1" x14ac:dyDescent="0.25">
      <c r="T18894" s="135"/>
      <c r="U18894" s="135"/>
    </row>
    <row r="18895" spans="20:21" ht="15" customHeight="1" x14ac:dyDescent="0.25">
      <c r="T18895" s="135"/>
      <c r="U18895" s="135"/>
    </row>
    <row r="18896" spans="20:21" ht="15" customHeight="1" x14ac:dyDescent="0.25">
      <c r="T18896" s="135"/>
      <c r="U18896" s="135"/>
    </row>
    <row r="18897" spans="20:21" ht="15" customHeight="1" x14ac:dyDescent="0.25">
      <c r="T18897" s="135"/>
      <c r="U18897" s="135"/>
    </row>
    <row r="18898" spans="20:21" ht="15" customHeight="1" x14ac:dyDescent="0.25">
      <c r="T18898" s="135"/>
      <c r="U18898" s="135"/>
    </row>
    <row r="18899" spans="20:21" ht="15" customHeight="1" x14ac:dyDescent="0.25">
      <c r="T18899" s="135"/>
      <c r="U18899" s="135"/>
    </row>
    <row r="18900" spans="20:21" ht="15" customHeight="1" x14ac:dyDescent="0.25">
      <c r="T18900" s="135"/>
      <c r="U18900" s="135"/>
    </row>
    <row r="18901" spans="20:21" ht="15" customHeight="1" x14ac:dyDescent="0.25">
      <c r="T18901" s="135"/>
      <c r="U18901" s="135"/>
    </row>
    <row r="18902" spans="20:21" ht="15" customHeight="1" x14ac:dyDescent="0.25">
      <c r="T18902" s="135"/>
      <c r="U18902" s="135"/>
    </row>
    <row r="18903" spans="20:21" ht="15" customHeight="1" x14ac:dyDescent="0.25">
      <c r="T18903" s="135"/>
      <c r="U18903" s="135"/>
    </row>
    <row r="18904" spans="20:21" ht="15" customHeight="1" x14ac:dyDescent="0.25">
      <c r="T18904" s="135"/>
      <c r="U18904" s="135"/>
    </row>
    <row r="18905" spans="20:21" ht="15" customHeight="1" x14ac:dyDescent="0.25">
      <c r="T18905" s="135"/>
      <c r="U18905" s="135"/>
    </row>
    <row r="18906" spans="20:21" ht="15" customHeight="1" x14ac:dyDescent="0.25">
      <c r="T18906" s="135"/>
      <c r="U18906" s="135"/>
    </row>
    <row r="18907" spans="20:21" ht="15" customHeight="1" x14ac:dyDescent="0.25">
      <c r="T18907" s="135"/>
      <c r="U18907" s="135"/>
    </row>
    <row r="18908" spans="20:21" ht="15" customHeight="1" x14ac:dyDescent="0.25">
      <c r="T18908" s="135"/>
      <c r="U18908" s="135"/>
    </row>
    <row r="18909" spans="20:21" ht="15" customHeight="1" x14ac:dyDescent="0.25">
      <c r="T18909" s="135"/>
      <c r="U18909" s="135"/>
    </row>
    <row r="18910" spans="20:21" ht="15" customHeight="1" x14ac:dyDescent="0.25">
      <c r="T18910" s="135"/>
      <c r="U18910" s="135"/>
    </row>
    <row r="18911" spans="20:21" ht="15" customHeight="1" x14ac:dyDescent="0.25">
      <c r="T18911" s="135"/>
      <c r="U18911" s="135"/>
    </row>
    <row r="18912" spans="20:21" ht="15" customHeight="1" x14ac:dyDescent="0.25">
      <c r="T18912" s="135"/>
      <c r="U18912" s="135"/>
    </row>
    <row r="18913" spans="20:21" ht="15" customHeight="1" x14ac:dyDescent="0.25">
      <c r="T18913" s="135"/>
      <c r="U18913" s="135"/>
    </row>
    <row r="18914" spans="20:21" ht="15" customHeight="1" x14ac:dyDescent="0.25">
      <c r="T18914" s="135"/>
      <c r="U18914" s="135"/>
    </row>
    <row r="18915" spans="20:21" ht="15" customHeight="1" x14ac:dyDescent="0.25">
      <c r="T18915" s="135"/>
      <c r="U18915" s="135"/>
    </row>
    <row r="18916" spans="20:21" ht="15" customHeight="1" x14ac:dyDescent="0.25">
      <c r="T18916" s="135"/>
      <c r="U18916" s="135"/>
    </row>
    <row r="18917" spans="20:21" ht="15" customHeight="1" x14ac:dyDescent="0.25">
      <c r="T18917" s="135"/>
      <c r="U18917" s="135"/>
    </row>
    <row r="18918" spans="20:21" ht="15" customHeight="1" x14ac:dyDescent="0.25">
      <c r="T18918" s="135"/>
      <c r="U18918" s="135"/>
    </row>
    <row r="18919" spans="20:21" ht="15" customHeight="1" x14ac:dyDescent="0.25">
      <c r="T18919" s="135"/>
      <c r="U18919" s="135"/>
    </row>
    <row r="18920" spans="20:21" ht="15" customHeight="1" x14ac:dyDescent="0.25">
      <c r="T18920" s="135"/>
      <c r="U18920" s="135"/>
    </row>
    <row r="18921" spans="20:21" ht="15" customHeight="1" x14ac:dyDescent="0.25">
      <c r="T18921" s="135"/>
      <c r="U18921" s="135"/>
    </row>
    <row r="18922" spans="20:21" ht="15" customHeight="1" x14ac:dyDescent="0.25">
      <c r="T18922" s="135"/>
      <c r="U18922" s="135"/>
    </row>
    <row r="18923" spans="20:21" ht="15" customHeight="1" x14ac:dyDescent="0.25">
      <c r="T18923" s="135"/>
      <c r="U18923" s="135"/>
    </row>
    <row r="18924" spans="20:21" ht="15" customHeight="1" x14ac:dyDescent="0.25">
      <c r="T18924" s="135"/>
      <c r="U18924" s="135"/>
    </row>
    <row r="18925" spans="20:21" ht="15" customHeight="1" x14ac:dyDescent="0.25">
      <c r="T18925" s="135"/>
      <c r="U18925" s="135"/>
    </row>
    <row r="18926" spans="20:21" ht="15" customHeight="1" x14ac:dyDescent="0.25">
      <c r="T18926" s="135"/>
      <c r="U18926" s="135"/>
    </row>
    <row r="18927" spans="20:21" ht="15" customHeight="1" x14ac:dyDescent="0.25">
      <c r="T18927" s="135"/>
      <c r="U18927" s="135"/>
    </row>
    <row r="18928" spans="20:21" ht="15" customHeight="1" x14ac:dyDescent="0.25">
      <c r="T18928" s="135"/>
      <c r="U18928" s="135"/>
    </row>
    <row r="18929" spans="20:21" ht="15" customHeight="1" x14ac:dyDescent="0.25">
      <c r="T18929" s="135"/>
      <c r="U18929" s="135"/>
    </row>
    <row r="18930" spans="20:21" ht="15" customHeight="1" x14ac:dyDescent="0.25">
      <c r="T18930" s="135"/>
      <c r="U18930" s="135"/>
    </row>
    <row r="18931" spans="20:21" ht="15" customHeight="1" x14ac:dyDescent="0.25">
      <c r="T18931" s="135"/>
      <c r="U18931" s="135"/>
    </row>
    <row r="18932" spans="20:21" ht="15" customHeight="1" x14ac:dyDescent="0.25">
      <c r="T18932" s="135"/>
      <c r="U18932" s="135"/>
    </row>
    <row r="18933" spans="20:21" ht="15" customHeight="1" x14ac:dyDescent="0.25">
      <c r="T18933" s="135"/>
      <c r="U18933" s="135"/>
    </row>
    <row r="18934" spans="20:21" ht="15" customHeight="1" x14ac:dyDescent="0.25">
      <c r="T18934" s="135"/>
      <c r="U18934" s="135"/>
    </row>
    <row r="18935" spans="20:21" ht="15" customHeight="1" x14ac:dyDescent="0.25">
      <c r="T18935" s="135"/>
      <c r="U18935" s="135"/>
    </row>
    <row r="18936" spans="20:21" ht="15" customHeight="1" x14ac:dyDescent="0.25">
      <c r="T18936" s="135"/>
      <c r="U18936" s="135"/>
    </row>
    <row r="18937" spans="20:21" ht="15" customHeight="1" x14ac:dyDescent="0.25">
      <c r="T18937" s="135"/>
      <c r="U18937" s="135"/>
    </row>
    <row r="18938" spans="20:21" ht="15" customHeight="1" x14ac:dyDescent="0.25">
      <c r="T18938" s="135"/>
      <c r="U18938" s="135"/>
    </row>
    <row r="18939" spans="20:21" ht="15" customHeight="1" x14ac:dyDescent="0.25">
      <c r="T18939" s="135"/>
      <c r="U18939" s="135"/>
    </row>
    <row r="18940" spans="20:21" ht="15" customHeight="1" x14ac:dyDescent="0.25">
      <c r="T18940" s="135"/>
      <c r="U18940" s="135"/>
    </row>
    <row r="18941" spans="20:21" ht="15" customHeight="1" x14ac:dyDescent="0.25">
      <c r="T18941" s="135"/>
      <c r="U18941" s="135"/>
    </row>
    <row r="18942" spans="20:21" ht="15" customHeight="1" x14ac:dyDescent="0.25">
      <c r="T18942" s="135"/>
      <c r="U18942" s="135"/>
    </row>
    <row r="18943" spans="20:21" ht="15" customHeight="1" x14ac:dyDescent="0.25">
      <c r="T18943" s="135"/>
      <c r="U18943" s="135"/>
    </row>
    <row r="18944" spans="20:21" ht="15" customHeight="1" x14ac:dyDescent="0.25">
      <c r="T18944" s="135"/>
      <c r="U18944" s="135"/>
    </row>
    <row r="18945" spans="20:21" ht="15" customHeight="1" x14ac:dyDescent="0.25">
      <c r="T18945" s="135"/>
      <c r="U18945" s="135"/>
    </row>
    <row r="18946" spans="20:21" ht="15" customHeight="1" x14ac:dyDescent="0.25">
      <c r="T18946" s="135"/>
      <c r="U18946" s="135"/>
    </row>
    <row r="18947" spans="20:21" ht="15" customHeight="1" x14ac:dyDescent="0.25">
      <c r="T18947" s="135"/>
      <c r="U18947" s="135"/>
    </row>
    <row r="18948" spans="20:21" ht="15" customHeight="1" x14ac:dyDescent="0.25">
      <c r="T18948" s="135"/>
      <c r="U18948" s="135"/>
    </row>
    <row r="18949" spans="20:21" ht="15" customHeight="1" x14ac:dyDescent="0.25">
      <c r="T18949" s="135"/>
      <c r="U18949" s="135"/>
    </row>
    <row r="18950" spans="20:21" ht="15" customHeight="1" x14ac:dyDescent="0.25">
      <c r="T18950" s="135"/>
      <c r="U18950" s="135"/>
    </row>
    <row r="18951" spans="20:21" ht="15" customHeight="1" x14ac:dyDescent="0.25">
      <c r="T18951" s="135"/>
      <c r="U18951" s="135"/>
    </row>
    <row r="18952" spans="20:21" ht="15" customHeight="1" x14ac:dyDescent="0.25">
      <c r="T18952" s="135"/>
      <c r="U18952" s="135"/>
    </row>
    <row r="18953" spans="20:21" ht="15" customHeight="1" x14ac:dyDescent="0.25">
      <c r="T18953" s="135"/>
      <c r="U18953" s="135"/>
    </row>
    <row r="18954" spans="20:21" ht="15" customHeight="1" x14ac:dyDescent="0.25">
      <c r="T18954" s="135"/>
      <c r="U18954" s="135"/>
    </row>
    <row r="18955" spans="20:21" ht="15" customHeight="1" x14ac:dyDescent="0.25">
      <c r="T18955" s="135"/>
      <c r="U18955" s="135"/>
    </row>
    <row r="18956" spans="20:21" ht="15" customHeight="1" x14ac:dyDescent="0.25">
      <c r="T18956" s="135"/>
      <c r="U18956" s="135"/>
    </row>
    <row r="18957" spans="20:21" ht="15" customHeight="1" x14ac:dyDescent="0.25">
      <c r="T18957" s="135"/>
      <c r="U18957" s="135"/>
    </row>
    <row r="18958" spans="20:21" ht="15" customHeight="1" x14ac:dyDescent="0.25">
      <c r="T18958" s="135"/>
      <c r="U18958" s="135"/>
    </row>
    <row r="18959" spans="20:21" ht="15" customHeight="1" x14ac:dyDescent="0.25">
      <c r="T18959" s="135"/>
      <c r="U18959" s="135"/>
    </row>
    <row r="18960" spans="20:21" ht="15" customHeight="1" x14ac:dyDescent="0.25">
      <c r="T18960" s="135"/>
      <c r="U18960" s="135"/>
    </row>
    <row r="18961" spans="20:21" ht="15" customHeight="1" x14ac:dyDescent="0.25">
      <c r="T18961" s="135"/>
      <c r="U18961" s="135"/>
    </row>
    <row r="18962" spans="20:21" ht="15" customHeight="1" x14ac:dyDescent="0.25">
      <c r="T18962" s="135"/>
      <c r="U18962" s="135"/>
    </row>
    <row r="18963" spans="20:21" ht="15" customHeight="1" x14ac:dyDescent="0.25">
      <c r="T18963" s="135"/>
      <c r="U18963" s="135"/>
    </row>
    <row r="18964" spans="20:21" ht="15" customHeight="1" x14ac:dyDescent="0.25">
      <c r="T18964" s="135"/>
      <c r="U18964" s="135"/>
    </row>
    <row r="18965" spans="20:21" ht="15" customHeight="1" x14ac:dyDescent="0.25">
      <c r="T18965" s="135"/>
      <c r="U18965" s="135"/>
    </row>
    <row r="18966" spans="20:21" ht="15" customHeight="1" x14ac:dyDescent="0.25">
      <c r="T18966" s="135"/>
      <c r="U18966" s="135"/>
    </row>
    <row r="18967" spans="20:21" ht="15" customHeight="1" x14ac:dyDescent="0.25">
      <c r="T18967" s="135"/>
      <c r="U18967" s="135"/>
    </row>
    <row r="18968" spans="20:21" ht="15" customHeight="1" x14ac:dyDescent="0.25">
      <c r="T18968" s="135"/>
      <c r="U18968" s="135"/>
    </row>
    <row r="18969" spans="20:21" ht="15" customHeight="1" x14ac:dyDescent="0.25">
      <c r="T18969" s="135"/>
      <c r="U18969" s="135"/>
    </row>
    <row r="18970" spans="20:21" ht="15" customHeight="1" x14ac:dyDescent="0.25">
      <c r="T18970" s="135"/>
      <c r="U18970" s="135"/>
    </row>
    <row r="18971" spans="20:21" ht="15" customHeight="1" x14ac:dyDescent="0.25">
      <c r="T18971" s="135"/>
      <c r="U18971" s="135"/>
    </row>
    <row r="18972" spans="20:21" ht="15" customHeight="1" x14ac:dyDescent="0.25">
      <c r="T18972" s="135"/>
      <c r="U18972" s="135"/>
    </row>
    <row r="18973" spans="20:21" ht="15" customHeight="1" x14ac:dyDescent="0.25">
      <c r="T18973" s="135"/>
      <c r="U18973" s="135"/>
    </row>
    <row r="18974" spans="20:21" ht="15" customHeight="1" x14ac:dyDescent="0.25">
      <c r="T18974" s="135"/>
      <c r="U18974" s="135"/>
    </row>
    <row r="18975" spans="20:21" ht="15" customHeight="1" x14ac:dyDescent="0.25">
      <c r="T18975" s="135"/>
      <c r="U18975" s="135"/>
    </row>
    <row r="18976" spans="20:21" ht="15" customHeight="1" x14ac:dyDescent="0.25">
      <c r="T18976" s="135"/>
      <c r="U18976" s="135"/>
    </row>
    <row r="18977" spans="20:21" ht="15" customHeight="1" x14ac:dyDescent="0.25">
      <c r="T18977" s="135"/>
      <c r="U18977" s="135"/>
    </row>
    <row r="18978" spans="20:21" ht="15" customHeight="1" x14ac:dyDescent="0.25">
      <c r="T18978" s="135"/>
      <c r="U18978" s="135"/>
    </row>
    <row r="18979" spans="20:21" ht="15" customHeight="1" x14ac:dyDescent="0.25">
      <c r="T18979" s="135"/>
      <c r="U18979" s="135"/>
    </row>
    <row r="18980" spans="20:21" ht="15" customHeight="1" x14ac:dyDescent="0.25">
      <c r="T18980" s="135"/>
      <c r="U18980" s="135"/>
    </row>
    <row r="18981" spans="20:21" ht="15" customHeight="1" x14ac:dyDescent="0.25">
      <c r="T18981" s="135"/>
      <c r="U18981" s="135"/>
    </row>
    <row r="18982" spans="20:21" ht="15" customHeight="1" x14ac:dyDescent="0.25">
      <c r="T18982" s="135"/>
      <c r="U18982" s="135"/>
    </row>
    <row r="18983" spans="20:21" ht="15" customHeight="1" x14ac:dyDescent="0.25">
      <c r="T18983" s="135"/>
      <c r="U18983" s="135"/>
    </row>
    <row r="18984" spans="20:21" ht="15" customHeight="1" x14ac:dyDescent="0.25">
      <c r="T18984" s="135"/>
      <c r="U18984" s="135"/>
    </row>
    <row r="18985" spans="20:21" ht="15" customHeight="1" x14ac:dyDescent="0.25">
      <c r="T18985" s="135"/>
      <c r="U18985" s="135"/>
    </row>
    <row r="18986" spans="20:21" ht="15" customHeight="1" x14ac:dyDescent="0.25">
      <c r="T18986" s="135"/>
      <c r="U18986" s="135"/>
    </row>
    <row r="18987" spans="20:21" ht="15" customHeight="1" x14ac:dyDescent="0.25">
      <c r="T18987" s="135"/>
      <c r="U18987" s="135"/>
    </row>
    <row r="18988" spans="20:21" ht="15" customHeight="1" x14ac:dyDescent="0.25">
      <c r="T18988" s="135"/>
      <c r="U18988" s="135"/>
    </row>
    <row r="18989" spans="20:21" ht="15" customHeight="1" x14ac:dyDescent="0.25">
      <c r="T18989" s="135"/>
      <c r="U18989" s="135"/>
    </row>
    <row r="18990" spans="20:21" ht="15" customHeight="1" x14ac:dyDescent="0.25">
      <c r="T18990" s="135"/>
      <c r="U18990" s="135"/>
    </row>
    <row r="18991" spans="20:21" ht="15" customHeight="1" x14ac:dyDescent="0.25">
      <c r="T18991" s="135"/>
      <c r="U18991" s="135"/>
    </row>
    <row r="18992" spans="20:21" ht="15" customHeight="1" x14ac:dyDescent="0.25">
      <c r="T18992" s="135"/>
      <c r="U18992" s="135"/>
    </row>
    <row r="18993" spans="20:21" ht="15" customHeight="1" x14ac:dyDescent="0.25">
      <c r="T18993" s="135"/>
      <c r="U18993" s="135"/>
    </row>
    <row r="18994" spans="20:21" ht="15" customHeight="1" x14ac:dyDescent="0.25">
      <c r="T18994" s="135"/>
      <c r="U18994" s="135"/>
    </row>
    <row r="18995" spans="20:21" ht="15" customHeight="1" x14ac:dyDescent="0.25">
      <c r="T18995" s="135"/>
      <c r="U18995" s="135"/>
    </row>
    <row r="18996" spans="20:21" ht="15" customHeight="1" x14ac:dyDescent="0.25">
      <c r="T18996" s="135"/>
      <c r="U18996" s="135"/>
    </row>
    <row r="18997" spans="20:21" ht="15" customHeight="1" x14ac:dyDescent="0.25">
      <c r="T18997" s="135"/>
      <c r="U18997" s="135"/>
    </row>
    <row r="18998" spans="20:21" ht="15" customHeight="1" x14ac:dyDescent="0.25">
      <c r="T18998" s="135"/>
      <c r="U18998" s="135"/>
    </row>
    <row r="18999" spans="20:21" ht="15" customHeight="1" x14ac:dyDescent="0.25">
      <c r="T18999" s="135"/>
      <c r="U18999" s="135"/>
    </row>
    <row r="19000" spans="20:21" ht="15" customHeight="1" x14ac:dyDescent="0.25">
      <c r="T19000" s="135"/>
      <c r="U19000" s="135"/>
    </row>
    <row r="19001" spans="20:21" ht="15" customHeight="1" x14ac:dyDescent="0.25">
      <c r="T19001" s="135"/>
      <c r="U19001" s="135"/>
    </row>
    <row r="19002" spans="20:21" ht="15" customHeight="1" x14ac:dyDescent="0.25">
      <c r="T19002" s="135"/>
      <c r="U19002" s="135"/>
    </row>
    <row r="19003" spans="20:21" ht="15" customHeight="1" x14ac:dyDescent="0.25">
      <c r="T19003" s="135"/>
      <c r="U19003" s="135"/>
    </row>
    <row r="19004" spans="20:21" ht="15" customHeight="1" x14ac:dyDescent="0.25">
      <c r="T19004" s="135"/>
      <c r="U19004" s="135"/>
    </row>
    <row r="19005" spans="20:21" ht="15" customHeight="1" x14ac:dyDescent="0.25">
      <c r="T19005" s="135"/>
      <c r="U19005" s="135"/>
    </row>
    <row r="19006" spans="20:21" ht="15" customHeight="1" x14ac:dyDescent="0.25">
      <c r="T19006" s="135"/>
      <c r="U19006" s="135"/>
    </row>
    <row r="19007" spans="20:21" ht="15" customHeight="1" x14ac:dyDescent="0.25">
      <c r="T19007" s="135"/>
      <c r="U19007" s="135"/>
    </row>
    <row r="19008" spans="20:21" ht="15" customHeight="1" x14ac:dyDescent="0.25">
      <c r="T19008" s="135"/>
      <c r="U19008" s="135"/>
    </row>
    <row r="19009" spans="20:21" ht="15" customHeight="1" x14ac:dyDescent="0.25">
      <c r="T19009" s="135"/>
      <c r="U19009" s="135"/>
    </row>
    <row r="19010" spans="20:21" ht="15" customHeight="1" x14ac:dyDescent="0.25">
      <c r="T19010" s="135"/>
      <c r="U19010" s="135"/>
    </row>
    <row r="19011" spans="20:21" ht="15" customHeight="1" x14ac:dyDescent="0.25">
      <c r="T19011" s="135"/>
      <c r="U19011" s="135"/>
    </row>
    <row r="19012" spans="20:21" ht="15" customHeight="1" x14ac:dyDescent="0.25">
      <c r="T19012" s="135"/>
      <c r="U19012" s="135"/>
    </row>
    <row r="19013" spans="20:21" ht="15" customHeight="1" x14ac:dyDescent="0.25">
      <c r="T19013" s="135"/>
      <c r="U19013" s="135"/>
    </row>
    <row r="19014" spans="20:21" ht="15" customHeight="1" x14ac:dyDescent="0.25">
      <c r="T19014" s="135"/>
      <c r="U19014" s="135"/>
    </row>
    <row r="19015" spans="20:21" ht="15" customHeight="1" x14ac:dyDescent="0.25">
      <c r="T19015" s="135"/>
      <c r="U19015" s="135"/>
    </row>
    <row r="19016" spans="20:21" ht="15" customHeight="1" x14ac:dyDescent="0.25">
      <c r="T19016" s="135"/>
      <c r="U19016" s="135"/>
    </row>
    <row r="19017" spans="20:21" ht="15" customHeight="1" x14ac:dyDescent="0.25">
      <c r="T19017" s="135"/>
      <c r="U19017" s="135"/>
    </row>
    <row r="19018" spans="20:21" ht="15" customHeight="1" x14ac:dyDescent="0.25">
      <c r="T19018" s="135"/>
      <c r="U19018" s="135"/>
    </row>
    <row r="19019" spans="20:21" ht="15" customHeight="1" x14ac:dyDescent="0.25">
      <c r="T19019" s="135"/>
      <c r="U19019" s="135"/>
    </row>
    <row r="19020" spans="20:21" ht="15" customHeight="1" x14ac:dyDescent="0.25">
      <c r="T19020" s="135"/>
      <c r="U19020" s="135"/>
    </row>
    <row r="19021" spans="20:21" ht="15" customHeight="1" x14ac:dyDescent="0.25">
      <c r="T19021" s="135"/>
      <c r="U19021" s="135"/>
    </row>
    <row r="19022" spans="20:21" ht="15" customHeight="1" x14ac:dyDescent="0.25">
      <c r="T19022" s="135"/>
      <c r="U19022" s="135"/>
    </row>
    <row r="19023" spans="20:21" ht="15" customHeight="1" x14ac:dyDescent="0.25">
      <c r="T19023" s="135"/>
      <c r="U19023" s="135"/>
    </row>
    <row r="19024" spans="20:21" ht="15" customHeight="1" x14ac:dyDescent="0.25">
      <c r="T19024" s="135"/>
      <c r="U19024" s="135"/>
    </row>
    <row r="19025" spans="20:21" ht="15" customHeight="1" x14ac:dyDescent="0.25">
      <c r="T19025" s="135"/>
      <c r="U19025" s="135"/>
    </row>
    <row r="19026" spans="20:21" ht="15" customHeight="1" x14ac:dyDescent="0.25">
      <c r="T19026" s="135"/>
      <c r="U19026" s="135"/>
    </row>
    <row r="19027" spans="20:21" ht="15" customHeight="1" x14ac:dyDescent="0.25">
      <c r="T19027" s="135"/>
      <c r="U19027" s="135"/>
    </row>
    <row r="19028" spans="20:21" ht="15" customHeight="1" x14ac:dyDescent="0.25">
      <c r="T19028" s="135"/>
      <c r="U19028" s="135"/>
    </row>
    <row r="19029" spans="20:21" ht="15" customHeight="1" x14ac:dyDescent="0.25">
      <c r="T19029" s="135"/>
      <c r="U19029" s="135"/>
    </row>
    <row r="19030" spans="20:21" ht="15" customHeight="1" x14ac:dyDescent="0.25">
      <c r="T19030" s="135"/>
      <c r="U19030" s="135"/>
    </row>
    <row r="19031" spans="20:21" ht="15" customHeight="1" x14ac:dyDescent="0.25">
      <c r="T19031" s="135"/>
      <c r="U19031" s="135"/>
    </row>
    <row r="19032" spans="20:21" ht="15" customHeight="1" x14ac:dyDescent="0.25">
      <c r="T19032" s="135"/>
      <c r="U19032" s="135"/>
    </row>
    <row r="19033" spans="20:21" ht="15" customHeight="1" x14ac:dyDescent="0.25">
      <c r="T19033" s="135"/>
      <c r="U19033" s="135"/>
    </row>
    <row r="19034" spans="20:21" ht="15" customHeight="1" x14ac:dyDescent="0.25">
      <c r="T19034" s="135"/>
      <c r="U19034" s="135"/>
    </row>
    <row r="19035" spans="20:21" ht="15" customHeight="1" x14ac:dyDescent="0.25">
      <c r="T19035" s="135"/>
      <c r="U19035" s="135"/>
    </row>
    <row r="19036" spans="20:21" ht="15" customHeight="1" x14ac:dyDescent="0.25">
      <c r="T19036" s="135"/>
      <c r="U19036" s="135"/>
    </row>
    <row r="19037" spans="20:21" ht="15" customHeight="1" x14ac:dyDescent="0.25">
      <c r="T19037" s="135"/>
      <c r="U19037" s="135"/>
    </row>
    <row r="19038" spans="20:21" ht="15" customHeight="1" x14ac:dyDescent="0.25">
      <c r="T19038" s="135"/>
      <c r="U19038" s="135"/>
    </row>
    <row r="19039" spans="20:21" ht="15" customHeight="1" x14ac:dyDescent="0.25">
      <c r="T19039" s="135"/>
      <c r="U19039" s="135"/>
    </row>
    <row r="19040" spans="20:21" ht="15" customHeight="1" x14ac:dyDescent="0.25">
      <c r="T19040" s="135"/>
      <c r="U19040" s="135"/>
    </row>
    <row r="19041" spans="20:21" ht="15" customHeight="1" x14ac:dyDescent="0.25">
      <c r="T19041" s="135"/>
      <c r="U19041" s="135"/>
    </row>
    <row r="19042" spans="20:21" ht="15" customHeight="1" x14ac:dyDescent="0.25">
      <c r="T19042" s="135"/>
      <c r="U19042" s="135"/>
    </row>
    <row r="19043" spans="20:21" ht="15" customHeight="1" x14ac:dyDescent="0.25">
      <c r="T19043" s="135"/>
      <c r="U19043" s="135"/>
    </row>
    <row r="19044" spans="20:21" ht="15" customHeight="1" x14ac:dyDescent="0.25">
      <c r="T19044" s="135"/>
      <c r="U19044" s="135"/>
    </row>
    <row r="19045" spans="20:21" ht="15" customHeight="1" x14ac:dyDescent="0.25">
      <c r="T19045" s="135"/>
      <c r="U19045" s="135"/>
    </row>
    <row r="19046" spans="20:21" ht="15" customHeight="1" x14ac:dyDescent="0.25">
      <c r="T19046" s="135"/>
      <c r="U19046" s="135"/>
    </row>
    <row r="19047" spans="20:21" ht="15" customHeight="1" x14ac:dyDescent="0.25">
      <c r="T19047" s="135"/>
      <c r="U19047" s="135"/>
    </row>
    <row r="19048" spans="20:21" ht="15" customHeight="1" x14ac:dyDescent="0.25">
      <c r="T19048" s="135"/>
      <c r="U19048" s="135"/>
    </row>
    <row r="19049" spans="20:21" ht="15" customHeight="1" x14ac:dyDescent="0.25">
      <c r="T19049" s="135"/>
      <c r="U19049" s="135"/>
    </row>
    <row r="19050" spans="20:21" ht="15" customHeight="1" x14ac:dyDescent="0.25">
      <c r="T19050" s="135"/>
      <c r="U19050" s="135"/>
    </row>
    <row r="19051" spans="20:21" ht="15" customHeight="1" x14ac:dyDescent="0.25">
      <c r="T19051" s="135"/>
      <c r="U19051" s="135"/>
    </row>
    <row r="19052" spans="20:21" ht="15" customHeight="1" x14ac:dyDescent="0.25">
      <c r="T19052" s="135"/>
      <c r="U19052" s="135"/>
    </row>
    <row r="19053" spans="20:21" ht="15" customHeight="1" x14ac:dyDescent="0.25">
      <c r="T19053" s="135"/>
      <c r="U19053" s="135"/>
    </row>
    <row r="19054" spans="20:21" ht="15" customHeight="1" x14ac:dyDescent="0.25">
      <c r="T19054" s="135"/>
      <c r="U19054" s="135"/>
    </row>
    <row r="19055" spans="20:21" ht="15" customHeight="1" x14ac:dyDescent="0.25">
      <c r="T19055" s="135"/>
      <c r="U19055" s="135"/>
    </row>
    <row r="19056" spans="20:21" ht="15" customHeight="1" x14ac:dyDescent="0.25">
      <c r="T19056" s="135"/>
      <c r="U19056" s="135"/>
    </row>
    <row r="19057" spans="20:21" ht="15" customHeight="1" x14ac:dyDescent="0.25">
      <c r="T19057" s="135"/>
      <c r="U19057" s="135"/>
    </row>
    <row r="19058" spans="20:21" ht="15" customHeight="1" x14ac:dyDescent="0.25">
      <c r="T19058" s="135"/>
      <c r="U19058" s="135"/>
    </row>
    <row r="19059" spans="20:21" ht="15" customHeight="1" x14ac:dyDescent="0.25">
      <c r="T19059" s="135"/>
      <c r="U19059" s="135"/>
    </row>
    <row r="19060" spans="20:21" ht="15" customHeight="1" x14ac:dyDescent="0.25">
      <c r="T19060" s="135"/>
      <c r="U19060" s="135"/>
    </row>
    <row r="19061" spans="20:21" ht="15" customHeight="1" x14ac:dyDescent="0.25">
      <c r="T19061" s="135"/>
      <c r="U19061" s="135"/>
    </row>
    <row r="19062" spans="20:21" ht="15" customHeight="1" x14ac:dyDescent="0.25">
      <c r="T19062" s="135"/>
      <c r="U19062" s="135"/>
    </row>
    <row r="19063" spans="20:21" ht="15" customHeight="1" x14ac:dyDescent="0.25">
      <c r="T19063" s="135"/>
      <c r="U19063" s="135"/>
    </row>
    <row r="19064" spans="20:21" ht="15" customHeight="1" x14ac:dyDescent="0.25">
      <c r="T19064" s="135"/>
      <c r="U19064" s="135"/>
    </row>
    <row r="19065" spans="20:21" ht="15" customHeight="1" x14ac:dyDescent="0.25">
      <c r="T19065" s="135"/>
      <c r="U19065" s="135"/>
    </row>
    <row r="19066" spans="20:21" ht="15" customHeight="1" x14ac:dyDescent="0.25">
      <c r="T19066" s="135"/>
      <c r="U19066" s="135"/>
    </row>
    <row r="19067" spans="20:21" ht="15" customHeight="1" x14ac:dyDescent="0.25">
      <c r="T19067" s="135"/>
      <c r="U19067" s="135"/>
    </row>
    <row r="19068" spans="20:21" ht="15" customHeight="1" x14ac:dyDescent="0.25">
      <c r="T19068" s="135"/>
      <c r="U19068" s="135"/>
    </row>
    <row r="19069" spans="20:21" ht="15" customHeight="1" x14ac:dyDescent="0.25">
      <c r="T19069" s="135"/>
      <c r="U19069" s="135"/>
    </row>
    <row r="19070" spans="20:21" ht="15" customHeight="1" x14ac:dyDescent="0.25">
      <c r="T19070" s="135"/>
      <c r="U19070" s="135"/>
    </row>
    <row r="19071" spans="20:21" ht="15" customHeight="1" x14ac:dyDescent="0.25">
      <c r="T19071" s="135"/>
      <c r="U19071" s="135"/>
    </row>
    <row r="19072" spans="20:21" ht="15" customHeight="1" x14ac:dyDescent="0.25">
      <c r="T19072" s="135"/>
      <c r="U19072" s="135"/>
    </row>
    <row r="19073" spans="20:21" ht="15" customHeight="1" x14ac:dyDescent="0.25">
      <c r="T19073" s="135"/>
      <c r="U19073" s="135"/>
    </row>
    <row r="19074" spans="20:21" ht="15" customHeight="1" x14ac:dyDescent="0.25">
      <c r="T19074" s="135"/>
      <c r="U19074" s="135"/>
    </row>
    <row r="19075" spans="20:21" ht="15" customHeight="1" x14ac:dyDescent="0.25">
      <c r="T19075" s="135"/>
      <c r="U19075" s="135"/>
    </row>
    <row r="19076" spans="20:21" ht="15" customHeight="1" x14ac:dyDescent="0.25">
      <c r="T19076" s="135"/>
      <c r="U19076" s="135"/>
    </row>
    <row r="19077" spans="20:21" ht="15" customHeight="1" x14ac:dyDescent="0.25">
      <c r="T19077" s="135"/>
      <c r="U19077" s="135"/>
    </row>
    <row r="19078" spans="20:21" ht="15" customHeight="1" x14ac:dyDescent="0.25">
      <c r="T19078" s="135"/>
      <c r="U19078" s="135"/>
    </row>
    <row r="19079" spans="20:21" ht="15" customHeight="1" x14ac:dyDescent="0.25">
      <c r="T19079" s="135"/>
      <c r="U19079" s="135"/>
    </row>
    <row r="19080" spans="20:21" ht="15" customHeight="1" x14ac:dyDescent="0.25">
      <c r="T19080" s="135"/>
      <c r="U19080" s="135"/>
    </row>
    <row r="19081" spans="20:21" ht="15" customHeight="1" x14ac:dyDescent="0.25">
      <c r="T19081" s="135"/>
      <c r="U19081" s="135"/>
    </row>
    <row r="19082" spans="20:21" ht="15" customHeight="1" x14ac:dyDescent="0.25">
      <c r="T19082" s="135"/>
      <c r="U19082" s="135"/>
    </row>
    <row r="19083" spans="20:21" ht="15" customHeight="1" x14ac:dyDescent="0.25">
      <c r="T19083" s="135"/>
      <c r="U19083" s="135"/>
    </row>
    <row r="19084" spans="20:21" ht="15" customHeight="1" x14ac:dyDescent="0.25">
      <c r="T19084" s="135"/>
      <c r="U19084" s="135"/>
    </row>
    <row r="19085" spans="20:21" ht="15" customHeight="1" x14ac:dyDescent="0.25">
      <c r="T19085" s="135"/>
      <c r="U19085" s="135"/>
    </row>
    <row r="19086" spans="20:21" ht="15" customHeight="1" x14ac:dyDescent="0.25">
      <c r="T19086" s="135"/>
      <c r="U19086" s="135"/>
    </row>
    <row r="19087" spans="20:21" ht="15" customHeight="1" x14ac:dyDescent="0.25">
      <c r="T19087" s="135"/>
      <c r="U19087" s="135"/>
    </row>
    <row r="19088" spans="20:21" ht="15" customHeight="1" x14ac:dyDescent="0.25">
      <c r="T19088" s="135"/>
      <c r="U19088" s="135"/>
    </row>
    <row r="19089" spans="20:21" ht="15" customHeight="1" x14ac:dyDescent="0.25">
      <c r="T19089" s="135"/>
      <c r="U19089" s="135"/>
    </row>
    <row r="19090" spans="20:21" ht="15" customHeight="1" x14ac:dyDescent="0.25">
      <c r="T19090" s="135"/>
      <c r="U19090" s="135"/>
    </row>
    <row r="19091" spans="20:21" ht="15" customHeight="1" x14ac:dyDescent="0.25">
      <c r="T19091" s="135"/>
      <c r="U19091" s="135"/>
    </row>
    <row r="19092" spans="20:21" ht="15" customHeight="1" x14ac:dyDescent="0.25">
      <c r="T19092" s="135"/>
      <c r="U19092" s="135"/>
    </row>
    <row r="19093" spans="20:21" ht="15" customHeight="1" x14ac:dyDescent="0.25">
      <c r="T19093" s="135"/>
      <c r="U19093" s="135"/>
    </row>
    <row r="19094" spans="20:21" ht="15" customHeight="1" x14ac:dyDescent="0.25">
      <c r="T19094" s="135"/>
      <c r="U19094" s="135"/>
    </row>
    <row r="19095" spans="20:21" ht="15" customHeight="1" x14ac:dyDescent="0.25">
      <c r="T19095" s="135"/>
      <c r="U19095" s="135"/>
    </row>
    <row r="19096" spans="20:21" ht="15" customHeight="1" x14ac:dyDescent="0.25">
      <c r="T19096" s="135"/>
      <c r="U19096" s="135"/>
    </row>
    <row r="19097" spans="20:21" ht="15" customHeight="1" x14ac:dyDescent="0.25">
      <c r="T19097" s="135"/>
      <c r="U19097" s="135"/>
    </row>
    <row r="19098" spans="20:21" ht="15" customHeight="1" x14ac:dyDescent="0.25">
      <c r="T19098" s="135"/>
      <c r="U19098" s="135"/>
    </row>
    <row r="19099" spans="20:21" ht="15" customHeight="1" x14ac:dyDescent="0.25">
      <c r="T19099" s="135"/>
      <c r="U19099" s="135"/>
    </row>
    <row r="19100" spans="20:21" ht="15" customHeight="1" x14ac:dyDescent="0.25">
      <c r="T19100" s="135"/>
      <c r="U19100" s="135"/>
    </row>
    <row r="19101" spans="20:21" ht="15" customHeight="1" x14ac:dyDescent="0.25">
      <c r="T19101" s="135"/>
      <c r="U19101" s="135"/>
    </row>
    <row r="19102" spans="20:21" ht="15" customHeight="1" x14ac:dyDescent="0.25">
      <c r="T19102" s="135"/>
      <c r="U19102" s="135"/>
    </row>
    <row r="19103" spans="20:21" ht="15" customHeight="1" x14ac:dyDescent="0.25">
      <c r="T19103" s="135"/>
      <c r="U19103" s="135"/>
    </row>
    <row r="19104" spans="20:21" ht="15" customHeight="1" x14ac:dyDescent="0.25">
      <c r="T19104" s="135"/>
      <c r="U19104" s="135"/>
    </row>
    <row r="19105" spans="20:21" ht="15" customHeight="1" x14ac:dyDescent="0.25">
      <c r="T19105" s="135"/>
      <c r="U19105" s="135"/>
    </row>
    <row r="19106" spans="20:21" ht="15" customHeight="1" x14ac:dyDescent="0.25">
      <c r="T19106" s="135"/>
      <c r="U19106" s="135"/>
    </row>
    <row r="19107" spans="20:21" ht="15" customHeight="1" x14ac:dyDescent="0.25">
      <c r="T19107" s="135"/>
      <c r="U19107" s="135"/>
    </row>
    <row r="19108" spans="20:21" ht="15" customHeight="1" x14ac:dyDescent="0.25">
      <c r="T19108" s="135"/>
      <c r="U19108" s="135"/>
    </row>
    <row r="19109" spans="20:21" ht="15" customHeight="1" x14ac:dyDescent="0.25">
      <c r="T19109" s="135"/>
      <c r="U19109" s="135"/>
    </row>
    <row r="19110" spans="20:21" ht="15" customHeight="1" x14ac:dyDescent="0.25">
      <c r="T19110" s="135"/>
      <c r="U19110" s="135"/>
    </row>
    <row r="19111" spans="20:21" ht="15" customHeight="1" x14ac:dyDescent="0.25">
      <c r="T19111" s="135"/>
      <c r="U19111" s="135"/>
    </row>
    <row r="19112" spans="20:21" ht="15" customHeight="1" x14ac:dyDescent="0.25">
      <c r="T19112" s="135"/>
      <c r="U19112" s="135"/>
    </row>
    <row r="19113" spans="20:21" ht="15" customHeight="1" x14ac:dyDescent="0.25">
      <c r="T19113" s="135"/>
      <c r="U19113" s="135"/>
    </row>
    <row r="19114" spans="20:21" ht="15" customHeight="1" x14ac:dyDescent="0.25">
      <c r="T19114" s="135"/>
      <c r="U19114" s="135"/>
    </row>
    <row r="19115" spans="20:21" ht="15" customHeight="1" x14ac:dyDescent="0.25">
      <c r="T19115" s="135"/>
      <c r="U19115" s="135"/>
    </row>
    <row r="19116" spans="20:21" ht="15" customHeight="1" x14ac:dyDescent="0.25">
      <c r="T19116" s="135"/>
      <c r="U19116" s="135"/>
    </row>
    <row r="19117" spans="20:21" ht="15" customHeight="1" x14ac:dyDescent="0.25">
      <c r="T19117" s="135"/>
      <c r="U19117" s="135"/>
    </row>
    <row r="19118" spans="20:21" ht="15" customHeight="1" x14ac:dyDescent="0.25">
      <c r="T19118" s="135"/>
      <c r="U19118" s="135"/>
    </row>
    <row r="19119" spans="20:21" ht="15" customHeight="1" x14ac:dyDescent="0.25">
      <c r="T19119" s="135"/>
      <c r="U19119" s="135"/>
    </row>
    <row r="19120" spans="20:21" ht="15" customHeight="1" x14ac:dyDescent="0.25">
      <c r="T19120" s="135"/>
      <c r="U19120" s="135"/>
    </row>
    <row r="19121" spans="20:21" ht="15" customHeight="1" x14ac:dyDescent="0.25">
      <c r="T19121" s="135"/>
      <c r="U19121" s="135"/>
    </row>
    <row r="19122" spans="20:21" ht="15" customHeight="1" x14ac:dyDescent="0.25">
      <c r="T19122" s="135"/>
      <c r="U19122" s="135"/>
    </row>
    <row r="19123" spans="20:21" ht="15" customHeight="1" x14ac:dyDescent="0.25">
      <c r="T19123" s="135"/>
      <c r="U19123" s="135"/>
    </row>
    <row r="19124" spans="20:21" ht="15" customHeight="1" x14ac:dyDescent="0.25">
      <c r="T19124" s="135"/>
      <c r="U19124" s="135"/>
    </row>
    <row r="19125" spans="20:21" ht="15" customHeight="1" x14ac:dyDescent="0.25">
      <c r="T19125" s="135"/>
      <c r="U19125" s="135"/>
    </row>
    <row r="19126" spans="20:21" ht="15" customHeight="1" x14ac:dyDescent="0.25">
      <c r="T19126" s="135"/>
      <c r="U19126" s="135"/>
    </row>
    <row r="19127" spans="20:21" ht="15" customHeight="1" x14ac:dyDescent="0.25">
      <c r="T19127" s="135"/>
      <c r="U19127" s="135"/>
    </row>
    <row r="19128" spans="20:21" ht="15" customHeight="1" x14ac:dyDescent="0.25">
      <c r="T19128" s="135"/>
      <c r="U19128" s="135"/>
    </row>
    <row r="19129" spans="20:21" ht="15" customHeight="1" x14ac:dyDescent="0.25">
      <c r="T19129" s="135"/>
      <c r="U19129" s="135"/>
    </row>
    <row r="19130" spans="20:21" ht="15" customHeight="1" x14ac:dyDescent="0.25">
      <c r="T19130" s="135"/>
      <c r="U19130" s="135"/>
    </row>
    <row r="19131" spans="20:21" ht="15" customHeight="1" x14ac:dyDescent="0.25">
      <c r="T19131" s="135"/>
      <c r="U19131" s="135"/>
    </row>
    <row r="19132" spans="20:21" ht="15" customHeight="1" x14ac:dyDescent="0.25">
      <c r="T19132" s="135"/>
      <c r="U19132" s="135"/>
    </row>
    <row r="19133" spans="20:21" ht="15" customHeight="1" x14ac:dyDescent="0.25">
      <c r="T19133" s="135"/>
      <c r="U19133" s="135"/>
    </row>
    <row r="19134" spans="20:21" ht="15" customHeight="1" x14ac:dyDescent="0.25">
      <c r="T19134" s="135"/>
      <c r="U19134" s="135"/>
    </row>
    <row r="19135" spans="20:21" ht="15" customHeight="1" x14ac:dyDescent="0.25">
      <c r="T19135" s="135"/>
      <c r="U19135" s="135"/>
    </row>
    <row r="19136" spans="20:21" ht="15" customHeight="1" x14ac:dyDescent="0.25">
      <c r="T19136" s="135"/>
      <c r="U19136" s="135"/>
    </row>
    <row r="19137" spans="20:21" ht="15" customHeight="1" x14ac:dyDescent="0.25">
      <c r="T19137" s="135"/>
      <c r="U19137" s="135"/>
    </row>
    <row r="19138" spans="20:21" ht="15" customHeight="1" x14ac:dyDescent="0.25">
      <c r="T19138" s="135"/>
      <c r="U19138" s="135"/>
    </row>
    <row r="19139" spans="20:21" ht="15" customHeight="1" x14ac:dyDescent="0.25">
      <c r="T19139" s="135"/>
      <c r="U19139" s="135"/>
    </row>
    <row r="19140" spans="20:21" ht="15" customHeight="1" x14ac:dyDescent="0.25">
      <c r="T19140" s="135"/>
      <c r="U19140" s="135"/>
    </row>
    <row r="19141" spans="20:21" ht="15" customHeight="1" x14ac:dyDescent="0.25">
      <c r="T19141" s="135"/>
      <c r="U19141" s="135"/>
    </row>
    <row r="19142" spans="20:21" ht="15" customHeight="1" x14ac:dyDescent="0.25">
      <c r="T19142" s="135"/>
      <c r="U19142" s="135"/>
    </row>
    <row r="19143" spans="20:21" ht="15" customHeight="1" x14ac:dyDescent="0.25">
      <c r="T19143" s="135"/>
      <c r="U19143" s="135"/>
    </row>
    <row r="19144" spans="20:21" ht="15" customHeight="1" x14ac:dyDescent="0.25">
      <c r="T19144" s="135"/>
      <c r="U19144" s="135"/>
    </row>
    <row r="19145" spans="20:21" ht="15" customHeight="1" x14ac:dyDescent="0.25">
      <c r="T19145" s="135"/>
      <c r="U19145" s="135"/>
    </row>
    <row r="19146" spans="20:21" ht="15" customHeight="1" x14ac:dyDescent="0.25">
      <c r="T19146" s="135"/>
      <c r="U19146" s="135"/>
    </row>
    <row r="19147" spans="20:21" ht="15" customHeight="1" x14ac:dyDescent="0.25">
      <c r="T19147" s="135"/>
      <c r="U19147" s="135"/>
    </row>
    <row r="19148" spans="20:21" ht="15" customHeight="1" x14ac:dyDescent="0.25">
      <c r="T19148" s="135"/>
      <c r="U19148" s="135"/>
    </row>
    <row r="19149" spans="20:21" ht="15" customHeight="1" x14ac:dyDescent="0.25">
      <c r="T19149" s="135"/>
      <c r="U19149" s="135"/>
    </row>
    <row r="19150" spans="20:21" ht="15" customHeight="1" x14ac:dyDescent="0.25">
      <c r="T19150" s="135"/>
      <c r="U19150" s="135"/>
    </row>
    <row r="19151" spans="20:21" ht="15" customHeight="1" x14ac:dyDescent="0.25">
      <c r="T19151" s="135"/>
      <c r="U19151" s="135"/>
    </row>
    <row r="19152" spans="20:21" ht="15" customHeight="1" x14ac:dyDescent="0.25">
      <c r="T19152" s="135"/>
      <c r="U19152" s="135"/>
    </row>
    <row r="19153" spans="20:21" ht="15" customHeight="1" x14ac:dyDescent="0.25">
      <c r="T19153" s="135"/>
      <c r="U19153" s="135"/>
    </row>
    <row r="19154" spans="20:21" ht="15" customHeight="1" x14ac:dyDescent="0.25">
      <c r="T19154" s="135"/>
      <c r="U19154" s="135"/>
    </row>
    <row r="19155" spans="20:21" ht="15" customHeight="1" x14ac:dyDescent="0.25">
      <c r="T19155" s="135"/>
      <c r="U19155" s="135"/>
    </row>
    <row r="19156" spans="20:21" ht="15" customHeight="1" x14ac:dyDescent="0.25">
      <c r="T19156" s="135"/>
      <c r="U19156" s="135"/>
    </row>
    <row r="19157" spans="20:21" ht="15" customHeight="1" x14ac:dyDescent="0.25">
      <c r="T19157" s="135"/>
      <c r="U19157" s="135"/>
    </row>
    <row r="19158" spans="20:21" ht="15" customHeight="1" x14ac:dyDescent="0.25">
      <c r="T19158" s="135"/>
      <c r="U19158" s="135"/>
    </row>
    <row r="19159" spans="20:21" ht="15" customHeight="1" x14ac:dyDescent="0.25">
      <c r="T19159" s="135"/>
      <c r="U19159" s="135"/>
    </row>
    <row r="19160" spans="20:21" ht="15" customHeight="1" x14ac:dyDescent="0.25">
      <c r="T19160" s="135"/>
      <c r="U19160" s="135"/>
    </row>
    <row r="19161" spans="20:21" ht="15" customHeight="1" x14ac:dyDescent="0.25">
      <c r="T19161" s="135"/>
      <c r="U19161" s="135"/>
    </row>
    <row r="19162" spans="20:21" ht="15" customHeight="1" x14ac:dyDescent="0.25">
      <c r="T19162" s="135"/>
      <c r="U19162" s="135"/>
    </row>
    <row r="19163" spans="20:21" ht="15" customHeight="1" x14ac:dyDescent="0.25">
      <c r="T19163" s="135"/>
      <c r="U19163" s="135"/>
    </row>
    <row r="19164" spans="20:21" ht="15" customHeight="1" x14ac:dyDescent="0.25">
      <c r="T19164" s="135"/>
      <c r="U19164" s="135"/>
    </row>
    <row r="19165" spans="20:21" ht="15" customHeight="1" x14ac:dyDescent="0.25">
      <c r="T19165" s="135"/>
      <c r="U19165" s="135"/>
    </row>
    <row r="19166" spans="20:21" ht="15" customHeight="1" x14ac:dyDescent="0.25">
      <c r="T19166" s="135"/>
      <c r="U19166" s="135"/>
    </row>
    <row r="19167" spans="20:21" ht="15" customHeight="1" x14ac:dyDescent="0.25">
      <c r="T19167" s="135"/>
      <c r="U19167" s="135"/>
    </row>
    <row r="19168" spans="20:21" ht="15" customHeight="1" x14ac:dyDescent="0.25">
      <c r="T19168" s="135"/>
      <c r="U19168" s="135"/>
    </row>
    <row r="19169" spans="20:21" ht="15" customHeight="1" x14ac:dyDescent="0.25">
      <c r="T19169" s="135"/>
      <c r="U19169" s="135"/>
    </row>
    <row r="19170" spans="20:21" ht="15" customHeight="1" x14ac:dyDescent="0.25">
      <c r="T19170" s="135"/>
      <c r="U19170" s="135"/>
    </row>
    <row r="19171" spans="20:21" ht="15" customHeight="1" x14ac:dyDescent="0.25">
      <c r="T19171" s="135"/>
      <c r="U19171" s="135"/>
    </row>
    <row r="19172" spans="20:21" ht="15" customHeight="1" x14ac:dyDescent="0.25">
      <c r="T19172" s="135"/>
      <c r="U19172" s="135"/>
    </row>
    <row r="19173" spans="20:21" ht="15" customHeight="1" x14ac:dyDescent="0.25">
      <c r="T19173" s="135"/>
      <c r="U19173" s="135"/>
    </row>
    <row r="19174" spans="20:21" ht="15" customHeight="1" x14ac:dyDescent="0.25">
      <c r="T19174" s="135"/>
      <c r="U19174" s="135"/>
    </row>
    <row r="19175" spans="20:21" ht="15" customHeight="1" x14ac:dyDescent="0.25">
      <c r="T19175" s="135"/>
      <c r="U19175" s="135"/>
    </row>
    <row r="19176" spans="20:21" ht="15" customHeight="1" x14ac:dyDescent="0.25">
      <c r="T19176" s="135"/>
      <c r="U19176" s="135"/>
    </row>
    <row r="19177" spans="20:21" ht="15" customHeight="1" x14ac:dyDescent="0.25">
      <c r="T19177" s="135"/>
      <c r="U19177" s="135"/>
    </row>
    <row r="19178" spans="20:21" ht="15" customHeight="1" x14ac:dyDescent="0.25">
      <c r="T19178" s="135"/>
      <c r="U19178" s="135"/>
    </row>
    <row r="19179" spans="20:21" ht="15" customHeight="1" x14ac:dyDescent="0.25">
      <c r="T19179" s="135"/>
      <c r="U19179" s="135"/>
    </row>
    <row r="19180" spans="20:21" ht="15" customHeight="1" x14ac:dyDescent="0.25">
      <c r="T19180" s="135"/>
      <c r="U19180" s="135"/>
    </row>
    <row r="19181" spans="20:21" ht="15" customHeight="1" x14ac:dyDescent="0.25">
      <c r="T19181" s="135"/>
      <c r="U19181" s="135"/>
    </row>
    <row r="19182" spans="20:21" ht="15" customHeight="1" x14ac:dyDescent="0.25">
      <c r="T19182" s="135"/>
      <c r="U19182" s="135"/>
    </row>
    <row r="19183" spans="20:21" ht="15" customHeight="1" x14ac:dyDescent="0.25">
      <c r="T19183" s="135"/>
      <c r="U19183" s="135"/>
    </row>
    <row r="19184" spans="20:21" ht="15" customHeight="1" x14ac:dyDescent="0.25">
      <c r="T19184" s="135"/>
      <c r="U19184" s="135"/>
    </row>
    <row r="19185" spans="20:21" ht="15" customHeight="1" x14ac:dyDescent="0.25">
      <c r="T19185" s="135"/>
      <c r="U19185" s="135"/>
    </row>
    <row r="19186" spans="20:21" ht="15" customHeight="1" x14ac:dyDescent="0.25">
      <c r="T19186" s="135"/>
      <c r="U19186" s="135"/>
    </row>
    <row r="19187" spans="20:21" ht="15" customHeight="1" x14ac:dyDescent="0.25">
      <c r="T19187" s="135"/>
      <c r="U19187" s="135"/>
    </row>
    <row r="19188" spans="20:21" ht="15" customHeight="1" x14ac:dyDescent="0.25">
      <c r="T19188" s="135"/>
      <c r="U19188" s="135"/>
    </row>
    <row r="19189" spans="20:21" ht="15" customHeight="1" x14ac:dyDescent="0.25">
      <c r="T19189" s="135"/>
      <c r="U19189" s="135"/>
    </row>
    <row r="19190" spans="20:21" ht="15" customHeight="1" x14ac:dyDescent="0.25">
      <c r="T19190" s="135"/>
      <c r="U19190" s="135"/>
    </row>
    <row r="19191" spans="20:21" ht="15" customHeight="1" x14ac:dyDescent="0.25">
      <c r="T19191" s="135"/>
      <c r="U19191" s="135"/>
    </row>
    <row r="19192" spans="20:21" ht="15" customHeight="1" x14ac:dyDescent="0.25">
      <c r="T19192" s="135"/>
      <c r="U19192" s="135"/>
    </row>
    <row r="19193" spans="20:21" ht="15" customHeight="1" x14ac:dyDescent="0.25">
      <c r="T19193" s="135"/>
      <c r="U19193" s="135"/>
    </row>
    <row r="19194" spans="20:21" ht="15" customHeight="1" x14ac:dyDescent="0.25">
      <c r="T19194" s="135"/>
      <c r="U19194" s="135"/>
    </row>
    <row r="19195" spans="20:21" ht="15" customHeight="1" x14ac:dyDescent="0.25">
      <c r="T19195" s="135"/>
      <c r="U19195" s="135"/>
    </row>
    <row r="19196" spans="20:21" ht="15" customHeight="1" x14ac:dyDescent="0.25">
      <c r="T19196" s="135"/>
      <c r="U19196" s="135"/>
    </row>
    <row r="19197" spans="20:21" ht="15" customHeight="1" x14ac:dyDescent="0.25">
      <c r="T19197" s="135"/>
      <c r="U19197" s="135"/>
    </row>
    <row r="19198" spans="20:21" ht="15" customHeight="1" x14ac:dyDescent="0.25">
      <c r="T19198" s="135"/>
      <c r="U19198" s="135"/>
    </row>
    <row r="19199" spans="20:21" ht="15" customHeight="1" x14ac:dyDescent="0.25">
      <c r="T19199" s="135"/>
      <c r="U19199" s="135"/>
    </row>
    <row r="19200" spans="20:21" ht="15" customHeight="1" x14ac:dyDescent="0.25">
      <c r="T19200" s="135"/>
      <c r="U19200" s="135"/>
    </row>
    <row r="19201" spans="20:21" ht="15" customHeight="1" x14ac:dyDescent="0.25">
      <c r="T19201" s="135"/>
      <c r="U19201" s="135"/>
    </row>
    <row r="19202" spans="20:21" ht="15" customHeight="1" x14ac:dyDescent="0.25">
      <c r="T19202" s="135"/>
      <c r="U19202" s="135"/>
    </row>
    <row r="19203" spans="20:21" ht="15" customHeight="1" x14ac:dyDescent="0.25">
      <c r="T19203" s="135"/>
      <c r="U19203" s="135"/>
    </row>
    <row r="19204" spans="20:21" ht="15" customHeight="1" x14ac:dyDescent="0.25">
      <c r="T19204" s="135"/>
      <c r="U19204" s="135"/>
    </row>
    <row r="19205" spans="20:21" ht="15" customHeight="1" x14ac:dyDescent="0.25">
      <c r="T19205" s="135"/>
      <c r="U19205" s="135"/>
    </row>
    <row r="19206" spans="20:21" ht="15" customHeight="1" x14ac:dyDescent="0.25">
      <c r="T19206" s="135"/>
      <c r="U19206" s="135"/>
    </row>
    <row r="19207" spans="20:21" ht="15" customHeight="1" x14ac:dyDescent="0.25">
      <c r="T19207" s="135"/>
      <c r="U19207" s="135"/>
    </row>
    <row r="19208" spans="20:21" ht="15" customHeight="1" x14ac:dyDescent="0.25">
      <c r="T19208" s="135"/>
      <c r="U19208" s="135"/>
    </row>
    <row r="19209" spans="20:21" ht="15" customHeight="1" x14ac:dyDescent="0.25">
      <c r="T19209" s="135"/>
      <c r="U19209" s="135"/>
    </row>
    <row r="19210" spans="20:21" ht="15" customHeight="1" x14ac:dyDescent="0.25">
      <c r="T19210" s="135"/>
      <c r="U19210" s="135"/>
    </row>
    <row r="19211" spans="20:21" ht="15" customHeight="1" x14ac:dyDescent="0.25">
      <c r="T19211" s="135"/>
      <c r="U19211" s="135"/>
    </row>
    <row r="19212" spans="20:21" ht="15" customHeight="1" x14ac:dyDescent="0.25">
      <c r="T19212" s="135"/>
      <c r="U19212" s="135"/>
    </row>
    <row r="19213" spans="20:21" ht="15" customHeight="1" x14ac:dyDescent="0.25">
      <c r="T19213" s="135"/>
      <c r="U19213" s="135"/>
    </row>
    <row r="19214" spans="20:21" ht="15" customHeight="1" x14ac:dyDescent="0.25">
      <c r="T19214" s="135"/>
      <c r="U19214" s="135"/>
    </row>
    <row r="19215" spans="20:21" ht="15" customHeight="1" x14ac:dyDescent="0.25">
      <c r="T19215" s="135"/>
      <c r="U19215" s="135"/>
    </row>
    <row r="19216" spans="20:21" ht="15" customHeight="1" x14ac:dyDescent="0.25">
      <c r="T19216" s="135"/>
      <c r="U19216" s="135"/>
    </row>
    <row r="19217" spans="20:21" ht="15" customHeight="1" x14ac:dyDescent="0.25">
      <c r="T19217" s="135"/>
      <c r="U19217" s="135"/>
    </row>
    <row r="19218" spans="20:21" ht="15" customHeight="1" x14ac:dyDescent="0.25">
      <c r="T19218" s="135"/>
      <c r="U19218" s="135"/>
    </row>
    <row r="19219" spans="20:21" ht="15" customHeight="1" x14ac:dyDescent="0.25">
      <c r="T19219" s="135"/>
      <c r="U19219" s="135"/>
    </row>
    <row r="19220" spans="20:21" ht="15" customHeight="1" x14ac:dyDescent="0.25">
      <c r="T19220" s="135"/>
      <c r="U19220" s="135"/>
    </row>
    <row r="19221" spans="20:21" ht="15" customHeight="1" x14ac:dyDescent="0.25">
      <c r="T19221" s="135"/>
      <c r="U19221" s="135"/>
    </row>
    <row r="19222" spans="20:21" ht="15" customHeight="1" x14ac:dyDescent="0.25">
      <c r="T19222" s="135"/>
      <c r="U19222" s="135"/>
    </row>
    <row r="19223" spans="20:21" ht="15" customHeight="1" x14ac:dyDescent="0.25">
      <c r="T19223" s="135"/>
      <c r="U19223" s="135"/>
    </row>
    <row r="19224" spans="20:21" ht="15" customHeight="1" x14ac:dyDescent="0.25">
      <c r="T19224" s="135"/>
      <c r="U19224" s="135"/>
    </row>
    <row r="19225" spans="20:21" ht="15" customHeight="1" x14ac:dyDescent="0.25">
      <c r="T19225" s="135"/>
      <c r="U19225" s="135"/>
    </row>
    <row r="19226" spans="20:21" ht="15" customHeight="1" x14ac:dyDescent="0.25">
      <c r="T19226" s="135"/>
      <c r="U19226" s="135"/>
    </row>
    <row r="19227" spans="20:21" ht="15" customHeight="1" x14ac:dyDescent="0.25">
      <c r="T19227" s="135"/>
      <c r="U19227" s="135"/>
    </row>
    <row r="19228" spans="20:21" ht="15" customHeight="1" x14ac:dyDescent="0.25">
      <c r="T19228" s="135"/>
      <c r="U19228" s="135"/>
    </row>
    <row r="19229" spans="20:21" ht="15" customHeight="1" x14ac:dyDescent="0.25">
      <c r="T19229" s="135"/>
      <c r="U19229" s="135"/>
    </row>
    <row r="19230" spans="20:21" ht="15" customHeight="1" x14ac:dyDescent="0.25">
      <c r="T19230" s="135"/>
      <c r="U19230" s="135"/>
    </row>
    <row r="19231" spans="20:21" ht="15" customHeight="1" x14ac:dyDescent="0.25">
      <c r="T19231" s="135"/>
      <c r="U19231" s="135"/>
    </row>
    <row r="19232" spans="20:21" ht="15" customHeight="1" x14ac:dyDescent="0.25">
      <c r="T19232" s="135"/>
      <c r="U19232" s="135"/>
    </row>
    <row r="19233" spans="20:21" ht="15" customHeight="1" x14ac:dyDescent="0.25">
      <c r="T19233" s="135"/>
      <c r="U19233" s="135"/>
    </row>
    <row r="19234" spans="20:21" ht="15" customHeight="1" x14ac:dyDescent="0.25">
      <c r="T19234" s="135"/>
      <c r="U19234" s="135"/>
    </row>
    <row r="19235" spans="20:21" ht="15" customHeight="1" x14ac:dyDescent="0.25">
      <c r="T19235" s="135"/>
      <c r="U19235" s="135"/>
    </row>
    <row r="19236" spans="20:21" ht="15" customHeight="1" x14ac:dyDescent="0.25">
      <c r="T19236" s="135"/>
      <c r="U19236" s="135"/>
    </row>
    <row r="19237" spans="20:21" ht="15" customHeight="1" x14ac:dyDescent="0.25">
      <c r="T19237" s="135"/>
      <c r="U19237" s="135"/>
    </row>
    <row r="19238" spans="20:21" ht="15" customHeight="1" x14ac:dyDescent="0.25">
      <c r="T19238" s="135"/>
      <c r="U19238" s="135"/>
    </row>
    <row r="19239" spans="20:21" ht="15" customHeight="1" x14ac:dyDescent="0.25">
      <c r="T19239" s="135"/>
      <c r="U19239" s="135"/>
    </row>
    <row r="19240" spans="20:21" ht="15" customHeight="1" x14ac:dyDescent="0.25">
      <c r="T19240" s="135"/>
      <c r="U19240" s="135"/>
    </row>
    <row r="19241" spans="20:21" ht="15" customHeight="1" x14ac:dyDescent="0.25">
      <c r="T19241" s="135"/>
      <c r="U19241" s="135"/>
    </row>
    <row r="19242" spans="20:21" ht="15" customHeight="1" x14ac:dyDescent="0.25">
      <c r="T19242" s="135"/>
      <c r="U19242" s="135"/>
    </row>
    <row r="19243" spans="20:21" ht="15" customHeight="1" x14ac:dyDescent="0.25">
      <c r="T19243" s="135"/>
      <c r="U19243" s="135"/>
    </row>
    <row r="19244" spans="20:21" ht="15" customHeight="1" x14ac:dyDescent="0.25">
      <c r="T19244" s="135"/>
      <c r="U19244" s="135"/>
    </row>
    <row r="19245" spans="20:21" ht="15" customHeight="1" x14ac:dyDescent="0.25">
      <c r="T19245" s="135"/>
      <c r="U19245" s="135"/>
    </row>
    <row r="19246" spans="20:21" ht="15" customHeight="1" x14ac:dyDescent="0.25">
      <c r="T19246" s="135"/>
      <c r="U19246" s="135"/>
    </row>
    <row r="19247" spans="20:21" ht="15" customHeight="1" x14ac:dyDescent="0.25">
      <c r="T19247" s="135"/>
      <c r="U19247" s="135"/>
    </row>
    <row r="19248" spans="20:21" ht="15" customHeight="1" x14ac:dyDescent="0.25">
      <c r="T19248" s="135"/>
      <c r="U19248" s="135"/>
    </row>
    <row r="19249" spans="20:21" ht="15" customHeight="1" x14ac:dyDescent="0.25">
      <c r="T19249" s="135"/>
      <c r="U19249" s="135"/>
    </row>
    <row r="19250" spans="20:21" ht="15" customHeight="1" x14ac:dyDescent="0.25">
      <c r="T19250" s="135"/>
      <c r="U19250" s="135"/>
    </row>
    <row r="19251" spans="20:21" ht="15" customHeight="1" x14ac:dyDescent="0.25">
      <c r="T19251" s="135"/>
      <c r="U19251" s="135"/>
    </row>
    <row r="19252" spans="20:21" ht="15" customHeight="1" x14ac:dyDescent="0.25">
      <c r="T19252" s="135"/>
      <c r="U19252" s="135"/>
    </row>
    <row r="19253" spans="20:21" ht="15" customHeight="1" x14ac:dyDescent="0.25">
      <c r="T19253" s="135"/>
      <c r="U19253" s="135"/>
    </row>
    <row r="19254" spans="20:21" ht="15" customHeight="1" x14ac:dyDescent="0.25">
      <c r="T19254" s="135"/>
      <c r="U19254" s="135"/>
    </row>
    <row r="19255" spans="20:21" ht="15" customHeight="1" x14ac:dyDescent="0.25">
      <c r="T19255" s="135"/>
      <c r="U19255" s="135"/>
    </row>
    <row r="19256" spans="20:21" ht="15" customHeight="1" x14ac:dyDescent="0.25">
      <c r="T19256" s="135"/>
      <c r="U19256" s="135"/>
    </row>
    <row r="19257" spans="20:21" ht="15" customHeight="1" x14ac:dyDescent="0.25">
      <c r="T19257" s="135"/>
      <c r="U19257" s="135"/>
    </row>
    <row r="19258" spans="20:21" ht="15" customHeight="1" x14ac:dyDescent="0.25">
      <c r="T19258" s="135"/>
      <c r="U19258" s="135"/>
    </row>
    <row r="19259" spans="20:21" ht="15" customHeight="1" x14ac:dyDescent="0.25">
      <c r="T19259" s="135"/>
      <c r="U19259" s="135"/>
    </row>
    <row r="19260" spans="20:21" ht="15" customHeight="1" x14ac:dyDescent="0.25">
      <c r="T19260" s="135"/>
      <c r="U19260" s="135"/>
    </row>
    <row r="19261" spans="20:21" ht="15" customHeight="1" x14ac:dyDescent="0.25">
      <c r="T19261" s="135"/>
      <c r="U19261" s="135"/>
    </row>
    <row r="19262" spans="20:21" ht="15" customHeight="1" x14ac:dyDescent="0.25">
      <c r="T19262" s="135"/>
      <c r="U19262" s="135"/>
    </row>
    <row r="19263" spans="20:21" ht="15" customHeight="1" x14ac:dyDescent="0.25">
      <c r="T19263" s="135"/>
      <c r="U19263" s="135"/>
    </row>
    <row r="19264" spans="20:21" ht="15" customHeight="1" x14ac:dyDescent="0.25">
      <c r="T19264" s="135"/>
      <c r="U19264" s="135"/>
    </row>
    <row r="19265" spans="20:21" ht="15" customHeight="1" x14ac:dyDescent="0.25">
      <c r="T19265" s="135"/>
      <c r="U19265" s="135"/>
    </row>
    <row r="19266" spans="20:21" ht="15" customHeight="1" x14ac:dyDescent="0.25">
      <c r="T19266" s="135"/>
      <c r="U19266" s="135"/>
    </row>
    <row r="19267" spans="20:21" ht="15" customHeight="1" x14ac:dyDescent="0.25">
      <c r="T19267" s="135"/>
      <c r="U19267" s="135"/>
    </row>
    <row r="19268" spans="20:21" ht="15" customHeight="1" x14ac:dyDescent="0.25">
      <c r="T19268" s="135"/>
      <c r="U19268" s="135"/>
    </row>
    <row r="19269" spans="20:21" ht="15" customHeight="1" x14ac:dyDescent="0.25">
      <c r="T19269" s="135"/>
      <c r="U19269" s="135"/>
    </row>
    <row r="19270" spans="20:21" ht="15" customHeight="1" x14ac:dyDescent="0.25">
      <c r="T19270" s="135"/>
      <c r="U19270" s="135"/>
    </row>
    <row r="19271" spans="20:21" ht="15" customHeight="1" x14ac:dyDescent="0.25">
      <c r="T19271" s="135"/>
      <c r="U19271" s="135"/>
    </row>
    <row r="19272" spans="20:21" ht="15" customHeight="1" x14ac:dyDescent="0.25">
      <c r="T19272" s="135"/>
      <c r="U19272" s="135"/>
    </row>
    <row r="19273" spans="20:21" ht="15" customHeight="1" x14ac:dyDescent="0.25">
      <c r="T19273" s="135"/>
      <c r="U19273" s="135"/>
    </row>
    <row r="19274" spans="20:21" ht="15" customHeight="1" x14ac:dyDescent="0.25">
      <c r="T19274" s="135"/>
      <c r="U19274" s="135"/>
    </row>
    <row r="19275" spans="20:21" ht="15" customHeight="1" x14ac:dyDescent="0.25">
      <c r="T19275" s="135"/>
      <c r="U19275" s="135"/>
    </row>
    <row r="19276" spans="20:21" ht="15" customHeight="1" x14ac:dyDescent="0.25">
      <c r="T19276" s="135"/>
      <c r="U19276" s="135"/>
    </row>
    <row r="19277" spans="20:21" ht="15" customHeight="1" x14ac:dyDescent="0.25">
      <c r="T19277" s="135"/>
      <c r="U19277" s="135"/>
    </row>
    <row r="19278" spans="20:21" ht="15" customHeight="1" x14ac:dyDescent="0.25">
      <c r="T19278" s="135"/>
      <c r="U19278" s="135"/>
    </row>
    <row r="19279" spans="20:21" ht="15" customHeight="1" x14ac:dyDescent="0.25">
      <c r="T19279" s="135"/>
      <c r="U19279" s="135"/>
    </row>
    <row r="19280" spans="20:21" ht="15" customHeight="1" x14ac:dyDescent="0.25">
      <c r="T19280" s="135"/>
      <c r="U19280" s="135"/>
    </row>
    <row r="19281" spans="20:21" ht="15" customHeight="1" x14ac:dyDescent="0.25">
      <c r="T19281" s="135"/>
      <c r="U19281" s="135"/>
    </row>
    <row r="19282" spans="20:21" ht="15" customHeight="1" x14ac:dyDescent="0.25">
      <c r="T19282" s="135"/>
      <c r="U19282" s="135"/>
    </row>
    <row r="19283" spans="20:21" ht="15" customHeight="1" x14ac:dyDescent="0.25">
      <c r="T19283" s="135"/>
      <c r="U19283" s="135"/>
    </row>
    <row r="19284" spans="20:21" ht="15" customHeight="1" x14ac:dyDescent="0.25">
      <c r="T19284" s="135"/>
      <c r="U19284" s="135"/>
    </row>
    <row r="19285" spans="20:21" ht="15" customHeight="1" x14ac:dyDescent="0.25">
      <c r="T19285" s="135"/>
      <c r="U19285" s="135"/>
    </row>
    <row r="19286" spans="20:21" ht="15" customHeight="1" x14ac:dyDescent="0.25">
      <c r="T19286" s="135"/>
      <c r="U19286" s="135"/>
    </row>
    <row r="19287" spans="20:21" ht="15" customHeight="1" x14ac:dyDescent="0.25">
      <c r="T19287" s="135"/>
      <c r="U19287" s="135"/>
    </row>
    <row r="19288" spans="20:21" ht="15" customHeight="1" x14ac:dyDescent="0.25">
      <c r="T19288" s="135"/>
      <c r="U19288" s="135"/>
    </row>
    <row r="19289" spans="20:21" ht="15" customHeight="1" x14ac:dyDescent="0.25">
      <c r="T19289" s="135"/>
      <c r="U19289" s="135"/>
    </row>
    <row r="19290" spans="20:21" ht="15" customHeight="1" x14ac:dyDescent="0.25">
      <c r="T19290" s="135"/>
      <c r="U19290" s="135"/>
    </row>
    <row r="19291" spans="20:21" ht="15" customHeight="1" x14ac:dyDescent="0.25">
      <c r="T19291" s="135"/>
      <c r="U19291" s="135"/>
    </row>
    <row r="19292" spans="20:21" ht="15" customHeight="1" x14ac:dyDescent="0.25">
      <c r="T19292" s="135"/>
      <c r="U19292" s="135"/>
    </row>
    <row r="19293" spans="20:21" ht="15" customHeight="1" x14ac:dyDescent="0.25">
      <c r="T19293" s="135"/>
      <c r="U19293" s="135"/>
    </row>
    <row r="19294" spans="20:21" ht="15" customHeight="1" x14ac:dyDescent="0.25">
      <c r="T19294" s="135"/>
      <c r="U19294" s="135"/>
    </row>
    <row r="19295" spans="20:21" ht="15" customHeight="1" x14ac:dyDescent="0.25">
      <c r="T19295" s="135"/>
      <c r="U19295" s="135"/>
    </row>
    <row r="19296" spans="20:21" ht="15" customHeight="1" x14ac:dyDescent="0.25">
      <c r="T19296" s="135"/>
      <c r="U19296" s="135"/>
    </row>
    <row r="19297" spans="20:21" ht="15" customHeight="1" x14ac:dyDescent="0.25">
      <c r="T19297" s="135"/>
      <c r="U19297" s="135"/>
    </row>
    <row r="19298" spans="20:21" ht="15" customHeight="1" x14ac:dyDescent="0.25">
      <c r="T19298" s="135"/>
      <c r="U19298" s="135"/>
    </row>
    <row r="19299" spans="20:21" ht="15" customHeight="1" x14ac:dyDescent="0.25">
      <c r="T19299" s="135"/>
      <c r="U19299" s="135"/>
    </row>
    <row r="19300" spans="20:21" ht="15" customHeight="1" x14ac:dyDescent="0.25">
      <c r="T19300" s="135"/>
      <c r="U19300" s="135"/>
    </row>
    <row r="19301" spans="20:21" ht="15" customHeight="1" x14ac:dyDescent="0.25">
      <c r="T19301" s="135"/>
      <c r="U19301" s="135"/>
    </row>
    <row r="19302" spans="20:21" ht="15" customHeight="1" x14ac:dyDescent="0.25">
      <c r="T19302" s="135"/>
      <c r="U19302" s="135"/>
    </row>
    <row r="19303" spans="20:21" ht="15" customHeight="1" x14ac:dyDescent="0.25">
      <c r="T19303" s="135"/>
      <c r="U19303" s="135"/>
    </row>
    <row r="19304" spans="20:21" ht="15" customHeight="1" x14ac:dyDescent="0.25">
      <c r="T19304" s="135"/>
      <c r="U19304" s="135"/>
    </row>
    <row r="19305" spans="20:21" ht="15" customHeight="1" x14ac:dyDescent="0.25">
      <c r="T19305" s="135"/>
      <c r="U19305" s="135"/>
    </row>
    <row r="19306" spans="20:21" ht="15" customHeight="1" x14ac:dyDescent="0.25">
      <c r="T19306" s="135"/>
      <c r="U19306" s="135"/>
    </row>
    <row r="19307" spans="20:21" ht="15" customHeight="1" x14ac:dyDescent="0.25">
      <c r="T19307" s="135"/>
      <c r="U19307" s="135"/>
    </row>
    <row r="19308" spans="20:21" ht="15" customHeight="1" x14ac:dyDescent="0.25">
      <c r="T19308" s="135"/>
      <c r="U19308" s="135"/>
    </row>
    <row r="19309" spans="20:21" ht="15" customHeight="1" x14ac:dyDescent="0.25">
      <c r="T19309" s="135"/>
      <c r="U19309" s="135"/>
    </row>
    <row r="19310" spans="20:21" ht="15" customHeight="1" x14ac:dyDescent="0.25">
      <c r="T19310" s="135"/>
      <c r="U19310" s="135"/>
    </row>
    <row r="19311" spans="20:21" ht="15" customHeight="1" x14ac:dyDescent="0.25">
      <c r="T19311" s="135"/>
      <c r="U19311" s="135"/>
    </row>
    <row r="19312" spans="20:21" ht="15" customHeight="1" x14ac:dyDescent="0.25">
      <c r="T19312" s="135"/>
      <c r="U19312" s="135"/>
    </row>
    <row r="19313" spans="20:21" ht="15" customHeight="1" x14ac:dyDescent="0.25">
      <c r="T19313" s="135"/>
      <c r="U19313" s="135"/>
    </row>
    <row r="19314" spans="20:21" ht="15" customHeight="1" x14ac:dyDescent="0.25">
      <c r="T19314" s="135"/>
      <c r="U19314" s="135"/>
    </row>
    <row r="19315" spans="20:21" ht="15" customHeight="1" x14ac:dyDescent="0.25">
      <c r="T19315" s="135"/>
      <c r="U19315" s="135"/>
    </row>
    <row r="19316" spans="20:21" ht="15" customHeight="1" x14ac:dyDescent="0.25">
      <c r="T19316" s="135"/>
      <c r="U19316" s="135"/>
    </row>
    <row r="19317" spans="20:21" ht="15" customHeight="1" x14ac:dyDescent="0.25">
      <c r="T19317" s="135"/>
      <c r="U19317" s="135"/>
    </row>
    <row r="19318" spans="20:21" ht="15" customHeight="1" x14ac:dyDescent="0.25">
      <c r="T19318" s="135"/>
      <c r="U19318" s="135"/>
    </row>
    <row r="19319" spans="20:21" ht="15" customHeight="1" x14ac:dyDescent="0.25">
      <c r="T19319" s="135"/>
      <c r="U19319" s="135"/>
    </row>
    <row r="19320" spans="20:21" ht="15" customHeight="1" x14ac:dyDescent="0.25">
      <c r="T19320" s="135"/>
      <c r="U19320" s="135"/>
    </row>
    <row r="19321" spans="20:21" ht="15" customHeight="1" x14ac:dyDescent="0.25">
      <c r="T19321" s="135"/>
      <c r="U19321" s="135"/>
    </row>
    <row r="19322" spans="20:21" ht="15" customHeight="1" x14ac:dyDescent="0.25">
      <c r="T19322" s="135"/>
      <c r="U19322" s="135"/>
    </row>
    <row r="19323" spans="20:21" ht="15" customHeight="1" x14ac:dyDescent="0.25">
      <c r="T19323" s="135"/>
      <c r="U19323" s="135"/>
    </row>
    <row r="19324" spans="20:21" ht="15" customHeight="1" x14ac:dyDescent="0.25">
      <c r="T19324" s="135"/>
      <c r="U19324" s="135"/>
    </row>
    <row r="19325" spans="20:21" ht="15" customHeight="1" x14ac:dyDescent="0.25">
      <c r="T19325" s="135"/>
      <c r="U19325" s="135"/>
    </row>
    <row r="19326" spans="20:21" ht="15" customHeight="1" x14ac:dyDescent="0.25">
      <c r="T19326" s="135"/>
      <c r="U19326" s="135"/>
    </row>
    <row r="19327" spans="20:21" ht="15" customHeight="1" x14ac:dyDescent="0.25">
      <c r="T19327" s="135"/>
      <c r="U19327" s="135"/>
    </row>
    <row r="19328" spans="20:21" ht="15" customHeight="1" x14ac:dyDescent="0.25">
      <c r="T19328" s="135"/>
      <c r="U19328" s="135"/>
    </row>
    <row r="19329" spans="20:21" ht="15" customHeight="1" x14ac:dyDescent="0.25">
      <c r="T19329" s="135"/>
      <c r="U19329" s="135"/>
    </row>
    <row r="19330" spans="20:21" ht="15" customHeight="1" x14ac:dyDescent="0.25">
      <c r="T19330" s="135"/>
      <c r="U19330" s="135"/>
    </row>
    <row r="19331" spans="20:21" ht="15" customHeight="1" x14ac:dyDescent="0.25">
      <c r="T19331" s="135"/>
      <c r="U19331" s="135"/>
    </row>
    <row r="19332" spans="20:21" ht="15" customHeight="1" x14ac:dyDescent="0.25">
      <c r="T19332" s="135"/>
      <c r="U19332" s="135"/>
    </row>
    <row r="19333" spans="20:21" ht="15" customHeight="1" x14ac:dyDescent="0.25">
      <c r="T19333" s="135"/>
      <c r="U19333" s="135"/>
    </row>
    <row r="19334" spans="20:21" ht="15" customHeight="1" x14ac:dyDescent="0.25">
      <c r="T19334" s="135"/>
      <c r="U19334" s="135"/>
    </row>
    <row r="19335" spans="20:21" ht="15" customHeight="1" x14ac:dyDescent="0.25">
      <c r="T19335" s="135"/>
      <c r="U19335" s="135"/>
    </row>
    <row r="19336" spans="20:21" ht="15" customHeight="1" x14ac:dyDescent="0.25">
      <c r="T19336" s="135"/>
      <c r="U19336" s="135"/>
    </row>
    <row r="19337" spans="20:21" ht="15" customHeight="1" x14ac:dyDescent="0.25">
      <c r="T19337" s="135"/>
      <c r="U19337" s="135"/>
    </row>
    <row r="19338" spans="20:21" ht="15" customHeight="1" x14ac:dyDescent="0.25">
      <c r="T19338" s="135"/>
      <c r="U19338" s="135"/>
    </row>
    <row r="19339" spans="20:21" ht="15" customHeight="1" x14ac:dyDescent="0.25">
      <c r="T19339" s="135"/>
      <c r="U19339" s="135"/>
    </row>
    <row r="19340" spans="20:21" ht="15" customHeight="1" x14ac:dyDescent="0.25">
      <c r="T19340" s="135"/>
      <c r="U19340" s="135"/>
    </row>
    <row r="19341" spans="20:21" ht="15" customHeight="1" x14ac:dyDescent="0.25">
      <c r="T19341" s="135"/>
      <c r="U19341" s="135"/>
    </row>
    <row r="19342" spans="20:21" ht="15" customHeight="1" x14ac:dyDescent="0.25">
      <c r="T19342" s="135"/>
      <c r="U19342" s="135"/>
    </row>
    <row r="19343" spans="20:21" ht="15" customHeight="1" x14ac:dyDescent="0.25">
      <c r="T19343" s="135"/>
      <c r="U19343" s="135"/>
    </row>
    <row r="19344" spans="20:21" ht="15" customHeight="1" x14ac:dyDescent="0.25">
      <c r="T19344" s="135"/>
      <c r="U19344" s="135"/>
    </row>
    <row r="19345" spans="20:21" ht="15" customHeight="1" x14ac:dyDescent="0.25">
      <c r="T19345" s="135"/>
      <c r="U19345" s="135"/>
    </row>
    <row r="19346" spans="20:21" ht="15" customHeight="1" x14ac:dyDescent="0.25">
      <c r="T19346" s="135"/>
      <c r="U19346" s="135"/>
    </row>
    <row r="19347" spans="20:21" ht="15" customHeight="1" x14ac:dyDescent="0.25">
      <c r="T19347" s="135"/>
      <c r="U19347" s="135"/>
    </row>
    <row r="19348" spans="20:21" ht="15" customHeight="1" x14ac:dyDescent="0.25">
      <c r="T19348" s="135"/>
      <c r="U19348" s="135"/>
    </row>
    <row r="19349" spans="20:21" ht="15" customHeight="1" x14ac:dyDescent="0.25">
      <c r="T19349" s="135"/>
      <c r="U19349" s="135"/>
    </row>
    <row r="19350" spans="20:21" ht="15" customHeight="1" x14ac:dyDescent="0.25">
      <c r="T19350" s="135"/>
      <c r="U19350" s="135"/>
    </row>
    <row r="19351" spans="20:21" ht="15" customHeight="1" x14ac:dyDescent="0.25">
      <c r="T19351" s="135"/>
      <c r="U19351" s="135"/>
    </row>
    <row r="19352" spans="20:21" ht="15" customHeight="1" x14ac:dyDescent="0.25">
      <c r="T19352" s="135"/>
      <c r="U19352" s="135"/>
    </row>
    <row r="19353" spans="20:21" ht="15" customHeight="1" x14ac:dyDescent="0.25">
      <c r="T19353" s="135"/>
      <c r="U19353" s="135"/>
    </row>
    <row r="19354" spans="20:21" ht="15" customHeight="1" x14ac:dyDescent="0.25">
      <c r="T19354" s="135"/>
      <c r="U19354" s="135"/>
    </row>
    <row r="19355" spans="20:21" ht="15" customHeight="1" x14ac:dyDescent="0.25">
      <c r="T19355" s="135"/>
      <c r="U19355" s="135"/>
    </row>
    <row r="19356" spans="20:21" ht="15" customHeight="1" x14ac:dyDescent="0.25">
      <c r="T19356" s="135"/>
      <c r="U19356" s="135"/>
    </row>
    <row r="19357" spans="20:21" ht="15" customHeight="1" x14ac:dyDescent="0.25">
      <c r="T19357" s="135"/>
      <c r="U19357" s="135"/>
    </row>
    <row r="19358" spans="20:21" ht="15" customHeight="1" x14ac:dyDescent="0.25">
      <c r="T19358" s="135"/>
      <c r="U19358" s="135"/>
    </row>
    <row r="19359" spans="20:21" ht="15" customHeight="1" x14ac:dyDescent="0.25">
      <c r="T19359" s="135"/>
      <c r="U19359" s="135"/>
    </row>
    <row r="19360" spans="20:21" ht="15" customHeight="1" x14ac:dyDescent="0.25">
      <c r="T19360" s="135"/>
      <c r="U19360" s="135"/>
    </row>
    <row r="19361" spans="20:21" ht="15" customHeight="1" x14ac:dyDescent="0.25">
      <c r="T19361" s="135"/>
      <c r="U19361" s="135"/>
    </row>
    <row r="19362" spans="20:21" ht="15" customHeight="1" x14ac:dyDescent="0.25">
      <c r="T19362" s="135"/>
      <c r="U19362" s="135"/>
    </row>
    <row r="19363" spans="20:21" ht="15" customHeight="1" x14ac:dyDescent="0.25">
      <c r="T19363" s="135"/>
      <c r="U19363" s="135"/>
    </row>
    <row r="19364" spans="20:21" ht="15" customHeight="1" x14ac:dyDescent="0.25">
      <c r="T19364" s="135"/>
      <c r="U19364" s="135"/>
    </row>
    <row r="19365" spans="20:21" ht="15" customHeight="1" x14ac:dyDescent="0.25">
      <c r="T19365" s="135"/>
      <c r="U19365" s="135"/>
    </row>
    <row r="19366" spans="20:21" ht="15" customHeight="1" x14ac:dyDescent="0.25">
      <c r="T19366" s="135"/>
      <c r="U19366" s="135"/>
    </row>
    <row r="19367" spans="20:21" ht="15" customHeight="1" x14ac:dyDescent="0.25">
      <c r="T19367" s="135"/>
      <c r="U19367" s="135"/>
    </row>
    <row r="19368" spans="20:21" ht="15" customHeight="1" x14ac:dyDescent="0.25">
      <c r="T19368" s="135"/>
      <c r="U19368" s="135"/>
    </row>
    <row r="19369" spans="20:21" ht="15" customHeight="1" x14ac:dyDescent="0.25">
      <c r="T19369" s="135"/>
      <c r="U19369" s="135"/>
    </row>
    <row r="19370" spans="20:21" ht="15" customHeight="1" x14ac:dyDescent="0.25">
      <c r="T19370" s="135"/>
      <c r="U19370" s="135"/>
    </row>
    <row r="19371" spans="20:21" ht="15" customHeight="1" x14ac:dyDescent="0.25">
      <c r="T19371" s="135"/>
      <c r="U19371" s="135"/>
    </row>
    <row r="19372" spans="20:21" ht="15" customHeight="1" x14ac:dyDescent="0.25">
      <c r="T19372" s="135"/>
      <c r="U19372" s="135"/>
    </row>
    <row r="19373" spans="20:21" ht="15" customHeight="1" x14ac:dyDescent="0.25">
      <c r="T19373" s="135"/>
      <c r="U19373" s="135"/>
    </row>
    <row r="19374" spans="20:21" ht="15" customHeight="1" x14ac:dyDescent="0.25">
      <c r="T19374" s="135"/>
      <c r="U19374" s="135"/>
    </row>
    <row r="19375" spans="20:21" ht="15" customHeight="1" x14ac:dyDescent="0.25">
      <c r="T19375" s="135"/>
      <c r="U19375" s="135"/>
    </row>
    <row r="19376" spans="20:21" ht="15" customHeight="1" x14ac:dyDescent="0.25">
      <c r="T19376" s="135"/>
      <c r="U19376" s="135"/>
    </row>
    <row r="19377" spans="20:21" ht="15" customHeight="1" x14ac:dyDescent="0.25">
      <c r="T19377" s="135"/>
      <c r="U19377" s="135"/>
    </row>
    <row r="19378" spans="20:21" ht="15" customHeight="1" x14ac:dyDescent="0.25">
      <c r="T19378" s="135"/>
      <c r="U19378" s="135"/>
    </row>
    <row r="19379" spans="20:21" ht="15" customHeight="1" x14ac:dyDescent="0.25">
      <c r="T19379" s="135"/>
      <c r="U19379" s="135"/>
    </row>
    <row r="19380" spans="20:21" ht="15" customHeight="1" x14ac:dyDescent="0.25">
      <c r="T19380" s="135"/>
      <c r="U19380" s="135"/>
    </row>
    <row r="19381" spans="20:21" ht="15" customHeight="1" x14ac:dyDescent="0.25">
      <c r="T19381" s="135"/>
      <c r="U19381" s="135"/>
    </row>
    <row r="19382" spans="20:21" ht="15" customHeight="1" x14ac:dyDescent="0.25">
      <c r="T19382" s="135"/>
      <c r="U19382" s="135"/>
    </row>
    <row r="19383" spans="20:21" ht="15" customHeight="1" x14ac:dyDescent="0.25">
      <c r="T19383" s="135"/>
      <c r="U19383" s="135"/>
    </row>
    <row r="19384" spans="20:21" ht="15" customHeight="1" x14ac:dyDescent="0.25">
      <c r="T19384" s="135"/>
      <c r="U19384" s="135"/>
    </row>
    <row r="19385" spans="20:21" ht="15" customHeight="1" x14ac:dyDescent="0.25">
      <c r="T19385" s="135"/>
      <c r="U19385" s="135"/>
    </row>
    <row r="19386" spans="20:21" ht="15" customHeight="1" x14ac:dyDescent="0.25">
      <c r="T19386" s="135"/>
      <c r="U19386" s="135"/>
    </row>
    <row r="19387" spans="20:21" ht="15" customHeight="1" x14ac:dyDescent="0.25">
      <c r="T19387" s="135"/>
      <c r="U19387" s="135"/>
    </row>
    <row r="19388" spans="20:21" ht="15" customHeight="1" x14ac:dyDescent="0.25">
      <c r="T19388" s="135"/>
      <c r="U19388" s="135"/>
    </row>
    <row r="19389" spans="20:21" ht="15" customHeight="1" x14ac:dyDescent="0.25">
      <c r="T19389" s="135"/>
      <c r="U19389" s="135"/>
    </row>
    <row r="19390" spans="20:21" ht="15" customHeight="1" x14ac:dyDescent="0.25">
      <c r="T19390" s="135"/>
      <c r="U19390" s="135"/>
    </row>
    <row r="19391" spans="20:21" ht="15" customHeight="1" x14ac:dyDescent="0.25">
      <c r="T19391" s="135"/>
      <c r="U19391" s="135"/>
    </row>
    <row r="19392" spans="20:21" ht="15" customHeight="1" x14ac:dyDescent="0.25">
      <c r="T19392" s="135"/>
      <c r="U19392" s="135"/>
    </row>
    <row r="19393" spans="20:21" ht="15" customHeight="1" x14ac:dyDescent="0.25">
      <c r="T19393" s="135"/>
      <c r="U19393" s="135"/>
    </row>
    <row r="19394" spans="20:21" ht="15" customHeight="1" x14ac:dyDescent="0.25">
      <c r="T19394" s="135"/>
      <c r="U19394" s="135"/>
    </row>
    <row r="19395" spans="20:21" ht="15" customHeight="1" x14ac:dyDescent="0.25">
      <c r="T19395" s="135"/>
      <c r="U19395" s="135"/>
    </row>
    <row r="19396" spans="20:21" ht="15" customHeight="1" x14ac:dyDescent="0.25">
      <c r="T19396" s="135"/>
      <c r="U19396" s="135"/>
    </row>
    <row r="19397" spans="20:21" ht="15" customHeight="1" x14ac:dyDescent="0.25">
      <c r="T19397" s="135"/>
      <c r="U19397" s="135"/>
    </row>
    <row r="19398" spans="20:21" ht="15" customHeight="1" x14ac:dyDescent="0.25">
      <c r="T19398" s="135"/>
      <c r="U19398" s="135"/>
    </row>
    <row r="19399" spans="20:21" ht="15" customHeight="1" x14ac:dyDescent="0.25">
      <c r="T19399" s="135"/>
      <c r="U19399" s="135"/>
    </row>
    <row r="19400" spans="20:21" ht="15" customHeight="1" x14ac:dyDescent="0.25">
      <c r="T19400" s="135"/>
      <c r="U19400" s="135"/>
    </row>
    <row r="19401" spans="20:21" ht="15" customHeight="1" x14ac:dyDescent="0.25">
      <c r="T19401" s="135"/>
      <c r="U19401" s="135"/>
    </row>
    <row r="19402" spans="20:21" ht="15" customHeight="1" x14ac:dyDescent="0.25">
      <c r="T19402" s="135"/>
      <c r="U19402" s="135"/>
    </row>
    <row r="19403" spans="20:21" ht="15" customHeight="1" x14ac:dyDescent="0.25">
      <c r="T19403" s="135"/>
      <c r="U19403" s="135"/>
    </row>
    <row r="19404" spans="20:21" ht="15" customHeight="1" x14ac:dyDescent="0.25">
      <c r="T19404" s="135"/>
      <c r="U19404" s="135"/>
    </row>
    <row r="19405" spans="20:21" ht="15" customHeight="1" x14ac:dyDescent="0.25">
      <c r="T19405" s="135"/>
      <c r="U19405" s="135"/>
    </row>
    <row r="19406" spans="20:21" ht="15" customHeight="1" x14ac:dyDescent="0.25">
      <c r="T19406" s="135"/>
      <c r="U19406" s="135"/>
    </row>
    <row r="19407" spans="20:21" ht="15" customHeight="1" x14ac:dyDescent="0.25">
      <c r="T19407" s="135"/>
      <c r="U19407" s="135"/>
    </row>
    <row r="19408" spans="20:21" ht="15" customHeight="1" x14ac:dyDescent="0.25">
      <c r="T19408" s="135"/>
      <c r="U19408" s="135"/>
    </row>
    <row r="19409" spans="20:21" ht="15" customHeight="1" x14ac:dyDescent="0.25">
      <c r="T19409" s="135"/>
      <c r="U19409" s="135"/>
    </row>
    <row r="19410" spans="20:21" ht="15" customHeight="1" x14ac:dyDescent="0.25">
      <c r="T19410" s="135"/>
      <c r="U19410" s="135"/>
    </row>
    <row r="19411" spans="20:21" ht="15" customHeight="1" x14ac:dyDescent="0.25">
      <c r="T19411" s="135"/>
      <c r="U19411" s="135"/>
    </row>
    <row r="19412" spans="20:21" ht="15" customHeight="1" x14ac:dyDescent="0.25">
      <c r="T19412" s="135"/>
      <c r="U19412" s="135"/>
    </row>
    <row r="19413" spans="20:21" ht="15" customHeight="1" x14ac:dyDescent="0.25">
      <c r="T19413" s="135"/>
      <c r="U19413" s="135"/>
    </row>
    <row r="19414" spans="20:21" ht="15" customHeight="1" x14ac:dyDescent="0.25">
      <c r="T19414" s="135"/>
      <c r="U19414" s="135"/>
    </row>
    <row r="19415" spans="20:21" ht="15" customHeight="1" x14ac:dyDescent="0.25">
      <c r="T19415" s="135"/>
      <c r="U19415" s="135"/>
    </row>
    <row r="19416" spans="20:21" ht="15" customHeight="1" x14ac:dyDescent="0.25">
      <c r="T19416" s="135"/>
      <c r="U19416" s="135"/>
    </row>
    <row r="19417" spans="20:21" ht="15" customHeight="1" x14ac:dyDescent="0.25">
      <c r="T19417" s="135"/>
      <c r="U19417" s="135"/>
    </row>
    <row r="19418" spans="20:21" ht="15" customHeight="1" x14ac:dyDescent="0.25">
      <c r="T19418" s="135"/>
      <c r="U19418" s="135"/>
    </row>
    <row r="19419" spans="20:21" ht="15" customHeight="1" x14ac:dyDescent="0.25">
      <c r="T19419" s="135"/>
      <c r="U19419" s="135"/>
    </row>
    <row r="19420" spans="20:21" ht="15" customHeight="1" x14ac:dyDescent="0.25">
      <c r="T19420" s="135"/>
      <c r="U19420" s="135"/>
    </row>
    <row r="19421" spans="20:21" ht="15" customHeight="1" x14ac:dyDescent="0.25">
      <c r="T19421" s="135"/>
      <c r="U19421" s="135"/>
    </row>
    <row r="19422" spans="20:21" ht="15" customHeight="1" x14ac:dyDescent="0.25">
      <c r="T19422" s="135"/>
      <c r="U19422" s="135"/>
    </row>
    <row r="19423" spans="20:21" ht="15" customHeight="1" x14ac:dyDescent="0.25">
      <c r="T19423" s="135"/>
      <c r="U19423" s="135"/>
    </row>
    <row r="19424" spans="20:21" ht="15" customHeight="1" x14ac:dyDescent="0.25">
      <c r="T19424" s="135"/>
      <c r="U19424" s="135"/>
    </row>
    <row r="19425" spans="20:21" ht="15" customHeight="1" x14ac:dyDescent="0.25">
      <c r="T19425" s="135"/>
      <c r="U19425" s="135"/>
    </row>
    <row r="19426" spans="20:21" ht="15" customHeight="1" x14ac:dyDescent="0.25">
      <c r="T19426" s="135"/>
      <c r="U19426" s="135"/>
    </row>
    <row r="19427" spans="20:21" ht="15" customHeight="1" x14ac:dyDescent="0.25">
      <c r="T19427" s="135"/>
      <c r="U19427" s="135"/>
    </row>
    <row r="19428" spans="20:21" ht="15" customHeight="1" x14ac:dyDescent="0.25">
      <c r="T19428" s="135"/>
      <c r="U19428" s="135"/>
    </row>
    <row r="19429" spans="20:21" ht="15" customHeight="1" x14ac:dyDescent="0.25">
      <c r="T19429" s="135"/>
      <c r="U19429" s="135"/>
    </row>
    <row r="19430" spans="20:21" ht="15" customHeight="1" x14ac:dyDescent="0.25">
      <c r="T19430" s="135"/>
      <c r="U19430" s="135"/>
    </row>
    <row r="19431" spans="20:21" ht="15" customHeight="1" x14ac:dyDescent="0.25">
      <c r="T19431" s="135"/>
      <c r="U19431" s="135"/>
    </row>
    <row r="19432" spans="20:21" ht="15" customHeight="1" x14ac:dyDescent="0.25">
      <c r="T19432" s="135"/>
      <c r="U19432" s="135"/>
    </row>
    <row r="19433" spans="20:21" ht="15" customHeight="1" x14ac:dyDescent="0.25">
      <c r="T19433" s="135"/>
      <c r="U19433" s="135"/>
    </row>
    <row r="19434" spans="20:21" ht="15" customHeight="1" x14ac:dyDescent="0.25">
      <c r="T19434" s="135"/>
      <c r="U19434" s="135"/>
    </row>
    <row r="19435" spans="20:21" ht="15" customHeight="1" x14ac:dyDescent="0.25">
      <c r="T19435" s="135"/>
      <c r="U19435" s="135"/>
    </row>
    <row r="19436" spans="20:21" ht="15" customHeight="1" x14ac:dyDescent="0.25">
      <c r="T19436" s="135"/>
      <c r="U19436" s="135"/>
    </row>
    <row r="19437" spans="20:21" ht="15" customHeight="1" x14ac:dyDescent="0.25">
      <c r="T19437" s="135"/>
      <c r="U19437" s="135"/>
    </row>
    <row r="19438" spans="20:21" ht="15" customHeight="1" x14ac:dyDescent="0.25">
      <c r="T19438" s="135"/>
      <c r="U19438" s="135"/>
    </row>
    <row r="19439" spans="20:21" ht="15" customHeight="1" x14ac:dyDescent="0.25">
      <c r="T19439" s="135"/>
      <c r="U19439" s="135"/>
    </row>
    <row r="19440" spans="20:21" ht="15" customHeight="1" x14ac:dyDescent="0.25">
      <c r="T19440" s="135"/>
      <c r="U19440" s="135"/>
    </row>
    <row r="19441" spans="20:21" ht="15" customHeight="1" x14ac:dyDescent="0.25">
      <c r="T19441" s="135"/>
      <c r="U19441" s="135"/>
    </row>
    <row r="19442" spans="20:21" ht="15" customHeight="1" x14ac:dyDescent="0.25">
      <c r="T19442" s="135"/>
      <c r="U19442" s="135"/>
    </row>
    <row r="19443" spans="20:21" ht="15" customHeight="1" x14ac:dyDescent="0.25">
      <c r="T19443" s="135"/>
      <c r="U19443" s="135"/>
    </row>
    <row r="19444" spans="20:21" ht="15" customHeight="1" x14ac:dyDescent="0.25">
      <c r="T19444" s="135"/>
      <c r="U19444" s="135"/>
    </row>
    <row r="19445" spans="20:21" ht="15" customHeight="1" x14ac:dyDescent="0.25">
      <c r="T19445" s="135"/>
      <c r="U19445" s="135"/>
    </row>
    <row r="19446" spans="20:21" ht="15" customHeight="1" x14ac:dyDescent="0.25">
      <c r="T19446" s="135"/>
      <c r="U19446" s="135"/>
    </row>
    <row r="19447" spans="20:21" ht="15" customHeight="1" x14ac:dyDescent="0.25">
      <c r="T19447" s="135"/>
      <c r="U19447" s="135"/>
    </row>
    <row r="19448" spans="20:21" ht="15" customHeight="1" x14ac:dyDescent="0.25">
      <c r="T19448" s="135"/>
      <c r="U19448" s="135"/>
    </row>
    <row r="19449" spans="20:21" ht="15" customHeight="1" x14ac:dyDescent="0.25">
      <c r="T19449" s="135"/>
      <c r="U19449" s="135"/>
    </row>
    <row r="19450" spans="20:21" ht="15" customHeight="1" x14ac:dyDescent="0.25">
      <c r="T19450" s="135"/>
      <c r="U19450" s="135"/>
    </row>
    <row r="19451" spans="20:21" ht="15" customHeight="1" x14ac:dyDescent="0.25">
      <c r="T19451" s="135"/>
      <c r="U19451" s="135"/>
    </row>
    <row r="19452" spans="20:21" ht="15" customHeight="1" x14ac:dyDescent="0.25">
      <c r="T19452" s="135"/>
      <c r="U19452" s="135"/>
    </row>
    <row r="19453" spans="20:21" ht="15" customHeight="1" x14ac:dyDescent="0.25">
      <c r="T19453" s="135"/>
      <c r="U19453" s="135"/>
    </row>
    <row r="19454" spans="20:21" ht="15" customHeight="1" x14ac:dyDescent="0.25">
      <c r="T19454" s="135"/>
      <c r="U19454" s="135"/>
    </row>
    <row r="19455" spans="20:21" ht="15" customHeight="1" x14ac:dyDescent="0.25">
      <c r="T19455" s="135"/>
      <c r="U19455" s="135"/>
    </row>
    <row r="19456" spans="20:21" ht="15" customHeight="1" x14ac:dyDescent="0.25">
      <c r="T19456" s="135"/>
      <c r="U19456" s="135"/>
    </row>
    <row r="19457" spans="20:21" ht="15" customHeight="1" x14ac:dyDescent="0.25">
      <c r="T19457" s="135"/>
      <c r="U19457" s="135"/>
    </row>
    <row r="19458" spans="20:21" ht="15" customHeight="1" x14ac:dyDescent="0.25">
      <c r="T19458" s="135"/>
      <c r="U19458" s="135"/>
    </row>
    <row r="19459" spans="20:21" ht="15" customHeight="1" x14ac:dyDescent="0.25">
      <c r="T19459" s="135"/>
      <c r="U19459" s="135"/>
    </row>
    <row r="19460" spans="20:21" ht="15" customHeight="1" x14ac:dyDescent="0.25">
      <c r="T19460" s="135"/>
      <c r="U19460" s="135"/>
    </row>
    <row r="19461" spans="20:21" ht="15" customHeight="1" x14ac:dyDescent="0.25">
      <c r="T19461" s="135"/>
      <c r="U19461" s="135"/>
    </row>
    <row r="19462" spans="20:21" ht="15" customHeight="1" x14ac:dyDescent="0.25">
      <c r="T19462" s="135"/>
      <c r="U19462" s="135"/>
    </row>
    <row r="19463" spans="20:21" ht="15" customHeight="1" x14ac:dyDescent="0.25">
      <c r="T19463" s="135"/>
      <c r="U19463" s="135"/>
    </row>
    <row r="19464" spans="20:21" ht="15" customHeight="1" x14ac:dyDescent="0.25">
      <c r="T19464" s="135"/>
      <c r="U19464" s="135"/>
    </row>
    <row r="19465" spans="20:21" ht="15" customHeight="1" x14ac:dyDescent="0.25">
      <c r="T19465" s="135"/>
      <c r="U19465" s="135"/>
    </row>
    <row r="19466" spans="20:21" ht="15" customHeight="1" x14ac:dyDescent="0.25">
      <c r="T19466" s="135"/>
      <c r="U19466" s="135"/>
    </row>
    <row r="19467" spans="20:21" ht="15" customHeight="1" x14ac:dyDescent="0.25">
      <c r="T19467" s="135"/>
      <c r="U19467" s="135"/>
    </row>
    <row r="19468" spans="20:21" ht="15" customHeight="1" x14ac:dyDescent="0.25">
      <c r="T19468" s="135"/>
      <c r="U19468" s="135"/>
    </row>
    <row r="19469" spans="20:21" ht="15" customHeight="1" x14ac:dyDescent="0.25">
      <c r="T19469" s="135"/>
      <c r="U19469" s="135"/>
    </row>
    <row r="19470" spans="20:21" ht="15" customHeight="1" x14ac:dyDescent="0.25">
      <c r="T19470" s="135"/>
      <c r="U19470" s="135"/>
    </row>
    <row r="19471" spans="20:21" ht="15" customHeight="1" x14ac:dyDescent="0.25">
      <c r="T19471" s="135"/>
      <c r="U19471" s="135"/>
    </row>
    <row r="19472" spans="20:21" ht="15" customHeight="1" x14ac:dyDescent="0.25">
      <c r="T19472" s="135"/>
      <c r="U19472" s="135"/>
    </row>
    <row r="19473" spans="20:21" ht="15" customHeight="1" x14ac:dyDescent="0.25">
      <c r="T19473" s="135"/>
      <c r="U19473" s="135"/>
    </row>
    <row r="19474" spans="20:21" ht="15" customHeight="1" x14ac:dyDescent="0.25">
      <c r="T19474" s="135"/>
      <c r="U19474" s="135"/>
    </row>
    <row r="19475" spans="20:21" ht="15" customHeight="1" x14ac:dyDescent="0.25">
      <c r="T19475" s="135"/>
      <c r="U19475" s="135"/>
    </row>
    <row r="19476" spans="20:21" ht="15" customHeight="1" x14ac:dyDescent="0.25">
      <c r="T19476" s="135"/>
      <c r="U19476" s="135"/>
    </row>
    <row r="19477" spans="20:21" ht="15" customHeight="1" x14ac:dyDescent="0.25">
      <c r="T19477" s="135"/>
      <c r="U19477" s="135"/>
    </row>
    <row r="19478" spans="20:21" ht="15" customHeight="1" x14ac:dyDescent="0.25">
      <c r="T19478" s="135"/>
      <c r="U19478" s="135"/>
    </row>
    <row r="19479" spans="20:21" ht="15" customHeight="1" x14ac:dyDescent="0.25">
      <c r="T19479" s="135"/>
      <c r="U19479" s="135"/>
    </row>
    <row r="19480" spans="20:21" ht="15" customHeight="1" x14ac:dyDescent="0.25">
      <c r="T19480" s="135"/>
      <c r="U19480" s="135"/>
    </row>
    <row r="19481" spans="20:21" ht="15" customHeight="1" x14ac:dyDescent="0.25">
      <c r="T19481" s="135"/>
      <c r="U19481" s="135"/>
    </row>
    <row r="19482" spans="20:21" ht="15" customHeight="1" x14ac:dyDescent="0.25">
      <c r="T19482" s="135"/>
      <c r="U19482" s="135"/>
    </row>
    <row r="19483" spans="20:21" ht="15" customHeight="1" x14ac:dyDescent="0.25">
      <c r="T19483" s="135"/>
      <c r="U19483" s="135"/>
    </row>
    <row r="19484" spans="20:21" ht="15" customHeight="1" x14ac:dyDescent="0.25">
      <c r="T19484" s="135"/>
      <c r="U19484" s="135"/>
    </row>
    <row r="19485" spans="20:21" ht="15" customHeight="1" x14ac:dyDescent="0.25">
      <c r="T19485" s="135"/>
      <c r="U19485" s="135"/>
    </row>
    <row r="19486" spans="20:21" ht="15" customHeight="1" x14ac:dyDescent="0.25">
      <c r="T19486" s="135"/>
      <c r="U19486" s="135"/>
    </row>
    <row r="19487" spans="20:21" ht="15" customHeight="1" x14ac:dyDescent="0.25">
      <c r="T19487" s="135"/>
      <c r="U19487" s="135"/>
    </row>
    <row r="19488" spans="20:21" ht="15" customHeight="1" x14ac:dyDescent="0.25">
      <c r="T19488" s="135"/>
      <c r="U19488" s="135"/>
    </row>
    <row r="19489" spans="20:21" ht="15" customHeight="1" x14ac:dyDescent="0.25">
      <c r="T19489" s="135"/>
      <c r="U19489" s="135"/>
    </row>
    <row r="19490" spans="20:21" ht="15" customHeight="1" x14ac:dyDescent="0.25">
      <c r="T19490" s="135"/>
      <c r="U19490" s="135"/>
    </row>
    <row r="19491" spans="20:21" ht="15" customHeight="1" x14ac:dyDescent="0.25">
      <c r="T19491" s="135"/>
      <c r="U19491" s="135"/>
    </row>
    <row r="19492" spans="20:21" ht="15" customHeight="1" x14ac:dyDescent="0.25">
      <c r="T19492" s="135"/>
      <c r="U19492" s="135"/>
    </row>
    <row r="19493" spans="20:21" ht="15" customHeight="1" x14ac:dyDescent="0.25">
      <c r="T19493" s="135"/>
      <c r="U19493" s="135"/>
    </row>
    <row r="19494" spans="20:21" ht="15" customHeight="1" x14ac:dyDescent="0.25">
      <c r="T19494" s="135"/>
      <c r="U19494" s="135"/>
    </row>
    <row r="19495" spans="20:21" ht="15" customHeight="1" x14ac:dyDescent="0.25">
      <c r="T19495" s="135"/>
      <c r="U19495" s="135"/>
    </row>
    <row r="19496" spans="20:21" ht="15" customHeight="1" x14ac:dyDescent="0.25">
      <c r="T19496" s="135"/>
      <c r="U19496" s="135"/>
    </row>
    <row r="19497" spans="20:21" ht="15" customHeight="1" x14ac:dyDescent="0.25">
      <c r="T19497" s="135"/>
      <c r="U19497" s="135"/>
    </row>
    <row r="19498" spans="20:21" ht="15" customHeight="1" x14ac:dyDescent="0.25">
      <c r="T19498" s="135"/>
      <c r="U19498" s="135"/>
    </row>
    <row r="19499" spans="20:21" ht="15" customHeight="1" x14ac:dyDescent="0.25">
      <c r="T19499" s="135"/>
      <c r="U19499" s="135"/>
    </row>
    <row r="19500" spans="20:21" ht="15" customHeight="1" x14ac:dyDescent="0.25">
      <c r="T19500" s="135"/>
      <c r="U19500" s="135"/>
    </row>
    <row r="19501" spans="20:21" ht="15" customHeight="1" x14ac:dyDescent="0.25">
      <c r="T19501" s="135"/>
      <c r="U19501" s="135"/>
    </row>
    <row r="19502" spans="20:21" ht="15" customHeight="1" x14ac:dyDescent="0.25">
      <c r="T19502" s="135"/>
      <c r="U19502" s="135"/>
    </row>
    <row r="19503" spans="20:21" ht="15" customHeight="1" x14ac:dyDescent="0.25">
      <c r="T19503" s="135"/>
      <c r="U19503" s="135"/>
    </row>
    <row r="19504" spans="20:21" ht="15" customHeight="1" x14ac:dyDescent="0.25">
      <c r="T19504" s="135"/>
      <c r="U19504" s="135"/>
    </row>
    <row r="19505" spans="20:21" ht="15" customHeight="1" x14ac:dyDescent="0.25">
      <c r="T19505" s="135"/>
      <c r="U19505" s="135"/>
    </row>
    <row r="19506" spans="20:21" ht="15" customHeight="1" x14ac:dyDescent="0.25">
      <c r="T19506" s="135"/>
      <c r="U19506" s="135"/>
    </row>
    <row r="19507" spans="20:21" ht="15" customHeight="1" x14ac:dyDescent="0.25">
      <c r="T19507" s="135"/>
      <c r="U19507" s="135"/>
    </row>
    <row r="19508" spans="20:21" ht="15" customHeight="1" x14ac:dyDescent="0.25">
      <c r="T19508" s="135"/>
      <c r="U19508" s="135"/>
    </row>
    <row r="19509" spans="20:21" ht="15" customHeight="1" x14ac:dyDescent="0.25">
      <c r="T19509" s="135"/>
      <c r="U19509" s="135"/>
    </row>
    <row r="19510" spans="20:21" ht="15" customHeight="1" x14ac:dyDescent="0.25">
      <c r="T19510" s="135"/>
      <c r="U19510" s="135"/>
    </row>
    <row r="19511" spans="20:21" ht="15" customHeight="1" x14ac:dyDescent="0.25">
      <c r="T19511" s="135"/>
      <c r="U19511" s="135"/>
    </row>
    <row r="19512" spans="20:21" ht="15" customHeight="1" x14ac:dyDescent="0.25">
      <c r="T19512" s="135"/>
      <c r="U19512" s="135"/>
    </row>
    <row r="19513" spans="20:21" ht="15" customHeight="1" x14ac:dyDescent="0.25">
      <c r="T19513" s="135"/>
      <c r="U19513" s="135"/>
    </row>
    <row r="19514" spans="20:21" ht="15" customHeight="1" x14ac:dyDescent="0.25">
      <c r="T19514" s="135"/>
      <c r="U19514" s="135"/>
    </row>
    <row r="19515" spans="20:21" ht="15" customHeight="1" x14ac:dyDescent="0.25">
      <c r="T19515" s="135"/>
      <c r="U19515" s="135"/>
    </row>
    <row r="19516" spans="20:21" ht="15" customHeight="1" x14ac:dyDescent="0.25">
      <c r="T19516" s="135"/>
      <c r="U19516" s="135"/>
    </row>
    <row r="19517" spans="20:21" ht="15" customHeight="1" x14ac:dyDescent="0.25">
      <c r="T19517" s="135"/>
      <c r="U19517" s="135"/>
    </row>
    <row r="19518" spans="20:21" ht="15" customHeight="1" x14ac:dyDescent="0.25">
      <c r="T19518" s="135"/>
      <c r="U19518" s="135"/>
    </row>
    <row r="19519" spans="20:21" ht="15" customHeight="1" x14ac:dyDescent="0.25">
      <c r="T19519" s="135"/>
      <c r="U19519" s="135"/>
    </row>
    <row r="19520" spans="20:21" ht="15" customHeight="1" x14ac:dyDescent="0.25">
      <c r="T19520" s="135"/>
      <c r="U19520" s="135"/>
    </row>
    <row r="19521" spans="20:21" ht="15" customHeight="1" x14ac:dyDescent="0.25">
      <c r="T19521" s="135"/>
      <c r="U19521" s="135"/>
    </row>
    <row r="19522" spans="20:21" ht="15" customHeight="1" x14ac:dyDescent="0.25">
      <c r="T19522" s="135"/>
      <c r="U19522" s="135"/>
    </row>
    <row r="19523" spans="20:21" ht="15" customHeight="1" x14ac:dyDescent="0.25">
      <c r="T19523" s="135"/>
      <c r="U19523" s="135"/>
    </row>
    <row r="19524" spans="20:21" ht="15" customHeight="1" x14ac:dyDescent="0.25">
      <c r="T19524" s="135"/>
      <c r="U19524" s="135"/>
    </row>
    <row r="19525" spans="20:21" ht="15" customHeight="1" x14ac:dyDescent="0.25">
      <c r="T19525" s="135"/>
      <c r="U19525" s="135"/>
    </row>
    <row r="19526" spans="20:21" ht="15" customHeight="1" x14ac:dyDescent="0.25">
      <c r="T19526" s="135"/>
      <c r="U19526" s="135"/>
    </row>
    <row r="19527" spans="20:21" ht="15" customHeight="1" x14ac:dyDescent="0.25">
      <c r="T19527" s="135"/>
      <c r="U19527" s="135"/>
    </row>
    <row r="19528" spans="20:21" ht="15" customHeight="1" x14ac:dyDescent="0.25">
      <c r="T19528" s="135"/>
      <c r="U19528" s="135"/>
    </row>
    <row r="19529" spans="20:21" ht="15" customHeight="1" x14ac:dyDescent="0.25">
      <c r="T19529" s="135"/>
      <c r="U19529" s="135"/>
    </row>
    <row r="19530" spans="20:21" ht="15" customHeight="1" x14ac:dyDescent="0.25">
      <c r="T19530" s="135"/>
      <c r="U19530" s="135"/>
    </row>
    <row r="19531" spans="20:21" ht="15" customHeight="1" x14ac:dyDescent="0.25">
      <c r="T19531" s="135"/>
      <c r="U19531" s="135"/>
    </row>
    <row r="19532" spans="20:21" ht="15" customHeight="1" x14ac:dyDescent="0.25">
      <c r="T19532" s="135"/>
      <c r="U19532" s="135"/>
    </row>
    <row r="19533" spans="20:21" ht="15" customHeight="1" x14ac:dyDescent="0.25">
      <c r="T19533" s="135"/>
      <c r="U19533" s="135"/>
    </row>
    <row r="19534" spans="20:21" ht="15" customHeight="1" x14ac:dyDescent="0.25">
      <c r="T19534" s="135"/>
      <c r="U19534" s="135"/>
    </row>
    <row r="19535" spans="20:21" ht="15" customHeight="1" x14ac:dyDescent="0.25">
      <c r="T19535" s="135"/>
      <c r="U19535" s="135"/>
    </row>
    <row r="19536" spans="20:21" ht="15" customHeight="1" x14ac:dyDescent="0.25">
      <c r="T19536" s="135"/>
      <c r="U19536" s="135"/>
    </row>
    <row r="19537" spans="20:21" ht="15" customHeight="1" x14ac:dyDescent="0.25">
      <c r="T19537" s="135"/>
      <c r="U19537" s="135"/>
    </row>
    <row r="19538" spans="20:21" ht="15" customHeight="1" x14ac:dyDescent="0.25">
      <c r="T19538" s="135"/>
      <c r="U19538" s="135"/>
    </row>
    <row r="19539" spans="20:21" ht="15" customHeight="1" x14ac:dyDescent="0.25">
      <c r="T19539" s="135"/>
      <c r="U19539" s="135"/>
    </row>
    <row r="19540" spans="20:21" ht="15" customHeight="1" x14ac:dyDescent="0.25">
      <c r="T19540" s="135"/>
      <c r="U19540" s="135"/>
    </row>
    <row r="19541" spans="20:21" ht="15" customHeight="1" x14ac:dyDescent="0.25">
      <c r="T19541" s="135"/>
      <c r="U19541" s="135"/>
    </row>
    <row r="19542" spans="20:21" ht="15" customHeight="1" x14ac:dyDescent="0.25">
      <c r="T19542" s="135"/>
      <c r="U19542" s="135"/>
    </row>
    <row r="19543" spans="20:21" ht="15" customHeight="1" x14ac:dyDescent="0.25">
      <c r="T19543" s="135"/>
      <c r="U19543" s="135"/>
    </row>
    <row r="19544" spans="20:21" ht="15" customHeight="1" x14ac:dyDescent="0.25">
      <c r="T19544" s="135"/>
      <c r="U19544" s="135"/>
    </row>
    <row r="19545" spans="20:21" ht="15" customHeight="1" x14ac:dyDescent="0.25">
      <c r="T19545" s="135"/>
      <c r="U19545" s="135"/>
    </row>
    <row r="19546" spans="20:21" ht="15" customHeight="1" x14ac:dyDescent="0.25">
      <c r="T19546" s="135"/>
      <c r="U19546" s="135"/>
    </row>
    <row r="19547" spans="20:21" ht="15" customHeight="1" x14ac:dyDescent="0.25">
      <c r="T19547" s="135"/>
      <c r="U19547" s="135"/>
    </row>
    <row r="19548" spans="20:21" ht="15" customHeight="1" x14ac:dyDescent="0.25">
      <c r="T19548" s="135"/>
      <c r="U19548" s="135"/>
    </row>
    <row r="19549" spans="20:21" ht="15" customHeight="1" x14ac:dyDescent="0.25">
      <c r="T19549" s="135"/>
      <c r="U19549" s="135"/>
    </row>
    <row r="19550" spans="20:21" ht="15" customHeight="1" x14ac:dyDescent="0.25">
      <c r="T19550" s="135"/>
      <c r="U19550" s="135"/>
    </row>
    <row r="19551" spans="20:21" ht="15" customHeight="1" x14ac:dyDescent="0.25">
      <c r="T19551" s="135"/>
      <c r="U19551" s="135"/>
    </row>
    <row r="19552" spans="20:21" ht="15" customHeight="1" x14ac:dyDescent="0.25">
      <c r="T19552" s="135"/>
      <c r="U19552" s="135"/>
    </row>
    <row r="19553" spans="20:21" ht="15" customHeight="1" x14ac:dyDescent="0.25">
      <c r="T19553" s="135"/>
      <c r="U19553" s="135"/>
    </row>
    <row r="19554" spans="20:21" ht="15" customHeight="1" x14ac:dyDescent="0.25">
      <c r="T19554" s="135"/>
      <c r="U19554" s="135"/>
    </row>
    <row r="19555" spans="20:21" ht="15" customHeight="1" x14ac:dyDescent="0.25">
      <c r="T19555" s="135"/>
      <c r="U19555" s="135"/>
    </row>
    <row r="19556" spans="20:21" ht="15" customHeight="1" x14ac:dyDescent="0.25">
      <c r="T19556" s="135"/>
      <c r="U19556" s="135"/>
    </row>
    <row r="19557" spans="20:21" ht="15" customHeight="1" x14ac:dyDescent="0.25">
      <c r="T19557" s="135"/>
      <c r="U19557" s="135"/>
    </row>
    <row r="19558" spans="20:21" ht="15" customHeight="1" x14ac:dyDescent="0.25">
      <c r="T19558" s="135"/>
      <c r="U19558" s="135"/>
    </row>
    <row r="19559" spans="20:21" ht="15" customHeight="1" x14ac:dyDescent="0.25">
      <c r="T19559" s="135"/>
      <c r="U19559" s="135"/>
    </row>
    <row r="19560" spans="20:21" ht="15" customHeight="1" x14ac:dyDescent="0.25">
      <c r="T19560" s="135"/>
      <c r="U19560" s="135"/>
    </row>
    <row r="19561" spans="20:21" ht="15" customHeight="1" x14ac:dyDescent="0.25">
      <c r="T19561" s="135"/>
      <c r="U19561" s="135"/>
    </row>
    <row r="19562" spans="20:21" ht="15" customHeight="1" x14ac:dyDescent="0.25">
      <c r="T19562" s="135"/>
      <c r="U19562" s="135"/>
    </row>
    <row r="19563" spans="20:21" ht="15" customHeight="1" x14ac:dyDescent="0.25">
      <c r="T19563" s="135"/>
      <c r="U19563" s="135"/>
    </row>
    <row r="19564" spans="20:21" ht="15" customHeight="1" x14ac:dyDescent="0.25">
      <c r="T19564" s="135"/>
      <c r="U19564" s="135"/>
    </row>
    <row r="19565" spans="20:21" ht="15" customHeight="1" x14ac:dyDescent="0.25">
      <c r="T19565" s="135"/>
      <c r="U19565" s="135"/>
    </row>
    <row r="19566" spans="20:21" ht="15" customHeight="1" x14ac:dyDescent="0.25">
      <c r="T19566" s="135"/>
      <c r="U19566" s="135"/>
    </row>
    <row r="19567" spans="20:21" ht="15" customHeight="1" x14ac:dyDescent="0.25">
      <c r="T19567" s="135"/>
      <c r="U19567" s="135"/>
    </row>
    <row r="19568" spans="20:21" ht="15" customHeight="1" x14ac:dyDescent="0.25">
      <c r="T19568" s="135"/>
      <c r="U19568" s="135"/>
    </row>
    <row r="19569" spans="20:21" ht="15" customHeight="1" x14ac:dyDescent="0.25">
      <c r="T19569" s="135"/>
      <c r="U19569" s="135"/>
    </row>
    <row r="19570" spans="20:21" ht="15" customHeight="1" x14ac:dyDescent="0.25">
      <c r="T19570" s="135"/>
      <c r="U19570" s="135"/>
    </row>
    <row r="19571" spans="20:21" ht="15" customHeight="1" x14ac:dyDescent="0.25">
      <c r="T19571" s="135"/>
      <c r="U19571" s="135"/>
    </row>
    <row r="19572" spans="20:21" ht="15" customHeight="1" x14ac:dyDescent="0.25">
      <c r="T19572" s="135"/>
      <c r="U19572" s="135"/>
    </row>
    <row r="19573" spans="20:21" ht="15" customHeight="1" x14ac:dyDescent="0.25">
      <c r="T19573" s="135"/>
      <c r="U19573" s="135"/>
    </row>
    <row r="19574" spans="20:21" ht="15" customHeight="1" x14ac:dyDescent="0.25">
      <c r="T19574" s="135"/>
      <c r="U19574" s="135"/>
    </row>
    <row r="19575" spans="20:21" ht="15" customHeight="1" x14ac:dyDescent="0.25">
      <c r="T19575" s="135"/>
      <c r="U19575" s="135"/>
    </row>
    <row r="19576" spans="20:21" ht="15" customHeight="1" x14ac:dyDescent="0.25">
      <c r="T19576" s="135"/>
      <c r="U19576" s="135"/>
    </row>
    <row r="19577" spans="20:21" ht="15" customHeight="1" x14ac:dyDescent="0.25">
      <c r="T19577" s="135"/>
      <c r="U19577" s="135"/>
    </row>
    <row r="19578" spans="20:21" ht="15" customHeight="1" x14ac:dyDescent="0.25">
      <c r="T19578" s="135"/>
      <c r="U19578" s="135"/>
    </row>
    <row r="19579" spans="20:21" ht="15" customHeight="1" x14ac:dyDescent="0.25">
      <c r="T19579" s="135"/>
      <c r="U19579" s="135"/>
    </row>
    <row r="19580" spans="20:21" ht="15" customHeight="1" x14ac:dyDescent="0.25">
      <c r="T19580" s="135"/>
      <c r="U19580" s="135"/>
    </row>
    <row r="19581" spans="20:21" ht="15" customHeight="1" x14ac:dyDescent="0.25">
      <c r="T19581" s="135"/>
      <c r="U19581" s="135"/>
    </row>
    <row r="19582" spans="20:21" ht="15" customHeight="1" x14ac:dyDescent="0.25">
      <c r="T19582" s="135"/>
      <c r="U19582" s="135"/>
    </row>
    <row r="19583" spans="20:21" ht="15" customHeight="1" x14ac:dyDescent="0.25">
      <c r="T19583" s="135"/>
      <c r="U19583" s="135"/>
    </row>
    <row r="19584" spans="20:21" ht="15" customHeight="1" x14ac:dyDescent="0.25">
      <c r="T19584" s="135"/>
      <c r="U19584" s="135"/>
    </row>
    <row r="19585" spans="20:21" ht="15" customHeight="1" x14ac:dyDescent="0.25">
      <c r="T19585" s="135"/>
      <c r="U19585" s="135"/>
    </row>
    <row r="19586" spans="20:21" ht="15" customHeight="1" x14ac:dyDescent="0.25">
      <c r="T19586" s="135"/>
      <c r="U19586" s="135"/>
    </row>
    <row r="19587" spans="20:21" ht="15" customHeight="1" x14ac:dyDescent="0.25">
      <c r="T19587" s="135"/>
      <c r="U19587" s="135"/>
    </row>
    <row r="19588" spans="20:21" ht="15" customHeight="1" x14ac:dyDescent="0.25">
      <c r="T19588" s="135"/>
      <c r="U19588" s="135"/>
    </row>
    <row r="19589" spans="20:21" ht="15" customHeight="1" x14ac:dyDescent="0.25">
      <c r="T19589" s="135"/>
      <c r="U19589" s="135"/>
    </row>
    <row r="19590" spans="20:21" ht="15" customHeight="1" x14ac:dyDescent="0.25">
      <c r="T19590" s="135"/>
      <c r="U19590" s="135"/>
    </row>
    <row r="19591" spans="20:21" ht="15" customHeight="1" x14ac:dyDescent="0.25">
      <c r="T19591" s="135"/>
      <c r="U19591" s="135"/>
    </row>
    <row r="19592" spans="20:21" ht="15" customHeight="1" x14ac:dyDescent="0.25">
      <c r="T19592" s="135"/>
      <c r="U19592" s="135"/>
    </row>
    <row r="19593" spans="20:21" ht="15" customHeight="1" x14ac:dyDescent="0.25">
      <c r="T19593" s="135"/>
      <c r="U19593" s="135"/>
    </row>
    <row r="19594" spans="20:21" ht="15" customHeight="1" x14ac:dyDescent="0.25">
      <c r="T19594" s="135"/>
      <c r="U19594" s="135"/>
    </row>
    <row r="19595" spans="20:21" ht="15" customHeight="1" x14ac:dyDescent="0.25">
      <c r="T19595" s="135"/>
      <c r="U19595" s="135"/>
    </row>
    <row r="19596" spans="20:21" ht="15" customHeight="1" x14ac:dyDescent="0.25">
      <c r="T19596" s="135"/>
      <c r="U19596" s="135"/>
    </row>
    <row r="19597" spans="20:21" ht="15" customHeight="1" x14ac:dyDescent="0.25">
      <c r="T19597" s="135"/>
      <c r="U19597" s="135"/>
    </row>
    <row r="19598" spans="20:21" ht="15" customHeight="1" x14ac:dyDescent="0.25">
      <c r="T19598" s="135"/>
      <c r="U19598" s="135"/>
    </row>
    <row r="19599" spans="20:21" ht="15" customHeight="1" x14ac:dyDescent="0.25">
      <c r="T19599" s="135"/>
      <c r="U19599" s="135"/>
    </row>
    <row r="19600" spans="20:21" ht="15" customHeight="1" x14ac:dyDescent="0.25">
      <c r="T19600" s="135"/>
      <c r="U19600" s="135"/>
    </row>
    <row r="19601" spans="20:21" ht="15" customHeight="1" x14ac:dyDescent="0.25">
      <c r="T19601" s="135"/>
      <c r="U19601" s="135"/>
    </row>
    <row r="19602" spans="20:21" ht="15" customHeight="1" x14ac:dyDescent="0.25">
      <c r="T19602" s="135"/>
      <c r="U19602" s="135"/>
    </row>
    <row r="19603" spans="20:21" ht="15" customHeight="1" x14ac:dyDescent="0.25">
      <c r="T19603" s="135"/>
      <c r="U19603" s="135"/>
    </row>
    <row r="19604" spans="20:21" ht="15" customHeight="1" x14ac:dyDescent="0.25">
      <c r="T19604" s="135"/>
      <c r="U19604" s="135"/>
    </row>
    <row r="19605" spans="20:21" ht="15" customHeight="1" x14ac:dyDescent="0.25">
      <c r="T19605" s="135"/>
      <c r="U19605" s="135"/>
    </row>
    <row r="19606" spans="20:21" ht="15" customHeight="1" x14ac:dyDescent="0.25">
      <c r="T19606" s="135"/>
      <c r="U19606" s="135"/>
    </row>
    <row r="19607" spans="20:21" ht="15" customHeight="1" x14ac:dyDescent="0.25">
      <c r="T19607" s="135"/>
      <c r="U19607" s="135"/>
    </row>
    <row r="19608" spans="20:21" ht="15" customHeight="1" x14ac:dyDescent="0.25">
      <c r="T19608" s="135"/>
      <c r="U19608" s="135"/>
    </row>
    <row r="19609" spans="20:21" ht="15" customHeight="1" x14ac:dyDescent="0.25">
      <c r="T19609" s="135"/>
      <c r="U19609" s="135"/>
    </row>
    <row r="19610" spans="20:21" ht="15" customHeight="1" x14ac:dyDescent="0.25">
      <c r="T19610" s="135"/>
      <c r="U19610" s="135"/>
    </row>
    <row r="19611" spans="20:21" ht="15" customHeight="1" x14ac:dyDescent="0.25">
      <c r="T19611" s="135"/>
      <c r="U19611" s="135"/>
    </row>
    <row r="19612" spans="20:21" ht="15" customHeight="1" x14ac:dyDescent="0.25">
      <c r="T19612" s="135"/>
      <c r="U19612" s="135"/>
    </row>
    <row r="19613" spans="20:21" ht="15" customHeight="1" x14ac:dyDescent="0.25">
      <c r="T19613" s="135"/>
      <c r="U19613" s="135"/>
    </row>
    <row r="19614" spans="20:21" ht="15" customHeight="1" x14ac:dyDescent="0.25">
      <c r="T19614" s="135"/>
      <c r="U19614" s="135"/>
    </row>
    <row r="19615" spans="20:21" ht="15" customHeight="1" x14ac:dyDescent="0.25">
      <c r="T19615" s="135"/>
      <c r="U19615" s="135"/>
    </row>
    <row r="19616" spans="20:21" ht="15" customHeight="1" x14ac:dyDescent="0.25">
      <c r="T19616" s="135"/>
      <c r="U19616" s="135"/>
    </row>
    <row r="19617" spans="20:21" ht="15" customHeight="1" x14ac:dyDescent="0.25">
      <c r="T19617" s="135"/>
      <c r="U19617" s="135"/>
    </row>
    <row r="19618" spans="20:21" ht="15" customHeight="1" x14ac:dyDescent="0.25">
      <c r="T19618" s="135"/>
      <c r="U19618" s="135"/>
    </row>
    <row r="19619" spans="20:21" ht="15" customHeight="1" x14ac:dyDescent="0.25">
      <c r="T19619" s="135"/>
      <c r="U19619" s="135"/>
    </row>
    <row r="19620" spans="20:21" ht="15" customHeight="1" x14ac:dyDescent="0.25">
      <c r="T19620" s="135"/>
      <c r="U19620" s="135"/>
    </row>
    <row r="19621" spans="20:21" ht="15" customHeight="1" x14ac:dyDescent="0.25">
      <c r="T19621" s="135"/>
      <c r="U19621" s="135"/>
    </row>
    <row r="19622" spans="20:21" ht="15" customHeight="1" x14ac:dyDescent="0.25">
      <c r="T19622" s="135"/>
      <c r="U19622" s="135"/>
    </row>
    <row r="19623" spans="20:21" ht="15" customHeight="1" x14ac:dyDescent="0.25">
      <c r="T19623" s="135"/>
      <c r="U19623" s="135"/>
    </row>
    <row r="19624" spans="20:21" ht="15" customHeight="1" x14ac:dyDescent="0.25">
      <c r="T19624" s="135"/>
      <c r="U19624" s="135"/>
    </row>
    <row r="19625" spans="20:21" ht="15" customHeight="1" x14ac:dyDescent="0.25">
      <c r="T19625" s="135"/>
      <c r="U19625" s="135"/>
    </row>
    <row r="19626" spans="20:21" ht="15" customHeight="1" x14ac:dyDescent="0.25">
      <c r="T19626" s="135"/>
      <c r="U19626" s="135"/>
    </row>
    <row r="19627" spans="20:21" ht="15" customHeight="1" x14ac:dyDescent="0.25">
      <c r="T19627" s="135"/>
      <c r="U19627" s="135"/>
    </row>
    <row r="19628" spans="20:21" ht="15" customHeight="1" x14ac:dyDescent="0.25">
      <c r="T19628" s="135"/>
      <c r="U19628" s="135"/>
    </row>
    <row r="19629" spans="20:21" ht="15" customHeight="1" x14ac:dyDescent="0.25">
      <c r="T19629" s="135"/>
      <c r="U19629" s="135"/>
    </row>
    <row r="19630" spans="20:21" ht="15" customHeight="1" x14ac:dyDescent="0.25">
      <c r="T19630" s="135"/>
      <c r="U19630" s="135"/>
    </row>
    <row r="19631" spans="20:21" ht="15" customHeight="1" x14ac:dyDescent="0.25">
      <c r="T19631" s="135"/>
      <c r="U19631" s="135"/>
    </row>
    <row r="19632" spans="20:21" ht="15" customHeight="1" x14ac:dyDescent="0.25">
      <c r="T19632" s="135"/>
      <c r="U19632" s="135"/>
    </row>
    <row r="19633" spans="20:21" ht="15" customHeight="1" x14ac:dyDescent="0.25">
      <c r="T19633" s="135"/>
      <c r="U19633" s="135"/>
    </row>
    <row r="19634" spans="20:21" ht="15" customHeight="1" x14ac:dyDescent="0.25">
      <c r="T19634" s="135"/>
      <c r="U19634" s="135"/>
    </row>
    <row r="19635" spans="20:21" ht="15" customHeight="1" x14ac:dyDescent="0.25">
      <c r="T19635" s="135"/>
      <c r="U19635" s="135"/>
    </row>
    <row r="19636" spans="20:21" ht="15" customHeight="1" x14ac:dyDescent="0.25">
      <c r="T19636" s="135"/>
      <c r="U19636" s="135"/>
    </row>
    <row r="19637" spans="20:21" ht="15" customHeight="1" x14ac:dyDescent="0.25">
      <c r="T19637" s="135"/>
      <c r="U19637" s="135"/>
    </row>
    <row r="19638" spans="20:21" ht="15" customHeight="1" x14ac:dyDescent="0.25">
      <c r="T19638" s="135"/>
      <c r="U19638" s="135"/>
    </row>
    <row r="19639" spans="20:21" ht="15" customHeight="1" x14ac:dyDescent="0.25">
      <c r="T19639" s="135"/>
      <c r="U19639" s="135"/>
    </row>
    <row r="19640" spans="20:21" ht="15" customHeight="1" x14ac:dyDescent="0.25">
      <c r="T19640" s="135"/>
      <c r="U19640" s="135"/>
    </row>
    <row r="19641" spans="20:21" ht="15" customHeight="1" x14ac:dyDescent="0.25">
      <c r="T19641" s="135"/>
      <c r="U19641" s="135"/>
    </row>
    <row r="19642" spans="20:21" ht="15" customHeight="1" x14ac:dyDescent="0.25">
      <c r="T19642" s="135"/>
      <c r="U19642" s="135"/>
    </row>
    <row r="19643" spans="20:21" ht="15" customHeight="1" x14ac:dyDescent="0.25">
      <c r="T19643" s="135"/>
      <c r="U19643" s="135"/>
    </row>
    <row r="19644" spans="20:21" ht="15" customHeight="1" x14ac:dyDescent="0.25">
      <c r="T19644" s="135"/>
      <c r="U19644" s="135"/>
    </row>
    <row r="19645" spans="20:21" ht="15" customHeight="1" x14ac:dyDescent="0.25">
      <c r="T19645" s="135"/>
      <c r="U19645" s="135"/>
    </row>
    <row r="19646" spans="20:21" ht="15" customHeight="1" x14ac:dyDescent="0.25">
      <c r="T19646" s="135"/>
      <c r="U19646" s="135"/>
    </row>
    <row r="19647" spans="20:21" ht="15" customHeight="1" x14ac:dyDescent="0.25">
      <c r="T19647" s="135"/>
      <c r="U19647" s="135"/>
    </row>
    <row r="19648" spans="20:21" ht="15" customHeight="1" x14ac:dyDescent="0.25">
      <c r="T19648" s="135"/>
      <c r="U19648" s="135"/>
    </row>
    <row r="19649" spans="20:21" ht="15" customHeight="1" x14ac:dyDescent="0.25">
      <c r="T19649" s="135"/>
      <c r="U19649" s="135"/>
    </row>
    <row r="19650" spans="20:21" ht="15" customHeight="1" x14ac:dyDescent="0.25">
      <c r="T19650" s="135"/>
      <c r="U19650" s="135"/>
    </row>
    <row r="19651" spans="20:21" ht="15" customHeight="1" x14ac:dyDescent="0.25">
      <c r="T19651" s="135"/>
      <c r="U19651" s="135"/>
    </row>
    <row r="19652" spans="20:21" ht="15" customHeight="1" x14ac:dyDescent="0.25">
      <c r="T19652" s="135"/>
      <c r="U19652" s="135"/>
    </row>
    <row r="19653" spans="20:21" ht="15" customHeight="1" x14ac:dyDescent="0.25">
      <c r="T19653" s="135"/>
      <c r="U19653" s="135"/>
    </row>
    <row r="19654" spans="20:21" ht="15" customHeight="1" x14ac:dyDescent="0.25">
      <c r="T19654" s="135"/>
      <c r="U19654" s="135"/>
    </row>
    <row r="19655" spans="20:21" ht="15" customHeight="1" x14ac:dyDescent="0.25">
      <c r="T19655" s="135"/>
      <c r="U19655" s="135"/>
    </row>
    <row r="19656" spans="20:21" ht="15" customHeight="1" x14ac:dyDescent="0.25">
      <c r="T19656" s="135"/>
      <c r="U19656" s="135"/>
    </row>
    <row r="19657" spans="20:21" ht="15" customHeight="1" x14ac:dyDescent="0.25">
      <c r="T19657" s="135"/>
      <c r="U19657" s="135"/>
    </row>
    <row r="19658" spans="20:21" ht="15" customHeight="1" x14ac:dyDescent="0.25">
      <c r="T19658" s="135"/>
      <c r="U19658" s="135"/>
    </row>
    <row r="19659" spans="20:21" ht="15" customHeight="1" x14ac:dyDescent="0.25">
      <c r="T19659" s="135"/>
      <c r="U19659" s="135"/>
    </row>
    <row r="19660" spans="20:21" ht="15" customHeight="1" x14ac:dyDescent="0.25">
      <c r="T19660" s="135"/>
      <c r="U19660" s="135"/>
    </row>
    <row r="19661" spans="20:21" ht="15" customHeight="1" x14ac:dyDescent="0.25">
      <c r="T19661" s="135"/>
      <c r="U19661" s="135"/>
    </row>
    <row r="19662" spans="20:21" ht="15" customHeight="1" x14ac:dyDescent="0.25">
      <c r="T19662" s="135"/>
      <c r="U19662" s="135"/>
    </row>
    <row r="19663" spans="20:21" ht="15" customHeight="1" x14ac:dyDescent="0.25">
      <c r="T19663" s="135"/>
      <c r="U19663" s="135"/>
    </row>
    <row r="19664" spans="20:21" ht="15" customHeight="1" x14ac:dyDescent="0.25">
      <c r="T19664" s="135"/>
      <c r="U19664" s="135"/>
    </row>
    <row r="19665" spans="20:21" ht="15" customHeight="1" x14ac:dyDescent="0.25">
      <c r="T19665" s="135"/>
      <c r="U19665" s="135"/>
    </row>
    <row r="19666" spans="20:21" ht="15" customHeight="1" x14ac:dyDescent="0.25">
      <c r="T19666" s="135"/>
      <c r="U19666" s="135"/>
    </row>
    <row r="19667" spans="20:21" ht="15" customHeight="1" x14ac:dyDescent="0.25">
      <c r="T19667" s="135"/>
      <c r="U19667" s="135"/>
    </row>
    <row r="19668" spans="20:21" ht="15" customHeight="1" x14ac:dyDescent="0.25">
      <c r="T19668" s="135"/>
      <c r="U19668" s="135"/>
    </row>
    <row r="19669" spans="20:21" ht="15" customHeight="1" x14ac:dyDescent="0.25">
      <c r="T19669" s="135"/>
      <c r="U19669" s="135"/>
    </row>
    <row r="19670" spans="20:21" ht="15" customHeight="1" x14ac:dyDescent="0.25">
      <c r="T19670" s="135"/>
      <c r="U19670" s="135"/>
    </row>
    <row r="19671" spans="20:21" ht="15" customHeight="1" x14ac:dyDescent="0.25">
      <c r="T19671" s="135"/>
      <c r="U19671" s="135"/>
    </row>
    <row r="19672" spans="20:21" ht="15" customHeight="1" x14ac:dyDescent="0.25">
      <c r="T19672" s="135"/>
      <c r="U19672" s="135"/>
    </row>
    <row r="19673" spans="20:21" ht="15" customHeight="1" x14ac:dyDescent="0.25">
      <c r="T19673" s="135"/>
      <c r="U19673" s="135"/>
    </row>
    <row r="19674" spans="20:21" ht="15" customHeight="1" x14ac:dyDescent="0.25">
      <c r="T19674" s="135"/>
      <c r="U19674" s="135"/>
    </row>
    <row r="19675" spans="20:21" ht="15" customHeight="1" x14ac:dyDescent="0.25">
      <c r="T19675" s="135"/>
      <c r="U19675" s="135"/>
    </row>
    <row r="19676" spans="20:21" ht="15" customHeight="1" x14ac:dyDescent="0.25">
      <c r="T19676" s="135"/>
      <c r="U19676" s="135"/>
    </row>
    <row r="19677" spans="20:21" ht="15" customHeight="1" x14ac:dyDescent="0.25">
      <c r="T19677" s="135"/>
      <c r="U19677" s="135"/>
    </row>
    <row r="19678" spans="20:21" ht="15" customHeight="1" x14ac:dyDescent="0.25">
      <c r="T19678" s="135"/>
      <c r="U19678" s="135"/>
    </row>
    <row r="19679" spans="20:21" ht="15" customHeight="1" x14ac:dyDescent="0.25">
      <c r="T19679" s="135"/>
      <c r="U19679" s="135"/>
    </row>
    <row r="19680" spans="20:21" ht="15" customHeight="1" x14ac:dyDescent="0.25">
      <c r="T19680" s="135"/>
      <c r="U19680" s="135"/>
    </row>
    <row r="19681" spans="20:21" ht="15" customHeight="1" x14ac:dyDescent="0.25">
      <c r="T19681" s="135"/>
      <c r="U19681" s="135"/>
    </row>
    <row r="19682" spans="20:21" ht="15" customHeight="1" x14ac:dyDescent="0.25">
      <c r="T19682" s="135"/>
      <c r="U19682" s="135"/>
    </row>
    <row r="19683" spans="20:21" ht="15" customHeight="1" x14ac:dyDescent="0.25">
      <c r="T19683" s="135"/>
      <c r="U19683" s="135"/>
    </row>
    <row r="19684" spans="20:21" ht="15" customHeight="1" x14ac:dyDescent="0.25">
      <c r="T19684" s="135"/>
      <c r="U19684" s="135"/>
    </row>
    <row r="19685" spans="20:21" ht="15" customHeight="1" x14ac:dyDescent="0.25">
      <c r="T19685" s="135"/>
      <c r="U19685" s="135"/>
    </row>
    <row r="19686" spans="20:21" ht="15" customHeight="1" x14ac:dyDescent="0.25">
      <c r="T19686" s="135"/>
      <c r="U19686" s="135"/>
    </row>
    <row r="19687" spans="20:21" ht="15" customHeight="1" x14ac:dyDescent="0.25">
      <c r="T19687" s="135"/>
      <c r="U19687" s="135"/>
    </row>
    <row r="19688" spans="20:21" ht="15" customHeight="1" x14ac:dyDescent="0.25">
      <c r="T19688" s="135"/>
      <c r="U19688" s="135"/>
    </row>
    <row r="19689" spans="20:21" ht="15" customHeight="1" x14ac:dyDescent="0.25">
      <c r="T19689" s="135"/>
      <c r="U19689" s="135"/>
    </row>
    <row r="19690" spans="20:21" ht="15" customHeight="1" x14ac:dyDescent="0.25">
      <c r="T19690" s="135"/>
      <c r="U19690" s="135"/>
    </row>
    <row r="19691" spans="20:21" ht="15" customHeight="1" x14ac:dyDescent="0.25">
      <c r="T19691" s="135"/>
      <c r="U19691" s="135"/>
    </row>
    <row r="19692" spans="20:21" ht="15" customHeight="1" x14ac:dyDescent="0.25">
      <c r="T19692" s="135"/>
      <c r="U19692" s="135"/>
    </row>
    <row r="19693" spans="20:21" ht="15" customHeight="1" x14ac:dyDescent="0.25">
      <c r="T19693" s="135"/>
      <c r="U19693" s="135"/>
    </row>
    <row r="19694" spans="20:21" ht="15" customHeight="1" x14ac:dyDescent="0.25">
      <c r="T19694" s="135"/>
      <c r="U19694" s="135"/>
    </row>
    <row r="19695" spans="20:21" ht="15" customHeight="1" x14ac:dyDescent="0.25">
      <c r="T19695" s="135"/>
      <c r="U19695" s="135"/>
    </row>
    <row r="19696" spans="20:21" ht="15" customHeight="1" x14ac:dyDescent="0.25">
      <c r="T19696" s="135"/>
      <c r="U19696" s="135"/>
    </row>
    <row r="19697" spans="20:21" ht="15" customHeight="1" x14ac:dyDescent="0.25">
      <c r="T19697" s="135"/>
      <c r="U19697" s="135"/>
    </row>
    <row r="19698" spans="20:21" ht="15" customHeight="1" x14ac:dyDescent="0.25">
      <c r="T19698" s="135"/>
      <c r="U19698" s="135"/>
    </row>
    <row r="19699" spans="20:21" ht="15" customHeight="1" x14ac:dyDescent="0.25">
      <c r="T19699" s="135"/>
      <c r="U19699" s="135"/>
    </row>
    <row r="19700" spans="20:21" ht="15" customHeight="1" x14ac:dyDescent="0.25">
      <c r="T19700" s="135"/>
      <c r="U19700" s="135"/>
    </row>
    <row r="19701" spans="20:21" ht="15" customHeight="1" x14ac:dyDescent="0.25">
      <c r="T19701" s="135"/>
      <c r="U19701" s="135"/>
    </row>
    <row r="19702" spans="20:21" ht="15" customHeight="1" x14ac:dyDescent="0.25">
      <c r="T19702" s="135"/>
      <c r="U19702" s="135"/>
    </row>
    <row r="19703" spans="20:21" ht="15" customHeight="1" x14ac:dyDescent="0.25">
      <c r="T19703" s="135"/>
      <c r="U19703" s="135"/>
    </row>
    <row r="19704" spans="20:21" ht="15" customHeight="1" x14ac:dyDescent="0.25">
      <c r="T19704" s="135"/>
      <c r="U19704" s="135"/>
    </row>
    <row r="19705" spans="20:21" ht="15" customHeight="1" x14ac:dyDescent="0.25">
      <c r="T19705" s="135"/>
      <c r="U19705" s="135"/>
    </row>
    <row r="19706" spans="20:21" ht="15" customHeight="1" x14ac:dyDescent="0.25">
      <c r="T19706" s="135"/>
      <c r="U19706" s="135"/>
    </row>
    <row r="19707" spans="20:21" ht="15" customHeight="1" x14ac:dyDescent="0.25">
      <c r="T19707" s="135"/>
      <c r="U19707" s="135"/>
    </row>
    <row r="19708" spans="20:21" ht="15" customHeight="1" x14ac:dyDescent="0.25">
      <c r="T19708" s="135"/>
      <c r="U19708" s="135"/>
    </row>
    <row r="19709" spans="20:21" ht="15" customHeight="1" x14ac:dyDescent="0.25">
      <c r="T19709" s="135"/>
      <c r="U19709" s="135"/>
    </row>
    <row r="19710" spans="20:21" ht="15" customHeight="1" x14ac:dyDescent="0.25">
      <c r="T19710" s="135"/>
      <c r="U19710" s="135"/>
    </row>
    <row r="19711" spans="20:21" ht="15" customHeight="1" x14ac:dyDescent="0.25">
      <c r="T19711" s="135"/>
      <c r="U19711" s="135"/>
    </row>
    <row r="19712" spans="20:21" ht="15" customHeight="1" x14ac:dyDescent="0.25">
      <c r="T19712" s="135"/>
      <c r="U19712" s="135"/>
    </row>
    <row r="19713" spans="20:21" ht="15" customHeight="1" x14ac:dyDescent="0.25">
      <c r="T19713" s="135"/>
      <c r="U19713" s="135"/>
    </row>
    <row r="19714" spans="20:21" ht="15" customHeight="1" x14ac:dyDescent="0.25">
      <c r="T19714" s="135"/>
      <c r="U19714" s="135"/>
    </row>
    <row r="19715" spans="20:21" ht="15" customHeight="1" x14ac:dyDescent="0.25">
      <c r="T19715" s="135"/>
      <c r="U19715" s="135"/>
    </row>
    <row r="19716" spans="20:21" ht="15" customHeight="1" x14ac:dyDescent="0.25">
      <c r="T19716" s="135"/>
      <c r="U19716" s="135"/>
    </row>
    <row r="19717" spans="20:21" ht="15" customHeight="1" x14ac:dyDescent="0.25">
      <c r="T19717" s="135"/>
      <c r="U19717" s="135"/>
    </row>
    <row r="19718" spans="20:21" ht="15" customHeight="1" x14ac:dyDescent="0.25">
      <c r="T19718" s="135"/>
      <c r="U19718" s="135"/>
    </row>
    <row r="19719" spans="20:21" ht="15" customHeight="1" x14ac:dyDescent="0.25">
      <c r="T19719" s="135"/>
      <c r="U19719" s="135"/>
    </row>
    <row r="19720" spans="20:21" ht="15" customHeight="1" x14ac:dyDescent="0.25">
      <c r="T19720" s="135"/>
      <c r="U19720" s="135"/>
    </row>
    <row r="19721" spans="20:21" ht="15" customHeight="1" x14ac:dyDescent="0.25">
      <c r="T19721" s="135"/>
      <c r="U19721" s="135"/>
    </row>
    <row r="19722" spans="20:21" ht="15" customHeight="1" x14ac:dyDescent="0.25">
      <c r="T19722" s="135"/>
      <c r="U19722" s="135"/>
    </row>
    <row r="19723" spans="20:21" ht="15" customHeight="1" x14ac:dyDescent="0.25">
      <c r="T19723" s="135"/>
      <c r="U19723" s="135"/>
    </row>
    <row r="19724" spans="20:21" ht="15" customHeight="1" x14ac:dyDescent="0.25">
      <c r="T19724" s="135"/>
      <c r="U19724" s="135"/>
    </row>
    <row r="19725" spans="20:21" ht="15" customHeight="1" x14ac:dyDescent="0.25">
      <c r="T19725" s="135"/>
      <c r="U19725" s="135"/>
    </row>
    <row r="19726" spans="20:21" ht="15" customHeight="1" x14ac:dyDescent="0.25">
      <c r="T19726" s="135"/>
      <c r="U19726" s="135"/>
    </row>
    <row r="19727" spans="20:21" ht="15" customHeight="1" x14ac:dyDescent="0.25">
      <c r="T19727" s="135"/>
      <c r="U19727" s="135"/>
    </row>
    <row r="19728" spans="20:21" ht="15" customHeight="1" x14ac:dyDescent="0.25">
      <c r="T19728" s="135"/>
      <c r="U19728" s="135"/>
    </row>
    <row r="19729" spans="20:21" ht="15" customHeight="1" x14ac:dyDescent="0.25">
      <c r="T19729" s="135"/>
      <c r="U19729" s="135"/>
    </row>
    <row r="19730" spans="20:21" ht="15" customHeight="1" x14ac:dyDescent="0.25">
      <c r="T19730" s="135"/>
      <c r="U19730" s="135"/>
    </row>
    <row r="19731" spans="20:21" ht="15" customHeight="1" x14ac:dyDescent="0.25">
      <c r="T19731" s="135"/>
      <c r="U19731" s="135"/>
    </row>
    <row r="19732" spans="20:21" ht="15" customHeight="1" x14ac:dyDescent="0.25">
      <c r="T19732" s="135"/>
      <c r="U19732" s="135"/>
    </row>
    <row r="19733" spans="20:21" ht="15" customHeight="1" x14ac:dyDescent="0.25">
      <c r="T19733" s="135"/>
      <c r="U19733" s="135"/>
    </row>
    <row r="19734" spans="20:21" ht="15" customHeight="1" x14ac:dyDescent="0.25">
      <c r="T19734" s="135"/>
      <c r="U19734" s="135"/>
    </row>
    <row r="19735" spans="20:21" ht="15" customHeight="1" x14ac:dyDescent="0.25">
      <c r="T19735" s="135"/>
      <c r="U19735" s="135"/>
    </row>
    <row r="19736" spans="20:21" ht="15" customHeight="1" x14ac:dyDescent="0.25">
      <c r="T19736" s="135"/>
      <c r="U19736" s="135"/>
    </row>
    <row r="19737" spans="20:21" ht="15" customHeight="1" x14ac:dyDescent="0.25">
      <c r="T19737" s="135"/>
      <c r="U19737" s="135"/>
    </row>
    <row r="19738" spans="20:21" ht="15" customHeight="1" x14ac:dyDescent="0.25">
      <c r="T19738" s="135"/>
      <c r="U19738" s="135"/>
    </row>
    <row r="19739" spans="20:21" ht="15" customHeight="1" x14ac:dyDescent="0.25">
      <c r="T19739" s="135"/>
      <c r="U19739" s="135"/>
    </row>
    <row r="19740" spans="20:21" ht="15" customHeight="1" x14ac:dyDescent="0.25">
      <c r="T19740" s="135"/>
      <c r="U19740" s="135"/>
    </row>
    <row r="19741" spans="20:21" ht="15" customHeight="1" x14ac:dyDescent="0.25">
      <c r="T19741" s="135"/>
      <c r="U19741" s="135"/>
    </row>
    <row r="19742" spans="20:21" ht="15" customHeight="1" x14ac:dyDescent="0.25">
      <c r="T19742" s="135"/>
      <c r="U19742" s="135"/>
    </row>
    <row r="19743" spans="20:21" ht="15" customHeight="1" x14ac:dyDescent="0.25">
      <c r="T19743" s="135"/>
      <c r="U19743" s="135"/>
    </row>
    <row r="19744" spans="20:21" ht="15" customHeight="1" x14ac:dyDescent="0.25">
      <c r="T19744" s="135"/>
      <c r="U19744" s="135"/>
    </row>
    <row r="19745" spans="20:21" ht="15" customHeight="1" x14ac:dyDescent="0.25">
      <c r="T19745" s="135"/>
      <c r="U19745" s="135"/>
    </row>
    <row r="19746" spans="20:21" ht="15" customHeight="1" x14ac:dyDescent="0.25">
      <c r="T19746" s="135"/>
      <c r="U19746" s="135"/>
    </row>
    <row r="19747" spans="20:21" ht="15" customHeight="1" x14ac:dyDescent="0.25">
      <c r="T19747" s="135"/>
      <c r="U19747" s="135"/>
    </row>
    <row r="19748" spans="20:21" ht="15" customHeight="1" x14ac:dyDescent="0.25">
      <c r="T19748" s="135"/>
      <c r="U19748" s="135"/>
    </row>
    <row r="19749" spans="20:21" ht="15" customHeight="1" x14ac:dyDescent="0.25">
      <c r="T19749" s="135"/>
      <c r="U19749" s="135"/>
    </row>
    <row r="19750" spans="20:21" ht="15" customHeight="1" x14ac:dyDescent="0.25">
      <c r="T19750" s="135"/>
      <c r="U19750" s="135"/>
    </row>
    <row r="19751" spans="20:21" ht="15" customHeight="1" x14ac:dyDescent="0.25">
      <c r="T19751" s="135"/>
      <c r="U19751" s="135"/>
    </row>
    <row r="19752" spans="20:21" ht="15" customHeight="1" x14ac:dyDescent="0.25">
      <c r="T19752" s="135"/>
      <c r="U19752" s="135"/>
    </row>
    <row r="19753" spans="20:21" ht="15" customHeight="1" x14ac:dyDescent="0.25">
      <c r="T19753" s="135"/>
      <c r="U19753" s="135"/>
    </row>
    <row r="19754" spans="20:21" ht="15" customHeight="1" x14ac:dyDescent="0.25">
      <c r="T19754" s="135"/>
      <c r="U19754" s="135"/>
    </row>
    <row r="19755" spans="20:21" ht="15" customHeight="1" x14ac:dyDescent="0.25">
      <c r="T19755" s="135"/>
      <c r="U19755" s="135"/>
    </row>
    <row r="19756" spans="20:21" ht="15" customHeight="1" x14ac:dyDescent="0.25">
      <c r="T19756" s="135"/>
      <c r="U19756" s="135"/>
    </row>
    <row r="19757" spans="20:21" ht="15" customHeight="1" x14ac:dyDescent="0.25">
      <c r="T19757" s="135"/>
      <c r="U19757" s="135"/>
    </row>
    <row r="19758" spans="20:21" ht="15" customHeight="1" x14ac:dyDescent="0.25">
      <c r="T19758" s="135"/>
      <c r="U19758" s="135"/>
    </row>
    <row r="19759" spans="20:21" ht="15" customHeight="1" x14ac:dyDescent="0.25">
      <c r="T19759" s="135"/>
      <c r="U19759" s="135"/>
    </row>
    <row r="19760" spans="20:21" ht="15" customHeight="1" x14ac:dyDescent="0.25">
      <c r="T19760" s="135"/>
      <c r="U19760" s="135"/>
    </row>
    <row r="19761" spans="20:21" ht="15" customHeight="1" x14ac:dyDescent="0.25">
      <c r="T19761" s="135"/>
      <c r="U19761" s="135"/>
    </row>
    <row r="19762" spans="20:21" ht="15" customHeight="1" x14ac:dyDescent="0.25">
      <c r="T19762" s="135"/>
      <c r="U19762" s="135"/>
    </row>
    <row r="19763" spans="20:21" ht="15" customHeight="1" x14ac:dyDescent="0.25">
      <c r="T19763" s="135"/>
      <c r="U19763" s="135"/>
    </row>
    <row r="19764" spans="20:21" ht="15" customHeight="1" x14ac:dyDescent="0.25">
      <c r="T19764" s="135"/>
      <c r="U19764" s="135"/>
    </row>
    <row r="19765" spans="20:21" ht="15" customHeight="1" x14ac:dyDescent="0.25">
      <c r="T19765" s="135"/>
      <c r="U19765" s="135"/>
    </row>
    <row r="19766" spans="20:21" ht="15" customHeight="1" x14ac:dyDescent="0.25">
      <c r="T19766" s="135"/>
      <c r="U19766" s="135"/>
    </row>
    <row r="19767" spans="20:21" ht="15" customHeight="1" x14ac:dyDescent="0.25">
      <c r="T19767" s="135"/>
      <c r="U19767" s="135"/>
    </row>
    <row r="19768" spans="20:21" ht="15" customHeight="1" x14ac:dyDescent="0.25">
      <c r="T19768" s="135"/>
      <c r="U19768" s="135"/>
    </row>
    <row r="19769" spans="20:21" ht="15" customHeight="1" x14ac:dyDescent="0.25">
      <c r="T19769" s="135"/>
      <c r="U19769" s="135"/>
    </row>
    <row r="19770" spans="20:21" ht="15" customHeight="1" x14ac:dyDescent="0.25">
      <c r="T19770" s="135"/>
      <c r="U19770" s="135"/>
    </row>
    <row r="19771" spans="20:21" ht="15" customHeight="1" x14ac:dyDescent="0.25">
      <c r="T19771" s="135"/>
      <c r="U19771" s="135"/>
    </row>
    <row r="19772" spans="20:21" ht="15" customHeight="1" x14ac:dyDescent="0.25">
      <c r="T19772" s="135"/>
      <c r="U19772" s="135"/>
    </row>
    <row r="19773" spans="20:21" ht="15" customHeight="1" x14ac:dyDescent="0.25">
      <c r="T19773" s="135"/>
      <c r="U19773" s="135"/>
    </row>
    <row r="19774" spans="20:21" ht="15" customHeight="1" x14ac:dyDescent="0.25">
      <c r="T19774" s="135"/>
      <c r="U19774" s="135"/>
    </row>
    <row r="19775" spans="20:21" ht="15" customHeight="1" x14ac:dyDescent="0.25">
      <c r="T19775" s="135"/>
      <c r="U19775" s="135"/>
    </row>
    <row r="19776" spans="20:21" ht="15" customHeight="1" x14ac:dyDescent="0.25">
      <c r="T19776" s="135"/>
      <c r="U19776" s="135"/>
    </row>
    <row r="19777" spans="20:21" ht="15" customHeight="1" x14ac:dyDescent="0.25">
      <c r="T19777" s="135"/>
      <c r="U19777" s="135"/>
    </row>
    <row r="19778" spans="20:21" ht="15" customHeight="1" x14ac:dyDescent="0.25">
      <c r="T19778" s="135"/>
      <c r="U19778" s="135"/>
    </row>
    <row r="19779" spans="20:21" ht="15" customHeight="1" x14ac:dyDescent="0.25">
      <c r="T19779" s="135"/>
      <c r="U19779" s="135"/>
    </row>
    <row r="19780" spans="20:21" ht="15" customHeight="1" x14ac:dyDescent="0.25">
      <c r="T19780" s="135"/>
      <c r="U19780" s="135"/>
    </row>
    <row r="19781" spans="20:21" ht="15" customHeight="1" x14ac:dyDescent="0.25">
      <c r="T19781" s="135"/>
      <c r="U19781" s="135"/>
    </row>
    <row r="19782" spans="20:21" ht="15" customHeight="1" x14ac:dyDescent="0.25">
      <c r="T19782" s="135"/>
      <c r="U19782" s="135"/>
    </row>
    <row r="19783" spans="20:21" ht="15" customHeight="1" x14ac:dyDescent="0.25">
      <c r="T19783" s="135"/>
      <c r="U19783" s="135"/>
    </row>
    <row r="19784" spans="20:21" ht="15" customHeight="1" x14ac:dyDescent="0.25">
      <c r="T19784" s="135"/>
      <c r="U19784" s="135"/>
    </row>
    <row r="19785" spans="20:21" ht="15" customHeight="1" x14ac:dyDescent="0.25">
      <c r="T19785" s="135"/>
      <c r="U19785" s="135"/>
    </row>
    <row r="19786" spans="20:21" ht="15" customHeight="1" x14ac:dyDescent="0.25">
      <c r="T19786" s="135"/>
      <c r="U19786" s="135"/>
    </row>
    <row r="19787" spans="20:21" ht="15" customHeight="1" x14ac:dyDescent="0.25">
      <c r="T19787" s="135"/>
      <c r="U19787" s="135"/>
    </row>
    <row r="19788" spans="20:21" ht="15" customHeight="1" x14ac:dyDescent="0.25">
      <c r="T19788" s="135"/>
      <c r="U19788" s="135"/>
    </row>
    <row r="19789" spans="20:21" ht="15" customHeight="1" x14ac:dyDescent="0.25">
      <c r="T19789" s="135"/>
      <c r="U19789" s="135"/>
    </row>
    <row r="19790" spans="20:21" ht="15" customHeight="1" x14ac:dyDescent="0.25">
      <c r="T19790" s="135"/>
      <c r="U19790" s="135"/>
    </row>
    <row r="19791" spans="20:21" ht="15" customHeight="1" x14ac:dyDescent="0.25">
      <c r="T19791" s="135"/>
      <c r="U19791" s="135"/>
    </row>
    <row r="19792" spans="20:21" ht="15" customHeight="1" x14ac:dyDescent="0.25">
      <c r="T19792" s="135"/>
      <c r="U19792" s="135"/>
    </row>
    <row r="19793" spans="20:21" ht="15" customHeight="1" x14ac:dyDescent="0.25">
      <c r="T19793" s="135"/>
      <c r="U19793" s="135"/>
    </row>
    <row r="19794" spans="20:21" ht="15" customHeight="1" x14ac:dyDescent="0.25">
      <c r="T19794" s="135"/>
      <c r="U19794" s="135"/>
    </row>
    <row r="19795" spans="20:21" ht="15" customHeight="1" x14ac:dyDescent="0.25">
      <c r="T19795" s="135"/>
      <c r="U19795" s="135"/>
    </row>
    <row r="19796" spans="20:21" ht="15" customHeight="1" x14ac:dyDescent="0.25">
      <c r="T19796" s="135"/>
      <c r="U19796" s="135"/>
    </row>
    <row r="19797" spans="20:21" ht="15" customHeight="1" x14ac:dyDescent="0.25">
      <c r="T19797" s="135"/>
      <c r="U19797" s="135"/>
    </row>
    <row r="19798" spans="20:21" ht="15" customHeight="1" x14ac:dyDescent="0.25">
      <c r="T19798" s="135"/>
      <c r="U19798" s="135"/>
    </row>
    <row r="19799" spans="20:21" ht="15" customHeight="1" x14ac:dyDescent="0.25">
      <c r="T19799" s="135"/>
      <c r="U19799" s="135"/>
    </row>
    <row r="19800" spans="20:21" ht="15" customHeight="1" x14ac:dyDescent="0.25">
      <c r="T19800" s="135"/>
      <c r="U19800" s="135"/>
    </row>
    <row r="19801" spans="20:21" ht="15" customHeight="1" x14ac:dyDescent="0.25">
      <c r="T19801" s="135"/>
      <c r="U19801" s="135"/>
    </row>
    <row r="19802" spans="20:21" ht="15" customHeight="1" x14ac:dyDescent="0.25">
      <c r="T19802" s="135"/>
      <c r="U19802" s="135"/>
    </row>
    <row r="19803" spans="20:21" ht="15" customHeight="1" x14ac:dyDescent="0.25">
      <c r="T19803" s="135"/>
      <c r="U19803" s="135"/>
    </row>
    <row r="19804" spans="20:21" ht="15" customHeight="1" x14ac:dyDescent="0.25">
      <c r="T19804" s="135"/>
      <c r="U19804" s="135"/>
    </row>
    <row r="19805" spans="20:21" ht="15" customHeight="1" x14ac:dyDescent="0.25">
      <c r="T19805" s="135"/>
      <c r="U19805" s="135"/>
    </row>
    <row r="19806" spans="20:21" ht="15" customHeight="1" x14ac:dyDescent="0.25">
      <c r="T19806" s="135"/>
      <c r="U19806" s="135"/>
    </row>
    <row r="19807" spans="20:21" ht="15" customHeight="1" x14ac:dyDescent="0.25">
      <c r="T19807" s="135"/>
      <c r="U19807" s="135"/>
    </row>
    <row r="19808" spans="20:21" ht="15" customHeight="1" x14ac:dyDescent="0.25">
      <c r="T19808" s="135"/>
      <c r="U19808" s="135"/>
    </row>
    <row r="19809" spans="20:21" ht="15" customHeight="1" x14ac:dyDescent="0.25">
      <c r="T19809" s="135"/>
      <c r="U19809" s="135"/>
    </row>
    <row r="19810" spans="20:21" ht="15" customHeight="1" x14ac:dyDescent="0.25">
      <c r="T19810" s="135"/>
      <c r="U19810" s="135"/>
    </row>
    <row r="19811" spans="20:21" ht="15" customHeight="1" x14ac:dyDescent="0.25">
      <c r="T19811" s="135"/>
      <c r="U19811" s="135"/>
    </row>
    <row r="19812" spans="20:21" ht="15" customHeight="1" x14ac:dyDescent="0.25">
      <c r="T19812" s="135"/>
      <c r="U19812" s="135"/>
    </row>
    <row r="19813" spans="20:21" ht="15" customHeight="1" x14ac:dyDescent="0.25">
      <c r="T19813" s="135"/>
      <c r="U19813" s="135"/>
    </row>
    <row r="19814" spans="20:21" ht="15" customHeight="1" x14ac:dyDescent="0.25">
      <c r="T19814" s="135"/>
      <c r="U19814" s="135"/>
    </row>
    <row r="19815" spans="20:21" ht="15" customHeight="1" x14ac:dyDescent="0.25">
      <c r="T19815" s="135"/>
      <c r="U19815" s="135"/>
    </row>
    <row r="19816" spans="20:21" ht="15" customHeight="1" x14ac:dyDescent="0.25">
      <c r="T19816" s="135"/>
      <c r="U19816" s="135"/>
    </row>
    <row r="19817" spans="20:21" ht="15" customHeight="1" x14ac:dyDescent="0.25">
      <c r="T19817" s="135"/>
      <c r="U19817" s="135"/>
    </row>
    <row r="19818" spans="20:21" ht="15" customHeight="1" x14ac:dyDescent="0.25">
      <c r="T19818" s="135"/>
      <c r="U19818" s="135"/>
    </row>
    <row r="19819" spans="20:21" ht="15" customHeight="1" x14ac:dyDescent="0.25">
      <c r="T19819" s="135"/>
      <c r="U19819" s="135"/>
    </row>
    <row r="19820" spans="20:21" ht="15" customHeight="1" x14ac:dyDescent="0.25">
      <c r="T19820" s="135"/>
      <c r="U19820" s="135"/>
    </row>
    <row r="19821" spans="20:21" ht="15" customHeight="1" x14ac:dyDescent="0.25">
      <c r="T19821" s="135"/>
      <c r="U19821" s="135"/>
    </row>
    <row r="19822" spans="20:21" ht="15" customHeight="1" x14ac:dyDescent="0.25">
      <c r="T19822" s="135"/>
      <c r="U19822" s="135"/>
    </row>
    <row r="19823" spans="20:21" ht="15" customHeight="1" x14ac:dyDescent="0.25">
      <c r="T19823" s="135"/>
      <c r="U19823" s="135"/>
    </row>
    <row r="19824" spans="20:21" ht="15" customHeight="1" x14ac:dyDescent="0.25">
      <c r="T19824" s="135"/>
      <c r="U19824" s="135"/>
    </row>
    <row r="19825" spans="20:21" ht="15" customHeight="1" x14ac:dyDescent="0.25">
      <c r="T19825" s="135"/>
      <c r="U19825" s="135"/>
    </row>
    <row r="19826" spans="20:21" ht="15" customHeight="1" x14ac:dyDescent="0.25">
      <c r="T19826" s="135"/>
      <c r="U19826" s="135"/>
    </row>
    <row r="19827" spans="20:21" ht="15" customHeight="1" x14ac:dyDescent="0.25">
      <c r="T19827" s="135"/>
      <c r="U19827" s="135"/>
    </row>
    <row r="19828" spans="20:21" ht="15" customHeight="1" x14ac:dyDescent="0.25">
      <c r="T19828" s="135"/>
      <c r="U19828" s="135"/>
    </row>
    <row r="19829" spans="20:21" ht="15" customHeight="1" x14ac:dyDescent="0.25">
      <c r="T19829" s="135"/>
      <c r="U19829" s="135"/>
    </row>
    <row r="19830" spans="20:21" ht="15" customHeight="1" x14ac:dyDescent="0.25">
      <c r="T19830" s="135"/>
      <c r="U19830" s="135"/>
    </row>
    <row r="19831" spans="20:21" ht="15" customHeight="1" x14ac:dyDescent="0.25">
      <c r="T19831" s="135"/>
      <c r="U19831" s="135"/>
    </row>
    <row r="19832" spans="20:21" ht="15" customHeight="1" x14ac:dyDescent="0.25">
      <c r="T19832" s="135"/>
      <c r="U19832" s="135"/>
    </row>
    <row r="19833" spans="20:21" ht="15" customHeight="1" x14ac:dyDescent="0.25">
      <c r="T19833" s="135"/>
      <c r="U19833" s="135"/>
    </row>
    <row r="19834" spans="20:21" ht="15" customHeight="1" x14ac:dyDescent="0.25">
      <c r="T19834" s="135"/>
      <c r="U19834" s="135"/>
    </row>
    <row r="19835" spans="20:21" ht="15" customHeight="1" x14ac:dyDescent="0.25">
      <c r="T19835" s="135"/>
      <c r="U19835" s="135"/>
    </row>
    <row r="19836" spans="20:21" ht="15" customHeight="1" x14ac:dyDescent="0.25">
      <c r="T19836" s="135"/>
      <c r="U19836" s="135"/>
    </row>
    <row r="19837" spans="20:21" ht="15" customHeight="1" x14ac:dyDescent="0.25">
      <c r="T19837" s="135"/>
      <c r="U19837" s="135"/>
    </row>
    <row r="19838" spans="20:21" ht="15" customHeight="1" x14ac:dyDescent="0.25">
      <c r="T19838" s="135"/>
      <c r="U19838" s="135"/>
    </row>
    <row r="19839" spans="20:21" ht="15" customHeight="1" x14ac:dyDescent="0.25">
      <c r="T19839" s="135"/>
      <c r="U19839" s="135"/>
    </row>
    <row r="19840" spans="20:21" ht="15" customHeight="1" x14ac:dyDescent="0.25">
      <c r="T19840" s="135"/>
      <c r="U19840" s="135"/>
    </row>
    <row r="19841" spans="20:21" ht="15" customHeight="1" x14ac:dyDescent="0.25">
      <c r="T19841" s="135"/>
      <c r="U19841" s="135"/>
    </row>
    <row r="19842" spans="20:21" ht="15" customHeight="1" x14ac:dyDescent="0.25">
      <c r="T19842" s="135"/>
      <c r="U19842" s="135"/>
    </row>
    <row r="19843" spans="20:21" ht="15" customHeight="1" x14ac:dyDescent="0.25">
      <c r="T19843" s="135"/>
      <c r="U19843" s="135"/>
    </row>
    <row r="19844" spans="20:21" ht="15" customHeight="1" x14ac:dyDescent="0.25">
      <c r="T19844" s="135"/>
      <c r="U19844" s="135"/>
    </row>
    <row r="19845" spans="20:21" ht="15" customHeight="1" x14ac:dyDescent="0.25">
      <c r="T19845" s="135"/>
      <c r="U19845" s="135"/>
    </row>
    <row r="19846" spans="20:21" ht="15" customHeight="1" x14ac:dyDescent="0.25">
      <c r="T19846" s="135"/>
      <c r="U19846" s="135"/>
    </row>
    <row r="19847" spans="20:21" ht="15" customHeight="1" x14ac:dyDescent="0.25">
      <c r="T19847" s="135"/>
      <c r="U19847" s="135"/>
    </row>
    <row r="19848" spans="20:21" ht="15" customHeight="1" x14ac:dyDescent="0.25">
      <c r="T19848" s="135"/>
      <c r="U19848" s="135"/>
    </row>
    <row r="19849" spans="20:21" ht="15" customHeight="1" x14ac:dyDescent="0.25">
      <c r="T19849" s="135"/>
      <c r="U19849" s="135"/>
    </row>
    <row r="19850" spans="20:21" ht="15" customHeight="1" x14ac:dyDescent="0.25">
      <c r="T19850" s="135"/>
      <c r="U19850" s="135"/>
    </row>
    <row r="19851" spans="20:21" ht="15" customHeight="1" x14ac:dyDescent="0.25">
      <c r="T19851" s="135"/>
      <c r="U19851" s="135"/>
    </row>
    <row r="19852" spans="20:21" ht="15" customHeight="1" x14ac:dyDescent="0.25">
      <c r="T19852" s="135"/>
      <c r="U19852" s="135"/>
    </row>
    <row r="19853" spans="20:21" ht="15" customHeight="1" x14ac:dyDescent="0.25">
      <c r="T19853" s="135"/>
      <c r="U19853" s="135"/>
    </row>
    <row r="19854" spans="20:21" ht="15" customHeight="1" x14ac:dyDescent="0.25">
      <c r="T19854" s="135"/>
      <c r="U19854" s="135"/>
    </row>
    <row r="19855" spans="20:21" ht="15" customHeight="1" x14ac:dyDescent="0.25">
      <c r="T19855" s="135"/>
      <c r="U19855" s="135"/>
    </row>
    <row r="19856" spans="20:21" ht="15" customHeight="1" x14ac:dyDescent="0.25">
      <c r="T19856" s="135"/>
      <c r="U19856" s="135"/>
    </row>
    <row r="19857" spans="20:21" ht="15" customHeight="1" x14ac:dyDescent="0.25">
      <c r="T19857" s="135"/>
      <c r="U19857" s="135"/>
    </row>
    <row r="19858" spans="20:21" ht="15" customHeight="1" x14ac:dyDescent="0.25">
      <c r="T19858" s="135"/>
      <c r="U19858" s="135"/>
    </row>
    <row r="19859" spans="20:21" ht="15" customHeight="1" x14ac:dyDescent="0.25">
      <c r="T19859" s="135"/>
      <c r="U19859" s="135"/>
    </row>
    <row r="19860" spans="20:21" ht="15" customHeight="1" x14ac:dyDescent="0.25">
      <c r="T19860" s="135"/>
      <c r="U19860" s="135"/>
    </row>
    <row r="19861" spans="20:21" ht="15" customHeight="1" x14ac:dyDescent="0.25">
      <c r="T19861" s="135"/>
      <c r="U19861" s="135"/>
    </row>
    <row r="19862" spans="20:21" ht="15" customHeight="1" x14ac:dyDescent="0.25">
      <c r="T19862" s="135"/>
      <c r="U19862" s="135"/>
    </row>
    <row r="19863" spans="20:21" ht="15" customHeight="1" x14ac:dyDescent="0.25">
      <c r="T19863" s="135"/>
      <c r="U19863" s="135"/>
    </row>
    <row r="19864" spans="20:21" ht="15" customHeight="1" x14ac:dyDescent="0.25">
      <c r="T19864" s="135"/>
      <c r="U19864" s="135"/>
    </row>
    <row r="19865" spans="20:21" ht="15" customHeight="1" x14ac:dyDescent="0.25">
      <c r="T19865" s="135"/>
      <c r="U19865" s="135"/>
    </row>
    <row r="19866" spans="20:21" ht="15" customHeight="1" x14ac:dyDescent="0.25">
      <c r="T19866" s="135"/>
      <c r="U19866" s="135"/>
    </row>
    <row r="19867" spans="20:21" ht="15" customHeight="1" x14ac:dyDescent="0.25">
      <c r="T19867" s="135"/>
      <c r="U19867" s="135"/>
    </row>
    <row r="19868" spans="20:21" ht="15" customHeight="1" x14ac:dyDescent="0.25">
      <c r="T19868" s="135"/>
      <c r="U19868" s="135"/>
    </row>
    <row r="19869" spans="20:21" ht="15" customHeight="1" x14ac:dyDescent="0.25">
      <c r="T19869" s="135"/>
      <c r="U19869" s="135"/>
    </row>
    <row r="19870" spans="20:21" ht="15" customHeight="1" x14ac:dyDescent="0.25">
      <c r="T19870" s="135"/>
      <c r="U19870" s="135"/>
    </row>
    <row r="19871" spans="20:21" ht="15" customHeight="1" x14ac:dyDescent="0.25">
      <c r="T19871" s="135"/>
      <c r="U19871" s="135"/>
    </row>
    <row r="19872" spans="20:21" ht="15" customHeight="1" x14ac:dyDescent="0.25">
      <c r="T19872" s="135"/>
      <c r="U19872" s="135"/>
    </row>
    <row r="19873" spans="20:21" ht="15" customHeight="1" x14ac:dyDescent="0.25">
      <c r="T19873" s="135"/>
      <c r="U19873" s="135"/>
    </row>
    <row r="19874" spans="20:21" ht="15" customHeight="1" x14ac:dyDescent="0.25">
      <c r="T19874" s="135"/>
      <c r="U19874" s="135"/>
    </row>
    <row r="19875" spans="20:21" ht="15" customHeight="1" x14ac:dyDescent="0.25">
      <c r="T19875" s="135"/>
      <c r="U19875" s="135"/>
    </row>
    <row r="19876" spans="20:21" ht="15" customHeight="1" x14ac:dyDescent="0.25">
      <c r="T19876" s="135"/>
      <c r="U19876" s="135"/>
    </row>
    <row r="19877" spans="20:21" ht="15" customHeight="1" x14ac:dyDescent="0.25">
      <c r="T19877" s="135"/>
      <c r="U19877" s="135"/>
    </row>
    <row r="19878" spans="20:21" ht="15" customHeight="1" x14ac:dyDescent="0.25">
      <c r="T19878" s="135"/>
      <c r="U19878" s="135"/>
    </row>
    <row r="19879" spans="20:21" ht="15" customHeight="1" x14ac:dyDescent="0.25">
      <c r="T19879" s="135"/>
      <c r="U19879" s="135"/>
    </row>
    <row r="19880" spans="20:21" ht="15" customHeight="1" x14ac:dyDescent="0.25">
      <c r="T19880" s="135"/>
      <c r="U19880" s="135"/>
    </row>
    <row r="19881" spans="20:21" ht="15" customHeight="1" x14ac:dyDescent="0.25">
      <c r="T19881" s="135"/>
      <c r="U19881" s="135"/>
    </row>
    <row r="19882" spans="20:21" ht="15" customHeight="1" x14ac:dyDescent="0.25">
      <c r="T19882" s="135"/>
      <c r="U19882" s="135"/>
    </row>
    <row r="19883" spans="20:21" ht="15" customHeight="1" x14ac:dyDescent="0.25">
      <c r="T19883" s="135"/>
      <c r="U19883" s="135"/>
    </row>
    <row r="19884" spans="20:21" ht="15" customHeight="1" x14ac:dyDescent="0.25">
      <c r="T19884" s="135"/>
      <c r="U19884" s="135"/>
    </row>
    <row r="19885" spans="20:21" ht="15" customHeight="1" x14ac:dyDescent="0.25">
      <c r="T19885" s="135"/>
      <c r="U19885" s="135"/>
    </row>
    <row r="19886" spans="20:21" ht="15" customHeight="1" x14ac:dyDescent="0.25">
      <c r="T19886" s="135"/>
      <c r="U19886" s="135"/>
    </row>
    <row r="19887" spans="20:21" ht="15" customHeight="1" x14ac:dyDescent="0.25">
      <c r="T19887" s="135"/>
      <c r="U19887" s="135"/>
    </row>
    <row r="19888" spans="20:21" ht="15" customHeight="1" x14ac:dyDescent="0.25">
      <c r="T19888" s="135"/>
      <c r="U19888" s="135"/>
    </row>
    <row r="19889" spans="20:21" ht="15" customHeight="1" x14ac:dyDescent="0.25">
      <c r="T19889" s="135"/>
      <c r="U19889" s="135"/>
    </row>
    <row r="19890" spans="20:21" ht="15" customHeight="1" x14ac:dyDescent="0.25">
      <c r="T19890" s="135"/>
      <c r="U19890" s="135"/>
    </row>
    <row r="19891" spans="20:21" ht="15" customHeight="1" x14ac:dyDescent="0.25">
      <c r="T19891" s="135"/>
      <c r="U19891" s="135"/>
    </row>
    <row r="19892" spans="20:21" ht="15" customHeight="1" x14ac:dyDescent="0.25">
      <c r="T19892" s="135"/>
      <c r="U19892" s="135"/>
    </row>
    <row r="19893" spans="20:21" ht="15" customHeight="1" x14ac:dyDescent="0.25">
      <c r="T19893" s="135"/>
      <c r="U19893" s="135"/>
    </row>
    <row r="19894" spans="20:21" ht="15" customHeight="1" x14ac:dyDescent="0.25">
      <c r="T19894" s="135"/>
      <c r="U19894" s="135"/>
    </row>
    <row r="19895" spans="20:21" ht="15" customHeight="1" x14ac:dyDescent="0.25">
      <c r="T19895" s="135"/>
      <c r="U19895" s="135"/>
    </row>
    <row r="19896" spans="20:21" ht="15" customHeight="1" x14ac:dyDescent="0.25">
      <c r="T19896" s="135"/>
      <c r="U19896" s="135"/>
    </row>
    <row r="19897" spans="20:21" ht="15" customHeight="1" x14ac:dyDescent="0.25">
      <c r="T19897" s="135"/>
      <c r="U19897" s="135"/>
    </row>
    <row r="19898" spans="20:21" ht="15" customHeight="1" x14ac:dyDescent="0.25">
      <c r="T19898" s="135"/>
      <c r="U19898" s="135"/>
    </row>
    <row r="19899" spans="20:21" ht="15" customHeight="1" x14ac:dyDescent="0.25">
      <c r="T19899" s="135"/>
      <c r="U19899" s="135"/>
    </row>
    <row r="19900" spans="20:21" ht="15" customHeight="1" x14ac:dyDescent="0.25">
      <c r="T19900" s="135"/>
      <c r="U19900" s="135"/>
    </row>
    <row r="19901" spans="20:21" ht="15" customHeight="1" x14ac:dyDescent="0.25">
      <c r="T19901" s="135"/>
      <c r="U19901" s="135"/>
    </row>
    <row r="19902" spans="20:21" ht="15" customHeight="1" x14ac:dyDescent="0.25">
      <c r="T19902" s="135"/>
      <c r="U19902" s="135"/>
    </row>
    <row r="19903" spans="20:21" ht="15" customHeight="1" x14ac:dyDescent="0.25">
      <c r="T19903" s="135"/>
      <c r="U19903" s="135"/>
    </row>
    <row r="19904" spans="20:21" ht="15" customHeight="1" x14ac:dyDescent="0.25">
      <c r="T19904" s="135"/>
      <c r="U19904" s="135"/>
    </row>
    <row r="19905" spans="20:21" ht="15" customHeight="1" x14ac:dyDescent="0.25">
      <c r="T19905" s="135"/>
      <c r="U19905" s="135"/>
    </row>
    <row r="19906" spans="20:21" ht="15" customHeight="1" x14ac:dyDescent="0.25">
      <c r="T19906" s="135"/>
      <c r="U19906" s="135"/>
    </row>
    <row r="19907" spans="20:21" ht="15" customHeight="1" x14ac:dyDescent="0.25">
      <c r="T19907" s="135"/>
      <c r="U19907" s="135"/>
    </row>
    <row r="19908" spans="20:21" ht="15" customHeight="1" x14ac:dyDescent="0.25">
      <c r="T19908" s="135"/>
      <c r="U19908" s="135"/>
    </row>
    <row r="19909" spans="20:21" ht="15" customHeight="1" x14ac:dyDescent="0.25">
      <c r="T19909" s="135"/>
      <c r="U19909" s="135"/>
    </row>
    <row r="19910" spans="20:21" ht="15" customHeight="1" x14ac:dyDescent="0.25">
      <c r="T19910" s="135"/>
      <c r="U19910" s="135"/>
    </row>
    <row r="19911" spans="20:21" ht="15" customHeight="1" x14ac:dyDescent="0.25">
      <c r="T19911" s="135"/>
      <c r="U19911" s="135"/>
    </row>
    <row r="19912" spans="20:21" ht="15" customHeight="1" x14ac:dyDescent="0.25">
      <c r="T19912" s="135"/>
      <c r="U19912" s="135"/>
    </row>
    <row r="19913" spans="20:21" ht="15" customHeight="1" x14ac:dyDescent="0.25">
      <c r="T19913" s="135"/>
      <c r="U19913" s="135"/>
    </row>
    <row r="19914" spans="20:21" ht="15" customHeight="1" x14ac:dyDescent="0.25">
      <c r="T19914" s="135"/>
      <c r="U19914" s="135"/>
    </row>
    <row r="19915" spans="20:21" ht="15" customHeight="1" x14ac:dyDescent="0.25">
      <c r="T19915" s="135"/>
      <c r="U19915" s="135"/>
    </row>
    <row r="19916" spans="20:21" ht="15" customHeight="1" x14ac:dyDescent="0.25">
      <c r="T19916" s="135"/>
      <c r="U19916" s="135"/>
    </row>
    <row r="19917" spans="20:21" ht="15" customHeight="1" x14ac:dyDescent="0.25">
      <c r="T19917" s="135"/>
      <c r="U19917" s="135"/>
    </row>
    <row r="19918" spans="20:21" ht="15" customHeight="1" x14ac:dyDescent="0.25">
      <c r="T19918" s="135"/>
      <c r="U19918" s="135"/>
    </row>
    <row r="19919" spans="20:21" ht="15" customHeight="1" x14ac:dyDescent="0.25">
      <c r="T19919" s="135"/>
      <c r="U19919" s="135"/>
    </row>
    <row r="19920" spans="20:21" ht="15" customHeight="1" x14ac:dyDescent="0.25">
      <c r="T19920" s="135"/>
      <c r="U19920" s="135"/>
    </row>
    <row r="19921" spans="20:21" ht="15" customHeight="1" x14ac:dyDescent="0.25">
      <c r="T19921" s="135"/>
      <c r="U19921" s="135"/>
    </row>
    <row r="19922" spans="20:21" ht="15" customHeight="1" x14ac:dyDescent="0.25">
      <c r="T19922" s="135"/>
      <c r="U19922" s="135"/>
    </row>
    <row r="19923" spans="20:21" ht="15" customHeight="1" x14ac:dyDescent="0.25">
      <c r="T19923" s="135"/>
      <c r="U19923" s="135"/>
    </row>
    <row r="19924" spans="20:21" ht="15" customHeight="1" x14ac:dyDescent="0.25">
      <c r="T19924" s="135"/>
      <c r="U19924" s="135"/>
    </row>
    <row r="19925" spans="20:21" ht="15" customHeight="1" x14ac:dyDescent="0.25">
      <c r="T19925" s="135"/>
      <c r="U19925" s="135"/>
    </row>
    <row r="19926" spans="20:21" ht="15" customHeight="1" x14ac:dyDescent="0.25">
      <c r="T19926" s="135"/>
      <c r="U19926" s="135"/>
    </row>
    <row r="19927" spans="20:21" ht="15" customHeight="1" x14ac:dyDescent="0.25">
      <c r="T19927" s="135"/>
      <c r="U19927" s="135"/>
    </row>
    <row r="19928" spans="20:21" ht="15" customHeight="1" x14ac:dyDescent="0.25">
      <c r="T19928" s="135"/>
      <c r="U19928" s="135"/>
    </row>
    <row r="19929" spans="20:21" ht="15" customHeight="1" x14ac:dyDescent="0.25">
      <c r="T19929" s="135"/>
      <c r="U19929" s="135"/>
    </row>
    <row r="19930" spans="20:21" ht="15" customHeight="1" x14ac:dyDescent="0.25">
      <c r="T19930" s="135"/>
      <c r="U19930" s="135"/>
    </row>
    <row r="19931" spans="20:21" ht="15" customHeight="1" x14ac:dyDescent="0.25">
      <c r="T19931" s="135"/>
      <c r="U19931" s="135"/>
    </row>
    <row r="19932" spans="20:21" ht="15" customHeight="1" x14ac:dyDescent="0.25">
      <c r="T19932" s="135"/>
      <c r="U19932" s="135"/>
    </row>
    <row r="19933" spans="20:21" ht="15" customHeight="1" x14ac:dyDescent="0.25">
      <c r="T19933" s="135"/>
      <c r="U19933" s="135"/>
    </row>
    <row r="19934" spans="20:21" ht="15" customHeight="1" x14ac:dyDescent="0.25">
      <c r="T19934" s="135"/>
      <c r="U19934" s="135"/>
    </row>
    <row r="19935" spans="20:21" ht="15" customHeight="1" x14ac:dyDescent="0.25">
      <c r="T19935" s="135"/>
      <c r="U19935" s="135"/>
    </row>
    <row r="19936" spans="20:21" ht="15" customHeight="1" x14ac:dyDescent="0.25">
      <c r="T19936" s="135"/>
      <c r="U19936" s="135"/>
    </row>
    <row r="19937" spans="20:21" ht="15" customHeight="1" x14ac:dyDescent="0.25">
      <c r="T19937" s="135"/>
      <c r="U19937" s="135"/>
    </row>
    <row r="19938" spans="20:21" ht="15" customHeight="1" x14ac:dyDescent="0.25">
      <c r="T19938" s="135"/>
      <c r="U19938" s="135"/>
    </row>
    <row r="19939" spans="20:21" ht="15" customHeight="1" x14ac:dyDescent="0.25">
      <c r="T19939" s="135"/>
      <c r="U19939" s="135"/>
    </row>
    <row r="19940" spans="20:21" ht="15" customHeight="1" x14ac:dyDescent="0.25">
      <c r="T19940" s="135"/>
      <c r="U19940" s="135"/>
    </row>
    <row r="19941" spans="20:21" ht="15" customHeight="1" x14ac:dyDescent="0.25">
      <c r="T19941" s="135"/>
      <c r="U19941" s="135"/>
    </row>
    <row r="19942" spans="20:21" ht="15" customHeight="1" x14ac:dyDescent="0.25">
      <c r="T19942" s="135"/>
      <c r="U19942" s="135"/>
    </row>
    <row r="19943" spans="20:21" ht="15" customHeight="1" x14ac:dyDescent="0.25">
      <c r="T19943" s="135"/>
      <c r="U19943" s="135"/>
    </row>
    <row r="19944" spans="20:21" ht="15" customHeight="1" x14ac:dyDescent="0.25">
      <c r="T19944" s="135"/>
      <c r="U19944" s="135"/>
    </row>
    <row r="19945" spans="20:21" ht="15" customHeight="1" x14ac:dyDescent="0.25">
      <c r="T19945" s="135"/>
      <c r="U19945" s="135"/>
    </row>
    <row r="19946" spans="20:21" ht="15" customHeight="1" x14ac:dyDescent="0.25">
      <c r="T19946" s="135"/>
      <c r="U19946" s="135"/>
    </row>
    <row r="19947" spans="20:21" ht="15" customHeight="1" x14ac:dyDescent="0.25">
      <c r="T19947" s="135"/>
      <c r="U19947" s="135"/>
    </row>
    <row r="19948" spans="20:21" ht="15" customHeight="1" x14ac:dyDescent="0.25">
      <c r="T19948" s="135"/>
      <c r="U19948" s="135"/>
    </row>
    <row r="19949" spans="20:21" ht="15" customHeight="1" x14ac:dyDescent="0.25">
      <c r="T19949" s="135"/>
      <c r="U19949" s="135"/>
    </row>
    <row r="19950" spans="20:21" ht="15" customHeight="1" x14ac:dyDescent="0.25">
      <c r="T19950" s="135"/>
      <c r="U19950" s="135"/>
    </row>
    <row r="19951" spans="20:21" ht="15" customHeight="1" x14ac:dyDescent="0.25">
      <c r="T19951" s="135"/>
      <c r="U19951" s="135"/>
    </row>
    <row r="19952" spans="20:21" ht="15" customHeight="1" x14ac:dyDescent="0.25">
      <c r="T19952" s="135"/>
      <c r="U19952" s="135"/>
    </row>
    <row r="19953" spans="20:21" ht="15" customHeight="1" x14ac:dyDescent="0.25">
      <c r="T19953" s="135"/>
      <c r="U19953" s="135"/>
    </row>
    <row r="19954" spans="20:21" ht="15" customHeight="1" x14ac:dyDescent="0.25">
      <c r="T19954" s="135"/>
      <c r="U19954" s="135"/>
    </row>
    <row r="19955" spans="20:21" ht="15" customHeight="1" x14ac:dyDescent="0.25">
      <c r="T19955" s="135"/>
      <c r="U19955" s="135"/>
    </row>
    <row r="19956" spans="20:21" ht="15" customHeight="1" x14ac:dyDescent="0.25">
      <c r="T19956" s="135"/>
      <c r="U19956" s="135"/>
    </row>
    <row r="19957" spans="20:21" ht="15" customHeight="1" x14ac:dyDescent="0.25">
      <c r="T19957" s="135"/>
      <c r="U19957" s="135"/>
    </row>
    <row r="19958" spans="20:21" ht="15" customHeight="1" x14ac:dyDescent="0.25">
      <c r="T19958" s="135"/>
      <c r="U19958" s="135"/>
    </row>
    <row r="19959" spans="20:21" ht="15" customHeight="1" x14ac:dyDescent="0.25">
      <c r="T19959" s="135"/>
      <c r="U19959" s="135"/>
    </row>
    <row r="19960" spans="20:21" ht="15" customHeight="1" x14ac:dyDescent="0.25">
      <c r="T19960" s="135"/>
      <c r="U19960" s="135"/>
    </row>
    <row r="19961" spans="20:21" ht="15" customHeight="1" x14ac:dyDescent="0.25">
      <c r="T19961" s="135"/>
      <c r="U19961" s="135"/>
    </row>
    <row r="19962" spans="20:21" ht="15" customHeight="1" x14ac:dyDescent="0.25">
      <c r="T19962" s="135"/>
      <c r="U19962" s="135"/>
    </row>
    <row r="19963" spans="20:21" ht="15" customHeight="1" x14ac:dyDescent="0.25">
      <c r="T19963" s="135"/>
      <c r="U19963" s="135"/>
    </row>
    <row r="19964" spans="20:21" ht="15" customHeight="1" x14ac:dyDescent="0.25">
      <c r="T19964" s="135"/>
      <c r="U19964" s="135"/>
    </row>
    <row r="19965" spans="20:21" ht="15" customHeight="1" x14ac:dyDescent="0.25">
      <c r="T19965" s="135"/>
      <c r="U19965" s="135"/>
    </row>
    <row r="19966" spans="20:21" ht="15" customHeight="1" x14ac:dyDescent="0.25">
      <c r="T19966" s="135"/>
      <c r="U19966" s="135"/>
    </row>
    <row r="19967" spans="20:21" ht="15" customHeight="1" x14ac:dyDescent="0.25">
      <c r="T19967" s="135"/>
      <c r="U19967" s="135"/>
    </row>
    <row r="19968" spans="20:21" ht="15" customHeight="1" x14ac:dyDescent="0.25">
      <c r="T19968" s="135"/>
      <c r="U19968" s="135"/>
    </row>
    <row r="19969" spans="20:21" ht="15" customHeight="1" x14ac:dyDescent="0.25">
      <c r="T19969" s="135"/>
      <c r="U19969" s="135"/>
    </row>
    <row r="19970" spans="20:21" ht="15" customHeight="1" x14ac:dyDescent="0.25">
      <c r="T19970" s="135"/>
      <c r="U19970" s="135"/>
    </row>
    <row r="19971" spans="20:21" ht="15" customHeight="1" x14ac:dyDescent="0.25">
      <c r="T19971" s="135"/>
      <c r="U19971" s="135"/>
    </row>
    <row r="19972" spans="20:21" ht="15" customHeight="1" x14ac:dyDescent="0.25">
      <c r="T19972" s="135"/>
      <c r="U19972" s="135"/>
    </row>
    <row r="19973" spans="20:21" ht="15" customHeight="1" x14ac:dyDescent="0.25">
      <c r="T19973" s="135"/>
      <c r="U19973" s="135"/>
    </row>
    <row r="19974" spans="20:21" ht="15" customHeight="1" x14ac:dyDescent="0.25">
      <c r="T19974" s="135"/>
      <c r="U19974" s="135"/>
    </row>
    <row r="19975" spans="20:21" ht="15" customHeight="1" x14ac:dyDescent="0.25">
      <c r="T19975" s="135"/>
      <c r="U19975" s="135"/>
    </row>
    <row r="19976" spans="20:21" ht="15" customHeight="1" x14ac:dyDescent="0.25">
      <c r="T19976" s="135"/>
      <c r="U19976" s="135"/>
    </row>
    <row r="19977" spans="20:21" ht="15" customHeight="1" x14ac:dyDescent="0.25">
      <c r="T19977" s="135"/>
      <c r="U19977" s="135"/>
    </row>
    <row r="19978" spans="20:21" ht="15" customHeight="1" x14ac:dyDescent="0.25">
      <c r="T19978" s="135"/>
      <c r="U19978" s="135"/>
    </row>
    <row r="19979" spans="20:21" ht="15" customHeight="1" x14ac:dyDescent="0.25">
      <c r="T19979" s="135"/>
      <c r="U19979" s="135"/>
    </row>
    <row r="19980" spans="20:21" ht="15" customHeight="1" x14ac:dyDescent="0.25">
      <c r="T19980" s="135"/>
      <c r="U19980" s="135"/>
    </row>
    <row r="19981" spans="20:21" ht="15" customHeight="1" x14ac:dyDescent="0.25">
      <c r="T19981" s="135"/>
      <c r="U19981" s="135"/>
    </row>
    <row r="19982" spans="20:21" ht="15" customHeight="1" x14ac:dyDescent="0.25">
      <c r="T19982" s="135"/>
      <c r="U19982" s="135"/>
    </row>
    <row r="19983" spans="20:21" ht="15" customHeight="1" x14ac:dyDescent="0.25">
      <c r="T19983" s="135"/>
      <c r="U19983" s="135"/>
    </row>
    <row r="19984" spans="20:21" ht="15" customHeight="1" x14ac:dyDescent="0.25">
      <c r="T19984" s="135"/>
      <c r="U19984" s="135"/>
    </row>
    <row r="19985" spans="20:21" ht="15" customHeight="1" x14ac:dyDescent="0.25">
      <c r="T19985" s="135"/>
      <c r="U19985" s="135"/>
    </row>
    <row r="19986" spans="20:21" ht="15" customHeight="1" x14ac:dyDescent="0.25">
      <c r="T19986" s="135"/>
      <c r="U19986" s="135"/>
    </row>
    <row r="19987" spans="20:21" ht="15" customHeight="1" x14ac:dyDescent="0.25">
      <c r="T19987" s="135"/>
      <c r="U19987" s="135"/>
    </row>
    <row r="19988" spans="20:21" ht="15" customHeight="1" x14ac:dyDescent="0.25">
      <c r="T19988" s="135"/>
      <c r="U19988" s="135"/>
    </row>
    <row r="19989" spans="20:21" ht="15" customHeight="1" x14ac:dyDescent="0.25">
      <c r="T19989" s="135"/>
      <c r="U19989" s="135"/>
    </row>
    <row r="19990" spans="20:21" ht="15" customHeight="1" x14ac:dyDescent="0.25">
      <c r="T19990" s="135"/>
      <c r="U19990" s="135"/>
    </row>
    <row r="19991" spans="20:21" ht="15" customHeight="1" x14ac:dyDescent="0.25">
      <c r="T19991" s="135"/>
      <c r="U19991" s="135"/>
    </row>
    <row r="19992" spans="20:21" ht="15" customHeight="1" x14ac:dyDescent="0.25">
      <c r="T19992" s="135"/>
      <c r="U19992" s="135"/>
    </row>
    <row r="19993" spans="20:21" ht="15" customHeight="1" x14ac:dyDescent="0.25">
      <c r="T19993" s="135"/>
      <c r="U19993" s="135"/>
    </row>
    <row r="19994" spans="20:21" ht="15" customHeight="1" x14ac:dyDescent="0.25">
      <c r="T19994" s="135"/>
      <c r="U19994" s="135"/>
    </row>
    <row r="19995" spans="20:21" ht="15" customHeight="1" x14ac:dyDescent="0.25">
      <c r="T19995" s="135"/>
      <c r="U19995" s="135"/>
    </row>
    <row r="19996" spans="20:21" ht="15" customHeight="1" x14ac:dyDescent="0.25">
      <c r="T19996" s="135"/>
      <c r="U19996" s="135"/>
    </row>
    <row r="19997" spans="20:21" ht="15" customHeight="1" x14ac:dyDescent="0.25">
      <c r="T19997" s="135"/>
      <c r="U19997" s="135"/>
    </row>
    <row r="19998" spans="20:21" ht="15" customHeight="1" x14ac:dyDescent="0.25">
      <c r="T19998" s="135"/>
      <c r="U19998" s="135"/>
    </row>
    <row r="19999" spans="20:21" ht="15" customHeight="1" x14ac:dyDescent="0.25">
      <c r="T19999" s="135"/>
      <c r="U19999" s="135"/>
    </row>
    <row r="20000" spans="20:21" ht="15" customHeight="1" x14ac:dyDescent="0.25">
      <c r="T20000" s="135"/>
      <c r="U20000" s="135"/>
    </row>
    <row r="20001" spans="20:21" ht="15" customHeight="1" x14ac:dyDescent="0.25">
      <c r="T20001" s="135"/>
      <c r="U20001" s="135"/>
    </row>
    <row r="20002" spans="20:21" ht="15" customHeight="1" x14ac:dyDescent="0.25">
      <c r="T20002" s="135"/>
      <c r="U20002" s="135"/>
    </row>
    <row r="20003" spans="20:21" ht="15" customHeight="1" x14ac:dyDescent="0.25">
      <c r="T20003" s="135"/>
      <c r="U20003" s="135"/>
    </row>
    <row r="20004" spans="20:21" ht="15" customHeight="1" x14ac:dyDescent="0.25">
      <c r="T20004" s="135"/>
      <c r="U20004" s="135"/>
    </row>
    <row r="20005" spans="20:21" ht="15" customHeight="1" x14ac:dyDescent="0.25">
      <c r="T20005" s="135"/>
      <c r="U20005" s="135"/>
    </row>
    <row r="20006" spans="20:21" ht="15" customHeight="1" x14ac:dyDescent="0.25">
      <c r="T20006" s="135"/>
      <c r="U20006" s="135"/>
    </row>
    <row r="20007" spans="20:21" ht="15" customHeight="1" x14ac:dyDescent="0.25">
      <c r="T20007" s="135"/>
      <c r="U20007" s="135"/>
    </row>
    <row r="20008" spans="20:21" ht="15" customHeight="1" x14ac:dyDescent="0.25">
      <c r="T20008" s="135"/>
      <c r="U20008" s="135"/>
    </row>
    <row r="20009" spans="20:21" ht="15" customHeight="1" x14ac:dyDescent="0.25">
      <c r="T20009" s="135"/>
      <c r="U20009" s="135"/>
    </row>
    <row r="20010" spans="20:21" ht="15" customHeight="1" x14ac:dyDescent="0.25">
      <c r="T20010" s="135"/>
      <c r="U20010" s="135"/>
    </row>
    <row r="20011" spans="20:21" ht="15" customHeight="1" x14ac:dyDescent="0.25">
      <c r="T20011" s="135"/>
      <c r="U20011" s="135"/>
    </row>
    <row r="20012" spans="20:21" ht="15" customHeight="1" x14ac:dyDescent="0.25">
      <c r="T20012" s="135"/>
      <c r="U20012" s="135"/>
    </row>
    <row r="20013" spans="20:21" ht="15" customHeight="1" x14ac:dyDescent="0.25">
      <c r="T20013" s="135"/>
      <c r="U20013" s="135"/>
    </row>
    <row r="20014" spans="20:21" ht="15" customHeight="1" x14ac:dyDescent="0.25">
      <c r="T20014" s="135"/>
      <c r="U20014" s="135"/>
    </row>
    <row r="20015" spans="20:21" ht="15" customHeight="1" x14ac:dyDescent="0.25">
      <c r="T20015" s="135"/>
      <c r="U20015" s="135"/>
    </row>
    <row r="20016" spans="20:21" ht="15" customHeight="1" x14ac:dyDescent="0.25">
      <c r="T20016" s="135"/>
      <c r="U20016" s="135"/>
    </row>
    <row r="20017" spans="20:21" ht="15" customHeight="1" x14ac:dyDescent="0.25">
      <c r="T20017" s="135"/>
      <c r="U20017" s="135"/>
    </row>
    <row r="20018" spans="20:21" ht="15" customHeight="1" x14ac:dyDescent="0.25">
      <c r="T20018" s="135"/>
      <c r="U20018" s="135"/>
    </row>
    <row r="20019" spans="20:21" ht="15" customHeight="1" x14ac:dyDescent="0.25">
      <c r="T20019" s="135"/>
      <c r="U20019" s="135"/>
    </row>
    <row r="20020" spans="20:21" ht="15" customHeight="1" x14ac:dyDescent="0.25">
      <c r="T20020" s="135"/>
      <c r="U20020" s="135"/>
    </row>
    <row r="20021" spans="20:21" ht="15" customHeight="1" x14ac:dyDescent="0.25">
      <c r="T20021" s="135"/>
      <c r="U20021" s="135"/>
    </row>
    <row r="20022" spans="20:21" ht="15" customHeight="1" x14ac:dyDescent="0.25">
      <c r="T20022" s="135"/>
      <c r="U20022" s="135"/>
    </row>
    <row r="20023" spans="20:21" ht="15" customHeight="1" x14ac:dyDescent="0.25">
      <c r="T20023" s="135"/>
      <c r="U20023" s="135"/>
    </row>
    <row r="20024" spans="20:21" ht="15" customHeight="1" x14ac:dyDescent="0.25">
      <c r="T20024" s="135"/>
      <c r="U20024" s="135"/>
    </row>
    <row r="20025" spans="20:21" ht="15" customHeight="1" x14ac:dyDescent="0.25">
      <c r="T20025" s="135"/>
      <c r="U20025" s="135"/>
    </row>
    <row r="20026" spans="20:21" ht="15" customHeight="1" x14ac:dyDescent="0.25">
      <c r="T20026" s="135"/>
      <c r="U20026" s="135"/>
    </row>
    <row r="20027" spans="20:21" ht="15" customHeight="1" x14ac:dyDescent="0.25">
      <c r="T20027" s="135"/>
      <c r="U20027" s="135"/>
    </row>
    <row r="20028" spans="20:21" ht="15" customHeight="1" x14ac:dyDescent="0.25">
      <c r="T20028" s="135"/>
      <c r="U20028" s="135"/>
    </row>
    <row r="20029" spans="20:21" ht="15" customHeight="1" x14ac:dyDescent="0.25">
      <c r="T20029" s="135"/>
      <c r="U20029" s="135"/>
    </row>
    <row r="20030" spans="20:21" ht="15" customHeight="1" x14ac:dyDescent="0.25">
      <c r="T20030" s="135"/>
      <c r="U20030" s="135"/>
    </row>
    <row r="20031" spans="20:21" ht="15" customHeight="1" x14ac:dyDescent="0.25">
      <c r="T20031" s="135"/>
      <c r="U20031" s="135"/>
    </row>
    <row r="20032" spans="20:21" ht="15" customHeight="1" x14ac:dyDescent="0.25">
      <c r="T20032" s="135"/>
      <c r="U20032" s="135"/>
    </row>
    <row r="20033" spans="20:21" ht="15" customHeight="1" x14ac:dyDescent="0.25">
      <c r="T20033" s="135"/>
      <c r="U20033" s="135"/>
    </row>
    <row r="20034" spans="20:21" ht="15" customHeight="1" x14ac:dyDescent="0.25">
      <c r="T20034" s="135"/>
      <c r="U20034" s="135"/>
    </row>
    <row r="20035" spans="20:21" ht="15" customHeight="1" x14ac:dyDescent="0.25">
      <c r="T20035" s="135"/>
      <c r="U20035" s="135"/>
    </row>
    <row r="20036" spans="20:21" ht="15" customHeight="1" x14ac:dyDescent="0.25">
      <c r="T20036" s="135"/>
      <c r="U20036" s="135"/>
    </row>
    <row r="20037" spans="20:21" ht="15" customHeight="1" x14ac:dyDescent="0.25">
      <c r="T20037" s="135"/>
      <c r="U20037" s="135"/>
    </row>
    <row r="20038" spans="20:21" ht="15" customHeight="1" x14ac:dyDescent="0.25">
      <c r="T20038" s="135"/>
      <c r="U20038" s="135"/>
    </row>
    <row r="20039" spans="20:21" ht="15" customHeight="1" x14ac:dyDescent="0.25">
      <c r="T20039" s="135"/>
      <c r="U20039" s="135"/>
    </row>
    <row r="20040" spans="20:21" ht="15" customHeight="1" x14ac:dyDescent="0.25">
      <c r="T20040" s="135"/>
      <c r="U20040" s="135"/>
    </row>
    <row r="20041" spans="20:21" ht="15" customHeight="1" x14ac:dyDescent="0.25">
      <c r="T20041" s="135"/>
      <c r="U20041" s="135"/>
    </row>
    <row r="20042" spans="20:21" ht="15" customHeight="1" x14ac:dyDescent="0.25">
      <c r="T20042" s="135"/>
      <c r="U20042" s="135"/>
    </row>
    <row r="20043" spans="20:21" ht="15" customHeight="1" x14ac:dyDescent="0.25">
      <c r="T20043" s="135"/>
      <c r="U20043" s="135"/>
    </row>
    <row r="20044" spans="20:21" ht="15" customHeight="1" x14ac:dyDescent="0.25">
      <c r="T20044" s="135"/>
      <c r="U20044" s="135"/>
    </row>
    <row r="20045" spans="20:21" ht="15" customHeight="1" x14ac:dyDescent="0.25">
      <c r="T20045" s="135"/>
      <c r="U20045" s="135"/>
    </row>
    <row r="20046" spans="20:21" ht="15" customHeight="1" x14ac:dyDescent="0.25">
      <c r="T20046" s="135"/>
      <c r="U20046" s="135"/>
    </row>
    <row r="20047" spans="20:21" ht="15" customHeight="1" x14ac:dyDescent="0.25">
      <c r="T20047" s="135"/>
      <c r="U20047" s="135"/>
    </row>
    <row r="20048" spans="20:21" ht="15" customHeight="1" x14ac:dyDescent="0.25">
      <c r="T20048" s="135"/>
      <c r="U20048" s="135"/>
    </row>
    <row r="20049" spans="20:21" ht="15" customHeight="1" x14ac:dyDescent="0.25">
      <c r="T20049" s="135"/>
      <c r="U20049" s="135"/>
    </row>
    <row r="20050" spans="20:21" ht="15" customHeight="1" x14ac:dyDescent="0.25">
      <c r="T20050" s="135"/>
      <c r="U20050" s="135"/>
    </row>
    <row r="20051" spans="20:21" ht="15" customHeight="1" x14ac:dyDescent="0.25">
      <c r="T20051" s="135"/>
      <c r="U20051" s="135"/>
    </row>
    <row r="20052" spans="20:21" ht="15" customHeight="1" x14ac:dyDescent="0.25">
      <c r="T20052" s="135"/>
      <c r="U20052" s="135"/>
    </row>
    <row r="20053" spans="20:21" ht="15" customHeight="1" x14ac:dyDescent="0.25">
      <c r="T20053" s="135"/>
      <c r="U20053" s="135"/>
    </row>
    <row r="20054" spans="20:21" ht="15" customHeight="1" x14ac:dyDescent="0.25">
      <c r="T20054" s="135"/>
      <c r="U20054" s="135"/>
    </row>
    <row r="20055" spans="20:21" ht="15" customHeight="1" x14ac:dyDescent="0.25">
      <c r="T20055" s="135"/>
      <c r="U20055" s="135"/>
    </row>
    <row r="20056" spans="20:21" ht="15" customHeight="1" x14ac:dyDescent="0.25">
      <c r="T20056" s="135"/>
      <c r="U20056" s="135"/>
    </row>
    <row r="20057" spans="20:21" ht="15" customHeight="1" x14ac:dyDescent="0.25">
      <c r="T20057" s="135"/>
      <c r="U20057" s="135"/>
    </row>
    <row r="20058" spans="20:21" ht="15" customHeight="1" x14ac:dyDescent="0.25">
      <c r="T20058" s="135"/>
      <c r="U20058" s="135"/>
    </row>
    <row r="20059" spans="20:21" ht="15" customHeight="1" x14ac:dyDescent="0.25">
      <c r="T20059" s="135"/>
      <c r="U20059" s="135"/>
    </row>
    <row r="20060" spans="20:21" ht="15" customHeight="1" x14ac:dyDescent="0.25">
      <c r="T20060" s="135"/>
      <c r="U20060" s="135"/>
    </row>
    <row r="20061" spans="20:21" ht="15" customHeight="1" x14ac:dyDescent="0.25">
      <c r="T20061" s="135"/>
      <c r="U20061" s="135"/>
    </row>
    <row r="20062" spans="20:21" ht="15" customHeight="1" x14ac:dyDescent="0.25">
      <c r="T20062" s="135"/>
      <c r="U20062" s="135"/>
    </row>
    <row r="20063" spans="20:21" ht="15" customHeight="1" x14ac:dyDescent="0.25">
      <c r="T20063" s="135"/>
      <c r="U20063" s="135"/>
    </row>
    <row r="20064" spans="20:21" ht="15" customHeight="1" x14ac:dyDescent="0.25">
      <c r="T20064" s="135"/>
      <c r="U20064" s="135"/>
    </row>
    <row r="20065" spans="20:21" ht="15" customHeight="1" x14ac:dyDescent="0.25">
      <c r="T20065" s="135"/>
      <c r="U20065" s="135"/>
    </row>
    <row r="20066" spans="20:21" ht="15" customHeight="1" x14ac:dyDescent="0.25">
      <c r="T20066" s="135"/>
      <c r="U20066" s="135"/>
    </row>
    <row r="20067" spans="20:21" ht="15" customHeight="1" x14ac:dyDescent="0.25">
      <c r="T20067" s="135"/>
      <c r="U20067" s="135"/>
    </row>
    <row r="20068" spans="20:21" ht="15" customHeight="1" x14ac:dyDescent="0.25">
      <c r="T20068" s="135"/>
      <c r="U20068" s="135"/>
    </row>
    <row r="20069" spans="20:21" ht="15" customHeight="1" x14ac:dyDescent="0.25">
      <c r="T20069" s="135"/>
      <c r="U20069" s="135"/>
    </row>
    <row r="20070" spans="20:21" ht="15" customHeight="1" x14ac:dyDescent="0.25">
      <c r="T20070" s="135"/>
      <c r="U20070" s="135"/>
    </row>
    <row r="20071" spans="20:21" ht="15" customHeight="1" x14ac:dyDescent="0.25">
      <c r="T20071" s="135"/>
      <c r="U20071" s="135"/>
    </row>
    <row r="20072" spans="20:21" ht="15" customHeight="1" x14ac:dyDescent="0.25">
      <c r="T20072" s="135"/>
      <c r="U20072" s="135"/>
    </row>
    <row r="20073" spans="20:21" ht="15" customHeight="1" x14ac:dyDescent="0.25">
      <c r="T20073" s="135"/>
      <c r="U20073" s="135"/>
    </row>
    <row r="20074" spans="20:21" ht="15" customHeight="1" x14ac:dyDescent="0.25">
      <c r="T20074" s="135"/>
      <c r="U20074" s="135"/>
    </row>
    <row r="20075" spans="20:21" ht="15" customHeight="1" x14ac:dyDescent="0.25">
      <c r="T20075" s="135"/>
      <c r="U20075" s="135"/>
    </row>
    <row r="20076" spans="20:21" ht="15" customHeight="1" x14ac:dyDescent="0.25">
      <c r="T20076" s="135"/>
      <c r="U20076" s="135"/>
    </row>
    <row r="20077" spans="20:21" ht="15" customHeight="1" x14ac:dyDescent="0.25">
      <c r="T20077" s="135"/>
      <c r="U20077" s="135"/>
    </row>
    <row r="20078" spans="20:21" ht="15" customHeight="1" x14ac:dyDescent="0.25">
      <c r="T20078" s="135"/>
      <c r="U20078" s="135"/>
    </row>
    <row r="20079" spans="20:21" ht="15" customHeight="1" x14ac:dyDescent="0.25">
      <c r="T20079" s="135"/>
      <c r="U20079" s="135"/>
    </row>
    <row r="20080" spans="20:21" ht="15" customHeight="1" x14ac:dyDescent="0.25">
      <c r="T20080" s="135"/>
      <c r="U20080" s="135"/>
    </row>
    <row r="20081" spans="20:21" ht="15" customHeight="1" x14ac:dyDescent="0.25">
      <c r="T20081" s="135"/>
      <c r="U20081" s="135"/>
    </row>
    <row r="20082" spans="20:21" ht="15" customHeight="1" x14ac:dyDescent="0.25">
      <c r="T20082" s="135"/>
      <c r="U20082" s="135"/>
    </row>
    <row r="20083" spans="20:21" ht="15" customHeight="1" x14ac:dyDescent="0.25">
      <c r="T20083" s="135"/>
      <c r="U20083" s="135"/>
    </row>
    <row r="20084" spans="20:21" ht="15" customHeight="1" x14ac:dyDescent="0.25">
      <c r="T20084" s="135"/>
      <c r="U20084" s="135"/>
    </row>
    <row r="20085" spans="20:21" ht="15" customHeight="1" x14ac:dyDescent="0.25">
      <c r="T20085" s="135"/>
      <c r="U20085" s="135"/>
    </row>
    <row r="20086" spans="20:21" ht="15" customHeight="1" x14ac:dyDescent="0.25">
      <c r="T20086" s="135"/>
      <c r="U20086" s="135"/>
    </row>
    <row r="20087" spans="20:21" ht="15" customHeight="1" x14ac:dyDescent="0.25">
      <c r="T20087" s="135"/>
      <c r="U20087" s="135"/>
    </row>
    <row r="20088" spans="20:21" ht="15" customHeight="1" x14ac:dyDescent="0.25">
      <c r="T20088" s="135"/>
      <c r="U20088" s="135"/>
    </row>
    <row r="20089" spans="20:21" ht="15" customHeight="1" x14ac:dyDescent="0.25">
      <c r="T20089" s="135"/>
      <c r="U20089" s="135"/>
    </row>
    <row r="20090" spans="20:21" ht="15" customHeight="1" x14ac:dyDescent="0.25">
      <c r="T20090" s="135"/>
      <c r="U20090" s="135"/>
    </row>
    <row r="20091" spans="20:21" ht="15" customHeight="1" x14ac:dyDescent="0.25">
      <c r="T20091" s="135"/>
      <c r="U20091" s="135"/>
    </row>
    <row r="20092" spans="20:21" ht="15" customHeight="1" x14ac:dyDescent="0.25">
      <c r="T20092" s="135"/>
      <c r="U20092" s="135"/>
    </row>
    <row r="20093" spans="20:21" ht="15" customHeight="1" x14ac:dyDescent="0.25">
      <c r="T20093" s="135"/>
      <c r="U20093" s="135"/>
    </row>
    <row r="20094" spans="20:21" ht="15" customHeight="1" x14ac:dyDescent="0.25">
      <c r="T20094" s="135"/>
      <c r="U20094" s="135"/>
    </row>
    <row r="20095" spans="20:21" ht="15" customHeight="1" x14ac:dyDescent="0.25">
      <c r="T20095" s="135"/>
      <c r="U20095" s="135"/>
    </row>
    <row r="20096" spans="20:21" ht="15" customHeight="1" x14ac:dyDescent="0.25">
      <c r="T20096" s="135"/>
      <c r="U20096" s="135"/>
    </row>
    <row r="20097" spans="20:21" ht="15" customHeight="1" x14ac:dyDescent="0.25">
      <c r="T20097" s="135"/>
      <c r="U20097" s="135"/>
    </row>
    <row r="20098" spans="20:21" ht="15" customHeight="1" x14ac:dyDescent="0.25">
      <c r="T20098" s="135"/>
      <c r="U20098" s="135"/>
    </row>
    <row r="20099" spans="20:21" ht="15" customHeight="1" x14ac:dyDescent="0.25">
      <c r="T20099" s="135"/>
      <c r="U20099" s="135"/>
    </row>
    <row r="20100" spans="20:21" ht="15" customHeight="1" x14ac:dyDescent="0.25">
      <c r="T20100" s="135"/>
      <c r="U20100" s="135"/>
    </row>
    <row r="20101" spans="20:21" ht="15" customHeight="1" x14ac:dyDescent="0.25">
      <c r="T20101" s="135"/>
      <c r="U20101" s="135"/>
    </row>
    <row r="20102" spans="20:21" ht="15" customHeight="1" x14ac:dyDescent="0.25">
      <c r="T20102" s="135"/>
      <c r="U20102" s="135"/>
    </row>
    <row r="20103" spans="20:21" ht="15" customHeight="1" x14ac:dyDescent="0.25">
      <c r="T20103" s="135"/>
      <c r="U20103" s="135"/>
    </row>
    <row r="20104" spans="20:21" ht="15" customHeight="1" x14ac:dyDescent="0.25">
      <c r="T20104" s="135"/>
      <c r="U20104" s="135"/>
    </row>
    <row r="20105" spans="20:21" ht="15" customHeight="1" x14ac:dyDescent="0.25">
      <c r="T20105" s="135"/>
      <c r="U20105" s="135"/>
    </row>
    <row r="20106" spans="20:21" ht="15" customHeight="1" x14ac:dyDescent="0.25">
      <c r="T20106" s="135"/>
      <c r="U20106" s="135"/>
    </row>
    <row r="20107" spans="20:21" ht="15" customHeight="1" x14ac:dyDescent="0.25">
      <c r="T20107" s="135"/>
      <c r="U20107" s="135"/>
    </row>
    <row r="20108" spans="20:21" ht="15" customHeight="1" x14ac:dyDescent="0.25">
      <c r="T20108" s="135"/>
      <c r="U20108" s="135"/>
    </row>
    <row r="20109" spans="20:21" ht="15" customHeight="1" x14ac:dyDescent="0.25">
      <c r="T20109" s="135"/>
      <c r="U20109" s="135"/>
    </row>
    <row r="20110" spans="20:21" ht="15" customHeight="1" x14ac:dyDescent="0.25">
      <c r="T20110" s="135"/>
      <c r="U20110" s="135"/>
    </row>
    <row r="20111" spans="20:21" ht="15" customHeight="1" x14ac:dyDescent="0.25">
      <c r="T20111" s="135"/>
      <c r="U20111" s="135"/>
    </row>
    <row r="20112" spans="20:21" ht="15" customHeight="1" x14ac:dyDescent="0.25">
      <c r="T20112" s="135"/>
      <c r="U20112" s="135"/>
    </row>
    <row r="20113" spans="20:21" ht="15" customHeight="1" x14ac:dyDescent="0.25">
      <c r="T20113" s="135"/>
      <c r="U20113" s="135"/>
    </row>
    <row r="20114" spans="20:21" ht="15" customHeight="1" x14ac:dyDescent="0.25">
      <c r="T20114" s="135"/>
      <c r="U20114" s="135"/>
    </row>
    <row r="20115" spans="20:21" ht="15" customHeight="1" x14ac:dyDescent="0.25">
      <c r="T20115" s="135"/>
      <c r="U20115" s="135"/>
    </row>
    <row r="20116" spans="20:21" ht="15" customHeight="1" x14ac:dyDescent="0.25">
      <c r="T20116" s="135"/>
      <c r="U20116" s="135"/>
    </row>
    <row r="20117" spans="20:21" ht="15" customHeight="1" x14ac:dyDescent="0.25">
      <c r="T20117" s="135"/>
      <c r="U20117" s="135"/>
    </row>
    <row r="20118" spans="20:21" ht="15" customHeight="1" x14ac:dyDescent="0.25">
      <c r="T20118" s="135"/>
      <c r="U20118" s="135"/>
    </row>
    <row r="20119" spans="20:21" ht="15" customHeight="1" x14ac:dyDescent="0.25">
      <c r="T20119" s="135"/>
      <c r="U20119" s="135"/>
    </row>
    <row r="20120" spans="20:21" ht="15" customHeight="1" x14ac:dyDescent="0.25">
      <c r="T20120" s="135"/>
      <c r="U20120" s="135"/>
    </row>
    <row r="20121" spans="20:21" ht="15" customHeight="1" x14ac:dyDescent="0.25">
      <c r="T20121" s="135"/>
      <c r="U20121" s="135"/>
    </row>
    <row r="20122" spans="20:21" ht="15" customHeight="1" x14ac:dyDescent="0.25">
      <c r="T20122" s="135"/>
      <c r="U20122" s="135"/>
    </row>
    <row r="20123" spans="20:21" ht="15" customHeight="1" x14ac:dyDescent="0.25">
      <c r="T20123" s="135"/>
      <c r="U20123" s="135"/>
    </row>
    <row r="20124" spans="20:21" ht="15" customHeight="1" x14ac:dyDescent="0.25">
      <c r="T20124" s="135"/>
      <c r="U20124" s="135"/>
    </row>
    <row r="20125" spans="20:21" ht="15" customHeight="1" x14ac:dyDescent="0.25">
      <c r="T20125" s="135"/>
      <c r="U20125" s="135"/>
    </row>
    <row r="20126" spans="20:21" ht="15" customHeight="1" x14ac:dyDescent="0.25">
      <c r="T20126" s="135"/>
      <c r="U20126" s="135"/>
    </row>
    <row r="20127" spans="20:21" ht="15" customHeight="1" x14ac:dyDescent="0.25">
      <c r="T20127" s="135"/>
      <c r="U20127" s="135"/>
    </row>
    <row r="20128" spans="20:21" ht="15" customHeight="1" x14ac:dyDescent="0.25">
      <c r="T20128" s="135"/>
      <c r="U20128" s="135"/>
    </row>
    <row r="20129" spans="20:21" ht="15" customHeight="1" x14ac:dyDescent="0.25">
      <c r="T20129" s="135"/>
      <c r="U20129" s="135"/>
    </row>
    <row r="20130" spans="20:21" ht="15" customHeight="1" x14ac:dyDescent="0.25">
      <c r="T20130" s="135"/>
      <c r="U20130" s="135"/>
    </row>
    <row r="20131" spans="20:21" ht="15" customHeight="1" x14ac:dyDescent="0.25">
      <c r="T20131" s="135"/>
      <c r="U20131" s="135"/>
    </row>
    <row r="20132" spans="20:21" ht="15" customHeight="1" x14ac:dyDescent="0.25">
      <c r="T20132" s="135"/>
      <c r="U20132" s="135"/>
    </row>
    <row r="20133" spans="20:21" ht="15" customHeight="1" x14ac:dyDescent="0.25">
      <c r="T20133" s="135"/>
      <c r="U20133" s="135"/>
    </row>
    <row r="20134" spans="20:21" ht="15" customHeight="1" x14ac:dyDescent="0.25">
      <c r="T20134" s="135"/>
      <c r="U20134" s="135"/>
    </row>
    <row r="20135" spans="20:21" ht="15" customHeight="1" x14ac:dyDescent="0.25">
      <c r="T20135" s="135"/>
      <c r="U20135" s="135"/>
    </row>
    <row r="20136" spans="20:21" ht="15" customHeight="1" x14ac:dyDescent="0.25">
      <c r="T20136" s="135"/>
      <c r="U20136" s="135"/>
    </row>
    <row r="20137" spans="20:21" ht="15" customHeight="1" x14ac:dyDescent="0.25">
      <c r="T20137" s="135"/>
      <c r="U20137" s="135"/>
    </row>
    <row r="20138" spans="20:21" ht="15" customHeight="1" x14ac:dyDescent="0.25">
      <c r="T20138" s="135"/>
      <c r="U20138" s="135"/>
    </row>
    <row r="20139" spans="20:21" ht="15" customHeight="1" x14ac:dyDescent="0.25">
      <c r="T20139" s="135"/>
      <c r="U20139" s="135"/>
    </row>
    <row r="20140" spans="20:21" ht="15" customHeight="1" x14ac:dyDescent="0.25">
      <c r="T20140" s="135"/>
      <c r="U20140" s="135"/>
    </row>
    <row r="20141" spans="20:21" ht="15" customHeight="1" x14ac:dyDescent="0.25">
      <c r="T20141" s="135"/>
      <c r="U20141" s="135"/>
    </row>
    <row r="20142" spans="20:21" ht="15" customHeight="1" x14ac:dyDescent="0.25">
      <c r="T20142" s="135"/>
      <c r="U20142" s="135"/>
    </row>
    <row r="20143" spans="20:21" ht="15" customHeight="1" x14ac:dyDescent="0.25">
      <c r="T20143" s="135"/>
      <c r="U20143" s="135"/>
    </row>
    <row r="20144" spans="20:21" ht="15" customHeight="1" x14ac:dyDescent="0.25">
      <c r="T20144" s="135"/>
      <c r="U20144" s="135"/>
    </row>
    <row r="20145" spans="20:21" ht="15" customHeight="1" x14ac:dyDescent="0.25">
      <c r="T20145" s="135"/>
      <c r="U20145" s="135"/>
    </row>
    <row r="20146" spans="20:21" ht="15" customHeight="1" x14ac:dyDescent="0.25">
      <c r="T20146" s="135"/>
      <c r="U20146" s="135"/>
    </row>
    <row r="20147" spans="20:21" ht="15" customHeight="1" x14ac:dyDescent="0.25">
      <c r="T20147" s="135"/>
      <c r="U20147" s="135"/>
    </row>
    <row r="20148" spans="20:21" ht="15" customHeight="1" x14ac:dyDescent="0.25">
      <c r="T20148" s="135"/>
      <c r="U20148" s="135"/>
    </row>
    <row r="20149" spans="20:21" ht="15" customHeight="1" x14ac:dyDescent="0.25">
      <c r="T20149" s="135"/>
      <c r="U20149" s="135"/>
    </row>
    <row r="20150" spans="20:21" ht="15" customHeight="1" x14ac:dyDescent="0.25">
      <c r="T20150" s="135"/>
      <c r="U20150" s="135"/>
    </row>
    <row r="20151" spans="20:21" ht="15" customHeight="1" x14ac:dyDescent="0.25">
      <c r="T20151" s="135"/>
      <c r="U20151" s="135"/>
    </row>
    <row r="20152" spans="20:21" ht="15" customHeight="1" x14ac:dyDescent="0.25">
      <c r="T20152" s="135"/>
      <c r="U20152" s="135"/>
    </row>
    <row r="20153" spans="20:21" ht="15" customHeight="1" x14ac:dyDescent="0.25">
      <c r="T20153" s="135"/>
      <c r="U20153" s="135"/>
    </row>
    <row r="20154" spans="20:21" ht="15" customHeight="1" x14ac:dyDescent="0.25">
      <c r="T20154" s="135"/>
      <c r="U20154" s="135"/>
    </row>
    <row r="20155" spans="20:21" ht="15" customHeight="1" x14ac:dyDescent="0.25">
      <c r="T20155" s="135"/>
      <c r="U20155" s="135"/>
    </row>
    <row r="20156" spans="20:21" ht="15" customHeight="1" x14ac:dyDescent="0.25">
      <c r="T20156" s="135"/>
      <c r="U20156" s="135"/>
    </row>
    <row r="20157" spans="20:21" ht="15" customHeight="1" x14ac:dyDescent="0.25">
      <c r="T20157" s="135"/>
      <c r="U20157" s="135"/>
    </row>
    <row r="20158" spans="20:21" ht="15" customHeight="1" x14ac:dyDescent="0.25">
      <c r="T20158" s="135"/>
      <c r="U20158" s="135"/>
    </row>
    <row r="20159" spans="20:21" ht="15" customHeight="1" x14ac:dyDescent="0.25">
      <c r="T20159" s="135"/>
      <c r="U20159" s="135"/>
    </row>
    <row r="20160" spans="20:21" ht="15" customHeight="1" x14ac:dyDescent="0.25">
      <c r="T20160" s="135"/>
      <c r="U20160" s="135"/>
    </row>
    <row r="20161" spans="20:21" ht="15" customHeight="1" x14ac:dyDescent="0.25">
      <c r="T20161" s="135"/>
      <c r="U20161" s="135"/>
    </row>
    <row r="20162" spans="20:21" ht="15" customHeight="1" x14ac:dyDescent="0.25">
      <c r="T20162" s="135"/>
      <c r="U20162" s="135"/>
    </row>
    <row r="20163" spans="20:21" ht="15" customHeight="1" x14ac:dyDescent="0.25">
      <c r="T20163" s="135"/>
      <c r="U20163" s="135"/>
    </row>
    <row r="20164" spans="20:21" ht="15" customHeight="1" x14ac:dyDescent="0.25">
      <c r="T20164" s="135"/>
      <c r="U20164" s="135"/>
    </row>
    <row r="20165" spans="20:21" ht="15" customHeight="1" x14ac:dyDescent="0.25">
      <c r="T20165" s="135"/>
      <c r="U20165" s="135"/>
    </row>
    <row r="20166" spans="20:21" ht="15" customHeight="1" x14ac:dyDescent="0.25">
      <c r="T20166" s="135"/>
      <c r="U20166" s="135"/>
    </row>
    <row r="20167" spans="20:21" ht="15" customHeight="1" x14ac:dyDescent="0.25">
      <c r="T20167" s="135"/>
      <c r="U20167" s="135"/>
    </row>
    <row r="20168" spans="20:21" ht="15" customHeight="1" x14ac:dyDescent="0.25">
      <c r="T20168" s="135"/>
      <c r="U20168" s="135"/>
    </row>
    <row r="20169" spans="20:21" ht="15" customHeight="1" x14ac:dyDescent="0.25">
      <c r="T20169" s="135"/>
      <c r="U20169" s="135"/>
    </row>
    <row r="20170" spans="20:21" ht="15" customHeight="1" x14ac:dyDescent="0.25">
      <c r="T20170" s="135"/>
      <c r="U20170" s="135"/>
    </row>
    <row r="20171" spans="20:21" ht="15" customHeight="1" x14ac:dyDescent="0.25">
      <c r="T20171" s="135"/>
      <c r="U20171" s="135"/>
    </row>
    <row r="20172" spans="20:21" ht="15" customHeight="1" x14ac:dyDescent="0.25">
      <c r="T20172" s="135"/>
      <c r="U20172" s="135"/>
    </row>
    <row r="20173" spans="20:21" ht="15" customHeight="1" x14ac:dyDescent="0.25">
      <c r="T20173" s="135"/>
      <c r="U20173" s="135"/>
    </row>
    <row r="20174" spans="20:21" ht="15" customHeight="1" x14ac:dyDescent="0.25">
      <c r="T20174" s="135"/>
      <c r="U20174" s="135"/>
    </row>
    <row r="20175" spans="20:21" ht="15" customHeight="1" x14ac:dyDescent="0.25">
      <c r="T20175" s="135"/>
      <c r="U20175" s="135"/>
    </row>
    <row r="20176" spans="20:21" ht="15" customHeight="1" x14ac:dyDescent="0.25">
      <c r="T20176" s="135"/>
      <c r="U20176" s="135"/>
    </row>
    <row r="20177" spans="20:21" ht="15" customHeight="1" x14ac:dyDescent="0.25">
      <c r="T20177" s="135"/>
      <c r="U20177" s="135"/>
    </row>
    <row r="20178" spans="20:21" ht="15" customHeight="1" x14ac:dyDescent="0.25">
      <c r="T20178" s="135"/>
      <c r="U20178" s="135"/>
    </row>
    <row r="20179" spans="20:21" ht="15" customHeight="1" x14ac:dyDescent="0.25">
      <c r="T20179" s="135"/>
      <c r="U20179" s="135"/>
    </row>
    <row r="20180" spans="20:21" ht="15" customHeight="1" x14ac:dyDescent="0.25">
      <c r="T20180" s="135"/>
      <c r="U20180" s="135"/>
    </row>
    <row r="20181" spans="20:21" ht="15" customHeight="1" x14ac:dyDescent="0.25">
      <c r="T20181" s="135"/>
      <c r="U20181" s="135"/>
    </row>
    <row r="20182" spans="20:21" ht="15" customHeight="1" x14ac:dyDescent="0.25">
      <c r="T20182" s="135"/>
      <c r="U20182" s="135"/>
    </row>
    <row r="20183" spans="20:21" ht="15" customHeight="1" x14ac:dyDescent="0.25">
      <c r="T20183" s="135"/>
      <c r="U20183" s="135"/>
    </row>
    <row r="20184" spans="20:21" ht="15" customHeight="1" x14ac:dyDescent="0.25">
      <c r="T20184" s="135"/>
      <c r="U20184" s="135"/>
    </row>
    <row r="20185" spans="20:21" ht="15" customHeight="1" x14ac:dyDescent="0.25">
      <c r="T20185" s="135"/>
      <c r="U20185" s="135"/>
    </row>
    <row r="20186" spans="20:21" ht="15" customHeight="1" x14ac:dyDescent="0.25">
      <c r="T20186" s="135"/>
      <c r="U20186" s="135"/>
    </row>
    <row r="20187" spans="20:21" ht="15" customHeight="1" x14ac:dyDescent="0.25">
      <c r="T20187" s="135"/>
      <c r="U20187" s="135"/>
    </row>
    <row r="20188" spans="20:21" ht="15" customHeight="1" x14ac:dyDescent="0.25">
      <c r="T20188" s="135"/>
      <c r="U20188" s="135"/>
    </row>
    <row r="20189" spans="20:21" ht="15" customHeight="1" x14ac:dyDescent="0.25">
      <c r="T20189" s="135"/>
      <c r="U20189" s="135"/>
    </row>
    <row r="20190" spans="20:21" ht="15" customHeight="1" x14ac:dyDescent="0.25">
      <c r="T20190" s="135"/>
      <c r="U20190" s="135"/>
    </row>
    <row r="20191" spans="20:21" ht="15" customHeight="1" x14ac:dyDescent="0.25">
      <c r="T20191" s="135"/>
      <c r="U20191" s="135"/>
    </row>
    <row r="20192" spans="20:21" ht="15" customHeight="1" x14ac:dyDescent="0.25">
      <c r="T20192" s="135"/>
      <c r="U20192" s="135"/>
    </row>
    <row r="20193" spans="20:21" ht="15" customHeight="1" x14ac:dyDescent="0.25">
      <c r="T20193" s="135"/>
      <c r="U20193" s="135"/>
    </row>
    <row r="20194" spans="20:21" ht="15" customHeight="1" x14ac:dyDescent="0.25">
      <c r="T20194" s="135"/>
      <c r="U20194" s="135"/>
    </row>
    <row r="20195" spans="20:21" ht="15" customHeight="1" x14ac:dyDescent="0.25">
      <c r="T20195" s="135"/>
      <c r="U20195" s="135"/>
    </row>
    <row r="20196" spans="20:21" ht="15" customHeight="1" x14ac:dyDescent="0.25">
      <c r="T20196" s="135"/>
      <c r="U20196" s="135"/>
    </row>
    <row r="20197" spans="20:21" ht="15" customHeight="1" x14ac:dyDescent="0.25">
      <c r="T20197" s="135"/>
      <c r="U20197" s="135"/>
    </row>
    <row r="20198" spans="20:21" ht="15" customHeight="1" x14ac:dyDescent="0.25">
      <c r="T20198" s="135"/>
      <c r="U20198" s="135"/>
    </row>
    <row r="20199" spans="20:21" ht="15" customHeight="1" x14ac:dyDescent="0.25">
      <c r="T20199" s="135"/>
      <c r="U20199" s="135"/>
    </row>
    <row r="20200" spans="20:21" ht="15" customHeight="1" x14ac:dyDescent="0.25">
      <c r="T20200" s="135"/>
      <c r="U20200" s="135"/>
    </row>
    <row r="20201" spans="20:21" ht="15" customHeight="1" x14ac:dyDescent="0.25">
      <c r="T20201" s="135"/>
      <c r="U20201" s="135"/>
    </row>
    <row r="20202" spans="20:21" ht="15" customHeight="1" x14ac:dyDescent="0.25">
      <c r="T20202" s="135"/>
      <c r="U20202" s="135"/>
    </row>
    <row r="20203" spans="20:21" ht="15" customHeight="1" x14ac:dyDescent="0.25">
      <c r="T20203" s="135"/>
      <c r="U20203" s="135"/>
    </row>
    <row r="20204" spans="20:21" ht="15" customHeight="1" x14ac:dyDescent="0.25">
      <c r="T20204" s="135"/>
      <c r="U20204" s="135"/>
    </row>
    <row r="20205" spans="20:21" ht="15" customHeight="1" x14ac:dyDescent="0.25">
      <c r="T20205" s="135"/>
      <c r="U20205" s="135"/>
    </row>
    <row r="20206" spans="20:21" ht="15" customHeight="1" x14ac:dyDescent="0.25">
      <c r="T20206" s="135"/>
      <c r="U20206" s="135"/>
    </row>
    <row r="20207" spans="20:21" ht="15" customHeight="1" x14ac:dyDescent="0.25">
      <c r="T20207" s="135"/>
      <c r="U20207" s="135"/>
    </row>
    <row r="20208" spans="20:21" ht="15" customHeight="1" x14ac:dyDescent="0.25">
      <c r="T20208" s="135"/>
      <c r="U20208" s="135"/>
    </row>
    <row r="20209" spans="20:21" ht="15" customHeight="1" x14ac:dyDescent="0.25">
      <c r="T20209" s="135"/>
      <c r="U20209" s="135"/>
    </row>
    <row r="20210" spans="20:21" ht="15" customHeight="1" x14ac:dyDescent="0.25">
      <c r="T20210" s="135"/>
      <c r="U20210" s="135"/>
    </row>
    <row r="20211" spans="20:21" ht="15" customHeight="1" x14ac:dyDescent="0.25">
      <c r="T20211" s="135"/>
      <c r="U20211" s="135"/>
    </row>
    <row r="20212" spans="20:21" ht="15" customHeight="1" x14ac:dyDescent="0.25">
      <c r="T20212" s="135"/>
      <c r="U20212" s="135"/>
    </row>
    <row r="20213" spans="20:21" ht="15" customHeight="1" x14ac:dyDescent="0.25">
      <c r="T20213" s="135"/>
      <c r="U20213" s="135"/>
    </row>
    <row r="20214" spans="20:21" ht="15" customHeight="1" x14ac:dyDescent="0.25">
      <c r="T20214" s="135"/>
      <c r="U20214" s="135"/>
    </row>
    <row r="20215" spans="20:21" ht="15" customHeight="1" x14ac:dyDescent="0.25">
      <c r="T20215" s="135"/>
      <c r="U20215" s="135"/>
    </row>
    <row r="20216" spans="20:21" ht="15" customHeight="1" x14ac:dyDescent="0.25">
      <c r="T20216" s="135"/>
      <c r="U20216" s="135"/>
    </row>
    <row r="20217" spans="20:21" ht="15" customHeight="1" x14ac:dyDescent="0.25">
      <c r="T20217" s="135"/>
      <c r="U20217" s="135"/>
    </row>
    <row r="20218" spans="20:21" ht="15" customHeight="1" x14ac:dyDescent="0.25">
      <c r="T20218" s="135"/>
      <c r="U20218" s="135"/>
    </row>
    <row r="20219" spans="20:21" ht="15" customHeight="1" x14ac:dyDescent="0.25">
      <c r="T20219" s="135"/>
      <c r="U20219" s="135"/>
    </row>
    <row r="20220" spans="20:21" ht="15" customHeight="1" x14ac:dyDescent="0.25">
      <c r="T20220" s="135"/>
      <c r="U20220" s="135"/>
    </row>
    <row r="20221" spans="20:21" ht="15" customHeight="1" x14ac:dyDescent="0.25">
      <c r="T20221" s="135"/>
      <c r="U20221" s="135"/>
    </row>
    <row r="20222" spans="20:21" ht="15" customHeight="1" x14ac:dyDescent="0.25">
      <c r="T20222" s="135"/>
      <c r="U20222" s="135"/>
    </row>
    <row r="20223" spans="20:21" ht="15" customHeight="1" x14ac:dyDescent="0.25">
      <c r="T20223" s="135"/>
      <c r="U20223" s="135"/>
    </row>
    <row r="20224" spans="20:21" ht="15" customHeight="1" x14ac:dyDescent="0.25">
      <c r="T20224" s="135"/>
      <c r="U20224" s="135"/>
    </row>
    <row r="20225" spans="20:21" ht="15" customHeight="1" x14ac:dyDescent="0.25">
      <c r="T20225" s="135"/>
      <c r="U20225" s="135"/>
    </row>
    <row r="20226" spans="20:21" ht="15" customHeight="1" x14ac:dyDescent="0.25">
      <c r="T20226" s="135"/>
      <c r="U20226" s="135"/>
    </row>
    <row r="20227" spans="20:21" ht="15" customHeight="1" x14ac:dyDescent="0.25">
      <c r="T20227" s="135"/>
      <c r="U20227" s="135"/>
    </row>
    <row r="20228" spans="20:21" ht="15" customHeight="1" x14ac:dyDescent="0.25">
      <c r="T20228" s="135"/>
      <c r="U20228" s="135"/>
    </row>
    <row r="20229" spans="20:21" ht="15" customHeight="1" x14ac:dyDescent="0.25">
      <c r="T20229" s="135"/>
      <c r="U20229" s="135"/>
    </row>
    <row r="20230" spans="20:21" ht="15" customHeight="1" x14ac:dyDescent="0.25">
      <c r="T20230" s="135"/>
      <c r="U20230" s="135"/>
    </row>
    <row r="20231" spans="20:21" ht="15" customHeight="1" x14ac:dyDescent="0.25">
      <c r="T20231" s="135"/>
      <c r="U20231" s="135"/>
    </row>
    <row r="20232" spans="20:21" ht="15" customHeight="1" x14ac:dyDescent="0.25">
      <c r="T20232" s="135"/>
      <c r="U20232" s="135"/>
    </row>
    <row r="20233" spans="20:21" ht="15" customHeight="1" x14ac:dyDescent="0.25">
      <c r="T20233" s="135"/>
      <c r="U20233" s="135"/>
    </row>
    <row r="20234" spans="20:21" ht="15" customHeight="1" x14ac:dyDescent="0.25">
      <c r="T20234" s="135"/>
      <c r="U20234" s="135"/>
    </row>
    <row r="20235" spans="20:21" ht="15" customHeight="1" x14ac:dyDescent="0.25">
      <c r="T20235" s="135"/>
      <c r="U20235" s="135"/>
    </row>
    <row r="20236" spans="20:21" ht="15" customHeight="1" x14ac:dyDescent="0.25">
      <c r="T20236" s="135"/>
      <c r="U20236" s="135"/>
    </row>
    <row r="20237" spans="20:21" ht="15" customHeight="1" x14ac:dyDescent="0.25">
      <c r="T20237" s="135"/>
      <c r="U20237" s="135"/>
    </row>
    <row r="20238" spans="20:21" ht="15" customHeight="1" x14ac:dyDescent="0.25">
      <c r="T20238" s="135"/>
      <c r="U20238" s="135"/>
    </row>
    <row r="20239" spans="20:21" ht="15" customHeight="1" x14ac:dyDescent="0.25">
      <c r="T20239" s="135"/>
      <c r="U20239" s="135"/>
    </row>
    <row r="20240" spans="20:21" ht="15" customHeight="1" x14ac:dyDescent="0.25">
      <c r="T20240" s="135"/>
      <c r="U20240" s="135"/>
    </row>
    <row r="20241" spans="20:21" ht="15" customHeight="1" x14ac:dyDescent="0.25">
      <c r="T20241" s="135"/>
      <c r="U20241" s="135"/>
    </row>
    <row r="20242" spans="20:21" ht="15" customHeight="1" x14ac:dyDescent="0.25">
      <c r="T20242" s="135"/>
      <c r="U20242" s="135"/>
    </row>
    <row r="20243" spans="20:21" ht="15" customHeight="1" x14ac:dyDescent="0.25">
      <c r="T20243" s="135"/>
      <c r="U20243" s="135"/>
    </row>
    <row r="20244" spans="20:21" ht="15" customHeight="1" x14ac:dyDescent="0.25">
      <c r="T20244" s="135"/>
      <c r="U20244" s="135"/>
    </row>
    <row r="20245" spans="20:21" ht="15" customHeight="1" x14ac:dyDescent="0.25">
      <c r="T20245" s="135"/>
      <c r="U20245" s="135"/>
    </row>
    <row r="20246" spans="20:21" ht="15" customHeight="1" x14ac:dyDescent="0.25">
      <c r="T20246" s="135"/>
      <c r="U20246" s="135"/>
    </row>
    <row r="20247" spans="20:21" ht="15" customHeight="1" x14ac:dyDescent="0.25">
      <c r="T20247" s="135"/>
      <c r="U20247" s="135"/>
    </row>
    <row r="20248" spans="20:21" ht="15" customHeight="1" x14ac:dyDescent="0.25">
      <c r="T20248" s="135"/>
      <c r="U20248" s="135"/>
    </row>
    <row r="20249" spans="20:21" ht="15" customHeight="1" x14ac:dyDescent="0.25">
      <c r="T20249" s="135"/>
      <c r="U20249" s="135"/>
    </row>
    <row r="20250" spans="20:21" ht="15" customHeight="1" x14ac:dyDescent="0.25">
      <c r="T20250" s="135"/>
      <c r="U20250" s="135"/>
    </row>
    <row r="20251" spans="20:21" ht="15" customHeight="1" x14ac:dyDescent="0.25">
      <c r="T20251" s="135"/>
      <c r="U20251" s="135"/>
    </row>
    <row r="20252" spans="20:21" ht="15" customHeight="1" x14ac:dyDescent="0.25">
      <c r="T20252" s="135"/>
      <c r="U20252" s="135"/>
    </row>
    <row r="20253" spans="20:21" ht="15" customHeight="1" x14ac:dyDescent="0.25">
      <c r="T20253" s="135"/>
      <c r="U20253" s="135"/>
    </row>
    <row r="20254" spans="20:21" ht="15" customHeight="1" x14ac:dyDescent="0.25">
      <c r="T20254" s="135"/>
      <c r="U20254" s="135"/>
    </row>
    <row r="20255" spans="20:21" ht="15" customHeight="1" x14ac:dyDescent="0.25">
      <c r="T20255" s="135"/>
      <c r="U20255" s="135"/>
    </row>
    <row r="20256" spans="20:21" ht="15" customHeight="1" x14ac:dyDescent="0.25">
      <c r="T20256" s="135"/>
      <c r="U20256" s="135"/>
    </row>
    <row r="20257" spans="20:21" ht="15" customHeight="1" x14ac:dyDescent="0.25">
      <c r="T20257" s="135"/>
      <c r="U20257" s="135"/>
    </row>
    <row r="20258" spans="20:21" ht="15" customHeight="1" x14ac:dyDescent="0.25">
      <c r="T20258" s="135"/>
      <c r="U20258" s="135"/>
    </row>
    <row r="20259" spans="20:21" ht="15" customHeight="1" x14ac:dyDescent="0.25">
      <c r="T20259" s="135"/>
      <c r="U20259" s="135"/>
    </row>
    <row r="20260" spans="20:21" ht="15" customHeight="1" x14ac:dyDescent="0.25">
      <c r="T20260" s="135"/>
      <c r="U20260" s="135"/>
    </row>
    <row r="20261" spans="20:21" ht="15" customHeight="1" x14ac:dyDescent="0.25">
      <c r="T20261" s="135"/>
      <c r="U20261" s="135"/>
    </row>
    <row r="20262" spans="20:21" ht="15" customHeight="1" x14ac:dyDescent="0.25">
      <c r="T20262" s="135"/>
      <c r="U20262" s="135"/>
    </row>
    <row r="20263" spans="20:21" ht="15" customHeight="1" x14ac:dyDescent="0.25">
      <c r="T20263" s="135"/>
      <c r="U20263" s="135"/>
    </row>
    <row r="20264" spans="20:21" ht="15" customHeight="1" x14ac:dyDescent="0.25">
      <c r="T20264" s="135"/>
      <c r="U20264" s="135"/>
    </row>
    <row r="20265" spans="20:21" ht="15" customHeight="1" x14ac:dyDescent="0.25">
      <c r="T20265" s="135"/>
      <c r="U20265" s="135"/>
    </row>
    <row r="20266" spans="20:21" ht="15" customHeight="1" x14ac:dyDescent="0.25">
      <c r="T20266" s="135"/>
      <c r="U20266" s="135"/>
    </row>
    <row r="20267" spans="20:21" ht="15" customHeight="1" x14ac:dyDescent="0.25">
      <c r="T20267" s="135"/>
      <c r="U20267" s="135"/>
    </row>
    <row r="20268" spans="20:21" ht="15" customHeight="1" x14ac:dyDescent="0.25">
      <c r="T20268" s="135"/>
      <c r="U20268" s="135"/>
    </row>
    <row r="20269" spans="20:21" ht="15" customHeight="1" x14ac:dyDescent="0.25">
      <c r="T20269" s="135"/>
      <c r="U20269" s="135"/>
    </row>
    <row r="20270" spans="20:21" ht="15" customHeight="1" x14ac:dyDescent="0.25">
      <c r="T20270" s="135"/>
      <c r="U20270" s="135"/>
    </row>
    <row r="20271" spans="20:21" ht="15" customHeight="1" x14ac:dyDescent="0.25">
      <c r="T20271" s="135"/>
      <c r="U20271" s="135"/>
    </row>
    <row r="20272" spans="20:21" ht="15" customHeight="1" x14ac:dyDescent="0.25">
      <c r="T20272" s="135"/>
      <c r="U20272" s="135"/>
    </row>
    <row r="20273" spans="20:21" ht="15" customHeight="1" x14ac:dyDescent="0.25">
      <c r="T20273" s="135"/>
      <c r="U20273" s="135"/>
    </row>
    <row r="20274" spans="20:21" ht="15" customHeight="1" x14ac:dyDescent="0.25">
      <c r="T20274" s="135"/>
      <c r="U20274" s="135"/>
    </row>
    <row r="20275" spans="20:21" ht="15" customHeight="1" x14ac:dyDescent="0.25">
      <c r="T20275" s="135"/>
      <c r="U20275" s="135"/>
    </row>
    <row r="20276" spans="20:21" ht="15" customHeight="1" x14ac:dyDescent="0.25">
      <c r="T20276" s="135"/>
      <c r="U20276" s="135"/>
    </row>
    <row r="20277" spans="20:21" ht="15" customHeight="1" x14ac:dyDescent="0.25">
      <c r="T20277" s="135"/>
      <c r="U20277" s="135"/>
    </row>
    <row r="20278" spans="20:21" ht="15" customHeight="1" x14ac:dyDescent="0.25">
      <c r="T20278" s="135"/>
      <c r="U20278" s="135"/>
    </row>
    <row r="20279" spans="20:21" ht="15" customHeight="1" x14ac:dyDescent="0.25">
      <c r="T20279" s="135"/>
      <c r="U20279" s="135"/>
    </row>
    <row r="20280" spans="20:21" ht="15" customHeight="1" x14ac:dyDescent="0.25">
      <c r="T20280" s="135"/>
      <c r="U20280" s="135"/>
    </row>
    <row r="20281" spans="20:21" ht="15" customHeight="1" x14ac:dyDescent="0.25">
      <c r="T20281" s="135"/>
      <c r="U20281" s="135"/>
    </row>
    <row r="20282" spans="20:21" ht="15" customHeight="1" x14ac:dyDescent="0.25">
      <c r="T20282" s="135"/>
      <c r="U20282" s="135"/>
    </row>
    <row r="20283" spans="20:21" ht="15" customHeight="1" x14ac:dyDescent="0.25">
      <c r="T20283" s="135"/>
      <c r="U20283" s="135"/>
    </row>
    <row r="20284" spans="20:21" ht="15" customHeight="1" x14ac:dyDescent="0.25">
      <c r="T20284" s="135"/>
      <c r="U20284" s="135"/>
    </row>
    <row r="20285" spans="20:21" ht="15" customHeight="1" x14ac:dyDescent="0.25">
      <c r="T20285" s="135"/>
      <c r="U20285" s="135"/>
    </row>
    <row r="20286" spans="20:21" ht="15" customHeight="1" x14ac:dyDescent="0.25">
      <c r="T20286" s="135"/>
      <c r="U20286" s="135"/>
    </row>
    <row r="20287" spans="20:21" ht="15" customHeight="1" x14ac:dyDescent="0.25">
      <c r="T20287" s="135"/>
      <c r="U20287" s="135"/>
    </row>
    <row r="20288" spans="20:21" ht="15" customHeight="1" x14ac:dyDescent="0.25">
      <c r="T20288" s="135"/>
      <c r="U20288" s="135"/>
    </row>
    <row r="20289" spans="20:21" ht="15" customHeight="1" x14ac:dyDescent="0.25">
      <c r="T20289" s="135"/>
      <c r="U20289" s="135"/>
    </row>
    <row r="20290" spans="20:21" ht="15" customHeight="1" x14ac:dyDescent="0.25">
      <c r="T20290" s="135"/>
      <c r="U20290" s="135"/>
    </row>
    <row r="20291" spans="20:21" ht="15" customHeight="1" x14ac:dyDescent="0.25">
      <c r="T20291" s="135"/>
      <c r="U20291" s="135"/>
    </row>
    <row r="20292" spans="20:21" ht="15" customHeight="1" x14ac:dyDescent="0.25">
      <c r="T20292" s="135"/>
      <c r="U20292" s="135"/>
    </row>
    <row r="20293" spans="20:21" ht="15" customHeight="1" x14ac:dyDescent="0.25">
      <c r="T20293" s="135"/>
      <c r="U20293" s="135"/>
    </row>
    <row r="20294" spans="20:21" ht="15" customHeight="1" x14ac:dyDescent="0.25">
      <c r="T20294" s="135"/>
      <c r="U20294" s="135"/>
    </row>
    <row r="20295" spans="20:21" ht="15" customHeight="1" x14ac:dyDescent="0.25">
      <c r="T20295" s="135"/>
      <c r="U20295" s="135"/>
    </row>
    <row r="20296" spans="20:21" ht="15" customHeight="1" x14ac:dyDescent="0.25">
      <c r="T20296" s="135"/>
      <c r="U20296" s="135"/>
    </row>
    <row r="20297" spans="20:21" ht="15" customHeight="1" x14ac:dyDescent="0.25">
      <c r="T20297" s="135"/>
      <c r="U20297" s="135"/>
    </row>
    <row r="20298" spans="20:21" ht="15" customHeight="1" x14ac:dyDescent="0.25">
      <c r="T20298" s="135"/>
      <c r="U20298" s="135"/>
    </row>
    <row r="20299" spans="20:21" ht="15" customHeight="1" x14ac:dyDescent="0.25">
      <c r="T20299" s="135"/>
      <c r="U20299" s="135"/>
    </row>
    <row r="20300" spans="20:21" ht="15" customHeight="1" x14ac:dyDescent="0.25">
      <c r="T20300" s="135"/>
      <c r="U20300" s="135"/>
    </row>
    <row r="20301" spans="20:21" ht="15" customHeight="1" x14ac:dyDescent="0.25">
      <c r="T20301" s="135"/>
      <c r="U20301" s="135"/>
    </row>
    <row r="20302" spans="20:21" ht="15" customHeight="1" x14ac:dyDescent="0.25">
      <c r="T20302" s="135"/>
      <c r="U20302" s="135"/>
    </row>
    <row r="20303" spans="20:21" ht="15" customHeight="1" x14ac:dyDescent="0.25">
      <c r="T20303" s="135"/>
      <c r="U20303" s="135"/>
    </row>
    <row r="20304" spans="20:21" ht="15" customHeight="1" x14ac:dyDescent="0.25">
      <c r="T20304" s="135"/>
      <c r="U20304" s="135"/>
    </row>
    <row r="20305" spans="20:21" ht="15" customHeight="1" x14ac:dyDescent="0.25">
      <c r="T20305" s="135"/>
      <c r="U20305" s="135"/>
    </row>
    <row r="20306" spans="20:21" ht="15" customHeight="1" x14ac:dyDescent="0.25">
      <c r="T20306" s="135"/>
      <c r="U20306" s="135"/>
    </row>
    <row r="20307" spans="20:21" ht="15" customHeight="1" x14ac:dyDescent="0.25">
      <c r="T20307" s="135"/>
      <c r="U20307" s="135"/>
    </row>
    <row r="20308" spans="20:21" ht="15" customHeight="1" x14ac:dyDescent="0.25">
      <c r="T20308" s="135"/>
      <c r="U20308" s="135"/>
    </row>
    <row r="20309" spans="20:21" ht="15" customHeight="1" x14ac:dyDescent="0.25">
      <c r="T20309" s="135"/>
      <c r="U20309" s="135"/>
    </row>
    <row r="20310" spans="20:21" ht="15" customHeight="1" x14ac:dyDescent="0.25">
      <c r="T20310" s="135"/>
      <c r="U20310" s="135"/>
    </row>
    <row r="20311" spans="20:21" ht="15" customHeight="1" x14ac:dyDescent="0.25">
      <c r="T20311" s="135"/>
      <c r="U20311" s="135"/>
    </row>
    <row r="20312" spans="20:21" ht="15" customHeight="1" x14ac:dyDescent="0.25">
      <c r="T20312" s="135"/>
      <c r="U20312" s="135"/>
    </row>
    <row r="20313" spans="20:21" ht="15" customHeight="1" x14ac:dyDescent="0.25">
      <c r="T20313" s="135"/>
      <c r="U20313" s="135"/>
    </row>
    <row r="20314" spans="20:21" ht="15" customHeight="1" x14ac:dyDescent="0.25">
      <c r="T20314" s="135"/>
      <c r="U20314" s="135"/>
    </row>
    <row r="20315" spans="20:21" ht="15" customHeight="1" x14ac:dyDescent="0.25">
      <c r="T20315" s="135"/>
      <c r="U20315" s="135"/>
    </row>
    <row r="20316" spans="20:21" ht="15" customHeight="1" x14ac:dyDescent="0.25">
      <c r="T20316" s="135"/>
      <c r="U20316" s="135"/>
    </row>
    <row r="20317" spans="20:21" ht="15" customHeight="1" x14ac:dyDescent="0.25">
      <c r="T20317" s="135"/>
      <c r="U20317" s="135"/>
    </row>
    <row r="20318" spans="20:21" ht="15" customHeight="1" x14ac:dyDescent="0.25">
      <c r="T20318" s="135"/>
      <c r="U20318" s="135"/>
    </row>
    <row r="20319" spans="20:21" ht="15" customHeight="1" x14ac:dyDescent="0.25">
      <c r="T20319" s="135"/>
      <c r="U20319" s="135"/>
    </row>
    <row r="20320" spans="20:21" ht="15" customHeight="1" x14ac:dyDescent="0.25">
      <c r="T20320" s="135"/>
      <c r="U20320" s="135"/>
    </row>
    <row r="20321" spans="20:21" ht="15" customHeight="1" x14ac:dyDescent="0.25">
      <c r="T20321" s="135"/>
      <c r="U20321" s="135"/>
    </row>
    <row r="20322" spans="20:21" ht="15" customHeight="1" x14ac:dyDescent="0.25">
      <c r="T20322" s="135"/>
      <c r="U20322" s="135"/>
    </row>
    <row r="20323" spans="20:21" ht="15" customHeight="1" x14ac:dyDescent="0.25">
      <c r="T20323" s="135"/>
      <c r="U20323" s="135"/>
    </row>
    <row r="20324" spans="20:21" ht="15" customHeight="1" x14ac:dyDescent="0.25">
      <c r="T20324" s="135"/>
      <c r="U20324" s="135"/>
    </row>
    <row r="20325" spans="20:21" ht="15" customHeight="1" x14ac:dyDescent="0.25">
      <c r="T20325" s="135"/>
      <c r="U20325" s="135"/>
    </row>
    <row r="20326" spans="20:21" ht="15" customHeight="1" x14ac:dyDescent="0.25">
      <c r="T20326" s="135"/>
      <c r="U20326" s="135"/>
    </row>
    <row r="20327" spans="20:21" ht="15" customHeight="1" x14ac:dyDescent="0.25">
      <c r="T20327" s="135"/>
      <c r="U20327" s="135"/>
    </row>
    <row r="20328" spans="20:21" ht="15" customHeight="1" x14ac:dyDescent="0.25">
      <c r="T20328" s="135"/>
      <c r="U20328" s="135"/>
    </row>
    <row r="20329" spans="20:21" ht="15" customHeight="1" x14ac:dyDescent="0.25">
      <c r="T20329" s="135"/>
      <c r="U20329" s="135"/>
    </row>
    <row r="20330" spans="20:21" ht="15" customHeight="1" x14ac:dyDescent="0.25">
      <c r="T20330" s="135"/>
      <c r="U20330" s="135"/>
    </row>
    <row r="20331" spans="20:21" ht="15" customHeight="1" x14ac:dyDescent="0.25">
      <c r="T20331" s="135"/>
      <c r="U20331" s="135"/>
    </row>
    <row r="20332" spans="20:21" ht="15" customHeight="1" x14ac:dyDescent="0.25">
      <c r="T20332" s="135"/>
      <c r="U20332" s="135"/>
    </row>
    <row r="20333" spans="20:21" ht="15" customHeight="1" x14ac:dyDescent="0.25">
      <c r="T20333" s="135"/>
      <c r="U20333" s="135"/>
    </row>
    <row r="20334" spans="20:21" ht="15" customHeight="1" x14ac:dyDescent="0.25">
      <c r="T20334" s="135"/>
      <c r="U20334" s="135"/>
    </row>
    <row r="20335" spans="20:21" ht="15" customHeight="1" x14ac:dyDescent="0.25">
      <c r="T20335" s="135"/>
      <c r="U20335" s="135"/>
    </row>
    <row r="20336" spans="20:21" ht="15" customHeight="1" x14ac:dyDescent="0.25">
      <c r="T20336" s="135"/>
      <c r="U20336" s="135"/>
    </row>
    <row r="20337" spans="20:21" ht="15" customHeight="1" x14ac:dyDescent="0.25">
      <c r="T20337" s="135"/>
      <c r="U20337" s="135"/>
    </row>
    <row r="20338" spans="20:21" ht="15" customHeight="1" x14ac:dyDescent="0.25">
      <c r="T20338" s="135"/>
      <c r="U20338" s="135"/>
    </row>
    <row r="20339" spans="20:21" ht="15" customHeight="1" x14ac:dyDescent="0.25">
      <c r="T20339" s="135"/>
      <c r="U20339" s="135"/>
    </row>
    <row r="20340" spans="20:21" ht="15" customHeight="1" x14ac:dyDescent="0.25">
      <c r="T20340" s="135"/>
      <c r="U20340" s="135"/>
    </row>
    <row r="20341" spans="20:21" ht="15" customHeight="1" x14ac:dyDescent="0.25">
      <c r="T20341" s="135"/>
      <c r="U20341" s="135"/>
    </row>
    <row r="20342" spans="20:21" ht="15" customHeight="1" x14ac:dyDescent="0.25">
      <c r="T20342" s="135"/>
      <c r="U20342" s="135"/>
    </row>
    <row r="20343" spans="20:21" ht="15" customHeight="1" x14ac:dyDescent="0.25">
      <c r="T20343" s="135"/>
      <c r="U20343" s="135"/>
    </row>
    <row r="20344" spans="20:21" ht="15" customHeight="1" x14ac:dyDescent="0.25">
      <c r="T20344" s="135"/>
      <c r="U20344" s="135"/>
    </row>
    <row r="20345" spans="20:21" ht="15" customHeight="1" x14ac:dyDescent="0.25">
      <c r="T20345" s="135"/>
      <c r="U20345" s="135"/>
    </row>
    <row r="20346" spans="20:21" ht="15" customHeight="1" x14ac:dyDescent="0.25">
      <c r="T20346" s="135"/>
      <c r="U20346" s="135"/>
    </row>
    <row r="20347" spans="20:21" ht="15" customHeight="1" x14ac:dyDescent="0.25">
      <c r="T20347" s="135"/>
      <c r="U20347" s="135"/>
    </row>
    <row r="20348" spans="20:21" ht="15" customHeight="1" x14ac:dyDescent="0.25">
      <c r="T20348" s="135"/>
      <c r="U20348" s="135"/>
    </row>
    <row r="20349" spans="20:21" ht="15" customHeight="1" x14ac:dyDescent="0.25">
      <c r="T20349" s="135"/>
      <c r="U20349" s="135"/>
    </row>
    <row r="20350" spans="20:21" ht="15" customHeight="1" x14ac:dyDescent="0.25">
      <c r="T20350" s="135"/>
      <c r="U20350" s="135"/>
    </row>
    <row r="20351" spans="20:21" ht="15" customHeight="1" x14ac:dyDescent="0.25">
      <c r="T20351" s="135"/>
      <c r="U20351" s="135"/>
    </row>
    <row r="20352" spans="20:21" ht="15" customHeight="1" x14ac:dyDescent="0.25">
      <c r="T20352" s="135"/>
      <c r="U20352" s="135"/>
    </row>
    <row r="20353" spans="20:21" ht="15" customHeight="1" x14ac:dyDescent="0.25">
      <c r="T20353" s="135"/>
      <c r="U20353" s="135"/>
    </row>
    <row r="20354" spans="20:21" ht="15" customHeight="1" x14ac:dyDescent="0.25">
      <c r="T20354" s="135"/>
      <c r="U20354" s="135"/>
    </row>
    <row r="20355" spans="20:21" ht="15" customHeight="1" x14ac:dyDescent="0.25">
      <c r="T20355" s="135"/>
      <c r="U20355" s="135"/>
    </row>
    <row r="20356" spans="20:21" ht="15" customHeight="1" x14ac:dyDescent="0.25">
      <c r="T20356" s="135"/>
      <c r="U20356" s="135"/>
    </row>
    <row r="20357" spans="20:21" ht="15" customHeight="1" x14ac:dyDescent="0.25">
      <c r="T20357" s="135"/>
      <c r="U20357" s="135"/>
    </row>
    <row r="20358" spans="20:21" ht="15" customHeight="1" x14ac:dyDescent="0.25">
      <c r="T20358" s="135"/>
      <c r="U20358" s="135"/>
    </row>
    <row r="20359" spans="20:21" ht="15" customHeight="1" x14ac:dyDescent="0.25">
      <c r="T20359" s="135"/>
      <c r="U20359" s="135"/>
    </row>
    <row r="20360" spans="20:21" ht="15" customHeight="1" x14ac:dyDescent="0.25">
      <c r="T20360" s="135"/>
      <c r="U20360" s="135"/>
    </row>
    <row r="20361" spans="20:21" ht="15" customHeight="1" x14ac:dyDescent="0.25">
      <c r="T20361" s="135"/>
      <c r="U20361" s="135"/>
    </row>
    <row r="20362" spans="20:21" ht="15" customHeight="1" x14ac:dyDescent="0.25">
      <c r="T20362" s="135"/>
      <c r="U20362" s="135"/>
    </row>
    <row r="20363" spans="20:21" ht="15" customHeight="1" x14ac:dyDescent="0.25">
      <c r="T20363" s="135"/>
      <c r="U20363" s="135"/>
    </row>
    <row r="20364" spans="20:21" ht="15" customHeight="1" x14ac:dyDescent="0.25">
      <c r="T20364" s="135"/>
      <c r="U20364" s="135"/>
    </row>
    <row r="20365" spans="20:21" ht="15" customHeight="1" x14ac:dyDescent="0.25">
      <c r="T20365" s="135"/>
      <c r="U20365" s="135"/>
    </row>
    <row r="20366" spans="20:21" ht="15" customHeight="1" x14ac:dyDescent="0.25">
      <c r="T20366" s="135"/>
      <c r="U20366" s="135"/>
    </row>
    <row r="20367" spans="20:21" ht="15" customHeight="1" x14ac:dyDescent="0.25">
      <c r="T20367" s="135"/>
      <c r="U20367" s="135"/>
    </row>
    <row r="20368" spans="20:21" ht="15" customHeight="1" x14ac:dyDescent="0.25">
      <c r="T20368" s="135"/>
      <c r="U20368" s="135"/>
    </row>
    <row r="20369" spans="20:21" ht="15" customHeight="1" x14ac:dyDescent="0.25">
      <c r="T20369" s="135"/>
      <c r="U20369" s="135"/>
    </row>
    <row r="20370" spans="20:21" ht="15" customHeight="1" x14ac:dyDescent="0.25">
      <c r="T20370" s="135"/>
      <c r="U20370" s="135"/>
    </row>
    <row r="20371" spans="20:21" ht="15" customHeight="1" x14ac:dyDescent="0.25">
      <c r="T20371" s="135"/>
      <c r="U20371" s="135"/>
    </row>
    <row r="20372" spans="20:21" ht="15" customHeight="1" x14ac:dyDescent="0.25">
      <c r="T20372" s="135"/>
      <c r="U20372" s="135"/>
    </row>
    <row r="20373" spans="20:21" ht="15" customHeight="1" x14ac:dyDescent="0.25">
      <c r="T20373" s="135"/>
      <c r="U20373" s="135"/>
    </row>
    <row r="20374" spans="20:21" ht="15" customHeight="1" x14ac:dyDescent="0.25">
      <c r="T20374" s="135"/>
      <c r="U20374" s="135"/>
    </row>
    <row r="20375" spans="20:21" ht="15" customHeight="1" x14ac:dyDescent="0.25">
      <c r="T20375" s="135"/>
      <c r="U20375" s="135"/>
    </row>
    <row r="20376" spans="20:21" ht="15" customHeight="1" x14ac:dyDescent="0.25">
      <c r="T20376" s="135"/>
      <c r="U20376" s="135"/>
    </row>
    <row r="20377" spans="20:21" ht="15" customHeight="1" x14ac:dyDescent="0.25">
      <c r="T20377" s="135"/>
      <c r="U20377" s="135"/>
    </row>
    <row r="20378" spans="20:21" ht="15" customHeight="1" x14ac:dyDescent="0.25">
      <c r="T20378" s="135"/>
      <c r="U20378" s="135"/>
    </row>
    <row r="20379" spans="20:21" ht="15" customHeight="1" x14ac:dyDescent="0.25">
      <c r="T20379" s="135"/>
      <c r="U20379" s="135"/>
    </row>
    <row r="20380" spans="20:21" ht="15" customHeight="1" x14ac:dyDescent="0.25">
      <c r="T20380" s="135"/>
      <c r="U20380" s="135"/>
    </row>
    <row r="20381" spans="20:21" ht="15" customHeight="1" x14ac:dyDescent="0.25">
      <c r="T20381" s="135"/>
      <c r="U20381" s="135"/>
    </row>
    <row r="20382" spans="20:21" ht="15" customHeight="1" x14ac:dyDescent="0.25">
      <c r="T20382" s="135"/>
      <c r="U20382" s="135"/>
    </row>
    <row r="20383" spans="20:21" ht="15" customHeight="1" x14ac:dyDescent="0.25">
      <c r="T20383" s="135"/>
      <c r="U20383" s="135"/>
    </row>
    <row r="20384" spans="20:21" ht="15" customHeight="1" x14ac:dyDescent="0.25">
      <c r="T20384" s="135"/>
      <c r="U20384" s="135"/>
    </row>
    <row r="20385" spans="20:21" ht="15" customHeight="1" x14ac:dyDescent="0.25">
      <c r="T20385" s="135"/>
      <c r="U20385" s="135"/>
    </row>
    <row r="20386" spans="20:21" ht="15" customHeight="1" x14ac:dyDescent="0.25">
      <c r="T20386" s="135"/>
      <c r="U20386" s="135"/>
    </row>
    <row r="20387" spans="20:21" ht="15" customHeight="1" x14ac:dyDescent="0.25">
      <c r="T20387" s="135"/>
      <c r="U20387" s="135"/>
    </row>
    <row r="20388" spans="20:21" ht="15" customHeight="1" x14ac:dyDescent="0.25">
      <c r="T20388" s="135"/>
      <c r="U20388" s="135"/>
    </row>
    <row r="20389" spans="20:21" ht="15" customHeight="1" x14ac:dyDescent="0.25">
      <c r="T20389" s="135"/>
      <c r="U20389" s="135"/>
    </row>
    <row r="20390" spans="20:21" ht="15" customHeight="1" x14ac:dyDescent="0.25">
      <c r="T20390" s="135"/>
      <c r="U20390" s="135"/>
    </row>
    <row r="20391" spans="20:21" ht="15" customHeight="1" x14ac:dyDescent="0.25">
      <c r="T20391" s="135"/>
      <c r="U20391" s="135"/>
    </row>
    <row r="20392" spans="20:21" ht="15" customHeight="1" x14ac:dyDescent="0.25">
      <c r="T20392" s="135"/>
      <c r="U20392" s="135"/>
    </row>
    <row r="20393" spans="20:21" ht="15" customHeight="1" x14ac:dyDescent="0.25">
      <c r="T20393" s="135"/>
      <c r="U20393" s="135"/>
    </row>
    <row r="20394" spans="20:21" ht="15" customHeight="1" x14ac:dyDescent="0.25">
      <c r="T20394" s="135"/>
      <c r="U20394" s="135"/>
    </row>
    <row r="20395" spans="20:21" ht="15" customHeight="1" x14ac:dyDescent="0.25">
      <c r="T20395" s="135"/>
      <c r="U20395" s="135"/>
    </row>
    <row r="20396" spans="20:21" ht="15" customHeight="1" x14ac:dyDescent="0.25">
      <c r="T20396" s="135"/>
      <c r="U20396" s="135"/>
    </row>
    <row r="20397" spans="20:21" ht="15" customHeight="1" x14ac:dyDescent="0.25">
      <c r="T20397" s="135"/>
      <c r="U20397" s="135"/>
    </row>
    <row r="20398" spans="20:21" ht="15" customHeight="1" x14ac:dyDescent="0.25">
      <c r="T20398" s="135"/>
      <c r="U20398" s="135"/>
    </row>
    <row r="20399" spans="20:21" ht="15" customHeight="1" x14ac:dyDescent="0.25">
      <c r="T20399" s="135"/>
      <c r="U20399" s="135"/>
    </row>
    <row r="20400" spans="20:21" ht="15" customHeight="1" x14ac:dyDescent="0.25">
      <c r="T20400" s="135"/>
      <c r="U20400" s="135"/>
    </row>
    <row r="20401" spans="20:21" ht="15" customHeight="1" x14ac:dyDescent="0.25">
      <c r="T20401" s="135"/>
      <c r="U20401" s="135"/>
    </row>
    <row r="20402" spans="20:21" ht="15" customHeight="1" x14ac:dyDescent="0.25">
      <c r="T20402" s="135"/>
      <c r="U20402" s="135"/>
    </row>
    <row r="20403" spans="20:21" ht="15" customHeight="1" x14ac:dyDescent="0.25">
      <c r="T20403" s="135"/>
      <c r="U20403" s="135"/>
    </row>
    <row r="20404" spans="20:21" ht="15" customHeight="1" x14ac:dyDescent="0.25">
      <c r="T20404" s="135"/>
      <c r="U20404" s="135"/>
    </row>
    <row r="20405" spans="20:21" ht="15" customHeight="1" x14ac:dyDescent="0.25">
      <c r="T20405" s="135"/>
      <c r="U20405" s="135"/>
    </row>
    <row r="20406" spans="20:21" ht="15" customHeight="1" x14ac:dyDescent="0.25">
      <c r="T20406" s="135"/>
      <c r="U20406" s="135"/>
    </row>
    <row r="20407" spans="20:21" ht="15" customHeight="1" x14ac:dyDescent="0.25">
      <c r="T20407" s="135"/>
      <c r="U20407" s="135"/>
    </row>
    <row r="20408" spans="20:21" ht="15" customHeight="1" x14ac:dyDescent="0.25">
      <c r="T20408" s="135"/>
      <c r="U20408" s="135"/>
    </row>
    <row r="20409" spans="20:21" ht="15" customHeight="1" x14ac:dyDescent="0.25">
      <c r="T20409" s="135"/>
      <c r="U20409" s="135"/>
    </row>
    <row r="20410" spans="20:21" ht="15" customHeight="1" x14ac:dyDescent="0.25">
      <c r="T20410" s="135"/>
      <c r="U20410" s="135"/>
    </row>
    <row r="20411" spans="20:21" ht="15" customHeight="1" x14ac:dyDescent="0.25">
      <c r="T20411" s="135"/>
      <c r="U20411" s="135"/>
    </row>
    <row r="20412" spans="20:21" ht="15" customHeight="1" x14ac:dyDescent="0.25">
      <c r="T20412" s="135"/>
      <c r="U20412" s="135"/>
    </row>
    <row r="20413" spans="20:21" ht="15" customHeight="1" x14ac:dyDescent="0.25">
      <c r="T20413" s="135"/>
      <c r="U20413" s="135"/>
    </row>
    <row r="20414" spans="20:21" ht="15" customHeight="1" x14ac:dyDescent="0.25">
      <c r="T20414" s="135"/>
      <c r="U20414" s="135"/>
    </row>
    <row r="20415" spans="20:21" ht="15" customHeight="1" x14ac:dyDescent="0.25">
      <c r="T20415" s="135"/>
      <c r="U20415" s="135"/>
    </row>
    <row r="20416" spans="20:21" ht="15" customHeight="1" x14ac:dyDescent="0.25">
      <c r="T20416" s="135"/>
      <c r="U20416" s="135"/>
    </row>
    <row r="20417" spans="20:21" ht="15" customHeight="1" x14ac:dyDescent="0.25">
      <c r="T20417" s="135"/>
      <c r="U20417" s="135"/>
    </row>
    <row r="20418" spans="20:21" ht="15" customHeight="1" x14ac:dyDescent="0.25">
      <c r="T20418" s="135"/>
      <c r="U20418" s="135"/>
    </row>
    <row r="20419" spans="20:21" ht="15" customHeight="1" x14ac:dyDescent="0.25">
      <c r="T20419" s="135"/>
      <c r="U20419" s="135"/>
    </row>
    <row r="20420" spans="20:21" ht="15" customHeight="1" x14ac:dyDescent="0.25">
      <c r="T20420" s="135"/>
      <c r="U20420" s="135"/>
    </row>
    <row r="20421" spans="20:21" ht="15" customHeight="1" x14ac:dyDescent="0.25">
      <c r="T20421" s="135"/>
      <c r="U20421" s="135"/>
    </row>
    <row r="20422" spans="20:21" ht="15" customHeight="1" x14ac:dyDescent="0.25">
      <c r="T20422" s="135"/>
      <c r="U20422" s="135"/>
    </row>
    <row r="20423" spans="20:21" ht="15" customHeight="1" x14ac:dyDescent="0.25">
      <c r="T20423" s="135"/>
      <c r="U20423" s="135"/>
    </row>
    <row r="20424" spans="20:21" ht="15" customHeight="1" x14ac:dyDescent="0.25">
      <c r="T20424" s="135"/>
      <c r="U20424" s="135"/>
    </row>
    <row r="20425" spans="20:21" ht="15" customHeight="1" x14ac:dyDescent="0.25">
      <c r="T20425" s="135"/>
      <c r="U20425" s="135"/>
    </row>
    <row r="20426" spans="20:21" ht="15" customHeight="1" x14ac:dyDescent="0.25">
      <c r="T20426" s="135"/>
      <c r="U20426" s="135"/>
    </row>
    <row r="20427" spans="20:21" ht="15" customHeight="1" x14ac:dyDescent="0.25">
      <c r="T20427" s="135"/>
      <c r="U20427" s="135"/>
    </row>
    <row r="20428" spans="20:21" ht="15" customHeight="1" x14ac:dyDescent="0.25">
      <c r="T20428" s="135"/>
      <c r="U20428" s="135"/>
    </row>
    <row r="20429" spans="20:21" ht="15" customHeight="1" x14ac:dyDescent="0.25">
      <c r="T20429" s="135"/>
      <c r="U20429" s="135"/>
    </row>
    <row r="20430" spans="20:21" ht="15" customHeight="1" x14ac:dyDescent="0.25">
      <c r="T20430" s="135"/>
      <c r="U20430" s="135"/>
    </row>
    <row r="20431" spans="20:21" ht="15" customHeight="1" x14ac:dyDescent="0.25">
      <c r="T20431" s="135"/>
      <c r="U20431" s="135"/>
    </row>
    <row r="20432" spans="20:21" ht="15" customHeight="1" x14ac:dyDescent="0.25">
      <c r="T20432" s="135"/>
      <c r="U20432" s="135"/>
    </row>
    <row r="20433" spans="20:21" ht="15" customHeight="1" x14ac:dyDescent="0.25">
      <c r="T20433" s="135"/>
      <c r="U20433" s="135"/>
    </row>
    <row r="20434" spans="20:21" ht="15" customHeight="1" x14ac:dyDescent="0.25">
      <c r="T20434" s="135"/>
      <c r="U20434" s="135"/>
    </row>
    <row r="20435" spans="20:21" ht="15" customHeight="1" x14ac:dyDescent="0.25">
      <c r="T20435" s="135"/>
      <c r="U20435" s="135"/>
    </row>
    <row r="20436" spans="20:21" ht="15" customHeight="1" x14ac:dyDescent="0.25">
      <c r="T20436" s="135"/>
      <c r="U20436" s="135"/>
    </row>
    <row r="20437" spans="20:21" ht="15" customHeight="1" x14ac:dyDescent="0.25">
      <c r="T20437" s="135"/>
      <c r="U20437" s="135"/>
    </row>
    <row r="20438" spans="20:21" ht="15" customHeight="1" x14ac:dyDescent="0.25">
      <c r="T20438" s="135"/>
      <c r="U20438" s="135"/>
    </row>
    <row r="20439" spans="20:21" ht="15" customHeight="1" x14ac:dyDescent="0.25">
      <c r="T20439" s="135"/>
      <c r="U20439" s="135"/>
    </row>
    <row r="20440" spans="20:21" ht="15" customHeight="1" x14ac:dyDescent="0.25">
      <c r="T20440" s="135"/>
      <c r="U20440" s="135"/>
    </row>
    <row r="20441" spans="20:21" ht="15" customHeight="1" x14ac:dyDescent="0.25">
      <c r="T20441" s="135"/>
      <c r="U20441" s="135"/>
    </row>
    <row r="20442" spans="20:21" ht="15" customHeight="1" x14ac:dyDescent="0.25">
      <c r="T20442" s="135"/>
      <c r="U20442" s="135"/>
    </row>
    <row r="20443" spans="20:21" ht="15" customHeight="1" x14ac:dyDescent="0.25">
      <c r="T20443" s="135"/>
      <c r="U20443" s="135"/>
    </row>
    <row r="20444" spans="20:21" ht="15" customHeight="1" x14ac:dyDescent="0.25">
      <c r="T20444" s="135"/>
      <c r="U20444" s="135"/>
    </row>
    <row r="20445" spans="20:21" ht="15" customHeight="1" x14ac:dyDescent="0.25">
      <c r="T20445" s="135"/>
      <c r="U20445" s="135"/>
    </row>
    <row r="20446" spans="20:21" ht="15" customHeight="1" x14ac:dyDescent="0.25">
      <c r="T20446" s="135"/>
      <c r="U20446" s="135"/>
    </row>
    <row r="20447" spans="20:21" ht="15" customHeight="1" x14ac:dyDescent="0.25">
      <c r="T20447" s="135"/>
      <c r="U20447" s="135"/>
    </row>
    <row r="20448" spans="20:21" ht="15" customHeight="1" x14ac:dyDescent="0.25">
      <c r="T20448" s="135"/>
      <c r="U20448" s="135"/>
    </row>
    <row r="20449" spans="20:21" ht="15" customHeight="1" x14ac:dyDescent="0.25">
      <c r="T20449" s="135"/>
      <c r="U20449" s="135"/>
    </row>
    <row r="20450" spans="20:21" ht="15" customHeight="1" x14ac:dyDescent="0.25">
      <c r="T20450" s="135"/>
      <c r="U20450" s="135"/>
    </row>
    <row r="20451" spans="20:21" ht="15" customHeight="1" x14ac:dyDescent="0.25">
      <c r="T20451" s="135"/>
      <c r="U20451" s="135"/>
    </row>
    <row r="20452" spans="20:21" ht="15" customHeight="1" x14ac:dyDescent="0.25">
      <c r="T20452" s="135"/>
      <c r="U20452" s="135"/>
    </row>
    <row r="20453" spans="20:21" ht="15" customHeight="1" x14ac:dyDescent="0.25">
      <c r="T20453" s="135"/>
      <c r="U20453" s="135"/>
    </row>
    <row r="20454" spans="20:21" ht="15" customHeight="1" x14ac:dyDescent="0.25">
      <c r="T20454" s="135"/>
      <c r="U20454" s="135"/>
    </row>
    <row r="20455" spans="20:21" ht="15" customHeight="1" x14ac:dyDescent="0.25">
      <c r="T20455" s="135"/>
      <c r="U20455" s="135"/>
    </row>
    <row r="20456" spans="20:21" ht="15" customHeight="1" x14ac:dyDescent="0.25">
      <c r="T20456" s="135"/>
      <c r="U20456" s="135"/>
    </row>
    <row r="20457" spans="20:21" ht="15" customHeight="1" x14ac:dyDescent="0.25">
      <c r="T20457" s="135"/>
      <c r="U20457" s="135"/>
    </row>
    <row r="20458" spans="20:21" ht="15" customHeight="1" x14ac:dyDescent="0.25">
      <c r="T20458" s="135"/>
      <c r="U20458" s="135"/>
    </row>
    <row r="20459" spans="20:21" ht="15" customHeight="1" x14ac:dyDescent="0.25">
      <c r="T20459" s="135"/>
      <c r="U20459" s="135"/>
    </row>
    <row r="20460" spans="20:21" ht="15" customHeight="1" x14ac:dyDescent="0.25">
      <c r="T20460" s="135"/>
      <c r="U20460" s="135"/>
    </row>
    <row r="20461" spans="20:21" ht="15" customHeight="1" x14ac:dyDescent="0.25">
      <c r="T20461" s="135"/>
      <c r="U20461" s="135"/>
    </row>
    <row r="20462" spans="20:21" ht="15" customHeight="1" x14ac:dyDescent="0.25">
      <c r="T20462" s="135"/>
      <c r="U20462" s="135"/>
    </row>
    <row r="20463" spans="20:21" ht="15" customHeight="1" x14ac:dyDescent="0.25">
      <c r="T20463" s="135"/>
      <c r="U20463" s="135"/>
    </row>
    <row r="20464" spans="20:21" ht="15" customHeight="1" x14ac:dyDescent="0.25">
      <c r="T20464" s="135"/>
      <c r="U20464" s="135"/>
    </row>
    <row r="20465" spans="20:21" ht="15" customHeight="1" x14ac:dyDescent="0.25">
      <c r="T20465" s="135"/>
      <c r="U20465" s="135"/>
    </row>
    <row r="20466" spans="20:21" ht="15" customHeight="1" x14ac:dyDescent="0.25">
      <c r="T20466" s="135"/>
      <c r="U20466" s="135"/>
    </row>
    <row r="20467" spans="20:21" ht="15" customHeight="1" x14ac:dyDescent="0.25">
      <c r="T20467" s="135"/>
      <c r="U20467" s="135"/>
    </row>
    <row r="20468" spans="20:21" ht="15" customHeight="1" x14ac:dyDescent="0.25">
      <c r="T20468" s="135"/>
      <c r="U20468" s="135"/>
    </row>
    <row r="20469" spans="20:21" ht="15" customHeight="1" x14ac:dyDescent="0.25">
      <c r="T20469" s="135"/>
      <c r="U20469" s="135"/>
    </row>
    <row r="20470" spans="20:21" ht="15" customHeight="1" x14ac:dyDescent="0.25">
      <c r="T20470" s="135"/>
      <c r="U20470" s="135"/>
    </row>
    <row r="20471" spans="20:21" ht="15" customHeight="1" x14ac:dyDescent="0.25">
      <c r="T20471" s="135"/>
      <c r="U20471" s="135"/>
    </row>
    <row r="20472" spans="20:21" ht="15" customHeight="1" x14ac:dyDescent="0.25">
      <c r="T20472" s="135"/>
      <c r="U20472" s="135"/>
    </row>
    <row r="20473" spans="20:21" ht="15" customHeight="1" x14ac:dyDescent="0.25">
      <c r="T20473" s="135"/>
      <c r="U20473" s="135"/>
    </row>
    <row r="20474" spans="20:21" ht="15" customHeight="1" x14ac:dyDescent="0.25">
      <c r="T20474" s="135"/>
      <c r="U20474" s="135"/>
    </row>
    <row r="20475" spans="20:21" ht="15" customHeight="1" x14ac:dyDescent="0.25">
      <c r="T20475" s="135"/>
      <c r="U20475" s="135"/>
    </row>
    <row r="20476" spans="20:21" ht="15" customHeight="1" x14ac:dyDescent="0.25">
      <c r="T20476" s="135"/>
      <c r="U20476" s="135"/>
    </row>
    <row r="20477" spans="20:21" ht="15" customHeight="1" x14ac:dyDescent="0.25">
      <c r="T20477" s="135"/>
      <c r="U20477" s="135"/>
    </row>
    <row r="20478" spans="20:21" ht="15" customHeight="1" x14ac:dyDescent="0.25">
      <c r="T20478" s="135"/>
      <c r="U20478" s="135"/>
    </row>
    <row r="20479" spans="20:21" ht="15" customHeight="1" x14ac:dyDescent="0.25">
      <c r="T20479" s="135"/>
      <c r="U20479" s="135"/>
    </row>
    <row r="20480" spans="20:21" ht="15" customHeight="1" x14ac:dyDescent="0.25">
      <c r="T20480" s="135"/>
      <c r="U20480" s="135"/>
    </row>
    <row r="20481" spans="20:21" ht="15" customHeight="1" x14ac:dyDescent="0.25">
      <c r="T20481" s="135"/>
      <c r="U20481" s="135"/>
    </row>
    <row r="20482" spans="20:21" ht="15" customHeight="1" x14ac:dyDescent="0.25">
      <c r="T20482" s="135"/>
      <c r="U20482" s="135"/>
    </row>
    <row r="20483" spans="20:21" ht="15" customHeight="1" x14ac:dyDescent="0.25">
      <c r="T20483" s="135"/>
      <c r="U20483" s="135"/>
    </row>
    <row r="20484" spans="20:21" ht="15" customHeight="1" x14ac:dyDescent="0.25">
      <c r="T20484" s="135"/>
      <c r="U20484" s="135"/>
    </row>
    <row r="20485" spans="20:21" ht="15" customHeight="1" x14ac:dyDescent="0.25">
      <c r="T20485" s="135"/>
      <c r="U20485" s="135"/>
    </row>
    <row r="20486" spans="20:21" ht="15" customHeight="1" x14ac:dyDescent="0.25">
      <c r="T20486" s="135"/>
      <c r="U20486" s="135"/>
    </row>
    <row r="20487" spans="20:21" ht="15" customHeight="1" x14ac:dyDescent="0.25">
      <c r="T20487" s="135"/>
      <c r="U20487" s="135"/>
    </row>
    <row r="20488" spans="20:21" ht="15" customHeight="1" x14ac:dyDescent="0.25">
      <c r="T20488" s="135"/>
      <c r="U20488" s="135"/>
    </row>
    <row r="20489" spans="20:21" ht="15" customHeight="1" x14ac:dyDescent="0.25">
      <c r="T20489" s="135"/>
      <c r="U20489" s="135"/>
    </row>
    <row r="20490" spans="20:21" ht="15" customHeight="1" x14ac:dyDescent="0.25">
      <c r="T20490" s="135"/>
      <c r="U20490" s="135"/>
    </row>
    <row r="20491" spans="20:21" ht="15" customHeight="1" x14ac:dyDescent="0.25">
      <c r="T20491" s="135"/>
      <c r="U20491" s="135"/>
    </row>
    <row r="20492" spans="20:21" ht="15" customHeight="1" x14ac:dyDescent="0.25">
      <c r="T20492" s="135"/>
      <c r="U20492" s="135"/>
    </row>
    <row r="20493" spans="20:21" ht="15" customHeight="1" x14ac:dyDescent="0.25">
      <c r="T20493" s="135"/>
      <c r="U20493" s="135"/>
    </row>
    <row r="20494" spans="20:21" ht="15" customHeight="1" x14ac:dyDescent="0.25">
      <c r="T20494" s="135"/>
      <c r="U20494" s="135"/>
    </row>
    <row r="20495" spans="20:21" ht="15" customHeight="1" x14ac:dyDescent="0.25">
      <c r="T20495" s="135"/>
      <c r="U20495" s="135"/>
    </row>
    <row r="20496" spans="20:21" ht="15" customHeight="1" x14ac:dyDescent="0.25">
      <c r="T20496" s="135"/>
      <c r="U20496" s="135"/>
    </row>
    <row r="20497" spans="20:21" ht="15" customHeight="1" x14ac:dyDescent="0.25">
      <c r="T20497" s="135"/>
      <c r="U20497" s="135"/>
    </row>
    <row r="20498" spans="20:21" ht="15" customHeight="1" x14ac:dyDescent="0.25">
      <c r="T20498" s="135"/>
      <c r="U20498" s="135"/>
    </row>
    <row r="20499" spans="20:21" ht="15" customHeight="1" x14ac:dyDescent="0.25">
      <c r="T20499" s="135"/>
      <c r="U20499" s="135"/>
    </row>
    <row r="20500" spans="20:21" ht="15" customHeight="1" x14ac:dyDescent="0.25">
      <c r="T20500" s="135"/>
      <c r="U20500" s="135"/>
    </row>
    <row r="20501" spans="20:21" ht="15" customHeight="1" x14ac:dyDescent="0.25">
      <c r="T20501" s="135"/>
      <c r="U20501" s="135"/>
    </row>
    <row r="20502" spans="20:21" ht="15" customHeight="1" x14ac:dyDescent="0.25">
      <c r="T20502" s="135"/>
      <c r="U20502" s="135"/>
    </row>
    <row r="20503" spans="20:21" ht="15" customHeight="1" x14ac:dyDescent="0.25">
      <c r="T20503" s="135"/>
      <c r="U20503" s="135"/>
    </row>
    <row r="20504" spans="20:21" ht="15" customHeight="1" x14ac:dyDescent="0.25">
      <c r="T20504" s="135"/>
      <c r="U20504" s="135"/>
    </row>
    <row r="20505" spans="20:21" ht="15" customHeight="1" x14ac:dyDescent="0.25">
      <c r="T20505" s="135"/>
      <c r="U20505" s="135"/>
    </row>
    <row r="20506" spans="20:21" ht="15" customHeight="1" x14ac:dyDescent="0.25">
      <c r="T20506" s="135"/>
      <c r="U20506" s="135"/>
    </row>
    <row r="20507" spans="20:21" ht="15" customHeight="1" x14ac:dyDescent="0.25">
      <c r="T20507" s="135"/>
      <c r="U20507" s="135"/>
    </row>
    <row r="20508" spans="20:21" ht="15" customHeight="1" x14ac:dyDescent="0.25">
      <c r="T20508" s="135"/>
      <c r="U20508" s="135"/>
    </row>
    <row r="20509" spans="20:21" ht="15" customHeight="1" x14ac:dyDescent="0.25">
      <c r="T20509" s="135"/>
      <c r="U20509" s="135"/>
    </row>
    <row r="20510" spans="20:21" ht="15" customHeight="1" x14ac:dyDescent="0.25">
      <c r="T20510" s="135"/>
      <c r="U20510" s="135"/>
    </row>
    <row r="20511" spans="20:21" ht="15" customHeight="1" x14ac:dyDescent="0.25">
      <c r="T20511" s="135"/>
      <c r="U20511" s="135"/>
    </row>
    <row r="20512" spans="20:21" ht="15" customHeight="1" x14ac:dyDescent="0.25">
      <c r="T20512" s="135"/>
      <c r="U20512" s="135"/>
    </row>
    <row r="20513" spans="20:21" ht="15" customHeight="1" x14ac:dyDescent="0.25">
      <c r="T20513" s="135"/>
      <c r="U20513" s="135"/>
    </row>
    <row r="20514" spans="20:21" ht="15" customHeight="1" x14ac:dyDescent="0.25">
      <c r="T20514" s="135"/>
      <c r="U20514" s="135"/>
    </row>
    <row r="20515" spans="20:21" ht="15" customHeight="1" x14ac:dyDescent="0.25">
      <c r="T20515" s="135"/>
      <c r="U20515" s="135"/>
    </row>
    <row r="20516" spans="20:21" ht="15" customHeight="1" x14ac:dyDescent="0.25">
      <c r="T20516" s="135"/>
      <c r="U20516" s="135"/>
    </row>
    <row r="20517" spans="20:21" ht="15" customHeight="1" x14ac:dyDescent="0.25">
      <c r="T20517" s="135"/>
      <c r="U20517" s="135"/>
    </row>
    <row r="20518" spans="20:21" ht="15" customHeight="1" x14ac:dyDescent="0.25">
      <c r="T20518" s="135"/>
      <c r="U20518" s="135"/>
    </row>
    <row r="20519" spans="20:21" ht="15" customHeight="1" x14ac:dyDescent="0.25">
      <c r="T20519" s="135"/>
      <c r="U20519" s="135"/>
    </row>
    <row r="20520" spans="20:21" ht="15" customHeight="1" x14ac:dyDescent="0.25">
      <c r="T20520" s="135"/>
      <c r="U20520" s="135"/>
    </row>
    <row r="20521" spans="20:21" ht="15" customHeight="1" x14ac:dyDescent="0.25">
      <c r="T20521" s="135"/>
      <c r="U20521" s="135"/>
    </row>
    <row r="20522" spans="20:21" ht="15" customHeight="1" x14ac:dyDescent="0.25">
      <c r="T20522" s="135"/>
      <c r="U20522" s="135"/>
    </row>
    <row r="20523" spans="20:21" ht="15" customHeight="1" x14ac:dyDescent="0.25">
      <c r="T20523" s="135"/>
      <c r="U20523" s="135"/>
    </row>
    <row r="20524" spans="20:21" ht="15" customHeight="1" x14ac:dyDescent="0.25">
      <c r="T20524" s="135"/>
      <c r="U20524" s="135"/>
    </row>
    <row r="20525" spans="20:21" ht="15" customHeight="1" x14ac:dyDescent="0.25">
      <c r="T20525" s="135"/>
      <c r="U20525" s="135"/>
    </row>
    <row r="20526" spans="20:21" ht="15" customHeight="1" x14ac:dyDescent="0.25">
      <c r="T20526" s="135"/>
      <c r="U20526" s="135"/>
    </row>
    <row r="20527" spans="20:21" ht="15" customHeight="1" x14ac:dyDescent="0.25">
      <c r="T20527" s="135"/>
      <c r="U20527" s="135"/>
    </row>
    <row r="20528" spans="20:21" ht="15" customHeight="1" x14ac:dyDescent="0.25">
      <c r="T20528" s="135"/>
      <c r="U20528" s="135"/>
    </row>
    <row r="20529" spans="20:21" ht="15" customHeight="1" x14ac:dyDescent="0.25">
      <c r="T20529" s="135"/>
      <c r="U20529" s="135"/>
    </row>
    <row r="20530" spans="20:21" ht="15" customHeight="1" x14ac:dyDescent="0.25">
      <c r="T20530" s="135"/>
      <c r="U20530" s="135"/>
    </row>
    <row r="20531" spans="20:21" ht="15" customHeight="1" x14ac:dyDescent="0.25">
      <c r="T20531" s="135"/>
      <c r="U20531" s="135"/>
    </row>
    <row r="20532" spans="20:21" ht="15" customHeight="1" x14ac:dyDescent="0.25">
      <c r="T20532" s="135"/>
      <c r="U20532" s="135"/>
    </row>
    <row r="20533" spans="20:21" ht="15" customHeight="1" x14ac:dyDescent="0.25">
      <c r="T20533" s="135"/>
      <c r="U20533" s="135"/>
    </row>
    <row r="20534" spans="20:21" ht="15" customHeight="1" x14ac:dyDescent="0.25">
      <c r="T20534" s="135"/>
      <c r="U20534" s="135"/>
    </row>
    <row r="20535" spans="20:21" ht="15" customHeight="1" x14ac:dyDescent="0.25">
      <c r="T20535" s="135"/>
      <c r="U20535" s="135"/>
    </row>
    <row r="20536" spans="20:21" ht="15" customHeight="1" x14ac:dyDescent="0.25">
      <c r="T20536" s="135"/>
      <c r="U20536" s="135"/>
    </row>
    <row r="20537" spans="20:21" ht="15" customHeight="1" x14ac:dyDescent="0.25">
      <c r="T20537" s="135"/>
      <c r="U20537" s="135"/>
    </row>
    <row r="20538" spans="20:21" ht="15" customHeight="1" x14ac:dyDescent="0.25">
      <c r="T20538" s="135"/>
      <c r="U20538" s="135"/>
    </row>
    <row r="20539" spans="20:21" ht="15" customHeight="1" x14ac:dyDescent="0.25">
      <c r="T20539" s="135"/>
      <c r="U20539" s="135"/>
    </row>
    <row r="20540" spans="20:21" ht="15" customHeight="1" x14ac:dyDescent="0.25">
      <c r="T20540" s="135"/>
      <c r="U20540" s="135"/>
    </row>
    <row r="20541" spans="20:21" ht="15" customHeight="1" x14ac:dyDescent="0.25">
      <c r="T20541" s="135"/>
      <c r="U20541" s="135"/>
    </row>
    <row r="20542" spans="20:21" ht="15" customHeight="1" x14ac:dyDescent="0.25">
      <c r="T20542" s="135"/>
      <c r="U20542" s="135"/>
    </row>
    <row r="20543" spans="20:21" ht="15" customHeight="1" x14ac:dyDescent="0.25">
      <c r="T20543" s="135"/>
      <c r="U20543" s="135"/>
    </row>
    <row r="20544" spans="20:21" ht="15" customHeight="1" x14ac:dyDescent="0.25">
      <c r="T20544" s="135"/>
      <c r="U20544" s="135"/>
    </row>
    <row r="20545" spans="20:21" ht="15" customHeight="1" x14ac:dyDescent="0.25">
      <c r="T20545" s="135"/>
      <c r="U20545" s="135"/>
    </row>
    <row r="20546" spans="20:21" ht="15" customHeight="1" x14ac:dyDescent="0.25">
      <c r="T20546" s="135"/>
      <c r="U20546" s="135"/>
    </row>
    <row r="20547" spans="20:21" ht="15" customHeight="1" x14ac:dyDescent="0.25">
      <c r="T20547" s="135"/>
      <c r="U20547" s="135"/>
    </row>
    <row r="20548" spans="20:21" ht="15" customHeight="1" x14ac:dyDescent="0.25">
      <c r="T20548" s="135"/>
      <c r="U20548" s="135"/>
    </row>
    <row r="20549" spans="20:21" ht="15" customHeight="1" x14ac:dyDescent="0.25">
      <c r="T20549" s="135"/>
      <c r="U20549" s="135"/>
    </row>
    <row r="20550" spans="20:21" ht="15" customHeight="1" x14ac:dyDescent="0.25">
      <c r="T20550" s="135"/>
      <c r="U20550" s="135"/>
    </row>
    <row r="20551" spans="20:21" ht="15" customHeight="1" x14ac:dyDescent="0.25">
      <c r="T20551" s="135"/>
      <c r="U20551" s="135"/>
    </row>
    <row r="20552" spans="20:21" ht="15" customHeight="1" x14ac:dyDescent="0.25">
      <c r="T20552" s="135"/>
      <c r="U20552" s="135"/>
    </row>
    <row r="20553" spans="20:21" ht="15" customHeight="1" x14ac:dyDescent="0.25">
      <c r="T20553" s="135"/>
      <c r="U20553" s="135"/>
    </row>
    <row r="20554" spans="20:21" ht="15" customHeight="1" x14ac:dyDescent="0.25">
      <c r="T20554" s="135"/>
      <c r="U20554" s="135"/>
    </row>
    <row r="20555" spans="20:21" ht="15" customHeight="1" x14ac:dyDescent="0.25">
      <c r="T20555" s="135"/>
      <c r="U20555" s="135"/>
    </row>
    <row r="20556" spans="20:21" ht="15" customHeight="1" x14ac:dyDescent="0.25">
      <c r="T20556" s="135"/>
      <c r="U20556" s="135"/>
    </row>
    <row r="20557" spans="20:21" ht="15" customHeight="1" x14ac:dyDescent="0.25">
      <c r="T20557" s="135"/>
      <c r="U20557" s="135"/>
    </row>
    <row r="20558" spans="20:21" ht="15" customHeight="1" x14ac:dyDescent="0.25">
      <c r="T20558" s="135"/>
      <c r="U20558" s="135"/>
    </row>
    <row r="20559" spans="20:21" ht="15" customHeight="1" x14ac:dyDescent="0.25">
      <c r="T20559" s="135"/>
      <c r="U20559" s="135"/>
    </row>
    <row r="20560" spans="20:21" ht="15" customHeight="1" x14ac:dyDescent="0.25">
      <c r="T20560" s="135"/>
      <c r="U20560" s="135"/>
    </row>
    <row r="20561" spans="20:21" ht="15" customHeight="1" x14ac:dyDescent="0.25">
      <c r="T20561" s="135"/>
      <c r="U20561" s="135"/>
    </row>
    <row r="20562" spans="20:21" ht="15" customHeight="1" x14ac:dyDescent="0.25">
      <c r="T20562" s="135"/>
      <c r="U20562" s="135"/>
    </row>
    <row r="20563" spans="20:21" ht="15" customHeight="1" x14ac:dyDescent="0.25">
      <c r="T20563" s="135"/>
      <c r="U20563" s="135"/>
    </row>
    <row r="20564" spans="20:21" ht="15" customHeight="1" x14ac:dyDescent="0.25">
      <c r="T20564" s="135"/>
      <c r="U20564" s="135"/>
    </row>
    <row r="20565" spans="20:21" ht="15" customHeight="1" x14ac:dyDescent="0.25">
      <c r="T20565" s="135"/>
      <c r="U20565" s="135"/>
    </row>
    <row r="20566" spans="20:21" ht="15" customHeight="1" x14ac:dyDescent="0.25">
      <c r="T20566" s="135"/>
      <c r="U20566" s="135"/>
    </row>
    <row r="20567" spans="20:21" ht="15" customHeight="1" x14ac:dyDescent="0.25">
      <c r="T20567" s="135"/>
      <c r="U20567" s="135"/>
    </row>
    <row r="20568" spans="20:21" ht="15" customHeight="1" x14ac:dyDescent="0.25">
      <c r="T20568" s="135"/>
      <c r="U20568" s="135"/>
    </row>
    <row r="20569" spans="20:21" ht="15" customHeight="1" x14ac:dyDescent="0.25">
      <c r="T20569" s="135"/>
      <c r="U20569" s="135"/>
    </row>
    <row r="20570" spans="20:21" ht="15" customHeight="1" x14ac:dyDescent="0.25">
      <c r="T20570" s="135"/>
      <c r="U20570" s="135"/>
    </row>
    <row r="20571" spans="20:21" ht="15" customHeight="1" x14ac:dyDescent="0.25">
      <c r="T20571" s="135"/>
      <c r="U20571" s="135"/>
    </row>
    <row r="20572" spans="20:21" ht="15" customHeight="1" x14ac:dyDescent="0.25">
      <c r="T20572" s="135"/>
      <c r="U20572" s="135"/>
    </row>
    <row r="20573" spans="20:21" ht="15" customHeight="1" x14ac:dyDescent="0.25">
      <c r="T20573" s="135"/>
      <c r="U20573" s="135"/>
    </row>
    <row r="20574" spans="20:21" ht="15" customHeight="1" x14ac:dyDescent="0.25">
      <c r="T20574" s="135"/>
      <c r="U20574" s="135"/>
    </row>
    <row r="20575" spans="20:21" ht="15" customHeight="1" x14ac:dyDescent="0.25">
      <c r="T20575" s="135"/>
      <c r="U20575" s="135"/>
    </row>
    <row r="20576" spans="20:21" ht="15" customHeight="1" x14ac:dyDescent="0.25">
      <c r="T20576" s="135"/>
      <c r="U20576" s="135"/>
    </row>
    <row r="20577" spans="20:21" ht="15" customHeight="1" x14ac:dyDescent="0.25">
      <c r="T20577" s="135"/>
      <c r="U20577" s="135"/>
    </row>
    <row r="20578" spans="20:21" ht="15" customHeight="1" x14ac:dyDescent="0.25">
      <c r="T20578" s="135"/>
      <c r="U20578" s="135"/>
    </row>
    <row r="20579" spans="20:21" ht="15" customHeight="1" x14ac:dyDescent="0.25">
      <c r="T20579" s="135"/>
      <c r="U20579" s="135"/>
    </row>
    <row r="20580" spans="20:21" ht="15" customHeight="1" x14ac:dyDescent="0.25">
      <c r="T20580" s="135"/>
      <c r="U20580" s="135"/>
    </row>
    <row r="20581" spans="20:21" ht="15" customHeight="1" x14ac:dyDescent="0.25">
      <c r="T20581" s="135"/>
      <c r="U20581" s="135"/>
    </row>
    <row r="20582" spans="20:21" ht="15" customHeight="1" x14ac:dyDescent="0.25">
      <c r="T20582" s="135"/>
      <c r="U20582" s="135"/>
    </row>
    <row r="20583" spans="20:21" ht="15" customHeight="1" x14ac:dyDescent="0.25">
      <c r="T20583" s="135"/>
      <c r="U20583" s="135"/>
    </row>
    <row r="20584" spans="20:21" ht="15" customHeight="1" x14ac:dyDescent="0.25">
      <c r="T20584" s="135"/>
      <c r="U20584" s="135"/>
    </row>
    <row r="20585" spans="20:21" ht="15" customHeight="1" x14ac:dyDescent="0.25">
      <c r="T20585" s="135"/>
      <c r="U20585" s="135"/>
    </row>
    <row r="20586" spans="20:21" ht="15" customHeight="1" x14ac:dyDescent="0.25">
      <c r="T20586" s="135"/>
      <c r="U20586" s="135"/>
    </row>
    <row r="20587" spans="20:21" ht="15" customHeight="1" x14ac:dyDescent="0.25">
      <c r="T20587" s="135"/>
      <c r="U20587" s="135"/>
    </row>
    <row r="20588" spans="20:21" ht="15" customHeight="1" x14ac:dyDescent="0.25">
      <c r="T20588" s="135"/>
      <c r="U20588" s="135"/>
    </row>
    <row r="20589" spans="20:21" ht="15" customHeight="1" x14ac:dyDescent="0.25">
      <c r="T20589" s="135"/>
      <c r="U20589" s="135"/>
    </row>
    <row r="20590" spans="20:21" ht="15" customHeight="1" x14ac:dyDescent="0.25">
      <c r="T20590" s="135"/>
      <c r="U20590" s="135"/>
    </row>
    <row r="20591" spans="20:21" ht="15" customHeight="1" x14ac:dyDescent="0.25">
      <c r="T20591" s="135"/>
      <c r="U20591" s="135"/>
    </row>
    <row r="20592" spans="20:21" ht="15" customHeight="1" x14ac:dyDescent="0.25">
      <c r="T20592" s="135"/>
      <c r="U20592" s="135"/>
    </row>
    <row r="20593" spans="20:21" ht="15" customHeight="1" x14ac:dyDescent="0.25">
      <c r="T20593" s="135"/>
      <c r="U20593" s="135"/>
    </row>
    <row r="20594" spans="20:21" ht="15" customHeight="1" x14ac:dyDescent="0.25">
      <c r="T20594" s="135"/>
      <c r="U20594" s="135"/>
    </row>
    <row r="20595" spans="20:21" ht="15" customHeight="1" x14ac:dyDescent="0.25">
      <c r="T20595" s="135"/>
      <c r="U20595" s="135"/>
    </row>
    <row r="20596" spans="20:21" ht="15" customHeight="1" x14ac:dyDescent="0.25">
      <c r="T20596" s="135"/>
      <c r="U20596" s="135"/>
    </row>
    <row r="20597" spans="20:21" ht="15" customHeight="1" x14ac:dyDescent="0.25">
      <c r="T20597" s="135"/>
      <c r="U20597" s="135"/>
    </row>
    <row r="20598" spans="20:21" ht="15" customHeight="1" x14ac:dyDescent="0.25">
      <c r="T20598" s="135"/>
      <c r="U20598" s="135"/>
    </row>
    <row r="20599" spans="20:21" ht="15" customHeight="1" x14ac:dyDescent="0.25">
      <c r="T20599" s="135"/>
      <c r="U20599" s="135"/>
    </row>
    <row r="20600" spans="20:21" ht="15" customHeight="1" x14ac:dyDescent="0.25">
      <c r="T20600" s="135"/>
      <c r="U20600" s="135"/>
    </row>
    <row r="20601" spans="20:21" ht="15" customHeight="1" x14ac:dyDescent="0.25">
      <c r="T20601" s="135"/>
      <c r="U20601" s="135"/>
    </row>
    <row r="20602" spans="20:21" ht="15" customHeight="1" x14ac:dyDescent="0.25">
      <c r="T20602" s="135"/>
      <c r="U20602" s="135"/>
    </row>
    <row r="20603" spans="20:21" ht="15" customHeight="1" x14ac:dyDescent="0.25">
      <c r="T20603" s="135"/>
      <c r="U20603" s="135"/>
    </row>
    <row r="20604" spans="20:21" ht="15" customHeight="1" x14ac:dyDescent="0.25">
      <c r="T20604" s="135"/>
      <c r="U20604" s="135"/>
    </row>
    <row r="20605" spans="20:21" ht="15" customHeight="1" x14ac:dyDescent="0.25">
      <c r="T20605" s="135"/>
      <c r="U20605" s="135"/>
    </row>
    <row r="20606" spans="20:21" ht="15" customHeight="1" x14ac:dyDescent="0.25">
      <c r="T20606" s="135"/>
      <c r="U20606" s="135"/>
    </row>
    <row r="20607" spans="20:21" ht="15" customHeight="1" x14ac:dyDescent="0.25">
      <c r="T20607" s="135"/>
      <c r="U20607" s="135"/>
    </row>
    <row r="20608" spans="20:21" ht="15" customHeight="1" x14ac:dyDescent="0.25">
      <c r="T20608" s="135"/>
      <c r="U20608" s="135"/>
    </row>
    <row r="20609" spans="20:21" ht="15" customHeight="1" x14ac:dyDescent="0.25">
      <c r="T20609" s="135"/>
      <c r="U20609" s="135"/>
    </row>
    <row r="20610" spans="20:21" ht="15" customHeight="1" x14ac:dyDescent="0.25">
      <c r="T20610" s="135"/>
      <c r="U20610" s="135"/>
    </row>
    <row r="20611" spans="20:21" ht="15" customHeight="1" x14ac:dyDescent="0.25">
      <c r="T20611" s="135"/>
      <c r="U20611" s="135"/>
    </row>
    <row r="20612" spans="20:21" ht="15" customHeight="1" x14ac:dyDescent="0.25">
      <c r="T20612" s="135"/>
      <c r="U20612" s="135"/>
    </row>
    <row r="20613" spans="20:21" ht="15" customHeight="1" x14ac:dyDescent="0.25">
      <c r="T20613" s="135"/>
      <c r="U20613" s="135"/>
    </row>
    <row r="20614" spans="20:21" ht="15" customHeight="1" x14ac:dyDescent="0.25">
      <c r="T20614" s="135"/>
      <c r="U20614" s="135"/>
    </row>
    <row r="20615" spans="20:21" ht="15" customHeight="1" x14ac:dyDescent="0.25">
      <c r="T20615" s="135"/>
      <c r="U20615" s="135"/>
    </row>
    <row r="20616" spans="20:21" ht="15" customHeight="1" x14ac:dyDescent="0.25">
      <c r="T20616" s="135"/>
      <c r="U20616" s="135"/>
    </row>
    <row r="20617" spans="20:21" ht="15" customHeight="1" x14ac:dyDescent="0.25">
      <c r="T20617" s="135"/>
      <c r="U20617" s="135"/>
    </row>
    <row r="20618" spans="20:21" ht="15" customHeight="1" x14ac:dyDescent="0.25">
      <c r="T20618" s="135"/>
      <c r="U20618" s="135"/>
    </row>
    <row r="20619" spans="20:21" ht="15" customHeight="1" x14ac:dyDescent="0.25">
      <c r="T20619" s="135"/>
      <c r="U20619" s="135"/>
    </row>
    <row r="20620" spans="20:21" ht="15" customHeight="1" x14ac:dyDescent="0.25">
      <c r="T20620" s="135"/>
      <c r="U20620" s="135"/>
    </row>
    <row r="20621" spans="20:21" ht="15" customHeight="1" x14ac:dyDescent="0.25">
      <c r="T20621" s="135"/>
      <c r="U20621" s="135"/>
    </row>
    <row r="20622" spans="20:21" ht="15" customHeight="1" x14ac:dyDescent="0.25">
      <c r="T20622" s="135"/>
      <c r="U20622" s="135"/>
    </row>
    <row r="20623" spans="20:21" ht="15" customHeight="1" x14ac:dyDescent="0.25">
      <c r="T20623" s="135"/>
      <c r="U20623" s="135"/>
    </row>
    <row r="20624" spans="20:21" ht="15" customHeight="1" x14ac:dyDescent="0.25">
      <c r="T20624" s="135"/>
      <c r="U20624" s="135"/>
    </row>
    <row r="20625" spans="20:21" ht="15" customHeight="1" x14ac:dyDescent="0.25">
      <c r="T20625" s="135"/>
      <c r="U20625" s="135"/>
    </row>
    <row r="20626" spans="20:21" ht="15" customHeight="1" x14ac:dyDescent="0.25">
      <c r="T20626" s="135"/>
      <c r="U20626" s="135"/>
    </row>
    <row r="20627" spans="20:21" ht="15" customHeight="1" x14ac:dyDescent="0.25">
      <c r="T20627" s="135"/>
      <c r="U20627" s="135"/>
    </row>
    <row r="20628" spans="20:21" ht="15" customHeight="1" x14ac:dyDescent="0.25">
      <c r="T20628" s="135"/>
      <c r="U20628" s="135"/>
    </row>
    <row r="20629" spans="20:21" ht="15" customHeight="1" x14ac:dyDescent="0.25">
      <c r="T20629" s="135"/>
      <c r="U20629" s="135"/>
    </row>
    <row r="20630" spans="20:21" ht="15" customHeight="1" x14ac:dyDescent="0.25">
      <c r="T20630" s="135"/>
      <c r="U20630" s="135"/>
    </row>
    <row r="20631" spans="20:21" ht="15" customHeight="1" x14ac:dyDescent="0.25">
      <c r="T20631" s="135"/>
      <c r="U20631" s="135"/>
    </row>
    <row r="20632" spans="20:21" ht="15" customHeight="1" x14ac:dyDescent="0.25">
      <c r="T20632" s="135"/>
      <c r="U20632" s="135"/>
    </row>
    <row r="20633" spans="20:21" ht="15" customHeight="1" x14ac:dyDescent="0.25">
      <c r="T20633" s="135"/>
      <c r="U20633" s="135"/>
    </row>
    <row r="20634" spans="20:21" ht="15" customHeight="1" x14ac:dyDescent="0.25">
      <c r="T20634" s="135"/>
      <c r="U20634" s="135"/>
    </row>
    <row r="20635" spans="20:21" ht="15" customHeight="1" x14ac:dyDescent="0.25">
      <c r="T20635" s="135"/>
      <c r="U20635" s="135"/>
    </row>
    <row r="20636" spans="20:21" ht="15" customHeight="1" x14ac:dyDescent="0.25">
      <c r="T20636" s="135"/>
      <c r="U20636" s="135"/>
    </row>
    <row r="20637" spans="20:21" ht="15" customHeight="1" x14ac:dyDescent="0.25">
      <c r="T20637" s="135"/>
      <c r="U20637" s="135"/>
    </row>
    <row r="20638" spans="20:21" ht="15" customHeight="1" x14ac:dyDescent="0.25">
      <c r="T20638" s="135"/>
      <c r="U20638" s="135"/>
    </row>
    <row r="20639" spans="20:21" ht="15" customHeight="1" x14ac:dyDescent="0.25">
      <c r="T20639" s="135"/>
      <c r="U20639" s="135"/>
    </row>
    <row r="20640" spans="20:21" ht="15" customHeight="1" x14ac:dyDescent="0.25">
      <c r="T20640" s="135"/>
      <c r="U20640" s="135"/>
    </row>
    <row r="20641" spans="20:21" ht="15" customHeight="1" x14ac:dyDescent="0.25">
      <c r="T20641" s="135"/>
      <c r="U20641" s="135"/>
    </row>
    <row r="20642" spans="20:21" ht="15" customHeight="1" x14ac:dyDescent="0.25">
      <c r="T20642" s="135"/>
      <c r="U20642" s="135"/>
    </row>
    <row r="20643" spans="20:21" ht="15" customHeight="1" x14ac:dyDescent="0.25">
      <c r="T20643" s="135"/>
      <c r="U20643" s="135"/>
    </row>
    <row r="20644" spans="20:21" ht="15" customHeight="1" x14ac:dyDescent="0.25">
      <c r="T20644" s="135"/>
      <c r="U20644" s="135"/>
    </row>
    <row r="20645" spans="20:21" ht="15" customHeight="1" x14ac:dyDescent="0.25">
      <c r="T20645" s="135"/>
      <c r="U20645" s="135"/>
    </row>
    <row r="20646" spans="20:21" ht="15" customHeight="1" x14ac:dyDescent="0.25">
      <c r="T20646" s="135"/>
      <c r="U20646" s="135"/>
    </row>
    <row r="20647" spans="20:21" ht="15" customHeight="1" x14ac:dyDescent="0.25">
      <c r="T20647" s="135"/>
      <c r="U20647" s="135"/>
    </row>
    <row r="20648" spans="20:21" ht="15" customHeight="1" x14ac:dyDescent="0.25">
      <c r="T20648" s="135"/>
      <c r="U20648" s="135"/>
    </row>
    <row r="20649" spans="20:21" ht="15" customHeight="1" x14ac:dyDescent="0.25">
      <c r="T20649" s="135"/>
      <c r="U20649" s="135"/>
    </row>
    <row r="20650" spans="20:21" ht="15" customHeight="1" x14ac:dyDescent="0.25">
      <c r="T20650" s="135"/>
      <c r="U20650" s="135"/>
    </row>
    <row r="20651" spans="20:21" ht="15" customHeight="1" x14ac:dyDescent="0.25">
      <c r="T20651" s="135"/>
      <c r="U20651" s="135"/>
    </row>
    <row r="20652" spans="20:21" ht="15" customHeight="1" x14ac:dyDescent="0.25">
      <c r="T20652" s="135"/>
      <c r="U20652" s="135"/>
    </row>
    <row r="20653" spans="20:21" ht="15" customHeight="1" x14ac:dyDescent="0.25">
      <c r="T20653" s="135"/>
      <c r="U20653" s="135"/>
    </row>
    <row r="20654" spans="20:21" ht="15" customHeight="1" x14ac:dyDescent="0.25">
      <c r="T20654" s="135"/>
      <c r="U20654" s="135"/>
    </row>
    <row r="20655" spans="20:21" ht="15" customHeight="1" x14ac:dyDescent="0.25">
      <c r="T20655" s="135"/>
      <c r="U20655" s="135"/>
    </row>
    <row r="20656" spans="20:21" ht="15" customHeight="1" x14ac:dyDescent="0.25">
      <c r="T20656" s="135"/>
      <c r="U20656" s="135"/>
    </row>
    <row r="20657" spans="20:21" ht="15" customHeight="1" x14ac:dyDescent="0.25">
      <c r="T20657" s="135"/>
      <c r="U20657" s="135"/>
    </row>
    <row r="20658" spans="20:21" ht="15" customHeight="1" x14ac:dyDescent="0.25">
      <c r="T20658" s="135"/>
      <c r="U20658" s="135"/>
    </row>
    <row r="20659" spans="20:21" ht="15" customHeight="1" x14ac:dyDescent="0.25">
      <c r="T20659" s="135"/>
      <c r="U20659" s="135"/>
    </row>
    <row r="20660" spans="20:21" ht="15" customHeight="1" x14ac:dyDescent="0.25">
      <c r="T20660" s="135"/>
      <c r="U20660" s="135"/>
    </row>
    <row r="20661" spans="20:21" ht="15" customHeight="1" x14ac:dyDescent="0.25">
      <c r="T20661" s="135"/>
      <c r="U20661" s="135"/>
    </row>
    <row r="20662" spans="20:21" ht="15" customHeight="1" x14ac:dyDescent="0.25">
      <c r="T20662" s="135"/>
      <c r="U20662" s="135"/>
    </row>
    <row r="20663" spans="20:21" ht="15" customHeight="1" x14ac:dyDescent="0.25">
      <c r="T20663" s="135"/>
      <c r="U20663" s="135"/>
    </row>
    <row r="20664" spans="20:21" ht="15" customHeight="1" x14ac:dyDescent="0.25">
      <c r="T20664" s="135"/>
      <c r="U20664" s="135"/>
    </row>
    <row r="20665" spans="20:21" ht="15" customHeight="1" x14ac:dyDescent="0.25">
      <c r="T20665" s="135"/>
      <c r="U20665" s="135"/>
    </row>
    <row r="20666" spans="20:21" ht="15" customHeight="1" x14ac:dyDescent="0.25">
      <c r="T20666" s="135"/>
      <c r="U20666" s="135"/>
    </row>
    <row r="20667" spans="20:21" ht="15" customHeight="1" x14ac:dyDescent="0.25">
      <c r="T20667" s="135"/>
      <c r="U20667" s="135"/>
    </row>
    <row r="20668" spans="20:21" ht="15" customHeight="1" x14ac:dyDescent="0.25">
      <c r="T20668" s="135"/>
      <c r="U20668" s="135"/>
    </row>
    <row r="20669" spans="20:21" ht="15" customHeight="1" x14ac:dyDescent="0.25">
      <c r="T20669" s="135"/>
      <c r="U20669" s="135"/>
    </row>
    <row r="20670" spans="20:21" ht="15" customHeight="1" x14ac:dyDescent="0.25">
      <c r="T20670" s="135"/>
      <c r="U20670" s="135"/>
    </row>
    <row r="20671" spans="20:21" ht="15" customHeight="1" x14ac:dyDescent="0.25">
      <c r="T20671" s="135"/>
      <c r="U20671" s="135"/>
    </row>
    <row r="20672" spans="20:21" ht="15" customHeight="1" x14ac:dyDescent="0.25">
      <c r="T20672" s="135"/>
      <c r="U20672" s="135"/>
    </row>
    <row r="20673" spans="20:21" ht="15" customHeight="1" x14ac:dyDescent="0.25">
      <c r="T20673" s="135"/>
      <c r="U20673" s="135"/>
    </row>
    <row r="20674" spans="20:21" ht="15" customHeight="1" x14ac:dyDescent="0.25">
      <c r="T20674" s="135"/>
      <c r="U20674" s="135"/>
    </row>
    <row r="20675" spans="20:21" ht="15" customHeight="1" x14ac:dyDescent="0.25">
      <c r="T20675" s="135"/>
      <c r="U20675" s="135"/>
    </row>
    <row r="20676" spans="20:21" ht="15" customHeight="1" x14ac:dyDescent="0.25">
      <c r="T20676" s="135"/>
      <c r="U20676" s="135"/>
    </row>
    <row r="20677" spans="20:21" ht="15" customHeight="1" x14ac:dyDescent="0.25">
      <c r="T20677" s="135"/>
      <c r="U20677" s="135"/>
    </row>
    <row r="20678" spans="20:21" ht="15" customHeight="1" x14ac:dyDescent="0.25">
      <c r="T20678" s="135"/>
      <c r="U20678" s="135"/>
    </row>
    <row r="20679" spans="20:21" ht="15" customHeight="1" x14ac:dyDescent="0.25">
      <c r="T20679" s="135"/>
      <c r="U20679" s="135"/>
    </row>
    <row r="20680" spans="20:21" ht="15" customHeight="1" x14ac:dyDescent="0.25">
      <c r="T20680" s="135"/>
      <c r="U20680" s="135"/>
    </row>
    <row r="20681" spans="20:21" ht="15" customHeight="1" x14ac:dyDescent="0.25">
      <c r="T20681" s="135"/>
      <c r="U20681" s="135"/>
    </row>
    <row r="20682" spans="20:21" ht="15" customHeight="1" x14ac:dyDescent="0.25">
      <c r="T20682" s="135"/>
      <c r="U20682" s="135"/>
    </row>
    <row r="20683" spans="20:21" ht="15" customHeight="1" x14ac:dyDescent="0.25">
      <c r="T20683" s="135"/>
      <c r="U20683" s="135"/>
    </row>
    <row r="20684" spans="20:21" ht="15" customHeight="1" x14ac:dyDescent="0.25">
      <c r="T20684" s="135"/>
      <c r="U20684" s="135"/>
    </row>
    <row r="20685" spans="20:21" ht="15" customHeight="1" x14ac:dyDescent="0.25">
      <c r="T20685" s="135"/>
      <c r="U20685" s="135"/>
    </row>
    <row r="20686" spans="20:21" ht="15" customHeight="1" x14ac:dyDescent="0.25">
      <c r="T20686" s="135"/>
      <c r="U20686" s="135"/>
    </row>
    <row r="20687" spans="20:21" ht="15" customHeight="1" x14ac:dyDescent="0.25">
      <c r="T20687" s="135"/>
      <c r="U20687" s="135"/>
    </row>
    <row r="20688" spans="20:21" ht="15" customHeight="1" x14ac:dyDescent="0.25">
      <c r="T20688" s="135"/>
      <c r="U20688" s="135"/>
    </row>
    <row r="20689" spans="20:21" ht="15" customHeight="1" x14ac:dyDescent="0.25">
      <c r="T20689" s="135"/>
      <c r="U20689" s="135"/>
    </row>
    <row r="20690" spans="20:21" ht="15" customHeight="1" x14ac:dyDescent="0.25">
      <c r="T20690" s="135"/>
      <c r="U20690" s="135"/>
    </row>
    <row r="20691" spans="20:21" ht="15" customHeight="1" x14ac:dyDescent="0.25">
      <c r="T20691" s="135"/>
      <c r="U20691" s="135"/>
    </row>
    <row r="20692" spans="20:21" ht="15" customHeight="1" x14ac:dyDescent="0.25">
      <c r="T20692" s="135"/>
      <c r="U20692" s="135"/>
    </row>
    <row r="20693" spans="20:21" ht="15" customHeight="1" x14ac:dyDescent="0.25">
      <c r="T20693" s="135"/>
      <c r="U20693" s="135"/>
    </row>
    <row r="20694" spans="20:21" ht="15" customHeight="1" x14ac:dyDescent="0.25">
      <c r="T20694" s="135"/>
      <c r="U20694" s="135"/>
    </row>
    <row r="20695" spans="20:21" ht="15" customHeight="1" x14ac:dyDescent="0.25">
      <c r="T20695" s="135"/>
      <c r="U20695" s="135"/>
    </row>
    <row r="20696" spans="20:21" ht="15" customHeight="1" x14ac:dyDescent="0.25">
      <c r="T20696" s="135"/>
      <c r="U20696" s="135"/>
    </row>
    <row r="20697" spans="20:21" ht="15" customHeight="1" x14ac:dyDescent="0.25">
      <c r="T20697" s="135"/>
      <c r="U20697" s="135"/>
    </row>
    <row r="20698" spans="20:21" ht="15" customHeight="1" x14ac:dyDescent="0.25">
      <c r="T20698" s="135"/>
      <c r="U20698" s="135"/>
    </row>
    <row r="20699" spans="20:21" ht="15" customHeight="1" x14ac:dyDescent="0.25">
      <c r="T20699" s="135"/>
      <c r="U20699" s="135"/>
    </row>
    <row r="20700" spans="20:21" ht="15" customHeight="1" x14ac:dyDescent="0.25">
      <c r="T20700" s="135"/>
      <c r="U20700" s="135"/>
    </row>
    <row r="20701" spans="20:21" ht="15" customHeight="1" x14ac:dyDescent="0.25">
      <c r="T20701" s="135"/>
      <c r="U20701" s="135"/>
    </row>
    <row r="20702" spans="20:21" ht="15" customHeight="1" x14ac:dyDescent="0.25">
      <c r="T20702" s="135"/>
      <c r="U20702" s="135"/>
    </row>
    <row r="20703" spans="20:21" ht="15" customHeight="1" x14ac:dyDescent="0.25">
      <c r="T20703" s="135"/>
      <c r="U20703" s="135"/>
    </row>
    <row r="20704" spans="20:21" ht="15" customHeight="1" x14ac:dyDescent="0.25">
      <c r="T20704" s="135"/>
      <c r="U20704" s="135"/>
    </row>
    <row r="20705" spans="20:21" ht="15" customHeight="1" x14ac:dyDescent="0.25">
      <c r="T20705" s="135"/>
      <c r="U20705" s="135"/>
    </row>
    <row r="20706" spans="20:21" ht="15" customHeight="1" x14ac:dyDescent="0.25">
      <c r="T20706" s="135"/>
      <c r="U20706" s="135"/>
    </row>
    <row r="20707" spans="20:21" ht="15" customHeight="1" x14ac:dyDescent="0.25">
      <c r="T20707" s="135"/>
      <c r="U20707" s="135"/>
    </row>
    <row r="20708" spans="20:21" ht="15" customHeight="1" x14ac:dyDescent="0.25">
      <c r="T20708" s="135"/>
      <c r="U20708" s="135"/>
    </row>
    <row r="20709" spans="20:21" ht="15" customHeight="1" x14ac:dyDescent="0.25">
      <c r="T20709" s="135"/>
      <c r="U20709" s="135"/>
    </row>
    <row r="20710" spans="20:21" ht="15" customHeight="1" x14ac:dyDescent="0.25">
      <c r="T20710" s="135"/>
      <c r="U20710" s="135"/>
    </row>
    <row r="20711" spans="20:21" ht="15" customHeight="1" x14ac:dyDescent="0.25">
      <c r="T20711" s="135"/>
      <c r="U20711" s="135"/>
    </row>
    <row r="20712" spans="20:21" ht="15" customHeight="1" x14ac:dyDescent="0.25">
      <c r="T20712" s="135"/>
      <c r="U20712" s="135"/>
    </row>
    <row r="20713" spans="20:21" ht="15" customHeight="1" x14ac:dyDescent="0.25">
      <c r="T20713" s="135"/>
      <c r="U20713" s="135"/>
    </row>
    <row r="20714" spans="20:21" ht="15" customHeight="1" x14ac:dyDescent="0.25">
      <c r="T20714" s="135"/>
      <c r="U20714" s="135"/>
    </row>
    <row r="20715" spans="20:21" ht="15" customHeight="1" x14ac:dyDescent="0.25">
      <c r="T20715" s="135"/>
      <c r="U20715" s="135"/>
    </row>
    <row r="20716" spans="20:21" ht="15" customHeight="1" x14ac:dyDescent="0.25">
      <c r="T20716" s="135"/>
      <c r="U20716" s="135"/>
    </row>
    <row r="20717" spans="20:21" ht="15" customHeight="1" x14ac:dyDescent="0.25">
      <c r="T20717" s="135"/>
      <c r="U20717" s="135"/>
    </row>
    <row r="20718" spans="20:21" ht="15" customHeight="1" x14ac:dyDescent="0.25">
      <c r="T20718" s="135"/>
      <c r="U20718" s="135"/>
    </row>
    <row r="20719" spans="20:21" ht="15" customHeight="1" x14ac:dyDescent="0.25">
      <c r="T20719" s="135"/>
      <c r="U20719" s="135"/>
    </row>
    <row r="20720" spans="20:21" ht="15" customHeight="1" x14ac:dyDescent="0.25">
      <c r="T20720" s="135"/>
      <c r="U20720" s="135"/>
    </row>
    <row r="20721" spans="20:21" ht="15" customHeight="1" x14ac:dyDescent="0.25">
      <c r="T20721" s="135"/>
      <c r="U20721" s="135"/>
    </row>
    <row r="20722" spans="20:21" ht="15" customHeight="1" x14ac:dyDescent="0.25">
      <c r="T20722" s="135"/>
      <c r="U20722" s="135"/>
    </row>
    <row r="20723" spans="20:21" ht="15" customHeight="1" x14ac:dyDescent="0.25">
      <c r="T20723" s="135"/>
      <c r="U20723" s="135"/>
    </row>
    <row r="20724" spans="20:21" ht="15" customHeight="1" x14ac:dyDescent="0.25">
      <c r="T20724" s="135"/>
      <c r="U20724" s="135"/>
    </row>
    <row r="20725" spans="20:21" ht="15" customHeight="1" x14ac:dyDescent="0.25">
      <c r="T20725" s="135"/>
      <c r="U20725" s="135"/>
    </row>
    <row r="20726" spans="20:21" ht="15" customHeight="1" x14ac:dyDescent="0.25">
      <c r="T20726" s="135"/>
      <c r="U20726" s="135"/>
    </row>
    <row r="20727" spans="20:21" ht="15" customHeight="1" x14ac:dyDescent="0.25">
      <c r="T20727" s="135"/>
      <c r="U20727" s="135"/>
    </row>
    <row r="20728" spans="20:21" ht="15" customHeight="1" x14ac:dyDescent="0.25">
      <c r="T20728" s="135"/>
      <c r="U20728" s="135"/>
    </row>
    <row r="20729" spans="20:21" ht="15" customHeight="1" x14ac:dyDescent="0.25">
      <c r="T20729" s="135"/>
      <c r="U20729" s="135"/>
    </row>
    <row r="20730" spans="20:21" ht="15" customHeight="1" x14ac:dyDescent="0.25">
      <c r="T20730" s="135"/>
      <c r="U20730" s="135"/>
    </row>
    <row r="20731" spans="20:21" ht="15" customHeight="1" x14ac:dyDescent="0.25">
      <c r="T20731" s="135"/>
      <c r="U20731" s="135"/>
    </row>
    <row r="20732" spans="20:21" ht="15" customHeight="1" x14ac:dyDescent="0.25">
      <c r="T20732" s="135"/>
      <c r="U20732" s="135"/>
    </row>
    <row r="20733" spans="20:21" ht="15" customHeight="1" x14ac:dyDescent="0.25">
      <c r="T20733" s="135"/>
      <c r="U20733" s="135"/>
    </row>
    <row r="20734" spans="20:21" ht="15" customHeight="1" x14ac:dyDescent="0.25">
      <c r="T20734" s="135"/>
      <c r="U20734" s="135"/>
    </row>
    <row r="20735" spans="20:21" ht="15" customHeight="1" x14ac:dyDescent="0.25">
      <c r="T20735" s="135"/>
      <c r="U20735" s="135"/>
    </row>
    <row r="20736" spans="20:21" ht="15" customHeight="1" x14ac:dyDescent="0.25">
      <c r="T20736" s="135"/>
      <c r="U20736" s="135"/>
    </row>
    <row r="20737" spans="20:21" ht="15" customHeight="1" x14ac:dyDescent="0.25">
      <c r="T20737" s="135"/>
      <c r="U20737" s="135"/>
    </row>
    <row r="20738" spans="20:21" ht="15" customHeight="1" x14ac:dyDescent="0.25">
      <c r="T20738" s="135"/>
      <c r="U20738" s="135"/>
    </row>
    <row r="20739" spans="20:21" ht="15" customHeight="1" x14ac:dyDescent="0.25">
      <c r="T20739" s="135"/>
      <c r="U20739" s="135"/>
    </row>
    <row r="20740" spans="20:21" ht="15" customHeight="1" x14ac:dyDescent="0.25">
      <c r="T20740" s="135"/>
      <c r="U20740" s="135"/>
    </row>
    <row r="20741" spans="20:21" ht="15" customHeight="1" x14ac:dyDescent="0.25">
      <c r="T20741" s="135"/>
      <c r="U20741" s="135"/>
    </row>
    <row r="20742" spans="20:21" ht="15" customHeight="1" x14ac:dyDescent="0.25">
      <c r="T20742" s="135"/>
      <c r="U20742" s="135"/>
    </row>
    <row r="20743" spans="20:21" ht="15" customHeight="1" x14ac:dyDescent="0.25">
      <c r="T20743" s="135"/>
      <c r="U20743" s="135"/>
    </row>
    <row r="20744" spans="20:21" ht="15" customHeight="1" x14ac:dyDescent="0.25">
      <c r="T20744" s="135"/>
      <c r="U20744" s="135"/>
    </row>
    <row r="20745" spans="20:21" ht="15" customHeight="1" x14ac:dyDescent="0.25">
      <c r="T20745" s="135"/>
      <c r="U20745" s="135"/>
    </row>
    <row r="20746" spans="20:21" ht="15" customHeight="1" x14ac:dyDescent="0.25">
      <c r="T20746" s="135"/>
      <c r="U20746" s="135"/>
    </row>
    <row r="20747" spans="20:21" ht="15" customHeight="1" x14ac:dyDescent="0.25">
      <c r="T20747" s="135"/>
      <c r="U20747" s="135"/>
    </row>
    <row r="20748" spans="20:21" ht="15" customHeight="1" x14ac:dyDescent="0.25">
      <c r="T20748" s="135"/>
      <c r="U20748" s="135"/>
    </row>
    <row r="20749" spans="20:21" ht="15" customHeight="1" x14ac:dyDescent="0.25">
      <c r="T20749" s="135"/>
      <c r="U20749" s="135"/>
    </row>
    <row r="20750" spans="20:21" ht="15" customHeight="1" x14ac:dyDescent="0.25">
      <c r="T20750" s="135"/>
      <c r="U20750" s="135"/>
    </row>
    <row r="20751" spans="20:21" ht="15" customHeight="1" x14ac:dyDescent="0.25">
      <c r="T20751" s="135"/>
      <c r="U20751" s="135"/>
    </row>
    <row r="20752" spans="20:21" ht="15" customHeight="1" x14ac:dyDescent="0.25">
      <c r="T20752" s="135"/>
      <c r="U20752" s="135"/>
    </row>
    <row r="20753" spans="20:21" ht="15" customHeight="1" x14ac:dyDescent="0.25">
      <c r="T20753" s="135"/>
      <c r="U20753" s="135"/>
    </row>
    <row r="20754" spans="20:21" ht="15" customHeight="1" x14ac:dyDescent="0.25">
      <c r="T20754" s="135"/>
      <c r="U20754" s="135"/>
    </row>
    <row r="20755" spans="20:21" ht="15" customHeight="1" x14ac:dyDescent="0.25">
      <c r="T20755" s="135"/>
      <c r="U20755" s="135"/>
    </row>
    <row r="20756" spans="20:21" ht="15" customHeight="1" x14ac:dyDescent="0.25">
      <c r="T20756" s="135"/>
      <c r="U20756" s="135"/>
    </row>
    <row r="20757" spans="20:21" ht="15" customHeight="1" x14ac:dyDescent="0.25">
      <c r="T20757" s="135"/>
      <c r="U20757" s="135"/>
    </row>
    <row r="20758" spans="20:21" ht="15" customHeight="1" x14ac:dyDescent="0.25">
      <c r="T20758" s="135"/>
      <c r="U20758" s="135"/>
    </row>
    <row r="20759" spans="20:21" ht="15" customHeight="1" x14ac:dyDescent="0.25">
      <c r="T20759" s="135"/>
      <c r="U20759" s="135"/>
    </row>
    <row r="20760" spans="20:21" ht="15" customHeight="1" x14ac:dyDescent="0.25">
      <c r="T20760" s="135"/>
      <c r="U20760" s="135"/>
    </row>
    <row r="20761" spans="20:21" ht="15" customHeight="1" x14ac:dyDescent="0.25">
      <c r="T20761" s="135"/>
      <c r="U20761" s="135"/>
    </row>
    <row r="20762" spans="20:21" ht="15" customHeight="1" x14ac:dyDescent="0.25">
      <c r="T20762" s="135"/>
      <c r="U20762" s="135"/>
    </row>
    <row r="20763" spans="20:21" ht="15" customHeight="1" x14ac:dyDescent="0.25">
      <c r="T20763" s="135"/>
      <c r="U20763" s="135"/>
    </row>
    <row r="20764" spans="20:21" ht="15" customHeight="1" x14ac:dyDescent="0.25">
      <c r="T20764" s="135"/>
      <c r="U20764" s="135"/>
    </row>
    <row r="20765" spans="20:21" ht="15" customHeight="1" x14ac:dyDescent="0.25">
      <c r="T20765" s="135"/>
      <c r="U20765" s="135"/>
    </row>
    <row r="20766" spans="20:21" ht="15" customHeight="1" x14ac:dyDescent="0.25">
      <c r="T20766" s="135"/>
      <c r="U20766" s="135"/>
    </row>
    <row r="20767" spans="20:21" ht="15" customHeight="1" x14ac:dyDescent="0.25">
      <c r="T20767" s="135"/>
      <c r="U20767" s="135"/>
    </row>
    <row r="20768" spans="20:21" ht="15" customHeight="1" x14ac:dyDescent="0.25">
      <c r="T20768" s="135"/>
      <c r="U20768" s="135"/>
    </row>
    <row r="20769" spans="20:21" ht="15" customHeight="1" x14ac:dyDescent="0.25">
      <c r="T20769" s="135"/>
      <c r="U20769" s="135"/>
    </row>
    <row r="20770" spans="20:21" ht="15" customHeight="1" x14ac:dyDescent="0.25">
      <c r="T20770" s="135"/>
      <c r="U20770" s="135"/>
    </row>
    <row r="20771" spans="20:21" ht="15" customHeight="1" x14ac:dyDescent="0.25">
      <c r="T20771" s="135"/>
      <c r="U20771" s="135"/>
    </row>
    <row r="20772" spans="20:21" ht="15" customHeight="1" x14ac:dyDescent="0.25">
      <c r="T20772" s="135"/>
      <c r="U20772" s="135"/>
    </row>
    <row r="20773" spans="20:21" ht="15" customHeight="1" x14ac:dyDescent="0.25">
      <c r="T20773" s="135"/>
      <c r="U20773" s="135"/>
    </row>
    <row r="20774" spans="20:21" ht="15" customHeight="1" x14ac:dyDescent="0.25">
      <c r="T20774" s="135"/>
      <c r="U20774" s="135"/>
    </row>
    <row r="20775" spans="20:21" ht="15" customHeight="1" x14ac:dyDescent="0.25">
      <c r="T20775" s="135"/>
      <c r="U20775" s="135"/>
    </row>
    <row r="20776" spans="20:21" ht="15" customHeight="1" x14ac:dyDescent="0.25">
      <c r="T20776" s="135"/>
      <c r="U20776" s="135"/>
    </row>
    <row r="20777" spans="20:21" ht="15" customHeight="1" x14ac:dyDescent="0.25">
      <c r="T20777" s="135"/>
      <c r="U20777" s="135"/>
    </row>
    <row r="20778" spans="20:21" ht="15" customHeight="1" x14ac:dyDescent="0.25">
      <c r="T20778" s="135"/>
      <c r="U20778" s="135"/>
    </row>
    <row r="20779" spans="20:21" ht="15" customHeight="1" x14ac:dyDescent="0.25">
      <c r="T20779" s="135"/>
      <c r="U20779" s="135"/>
    </row>
    <row r="20780" spans="20:21" ht="15" customHeight="1" x14ac:dyDescent="0.25">
      <c r="T20780" s="135"/>
      <c r="U20780" s="135"/>
    </row>
    <row r="20781" spans="20:21" ht="15" customHeight="1" x14ac:dyDescent="0.25">
      <c r="T20781" s="135"/>
      <c r="U20781" s="135"/>
    </row>
    <row r="20782" spans="20:21" ht="15" customHeight="1" x14ac:dyDescent="0.25">
      <c r="T20782" s="135"/>
      <c r="U20782" s="135"/>
    </row>
    <row r="20783" spans="20:21" ht="15" customHeight="1" x14ac:dyDescent="0.25">
      <c r="T20783" s="135"/>
      <c r="U20783" s="135"/>
    </row>
    <row r="20784" spans="20:21" ht="15" customHeight="1" x14ac:dyDescent="0.25">
      <c r="T20784" s="135"/>
      <c r="U20784" s="135"/>
    </row>
    <row r="20785" spans="20:21" ht="15" customHeight="1" x14ac:dyDescent="0.25">
      <c r="T20785" s="135"/>
      <c r="U20785" s="135"/>
    </row>
    <row r="20786" spans="20:21" ht="15" customHeight="1" x14ac:dyDescent="0.25">
      <c r="T20786" s="135"/>
      <c r="U20786" s="135"/>
    </row>
    <row r="20787" spans="20:21" ht="15" customHeight="1" x14ac:dyDescent="0.25">
      <c r="T20787" s="135"/>
      <c r="U20787" s="135"/>
    </row>
    <row r="20788" spans="20:21" ht="15" customHeight="1" x14ac:dyDescent="0.25">
      <c r="T20788" s="135"/>
      <c r="U20788" s="135"/>
    </row>
    <row r="20789" spans="20:21" ht="15" customHeight="1" x14ac:dyDescent="0.25">
      <c r="T20789" s="135"/>
      <c r="U20789" s="135"/>
    </row>
    <row r="20790" spans="20:21" ht="15" customHeight="1" x14ac:dyDescent="0.25">
      <c r="T20790" s="135"/>
      <c r="U20790" s="135"/>
    </row>
    <row r="20791" spans="20:21" ht="15" customHeight="1" x14ac:dyDescent="0.25">
      <c r="T20791" s="135"/>
      <c r="U20791" s="135"/>
    </row>
    <row r="20792" spans="20:21" ht="15" customHeight="1" x14ac:dyDescent="0.25">
      <c r="T20792" s="135"/>
      <c r="U20792" s="135"/>
    </row>
    <row r="20793" spans="20:21" ht="15" customHeight="1" x14ac:dyDescent="0.25">
      <c r="T20793" s="135"/>
      <c r="U20793" s="135"/>
    </row>
    <row r="20794" spans="20:21" ht="15" customHeight="1" x14ac:dyDescent="0.25">
      <c r="T20794" s="135"/>
      <c r="U20794" s="135"/>
    </row>
    <row r="20795" spans="20:21" ht="15" customHeight="1" x14ac:dyDescent="0.25">
      <c r="T20795" s="135"/>
      <c r="U20795" s="135"/>
    </row>
    <row r="20796" spans="20:21" ht="15" customHeight="1" x14ac:dyDescent="0.25">
      <c r="T20796" s="135"/>
      <c r="U20796" s="135"/>
    </row>
    <row r="20797" spans="20:21" ht="15" customHeight="1" x14ac:dyDescent="0.25">
      <c r="T20797" s="135"/>
      <c r="U20797" s="135"/>
    </row>
    <row r="20798" spans="20:21" ht="15" customHeight="1" x14ac:dyDescent="0.25">
      <c r="T20798" s="135"/>
      <c r="U20798" s="135"/>
    </row>
    <row r="20799" spans="20:21" ht="15" customHeight="1" x14ac:dyDescent="0.25">
      <c r="T20799" s="135"/>
      <c r="U20799" s="135"/>
    </row>
    <row r="20800" spans="20:21" ht="15" customHeight="1" x14ac:dyDescent="0.25">
      <c r="T20800" s="135"/>
      <c r="U20800" s="135"/>
    </row>
    <row r="20801" spans="20:21" ht="15" customHeight="1" x14ac:dyDescent="0.25">
      <c r="T20801" s="135"/>
      <c r="U20801" s="135"/>
    </row>
    <row r="20802" spans="20:21" ht="15" customHeight="1" x14ac:dyDescent="0.25">
      <c r="T20802" s="135"/>
      <c r="U20802" s="135"/>
    </row>
    <row r="20803" spans="20:21" ht="15" customHeight="1" x14ac:dyDescent="0.25">
      <c r="T20803" s="135"/>
      <c r="U20803" s="135"/>
    </row>
    <row r="20804" spans="20:21" ht="15" customHeight="1" x14ac:dyDescent="0.25">
      <c r="T20804" s="135"/>
      <c r="U20804" s="135"/>
    </row>
    <row r="20805" spans="20:21" ht="15" customHeight="1" x14ac:dyDescent="0.25">
      <c r="T20805" s="135"/>
      <c r="U20805" s="135"/>
    </row>
    <row r="20806" spans="20:21" ht="15" customHeight="1" x14ac:dyDescent="0.25">
      <c r="T20806" s="135"/>
      <c r="U20806" s="135"/>
    </row>
    <row r="20807" spans="20:21" ht="15" customHeight="1" x14ac:dyDescent="0.25">
      <c r="T20807" s="135"/>
      <c r="U20807" s="135"/>
    </row>
    <row r="20808" spans="20:21" ht="15" customHeight="1" x14ac:dyDescent="0.25">
      <c r="T20808" s="135"/>
      <c r="U20808" s="135"/>
    </row>
    <row r="20809" spans="20:21" ht="15" customHeight="1" x14ac:dyDescent="0.25">
      <c r="T20809" s="135"/>
      <c r="U20809" s="135"/>
    </row>
    <row r="20810" spans="20:21" ht="15" customHeight="1" x14ac:dyDescent="0.25">
      <c r="T20810" s="135"/>
      <c r="U20810" s="135"/>
    </row>
    <row r="20811" spans="20:21" ht="15" customHeight="1" x14ac:dyDescent="0.25">
      <c r="T20811" s="135"/>
      <c r="U20811" s="135"/>
    </row>
    <row r="20812" spans="20:21" ht="15" customHeight="1" x14ac:dyDescent="0.25">
      <c r="T20812" s="135"/>
      <c r="U20812" s="135"/>
    </row>
    <row r="20813" spans="20:21" ht="15" customHeight="1" x14ac:dyDescent="0.25">
      <c r="T20813" s="135"/>
      <c r="U20813" s="135"/>
    </row>
    <row r="20814" spans="20:21" ht="15" customHeight="1" x14ac:dyDescent="0.25">
      <c r="T20814" s="135"/>
      <c r="U20814" s="135"/>
    </row>
    <row r="20815" spans="20:21" ht="15" customHeight="1" x14ac:dyDescent="0.25">
      <c r="T20815" s="135"/>
      <c r="U20815" s="135"/>
    </row>
    <row r="20816" spans="20:21" ht="15" customHeight="1" x14ac:dyDescent="0.25">
      <c r="T20816" s="135"/>
      <c r="U20816" s="135"/>
    </row>
    <row r="20817" spans="20:21" ht="15" customHeight="1" x14ac:dyDescent="0.25">
      <c r="T20817" s="135"/>
      <c r="U20817" s="135"/>
    </row>
    <row r="20818" spans="20:21" ht="15" customHeight="1" x14ac:dyDescent="0.25">
      <c r="T20818" s="135"/>
      <c r="U20818" s="135"/>
    </row>
    <row r="20819" spans="20:21" ht="15" customHeight="1" x14ac:dyDescent="0.25">
      <c r="T20819" s="135"/>
      <c r="U20819" s="135"/>
    </row>
    <row r="20820" spans="20:21" ht="15" customHeight="1" x14ac:dyDescent="0.25">
      <c r="T20820" s="135"/>
      <c r="U20820" s="135"/>
    </row>
    <row r="20821" spans="20:21" ht="15" customHeight="1" x14ac:dyDescent="0.25">
      <c r="T20821" s="135"/>
      <c r="U20821" s="135"/>
    </row>
    <row r="20822" spans="20:21" ht="15" customHeight="1" x14ac:dyDescent="0.25">
      <c r="T20822" s="135"/>
      <c r="U20822" s="135"/>
    </row>
    <row r="20823" spans="20:21" ht="15" customHeight="1" x14ac:dyDescent="0.25">
      <c r="T20823" s="135"/>
      <c r="U20823" s="135"/>
    </row>
    <row r="20824" spans="20:21" ht="15" customHeight="1" x14ac:dyDescent="0.25">
      <c r="T20824" s="135"/>
      <c r="U20824" s="135"/>
    </row>
    <row r="20825" spans="20:21" ht="15" customHeight="1" x14ac:dyDescent="0.25">
      <c r="T20825" s="135"/>
      <c r="U20825" s="135"/>
    </row>
    <row r="20826" spans="20:21" ht="15" customHeight="1" x14ac:dyDescent="0.25">
      <c r="T20826" s="135"/>
      <c r="U20826" s="135"/>
    </row>
    <row r="20827" spans="20:21" ht="15" customHeight="1" x14ac:dyDescent="0.25">
      <c r="T20827" s="135"/>
      <c r="U20827" s="135"/>
    </row>
    <row r="20828" spans="20:21" ht="15" customHeight="1" x14ac:dyDescent="0.25">
      <c r="T20828" s="135"/>
      <c r="U20828" s="135"/>
    </row>
    <row r="20829" spans="20:21" ht="15" customHeight="1" x14ac:dyDescent="0.25">
      <c r="T20829" s="135"/>
      <c r="U20829" s="135"/>
    </row>
    <row r="20830" spans="20:21" ht="15" customHeight="1" x14ac:dyDescent="0.25">
      <c r="T20830" s="135"/>
      <c r="U20830" s="135"/>
    </row>
    <row r="20831" spans="20:21" ht="15" customHeight="1" x14ac:dyDescent="0.25">
      <c r="T20831" s="135"/>
      <c r="U20831" s="135"/>
    </row>
    <row r="20832" spans="20:21" ht="15" customHeight="1" x14ac:dyDescent="0.25">
      <c r="T20832" s="135"/>
      <c r="U20832" s="135"/>
    </row>
    <row r="20833" spans="20:21" ht="15" customHeight="1" x14ac:dyDescent="0.25">
      <c r="T20833" s="135"/>
      <c r="U20833" s="135"/>
    </row>
    <row r="20834" spans="20:21" ht="15" customHeight="1" x14ac:dyDescent="0.25">
      <c r="T20834" s="135"/>
      <c r="U20834" s="135"/>
    </row>
    <row r="20835" spans="20:21" ht="15" customHeight="1" x14ac:dyDescent="0.25">
      <c r="T20835" s="135"/>
      <c r="U20835" s="135"/>
    </row>
    <row r="20836" spans="20:21" ht="15" customHeight="1" x14ac:dyDescent="0.25">
      <c r="T20836" s="135"/>
      <c r="U20836" s="135"/>
    </row>
    <row r="20837" spans="20:21" ht="15" customHeight="1" x14ac:dyDescent="0.25">
      <c r="T20837" s="135"/>
      <c r="U20837" s="135"/>
    </row>
    <row r="20838" spans="20:21" ht="15" customHeight="1" x14ac:dyDescent="0.25">
      <c r="T20838" s="135"/>
      <c r="U20838" s="135"/>
    </row>
    <row r="20839" spans="20:21" ht="15" customHeight="1" x14ac:dyDescent="0.25">
      <c r="T20839" s="135"/>
      <c r="U20839" s="135"/>
    </row>
    <row r="20840" spans="20:21" ht="15" customHeight="1" x14ac:dyDescent="0.25">
      <c r="T20840" s="135"/>
      <c r="U20840" s="135"/>
    </row>
    <row r="20841" spans="20:21" ht="15" customHeight="1" x14ac:dyDescent="0.25">
      <c r="T20841" s="135"/>
      <c r="U20841" s="135"/>
    </row>
    <row r="20842" spans="20:21" ht="15" customHeight="1" x14ac:dyDescent="0.25">
      <c r="T20842" s="135"/>
      <c r="U20842" s="135"/>
    </row>
    <row r="20843" spans="20:21" ht="15" customHeight="1" x14ac:dyDescent="0.25">
      <c r="T20843" s="135"/>
      <c r="U20843" s="135"/>
    </row>
    <row r="20844" spans="20:21" ht="15" customHeight="1" x14ac:dyDescent="0.25">
      <c r="T20844" s="135"/>
      <c r="U20844" s="135"/>
    </row>
    <row r="20845" spans="20:21" ht="15" customHeight="1" x14ac:dyDescent="0.25">
      <c r="T20845" s="135"/>
      <c r="U20845" s="135"/>
    </row>
    <row r="20846" spans="20:21" ht="15" customHeight="1" x14ac:dyDescent="0.25">
      <c r="T20846" s="135"/>
      <c r="U20846" s="135"/>
    </row>
    <row r="20847" spans="20:21" ht="15" customHeight="1" x14ac:dyDescent="0.25">
      <c r="T20847" s="135"/>
      <c r="U20847" s="135"/>
    </row>
    <row r="20848" spans="20:21" ht="15" customHeight="1" x14ac:dyDescent="0.25">
      <c r="T20848" s="135"/>
      <c r="U20848" s="135"/>
    </row>
    <row r="20849" spans="20:21" ht="15" customHeight="1" x14ac:dyDescent="0.25">
      <c r="T20849" s="135"/>
      <c r="U20849" s="135"/>
    </row>
    <row r="20850" spans="20:21" ht="15" customHeight="1" x14ac:dyDescent="0.25">
      <c r="T20850" s="135"/>
      <c r="U20850" s="135"/>
    </row>
    <row r="20851" spans="20:21" ht="15" customHeight="1" x14ac:dyDescent="0.25">
      <c r="T20851" s="135"/>
      <c r="U20851" s="135"/>
    </row>
    <row r="20852" spans="20:21" ht="15" customHeight="1" x14ac:dyDescent="0.25">
      <c r="T20852" s="135"/>
      <c r="U20852" s="135"/>
    </row>
    <row r="20853" spans="20:21" ht="15" customHeight="1" x14ac:dyDescent="0.25">
      <c r="T20853" s="135"/>
      <c r="U20853" s="135"/>
    </row>
    <row r="20854" spans="20:21" ht="15" customHeight="1" x14ac:dyDescent="0.25">
      <c r="T20854" s="135"/>
      <c r="U20854" s="135"/>
    </row>
    <row r="20855" spans="20:21" ht="15" customHeight="1" x14ac:dyDescent="0.25">
      <c r="T20855" s="135"/>
      <c r="U20855" s="135"/>
    </row>
    <row r="20856" spans="20:21" ht="15" customHeight="1" x14ac:dyDescent="0.25">
      <c r="T20856" s="135"/>
      <c r="U20856" s="135"/>
    </row>
    <row r="20857" spans="20:21" ht="15" customHeight="1" x14ac:dyDescent="0.25">
      <c r="T20857" s="135"/>
      <c r="U20857" s="135"/>
    </row>
    <row r="20858" spans="20:21" ht="15" customHeight="1" x14ac:dyDescent="0.25">
      <c r="T20858" s="135"/>
      <c r="U20858" s="135"/>
    </row>
    <row r="20859" spans="20:21" ht="15" customHeight="1" x14ac:dyDescent="0.25">
      <c r="T20859" s="135"/>
      <c r="U20859" s="135"/>
    </row>
    <row r="20860" spans="20:21" ht="15" customHeight="1" x14ac:dyDescent="0.25">
      <c r="T20860" s="135"/>
      <c r="U20860" s="135"/>
    </row>
    <row r="20861" spans="20:21" ht="15" customHeight="1" x14ac:dyDescent="0.25">
      <c r="T20861" s="135"/>
      <c r="U20861" s="135"/>
    </row>
    <row r="20862" spans="20:21" ht="15" customHeight="1" x14ac:dyDescent="0.25">
      <c r="T20862" s="135"/>
      <c r="U20862" s="135"/>
    </row>
    <row r="20863" spans="20:21" ht="15" customHeight="1" x14ac:dyDescent="0.25">
      <c r="T20863" s="135"/>
      <c r="U20863" s="135"/>
    </row>
    <row r="20864" spans="20:21" ht="15" customHeight="1" x14ac:dyDescent="0.25">
      <c r="T20864" s="135"/>
      <c r="U20864" s="135"/>
    </row>
    <row r="20865" spans="20:21" ht="15" customHeight="1" x14ac:dyDescent="0.25">
      <c r="T20865" s="135"/>
      <c r="U20865" s="135"/>
    </row>
    <row r="20866" spans="20:21" ht="15" customHeight="1" x14ac:dyDescent="0.25">
      <c r="T20866" s="135"/>
      <c r="U20866" s="135"/>
    </row>
    <row r="20867" spans="20:21" ht="15" customHeight="1" x14ac:dyDescent="0.25">
      <c r="T20867" s="135"/>
      <c r="U20867" s="135"/>
    </row>
    <row r="20868" spans="20:21" ht="15" customHeight="1" x14ac:dyDescent="0.25">
      <c r="T20868" s="135"/>
      <c r="U20868" s="135"/>
    </row>
    <row r="20869" spans="20:21" ht="15" customHeight="1" x14ac:dyDescent="0.25">
      <c r="T20869" s="135"/>
      <c r="U20869" s="135"/>
    </row>
    <row r="20870" spans="20:21" ht="15" customHeight="1" x14ac:dyDescent="0.25">
      <c r="T20870" s="135"/>
      <c r="U20870" s="135"/>
    </row>
    <row r="20871" spans="20:21" ht="15" customHeight="1" x14ac:dyDescent="0.25">
      <c r="T20871" s="135"/>
      <c r="U20871" s="135"/>
    </row>
    <row r="20872" spans="20:21" ht="15" customHeight="1" x14ac:dyDescent="0.25">
      <c r="T20872" s="135"/>
      <c r="U20872" s="135"/>
    </row>
    <row r="20873" spans="20:21" ht="15" customHeight="1" x14ac:dyDescent="0.25">
      <c r="T20873" s="135"/>
      <c r="U20873" s="135"/>
    </row>
    <row r="20874" spans="20:21" ht="15" customHeight="1" x14ac:dyDescent="0.25">
      <c r="T20874" s="135"/>
      <c r="U20874" s="135"/>
    </row>
    <row r="20875" spans="20:21" ht="15" customHeight="1" x14ac:dyDescent="0.25">
      <c r="T20875" s="135"/>
      <c r="U20875" s="135"/>
    </row>
    <row r="20876" spans="20:21" ht="15" customHeight="1" x14ac:dyDescent="0.25">
      <c r="T20876" s="135"/>
      <c r="U20876" s="135"/>
    </row>
    <row r="20877" spans="20:21" ht="15" customHeight="1" x14ac:dyDescent="0.25">
      <c r="T20877" s="135"/>
      <c r="U20877" s="135"/>
    </row>
    <row r="20878" spans="20:21" ht="15" customHeight="1" x14ac:dyDescent="0.25">
      <c r="T20878" s="135"/>
      <c r="U20878" s="135"/>
    </row>
    <row r="20879" spans="20:21" ht="15" customHeight="1" x14ac:dyDescent="0.25">
      <c r="T20879" s="135"/>
      <c r="U20879" s="135"/>
    </row>
    <row r="20880" spans="20:21" ht="15" customHeight="1" x14ac:dyDescent="0.25">
      <c r="T20880" s="135"/>
      <c r="U20880" s="135"/>
    </row>
    <row r="20881" spans="20:21" ht="15" customHeight="1" x14ac:dyDescent="0.25">
      <c r="T20881" s="135"/>
      <c r="U20881" s="135"/>
    </row>
    <row r="20882" spans="20:21" ht="15" customHeight="1" x14ac:dyDescent="0.25">
      <c r="T20882" s="135"/>
      <c r="U20882" s="135"/>
    </row>
    <row r="20883" spans="20:21" ht="15" customHeight="1" x14ac:dyDescent="0.25">
      <c r="T20883" s="135"/>
      <c r="U20883" s="135"/>
    </row>
    <row r="20884" spans="20:21" ht="15" customHeight="1" x14ac:dyDescent="0.25">
      <c r="T20884" s="135"/>
      <c r="U20884" s="135"/>
    </row>
    <row r="20885" spans="20:21" ht="15" customHeight="1" x14ac:dyDescent="0.25">
      <c r="T20885" s="135"/>
      <c r="U20885" s="135"/>
    </row>
    <row r="20886" spans="20:21" ht="15" customHeight="1" x14ac:dyDescent="0.25">
      <c r="T20886" s="135"/>
      <c r="U20886" s="135"/>
    </row>
    <row r="20887" spans="20:21" ht="15" customHeight="1" x14ac:dyDescent="0.25">
      <c r="T20887" s="135"/>
      <c r="U20887" s="135"/>
    </row>
    <row r="20888" spans="20:21" ht="15" customHeight="1" x14ac:dyDescent="0.25">
      <c r="T20888" s="135"/>
      <c r="U20888" s="135"/>
    </row>
    <row r="20889" spans="20:21" ht="15" customHeight="1" x14ac:dyDescent="0.25">
      <c r="T20889" s="135"/>
      <c r="U20889" s="135"/>
    </row>
    <row r="20890" spans="20:21" ht="15" customHeight="1" x14ac:dyDescent="0.25">
      <c r="T20890" s="135"/>
      <c r="U20890" s="135"/>
    </row>
    <row r="20891" spans="20:21" ht="15" customHeight="1" x14ac:dyDescent="0.25">
      <c r="T20891" s="135"/>
      <c r="U20891" s="135"/>
    </row>
    <row r="20892" spans="20:21" ht="15" customHeight="1" x14ac:dyDescent="0.25">
      <c r="T20892" s="135"/>
      <c r="U20892" s="135"/>
    </row>
    <row r="20893" spans="20:21" ht="15" customHeight="1" x14ac:dyDescent="0.25">
      <c r="T20893" s="135"/>
      <c r="U20893" s="135"/>
    </row>
    <row r="20894" spans="20:21" ht="15" customHeight="1" x14ac:dyDescent="0.25">
      <c r="T20894" s="135"/>
      <c r="U20894" s="135"/>
    </row>
    <row r="20895" spans="20:21" ht="15" customHeight="1" x14ac:dyDescent="0.25">
      <c r="T20895" s="135"/>
      <c r="U20895" s="135"/>
    </row>
    <row r="20896" spans="20:21" ht="15" customHeight="1" x14ac:dyDescent="0.25">
      <c r="T20896" s="135"/>
      <c r="U20896" s="135"/>
    </row>
    <row r="20897" spans="20:21" ht="15" customHeight="1" x14ac:dyDescent="0.25">
      <c r="T20897" s="135"/>
      <c r="U20897" s="135"/>
    </row>
    <row r="20898" spans="20:21" ht="15" customHeight="1" x14ac:dyDescent="0.25">
      <c r="T20898" s="135"/>
      <c r="U20898" s="135"/>
    </row>
    <row r="20899" spans="20:21" ht="15" customHeight="1" x14ac:dyDescent="0.25">
      <c r="T20899" s="135"/>
      <c r="U20899" s="135"/>
    </row>
    <row r="20900" spans="20:21" ht="15" customHeight="1" x14ac:dyDescent="0.25">
      <c r="T20900" s="135"/>
      <c r="U20900" s="135"/>
    </row>
    <row r="20901" spans="20:21" ht="15" customHeight="1" x14ac:dyDescent="0.25">
      <c r="T20901" s="135"/>
      <c r="U20901" s="135"/>
    </row>
    <row r="20902" spans="20:21" ht="15" customHeight="1" x14ac:dyDescent="0.25">
      <c r="T20902" s="135"/>
      <c r="U20902" s="135"/>
    </row>
    <row r="20903" spans="20:21" ht="15" customHeight="1" x14ac:dyDescent="0.25">
      <c r="T20903" s="135"/>
      <c r="U20903" s="135"/>
    </row>
    <row r="20904" spans="20:21" ht="15" customHeight="1" x14ac:dyDescent="0.25">
      <c r="T20904" s="135"/>
      <c r="U20904" s="135"/>
    </row>
    <row r="20905" spans="20:21" ht="15" customHeight="1" x14ac:dyDescent="0.25">
      <c r="T20905" s="135"/>
      <c r="U20905" s="135"/>
    </row>
    <row r="20906" spans="20:21" ht="15" customHeight="1" x14ac:dyDescent="0.25">
      <c r="T20906" s="135"/>
      <c r="U20906" s="135"/>
    </row>
    <row r="20907" spans="20:21" ht="15" customHeight="1" x14ac:dyDescent="0.25">
      <c r="T20907" s="135"/>
      <c r="U20907" s="135"/>
    </row>
    <row r="20908" spans="20:21" ht="15" customHeight="1" x14ac:dyDescent="0.25">
      <c r="T20908" s="135"/>
      <c r="U20908" s="135"/>
    </row>
    <row r="20909" spans="20:21" ht="15" customHeight="1" x14ac:dyDescent="0.25">
      <c r="T20909" s="135"/>
      <c r="U20909" s="135"/>
    </row>
    <row r="20910" spans="20:21" ht="15" customHeight="1" x14ac:dyDescent="0.25">
      <c r="T20910" s="135"/>
      <c r="U20910" s="135"/>
    </row>
    <row r="20911" spans="20:21" ht="15" customHeight="1" x14ac:dyDescent="0.25">
      <c r="T20911" s="135"/>
      <c r="U20911" s="135"/>
    </row>
    <row r="20912" spans="20:21" ht="15" customHeight="1" x14ac:dyDescent="0.25">
      <c r="T20912" s="135"/>
      <c r="U20912" s="135"/>
    </row>
    <row r="20913" spans="20:21" ht="15" customHeight="1" x14ac:dyDescent="0.25">
      <c r="T20913" s="135"/>
      <c r="U20913" s="135"/>
    </row>
    <row r="20914" spans="20:21" ht="15" customHeight="1" x14ac:dyDescent="0.25">
      <c r="T20914" s="135"/>
      <c r="U20914" s="135"/>
    </row>
    <row r="20915" spans="20:21" ht="15" customHeight="1" x14ac:dyDescent="0.25">
      <c r="T20915" s="135"/>
      <c r="U20915" s="135"/>
    </row>
    <row r="20916" spans="20:21" ht="15" customHeight="1" x14ac:dyDescent="0.25">
      <c r="T20916" s="135"/>
      <c r="U20916" s="135"/>
    </row>
    <row r="20917" spans="20:21" ht="15" customHeight="1" x14ac:dyDescent="0.25">
      <c r="T20917" s="135"/>
      <c r="U20917" s="135"/>
    </row>
    <row r="20918" spans="20:21" ht="15" customHeight="1" x14ac:dyDescent="0.25">
      <c r="T20918" s="135"/>
      <c r="U20918" s="135"/>
    </row>
    <row r="20919" spans="20:21" ht="15" customHeight="1" x14ac:dyDescent="0.25">
      <c r="T20919" s="135"/>
      <c r="U20919" s="135"/>
    </row>
    <row r="20920" spans="20:21" ht="15" customHeight="1" x14ac:dyDescent="0.25">
      <c r="T20920" s="135"/>
      <c r="U20920" s="135"/>
    </row>
    <row r="20921" spans="20:21" ht="15" customHeight="1" x14ac:dyDescent="0.25">
      <c r="T20921" s="135"/>
      <c r="U20921" s="135"/>
    </row>
    <row r="20922" spans="20:21" ht="15" customHeight="1" x14ac:dyDescent="0.25">
      <c r="T20922" s="135"/>
      <c r="U20922" s="135"/>
    </row>
    <row r="20923" spans="20:21" ht="15" customHeight="1" x14ac:dyDescent="0.25">
      <c r="T20923" s="135"/>
      <c r="U20923" s="135"/>
    </row>
    <row r="20924" spans="20:21" ht="15" customHeight="1" x14ac:dyDescent="0.25">
      <c r="T20924" s="135"/>
      <c r="U20924" s="135"/>
    </row>
    <row r="20925" spans="20:21" ht="15" customHeight="1" x14ac:dyDescent="0.25">
      <c r="T20925" s="135"/>
      <c r="U20925" s="135"/>
    </row>
    <row r="20926" spans="20:21" ht="15" customHeight="1" x14ac:dyDescent="0.25">
      <c r="T20926" s="135"/>
      <c r="U20926" s="135"/>
    </row>
    <row r="20927" spans="20:21" ht="15" customHeight="1" x14ac:dyDescent="0.25">
      <c r="T20927" s="135"/>
      <c r="U20927" s="135"/>
    </row>
    <row r="20928" spans="20:21" ht="15" customHeight="1" x14ac:dyDescent="0.25">
      <c r="T20928" s="135"/>
      <c r="U20928" s="135"/>
    </row>
    <row r="20929" spans="20:21" ht="15" customHeight="1" x14ac:dyDescent="0.25">
      <c r="T20929" s="135"/>
      <c r="U20929" s="135"/>
    </row>
    <row r="20930" spans="20:21" ht="15" customHeight="1" x14ac:dyDescent="0.25">
      <c r="T20930" s="135"/>
      <c r="U20930" s="135"/>
    </row>
    <row r="20931" spans="20:21" ht="15" customHeight="1" x14ac:dyDescent="0.25">
      <c r="T20931" s="135"/>
      <c r="U20931" s="135"/>
    </row>
    <row r="20932" spans="20:21" ht="15" customHeight="1" x14ac:dyDescent="0.25">
      <c r="T20932" s="135"/>
      <c r="U20932" s="135"/>
    </row>
    <row r="20933" spans="20:21" ht="15" customHeight="1" x14ac:dyDescent="0.25">
      <c r="T20933" s="135"/>
      <c r="U20933" s="135"/>
    </row>
    <row r="20934" spans="20:21" ht="15" customHeight="1" x14ac:dyDescent="0.25">
      <c r="T20934" s="135"/>
      <c r="U20934" s="135"/>
    </row>
    <row r="20935" spans="20:21" ht="15" customHeight="1" x14ac:dyDescent="0.25">
      <c r="T20935" s="135"/>
      <c r="U20935" s="135"/>
    </row>
    <row r="20936" spans="20:21" ht="15" customHeight="1" x14ac:dyDescent="0.25">
      <c r="T20936" s="135"/>
      <c r="U20936" s="135"/>
    </row>
    <row r="20937" spans="20:21" ht="15" customHeight="1" x14ac:dyDescent="0.25">
      <c r="T20937" s="135"/>
      <c r="U20937" s="135"/>
    </row>
    <row r="20938" spans="20:21" ht="15" customHeight="1" x14ac:dyDescent="0.25">
      <c r="T20938" s="135"/>
      <c r="U20938" s="135"/>
    </row>
    <row r="20939" spans="20:21" ht="15" customHeight="1" x14ac:dyDescent="0.25">
      <c r="T20939" s="135"/>
      <c r="U20939" s="135"/>
    </row>
    <row r="20940" spans="20:21" ht="15" customHeight="1" x14ac:dyDescent="0.25">
      <c r="T20940" s="135"/>
      <c r="U20940" s="135"/>
    </row>
    <row r="20941" spans="20:21" ht="15" customHeight="1" x14ac:dyDescent="0.25">
      <c r="T20941" s="135"/>
      <c r="U20941" s="135"/>
    </row>
    <row r="20942" spans="20:21" ht="15" customHeight="1" x14ac:dyDescent="0.25">
      <c r="T20942" s="135"/>
      <c r="U20942" s="135"/>
    </row>
    <row r="20943" spans="20:21" ht="15" customHeight="1" x14ac:dyDescent="0.25">
      <c r="T20943" s="135"/>
      <c r="U20943" s="135"/>
    </row>
    <row r="20944" spans="20:21" ht="15" customHeight="1" x14ac:dyDescent="0.25">
      <c r="T20944" s="135"/>
      <c r="U20944" s="135"/>
    </row>
    <row r="20945" spans="20:21" ht="15" customHeight="1" x14ac:dyDescent="0.25">
      <c r="T20945" s="135"/>
      <c r="U20945" s="135"/>
    </row>
    <row r="20946" spans="20:21" ht="15" customHeight="1" x14ac:dyDescent="0.25">
      <c r="T20946" s="135"/>
      <c r="U20946" s="135"/>
    </row>
    <row r="20947" spans="20:21" ht="15" customHeight="1" x14ac:dyDescent="0.25">
      <c r="T20947" s="135"/>
      <c r="U20947" s="135"/>
    </row>
    <row r="20948" spans="20:21" ht="15" customHeight="1" x14ac:dyDescent="0.25">
      <c r="T20948" s="135"/>
      <c r="U20948" s="135"/>
    </row>
    <row r="20949" spans="20:21" ht="15" customHeight="1" x14ac:dyDescent="0.25">
      <c r="T20949" s="135"/>
      <c r="U20949" s="135"/>
    </row>
    <row r="20950" spans="20:21" ht="15" customHeight="1" x14ac:dyDescent="0.25">
      <c r="T20950" s="135"/>
      <c r="U20950" s="135"/>
    </row>
    <row r="20951" spans="20:21" ht="15" customHeight="1" x14ac:dyDescent="0.25">
      <c r="T20951" s="135"/>
      <c r="U20951" s="135"/>
    </row>
    <row r="20952" spans="20:21" ht="15" customHeight="1" x14ac:dyDescent="0.25">
      <c r="T20952" s="135"/>
      <c r="U20952" s="135"/>
    </row>
    <row r="20953" spans="20:21" ht="15" customHeight="1" x14ac:dyDescent="0.25">
      <c r="T20953" s="135"/>
      <c r="U20953" s="135"/>
    </row>
    <row r="20954" spans="20:21" ht="15" customHeight="1" x14ac:dyDescent="0.25">
      <c r="T20954" s="135"/>
      <c r="U20954" s="135"/>
    </row>
    <row r="20955" spans="20:21" ht="15" customHeight="1" x14ac:dyDescent="0.25">
      <c r="T20955" s="135"/>
      <c r="U20955" s="135"/>
    </row>
    <row r="20956" spans="20:21" ht="15" customHeight="1" x14ac:dyDescent="0.25">
      <c r="T20956" s="135"/>
      <c r="U20956" s="135"/>
    </row>
    <row r="20957" spans="20:21" ht="15" customHeight="1" x14ac:dyDescent="0.25">
      <c r="T20957" s="135"/>
      <c r="U20957" s="135"/>
    </row>
    <row r="20958" spans="20:21" ht="15" customHeight="1" x14ac:dyDescent="0.25">
      <c r="T20958" s="135"/>
      <c r="U20958" s="135"/>
    </row>
    <row r="20959" spans="20:21" ht="15" customHeight="1" x14ac:dyDescent="0.25">
      <c r="T20959" s="135"/>
      <c r="U20959" s="135"/>
    </row>
    <row r="20960" spans="20:21" ht="15" customHeight="1" x14ac:dyDescent="0.25">
      <c r="T20960" s="135"/>
      <c r="U20960" s="135"/>
    </row>
    <row r="20961" spans="20:21" ht="15" customHeight="1" x14ac:dyDescent="0.25">
      <c r="T20961" s="135"/>
      <c r="U20961" s="135"/>
    </row>
    <row r="20962" spans="20:21" ht="15" customHeight="1" x14ac:dyDescent="0.25">
      <c r="T20962" s="135"/>
      <c r="U20962" s="135"/>
    </row>
    <row r="20963" spans="20:21" ht="15" customHeight="1" x14ac:dyDescent="0.25">
      <c r="T20963" s="135"/>
      <c r="U20963" s="135"/>
    </row>
    <row r="20964" spans="20:21" ht="15" customHeight="1" x14ac:dyDescent="0.25">
      <c r="T20964" s="135"/>
      <c r="U20964" s="135"/>
    </row>
    <row r="20965" spans="20:21" ht="15" customHeight="1" x14ac:dyDescent="0.25">
      <c r="T20965" s="135"/>
      <c r="U20965" s="135"/>
    </row>
    <row r="20966" spans="20:21" ht="15" customHeight="1" x14ac:dyDescent="0.25">
      <c r="T20966" s="135"/>
      <c r="U20966" s="135"/>
    </row>
    <row r="20967" spans="20:21" ht="15" customHeight="1" x14ac:dyDescent="0.25">
      <c r="T20967" s="135"/>
      <c r="U20967" s="135"/>
    </row>
    <row r="20968" spans="20:21" ht="15" customHeight="1" x14ac:dyDescent="0.25">
      <c r="T20968" s="135"/>
      <c r="U20968" s="135"/>
    </row>
    <row r="20969" spans="20:21" ht="15" customHeight="1" x14ac:dyDescent="0.25">
      <c r="T20969" s="135"/>
      <c r="U20969" s="135"/>
    </row>
    <row r="20970" spans="20:21" ht="15" customHeight="1" x14ac:dyDescent="0.25">
      <c r="T20970" s="135"/>
      <c r="U20970" s="135"/>
    </row>
    <row r="20971" spans="20:21" ht="15" customHeight="1" x14ac:dyDescent="0.25">
      <c r="T20971" s="135"/>
      <c r="U20971" s="135"/>
    </row>
    <row r="20972" spans="20:21" ht="15" customHeight="1" x14ac:dyDescent="0.25">
      <c r="T20972" s="135"/>
      <c r="U20972" s="135"/>
    </row>
    <row r="20973" spans="20:21" ht="15" customHeight="1" x14ac:dyDescent="0.25">
      <c r="T20973" s="135"/>
      <c r="U20973" s="135"/>
    </row>
    <row r="20974" spans="20:21" ht="15" customHeight="1" x14ac:dyDescent="0.25">
      <c r="T20974" s="135"/>
      <c r="U20974" s="135"/>
    </row>
    <row r="20975" spans="20:21" ht="15" customHeight="1" x14ac:dyDescent="0.25">
      <c r="T20975" s="135"/>
      <c r="U20975" s="135"/>
    </row>
    <row r="20976" spans="20:21" ht="15" customHeight="1" x14ac:dyDescent="0.25">
      <c r="T20976" s="135"/>
      <c r="U20976" s="135"/>
    </row>
    <row r="20977" spans="20:21" ht="15" customHeight="1" x14ac:dyDescent="0.25">
      <c r="T20977" s="135"/>
      <c r="U20977" s="135"/>
    </row>
    <row r="20978" spans="20:21" ht="15" customHeight="1" x14ac:dyDescent="0.25">
      <c r="T20978" s="135"/>
      <c r="U20978" s="135"/>
    </row>
    <row r="20979" spans="20:21" ht="15" customHeight="1" x14ac:dyDescent="0.25">
      <c r="T20979" s="135"/>
      <c r="U20979" s="135"/>
    </row>
    <row r="20980" spans="20:21" ht="15" customHeight="1" x14ac:dyDescent="0.25">
      <c r="T20980" s="135"/>
      <c r="U20980" s="135"/>
    </row>
    <row r="20981" spans="20:21" ht="15" customHeight="1" x14ac:dyDescent="0.25">
      <c r="T20981" s="135"/>
      <c r="U20981" s="135"/>
    </row>
    <row r="20982" spans="20:21" ht="15" customHeight="1" x14ac:dyDescent="0.25">
      <c r="T20982" s="135"/>
      <c r="U20982" s="135"/>
    </row>
    <row r="20983" spans="20:21" ht="15" customHeight="1" x14ac:dyDescent="0.25">
      <c r="T20983" s="135"/>
      <c r="U20983" s="135"/>
    </row>
    <row r="20984" spans="20:21" ht="15" customHeight="1" x14ac:dyDescent="0.25">
      <c r="T20984" s="135"/>
      <c r="U20984" s="135"/>
    </row>
    <row r="20985" spans="20:21" ht="15" customHeight="1" x14ac:dyDescent="0.25">
      <c r="T20985" s="135"/>
      <c r="U20985" s="135"/>
    </row>
    <row r="20986" spans="20:21" ht="15" customHeight="1" x14ac:dyDescent="0.25">
      <c r="T20986" s="135"/>
      <c r="U20986" s="135"/>
    </row>
    <row r="20987" spans="20:21" ht="15" customHeight="1" x14ac:dyDescent="0.25">
      <c r="T20987" s="135"/>
      <c r="U20987" s="135"/>
    </row>
    <row r="20988" spans="20:21" ht="15" customHeight="1" x14ac:dyDescent="0.25">
      <c r="T20988" s="135"/>
      <c r="U20988" s="135"/>
    </row>
    <row r="20989" spans="20:21" ht="15" customHeight="1" x14ac:dyDescent="0.25">
      <c r="T20989" s="135"/>
      <c r="U20989" s="135"/>
    </row>
    <row r="20990" spans="20:21" ht="15" customHeight="1" x14ac:dyDescent="0.25">
      <c r="T20990" s="135"/>
      <c r="U20990" s="135"/>
    </row>
    <row r="20991" spans="20:21" ht="15" customHeight="1" x14ac:dyDescent="0.25">
      <c r="T20991" s="135"/>
      <c r="U20991" s="135"/>
    </row>
    <row r="20992" spans="20:21" ht="15" customHeight="1" x14ac:dyDescent="0.25">
      <c r="T20992" s="135"/>
      <c r="U20992" s="135"/>
    </row>
    <row r="20993" spans="20:21" ht="15" customHeight="1" x14ac:dyDescent="0.25">
      <c r="T20993" s="135"/>
      <c r="U20993" s="135"/>
    </row>
    <row r="20994" spans="20:21" ht="15" customHeight="1" x14ac:dyDescent="0.25">
      <c r="T20994" s="135"/>
      <c r="U20994" s="135"/>
    </row>
    <row r="20995" spans="20:21" ht="15" customHeight="1" x14ac:dyDescent="0.25">
      <c r="T20995" s="135"/>
      <c r="U20995" s="135"/>
    </row>
    <row r="20996" spans="20:21" ht="15" customHeight="1" x14ac:dyDescent="0.25">
      <c r="T20996" s="135"/>
      <c r="U20996" s="135"/>
    </row>
    <row r="20997" spans="20:21" ht="15" customHeight="1" x14ac:dyDescent="0.25">
      <c r="T20997" s="135"/>
      <c r="U20997" s="135"/>
    </row>
    <row r="20998" spans="20:21" ht="15" customHeight="1" x14ac:dyDescent="0.25">
      <c r="T20998" s="135"/>
      <c r="U20998" s="135"/>
    </row>
    <row r="20999" spans="20:21" ht="15" customHeight="1" x14ac:dyDescent="0.25">
      <c r="T20999" s="135"/>
      <c r="U20999" s="135"/>
    </row>
    <row r="21000" spans="20:21" ht="15" customHeight="1" x14ac:dyDescent="0.25">
      <c r="T21000" s="135"/>
      <c r="U21000" s="135"/>
    </row>
    <row r="21001" spans="20:21" ht="15" customHeight="1" x14ac:dyDescent="0.25">
      <c r="T21001" s="135"/>
      <c r="U21001" s="135"/>
    </row>
    <row r="21002" spans="20:21" ht="15" customHeight="1" x14ac:dyDescent="0.25">
      <c r="T21002" s="135"/>
      <c r="U21002" s="135"/>
    </row>
    <row r="21003" spans="20:21" ht="15" customHeight="1" x14ac:dyDescent="0.25">
      <c r="T21003" s="135"/>
      <c r="U21003" s="135"/>
    </row>
    <row r="21004" spans="20:21" ht="15" customHeight="1" x14ac:dyDescent="0.25">
      <c r="T21004" s="135"/>
      <c r="U21004" s="135"/>
    </row>
    <row r="21005" spans="20:21" ht="15" customHeight="1" x14ac:dyDescent="0.25">
      <c r="T21005" s="135"/>
      <c r="U21005" s="135"/>
    </row>
    <row r="21006" spans="20:21" ht="15" customHeight="1" x14ac:dyDescent="0.25">
      <c r="T21006" s="135"/>
      <c r="U21006" s="135"/>
    </row>
    <row r="21007" spans="20:21" ht="15" customHeight="1" x14ac:dyDescent="0.25">
      <c r="T21007" s="135"/>
      <c r="U21007" s="135"/>
    </row>
    <row r="21008" spans="20:21" ht="15" customHeight="1" x14ac:dyDescent="0.25">
      <c r="T21008" s="135"/>
      <c r="U21008" s="135"/>
    </row>
    <row r="21009" spans="20:21" ht="15" customHeight="1" x14ac:dyDescent="0.25">
      <c r="T21009" s="135"/>
      <c r="U21009" s="135"/>
    </row>
    <row r="21010" spans="20:21" ht="15" customHeight="1" x14ac:dyDescent="0.25">
      <c r="T21010" s="135"/>
      <c r="U21010" s="135"/>
    </row>
    <row r="21011" spans="20:21" ht="15" customHeight="1" x14ac:dyDescent="0.25">
      <c r="T21011" s="135"/>
      <c r="U21011" s="135"/>
    </row>
    <row r="21012" spans="20:21" ht="15" customHeight="1" x14ac:dyDescent="0.25">
      <c r="T21012" s="135"/>
      <c r="U21012" s="135"/>
    </row>
    <row r="21013" spans="20:21" ht="15" customHeight="1" x14ac:dyDescent="0.25">
      <c r="T21013" s="135"/>
      <c r="U21013" s="135"/>
    </row>
    <row r="21014" spans="20:21" ht="15" customHeight="1" x14ac:dyDescent="0.25">
      <c r="T21014" s="135"/>
      <c r="U21014" s="135"/>
    </row>
    <row r="21015" spans="20:21" ht="15" customHeight="1" x14ac:dyDescent="0.25">
      <c r="T21015" s="135"/>
      <c r="U21015" s="135"/>
    </row>
    <row r="21016" spans="20:21" ht="15" customHeight="1" x14ac:dyDescent="0.25">
      <c r="T21016" s="135"/>
      <c r="U21016" s="135"/>
    </row>
    <row r="21017" spans="20:21" ht="15" customHeight="1" x14ac:dyDescent="0.25">
      <c r="T21017" s="135"/>
      <c r="U21017" s="135"/>
    </row>
    <row r="21018" spans="20:21" ht="15" customHeight="1" x14ac:dyDescent="0.25">
      <c r="T21018" s="135"/>
      <c r="U21018" s="135"/>
    </row>
    <row r="21019" spans="20:21" ht="15" customHeight="1" x14ac:dyDescent="0.25">
      <c r="T21019" s="135"/>
      <c r="U21019" s="135"/>
    </row>
    <row r="21020" spans="20:21" ht="15" customHeight="1" x14ac:dyDescent="0.25">
      <c r="T21020" s="135"/>
      <c r="U21020" s="135"/>
    </row>
    <row r="21021" spans="20:21" ht="15" customHeight="1" x14ac:dyDescent="0.25">
      <c r="T21021" s="135"/>
      <c r="U21021" s="135"/>
    </row>
    <row r="21022" spans="20:21" ht="15" customHeight="1" x14ac:dyDescent="0.25">
      <c r="T21022" s="135"/>
      <c r="U21022" s="135"/>
    </row>
    <row r="21023" spans="20:21" ht="15" customHeight="1" x14ac:dyDescent="0.25">
      <c r="T21023" s="135"/>
      <c r="U21023" s="135"/>
    </row>
    <row r="21024" spans="20:21" ht="15" customHeight="1" x14ac:dyDescent="0.25">
      <c r="T21024" s="135"/>
      <c r="U21024" s="135"/>
    </row>
    <row r="21025" spans="20:21" ht="15" customHeight="1" x14ac:dyDescent="0.25">
      <c r="T21025" s="135"/>
      <c r="U21025" s="135"/>
    </row>
    <row r="21026" spans="20:21" ht="15" customHeight="1" x14ac:dyDescent="0.25">
      <c r="T21026" s="135"/>
      <c r="U21026" s="135"/>
    </row>
    <row r="21027" spans="20:21" ht="15" customHeight="1" x14ac:dyDescent="0.25">
      <c r="T21027" s="135"/>
      <c r="U21027" s="135"/>
    </row>
    <row r="21028" spans="20:21" ht="15" customHeight="1" x14ac:dyDescent="0.25">
      <c r="T21028" s="135"/>
      <c r="U21028" s="135"/>
    </row>
    <row r="21029" spans="20:21" ht="15" customHeight="1" x14ac:dyDescent="0.25">
      <c r="T21029" s="135"/>
      <c r="U21029" s="135"/>
    </row>
    <row r="21030" spans="20:21" ht="15" customHeight="1" x14ac:dyDescent="0.25">
      <c r="T21030" s="135"/>
      <c r="U21030" s="135"/>
    </row>
    <row r="21031" spans="20:21" ht="15" customHeight="1" x14ac:dyDescent="0.25">
      <c r="T21031" s="135"/>
      <c r="U21031" s="135"/>
    </row>
    <row r="21032" spans="20:21" ht="15" customHeight="1" x14ac:dyDescent="0.25">
      <c r="T21032" s="135"/>
      <c r="U21032" s="135"/>
    </row>
    <row r="21033" spans="20:21" ht="15" customHeight="1" x14ac:dyDescent="0.25">
      <c r="T21033" s="135"/>
      <c r="U21033" s="135"/>
    </row>
    <row r="21034" spans="20:21" ht="15" customHeight="1" x14ac:dyDescent="0.25">
      <c r="T21034" s="135"/>
      <c r="U21034" s="135"/>
    </row>
    <row r="21035" spans="20:21" ht="15" customHeight="1" x14ac:dyDescent="0.25">
      <c r="T21035" s="135"/>
      <c r="U21035" s="135"/>
    </row>
    <row r="21036" spans="20:21" ht="15" customHeight="1" x14ac:dyDescent="0.25">
      <c r="T21036" s="135"/>
      <c r="U21036" s="135"/>
    </row>
    <row r="21037" spans="20:21" ht="15" customHeight="1" x14ac:dyDescent="0.25">
      <c r="T21037" s="135"/>
      <c r="U21037" s="135"/>
    </row>
    <row r="21038" spans="20:21" ht="15" customHeight="1" x14ac:dyDescent="0.25">
      <c r="T21038" s="135"/>
      <c r="U21038" s="135"/>
    </row>
    <row r="21039" spans="20:21" ht="15" customHeight="1" x14ac:dyDescent="0.25">
      <c r="T21039" s="135"/>
      <c r="U21039" s="135"/>
    </row>
    <row r="21040" spans="20:21" ht="15" customHeight="1" x14ac:dyDescent="0.25">
      <c r="T21040" s="135"/>
      <c r="U21040" s="135"/>
    </row>
    <row r="21041" spans="20:21" ht="15" customHeight="1" x14ac:dyDescent="0.25">
      <c r="T21041" s="135"/>
      <c r="U21041" s="135"/>
    </row>
    <row r="21042" spans="20:21" ht="15" customHeight="1" x14ac:dyDescent="0.25">
      <c r="T21042" s="135"/>
      <c r="U21042" s="135"/>
    </row>
    <row r="21043" spans="20:21" ht="15" customHeight="1" x14ac:dyDescent="0.25">
      <c r="T21043" s="135"/>
      <c r="U21043" s="135"/>
    </row>
    <row r="21044" spans="20:21" ht="15" customHeight="1" x14ac:dyDescent="0.25">
      <c r="T21044" s="135"/>
      <c r="U21044" s="135"/>
    </row>
    <row r="21045" spans="20:21" ht="15" customHeight="1" x14ac:dyDescent="0.25">
      <c r="T21045" s="135"/>
      <c r="U21045" s="135"/>
    </row>
    <row r="21046" spans="20:21" ht="15" customHeight="1" x14ac:dyDescent="0.25">
      <c r="T21046" s="135"/>
      <c r="U21046" s="135"/>
    </row>
    <row r="21047" spans="20:21" ht="15" customHeight="1" x14ac:dyDescent="0.25">
      <c r="T21047" s="135"/>
      <c r="U21047" s="135"/>
    </row>
    <row r="21048" spans="20:21" ht="15" customHeight="1" x14ac:dyDescent="0.25">
      <c r="T21048" s="135"/>
      <c r="U21048" s="135"/>
    </row>
    <row r="21049" spans="20:21" ht="15" customHeight="1" x14ac:dyDescent="0.25">
      <c r="T21049" s="135"/>
      <c r="U21049" s="135"/>
    </row>
    <row r="21050" spans="20:21" ht="15" customHeight="1" x14ac:dyDescent="0.25">
      <c r="T21050" s="135"/>
      <c r="U21050" s="135"/>
    </row>
    <row r="21051" spans="20:21" ht="15" customHeight="1" x14ac:dyDescent="0.25">
      <c r="T21051" s="135"/>
      <c r="U21051" s="135"/>
    </row>
    <row r="21052" spans="20:21" ht="15" customHeight="1" x14ac:dyDescent="0.25">
      <c r="T21052" s="135"/>
      <c r="U21052" s="135"/>
    </row>
    <row r="21053" spans="20:21" ht="15" customHeight="1" x14ac:dyDescent="0.25">
      <c r="T21053" s="135"/>
      <c r="U21053" s="135"/>
    </row>
    <row r="21054" spans="20:21" ht="15" customHeight="1" x14ac:dyDescent="0.25">
      <c r="T21054" s="135"/>
      <c r="U21054" s="135"/>
    </row>
    <row r="21055" spans="20:21" ht="15" customHeight="1" x14ac:dyDescent="0.25">
      <c r="T21055" s="135"/>
      <c r="U21055" s="135"/>
    </row>
    <row r="21056" spans="20:21" ht="15" customHeight="1" x14ac:dyDescent="0.25">
      <c r="T21056" s="135"/>
      <c r="U21056" s="135"/>
    </row>
    <row r="21057" spans="20:21" ht="15" customHeight="1" x14ac:dyDescent="0.25">
      <c r="T21057" s="135"/>
      <c r="U21057" s="135"/>
    </row>
    <row r="21058" spans="20:21" ht="15" customHeight="1" x14ac:dyDescent="0.25">
      <c r="T21058" s="135"/>
      <c r="U21058" s="135"/>
    </row>
    <row r="21059" spans="20:21" ht="15" customHeight="1" x14ac:dyDescent="0.25">
      <c r="T21059" s="135"/>
      <c r="U21059" s="135"/>
    </row>
    <row r="21060" spans="20:21" ht="15" customHeight="1" x14ac:dyDescent="0.25">
      <c r="T21060" s="135"/>
      <c r="U21060" s="135"/>
    </row>
    <row r="21061" spans="20:21" ht="15" customHeight="1" x14ac:dyDescent="0.25">
      <c r="T21061" s="135"/>
      <c r="U21061" s="135"/>
    </row>
    <row r="21062" spans="20:21" ht="15" customHeight="1" x14ac:dyDescent="0.25">
      <c r="T21062" s="135"/>
      <c r="U21062" s="135"/>
    </row>
    <row r="21063" spans="20:21" ht="15" customHeight="1" x14ac:dyDescent="0.25">
      <c r="T21063" s="135"/>
      <c r="U21063" s="135"/>
    </row>
    <row r="21064" spans="20:21" ht="15" customHeight="1" x14ac:dyDescent="0.25">
      <c r="T21064" s="135"/>
      <c r="U21064" s="135"/>
    </row>
    <row r="21065" spans="20:21" ht="15" customHeight="1" x14ac:dyDescent="0.25">
      <c r="T21065" s="135"/>
      <c r="U21065" s="135"/>
    </row>
    <row r="21066" spans="20:21" ht="15" customHeight="1" x14ac:dyDescent="0.25">
      <c r="T21066" s="135"/>
      <c r="U21066" s="135"/>
    </row>
    <row r="21067" spans="20:21" ht="15" customHeight="1" x14ac:dyDescent="0.25">
      <c r="T21067" s="135"/>
      <c r="U21067" s="135"/>
    </row>
    <row r="21068" spans="20:21" ht="15" customHeight="1" x14ac:dyDescent="0.25">
      <c r="T21068" s="135"/>
      <c r="U21068" s="135"/>
    </row>
    <row r="21069" spans="20:21" ht="15" customHeight="1" x14ac:dyDescent="0.25">
      <c r="T21069" s="135"/>
      <c r="U21069" s="135"/>
    </row>
    <row r="21070" spans="20:21" ht="15" customHeight="1" x14ac:dyDescent="0.25">
      <c r="T21070" s="135"/>
      <c r="U21070" s="135"/>
    </row>
    <row r="21071" spans="20:21" ht="15" customHeight="1" x14ac:dyDescent="0.25">
      <c r="T21071" s="135"/>
      <c r="U21071" s="135"/>
    </row>
    <row r="21072" spans="20:21" ht="15" customHeight="1" x14ac:dyDescent="0.25">
      <c r="T21072" s="135"/>
      <c r="U21072" s="135"/>
    </row>
    <row r="21073" spans="20:21" ht="15" customHeight="1" x14ac:dyDescent="0.25">
      <c r="T21073" s="135"/>
      <c r="U21073" s="135"/>
    </row>
    <row r="21074" spans="20:21" ht="15" customHeight="1" x14ac:dyDescent="0.25">
      <c r="T21074" s="135"/>
      <c r="U21074" s="135"/>
    </row>
    <row r="21075" spans="20:21" ht="15" customHeight="1" x14ac:dyDescent="0.25">
      <c r="T21075" s="135"/>
      <c r="U21075" s="135"/>
    </row>
    <row r="21076" spans="20:21" ht="15" customHeight="1" x14ac:dyDescent="0.25">
      <c r="T21076" s="135"/>
      <c r="U21076" s="135"/>
    </row>
    <row r="21077" spans="20:21" ht="15" customHeight="1" x14ac:dyDescent="0.25">
      <c r="T21077" s="135"/>
      <c r="U21077" s="135"/>
    </row>
    <row r="21078" spans="20:21" ht="15" customHeight="1" x14ac:dyDescent="0.25">
      <c r="T21078" s="135"/>
      <c r="U21078" s="135"/>
    </row>
    <row r="21079" spans="20:21" ht="15" customHeight="1" x14ac:dyDescent="0.25">
      <c r="T21079" s="135"/>
      <c r="U21079" s="135"/>
    </row>
    <row r="21080" spans="20:21" ht="15" customHeight="1" x14ac:dyDescent="0.25">
      <c r="T21080" s="135"/>
      <c r="U21080" s="135"/>
    </row>
    <row r="21081" spans="20:21" ht="15" customHeight="1" x14ac:dyDescent="0.25">
      <c r="T21081" s="135"/>
      <c r="U21081" s="135"/>
    </row>
    <row r="21082" spans="20:21" ht="15" customHeight="1" x14ac:dyDescent="0.25">
      <c r="T21082" s="135"/>
      <c r="U21082" s="135"/>
    </row>
    <row r="21083" spans="20:21" ht="15" customHeight="1" x14ac:dyDescent="0.25">
      <c r="T21083" s="135"/>
      <c r="U21083" s="135"/>
    </row>
    <row r="21084" spans="20:21" ht="15" customHeight="1" x14ac:dyDescent="0.25">
      <c r="T21084" s="135"/>
      <c r="U21084" s="135"/>
    </row>
    <row r="21085" spans="20:21" ht="15" customHeight="1" x14ac:dyDescent="0.25">
      <c r="T21085" s="135"/>
      <c r="U21085" s="135"/>
    </row>
    <row r="21086" spans="20:21" ht="15" customHeight="1" x14ac:dyDescent="0.25">
      <c r="T21086" s="135"/>
      <c r="U21086" s="135"/>
    </row>
    <row r="21087" spans="20:21" ht="15" customHeight="1" x14ac:dyDescent="0.25">
      <c r="T21087" s="135"/>
      <c r="U21087" s="135"/>
    </row>
    <row r="21088" spans="20:21" ht="15" customHeight="1" x14ac:dyDescent="0.25">
      <c r="T21088" s="135"/>
      <c r="U21088" s="135"/>
    </row>
    <row r="21089" spans="20:21" ht="15" customHeight="1" x14ac:dyDescent="0.25">
      <c r="T21089" s="135"/>
      <c r="U21089" s="135"/>
    </row>
    <row r="21090" spans="20:21" ht="15" customHeight="1" x14ac:dyDescent="0.25">
      <c r="T21090" s="135"/>
      <c r="U21090" s="135"/>
    </row>
    <row r="21091" spans="20:21" ht="15" customHeight="1" x14ac:dyDescent="0.25">
      <c r="T21091" s="135"/>
      <c r="U21091" s="135"/>
    </row>
    <row r="21092" spans="20:21" ht="15" customHeight="1" x14ac:dyDescent="0.25">
      <c r="T21092" s="135"/>
      <c r="U21092" s="135"/>
    </row>
    <row r="21093" spans="20:21" ht="15" customHeight="1" x14ac:dyDescent="0.25">
      <c r="T21093" s="135"/>
      <c r="U21093" s="135"/>
    </row>
    <row r="21094" spans="20:21" ht="15" customHeight="1" x14ac:dyDescent="0.25">
      <c r="T21094" s="135"/>
      <c r="U21094" s="135"/>
    </row>
    <row r="21095" spans="20:21" ht="15" customHeight="1" x14ac:dyDescent="0.25">
      <c r="T21095" s="135"/>
      <c r="U21095" s="135"/>
    </row>
    <row r="21096" spans="20:21" ht="15" customHeight="1" x14ac:dyDescent="0.25">
      <c r="T21096" s="135"/>
      <c r="U21096" s="135"/>
    </row>
    <row r="21097" spans="20:21" ht="15" customHeight="1" x14ac:dyDescent="0.25">
      <c r="T21097" s="135"/>
      <c r="U21097" s="135"/>
    </row>
    <row r="21098" spans="20:21" ht="15" customHeight="1" x14ac:dyDescent="0.25">
      <c r="T21098" s="135"/>
      <c r="U21098" s="135"/>
    </row>
    <row r="21099" spans="20:21" ht="15" customHeight="1" x14ac:dyDescent="0.25">
      <c r="T21099" s="135"/>
      <c r="U21099" s="135"/>
    </row>
    <row r="21100" spans="20:21" ht="15" customHeight="1" x14ac:dyDescent="0.25">
      <c r="T21100" s="135"/>
      <c r="U21100" s="135"/>
    </row>
    <row r="21101" spans="20:21" ht="15" customHeight="1" x14ac:dyDescent="0.25">
      <c r="T21101" s="135"/>
      <c r="U21101" s="135"/>
    </row>
    <row r="21102" spans="20:21" ht="15" customHeight="1" x14ac:dyDescent="0.25">
      <c r="T21102" s="135"/>
      <c r="U21102" s="135"/>
    </row>
    <row r="21103" spans="20:21" ht="15" customHeight="1" x14ac:dyDescent="0.25">
      <c r="T21103" s="135"/>
      <c r="U21103" s="135"/>
    </row>
    <row r="21104" spans="20:21" ht="15" customHeight="1" x14ac:dyDescent="0.25">
      <c r="T21104" s="135"/>
      <c r="U21104" s="135"/>
    </row>
    <row r="21105" spans="20:21" ht="15" customHeight="1" x14ac:dyDescent="0.25">
      <c r="T21105" s="135"/>
      <c r="U21105" s="135"/>
    </row>
    <row r="21106" spans="20:21" ht="15" customHeight="1" x14ac:dyDescent="0.25">
      <c r="T21106" s="135"/>
      <c r="U21106" s="135"/>
    </row>
    <row r="21107" spans="20:21" ht="15" customHeight="1" x14ac:dyDescent="0.25">
      <c r="T21107" s="135"/>
      <c r="U21107" s="135"/>
    </row>
    <row r="21108" spans="20:21" ht="15" customHeight="1" x14ac:dyDescent="0.25">
      <c r="T21108" s="135"/>
      <c r="U21108" s="135"/>
    </row>
    <row r="21109" spans="20:21" ht="15" customHeight="1" x14ac:dyDescent="0.25">
      <c r="T21109" s="135"/>
      <c r="U21109" s="135"/>
    </row>
    <row r="21110" spans="20:21" ht="15" customHeight="1" x14ac:dyDescent="0.25">
      <c r="T21110" s="135"/>
      <c r="U21110" s="135"/>
    </row>
    <row r="21111" spans="20:21" ht="15" customHeight="1" x14ac:dyDescent="0.25">
      <c r="T21111" s="135"/>
      <c r="U21111" s="135"/>
    </row>
    <row r="21112" spans="20:21" ht="15" customHeight="1" x14ac:dyDescent="0.25">
      <c r="T21112" s="135"/>
      <c r="U21112" s="135"/>
    </row>
    <row r="21113" spans="20:21" ht="15" customHeight="1" x14ac:dyDescent="0.25">
      <c r="T21113" s="135"/>
      <c r="U21113" s="135"/>
    </row>
    <row r="21114" spans="20:21" ht="15" customHeight="1" x14ac:dyDescent="0.25">
      <c r="T21114" s="135"/>
      <c r="U21114" s="135"/>
    </row>
    <row r="21115" spans="20:21" ht="15" customHeight="1" x14ac:dyDescent="0.25">
      <c r="T21115" s="135"/>
      <c r="U21115" s="135"/>
    </row>
    <row r="21116" spans="20:21" ht="15" customHeight="1" x14ac:dyDescent="0.25">
      <c r="T21116" s="135"/>
      <c r="U21116" s="135"/>
    </row>
    <row r="21117" spans="20:21" ht="15" customHeight="1" x14ac:dyDescent="0.25">
      <c r="T21117" s="135"/>
      <c r="U21117" s="135"/>
    </row>
    <row r="21118" spans="20:21" ht="15" customHeight="1" x14ac:dyDescent="0.25">
      <c r="T21118" s="135"/>
      <c r="U21118" s="135"/>
    </row>
    <row r="21119" spans="20:21" ht="15" customHeight="1" x14ac:dyDescent="0.25">
      <c r="T21119" s="135"/>
      <c r="U21119" s="135"/>
    </row>
    <row r="21120" spans="20:21" ht="15" customHeight="1" x14ac:dyDescent="0.25">
      <c r="T21120" s="135"/>
      <c r="U21120" s="135"/>
    </row>
    <row r="21121" spans="20:21" ht="15" customHeight="1" x14ac:dyDescent="0.25">
      <c r="T21121" s="135"/>
      <c r="U21121" s="135"/>
    </row>
    <row r="21122" spans="20:21" ht="15" customHeight="1" x14ac:dyDescent="0.25">
      <c r="T21122" s="135"/>
      <c r="U21122" s="135"/>
    </row>
    <row r="21123" spans="20:21" ht="15" customHeight="1" x14ac:dyDescent="0.25">
      <c r="T21123" s="135"/>
      <c r="U21123" s="135"/>
    </row>
    <row r="21124" spans="20:21" ht="15" customHeight="1" x14ac:dyDescent="0.25">
      <c r="T21124" s="135"/>
      <c r="U21124" s="135"/>
    </row>
    <row r="21125" spans="20:21" ht="15" customHeight="1" x14ac:dyDescent="0.25">
      <c r="T21125" s="135"/>
      <c r="U21125" s="135"/>
    </row>
    <row r="21126" spans="20:21" ht="15" customHeight="1" x14ac:dyDescent="0.25">
      <c r="T21126" s="135"/>
      <c r="U21126" s="135"/>
    </row>
    <row r="21127" spans="20:21" ht="15" customHeight="1" x14ac:dyDescent="0.25">
      <c r="T21127" s="135"/>
      <c r="U21127" s="135"/>
    </row>
    <row r="21128" spans="20:21" ht="15" customHeight="1" x14ac:dyDescent="0.25">
      <c r="T21128" s="135"/>
      <c r="U21128" s="135"/>
    </row>
    <row r="21129" spans="20:21" ht="15" customHeight="1" x14ac:dyDescent="0.25">
      <c r="T21129" s="135"/>
      <c r="U21129" s="135"/>
    </row>
    <row r="21130" spans="20:21" ht="15" customHeight="1" x14ac:dyDescent="0.25">
      <c r="T21130" s="135"/>
      <c r="U21130" s="135"/>
    </row>
    <row r="21131" spans="20:21" ht="15" customHeight="1" x14ac:dyDescent="0.25">
      <c r="T21131" s="135"/>
      <c r="U21131" s="135"/>
    </row>
    <row r="21132" spans="20:21" ht="15" customHeight="1" x14ac:dyDescent="0.25">
      <c r="T21132" s="135"/>
      <c r="U21132" s="135"/>
    </row>
    <row r="21133" spans="20:21" ht="15" customHeight="1" x14ac:dyDescent="0.25">
      <c r="T21133" s="135"/>
      <c r="U21133" s="135"/>
    </row>
    <row r="21134" spans="20:21" ht="15" customHeight="1" x14ac:dyDescent="0.25">
      <c r="T21134" s="135"/>
      <c r="U21134" s="135"/>
    </row>
    <row r="21135" spans="20:21" ht="15" customHeight="1" x14ac:dyDescent="0.25">
      <c r="T21135" s="135"/>
      <c r="U21135" s="135"/>
    </row>
    <row r="21136" spans="20:21" ht="15" customHeight="1" x14ac:dyDescent="0.25">
      <c r="T21136" s="135"/>
      <c r="U21136" s="135"/>
    </row>
    <row r="21137" spans="20:21" ht="15" customHeight="1" x14ac:dyDescent="0.25">
      <c r="T21137" s="135"/>
      <c r="U21137" s="135"/>
    </row>
    <row r="21138" spans="20:21" ht="15" customHeight="1" x14ac:dyDescent="0.25">
      <c r="T21138" s="135"/>
      <c r="U21138" s="135"/>
    </row>
    <row r="21139" spans="20:21" ht="15" customHeight="1" x14ac:dyDescent="0.25">
      <c r="T21139" s="135"/>
      <c r="U21139" s="135"/>
    </row>
    <row r="21140" spans="20:21" ht="15" customHeight="1" x14ac:dyDescent="0.25">
      <c r="T21140" s="135"/>
      <c r="U21140" s="135"/>
    </row>
    <row r="21141" spans="20:21" ht="15" customHeight="1" x14ac:dyDescent="0.25">
      <c r="T21141" s="135"/>
      <c r="U21141" s="135"/>
    </row>
    <row r="21142" spans="20:21" ht="15" customHeight="1" x14ac:dyDescent="0.25">
      <c r="T21142" s="135"/>
      <c r="U21142" s="135"/>
    </row>
    <row r="21143" spans="20:21" ht="15" customHeight="1" x14ac:dyDescent="0.25">
      <c r="T21143" s="135"/>
      <c r="U21143" s="135"/>
    </row>
    <row r="21144" spans="20:21" ht="15" customHeight="1" x14ac:dyDescent="0.25">
      <c r="T21144" s="135"/>
      <c r="U21144" s="135"/>
    </row>
    <row r="21145" spans="20:21" ht="15" customHeight="1" x14ac:dyDescent="0.25">
      <c r="T21145" s="135"/>
      <c r="U21145" s="135"/>
    </row>
    <row r="21146" spans="20:21" ht="15" customHeight="1" x14ac:dyDescent="0.25">
      <c r="T21146" s="135"/>
      <c r="U21146" s="135"/>
    </row>
    <row r="21147" spans="20:21" ht="15" customHeight="1" x14ac:dyDescent="0.25">
      <c r="T21147" s="135"/>
      <c r="U21147" s="135"/>
    </row>
    <row r="21148" spans="20:21" ht="15" customHeight="1" x14ac:dyDescent="0.25">
      <c r="T21148" s="135"/>
      <c r="U21148" s="135"/>
    </row>
    <row r="21149" spans="20:21" ht="15" customHeight="1" x14ac:dyDescent="0.25">
      <c r="T21149" s="135"/>
      <c r="U21149" s="135"/>
    </row>
    <row r="21150" spans="20:21" ht="15" customHeight="1" x14ac:dyDescent="0.25">
      <c r="T21150" s="135"/>
      <c r="U21150" s="135"/>
    </row>
    <row r="21151" spans="20:21" ht="15" customHeight="1" x14ac:dyDescent="0.25">
      <c r="T21151" s="135"/>
      <c r="U21151" s="135"/>
    </row>
    <row r="21152" spans="20:21" ht="15" customHeight="1" x14ac:dyDescent="0.25">
      <c r="T21152" s="135"/>
      <c r="U21152" s="135"/>
    </row>
    <row r="21153" spans="20:21" ht="15" customHeight="1" x14ac:dyDescent="0.25">
      <c r="T21153" s="135"/>
      <c r="U21153" s="135"/>
    </row>
    <row r="21154" spans="20:21" ht="15" customHeight="1" x14ac:dyDescent="0.25">
      <c r="T21154" s="135"/>
      <c r="U21154" s="135"/>
    </row>
    <row r="21155" spans="20:21" ht="15" customHeight="1" x14ac:dyDescent="0.25">
      <c r="T21155" s="135"/>
      <c r="U21155" s="135"/>
    </row>
    <row r="21156" spans="20:21" ht="15" customHeight="1" x14ac:dyDescent="0.25">
      <c r="T21156" s="135"/>
      <c r="U21156" s="135"/>
    </row>
    <row r="21157" spans="20:21" ht="15" customHeight="1" x14ac:dyDescent="0.25">
      <c r="T21157" s="135"/>
      <c r="U21157" s="135"/>
    </row>
    <row r="21158" spans="20:21" ht="15" customHeight="1" x14ac:dyDescent="0.25">
      <c r="T21158" s="135"/>
      <c r="U21158" s="135"/>
    </row>
    <row r="21159" spans="20:21" ht="15" customHeight="1" x14ac:dyDescent="0.25">
      <c r="T21159" s="135"/>
      <c r="U21159" s="135"/>
    </row>
    <row r="21160" spans="20:21" ht="15" customHeight="1" x14ac:dyDescent="0.25">
      <c r="T21160" s="135"/>
      <c r="U21160" s="135"/>
    </row>
    <row r="21161" spans="20:21" ht="15" customHeight="1" x14ac:dyDescent="0.25">
      <c r="T21161" s="135"/>
      <c r="U21161" s="135"/>
    </row>
    <row r="21162" spans="20:21" ht="15" customHeight="1" x14ac:dyDescent="0.25">
      <c r="T21162" s="135"/>
      <c r="U21162" s="135"/>
    </row>
    <row r="21163" spans="20:21" ht="15" customHeight="1" x14ac:dyDescent="0.25">
      <c r="T21163" s="135"/>
      <c r="U21163" s="135"/>
    </row>
    <row r="21164" spans="20:21" ht="15" customHeight="1" x14ac:dyDescent="0.25">
      <c r="T21164" s="135"/>
      <c r="U21164" s="135"/>
    </row>
    <row r="21165" spans="20:21" ht="15" customHeight="1" x14ac:dyDescent="0.25">
      <c r="T21165" s="135"/>
      <c r="U21165" s="135"/>
    </row>
    <row r="21166" spans="20:21" ht="15" customHeight="1" x14ac:dyDescent="0.25">
      <c r="T21166" s="135"/>
      <c r="U21166" s="135"/>
    </row>
    <row r="21167" spans="20:21" ht="15" customHeight="1" x14ac:dyDescent="0.25">
      <c r="T21167" s="135"/>
      <c r="U21167" s="135"/>
    </row>
    <row r="21168" spans="20:21" ht="15" customHeight="1" x14ac:dyDescent="0.25">
      <c r="T21168" s="135"/>
      <c r="U21168" s="135"/>
    </row>
    <row r="21169" spans="20:21" ht="15" customHeight="1" x14ac:dyDescent="0.25">
      <c r="T21169" s="135"/>
      <c r="U21169" s="135"/>
    </row>
    <row r="21170" spans="20:21" ht="15" customHeight="1" x14ac:dyDescent="0.25">
      <c r="T21170" s="135"/>
      <c r="U21170" s="135"/>
    </row>
    <row r="21171" spans="20:21" ht="15" customHeight="1" x14ac:dyDescent="0.25">
      <c r="T21171" s="135"/>
      <c r="U21171" s="135"/>
    </row>
    <row r="21172" spans="20:21" ht="15" customHeight="1" x14ac:dyDescent="0.25">
      <c r="T21172" s="135"/>
      <c r="U21172" s="135"/>
    </row>
    <row r="21173" spans="20:21" ht="15" customHeight="1" x14ac:dyDescent="0.25">
      <c r="T21173" s="135"/>
      <c r="U21173" s="135"/>
    </row>
    <row r="21174" spans="20:21" ht="15" customHeight="1" x14ac:dyDescent="0.25">
      <c r="T21174" s="135"/>
      <c r="U21174" s="135"/>
    </row>
    <row r="21175" spans="20:21" ht="15" customHeight="1" x14ac:dyDescent="0.25">
      <c r="T21175" s="135"/>
      <c r="U21175" s="135"/>
    </row>
    <row r="21176" spans="20:21" ht="15" customHeight="1" x14ac:dyDescent="0.25">
      <c r="T21176" s="135"/>
      <c r="U21176" s="135"/>
    </row>
    <row r="21177" spans="20:21" ht="15" customHeight="1" x14ac:dyDescent="0.25">
      <c r="T21177" s="135"/>
      <c r="U21177" s="135"/>
    </row>
    <row r="21178" spans="20:21" ht="15" customHeight="1" x14ac:dyDescent="0.25">
      <c r="T21178" s="135"/>
      <c r="U21178" s="135"/>
    </row>
    <row r="21179" spans="20:21" ht="15" customHeight="1" x14ac:dyDescent="0.25">
      <c r="T21179" s="135"/>
      <c r="U21179" s="135"/>
    </row>
    <row r="21180" spans="20:21" ht="15" customHeight="1" x14ac:dyDescent="0.25">
      <c r="T21180" s="135"/>
      <c r="U21180" s="135"/>
    </row>
    <row r="21181" spans="20:21" ht="15" customHeight="1" x14ac:dyDescent="0.25">
      <c r="T21181" s="135"/>
      <c r="U21181" s="135"/>
    </row>
    <row r="21182" spans="20:21" ht="15" customHeight="1" x14ac:dyDescent="0.25">
      <c r="T21182" s="135"/>
      <c r="U21182" s="135"/>
    </row>
    <row r="21183" spans="20:21" ht="15" customHeight="1" x14ac:dyDescent="0.25">
      <c r="T21183" s="135"/>
      <c r="U21183" s="135"/>
    </row>
    <row r="21184" spans="20:21" ht="15" customHeight="1" x14ac:dyDescent="0.25">
      <c r="T21184" s="135"/>
      <c r="U21184" s="135"/>
    </row>
    <row r="21185" spans="20:21" ht="15" customHeight="1" x14ac:dyDescent="0.25">
      <c r="T21185" s="135"/>
      <c r="U21185" s="135"/>
    </row>
    <row r="21186" spans="20:21" ht="15" customHeight="1" x14ac:dyDescent="0.25">
      <c r="T21186" s="135"/>
      <c r="U21186" s="135"/>
    </row>
    <row r="21187" spans="20:21" ht="15" customHeight="1" x14ac:dyDescent="0.25">
      <c r="T21187" s="135"/>
      <c r="U21187" s="135"/>
    </row>
    <row r="21188" spans="20:21" ht="15" customHeight="1" x14ac:dyDescent="0.25">
      <c r="T21188" s="135"/>
      <c r="U21188" s="135"/>
    </row>
    <row r="21189" spans="20:21" ht="15" customHeight="1" x14ac:dyDescent="0.25">
      <c r="T21189" s="135"/>
      <c r="U21189" s="135"/>
    </row>
    <row r="21190" spans="20:21" ht="15" customHeight="1" x14ac:dyDescent="0.25">
      <c r="T21190" s="135"/>
      <c r="U21190" s="135"/>
    </row>
    <row r="21191" spans="20:21" ht="15" customHeight="1" x14ac:dyDescent="0.25">
      <c r="T21191" s="135"/>
      <c r="U21191" s="135"/>
    </row>
    <row r="21192" spans="20:21" ht="15" customHeight="1" x14ac:dyDescent="0.25">
      <c r="T21192" s="135"/>
      <c r="U21192" s="135"/>
    </row>
    <row r="21193" spans="20:21" ht="15" customHeight="1" x14ac:dyDescent="0.25">
      <c r="T21193" s="135"/>
      <c r="U21193" s="135"/>
    </row>
    <row r="21194" spans="20:21" ht="15" customHeight="1" x14ac:dyDescent="0.25">
      <c r="T21194" s="135"/>
      <c r="U21194" s="135"/>
    </row>
    <row r="21195" spans="20:21" ht="15" customHeight="1" x14ac:dyDescent="0.25">
      <c r="T21195" s="135"/>
      <c r="U21195" s="135"/>
    </row>
    <row r="21196" spans="20:21" ht="15" customHeight="1" x14ac:dyDescent="0.25">
      <c r="T21196" s="135"/>
      <c r="U21196" s="135"/>
    </row>
    <row r="21197" spans="20:21" ht="15" customHeight="1" x14ac:dyDescent="0.25">
      <c r="T21197" s="135"/>
      <c r="U21197" s="135"/>
    </row>
    <row r="21198" spans="20:21" ht="15" customHeight="1" x14ac:dyDescent="0.25">
      <c r="T21198" s="135"/>
      <c r="U21198" s="135"/>
    </row>
    <row r="21199" spans="20:21" ht="15" customHeight="1" x14ac:dyDescent="0.25">
      <c r="T21199" s="135"/>
      <c r="U21199" s="135"/>
    </row>
    <row r="21200" spans="20:21" ht="15" customHeight="1" x14ac:dyDescent="0.25">
      <c r="T21200" s="135"/>
      <c r="U21200" s="135"/>
    </row>
    <row r="21201" spans="20:21" ht="15" customHeight="1" x14ac:dyDescent="0.25">
      <c r="T21201" s="135"/>
      <c r="U21201" s="135"/>
    </row>
    <row r="21202" spans="20:21" ht="15" customHeight="1" x14ac:dyDescent="0.25">
      <c r="T21202" s="135"/>
      <c r="U21202" s="135"/>
    </row>
    <row r="21203" spans="20:21" ht="15" customHeight="1" x14ac:dyDescent="0.25">
      <c r="T21203" s="135"/>
      <c r="U21203" s="135"/>
    </row>
    <row r="21204" spans="20:21" ht="15" customHeight="1" x14ac:dyDescent="0.25">
      <c r="T21204" s="135"/>
      <c r="U21204" s="135"/>
    </row>
    <row r="21205" spans="20:21" ht="15" customHeight="1" x14ac:dyDescent="0.25">
      <c r="T21205" s="135"/>
      <c r="U21205" s="135"/>
    </row>
    <row r="21206" spans="20:21" ht="15" customHeight="1" x14ac:dyDescent="0.25">
      <c r="T21206" s="135"/>
      <c r="U21206" s="135"/>
    </row>
    <row r="21207" spans="20:21" ht="15" customHeight="1" x14ac:dyDescent="0.25">
      <c r="T21207" s="135"/>
      <c r="U21207" s="135"/>
    </row>
    <row r="21208" spans="20:21" ht="15" customHeight="1" x14ac:dyDescent="0.25">
      <c r="T21208" s="135"/>
      <c r="U21208" s="135"/>
    </row>
    <row r="21209" spans="20:21" ht="15" customHeight="1" x14ac:dyDescent="0.25">
      <c r="T21209" s="135"/>
      <c r="U21209" s="135"/>
    </row>
    <row r="21210" spans="20:21" ht="15" customHeight="1" x14ac:dyDescent="0.25">
      <c r="T21210" s="135"/>
      <c r="U21210" s="135"/>
    </row>
    <row r="21211" spans="20:21" ht="15" customHeight="1" x14ac:dyDescent="0.25">
      <c r="T21211" s="135"/>
      <c r="U21211" s="135"/>
    </row>
    <row r="21212" spans="20:21" ht="15" customHeight="1" x14ac:dyDescent="0.25">
      <c r="T21212" s="135"/>
      <c r="U21212" s="135"/>
    </row>
    <row r="21213" spans="20:21" ht="15" customHeight="1" x14ac:dyDescent="0.25">
      <c r="T21213" s="135"/>
      <c r="U21213" s="135"/>
    </row>
    <row r="21214" spans="20:21" ht="15" customHeight="1" x14ac:dyDescent="0.25">
      <c r="T21214" s="135"/>
      <c r="U21214" s="135"/>
    </row>
    <row r="21215" spans="20:21" ht="15" customHeight="1" x14ac:dyDescent="0.25">
      <c r="T21215" s="135"/>
      <c r="U21215" s="135"/>
    </row>
    <row r="21216" spans="20:21" ht="15" customHeight="1" x14ac:dyDescent="0.25">
      <c r="T21216" s="135"/>
      <c r="U21216" s="135"/>
    </row>
    <row r="21217" spans="20:21" ht="15" customHeight="1" x14ac:dyDescent="0.25">
      <c r="T21217" s="135"/>
      <c r="U21217" s="135"/>
    </row>
    <row r="21218" spans="20:21" ht="15" customHeight="1" x14ac:dyDescent="0.25">
      <c r="T21218" s="135"/>
      <c r="U21218" s="135"/>
    </row>
    <row r="21219" spans="20:21" ht="15" customHeight="1" x14ac:dyDescent="0.25">
      <c r="T21219" s="135"/>
      <c r="U21219" s="135"/>
    </row>
    <row r="21220" spans="20:21" ht="15" customHeight="1" x14ac:dyDescent="0.25">
      <c r="T21220" s="135"/>
      <c r="U21220" s="135"/>
    </row>
    <row r="21221" spans="20:21" ht="15" customHeight="1" x14ac:dyDescent="0.25">
      <c r="T21221" s="135"/>
      <c r="U21221" s="135"/>
    </row>
    <row r="21222" spans="20:21" ht="15" customHeight="1" x14ac:dyDescent="0.25">
      <c r="T21222" s="135"/>
      <c r="U21222" s="135"/>
    </row>
    <row r="21223" spans="20:21" ht="15" customHeight="1" x14ac:dyDescent="0.25">
      <c r="T21223" s="135"/>
      <c r="U21223" s="135"/>
    </row>
    <row r="21224" spans="20:21" ht="15" customHeight="1" x14ac:dyDescent="0.25">
      <c r="T21224" s="135"/>
      <c r="U21224" s="135"/>
    </row>
    <row r="21225" spans="20:21" ht="15" customHeight="1" x14ac:dyDescent="0.25">
      <c r="T21225" s="135"/>
      <c r="U21225" s="135"/>
    </row>
    <row r="21226" spans="20:21" ht="15" customHeight="1" x14ac:dyDescent="0.25">
      <c r="T21226" s="135"/>
      <c r="U21226" s="135"/>
    </row>
    <row r="21227" spans="20:21" ht="15" customHeight="1" x14ac:dyDescent="0.25">
      <c r="T21227" s="135"/>
      <c r="U21227" s="135"/>
    </row>
    <row r="21228" spans="20:21" ht="15" customHeight="1" x14ac:dyDescent="0.25">
      <c r="T21228" s="135"/>
      <c r="U21228" s="135"/>
    </row>
    <row r="21229" spans="20:21" ht="15" customHeight="1" x14ac:dyDescent="0.25">
      <c r="T21229" s="135"/>
      <c r="U21229" s="135"/>
    </row>
    <row r="21230" spans="20:21" ht="15" customHeight="1" x14ac:dyDescent="0.25">
      <c r="T21230" s="135"/>
      <c r="U21230" s="135"/>
    </row>
    <row r="21231" spans="20:21" ht="15" customHeight="1" x14ac:dyDescent="0.25">
      <c r="T21231" s="135"/>
      <c r="U21231" s="135"/>
    </row>
    <row r="21232" spans="20:21" ht="15" customHeight="1" x14ac:dyDescent="0.25">
      <c r="T21232" s="135"/>
      <c r="U21232" s="135"/>
    </row>
    <row r="21233" spans="20:21" ht="15" customHeight="1" x14ac:dyDescent="0.25">
      <c r="T21233" s="135"/>
      <c r="U21233" s="135"/>
    </row>
    <row r="21234" spans="20:21" ht="15" customHeight="1" x14ac:dyDescent="0.25">
      <c r="T21234" s="135"/>
      <c r="U21234" s="135"/>
    </row>
    <row r="21235" spans="20:21" ht="15" customHeight="1" x14ac:dyDescent="0.25">
      <c r="T21235" s="135"/>
      <c r="U21235" s="135"/>
    </row>
    <row r="21236" spans="20:21" ht="15" customHeight="1" x14ac:dyDescent="0.25">
      <c r="T21236" s="135"/>
      <c r="U21236" s="135"/>
    </row>
    <row r="21237" spans="20:21" ht="15" customHeight="1" x14ac:dyDescent="0.25">
      <c r="T21237" s="135"/>
      <c r="U21237" s="135"/>
    </row>
    <row r="21238" spans="20:21" ht="15" customHeight="1" x14ac:dyDescent="0.25">
      <c r="T21238" s="135"/>
      <c r="U21238" s="135"/>
    </row>
    <row r="21239" spans="20:21" ht="15" customHeight="1" x14ac:dyDescent="0.25">
      <c r="T21239" s="135"/>
      <c r="U21239" s="135"/>
    </row>
    <row r="21240" spans="20:21" ht="15" customHeight="1" x14ac:dyDescent="0.25">
      <c r="T21240" s="135"/>
      <c r="U21240" s="135"/>
    </row>
    <row r="21241" spans="20:21" ht="15" customHeight="1" x14ac:dyDescent="0.25">
      <c r="T21241" s="135"/>
      <c r="U21241" s="135"/>
    </row>
    <row r="21242" spans="20:21" ht="15" customHeight="1" x14ac:dyDescent="0.25">
      <c r="T21242" s="135"/>
      <c r="U21242" s="135"/>
    </row>
    <row r="21243" spans="20:21" ht="15" customHeight="1" x14ac:dyDescent="0.25">
      <c r="T21243" s="135"/>
      <c r="U21243" s="135"/>
    </row>
    <row r="21244" spans="20:21" ht="15" customHeight="1" x14ac:dyDescent="0.25">
      <c r="T21244" s="135"/>
      <c r="U21244" s="135"/>
    </row>
    <row r="21245" spans="20:21" ht="15" customHeight="1" x14ac:dyDescent="0.25">
      <c r="T21245" s="135"/>
      <c r="U21245" s="135"/>
    </row>
    <row r="21246" spans="20:21" ht="15" customHeight="1" x14ac:dyDescent="0.25">
      <c r="T21246" s="135"/>
      <c r="U21246" s="135"/>
    </row>
    <row r="21247" spans="20:21" ht="15" customHeight="1" x14ac:dyDescent="0.25">
      <c r="T21247" s="135"/>
      <c r="U21247" s="135"/>
    </row>
    <row r="21248" spans="20:21" ht="15" customHeight="1" x14ac:dyDescent="0.25">
      <c r="T21248" s="135"/>
      <c r="U21248" s="135"/>
    </row>
    <row r="21249" spans="20:21" ht="15" customHeight="1" x14ac:dyDescent="0.25">
      <c r="T21249" s="135"/>
      <c r="U21249" s="135"/>
    </row>
    <row r="21250" spans="20:21" ht="15" customHeight="1" x14ac:dyDescent="0.25">
      <c r="T21250" s="135"/>
      <c r="U21250" s="135"/>
    </row>
    <row r="21251" spans="20:21" ht="15" customHeight="1" x14ac:dyDescent="0.25">
      <c r="T21251" s="135"/>
      <c r="U21251" s="135"/>
    </row>
    <row r="21252" spans="20:21" ht="15" customHeight="1" x14ac:dyDescent="0.25">
      <c r="T21252" s="135"/>
      <c r="U21252" s="135"/>
    </row>
    <row r="21253" spans="20:21" ht="15" customHeight="1" x14ac:dyDescent="0.25">
      <c r="T21253" s="135"/>
      <c r="U21253" s="135"/>
    </row>
    <row r="21254" spans="20:21" ht="15" customHeight="1" x14ac:dyDescent="0.25">
      <c r="T21254" s="135"/>
      <c r="U21254" s="135"/>
    </row>
    <row r="21255" spans="20:21" ht="15" customHeight="1" x14ac:dyDescent="0.25">
      <c r="T21255" s="135"/>
      <c r="U21255" s="135"/>
    </row>
    <row r="21256" spans="20:21" ht="15" customHeight="1" x14ac:dyDescent="0.25">
      <c r="T21256" s="135"/>
      <c r="U21256" s="135"/>
    </row>
    <row r="21257" spans="20:21" ht="15" customHeight="1" x14ac:dyDescent="0.25">
      <c r="T21257" s="135"/>
      <c r="U21257" s="135"/>
    </row>
    <row r="21258" spans="20:21" ht="15" customHeight="1" x14ac:dyDescent="0.25">
      <c r="T21258" s="135"/>
      <c r="U21258" s="135"/>
    </row>
    <row r="21259" spans="20:21" ht="15" customHeight="1" x14ac:dyDescent="0.25">
      <c r="T21259" s="135"/>
      <c r="U21259" s="135"/>
    </row>
    <row r="21260" spans="20:21" ht="15" customHeight="1" x14ac:dyDescent="0.25">
      <c r="T21260" s="135"/>
      <c r="U21260" s="135"/>
    </row>
    <row r="21261" spans="20:21" ht="15" customHeight="1" x14ac:dyDescent="0.25">
      <c r="T21261" s="135"/>
      <c r="U21261" s="135"/>
    </row>
    <row r="21262" spans="20:21" ht="15" customHeight="1" x14ac:dyDescent="0.25">
      <c r="T21262" s="135"/>
      <c r="U21262" s="135"/>
    </row>
    <row r="21263" spans="20:21" ht="15" customHeight="1" x14ac:dyDescent="0.25">
      <c r="T21263" s="135"/>
      <c r="U21263" s="135"/>
    </row>
    <row r="21264" spans="20:21" ht="15" customHeight="1" x14ac:dyDescent="0.25">
      <c r="T21264" s="135"/>
      <c r="U21264" s="135"/>
    </row>
    <row r="21265" spans="20:21" ht="15" customHeight="1" x14ac:dyDescent="0.25">
      <c r="T21265" s="135"/>
      <c r="U21265" s="135"/>
    </row>
    <row r="21266" spans="20:21" ht="15" customHeight="1" x14ac:dyDescent="0.25">
      <c r="T21266" s="135"/>
      <c r="U21266" s="135"/>
    </row>
    <row r="21267" spans="20:21" ht="15" customHeight="1" x14ac:dyDescent="0.25">
      <c r="T21267" s="135"/>
      <c r="U21267" s="135"/>
    </row>
    <row r="21268" spans="20:21" ht="15" customHeight="1" x14ac:dyDescent="0.25">
      <c r="T21268" s="135"/>
      <c r="U21268" s="135"/>
    </row>
    <row r="21269" spans="20:21" ht="15" customHeight="1" x14ac:dyDescent="0.25">
      <c r="T21269" s="135"/>
      <c r="U21269" s="135"/>
    </row>
    <row r="21270" spans="20:21" ht="15" customHeight="1" x14ac:dyDescent="0.25">
      <c r="T21270" s="135"/>
      <c r="U21270" s="135"/>
    </row>
    <row r="21271" spans="20:21" ht="15" customHeight="1" x14ac:dyDescent="0.25">
      <c r="T21271" s="135"/>
      <c r="U21271" s="135"/>
    </row>
    <row r="21272" spans="20:21" ht="15" customHeight="1" x14ac:dyDescent="0.25">
      <c r="T21272" s="135"/>
      <c r="U21272" s="135"/>
    </row>
    <row r="21273" spans="20:21" ht="15" customHeight="1" x14ac:dyDescent="0.25">
      <c r="T21273" s="135"/>
      <c r="U21273" s="135"/>
    </row>
    <row r="21274" spans="20:21" ht="15" customHeight="1" x14ac:dyDescent="0.25">
      <c r="T21274" s="135"/>
      <c r="U21274" s="135"/>
    </row>
    <row r="21275" spans="20:21" ht="15" customHeight="1" x14ac:dyDescent="0.25">
      <c r="T21275" s="135"/>
      <c r="U21275" s="135"/>
    </row>
    <row r="21276" spans="20:21" ht="15" customHeight="1" x14ac:dyDescent="0.25">
      <c r="T21276" s="135"/>
      <c r="U21276" s="135"/>
    </row>
    <row r="21277" spans="20:21" ht="15" customHeight="1" x14ac:dyDescent="0.25">
      <c r="T21277" s="135"/>
      <c r="U21277" s="135"/>
    </row>
    <row r="21278" spans="20:21" ht="15" customHeight="1" x14ac:dyDescent="0.25">
      <c r="T21278" s="135"/>
      <c r="U21278" s="135"/>
    </row>
    <row r="21279" spans="20:21" ht="15" customHeight="1" x14ac:dyDescent="0.25">
      <c r="T21279" s="135"/>
      <c r="U21279" s="135"/>
    </row>
    <row r="21280" spans="20:21" ht="15" customHeight="1" x14ac:dyDescent="0.25">
      <c r="T21280" s="135"/>
      <c r="U21280" s="135"/>
    </row>
    <row r="21281" spans="20:21" ht="15" customHeight="1" x14ac:dyDescent="0.25">
      <c r="T21281" s="135"/>
      <c r="U21281" s="135"/>
    </row>
    <row r="21282" spans="20:21" ht="15" customHeight="1" x14ac:dyDescent="0.25">
      <c r="T21282" s="135"/>
      <c r="U21282" s="135"/>
    </row>
    <row r="21283" spans="20:21" ht="15" customHeight="1" x14ac:dyDescent="0.25">
      <c r="T21283" s="135"/>
      <c r="U21283" s="135"/>
    </row>
    <row r="21284" spans="20:21" ht="15" customHeight="1" x14ac:dyDescent="0.25">
      <c r="T21284" s="135"/>
      <c r="U21284" s="135"/>
    </row>
    <row r="21285" spans="20:21" ht="15" customHeight="1" x14ac:dyDescent="0.25">
      <c r="T21285" s="135"/>
      <c r="U21285" s="135"/>
    </row>
    <row r="21286" spans="20:21" ht="15" customHeight="1" x14ac:dyDescent="0.25">
      <c r="T21286" s="135"/>
      <c r="U21286" s="135"/>
    </row>
    <row r="21287" spans="20:21" ht="15" customHeight="1" x14ac:dyDescent="0.25">
      <c r="T21287" s="135"/>
      <c r="U21287" s="135"/>
    </row>
    <row r="21288" spans="20:21" ht="15" customHeight="1" x14ac:dyDescent="0.25">
      <c r="T21288" s="135"/>
      <c r="U21288" s="135"/>
    </row>
    <row r="21289" spans="20:21" ht="15" customHeight="1" x14ac:dyDescent="0.25">
      <c r="T21289" s="135"/>
      <c r="U21289" s="135"/>
    </row>
    <row r="21290" spans="20:21" ht="15" customHeight="1" x14ac:dyDescent="0.25">
      <c r="T21290" s="135"/>
      <c r="U21290" s="135"/>
    </row>
    <row r="21291" spans="20:21" ht="15" customHeight="1" x14ac:dyDescent="0.25">
      <c r="T21291" s="135"/>
      <c r="U21291" s="135"/>
    </row>
    <row r="21292" spans="20:21" ht="15" customHeight="1" x14ac:dyDescent="0.25">
      <c r="T21292" s="135"/>
      <c r="U21292" s="135"/>
    </row>
    <row r="21293" spans="20:21" ht="15" customHeight="1" x14ac:dyDescent="0.25">
      <c r="T21293" s="135"/>
      <c r="U21293" s="135"/>
    </row>
    <row r="21294" spans="20:21" ht="15" customHeight="1" x14ac:dyDescent="0.25">
      <c r="T21294" s="135"/>
      <c r="U21294" s="135"/>
    </row>
    <row r="21295" spans="20:21" ht="15" customHeight="1" x14ac:dyDescent="0.25">
      <c r="T21295" s="135"/>
      <c r="U21295" s="135"/>
    </row>
    <row r="21296" spans="20:21" ht="15" customHeight="1" x14ac:dyDescent="0.25">
      <c r="T21296" s="135"/>
      <c r="U21296" s="135"/>
    </row>
    <row r="21297" spans="20:21" ht="15" customHeight="1" x14ac:dyDescent="0.25">
      <c r="T21297" s="135"/>
      <c r="U21297" s="135"/>
    </row>
    <row r="21298" spans="20:21" ht="15" customHeight="1" x14ac:dyDescent="0.25">
      <c r="T21298" s="135"/>
      <c r="U21298" s="135"/>
    </row>
    <row r="21299" spans="20:21" ht="15" customHeight="1" x14ac:dyDescent="0.25">
      <c r="T21299" s="135"/>
      <c r="U21299" s="135"/>
    </row>
    <row r="21300" spans="20:21" ht="15" customHeight="1" x14ac:dyDescent="0.25">
      <c r="T21300" s="135"/>
      <c r="U21300" s="135"/>
    </row>
    <row r="21301" spans="20:21" ht="15" customHeight="1" x14ac:dyDescent="0.25">
      <c r="T21301" s="135"/>
      <c r="U21301" s="135"/>
    </row>
    <row r="21302" spans="20:21" ht="15" customHeight="1" x14ac:dyDescent="0.25">
      <c r="T21302" s="135"/>
      <c r="U21302" s="135"/>
    </row>
    <row r="21303" spans="20:21" ht="15" customHeight="1" x14ac:dyDescent="0.25">
      <c r="T21303" s="135"/>
      <c r="U21303" s="135"/>
    </row>
    <row r="21304" spans="20:21" ht="15" customHeight="1" x14ac:dyDescent="0.25">
      <c r="T21304" s="135"/>
      <c r="U21304" s="135"/>
    </row>
    <row r="21305" spans="20:21" ht="15" customHeight="1" x14ac:dyDescent="0.25">
      <c r="T21305" s="135"/>
      <c r="U21305" s="135"/>
    </row>
    <row r="21306" spans="20:21" ht="15" customHeight="1" x14ac:dyDescent="0.25">
      <c r="T21306" s="135"/>
      <c r="U21306" s="135"/>
    </row>
    <row r="21307" spans="20:21" ht="15" customHeight="1" x14ac:dyDescent="0.25">
      <c r="T21307" s="135"/>
      <c r="U21307" s="135"/>
    </row>
    <row r="21308" spans="20:21" ht="15" customHeight="1" x14ac:dyDescent="0.25">
      <c r="T21308" s="135"/>
      <c r="U21308" s="135"/>
    </row>
    <row r="21309" spans="20:21" ht="15" customHeight="1" x14ac:dyDescent="0.25">
      <c r="T21309" s="135"/>
      <c r="U21309" s="135"/>
    </row>
    <row r="21310" spans="20:21" ht="15" customHeight="1" x14ac:dyDescent="0.25">
      <c r="T21310" s="135"/>
      <c r="U21310" s="135"/>
    </row>
    <row r="21311" spans="20:21" ht="15" customHeight="1" x14ac:dyDescent="0.25">
      <c r="T21311" s="135"/>
      <c r="U21311" s="135"/>
    </row>
    <row r="21312" spans="20:21" ht="15" customHeight="1" x14ac:dyDescent="0.25">
      <c r="T21312" s="135"/>
      <c r="U21312" s="135"/>
    </row>
    <row r="21313" spans="20:21" ht="15" customHeight="1" x14ac:dyDescent="0.25">
      <c r="T21313" s="135"/>
      <c r="U21313" s="135"/>
    </row>
    <row r="21314" spans="20:21" ht="15" customHeight="1" x14ac:dyDescent="0.25">
      <c r="T21314" s="135"/>
      <c r="U21314" s="135"/>
    </row>
    <row r="21315" spans="20:21" ht="15" customHeight="1" x14ac:dyDescent="0.25">
      <c r="T21315" s="135"/>
      <c r="U21315" s="135"/>
    </row>
    <row r="21316" spans="20:21" ht="15" customHeight="1" x14ac:dyDescent="0.25">
      <c r="T21316" s="135"/>
      <c r="U21316" s="135"/>
    </row>
    <row r="21317" spans="20:21" ht="15" customHeight="1" x14ac:dyDescent="0.25">
      <c r="T21317" s="135"/>
      <c r="U21317" s="135"/>
    </row>
    <row r="21318" spans="20:21" ht="15" customHeight="1" x14ac:dyDescent="0.25">
      <c r="T21318" s="135"/>
      <c r="U21318" s="135"/>
    </row>
    <row r="21319" spans="20:21" ht="15" customHeight="1" x14ac:dyDescent="0.25">
      <c r="T21319" s="135"/>
      <c r="U21319" s="135"/>
    </row>
    <row r="21320" spans="20:21" ht="15" customHeight="1" x14ac:dyDescent="0.25">
      <c r="T21320" s="135"/>
      <c r="U21320" s="135"/>
    </row>
    <row r="21321" spans="20:21" ht="15" customHeight="1" x14ac:dyDescent="0.25">
      <c r="T21321" s="135"/>
      <c r="U21321" s="135"/>
    </row>
    <row r="21322" spans="20:21" ht="15" customHeight="1" x14ac:dyDescent="0.25">
      <c r="T21322" s="135"/>
      <c r="U21322" s="135"/>
    </row>
    <row r="21323" spans="20:21" ht="15" customHeight="1" x14ac:dyDescent="0.25">
      <c r="T21323" s="135"/>
      <c r="U21323" s="135"/>
    </row>
    <row r="21324" spans="20:21" ht="15" customHeight="1" x14ac:dyDescent="0.25">
      <c r="T21324" s="135"/>
      <c r="U21324" s="135"/>
    </row>
    <row r="21325" spans="20:21" ht="15" customHeight="1" x14ac:dyDescent="0.25">
      <c r="T21325" s="135"/>
      <c r="U21325" s="135"/>
    </row>
    <row r="21326" spans="20:21" ht="15" customHeight="1" x14ac:dyDescent="0.25">
      <c r="T21326" s="135"/>
      <c r="U21326" s="135"/>
    </row>
    <row r="21327" spans="20:21" ht="15" customHeight="1" x14ac:dyDescent="0.25">
      <c r="T21327" s="135"/>
      <c r="U21327" s="135"/>
    </row>
    <row r="21328" spans="20:21" ht="15" customHeight="1" x14ac:dyDescent="0.25">
      <c r="T21328" s="135"/>
      <c r="U21328" s="135"/>
    </row>
    <row r="21329" spans="20:21" ht="15" customHeight="1" x14ac:dyDescent="0.25">
      <c r="T21329" s="135"/>
      <c r="U21329" s="135"/>
    </row>
    <row r="21330" spans="20:21" ht="15" customHeight="1" x14ac:dyDescent="0.25">
      <c r="T21330" s="135"/>
      <c r="U21330" s="135"/>
    </row>
    <row r="21331" spans="20:21" ht="15" customHeight="1" x14ac:dyDescent="0.25">
      <c r="T21331" s="135"/>
      <c r="U21331" s="135"/>
    </row>
    <row r="21332" spans="20:21" ht="15" customHeight="1" x14ac:dyDescent="0.25">
      <c r="T21332" s="135"/>
      <c r="U21332" s="135"/>
    </row>
    <row r="21333" spans="20:21" ht="15" customHeight="1" x14ac:dyDescent="0.25">
      <c r="T21333" s="135"/>
      <c r="U21333" s="135"/>
    </row>
    <row r="21334" spans="20:21" ht="15" customHeight="1" x14ac:dyDescent="0.25">
      <c r="T21334" s="135"/>
      <c r="U21334" s="135"/>
    </row>
    <row r="21335" spans="20:21" ht="15" customHeight="1" x14ac:dyDescent="0.25">
      <c r="T21335" s="135"/>
      <c r="U21335" s="135"/>
    </row>
    <row r="21336" spans="20:21" ht="15" customHeight="1" x14ac:dyDescent="0.25">
      <c r="T21336" s="135"/>
      <c r="U21336" s="135"/>
    </row>
    <row r="21337" spans="20:21" ht="15" customHeight="1" x14ac:dyDescent="0.25">
      <c r="T21337" s="135"/>
      <c r="U21337" s="135"/>
    </row>
    <row r="21338" spans="20:21" ht="15" customHeight="1" x14ac:dyDescent="0.25">
      <c r="T21338" s="135"/>
      <c r="U21338" s="135"/>
    </row>
    <row r="21339" spans="20:21" ht="15" customHeight="1" x14ac:dyDescent="0.25">
      <c r="T21339" s="135"/>
      <c r="U21339" s="135"/>
    </row>
    <row r="21340" spans="20:21" ht="15" customHeight="1" x14ac:dyDescent="0.25">
      <c r="T21340" s="135"/>
      <c r="U21340" s="135"/>
    </row>
    <row r="21341" spans="20:21" ht="15" customHeight="1" x14ac:dyDescent="0.25">
      <c r="T21341" s="135"/>
      <c r="U21341" s="135"/>
    </row>
    <row r="21342" spans="20:21" ht="15" customHeight="1" x14ac:dyDescent="0.25">
      <c r="T21342" s="135"/>
      <c r="U21342" s="135"/>
    </row>
    <row r="21343" spans="20:21" ht="15" customHeight="1" x14ac:dyDescent="0.25">
      <c r="T21343" s="135"/>
      <c r="U21343" s="135"/>
    </row>
    <row r="21344" spans="20:21" ht="15" customHeight="1" x14ac:dyDescent="0.25">
      <c r="T21344" s="135"/>
      <c r="U21344" s="135"/>
    </row>
    <row r="21345" spans="20:21" ht="15" customHeight="1" x14ac:dyDescent="0.25">
      <c r="T21345" s="135"/>
      <c r="U21345" s="135"/>
    </row>
    <row r="21346" spans="20:21" ht="15" customHeight="1" x14ac:dyDescent="0.25">
      <c r="T21346" s="135"/>
      <c r="U21346" s="135"/>
    </row>
    <row r="21347" spans="20:21" ht="15" customHeight="1" x14ac:dyDescent="0.25">
      <c r="T21347" s="135"/>
      <c r="U21347" s="135"/>
    </row>
    <row r="21348" spans="20:21" ht="15" customHeight="1" x14ac:dyDescent="0.25">
      <c r="T21348" s="135"/>
      <c r="U21348" s="135"/>
    </row>
    <row r="21349" spans="20:21" ht="15" customHeight="1" x14ac:dyDescent="0.25">
      <c r="T21349" s="135"/>
      <c r="U21349" s="135"/>
    </row>
    <row r="21350" spans="20:21" ht="15" customHeight="1" x14ac:dyDescent="0.25">
      <c r="T21350" s="135"/>
      <c r="U21350" s="135"/>
    </row>
    <row r="21351" spans="20:21" ht="15" customHeight="1" x14ac:dyDescent="0.25">
      <c r="T21351" s="135"/>
      <c r="U21351" s="135"/>
    </row>
    <row r="21352" spans="20:21" ht="15" customHeight="1" x14ac:dyDescent="0.25">
      <c r="T21352" s="135"/>
      <c r="U21352" s="135"/>
    </row>
    <row r="21353" spans="20:21" ht="15" customHeight="1" x14ac:dyDescent="0.25">
      <c r="T21353" s="135"/>
      <c r="U21353" s="135"/>
    </row>
    <row r="21354" spans="20:21" ht="15" customHeight="1" x14ac:dyDescent="0.25">
      <c r="T21354" s="135"/>
      <c r="U21354" s="135"/>
    </row>
    <row r="21355" spans="20:21" ht="15" customHeight="1" x14ac:dyDescent="0.25">
      <c r="T21355" s="135"/>
      <c r="U21355" s="135"/>
    </row>
    <row r="21356" spans="20:21" ht="15" customHeight="1" x14ac:dyDescent="0.25">
      <c r="T21356" s="135"/>
      <c r="U21356" s="135"/>
    </row>
    <row r="21357" spans="20:21" ht="15" customHeight="1" x14ac:dyDescent="0.25">
      <c r="T21357" s="135"/>
      <c r="U21357" s="135"/>
    </row>
    <row r="21358" spans="20:21" ht="15" customHeight="1" x14ac:dyDescent="0.25">
      <c r="T21358" s="135"/>
      <c r="U21358" s="135"/>
    </row>
    <row r="21359" spans="20:21" ht="15" customHeight="1" x14ac:dyDescent="0.25">
      <c r="T21359" s="135"/>
      <c r="U21359" s="135"/>
    </row>
    <row r="21360" spans="20:21" ht="15" customHeight="1" x14ac:dyDescent="0.25">
      <c r="T21360" s="135"/>
      <c r="U21360" s="135"/>
    </row>
    <row r="21361" spans="20:21" ht="15" customHeight="1" x14ac:dyDescent="0.25">
      <c r="T21361" s="135"/>
      <c r="U21361" s="135"/>
    </row>
    <row r="21362" spans="20:21" ht="15" customHeight="1" x14ac:dyDescent="0.25">
      <c r="T21362" s="135"/>
      <c r="U21362" s="135"/>
    </row>
    <row r="21363" spans="20:21" ht="15" customHeight="1" x14ac:dyDescent="0.25">
      <c r="T21363" s="135"/>
      <c r="U21363" s="135"/>
    </row>
    <row r="21364" spans="20:21" ht="15" customHeight="1" x14ac:dyDescent="0.25">
      <c r="T21364" s="135"/>
      <c r="U21364" s="135"/>
    </row>
    <row r="21365" spans="20:21" ht="15" customHeight="1" x14ac:dyDescent="0.25">
      <c r="T21365" s="135"/>
      <c r="U21365" s="135"/>
    </row>
    <row r="21366" spans="20:21" ht="15" customHeight="1" x14ac:dyDescent="0.25">
      <c r="T21366" s="135"/>
      <c r="U21366" s="135"/>
    </row>
    <row r="21367" spans="20:21" ht="15" customHeight="1" x14ac:dyDescent="0.25">
      <c r="T21367" s="135"/>
      <c r="U21367" s="135"/>
    </row>
    <row r="21368" spans="20:21" ht="15" customHeight="1" x14ac:dyDescent="0.25">
      <c r="T21368" s="135"/>
      <c r="U21368" s="135"/>
    </row>
    <row r="21369" spans="20:21" ht="15" customHeight="1" x14ac:dyDescent="0.25">
      <c r="T21369" s="135"/>
      <c r="U21369" s="135"/>
    </row>
    <row r="21370" spans="20:21" ht="15" customHeight="1" x14ac:dyDescent="0.25">
      <c r="T21370" s="135"/>
      <c r="U21370" s="135"/>
    </row>
    <row r="21371" spans="20:21" ht="15" customHeight="1" x14ac:dyDescent="0.25">
      <c r="T21371" s="135"/>
      <c r="U21371" s="135"/>
    </row>
    <row r="21372" spans="20:21" ht="15" customHeight="1" x14ac:dyDescent="0.25">
      <c r="T21372" s="135"/>
      <c r="U21372" s="135"/>
    </row>
    <row r="21373" spans="20:21" ht="15" customHeight="1" x14ac:dyDescent="0.25">
      <c r="T21373" s="135"/>
      <c r="U21373" s="135"/>
    </row>
    <row r="21374" spans="20:21" ht="15" customHeight="1" x14ac:dyDescent="0.25">
      <c r="T21374" s="135"/>
      <c r="U21374" s="135"/>
    </row>
    <row r="21375" spans="20:21" ht="15" customHeight="1" x14ac:dyDescent="0.25">
      <c r="T21375" s="135"/>
      <c r="U21375" s="135"/>
    </row>
    <row r="21376" spans="20:21" ht="15" customHeight="1" x14ac:dyDescent="0.25">
      <c r="T21376" s="135"/>
      <c r="U21376" s="135"/>
    </row>
    <row r="21377" spans="20:21" ht="15" customHeight="1" x14ac:dyDescent="0.25">
      <c r="T21377" s="135"/>
      <c r="U21377" s="135"/>
    </row>
    <row r="21378" spans="20:21" ht="15" customHeight="1" x14ac:dyDescent="0.25">
      <c r="T21378" s="135"/>
      <c r="U21378" s="135"/>
    </row>
    <row r="21379" spans="20:21" ht="15" customHeight="1" x14ac:dyDescent="0.25">
      <c r="T21379" s="135"/>
      <c r="U21379" s="135"/>
    </row>
    <row r="21380" spans="20:21" ht="15" customHeight="1" x14ac:dyDescent="0.25">
      <c r="T21380" s="135"/>
      <c r="U21380" s="135"/>
    </row>
    <row r="21381" spans="20:21" ht="15" customHeight="1" x14ac:dyDescent="0.25">
      <c r="T21381" s="135"/>
      <c r="U21381" s="135"/>
    </row>
    <row r="21382" spans="20:21" ht="15" customHeight="1" x14ac:dyDescent="0.25">
      <c r="T21382" s="135"/>
      <c r="U21382" s="135"/>
    </row>
    <row r="21383" spans="20:21" ht="15" customHeight="1" x14ac:dyDescent="0.25">
      <c r="T21383" s="135"/>
      <c r="U21383" s="135"/>
    </row>
    <row r="21384" spans="20:21" ht="15" customHeight="1" x14ac:dyDescent="0.25">
      <c r="T21384" s="135"/>
      <c r="U21384" s="135"/>
    </row>
    <row r="21385" spans="20:21" ht="15" customHeight="1" x14ac:dyDescent="0.25">
      <c r="T21385" s="135"/>
      <c r="U21385" s="135"/>
    </row>
    <row r="21386" spans="20:21" ht="15" customHeight="1" x14ac:dyDescent="0.25">
      <c r="T21386" s="135"/>
      <c r="U21386" s="135"/>
    </row>
    <row r="21387" spans="20:21" ht="15" customHeight="1" x14ac:dyDescent="0.25">
      <c r="T21387" s="135"/>
      <c r="U21387" s="135"/>
    </row>
    <row r="21388" spans="20:21" ht="15" customHeight="1" x14ac:dyDescent="0.25">
      <c r="T21388" s="135"/>
      <c r="U21388" s="135"/>
    </row>
    <row r="21389" spans="20:21" ht="15" customHeight="1" x14ac:dyDescent="0.25">
      <c r="T21389" s="135"/>
      <c r="U21389" s="135"/>
    </row>
    <row r="21390" spans="20:21" ht="15" customHeight="1" x14ac:dyDescent="0.25">
      <c r="T21390" s="135"/>
      <c r="U21390" s="135"/>
    </row>
    <row r="21391" spans="20:21" ht="15" customHeight="1" x14ac:dyDescent="0.25">
      <c r="T21391" s="135"/>
      <c r="U21391" s="135"/>
    </row>
    <row r="21392" spans="20:21" ht="15" customHeight="1" x14ac:dyDescent="0.25">
      <c r="T21392" s="135"/>
      <c r="U21392" s="135"/>
    </row>
    <row r="21393" spans="20:21" ht="15" customHeight="1" x14ac:dyDescent="0.25">
      <c r="T21393" s="135"/>
      <c r="U21393" s="135"/>
    </row>
    <row r="21394" spans="20:21" ht="15" customHeight="1" x14ac:dyDescent="0.25">
      <c r="T21394" s="135"/>
      <c r="U21394" s="135"/>
    </row>
    <row r="21395" spans="20:21" ht="15" customHeight="1" x14ac:dyDescent="0.25">
      <c r="T21395" s="135"/>
      <c r="U21395" s="135"/>
    </row>
    <row r="21396" spans="20:21" ht="15" customHeight="1" x14ac:dyDescent="0.25">
      <c r="T21396" s="135"/>
      <c r="U21396" s="135"/>
    </row>
    <row r="21397" spans="20:21" ht="15" customHeight="1" x14ac:dyDescent="0.25">
      <c r="T21397" s="135"/>
      <c r="U21397" s="135"/>
    </row>
    <row r="21398" spans="20:21" ht="15" customHeight="1" x14ac:dyDescent="0.25">
      <c r="T21398" s="135"/>
      <c r="U21398" s="135"/>
    </row>
    <row r="21399" spans="20:21" ht="15" customHeight="1" x14ac:dyDescent="0.25">
      <c r="T21399" s="135"/>
      <c r="U21399" s="135"/>
    </row>
    <row r="21400" spans="20:21" ht="15" customHeight="1" x14ac:dyDescent="0.25">
      <c r="T21400" s="135"/>
      <c r="U21400" s="135"/>
    </row>
    <row r="21401" spans="20:21" ht="15" customHeight="1" x14ac:dyDescent="0.25">
      <c r="T21401" s="135"/>
      <c r="U21401" s="135"/>
    </row>
    <row r="21402" spans="20:21" ht="15" customHeight="1" x14ac:dyDescent="0.25">
      <c r="T21402" s="135"/>
      <c r="U21402" s="135"/>
    </row>
    <row r="21403" spans="20:21" ht="15" customHeight="1" x14ac:dyDescent="0.25">
      <c r="T21403" s="135"/>
      <c r="U21403" s="135"/>
    </row>
    <row r="21404" spans="20:21" ht="15" customHeight="1" x14ac:dyDescent="0.25">
      <c r="T21404" s="135"/>
      <c r="U21404" s="135"/>
    </row>
    <row r="21405" spans="20:21" ht="15" customHeight="1" x14ac:dyDescent="0.25">
      <c r="T21405" s="135"/>
      <c r="U21405" s="135"/>
    </row>
    <row r="21406" spans="20:21" ht="15" customHeight="1" x14ac:dyDescent="0.25">
      <c r="T21406" s="135"/>
      <c r="U21406" s="135"/>
    </row>
    <row r="21407" spans="20:21" ht="15" customHeight="1" x14ac:dyDescent="0.25">
      <c r="T21407" s="135"/>
      <c r="U21407" s="135"/>
    </row>
    <row r="21408" spans="20:21" ht="15" customHeight="1" x14ac:dyDescent="0.25">
      <c r="T21408" s="135"/>
      <c r="U21408" s="135"/>
    </row>
    <row r="21409" spans="20:21" ht="15" customHeight="1" x14ac:dyDescent="0.25">
      <c r="T21409" s="135"/>
      <c r="U21409" s="135"/>
    </row>
    <row r="21410" spans="20:21" ht="15" customHeight="1" x14ac:dyDescent="0.25">
      <c r="T21410" s="135"/>
      <c r="U21410" s="135"/>
    </row>
    <row r="21411" spans="20:21" ht="15" customHeight="1" x14ac:dyDescent="0.25">
      <c r="T21411" s="135"/>
      <c r="U21411" s="135"/>
    </row>
    <row r="21412" spans="20:21" ht="15" customHeight="1" x14ac:dyDescent="0.25">
      <c r="T21412" s="135"/>
      <c r="U21412" s="135"/>
    </row>
    <row r="21413" spans="20:21" ht="15" customHeight="1" x14ac:dyDescent="0.25">
      <c r="T21413" s="135"/>
      <c r="U21413" s="135"/>
    </row>
    <row r="21414" spans="20:21" ht="15" customHeight="1" x14ac:dyDescent="0.25">
      <c r="T21414" s="135"/>
      <c r="U21414" s="135"/>
    </row>
    <row r="21415" spans="20:21" ht="15" customHeight="1" x14ac:dyDescent="0.25">
      <c r="T21415" s="135"/>
      <c r="U21415" s="135"/>
    </row>
    <row r="21416" spans="20:21" ht="15" customHeight="1" x14ac:dyDescent="0.25">
      <c r="T21416" s="135"/>
      <c r="U21416" s="135"/>
    </row>
    <row r="21417" spans="20:21" ht="15" customHeight="1" x14ac:dyDescent="0.25">
      <c r="T21417" s="135"/>
      <c r="U21417" s="135"/>
    </row>
    <row r="21418" spans="20:21" ht="15" customHeight="1" x14ac:dyDescent="0.25">
      <c r="T21418" s="135"/>
      <c r="U21418" s="135"/>
    </row>
    <row r="21419" spans="20:21" ht="15" customHeight="1" x14ac:dyDescent="0.25">
      <c r="T21419" s="135"/>
      <c r="U21419" s="135"/>
    </row>
    <row r="21420" spans="20:21" ht="15" customHeight="1" x14ac:dyDescent="0.25">
      <c r="T21420" s="135"/>
      <c r="U21420" s="135"/>
    </row>
    <row r="21421" spans="20:21" ht="15" customHeight="1" x14ac:dyDescent="0.25">
      <c r="T21421" s="135"/>
      <c r="U21421" s="135"/>
    </row>
    <row r="21422" spans="20:21" ht="15" customHeight="1" x14ac:dyDescent="0.25">
      <c r="T21422" s="135"/>
      <c r="U21422" s="135"/>
    </row>
    <row r="21423" spans="20:21" ht="15" customHeight="1" x14ac:dyDescent="0.25">
      <c r="T21423" s="135"/>
      <c r="U21423" s="135"/>
    </row>
    <row r="21424" spans="20:21" ht="15" customHeight="1" x14ac:dyDescent="0.25">
      <c r="T21424" s="135"/>
      <c r="U21424" s="135"/>
    </row>
    <row r="21425" spans="20:21" ht="15" customHeight="1" x14ac:dyDescent="0.25">
      <c r="T21425" s="135"/>
      <c r="U21425" s="135"/>
    </row>
    <row r="21426" spans="20:21" ht="15" customHeight="1" x14ac:dyDescent="0.25">
      <c r="T21426" s="135"/>
      <c r="U21426" s="135"/>
    </row>
    <row r="21427" spans="20:21" ht="15" customHeight="1" x14ac:dyDescent="0.25">
      <c r="T21427" s="135"/>
      <c r="U21427" s="135"/>
    </row>
    <row r="21428" spans="20:21" ht="15" customHeight="1" x14ac:dyDescent="0.25">
      <c r="T21428" s="135"/>
      <c r="U21428" s="135"/>
    </row>
    <row r="21429" spans="20:21" ht="15" customHeight="1" x14ac:dyDescent="0.25">
      <c r="T21429" s="135"/>
      <c r="U21429" s="135"/>
    </row>
    <row r="21430" spans="20:21" ht="15" customHeight="1" x14ac:dyDescent="0.25">
      <c r="T21430" s="135"/>
      <c r="U21430" s="135"/>
    </row>
    <row r="21431" spans="20:21" ht="15" customHeight="1" x14ac:dyDescent="0.25">
      <c r="T21431" s="135"/>
      <c r="U21431" s="135"/>
    </row>
    <row r="21432" spans="20:21" ht="15" customHeight="1" x14ac:dyDescent="0.25">
      <c r="T21432" s="135"/>
      <c r="U21432" s="135"/>
    </row>
    <row r="21433" spans="20:21" ht="15" customHeight="1" x14ac:dyDescent="0.25">
      <c r="T21433" s="135"/>
      <c r="U21433" s="135"/>
    </row>
    <row r="21434" spans="20:21" ht="15" customHeight="1" x14ac:dyDescent="0.25">
      <c r="T21434" s="135"/>
      <c r="U21434" s="135"/>
    </row>
    <row r="21435" spans="20:21" ht="15" customHeight="1" x14ac:dyDescent="0.25">
      <c r="T21435" s="135"/>
      <c r="U21435" s="135"/>
    </row>
    <row r="21436" spans="20:21" ht="15" customHeight="1" x14ac:dyDescent="0.25">
      <c r="T21436" s="135"/>
      <c r="U21436" s="135"/>
    </row>
    <row r="21437" spans="20:21" ht="15" customHeight="1" x14ac:dyDescent="0.25">
      <c r="T21437" s="135"/>
      <c r="U21437" s="135"/>
    </row>
    <row r="21438" spans="20:21" ht="15" customHeight="1" x14ac:dyDescent="0.25">
      <c r="T21438" s="135"/>
      <c r="U21438" s="135"/>
    </row>
    <row r="21439" spans="20:21" ht="15" customHeight="1" x14ac:dyDescent="0.25">
      <c r="T21439" s="135"/>
      <c r="U21439" s="135"/>
    </row>
    <row r="21440" spans="20:21" ht="15" customHeight="1" x14ac:dyDescent="0.25">
      <c r="T21440" s="135"/>
      <c r="U21440" s="135"/>
    </row>
    <row r="21441" spans="20:21" ht="15" customHeight="1" x14ac:dyDescent="0.25">
      <c r="T21441" s="135"/>
      <c r="U21441" s="135"/>
    </row>
    <row r="21442" spans="20:21" ht="15" customHeight="1" x14ac:dyDescent="0.25">
      <c r="T21442" s="135"/>
      <c r="U21442" s="135"/>
    </row>
    <row r="21443" spans="20:21" ht="15" customHeight="1" x14ac:dyDescent="0.25">
      <c r="T21443" s="135"/>
      <c r="U21443" s="135"/>
    </row>
    <row r="21444" spans="20:21" ht="15" customHeight="1" x14ac:dyDescent="0.25">
      <c r="T21444" s="135"/>
      <c r="U21444" s="135"/>
    </row>
    <row r="21445" spans="20:21" ht="15" customHeight="1" x14ac:dyDescent="0.25">
      <c r="T21445" s="135"/>
      <c r="U21445" s="135"/>
    </row>
    <row r="21446" spans="20:21" ht="15" customHeight="1" x14ac:dyDescent="0.25">
      <c r="T21446" s="135"/>
      <c r="U21446" s="135"/>
    </row>
    <row r="21447" spans="20:21" ht="15" customHeight="1" x14ac:dyDescent="0.25">
      <c r="T21447" s="135"/>
      <c r="U21447" s="135"/>
    </row>
    <row r="21448" spans="20:21" ht="15" customHeight="1" x14ac:dyDescent="0.25">
      <c r="T21448" s="135"/>
      <c r="U21448" s="135"/>
    </row>
    <row r="21449" spans="20:21" ht="15" customHeight="1" x14ac:dyDescent="0.25">
      <c r="T21449" s="135"/>
      <c r="U21449" s="135"/>
    </row>
    <row r="21450" spans="20:21" ht="15" customHeight="1" x14ac:dyDescent="0.25">
      <c r="T21450" s="135"/>
      <c r="U21450" s="135"/>
    </row>
    <row r="21451" spans="20:21" ht="15" customHeight="1" x14ac:dyDescent="0.25">
      <c r="T21451" s="135"/>
      <c r="U21451" s="135"/>
    </row>
    <row r="21452" spans="20:21" ht="15" customHeight="1" x14ac:dyDescent="0.25">
      <c r="T21452" s="135"/>
      <c r="U21452" s="135"/>
    </row>
    <row r="21453" spans="20:21" ht="15" customHeight="1" x14ac:dyDescent="0.25">
      <c r="T21453" s="135"/>
      <c r="U21453" s="135"/>
    </row>
    <row r="21454" spans="20:21" ht="15" customHeight="1" x14ac:dyDescent="0.25">
      <c r="T21454" s="135"/>
      <c r="U21454" s="135"/>
    </row>
    <row r="21455" spans="20:21" ht="15" customHeight="1" x14ac:dyDescent="0.25">
      <c r="T21455" s="135"/>
      <c r="U21455" s="135"/>
    </row>
    <row r="21456" spans="20:21" ht="15" customHeight="1" x14ac:dyDescent="0.25">
      <c r="T21456" s="135"/>
      <c r="U21456" s="135"/>
    </row>
    <row r="21457" spans="20:21" ht="15" customHeight="1" x14ac:dyDescent="0.25">
      <c r="T21457" s="135"/>
      <c r="U21457" s="135"/>
    </row>
    <row r="21458" spans="20:21" ht="15" customHeight="1" x14ac:dyDescent="0.25">
      <c r="T21458" s="135"/>
      <c r="U21458" s="135"/>
    </row>
    <row r="21459" spans="20:21" ht="15" customHeight="1" x14ac:dyDescent="0.25">
      <c r="T21459" s="135"/>
      <c r="U21459" s="135"/>
    </row>
    <row r="21460" spans="20:21" ht="15" customHeight="1" x14ac:dyDescent="0.25">
      <c r="T21460" s="135"/>
      <c r="U21460" s="135"/>
    </row>
    <row r="21461" spans="20:21" ht="15" customHeight="1" x14ac:dyDescent="0.25">
      <c r="T21461" s="135"/>
      <c r="U21461" s="135"/>
    </row>
    <row r="21462" spans="20:21" ht="15" customHeight="1" x14ac:dyDescent="0.25">
      <c r="T21462" s="135"/>
      <c r="U21462" s="135"/>
    </row>
    <row r="21463" spans="20:21" ht="15" customHeight="1" x14ac:dyDescent="0.25">
      <c r="T21463" s="135"/>
      <c r="U21463" s="135"/>
    </row>
    <row r="21464" spans="20:21" ht="15" customHeight="1" x14ac:dyDescent="0.25">
      <c r="T21464" s="135"/>
      <c r="U21464" s="135"/>
    </row>
    <row r="21465" spans="20:21" ht="15" customHeight="1" x14ac:dyDescent="0.25">
      <c r="T21465" s="135"/>
      <c r="U21465" s="135"/>
    </row>
    <row r="21466" spans="20:21" ht="15" customHeight="1" x14ac:dyDescent="0.25">
      <c r="T21466" s="135"/>
      <c r="U21466" s="135"/>
    </row>
    <row r="21467" spans="20:21" ht="15" customHeight="1" x14ac:dyDescent="0.25">
      <c r="T21467" s="135"/>
      <c r="U21467" s="135"/>
    </row>
    <row r="21468" spans="20:21" ht="15" customHeight="1" x14ac:dyDescent="0.25">
      <c r="T21468" s="135"/>
      <c r="U21468" s="135"/>
    </row>
    <row r="21469" spans="20:21" ht="15" customHeight="1" x14ac:dyDescent="0.25">
      <c r="T21469" s="135"/>
      <c r="U21469" s="135"/>
    </row>
    <row r="21470" spans="20:21" ht="15" customHeight="1" x14ac:dyDescent="0.25">
      <c r="T21470" s="135"/>
      <c r="U21470" s="135"/>
    </row>
    <row r="21471" spans="20:21" ht="15" customHeight="1" x14ac:dyDescent="0.25">
      <c r="T21471" s="135"/>
      <c r="U21471" s="135"/>
    </row>
    <row r="21472" spans="20:21" ht="15" customHeight="1" x14ac:dyDescent="0.25">
      <c r="T21472" s="135"/>
      <c r="U21472" s="135"/>
    </row>
    <row r="21473" spans="20:21" ht="15" customHeight="1" x14ac:dyDescent="0.25">
      <c r="T21473" s="135"/>
      <c r="U21473" s="135"/>
    </row>
    <row r="21474" spans="20:21" ht="15" customHeight="1" x14ac:dyDescent="0.25">
      <c r="T21474" s="135"/>
      <c r="U21474" s="135"/>
    </row>
    <row r="21475" spans="20:21" ht="15" customHeight="1" x14ac:dyDescent="0.25">
      <c r="T21475" s="135"/>
      <c r="U21475" s="135"/>
    </row>
    <row r="21476" spans="20:21" ht="15" customHeight="1" x14ac:dyDescent="0.25">
      <c r="T21476" s="135"/>
      <c r="U21476" s="135"/>
    </row>
    <row r="21477" spans="20:21" ht="15" customHeight="1" x14ac:dyDescent="0.25">
      <c r="T21477" s="135"/>
      <c r="U21477" s="135"/>
    </row>
    <row r="21478" spans="20:21" ht="15" customHeight="1" x14ac:dyDescent="0.25">
      <c r="T21478" s="135"/>
      <c r="U21478" s="135"/>
    </row>
    <row r="21479" spans="20:21" ht="15" customHeight="1" x14ac:dyDescent="0.25">
      <c r="T21479" s="135"/>
      <c r="U21479" s="135"/>
    </row>
    <row r="21480" spans="20:21" ht="15" customHeight="1" x14ac:dyDescent="0.25">
      <c r="T21480" s="135"/>
      <c r="U21480" s="135"/>
    </row>
    <row r="21481" spans="20:21" ht="15" customHeight="1" x14ac:dyDescent="0.25">
      <c r="T21481" s="135"/>
      <c r="U21481" s="135"/>
    </row>
    <row r="21482" spans="20:21" ht="15" customHeight="1" x14ac:dyDescent="0.25">
      <c r="T21482" s="135"/>
      <c r="U21482" s="135"/>
    </row>
    <row r="21483" spans="20:21" ht="15" customHeight="1" x14ac:dyDescent="0.25">
      <c r="T21483" s="135"/>
      <c r="U21483" s="135"/>
    </row>
    <row r="21484" spans="20:21" ht="15" customHeight="1" x14ac:dyDescent="0.25">
      <c r="T21484" s="135"/>
      <c r="U21484" s="135"/>
    </row>
    <row r="21485" spans="20:21" ht="15" customHeight="1" x14ac:dyDescent="0.25">
      <c r="T21485" s="135"/>
      <c r="U21485" s="135"/>
    </row>
    <row r="21486" spans="20:21" ht="15" customHeight="1" x14ac:dyDescent="0.25">
      <c r="T21486" s="135"/>
      <c r="U21486" s="135"/>
    </row>
    <row r="21487" spans="20:21" ht="15" customHeight="1" x14ac:dyDescent="0.25">
      <c r="T21487" s="135"/>
      <c r="U21487" s="135"/>
    </row>
    <row r="21488" spans="20:21" ht="15" customHeight="1" x14ac:dyDescent="0.25">
      <c r="T21488" s="135"/>
      <c r="U21488" s="135"/>
    </row>
    <row r="21489" spans="20:21" ht="15" customHeight="1" x14ac:dyDescent="0.25">
      <c r="T21489" s="135"/>
      <c r="U21489" s="135"/>
    </row>
    <row r="21490" spans="20:21" ht="15" customHeight="1" x14ac:dyDescent="0.25">
      <c r="T21490" s="135"/>
      <c r="U21490" s="135"/>
    </row>
    <row r="21491" spans="20:21" ht="15" customHeight="1" x14ac:dyDescent="0.25">
      <c r="T21491" s="135"/>
      <c r="U21491" s="135"/>
    </row>
    <row r="21492" spans="20:21" ht="15" customHeight="1" x14ac:dyDescent="0.25">
      <c r="T21492" s="135"/>
      <c r="U21492" s="135"/>
    </row>
    <row r="21493" spans="20:21" ht="15" customHeight="1" x14ac:dyDescent="0.25">
      <c r="T21493" s="135"/>
      <c r="U21493" s="135"/>
    </row>
    <row r="21494" spans="20:21" ht="15" customHeight="1" x14ac:dyDescent="0.25">
      <c r="T21494" s="135"/>
      <c r="U21494" s="135"/>
    </row>
    <row r="21495" spans="20:21" ht="15" customHeight="1" x14ac:dyDescent="0.25">
      <c r="T21495" s="135"/>
      <c r="U21495" s="135"/>
    </row>
    <row r="21496" spans="20:21" ht="15" customHeight="1" x14ac:dyDescent="0.25">
      <c r="T21496" s="135"/>
      <c r="U21496" s="135"/>
    </row>
    <row r="21497" spans="20:21" ht="15" customHeight="1" x14ac:dyDescent="0.25">
      <c r="T21497" s="135"/>
      <c r="U21497" s="135"/>
    </row>
    <row r="21498" spans="20:21" ht="15" customHeight="1" x14ac:dyDescent="0.25">
      <c r="T21498" s="135"/>
      <c r="U21498" s="135"/>
    </row>
    <row r="21499" spans="20:21" ht="15" customHeight="1" x14ac:dyDescent="0.25">
      <c r="T21499" s="135"/>
      <c r="U21499" s="135"/>
    </row>
    <row r="21500" spans="20:21" ht="15" customHeight="1" x14ac:dyDescent="0.25">
      <c r="T21500" s="135"/>
      <c r="U21500" s="135"/>
    </row>
    <row r="21501" spans="20:21" ht="15" customHeight="1" x14ac:dyDescent="0.25">
      <c r="T21501" s="135"/>
      <c r="U21501" s="135"/>
    </row>
    <row r="21502" spans="20:21" ht="15" customHeight="1" x14ac:dyDescent="0.25">
      <c r="T21502" s="135"/>
      <c r="U21502" s="135"/>
    </row>
    <row r="21503" spans="20:21" ht="15" customHeight="1" x14ac:dyDescent="0.25">
      <c r="T21503" s="135"/>
      <c r="U21503" s="135"/>
    </row>
    <row r="21504" spans="20:21" ht="15" customHeight="1" x14ac:dyDescent="0.25">
      <c r="T21504" s="135"/>
      <c r="U21504" s="135"/>
    </row>
    <row r="21505" spans="20:21" ht="15" customHeight="1" x14ac:dyDescent="0.25">
      <c r="T21505" s="135"/>
      <c r="U21505" s="135"/>
    </row>
    <row r="21506" spans="20:21" ht="15" customHeight="1" x14ac:dyDescent="0.25">
      <c r="T21506" s="135"/>
      <c r="U21506" s="135"/>
    </row>
    <row r="21507" spans="20:21" ht="15" customHeight="1" x14ac:dyDescent="0.25">
      <c r="T21507" s="135"/>
      <c r="U21507" s="135"/>
    </row>
    <row r="21508" spans="20:21" ht="15" customHeight="1" x14ac:dyDescent="0.25">
      <c r="T21508" s="135"/>
      <c r="U21508" s="135"/>
    </row>
    <row r="21509" spans="20:21" ht="15" customHeight="1" x14ac:dyDescent="0.25">
      <c r="T21509" s="135"/>
      <c r="U21509" s="135"/>
    </row>
    <row r="21510" spans="20:21" ht="15" customHeight="1" x14ac:dyDescent="0.25">
      <c r="T21510" s="135"/>
      <c r="U21510" s="135"/>
    </row>
    <row r="21511" spans="20:21" ht="15" customHeight="1" x14ac:dyDescent="0.25">
      <c r="T21511" s="135"/>
      <c r="U21511" s="135"/>
    </row>
    <row r="21512" spans="20:21" ht="15" customHeight="1" x14ac:dyDescent="0.25">
      <c r="T21512" s="135"/>
      <c r="U21512" s="135"/>
    </row>
    <row r="21513" spans="20:21" ht="15" customHeight="1" x14ac:dyDescent="0.25">
      <c r="T21513" s="135"/>
      <c r="U21513" s="135"/>
    </row>
    <row r="21514" spans="20:21" ht="15" customHeight="1" x14ac:dyDescent="0.25">
      <c r="T21514" s="135"/>
      <c r="U21514" s="135"/>
    </row>
    <row r="21515" spans="20:21" ht="15" customHeight="1" x14ac:dyDescent="0.25">
      <c r="T21515" s="135"/>
      <c r="U21515" s="135"/>
    </row>
    <row r="21516" spans="20:21" ht="15" customHeight="1" x14ac:dyDescent="0.25">
      <c r="T21516" s="135"/>
      <c r="U21516" s="135"/>
    </row>
    <row r="21517" spans="20:21" ht="15" customHeight="1" x14ac:dyDescent="0.25">
      <c r="T21517" s="135"/>
      <c r="U21517" s="135"/>
    </row>
    <row r="21518" spans="20:21" ht="15" customHeight="1" x14ac:dyDescent="0.25">
      <c r="T21518" s="135"/>
      <c r="U21518" s="135"/>
    </row>
    <row r="21519" spans="20:21" ht="15" customHeight="1" x14ac:dyDescent="0.25">
      <c r="T21519" s="135"/>
      <c r="U21519" s="135"/>
    </row>
    <row r="21520" spans="20:21" ht="15" customHeight="1" x14ac:dyDescent="0.25">
      <c r="T21520" s="135"/>
      <c r="U21520" s="135"/>
    </row>
    <row r="21521" spans="20:21" ht="15" customHeight="1" x14ac:dyDescent="0.25">
      <c r="T21521" s="135"/>
      <c r="U21521" s="135"/>
    </row>
    <row r="21522" spans="20:21" ht="15" customHeight="1" x14ac:dyDescent="0.25">
      <c r="T21522" s="135"/>
      <c r="U21522" s="135"/>
    </row>
    <row r="21523" spans="20:21" ht="15" customHeight="1" x14ac:dyDescent="0.25">
      <c r="T21523" s="135"/>
      <c r="U21523" s="135"/>
    </row>
    <row r="21524" spans="20:21" ht="15" customHeight="1" x14ac:dyDescent="0.25">
      <c r="T21524" s="135"/>
      <c r="U21524" s="135"/>
    </row>
    <row r="21525" spans="20:21" ht="15" customHeight="1" x14ac:dyDescent="0.25">
      <c r="T21525" s="135"/>
      <c r="U21525" s="135"/>
    </row>
    <row r="21526" spans="20:21" ht="15" customHeight="1" x14ac:dyDescent="0.25">
      <c r="T21526" s="135"/>
      <c r="U21526" s="135"/>
    </row>
    <row r="21527" spans="20:21" ht="15" customHeight="1" x14ac:dyDescent="0.25">
      <c r="T21527" s="135"/>
      <c r="U21527" s="135"/>
    </row>
    <row r="21528" spans="20:21" ht="15" customHeight="1" x14ac:dyDescent="0.25">
      <c r="T21528" s="135"/>
      <c r="U21528" s="135"/>
    </row>
    <row r="21529" spans="20:21" ht="15" customHeight="1" x14ac:dyDescent="0.25">
      <c r="T21529" s="135"/>
      <c r="U21529" s="135"/>
    </row>
    <row r="21530" spans="20:21" ht="15" customHeight="1" x14ac:dyDescent="0.25">
      <c r="T21530" s="135"/>
      <c r="U21530" s="135"/>
    </row>
    <row r="21531" spans="20:21" ht="15" customHeight="1" x14ac:dyDescent="0.25">
      <c r="T21531" s="135"/>
      <c r="U21531" s="135"/>
    </row>
    <row r="21532" spans="20:21" ht="15" customHeight="1" x14ac:dyDescent="0.25">
      <c r="T21532" s="135"/>
      <c r="U21532" s="135"/>
    </row>
    <row r="21533" spans="20:21" ht="15" customHeight="1" x14ac:dyDescent="0.25">
      <c r="T21533" s="135"/>
      <c r="U21533" s="135"/>
    </row>
    <row r="21534" spans="20:21" ht="15" customHeight="1" x14ac:dyDescent="0.25">
      <c r="T21534" s="135"/>
      <c r="U21534" s="135"/>
    </row>
    <row r="21535" spans="20:21" ht="15" customHeight="1" x14ac:dyDescent="0.25">
      <c r="T21535" s="135"/>
      <c r="U21535" s="135"/>
    </row>
    <row r="21536" spans="20:21" ht="15" customHeight="1" x14ac:dyDescent="0.25">
      <c r="T21536" s="135"/>
      <c r="U21536" s="135"/>
    </row>
    <row r="21537" spans="20:21" ht="15" customHeight="1" x14ac:dyDescent="0.25">
      <c r="T21537" s="135"/>
      <c r="U21537" s="135"/>
    </row>
    <row r="21538" spans="20:21" ht="15" customHeight="1" x14ac:dyDescent="0.25">
      <c r="T21538" s="135"/>
      <c r="U21538" s="135"/>
    </row>
    <row r="21539" spans="20:21" ht="15" customHeight="1" x14ac:dyDescent="0.25">
      <c r="T21539" s="135"/>
      <c r="U21539" s="135"/>
    </row>
    <row r="21540" spans="20:21" ht="15" customHeight="1" x14ac:dyDescent="0.25">
      <c r="T21540" s="135"/>
      <c r="U21540" s="135"/>
    </row>
    <row r="21541" spans="20:21" ht="15" customHeight="1" x14ac:dyDescent="0.25">
      <c r="T21541" s="135"/>
      <c r="U21541" s="135"/>
    </row>
    <row r="21542" spans="20:21" ht="15" customHeight="1" x14ac:dyDescent="0.25">
      <c r="T21542" s="135"/>
      <c r="U21542" s="135"/>
    </row>
    <row r="21543" spans="20:21" ht="15" customHeight="1" x14ac:dyDescent="0.25">
      <c r="T21543" s="135"/>
      <c r="U21543" s="135"/>
    </row>
    <row r="21544" spans="20:21" ht="15" customHeight="1" x14ac:dyDescent="0.25">
      <c r="T21544" s="135"/>
      <c r="U21544" s="135"/>
    </row>
    <row r="21545" spans="20:21" ht="15" customHeight="1" x14ac:dyDescent="0.25">
      <c r="T21545" s="135"/>
      <c r="U21545" s="135"/>
    </row>
    <row r="21546" spans="20:21" ht="15" customHeight="1" x14ac:dyDescent="0.25">
      <c r="T21546" s="135"/>
      <c r="U21546" s="135"/>
    </row>
    <row r="21547" spans="20:21" ht="15" customHeight="1" x14ac:dyDescent="0.25">
      <c r="T21547" s="135"/>
      <c r="U21547" s="135"/>
    </row>
    <row r="21548" spans="20:21" ht="15" customHeight="1" x14ac:dyDescent="0.25">
      <c r="T21548" s="135"/>
      <c r="U21548" s="135"/>
    </row>
    <row r="21549" spans="20:21" ht="15" customHeight="1" x14ac:dyDescent="0.25">
      <c r="T21549" s="135"/>
      <c r="U21549" s="135"/>
    </row>
    <row r="21550" spans="20:21" ht="15" customHeight="1" x14ac:dyDescent="0.25">
      <c r="T21550" s="135"/>
      <c r="U21550" s="135"/>
    </row>
    <row r="21551" spans="20:21" ht="15" customHeight="1" x14ac:dyDescent="0.25">
      <c r="T21551" s="135"/>
      <c r="U21551" s="135"/>
    </row>
    <row r="21552" spans="20:21" ht="15" customHeight="1" x14ac:dyDescent="0.25">
      <c r="T21552" s="135"/>
      <c r="U21552" s="135"/>
    </row>
    <row r="21553" spans="20:21" ht="15" customHeight="1" x14ac:dyDescent="0.25">
      <c r="T21553" s="135"/>
      <c r="U21553" s="135"/>
    </row>
    <row r="21554" spans="20:21" ht="15" customHeight="1" x14ac:dyDescent="0.25">
      <c r="T21554" s="135"/>
      <c r="U21554" s="135"/>
    </row>
    <row r="21555" spans="20:21" ht="15" customHeight="1" x14ac:dyDescent="0.25">
      <c r="T21555" s="135"/>
      <c r="U21555" s="135"/>
    </row>
    <row r="21556" spans="20:21" ht="15" customHeight="1" x14ac:dyDescent="0.25">
      <c r="T21556" s="135"/>
      <c r="U21556" s="135"/>
    </row>
    <row r="21557" spans="20:21" ht="15" customHeight="1" x14ac:dyDescent="0.25">
      <c r="T21557" s="135"/>
      <c r="U21557" s="135"/>
    </row>
    <row r="21558" spans="20:21" ht="15" customHeight="1" x14ac:dyDescent="0.25">
      <c r="T21558" s="135"/>
      <c r="U21558" s="135"/>
    </row>
    <row r="21559" spans="20:21" ht="15" customHeight="1" x14ac:dyDescent="0.25">
      <c r="T21559" s="135"/>
      <c r="U21559" s="135"/>
    </row>
    <row r="21560" spans="20:21" ht="15" customHeight="1" x14ac:dyDescent="0.25">
      <c r="T21560" s="135"/>
      <c r="U21560" s="135"/>
    </row>
    <row r="21561" spans="20:21" ht="15" customHeight="1" x14ac:dyDescent="0.25">
      <c r="T21561" s="135"/>
      <c r="U21561" s="135"/>
    </row>
    <row r="21562" spans="20:21" ht="15" customHeight="1" x14ac:dyDescent="0.25">
      <c r="T21562" s="135"/>
      <c r="U21562" s="135"/>
    </row>
    <row r="21563" spans="20:21" ht="15" customHeight="1" x14ac:dyDescent="0.25">
      <c r="T21563" s="135"/>
      <c r="U21563" s="135"/>
    </row>
    <row r="21564" spans="20:21" ht="15" customHeight="1" x14ac:dyDescent="0.25">
      <c r="T21564" s="135"/>
      <c r="U21564" s="135"/>
    </row>
    <row r="21565" spans="20:21" ht="15" customHeight="1" x14ac:dyDescent="0.25">
      <c r="T21565" s="135"/>
      <c r="U21565" s="135"/>
    </row>
    <row r="21566" spans="20:21" ht="15" customHeight="1" x14ac:dyDescent="0.25">
      <c r="T21566" s="135"/>
      <c r="U21566" s="135"/>
    </row>
    <row r="21567" spans="20:21" ht="15" customHeight="1" x14ac:dyDescent="0.25">
      <c r="T21567" s="135"/>
      <c r="U21567" s="135"/>
    </row>
    <row r="21568" spans="20:21" ht="15" customHeight="1" x14ac:dyDescent="0.25">
      <c r="T21568" s="135"/>
      <c r="U21568" s="135"/>
    </row>
    <row r="21569" spans="20:21" ht="15" customHeight="1" x14ac:dyDescent="0.25">
      <c r="T21569" s="135"/>
      <c r="U21569" s="135"/>
    </row>
    <row r="21570" spans="20:21" ht="15" customHeight="1" x14ac:dyDescent="0.25">
      <c r="T21570" s="135"/>
      <c r="U21570" s="135"/>
    </row>
    <row r="21571" spans="20:21" ht="15" customHeight="1" x14ac:dyDescent="0.25">
      <c r="T21571" s="135"/>
      <c r="U21571" s="135"/>
    </row>
    <row r="21572" spans="20:21" ht="15" customHeight="1" x14ac:dyDescent="0.25">
      <c r="T21572" s="135"/>
      <c r="U21572" s="135"/>
    </row>
    <row r="21573" spans="20:21" ht="15" customHeight="1" x14ac:dyDescent="0.25">
      <c r="T21573" s="135"/>
      <c r="U21573" s="135"/>
    </row>
    <row r="21574" spans="20:21" ht="15" customHeight="1" x14ac:dyDescent="0.25">
      <c r="T21574" s="135"/>
      <c r="U21574" s="135"/>
    </row>
    <row r="21575" spans="20:21" ht="15" customHeight="1" x14ac:dyDescent="0.25">
      <c r="T21575" s="135"/>
      <c r="U21575" s="135"/>
    </row>
    <row r="21576" spans="20:21" ht="15" customHeight="1" x14ac:dyDescent="0.25">
      <c r="T21576" s="135"/>
      <c r="U21576" s="135"/>
    </row>
    <row r="21577" spans="20:21" ht="15" customHeight="1" x14ac:dyDescent="0.25">
      <c r="T21577" s="135"/>
      <c r="U21577" s="135"/>
    </row>
    <row r="21578" spans="20:21" ht="15" customHeight="1" x14ac:dyDescent="0.25">
      <c r="T21578" s="135"/>
      <c r="U21578" s="135"/>
    </row>
    <row r="21579" spans="20:21" ht="15" customHeight="1" x14ac:dyDescent="0.25">
      <c r="T21579" s="135"/>
      <c r="U21579" s="135"/>
    </row>
    <row r="21580" spans="20:21" ht="15" customHeight="1" x14ac:dyDescent="0.25">
      <c r="T21580" s="135"/>
      <c r="U21580" s="135"/>
    </row>
    <row r="21581" spans="20:21" ht="15" customHeight="1" x14ac:dyDescent="0.25">
      <c r="T21581" s="135"/>
      <c r="U21581" s="135"/>
    </row>
    <row r="21582" spans="20:21" ht="15" customHeight="1" x14ac:dyDescent="0.25">
      <c r="T21582" s="135"/>
      <c r="U21582" s="135"/>
    </row>
    <row r="21583" spans="20:21" ht="15" customHeight="1" x14ac:dyDescent="0.25">
      <c r="T21583" s="135"/>
      <c r="U21583" s="135"/>
    </row>
    <row r="21584" spans="20:21" ht="15" customHeight="1" x14ac:dyDescent="0.25">
      <c r="T21584" s="135"/>
      <c r="U21584" s="135"/>
    </row>
    <row r="21585" spans="20:21" ht="15" customHeight="1" x14ac:dyDescent="0.25">
      <c r="T21585" s="135"/>
      <c r="U21585" s="135"/>
    </row>
    <row r="21586" spans="20:21" ht="15" customHeight="1" x14ac:dyDescent="0.25">
      <c r="T21586" s="135"/>
      <c r="U21586" s="135"/>
    </row>
    <row r="21587" spans="20:21" ht="15" customHeight="1" x14ac:dyDescent="0.25">
      <c r="T21587" s="135"/>
      <c r="U21587" s="135"/>
    </row>
    <row r="21588" spans="20:21" ht="15" customHeight="1" x14ac:dyDescent="0.25">
      <c r="T21588" s="135"/>
      <c r="U21588" s="135"/>
    </row>
    <row r="21589" spans="20:21" ht="15" customHeight="1" x14ac:dyDescent="0.25">
      <c r="T21589" s="135"/>
      <c r="U21589" s="135"/>
    </row>
    <row r="21590" spans="20:21" ht="15" customHeight="1" x14ac:dyDescent="0.25">
      <c r="T21590" s="135"/>
      <c r="U21590" s="135"/>
    </row>
    <row r="21591" spans="20:21" ht="15" customHeight="1" x14ac:dyDescent="0.25">
      <c r="T21591" s="135"/>
      <c r="U21591" s="135"/>
    </row>
    <row r="21592" spans="20:21" ht="15" customHeight="1" x14ac:dyDescent="0.25">
      <c r="T21592" s="135"/>
      <c r="U21592" s="135"/>
    </row>
    <row r="21593" spans="20:21" ht="15" customHeight="1" x14ac:dyDescent="0.25">
      <c r="T21593" s="135"/>
      <c r="U21593" s="135"/>
    </row>
    <row r="21594" spans="20:21" ht="15" customHeight="1" x14ac:dyDescent="0.25">
      <c r="T21594" s="135"/>
      <c r="U21594" s="135"/>
    </row>
    <row r="21595" spans="20:21" ht="15" customHeight="1" x14ac:dyDescent="0.25">
      <c r="T21595" s="135"/>
      <c r="U21595" s="135"/>
    </row>
    <row r="21596" spans="20:21" ht="15" customHeight="1" x14ac:dyDescent="0.25">
      <c r="T21596" s="135"/>
      <c r="U21596" s="135"/>
    </row>
    <row r="21597" spans="20:21" ht="15" customHeight="1" x14ac:dyDescent="0.25">
      <c r="T21597" s="135"/>
      <c r="U21597" s="135"/>
    </row>
    <row r="21598" spans="20:21" ht="15" customHeight="1" x14ac:dyDescent="0.25">
      <c r="T21598" s="135"/>
      <c r="U21598" s="135"/>
    </row>
    <row r="21599" spans="20:21" ht="15" customHeight="1" x14ac:dyDescent="0.25">
      <c r="T21599" s="135"/>
      <c r="U21599" s="135"/>
    </row>
    <row r="21600" spans="20:21" ht="15" customHeight="1" x14ac:dyDescent="0.25">
      <c r="T21600" s="135"/>
      <c r="U21600" s="135"/>
    </row>
    <row r="21601" spans="20:21" ht="15" customHeight="1" x14ac:dyDescent="0.25">
      <c r="T21601" s="135"/>
      <c r="U21601" s="135"/>
    </row>
    <row r="21602" spans="20:21" ht="15" customHeight="1" x14ac:dyDescent="0.25">
      <c r="T21602" s="135"/>
      <c r="U21602" s="135"/>
    </row>
    <row r="21603" spans="20:21" ht="15" customHeight="1" x14ac:dyDescent="0.25">
      <c r="T21603" s="135"/>
      <c r="U21603" s="135"/>
    </row>
    <row r="21604" spans="20:21" ht="15" customHeight="1" x14ac:dyDescent="0.25">
      <c r="T21604" s="135"/>
      <c r="U21604" s="135"/>
    </row>
    <row r="21605" spans="20:21" ht="15" customHeight="1" x14ac:dyDescent="0.25">
      <c r="T21605" s="135"/>
      <c r="U21605" s="135"/>
    </row>
    <row r="21606" spans="20:21" ht="15" customHeight="1" x14ac:dyDescent="0.25">
      <c r="T21606" s="135"/>
      <c r="U21606" s="135"/>
    </row>
    <row r="21607" spans="20:21" ht="15" customHeight="1" x14ac:dyDescent="0.25">
      <c r="T21607" s="135"/>
      <c r="U21607" s="135"/>
    </row>
    <row r="21608" spans="20:21" ht="15" customHeight="1" x14ac:dyDescent="0.25">
      <c r="T21608" s="135"/>
      <c r="U21608" s="135"/>
    </row>
    <row r="21609" spans="20:21" ht="15" customHeight="1" x14ac:dyDescent="0.25">
      <c r="T21609" s="135"/>
      <c r="U21609" s="135"/>
    </row>
    <row r="21610" spans="20:21" ht="15" customHeight="1" x14ac:dyDescent="0.25">
      <c r="T21610" s="135"/>
      <c r="U21610" s="135"/>
    </row>
    <row r="21611" spans="20:21" ht="15" customHeight="1" x14ac:dyDescent="0.25">
      <c r="T21611" s="135"/>
      <c r="U21611" s="135"/>
    </row>
    <row r="21612" spans="20:21" ht="15" customHeight="1" x14ac:dyDescent="0.25">
      <c r="T21612" s="135"/>
      <c r="U21612" s="135"/>
    </row>
    <row r="21613" spans="20:21" ht="15" customHeight="1" x14ac:dyDescent="0.25">
      <c r="T21613" s="135"/>
      <c r="U21613" s="135"/>
    </row>
    <row r="21614" spans="20:21" ht="15" customHeight="1" x14ac:dyDescent="0.25">
      <c r="T21614" s="135"/>
      <c r="U21614" s="135"/>
    </row>
    <row r="21615" spans="20:21" ht="15" customHeight="1" x14ac:dyDescent="0.25">
      <c r="T21615" s="135"/>
      <c r="U21615" s="135"/>
    </row>
    <row r="21616" spans="20:21" ht="15" customHeight="1" x14ac:dyDescent="0.25">
      <c r="T21616" s="135"/>
      <c r="U21616" s="135"/>
    </row>
    <row r="21617" spans="20:21" ht="15" customHeight="1" x14ac:dyDescent="0.25">
      <c r="T21617" s="135"/>
      <c r="U21617" s="135"/>
    </row>
    <row r="21618" spans="20:21" ht="15" customHeight="1" x14ac:dyDescent="0.25">
      <c r="T21618" s="135"/>
      <c r="U21618" s="135"/>
    </row>
    <row r="21619" spans="20:21" ht="15" customHeight="1" x14ac:dyDescent="0.25">
      <c r="T21619" s="135"/>
      <c r="U21619" s="135"/>
    </row>
    <row r="21620" spans="20:21" ht="15" customHeight="1" x14ac:dyDescent="0.25">
      <c r="T21620" s="135"/>
      <c r="U21620" s="135"/>
    </row>
    <row r="21621" spans="20:21" ht="15" customHeight="1" x14ac:dyDescent="0.25">
      <c r="T21621" s="135"/>
      <c r="U21621" s="135"/>
    </row>
    <row r="21622" spans="20:21" ht="15" customHeight="1" x14ac:dyDescent="0.25">
      <c r="T21622" s="135"/>
      <c r="U21622" s="135"/>
    </row>
    <row r="21623" spans="20:21" ht="15" customHeight="1" x14ac:dyDescent="0.25">
      <c r="T21623" s="135"/>
      <c r="U21623" s="135"/>
    </row>
    <row r="21624" spans="20:21" ht="15" customHeight="1" x14ac:dyDescent="0.25">
      <c r="T21624" s="135"/>
      <c r="U21624" s="135"/>
    </row>
    <row r="21625" spans="20:21" ht="15" customHeight="1" x14ac:dyDescent="0.25">
      <c r="T21625" s="135"/>
      <c r="U21625" s="135"/>
    </row>
    <row r="21626" spans="20:21" ht="15" customHeight="1" x14ac:dyDescent="0.25">
      <c r="T21626" s="135"/>
      <c r="U21626" s="135"/>
    </row>
    <row r="21627" spans="20:21" ht="15" customHeight="1" x14ac:dyDescent="0.25">
      <c r="T21627" s="135"/>
      <c r="U21627" s="135"/>
    </row>
    <row r="21628" spans="20:21" ht="15" customHeight="1" x14ac:dyDescent="0.25">
      <c r="T21628" s="135"/>
      <c r="U21628" s="135"/>
    </row>
    <row r="21629" spans="20:21" ht="15" customHeight="1" x14ac:dyDescent="0.25">
      <c r="T21629" s="135"/>
      <c r="U21629" s="135"/>
    </row>
    <row r="21630" spans="20:21" ht="15" customHeight="1" x14ac:dyDescent="0.25">
      <c r="T21630" s="135"/>
      <c r="U21630" s="135"/>
    </row>
    <row r="21631" spans="20:21" ht="15" customHeight="1" x14ac:dyDescent="0.25">
      <c r="T21631" s="135"/>
      <c r="U21631" s="135"/>
    </row>
    <row r="21632" spans="20:21" ht="15" customHeight="1" x14ac:dyDescent="0.25">
      <c r="T21632" s="135"/>
      <c r="U21632" s="135"/>
    </row>
    <row r="21633" spans="20:21" ht="15" customHeight="1" x14ac:dyDescent="0.25">
      <c r="T21633" s="135"/>
      <c r="U21633" s="135"/>
    </row>
    <row r="21634" spans="20:21" ht="15" customHeight="1" x14ac:dyDescent="0.25">
      <c r="T21634" s="135"/>
      <c r="U21634" s="135"/>
    </row>
    <row r="21635" spans="20:21" ht="15" customHeight="1" x14ac:dyDescent="0.25">
      <c r="T21635" s="135"/>
      <c r="U21635" s="135"/>
    </row>
    <row r="21636" spans="20:21" ht="15" customHeight="1" x14ac:dyDescent="0.25">
      <c r="T21636" s="135"/>
      <c r="U21636" s="135"/>
    </row>
    <row r="21637" spans="20:21" ht="15" customHeight="1" x14ac:dyDescent="0.25">
      <c r="T21637" s="135"/>
      <c r="U21637" s="135"/>
    </row>
    <row r="21638" spans="20:21" ht="15" customHeight="1" x14ac:dyDescent="0.25">
      <c r="T21638" s="135"/>
      <c r="U21638" s="135"/>
    </row>
    <row r="21639" spans="20:21" ht="15" customHeight="1" x14ac:dyDescent="0.25">
      <c r="T21639" s="135"/>
      <c r="U21639" s="135"/>
    </row>
    <row r="21640" spans="20:21" ht="15" customHeight="1" x14ac:dyDescent="0.25">
      <c r="T21640" s="135"/>
      <c r="U21640" s="135"/>
    </row>
    <row r="21641" spans="20:21" ht="15" customHeight="1" x14ac:dyDescent="0.25">
      <c r="T21641" s="135"/>
      <c r="U21641" s="135"/>
    </row>
    <row r="21642" spans="20:21" ht="15" customHeight="1" x14ac:dyDescent="0.25">
      <c r="T21642" s="135"/>
      <c r="U21642" s="135"/>
    </row>
    <row r="21643" spans="20:21" ht="15" customHeight="1" x14ac:dyDescent="0.25">
      <c r="T21643" s="135"/>
      <c r="U21643" s="135"/>
    </row>
    <row r="21644" spans="20:21" ht="15" customHeight="1" x14ac:dyDescent="0.25">
      <c r="T21644" s="135"/>
      <c r="U21644" s="135"/>
    </row>
    <row r="21645" spans="20:21" ht="15" customHeight="1" x14ac:dyDescent="0.25">
      <c r="T21645" s="135"/>
      <c r="U21645" s="135"/>
    </row>
    <row r="21646" spans="20:21" ht="15" customHeight="1" x14ac:dyDescent="0.25">
      <c r="T21646" s="135"/>
      <c r="U21646" s="135"/>
    </row>
    <row r="21647" spans="20:21" ht="15" customHeight="1" x14ac:dyDescent="0.25">
      <c r="T21647" s="135"/>
      <c r="U21647" s="135"/>
    </row>
    <row r="21648" spans="20:21" ht="15" customHeight="1" x14ac:dyDescent="0.25">
      <c r="T21648" s="135"/>
      <c r="U21648" s="135"/>
    </row>
    <row r="21649" spans="20:21" ht="15" customHeight="1" x14ac:dyDescent="0.25">
      <c r="T21649" s="135"/>
      <c r="U21649" s="135"/>
    </row>
    <row r="21650" spans="20:21" ht="15" customHeight="1" x14ac:dyDescent="0.25">
      <c r="T21650" s="135"/>
      <c r="U21650" s="135"/>
    </row>
    <row r="21651" spans="20:21" ht="15" customHeight="1" x14ac:dyDescent="0.25">
      <c r="T21651" s="135"/>
      <c r="U21651" s="135"/>
    </row>
    <row r="21652" spans="20:21" ht="15" customHeight="1" x14ac:dyDescent="0.25">
      <c r="T21652" s="135"/>
      <c r="U21652" s="135"/>
    </row>
    <row r="21653" spans="20:21" ht="15" customHeight="1" x14ac:dyDescent="0.25">
      <c r="T21653" s="135"/>
      <c r="U21653" s="135"/>
    </row>
    <row r="21654" spans="20:21" ht="15" customHeight="1" x14ac:dyDescent="0.25">
      <c r="T21654" s="135"/>
      <c r="U21654" s="135"/>
    </row>
    <row r="21655" spans="20:21" ht="15" customHeight="1" x14ac:dyDescent="0.25">
      <c r="T21655" s="135"/>
      <c r="U21655" s="135"/>
    </row>
    <row r="21656" spans="20:21" ht="15" customHeight="1" x14ac:dyDescent="0.25">
      <c r="T21656" s="135"/>
      <c r="U21656" s="135"/>
    </row>
    <row r="21657" spans="20:21" ht="15" customHeight="1" x14ac:dyDescent="0.25">
      <c r="T21657" s="135"/>
      <c r="U21657" s="135"/>
    </row>
    <row r="21658" spans="20:21" ht="15" customHeight="1" x14ac:dyDescent="0.25">
      <c r="T21658" s="135"/>
      <c r="U21658" s="135"/>
    </row>
    <row r="21659" spans="20:21" ht="15" customHeight="1" x14ac:dyDescent="0.25">
      <c r="T21659" s="135"/>
      <c r="U21659" s="135"/>
    </row>
    <row r="21660" spans="20:21" ht="15" customHeight="1" x14ac:dyDescent="0.25">
      <c r="T21660" s="135"/>
      <c r="U21660" s="135"/>
    </row>
    <row r="21661" spans="20:21" ht="15" customHeight="1" x14ac:dyDescent="0.25">
      <c r="T21661" s="135"/>
      <c r="U21661" s="135"/>
    </row>
    <row r="21662" spans="20:21" ht="15" customHeight="1" x14ac:dyDescent="0.25">
      <c r="T21662" s="135"/>
      <c r="U21662" s="135"/>
    </row>
    <row r="21663" spans="20:21" ht="15" customHeight="1" x14ac:dyDescent="0.25">
      <c r="T21663" s="135"/>
      <c r="U21663" s="135"/>
    </row>
    <row r="21664" spans="20:21" ht="15" customHeight="1" x14ac:dyDescent="0.25">
      <c r="T21664" s="135"/>
      <c r="U21664" s="135"/>
    </row>
    <row r="21665" spans="20:21" ht="15" customHeight="1" x14ac:dyDescent="0.25">
      <c r="T21665" s="135"/>
      <c r="U21665" s="135"/>
    </row>
    <row r="21666" spans="20:21" ht="15" customHeight="1" x14ac:dyDescent="0.25">
      <c r="T21666" s="135"/>
      <c r="U21666" s="135"/>
    </row>
    <row r="21667" spans="20:21" ht="15" customHeight="1" x14ac:dyDescent="0.25">
      <c r="T21667" s="135"/>
      <c r="U21667" s="135"/>
    </row>
    <row r="21668" spans="20:21" ht="15" customHeight="1" x14ac:dyDescent="0.25">
      <c r="T21668" s="135"/>
      <c r="U21668" s="135"/>
    </row>
    <row r="21669" spans="20:21" ht="15" customHeight="1" x14ac:dyDescent="0.25">
      <c r="T21669" s="135"/>
      <c r="U21669" s="135"/>
    </row>
    <row r="21670" spans="20:21" ht="15" customHeight="1" x14ac:dyDescent="0.25">
      <c r="T21670" s="135"/>
      <c r="U21670" s="135"/>
    </row>
    <row r="21671" spans="20:21" ht="15" customHeight="1" x14ac:dyDescent="0.25">
      <c r="T21671" s="135"/>
      <c r="U21671" s="135"/>
    </row>
    <row r="21672" spans="20:21" ht="15" customHeight="1" x14ac:dyDescent="0.25">
      <c r="T21672" s="135"/>
      <c r="U21672" s="135"/>
    </row>
    <row r="21673" spans="20:21" ht="15" customHeight="1" x14ac:dyDescent="0.25">
      <c r="T21673" s="135"/>
      <c r="U21673" s="135"/>
    </row>
    <row r="21674" spans="20:21" ht="15" customHeight="1" x14ac:dyDescent="0.25">
      <c r="T21674" s="135"/>
      <c r="U21674" s="135"/>
    </row>
    <row r="21675" spans="20:21" ht="15" customHeight="1" x14ac:dyDescent="0.25">
      <c r="T21675" s="135"/>
      <c r="U21675" s="135"/>
    </row>
    <row r="21676" spans="20:21" ht="15" customHeight="1" x14ac:dyDescent="0.25">
      <c r="T21676" s="135"/>
      <c r="U21676" s="135"/>
    </row>
    <row r="21677" spans="20:21" ht="15" customHeight="1" x14ac:dyDescent="0.25">
      <c r="T21677" s="135"/>
      <c r="U21677" s="135"/>
    </row>
    <row r="21678" spans="20:21" ht="15" customHeight="1" x14ac:dyDescent="0.25">
      <c r="T21678" s="135"/>
      <c r="U21678" s="135"/>
    </row>
    <row r="21679" spans="20:21" ht="15" customHeight="1" x14ac:dyDescent="0.25">
      <c r="T21679" s="135"/>
      <c r="U21679" s="135"/>
    </row>
    <row r="21680" spans="20:21" ht="15" customHeight="1" x14ac:dyDescent="0.25">
      <c r="T21680" s="135"/>
      <c r="U21680" s="135"/>
    </row>
    <row r="21681" spans="20:21" ht="15" customHeight="1" x14ac:dyDescent="0.25">
      <c r="T21681" s="135"/>
      <c r="U21681" s="135"/>
    </row>
    <row r="21682" spans="20:21" ht="15" customHeight="1" x14ac:dyDescent="0.25">
      <c r="T21682" s="135"/>
      <c r="U21682" s="135"/>
    </row>
    <row r="21683" spans="20:21" ht="15" customHeight="1" x14ac:dyDescent="0.25">
      <c r="T21683" s="135"/>
      <c r="U21683" s="135"/>
    </row>
    <row r="21684" spans="20:21" ht="15" customHeight="1" x14ac:dyDescent="0.25">
      <c r="T21684" s="135"/>
      <c r="U21684" s="135"/>
    </row>
    <row r="21685" spans="20:21" ht="15" customHeight="1" x14ac:dyDescent="0.25">
      <c r="T21685" s="135"/>
      <c r="U21685" s="135"/>
    </row>
    <row r="21686" spans="20:21" ht="15" customHeight="1" x14ac:dyDescent="0.25">
      <c r="T21686" s="135"/>
      <c r="U21686" s="135"/>
    </row>
    <row r="21687" spans="20:21" ht="15" customHeight="1" x14ac:dyDescent="0.25">
      <c r="T21687" s="135"/>
      <c r="U21687" s="135"/>
    </row>
    <row r="21688" spans="20:21" ht="15" customHeight="1" x14ac:dyDescent="0.25">
      <c r="T21688" s="135"/>
      <c r="U21688" s="135"/>
    </row>
    <row r="21689" spans="20:21" ht="15" customHeight="1" x14ac:dyDescent="0.25">
      <c r="T21689" s="135"/>
      <c r="U21689" s="135"/>
    </row>
    <row r="21690" spans="20:21" ht="15" customHeight="1" x14ac:dyDescent="0.25">
      <c r="T21690" s="135"/>
      <c r="U21690" s="135"/>
    </row>
    <row r="21691" spans="20:21" ht="15" customHeight="1" x14ac:dyDescent="0.25">
      <c r="T21691" s="135"/>
      <c r="U21691" s="135"/>
    </row>
    <row r="21692" spans="20:21" ht="15" customHeight="1" x14ac:dyDescent="0.25">
      <c r="T21692" s="135"/>
      <c r="U21692" s="135"/>
    </row>
    <row r="21693" spans="20:21" ht="15" customHeight="1" x14ac:dyDescent="0.25">
      <c r="T21693" s="135"/>
      <c r="U21693" s="135"/>
    </row>
    <row r="21694" spans="20:21" ht="15" customHeight="1" x14ac:dyDescent="0.25">
      <c r="T21694" s="135"/>
      <c r="U21694" s="135"/>
    </row>
    <row r="21695" spans="20:21" ht="15" customHeight="1" x14ac:dyDescent="0.25">
      <c r="T21695" s="135"/>
      <c r="U21695" s="135"/>
    </row>
    <row r="21696" spans="20:21" ht="15" customHeight="1" x14ac:dyDescent="0.25">
      <c r="T21696" s="135"/>
      <c r="U21696" s="135"/>
    </row>
    <row r="21697" spans="20:21" ht="15" customHeight="1" x14ac:dyDescent="0.25">
      <c r="T21697" s="135"/>
      <c r="U21697" s="135"/>
    </row>
    <row r="21698" spans="20:21" ht="15" customHeight="1" x14ac:dyDescent="0.25">
      <c r="T21698" s="135"/>
      <c r="U21698" s="135"/>
    </row>
    <row r="21699" spans="20:21" ht="15" customHeight="1" x14ac:dyDescent="0.25">
      <c r="T21699" s="135"/>
      <c r="U21699" s="135"/>
    </row>
    <row r="21700" spans="20:21" ht="15" customHeight="1" x14ac:dyDescent="0.25">
      <c r="T21700" s="135"/>
      <c r="U21700" s="135"/>
    </row>
    <row r="21701" spans="20:21" ht="15" customHeight="1" x14ac:dyDescent="0.25">
      <c r="T21701" s="135"/>
      <c r="U21701" s="135"/>
    </row>
    <row r="21702" spans="20:21" ht="15" customHeight="1" x14ac:dyDescent="0.25">
      <c r="T21702" s="135"/>
      <c r="U21702" s="135"/>
    </row>
    <row r="21703" spans="20:21" ht="15" customHeight="1" x14ac:dyDescent="0.25">
      <c r="T21703" s="135"/>
      <c r="U21703" s="135"/>
    </row>
    <row r="21704" spans="20:21" ht="15" customHeight="1" x14ac:dyDescent="0.25">
      <c r="T21704" s="135"/>
      <c r="U21704" s="135"/>
    </row>
    <row r="21705" spans="20:21" ht="15" customHeight="1" x14ac:dyDescent="0.25">
      <c r="T21705" s="135"/>
      <c r="U21705" s="135"/>
    </row>
    <row r="21706" spans="20:21" ht="15" customHeight="1" x14ac:dyDescent="0.25">
      <c r="T21706" s="135"/>
      <c r="U21706" s="135"/>
    </row>
    <row r="21707" spans="20:21" ht="15" customHeight="1" x14ac:dyDescent="0.25">
      <c r="T21707" s="135"/>
      <c r="U21707" s="135"/>
    </row>
    <row r="21708" spans="20:21" ht="15" customHeight="1" x14ac:dyDescent="0.25">
      <c r="T21708" s="135"/>
      <c r="U21708" s="135"/>
    </row>
    <row r="21709" spans="20:21" ht="15" customHeight="1" x14ac:dyDescent="0.25">
      <c r="T21709" s="135"/>
      <c r="U21709" s="135"/>
    </row>
    <row r="21710" spans="20:21" ht="15" customHeight="1" x14ac:dyDescent="0.25">
      <c r="T21710" s="135"/>
      <c r="U21710" s="135"/>
    </row>
    <row r="21711" spans="20:21" ht="15" customHeight="1" x14ac:dyDescent="0.25">
      <c r="T21711" s="135"/>
      <c r="U21711" s="135"/>
    </row>
    <row r="21712" spans="20:21" ht="15" customHeight="1" x14ac:dyDescent="0.25">
      <c r="T21712" s="135"/>
      <c r="U21712" s="135"/>
    </row>
    <row r="21713" spans="20:21" ht="15" customHeight="1" x14ac:dyDescent="0.25">
      <c r="T21713" s="135"/>
      <c r="U21713" s="135"/>
    </row>
    <row r="21714" spans="20:21" ht="15" customHeight="1" x14ac:dyDescent="0.25">
      <c r="T21714" s="135"/>
      <c r="U21714" s="135"/>
    </row>
    <row r="21715" spans="20:21" ht="15" customHeight="1" x14ac:dyDescent="0.25">
      <c r="T21715" s="135"/>
      <c r="U21715" s="135"/>
    </row>
    <row r="21716" spans="20:21" ht="15" customHeight="1" x14ac:dyDescent="0.25">
      <c r="T21716" s="135"/>
      <c r="U21716" s="135"/>
    </row>
    <row r="21717" spans="20:21" ht="15" customHeight="1" x14ac:dyDescent="0.25">
      <c r="T21717" s="135"/>
      <c r="U21717" s="135"/>
    </row>
    <row r="21718" spans="20:21" ht="15" customHeight="1" x14ac:dyDescent="0.25">
      <c r="T21718" s="135"/>
      <c r="U21718" s="135"/>
    </row>
    <row r="21719" spans="20:21" ht="15" customHeight="1" x14ac:dyDescent="0.25">
      <c r="T21719" s="135"/>
      <c r="U21719" s="135"/>
    </row>
    <row r="21720" spans="20:21" ht="15" customHeight="1" x14ac:dyDescent="0.25">
      <c r="T21720" s="135"/>
      <c r="U21720" s="135"/>
    </row>
    <row r="21721" spans="20:21" ht="15" customHeight="1" x14ac:dyDescent="0.25">
      <c r="T21721" s="135"/>
      <c r="U21721" s="135"/>
    </row>
    <row r="21722" spans="20:21" ht="15" customHeight="1" x14ac:dyDescent="0.25">
      <c r="T21722" s="135"/>
      <c r="U21722" s="135"/>
    </row>
    <row r="21723" spans="20:21" ht="15" customHeight="1" x14ac:dyDescent="0.25">
      <c r="T21723" s="135"/>
      <c r="U21723" s="135"/>
    </row>
    <row r="21724" spans="20:21" ht="15" customHeight="1" x14ac:dyDescent="0.25">
      <c r="T21724" s="135"/>
      <c r="U21724" s="135"/>
    </row>
    <row r="21725" spans="20:21" ht="15" customHeight="1" x14ac:dyDescent="0.25">
      <c r="T21725" s="135"/>
      <c r="U21725" s="135"/>
    </row>
    <row r="21726" spans="20:21" ht="15" customHeight="1" x14ac:dyDescent="0.25">
      <c r="T21726" s="135"/>
      <c r="U21726" s="135"/>
    </row>
    <row r="21727" spans="20:21" ht="15" customHeight="1" x14ac:dyDescent="0.25">
      <c r="T21727" s="135"/>
      <c r="U21727" s="135"/>
    </row>
    <row r="21728" spans="20:21" ht="15" customHeight="1" x14ac:dyDescent="0.25">
      <c r="T21728" s="135"/>
      <c r="U21728" s="135"/>
    </row>
    <row r="21729" spans="20:21" ht="15" customHeight="1" x14ac:dyDescent="0.25">
      <c r="T21729" s="135"/>
      <c r="U21729" s="135"/>
    </row>
    <row r="21730" spans="20:21" ht="15" customHeight="1" x14ac:dyDescent="0.25">
      <c r="T21730" s="135"/>
      <c r="U21730" s="135"/>
    </row>
    <row r="21731" spans="20:21" ht="15" customHeight="1" x14ac:dyDescent="0.25">
      <c r="T21731" s="135"/>
      <c r="U21731" s="135"/>
    </row>
    <row r="21732" spans="20:21" ht="15" customHeight="1" x14ac:dyDescent="0.25">
      <c r="T21732" s="135"/>
      <c r="U21732" s="135"/>
    </row>
    <row r="21733" spans="20:21" ht="15" customHeight="1" x14ac:dyDescent="0.25">
      <c r="T21733" s="135"/>
      <c r="U21733" s="135"/>
    </row>
    <row r="21734" spans="20:21" ht="15" customHeight="1" x14ac:dyDescent="0.25">
      <c r="T21734" s="135"/>
      <c r="U21734" s="135"/>
    </row>
    <row r="21735" spans="20:21" ht="15" customHeight="1" x14ac:dyDescent="0.25">
      <c r="T21735" s="135"/>
      <c r="U21735" s="135"/>
    </row>
    <row r="21736" spans="20:21" ht="15" customHeight="1" x14ac:dyDescent="0.25">
      <c r="T21736" s="135"/>
      <c r="U21736" s="135"/>
    </row>
    <row r="21737" spans="20:21" ht="15" customHeight="1" x14ac:dyDescent="0.25">
      <c r="T21737" s="135"/>
      <c r="U21737" s="135"/>
    </row>
    <row r="21738" spans="20:21" ht="15" customHeight="1" x14ac:dyDescent="0.25">
      <c r="T21738" s="135"/>
      <c r="U21738" s="135"/>
    </row>
    <row r="21739" spans="20:21" ht="15" customHeight="1" x14ac:dyDescent="0.25">
      <c r="T21739" s="135"/>
      <c r="U21739" s="135"/>
    </row>
    <row r="21740" spans="20:21" ht="15" customHeight="1" x14ac:dyDescent="0.25">
      <c r="T21740" s="135"/>
      <c r="U21740" s="135"/>
    </row>
    <row r="21741" spans="20:21" ht="15" customHeight="1" x14ac:dyDescent="0.25">
      <c r="T21741" s="135"/>
      <c r="U21741" s="135"/>
    </row>
    <row r="21742" spans="20:21" ht="15" customHeight="1" x14ac:dyDescent="0.25">
      <c r="T21742" s="135"/>
      <c r="U21742" s="135"/>
    </row>
    <row r="21743" spans="20:21" ht="15" customHeight="1" x14ac:dyDescent="0.25">
      <c r="T21743" s="135"/>
      <c r="U21743" s="135"/>
    </row>
    <row r="21744" spans="20:21" ht="15" customHeight="1" x14ac:dyDescent="0.25">
      <c r="T21744" s="135"/>
      <c r="U21744" s="135"/>
    </row>
    <row r="21745" spans="20:21" ht="15" customHeight="1" x14ac:dyDescent="0.25">
      <c r="T21745" s="135"/>
      <c r="U21745" s="135"/>
    </row>
    <row r="21746" spans="20:21" ht="15" customHeight="1" x14ac:dyDescent="0.25">
      <c r="T21746" s="135"/>
      <c r="U21746" s="135"/>
    </row>
    <row r="21747" spans="20:21" ht="15" customHeight="1" x14ac:dyDescent="0.25">
      <c r="T21747" s="135"/>
      <c r="U21747" s="135"/>
    </row>
    <row r="21748" spans="20:21" ht="15" customHeight="1" x14ac:dyDescent="0.25">
      <c r="T21748" s="135"/>
      <c r="U21748" s="135"/>
    </row>
    <row r="21749" spans="20:21" ht="15" customHeight="1" x14ac:dyDescent="0.25">
      <c r="T21749" s="135"/>
      <c r="U21749" s="135"/>
    </row>
    <row r="21750" spans="20:21" ht="15" customHeight="1" x14ac:dyDescent="0.25">
      <c r="T21750" s="135"/>
      <c r="U21750" s="135"/>
    </row>
    <row r="21751" spans="20:21" ht="15" customHeight="1" x14ac:dyDescent="0.25">
      <c r="T21751" s="135"/>
      <c r="U21751" s="135"/>
    </row>
    <row r="21752" spans="20:21" ht="15" customHeight="1" x14ac:dyDescent="0.25">
      <c r="T21752" s="135"/>
      <c r="U21752" s="135"/>
    </row>
    <row r="21753" spans="20:21" ht="15" customHeight="1" x14ac:dyDescent="0.25">
      <c r="T21753" s="135"/>
      <c r="U21753" s="135"/>
    </row>
    <row r="21754" spans="20:21" ht="15" customHeight="1" x14ac:dyDescent="0.25">
      <c r="T21754" s="135"/>
      <c r="U21754" s="135"/>
    </row>
    <row r="21755" spans="20:21" ht="15" customHeight="1" x14ac:dyDescent="0.25">
      <c r="T21755" s="135"/>
      <c r="U21755" s="135"/>
    </row>
    <row r="21756" spans="20:21" ht="15" customHeight="1" x14ac:dyDescent="0.25">
      <c r="T21756" s="135"/>
      <c r="U21756" s="135"/>
    </row>
    <row r="21757" spans="20:21" ht="15" customHeight="1" x14ac:dyDescent="0.25">
      <c r="T21757" s="135"/>
      <c r="U21757" s="135"/>
    </row>
    <row r="21758" spans="20:21" ht="15" customHeight="1" x14ac:dyDescent="0.25">
      <c r="T21758" s="135"/>
      <c r="U21758" s="135"/>
    </row>
    <row r="21759" spans="20:21" ht="15" customHeight="1" x14ac:dyDescent="0.25">
      <c r="T21759" s="135"/>
      <c r="U21759" s="135"/>
    </row>
    <row r="21760" spans="20:21" ht="15" customHeight="1" x14ac:dyDescent="0.25">
      <c r="T21760" s="135"/>
      <c r="U21760" s="135"/>
    </row>
    <row r="21761" spans="20:21" ht="15" customHeight="1" x14ac:dyDescent="0.25">
      <c r="T21761" s="135"/>
      <c r="U21761" s="135"/>
    </row>
    <row r="21762" spans="20:21" ht="15" customHeight="1" x14ac:dyDescent="0.25">
      <c r="T21762" s="135"/>
      <c r="U21762" s="135"/>
    </row>
    <row r="21763" spans="20:21" ht="15" customHeight="1" x14ac:dyDescent="0.25">
      <c r="T21763" s="135"/>
      <c r="U21763" s="135"/>
    </row>
    <row r="21764" spans="20:21" ht="15" customHeight="1" x14ac:dyDescent="0.25">
      <c r="T21764" s="135"/>
      <c r="U21764" s="135"/>
    </row>
    <row r="21765" spans="20:21" ht="15" customHeight="1" x14ac:dyDescent="0.25">
      <c r="T21765" s="135"/>
      <c r="U21765" s="135"/>
    </row>
    <row r="21766" spans="20:21" ht="15" customHeight="1" x14ac:dyDescent="0.25">
      <c r="T21766" s="135"/>
      <c r="U21766" s="135"/>
    </row>
    <row r="21767" spans="20:21" ht="15" customHeight="1" x14ac:dyDescent="0.25">
      <c r="T21767" s="135"/>
      <c r="U21767" s="135"/>
    </row>
    <row r="21768" spans="20:21" ht="15" customHeight="1" x14ac:dyDescent="0.25">
      <c r="T21768" s="135"/>
      <c r="U21768" s="135"/>
    </row>
    <row r="21769" spans="20:21" ht="15" customHeight="1" x14ac:dyDescent="0.25">
      <c r="T21769" s="135"/>
      <c r="U21769" s="135"/>
    </row>
    <row r="21770" spans="20:21" ht="15" customHeight="1" x14ac:dyDescent="0.25">
      <c r="T21770" s="135"/>
      <c r="U21770" s="135"/>
    </row>
    <row r="21771" spans="20:21" ht="15" customHeight="1" x14ac:dyDescent="0.25">
      <c r="T21771" s="135"/>
      <c r="U21771" s="135"/>
    </row>
    <row r="21772" spans="20:21" ht="15" customHeight="1" x14ac:dyDescent="0.25">
      <c r="T21772" s="135"/>
      <c r="U21772" s="135"/>
    </row>
    <row r="21773" spans="20:21" ht="15" customHeight="1" x14ac:dyDescent="0.25">
      <c r="T21773" s="135"/>
      <c r="U21773" s="135"/>
    </row>
    <row r="21774" spans="20:21" ht="15" customHeight="1" x14ac:dyDescent="0.25">
      <c r="T21774" s="135"/>
      <c r="U21774" s="135"/>
    </row>
    <row r="21775" spans="20:21" ht="15" customHeight="1" x14ac:dyDescent="0.25">
      <c r="T21775" s="135"/>
      <c r="U21775" s="135"/>
    </row>
    <row r="21776" spans="20:21" ht="15" customHeight="1" x14ac:dyDescent="0.25">
      <c r="T21776" s="135"/>
      <c r="U21776" s="135"/>
    </row>
    <row r="21777" spans="20:21" ht="15" customHeight="1" x14ac:dyDescent="0.25">
      <c r="T21777" s="135"/>
      <c r="U21777" s="135"/>
    </row>
    <row r="21778" spans="20:21" ht="15" customHeight="1" x14ac:dyDescent="0.25">
      <c r="T21778" s="135"/>
      <c r="U21778" s="135"/>
    </row>
    <row r="21779" spans="20:21" ht="15" customHeight="1" x14ac:dyDescent="0.25">
      <c r="T21779" s="135"/>
      <c r="U21779" s="135"/>
    </row>
    <row r="21780" spans="20:21" ht="15" customHeight="1" x14ac:dyDescent="0.25">
      <c r="T21780" s="135"/>
      <c r="U21780" s="135"/>
    </row>
    <row r="21781" spans="20:21" ht="15" customHeight="1" x14ac:dyDescent="0.25">
      <c r="T21781" s="135"/>
      <c r="U21781" s="135"/>
    </row>
    <row r="21782" spans="20:21" ht="15" customHeight="1" x14ac:dyDescent="0.25">
      <c r="T21782" s="135"/>
      <c r="U21782" s="135"/>
    </row>
    <row r="21783" spans="20:21" ht="15" customHeight="1" x14ac:dyDescent="0.25">
      <c r="T21783" s="135"/>
      <c r="U21783" s="135"/>
    </row>
    <row r="21784" spans="20:21" ht="15" customHeight="1" x14ac:dyDescent="0.25">
      <c r="T21784" s="135"/>
      <c r="U21784" s="135"/>
    </row>
    <row r="21785" spans="20:21" ht="15" customHeight="1" x14ac:dyDescent="0.25">
      <c r="T21785" s="135"/>
      <c r="U21785" s="135"/>
    </row>
    <row r="21786" spans="20:21" ht="15" customHeight="1" x14ac:dyDescent="0.25">
      <c r="T21786" s="135"/>
      <c r="U21786" s="135"/>
    </row>
    <row r="21787" spans="20:21" ht="15" customHeight="1" x14ac:dyDescent="0.25">
      <c r="T21787" s="135"/>
      <c r="U21787" s="135"/>
    </row>
    <row r="21788" spans="20:21" ht="15" customHeight="1" x14ac:dyDescent="0.25">
      <c r="T21788" s="135"/>
      <c r="U21788" s="135"/>
    </row>
    <row r="21789" spans="20:21" ht="15" customHeight="1" x14ac:dyDescent="0.25">
      <c r="T21789" s="135"/>
      <c r="U21789" s="135"/>
    </row>
    <row r="21790" spans="20:21" ht="15" customHeight="1" x14ac:dyDescent="0.25">
      <c r="T21790" s="135"/>
      <c r="U21790" s="135"/>
    </row>
    <row r="21791" spans="20:21" ht="15" customHeight="1" x14ac:dyDescent="0.25">
      <c r="T21791" s="135"/>
      <c r="U21791" s="135"/>
    </row>
    <row r="21792" spans="20:21" ht="15" customHeight="1" x14ac:dyDescent="0.25">
      <c r="T21792" s="135"/>
      <c r="U21792" s="135"/>
    </row>
    <row r="21793" spans="20:21" ht="15" customHeight="1" x14ac:dyDescent="0.25">
      <c r="T21793" s="135"/>
      <c r="U21793" s="135"/>
    </row>
    <row r="21794" spans="20:21" ht="15" customHeight="1" x14ac:dyDescent="0.25">
      <c r="T21794" s="135"/>
      <c r="U21794" s="135"/>
    </row>
    <row r="21795" spans="20:21" ht="15" customHeight="1" x14ac:dyDescent="0.25">
      <c r="T21795" s="135"/>
      <c r="U21795" s="135"/>
    </row>
    <row r="21796" spans="20:21" ht="15" customHeight="1" x14ac:dyDescent="0.25">
      <c r="T21796" s="135"/>
      <c r="U21796" s="135"/>
    </row>
    <row r="21797" spans="20:21" ht="15" customHeight="1" x14ac:dyDescent="0.25">
      <c r="T21797" s="135"/>
      <c r="U21797" s="135"/>
    </row>
    <row r="21798" spans="20:21" ht="15" customHeight="1" x14ac:dyDescent="0.25">
      <c r="T21798" s="135"/>
      <c r="U21798" s="135"/>
    </row>
    <row r="21799" spans="20:21" ht="15" customHeight="1" x14ac:dyDescent="0.25">
      <c r="T21799" s="135"/>
      <c r="U21799" s="135"/>
    </row>
    <row r="21800" spans="20:21" ht="15" customHeight="1" x14ac:dyDescent="0.25">
      <c r="T21800" s="135"/>
      <c r="U21800" s="135"/>
    </row>
    <row r="21801" spans="20:21" ht="15" customHeight="1" x14ac:dyDescent="0.25">
      <c r="T21801" s="135"/>
      <c r="U21801" s="135"/>
    </row>
    <row r="21802" spans="20:21" ht="15" customHeight="1" x14ac:dyDescent="0.25">
      <c r="T21802" s="135"/>
      <c r="U21802" s="135"/>
    </row>
    <row r="21803" spans="20:21" ht="15" customHeight="1" x14ac:dyDescent="0.25">
      <c r="T21803" s="135"/>
      <c r="U21803" s="135"/>
    </row>
    <row r="21804" spans="20:21" ht="15" customHeight="1" x14ac:dyDescent="0.25">
      <c r="T21804" s="135"/>
      <c r="U21804" s="135"/>
    </row>
    <row r="21805" spans="20:21" ht="15" customHeight="1" x14ac:dyDescent="0.25">
      <c r="T21805" s="135"/>
      <c r="U21805" s="135"/>
    </row>
    <row r="21806" spans="20:21" ht="15" customHeight="1" x14ac:dyDescent="0.25">
      <c r="T21806" s="135"/>
      <c r="U21806" s="135"/>
    </row>
    <row r="21807" spans="20:21" ht="15" customHeight="1" x14ac:dyDescent="0.25">
      <c r="T21807" s="135"/>
      <c r="U21807" s="135"/>
    </row>
    <row r="21808" spans="20:21" ht="15" customHeight="1" x14ac:dyDescent="0.25">
      <c r="T21808" s="135"/>
      <c r="U21808" s="135"/>
    </row>
    <row r="21809" spans="20:21" ht="15" customHeight="1" x14ac:dyDescent="0.25">
      <c r="T21809" s="135"/>
      <c r="U21809" s="135"/>
    </row>
    <row r="21810" spans="20:21" ht="15" customHeight="1" x14ac:dyDescent="0.25">
      <c r="T21810" s="135"/>
      <c r="U21810" s="135"/>
    </row>
    <row r="21811" spans="20:21" ht="15" customHeight="1" x14ac:dyDescent="0.25">
      <c r="T21811" s="135"/>
      <c r="U21811" s="135"/>
    </row>
    <row r="21812" spans="20:21" ht="15" customHeight="1" x14ac:dyDescent="0.25">
      <c r="T21812" s="135"/>
      <c r="U21812" s="135"/>
    </row>
    <row r="21813" spans="20:21" ht="15" customHeight="1" x14ac:dyDescent="0.25">
      <c r="T21813" s="135"/>
      <c r="U21813" s="135"/>
    </row>
    <row r="21814" spans="20:21" ht="15" customHeight="1" x14ac:dyDescent="0.25">
      <c r="T21814" s="135"/>
      <c r="U21814" s="135"/>
    </row>
    <row r="21815" spans="20:21" ht="15" customHeight="1" x14ac:dyDescent="0.25">
      <c r="T21815" s="135"/>
      <c r="U21815" s="135"/>
    </row>
    <row r="21816" spans="20:21" ht="15" customHeight="1" x14ac:dyDescent="0.25">
      <c r="T21816" s="135"/>
      <c r="U21816" s="135"/>
    </row>
    <row r="21817" spans="20:21" ht="15" customHeight="1" x14ac:dyDescent="0.25">
      <c r="T21817" s="135"/>
      <c r="U21817" s="135"/>
    </row>
    <row r="21818" spans="20:21" ht="15" customHeight="1" x14ac:dyDescent="0.25">
      <c r="T21818" s="135"/>
      <c r="U21818" s="135"/>
    </row>
    <row r="21819" spans="20:21" ht="15" customHeight="1" x14ac:dyDescent="0.25">
      <c r="T21819" s="135"/>
      <c r="U21819" s="135"/>
    </row>
    <row r="21820" spans="20:21" ht="15" customHeight="1" x14ac:dyDescent="0.25">
      <c r="T21820" s="135"/>
      <c r="U21820" s="135"/>
    </row>
    <row r="21821" spans="20:21" ht="15" customHeight="1" x14ac:dyDescent="0.25">
      <c r="T21821" s="135"/>
      <c r="U21821" s="135"/>
    </row>
    <row r="21822" spans="20:21" ht="15" customHeight="1" x14ac:dyDescent="0.25">
      <c r="T21822" s="135"/>
      <c r="U21822" s="135"/>
    </row>
    <row r="21823" spans="20:21" ht="15" customHeight="1" x14ac:dyDescent="0.25">
      <c r="T21823" s="135"/>
      <c r="U21823" s="135"/>
    </row>
    <row r="21824" spans="20:21" ht="15" customHeight="1" x14ac:dyDescent="0.25">
      <c r="T21824" s="135"/>
      <c r="U21824" s="135"/>
    </row>
    <row r="21825" spans="20:21" ht="15" customHeight="1" x14ac:dyDescent="0.25">
      <c r="T21825" s="135"/>
      <c r="U21825" s="135"/>
    </row>
    <row r="21826" spans="20:21" ht="15" customHeight="1" x14ac:dyDescent="0.25">
      <c r="T21826" s="135"/>
      <c r="U21826" s="135"/>
    </row>
    <row r="21827" spans="20:21" ht="15" customHeight="1" x14ac:dyDescent="0.25">
      <c r="T21827" s="135"/>
      <c r="U21827" s="135"/>
    </row>
    <row r="21828" spans="20:21" ht="15" customHeight="1" x14ac:dyDescent="0.25">
      <c r="T21828" s="135"/>
      <c r="U21828" s="135"/>
    </row>
    <row r="21829" spans="20:21" ht="15" customHeight="1" x14ac:dyDescent="0.25">
      <c r="T21829" s="135"/>
      <c r="U21829" s="135"/>
    </row>
    <row r="21830" spans="20:21" ht="15" customHeight="1" x14ac:dyDescent="0.25">
      <c r="T21830" s="135"/>
      <c r="U21830" s="135"/>
    </row>
    <row r="21831" spans="20:21" ht="15" customHeight="1" x14ac:dyDescent="0.25">
      <c r="T21831" s="135"/>
      <c r="U21831" s="135"/>
    </row>
    <row r="21832" spans="20:21" ht="15" customHeight="1" x14ac:dyDescent="0.25">
      <c r="T21832" s="135"/>
      <c r="U21832" s="135"/>
    </row>
    <row r="21833" spans="20:21" ht="15" customHeight="1" x14ac:dyDescent="0.25">
      <c r="T21833" s="135"/>
      <c r="U21833" s="135"/>
    </row>
    <row r="21834" spans="20:21" ht="15" customHeight="1" x14ac:dyDescent="0.25">
      <c r="T21834" s="135"/>
      <c r="U21834" s="135"/>
    </row>
    <row r="21835" spans="20:21" ht="15" customHeight="1" x14ac:dyDescent="0.25">
      <c r="T21835" s="135"/>
      <c r="U21835" s="135"/>
    </row>
    <row r="21836" spans="20:21" ht="15" customHeight="1" x14ac:dyDescent="0.25">
      <c r="T21836" s="135"/>
      <c r="U21836" s="135"/>
    </row>
    <row r="21837" spans="20:21" ht="15" customHeight="1" x14ac:dyDescent="0.25">
      <c r="T21837" s="135"/>
      <c r="U21837" s="135"/>
    </row>
    <row r="21838" spans="20:21" ht="15" customHeight="1" x14ac:dyDescent="0.25">
      <c r="T21838" s="135"/>
      <c r="U21838" s="135"/>
    </row>
    <row r="21839" spans="20:21" ht="15" customHeight="1" x14ac:dyDescent="0.25">
      <c r="T21839" s="135"/>
      <c r="U21839" s="135"/>
    </row>
    <row r="21840" spans="20:21" ht="15" customHeight="1" x14ac:dyDescent="0.25">
      <c r="T21840" s="135"/>
      <c r="U21840" s="135"/>
    </row>
    <row r="21841" spans="20:21" ht="15" customHeight="1" x14ac:dyDescent="0.25">
      <c r="T21841" s="135"/>
      <c r="U21841" s="135"/>
    </row>
    <row r="21842" spans="20:21" ht="15" customHeight="1" x14ac:dyDescent="0.25">
      <c r="T21842" s="135"/>
      <c r="U21842" s="135"/>
    </row>
    <row r="21843" spans="20:21" ht="15" customHeight="1" x14ac:dyDescent="0.25">
      <c r="T21843" s="135"/>
      <c r="U21843" s="135"/>
    </row>
    <row r="21844" spans="20:21" ht="15" customHeight="1" x14ac:dyDescent="0.25">
      <c r="T21844" s="135"/>
      <c r="U21844" s="135"/>
    </row>
    <row r="21845" spans="20:21" ht="15" customHeight="1" x14ac:dyDescent="0.25">
      <c r="T21845" s="135"/>
      <c r="U21845" s="135"/>
    </row>
    <row r="21846" spans="20:21" ht="15" customHeight="1" x14ac:dyDescent="0.25">
      <c r="T21846" s="135"/>
      <c r="U21846" s="135"/>
    </row>
    <row r="21847" spans="20:21" ht="15" customHeight="1" x14ac:dyDescent="0.25">
      <c r="T21847" s="135"/>
      <c r="U21847" s="135"/>
    </row>
    <row r="21848" spans="20:21" ht="15" customHeight="1" x14ac:dyDescent="0.25">
      <c r="T21848" s="135"/>
      <c r="U21848" s="135"/>
    </row>
    <row r="21849" spans="20:21" ht="15" customHeight="1" x14ac:dyDescent="0.25">
      <c r="T21849" s="135"/>
      <c r="U21849" s="135"/>
    </row>
    <row r="21850" spans="20:21" ht="15" customHeight="1" x14ac:dyDescent="0.25">
      <c r="T21850" s="135"/>
      <c r="U21850" s="135"/>
    </row>
    <row r="21851" spans="20:21" ht="15" customHeight="1" x14ac:dyDescent="0.25">
      <c r="T21851" s="135"/>
      <c r="U21851" s="135"/>
    </row>
    <row r="21852" spans="20:21" ht="15" customHeight="1" x14ac:dyDescent="0.25">
      <c r="T21852" s="135"/>
      <c r="U21852" s="135"/>
    </row>
    <row r="21853" spans="20:21" ht="15" customHeight="1" x14ac:dyDescent="0.25">
      <c r="T21853" s="135"/>
      <c r="U21853" s="135"/>
    </row>
    <row r="21854" spans="20:21" ht="15" customHeight="1" x14ac:dyDescent="0.25">
      <c r="T21854" s="135"/>
      <c r="U21854" s="135"/>
    </row>
    <row r="21855" spans="20:21" ht="15" customHeight="1" x14ac:dyDescent="0.25">
      <c r="T21855" s="135"/>
      <c r="U21855" s="135"/>
    </row>
    <row r="21856" spans="20:21" ht="15" customHeight="1" x14ac:dyDescent="0.25">
      <c r="T21856" s="135"/>
      <c r="U21856" s="135"/>
    </row>
    <row r="21857" spans="20:21" ht="15" customHeight="1" x14ac:dyDescent="0.25">
      <c r="T21857" s="135"/>
      <c r="U21857" s="135"/>
    </row>
    <row r="21858" spans="20:21" ht="15" customHeight="1" x14ac:dyDescent="0.25">
      <c r="T21858" s="135"/>
      <c r="U21858" s="135"/>
    </row>
    <row r="21859" spans="20:21" ht="15" customHeight="1" x14ac:dyDescent="0.25">
      <c r="T21859" s="135"/>
      <c r="U21859" s="135"/>
    </row>
    <row r="21860" spans="20:21" ht="15" customHeight="1" x14ac:dyDescent="0.25">
      <c r="T21860" s="135"/>
      <c r="U21860" s="135"/>
    </row>
    <row r="21861" spans="20:21" ht="15" customHeight="1" x14ac:dyDescent="0.25">
      <c r="T21861" s="135"/>
      <c r="U21861" s="135"/>
    </row>
    <row r="21862" spans="20:21" ht="15" customHeight="1" x14ac:dyDescent="0.25">
      <c r="T21862" s="135"/>
      <c r="U21862" s="135"/>
    </row>
    <row r="21863" spans="20:21" ht="15" customHeight="1" x14ac:dyDescent="0.25">
      <c r="T21863" s="135"/>
      <c r="U21863" s="135"/>
    </row>
    <row r="21864" spans="20:21" ht="15" customHeight="1" x14ac:dyDescent="0.25">
      <c r="T21864" s="135"/>
      <c r="U21864" s="135"/>
    </row>
    <row r="21865" spans="20:21" ht="15" customHeight="1" x14ac:dyDescent="0.25">
      <c r="T21865" s="135"/>
      <c r="U21865" s="135"/>
    </row>
    <row r="21866" spans="20:21" ht="15" customHeight="1" x14ac:dyDescent="0.25">
      <c r="T21866" s="135"/>
      <c r="U21866" s="135"/>
    </row>
    <row r="21867" spans="20:21" ht="15" customHeight="1" x14ac:dyDescent="0.25">
      <c r="T21867" s="135"/>
      <c r="U21867" s="135"/>
    </row>
    <row r="21868" spans="20:21" ht="15" customHeight="1" x14ac:dyDescent="0.25">
      <c r="T21868" s="135"/>
      <c r="U21868" s="135"/>
    </row>
    <row r="21869" spans="20:21" ht="15" customHeight="1" x14ac:dyDescent="0.25">
      <c r="T21869" s="135"/>
      <c r="U21869" s="135"/>
    </row>
    <row r="21870" spans="20:21" ht="15" customHeight="1" x14ac:dyDescent="0.25">
      <c r="T21870" s="135"/>
      <c r="U21870" s="135"/>
    </row>
    <row r="21871" spans="20:21" ht="15" customHeight="1" x14ac:dyDescent="0.25">
      <c r="T21871" s="135"/>
      <c r="U21871" s="135"/>
    </row>
    <row r="21872" spans="20:21" ht="15" customHeight="1" x14ac:dyDescent="0.25">
      <c r="T21872" s="135"/>
      <c r="U21872" s="135"/>
    </row>
    <row r="21873" spans="20:21" ht="15" customHeight="1" x14ac:dyDescent="0.25">
      <c r="T21873" s="135"/>
      <c r="U21873" s="135"/>
    </row>
    <row r="21874" spans="20:21" ht="15" customHeight="1" x14ac:dyDescent="0.25">
      <c r="T21874" s="135"/>
      <c r="U21874" s="135"/>
    </row>
    <row r="21875" spans="20:21" ht="15" customHeight="1" x14ac:dyDescent="0.25">
      <c r="T21875" s="135"/>
      <c r="U21875" s="135"/>
    </row>
    <row r="21876" spans="20:21" ht="15" customHeight="1" x14ac:dyDescent="0.25">
      <c r="T21876" s="135"/>
      <c r="U21876" s="135"/>
    </row>
    <row r="21877" spans="20:21" ht="15" customHeight="1" x14ac:dyDescent="0.25">
      <c r="T21877" s="135"/>
      <c r="U21877" s="135"/>
    </row>
    <row r="21878" spans="20:21" ht="15" customHeight="1" x14ac:dyDescent="0.25">
      <c r="T21878" s="135"/>
      <c r="U21878" s="135"/>
    </row>
    <row r="21879" spans="20:21" ht="15" customHeight="1" x14ac:dyDescent="0.25">
      <c r="T21879" s="135"/>
      <c r="U21879" s="135"/>
    </row>
    <row r="21880" spans="20:21" ht="15" customHeight="1" x14ac:dyDescent="0.25">
      <c r="T21880" s="135"/>
      <c r="U21880" s="135"/>
    </row>
    <row r="21881" spans="20:21" ht="15" customHeight="1" x14ac:dyDescent="0.25">
      <c r="T21881" s="135"/>
      <c r="U21881" s="135"/>
    </row>
    <row r="21882" spans="20:21" ht="15" customHeight="1" x14ac:dyDescent="0.25">
      <c r="T21882" s="135"/>
      <c r="U21882" s="135"/>
    </row>
    <row r="21883" spans="20:21" ht="15" customHeight="1" x14ac:dyDescent="0.25">
      <c r="T21883" s="135"/>
      <c r="U21883" s="135"/>
    </row>
    <row r="21884" spans="20:21" ht="15" customHeight="1" x14ac:dyDescent="0.25">
      <c r="T21884" s="135"/>
      <c r="U21884" s="135"/>
    </row>
    <row r="21885" spans="20:21" ht="15" customHeight="1" x14ac:dyDescent="0.25">
      <c r="T21885" s="135"/>
      <c r="U21885" s="135"/>
    </row>
    <row r="21886" spans="20:21" ht="15" customHeight="1" x14ac:dyDescent="0.25">
      <c r="T21886" s="135"/>
      <c r="U21886" s="135"/>
    </row>
    <row r="21887" spans="20:21" ht="15" customHeight="1" x14ac:dyDescent="0.25">
      <c r="T21887" s="135"/>
      <c r="U21887" s="135"/>
    </row>
    <row r="21888" spans="20:21" ht="15" customHeight="1" x14ac:dyDescent="0.25">
      <c r="T21888" s="135"/>
      <c r="U21888" s="135"/>
    </row>
    <row r="21889" spans="20:21" ht="15" customHeight="1" x14ac:dyDescent="0.25">
      <c r="T21889" s="135"/>
      <c r="U21889" s="135"/>
    </row>
    <row r="21890" spans="20:21" ht="15" customHeight="1" x14ac:dyDescent="0.25">
      <c r="T21890" s="135"/>
      <c r="U21890" s="135"/>
    </row>
    <row r="21891" spans="20:21" ht="15" customHeight="1" x14ac:dyDescent="0.25">
      <c r="T21891" s="135"/>
      <c r="U21891" s="135"/>
    </row>
    <row r="21892" spans="20:21" ht="15" customHeight="1" x14ac:dyDescent="0.25">
      <c r="T21892" s="135"/>
      <c r="U21892" s="135"/>
    </row>
    <row r="21893" spans="20:21" ht="15" customHeight="1" x14ac:dyDescent="0.25">
      <c r="T21893" s="135"/>
      <c r="U21893" s="135"/>
    </row>
    <row r="21894" spans="20:21" ht="15" customHeight="1" x14ac:dyDescent="0.25">
      <c r="T21894" s="135"/>
      <c r="U21894" s="135"/>
    </row>
    <row r="21895" spans="20:21" ht="15" customHeight="1" x14ac:dyDescent="0.25">
      <c r="T21895" s="135"/>
      <c r="U21895" s="135"/>
    </row>
    <row r="21896" spans="20:21" ht="15" customHeight="1" x14ac:dyDescent="0.25">
      <c r="T21896" s="135"/>
      <c r="U21896" s="135"/>
    </row>
    <row r="21897" spans="20:21" ht="15" customHeight="1" x14ac:dyDescent="0.25">
      <c r="T21897" s="135"/>
      <c r="U21897" s="135"/>
    </row>
    <row r="21898" spans="20:21" ht="15" customHeight="1" x14ac:dyDescent="0.25">
      <c r="T21898" s="135"/>
      <c r="U21898" s="135"/>
    </row>
    <row r="21899" spans="20:21" ht="15" customHeight="1" x14ac:dyDescent="0.25">
      <c r="T21899" s="135"/>
      <c r="U21899" s="135"/>
    </row>
    <row r="21900" spans="20:21" ht="15" customHeight="1" x14ac:dyDescent="0.25">
      <c r="T21900" s="135"/>
      <c r="U21900" s="135"/>
    </row>
    <row r="21901" spans="20:21" ht="15" customHeight="1" x14ac:dyDescent="0.25">
      <c r="T21901" s="135"/>
      <c r="U21901" s="135"/>
    </row>
    <row r="21902" spans="20:21" ht="15" customHeight="1" x14ac:dyDescent="0.25">
      <c r="T21902" s="135"/>
      <c r="U21902" s="135"/>
    </row>
    <row r="21903" spans="20:21" ht="15" customHeight="1" x14ac:dyDescent="0.25">
      <c r="T21903" s="135"/>
      <c r="U21903" s="135"/>
    </row>
    <row r="21904" spans="20:21" ht="15" customHeight="1" x14ac:dyDescent="0.25">
      <c r="T21904" s="135"/>
      <c r="U21904" s="135"/>
    </row>
    <row r="21905" spans="20:21" ht="15" customHeight="1" x14ac:dyDescent="0.25">
      <c r="T21905" s="135"/>
      <c r="U21905" s="135"/>
    </row>
    <row r="21906" spans="20:21" ht="15" customHeight="1" x14ac:dyDescent="0.25">
      <c r="T21906" s="135"/>
      <c r="U21906" s="135"/>
    </row>
    <row r="21907" spans="20:21" ht="15" customHeight="1" x14ac:dyDescent="0.25">
      <c r="T21907" s="135"/>
      <c r="U21907" s="135"/>
    </row>
    <row r="21908" spans="20:21" ht="15" customHeight="1" x14ac:dyDescent="0.25">
      <c r="T21908" s="135"/>
      <c r="U21908" s="135"/>
    </row>
    <row r="21909" spans="20:21" ht="15" customHeight="1" x14ac:dyDescent="0.25">
      <c r="T21909" s="135"/>
      <c r="U21909" s="135"/>
    </row>
    <row r="21910" spans="20:21" ht="15" customHeight="1" x14ac:dyDescent="0.25">
      <c r="T21910" s="135"/>
      <c r="U21910" s="135"/>
    </row>
    <row r="21911" spans="20:21" ht="15" customHeight="1" x14ac:dyDescent="0.25">
      <c r="T21911" s="135"/>
      <c r="U21911" s="135"/>
    </row>
    <row r="21912" spans="20:21" ht="15" customHeight="1" x14ac:dyDescent="0.25">
      <c r="T21912" s="135"/>
      <c r="U21912" s="135"/>
    </row>
    <row r="21913" spans="20:21" ht="15" customHeight="1" x14ac:dyDescent="0.25">
      <c r="T21913" s="135"/>
      <c r="U21913" s="135"/>
    </row>
    <row r="21914" spans="20:21" ht="15" customHeight="1" x14ac:dyDescent="0.25">
      <c r="T21914" s="135"/>
      <c r="U21914" s="135"/>
    </row>
    <row r="21915" spans="20:21" ht="15" customHeight="1" x14ac:dyDescent="0.25">
      <c r="T21915" s="135"/>
      <c r="U21915" s="135"/>
    </row>
    <row r="21916" spans="20:21" ht="15" customHeight="1" x14ac:dyDescent="0.25">
      <c r="T21916" s="135"/>
      <c r="U21916" s="135"/>
    </row>
    <row r="21917" spans="20:21" ht="15" customHeight="1" x14ac:dyDescent="0.25">
      <c r="T21917" s="135"/>
      <c r="U21917" s="135"/>
    </row>
    <row r="21918" spans="20:21" ht="15" customHeight="1" x14ac:dyDescent="0.25">
      <c r="T21918" s="135"/>
      <c r="U21918" s="135"/>
    </row>
    <row r="21919" spans="20:21" ht="15" customHeight="1" x14ac:dyDescent="0.25">
      <c r="T21919" s="135"/>
      <c r="U21919" s="135"/>
    </row>
    <row r="21920" spans="20:21" ht="15" customHeight="1" x14ac:dyDescent="0.25">
      <c r="T21920" s="135"/>
      <c r="U21920" s="135"/>
    </row>
    <row r="21921" spans="20:21" ht="15" customHeight="1" x14ac:dyDescent="0.25">
      <c r="T21921" s="135"/>
      <c r="U21921" s="135"/>
    </row>
    <row r="21922" spans="20:21" ht="15" customHeight="1" x14ac:dyDescent="0.25">
      <c r="T21922" s="135"/>
      <c r="U21922" s="135"/>
    </row>
    <row r="21923" spans="20:21" ht="15" customHeight="1" x14ac:dyDescent="0.25">
      <c r="T21923" s="135"/>
      <c r="U21923" s="135"/>
    </row>
    <row r="21924" spans="20:21" ht="15" customHeight="1" x14ac:dyDescent="0.25">
      <c r="T21924" s="135"/>
      <c r="U21924" s="135"/>
    </row>
    <row r="21925" spans="20:21" ht="15" customHeight="1" x14ac:dyDescent="0.25">
      <c r="T21925" s="135"/>
      <c r="U21925" s="135"/>
    </row>
    <row r="21926" spans="20:21" ht="15" customHeight="1" x14ac:dyDescent="0.25">
      <c r="T21926" s="135"/>
      <c r="U21926" s="135"/>
    </row>
    <row r="21927" spans="20:21" ht="15" customHeight="1" x14ac:dyDescent="0.25">
      <c r="T21927" s="135"/>
      <c r="U21927" s="135"/>
    </row>
    <row r="21928" spans="20:21" ht="15" customHeight="1" x14ac:dyDescent="0.25">
      <c r="T21928" s="135"/>
      <c r="U21928" s="135"/>
    </row>
    <row r="21929" spans="20:21" ht="15" customHeight="1" x14ac:dyDescent="0.25">
      <c r="T21929" s="135"/>
      <c r="U21929" s="135"/>
    </row>
    <row r="21930" spans="20:21" ht="15" customHeight="1" x14ac:dyDescent="0.25">
      <c r="T21930" s="135"/>
      <c r="U21930" s="135"/>
    </row>
    <row r="21931" spans="20:21" ht="15" customHeight="1" x14ac:dyDescent="0.25">
      <c r="T21931" s="135"/>
      <c r="U21931" s="135"/>
    </row>
    <row r="21932" spans="20:21" ht="15" customHeight="1" x14ac:dyDescent="0.25">
      <c r="T21932" s="135"/>
      <c r="U21932" s="135"/>
    </row>
    <row r="21933" spans="20:21" ht="15" customHeight="1" x14ac:dyDescent="0.25">
      <c r="T21933" s="135"/>
      <c r="U21933" s="135"/>
    </row>
    <row r="21934" spans="20:21" ht="15" customHeight="1" x14ac:dyDescent="0.25">
      <c r="T21934" s="135"/>
      <c r="U21934" s="135"/>
    </row>
    <row r="21935" spans="20:21" ht="15" customHeight="1" x14ac:dyDescent="0.25">
      <c r="T21935" s="135"/>
      <c r="U21935" s="135"/>
    </row>
    <row r="21936" spans="20:21" ht="15" customHeight="1" x14ac:dyDescent="0.25">
      <c r="T21936" s="135"/>
      <c r="U21936" s="135"/>
    </row>
    <row r="21937" spans="20:21" ht="15" customHeight="1" x14ac:dyDescent="0.25">
      <c r="T21937" s="135"/>
      <c r="U21937" s="135"/>
    </row>
    <row r="21938" spans="20:21" ht="15" customHeight="1" x14ac:dyDescent="0.25">
      <c r="T21938" s="135"/>
      <c r="U21938" s="135"/>
    </row>
    <row r="21939" spans="20:21" ht="15" customHeight="1" x14ac:dyDescent="0.25">
      <c r="T21939" s="135"/>
      <c r="U21939" s="135"/>
    </row>
    <row r="21940" spans="20:21" ht="15" customHeight="1" x14ac:dyDescent="0.25">
      <c r="T21940" s="135"/>
      <c r="U21940" s="135"/>
    </row>
    <row r="21941" spans="20:21" ht="15" customHeight="1" x14ac:dyDescent="0.25">
      <c r="T21941" s="135"/>
      <c r="U21941" s="135"/>
    </row>
    <row r="21942" spans="20:21" ht="15" customHeight="1" x14ac:dyDescent="0.25">
      <c r="T21942" s="135"/>
      <c r="U21942" s="135"/>
    </row>
    <row r="21943" spans="20:21" ht="15" customHeight="1" x14ac:dyDescent="0.25">
      <c r="T21943" s="135"/>
      <c r="U21943" s="135"/>
    </row>
    <row r="21944" spans="20:21" ht="15" customHeight="1" x14ac:dyDescent="0.25">
      <c r="T21944" s="135"/>
      <c r="U21944" s="135"/>
    </row>
    <row r="21945" spans="20:21" ht="15" customHeight="1" x14ac:dyDescent="0.25">
      <c r="T21945" s="135"/>
      <c r="U21945" s="135"/>
    </row>
    <row r="21946" spans="20:21" ht="15" customHeight="1" x14ac:dyDescent="0.25">
      <c r="T21946" s="135"/>
      <c r="U21946" s="135"/>
    </row>
    <row r="21947" spans="20:21" ht="15" customHeight="1" x14ac:dyDescent="0.25">
      <c r="T21947" s="135"/>
      <c r="U21947" s="135"/>
    </row>
    <row r="21948" spans="20:21" ht="15" customHeight="1" x14ac:dyDescent="0.25">
      <c r="T21948" s="135"/>
      <c r="U21948" s="135"/>
    </row>
    <row r="21949" spans="20:21" ht="15" customHeight="1" x14ac:dyDescent="0.25">
      <c r="T21949" s="135"/>
      <c r="U21949" s="135"/>
    </row>
    <row r="21950" spans="20:21" ht="15" customHeight="1" x14ac:dyDescent="0.25">
      <c r="T21950" s="135"/>
      <c r="U21950" s="135"/>
    </row>
    <row r="21951" spans="20:21" ht="15" customHeight="1" x14ac:dyDescent="0.25">
      <c r="T21951" s="135"/>
      <c r="U21951" s="135"/>
    </row>
    <row r="21952" spans="20:21" ht="15" customHeight="1" x14ac:dyDescent="0.25">
      <c r="T21952" s="135"/>
      <c r="U21952" s="135"/>
    </row>
    <row r="21953" spans="20:21" ht="15" customHeight="1" x14ac:dyDescent="0.25">
      <c r="T21953" s="135"/>
      <c r="U21953" s="135"/>
    </row>
    <row r="21954" spans="20:21" ht="15" customHeight="1" x14ac:dyDescent="0.25">
      <c r="T21954" s="135"/>
      <c r="U21954" s="135"/>
    </row>
    <row r="21955" spans="20:21" ht="15" customHeight="1" x14ac:dyDescent="0.25">
      <c r="T21955" s="135"/>
      <c r="U21955" s="135"/>
    </row>
    <row r="21956" spans="20:21" ht="15" customHeight="1" x14ac:dyDescent="0.25">
      <c r="T21956" s="135"/>
      <c r="U21956" s="135"/>
    </row>
    <row r="21957" spans="20:21" ht="15" customHeight="1" x14ac:dyDescent="0.25">
      <c r="T21957" s="135"/>
      <c r="U21957" s="135"/>
    </row>
    <row r="21958" spans="20:21" ht="15" customHeight="1" x14ac:dyDescent="0.25">
      <c r="T21958" s="135"/>
      <c r="U21958" s="135"/>
    </row>
    <row r="21959" spans="20:21" ht="15" customHeight="1" x14ac:dyDescent="0.25">
      <c r="T21959" s="135"/>
      <c r="U21959" s="135"/>
    </row>
    <row r="21960" spans="20:21" ht="15" customHeight="1" x14ac:dyDescent="0.25">
      <c r="T21960" s="135"/>
      <c r="U21960" s="135"/>
    </row>
    <row r="21961" spans="20:21" ht="15" customHeight="1" x14ac:dyDescent="0.25">
      <c r="T21961" s="135"/>
      <c r="U21961" s="135"/>
    </row>
    <row r="21962" spans="20:21" ht="15" customHeight="1" x14ac:dyDescent="0.25">
      <c r="T21962" s="135"/>
      <c r="U21962" s="135"/>
    </row>
    <row r="21963" spans="20:21" ht="15" customHeight="1" x14ac:dyDescent="0.25">
      <c r="T21963" s="135"/>
      <c r="U21963" s="135"/>
    </row>
    <row r="21964" spans="20:21" ht="15" customHeight="1" x14ac:dyDescent="0.25">
      <c r="T21964" s="135"/>
      <c r="U21964" s="135"/>
    </row>
    <row r="21965" spans="20:21" ht="15" customHeight="1" x14ac:dyDescent="0.25">
      <c r="T21965" s="135"/>
      <c r="U21965" s="135"/>
    </row>
    <row r="21966" spans="20:21" ht="15" customHeight="1" x14ac:dyDescent="0.25">
      <c r="T21966" s="135"/>
      <c r="U21966" s="135"/>
    </row>
    <row r="21967" spans="20:21" ht="15" customHeight="1" x14ac:dyDescent="0.25">
      <c r="T21967" s="135"/>
      <c r="U21967" s="135"/>
    </row>
    <row r="21968" spans="20:21" ht="15" customHeight="1" x14ac:dyDescent="0.25">
      <c r="T21968" s="135"/>
      <c r="U21968" s="135"/>
    </row>
    <row r="21969" spans="20:21" ht="15" customHeight="1" x14ac:dyDescent="0.25">
      <c r="T21969" s="135"/>
      <c r="U21969" s="135"/>
    </row>
    <row r="21970" spans="20:21" ht="15" customHeight="1" x14ac:dyDescent="0.25">
      <c r="T21970" s="135"/>
      <c r="U21970" s="135"/>
    </row>
    <row r="21971" spans="20:21" ht="15" customHeight="1" x14ac:dyDescent="0.25">
      <c r="T21971" s="135"/>
      <c r="U21971" s="135"/>
    </row>
    <row r="21972" spans="20:21" ht="15" customHeight="1" x14ac:dyDescent="0.25">
      <c r="T21972" s="135"/>
      <c r="U21972" s="135"/>
    </row>
    <row r="21973" spans="20:21" ht="15" customHeight="1" x14ac:dyDescent="0.25">
      <c r="T21973" s="135"/>
      <c r="U21973" s="135"/>
    </row>
    <row r="21974" spans="20:21" ht="15" customHeight="1" x14ac:dyDescent="0.25">
      <c r="T21974" s="135"/>
      <c r="U21974" s="135"/>
    </row>
    <row r="21975" spans="20:21" ht="15" customHeight="1" x14ac:dyDescent="0.25">
      <c r="T21975" s="135"/>
      <c r="U21975" s="135"/>
    </row>
    <row r="21976" spans="20:21" ht="15" customHeight="1" x14ac:dyDescent="0.25">
      <c r="T21976" s="135"/>
      <c r="U21976" s="135"/>
    </row>
    <row r="21977" spans="20:21" ht="15" customHeight="1" x14ac:dyDescent="0.25">
      <c r="T21977" s="135"/>
      <c r="U21977" s="135"/>
    </row>
    <row r="21978" spans="20:21" ht="15" customHeight="1" x14ac:dyDescent="0.25">
      <c r="T21978" s="135"/>
      <c r="U21978" s="135"/>
    </row>
    <row r="21979" spans="20:21" ht="15" customHeight="1" x14ac:dyDescent="0.25">
      <c r="T21979" s="135"/>
      <c r="U21979" s="135"/>
    </row>
    <row r="21980" spans="20:21" ht="15" customHeight="1" x14ac:dyDescent="0.25">
      <c r="T21980" s="135"/>
      <c r="U21980" s="135"/>
    </row>
    <row r="21981" spans="20:21" ht="15" customHeight="1" x14ac:dyDescent="0.25">
      <c r="T21981" s="135"/>
      <c r="U21981" s="135"/>
    </row>
    <row r="21982" spans="20:21" ht="15" customHeight="1" x14ac:dyDescent="0.25">
      <c r="T21982" s="135"/>
      <c r="U21982" s="135"/>
    </row>
    <row r="21983" spans="20:21" ht="15" customHeight="1" x14ac:dyDescent="0.25">
      <c r="T21983" s="135"/>
      <c r="U21983" s="135"/>
    </row>
    <row r="21984" spans="20:21" ht="15" customHeight="1" x14ac:dyDescent="0.25">
      <c r="T21984" s="135"/>
      <c r="U21984" s="135"/>
    </row>
    <row r="21985" spans="20:21" ht="15" customHeight="1" x14ac:dyDescent="0.25">
      <c r="T21985" s="135"/>
      <c r="U21985" s="135"/>
    </row>
    <row r="21986" spans="20:21" ht="15" customHeight="1" x14ac:dyDescent="0.25">
      <c r="T21986" s="135"/>
      <c r="U21986" s="135"/>
    </row>
    <row r="21987" spans="20:21" ht="15" customHeight="1" x14ac:dyDescent="0.25">
      <c r="T21987" s="135"/>
      <c r="U21987" s="135"/>
    </row>
    <row r="21988" spans="20:21" ht="15" customHeight="1" x14ac:dyDescent="0.25">
      <c r="T21988" s="135"/>
      <c r="U21988" s="135"/>
    </row>
    <row r="21989" spans="20:21" ht="15" customHeight="1" x14ac:dyDescent="0.25">
      <c r="T21989" s="135"/>
      <c r="U21989" s="135"/>
    </row>
    <row r="21990" spans="20:21" ht="15" customHeight="1" x14ac:dyDescent="0.25">
      <c r="T21990" s="135"/>
      <c r="U21990" s="135"/>
    </row>
    <row r="21991" spans="20:21" ht="15" customHeight="1" x14ac:dyDescent="0.25">
      <c r="T21991" s="135"/>
      <c r="U21991" s="135"/>
    </row>
    <row r="21992" spans="20:21" ht="15" customHeight="1" x14ac:dyDescent="0.25">
      <c r="T21992" s="135"/>
      <c r="U21992" s="135"/>
    </row>
    <row r="21993" spans="20:21" ht="15" customHeight="1" x14ac:dyDescent="0.25">
      <c r="T21993" s="135"/>
      <c r="U21993" s="135"/>
    </row>
    <row r="21994" spans="20:21" ht="15" customHeight="1" x14ac:dyDescent="0.25">
      <c r="T21994" s="135"/>
      <c r="U21994" s="135"/>
    </row>
    <row r="21995" spans="20:21" ht="15" customHeight="1" x14ac:dyDescent="0.25">
      <c r="T21995" s="135"/>
      <c r="U21995" s="135"/>
    </row>
    <row r="21996" spans="20:21" ht="15" customHeight="1" x14ac:dyDescent="0.25">
      <c r="T21996" s="135"/>
      <c r="U21996" s="135"/>
    </row>
    <row r="21997" spans="20:21" ht="15" customHeight="1" x14ac:dyDescent="0.25">
      <c r="T21997" s="135"/>
      <c r="U21997" s="135"/>
    </row>
    <row r="21998" spans="20:21" ht="15" customHeight="1" x14ac:dyDescent="0.25">
      <c r="T21998" s="135"/>
      <c r="U21998" s="135"/>
    </row>
    <row r="21999" spans="20:21" ht="15" customHeight="1" x14ac:dyDescent="0.25">
      <c r="T21999" s="135"/>
      <c r="U21999" s="135"/>
    </row>
    <row r="22000" spans="20:21" ht="15" customHeight="1" x14ac:dyDescent="0.25">
      <c r="T22000" s="135"/>
      <c r="U22000" s="135"/>
    </row>
    <row r="22001" spans="20:21" ht="15" customHeight="1" x14ac:dyDescent="0.25">
      <c r="T22001" s="135"/>
      <c r="U22001" s="135"/>
    </row>
    <row r="22002" spans="20:21" ht="15" customHeight="1" x14ac:dyDescent="0.25">
      <c r="T22002" s="135"/>
      <c r="U22002" s="135"/>
    </row>
    <row r="22003" spans="20:21" ht="15" customHeight="1" x14ac:dyDescent="0.25">
      <c r="T22003" s="135"/>
      <c r="U22003" s="135"/>
    </row>
    <row r="22004" spans="20:21" ht="15" customHeight="1" x14ac:dyDescent="0.25">
      <c r="T22004" s="135"/>
      <c r="U22004" s="135"/>
    </row>
    <row r="22005" spans="20:21" ht="15" customHeight="1" x14ac:dyDescent="0.25">
      <c r="T22005" s="135"/>
      <c r="U22005" s="135"/>
    </row>
    <row r="22006" spans="20:21" ht="15" customHeight="1" x14ac:dyDescent="0.25">
      <c r="T22006" s="135"/>
      <c r="U22006" s="135"/>
    </row>
    <row r="22007" spans="20:21" ht="15" customHeight="1" x14ac:dyDescent="0.25">
      <c r="T22007" s="135"/>
      <c r="U22007" s="135"/>
    </row>
    <row r="22008" spans="20:21" ht="15" customHeight="1" x14ac:dyDescent="0.25">
      <c r="T22008" s="135"/>
      <c r="U22008" s="135"/>
    </row>
    <row r="22009" spans="20:21" ht="15" customHeight="1" x14ac:dyDescent="0.25">
      <c r="T22009" s="135"/>
      <c r="U22009" s="135"/>
    </row>
    <row r="22010" spans="20:21" ht="15" customHeight="1" x14ac:dyDescent="0.25">
      <c r="T22010" s="135"/>
      <c r="U22010" s="135"/>
    </row>
    <row r="22011" spans="20:21" ht="15" customHeight="1" x14ac:dyDescent="0.25">
      <c r="T22011" s="135"/>
      <c r="U22011" s="135"/>
    </row>
    <row r="22012" spans="20:21" ht="15" customHeight="1" x14ac:dyDescent="0.25">
      <c r="T22012" s="135"/>
      <c r="U22012" s="135"/>
    </row>
    <row r="22013" spans="20:21" ht="15" customHeight="1" x14ac:dyDescent="0.25">
      <c r="T22013" s="135"/>
      <c r="U22013" s="135"/>
    </row>
    <row r="22014" spans="20:21" ht="15" customHeight="1" x14ac:dyDescent="0.25">
      <c r="T22014" s="135"/>
      <c r="U22014" s="135"/>
    </row>
    <row r="22015" spans="20:21" ht="15" customHeight="1" x14ac:dyDescent="0.25">
      <c r="T22015" s="135"/>
      <c r="U22015" s="135"/>
    </row>
    <row r="22016" spans="20:21" ht="15" customHeight="1" x14ac:dyDescent="0.25">
      <c r="T22016" s="135"/>
      <c r="U22016" s="135"/>
    </row>
    <row r="22017" spans="20:21" ht="15" customHeight="1" x14ac:dyDescent="0.25">
      <c r="T22017" s="135"/>
      <c r="U22017" s="135"/>
    </row>
    <row r="22018" spans="20:21" ht="15" customHeight="1" x14ac:dyDescent="0.25">
      <c r="T22018" s="135"/>
      <c r="U22018" s="135"/>
    </row>
    <row r="22019" spans="20:21" ht="15" customHeight="1" x14ac:dyDescent="0.25">
      <c r="T22019" s="135"/>
      <c r="U22019" s="135"/>
    </row>
    <row r="22020" spans="20:21" ht="15" customHeight="1" x14ac:dyDescent="0.25">
      <c r="T22020" s="135"/>
      <c r="U22020" s="135"/>
    </row>
    <row r="22021" spans="20:21" ht="15" customHeight="1" x14ac:dyDescent="0.25">
      <c r="T22021" s="135"/>
      <c r="U22021" s="135"/>
    </row>
    <row r="22022" spans="20:21" ht="15" customHeight="1" x14ac:dyDescent="0.25">
      <c r="T22022" s="135"/>
      <c r="U22022" s="135"/>
    </row>
    <row r="22023" spans="20:21" ht="15" customHeight="1" x14ac:dyDescent="0.25">
      <c r="T22023" s="135"/>
      <c r="U22023" s="135"/>
    </row>
    <row r="22024" spans="20:21" ht="15" customHeight="1" x14ac:dyDescent="0.25">
      <c r="T22024" s="135"/>
      <c r="U22024" s="135"/>
    </row>
    <row r="22025" spans="20:21" ht="15" customHeight="1" x14ac:dyDescent="0.25">
      <c r="T22025" s="135"/>
      <c r="U22025" s="135"/>
    </row>
    <row r="22026" spans="20:21" ht="15" customHeight="1" x14ac:dyDescent="0.25">
      <c r="T22026" s="135"/>
      <c r="U22026" s="135"/>
    </row>
    <row r="22027" spans="20:21" ht="15" customHeight="1" x14ac:dyDescent="0.25">
      <c r="T22027" s="135"/>
      <c r="U22027" s="135"/>
    </row>
    <row r="22028" spans="20:21" ht="15" customHeight="1" x14ac:dyDescent="0.25">
      <c r="T22028" s="135"/>
      <c r="U22028" s="135"/>
    </row>
    <row r="22029" spans="20:21" ht="15" customHeight="1" x14ac:dyDescent="0.25">
      <c r="T22029" s="135"/>
      <c r="U22029" s="135"/>
    </row>
    <row r="22030" spans="20:21" ht="15" customHeight="1" x14ac:dyDescent="0.25">
      <c r="T22030" s="135"/>
      <c r="U22030" s="135"/>
    </row>
    <row r="22031" spans="20:21" ht="15" customHeight="1" x14ac:dyDescent="0.25">
      <c r="T22031" s="135"/>
      <c r="U22031" s="135"/>
    </row>
    <row r="22032" spans="20:21" ht="15" customHeight="1" x14ac:dyDescent="0.25">
      <c r="T22032" s="135"/>
      <c r="U22032" s="135"/>
    </row>
    <row r="22033" spans="20:21" ht="15" customHeight="1" x14ac:dyDescent="0.25">
      <c r="T22033" s="135"/>
      <c r="U22033" s="135"/>
    </row>
    <row r="22034" spans="20:21" ht="15" customHeight="1" x14ac:dyDescent="0.25">
      <c r="T22034" s="135"/>
      <c r="U22034" s="135"/>
    </row>
    <row r="22035" spans="20:21" ht="15" customHeight="1" x14ac:dyDescent="0.25">
      <c r="T22035" s="135"/>
      <c r="U22035" s="135"/>
    </row>
    <row r="22036" spans="20:21" ht="15" customHeight="1" x14ac:dyDescent="0.25">
      <c r="T22036" s="135"/>
      <c r="U22036" s="135"/>
    </row>
    <row r="22037" spans="20:21" ht="15" customHeight="1" x14ac:dyDescent="0.25">
      <c r="T22037" s="135"/>
      <c r="U22037" s="135"/>
    </row>
    <row r="22038" spans="20:21" ht="15" customHeight="1" x14ac:dyDescent="0.25">
      <c r="T22038" s="135"/>
      <c r="U22038" s="135"/>
    </row>
    <row r="22039" spans="20:21" ht="15" customHeight="1" x14ac:dyDescent="0.25">
      <c r="T22039" s="135"/>
      <c r="U22039" s="135"/>
    </row>
    <row r="22040" spans="20:21" ht="15" customHeight="1" x14ac:dyDescent="0.25">
      <c r="T22040" s="135"/>
      <c r="U22040" s="135"/>
    </row>
    <row r="22041" spans="20:21" ht="15" customHeight="1" x14ac:dyDescent="0.25">
      <c r="T22041" s="135"/>
      <c r="U22041" s="135"/>
    </row>
    <row r="22042" spans="20:21" ht="15" customHeight="1" x14ac:dyDescent="0.25">
      <c r="T22042" s="135"/>
      <c r="U22042" s="135"/>
    </row>
    <row r="22043" spans="20:21" ht="15" customHeight="1" x14ac:dyDescent="0.25">
      <c r="T22043" s="135"/>
      <c r="U22043" s="135"/>
    </row>
    <row r="22044" spans="20:21" ht="15" customHeight="1" x14ac:dyDescent="0.25">
      <c r="T22044" s="135"/>
      <c r="U22044" s="135"/>
    </row>
    <row r="22045" spans="20:21" ht="15" customHeight="1" x14ac:dyDescent="0.25">
      <c r="T22045" s="135"/>
      <c r="U22045" s="135"/>
    </row>
    <row r="22046" spans="20:21" ht="15" customHeight="1" x14ac:dyDescent="0.25">
      <c r="T22046" s="135"/>
      <c r="U22046" s="135"/>
    </row>
    <row r="22047" spans="20:21" ht="15" customHeight="1" x14ac:dyDescent="0.25">
      <c r="T22047" s="135"/>
      <c r="U22047" s="135"/>
    </row>
    <row r="22048" spans="20:21" ht="15" customHeight="1" x14ac:dyDescent="0.25">
      <c r="T22048" s="135"/>
      <c r="U22048" s="135"/>
    </row>
    <row r="22049" spans="20:21" ht="15" customHeight="1" x14ac:dyDescent="0.25">
      <c r="T22049" s="135"/>
      <c r="U22049" s="135"/>
    </row>
    <row r="22050" spans="20:21" ht="15" customHeight="1" x14ac:dyDescent="0.25">
      <c r="T22050" s="135"/>
      <c r="U22050" s="135"/>
    </row>
    <row r="22051" spans="20:21" ht="15" customHeight="1" x14ac:dyDescent="0.25">
      <c r="T22051" s="135"/>
      <c r="U22051" s="135"/>
    </row>
    <row r="22052" spans="20:21" ht="15" customHeight="1" x14ac:dyDescent="0.25">
      <c r="T22052" s="135"/>
      <c r="U22052" s="135"/>
    </row>
    <row r="22053" spans="20:21" ht="15" customHeight="1" x14ac:dyDescent="0.25">
      <c r="T22053" s="135"/>
      <c r="U22053" s="135"/>
    </row>
    <row r="22054" spans="20:21" ht="15" customHeight="1" x14ac:dyDescent="0.25">
      <c r="T22054" s="135"/>
      <c r="U22054" s="135"/>
    </row>
    <row r="22055" spans="20:21" ht="15" customHeight="1" x14ac:dyDescent="0.25">
      <c r="T22055" s="135"/>
      <c r="U22055" s="135"/>
    </row>
    <row r="22056" spans="20:21" ht="15" customHeight="1" x14ac:dyDescent="0.25">
      <c r="T22056" s="135"/>
      <c r="U22056" s="135"/>
    </row>
    <row r="22057" spans="20:21" ht="15" customHeight="1" x14ac:dyDescent="0.25">
      <c r="T22057" s="135"/>
      <c r="U22057" s="135"/>
    </row>
    <row r="22058" spans="20:21" ht="15" customHeight="1" x14ac:dyDescent="0.25">
      <c r="T22058" s="135"/>
      <c r="U22058" s="135"/>
    </row>
    <row r="22059" spans="20:21" ht="15" customHeight="1" x14ac:dyDescent="0.25">
      <c r="T22059" s="135"/>
      <c r="U22059" s="135"/>
    </row>
    <row r="22060" spans="20:21" ht="15" customHeight="1" x14ac:dyDescent="0.25">
      <c r="T22060" s="135"/>
      <c r="U22060" s="135"/>
    </row>
    <row r="22061" spans="20:21" ht="15" customHeight="1" x14ac:dyDescent="0.25">
      <c r="T22061" s="135"/>
      <c r="U22061" s="135"/>
    </row>
    <row r="22062" spans="20:21" ht="15" customHeight="1" x14ac:dyDescent="0.25">
      <c r="T22062" s="135"/>
      <c r="U22062" s="135"/>
    </row>
    <row r="22063" spans="20:21" ht="15" customHeight="1" x14ac:dyDescent="0.25">
      <c r="T22063" s="135"/>
      <c r="U22063" s="135"/>
    </row>
    <row r="22064" spans="20:21" ht="15" customHeight="1" x14ac:dyDescent="0.25">
      <c r="T22064" s="135"/>
      <c r="U22064" s="135"/>
    </row>
    <row r="22065" spans="20:21" ht="15" customHeight="1" x14ac:dyDescent="0.25">
      <c r="T22065" s="135"/>
      <c r="U22065" s="135"/>
    </row>
    <row r="22066" spans="20:21" ht="15" customHeight="1" x14ac:dyDescent="0.25">
      <c r="T22066" s="135"/>
      <c r="U22066" s="135"/>
    </row>
    <row r="22067" spans="20:21" ht="15" customHeight="1" x14ac:dyDescent="0.25">
      <c r="T22067" s="135"/>
      <c r="U22067" s="135"/>
    </row>
    <row r="22068" spans="20:21" ht="15" customHeight="1" x14ac:dyDescent="0.25">
      <c r="T22068" s="135"/>
      <c r="U22068" s="135"/>
    </row>
    <row r="22069" spans="20:21" ht="15" customHeight="1" x14ac:dyDescent="0.25">
      <c r="T22069" s="135"/>
      <c r="U22069" s="135"/>
    </row>
    <row r="22070" spans="20:21" ht="15" customHeight="1" x14ac:dyDescent="0.25">
      <c r="T22070" s="135"/>
      <c r="U22070" s="135"/>
    </row>
    <row r="22071" spans="20:21" ht="15" customHeight="1" x14ac:dyDescent="0.25">
      <c r="T22071" s="135"/>
      <c r="U22071" s="135"/>
    </row>
    <row r="22072" spans="20:21" ht="15" customHeight="1" x14ac:dyDescent="0.25">
      <c r="T22072" s="135"/>
      <c r="U22072" s="135"/>
    </row>
    <row r="22073" spans="20:21" ht="15" customHeight="1" x14ac:dyDescent="0.25">
      <c r="T22073" s="135"/>
      <c r="U22073" s="135"/>
    </row>
    <row r="22074" spans="20:21" ht="15" customHeight="1" x14ac:dyDescent="0.25">
      <c r="T22074" s="135"/>
      <c r="U22074" s="135"/>
    </row>
    <row r="22075" spans="20:21" ht="15" customHeight="1" x14ac:dyDescent="0.25">
      <c r="T22075" s="135"/>
      <c r="U22075" s="135"/>
    </row>
    <row r="22076" spans="20:21" ht="15" customHeight="1" x14ac:dyDescent="0.25">
      <c r="T22076" s="135"/>
      <c r="U22076" s="135"/>
    </row>
    <row r="22077" spans="20:21" ht="15" customHeight="1" x14ac:dyDescent="0.25">
      <c r="T22077" s="135"/>
      <c r="U22077" s="135"/>
    </row>
    <row r="22078" spans="20:21" ht="15" customHeight="1" x14ac:dyDescent="0.25">
      <c r="T22078" s="135"/>
      <c r="U22078" s="135"/>
    </row>
    <row r="22079" spans="20:21" ht="15" customHeight="1" x14ac:dyDescent="0.25">
      <c r="T22079" s="135"/>
      <c r="U22079" s="135"/>
    </row>
    <row r="22080" spans="20:21" ht="15" customHeight="1" x14ac:dyDescent="0.25">
      <c r="T22080" s="135"/>
      <c r="U22080" s="135"/>
    </row>
    <row r="22081" spans="20:21" ht="15" customHeight="1" x14ac:dyDescent="0.25">
      <c r="T22081" s="135"/>
      <c r="U22081" s="135"/>
    </row>
    <row r="22082" spans="20:21" ht="15" customHeight="1" x14ac:dyDescent="0.25">
      <c r="T22082" s="135"/>
      <c r="U22082" s="135"/>
    </row>
    <row r="22083" spans="20:21" ht="15" customHeight="1" x14ac:dyDescent="0.25">
      <c r="T22083" s="135"/>
      <c r="U22083" s="135"/>
    </row>
    <row r="22084" spans="20:21" ht="15" customHeight="1" x14ac:dyDescent="0.25">
      <c r="T22084" s="135"/>
      <c r="U22084" s="135"/>
    </row>
    <row r="22085" spans="20:21" ht="15" customHeight="1" x14ac:dyDescent="0.25">
      <c r="T22085" s="135"/>
      <c r="U22085" s="135"/>
    </row>
    <row r="22086" spans="20:21" ht="15" customHeight="1" x14ac:dyDescent="0.25">
      <c r="T22086" s="135"/>
      <c r="U22086" s="135"/>
    </row>
    <row r="22087" spans="20:21" ht="15" customHeight="1" x14ac:dyDescent="0.25">
      <c r="T22087" s="135"/>
      <c r="U22087" s="135"/>
    </row>
    <row r="22088" spans="20:21" ht="15" customHeight="1" x14ac:dyDescent="0.25">
      <c r="T22088" s="135"/>
      <c r="U22088" s="135"/>
    </row>
    <row r="22089" spans="20:21" ht="15" customHeight="1" x14ac:dyDescent="0.25">
      <c r="T22089" s="135"/>
      <c r="U22089" s="135"/>
    </row>
    <row r="22090" spans="20:21" ht="15" customHeight="1" x14ac:dyDescent="0.25">
      <c r="T22090" s="135"/>
      <c r="U22090" s="135"/>
    </row>
    <row r="22091" spans="20:21" ht="15" customHeight="1" x14ac:dyDescent="0.25">
      <c r="T22091" s="135"/>
      <c r="U22091" s="135"/>
    </row>
    <row r="22092" spans="20:21" ht="15" customHeight="1" x14ac:dyDescent="0.25">
      <c r="T22092" s="135"/>
      <c r="U22092" s="135"/>
    </row>
    <row r="22093" spans="20:21" ht="15" customHeight="1" x14ac:dyDescent="0.25">
      <c r="T22093" s="135"/>
      <c r="U22093" s="135"/>
    </row>
    <row r="22094" spans="20:21" ht="15" customHeight="1" x14ac:dyDescent="0.25">
      <c r="T22094" s="135"/>
      <c r="U22094" s="135"/>
    </row>
    <row r="22095" spans="20:21" ht="15" customHeight="1" x14ac:dyDescent="0.25">
      <c r="T22095" s="135"/>
      <c r="U22095" s="135"/>
    </row>
    <row r="22096" spans="20:21" ht="15" customHeight="1" x14ac:dyDescent="0.25">
      <c r="T22096" s="135"/>
      <c r="U22096" s="135"/>
    </row>
    <row r="22097" spans="20:21" ht="15" customHeight="1" x14ac:dyDescent="0.25">
      <c r="T22097" s="135"/>
      <c r="U22097" s="135"/>
    </row>
    <row r="22098" spans="20:21" ht="15" customHeight="1" x14ac:dyDescent="0.25">
      <c r="T22098" s="135"/>
      <c r="U22098" s="135"/>
    </row>
    <row r="22099" spans="20:21" ht="15" customHeight="1" x14ac:dyDescent="0.25">
      <c r="T22099" s="135"/>
      <c r="U22099" s="135"/>
    </row>
    <row r="22100" spans="20:21" ht="15" customHeight="1" x14ac:dyDescent="0.25">
      <c r="T22100" s="135"/>
      <c r="U22100" s="135"/>
    </row>
    <row r="22101" spans="20:21" ht="15" customHeight="1" x14ac:dyDescent="0.25">
      <c r="T22101" s="135"/>
      <c r="U22101" s="135"/>
    </row>
    <row r="22102" spans="20:21" ht="15" customHeight="1" x14ac:dyDescent="0.25">
      <c r="T22102" s="135"/>
      <c r="U22102" s="135"/>
    </row>
    <row r="22103" spans="20:21" ht="15" customHeight="1" x14ac:dyDescent="0.25">
      <c r="T22103" s="135"/>
      <c r="U22103" s="135"/>
    </row>
    <row r="22104" spans="20:21" ht="15" customHeight="1" x14ac:dyDescent="0.25">
      <c r="T22104" s="135"/>
      <c r="U22104" s="135"/>
    </row>
    <row r="22105" spans="20:21" ht="15" customHeight="1" x14ac:dyDescent="0.25">
      <c r="T22105" s="135"/>
      <c r="U22105" s="135"/>
    </row>
    <row r="22106" spans="20:21" ht="15" customHeight="1" x14ac:dyDescent="0.25">
      <c r="T22106" s="135"/>
      <c r="U22106" s="135"/>
    </row>
    <row r="22107" spans="20:21" ht="15" customHeight="1" x14ac:dyDescent="0.25">
      <c r="T22107" s="135"/>
      <c r="U22107" s="135"/>
    </row>
    <row r="22108" spans="20:21" ht="15" customHeight="1" x14ac:dyDescent="0.25">
      <c r="T22108" s="135"/>
      <c r="U22108" s="135"/>
    </row>
    <row r="22109" spans="20:21" ht="15" customHeight="1" x14ac:dyDescent="0.25">
      <c r="T22109" s="135"/>
      <c r="U22109" s="135"/>
    </row>
    <row r="22110" spans="20:21" ht="15" customHeight="1" x14ac:dyDescent="0.25">
      <c r="T22110" s="135"/>
      <c r="U22110" s="135"/>
    </row>
    <row r="22111" spans="20:21" ht="15" customHeight="1" x14ac:dyDescent="0.25">
      <c r="T22111" s="135"/>
      <c r="U22111" s="135"/>
    </row>
    <row r="22112" spans="20:21" ht="15" customHeight="1" x14ac:dyDescent="0.25">
      <c r="T22112" s="135"/>
      <c r="U22112" s="135"/>
    </row>
    <row r="22113" spans="20:21" ht="15" customHeight="1" x14ac:dyDescent="0.25">
      <c r="T22113" s="135"/>
      <c r="U22113" s="135"/>
    </row>
    <row r="22114" spans="20:21" ht="15" customHeight="1" x14ac:dyDescent="0.25">
      <c r="T22114" s="135"/>
      <c r="U22114" s="135"/>
    </row>
    <row r="22115" spans="20:21" ht="15" customHeight="1" x14ac:dyDescent="0.25">
      <c r="T22115" s="135"/>
      <c r="U22115" s="135"/>
    </row>
    <row r="22116" spans="20:21" ht="15" customHeight="1" x14ac:dyDescent="0.25">
      <c r="T22116" s="135"/>
      <c r="U22116" s="135"/>
    </row>
    <row r="22117" spans="20:21" ht="15" customHeight="1" x14ac:dyDescent="0.25">
      <c r="T22117" s="135"/>
      <c r="U22117" s="135"/>
    </row>
    <row r="22118" spans="20:21" ht="15" customHeight="1" x14ac:dyDescent="0.25">
      <c r="T22118" s="135"/>
      <c r="U22118" s="135"/>
    </row>
    <row r="22119" spans="20:21" ht="15" customHeight="1" x14ac:dyDescent="0.25">
      <c r="T22119" s="135"/>
      <c r="U22119" s="135"/>
    </row>
    <row r="22120" spans="20:21" ht="15" customHeight="1" x14ac:dyDescent="0.25">
      <c r="T22120" s="135"/>
      <c r="U22120" s="135"/>
    </row>
    <row r="22121" spans="20:21" ht="15" customHeight="1" x14ac:dyDescent="0.25">
      <c r="T22121" s="135"/>
      <c r="U22121" s="135"/>
    </row>
    <row r="22122" spans="20:21" ht="15" customHeight="1" x14ac:dyDescent="0.25">
      <c r="T22122" s="135"/>
      <c r="U22122" s="135"/>
    </row>
    <row r="22123" spans="20:21" ht="15" customHeight="1" x14ac:dyDescent="0.25">
      <c r="T22123" s="135"/>
      <c r="U22123" s="135"/>
    </row>
    <row r="22124" spans="20:21" ht="15" customHeight="1" x14ac:dyDescent="0.25">
      <c r="T22124" s="135"/>
      <c r="U22124" s="135"/>
    </row>
    <row r="22125" spans="20:21" ht="15" customHeight="1" x14ac:dyDescent="0.25">
      <c r="T22125" s="135"/>
      <c r="U22125" s="135"/>
    </row>
    <row r="22126" spans="20:21" ht="15" customHeight="1" x14ac:dyDescent="0.25">
      <c r="T22126" s="135"/>
      <c r="U22126" s="135"/>
    </row>
    <row r="22127" spans="20:21" ht="15" customHeight="1" x14ac:dyDescent="0.25">
      <c r="T22127" s="135"/>
      <c r="U22127" s="135"/>
    </row>
    <row r="22128" spans="20:21" ht="15" customHeight="1" x14ac:dyDescent="0.25">
      <c r="T22128" s="135"/>
      <c r="U22128" s="135"/>
    </row>
    <row r="22129" spans="20:21" ht="15" customHeight="1" x14ac:dyDescent="0.25">
      <c r="T22129" s="135"/>
      <c r="U22129" s="135"/>
    </row>
    <row r="22130" spans="20:21" ht="15" customHeight="1" x14ac:dyDescent="0.25">
      <c r="T22130" s="135"/>
      <c r="U22130" s="135"/>
    </row>
    <row r="22131" spans="20:21" ht="15" customHeight="1" x14ac:dyDescent="0.25">
      <c r="T22131" s="135"/>
      <c r="U22131" s="135"/>
    </row>
    <row r="22132" spans="20:21" ht="15" customHeight="1" x14ac:dyDescent="0.25">
      <c r="T22132" s="135"/>
      <c r="U22132" s="135"/>
    </row>
    <row r="22133" spans="20:21" ht="15" customHeight="1" x14ac:dyDescent="0.25">
      <c r="T22133" s="135"/>
      <c r="U22133" s="135"/>
    </row>
    <row r="22134" spans="20:21" ht="15" customHeight="1" x14ac:dyDescent="0.25">
      <c r="T22134" s="135"/>
      <c r="U22134" s="135"/>
    </row>
    <row r="22135" spans="20:21" ht="15" customHeight="1" x14ac:dyDescent="0.25">
      <c r="T22135" s="135"/>
      <c r="U22135" s="135"/>
    </row>
    <row r="22136" spans="20:21" ht="15" customHeight="1" x14ac:dyDescent="0.25">
      <c r="T22136" s="135"/>
      <c r="U22136" s="135"/>
    </row>
    <row r="22137" spans="20:21" ht="15" customHeight="1" x14ac:dyDescent="0.25">
      <c r="T22137" s="135"/>
      <c r="U22137" s="135"/>
    </row>
    <row r="22138" spans="20:21" ht="15" customHeight="1" x14ac:dyDescent="0.25">
      <c r="T22138" s="135"/>
      <c r="U22138" s="135"/>
    </row>
    <row r="22139" spans="20:21" ht="15" customHeight="1" x14ac:dyDescent="0.25">
      <c r="T22139" s="135"/>
      <c r="U22139" s="135"/>
    </row>
    <row r="22140" spans="20:21" ht="15" customHeight="1" x14ac:dyDescent="0.25">
      <c r="T22140" s="135"/>
      <c r="U22140" s="135"/>
    </row>
    <row r="22141" spans="20:21" ht="15" customHeight="1" x14ac:dyDescent="0.25">
      <c r="T22141" s="135"/>
      <c r="U22141" s="135"/>
    </row>
    <row r="22142" spans="20:21" ht="15" customHeight="1" x14ac:dyDescent="0.25">
      <c r="T22142" s="135"/>
      <c r="U22142" s="135"/>
    </row>
    <row r="22143" spans="20:21" ht="15" customHeight="1" x14ac:dyDescent="0.25">
      <c r="T22143" s="135"/>
      <c r="U22143" s="135"/>
    </row>
    <row r="22144" spans="20:21" ht="15" customHeight="1" x14ac:dyDescent="0.25">
      <c r="T22144" s="135"/>
      <c r="U22144" s="135"/>
    </row>
    <row r="22145" spans="20:21" ht="15" customHeight="1" x14ac:dyDescent="0.25">
      <c r="T22145" s="135"/>
      <c r="U22145" s="135"/>
    </row>
    <row r="22146" spans="20:21" ht="15" customHeight="1" x14ac:dyDescent="0.25">
      <c r="T22146" s="135"/>
      <c r="U22146" s="135"/>
    </row>
    <row r="22147" spans="20:21" ht="15" customHeight="1" x14ac:dyDescent="0.25">
      <c r="T22147" s="135"/>
      <c r="U22147" s="135"/>
    </row>
    <row r="22148" spans="20:21" ht="15" customHeight="1" x14ac:dyDescent="0.25">
      <c r="T22148" s="135"/>
      <c r="U22148" s="135"/>
    </row>
    <row r="22149" spans="20:21" ht="15" customHeight="1" x14ac:dyDescent="0.25">
      <c r="T22149" s="135"/>
      <c r="U22149" s="135"/>
    </row>
    <row r="22150" spans="20:21" ht="15" customHeight="1" x14ac:dyDescent="0.25">
      <c r="T22150" s="135"/>
      <c r="U22150" s="135"/>
    </row>
    <row r="22151" spans="20:21" ht="15" customHeight="1" x14ac:dyDescent="0.25">
      <c r="T22151" s="135"/>
      <c r="U22151" s="135"/>
    </row>
    <row r="22152" spans="20:21" ht="15" customHeight="1" x14ac:dyDescent="0.25">
      <c r="T22152" s="135"/>
      <c r="U22152" s="135"/>
    </row>
    <row r="22153" spans="20:21" ht="15" customHeight="1" x14ac:dyDescent="0.25">
      <c r="T22153" s="135"/>
      <c r="U22153" s="135"/>
    </row>
    <row r="22154" spans="20:21" ht="15" customHeight="1" x14ac:dyDescent="0.25">
      <c r="T22154" s="135"/>
      <c r="U22154" s="135"/>
    </row>
    <row r="22155" spans="20:21" ht="15" customHeight="1" x14ac:dyDescent="0.25">
      <c r="T22155" s="135"/>
      <c r="U22155" s="135"/>
    </row>
    <row r="22156" spans="20:21" ht="15" customHeight="1" x14ac:dyDescent="0.25">
      <c r="T22156" s="135"/>
      <c r="U22156" s="135"/>
    </row>
    <row r="22157" spans="20:21" ht="15" customHeight="1" x14ac:dyDescent="0.25">
      <c r="T22157" s="135"/>
      <c r="U22157" s="135"/>
    </row>
    <row r="22158" spans="20:21" ht="15" customHeight="1" x14ac:dyDescent="0.25">
      <c r="T22158" s="135"/>
      <c r="U22158" s="135"/>
    </row>
    <row r="22159" spans="20:21" ht="15" customHeight="1" x14ac:dyDescent="0.25">
      <c r="T22159" s="135"/>
      <c r="U22159" s="135"/>
    </row>
    <row r="22160" spans="20:21" ht="15" customHeight="1" x14ac:dyDescent="0.25">
      <c r="T22160" s="135"/>
      <c r="U22160" s="135"/>
    </row>
    <row r="22161" spans="20:21" ht="15" customHeight="1" x14ac:dyDescent="0.25">
      <c r="T22161" s="135"/>
      <c r="U22161" s="135"/>
    </row>
    <row r="22162" spans="20:21" ht="15" customHeight="1" x14ac:dyDescent="0.25">
      <c r="T22162" s="135"/>
      <c r="U22162" s="135"/>
    </row>
    <row r="22163" spans="20:21" ht="15" customHeight="1" x14ac:dyDescent="0.25">
      <c r="T22163" s="135"/>
      <c r="U22163" s="135"/>
    </row>
    <row r="22164" spans="20:21" ht="15" customHeight="1" x14ac:dyDescent="0.25">
      <c r="T22164" s="135"/>
      <c r="U22164" s="135"/>
    </row>
    <row r="22165" spans="20:21" ht="15" customHeight="1" x14ac:dyDescent="0.25">
      <c r="T22165" s="135"/>
      <c r="U22165" s="135"/>
    </row>
    <row r="22166" spans="20:21" ht="15" customHeight="1" x14ac:dyDescent="0.25">
      <c r="T22166" s="135"/>
      <c r="U22166" s="135"/>
    </row>
    <row r="22167" spans="20:21" ht="15" customHeight="1" x14ac:dyDescent="0.25">
      <c r="T22167" s="135"/>
      <c r="U22167" s="135"/>
    </row>
    <row r="22168" spans="20:21" ht="15" customHeight="1" x14ac:dyDescent="0.25">
      <c r="T22168" s="135"/>
      <c r="U22168" s="135"/>
    </row>
    <row r="22169" spans="20:21" ht="15" customHeight="1" x14ac:dyDescent="0.25">
      <c r="T22169" s="135"/>
      <c r="U22169" s="135"/>
    </row>
    <row r="22170" spans="20:21" ht="15" customHeight="1" x14ac:dyDescent="0.25">
      <c r="T22170" s="135"/>
      <c r="U22170" s="135"/>
    </row>
    <row r="22171" spans="20:21" ht="15" customHeight="1" x14ac:dyDescent="0.25">
      <c r="T22171" s="135"/>
      <c r="U22171" s="135"/>
    </row>
    <row r="22172" spans="20:21" ht="15" customHeight="1" x14ac:dyDescent="0.25">
      <c r="T22172" s="135"/>
      <c r="U22172" s="135"/>
    </row>
    <row r="22173" spans="20:21" ht="15" customHeight="1" x14ac:dyDescent="0.25">
      <c r="T22173" s="135"/>
      <c r="U22173" s="135"/>
    </row>
    <row r="22174" spans="20:21" ht="15" customHeight="1" x14ac:dyDescent="0.25">
      <c r="T22174" s="135"/>
      <c r="U22174" s="135"/>
    </row>
    <row r="22175" spans="20:21" ht="15" customHeight="1" x14ac:dyDescent="0.25">
      <c r="T22175" s="135"/>
      <c r="U22175" s="135"/>
    </row>
    <row r="22176" spans="20:21" ht="15" customHeight="1" x14ac:dyDescent="0.25">
      <c r="T22176" s="135"/>
      <c r="U22176" s="135"/>
    </row>
    <row r="22177" spans="20:21" ht="15" customHeight="1" x14ac:dyDescent="0.25">
      <c r="T22177" s="135"/>
      <c r="U22177" s="135"/>
    </row>
    <row r="22178" spans="20:21" ht="15" customHeight="1" x14ac:dyDescent="0.25">
      <c r="T22178" s="135"/>
      <c r="U22178" s="135"/>
    </row>
    <row r="22179" spans="20:21" ht="15" customHeight="1" x14ac:dyDescent="0.25">
      <c r="T22179" s="135"/>
      <c r="U22179" s="135"/>
    </row>
    <row r="22180" spans="20:21" ht="15" customHeight="1" x14ac:dyDescent="0.25">
      <c r="T22180" s="135"/>
      <c r="U22180" s="135"/>
    </row>
    <row r="22181" spans="20:21" ht="15" customHeight="1" x14ac:dyDescent="0.25">
      <c r="T22181" s="135"/>
      <c r="U22181" s="135"/>
    </row>
    <row r="22182" spans="20:21" ht="15" customHeight="1" x14ac:dyDescent="0.25">
      <c r="T22182" s="135"/>
      <c r="U22182" s="135"/>
    </row>
    <row r="22183" spans="20:21" ht="15" customHeight="1" x14ac:dyDescent="0.25">
      <c r="T22183" s="135"/>
      <c r="U22183" s="135"/>
    </row>
    <row r="22184" spans="20:21" ht="15" customHeight="1" x14ac:dyDescent="0.25">
      <c r="T22184" s="135"/>
      <c r="U22184" s="135"/>
    </row>
    <row r="22185" spans="20:21" ht="15" customHeight="1" x14ac:dyDescent="0.25">
      <c r="T22185" s="135"/>
      <c r="U22185" s="135"/>
    </row>
    <row r="22186" spans="20:21" ht="15" customHeight="1" x14ac:dyDescent="0.25">
      <c r="T22186" s="135"/>
      <c r="U22186" s="135"/>
    </row>
    <row r="22187" spans="20:21" ht="15" customHeight="1" x14ac:dyDescent="0.25">
      <c r="T22187" s="135"/>
      <c r="U22187" s="135"/>
    </row>
    <row r="22188" spans="20:21" ht="15" customHeight="1" x14ac:dyDescent="0.25">
      <c r="T22188" s="135"/>
      <c r="U22188" s="135"/>
    </row>
    <row r="22189" spans="20:21" ht="15" customHeight="1" x14ac:dyDescent="0.25">
      <c r="T22189" s="135"/>
      <c r="U22189" s="135"/>
    </row>
    <row r="22190" spans="20:21" ht="15" customHeight="1" x14ac:dyDescent="0.25">
      <c r="T22190" s="135"/>
      <c r="U22190" s="135"/>
    </row>
    <row r="22191" spans="20:21" ht="15" customHeight="1" x14ac:dyDescent="0.25">
      <c r="T22191" s="135"/>
      <c r="U22191" s="135"/>
    </row>
    <row r="22192" spans="20:21" ht="15" customHeight="1" x14ac:dyDescent="0.25">
      <c r="T22192" s="135"/>
      <c r="U22192" s="135"/>
    </row>
    <row r="22193" spans="20:21" ht="15" customHeight="1" x14ac:dyDescent="0.25">
      <c r="T22193" s="135"/>
      <c r="U22193" s="135"/>
    </row>
    <row r="22194" spans="20:21" ht="15" customHeight="1" x14ac:dyDescent="0.25">
      <c r="T22194" s="135"/>
      <c r="U22194" s="135"/>
    </row>
    <row r="22195" spans="20:21" ht="15" customHeight="1" x14ac:dyDescent="0.25">
      <c r="T22195" s="135"/>
      <c r="U22195" s="135"/>
    </row>
    <row r="22196" spans="20:21" ht="15" customHeight="1" x14ac:dyDescent="0.25">
      <c r="T22196" s="135"/>
      <c r="U22196" s="135"/>
    </row>
    <row r="22197" spans="20:21" ht="15" customHeight="1" x14ac:dyDescent="0.25">
      <c r="T22197" s="135"/>
      <c r="U22197" s="135"/>
    </row>
    <row r="22198" spans="20:21" ht="15" customHeight="1" x14ac:dyDescent="0.25">
      <c r="T22198" s="135"/>
      <c r="U22198" s="135"/>
    </row>
    <row r="22199" spans="20:21" ht="15" customHeight="1" x14ac:dyDescent="0.25">
      <c r="T22199" s="135"/>
      <c r="U22199" s="135"/>
    </row>
    <row r="22200" spans="20:21" ht="15" customHeight="1" x14ac:dyDescent="0.25">
      <c r="T22200" s="135"/>
      <c r="U22200" s="135"/>
    </row>
    <row r="22201" spans="20:21" ht="15" customHeight="1" x14ac:dyDescent="0.25">
      <c r="T22201" s="135"/>
      <c r="U22201" s="135"/>
    </row>
    <row r="22202" spans="20:21" ht="15" customHeight="1" x14ac:dyDescent="0.25">
      <c r="T22202" s="135"/>
      <c r="U22202" s="135"/>
    </row>
    <row r="22203" spans="20:21" ht="15" customHeight="1" x14ac:dyDescent="0.25">
      <c r="T22203" s="135"/>
      <c r="U22203" s="135"/>
    </row>
    <row r="22204" spans="20:21" ht="15" customHeight="1" x14ac:dyDescent="0.25">
      <c r="T22204" s="135"/>
      <c r="U22204" s="135"/>
    </row>
    <row r="22205" spans="20:21" ht="15" customHeight="1" x14ac:dyDescent="0.25">
      <c r="T22205" s="135"/>
      <c r="U22205" s="135"/>
    </row>
    <row r="22206" spans="20:21" ht="15" customHeight="1" x14ac:dyDescent="0.25">
      <c r="T22206" s="135"/>
      <c r="U22206" s="135"/>
    </row>
    <row r="22207" spans="20:21" ht="15" customHeight="1" x14ac:dyDescent="0.25">
      <c r="T22207" s="135"/>
      <c r="U22207" s="135"/>
    </row>
    <row r="22208" spans="20:21" ht="15" customHeight="1" x14ac:dyDescent="0.25">
      <c r="T22208" s="135"/>
      <c r="U22208" s="135"/>
    </row>
    <row r="22209" spans="20:21" ht="15" customHeight="1" x14ac:dyDescent="0.25">
      <c r="T22209" s="135"/>
      <c r="U22209" s="135"/>
    </row>
    <row r="22210" spans="20:21" ht="15" customHeight="1" x14ac:dyDescent="0.25">
      <c r="T22210" s="135"/>
      <c r="U22210" s="135"/>
    </row>
    <row r="22211" spans="20:21" ht="15" customHeight="1" x14ac:dyDescent="0.25">
      <c r="T22211" s="135"/>
      <c r="U22211" s="135"/>
    </row>
    <row r="22212" spans="20:21" ht="15" customHeight="1" x14ac:dyDescent="0.25">
      <c r="T22212" s="135"/>
      <c r="U22212" s="135"/>
    </row>
    <row r="22213" spans="20:21" ht="15" customHeight="1" x14ac:dyDescent="0.25">
      <c r="T22213" s="135"/>
      <c r="U22213" s="135"/>
    </row>
    <row r="22214" spans="20:21" ht="15" customHeight="1" x14ac:dyDescent="0.25">
      <c r="T22214" s="135"/>
      <c r="U22214" s="135"/>
    </row>
    <row r="22215" spans="20:21" ht="15" customHeight="1" x14ac:dyDescent="0.25">
      <c r="T22215" s="135"/>
      <c r="U22215" s="135"/>
    </row>
    <row r="22216" spans="20:21" ht="15" customHeight="1" x14ac:dyDescent="0.25">
      <c r="T22216" s="135"/>
      <c r="U22216" s="135"/>
    </row>
    <row r="22217" spans="20:21" ht="15" customHeight="1" x14ac:dyDescent="0.25">
      <c r="T22217" s="135"/>
      <c r="U22217" s="135"/>
    </row>
    <row r="22218" spans="20:21" ht="15" customHeight="1" x14ac:dyDescent="0.25">
      <c r="T22218" s="135"/>
      <c r="U22218" s="135"/>
    </row>
    <row r="22219" spans="20:21" ht="15" customHeight="1" x14ac:dyDescent="0.25">
      <c r="T22219" s="135"/>
      <c r="U22219" s="135"/>
    </row>
    <row r="22220" spans="20:21" ht="15" customHeight="1" x14ac:dyDescent="0.25">
      <c r="T22220" s="135"/>
      <c r="U22220" s="135"/>
    </row>
    <row r="22221" spans="20:21" ht="15" customHeight="1" x14ac:dyDescent="0.25">
      <c r="T22221" s="135"/>
      <c r="U22221" s="135"/>
    </row>
    <row r="22222" spans="20:21" ht="15" customHeight="1" x14ac:dyDescent="0.25">
      <c r="T22222" s="135"/>
      <c r="U22222" s="135"/>
    </row>
    <row r="22223" spans="20:21" ht="15" customHeight="1" x14ac:dyDescent="0.25">
      <c r="T22223" s="135"/>
      <c r="U22223" s="135"/>
    </row>
    <row r="22224" spans="20:21" ht="15" customHeight="1" x14ac:dyDescent="0.25">
      <c r="T22224" s="135"/>
      <c r="U22224" s="135"/>
    </row>
    <row r="22225" spans="20:21" ht="15" customHeight="1" x14ac:dyDescent="0.25">
      <c r="T22225" s="135"/>
      <c r="U22225" s="135"/>
    </row>
    <row r="22226" spans="20:21" ht="15" customHeight="1" x14ac:dyDescent="0.25">
      <c r="T22226" s="135"/>
      <c r="U22226" s="135"/>
    </row>
    <row r="22227" spans="20:21" ht="15" customHeight="1" x14ac:dyDescent="0.25">
      <c r="T22227" s="135"/>
      <c r="U22227" s="135"/>
    </row>
    <row r="22228" spans="20:21" ht="15" customHeight="1" x14ac:dyDescent="0.25">
      <c r="T22228" s="135"/>
      <c r="U22228" s="135"/>
    </row>
    <row r="22229" spans="20:21" ht="15" customHeight="1" x14ac:dyDescent="0.25">
      <c r="T22229" s="135"/>
      <c r="U22229" s="135"/>
    </row>
    <row r="22230" spans="20:21" ht="15" customHeight="1" x14ac:dyDescent="0.25">
      <c r="T22230" s="135"/>
      <c r="U22230" s="135"/>
    </row>
    <row r="22231" spans="20:21" ht="15" customHeight="1" x14ac:dyDescent="0.25">
      <c r="T22231" s="135"/>
      <c r="U22231" s="135"/>
    </row>
    <row r="22232" spans="20:21" ht="15" customHeight="1" x14ac:dyDescent="0.25">
      <c r="T22232" s="135"/>
      <c r="U22232" s="135"/>
    </row>
    <row r="22233" spans="20:21" ht="15" customHeight="1" x14ac:dyDescent="0.25">
      <c r="T22233" s="135"/>
      <c r="U22233" s="135"/>
    </row>
    <row r="22234" spans="20:21" ht="15" customHeight="1" x14ac:dyDescent="0.25">
      <c r="T22234" s="135"/>
      <c r="U22234" s="135"/>
    </row>
    <row r="22235" spans="20:21" ht="15" customHeight="1" x14ac:dyDescent="0.25">
      <c r="T22235" s="135"/>
      <c r="U22235" s="135"/>
    </row>
    <row r="22236" spans="20:21" ht="15" customHeight="1" x14ac:dyDescent="0.25">
      <c r="T22236" s="135"/>
      <c r="U22236" s="135"/>
    </row>
    <row r="22237" spans="20:21" ht="15" customHeight="1" x14ac:dyDescent="0.25">
      <c r="T22237" s="135"/>
      <c r="U22237" s="135"/>
    </row>
    <row r="22238" spans="20:21" ht="15" customHeight="1" x14ac:dyDescent="0.25">
      <c r="T22238" s="135"/>
      <c r="U22238" s="135"/>
    </row>
    <row r="22239" spans="20:21" ht="15" customHeight="1" x14ac:dyDescent="0.25">
      <c r="T22239" s="135"/>
      <c r="U22239" s="135"/>
    </row>
    <row r="22240" spans="20:21" ht="15" customHeight="1" x14ac:dyDescent="0.25">
      <c r="T22240" s="135"/>
      <c r="U22240" s="135"/>
    </row>
    <row r="22241" spans="20:21" ht="15" customHeight="1" x14ac:dyDescent="0.25">
      <c r="T22241" s="135"/>
      <c r="U22241" s="135"/>
    </row>
    <row r="22242" spans="20:21" ht="15" customHeight="1" x14ac:dyDescent="0.25">
      <c r="T22242" s="135"/>
      <c r="U22242" s="135"/>
    </row>
    <row r="22243" spans="20:21" ht="15" customHeight="1" x14ac:dyDescent="0.25">
      <c r="T22243" s="135"/>
      <c r="U22243" s="135"/>
    </row>
    <row r="22244" spans="20:21" ht="15" customHeight="1" x14ac:dyDescent="0.25">
      <c r="T22244" s="135"/>
      <c r="U22244" s="135"/>
    </row>
    <row r="22245" spans="20:21" ht="15" customHeight="1" x14ac:dyDescent="0.25">
      <c r="T22245" s="135"/>
      <c r="U22245" s="135"/>
    </row>
    <row r="22246" spans="20:21" ht="15" customHeight="1" x14ac:dyDescent="0.25">
      <c r="T22246" s="135"/>
      <c r="U22246" s="135"/>
    </row>
    <row r="22247" spans="20:21" ht="15" customHeight="1" x14ac:dyDescent="0.25">
      <c r="T22247" s="135"/>
      <c r="U22247" s="135"/>
    </row>
    <row r="22248" spans="20:21" ht="15" customHeight="1" x14ac:dyDescent="0.25">
      <c r="T22248" s="135"/>
      <c r="U22248" s="135"/>
    </row>
    <row r="22249" spans="20:21" ht="15" customHeight="1" x14ac:dyDescent="0.25">
      <c r="T22249" s="135"/>
      <c r="U22249" s="135"/>
    </row>
    <row r="22250" spans="20:21" ht="15" customHeight="1" x14ac:dyDescent="0.25">
      <c r="T22250" s="135"/>
      <c r="U22250" s="135"/>
    </row>
    <row r="22251" spans="20:21" ht="15" customHeight="1" x14ac:dyDescent="0.25">
      <c r="T22251" s="135"/>
      <c r="U22251" s="135"/>
    </row>
    <row r="22252" spans="20:21" ht="15" customHeight="1" x14ac:dyDescent="0.25">
      <c r="T22252" s="135"/>
      <c r="U22252" s="135"/>
    </row>
    <row r="22253" spans="20:21" ht="15" customHeight="1" x14ac:dyDescent="0.25">
      <c r="T22253" s="135"/>
      <c r="U22253" s="135"/>
    </row>
    <row r="22254" spans="20:21" ht="15" customHeight="1" x14ac:dyDescent="0.25">
      <c r="T22254" s="135"/>
      <c r="U22254" s="135"/>
    </row>
    <row r="22255" spans="20:21" ht="15" customHeight="1" x14ac:dyDescent="0.25">
      <c r="T22255" s="135"/>
      <c r="U22255" s="135"/>
    </row>
    <row r="22256" spans="20:21" ht="15" customHeight="1" x14ac:dyDescent="0.25">
      <c r="T22256" s="135"/>
      <c r="U22256" s="135"/>
    </row>
    <row r="22257" spans="20:21" ht="15" customHeight="1" x14ac:dyDescent="0.25">
      <c r="T22257" s="135"/>
      <c r="U22257" s="135"/>
    </row>
    <row r="22258" spans="20:21" ht="15" customHeight="1" x14ac:dyDescent="0.25">
      <c r="T22258" s="135"/>
      <c r="U22258" s="135"/>
    </row>
    <row r="22259" spans="20:21" ht="15" customHeight="1" x14ac:dyDescent="0.25">
      <c r="T22259" s="135"/>
      <c r="U22259" s="135"/>
    </row>
    <row r="22260" spans="20:21" ht="15" customHeight="1" x14ac:dyDescent="0.25">
      <c r="T22260" s="135"/>
      <c r="U22260" s="135"/>
    </row>
    <row r="22261" spans="20:21" ht="15" customHeight="1" x14ac:dyDescent="0.25">
      <c r="T22261" s="135"/>
      <c r="U22261" s="135"/>
    </row>
    <row r="22262" spans="20:21" ht="15" customHeight="1" x14ac:dyDescent="0.25">
      <c r="T22262" s="135"/>
      <c r="U22262" s="135"/>
    </row>
    <row r="22263" spans="20:21" ht="15" customHeight="1" x14ac:dyDescent="0.25">
      <c r="T22263" s="135"/>
      <c r="U22263" s="135"/>
    </row>
    <row r="22264" spans="20:21" ht="15" customHeight="1" x14ac:dyDescent="0.25">
      <c r="T22264" s="135"/>
      <c r="U22264" s="135"/>
    </row>
    <row r="22265" spans="20:21" ht="15" customHeight="1" x14ac:dyDescent="0.25">
      <c r="T22265" s="135"/>
      <c r="U22265" s="135"/>
    </row>
    <row r="22266" spans="20:21" ht="15" customHeight="1" x14ac:dyDescent="0.25">
      <c r="T22266" s="135"/>
      <c r="U22266" s="135"/>
    </row>
    <row r="22267" spans="20:21" ht="15" customHeight="1" x14ac:dyDescent="0.25">
      <c r="T22267" s="135"/>
      <c r="U22267" s="135"/>
    </row>
    <row r="22268" spans="20:21" ht="15" customHeight="1" x14ac:dyDescent="0.25">
      <c r="T22268" s="135"/>
      <c r="U22268" s="135"/>
    </row>
    <row r="22269" spans="20:21" ht="15" customHeight="1" x14ac:dyDescent="0.25">
      <c r="T22269" s="135"/>
      <c r="U22269" s="135"/>
    </row>
    <row r="22270" spans="20:21" ht="15" customHeight="1" x14ac:dyDescent="0.25">
      <c r="T22270" s="135"/>
      <c r="U22270" s="135"/>
    </row>
    <row r="22271" spans="20:21" ht="15" customHeight="1" x14ac:dyDescent="0.25">
      <c r="T22271" s="135"/>
      <c r="U22271" s="135"/>
    </row>
    <row r="22272" spans="20:21" ht="15" customHeight="1" x14ac:dyDescent="0.25">
      <c r="T22272" s="135"/>
      <c r="U22272" s="135"/>
    </row>
    <row r="22273" spans="20:21" ht="15" customHeight="1" x14ac:dyDescent="0.25">
      <c r="T22273" s="135"/>
      <c r="U22273" s="135"/>
    </row>
    <row r="22274" spans="20:21" ht="15" customHeight="1" x14ac:dyDescent="0.25">
      <c r="T22274" s="135"/>
      <c r="U22274" s="135"/>
    </row>
    <row r="22275" spans="20:21" ht="15" customHeight="1" x14ac:dyDescent="0.25">
      <c r="T22275" s="135"/>
      <c r="U22275" s="135"/>
    </row>
    <row r="22276" spans="20:21" ht="15" customHeight="1" x14ac:dyDescent="0.25">
      <c r="T22276" s="135"/>
      <c r="U22276" s="135"/>
    </row>
    <row r="22277" spans="20:21" ht="15" customHeight="1" x14ac:dyDescent="0.25">
      <c r="T22277" s="135"/>
      <c r="U22277" s="135"/>
    </row>
    <row r="22278" spans="20:21" ht="15" customHeight="1" x14ac:dyDescent="0.25">
      <c r="T22278" s="135"/>
      <c r="U22278" s="135"/>
    </row>
    <row r="22279" spans="20:21" ht="15" customHeight="1" x14ac:dyDescent="0.25">
      <c r="T22279" s="135"/>
      <c r="U22279" s="135"/>
    </row>
    <row r="22280" spans="20:21" ht="15" customHeight="1" x14ac:dyDescent="0.25">
      <c r="T22280" s="135"/>
      <c r="U22280" s="135"/>
    </row>
    <row r="22281" spans="20:21" ht="15" customHeight="1" x14ac:dyDescent="0.25">
      <c r="T22281" s="135"/>
      <c r="U22281" s="135"/>
    </row>
    <row r="22282" spans="20:21" ht="15" customHeight="1" x14ac:dyDescent="0.25">
      <c r="T22282" s="135"/>
      <c r="U22282" s="135"/>
    </row>
    <row r="22283" spans="20:21" ht="15" customHeight="1" x14ac:dyDescent="0.25">
      <c r="T22283" s="135"/>
      <c r="U22283" s="135"/>
    </row>
    <row r="22284" spans="20:21" ht="15" customHeight="1" x14ac:dyDescent="0.25">
      <c r="T22284" s="135"/>
      <c r="U22284" s="135"/>
    </row>
    <row r="22285" spans="20:21" ht="15" customHeight="1" x14ac:dyDescent="0.25">
      <c r="T22285" s="135"/>
      <c r="U22285" s="135"/>
    </row>
    <row r="22286" spans="20:21" ht="15" customHeight="1" x14ac:dyDescent="0.25">
      <c r="T22286" s="135"/>
      <c r="U22286" s="135"/>
    </row>
    <row r="22287" spans="20:21" ht="15" customHeight="1" x14ac:dyDescent="0.25">
      <c r="T22287" s="135"/>
      <c r="U22287" s="135"/>
    </row>
    <row r="22288" spans="20:21" ht="15" customHeight="1" x14ac:dyDescent="0.25">
      <c r="T22288" s="135"/>
      <c r="U22288" s="135"/>
    </row>
    <row r="22289" spans="20:21" ht="15" customHeight="1" x14ac:dyDescent="0.25">
      <c r="T22289" s="135"/>
      <c r="U22289" s="135"/>
    </row>
    <row r="22290" spans="20:21" ht="15" customHeight="1" x14ac:dyDescent="0.25">
      <c r="T22290" s="135"/>
      <c r="U22290" s="135"/>
    </row>
    <row r="22291" spans="20:21" ht="15" customHeight="1" x14ac:dyDescent="0.25">
      <c r="T22291" s="135"/>
      <c r="U22291" s="135"/>
    </row>
    <row r="22292" spans="20:21" ht="15" customHeight="1" x14ac:dyDescent="0.25">
      <c r="T22292" s="135"/>
      <c r="U22292" s="135"/>
    </row>
    <row r="22293" spans="20:21" ht="15" customHeight="1" x14ac:dyDescent="0.25">
      <c r="T22293" s="135"/>
      <c r="U22293" s="135"/>
    </row>
    <row r="22294" spans="20:21" ht="15" customHeight="1" x14ac:dyDescent="0.25">
      <c r="T22294" s="135"/>
      <c r="U22294" s="135"/>
    </row>
    <row r="22295" spans="20:21" ht="15" customHeight="1" x14ac:dyDescent="0.25">
      <c r="T22295" s="135"/>
      <c r="U22295" s="135"/>
    </row>
    <row r="22296" spans="20:21" ht="15" customHeight="1" x14ac:dyDescent="0.25">
      <c r="T22296" s="135"/>
      <c r="U22296" s="135"/>
    </row>
    <row r="22297" spans="20:21" ht="15" customHeight="1" x14ac:dyDescent="0.25">
      <c r="T22297" s="135"/>
      <c r="U22297" s="135"/>
    </row>
    <row r="22298" spans="20:21" ht="15" customHeight="1" x14ac:dyDescent="0.25">
      <c r="T22298" s="135"/>
      <c r="U22298" s="135"/>
    </row>
    <row r="22299" spans="20:21" ht="15" customHeight="1" x14ac:dyDescent="0.25">
      <c r="T22299" s="135"/>
      <c r="U22299" s="135"/>
    </row>
    <row r="22300" spans="20:21" ht="15" customHeight="1" x14ac:dyDescent="0.25">
      <c r="T22300" s="135"/>
      <c r="U22300" s="135"/>
    </row>
    <row r="22301" spans="20:21" ht="15" customHeight="1" x14ac:dyDescent="0.25">
      <c r="T22301" s="135"/>
      <c r="U22301" s="135"/>
    </row>
    <row r="22302" spans="20:21" ht="15" customHeight="1" x14ac:dyDescent="0.25">
      <c r="T22302" s="135"/>
      <c r="U22302" s="135"/>
    </row>
    <row r="22303" spans="20:21" ht="15" customHeight="1" x14ac:dyDescent="0.25">
      <c r="T22303" s="135"/>
      <c r="U22303" s="135"/>
    </row>
    <row r="22304" spans="20:21" ht="15" customHeight="1" x14ac:dyDescent="0.25">
      <c r="T22304" s="135"/>
      <c r="U22304" s="135"/>
    </row>
    <row r="22305" spans="20:21" ht="15" customHeight="1" x14ac:dyDescent="0.25">
      <c r="T22305" s="135"/>
      <c r="U22305" s="135"/>
    </row>
    <row r="22306" spans="20:21" ht="15" customHeight="1" x14ac:dyDescent="0.25">
      <c r="T22306" s="135"/>
      <c r="U22306" s="135"/>
    </row>
    <row r="22307" spans="20:21" ht="15" customHeight="1" x14ac:dyDescent="0.25">
      <c r="T22307" s="135"/>
      <c r="U22307" s="135"/>
    </row>
    <row r="22308" spans="20:21" ht="15" customHeight="1" x14ac:dyDescent="0.25">
      <c r="T22308" s="135"/>
      <c r="U22308" s="135"/>
    </row>
    <row r="22309" spans="20:21" ht="15" customHeight="1" x14ac:dyDescent="0.25">
      <c r="T22309" s="135"/>
      <c r="U22309" s="135"/>
    </row>
    <row r="22310" spans="20:21" ht="15" customHeight="1" x14ac:dyDescent="0.25">
      <c r="T22310" s="135"/>
      <c r="U22310" s="135"/>
    </row>
    <row r="22311" spans="20:21" ht="15" customHeight="1" x14ac:dyDescent="0.25">
      <c r="T22311" s="135"/>
      <c r="U22311" s="135"/>
    </row>
    <row r="22312" spans="20:21" ht="15" customHeight="1" x14ac:dyDescent="0.25">
      <c r="T22312" s="135"/>
      <c r="U22312" s="135"/>
    </row>
    <row r="22313" spans="20:21" ht="15" customHeight="1" x14ac:dyDescent="0.25">
      <c r="T22313" s="135"/>
      <c r="U22313" s="135"/>
    </row>
    <row r="22314" spans="20:21" ht="15" customHeight="1" x14ac:dyDescent="0.25">
      <c r="T22314" s="135"/>
      <c r="U22314" s="135"/>
    </row>
    <row r="22315" spans="20:21" ht="15" customHeight="1" x14ac:dyDescent="0.25">
      <c r="T22315" s="135"/>
      <c r="U22315" s="135"/>
    </row>
    <row r="22316" spans="20:21" ht="15" customHeight="1" x14ac:dyDescent="0.25">
      <c r="T22316" s="135"/>
      <c r="U22316" s="135"/>
    </row>
    <row r="22317" spans="20:21" ht="15" customHeight="1" x14ac:dyDescent="0.25">
      <c r="T22317" s="135"/>
      <c r="U22317" s="135"/>
    </row>
    <row r="22318" spans="20:21" ht="15" customHeight="1" x14ac:dyDescent="0.25">
      <c r="T22318" s="135"/>
      <c r="U22318" s="135"/>
    </row>
    <row r="22319" spans="20:21" ht="15" customHeight="1" x14ac:dyDescent="0.25">
      <c r="T22319" s="135"/>
      <c r="U22319" s="135"/>
    </row>
    <row r="22320" spans="20:21" ht="15" customHeight="1" x14ac:dyDescent="0.25">
      <c r="T22320" s="135"/>
      <c r="U22320" s="135"/>
    </row>
    <row r="22321" spans="20:21" ht="15" customHeight="1" x14ac:dyDescent="0.25">
      <c r="T22321" s="135"/>
      <c r="U22321" s="135"/>
    </row>
    <row r="22322" spans="20:21" ht="15" customHeight="1" x14ac:dyDescent="0.25">
      <c r="T22322" s="135"/>
      <c r="U22322" s="135"/>
    </row>
    <row r="22323" spans="20:21" ht="15" customHeight="1" x14ac:dyDescent="0.25">
      <c r="T22323" s="135"/>
      <c r="U22323" s="135"/>
    </row>
    <row r="22324" spans="20:21" ht="15" customHeight="1" x14ac:dyDescent="0.25">
      <c r="T22324" s="135"/>
      <c r="U22324" s="135"/>
    </row>
    <row r="22325" spans="20:21" ht="15" customHeight="1" x14ac:dyDescent="0.25">
      <c r="T22325" s="135"/>
      <c r="U22325" s="135"/>
    </row>
    <row r="22326" spans="20:21" ht="15" customHeight="1" x14ac:dyDescent="0.25">
      <c r="T22326" s="135"/>
      <c r="U22326" s="135"/>
    </row>
    <row r="22327" spans="20:21" ht="15" customHeight="1" x14ac:dyDescent="0.25">
      <c r="T22327" s="135"/>
      <c r="U22327" s="135"/>
    </row>
    <row r="22328" spans="20:21" ht="15" customHeight="1" x14ac:dyDescent="0.25">
      <c r="T22328" s="135"/>
      <c r="U22328" s="135"/>
    </row>
    <row r="22329" spans="20:21" ht="15" customHeight="1" x14ac:dyDescent="0.25">
      <c r="T22329" s="135"/>
      <c r="U22329" s="135"/>
    </row>
    <row r="22330" spans="20:21" ht="15" customHeight="1" x14ac:dyDescent="0.25">
      <c r="T22330" s="135"/>
      <c r="U22330" s="135"/>
    </row>
    <row r="22331" spans="20:21" ht="15" customHeight="1" x14ac:dyDescent="0.25">
      <c r="T22331" s="135"/>
      <c r="U22331" s="135"/>
    </row>
    <row r="22332" spans="20:21" ht="15" customHeight="1" x14ac:dyDescent="0.25">
      <c r="T22332" s="135"/>
      <c r="U22332" s="135"/>
    </row>
    <row r="22333" spans="20:21" ht="15" customHeight="1" x14ac:dyDescent="0.25">
      <c r="T22333" s="135"/>
      <c r="U22333" s="135"/>
    </row>
    <row r="22334" spans="20:21" ht="15" customHeight="1" x14ac:dyDescent="0.25">
      <c r="T22334" s="135"/>
      <c r="U22334" s="135"/>
    </row>
    <row r="22335" spans="20:21" ht="15" customHeight="1" x14ac:dyDescent="0.25">
      <c r="T22335" s="135"/>
      <c r="U22335" s="135"/>
    </row>
    <row r="22336" spans="20:21" ht="15" customHeight="1" x14ac:dyDescent="0.25">
      <c r="T22336" s="135"/>
      <c r="U22336" s="135"/>
    </row>
    <row r="22337" spans="20:21" ht="15" customHeight="1" x14ac:dyDescent="0.25">
      <c r="T22337" s="135"/>
      <c r="U22337" s="135"/>
    </row>
    <row r="22338" spans="20:21" ht="15" customHeight="1" x14ac:dyDescent="0.25">
      <c r="T22338" s="135"/>
      <c r="U22338" s="135"/>
    </row>
    <row r="22339" spans="20:21" ht="15" customHeight="1" x14ac:dyDescent="0.25">
      <c r="T22339" s="135"/>
      <c r="U22339" s="135"/>
    </row>
    <row r="22340" spans="20:21" ht="15" customHeight="1" x14ac:dyDescent="0.25">
      <c r="T22340" s="135"/>
      <c r="U22340" s="135"/>
    </row>
    <row r="22341" spans="20:21" ht="15" customHeight="1" x14ac:dyDescent="0.25">
      <c r="T22341" s="135"/>
      <c r="U22341" s="135"/>
    </row>
    <row r="22342" spans="20:21" ht="15" customHeight="1" x14ac:dyDescent="0.25">
      <c r="T22342" s="135"/>
      <c r="U22342" s="135"/>
    </row>
    <row r="22343" spans="20:21" ht="15" customHeight="1" x14ac:dyDescent="0.25">
      <c r="T22343" s="135"/>
      <c r="U22343" s="135"/>
    </row>
    <row r="22344" spans="20:21" ht="15" customHeight="1" x14ac:dyDescent="0.25">
      <c r="T22344" s="135"/>
      <c r="U22344" s="135"/>
    </row>
    <row r="22345" spans="20:21" ht="15" customHeight="1" x14ac:dyDescent="0.25">
      <c r="T22345" s="135"/>
      <c r="U22345" s="135"/>
    </row>
    <row r="22346" spans="20:21" ht="15" customHeight="1" x14ac:dyDescent="0.25">
      <c r="T22346" s="135"/>
      <c r="U22346" s="135"/>
    </row>
    <row r="22347" spans="20:21" ht="15" customHeight="1" x14ac:dyDescent="0.25">
      <c r="T22347" s="135"/>
      <c r="U22347" s="135"/>
    </row>
    <row r="22348" spans="20:21" ht="15" customHeight="1" x14ac:dyDescent="0.25">
      <c r="T22348" s="135"/>
      <c r="U22348" s="135"/>
    </row>
    <row r="22349" spans="20:21" ht="15" customHeight="1" x14ac:dyDescent="0.25">
      <c r="T22349" s="135"/>
      <c r="U22349" s="135"/>
    </row>
    <row r="22350" spans="20:21" ht="15" customHeight="1" x14ac:dyDescent="0.25">
      <c r="T22350" s="135"/>
      <c r="U22350" s="135"/>
    </row>
    <row r="22351" spans="20:21" ht="15" customHeight="1" x14ac:dyDescent="0.25">
      <c r="T22351" s="135"/>
      <c r="U22351" s="135"/>
    </row>
    <row r="22352" spans="20:21" ht="15" customHeight="1" x14ac:dyDescent="0.25">
      <c r="T22352" s="135"/>
      <c r="U22352" s="135"/>
    </row>
    <row r="22353" spans="20:21" ht="15" customHeight="1" x14ac:dyDescent="0.25">
      <c r="T22353" s="135"/>
      <c r="U22353" s="135"/>
    </row>
    <row r="22354" spans="20:21" ht="15" customHeight="1" x14ac:dyDescent="0.25">
      <c r="T22354" s="135"/>
      <c r="U22354" s="135"/>
    </row>
    <row r="22355" spans="20:21" ht="15" customHeight="1" x14ac:dyDescent="0.25">
      <c r="T22355" s="135"/>
      <c r="U22355" s="135"/>
    </row>
    <row r="22356" spans="20:21" ht="15" customHeight="1" x14ac:dyDescent="0.25">
      <c r="T22356" s="135"/>
      <c r="U22356" s="135"/>
    </row>
    <row r="22357" spans="20:21" ht="15" customHeight="1" x14ac:dyDescent="0.25">
      <c r="T22357" s="135"/>
      <c r="U22357" s="135"/>
    </row>
    <row r="22358" spans="20:21" ht="15" customHeight="1" x14ac:dyDescent="0.25">
      <c r="T22358" s="135"/>
      <c r="U22358" s="135"/>
    </row>
    <row r="22359" spans="20:21" ht="15" customHeight="1" x14ac:dyDescent="0.25">
      <c r="T22359" s="135"/>
      <c r="U22359" s="135"/>
    </row>
    <row r="22360" spans="20:21" ht="15" customHeight="1" x14ac:dyDescent="0.25">
      <c r="T22360" s="135"/>
      <c r="U22360" s="135"/>
    </row>
    <row r="22361" spans="20:21" ht="15" customHeight="1" x14ac:dyDescent="0.25">
      <c r="T22361" s="135"/>
      <c r="U22361" s="135"/>
    </row>
    <row r="22362" spans="20:21" ht="15" customHeight="1" x14ac:dyDescent="0.25">
      <c r="T22362" s="135"/>
      <c r="U22362" s="135"/>
    </row>
    <row r="22363" spans="20:21" ht="15" customHeight="1" x14ac:dyDescent="0.25">
      <c r="T22363" s="135"/>
      <c r="U22363" s="135"/>
    </row>
    <row r="22364" spans="20:21" ht="15" customHeight="1" x14ac:dyDescent="0.25">
      <c r="T22364" s="135"/>
      <c r="U22364" s="135"/>
    </row>
    <row r="22365" spans="20:21" ht="15" customHeight="1" x14ac:dyDescent="0.25">
      <c r="T22365" s="135"/>
      <c r="U22365" s="135"/>
    </row>
    <row r="22366" spans="20:21" ht="15" customHeight="1" x14ac:dyDescent="0.25">
      <c r="T22366" s="135"/>
      <c r="U22366" s="135"/>
    </row>
    <row r="22367" spans="20:21" ht="15" customHeight="1" x14ac:dyDescent="0.25">
      <c r="T22367" s="135"/>
      <c r="U22367" s="135"/>
    </row>
    <row r="22368" spans="20:21" ht="15" customHeight="1" x14ac:dyDescent="0.25">
      <c r="T22368" s="135"/>
      <c r="U22368" s="135"/>
    </row>
    <row r="22369" spans="20:21" ht="15" customHeight="1" x14ac:dyDescent="0.25">
      <c r="T22369" s="135"/>
      <c r="U22369" s="135"/>
    </row>
    <row r="22370" spans="20:21" ht="15" customHeight="1" x14ac:dyDescent="0.25">
      <c r="T22370" s="135"/>
      <c r="U22370" s="135"/>
    </row>
    <row r="22371" spans="20:21" ht="15" customHeight="1" x14ac:dyDescent="0.25">
      <c r="T22371" s="135"/>
      <c r="U22371" s="135"/>
    </row>
    <row r="22372" spans="20:21" ht="15" customHeight="1" x14ac:dyDescent="0.25">
      <c r="T22372" s="135"/>
      <c r="U22372" s="135"/>
    </row>
    <row r="22373" spans="20:21" ht="15" customHeight="1" x14ac:dyDescent="0.25">
      <c r="T22373" s="135"/>
      <c r="U22373" s="135"/>
    </row>
    <row r="22374" spans="20:21" ht="15" customHeight="1" x14ac:dyDescent="0.25">
      <c r="T22374" s="135"/>
      <c r="U22374" s="135"/>
    </row>
    <row r="22375" spans="20:21" ht="15" customHeight="1" x14ac:dyDescent="0.25">
      <c r="T22375" s="135"/>
      <c r="U22375" s="135"/>
    </row>
    <row r="22376" spans="20:21" ht="15" customHeight="1" x14ac:dyDescent="0.25">
      <c r="T22376" s="135"/>
      <c r="U22376" s="135"/>
    </row>
    <row r="22377" spans="20:21" ht="15" customHeight="1" x14ac:dyDescent="0.25">
      <c r="T22377" s="135"/>
      <c r="U22377" s="135"/>
    </row>
    <row r="22378" spans="20:21" ht="15" customHeight="1" x14ac:dyDescent="0.25">
      <c r="T22378" s="135"/>
      <c r="U22378" s="135"/>
    </row>
    <row r="22379" spans="20:21" ht="15" customHeight="1" x14ac:dyDescent="0.25">
      <c r="T22379" s="135"/>
      <c r="U22379" s="135"/>
    </row>
    <row r="22380" spans="20:21" ht="15" customHeight="1" x14ac:dyDescent="0.25">
      <c r="T22380" s="135"/>
      <c r="U22380" s="135"/>
    </row>
    <row r="22381" spans="20:21" ht="15" customHeight="1" x14ac:dyDescent="0.25">
      <c r="T22381" s="135"/>
      <c r="U22381" s="135"/>
    </row>
    <row r="22382" spans="20:21" ht="15" customHeight="1" x14ac:dyDescent="0.25">
      <c r="T22382" s="135"/>
      <c r="U22382" s="135"/>
    </row>
    <row r="22383" spans="20:21" ht="15" customHeight="1" x14ac:dyDescent="0.25">
      <c r="T22383" s="135"/>
      <c r="U22383" s="135"/>
    </row>
    <row r="22384" spans="20:21" ht="15" customHeight="1" x14ac:dyDescent="0.25">
      <c r="T22384" s="135"/>
      <c r="U22384" s="135"/>
    </row>
    <row r="22385" spans="20:21" ht="15" customHeight="1" x14ac:dyDescent="0.25">
      <c r="T22385" s="135"/>
      <c r="U22385" s="135"/>
    </row>
    <row r="22386" spans="20:21" ht="15" customHeight="1" x14ac:dyDescent="0.25">
      <c r="T22386" s="135"/>
      <c r="U22386" s="135"/>
    </row>
    <row r="22387" spans="20:21" ht="15" customHeight="1" x14ac:dyDescent="0.25">
      <c r="T22387" s="135"/>
      <c r="U22387" s="135"/>
    </row>
    <row r="22388" spans="20:21" ht="15" customHeight="1" x14ac:dyDescent="0.25">
      <c r="T22388" s="135"/>
      <c r="U22388" s="135"/>
    </row>
    <row r="22389" spans="20:21" ht="15" customHeight="1" x14ac:dyDescent="0.25">
      <c r="T22389" s="135"/>
      <c r="U22389" s="135"/>
    </row>
    <row r="22390" spans="20:21" ht="15" customHeight="1" x14ac:dyDescent="0.25">
      <c r="T22390" s="135"/>
      <c r="U22390" s="135"/>
    </row>
    <row r="22391" spans="20:21" ht="15" customHeight="1" x14ac:dyDescent="0.25">
      <c r="T22391" s="135"/>
      <c r="U22391" s="135"/>
    </row>
    <row r="22392" spans="20:21" ht="15" customHeight="1" x14ac:dyDescent="0.25">
      <c r="T22392" s="135"/>
      <c r="U22392" s="135"/>
    </row>
    <row r="22393" spans="20:21" ht="15" customHeight="1" x14ac:dyDescent="0.25">
      <c r="T22393" s="135"/>
      <c r="U22393" s="135"/>
    </row>
    <row r="22394" spans="20:21" ht="15" customHeight="1" x14ac:dyDescent="0.25">
      <c r="T22394" s="135"/>
      <c r="U22394" s="135"/>
    </row>
    <row r="22395" spans="20:21" ht="15" customHeight="1" x14ac:dyDescent="0.25">
      <c r="T22395" s="135"/>
      <c r="U22395" s="135"/>
    </row>
    <row r="22396" spans="20:21" ht="15" customHeight="1" x14ac:dyDescent="0.25">
      <c r="T22396" s="135"/>
      <c r="U22396" s="135"/>
    </row>
    <row r="22397" spans="20:21" ht="15" customHeight="1" x14ac:dyDescent="0.25">
      <c r="T22397" s="135"/>
      <c r="U22397" s="135"/>
    </row>
    <row r="22398" spans="20:21" ht="15" customHeight="1" x14ac:dyDescent="0.25">
      <c r="T22398" s="135"/>
      <c r="U22398" s="135"/>
    </row>
    <row r="22399" spans="20:21" ht="15" customHeight="1" x14ac:dyDescent="0.25">
      <c r="T22399" s="135"/>
      <c r="U22399" s="135"/>
    </row>
    <row r="22400" spans="20:21" ht="15" customHeight="1" x14ac:dyDescent="0.25">
      <c r="T22400" s="135"/>
      <c r="U22400" s="135"/>
    </row>
    <row r="22401" spans="20:21" ht="15" customHeight="1" x14ac:dyDescent="0.25">
      <c r="T22401" s="135"/>
      <c r="U22401" s="135"/>
    </row>
    <row r="22402" spans="20:21" ht="15" customHeight="1" x14ac:dyDescent="0.25">
      <c r="T22402" s="135"/>
      <c r="U22402" s="135"/>
    </row>
    <row r="22403" spans="20:21" ht="15" customHeight="1" x14ac:dyDescent="0.25">
      <c r="T22403" s="135"/>
      <c r="U22403" s="135"/>
    </row>
    <row r="22404" spans="20:21" ht="15" customHeight="1" x14ac:dyDescent="0.25">
      <c r="T22404" s="135"/>
      <c r="U22404" s="135"/>
    </row>
    <row r="22405" spans="20:21" ht="15" customHeight="1" x14ac:dyDescent="0.25">
      <c r="T22405" s="135"/>
      <c r="U22405" s="135"/>
    </row>
    <row r="22406" spans="20:21" ht="15" customHeight="1" x14ac:dyDescent="0.25">
      <c r="T22406" s="135"/>
      <c r="U22406" s="135"/>
    </row>
    <row r="22407" spans="20:21" ht="15" customHeight="1" x14ac:dyDescent="0.25">
      <c r="T22407" s="135"/>
      <c r="U22407" s="135"/>
    </row>
    <row r="22408" spans="20:21" ht="15" customHeight="1" x14ac:dyDescent="0.25">
      <c r="T22408" s="135"/>
      <c r="U22408" s="135"/>
    </row>
    <row r="22409" spans="20:21" ht="15" customHeight="1" x14ac:dyDescent="0.25">
      <c r="T22409" s="135"/>
      <c r="U22409" s="135"/>
    </row>
    <row r="22410" spans="20:21" ht="15" customHeight="1" x14ac:dyDescent="0.25">
      <c r="T22410" s="135"/>
      <c r="U22410" s="135"/>
    </row>
    <row r="22411" spans="20:21" ht="15" customHeight="1" x14ac:dyDescent="0.25">
      <c r="T22411" s="135"/>
      <c r="U22411" s="135"/>
    </row>
    <row r="22412" spans="20:21" ht="15" customHeight="1" x14ac:dyDescent="0.25">
      <c r="T22412" s="135"/>
      <c r="U22412" s="135"/>
    </row>
    <row r="22413" spans="20:21" ht="15" customHeight="1" x14ac:dyDescent="0.25">
      <c r="T22413" s="135"/>
      <c r="U22413" s="135"/>
    </row>
    <row r="22414" spans="20:21" ht="15" customHeight="1" x14ac:dyDescent="0.25">
      <c r="T22414" s="135"/>
      <c r="U22414" s="135"/>
    </row>
    <row r="22415" spans="20:21" ht="15" customHeight="1" x14ac:dyDescent="0.25">
      <c r="T22415" s="135"/>
      <c r="U22415" s="135"/>
    </row>
    <row r="22416" spans="20:21" ht="15" customHeight="1" x14ac:dyDescent="0.25">
      <c r="T22416" s="135"/>
      <c r="U22416" s="135"/>
    </row>
    <row r="22417" spans="20:21" ht="15" customHeight="1" x14ac:dyDescent="0.25">
      <c r="T22417" s="135"/>
      <c r="U22417" s="135"/>
    </row>
    <row r="22418" spans="20:21" ht="15" customHeight="1" x14ac:dyDescent="0.25">
      <c r="T22418" s="135"/>
      <c r="U22418" s="135"/>
    </row>
    <row r="22419" spans="20:21" ht="15" customHeight="1" x14ac:dyDescent="0.25">
      <c r="T22419" s="135"/>
      <c r="U22419" s="135"/>
    </row>
    <row r="22420" spans="20:21" ht="15" customHeight="1" x14ac:dyDescent="0.25">
      <c r="T22420" s="135"/>
      <c r="U22420" s="135"/>
    </row>
    <row r="22421" spans="20:21" ht="15" customHeight="1" x14ac:dyDescent="0.25">
      <c r="T22421" s="135"/>
      <c r="U22421" s="135"/>
    </row>
    <row r="22422" spans="20:21" ht="15" customHeight="1" x14ac:dyDescent="0.25">
      <c r="T22422" s="135"/>
      <c r="U22422" s="135"/>
    </row>
    <row r="22423" spans="20:21" ht="15" customHeight="1" x14ac:dyDescent="0.25">
      <c r="T22423" s="135"/>
      <c r="U22423" s="135"/>
    </row>
    <row r="22424" spans="20:21" ht="15" customHeight="1" x14ac:dyDescent="0.25">
      <c r="T22424" s="135"/>
      <c r="U22424" s="135"/>
    </row>
    <row r="22425" spans="20:21" ht="15" customHeight="1" x14ac:dyDescent="0.25">
      <c r="T22425" s="135"/>
      <c r="U22425" s="135"/>
    </row>
    <row r="22426" spans="20:21" ht="15" customHeight="1" x14ac:dyDescent="0.25">
      <c r="T22426" s="135"/>
      <c r="U22426" s="135"/>
    </row>
    <row r="22427" spans="20:21" ht="15" customHeight="1" x14ac:dyDescent="0.25">
      <c r="T22427" s="135"/>
      <c r="U22427" s="135"/>
    </row>
    <row r="22428" spans="20:21" ht="15" customHeight="1" x14ac:dyDescent="0.25">
      <c r="T22428" s="135"/>
      <c r="U22428" s="135"/>
    </row>
    <row r="22429" spans="20:21" ht="15" customHeight="1" x14ac:dyDescent="0.25">
      <c r="T22429" s="135"/>
      <c r="U22429" s="135"/>
    </row>
    <row r="22430" spans="20:21" ht="15" customHeight="1" x14ac:dyDescent="0.25">
      <c r="T22430" s="135"/>
      <c r="U22430" s="135"/>
    </row>
    <row r="22431" spans="20:21" ht="15" customHeight="1" x14ac:dyDescent="0.25">
      <c r="T22431" s="135"/>
      <c r="U22431" s="135"/>
    </row>
    <row r="22432" spans="20:21" ht="15" customHeight="1" x14ac:dyDescent="0.25">
      <c r="T22432" s="135"/>
      <c r="U22432" s="135"/>
    </row>
    <row r="22433" spans="20:21" ht="15" customHeight="1" x14ac:dyDescent="0.25">
      <c r="T22433" s="135"/>
      <c r="U22433" s="135"/>
    </row>
    <row r="22434" spans="20:21" ht="15" customHeight="1" x14ac:dyDescent="0.25">
      <c r="T22434" s="135"/>
      <c r="U22434" s="135"/>
    </row>
    <row r="22435" spans="20:21" ht="15" customHeight="1" x14ac:dyDescent="0.25">
      <c r="T22435" s="135"/>
      <c r="U22435" s="135"/>
    </row>
    <row r="22436" spans="20:21" ht="15" customHeight="1" x14ac:dyDescent="0.25">
      <c r="T22436" s="135"/>
      <c r="U22436" s="135"/>
    </row>
    <row r="22437" spans="20:21" ht="15" customHeight="1" x14ac:dyDescent="0.25">
      <c r="T22437" s="135"/>
      <c r="U22437" s="135"/>
    </row>
    <row r="22438" spans="20:21" ht="15" customHeight="1" x14ac:dyDescent="0.25">
      <c r="T22438" s="135"/>
      <c r="U22438" s="135"/>
    </row>
    <row r="22439" spans="20:21" ht="15" customHeight="1" x14ac:dyDescent="0.25">
      <c r="T22439" s="135"/>
      <c r="U22439" s="135"/>
    </row>
    <row r="22440" spans="20:21" ht="15" customHeight="1" x14ac:dyDescent="0.25">
      <c r="T22440" s="135"/>
      <c r="U22440" s="135"/>
    </row>
    <row r="22441" spans="20:21" ht="15" customHeight="1" x14ac:dyDescent="0.25">
      <c r="T22441" s="135"/>
      <c r="U22441" s="135"/>
    </row>
    <row r="22442" spans="20:21" ht="15" customHeight="1" x14ac:dyDescent="0.25">
      <c r="T22442" s="135"/>
      <c r="U22442" s="135"/>
    </row>
    <row r="22443" spans="20:21" ht="15" customHeight="1" x14ac:dyDescent="0.25">
      <c r="T22443" s="135"/>
      <c r="U22443" s="135"/>
    </row>
    <row r="22444" spans="20:21" ht="15" customHeight="1" x14ac:dyDescent="0.25">
      <c r="T22444" s="135"/>
      <c r="U22444" s="135"/>
    </row>
    <row r="22445" spans="20:21" ht="15" customHeight="1" x14ac:dyDescent="0.25">
      <c r="T22445" s="135"/>
      <c r="U22445" s="135"/>
    </row>
    <row r="22446" spans="20:21" ht="15" customHeight="1" x14ac:dyDescent="0.25">
      <c r="T22446" s="135"/>
      <c r="U22446" s="135"/>
    </row>
    <row r="22447" spans="20:21" ht="15" customHeight="1" x14ac:dyDescent="0.25">
      <c r="T22447" s="135"/>
      <c r="U22447" s="135"/>
    </row>
    <row r="22448" spans="20:21" ht="15" customHeight="1" x14ac:dyDescent="0.25">
      <c r="T22448" s="135"/>
      <c r="U22448" s="135"/>
    </row>
    <row r="22449" spans="20:21" ht="15" customHeight="1" x14ac:dyDescent="0.25">
      <c r="T22449" s="135"/>
      <c r="U22449" s="135"/>
    </row>
    <row r="22450" spans="20:21" ht="15" customHeight="1" x14ac:dyDescent="0.25">
      <c r="T22450" s="135"/>
      <c r="U22450" s="135"/>
    </row>
    <row r="22451" spans="20:21" ht="15" customHeight="1" x14ac:dyDescent="0.25">
      <c r="T22451" s="135"/>
      <c r="U22451" s="135"/>
    </row>
    <row r="22452" spans="20:21" ht="15" customHeight="1" x14ac:dyDescent="0.25">
      <c r="T22452" s="135"/>
      <c r="U22452" s="135"/>
    </row>
    <row r="22453" spans="20:21" ht="15" customHeight="1" x14ac:dyDescent="0.25">
      <c r="T22453" s="135"/>
      <c r="U22453" s="135"/>
    </row>
    <row r="22454" spans="20:21" ht="15" customHeight="1" x14ac:dyDescent="0.25">
      <c r="T22454" s="135"/>
      <c r="U22454" s="135"/>
    </row>
    <row r="22455" spans="20:21" ht="15" customHeight="1" x14ac:dyDescent="0.25">
      <c r="T22455" s="135"/>
      <c r="U22455" s="135"/>
    </row>
    <row r="22456" spans="20:21" ht="15" customHeight="1" x14ac:dyDescent="0.25">
      <c r="T22456" s="135"/>
      <c r="U22456" s="135"/>
    </row>
    <row r="22457" spans="20:21" ht="15" customHeight="1" x14ac:dyDescent="0.25">
      <c r="T22457" s="135"/>
      <c r="U22457" s="135"/>
    </row>
    <row r="22458" spans="20:21" ht="15" customHeight="1" x14ac:dyDescent="0.25">
      <c r="T22458" s="135"/>
      <c r="U22458" s="135"/>
    </row>
    <row r="22459" spans="20:21" ht="15" customHeight="1" x14ac:dyDescent="0.25">
      <c r="T22459" s="135"/>
      <c r="U22459" s="135"/>
    </row>
    <row r="22460" spans="20:21" ht="15" customHeight="1" x14ac:dyDescent="0.25">
      <c r="T22460" s="135"/>
      <c r="U22460" s="135"/>
    </row>
    <row r="22461" spans="20:21" ht="15" customHeight="1" x14ac:dyDescent="0.25">
      <c r="T22461" s="135"/>
      <c r="U22461" s="135"/>
    </row>
    <row r="22462" spans="20:21" ht="15" customHeight="1" x14ac:dyDescent="0.25">
      <c r="T22462" s="135"/>
      <c r="U22462" s="135"/>
    </row>
    <row r="22463" spans="20:21" ht="15" customHeight="1" x14ac:dyDescent="0.25">
      <c r="T22463" s="135"/>
      <c r="U22463" s="135"/>
    </row>
    <row r="22464" spans="20:21" ht="15" customHeight="1" x14ac:dyDescent="0.25">
      <c r="T22464" s="135"/>
      <c r="U22464" s="135"/>
    </row>
    <row r="22465" spans="20:21" ht="15" customHeight="1" x14ac:dyDescent="0.25">
      <c r="T22465" s="135"/>
      <c r="U22465" s="135"/>
    </row>
    <row r="22466" spans="20:21" ht="15" customHeight="1" x14ac:dyDescent="0.25">
      <c r="T22466" s="135"/>
      <c r="U22466" s="135"/>
    </row>
    <row r="22467" spans="20:21" ht="15" customHeight="1" x14ac:dyDescent="0.25">
      <c r="T22467" s="135"/>
      <c r="U22467" s="135"/>
    </row>
    <row r="22468" spans="20:21" ht="15" customHeight="1" x14ac:dyDescent="0.25">
      <c r="T22468" s="135"/>
      <c r="U22468" s="135"/>
    </row>
    <row r="22469" spans="20:21" ht="15" customHeight="1" x14ac:dyDescent="0.25">
      <c r="T22469" s="135"/>
      <c r="U22469" s="135"/>
    </row>
    <row r="22470" spans="20:21" ht="15" customHeight="1" x14ac:dyDescent="0.25">
      <c r="T22470" s="135"/>
      <c r="U22470" s="135"/>
    </row>
    <row r="22471" spans="20:21" ht="15" customHeight="1" x14ac:dyDescent="0.25">
      <c r="T22471" s="135"/>
      <c r="U22471" s="135"/>
    </row>
    <row r="22472" spans="20:21" ht="15" customHeight="1" x14ac:dyDescent="0.25">
      <c r="T22472" s="135"/>
      <c r="U22472" s="135"/>
    </row>
    <row r="22473" spans="20:21" ht="15" customHeight="1" x14ac:dyDescent="0.25">
      <c r="T22473" s="135"/>
      <c r="U22473" s="135"/>
    </row>
    <row r="22474" spans="20:21" ht="15" customHeight="1" x14ac:dyDescent="0.25">
      <c r="T22474" s="135"/>
      <c r="U22474" s="135"/>
    </row>
    <row r="22475" spans="20:21" ht="15" customHeight="1" x14ac:dyDescent="0.25">
      <c r="T22475" s="135"/>
      <c r="U22475" s="135"/>
    </row>
    <row r="22476" spans="20:21" ht="15" customHeight="1" x14ac:dyDescent="0.25">
      <c r="T22476" s="135"/>
      <c r="U22476" s="135"/>
    </row>
    <row r="22477" spans="20:21" ht="15" customHeight="1" x14ac:dyDescent="0.25">
      <c r="T22477" s="135"/>
      <c r="U22477" s="135"/>
    </row>
    <row r="22478" spans="20:21" ht="15" customHeight="1" x14ac:dyDescent="0.25">
      <c r="T22478" s="135"/>
      <c r="U22478" s="135"/>
    </row>
    <row r="22479" spans="20:21" ht="15" customHeight="1" x14ac:dyDescent="0.25">
      <c r="T22479" s="135"/>
      <c r="U22479" s="135"/>
    </row>
    <row r="22480" spans="20:21" ht="15" customHeight="1" x14ac:dyDescent="0.25">
      <c r="T22480" s="135"/>
      <c r="U22480" s="135"/>
    </row>
    <row r="22481" spans="20:21" ht="15" customHeight="1" x14ac:dyDescent="0.25">
      <c r="T22481" s="135"/>
      <c r="U22481" s="135"/>
    </row>
    <row r="22482" spans="20:21" ht="15" customHeight="1" x14ac:dyDescent="0.25">
      <c r="T22482" s="135"/>
      <c r="U22482" s="135"/>
    </row>
    <row r="22483" spans="20:21" ht="15" customHeight="1" x14ac:dyDescent="0.25">
      <c r="T22483" s="135"/>
      <c r="U22483" s="135"/>
    </row>
    <row r="22484" spans="20:21" ht="15" customHeight="1" x14ac:dyDescent="0.25">
      <c r="T22484" s="135"/>
      <c r="U22484" s="135"/>
    </row>
    <row r="22485" spans="20:21" ht="15" customHeight="1" x14ac:dyDescent="0.25">
      <c r="T22485" s="135"/>
      <c r="U22485" s="135"/>
    </row>
    <row r="22486" spans="20:21" ht="15" customHeight="1" x14ac:dyDescent="0.25">
      <c r="T22486" s="135"/>
      <c r="U22486" s="135"/>
    </row>
    <row r="22487" spans="20:21" ht="15" customHeight="1" x14ac:dyDescent="0.25">
      <c r="T22487" s="135"/>
      <c r="U22487" s="135"/>
    </row>
    <row r="22488" spans="20:21" ht="15" customHeight="1" x14ac:dyDescent="0.25">
      <c r="T22488" s="135"/>
      <c r="U22488" s="135"/>
    </row>
    <row r="22489" spans="20:21" ht="15" customHeight="1" x14ac:dyDescent="0.25">
      <c r="T22489" s="135"/>
      <c r="U22489" s="135"/>
    </row>
    <row r="22490" spans="20:21" ht="15" customHeight="1" x14ac:dyDescent="0.25">
      <c r="T22490" s="135"/>
      <c r="U22490" s="135"/>
    </row>
    <row r="22491" spans="20:21" ht="15" customHeight="1" x14ac:dyDescent="0.25">
      <c r="T22491" s="135"/>
      <c r="U22491" s="135"/>
    </row>
    <row r="22492" spans="20:21" ht="15" customHeight="1" x14ac:dyDescent="0.25">
      <c r="T22492" s="135"/>
      <c r="U22492" s="135"/>
    </row>
    <row r="22493" spans="20:21" ht="15" customHeight="1" x14ac:dyDescent="0.25">
      <c r="T22493" s="135"/>
      <c r="U22493" s="135"/>
    </row>
    <row r="22494" spans="20:21" ht="15" customHeight="1" x14ac:dyDescent="0.25">
      <c r="T22494" s="135"/>
      <c r="U22494" s="135"/>
    </row>
    <row r="22495" spans="20:21" ht="15" customHeight="1" x14ac:dyDescent="0.25">
      <c r="T22495" s="135"/>
      <c r="U22495" s="135"/>
    </row>
    <row r="22496" spans="20:21" ht="15" customHeight="1" x14ac:dyDescent="0.25">
      <c r="T22496" s="135"/>
      <c r="U22496" s="135"/>
    </row>
    <row r="22497" spans="20:21" ht="15" customHeight="1" x14ac:dyDescent="0.25">
      <c r="T22497" s="135"/>
      <c r="U22497" s="135"/>
    </row>
    <row r="22498" spans="20:21" ht="15" customHeight="1" x14ac:dyDescent="0.25">
      <c r="T22498" s="135"/>
      <c r="U22498" s="135"/>
    </row>
    <row r="22499" spans="20:21" ht="15" customHeight="1" x14ac:dyDescent="0.25">
      <c r="T22499" s="135"/>
      <c r="U22499" s="135"/>
    </row>
    <row r="22500" spans="20:21" ht="15" customHeight="1" x14ac:dyDescent="0.25">
      <c r="T22500" s="135"/>
      <c r="U22500" s="135"/>
    </row>
    <row r="22501" spans="20:21" ht="15" customHeight="1" x14ac:dyDescent="0.25">
      <c r="T22501" s="135"/>
      <c r="U22501" s="135"/>
    </row>
    <row r="22502" spans="20:21" ht="15" customHeight="1" x14ac:dyDescent="0.25">
      <c r="T22502" s="135"/>
      <c r="U22502" s="135"/>
    </row>
    <row r="22503" spans="20:21" ht="15" customHeight="1" x14ac:dyDescent="0.25">
      <c r="T22503" s="135"/>
      <c r="U22503" s="135"/>
    </row>
    <row r="22504" spans="20:21" ht="15" customHeight="1" x14ac:dyDescent="0.25">
      <c r="T22504" s="135"/>
      <c r="U22504" s="135"/>
    </row>
    <row r="22505" spans="20:21" ht="15" customHeight="1" x14ac:dyDescent="0.25">
      <c r="T22505" s="135"/>
      <c r="U22505" s="135"/>
    </row>
    <row r="22506" spans="20:21" ht="15" customHeight="1" x14ac:dyDescent="0.25">
      <c r="T22506" s="135"/>
      <c r="U22506" s="135"/>
    </row>
    <row r="22507" spans="20:21" ht="15" customHeight="1" x14ac:dyDescent="0.25">
      <c r="T22507" s="135"/>
      <c r="U22507" s="135"/>
    </row>
    <row r="22508" spans="20:21" ht="15" customHeight="1" x14ac:dyDescent="0.25">
      <c r="T22508" s="135"/>
      <c r="U22508" s="135"/>
    </row>
    <row r="22509" spans="20:21" ht="15" customHeight="1" x14ac:dyDescent="0.25">
      <c r="T22509" s="135"/>
      <c r="U22509" s="135"/>
    </row>
    <row r="22510" spans="20:21" ht="15" customHeight="1" x14ac:dyDescent="0.25">
      <c r="T22510" s="135"/>
      <c r="U22510" s="135"/>
    </row>
    <row r="22511" spans="20:21" ht="15" customHeight="1" x14ac:dyDescent="0.25">
      <c r="T22511" s="135"/>
      <c r="U22511" s="135"/>
    </row>
    <row r="22512" spans="20:21" ht="15" customHeight="1" x14ac:dyDescent="0.25">
      <c r="T22512" s="135"/>
      <c r="U22512" s="135"/>
    </row>
    <row r="22513" spans="20:21" ht="15" customHeight="1" x14ac:dyDescent="0.25">
      <c r="T22513" s="135"/>
      <c r="U22513" s="135"/>
    </row>
    <row r="22514" spans="20:21" ht="15" customHeight="1" x14ac:dyDescent="0.25">
      <c r="T22514" s="135"/>
      <c r="U22514" s="135"/>
    </row>
    <row r="22515" spans="20:21" ht="15" customHeight="1" x14ac:dyDescent="0.25">
      <c r="T22515" s="135"/>
      <c r="U22515" s="135"/>
    </row>
    <row r="22516" spans="20:21" ht="15" customHeight="1" x14ac:dyDescent="0.25">
      <c r="T22516" s="135"/>
      <c r="U22516" s="135"/>
    </row>
    <row r="22517" spans="20:21" ht="15" customHeight="1" x14ac:dyDescent="0.25">
      <c r="T22517" s="135"/>
      <c r="U22517" s="135"/>
    </row>
    <row r="22518" spans="20:21" ht="15" customHeight="1" x14ac:dyDescent="0.25">
      <c r="T22518" s="135"/>
      <c r="U22518" s="135"/>
    </row>
    <row r="22519" spans="20:21" ht="15" customHeight="1" x14ac:dyDescent="0.25">
      <c r="T22519" s="135"/>
      <c r="U22519" s="135"/>
    </row>
    <row r="22520" spans="20:21" ht="15" customHeight="1" x14ac:dyDescent="0.25">
      <c r="T22520" s="135"/>
      <c r="U22520" s="135"/>
    </row>
    <row r="22521" spans="20:21" ht="15" customHeight="1" x14ac:dyDescent="0.25">
      <c r="T22521" s="135"/>
      <c r="U22521" s="135"/>
    </row>
    <row r="22522" spans="20:21" ht="15" customHeight="1" x14ac:dyDescent="0.25">
      <c r="T22522" s="135"/>
      <c r="U22522" s="135"/>
    </row>
    <row r="22523" spans="20:21" ht="15" customHeight="1" x14ac:dyDescent="0.25">
      <c r="T22523" s="135"/>
      <c r="U22523" s="135"/>
    </row>
    <row r="22524" spans="20:21" ht="15" customHeight="1" x14ac:dyDescent="0.25">
      <c r="T22524" s="135"/>
      <c r="U22524" s="135"/>
    </row>
    <row r="22525" spans="20:21" ht="15" customHeight="1" x14ac:dyDescent="0.25">
      <c r="T22525" s="135"/>
      <c r="U22525" s="135"/>
    </row>
    <row r="22526" spans="20:21" ht="15" customHeight="1" x14ac:dyDescent="0.25">
      <c r="T22526" s="135"/>
      <c r="U22526" s="135"/>
    </row>
    <row r="22527" spans="20:21" ht="15" customHeight="1" x14ac:dyDescent="0.25">
      <c r="T22527" s="135"/>
      <c r="U22527" s="135"/>
    </row>
    <row r="22528" spans="20:21" ht="15" customHeight="1" x14ac:dyDescent="0.25">
      <c r="T22528" s="135"/>
      <c r="U22528" s="135"/>
    </row>
    <row r="22529" spans="20:21" ht="15" customHeight="1" x14ac:dyDescent="0.25">
      <c r="T22529" s="135"/>
      <c r="U22529" s="135"/>
    </row>
    <row r="22530" spans="20:21" ht="15" customHeight="1" x14ac:dyDescent="0.25">
      <c r="T22530" s="135"/>
      <c r="U22530" s="135"/>
    </row>
    <row r="22531" spans="20:21" ht="15" customHeight="1" x14ac:dyDescent="0.25">
      <c r="T22531" s="135"/>
      <c r="U22531" s="135"/>
    </row>
    <row r="22532" spans="20:21" ht="15" customHeight="1" x14ac:dyDescent="0.25">
      <c r="T22532" s="135"/>
      <c r="U22532" s="135"/>
    </row>
    <row r="22533" spans="20:21" ht="15" customHeight="1" x14ac:dyDescent="0.25">
      <c r="T22533" s="135"/>
      <c r="U22533" s="135"/>
    </row>
    <row r="22534" spans="20:21" ht="15" customHeight="1" x14ac:dyDescent="0.25">
      <c r="T22534" s="135"/>
      <c r="U22534" s="135"/>
    </row>
    <row r="22535" spans="20:21" ht="15" customHeight="1" x14ac:dyDescent="0.25">
      <c r="T22535" s="135"/>
      <c r="U22535" s="135"/>
    </row>
    <row r="22536" spans="20:21" ht="15" customHeight="1" x14ac:dyDescent="0.25">
      <c r="T22536" s="135"/>
      <c r="U22536" s="135"/>
    </row>
    <row r="22537" spans="20:21" ht="15" customHeight="1" x14ac:dyDescent="0.25">
      <c r="T22537" s="135"/>
      <c r="U22537" s="135"/>
    </row>
    <row r="22538" spans="20:21" ht="15" customHeight="1" x14ac:dyDescent="0.25">
      <c r="T22538" s="135"/>
      <c r="U22538" s="135"/>
    </row>
    <row r="22539" spans="20:21" ht="15" customHeight="1" x14ac:dyDescent="0.25">
      <c r="T22539" s="135"/>
      <c r="U22539" s="135"/>
    </row>
    <row r="22540" spans="20:21" ht="15" customHeight="1" x14ac:dyDescent="0.25">
      <c r="T22540" s="135"/>
      <c r="U22540" s="135"/>
    </row>
    <row r="22541" spans="20:21" ht="15" customHeight="1" x14ac:dyDescent="0.25">
      <c r="T22541" s="135"/>
      <c r="U22541" s="135"/>
    </row>
    <row r="22542" spans="20:21" ht="15" customHeight="1" x14ac:dyDescent="0.25">
      <c r="T22542" s="135"/>
      <c r="U22542" s="135"/>
    </row>
    <row r="22543" spans="20:21" ht="15" customHeight="1" x14ac:dyDescent="0.25">
      <c r="T22543" s="135"/>
      <c r="U22543" s="135"/>
    </row>
    <row r="22544" spans="20:21" ht="15" customHeight="1" x14ac:dyDescent="0.25">
      <c r="T22544" s="135"/>
      <c r="U22544" s="135"/>
    </row>
    <row r="22545" spans="20:21" ht="15" customHeight="1" x14ac:dyDescent="0.25">
      <c r="T22545" s="135"/>
      <c r="U22545" s="135"/>
    </row>
    <row r="22546" spans="20:21" ht="15" customHeight="1" x14ac:dyDescent="0.25">
      <c r="T22546" s="135"/>
      <c r="U22546" s="135"/>
    </row>
    <row r="22547" spans="20:21" ht="15" customHeight="1" x14ac:dyDescent="0.25">
      <c r="T22547" s="135"/>
      <c r="U22547" s="135"/>
    </row>
    <row r="22548" spans="20:21" ht="15" customHeight="1" x14ac:dyDescent="0.25">
      <c r="T22548" s="135"/>
      <c r="U22548" s="135"/>
    </row>
    <row r="22549" spans="20:21" ht="15" customHeight="1" x14ac:dyDescent="0.25">
      <c r="T22549" s="135"/>
      <c r="U22549" s="135"/>
    </row>
    <row r="22550" spans="20:21" ht="15" customHeight="1" x14ac:dyDescent="0.25">
      <c r="T22550" s="135"/>
      <c r="U22550" s="135"/>
    </row>
    <row r="22551" spans="20:21" ht="15" customHeight="1" x14ac:dyDescent="0.25">
      <c r="T22551" s="135"/>
      <c r="U22551" s="135"/>
    </row>
    <row r="22552" spans="20:21" ht="15" customHeight="1" x14ac:dyDescent="0.25">
      <c r="T22552" s="135"/>
      <c r="U22552" s="135"/>
    </row>
    <row r="22553" spans="20:21" ht="15" customHeight="1" x14ac:dyDescent="0.25">
      <c r="T22553" s="135"/>
      <c r="U22553" s="135"/>
    </row>
    <row r="22554" spans="20:21" ht="15" customHeight="1" x14ac:dyDescent="0.25">
      <c r="T22554" s="135"/>
      <c r="U22554" s="135"/>
    </row>
    <row r="22555" spans="20:21" ht="15" customHeight="1" x14ac:dyDescent="0.25">
      <c r="T22555" s="135"/>
      <c r="U22555" s="135"/>
    </row>
    <row r="22556" spans="20:21" ht="15" customHeight="1" x14ac:dyDescent="0.25">
      <c r="T22556" s="135"/>
      <c r="U22556" s="135"/>
    </row>
    <row r="22557" spans="20:21" ht="15" customHeight="1" x14ac:dyDescent="0.25">
      <c r="T22557" s="135"/>
      <c r="U22557" s="135"/>
    </row>
    <row r="22558" spans="20:21" ht="15" customHeight="1" x14ac:dyDescent="0.25">
      <c r="T22558" s="135"/>
      <c r="U22558" s="135"/>
    </row>
    <row r="22559" spans="20:21" ht="15" customHeight="1" x14ac:dyDescent="0.25">
      <c r="T22559" s="135"/>
      <c r="U22559" s="135"/>
    </row>
    <row r="22560" spans="20:21" ht="15" customHeight="1" x14ac:dyDescent="0.25">
      <c r="T22560" s="135"/>
      <c r="U22560" s="135"/>
    </row>
    <row r="22561" spans="20:21" ht="15" customHeight="1" x14ac:dyDescent="0.25">
      <c r="T22561" s="135"/>
      <c r="U22561" s="135"/>
    </row>
    <row r="22562" spans="20:21" ht="15" customHeight="1" x14ac:dyDescent="0.25">
      <c r="T22562" s="135"/>
      <c r="U22562" s="135"/>
    </row>
    <row r="22563" spans="20:21" ht="15" customHeight="1" x14ac:dyDescent="0.25">
      <c r="T22563" s="135"/>
      <c r="U22563" s="135"/>
    </row>
    <row r="22564" spans="20:21" ht="15" customHeight="1" x14ac:dyDescent="0.25">
      <c r="T22564" s="135"/>
      <c r="U22564" s="135"/>
    </row>
    <row r="22565" spans="20:21" ht="15" customHeight="1" x14ac:dyDescent="0.25">
      <c r="T22565" s="135"/>
      <c r="U22565" s="135"/>
    </row>
    <row r="22566" spans="20:21" ht="15" customHeight="1" x14ac:dyDescent="0.25">
      <c r="T22566" s="135"/>
      <c r="U22566" s="135"/>
    </row>
    <row r="22567" spans="20:21" ht="15" customHeight="1" x14ac:dyDescent="0.25">
      <c r="T22567" s="135"/>
      <c r="U22567" s="135"/>
    </row>
    <row r="22568" spans="20:21" ht="15" customHeight="1" x14ac:dyDescent="0.25">
      <c r="T22568" s="135"/>
      <c r="U22568" s="135"/>
    </row>
    <row r="22569" spans="20:21" ht="15" customHeight="1" x14ac:dyDescent="0.25">
      <c r="T22569" s="135"/>
      <c r="U22569" s="135"/>
    </row>
    <row r="22570" spans="20:21" ht="15" customHeight="1" x14ac:dyDescent="0.25">
      <c r="T22570" s="135"/>
      <c r="U22570" s="135"/>
    </row>
    <row r="22571" spans="20:21" ht="15" customHeight="1" x14ac:dyDescent="0.25">
      <c r="T22571" s="135"/>
      <c r="U22571" s="135"/>
    </row>
    <row r="22572" spans="20:21" ht="15" customHeight="1" x14ac:dyDescent="0.25">
      <c r="T22572" s="135"/>
      <c r="U22572" s="135"/>
    </row>
    <row r="22573" spans="20:21" ht="15" customHeight="1" x14ac:dyDescent="0.25">
      <c r="T22573" s="135"/>
      <c r="U22573" s="135"/>
    </row>
    <row r="22574" spans="20:21" ht="15" customHeight="1" x14ac:dyDescent="0.25">
      <c r="T22574" s="135"/>
      <c r="U22574" s="135"/>
    </row>
    <row r="22575" spans="20:21" ht="15" customHeight="1" x14ac:dyDescent="0.25">
      <c r="T22575" s="135"/>
      <c r="U22575" s="135"/>
    </row>
    <row r="22576" spans="20:21" ht="15" customHeight="1" x14ac:dyDescent="0.25">
      <c r="T22576" s="135"/>
      <c r="U22576" s="135"/>
    </row>
    <row r="22577" spans="20:21" ht="15" customHeight="1" x14ac:dyDescent="0.25">
      <c r="T22577" s="135"/>
      <c r="U22577" s="135"/>
    </row>
    <row r="22578" spans="20:21" ht="15" customHeight="1" x14ac:dyDescent="0.25">
      <c r="T22578" s="135"/>
      <c r="U22578" s="135"/>
    </row>
    <row r="22579" spans="20:21" ht="15" customHeight="1" x14ac:dyDescent="0.25">
      <c r="T22579" s="135"/>
      <c r="U22579" s="135"/>
    </row>
    <row r="22580" spans="20:21" ht="15" customHeight="1" x14ac:dyDescent="0.25">
      <c r="T22580" s="135"/>
      <c r="U22580" s="135"/>
    </row>
    <row r="22581" spans="20:21" ht="15" customHeight="1" x14ac:dyDescent="0.25">
      <c r="T22581" s="135"/>
      <c r="U22581" s="135"/>
    </row>
    <row r="22582" spans="20:21" ht="15" customHeight="1" x14ac:dyDescent="0.25">
      <c r="T22582" s="135"/>
      <c r="U22582" s="135"/>
    </row>
    <row r="22583" spans="20:21" ht="15" customHeight="1" x14ac:dyDescent="0.25">
      <c r="T22583" s="135"/>
      <c r="U22583" s="135"/>
    </row>
    <row r="22584" spans="20:21" ht="15" customHeight="1" x14ac:dyDescent="0.25">
      <c r="T22584" s="135"/>
      <c r="U22584" s="135"/>
    </row>
    <row r="22585" spans="20:21" ht="15" customHeight="1" x14ac:dyDescent="0.25">
      <c r="T22585" s="135"/>
      <c r="U22585" s="135"/>
    </row>
    <row r="22586" spans="20:21" ht="15" customHeight="1" x14ac:dyDescent="0.25">
      <c r="T22586" s="135"/>
      <c r="U22586" s="135"/>
    </row>
    <row r="22587" spans="20:21" ht="15" customHeight="1" x14ac:dyDescent="0.25">
      <c r="T22587" s="135"/>
      <c r="U22587" s="135"/>
    </row>
    <row r="22588" spans="20:21" ht="15" customHeight="1" x14ac:dyDescent="0.25">
      <c r="T22588" s="135"/>
      <c r="U22588" s="135"/>
    </row>
    <row r="22589" spans="20:21" ht="15" customHeight="1" x14ac:dyDescent="0.25">
      <c r="T22589" s="135"/>
      <c r="U22589" s="135"/>
    </row>
    <row r="22590" spans="20:21" ht="15" customHeight="1" x14ac:dyDescent="0.25">
      <c r="T22590" s="135"/>
      <c r="U22590" s="135"/>
    </row>
    <row r="22591" spans="20:21" ht="15" customHeight="1" x14ac:dyDescent="0.25">
      <c r="T22591" s="135"/>
      <c r="U22591" s="135"/>
    </row>
    <row r="22592" spans="20:21" ht="15" customHeight="1" x14ac:dyDescent="0.25">
      <c r="T22592" s="135"/>
      <c r="U22592" s="135"/>
    </row>
    <row r="22593" spans="20:21" ht="15" customHeight="1" x14ac:dyDescent="0.25">
      <c r="T22593" s="135"/>
      <c r="U22593" s="135"/>
    </row>
    <row r="22594" spans="20:21" ht="15" customHeight="1" x14ac:dyDescent="0.25">
      <c r="T22594" s="135"/>
      <c r="U22594" s="135"/>
    </row>
    <row r="22595" spans="20:21" ht="15" customHeight="1" x14ac:dyDescent="0.25">
      <c r="T22595" s="135"/>
      <c r="U22595" s="135"/>
    </row>
    <row r="22596" spans="20:21" ht="15" customHeight="1" x14ac:dyDescent="0.25">
      <c r="T22596" s="135"/>
      <c r="U22596" s="135"/>
    </row>
    <row r="22597" spans="20:21" ht="15" customHeight="1" x14ac:dyDescent="0.25">
      <c r="T22597" s="135"/>
      <c r="U22597" s="135"/>
    </row>
    <row r="22598" spans="20:21" ht="15" customHeight="1" x14ac:dyDescent="0.25">
      <c r="T22598" s="135"/>
      <c r="U22598" s="135"/>
    </row>
    <row r="22599" spans="20:21" ht="15" customHeight="1" x14ac:dyDescent="0.25">
      <c r="T22599" s="135"/>
      <c r="U22599" s="135"/>
    </row>
    <row r="22600" spans="20:21" ht="15" customHeight="1" x14ac:dyDescent="0.25">
      <c r="T22600" s="135"/>
      <c r="U22600" s="135"/>
    </row>
    <row r="22601" spans="20:21" ht="15" customHeight="1" x14ac:dyDescent="0.25">
      <c r="T22601" s="135"/>
      <c r="U22601" s="135"/>
    </row>
    <row r="22602" spans="20:21" ht="15" customHeight="1" x14ac:dyDescent="0.25">
      <c r="T22602" s="135"/>
      <c r="U22602" s="135"/>
    </row>
    <row r="22603" spans="20:21" ht="15" customHeight="1" x14ac:dyDescent="0.25">
      <c r="T22603" s="135"/>
      <c r="U22603" s="135"/>
    </row>
    <row r="22604" spans="20:21" ht="15" customHeight="1" x14ac:dyDescent="0.25">
      <c r="T22604" s="135"/>
      <c r="U22604" s="135"/>
    </row>
    <row r="22605" spans="20:21" ht="15" customHeight="1" x14ac:dyDescent="0.25">
      <c r="T22605" s="135"/>
      <c r="U22605" s="135"/>
    </row>
    <row r="22606" spans="20:21" ht="15" customHeight="1" x14ac:dyDescent="0.25">
      <c r="T22606" s="135"/>
      <c r="U22606" s="135"/>
    </row>
    <row r="22607" spans="20:21" ht="15" customHeight="1" x14ac:dyDescent="0.25">
      <c r="T22607" s="135"/>
      <c r="U22607" s="135"/>
    </row>
    <row r="22608" spans="20:21" ht="15" customHeight="1" x14ac:dyDescent="0.25">
      <c r="T22608" s="135"/>
      <c r="U22608" s="135"/>
    </row>
    <row r="22609" spans="20:21" ht="15" customHeight="1" x14ac:dyDescent="0.25">
      <c r="T22609" s="135"/>
      <c r="U22609" s="135"/>
    </row>
    <row r="22610" spans="20:21" ht="15" customHeight="1" x14ac:dyDescent="0.25">
      <c r="T22610" s="135"/>
      <c r="U22610" s="135"/>
    </row>
    <row r="22611" spans="20:21" ht="15" customHeight="1" x14ac:dyDescent="0.25">
      <c r="T22611" s="135"/>
      <c r="U22611" s="135"/>
    </row>
    <row r="22612" spans="20:21" ht="15" customHeight="1" x14ac:dyDescent="0.25">
      <c r="T22612" s="135"/>
      <c r="U22612" s="135"/>
    </row>
    <row r="22613" spans="20:21" ht="15" customHeight="1" x14ac:dyDescent="0.25">
      <c r="T22613" s="135"/>
      <c r="U22613" s="135"/>
    </row>
    <row r="22614" spans="20:21" ht="15" customHeight="1" x14ac:dyDescent="0.25">
      <c r="T22614" s="135"/>
      <c r="U22614" s="135"/>
    </row>
    <row r="22615" spans="20:21" ht="15" customHeight="1" x14ac:dyDescent="0.25">
      <c r="T22615" s="135"/>
      <c r="U22615" s="135"/>
    </row>
    <row r="22616" spans="20:21" ht="15" customHeight="1" x14ac:dyDescent="0.25">
      <c r="T22616" s="135"/>
      <c r="U22616" s="135"/>
    </row>
    <row r="22617" spans="20:21" ht="15" customHeight="1" x14ac:dyDescent="0.25">
      <c r="T22617" s="135"/>
      <c r="U22617" s="135"/>
    </row>
    <row r="22618" spans="20:21" ht="15" customHeight="1" x14ac:dyDescent="0.25">
      <c r="T22618" s="135"/>
      <c r="U22618" s="135"/>
    </row>
    <row r="22619" spans="20:21" ht="15" customHeight="1" x14ac:dyDescent="0.25">
      <c r="T22619" s="135"/>
      <c r="U22619" s="135"/>
    </row>
    <row r="22620" spans="20:21" ht="15" customHeight="1" x14ac:dyDescent="0.25">
      <c r="T22620" s="135"/>
      <c r="U22620" s="135"/>
    </row>
    <row r="22621" spans="20:21" ht="15" customHeight="1" x14ac:dyDescent="0.25">
      <c r="T22621" s="135"/>
      <c r="U22621" s="135"/>
    </row>
    <row r="22622" spans="20:21" ht="15" customHeight="1" x14ac:dyDescent="0.25">
      <c r="T22622" s="135"/>
      <c r="U22622" s="135"/>
    </row>
    <row r="22623" spans="20:21" ht="15" customHeight="1" x14ac:dyDescent="0.25">
      <c r="T22623" s="135"/>
      <c r="U22623" s="135"/>
    </row>
    <row r="22624" spans="20:21" ht="15" customHeight="1" x14ac:dyDescent="0.25">
      <c r="T22624" s="135"/>
      <c r="U22624" s="135"/>
    </row>
    <row r="22625" spans="20:21" ht="15" customHeight="1" x14ac:dyDescent="0.25">
      <c r="T22625" s="135"/>
      <c r="U22625" s="135"/>
    </row>
    <row r="22626" spans="20:21" ht="15" customHeight="1" x14ac:dyDescent="0.25">
      <c r="T22626" s="135"/>
      <c r="U22626" s="135"/>
    </row>
    <row r="22627" spans="20:21" ht="15" customHeight="1" x14ac:dyDescent="0.25">
      <c r="T22627" s="135"/>
      <c r="U22627" s="135"/>
    </row>
    <row r="22628" spans="20:21" ht="15" customHeight="1" x14ac:dyDescent="0.25">
      <c r="T22628" s="135"/>
      <c r="U22628" s="135"/>
    </row>
    <row r="22629" spans="20:21" ht="15" customHeight="1" x14ac:dyDescent="0.25">
      <c r="T22629" s="135"/>
      <c r="U22629" s="135"/>
    </row>
    <row r="22630" spans="20:21" ht="15" customHeight="1" x14ac:dyDescent="0.25">
      <c r="T22630" s="135"/>
      <c r="U22630" s="135"/>
    </row>
    <row r="22631" spans="20:21" ht="15" customHeight="1" x14ac:dyDescent="0.25">
      <c r="T22631" s="135"/>
      <c r="U22631" s="135"/>
    </row>
    <row r="22632" spans="20:21" ht="15" customHeight="1" x14ac:dyDescent="0.25">
      <c r="T22632" s="135"/>
      <c r="U22632" s="135"/>
    </row>
    <row r="22633" spans="20:21" ht="15" customHeight="1" x14ac:dyDescent="0.25">
      <c r="T22633" s="135"/>
      <c r="U22633" s="135"/>
    </row>
    <row r="22634" spans="20:21" ht="15" customHeight="1" x14ac:dyDescent="0.25">
      <c r="T22634" s="135"/>
      <c r="U22634" s="135"/>
    </row>
    <row r="22635" spans="20:21" ht="15" customHeight="1" x14ac:dyDescent="0.25">
      <c r="T22635" s="135"/>
      <c r="U22635" s="135"/>
    </row>
    <row r="22636" spans="20:21" ht="15" customHeight="1" x14ac:dyDescent="0.25">
      <c r="T22636" s="135"/>
      <c r="U22636" s="135"/>
    </row>
    <row r="22637" spans="20:21" ht="15" customHeight="1" x14ac:dyDescent="0.25">
      <c r="T22637" s="135"/>
      <c r="U22637" s="135"/>
    </row>
    <row r="22638" spans="20:21" ht="15" customHeight="1" x14ac:dyDescent="0.25">
      <c r="T22638" s="135"/>
      <c r="U22638" s="135"/>
    </row>
    <row r="22639" spans="20:21" ht="15" customHeight="1" x14ac:dyDescent="0.25">
      <c r="T22639" s="135"/>
      <c r="U22639" s="135"/>
    </row>
    <row r="22640" spans="20:21" ht="15" customHeight="1" x14ac:dyDescent="0.25">
      <c r="T22640" s="135"/>
      <c r="U22640" s="135"/>
    </row>
    <row r="22641" spans="20:21" ht="15" customHeight="1" x14ac:dyDescent="0.25">
      <c r="T22641" s="135"/>
      <c r="U22641" s="135"/>
    </row>
    <row r="22642" spans="20:21" ht="15" customHeight="1" x14ac:dyDescent="0.25">
      <c r="T22642" s="135"/>
      <c r="U22642" s="135"/>
    </row>
    <row r="22643" spans="20:21" ht="15" customHeight="1" x14ac:dyDescent="0.25">
      <c r="T22643" s="135"/>
      <c r="U22643" s="135"/>
    </row>
    <row r="22644" spans="20:21" ht="15" customHeight="1" x14ac:dyDescent="0.25">
      <c r="T22644" s="135"/>
      <c r="U22644" s="135"/>
    </row>
    <row r="22645" spans="20:21" ht="15" customHeight="1" x14ac:dyDescent="0.25">
      <c r="T22645" s="135"/>
      <c r="U22645" s="135"/>
    </row>
    <row r="22646" spans="20:21" ht="15" customHeight="1" x14ac:dyDescent="0.25">
      <c r="T22646" s="135"/>
      <c r="U22646" s="135"/>
    </row>
    <row r="22647" spans="20:21" ht="15" customHeight="1" x14ac:dyDescent="0.25">
      <c r="T22647" s="135"/>
      <c r="U22647" s="135"/>
    </row>
    <row r="22648" spans="20:21" ht="15" customHeight="1" x14ac:dyDescent="0.25">
      <c r="T22648" s="135"/>
      <c r="U22648" s="135"/>
    </row>
    <row r="22649" spans="20:21" ht="15" customHeight="1" x14ac:dyDescent="0.25">
      <c r="T22649" s="135"/>
      <c r="U22649" s="135"/>
    </row>
    <row r="22650" spans="20:21" ht="15" customHeight="1" x14ac:dyDescent="0.25">
      <c r="T22650" s="135"/>
      <c r="U22650" s="135"/>
    </row>
    <row r="22651" spans="20:21" ht="15" customHeight="1" x14ac:dyDescent="0.25">
      <c r="T22651" s="135"/>
      <c r="U22651" s="135"/>
    </row>
    <row r="22652" spans="20:21" ht="15" customHeight="1" x14ac:dyDescent="0.25">
      <c r="T22652" s="135"/>
      <c r="U22652" s="135"/>
    </row>
    <row r="22653" spans="20:21" ht="15" customHeight="1" x14ac:dyDescent="0.25">
      <c r="T22653" s="135"/>
      <c r="U22653" s="135"/>
    </row>
    <row r="22654" spans="20:21" ht="15" customHeight="1" x14ac:dyDescent="0.25">
      <c r="T22654" s="135"/>
      <c r="U22654" s="135"/>
    </row>
    <row r="22655" spans="20:21" ht="15" customHeight="1" x14ac:dyDescent="0.25">
      <c r="T22655" s="135"/>
      <c r="U22655" s="135"/>
    </row>
    <row r="22656" spans="20:21" ht="15" customHeight="1" x14ac:dyDescent="0.25">
      <c r="T22656" s="135"/>
      <c r="U22656" s="135"/>
    </row>
    <row r="22657" spans="20:21" ht="15" customHeight="1" x14ac:dyDescent="0.25">
      <c r="T22657" s="135"/>
      <c r="U22657" s="135"/>
    </row>
    <row r="22658" spans="20:21" ht="15" customHeight="1" x14ac:dyDescent="0.25">
      <c r="T22658" s="135"/>
      <c r="U22658" s="135"/>
    </row>
    <row r="22659" spans="20:21" ht="15" customHeight="1" x14ac:dyDescent="0.25">
      <c r="T22659" s="135"/>
      <c r="U22659" s="135"/>
    </row>
    <row r="22660" spans="20:21" ht="15" customHeight="1" x14ac:dyDescent="0.25">
      <c r="T22660" s="135"/>
      <c r="U22660" s="135"/>
    </row>
    <row r="22661" spans="20:21" ht="15" customHeight="1" x14ac:dyDescent="0.25">
      <c r="T22661" s="135"/>
      <c r="U22661" s="135"/>
    </row>
    <row r="22662" spans="20:21" ht="15" customHeight="1" x14ac:dyDescent="0.25">
      <c r="T22662" s="135"/>
      <c r="U22662" s="135"/>
    </row>
    <row r="22663" spans="20:21" ht="15" customHeight="1" x14ac:dyDescent="0.25">
      <c r="T22663" s="135"/>
      <c r="U22663" s="135"/>
    </row>
    <row r="22664" spans="20:21" ht="15" customHeight="1" x14ac:dyDescent="0.25">
      <c r="T22664" s="135"/>
      <c r="U22664" s="135"/>
    </row>
    <row r="22665" spans="20:21" ht="15" customHeight="1" x14ac:dyDescent="0.25">
      <c r="T22665" s="135"/>
      <c r="U22665" s="135"/>
    </row>
    <row r="22666" spans="20:21" ht="15" customHeight="1" x14ac:dyDescent="0.25">
      <c r="T22666" s="135"/>
      <c r="U22666" s="135"/>
    </row>
    <row r="22667" spans="20:21" ht="15" customHeight="1" x14ac:dyDescent="0.25">
      <c r="T22667" s="135"/>
      <c r="U22667" s="135"/>
    </row>
    <row r="22668" spans="20:21" ht="15" customHeight="1" x14ac:dyDescent="0.25">
      <c r="T22668" s="135"/>
      <c r="U22668" s="135"/>
    </row>
    <row r="22669" spans="20:21" ht="15" customHeight="1" x14ac:dyDescent="0.25">
      <c r="T22669" s="135"/>
      <c r="U22669" s="135"/>
    </row>
    <row r="22670" spans="20:21" ht="15" customHeight="1" x14ac:dyDescent="0.25">
      <c r="T22670" s="135"/>
      <c r="U22670" s="135"/>
    </row>
    <row r="22671" spans="20:21" ht="15" customHeight="1" x14ac:dyDescent="0.25">
      <c r="T22671" s="135"/>
      <c r="U22671" s="135"/>
    </row>
    <row r="22672" spans="20:21" ht="15" customHeight="1" x14ac:dyDescent="0.25">
      <c r="T22672" s="135"/>
      <c r="U22672" s="135"/>
    </row>
    <row r="22673" spans="20:21" ht="15" customHeight="1" x14ac:dyDescent="0.25">
      <c r="T22673" s="135"/>
      <c r="U22673" s="135"/>
    </row>
    <row r="22674" spans="20:21" ht="15" customHeight="1" x14ac:dyDescent="0.25">
      <c r="T22674" s="135"/>
      <c r="U22674" s="135"/>
    </row>
    <row r="22675" spans="20:21" ht="15" customHeight="1" x14ac:dyDescent="0.25">
      <c r="T22675" s="135"/>
      <c r="U22675" s="135"/>
    </row>
    <row r="22676" spans="20:21" ht="15" customHeight="1" x14ac:dyDescent="0.25">
      <c r="T22676" s="135"/>
      <c r="U22676" s="135"/>
    </row>
    <row r="22677" spans="20:21" ht="15" customHeight="1" x14ac:dyDescent="0.25">
      <c r="T22677" s="135"/>
      <c r="U22677" s="135"/>
    </row>
    <row r="22678" spans="20:21" ht="15" customHeight="1" x14ac:dyDescent="0.25">
      <c r="T22678" s="135"/>
      <c r="U22678" s="135"/>
    </row>
    <row r="22679" spans="20:21" ht="15" customHeight="1" x14ac:dyDescent="0.25">
      <c r="T22679" s="135"/>
      <c r="U22679" s="135"/>
    </row>
    <row r="22680" spans="20:21" ht="15" customHeight="1" x14ac:dyDescent="0.25">
      <c r="T22680" s="135"/>
      <c r="U22680" s="135"/>
    </row>
    <row r="22681" spans="20:21" ht="15" customHeight="1" x14ac:dyDescent="0.25">
      <c r="T22681" s="135"/>
      <c r="U22681" s="135"/>
    </row>
    <row r="22682" spans="20:21" ht="15" customHeight="1" x14ac:dyDescent="0.25">
      <c r="T22682" s="135"/>
      <c r="U22682" s="135"/>
    </row>
    <row r="22683" spans="20:21" ht="15" customHeight="1" x14ac:dyDescent="0.25">
      <c r="T22683" s="135"/>
      <c r="U22683" s="135"/>
    </row>
    <row r="22684" spans="20:21" ht="15" customHeight="1" x14ac:dyDescent="0.25">
      <c r="T22684" s="135"/>
      <c r="U22684" s="135"/>
    </row>
    <row r="22685" spans="20:21" ht="15" customHeight="1" x14ac:dyDescent="0.25">
      <c r="T22685" s="135"/>
      <c r="U22685" s="135"/>
    </row>
    <row r="22686" spans="20:21" ht="15" customHeight="1" x14ac:dyDescent="0.25">
      <c r="T22686" s="135"/>
      <c r="U22686" s="135"/>
    </row>
    <row r="22687" spans="20:21" ht="15" customHeight="1" x14ac:dyDescent="0.25">
      <c r="T22687" s="135"/>
      <c r="U22687" s="135"/>
    </row>
    <row r="22688" spans="20:21" ht="15" customHeight="1" x14ac:dyDescent="0.25">
      <c r="T22688" s="135"/>
      <c r="U22688" s="135"/>
    </row>
    <row r="22689" spans="20:21" ht="15" customHeight="1" x14ac:dyDescent="0.25">
      <c r="T22689" s="135"/>
      <c r="U22689" s="135"/>
    </row>
    <row r="22690" spans="20:21" ht="15" customHeight="1" x14ac:dyDescent="0.25">
      <c r="T22690" s="135"/>
      <c r="U22690" s="135"/>
    </row>
    <row r="22691" spans="20:21" ht="15" customHeight="1" x14ac:dyDescent="0.25">
      <c r="T22691" s="135"/>
      <c r="U22691" s="135"/>
    </row>
    <row r="22692" spans="20:21" ht="15" customHeight="1" x14ac:dyDescent="0.25">
      <c r="T22692" s="135"/>
      <c r="U22692" s="135"/>
    </row>
    <row r="22693" spans="20:21" ht="15" customHeight="1" x14ac:dyDescent="0.25">
      <c r="T22693" s="135"/>
      <c r="U22693" s="135"/>
    </row>
    <row r="22694" spans="20:21" ht="15" customHeight="1" x14ac:dyDescent="0.25">
      <c r="T22694" s="135"/>
      <c r="U22694" s="135"/>
    </row>
    <row r="22695" spans="20:21" ht="15" customHeight="1" x14ac:dyDescent="0.25">
      <c r="T22695" s="135"/>
      <c r="U22695" s="135"/>
    </row>
    <row r="22696" spans="20:21" ht="15" customHeight="1" x14ac:dyDescent="0.25">
      <c r="T22696" s="135"/>
      <c r="U22696" s="135"/>
    </row>
    <row r="22697" spans="20:21" ht="15" customHeight="1" x14ac:dyDescent="0.25">
      <c r="T22697" s="135"/>
      <c r="U22697" s="135"/>
    </row>
    <row r="22698" spans="20:21" ht="15" customHeight="1" x14ac:dyDescent="0.25">
      <c r="T22698" s="135"/>
      <c r="U22698" s="135"/>
    </row>
    <row r="22699" spans="20:21" ht="15" customHeight="1" x14ac:dyDescent="0.25">
      <c r="T22699" s="135"/>
      <c r="U22699" s="135"/>
    </row>
    <row r="22700" spans="20:21" ht="15" customHeight="1" x14ac:dyDescent="0.25">
      <c r="T22700" s="135"/>
      <c r="U22700" s="135"/>
    </row>
    <row r="22701" spans="20:21" ht="15" customHeight="1" x14ac:dyDescent="0.25">
      <c r="T22701" s="135"/>
      <c r="U22701" s="135"/>
    </row>
    <row r="22702" spans="20:21" ht="15" customHeight="1" x14ac:dyDescent="0.25">
      <c r="T22702" s="135"/>
      <c r="U22702" s="135"/>
    </row>
    <row r="22703" spans="20:21" ht="15" customHeight="1" x14ac:dyDescent="0.25">
      <c r="T22703" s="135"/>
      <c r="U22703" s="135"/>
    </row>
    <row r="22704" spans="20:21" ht="15" customHeight="1" x14ac:dyDescent="0.25">
      <c r="T22704" s="135"/>
      <c r="U22704" s="135"/>
    </row>
    <row r="22705" spans="20:21" ht="15" customHeight="1" x14ac:dyDescent="0.25">
      <c r="T22705" s="135"/>
      <c r="U22705" s="135"/>
    </row>
    <row r="22706" spans="20:21" ht="15" customHeight="1" x14ac:dyDescent="0.25">
      <c r="T22706" s="135"/>
      <c r="U22706" s="135"/>
    </row>
    <row r="22707" spans="20:21" ht="15" customHeight="1" x14ac:dyDescent="0.25">
      <c r="T22707" s="135"/>
      <c r="U22707" s="135"/>
    </row>
    <row r="22708" spans="20:21" ht="15" customHeight="1" x14ac:dyDescent="0.25">
      <c r="T22708" s="135"/>
      <c r="U22708" s="135"/>
    </row>
    <row r="22709" spans="20:21" ht="15" customHeight="1" x14ac:dyDescent="0.25">
      <c r="T22709" s="135"/>
      <c r="U22709" s="135"/>
    </row>
    <row r="22710" spans="20:21" ht="15" customHeight="1" x14ac:dyDescent="0.25">
      <c r="T22710" s="135"/>
      <c r="U22710" s="135"/>
    </row>
    <row r="22711" spans="20:21" ht="15" customHeight="1" x14ac:dyDescent="0.25">
      <c r="T22711" s="135"/>
      <c r="U22711" s="135"/>
    </row>
    <row r="22712" spans="20:21" ht="15" customHeight="1" x14ac:dyDescent="0.25">
      <c r="T22712" s="135"/>
      <c r="U22712" s="135"/>
    </row>
    <row r="22713" spans="20:21" ht="15" customHeight="1" x14ac:dyDescent="0.25">
      <c r="T22713" s="135"/>
      <c r="U22713" s="135"/>
    </row>
    <row r="22714" spans="20:21" ht="15" customHeight="1" x14ac:dyDescent="0.25">
      <c r="T22714" s="135"/>
      <c r="U22714" s="135"/>
    </row>
    <row r="22715" spans="20:21" ht="15" customHeight="1" x14ac:dyDescent="0.25">
      <c r="T22715" s="135"/>
      <c r="U22715" s="135"/>
    </row>
    <row r="22716" spans="20:21" ht="15" customHeight="1" x14ac:dyDescent="0.25">
      <c r="T22716" s="135"/>
      <c r="U22716" s="135"/>
    </row>
    <row r="22717" spans="20:21" ht="15" customHeight="1" x14ac:dyDescent="0.25">
      <c r="T22717" s="135"/>
      <c r="U22717" s="135"/>
    </row>
    <row r="22718" spans="20:21" ht="15" customHeight="1" x14ac:dyDescent="0.25">
      <c r="T22718" s="135"/>
      <c r="U22718" s="135"/>
    </row>
    <row r="22719" spans="20:21" ht="15" customHeight="1" x14ac:dyDescent="0.25">
      <c r="T22719" s="135"/>
      <c r="U22719" s="135"/>
    </row>
    <row r="22720" spans="20:21" ht="15" customHeight="1" x14ac:dyDescent="0.25">
      <c r="T22720" s="135"/>
      <c r="U22720" s="135"/>
    </row>
    <row r="22721" spans="20:21" ht="15" customHeight="1" x14ac:dyDescent="0.25">
      <c r="T22721" s="135"/>
      <c r="U22721" s="135"/>
    </row>
    <row r="22722" spans="20:21" ht="15" customHeight="1" x14ac:dyDescent="0.25">
      <c r="T22722" s="135"/>
      <c r="U22722" s="135"/>
    </row>
    <row r="22723" spans="20:21" ht="15" customHeight="1" x14ac:dyDescent="0.25">
      <c r="T22723" s="135"/>
      <c r="U22723" s="135"/>
    </row>
    <row r="22724" spans="20:21" ht="15" customHeight="1" x14ac:dyDescent="0.25">
      <c r="T22724" s="135"/>
      <c r="U22724" s="135"/>
    </row>
    <row r="22725" spans="20:21" ht="15" customHeight="1" x14ac:dyDescent="0.25">
      <c r="T22725" s="135"/>
      <c r="U22725" s="135"/>
    </row>
    <row r="22726" spans="20:21" ht="15" customHeight="1" x14ac:dyDescent="0.25">
      <c r="T22726" s="135"/>
      <c r="U22726" s="135"/>
    </row>
    <row r="22727" spans="20:21" ht="15" customHeight="1" x14ac:dyDescent="0.25">
      <c r="T22727" s="135"/>
      <c r="U22727" s="135"/>
    </row>
    <row r="22728" spans="20:21" ht="15" customHeight="1" x14ac:dyDescent="0.25">
      <c r="T22728" s="135"/>
      <c r="U22728" s="135"/>
    </row>
    <row r="22729" spans="20:21" ht="15" customHeight="1" x14ac:dyDescent="0.25">
      <c r="T22729" s="135"/>
      <c r="U22729" s="135"/>
    </row>
    <row r="22730" spans="20:21" ht="15" customHeight="1" x14ac:dyDescent="0.25">
      <c r="T22730" s="135"/>
      <c r="U22730" s="135"/>
    </row>
    <row r="22731" spans="20:21" ht="15" customHeight="1" x14ac:dyDescent="0.25">
      <c r="T22731" s="135"/>
      <c r="U22731" s="135"/>
    </row>
    <row r="22732" spans="20:21" ht="15" customHeight="1" x14ac:dyDescent="0.25">
      <c r="T22732" s="135"/>
      <c r="U22732" s="135"/>
    </row>
    <row r="22733" spans="20:21" ht="15" customHeight="1" x14ac:dyDescent="0.25">
      <c r="T22733" s="135"/>
      <c r="U22733" s="135"/>
    </row>
    <row r="22734" spans="20:21" ht="15" customHeight="1" x14ac:dyDescent="0.25">
      <c r="T22734" s="135"/>
      <c r="U22734" s="135"/>
    </row>
    <row r="22735" spans="20:21" ht="15" customHeight="1" x14ac:dyDescent="0.25">
      <c r="T22735" s="135"/>
      <c r="U22735" s="135"/>
    </row>
    <row r="22736" spans="20:21" ht="15" customHeight="1" x14ac:dyDescent="0.25">
      <c r="T22736" s="135"/>
      <c r="U22736" s="135"/>
    </row>
    <row r="22737" spans="20:21" ht="15" customHeight="1" x14ac:dyDescent="0.25">
      <c r="T22737" s="135"/>
      <c r="U22737" s="135"/>
    </row>
    <row r="22738" spans="20:21" ht="15" customHeight="1" x14ac:dyDescent="0.25">
      <c r="T22738" s="135"/>
      <c r="U22738" s="135"/>
    </row>
    <row r="22739" spans="20:21" ht="15" customHeight="1" x14ac:dyDescent="0.25">
      <c r="T22739" s="135"/>
      <c r="U22739" s="135"/>
    </row>
    <row r="22740" spans="20:21" ht="15" customHeight="1" x14ac:dyDescent="0.25">
      <c r="T22740" s="135"/>
      <c r="U22740" s="135"/>
    </row>
    <row r="22741" spans="20:21" ht="15" customHeight="1" x14ac:dyDescent="0.25">
      <c r="T22741" s="135"/>
      <c r="U22741" s="135"/>
    </row>
    <row r="22742" spans="20:21" ht="15" customHeight="1" x14ac:dyDescent="0.25">
      <c r="T22742" s="135"/>
      <c r="U22742" s="135"/>
    </row>
    <row r="22743" spans="20:21" ht="15" customHeight="1" x14ac:dyDescent="0.25">
      <c r="T22743" s="135"/>
      <c r="U22743" s="135"/>
    </row>
    <row r="22744" spans="20:21" ht="15" customHeight="1" x14ac:dyDescent="0.25">
      <c r="T22744" s="135"/>
      <c r="U22744" s="135"/>
    </row>
    <row r="22745" spans="20:21" ht="15" customHeight="1" x14ac:dyDescent="0.25">
      <c r="T22745" s="135"/>
      <c r="U22745" s="135"/>
    </row>
    <row r="22746" spans="20:21" ht="15" customHeight="1" x14ac:dyDescent="0.25">
      <c r="T22746" s="135"/>
      <c r="U22746" s="135"/>
    </row>
    <row r="22747" spans="20:21" ht="15" customHeight="1" x14ac:dyDescent="0.25">
      <c r="T22747" s="135"/>
      <c r="U22747" s="135"/>
    </row>
    <row r="22748" spans="20:21" ht="15" customHeight="1" x14ac:dyDescent="0.25">
      <c r="T22748" s="135"/>
      <c r="U22748" s="135"/>
    </row>
    <row r="22749" spans="20:21" ht="15" customHeight="1" x14ac:dyDescent="0.25">
      <c r="T22749" s="135"/>
      <c r="U22749" s="135"/>
    </row>
    <row r="22750" spans="20:21" ht="15" customHeight="1" x14ac:dyDescent="0.25">
      <c r="T22750" s="135"/>
      <c r="U22750" s="135"/>
    </row>
    <row r="22751" spans="20:21" ht="15" customHeight="1" x14ac:dyDescent="0.25">
      <c r="T22751" s="135"/>
      <c r="U22751" s="135"/>
    </row>
    <row r="22752" spans="20:21" ht="15" customHeight="1" x14ac:dyDescent="0.25">
      <c r="T22752" s="135"/>
      <c r="U22752" s="135"/>
    </row>
    <row r="22753" spans="20:21" ht="15" customHeight="1" x14ac:dyDescent="0.25">
      <c r="T22753" s="135"/>
      <c r="U22753" s="135"/>
    </row>
    <row r="22754" spans="20:21" ht="15" customHeight="1" x14ac:dyDescent="0.25">
      <c r="T22754" s="135"/>
      <c r="U22754" s="135"/>
    </row>
    <row r="22755" spans="20:21" ht="15" customHeight="1" x14ac:dyDescent="0.25">
      <c r="T22755" s="135"/>
      <c r="U22755" s="135"/>
    </row>
    <row r="22756" spans="20:21" ht="15" customHeight="1" x14ac:dyDescent="0.25">
      <c r="T22756" s="135"/>
      <c r="U22756" s="135"/>
    </row>
    <row r="22757" spans="20:21" ht="15" customHeight="1" x14ac:dyDescent="0.25">
      <c r="T22757" s="135"/>
      <c r="U22757" s="135"/>
    </row>
    <row r="22758" spans="20:21" ht="15" customHeight="1" x14ac:dyDescent="0.25">
      <c r="T22758" s="135"/>
      <c r="U22758" s="135"/>
    </row>
    <row r="22759" spans="20:21" ht="15" customHeight="1" x14ac:dyDescent="0.25">
      <c r="T22759" s="135"/>
      <c r="U22759" s="135"/>
    </row>
    <row r="22760" spans="20:21" ht="15" customHeight="1" x14ac:dyDescent="0.25">
      <c r="T22760" s="135"/>
      <c r="U22760" s="135"/>
    </row>
    <row r="22761" spans="20:21" ht="15" customHeight="1" x14ac:dyDescent="0.25">
      <c r="T22761" s="135"/>
      <c r="U22761" s="135"/>
    </row>
    <row r="22762" spans="20:21" ht="15" customHeight="1" x14ac:dyDescent="0.25">
      <c r="T22762" s="135"/>
      <c r="U22762" s="135"/>
    </row>
    <row r="22763" spans="20:21" ht="15" customHeight="1" x14ac:dyDescent="0.25">
      <c r="T22763" s="135"/>
      <c r="U22763" s="135"/>
    </row>
    <row r="22764" spans="20:21" ht="15" customHeight="1" x14ac:dyDescent="0.25">
      <c r="T22764" s="135"/>
      <c r="U22764" s="135"/>
    </row>
    <row r="22765" spans="20:21" ht="15" customHeight="1" x14ac:dyDescent="0.25">
      <c r="T22765" s="135"/>
      <c r="U22765" s="135"/>
    </row>
    <row r="22766" spans="20:21" ht="15" customHeight="1" x14ac:dyDescent="0.25">
      <c r="T22766" s="135"/>
      <c r="U22766" s="135"/>
    </row>
    <row r="22767" spans="20:21" ht="15" customHeight="1" x14ac:dyDescent="0.25">
      <c r="T22767" s="135"/>
      <c r="U22767" s="135"/>
    </row>
    <row r="22768" spans="20:21" ht="15" customHeight="1" x14ac:dyDescent="0.25">
      <c r="T22768" s="135"/>
      <c r="U22768" s="135"/>
    </row>
    <row r="22769" spans="20:21" ht="15" customHeight="1" x14ac:dyDescent="0.25">
      <c r="T22769" s="135"/>
      <c r="U22769" s="135"/>
    </row>
    <row r="22770" spans="20:21" ht="15" customHeight="1" x14ac:dyDescent="0.25">
      <c r="T22770" s="135"/>
      <c r="U22770" s="135"/>
    </row>
    <row r="22771" spans="20:21" ht="15" customHeight="1" x14ac:dyDescent="0.25">
      <c r="T22771" s="135"/>
      <c r="U22771" s="135"/>
    </row>
    <row r="22772" spans="20:21" ht="15" customHeight="1" x14ac:dyDescent="0.25">
      <c r="T22772" s="135"/>
      <c r="U22772" s="135"/>
    </row>
    <row r="22773" spans="20:21" ht="15" customHeight="1" x14ac:dyDescent="0.25">
      <c r="T22773" s="135"/>
      <c r="U22773" s="135"/>
    </row>
    <row r="22774" spans="20:21" ht="15" customHeight="1" x14ac:dyDescent="0.25">
      <c r="T22774" s="135"/>
      <c r="U22774" s="135"/>
    </row>
    <row r="22775" spans="20:21" ht="15" customHeight="1" x14ac:dyDescent="0.25">
      <c r="T22775" s="135"/>
      <c r="U22775" s="135"/>
    </row>
    <row r="22776" spans="20:21" ht="15" customHeight="1" x14ac:dyDescent="0.25">
      <c r="T22776" s="135"/>
      <c r="U22776" s="135"/>
    </row>
    <row r="22777" spans="20:21" ht="15" customHeight="1" x14ac:dyDescent="0.25">
      <c r="T22777" s="135"/>
      <c r="U22777" s="135"/>
    </row>
    <row r="22778" spans="20:21" ht="15" customHeight="1" x14ac:dyDescent="0.25">
      <c r="T22778" s="135"/>
      <c r="U22778" s="135"/>
    </row>
    <row r="22779" spans="20:21" ht="15" customHeight="1" x14ac:dyDescent="0.25">
      <c r="T22779" s="135"/>
      <c r="U22779" s="135"/>
    </row>
    <row r="22780" spans="20:21" ht="15" customHeight="1" x14ac:dyDescent="0.25">
      <c r="T22780" s="135"/>
      <c r="U22780" s="135"/>
    </row>
    <row r="22781" spans="20:21" ht="15" customHeight="1" x14ac:dyDescent="0.25">
      <c r="T22781" s="135"/>
      <c r="U22781" s="135"/>
    </row>
    <row r="22782" spans="20:21" ht="15" customHeight="1" x14ac:dyDescent="0.25">
      <c r="T22782" s="135"/>
      <c r="U22782" s="135"/>
    </row>
    <row r="22783" spans="20:21" ht="15" customHeight="1" x14ac:dyDescent="0.25">
      <c r="T22783" s="135"/>
      <c r="U22783" s="135"/>
    </row>
    <row r="22784" spans="20:21" ht="15" customHeight="1" x14ac:dyDescent="0.25">
      <c r="T22784" s="135"/>
      <c r="U22784" s="135"/>
    </row>
    <row r="22785" spans="20:21" ht="15" customHeight="1" x14ac:dyDescent="0.25">
      <c r="T22785" s="135"/>
      <c r="U22785" s="135"/>
    </row>
    <row r="22786" spans="20:21" ht="15" customHeight="1" x14ac:dyDescent="0.25">
      <c r="T22786" s="135"/>
      <c r="U22786" s="135"/>
    </row>
    <row r="22787" spans="20:21" ht="15" customHeight="1" x14ac:dyDescent="0.25">
      <c r="T22787" s="135"/>
      <c r="U22787" s="135"/>
    </row>
    <row r="22788" spans="20:21" ht="15" customHeight="1" x14ac:dyDescent="0.25">
      <c r="T22788" s="135"/>
      <c r="U22788" s="135"/>
    </row>
    <row r="22789" spans="20:21" ht="15" customHeight="1" x14ac:dyDescent="0.25">
      <c r="T22789" s="135"/>
      <c r="U22789" s="135"/>
    </row>
    <row r="22790" spans="20:21" ht="15" customHeight="1" x14ac:dyDescent="0.25">
      <c r="T22790" s="135"/>
      <c r="U22790" s="135"/>
    </row>
    <row r="22791" spans="20:21" ht="15" customHeight="1" x14ac:dyDescent="0.25">
      <c r="T22791" s="135"/>
      <c r="U22791" s="135"/>
    </row>
    <row r="22792" spans="20:21" ht="15" customHeight="1" x14ac:dyDescent="0.25">
      <c r="T22792" s="135"/>
      <c r="U22792" s="135"/>
    </row>
    <row r="22793" spans="20:21" ht="15" customHeight="1" x14ac:dyDescent="0.25">
      <c r="T22793" s="135"/>
      <c r="U22793" s="135"/>
    </row>
    <row r="22794" spans="20:21" ht="15" customHeight="1" x14ac:dyDescent="0.25">
      <c r="T22794" s="135"/>
      <c r="U22794" s="135"/>
    </row>
    <row r="22795" spans="20:21" ht="15" customHeight="1" x14ac:dyDescent="0.25">
      <c r="T22795" s="135"/>
      <c r="U22795" s="135"/>
    </row>
    <row r="22796" spans="20:21" ht="15" customHeight="1" x14ac:dyDescent="0.25">
      <c r="T22796" s="135"/>
      <c r="U22796" s="135"/>
    </row>
    <row r="22797" spans="20:21" ht="15" customHeight="1" x14ac:dyDescent="0.25">
      <c r="T22797" s="135"/>
      <c r="U22797" s="135"/>
    </row>
    <row r="22798" spans="20:21" ht="15" customHeight="1" x14ac:dyDescent="0.25">
      <c r="T22798" s="135"/>
      <c r="U22798" s="135"/>
    </row>
    <row r="22799" spans="20:21" ht="15" customHeight="1" x14ac:dyDescent="0.25">
      <c r="T22799" s="135"/>
      <c r="U22799" s="135"/>
    </row>
    <row r="22800" spans="20:21" ht="15" customHeight="1" x14ac:dyDescent="0.25">
      <c r="T22800" s="135"/>
      <c r="U22800" s="135"/>
    </row>
    <row r="22801" spans="20:21" ht="15" customHeight="1" x14ac:dyDescent="0.25">
      <c r="T22801" s="135"/>
      <c r="U22801" s="135"/>
    </row>
    <row r="22802" spans="20:21" ht="15" customHeight="1" x14ac:dyDescent="0.25">
      <c r="T22802" s="135"/>
      <c r="U22802" s="135"/>
    </row>
    <row r="22803" spans="20:21" ht="15" customHeight="1" x14ac:dyDescent="0.25">
      <c r="T22803" s="135"/>
      <c r="U22803" s="135"/>
    </row>
    <row r="22804" spans="20:21" ht="15" customHeight="1" x14ac:dyDescent="0.25">
      <c r="T22804" s="135"/>
      <c r="U22804" s="135"/>
    </row>
    <row r="22805" spans="20:21" ht="15" customHeight="1" x14ac:dyDescent="0.25">
      <c r="T22805" s="135"/>
      <c r="U22805" s="135"/>
    </row>
    <row r="22806" spans="20:21" ht="15" customHeight="1" x14ac:dyDescent="0.25">
      <c r="T22806" s="135"/>
      <c r="U22806" s="135"/>
    </row>
    <row r="22807" spans="20:21" ht="15" customHeight="1" x14ac:dyDescent="0.25">
      <c r="T22807" s="135"/>
      <c r="U22807" s="135"/>
    </row>
    <row r="22808" spans="20:21" ht="15" customHeight="1" x14ac:dyDescent="0.25">
      <c r="T22808" s="135"/>
      <c r="U22808" s="135"/>
    </row>
    <row r="22809" spans="20:21" ht="15" customHeight="1" x14ac:dyDescent="0.25">
      <c r="T22809" s="135"/>
      <c r="U22809" s="135"/>
    </row>
    <row r="22810" spans="20:21" ht="15" customHeight="1" x14ac:dyDescent="0.25">
      <c r="T22810" s="135"/>
      <c r="U22810" s="135"/>
    </row>
    <row r="22811" spans="20:21" ht="15" customHeight="1" x14ac:dyDescent="0.25">
      <c r="T22811" s="135"/>
      <c r="U22811" s="135"/>
    </row>
    <row r="22812" spans="20:21" ht="15" customHeight="1" x14ac:dyDescent="0.25">
      <c r="T22812" s="135"/>
      <c r="U22812" s="135"/>
    </row>
    <row r="22813" spans="20:21" ht="15" customHeight="1" x14ac:dyDescent="0.25">
      <c r="T22813" s="135"/>
      <c r="U22813" s="135"/>
    </row>
    <row r="22814" spans="20:21" ht="15" customHeight="1" x14ac:dyDescent="0.25">
      <c r="T22814" s="135"/>
      <c r="U22814" s="135"/>
    </row>
    <row r="22815" spans="20:21" ht="15" customHeight="1" x14ac:dyDescent="0.25">
      <c r="T22815" s="135"/>
      <c r="U22815" s="135"/>
    </row>
    <row r="22816" spans="20:21" ht="15" customHeight="1" x14ac:dyDescent="0.25">
      <c r="T22816" s="135"/>
      <c r="U22816" s="135"/>
    </row>
    <row r="22817" spans="20:21" ht="15" customHeight="1" x14ac:dyDescent="0.25">
      <c r="T22817" s="135"/>
      <c r="U22817" s="135"/>
    </row>
    <row r="22818" spans="20:21" ht="15" customHeight="1" x14ac:dyDescent="0.25">
      <c r="T22818" s="135"/>
      <c r="U22818" s="135"/>
    </row>
    <row r="22819" spans="20:21" ht="15" customHeight="1" x14ac:dyDescent="0.25">
      <c r="T22819" s="135"/>
      <c r="U22819" s="135"/>
    </row>
    <row r="22820" spans="20:21" ht="15" customHeight="1" x14ac:dyDescent="0.25">
      <c r="T22820" s="135"/>
      <c r="U22820" s="135"/>
    </row>
    <row r="22821" spans="20:21" ht="15" customHeight="1" x14ac:dyDescent="0.25">
      <c r="T22821" s="135"/>
      <c r="U22821" s="135"/>
    </row>
    <row r="22822" spans="20:21" ht="15" customHeight="1" x14ac:dyDescent="0.25">
      <c r="T22822" s="135"/>
      <c r="U22822" s="135"/>
    </row>
    <row r="22823" spans="20:21" ht="15" customHeight="1" x14ac:dyDescent="0.25">
      <c r="T22823" s="135"/>
      <c r="U22823" s="135"/>
    </row>
    <row r="22824" spans="20:21" ht="15" customHeight="1" x14ac:dyDescent="0.25">
      <c r="T22824" s="135"/>
      <c r="U22824" s="135"/>
    </row>
    <row r="22825" spans="20:21" ht="15" customHeight="1" x14ac:dyDescent="0.25">
      <c r="T22825" s="135"/>
      <c r="U22825" s="135"/>
    </row>
    <row r="22826" spans="20:21" ht="15" customHeight="1" x14ac:dyDescent="0.25">
      <c r="T22826" s="135"/>
      <c r="U22826" s="135"/>
    </row>
    <row r="22827" spans="20:21" ht="15" customHeight="1" x14ac:dyDescent="0.25">
      <c r="T22827" s="135"/>
      <c r="U22827" s="135"/>
    </row>
    <row r="22828" spans="20:21" ht="15" customHeight="1" x14ac:dyDescent="0.25">
      <c r="T22828" s="135"/>
      <c r="U22828" s="135"/>
    </row>
    <row r="22829" spans="20:21" ht="15" customHeight="1" x14ac:dyDescent="0.25">
      <c r="T22829" s="135"/>
      <c r="U22829" s="135"/>
    </row>
    <row r="22830" spans="20:21" ht="15" customHeight="1" x14ac:dyDescent="0.25">
      <c r="T22830" s="135"/>
      <c r="U22830" s="135"/>
    </row>
    <row r="22831" spans="20:21" ht="15" customHeight="1" x14ac:dyDescent="0.25">
      <c r="T22831" s="135"/>
      <c r="U22831" s="135"/>
    </row>
    <row r="22832" spans="20:21" ht="15" customHeight="1" x14ac:dyDescent="0.25">
      <c r="T22832" s="135"/>
      <c r="U22832" s="135"/>
    </row>
    <row r="22833" spans="20:21" ht="15" customHeight="1" x14ac:dyDescent="0.25">
      <c r="T22833" s="135"/>
      <c r="U22833" s="135"/>
    </row>
    <row r="22834" spans="20:21" ht="15" customHeight="1" x14ac:dyDescent="0.25">
      <c r="T22834" s="135"/>
      <c r="U22834" s="135"/>
    </row>
    <row r="22835" spans="20:21" ht="15" customHeight="1" x14ac:dyDescent="0.25">
      <c r="T22835" s="135"/>
      <c r="U22835" s="135"/>
    </row>
    <row r="22836" spans="20:21" ht="15" customHeight="1" x14ac:dyDescent="0.25">
      <c r="T22836" s="135"/>
      <c r="U22836" s="135"/>
    </row>
    <row r="22837" spans="20:21" ht="15" customHeight="1" x14ac:dyDescent="0.25">
      <c r="T22837" s="135"/>
      <c r="U22837" s="135"/>
    </row>
    <row r="22838" spans="20:21" ht="15" customHeight="1" x14ac:dyDescent="0.25">
      <c r="T22838" s="135"/>
      <c r="U22838" s="135"/>
    </row>
    <row r="22839" spans="20:21" ht="15" customHeight="1" x14ac:dyDescent="0.25">
      <c r="T22839" s="135"/>
      <c r="U22839" s="135"/>
    </row>
    <row r="22840" spans="20:21" ht="15" customHeight="1" x14ac:dyDescent="0.25">
      <c r="T22840" s="135"/>
      <c r="U22840" s="135"/>
    </row>
    <row r="22841" spans="20:21" ht="15" customHeight="1" x14ac:dyDescent="0.25">
      <c r="T22841" s="135"/>
      <c r="U22841" s="135"/>
    </row>
    <row r="22842" spans="20:21" ht="15" customHeight="1" x14ac:dyDescent="0.25">
      <c r="T22842" s="135"/>
      <c r="U22842" s="135"/>
    </row>
    <row r="22843" spans="20:21" ht="15" customHeight="1" x14ac:dyDescent="0.25">
      <c r="T22843" s="135"/>
      <c r="U22843" s="135"/>
    </row>
    <row r="22844" spans="20:21" ht="15" customHeight="1" x14ac:dyDescent="0.25">
      <c r="T22844" s="135"/>
      <c r="U22844" s="135"/>
    </row>
    <row r="22845" spans="20:21" ht="15" customHeight="1" x14ac:dyDescent="0.25">
      <c r="T22845" s="135"/>
      <c r="U22845" s="135"/>
    </row>
    <row r="22846" spans="20:21" ht="15" customHeight="1" x14ac:dyDescent="0.25">
      <c r="T22846" s="135"/>
      <c r="U22846" s="135"/>
    </row>
    <row r="22847" spans="20:21" ht="15" customHeight="1" x14ac:dyDescent="0.25">
      <c r="T22847" s="135"/>
      <c r="U22847" s="135"/>
    </row>
    <row r="22848" spans="20:21" ht="15" customHeight="1" x14ac:dyDescent="0.25">
      <c r="T22848" s="135"/>
      <c r="U22848" s="135"/>
    </row>
    <row r="22849" spans="20:21" ht="15" customHeight="1" x14ac:dyDescent="0.25">
      <c r="T22849" s="135"/>
      <c r="U22849" s="135"/>
    </row>
    <row r="22850" spans="20:21" ht="15" customHeight="1" x14ac:dyDescent="0.25">
      <c r="T22850" s="135"/>
      <c r="U22850" s="135"/>
    </row>
    <row r="22851" spans="20:21" ht="15" customHeight="1" x14ac:dyDescent="0.25">
      <c r="T22851" s="135"/>
      <c r="U22851" s="135"/>
    </row>
    <row r="22852" spans="20:21" ht="15" customHeight="1" x14ac:dyDescent="0.25">
      <c r="T22852" s="135"/>
      <c r="U22852" s="135"/>
    </row>
    <row r="22853" spans="20:21" ht="15" customHeight="1" x14ac:dyDescent="0.25">
      <c r="T22853" s="135"/>
      <c r="U22853" s="135"/>
    </row>
    <row r="22854" spans="20:21" ht="15" customHeight="1" x14ac:dyDescent="0.25">
      <c r="T22854" s="135"/>
      <c r="U22854" s="135"/>
    </row>
    <row r="22855" spans="20:21" ht="15" customHeight="1" x14ac:dyDescent="0.25">
      <c r="T22855" s="135"/>
      <c r="U22855" s="135"/>
    </row>
    <row r="22856" spans="20:21" ht="15" customHeight="1" x14ac:dyDescent="0.25">
      <c r="T22856" s="135"/>
      <c r="U22856" s="135"/>
    </row>
    <row r="22857" spans="20:21" ht="15" customHeight="1" x14ac:dyDescent="0.25">
      <c r="T22857" s="135"/>
      <c r="U22857" s="135"/>
    </row>
    <row r="22858" spans="20:21" ht="15" customHeight="1" x14ac:dyDescent="0.25">
      <c r="T22858" s="135"/>
      <c r="U22858" s="135"/>
    </row>
    <row r="22859" spans="20:21" ht="15" customHeight="1" x14ac:dyDescent="0.25">
      <c r="T22859" s="135"/>
      <c r="U22859" s="135"/>
    </row>
    <row r="22860" spans="20:21" ht="15" customHeight="1" x14ac:dyDescent="0.25">
      <c r="T22860" s="135"/>
      <c r="U22860" s="135"/>
    </row>
    <row r="22861" spans="20:21" ht="15" customHeight="1" x14ac:dyDescent="0.25">
      <c r="T22861" s="135"/>
      <c r="U22861" s="135"/>
    </row>
    <row r="22862" spans="20:21" ht="15" customHeight="1" x14ac:dyDescent="0.25">
      <c r="T22862" s="135"/>
      <c r="U22862" s="135"/>
    </row>
    <row r="22863" spans="20:21" ht="15" customHeight="1" x14ac:dyDescent="0.25">
      <c r="T22863" s="135"/>
      <c r="U22863" s="135"/>
    </row>
    <row r="22864" spans="20:21" ht="15" customHeight="1" x14ac:dyDescent="0.25">
      <c r="T22864" s="135"/>
      <c r="U22864" s="135"/>
    </row>
    <row r="22865" spans="20:21" ht="15" customHeight="1" x14ac:dyDescent="0.25">
      <c r="T22865" s="135"/>
      <c r="U22865" s="135"/>
    </row>
    <row r="22866" spans="20:21" ht="15" customHeight="1" x14ac:dyDescent="0.25">
      <c r="T22866" s="135"/>
      <c r="U22866" s="135"/>
    </row>
    <row r="22867" spans="20:21" ht="15" customHeight="1" x14ac:dyDescent="0.25">
      <c r="T22867" s="135"/>
      <c r="U22867" s="135"/>
    </row>
    <row r="22868" spans="20:21" ht="15" customHeight="1" x14ac:dyDescent="0.25">
      <c r="T22868" s="135"/>
      <c r="U22868" s="135"/>
    </row>
    <row r="22869" spans="20:21" ht="15" customHeight="1" x14ac:dyDescent="0.25">
      <c r="T22869" s="135"/>
      <c r="U22869" s="135"/>
    </row>
    <row r="22870" spans="20:21" ht="15" customHeight="1" x14ac:dyDescent="0.25">
      <c r="T22870" s="135"/>
      <c r="U22870" s="135"/>
    </row>
    <row r="22871" spans="20:21" ht="15" customHeight="1" x14ac:dyDescent="0.25">
      <c r="T22871" s="135"/>
      <c r="U22871" s="135"/>
    </row>
    <row r="22872" spans="20:21" ht="15" customHeight="1" x14ac:dyDescent="0.25">
      <c r="T22872" s="135"/>
      <c r="U22872" s="135"/>
    </row>
    <row r="22873" spans="20:21" ht="15" customHeight="1" x14ac:dyDescent="0.25">
      <c r="T22873" s="135"/>
      <c r="U22873" s="135"/>
    </row>
    <row r="22874" spans="20:21" ht="15" customHeight="1" x14ac:dyDescent="0.25">
      <c r="T22874" s="135"/>
      <c r="U22874" s="135"/>
    </row>
    <row r="22875" spans="20:21" ht="15" customHeight="1" x14ac:dyDescent="0.25">
      <c r="T22875" s="135"/>
      <c r="U22875" s="135"/>
    </row>
    <row r="22876" spans="20:21" ht="15" customHeight="1" x14ac:dyDescent="0.25">
      <c r="T22876" s="135"/>
      <c r="U22876" s="135"/>
    </row>
    <row r="22877" spans="20:21" ht="15" customHeight="1" x14ac:dyDescent="0.25">
      <c r="T22877" s="135"/>
      <c r="U22877" s="135"/>
    </row>
    <row r="22878" spans="20:21" ht="15" customHeight="1" x14ac:dyDescent="0.25">
      <c r="T22878" s="135"/>
      <c r="U22878" s="135"/>
    </row>
    <row r="22879" spans="20:21" ht="15" customHeight="1" x14ac:dyDescent="0.25">
      <c r="T22879" s="135"/>
      <c r="U22879" s="135"/>
    </row>
    <row r="22880" spans="20:21" ht="15" customHeight="1" x14ac:dyDescent="0.25">
      <c r="T22880" s="135"/>
      <c r="U22880" s="135"/>
    </row>
    <row r="22881" spans="20:21" ht="15" customHeight="1" x14ac:dyDescent="0.25">
      <c r="T22881" s="135"/>
      <c r="U22881" s="135"/>
    </row>
    <row r="22882" spans="20:21" ht="15" customHeight="1" x14ac:dyDescent="0.25">
      <c r="T22882" s="135"/>
      <c r="U22882" s="135"/>
    </row>
    <row r="22883" spans="20:21" ht="15" customHeight="1" x14ac:dyDescent="0.25">
      <c r="T22883" s="135"/>
      <c r="U22883" s="135"/>
    </row>
    <row r="22884" spans="20:21" ht="15" customHeight="1" x14ac:dyDescent="0.25">
      <c r="T22884" s="135"/>
      <c r="U22884" s="135"/>
    </row>
    <row r="22885" spans="20:21" ht="15" customHeight="1" x14ac:dyDescent="0.25">
      <c r="T22885" s="135"/>
      <c r="U22885" s="135"/>
    </row>
    <row r="22886" spans="20:21" ht="15" customHeight="1" x14ac:dyDescent="0.25">
      <c r="T22886" s="135"/>
      <c r="U22886" s="135"/>
    </row>
    <row r="22887" spans="20:21" ht="15" customHeight="1" x14ac:dyDescent="0.25">
      <c r="T22887" s="135"/>
      <c r="U22887" s="135"/>
    </row>
    <row r="22888" spans="20:21" ht="15" customHeight="1" x14ac:dyDescent="0.25">
      <c r="T22888" s="135"/>
      <c r="U22888" s="135"/>
    </row>
    <row r="22889" spans="20:21" ht="15" customHeight="1" x14ac:dyDescent="0.25">
      <c r="T22889" s="135"/>
      <c r="U22889" s="135"/>
    </row>
    <row r="22890" spans="20:21" ht="15" customHeight="1" x14ac:dyDescent="0.25">
      <c r="T22890" s="135"/>
      <c r="U22890" s="135"/>
    </row>
    <row r="22891" spans="20:21" ht="15" customHeight="1" x14ac:dyDescent="0.25">
      <c r="T22891" s="135"/>
      <c r="U22891" s="135"/>
    </row>
    <row r="22892" spans="20:21" ht="15" customHeight="1" x14ac:dyDescent="0.25">
      <c r="T22892" s="135"/>
      <c r="U22892" s="135"/>
    </row>
    <row r="22893" spans="20:21" ht="15" customHeight="1" x14ac:dyDescent="0.25">
      <c r="T22893" s="135"/>
      <c r="U22893" s="135"/>
    </row>
    <row r="22894" spans="20:21" ht="15" customHeight="1" x14ac:dyDescent="0.25">
      <c r="T22894" s="135"/>
      <c r="U22894" s="135"/>
    </row>
    <row r="22895" spans="20:21" ht="15" customHeight="1" x14ac:dyDescent="0.25">
      <c r="T22895" s="135"/>
      <c r="U22895" s="135"/>
    </row>
    <row r="22896" spans="20:21" ht="15" customHeight="1" x14ac:dyDescent="0.25">
      <c r="T22896" s="135"/>
      <c r="U22896" s="135"/>
    </row>
    <row r="22897" spans="20:21" ht="15" customHeight="1" x14ac:dyDescent="0.25">
      <c r="T22897" s="135"/>
      <c r="U22897" s="135"/>
    </row>
    <row r="22898" spans="20:21" ht="15" customHeight="1" x14ac:dyDescent="0.25">
      <c r="T22898" s="135"/>
      <c r="U22898" s="135"/>
    </row>
    <row r="22899" spans="20:21" ht="15" customHeight="1" x14ac:dyDescent="0.25">
      <c r="T22899" s="135"/>
      <c r="U22899" s="135"/>
    </row>
    <row r="22900" spans="20:21" ht="15" customHeight="1" x14ac:dyDescent="0.25">
      <c r="T22900" s="135"/>
      <c r="U22900" s="135"/>
    </row>
    <row r="22901" spans="20:21" ht="15" customHeight="1" x14ac:dyDescent="0.25">
      <c r="T22901" s="135"/>
      <c r="U22901" s="135"/>
    </row>
    <row r="22902" spans="20:21" ht="15" customHeight="1" x14ac:dyDescent="0.25">
      <c r="T22902" s="135"/>
      <c r="U22902" s="135"/>
    </row>
    <row r="22903" spans="20:21" ht="15" customHeight="1" x14ac:dyDescent="0.25">
      <c r="T22903" s="135"/>
      <c r="U22903" s="135"/>
    </row>
    <row r="22904" spans="20:21" ht="15" customHeight="1" x14ac:dyDescent="0.25">
      <c r="T22904" s="135"/>
      <c r="U22904" s="135"/>
    </row>
    <row r="22905" spans="20:21" ht="15" customHeight="1" x14ac:dyDescent="0.25">
      <c r="T22905" s="135"/>
      <c r="U22905" s="135"/>
    </row>
    <row r="22906" spans="20:21" ht="15" customHeight="1" x14ac:dyDescent="0.25">
      <c r="T22906" s="135"/>
      <c r="U22906" s="135"/>
    </row>
    <row r="22907" spans="20:21" ht="15" customHeight="1" x14ac:dyDescent="0.25">
      <c r="T22907" s="135"/>
      <c r="U22907" s="135"/>
    </row>
    <row r="22908" spans="20:21" ht="15" customHeight="1" x14ac:dyDescent="0.25">
      <c r="T22908" s="135"/>
      <c r="U22908" s="135"/>
    </row>
    <row r="22909" spans="20:21" ht="15" customHeight="1" x14ac:dyDescent="0.25">
      <c r="T22909" s="135"/>
      <c r="U22909" s="135"/>
    </row>
    <row r="22910" spans="20:21" ht="15" customHeight="1" x14ac:dyDescent="0.25">
      <c r="T22910" s="135"/>
      <c r="U22910" s="135"/>
    </row>
    <row r="22911" spans="20:21" ht="15" customHeight="1" x14ac:dyDescent="0.25">
      <c r="T22911" s="135"/>
      <c r="U22911" s="135"/>
    </row>
    <row r="22912" spans="20:21" ht="15" customHeight="1" x14ac:dyDescent="0.25">
      <c r="T22912" s="135"/>
      <c r="U22912" s="135"/>
    </row>
    <row r="22913" spans="20:21" ht="15" customHeight="1" x14ac:dyDescent="0.25">
      <c r="T22913" s="135"/>
      <c r="U22913" s="135"/>
    </row>
    <row r="22914" spans="20:21" ht="15" customHeight="1" x14ac:dyDescent="0.25">
      <c r="T22914" s="135"/>
      <c r="U22914" s="135"/>
    </row>
    <row r="22915" spans="20:21" ht="15" customHeight="1" x14ac:dyDescent="0.25">
      <c r="T22915" s="135"/>
      <c r="U22915" s="135"/>
    </row>
    <row r="22916" spans="20:21" ht="15" customHeight="1" x14ac:dyDescent="0.25">
      <c r="T22916" s="135"/>
      <c r="U22916" s="135"/>
    </row>
    <row r="22917" spans="20:21" ht="15" customHeight="1" x14ac:dyDescent="0.25">
      <c r="T22917" s="135"/>
      <c r="U22917" s="135"/>
    </row>
    <row r="22918" spans="20:21" ht="15" customHeight="1" x14ac:dyDescent="0.25">
      <c r="T22918" s="135"/>
      <c r="U22918" s="135"/>
    </row>
    <row r="22919" spans="20:21" ht="15" customHeight="1" x14ac:dyDescent="0.25">
      <c r="T22919" s="135"/>
      <c r="U22919" s="135"/>
    </row>
    <row r="22920" spans="20:21" ht="15" customHeight="1" x14ac:dyDescent="0.25">
      <c r="T22920" s="135"/>
      <c r="U22920" s="135"/>
    </row>
    <row r="22921" spans="20:21" ht="15" customHeight="1" x14ac:dyDescent="0.25">
      <c r="T22921" s="135"/>
      <c r="U22921" s="135"/>
    </row>
    <row r="22922" spans="20:21" ht="15" customHeight="1" x14ac:dyDescent="0.25">
      <c r="T22922" s="135"/>
      <c r="U22922" s="135"/>
    </row>
    <row r="22923" spans="20:21" ht="15" customHeight="1" x14ac:dyDescent="0.25">
      <c r="T22923" s="135"/>
      <c r="U22923" s="135"/>
    </row>
    <row r="22924" spans="20:21" ht="15" customHeight="1" x14ac:dyDescent="0.25">
      <c r="T22924" s="135"/>
      <c r="U22924" s="135"/>
    </row>
    <row r="22925" spans="20:21" ht="15" customHeight="1" x14ac:dyDescent="0.25">
      <c r="T22925" s="135"/>
      <c r="U22925" s="135"/>
    </row>
    <row r="22926" spans="20:21" ht="15" customHeight="1" x14ac:dyDescent="0.25">
      <c r="T22926" s="135"/>
      <c r="U22926" s="135"/>
    </row>
    <row r="22927" spans="20:21" ht="15" customHeight="1" x14ac:dyDescent="0.25">
      <c r="T22927" s="135"/>
      <c r="U22927" s="135"/>
    </row>
    <row r="22928" spans="20:21" ht="15" customHeight="1" x14ac:dyDescent="0.25">
      <c r="T22928" s="135"/>
      <c r="U22928" s="135"/>
    </row>
    <row r="22929" spans="20:21" ht="15" customHeight="1" x14ac:dyDescent="0.25">
      <c r="T22929" s="135"/>
      <c r="U22929" s="135"/>
    </row>
    <row r="22930" spans="20:21" ht="15" customHeight="1" x14ac:dyDescent="0.25">
      <c r="T22930" s="135"/>
      <c r="U22930" s="135"/>
    </row>
    <row r="22931" spans="20:21" ht="15" customHeight="1" x14ac:dyDescent="0.25">
      <c r="T22931" s="135"/>
      <c r="U22931" s="135"/>
    </row>
    <row r="22932" spans="20:21" ht="15" customHeight="1" x14ac:dyDescent="0.25">
      <c r="T22932" s="135"/>
      <c r="U22932" s="135"/>
    </row>
    <row r="22933" spans="20:21" ht="15" customHeight="1" x14ac:dyDescent="0.25">
      <c r="T22933" s="135"/>
      <c r="U22933" s="135"/>
    </row>
    <row r="22934" spans="20:21" ht="15" customHeight="1" x14ac:dyDescent="0.25">
      <c r="T22934" s="135"/>
      <c r="U22934" s="135"/>
    </row>
    <row r="22935" spans="20:21" ht="15" customHeight="1" x14ac:dyDescent="0.25">
      <c r="T22935" s="135"/>
      <c r="U22935" s="135"/>
    </row>
    <row r="22936" spans="20:21" ht="15" customHeight="1" x14ac:dyDescent="0.25">
      <c r="T22936" s="135"/>
      <c r="U22936" s="135"/>
    </row>
    <row r="22937" spans="20:21" ht="15" customHeight="1" x14ac:dyDescent="0.25">
      <c r="T22937" s="135"/>
      <c r="U22937" s="135"/>
    </row>
    <row r="22938" spans="20:21" ht="15" customHeight="1" x14ac:dyDescent="0.25">
      <c r="T22938" s="135"/>
      <c r="U22938" s="135"/>
    </row>
    <row r="22939" spans="20:21" ht="15" customHeight="1" x14ac:dyDescent="0.25">
      <c r="T22939" s="135"/>
      <c r="U22939" s="135"/>
    </row>
    <row r="22940" spans="20:21" ht="15" customHeight="1" x14ac:dyDescent="0.25">
      <c r="T22940" s="135"/>
      <c r="U22940" s="135"/>
    </row>
    <row r="22941" spans="20:21" ht="15" customHeight="1" x14ac:dyDescent="0.25">
      <c r="T22941" s="135"/>
      <c r="U22941" s="135"/>
    </row>
    <row r="22942" spans="20:21" ht="15" customHeight="1" x14ac:dyDescent="0.25">
      <c r="T22942" s="135"/>
      <c r="U22942" s="135"/>
    </row>
    <row r="22943" spans="20:21" ht="15" customHeight="1" x14ac:dyDescent="0.25">
      <c r="T22943" s="135"/>
      <c r="U22943" s="135"/>
    </row>
    <row r="22944" spans="20:21" ht="15" customHeight="1" x14ac:dyDescent="0.25">
      <c r="T22944" s="135"/>
      <c r="U22944" s="135"/>
    </row>
    <row r="22945" spans="20:21" ht="15" customHeight="1" x14ac:dyDescent="0.25">
      <c r="T22945" s="135"/>
      <c r="U22945" s="135"/>
    </row>
    <row r="22946" spans="20:21" ht="15" customHeight="1" x14ac:dyDescent="0.25">
      <c r="T22946" s="135"/>
      <c r="U22946" s="135"/>
    </row>
    <row r="22947" spans="20:21" ht="15" customHeight="1" x14ac:dyDescent="0.25">
      <c r="T22947" s="135"/>
      <c r="U22947" s="135"/>
    </row>
    <row r="22948" spans="20:21" ht="15" customHeight="1" x14ac:dyDescent="0.25">
      <c r="T22948" s="135"/>
      <c r="U22948" s="135"/>
    </row>
    <row r="22949" spans="20:21" ht="15" customHeight="1" x14ac:dyDescent="0.25">
      <c r="T22949" s="135"/>
      <c r="U22949" s="135"/>
    </row>
    <row r="22950" spans="20:21" ht="15" customHeight="1" x14ac:dyDescent="0.25">
      <c r="T22950" s="135"/>
      <c r="U22950" s="135"/>
    </row>
    <row r="22951" spans="20:21" ht="15" customHeight="1" x14ac:dyDescent="0.25">
      <c r="T22951" s="135"/>
      <c r="U22951" s="135"/>
    </row>
    <row r="22952" spans="20:21" ht="15" customHeight="1" x14ac:dyDescent="0.25">
      <c r="T22952" s="135"/>
      <c r="U22952" s="135"/>
    </row>
    <row r="22953" spans="20:21" ht="15" customHeight="1" x14ac:dyDescent="0.25">
      <c r="T22953" s="135"/>
      <c r="U22953" s="135"/>
    </row>
    <row r="22954" spans="20:21" ht="15" customHeight="1" x14ac:dyDescent="0.25">
      <c r="T22954" s="135"/>
      <c r="U22954" s="135"/>
    </row>
    <row r="22955" spans="20:21" ht="15" customHeight="1" x14ac:dyDescent="0.25">
      <c r="T22955" s="135"/>
      <c r="U22955" s="135"/>
    </row>
    <row r="22956" spans="20:21" ht="15" customHeight="1" x14ac:dyDescent="0.25">
      <c r="T22956" s="135"/>
      <c r="U22956" s="135"/>
    </row>
    <row r="22957" spans="20:21" ht="15" customHeight="1" x14ac:dyDescent="0.25">
      <c r="T22957" s="135"/>
      <c r="U22957" s="135"/>
    </row>
    <row r="22958" spans="20:21" ht="15" customHeight="1" x14ac:dyDescent="0.25">
      <c r="T22958" s="135"/>
      <c r="U22958" s="135"/>
    </row>
    <row r="22959" spans="20:21" ht="15" customHeight="1" x14ac:dyDescent="0.25">
      <c r="T22959" s="135"/>
      <c r="U22959" s="135"/>
    </row>
    <row r="22960" spans="20:21" ht="15" customHeight="1" x14ac:dyDescent="0.25">
      <c r="T22960" s="135"/>
      <c r="U22960" s="135"/>
    </row>
    <row r="22961" spans="20:21" ht="15" customHeight="1" x14ac:dyDescent="0.25">
      <c r="T22961" s="135"/>
      <c r="U22961" s="135"/>
    </row>
    <row r="22962" spans="20:21" ht="15" customHeight="1" x14ac:dyDescent="0.25">
      <c r="T22962" s="135"/>
      <c r="U22962" s="135"/>
    </row>
    <row r="22963" spans="20:21" ht="15" customHeight="1" x14ac:dyDescent="0.25">
      <c r="T22963" s="135"/>
      <c r="U22963" s="135"/>
    </row>
    <row r="22964" spans="20:21" ht="15" customHeight="1" x14ac:dyDescent="0.25">
      <c r="T22964" s="135"/>
      <c r="U22964" s="135"/>
    </row>
    <row r="22965" spans="20:21" ht="15" customHeight="1" x14ac:dyDescent="0.25">
      <c r="T22965" s="135"/>
      <c r="U22965" s="135"/>
    </row>
    <row r="22966" spans="20:21" ht="15" customHeight="1" x14ac:dyDescent="0.25">
      <c r="T22966" s="135"/>
      <c r="U22966" s="135"/>
    </row>
    <row r="22967" spans="20:21" ht="15" customHeight="1" x14ac:dyDescent="0.25">
      <c r="T22967" s="135"/>
      <c r="U22967" s="135"/>
    </row>
    <row r="22968" spans="20:21" ht="15" customHeight="1" x14ac:dyDescent="0.25">
      <c r="T22968" s="135"/>
      <c r="U22968" s="135"/>
    </row>
    <row r="22969" spans="20:21" ht="15" customHeight="1" x14ac:dyDescent="0.25">
      <c r="T22969" s="135"/>
      <c r="U22969" s="135"/>
    </row>
    <row r="22970" spans="20:21" ht="15" customHeight="1" x14ac:dyDescent="0.25">
      <c r="T22970" s="135"/>
      <c r="U22970" s="135"/>
    </row>
    <row r="22971" spans="20:21" ht="15" customHeight="1" x14ac:dyDescent="0.25">
      <c r="T22971" s="135"/>
      <c r="U22971" s="135"/>
    </row>
    <row r="22972" spans="20:21" ht="15" customHeight="1" x14ac:dyDescent="0.25">
      <c r="T22972" s="135"/>
      <c r="U22972" s="135"/>
    </row>
    <row r="22973" spans="20:21" ht="15" customHeight="1" x14ac:dyDescent="0.25">
      <c r="T22973" s="135"/>
      <c r="U22973" s="135"/>
    </row>
    <row r="22974" spans="20:21" ht="15" customHeight="1" x14ac:dyDescent="0.25">
      <c r="T22974" s="135"/>
      <c r="U22974" s="135"/>
    </row>
    <row r="22975" spans="20:21" ht="15" customHeight="1" x14ac:dyDescent="0.25">
      <c r="T22975" s="135"/>
      <c r="U22975" s="135"/>
    </row>
    <row r="22976" spans="20:21" ht="15" customHeight="1" x14ac:dyDescent="0.25">
      <c r="T22976" s="135"/>
      <c r="U22976" s="135"/>
    </row>
    <row r="22977" spans="20:21" ht="15" customHeight="1" x14ac:dyDescent="0.25">
      <c r="T22977" s="135"/>
      <c r="U22977" s="135"/>
    </row>
    <row r="22978" spans="20:21" ht="15" customHeight="1" x14ac:dyDescent="0.25">
      <c r="T22978" s="135"/>
      <c r="U22978" s="135"/>
    </row>
    <row r="22979" spans="20:21" ht="15" customHeight="1" x14ac:dyDescent="0.25">
      <c r="T22979" s="135"/>
      <c r="U22979" s="135"/>
    </row>
    <row r="22980" spans="20:21" ht="15" customHeight="1" x14ac:dyDescent="0.25">
      <c r="T22980" s="135"/>
      <c r="U22980" s="135"/>
    </row>
    <row r="22981" spans="20:21" ht="15" customHeight="1" x14ac:dyDescent="0.25">
      <c r="T22981" s="135"/>
      <c r="U22981" s="135"/>
    </row>
    <row r="22982" spans="20:21" ht="15" customHeight="1" x14ac:dyDescent="0.25">
      <c r="T22982" s="135"/>
      <c r="U22982" s="135"/>
    </row>
    <row r="22983" spans="20:21" ht="15" customHeight="1" x14ac:dyDescent="0.25">
      <c r="T22983" s="135"/>
      <c r="U22983" s="135"/>
    </row>
    <row r="22984" spans="20:21" ht="15" customHeight="1" x14ac:dyDescent="0.25">
      <c r="T22984" s="135"/>
      <c r="U22984" s="135"/>
    </row>
    <row r="22985" spans="20:21" ht="15" customHeight="1" x14ac:dyDescent="0.25">
      <c r="T22985" s="135"/>
      <c r="U22985" s="135"/>
    </row>
    <row r="22986" spans="20:21" ht="15" customHeight="1" x14ac:dyDescent="0.25">
      <c r="T22986" s="135"/>
      <c r="U22986" s="135"/>
    </row>
    <row r="22987" spans="20:21" ht="15" customHeight="1" x14ac:dyDescent="0.25">
      <c r="T22987" s="135"/>
      <c r="U22987" s="135"/>
    </row>
    <row r="22988" spans="20:21" ht="15" customHeight="1" x14ac:dyDescent="0.25">
      <c r="T22988" s="135"/>
      <c r="U22988" s="135"/>
    </row>
    <row r="22989" spans="20:21" ht="15" customHeight="1" x14ac:dyDescent="0.25">
      <c r="T22989" s="135"/>
      <c r="U22989" s="135"/>
    </row>
    <row r="22990" spans="20:21" ht="15" customHeight="1" x14ac:dyDescent="0.25">
      <c r="T22990" s="135"/>
      <c r="U22990" s="135"/>
    </row>
    <row r="22991" spans="20:21" ht="15" customHeight="1" x14ac:dyDescent="0.25">
      <c r="T22991" s="135"/>
      <c r="U22991" s="135"/>
    </row>
    <row r="22992" spans="20:21" ht="15" customHeight="1" x14ac:dyDescent="0.25">
      <c r="T22992" s="135"/>
      <c r="U22992" s="135"/>
    </row>
    <row r="22993" spans="20:21" ht="15" customHeight="1" x14ac:dyDescent="0.25">
      <c r="T22993" s="135"/>
      <c r="U22993" s="135"/>
    </row>
    <row r="22994" spans="20:21" ht="15" customHeight="1" x14ac:dyDescent="0.25">
      <c r="T22994" s="135"/>
      <c r="U22994" s="135"/>
    </row>
    <row r="22995" spans="20:21" ht="15" customHeight="1" x14ac:dyDescent="0.25">
      <c r="T22995" s="135"/>
      <c r="U22995" s="135"/>
    </row>
    <row r="22996" spans="20:21" ht="15" customHeight="1" x14ac:dyDescent="0.25">
      <c r="T22996" s="135"/>
      <c r="U22996" s="135"/>
    </row>
    <row r="22997" spans="20:21" ht="15" customHeight="1" x14ac:dyDescent="0.25">
      <c r="T22997" s="135"/>
      <c r="U22997" s="135"/>
    </row>
    <row r="22998" spans="20:21" ht="15" customHeight="1" x14ac:dyDescent="0.25">
      <c r="T22998" s="135"/>
      <c r="U22998" s="135"/>
    </row>
    <row r="22999" spans="20:21" ht="15" customHeight="1" x14ac:dyDescent="0.25">
      <c r="T22999" s="135"/>
      <c r="U22999" s="135"/>
    </row>
    <row r="23000" spans="20:21" ht="15" customHeight="1" x14ac:dyDescent="0.25">
      <c r="T23000" s="135"/>
      <c r="U23000" s="135"/>
    </row>
    <row r="23001" spans="20:21" ht="15" customHeight="1" x14ac:dyDescent="0.25">
      <c r="T23001" s="135"/>
      <c r="U23001" s="135"/>
    </row>
    <row r="23002" spans="20:21" ht="15" customHeight="1" x14ac:dyDescent="0.25">
      <c r="T23002" s="135"/>
      <c r="U23002" s="135"/>
    </row>
    <row r="23003" spans="20:21" ht="15" customHeight="1" x14ac:dyDescent="0.25">
      <c r="T23003" s="135"/>
      <c r="U23003" s="135"/>
    </row>
    <row r="23004" spans="20:21" ht="15" customHeight="1" x14ac:dyDescent="0.25">
      <c r="T23004" s="135"/>
      <c r="U23004" s="135"/>
    </row>
    <row r="23005" spans="20:21" ht="15" customHeight="1" x14ac:dyDescent="0.25">
      <c r="T23005" s="135"/>
      <c r="U23005" s="135"/>
    </row>
    <row r="23006" spans="20:21" ht="15" customHeight="1" x14ac:dyDescent="0.25">
      <c r="T23006" s="135"/>
      <c r="U23006" s="135"/>
    </row>
    <row r="23007" spans="20:21" ht="15" customHeight="1" x14ac:dyDescent="0.25">
      <c r="T23007" s="135"/>
      <c r="U23007" s="135"/>
    </row>
    <row r="23008" spans="20:21" ht="15" customHeight="1" x14ac:dyDescent="0.25">
      <c r="T23008" s="135"/>
      <c r="U23008" s="135"/>
    </row>
    <row r="23009" spans="20:21" ht="15" customHeight="1" x14ac:dyDescent="0.25">
      <c r="T23009" s="135"/>
      <c r="U23009" s="135"/>
    </row>
    <row r="23010" spans="20:21" ht="15" customHeight="1" x14ac:dyDescent="0.25">
      <c r="T23010" s="135"/>
      <c r="U23010" s="135"/>
    </row>
    <row r="23011" spans="20:21" ht="15" customHeight="1" x14ac:dyDescent="0.25">
      <c r="T23011" s="135"/>
      <c r="U23011" s="135"/>
    </row>
    <row r="23012" spans="20:21" ht="15" customHeight="1" x14ac:dyDescent="0.25">
      <c r="T23012" s="135"/>
      <c r="U23012" s="135"/>
    </row>
    <row r="23013" spans="20:21" ht="15" customHeight="1" x14ac:dyDescent="0.25">
      <c r="T23013" s="135"/>
      <c r="U23013" s="135"/>
    </row>
    <row r="23014" spans="20:21" ht="15" customHeight="1" x14ac:dyDescent="0.25">
      <c r="T23014" s="135"/>
      <c r="U23014" s="135"/>
    </row>
    <row r="23015" spans="20:21" ht="15" customHeight="1" x14ac:dyDescent="0.25">
      <c r="T23015" s="135"/>
      <c r="U23015" s="135"/>
    </row>
    <row r="23016" spans="20:21" ht="15" customHeight="1" x14ac:dyDescent="0.25">
      <c r="T23016" s="135"/>
      <c r="U23016" s="135"/>
    </row>
    <row r="23017" spans="20:21" ht="15" customHeight="1" x14ac:dyDescent="0.25">
      <c r="T23017" s="135"/>
      <c r="U23017" s="135"/>
    </row>
    <row r="23018" spans="20:21" ht="15" customHeight="1" x14ac:dyDescent="0.25">
      <c r="T23018" s="135"/>
      <c r="U23018" s="135"/>
    </row>
    <row r="23019" spans="20:21" ht="15" customHeight="1" x14ac:dyDescent="0.25">
      <c r="T23019" s="135"/>
      <c r="U23019" s="135"/>
    </row>
    <row r="23020" spans="20:21" ht="15" customHeight="1" x14ac:dyDescent="0.25">
      <c r="T23020" s="135"/>
      <c r="U23020" s="135"/>
    </row>
    <row r="23021" spans="20:21" ht="15" customHeight="1" x14ac:dyDescent="0.25">
      <c r="T23021" s="135"/>
      <c r="U23021" s="135"/>
    </row>
    <row r="23022" spans="20:21" ht="15" customHeight="1" x14ac:dyDescent="0.25">
      <c r="T23022" s="135"/>
      <c r="U23022" s="135"/>
    </row>
    <row r="23023" spans="20:21" ht="15" customHeight="1" x14ac:dyDescent="0.25">
      <c r="T23023" s="135"/>
      <c r="U23023" s="135"/>
    </row>
    <row r="23024" spans="20:21" ht="15" customHeight="1" x14ac:dyDescent="0.25">
      <c r="T23024" s="135"/>
      <c r="U23024" s="135"/>
    </row>
    <row r="23025" spans="20:21" ht="15" customHeight="1" x14ac:dyDescent="0.25">
      <c r="T23025" s="135"/>
      <c r="U23025" s="135"/>
    </row>
    <row r="23026" spans="20:21" ht="15" customHeight="1" x14ac:dyDescent="0.25">
      <c r="T23026" s="135"/>
      <c r="U23026" s="135"/>
    </row>
    <row r="23027" spans="20:21" ht="15" customHeight="1" x14ac:dyDescent="0.25">
      <c r="T23027" s="135"/>
      <c r="U23027" s="135"/>
    </row>
    <row r="23028" spans="20:21" ht="15" customHeight="1" x14ac:dyDescent="0.25">
      <c r="T23028" s="135"/>
      <c r="U23028" s="135"/>
    </row>
    <row r="23029" spans="20:21" ht="15" customHeight="1" x14ac:dyDescent="0.25">
      <c r="T23029" s="135"/>
      <c r="U23029" s="135"/>
    </row>
    <row r="23030" spans="20:21" ht="15" customHeight="1" x14ac:dyDescent="0.25">
      <c r="T23030" s="135"/>
      <c r="U23030" s="135"/>
    </row>
    <row r="23031" spans="20:21" ht="15" customHeight="1" x14ac:dyDescent="0.25">
      <c r="T23031" s="135"/>
      <c r="U23031" s="135"/>
    </row>
    <row r="23032" spans="20:21" ht="15" customHeight="1" x14ac:dyDescent="0.25">
      <c r="T23032" s="135"/>
      <c r="U23032" s="135"/>
    </row>
    <row r="23033" spans="20:21" ht="15" customHeight="1" x14ac:dyDescent="0.25">
      <c r="T23033" s="135"/>
      <c r="U23033" s="135"/>
    </row>
    <row r="23034" spans="20:21" ht="15" customHeight="1" x14ac:dyDescent="0.25">
      <c r="T23034" s="135"/>
      <c r="U23034" s="135"/>
    </row>
    <row r="23035" spans="20:21" ht="15" customHeight="1" x14ac:dyDescent="0.25">
      <c r="T23035" s="135"/>
      <c r="U23035" s="135"/>
    </row>
    <row r="23036" spans="20:21" ht="15" customHeight="1" x14ac:dyDescent="0.25">
      <c r="T23036" s="135"/>
      <c r="U23036" s="135"/>
    </row>
    <row r="23037" spans="20:21" ht="15" customHeight="1" x14ac:dyDescent="0.25">
      <c r="T23037" s="135"/>
      <c r="U23037" s="135"/>
    </row>
    <row r="23038" spans="20:21" ht="15" customHeight="1" x14ac:dyDescent="0.25">
      <c r="T23038" s="135"/>
      <c r="U23038" s="135"/>
    </row>
    <row r="23039" spans="20:21" ht="15" customHeight="1" x14ac:dyDescent="0.25">
      <c r="T23039" s="135"/>
      <c r="U23039" s="135"/>
    </row>
    <row r="23040" spans="20:21" ht="15" customHeight="1" x14ac:dyDescent="0.25">
      <c r="T23040" s="135"/>
      <c r="U23040" s="135"/>
    </row>
    <row r="23041" spans="20:21" ht="15" customHeight="1" x14ac:dyDescent="0.25">
      <c r="T23041" s="135"/>
      <c r="U23041" s="135"/>
    </row>
    <row r="23042" spans="20:21" ht="15" customHeight="1" x14ac:dyDescent="0.25">
      <c r="T23042" s="135"/>
      <c r="U23042" s="135"/>
    </row>
    <row r="23043" spans="20:21" ht="15" customHeight="1" x14ac:dyDescent="0.25">
      <c r="T23043" s="135"/>
      <c r="U23043" s="135"/>
    </row>
    <row r="23044" spans="20:21" ht="15" customHeight="1" x14ac:dyDescent="0.25">
      <c r="T23044" s="135"/>
      <c r="U23044" s="135"/>
    </row>
    <row r="23045" spans="20:21" ht="15" customHeight="1" x14ac:dyDescent="0.25">
      <c r="T23045" s="135"/>
      <c r="U23045" s="135"/>
    </row>
    <row r="23046" spans="20:21" ht="15" customHeight="1" x14ac:dyDescent="0.25">
      <c r="T23046" s="135"/>
      <c r="U23046" s="135"/>
    </row>
    <row r="23047" spans="20:21" ht="15" customHeight="1" x14ac:dyDescent="0.25">
      <c r="T23047" s="135"/>
      <c r="U23047" s="135"/>
    </row>
    <row r="23048" spans="20:21" ht="15" customHeight="1" x14ac:dyDescent="0.25">
      <c r="T23048" s="135"/>
      <c r="U23048" s="135"/>
    </row>
    <row r="23049" spans="20:21" ht="15" customHeight="1" x14ac:dyDescent="0.25">
      <c r="T23049" s="135"/>
      <c r="U23049" s="135"/>
    </row>
    <row r="23050" spans="20:21" ht="15" customHeight="1" x14ac:dyDescent="0.25">
      <c r="T23050" s="135"/>
      <c r="U23050" s="135"/>
    </row>
    <row r="23051" spans="20:21" ht="15" customHeight="1" x14ac:dyDescent="0.25">
      <c r="T23051" s="135"/>
      <c r="U23051" s="135"/>
    </row>
    <row r="23052" spans="20:21" ht="15" customHeight="1" x14ac:dyDescent="0.25">
      <c r="T23052" s="135"/>
      <c r="U23052" s="135"/>
    </row>
    <row r="23053" spans="20:21" ht="15" customHeight="1" x14ac:dyDescent="0.25">
      <c r="T23053" s="135"/>
      <c r="U23053" s="135"/>
    </row>
    <row r="23054" spans="20:21" ht="15" customHeight="1" x14ac:dyDescent="0.25">
      <c r="T23054" s="135"/>
      <c r="U23054" s="135"/>
    </row>
    <row r="23055" spans="20:21" ht="15" customHeight="1" x14ac:dyDescent="0.25">
      <c r="T23055" s="135"/>
      <c r="U23055" s="135"/>
    </row>
    <row r="23056" spans="20:21" ht="15" customHeight="1" x14ac:dyDescent="0.25">
      <c r="T23056" s="135"/>
      <c r="U23056" s="135"/>
    </row>
    <row r="23057" spans="20:21" ht="15" customHeight="1" x14ac:dyDescent="0.25">
      <c r="T23057" s="135"/>
      <c r="U23057" s="135"/>
    </row>
    <row r="23058" spans="20:21" ht="15" customHeight="1" x14ac:dyDescent="0.25">
      <c r="T23058" s="135"/>
      <c r="U23058" s="135"/>
    </row>
    <row r="23059" spans="20:21" ht="15" customHeight="1" x14ac:dyDescent="0.25">
      <c r="T23059" s="135"/>
      <c r="U23059" s="135"/>
    </row>
    <row r="23060" spans="20:21" ht="15" customHeight="1" x14ac:dyDescent="0.25">
      <c r="T23060" s="135"/>
      <c r="U23060" s="135"/>
    </row>
    <row r="23061" spans="20:21" ht="15" customHeight="1" x14ac:dyDescent="0.25">
      <c r="T23061" s="135"/>
      <c r="U23061" s="135"/>
    </row>
    <row r="23062" spans="20:21" ht="15" customHeight="1" x14ac:dyDescent="0.25">
      <c r="T23062" s="135"/>
      <c r="U23062" s="135"/>
    </row>
    <row r="23063" spans="20:21" ht="15" customHeight="1" x14ac:dyDescent="0.25">
      <c r="T23063" s="135"/>
      <c r="U23063" s="135"/>
    </row>
    <row r="23064" spans="20:21" ht="15" customHeight="1" x14ac:dyDescent="0.25">
      <c r="T23064" s="135"/>
      <c r="U23064" s="135"/>
    </row>
    <row r="23065" spans="20:21" ht="15" customHeight="1" x14ac:dyDescent="0.25">
      <c r="T23065" s="135"/>
      <c r="U23065" s="135"/>
    </row>
    <row r="23066" spans="20:21" ht="15" customHeight="1" x14ac:dyDescent="0.25">
      <c r="T23066" s="135"/>
      <c r="U23066" s="135"/>
    </row>
    <row r="23067" spans="20:21" ht="15" customHeight="1" x14ac:dyDescent="0.25">
      <c r="T23067" s="135"/>
      <c r="U23067" s="135"/>
    </row>
    <row r="23068" spans="20:21" ht="15" customHeight="1" x14ac:dyDescent="0.25">
      <c r="T23068" s="135"/>
      <c r="U23068" s="135"/>
    </row>
    <row r="23069" spans="20:21" ht="15" customHeight="1" x14ac:dyDescent="0.25">
      <c r="T23069" s="135"/>
      <c r="U23069" s="135"/>
    </row>
    <row r="23070" spans="20:21" ht="15" customHeight="1" x14ac:dyDescent="0.25">
      <c r="T23070" s="135"/>
      <c r="U23070" s="135"/>
    </row>
    <row r="23071" spans="20:21" ht="15" customHeight="1" x14ac:dyDescent="0.25">
      <c r="T23071" s="135"/>
      <c r="U23071" s="135"/>
    </row>
    <row r="23072" spans="20:21" ht="15" customHeight="1" x14ac:dyDescent="0.25">
      <c r="T23072" s="135"/>
      <c r="U23072" s="135"/>
    </row>
    <row r="23073" spans="20:21" ht="15" customHeight="1" x14ac:dyDescent="0.25">
      <c r="T23073" s="135"/>
      <c r="U23073" s="135"/>
    </row>
    <row r="23074" spans="20:21" ht="15" customHeight="1" x14ac:dyDescent="0.25">
      <c r="T23074" s="135"/>
      <c r="U23074" s="135"/>
    </row>
    <row r="23075" spans="20:21" ht="15" customHeight="1" x14ac:dyDescent="0.25">
      <c r="T23075" s="135"/>
      <c r="U23075" s="135"/>
    </row>
    <row r="23076" spans="20:21" ht="15" customHeight="1" x14ac:dyDescent="0.25">
      <c r="T23076" s="135"/>
      <c r="U23076" s="135"/>
    </row>
    <row r="23077" spans="20:21" ht="15" customHeight="1" x14ac:dyDescent="0.25">
      <c r="T23077" s="135"/>
      <c r="U23077" s="135"/>
    </row>
    <row r="23078" spans="20:21" ht="15" customHeight="1" x14ac:dyDescent="0.25">
      <c r="T23078" s="135"/>
      <c r="U23078" s="135"/>
    </row>
    <row r="23079" spans="20:21" ht="15" customHeight="1" x14ac:dyDescent="0.25">
      <c r="T23079" s="135"/>
      <c r="U23079" s="135"/>
    </row>
    <row r="23080" spans="20:21" ht="15" customHeight="1" x14ac:dyDescent="0.25">
      <c r="T23080" s="135"/>
      <c r="U23080" s="135"/>
    </row>
    <row r="23081" spans="20:21" ht="15" customHeight="1" x14ac:dyDescent="0.25">
      <c r="T23081" s="135"/>
      <c r="U23081" s="135"/>
    </row>
    <row r="23082" spans="20:21" ht="15" customHeight="1" x14ac:dyDescent="0.25">
      <c r="T23082" s="135"/>
      <c r="U23082" s="135"/>
    </row>
    <row r="23083" spans="20:21" ht="15" customHeight="1" x14ac:dyDescent="0.25">
      <c r="T23083" s="135"/>
      <c r="U23083" s="135"/>
    </row>
    <row r="23084" spans="20:21" ht="15" customHeight="1" x14ac:dyDescent="0.25">
      <c r="T23084" s="135"/>
      <c r="U23084" s="135"/>
    </row>
    <row r="23085" spans="20:21" ht="15" customHeight="1" x14ac:dyDescent="0.25">
      <c r="T23085" s="135"/>
      <c r="U23085" s="135"/>
    </row>
    <row r="23086" spans="20:21" ht="15" customHeight="1" x14ac:dyDescent="0.25">
      <c r="T23086" s="135"/>
      <c r="U23086" s="135"/>
    </row>
    <row r="23087" spans="20:21" ht="15" customHeight="1" x14ac:dyDescent="0.25">
      <c r="T23087" s="135"/>
      <c r="U23087" s="135"/>
    </row>
    <row r="23088" spans="20:21" ht="15" customHeight="1" x14ac:dyDescent="0.25">
      <c r="T23088" s="135"/>
      <c r="U23088" s="135"/>
    </row>
    <row r="23089" spans="20:21" ht="15" customHeight="1" x14ac:dyDescent="0.25">
      <c r="T23089" s="135"/>
      <c r="U23089" s="135"/>
    </row>
    <row r="23090" spans="20:21" ht="15" customHeight="1" x14ac:dyDescent="0.25">
      <c r="T23090" s="135"/>
      <c r="U23090" s="135"/>
    </row>
    <row r="23091" spans="20:21" ht="15" customHeight="1" x14ac:dyDescent="0.25">
      <c r="T23091" s="135"/>
      <c r="U23091" s="135"/>
    </row>
    <row r="23092" spans="20:21" ht="15" customHeight="1" x14ac:dyDescent="0.25">
      <c r="T23092" s="135"/>
      <c r="U23092" s="135"/>
    </row>
    <row r="23093" spans="20:21" ht="15" customHeight="1" x14ac:dyDescent="0.25">
      <c r="T23093" s="135"/>
      <c r="U23093" s="135"/>
    </row>
    <row r="23094" spans="20:21" ht="15" customHeight="1" x14ac:dyDescent="0.25">
      <c r="T23094" s="135"/>
      <c r="U23094" s="135"/>
    </row>
    <row r="23095" spans="20:21" ht="15" customHeight="1" x14ac:dyDescent="0.25">
      <c r="T23095" s="135"/>
      <c r="U23095" s="135"/>
    </row>
    <row r="23096" spans="20:21" ht="15" customHeight="1" x14ac:dyDescent="0.25">
      <c r="T23096" s="135"/>
      <c r="U23096" s="135"/>
    </row>
    <row r="23097" spans="20:21" ht="15" customHeight="1" x14ac:dyDescent="0.25">
      <c r="T23097" s="135"/>
      <c r="U23097" s="135"/>
    </row>
    <row r="23098" spans="20:21" ht="15" customHeight="1" x14ac:dyDescent="0.25">
      <c r="T23098" s="135"/>
      <c r="U23098" s="135"/>
    </row>
    <row r="23099" spans="20:21" ht="15" customHeight="1" x14ac:dyDescent="0.25">
      <c r="T23099" s="135"/>
      <c r="U23099" s="135"/>
    </row>
    <row r="23100" spans="20:21" ht="15" customHeight="1" x14ac:dyDescent="0.25">
      <c r="T23100" s="135"/>
      <c r="U23100" s="135"/>
    </row>
    <row r="23101" spans="20:21" ht="15" customHeight="1" x14ac:dyDescent="0.25">
      <c r="T23101" s="135"/>
      <c r="U23101" s="135"/>
    </row>
    <row r="23102" spans="20:21" ht="15" customHeight="1" x14ac:dyDescent="0.25">
      <c r="T23102" s="135"/>
      <c r="U23102" s="135"/>
    </row>
    <row r="23103" spans="20:21" ht="15" customHeight="1" x14ac:dyDescent="0.25">
      <c r="T23103" s="135"/>
      <c r="U23103" s="135"/>
    </row>
    <row r="23104" spans="20:21" ht="15" customHeight="1" x14ac:dyDescent="0.25">
      <c r="T23104" s="135"/>
      <c r="U23104" s="135"/>
    </row>
    <row r="23105" spans="20:21" ht="15" customHeight="1" x14ac:dyDescent="0.25">
      <c r="T23105" s="135"/>
      <c r="U23105" s="135"/>
    </row>
    <row r="23106" spans="20:21" ht="15" customHeight="1" x14ac:dyDescent="0.25">
      <c r="T23106" s="135"/>
      <c r="U23106" s="135"/>
    </row>
    <row r="23107" spans="20:21" ht="15" customHeight="1" x14ac:dyDescent="0.25">
      <c r="T23107" s="135"/>
      <c r="U23107" s="135"/>
    </row>
    <row r="23108" spans="20:21" ht="15" customHeight="1" x14ac:dyDescent="0.25">
      <c r="T23108" s="135"/>
      <c r="U23108" s="135"/>
    </row>
    <row r="23109" spans="20:21" ht="15" customHeight="1" x14ac:dyDescent="0.25">
      <c r="T23109" s="135"/>
      <c r="U23109" s="135"/>
    </row>
    <row r="23110" spans="20:21" ht="15" customHeight="1" x14ac:dyDescent="0.25">
      <c r="T23110" s="135"/>
      <c r="U23110" s="135"/>
    </row>
    <row r="23111" spans="20:21" ht="15" customHeight="1" x14ac:dyDescent="0.25">
      <c r="T23111" s="135"/>
      <c r="U23111" s="135"/>
    </row>
    <row r="23112" spans="20:21" ht="15" customHeight="1" x14ac:dyDescent="0.25">
      <c r="T23112" s="135"/>
      <c r="U23112" s="135"/>
    </row>
    <row r="23113" spans="20:21" ht="15" customHeight="1" x14ac:dyDescent="0.25">
      <c r="T23113" s="135"/>
      <c r="U23113" s="135"/>
    </row>
    <row r="23114" spans="20:21" ht="15" customHeight="1" x14ac:dyDescent="0.25">
      <c r="T23114" s="135"/>
      <c r="U23114" s="135"/>
    </row>
    <row r="23115" spans="20:21" ht="15" customHeight="1" x14ac:dyDescent="0.25">
      <c r="T23115" s="135"/>
      <c r="U23115" s="135"/>
    </row>
    <row r="23116" spans="20:21" ht="15" customHeight="1" x14ac:dyDescent="0.25">
      <c r="T23116" s="135"/>
      <c r="U23116" s="135"/>
    </row>
    <row r="23117" spans="20:21" ht="15" customHeight="1" x14ac:dyDescent="0.25">
      <c r="T23117" s="135"/>
      <c r="U23117" s="135"/>
    </row>
    <row r="23118" spans="20:21" ht="15" customHeight="1" x14ac:dyDescent="0.25">
      <c r="T23118" s="135"/>
      <c r="U23118" s="135"/>
    </row>
    <row r="23119" spans="20:21" ht="15" customHeight="1" x14ac:dyDescent="0.25">
      <c r="T23119" s="135"/>
      <c r="U23119" s="135"/>
    </row>
    <row r="23120" spans="20:21" ht="15" customHeight="1" x14ac:dyDescent="0.25">
      <c r="T23120" s="135"/>
      <c r="U23120" s="135"/>
    </row>
    <row r="23121" spans="20:21" ht="15" customHeight="1" x14ac:dyDescent="0.25">
      <c r="T23121" s="135"/>
      <c r="U23121" s="135"/>
    </row>
    <row r="23122" spans="20:21" ht="15" customHeight="1" x14ac:dyDescent="0.25">
      <c r="T23122" s="135"/>
      <c r="U23122" s="135"/>
    </row>
    <row r="23123" spans="20:21" ht="15" customHeight="1" x14ac:dyDescent="0.25">
      <c r="T23123" s="135"/>
      <c r="U23123" s="135"/>
    </row>
    <row r="23124" spans="20:21" ht="15" customHeight="1" x14ac:dyDescent="0.25">
      <c r="T23124" s="135"/>
      <c r="U23124" s="135"/>
    </row>
    <row r="23125" spans="20:21" ht="15" customHeight="1" x14ac:dyDescent="0.25">
      <c r="T23125" s="135"/>
      <c r="U23125" s="135"/>
    </row>
    <row r="23126" spans="20:21" ht="15" customHeight="1" x14ac:dyDescent="0.25">
      <c r="T23126" s="135"/>
      <c r="U23126" s="135"/>
    </row>
    <row r="23127" spans="20:21" ht="15" customHeight="1" x14ac:dyDescent="0.25">
      <c r="T23127" s="135"/>
      <c r="U23127" s="135"/>
    </row>
    <row r="23128" spans="20:21" ht="15" customHeight="1" x14ac:dyDescent="0.25">
      <c r="T23128" s="135"/>
      <c r="U23128" s="135"/>
    </row>
    <row r="23129" spans="20:21" ht="15" customHeight="1" x14ac:dyDescent="0.25">
      <c r="T23129" s="135"/>
      <c r="U23129" s="135"/>
    </row>
    <row r="23130" spans="20:21" ht="15" customHeight="1" x14ac:dyDescent="0.25">
      <c r="T23130" s="135"/>
      <c r="U23130" s="135"/>
    </row>
    <row r="23131" spans="20:21" ht="15" customHeight="1" x14ac:dyDescent="0.25">
      <c r="T23131" s="135"/>
      <c r="U23131" s="135"/>
    </row>
    <row r="23132" spans="20:21" ht="15" customHeight="1" x14ac:dyDescent="0.25">
      <c r="T23132" s="135"/>
      <c r="U23132" s="135"/>
    </row>
    <row r="23133" spans="20:21" ht="15" customHeight="1" x14ac:dyDescent="0.25">
      <c r="T23133" s="135"/>
      <c r="U23133" s="135"/>
    </row>
    <row r="23134" spans="20:21" ht="15" customHeight="1" x14ac:dyDescent="0.25">
      <c r="T23134" s="135"/>
      <c r="U23134" s="135"/>
    </row>
    <row r="23135" spans="20:21" ht="15" customHeight="1" x14ac:dyDescent="0.25">
      <c r="T23135" s="135"/>
      <c r="U23135" s="135"/>
    </row>
    <row r="23136" spans="20:21" ht="15" customHeight="1" x14ac:dyDescent="0.25">
      <c r="T23136" s="135"/>
      <c r="U23136" s="135"/>
    </row>
    <row r="23137" spans="20:21" ht="15" customHeight="1" x14ac:dyDescent="0.25">
      <c r="T23137" s="135"/>
      <c r="U23137" s="135"/>
    </row>
    <row r="23138" spans="20:21" ht="15" customHeight="1" x14ac:dyDescent="0.25">
      <c r="T23138" s="135"/>
      <c r="U23138" s="135"/>
    </row>
    <row r="23139" spans="20:21" ht="15" customHeight="1" x14ac:dyDescent="0.25">
      <c r="T23139" s="135"/>
      <c r="U23139" s="135"/>
    </row>
    <row r="23140" spans="20:21" ht="15" customHeight="1" x14ac:dyDescent="0.25">
      <c r="T23140" s="135"/>
      <c r="U23140" s="135"/>
    </row>
    <row r="23141" spans="20:21" ht="15" customHeight="1" x14ac:dyDescent="0.25">
      <c r="T23141" s="135"/>
      <c r="U23141" s="135"/>
    </row>
    <row r="23142" spans="20:21" ht="15" customHeight="1" x14ac:dyDescent="0.25">
      <c r="T23142" s="135"/>
      <c r="U23142" s="135"/>
    </row>
    <row r="23143" spans="20:21" ht="15" customHeight="1" x14ac:dyDescent="0.25">
      <c r="T23143" s="135"/>
      <c r="U23143" s="135"/>
    </row>
    <row r="23144" spans="20:21" ht="15" customHeight="1" x14ac:dyDescent="0.25">
      <c r="T23144" s="135"/>
      <c r="U23144" s="135"/>
    </row>
    <row r="23145" spans="20:21" ht="15" customHeight="1" x14ac:dyDescent="0.25">
      <c r="T23145" s="135"/>
      <c r="U23145" s="135"/>
    </row>
    <row r="23146" spans="20:21" ht="15" customHeight="1" x14ac:dyDescent="0.25">
      <c r="T23146" s="135"/>
      <c r="U23146" s="135"/>
    </row>
    <row r="23147" spans="20:21" ht="15" customHeight="1" x14ac:dyDescent="0.25">
      <c r="T23147" s="135"/>
      <c r="U23147" s="135"/>
    </row>
    <row r="23148" spans="20:21" ht="15" customHeight="1" x14ac:dyDescent="0.25">
      <c r="T23148" s="135"/>
      <c r="U23148" s="135"/>
    </row>
    <row r="23149" spans="20:21" ht="15" customHeight="1" x14ac:dyDescent="0.25">
      <c r="T23149" s="135"/>
      <c r="U23149" s="135"/>
    </row>
    <row r="23150" spans="20:21" ht="15" customHeight="1" x14ac:dyDescent="0.25">
      <c r="T23150" s="135"/>
      <c r="U23150" s="135"/>
    </row>
    <row r="23151" spans="20:21" ht="15" customHeight="1" x14ac:dyDescent="0.25">
      <c r="T23151" s="135"/>
      <c r="U23151" s="135"/>
    </row>
    <row r="23152" spans="20:21" ht="15" customHeight="1" x14ac:dyDescent="0.25">
      <c r="T23152" s="135"/>
      <c r="U23152" s="135"/>
    </row>
    <row r="23153" spans="20:21" ht="15" customHeight="1" x14ac:dyDescent="0.25">
      <c r="T23153" s="135"/>
      <c r="U23153" s="135"/>
    </row>
    <row r="23154" spans="20:21" ht="15" customHeight="1" x14ac:dyDescent="0.25">
      <c r="T23154" s="135"/>
      <c r="U23154" s="135"/>
    </row>
    <row r="23155" spans="20:21" ht="15" customHeight="1" x14ac:dyDescent="0.25">
      <c r="T23155" s="135"/>
      <c r="U23155" s="135"/>
    </row>
    <row r="23156" spans="20:21" ht="15" customHeight="1" x14ac:dyDescent="0.25">
      <c r="T23156" s="135"/>
      <c r="U23156" s="135"/>
    </row>
    <row r="23157" spans="20:21" ht="15" customHeight="1" x14ac:dyDescent="0.25">
      <c r="T23157" s="135"/>
      <c r="U23157" s="135"/>
    </row>
    <row r="23158" spans="20:21" ht="15" customHeight="1" x14ac:dyDescent="0.25">
      <c r="T23158" s="135"/>
      <c r="U23158" s="135"/>
    </row>
    <row r="23159" spans="20:21" ht="15" customHeight="1" x14ac:dyDescent="0.25">
      <c r="T23159" s="135"/>
      <c r="U23159" s="135"/>
    </row>
    <row r="23160" spans="20:21" ht="15" customHeight="1" x14ac:dyDescent="0.25">
      <c r="T23160" s="135"/>
      <c r="U23160" s="135"/>
    </row>
    <row r="23161" spans="20:21" ht="15" customHeight="1" x14ac:dyDescent="0.25">
      <c r="T23161" s="135"/>
      <c r="U23161" s="135"/>
    </row>
    <row r="23162" spans="20:21" ht="15" customHeight="1" x14ac:dyDescent="0.25">
      <c r="T23162" s="135"/>
      <c r="U23162" s="135"/>
    </row>
    <row r="23163" spans="20:21" ht="15" customHeight="1" x14ac:dyDescent="0.25">
      <c r="T23163" s="135"/>
      <c r="U23163" s="135"/>
    </row>
    <row r="23164" spans="20:21" ht="15" customHeight="1" x14ac:dyDescent="0.25">
      <c r="T23164" s="135"/>
      <c r="U23164" s="135"/>
    </row>
    <row r="23165" spans="20:21" ht="15" customHeight="1" x14ac:dyDescent="0.25">
      <c r="T23165" s="135"/>
      <c r="U23165" s="135"/>
    </row>
    <row r="23166" spans="20:21" ht="15" customHeight="1" x14ac:dyDescent="0.25">
      <c r="T23166" s="135"/>
      <c r="U23166" s="135"/>
    </row>
    <row r="23167" spans="20:21" ht="15" customHeight="1" x14ac:dyDescent="0.25">
      <c r="T23167" s="135"/>
      <c r="U23167" s="135"/>
    </row>
    <row r="23168" spans="20:21" ht="15" customHeight="1" x14ac:dyDescent="0.25">
      <c r="T23168" s="135"/>
      <c r="U23168" s="135"/>
    </row>
    <row r="23169" spans="20:21" ht="15" customHeight="1" x14ac:dyDescent="0.25">
      <c r="T23169" s="135"/>
      <c r="U23169" s="135"/>
    </row>
    <row r="23170" spans="20:21" ht="15" customHeight="1" x14ac:dyDescent="0.25">
      <c r="T23170" s="135"/>
      <c r="U23170" s="135"/>
    </row>
    <row r="23171" spans="20:21" ht="15" customHeight="1" x14ac:dyDescent="0.25">
      <c r="T23171" s="135"/>
      <c r="U23171" s="135"/>
    </row>
    <row r="23172" spans="20:21" ht="15" customHeight="1" x14ac:dyDescent="0.25">
      <c r="T23172" s="135"/>
      <c r="U23172" s="135"/>
    </row>
    <row r="23173" spans="20:21" ht="15" customHeight="1" x14ac:dyDescent="0.25">
      <c r="T23173" s="135"/>
      <c r="U23173" s="135"/>
    </row>
    <row r="23174" spans="20:21" ht="15" customHeight="1" x14ac:dyDescent="0.25">
      <c r="T23174" s="135"/>
      <c r="U23174" s="135"/>
    </row>
    <row r="23175" spans="20:21" ht="15" customHeight="1" x14ac:dyDescent="0.25">
      <c r="T23175" s="135"/>
      <c r="U23175" s="135"/>
    </row>
    <row r="23176" spans="20:21" ht="15" customHeight="1" x14ac:dyDescent="0.25">
      <c r="T23176" s="135"/>
      <c r="U23176" s="135"/>
    </row>
    <row r="23177" spans="20:21" ht="15" customHeight="1" x14ac:dyDescent="0.25">
      <c r="T23177" s="135"/>
      <c r="U23177" s="135"/>
    </row>
    <row r="23178" spans="20:21" ht="15" customHeight="1" x14ac:dyDescent="0.25">
      <c r="T23178" s="135"/>
      <c r="U23178" s="135"/>
    </row>
    <row r="23179" spans="20:21" ht="15" customHeight="1" x14ac:dyDescent="0.25">
      <c r="T23179" s="135"/>
      <c r="U23179" s="135"/>
    </row>
    <row r="23180" spans="20:21" ht="15" customHeight="1" x14ac:dyDescent="0.25">
      <c r="T23180" s="135"/>
      <c r="U23180" s="135"/>
    </row>
    <row r="23181" spans="20:21" ht="15" customHeight="1" x14ac:dyDescent="0.25">
      <c r="T23181" s="135"/>
      <c r="U23181" s="135"/>
    </row>
    <row r="23182" spans="20:21" ht="15" customHeight="1" x14ac:dyDescent="0.25">
      <c r="T23182" s="135"/>
      <c r="U23182" s="135"/>
    </row>
    <row r="23183" spans="20:21" ht="15" customHeight="1" x14ac:dyDescent="0.25">
      <c r="T23183" s="135"/>
      <c r="U23183" s="135"/>
    </row>
    <row r="23184" spans="20:21" ht="15" customHeight="1" x14ac:dyDescent="0.25">
      <c r="T23184" s="135"/>
      <c r="U23184" s="135"/>
    </row>
    <row r="23185" spans="20:21" ht="15" customHeight="1" x14ac:dyDescent="0.25">
      <c r="T23185" s="135"/>
      <c r="U23185" s="135"/>
    </row>
    <row r="23186" spans="20:21" ht="15" customHeight="1" x14ac:dyDescent="0.25">
      <c r="T23186" s="135"/>
      <c r="U23186" s="135"/>
    </row>
    <row r="23187" spans="20:21" ht="15" customHeight="1" x14ac:dyDescent="0.25">
      <c r="T23187" s="135"/>
      <c r="U23187" s="135"/>
    </row>
    <row r="23188" spans="20:21" ht="15" customHeight="1" x14ac:dyDescent="0.25">
      <c r="T23188" s="135"/>
      <c r="U23188" s="135"/>
    </row>
    <row r="23189" spans="20:21" ht="15" customHeight="1" x14ac:dyDescent="0.25">
      <c r="T23189" s="135"/>
      <c r="U23189" s="135"/>
    </row>
    <row r="23190" spans="20:21" ht="15" customHeight="1" x14ac:dyDescent="0.25">
      <c r="T23190" s="135"/>
      <c r="U23190" s="135"/>
    </row>
    <row r="23191" spans="20:21" ht="15" customHeight="1" x14ac:dyDescent="0.25">
      <c r="T23191" s="135"/>
      <c r="U23191" s="135"/>
    </row>
    <row r="23192" spans="20:21" ht="15" customHeight="1" x14ac:dyDescent="0.25">
      <c r="T23192" s="135"/>
      <c r="U23192" s="135"/>
    </row>
    <row r="23193" spans="20:21" ht="15" customHeight="1" x14ac:dyDescent="0.25">
      <c r="T23193" s="135"/>
      <c r="U23193" s="135"/>
    </row>
    <row r="23194" spans="20:21" ht="15" customHeight="1" x14ac:dyDescent="0.25">
      <c r="T23194" s="135"/>
      <c r="U23194" s="135"/>
    </row>
    <row r="23195" spans="20:21" ht="15" customHeight="1" x14ac:dyDescent="0.25">
      <c r="T23195" s="135"/>
      <c r="U23195" s="135"/>
    </row>
    <row r="23196" spans="20:21" ht="15" customHeight="1" x14ac:dyDescent="0.25">
      <c r="T23196" s="135"/>
      <c r="U23196" s="135"/>
    </row>
    <row r="23197" spans="20:21" ht="15" customHeight="1" x14ac:dyDescent="0.25">
      <c r="T23197" s="135"/>
      <c r="U23197" s="135"/>
    </row>
    <row r="23198" spans="20:21" ht="15" customHeight="1" x14ac:dyDescent="0.25">
      <c r="T23198" s="135"/>
      <c r="U23198" s="135"/>
    </row>
    <row r="23199" spans="20:21" ht="15" customHeight="1" x14ac:dyDescent="0.25">
      <c r="T23199" s="135"/>
      <c r="U23199" s="135"/>
    </row>
    <row r="23200" spans="20:21" ht="15" customHeight="1" x14ac:dyDescent="0.25">
      <c r="T23200" s="135"/>
      <c r="U23200" s="135"/>
    </row>
    <row r="23201" spans="20:21" ht="15" customHeight="1" x14ac:dyDescent="0.25">
      <c r="T23201" s="135"/>
      <c r="U23201" s="135"/>
    </row>
    <row r="23202" spans="20:21" ht="15" customHeight="1" x14ac:dyDescent="0.25">
      <c r="T23202" s="135"/>
      <c r="U23202" s="135"/>
    </row>
    <row r="23203" spans="20:21" ht="15" customHeight="1" x14ac:dyDescent="0.25">
      <c r="T23203" s="135"/>
      <c r="U23203" s="135"/>
    </row>
    <row r="23204" spans="20:21" ht="15" customHeight="1" x14ac:dyDescent="0.25">
      <c r="T23204" s="135"/>
      <c r="U23204" s="135"/>
    </row>
    <row r="23205" spans="20:21" ht="15" customHeight="1" x14ac:dyDescent="0.25">
      <c r="T23205" s="135"/>
      <c r="U23205" s="135"/>
    </row>
    <row r="23206" spans="20:21" ht="15" customHeight="1" x14ac:dyDescent="0.25">
      <c r="T23206" s="135"/>
      <c r="U23206" s="135"/>
    </row>
    <row r="23207" spans="20:21" ht="15" customHeight="1" x14ac:dyDescent="0.25">
      <c r="T23207" s="135"/>
      <c r="U23207" s="135"/>
    </row>
    <row r="23208" spans="20:21" ht="15" customHeight="1" x14ac:dyDescent="0.25">
      <c r="T23208" s="135"/>
      <c r="U23208" s="135"/>
    </row>
    <row r="23209" spans="20:21" ht="15" customHeight="1" x14ac:dyDescent="0.25">
      <c r="T23209" s="135"/>
      <c r="U23209" s="135"/>
    </row>
    <row r="23210" spans="20:21" ht="15" customHeight="1" x14ac:dyDescent="0.25">
      <c r="T23210" s="135"/>
      <c r="U23210" s="135"/>
    </row>
    <row r="23211" spans="20:21" ht="15" customHeight="1" x14ac:dyDescent="0.25">
      <c r="T23211" s="135"/>
      <c r="U23211" s="135"/>
    </row>
    <row r="23212" spans="20:21" ht="15" customHeight="1" x14ac:dyDescent="0.25">
      <c r="T23212" s="135"/>
      <c r="U23212" s="135"/>
    </row>
    <row r="23213" spans="20:21" ht="15" customHeight="1" x14ac:dyDescent="0.25">
      <c r="T23213" s="135"/>
      <c r="U23213" s="135"/>
    </row>
    <row r="23214" spans="20:21" ht="15" customHeight="1" x14ac:dyDescent="0.25">
      <c r="T23214" s="135"/>
      <c r="U23214" s="135"/>
    </row>
    <row r="23215" spans="20:21" ht="15" customHeight="1" x14ac:dyDescent="0.25">
      <c r="T23215" s="135"/>
      <c r="U23215" s="135"/>
    </row>
    <row r="23216" spans="20:21" ht="15" customHeight="1" x14ac:dyDescent="0.25">
      <c r="T23216" s="135"/>
      <c r="U23216" s="135"/>
    </row>
    <row r="23217" spans="20:21" ht="15" customHeight="1" x14ac:dyDescent="0.25">
      <c r="T23217" s="135"/>
      <c r="U23217" s="135"/>
    </row>
    <row r="23218" spans="20:21" ht="15" customHeight="1" x14ac:dyDescent="0.25">
      <c r="T23218" s="135"/>
      <c r="U23218" s="135"/>
    </row>
    <row r="23219" spans="20:21" ht="15" customHeight="1" x14ac:dyDescent="0.25">
      <c r="T23219" s="135"/>
      <c r="U23219" s="135"/>
    </row>
    <row r="23220" spans="20:21" ht="15" customHeight="1" x14ac:dyDescent="0.25">
      <c r="T23220" s="135"/>
      <c r="U23220" s="135"/>
    </row>
    <row r="23221" spans="20:21" ht="15" customHeight="1" x14ac:dyDescent="0.25">
      <c r="T23221" s="135"/>
      <c r="U23221" s="135"/>
    </row>
    <row r="23222" spans="20:21" ht="15" customHeight="1" x14ac:dyDescent="0.25">
      <c r="T23222" s="135"/>
      <c r="U23222" s="135"/>
    </row>
    <row r="23223" spans="20:21" ht="15" customHeight="1" x14ac:dyDescent="0.25">
      <c r="T23223" s="135"/>
      <c r="U23223" s="135"/>
    </row>
    <row r="23224" spans="20:21" ht="15" customHeight="1" x14ac:dyDescent="0.25">
      <c r="T23224" s="135"/>
      <c r="U23224" s="135"/>
    </row>
    <row r="23225" spans="20:21" ht="15" customHeight="1" x14ac:dyDescent="0.25">
      <c r="T23225" s="135"/>
      <c r="U23225" s="135"/>
    </row>
    <row r="23226" spans="20:21" ht="15" customHeight="1" x14ac:dyDescent="0.25">
      <c r="T23226" s="135"/>
      <c r="U23226" s="135"/>
    </row>
    <row r="23227" spans="20:21" ht="15" customHeight="1" x14ac:dyDescent="0.25">
      <c r="T23227" s="135"/>
      <c r="U23227" s="135"/>
    </row>
    <row r="23228" spans="20:21" ht="15" customHeight="1" x14ac:dyDescent="0.25">
      <c r="T23228" s="135"/>
      <c r="U23228" s="135"/>
    </row>
    <row r="23229" spans="20:21" ht="15" customHeight="1" x14ac:dyDescent="0.25">
      <c r="T23229" s="135"/>
      <c r="U23229" s="135"/>
    </row>
    <row r="23230" spans="20:21" ht="15" customHeight="1" x14ac:dyDescent="0.25">
      <c r="T23230" s="135"/>
      <c r="U23230" s="135"/>
    </row>
    <row r="23231" spans="20:21" ht="15" customHeight="1" x14ac:dyDescent="0.25">
      <c r="T23231" s="135"/>
      <c r="U23231" s="135"/>
    </row>
    <row r="23232" spans="20:21" ht="15" customHeight="1" x14ac:dyDescent="0.25">
      <c r="T23232" s="135"/>
      <c r="U23232" s="135"/>
    </row>
    <row r="23233" spans="20:21" ht="15" customHeight="1" x14ac:dyDescent="0.25">
      <c r="T23233" s="135"/>
      <c r="U23233" s="135"/>
    </row>
    <row r="23234" spans="20:21" ht="15" customHeight="1" x14ac:dyDescent="0.25">
      <c r="T23234" s="135"/>
      <c r="U23234" s="135"/>
    </row>
    <row r="23235" spans="20:21" ht="15" customHeight="1" x14ac:dyDescent="0.25">
      <c r="T23235" s="135"/>
      <c r="U23235" s="135"/>
    </row>
    <row r="23236" spans="20:21" ht="15" customHeight="1" x14ac:dyDescent="0.25">
      <c r="T23236" s="135"/>
      <c r="U23236" s="135"/>
    </row>
    <row r="23237" spans="20:21" ht="15" customHeight="1" x14ac:dyDescent="0.25">
      <c r="T23237" s="135"/>
      <c r="U23237" s="135"/>
    </row>
    <row r="23238" spans="20:21" ht="15" customHeight="1" x14ac:dyDescent="0.25">
      <c r="T23238" s="135"/>
      <c r="U23238" s="135"/>
    </row>
    <row r="23239" spans="20:21" ht="15" customHeight="1" x14ac:dyDescent="0.25">
      <c r="T23239" s="135"/>
      <c r="U23239" s="135"/>
    </row>
    <row r="23240" spans="20:21" ht="15" customHeight="1" x14ac:dyDescent="0.25">
      <c r="T23240" s="135"/>
      <c r="U23240" s="135"/>
    </row>
    <row r="23241" spans="20:21" ht="15" customHeight="1" x14ac:dyDescent="0.25">
      <c r="T23241" s="135"/>
      <c r="U23241" s="135"/>
    </row>
    <row r="23242" spans="20:21" ht="15" customHeight="1" x14ac:dyDescent="0.25">
      <c r="T23242" s="135"/>
      <c r="U23242" s="135"/>
    </row>
    <row r="23243" spans="20:21" ht="15" customHeight="1" x14ac:dyDescent="0.25">
      <c r="T23243" s="135"/>
      <c r="U23243" s="135"/>
    </row>
    <row r="23244" spans="20:21" ht="15" customHeight="1" x14ac:dyDescent="0.25">
      <c r="T23244" s="135"/>
      <c r="U23244" s="135"/>
    </row>
    <row r="23245" spans="20:21" ht="15" customHeight="1" x14ac:dyDescent="0.25">
      <c r="T23245" s="135"/>
      <c r="U23245" s="135"/>
    </row>
    <row r="23246" spans="20:21" ht="15" customHeight="1" x14ac:dyDescent="0.25">
      <c r="T23246" s="135"/>
      <c r="U23246" s="135"/>
    </row>
    <row r="23247" spans="20:21" ht="15" customHeight="1" x14ac:dyDescent="0.25">
      <c r="T23247" s="135"/>
      <c r="U23247" s="135"/>
    </row>
    <row r="23248" spans="20:21" ht="15" customHeight="1" x14ac:dyDescent="0.25">
      <c r="T23248" s="135"/>
      <c r="U23248" s="135"/>
    </row>
    <row r="23249" spans="20:21" ht="15" customHeight="1" x14ac:dyDescent="0.25">
      <c r="T23249" s="135"/>
      <c r="U23249" s="135"/>
    </row>
    <row r="23250" spans="20:21" ht="15" customHeight="1" x14ac:dyDescent="0.25">
      <c r="T23250" s="135"/>
      <c r="U23250" s="135"/>
    </row>
    <row r="23251" spans="20:21" ht="15" customHeight="1" x14ac:dyDescent="0.25">
      <c r="T23251" s="135"/>
      <c r="U23251" s="135"/>
    </row>
    <row r="23252" spans="20:21" ht="15" customHeight="1" x14ac:dyDescent="0.25">
      <c r="T23252" s="135"/>
      <c r="U23252" s="135"/>
    </row>
    <row r="23253" spans="20:21" ht="15" customHeight="1" x14ac:dyDescent="0.25">
      <c r="T23253" s="135"/>
      <c r="U23253" s="135"/>
    </row>
    <row r="23254" spans="20:21" ht="15" customHeight="1" x14ac:dyDescent="0.25">
      <c r="T23254" s="135"/>
      <c r="U23254" s="135"/>
    </row>
    <row r="23255" spans="20:21" ht="15" customHeight="1" x14ac:dyDescent="0.25">
      <c r="T23255" s="135"/>
      <c r="U23255" s="135"/>
    </row>
    <row r="23256" spans="20:21" ht="15" customHeight="1" x14ac:dyDescent="0.25">
      <c r="T23256" s="135"/>
      <c r="U23256" s="135"/>
    </row>
    <row r="23257" spans="20:21" ht="15" customHeight="1" x14ac:dyDescent="0.25">
      <c r="T23257" s="135"/>
      <c r="U23257" s="135"/>
    </row>
    <row r="23258" spans="20:21" ht="15" customHeight="1" x14ac:dyDescent="0.25">
      <c r="T23258" s="135"/>
      <c r="U23258" s="135"/>
    </row>
    <row r="23259" spans="20:21" ht="15" customHeight="1" x14ac:dyDescent="0.25">
      <c r="T23259" s="135"/>
      <c r="U23259" s="135"/>
    </row>
    <row r="23260" spans="20:21" ht="15" customHeight="1" x14ac:dyDescent="0.25">
      <c r="T23260" s="135"/>
      <c r="U23260" s="135"/>
    </row>
    <row r="23261" spans="20:21" ht="15" customHeight="1" x14ac:dyDescent="0.25">
      <c r="T23261" s="135"/>
      <c r="U23261" s="135"/>
    </row>
    <row r="23262" spans="20:21" ht="15" customHeight="1" x14ac:dyDescent="0.25">
      <c r="T23262" s="135"/>
      <c r="U23262" s="135"/>
    </row>
    <row r="23263" spans="20:21" ht="15" customHeight="1" x14ac:dyDescent="0.25">
      <c r="T23263" s="135"/>
      <c r="U23263" s="135"/>
    </row>
    <row r="23264" spans="20:21" ht="15" customHeight="1" x14ac:dyDescent="0.25">
      <c r="T23264" s="135"/>
      <c r="U23264" s="135"/>
    </row>
    <row r="23265" spans="20:21" ht="15" customHeight="1" x14ac:dyDescent="0.25">
      <c r="T23265" s="135"/>
      <c r="U23265" s="135"/>
    </row>
    <row r="23266" spans="20:21" ht="15" customHeight="1" x14ac:dyDescent="0.25">
      <c r="T23266" s="135"/>
      <c r="U23266" s="135"/>
    </row>
    <row r="23267" spans="20:21" ht="15" customHeight="1" x14ac:dyDescent="0.25">
      <c r="T23267" s="135"/>
      <c r="U23267" s="135"/>
    </row>
    <row r="23268" spans="20:21" ht="15" customHeight="1" x14ac:dyDescent="0.25">
      <c r="T23268" s="135"/>
      <c r="U23268" s="135"/>
    </row>
    <row r="23269" spans="20:21" ht="15" customHeight="1" x14ac:dyDescent="0.25">
      <c r="T23269" s="135"/>
      <c r="U23269" s="135"/>
    </row>
    <row r="23270" spans="20:21" ht="15" customHeight="1" x14ac:dyDescent="0.25">
      <c r="T23270" s="135"/>
      <c r="U23270" s="135"/>
    </row>
    <row r="23271" spans="20:21" ht="15" customHeight="1" x14ac:dyDescent="0.25">
      <c r="T23271" s="135"/>
      <c r="U23271" s="135"/>
    </row>
    <row r="23272" spans="20:21" ht="15" customHeight="1" x14ac:dyDescent="0.25">
      <c r="T23272" s="135"/>
      <c r="U23272" s="135"/>
    </row>
    <row r="23273" spans="20:21" ht="15" customHeight="1" x14ac:dyDescent="0.25">
      <c r="T23273" s="135"/>
      <c r="U23273" s="135"/>
    </row>
    <row r="23274" spans="20:21" ht="15" customHeight="1" x14ac:dyDescent="0.25">
      <c r="T23274" s="135"/>
      <c r="U23274" s="135"/>
    </row>
    <row r="23275" spans="20:21" ht="15" customHeight="1" x14ac:dyDescent="0.25">
      <c r="T23275" s="135"/>
      <c r="U23275" s="135"/>
    </row>
    <row r="23276" spans="20:21" ht="15" customHeight="1" x14ac:dyDescent="0.25">
      <c r="T23276" s="135"/>
      <c r="U23276" s="135"/>
    </row>
    <row r="23277" spans="20:21" ht="15" customHeight="1" x14ac:dyDescent="0.25">
      <c r="T23277" s="135"/>
      <c r="U23277" s="135"/>
    </row>
    <row r="23278" spans="20:21" ht="15" customHeight="1" x14ac:dyDescent="0.25">
      <c r="T23278" s="135"/>
      <c r="U23278" s="135"/>
    </row>
    <row r="23279" spans="20:21" ht="15" customHeight="1" x14ac:dyDescent="0.25">
      <c r="T23279" s="135"/>
      <c r="U23279" s="135"/>
    </row>
    <row r="23280" spans="20:21" ht="15" customHeight="1" x14ac:dyDescent="0.25">
      <c r="T23280" s="135"/>
      <c r="U23280" s="135"/>
    </row>
    <row r="23281" spans="20:21" ht="15" customHeight="1" x14ac:dyDescent="0.25">
      <c r="T23281" s="135"/>
      <c r="U23281" s="135"/>
    </row>
    <row r="23282" spans="20:21" ht="15" customHeight="1" x14ac:dyDescent="0.25">
      <c r="T23282" s="135"/>
      <c r="U23282" s="135"/>
    </row>
    <row r="23283" spans="20:21" ht="15" customHeight="1" x14ac:dyDescent="0.25">
      <c r="T23283" s="135"/>
      <c r="U23283" s="135"/>
    </row>
    <row r="23284" spans="20:21" ht="15" customHeight="1" x14ac:dyDescent="0.25">
      <c r="T23284" s="135"/>
      <c r="U23284" s="135"/>
    </row>
    <row r="23285" spans="20:21" ht="15" customHeight="1" x14ac:dyDescent="0.25">
      <c r="T23285" s="135"/>
      <c r="U23285" s="135"/>
    </row>
    <row r="23286" spans="20:21" ht="15" customHeight="1" x14ac:dyDescent="0.25">
      <c r="T23286" s="135"/>
      <c r="U23286" s="135"/>
    </row>
    <row r="23287" spans="20:21" ht="15" customHeight="1" x14ac:dyDescent="0.25">
      <c r="T23287" s="135"/>
      <c r="U23287" s="135"/>
    </row>
    <row r="23288" spans="20:21" ht="15" customHeight="1" x14ac:dyDescent="0.25">
      <c r="T23288" s="135"/>
      <c r="U23288" s="135"/>
    </row>
    <row r="23289" spans="20:21" ht="15" customHeight="1" x14ac:dyDescent="0.25">
      <c r="T23289" s="135"/>
      <c r="U23289" s="135"/>
    </row>
    <row r="23290" spans="20:21" ht="15" customHeight="1" x14ac:dyDescent="0.25">
      <c r="T23290" s="135"/>
      <c r="U23290" s="135"/>
    </row>
    <row r="23291" spans="20:21" ht="15" customHeight="1" x14ac:dyDescent="0.25">
      <c r="T23291" s="135"/>
      <c r="U23291" s="135"/>
    </row>
    <row r="23292" spans="20:21" ht="15" customHeight="1" x14ac:dyDescent="0.25">
      <c r="T23292" s="135"/>
      <c r="U23292" s="135"/>
    </row>
    <row r="23293" spans="20:21" ht="15" customHeight="1" x14ac:dyDescent="0.25">
      <c r="T23293" s="135"/>
      <c r="U23293" s="135"/>
    </row>
    <row r="23294" spans="20:21" ht="15" customHeight="1" x14ac:dyDescent="0.25">
      <c r="T23294" s="135"/>
      <c r="U23294" s="135"/>
    </row>
    <row r="23295" spans="20:21" ht="15" customHeight="1" x14ac:dyDescent="0.25">
      <c r="T23295" s="135"/>
      <c r="U23295" s="135"/>
    </row>
    <row r="23296" spans="20:21" ht="15" customHeight="1" x14ac:dyDescent="0.25">
      <c r="T23296" s="135"/>
      <c r="U23296" s="135"/>
    </row>
    <row r="23297" spans="20:21" ht="15" customHeight="1" x14ac:dyDescent="0.25">
      <c r="T23297" s="135"/>
      <c r="U23297" s="135"/>
    </row>
    <row r="23298" spans="20:21" ht="15" customHeight="1" x14ac:dyDescent="0.25">
      <c r="T23298" s="135"/>
      <c r="U23298" s="135"/>
    </row>
    <row r="23299" spans="20:21" ht="15" customHeight="1" x14ac:dyDescent="0.25">
      <c r="T23299" s="135"/>
      <c r="U23299" s="135"/>
    </row>
    <row r="23300" spans="20:21" ht="15" customHeight="1" x14ac:dyDescent="0.25">
      <c r="T23300" s="135"/>
      <c r="U23300" s="135"/>
    </row>
    <row r="23301" spans="20:21" ht="15" customHeight="1" x14ac:dyDescent="0.25">
      <c r="T23301" s="135"/>
      <c r="U23301" s="135"/>
    </row>
    <row r="23302" spans="20:21" ht="15" customHeight="1" x14ac:dyDescent="0.25">
      <c r="T23302" s="135"/>
      <c r="U23302" s="135"/>
    </row>
    <row r="23303" spans="20:21" ht="15" customHeight="1" x14ac:dyDescent="0.25">
      <c r="T23303" s="135"/>
      <c r="U23303" s="135"/>
    </row>
    <row r="23304" spans="20:21" ht="15" customHeight="1" x14ac:dyDescent="0.25">
      <c r="T23304" s="135"/>
      <c r="U23304" s="135"/>
    </row>
    <row r="23305" spans="20:21" ht="15" customHeight="1" x14ac:dyDescent="0.25">
      <c r="T23305" s="135"/>
      <c r="U23305" s="135"/>
    </row>
    <row r="23306" spans="20:21" ht="15" customHeight="1" x14ac:dyDescent="0.25">
      <c r="T23306" s="135"/>
      <c r="U23306" s="135"/>
    </row>
    <row r="23307" spans="20:21" ht="15" customHeight="1" x14ac:dyDescent="0.25">
      <c r="T23307" s="135"/>
      <c r="U23307" s="135"/>
    </row>
    <row r="23308" spans="20:21" ht="15" customHeight="1" x14ac:dyDescent="0.25">
      <c r="T23308" s="135"/>
      <c r="U23308" s="135"/>
    </row>
    <row r="23309" spans="20:21" ht="15" customHeight="1" x14ac:dyDescent="0.25">
      <c r="T23309" s="135"/>
      <c r="U23309" s="135"/>
    </row>
    <row r="23310" spans="20:21" ht="15" customHeight="1" x14ac:dyDescent="0.25">
      <c r="T23310" s="135"/>
      <c r="U23310" s="135"/>
    </row>
    <row r="23311" spans="20:21" ht="15" customHeight="1" x14ac:dyDescent="0.25">
      <c r="T23311" s="135"/>
      <c r="U23311" s="135"/>
    </row>
    <row r="23312" spans="20:21" ht="15" customHeight="1" x14ac:dyDescent="0.25">
      <c r="T23312" s="135"/>
      <c r="U23312" s="135"/>
    </row>
    <row r="23313" spans="20:21" ht="15" customHeight="1" x14ac:dyDescent="0.25">
      <c r="T23313" s="135"/>
      <c r="U23313" s="135"/>
    </row>
    <row r="23314" spans="20:21" ht="15" customHeight="1" x14ac:dyDescent="0.25">
      <c r="T23314" s="135"/>
      <c r="U23314" s="135"/>
    </row>
    <row r="23315" spans="20:21" ht="15" customHeight="1" x14ac:dyDescent="0.25">
      <c r="T23315" s="135"/>
      <c r="U23315" s="135"/>
    </row>
    <row r="23316" spans="20:21" ht="15" customHeight="1" x14ac:dyDescent="0.25">
      <c r="T23316" s="135"/>
      <c r="U23316" s="135"/>
    </row>
    <row r="23317" spans="20:21" ht="15" customHeight="1" x14ac:dyDescent="0.25">
      <c r="T23317" s="135"/>
      <c r="U23317" s="135"/>
    </row>
    <row r="23318" spans="20:21" ht="15" customHeight="1" x14ac:dyDescent="0.25">
      <c r="T23318" s="135"/>
      <c r="U23318" s="135"/>
    </row>
    <row r="23319" spans="20:21" ht="15" customHeight="1" x14ac:dyDescent="0.25">
      <c r="T23319" s="135"/>
      <c r="U23319" s="135"/>
    </row>
    <row r="23320" spans="20:21" ht="15" customHeight="1" x14ac:dyDescent="0.25">
      <c r="T23320" s="135"/>
      <c r="U23320" s="135"/>
    </row>
    <row r="23321" spans="20:21" ht="15" customHeight="1" x14ac:dyDescent="0.25">
      <c r="T23321" s="135"/>
      <c r="U23321" s="135"/>
    </row>
    <row r="23322" spans="20:21" ht="15" customHeight="1" x14ac:dyDescent="0.25">
      <c r="T23322" s="135"/>
      <c r="U23322" s="135"/>
    </row>
    <row r="23323" spans="20:21" ht="15" customHeight="1" x14ac:dyDescent="0.25">
      <c r="T23323" s="135"/>
      <c r="U23323" s="135"/>
    </row>
    <row r="23324" spans="20:21" ht="15" customHeight="1" x14ac:dyDescent="0.25">
      <c r="T23324" s="135"/>
      <c r="U23324" s="135"/>
    </row>
    <row r="23325" spans="20:21" ht="15" customHeight="1" x14ac:dyDescent="0.25">
      <c r="T23325" s="135"/>
      <c r="U23325" s="135"/>
    </row>
    <row r="23326" spans="20:21" ht="15" customHeight="1" x14ac:dyDescent="0.25">
      <c r="T23326" s="135"/>
      <c r="U23326" s="135"/>
    </row>
    <row r="23327" spans="20:21" ht="15" customHeight="1" x14ac:dyDescent="0.25">
      <c r="T23327" s="135"/>
      <c r="U23327" s="135"/>
    </row>
    <row r="23328" spans="20:21" ht="15" customHeight="1" x14ac:dyDescent="0.25">
      <c r="T23328" s="135"/>
      <c r="U23328" s="135"/>
    </row>
    <row r="23329" spans="20:21" ht="15" customHeight="1" x14ac:dyDescent="0.25">
      <c r="T23329" s="135"/>
      <c r="U23329" s="135"/>
    </row>
    <row r="23330" spans="20:21" ht="15" customHeight="1" x14ac:dyDescent="0.25">
      <c r="T23330" s="135"/>
      <c r="U23330" s="135"/>
    </row>
    <row r="23331" spans="20:21" ht="15" customHeight="1" x14ac:dyDescent="0.25">
      <c r="T23331" s="135"/>
      <c r="U23331" s="135"/>
    </row>
    <row r="23332" spans="20:21" ht="15" customHeight="1" x14ac:dyDescent="0.25">
      <c r="T23332" s="135"/>
      <c r="U23332" s="135"/>
    </row>
    <row r="23333" spans="20:21" ht="15" customHeight="1" x14ac:dyDescent="0.25">
      <c r="T23333" s="135"/>
      <c r="U23333" s="135"/>
    </row>
    <row r="23334" spans="20:21" ht="15" customHeight="1" x14ac:dyDescent="0.25">
      <c r="T23334" s="135"/>
      <c r="U23334" s="135"/>
    </row>
    <row r="23335" spans="20:21" ht="15" customHeight="1" x14ac:dyDescent="0.25">
      <c r="T23335" s="135"/>
      <c r="U23335" s="135"/>
    </row>
    <row r="23336" spans="20:21" ht="15" customHeight="1" x14ac:dyDescent="0.25">
      <c r="T23336" s="135"/>
      <c r="U23336" s="135"/>
    </row>
    <row r="23337" spans="20:21" ht="15" customHeight="1" x14ac:dyDescent="0.25">
      <c r="T23337" s="135"/>
      <c r="U23337" s="135"/>
    </row>
    <row r="23338" spans="20:21" ht="15" customHeight="1" x14ac:dyDescent="0.25">
      <c r="T23338" s="135"/>
      <c r="U23338" s="135"/>
    </row>
    <row r="23339" spans="20:21" ht="15" customHeight="1" x14ac:dyDescent="0.25">
      <c r="T23339" s="135"/>
      <c r="U23339" s="135"/>
    </row>
    <row r="23340" spans="20:21" ht="15" customHeight="1" x14ac:dyDescent="0.25">
      <c r="T23340" s="135"/>
      <c r="U23340" s="135"/>
    </row>
    <row r="23341" spans="20:21" ht="15" customHeight="1" x14ac:dyDescent="0.25">
      <c r="T23341" s="135"/>
      <c r="U23341" s="135"/>
    </row>
    <row r="23342" spans="20:21" ht="15" customHeight="1" x14ac:dyDescent="0.25">
      <c r="T23342" s="135"/>
      <c r="U23342" s="135"/>
    </row>
    <row r="23343" spans="20:21" ht="15" customHeight="1" x14ac:dyDescent="0.25">
      <c r="T23343" s="135"/>
      <c r="U23343" s="135"/>
    </row>
    <row r="23344" spans="20:21" ht="15" customHeight="1" x14ac:dyDescent="0.25">
      <c r="T23344" s="135"/>
      <c r="U23344" s="135"/>
    </row>
    <row r="23345" spans="20:21" ht="15" customHeight="1" x14ac:dyDescent="0.25">
      <c r="T23345" s="135"/>
      <c r="U23345" s="135"/>
    </row>
    <row r="23346" spans="20:21" ht="15" customHeight="1" x14ac:dyDescent="0.25">
      <c r="T23346" s="135"/>
      <c r="U23346" s="135"/>
    </row>
    <row r="23347" spans="20:21" ht="15" customHeight="1" x14ac:dyDescent="0.25">
      <c r="T23347" s="135"/>
      <c r="U23347" s="135"/>
    </row>
    <row r="23348" spans="20:21" ht="15" customHeight="1" x14ac:dyDescent="0.25">
      <c r="T23348" s="135"/>
      <c r="U23348" s="135"/>
    </row>
    <row r="23349" spans="20:21" ht="15" customHeight="1" x14ac:dyDescent="0.25">
      <c r="T23349" s="135"/>
      <c r="U23349" s="135"/>
    </row>
    <row r="23350" spans="20:21" ht="15" customHeight="1" x14ac:dyDescent="0.25">
      <c r="T23350" s="135"/>
      <c r="U23350" s="135"/>
    </row>
    <row r="23351" spans="20:21" ht="15" customHeight="1" x14ac:dyDescent="0.25">
      <c r="T23351" s="135"/>
      <c r="U23351" s="135"/>
    </row>
    <row r="23352" spans="20:21" ht="15" customHeight="1" x14ac:dyDescent="0.25">
      <c r="T23352" s="135"/>
      <c r="U23352" s="135"/>
    </row>
    <row r="23353" spans="20:21" ht="15" customHeight="1" x14ac:dyDescent="0.25">
      <c r="T23353" s="135"/>
      <c r="U23353" s="135"/>
    </row>
    <row r="23354" spans="20:21" ht="15" customHeight="1" x14ac:dyDescent="0.25">
      <c r="T23354" s="135"/>
      <c r="U23354" s="135"/>
    </row>
    <row r="23355" spans="20:21" ht="15" customHeight="1" x14ac:dyDescent="0.25">
      <c r="T23355" s="135"/>
      <c r="U23355" s="135"/>
    </row>
    <row r="23356" spans="20:21" ht="15" customHeight="1" x14ac:dyDescent="0.25">
      <c r="T23356" s="135"/>
      <c r="U23356" s="135"/>
    </row>
    <row r="23357" spans="20:21" ht="15" customHeight="1" x14ac:dyDescent="0.25">
      <c r="T23357" s="135"/>
      <c r="U23357" s="135"/>
    </row>
    <row r="23358" spans="20:21" ht="15" customHeight="1" x14ac:dyDescent="0.25">
      <c r="T23358" s="135"/>
      <c r="U23358" s="135"/>
    </row>
    <row r="23359" spans="20:21" ht="15" customHeight="1" x14ac:dyDescent="0.25">
      <c r="T23359" s="135"/>
      <c r="U23359" s="135"/>
    </row>
    <row r="23360" spans="20:21" ht="15" customHeight="1" x14ac:dyDescent="0.25">
      <c r="T23360" s="135"/>
      <c r="U23360" s="135"/>
    </row>
    <row r="23361" spans="20:21" ht="15" customHeight="1" x14ac:dyDescent="0.25">
      <c r="T23361" s="135"/>
      <c r="U23361" s="135"/>
    </row>
    <row r="23362" spans="20:21" ht="15" customHeight="1" x14ac:dyDescent="0.25">
      <c r="T23362" s="135"/>
      <c r="U23362" s="135"/>
    </row>
    <row r="23363" spans="20:21" ht="15" customHeight="1" x14ac:dyDescent="0.25">
      <c r="T23363" s="135"/>
      <c r="U23363" s="135"/>
    </row>
    <row r="23364" spans="20:21" ht="15" customHeight="1" x14ac:dyDescent="0.25">
      <c r="T23364" s="135"/>
      <c r="U23364" s="135"/>
    </row>
    <row r="23365" spans="20:21" ht="15" customHeight="1" x14ac:dyDescent="0.25">
      <c r="T23365" s="135"/>
      <c r="U23365" s="135"/>
    </row>
    <row r="23366" spans="20:21" ht="15" customHeight="1" x14ac:dyDescent="0.25">
      <c r="T23366" s="135"/>
      <c r="U23366" s="135"/>
    </row>
    <row r="23367" spans="20:21" ht="15" customHeight="1" x14ac:dyDescent="0.25">
      <c r="T23367" s="135"/>
      <c r="U23367" s="135"/>
    </row>
    <row r="23368" spans="20:21" ht="15" customHeight="1" x14ac:dyDescent="0.25">
      <c r="T23368" s="135"/>
      <c r="U23368" s="135"/>
    </row>
    <row r="23369" spans="20:21" ht="15" customHeight="1" x14ac:dyDescent="0.25">
      <c r="T23369" s="135"/>
      <c r="U23369" s="135"/>
    </row>
    <row r="23370" spans="20:21" ht="15" customHeight="1" x14ac:dyDescent="0.25">
      <c r="T23370" s="135"/>
      <c r="U23370" s="135"/>
    </row>
    <row r="23371" spans="20:21" ht="15" customHeight="1" x14ac:dyDescent="0.25">
      <c r="T23371" s="135"/>
      <c r="U23371" s="135"/>
    </row>
    <row r="23372" spans="20:21" ht="15" customHeight="1" x14ac:dyDescent="0.25">
      <c r="T23372" s="135"/>
      <c r="U23372" s="135"/>
    </row>
    <row r="23373" spans="20:21" ht="15" customHeight="1" x14ac:dyDescent="0.25">
      <c r="T23373" s="135"/>
      <c r="U23373" s="135"/>
    </row>
    <row r="23374" spans="20:21" ht="15" customHeight="1" x14ac:dyDescent="0.25">
      <c r="T23374" s="135"/>
      <c r="U23374" s="135"/>
    </row>
    <row r="23375" spans="20:21" ht="15" customHeight="1" x14ac:dyDescent="0.25">
      <c r="T23375" s="135"/>
      <c r="U23375" s="135"/>
    </row>
    <row r="23376" spans="20:21" ht="15" customHeight="1" x14ac:dyDescent="0.25">
      <c r="T23376" s="135"/>
      <c r="U23376" s="135"/>
    </row>
    <row r="23377" spans="20:21" ht="15" customHeight="1" x14ac:dyDescent="0.25">
      <c r="T23377" s="135"/>
      <c r="U23377" s="135"/>
    </row>
    <row r="23378" spans="20:21" ht="15" customHeight="1" x14ac:dyDescent="0.25">
      <c r="T23378" s="135"/>
      <c r="U23378" s="135"/>
    </row>
    <row r="23379" spans="20:21" ht="15" customHeight="1" x14ac:dyDescent="0.25">
      <c r="T23379" s="135"/>
      <c r="U23379" s="135"/>
    </row>
    <row r="23380" spans="20:21" ht="15" customHeight="1" x14ac:dyDescent="0.25">
      <c r="T23380" s="135"/>
      <c r="U23380" s="135"/>
    </row>
    <row r="23381" spans="20:21" ht="15" customHeight="1" x14ac:dyDescent="0.25">
      <c r="T23381" s="135"/>
      <c r="U23381" s="135"/>
    </row>
    <row r="23382" spans="20:21" ht="15" customHeight="1" x14ac:dyDescent="0.25">
      <c r="T23382" s="135"/>
      <c r="U23382" s="135"/>
    </row>
    <row r="23383" spans="20:21" ht="15" customHeight="1" x14ac:dyDescent="0.25">
      <c r="T23383" s="135"/>
      <c r="U23383" s="135"/>
    </row>
    <row r="23384" spans="20:21" ht="15" customHeight="1" x14ac:dyDescent="0.25">
      <c r="T23384" s="135"/>
      <c r="U23384" s="135"/>
    </row>
    <row r="23385" spans="20:21" ht="15" customHeight="1" x14ac:dyDescent="0.25">
      <c r="T23385" s="135"/>
      <c r="U23385" s="135"/>
    </row>
    <row r="23386" spans="20:21" ht="15" customHeight="1" x14ac:dyDescent="0.25">
      <c r="T23386" s="135"/>
      <c r="U23386" s="135"/>
    </row>
    <row r="23387" spans="20:21" ht="15" customHeight="1" x14ac:dyDescent="0.25">
      <c r="T23387" s="135"/>
      <c r="U23387" s="135"/>
    </row>
    <row r="23388" spans="20:21" ht="15" customHeight="1" x14ac:dyDescent="0.25">
      <c r="T23388" s="135"/>
      <c r="U23388" s="135"/>
    </row>
    <row r="23389" spans="20:21" ht="15" customHeight="1" x14ac:dyDescent="0.25">
      <c r="T23389" s="135"/>
      <c r="U23389" s="135"/>
    </row>
    <row r="23390" spans="20:21" ht="15" customHeight="1" x14ac:dyDescent="0.25">
      <c r="T23390" s="135"/>
      <c r="U23390" s="135"/>
    </row>
    <row r="23391" spans="20:21" ht="15" customHeight="1" x14ac:dyDescent="0.25">
      <c r="T23391" s="135"/>
      <c r="U23391" s="135"/>
    </row>
    <row r="23392" spans="20:21" ht="15" customHeight="1" x14ac:dyDescent="0.25">
      <c r="T23392" s="135"/>
      <c r="U23392" s="135"/>
    </row>
    <row r="23393" spans="20:21" ht="15" customHeight="1" x14ac:dyDescent="0.25">
      <c r="T23393" s="135"/>
      <c r="U23393" s="135"/>
    </row>
    <row r="23394" spans="20:21" ht="15" customHeight="1" x14ac:dyDescent="0.25">
      <c r="T23394" s="135"/>
      <c r="U23394" s="135"/>
    </row>
    <row r="23395" spans="20:21" ht="15" customHeight="1" x14ac:dyDescent="0.25">
      <c r="T23395" s="135"/>
      <c r="U23395" s="135"/>
    </row>
    <row r="23396" spans="20:21" ht="15" customHeight="1" x14ac:dyDescent="0.25">
      <c r="T23396" s="135"/>
      <c r="U23396" s="135"/>
    </row>
    <row r="23397" spans="20:21" ht="15" customHeight="1" x14ac:dyDescent="0.25">
      <c r="T23397" s="135"/>
      <c r="U23397" s="135"/>
    </row>
    <row r="23398" spans="20:21" ht="15" customHeight="1" x14ac:dyDescent="0.25">
      <c r="T23398" s="135"/>
      <c r="U23398" s="135"/>
    </row>
    <row r="23399" spans="20:21" ht="15" customHeight="1" x14ac:dyDescent="0.25">
      <c r="T23399" s="135"/>
      <c r="U23399" s="135"/>
    </row>
    <row r="23400" spans="20:21" ht="15" customHeight="1" x14ac:dyDescent="0.25">
      <c r="T23400" s="135"/>
      <c r="U23400" s="135"/>
    </row>
    <row r="23401" spans="20:21" ht="15" customHeight="1" x14ac:dyDescent="0.25">
      <c r="T23401" s="135"/>
      <c r="U23401" s="135"/>
    </row>
    <row r="23402" spans="20:21" ht="15" customHeight="1" x14ac:dyDescent="0.25">
      <c r="T23402" s="135"/>
      <c r="U23402" s="135"/>
    </row>
    <row r="23403" spans="20:21" ht="15" customHeight="1" x14ac:dyDescent="0.25">
      <c r="T23403" s="135"/>
      <c r="U23403" s="135"/>
    </row>
    <row r="23404" spans="20:21" ht="15" customHeight="1" x14ac:dyDescent="0.25">
      <c r="T23404" s="135"/>
      <c r="U23404" s="135"/>
    </row>
    <row r="23405" spans="20:21" ht="15" customHeight="1" x14ac:dyDescent="0.25">
      <c r="T23405" s="135"/>
      <c r="U23405" s="135"/>
    </row>
    <row r="23406" spans="20:21" ht="15" customHeight="1" x14ac:dyDescent="0.25">
      <c r="T23406" s="135"/>
      <c r="U23406" s="135"/>
    </row>
    <row r="23407" spans="20:21" ht="15" customHeight="1" x14ac:dyDescent="0.25">
      <c r="T23407" s="135"/>
      <c r="U23407" s="135"/>
    </row>
    <row r="23408" spans="20:21" ht="15" customHeight="1" x14ac:dyDescent="0.25">
      <c r="T23408" s="135"/>
      <c r="U23408" s="135"/>
    </row>
    <row r="23409" spans="20:21" ht="15" customHeight="1" x14ac:dyDescent="0.25">
      <c r="T23409" s="135"/>
      <c r="U23409" s="135"/>
    </row>
    <row r="23410" spans="20:21" ht="15" customHeight="1" x14ac:dyDescent="0.25">
      <c r="T23410" s="135"/>
      <c r="U23410" s="135"/>
    </row>
    <row r="23411" spans="20:21" ht="15" customHeight="1" x14ac:dyDescent="0.25">
      <c r="T23411" s="135"/>
      <c r="U23411" s="135"/>
    </row>
    <row r="23412" spans="20:21" ht="15" customHeight="1" x14ac:dyDescent="0.25">
      <c r="T23412" s="135"/>
      <c r="U23412" s="135"/>
    </row>
    <row r="23413" spans="20:21" ht="15" customHeight="1" x14ac:dyDescent="0.25">
      <c r="T23413" s="135"/>
      <c r="U23413" s="135"/>
    </row>
    <row r="23414" spans="20:21" ht="15" customHeight="1" x14ac:dyDescent="0.25">
      <c r="T23414" s="135"/>
      <c r="U23414" s="135"/>
    </row>
    <row r="23415" spans="20:21" ht="15" customHeight="1" x14ac:dyDescent="0.25">
      <c r="T23415" s="135"/>
      <c r="U23415" s="135"/>
    </row>
    <row r="23416" spans="20:21" ht="15" customHeight="1" x14ac:dyDescent="0.25">
      <c r="T23416" s="135"/>
      <c r="U23416" s="135"/>
    </row>
    <row r="23417" spans="20:21" ht="15" customHeight="1" x14ac:dyDescent="0.25">
      <c r="T23417" s="135"/>
      <c r="U23417" s="135"/>
    </row>
    <row r="23418" spans="20:21" ht="15" customHeight="1" x14ac:dyDescent="0.25">
      <c r="T23418" s="135"/>
      <c r="U23418" s="135"/>
    </row>
    <row r="23419" spans="20:21" ht="15" customHeight="1" x14ac:dyDescent="0.25">
      <c r="T23419" s="135"/>
      <c r="U23419" s="135"/>
    </row>
    <row r="23420" spans="20:21" ht="15" customHeight="1" x14ac:dyDescent="0.25">
      <c r="T23420" s="135"/>
      <c r="U23420" s="135"/>
    </row>
    <row r="23421" spans="20:21" ht="15" customHeight="1" x14ac:dyDescent="0.25">
      <c r="T23421" s="135"/>
      <c r="U23421" s="135"/>
    </row>
    <row r="23422" spans="20:21" ht="15" customHeight="1" x14ac:dyDescent="0.25">
      <c r="T23422" s="135"/>
      <c r="U23422" s="135"/>
    </row>
    <row r="23423" spans="20:21" ht="15" customHeight="1" x14ac:dyDescent="0.25">
      <c r="T23423" s="135"/>
      <c r="U23423" s="135"/>
    </row>
    <row r="23424" spans="20:21" ht="15" customHeight="1" x14ac:dyDescent="0.25">
      <c r="T23424" s="135"/>
      <c r="U23424" s="135"/>
    </row>
    <row r="23425" spans="20:21" ht="15" customHeight="1" x14ac:dyDescent="0.25">
      <c r="T23425" s="135"/>
      <c r="U23425" s="135"/>
    </row>
    <row r="23426" spans="20:21" ht="15" customHeight="1" x14ac:dyDescent="0.25">
      <c r="T23426" s="135"/>
      <c r="U23426" s="135"/>
    </row>
    <row r="23427" spans="20:21" ht="15" customHeight="1" x14ac:dyDescent="0.25">
      <c r="T23427" s="135"/>
      <c r="U23427" s="135"/>
    </row>
    <row r="23428" spans="20:21" ht="15" customHeight="1" x14ac:dyDescent="0.25">
      <c r="T23428" s="135"/>
      <c r="U23428" s="135"/>
    </row>
    <row r="23429" spans="20:21" ht="15" customHeight="1" x14ac:dyDescent="0.25">
      <c r="T23429" s="135"/>
      <c r="U23429" s="135"/>
    </row>
    <row r="23430" spans="20:21" ht="15" customHeight="1" x14ac:dyDescent="0.25">
      <c r="T23430" s="135"/>
      <c r="U23430" s="135"/>
    </row>
    <row r="23431" spans="20:21" ht="15" customHeight="1" x14ac:dyDescent="0.25">
      <c r="T23431" s="135"/>
      <c r="U23431" s="135"/>
    </row>
    <row r="23432" spans="20:21" ht="15" customHeight="1" x14ac:dyDescent="0.25">
      <c r="T23432" s="135"/>
      <c r="U23432" s="135"/>
    </row>
    <row r="23433" spans="20:21" ht="15" customHeight="1" x14ac:dyDescent="0.25">
      <c r="T23433" s="135"/>
      <c r="U23433" s="135"/>
    </row>
    <row r="23434" spans="20:21" ht="15" customHeight="1" x14ac:dyDescent="0.25">
      <c r="T23434" s="135"/>
      <c r="U23434" s="135"/>
    </row>
    <row r="23435" spans="20:21" ht="15" customHeight="1" x14ac:dyDescent="0.25">
      <c r="T23435" s="135"/>
      <c r="U23435" s="135"/>
    </row>
    <row r="23436" spans="20:21" ht="15" customHeight="1" x14ac:dyDescent="0.25">
      <c r="T23436" s="135"/>
      <c r="U23436" s="135"/>
    </row>
    <row r="23437" spans="20:21" ht="15" customHeight="1" x14ac:dyDescent="0.25">
      <c r="T23437" s="135"/>
      <c r="U23437" s="135"/>
    </row>
    <row r="23438" spans="20:21" ht="15" customHeight="1" x14ac:dyDescent="0.25">
      <c r="T23438" s="135"/>
      <c r="U23438" s="135"/>
    </row>
    <row r="23439" spans="20:21" ht="15" customHeight="1" x14ac:dyDescent="0.25">
      <c r="T23439" s="135"/>
      <c r="U23439" s="135"/>
    </row>
    <row r="23440" spans="20:21" ht="15" customHeight="1" x14ac:dyDescent="0.25">
      <c r="T23440" s="135"/>
      <c r="U23440" s="135"/>
    </row>
    <row r="23441" spans="20:21" ht="15" customHeight="1" x14ac:dyDescent="0.25">
      <c r="T23441" s="135"/>
      <c r="U23441" s="135"/>
    </row>
    <row r="23442" spans="20:21" ht="15" customHeight="1" x14ac:dyDescent="0.25">
      <c r="T23442" s="135"/>
      <c r="U23442" s="135"/>
    </row>
    <row r="23443" spans="20:21" ht="15" customHeight="1" x14ac:dyDescent="0.25">
      <c r="T23443" s="135"/>
      <c r="U23443" s="135"/>
    </row>
    <row r="23444" spans="20:21" ht="15" customHeight="1" x14ac:dyDescent="0.25">
      <c r="T23444" s="135"/>
      <c r="U23444" s="135"/>
    </row>
    <row r="23445" spans="20:21" ht="15" customHeight="1" x14ac:dyDescent="0.25">
      <c r="T23445" s="135"/>
      <c r="U23445" s="135"/>
    </row>
    <row r="23446" spans="20:21" ht="15" customHeight="1" x14ac:dyDescent="0.25">
      <c r="T23446" s="135"/>
      <c r="U23446" s="135"/>
    </row>
    <row r="23447" spans="20:21" ht="15" customHeight="1" x14ac:dyDescent="0.25">
      <c r="T23447" s="135"/>
      <c r="U23447" s="135"/>
    </row>
    <row r="23448" spans="20:21" ht="15" customHeight="1" x14ac:dyDescent="0.25">
      <c r="T23448" s="135"/>
      <c r="U23448" s="135"/>
    </row>
    <row r="23449" spans="20:21" ht="15" customHeight="1" x14ac:dyDescent="0.25">
      <c r="T23449" s="135"/>
      <c r="U23449" s="135"/>
    </row>
    <row r="23450" spans="20:21" ht="15" customHeight="1" x14ac:dyDescent="0.25">
      <c r="T23450" s="135"/>
      <c r="U23450" s="135"/>
    </row>
    <row r="23451" spans="20:21" ht="15" customHeight="1" x14ac:dyDescent="0.25">
      <c r="T23451" s="135"/>
      <c r="U23451" s="135"/>
    </row>
    <row r="23452" spans="20:21" ht="15" customHeight="1" x14ac:dyDescent="0.25">
      <c r="T23452" s="135"/>
      <c r="U23452" s="135"/>
    </row>
    <row r="23453" spans="20:21" ht="15" customHeight="1" x14ac:dyDescent="0.25">
      <c r="T23453" s="135"/>
      <c r="U23453" s="135"/>
    </row>
    <row r="23454" spans="20:21" ht="15" customHeight="1" x14ac:dyDescent="0.25">
      <c r="T23454" s="135"/>
      <c r="U23454" s="135"/>
    </row>
    <row r="23455" spans="20:21" ht="15" customHeight="1" x14ac:dyDescent="0.25">
      <c r="T23455" s="135"/>
      <c r="U23455" s="135"/>
    </row>
    <row r="23456" spans="20:21" ht="15" customHeight="1" x14ac:dyDescent="0.25">
      <c r="T23456" s="135"/>
      <c r="U23456" s="135"/>
    </row>
    <row r="23457" spans="20:21" ht="15" customHeight="1" x14ac:dyDescent="0.25">
      <c r="T23457" s="135"/>
      <c r="U23457" s="135"/>
    </row>
    <row r="23458" spans="20:21" ht="15" customHeight="1" x14ac:dyDescent="0.25">
      <c r="T23458" s="135"/>
      <c r="U23458" s="135"/>
    </row>
    <row r="23459" spans="20:21" ht="15" customHeight="1" x14ac:dyDescent="0.25">
      <c r="T23459" s="135"/>
      <c r="U23459" s="135"/>
    </row>
    <row r="23460" spans="20:21" ht="15" customHeight="1" x14ac:dyDescent="0.25">
      <c r="T23460" s="135"/>
      <c r="U23460" s="135"/>
    </row>
    <row r="23461" spans="20:21" ht="15" customHeight="1" x14ac:dyDescent="0.25">
      <c r="T23461" s="135"/>
      <c r="U23461" s="135"/>
    </row>
    <row r="23462" spans="20:21" ht="15" customHeight="1" x14ac:dyDescent="0.25">
      <c r="T23462" s="135"/>
      <c r="U23462" s="135"/>
    </row>
    <row r="23463" spans="20:21" ht="15" customHeight="1" x14ac:dyDescent="0.25">
      <c r="T23463" s="135"/>
      <c r="U23463" s="135"/>
    </row>
    <row r="23464" spans="20:21" ht="15" customHeight="1" x14ac:dyDescent="0.25">
      <c r="T23464" s="135"/>
      <c r="U23464" s="135"/>
    </row>
    <row r="23465" spans="20:21" ht="15" customHeight="1" x14ac:dyDescent="0.25">
      <c r="T23465" s="135"/>
      <c r="U23465" s="135"/>
    </row>
    <row r="23466" spans="20:21" ht="15" customHeight="1" x14ac:dyDescent="0.25">
      <c r="T23466" s="135"/>
      <c r="U23466" s="135"/>
    </row>
    <row r="23467" spans="20:21" ht="15" customHeight="1" x14ac:dyDescent="0.25">
      <c r="T23467" s="135"/>
      <c r="U23467" s="135"/>
    </row>
    <row r="23468" spans="20:21" ht="15" customHeight="1" x14ac:dyDescent="0.25">
      <c r="T23468" s="135"/>
      <c r="U23468" s="135"/>
    </row>
    <row r="23469" spans="20:21" ht="15" customHeight="1" x14ac:dyDescent="0.25">
      <c r="T23469" s="135"/>
      <c r="U23469" s="135"/>
    </row>
    <row r="23470" spans="20:21" ht="15" customHeight="1" x14ac:dyDescent="0.25">
      <c r="T23470" s="135"/>
      <c r="U23470" s="135"/>
    </row>
    <row r="23471" spans="20:21" ht="15" customHeight="1" x14ac:dyDescent="0.25">
      <c r="T23471" s="135"/>
      <c r="U23471" s="135"/>
    </row>
    <row r="23472" spans="20:21" ht="15" customHeight="1" x14ac:dyDescent="0.25">
      <c r="T23472" s="135"/>
      <c r="U23472" s="135"/>
    </row>
    <row r="23473" spans="20:21" ht="15" customHeight="1" x14ac:dyDescent="0.25">
      <c r="T23473" s="135"/>
      <c r="U23473" s="135"/>
    </row>
    <row r="23474" spans="20:21" ht="15" customHeight="1" x14ac:dyDescent="0.25">
      <c r="T23474" s="135"/>
      <c r="U23474" s="135"/>
    </row>
    <row r="23475" spans="20:21" ht="15" customHeight="1" x14ac:dyDescent="0.25">
      <c r="T23475" s="135"/>
      <c r="U23475" s="135"/>
    </row>
    <row r="23476" spans="20:21" ht="15" customHeight="1" x14ac:dyDescent="0.25">
      <c r="T23476" s="135"/>
      <c r="U23476" s="135"/>
    </row>
    <row r="23477" spans="20:21" ht="15" customHeight="1" x14ac:dyDescent="0.25">
      <c r="T23477" s="135"/>
      <c r="U23477" s="135"/>
    </row>
    <row r="23478" spans="20:21" ht="15" customHeight="1" x14ac:dyDescent="0.25">
      <c r="T23478" s="135"/>
      <c r="U23478" s="135"/>
    </row>
    <row r="23479" spans="20:21" ht="15" customHeight="1" x14ac:dyDescent="0.25">
      <c r="T23479" s="135"/>
      <c r="U23479" s="135"/>
    </row>
    <row r="23480" spans="20:21" ht="15" customHeight="1" x14ac:dyDescent="0.25">
      <c r="T23480" s="135"/>
      <c r="U23480" s="135"/>
    </row>
    <row r="23481" spans="20:21" ht="15" customHeight="1" x14ac:dyDescent="0.25">
      <c r="T23481" s="135"/>
      <c r="U23481" s="135"/>
    </row>
    <row r="23482" spans="20:21" ht="15" customHeight="1" x14ac:dyDescent="0.25">
      <c r="T23482" s="135"/>
      <c r="U23482" s="135"/>
    </row>
    <row r="23483" spans="20:21" ht="15" customHeight="1" x14ac:dyDescent="0.25">
      <c r="T23483" s="135"/>
      <c r="U23483" s="135"/>
    </row>
    <row r="23484" spans="20:21" ht="15" customHeight="1" x14ac:dyDescent="0.25">
      <c r="T23484" s="135"/>
      <c r="U23484" s="135"/>
    </row>
    <row r="23485" spans="20:21" ht="15" customHeight="1" x14ac:dyDescent="0.25">
      <c r="T23485" s="135"/>
      <c r="U23485" s="135"/>
    </row>
    <row r="23486" spans="20:21" ht="15" customHeight="1" x14ac:dyDescent="0.25">
      <c r="T23486" s="135"/>
      <c r="U23486" s="135"/>
    </row>
    <row r="23487" spans="20:21" ht="15" customHeight="1" x14ac:dyDescent="0.25">
      <c r="T23487" s="135"/>
      <c r="U23487" s="135"/>
    </row>
    <row r="23488" spans="20:21" ht="15" customHeight="1" x14ac:dyDescent="0.25">
      <c r="T23488" s="135"/>
      <c r="U23488" s="135"/>
    </row>
    <row r="23489" spans="20:21" ht="15" customHeight="1" x14ac:dyDescent="0.25">
      <c r="T23489" s="135"/>
      <c r="U23489" s="135"/>
    </row>
    <row r="23490" spans="20:21" ht="15" customHeight="1" x14ac:dyDescent="0.25">
      <c r="T23490" s="135"/>
      <c r="U23490" s="135"/>
    </row>
    <row r="23491" spans="20:21" ht="15" customHeight="1" x14ac:dyDescent="0.25">
      <c r="T23491" s="135"/>
      <c r="U23491" s="135"/>
    </row>
    <row r="23492" spans="20:21" ht="15" customHeight="1" x14ac:dyDescent="0.25">
      <c r="T23492" s="135"/>
      <c r="U23492" s="135"/>
    </row>
    <row r="23493" spans="20:21" ht="15" customHeight="1" x14ac:dyDescent="0.25">
      <c r="T23493" s="135"/>
      <c r="U23493" s="135"/>
    </row>
    <row r="23494" spans="20:21" ht="15" customHeight="1" x14ac:dyDescent="0.25">
      <c r="T23494" s="135"/>
      <c r="U23494" s="135"/>
    </row>
    <row r="23495" spans="20:21" ht="15" customHeight="1" x14ac:dyDescent="0.25">
      <c r="T23495" s="135"/>
      <c r="U23495" s="135"/>
    </row>
    <row r="23496" spans="20:21" ht="15" customHeight="1" x14ac:dyDescent="0.25">
      <c r="T23496" s="135"/>
      <c r="U23496" s="135"/>
    </row>
    <row r="23497" spans="20:21" ht="15" customHeight="1" x14ac:dyDescent="0.25">
      <c r="T23497" s="135"/>
      <c r="U23497" s="135"/>
    </row>
    <row r="23498" spans="20:21" ht="15" customHeight="1" x14ac:dyDescent="0.25">
      <c r="T23498" s="135"/>
      <c r="U23498" s="135"/>
    </row>
    <row r="23499" spans="20:21" ht="15" customHeight="1" x14ac:dyDescent="0.25">
      <c r="T23499" s="135"/>
      <c r="U23499" s="135"/>
    </row>
    <row r="23500" spans="20:21" ht="15" customHeight="1" x14ac:dyDescent="0.25">
      <c r="T23500" s="135"/>
      <c r="U23500" s="135"/>
    </row>
    <row r="23501" spans="20:21" ht="15" customHeight="1" x14ac:dyDescent="0.25">
      <c r="T23501" s="135"/>
      <c r="U23501" s="135"/>
    </row>
    <row r="23502" spans="20:21" ht="15" customHeight="1" x14ac:dyDescent="0.25">
      <c r="T23502" s="135"/>
      <c r="U23502" s="135"/>
    </row>
    <row r="23503" spans="20:21" ht="15" customHeight="1" x14ac:dyDescent="0.25">
      <c r="T23503" s="135"/>
      <c r="U23503" s="135"/>
    </row>
    <row r="23504" spans="20:21" ht="15" customHeight="1" x14ac:dyDescent="0.25">
      <c r="T23504" s="135"/>
      <c r="U23504" s="135"/>
    </row>
    <row r="23505" spans="20:21" ht="15" customHeight="1" x14ac:dyDescent="0.25">
      <c r="T23505" s="135"/>
      <c r="U23505" s="135"/>
    </row>
    <row r="23506" spans="20:21" ht="15" customHeight="1" x14ac:dyDescent="0.25">
      <c r="T23506" s="135"/>
      <c r="U23506" s="135"/>
    </row>
    <row r="23507" spans="20:21" ht="15" customHeight="1" x14ac:dyDescent="0.25">
      <c r="T23507" s="135"/>
      <c r="U23507" s="135"/>
    </row>
    <row r="23508" spans="20:21" ht="15" customHeight="1" x14ac:dyDescent="0.25">
      <c r="T23508" s="135"/>
      <c r="U23508" s="135"/>
    </row>
    <row r="23509" spans="20:21" ht="15" customHeight="1" x14ac:dyDescent="0.25">
      <c r="T23509" s="135"/>
      <c r="U23509" s="135"/>
    </row>
    <row r="23510" spans="20:21" ht="15" customHeight="1" x14ac:dyDescent="0.25">
      <c r="T23510" s="135"/>
      <c r="U23510" s="135"/>
    </row>
    <row r="23511" spans="20:21" ht="15" customHeight="1" x14ac:dyDescent="0.25">
      <c r="T23511" s="135"/>
      <c r="U23511" s="135"/>
    </row>
    <row r="23512" spans="20:21" ht="15" customHeight="1" x14ac:dyDescent="0.25">
      <c r="T23512" s="135"/>
      <c r="U23512" s="135"/>
    </row>
    <row r="23513" spans="20:21" ht="15" customHeight="1" x14ac:dyDescent="0.25">
      <c r="T23513" s="135"/>
      <c r="U23513" s="135"/>
    </row>
    <row r="23514" spans="20:21" ht="15" customHeight="1" x14ac:dyDescent="0.25">
      <c r="T23514" s="135"/>
      <c r="U23514" s="135"/>
    </row>
    <row r="23515" spans="20:21" ht="15" customHeight="1" x14ac:dyDescent="0.25">
      <c r="T23515" s="135"/>
      <c r="U23515" s="135"/>
    </row>
    <row r="23516" spans="20:21" ht="15" customHeight="1" x14ac:dyDescent="0.25">
      <c r="T23516" s="135"/>
      <c r="U23516" s="135"/>
    </row>
    <row r="23517" spans="20:21" ht="15" customHeight="1" x14ac:dyDescent="0.25">
      <c r="T23517" s="135"/>
      <c r="U23517" s="135"/>
    </row>
    <row r="23518" spans="20:21" ht="15" customHeight="1" x14ac:dyDescent="0.25">
      <c r="T23518" s="135"/>
      <c r="U23518" s="135"/>
    </row>
    <row r="23519" spans="20:21" ht="15" customHeight="1" x14ac:dyDescent="0.25">
      <c r="T23519" s="135"/>
      <c r="U23519" s="135"/>
    </row>
    <row r="23520" spans="20:21" ht="15" customHeight="1" x14ac:dyDescent="0.25">
      <c r="T23520" s="135"/>
      <c r="U23520" s="135"/>
    </row>
    <row r="23521" spans="20:21" ht="15" customHeight="1" x14ac:dyDescent="0.25">
      <c r="T23521" s="135"/>
      <c r="U23521" s="135"/>
    </row>
    <row r="23522" spans="20:21" ht="15" customHeight="1" x14ac:dyDescent="0.25">
      <c r="T23522" s="135"/>
      <c r="U23522" s="135"/>
    </row>
    <row r="23523" spans="20:21" ht="15" customHeight="1" x14ac:dyDescent="0.25">
      <c r="T23523" s="135"/>
      <c r="U23523" s="135"/>
    </row>
    <row r="23524" spans="20:21" ht="15" customHeight="1" x14ac:dyDescent="0.25">
      <c r="T23524" s="135"/>
      <c r="U23524" s="135"/>
    </row>
    <row r="23525" spans="20:21" ht="15" customHeight="1" x14ac:dyDescent="0.25">
      <c r="T23525" s="135"/>
      <c r="U23525" s="135"/>
    </row>
    <row r="23526" spans="20:21" ht="15" customHeight="1" x14ac:dyDescent="0.25">
      <c r="T23526" s="135"/>
      <c r="U23526" s="135"/>
    </row>
    <row r="23527" spans="20:21" ht="15" customHeight="1" x14ac:dyDescent="0.25">
      <c r="T23527" s="135"/>
      <c r="U23527" s="135"/>
    </row>
    <row r="23528" spans="20:21" ht="15" customHeight="1" x14ac:dyDescent="0.25">
      <c r="T23528" s="135"/>
      <c r="U23528" s="135"/>
    </row>
    <row r="23529" spans="20:21" ht="15" customHeight="1" x14ac:dyDescent="0.25">
      <c r="T23529" s="135"/>
      <c r="U23529" s="135"/>
    </row>
    <row r="23530" spans="20:21" ht="15" customHeight="1" x14ac:dyDescent="0.25">
      <c r="T23530" s="135"/>
      <c r="U23530" s="135"/>
    </row>
    <row r="23531" spans="20:21" ht="15" customHeight="1" x14ac:dyDescent="0.25">
      <c r="T23531" s="135"/>
      <c r="U23531" s="135"/>
    </row>
    <row r="23532" spans="20:21" ht="15" customHeight="1" x14ac:dyDescent="0.25">
      <c r="T23532" s="135"/>
      <c r="U23532" s="135"/>
    </row>
    <row r="23533" spans="20:21" ht="15" customHeight="1" x14ac:dyDescent="0.25">
      <c r="T23533" s="135"/>
      <c r="U23533" s="135"/>
    </row>
    <row r="23534" spans="20:21" ht="15" customHeight="1" x14ac:dyDescent="0.25">
      <c r="T23534" s="135"/>
      <c r="U23534" s="135"/>
    </row>
    <row r="23535" spans="20:21" ht="15" customHeight="1" x14ac:dyDescent="0.25">
      <c r="T23535" s="135"/>
      <c r="U23535" s="135"/>
    </row>
    <row r="23536" spans="20:21" ht="15" customHeight="1" x14ac:dyDescent="0.25">
      <c r="T23536" s="135"/>
      <c r="U23536" s="135"/>
    </row>
    <row r="23537" spans="20:21" ht="15" customHeight="1" x14ac:dyDescent="0.25">
      <c r="T23537" s="135"/>
      <c r="U23537" s="135"/>
    </row>
    <row r="23538" spans="20:21" ht="15" customHeight="1" x14ac:dyDescent="0.25">
      <c r="T23538" s="135"/>
      <c r="U23538" s="135"/>
    </row>
    <row r="23539" spans="20:21" ht="15" customHeight="1" x14ac:dyDescent="0.25">
      <c r="T23539" s="135"/>
      <c r="U23539" s="135"/>
    </row>
    <row r="23540" spans="20:21" ht="15" customHeight="1" x14ac:dyDescent="0.25">
      <c r="T23540" s="135"/>
      <c r="U23540" s="135"/>
    </row>
    <row r="23541" spans="20:21" ht="15" customHeight="1" x14ac:dyDescent="0.25">
      <c r="T23541" s="135"/>
      <c r="U23541" s="135"/>
    </row>
    <row r="23542" spans="20:21" ht="15" customHeight="1" x14ac:dyDescent="0.25">
      <c r="T23542" s="135"/>
      <c r="U23542" s="135"/>
    </row>
    <row r="23543" spans="20:21" ht="15" customHeight="1" x14ac:dyDescent="0.25">
      <c r="T23543" s="135"/>
      <c r="U23543" s="135"/>
    </row>
    <row r="23544" spans="20:21" ht="15" customHeight="1" x14ac:dyDescent="0.25">
      <c r="T23544" s="135"/>
      <c r="U23544" s="135"/>
    </row>
    <row r="23545" spans="20:21" ht="15" customHeight="1" x14ac:dyDescent="0.25">
      <c r="T23545" s="135"/>
      <c r="U23545" s="135"/>
    </row>
    <row r="23546" spans="20:21" ht="15" customHeight="1" x14ac:dyDescent="0.25">
      <c r="T23546" s="135"/>
      <c r="U23546" s="135"/>
    </row>
    <row r="23547" spans="20:21" ht="15" customHeight="1" x14ac:dyDescent="0.25">
      <c r="T23547" s="135"/>
      <c r="U23547" s="135"/>
    </row>
    <row r="23548" spans="20:21" ht="15" customHeight="1" x14ac:dyDescent="0.25">
      <c r="T23548" s="135"/>
      <c r="U23548" s="135"/>
    </row>
    <row r="23549" spans="20:21" ht="15" customHeight="1" x14ac:dyDescent="0.25">
      <c r="T23549" s="135"/>
      <c r="U23549" s="135"/>
    </row>
    <row r="23550" spans="20:21" ht="15" customHeight="1" x14ac:dyDescent="0.25">
      <c r="T23550" s="135"/>
      <c r="U23550" s="135"/>
    </row>
    <row r="23551" spans="20:21" ht="15" customHeight="1" x14ac:dyDescent="0.25">
      <c r="T23551" s="135"/>
      <c r="U23551" s="135"/>
    </row>
    <row r="23552" spans="20:21" ht="15" customHeight="1" x14ac:dyDescent="0.25">
      <c r="T23552" s="135"/>
      <c r="U23552" s="135"/>
    </row>
    <row r="23553" spans="20:21" ht="15" customHeight="1" x14ac:dyDescent="0.25">
      <c r="T23553" s="135"/>
      <c r="U23553" s="135"/>
    </row>
    <row r="23554" spans="20:21" ht="15" customHeight="1" x14ac:dyDescent="0.25">
      <c r="T23554" s="135"/>
      <c r="U23554" s="135"/>
    </row>
    <row r="23555" spans="20:21" ht="15" customHeight="1" x14ac:dyDescent="0.25">
      <c r="T23555" s="135"/>
      <c r="U23555" s="135"/>
    </row>
    <row r="23556" spans="20:21" ht="15" customHeight="1" x14ac:dyDescent="0.25">
      <c r="T23556" s="135"/>
      <c r="U23556" s="135"/>
    </row>
    <row r="23557" spans="20:21" ht="15" customHeight="1" x14ac:dyDescent="0.25">
      <c r="T23557" s="135"/>
      <c r="U23557" s="135"/>
    </row>
    <row r="23558" spans="20:21" ht="15" customHeight="1" x14ac:dyDescent="0.25">
      <c r="T23558" s="135"/>
      <c r="U23558" s="135"/>
    </row>
    <row r="23559" spans="20:21" ht="15" customHeight="1" x14ac:dyDescent="0.25">
      <c r="T23559" s="135"/>
      <c r="U23559" s="135"/>
    </row>
    <row r="23560" spans="20:21" ht="15" customHeight="1" x14ac:dyDescent="0.25">
      <c r="T23560" s="135"/>
      <c r="U23560" s="135"/>
    </row>
    <row r="23561" spans="20:21" ht="15" customHeight="1" x14ac:dyDescent="0.25">
      <c r="T23561" s="135"/>
      <c r="U23561" s="135"/>
    </row>
    <row r="23562" spans="20:21" ht="15" customHeight="1" x14ac:dyDescent="0.25">
      <c r="T23562" s="135"/>
      <c r="U23562" s="135"/>
    </row>
    <row r="23563" spans="20:21" ht="15" customHeight="1" x14ac:dyDescent="0.25">
      <c r="T23563" s="135"/>
      <c r="U23563" s="135"/>
    </row>
    <row r="23564" spans="20:21" ht="15" customHeight="1" x14ac:dyDescent="0.25">
      <c r="T23564" s="135"/>
      <c r="U23564" s="135"/>
    </row>
    <row r="23565" spans="20:21" ht="15" customHeight="1" x14ac:dyDescent="0.25">
      <c r="T23565" s="135"/>
      <c r="U23565" s="135"/>
    </row>
    <row r="23566" spans="20:21" ht="15" customHeight="1" x14ac:dyDescent="0.25">
      <c r="T23566" s="135"/>
      <c r="U23566" s="135"/>
    </row>
    <row r="23567" spans="20:21" ht="15" customHeight="1" x14ac:dyDescent="0.25">
      <c r="T23567" s="135"/>
      <c r="U23567" s="135"/>
    </row>
    <row r="23568" spans="20:21" ht="15" customHeight="1" x14ac:dyDescent="0.25">
      <c r="T23568" s="135"/>
      <c r="U23568" s="135"/>
    </row>
    <row r="23569" spans="20:21" ht="15" customHeight="1" x14ac:dyDescent="0.25">
      <c r="T23569" s="135"/>
      <c r="U23569" s="135"/>
    </row>
    <row r="23570" spans="20:21" ht="15" customHeight="1" x14ac:dyDescent="0.25">
      <c r="T23570" s="135"/>
      <c r="U23570" s="135"/>
    </row>
    <row r="23571" spans="20:21" ht="15" customHeight="1" x14ac:dyDescent="0.25">
      <c r="T23571" s="135"/>
      <c r="U23571" s="135"/>
    </row>
    <row r="23572" spans="20:21" ht="15" customHeight="1" x14ac:dyDescent="0.25">
      <c r="T23572" s="135"/>
      <c r="U23572" s="135"/>
    </row>
    <row r="23573" spans="20:21" ht="15" customHeight="1" x14ac:dyDescent="0.25">
      <c r="T23573" s="135"/>
      <c r="U23573" s="135"/>
    </row>
    <row r="23574" spans="20:21" ht="15" customHeight="1" x14ac:dyDescent="0.25">
      <c r="T23574" s="135"/>
      <c r="U23574" s="135"/>
    </row>
    <row r="23575" spans="20:21" ht="15" customHeight="1" x14ac:dyDescent="0.25">
      <c r="T23575" s="135"/>
      <c r="U23575" s="135"/>
    </row>
    <row r="23576" spans="20:21" ht="15" customHeight="1" x14ac:dyDescent="0.25">
      <c r="T23576" s="135"/>
      <c r="U23576" s="135"/>
    </row>
    <row r="23577" spans="20:21" ht="15" customHeight="1" x14ac:dyDescent="0.25">
      <c r="T23577" s="135"/>
      <c r="U23577" s="135"/>
    </row>
    <row r="23578" spans="20:21" ht="15" customHeight="1" x14ac:dyDescent="0.25">
      <c r="T23578" s="135"/>
      <c r="U23578" s="135"/>
    </row>
    <row r="23579" spans="20:21" ht="15" customHeight="1" x14ac:dyDescent="0.25">
      <c r="T23579" s="135"/>
      <c r="U23579" s="135"/>
    </row>
    <row r="23580" spans="20:21" ht="15" customHeight="1" x14ac:dyDescent="0.25">
      <c r="T23580" s="135"/>
      <c r="U23580" s="135"/>
    </row>
    <row r="23581" spans="20:21" ht="15" customHeight="1" x14ac:dyDescent="0.25">
      <c r="T23581" s="135"/>
      <c r="U23581" s="135"/>
    </row>
    <row r="23582" spans="20:21" ht="15" customHeight="1" x14ac:dyDescent="0.25">
      <c r="T23582" s="135"/>
      <c r="U23582" s="135"/>
    </row>
    <row r="23583" spans="20:21" ht="15" customHeight="1" x14ac:dyDescent="0.25">
      <c r="T23583" s="135"/>
      <c r="U23583" s="135"/>
    </row>
    <row r="23584" spans="20:21" ht="15" customHeight="1" x14ac:dyDescent="0.25">
      <c r="T23584" s="135"/>
      <c r="U23584" s="135"/>
    </row>
    <row r="23585" spans="20:21" ht="15" customHeight="1" x14ac:dyDescent="0.25">
      <c r="T23585" s="135"/>
      <c r="U23585" s="135"/>
    </row>
    <row r="23586" spans="20:21" ht="15" customHeight="1" x14ac:dyDescent="0.25">
      <c r="T23586" s="135"/>
      <c r="U23586" s="135"/>
    </row>
    <row r="23587" spans="20:21" ht="15" customHeight="1" x14ac:dyDescent="0.25">
      <c r="T23587" s="135"/>
      <c r="U23587" s="135"/>
    </row>
    <row r="23588" spans="20:21" ht="15" customHeight="1" x14ac:dyDescent="0.25">
      <c r="T23588" s="135"/>
      <c r="U23588" s="135"/>
    </row>
    <row r="23589" spans="20:21" ht="15" customHeight="1" x14ac:dyDescent="0.25">
      <c r="T23589" s="135"/>
      <c r="U23589" s="135"/>
    </row>
    <row r="23590" spans="20:21" ht="15" customHeight="1" x14ac:dyDescent="0.25">
      <c r="T23590" s="135"/>
      <c r="U23590" s="135"/>
    </row>
    <row r="23591" spans="20:21" ht="15" customHeight="1" x14ac:dyDescent="0.25">
      <c r="T23591" s="135"/>
      <c r="U23591" s="135"/>
    </row>
    <row r="23592" spans="20:21" ht="15" customHeight="1" x14ac:dyDescent="0.25">
      <c r="T23592" s="135"/>
      <c r="U23592" s="135"/>
    </row>
    <row r="23593" spans="20:21" ht="15" customHeight="1" x14ac:dyDescent="0.25">
      <c r="T23593" s="135"/>
      <c r="U23593" s="135"/>
    </row>
    <row r="23594" spans="20:21" ht="15" customHeight="1" x14ac:dyDescent="0.25">
      <c r="T23594" s="135"/>
      <c r="U23594" s="135"/>
    </row>
    <row r="23595" spans="20:21" ht="15" customHeight="1" x14ac:dyDescent="0.25">
      <c r="T23595" s="135"/>
      <c r="U23595" s="135"/>
    </row>
    <row r="23596" spans="20:21" ht="15" customHeight="1" x14ac:dyDescent="0.25">
      <c r="T23596" s="135"/>
      <c r="U23596" s="135"/>
    </row>
    <row r="23597" spans="20:21" ht="15" customHeight="1" x14ac:dyDescent="0.25">
      <c r="T23597" s="135"/>
      <c r="U23597" s="135"/>
    </row>
    <row r="23598" spans="20:21" ht="15" customHeight="1" x14ac:dyDescent="0.25">
      <c r="T23598" s="135"/>
      <c r="U23598" s="135"/>
    </row>
    <row r="23599" spans="20:21" ht="15" customHeight="1" x14ac:dyDescent="0.25">
      <c r="T23599" s="135"/>
      <c r="U23599" s="135"/>
    </row>
    <row r="23600" spans="20:21" ht="15" customHeight="1" x14ac:dyDescent="0.25">
      <c r="T23600" s="135"/>
      <c r="U23600" s="135"/>
    </row>
    <row r="23601" spans="20:21" ht="15" customHeight="1" x14ac:dyDescent="0.25">
      <c r="T23601" s="135"/>
      <c r="U23601" s="135"/>
    </row>
    <row r="23602" spans="20:21" ht="15" customHeight="1" x14ac:dyDescent="0.25">
      <c r="T23602" s="135"/>
      <c r="U23602" s="135"/>
    </row>
    <row r="23603" spans="20:21" ht="15" customHeight="1" x14ac:dyDescent="0.25">
      <c r="T23603" s="135"/>
      <c r="U23603" s="135"/>
    </row>
    <row r="23604" spans="20:21" ht="15" customHeight="1" x14ac:dyDescent="0.25">
      <c r="T23604" s="135"/>
      <c r="U23604" s="135"/>
    </row>
    <row r="23605" spans="20:21" ht="15" customHeight="1" x14ac:dyDescent="0.25">
      <c r="T23605" s="135"/>
      <c r="U23605" s="135"/>
    </row>
    <row r="23606" spans="20:21" ht="15" customHeight="1" x14ac:dyDescent="0.25">
      <c r="T23606" s="135"/>
      <c r="U23606" s="135"/>
    </row>
    <row r="23607" spans="20:21" ht="15" customHeight="1" x14ac:dyDescent="0.25">
      <c r="T23607" s="135"/>
      <c r="U23607" s="135"/>
    </row>
    <row r="23608" spans="20:21" ht="15" customHeight="1" x14ac:dyDescent="0.25">
      <c r="T23608" s="135"/>
      <c r="U23608" s="135"/>
    </row>
    <row r="23609" spans="20:21" ht="15" customHeight="1" x14ac:dyDescent="0.25">
      <c r="T23609" s="135"/>
      <c r="U23609" s="135"/>
    </row>
    <row r="23610" spans="20:21" ht="15" customHeight="1" x14ac:dyDescent="0.25">
      <c r="T23610" s="135"/>
      <c r="U23610" s="135"/>
    </row>
    <row r="23611" spans="20:21" ht="15" customHeight="1" x14ac:dyDescent="0.25">
      <c r="T23611" s="135"/>
      <c r="U23611" s="135"/>
    </row>
    <row r="23612" spans="20:21" ht="15" customHeight="1" x14ac:dyDescent="0.25">
      <c r="T23612" s="135"/>
      <c r="U23612" s="135"/>
    </row>
    <row r="23613" spans="20:21" ht="15" customHeight="1" x14ac:dyDescent="0.25">
      <c r="T23613" s="135"/>
      <c r="U23613" s="135"/>
    </row>
    <row r="23614" spans="20:21" ht="15" customHeight="1" x14ac:dyDescent="0.25">
      <c r="T23614" s="135"/>
      <c r="U23614" s="135"/>
    </row>
    <row r="23615" spans="20:21" ht="15" customHeight="1" x14ac:dyDescent="0.25">
      <c r="T23615" s="135"/>
      <c r="U23615" s="135"/>
    </row>
    <row r="23616" spans="20:21" ht="15" customHeight="1" x14ac:dyDescent="0.25">
      <c r="T23616" s="135"/>
      <c r="U23616" s="135"/>
    </row>
    <row r="23617" spans="20:21" ht="15" customHeight="1" x14ac:dyDescent="0.25">
      <c r="T23617" s="135"/>
      <c r="U23617" s="135"/>
    </row>
    <row r="23618" spans="20:21" ht="15" customHeight="1" x14ac:dyDescent="0.25">
      <c r="T23618" s="135"/>
      <c r="U23618" s="135"/>
    </row>
    <row r="23619" spans="20:21" ht="15" customHeight="1" x14ac:dyDescent="0.25">
      <c r="T23619" s="135"/>
      <c r="U23619" s="135"/>
    </row>
    <row r="23620" spans="20:21" ht="15" customHeight="1" x14ac:dyDescent="0.25">
      <c r="T23620" s="135"/>
      <c r="U23620" s="135"/>
    </row>
    <row r="23621" spans="20:21" ht="15" customHeight="1" x14ac:dyDescent="0.25">
      <c r="T23621" s="135"/>
      <c r="U23621" s="135"/>
    </row>
    <row r="23622" spans="20:21" ht="15" customHeight="1" x14ac:dyDescent="0.25">
      <c r="T23622" s="135"/>
      <c r="U23622" s="135"/>
    </row>
    <row r="23623" spans="20:21" ht="15" customHeight="1" x14ac:dyDescent="0.25">
      <c r="T23623" s="135"/>
      <c r="U23623" s="135"/>
    </row>
    <row r="23624" spans="20:21" ht="15" customHeight="1" x14ac:dyDescent="0.25">
      <c r="T23624" s="135"/>
      <c r="U23624" s="135"/>
    </row>
    <row r="23625" spans="20:21" ht="15" customHeight="1" x14ac:dyDescent="0.25">
      <c r="T23625" s="135"/>
      <c r="U23625" s="135"/>
    </row>
    <row r="23626" spans="20:21" ht="15" customHeight="1" x14ac:dyDescent="0.25">
      <c r="T23626" s="135"/>
      <c r="U23626" s="135"/>
    </row>
    <row r="23627" spans="20:21" ht="15" customHeight="1" x14ac:dyDescent="0.25">
      <c r="T23627" s="135"/>
      <c r="U23627" s="135"/>
    </row>
    <row r="23628" spans="20:21" ht="15" customHeight="1" x14ac:dyDescent="0.25">
      <c r="T23628" s="135"/>
      <c r="U23628" s="135"/>
    </row>
    <row r="23629" spans="20:21" ht="15" customHeight="1" x14ac:dyDescent="0.25">
      <c r="T23629" s="135"/>
      <c r="U23629" s="135"/>
    </row>
    <row r="23630" spans="20:21" ht="15" customHeight="1" x14ac:dyDescent="0.25">
      <c r="T23630" s="135"/>
      <c r="U23630" s="135"/>
    </row>
    <row r="23631" spans="20:21" ht="15" customHeight="1" x14ac:dyDescent="0.25">
      <c r="T23631" s="135"/>
      <c r="U23631" s="135"/>
    </row>
    <row r="23632" spans="20:21" ht="15" customHeight="1" x14ac:dyDescent="0.25">
      <c r="T23632" s="135"/>
      <c r="U23632" s="135"/>
    </row>
    <row r="23633" spans="20:21" ht="15" customHeight="1" x14ac:dyDescent="0.25">
      <c r="T23633" s="135"/>
      <c r="U23633" s="135"/>
    </row>
    <row r="23634" spans="20:21" ht="15" customHeight="1" x14ac:dyDescent="0.25">
      <c r="T23634" s="135"/>
      <c r="U23634" s="135"/>
    </row>
    <row r="23635" spans="20:21" ht="15" customHeight="1" x14ac:dyDescent="0.25">
      <c r="T23635" s="135"/>
      <c r="U23635" s="135"/>
    </row>
    <row r="23636" spans="20:21" ht="15" customHeight="1" x14ac:dyDescent="0.25">
      <c r="T23636" s="135"/>
      <c r="U23636" s="135"/>
    </row>
    <row r="23637" spans="20:21" ht="15" customHeight="1" x14ac:dyDescent="0.25">
      <c r="T23637" s="135"/>
      <c r="U23637" s="135"/>
    </row>
    <row r="23638" spans="20:21" ht="15" customHeight="1" x14ac:dyDescent="0.25">
      <c r="T23638" s="135"/>
      <c r="U23638" s="135"/>
    </row>
    <row r="23639" spans="20:21" ht="15" customHeight="1" x14ac:dyDescent="0.25">
      <c r="T23639" s="135"/>
      <c r="U23639" s="135"/>
    </row>
    <row r="23640" spans="20:21" ht="15" customHeight="1" x14ac:dyDescent="0.25">
      <c r="T23640" s="135"/>
      <c r="U23640" s="135"/>
    </row>
    <row r="23641" spans="20:21" ht="15" customHeight="1" x14ac:dyDescent="0.25">
      <c r="T23641" s="135"/>
      <c r="U23641" s="135"/>
    </row>
    <row r="23642" spans="20:21" ht="15" customHeight="1" x14ac:dyDescent="0.25">
      <c r="T23642" s="135"/>
      <c r="U23642" s="135"/>
    </row>
    <row r="23643" spans="20:21" ht="15" customHeight="1" x14ac:dyDescent="0.25">
      <c r="T23643" s="135"/>
      <c r="U23643" s="135"/>
    </row>
    <row r="23644" spans="20:21" ht="15" customHeight="1" x14ac:dyDescent="0.25">
      <c r="T23644" s="135"/>
      <c r="U23644" s="135"/>
    </row>
    <row r="23645" spans="20:21" ht="15" customHeight="1" x14ac:dyDescent="0.25">
      <c r="T23645" s="135"/>
      <c r="U23645" s="135"/>
    </row>
    <row r="23646" spans="20:21" ht="15" customHeight="1" x14ac:dyDescent="0.25">
      <c r="T23646" s="135"/>
      <c r="U23646" s="135"/>
    </row>
    <row r="23647" spans="20:21" ht="15" customHeight="1" x14ac:dyDescent="0.25">
      <c r="T23647" s="135"/>
      <c r="U23647" s="135"/>
    </row>
    <row r="23648" spans="20:21" ht="15" customHeight="1" x14ac:dyDescent="0.25">
      <c r="T23648" s="135"/>
      <c r="U23648" s="135"/>
    </row>
    <row r="23649" spans="20:21" ht="15" customHeight="1" x14ac:dyDescent="0.25">
      <c r="T23649" s="135"/>
      <c r="U23649" s="135"/>
    </row>
    <row r="23650" spans="20:21" ht="15" customHeight="1" x14ac:dyDescent="0.25">
      <c r="T23650" s="135"/>
      <c r="U23650" s="135"/>
    </row>
    <row r="23651" spans="20:21" ht="15" customHeight="1" x14ac:dyDescent="0.25">
      <c r="T23651" s="135"/>
      <c r="U23651" s="135"/>
    </row>
    <row r="23652" spans="20:21" ht="15" customHeight="1" x14ac:dyDescent="0.25">
      <c r="T23652" s="135"/>
      <c r="U23652" s="135"/>
    </row>
    <row r="23653" spans="20:21" ht="15" customHeight="1" x14ac:dyDescent="0.25">
      <c r="T23653" s="135"/>
      <c r="U23653" s="135"/>
    </row>
    <row r="23654" spans="20:21" ht="15" customHeight="1" x14ac:dyDescent="0.25">
      <c r="T23654" s="135"/>
      <c r="U23654" s="135"/>
    </row>
    <row r="23655" spans="20:21" ht="15" customHeight="1" x14ac:dyDescent="0.25">
      <c r="T23655" s="135"/>
      <c r="U23655" s="135"/>
    </row>
    <row r="23656" spans="20:21" ht="15" customHeight="1" x14ac:dyDescent="0.25">
      <c r="T23656" s="135"/>
      <c r="U23656" s="135"/>
    </row>
    <row r="23657" spans="20:21" ht="15" customHeight="1" x14ac:dyDescent="0.25">
      <c r="T23657" s="135"/>
      <c r="U23657" s="135"/>
    </row>
    <row r="23658" spans="20:21" ht="15" customHeight="1" x14ac:dyDescent="0.25">
      <c r="T23658" s="135"/>
      <c r="U23658" s="135"/>
    </row>
    <row r="23659" spans="20:21" ht="15" customHeight="1" x14ac:dyDescent="0.25">
      <c r="T23659" s="135"/>
      <c r="U23659" s="135"/>
    </row>
    <row r="23660" spans="20:21" ht="15" customHeight="1" x14ac:dyDescent="0.25">
      <c r="T23660" s="135"/>
      <c r="U23660" s="135"/>
    </row>
    <row r="23661" spans="20:21" ht="15" customHeight="1" x14ac:dyDescent="0.25">
      <c r="T23661" s="135"/>
      <c r="U23661" s="135"/>
    </row>
    <row r="23662" spans="20:21" ht="15" customHeight="1" x14ac:dyDescent="0.25">
      <c r="T23662" s="135"/>
      <c r="U23662" s="135"/>
    </row>
    <row r="23663" spans="20:21" ht="15" customHeight="1" x14ac:dyDescent="0.25">
      <c r="T23663" s="135"/>
      <c r="U23663" s="135"/>
    </row>
    <row r="23664" spans="20:21" ht="15" customHeight="1" x14ac:dyDescent="0.25">
      <c r="T23664" s="135"/>
      <c r="U23664" s="135"/>
    </row>
    <row r="23665" spans="20:21" ht="15" customHeight="1" x14ac:dyDescent="0.25">
      <c r="T23665" s="135"/>
      <c r="U23665" s="135"/>
    </row>
    <row r="23666" spans="20:21" ht="15" customHeight="1" x14ac:dyDescent="0.25">
      <c r="T23666" s="135"/>
      <c r="U23666" s="135"/>
    </row>
    <row r="23667" spans="20:21" ht="15" customHeight="1" x14ac:dyDescent="0.25">
      <c r="T23667" s="135"/>
      <c r="U23667" s="135"/>
    </row>
    <row r="23668" spans="20:21" ht="15" customHeight="1" x14ac:dyDescent="0.25">
      <c r="T23668" s="135"/>
      <c r="U23668" s="135"/>
    </row>
    <row r="23669" spans="20:21" ht="15" customHeight="1" x14ac:dyDescent="0.25">
      <c r="T23669" s="135"/>
      <c r="U23669" s="135"/>
    </row>
    <row r="23670" spans="20:21" ht="15" customHeight="1" x14ac:dyDescent="0.25">
      <c r="T23670" s="135"/>
      <c r="U23670" s="135"/>
    </row>
    <row r="23671" spans="20:21" ht="15" customHeight="1" x14ac:dyDescent="0.25">
      <c r="T23671" s="135"/>
      <c r="U23671" s="135"/>
    </row>
    <row r="23672" spans="20:21" ht="15" customHeight="1" x14ac:dyDescent="0.25">
      <c r="T23672" s="135"/>
      <c r="U23672" s="135"/>
    </row>
    <row r="23673" spans="20:21" ht="15" customHeight="1" x14ac:dyDescent="0.25">
      <c r="T23673" s="135"/>
      <c r="U23673" s="135"/>
    </row>
    <row r="23674" spans="20:21" ht="15" customHeight="1" x14ac:dyDescent="0.25">
      <c r="T23674" s="135"/>
      <c r="U23674" s="135"/>
    </row>
    <row r="23675" spans="20:21" ht="15" customHeight="1" x14ac:dyDescent="0.25">
      <c r="T23675" s="135"/>
      <c r="U23675" s="135"/>
    </row>
    <row r="23676" spans="20:21" ht="15" customHeight="1" x14ac:dyDescent="0.25">
      <c r="T23676" s="135"/>
      <c r="U23676" s="135"/>
    </row>
    <row r="23677" spans="20:21" ht="15" customHeight="1" x14ac:dyDescent="0.25">
      <c r="T23677" s="135"/>
      <c r="U23677" s="135"/>
    </row>
    <row r="23678" spans="20:21" ht="15" customHeight="1" x14ac:dyDescent="0.25">
      <c r="T23678" s="135"/>
      <c r="U23678" s="135"/>
    </row>
    <row r="23679" spans="20:21" ht="15" customHeight="1" x14ac:dyDescent="0.25">
      <c r="T23679" s="135"/>
      <c r="U23679" s="135"/>
    </row>
    <row r="23680" spans="20:21" ht="15" customHeight="1" x14ac:dyDescent="0.25">
      <c r="T23680" s="135"/>
      <c r="U23680" s="135"/>
    </row>
    <row r="23681" spans="20:21" ht="15" customHeight="1" x14ac:dyDescent="0.25">
      <c r="T23681" s="135"/>
      <c r="U23681" s="135"/>
    </row>
    <row r="23682" spans="20:21" ht="15" customHeight="1" x14ac:dyDescent="0.25">
      <c r="T23682" s="135"/>
      <c r="U23682" s="135"/>
    </row>
    <row r="23683" spans="20:21" ht="15" customHeight="1" x14ac:dyDescent="0.25">
      <c r="T23683" s="135"/>
      <c r="U23683" s="135"/>
    </row>
    <row r="23684" spans="20:21" ht="15" customHeight="1" x14ac:dyDescent="0.25">
      <c r="T23684" s="135"/>
      <c r="U23684" s="135"/>
    </row>
    <row r="23685" spans="20:21" ht="15" customHeight="1" x14ac:dyDescent="0.25">
      <c r="T23685" s="135"/>
      <c r="U23685" s="135"/>
    </row>
    <row r="23686" spans="20:21" ht="15" customHeight="1" x14ac:dyDescent="0.25">
      <c r="T23686" s="135"/>
      <c r="U23686" s="135"/>
    </row>
    <row r="23687" spans="20:21" ht="15" customHeight="1" x14ac:dyDescent="0.25">
      <c r="T23687" s="135"/>
      <c r="U23687" s="135"/>
    </row>
    <row r="23688" spans="20:21" ht="15" customHeight="1" x14ac:dyDescent="0.25">
      <c r="T23688" s="135"/>
      <c r="U23688" s="135"/>
    </row>
    <row r="23689" spans="20:21" ht="15" customHeight="1" x14ac:dyDescent="0.25">
      <c r="T23689" s="135"/>
      <c r="U23689" s="135"/>
    </row>
    <row r="23690" spans="20:21" ht="15" customHeight="1" x14ac:dyDescent="0.25">
      <c r="T23690" s="135"/>
      <c r="U23690" s="135"/>
    </row>
    <row r="23691" spans="20:21" ht="15" customHeight="1" x14ac:dyDescent="0.25">
      <c r="T23691" s="135"/>
      <c r="U23691" s="135"/>
    </row>
    <row r="23692" spans="20:21" ht="15" customHeight="1" x14ac:dyDescent="0.25">
      <c r="T23692" s="135"/>
      <c r="U23692" s="135"/>
    </row>
    <row r="23693" spans="20:21" ht="15" customHeight="1" x14ac:dyDescent="0.25">
      <c r="T23693" s="135"/>
      <c r="U23693" s="135"/>
    </row>
    <row r="23694" spans="20:21" ht="15" customHeight="1" x14ac:dyDescent="0.25">
      <c r="T23694" s="135"/>
      <c r="U23694" s="135"/>
    </row>
    <row r="23695" spans="20:21" ht="15" customHeight="1" x14ac:dyDescent="0.25">
      <c r="T23695" s="135"/>
      <c r="U23695" s="135"/>
    </row>
    <row r="23696" spans="20:21" ht="15" customHeight="1" x14ac:dyDescent="0.25">
      <c r="T23696" s="135"/>
      <c r="U23696" s="135"/>
    </row>
    <row r="23697" spans="20:21" ht="15" customHeight="1" x14ac:dyDescent="0.25">
      <c r="T23697" s="135"/>
      <c r="U23697" s="135"/>
    </row>
    <row r="23698" spans="20:21" ht="15" customHeight="1" x14ac:dyDescent="0.25">
      <c r="T23698" s="135"/>
      <c r="U23698" s="135"/>
    </row>
    <row r="23699" spans="20:21" ht="15" customHeight="1" x14ac:dyDescent="0.25">
      <c r="T23699" s="135"/>
      <c r="U23699" s="135"/>
    </row>
    <row r="23700" spans="20:21" ht="15" customHeight="1" x14ac:dyDescent="0.25">
      <c r="T23700" s="135"/>
      <c r="U23700" s="135"/>
    </row>
    <row r="23701" spans="20:21" ht="15" customHeight="1" x14ac:dyDescent="0.25">
      <c r="T23701" s="135"/>
      <c r="U23701" s="135"/>
    </row>
    <row r="23702" spans="20:21" ht="15" customHeight="1" x14ac:dyDescent="0.25">
      <c r="T23702" s="135"/>
      <c r="U23702" s="135"/>
    </row>
    <row r="23703" spans="20:21" ht="15" customHeight="1" x14ac:dyDescent="0.25">
      <c r="T23703" s="135"/>
      <c r="U23703" s="135"/>
    </row>
    <row r="23704" spans="20:21" ht="15" customHeight="1" x14ac:dyDescent="0.25">
      <c r="T23704" s="135"/>
      <c r="U23704" s="135"/>
    </row>
    <row r="23705" spans="20:21" ht="15" customHeight="1" x14ac:dyDescent="0.25">
      <c r="T23705" s="135"/>
      <c r="U23705" s="135"/>
    </row>
    <row r="23706" spans="20:21" ht="15" customHeight="1" x14ac:dyDescent="0.25">
      <c r="T23706" s="135"/>
      <c r="U23706" s="135"/>
    </row>
    <row r="23707" spans="20:21" ht="15" customHeight="1" x14ac:dyDescent="0.25">
      <c r="T23707" s="135"/>
      <c r="U23707" s="135"/>
    </row>
    <row r="23708" spans="20:21" ht="15" customHeight="1" x14ac:dyDescent="0.25">
      <c r="T23708" s="135"/>
      <c r="U23708" s="135"/>
    </row>
    <row r="23709" spans="20:21" ht="15" customHeight="1" x14ac:dyDescent="0.25">
      <c r="T23709" s="135"/>
      <c r="U23709" s="135"/>
    </row>
    <row r="23710" spans="20:21" ht="15" customHeight="1" x14ac:dyDescent="0.25">
      <c r="T23710" s="135"/>
      <c r="U23710" s="135"/>
    </row>
    <row r="23711" spans="20:21" ht="15" customHeight="1" x14ac:dyDescent="0.25">
      <c r="T23711" s="135"/>
      <c r="U23711" s="135"/>
    </row>
    <row r="23712" spans="20:21" ht="15" customHeight="1" x14ac:dyDescent="0.25">
      <c r="T23712" s="135"/>
      <c r="U23712" s="135"/>
    </row>
    <row r="23713" spans="20:21" ht="15" customHeight="1" x14ac:dyDescent="0.25">
      <c r="T23713" s="135"/>
      <c r="U23713" s="135"/>
    </row>
    <row r="23714" spans="20:21" ht="15" customHeight="1" x14ac:dyDescent="0.25">
      <c r="T23714" s="135"/>
      <c r="U23714" s="135"/>
    </row>
    <row r="23715" spans="20:21" ht="15" customHeight="1" x14ac:dyDescent="0.25">
      <c r="T23715" s="135"/>
      <c r="U23715" s="135"/>
    </row>
    <row r="23716" spans="20:21" ht="15" customHeight="1" x14ac:dyDescent="0.25">
      <c r="T23716" s="135"/>
      <c r="U23716" s="135"/>
    </row>
    <row r="23717" spans="20:21" ht="15" customHeight="1" x14ac:dyDescent="0.25">
      <c r="T23717" s="135"/>
      <c r="U23717" s="135"/>
    </row>
    <row r="23718" spans="20:21" ht="15" customHeight="1" x14ac:dyDescent="0.25">
      <c r="T23718" s="135"/>
      <c r="U23718" s="135"/>
    </row>
    <row r="23719" spans="20:21" ht="15" customHeight="1" x14ac:dyDescent="0.25">
      <c r="T23719" s="135"/>
      <c r="U23719" s="135"/>
    </row>
    <row r="23720" spans="20:21" ht="15" customHeight="1" x14ac:dyDescent="0.25">
      <c r="T23720" s="135"/>
      <c r="U23720" s="135"/>
    </row>
    <row r="23721" spans="20:21" ht="15" customHeight="1" x14ac:dyDescent="0.25">
      <c r="T23721" s="135"/>
      <c r="U23721" s="135"/>
    </row>
    <row r="23722" spans="20:21" ht="15" customHeight="1" x14ac:dyDescent="0.25">
      <c r="T23722" s="135"/>
      <c r="U23722" s="135"/>
    </row>
    <row r="23723" spans="20:21" ht="15" customHeight="1" x14ac:dyDescent="0.25">
      <c r="T23723" s="135"/>
      <c r="U23723" s="135"/>
    </row>
    <row r="23724" spans="20:21" ht="15" customHeight="1" x14ac:dyDescent="0.25">
      <c r="T23724" s="135"/>
      <c r="U23724" s="135"/>
    </row>
    <row r="23725" spans="20:21" ht="15" customHeight="1" x14ac:dyDescent="0.25">
      <c r="T23725" s="135"/>
      <c r="U23725" s="135"/>
    </row>
    <row r="23726" spans="20:21" ht="15" customHeight="1" x14ac:dyDescent="0.25">
      <c r="T23726" s="135"/>
      <c r="U23726" s="135"/>
    </row>
    <row r="23727" spans="20:21" ht="15" customHeight="1" x14ac:dyDescent="0.25">
      <c r="T23727" s="135"/>
      <c r="U23727" s="135"/>
    </row>
    <row r="23728" spans="20:21" ht="15" customHeight="1" x14ac:dyDescent="0.25">
      <c r="T23728" s="135"/>
      <c r="U23728" s="135"/>
    </row>
    <row r="23729" spans="20:21" ht="15" customHeight="1" x14ac:dyDescent="0.25">
      <c r="T23729" s="135"/>
      <c r="U23729" s="135"/>
    </row>
    <row r="23730" spans="20:21" ht="15" customHeight="1" x14ac:dyDescent="0.25">
      <c r="T23730" s="135"/>
      <c r="U23730" s="135"/>
    </row>
    <row r="23731" spans="20:21" ht="15" customHeight="1" x14ac:dyDescent="0.25">
      <c r="T23731" s="135"/>
      <c r="U23731" s="135"/>
    </row>
    <row r="23732" spans="20:21" ht="15" customHeight="1" x14ac:dyDescent="0.25">
      <c r="T23732" s="135"/>
      <c r="U23732" s="135"/>
    </row>
    <row r="23733" spans="20:21" ht="15" customHeight="1" x14ac:dyDescent="0.25">
      <c r="T23733" s="135"/>
      <c r="U23733" s="135"/>
    </row>
    <row r="23734" spans="20:21" ht="15" customHeight="1" x14ac:dyDescent="0.25">
      <c r="T23734" s="135"/>
      <c r="U23734" s="135"/>
    </row>
    <row r="23735" spans="20:21" ht="15" customHeight="1" x14ac:dyDescent="0.25">
      <c r="T23735" s="135"/>
      <c r="U23735" s="135"/>
    </row>
    <row r="23736" spans="20:21" ht="15" customHeight="1" x14ac:dyDescent="0.25">
      <c r="T23736" s="135"/>
      <c r="U23736" s="135"/>
    </row>
    <row r="23737" spans="20:21" ht="15" customHeight="1" x14ac:dyDescent="0.25">
      <c r="T23737" s="135"/>
      <c r="U23737" s="135"/>
    </row>
    <row r="23738" spans="20:21" ht="15" customHeight="1" x14ac:dyDescent="0.25">
      <c r="T23738" s="135"/>
      <c r="U23738" s="135"/>
    </row>
    <row r="23739" spans="20:21" ht="15" customHeight="1" x14ac:dyDescent="0.25">
      <c r="T23739" s="135"/>
      <c r="U23739" s="135"/>
    </row>
    <row r="23740" spans="20:21" ht="15" customHeight="1" x14ac:dyDescent="0.25">
      <c r="T23740" s="135"/>
      <c r="U23740" s="135"/>
    </row>
    <row r="23741" spans="20:21" ht="15" customHeight="1" x14ac:dyDescent="0.25">
      <c r="T23741" s="135"/>
      <c r="U23741" s="135"/>
    </row>
    <row r="23742" spans="20:21" ht="15" customHeight="1" x14ac:dyDescent="0.25">
      <c r="T23742" s="135"/>
      <c r="U23742" s="135"/>
    </row>
    <row r="23743" spans="20:21" ht="15" customHeight="1" x14ac:dyDescent="0.25">
      <c r="T23743" s="135"/>
      <c r="U23743" s="135"/>
    </row>
    <row r="23744" spans="20:21" ht="15" customHeight="1" x14ac:dyDescent="0.25">
      <c r="T23744" s="135"/>
      <c r="U23744" s="135"/>
    </row>
    <row r="23745" spans="20:21" ht="15" customHeight="1" x14ac:dyDescent="0.25">
      <c r="T23745" s="135"/>
      <c r="U23745" s="135"/>
    </row>
    <row r="23746" spans="20:21" ht="15" customHeight="1" x14ac:dyDescent="0.25">
      <c r="T23746" s="135"/>
      <c r="U23746" s="135"/>
    </row>
    <row r="23747" spans="20:21" ht="15" customHeight="1" x14ac:dyDescent="0.25">
      <c r="T23747" s="135"/>
      <c r="U23747" s="135"/>
    </row>
    <row r="23748" spans="20:21" ht="15" customHeight="1" x14ac:dyDescent="0.25">
      <c r="T23748" s="135"/>
      <c r="U23748" s="135"/>
    </row>
    <row r="23749" spans="20:21" ht="15" customHeight="1" x14ac:dyDescent="0.25">
      <c r="T23749" s="135"/>
      <c r="U23749" s="135"/>
    </row>
    <row r="23750" spans="20:21" ht="15" customHeight="1" x14ac:dyDescent="0.25">
      <c r="T23750" s="135"/>
      <c r="U23750" s="135"/>
    </row>
    <row r="23751" spans="20:21" ht="15" customHeight="1" x14ac:dyDescent="0.25">
      <c r="T23751" s="135"/>
      <c r="U23751" s="135"/>
    </row>
    <row r="23752" spans="20:21" ht="15" customHeight="1" x14ac:dyDescent="0.25">
      <c r="T23752" s="135"/>
      <c r="U23752" s="135"/>
    </row>
    <row r="23753" spans="20:21" ht="15" customHeight="1" x14ac:dyDescent="0.25">
      <c r="T23753" s="135"/>
      <c r="U23753" s="135"/>
    </row>
    <row r="23754" spans="20:21" ht="15" customHeight="1" x14ac:dyDescent="0.25">
      <c r="T23754" s="135"/>
      <c r="U23754" s="135"/>
    </row>
    <row r="23755" spans="20:21" ht="15" customHeight="1" x14ac:dyDescent="0.25">
      <c r="T23755" s="135"/>
      <c r="U23755" s="135"/>
    </row>
    <row r="23756" spans="20:21" ht="15" customHeight="1" x14ac:dyDescent="0.25">
      <c r="T23756" s="135"/>
      <c r="U23756" s="135"/>
    </row>
    <row r="23757" spans="20:21" ht="15" customHeight="1" x14ac:dyDescent="0.25">
      <c r="T23757" s="135"/>
      <c r="U23757" s="135"/>
    </row>
    <row r="23758" spans="20:21" ht="15" customHeight="1" x14ac:dyDescent="0.25">
      <c r="T23758" s="135"/>
      <c r="U23758" s="135"/>
    </row>
    <row r="23759" spans="20:21" ht="15" customHeight="1" x14ac:dyDescent="0.25">
      <c r="T23759" s="135"/>
      <c r="U23759" s="135"/>
    </row>
    <row r="23760" spans="20:21" ht="15" customHeight="1" x14ac:dyDescent="0.25">
      <c r="T23760" s="135"/>
      <c r="U23760" s="135"/>
    </row>
    <row r="23761" spans="20:21" ht="15" customHeight="1" x14ac:dyDescent="0.25">
      <c r="T23761" s="135"/>
      <c r="U23761" s="135"/>
    </row>
    <row r="23762" spans="20:21" ht="15" customHeight="1" x14ac:dyDescent="0.25">
      <c r="T23762" s="135"/>
      <c r="U23762" s="135"/>
    </row>
    <row r="23763" spans="20:21" ht="15" customHeight="1" x14ac:dyDescent="0.25">
      <c r="T23763" s="135"/>
      <c r="U23763" s="135"/>
    </row>
    <row r="23764" spans="20:21" ht="15" customHeight="1" x14ac:dyDescent="0.25">
      <c r="T23764" s="135"/>
      <c r="U23764" s="135"/>
    </row>
    <row r="23765" spans="20:21" ht="15" customHeight="1" x14ac:dyDescent="0.25">
      <c r="T23765" s="135"/>
      <c r="U23765" s="135"/>
    </row>
    <row r="23766" spans="20:21" ht="15" customHeight="1" x14ac:dyDescent="0.25">
      <c r="T23766" s="135"/>
      <c r="U23766" s="135"/>
    </row>
    <row r="23767" spans="20:21" ht="15" customHeight="1" x14ac:dyDescent="0.25">
      <c r="T23767" s="135"/>
      <c r="U23767" s="135"/>
    </row>
    <row r="23768" spans="20:21" ht="15" customHeight="1" x14ac:dyDescent="0.25">
      <c r="T23768" s="135"/>
      <c r="U23768" s="135"/>
    </row>
    <row r="23769" spans="20:21" ht="15" customHeight="1" x14ac:dyDescent="0.25">
      <c r="T23769" s="135"/>
      <c r="U23769" s="135"/>
    </row>
    <row r="23770" spans="20:21" ht="15" customHeight="1" x14ac:dyDescent="0.25">
      <c r="T23770" s="135"/>
      <c r="U23770" s="135"/>
    </row>
    <row r="23771" spans="20:21" ht="15" customHeight="1" x14ac:dyDescent="0.25">
      <c r="T23771" s="135"/>
      <c r="U23771" s="135"/>
    </row>
    <row r="23772" spans="20:21" ht="15" customHeight="1" x14ac:dyDescent="0.25">
      <c r="T23772" s="135"/>
      <c r="U23772" s="135"/>
    </row>
    <row r="23773" spans="20:21" ht="15" customHeight="1" x14ac:dyDescent="0.25">
      <c r="T23773" s="135"/>
      <c r="U23773" s="135"/>
    </row>
    <row r="23774" spans="20:21" ht="15" customHeight="1" x14ac:dyDescent="0.25">
      <c r="T23774" s="135"/>
      <c r="U23774" s="135"/>
    </row>
    <row r="23775" spans="20:21" ht="15" customHeight="1" x14ac:dyDescent="0.25">
      <c r="T23775" s="135"/>
      <c r="U23775" s="135"/>
    </row>
    <row r="23776" spans="20:21" ht="15" customHeight="1" x14ac:dyDescent="0.25">
      <c r="T23776" s="135"/>
      <c r="U23776" s="135"/>
    </row>
    <row r="23777" spans="20:21" ht="15" customHeight="1" x14ac:dyDescent="0.25">
      <c r="T23777" s="135"/>
      <c r="U23777" s="135"/>
    </row>
    <row r="23778" spans="20:21" ht="15" customHeight="1" x14ac:dyDescent="0.25">
      <c r="T23778" s="135"/>
      <c r="U23778" s="135"/>
    </row>
    <row r="23779" spans="20:21" ht="15" customHeight="1" x14ac:dyDescent="0.25">
      <c r="T23779" s="135"/>
      <c r="U23779" s="135"/>
    </row>
    <row r="23780" spans="20:21" ht="15" customHeight="1" x14ac:dyDescent="0.25">
      <c r="T23780" s="135"/>
      <c r="U23780" s="135"/>
    </row>
    <row r="23781" spans="20:21" ht="15" customHeight="1" x14ac:dyDescent="0.25">
      <c r="T23781" s="135"/>
      <c r="U23781" s="135"/>
    </row>
    <row r="23782" spans="20:21" ht="15" customHeight="1" x14ac:dyDescent="0.25">
      <c r="T23782" s="135"/>
      <c r="U23782" s="135"/>
    </row>
    <row r="23783" spans="20:21" ht="15" customHeight="1" x14ac:dyDescent="0.25">
      <c r="T23783" s="135"/>
      <c r="U23783" s="135"/>
    </row>
    <row r="23784" spans="20:21" ht="15" customHeight="1" x14ac:dyDescent="0.25">
      <c r="T23784" s="135"/>
      <c r="U23784" s="135"/>
    </row>
    <row r="23785" spans="20:21" ht="15" customHeight="1" x14ac:dyDescent="0.25">
      <c r="T23785" s="135"/>
      <c r="U23785" s="135"/>
    </row>
    <row r="23786" spans="20:21" ht="15" customHeight="1" x14ac:dyDescent="0.25">
      <c r="T23786" s="135"/>
      <c r="U23786" s="135"/>
    </row>
    <row r="23787" spans="20:21" ht="15" customHeight="1" x14ac:dyDescent="0.25">
      <c r="T23787" s="135"/>
      <c r="U23787" s="135"/>
    </row>
    <row r="23788" spans="20:21" ht="15" customHeight="1" x14ac:dyDescent="0.25">
      <c r="T23788" s="135"/>
      <c r="U23788" s="135"/>
    </row>
    <row r="23789" spans="20:21" ht="15" customHeight="1" x14ac:dyDescent="0.25">
      <c r="T23789" s="135"/>
      <c r="U23789" s="135"/>
    </row>
    <row r="23790" spans="20:21" ht="15" customHeight="1" x14ac:dyDescent="0.25">
      <c r="T23790" s="135"/>
      <c r="U23790" s="135"/>
    </row>
    <row r="23791" spans="20:21" ht="15" customHeight="1" x14ac:dyDescent="0.25">
      <c r="T23791" s="135"/>
      <c r="U23791" s="135"/>
    </row>
    <row r="23792" spans="20:21" ht="15" customHeight="1" x14ac:dyDescent="0.25">
      <c r="T23792" s="135"/>
      <c r="U23792" s="135"/>
    </row>
    <row r="23793" spans="20:21" ht="15" customHeight="1" x14ac:dyDescent="0.25">
      <c r="T23793" s="135"/>
      <c r="U23793" s="135"/>
    </row>
    <row r="23794" spans="20:21" ht="15" customHeight="1" x14ac:dyDescent="0.25">
      <c r="T23794" s="135"/>
      <c r="U23794" s="135"/>
    </row>
    <row r="23795" spans="20:21" ht="15" customHeight="1" x14ac:dyDescent="0.25">
      <c r="T23795" s="135"/>
      <c r="U23795" s="135"/>
    </row>
    <row r="23796" spans="20:21" ht="15" customHeight="1" x14ac:dyDescent="0.25">
      <c r="T23796" s="135"/>
      <c r="U23796" s="135"/>
    </row>
    <row r="23797" spans="20:21" ht="15" customHeight="1" x14ac:dyDescent="0.25">
      <c r="T23797" s="135"/>
      <c r="U23797" s="135"/>
    </row>
    <row r="23798" spans="20:21" ht="15" customHeight="1" x14ac:dyDescent="0.25">
      <c r="T23798" s="135"/>
      <c r="U23798" s="135"/>
    </row>
    <row r="23799" spans="20:21" ht="15" customHeight="1" x14ac:dyDescent="0.25">
      <c r="T23799" s="135"/>
      <c r="U23799" s="135"/>
    </row>
    <row r="23800" spans="20:21" ht="15" customHeight="1" x14ac:dyDescent="0.25">
      <c r="T23800" s="135"/>
      <c r="U23800" s="135"/>
    </row>
    <row r="23801" spans="20:21" ht="15" customHeight="1" x14ac:dyDescent="0.25">
      <c r="T23801" s="135"/>
      <c r="U23801" s="135"/>
    </row>
    <row r="23802" spans="20:21" ht="15" customHeight="1" x14ac:dyDescent="0.25">
      <c r="T23802" s="135"/>
      <c r="U23802" s="135"/>
    </row>
    <row r="23803" spans="20:21" ht="15" customHeight="1" x14ac:dyDescent="0.25">
      <c r="T23803" s="135"/>
      <c r="U23803" s="135"/>
    </row>
    <row r="23804" spans="20:21" ht="15" customHeight="1" x14ac:dyDescent="0.25">
      <c r="T23804" s="135"/>
      <c r="U23804" s="135"/>
    </row>
    <row r="23805" spans="20:21" ht="15" customHeight="1" x14ac:dyDescent="0.25">
      <c r="T23805" s="135"/>
      <c r="U23805" s="135"/>
    </row>
    <row r="23806" spans="20:21" ht="15" customHeight="1" x14ac:dyDescent="0.25">
      <c r="T23806" s="135"/>
      <c r="U23806" s="135"/>
    </row>
    <row r="23807" spans="20:21" ht="15" customHeight="1" x14ac:dyDescent="0.25">
      <c r="T23807" s="135"/>
      <c r="U23807" s="135"/>
    </row>
    <row r="23808" spans="20:21" ht="15" customHeight="1" x14ac:dyDescent="0.25">
      <c r="T23808" s="135"/>
      <c r="U23808" s="135"/>
    </row>
    <row r="23809" spans="20:21" ht="15" customHeight="1" x14ac:dyDescent="0.25">
      <c r="T23809" s="135"/>
      <c r="U23809" s="135"/>
    </row>
    <row r="23810" spans="20:21" ht="15" customHeight="1" x14ac:dyDescent="0.25">
      <c r="T23810" s="135"/>
      <c r="U23810" s="135"/>
    </row>
    <row r="23811" spans="20:21" ht="15" customHeight="1" x14ac:dyDescent="0.25">
      <c r="T23811" s="135"/>
      <c r="U23811" s="135"/>
    </row>
    <row r="23812" spans="20:21" ht="15" customHeight="1" x14ac:dyDescent="0.25">
      <c r="T23812" s="135"/>
      <c r="U23812" s="135"/>
    </row>
    <row r="23813" spans="20:21" ht="15" customHeight="1" x14ac:dyDescent="0.25">
      <c r="T23813" s="135"/>
      <c r="U23813" s="135"/>
    </row>
    <row r="23814" spans="20:21" ht="15" customHeight="1" x14ac:dyDescent="0.25">
      <c r="T23814" s="135"/>
      <c r="U23814" s="135"/>
    </row>
    <row r="23815" spans="20:21" ht="15" customHeight="1" x14ac:dyDescent="0.25">
      <c r="T23815" s="135"/>
      <c r="U23815" s="135"/>
    </row>
    <row r="23816" spans="20:21" ht="15" customHeight="1" x14ac:dyDescent="0.25">
      <c r="T23816" s="135"/>
      <c r="U23816" s="135"/>
    </row>
    <row r="23817" spans="20:21" ht="15" customHeight="1" x14ac:dyDescent="0.25">
      <c r="T23817" s="135"/>
      <c r="U23817" s="135"/>
    </row>
    <row r="23818" spans="20:21" ht="15" customHeight="1" x14ac:dyDescent="0.25">
      <c r="T23818" s="135"/>
      <c r="U23818" s="135"/>
    </row>
    <row r="23819" spans="20:21" ht="15" customHeight="1" x14ac:dyDescent="0.25">
      <c r="T23819" s="135"/>
      <c r="U23819" s="135"/>
    </row>
    <row r="23820" spans="20:21" ht="15" customHeight="1" x14ac:dyDescent="0.25">
      <c r="T23820" s="135"/>
      <c r="U23820" s="135"/>
    </row>
    <row r="23821" spans="20:21" ht="15" customHeight="1" x14ac:dyDescent="0.25">
      <c r="T23821" s="135"/>
      <c r="U23821" s="135"/>
    </row>
    <row r="23822" spans="20:21" ht="15" customHeight="1" x14ac:dyDescent="0.25">
      <c r="T23822" s="135"/>
      <c r="U23822" s="135"/>
    </row>
    <row r="23823" spans="20:21" ht="15" customHeight="1" x14ac:dyDescent="0.25">
      <c r="T23823" s="135"/>
      <c r="U23823" s="135"/>
    </row>
    <row r="23824" spans="20:21" ht="15" customHeight="1" x14ac:dyDescent="0.25">
      <c r="T23824" s="135"/>
      <c r="U23824" s="135"/>
    </row>
    <row r="23825" spans="20:21" ht="15" customHeight="1" x14ac:dyDescent="0.25">
      <c r="T23825" s="135"/>
      <c r="U23825" s="135"/>
    </row>
    <row r="23826" spans="20:21" ht="15" customHeight="1" x14ac:dyDescent="0.25">
      <c r="T23826" s="135"/>
      <c r="U23826" s="135"/>
    </row>
    <row r="23827" spans="20:21" ht="15" customHeight="1" x14ac:dyDescent="0.25">
      <c r="T23827" s="135"/>
      <c r="U23827" s="135"/>
    </row>
    <row r="23828" spans="20:21" ht="15" customHeight="1" x14ac:dyDescent="0.25">
      <c r="T23828" s="135"/>
      <c r="U23828" s="135"/>
    </row>
    <row r="23829" spans="20:21" ht="15" customHeight="1" x14ac:dyDescent="0.25">
      <c r="T23829" s="135"/>
      <c r="U23829" s="135"/>
    </row>
    <row r="23830" spans="20:21" ht="15" customHeight="1" x14ac:dyDescent="0.25">
      <c r="T23830" s="135"/>
      <c r="U23830" s="135"/>
    </row>
    <row r="23831" spans="20:21" ht="15" customHeight="1" x14ac:dyDescent="0.25">
      <c r="T23831" s="135"/>
      <c r="U23831" s="135"/>
    </row>
    <row r="23832" spans="20:21" ht="15" customHeight="1" x14ac:dyDescent="0.25">
      <c r="T23832" s="135"/>
      <c r="U23832" s="135"/>
    </row>
    <row r="23833" spans="20:21" ht="15" customHeight="1" x14ac:dyDescent="0.25">
      <c r="T23833" s="135"/>
      <c r="U23833" s="135"/>
    </row>
    <row r="23834" spans="20:21" ht="15" customHeight="1" x14ac:dyDescent="0.25">
      <c r="T23834" s="135"/>
      <c r="U23834" s="135"/>
    </row>
    <row r="23835" spans="20:21" ht="15" customHeight="1" x14ac:dyDescent="0.25">
      <c r="T23835" s="135"/>
      <c r="U23835" s="135"/>
    </row>
    <row r="23836" spans="20:21" ht="15" customHeight="1" x14ac:dyDescent="0.25">
      <c r="T23836" s="135"/>
      <c r="U23836" s="135"/>
    </row>
    <row r="23837" spans="20:21" ht="15" customHeight="1" x14ac:dyDescent="0.25">
      <c r="T23837" s="135"/>
      <c r="U23837" s="135"/>
    </row>
    <row r="23838" spans="20:21" ht="15" customHeight="1" x14ac:dyDescent="0.25">
      <c r="T23838" s="135"/>
      <c r="U23838" s="135"/>
    </row>
    <row r="23839" spans="20:21" ht="15" customHeight="1" x14ac:dyDescent="0.25">
      <c r="T23839" s="135"/>
      <c r="U23839" s="135"/>
    </row>
    <row r="23840" spans="20:21" ht="15" customHeight="1" x14ac:dyDescent="0.25">
      <c r="T23840" s="135"/>
      <c r="U23840" s="135"/>
    </row>
    <row r="23841" spans="20:21" ht="15" customHeight="1" x14ac:dyDescent="0.25">
      <c r="T23841" s="135"/>
      <c r="U23841" s="135"/>
    </row>
    <row r="23842" spans="20:21" ht="15" customHeight="1" x14ac:dyDescent="0.25">
      <c r="T23842" s="135"/>
      <c r="U23842" s="135"/>
    </row>
    <row r="23843" spans="20:21" ht="15" customHeight="1" x14ac:dyDescent="0.25">
      <c r="T23843" s="135"/>
      <c r="U23843" s="135"/>
    </row>
    <row r="23844" spans="20:21" ht="15" customHeight="1" x14ac:dyDescent="0.25">
      <c r="T23844" s="135"/>
      <c r="U23844" s="135"/>
    </row>
    <row r="23845" spans="20:21" ht="15" customHeight="1" x14ac:dyDescent="0.25">
      <c r="T23845" s="135"/>
      <c r="U23845" s="135"/>
    </row>
    <row r="23846" spans="20:21" ht="15" customHeight="1" x14ac:dyDescent="0.25">
      <c r="T23846" s="135"/>
      <c r="U23846" s="135"/>
    </row>
    <row r="23847" spans="20:21" ht="15" customHeight="1" x14ac:dyDescent="0.25">
      <c r="T23847" s="135"/>
      <c r="U23847" s="135"/>
    </row>
    <row r="23848" spans="20:21" ht="15" customHeight="1" x14ac:dyDescent="0.25">
      <c r="T23848" s="135"/>
      <c r="U23848" s="135"/>
    </row>
    <row r="23849" spans="20:21" ht="15" customHeight="1" x14ac:dyDescent="0.25">
      <c r="T23849" s="135"/>
      <c r="U23849" s="135"/>
    </row>
    <row r="23850" spans="20:21" ht="15" customHeight="1" x14ac:dyDescent="0.25">
      <c r="T23850" s="135"/>
      <c r="U23850" s="135"/>
    </row>
    <row r="23851" spans="20:21" ht="15" customHeight="1" x14ac:dyDescent="0.25">
      <c r="T23851" s="135"/>
      <c r="U23851" s="135"/>
    </row>
    <row r="23852" spans="20:21" ht="15" customHeight="1" x14ac:dyDescent="0.25">
      <c r="T23852" s="135"/>
      <c r="U23852" s="135"/>
    </row>
    <row r="23853" spans="20:21" ht="15" customHeight="1" x14ac:dyDescent="0.25">
      <c r="T23853" s="135"/>
      <c r="U23853" s="135"/>
    </row>
    <row r="23854" spans="20:21" ht="15" customHeight="1" x14ac:dyDescent="0.25">
      <c r="T23854" s="135"/>
      <c r="U23854" s="135"/>
    </row>
    <row r="23855" spans="20:21" ht="15" customHeight="1" x14ac:dyDescent="0.25">
      <c r="T23855" s="135"/>
      <c r="U23855" s="135"/>
    </row>
    <row r="23856" spans="20:21" ht="15" customHeight="1" x14ac:dyDescent="0.25">
      <c r="T23856" s="135"/>
      <c r="U23856" s="135"/>
    </row>
    <row r="23857" spans="20:21" ht="15" customHeight="1" x14ac:dyDescent="0.25">
      <c r="T23857" s="135"/>
      <c r="U23857" s="135"/>
    </row>
    <row r="23858" spans="20:21" ht="15" customHeight="1" x14ac:dyDescent="0.25">
      <c r="T23858" s="135"/>
      <c r="U23858" s="135"/>
    </row>
    <row r="23859" spans="20:21" ht="15" customHeight="1" x14ac:dyDescent="0.25">
      <c r="T23859" s="135"/>
      <c r="U23859" s="135"/>
    </row>
    <row r="23860" spans="20:21" ht="15" customHeight="1" x14ac:dyDescent="0.25">
      <c r="T23860" s="135"/>
      <c r="U23860" s="135"/>
    </row>
    <row r="23861" spans="20:21" ht="15" customHeight="1" x14ac:dyDescent="0.25">
      <c r="T23861" s="135"/>
      <c r="U23861" s="135"/>
    </row>
    <row r="23862" spans="20:21" ht="15" customHeight="1" x14ac:dyDescent="0.25">
      <c r="T23862" s="135"/>
      <c r="U23862" s="135"/>
    </row>
    <row r="23863" spans="20:21" ht="15" customHeight="1" x14ac:dyDescent="0.25">
      <c r="T23863" s="135"/>
      <c r="U23863" s="135"/>
    </row>
    <row r="23864" spans="20:21" ht="15" customHeight="1" x14ac:dyDescent="0.25">
      <c r="T23864" s="135"/>
      <c r="U23864" s="135"/>
    </row>
    <row r="23865" spans="20:21" ht="15" customHeight="1" x14ac:dyDescent="0.25">
      <c r="T23865" s="135"/>
      <c r="U23865" s="135"/>
    </row>
    <row r="23866" spans="20:21" ht="15" customHeight="1" x14ac:dyDescent="0.25">
      <c r="T23866" s="135"/>
      <c r="U23866" s="135"/>
    </row>
    <row r="23867" spans="20:21" ht="15" customHeight="1" x14ac:dyDescent="0.25">
      <c r="T23867" s="135"/>
      <c r="U23867" s="135"/>
    </row>
    <row r="23868" spans="20:21" ht="15" customHeight="1" x14ac:dyDescent="0.25">
      <c r="T23868" s="135"/>
      <c r="U23868" s="135"/>
    </row>
    <row r="23869" spans="20:21" ht="15" customHeight="1" x14ac:dyDescent="0.25">
      <c r="T23869" s="135"/>
      <c r="U23869" s="135"/>
    </row>
    <row r="23870" spans="20:21" ht="15" customHeight="1" x14ac:dyDescent="0.25">
      <c r="T23870" s="135"/>
      <c r="U23870" s="135"/>
    </row>
    <row r="23871" spans="20:21" ht="15" customHeight="1" x14ac:dyDescent="0.25">
      <c r="T23871" s="135"/>
      <c r="U23871" s="135"/>
    </row>
    <row r="23872" spans="20:21" ht="15" customHeight="1" x14ac:dyDescent="0.25">
      <c r="T23872" s="135"/>
      <c r="U23872" s="135"/>
    </row>
    <row r="23873" spans="20:21" ht="15" customHeight="1" x14ac:dyDescent="0.25">
      <c r="T23873" s="135"/>
      <c r="U23873" s="135"/>
    </row>
    <row r="23874" spans="20:21" ht="15" customHeight="1" x14ac:dyDescent="0.25">
      <c r="T23874" s="135"/>
      <c r="U23874" s="135"/>
    </row>
    <row r="23875" spans="20:21" ht="15" customHeight="1" x14ac:dyDescent="0.25">
      <c r="T23875" s="135"/>
      <c r="U23875" s="135"/>
    </row>
    <row r="23876" spans="20:21" ht="15" customHeight="1" x14ac:dyDescent="0.25">
      <c r="T23876" s="135"/>
      <c r="U23876" s="135"/>
    </row>
    <row r="23877" spans="20:21" ht="15" customHeight="1" x14ac:dyDescent="0.25">
      <c r="T23877" s="135"/>
      <c r="U23877" s="135"/>
    </row>
    <row r="23878" spans="20:21" ht="15" customHeight="1" x14ac:dyDescent="0.25">
      <c r="T23878" s="135"/>
      <c r="U23878" s="135"/>
    </row>
    <row r="23879" spans="20:21" ht="15" customHeight="1" x14ac:dyDescent="0.25">
      <c r="T23879" s="135"/>
      <c r="U23879" s="135"/>
    </row>
    <row r="23880" spans="20:21" ht="15" customHeight="1" x14ac:dyDescent="0.25">
      <c r="T23880" s="135"/>
      <c r="U23880" s="135"/>
    </row>
    <row r="23881" spans="20:21" ht="15" customHeight="1" x14ac:dyDescent="0.25">
      <c r="T23881" s="135"/>
      <c r="U23881" s="135"/>
    </row>
    <row r="23882" spans="20:21" ht="15" customHeight="1" x14ac:dyDescent="0.25">
      <c r="T23882" s="135"/>
      <c r="U23882" s="135"/>
    </row>
    <row r="23883" spans="20:21" ht="15" customHeight="1" x14ac:dyDescent="0.25">
      <c r="T23883" s="135"/>
      <c r="U23883" s="135"/>
    </row>
    <row r="23884" spans="20:21" ht="15" customHeight="1" x14ac:dyDescent="0.25">
      <c r="T23884" s="135"/>
      <c r="U23884" s="135"/>
    </row>
    <row r="23885" spans="20:21" ht="15" customHeight="1" x14ac:dyDescent="0.25">
      <c r="T23885" s="135"/>
      <c r="U23885" s="135"/>
    </row>
    <row r="23886" spans="20:21" ht="15" customHeight="1" x14ac:dyDescent="0.25">
      <c r="T23886" s="135"/>
      <c r="U23886" s="135"/>
    </row>
    <row r="23887" spans="20:21" ht="15" customHeight="1" x14ac:dyDescent="0.25">
      <c r="T23887" s="135"/>
      <c r="U23887" s="135"/>
    </row>
    <row r="23888" spans="20:21" ht="15" customHeight="1" x14ac:dyDescent="0.25">
      <c r="T23888" s="135"/>
      <c r="U23888" s="135"/>
    </row>
    <row r="23889" spans="20:21" ht="15" customHeight="1" x14ac:dyDescent="0.25">
      <c r="T23889" s="135"/>
      <c r="U23889" s="135"/>
    </row>
    <row r="23890" spans="20:21" ht="15" customHeight="1" x14ac:dyDescent="0.25">
      <c r="T23890" s="135"/>
      <c r="U23890" s="135"/>
    </row>
    <row r="23891" spans="20:21" ht="15" customHeight="1" x14ac:dyDescent="0.25">
      <c r="T23891" s="135"/>
      <c r="U23891" s="135"/>
    </row>
    <row r="23892" spans="20:21" ht="15" customHeight="1" x14ac:dyDescent="0.25">
      <c r="T23892" s="135"/>
      <c r="U23892" s="135"/>
    </row>
    <row r="23893" spans="20:21" ht="15" customHeight="1" x14ac:dyDescent="0.25">
      <c r="T23893" s="135"/>
      <c r="U23893" s="135"/>
    </row>
    <row r="23894" spans="20:21" ht="15" customHeight="1" x14ac:dyDescent="0.25">
      <c r="T23894" s="135"/>
      <c r="U23894" s="135"/>
    </row>
    <row r="23895" spans="20:21" ht="15" customHeight="1" x14ac:dyDescent="0.25">
      <c r="T23895" s="135"/>
      <c r="U23895" s="135"/>
    </row>
    <row r="23896" spans="20:21" ht="15" customHeight="1" x14ac:dyDescent="0.25">
      <c r="T23896" s="135"/>
      <c r="U23896" s="135"/>
    </row>
    <row r="23897" spans="20:21" ht="15" customHeight="1" x14ac:dyDescent="0.25">
      <c r="T23897" s="135"/>
      <c r="U23897" s="135"/>
    </row>
    <row r="23898" spans="20:21" ht="15" customHeight="1" x14ac:dyDescent="0.25">
      <c r="T23898" s="135"/>
      <c r="U23898" s="135"/>
    </row>
    <row r="23899" spans="20:21" ht="15" customHeight="1" x14ac:dyDescent="0.25">
      <c r="T23899" s="135"/>
      <c r="U23899" s="135"/>
    </row>
    <row r="23900" spans="20:21" ht="15" customHeight="1" x14ac:dyDescent="0.25">
      <c r="T23900" s="135"/>
      <c r="U23900" s="135"/>
    </row>
    <row r="23901" spans="20:21" ht="15" customHeight="1" x14ac:dyDescent="0.25">
      <c r="T23901" s="135"/>
      <c r="U23901" s="135"/>
    </row>
    <row r="23902" spans="20:21" ht="15" customHeight="1" x14ac:dyDescent="0.25">
      <c r="T23902" s="135"/>
      <c r="U23902" s="135"/>
    </row>
    <row r="23903" spans="20:21" ht="15" customHeight="1" x14ac:dyDescent="0.25">
      <c r="T23903" s="135"/>
      <c r="U23903" s="135"/>
    </row>
    <row r="23904" spans="20:21" ht="15" customHeight="1" x14ac:dyDescent="0.25">
      <c r="T23904" s="135"/>
      <c r="U23904" s="135"/>
    </row>
    <row r="23905" spans="20:21" ht="15" customHeight="1" x14ac:dyDescent="0.25">
      <c r="T23905" s="135"/>
      <c r="U23905" s="135"/>
    </row>
    <row r="23906" spans="20:21" ht="15" customHeight="1" x14ac:dyDescent="0.25">
      <c r="T23906" s="135"/>
      <c r="U23906" s="135"/>
    </row>
    <row r="23907" spans="20:21" ht="15" customHeight="1" x14ac:dyDescent="0.25">
      <c r="T23907" s="135"/>
      <c r="U23907" s="135"/>
    </row>
    <row r="23908" spans="20:21" ht="15" customHeight="1" x14ac:dyDescent="0.25">
      <c r="T23908" s="135"/>
      <c r="U23908" s="135"/>
    </row>
    <row r="23909" spans="20:21" ht="15" customHeight="1" x14ac:dyDescent="0.25">
      <c r="T23909" s="135"/>
      <c r="U23909" s="135"/>
    </row>
    <row r="23910" spans="20:21" ht="15" customHeight="1" x14ac:dyDescent="0.25">
      <c r="T23910" s="135"/>
      <c r="U23910" s="135"/>
    </row>
    <row r="23911" spans="20:21" ht="15" customHeight="1" x14ac:dyDescent="0.25">
      <c r="T23911" s="135"/>
      <c r="U23911" s="135"/>
    </row>
    <row r="23912" spans="20:21" ht="15" customHeight="1" x14ac:dyDescent="0.25">
      <c r="T23912" s="135"/>
      <c r="U23912" s="135"/>
    </row>
    <row r="23913" spans="20:21" ht="15" customHeight="1" x14ac:dyDescent="0.25">
      <c r="T23913" s="135"/>
      <c r="U23913" s="135"/>
    </row>
    <row r="23914" spans="20:21" ht="15" customHeight="1" x14ac:dyDescent="0.25">
      <c r="T23914" s="135"/>
      <c r="U23914" s="135"/>
    </row>
    <row r="23915" spans="20:21" ht="15" customHeight="1" x14ac:dyDescent="0.25">
      <c r="T23915" s="135"/>
      <c r="U23915" s="135"/>
    </row>
    <row r="23916" spans="20:21" ht="15" customHeight="1" x14ac:dyDescent="0.25">
      <c r="T23916" s="135"/>
      <c r="U23916" s="135"/>
    </row>
    <row r="23917" spans="20:21" ht="15" customHeight="1" x14ac:dyDescent="0.25">
      <c r="T23917" s="135"/>
      <c r="U23917" s="135"/>
    </row>
    <row r="23918" spans="20:21" ht="15" customHeight="1" x14ac:dyDescent="0.25">
      <c r="T23918" s="135"/>
      <c r="U23918" s="135"/>
    </row>
    <row r="23919" spans="20:21" ht="15" customHeight="1" x14ac:dyDescent="0.25">
      <c r="T23919" s="135"/>
      <c r="U23919" s="135"/>
    </row>
    <row r="23920" spans="20:21" ht="15" customHeight="1" x14ac:dyDescent="0.25">
      <c r="T23920" s="135"/>
      <c r="U23920" s="135"/>
    </row>
    <row r="23921" spans="20:21" ht="15" customHeight="1" x14ac:dyDescent="0.25">
      <c r="T23921" s="135"/>
      <c r="U23921" s="135"/>
    </row>
    <row r="23922" spans="20:21" ht="15" customHeight="1" x14ac:dyDescent="0.25">
      <c r="T23922" s="135"/>
      <c r="U23922" s="135"/>
    </row>
    <row r="23923" spans="20:21" ht="15" customHeight="1" x14ac:dyDescent="0.25">
      <c r="T23923" s="135"/>
      <c r="U23923" s="135"/>
    </row>
    <row r="23924" spans="20:21" ht="15" customHeight="1" x14ac:dyDescent="0.25">
      <c r="T23924" s="135"/>
      <c r="U23924" s="135"/>
    </row>
    <row r="23925" spans="20:21" ht="15" customHeight="1" x14ac:dyDescent="0.25">
      <c r="T23925" s="135"/>
      <c r="U23925" s="135"/>
    </row>
    <row r="23926" spans="20:21" ht="15" customHeight="1" x14ac:dyDescent="0.25">
      <c r="T23926" s="135"/>
      <c r="U23926" s="135"/>
    </row>
    <row r="23927" spans="20:21" ht="15" customHeight="1" x14ac:dyDescent="0.25">
      <c r="T23927" s="135"/>
      <c r="U23927" s="135"/>
    </row>
    <row r="23928" spans="20:21" ht="15" customHeight="1" x14ac:dyDescent="0.25">
      <c r="T23928" s="135"/>
      <c r="U23928" s="135"/>
    </row>
    <row r="23929" spans="20:21" ht="15" customHeight="1" x14ac:dyDescent="0.25">
      <c r="T23929" s="135"/>
      <c r="U23929" s="135"/>
    </row>
    <row r="23930" spans="20:21" ht="15" customHeight="1" x14ac:dyDescent="0.25">
      <c r="T23930" s="135"/>
      <c r="U23930" s="135"/>
    </row>
    <row r="23931" spans="20:21" ht="15" customHeight="1" x14ac:dyDescent="0.25">
      <c r="T23931" s="135"/>
      <c r="U23931" s="135"/>
    </row>
    <row r="23932" spans="20:21" ht="15" customHeight="1" x14ac:dyDescent="0.25">
      <c r="T23932" s="135"/>
      <c r="U23932" s="135"/>
    </row>
    <row r="23933" spans="20:21" ht="15" customHeight="1" x14ac:dyDescent="0.25">
      <c r="T23933" s="135"/>
      <c r="U23933" s="135"/>
    </row>
    <row r="23934" spans="20:21" ht="15" customHeight="1" x14ac:dyDescent="0.25">
      <c r="T23934" s="135"/>
      <c r="U23934" s="135"/>
    </row>
    <row r="23935" spans="20:21" ht="15" customHeight="1" x14ac:dyDescent="0.25">
      <c r="T23935" s="135"/>
      <c r="U23935" s="135"/>
    </row>
    <row r="23936" spans="20:21" ht="15" customHeight="1" x14ac:dyDescent="0.25">
      <c r="T23936" s="135"/>
      <c r="U23936" s="135"/>
    </row>
    <row r="23937" spans="20:21" ht="15" customHeight="1" x14ac:dyDescent="0.25">
      <c r="T23937" s="135"/>
      <c r="U23937" s="135"/>
    </row>
    <row r="23938" spans="20:21" ht="15" customHeight="1" x14ac:dyDescent="0.25">
      <c r="T23938" s="135"/>
      <c r="U23938" s="135"/>
    </row>
    <row r="23939" spans="20:21" ht="15" customHeight="1" x14ac:dyDescent="0.25">
      <c r="T23939" s="135"/>
      <c r="U23939" s="135"/>
    </row>
    <row r="23940" spans="20:21" ht="15" customHeight="1" x14ac:dyDescent="0.25">
      <c r="T23940" s="135"/>
      <c r="U23940" s="135"/>
    </row>
    <row r="23941" spans="20:21" ht="15" customHeight="1" x14ac:dyDescent="0.25">
      <c r="T23941" s="135"/>
      <c r="U23941" s="135"/>
    </row>
    <row r="23942" spans="20:21" ht="15" customHeight="1" x14ac:dyDescent="0.25">
      <c r="T23942" s="135"/>
      <c r="U23942" s="135"/>
    </row>
    <row r="23943" spans="20:21" ht="15" customHeight="1" x14ac:dyDescent="0.25">
      <c r="T23943" s="135"/>
      <c r="U23943" s="135"/>
    </row>
    <row r="23944" spans="20:21" ht="15" customHeight="1" x14ac:dyDescent="0.25">
      <c r="T23944" s="135"/>
      <c r="U23944" s="135"/>
    </row>
    <row r="23945" spans="20:21" ht="15" customHeight="1" x14ac:dyDescent="0.25">
      <c r="T23945" s="135"/>
      <c r="U23945" s="135"/>
    </row>
    <row r="23946" spans="20:21" ht="15" customHeight="1" x14ac:dyDescent="0.25">
      <c r="T23946" s="135"/>
      <c r="U23946" s="135"/>
    </row>
    <row r="23947" spans="20:21" ht="15" customHeight="1" x14ac:dyDescent="0.25">
      <c r="T23947" s="135"/>
      <c r="U23947" s="135"/>
    </row>
    <row r="23948" spans="20:21" ht="15" customHeight="1" x14ac:dyDescent="0.25">
      <c r="T23948" s="135"/>
      <c r="U23948" s="135"/>
    </row>
    <row r="23949" spans="20:21" ht="15" customHeight="1" x14ac:dyDescent="0.25">
      <c r="T23949" s="135"/>
      <c r="U23949" s="135"/>
    </row>
    <row r="23950" spans="20:21" ht="15" customHeight="1" x14ac:dyDescent="0.25">
      <c r="T23950" s="135"/>
      <c r="U23950" s="135"/>
    </row>
    <row r="23951" spans="20:21" ht="15" customHeight="1" x14ac:dyDescent="0.25">
      <c r="T23951" s="135"/>
      <c r="U23951" s="135"/>
    </row>
    <row r="23952" spans="20:21" ht="15" customHeight="1" x14ac:dyDescent="0.25">
      <c r="T23952" s="135"/>
      <c r="U23952" s="135"/>
    </row>
    <row r="23953" spans="20:21" ht="15" customHeight="1" x14ac:dyDescent="0.25">
      <c r="T23953" s="135"/>
      <c r="U23953" s="135"/>
    </row>
    <row r="23954" spans="20:21" ht="15" customHeight="1" x14ac:dyDescent="0.25">
      <c r="T23954" s="135"/>
      <c r="U23954" s="135"/>
    </row>
    <row r="23955" spans="20:21" ht="15" customHeight="1" x14ac:dyDescent="0.25">
      <c r="T23955" s="135"/>
      <c r="U23955" s="135"/>
    </row>
    <row r="23956" spans="20:21" ht="15" customHeight="1" x14ac:dyDescent="0.25">
      <c r="T23956" s="135"/>
      <c r="U23956" s="135"/>
    </row>
    <row r="23957" spans="20:21" ht="15" customHeight="1" x14ac:dyDescent="0.25">
      <c r="T23957" s="135"/>
      <c r="U23957" s="135"/>
    </row>
    <row r="23958" spans="20:21" ht="15" customHeight="1" x14ac:dyDescent="0.25">
      <c r="T23958" s="135"/>
      <c r="U23958" s="135"/>
    </row>
    <row r="23959" spans="20:21" ht="15" customHeight="1" x14ac:dyDescent="0.25">
      <c r="T23959" s="135"/>
      <c r="U23959" s="135"/>
    </row>
    <row r="23960" spans="20:21" ht="15" customHeight="1" x14ac:dyDescent="0.25">
      <c r="T23960" s="135"/>
      <c r="U23960" s="135"/>
    </row>
    <row r="23961" spans="20:21" ht="15" customHeight="1" x14ac:dyDescent="0.25">
      <c r="T23961" s="135"/>
      <c r="U23961" s="135"/>
    </row>
    <row r="23962" spans="20:21" ht="15" customHeight="1" x14ac:dyDescent="0.25">
      <c r="T23962" s="135"/>
      <c r="U23962" s="135"/>
    </row>
    <row r="23963" spans="20:21" ht="15" customHeight="1" x14ac:dyDescent="0.25">
      <c r="T23963" s="135"/>
      <c r="U23963" s="135"/>
    </row>
    <row r="23964" spans="20:21" ht="15" customHeight="1" x14ac:dyDescent="0.25">
      <c r="T23964" s="135"/>
      <c r="U23964" s="135"/>
    </row>
    <row r="23965" spans="20:21" ht="15" customHeight="1" x14ac:dyDescent="0.25">
      <c r="T23965" s="135"/>
      <c r="U23965" s="135"/>
    </row>
    <row r="23966" spans="20:21" ht="15" customHeight="1" x14ac:dyDescent="0.25">
      <c r="T23966" s="135"/>
      <c r="U23966" s="135"/>
    </row>
    <row r="23967" spans="20:21" ht="15" customHeight="1" x14ac:dyDescent="0.25">
      <c r="T23967" s="135"/>
      <c r="U23967" s="135"/>
    </row>
    <row r="23968" spans="20:21" ht="15" customHeight="1" x14ac:dyDescent="0.25">
      <c r="T23968" s="135"/>
      <c r="U23968" s="135"/>
    </row>
    <row r="23969" spans="20:21" ht="15" customHeight="1" x14ac:dyDescent="0.25">
      <c r="T23969" s="135"/>
      <c r="U23969" s="135"/>
    </row>
    <row r="23970" spans="20:21" ht="15" customHeight="1" x14ac:dyDescent="0.25">
      <c r="T23970" s="135"/>
      <c r="U23970" s="135"/>
    </row>
    <row r="23971" spans="20:21" ht="15" customHeight="1" x14ac:dyDescent="0.25">
      <c r="T23971" s="135"/>
      <c r="U23971" s="135"/>
    </row>
    <row r="23972" spans="20:21" ht="15" customHeight="1" x14ac:dyDescent="0.25">
      <c r="T23972" s="135"/>
      <c r="U23972" s="135"/>
    </row>
    <row r="23973" spans="20:21" ht="15" customHeight="1" x14ac:dyDescent="0.25">
      <c r="T23973" s="135"/>
      <c r="U23973" s="135"/>
    </row>
    <row r="23974" spans="20:21" ht="15" customHeight="1" x14ac:dyDescent="0.25">
      <c r="T23974" s="135"/>
      <c r="U23974" s="135"/>
    </row>
    <row r="23975" spans="20:21" ht="15" customHeight="1" x14ac:dyDescent="0.25">
      <c r="T23975" s="135"/>
      <c r="U23975" s="135"/>
    </row>
    <row r="23976" spans="20:21" ht="15" customHeight="1" x14ac:dyDescent="0.25">
      <c r="T23976" s="135"/>
      <c r="U23976" s="135"/>
    </row>
    <row r="23977" spans="20:21" ht="15" customHeight="1" x14ac:dyDescent="0.25">
      <c r="T23977" s="135"/>
      <c r="U23977" s="135"/>
    </row>
    <row r="23978" spans="20:21" ht="15" customHeight="1" x14ac:dyDescent="0.25">
      <c r="T23978" s="135"/>
      <c r="U23978" s="135"/>
    </row>
    <row r="23979" spans="20:21" ht="15" customHeight="1" x14ac:dyDescent="0.25">
      <c r="T23979" s="135"/>
      <c r="U23979" s="135"/>
    </row>
    <row r="23980" spans="20:21" ht="15" customHeight="1" x14ac:dyDescent="0.25">
      <c r="T23980" s="135"/>
      <c r="U23980" s="135"/>
    </row>
    <row r="23981" spans="20:21" ht="15" customHeight="1" x14ac:dyDescent="0.25">
      <c r="T23981" s="135"/>
      <c r="U23981" s="135"/>
    </row>
    <row r="23982" spans="20:21" ht="15" customHeight="1" x14ac:dyDescent="0.25">
      <c r="T23982" s="135"/>
      <c r="U23982" s="135"/>
    </row>
    <row r="23983" spans="20:21" ht="15" customHeight="1" x14ac:dyDescent="0.25">
      <c r="T23983" s="135"/>
      <c r="U23983" s="135"/>
    </row>
    <row r="23984" spans="20:21" ht="15" customHeight="1" x14ac:dyDescent="0.25">
      <c r="T23984" s="135"/>
      <c r="U23984" s="135"/>
    </row>
    <row r="23985" spans="20:21" ht="15" customHeight="1" x14ac:dyDescent="0.25">
      <c r="T23985" s="135"/>
      <c r="U23985" s="135"/>
    </row>
    <row r="23986" spans="20:21" ht="15" customHeight="1" x14ac:dyDescent="0.25">
      <c r="T23986" s="135"/>
      <c r="U23986" s="135"/>
    </row>
    <row r="23987" spans="20:21" ht="15" customHeight="1" x14ac:dyDescent="0.25">
      <c r="T23987" s="135"/>
      <c r="U23987" s="135"/>
    </row>
    <row r="23988" spans="20:21" ht="15" customHeight="1" x14ac:dyDescent="0.25">
      <c r="T23988" s="135"/>
      <c r="U23988" s="135"/>
    </row>
    <row r="23989" spans="20:21" ht="15" customHeight="1" x14ac:dyDescent="0.25">
      <c r="T23989" s="135"/>
      <c r="U23989" s="135"/>
    </row>
    <row r="23990" spans="20:21" ht="15" customHeight="1" x14ac:dyDescent="0.25">
      <c r="T23990" s="135"/>
      <c r="U23990" s="135"/>
    </row>
    <row r="23991" spans="20:21" ht="15" customHeight="1" x14ac:dyDescent="0.25">
      <c r="T23991" s="135"/>
      <c r="U23991" s="135"/>
    </row>
    <row r="23992" spans="20:21" ht="15" customHeight="1" x14ac:dyDescent="0.25">
      <c r="T23992" s="135"/>
      <c r="U23992" s="135"/>
    </row>
    <row r="23993" spans="20:21" ht="15" customHeight="1" x14ac:dyDescent="0.25">
      <c r="T23993" s="135"/>
      <c r="U23993" s="135"/>
    </row>
    <row r="23994" spans="20:21" ht="15" customHeight="1" x14ac:dyDescent="0.25">
      <c r="T23994" s="135"/>
      <c r="U23994" s="135"/>
    </row>
    <row r="23995" spans="20:21" ht="15" customHeight="1" x14ac:dyDescent="0.25">
      <c r="T23995" s="135"/>
      <c r="U23995" s="135"/>
    </row>
    <row r="23996" spans="20:21" ht="15" customHeight="1" x14ac:dyDescent="0.25">
      <c r="T23996" s="135"/>
      <c r="U23996" s="135"/>
    </row>
    <row r="23997" spans="20:21" ht="15" customHeight="1" x14ac:dyDescent="0.25">
      <c r="T23997" s="135"/>
      <c r="U23997" s="135"/>
    </row>
    <row r="23998" spans="20:21" ht="15" customHeight="1" x14ac:dyDescent="0.25">
      <c r="T23998" s="135"/>
      <c r="U23998" s="135"/>
    </row>
    <row r="23999" spans="20:21" ht="15" customHeight="1" x14ac:dyDescent="0.25">
      <c r="T23999" s="135"/>
      <c r="U23999" s="135"/>
    </row>
    <row r="24000" spans="20:21" ht="15" customHeight="1" x14ac:dyDescent="0.25">
      <c r="T24000" s="135"/>
      <c r="U24000" s="135"/>
    </row>
    <row r="24001" spans="20:21" ht="15" customHeight="1" x14ac:dyDescent="0.25">
      <c r="T24001" s="135"/>
      <c r="U24001" s="135"/>
    </row>
    <row r="24002" spans="20:21" ht="15" customHeight="1" x14ac:dyDescent="0.25">
      <c r="T24002" s="135"/>
      <c r="U24002" s="135"/>
    </row>
    <row r="24003" spans="20:21" ht="15" customHeight="1" x14ac:dyDescent="0.25">
      <c r="T24003" s="135"/>
      <c r="U24003" s="135"/>
    </row>
    <row r="24004" spans="20:21" ht="15" customHeight="1" x14ac:dyDescent="0.25">
      <c r="T24004" s="135"/>
      <c r="U24004" s="135"/>
    </row>
    <row r="24005" spans="20:21" ht="15" customHeight="1" x14ac:dyDescent="0.25">
      <c r="T24005" s="135"/>
      <c r="U24005" s="135"/>
    </row>
    <row r="24006" spans="20:21" ht="15" customHeight="1" x14ac:dyDescent="0.25">
      <c r="T24006" s="135"/>
      <c r="U24006" s="135"/>
    </row>
    <row r="24007" spans="20:21" ht="15" customHeight="1" x14ac:dyDescent="0.25">
      <c r="T24007" s="135"/>
      <c r="U24007" s="135"/>
    </row>
    <row r="24008" spans="20:21" ht="15" customHeight="1" x14ac:dyDescent="0.25">
      <c r="T24008" s="135"/>
      <c r="U24008" s="135"/>
    </row>
    <row r="24009" spans="20:21" ht="15" customHeight="1" x14ac:dyDescent="0.25">
      <c r="T24009" s="135"/>
      <c r="U24009" s="135"/>
    </row>
    <row r="24010" spans="20:21" ht="15" customHeight="1" x14ac:dyDescent="0.25">
      <c r="T24010" s="135"/>
      <c r="U24010" s="135"/>
    </row>
    <row r="24011" spans="20:21" ht="15" customHeight="1" x14ac:dyDescent="0.25">
      <c r="T24011" s="135"/>
      <c r="U24011" s="135"/>
    </row>
    <row r="24012" spans="20:21" ht="15" customHeight="1" x14ac:dyDescent="0.25">
      <c r="T24012" s="135"/>
      <c r="U24012" s="135"/>
    </row>
    <row r="24013" spans="20:21" ht="15" customHeight="1" x14ac:dyDescent="0.25">
      <c r="T24013" s="135"/>
      <c r="U24013" s="135"/>
    </row>
    <row r="24014" spans="20:21" ht="15" customHeight="1" x14ac:dyDescent="0.25">
      <c r="T24014" s="135"/>
      <c r="U24014" s="135"/>
    </row>
    <row r="24015" spans="20:21" ht="15" customHeight="1" x14ac:dyDescent="0.25">
      <c r="T24015" s="135"/>
      <c r="U24015" s="135"/>
    </row>
    <row r="24016" spans="20:21" ht="15" customHeight="1" x14ac:dyDescent="0.25">
      <c r="T24016" s="135"/>
      <c r="U24016" s="135"/>
    </row>
    <row r="24017" spans="20:21" ht="15" customHeight="1" x14ac:dyDescent="0.25">
      <c r="T24017" s="135"/>
      <c r="U24017" s="135"/>
    </row>
    <row r="24018" spans="20:21" ht="15" customHeight="1" x14ac:dyDescent="0.25">
      <c r="T24018" s="135"/>
      <c r="U24018" s="135"/>
    </row>
    <row r="24019" spans="20:21" ht="15" customHeight="1" x14ac:dyDescent="0.25">
      <c r="T24019" s="135"/>
      <c r="U24019" s="135"/>
    </row>
    <row r="24020" spans="20:21" ht="15" customHeight="1" x14ac:dyDescent="0.25">
      <c r="T24020" s="135"/>
      <c r="U24020" s="135"/>
    </row>
    <row r="24021" spans="20:21" ht="15" customHeight="1" x14ac:dyDescent="0.25">
      <c r="T24021" s="135"/>
      <c r="U24021" s="135"/>
    </row>
    <row r="24022" spans="20:21" ht="15" customHeight="1" x14ac:dyDescent="0.25">
      <c r="T24022" s="135"/>
      <c r="U24022" s="135"/>
    </row>
    <row r="24023" spans="20:21" ht="15" customHeight="1" x14ac:dyDescent="0.25">
      <c r="T24023" s="135"/>
      <c r="U24023" s="135"/>
    </row>
    <row r="24024" spans="20:21" ht="15" customHeight="1" x14ac:dyDescent="0.25">
      <c r="T24024" s="135"/>
      <c r="U24024" s="135"/>
    </row>
    <row r="24025" spans="20:21" ht="15" customHeight="1" x14ac:dyDescent="0.25">
      <c r="T24025" s="135"/>
      <c r="U24025" s="135"/>
    </row>
    <row r="24026" spans="20:21" ht="15" customHeight="1" x14ac:dyDescent="0.25">
      <c r="T24026" s="135"/>
      <c r="U24026" s="135"/>
    </row>
    <row r="24027" spans="20:21" ht="15" customHeight="1" x14ac:dyDescent="0.25">
      <c r="T24027" s="135"/>
      <c r="U24027" s="135"/>
    </row>
    <row r="24028" spans="20:21" ht="15" customHeight="1" x14ac:dyDescent="0.25">
      <c r="T24028" s="135"/>
      <c r="U24028" s="135"/>
    </row>
    <row r="24029" spans="20:21" ht="15" customHeight="1" x14ac:dyDescent="0.25">
      <c r="T24029" s="135"/>
      <c r="U24029" s="135"/>
    </row>
    <row r="24030" spans="20:21" ht="15" customHeight="1" x14ac:dyDescent="0.25">
      <c r="T24030" s="135"/>
      <c r="U24030" s="135"/>
    </row>
    <row r="24031" spans="20:21" ht="15" customHeight="1" x14ac:dyDescent="0.25">
      <c r="T24031" s="135"/>
      <c r="U24031" s="135"/>
    </row>
    <row r="24032" spans="20:21" ht="15" customHeight="1" x14ac:dyDescent="0.25">
      <c r="T24032" s="135"/>
      <c r="U24032" s="135"/>
    </row>
    <row r="24033" spans="20:21" ht="15" customHeight="1" x14ac:dyDescent="0.25">
      <c r="T24033" s="135"/>
      <c r="U24033" s="135"/>
    </row>
    <row r="24034" spans="20:21" ht="15" customHeight="1" x14ac:dyDescent="0.25">
      <c r="T24034" s="135"/>
      <c r="U24034" s="135"/>
    </row>
    <row r="24035" spans="20:21" ht="15" customHeight="1" x14ac:dyDescent="0.25">
      <c r="T24035" s="135"/>
      <c r="U24035" s="135"/>
    </row>
    <row r="24036" spans="20:21" ht="15" customHeight="1" x14ac:dyDescent="0.25">
      <c r="T24036" s="135"/>
      <c r="U24036" s="135"/>
    </row>
    <row r="24037" spans="20:21" ht="15" customHeight="1" x14ac:dyDescent="0.25">
      <c r="T24037" s="135"/>
      <c r="U24037" s="135"/>
    </row>
    <row r="24038" spans="20:21" ht="15" customHeight="1" x14ac:dyDescent="0.25">
      <c r="T24038" s="135"/>
      <c r="U24038" s="135"/>
    </row>
    <row r="24039" spans="20:21" ht="15" customHeight="1" x14ac:dyDescent="0.25">
      <c r="T24039" s="135"/>
      <c r="U24039" s="135"/>
    </row>
    <row r="24040" spans="20:21" ht="15" customHeight="1" x14ac:dyDescent="0.25">
      <c r="T24040" s="135"/>
      <c r="U24040" s="135"/>
    </row>
    <row r="24041" spans="20:21" ht="15" customHeight="1" x14ac:dyDescent="0.25">
      <c r="T24041" s="135"/>
      <c r="U24041" s="135"/>
    </row>
    <row r="24042" spans="20:21" ht="15" customHeight="1" x14ac:dyDescent="0.25">
      <c r="T24042" s="135"/>
      <c r="U24042" s="135"/>
    </row>
    <row r="24043" spans="20:21" ht="15" customHeight="1" x14ac:dyDescent="0.25">
      <c r="T24043" s="135"/>
      <c r="U24043" s="135"/>
    </row>
    <row r="24044" spans="20:21" ht="15" customHeight="1" x14ac:dyDescent="0.25">
      <c r="T24044" s="135"/>
      <c r="U24044" s="135"/>
    </row>
    <row r="24045" spans="20:21" ht="15" customHeight="1" x14ac:dyDescent="0.25">
      <c r="T24045" s="135"/>
      <c r="U24045" s="135"/>
    </row>
    <row r="24046" spans="20:21" ht="15" customHeight="1" x14ac:dyDescent="0.25">
      <c r="T24046" s="135"/>
      <c r="U24046" s="135"/>
    </row>
    <row r="24047" spans="20:21" ht="15" customHeight="1" x14ac:dyDescent="0.25">
      <c r="T24047" s="135"/>
      <c r="U24047" s="135"/>
    </row>
    <row r="24048" spans="20:21" ht="15" customHeight="1" x14ac:dyDescent="0.25">
      <c r="T24048" s="135"/>
      <c r="U24048" s="135"/>
    </row>
    <row r="24049" spans="20:21" ht="15" customHeight="1" x14ac:dyDescent="0.25">
      <c r="T24049" s="135"/>
      <c r="U24049" s="135"/>
    </row>
    <row r="24050" spans="20:21" ht="15" customHeight="1" x14ac:dyDescent="0.25">
      <c r="T24050" s="135"/>
      <c r="U24050" s="135"/>
    </row>
    <row r="24051" spans="20:21" ht="15" customHeight="1" x14ac:dyDescent="0.25">
      <c r="T24051" s="135"/>
      <c r="U24051" s="135"/>
    </row>
    <row r="24052" spans="20:21" ht="15" customHeight="1" x14ac:dyDescent="0.25">
      <c r="T24052" s="135"/>
      <c r="U24052" s="135"/>
    </row>
    <row r="24053" spans="20:21" ht="15" customHeight="1" x14ac:dyDescent="0.25">
      <c r="T24053" s="135"/>
      <c r="U24053" s="135"/>
    </row>
    <row r="24054" spans="20:21" ht="15" customHeight="1" x14ac:dyDescent="0.25">
      <c r="T24054" s="135"/>
      <c r="U24054" s="135"/>
    </row>
    <row r="24055" spans="20:21" ht="15" customHeight="1" x14ac:dyDescent="0.25">
      <c r="T24055" s="135"/>
      <c r="U24055" s="135"/>
    </row>
    <row r="24056" spans="20:21" ht="15" customHeight="1" x14ac:dyDescent="0.25">
      <c r="T24056" s="135"/>
      <c r="U24056" s="135"/>
    </row>
    <row r="24057" spans="20:21" ht="15" customHeight="1" x14ac:dyDescent="0.25">
      <c r="T24057" s="135"/>
      <c r="U24057" s="135"/>
    </row>
    <row r="24058" spans="20:21" ht="15" customHeight="1" x14ac:dyDescent="0.25">
      <c r="T24058" s="135"/>
      <c r="U24058" s="135"/>
    </row>
    <row r="24059" spans="20:21" ht="15" customHeight="1" x14ac:dyDescent="0.25">
      <c r="T24059" s="135"/>
      <c r="U24059" s="135"/>
    </row>
    <row r="24060" spans="20:21" ht="15" customHeight="1" x14ac:dyDescent="0.25">
      <c r="T24060" s="135"/>
      <c r="U24060" s="135"/>
    </row>
    <row r="24061" spans="20:21" ht="15" customHeight="1" x14ac:dyDescent="0.25">
      <c r="T24061" s="135"/>
      <c r="U24061" s="135"/>
    </row>
    <row r="24062" spans="20:21" ht="15" customHeight="1" x14ac:dyDescent="0.25">
      <c r="T24062" s="135"/>
      <c r="U24062" s="135"/>
    </row>
    <row r="24063" spans="20:21" ht="15" customHeight="1" x14ac:dyDescent="0.25">
      <c r="T24063" s="135"/>
      <c r="U24063" s="135"/>
    </row>
    <row r="24064" spans="20:21" ht="15" customHeight="1" x14ac:dyDescent="0.25">
      <c r="T24064" s="135"/>
      <c r="U24064" s="135"/>
    </row>
    <row r="24065" spans="20:21" ht="15" customHeight="1" x14ac:dyDescent="0.25">
      <c r="T24065" s="135"/>
      <c r="U24065" s="135"/>
    </row>
    <row r="24066" spans="20:21" ht="15" customHeight="1" x14ac:dyDescent="0.25">
      <c r="T24066" s="135"/>
      <c r="U24066" s="135"/>
    </row>
    <row r="24067" spans="20:21" ht="15" customHeight="1" x14ac:dyDescent="0.25">
      <c r="T24067" s="135"/>
      <c r="U24067" s="135"/>
    </row>
    <row r="24068" spans="20:21" ht="15" customHeight="1" x14ac:dyDescent="0.25">
      <c r="T24068" s="135"/>
      <c r="U24068" s="135"/>
    </row>
    <row r="24069" spans="20:21" ht="15" customHeight="1" x14ac:dyDescent="0.25">
      <c r="T24069" s="135"/>
      <c r="U24069" s="135"/>
    </row>
    <row r="24070" spans="20:21" ht="15" customHeight="1" x14ac:dyDescent="0.25">
      <c r="T24070" s="135"/>
      <c r="U24070" s="135"/>
    </row>
    <row r="24071" spans="20:21" ht="15" customHeight="1" x14ac:dyDescent="0.25">
      <c r="T24071" s="135"/>
      <c r="U24071" s="135"/>
    </row>
    <row r="24072" spans="20:21" ht="15" customHeight="1" x14ac:dyDescent="0.25">
      <c r="T24072" s="135"/>
      <c r="U24072" s="135"/>
    </row>
    <row r="24073" spans="20:21" ht="15" customHeight="1" x14ac:dyDescent="0.25">
      <c r="T24073" s="135"/>
      <c r="U24073" s="135"/>
    </row>
    <row r="24074" spans="20:21" ht="15" customHeight="1" x14ac:dyDescent="0.25">
      <c r="T24074" s="135"/>
      <c r="U24074" s="135"/>
    </row>
    <row r="24075" spans="20:21" ht="15" customHeight="1" x14ac:dyDescent="0.25">
      <c r="T24075" s="135"/>
      <c r="U24075" s="135"/>
    </row>
    <row r="24076" spans="20:21" ht="15" customHeight="1" x14ac:dyDescent="0.25">
      <c r="T24076" s="135"/>
      <c r="U24076" s="135"/>
    </row>
    <row r="24077" spans="20:21" ht="15" customHeight="1" x14ac:dyDescent="0.25">
      <c r="T24077" s="135"/>
      <c r="U24077" s="135"/>
    </row>
    <row r="24078" spans="20:21" ht="15" customHeight="1" x14ac:dyDescent="0.25">
      <c r="T24078" s="135"/>
      <c r="U24078" s="135"/>
    </row>
    <row r="24079" spans="20:21" ht="15" customHeight="1" x14ac:dyDescent="0.25">
      <c r="T24079" s="135"/>
      <c r="U24079" s="135"/>
    </row>
    <row r="24080" spans="20:21" ht="15" customHeight="1" x14ac:dyDescent="0.25">
      <c r="T24080" s="135"/>
      <c r="U24080" s="135"/>
    </row>
    <row r="24081" spans="20:21" ht="15" customHeight="1" x14ac:dyDescent="0.25">
      <c r="T24081" s="135"/>
      <c r="U24081" s="135"/>
    </row>
    <row r="24082" spans="20:21" ht="15" customHeight="1" x14ac:dyDescent="0.25">
      <c r="T24082" s="135"/>
      <c r="U24082" s="135"/>
    </row>
    <row r="24083" spans="20:21" ht="15" customHeight="1" x14ac:dyDescent="0.25">
      <c r="T24083" s="135"/>
      <c r="U24083" s="135"/>
    </row>
    <row r="24084" spans="20:21" ht="15" customHeight="1" x14ac:dyDescent="0.25">
      <c r="T24084" s="135"/>
      <c r="U24084" s="135"/>
    </row>
    <row r="24085" spans="20:21" ht="15" customHeight="1" x14ac:dyDescent="0.25">
      <c r="T24085" s="135"/>
      <c r="U24085" s="135"/>
    </row>
    <row r="24086" spans="20:21" ht="15" customHeight="1" x14ac:dyDescent="0.25">
      <c r="T24086" s="135"/>
      <c r="U24086" s="135"/>
    </row>
    <row r="24087" spans="20:21" ht="15" customHeight="1" x14ac:dyDescent="0.25">
      <c r="T24087" s="135"/>
      <c r="U24087" s="135"/>
    </row>
    <row r="24088" spans="20:21" ht="15" customHeight="1" x14ac:dyDescent="0.25">
      <c r="T24088" s="135"/>
      <c r="U24088" s="135"/>
    </row>
    <row r="24089" spans="20:21" ht="15" customHeight="1" x14ac:dyDescent="0.25">
      <c r="T24089" s="135"/>
      <c r="U24089" s="135"/>
    </row>
    <row r="24090" spans="20:21" ht="15" customHeight="1" x14ac:dyDescent="0.25">
      <c r="T24090" s="135"/>
      <c r="U24090" s="135"/>
    </row>
    <row r="24091" spans="20:21" ht="15" customHeight="1" x14ac:dyDescent="0.25">
      <c r="T24091" s="135"/>
      <c r="U24091" s="135"/>
    </row>
    <row r="24092" spans="20:21" ht="15" customHeight="1" x14ac:dyDescent="0.25">
      <c r="T24092" s="135"/>
      <c r="U24092" s="135"/>
    </row>
    <row r="24093" spans="20:21" ht="15" customHeight="1" x14ac:dyDescent="0.25">
      <c r="T24093" s="135"/>
      <c r="U24093" s="135"/>
    </row>
    <row r="24094" spans="20:21" ht="15" customHeight="1" x14ac:dyDescent="0.25">
      <c r="T24094" s="135"/>
      <c r="U24094" s="135"/>
    </row>
    <row r="24095" spans="20:21" ht="15" customHeight="1" x14ac:dyDescent="0.25">
      <c r="T24095" s="135"/>
      <c r="U24095" s="135"/>
    </row>
    <row r="24096" spans="20:21" ht="15" customHeight="1" x14ac:dyDescent="0.25">
      <c r="T24096" s="135"/>
      <c r="U24096" s="135"/>
    </row>
    <row r="24097" spans="20:21" ht="15" customHeight="1" x14ac:dyDescent="0.25">
      <c r="T24097" s="135"/>
      <c r="U24097" s="135"/>
    </row>
    <row r="24098" spans="20:21" ht="15" customHeight="1" x14ac:dyDescent="0.25">
      <c r="T24098" s="135"/>
      <c r="U24098" s="135"/>
    </row>
    <row r="24099" spans="20:21" ht="15" customHeight="1" x14ac:dyDescent="0.25">
      <c r="T24099" s="135"/>
      <c r="U24099" s="135"/>
    </row>
    <row r="24100" spans="20:21" ht="15" customHeight="1" x14ac:dyDescent="0.25">
      <c r="T24100" s="135"/>
      <c r="U24100" s="135"/>
    </row>
    <row r="24101" spans="20:21" ht="15" customHeight="1" x14ac:dyDescent="0.25">
      <c r="T24101" s="135"/>
      <c r="U24101" s="135"/>
    </row>
    <row r="24102" spans="20:21" ht="15" customHeight="1" x14ac:dyDescent="0.25">
      <c r="T24102" s="135"/>
      <c r="U24102" s="135"/>
    </row>
    <row r="24103" spans="20:21" ht="15" customHeight="1" x14ac:dyDescent="0.25">
      <c r="T24103" s="135"/>
      <c r="U24103" s="135"/>
    </row>
    <row r="24104" spans="20:21" ht="15" customHeight="1" x14ac:dyDescent="0.25">
      <c r="T24104" s="135"/>
      <c r="U24104" s="135"/>
    </row>
    <row r="24105" spans="20:21" ht="15" customHeight="1" x14ac:dyDescent="0.25">
      <c r="T24105" s="135"/>
      <c r="U24105" s="135"/>
    </row>
    <row r="24106" spans="20:21" ht="15" customHeight="1" x14ac:dyDescent="0.25">
      <c r="T24106" s="135"/>
      <c r="U24106" s="135"/>
    </row>
    <row r="24107" spans="20:21" ht="15" customHeight="1" x14ac:dyDescent="0.25">
      <c r="T24107" s="135"/>
      <c r="U24107" s="135"/>
    </row>
    <row r="24108" spans="20:21" ht="15" customHeight="1" x14ac:dyDescent="0.25">
      <c r="T24108" s="135"/>
      <c r="U24108" s="135"/>
    </row>
    <row r="24109" spans="20:21" ht="15" customHeight="1" x14ac:dyDescent="0.25">
      <c r="T24109" s="135"/>
      <c r="U24109" s="135"/>
    </row>
    <row r="24110" spans="20:21" ht="15" customHeight="1" x14ac:dyDescent="0.25">
      <c r="T24110" s="135"/>
      <c r="U24110" s="135"/>
    </row>
    <row r="24111" spans="20:21" ht="15" customHeight="1" x14ac:dyDescent="0.25">
      <c r="T24111" s="135"/>
      <c r="U24111" s="135"/>
    </row>
    <row r="24112" spans="20:21" ht="15" customHeight="1" x14ac:dyDescent="0.25">
      <c r="T24112" s="135"/>
      <c r="U24112" s="135"/>
    </row>
    <row r="24113" spans="20:21" ht="15" customHeight="1" x14ac:dyDescent="0.25">
      <c r="T24113" s="135"/>
      <c r="U24113" s="135"/>
    </row>
    <row r="24114" spans="20:21" ht="15" customHeight="1" x14ac:dyDescent="0.25">
      <c r="T24114" s="135"/>
      <c r="U24114" s="135"/>
    </row>
    <row r="24115" spans="20:21" ht="15" customHeight="1" x14ac:dyDescent="0.25">
      <c r="T24115" s="135"/>
      <c r="U24115" s="135"/>
    </row>
    <row r="24116" spans="20:21" ht="15" customHeight="1" x14ac:dyDescent="0.25">
      <c r="T24116" s="135"/>
      <c r="U24116" s="135"/>
    </row>
    <row r="24117" spans="20:21" ht="15" customHeight="1" x14ac:dyDescent="0.25">
      <c r="T24117" s="135"/>
      <c r="U24117" s="135"/>
    </row>
    <row r="24118" spans="20:21" ht="15" customHeight="1" x14ac:dyDescent="0.25">
      <c r="T24118" s="135"/>
      <c r="U24118" s="135"/>
    </row>
    <row r="24119" spans="20:21" ht="15" customHeight="1" x14ac:dyDescent="0.25">
      <c r="T24119" s="135"/>
      <c r="U24119" s="135"/>
    </row>
    <row r="24120" spans="20:21" ht="15" customHeight="1" x14ac:dyDescent="0.25">
      <c r="T24120" s="135"/>
      <c r="U24120" s="135"/>
    </row>
    <row r="24121" spans="20:21" ht="15" customHeight="1" x14ac:dyDescent="0.25">
      <c r="T24121" s="135"/>
      <c r="U24121" s="135"/>
    </row>
    <row r="24122" spans="20:21" ht="15" customHeight="1" x14ac:dyDescent="0.25">
      <c r="T24122" s="135"/>
      <c r="U24122" s="135"/>
    </row>
    <row r="24123" spans="20:21" ht="15" customHeight="1" x14ac:dyDescent="0.25">
      <c r="T24123" s="135"/>
      <c r="U24123" s="135"/>
    </row>
    <row r="24124" spans="20:21" ht="15" customHeight="1" x14ac:dyDescent="0.25">
      <c r="T24124" s="135"/>
      <c r="U24124" s="135"/>
    </row>
    <row r="24125" spans="20:21" ht="15" customHeight="1" x14ac:dyDescent="0.25">
      <c r="T24125" s="135"/>
      <c r="U24125" s="135"/>
    </row>
    <row r="24126" spans="20:21" ht="15" customHeight="1" x14ac:dyDescent="0.25">
      <c r="T24126" s="135"/>
      <c r="U24126" s="135"/>
    </row>
    <row r="24127" spans="20:21" ht="15" customHeight="1" x14ac:dyDescent="0.25">
      <c r="T24127" s="135"/>
      <c r="U24127" s="135"/>
    </row>
    <row r="24128" spans="20:21" ht="15" customHeight="1" x14ac:dyDescent="0.25">
      <c r="T24128" s="135"/>
      <c r="U24128" s="135"/>
    </row>
    <row r="24129" spans="20:21" ht="15" customHeight="1" x14ac:dyDescent="0.25">
      <c r="T24129" s="135"/>
      <c r="U24129" s="135"/>
    </row>
    <row r="24130" spans="20:21" ht="15" customHeight="1" x14ac:dyDescent="0.25">
      <c r="T24130" s="135"/>
      <c r="U24130" s="135"/>
    </row>
    <row r="24131" spans="20:21" ht="15" customHeight="1" x14ac:dyDescent="0.25">
      <c r="T24131" s="135"/>
      <c r="U24131" s="135"/>
    </row>
    <row r="24132" spans="20:21" ht="15" customHeight="1" x14ac:dyDescent="0.25">
      <c r="T24132" s="135"/>
      <c r="U24132" s="135"/>
    </row>
    <row r="24133" spans="20:21" ht="15" customHeight="1" x14ac:dyDescent="0.25">
      <c r="T24133" s="135"/>
      <c r="U24133" s="135"/>
    </row>
    <row r="24134" spans="20:21" ht="15" customHeight="1" x14ac:dyDescent="0.25">
      <c r="T24134" s="135"/>
      <c r="U24134" s="135"/>
    </row>
    <row r="24135" spans="20:21" ht="15" customHeight="1" x14ac:dyDescent="0.25">
      <c r="T24135" s="135"/>
      <c r="U24135" s="135"/>
    </row>
    <row r="24136" spans="20:21" ht="15" customHeight="1" x14ac:dyDescent="0.25">
      <c r="T24136" s="135"/>
      <c r="U24136" s="135"/>
    </row>
    <row r="24137" spans="20:21" ht="15" customHeight="1" x14ac:dyDescent="0.25">
      <c r="T24137" s="135"/>
      <c r="U24137" s="135"/>
    </row>
    <row r="24138" spans="20:21" ht="15" customHeight="1" x14ac:dyDescent="0.25">
      <c r="T24138" s="135"/>
      <c r="U24138" s="135"/>
    </row>
    <row r="24139" spans="20:21" ht="15" customHeight="1" x14ac:dyDescent="0.25">
      <c r="T24139" s="135"/>
      <c r="U24139" s="135"/>
    </row>
    <row r="24140" spans="20:21" ht="15" customHeight="1" x14ac:dyDescent="0.25">
      <c r="T24140" s="135"/>
      <c r="U24140" s="135"/>
    </row>
    <row r="24141" spans="20:21" ht="15" customHeight="1" x14ac:dyDescent="0.25">
      <c r="T24141" s="135"/>
      <c r="U24141" s="135"/>
    </row>
    <row r="24142" spans="20:21" ht="15" customHeight="1" x14ac:dyDescent="0.25">
      <c r="T24142" s="135"/>
      <c r="U24142" s="135"/>
    </row>
    <row r="24143" spans="20:21" ht="15" customHeight="1" x14ac:dyDescent="0.25">
      <c r="T24143" s="135"/>
      <c r="U24143" s="135"/>
    </row>
    <row r="24144" spans="20:21" ht="15" customHeight="1" x14ac:dyDescent="0.25">
      <c r="T24144" s="135"/>
      <c r="U24144" s="135"/>
    </row>
    <row r="24145" spans="20:21" ht="15" customHeight="1" x14ac:dyDescent="0.25">
      <c r="T24145" s="135"/>
      <c r="U24145" s="135"/>
    </row>
    <row r="24146" spans="20:21" ht="15" customHeight="1" x14ac:dyDescent="0.25">
      <c r="T24146" s="135"/>
      <c r="U24146" s="135"/>
    </row>
    <row r="24147" spans="20:21" ht="15" customHeight="1" x14ac:dyDescent="0.25">
      <c r="T24147" s="135"/>
      <c r="U24147" s="135"/>
    </row>
    <row r="24148" spans="20:21" ht="15" customHeight="1" x14ac:dyDescent="0.25">
      <c r="T24148" s="135"/>
      <c r="U24148" s="135"/>
    </row>
    <row r="24149" spans="20:21" ht="15" customHeight="1" x14ac:dyDescent="0.25">
      <c r="T24149" s="135"/>
      <c r="U24149" s="135"/>
    </row>
    <row r="24150" spans="20:21" ht="15" customHeight="1" x14ac:dyDescent="0.25">
      <c r="T24150" s="135"/>
      <c r="U24150" s="135"/>
    </row>
    <row r="24151" spans="20:21" ht="15" customHeight="1" x14ac:dyDescent="0.25">
      <c r="T24151" s="135"/>
      <c r="U24151" s="135"/>
    </row>
    <row r="24152" spans="20:21" ht="15" customHeight="1" x14ac:dyDescent="0.25">
      <c r="T24152" s="135"/>
      <c r="U24152" s="135"/>
    </row>
    <row r="24153" spans="20:21" ht="15" customHeight="1" x14ac:dyDescent="0.25">
      <c r="T24153" s="135"/>
      <c r="U24153" s="135"/>
    </row>
    <row r="24154" spans="20:21" ht="15" customHeight="1" x14ac:dyDescent="0.25">
      <c r="T24154" s="135"/>
      <c r="U24154" s="135"/>
    </row>
    <row r="24155" spans="20:21" ht="15" customHeight="1" x14ac:dyDescent="0.25">
      <c r="T24155" s="135"/>
      <c r="U24155" s="135"/>
    </row>
    <row r="24156" spans="20:21" ht="15" customHeight="1" x14ac:dyDescent="0.25">
      <c r="T24156" s="135"/>
      <c r="U24156" s="135"/>
    </row>
    <row r="24157" spans="20:21" ht="15" customHeight="1" x14ac:dyDescent="0.25">
      <c r="T24157" s="135"/>
      <c r="U24157" s="135"/>
    </row>
    <row r="24158" spans="20:21" ht="15" customHeight="1" x14ac:dyDescent="0.25">
      <c r="T24158" s="135"/>
      <c r="U24158" s="135"/>
    </row>
    <row r="24159" spans="20:21" ht="15" customHeight="1" x14ac:dyDescent="0.25">
      <c r="T24159" s="135"/>
      <c r="U24159" s="135"/>
    </row>
    <row r="24160" spans="20:21" ht="15" customHeight="1" x14ac:dyDescent="0.25">
      <c r="T24160" s="135"/>
      <c r="U24160" s="135"/>
    </row>
    <row r="24161" spans="20:21" ht="15" customHeight="1" x14ac:dyDescent="0.25">
      <c r="T24161" s="135"/>
      <c r="U24161" s="135"/>
    </row>
    <row r="24162" spans="20:21" ht="15" customHeight="1" x14ac:dyDescent="0.25">
      <c r="T24162" s="135"/>
      <c r="U24162" s="135"/>
    </row>
    <row r="24163" spans="20:21" ht="15" customHeight="1" x14ac:dyDescent="0.25">
      <c r="T24163" s="135"/>
      <c r="U24163" s="135"/>
    </row>
    <row r="24164" spans="20:21" ht="15" customHeight="1" x14ac:dyDescent="0.25">
      <c r="T24164" s="135"/>
      <c r="U24164" s="135"/>
    </row>
    <row r="24165" spans="20:21" ht="15" customHeight="1" x14ac:dyDescent="0.25">
      <c r="T24165" s="135"/>
      <c r="U24165" s="135"/>
    </row>
    <row r="24166" spans="20:21" ht="15" customHeight="1" x14ac:dyDescent="0.25">
      <c r="T24166" s="135"/>
      <c r="U24166" s="135"/>
    </row>
    <row r="24167" spans="20:21" ht="15" customHeight="1" x14ac:dyDescent="0.25">
      <c r="T24167" s="135"/>
      <c r="U24167" s="135"/>
    </row>
    <row r="24168" spans="20:21" ht="15" customHeight="1" x14ac:dyDescent="0.25">
      <c r="T24168" s="135"/>
      <c r="U24168" s="135"/>
    </row>
    <row r="24169" spans="20:21" ht="15" customHeight="1" x14ac:dyDescent="0.25">
      <c r="T24169" s="135"/>
      <c r="U24169" s="135"/>
    </row>
    <row r="24170" spans="20:21" ht="15" customHeight="1" x14ac:dyDescent="0.25">
      <c r="T24170" s="135"/>
      <c r="U24170" s="135"/>
    </row>
    <row r="24171" spans="20:21" ht="15" customHeight="1" x14ac:dyDescent="0.25">
      <c r="T24171" s="135"/>
      <c r="U24171" s="135"/>
    </row>
    <row r="24172" spans="20:21" ht="15" customHeight="1" x14ac:dyDescent="0.25">
      <c r="T24172" s="135"/>
      <c r="U24172" s="135"/>
    </row>
    <row r="24173" spans="20:21" ht="15" customHeight="1" x14ac:dyDescent="0.25">
      <c r="T24173" s="135"/>
      <c r="U24173" s="135"/>
    </row>
    <row r="24174" spans="20:21" ht="15" customHeight="1" x14ac:dyDescent="0.25">
      <c r="T24174" s="135"/>
      <c r="U24174" s="135"/>
    </row>
    <row r="24175" spans="20:21" ht="15" customHeight="1" x14ac:dyDescent="0.25">
      <c r="T24175" s="135"/>
      <c r="U24175" s="135"/>
    </row>
    <row r="24176" spans="20:21" ht="15" customHeight="1" x14ac:dyDescent="0.25">
      <c r="T24176" s="135"/>
      <c r="U24176" s="135"/>
    </row>
    <row r="24177" spans="20:21" ht="15" customHeight="1" x14ac:dyDescent="0.25">
      <c r="T24177" s="135"/>
      <c r="U24177" s="135"/>
    </row>
    <row r="24178" spans="20:21" ht="15" customHeight="1" x14ac:dyDescent="0.25">
      <c r="T24178" s="135"/>
      <c r="U24178" s="135"/>
    </row>
    <row r="24179" spans="20:21" ht="15" customHeight="1" x14ac:dyDescent="0.25">
      <c r="T24179" s="135"/>
      <c r="U24179" s="135"/>
    </row>
    <row r="24180" spans="20:21" ht="15" customHeight="1" x14ac:dyDescent="0.25">
      <c r="T24180" s="135"/>
      <c r="U24180" s="135"/>
    </row>
    <row r="24181" spans="20:21" ht="15" customHeight="1" x14ac:dyDescent="0.25">
      <c r="T24181" s="135"/>
      <c r="U24181" s="135"/>
    </row>
    <row r="24182" spans="20:21" ht="15" customHeight="1" x14ac:dyDescent="0.25">
      <c r="T24182" s="135"/>
      <c r="U24182" s="135"/>
    </row>
    <row r="24183" spans="20:21" ht="15" customHeight="1" x14ac:dyDescent="0.25">
      <c r="T24183" s="135"/>
      <c r="U24183" s="135"/>
    </row>
    <row r="24184" spans="20:21" ht="15" customHeight="1" x14ac:dyDescent="0.25">
      <c r="T24184" s="135"/>
      <c r="U24184" s="135"/>
    </row>
    <row r="24185" spans="20:21" ht="15" customHeight="1" x14ac:dyDescent="0.25">
      <c r="T24185" s="135"/>
      <c r="U24185" s="135"/>
    </row>
    <row r="24186" spans="20:21" ht="15" customHeight="1" x14ac:dyDescent="0.25">
      <c r="T24186" s="135"/>
      <c r="U24186" s="135"/>
    </row>
    <row r="24187" spans="20:21" ht="15" customHeight="1" x14ac:dyDescent="0.25">
      <c r="T24187" s="135"/>
      <c r="U24187" s="135"/>
    </row>
    <row r="24188" spans="20:21" ht="15" customHeight="1" x14ac:dyDescent="0.25">
      <c r="T24188" s="135"/>
      <c r="U24188" s="135"/>
    </row>
    <row r="24189" spans="20:21" ht="15" customHeight="1" x14ac:dyDescent="0.25">
      <c r="T24189" s="135"/>
      <c r="U24189" s="135"/>
    </row>
    <row r="24190" spans="20:21" ht="15" customHeight="1" x14ac:dyDescent="0.25">
      <c r="T24190" s="135"/>
      <c r="U24190" s="135"/>
    </row>
    <row r="24191" spans="20:21" ht="15" customHeight="1" x14ac:dyDescent="0.25">
      <c r="T24191" s="135"/>
      <c r="U24191" s="135"/>
    </row>
    <row r="24192" spans="20:21" ht="15" customHeight="1" x14ac:dyDescent="0.25">
      <c r="T24192" s="135"/>
      <c r="U24192" s="135"/>
    </row>
    <row r="24193" spans="20:21" ht="15" customHeight="1" x14ac:dyDescent="0.25">
      <c r="T24193" s="135"/>
      <c r="U24193" s="135"/>
    </row>
    <row r="24194" spans="20:21" ht="15" customHeight="1" x14ac:dyDescent="0.25">
      <c r="T24194" s="135"/>
      <c r="U24194" s="135"/>
    </row>
    <row r="24195" spans="20:21" ht="15" customHeight="1" x14ac:dyDescent="0.25">
      <c r="T24195" s="135"/>
      <c r="U24195" s="135"/>
    </row>
    <row r="24196" spans="20:21" ht="15" customHeight="1" x14ac:dyDescent="0.25">
      <c r="T24196" s="135"/>
      <c r="U24196" s="135"/>
    </row>
    <row r="24197" spans="20:21" ht="15" customHeight="1" x14ac:dyDescent="0.25">
      <c r="T24197" s="135"/>
      <c r="U24197" s="135"/>
    </row>
    <row r="24198" spans="20:21" ht="15" customHeight="1" x14ac:dyDescent="0.25">
      <c r="T24198" s="135"/>
      <c r="U24198" s="135"/>
    </row>
    <row r="24199" spans="20:21" ht="15" customHeight="1" x14ac:dyDescent="0.25">
      <c r="T24199" s="135"/>
      <c r="U24199" s="135"/>
    </row>
    <row r="24200" spans="20:21" ht="15" customHeight="1" x14ac:dyDescent="0.25">
      <c r="T24200" s="135"/>
      <c r="U24200" s="135"/>
    </row>
    <row r="24201" spans="20:21" ht="15" customHeight="1" x14ac:dyDescent="0.25">
      <c r="T24201" s="135"/>
      <c r="U24201" s="135"/>
    </row>
    <row r="24202" spans="20:21" ht="15" customHeight="1" x14ac:dyDescent="0.25">
      <c r="T24202" s="135"/>
      <c r="U24202" s="135"/>
    </row>
    <row r="24203" spans="20:21" ht="15" customHeight="1" x14ac:dyDescent="0.25">
      <c r="T24203" s="135"/>
      <c r="U24203" s="135"/>
    </row>
    <row r="24204" spans="20:21" ht="15" customHeight="1" x14ac:dyDescent="0.25">
      <c r="T24204" s="135"/>
      <c r="U24204" s="135"/>
    </row>
    <row r="24205" spans="20:21" ht="15" customHeight="1" x14ac:dyDescent="0.25">
      <c r="T24205" s="135"/>
      <c r="U24205" s="135"/>
    </row>
    <row r="24206" spans="20:21" ht="15" customHeight="1" x14ac:dyDescent="0.25">
      <c r="T24206" s="135"/>
      <c r="U24206" s="135"/>
    </row>
    <row r="24207" spans="20:21" ht="15" customHeight="1" x14ac:dyDescent="0.25">
      <c r="T24207" s="135"/>
      <c r="U24207" s="135"/>
    </row>
    <row r="24208" spans="20:21" ht="15" customHeight="1" x14ac:dyDescent="0.25">
      <c r="T24208" s="135"/>
      <c r="U24208" s="135"/>
    </row>
    <row r="24209" spans="20:21" ht="15" customHeight="1" x14ac:dyDescent="0.25">
      <c r="T24209" s="135"/>
      <c r="U24209" s="135"/>
    </row>
    <row r="24210" spans="20:21" ht="15" customHeight="1" x14ac:dyDescent="0.25">
      <c r="T24210" s="135"/>
      <c r="U24210" s="135"/>
    </row>
    <row r="24211" spans="20:21" ht="15" customHeight="1" x14ac:dyDescent="0.25">
      <c r="T24211" s="135"/>
      <c r="U24211" s="135"/>
    </row>
    <row r="24212" spans="20:21" ht="15" customHeight="1" x14ac:dyDescent="0.25">
      <c r="T24212" s="135"/>
      <c r="U24212" s="135"/>
    </row>
    <row r="24213" spans="20:21" ht="15" customHeight="1" x14ac:dyDescent="0.25">
      <c r="T24213" s="135"/>
      <c r="U24213" s="135"/>
    </row>
    <row r="24214" spans="20:21" ht="15" customHeight="1" x14ac:dyDescent="0.25">
      <c r="T24214" s="135"/>
      <c r="U24214" s="135"/>
    </row>
    <row r="24215" spans="20:21" ht="15" customHeight="1" x14ac:dyDescent="0.25">
      <c r="T24215" s="135"/>
      <c r="U24215" s="135"/>
    </row>
    <row r="24216" spans="20:21" ht="15" customHeight="1" x14ac:dyDescent="0.25">
      <c r="T24216" s="135"/>
      <c r="U24216" s="135"/>
    </row>
    <row r="24217" spans="20:21" ht="15" customHeight="1" x14ac:dyDescent="0.25">
      <c r="T24217" s="135"/>
      <c r="U24217" s="135"/>
    </row>
    <row r="24218" spans="20:21" ht="15" customHeight="1" x14ac:dyDescent="0.25">
      <c r="T24218" s="135"/>
      <c r="U24218" s="135"/>
    </row>
    <row r="24219" spans="20:21" ht="15" customHeight="1" x14ac:dyDescent="0.25">
      <c r="T24219" s="135"/>
      <c r="U24219" s="135"/>
    </row>
    <row r="24220" spans="20:21" ht="15" customHeight="1" x14ac:dyDescent="0.25">
      <c r="T24220" s="135"/>
      <c r="U24220" s="135"/>
    </row>
    <row r="24221" spans="20:21" ht="15" customHeight="1" x14ac:dyDescent="0.25">
      <c r="T24221" s="135"/>
      <c r="U24221" s="135"/>
    </row>
    <row r="24222" spans="20:21" ht="15" customHeight="1" x14ac:dyDescent="0.25">
      <c r="T24222" s="135"/>
      <c r="U24222" s="135"/>
    </row>
    <row r="24223" spans="20:21" ht="15" customHeight="1" x14ac:dyDescent="0.25">
      <c r="T24223" s="135"/>
      <c r="U24223" s="135"/>
    </row>
    <row r="24224" spans="20:21" ht="15" customHeight="1" x14ac:dyDescent="0.25">
      <c r="T24224" s="135"/>
      <c r="U24224" s="135"/>
    </row>
    <row r="24225" spans="20:21" ht="15" customHeight="1" x14ac:dyDescent="0.25">
      <c r="T24225" s="135"/>
      <c r="U24225" s="135"/>
    </row>
    <row r="24226" spans="20:21" ht="15" customHeight="1" x14ac:dyDescent="0.25">
      <c r="T24226" s="135"/>
      <c r="U24226" s="135"/>
    </row>
    <row r="24227" spans="20:21" ht="15" customHeight="1" x14ac:dyDescent="0.25">
      <c r="T24227" s="135"/>
      <c r="U24227" s="135"/>
    </row>
    <row r="24228" spans="20:21" ht="15" customHeight="1" x14ac:dyDescent="0.25">
      <c r="T24228" s="135"/>
      <c r="U24228" s="135"/>
    </row>
    <row r="24229" spans="20:21" ht="15" customHeight="1" x14ac:dyDescent="0.25">
      <c r="T24229" s="135"/>
      <c r="U24229" s="135"/>
    </row>
    <row r="24230" spans="20:21" ht="15" customHeight="1" x14ac:dyDescent="0.25">
      <c r="T24230" s="135"/>
      <c r="U24230" s="135"/>
    </row>
    <row r="24231" spans="20:21" ht="15" customHeight="1" x14ac:dyDescent="0.25">
      <c r="T24231" s="135"/>
      <c r="U24231" s="135"/>
    </row>
    <row r="24232" spans="20:21" ht="15" customHeight="1" x14ac:dyDescent="0.25">
      <c r="T24232" s="135"/>
      <c r="U24232" s="135"/>
    </row>
    <row r="24233" spans="20:21" ht="15" customHeight="1" x14ac:dyDescent="0.25">
      <c r="T24233" s="135"/>
      <c r="U24233" s="135"/>
    </row>
    <row r="24234" spans="20:21" ht="15" customHeight="1" x14ac:dyDescent="0.25">
      <c r="T24234" s="135"/>
      <c r="U24234" s="135"/>
    </row>
    <row r="24235" spans="20:21" ht="15" customHeight="1" x14ac:dyDescent="0.25">
      <c r="T24235" s="135"/>
      <c r="U24235" s="135"/>
    </row>
    <row r="24236" spans="20:21" ht="15" customHeight="1" x14ac:dyDescent="0.25">
      <c r="T24236" s="135"/>
      <c r="U24236" s="135"/>
    </row>
    <row r="24237" spans="20:21" ht="15" customHeight="1" x14ac:dyDescent="0.25">
      <c r="T24237" s="135"/>
      <c r="U24237" s="135"/>
    </row>
    <row r="24238" spans="20:21" ht="15" customHeight="1" x14ac:dyDescent="0.25">
      <c r="T24238" s="135"/>
      <c r="U24238" s="135"/>
    </row>
    <row r="24239" spans="20:21" ht="15" customHeight="1" x14ac:dyDescent="0.25">
      <c r="T24239" s="135"/>
      <c r="U24239" s="135"/>
    </row>
    <row r="24240" spans="20:21" ht="15" customHeight="1" x14ac:dyDescent="0.25">
      <c r="T24240" s="135"/>
      <c r="U24240" s="135"/>
    </row>
    <row r="24241" spans="20:21" ht="15" customHeight="1" x14ac:dyDescent="0.25">
      <c r="T24241" s="135"/>
      <c r="U24241" s="135"/>
    </row>
    <row r="24242" spans="20:21" ht="15" customHeight="1" x14ac:dyDescent="0.25">
      <c r="T24242" s="135"/>
      <c r="U24242" s="135"/>
    </row>
    <row r="24243" spans="20:21" ht="15" customHeight="1" x14ac:dyDescent="0.25">
      <c r="T24243" s="135"/>
      <c r="U24243" s="135"/>
    </row>
    <row r="24244" spans="20:21" ht="15" customHeight="1" x14ac:dyDescent="0.25">
      <c r="T24244" s="135"/>
      <c r="U24244" s="135"/>
    </row>
    <row r="24245" spans="20:21" ht="15" customHeight="1" x14ac:dyDescent="0.25">
      <c r="T24245" s="135"/>
      <c r="U24245" s="135"/>
    </row>
    <row r="24246" spans="20:21" ht="15" customHeight="1" x14ac:dyDescent="0.25">
      <c r="T24246" s="135"/>
      <c r="U24246" s="135"/>
    </row>
    <row r="24247" spans="20:21" ht="15" customHeight="1" x14ac:dyDescent="0.25">
      <c r="T24247" s="135"/>
      <c r="U24247" s="135"/>
    </row>
    <row r="24248" spans="20:21" ht="15" customHeight="1" x14ac:dyDescent="0.25">
      <c r="T24248" s="135"/>
      <c r="U24248" s="135"/>
    </row>
    <row r="24249" spans="20:21" ht="15" customHeight="1" x14ac:dyDescent="0.25">
      <c r="T24249" s="135"/>
      <c r="U24249" s="135"/>
    </row>
    <row r="24250" spans="20:21" ht="15" customHeight="1" x14ac:dyDescent="0.25">
      <c r="T24250" s="135"/>
      <c r="U24250" s="135"/>
    </row>
    <row r="24251" spans="20:21" ht="15" customHeight="1" x14ac:dyDescent="0.25">
      <c r="T24251" s="135"/>
      <c r="U24251" s="135"/>
    </row>
    <row r="24252" spans="20:21" ht="15" customHeight="1" x14ac:dyDescent="0.25">
      <c r="T24252" s="135"/>
      <c r="U24252" s="135"/>
    </row>
    <row r="24253" spans="20:21" ht="15" customHeight="1" x14ac:dyDescent="0.25">
      <c r="T24253" s="135"/>
      <c r="U24253" s="135"/>
    </row>
    <row r="24254" spans="20:21" ht="15" customHeight="1" x14ac:dyDescent="0.25">
      <c r="T24254" s="135"/>
      <c r="U24254" s="135"/>
    </row>
    <row r="24255" spans="20:21" ht="15" customHeight="1" x14ac:dyDescent="0.25">
      <c r="T24255" s="135"/>
      <c r="U24255" s="135"/>
    </row>
    <row r="24256" spans="20:21" ht="15" customHeight="1" x14ac:dyDescent="0.25">
      <c r="T24256" s="135"/>
      <c r="U24256" s="135"/>
    </row>
    <row r="24257" spans="20:21" ht="15" customHeight="1" x14ac:dyDescent="0.25">
      <c r="T24257" s="135"/>
      <c r="U24257" s="135"/>
    </row>
    <row r="24258" spans="20:21" ht="15" customHeight="1" x14ac:dyDescent="0.25">
      <c r="T24258" s="135"/>
      <c r="U24258" s="135"/>
    </row>
    <row r="24259" spans="20:21" ht="15" customHeight="1" x14ac:dyDescent="0.25">
      <c r="T24259" s="135"/>
      <c r="U24259" s="135"/>
    </row>
    <row r="24260" spans="20:21" ht="15" customHeight="1" x14ac:dyDescent="0.25">
      <c r="T24260" s="135"/>
      <c r="U24260" s="135"/>
    </row>
    <row r="24261" spans="20:21" ht="15" customHeight="1" x14ac:dyDescent="0.25">
      <c r="T24261" s="135"/>
      <c r="U24261" s="135"/>
    </row>
    <row r="24262" spans="20:21" ht="15" customHeight="1" x14ac:dyDescent="0.25">
      <c r="T24262" s="135"/>
      <c r="U24262" s="135"/>
    </row>
    <row r="24263" spans="20:21" ht="15" customHeight="1" x14ac:dyDescent="0.25">
      <c r="T24263" s="135"/>
      <c r="U24263" s="135"/>
    </row>
    <row r="24264" spans="20:21" ht="15" customHeight="1" x14ac:dyDescent="0.25">
      <c r="T24264" s="135"/>
      <c r="U24264" s="135"/>
    </row>
    <row r="24265" spans="20:21" ht="15" customHeight="1" x14ac:dyDescent="0.25">
      <c r="T24265" s="135"/>
      <c r="U24265" s="135"/>
    </row>
    <row r="24266" spans="20:21" ht="15" customHeight="1" x14ac:dyDescent="0.25">
      <c r="T24266" s="135"/>
      <c r="U24266" s="135"/>
    </row>
    <row r="24267" spans="20:21" ht="15" customHeight="1" x14ac:dyDescent="0.25">
      <c r="T24267" s="135"/>
      <c r="U24267" s="135"/>
    </row>
    <row r="24268" spans="20:21" ht="15" customHeight="1" x14ac:dyDescent="0.25">
      <c r="T24268" s="135"/>
      <c r="U24268" s="135"/>
    </row>
    <row r="24269" spans="20:21" ht="15" customHeight="1" x14ac:dyDescent="0.25">
      <c r="T24269" s="135"/>
      <c r="U24269" s="135"/>
    </row>
    <row r="24270" spans="20:21" ht="15" customHeight="1" x14ac:dyDescent="0.25">
      <c r="T24270" s="135"/>
      <c r="U24270" s="135"/>
    </row>
    <row r="24271" spans="20:21" ht="15" customHeight="1" x14ac:dyDescent="0.25">
      <c r="T24271" s="135"/>
      <c r="U24271" s="135"/>
    </row>
    <row r="24272" spans="20:21" ht="15" customHeight="1" x14ac:dyDescent="0.25">
      <c r="T24272" s="135"/>
      <c r="U24272" s="135"/>
    </row>
    <row r="24273" spans="20:21" ht="15" customHeight="1" x14ac:dyDescent="0.25">
      <c r="T24273" s="135"/>
      <c r="U24273" s="135"/>
    </row>
    <row r="24274" spans="20:21" ht="15" customHeight="1" x14ac:dyDescent="0.25">
      <c r="T24274" s="135"/>
      <c r="U24274" s="135"/>
    </row>
    <row r="24275" spans="20:21" ht="15" customHeight="1" x14ac:dyDescent="0.25">
      <c r="T24275" s="135"/>
      <c r="U24275" s="135"/>
    </row>
    <row r="24276" spans="20:21" ht="15" customHeight="1" x14ac:dyDescent="0.25">
      <c r="T24276" s="135"/>
      <c r="U24276" s="135"/>
    </row>
    <row r="24277" spans="20:21" ht="15" customHeight="1" x14ac:dyDescent="0.25">
      <c r="T24277" s="135"/>
      <c r="U24277" s="135"/>
    </row>
    <row r="24278" spans="20:21" ht="15" customHeight="1" x14ac:dyDescent="0.25">
      <c r="T24278" s="135"/>
      <c r="U24278" s="135"/>
    </row>
    <row r="24279" spans="20:21" ht="15" customHeight="1" x14ac:dyDescent="0.25">
      <c r="T24279" s="135"/>
      <c r="U24279" s="135"/>
    </row>
    <row r="24280" spans="20:21" ht="15" customHeight="1" x14ac:dyDescent="0.25">
      <c r="T24280" s="135"/>
      <c r="U24280" s="135"/>
    </row>
    <row r="24281" spans="20:21" ht="15" customHeight="1" x14ac:dyDescent="0.25">
      <c r="T24281" s="135"/>
      <c r="U24281" s="135"/>
    </row>
    <row r="24282" spans="20:21" ht="15" customHeight="1" x14ac:dyDescent="0.25">
      <c r="T24282" s="135"/>
      <c r="U24282" s="135"/>
    </row>
    <row r="24283" spans="20:21" ht="15" customHeight="1" x14ac:dyDescent="0.25">
      <c r="T24283" s="135"/>
      <c r="U24283" s="135"/>
    </row>
    <row r="24284" spans="20:21" ht="15" customHeight="1" x14ac:dyDescent="0.25">
      <c r="T24284" s="135"/>
      <c r="U24284" s="135"/>
    </row>
    <row r="24285" spans="20:21" ht="15" customHeight="1" x14ac:dyDescent="0.25">
      <c r="T24285" s="135"/>
      <c r="U24285" s="135"/>
    </row>
    <row r="24286" spans="20:21" ht="15" customHeight="1" x14ac:dyDescent="0.25">
      <c r="T24286" s="135"/>
      <c r="U24286" s="135"/>
    </row>
    <row r="24287" spans="20:21" ht="15" customHeight="1" x14ac:dyDescent="0.25">
      <c r="T24287" s="135"/>
      <c r="U24287" s="135"/>
    </row>
    <row r="24288" spans="20:21" ht="15" customHeight="1" x14ac:dyDescent="0.25">
      <c r="T24288" s="135"/>
      <c r="U24288" s="135"/>
    </row>
    <row r="24289" spans="20:21" ht="15" customHeight="1" x14ac:dyDescent="0.25">
      <c r="T24289" s="135"/>
      <c r="U24289" s="135"/>
    </row>
    <row r="24290" spans="20:21" ht="15" customHeight="1" x14ac:dyDescent="0.25">
      <c r="T24290" s="135"/>
      <c r="U24290" s="135"/>
    </row>
    <row r="24291" spans="20:21" ht="15" customHeight="1" x14ac:dyDescent="0.25">
      <c r="T24291" s="135"/>
      <c r="U24291" s="135"/>
    </row>
    <row r="24292" spans="20:21" ht="15" customHeight="1" x14ac:dyDescent="0.25">
      <c r="T24292" s="135"/>
      <c r="U24292" s="135"/>
    </row>
    <row r="24293" spans="20:21" ht="15" customHeight="1" x14ac:dyDescent="0.25">
      <c r="T24293" s="135"/>
      <c r="U24293" s="135"/>
    </row>
    <row r="24294" spans="20:21" ht="15" customHeight="1" x14ac:dyDescent="0.25">
      <c r="T24294" s="135"/>
      <c r="U24294" s="135"/>
    </row>
    <row r="24295" spans="20:21" ht="15" customHeight="1" x14ac:dyDescent="0.25">
      <c r="T24295" s="135"/>
      <c r="U24295" s="135"/>
    </row>
    <row r="24296" spans="20:21" ht="15" customHeight="1" x14ac:dyDescent="0.25">
      <c r="T24296" s="135"/>
      <c r="U24296" s="135"/>
    </row>
    <row r="24297" spans="20:21" ht="15" customHeight="1" x14ac:dyDescent="0.25">
      <c r="T24297" s="135"/>
      <c r="U24297" s="135"/>
    </row>
    <row r="24298" spans="20:21" ht="15" customHeight="1" x14ac:dyDescent="0.25">
      <c r="T24298" s="135"/>
      <c r="U24298" s="135"/>
    </row>
    <row r="24299" spans="20:21" ht="15" customHeight="1" x14ac:dyDescent="0.25">
      <c r="T24299" s="135"/>
      <c r="U24299" s="135"/>
    </row>
    <row r="24300" spans="20:21" ht="15" customHeight="1" x14ac:dyDescent="0.25">
      <c r="T24300" s="135"/>
      <c r="U24300" s="135"/>
    </row>
    <row r="24301" spans="20:21" ht="15" customHeight="1" x14ac:dyDescent="0.25">
      <c r="T24301" s="135"/>
      <c r="U24301" s="135"/>
    </row>
    <row r="24302" spans="20:21" ht="15" customHeight="1" x14ac:dyDescent="0.25">
      <c r="T24302" s="135"/>
      <c r="U24302" s="135"/>
    </row>
    <row r="24303" spans="20:21" ht="15" customHeight="1" x14ac:dyDescent="0.25">
      <c r="T24303" s="135"/>
      <c r="U24303" s="135"/>
    </row>
    <row r="24304" spans="20:21" ht="15" customHeight="1" x14ac:dyDescent="0.25">
      <c r="T24304" s="135"/>
      <c r="U24304" s="135"/>
    </row>
    <row r="24305" spans="20:21" ht="15" customHeight="1" x14ac:dyDescent="0.25">
      <c r="T24305" s="135"/>
      <c r="U24305" s="135"/>
    </row>
    <row r="24306" spans="20:21" ht="15" customHeight="1" x14ac:dyDescent="0.25">
      <c r="T24306" s="135"/>
      <c r="U24306" s="135"/>
    </row>
    <row r="24307" spans="20:21" ht="15" customHeight="1" x14ac:dyDescent="0.25">
      <c r="T24307" s="135"/>
      <c r="U24307" s="135"/>
    </row>
    <row r="24308" spans="20:21" ht="15" customHeight="1" x14ac:dyDescent="0.25">
      <c r="T24308" s="135"/>
      <c r="U24308" s="135"/>
    </row>
    <row r="24309" spans="20:21" ht="15" customHeight="1" x14ac:dyDescent="0.25">
      <c r="T24309" s="135"/>
      <c r="U24309" s="135"/>
    </row>
    <row r="24310" spans="20:21" ht="15" customHeight="1" x14ac:dyDescent="0.25">
      <c r="T24310" s="135"/>
      <c r="U24310" s="135"/>
    </row>
    <row r="24311" spans="20:21" ht="15" customHeight="1" x14ac:dyDescent="0.25">
      <c r="T24311" s="135"/>
      <c r="U24311" s="135"/>
    </row>
    <row r="24312" spans="20:21" ht="15" customHeight="1" x14ac:dyDescent="0.25">
      <c r="T24312" s="135"/>
      <c r="U24312" s="135"/>
    </row>
    <row r="24313" spans="20:21" ht="15" customHeight="1" x14ac:dyDescent="0.25">
      <c r="T24313" s="135"/>
      <c r="U24313" s="135"/>
    </row>
    <row r="24314" spans="20:21" ht="15" customHeight="1" x14ac:dyDescent="0.25">
      <c r="T24314" s="135"/>
      <c r="U24314" s="135"/>
    </row>
    <row r="24315" spans="20:21" ht="15" customHeight="1" x14ac:dyDescent="0.25">
      <c r="T24315" s="135"/>
      <c r="U24315" s="135"/>
    </row>
    <row r="24316" spans="20:21" ht="15" customHeight="1" x14ac:dyDescent="0.25">
      <c r="T24316" s="135"/>
      <c r="U24316" s="135"/>
    </row>
    <row r="24317" spans="20:21" ht="15" customHeight="1" x14ac:dyDescent="0.25">
      <c r="T24317" s="135"/>
      <c r="U24317" s="135"/>
    </row>
    <row r="24318" spans="20:21" ht="15" customHeight="1" x14ac:dyDescent="0.25">
      <c r="T24318" s="135"/>
      <c r="U24318" s="135"/>
    </row>
    <row r="24319" spans="20:21" ht="15" customHeight="1" x14ac:dyDescent="0.25">
      <c r="T24319" s="135"/>
      <c r="U24319" s="135"/>
    </row>
    <row r="24320" spans="20:21" ht="15" customHeight="1" x14ac:dyDescent="0.25">
      <c r="T24320" s="135"/>
      <c r="U24320" s="135"/>
    </row>
    <row r="24321" spans="20:21" ht="15" customHeight="1" x14ac:dyDescent="0.25">
      <c r="T24321" s="135"/>
      <c r="U24321" s="135"/>
    </row>
    <row r="24322" spans="20:21" ht="15" customHeight="1" x14ac:dyDescent="0.25">
      <c r="T24322" s="135"/>
      <c r="U24322" s="135"/>
    </row>
    <row r="24323" spans="20:21" ht="15" customHeight="1" x14ac:dyDescent="0.25">
      <c r="T24323" s="135"/>
      <c r="U24323" s="135"/>
    </row>
    <row r="24324" spans="20:21" ht="15" customHeight="1" x14ac:dyDescent="0.25">
      <c r="T24324" s="135"/>
      <c r="U24324" s="135"/>
    </row>
    <row r="24325" spans="20:21" ht="15" customHeight="1" x14ac:dyDescent="0.25">
      <c r="T24325" s="135"/>
      <c r="U24325" s="135"/>
    </row>
    <row r="24326" spans="20:21" ht="15" customHeight="1" x14ac:dyDescent="0.25">
      <c r="T24326" s="135"/>
      <c r="U24326" s="135"/>
    </row>
    <row r="24327" spans="20:21" ht="15" customHeight="1" x14ac:dyDescent="0.25">
      <c r="T24327" s="135"/>
      <c r="U24327" s="135"/>
    </row>
    <row r="24328" spans="20:21" ht="15" customHeight="1" x14ac:dyDescent="0.25">
      <c r="T24328" s="135"/>
      <c r="U24328" s="135"/>
    </row>
    <row r="24329" spans="20:21" ht="15" customHeight="1" x14ac:dyDescent="0.25">
      <c r="T24329" s="135"/>
      <c r="U24329" s="135"/>
    </row>
    <row r="24330" spans="20:21" ht="15" customHeight="1" x14ac:dyDescent="0.25">
      <c r="T24330" s="135"/>
      <c r="U24330" s="135"/>
    </row>
    <row r="24331" spans="20:21" ht="15" customHeight="1" x14ac:dyDescent="0.25">
      <c r="T24331" s="135"/>
      <c r="U24331" s="135"/>
    </row>
    <row r="24332" spans="20:21" ht="15" customHeight="1" x14ac:dyDescent="0.25">
      <c r="T24332" s="135"/>
      <c r="U24332" s="135"/>
    </row>
    <row r="24333" spans="20:21" ht="15" customHeight="1" x14ac:dyDescent="0.25">
      <c r="T24333" s="135"/>
      <c r="U24333" s="135"/>
    </row>
    <row r="24334" spans="20:21" ht="15" customHeight="1" x14ac:dyDescent="0.25">
      <c r="T24334" s="135"/>
      <c r="U24334" s="135"/>
    </row>
    <row r="24335" spans="20:21" ht="15" customHeight="1" x14ac:dyDescent="0.25">
      <c r="T24335" s="135"/>
      <c r="U24335" s="135"/>
    </row>
    <row r="24336" spans="20:21" ht="15" customHeight="1" x14ac:dyDescent="0.25">
      <c r="T24336" s="135"/>
      <c r="U24336" s="135"/>
    </row>
    <row r="24337" spans="20:21" ht="15" customHeight="1" x14ac:dyDescent="0.25">
      <c r="T24337" s="135"/>
      <c r="U24337" s="135"/>
    </row>
    <row r="24338" spans="20:21" ht="15" customHeight="1" x14ac:dyDescent="0.25">
      <c r="T24338" s="135"/>
      <c r="U24338" s="135"/>
    </row>
    <row r="24339" spans="20:21" ht="15" customHeight="1" x14ac:dyDescent="0.25">
      <c r="T24339" s="135"/>
      <c r="U24339" s="135"/>
    </row>
    <row r="24340" spans="20:21" ht="15" customHeight="1" x14ac:dyDescent="0.25">
      <c r="T24340" s="135"/>
      <c r="U24340" s="135"/>
    </row>
    <row r="24341" spans="20:21" ht="15" customHeight="1" x14ac:dyDescent="0.25">
      <c r="T24341" s="135"/>
      <c r="U24341" s="135"/>
    </row>
    <row r="24342" spans="20:21" ht="15" customHeight="1" x14ac:dyDescent="0.25">
      <c r="T24342" s="135"/>
      <c r="U24342" s="135"/>
    </row>
    <row r="24343" spans="20:21" ht="15" customHeight="1" x14ac:dyDescent="0.25">
      <c r="T24343" s="135"/>
      <c r="U24343" s="135"/>
    </row>
    <row r="24344" spans="20:21" ht="15" customHeight="1" x14ac:dyDescent="0.25">
      <c r="T24344" s="135"/>
      <c r="U24344" s="135"/>
    </row>
    <row r="24345" spans="20:21" ht="15" customHeight="1" x14ac:dyDescent="0.25">
      <c r="T24345" s="135"/>
      <c r="U24345" s="135"/>
    </row>
    <row r="24346" spans="20:21" ht="15" customHeight="1" x14ac:dyDescent="0.25">
      <c r="T24346" s="135"/>
      <c r="U24346" s="135"/>
    </row>
    <row r="24347" spans="20:21" ht="15" customHeight="1" x14ac:dyDescent="0.25">
      <c r="T24347" s="135"/>
      <c r="U24347" s="135"/>
    </row>
    <row r="24348" spans="20:21" ht="15" customHeight="1" x14ac:dyDescent="0.25">
      <c r="T24348" s="135"/>
      <c r="U24348" s="135"/>
    </row>
    <row r="24349" spans="20:21" ht="15" customHeight="1" x14ac:dyDescent="0.25">
      <c r="T24349" s="135"/>
      <c r="U24349" s="135"/>
    </row>
    <row r="24350" spans="20:21" ht="15" customHeight="1" x14ac:dyDescent="0.25">
      <c r="T24350" s="135"/>
      <c r="U24350" s="135"/>
    </row>
    <row r="24351" spans="20:21" ht="15" customHeight="1" x14ac:dyDescent="0.25">
      <c r="T24351" s="135"/>
      <c r="U24351" s="135"/>
    </row>
    <row r="24352" spans="20:21" ht="15" customHeight="1" x14ac:dyDescent="0.25">
      <c r="T24352" s="135"/>
      <c r="U24352" s="135"/>
    </row>
    <row r="24353" spans="20:21" ht="15" customHeight="1" x14ac:dyDescent="0.25">
      <c r="T24353" s="135"/>
      <c r="U24353" s="135"/>
    </row>
    <row r="24354" spans="20:21" ht="15" customHeight="1" x14ac:dyDescent="0.25">
      <c r="T24354" s="135"/>
      <c r="U24354" s="135"/>
    </row>
    <row r="24355" spans="20:21" ht="15" customHeight="1" x14ac:dyDescent="0.25">
      <c r="T24355" s="135"/>
      <c r="U24355" s="135"/>
    </row>
    <row r="24356" spans="20:21" ht="15" customHeight="1" x14ac:dyDescent="0.25">
      <c r="T24356" s="135"/>
      <c r="U24356" s="135"/>
    </row>
    <row r="24357" spans="20:21" ht="15" customHeight="1" x14ac:dyDescent="0.25">
      <c r="T24357" s="135"/>
      <c r="U24357" s="135"/>
    </row>
    <row r="24358" spans="20:21" ht="15" customHeight="1" x14ac:dyDescent="0.25">
      <c r="T24358" s="135"/>
      <c r="U24358" s="135"/>
    </row>
    <row r="24359" spans="20:21" ht="15" customHeight="1" x14ac:dyDescent="0.25">
      <c r="T24359" s="135"/>
      <c r="U24359" s="135"/>
    </row>
    <row r="24360" spans="20:21" ht="15" customHeight="1" x14ac:dyDescent="0.25">
      <c r="T24360" s="135"/>
      <c r="U24360" s="135"/>
    </row>
    <row r="24361" spans="20:21" ht="15" customHeight="1" x14ac:dyDescent="0.25">
      <c r="T24361" s="135"/>
      <c r="U24361" s="135"/>
    </row>
    <row r="24362" spans="20:21" ht="15" customHeight="1" x14ac:dyDescent="0.25">
      <c r="T24362" s="135"/>
      <c r="U24362" s="135"/>
    </row>
    <row r="24363" spans="20:21" ht="15" customHeight="1" x14ac:dyDescent="0.25">
      <c r="T24363" s="135"/>
      <c r="U24363" s="135"/>
    </row>
    <row r="24364" spans="20:21" ht="15" customHeight="1" x14ac:dyDescent="0.25">
      <c r="T24364" s="135"/>
      <c r="U24364" s="135"/>
    </row>
    <row r="24365" spans="20:21" ht="15" customHeight="1" x14ac:dyDescent="0.25">
      <c r="T24365" s="135"/>
      <c r="U24365" s="135"/>
    </row>
    <row r="24366" spans="20:21" ht="15" customHeight="1" x14ac:dyDescent="0.25">
      <c r="T24366" s="135"/>
      <c r="U24366" s="135"/>
    </row>
    <row r="24367" spans="20:21" ht="15" customHeight="1" x14ac:dyDescent="0.25">
      <c r="T24367" s="135"/>
      <c r="U24367" s="135"/>
    </row>
    <row r="24368" spans="20:21" ht="15" customHeight="1" x14ac:dyDescent="0.25">
      <c r="T24368" s="135"/>
      <c r="U24368" s="135"/>
    </row>
    <row r="24369" spans="20:21" ht="15" customHeight="1" x14ac:dyDescent="0.25">
      <c r="T24369" s="135"/>
      <c r="U24369" s="135"/>
    </row>
    <row r="24370" spans="20:21" ht="15" customHeight="1" x14ac:dyDescent="0.25">
      <c r="T24370" s="135"/>
      <c r="U24370" s="135"/>
    </row>
    <row r="24371" spans="20:21" ht="15" customHeight="1" x14ac:dyDescent="0.25">
      <c r="T24371" s="135"/>
      <c r="U24371" s="135"/>
    </row>
    <row r="24372" spans="20:21" ht="15" customHeight="1" x14ac:dyDescent="0.25">
      <c r="T24372" s="135"/>
      <c r="U24372" s="135"/>
    </row>
    <row r="24373" spans="20:21" ht="15" customHeight="1" x14ac:dyDescent="0.25">
      <c r="T24373" s="135"/>
      <c r="U24373" s="135"/>
    </row>
    <row r="24374" spans="20:21" ht="15" customHeight="1" x14ac:dyDescent="0.25">
      <c r="T24374" s="135"/>
      <c r="U24374" s="135"/>
    </row>
    <row r="24375" spans="20:21" ht="15" customHeight="1" x14ac:dyDescent="0.25">
      <c r="T24375" s="135"/>
      <c r="U24375" s="135"/>
    </row>
    <row r="24376" spans="20:21" ht="15" customHeight="1" x14ac:dyDescent="0.25">
      <c r="T24376" s="135"/>
      <c r="U24376" s="135"/>
    </row>
    <row r="24377" spans="20:21" ht="15" customHeight="1" x14ac:dyDescent="0.25">
      <c r="T24377" s="135"/>
      <c r="U24377" s="135"/>
    </row>
    <row r="24378" spans="20:21" ht="15" customHeight="1" x14ac:dyDescent="0.25">
      <c r="T24378" s="135"/>
      <c r="U24378" s="135"/>
    </row>
    <row r="24379" spans="20:21" ht="15" customHeight="1" x14ac:dyDescent="0.25">
      <c r="T24379" s="135"/>
      <c r="U24379" s="135"/>
    </row>
    <row r="24380" spans="20:21" ht="15" customHeight="1" x14ac:dyDescent="0.25">
      <c r="T24380" s="135"/>
      <c r="U24380" s="135"/>
    </row>
    <row r="24381" spans="20:21" ht="15" customHeight="1" x14ac:dyDescent="0.25">
      <c r="T24381" s="135"/>
      <c r="U24381" s="135"/>
    </row>
    <row r="24382" spans="20:21" ht="15" customHeight="1" x14ac:dyDescent="0.25">
      <c r="T24382" s="135"/>
      <c r="U24382" s="135"/>
    </row>
    <row r="24383" spans="20:21" ht="15" customHeight="1" x14ac:dyDescent="0.25">
      <c r="T24383" s="135"/>
      <c r="U24383" s="135"/>
    </row>
    <row r="24384" spans="20:21" ht="15" customHeight="1" x14ac:dyDescent="0.25">
      <c r="T24384" s="135"/>
      <c r="U24384" s="135"/>
    </row>
    <row r="24385" spans="20:21" ht="15" customHeight="1" x14ac:dyDescent="0.25">
      <c r="T24385" s="135"/>
      <c r="U24385" s="135"/>
    </row>
    <row r="24386" spans="20:21" ht="15" customHeight="1" x14ac:dyDescent="0.25">
      <c r="T24386" s="135"/>
      <c r="U24386" s="135"/>
    </row>
    <row r="24387" spans="20:21" ht="15" customHeight="1" x14ac:dyDescent="0.25">
      <c r="T24387" s="135"/>
      <c r="U24387" s="135"/>
    </row>
    <row r="24388" spans="20:21" ht="15" customHeight="1" x14ac:dyDescent="0.25">
      <c r="T24388" s="135"/>
      <c r="U24388" s="135"/>
    </row>
    <row r="24389" spans="20:21" ht="15" customHeight="1" x14ac:dyDescent="0.25">
      <c r="T24389" s="135"/>
      <c r="U24389" s="135"/>
    </row>
    <row r="24390" spans="20:21" ht="15" customHeight="1" x14ac:dyDescent="0.25">
      <c r="T24390" s="135"/>
      <c r="U24390" s="135"/>
    </row>
    <row r="24391" spans="20:21" ht="15" customHeight="1" x14ac:dyDescent="0.25">
      <c r="T24391" s="135"/>
      <c r="U24391" s="135"/>
    </row>
    <row r="24392" spans="20:21" ht="15" customHeight="1" x14ac:dyDescent="0.25">
      <c r="T24392" s="135"/>
      <c r="U24392" s="135"/>
    </row>
    <row r="24393" spans="20:21" ht="15" customHeight="1" x14ac:dyDescent="0.25">
      <c r="T24393" s="135"/>
      <c r="U24393" s="135"/>
    </row>
    <row r="24394" spans="20:21" ht="15" customHeight="1" x14ac:dyDescent="0.25">
      <c r="T24394" s="135"/>
      <c r="U24394" s="135"/>
    </row>
    <row r="24395" spans="20:21" ht="15" customHeight="1" x14ac:dyDescent="0.25">
      <c r="T24395" s="135"/>
      <c r="U24395" s="135"/>
    </row>
    <row r="24396" spans="20:21" ht="15" customHeight="1" x14ac:dyDescent="0.25">
      <c r="T24396" s="135"/>
      <c r="U24396" s="135"/>
    </row>
    <row r="24397" spans="20:21" ht="15" customHeight="1" x14ac:dyDescent="0.25">
      <c r="T24397" s="135"/>
      <c r="U24397" s="135"/>
    </row>
    <row r="24398" spans="20:21" ht="15" customHeight="1" x14ac:dyDescent="0.25">
      <c r="T24398" s="135"/>
      <c r="U24398" s="135"/>
    </row>
    <row r="24399" spans="20:21" ht="15" customHeight="1" x14ac:dyDescent="0.25">
      <c r="T24399" s="135"/>
      <c r="U24399" s="135"/>
    </row>
    <row r="24400" spans="20:21" ht="15" customHeight="1" x14ac:dyDescent="0.25">
      <c r="T24400" s="135"/>
      <c r="U24400" s="135"/>
    </row>
    <row r="24401" spans="20:21" ht="15" customHeight="1" x14ac:dyDescent="0.25">
      <c r="T24401" s="135"/>
      <c r="U24401" s="135"/>
    </row>
    <row r="24402" spans="20:21" ht="15" customHeight="1" x14ac:dyDescent="0.25">
      <c r="T24402" s="135"/>
      <c r="U24402" s="135"/>
    </row>
    <row r="24403" spans="20:21" ht="15" customHeight="1" x14ac:dyDescent="0.25">
      <c r="T24403" s="135"/>
      <c r="U24403" s="135"/>
    </row>
    <row r="24404" spans="20:21" ht="15" customHeight="1" x14ac:dyDescent="0.25">
      <c r="T24404" s="135"/>
      <c r="U24404" s="135"/>
    </row>
    <row r="24405" spans="20:21" ht="15" customHeight="1" x14ac:dyDescent="0.25">
      <c r="T24405" s="135"/>
      <c r="U24405" s="135"/>
    </row>
    <row r="24406" spans="20:21" ht="15" customHeight="1" x14ac:dyDescent="0.25">
      <c r="T24406" s="135"/>
      <c r="U24406" s="135"/>
    </row>
    <row r="24407" spans="20:21" ht="15" customHeight="1" x14ac:dyDescent="0.25">
      <c r="T24407" s="135"/>
      <c r="U24407" s="135"/>
    </row>
    <row r="24408" spans="20:21" ht="15" customHeight="1" x14ac:dyDescent="0.25">
      <c r="T24408" s="135"/>
      <c r="U24408" s="135"/>
    </row>
    <row r="24409" spans="20:21" ht="15" customHeight="1" x14ac:dyDescent="0.25">
      <c r="T24409" s="135"/>
      <c r="U24409" s="135"/>
    </row>
    <row r="24410" spans="20:21" ht="15" customHeight="1" x14ac:dyDescent="0.25">
      <c r="T24410" s="135"/>
      <c r="U24410" s="135"/>
    </row>
    <row r="24411" spans="20:21" ht="15" customHeight="1" x14ac:dyDescent="0.25">
      <c r="T24411" s="135"/>
      <c r="U24411" s="135"/>
    </row>
    <row r="24412" spans="20:21" ht="15" customHeight="1" x14ac:dyDescent="0.25">
      <c r="T24412" s="135"/>
      <c r="U24412" s="135"/>
    </row>
    <row r="24413" spans="20:21" ht="15" customHeight="1" x14ac:dyDescent="0.25">
      <c r="T24413" s="135"/>
      <c r="U24413" s="135"/>
    </row>
    <row r="24414" spans="20:21" ht="15" customHeight="1" x14ac:dyDescent="0.25">
      <c r="T24414" s="135"/>
      <c r="U24414" s="135"/>
    </row>
    <row r="24415" spans="20:21" ht="15" customHeight="1" x14ac:dyDescent="0.25">
      <c r="T24415" s="135"/>
      <c r="U24415" s="135"/>
    </row>
    <row r="24416" spans="20:21" ht="15" customHeight="1" x14ac:dyDescent="0.25">
      <c r="T24416" s="135"/>
      <c r="U24416" s="135"/>
    </row>
    <row r="24417" spans="20:21" ht="15" customHeight="1" x14ac:dyDescent="0.25">
      <c r="T24417" s="135"/>
      <c r="U24417" s="135"/>
    </row>
    <row r="24418" spans="20:21" ht="15" customHeight="1" x14ac:dyDescent="0.25">
      <c r="T24418" s="135"/>
      <c r="U24418" s="135"/>
    </row>
    <row r="24419" spans="20:21" ht="15" customHeight="1" x14ac:dyDescent="0.25">
      <c r="T24419" s="135"/>
      <c r="U24419" s="135"/>
    </row>
    <row r="24420" spans="20:21" ht="15" customHeight="1" x14ac:dyDescent="0.25">
      <c r="T24420" s="135"/>
      <c r="U24420" s="135"/>
    </row>
    <row r="24421" spans="20:21" ht="15" customHeight="1" x14ac:dyDescent="0.25">
      <c r="T24421" s="135"/>
      <c r="U24421" s="135"/>
    </row>
    <row r="24422" spans="20:21" ht="15" customHeight="1" x14ac:dyDescent="0.25">
      <c r="T24422" s="135"/>
      <c r="U24422" s="135"/>
    </row>
    <row r="24423" spans="20:21" ht="15" customHeight="1" x14ac:dyDescent="0.25">
      <c r="T24423" s="135"/>
      <c r="U24423" s="135"/>
    </row>
    <row r="24424" spans="20:21" ht="15" customHeight="1" x14ac:dyDescent="0.25">
      <c r="T24424" s="135"/>
      <c r="U24424" s="135"/>
    </row>
    <row r="24425" spans="20:21" ht="15" customHeight="1" x14ac:dyDescent="0.25">
      <c r="T24425" s="135"/>
      <c r="U24425" s="135"/>
    </row>
    <row r="24426" spans="20:21" ht="15" customHeight="1" x14ac:dyDescent="0.25">
      <c r="T24426" s="135"/>
      <c r="U24426" s="135"/>
    </row>
    <row r="24427" spans="20:21" ht="15" customHeight="1" x14ac:dyDescent="0.25">
      <c r="T24427" s="135"/>
      <c r="U24427" s="135"/>
    </row>
    <row r="24428" spans="20:21" ht="15" customHeight="1" x14ac:dyDescent="0.25">
      <c r="T24428" s="135"/>
      <c r="U24428" s="135"/>
    </row>
    <row r="24429" spans="20:21" ht="15" customHeight="1" x14ac:dyDescent="0.25">
      <c r="T24429" s="135"/>
      <c r="U24429" s="135"/>
    </row>
    <row r="24430" spans="20:21" ht="15" customHeight="1" x14ac:dyDescent="0.25">
      <c r="T24430" s="135"/>
      <c r="U24430" s="135"/>
    </row>
    <row r="24431" spans="20:21" ht="15" customHeight="1" x14ac:dyDescent="0.25">
      <c r="T24431" s="135"/>
      <c r="U24431" s="135"/>
    </row>
    <row r="24432" spans="20:21" ht="15" customHeight="1" x14ac:dyDescent="0.25">
      <c r="T24432" s="135"/>
      <c r="U24432" s="135"/>
    </row>
    <row r="24433" spans="20:21" ht="15" customHeight="1" x14ac:dyDescent="0.25">
      <c r="T24433" s="135"/>
      <c r="U24433" s="135"/>
    </row>
    <row r="24434" spans="20:21" ht="15" customHeight="1" x14ac:dyDescent="0.25">
      <c r="T24434" s="135"/>
      <c r="U24434" s="135"/>
    </row>
    <row r="24435" spans="20:21" ht="15" customHeight="1" x14ac:dyDescent="0.25">
      <c r="T24435" s="135"/>
      <c r="U24435" s="135"/>
    </row>
    <row r="24436" spans="20:21" ht="15" customHeight="1" x14ac:dyDescent="0.25">
      <c r="T24436" s="135"/>
      <c r="U24436" s="135"/>
    </row>
    <row r="24437" spans="20:21" ht="15" customHeight="1" x14ac:dyDescent="0.25">
      <c r="T24437" s="135"/>
      <c r="U24437" s="135"/>
    </row>
    <row r="24438" spans="20:21" ht="15" customHeight="1" x14ac:dyDescent="0.25">
      <c r="T24438" s="135"/>
      <c r="U24438" s="135"/>
    </row>
    <row r="24439" spans="20:21" ht="15" customHeight="1" x14ac:dyDescent="0.25">
      <c r="T24439" s="135"/>
      <c r="U24439" s="135"/>
    </row>
    <row r="24440" spans="20:21" ht="15" customHeight="1" x14ac:dyDescent="0.25">
      <c r="T24440" s="135"/>
      <c r="U24440" s="135"/>
    </row>
    <row r="24441" spans="20:21" ht="15" customHeight="1" x14ac:dyDescent="0.25">
      <c r="T24441" s="135"/>
      <c r="U24441" s="135"/>
    </row>
    <row r="24442" spans="20:21" ht="15" customHeight="1" x14ac:dyDescent="0.25">
      <c r="T24442" s="135"/>
      <c r="U24442" s="135"/>
    </row>
    <row r="24443" spans="20:21" ht="15" customHeight="1" x14ac:dyDescent="0.25">
      <c r="T24443" s="135"/>
      <c r="U24443" s="135"/>
    </row>
    <row r="24444" spans="20:21" ht="15" customHeight="1" x14ac:dyDescent="0.25">
      <c r="T24444" s="135"/>
      <c r="U24444" s="135"/>
    </row>
    <row r="24445" spans="20:21" ht="15" customHeight="1" x14ac:dyDescent="0.25">
      <c r="T24445" s="135"/>
      <c r="U24445" s="135"/>
    </row>
    <row r="24446" spans="20:21" ht="15" customHeight="1" x14ac:dyDescent="0.25">
      <c r="T24446" s="135"/>
      <c r="U24446" s="135"/>
    </row>
    <row r="24447" spans="20:21" ht="15" customHeight="1" x14ac:dyDescent="0.25">
      <c r="T24447" s="135"/>
      <c r="U24447" s="135"/>
    </row>
    <row r="24448" spans="20:21" ht="15" customHeight="1" x14ac:dyDescent="0.25">
      <c r="T24448" s="135"/>
      <c r="U24448" s="135"/>
    </row>
    <row r="24449" spans="20:21" ht="15" customHeight="1" x14ac:dyDescent="0.25">
      <c r="T24449" s="135"/>
      <c r="U24449" s="135"/>
    </row>
    <row r="24450" spans="20:21" ht="15" customHeight="1" x14ac:dyDescent="0.25">
      <c r="T24450" s="135"/>
      <c r="U24450" s="135"/>
    </row>
    <row r="24451" spans="20:21" ht="15" customHeight="1" x14ac:dyDescent="0.25">
      <c r="T24451" s="135"/>
      <c r="U24451" s="135"/>
    </row>
    <row r="24452" spans="20:21" ht="15" customHeight="1" x14ac:dyDescent="0.25">
      <c r="T24452" s="135"/>
      <c r="U24452" s="135"/>
    </row>
    <row r="24453" spans="20:21" ht="15" customHeight="1" x14ac:dyDescent="0.25">
      <c r="T24453" s="135"/>
      <c r="U24453" s="135"/>
    </row>
    <row r="24454" spans="20:21" ht="15" customHeight="1" x14ac:dyDescent="0.25">
      <c r="T24454" s="135"/>
      <c r="U24454" s="135"/>
    </row>
    <row r="24455" spans="20:21" ht="15" customHeight="1" x14ac:dyDescent="0.25">
      <c r="T24455" s="135"/>
      <c r="U24455" s="135"/>
    </row>
    <row r="24456" spans="20:21" ht="15" customHeight="1" x14ac:dyDescent="0.25">
      <c r="T24456" s="135"/>
      <c r="U24456" s="135"/>
    </row>
    <row r="24457" spans="20:21" ht="15" customHeight="1" x14ac:dyDescent="0.25">
      <c r="T24457" s="135"/>
      <c r="U24457" s="135"/>
    </row>
    <row r="24458" spans="20:21" ht="15" customHeight="1" x14ac:dyDescent="0.25">
      <c r="T24458" s="135"/>
      <c r="U24458" s="135"/>
    </row>
    <row r="24459" spans="20:21" ht="15" customHeight="1" x14ac:dyDescent="0.25">
      <c r="T24459" s="135"/>
      <c r="U24459" s="135"/>
    </row>
    <row r="24460" spans="20:21" ht="15" customHeight="1" x14ac:dyDescent="0.25">
      <c r="T24460" s="135"/>
      <c r="U24460" s="135"/>
    </row>
    <row r="24461" spans="20:21" ht="15" customHeight="1" x14ac:dyDescent="0.25">
      <c r="T24461" s="135"/>
      <c r="U24461" s="135"/>
    </row>
    <row r="24462" spans="20:21" ht="15" customHeight="1" x14ac:dyDescent="0.25">
      <c r="T24462" s="135"/>
      <c r="U24462" s="135"/>
    </row>
    <row r="24463" spans="20:21" ht="15" customHeight="1" x14ac:dyDescent="0.25">
      <c r="T24463" s="135"/>
      <c r="U24463" s="135"/>
    </row>
    <row r="24464" spans="20:21" ht="15" customHeight="1" x14ac:dyDescent="0.25">
      <c r="T24464" s="135"/>
      <c r="U24464" s="135"/>
    </row>
    <row r="24465" spans="20:21" ht="15" customHeight="1" x14ac:dyDescent="0.25">
      <c r="T24465" s="135"/>
      <c r="U24465" s="135"/>
    </row>
    <row r="24466" spans="20:21" ht="15" customHeight="1" x14ac:dyDescent="0.25">
      <c r="T24466" s="135"/>
      <c r="U24466" s="135"/>
    </row>
    <row r="24467" spans="20:21" ht="15" customHeight="1" x14ac:dyDescent="0.25">
      <c r="T24467" s="135"/>
      <c r="U24467" s="135"/>
    </row>
    <row r="24468" spans="20:21" ht="15" customHeight="1" x14ac:dyDescent="0.25">
      <c r="T24468" s="135"/>
      <c r="U24468" s="135"/>
    </row>
    <row r="24469" spans="20:21" ht="15" customHeight="1" x14ac:dyDescent="0.25">
      <c r="T24469" s="135"/>
      <c r="U24469" s="135"/>
    </row>
    <row r="24470" spans="20:21" ht="15" customHeight="1" x14ac:dyDescent="0.25">
      <c r="T24470" s="135"/>
      <c r="U24470" s="135"/>
    </row>
    <row r="24471" spans="20:21" ht="15" customHeight="1" x14ac:dyDescent="0.25">
      <c r="T24471" s="135"/>
      <c r="U24471" s="135"/>
    </row>
    <row r="24472" spans="20:21" ht="15" customHeight="1" x14ac:dyDescent="0.25">
      <c r="T24472" s="135"/>
      <c r="U24472" s="135"/>
    </row>
    <row r="24473" spans="20:21" ht="15" customHeight="1" x14ac:dyDescent="0.25">
      <c r="T24473" s="135"/>
      <c r="U24473" s="135"/>
    </row>
    <row r="24474" spans="20:21" ht="15" customHeight="1" x14ac:dyDescent="0.25">
      <c r="T24474" s="135"/>
      <c r="U24474" s="135"/>
    </row>
    <row r="24475" spans="20:21" ht="15" customHeight="1" x14ac:dyDescent="0.25">
      <c r="T24475" s="135"/>
      <c r="U24475" s="135"/>
    </row>
    <row r="24476" spans="20:21" ht="15" customHeight="1" x14ac:dyDescent="0.25">
      <c r="T24476" s="135"/>
      <c r="U24476" s="135"/>
    </row>
    <row r="24477" spans="20:21" ht="15" customHeight="1" x14ac:dyDescent="0.25">
      <c r="T24477" s="135"/>
      <c r="U24477" s="135"/>
    </row>
    <row r="24478" spans="20:21" ht="15" customHeight="1" x14ac:dyDescent="0.25">
      <c r="T24478" s="135"/>
      <c r="U24478" s="135"/>
    </row>
    <row r="24479" spans="20:21" ht="15" customHeight="1" x14ac:dyDescent="0.25">
      <c r="T24479" s="135"/>
      <c r="U24479" s="135"/>
    </row>
    <row r="24480" spans="20:21" ht="15" customHeight="1" x14ac:dyDescent="0.25">
      <c r="T24480" s="135"/>
      <c r="U24480" s="135"/>
    </row>
    <row r="24481" spans="20:21" ht="15" customHeight="1" x14ac:dyDescent="0.25">
      <c r="T24481" s="135"/>
      <c r="U24481" s="135"/>
    </row>
    <row r="24482" spans="20:21" ht="15" customHeight="1" x14ac:dyDescent="0.25">
      <c r="T24482" s="135"/>
      <c r="U24482" s="135"/>
    </row>
    <row r="24483" spans="20:21" ht="15" customHeight="1" x14ac:dyDescent="0.25">
      <c r="T24483" s="135"/>
      <c r="U24483" s="135"/>
    </row>
    <row r="24484" spans="20:21" ht="15" customHeight="1" x14ac:dyDescent="0.25">
      <c r="T24484" s="135"/>
      <c r="U24484" s="135"/>
    </row>
    <row r="24485" spans="20:21" ht="15" customHeight="1" x14ac:dyDescent="0.25">
      <c r="T24485" s="135"/>
      <c r="U24485" s="135"/>
    </row>
    <row r="24486" spans="20:21" ht="15" customHeight="1" x14ac:dyDescent="0.25">
      <c r="T24486" s="135"/>
      <c r="U24486" s="135"/>
    </row>
    <row r="24487" spans="20:21" ht="15" customHeight="1" x14ac:dyDescent="0.25">
      <c r="T24487" s="135"/>
      <c r="U24487" s="135"/>
    </row>
    <row r="24488" spans="20:21" ht="15" customHeight="1" x14ac:dyDescent="0.25">
      <c r="T24488" s="135"/>
      <c r="U24488" s="135"/>
    </row>
    <row r="24489" spans="20:21" ht="15" customHeight="1" x14ac:dyDescent="0.25">
      <c r="T24489" s="135"/>
      <c r="U24489" s="135"/>
    </row>
    <row r="24490" spans="20:21" ht="15" customHeight="1" x14ac:dyDescent="0.25">
      <c r="T24490" s="135"/>
      <c r="U24490" s="135"/>
    </row>
    <row r="24491" spans="20:21" ht="15" customHeight="1" x14ac:dyDescent="0.25">
      <c r="T24491" s="135"/>
      <c r="U24491" s="135"/>
    </row>
    <row r="24492" spans="20:21" ht="15" customHeight="1" x14ac:dyDescent="0.25">
      <c r="T24492" s="135"/>
      <c r="U24492" s="135"/>
    </row>
    <row r="24493" spans="20:21" ht="15" customHeight="1" x14ac:dyDescent="0.25">
      <c r="T24493" s="135"/>
      <c r="U24493" s="135"/>
    </row>
    <row r="24494" spans="20:21" ht="15" customHeight="1" x14ac:dyDescent="0.25">
      <c r="T24494" s="135"/>
      <c r="U24494" s="135"/>
    </row>
    <row r="24495" spans="20:21" ht="15" customHeight="1" x14ac:dyDescent="0.25">
      <c r="T24495" s="135"/>
      <c r="U24495" s="135"/>
    </row>
    <row r="24496" spans="20:21" ht="15" customHeight="1" x14ac:dyDescent="0.25">
      <c r="T24496" s="135"/>
      <c r="U24496" s="135"/>
    </row>
    <row r="24497" spans="20:21" ht="15" customHeight="1" x14ac:dyDescent="0.25">
      <c r="T24497" s="135"/>
      <c r="U24497" s="135"/>
    </row>
    <row r="24498" spans="20:21" ht="15" customHeight="1" x14ac:dyDescent="0.25">
      <c r="T24498" s="135"/>
      <c r="U24498" s="135"/>
    </row>
    <row r="24499" spans="20:21" ht="15" customHeight="1" x14ac:dyDescent="0.25">
      <c r="T24499" s="135"/>
      <c r="U24499" s="135"/>
    </row>
    <row r="24500" spans="20:21" ht="15" customHeight="1" x14ac:dyDescent="0.25">
      <c r="T24500" s="135"/>
      <c r="U24500" s="135"/>
    </row>
    <row r="24501" spans="20:21" ht="15" customHeight="1" x14ac:dyDescent="0.25">
      <c r="T24501" s="135"/>
      <c r="U24501" s="135"/>
    </row>
    <row r="24502" spans="20:21" ht="15" customHeight="1" x14ac:dyDescent="0.25">
      <c r="T24502" s="135"/>
      <c r="U24502" s="135"/>
    </row>
    <row r="24503" spans="20:21" ht="15" customHeight="1" x14ac:dyDescent="0.25">
      <c r="T24503" s="135"/>
      <c r="U24503" s="135"/>
    </row>
    <row r="24504" spans="20:21" ht="15" customHeight="1" x14ac:dyDescent="0.25">
      <c r="T24504" s="135"/>
      <c r="U24504" s="135"/>
    </row>
    <row r="24505" spans="20:21" ht="15" customHeight="1" x14ac:dyDescent="0.25">
      <c r="T24505" s="135"/>
      <c r="U24505" s="135"/>
    </row>
    <row r="24506" spans="20:21" ht="15" customHeight="1" x14ac:dyDescent="0.25">
      <c r="T24506" s="135"/>
      <c r="U24506" s="135"/>
    </row>
    <row r="24507" spans="20:21" ht="15" customHeight="1" x14ac:dyDescent="0.25">
      <c r="T24507" s="135"/>
      <c r="U24507" s="135"/>
    </row>
    <row r="24508" spans="20:21" ht="15" customHeight="1" x14ac:dyDescent="0.25">
      <c r="T24508" s="135"/>
      <c r="U24508" s="135"/>
    </row>
    <row r="24509" spans="20:21" ht="15" customHeight="1" x14ac:dyDescent="0.25">
      <c r="T24509" s="135"/>
      <c r="U24509" s="135"/>
    </row>
    <row r="24510" spans="20:21" ht="15" customHeight="1" x14ac:dyDescent="0.25">
      <c r="T24510" s="135"/>
      <c r="U24510" s="135"/>
    </row>
    <row r="24511" spans="20:21" ht="15" customHeight="1" x14ac:dyDescent="0.25">
      <c r="T24511" s="135"/>
      <c r="U24511" s="135"/>
    </row>
    <row r="24512" spans="20:21" ht="15" customHeight="1" x14ac:dyDescent="0.25">
      <c r="T24512" s="135"/>
      <c r="U24512" s="135"/>
    </row>
    <row r="24513" spans="20:21" ht="15" customHeight="1" x14ac:dyDescent="0.25">
      <c r="T24513" s="135"/>
      <c r="U24513" s="135"/>
    </row>
    <row r="24514" spans="20:21" ht="15" customHeight="1" x14ac:dyDescent="0.25">
      <c r="T24514" s="135"/>
      <c r="U24514" s="135"/>
    </row>
    <row r="24515" spans="20:21" ht="15" customHeight="1" x14ac:dyDescent="0.25">
      <c r="T24515" s="135"/>
      <c r="U24515" s="135"/>
    </row>
    <row r="24516" spans="20:21" ht="15" customHeight="1" x14ac:dyDescent="0.25">
      <c r="T24516" s="135"/>
      <c r="U24516" s="135"/>
    </row>
    <row r="24517" spans="20:21" ht="15" customHeight="1" x14ac:dyDescent="0.25">
      <c r="T24517" s="135"/>
      <c r="U24517" s="135"/>
    </row>
    <row r="24518" spans="20:21" ht="15" customHeight="1" x14ac:dyDescent="0.25">
      <c r="T24518" s="135"/>
      <c r="U24518" s="135"/>
    </row>
    <row r="24519" spans="20:21" ht="15" customHeight="1" x14ac:dyDescent="0.25">
      <c r="T24519" s="135"/>
      <c r="U24519" s="135"/>
    </row>
    <row r="24520" spans="20:21" ht="15" customHeight="1" x14ac:dyDescent="0.25">
      <c r="T24520" s="135"/>
      <c r="U24520" s="135"/>
    </row>
    <row r="24521" spans="20:21" ht="15" customHeight="1" x14ac:dyDescent="0.25">
      <c r="T24521" s="135"/>
      <c r="U24521" s="135"/>
    </row>
    <row r="24522" spans="20:21" ht="15" customHeight="1" x14ac:dyDescent="0.25">
      <c r="T24522" s="135"/>
      <c r="U24522" s="135"/>
    </row>
    <row r="24523" spans="20:21" ht="15" customHeight="1" x14ac:dyDescent="0.25">
      <c r="T24523" s="135"/>
      <c r="U24523" s="135"/>
    </row>
    <row r="24524" spans="20:21" ht="15" customHeight="1" x14ac:dyDescent="0.25">
      <c r="T24524" s="135"/>
      <c r="U24524" s="135"/>
    </row>
    <row r="24525" spans="20:21" ht="15" customHeight="1" x14ac:dyDescent="0.25">
      <c r="T24525" s="135"/>
      <c r="U24525" s="135"/>
    </row>
    <row r="24526" spans="20:21" ht="15" customHeight="1" x14ac:dyDescent="0.25">
      <c r="T24526" s="135"/>
      <c r="U24526" s="135"/>
    </row>
    <row r="24527" spans="20:21" ht="15" customHeight="1" x14ac:dyDescent="0.25">
      <c r="T24527" s="135"/>
      <c r="U24527" s="135"/>
    </row>
    <row r="24528" spans="20:21" ht="15" customHeight="1" x14ac:dyDescent="0.25">
      <c r="T24528" s="135"/>
      <c r="U24528" s="135"/>
    </row>
    <row r="24529" spans="20:21" ht="15" customHeight="1" x14ac:dyDescent="0.25">
      <c r="T24529" s="135"/>
      <c r="U24529" s="135"/>
    </row>
    <row r="24530" spans="20:21" ht="15" customHeight="1" x14ac:dyDescent="0.25">
      <c r="T24530" s="135"/>
      <c r="U24530" s="135"/>
    </row>
    <row r="24531" spans="20:21" ht="15" customHeight="1" x14ac:dyDescent="0.25">
      <c r="T24531" s="135"/>
      <c r="U24531" s="135"/>
    </row>
    <row r="24532" spans="20:21" ht="15" customHeight="1" x14ac:dyDescent="0.25">
      <c r="T24532" s="135"/>
      <c r="U24532" s="135"/>
    </row>
    <row r="24533" spans="20:21" ht="15" customHeight="1" x14ac:dyDescent="0.25">
      <c r="T24533" s="135"/>
      <c r="U24533" s="135"/>
    </row>
    <row r="24534" spans="20:21" ht="15" customHeight="1" x14ac:dyDescent="0.25">
      <c r="T24534" s="135"/>
      <c r="U24534" s="135"/>
    </row>
    <row r="24535" spans="20:21" ht="15" customHeight="1" x14ac:dyDescent="0.25">
      <c r="T24535" s="135"/>
      <c r="U24535" s="135"/>
    </row>
    <row r="24536" spans="20:21" ht="15" customHeight="1" x14ac:dyDescent="0.25">
      <c r="T24536" s="135"/>
      <c r="U24536" s="135"/>
    </row>
    <row r="24537" spans="20:21" ht="15" customHeight="1" x14ac:dyDescent="0.25">
      <c r="T24537" s="135"/>
      <c r="U24537" s="135"/>
    </row>
    <row r="24538" spans="20:21" ht="15" customHeight="1" x14ac:dyDescent="0.25">
      <c r="T24538" s="135"/>
      <c r="U24538" s="135"/>
    </row>
    <row r="24539" spans="20:21" ht="15" customHeight="1" x14ac:dyDescent="0.25">
      <c r="T24539" s="135"/>
      <c r="U24539" s="135"/>
    </row>
    <row r="24540" spans="20:21" ht="15" customHeight="1" x14ac:dyDescent="0.25">
      <c r="T24540" s="135"/>
      <c r="U24540" s="135"/>
    </row>
    <row r="24541" spans="20:21" ht="15" customHeight="1" x14ac:dyDescent="0.25">
      <c r="T24541" s="135"/>
      <c r="U24541" s="135"/>
    </row>
    <row r="24542" spans="20:21" ht="15" customHeight="1" x14ac:dyDescent="0.25">
      <c r="T24542" s="135"/>
      <c r="U24542" s="135"/>
    </row>
    <row r="24543" spans="20:21" ht="15" customHeight="1" x14ac:dyDescent="0.25">
      <c r="T24543" s="135"/>
      <c r="U24543" s="135"/>
    </row>
    <row r="24544" spans="20:21" ht="15" customHeight="1" x14ac:dyDescent="0.25">
      <c r="T24544" s="135"/>
      <c r="U24544" s="135"/>
    </row>
    <row r="24545" spans="20:21" ht="15" customHeight="1" x14ac:dyDescent="0.25">
      <c r="T24545" s="135"/>
      <c r="U24545" s="135"/>
    </row>
    <row r="24546" spans="20:21" ht="15" customHeight="1" x14ac:dyDescent="0.25">
      <c r="T24546" s="135"/>
      <c r="U24546" s="135"/>
    </row>
    <row r="24547" spans="20:21" ht="15" customHeight="1" x14ac:dyDescent="0.25">
      <c r="T24547" s="135"/>
      <c r="U24547" s="135"/>
    </row>
    <row r="24548" spans="20:21" ht="15" customHeight="1" x14ac:dyDescent="0.25">
      <c r="T24548" s="135"/>
      <c r="U24548" s="135"/>
    </row>
    <row r="24549" spans="20:21" ht="15" customHeight="1" x14ac:dyDescent="0.25">
      <c r="T24549" s="135"/>
      <c r="U24549" s="135"/>
    </row>
    <row r="24550" spans="20:21" ht="15" customHeight="1" x14ac:dyDescent="0.25">
      <c r="T24550" s="135"/>
      <c r="U24550" s="135"/>
    </row>
    <row r="24551" spans="20:21" ht="15" customHeight="1" x14ac:dyDescent="0.25">
      <c r="T24551" s="135"/>
      <c r="U24551" s="135"/>
    </row>
    <row r="24552" spans="20:21" ht="15" customHeight="1" x14ac:dyDescent="0.25">
      <c r="T24552" s="135"/>
      <c r="U24552" s="135"/>
    </row>
    <row r="24553" spans="20:21" ht="15" customHeight="1" x14ac:dyDescent="0.25">
      <c r="T24553" s="135"/>
      <c r="U24553" s="135"/>
    </row>
    <row r="24554" spans="20:21" ht="15" customHeight="1" x14ac:dyDescent="0.25">
      <c r="T24554" s="135"/>
      <c r="U24554" s="135"/>
    </row>
    <row r="24555" spans="20:21" ht="15" customHeight="1" x14ac:dyDescent="0.25">
      <c r="T24555" s="135"/>
      <c r="U24555" s="135"/>
    </row>
    <row r="24556" spans="20:21" ht="15" customHeight="1" x14ac:dyDescent="0.25">
      <c r="T24556" s="135"/>
      <c r="U24556" s="135"/>
    </row>
    <row r="24557" spans="20:21" ht="15" customHeight="1" x14ac:dyDescent="0.25">
      <c r="T24557" s="135"/>
      <c r="U24557" s="135"/>
    </row>
    <row r="24558" spans="20:21" ht="15" customHeight="1" x14ac:dyDescent="0.25">
      <c r="T24558" s="135"/>
      <c r="U24558" s="135"/>
    </row>
    <row r="24559" spans="20:21" ht="15" customHeight="1" x14ac:dyDescent="0.25">
      <c r="T24559" s="135"/>
      <c r="U24559" s="135"/>
    </row>
    <row r="24560" spans="20:21" ht="15" customHeight="1" x14ac:dyDescent="0.25">
      <c r="T24560" s="135"/>
      <c r="U24560" s="135"/>
    </row>
    <row r="24561" spans="20:21" ht="15" customHeight="1" x14ac:dyDescent="0.25">
      <c r="T24561" s="135"/>
      <c r="U24561" s="135"/>
    </row>
    <row r="24562" spans="20:21" ht="15" customHeight="1" x14ac:dyDescent="0.25">
      <c r="T24562" s="135"/>
      <c r="U24562" s="135"/>
    </row>
    <row r="24563" spans="20:21" ht="15" customHeight="1" x14ac:dyDescent="0.25">
      <c r="T24563" s="135"/>
      <c r="U24563" s="135"/>
    </row>
    <row r="24564" spans="20:21" ht="15" customHeight="1" x14ac:dyDescent="0.25">
      <c r="T24564" s="135"/>
      <c r="U24564" s="135"/>
    </row>
    <row r="24565" spans="20:21" ht="15" customHeight="1" x14ac:dyDescent="0.25">
      <c r="T24565" s="135"/>
      <c r="U24565" s="135"/>
    </row>
    <row r="24566" spans="20:21" ht="15" customHeight="1" x14ac:dyDescent="0.25">
      <c r="T24566" s="135"/>
      <c r="U24566" s="135"/>
    </row>
    <row r="24567" spans="20:21" ht="15" customHeight="1" x14ac:dyDescent="0.25">
      <c r="T24567" s="135"/>
      <c r="U24567" s="135"/>
    </row>
    <row r="24568" spans="20:21" ht="15" customHeight="1" x14ac:dyDescent="0.25">
      <c r="T24568" s="135"/>
      <c r="U24568" s="135"/>
    </row>
    <row r="24569" spans="20:21" ht="15" customHeight="1" x14ac:dyDescent="0.25">
      <c r="T24569" s="135"/>
      <c r="U24569" s="135"/>
    </row>
    <row r="24570" spans="20:21" ht="15" customHeight="1" x14ac:dyDescent="0.25">
      <c r="T24570" s="135"/>
      <c r="U24570" s="135"/>
    </row>
    <row r="24571" spans="20:21" ht="15" customHeight="1" x14ac:dyDescent="0.25">
      <c r="T24571" s="135"/>
      <c r="U24571" s="135"/>
    </row>
    <row r="24572" spans="20:21" ht="15" customHeight="1" x14ac:dyDescent="0.25">
      <c r="T24572" s="135"/>
      <c r="U24572" s="135"/>
    </row>
    <row r="24573" spans="20:21" ht="15" customHeight="1" x14ac:dyDescent="0.25">
      <c r="T24573" s="135"/>
      <c r="U24573" s="135"/>
    </row>
    <row r="24574" spans="20:21" ht="15" customHeight="1" x14ac:dyDescent="0.25">
      <c r="T24574" s="135"/>
      <c r="U24574" s="135"/>
    </row>
    <row r="24575" spans="20:21" ht="15" customHeight="1" x14ac:dyDescent="0.25">
      <c r="T24575" s="135"/>
      <c r="U24575" s="135"/>
    </row>
    <row r="24576" spans="20:21" ht="15" customHeight="1" x14ac:dyDescent="0.25">
      <c r="T24576" s="135"/>
      <c r="U24576" s="135"/>
    </row>
    <row r="24577" spans="20:21" ht="15" customHeight="1" x14ac:dyDescent="0.25">
      <c r="T24577" s="135"/>
      <c r="U24577" s="135"/>
    </row>
    <row r="24578" spans="20:21" ht="15" customHeight="1" x14ac:dyDescent="0.25">
      <c r="T24578" s="135"/>
      <c r="U24578" s="135"/>
    </row>
    <row r="24579" spans="20:21" ht="15" customHeight="1" x14ac:dyDescent="0.25">
      <c r="T24579" s="135"/>
      <c r="U24579" s="135"/>
    </row>
    <row r="24580" spans="20:21" ht="15" customHeight="1" x14ac:dyDescent="0.25">
      <c r="T24580" s="135"/>
      <c r="U24580" s="135"/>
    </row>
    <row r="24581" spans="20:21" ht="15" customHeight="1" x14ac:dyDescent="0.25">
      <c r="T24581" s="135"/>
      <c r="U24581" s="135"/>
    </row>
    <row r="24582" spans="20:21" ht="15" customHeight="1" x14ac:dyDescent="0.25">
      <c r="T24582" s="135"/>
      <c r="U24582" s="135"/>
    </row>
    <row r="24583" spans="20:21" ht="15" customHeight="1" x14ac:dyDescent="0.25">
      <c r="T24583" s="135"/>
      <c r="U24583" s="135"/>
    </row>
    <row r="24584" spans="20:21" ht="15" customHeight="1" x14ac:dyDescent="0.25">
      <c r="T24584" s="135"/>
      <c r="U24584" s="135"/>
    </row>
    <row r="24585" spans="20:21" ht="15" customHeight="1" x14ac:dyDescent="0.25">
      <c r="T24585" s="135"/>
      <c r="U24585" s="135"/>
    </row>
    <row r="24586" spans="20:21" ht="15" customHeight="1" x14ac:dyDescent="0.25">
      <c r="T24586" s="135"/>
      <c r="U24586" s="135"/>
    </row>
    <row r="24587" spans="20:21" ht="15" customHeight="1" x14ac:dyDescent="0.25">
      <c r="T24587" s="135"/>
      <c r="U24587" s="135"/>
    </row>
    <row r="24588" spans="20:21" ht="15" customHeight="1" x14ac:dyDescent="0.25">
      <c r="T24588" s="135"/>
      <c r="U24588" s="135"/>
    </row>
    <row r="24589" spans="20:21" ht="15" customHeight="1" x14ac:dyDescent="0.25">
      <c r="T24589" s="135"/>
      <c r="U24589" s="135"/>
    </row>
    <row r="24590" spans="20:21" ht="15" customHeight="1" x14ac:dyDescent="0.25">
      <c r="T24590" s="135"/>
      <c r="U24590" s="135"/>
    </row>
    <row r="24591" spans="20:21" ht="15" customHeight="1" x14ac:dyDescent="0.25">
      <c r="T24591" s="135"/>
      <c r="U24591" s="135"/>
    </row>
    <row r="24592" spans="20:21" ht="15" customHeight="1" x14ac:dyDescent="0.25">
      <c r="T24592" s="135"/>
      <c r="U24592" s="135"/>
    </row>
    <row r="24593" spans="20:21" ht="15" customHeight="1" x14ac:dyDescent="0.25">
      <c r="T24593" s="135"/>
      <c r="U24593" s="135"/>
    </row>
    <row r="24594" spans="20:21" ht="15" customHeight="1" x14ac:dyDescent="0.25">
      <c r="T24594" s="135"/>
      <c r="U24594" s="135"/>
    </row>
    <row r="24595" spans="20:21" ht="15" customHeight="1" x14ac:dyDescent="0.25">
      <c r="T24595" s="135"/>
      <c r="U24595" s="135"/>
    </row>
    <row r="24596" spans="20:21" ht="15" customHeight="1" x14ac:dyDescent="0.25">
      <c r="T24596" s="135"/>
      <c r="U24596" s="135"/>
    </row>
    <row r="24597" spans="20:21" ht="15" customHeight="1" x14ac:dyDescent="0.25">
      <c r="T24597" s="135"/>
      <c r="U24597" s="135"/>
    </row>
    <row r="24598" spans="20:21" ht="15" customHeight="1" x14ac:dyDescent="0.25">
      <c r="T24598" s="135"/>
      <c r="U24598" s="135"/>
    </row>
    <row r="24599" spans="20:21" ht="15" customHeight="1" x14ac:dyDescent="0.25">
      <c r="T24599" s="135"/>
      <c r="U24599" s="135"/>
    </row>
    <row r="24600" spans="20:21" ht="15" customHeight="1" x14ac:dyDescent="0.25">
      <c r="T24600" s="135"/>
      <c r="U24600" s="135"/>
    </row>
    <row r="24601" spans="20:21" ht="15" customHeight="1" x14ac:dyDescent="0.25">
      <c r="T24601" s="135"/>
      <c r="U24601" s="135"/>
    </row>
    <row r="24602" spans="20:21" ht="15" customHeight="1" x14ac:dyDescent="0.25">
      <c r="T24602" s="135"/>
      <c r="U24602" s="135"/>
    </row>
    <row r="24603" spans="20:21" ht="15" customHeight="1" x14ac:dyDescent="0.25">
      <c r="T24603" s="135"/>
      <c r="U24603" s="135"/>
    </row>
    <row r="24604" spans="20:21" ht="15" customHeight="1" x14ac:dyDescent="0.25">
      <c r="T24604" s="135"/>
      <c r="U24604" s="135"/>
    </row>
    <row r="24605" spans="20:21" ht="15" customHeight="1" x14ac:dyDescent="0.25">
      <c r="T24605" s="135"/>
      <c r="U24605" s="135"/>
    </row>
    <row r="24606" spans="20:21" ht="15" customHeight="1" x14ac:dyDescent="0.25">
      <c r="T24606" s="135"/>
      <c r="U24606" s="135"/>
    </row>
    <row r="24607" spans="20:21" ht="15" customHeight="1" x14ac:dyDescent="0.25">
      <c r="T24607" s="135"/>
      <c r="U24607" s="135"/>
    </row>
    <row r="24608" spans="20:21" ht="15" customHeight="1" x14ac:dyDescent="0.25">
      <c r="T24608" s="135"/>
      <c r="U24608" s="135"/>
    </row>
    <row r="24609" spans="20:21" ht="15" customHeight="1" x14ac:dyDescent="0.25">
      <c r="T24609" s="135"/>
      <c r="U24609" s="135"/>
    </row>
    <row r="24610" spans="20:21" ht="15" customHeight="1" x14ac:dyDescent="0.25">
      <c r="T24610" s="135"/>
      <c r="U24610" s="135"/>
    </row>
    <row r="24611" spans="20:21" ht="15" customHeight="1" x14ac:dyDescent="0.25">
      <c r="T24611" s="135"/>
      <c r="U24611" s="135"/>
    </row>
    <row r="24612" spans="20:21" ht="15" customHeight="1" x14ac:dyDescent="0.25">
      <c r="T24612" s="135"/>
      <c r="U24612" s="135"/>
    </row>
    <row r="24613" spans="20:21" ht="15" customHeight="1" x14ac:dyDescent="0.25">
      <c r="T24613" s="135"/>
      <c r="U24613" s="135"/>
    </row>
    <row r="24614" spans="20:21" ht="15" customHeight="1" x14ac:dyDescent="0.25">
      <c r="T24614" s="135"/>
      <c r="U24614" s="135"/>
    </row>
    <row r="24615" spans="20:21" ht="15" customHeight="1" x14ac:dyDescent="0.25">
      <c r="T24615" s="135"/>
      <c r="U24615" s="135"/>
    </row>
    <row r="24616" spans="20:21" ht="15" customHeight="1" x14ac:dyDescent="0.25">
      <c r="T24616" s="135"/>
      <c r="U24616" s="135"/>
    </row>
    <row r="24617" spans="20:21" ht="15" customHeight="1" x14ac:dyDescent="0.25">
      <c r="T24617" s="135"/>
      <c r="U24617" s="135"/>
    </row>
    <row r="24618" spans="20:21" ht="15" customHeight="1" x14ac:dyDescent="0.25">
      <c r="T24618" s="135"/>
      <c r="U24618" s="135"/>
    </row>
    <row r="24619" spans="20:21" ht="15" customHeight="1" x14ac:dyDescent="0.25">
      <c r="T24619" s="135"/>
      <c r="U24619" s="135"/>
    </row>
    <row r="24620" spans="20:21" ht="15" customHeight="1" x14ac:dyDescent="0.25">
      <c r="T24620" s="135"/>
      <c r="U24620" s="135"/>
    </row>
    <row r="24621" spans="20:21" ht="15" customHeight="1" x14ac:dyDescent="0.25">
      <c r="T24621" s="135"/>
      <c r="U24621" s="135"/>
    </row>
    <row r="24622" spans="20:21" ht="15" customHeight="1" x14ac:dyDescent="0.25">
      <c r="T24622" s="135"/>
      <c r="U24622" s="135"/>
    </row>
    <row r="24623" spans="20:21" ht="15" customHeight="1" x14ac:dyDescent="0.25">
      <c r="T24623" s="135"/>
      <c r="U24623" s="135"/>
    </row>
    <row r="24624" spans="20:21" ht="15" customHeight="1" x14ac:dyDescent="0.25">
      <c r="T24624" s="135"/>
      <c r="U24624" s="135"/>
    </row>
    <row r="24625" spans="20:21" ht="15" customHeight="1" x14ac:dyDescent="0.25">
      <c r="T24625" s="135"/>
      <c r="U24625" s="135"/>
    </row>
    <row r="24626" spans="20:21" ht="15" customHeight="1" x14ac:dyDescent="0.25">
      <c r="T24626" s="135"/>
      <c r="U24626" s="135"/>
    </row>
    <row r="24627" spans="20:21" ht="15" customHeight="1" x14ac:dyDescent="0.25">
      <c r="T24627" s="135"/>
      <c r="U24627" s="135"/>
    </row>
    <row r="24628" spans="20:21" ht="15" customHeight="1" x14ac:dyDescent="0.25">
      <c r="T24628" s="135"/>
      <c r="U24628" s="135"/>
    </row>
    <row r="24629" spans="20:21" ht="15" customHeight="1" x14ac:dyDescent="0.25">
      <c r="T24629" s="135"/>
      <c r="U24629" s="135"/>
    </row>
    <row r="24630" spans="20:21" ht="15" customHeight="1" x14ac:dyDescent="0.25">
      <c r="T24630" s="135"/>
      <c r="U24630" s="135"/>
    </row>
    <row r="24631" spans="20:21" ht="15" customHeight="1" x14ac:dyDescent="0.25">
      <c r="T24631" s="135"/>
      <c r="U24631" s="135"/>
    </row>
    <row r="24632" spans="20:21" ht="15" customHeight="1" x14ac:dyDescent="0.25">
      <c r="T24632" s="135"/>
      <c r="U24632" s="135"/>
    </row>
    <row r="24633" spans="20:21" ht="15" customHeight="1" x14ac:dyDescent="0.25">
      <c r="T24633" s="135"/>
      <c r="U24633" s="135"/>
    </row>
    <row r="24634" spans="20:21" ht="15" customHeight="1" x14ac:dyDescent="0.25">
      <c r="T24634" s="135"/>
      <c r="U24634" s="135"/>
    </row>
    <row r="24635" spans="20:21" ht="15" customHeight="1" x14ac:dyDescent="0.25">
      <c r="T24635" s="135"/>
      <c r="U24635" s="135"/>
    </row>
    <row r="24636" spans="20:21" ht="15" customHeight="1" x14ac:dyDescent="0.25">
      <c r="T24636" s="135"/>
      <c r="U24636" s="135"/>
    </row>
    <row r="24637" spans="20:21" ht="15" customHeight="1" x14ac:dyDescent="0.25">
      <c r="T24637" s="135"/>
      <c r="U24637" s="135"/>
    </row>
    <row r="24638" spans="20:21" ht="15" customHeight="1" x14ac:dyDescent="0.25">
      <c r="T24638" s="135"/>
      <c r="U24638" s="135"/>
    </row>
    <row r="24639" spans="20:21" ht="15" customHeight="1" x14ac:dyDescent="0.25">
      <c r="T24639" s="135"/>
      <c r="U24639" s="135"/>
    </row>
    <row r="24640" spans="20:21" ht="15" customHeight="1" x14ac:dyDescent="0.25">
      <c r="T24640" s="135"/>
      <c r="U24640" s="135"/>
    </row>
    <row r="24641" spans="20:21" ht="15" customHeight="1" x14ac:dyDescent="0.25">
      <c r="T24641" s="135"/>
      <c r="U24641" s="135"/>
    </row>
    <row r="24642" spans="20:21" ht="15" customHeight="1" x14ac:dyDescent="0.25">
      <c r="T24642" s="135"/>
      <c r="U24642" s="135"/>
    </row>
    <row r="24643" spans="20:21" ht="15" customHeight="1" x14ac:dyDescent="0.25">
      <c r="T24643" s="135"/>
      <c r="U24643" s="135"/>
    </row>
    <row r="24644" spans="20:21" ht="15" customHeight="1" x14ac:dyDescent="0.25">
      <c r="T24644" s="135"/>
      <c r="U24644" s="135"/>
    </row>
    <row r="24645" spans="20:21" ht="15" customHeight="1" x14ac:dyDescent="0.25">
      <c r="T24645" s="135"/>
      <c r="U24645" s="135"/>
    </row>
    <row r="24646" spans="20:21" ht="15" customHeight="1" x14ac:dyDescent="0.25">
      <c r="T24646" s="135"/>
      <c r="U24646" s="135"/>
    </row>
    <row r="24647" spans="20:21" ht="15" customHeight="1" x14ac:dyDescent="0.25">
      <c r="T24647" s="135"/>
      <c r="U24647" s="135"/>
    </row>
    <row r="24648" spans="20:21" ht="15" customHeight="1" x14ac:dyDescent="0.25">
      <c r="T24648" s="135"/>
      <c r="U24648" s="135"/>
    </row>
    <row r="24649" spans="20:21" ht="15" customHeight="1" x14ac:dyDescent="0.25">
      <c r="T24649" s="135"/>
      <c r="U24649" s="135"/>
    </row>
    <row r="24650" spans="20:21" ht="15" customHeight="1" x14ac:dyDescent="0.25">
      <c r="T24650" s="135"/>
      <c r="U24650" s="135"/>
    </row>
    <row r="24651" spans="20:21" ht="15" customHeight="1" x14ac:dyDescent="0.25">
      <c r="T24651" s="135"/>
      <c r="U24651" s="135"/>
    </row>
    <row r="24652" spans="20:21" ht="15" customHeight="1" x14ac:dyDescent="0.25">
      <c r="T24652" s="135"/>
      <c r="U24652" s="135"/>
    </row>
    <row r="24653" spans="20:21" ht="15" customHeight="1" x14ac:dyDescent="0.25">
      <c r="T24653" s="135"/>
      <c r="U24653" s="135"/>
    </row>
    <row r="24654" spans="20:21" ht="15" customHeight="1" x14ac:dyDescent="0.25">
      <c r="T24654" s="135"/>
      <c r="U24654" s="135"/>
    </row>
    <row r="24655" spans="20:21" ht="15" customHeight="1" x14ac:dyDescent="0.25">
      <c r="T24655" s="135"/>
      <c r="U24655" s="135"/>
    </row>
    <row r="24656" spans="20:21" ht="15" customHeight="1" x14ac:dyDescent="0.25">
      <c r="T24656" s="135"/>
      <c r="U24656" s="135"/>
    </row>
    <row r="24657" spans="20:21" ht="15" customHeight="1" x14ac:dyDescent="0.25">
      <c r="T24657" s="135"/>
      <c r="U24657" s="135"/>
    </row>
    <row r="24658" spans="20:21" ht="15" customHeight="1" x14ac:dyDescent="0.25">
      <c r="T24658" s="135"/>
      <c r="U24658" s="135"/>
    </row>
    <row r="24659" spans="20:21" ht="15" customHeight="1" x14ac:dyDescent="0.25">
      <c r="T24659" s="135"/>
      <c r="U24659" s="135"/>
    </row>
    <row r="24660" spans="20:21" ht="15" customHeight="1" x14ac:dyDescent="0.25">
      <c r="T24660" s="135"/>
      <c r="U24660" s="135"/>
    </row>
    <row r="24661" spans="20:21" ht="15" customHeight="1" x14ac:dyDescent="0.25">
      <c r="T24661" s="135"/>
      <c r="U24661" s="135"/>
    </row>
    <row r="24662" spans="20:21" ht="15" customHeight="1" x14ac:dyDescent="0.25">
      <c r="T24662" s="135"/>
      <c r="U24662" s="135"/>
    </row>
    <row r="24663" spans="20:21" ht="15" customHeight="1" x14ac:dyDescent="0.25">
      <c r="T24663" s="135"/>
      <c r="U24663" s="135"/>
    </row>
    <row r="24664" spans="20:21" ht="15" customHeight="1" x14ac:dyDescent="0.25">
      <c r="T24664" s="135"/>
      <c r="U24664" s="135"/>
    </row>
    <row r="24665" spans="20:21" ht="15" customHeight="1" x14ac:dyDescent="0.25">
      <c r="T24665" s="135"/>
      <c r="U24665" s="135"/>
    </row>
    <row r="24666" spans="20:21" ht="15" customHeight="1" x14ac:dyDescent="0.25">
      <c r="T24666" s="135"/>
      <c r="U24666" s="135"/>
    </row>
    <row r="24667" spans="20:21" ht="15" customHeight="1" x14ac:dyDescent="0.25">
      <c r="T24667" s="135"/>
      <c r="U24667" s="135"/>
    </row>
    <row r="24668" spans="20:21" ht="15" customHeight="1" x14ac:dyDescent="0.25">
      <c r="T24668" s="135"/>
      <c r="U24668" s="135"/>
    </row>
    <row r="24669" spans="20:21" ht="15" customHeight="1" x14ac:dyDescent="0.25">
      <c r="T24669" s="135"/>
      <c r="U24669" s="135"/>
    </row>
    <row r="24670" spans="20:21" ht="15" customHeight="1" x14ac:dyDescent="0.25">
      <c r="T24670" s="135"/>
      <c r="U24670" s="135"/>
    </row>
    <row r="24671" spans="20:21" ht="15" customHeight="1" x14ac:dyDescent="0.25">
      <c r="T24671" s="135"/>
      <c r="U24671" s="135"/>
    </row>
    <row r="24672" spans="20:21" ht="15" customHeight="1" x14ac:dyDescent="0.25">
      <c r="T24672" s="135"/>
      <c r="U24672" s="135"/>
    </row>
    <row r="24673" spans="20:21" ht="15" customHeight="1" x14ac:dyDescent="0.25">
      <c r="T24673" s="135"/>
      <c r="U24673" s="135"/>
    </row>
    <row r="24674" spans="20:21" ht="15" customHeight="1" x14ac:dyDescent="0.25">
      <c r="T24674" s="135"/>
      <c r="U24674" s="135"/>
    </row>
    <row r="24675" spans="20:21" ht="15" customHeight="1" x14ac:dyDescent="0.25">
      <c r="T24675" s="135"/>
      <c r="U24675" s="135"/>
    </row>
    <row r="24676" spans="20:21" ht="15" customHeight="1" x14ac:dyDescent="0.25">
      <c r="T24676" s="135"/>
      <c r="U24676" s="135"/>
    </row>
    <row r="24677" spans="20:21" ht="15" customHeight="1" x14ac:dyDescent="0.25">
      <c r="T24677" s="135"/>
      <c r="U24677" s="135"/>
    </row>
    <row r="24678" spans="20:21" ht="15" customHeight="1" x14ac:dyDescent="0.25">
      <c r="T24678" s="135"/>
      <c r="U24678" s="135"/>
    </row>
    <row r="24679" spans="20:21" ht="15" customHeight="1" x14ac:dyDescent="0.25">
      <c r="T24679" s="135"/>
      <c r="U24679" s="135"/>
    </row>
    <row r="24680" spans="20:21" ht="15" customHeight="1" x14ac:dyDescent="0.25">
      <c r="T24680" s="135"/>
      <c r="U24680" s="135"/>
    </row>
    <row r="24681" spans="20:21" ht="15" customHeight="1" x14ac:dyDescent="0.25">
      <c r="T24681" s="135"/>
      <c r="U24681" s="135"/>
    </row>
    <row r="24682" spans="20:21" ht="15" customHeight="1" x14ac:dyDescent="0.25">
      <c r="T24682" s="135"/>
      <c r="U24682" s="135"/>
    </row>
    <row r="24683" spans="20:21" ht="15" customHeight="1" x14ac:dyDescent="0.25">
      <c r="T24683" s="135"/>
      <c r="U24683" s="135"/>
    </row>
    <row r="24684" spans="20:21" ht="15" customHeight="1" x14ac:dyDescent="0.25">
      <c r="T24684" s="135"/>
      <c r="U24684" s="135"/>
    </row>
    <row r="24685" spans="20:21" ht="15" customHeight="1" x14ac:dyDescent="0.25">
      <c r="T24685" s="135"/>
      <c r="U24685" s="135"/>
    </row>
    <row r="24686" spans="20:21" ht="15" customHeight="1" x14ac:dyDescent="0.25">
      <c r="T24686" s="135"/>
      <c r="U24686" s="135"/>
    </row>
    <row r="24687" spans="20:21" ht="15" customHeight="1" x14ac:dyDescent="0.25">
      <c r="T24687" s="135"/>
      <c r="U24687" s="135"/>
    </row>
    <row r="24688" spans="20:21" ht="15" customHeight="1" x14ac:dyDescent="0.25">
      <c r="T24688" s="135"/>
      <c r="U24688" s="135"/>
    </row>
    <row r="24689" spans="20:21" ht="15" customHeight="1" x14ac:dyDescent="0.25">
      <c r="T24689" s="135"/>
      <c r="U24689" s="135"/>
    </row>
    <row r="24690" spans="20:21" ht="15" customHeight="1" x14ac:dyDescent="0.25">
      <c r="T24690" s="135"/>
      <c r="U24690" s="135"/>
    </row>
    <row r="24691" spans="20:21" ht="15" customHeight="1" x14ac:dyDescent="0.25">
      <c r="T24691" s="135"/>
      <c r="U24691" s="135"/>
    </row>
    <row r="24692" spans="20:21" ht="15" customHeight="1" x14ac:dyDescent="0.25">
      <c r="T24692" s="135"/>
      <c r="U24692" s="135"/>
    </row>
    <row r="24693" spans="20:21" ht="15" customHeight="1" x14ac:dyDescent="0.25">
      <c r="T24693" s="135"/>
      <c r="U24693" s="135"/>
    </row>
    <row r="24694" spans="20:21" ht="15" customHeight="1" x14ac:dyDescent="0.25">
      <c r="T24694" s="135"/>
      <c r="U24694" s="135"/>
    </row>
    <row r="24695" spans="20:21" ht="15" customHeight="1" x14ac:dyDescent="0.25">
      <c r="T24695" s="135"/>
      <c r="U24695" s="135"/>
    </row>
    <row r="24696" spans="20:21" ht="15" customHeight="1" x14ac:dyDescent="0.25">
      <c r="T24696" s="135"/>
      <c r="U24696" s="135"/>
    </row>
    <row r="24697" spans="20:21" ht="15" customHeight="1" x14ac:dyDescent="0.25">
      <c r="T24697" s="135"/>
      <c r="U24697" s="135"/>
    </row>
    <row r="24698" spans="20:21" ht="15" customHeight="1" x14ac:dyDescent="0.25">
      <c r="T24698" s="135"/>
      <c r="U24698" s="135"/>
    </row>
    <row r="24699" spans="20:21" ht="15" customHeight="1" x14ac:dyDescent="0.25">
      <c r="T24699" s="135"/>
      <c r="U24699" s="135"/>
    </row>
    <row r="24700" spans="20:21" ht="15" customHeight="1" x14ac:dyDescent="0.25">
      <c r="T24700" s="135"/>
      <c r="U24700" s="135"/>
    </row>
    <row r="24701" spans="20:21" ht="15" customHeight="1" x14ac:dyDescent="0.25">
      <c r="T24701" s="135"/>
      <c r="U24701" s="135"/>
    </row>
    <row r="24702" spans="20:21" ht="15" customHeight="1" x14ac:dyDescent="0.25">
      <c r="T24702" s="135"/>
      <c r="U24702" s="135"/>
    </row>
    <row r="24703" spans="20:21" ht="15" customHeight="1" x14ac:dyDescent="0.25">
      <c r="T24703" s="135"/>
      <c r="U24703" s="135"/>
    </row>
    <row r="24704" spans="20:21" ht="15" customHeight="1" x14ac:dyDescent="0.25">
      <c r="T24704" s="135"/>
      <c r="U24704" s="135"/>
    </row>
    <row r="24705" spans="20:21" ht="15" customHeight="1" x14ac:dyDescent="0.25">
      <c r="T24705" s="135"/>
      <c r="U24705" s="135"/>
    </row>
    <row r="24706" spans="20:21" ht="15" customHeight="1" x14ac:dyDescent="0.25">
      <c r="T24706" s="135"/>
      <c r="U24706" s="135"/>
    </row>
    <row r="24707" spans="20:21" ht="15" customHeight="1" x14ac:dyDescent="0.25">
      <c r="T24707" s="135"/>
      <c r="U24707" s="135"/>
    </row>
    <row r="24708" spans="20:21" ht="15" customHeight="1" x14ac:dyDescent="0.25">
      <c r="T24708" s="135"/>
      <c r="U24708" s="135"/>
    </row>
    <row r="24709" spans="20:21" ht="15" customHeight="1" x14ac:dyDescent="0.25">
      <c r="T24709" s="135"/>
      <c r="U24709" s="135"/>
    </row>
    <row r="24710" spans="20:21" ht="15" customHeight="1" x14ac:dyDescent="0.25">
      <c r="T24710" s="135"/>
      <c r="U24710" s="135"/>
    </row>
    <row r="24711" spans="20:21" ht="15" customHeight="1" x14ac:dyDescent="0.25">
      <c r="T24711" s="135"/>
      <c r="U24711" s="135"/>
    </row>
    <row r="24712" spans="20:21" ht="15" customHeight="1" x14ac:dyDescent="0.25">
      <c r="T24712" s="135"/>
      <c r="U24712" s="135"/>
    </row>
    <row r="24713" spans="20:21" ht="15" customHeight="1" x14ac:dyDescent="0.25">
      <c r="T24713" s="135"/>
      <c r="U24713" s="135"/>
    </row>
    <row r="24714" spans="20:21" ht="15" customHeight="1" x14ac:dyDescent="0.25">
      <c r="T24714" s="135"/>
      <c r="U24714" s="135"/>
    </row>
    <row r="24715" spans="20:21" ht="15" customHeight="1" x14ac:dyDescent="0.25">
      <c r="T24715" s="135"/>
      <c r="U24715" s="135"/>
    </row>
    <row r="24716" spans="20:21" ht="15" customHeight="1" x14ac:dyDescent="0.25">
      <c r="T24716" s="135"/>
      <c r="U24716" s="135"/>
    </row>
    <row r="24717" spans="20:21" ht="15" customHeight="1" x14ac:dyDescent="0.25">
      <c r="T24717" s="135"/>
      <c r="U24717" s="135"/>
    </row>
    <row r="24718" spans="20:21" ht="15" customHeight="1" x14ac:dyDescent="0.25">
      <c r="T24718" s="135"/>
      <c r="U24718" s="135"/>
    </row>
    <row r="24719" spans="20:21" ht="15" customHeight="1" x14ac:dyDescent="0.25">
      <c r="T24719" s="135"/>
      <c r="U24719" s="135"/>
    </row>
    <row r="24720" spans="20:21" ht="15" customHeight="1" x14ac:dyDescent="0.25">
      <c r="T24720" s="135"/>
      <c r="U24720" s="135"/>
    </row>
    <row r="24721" spans="20:21" ht="15" customHeight="1" x14ac:dyDescent="0.25">
      <c r="T24721" s="135"/>
      <c r="U24721" s="135"/>
    </row>
    <row r="24722" spans="20:21" ht="15" customHeight="1" x14ac:dyDescent="0.25">
      <c r="T24722" s="135"/>
      <c r="U24722" s="135"/>
    </row>
    <row r="24723" spans="20:21" ht="15" customHeight="1" x14ac:dyDescent="0.25">
      <c r="T24723" s="135"/>
      <c r="U24723" s="135"/>
    </row>
    <row r="24724" spans="20:21" ht="15" customHeight="1" x14ac:dyDescent="0.25">
      <c r="T24724" s="135"/>
      <c r="U24724" s="135"/>
    </row>
    <row r="24725" spans="20:21" ht="15" customHeight="1" x14ac:dyDescent="0.25">
      <c r="T24725" s="135"/>
      <c r="U24725" s="135"/>
    </row>
    <row r="24726" spans="20:21" ht="15" customHeight="1" x14ac:dyDescent="0.25">
      <c r="T24726" s="135"/>
      <c r="U24726" s="135"/>
    </row>
    <row r="24727" spans="20:21" ht="15" customHeight="1" x14ac:dyDescent="0.25">
      <c r="T24727" s="135"/>
      <c r="U24727" s="135"/>
    </row>
    <row r="24728" spans="20:21" ht="15" customHeight="1" x14ac:dyDescent="0.25">
      <c r="T24728" s="135"/>
      <c r="U24728" s="135"/>
    </row>
    <row r="24729" spans="20:21" ht="15" customHeight="1" x14ac:dyDescent="0.25">
      <c r="T24729" s="135"/>
      <c r="U24729" s="135"/>
    </row>
    <row r="24730" spans="20:21" ht="15" customHeight="1" x14ac:dyDescent="0.25">
      <c r="T24730" s="135"/>
      <c r="U24730" s="135"/>
    </row>
    <row r="24731" spans="20:21" ht="15" customHeight="1" x14ac:dyDescent="0.25">
      <c r="T24731" s="135"/>
      <c r="U24731" s="135"/>
    </row>
    <row r="24732" spans="20:21" ht="15" customHeight="1" x14ac:dyDescent="0.25">
      <c r="T24732" s="135"/>
      <c r="U24732" s="135"/>
    </row>
    <row r="24733" spans="20:21" ht="15" customHeight="1" x14ac:dyDescent="0.25">
      <c r="T24733" s="135"/>
      <c r="U24733" s="135"/>
    </row>
    <row r="24734" spans="20:21" ht="15" customHeight="1" x14ac:dyDescent="0.25">
      <c r="T24734" s="135"/>
      <c r="U24734" s="135"/>
    </row>
    <row r="24735" spans="20:21" ht="15" customHeight="1" x14ac:dyDescent="0.25">
      <c r="T24735" s="135"/>
      <c r="U24735" s="135"/>
    </row>
    <row r="24736" spans="20:21" ht="15" customHeight="1" x14ac:dyDescent="0.25">
      <c r="T24736" s="135"/>
      <c r="U24736" s="135"/>
    </row>
    <row r="24737" spans="20:21" ht="15" customHeight="1" x14ac:dyDescent="0.25">
      <c r="T24737" s="135"/>
      <c r="U24737" s="135"/>
    </row>
    <row r="24738" spans="20:21" ht="15" customHeight="1" x14ac:dyDescent="0.25">
      <c r="T24738" s="135"/>
      <c r="U24738" s="135"/>
    </row>
    <row r="24739" spans="20:21" ht="15" customHeight="1" x14ac:dyDescent="0.25">
      <c r="T24739" s="135"/>
      <c r="U24739" s="135"/>
    </row>
    <row r="24740" spans="20:21" ht="15" customHeight="1" x14ac:dyDescent="0.25">
      <c r="T24740" s="135"/>
      <c r="U24740" s="135"/>
    </row>
    <row r="24741" spans="20:21" ht="15" customHeight="1" x14ac:dyDescent="0.25">
      <c r="T24741" s="135"/>
      <c r="U24741" s="135"/>
    </row>
    <row r="24742" spans="20:21" ht="15" customHeight="1" x14ac:dyDescent="0.25">
      <c r="T24742" s="135"/>
      <c r="U24742" s="135"/>
    </row>
    <row r="24743" spans="20:21" ht="15" customHeight="1" x14ac:dyDescent="0.25">
      <c r="T24743" s="135"/>
      <c r="U24743" s="135"/>
    </row>
    <row r="24744" spans="20:21" ht="15" customHeight="1" x14ac:dyDescent="0.25">
      <c r="T24744" s="135"/>
      <c r="U24744" s="135"/>
    </row>
    <row r="24745" spans="20:21" ht="15" customHeight="1" x14ac:dyDescent="0.25">
      <c r="T24745" s="135"/>
      <c r="U24745" s="135"/>
    </row>
    <row r="24746" spans="20:21" ht="15" customHeight="1" x14ac:dyDescent="0.25">
      <c r="T24746" s="135"/>
      <c r="U24746" s="135"/>
    </row>
    <row r="24747" spans="20:21" ht="15" customHeight="1" x14ac:dyDescent="0.25">
      <c r="T24747" s="135"/>
      <c r="U24747" s="135"/>
    </row>
    <row r="24748" spans="20:21" ht="15" customHeight="1" x14ac:dyDescent="0.25">
      <c r="T24748" s="135"/>
      <c r="U24748" s="135"/>
    </row>
    <row r="24749" spans="20:21" ht="15" customHeight="1" x14ac:dyDescent="0.25">
      <c r="T24749" s="135"/>
      <c r="U24749" s="135"/>
    </row>
    <row r="24750" spans="20:21" ht="15" customHeight="1" x14ac:dyDescent="0.25">
      <c r="T24750" s="135"/>
      <c r="U24750" s="135"/>
    </row>
    <row r="24751" spans="20:21" ht="15" customHeight="1" x14ac:dyDescent="0.25">
      <c r="T24751" s="135"/>
      <c r="U24751" s="135"/>
    </row>
    <row r="24752" spans="20:21" ht="15" customHeight="1" x14ac:dyDescent="0.25">
      <c r="T24752" s="135"/>
      <c r="U24752" s="135"/>
    </row>
    <row r="24753" spans="20:21" ht="15" customHeight="1" x14ac:dyDescent="0.25">
      <c r="T24753" s="135"/>
      <c r="U24753" s="135"/>
    </row>
    <row r="24754" spans="20:21" ht="15" customHeight="1" x14ac:dyDescent="0.25">
      <c r="T24754" s="135"/>
      <c r="U24754" s="135"/>
    </row>
    <row r="24755" spans="20:21" ht="15" customHeight="1" x14ac:dyDescent="0.25">
      <c r="T24755" s="135"/>
      <c r="U24755" s="135"/>
    </row>
    <row r="24756" spans="20:21" ht="15" customHeight="1" x14ac:dyDescent="0.25">
      <c r="T24756" s="135"/>
      <c r="U24756" s="135"/>
    </row>
    <row r="24757" spans="20:21" ht="15" customHeight="1" x14ac:dyDescent="0.25">
      <c r="T24757" s="135"/>
      <c r="U24757" s="135"/>
    </row>
    <row r="24758" spans="20:21" ht="15" customHeight="1" x14ac:dyDescent="0.25">
      <c r="T24758" s="135"/>
      <c r="U24758" s="135"/>
    </row>
    <row r="24759" spans="20:21" ht="15" customHeight="1" x14ac:dyDescent="0.25">
      <c r="T24759" s="135"/>
      <c r="U24759" s="135"/>
    </row>
    <row r="24760" spans="20:21" ht="15" customHeight="1" x14ac:dyDescent="0.25">
      <c r="T24760" s="135"/>
      <c r="U24760" s="135"/>
    </row>
    <row r="24761" spans="20:21" ht="15" customHeight="1" x14ac:dyDescent="0.25">
      <c r="T24761" s="135"/>
      <c r="U24761" s="135"/>
    </row>
    <row r="24762" spans="20:21" ht="15" customHeight="1" x14ac:dyDescent="0.25">
      <c r="T24762" s="135"/>
      <c r="U24762" s="135"/>
    </row>
    <row r="24763" spans="20:21" ht="15" customHeight="1" x14ac:dyDescent="0.25">
      <c r="T24763" s="135"/>
      <c r="U24763" s="135"/>
    </row>
    <row r="24764" spans="20:21" ht="15" customHeight="1" x14ac:dyDescent="0.25">
      <c r="T24764" s="135"/>
      <c r="U24764" s="135"/>
    </row>
    <row r="24765" spans="20:21" ht="15" customHeight="1" x14ac:dyDescent="0.25">
      <c r="T24765" s="135"/>
      <c r="U24765" s="135"/>
    </row>
    <row r="24766" spans="20:21" ht="15" customHeight="1" x14ac:dyDescent="0.25">
      <c r="T24766" s="135"/>
      <c r="U24766" s="135"/>
    </row>
    <row r="24767" spans="20:21" ht="15" customHeight="1" x14ac:dyDescent="0.25">
      <c r="T24767" s="135"/>
      <c r="U24767" s="135"/>
    </row>
    <row r="24768" spans="20:21" ht="15" customHeight="1" x14ac:dyDescent="0.25">
      <c r="T24768" s="135"/>
      <c r="U24768" s="135"/>
    </row>
    <row r="24769" spans="20:21" ht="15" customHeight="1" x14ac:dyDescent="0.25">
      <c r="T24769" s="135"/>
      <c r="U24769" s="135"/>
    </row>
    <row r="24770" spans="20:21" ht="15" customHeight="1" x14ac:dyDescent="0.25">
      <c r="T24770" s="135"/>
      <c r="U24770" s="135"/>
    </row>
    <row r="24771" spans="20:21" ht="15" customHeight="1" x14ac:dyDescent="0.25">
      <c r="T24771" s="135"/>
      <c r="U24771" s="135"/>
    </row>
    <row r="24772" spans="20:21" ht="15" customHeight="1" x14ac:dyDescent="0.25">
      <c r="T24772" s="135"/>
      <c r="U24772" s="135"/>
    </row>
    <row r="24773" spans="20:21" ht="15" customHeight="1" x14ac:dyDescent="0.25">
      <c r="T24773" s="135"/>
      <c r="U24773" s="135"/>
    </row>
    <row r="24774" spans="20:21" ht="15" customHeight="1" x14ac:dyDescent="0.25">
      <c r="T24774" s="135"/>
      <c r="U24774" s="135"/>
    </row>
    <row r="24775" spans="20:21" ht="15" customHeight="1" x14ac:dyDescent="0.25">
      <c r="T24775" s="135"/>
      <c r="U24775" s="135"/>
    </row>
    <row r="24776" spans="20:21" ht="15" customHeight="1" x14ac:dyDescent="0.25">
      <c r="T24776" s="135"/>
      <c r="U24776" s="135"/>
    </row>
    <row r="24777" spans="20:21" ht="15" customHeight="1" x14ac:dyDescent="0.25">
      <c r="T24777" s="135"/>
      <c r="U24777" s="135"/>
    </row>
    <row r="24778" spans="20:21" ht="15" customHeight="1" x14ac:dyDescent="0.25">
      <c r="T24778" s="135"/>
      <c r="U24778" s="135"/>
    </row>
    <row r="24779" spans="20:21" ht="15" customHeight="1" x14ac:dyDescent="0.25">
      <c r="T24779" s="135"/>
      <c r="U24779" s="135"/>
    </row>
    <row r="24780" spans="20:21" ht="15" customHeight="1" x14ac:dyDescent="0.25">
      <c r="T24780" s="135"/>
      <c r="U24780" s="135"/>
    </row>
    <row r="24781" spans="20:21" ht="15" customHeight="1" x14ac:dyDescent="0.25">
      <c r="T24781" s="135"/>
      <c r="U24781" s="135"/>
    </row>
    <row r="24782" spans="20:21" ht="15" customHeight="1" x14ac:dyDescent="0.25">
      <c r="T24782" s="135"/>
      <c r="U24782" s="135"/>
    </row>
    <row r="24783" spans="20:21" ht="15" customHeight="1" x14ac:dyDescent="0.25">
      <c r="T24783" s="135"/>
      <c r="U24783" s="135"/>
    </row>
    <row r="24784" spans="20:21" ht="15" customHeight="1" x14ac:dyDescent="0.25">
      <c r="T24784" s="135"/>
      <c r="U24784" s="135"/>
    </row>
    <row r="24785" spans="20:21" ht="15" customHeight="1" x14ac:dyDescent="0.25">
      <c r="T24785" s="135"/>
      <c r="U24785" s="135"/>
    </row>
    <row r="24786" spans="20:21" ht="15" customHeight="1" x14ac:dyDescent="0.25">
      <c r="T24786" s="135"/>
      <c r="U24786" s="135"/>
    </row>
    <row r="24787" spans="20:21" ht="15" customHeight="1" x14ac:dyDescent="0.25">
      <c r="T24787" s="135"/>
      <c r="U24787" s="135"/>
    </row>
    <row r="24788" spans="20:21" ht="15" customHeight="1" x14ac:dyDescent="0.25">
      <c r="T24788" s="135"/>
      <c r="U24788" s="135"/>
    </row>
    <row r="24789" spans="20:21" ht="15" customHeight="1" x14ac:dyDescent="0.25">
      <c r="T24789" s="135"/>
      <c r="U24789" s="135"/>
    </row>
    <row r="24790" spans="20:21" ht="15" customHeight="1" x14ac:dyDescent="0.25">
      <c r="T24790" s="135"/>
      <c r="U24790" s="135"/>
    </row>
    <row r="24791" spans="20:21" ht="15" customHeight="1" x14ac:dyDescent="0.25">
      <c r="T24791" s="135"/>
      <c r="U24791" s="135"/>
    </row>
    <row r="24792" spans="20:21" ht="15" customHeight="1" x14ac:dyDescent="0.25">
      <c r="T24792" s="135"/>
      <c r="U24792" s="135"/>
    </row>
    <row r="24793" spans="20:21" ht="15" customHeight="1" x14ac:dyDescent="0.25">
      <c r="T24793" s="135"/>
      <c r="U24793" s="135"/>
    </row>
    <row r="24794" spans="20:21" ht="15" customHeight="1" x14ac:dyDescent="0.25">
      <c r="T24794" s="135"/>
      <c r="U24794" s="135"/>
    </row>
    <row r="24795" spans="20:21" ht="15" customHeight="1" x14ac:dyDescent="0.25">
      <c r="T24795" s="135"/>
      <c r="U24795" s="135"/>
    </row>
    <row r="24796" spans="20:21" ht="15" customHeight="1" x14ac:dyDescent="0.25">
      <c r="T24796" s="135"/>
      <c r="U24796" s="135"/>
    </row>
    <row r="24797" spans="20:21" ht="15" customHeight="1" x14ac:dyDescent="0.25">
      <c r="T24797" s="135"/>
      <c r="U24797" s="135"/>
    </row>
    <row r="24798" spans="20:21" ht="15" customHeight="1" x14ac:dyDescent="0.25">
      <c r="T24798" s="135"/>
      <c r="U24798" s="135"/>
    </row>
    <row r="24799" spans="20:21" ht="15" customHeight="1" x14ac:dyDescent="0.25">
      <c r="T24799" s="135"/>
      <c r="U24799" s="135"/>
    </row>
    <row r="24800" spans="20:21" ht="15" customHeight="1" x14ac:dyDescent="0.25">
      <c r="T24800" s="135"/>
      <c r="U24800" s="135"/>
    </row>
    <row r="24801" spans="20:21" ht="15" customHeight="1" x14ac:dyDescent="0.25">
      <c r="T24801" s="135"/>
      <c r="U24801" s="135"/>
    </row>
    <row r="24802" spans="20:21" ht="15" customHeight="1" x14ac:dyDescent="0.25">
      <c r="T24802" s="135"/>
      <c r="U24802" s="135"/>
    </row>
    <row r="24803" spans="20:21" ht="15" customHeight="1" x14ac:dyDescent="0.25">
      <c r="T24803" s="135"/>
      <c r="U24803" s="135"/>
    </row>
    <row r="24804" spans="20:21" ht="15" customHeight="1" x14ac:dyDescent="0.25">
      <c r="T24804" s="135"/>
      <c r="U24804" s="135"/>
    </row>
    <row r="24805" spans="20:21" ht="15" customHeight="1" x14ac:dyDescent="0.25">
      <c r="T24805" s="135"/>
      <c r="U24805" s="135"/>
    </row>
    <row r="24806" spans="20:21" ht="15" customHeight="1" x14ac:dyDescent="0.25">
      <c r="T24806" s="135"/>
      <c r="U24806" s="135"/>
    </row>
    <row r="24807" spans="20:21" ht="15" customHeight="1" x14ac:dyDescent="0.25">
      <c r="T24807" s="135"/>
      <c r="U24807" s="135"/>
    </row>
    <row r="24808" spans="20:21" ht="15" customHeight="1" x14ac:dyDescent="0.25">
      <c r="T24808" s="135"/>
      <c r="U24808" s="135"/>
    </row>
    <row r="24809" spans="20:21" ht="15" customHeight="1" x14ac:dyDescent="0.25">
      <c r="T24809" s="135"/>
      <c r="U24809" s="135"/>
    </row>
    <row r="24810" spans="20:21" ht="15" customHeight="1" x14ac:dyDescent="0.25">
      <c r="T24810" s="135"/>
      <c r="U24810" s="135"/>
    </row>
    <row r="24811" spans="20:21" ht="15" customHeight="1" x14ac:dyDescent="0.25">
      <c r="T24811" s="135"/>
      <c r="U24811" s="135"/>
    </row>
    <row r="24812" spans="20:21" ht="15" customHeight="1" x14ac:dyDescent="0.25">
      <c r="T24812" s="135"/>
      <c r="U24812" s="135"/>
    </row>
    <row r="24813" spans="20:21" ht="15" customHeight="1" x14ac:dyDescent="0.25">
      <c r="T24813" s="135"/>
      <c r="U24813" s="135"/>
    </row>
    <row r="24814" spans="20:21" ht="15" customHeight="1" x14ac:dyDescent="0.25">
      <c r="T24814" s="135"/>
      <c r="U24814" s="135"/>
    </row>
    <row r="24815" spans="20:21" ht="15" customHeight="1" x14ac:dyDescent="0.25">
      <c r="T24815" s="135"/>
      <c r="U24815" s="135"/>
    </row>
    <row r="24816" spans="20:21" ht="15" customHeight="1" x14ac:dyDescent="0.25">
      <c r="T24816" s="135"/>
      <c r="U24816" s="135"/>
    </row>
    <row r="24817" spans="20:21" ht="15" customHeight="1" x14ac:dyDescent="0.25">
      <c r="T24817" s="135"/>
      <c r="U24817" s="135"/>
    </row>
    <row r="24818" spans="20:21" ht="15" customHeight="1" x14ac:dyDescent="0.25">
      <c r="T24818" s="135"/>
      <c r="U24818" s="135"/>
    </row>
    <row r="24819" spans="20:21" ht="15" customHeight="1" x14ac:dyDescent="0.25">
      <c r="T24819" s="135"/>
      <c r="U24819" s="135"/>
    </row>
    <row r="24820" spans="20:21" ht="15" customHeight="1" x14ac:dyDescent="0.25">
      <c r="T24820" s="135"/>
      <c r="U24820" s="135"/>
    </row>
    <row r="24821" spans="20:21" ht="15" customHeight="1" x14ac:dyDescent="0.25">
      <c r="T24821" s="135"/>
      <c r="U24821" s="135"/>
    </row>
    <row r="24822" spans="20:21" ht="15" customHeight="1" x14ac:dyDescent="0.25">
      <c r="T24822" s="135"/>
      <c r="U24822" s="135"/>
    </row>
    <row r="24823" spans="20:21" ht="15" customHeight="1" x14ac:dyDescent="0.25">
      <c r="T24823" s="135"/>
      <c r="U24823" s="135"/>
    </row>
    <row r="24824" spans="20:21" ht="15" customHeight="1" x14ac:dyDescent="0.25">
      <c r="T24824" s="135"/>
      <c r="U24824" s="135"/>
    </row>
    <row r="24825" spans="20:21" ht="15" customHeight="1" x14ac:dyDescent="0.25">
      <c r="T24825" s="135"/>
      <c r="U24825" s="135"/>
    </row>
    <row r="24826" spans="20:21" ht="15" customHeight="1" x14ac:dyDescent="0.25">
      <c r="T24826" s="135"/>
      <c r="U24826" s="135"/>
    </row>
    <row r="24827" spans="20:21" ht="15" customHeight="1" x14ac:dyDescent="0.25">
      <c r="T24827" s="135"/>
      <c r="U24827" s="135"/>
    </row>
    <row r="24828" spans="20:21" ht="15" customHeight="1" x14ac:dyDescent="0.25">
      <c r="T24828" s="135"/>
      <c r="U24828" s="135"/>
    </row>
    <row r="24829" spans="20:21" ht="15" customHeight="1" x14ac:dyDescent="0.25">
      <c r="T24829" s="135"/>
      <c r="U24829" s="135"/>
    </row>
    <row r="24830" spans="20:21" ht="15" customHeight="1" x14ac:dyDescent="0.25">
      <c r="T24830" s="135"/>
      <c r="U24830" s="135"/>
    </row>
    <row r="24831" spans="20:21" ht="15" customHeight="1" x14ac:dyDescent="0.25">
      <c r="T24831" s="135"/>
      <c r="U24831" s="135"/>
    </row>
    <row r="24832" spans="20:21" ht="15" customHeight="1" x14ac:dyDescent="0.25">
      <c r="T24832" s="135"/>
      <c r="U24832" s="135"/>
    </row>
    <row r="24833" spans="20:21" ht="15" customHeight="1" x14ac:dyDescent="0.25">
      <c r="T24833" s="135"/>
      <c r="U24833" s="135"/>
    </row>
    <row r="24834" spans="20:21" ht="15" customHeight="1" x14ac:dyDescent="0.25">
      <c r="T24834" s="135"/>
      <c r="U24834" s="135"/>
    </row>
    <row r="24835" spans="20:21" ht="15" customHeight="1" x14ac:dyDescent="0.25">
      <c r="T24835" s="135"/>
      <c r="U24835" s="135"/>
    </row>
    <row r="24836" spans="20:21" ht="15" customHeight="1" x14ac:dyDescent="0.25">
      <c r="T24836" s="135"/>
      <c r="U24836" s="135"/>
    </row>
    <row r="24837" spans="20:21" ht="15" customHeight="1" x14ac:dyDescent="0.25">
      <c r="T24837" s="135"/>
      <c r="U24837" s="135"/>
    </row>
    <row r="24838" spans="20:21" ht="15" customHeight="1" x14ac:dyDescent="0.25">
      <c r="T24838" s="135"/>
      <c r="U24838" s="135"/>
    </row>
    <row r="24839" spans="20:21" ht="15" customHeight="1" x14ac:dyDescent="0.25">
      <c r="T24839" s="135"/>
      <c r="U24839" s="135"/>
    </row>
    <row r="24840" spans="20:21" ht="15" customHeight="1" x14ac:dyDescent="0.25">
      <c r="T24840" s="135"/>
      <c r="U24840" s="135"/>
    </row>
    <row r="24841" spans="20:21" ht="15" customHeight="1" x14ac:dyDescent="0.25">
      <c r="T24841" s="135"/>
      <c r="U24841" s="135"/>
    </row>
    <row r="24842" spans="20:21" ht="15" customHeight="1" x14ac:dyDescent="0.25">
      <c r="T24842" s="135"/>
      <c r="U24842" s="135"/>
    </row>
    <row r="24843" spans="20:21" ht="15" customHeight="1" x14ac:dyDescent="0.25">
      <c r="T24843" s="135"/>
      <c r="U24843" s="135"/>
    </row>
    <row r="24844" spans="20:21" ht="15" customHeight="1" x14ac:dyDescent="0.25">
      <c r="T24844" s="135"/>
      <c r="U24844" s="135"/>
    </row>
    <row r="24845" spans="20:21" ht="15" customHeight="1" x14ac:dyDescent="0.25">
      <c r="T24845" s="135"/>
      <c r="U24845" s="135"/>
    </row>
    <row r="24846" spans="20:21" ht="15" customHeight="1" x14ac:dyDescent="0.25">
      <c r="T24846" s="135"/>
      <c r="U24846" s="135"/>
    </row>
    <row r="24847" spans="20:21" ht="15" customHeight="1" x14ac:dyDescent="0.25">
      <c r="T24847" s="135"/>
      <c r="U24847" s="135"/>
    </row>
    <row r="24848" spans="20:21" ht="15" customHeight="1" x14ac:dyDescent="0.25">
      <c r="T24848" s="135"/>
      <c r="U24848" s="135"/>
    </row>
    <row r="24849" spans="20:21" ht="15" customHeight="1" x14ac:dyDescent="0.25">
      <c r="T24849" s="135"/>
      <c r="U24849" s="135"/>
    </row>
    <row r="24850" spans="20:21" ht="15" customHeight="1" x14ac:dyDescent="0.25">
      <c r="T24850" s="135"/>
      <c r="U24850" s="135"/>
    </row>
    <row r="24851" spans="20:21" ht="15" customHeight="1" x14ac:dyDescent="0.25">
      <c r="T24851" s="135"/>
      <c r="U24851" s="135"/>
    </row>
    <row r="24852" spans="20:21" ht="15" customHeight="1" x14ac:dyDescent="0.25">
      <c r="T24852" s="135"/>
      <c r="U24852" s="135"/>
    </row>
    <row r="24853" spans="20:21" ht="15" customHeight="1" x14ac:dyDescent="0.25">
      <c r="T24853" s="135"/>
      <c r="U24853" s="135"/>
    </row>
    <row r="24854" spans="20:21" ht="15" customHeight="1" x14ac:dyDescent="0.25">
      <c r="T24854" s="135"/>
      <c r="U24854" s="135"/>
    </row>
    <row r="24855" spans="20:21" ht="15" customHeight="1" x14ac:dyDescent="0.25">
      <c r="T24855" s="135"/>
      <c r="U24855" s="135"/>
    </row>
    <row r="24856" spans="20:21" ht="15" customHeight="1" x14ac:dyDescent="0.25">
      <c r="T24856" s="135"/>
      <c r="U24856" s="135"/>
    </row>
    <row r="24857" spans="20:21" ht="15" customHeight="1" x14ac:dyDescent="0.25">
      <c r="T24857" s="135"/>
      <c r="U24857" s="135"/>
    </row>
    <row r="24858" spans="20:21" ht="15" customHeight="1" x14ac:dyDescent="0.25">
      <c r="T24858" s="135"/>
      <c r="U24858" s="135"/>
    </row>
    <row r="24859" spans="20:21" ht="15" customHeight="1" x14ac:dyDescent="0.25">
      <c r="T24859" s="135"/>
      <c r="U24859" s="135"/>
    </row>
    <row r="24860" spans="20:21" ht="15" customHeight="1" x14ac:dyDescent="0.25">
      <c r="T24860" s="135"/>
      <c r="U24860" s="135"/>
    </row>
    <row r="24861" spans="20:21" ht="15" customHeight="1" x14ac:dyDescent="0.25">
      <c r="T24861" s="135"/>
      <c r="U24861" s="135"/>
    </row>
    <row r="24862" spans="20:21" ht="15" customHeight="1" x14ac:dyDescent="0.25">
      <c r="T24862" s="135"/>
      <c r="U24862" s="135"/>
    </row>
    <row r="24863" spans="20:21" ht="15" customHeight="1" x14ac:dyDescent="0.25">
      <c r="T24863" s="135"/>
      <c r="U24863" s="135"/>
    </row>
    <row r="24864" spans="20:21" ht="15" customHeight="1" x14ac:dyDescent="0.25">
      <c r="T24864" s="135"/>
      <c r="U24864" s="135"/>
    </row>
    <row r="24865" spans="20:21" ht="15" customHeight="1" x14ac:dyDescent="0.25">
      <c r="T24865" s="135"/>
      <c r="U24865" s="135"/>
    </row>
    <row r="24866" spans="20:21" ht="15" customHeight="1" x14ac:dyDescent="0.25">
      <c r="T24866" s="135"/>
      <c r="U24866" s="135"/>
    </row>
    <row r="24867" spans="20:21" ht="15" customHeight="1" x14ac:dyDescent="0.25">
      <c r="T24867" s="135"/>
      <c r="U24867" s="135"/>
    </row>
    <row r="24868" spans="20:21" ht="15" customHeight="1" x14ac:dyDescent="0.25">
      <c r="T24868" s="135"/>
      <c r="U24868" s="135"/>
    </row>
    <row r="24869" spans="20:21" ht="15" customHeight="1" x14ac:dyDescent="0.25">
      <c r="T24869" s="135"/>
      <c r="U24869" s="135"/>
    </row>
    <row r="24870" spans="20:21" ht="15" customHeight="1" x14ac:dyDescent="0.25">
      <c r="T24870" s="135"/>
      <c r="U24870" s="135"/>
    </row>
    <row r="24871" spans="20:21" ht="15" customHeight="1" x14ac:dyDescent="0.25">
      <c r="T24871" s="135"/>
      <c r="U24871" s="135"/>
    </row>
    <row r="24872" spans="20:21" ht="15" customHeight="1" x14ac:dyDescent="0.25">
      <c r="T24872" s="135"/>
      <c r="U24872" s="135"/>
    </row>
    <row r="24873" spans="20:21" ht="15" customHeight="1" x14ac:dyDescent="0.25">
      <c r="T24873" s="135"/>
      <c r="U24873" s="135"/>
    </row>
    <row r="24874" spans="20:21" ht="15" customHeight="1" x14ac:dyDescent="0.25">
      <c r="T24874" s="135"/>
      <c r="U24874" s="135"/>
    </row>
    <row r="24875" spans="20:21" ht="15" customHeight="1" x14ac:dyDescent="0.25">
      <c r="T24875" s="135"/>
      <c r="U24875" s="135"/>
    </row>
    <row r="24876" spans="20:21" ht="15" customHeight="1" x14ac:dyDescent="0.25">
      <c r="T24876" s="135"/>
      <c r="U24876" s="135"/>
    </row>
    <row r="24877" spans="20:21" ht="15" customHeight="1" x14ac:dyDescent="0.25">
      <c r="T24877" s="135"/>
      <c r="U24877" s="135"/>
    </row>
    <row r="24878" spans="20:21" ht="15" customHeight="1" x14ac:dyDescent="0.25">
      <c r="T24878" s="135"/>
      <c r="U24878" s="135"/>
    </row>
    <row r="24879" spans="20:21" ht="15" customHeight="1" x14ac:dyDescent="0.25">
      <c r="T24879" s="135"/>
      <c r="U24879" s="135"/>
    </row>
    <row r="24880" spans="20:21" ht="15" customHeight="1" x14ac:dyDescent="0.25">
      <c r="T24880" s="135"/>
      <c r="U24880" s="135"/>
    </row>
    <row r="24881" spans="20:21" ht="15" customHeight="1" x14ac:dyDescent="0.25">
      <c r="T24881" s="135"/>
      <c r="U24881" s="135"/>
    </row>
    <row r="24882" spans="20:21" ht="15" customHeight="1" x14ac:dyDescent="0.25">
      <c r="T24882" s="135"/>
      <c r="U24882" s="135"/>
    </row>
    <row r="24883" spans="20:21" ht="15" customHeight="1" x14ac:dyDescent="0.25">
      <c r="T24883" s="135"/>
      <c r="U24883" s="135"/>
    </row>
    <row r="24884" spans="20:21" ht="15" customHeight="1" x14ac:dyDescent="0.25">
      <c r="T24884" s="135"/>
      <c r="U24884" s="135"/>
    </row>
    <row r="24885" spans="20:21" ht="15" customHeight="1" x14ac:dyDescent="0.25">
      <c r="T24885" s="135"/>
      <c r="U24885" s="135"/>
    </row>
    <row r="24886" spans="20:21" ht="15" customHeight="1" x14ac:dyDescent="0.25">
      <c r="T24886" s="135"/>
      <c r="U24886" s="135"/>
    </row>
    <row r="24887" spans="20:21" ht="15" customHeight="1" x14ac:dyDescent="0.25">
      <c r="T24887" s="135"/>
      <c r="U24887" s="135"/>
    </row>
    <row r="24888" spans="20:21" ht="15" customHeight="1" x14ac:dyDescent="0.25">
      <c r="T24888" s="135"/>
      <c r="U24888" s="135"/>
    </row>
    <row r="24889" spans="20:21" ht="15" customHeight="1" x14ac:dyDescent="0.25">
      <c r="T24889" s="135"/>
      <c r="U24889" s="135"/>
    </row>
    <row r="24890" spans="20:21" ht="15" customHeight="1" x14ac:dyDescent="0.25">
      <c r="T24890" s="135"/>
      <c r="U24890" s="135"/>
    </row>
    <row r="24891" spans="20:21" ht="15" customHeight="1" x14ac:dyDescent="0.25">
      <c r="T24891" s="135"/>
      <c r="U24891" s="135"/>
    </row>
    <row r="24892" spans="20:21" ht="15" customHeight="1" x14ac:dyDescent="0.25">
      <c r="T24892" s="135"/>
      <c r="U24892" s="135"/>
    </row>
    <row r="24893" spans="20:21" ht="15" customHeight="1" x14ac:dyDescent="0.25">
      <c r="T24893" s="135"/>
      <c r="U24893" s="135"/>
    </row>
    <row r="24894" spans="20:21" ht="15" customHeight="1" x14ac:dyDescent="0.25">
      <c r="T24894" s="135"/>
      <c r="U24894" s="135"/>
    </row>
    <row r="24895" spans="20:21" ht="15" customHeight="1" x14ac:dyDescent="0.25">
      <c r="T24895" s="135"/>
      <c r="U24895" s="135"/>
    </row>
    <row r="24896" spans="20:21" ht="15" customHeight="1" x14ac:dyDescent="0.25">
      <c r="T24896" s="135"/>
      <c r="U24896" s="135"/>
    </row>
    <row r="24897" spans="20:21" ht="15" customHeight="1" x14ac:dyDescent="0.25">
      <c r="T24897" s="135"/>
      <c r="U24897" s="135"/>
    </row>
    <row r="24898" spans="20:21" ht="15" customHeight="1" x14ac:dyDescent="0.25">
      <c r="T24898" s="135"/>
      <c r="U24898" s="135"/>
    </row>
    <row r="24899" spans="20:21" ht="15" customHeight="1" x14ac:dyDescent="0.25">
      <c r="T24899" s="135"/>
      <c r="U24899" s="135"/>
    </row>
    <row r="24900" spans="20:21" ht="15" customHeight="1" x14ac:dyDescent="0.25">
      <c r="T24900" s="135"/>
      <c r="U24900" s="135"/>
    </row>
    <row r="24901" spans="20:21" ht="15" customHeight="1" x14ac:dyDescent="0.25">
      <c r="T24901" s="135"/>
      <c r="U24901" s="135"/>
    </row>
    <row r="24902" spans="20:21" ht="15" customHeight="1" x14ac:dyDescent="0.25">
      <c r="T24902" s="135"/>
      <c r="U24902" s="135"/>
    </row>
    <row r="24903" spans="20:21" ht="15" customHeight="1" x14ac:dyDescent="0.25">
      <c r="T24903" s="135"/>
      <c r="U24903" s="135"/>
    </row>
    <row r="24904" spans="20:21" ht="15" customHeight="1" x14ac:dyDescent="0.25">
      <c r="T24904" s="135"/>
      <c r="U24904" s="135"/>
    </row>
    <row r="24905" spans="20:21" ht="15" customHeight="1" x14ac:dyDescent="0.25">
      <c r="T24905" s="135"/>
      <c r="U24905" s="135"/>
    </row>
    <row r="24906" spans="20:21" ht="15" customHeight="1" x14ac:dyDescent="0.25">
      <c r="T24906" s="135"/>
      <c r="U24906" s="135"/>
    </row>
    <row r="24907" spans="20:21" ht="15" customHeight="1" x14ac:dyDescent="0.25">
      <c r="T24907" s="135"/>
      <c r="U24907" s="135"/>
    </row>
    <row r="24908" spans="20:21" ht="15" customHeight="1" x14ac:dyDescent="0.25">
      <c r="T24908" s="135"/>
      <c r="U24908" s="135"/>
    </row>
    <row r="24909" spans="20:21" ht="15" customHeight="1" x14ac:dyDescent="0.25">
      <c r="T24909" s="135"/>
      <c r="U24909" s="135"/>
    </row>
    <row r="24910" spans="20:21" ht="15" customHeight="1" x14ac:dyDescent="0.25">
      <c r="T24910" s="135"/>
      <c r="U24910" s="135"/>
    </row>
    <row r="24911" spans="20:21" ht="15" customHeight="1" x14ac:dyDescent="0.25">
      <c r="T24911" s="135"/>
      <c r="U24911" s="135"/>
    </row>
    <row r="24912" spans="20:21" ht="15" customHeight="1" x14ac:dyDescent="0.25">
      <c r="T24912" s="135"/>
      <c r="U24912" s="135"/>
    </row>
    <row r="24913" spans="20:21" ht="15" customHeight="1" x14ac:dyDescent="0.25">
      <c r="T24913" s="135"/>
      <c r="U24913" s="135"/>
    </row>
    <row r="24914" spans="20:21" ht="15" customHeight="1" x14ac:dyDescent="0.25">
      <c r="T24914" s="135"/>
      <c r="U24914" s="135"/>
    </row>
    <row r="24915" spans="20:21" ht="15" customHeight="1" x14ac:dyDescent="0.25">
      <c r="T24915" s="135"/>
      <c r="U24915" s="135"/>
    </row>
    <row r="24916" spans="20:21" ht="15" customHeight="1" x14ac:dyDescent="0.25">
      <c r="T24916" s="135"/>
      <c r="U24916" s="135"/>
    </row>
    <row r="24917" spans="20:21" ht="15" customHeight="1" x14ac:dyDescent="0.25">
      <c r="T24917" s="135"/>
      <c r="U24917" s="135"/>
    </row>
    <row r="24918" spans="20:21" ht="15" customHeight="1" x14ac:dyDescent="0.25">
      <c r="T24918" s="135"/>
      <c r="U24918" s="135"/>
    </row>
    <row r="24919" spans="20:21" ht="15" customHeight="1" x14ac:dyDescent="0.25">
      <c r="T24919" s="135"/>
      <c r="U24919" s="135"/>
    </row>
    <row r="24920" spans="20:21" ht="15" customHeight="1" x14ac:dyDescent="0.25">
      <c r="T24920" s="135"/>
      <c r="U24920" s="135"/>
    </row>
    <row r="24921" spans="20:21" ht="15" customHeight="1" x14ac:dyDescent="0.25">
      <c r="T24921" s="135"/>
      <c r="U24921" s="135"/>
    </row>
    <row r="24922" spans="20:21" ht="15" customHeight="1" x14ac:dyDescent="0.25">
      <c r="T24922" s="135"/>
      <c r="U24922" s="135"/>
    </row>
    <row r="24923" spans="20:21" ht="15" customHeight="1" x14ac:dyDescent="0.25">
      <c r="T24923" s="135"/>
      <c r="U24923" s="135"/>
    </row>
    <row r="24924" spans="20:21" ht="15" customHeight="1" x14ac:dyDescent="0.25">
      <c r="T24924" s="135"/>
      <c r="U24924" s="135"/>
    </row>
    <row r="24925" spans="20:21" ht="15" customHeight="1" x14ac:dyDescent="0.25">
      <c r="T24925" s="135"/>
      <c r="U24925" s="135"/>
    </row>
    <row r="24926" spans="20:21" ht="15" customHeight="1" x14ac:dyDescent="0.25">
      <c r="T24926" s="135"/>
      <c r="U24926" s="135"/>
    </row>
    <row r="24927" spans="20:21" ht="15" customHeight="1" x14ac:dyDescent="0.25">
      <c r="T24927" s="135"/>
      <c r="U24927" s="135"/>
    </row>
    <row r="24928" spans="20:21" ht="15" customHeight="1" x14ac:dyDescent="0.25">
      <c r="T24928" s="135"/>
      <c r="U24928" s="135"/>
    </row>
    <row r="24929" spans="20:21" ht="15" customHeight="1" x14ac:dyDescent="0.25">
      <c r="T24929" s="135"/>
      <c r="U24929" s="135"/>
    </row>
    <row r="24930" spans="20:21" ht="15" customHeight="1" x14ac:dyDescent="0.25">
      <c r="T24930" s="135"/>
      <c r="U24930" s="135"/>
    </row>
    <row r="24931" spans="20:21" ht="15" customHeight="1" x14ac:dyDescent="0.25">
      <c r="T24931" s="135"/>
      <c r="U24931" s="135"/>
    </row>
    <row r="24932" spans="20:21" ht="15" customHeight="1" x14ac:dyDescent="0.25">
      <c r="T24932" s="135"/>
      <c r="U24932" s="135"/>
    </row>
    <row r="24933" spans="20:21" ht="15" customHeight="1" x14ac:dyDescent="0.25">
      <c r="T24933" s="135"/>
      <c r="U24933" s="135"/>
    </row>
    <row r="24934" spans="20:21" ht="15" customHeight="1" x14ac:dyDescent="0.25">
      <c r="T24934" s="135"/>
      <c r="U24934" s="135"/>
    </row>
    <row r="24935" spans="20:21" ht="15" customHeight="1" x14ac:dyDescent="0.25">
      <c r="T24935" s="135"/>
      <c r="U24935" s="135"/>
    </row>
    <row r="24936" spans="20:21" ht="15" customHeight="1" x14ac:dyDescent="0.25">
      <c r="T24936" s="135"/>
      <c r="U24936" s="135"/>
    </row>
    <row r="24937" spans="20:21" ht="15" customHeight="1" x14ac:dyDescent="0.25">
      <c r="T24937" s="135"/>
      <c r="U24937" s="135"/>
    </row>
    <row r="24938" spans="20:21" ht="15" customHeight="1" x14ac:dyDescent="0.25">
      <c r="T24938" s="135"/>
      <c r="U24938" s="135"/>
    </row>
    <row r="24939" spans="20:21" ht="15" customHeight="1" x14ac:dyDescent="0.25">
      <c r="T24939" s="135"/>
      <c r="U24939" s="135"/>
    </row>
    <row r="24940" spans="20:21" ht="15" customHeight="1" x14ac:dyDescent="0.25">
      <c r="T24940" s="135"/>
      <c r="U24940" s="135"/>
    </row>
    <row r="24941" spans="20:21" ht="15" customHeight="1" x14ac:dyDescent="0.25">
      <c r="T24941" s="135"/>
      <c r="U24941" s="135"/>
    </row>
    <row r="24942" spans="20:21" ht="15" customHeight="1" x14ac:dyDescent="0.25">
      <c r="T24942" s="135"/>
      <c r="U24942" s="135"/>
    </row>
    <row r="24943" spans="20:21" ht="15" customHeight="1" x14ac:dyDescent="0.25">
      <c r="T24943" s="135"/>
      <c r="U24943" s="135"/>
    </row>
    <row r="24944" spans="20:21" ht="15" customHeight="1" x14ac:dyDescent="0.25">
      <c r="T24944" s="135"/>
      <c r="U24944" s="135"/>
    </row>
    <row r="24945" spans="20:21" ht="15" customHeight="1" x14ac:dyDescent="0.25">
      <c r="T24945" s="135"/>
      <c r="U24945" s="135"/>
    </row>
    <row r="24946" spans="20:21" ht="15" customHeight="1" x14ac:dyDescent="0.25">
      <c r="T24946" s="135"/>
      <c r="U24946" s="135"/>
    </row>
    <row r="24947" spans="20:21" ht="15" customHeight="1" x14ac:dyDescent="0.25">
      <c r="T24947" s="135"/>
      <c r="U24947" s="135"/>
    </row>
    <row r="24948" spans="20:21" ht="15" customHeight="1" x14ac:dyDescent="0.25">
      <c r="T24948" s="135"/>
      <c r="U24948" s="135"/>
    </row>
    <row r="24949" spans="20:21" ht="15" customHeight="1" x14ac:dyDescent="0.25">
      <c r="T24949" s="135"/>
      <c r="U24949" s="135"/>
    </row>
    <row r="24950" spans="20:21" ht="15" customHeight="1" x14ac:dyDescent="0.25">
      <c r="T24950" s="135"/>
      <c r="U24950" s="135"/>
    </row>
    <row r="24951" spans="20:21" ht="15" customHeight="1" x14ac:dyDescent="0.25">
      <c r="T24951" s="135"/>
      <c r="U24951" s="135"/>
    </row>
    <row r="24952" spans="20:21" ht="15" customHeight="1" x14ac:dyDescent="0.25">
      <c r="T24952" s="135"/>
      <c r="U24952" s="135"/>
    </row>
    <row r="24953" spans="20:21" ht="15" customHeight="1" x14ac:dyDescent="0.25">
      <c r="T24953" s="135"/>
      <c r="U24953" s="135"/>
    </row>
    <row r="24954" spans="20:21" ht="15" customHeight="1" x14ac:dyDescent="0.25">
      <c r="T24954" s="135"/>
      <c r="U24954" s="135"/>
    </row>
    <row r="24955" spans="20:21" ht="15" customHeight="1" x14ac:dyDescent="0.25">
      <c r="T24955" s="135"/>
      <c r="U24955" s="135"/>
    </row>
    <row r="24956" spans="20:21" ht="15" customHeight="1" x14ac:dyDescent="0.25">
      <c r="T24956" s="135"/>
      <c r="U24956" s="135"/>
    </row>
    <row r="24957" spans="20:21" ht="15" customHeight="1" x14ac:dyDescent="0.25">
      <c r="T24957" s="135"/>
      <c r="U24957" s="135"/>
    </row>
    <row r="24958" spans="20:21" ht="15" customHeight="1" x14ac:dyDescent="0.25">
      <c r="T24958" s="135"/>
      <c r="U24958" s="135"/>
    </row>
    <row r="24959" spans="20:21" ht="15" customHeight="1" x14ac:dyDescent="0.25">
      <c r="T24959" s="135"/>
      <c r="U24959" s="135"/>
    </row>
    <row r="24960" spans="20:21" ht="15" customHeight="1" x14ac:dyDescent="0.25">
      <c r="T24960" s="135"/>
      <c r="U24960" s="135"/>
    </row>
    <row r="24961" spans="20:21" ht="15" customHeight="1" x14ac:dyDescent="0.25">
      <c r="T24961" s="135"/>
      <c r="U24961" s="135"/>
    </row>
    <row r="24962" spans="20:21" ht="15" customHeight="1" x14ac:dyDescent="0.25">
      <c r="T24962" s="135"/>
      <c r="U24962" s="135"/>
    </row>
    <row r="24963" spans="20:21" ht="15" customHeight="1" x14ac:dyDescent="0.25">
      <c r="T24963" s="135"/>
      <c r="U24963" s="135"/>
    </row>
    <row r="24964" spans="20:21" ht="15" customHeight="1" x14ac:dyDescent="0.25">
      <c r="T24964" s="135"/>
      <c r="U24964" s="135"/>
    </row>
    <row r="24965" spans="20:21" ht="15" customHeight="1" x14ac:dyDescent="0.25">
      <c r="T24965" s="135"/>
      <c r="U24965" s="135"/>
    </row>
    <row r="24966" spans="20:21" ht="15" customHeight="1" x14ac:dyDescent="0.25">
      <c r="T24966" s="135"/>
      <c r="U24966" s="135"/>
    </row>
    <row r="24967" spans="20:21" ht="15" customHeight="1" x14ac:dyDescent="0.25">
      <c r="T24967" s="135"/>
      <c r="U24967" s="135"/>
    </row>
    <row r="24968" spans="20:21" ht="15" customHeight="1" x14ac:dyDescent="0.25">
      <c r="T24968" s="135"/>
      <c r="U24968" s="135"/>
    </row>
    <row r="24969" spans="20:21" ht="15" customHeight="1" x14ac:dyDescent="0.25">
      <c r="T24969" s="135"/>
      <c r="U24969" s="135"/>
    </row>
    <row r="24970" spans="20:21" ht="15" customHeight="1" x14ac:dyDescent="0.25">
      <c r="T24970" s="135"/>
      <c r="U24970" s="135"/>
    </row>
    <row r="24971" spans="20:21" ht="15" customHeight="1" x14ac:dyDescent="0.25">
      <c r="T24971" s="135"/>
      <c r="U24971" s="135"/>
    </row>
    <row r="24972" spans="20:21" ht="15" customHeight="1" x14ac:dyDescent="0.25">
      <c r="T24972" s="135"/>
      <c r="U24972" s="135"/>
    </row>
    <row r="24973" spans="20:21" ht="15" customHeight="1" x14ac:dyDescent="0.25">
      <c r="T24973" s="135"/>
      <c r="U24973" s="135"/>
    </row>
    <row r="24974" spans="20:21" ht="15" customHeight="1" x14ac:dyDescent="0.25">
      <c r="T24974" s="135"/>
      <c r="U24974" s="135"/>
    </row>
    <row r="24975" spans="20:21" ht="15" customHeight="1" x14ac:dyDescent="0.25">
      <c r="T24975" s="135"/>
      <c r="U24975" s="135"/>
    </row>
    <row r="24976" spans="20:21" ht="15" customHeight="1" x14ac:dyDescent="0.25">
      <c r="T24976" s="135"/>
      <c r="U24976" s="135"/>
    </row>
    <row r="24977" spans="20:21" ht="15" customHeight="1" x14ac:dyDescent="0.25">
      <c r="T24977" s="135"/>
      <c r="U24977" s="135"/>
    </row>
    <row r="24978" spans="20:21" ht="15" customHeight="1" x14ac:dyDescent="0.25">
      <c r="T24978" s="135"/>
      <c r="U24978" s="135"/>
    </row>
    <row r="24979" spans="20:21" ht="15" customHeight="1" x14ac:dyDescent="0.25">
      <c r="T24979" s="135"/>
      <c r="U24979" s="135"/>
    </row>
    <row r="24980" spans="20:21" ht="15" customHeight="1" x14ac:dyDescent="0.25">
      <c r="T24980" s="135"/>
      <c r="U24980" s="135"/>
    </row>
    <row r="24981" spans="20:21" ht="15" customHeight="1" x14ac:dyDescent="0.25">
      <c r="T24981" s="135"/>
      <c r="U24981" s="135"/>
    </row>
    <row r="24982" spans="20:21" ht="15" customHeight="1" x14ac:dyDescent="0.25">
      <c r="T24982" s="135"/>
      <c r="U24982" s="135"/>
    </row>
    <row r="24983" spans="20:21" ht="15" customHeight="1" x14ac:dyDescent="0.25">
      <c r="T24983" s="135"/>
      <c r="U24983" s="135"/>
    </row>
    <row r="24984" spans="20:21" ht="15" customHeight="1" x14ac:dyDescent="0.25">
      <c r="T24984" s="135"/>
      <c r="U24984" s="135"/>
    </row>
    <row r="24985" spans="20:21" ht="15" customHeight="1" x14ac:dyDescent="0.25">
      <c r="T24985" s="135"/>
      <c r="U24985" s="135"/>
    </row>
    <row r="24986" spans="20:21" ht="15" customHeight="1" x14ac:dyDescent="0.25">
      <c r="T24986" s="135"/>
      <c r="U24986" s="135"/>
    </row>
    <row r="24987" spans="20:21" ht="15" customHeight="1" x14ac:dyDescent="0.25">
      <c r="T24987" s="135"/>
      <c r="U24987" s="135"/>
    </row>
    <row r="24988" spans="20:21" ht="15" customHeight="1" x14ac:dyDescent="0.25">
      <c r="T24988" s="135"/>
      <c r="U24988" s="135"/>
    </row>
    <row r="24989" spans="20:21" ht="15" customHeight="1" x14ac:dyDescent="0.25">
      <c r="T24989" s="135"/>
      <c r="U24989" s="135"/>
    </row>
    <row r="24990" spans="20:21" ht="15" customHeight="1" x14ac:dyDescent="0.25">
      <c r="T24990" s="135"/>
      <c r="U24990" s="135"/>
    </row>
    <row r="24991" spans="20:21" ht="15" customHeight="1" x14ac:dyDescent="0.25">
      <c r="T24991" s="135"/>
      <c r="U24991" s="135"/>
    </row>
    <row r="24992" spans="20:21" ht="15" customHeight="1" x14ac:dyDescent="0.25">
      <c r="T24992" s="135"/>
      <c r="U24992" s="135"/>
    </row>
    <row r="24993" spans="20:21" ht="15" customHeight="1" x14ac:dyDescent="0.25">
      <c r="T24993" s="135"/>
      <c r="U24993" s="135"/>
    </row>
    <row r="24994" spans="20:21" ht="15" customHeight="1" x14ac:dyDescent="0.25">
      <c r="T24994" s="135"/>
      <c r="U24994" s="135"/>
    </row>
    <row r="24995" spans="20:21" ht="15" customHeight="1" x14ac:dyDescent="0.25">
      <c r="T24995" s="135"/>
      <c r="U24995" s="135"/>
    </row>
    <row r="24996" spans="20:21" ht="15" customHeight="1" x14ac:dyDescent="0.25">
      <c r="T24996" s="135"/>
      <c r="U24996" s="135"/>
    </row>
    <row r="24997" spans="20:21" ht="15" customHeight="1" x14ac:dyDescent="0.25">
      <c r="T24997" s="135"/>
      <c r="U24997" s="135"/>
    </row>
    <row r="24998" spans="20:21" ht="15" customHeight="1" x14ac:dyDescent="0.25">
      <c r="T24998" s="135"/>
      <c r="U24998" s="135"/>
    </row>
    <row r="24999" spans="20:21" ht="15" customHeight="1" x14ac:dyDescent="0.25">
      <c r="T24999" s="135"/>
      <c r="U24999" s="135"/>
    </row>
    <row r="25000" spans="20:21" ht="15" customHeight="1" x14ac:dyDescent="0.25">
      <c r="T25000" s="135"/>
      <c r="U25000" s="135"/>
    </row>
    <row r="25001" spans="20:21" ht="15" customHeight="1" x14ac:dyDescent="0.25">
      <c r="T25001" s="135"/>
      <c r="U25001" s="135"/>
    </row>
    <row r="25002" spans="20:21" ht="15" customHeight="1" x14ac:dyDescent="0.25">
      <c r="T25002" s="135"/>
      <c r="U25002" s="135"/>
    </row>
    <row r="25003" spans="20:21" ht="15" customHeight="1" x14ac:dyDescent="0.25">
      <c r="T25003" s="135"/>
      <c r="U25003" s="135"/>
    </row>
    <row r="25004" spans="20:21" ht="15" customHeight="1" x14ac:dyDescent="0.25">
      <c r="T25004" s="135"/>
      <c r="U25004" s="135"/>
    </row>
    <row r="25005" spans="20:21" ht="15" customHeight="1" x14ac:dyDescent="0.25">
      <c r="T25005" s="135"/>
      <c r="U25005" s="135"/>
    </row>
    <row r="25006" spans="20:21" ht="15" customHeight="1" x14ac:dyDescent="0.25">
      <c r="T25006" s="135"/>
      <c r="U25006" s="135"/>
    </row>
    <row r="25007" spans="20:21" ht="15" customHeight="1" x14ac:dyDescent="0.25">
      <c r="T25007" s="135"/>
      <c r="U25007" s="135"/>
    </row>
    <row r="25008" spans="20:21" ht="15" customHeight="1" x14ac:dyDescent="0.25">
      <c r="T25008" s="135"/>
      <c r="U25008" s="135"/>
    </row>
    <row r="25009" spans="20:21" ht="15" customHeight="1" x14ac:dyDescent="0.25">
      <c r="T25009" s="135"/>
      <c r="U25009" s="135"/>
    </row>
    <row r="25010" spans="20:21" ht="15" customHeight="1" x14ac:dyDescent="0.25">
      <c r="T25010" s="135"/>
      <c r="U25010" s="135"/>
    </row>
    <row r="25011" spans="20:21" ht="15" customHeight="1" x14ac:dyDescent="0.25">
      <c r="T25011" s="135"/>
      <c r="U25011" s="135"/>
    </row>
    <row r="25012" spans="20:21" ht="15" customHeight="1" x14ac:dyDescent="0.25">
      <c r="T25012" s="135"/>
      <c r="U25012" s="135"/>
    </row>
    <row r="25013" spans="20:21" ht="15" customHeight="1" x14ac:dyDescent="0.25">
      <c r="T25013" s="135"/>
      <c r="U25013" s="135"/>
    </row>
    <row r="25014" spans="20:21" ht="15" customHeight="1" x14ac:dyDescent="0.25">
      <c r="T25014" s="135"/>
      <c r="U25014" s="135"/>
    </row>
    <row r="25015" spans="20:21" ht="15" customHeight="1" x14ac:dyDescent="0.25">
      <c r="T25015" s="135"/>
      <c r="U25015" s="135"/>
    </row>
    <row r="25016" spans="20:21" ht="15" customHeight="1" x14ac:dyDescent="0.25">
      <c r="T25016" s="135"/>
      <c r="U25016" s="135"/>
    </row>
    <row r="25017" spans="20:21" ht="15" customHeight="1" x14ac:dyDescent="0.25">
      <c r="T25017" s="135"/>
      <c r="U25017" s="135"/>
    </row>
    <row r="25018" spans="20:21" ht="15" customHeight="1" x14ac:dyDescent="0.25">
      <c r="T25018" s="135"/>
      <c r="U25018" s="135"/>
    </row>
    <row r="25019" spans="20:21" ht="15" customHeight="1" x14ac:dyDescent="0.25">
      <c r="T25019" s="135"/>
      <c r="U25019" s="135"/>
    </row>
    <row r="25020" spans="20:21" ht="15" customHeight="1" x14ac:dyDescent="0.25">
      <c r="T25020" s="135"/>
      <c r="U25020" s="135"/>
    </row>
    <row r="25021" spans="20:21" ht="15" customHeight="1" x14ac:dyDescent="0.25">
      <c r="T25021" s="135"/>
      <c r="U25021" s="135"/>
    </row>
    <row r="25022" spans="20:21" ht="15" customHeight="1" x14ac:dyDescent="0.25">
      <c r="T25022" s="135"/>
      <c r="U25022" s="135"/>
    </row>
    <row r="25023" spans="20:21" ht="15" customHeight="1" x14ac:dyDescent="0.25">
      <c r="T25023" s="135"/>
      <c r="U25023" s="135"/>
    </row>
    <row r="25024" spans="20:21" ht="15" customHeight="1" x14ac:dyDescent="0.25">
      <c r="T25024" s="135"/>
      <c r="U25024" s="135"/>
    </row>
    <row r="25025" spans="20:21" ht="15" customHeight="1" x14ac:dyDescent="0.25">
      <c r="T25025" s="135"/>
      <c r="U25025" s="135"/>
    </row>
    <row r="25026" spans="20:21" ht="15" customHeight="1" x14ac:dyDescent="0.25">
      <c r="T25026" s="135"/>
      <c r="U25026" s="135"/>
    </row>
    <row r="25027" spans="20:21" ht="15" customHeight="1" x14ac:dyDescent="0.25">
      <c r="T25027" s="135"/>
      <c r="U25027" s="135"/>
    </row>
    <row r="25028" spans="20:21" ht="15" customHeight="1" x14ac:dyDescent="0.25">
      <c r="T25028" s="135"/>
      <c r="U25028" s="135"/>
    </row>
    <row r="25029" spans="20:21" ht="15" customHeight="1" x14ac:dyDescent="0.25">
      <c r="T25029" s="135"/>
      <c r="U25029" s="135"/>
    </row>
    <row r="25030" spans="20:21" ht="15" customHeight="1" x14ac:dyDescent="0.25">
      <c r="T25030" s="135"/>
      <c r="U25030" s="135"/>
    </row>
    <row r="25031" spans="20:21" ht="15" customHeight="1" x14ac:dyDescent="0.25">
      <c r="T25031" s="135"/>
      <c r="U25031" s="135"/>
    </row>
    <row r="25032" spans="20:21" ht="15" customHeight="1" x14ac:dyDescent="0.25">
      <c r="T25032" s="135"/>
      <c r="U25032" s="135"/>
    </row>
    <row r="25033" spans="20:21" ht="15" customHeight="1" x14ac:dyDescent="0.25">
      <c r="T25033" s="135"/>
      <c r="U25033" s="135"/>
    </row>
    <row r="25034" spans="20:21" ht="15" customHeight="1" x14ac:dyDescent="0.25">
      <c r="T25034" s="135"/>
      <c r="U25034" s="135"/>
    </row>
    <row r="25035" spans="20:21" ht="15" customHeight="1" x14ac:dyDescent="0.25">
      <c r="T25035" s="135"/>
      <c r="U25035" s="135"/>
    </row>
    <row r="25036" spans="20:21" ht="15" customHeight="1" x14ac:dyDescent="0.25">
      <c r="T25036" s="135"/>
      <c r="U25036" s="135"/>
    </row>
    <row r="25037" spans="20:21" ht="15" customHeight="1" x14ac:dyDescent="0.25">
      <c r="T25037" s="135"/>
      <c r="U25037" s="135"/>
    </row>
    <row r="25038" spans="20:21" ht="15" customHeight="1" x14ac:dyDescent="0.25">
      <c r="T25038" s="135"/>
      <c r="U25038" s="135"/>
    </row>
    <row r="25039" spans="20:21" ht="15" customHeight="1" x14ac:dyDescent="0.25">
      <c r="T25039" s="135"/>
      <c r="U25039" s="135"/>
    </row>
    <row r="25040" spans="20:21" ht="15" customHeight="1" x14ac:dyDescent="0.25">
      <c r="T25040" s="135"/>
      <c r="U25040" s="135"/>
    </row>
    <row r="25041" spans="20:21" ht="15" customHeight="1" x14ac:dyDescent="0.25">
      <c r="T25041" s="135"/>
      <c r="U25041" s="135"/>
    </row>
    <row r="25042" spans="20:21" ht="15" customHeight="1" x14ac:dyDescent="0.25">
      <c r="T25042" s="135"/>
      <c r="U25042" s="135"/>
    </row>
    <row r="25043" spans="20:21" ht="15" customHeight="1" x14ac:dyDescent="0.25">
      <c r="T25043" s="135"/>
      <c r="U25043" s="135"/>
    </row>
    <row r="25044" spans="20:21" ht="15" customHeight="1" x14ac:dyDescent="0.25">
      <c r="T25044" s="135"/>
      <c r="U25044" s="135"/>
    </row>
    <row r="25045" spans="20:21" ht="15" customHeight="1" x14ac:dyDescent="0.25">
      <c r="T25045" s="135"/>
      <c r="U25045" s="135"/>
    </row>
    <row r="25046" spans="20:21" ht="15" customHeight="1" x14ac:dyDescent="0.25">
      <c r="T25046" s="135"/>
      <c r="U25046" s="135"/>
    </row>
    <row r="25047" spans="20:21" ht="15" customHeight="1" x14ac:dyDescent="0.25">
      <c r="T25047" s="135"/>
      <c r="U25047" s="135"/>
    </row>
    <row r="25048" spans="20:21" ht="15" customHeight="1" x14ac:dyDescent="0.25">
      <c r="T25048" s="135"/>
      <c r="U25048" s="135"/>
    </row>
    <row r="25049" spans="20:21" ht="15" customHeight="1" x14ac:dyDescent="0.25">
      <c r="T25049" s="135"/>
      <c r="U25049" s="135"/>
    </row>
    <row r="25050" spans="20:21" ht="15" customHeight="1" x14ac:dyDescent="0.25">
      <c r="T25050" s="135"/>
      <c r="U25050" s="135"/>
    </row>
    <row r="25051" spans="20:21" ht="15" customHeight="1" x14ac:dyDescent="0.25">
      <c r="T25051" s="135"/>
      <c r="U25051" s="135"/>
    </row>
    <row r="25052" spans="20:21" ht="15" customHeight="1" x14ac:dyDescent="0.25">
      <c r="T25052" s="135"/>
      <c r="U25052" s="135"/>
    </row>
    <row r="25053" spans="20:21" ht="15" customHeight="1" x14ac:dyDescent="0.25">
      <c r="T25053" s="135"/>
      <c r="U25053" s="135"/>
    </row>
    <row r="25054" spans="20:21" ht="15" customHeight="1" x14ac:dyDescent="0.25">
      <c r="T25054" s="135"/>
      <c r="U25054" s="135"/>
    </row>
    <row r="25055" spans="20:21" ht="15" customHeight="1" x14ac:dyDescent="0.25">
      <c r="T25055" s="135"/>
      <c r="U25055" s="135"/>
    </row>
    <row r="25056" spans="20:21" ht="15" customHeight="1" x14ac:dyDescent="0.25">
      <c r="T25056" s="135"/>
      <c r="U25056" s="135"/>
    </row>
    <row r="25057" spans="20:21" ht="15" customHeight="1" x14ac:dyDescent="0.25">
      <c r="T25057" s="135"/>
      <c r="U25057" s="135"/>
    </row>
    <row r="25058" spans="20:21" ht="15" customHeight="1" x14ac:dyDescent="0.25">
      <c r="T25058" s="135"/>
      <c r="U25058" s="135"/>
    </row>
    <row r="25059" spans="20:21" ht="15" customHeight="1" x14ac:dyDescent="0.25">
      <c r="T25059" s="135"/>
      <c r="U25059" s="135"/>
    </row>
    <row r="25060" spans="20:21" ht="15" customHeight="1" x14ac:dyDescent="0.25">
      <c r="T25060" s="135"/>
      <c r="U25060" s="135"/>
    </row>
    <row r="25061" spans="20:21" ht="15" customHeight="1" x14ac:dyDescent="0.25">
      <c r="T25061" s="135"/>
      <c r="U25061" s="135"/>
    </row>
    <row r="25062" spans="20:21" ht="15" customHeight="1" x14ac:dyDescent="0.25">
      <c r="T25062" s="135"/>
      <c r="U25062" s="135"/>
    </row>
    <row r="25063" spans="20:21" ht="15" customHeight="1" x14ac:dyDescent="0.25">
      <c r="T25063" s="135"/>
      <c r="U25063" s="135"/>
    </row>
    <row r="25064" spans="20:21" ht="15" customHeight="1" x14ac:dyDescent="0.25">
      <c r="T25064" s="135"/>
      <c r="U25064" s="135"/>
    </row>
    <row r="25065" spans="20:21" ht="15" customHeight="1" x14ac:dyDescent="0.25">
      <c r="T25065" s="135"/>
      <c r="U25065" s="135"/>
    </row>
    <row r="25066" spans="20:21" ht="15" customHeight="1" x14ac:dyDescent="0.25">
      <c r="T25066" s="135"/>
      <c r="U25066" s="135"/>
    </row>
    <row r="25067" spans="20:21" ht="15" customHeight="1" x14ac:dyDescent="0.25">
      <c r="T25067" s="135"/>
      <c r="U25067" s="135"/>
    </row>
    <row r="25068" spans="20:21" ht="15" customHeight="1" x14ac:dyDescent="0.25">
      <c r="T25068" s="135"/>
      <c r="U25068" s="135"/>
    </row>
    <row r="25069" spans="20:21" ht="15" customHeight="1" x14ac:dyDescent="0.25">
      <c r="T25069" s="135"/>
      <c r="U25069" s="135"/>
    </row>
    <row r="25070" spans="20:21" ht="15" customHeight="1" x14ac:dyDescent="0.25">
      <c r="T25070" s="135"/>
      <c r="U25070" s="135"/>
    </row>
    <row r="25071" spans="20:21" ht="15" customHeight="1" x14ac:dyDescent="0.25">
      <c r="T25071" s="135"/>
      <c r="U25071" s="135"/>
    </row>
    <row r="25072" spans="20:21" ht="15" customHeight="1" x14ac:dyDescent="0.25">
      <c r="T25072" s="135"/>
      <c r="U25072" s="135"/>
    </row>
    <row r="25073" spans="20:21" ht="15" customHeight="1" x14ac:dyDescent="0.25">
      <c r="T25073" s="135"/>
      <c r="U25073" s="135"/>
    </row>
    <row r="25074" spans="20:21" ht="15" customHeight="1" x14ac:dyDescent="0.25">
      <c r="T25074" s="135"/>
      <c r="U25074" s="135"/>
    </row>
    <row r="25075" spans="20:21" ht="15" customHeight="1" x14ac:dyDescent="0.25">
      <c r="T25075" s="135"/>
      <c r="U25075" s="135"/>
    </row>
    <row r="25076" spans="20:21" ht="15" customHeight="1" x14ac:dyDescent="0.25">
      <c r="T25076" s="135"/>
      <c r="U25076" s="135"/>
    </row>
    <row r="25077" spans="20:21" ht="15" customHeight="1" x14ac:dyDescent="0.25">
      <c r="T25077" s="135"/>
      <c r="U25077" s="135"/>
    </row>
    <row r="25078" spans="20:21" ht="15" customHeight="1" x14ac:dyDescent="0.25">
      <c r="T25078" s="135"/>
      <c r="U25078" s="135"/>
    </row>
    <row r="25079" spans="20:21" ht="15" customHeight="1" x14ac:dyDescent="0.25">
      <c r="T25079" s="135"/>
      <c r="U25079" s="135"/>
    </row>
    <row r="25080" spans="20:21" ht="15" customHeight="1" x14ac:dyDescent="0.25">
      <c r="T25080" s="135"/>
      <c r="U25080" s="135"/>
    </row>
    <row r="25081" spans="20:21" ht="15" customHeight="1" x14ac:dyDescent="0.25">
      <c r="T25081" s="135"/>
      <c r="U25081" s="135"/>
    </row>
    <row r="25082" spans="20:21" ht="15" customHeight="1" x14ac:dyDescent="0.25">
      <c r="T25082" s="135"/>
      <c r="U25082" s="135"/>
    </row>
    <row r="25083" spans="20:21" ht="15" customHeight="1" x14ac:dyDescent="0.25">
      <c r="T25083" s="135"/>
      <c r="U25083" s="135"/>
    </row>
    <row r="25084" spans="20:21" ht="15" customHeight="1" x14ac:dyDescent="0.25">
      <c r="T25084" s="135"/>
      <c r="U25084" s="135"/>
    </row>
    <row r="25085" spans="20:21" ht="15" customHeight="1" x14ac:dyDescent="0.25">
      <c r="T25085" s="135"/>
      <c r="U25085" s="135"/>
    </row>
    <row r="25086" spans="20:21" ht="15" customHeight="1" x14ac:dyDescent="0.25">
      <c r="T25086" s="135"/>
      <c r="U25086" s="135"/>
    </row>
    <row r="25087" spans="20:21" ht="15" customHeight="1" x14ac:dyDescent="0.25">
      <c r="T25087" s="135"/>
      <c r="U25087" s="135"/>
    </row>
    <row r="25088" spans="20:21" ht="15" customHeight="1" x14ac:dyDescent="0.25">
      <c r="T25088" s="135"/>
      <c r="U25088" s="135"/>
    </row>
    <row r="25089" spans="20:21" ht="15" customHeight="1" x14ac:dyDescent="0.25">
      <c r="T25089" s="135"/>
      <c r="U25089" s="135"/>
    </row>
    <row r="25090" spans="20:21" ht="15" customHeight="1" x14ac:dyDescent="0.25">
      <c r="T25090" s="135"/>
      <c r="U25090" s="135"/>
    </row>
    <row r="25091" spans="20:21" ht="15" customHeight="1" x14ac:dyDescent="0.25">
      <c r="T25091" s="135"/>
      <c r="U25091" s="135"/>
    </row>
    <row r="25092" spans="20:21" ht="15" customHeight="1" x14ac:dyDescent="0.25">
      <c r="T25092" s="135"/>
      <c r="U25092" s="135"/>
    </row>
    <row r="25093" spans="20:21" ht="15" customHeight="1" x14ac:dyDescent="0.25">
      <c r="T25093" s="135"/>
      <c r="U25093" s="135"/>
    </row>
    <row r="25094" spans="20:21" ht="15" customHeight="1" x14ac:dyDescent="0.25">
      <c r="T25094" s="135"/>
      <c r="U25094" s="135"/>
    </row>
    <row r="25095" spans="20:21" ht="15" customHeight="1" x14ac:dyDescent="0.25">
      <c r="T25095" s="135"/>
      <c r="U25095" s="135"/>
    </row>
    <row r="25096" spans="20:21" ht="15" customHeight="1" x14ac:dyDescent="0.25">
      <c r="T25096" s="135"/>
      <c r="U25096" s="135"/>
    </row>
    <row r="25097" spans="20:21" ht="15" customHeight="1" x14ac:dyDescent="0.25">
      <c r="T25097" s="135"/>
      <c r="U25097" s="135"/>
    </row>
    <row r="25098" spans="20:21" ht="15" customHeight="1" x14ac:dyDescent="0.25">
      <c r="T25098" s="135"/>
      <c r="U25098" s="135"/>
    </row>
    <row r="25099" spans="20:21" ht="15" customHeight="1" x14ac:dyDescent="0.25">
      <c r="T25099" s="135"/>
      <c r="U25099" s="135"/>
    </row>
    <row r="25100" spans="20:21" ht="15" customHeight="1" x14ac:dyDescent="0.25">
      <c r="T25100" s="135"/>
      <c r="U25100" s="135"/>
    </row>
    <row r="25101" spans="20:21" ht="15" customHeight="1" x14ac:dyDescent="0.25">
      <c r="T25101" s="135"/>
      <c r="U25101" s="135"/>
    </row>
    <row r="25102" spans="20:21" ht="15" customHeight="1" x14ac:dyDescent="0.25">
      <c r="T25102" s="135"/>
      <c r="U25102" s="135"/>
    </row>
    <row r="25103" spans="20:21" ht="15" customHeight="1" x14ac:dyDescent="0.25">
      <c r="T25103" s="135"/>
      <c r="U25103" s="135"/>
    </row>
    <row r="25104" spans="20:21" ht="15" customHeight="1" x14ac:dyDescent="0.25">
      <c r="T25104" s="135"/>
      <c r="U25104" s="135"/>
    </row>
    <row r="25105" spans="20:21" ht="15" customHeight="1" x14ac:dyDescent="0.25">
      <c r="T25105" s="135"/>
      <c r="U25105" s="135"/>
    </row>
    <row r="25106" spans="20:21" ht="15" customHeight="1" x14ac:dyDescent="0.25">
      <c r="T25106" s="135"/>
      <c r="U25106" s="135"/>
    </row>
    <row r="25107" spans="20:21" ht="15" customHeight="1" x14ac:dyDescent="0.25">
      <c r="T25107" s="135"/>
      <c r="U25107" s="135"/>
    </row>
    <row r="25108" spans="20:21" ht="15" customHeight="1" x14ac:dyDescent="0.25">
      <c r="T25108" s="135"/>
      <c r="U25108" s="135"/>
    </row>
    <row r="25109" spans="20:21" ht="15" customHeight="1" x14ac:dyDescent="0.25">
      <c r="T25109" s="135"/>
      <c r="U25109" s="135"/>
    </row>
    <row r="25110" spans="20:21" ht="15" customHeight="1" x14ac:dyDescent="0.25">
      <c r="T25110" s="135"/>
      <c r="U25110" s="135"/>
    </row>
    <row r="25111" spans="20:21" ht="15" customHeight="1" x14ac:dyDescent="0.25">
      <c r="T25111" s="135"/>
      <c r="U25111" s="135"/>
    </row>
    <row r="25112" spans="20:21" ht="15" customHeight="1" x14ac:dyDescent="0.25">
      <c r="T25112" s="135"/>
      <c r="U25112" s="135"/>
    </row>
    <row r="25113" spans="20:21" ht="15" customHeight="1" x14ac:dyDescent="0.25">
      <c r="T25113" s="135"/>
      <c r="U25113" s="135"/>
    </row>
    <row r="25114" spans="20:21" ht="15" customHeight="1" x14ac:dyDescent="0.25">
      <c r="T25114" s="135"/>
      <c r="U25114" s="135"/>
    </row>
    <row r="25115" spans="20:21" ht="15" customHeight="1" x14ac:dyDescent="0.25">
      <c r="T25115" s="135"/>
      <c r="U25115" s="135"/>
    </row>
    <row r="25116" spans="20:21" ht="15" customHeight="1" x14ac:dyDescent="0.25">
      <c r="T25116" s="135"/>
      <c r="U25116" s="135"/>
    </row>
    <row r="25117" spans="20:21" ht="15" customHeight="1" x14ac:dyDescent="0.25">
      <c r="T25117" s="135"/>
      <c r="U25117" s="135"/>
    </row>
    <row r="25118" spans="20:21" ht="15" customHeight="1" x14ac:dyDescent="0.25">
      <c r="T25118" s="135"/>
      <c r="U25118" s="135"/>
    </row>
    <row r="25119" spans="20:21" ht="15" customHeight="1" x14ac:dyDescent="0.25">
      <c r="T25119" s="135"/>
      <c r="U25119" s="135"/>
    </row>
    <row r="25120" spans="20:21" ht="15" customHeight="1" x14ac:dyDescent="0.25">
      <c r="T25120" s="135"/>
      <c r="U25120" s="135"/>
    </row>
    <row r="25121" spans="20:21" ht="15" customHeight="1" x14ac:dyDescent="0.25">
      <c r="T25121" s="135"/>
      <c r="U25121" s="135"/>
    </row>
    <row r="25122" spans="20:21" ht="15" customHeight="1" x14ac:dyDescent="0.25">
      <c r="T25122" s="135"/>
      <c r="U25122" s="135"/>
    </row>
    <row r="25123" spans="20:21" ht="15" customHeight="1" x14ac:dyDescent="0.25">
      <c r="T25123" s="135"/>
      <c r="U25123" s="135"/>
    </row>
    <row r="25124" spans="20:21" ht="15" customHeight="1" x14ac:dyDescent="0.25">
      <c r="T25124" s="135"/>
      <c r="U25124" s="135"/>
    </row>
    <row r="25125" spans="20:21" ht="15" customHeight="1" x14ac:dyDescent="0.25">
      <c r="T25125" s="135"/>
      <c r="U25125" s="135"/>
    </row>
    <row r="25126" spans="20:21" ht="15" customHeight="1" x14ac:dyDescent="0.25">
      <c r="T25126" s="135"/>
      <c r="U25126" s="135"/>
    </row>
    <row r="25127" spans="20:21" ht="15" customHeight="1" x14ac:dyDescent="0.25">
      <c r="T25127" s="135"/>
      <c r="U25127" s="135"/>
    </row>
    <row r="25128" spans="20:21" ht="15" customHeight="1" x14ac:dyDescent="0.25">
      <c r="T25128" s="135"/>
      <c r="U25128" s="135"/>
    </row>
    <row r="25129" spans="20:21" ht="15" customHeight="1" x14ac:dyDescent="0.25">
      <c r="T25129" s="135"/>
      <c r="U25129" s="135"/>
    </row>
    <row r="25130" spans="20:21" ht="15" customHeight="1" x14ac:dyDescent="0.25">
      <c r="T25130" s="135"/>
      <c r="U25130" s="135"/>
    </row>
    <row r="25131" spans="20:21" ht="15" customHeight="1" x14ac:dyDescent="0.25">
      <c r="T25131" s="135"/>
      <c r="U25131" s="135"/>
    </row>
    <row r="25132" spans="20:21" ht="15" customHeight="1" x14ac:dyDescent="0.25">
      <c r="T25132" s="135"/>
      <c r="U25132" s="135"/>
    </row>
    <row r="25133" spans="20:21" ht="15" customHeight="1" x14ac:dyDescent="0.25">
      <c r="T25133" s="135"/>
      <c r="U25133" s="135"/>
    </row>
    <row r="25134" spans="20:21" ht="15" customHeight="1" x14ac:dyDescent="0.25">
      <c r="T25134" s="135"/>
      <c r="U25134" s="135"/>
    </row>
    <row r="25135" spans="20:21" ht="15" customHeight="1" x14ac:dyDescent="0.25">
      <c r="T25135" s="135"/>
      <c r="U25135" s="135"/>
    </row>
    <row r="25136" spans="20:21" ht="15" customHeight="1" x14ac:dyDescent="0.25">
      <c r="T25136" s="135"/>
      <c r="U25136" s="135"/>
    </row>
    <row r="25137" spans="20:21" ht="15" customHeight="1" x14ac:dyDescent="0.25">
      <c r="T25137" s="135"/>
      <c r="U25137" s="135"/>
    </row>
    <row r="25138" spans="20:21" ht="15" customHeight="1" x14ac:dyDescent="0.25">
      <c r="T25138" s="135"/>
      <c r="U25138" s="135"/>
    </row>
    <row r="25139" spans="20:21" ht="15" customHeight="1" x14ac:dyDescent="0.25">
      <c r="T25139" s="135"/>
      <c r="U25139" s="135"/>
    </row>
    <row r="25140" spans="20:21" ht="15" customHeight="1" x14ac:dyDescent="0.25">
      <c r="T25140" s="135"/>
      <c r="U25140" s="135"/>
    </row>
    <row r="25141" spans="20:21" ht="15" customHeight="1" x14ac:dyDescent="0.25">
      <c r="T25141" s="135"/>
      <c r="U25141" s="135"/>
    </row>
    <row r="25142" spans="20:21" ht="15" customHeight="1" x14ac:dyDescent="0.25">
      <c r="T25142" s="135"/>
      <c r="U25142" s="135"/>
    </row>
    <row r="25143" spans="20:21" ht="15" customHeight="1" x14ac:dyDescent="0.25">
      <c r="T25143" s="135"/>
      <c r="U25143" s="135"/>
    </row>
    <row r="25144" spans="20:21" ht="15" customHeight="1" x14ac:dyDescent="0.25">
      <c r="T25144" s="135"/>
      <c r="U25144" s="135"/>
    </row>
    <row r="25145" spans="20:21" ht="15" customHeight="1" x14ac:dyDescent="0.25">
      <c r="T25145" s="135"/>
      <c r="U25145" s="135"/>
    </row>
    <row r="25146" spans="20:21" ht="15" customHeight="1" x14ac:dyDescent="0.25">
      <c r="T25146" s="135"/>
      <c r="U25146" s="135"/>
    </row>
    <row r="25147" spans="20:21" ht="15" customHeight="1" x14ac:dyDescent="0.25">
      <c r="T25147" s="135"/>
      <c r="U25147" s="135"/>
    </row>
    <row r="25148" spans="20:21" ht="15" customHeight="1" x14ac:dyDescent="0.25">
      <c r="T25148" s="135"/>
      <c r="U25148" s="135"/>
    </row>
    <row r="25149" spans="20:21" ht="15" customHeight="1" x14ac:dyDescent="0.25">
      <c r="T25149" s="135"/>
      <c r="U25149" s="135"/>
    </row>
    <row r="25150" spans="20:21" ht="15" customHeight="1" x14ac:dyDescent="0.25">
      <c r="T25150" s="135"/>
      <c r="U25150" s="135"/>
    </row>
    <row r="25151" spans="20:21" ht="15" customHeight="1" x14ac:dyDescent="0.25">
      <c r="T25151" s="135"/>
      <c r="U25151" s="135"/>
    </row>
    <row r="25152" spans="20:21" ht="15" customHeight="1" x14ac:dyDescent="0.25">
      <c r="T25152" s="135"/>
      <c r="U25152" s="135"/>
    </row>
    <row r="25153" spans="20:21" ht="15" customHeight="1" x14ac:dyDescent="0.25">
      <c r="T25153" s="135"/>
      <c r="U25153" s="135"/>
    </row>
    <row r="25154" spans="20:21" ht="15" customHeight="1" x14ac:dyDescent="0.25">
      <c r="T25154" s="135"/>
      <c r="U25154" s="135"/>
    </row>
    <row r="25155" spans="20:21" ht="15" customHeight="1" x14ac:dyDescent="0.25">
      <c r="T25155" s="135"/>
      <c r="U25155" s="135"/>
    </row>
    <row r="25156" spans="20:21" ht="15" customHeight="1" x14ac:dyDescent="0.25">
      <c r="T25156" s="135"/>
      <c r="U25156" s="135"/>
    </row>
    <row r="25157" spans="20:21" ht="15" customHeight="1" x14ac:dyDescent="0.25">
      <c r="T25157" s="135"/>
      <c r="U25157" s="135"/>
    </row>
    <row r="25158" spans="20:21" ht="15" customHeight="1" x14ac:dyDescent="0.25">
      <c r="T25158" s="135"/>
      <c r="U25158" s="135"/>
    </row>
    <row r="25159" spans="20:21" ht="15" customHeight="1" x14ac:dyDescent="0.25">
      <c r="T25159" s="135"/>
      <c r="U25159" s="135"/>
    </row>
    <row r="25160" spans="20:21" ht="15" customHeight="1" x14ac:dyDescent="0.25">
      <c r="T25160" s="135"/>
      <c r="U25160" s="135"/>
    </row>
    <row r="25161" spans="20:21" ht="15" customHeight="1" x14ac:dyDescent="0.25">
      <c r="T25161" s="135"/>
      <c r="U25161" s="135"/>
    </row>
    <row r="25162" spans="20:21" ht="15" customHeight="1" x14ac:dyDescent="0.25">
      <c r="T25162" s="135"/>
      <c r="U25162" s="135"/>
    </row>
    <row r="25163" spans="20:21" ht="15" customHeight="1" x14ac:dyDescent="0.25">
      <c r="T25163" s="135"/>
      <c r="U25163" s="135"/>
    </row>
    <row r="25164" spans="20:21" ht="15" customHeight="1" x14ac:dyDescent="0.25">
      <c r="T25164" s="135"/>
      <c r="U25164" s="135"/>
    </row>
    <row r="25165" spans="20:21" ht="15" customHeight="1" x14ac:dyDescent="0.25">
      <c r="T25165" s="135"/>
      <c r="U25165" s="135"/>
    </row>
    <row r="25166" spans="20:21" ht="15" customHeight="1" x14ac:dyDescent="0.25">
      <c r="T25166" s="135"/>
      <c r="U25166" s="135"/>
    </row>
    <row r="25167" spans="20:21" ht="15" customHeight="1" x14ac:dyDescent="0.25">
      <c r="T25167" s="135"/>
      <c r="U25167" s="135"/>
    </row>
    <row r="25168" spans="20:21" ht="15" customHeight="1" x14ac:dyDescent="0.25">
      <c r="T25168" s="135"/>
      <c r="U25168" s="135"/>
    </row>
    <row r="25169" spans="20:21" ht="15" customHeight="1" x14ac:dyDescent="0.25">
      <c r="T25169" s="135"/>
      <c r="U25169" s="135"/>
    </row>
    <row r="25170" spans="20:21" ht="15" customHeight="1" x14ac:dyDescent="0.25">
      <c r="T25170" s="135"/>
      <c r="U25170" s="135"/>
    </row>
    <row r="25171" spans="20:21" ht="15" customHeight="1" x14ac:dyDescent="0.25">
      <c r="T25171" s="135"/>
      <c r="U25171" s="135"/>
    </row>
    <row r="25172" spans="20:21" ht="15" customHeight="1" x14ac:dyDescent="0.25">
      <c r="T25172" s="135"/>
      <c r="U25172" s="135"/>
    </row>
    <row r="25173" spans="20:21" ht="15" customHeight="1" x14ac:dyDescent="0.25">
      <c r="T25173" s="135"/>
      <c r="U25173" s="135"/>
    </row>
    <row r="25174" spans="20:21" ht="15" customHeight="1" x14ac:dyDescent="0.25">
      <c r="T25174" s="135"/>
      <c r="U25174" s="135"/>
    </row>
    <row r="25175" spans="20:21" ht="15" customHeight="1" x14ac:dyDescent="0.25">
      <c r="T25175" s="135"/>
      <c r="U25175" s="135"/>
    </row>
    <row r="25176" spans="20:21" ht="15" customHeight="1" x14ac:dyDescent="0.25">
      <c r="T25176" s="135"/>
      <c r="U25176" s="135"/>
    </row>
    <row r="25177" spans="20:21" ht="15" customHeight="1" x14ac:dyDescent="0.25">
      <c r="T25177" s="135"/>
      <c r="U25177" s="135"/>
    </row>
    <row r="25178" spans="20:21" ht="15" customHeight="1" x14ac:dyDescent="0.25">
      <c r="T25178" s="135"/>
      <c r="U25178" s="135"/>
    </row>
    <row r="25179" spans="20:21" ht="15" customHeight="1" x14ac:dyDescent="0.25">
      <c r="T25179" s="135"/>
      <c r="U25179" s="135"/>
    </row>
    <row r="25180" spans="20:21" ht="15" customHeight="1" x14ac:dyDescent="0.25">
      <c r="T25180" s="135"/>
      <c r="U25180" s="135"/>
    </row>
    <row r="25181" spans="20:21" ht="15" customHeight="1" x14ac:dyDescent="0.25">
      <c r="T25181" s="135"/>
      <c r="U25181" s="135"/>
    </row>
    <row r="25182" spans="20:21" ht="15" customHeight="1" x14ac:dyDescent="0.25">
      <c r="T25182" s="135"/>
      <c r="U25182" s="135"/>
    </row>
    <row r="25183" spans="20:21" ht="15" customHeight="1" x14ac:dyDescent="0.25">
      <c r="T25183" s="135"/>
      <c r="U25183" s="135"/>
    </row>
    <row r="25184" spans="20:21" ht="15" customHeight="1" x14ac:dyDescent="0.25">
      <c r="T25184" s="135"/>
      <c r="U25184" s="135"/>
    </row>
    <row r="25185" spans="20:21" ht="15" customHeight="1" x14ac:dyDescent="0.25">
      <c r="T25185" s="135"/>
      <c r="U25185" s="135"/>
    </row>
    <row r="25186" spans="20:21" ht="15" customHeight="1" x14ac:dyDescent="0.25">
      <c r="T25186" s="135"/>
      <c r="U25186" s="135"/>
    </row>
    <row r="25187" spans="20:21" ht="15" customHeight="1" x14ac:dyDescent="0.25">
      <c r="T25187" s="135"/>
      <c r="U25187" s="135"/>
    </row>
    <row r="25188" spans="20:21" ht="15" customHeight="1" x14ac:dyDescent="0.25">
      <c r="T25188" s="135"/>
      <c r="U25188" s="135"/>
    </row>
    <row r="25189" spans="20:21" ht="15" customHeight="1" x14ac:dyDescent="0.25">
      <c r="T25189" s="135"/>
      <c r="U25189" s="135"/>
    </row>
    <row r="25190" spans="20:21" ht="15" customHeight="1" x14ac:dyDescent="0.25">
      <c r="T25190" s="135"/>
      <c r="U25190" s="135"/>
    </row>
    <row r="25191" spans="20:21" ht="15" customHeight="1" x14ac:dyDescent="0.25">
      <c r="T25191" s="135"/>
      <c r="U25191" s="135"/>
    </row>
    <row r="25192" spans="20:21" ht="15" customHeight="1" x14ac:dyDescent="0.25">
      <c r="T25192" s="135"/>
      <c r="U25192" s="135"/>
    </row>
    <row r="25193" spans="20:21" ht="15" customHeight="1" x14ac:dyDescent="0.25">
      <c r="T25193" s="135"/>
      <c r="U25193" s="135"/>
    </row>
    <row r="25194" spans="20:21" ht="15" customHeight="1" x14ac:dyDescent="0.25">
      <c r="T25194" s="135"/>
      <c r="U25194" s="135"/>
    </row>
    <row r="25195" spans="20:21" ht="15" customHeight="1" x14ac:dyDescent="0.25">
      <c r="T25195" s="135"/>
      <c r="U25195" s="135"/>
    </row>
    <row r="25196" spans="20:21" ht="15" customHeight="1" x14ac:dyDescent="0.25">
      <c r="T25196" s="135"/>
      <c r="U25196" s="135"/>
    </row>
    <row r="25197" spans="20:21" ht="15" customHeight="1" x14ac:dyDescent="0.25">
      <c r="T25197" s="135"/>
      <c r="U25197" s="135"/>
    </row>
    <row r="25198" spans="20:21" ht="15" customHeight="1" x14ac:dyDescent="0.25">
      <c r="T25198" s="135"/>
      <c r="U25198" s="135"/>
    </row>
    <row r="25199" spans="20:21" ht="15" customHeight="1" x14ac:dyDescent="0.25">
      <c r="T25199" s="135"/>
      <c r="U25199" s="135"/>
    </row>
    <row r="25200" spans="20:21" ht="15" customHeight="1" x14ac:dyDescent="0.25">
      <c r="T25200" s="135"/>
      <c r="U25200" s="135"/>
    </row>
    <row r="25201" spans="20:21" ht="15" customHeight="1" x14ac:dyDescent="0.25">
      <c r="T25201" s="135"/>
      <c r="U25201" s="135"/>
    </row>
    <row r="25202" spans="20:21" ht="15" customHeight="1" x14ac:dyDescent="0.25">
      <c r="T25202" s="135"/>
      <c r="U25202" s="135"/>
    </row>
    <row r="25203" spans="20:21" ht="15" customHeight="1" x14ac:dyDescent="0.25">
      <c r="T25203" s="135"/>
      <c r="U25203" s="135"/>
    </row>
    <row r="25204" spans="20:21" ht="15" customHeight="1" x14ac:dyDescent="0.25">
      <c r="T25204" s="135"/>
      <c r="U25204" s="135"/>
    </row>
    <row r="25205" spans="20:21" ht="15" customHeight="1" x14ac:dyDescent="0.25">
      <c r="T25205" s="135"/>
      <c r="U25205" s="135"/>
    </row>
    <row r="25206" spans="20:21" ht="15" customHeight="1" x14ac:dyDescent="0.25">
      <c r="T25206" s="135"/>
      <c r="U25206" s="135"/>
    </row>
    <row r="25207" spans="20:21" ht="15" customHeight="1" x14ac:dyDescent="0.25">
      <c r="T25207" s="135"/>
      <c r="U25207" s="135"/>
    </row>
    <row r="25208" spans="20:21" ht="15" customHeight="1" x14ac:dyDescent="0.25">
      <c r="T25208" s="135"/>
      <c r="U25208" s="135"/>
    </row>
    <row r="25209" spans="20:21" ht="15" customHeight="1" x14ac:dyDescent="0.25">
      <c r="T25209" s="135"/>
      <c r="U25209" s="135"/>
    </row>
    <row r="25210" spans="20:21" ht="15" customHeight="1" x14ac:dyDescent="0.25">
      <c r="T25210" s="135"/>
      <c r="U25210" s="135"/>
    </row>
    <row r="25211" spans="20:21" ht="15" customHeight="1" x14ac:dyDescent="0.25">
      <c r="T25211" s="135"/>
      <c r="U25211" s="135"/>
    </row>
    <row r="25212" spans="20:21" ht="15" customHeight="1" x14ac:dyDescent="0.25">
      <c r="T25212" s="135"/>
      <c r="U25212" s="135"/>
    </row>
    <row r="25213" spans="20:21" ht="15" customHeight="1" x14ac:dyDescent="0.25">
      <c r="T25213" s="135"/>
      <c r="U25213" s="135"/>
    </row>
    <row r="25214" spans="20:21" ht="15" customHeight="1" x14ac:dyDescent="0.25">
      <c r="T25214" s="135"/>
      <c r="U25214" s="135"/>
    </row>
    <row r="25215" spans="20:21" ht="15" customHeight="1" x14ac:dyDescent="0.25">
      <c r="T25215" s="135"/>
      <c r="U25215" s="135"/>
    </row>
    <row r="25216" spans="20:21" ht="15" customHeight="1" x14ac:dyDescent="0.25">
      <c r="T25216" s="135"/>
      <c r="U25216" s="135"/>
    </row>
    <row r="25217" spans="20:21" ht="15" customHeight="1" x14ac:dyDescent="0.25">
      <c r="T25217" s="135"/>
      <c r="U25217" s="135"/>
    </row>
    <row r="25218" spans="20:21" ht="15" customHeight="1" x14ac:dyDescent="0.25">
      <c r="T25218" s="135"/>
      <c r="U25218" s="135"/>
    </row>
    <row r="25219" spans="20:21" ht="15" customHeight="1" x14ac:dyDescent="0.25">
      <c r="T25219" s="135"/>
      <c r="U25219" s="135"/>
    </row>
    <row r="25220" spans="20:21" ht="15" customHeight="1" x14ac:dyDescent="0.25">
      <c r="T25220" s="135"/>
      <c r="U25220" s="135"/>
    </row>
    <row r="25221" spans="20:21" ht="15" customHeight="1" x14ac:dyDescent="0.25">
      <c r="T25221" s="135"/>
      <c r="U25221" s="135"/>
    </row>
    <row r="25222" spans="20:21" ht="15" customHeight="1" x14ac:dyDescent="0.25">
      <c r="T25222" s="135"/>
      <c r="U25222" s="135"/>
    </row>
    <row r="25223" spans="20:21" ht="15" customHeight="1" x14ac:dyDescent="0.25">
      <c r="T25223" s="135"/>
      <c r="U25223" s="135"/>
    </row>
    <row r="25224" spans="20:21" ht="15" customHeight="1" x14ac:dyDescent="0.25">
      <c r="T25224" s="135"/>
      <c r="U25224" s="135"/>
    </row>
    <row r="25225" spans="20:21" ht="15" customHeight="1" x14ac:dyDescent="0.25">
      <c r="T25225" s="135"/>
      <c r="U25225" s="135"/>
    </row>
    <row r="25226" spans="20:21" ht="15" customHeight="1" x14ac:dyDescent="0.25">
      <c r="T25226" s="135"/>
      <c r="U25226" s="135"/>
    </row>
    <row r="25227" spans="20:21" ht="15" customHeight="1" x14ac:dyDescent="0.25">
      <c r="T25227" s="135"/>
      <c r="U25227" s="135"/>
    </row>
    <row r="25228" spans="20:21" ht="15" customHeight="1" x14ac:dyDescent="0.25">
      <c r="T25228" s="135"/>
      <c r="U25228" s="135"/>
    </row>
    <row r="25229" spans="20:21" ht="15" customHeight="1" x14ac:dyDescent="0.25">
      <c r="T25229" s="135"/>
      <c r="U25229" s="135"/>
    </row>
    <row r="25230" spans="20:21" ht="15" customHeight="1" x14ac:dyDescent="0.25">
      <c r="T25230" s="135"/>
      <c r="U25230" s="135"/>
    </row>
    <row r="25231" spans="20:21" ht="15" customHeight="1" x14ac:dyDescent="0.25">
      <c r="T25231" s="135"/>
      <c r="U25231" s="135"/>
    </row>
    <row r="25232" spans="20:21" ht="15" customHeight="1" x14ac:dyDescent="0.25">
      <c r="T25232" s="135"/>
      <c r="U25232" s="135"/>
    </row>
    <row r="25233" spans="20:21" ht="15" customHeight="1" x14ac:dyDescent="0.25">
      <c r="T25233" s="135"/>
      <c r="U25233" s="135"/>
    </row>
    <row r="25234" spans="20:21" ht="15" customHeight="1" x14ac:dyDescent="0.25">
      <c r="T25234" s="135"/>
      <c r="U25234" s="135"/>
    </row>
    <row r="25235" spans="20:21" ht="15" customHeight="1" x14ac:dyDescent="0.25">
      <c r="T25235" s="135"/>
      <c r="U25235" s="135"/>
    </row>
    <row r="25236" spans="20:21" ht="15" customHeight="1" x14ac:dyDescent="0.25">
      <c r="T25236" s="135"/>
      <c r="U25236" s="135"/>
    </row>
    <row r="25237" spans="20:21" ht="15" customHeight="1" x14ac:dyDescent="0.25">
      <c r="T25237" s="135"/>
      <c r="U25237" s="135"/>
    </row>
    <row r="25238" spans="20:21" ht="15" customHeight="1" x14ac:dyDescent="0.25">
      <c r="T25238" s="135"/>
      <c r="U25238" s="135"/>
    </row>
    <row r="25239" spans="20:21" ht="15" customHeight="1" x14ac:dyDescent="0.25">
      <c r="T25239" s="135"/>
      <c r="U25239" s="135"/>
    </row>
    <row r="25240" spans="20:21" ht="15" customHeight="1" x14ac:dyDescent="0.25">
      <c r="T25240" s="135"/>
      <c r="U25240" s="135"/>
    </row>
    <row r="25241" spans="20:21" ht="15" customHeight="1" x14ac:dyDescent="0.25">
      <c r="T25241" s="135"/>
      <c r="U25241" s="135"/>
    </row>
    <row r="25242" spans="20:21" ht="15" customHeight="1" x14ac:dyDescent="0.25">
      <c r="T25242" s="135"/>
      <c r="U25242" s="135"/>
    </row>
    <row r="25243" spans="20:21" ht="15" customHeight="1" x14ac:dyDescent="0.25">
      <c r="T25243" s="135"/>
      <c r="U25243" s="135"/>
    </row>
    <row r="25244" spans="20:21" ht="15" customHeight="1" x14ac:dyDescent="0.25">
      <c r="T25244" s="135"/>
      <c r="U25244" s="135"/>
    </row>
    <row r="25245" spans="20:21" ht="15" customHeight="1" x14ac:dyDescent="0.25">
      <c r="T25245" s="135"/>
      <c r="U25245" s="135"/>
    </row>
    <row r="25246" spans="20:21" ht="15" customHeight="1" x14ac:dyDescent="0.25">
      <c r="T25246" s="135"/>
      <c r="U25246" s="135"/>
    </row>
    <row r="25247" spans="20:21" ht="15" customHeight="1" x14ac:dyDescent="0.25">
      <c r="T25247" s="135"/>
      <c r="U25247" s="135"/>
    </row>
    <row r="25248" spans="20:21" ht="15" customHeight="1" x14ac:dyDescent="0.25">
      <c r="T25248" s="135"/>
      <c r="U25248" s="135"/>
    </row>
    <row r="25249" spans="20:21" ht="15" customHeight="1" x14ac:dyDescent="0.25">
      <c r="T25249" s="135"/>
      <c r="U25249" s="135"/>
    </row>
    <row r="25250" spans="20:21" ht="15" customHeight="1" x14ac:dyDescent="0.25">
      <c r="T25250" s="135"/>
      <c r="U25250" s="135"/>
    </row>
    <row r="25251" spans="20:21" ht="15" customHeight="1" x14ac:dyDescent="0.25">
      <c r="T25251" s="135"/>
      <c r="U25251" s="135"/>
    </row>
    <row r="25252" spans="20:21" ht="15" customHeight="1" x14ac:dyDescent="0.25">
      <c r="T25252" s="135"/>
      <c r="U25252" s="135"/>
    </row>
    <row r="25253" spans="20:21" ht="15" customHeight="1" x14ac:dyDescent="0.25">
      <c r="T25253" s="135"/>
      <c r="U25253" s="135"/>
    </row>
    <row r="25254" spans="20:21" ht="15" customHeight="1" x14ac:dyDescent="0.25">
      <c r="T25254" s="135"/>
      <c r="U25254" s="135"/>
    </row>
    <row r="25255" spans="20:21" ht="15" customHeight="1" x14ac:dyDescent="0.25">
      <c r="T25255" s="135"/>
      <c r="U25255" s="135"/>
    </row>
    <row r="25256" spans="20:21" ht="15" customHeight="1" x14ac:dyDescent="0.25">
      <c r="T25256" s="135"/>
      <c r="U25256" s="135"/>
    </row>
    <row r="25257" spans="20:21" ht="15" customHeight="1" x14ac:dyDescent="0.25">
      <c r="T25257" s="135"/>
      <c r="U25257" s="135"/>
    </row>
    <row r="25258" spans="20:21" ht="15" customHeight="1" x14ac:dyDescent="0.25">
      <c r="T25258" s="135"/>
      <c r="U25258" s="135"/>
    </row>
    <row r="25259" spans="20:21" ht="15" customHeight="1" x14ac:dyDescent="0.25">
      <c r="T25259" s="135"/>
      <c r="U25259" s="135"/>
    </row>
    <row r="25260" spans="20:21" ht="15" customHeight="1" x14ac:dyDescent="0.25">
      <c r="T25260" s="135"/>
      <c r="U25260" s="135"/>
    </row>
    <row r="25261" spans="20:21" ht="15" customHeight="1" x14ac:dyDescent="0.25">
      <c r="T25261" s="135"/>
      <c r="U25261" s="135"/>
    </row>
    <row r="25262" spans="20:21" ht="15" customHeight="1" x14ac:dyDescent="0.25">
      <c r="T25262" s="135"/>
      <c r="U25262" s="135"/>
    </row>
    <row r="25263" spans="20:21" ht="15" customHeight="1" x14ac:dyDescent="0.25">
      <c r="T25263" s="135"/>
      <c r="U25263" s="135"/>
    </row>
    <row r="25264" spans="20:21" ht="15" customHeight="1" x14ac:dyDescent="0.25">
      <c r="T25264" s="135"/>
      <c r="U25264" s="135"/>
    </row>
    <row r="25265" spans="20:21" ht="15" customHeight="1" x14ac:dyDescent="0.25">
      <c r="T25265" s="135"/>
      <c r="U25265" s="135"/>
    </row>
    <row r="25266" spans="20:21" ht="15" customHeight="1" x14ac:dyDescent="0.25">
      <c r="T25266" s="135"/>
      <c r="U25266" s="135"/>
    </row>
    <row r="25267" spans="20:21" ht="15" customHeight="1" x14ac:dyDescent="0.25">
      <c r="T25267" s="135"/>
      <c r="U25267" s="135"/>
    </row>
    <row r="25268" spans="20:21" ht="15" customHeight="1" x14ac:dyDescent="0.25">
      <c r="T25268" s="135"/>
      <c r="U25268" s="135"/>
    </row>
    <row r="25269" spans="20:21" ht="15" customHeight="1" x14ac:dyDescent="0.25">
      <c r="T25269" s="135"/>
      <c r="U25269" s="135"/>
    </row>
    <row r="25270" spans="20:21" ht="15" customHeight="1" x14ac:dyDescent="0.25">
      <c r="T25270" s="135"/>
      <c r="U25270" s="135"/>
    </row>
    <row r="25271" spans="20:21" ht="15" customHeight="1" x14ac:dyDescent="0.25">
      <c r="T25271" s="135"/>
      <c r="U25271" s="135"/>
    </row>
    <row r="25272" spans="20:21" ht="15" customHeight="1" x14ac:dyDescent="0.25">
      <c r="T25272" s="135"/>
      <c r="U25272" s="135"/>
    </row>
    <row r="25273" spans="20:21" ht="15" customHeight="1" x14ac:dyDescent="0.25">
      <c r="T25273" s="135"/>
      <c r="U25273" s="135"/>
    </row>
    <row r="25274" spans="20:21" ht="15" customHeight="1" x14ac:dyDescent="0.25">
      <c r="T25274" s="135"/>
      <c r="U25274" s="135"/>
    </row>
    <row r="25275" spans="20:21" ht="15" customHeight="1" x14ac:dyDescent="0.25">
      <c r="T25275" s="135"/>
      <c r="U25275" s="135"/>
    </row>
    <row r="25276" spans="20:21" ht="15" customHeight="1" x14ac:dyDescent="0.25">
      <c r="T25276" s="135"/>
      <c r="U25276" s="135"/>
    </row>
    <row r="25277" spans="20:21" ht="15" customHeight="1" x14ac:dyDescent="0.25">
      <c r="T25277" s="135"/>
      <c r="U25277" s="135"/>
    </row>
    <row r="25278" spans="20:21" ht="15" customHeight="1" x14ac:dyDescent="0.25">
      <c r="T25278" s="135"/>
      <c r="U25278" s="135"/>
    </row>
    <row r="25279" spans="20:21" ht="15" customHeight="1" x14ac:dyDescent="0.25">
      <c r="T25279" s="135"/>
      <c r="U25279" s="135"/>
    </row>
    <row r="25280" spans="20:21" ht="15" customHeight="1" x14ac:dyDescent="0.25">
      <c r="T25280" s="135"/>
      <c r="U25280" s="135"/>
    </row>
    <row r="25281" spans="20:21" ht="15" customHeight="1" x14ac:dyDescent="0.25">
      <c r="T25281" s="135"/>
      <c r="U25281" s="135"/>
    </row>
    <row r="25282" spans="20:21" ht="15" customHeight="1" x14ac:dyDescent="0.25">
      <c r="T25282" s="135"/>
      <c r="U25282" s="135"/>
    </row>
    <row r="25283" spans="20:21" ht="15" customHeight="1" x14ac:dyDescent="0.25">
      <c r="T25283" s="135"/>
      <c r="U25283" s="135"/>
    </row>
    <row r="25284" spans="20:21" ht="15" customHeight="1" x14ac:dyDescent="0.25">
      <c r="T25284" s="135"/>
      <c r="U25284" s="135"/>
    </row>
    <row r="25285" spans="20:21" ht="15" customHeight="1" x14ac:dyDescent="0.25">
      <c r="T25285" s="135"/>
      <c r="U25285" s="135"/>
    </row>
    <row r="25286" spans="20:21" ht="15" customHeight="1" x14ac:dyDescent="0.25">
      <c r="T25286" s="135"/>
      <c r="U25286" s="135"/>
    </row>
    <row r="25287" spans="20:21" ht="15" customHeight="1" x14ac:dyDescent="0.25">
      <c r="T25287" s="135"/>
      <c r="U25287" s="135"/>
    </row>
    <row r="25288" spans="20:21" ht="15" customHeight="1" x14ac:dyDescent="0.25">
      <c r="T25288" s="135"/>
      <c r="U25288" s="135"/>
    </row>
    <row r="25289" spans="20:21" ht="15" customHeight="1" x14ac:dyDescent="0.25">
      <c r="T25289" s="135"/>
      <c r="U25289" s="135"/>
    </row>
    <row r="25290" spans="20:21" ht="15" customHeight="1" x14ac:dyDescent="0.25">
      <c r="T25290" s="135"/>
      <c r="U25290" s="135"/>
    </row>
    <row r="25291" spans="20:21" ht="15" customHeight="1" x14ac:dyDescent="0.25">
      <c r="T25291" s="135"/>
      <c r="U25291" s="135"/>
    </row>
    <row r="25292" spans="20:21" ht="15" customHeight="1" x14ac:dyDescent="0.25">
      <c r="T25292" s="135"/>
      <c r="U25292" s="135"/>
    </row>
    <row r="25293" spans="20:21" ht="15" customHeight="1" x14ac:dyDescent="0.25">
      <c r="T25293" s="135"/>
      <c r="U25293" s="135"/>
    </row>
    <row r="25294" spans="20:21" ht="15" customHeight="1" x14ac:dyDescent="0.25">
      <c r="T25294" s="135"/>
      <c r="U25294" s="135"/>
    </row>
    <row r="25295" spans="20:21" ht="15" customHeight="1" x14ac:dyDescent="0.25">
      <c r="T25295" s="135"/>
      <c r="U25295" s="135"/>
    </row>
    <row r="25296" spans="20:21" ht="15" customHeight="1" x14ac:dyDescent="0.25">
      <c r="T25296" s="135"/>
      <c r="U25296" s="135"/>
    </row>
    <row r="25297" spans="20:21" ht="15" customHeight="1" x14ac:dyDescent="0.25">
      <c r="T25297" s="135"/>
      <c r="U25297" s="135"/>
    </row>
    <row r="25298" spans="20:21" ht="15" customHeight="1" x14ac:dyDescent="0.25">
      <c r="T25298" s="135"/>
      <c r="U25298" s="135"/>
    </row>
    <row r="25299" spans="20:21" ht="15" customHeight="1" x14ac:dyDescent="0.25">
      <c r="T25299" s="135"/>
      <c r="U25299" s="135"/>
    </row>
    <row r="25300" spans="20:21" ht="15" customHeight="1" x14ac:dyDescent="0.25">
      <c r="T25300" s="135"/>
      <c r="U25300" s="135"/>
    </row>
    <row r="25301" spans="20:21" ht="15" customHeight="1" x14ac:dyDescent="0.25">
      <c r="T25301" s="135"/>
      <c r="U25301" s="135"/>
    </row>
    <row r="25302" spans="20:21" ht="15" customHeight="1" x14ac:dyDescent="0.25">
      <c r="T25302" s="135"/>
      <c r="U25302" s="135"/>
    </row>
    <row r="25303" spans="20:21" ht="15" customHeight="1" x14ac:dyDescent="0.25">
      <c r="T25303" s="135"/>
      <c r="U25303" s="135"/>
    </row>
    <row r="25304" spans="20:21" ht="15" customHeight="1" x14ac:dyDescent="0.25">
      <c r="T25304" s="135"/>
      <c r="U25304" s="135"/>
    </row>
    <row r="25305" spans="20:21" ht="15" customHeight="1" x14ac:dyDescent="0.25">
      <c r="T25305" s="135"/>
      <c r="U25305" s="135"/>
    </row>
    <row r="25306" spans="20:21" ht="15" customHeight="1" x14ac:dyDescent="0.25">
      <c r="T25306" s="135"/>
      <c r="U25306" s="135"/>
    </row>
    <row r="25307" spans="20:21" ht="15" customHeight="1" x14ac:dyDescent="0.25">
      <c r="T25307" s="135"/>
      <c r="U25307" s="135"/>
    </row>
    <row r="25308" spans="20:21" ht="15" customHeight="1" x14ac:dyDescent="0.25">
      <c r="T25308" s="135"/>
      <c r="U25308" s="135"/>
    </row>
    <row r="25309" spans="20:21" ht="15" customHeight="1" x14ac:dyDescent="0.25">
      <c r="T25309" s="135"/>
      <c r="U25309" s="135"/>
    </row>
    <row r="25310" spans="20:21" ht="15" customHeight="1" x14ac:dyDescent="0.25">
      <c r="T25310" s="135"/>
      <c r="U25310" s="135"/>
    </row>
    <row r="25311" spans="20:21" ht="15" customHeight="1" x14ac:dyDescent="0.25">
      <c r="T25311" s="135"/>
      <c r="U25311" s="135"/>
    </row>
    <row r="25312" spans="20:21" ht="15" customHeight="1" x14ac:dyDescent="0.25">
      <c r="T25312" s="135"/>
      <c r="U25312" s="135"/>
    </row>
    <row r="25313" spans="20:21" ht="15" customHeight="1" x14ac:dyDescent="0.25">
      <c r="T25313" s="135"/>
      <c r="U25313" s="135"/>
    </row>
    <row r="25314" spans="20:21" ht="15" customHeight="1" x14ac:dyDescent="0.25">
      <c r="T25314" s="135"/>
      <c r="U25314" s="135"/>
    </row>
    <row r="25315" spans="20:21" ht="15" customHeight="1" x14ac:dyDescent="0.25">
      <c r="T25315" s="135"/>
      <c r="U25315" s="135"/>
    </row>
    <row r="25316" spans="20:21" ht="15" customHeight="1" x14ac:dyDescent="0.25">
      <c r="T25316" s="135"/>
      <c r="U25316" s="135"/>
    </row>
    <row r="25317" spans="20:21" ht="15" customHeight="1" x14ac:dyDescent="0.25">
      <c r="T25317" s="135"/>
      <c r="U25317" s="135"/>
    </row>
    <row r="25318" spans="20:21" ht="15" customHeight="1" x14ac:dyDescent="0.25">
      <c r="T25318" s="135"/>
      <c r="U25318" s="135"/>
    </row>
    <row r="25319" spans="20:21" ht="15" customHeight="1" x14ac:dyDescent="0.25">
      <c r="T25319" s="135"/>
      <c r="U25319" s="135"/>
    </row>
    <row r="25320" spans="20:21" ht="15" customHeight="1" x14ac:dyDescent="0.25">
      <c r="T25320" s="135"/>
      <c r="U25320" s="135"/>
    </row>
    <row r="25321" spans="20:21" ht="15" customHeight="1" x14ac:dyDescent="0.25">
      <c r="T25321" s="135"/>
      <c r="U25321" s="135"/>
    </row>
    <row r="25322" spans="20:21" ht="15" customHeight="1" x14ac:dyDescent="0.25">
      <c r="T25322" s="135"/>
      <c r="U25322" s="135"/>
    </row>
    <row r="25323" spans="20:21" ht="15" customHeight="1" x14ac:dyDescent="0.25">
      <c r="T25323" s="135"/>
      <c r="U25323" s="135"/>
    </row>
    <row r="25324" spans="20:21" ht="15" customHeight="1" x14ac:dyDescent="0.25">
      <c r="T25324" s="135"/>
      <c r="U25324" s="135"/>
    </row>
    <row r="25325" spans="20:21" ht="15" customHeight="1" x14ac:dyDescent="0.25">
      <c r="T25325" s="135"/>
      <c r="U25325" s="135"/>
    </row>
    <row r="25326" spans="20:21" ht="15" customHeight="1" x14ac:dyDescent="0.25">
      <c r="T25326" s="135"/>
      <c r="U25326" s="135"/>
    </row>
    <row r="25327" spans="20:21" ht="15" customHeight="1" x14ac:dyDescent="0.25">
      <c r="T25327" s="135"/>
      <c r="U25327" s="135"/>
    </row>
    <row r="25328" spans="20:21" ht="15" customHeight="1" x14ac:dyDescent="0.25">
      <c r="T25328" s="135"/>
      <c r="U25328" s="135"/>
    </row>
    <row r="25329" spans="20:21" ht="15" customHeight="1" x14ac:dyDescent="0.25">
      <c r="T25329" s="135"/>
      <c r="U25329" s="135"/>
    </row>
    <row r="25330" spans="20:21" ht="15" customHeight="1" x14ac:dyDescent="0.25">
      <c r="T25330" s="135"/>
      <c r="U25330" s="135"/>
    </row>
    <row r="25331" spans="20:21" ht="15" customHeight="1" x14ac:dyDescent="0.25">
      <c r="T25331" s="135"/>
      <c r="U25331" s="135"/>
    </row>
    <row r="25332" spans="20:21" ht="15" customHeight="1" x14ac:dyDescent="0.25">
      <c r="T25332" s="135"/>
      <c r="U25332" s="135"/>
    </row>
    <row r="25333" spans="20:21" ht="15" customHeight="1" x14ac:dyDescent="0.25">
      <c r="T25333" s="135"/>
      <c r="U25333" s="135"/>
    </row>
    <row r="25334" spans="20:21" ht="15" customHeight="1" x14ac:dyDescent="0.25">
      <c r="T25334" s="135"/>
      <c r="U25334" s="135"/>
    </row>
    <row r="25335" spans="20:21" ht="15" customHeight="1" x14ac:dyDescent="0.25">
      <c r="T25335" s="135"/>
      <c r="U25335" s="135"/>
    </row>
    <row r="25336" spans="20:21" ht="15" customHeight="1" x14ac:dyDescent="0.25">
      <c r="T25336" s="135"/>
      <c r="U25336" s="135"/>
    </row>
    <row r="25337" spans="20:21" ht="15" customHeight="1" x14ac:dyDescent="0.25">
      <c r="T25337" s="135"/>
      <c r="U25337" s="135"/>
    </row>
    <row r="25338" spans="20:21" ht="15" customHeight="1" x14ac:dyDescent="0.25">
      <c r="T25338" s="135"/>
      <c r="U25338" s="135"/>
    </row>
    <row r="25339" spans="20:21" ht="15" customHeight="1" x14ac:dyDescent="0.25">
      <c r="T25339" s="135"/>
      <c r="U25339" s="135"/>
    </row>
    <row r="25340" spans="20:21" ht="15" customHeight="1" x14ac:dyDescent="0.25">
      <c r="T25340" s="135"/>
      <c r="U25340" s="135"/>
    </row>
    <row r="25341" spans="20:21" ht="15" customHeight="1" x14ac:dyDescent="0.25">
      <c r="T25341" s="135"/>
      <c r="U25341" s="135"/>
    </row>
    <row r="25342" spans="20:21" ht="15" customHeight="1" x14ac:dyDescent="0.25">
      <c r="T25342" s="135"/>
      <c r="U25342" s="135"/>
    </row>
    <row r="25343" spans="20:21" ht="15" customHeight="1" x14ac:dyDescent="0.25">
      <c r="T25343" s="135"/>
      <c r="U25343" s="135"/>
    </row>
    <row r="25344" spans="20:21" ht="15" customHeight="1" x14ac:dyDescent="0.25">
      <c r="T25344" s="135"/>
      <c r="U25344" s="135"/>
    </row>
    <row r="25345" spans="20:21" ht="15" customHeight="1" x14ac:dyDescent="0.25">
      <c r="T25345" s="135"/>
      <c r="U25345" s="135"/>
    </row>
    <row r="25346" spans="20:21" ht="15" customHeight="1" x14ac:dyDescent="0.25">
      <c r="T25346" s="135"/>
      <c r="U25346" s="135"/>
    </row>
    <row r="25347" spans="20:21" ht="15" customHeight="1" x14ac:dyDescent="0.25">
      <c r="T25347" s="135"/>
      <c r="U25347" s="135"/>
    </row>
    <row r="25348" spans="20:21" ht="15" customHeight="1" x14ac:dyDescent="0.25">
      <c r="T25348" s="135"/>
      <c r="U25348" s="135"/>
    </row>
    <row r="25349" spans="20:21" ht="15" customHeight="1" x14ac:dyDescent="0.25">
      <c r="T25349" s="135"/>
      <c r="U25349" s="135"/>
    </row>
    <row r="25350" spans="20:21" ht="15" customHeight="1" x14ac:dyDescent="0.25">
      <c r="T25350" s="135"/>
      <c r="U25350" s="135"/>
    </row>
    <row r="25351" spans="20:21" ht="15" customHeight="1" x14ac:dyDescent="0.25">
      <c r="T25351" s="135"/>
      <c r="U25351" s="135"/>
    </row>
    <row r="25352" spans="20:21" ht="15" customHeight="1" x14ac:dyDescent="0.25">
      <c r="T25352" s="135"/>
      <c r="U25352" s="135"/>
    </row>
    <row r="25353" spans="20:21" ht="15" customHeight="1" x14ac:dyDescent="0.25">
      <c r="T25353" s="135"/>
      <c r="U25353" s="135"/>
    </row>
    <row r="25354" spans="20:21" ht="15" customHeight="1" x14ac:dyDescent="0.25">
      <c r="T25354" s="135"/>
      <c r="U25354" s="135"/>
    </row>
    <row r="25355" spans="20:21" ht="15" customHeight="1" x14ac:dyDescent="0.25">
      <c r="T25355" s="135"/>
      <c r="U25355" s="135"/>
    </row>
    <row r="25356" spans="20:21" ht="15" customHeight="1" x14ac:dyDescent="0.25">
      <c r="T25356" s="135"/>
      <c r="U25356" s="135"/>
    </row>
    <row r="25357" spans="20:21" ht="15" customHeight="1" x14ac:dyDescent="0.25">
      <c r="T25357" s="135"/>
      <c r="U25357" s="135"/>
    </row>
    <row r="25358" spans="20:21" ht="15" customHeight="1" x14ac:dyDescent="0.25">
      <c r="T25358" s="135"/>
      <c r="U25358" s="135"/>
    </row>
    <row r="25359" spans="20:21" ht="15" customHeight="1" x14ac:dyDescent="0.25">
      <c r="T25359" s="135"/>
      <c r="U25359" s="135"/>
    </row>
    <row r="25360" spans="20:21" ht="15" customHeight="1" x14ac:dyDescent="0.25">
      <c r="T25360" s="135"/>
      <c r="U25360" s="135"/>
    </row>
    <row r="25361" spans="20:21" ht="15" customHeight="1" x14ac:dyDescent="0.25">
      <c r="T25361" s="135"/>
      <c r="U25361" s="135"/>
    </row>
    <row r="25362" spans="20:21" ht="15" customHeight="1" x14ac:dyDescent="0.25">
      <c r="T25362" s="135"/>
      <c r="U25362" s="135"/>
    </row>
    <row r="25363" spans="20:21" ht="15" customHeight="1" x14ac:dyDescent="0.25">
      <c r="T25363" s="135"/>
      <c r="U25363" s="135"/>
    </row>
    <row r="25364" spans="20:21" ht="15" customHeight="1" x14ac:dyDescent="0.25">
      <c r="T25364" s="135"/>
      <c r="U25364" s="135"/>
    </row>
    <row r="25365" spans="20:21" ht="15" customHeight="1" x14ac:dyDescent="0.25">
      <c r="T25365" s="135"/>
      <c r="U25365" s="135"/>
    </row>
    <row r="25366" spans="20:21" ht="15" customHeight="1" x14ac:dyDescent="0.25">
      <c r="T25366" s="135"/>
      <c r="U25366" s="135"/>
    </row>
    <row r="25367" spans="20:21" ht="15" customHeight="1" x14ac:dyDescent="0.25">
      <c r="T25367" s="135"/>
      <c r="U25367" s="135"/>
    </row>
    <row r="25368" spans="20:21" ht="15" customHeight="1" x14ac:dyDescent="0.25">
      <c r="T25368" s="135"/>
      <c r="U25368" s="135"/>
    </row>
    <row r="25369" spans="20:21" ht="15" customHeight="1" x14ac:dyDescent="0.25">
      <c r="T25369" s="135"/>
      <c r="U25369" s="135"/>
    </row>
    <row r="25370" spans="20:21" ht="15" customHeight="1" x14ac:dyDescent="0.25">
      <c r="T25370" s="135"/>
      <c r="U25370" s="135"/>
    </row>
    <row r="25371" spans="20:21" ht="15" customHeight="1" x14ac:dyDescent="0.25">
      <c r="T25371" s="135"/>
      <c r="U25371" s="135"/>
    </row>
    <row r="25372" spans="20:21" ht="15" customHeight="1" x14ac:dyDescent="0.25">
      <c r="T25372" s="135"/>
      <c r="U25372" s="135"/>
    </row>
    <row r="25373" spans="20:21" ht="15" customHeight="1" x14ac:dyDescent="0.25">
      <c r="T25373" s="135"/>
      <c r="U25373" s="135"/>
    </row>
    <row r="25374" spans="20:21" ht="15" customHeight="1" x14ac:dyDescent="0.25">
      <c r="T25374" s="135"/>
      <c r="U25374" s="135"/>
    </row>
    <row r="25375" spans="20:21" ht="15" customHeight="1" x14ac:dyDescent="0.25">
      <c r="T25375" s="135"/>
      <c r="U25375" s="135"/>
    </row>
    <row r="25376" spans="20:21" ht="15" customHeight="1" x14ac:dyDescent="0.25">
      <c r="T25376" s="135"/>
      <c r="U25376" s="135"/>
    </row>
    <row r="25377" spans="20:21" ht="15" customHeight="1" x14ac:dyDescent="0.25">
      <c r="T25377" s="135"/>
      <c r="U25377" s="135"/>
    </row>
    <row r="25378" spans="20:21" ht="15" customHeight="1" x14ac:dyDescent="0.25">
      <c r="T25378" s="135"/>
      <c r="U25378" s="135"/>
    </row>
    <row r="25379" spans="20:21" ht="15" customHeight="1" x14ac:dyDescent="0.25">
      <c r="T25379" s="135"/>
      <c r="U25379" s="135"/>
    </row>
    <row r="25380" spans="20:21" ht="15" customHeight="1" x14ac:dyDescent="0.25">
      <c r="T25380" s="135"/>
      <c r="U25380" s="135"/>
    </row>
    <row r="25381" spans="20:21" ht="15" customHeight="1" x14ac:dyDescent="0.25">
      <c r="T25381" s="135"/>
      <c r="U25381" s="135"/>
    </row>
    <row r="25382" spans="20:21" ht="15" customHeight="1" x14ac:dyDescent="0.25">
      <c r="T25382" s="135"/>
      <c r="U25382" s="135"/>
    </row>
    <row r="25383" spans="20:21" ht="15" customHeight="1" x14ac:dyDescent="0.25">
      <c r="T25383" s="135"/>
      <c r="U25383" s="135"/>
    </row>
    <row r="25384" spans="20:21" ht="15" customHeight="1" x14ac:dyDescent="0.25">
      <c r="T25384" s="135"/>
      <c r="U25384" s="135"/>
    </row>
    <row r="25385" spans="20:21" ht="15" customHeight="1" x14ac:dyDescent="0.25">
      <c r="T25385" s="135"/>
      <c r="U25385" s="135"/>
    </row>
    <row r="25386" spans="20:21" ht="15" customHeight="1" x14ac:dyDescent="0.25">
      <c r="T25386" s="135"/>
      <c r="U25386" s="135"/>
    </row>
    <row r="25387" spans="20:21" ht="15" customHeight="1" x14ac:dyDescent="0.25">
      <c r="T25387" s="135"/>
      <c r="U25387" s="135"/>
    </row>
    <row r="25388" spans="20:21" ht="15" customHeight="1" x14ac:dyDescent="0.25">
      <c r="T25388" s="135"/>
      <c r="U25388" s="135"/>
    </row>
    <row r="25389" spans="20:21" ht="15" customHeight="1" x14ac:dyDescent="0.25">
      <c r="T25389" s="135"/>
      <c r="U25389" s="135"/>
    </row>
    <row r="25390" spans="20:21" ht="15" customHeight="1" x14ac:dyDescent="0.25">
      <c r="T25390" s="135"/>
      <c r="U25390" s="135"/>
    </row>
    <row r="25391" spans="20:21" ht="15" customHeight="1" x14ac:dyDescent="0.25">
      <c r="T25391" s="135"/>
      <c r="U25391" s="135"/>
    </row>
    <row r="25392" spans="20:21" ht="15" customHeight="1" x14ac:dyDescent="0.25">
      <c r="T25392" s="135"/>
      <c r="U25392" s="135"/>
    </row>
    <row r="25393" spans="20:21" ht="15" customHeight="1" x14ac:dyDescent="0.25">
      <c r="T25393" s="135"/>
      <c r="U25393" s="135"/>
    </row>
    <row r="25394" spans="20:21" ht="15" customHeight="1" x14ac:dyDescent="0.25">
      <c r="T25394" s="135"/>
      <c r="U25394" s="135"/>
    </row>
    <row r="25395" spans="20:21" ht="15" customHeight="1" x14ac:dyDescent="0.25">
      <c r="T25395" s="135"/>
      <c r="U25395" s="135"/>
    </row>
    <row r="25396" spans="20:21" ht="15" customHeight="1" x14ac:dyDescent="0.25">
      <c r="T25396" s="135"/>
      <c r="U25396" s="135"/>
    </row>
    <row r="25397" spans="20:21" ht="15" customHeight="1" x14ac:dyDescent="0.25">
      <c r="T25397" s="135"/>
      <c r="U25397" s="135"/>
    </row>
    <row r="25398" spans="20:21" ht="15" customHeight="1" x14ac:dyDescent="0.25">
      <c r="T25398" s="135"/>
      <c r="U25398" s="135"/>
    </row>
    <row r="25399" spans="20:21" ht="15" customHeight="1" x14ac:dyDescent="0.25">
      <c r="T25399" s="135"/>
      <c r="U25399" s="135"/>
    </row>
    <row r="25400" spans="20:21" ht="15" customHeight="1" x14ac:dyDescent="0.25">
      <c r="T25400" s="135"/>
      <c r="U25400" s="135"/>
    </row>
    <row r="25401" spans="20:21" ht="15" customHeight="1" x14ac:dyDescent="0.25">
      <c r="T25401" s="135"/>
      <c r="U25401" s="135"/>
    </row>
    <row r="25402" spans="20:21" ht="15" customHeight="1" x14ac:dyDescent="0.25">
      <c r="T25402" s="135"/>
      <c r="U25402" s="135"/>
    </row>
    <row r="25403" spans="20:21" ht="15" customHeight="1" x14ac:dyDescent="0.25">
      <c r="T25403" s="135"/>
      <c r="U25403" s="135"/>
    </row>
    <row r="25404" spans="20:21" ht="15" customHeight="1" x14ac:dyDescent="0.25">
      <c r="T25404" s="135"/>
      <c r="U25404" s="135"/>
    </row>
    <row r="25405" spans="20:21" ht="15" customHeight="1" x14ac:dyDescent="0.25">
      <c r="T25405" s="135"/>
      <c r="U25405" s="135"/>
    </row>
    <row r="25406" spans="20:21" ht="15" customHeight="1" x14ac:dyDescent="0.25">
      <c r="T25406" s="135"/>
      <c r="U25406" s="135"/>
    </row>
    <row r="25407" spans="20:21" ht="15" customHeight="1" x14ac:dyDescent="0.25">
      <c r="T25407" s="135"/>
      <c r="U25407" s="135"/>
    </row>
    <row r="25408" spans="20:21" ht="15" customHeight="1" x14ac:dyDescent="0.25">
      <c r="T25408" s="135"/>
      <c r="U25408" s="135"/>
    </row>
    <row r="25409" spans="20:21" ht="15" customHeight="1" x14ac:dyDescent="0.25">
      <c r="T25409" s="135"/>
      <c r="U25409" s="135"/>
    </row>
    <row r="25410" spans="20:21" ht="15" customHeight="1" x14ac:dyDescent="0.25">
      <c r="T25410" s="135"/>
      <c r="U25410" s="135"/>
    </row>
    <row r="25411" spans="20:21" ht="15" customHeight="1" x14ac:dyDescent="0.25">
      <c r="T25411" s="135"/>
      <c r="U25411" s="135"/>
    </row>
    <row r="25412" spans="20:21" ht="15" customHeight="1" x14ac:dyDescent="0.25">
      <c r="T25412" s="135"/>
      <c r="U25412" s="135"/>
    </row>
    <row r="25413" spans="20:21" ht="15" customHeight="1" x14ac:dyDescent="0.25">
      <c r="T25413" s="135"/>
      <c r="U25413" s="135"/>
    </row>
    <row r="25414" spans="20:21" ht="15" customHeight="1" x14ac:dyDescent="0.25">
      <c r="T25414" s="135"/>
      <c r="U25414" s="135"/>
    </row>
    <row r="25415" spans="20:21" ht="15" customHeight="1" x14ac:dyDescent="0.25">
      <c r="T25415" s="135"/>
      <c r="U25415" s="135"/>
    </row>
    <row r="25416" spans="20:21" ht="15" customHeight="1" x14ac:dyDescent="0.25">
      <c r="T25416" s="135"/>
      <c r="U25416" s="135"/>
    </row>
    <row r="25417" spans="20:21" ht="15" customHeight="1" x14ac:dyDescent="0.25">
      <c r="T25417" s="135"/>
      <c r="U25417" s="135"/>
    </row>
    <row r="25418" spans="20:21" ht="15" customHeight="1" x14ac:dyDescent="0.25">
      <c r="T25418" s="135"/>
      <c r="U25418" s="135"/>
    </row>
    <row r="25419" spans="20:21" ht="15" customHeight="1" x14ac:dyDescent="0.25">
      <c r="T25419" s="135"/>
      <c r="U25419" s="135"/>
    </row>
    <row r="25420" spans="20:21" ht="15" customHeight="1" x14ac:dyDescent="0.25">
      <c r="T25420" s="135"/>
      <c r="U25420" s="135"/>
    </row>
    <row r="25421" spans="20:21" ht="15" customHeight="1" x14ac:dyDescent="0.25">
      <c r="T25421" s="135"/>
      <c r="U25421" s="135"/>
    </row>
    <row r="25422" spans="20:21" ht="15" customHeight="1" x14ac:dyDescent="0.25">
      <c r="T25422" s="135"/>
      <c r="U25422" s="135"/>
    </row>
    <row r="25423" spans="20:21" ht="15" customHeight="1" x14ac:dyDescent="0.25">
      <c r="T25423" s="135"/>
      <c r="U25423" s="135"/>
    </row>
    <row r="25424" spans="20:21" ht="15" customHeight="1" x14ac:dyDescent="0.25">
      <c r="T25424" s="135"/>
      <c r="U25424" s="135"/>
    </row>
    <row r="25425" spans="20:21" ht="15" customHeight="1" x14ac:dyDescent="0.25">
      <c r="T25425" s="135"/>
      <c r="U25425" s="135"/>
    </row>
    <row r="25426" spans="20:21" ht="15" customHeight="1" x14ac:dyDescent="0.25">
      <c r="T25426" s="135"/>
      <c r="U25426" s="135"/>
    </row>
    <row r="25427" spans="20:21" ht="15" customHeight="1" x14ac:dyDescent="0.25">
      <c r="T25427" s="135"/>
      <c r="U25427" s="135"/>
    </row>
    <row r="25428" spans="20:21" ht="15" customHeight="1" x14ac:dyDescent="0.25">
      <c r="T25428" s="135"/>
      <c r="U25428" s="135"/>
    </row>
    <row r="25429" spans="20:21" ht="15" customHeight="1" x14ac:dyDescent="0.25">
      <c r="T25429" s="135"/>
      <c r="U25429" s="135"/>
    </row>
    <row r="25430" spans="20:21" ht="15" customHeight="1" x14ac:dyDescent="0.25">
      <c r="T25430" s="135"/>
      <c r="U25430" s="135"/>
    </row>
    <row r="25431" spans="20:21" ht="15" customHeight="1" x14ac:dyDescent="0.25">
      <c r="T25431" s="135"/>
      <c r="U25431" s="135"/>
    </row>
    <row r="25432" spans="20:21" ht="15" customHeight="1" x14ac:dyDescent="0.25">
      <c r="T25432" s="135"/>
      <c r="U25432" s="135"/>
    </row>
    <row r="25433" spans="20:21" ht="15" customHeight="1" x14ac:dyDescent="0.25">
      <c r="T25433" s="135"/>
      <c r="U25433" s="135"/>
    </row>
    <row r="25434" spans="20:21" ht="15" customHeight="1" x14ac:dyDescent="0.25">
      <c r="T25434" s="135"/>
      <c r="U25434" s="135"/>
    </row>
    <row r="25435" spans="20:21" ht="15" customHeight="1" x14ac:dyDescent="0.25">
      <c r="T25435" s="135"/>
      <c r="U25435" s="135"/>
    </row>
    <row r="25436" spans="20:21" ht="15" customHeight="1" x14ac:dyDescent="0.25">
      <c r="T25436" s="135"/>
      <c r="U25436" s="135"/>
    </row>
    <row r="25437" spans="20:21" ht="15" customHeight="1" x14ac:dyDescent="0.25">
      <c r="T25437" s="135"/>
      <c r="U25437" s="135"/>
    </row>
    <row r="25438" spans="20:21" ht="15" customHeight="1" x14ac:dyDescent="0.25">
      <c r="T25438" s="135"/>
      <c r="U25438" s="135"/>
    </row>
    <row r="25439" spans="20:21" ht="15" customHeight="1" x14ac:dyDescent="0.25">
      <c r="T25439" s="135"/>
      <c r="U25439" s="135"/>
    </row>
    <row r="25440" spans="20:21" ht="15" customHeight="1" x14ac:dyDescent="0.25">
      <c r="T25440" s="135"/>
      <c r="U25440" s="135"/>
    </row>
    <row r="25441" spans="20:21" ht="15" customHeight="1" x14ac:dyDescent="0.25">
      <c r="T25441" s="135"/>
      <c r="U25441" s="135"/>
    </row>
    <row r="25442" spans="20:21" ht="15" customHeight="1" x14ac:dyDescent="0.25">
      <c r="T25442" s="135"/>
      <c r="U25442" s="135"/>
    </row>
    <row r="25443" spans="20:21" ht="15" customHeight="1" x14ac:dyDescent="0.25">
      <c r="T25443" s="135"/>
      <c r="U25443" s="135"/>
    </row>
    <row r="25444" spans="20:21" ht="15" customHeight="1" x14ac:dyDescent="0.25">
      <c r="T25444" s="135"/>
      <c r="U25444" s="135"/>
    </row>
    <row r="25445" spans="20:21" ht="15" customHeight="1" x14ac:dyDescent="0.25">
      <c r="T25445" s="135"/>
      <c r="U25445" s="135"/>
    </row>
    <row r="25446" spans="20:21" ht="15" customHeight="1" x14ac:dyDescent="0.25">
      <c r="T25446" s="135"/>
      <c r="U25446" s="135"/>
    </row>
    <row r="25447" spans="20:21" ht="15" customHeight="1" x14ac:dyDescent="0.25">
      <c r="T25447" s="135"/>
      <c r="U25447" s="135"/>
    </row>
    <row r="25448" spans="20:21" ht="15" customHeight="1" x14ac:dyDescent="0.25">
      <c r="T25448" s="135"/>
      <c r="U25448" s="135"/>
    </row>
    <row r="25449" spans="20:21" ht="15" customHeight="1" x14ac:dyDescent="0.25">
      <c r="T25449" s="135"/>
      <c r="U25449" s="135"/>
    </row>
    <row r="25450" spans="20:21" ht="15" customHeight="1" x14ac:dyDescent="0.25">
      <c r="T25450" s="135"/>
      <c r="U25450" s="135"/>
    </row>
    <row r="25451" spans="20:21" ht="15" customHeight="1" x14ac:dyDescent="0.25">
      <c r="T25451" s="135"/>
      <c r="U25451" s="135"/>
    </row>
    <row r="25452" spans="20:21" ht="15" customHeight="1" x14ac:dyDescent="0.25">
      <c r="T25452" s="135"/>
      <c r="U25452" s="135"/>
    </row>
    <row r="25453" spans="20:21" ht="15" customHeight="1" x14ac:dyDescent="0.25">
      <c r="T25453" s="135"/>
      <c r="U25453" s="135"/>
    </row>
    <row r="25454" spans="20:21" ht="15" customHeight="1" x14ac:dyDescent="0.25">
      <c r="T25454" s="135"/>
      <c r="U25454" s="135"/>
    </row>
    <row r="25455" spans="20:21" ht="15" customHeight="1" x14ac:dyDescent="0.25">
      <c r="T25455" s="135"/>
      <c r="U25455" s="135"/>
    </row>
    <row r="25456" spans="20:21" ht="15" customHeight="1" x14ac:dyDescent="0.25">
      <c r="T25456" s="135"/>
      <c r="U25456" s="135"/>
    </row>
    <row r="25457" spans="20:21" ht="15" customHeight="1" x14ac:dyDescent="0.25">
      <c r="T25457" s="135"/>
      <c r="U25457" s="135"/>
    </row>
    <row r="25458" spans="20:21" ht="15" customHeight="1" x14ac:dyDescent="0.25">
      <c r="T25458" s="135"/>
      <c r="U25458" s="135"/>
    </row>
    <row r="25459" spans="20:21" ht="15" customHeight="1" x14ac:dyDescent="0.25">
      <c r="T25459" s="135"/>
      <c r="U25459" s="135"/>
    </row>
    <row r="25460" spans="20:21" ht="15" customHeight="1" x14ac:dyDescent="0.25">
      <c r="T25460" s="135"/>
      <c r="U25460" s="135"/>
    </row>
    <row r="25461" spans="20:21" ht="15" customHeight="1" x14ac:dyDescent="0.25">
      <c r="T25461" s="135"/>
      <c r="U25461" s="135"/>
    </row>
    <row r="25462" spans="20:21" ht="15" customHeight="1" x14ac:dyDescent="0.25">
      <c r="T25462" s="135"/>
      <c r="U25462" s="135"/>
    </row>
    <row r="25463" spans="20:21" ht="15" customHeight="1" x14ac:dyDescent="0.25">
      <c r="T25463" s="135"/>
      <c r="U25463" s="135"/>
    </row>
    <row r="25464" spans="20:21" ht="15" customHeight="1" x14ac:dyDescent="0.25">
      <c r="T25464" s="135"/>
      <c r="U25464" s="135"/>
    </row>
    <row r="25465" spans="20:21" ht="15" customHeight="1" x14ac:dyDescent="0.25">
      <c r="T25465" s="135"/>
      <c r="U25465" s="135"/>
    </row>
    <row r="25466" spans="20:21" ht="15" customHeight="1" x14ac:dyDescent="0.25">
      <c r="T25466" s="135"/>
      <c r="U25466" s="135"/>
    </row>
    <row r="25467" spans="20:21" ht="15" customHeight="1" x14ac:dyDescent="0.25">
      <c r="T25467" s="135"/>
      <c r="U25467" s="135"/>
    </row>
    <row r="25468" spans="20:21" ht="15" customHeight="1" x14ac:dyDescent="0.25">
      <c r="T25468" s="135"/>
      <c r="U25468" s="135"/>
    </row>
    <row r="25469" spans="20:21" ht="15" customHeight="1" x14ac:dyDescent="0.25">
      <c r="T25469" s="135"/>
      <c r="U25469" s="135"/>
    </row>
    <row r="25470" spans="20:21" ht="15" customHeight="1" x14ac:dyDescent="0.25">
      <c r="T25470" s="135"/>
      <c r="U25470" s="135"/>
    </row>
    <row r="25471" spans="20:21" ht="15" customHeight="1" x14ac:dyDescent="0.25">
      <c r="T25471" s="135"/>
      <c r="U25471" s="135"/>
    </row>
    <row r="25472" spans="20:21" ht="15" customHeight="1" x14ac:dyDescent="0.25">
      <c r="T25472" s="135"/>
      <c r="U25472" s="135"/>
    </row>
    <row r="25473" spans="20:21" ht="15" customHeight="1" x14ac:dyDescent="0.25">
      <c r="T25473" s="135"/>
      <c r="U25473" s="135"/>
    </row>
    <row r="25474" spans="20:21" ht="15" customHeight="1" x14ac:dyDescent="0.25">
      <c r="T25474" s="135"/>
      <c r="U25474" s="135"/>
    </row>
    <row r="25475" spans="20:21" ht="15" customHeight="1" x14ac:dyDescent="0.25">
      <c r="T25475" s="135"/>
      <c r="U25475" s="135"/>
    </row>
    <row r="25476" spans="20:21" ht="15" customHeight="1" x14ac:dyDescent="0.25">
      <c r="T25476" s="135"/>
      <c r="U25476" s="135"/>
    </row>
    <row r="25477" spans="20:21" ht="15" customHeight="1" x14ac:dyDescent="0.25">
      <c r="T25477" s="135"/>
      <c r="U25477" s="135"/>
    </row>
    <row r="25478" spans="20:21" ht="15" customHeight="1" x14ac:dyDescent="0.25">
      <c r="T25478" s="135"/>
      <c r="U25478" s="135"/>
    </row>
    <row r="25479" spans="20:21" ht="15" customHeight="1" x14ac:dyDescent="0.25">
      <c r="T25479" s="135"/>
      <c r="U25479" s="135"/>
    </row>
    <row r="25480" spans="20:21" ht="15" customHeight="1" x14ac:dyDescent="0.25">
      <c r="T25480" s="135"/>
      <c r="U25480" s="135"/>
    </row>
    <row r="25481" spans="20:21" ht="15" customHeight="1" x14ac:dyDescent="0.25">
      <c r="T25481" s="135"/>
      <c r="U25481" s="135"/>
    </row>
    <row r="25482" spans="20:21" ht="15" customHeight="1" x14ac:dyDescent="0.25">
      <c r="T25482" s="135"/>
      <c r="U25482" s="135"/>
    </row>
    <row r="25483" spans="20:21" ht="15" customHeight="1" x14ac:dyDescent="0.25">
      <c r="T25483" s="135"/>
      <c r="U25483" s="135"/>
    </row>
    <row r="25484" spans="20:21" ht="15" customHeight="1" x14ac:dyDescent="0.25">
      <c r="T25484" s="135"/>
      <c r="U25484" s="135"/>
    </row>
    <row r="25485" spans="20:21" ht="15" customHeight="1" x14ac:dyDescent="0.25">
      <c r="T25485" s="135"/>
      <c r="U25485" s="135"/>
    </row>
    <row r="25486" spans="20:21" ht="15" customHeight="1" x14ac:dyDescent="0.25">
      <c r="T25486" s="135"/>
      <c r="U25486" s="135"/>
    </row>
    <row r="25487" spans="20:21" ht="15" customHeight="1" x14ac:dyDescent="0.25">
      <c r="T25487" s="135"/>
      <c r="U25487" s="135"/>
    </row>
    <row r="25488" spans="20:21" ht="15" customHeight="1" x14ac:dyDescent="0.25">
      <c r="T25488" s="135"/>
      <c r="U25488" s="135"/>
    </row>
    <row r="25489" spans="20:21" ht="15" customHeight="1" x14ac:dyDescent="0.25">
      <c r="T25489" s="135"/>
      <c r="U25489" s="135"/>
    </row>
    <row r="25490" spans="20:21" ht="15" customHeight="1" x14ac:dyDescent="0.25">
      <c r="T25490" s="135"/>
      <c r="U25490" s="135"/>
    </row>
    <row r="25491" spans="20:21" ht="15" customHeight="1" x14ac:dyDescent="0.25">
      <c r="T25491" s="135"/>
      <c r="U25491" s="135"/>
    </row>
    <row r="25492" spans="20:21" ht="15" customHeight="1" x14ac:dyDescent="0.25">
      <c r="T25492" s="135"/>
      <c r="U25492" s="135"/>
    </row>
    <row r="25493" spans="20:21" ht="15" customHeight="1" x14ac:dyDescent="0.25">
      <c r="T25493" s="135"/>
      <c r="U25493" s="135"/>
    </row>
    <row r="25494" spans="20:21" ht="15" customHeight="1" x14ac:dyDescent="0.25">
      <c r="T25494" s="135"/>
      <c r="U25494" s="135"/>
    </row>
    <row r="25495" spans="20:21" ht="15" customHeight="1" x14ac:dyDescent="0.25">
      <c r="T25495" s="135"/>
      <c r="U25495" s="135"/>
    </row>
    <row r="25496" spans="20:21" ht="15" customHeight="1" x14ac:dyDescent="0.25">
      <c r="T25496" s="135"/>
      <c r="U25496" s="135"/>
    </row>
    <row r="25497" spans="20:21" ht="15" customHeight="1" x14ac:dyDescent="0.25">
      <c r="T25497" s="135"/>
      <c r="U25497" s="135"/>
    </row>
    <row r="25498" spans="20:21" ht="15" customHeight="1" x14ac:dyDescent="0.25">
      <c r="T25498" s="135"/>
      <c r="U25498" s="135"/>
    </row>
    <row r="25499" spans="20:21" ht="15" customHeight="1" x14ac:dyDescent="0.25">
      <c r="T25499" s="135"/>
      <c r="U25499" s="135"/>
    </row>
    <row r="25500" spans="20:21" ht="15" customHeight="1" x14ac:dyDescent="0.25">
      <c r="T25500" s="135"/>
      <c r="U25500" s="135"/>
    </row>
    <row r="25501" spans="20:21" ht="15" customHeight="1" x14ac:dyDescent="0.25">
      <c r="T25501" s="135"/>
      <c r="U25501" s="135"/>
    </row>
    <row r="25502" spans="20:21" ht="15" customHeight="1" x14ac:dyDescent="0.25">
      <c r="T25502" s="135"/>
      <c r="U25502" s="135"/>
    </row>
    <row r="25503" spans="20:21" ht="15" customHeight="1" x14ac:dyDescent="0.25">
      <c r="T25503" s="135"/>
      <c r="U25503" s="135"/>
    </row>
    <row r="25504" spans="20:21" ht="15" customHeight="1" x14ac:dyDescent="0.25">
      <c r="T25504" s="135"/>
      <c r="U25504" s="135"/>
    </row>
    <row r="25505" spans="20:21" ht="15" customHeight="1" x14ac:dyDescent="0.25">
      <c r="T25505" s="135"/>
      <c r="U25505" s="135"/>
    </row>
    <row r="25506" spans="20:21" ht="15" customHeight="1" x14ac:dyDescent="0.25">
      <c r="T25506" s="135"/>
      <c r="U25506" s="135"/>
    </row>
    <row r="25507" spans="20:21" ht="15" customHeight="1" x14ac:dyDescent="0.25">
      <c r="T25507" s="135"/>
      <c r="U25507" s="135"/>
    </row>
    <row r="25508" spans="20:21" ht="15" customHeight="1" x14ac:dyDescent="0.25">
      <c r="T25508" s="135"/>
      <c r="U25508" s="135"/>
    </row>
    <row r="25509" spans="20:21" ht="15" customHeight="1" x14ac:dyDescent="0.25">
      <c r="T25509" s="135"/>
      <c r="U25509" s="135"/>
    </row>
    <row r="25510" spans="20:21" ht="15" customHeight="1" x14ac:dyDescent="0.25">
      <c r="T25510" s="135"/>
      <c r="U25510" s="135"/>
    </row>
    <row r="25511" spans="20:21" ht="15" customHeight="1" x14ac:dyDescent="0.25">
      <c r="T25511" s="135"/>
      <c r="U25511" s="135"/>
    </row>
    <row r="25512" spans="20:21" ht="15" customHeight="1" x14ac:dyDescent="0.25">
      <c r="T25512" s="135"/>
      <c r="U25512" s="135"/>
    </row>
    <row r="25513" spans="20:21" ht="15" customHeight="1" x14ac:dyDescent="0.25">
      <c r="T25513" s="135"/>
      <c r="U25513" s="135"/>
    </row>
    <row r="25514" spans="20:21" ht="15" customHeight="1" x14ac:dyDescent="0.25">
      <c r="T25514" s="135"/>
      <c r="U25514" s="135"/>
    </row>
    <row r="25515" spans="20:21" ht="15" customHeight="1" x14ac:dyDescent="0.25">
      <c r="T25515" s="135"/>
      <c r="U25515" s="135"/>
    </row>
    <row r="25516" spans="20:21" ht="15" customHeight="1" x14ac:dyDescent="0.25">
      <c r="T25516" s="135"/>
      <c r="U25516" s="135"/>
    </row>
    <row r="25517" spans="20:21" ht="15" customHeight="1" x14ac:dyDescent="0.25">
      <c r="T25517" s="135"/>
      <c r="U25517" s="135"/>
    </row>
    <row r="25518" spans="20:21" ht="15" customHeight="1" x14ac:dyDescent="0.25">
      <c r="T25518" s="135"/>
      <c r="U25518" s="135"/>
    </row>
    <row r="25519" spans="20:21" ht="15" customHeight="1" x14ac:dyDescent="0.25">
      <c r="T25519" s="135"/>
      <c r="U25519" s="135"/>
    </row>
    <row r="25520" spans="20:21" ht="15" customHeight="1" x14ac:dyDescent="0.25">
      <c r="T25520" s="135"/>
      <c r="U25520" s="135"/>
    </row>
    <row r="25521" spans="20:21" ht="15" customHeight="1" x14ac:dyDescent="0.25">
      <c r="T25521" s="135"/>
      <c r="U25521" s="135"/>
    </row>
    <row r="25522" spans="20:21" ht="15" customHeight="1" x14ac:dyDescent="0.25">
      <c r="T25522" s="135"/>
      <c r="U25522" s="135"/>
    </row>
    <row r="25523" spans="20:21" ht="15" customHeight="1" x14ac:dyDescent="0.25">
      <c r="T25523" s="135"/>
      <c r="U25523" s="135"/>
    </row>
    <row r="25524" spans="20:21" ht="15" customHeight="1" x14ac:dyDescent="0.25">
      <c r="T25524" s="135"/>
      <c r="U25524" s="135"/>
    </row>
    <row r="25525" spans="20:21" ht="15" customHeight="1" x14ac:dyDescent="0.25">
      <c r="T25525" s="135"/>
      <c r="U25525" s="135"/>
    </row>
    <row r="25526" spans="20:21" ht="15" customHeight="1" x14ac:dyDescent="0.25">
      <c r="T25526" s="135"/>
      <c r="U25526" s="135"/>
    </row>
    <row r="25527" spans="20:21" ht="15" customHeight="1" x14ac:dyDescent="0.25">
      <c r="T25527" s="135"/>
      <c r="U25527" s="135"/>
    </row>
    <row r="25528" spans="20:21" ht="15" customHeight="1" x14ac:dyDescent="0.25">
      <c r="T25528" s="135"/>
      <c r="U25528" s="135"/>
    </row>
    <row r="25529" spans="20:21" ht="15" customHeight="1" x14ac:dyDescent="0.25">
      <c r="T25529" s="135"/>
      <c r="U25529" s="135"/>
    </row>
    <row r="25530" spans="20:21" ht="15" customHeight="1" x14ac:dyDescent="0.25">
      <c r="T25530" s="135"/>
      <c r="U25530" s="135"/>
    </row>
    <row r="25531" spans="20:21" ht="15" customHeight="1" x14ac:dyDescent="0.25">
      <c r="T25531" s="135"/>
      <c r="U25531" s="135"/>
    </row>
    <row r="25532" spans="20:21" ht="15" customHeight="1" x14ac:dyDescent="0.25">
      <c r="T25532" s="135"/>
      <c r="U25532" s="135"/>
    </row>
    <row r="25533" spans="20:21" ht="15" customHeight="1" x14ac:dyDescent="0.25">
      <c r="T25533" s="135"/>
      <c r="U25533" s="135"/>
    </row>
    <row r="25534" spans="20:21" ht="15" customHeight="1" x14ac:dyDescent="0.25">
      <c r="T25534" s="135"/>
      <c r="U25534" s="135"/>
    </row>
    <row r="25535" spans="20:21" ht="15" customHeight="1" x14ac:dyDescent="0.25">
      <c r="T25535" s="135"/>
      <c r="U25535" s="135"/>
    </row>
    <row r="25536" spans="20:21" ht="15" customHeight="1" x14ac:dyDescent="0.25">
      <c r="T25536" s="135"/>
      <c r="U25536" s="135"/>
    </row>
    <row r="25537" spans="20:21" ht="15" customHeight="1" x14ac:dyDescent="0.25">
      <c r="T25537" s="135"/>
      <c r="U25537" s="135"/>
    </row>
    <row r="25538" spans="20:21" ht="15" customHeight="1" x14ac:dyDescent="0.25">
      <c r="T25538" s="135"/>
      <c r="U25538" s="135"/>
    </row>
    <row r="25539" spans="20:21" ht="15" customHeight="1" x14ac:dyDescent="0.25">
      <c r="T25539" s="135"/>
      <c r="U25539" s="135"/>
    </row>
    <row r="25540" spans="20:21" ht="15" customHeight="1" x14ac:dyDescent="0.25">
      <c r="T25540" s="135"/>
      <c r="U25540" s="135"/>
    </row>
    <row r="25541" spans="20:21" ht="15" customHeight="1" x14ac:dyDescent="0.25">
      <c r="T25541" s="135"/>
      <c r="U25541" s="135"/>
    </row>
    <row r="25542" spans="20:21" ht="15" customHeight="1" x14ac:dyDescent="0.25">
      <c r="T25542" s="135"/>
      <c r="U25542" s="135"/>
    </row>
    <row r="25543" spans="20:21" ht="15" customHeight="1" x14ac:dyDescent="0.25">
      <c r="T25543" s="135"/>
      <c r="U25543" s="135"/>
    </row>
    <row r="25544" spans="20:21" ht="15" customHeight="1" x14ac:dyDescent="0.25">
      <c r="T25544" s="135"/>
      <c r="U25544" s="135"/>
    </row>
    <row r="25545" spans="20:21" ht="15" customHeight="1" x14ac:dyDescent="0.25">
      <c r="T25545" s="135"/>
      <c r="U25545" s="135"/>
    </row>
    <row r="25546" spans="20:21" ht="15" customHeight="1" x14ac:dyDescent="0.25">
      <c r="T25546" s="135"/>
      <c r="U25546" s="135"/>
    </row>
    <row r="25547" spans="20:21" ht="15" customHeight="1" x14ac:dyDescent="0.25">
      <c r="T25547" s="135"/>
      <c r="U25547" s="135"/>
    </row>
    <row r="25548" spans="20:21" ht="15" customHeight="1" x14ac:dyDescent="0.25">
      <c r="T25548" s="135"/>
      <c r="U25548" s="135"/>
    </row>
    <row r="25549" spans="20:21" ht="15" customHeight="1" x14ac:dyDescent="0.25">
      <c r="T25549" s="135"/>
      <c r="U25549" s="135"/>
    </row>
    <row r="25550" spans="20:21" ht="15" customHeight="1" x14ac:dyDescent="0.25">
      <c r="T25550" s="135"/>
      <c r="U25550" s="135"/>
    </row>
    <row r="25551" spans="20:21" ht="15" customHeight="1" x14ac:dyDescent="0.25">
      <c r="T25551" s="135"/>
      <c r="U25551" s="135"/>
    </row>
    <row r="25552" spans="20:21" ht="15" customHeight="1" x14ac:dyDescent="0.25">
      <c r="T25552" s="135"/>
      <c r="U25552" s="135"/>
    </row>
    <row r="25553" spans="20:21" ht="15" customHeight="1" x14ac:dyDescent="0.25">
      <c r="T25553" s="135"/>
      <c r="U25553" s="135"/>
    </row>
    <row r="25554" spans="20:21" ht="15" customHeight="1" x14ac:dyDescent="0.25">
      <c r="T25554" s="135"/>
      <c r="U25554" s="135"/>
    </row>
    <row r="25555" spans="20:21" ht="15" customHeight="1" x14ac:dyDescent="0.25">
      <c r="T25555" s="135"/>
      <c r="U25555" s="135"/>
    </row>
    <row r="25556" spans="20:21" ht="15" customHeight="1" x14ac:dyDescent="0.25">
      <c r="T25556" s="135"/>
      <c r="U25556" s="135"/>
    </row>
    <row r="25557" spans="20:21" ht="15" customHeight="1" x14ac:dyDescent="0.25">
      <c r="T25557" s="135"/>
      <c r="U25557" s="135"/>
    </row>
    <row r="25558" spans="20:21" ht="15" customHeight="1" x14ac:dyDescent="0.25">
      <c r="T25558" s="135"/>
      <c r="U25558" s="135"/>
    </row>
    <row r="25559" spans="20:21" ht="15" customHeight="1" x14ac:dyDescent="0.25">
      <c r="T25559" s="135"/>
      <c r="U25559" s="135"/>
    </row>
    <row r="25560" spans="20:21" ht="15" customHeight="1" x14ac:dyDescent="0.25">
      <c r="T25560" s="135"/>
      <c r="U25560" s="135"/>
    </row>
    <row r="25561" spans="20:21" ht="15" customHeight="1" x14ac:dyDescent="0.25">
      <c r="T25561" s="135"/>
      <c r="U25561" s="135"/>
    </row>
    <row r="25562" spans="20:21" ht="15" customHeight="1" x14ac:dyDescent="0.25">
      <c r="T25562" s="135"/>
      <c r="U25562" s="135"/>
    </row>
    <row r="25563" spans="20:21" ht="15" customHeight="1" x14ac:dyDescent="0.25">
      <c r="T25563" s="135"/>
      <c r="U25563" s="135"/>
    </row>
    <row r="25564" spans="20:21" ht="15" customHeight="1" x14ac:dyDescent="0.25">
      <c r="T25564" s="135"/>
      <c r="U25564" s="135"/>
    </row>
    <row r="25565" spans="20:21" ht="15" customHeight="1" x14ac:dyDescent="0.25">
      <c r="T25565" s="135"/>
      <c r="U25565" s="135"/>
    </row>
    <row r="25566" spans="20:21" ht="15" customHeight="1" x14ac:dyDescent="0.25">
      <c r="T25566" s="135"/>
      <c r="U25566" s="135"/>
    </row>
    <row r="25567" spans="20:21" ht="15" customHeight="1" x14ac:dyDescent="0.25">
      <c r="T25567" s="135"/>
      <c r="U25567" s="135"/>
    </row>
    <row r="25568" spans="20:21" ht="15" customHeight="1" x14ac:dyDescent="0.25">
      <c r="T25568" s="135"/>
      <c r="U25568" s="135"/>
    </row>
    <row r="25569" spans="20:21" ht="15" customHeight="1" x14ac:dyDescent="0.25">
      <c r="T25569" s="135"/>
      <c r="U25569" s="135"/>
    </row>
    <row r="25570" spans="20:21" ht="15" customHeight="1" x14ac:dyDescent="0.25">
      <c r="T25570" s="135"/>
      <c r="U25570" s="135"/>
    </row>
    <row r="25571" spans="20:21" ht="15" customHeight="1" x14ac:dyDescent="0.25">
      <c r="T25571" s="135"/>
      <c r="U25571" s="135"/>
    </row>
    <row r="25572" spans="20:21" ht="15" customHeight="1" x14ac:dyDescent="0.25">
      <c r="T25572" s="135"/>
      <c r="U25572" s="135"/>
    </row>
    <row r="25573" spans="20:21" ht="15" customHeight="1" x14ac:dyDescent="0.25">
      <c r="T25573" s="135"/>
      <c r="U25573" s="135"/>
    </row>
    <row r="25574" spans="20:21" ht="15" customHeight="1" x14ac:dyDescent="0.25">
      <c r="T25574" s="135"/>
      <c r="U25574" s="135"/>
    </row>
    <row r="25575" spans="20:21" ht="15" customHeight="1" x14ac:dyDescent="0.25">
      <c r="T25575" s="135"/>
      <c r="U25575" s="135"/>
    </row>
    <row r="25576" spans="20:21" ht="15" customHeight="1" x14ac:dyDescent="0.25">
      <c r="T25576" s="135"/>
      <c r="U25576" s="135"/>
    </row>
    <row r="25577" spans="20:21" ht="15" customHeight="1" x14ac:dyDescent="0.25">
      <c r="T25577" s="135"/>
      <c r="U25577" s="135"/>
    </row>
    <row r="25578" spans="20:21" ht="15" customHeight="1" x14ac:dyDescent="0.25">
      <c r="T25578" s="135"/>
      <c r="U25578" s="135"/>
    </row>
    <row r="25579" spans="20:21" ht="15" customHeight="1" x14ac:dyDescent="0.25">
      <c r="T25579" s="135"/>
      <c r="U25579" s="135"/>
    </row>
    <row r="25580" spans="20:21" ht="15" customHeight="1" x14ac:dyDescent="0.25">
      <c r="T25580" s="135"/>
      <c r="U25580" s="135"/>
    </row>
    <row r="25581" spans="20:21" ht="15" customHeight="1" x14ac:dyDescent="0.25">
      <c r="T25581" s="135"/>
      <c r="U25581" s="135"/>
    </row>
    <row r="25582" spans="20:21" ht="15" customHeight="1" x14ac:dyDescent="0.25">
      <c r="T25582" s="135"/>
      <c r="U25582" s="135"/>
    </row>
    <row r="25583" spans="20:21" ht="15" customHeight="1" x14ac:dyDescent="0.25">
      <c r="T25583" s="135"/>
      <c r="U25583" s="135"/>
    </row>
    <row r="25584" spans="20:21" ht="15" customHeight="1" x14ac:dyDescent="0.25">
      <c r="T25584" s="135"/>
      <c r="U25584" s="135"/>
    </row>
    <row r="25585" spans="20:21" ht="15" customHeight="1" x14ac:dyDescent="0.25">
      <c r="T25585" s="135"/>
      <c r="U25585" s="135"/>
    </row>
    <row r="25586" spans="20:21" ht="15" customHeight="1" x14ac:dyDescent="0.25">
      <c r="T25586" s="135"/>
      <c r="U25586" s="135"/>
    </row>
    <row r="25587" spans="20:21" ht="15" customHeight="1" x14ac:dyDescent="0.25">
      <c r="T25587" s="135"/>
      <c r="U25587" s="135"/>
    </row>
    <row r="25588" spans="20:21" ht="15" customHeight="1" x14ac:dyDescent="0.25">
      <c r="T25588" s="135"/>
      <c r="U25588" s="135"/>
    </row>
    <row r="25589" spans="20:21" ht="15" customHeight="1" x14ac:dyDescent="0.25">
      <c r="T25589" s="135"/>
      <c r="U25589" s="135"/>
    </row>
    <row r="25590" spans="20:21" ht="15" customHeight="1" x14ac:dyDescent="0.25">
      <c r="T25590" s="135"/>
      <c r="U25590" s="135"/>
    </row>
    <row r="25591" spans="20:21" ht="15" customHeight="1" x14ac:dyDescent="0.25">
      <c r="T25591" s="135"/>
      <c r="U25591" s="135"/>
    </row>
    <row r="25592" spans="20:21" ht="15" customHeight="1" x14ac:dyDescent="0.25">
      <c r="T25592" s="135"/>
      <c r="U25592" s="135"/>
    </row>
    <row r="25593" spans="20:21" ht="15" customHeight="1" x14ac:dyDescent="0.25">
      <c r="T25593" s="135"/>
      <c r="U25593" s="135"/>
    </row>
    <row r="25594" spans="20:21" ht="15" customHeight="1" x14ac:dyDescent="0.25">
      <c r="T25594" s="135"/>
      <c r="U25594" s="135"/>
    </row>
    <row r="25595" spans="20:21" ht="15" customHeight="1" x14ac:dyDescent="0.25">
      <c r="T25595" s="135"/>
      <c r="U25595" s="135"/>
    </row>
    <row r="25596" spans="20:21" ht="15" customHeight="1" x14ac:dyDescent="0.25">
      <c r="T25596" s="135"/>
      <c r="U25596" s="135"/>
    </row>
    <row r="25597" spans="20:21" ht="15" customHeight="1" x14ac:dyDescent="0.25">
      <c r="T25597" s="135"/>
      <c r="U25597" s="135"/>
    </row>
    <row r="25598" spans="20:21" ht="15" customHeight="1" x14ac:dyDescent="0.25">
      <c r="T25598" s="135"/>
      <c r="U25598" s="135"/>
    </row>
    <row r="25599" spans="20:21" ht="15" customHeight="1" x14ac:dyDescent="0.25">
      <c r="T25599" s="135"/>
      <c r="U25599" s="135"/>
    </row>
    <row r="25600" spans="20:21" ht="15" customHeight="1" x14ac:dyDescent="0.25">
      <c r="T25600" s="135"/>
      <c r="U25600" s="135"/>
    </row>
    <row r="25601" spans="20:21" ht="15" customHeight="1" x14ac:dyDescent="0.25">
      <c r="T25601" s="135"/>
      <c r="U25601" s="135"/>
    </row>
    <row r="25602" spans="20:21" ht="15" customHeight="1" x14ac:dyDescent="0.25">
      <c r="T25602" s="135"/>
      <c r="U25602" s="135"/>
    </row>
    <row r="25603" spans="20:21" ht="15" customHeight="1" x14ac:dyDescent="0.25">
      <c r="T25603" s="135"/>
      <c r="U25603" s="135"/>
    </row>
    <row r="25604" spans="20:21" ht="15" customHeight="1" x14ac:dyDescent="0.25">
      <c r="T25604" s="135"/>
      <c r="U25604" s="135"/>
    </row>
    <row r="25605" spans="20:21" ht="15" customHeight="1" x14ac:dyDescent="0.25">
      <c r="T25605" s="135"/>
      <c r="U25605" s="135"/>
    </row>
    <row r="25606" spans="20:21" ht="15" customHeight="1" x14ac:dyDescent="0.25">
      <c r="T25606" s="135"/>
      <c r="U25606" s="135"/>
    </row>
    <row r="25607" spans="20:21" ht="15" customHeight="1" x14ac:dyDescent="0.25">
      <c r="T25607" s="135"/>
      <c r="U25607" s="135"/>
    </row>
    <row r="25608" spans="20:21" ht="15" customHeight="1" x14ac:dyDescent="0.25">
      <c r="T25608" s="135"/>
      <c r="U25608" s="135"/>
    </row>
    <row r="25609" spans="20:21" ht="15" customHeight="1" x14ac:dyDescent="0.25">
      <c r="T25609" s="135"/>
      <c r="U25609" s="135"/>
    </row>
    <row r="25610" spans="20:21" ht="15" customHeight="1" x14ac:dyDescent="0.25">
      <c r="T25610" s="135"/>
      <c r="U25610" s="135"/>
    </row>
    <row r="25611" spans="20:21" ht="15" customHeight="1" x14ac:dyDescent="0.25">
      <c r="T25611" s="135"/>
      <c r="U25611" s="135"/>
    </row>
    <row r="25612" spans="20:21" ht="15" customHeight="1" x14ac:dyDescent="0.25">
      <c r="T25612" s="135"/>
      <c r="U25612" s="135"/>
    </row>
    <row r="25613" spans="20:21" ht="15" customHeight="1" x14ac:dyDescent="0.25">
      <c r="T25613" s="135"/>
      <c r="U25613" s="135"/>
    </row>
    <row r="25614" spans="20:21" ht="15" customHeight="1" x14ac:dyDescent="0.25">
      <c r="T25614" s="135"/>
      <c r="U25614" s="135"/>
    </row>
    <row r="25615" spans="20:21" ht="15" customHeight="1" x14ac:dyDescent="0.25">
      <c r="T25615" s="135"/>
      <c r="U25615" s="135"/>
    </row>
    <row r="25616" spans="20:21" ht="15" customHeight="1" x14ac:dyDescent="0.25">
      <c r="T25616" s="135"/>
      <c r="U25616" s="135"/>
    </row>
    <row r="25617" spans="20:21" ht="15" customHeight="1" x14ac:dyDescent="0.25">
      <c r="T25617" s="135"/>
      <c r="U25617" s="135"/>
    </row>
    <row r="25618" spans="20:21" ht="15" customHeight="1" x14ac:dyDescent="0.25">
      <c r="T25618" s="135"/>
      <c r="U25618" s="135"/>
    </row>
    <row r="25619" spans="20:21" ht="15" customHeight="1" x14ac:dyDescent="0.25">
      <c r="T25619" s="135"/>
      <c r="U25619" s="135"/>
    </row>
    <row r="25620" spans="20:21" ht="15" customHeight="1" x14ac:dyDescent="0.25">
      <c r="T25620" s="135"/>
      <c r="U25620" s="135"/>
    </row>
    <row r="25621" spans="20:21" ht="15" customHeight="1" x14ac:dyDescent="0.25">
      <c r="T25621" s="135"/>
      <c r="U25621" s="135"/>
    </row>
    <row r="25622" spans="20:21" ht="15" customHeight="1" x14ac:dyDescent="0.25">
      <c r="T25622" s="135"/>
      <c r="U25622" s="135"/>
    </row>
    <row r="25623" spans="20:21" ht="15" customHeight="1" x14ac:dyDescent="0.25">
      <c r="T25623" s="135"/>
      <c r="U25623" s="135"/>
    </row>
    <row r="25624" spans="20:21" ht="15" customHeight="1" x14ac:dyDescent="0.25">
      <c r="T25624" s="135"/>
      <c r="U25624" s="135"/>
    </row>
    <row r="25625" spans="20:21" ht="15" customHeight="1" x14ac:dyDescent="0.25">
      <c r="T25625" s="135"/>
      <c r="U25625" s="135"/>
    </row>
    <row r="25626" spans="20:21" ht="15" customHeight="1" x14ac:dyDescent="0.25">
      <c r="T25626" s="135"/>
      <c r="U25626" s="135"/>
    </row>
    <row r="25627" spans="20:21" ht="15" customHeight="1" x14ac:dyDescent="0.25">
      <c r="T25627" s="135"/>
      <c r="U25627" s="135"/>
    </row>
    <row r="25628" spans="20:21" ht="15" customHeight="1" x14ac:dyDescent="0.25">
      <c r="T25628" s="135"/>
      <c r="U25628" s="135"/>
    </row>
    <row r="25629" spans="20:21" ht="15" customHeight="1" x14ac:dyDescent="0.25">
      <c r="T25629" s="135"/>
      <c r="U25629" s="135"/>
    </row>
    <row r="25630" spans="20:21" ht="15" customHeight="1" x14ac:dyDescent="0.25">
      <c r="T25630" s="135"/>
      <c r="U25630" s="135"/>
    </row>
    <row r="25631" spans="20:21" ht="15" customHeight="1" x14ac:dyDescent="0.25">
      <c r="T25631" s="135"/>
      <c r="U25631" s="135"/>
    </row>
    <row r="25632" spans="20:21" ht="15" customHeight="1" x14ac:dyDescent="0.25">
      <c r="T25632" s="135"/>
      <c r="U25632" s="135"/>
    </row>
    <row r="25633" spans="20:21" ht="15" customHeight="1" x14ac:dyDescent="0.25">
      <c r="T25633" s="135"/>
      <c r="U25633" s="135"/>
    </row>
    <row r="25634" spans="20:21" ht="15" customHeight="1" x14ac:dyDescent="0.25">
      <c r="T25634" s="135"/>
      <c r="U25634" s="135"/>
    </row>
    <row r="25635" spans="20:21" ht="15" customHeight="1" x14ac:dyDescent="0.25">
      <c r="T25635" s="135"/>
      <c r="U25635" s="135"/>
    </row>
    <row r="25636" spans="20:21" ht="15" customHeight="1" x14ac:dyDescent="0.25">
      <c r="T25636" s="135"/>
      <c r="U25636" s="135"/>
    </row>
    <row r="25637" spans="20:21" ht="15" customHeight="1" x14ac:dyDescent="0.25">
      <c r="T25637" s="135"/>
      <c r="U25637" s="135"/>
    </row>
    <row r="25638" spans="20:21" ht="15" customHeight="1" x14ac:dyDescent="0.25">
      <c r="T25638" s="135"/>
      <c r="U25638" s="135"/>
    </row>
    <row r="25639" spans="20:21" ht="15" customHeight="1" x14ac:dyDescent="0.25">
      <c r="T25639" s="135"/>
      <c r="U25639" s="135"/>
    </row>
    <row r="25640" spans="20:21" ht="15" customHeight="1" x14ac:dyDescent="0.25">
      <c r="T25640" s="135"/>
      <c r="U25640" s="135"/>
    </row>
    <row r="25641" spans="20:21" ht="15" customHeight="1" x14ac:dyDescent="0.25">
      <c r="T25641" s="135"/>
      <c r="U25641" s="135"/>
    </row>
    <row r="25642" spans="20:21" ht="15" customHeight="1" x14ac:dyDescent="0.25">
      <c r="T25642" s="135"/>
      <c r="U25642" s="135"/>
    </row>
    <row r="25643" spans="20:21" ht="15" customHeight="1" x14ac:dyDescent="0.25">
      <c r="T25643" s="135"/>
      <c r="U25643" s="135"/>
    </row>
    <row r="25644" spans="20:21" ht="15" customHeight="1" x14ac:dyDescent="0.25">
      <c r="T25644" s="135"/>
      <c r="U25644" s="135"/>
    </row>
    <row r="25645" spans="20:21" ht="15" customHeight="1" x14ac:dyDescent="0.25">
      <c r="T25645" s="135"/>
      <c r="U25645" s="135"/>
    </row>
    <row r="25646" spans="20:21" ht="15" customHeight="1" x14ac:dyDescent="0.25">
      <c r="T25646" s="135"/>
      <c r="U25646" s="135"/>
    </row>
    <row r="25647" spans="20:21" ht="15" customHeight="1" x14ac:dyDescent="0.25">
      <c r="T25647" s="135"/>
      <c r="U25647" s="135"/>
    </row>
    <row r="25648" spans="20:21" ht="15" customHeight="1" x14ac:dyDescent="0.25">
      <c r="T25648" s="135"/>
      <c r="U25648" s="135"/>
    </row>
    <row r="25649" spans="20:21" ht="15" customHeight="1" x14ac:dyDescent="0.25">
      <c r="T25649" s="135"/>
      <c r="U25649" s="135"/>
    </row>
    <row r="25650" spans="20:21" ht="15" customHeight="1" x14ac:dyDescent="0.25">
      <c r="T25650" s="135"/>
      <c r="U25650" s="135"/>
    </row>
    <row r="25651" spans="20:21" ht="15" customHeight="1" x14ac:dyDescent="0.25">
      <c r="T25651" s="135"/>
      <c r="U25651" s="135"/>
    </row>
    <row r="25652" spans="20:21" ht="15" customHeight="1" x14ac:dyDescent="0.25">
      <c r="T25652" s="135"/>
      <c r="U25652" s="135"/>
    </row>
    <row r="25653" spans="20:21" ht="15" customHeight="1" x14ac:dyDescent="0.25">
      <c r="T25653" s="135"/>
      <c r="U25653" s="135"/>
    </row>
    <row r="25654" spans="20:21" ht="15" customHeight="1" x14ac:dyDescent="0.25">
      <c r="T25654" s="135"/>
      <c r="U25654" s="135"/>
    </row>
    <row r="25655" spans="20:21" ht="15" customHeight="1" x14ac:dyDescent="0.25">
      <c r="T25655" s="135"/>
      <c r="U25655" s="135"/>
    </row>
    <row r="25656" spans="20:21" ht="15" customHeight="1" x14ac:dyDescent="0.25">
      <c r="T25656" s="135"/>
      <c r="U25656" s="135"/>
    </row>
    <row r="25657" spans="20:21" ht="15" customHeight="1" x14ac:dyDescent="0.25">
      <c r="T25657" s="135"/>
      <c r="U25657" s="135"/>
    </row>
    <row r="25658" spans="20:21" ht="15" customHeight="1" x14ac:dyDescent="0.25">
      <c r="T25658" s="135"/>
      <c r="U25658" s="135"/>
    </row>
    <row r="25659" spans="20:21" ht="15" customHeight="1" x14ac:dyDescent="0.25">
      <c r="T25659" s="135"/>
      <c r="U25659" s="135"/>
    </row>
    <row r="25660" spans="20:21" ht="15" customHeight="1" x14ac:dyDescent="0.25">
      <c r="T25660" s="135"/>
      <c r="U25660" s="135"/>
    </row>
    <row r="25661" spans="20:21" ht="15" customHeight="1" x14ac:dyDescent="0.25">
      <c r="T25661" s="135"/>
      <c r="U25661" s="135"/>
    </row>
    <row r="25662" spans="20:21" ht="15" customHeight="1" x14ac:dyDescent="0.25">
      <c r="T25662" s="135"/>
      <c r="U25662" s="135"/>
    </row>
    <row r="25663" spans="20:21" ht="15" customHeight="1" x14ac:dyDescent="0.25">
      <c r="T25663" s="135"/>
      <c r="U25663" s="135"/>
    </row>
    <row r="25664" spans="20:21" ht="15" customHeight="1" x14ac:dyDescent="0.25">
      <c r="T25664" s="135"/>
      <c r="U25664" s="135"/>
    </row>
    <row r="25665" spans="20:21" ht="15" customHeight="1" x14ac:dyDescent="0.25">
      <c r="T25665" s="135"/>
      <c r="U25665" s="135"/>
    </row>
    <row r="25666" spans="20:21" ht="15" customHeight="1" x14ac:dyDescent="0.25">
      <c r="T25666" s="135"/>
      <c r="U25666" s="135"/>
    </row>
    <row r="25667" spans="20:21" ht="15" customHeight="1" x14ac:dyDescent="0.25">
      <c r="T25667" s="135"/>
      <c r="U25667" s="135"/>
    </row>
    <row r="25668" spans="20:21" ht="15" customHeight="1" x14ac:dyDescent="0.25">
      <c r="T25668" s="135"/>
      <c r="U25668" s="135"/>
    </row>
    <row r="25669" spans="20:21" ht="15" customHeight="1" x14ac:dyDescent="0.25">
      <c r="T25669" s="135"/>
      <c r="U25669" s="135"/>
    </row>
    <row r="25670" spans="20:21" ht="15" customHeight="1" x14ac:dyDescent="0.25">
      <c r="T25670" s="135"/>
      <c r="U25670" s="135"/>
    </row>
    <row r="25671" spans="20:21" ht="15" customHeight="1" x14ac:dyDescent="0.25">
      <c r="T25671" s="135"/>
      <c r="U25671" s="135"/>
    </row>
    <row r="25672" spans="20:21" ht="15" customHeight="1" x14ac:dyDescent="0.25">
      <c r="T25672" s="135"/>
      <c r="U25672" s="135"/>
    </row>
    <row r="25673" spans="20:21" ht="15" customHeight="1" x14ac:dyDescent="0.25">
      <c r="T25673" s="135"/>
      <c r="U25673" s="135"/>
    </row>
    <row r="25674" spans="20:21" ht="15" customHeight="1" x14ac:dyDescent="0.25">
      <c r="T25674" s="135"/>
      <c r="U25674" s="135"/>
    </row>
    <row r="25675" spans="20:21" ht="15" customHeight="1" x14ac:dyDescent="0.25">
      <c r="T25675" s="135"/>
      <c r="U25675" s="135"/>
    </row>
    <row r="25676" spans="20:21" ht="15" customHeight="1" x14ac:dyDescent="0.25">
      <c r="T25676" s="135"/>
      <c r="U25676" s="135"/>
    </row>
    <row r="25677" spans="20:21" ht="15" customHeight="1" x14ac:dyDescent="0.25">
      <c r="T25677" s="135"/>
      <c r="U25677" s="135"/>
    </row>
    <row r="25678" spans="20:21" ht="15" customHeight="1" x14ac:dyDescent="0.25">
      <c r="T25678" s="135"/>
      <c r="U25678" s="135"/>
    </row>
    <row r="25679" spans="20:21" ht="15" customHeight="1" x14ac:dyDescent="0.25">
      <c r="T25679" s="135"/>
      <c r="U25679" s="135"/>
    </row>
    <row r="25680" spans="20:21" ht="15" customHeight="1" x14ac:dyDescent="0.25">
      <c r="T25680" s="135"/>
      <c r="U25680" s="135"/>
    </row>
    <row r="25681" spans="20:21" ht="15" customHeight="1" x14ac:dyDescent="0.25">
      <c r="T25681" s="135"/>
      <c r="U25681" s="135"/>
    </row>
    <row r="25682" spans="20:21" ht="15" customHeight="1" x14ac:dyDescent="0.25">
      <c r="T25682" s="135"/>
      <c r="U25682" s="135"/>
    </row>
    <row r="25683" spans="20:21" ht="15" customHeight="1" x14ac:dyDescent="0.25">
      <c r="T25683" s="135"/>
      <c r="U25683" s="135"/>
    </row>
    <row r="25684" spans="20:21" ht="15" customHeight="1" x14ac:dyDescent="0.25">
      <c r="T25684" s="135"/>
      <c r="U25684" s="135"/>
    </row>
    <row r="25685" spans="20:21" ht="15" customHeight="1" x14ac:dyDescent="0.25">
      <c r="T25685" s="135"/>
      <c r="U25685" s="135"/>
    </row>
    <row r="25686" spans="20:21" ht="15" customHeight="1" x14ac:dyDescent="0.25">
      <c r="T25686" s="135"/>
      <c r="U25686" s="135"/>
    </row>
    <row r="25687" spans="20:21" ht="15" customHeight="1" x14ac:dyDescent="0.25">
      <c r="T25687" s="135"/>
      <c r="U25687" s="135"/>
    </row>
    <row r="25688" spans="20:21" ht="15" customHeight="1" x14ac:dyDescent="0.25">
      <c r="T25688" s="135"/>
      <c r="U25688" s="135"/>
    </row>
    <row r="25689" spans="20:21" ht="15" customHeight="1" x14ac:dyDescent="0.25">
      <c r="T25689" s="135"/>
      <c r="U25689" s="135"/>
    </row>
    <row r="25690" spans="20:21" ht="15" customHeight="1" x14ac:dyDescent="0.25">
      <c r="T25690" s="135"/>
      <c r="U25690" s="135"/>
    </row>
    <row r="25691" spans="20:21" ht="15" customHeight="1" x14ac:dyDescent="0.25">
      <c r="T25691" s="135"/>
      <c r="U25691" s="135"/>
    </row>
    <row r="25692" spans="20:21" ht="15" customHeight="1" x14ac:dyDescent="0.25">
      <c r="T25692" s="135"/>
      <c r="U25692" s="135"/>
    </row>
    <row r="25693" spans="20:21" ht="15" customHeight="1" x14ac:dyDescent="0.25">
      <c r="T25693" s="135"/>
      <c r="U25693" s="135"/>
    </row>
    <row r="25694" spans="20:21" ht="15" customHeight="1" x14ac:dyDescent="0.25">
      <c r="T25694" s="135"/>
      <c r="U25694" s="135"/>
    </row>
    <row r="25695" spans="20:21" ht="15" customHeight="1" x14ac:dyDescent="0.25">
      <c r="T25695" s="135"/>
      <c r="U25695" s="135"/>
    </row>
    <row r="25696" spans="20:21" ht="15" customHeight="1" x14ac:dyDescent="0.25">
      <c r="T25696" s="135"/>
      <c r="U25696" s="135"/>
    </row>
    <row r="25697" spans="20:21" ht="15" customHeight="1" x14ac:dyDescent="0.25">
      <c r="T25697" s="135"/>
      <c r="U25697" s="135"/>
    </row>
    <row r="25698" spans="20:21" ht="15" customHeight="1" x14ac:dyDescent="0.25">
      <c r="T25698" s="135"/>
      <c r="U25698" s="135"/>
    </row>
    <row r="25699" spans="20:21" ht="15" customHeight="1" x14ac:dyDescent="0.25">
      <c r="T25699" s="135"/>
      <c r="U25699" s="135"/>
    </row>
    <row r="25700" spans="20:21" ht="15" customHeight="1" x14ac:dyDescent="0.25">
      <c r="T25700" s="135"/>
      <c r="U25700" s="135"/>
    </row>
    <row r="25701" spans="20:21" ht="15" customHeight="1" x14ac:dyDescent="0.25">
      <c r="T25701" s="135"/>
      <c r="U25701" s="135"/>
    </row>
    <row r="25702" spans="20:21" ht="15" customHeight="1" x14ac:dyDescent="0.25">
      <c r="T25702" s="135"/>
      <c r="U25702" s="135"/>
    </row>
    <row r="25703" spans="20:21" ht="15" customHeight="1" x14ac:dyDescent="0.25">
      <c r="T25703" s="135"/>
      <c r="U25703" s="135"/>
    </row>
    <row r="25704" spans="20:21" ht="15" customHeight="1" x14ac:dyDescent="0.25">
      <c r="T25704" s="135"/>
      <c r="U25704" s="135"/>
    </row>
    <row r="25705" spans="20:21" ht="15" customHeight="1" x14ac:dyDescent="0.25">
      <c r="T25705" s="135"/>
      <c r="U25705" s="135"/>
    </row>
    <row r="25706" spans="20:21" ht="15" customHeight="1" x14ac:dyDescent="0.25">
      <c r="T25706" s="135"/>
      <c r="U25706" s="135"/>
    </row>
    <row r="25707" spans="20:21" ht="15" customHeight="1" x14ac:dyDescent="0.25">
      <c r="T25707" s="135"/>
      <c r="U25707" s="135"/>
    </row>
    <row r="25708" spans="20:21" ht="15" customHeight="1" x14ac:dyDescent="0.25">
      <c r="T25708" s="135"/>
      <c r="U25708" s="135"/>
    </row>
    <row r="25709" spans="20:21" ht="15" customHeight="1" x14ac:dyDescent="0.25">
      <c r="T25709" s="135"/>
      <c r="U25709" s="135"/>
    </row>
    <row r="25710" spans="20:21" ht="15" customHeight="1" x14ac:dyDescent="0.25">
      <c r="T25710" s="135"/>
      <c r="U25710" s="135"/>
    </row>
    <row r="25711" spans="20:21" ht="15" customHeight="1" x14ac:dyDescent="0.25">
      <c r="T25711" s="135"/>
      <c r="U25711" s="135"/>
    </row>
    <row r="25712" spans="20:21" ht="15" customHeight="1" x14ac:dyDescent="0.25">
      <c r="T25712" s="135"/>
      <c r="U25712" s="135"/>
    </row>
    <row r="25713" spans="20:21" ht="15" customHeight="1" x14ac:dyDescent="0.25">
      <c r="T25713" s="135"/>
      <c r="U25713" s="135"/>
    </row>
    <row r="25714" spans="20:21" ht="15" customHeight="1" x14ac:dyDescent="0.25">
      <c r="T25714" s="135"/>
      <c r="U25714" s="135"/>
    </row>
    <row r="25715" spans="20:21" ht="15" customHeight="1" x14ac:dyDescent="0.25">
      <c r="T25715" s="135"/>
      <c r="U25715" s="135"/>
    </row>
    <row r="25716" spans="20:21" ht="15" customHeight="1" x14ac:dyDescent="0.25">
      <c r="T25716" s="135"/>
      <c r="U25716" s="135"/>
    </row>
    <row r="25717" spans="20:21" ht="15" customHeight="1" x14ac:dyDescent="0.25">
      <c r="T25717" s="135"/>
      <c r="U25717" s="135"/>
    </row>
    <row r="25718" spans="20:21" ht="15" customHeight="1" x14ac:dyDescent="0.25">
      <c r="T25718" s="135"/>
      <c r="U25718" s="135"/>
    </row>
    <row r="25719" spans="20:21" ht="15" customHeight="1" x14ac:dyDescent="0.25">
      <c r="T25719" s="135"/>
      <c r="U25719" s="135"/>
    </row>
    <row r="25720" spans="20:21" ht="15" customHeight="1" x14ac:dyDescent="0.25">
      <c r="T25720" s="135"/>
      <c r="U25720" s="135"/>
    </row>
    <row r="25721" spans="20:21" ht="15" customHeight="1" x14ac:dyDescent="0.25">
      <c r="T25721" s="135"/>
      <c r="U25721" s="135"/>
    </row>
    <row r="25722" spans="20:21" ht="15" customHeight="1" x14ac:dyDescent="0.25">
      <c r="T25722" s="135"/>
      <c r="U25722" s="135"/>
    </row>
    <row r="25723" spans="20:21" ht="15" customHeight="1" x14ac:dyDescent="0.25">
      <c r="T25723" s="135"/>
      <c r="U25723" s="135"/>
    </row>
    <row r="25724" spans="20:21" ht="15" customHeight="1" x14ac:dyDescent="0.25">
      <c r="T25724" s="135"/>
      <c r="U25724" s="135"/>
    </row>
    <row r="25725" spans="20:21" ht="15" customHeight="1" x14ac:dyDescent="0.25">
      <c r="T25725" s="135"/>
      <c r="U25725" s="135"/>
    </row>
    <row r="25726" spans="20:21" ht="15" customHeight="1" x14ac:dyDescent="0.25">
      <c r="T25726" s="135"/>
      <c r="U25726" s="135"/>
    </row>
    <row r="25727" spans="20:21" ht="15" customHeight="1" x14ac:dyDescent="0.25">
      <c r="T25727" s="135"/>
      <c r="U25727" s="135"/>
    </row>
    <row r="25728" spans="20:21" ht="15" customHeight="1" x14ac:dyDescent="0.25">
      <c r="T25728" s="135"/>
      <c r="U25728" s="135"/>
    </row>
    <row r="25729" spans="20:21" ht="15" customHeight="1" x14ac:dyDescent="0.25">
      <c r="T25729" s="135"/>
      <c r="U25729" s="135"/>
    </row>
    <row r="25730" spans="20:21" ht="15" customHeight="1" x14ac:dyDescent="0.25">
      <c r="T25730" s="135"/>
      <c r="U25730" s="135"/>
    </row>
    <row r="25731" spans="20:21" ht="15" customHeight="1" x14ac:dyDescent="0.25">
      <c r="T25731" s="135"/>
      <c r="U25731" s="135"/>
    </row>
    <row r="25732" spans="20:21" ht="15" customHeight="1" x14ac:dyDescent="0.25">
      <c r="T25732" s="135"/>
      <c r="U25732" s="135"/>
    </row>
    <row r="25733" spans="20:21" ht="15" customHeight="1" x14ac:dyDescent="0.25">
      <c r="T25733" s="135"/>
      <c r="U25733" s="135"/>
    </row>
    <row r="25734" spans="20:21" ht="15" customHeight="1" x14ac:dyDescent="0.25">
      <c r="T25734" s="135"/>
      <c r="U25734" s="135"/>
    </row>
    <row r="25735" spans="20:21" ht="15" customHeight="1" x14ac:dyDescent="0.25">
      <c r="T25735" s="135"/>
      <c r="U25735" s="135"/>
    </row>
    <row r="25736" spans="20:21" ht="15" customHeight="1" x14ac:dyDescent="0.25">
      <c r="T25736" s="135"/>
      <c r="U25736" s="135"/>
    </row>
    <row r="25737" spans="20:21" ht="15" customHeight="1" x14ac:dyDescent="0.25">
      <c r="T25737" s="135"/>
      <c r="U25737" s="135"/>
    </row>
    <row r="25738" spans="20:21" ht="15" customHeight="1" x14ac:dyDescent="0.25">
      <c r="T25738" s="135"/>
      <c r="U25738" s="135"/>
    </row>
    <row r="25739" spans="20:21" ht="15" customHeight="1" x14ac:dyDescent="0.25">
      <c r="T25739" s="135"/>
      <c r="U25739" s="135"/>
    </row>
    <row r="25740" spans="20:21" ht="15" customHeight="1" x14ac:dyDescent="0.25">
      <c r="T25740" s="135"/>
      <c r="U25740" s="135"/>
    </row>
    <row r="25741" spans="20:21" ht="15" customHeight="1" x14ac:dyDescent="0.25">
      <c r="T25741" s="135"/>
      <c r="U25741" s="135"/>
    </row>
    <row r="25742" spans="20:21" ht="15" customHeight="1" x14ac:dyDescent="0.25">
      <c r="T25742" s="135"/>
      <c r="U25742" s="135"/>
    </row>
    <row r="25743" spans="20:21" ht="15" customHeight="1" x14ac:dyDescent="0.25">
      <c r="T25743" s="135"/>
      <c r="U25743" s="135"/>
    </row>
    <row r="25744" spans="20:21" ht="15" customHeight="1" x14ac:dyDescent="0.25">
      <c r="T25744" s="135"/>
      <c r="U25744" s="135"/>
    </row>
    <row r="25745" spans="20:21" ht="15" customHeight="1" x14ac:dyDescent="0.25">
      <c r="T25745" s="135"/>
      <c r="U25745" s="135"/>
    </row>
    <row r="25746" spans="20:21" ht="15" customHeight="1" x14ac:dyDescent="0.25">
      <c r="T25746" s="135"/>
      <c r="U25746" s="135"/>
    </row>
    <row r="25747" spans="20:21" ht="15" customHeight="1" x14ac:dyDescent="0.25">
      <c r="T25747" s="135"/>
      <c r="U25747" s="135"/>
    </row>
    <row r="25748" spans="20:21" ht="15" customHeight="1" x14ac:dyDescent="0.25">
      <c r="T25748" s="135"/>
      <c r="U25748" s="135"/>
    </row>
    <row r="25749" spans="20:21" ht="15" customHeight="1" x14ac:dyDescent="0.25">
      <c r="T25749" s="135"/>
      <c r="U25749" s="135"/>
    </row>
    <row r="25750" spans="20:21" ht="15" customHeight="1" x14ac:dyDescent="0.25">
      <c r="T25750" s="135"/>
      <c r="U25750" s="135"/>
    </row>
    <row r="25751" spans="20:21" ht="15" customHeight="1" x14ac:dyDescent="0.25">
      <c r="T25751" s="135"/>
      <c r="U25751" s="135"/>
    </row>
    <row r="25752" spans="20:21" ht="15" customHeight="1" x14ac:dyDescent="0.25">
      <c r="T25752" s="135"/>
      <c r="U25752" s="135"/>
    </row>
    <row r="25753" spans="20:21" ht="15" customHeight="1" x14ac:dyDescent="0.25">
      <c r="T25753" s="135"/>
      <c r="U25753" s="135"/>
    </row>
    <row r="25754" spans="20:21" ht="15" customHeight="1" x14ac:dyDescent="0.25">
      <c r="T25754" s="135"/>
      <c r="U25754" s="135"/>
    </row>
    <row r="25755" spans="20:21" ht="15" customHeight="1" x14ac:dyDescent="0.25">
      <c r="T25755" s="135"/>
      <c r="U25755" s="135"/>
    </row>
    <row r="25756" spans="20:21" ht="15" customHeight="1" x14ac:dyDescent="0.25">
      <c r="T25756" s="135"/>
      <c r="U25756" s="135"/>
    </row>
    <row r="25757" spans="20:21" ht="15" customHeight="1" x14ac:dyDescent="0.25">
      <c r="T25757" s="135"/>
      <c r="U25757" s="135"/>
    </row>
    <row r="25758" spans="20:21" ht="15" customHeight="1" x14ac:dyDescent="0.25">
      <c r="T25758" s="135"/>
      <c r="U25758" s="135"/>
    </row>
    <row r="25759" spans="20:21" ht="15" customHeight="1" x14ac:dyDescent="0.25">
      <c r="T25759" s="135"/>
      <c r="U25759" s="135"/>
    </row>
    <row r="25760" spans="20:21" ht="15" customHeight="1" x14ac:dyDescent="0.25">
      <c r="T25760" s="135"/>
      <c r="U25760" s="135"/>
    </row>
    <row r="25761" spans="20:21" ht="15" customHeight="1" x14ac:dyDescent="0.25">
      <c r="T25761" s="135"/>
      <c r="U25761" s="135"/>
    </row>
    <row r="25762" spans="20:21" ht="15" customHeight="1" x14ac:dyDescent="0.25">
      <c r="T25762" s="135"/>
      <c r="U25762" s="135"/>
    </row>
    <row r="25763" spans="20:21" ht="15" customHeight="1" x14ac:dyDescent="0.25">
      <c r="T25763" s="135"/>
      <c r="U25763" s="135"/>
    </row>
    <row r="25764" spans="20:21" ht="15" customHeight="1" x14ac:dyDescent="0.25">
      <c r="T25764" s="135"/>
      <c r="U25764" s="135"/>
    </row>
    <row r="25765" spans="20:21" ht="15" customHeight="1" x14ac:dyDescent="0.25">
      <c r="T25765" s="135"/>
      <c r="U25765" s="135"/>
    </row>
    <row r="25766" spans="20:21" ht="15" customHeight="1" x14ac:dyDescent="0.25">
      <c r="T25766" s="135"/>
      <c r="U25766" s="135"/>
    </row>
    <row r="25767" spans="20:21" ht="15" customHeight="1" x14ac:dyDescent="0.25">
      <c r="T25767" s="135"/>
      <c r="U25767" s="135"/>
    </row>
    <row r="25768" spans="20:21" ht="15" customHeight="1" x14ac:dyDescent="0.25">
      <c r="T25768" s="135"/>
      <c r="U25768" s="135"/>
    </row>
    <row r="25769" spans="20:21" ht="15" customHeight="1" x14ac:dyDescent="0.25">
      <c r="T25769" s="135"/>
      <c r="U25769" s="135"/>
    </row>
    <row r="25770" spans="20:21" ht="15" customHeight="1" x14ac:dyDescent="0.25">
      <c r="T25770" s="135"/>
      <c r="U25770" s="135"/>
    </row>
    <row r="25771" spans="20:21" ht="15" customHeight="1" x14ac:dyDescent="0.25">
      <c r="T25771" s="135"/>
      <c r="U25771" s="135"/>
    </row>
    <row r="25772" spans="20:21" ht="15" customHeight="1" x14ac:dyDescent="0.25">
      <c r="T25772" s="135"/>
      <c r="U25772" s="135"/>
    </row>
    <row r="25773" spans="20:21" ht="15" customHeight="1" x14ac:dyDescent="0.25">
      <c r="T25773" s="135"/>
      <c r="U25773" s="135"/>
    </row>
    <row r="25774" spans="20:21" ht="15" customHeight="1" x14ac:dyDescent="0.25">
      <c r="T25774" s="135"/>
      <c r="U25774" s="135"/>
    </row>
    <row r="25775" spans="20:21" ht="15" customHeight="1" x14ac:dyDescent="0.25">
      <c r="T25775" s="135"/>
      <c r="U25775" s="135"/>
    </row>
    <row r="25776" spans="20:21" ht="15" customHeight="1" x14ac:dyDescent="0.25">
      <c r="T25776" s="135"/>
      <c r="U25776" s="135"/>
    </row>
    <row r="25777" spans="20:21" ht="15" customHeight="1" x14ac:dyDescent="0.25">
      <c r="T25777" s="135"/>
      <c r="U25777" s="135"/>
    </row>
    <row r="25778" spans="20:21" ht="15" customHeight="1" x14ac:dyDescent="0.25">
      <c r="T25778" s="135"/>
      <c r="U25778" s="135"/>
    </row>
    <row r="25779" spans="20:21" ht="15" customHeight="1" x14ac:dyDescent="0.25">
      <c r="T25779" s="135"/>
      <c r="U25779" s="135"/>
    </row>
    <row r="25780" spans="20:21" ht="15" customHeight="1" x14ac:dyDescent="0.25">
      <c r="T25780" s="135"/>
      <c r="U25780" s="135"/>
    </row>
    <row r="25781" spans="20:21" ht="15" customHeight="1" x14ac:dyDescent="0.25">
      <c r="T25781" s="135"/>
      <c r="U25781" s="135"/>
    </row>
    <row r="25782" spans="20:21" ht="15" customHeight="1" x14ac:dyDescent="0.25">
      <c r="T25782" s="135"/>
      <c r="U25782" s="135"/>
    </row>
    <row r="25783" spans="20:21" ht="15" customHeight="1" x14ac:dyDescent="0.25">
      <c r="T25783" s="135"/>
      <c r="U25783" s="135"/>
    </row>
    <row r="25784" spans="20:21" ht="15" customHeight="1" x14ac:dyDescent="0.25">
      <c r="T25784" s="135"/>
      <c r="U25784" s="135"/>
    </row>
    <row r="25785" spans="20:21" ht="15" customHeight="1" x14ac:dyDescent="0.25">
      <c r="T25785" s="135"/>
      <c r="U25785" s="135"/>
    </row>
    <row r="25786" spans="20:21" ht="15" customHeight="1" x14ac:dyDescent="0.25">
      <c r="T25786" s="135"/>
      <c r="U25786" s="135"/>
    </row>
    <row r="25787" spans="20:21" ht="15" customHeight="1" x14ac:dyDescent="0.25">
      <c r="T25787" s="135"/>
      <c r="U25787" s="135"/>
    </row>
    <row r="25788" spans="20:21" ht="15" customHeight="1" x14ac:dyDescent="0.25">
      <c r="T25788" s="135"/>
      <c r="U25788" s="135"/>
    </row>
    <row r="25789" spans="20:21" ht="15" customHeight="1" x14ac:dyDescent="0.25">
      <c r="T25789" s="135"/>
      <c r="U25789" s="135"/>
    </row>
    <row r="25790" spans="20:21" ht="15" customHeight="1" x14ac:dyDescent="0.25">
      <c r="T25790" s="135"/>
      <c r="U25790" s="135"/>
    </row>
    <row r="25791" spans="20:21" ht="15" customHeight="1" x14ac:dyDescent="0.25">
      <c r="T25791" s="135"/>
      <c r="U25791" s="135"/>
    </row>
    <row r="25792" spans="20:21" ht="15" customHeight="1" x14ac:dyDescent="0.25">
      <c r="T25792" s="135"/>
      <c r="U25792" s="135"/>
    </row>
    <row r="25793" spans="20:21" ht="15" customHeight="1" x14ac:dyDescent="0.25">
      <c r="T25793" s="135"/>
      <c r="U25793" s="135"/>
    </row>
    <row r="25794" spans="20:21" ht="15" customHeight="1" x14ac:dyDescent="0.25">
      <c r="T25794" s="135"/>
      <c r="U25794" s="135"/>
    </row>
    <row r="25795" spans="20:21" ht="15" customHeight="1" x14ac:dyDescent="0.25">
      <c r="T25795" s="135"/>
      <c r="U25795" s="135"/>
    </row>
    <row r="25796" spans="20:21" ht="15" customHeight="1" x14ac:dyDescent="0.25">
      <c r="T25796" s="135"/>
      <c r="U25796" s="135"/>
    </row>
    <row r="25797" spans="20:21" ht="15" customHeight="1" x14ac:dyDescent="0.25">
      <c r="T25797" s="135"/>
      <c r="U25797" s="135"/>
    </row>
    <row r="25798" spans="20:21" ht="15" customHeight="1" x14ac:dyDescent="0.25">
      <c r="T25798" s="135"/>
      <c r="U25798" s="135"/>
    </row>
    <row r="25799" spans="20:21" ht="15" customHeight="1" x14ac:dyDescent="0.25">
      <c r="T25799" s="135"/>
      <c r="U25799" s="135"/>
    </row>
    <row r="25800" spans="20:21" ht="15" customHeight="1" x14ac:dyDescent="0.25">
      <c r="T25800" s="135"/>
      <c r="U25800" s="135"/>
    </row>
    <row r="25801" spans="20:21" ht="15" customHeight="1" x14ac:dyDescent="0.25">
      <c r="T25801" s="135"/>
      <c r="U25801" s="135"/>
    </row>
    <row r="25802" spans="20:21" ht="15" customHeight="1" x14ac:dyDescent="0.25">
      <c r="T25802" s="135"/>
      <c r="U25802" s="135"/>
    </row>
    <row r="25803" spans="20:21" ht="15" customHeight="1" x14ac:dyDescent="0.25">
      <c r="T25803" s="135"/>
      <c r="U25803" s="135"/>
    </row>
    <row r="25804" spans="20:21" ht="15" customHeight="1" x14ac:dyDescent="0.25">
      <c r="T25804" s="135"/>
      <c r="U25804" s="135"/>
    </row>
    <row r="25805" spans="20:21" ht="15" customHeight="1" x14ac:dyDescent="0.25">
      <c r="T25805" s="135"/>
      <c r="U25805" s="135"/>
    </row>
    <row r="25806" spans="20:21" ht="15" customHeight="1" x14ac:dyDescent="0.25">
      <c r="T25806" s="135"/>
      <c r="U25806" s="135"/>
    </row>
    <row r="25807" spans="20:21" ht="15" customHeight="1" x14ac:dyDescent="0.25">
      <c r="T25807" s="135"/>
      <c r="U25807" s="135"/>
    </row>
    <row r="25808" spans="20:21" ht="15" customHeight="1" x14ac:dyDescent="0.25">
      <c r="T25808" s="135"/>
      <c r="U25808" s="135"/>
    </row>
    <row r="25809" spans="20:21" ht="15" customHeight="1" x14ac:dyDescent="0.25">
      <c r="T25809" s="135"/>
      <c r="U25809" s="135"/>
    </row>
    <row r="25810" spans="20:21" ht="15" customHeight="1" x14ac:dyDescent="0.25">
      <c r="T25810" s="135"/>
      <c r="U25810" s="135"/>
    </row>
    <row r="25811" spans="20:21" ht="15" customHeight="1" x14ac:dyDescent="0.25">
      <c r="T25811" s="135"/>
      <c r="U25811" s="135"/>
    </row>
    <row r="25812" spans="20:21" ht="15" customHeight="1" x14ac:dyDescent="0.25">
      <c r="T25812" s="135"/>
      <c r="U25812" s="135"/>
    </row>
    <row r="25813" spans="20:21" ht="15" customHeight="1" x14ac:dyDescent="0.25">
      <c r="T25813" s="135"/>
      <c r="U25813" s="135"/>
    </row>
    <row r="25814" spans="20:21" ht="15" customHeight="1" x14ac:dyDescent="0.25">
      <c r="T25814" s="135"/>
      <c r="U25814" s="135"/>
    </row>
    <row r="25815" spans="20:21" ht="15" customHeight="1" x14ac:dyDescent="0.25">
      <c r="T25815" s="135"/>
      <c r="U25815" s="135"/>
    </row>
    <row r="25816" spans="20:21" ht="15" customHeight="1" x14ac:dyDescent="0.25">
      <c r="T25816" s="135"/>
      <c r="U25816" s="135"/>
    </row>
    <row r="25817" spans="20:21" ht="15" customHeight="1" x14ac:dyDescent="0.25">
      <c r="T25817" s="135"/>
      <c r="U25817" s="135"/>
    </row>
    <row r="25818" spans="20:21" ht="15" customHeight="1" x14ac:dyDescent="0.25">
      <c r="T25818" s="135"/>
      <c r="U25818" s="135"/>
    </row>
    <row r="25819" spans="20:21" ht="15" customHeight="1" x14ac:dyDescent="0.25">
      <c r="T25819" s="135"/>
      <c r="U25819" s="135"/>
    </row>
    <row r="25820" spans="20:21" ht="15" customHeight="1" x14ac:dyDescent="0.25">
      <c r="T25820" s="135"/>
      <c r="U25820" s="135"/>
    </row>
    <row r="25821" spans="20:21" ht="15" customHeight="1" x14ac:dyDescent="0.25">
      <c r="T25821" s="135"/>
      <c r="U25821" s="135"/>
    </row>
    <row r="25822" spans="20:21" ht="15" customHeight="1" x14ac:dyDescent="0.25">
      <c r="T25822" s="135"/>
      <c r="U25822" s="135"/>
    </row>
    <row r="25823" spans="20:21" ht="15" customHeight="1" x14ac:dyDescent="0.25">
      <c r="T25823" s="135"/>
      <c r="U25823" s="135"/>
    </row>
    <row r="25824" spans="20:21" ht="15" customHeight="1" x14ac:dyDescent="0.25">
      <c r="T25824" s="135"/>
      <c r="U25824" s="135"/>
    </row>
    <row r="25825" spans="20:21" ht="15" customHeight="1" x14ac:dyDescent="0.25">
      <c r="T25825" s="135"/>
      <c r="U25825" s="135"/>
    </row>
    <row r="25826" spans="20:21" ht="15" customHeight="1" x14ac:dyDescent="0.25">
      <c r="T25826" s="135"/>
      <c r="U25826" s="135"/>
    </row>
    <row r="25827" spans="20:21" ht="15" customHeight="1" x14ac:dyDescent="0.25">
      <c r="T25827" s="135"/>
      <c r="U25827" s="135"/>
    </row>
    <row r="25828" spans="20:21" ht="15" customHeight="1" x14ac:dyDescent="0.25">
      <c r="T25828" s="135"/>
      <c r="U25828" s="135"/>
    </row>
    <row r="25829" spans="20:21" ht="15" customHeight="1" x14ac:dyDescent="0.25">
      <c r="T25829" s="135"/>
      <c r="U25829" s="135"/>
    </row>
    <row r="25830" spans="20:21" ht="15" customHeight="1" x14ac:dyDescent="0.25">
      <c r="T25830" s="135"/>
      <c r="U25830" s="135"/>
    </row>
    <row r="25831" spans="20:21" ht="15" customHeight="1" x14ac:dyDescent="0.25">
      <c r="T25831" s="135"/>
      <c r="U25831" s="135"/>
    </row>
    <row r="25832" spans="20:21" ht="15" customHeight="1" x14ac:dyDescent="0.25">
      <c r="T25832" s="135"/>
      <c r="U25832" s="135"/>
    </row>
    <row r="25833" spans="20:21" ht="15" customHeight="1" x14ac:dyDescent="0.25">
      <c r="T25833" s="135"/>
      <c r="U25833" s="135"/>
    </row>
    <row r="25834" spans="20:21" ht="15" customHeight="1" x14ac:dyDescent="0.25">
      <c r="T25834" s="135"/>
      <c r="U25834" s="135"/>
    </row>
    <row r="25835" spans="20:21" ht="15" customHeight="1" x14ac:dyDescent="0.25">
      <c r="T25835" s="135"/>
      <c r="U25835" s="135"/>
    </row>
    <row r="25836" spans="20:21" ht="15" customHeight="1" x14ac:dyDescent="0.25">
      <c r="T25836" s="135"/>
      <c r="U25836" s="135"/>
    </row>
    <row r="25837" spans="20:21" ht="15" customHeight="1" x14ac:dyDescent="0.25">
      <c r="T25837" s="135"/>
      <c r="U25837" s="135"/>
    </row>
    <row r="25838" spans="20:21" ht="15" customHeight="1" x14ac:dyDescent="0.25">
      <c r="T25838" s="135"/>
      <c r="U25838" s="135"/>
    </row>
    <row r="25839" spans="20:21" ht="15" customHeight="1" x14ac:dyDescent="0.25">
      <c r="T25839" s="135"/>
      <c r="U25839" s="135"/>
    </row>
    <row r="25840" spans="20:21" ht="15" customHeight="1" x14ac:dyDescent="0.25">
      <c r="T25840" s="135"/>
      <c r="U25840" s="135"/>
    </row>
    <row r="25841" spans="20:21" ht="15" customHeight="1" x14ac:dyDescent="0.25">
      <c r="T25841" s="135"/>
      <c r="U25841" s="135"/>
    </row>
    <row r="25842" spans="20:21" ht="15" customHeight="1" x14ac:dyDescent="0.25">
      <c r="T25842" s="135"/>
      <c r="U25842" s="135"/>
    </row>
    <row r="25843" spans="20:21" ht="15" customHeight="1" x14ac:dyDescent="0.25">
      <c r="T25843" s="135"/>
      <c r="U25843" s="135"/>
    </row>
    <row r="25844" spans="20:21" ht="15" customHeight="1" x14ac:dyDescent="0.25">
      <c r="T25844" s="135"/>
      <c r="U25844" s="135"/>
    </row>
    <row r="25845" spans="20:21" ht="15" customHeight="1" x14ac:dyDescent="0.25">
      <c r="T25845" s="135"/>
      <c r="U25845" s="135"/>
    </row>
    <row r="25846" spans="20:21" ht="15" customHeight="1" x14ac:dyDescent="0.25">
      <c r="T25846" s="135"/>
      <c r="U25846" s="135"/>
    </row>
    <row r="25847" spans="20:21" ht="15" customHeight="1" x14ac:dyDescent="0.25">
      <c r="T25847" s="135"/>
      <c r="U25847" s="135"/>
    </row>
    <row r="25848" spans="20:21" ht="15" customHeight="1" x14ac:dyDescent="0.25">
      <c r="T25848" s="135"/>
      <c r="U25848" s="135"/>
    </row>
    <row r="25849" spans="20:21" ht="15" customHeight="1" x14ac:dyDescent="0.25">
      <c r="T25849" s="135"/>
      <c r="U25849" s="135"/>
    </row>
    <row r="25850" spans="20:21" ht="15" customHeight="1" x14ac:dyDescent="0.25">
      <c r="T25850" s="135"/>
      <c r="U25850" s="135"/>
    </row>
    <row r="25851" spans="20:21" ht="15" customHeight="1" x14ac:dyDescent="0.25">
      <c r="T25851" s="135"/>
      <c r="U25851" s="135"/>
    </row>
    <row r="25852" spans="20:21" ht="15" customHeight="1" x14ac:dyDescent="0.25">
      <c r="T25852" s="135"/>
      <c r="U25852" s="135"/>
    </row>
    <row r="25853" spans="20:21" ht="15" customHeight="1" x14ac:dyDescent="0.25">
      <c r="T25853" s="135"/>
      <c r="U25853" s="135"/>
    </row>
    <row r="25854" spans="20:21" ht="15" customHeight="1" x14ac:dyDescent="0.25">
      <c r="T25854" s="135"/>
      <c r="U25854" s="135"/>
    </row>
    <row r="25855" spans="20:21" ht="15" customHeight="1" x14ac:dyDescent="0.25">
      <c r="T25855" s="135"/>
      <c r="U25855" s="135"/>
    </row>
    <row r="25856" spans="20:21" ht="15" customHeight="1" x14ac:dyDescent="0.25">
      <c r="T25856" s="135"/>
      <c r="U25856" s="135"/>
    </row>
    <row r="25857" spans="20:21" ht="15" customHeight="1" x14ac:dyDescent="0.25">
      <c r="T25857" s="135"/>
      <c r="U25857" s="135"/>
    </row>
    <row r="25858" spans="20:21" ht="15" customHeight="1" x14ac:dyDescent="0.25">
      <c r="T25858" s="135"/>
      <c r="U25858" s="135"/>
    </row>
    <row r="25859" spans="20:21" ht="15" customHeight="1" x14ac:dyDescent="0.25">
      <c r="T25859" s="135"/>
      <c r="U25859" s="135"/>
    </row>
    <row r="25860" spans="20:21" ht="15" customHeight="1" x14ac:dyDescent="0.25">
      <c r="T25860" s="135"/>
      <c r="U25860" s="135"/>
    </row>
    <row r="25861" spans="20:21" ht="15" customHeight="1" x14ac:dyDescent="0.25">
      <c r="T25861" s="135"/>
      <c r="U25861" s="135"/>
    </row>
    <row r="25862" spans="20:21" ht="15" customHeight="1" x14ac:dyDescent="0.25">
      <c r="T25862" s="135"/>
      <c r="U25862" s="135"/>
    </row>
    <row r="25863" spans="20:21" ht="15" customHeight="1" x14ac:dyDescent="0.25">
      <c r="T25863" s="135"/>
      <c r="U25863" s="135"/>
    </row>
    <row r="25864" spans="20:21" ht="15" customHeight="1" x14ac:dyDescent="0.25">
      <c r="T25864" s="135"/>
      <c r="U25864" s="135"/>
    </row>
    <row r="25865" spans="20:21" ht="15" customHeight="1" x14ac:dyDescent="0.25">
      <c r="T25865" s="135"/>
      <c r="U25865" s="135"/>
    </row>
    <row r="25866" spans="20:21" ht="15" customHeight="1" x14ac:dyDescent="0.25">
      <c r="T25866" s="135"/>
      <c r="U25866" s="135"/>
    </row>
    <row r="25867" spans="20:21" ht="15" customHeight="1" x14ac:dyDescent="0.25">
      <c r="T25867" s="135"/>
      <c r="U25867" s="135"/>
    </row>
    <row r="25868" spans="20:21" ht="15" customHeight="1" x14ac:dyDescent="0.25">
      <c r="T25868" s="135"/>
      <c r="U25868" s="135"/>
    </row>
    <row r="25869" spans="20:21" ht="15" customHeight="1" x14ac:dyDescent="0.25">
      <c r="T25869" s="135"/>
      <c r="U25869" s="135"/>
    </row>
    <row r="25870" spans="20:21" ht="15" customHeight="1" x14ac:dyDescent="0.25">
      <c r="T25870" s="135"/>
      <c r="U25870" s="135"/>
    </row>
    <row r="25871" spans="20:21" ht="15" customHeight="1" x14ac:dyDescent="0.25">
      <c r="T25871" s="135"/>
      <c r="U25871" s="135"/>
    </row>
    <row r="25872" spans="20:21" ht="15" customHeight="1" x14ac:dyDescent="0.25">
      <c r="T25872" s="135"/>
      <c r="U25872" s="135"/>
    </row>
    <row r="25873" spans="20:21" ht="15" customHeight="1" x14ac:dyDescent="0.25">
      <c r="T25873" s="135"/>
      <c r="U25873" s="135"/>
    </row>
    <row r="25874" spans="20:21" ht="15" customHeight="1" x14ac:dyDescent="0.25">
      <c r="T25874" s="135"/>
      <c r="U25874" s="135"/>
    </row>
    <row r="25875" spans="20:21" ht="15" customHeight="1" x14ac:dyDescent="0.25">
      <c r="T25875" s="135"/>
      <c r="U25875" s="135"/>
    </row>
    <row r="25876" spans="20:21" ht="15" customHeight="1" x14ac:dyDescent="0.25">
      <c r="T25876" s="135"/>
      <c r="U25876" s="135"/>
    </row>
    <row r="25877" spans="20:21" ht="15" customHeight="1" x14ac:dyDescent="0.25">
      <c r="T25877" s="135"/>
      <c r="U25877" s="135"/>
    </row>
    <row r="25878" spans="20:21" ht="15" customHeight="1" x14ac:dyDescent="0.25">
      <c r="T25878" s="135"/>
      <c r="U25878" s="135"/>
    </row>
    <row r="25879" spans="20:21" ht="15" customHeight="1" x14ac:dyDescent="0.25">
      <c r="T25879" s="135"/>
      <c r="U25879" s="135"/>
    </row>
    <row r="25880" spans="20:21" ht="15" customHeight="1" x14ac:dyDescent="0.25">
      <c r="T25880" s="135"/>
      <c r="U25880" s="135"/>
    </row>
    <row r="25881" spans="20:21" ht="15" customHeight="1" x14ac:dyDescent="0.25">
      <c r="T25881" s="135"/>
      <c r="U25881" s="135"/>
    </row>
    <row r="25882" spans="20:21" ht="15" customHeight="1" x14ac:dyDescent="0.25">
      <c r="T25882" s="135"/>
      <c r="U25882" s="135"/>
    </row>
    <row r="25883" spans="20:21" ht="15" customHeight="1" x14ac:dyDescent="0.25">
      <c r="T25883" s="135"/>
      <c r="U25883" s="135"/>
    </row>
    <row r="25884" spans="20:21" ht="15" customHeight="1" x14ac:dyDescent="0.25">
      <c r="T25884" s="135"/>
      <c r="U25884" s="135"/>
    </row>
    <row r="25885" spans="20:21" ht="15" customHeight="1" x14ac:dyDescent="0.25">
      <c r="T25885" s="135"/>
      <c r="U25885" s="135"/>
    </row>
    <row r="25886" spans="20:21" ht="15" customHeight="1" x14ac:dyDescent="0.25">
      <c r="T25886" s="135"/>
      <c r="U25886" s="135"/>
    </row>
    <row r="25887" spans="20:21" ht="15" customHeight="1" x14ac:dyDescent="0.25">
      <c r="T25887" s="135"/>
      <c r="U25887" s="135"/>
    </row>
    <row r="25888" spans="20:21" ht="15" customHeight="1" x14ac:dyDescent="0.25">
      <c r="T25888" s="135"/>
      <c r="U25888" s="135"/>
    </row>
    <row r="25889" spans="20:21" ht="15" customHeight="1" x14ac:dyDescent="0.25">
      <c r="T25889" s="135"/>
      <c r="U25889" s="135"/>
    </row>
    <row r="25890" spans="20:21" ht="15" customHeight="1" x14ac:dyDescent="0.25">
      <c r="T25890" s="135"/>
      <c r="U25890" s="135"/>
    </row>
    <row r="25891" spans="20:21" ht="15" customHeight="1" x14ac:dyDescent="0.25">
      <c r="T25891" s="135"/>
      <c r="U25891" s="135"/>
    </row>
    <row r="25892" spans="20:21" ht="15" customHeight="1" x14ac:dyDescent="0.25">
      <c r="T25892" s="135"/>
      <c r="U25892" s="135"/>
    </row>
    <row r="25893" spans="20:21" ht="15" customHeight="1" x14ac:dyDescent="0.25">
      <c r="T25893" s="135"/>
      <c r="U25893" s="135"/>
    </row>
    <row r="25894" spans="20:21" ht="15" customHeight="1" x14ac:dyDescent="0.25">
      <c r="T25894" s="135"/>
      <c r="U25894" s="135"/>
    </row>
    <row r="25895" spans="20:21" ht="15" customHeight="1" x14ac:dyDescent="0.25">
      <c r="T25895" s="135"/>
      <c r="U25895" s="135"/>
    </row>
    <row r="25896" spans="20:21" ht="15" customHeight="1" x14ac:dyDescent="0.25">
      <c r="T25896" s="135"/>
      <c r="U25896" s="135"/>
    </row>
    <row r="25897" spans="20:21" ht="15" customHeight="1" x14ac:dyDescent="0.25">
      <c r="T25897" s="135"/>
      <c r="U25897" s="135"/>
    </row>
    <row r="25898" spans="20:21" ht="15" customHeight="1" x14ac:dyDescent="0.25">
      <c r="T25898" s="135"/>
      <c r="U25898" s="135"/>
    </row>
    <row r="25899" spans="20:21" ht="15" customHeight="1" x14ac:dyDescent="0.25">
      <c r="T25899" s="135"/>
      <c r="U25899" s="135"/>
    </row>
    <row r="25900" spans="20:21" ht="15" customHeight="1" x14ac:dyDescent="0.25">
      <c r="T25900" s="135"/>
      <c r="U25900" s="135"/>
    </row>
    <row r="25901" spans="20:21" ht="15" customHeight="1" x14ac:dyDescent="0.25">
      <c r="T25901" s="135"/>
      <c r="U25901" s="135"/>
    </row>
    <row r="25902" spans="20:21" ht="15" customHeight="1" x14ac:dyDescent="0.25">
      <c r="T25902" s="135"/>
      <c r="U25902" s="135"/>
    </row>
    <row r="25903" spans="20:21" ht="15" customHeight="1" x14ac:dyDescent="0.25">
      <c r="T25903" s="135"/>
      <c r="U25903" s="135"/>
    </row>
    <row r="25904" spans="20:21" ht="15" customHeight="1" x14ac:dyDescent="0.25">
      <c r="T25904" s="135"/>
      <c r="U25904" s="135"/>
    </row>
    <row r="25905" spans="20:21" ht="15" customHeight="1" x14ac:dyDescent="0.25">
      <c r="T25905" s="135"/>
      <c r="U25905" s="135"/>
    </row>
    <row r="25906" spans="20:21" ht="15" customHeight="1" x14ac:dyDescent="0.25">
      <c r="T25906" s="135"/>
      <c r="U25906" s="135"/>
    </row>
    <row r="25907" spans="20:21" ht="15" customHeight="1" x14ac:dyDescent="0.25">
      <c r="T25907" s="135"/>
      <c r="U25907" s="135"/>
    </row>
    <row r="25908" spans="20:21" ht="15" customHeight="1" x14ac:dyDescent="0.25">
      <c r="T25908" s="135"/>
      <c r="U25908" s="135"/>
    </row>
    <row r="25909" spans="20:21" ht="15" customHeight="1" x14ac:dyDescent="0.25">
      <c r="T25909" s="135"/>
      <c r="U25909" s="135"/>
    </row>
    <row r="25910" spans="20:21" ht="15" customHeight="1" x14ac:dyDescent="0.25">
      <c r="T25910" s="135"/>
      <c r="U25910" s="135"/>
    </row>
    <row r="25911" spans="20:21" ht="15" customHeight="1" x14ac:dyDescent="0.25">
      <c r="T25911" s="135"/>
      <c r="U25911" s="135"/>
    </row>
    <row r="25912" spans="20:21" ht="15" customHeight="1" x14ac:dyDescent="0.25">
      <c r="T25912" s="135"/>
      <c r="U25912" s="135"/>
    </row>
    <row r="25913" spans="20:21" ht="15" customHeight="1" x14ac:dyDescent="0.25">
      <c r="T25913" s="135"/>
      <c r="U25913" s="135"/>
    </row>
    <row r="25914" spans="20:21" ht="15" customHeight="1" x14ac:dyDescent="0.25">
      <c r="T25914" s="135"/>
      <c r="U25914" s="135"/>
    </row>
    <row r="25915" spans="20:21" ht="15" customHeight="1" x14ac:dyDescent="0.25">
      <c r="T25915" s="135"/>
      <c r="U25915" s="135"/>
    </row>
    <row r="25916" spans="20:21" ht="15" customHeight="1" x14ac:dyDescent="0.25">
      <c r="T25916" s="135"/>
      <c r="U25916" s="135"/>
    </row>
    <row r="25917" spans="20:21" ht="15" customHeight="1" x14ac:dyDescent="0.25">
      <c r="T25917" s="135"/>
      <c r="U25917" s="135"/>
    </row>
    <row r="25918" spans="20:21" ht="15" customHeight="1" x14ac:dyDescent="0.25">
      <c r="T25918" s="135"/>
      <c r="U25918" s="135"/>
    </row>
    <row r="25919" spans="20:21" ht="15" customHeight="1" x14ac:dyDescent="0.25">
      <c r="T25919" s="135"/>
      <c r="U25919" s="135"/>
    </row>
    <row r="25920" spans="20:21" ht="15" customHeight="1" x14ac:dyDescent="0.25">
      <c r="T25920" s="135"/>
      <c r="U25920" s="135"/>
    </row>
    <row r="25921" spans="20:21" ht="15" customHeight="1" x14ac:dyDescent="0.25">
      <c r="T25921" s="135"/>
      <c r="U25921" s="135"/>
    </row>
    <row r="25922" spans="20:21" ht="15" customHeight="1" x14ac:dyDescent="0.25">
      <c r="T25922" s="135"/>
      <c r="U25922" s="135"/>
    </row>
    <row r="25923" spans="20:21" ht="15" customHeight="1" x14ac:dyDescent="0.25">
      <c r="T25923" s="135"/>
      <c r="U25923" s="135"/>
    </row>
    <row r="25924" spans="20:21" ht="15" customHeight="1" x14ac:dyDescent="0.25">
      <c r="T25924" s="135"/>
      <c r="U25924" s="135"/>
    </row>
    <row r="25925" spans="20:21" ht="15" customHeight="1" x14ac:dyDescent="0.25">
      <c r="T25925" s="135"/>
      <c r="U25925" s="135"/>
    </row>
    <row r="25926" spans="20:21" ht="15" customHeight="1" x14ac:dyDescent="0.25">
      <c r="T25926" s="135"/>
      <c r="U25926" s="135"/>
    </row>
    <row r="25927" spans="20:21" ht="15" customHeight="1" x14ac:dyDescent="0.25">
      <c r="T25927" s="135"/>
      <c r="U25927" s="135"/>
    </row>
    <row r="25928" spans="20:21" ht="15" customHeight="1" x14ac:dyDescent="0.25">
      <c r="T25928" s="135"/>
      <c r="U25928" s="135"/>
    </row>
    <row r="25929" spans="20:21" ht="15" customHeight="1" x14ac:dyDescent="0.25">
      <c r="T25929" s="135"/>
      <c r="U25929" s="135"/>
    </row>
    <row r="25930" spans="20:21" ht="15" customHeight="1" x14ac:dyDescent="0.25">
      <c r="T25930" s="135"/>
      <c r="U25930" s="135"/>
    </row>
    <row r="25931" spans="20:21" ht="15" customHeight="1" x14ac:dyDescent="0.25">
      <c r="T25931" s="135"/>
      <c r="U25931" s="135"/>
    </row>
    <row r="25932" spans="20:21" ht="15" customHeight="1" x14ac:dyDescent="0.25">
      <c r="T25932" s="135"/>
      <c r="U25932" s="135"/>
    </row>
    <row r="25933" spans="20:21" ht="15" customHeight="1" x14ac:dyDescent="0.25">
      <c r="T25933" s="135"/>
      <c r="U25933" s="135"/>
    </row>
    <row r="25934" spans="20:21" ht="15" customHeight="1" x14ac:dyDescent="0.25">
      <c r="T25934" s="135"/>
      <c r="U25934" s="135"/>
    </row>
    <row r="25935" spans="20:21" ht="15" customHeight="1" x14ac:dyDescent="0.25">
      <c r="T25935" s="135"/>
      <c r="U25935" s="135"/>
    </row>
    <row r="25936" spans="20:21" ht="15" customHeight="1" x14ac:dyDescent="0.25">
      <c r="T25936" s="135"/>
      <c r="U25936" s="135"/>
    </row>
    <row r="25937" spans="20:21" ht="15" customHeight="1" x14ac:dyDescent="0.25">
      <c r="T25937" s="135"/>
      <c r="U25937" s="135"/>
    </row>
    <row r="25938" spans="20:21" ht="15" customHeight="1" x14ac:dyDescent="0.25">
      <c r="T25938" s="135"/>
      <c r="U25938" s="135"/>
    </row>
    <row r="25939" spans="20:21" ht="15" customHeight="1" x14ac:dyDescent="0.25">
      <c r="T25939" s="135"/>
      <c r="U25939" s="135"/>
    </row>
    <row r="25940" spans="20:21" ht="15" customHeight="1" x14ac:dyDescent="0.25">
      <c r="T25940" s="135"/>
      <c r="U25940" s="135"/>
    </row>
    <row r="25941" spans="20:21" ht="15" customHeight="1" x14ac:dyDescent="0.25">
      <c r="T25941" s="135"/>
      <c r="U25941" s="135"/>
    </row>
    <row r="25942" spans="20:21" ht="15" customHeight="1" x14ac:dyDescent="0.25">
      <c r="T25942" s="135"/>
      <c r="U25942" s="135"/>
    </row>
    <row r="25943" spans="20:21" ht="15" customHeight="1" x14ac:dyDescent="0.25">
      <c r="T25943" s="135"/>
      <c r="U25943" s="135"/>
    </row>
    <row r="25944" spans="20:21" ht="15" customHeight="1" x14ac:dyDescent="0.25">
      <c r="T25944" s="135"/>
      <c r="U25944" s="135"/>
    </row>
    <row r="25945" spans="20:21" ht="15" customHeight="1" x14ac:dyDescent="0.25">
      <c r="T25945" s="135"/>
      <c r="U25945" s="135"/>
    </row>
    <row r="25946" spans="20:21" ht="15" customHeight="1" x14ac:dyDescent="0.25">
      <c r="T25946" s="135"/>
      <c r="U25946" s="135"/>
    </row>
    <row r="25947" spans="20:21" ht="15" customHeight="1" x14ac:dyDescent="0.25">
      <c r="T25947" s="135"/>
      <c r="U25947" s="135"/>
    </row>
    <row r="25948" spans="20:21" ht="15" customHeight="1" x14ac:dyDescent="0.25">
      <c r="T25948" s="135"/>
      <c r="U25948" s="135"/>
    </row>
    <row r="25949" spans="20:21" ht="15" customHeight="1" x14ac:dyDescent="0.25">
      <c r="T25949" s="135"/>
      <c r="U25949" s="135"/>
    </row>
    <row r="25950" spans="20:21" ht="15" customHeight="1" x14ac:dyDescent="0.25">
      <c r="T25950" s="135"/>
      <c r="U25950" s="135"/>
    </row>
    <row r="25951" spans="20:21" ht="15" customHeight="1" x14ac:dyDescent="0.25">
      <c r="T25951" s="135"/>
      <c r="U25951" s="135"/>
    </row>
    <row r="25952" spans="20:21" ht="15" customHeight="1" x14ac:dyDescent="0.25">
      <c r="T25952" s="135"/>
      <c r="U25952" s="135"/>
    </row>
    <row r="25953" spans="20:21" ht="15" customHeight="1" x14ac:dyDescent="0.25">
      <c r="T25953" s="135"/>
      <c r="U25953" s="135"/>
    </row>
    <row r="25954" spans="20:21" ht="15" customHeight="1" x14ac:dyDescent="0.25">
      <c r="T25954" s="135"/>
      <c r="U25954" s="135"/>
    </row>
    <row r="25955" spans="20:21" ht="15" customHeight="1" x14ac:dyDescent="0.25">
      <c r="T25955" s="135"/>
      <c r="U25955" s="135"/>
    </row>
    <row r="25956" spans="20:21" ht="15" customHeight="1" x14ac:dyDescent="0.25">
      <c r="T25956" s="135"/>
      <c r="U25956" s="135"/>
    </row>
    <row r="25957" spans="20:21" ht="15" customHeight="1" x14ac:dyDescent="0.25">
      <c r="T25957" s="135"/>
      <c r="U25957" s="135"/>
    </row>
    <row r="25958" spans="20:21" ht="15" customHeight="1" x14ac:dyDescent="0.25">
      <c r="T25958" s="135"/>
      <c r="U25958" s="135"/>
    </row>
    <row r="25959" spans="20:21" ht="15" customHeight="1" x14ac:dyDescent="0.25">
      <c r="T25959" s="135"/>
      <c r="U25959" s="135"/>
    </row>
    <row r="25960" spans="20:21" ht="15" customHeight="1" x14ac:dyDescent="0.25">
      <c r="T25960" s="135"/>
      <c r="U25960" s="135"/>
    </row>
    <row r="25961" spans="20:21" ht="15" customHeight="1" x14ac:dyDescent="0.25">
      <c r="T25961" s="135"/>
      <c r="U25961" s="135"/>
    </row>
    <row r="25962" spans="20:21" ht="15" customHeight="1" x14ac:dyDescent="0.25">
      <c r="T25962" s="135"/>
      <c r="U25962" s="135"/>
    </row>
    <row r="25963" spans="20:21" ht="15" customHeight="1" x14ac:dyDescent="0.25">
      <c r="T25963" s="135"/>
      <c r="U25963" s="135"/>
    </row>
    <row r="25964" spans="20:21" ht="15" customHeight="1" x14ac:dyDescent="0.25">
      <c r="T25964" s="135"/>
      <c r="U25964" s="135"/>
    </row>
    <row r="25965" spans="20:21" ht="15" customHeight="1" x14ac:dyDescent="0.25">
      <c r="T25965" s="135"/>
      <c r="U25965" s="135"/>
    </row>
    <row r="25966" spans="20:21" ht="15" customHeight="1" x14ac:dyDescent="0.25">
      <c r="T25966" s="135"/>
      <c r="U25966" s="135"/>
    </row>
    <row r="25967" spans="20:21" ht="15" customHeight="1" x14ac:dyDescent="0.25">
      <c r="T25967" s="135"/>
      <c r="U25967" s="135"/>
    </row>
    <row r="25968" spans="20:21" ht="15" customHeight="1" x14ac:dyDescent="0.25">
      <c r="T25968" s="135"/>
      <c r="U25968" s="135"/>
    </row>
    <row r="25969" spans="20:21" ht="15" customHeight="1" x14ac:dyDescent="0.25">
      <c r="T25969" s="135"/>
      <c r="U25969" s="135"/>
    </row>
    <row r="25970" spans="20:21" ht="15" customHeight="1" x14ac:dyDescent="0.25">
      <c r="T25970" s="135"/>
      <c r="U25970" s="135"/>
    </row>
    <row r="25971" spans="20:21" ht="15" customHeight="1" x14ac:dyDescent="0.25">
      <c r="T25971" s="135"/>
      <c r="U25971" s="135"/>
    </row>
    <row r="25972" spans="20:21" ht="15" customHeight="1" x14ac:dyDescent="0.25">
      <c r="T25972" s="135"/>
      <c r="U25972" s="135"/>
    </row>
    <row r="25973" spans="20:21" ht="15" customHeight="1" x14ac:dyDescent="0.25">
      <c r="T25973" s="135"/>
      <c r="U25973" s="135"/>
    </row>
    <row r="25974" spans="20:21" ht="15" customHeight="1" x14ac:dyDescent="0.25">
      <c r="T25974" s="135"/>
      <c r="U25974" s="135"/>
    </row>
    <row r="25975" spans="20:21" ht="15" customHeight="1" x14ac:dyDescent="0.25">
      <c r="T25975" s="135"/>
      <c r="U25975" s="135"/>
    </row>
    <row r="25976" spans="20:21" ht="15" customHeight="1" x14ac:dyDescent="0.25">
      <c r="T25976" s="135"/>
      <c r="U25976" s="135"/>
    </row>
    <row r="25977" spans="20:21" ht="15" customHeight="1" x14ac:dyDescent="0.25">
      <c r="T25977" s="135"/>
      <c r="U25977" s="135"/>
    </row>
    <row r="25978" spans="20:21" ht="15" customHeight="1" x14ac:dyDescent="0.25">
      <c r="T25978" s="135"/>
      <c r="U25978" s="135"/>
    </row>
    <row r="25979" spans="20:21" ht="15" customHeight="1" x14ac:dyDescent="0.25">
      <c r="T25979" s="135"/>
      <c r="U25979" s="135"/>
    </row>
    <row r="25980" spans="20:21" ht="15" customHeight="1" x14ac:dyDescent="0.25">
      <c r="T25980" s="135"/>
      <c r="U25980" s="135"/>
    </row>
    <row r="25981" spans="20:21" ht="15" customHeight="1" x14ac:dyDescent="0.25">
      <c r="T25981" s="135"/>
      <c r="U25981" s="135"/>
    </row>
    <row r="25982" spans="20:21" ht="15" customHeight="1" x14ac:dyDescent="0.25">
      <c r="T25982" s="135"/>
      <c r="U25982" s="135"/>
    </row>
    <row r="25983" spans="20:21" ht="15" customHeight="1" x14ac:dyDescent="0.25">
      <c r="T25983" s="135"/>
      <c r="U25983" s="135"/>
    </row>
    <row r="25984" spans="20:21" ht="15" customHeight="1" x14ac:dyDescent="0.25">
      <c r="T25984" s="135"/>
      <c r="U25984" s="135"/>
    </row>
    <row r="25985" spans="20:21" ht="15" customHeight="1" x14ac:dyDescent="0.25">
      <c r="T25985" s="135"/>
      <c r="U25985" s="135"/>
    </row>
    <row r="25986" spans="20:21" ht="15" customHeight="1" x14ac:dyDescent="0.25">
      <c r="T25986" s="135"/>
      <c r="U25986" s="135"/>
    </row>
    <row r="25987" spans="20:21" ht="15" customHeight="1" x14ac:dyDescent="0.25">
      <c r="T25987" s="135"/>
      <c r="U25987" s="135"/>
    </row>
    <row r="25988" spans="20:21" ht="15" customHeight="1" x14ac:dyDescent="0.25">
      <c r="T25988" s="135"/>
      <c r="U25988" s="135"/>
    </row>
    <row r="25989" spans="20:21" ht="15" customHeight="1" x14ac:dyDescent="0.25">
      <c r="T25989" s="135"/>
      <c r="U25989" s="135"/>
    </row>
    <row r="25990" spans="20:21" ht="15" customHeight="1" x14ac:dyDescent="0.25">
      <c r="T25990" s="135"/>
      <c r="U25990" s="135"/>
    </row>
    <row r="25991" spans="20:21" ht="15" customHeight="1" x14ac:dyDescent="0.25">
      <c r="T25991" s="135"/>
      <c r="U25991" s="135"/>
    </row>
    <row r="25992" spans="20:21" ht="15" customHeight="1" x14ac:dyDescent="0.25">
      <c r="T25992" s="135"/>
      <c r="U25992" s="135"/>
    </row>
    <row r="25993" spans="20:21" ht="15" customHeight="1" x14ac:dyDescent="0.25">
      <c r="T25993" s="135"/>
      <c r="U25993" s="135"/>
    </row>
    <row r="25994" spans="20:21" ht="15" customHeight="1" x14ac:dyDescent="0.25">
      <c r="T25994" s="135"/>
      <c r="U25994" s="135"/>
    </row>
    <row r="25995" spans="20:21" ht="15" customHeight="1" x14ac:dyDescent="0.25">
      <c r="T25995" s="135"/>
      <c r="U25995" s="135"/>
    </row>
    <row r="25996" spans="20:21" ht="15" customHeight="1" x14ac:dyDescent="0.25">
      <c r="T25996" s="135"/>
      <c r="U25996" s="135"/>
    </row>
    <row r="25997" spans="20:21" ht="15" customHeight="1" x14ac:dyDescent="0.25">
      <c r="T25997" s="135"/>
      <c r="U25997" s="135"/>
    </row>
    <row r="25998" spans="20:21" ht="15" customHeight="1" x14ac:dyDescent="0.25">
      <c r="T25998" s="135"/>
      <c r="U25998" s="135"/>
    </row>
    <row r="25999" spans="20:21" ht="15" customHeight="1" x14ac:dyDescent="0.25">
      <c r="T25999" s="135"/>
      <c r="U25999" s="135"/>
    </row>
    <row r="26000" spans="20:21" ht="15" customHeight="1" x14ac:dyDescent="0.25">
      <c r="T26000" s="135"/>
      <c r="U26000" s="135"/>
    </row>
    <row r="26001" spans="20:21" ht="15" customHeight="1" x14ac:dyDescent="0.25">
      <c r="T26001" s="135"/>
      <c r="U26001" s="135"/>
    </row>
    <row r="26002" spans="20:21" ht="15" customHeight="1" x14ac:dyDescent="0.25">
      <c r="T26002" s="135"/>
      <c r="U26002" s="135"/>
    </row>
    <row r="26003" spans="20:21" ht="15" customHeight="1" x14ac:dyDescent="0.25">
      <c r="T26003" s="135"/>
      <c r="U26003" s="135"/>
    </row>
    <row r="26004" spans="20:21" ht="15" customHeight="1" x14ac:dyDescent="0.25">
      <c r="T26004" s="135"/>
      <c r="U26004" s="135"/>
    </row>
    <row r="26005" spans="20:21" ht="15" customHeight="1" x14ac:dyDescent="0.25">
      <c r="T26005" s="135"/>
      <c r="U26005" s="135"/>
    </row>
    <row r="26006" spans="20:21" ht="15" customHeight="1" x14ac:dyDescent="0.25">
      <c r="T26006" s="135"/>
      <c r="U26006" s="135"/>
    </row>
    <row r="26007" spans="20:21" ht="15" customHeight="1" x14ac:dyDescent="0.25">
      <c r="T26007" s="135"/>
      <c r="U26007" s="135"/>
    </row>
    <row r="26008" spans="20:21" ht="15" customHeight="1" x14ac:dyDescent="0.25">
      <c r="T26008" s="135"/>
      <c r="U26008" s="135"/>
    </row>
    <row r="26009" spans="20:21" ht="15" customHeight="1" x14ac:dyDescent="0.25">
      <c r="T26009" s="135"/>
      <c r="U26009" s="135"/>
    </row>
    <row r="26010" spans="20:21" ht="15" customHeight="1" x14ac:dyDescent="0.25">
      <c r="T26010" s="135"/>
      <c r="U26010" s="135"/>
    </row>
    <row r="26011" spans="20:21" ht="15" customHeight="1" x14ac:dyDescent="0.25">
      <c r="T26011" s="135"/>
      <c r="U26011" s="135"/>
    </row>
    <row r="26012" spans="20:21" ht="15" customHeight="1" x14ac:dyDescent="0.25">
      <c r="T26012" s="135"/>
      <c r="U26012" s="135"/>
    </row>
    <row r="26013" spans="20:21" ht="15" customHeight="1" x14ac:dyDescent="0.25">
      <c r="T26013" s="135"/>
      <c r="U26013" s="135"/>
    </row>
    <row r="26014" spans="20:21" ht="15" customHeight="1" x14ac:dyDescent="0.25">
      <c r="T26014" s="135"/>
      <c r="U26014" s="135"/>
    </row>
    <row r="26015" spans="20:21" ht="15" customHeight="1" x14ac:dyDescent="0.25">
      <c r="T26015" s="135"/>
      <c r="U26015" s="135"/>
    </row>
    <row r="26016" spans="20:21" ht="15" customHeight="1" x14ac:dyDescent="0.25">
      <c r="T26016" s="135"/>
      <c r="U26016" s="135"/>
    </row>
    <row r="26017" spans="20:21" ht="15" customHeight="1" x14ac:dyDescent="0.25">
      <c r="T26017" s="135"/>
      <c r="U26017" s="135"/>
    </row>
    <row r="26018" spans="20:21" ht="15" customHeight="1" x14ac:dyDescent="0.25">
      <c r="T26018" s="135"/>
      <c r="U26018" s="135"/>
    </row>
    <row r="26019" spans="20:21" ht="15" customHeight="1" x14ac:dyDescent="0.25">
      <c r="T26019" s="135"/>
      <c r="U26019" s="135"/>
    </row>
    <row r="26020" spans="20:21" ht="15" customHeight="1" x14ac:dyDescent="0.25">
      <c r="T26020" s="135"/>
      <c r="U26020" s="135"/>
    </row>
    <row r="26021" spans="20:21" ht="15" customHeight="1" x14ac:dyDescent="0.25">
      <c r="T26021" s="135"/>
      <c r="U26021" s="135"/>
    </row>
    <row r="26022" spans="20:21" ht="15" customHeight="1" x14ac:dyDescent="0.25">
      <c r="T26022" s="135"/>
      <c r="U26022" s="135"/>
    </row>
    <row r="26023" spans="20:21" ht="15" customHeight="1" x14ac:dyDescent="0.25">
      <c r="T26023" s="135"/>
      <c r="U26023" s="135"/>
    </row>
    <row r="26024" spans="20:21" ht="15" customHeight="1" x14ac:dyDescent="0.25">
      <c r="T26024" s="135"/>
      <c r="U26024" s="135"/>
    </row>
    <row r="26025" spans="20:21" ht="15" customHeight="1" x14ac:dyDescent="0.25">
      <c r="T26025" s="135"/>
      <c r="U26025" s="135"/>
    </row>
    <row r="26026" spans="20:21" ht="15" customHeight="1" x14ac:dyDescent="0.25">
      <c r="T26026" s="135"/>
      <c r="U26026" s="135"/>
    </row>
    <row r="26027" spans="20:21" ht="15" customHeight="1" x14ac:dyDescent="0.25">
      <c r="T26027" s="135"/>
      <c r="U26027" s="135"/>
    </row>
    <row r="26028" spans="20:21" ht="15" customHeight="1" x14ac:dyDescent="0.25">
      <c r="T26028" s="135"/>
      <c r="U26028" s="135"/>
    </row>
    <row r="26029" spans="20:21" ht="15" customHeight="1" x14ac:dyDescent="0.25">
      <c r="T26029" s="135"/>
      <c r="U26029" s="135"/>
    </row>
    <row r="26030" spans="20:21" ht="15" customHeight="1" x14ac:dyDescent="0.25">
      <c r="T26030" s="135"/>
      <c r="U26030" s="135"/>
    </row>
    <row r="26031" spans="20:21" ht="15" customHeight="1" x14ac:dyDescent="0.25">
      <c r="T26031" s="135"/>
      <c r="U26031" s="135"/>
    </row>
    <row r="26032" spans="20:21" ht="15" customHeight="1" x14ac:dyDescent="0.25">
      <c r="T26032" s="135"/>
      <c r="U26032" s="135"/>
    </row>
    <row r="26033" spans="20:21" ht="15" customHeight="1" x14ac:dyDescent="0.25">
      <c r="T26033" s="135"/>
      <c r="U26033" s="135"/>
    </row>
    <row r="26034" spans="20:21" ht="15" customHeight="1" x14ac:dyDescent="0.25">
      <c r="T26034" s="135"/>
      <c r="U26034" s="135"/>
    </row>
    <row r="26035" spans="20:21" ht="15" customHeight="1" x14ac:dyDescent="0.25">
      <c r="T26035" s="135"/>
      <c r="U26035" s="135"/>
    </row>
    <row r="26036" spans="20:21" ht="15" customHeight="1" x14ac:dyDescent="0.25">
      <c r="T26036" s="135"/>
      <c r="U26036" s="135"/>
    </row>
    <row r="26037" spans="20:21" ht="15" customHeight="1" x14ac:dyDescent="0.25">
      <c r="T26037" s="135"/>
      <c r="U26037" s="135"/>
    </row>
    <row r="26038" spans="20:21" ht="15" customHeight="1" x14ac:dyDescent="0.25">
      <c r="T26038" s="135"/>
      <c r="U26038" s="135"/>
    </row>
    <row r="26039" spans="20:21" ht="15" customHeight="1" x14ac:dyDescent="0.25">
      <c r="T26039" s="135"/>
      <c r="U26039" s="135"/>
    </row>
    <row r="26040" spans="20:21" ht="15" customHeight="1" x14ac:dyDescent="0.25">
      <c r="T26040" s="135"/>
      <c r="U26040" s="135"/>
    </row>
    <row r="26041" spans="20:21" ht="15" customHeight="1" x14ac:dyDescent="0.25">
      <c r="T26041" s="135"/>
      <c r="U26041" s="135"/>
    </row>
    <row r="26042" spans="20:21" ht="15" customHeight="1" x14ac:dyDescent="0.25">
      <c r="T26042" s="135"/>
      <c r="U26042" s="135"/>
    </row>
    <row r="26043" spans="20:21" ht="15" customHeight="1" x14ac:dyDescent="0.25">
      <c r="T26043" s="135"/>
      <c r="U26043" s="135"/>
    </row>
    <row r="26044" spans="20:21" ht="15" customHeight="1" x14ac:dyDescent="0.25">
      <c r="T26044" s="135"/>
      <c r="U26044" s="135"/>
    </row>
    <row r="26045" spans="20:21" ht="15" customHeight="1" x14ac:dyDescent="0.25">
      <c r="T26045" s="135"/>
      <c r="U26045" s="135"/>
    </row>
    <row r="26046" spans="20:21" ht="15" customHeight="1" x14ac:dyDescent="0.25">
      <c r="T26046" s="135"/>
      <c r="U26046" s="135"/>
    </row>
    <row r="26047" spans="20:21" ht="15" customHeight="1" x14ac:dyDescent="0.25">
      <c r="T26047" s="135"/>
      <c r="U26047" s="135"/>
    </row>
    <row r="26048" spans="20:21" ht="15" customHeight="1" x14ac:dyDescent="0.25">
      <c r="T26048" s="135"/>
      <c r="U26048" s="135"/>
    </row>
    <row r="26049" spans="20:21" ht="15" customHeight="1" x14ac:dyDescent="0.25">
      <c r="T26049" s="135"/>
      <c r="U26049" s="135"/>
    </row>
    <row r="26050" spans="20:21" ht="15" customHeight="1" x14ac:dyDescent="0.25">
      <c r="T26050" s="135"/>
      <c r="U26050" s="135"/>
    </row>
    <row r="26051" spans="20:21" ht="15" customHeight="1" x14ac:dyDescent="0.25">
      <c r="T26051" s="135"/>
      <c r="U26051" s="135"/>
    </row>
    <row r="26052" spans="20:21" ht="15" customHeight="1" x14ac:dyDescent="0.25">
      <c r="T26052" s="135"/>
      <c r="U26052" s="135"/>
    </row>
    <row r="26053" spans="20:21" ht="15" customHeight="1" x14ac:dyDescent="0.25">
      <c r="T26053" s="135"/>
      <c r="U26053" s="135"/>
    </row>
    <row r="26054" spans="20:21" ht="15" customHeight="1" x14ac:dyDescent="0.25">
      <c r="T26054" s="135"/>
      <c r="U26054" s="135"/>
    </row>
    <row r="26055" spans="20:21" ht="15" customHeight="1" x14ac:dyDescent="0.25">
      <c r="T26055" s="135"/>
      <c r="U26055" s="135"/>
    </row>
    <row r="26056" spans="20:21" ht="15" customHeight="1" x14ac:dyDescent="0.25">
      <c r="T26056" s="135"/>
      <c r="U26056" s="135"/>
    </row>
    <row r="26057" spans="20:21" ht="15" customHeight="1" x14ac:dyDescent="0.25">
      <c r="T26057" s="135"/>
      <c r="U26057" s="135"/>
    </row>
    <row r="26058" spans="20:21" ht="15" customHeight="1" x14ac:dyDescent="0.25">
      <c r="T26058" s="135"/>
      <c r="U26058" s="135"/>
    </row>
    <row r="26059" spans="20:21" ht="15" customHeight="1" x14ac:dyDescent="0.25">
      <c r="T26059" s="135"/>
      <c r="U26059" s="135"/>
    </row>
    <row r="26060" spans="20:21" ht="15" customHeight="1" x14ac:dyDescent="0.25">
      <c r="T26060" s="135"/>
      <c r="U26060" s="135"/>
    </row>
    <row r="26061" spans="20:21" ht="15" customHeight="1" x14ac:dyDescent="0.25">
      <c r="T26061" s="135"/>
      <c r="U26061" s="135"/>
    </row>
    <row r="26062" spans="20:21" ht="15" customHeight="1" x14ac:dyDescent="0.25">
      <c r="T26062" s="135"/>
      <c r="U26062" s="135"/>
    </row>
    <row r="26063" spans="20:21" ht="15" customHeight="1" x14ac:dyDescent="0.25">
      <c r="T26063" s="135"/>
      <c r="U26063" s="135"/>
    </row>
    <row r="26064" spans="20:21" ht="15" customHeight="1" x14ac:dyDescent="0.25">
      <c r="T26064" s="135"/>
      <c r="U26064" s="135"/>
    </row>
    <row r="26065" spans="20:21" ht="15" customHeight="1" x14ac:dyDescent="0.25">
      <c r="T26065" s="135"/>
      <c r="U26065" s="135"/>
    </row>
    <row r="26066" spans="20:21" ht="15" customHeight="1" x14ac:dyDescent="0.25">
      <c r="T26066" s="135"/>
      <c r="U26066" s="135"/>
    </row>
    <row r="26067" spans="20:21" ht="15" customHeight="1" x14ac:dyDescent="0.25">
      <c r="T26067" s="135"/>
      <c r="U26067" s="135"/>
    </row>
    <row r="26068" spans="20:21" ht="15" customHeight="1" x14ac:dyDescent="0.25">
      <c r="T26068" s="135"/>
      <c r="U26068" s="135"/>
    </row>
    <row r="26069" spans="20:21" ht="15" customHeight="1" x14ac:dyDescent="0.25">
      <c r="T26069" s="135"/>
      <c r="U26069" s="135"/>
    </row>
    <row r="26070" spans="20:21" ht="15" customHeight="1" x14ac:dyDescent="0.25">
      <c r="T26070" s="135"/>
      <c r="U26070" s="135"/>
    </row>
    <row r="26071" spans="20:21" ht="15" customHeight="1" x14ac:dyDescent="0.25">
      <c r="T26071" s="135"/>
      <c r="U26071" s="135"/>
    </row>
    <row r="26072" spans="20:21" ht="15" customHeight="1" x14ac:dyDescent="0.25">
      <c r="T26072" s="135"/>
      <c r="U26072" s="135"/>
    </row>
    <row r="26073" spans="20:21" ht="15" customHeight="1" x14ac:dyDescent="0.25">
      <c r="T26073" s="135"/>
      <c r="U26073" s="135"/>
    </row>
    <row r="26074" spans="20:21" ht="15" customHeight="1" x14ac:dyDescent="0.25">
      <c r="T26074" s="135"/>
      <c r="U26074" s="135"/>
    </row>
    <row r="26075" spans="20:21" ht="15" customHeight="1" x14ac:dyDescent="0.25">
      <c r="T26075" s="135"/>
      <c r="U26075" s="135"/>
    </row>
    <row r="26076" spans="20:21" ht="15" customHeight="1" x14ac:dyDescent="0.25">
      <c r="T26076" s="135"/>
      <c r="U26076" s="135"/>
    </row>
    <row r="26077" spans="20:21" ht="15" customHeight="1" x14ac:dyDescent="0.25">
      <c r="T26077" s="135"/>
      <c r="U26077" s="135"/>
    </row>
    <row r="26078" spans="20:21" ht="15" customHeight="1" x14ac:dyDescent="0.25">
      <c r="T26078" s="135"/>
      <c r="U26078" s="135"/>
    </row>
    <row r="26079" spans="20:21" ht="15" customHeight="1" x14ac:dyDescent="0.25">
      <c r="T26079" s="135"/>
      <c r="U26079" s="135"/>
    </row>
    <row r="26080" spans="20:21" ht="15" customHeight="1" x14ac:dyDescent="0.25">
      <c r="T26080" s="135"/>
      <c r="U26080" s="135"/>
    </row>
    <row r="26081" spans="20:21" ht="15" customHeight="1" x14ac:dyDescent="0.25">
      <c r="T26081" s="135"/>
      <c r="U26081" s="135"/>
    </row>
    <row r="26082" spans="20:21" ht="15" customHeight="1" x14ac:dyDescent="0.25">
      <c r="T26082" s="135"/>
      <c r="U26082" s="135"/>
    </row>
    <row r="26083" spans="20:21" ht="15" customHeight="1" x14ac:dyDescent="0.25">
      <c r="T26083" s="135"/>
      <c r="U26083" s="135"/>
    </row>
    <row r="26084" spans="20:21" ht="15" customHeight="1" x14ac:dyDescent="0.25">
      <c r="T26084" s="135"/>
      <c r="U26084" s="135"/>
    </row>
    <row r="26085" spans="20:21" ht="15" customHeight="1" x14ac:dyDescent="0.25">
      <c r="T26085" s="135"/>
      <c r="U26085" s="135"/>
    </row>
    <row r="26086" spans="20:21" ht="15" customHeight="1" x14ac:dyDescent="0.25">
      <c r="T26086" s="135"/>
      <c r="U26086" s="135"/>
    </row>
    <row r="26087" spans="20:21" ht="15" customHeight="1" x14ac:dyDescent="0.25">
      <c r="T26087" s="135"/>
      <c r="U26087" s="135"/>
    </row>
    <row r="26088" spans="20:21" ht="15" customHeight="1" x14ac:dyDescent="0.25">
      <c r="T26088" s="135"/>
      <c r="U26088" s="135"/>
    </row>
    <row r="26089" spans="20:21" ht="15" customHeight="1" x14ac:dyDescent="0.25">
      <c r="T26089" s="135"/>
      <c r="U26089" s="135"/>
    </row>
    <row r="26090" spans="20:21" ht="15" customHeight="1" x14ac:dyDescent="0.25">
      <c r="T26090" s="135"/>
      <c r="U26090" s="135"/>
    </row>
    <row r="26091" spans="20:21" ht="15" customHeight="1" x14ac:dyDescent="0.25">
      <c r="T26091" s="135"/>
      <c r="U26091" s="135"/>
    </row>
    <row r="26092" spans="20:21" ht="15" customHeight="1" x14ac:dyDescent="0.25">
      <c r="T26092" s="135"/>
      <c r="U26092" s="135"/>
    </row>
    <row r="26093" spans="20:21" ht="15" customHeight="1" x14ac:dyDescent="0.25">
      <c r="T26093" s="135"/>
      <c r="U26093" s="135"/>
    </row>
    <row r="26094" spans="20:21" ht="15" customHeight="1" x14ac:dyDescent="0.25">
      <c r="T26094" s="135"/>
      <c r="U26094" s="135"/>
    </row>
    <row r="26095" spans="20:21" ht="15" customHeight="1" x14ac:dyDescent="0.25">
      <c r="T26095" s="135"/>
      <c r="U26095" s="135"/>
    </row>
    <row r="26096" spans="20:21" ht="15" customHeight="1" x14ac:dyDescent="0.25">
      <c r="T26096" s="135"/>
      <c r="U26096" s="135"/>
    </row>
    <row r="26097" spans="20:21" ht="15" customHeight="1" x14ac:dyDescent="0.25">
      <c r="T26097" s="135"/>
      <c r="U26097" s="135"/>
    </row>
    <row r="26098" spans="20:21" ht="15" customHeight="1" x14ac:dyDescent="0.25">
      <c r="T26098" s="135"/>
      <c r="U26098" s="135"/>
    </row>
    <row r="26099" spans="20:21" ht="15" customHeight="1" x14ac:dyDescent="0.25">
      <c r="T26099" s="135"/>
      <c r="U26099" s="135"/>
    </row>
    <row r="26100" spans="20:21" ht="15" customHeight="1" x14ac:dyDescent="0.25">
      <c r="T26100" s="135"/>
      <c r="U26100" s="135"/>
    </row>
    <row r="26101" spans="20:21" ht="15" customHeight="1" x14ac:dyDescent="0.25">
      <c r="T26101" s="135"/>
      <c r="U26101" s="135"/>
    </row>
    <row r="26102" spans="20:21" ht="15" customHeight="1" x14ac:dyDescent="0.25">
      <c r="T26102" s="135"/>
      <c r="U26102" s="135"/>
    </row>
    <row r="26103" spans="20:21" ht="15" customHeight="1" x14ac:dyDescent="0.25">
      <c r="T26103" s="135"/>
      <c r="U26103" s="135"/>
    </row>
    <row r="26104" spans="20:21" ht="15" customHeight="1" x14ac:dyDescent="0.25">
      <c r="T26104" s="135"/>
      <c r="U26104" s="135"/>
    </row>
    <row r="26105" spans="20:21" ht="15" customHeight="1" x14ac:dyDescent="0.25">
      <c r="T26105" s="135"/>
      <c r="U26105" s="135"/>
    </row>
    <row r="26106" spans="20:21" ht="15" customHeight="1" x14ac:dyDescent="0.25">
      <c r="T26106" s="135"/>
      <c r="U26106" s="135"/>
    </row>
    <row r="26107" spans="20:21" ht="15" customHeight="1" x14ac:dyDescent="0.25">
      <c r="T26107" s="135"/>
      <c r="U26107" s="135"/>
    </row>
    <row r="26108" spans="20:21" ht="15" customHeight="1" x14ac:dyDescent="0.25">
      <c r="T26108" s="135"/>
      <c r="U26108" s="135"/>
    </row>
    <row r="26109" spans="20:21" ht="15" customHeight="1" x14ac:dyDescent="0.25">
      <c r="T26109" s="135"/>
      <c r="U26109" s="135"/>
    </row>
    <row r="26110" spans="20:21" ht="15" customHeight="1" x14ac:dyDescent="0.25">
      <c r="T26110" s="135"/>
      <c r="U26110" s="135"/>
    </row>
    <row r="26111" spans="20:21" ht="15" customHeight="1" x14ac:dyDescent="0.25">
      <c r="T26111" s="135"/>
      <c r="U26111" s="135"/>
    </row>
    <row r="26112" spans="20:21" ht="15" customHeight="1" x14ac:dyDescent="0.25">
      <c r="T26112" s="135"/>
      <c r="U26112" s="135"/>
    </row>
    <row r="26113" spans="20:21" ht="15" customHeight="1" x14ac:dyDescent="0.25">
      <c r="T26113" s="135"/>
      <c r="U26113" s="135"/>
    </row>
    <row r="26114" spans="20:21" ht="15" customHeight="1" x14ac:dyDescent="0.25">
      <c r="T26114" s="135"/>
      <c r="U26114" s="135"/>
    </row>
    <row r="26115" spans="20:21" ht="15" customHeight="1" x14ac:dyDescent="0.25">
      <c r="T26115" s="135"/>
      <c r="U26115" s="135"/>
    </row>
    <row r="26116" spans="20:21" ht="15" customHeight="1" x14ac:dyDescent="0.25">
      <c r="T26116" s="135"/>
      <c r="U26116" s="135"/>
    </row>
    <row r="26117" spans="20:21" ht="15" customHeight="1" x14ac:dyDescent="0.25">
      <c r="T26117" s="135"/>
      <c r="U26117" s="135"/>
    </row>
    <row r="26118" spans="20:21" ht="15" customHeight="1" x14ac:dyDescent="0.25">
      <c r="T26118" s="135"/>
      <c r="U26118" s="135"/>
    </row>
    <row r="26119" spans="20:21" ht="15" customHeight="1" x14ac:dyDescent="0.25">
      <c r="T26119" s="135"/>
      <c r="U26119" s="135"/>
    </row>
    <row r="26120" spans="20:21" ht="15" customHeight="1" x14ac:dyDescent="0.25">
      <c r="T26120" s="135"/>
      <c r="U26120" s="135"/>
    </row>
    <row r="26121" spans="20:21" ht="15" customHeight="1" x14ac:dyDescent="0.25">
      <c r="T26121" s="135"/>
      <c r="U26121" s="135"/>
    </row>
    <row r="26122" spans="20:21" ht="15" customHeight="1" x14ac:dyDescent="0.25">
      <c r="T26122" s="135"/>
      <c r="U26122" s="135"/>
    </row>
    <row r="26123" spans="20:21" ht="15" customHeight="1" x14ac:dyDescent="0.25">
      <c r="T26123" s="135"/>
      <c r="U26123" s="135"/>
    </row>
    <row r="26124" spans="20:21" ht="15" customHeight="1" x14ac:dyDescent="0.25">
      <c r="T26124" s="135"/>
      <c r="U26124" s="135"/>
    </row>
    <row r="26125" spans="20:21" ht="15" customHeight="1" x14ac:dyDescent="0.25">
      <c r="T26125" s="135"/>
      <c r="U26125" s="135"/>
    </row>
    <row r="26126" spans="20:21" ht="15" customHeight="1" x14ac:dyDescent="0.25">
      <c r="T26126" s="135"/>
      <c r="U26126" s="135"/>
    </row>
    <row r="26127" spans="20:21" ht="15" customHeight="1" x14ac:dyDescent="0.25">
      <c r="T26127" s="135"/>
      <c r="U26127" s="135"/>
    </row>
    <row r="26128" spans="20:21" ht="15" customHeight="1" x14ac:dyDescent="0.25">
      <c r="T26128" s="135"/>
      <c r="U26128" s="135"/>
    </row>
    <row r="26129" spans="20:21" ht="15" customHeight="1" x14ac:dyDescent="0.25">
      <c r="T26129" s="135"/>
      <c r="U26129" s="135"/>
    </row>
    <row r="26130" spans="20:21" ht="15" customHeight="1" x14ac:dyDescent="0.25">
      <c r="T26130" s="135"/>
      <c r="U26130" s="135"/>
    </row>
    <row r="26131" spans="20:21" ht="15" customHeight="1" x14ac:dyDescent="0.25">
      <c r="T26131" s="135"/>
      <c r="U26131" s="135"/>
    </row>
    <row r="26132" spans="20:21" ht="15" customHeight="1" x14ac:dyDescent="0.25">
      <c r="T26132" s="135"/>
      <c r="U26132" s="135"/>
    </row>
    <row r="26133" spans="20:21" ht="15" customHeight="1" x14ac:dyDescent="0.25">
      <c r="T26133" s="135"/>
      <c r="U26133" s="135"/>
    </row>
    <row r="26134" spans="20:21" ht="15" customHeight="1" x14ac:dyDescent="0.25">
      <c r="T26134" s="135"/>
      <c r="U26134" s="135"/>
    </row>
    <row r="26135" spans="20:21" ht="15" customHeight="1" x14ac:dyDescent="0.25">
      <c r="T26135" s="135"/>
      <c r="U26135" s="135"/>
    </row>
    <row r="26136" spans="20:21" ht="15" customHeight="1" x14ac:dyDescent="0.25">
      <c r="T26136" s="135"/>
      <c r="U26136" s="135"/>
    </row>
    <row r="26137" spans="20:21" ht="15" customHeight="1" x14ac:dyDescent="0.25">
      <c r="T26137" s="135"/>
      <c r="U26137" s="135"/>
    </row>
    <row r="26138" spans="20:21" ht="15" customHeight="1" x14ac:dyDescent="0.25">
      <c r="T26138" s="135"/>
      <c r="U26138" s="135"/>
    </row>
    <row r="26139" spans="20:21" ht="15" customHeight="1" x14ac:dyDescent="0.25">
      <c r="T26139" s="135"/>
      <c r="U26139" s="135"/>
    </row>
    <row r="26140" spans="20:21" ht="15" customHeight="1" x14ac:dyDescent="0.25">
      <c r="T26140" s="135"/>
      <c r="U26140" s="135"/>
    </row>
    <row r="26141" spans="20:21" ht="15" customHeight="1" x14ac:dyDescent="0.25">
      <c r="T26141" s="135"/>
      <c r="U26141" s="135"/>
    </row>
    <row r="26142" spans="20:21" ht="15" customHeight="1" x14ac:dyDescent="0.25">
      <c r="T26142" s="135"/>
      <c r="U26142" s="135"/>
    </row>
    <row r="26143" spans="20:21" ht="15" customHeight="1" x14ac:dyDescent="0.25">
      <c r="T26143" s="135"/>
      <c r="U26143" s="135"/>
    </row>
    <row r="26144" spans="20:21" ht="15" customHeight="1" x14ac:dyDescent="0.25">
      <c r="T26144" s="135"/>
      <c r="U26144" s="135"/>
    </row>
    <row r="26145" spans="20:21" ht="15" customHeight="1" x14ac:dyDescent="0.25">
      <c r="T26145" s="135"/>
      <c r="U26145" s="135"/>
    </row>
    <row r="26146" spans="20:21" ht="15" customHeight="1" x14ac:dyDescent="0.25">
      <c r="T26146" s="135"/>
      <c r="U26146" s="135"/>
    </row>
    <row r="26147" spans="20:21" ht="15" customHeight="1" x14ac:dyDescent="0.25">
      <c r="T26147" s="135"/>
      <c r="U26147" s="135"/>
    </row>
    <row r="26148" spans="20:21" ht="15" customHeight="1" x14ac:dyDescent="0.25">
      <c r="T26148" s="135"/>
      <c r="U26148" s="135"/>
    </row>
    <row r="26149" spans="20:21" ht="15" customHeight="1" x14ac:dyDescent="0.25">
      <c r="T26149" s="135"/>
      <c r="U26149" s="135"/>
    </row>
    <row r="26150" spans="20:21" ht="15" customHeight="1" x14ac:dyDescent="0.25">
      <c r="T26150" s="135"/>
      <c r="U26150" s="135"/>
    </row>
    <row r="26151" spans="20:21" ht="15" customHeight="1" x14ac:dyDescent="0.25">
      <c r="T26151" s="135"/>
      <c r="U26151" s="135"/>
    </row>
    <row r="26152" spans="20:21" ht="15" customHeight="1" x14ac:dyDescent="0.25">
      <c r="T26152" s="135"/>
      <c r="U26152" s="135"/>
    </row>
    <row r="26153" spans="20:21" ht="15" customHeight="1" x14ac:dyDescent="0.25">
      <c r="T26153" s="135"/>
      <c r="U26153" s="135"/>
    </row>
    <row r="26154" spans="20:21" ht="15" customHeight="1" x14ac:dyDescent="0.25">
      <c r="T26154" s="135"/>
      <c r="U26154" s="135"/>
    </row>
    <row r="26155" spans="20:21" ht="15" customHeight="1" x14ac:dyDescent="0.25">
      <c r="T26155" s="135"/>
      <c r="U26155" s="135"/>
    </row>
    <row r="26156" spans="20:21" ht="15" customHeight="1" x14ac:dyDescent="0.25">
      <c r="T26156" s="135"/>
      <c r="U26156" s="135"/>
    </row>
    <row r="26157" spans="20:21" ht="15" customHeight="1" x14ac:dyDescent="0.25">
      <c r="T26157" s="135"/>
      <c r="U26157" s="135"/>
    </row>
    <row r="26158" spans="20:21" ht="15" customHeight="1" x14ac:dyDescent="0.25">
      <c r="T26158" s="135"/>
      <c r="U26158" s="135"/>
    </row>
    <row r="26159" spans="20:21" ht="15" customHeight="1" x14ac:dyDescent="0.25">
      <c r="T26159" s="135"/>
      <c r="U26159" s="135"/>
    </row>
    <row r="26160" spans="20:21" ht="15" customHeight="1" x14ac:dyDescent="0.25">
      <c r="T26160" s="135"/>
      <c r="U26160" s="135"/>
    </row>
    <row r="26161" spans="20:21" ht="15" customHeight="1" x14ac:dyDescent="0.25">
      <c r="T26161" s="135"/>
      <c r="U26161" s="135"/>
    </row>
    <row r="26162" spans="20:21" ht="15" customHeight="1" x14ac:dyDescent="0.25">
      <c r="T26162" s="135"/>
      <c r="U26162" s="135"/>
    </row>
    <row r="26163" spans="20:21" ht="15" customHeight="1" x14ac:dyDescent="0.25">
      <c r="T26163" s="135"/>
      <c r="U26163" s="135"/>
    </row>
    <row r="26164" spans="20:21" ht="15" customHeight="1" x14ac:dyDescent="0.25">
      <c r="T26164" s="135"/>
      <c r="U26164" s="135"/>
    </row>
    <row r="26165" spans="20:21" ht="15" customHeight="1" x14ac:dyDescent="0.25">
      <c r="T26165" s="135"/>
      <c r="U26165" s="135"/>
    </row>
    <row r="26166" spans="20:21" ht="15" customHeight="1" x14ac:dyDescent="0.25">
      <c r="T26166" s="135"/>
      <c r="U26166" s="135"/>
    </row>
    <row r="26167" spans="20:21" ht="15" customHeight="1" x14ac:dyDescent="0.25">
      <c r="T26167" s="135"/>
      <c r="U26167" s="135"/>
    </row>
    <row r="26168" spans="20:21" ht="15" customHeight="1" x14ac:dyDescent="0.25">
      <c r="T26168" s="135"/>
      <c r="U26168" s="135"/>
    </row>
    <row r="26169" spans="20:21" ht="15" customHeight="1" x14ac:dyDescent="0.25">
      <c r="T26169" s="135"/>
      <c r="U26169" s="135"/>
    </row>
    <row r="26170" spans="20:21" ht="15" customHeight="1" x14ac:dyDescent="0.25">
      <c r="T26170" s="135"/>
      <c r="U26170" s="135"/>
    </row>
    <row r="26171" spans="20:21" ht="15" customHeight="1" x14ac:dyDescent="0.25">
      <c r="T26171" s="135"/>
      <c r="U26171" s="135"/>
    </row>
    <row r="26172" spans="20:21" ht="15" customHeight="1" x14ac:dyDescent="0.25">
      <c r="T26172" s="135"/>
      <c r="U26172" s="135"/>
    </row>
    <row r="26173" spans="20:21" ht="15" customHeight="1" x14ac:dyDescent="0.25">
      <c r="T26173" s="135"/>
      <c r="U26173" s="135"/>
    </row>
    <row r="26174" spans="20:21" ht="15" customHeight="1" x14ac:dyDescent="0.25">
      <c r="T26174" s="135"/>
      <c r="U26174" s="135"/>
    </row>
    <row r="26175" spans="20:21" ht="15" customHeight="1" x14ac:dyDescent="0.25">
      <c r="T26175" s="135"/>
      <c r="U26175" s="135"/>
    </row>
    <row r="26176" spans="20:21" ht="15" customHeight="1" x14ac:dyDescent="0.25">
      <c r="T26176" s="135"/>
      <c r="U26176" s="135"/>
    </row>
    <row r="26177" spans="20:21" ht="15" customHeight="1" x14ac:dyDescent="0.25">
      <c r="T26177" s="135"/>
      <c r="U26177" s="135"/>
    </row>
    <row r="26178" spans="20:21" ht="15" customHeight="1" x14ac:dyDescent="0.25">
      <c r="T26178" s="135"/>
      <c r="U26178" s="135"/>
    </row>
    <row r="26179" spans="20:21" ht="15" customHeight="1" x14ac:dyDescent="0.25">
      <c r="T26179" s="135"/>
      <c r="U26179" s="135"/>
    </row>
    <row r="26180" spans="20:21" ht="15" customHeight="1" x14ac:dyDescent="0.25">
      <c r="T26180" s="135"/>
      <c r="U26180" s="135"/>
    </row>
    <row r="26181" spans="20:21" ht="15" customHeight="1" x14ac:dyDescent="0.25">
      <c r="T26181" s="135"/>
      <c r="U26181" s="135"/>
    </row>
    <row r="26182" spans="20:21" ht="15" customHeight="1" x14ac:dyDescent="0.25">
      <c r="T26182" s="135"/>
      <c r="U26182" s="135"/>
    </row>
    <row r="26183" spans="20:21" ht="15" customHeight="1" x14ac:dyDescent="0.25">
      <c r="T26183" s="135"/>
      <c r="U26183" s="135"/>
    </row>
    <row r="26184" spans="20:21" ht="15" customHeight="1" x14ac:dyDescent="0.25">
      <c r="T26184" s="135"/>
      <c r="U26184" s="135"/>
    </row>
    <row r="26185" spans="20:21" ht="15" customHeight="1" x14ac:dyDescent="0.25">
      <c r="T26185" s="135"/>
      <c r="U26185" s="135"/>
    </row>
    <row r="26186" spans="20:21" ht="15" customHeight="1" x14ac:dyDescent="0.25">
      <c r="T26186" s="135"/>
      <c r="U26186" s="135"/>
    </row>
    <row r="26187" spans="20:21" ht="15" customHeight="1" x14ac:dyDescent="0.25">
      <c r="T26187" s="135"/>
      <c r="U26187" s="135"/>
    </row>
    <row r="26188" spans="20:21" ht="15" customHeight="1" x14ac:dyDescent="0.25">
      <c r="T26188" s="135"/>
      <c r="U26188" s="135"/>
    </row>
    <row r="26189" spans="20:21" ht="15" customHeight="1" x14ac:dyDescent="0.25">
      <c r="T26189" s="135"/>
      <c r="U26189" s="135"/>
    </row>
    <row r="26190" spans="20:21" ht="15" customHeight="1" x14ac:dyDescent="0.25">
      <c r="T26190" s="135"/>
      <c r="U26190" s="135"/>
    </row>
    <row r="26191" spans="20:21" ht="15" customHeight="1" x14ac:dyDescent="0.25">
      <c r="T26191" s="135"/>
      <c r="U26191" s="135"/>
    </row>
    <row r="26192" spans="20:21" ht="15" customHeight="1" x14ac:dyDescent="0.25">
      <c r="T26192" s="135"/>
      <c r="U26192" s="135"/>
    </row>
    <row r="26193" spans="20:21" ht="15" customHeight="1" x14ac:dyDescent="0.25">
      <c r="T26193" s="135"/>
      <c r="U26193" s="135"/>
    </row>
    <row r="26194" spans="20:21" ht="15" customHeight="1" x14ac:dyDescent="0.25">
      <c r="T26194" s="135"/>
      <c r="U26194" s="135"/>
    </row>
    <row r="26195" spans="20:21" ht="15" customHeight="1" x14ac:dyDescent="0.25">
      <c r="T26195" s="135"/>
      <c r="U26195" s="135"/>
    </row>
    <row r="26196" spans="20:21" ht="15" customHeight="1" x14ac:dyDescent="0.25">
      <c r="T26196" s="135"/>
      <c r="U26196" s="135"/>
    </row>
    <row r="26197" spans="20:21" ht="15" customHeight="1" x14ac:dyDescent="0.25">
      <c r="T26197" s="135"/>
      <c r="U26197" s="135"/>
    </row>
    <row r="26198" spans="20:21" ht="15" customHeight="1" x14ac:dyDescent="0.25">
      <c r="T26198" s="135"/>
      <c r="U26198" s="135"/>
    </row>
    <row r="26199" spans="20:21" ht="15" customHeight="1" x14ac:dyDescent="0.25">
      <c r="T26199" s="135"/>
      <c r="U26199" s="135"/>
    </row>
    <row r="26200" spans="20:21" ht="15" customHeight="1" x14ac:dyDescent="0.25">
      <c r="T26200" s="135"/>
      <c r="U26200" s="135"/>
    </row>
    <row r="26201" spans="20:21" ht="15" customHeight="1" x14ac:dyDescent="0.25">
      <c r="T26201" s="135"/>
      <c r="U26201" s="135"/>
    </row>
    <row r="26202" spans="20:21" ht="15" customHeight="1" x14ac:dyDescent="0.25">
      <c r="T26202" s="135"/>
      <c r="U26202" s="135"/>
    </row>
    <row r="26203" spans="20:21" ht="15" customHeight="1" x14ac:dyDescent="0.25">
      <c r="T26203" s="135"/>
      <c r="U26203" s="135"/>
    </row>
    <row r="26204" spans="20:21" ht="15" customHeight="1" x14ac:dyDescent="0.25">
      <c r="T26204" s="135"/>
      <c r="U26204" s="135"/>
    </row>
    <row r="26205" spans="20:21" ht="15" customHeight="1" x14ac:dyDescent="0.25">
      <c r="T26205" s="135"/>
      <c r="U26205" s="135"/>
    </row>
    <row r="26206" spans="20:21" ht="15" customHeight="1" x14ac:dyDescent="0.25">
      <c r="T26206" s="135"/>
      <c r="U26206" s="135"/>
    </row>
    <row r="26207" spans="20:21" ht="15" customHeight="1" x14ac:dyDescent="0.25">
      <c r="T26207" s="135"/>
      <c r="U26207" s="135"/>
    </row>
    <row r="26208" spans="20:21" ht="15" customHeight="1" x14ac:dyDescent="0.25">
      <c r="T26208" s="135"/>
      <c r="U26208" s="135"/>
    </row>
    <row r="26209" spans="20:21" ht="15" customHeight="1" x14ac:dyDescent="0.25">
      <c r="T26209" s="135"/>
      <c r="U26209" s="135"/>
    </row>
    <row r="26210" spans="20:21" ht="15" customHeight="1" x14ac:dyDescent="0.25">
      <c r="T26210" s="135"/>
      <c r="U26210" s="135"/>
    </row>
    <row r="26211" spans="20:21" ht="15" customHeight="1" x14ac:dyDescent="0.25">
      <c r="T26211" s="135"/>
      <c r="U26211" s="135"/>
    </row>
    <row r="26212" spans="20:21" ht="15" customHeight="1" x14ac:dyDescent="0.25">
      <c r="T26212" s="135"/>
      <c r="U26212" s="135"/>
    </row>
    <row r="26213" spans="20:21" ht="15" customHeight="1" x14ac:dyDescent="0.25">
      <c r="T26213" s="135"/>
      <c r="U26213" s="135"/>
    </row>
    <row r="26214" spans="20:21" ht="15" customHeight="1" x14ac:dyDescent="0.25">
      <c r="T26214" s="135"/>
      <c r="U26214" s="135"/>
    </row>
    <row r="26215" spans="20:21" ht="15" customHeight="1" x14ac:dyDescent="0.25">
      <c r="T26215" s="135"/>
      <c r="U26215" s="135"/>
    </row>
    <row r="26216" spans="20:21" ht="15" customHeight="1" x14ac:dyDescent="0.25">
      <c r="T26216" s="135"/>
      <c r="U26216" s="135"/>
    </row>
    <row r="26217" spans="20:21" ht="15" customHeight="1" x14ac:dyDescent="0.25">
      <c r="T26217" s="135"/>
      <c r="U26217" s="135"/>
    </row>
    <row r="26218" spans="20:21" ht="15" customHeight="1" x14ac:dyDescent="0.25">
      <c r="T26218" s="135"/>
      <c r="U26218" s="135"/>
    </row>
    <row r="26219" spans="20:21" ht="15" customHeight="1" x14ac:dyDescent="0.25">
      <c r="T26219" s="135"/>
      <c r="U26219" s="135"/>
    </row>
    <row r="26220" spans="20:21" ht="15" customHeight="1" x14ac:dyDescent="0.25">
      <c r="T26220" s="135"/>
      <c r="U26220" s="135"/>
    </row>
    <row r="26221" spans="20:21" ht="15" customHeight="1" x14ac:dyDescent="0.25">
      <c r="T26221" s="135"/>
      <c r="U26221" s="135"/>
    </row>
    <row r="26222" spans="20:21" ht="15" customHeight="1" x14ac:dyDescent="0.25">
      <c r="T26222" s="135"/>
      <c r="U26222" s="135"/>
    </row>
    <row r="26223" spans="20:21" ht="15" customHeight="1" x14ac:dyDescent="0.25">
      <c r="T26223" s="135"/>
      <c r="U26223" s="135"/>
    </row>
    <row r="26224" spans="20:21" ht="15" customHeight="1" x14ac:dyDescent="0.25">
      <c r="T26224" s="135"/>
      <c r="U26224" s="135"/>
    </row>
    <row r="26225" spans="20:21" ht="15" customHeight="1" x14ac:dyDescent="0.25">
      <c r="T26225" s="135"/>
      <c r="U26225" s="135"/>
    </row>
    <row r="26226" spans="20:21" ht="15" customHeight="1" x14ac:dyDescent="0.25">
      <c r="T26226" s="135"/>
      <c r="U26226" s="135"/>
    </row>
    <row r="26227" spans="20:21" ht="15" customHeight="1" x14ac:dyDescent="0.25">
      <c r="T26227" s="135"/>
      <c r="U26227" s="135"/>
    </row>
    <row r="26228" spans="20:21" ht="15" customHeight="1" x14ac:dyDescent="0.25">
      <c r="T26228" s="135"/>
      <c r="U26228" s="135"/>
    </row>
    <row r="26229" spans="20:21" ht="15" customHeight="1" x14ac:dyDescent="0.25">
      <c r="T26229" s="135"/>
      <c r="U26229" s="135"/>
    </row>
    <row r="26230" spans="20:21" ht="15" customHeight="1" x14ac:dyDescent="0.25">
      <c r="T26230" s="135"/>
      <c r="U26230" s="135"/>
    </row>
    <row r="26231" spans="20:21" ht="15" customHeight="1" x14ac:dyDescent="0.25">
      <c r="T26231" s="135"/>
      <c r="U26231" s="135"/>
    </row>
    <row r="26232" spans="20:21" ht="15" customHeight="1" x14ac:dyDescent="0.25">
      <c r="T26232" s="135"/>
      <c r="U26232" s="135"/>
    </row>
    <row r="26233" spans="20:21" ht="15" customHeight="1" x14ac:dyDescent="0.25">
      <c r="T26233" s="135"/>
      <c r="U26233" s="135"/>
    </row>
    <row r="26234" spans="20:21" ht="15" customHeight="1" x14ac:dyDescent="0.25">
      <c r="T26234" s="135"/>
      <c r="U26234" s="135"/>
    </row>
    <row r="26235" spans="20:21" ht="15" customHeight="1" x14ac:dyDescent="0.25">
      <c r="T26235" s="135"/>
      <c r="U26235" s="135"/>
    </row>
    <row r="26236" spans="20:21" ht="15" customHeight="1" x14ac:dyDescent="0.25">
      <c r="T26236" s="135"/>
      <c r="U26236" s="135"/>
    </row>
    <row r="26237" spans="20:21" ht="15" customHeight="1" x14ac:dyDescent="0.25">
      <c r="T26237" s="135"/>
      <c r="U26237" s="135"/>
    </row>
    <row r="26238" spans="20:21" ht="15" customHeight="1" x14ac:dyDescent="0.25">
      <c r="T26238" s="135"/>
      <c r="U26238" s="135"/>
    </row>
    <row r="26239" spans="20:21" ht="15" customHeight="1" x14ac:dyDescent="0.25">
      <c r="T26239" s="135"/>
      <c r="U26239" s="135"/>
    </row>
    <row r="26240" spans="20:21" ht="15" customHeight="1" x14ac:dyDescent="0.25">
      <c r="T26240" s="135"/>
      <c r="U26240" s="135"/>
    </row>
    <row r="26241" spans="20:21" ht="15" customHeight="1" x14ac:dyDescent="0.25">
      <c r="T26241" s="135"/>
      <c r="U26241" s="135"/>
    </row>
    <row r="26242" spans="20:21" ht="15" customHeight="1" x14ac:dyDescent="0.25">
      <c r="T26242" s="135"/>
      <c r="U26242" s="135"/>
    </row>
    <row r="26243" spans="20:21" ht="15" customHeight="1" x14ac:dyDescent="0.25">
      <c r="T26243" s="135"/>
      <c r="U26243" s="135"/>
    </row>
    <row r="26244" spans="20:21" ht="15" customHeight="1" x14ac:dyDescent="0.25">
      <c r="T26244" s="135"/>
      <c r="U26244" s="135"/>
    </row>
    <row r="26245" spans="20:21" ht="15" customHeight="1" x14ac:dyDescent="0.25">
      <c r="T26245" s="135"/>
      <c r="U26245" s="135"/>
    </row>
    <row r="26246" spans="20:21" ht="15" customHeight="1" x14ac:dyDescent="0.25">
      <c r="T26246" s="135"/>
      <c r="U26246" s="135"/>
    </row>
    <row r="26247" spans="20:21" ht="15" customHeight="1" x14ac:dyDescent="0.25">
      <c r="T26247" s="135"/>
      <c r="U26247" s="135"/>
    </row>
    <row r="26248" spans="20:21" ht="15" customHeight="1" x14ac:dyDescent="0.25">
      <c r="T26248" s="135"/>
      <c r="U26248" s="135"/>
    </row>
    <row r="26249" spans="20:21" ht="15" customHeight="1" x14ac:dyDescent="0.25">
      <c r="T26249" s="135"/>
      <c r="U26249" s="135"/>
    </row>
    <row r="26250" spans="20:21" ht="15" customHeight="1" x14ac:dyDescent="0.25">
      <c r="T26250" s="135"/>
      <c r="U26250" s="135"/>
    </row>
    <row r="26251" spans="20:21" ht="15" customHeight="1" x14ac:dyDescent="0.25">
      <c r="T26251" s="135"/>
      <c r="U26251" s="135"/>
    </row>
    <row r="26252" spans="20:21" ht="15" customHeight="1" x14ac:dyDescent="0.25">
      <c r="T26252" s="135"/>
      <c r="U26252" s="135"/>
    </row>
    <row r="26253" spans="20:21" ht="15" customHeight="1" x14ac:dyDescent="0.25">
      <c r="T26253" s="135"/>
      <c r="U26253" s="135"/>
    </row>
    <row r="26254" spans="20:21" ht="15" customHeight="1" x14ac:dyDescent="0.25">
      <c r="T26254" s="135"/>
      <c r="U26254" s="135"/>
    </row>
    <row r="26255" spans="20:21" ht="15" customHeight="1" x14ac:dyDescent="0.25">
      <c r="T26255" s="135"/>
      <c r="U26255" s="135"/>
    </row>
    <row r="26256" spans="20:21" ht="15" customHeight="1" x14ac:dyDescent="0.25">
      <c r="T26256" s="135"/>
      <c r="U26256" s="135"/>
    </row>
    <row r="26257" spans="20:21" ht="15" customHeight="1" x14ac:dyDescent="0.25">
      <c r="T26257" s="135"/>
      <c r="U26257" s="135"/>
    </row>
    <row r="26258" spans="20:21" ht="15" customHeight="1" x14ac:dyDescent="0.25">
      <c r="T26258" s="135"/>
      <c r="U26258" s="135"/>
    </row>
    <row r="26259" spans="20:21" ht="15" customHeight="1" x14ac:dyDescent="0.25">
      <c r="T26259" s="135"/>
      <c r="U26259" s="135"/>
    </row>
    <row r="26260" spans="20:21" ht="15" customHeight="1" x14ac:dyDescent="0.25">
      <c r="T26260" s="135"/>
      <c r="U26260" s="135"/>
    </row>
    <row r="26261" spans="20:21" ht="15" customHeight="1" x14ac:dyDescent="0.25">
      <c r="T26261" s="135"/>
      <c r="U26261" s="135"/>
    </row>
    <row r="26262" spans="20:21" ht="15" customHeight="1" x14ac:dyDescent="0.25">
      <c r="T26262" s="135"/>
      <c r="U26262" s="135"/>
    </row>
    <row r="26263" spans="20:21" ht="15" customHeight="1" x14ac:dyDescent="0.25">
      <c r="T26263" s="135"/>
      <c r="U26263" s="135"/>
    </row>
    <row r="26264" spans="20:21" ht="15" customHeight="1" x14ac:dyDescent="0.25">
      <c r="T26264" s="135"/>
      <c r="U26264" s="135"/>
    </row>
    <row r="26265" spans="20:21" ht="15" customHeight="1" x14ac:dyDescent="0.25">
      <c r="T26265" s="135"/>
      <c r="U26265" s="135"/>
    </row>
    <row r="26266" spans="20:21" ht="15" customHeight="1" x14ac:dyDescent="0.25">
      <c r="T26266" s="135"/>
      <c r="U26266" s="135"/>
    </row>
    <row r="26267" spans="20:21" ht="15" customHeight="1" x14ac:dyDescent="0.25">
      <c r="T26267" s="135"/>
      <c r="U26267" s="135"/>
    </row>
    <row r="26268" spans="20:21" ht="15" customHeight="1" x14ac:dyDescent="0.25">
      <c r="T26268" s="135"/>
      <c r="U26268" s="135"/>
    </row>
    <row r="26269" spans="20:21" ht="15" customHeight="1" x14ac:dyDescent="0.25">
      <c r="T26269" s="135"/>
      <c r="U26269" s="135"/>
    </row>
    <row r="26270" spans="20:21" ht="15" customHeight="1" x14ac:dyDescent="0.25">
      <c r="T26270" s="135"/>
      <c r="U26270" s="135"/>
    </row>
    <row r="26271" spans="20:21" ht="15" customHeight="1" x14ac:dyDescent="0.25">
      <c r="T26271" s="135"/>
      <c r="U26271" s="135"/>
    </row>
    <row r="26272" spans="20:21" ht="15" customHeight="1" x14ac:dyDescent="0.25">
      <c r="T26272" s="135"/>
      <c r="U26272" s="135"/>
    </row>
    <row r="26273" spans="20:21" ht="15" customHeight="1" x14ac:dyDescent="0.25">
      <c r="T26273" s="135"/>
      <c r="U26273" s="135"/>
    </row>
    <row r="26274" spans="20:21" ht="15" customHeight="1" x14ac:dyDescent="0.25">
      <c r="T26274" s="135"/>
      <c r="U26274" s="135"/>
    </row>
    <row r="26275" spans="20:21" ht="15" customHeight="1" x14ac:dyDescent="0.25">
      <c r="T26275" s="135"/>
      <c r="U26275" s="135"/>
    </row>
    <row r="26276" spans="20:21" ht="15" customHeight="1" x14ac:dyDescent="0.25">
      <c r="T26276" s="135"/>
      <c r="U26276" s="135"/>
    </row>
    <row r="26277" spans="20:21" ht="15" customHeight="1" x14ac:dyDescent="0.25">
      <c r="T26277" s="135"/>
      <c r="U26277" s="135"/>
    </row>
    <row r="26278" spans="20:21" ht="15" customHeight="1" x14ac:dyDescent="0.25">
      <c r="T26278" s="135"/>
      <c r="U26278" s="135"/>
    </row>
    <row r="26279" spans="20:21" ht="15" customHeight="1" x14ac:dyDescent="0.25">
      <c r="T26279" s="135"/>
      <c r="U26279" s="135"/>
    </row>
    <row r="26280" spans="20:21" ht="15" customHeight="1" x14ac:dyDescent="0.25">
      <c r="T26280" s="135"/>
      <c r="U26280" s="135"/>
    </row>
    <row r="26281" spans="20:21" ht="15" customHeight="1" x14ac:dyDescent="0.25">
      <c r="T26281" s="135"/>
      <c r="U26281" s="135"/>
    </row>
    <row r="26282" spans="20:21" ht="15" customHeight="1" x14ac:dyDescent="0.25">
      <c r="T26282" s="135"/>
      <c r="U26282" s="135"/>
    </row>
    <row r="26283" spans="20:21" ht="15" customHeight="1" x14ac:dyDescent="0.25">
      <c r="T26283" s="135"/>
      <c r="U26283" s="135"/>
    </row>
    <row r="26284" spans="20:21" ht="15" customHeight="1" x14ac:dyDescent="0.25">
      <c r="T26284" s="135"/>
      <c r="U26284" s="135"/>
    </row>
    <row r="26285" spans="20:21" ht="15" customHeight="1" x14ac:dyDescent="0.25">
      <c r="T26285" s="135"/>
      <c r="U26285" s="135"/>
    </row>
    <row r="26286" spans="20:21" ht="15" customHeight="1" x14ac:dyDescent="0.25">
      <c r="T26286" s="135"/>
      <c r="U26286" s="135"/>
    </row>
    <row r="26287" spans="20:21" ht="15" customHeight="1" x14ac:dyDescent="0.25">
      <c r="T26287" s="135"/>
      <c r="U26287" s="135"/>
    </row>
    <row r="26288" spans="20:21" ht="15" customHeight="1" x14ac:dyDescent="0.25">
      <c r="T26288" s="135"/>
      <c r="U26288" s="135"/>
    </row>
    <row r="26289" spans="20:21" ht="15" customHeight="1" x14ac:dyDescent="0.25">
      <c r="T26289" s="135"/>
      <c r="U26289" s="135"/>
    </row>
    <row r="26290" spans="20:21" ht="15" customHeight="1" x14ac:dyDescent="0.25">
      <c r="T26290" s="135"/>
      <c r="U26290" s="135"/>
    </row>
    <row r="26291" spans="20:21" ht="15" customHeight="1" x14ac:dyDescent="0.25">
      <c r="T26291" s="135"/>
      <c r="U26291" s="135"/>
    </row>
    <row r="26292" spans="20:21" ht="15" customHeight="1" x14ac:dyDescent="0.25">
      <c r="T26292" s="135"/>
      <c r="U26292" s="135"/>
    </row>
    <row r="26293" spans="20:21" ht="15" customHeight="1" x14ac:dyDescent="0.25">
      <c r="T26293" s="135"/>
      <c r="U26293" s="135"/>
    </row>
    <row r="26294" spans="20:21" ht="15" customHeight="1" x14ac:dyDescent="0.25">
      <c r="T26294" s="135"/>
      <c r="U26294" s="135"/>
    </row>
    <row r="26295" spans="20:21" ht="15" customHeight="1" x14ac:dyDescent="0.25">
      <c r="T26295" s="135"/>
      <c r="U26295" s="135"/>
    </row>
    <row r="26296" spans="20:21" ht="15" customHeight="1" x14ac:dyDescent="0.25">
      <c r="T26296" s="135"/>
      <c r="U26296" s="135"/>
    </row>
    <row r="26297" spans="20:21" ht="15" customHeight="1" x14ac:dyDescent="0.25">
      <c r="T26297" s="135"/>
      <c r="U26297" s="135"/>
    </row>
    <row r="26298" spans="20:21" ht="15" customHeight="1" x14ac:dyDescent="0.25">
      <c r="T26298" s="135"/>
      <c r="U26298" s="135"/>
    </row>
    <row r="26299" spans="20:21" ht="15" customHeight="1" x14ac:dyDescent="0.25">
      <c r="T26299" s="135"/>
      <c r="U26299" s="135"/>
    </row>
    <row r="26300" spans="20:21" ht="15" customHeight="1" x14ac:dyDescent="0.25">
      <c r="T26300" s="135"/>
      <c r="U26300" s="135"/>
    </row>
    <row r="26301" spans="20:21" ht="15" customHeight="1" x14ac:dyDescent="0.25">
      <c r="T26301" s="135"/>
      <c r="U26301" s="135"/>
    </row>
    <row r="26302" spans="20:21" ht="15" customHeight="1" x14ac:dyDescent="0.25">
      <c r="T26302" s="135"/>
      <c r="U26302" s="135"/>
    </row>
    <row r="26303" spans="20:21" ht="15" customHeight="1" x14ac:dyDescent="0.25">
      <c r="T26303" s="135"/>
      <c r="U26303" s="135"/>
    </row>
    <row r="26304" spans="20:21" ht="15" customHeight="1" x14ac:dyDescent="0.25">
      <c r="T26304" s="135"/>
      <c r="U26304" s="135"/>
    </row>
    <row r="26305" spans="20:21" ht="15" customHeight="1" x14ac:dyDescent="0.25">
      <c r="T26305" s="135"/>
      <c r="U26305" s="135"/>
    </row>
    <row r="26306" spans="20:21" ht="15" customHeight="1" x14ac:dyDescent="0.25">
      <c r="T26306" s="135"/>
      <c r="U26306" s="135"/>
    </row>
    <row r="26307" spans="20:21" ht="15" customHeight="1" x14ac:dyDescent="0.25">
      <c r="T26307" s="135"/>
      <c r="U26307" s="135"/>
    </row>
    <row r="26308" spans="20:21" ht="15" customHeight="1" x14ac:dyDescent="0.25">
      <c r="T26308" s="135"/>
      <c r="U26308" s="135"/>
    </row>
    <row r="26309" spans="20:21" ht="15" customHeight="1" x14ac:dyDescent="0.25">
      <c r="T26309" s="135"/>
      <c r="U26309" s="135"/>
    </row>
    <row r="26310" spans="20:21" ht="15" customHeight="1" x14ac:dyDescent="0.25">
      <c r="T26310" s="135"/>
      <c r="U26310" s="135"/>
    </row>
    <row r="26311" spans="20:21" ht="15" customHeight="1" x14ac:dyDescent="0.25">
      <c r="T26311" s="135"/>
      <c r="U26311" s="135"/>
    </row>
    <row r="26312" spans="20:21" ht="15" customHeight="1" x14ac:dyDescent="0.25">
      <c r="T26312" s="135"/>
      <c r="U26312" s="135"/>
    </row>
    <row r="26313" spans="20:21" ht="15" customHeight="1" x14ac:dyDescent="0.25">
      <c r="T26313" s="135"/>
      <c r="U26313" s="135"/>
    </row>
    <row r="26314" spans="20:21" ht="15" customHeight="1" x14ac:dyDescent="0.25">
      <c r="T26314" s="135"/>
      <c r="U26314" s="135"/>
    </row>
    <row r="26315" spans="20:21" ht="15" customHeight="1" x14ac:dyDescent="0.25">
      <c r="T26315" s="135"/>
      <c r="U26315" s="135"/>
    </row>
    <row r="26316" spans="20:21" ht="15" customHeight="1" x14ac:dyDescent="0.25">
      <c r="T26316" s="135"/>
      <c r="U26316" s="135"/>
    </row>
    <row r="26317" spans="20:21" ht="15" customHeight="1" x14ac:dyDescent="0.25">
      <c r="T26317" s="135"/>
      <c r="U26317" s="135"/>
    </row>
    <row r="26318" spans="20:21" ht="15" customHeight="1" x14ac:dyDescent="0.25">
      <c r="T26318" s="135"/>
      <c r="U26318" s="135"/>
    </row>
    <row r="26319" spans="20:21" ht="15" customHeight="1" x14ac:dyDescent="0.25">
      <c r="T26319" s="135"/>
      <c r="U26319" s="135"/>
    </row>
    <row r="26320" spans="20:21" ht="15" customHeight="1" x14ac:dyDescent="0.25">
      <c r="T26320" s="135"/>
      <c r="U26320" s="135"/>
    </row>
    <row r="26321" spans="20:21" ht="15" customHeight="1" x14ac:dyDescent="0.25">
      <c r="T26321" s="135"/>
      <c r="U26321" s="135"/>
    </row>
    <row r="26322" spans="20:21" ht="15" customHeight="1" x14ac:dyDescent="0.25">
      <c r="T26322" s="135"/>
      <c r="U26322" s="135"/>
    </row>
    <row r="26323" spans="20:21" ht="15" customHeight="1" x14ac:dyDescent="0.25">
      <c r="T26323" s="135"/>
      <c r="U26323" s="135"/>
    </row>
    <row r="26324" spans="20:21" ht="15" customHeight="1" x14ac:dyDescent="0.25">
      <c r="T26324" s="135"/>
      <c r="U26324" s="135"/>
    </row>
    <row r="26325" spans="20:21" ht="15" customHeight="1" x14ac:dyDescent="0.25">
      <c r="T26325" s="135"/>
      <c r="U26325" s="135"/>
    </row>
    <row r="26326" spans="20:21" ht="15" customHeight="1" x14ac:dyDescent="0.25">
      <c r="T26326" s="135"/>
      <c r="U26326" s="135"/>
    </row>
    <row r="26327" spans="20:21" ht="15" customHeight="1" x14ac:dyDescent="0.25">
      <c r="T26327" s="135"/>
      <c r="U26327" s="135"/>
    </row>
    <row r="26328" spans="20:21" ht="15" customHeight="1" x14ac:dyDescent="0.25">
      <c r="T26328" s="135"/>
      <c r="U26328" s="135"/>
    </row>
    <row r="26329" spans="20:21" ht="15" customHeight="1" x14ac:dyDescent="0.25">
      <c r="T26329" s="135"/>
      <c r="U26329" s="135"/>
    </row>
    <row r="26330" spans="20:21" ht="15" customHeight="1" x14ac:dyDescent="0.25">
      <c r="T26330" s="135"/>
      <c r="U26330" s="135"/>
    </row>
    <row r="26331" spans="20:21" ht="15" customHeight="1" x14ac:dyDescent="0.25">
      <c r="T26331" s="135"/>
      <c r="U26331" s="135"/>
    </row>
    <row r="26332" spans="20:21" ht="15" customHeight="1" x14ac:dyDescent="0.25">
      <c r="T26332" s="135"/>
      <c r="U26332" s="135"/>
    </row>
    <row r="26333" spans="20:21" ht="15" customHeight="1" x14ac:dyDescent="0.25">
      <c r="T26333" s="135"/>
      <c r="U26333" s="135"/>
    </row>
    <row r="26334" spans="20:21" ht="15" customHeight="1" x14ac:dyDescent="0.25">
      <c r="T26334" s="135"/>
      <c r="U26334" s="135"/>
    </row>
    <row r="26335" spans="20:21" ht="15" customHeight="1" x14ac:dyDescent="0.25">
      <c r="T26335" s="135"/>
      <c r="U26335" s="135"/>
    </row>
    <row r="26336" spans="20:21" ht="15" customHeight="1" x14ac:dyDescent="0.25">
      <c r="T26336" s="135"/>
      <c r="U26336" s="135"/>
    </row>
    <row r="26337" spans="20:21" ht="15" customHeight="1" x14ac:dyDescent="0.25">
      <c r="T26337" s="135"/>
      <c r="U26337" s="135"/>
    </row>
    <row r="26338" spans="20:21" ht="15" customHeight="1" x14ac:dyDescent="0.25">
      <c r="T26338" s="135"/>
      <c r="U26338" s="135"/>
    </row>
    <row r="26339" spans="20:21" ht="15" customHeight="1" x14ac:dyDescent="0.25">
      <c r="T26339" s="135"/>
      <c r="U26339" s="135"/>
    </row>
    <row r="26340" spans="20:21" ht="15" customHeight="1" x14ac:dyDescent="0.25">
      <c r="T26340" s="135"/>
      <c r="U26340" s="135"/>
    </row>
    <row r="26341" spans="20:21" ht="15" customHeight="1" x14ac:dyDescent="0.25">
      <c r="T26341" s="135"/>
      <c r="U26341" s="135"/>
    </row>
    <row r="26342" spans="20:21" ht="15" customHeight="1" x14ac:dyDescent="0.25">
      <c r="T26342" s="135"/>
      <c r="U26342" s="135"/>
    </row>
    <row r="26343" spans="20:21" ht="15" customHeight="1" x14ac:dyDescent="0.25">
      <c r="T26343" s="135"/>
      <c r="U26343" s="135"/>
    </row>
    <row r="26344" spans="20:21" ht="15" customHeight="1" x14ac:dyDescent="0.25">
      <c r="T26344" s="135"/>
      <c r="U26344" s="135"/>
    </row>
    <row r="26345" spans="20:21" ht="15" customHeight="1" x14ac:dyDescent="0.25">
      <c r="T26345" s="135"/>
      <c r="U26345" s="135"/>
    </row>
    <row r="26346" spans="20:21" ht="15" customHeight="1" x14ac:dyDescent="0.25">
      <c r="T26346" s="135"/>
      <c r="U26346" s="135"/>
    </row>
    <row r="26347" spans="20:21" ht="15" customHeight="1" x14ac:dyDescent="0.25">
      <c r="T26347" s="135"/>
      <c r="U26347" s="135"/>
    </row>
    <row r="26348" spans="20:21" ht="15" customHeight="1" x14ac:dyDescent="0.25">
      <c r="T26348" s="135"/>
      <c r="U26348" s="135"/>
    </row>
    <row r="26349" spans="20:21" ht="15" customHeight="1" x14ac:dyDescent="0.25">
      <c r="T26349" s="135"/>
      <c r="U26349" s="135"/>
    </row>
    <row r="26350" spans="20:21" ht="15" customHeight="1" x14ac:dyDescent="0.25">
      <c r="T26350" s="135"/>
      <c r="U26350" s="135"/>
    </row>
    <row r="26351" spans="20:21" ht="15" customHeight="1" x14ac:dyDescent="0.25">
      <c r="T26351" s="135"/>
      <c r="U26351" s="135"/>
    </row>
    <row r="26352" spans="20:21" ht="15" customHeight="1" x14ac:dyDescent="0.25">
      <c r="T26352" s="135"/>
      <c r="U26352" s="135"/>
    </row>
    <row r="26353" spans="20:21" ht="15" customHeight="1" x14ac:dyDescent="0.25">
      <c r="T26353" s="135"/>
      <c r="U26353" s="135"/>
    </row>
    <row r="26354" spans="20:21" ht="15" customHeight="1" x14ac:dyDescent="0.25">
      <c r="T26354" s="135"/>
      <c r="U26354" s="135"/>
    </row>
    <row r="26355" spans="20:21" ht="15" customHeight="1" x14ac:dyDescent="0.25">
      <c r="T26355" s="135"/>
      <c r="U26355" s="135"/>
    </row>
    <row r="26356" spans="20:21" ht="15" customHeight="1" x14ac:dyDescent="0.25">
      <c r="T26356" s="135"/>
      <c r="U26356" s="135"/>
    </row>
    <row r="26357" spans="20:21" ht="15" customHeight="1" x14ac:dyDescent="0.25">
      <c r="T26357" s="135"/>
      <c r="U26357" s="135"/>
    </row>
    <row r="26358" spans="20:21" ht="15" customHeight="1" x14ac:dyDescent="0.25">
      <c r="T26358" s="135"/>
      <c r="U26358" s="135"/>
    </row>
    <row r="26359" spans="20:21" ht="15" customHeight="1" x14ac:dyDescent="0.25">
      <c r="T26359" s="135"/>
      <c r="U26359" s="135"/>
    </row>
    <row r="26360" spans="20:21" ht="15" customHeight="1" x14ac:dyDescent="0.25">
      <c r="T26360" s="135"/>
      <c r="U26360" s="135"/>
    </row>
    <row r="26361" spans="20:21" ht="15" customHeight="1" x14ac:dyDescent="0.25">
      <c r="T26361" s="135"/>
      <c r="U26361" s="135"/>
    </row>
    <row r="26362" spans="20:21" ht="15" customHeight="1" x14ac:dyDescent="0.25">
      <c r="T26362" s="135"/>
      <c r="U26362" s="135"/>
    </row>
    <row r="26363" spans="20:21" ht="15" customHeight="1" x14ac:dyDescent="0.25">
      <c r="T26363" s="135"/>
      <c r="U26363" s="135"/>
    </row>
    <row r="26364" spans="20:21" ht="15" customHeight="1" x14ac:dyDescent="0.25">
      <c r="T26364" s="135"/>
      <c r="U26364" s="135"/>
    </row>
    <row r="26365" spans="20:21" ht="15" customHeight="1" x14ac:dyDescent="0.25">
      <c r="T26365" s="135"/>
      <c r="U26365" s="135"/>
    </row>
    <row r="26366" spans="20:21" ht="15" customHeight="1" x14ac:dyDescent="0.25">
      <c r="T26366" s="135"/>
      <c r="U26366" s="135"/>
    </row>
    <row r="26367" spans="20:21" ht="15" customHeight="1" x14ac:dyDescent="0.25">
      <c r="T26367" s="135"/>
      <c r="U26367" s="135"/>
    </row>
    <row r="26368" spans="20:21" ht="15" customHeight="1" x14ac:dyDescent="0.25">
      <c r="T26368" s="135"/>
      <c r="U26368" s="135"/>
    </row>
    <row r="26369" spans="20:21" ht="15" customHeight="1" x14ac:dyDescent="0.25">
      <c r="T26369" s="135"/>
      <c r="U26369" s="135"/>
    </row>
    <row r="26370" spans="20:21" ht="15" customHeight="1" x14ac:dyDescent="0.25">
      <c r="T26370" s="135"/>
      <c r="U26370" s="135"/>
    </row>
    <row r="26371" spans="20:21" ht="15" customHeight="1" x14ac:dyDescent="0.25">
      <c r="T26371" s="135"/>
      <c r="U26371" s="135"/>
    </row>
    <row r="26372" spans="20:21" ht="15" customHeight="1" x14ac:dyDescent="0.25">
      <c r="T26372" s="135"/>
      <c r="U26372" s="135"/>
    </row>
    <row r="26373" spans="20:21" ht="15" customHeight="1" x14ac:dyDescent="0.25">
      <c r="T26373" s="135"/>
      <c r="U26373" s="135"/>
    </row>
    <row r="26374" spans="20:21" ht="15" customHeight="1" x14ac:dyDescent="0.25">
      <c r="T26374" s="135"/>
      <c r="U26374" s="135"/>
    </row>
    <row r="26375" spans="20:21" ht="15" customHeight="1" x14ac:dyDescent="0.25">
      <c r="T26375" s="135"/>
      <c r="U26375" s="135"/>
    </row>
    <row r="26376" spans="20:21" ht="15" customHeight="1" x14ac:dyDescent="0.25">
      <c r="T26376" s="135"/>
      <c r="U26376" s="135"/>
    </row>
    <row r="26377" spans="20:21" ht="15" customHeight="1" x14ac:dyDescent="0.25">
      <c r="T26377" s="135"/>
      <c r="U26377" s="135"/>
    </row>
    <row r="26378" spans="20:21" ht="15" customHeight="1" x14ac:dyDescent="0.25">
      <c r="T26378" s="135"/>
      <c r="U26378" s="135"/>
    </row>
    <row r="26379" spans="20:21" ht="15" customHeight="1" x14ac:dyDescent="0.25">
      <c r="T26379" s="135"/>
      <c r="U26379" s="135"/>
    </row>
    <row r="26380" spans="20:21" ht="15" customHeight="1" x14ac:dyDescent="0.25">
      <c r="T26380" s="135"/>
      <c r="U26380" s="135"/>
    </row>
    <row r="26381" spans="20:21" ht="15" customHeight="1" x14ac:dyDescent="0.25">
      <c r="T26381" s="135"/>
      <c r="U26381" s="135"/>
    </row>
    <row r="26382" spans="20:21" ht="15" customHeight="1" x14ac:dyDescent="0.25">
      <c r="T26382" s="135"/>
      <c r="U26382" s="135"/>
    </row>
    <row r="26383" spans="20:21" ht="15" customHeight="1" x14ac:dyDescent="0.25">
      <c r="T26383" s="135"/>
      <c r="U26383" s="135"/>
    </row>
    <row r="26384" spans="20:21" ht="15" customHeight="1" x14ac:dyDescent="0.25">
      <c r="T26384" s="135"/>
      <c r="U26384" s="135"/>
    </row>
    <row r="26385" spans="20:21" ht="15" customHeight="1" x14ac:dyDescent="0.25">
      <c r="T26385" s="135"/>
      <c r="U26385" s="135"/>
    </row>
    <row r="26386" spans="20:21" ht="15" customHeight="1" x14ac:dyDescent="0.25">
      <c r="T26386" s="135"/>
      <c r="U26386" s="135"/>
    </row>
    <row r="26387" spans="20:21" ht="15" customHeight="1" x14ac:dyDescent="0.25">
      <c r="T26387" s="135"/>
      <c r="U26387" s="135"/>
    </row>
    <row r="26388" spans="20:21" ht="15" customHeight="1" x14ac:dyDescent="0.25">
      <c r="T26388" s="135"/>
      <c r="U26388" s="135"/>
    </row>
    <row r="26389" spans="20:21" ht="15" customHeight="1" x14ac:dyDescent="0.25">
      <c r="T26389" s="135"/>
      <c r="U26389" s="135"/>
    </row>
    <row r="26390" spans="20:21" ht="15" customHeight="1" x14ac:dyDescent="0.25">
      <c r="T26390" s="135"/>
      <c r="U26390" s="135"/>
    </row>
    <row r="26391" spans="20:21" ht="15" customHeight="1" x14ac:dyDescent="0.25">
      <c r="T26391" s="135"/>
      <c r="U26391" s="135"/>
    </row>
    <row r="26392" spans="20:21" ht="15" customHeight="1" x14ac:dyDescent="0.25">
      <c r="T26392" s="135"/>
      <c r="U26392" s="135"/>
    </row>
    <row r="26393" spans="20:21" ht="15" customHeight="1" x14ac:dyDescent="0.25">
      <c r="T26393" s="135"/>
      <c r="U26393" s="135"/>
    </row>
    <row r="26394" spans="20:21" ht="15" customHeight="1" x14ac:dyDescent="0.25">
      <c r="T26394" s="135"/>
      <c r="U26394" s="135"/>
    </row>
    <row r="26395" spans="20:21" ht="15" customHeight="1" x14ac:dyDescent="0.25">
      <c r="T26395" s="135"/>
      <c r="U26395" s="135"/>
    </row>
    <row r="26396" spans="20:21" ht="15" customHeight="1" x14ac:dyDescent="0.25">
      <c r="T26396" s="135"/>
      <c r="U26396" s="135"/>
    </row>
    <row r="26397" spans="20:21" ht="15" customHeight="1" x14ac:dyDescent="0.25">
      <c r="T26397" s="135"/>
      <c r="U26397" s="135"/>
    </row>
    <row r="26398" spans="20:21" ht="15" customHeight="1" x14ac:dyDescent="0.25">
      <c r="T26398" s="135"/>
      <c r="U26398" s="135"/>
    </row>
    <row r="26399" spans="20:21" ht="15" customHeight="1" x14ac:dyDescent="0.25">
      <c r="T26399" s="135"/>
      <c r="U26399" s="135"/>
    </row>
    <row r="26400" spans="20:21" ht="15" customHeight="1" x14ac:dyDescent="0.25">
      <c r="T26400" s="135"/>
      <c r="U26400" s="135"/>
    </row>
    <row r="26401" spans="20:21" ht="15" customHeight="1" x14ac:dyDescent="0.25">
      <c r="T26401" s="135"/>
      <c r="U26401" s="135"/>
    </row>
    <row r="26402" spans="20:21" ht="15" customHeight="1" x14ac:dyDescent="0.25">
      <c r="T26402" s="135"/>
      <c r="U26402" s="135"/>
    </row>
    <row r="26403" spans="20:21" ht="15" customHeight="1" x14ac:dyDescent="0.25">
      <c r="T26403" s="135"/>
      <c r="U26403" s="135"/>
    </row>
    <row r="26404" spans="20:21" ht="15" customHeight="1" x14ac:dyDescent="0.25">
      <c r="T26404" s="135"/>
      <c r="U26404" s="135"/>
    </row>
    <row r="26405" spans="20:21" ht="15" customHeight="1" x14ac:dyDescent="0.25">
      <c r="T26405" s="135"/>
      <c r="U26405" s="135"/>
    </row>
    <row r="26406" spans="20:21" ht="15" customHeight="1" x14ac:dyDescent="0.25">
      <c r="T26406" s="135"/>
      <c r="U26406" s="135"/>
    </row>
    <row r="26407" spans="20:21" ht="15" customHeight="1" x14ac:dyDescent="0.25">
      <c r="T26407" s="135"/>
      <c r="U26407" s="135"/>
    </row>
    <row r="26408" spans="20:21" ht="15" customHeight="1" x14ac:dyDescent="0.25">
      <c r="T26408" s="135"/>
      <c r="U26408" s="135"/>
    </row>
    <row r="26409" spans="20:21" ht="15" customHeight="1" x14ac:dyDescent="0.25">
      <c r="T26409" s="135"/>
      <c r="U26409" s="135"/>
    </row>
    <row r="26410" spans="20:21" ht="15" customHeight="1" x14ac:dyDescent="0.25">
      <c r="T26410" s="135"/>
      <c r="U26410" s="135"/>
    </row>
    <row r="26411" spans="20:21" ht="15" customHeight="1" x14ac:dyDescent="0.25">
      <c r="T26411" s="135"/>
      <c r="U26411" s="135"/>
    </row>
    <row r="26412" spans="20:21" ht="15" customHeight="1" x14ac:dyDescent="0.25">
      <c r="T26412" s="135"/>
      <c r="U26412" s="135"/>
    </row>
    <row r="26413" spans="20:21" ht="15" customHeight="1" x14ac:dyDescent="0.25">
      <c r="T26413" s="135"/>
      <c r="U26413" s="135"/>
    </row>
    <row r="26414" spans="20:21" ht="15" customHeight="1" x14ac:dyDescent="0.25">
      <c r="T26414" s="135"/>
      <c r="U26414" s="135"/>
    </row>
    <row r="26415" spans="20:21" ht="15" customHeight="1" x14ac:dyDescent="0.25">
      <c r="T26415" s="135"/>
      <c r="U26415" s="135"/>
    </row>
    <row r="26416" spans="20:21" ht="15" customHeight="1" x14ac:dyDescent="0.25">
      <c r="T26416" s="135"/>
      <c r="U26416" s="135"/>
    </row>
    <row r="26417" spans="20:21" ht="15" customHeight="1" x14ac:dyDescent="0.25">
      <c r="T26417" s="135"/>
      <c r="U26417" s="135"/>
    </row>
    <row r="26418" spans="20:21" ht="15" customHeight="1" x14ac:dyDescent="0.25">
      <c r="T26418" s="135"/>
      <c r="U26418" s="135"/>
    </row>
    <row r="26419" spans="20:21" ht="15" customHeight="1" x14ac:dyDescent="0.25">
      <c r="T26419" s="135"/>
      <c r="U26419" s="135"/>
    </row>
    <row r="26420" spans="20:21" ht="15" customHeight="1" x14ac:dyDescent="0.25">
      <c r="T26420" s="135"/>
      <c r="U26420" s="135"/>
    </row>
    <row r="26421" spans="20:21" ht="15" customHeight="1" x14ac:dyDescent="0.25">
      <c r="T26421" s="135"/>
      <c r="U26421" s="135"/>
    </row>
    <row r="26422" spans="20:21" ht="15" customHeight="1" x14ac:dyDescent="0.25">
      <c r="T26422" s="135"/>
      <c r="U26422" s="135"/>
    </row>
    <row r="26423" spans="20:21" ht="15" customHeight="1" x14ac:dyDescent="0.25">
      <c r="T26423" s="135"/>
      <c r="U26423" s="135"/>
    </row>
    <row r="26424" spans="20:21" ht="15" customHeight="1" x14ac:dyDescent="0.25">
      <c r="T26424" s="135"/>
      <c r="U26424" s="135"/>
    </row>
    <row r="26425" spans="20:21" ht="15" customHeight="1" x14ac:dyDescent="0.25">
      <c r="T26425" s="135"/>
      <c r="U26425" s="135"/>
    </row>
    <row r="26426" spans="20:21" ht="15" customHeight="1" x14ac:dyDescent="0.25">
      <c r="T26426" s="135"/>
      <c r="U26426" s="135"/>
    </row>
    <row r="26427" spans="20:21" ht="15" customHeight="1" x14ac:dyDescent="0.25">
      <c r="T26427" s="135"/>
      <c r="U26427" s="135"/>
    </row>
    <row r="26428" spans="20:21" ht="15" customHeight="1" x14ac:dyDescent="0.25">
      <c r="T26428" s="135"/>
      <c r="U26428" s="135"/>
    </row>
    <row r="26429" spans="20:21" ht="15" customHeight="1" x14ac:dyDescent="0.25">
      <c r="T26429" s="135"/>
      <c r="U26429" s="135"/>
    </row>
    <row r="26430" spans="20:21" ht="15" customHeight="1" x14ac:dyDescent="0.25">
      <c r="T26430" s="135"/>
      <c r="U26430" s="135"/>
    </row>
    <row r="26431" spans="20:21" ht="15" customHeight="1" x14ac:dyDescent="0.25">
      <c r="T26431" s="135"/>
      <c r="U26431" s="135"/>
    </row>
    <row r="26432" spans="20:21" ht="15" customHeight="1" x14ac:dyDescent="0.25">
      <c r="T26432" s="135"/>
      <c r="U26432" s="135"/>
    </row>
    <row r="26433" spans="20:21" ht="15" customHeight="1" x14ac:dyDescent="0.25">
      <c r="T26433" s="135"/>
      <c r="U26433" s="135"/>
    </row>
    <row r="26434" spans="20:21" ht="15" customHeight="1" x14ac:dyDescent="0.25">
      <c r="T26434" s="135"/>
      <c r="U26434" s="135"/>
    </row>
    <row r="26435" spans="20:21" ht="15" customHeight="1" x14ac:dyDescent="0.25">
      <c r="T26435" s="135"/>
      <c r="U26435" s="135"/>
    </row>
    <row r="26436" spans="20:21" ht="15" customHeight="1" x14ac:dyDescent="0.25">
      <c r="T26436" s="135"/>
      <c r="U26436" s="135"/>
    </row>
    <row r="26437" spans="20:21" ht="15" customHeight="1" x14ac:dyDescent="0.25">
      <c r="T26437" s="135"/>
      <c r="U26437" s="135"/>
    </row>
    <row r="26438" spans="20:21" ht="15" customHeight="1" x14ac:dyDescent="0.25">
      <c r="T26438" s="135"/>
      <c r="U26438" s="135"/>
    </row>
    <row r="26439" spans="20:21" ht="15" customHeight="1" x14ac:dyDescent="0.25">
      <c r="T26439" s="135"/>
      <c r="U26439" s="135"/>
    </row>
    <row r="26440" spans="20:21" ht="15" customHeight="1" x14ac:dyDescent="0.25">
      <c r="T26440" s="135"/>
      <c r="U26440" s="135"/>
    </row>
    <row r="26441" spans="20:21" ht="15" customHeight="1" x14ac:dyDescent="0.25">
      <c r="T26441" s="135"/>
      <c r="U26441" s="135"/>
    </row>
    <row r="26442" spans="20:21" ht="15" customHeight="1" x14ac:dyDescent="0.25">
      <c r="T26442" s="135"/>
      <c r="U26442" s="135"/>
    </row>
    <row r="26443" spans="20:21" ht="15" customHeight="1" x14ac:dyDescent="0.25">
      <c r="T26443" s="135"/>
      <c r="U26443" s="135"/>
    </row>
    <row r="26444" spans="20:21" ht="15" customHeight="1" x14ac:dyDescent="0.25">
      <c r="T26444" s="135"/>
      <c r="U26444" s="135"/>
    </row>
    <row r="26445" spans="20:21" ht="15" customHeight="1" x14ac:dyDescent="0.25">
      <c r="T26445" s="135"/>
      <c r="U26445" s="135"/>
    </row>
    <row r="26446" spans="20:21" ht="15" customHeight="1" x14ac:dyDescent="0.25">
      <c r="T26446" s="135"/>
      <c r="U26446" s="135"/>
    </row>
    <row r="26447" spans="20:21" ht="15" customHeight="1" x14ac:dyDescent="0.25">
      <c r="T26447" s="135"/>
      <c r="U26447" s="135"/>
    </row>
    <row r="26448" spans="20:21" ht="15" customHeight="1" x14ac:dyDescent="0.25">
      <c r="T26448" s="135"/>
      <c r="U26448" s="135"/>
    </row>
    <row r="26449" spans="20:21" ht="15" customHeight="1" x14ac:dyDescent="0.25">
      <c r="T26449" s="135"/>
      <c r="U26449" s="135"/>
    </row>
    <row r="26450" spans="20:21" ht="15" customHeight="1" x14ac:dyDescent="0.25">
      <c r="T26450" s="135"/>
      <c r="U26450" s="135"/>
    </row>
    <row r="26451" spans="20:21" ht="15" customHeight="1" x14ac:dyDescent="0.25">
      <c r="T26451" s="135"/>
      <c r="U26451" s="135"/>
    </row>
    <row r="26452" spans="20:21" ht="15" customHeight="1" x14ac:dyDescent="0.25">
      <c r="T26452" s="135"/>
      <c r="U26452" s="135"/>
    </row>
    <row r="26453" spans="20:21" ht="15" customHeight="1" x14ac:dyDescent="0.25">
      <c r="T26453" s="135"/>
      <c r="U26453" s="135"/>
    </row>
    <row r="26454" spans="20:21" ht="15" customHeight="1" x14ac:dyDescent="0.25">
      <c r="T26454" s="135"/>
      <c r="U26454" s="135"/>
    </row>
    <row r="26455" spans="20:21" ht="15" customHeight="1" x14ac:dyDescent="0.25">
      <c r="T26455" s="135"/>
      <c r="U26455" s="135"/>
    </row>
    <row r="26456" spans="20:21" ht="15" customHeight="1" x14ac:dyDescent="0.25">
      <c r="T26456" s="135"/>
      <c r="U26456" s="135"/>
    </row>
    <row r="26457" spans="20:21" ht="15" customHeight="1" x14ac:dyDescent="0.25">
      <c r="T26457" s="135"/>
      <c r="U26457" s="135"/>
    </row>
    <row r="26458" spans="20:21" ht="15" customHeight="1" x14ac:dyDescent="0.25">
      <c r="T26458" s="135"/>
      <c r="U26458" s="135"/>
    </row>
    <row r="26459" spans="20:21" ht="15" customHeight="1" x14ac:dyDescent="0.25">
      <c r="T26459" s="135"/>
      <c r="U26459" s="135"/>
    </row>
    <row r="26460" spans="20:21" ht="15" customHeight="1" x14ac:dyDescent="0.25">
      <c r="T26460" s="135"/>
      <c r="U26460" s="135"/>
    </row>
    <row r="26461" spans="20:21" ht="15" customHeight="1" x14ac:dyDescent="0.25">
      <c r="T26461" s="135"/>
      <c r="U26461" s="135"/>
    </row>
    <row r="26462" spans="20:21" ht="15" customHeight="1" x14ac:dyDescent="0.25">
      <c r="T26462" s="135"/>
      <c r="U26462" s="135"/>
    </row>
    <row r="26463" spans="20:21" ht="15" customHeight="1" x14ac:dyDescent="0.25">
      <c r="T26463" s="135"/>
      <c r="U26463" s="135"/>
    </row>
    <row r="26464" spans="20:21" ht="15" customHeight="1" x14ac:dyDescent="0.25">
      <c r="T26464" s="135"/>
      <c r="U26464" s="135"/>
    </row>
    <row r="26465" spans="20:21" ht="15" customHeight="1" x14ac:dyDescent="0.25">
      <c r="T26465" s="135"/>
      <c r="U26465" s="135"/>
    </row>
    <row r="26466" spans="20:21" ht="15" customHeight="1" x14ac:dyDescent="0.25">
      <c r="T26466" s="135"/>
      <c r="U26466" s="135"/>
    </row>
    <row r="26467" spans="20:21" ht="15" customHeight="1" x14ac:dyDescent="0.25">
      <c r="T26467" s="135"/>
      <c r="U26467" s="135"/>
    </row>
    <row r="26468" spans="20:21" ht="15" customHeight="1" x14ac:dyDescent="0.25">
      <c r="T26468" s="135"/>
      <c r="U26468" s="135"/>
    </row>
    <row r="26469" spans="20:21" ht="15" customHeight="1" x14ac:dyDescent="0.25">
      <c r="T26469" s="135"/>
      <c r="U26469" s="135"/>
    </row>
    <row r="26470" spans="20:21" ht="15" customHeight="1" x14ac:dyDescent="0.25">
      <c r="T26470" s="135"/>
      <c r="U26470" s="135"/>
    </row>
    <row r="26471" spans="20:21" ht="15" customHeight="1" x14ac:dyDescent="0.25">
      <c r="T26471" s="135"/>
      <c r="U26471" s="135"/>
    </row>
    <row r="26472" spans="20:21" ht="15" customHeight="1" x14ac:dyDescent="0.25">
      <c r="T26472" s="135"/>
      <c r="U26472" s="135"/>
    </row>
    <row r="26473" spans="20:21" ht="15" customHeight="1" x14ac:dyDescent="0.25">
      <c r="T26473" s="135"/>
      <c r="U26473" s="135"/>
    </row>
    <row r="26474" spans="20:21" ht="15" customHeight="1" x14ac:dyDescent="0.25">
      <c r="T26474" s="135"/>
      <c r="U26474" s="135"/>
    </row>
    <row r="26475" spans="20:21" ht="15" customHeight="1" x14ac:dyDescent="0.25">
      <c r="T26475" s="135"/>
      <c r="U26475" s="135"/>
    </row>
    <row r="26476" spans="20:21" ht="15" customHeight="1" x14ac:dyDescent="0.25">
      <c r="T26476" s="135"/>
      <c r="U26476" s="135"/>
    </row>
    <row r="26477" spans="20:21" ht="15" customHeight="1" x14ac:dyDescent="0.25">
      <c r="T26477" s="135"/>
      <c r="U26477" s="135"/>
    </row>
    <row r="26478" spans="20:21" ht="15" customHeight="1" x14ac:dyDescent="0.25">
      <c r="T26478" s="135"/>
      <c r="U26478" s="135"/>
    </row>
    <row r="26479" spans="20:21" ht="15" customHeight="1" x14ac:dyDescent="0.25">
      <c r="T26479" s="135"/>
      <c r="U26479" s="135"/>
    </row>
    <row r="26480" spans="20:21" ht="15" customHeight="1" x14ac:dyDescent="0.25">
      <c r="T26480" s="135"/>
      <c r="U26480" s="135"/>
    </row>
    <row r="26481" spans="20:21" ht="15" customHeight="1" x14ac:dyDescent="0.25">
      <c r="T26481" s="135"/>
      <c r="U26481" s="135"/>
    </row>
    <row r="26482" spans="20:21" ht="15" customHeight="1" x14ac:dyDescent="0.25">
      <c r="T26482" s="135"/>
      <c r="U26482" s="135"/>
    </row>
    <row r="26483" spans="20:21" ht="15" customHeight="1" x14ac:dyDescent="0.25">
      <c r="T26483" s="135"/>
      <c r="U26483" s="135"/>
    </row>
    <row r="26484" spans="20:21" ht="15" customHeight="1" x14ac:dyDescent="0.25">
      <c r="T26484" s="135"/>
      <c r="U26484" s="135"/>
    </row>
    <row r="26485" spans="20:21" ht="15" customHeight="1" x14ac:dyDescent="0.25">
      <c r="T26485" s="135"/>
      <c r="U26485" s="135"/>
    </row>
    <row r="26486" spans="20:21" ht="15" customHeight="1" x14ac:dyDescent="0.25">
      <c r="T26486" s="135"/>
      <c r="U26486" s="135"/>
    </row>
    <row r="26487" spans="20:21" ht="15" customHeight="1" x14ac:dyDescent="0.25">
      <c r="T26487" s="135"/>
      <c r="U26487" s="135"/>
    </row>
    <row r="26488" spans="20:21" ht="15" customHeight="1" x14ac:dyDescent="0.25">
      <c r="T26488" s="135"/>
      <c r="U26488" s="135"/>
    </row>
    <row r="26489" spans="20:21" ht="15" customHeight="1" x14ac:dyDescent="0.25">
      <c r="T26489" s="135"/>
      <c r="U26489" s="135"/>
    </row>
    <row r="26490" spans="20:21" ht="15" customHeight="1" x14ac:dyDescent="0.25">
      <c r="T26490" s="135"/>
      <c r="U26490" s="135"/>
    </row>
    <row r="26491" spans="20:21" ht="15" customHeight="1" x14ac:dyDescent="0.25">
      <c r="T26491" s="135"/>
      <c r="U26491" s="135"/>
    </row>
    <row r="26492" spans="20:21" ht="15" customHeight="1" x14ac:dyDescent="0.25">
      <c r="T26492" s="135"/>
      <c r="U26492" s="135"/>
    </row>
    <row r="26493" spans="20:21" ht="15" customHeight="1" x14ac:dyDescent="0.25">
      <c r="T26493" s="135"/>
      <c r="U26493" s="135"/>
    </row>
    <row r="26494" spans="20:21" ht="15" customHeight="1" x14ac:dyDescent="0.25">
      <c r="T26494" s="135"/>
      <c r="U26494" s="135"/>
    </row>
    <row r="26495" spans="20:21" ht="15" customHeight="1" x14ac:dyDescent="0.25">
      <c r="T26495" s="135"/>
      <c r="U26495" s="135"/>
    </row>
    <row r="26496" spans="20:21" ht="15" customHeight="1" x14ac:dyDescent="0.25">
      <c r="T26496" s="135"/>
      <c r="U26496" s="135"/>
    </row>
    <row r="26497" spans="20:21" ht="15" customHeight="1" x14ac:dyDescent="0.25">
      <c r="T26497" s="135"/>
      <c r="U26497" s="135"/>
    </row>
    <row r="26498" spans="20:21" ht="15" customHeight="1" x14ac:dyDescent="0.25">
      <c r="T26498" s="135"/>
      <c r="U26498" s="135"/>
    </row>
    <row r="26499" spans="20:21" ht="15" customHeight="1" x14ac:dyDescent="0.25">
      <c r="T26499" s="135"/>
      <c r="U26499" s="135"/>
    </row>
    <row r="26500" spans="20:21" ht="15" customHeight="1" x14ac:dyDescent="0.25">
      <c r="T26500" s="135"/>
      <c r="U26500" s="135"/>
    </row>
    <row r="26501" spans="20:21" ht="15" customHeight="1" x14ac:dyDescent="0.25">
      <c r="T26501" s="135"/>
      <c r="U26501" s="135"/>
    </row>
    <row r="26502" spans="20:21" ht="15" customHeight="1" x14ac:dyDescent="0.25">
      <c r="T26502" s="135"/>
      <c r="U26502" s="135"/>
    </row>
    <row r="26503" spans="20:21" ht="15" customHeight="1" x14ac:dyDescent="0.25">
      <c r="T26503" s="135"/>
      <c r="U26503" s="135"/>
    </row>
    <row r="26504" spans="20:21" ht="15" customHeight="1" x14ac:dyDescent="0.25">
      <c r="T26504" s="135"/>
      <c r="U26504" s="135"/>
    </row>
    <row r="26505" spans="20:21" ht="15" customHeight="1" x14ac:dyDescent="0.25">
      <c r="T26505" s="135"/>
      <c r="U26505" s="135"/>
    </row>
    <row r="26506" spans="20:21" ht="15" customHeight="1" x14ac:dyDescent="0.25">
      <c r="T26506" s="135"/>
      <c r="U26506" s="135"/>
    </row>
    <row r="26507" spans="20:21" ht="15" customHeight="1" x14ac:dyDescent="0.25">
      <c r="T26507" s="135"/>
      <c r="U26507" s="135"/>
    </row>
    <row r="26508" spans="20:21" ht="15" customHeight="1" x14ac:dyDescent="0.25">
      <c r="T26508" s="135"/>
      <c r="U26508" s="135"/>
    </row>
    <row r="26509" spans="20:21" ht="15" customHeight="1" x14ac:dyDescent="0.25">
      <c r="T26509" s="135"/>
      <c r="U26509" s="135"/>
    </row>
    <row r="26510" spans="20:21" ht="15" customHeight="1" x14ac:dyDescent="0.25">
      <c r="T26510" s="135"/>
      <c r="U26510" s="135"/>
    </row>
    <row r="26511" spans="20:21" ht="15" customHeight="1" x14ac:dyDescent="0.25">
      <c r="T26511" s="135"/>
      <c r="U26511" s="135"/>
    </row>
    <row r="26512" spans="20:21" ht="15" customHeight="1" x14ac:dyDescent="0.25">
      <c r="T26512" s="135"/>
      <c r="U26512" s="135"/>
    </row>
    <row r="26513" spans="20:21" ht="15" customHeight="1" x14ac:dyDescent="0.25">
      <c r="T26513" s="135"/>
      <c r="U26513" s="135"/>
    </row>
    <row r="26514" spans="20:21" ht="15" customHeight="1" x14ac:dyDescent="0.25">
      <c r="T26514" s="135"/>
      <c r="U26514" s="135"/>
    </row>
    <row r="26515" spans="20:21" ht="15" customHeight="1" x14ac:dyDescent="0.25">
      <c r="T26515" s="135"/>
      <c r="U26515" s="135"/>
    </row>
    <row r="26516" spans="20:21" ht="15" customHeight="1" x14ac:dyDescent="0.25">
      <c r="T26516" s="135"/>
      <c r="U26516" s="135"/>
    </row>
    <row r="26517" spans="20:21" ht="15" customHeight="1" x14ac:dyDescent="0.25">
      <c r="T26517" s="135"/>
      <c r="U26517" s="135"/>
    </row>
    <row r="26518" spans="20:21" ht="15" customHeight="1" x14ac:dyDescent="0.25">
      <c r="T26518" s="135"/>
      <c r="U26518" s="135"/>
    </row>
    <row r="26519" spans="20:21" ht="15" customHeight="1" x14ac:dyDescent="0.25">
      <c r="T26519" s="135"/>
      <c r="U26519" s="135"/>
    </row>
    <row r="26520" spans="20:21" ht="15" customHeight="1" x14ac:dyDescent="0.25">
      <c r="T26520" s="135"/>
      <c r="U26520" s="135"/>
    </row>
    <row r="26521" spans="20:21" ht="15" customHeight="1" x14ac:dyDescent="0.25">
      <c r="T26521" s="135"/>
      <c r="U26521" s="135"/>
    </row>
    <row r="26522" spans="20:21" ht="15" customHeight="1" x14ac:dyDescent="0.25">
      <c r="T26522" s="135"/>
      <c r="U26522" s="135"/>
    </row>
    <row r="26523" spans="20:21" ht="15" customHeight="1" x14ac:dyDescent="0.25">
      <c r="T26523" s="135"/>
      <c r="U26523" s="135"/>
    </row>
    <row r="26524" spans="20:21" ht="15" customHeight="1" x14ac:dyDescent="0.25">
      <c r="T26524" s="135"/>
      <c r="U26524" s="135"/>
    </row>
    <row r="26525" spans="20:21" ht="15" customHeight="1" x14ac:dyDescent="0.25">
      <c r="T26525" s="135"/>
      <c r="U26525" s="135"/>
    </row>
    <row r="26526" spans="20:21" ht="15" customHeight="1" x14ac:dyDescent="0.25">
      <c r="T26526" s="135"/>
      <c r="U26526" s="135"/>
    </row>
    <row r="26527" spans="20:21" ht="15" customHeight="1" x14ac:dyDescent="0.25">
      <c r="T26527" s="135"/>
      <c r="U26527" s="135"/>
    </row>
    <row r="26528" spans="20:21" ht="15" customHeight="1" x14ac:dyDescent="0.25">
      <c r="T26528" s="135"/>
      <c r="U26528" s="135"/>
    </row>
    <row r="26529" spans="20:21" ht="15" customHeight="1" x14ac:dyDescent="0.25">
      <c r="T26529" s="135"/>
      <c r="U26529" s="135"/>
    </row>
    <row r="26530" spans="20:21" ht="15" customHeight="1" x14ac:dyDescent="0.25">
      <c r="T26530" s="135"/>
      <c r="U26530" s="135"/>
    </row>
    <row r="26531" spans="20:21" ht="15" customHeight="1" x14ac:dyDescent="0.25">
      <c r="T26531" s="135"/>
      <c r="U26531" s="135"/>
    </row>
    <row r="26532" spans="20:21" ht="15" customHeight="1" x14ac:dyDescent="0.25">
      <c r="T26532" s="135"/>
      <c r="U26532" s="135"/>
    </row>
    <row r="26533" spans="20:21" ht="15" customHeight="1" x14ac:dyDescent="0.25">
      <c r="T26533" s="135"/>
      <c r="U26533" s="135"/>
    </row>
    <row r="26534" spans="20:21" ht="15" customHeight="1" x14ac:dyDescent="0.25">
      <c r="T26534" s="135"/>
      <c r="U26534" s="135"/>
    </row>
    <row r="26535" spans="20:21" ht="15" customHeight="1" x14ac:dyDescent="0.25">
      <c r="T26535" s="135"/>
      <c r="U26535" s="135"/>
    </row>
    <row r="26536" spans="20:21" ht="15" customHeight="1" x14ac:dyDescent="0.25">
      <c r="T26536" s="135"/>
      <c r="U26536" s="135"/>
    </row>
    <row r="26537" spans="20:21" ht="15" customHeight="1" x14ac:dyDescent="0.25">
      <c r="T26537" s="135"/>
      <c r="U26537" s="135"/>
    </row>
    <row r="26538" spans="20:21" ht="15" customHeight="1" x14ac:dyDescent="0.25">
      <c r="T26538" s="135"/>
      <c r="U26538" s="135"/>
    </row>
    <row r="26539" spans="20:21" ht="15" customHeight="1" x14ac:dyDescent="0.25">
      <c r="T26539" s="135"/>
      <c r="U26539" s="135"/>
    </row>
    <row r="26540" spans="20:21" ht="15" customHeight="1" x14ac:dyDescent="0.25">
      <c r="T26540" s="135"/>
      <c r="U26540" s="135"/>
    </row>
    <row r="26541" spans="20:21" ht="15" customHeight="1" x14ac:dyDescent="0.25">
      <c r="T26541" s="135"/>
      <c r="U26541" s="135"/>
    </row>
    <row r="26542" spans="20:21" ht="15" customHeight="1" x14ac:dyDescent="0.25">
      <c r="T26542" s="135"/>
      <c r="U26542" s="135"/>
    </row>
    <row r="26543" spans="20:21" ht="15" customHeight="1" x14ac:dyDescent="0.25">
      <c r="T26543" s="135"/>
      <c r="U26543" s="135"/>
    </row>
    <row r="26544" spans="20:21" ht="15" customHeight="1" x14ac:dyDescent="0.25">
      <c r="T26544" s="135"/>
      <c r="U26544" s="135"/>
    </row>
    <row r="26545" spans="20:21" ht="15" customHeight="1" x14ac:dyDescent="0.25">
      <c r="T26545" s="135"/>
      <c r="U26545" s="135"/>
    </row>
    <row r="26546" spans="20:21" ht="15" customHeight="1" x14ac:dyDescent="0.25">
      <c r="T26546" s="135"/>
      <c r="U26546" s="135"/>
    </row>
    <row r="26547" spans="20:21" ht="15" customHeight="1" x14ac:dyDescent="0.25">
      <c r="T26547" s="135"/>
      <c r="U26547" s="135"/>
    </row>
    <row r="26548" spans="20:21" ht="15" customHeight="1" x14ac:dyDescent="0.25">
      <c r="T26548" s="135"/>
      <c r="U26548" s="135"/>
    </row>
    <row r="26549" spans="20:21" ht="15" customHeight="1" x14ac:dyDescent="0.25">
      <c r="T26549" s="135"/>
      <c r="U26549" s="135"/>
    </row>
    <row r="26550" spans="20:21" ht="15" customHeight="1" x14ac:dyDescent="0.25">
      <c r="T26550" s="135"/>
      <c r="U26550" s="135"/>
    </row>
    <row r="26551" spans="20:21" ht="15" customHeight="1" x14ac:dyDescent="0.25">
      <c r="T26551" s="135"/>
      <c r="U26551" s="135"/>
    </row>
    <row r="26552" spans="20:21" ht="15" customHeight="1" x14ac:dyDescent="0.25">
      <c r="T26552" s="135"/>
      <c r="U26552" s="135"/>
    </row>
    <row r="26553" spans="20:21" ht="15" customHeight="1" x14ac:dyDescent="0.25">
      <c r="T26553" s="135"/>
      <c r="U26553" s="135"/>
    </row>
    <row r="26554" spans="20:21" ht="15" customHeight="1" x14ac:dyDescent="0.25">
      <c r="T26554" s="135"/>
      <c r="U26554" s="135"/>
    </row>
    <row r="26555" spans="20:21" ht="15" customHeight="1" x14ac:dyDescent="0.25">
      <c r="T26555" s="135"/>
      <c r="U26555" s="135"/>
    </row>
    <row r="26556" spans="20:21" ht="15" customHeight="1" x14ac:dyDescent="0.25">
      <c r="T26556" s="135"/>
      <c r="U26556" s="135"/>
    </row>
    <row r="26557" spans="20:21" ht="15" customHeight="1" x14ac:dyDescent="0.25">
      <c r="T26557" s="135"/>
      <c r="U26557" s="135"/>
    </row>
    <row r="26558" spans="20:21" ht="15" customHeight="1" x14ac:dyDescent="0.25">
      <c r="T26558" s="135"/>
      <c r="U26558" s="135"/>
    </row>
    <row r="26559" spans="20:21" ht="15" customHeight="1" x14ac:dyDescent="0.25">
      <c r="T26559" s="135"/>
      <c r="U26559" s="135"/>
    </row>
    <row r="26560" spans="20:21" ht="15" customHeight="1" x14ac:dyDescent="0.25">
      <c r="T26560" s="135"/>
      <c r="U26560" s="135"/>
    </row>
    <row r="26561" spans="20:21" ht="15" customHeight="1" x14ac:dyDescent="0.25">
      <c r="T26561" s="135"/>
      <c r="U26561" s="135"/>
    </row>
    <row r="26562" spans="20:21" ht="15" customHeight="1" x14ac:dyDescent="0.25">
      <c r="T26562" s="135"/>
      <c r="U26562" s="135"/>
    </row>
    <row r="26563" spans="20:21" ht="15" customHeight="1" x14ac:dyDescent="0.25">
      <c r="T26563" s="135"/>
      <c r="U26563" s="135"/>
    </row>
    <row r="26564" spans="20:21" ht="15" customHeight="1" x14ac:dyDescent="0.25">
      <c r="T26564" s="135"/>
      <c r="U26564" s="135"/>
    </row>
    <row r="26565" spans="20:21" ht="15" customHeight="1" x14ac:dyDescent="0.25">
      <c r="T26565" s="135"/>
      <c r="U26565" s="135"/>
    </row>
    <row r="26566" spans="20:21" ht="15" customHeight="1" x14ac:dyDescent="0.25">
      <c r="T26566" s="135"/>
      <c r="U26566" s="135"/>
    </row>
    <row r="26567" spans="20:21" ht="15" customHeight="1" x14ac:dyDescent="0.25">
      <c r="T26567" s="135"/>
      <c r="U26567" s="135"/>
    </row>
    <row r="26568" spans="20:21" ht="15" customHeight="1" x14ac:dyDescent="0.25">
      <c r="T26568" s="135"/>
      <c r="U26568" s="135"/>
    </row>
    <row r="26569" spans="20:21" ht="15" customHeight="1" x14ac:dyDescent="0.25">
      <c r="T26569" s="135"/>
      <c r="U26569" s="135"/>
    </row>
    <row r="26570" spans="20:21" ht="15" customHeight="1" x14ac:dyDescent="0.25">
      <c r="T26570" s="135"/>
      <c r="U26570" s="135"/>
    </row>
    <row r="26571" spans="20:21" ht="15" customHeight="1" x14ac:dyDescent="0.25">
      <c r="T26571" s="135"/>
      <c r="U26571" s="135"/>
    </row>
    <row r="26572" spans="20:21" ht="15" customHeight="1" x14ac:dyDescent="0.25">
      <c r="T26572" s="135"/>
      <c r="U26572" s="135"/>
    </row>
    <row r="26573" spans="20:21" ht="15" customHeight="1" x14ac:dyDescent="0.25">
      <c r="T26573" s="135"/>
      <c r="U26573" s="135"/>
    </row>
    <row r="26574" spans="20:21" ht="15" customHeight="1" x14ac:dyDescent="0.25">
      <c r="T26574" s="135"/>
      <c r="U26574" s="135"/>
    </row>
    <row r="26575" spans="20:21" ht="15" customHeight="1" x14ac:dyDescent="0.25">
      <c r="T26575" s="135"/>
      <c r="U26575" s="135"/>
    </row>
    <row r="26576" spans="20:21" ht="15" customHeight="1" x14ac:dyDescent="0.25">
      <c r="T26576" s="135"/>
      <c r="U26576" s="135"/>
    </row>
    <row r="26577" spans="20:21" ht="15" customHeight="1" x14ac:dyDescent="0.25">
      <c r="T26577" s="135"/>
      <c r="U26577" s="135"/>
    </row>
    <row r="26578" spans="20:21" ht="15" customHeight="1" x14ac:dyDescent="0.25">
      <c r="T26578" s="135"/>
      <c r="U26578" s="135"/>
    </row>
    <row r="26579" spans="20:21" ht="15" customHeight="1" x14ac:dyDescent="0.25">
      <c r="T26579" s="135"/>
      <c r="U26579" s="135"/>
    </row>
    <row r="26580" spans="20:21" ht="15" customHeight="1" x14ac:dyDescent="0.25">
      <c r="T26580" s="135"/>
      <c r="U26580" s="135"/>
    </row>
    <row r="26581" spans="20:21" ht="15" customHeight="1" x14ac:dyDescent="0.25">
      <c r="T26581" s="135"/>
      <c r="U26581" s="135"/>
    </row>
    <row r="26582" spans="20:21" ht="15" customHeight="1" x14ac:dyDescent="0.25">
      <c r="T26582" s="135"/>
      <c r="U26582" s="135"/>
    </row>
    <row r="26583" spans="20:21" ht="15" customHeight="1" x14ac:dyDescent="0.25">
      <c r="T26583" s="135"/>
      <c r="U26583" s="135"/>
    </row>
    <row r="26584" spans="20:21" ht="15" customHeight="1" x14ac:dyDescent="0.25">
      <c r="T26584" s="135"/>
      <c r="U26584" s="135"/>
    </row>
    <row r="26585" spans="20:21" ht="15" customHeight="1" x14ac:dyDescent="0.25">
      <c r="T26585" s="135"/>
      <c r="U26585" s="135"/>
    </row>
    <row r="26586" spans="20:21" ht="15" customHeight="1" x14ac:dyDescent="0.25">
      <c r="T26586" s="135"/>
      <c r="U26586" s="135"/>
    </row>
    <row r="26587" spans="20:21" ht="15" customHeight="1" x14ac:dyDescent="0.25">
      <c r="T26587" s="135"/>
      <c r="U26587" s="135"/>
    </row>
    <row r="26588" spans="20:21" ht="15" customHeight="1" x14ac:dyDescent="0.25">
      <c r="T26588" s="135"/>
      <c r="U26588" s="135"/>
    </row>
    <row r="26589" spans="20:21" ht="15" customHeight="1" x14ac:dyDescent="0.25">
      <c r="T26589" s="135"/>
      <c r="U26589" s="135"/>
    </row>
    <row r="26590" spans="20:21" ht="15" customHeight="1" x14ac:dyDescent="0.25">
      <c r="T26590" s="135"/>
      <c r="U26590" s="135"/>
    </row>
    <row r="26591" spans="20:21" ht="15" customHeight="1" x14ac:dyDescent="0.25">
      <c r="T26591" s="135"/>
      <c r="U26591" s="135"/>
    </row>
    <row r="26592" spans="20:21" ht="15" customHeight="1" x14ac:dyDescent="0.25">
      <c r="T26592" s="135"/>
      <c r="U26592" s="135"/>
    </row>
    <row r="26593" spans="20:21" ht="15" customHeight="1" x14ac:dyDescent="0.25">
      <c r="T26593" s="135"/>
      <c r="U26593" s="135"/>
    </row>
    <row r="26594" spans="20:21" ht="15" customHeight="1" x14ac:dyDescent="0.25">
      <c r="T26594" s="135"/>
      <c r="U26594" s="135"/>
    </row>
    <row r="26595" spans="20:21" ht="15" customHeight="1" x14ac:dyDescent="0.25">
      <c r="T26595" s="135"/>
      <c r="U26595" s="135"/>
    </row>
    <row r="26596" spans="20:21" ht="15" customHeight="1" x14ac:dyDescent="0.25">
      <c r="T26596" s="135"/>
      <c r="U26596" s="135"/>
    </row>
    <row r="26597" spans="20:21" ht="15" customHeight="1" x14ac:dyDescent="0.25">
      <c r="T26597" s="135"/>
      <c r="U26597" s="135"/>
    </row>
    <row r="26598" spans="20:21" ht="15" customHeight="1" x14ac:dyDescent="0.25">
      <c r="T26598" s="135"/>
      <c r="U26598" s="135"/>
    </row>
    <row r="26599" spans="20:21" ht="15" customHeight="1" x14ac:dyDescent="0.25">
      <c r="T26599" s="135"/>
      <c r="U26599" s="135"/>
    </row>
    <row r="26600" spans="20:21" ht="15" customHeight="1" x14ac:dyDescent="0.25">
      <c r="T26600" s="135"/>
      <c r="U26600" s="135"/>
    </row>
    <row r="26601" spans="20:21" ht="15" customHeight="1" x14ac:dyDescent="0.25">
      <c r="T26601" s="135"/>
      <c r="U26601" s="135"/>
    </row>
    <row r="26602" spans="20:21" ht="15" customHeight="1" x14ac:dyDescent="0.25">
      <c r="T26602" s="135"/>
      <c r="U26602" s="135"/>
    </row>
    <row r="26603" spans="20:21" ht="15" customHeight="1" x14ac:dyDescent="0.25">
      <c r="T26603" s="135"/>
      <c r="U26603" s="135"/>
    </row>
    <row r="26604" spans="20:21" ht="15" customHeight="1" x14ac:dyDescent="0.25">
      <c r="T26604" s="135"/>
      <c r="U26604" s="135"/>
    </row>
    <row r="26605" spans="20:21" ht="15" customHeight="1" x14ac:dyDescent="0.25">
      <c r="T26605" s="135"/>
      <c r="U26605" s="135"/>
    </row>
    <row r="26606" spans="20:21" ht="15" customHeight="1" x14ac:dyDescent="0.25">
      <c r="T26606" s="135"/>
      <c r="U26606" s="135"/>
    </row>
    <row r="26607" spans="20:21" ht="15" customHeight="1" x14ac:dyDescent="0.25">
      <c r="T26607" s="135"/>
      <c r="U26607" s="135"/>
    </row>
    <row r="26608" spans="20:21" ht="15" customHeight="1" x14ac:dyDescent="0.25">
      <c r="T26608" s="135"/>
      <c r="U26608" s="135"/>
    </row>
    <row r="26609" spans="20:21" ht="15" customHeight="1" x14ac:dyDescent="0.25">
      <c r="T26609" s="135"/>
      <c r="U26609" s="135"/>
    </row>
    <row r="26610" spans="20:21" ht="15" customHeight="1" x14ac:dyDescent="0.25">
      <c r="T26610" s="135"/>
      <c r="U26610" s="135"/>
    </row>
    <row r="26611" spans="20:21" ht="15" customHeight="1" x14ac:dyDescent="0.25">
      <c r="T26611" s="135"/>
      <c r="U26611" s="135"/>
    </row>
    <row r="26612" spans="20:21" ht="15" customHeight="1" x14ac:dyDescent="0.25">
      <c r="T26612" s="135"/>
      <c r="U26612" s="135"/>
    </row>
    <row r="26613" spans="20:21" ht="15" customHeight="1" x14ac:dyDescent="0.25">
      <c r="T26613" s="135"/>
      <c r="U26613" s="135"/>
    </row>
    <row r="26614" spans="20:21" ht="15" customHeight="1" x14ac:dyDescent="0.25">
      <c r="T26614" s="135"/>
      <c r="U26614" s="135"/>
    </row>
    <row r="26615" spans="20:21" ht="15" customHeight="1" x14ac:dyDescent="0.25">
      <c r="T26615" s="135"/>
      <c r="U26615" s="135"/>
    </row>
    <row r="26616" spans="20:21" ht="15" customHeight="1" x14ac:dyDescent="0.25">
      <c r="T26616" s="135"/>
      <c r="U26616" s="135"/>
    </row>
    <row r="26617" spans="20:21" ht="15" customHeight="1" x14ac:dyDescent="0.25">
      <c r="T26617" s="135"/>
      <c r="U26617" s="135"/>
    </row>
    <row r="26618" spans="20:21" ht="15" customHeight="1" x14ac:dyDescent="0.25">
      <c r="T26618" s="135"/>
      <c r="U26618" s="135"/>
    </row>
    <row r="26619" spans="20:21" ht="15" customHeight="1" x14ac:dyDescent="0.25">
      <c r="T26619" s="135"/>
      <c r="U26619" s="135"/>
    </row>
    <row r="26620" spans="20:21" ht="15" customHeight="1" x14ac:dyDescent="0.25">
      <c r="T26620" s="135"/>
      <c r="U26620" s="135"/>
    </row>
    <row r="26621" spans="20:21" ht="15" customHeight="1" x14ac:dyDescent="0.25">
      <c r="T26621" s="135"/>
      <c r="U26621" s="135"/>
    </row>
    <row r="26622" spans="20:21" ht="15" customHeight="1" x14ac:dyDescent="0.25">
      <c r="T26622" s="135"/>
      <c r="U26622" s="135"/>
    </row>
    <row r="26623" spans="20:21" ht="15" customHeight="1" x14ac:dyDescent="0.25">
      <c r="T26623" s="135"/>
      <c r="U26623" s="135"/>
    </row>
    <row r="26624" spans="20:21" ht="15" customHeight="1" x14ac:dyDescent="0.25">
      <c r="T26624" s="135"/>
      <c r="U26624" s="135"/>
    </row>
    <row r="26625" spans="20:21" ht="15" customHeight="1" x14ac:dyDescent="0.25">
      <c r="T26625" s="135"/>
      <c r="U26625" s="135"/>
    </row>
    <row r="26626" spans="20:21" ht="15" customHeight="1" x14ac:dyDescent="0.25">
      <c r="T26626" s="135"/>
      <c r="U26626" s="135"/>
    </row>
    <row r="26627" spans="20:21" ht="15" customHeight="1" x14ac:dyDescent="0.25">
      <c r="T26627" s="135"/>
      <c r="U26627" s="135"/>
    </row>
    <row r="26628" spans="20:21" ht="15" customHeight="1" x14ac:dyDescent="0.25">
      <c r="T26628" s="135"/>
      <c r="U26628" s="135"/>
    </row>
    <row r="26629" spans="20:21" ht="15" customHeight="1" x14ac:dyDescent="0.25">
      <c r="T26629" s="135"/>
      <c r="U26629" s="135"/>
    </row>
    <row r="26630" spans="20:21" ht="15" customHeight="1" x14ac:dyDescent="0.25">
      <c r="T26630" s="135"/>
      <c r="U26630" s="135"/>
    </row>
    <row r="26631" spans="20:21" ht="15" customHeight="1" x14ac:dyDescent="0.25">
      <c r="T26631" s="135"/>
      <c r="U26631" s="135"/>
    </row>
    <row r="26632" spans="20:21" ht="15" customHeight="1" x14ac:dyDescent="0.25">
      <c r="T26632" s="135"/>
      <c r="U26632" s="135"/>
    </row>
    <row r="26633" spans="20:21" ht="15" customHeight="1" x14ac:dyDescent="0.25">
      <c r="T26633" s="135"/>
      <c r="U26633" s="135"/>
    </row>
    <row r="26634" spans="20:21" ht="15" customHeight="1" x14ac:dyDescent="0.25">
      <c r="T26634" s="135"/>
      <c r="U26634" s="135"/>
    </row>
    <row r="26635" spans="20:21" ht="15" customHeight="1" x14ac:dyDescent="0.25">
      <c r="T26635" s="135"/>
      <c r="U26635" s="135"/>
    </row>
    <row r="26636" spans="20:21" ht="15" customHeight="1" x14ac:dyDescent="0.25">
      <c r="T26636" s="135"/>
      <c r="U26636" s="135"/>
    </row>
    <row r="26637" spans="20:21" ht="15" customHeight="1" x14ac:dyDescent="0.25">
      <c r="T26637" s="135"/>
      <c r="U26637" s="135"/>
    </row>
    <row r="26638" spans="20:21" ht="15" customHeight="1" x14ac:dyDescent="0.25">
      <c r="T26638" s="135"/>
      <c r="U26638" s="135"/>
    </row>
    <row r="26639" spans="20:21" ht="15" customHeight="1" x14ac:dyDescent="0.25">
      <c r="T26639" s="135"/>
      <c r="U26639" s="135"/>
    </row>
    <row r="26640" spans="20:21" ht="15" customHeight="1" x14ac:dyDescent="0.25">
      <c r="T26640" s="135"/>
      <c r="U26640" s="135"/>
    </row>
    <row r="26641" spans="20:21" ht="15" customHeight="1" x14ac:dyDescent="0.25">
      <c r="T26641" s="135"/>
      <c r="U26641" s="135"/>
    </row>
    <row r="26642" spans="20:21" ht="15" customHeight="1" x14ac:dyDescent="0.25">
      <c r="T26642" s="135"/>
      <c r="U26642" s="135"/>
    </row>
    <row r="26643" spans="20:21" ht="15" customHeight="1" x14ac:dyDescent="0.25">
      <c r="T26643" s="135"/>
      <c r="U26643" s="135"/>
    </row>
    <row r="26644" spans="20:21" ht="15" customHeight="1" x14ac:dyDescent="0.25">
      <c r="T26644" s="135"/>
      <c r="U26644" s="135"/>
    </row>
    <row r="26645" spans="20:21" ht="15" customHeight="1" x14ac:dyDescent="0.25">
      <c r="T26645" s="135"/>
      <c r="U26645" s="135"/>
    </row>
    <row r="26646" spans="20:21" ht="15" customHeight="1" x14ac:dyDescent="0.25">
      <c r="T26646" s="135"/>
      <c r="U26646" s="135"/>
    </row>
    <row r="26647" spans="20:21" ht="15" customHeight="1" x14ac:dyDescent="0.25">
      <c r="T26647" s="135"/>
      <c r="U26647" s="135"/>
    </row>
    <row r="26648" spans="20:21" ht="15" customHeight="1" x14ac:dyDescent="0.25">
      <c r="T26648" s="135"/>
      <c r="U26648" s="135"/>
    </row>
    <row r="26649" spans="20:21" ht="15" customHeight="1" x14ac:dyDescent="0.25">
      <c r="T26649" s="135"/>
      <c r="U26649" s="135"/>
    </row>
    <row r="26650" spans="20:21" ht="15" customHeight="1" x14ac:dyDescent="0.25">
      <c r="T26650" s="135"/>
      <c r="U26650" s="135"/>
    </row>
    <row r="26651" spans="20:21" ht="15" customHeight="1" x14ac:dyDescent="0.25">
      <c r="T26651" s="135"/>
      <c r="U26651" s="135"/>
    </row>
    <row r="26652" spans="20:21" ht="15" customHeight="1" x14ac:dyDescent="0.25">
      <c r="T26652" s="135"/>
      <c r="U26652" s="135"/>
    </row>
    <row r="26653" spans="20:21" ht="15" customHeight="1" x14ac:dyDescent="0.25">
      <c r="T26653" s="135"/>
      <c r="U26653" s="135"/>
    </row>
    <row r="26654" spans="20:21" ht="15" customHeight="1" x14ac:dyDescent="0.25">
      <c r="T26654" s="135"/>
      <c r="U26654" s="135"/>
    </row>
    <row r="26655" spans="20:21" ht="15" customHeight="1" x14ac:dyDescent="0.25">
      <c r="T26655" s="135"/>
      <c r="U26655" s="135"/>
    </row>
    <row r="26656" spans="20:21" ht="15" customHeight="1" x14ac:dyDescent="0.25">
      <c r="T26656" s="135"/>
      <c r="U26656" s="135"/>
    </row>
    <row r="26657" spans="20:21" ht="15" customHeight="1" x14ac:dyDescent="0.25">
      <c r="T26657" s="135"/>
      <c r="U26657" s="135"/>
    </row>
    <row r="26658" spans="20:21" ht="15" customHeight="1" x14ac:dyDescent="0.25">
      <c r="T26658" s="135"/>
      <c r="U26658" s="135"/>
    </row>
    <row r="26659" spans="20:21" ht="15" customHeight="1" x14ac:dyDescent="0.25">
      <c r="T26659" s="135"/>
      <c r="U26659" s="135"/>
    </row>
    <row r="26660" spans="20:21" ht="15" customHeight="1" x14ac:dyDescent="0.25">
      <c r="T26660" s="135"/>
      <c r="U26660" s="135"/>
    </row>
    <row r="26661" spans="20:21" ht="15" customHeight="1" x14ac:dyDescent="0.25">
      <c r="T26661" s="135"/>
      <c r="U26661" s="135"/>
    </row>
    <row r="26662" spans="20:21" ht="15" customHeight="1" x14ac:dyDescent="0.25">
      <c r="T26662" s="135"/>
      <c r="U26662" s="135"/>
    </row>
    <row r="26663" spans="20:21" ht="15" customHeight="1" x14ac:dyDescent="0.25">
      <c r="T26663" s="135"/>
      <c r="U26663" s="135"/>
    </row>
    <row r="26664" spans="20:21" ht="15" customHeight="1" x14ac:dyDescent="0.25">
      <c r="T26664" s="135"/>
      <c r="U26664" s="135"/>
    </row>
    <row r="26665" spans="20:21" ht="15" customHeight="1" x14ac:dyDescent="0.25">
      <c r="T26665" s="135"/>
      <c r="U26665" s="135"/>
    </row>
    <row r="26666" spans="20:21" ht="15" customHeight="1" x14ac:dyDescent="0.25">
      <c r="T26666" s="135"/>
      <c r="U26666" s="135"/>
    </row>
    <row r="26667" spans="20:21" ht="15" customHeight="1" x14ac:dyDescent="0.25">
      <c r="T26667" s="135"/>
      <c r="U26667" s="135"/>
    </row>
    <row r="26668" spans="20:21" ht="15" customHeight="1" x14ac:dyDescent="0.25">
      <c r="T26668" s="135"/>
      <c r="U26668" s="135"/>
    </row>
    <row r="26669" spans="20:21" ht="15" customHeight="1" x14ac:dyDescent="0.25">
      <c r="T26669" s="135"/>
      <c r="U26669" s="135"/>
    </row>
    <row r="26670" spans="20:21" ht="15" customHeight="1" x14ac:dyDescent="0.25">
      <c r="T26670" s="135"/>
      <c r="U26670" s="135"/>
    </row>
    <row r="26671" spans="20:21" ht="15" customHeight="1" x14ac:dyDescent="0.25">
      <c r="T26671" s="135"/>
      <c r="U26671" s="135"/>
    </row>
    <row r="26672" spans="20:21" ht="15" customHeight="1" x14ac:dyDescent="0.25">
      <c r="T26672" s="135"/>
      <c r="U26672" s="135"/>
    </row>
    <row r="26673" spans="20:21" ht="15" customHeight="1" x14ac:dyDescent="0.25">
      <c r="T26673" s="135"/>
      <c r="U26673" s="135"/>
    </row>
    <row r="26674" spans="20:21" ht="15" customHeight="1" x14ac:dyDescent="0.25">
      <c r="T26674" s="135"/>
      <c r="U26674" s="135"/>
    </row>
    <row r="26675" spans="20:21" ht="15" customHeight="1" x14ac:dyDescent="0.25">
      <c r="T26675" s="135"/>
      <c r="U26675" s="135"/>
    </row>
    <row r="26676" spans="20:21" ht="15" customHeight="1" x14ac:dyDescent="0.25">
      <c r="T26676" s="135"/>
      <c r="U26676" s="135"/>
    </row>
    <row r="26677" spans="20:21" ht="15" customHeight="1" x14ac:dyDescent="0.25">
      <c r="T26677" s="135"/>
      <c r="U26677" s="135"/>
    </row>
    <row r="26678" spans="20:21" ht="15" customHeight="1" x14ac:dyDescent="0.25">
      <c r="T26678" s="135"/>
      <c r="U26678" s="135"/>
    </row>
    <row r="26679" spans="20:21" ht="15" customHeight="1" x14ac:dyDescent="0.25">
      <c r="T26679" s="135"/>
      <c r="U26679" s="135"/>
    </row>
    <row r="26680" spans="20:21" ht="15" customHeight="1" x14ac:dyDescent="0.25">
      <c r="T26680" s="135"/>
      <c r="U26680" s="135"/>
    </row>
    <row r="26681" spans="20:21" ht="15" customHeight="1" x14ac:dyDescent="0.25">
      <c r="T26681" s="135"/>
      <c r="U26681" s="135"/>
    </row>
    <row r="26682" spans="20:21" ht="15" customHeight="1" x14ac:dyDescent="0.25">
      <c r="T26682" s="135"/>
      <c r="U26682" s="135"/>
    </row>
    <row r="26683" spans="20:21" ht="15" customHeight="1" x14ac:dyDescent="0.25">
      <c r="T26683" s="135"/>
      <c r="U26683" s="135"/>
    </row>
    <row r="26684" spans="20:21" ht="15" customHeight="1" x14ac:dyDescent="0.25">
      <c r="T26684" s="135"/>
      <c r="U26684" s="135"/>
    </row>
    <row r="26685" spans="20:21" ht="15" customHeight="1" x14ac:dyDescent="0.25">
      <c r="T26685" s="135"/>
      <c r="U26685" s="135"/>
    </row>
    <row r="26686" spans="20:21" ht="15" customHeight="1" x14ac:dyDescent="0.25">
      <c r="T26686" s="135"/>
      <c r="U26686" s="135"/>
    </row>
    <row r="26687" spans="20:21" ht="15" customHeight="1" x14ac:dyDescent="0.25">
      <c r="T26687" s="135"/>
      <c r="U26687" s="135"/>
    </row>
    <row r="26688" spans="20:21" ht="15" customHeight="1" x14ac:dyDescent="0.25">
      <c r="T26688" s="135"/>
      <c r="U26688" s="135"/>
    </row>
    <row r="26689" spans="20:21" ht="15" customHeight="1" x14ac:dyDescent="0.25">
      <c r="T26689" s="135"/>
      <c r="U26689" s="135"/>
    </row>
    <row r="26690" spans="20:21" ht="15" customHeight="1" x14ac:dyDescent="0.25">
      <c r="T26690" s="135"/>
      <c r="U26690" s="135"/>
    </row>
    <row r="26691" spans="20:21" ht="15" customHeight="1" x14ac:dyDescent="0.25">
      <c r="T26691" s="135"/>
      <c r="U26691" s="135"/>
    </row>
    <row r="26692" spans="20:21" ht="15" customHeight="1" x14ac:dyDescent="0.25">
      <c r="T26692" s="135"/>
      <c r="U26692" s="135"/>
    </row>
    <row r="26693" spans="20:21" ht="15" customHeight="1" x14ac:dyDescent="0.25">
      <c r="T26693" s="135"/>
      <c r="U26693" s="135"/>
    </row>
    <row r="26694" spans="20:21" ht="15" customHeight="1" x14ac:dyDescent="0.25">
      <c r="T26694" s="135"/>
      <c r="U26694" s="135"/>
    </row>
    <row r="26695" spans="20:21" ht="15" customHeight="1" x14ac:dyDescent="0.25">
      <c r="T26695" s="135"/>
      <c r="U26695" s="135"/>
    </row>
    <row r="26696" spans="20:21" ht="15" customHeight="1" x14ac:dyDescent="0.25">
      <c r="T26696" s="135"/>
      <c r="U26696" s="135"/>
    </row>
    <row r="26697" spans="20:21" ht="15" customHeight="1" x14ac:dyDescent="0.25">
      <c r="T26697" s="135"/>
      <c r="U26697" s="135"/>
    </row>
    <row r="26698" spans="20:21" ht="15" customHeight="1" x14ac:dyDescent="0.25">
      <c r="T26698" s="135"/>
      <c r="U26698" s="135"/>
    </row>
    <row r="26699" spans="20:21" ht="15" customHeight="1" x14ac:dyDescent="0.25">
      <c r="T26699" s="135"/>
      <c r="U26699" s="135"/>
    </row>
    <row r="26700" spans="20:21" ht="15" customHeight="1" x14ac:dyDescent="0.25">
      <c r="T26700" s="135"/>
      <c r="U26700" s="135"/>
    </row>
    <row r="26701" spans="20:21" ht="15" customHeight="1" x14ac:dyDescent="0.25">
      <c r="T26701" s="135"/>
      <c r="U26701" s="135"/>
    </row>
    <row r="26702" spans="20:21" ht="15" customHeight="1" x14ac:dyDescent="0.25">
      <c r="T26702" s="135"/>
      <c r="U26702" s="135"/>
    </row>
    <row r="26703" spans="20:21" ht="15" customHeight="1" x14ac:dyDescent="0.25">
      <c r="T26703" s="135"/>
      <c r="U26703" s="135"/>
    </row>
    <row r="26704" spans="20:21" ht="15" customHeight="1" x14ac:dyDescent="0.25">
      <c r="T26704" s="135"/>
      <c r="U26704" s="135"/>
    </row>
    <row r="26705" spans="20:21" ht="15" customHeight="1" x14ac:dyDescent="0.25">
      <c r="T26705" s="135"/>
      <c r="U26705" s="135"/>
    </row>
    <row r="26706" spans="20:21" ht="15" customHeight="1" x14ac:dyDescent="0.25">
      <c r="T26706" s="135"/>
      <c r="U26706" s="135"/>
    </row>
    <row r="26707" spans="20:21" ht="15" customHeight="1" x14ac:dyDescent="0.25">
      <c r="T26707" s="135"/>
      <c r="U26707" s="135"/>
    </row>
    <row r="26708" spans="20:21" ht="15" customHeight="1" x14ac:dyDescent="0.25">
      <c r="T26708" s="135"/>
      <c r="U26708" s="135"/>
    </row>
    <row r="26709" spans="20:21" ht="15" customHeight="1" x14ac:dyDescent="0.25">
      <c r="T26709" s="135"/>
      <c r="U26709" s="135"/>
    </row>
    <row r="26710" spans="20:21" ht="15" customHeight="1" x14ac:dyDescent="0.25">
      <c r="T26710" s="135"/>
      <c r="U26710" s="135"/>
    </row>
    <row r="26711" spans="20:21" ht="15" customHeight="1" x14ac:dyDescent="0.25">
      <c r="T26711" s="135"/>
      <c r="U26711" s="135"/>
    </row>
    <row r="26712" spans="20:21" ht="15" customHeight="1" x14ac:dyDescent="0.25">
      <c r="T26712" s="135"/>
      <c r="U26712" s="135"/>
    </row>
    <row r="26713" spans="20:21" ht="15" customHeight="1" x14ac:dyDescent="0.25">
      <c r="T26713" s="135"/>
      <c r="U26713" s="135"/>
    </row>
    <row r="26714" spans="20:21" ht="15" customHeight="1" x14ac:dyDescent="0.25">
      <c r="T26714" s="135"/>
      <c r="U26714" s="135"/>
    </row>
    <row r="26715" spans="20:21" ht="15" customHeight="1" x14ac:dyDescent="0.25">
      <c r="T26715" s="135"/>
      <c r="U26715" s="135"/>
    </row>
    <row r="26716" spans="20:21" ht="15" customHeight="1" x14ac:dyDescent="0.25">
      <c r="T26716" s="135"/>
      <c r="U26716" s="135"/>
    </row>
    <row r="26717" spans="20:21" ht="15" customHeight="1" x14ac:dyDescent="0.25">
      <c r="T26717" s="135"/>
      <c r="U26717" s="135"/>
    </row>
    <row r="26718" spans="20:21" ht="15" customHeight="1" x14ac:dyDescent="0.25">
      <c r="T26718" s="135"/>
      <c r="U26718" s="135"/>
    </row>
    <row r="26719" spans="20:21" ht="15" customHeight="1" x14ac:dyDescent="0.25">
      <c r="T26719" s="135"/>
      <c r="U26719" s="135"/>
    </row>
    <row r="26720" spans="20:21" ht="15" customHeight="1" x14ac:dyDescent="0.25">
      <c r="T26720" s="135"/>
      <c r="U26720" s="135"/>
    </row>
    <row r="26721" spans="20:21" ht="15" customHeight="1" x14ac:dyDescent="0.25">
      <c r="T26721" s="135"/>
      <c r="U26721" s="135"/>
    </row>
    <row r="26722" spans="20:21" ht="15" customHeight="1" x14ac:dyDescent="0.25">
      <c r="T26722" s="135"/>
      <c r="U26722" s="135"/>
    </row>
    <row r="26723" spans="20:21" ht="15" customHeight="1" x14ac:dyDescent="0.25">
      <c r="T26723" s="135"/>
      <c r="U26723" s="135"/>
    </row>
    <row r="26724" spans="20:21" ht="15" customHeight="1" x14ac:dyDescent="0.25">
      <c r="T26724" s="135"/>
      <c r="U26724" s="135"/>
    </row>
    <row r="26725" spans="20:21" ht="15" customHeight="1" x14ac:dyDescent="0.25">
      <c r="T26725" s="135"/>
      <c r="U26725" s="135"/>
    </row>
    <row r="26726" spans="20:21" ht="15" customHeight="1" x14ac:dyDescent="0.25">
      <c r="T26726" s="135"/>
      <c r="U26726" s="135"/>
    </row>
    <row r="26727" spans="20:21" ht="15" customHeight="1" x14ac:dyDescent="0.25">
      <c r="T26727" s="135"/>
      <c r="U26727" s="135"/>
    </row>
    <row r="26728" spans="20:21" ht="15" customHeight="1" x14ac:dyDescent="0.25">
      <c r="T26728" s="135"/>
      <c r="U26728" s="135"/>
    </row>
    <row r="26729" spans="20:21" ht="15" customHeight="1" x14ac:dyDescent="0.25">
      <c r="T26729" s="135"/>
      <c r="U26729" s="135"/>
    </row>
    <row r="26730" spans="20:21" ht="15" customHeight="1" x14ac:dyDescent="0.25">
      <c r="T26730" s="135"/>
      <c r="U26730" s="135"/>
    </row>
    <row r="26731" spans="20:21" ht="15" customHeight="1" x14ac:dyDescent="0.25">
      <c r="T26731" s="135"/>
      <c r="U26731" s="135"/>
    </row>
    <row r="26732" spans="20:21" ht="15" customHeight="1" x14ac:dyDescent="0.25">
      <c r="T26732" s="135"/>
      <c r="U26732" s="135"/>
    </row>
    <row r="26733" spans="20:21" ht="15" customHeight="1" x14ac:dyDescent="0.25">
      <c r="T26733" s="135"/>
      <c r="U26733" s="135"/>
    </row>
    <row r="26734" spans="20:21" ht="15" customHeight="1" x14ac:dyDescent="0.25">
      <c r="T26734" s="135"/>
      <c r="U26734" s="135"/>
    </row>
    <row r="26735" spans="20:21" ht="15" customHeight="1" x14ac:dyDescent="0.25">
      <c r="T26735" s="135"/>
      <c r="U26735" s="135"/>
    </row>
    <row r="26736" spans="20:21" ht="15" customHeight="1" x14ac:dyDescent="0.25">
      <c r="T26736" s="135"/>
      <c r="U26736" s="135"/>
    </row>
    <row r="26737" spans="20:21" ht="15" customHeight="1" x14ac:dyDescent="0.25">
      <c r="T26737" s="135"/>
      <c r="U26737" s="135"/>
    </row>
    <row r="26738" spans="20:21" ht="15" customHeight="1" x14ac:dyDescent="0.25">
      <c r="T26738" s="135"/>
      <c r="U26738" s="135"/>
    </row>
    <row r="26739" spans="20:21" ht="15" customHeight="1" x14ac:dyDescent="0.25">
      <c r="T26739" s="135"/>
      <c r="U26739" s="135"/>
    </row>
    <row r="26740" spans="20:21" ht="15" customHeight="1" x14ac:dyDescent="0.25">
      <c r="T26740" s="135"/>
      <c r="U26740" s="135"/>
    </row>
    <row r="26741" spans="20:21" ht="15" customHeight="1" x14ac:dyDescent="0.25">
      <c r="T26741" s="135"/>
      <c r="U26741" s="135"/>
    </row>
    <row r="26742" spans="20:21" ht="15" customHeight="1" x14ac:dyDescent="0.25">
      <c r="T26742" s="135"/>
      <c r="U26742" s="135"/>
    </row>
    <row r="26743" spans="20:21" ht="15" customHeight="1" x14ac:dyDescent="0.25">
      <c r="T26743" s="135"/>
      <c r="U26743" s="135"/>
    </row>
    <row r="26744" spans="20:21" ht="15" customHeight="1" x14ac:dyDescent="0.25">
      <c r="T26744" s="135"/>
      <c r="U26744" s="135"/>
    </row>
    <row r="26745" spans="20:21" ht="15" customHeight="1" x14ac:dyDescent="0.25">
      <c r="T26745" s="135"/>
      <c r="U26745" s="135"/>
    </row>
    <row r="26746" spans="20:21" ht="15" customHeight="1" x14ac:dyDescent="0.25">
      <c r="T26746" s="135"/>
      <c r="U26746" s="135"/>
    </row>
    <row r="26747" spans="20:21" ht="15" customHeight="1" x14ac:dyDescent="0.25">
      <c r="T26747" s="135"/>
      <c r="U26747" s="135"/>
    </row>
    <row r="26748" spans="20:21" ht="15" customHeight="1" x14ac:dyDescent="0.25">
      <c r="T26748" s="135"/>
      <c r="U26748" s="135"/>
    </row>
    <row r="26749" spans="20:21" ht="15" customHeight="1" x14ac:dyDescent="0.25">
      <c r="T26749" s="135"/>
      <c r="U26749" s="135"/>
    </row>
    <row r="26750" spans="20:21" ht="15" customHeight="1" x14ac:dyDescent="0.25">
      <c r="T26750" s="135"/>
      <c r="U26750" s="135"/>
    </row>
    <row r="26751" spans="20:21" ht="15" customHeight="1" x14ac:dyDescent="0.25">
      <c r="T26751" s="135"/>
      <c r="U26751" s="135"/>
    </row>
    <row r="26752" spans="20:21" ht="15" customHeight="1" x14ac:dyDescent="0.25">
      <c r="T26752" s="135"/>
      <c r="U26752" s="135"/>
    </row>
    <row r="26753" spans="20:21" ht="15" customHeight="1" x14ac:dyDescent="0.25">
      <c r="T26753" s="135"/>
      <c r="U26753" s="135"/>
    </row>
    <row r="26754" spans="20:21" ht="15" customHeight="1" x14ac:dyDescent="0.25">
      <c r="T26754" s="135"/>
      <c r="U26754" s="135"/>
    </row>
    <row r="26755" spans="20:21" ht="15" customHeight="1" x14ac:dyDescent="0.25">
      <c r="T26755" s="135"/>
      <c r="U26755" s="135"/>
    </row>
    <row r="26756" spans="20:21" ht="15" customHeight="1" x14ac:dyDescent="0.25">
      <c r="T26756" s="135"/>
      <c r="U26756" s="135"/>
    </row>
    <row r="26757" spans="20:21" ht="15" customHeight="1" x14ac:dyDescent="0.25">
      <c r="T26757" s="135"/>
      <c r="U26757" s="135"/>
    </row>
    <row r="26758" spans="20:21" ht="15" customHeight="1" x14ac:dyDescent="0.25">
      <c r="T26758" s="135"/>
      <c r="U26758" s="135"/>
    </row>
    <row r="26759" spans="20:21" ht="15" customHeight="1" x14ac:dyDescent="0.25">
      <c r="T26759" s="135"/>
      <c r="U26759" s="135"/>
    </row>
    <row r="26760" spans="20:21" ht="15" customHeight="1" x14ac:dyDescent="0.25">
      <c r="T26760" s="135"/>
      <c r="U26760" s="135"/>
    </row>
    <row r="26761" spans="20:21" ht="15" customHeight="1" x14ac:dyDescent="0.25">
      <c r="T26761" s="135"/>
      <c r="U26761" s="135"/>
    </row>
    <row r="26762" spans="20:21" ht="15" customHeight="1" x14ac:dyDescent="0.25">
      <c r="T26762" s="135"/>
      <c r="U26762" s="135"/>
    </row>
    <row r="26763" spans="20:21" ht="15" customHeight="1" x14ac:dyDescent="0.25">
      <c r="T26763" s="135"/>
      <c r="U26763" s="135"/>
    </row>
    <row r="26764" spans="20:21" ht="15" customHeight="1" x14ac:dyDescent="0.25">
      <c r="T26764" s="135"/>
      <c r="U26764" s="135"/>
    </row>
    <row r="26765" spans="20:21" ht="15" customHeight="1" x14ac:dyDescent="0.25">
      <c r="T26765" s="135"/>
      <c r="U26765" s="135"/>
    </row>
    <row r="26766" spans="20:21" ht="15" customHeight="1" x14ac:dyDescent="0.25">
      <c r="T26766" s="135"/>
      <c r="U26766" s="135"/>
    </row>
    <row r="26767" spans="20:21" ht="15" customHeight="1" x14ac:dyDescent="0.25">
      <c r="T26767" s="135"/>
      <c r="U26767" s="135"/>
    </row>
    <row r="26768" spans="20:21" ht="15" customHeight="1" x14ac:dyDescent="0.25">
      <c r="T26768" s="135"/>
      <c r="U26768" s="135"/>
    </row>
    <row r="26769" spans="20:21" ht="15" customHeight="1" x14ac:dyDescent="0.25">
      <c r="T26769" s="135"/>
      <c r="U26769" s="135"/>
    </row>
    <row r="26770" spans="20:21" ht="15" customHeight="1" x14ac:dyDescent="0.25">
      <c r="T26770" s="135"/>
      <c r="U26770" s="135"/>
    </row>
    <row r="26771" spans="20:21" ht="15" customHeight="1" x14ac:dyDescent="0.25">
      <c r="T26771" s="135"/>
      <c r="U26771" s="135"/>
    </row>
    <row r="26772" spans="20:21" ht="15" customHeight="1" x14ac:dyDescent="0.25">
      <c r="T26772" s="135"/>
      <c r="U26772" s="135"/>
    </row>
    <row r="26773" spans="20:21" ht="15" customHeight="1" x14ac:dyDescent="0.25">
      <c r="T26773" s="135"/>
      <c r="U26773" s="135"/>
    </row>
    <row r="26774" spans="20:21" ht="15" customHeight="1" x14ac:dyDescent="0.25">
      <c r="T26774" s="135"/>
      <c r="U26774" s="135"/>
    </row>
    <row r="26775" spans="20:21" ht="15" customHeight="1" x14ac:dyDescent="0.25">
      <c r="T26775" s="135"/>
      <c r="U26775" s="135"/>
    </row>
    <row r="26776" spans="20:21" ht="15" customHeight="1" x14ac:dyDescent="0.25">
      <c r="T26776" s="135"/>
      <c r="U26776" s="135"/>
    </row>
    <row r="26777" spans="20:21" ht="15" customHeight="1" x14ac:dyDescent="0.25">
      <c r="T26777" s="135"/>
      <c r="U26777" s="135"/>
    </row>
    <row r="26778" spans="20:21" ht="15" customHeight="1" x14ac:dyDescent="0.25">
      <c r="T26778" s="135"/>
      <c r="U26778" s="135"/>
    </row>
    <row r="26779" spans="20:21" ht="15" customHeight="1" x14ac:dyDescent="0.25">
      <c r="T26779" s="135"/>
      <c r="U26779" s="135"/>
    </row>
    <row r="26780" spans="20:21" ht="15" customHeight="1" x14ac:dyDescent="0.25">
      <c r="T26780" s="135"/>
      <c r="U26780" s="135"/>
    </row>
    <row r="26781" spans="20:21" ht="15" customHeight="1" x14ac:dyDescent="0.25">
      <c r="T26781" s="135"/>
      <c r="U26781" s="135"/>
    </row>
    <row r="26782" spans="20:21" ht="15" customHeight="1" x14ac:dyDescent="0.25">
      <c r="T26782" s="135"/>
      <c r="U26782" s="135"/>
    </row>
    <row r="26783" spans="20:21" ht="15" customHeight="1" x14ac:dyDescent="0.25">
      <c r="T26783" s="135"/>
      <c r="U26783" s="135"/>
    </row>
    <row r="26784" spans="20:21" ht="15" customHeight="1" x14ac:dyDescent="0.25">
      <c r="T26784" s="135"/>
      <c r="U26784" s="135"/>
    </row>
    <row r="26785" spans="20:21" ht="15" customHeight="1" x14ac:dyDescent="0.25">
      <c r="T26785" s="135"/>
      <c r="U26785" s="135"/>
    </row>
    <row r="26786" spans="20:21" ht="15" customHeight="1" x14ac:dyDescent="0.25">
      <c r="T26786" s="135"/>
      <c r="U26786" s="135"/>
    </row>
    <row r="26787" spans="20:21" ht="15" customHeight="1" x14ac:dyDescent="0.25">
      <c r="T26787" s="135"/>
      <c r="U26787" s="135"/>
    </row>
    <row r="26788" spans="20:21" ht="15" customHeight="1" x14ac:dyDescent="0.25">
      <c r="T26788" s="135"/>
      <c r="U26788" s="135"/>
    </row>
    <row r="26789" spans="20:21" ht="15" customHeight="1" x14ac:dyDescent="0.25">
      <c r="T26789" s="135"/>
      <c r="U26789" s="135"/>
    </row>
    <row r="26790" spans="20:21" ht="15" customHeight="1" x14ac:dyDescent="0.25">
      <c r="T26790" s="135"/>
      <c r="U26790" s="135"/>
    </row>
    <row r="26791" spans="20:21" ht="15" customHeight="1" x14ac:dyDescent="0.25">
      <c r="T26791" s="135"/>
      <c r="U26791" s="135"/>
    </row>
    <row r="26792" spans="20:21" ht="15" customHeight="1" x14ac:dyDescent="0.25">
      <c r="T26792" s="135"/>
      <c r="U26792" s="135"/>
    </row>
    <row r="26793" spans="20:21" ht="15" customHeight="1" x14ac:dyDescent="0.25">
      <c r="T26793" s="135"/>
      <c r="U26793" s="135"/>
    </row>
    <row r="26794" spans="20:21" ht="15" customHeight="1" x14ac:dyDescent="0.25">
      <c r="T26794" s="135"/>
      <c r="U26794" s="135"/>
    </row>
    <row r="26795" spans="20:21" ht="15" customHeight="1" x14ac:dyDescent="0.25">
      <c r="T26795" s="135"/>
      <c r="U26795" s="135"/>
    </row>
    <row r="26796" spans="20:21" ht="15" customHeight="1" x14ac:dyDescent="0.25">
      <c r="T26796" s="135"/>
      <c r="U26796" s="135"/>
    </row>
    <row r="26797" spans="20:21" ht="15" customHeight="1" x14ac:dyDescent="0.25">
      <c r="T26797" s="135"/>
      <c r="U26797" s="135"/>
    </row>
    <row r="26798" spans="20:21" ht="15" customHeight="1" x14ac:dyDescent="0.25">
      <c r="T26798" s="135"/>
      <c r="U26798" s="135"/>
    </row>
    <row r="26799" spans="20:21" ht="15" customHeight="1" x14ac:dyDescent="0.25">
      <c r="T26799" s="135"/>
      <c r="U26799" s="135"/>
    </row>
    <row r="26800" spans="20:21" ht="15" customHeight="1" x14ac:dyDescent="0.25">
      <c r="T26800" s="135"/>
      <c r="U26800" s="135"/>
    </row>
    <row r="26801" spans="20:21" ht="15" customHeight="1" x14ac:dyDescent="0.25">
      <c r="T26801" s="135"/>
      <c r="U26801" s="135"/>
    </row>
    <row r="26802" spans="20:21" ht="15" customHeight="1" x14ac:dyDescent="0.25">
      <c r="T26802" s="135"/>
      <c r="U26802" s="135"/>
    </row>
    <row r="26803" spans="20:21" ht="15" customHeight="1" x14ac:dyDescent="0.25">
      <c r="T26803" s="135"/>
      <c r="U26803" s="135"/>
    </row>
    <row r="26804" spans="20:21" ht="15" customHeight="1" x14ac:dyDescent="0.25">
      <c r="T26804" s="135"/>
      <c r="U26804" s="135"/>
    </row>
    <row r="26805" spans="20:21" ht="15" customHeight="1" x14ac:dyDescent="0.25">
      <c r="T26805" s="135"/>
      <c r="U26805" s="135"/>
    </row>
    <row r="26806" spans="20:21" ht="15" customHeight="1" x14ac:dyDescent="0.25">
      <c r="T26806" s="135"/>
      <c r="U26806" s="135"/>
    </row>
    <row r="26807" spans="20:21" ht="15" customHeight="1" x14ac:dyDescent="0.25">
      <c r="T26807" s="135"/>
      <c r="U26807" s="135"/>
    </row>
    <row r="26808" spans="20:21" ht="15" customHeight="1" x14ac:dyDescent="0.25">
      <c r="T26808" s="135"/>
      <c r="U26808" s="135"/>
    </row>
    <row r="26809" spans="20:21" ht="15" customHeight="1" x14ac:dyDescent="0.25">
      <c r="T26809" s="135"/>
      <c r="U26809" s="135"/>
    </row>
    <row r="26810" spans="20:21" ht="15" customHeight="1" x14ac:dyDescent="0.25">
      <c r="T26810" s="135"/>
      <c r="U26810" s="135"/>
    </row>
    <row r="26811" spans="20:21" ht="15" customHeight="1" x14ac:dyDescent="0.25">
      <c r="T26811" s="135"/>
      <c r="U26811" s="135"/>
    </row>
    <row r="26812" spans="20:21" ht="15" customHeight="1" x14ac:dyDescent="0.25">
      <c r="T26812" s="135"/>
      <c r="U26812" s="135"/>
    </row>
    <row r="26813" spans="20:21" ht="15" customHeight="1" x14ac:dyDescent="0.25">
      <c r="T26813" s="135"/>
      <c r="U26813" s="135"/>
    </row>
    <row r="26814" spans="20:21" ht="15" customHeight="1" x14ac:dyDescent="0.25">
      <c r="T26814" s="135"/>
      <c r="U26814" s="135"/>
    </row>
    <row r="26815" spans="20:21" ht="15" customHeight="1" x14ac:dyDescent="0.25">
      <c r="T26815" s="135"/>
      <c r="U26815" s="135"/>
    </row>
    <row r="26816" spans="20:21" ht="15" customHeight="1" x14ac:dyDescent="0.25">
      <c r="T26816" s="135"/>
      <c r="U26816" s="135"/>
    </row>
    <row r="26817" spans="20:21" ht="15" customHeight="1" x14ac:dyDescent="0.25">
      <c r="T26817" s="135"/>
      <c r="U26817" s="135"/>
    </row>
    <row r="26818" spans="20:21" ht="15" customHeight="1" x14ac:dyDescent="0.25">
      <c r="T26818" s="135"/>
      <c r="U26818" s="135"/>
    </row>
    <row r="26819" spans="20:21" ht="15" customHeight="1" x14ac:dyDescent="0.25">
      <c r="T26819" s="135"/>
      <c r="U26819" s="135"/>
    </row>
    <row r="26820" spans="20:21" ht="15" customHeight="1" x14ac:dyDescent="0.25">
      <c r="T26820" s="135"/>
      <c r="U26820" s="135"/>
    </row>
    <row r="26821" spans="20:21" ht="15" customHeight="1" x14ac:dyDescent="0.25">
      <c r="T26821" s="135"/>
      <c r="U26821" s="135"/>
    </row>
    <row r="26822" spans="20:21" ht="15" customHeight="1" x14ac:dyDescent="0.25">
      <c r="T26822" s="135"/>
      <c r="U26822" s="135"/>
    </row>
    <row r="26823" spans="20:21" ht="15" customHeight="1" x14ac:dyDescent="0.25">
      <c r="T26823" s="135"/>
      <c r="U26823" s="135"/>
    </row>
    <row r="26824" spans="20:21" ht="15" customHeight="1" x14ac:dyDescent="0.25">
      <c r="T26824" s="135"/>
      <c r="U26824" s="135"/>
    </row>
    <row r="26825" spans="20:21" ht="15" customHeight="1" x14ac:dyDescent="0.25">
      <c r="T26825" s="135"/>
      <c r="U26825" s="135"/>
    </row>
    <row r="26826" spans="20:21" ht="15" customHeight="1" x14ac:dyDescent="0.25">
      <c r="T26826" s="135"/>
      <c r="U26826" s="135"/>
    </row>
    <row r="26827" spans="20:21" ht="15" customHeight="1" x14ac:dyDescent="0.25">
      <c r="T26827" s="135"/>
      <c r="U26827" s="135"/>
    </row>
    <row r="26828" spans="20:21" ht="15" customHeight="1" x14ac:dyDescent="0.25">
      <c r="T26828" s="135"/>
      <c r="U26828" s="135"/>
    </row>
    <row r="26829" spans="20:21" ht="15" customHeight="1" x14ac:dyDescent="0.25">
      <c r="T26829" s="135"/>
      <c r="U26829" s="135"/>
    </row>
    <row r="26830" spans="20:21" ht="15" customHeight="1" x14ac:dyDescent="0.25">
      <c r="T26830" s="135"/>
      <c r="U26830" s="135"/>
    </row>
    <row r="26831" spans="20:21" ht="15" customHeight="1" x14ac:dyDescent="0.25">
      <c r="T26831" s="135"/>
      <c r="U26831" s="135"/>
    </row>
    <row r="26832" spans="20:21" ht="15" customHeight="1" x14ac:dyDescent="0.25">
      <c r="T26832" s="135"/>
      <c r="U26832" s="135"/>
    </row>
    <row r="26833" spans="20:21" ht="15" customHeight="1" x14ac:dyDescent="0.25">
      <c r="T26833" s="135"/>
      <c r="U26833" s="135"/>
    </row>
    <row r="26834" spans="20:21" ht="15" customHeight="1" x14ac:dyDescent="0.25">
      <c r="T26834" s="135"/>
      <c r="U26834" s="135"/>
    </row>
    <row r="26835" spans="20:21" ht="15" customHeight="1" x14ac:dyDescent="0.25">
      <c r="T26835" s="135"/>
      <c r="U26835" s="135"/>
    </row>
    <row r="26836" spans="20:21" ht="15" customHeight="1" x14ac:dyDescent="0.25">
      <c r="T26836" s="135"/>
      <c r="U26836" s="135"/>
    </row>
    <row r="26837" spans="20:21" ht="15" customHeight="1" x14ac:dyDescent="0.25">
      <c r="T26837" s="135"/>
      <c r="U26837" s="135"/>
    </row>
    <row r="26838" spans="20:21" ht="15" customHeight="1" x14ac:dyDescent="0.25">
      <c r="T26838" s="135"/>
      <c r="U26838" s="135"/>
    </row>
    <row r="26839" spans="20:21" ht="15" customHeight="1" x14ac:dyDescent="0.25">
      <c r="T26839" s="135"/>
      <c r="U26839" s="135"/>
    </row>
    <row r="26840" spans="20:21" ht="15" customHeight="1" x14ac:dyDescent="0.25">
      <c r="T26840" s="135"/>
      <c r="U26840" s="135"/>
    </row>
    <row r="26841" spans="20:21" ht="15" customHeight="1" x14ac:dyDescent="0.25">
      <c r="T26841" s="135"/>
      <c r="U26841" s="135"/>
    </row>
    <row r="26842" spans="20:21" ht="15" customHeight="1" x14ac:dyDescent="0.25">
      <c r="T26842" s="135"/>
      <c r="U26842" s="135"/>
    </row>
    <row r="26843" spans="20:21" ht="15" customHeight="1" x14ac:dyDescent="0.25">
      <c r="T26843" s="135"/>
      <c r="U26843" s="135"/>
    </row>
    <row r="26844" spans="20:21" ht="15" customHeight="1" x14ac:dyDescent="0.25">
      <c r="T26844" s="135"/>
      <c r="U26844" s="135"/>
    </row>
    <row r="26845" spans="20:21" ht="15" customHeight="1" x14ac:dyDescent="0.25">
      <c r="T26845" s="135"/>
      <c r="U26845" s="135"/>
    </row>
    <row r="26846" spans="20:21" ht="15" customHeight="1" x14ac:dyDescent="0.25">
      <c r="T26846" s="135"/>
      <c r="U26846" s="135"/>
    </row>
    <row r="26847" spans="20:21" ht="15" customHeight="1" x14ac:dyDescent="0.25">
      <c r="T26847" s="135"/>
      <c r="U26847" s="135"/>
    </row>
    <row r="26848" spans="20:21" ht="15" customHeight="1" x14ac:dyDescent="0.25">
      <c r="T26848" s="135"/>
      <c r="U26848" s="135"/>
    </row>
    <row r="26849" spans="20:21" ht="15" customHeight="1" x14ac:dyDescent="0.25">
      <c r="T26849" s="135"/>
      <c r="U26849" s="135"/>
    </row>
    <row r="26850" spans="20:21" ht="15" customHeight="1" x14ac:dyDescent="0.25">
      <c r="T26850" s="135"/>
      <c r="U26850" s="135"/>
    </row>
    <row r="26851" spans="20:21" ht="15" customHeight="1" x14ac:dyDescent="0.25">
      <c r="T26851" s="135"/>
      <c r="U26851" s="135"/>
    </row>
    <row r="26852" spans="20:21" ht="15" customHeight="1" x14ac:dyDescent="0.25">
      <c r="T26852" s="135"/>
      <c r="U26852" s="135"/>
    </row>
    <row r="26853" spans="20:21" ht="15" customHeight="1" x14ac:dyDescent="0.25">
      <c r="T26853" s="135"/>
      <c r="U26853" s="135"/>
    </row>
    <row r="26854" spans="20:21" ht="15" customHeight="1" x14ac:dyDescent="0.25">
      <c r="T26854" s="135"/>
      <c r="U26854" s="135"/>
    </row>
    <row r="26855" spans="20:21" ht="15" customHeight="1" x14ac:dyDescent="0.25">
      <c r="T26855" s="135"/>
      <c r="U26855" s="135"/>
    </row>
    <row r="26856" spans="20:21" ht="15" customHeight="1" x14ac:dyDescent="0.25">
      <c r="T26856" s="135"/>
      <c r="U26856" s="135"/>
    </row>
    <row r="26857" spans="20:21" ht="15" customHeight="1" x14ac:dyDescent="0.25">
      <c r="T26857" s="135"/>
      <c r="U26857" s="135"/>
    </row>
    <row r="26858" spans="20:21" ht="15" customHeight="1" x14ac:dyDescent="0.25">
      <c r="T26858" s="135"/>
      <c r="U26858" s="135"/>
    </row>
    <row r="26859" spans="20:21" ht="15" customHeight="1" x14ac:dyDescent="0.25">
      <c r="T26859" s="135"/>
      <c r="U26859" s="135"/>
    </row>
    <row r="26860" spans="20:21" ht="15" customHeight="1" x14ac:dyDescent="0.25">
      <c r="T26860" s="135"/>
      <c r="U26860" s="135"/>
    </row>
    <row r="26861" spans="20:21" ht="15" customHeight="1" x14ac:dyDescent="0.25">
      <c r="T26861" s="135"/>
      <c r="U26861" s="135"/>
    </row>
    <row r="26862" spans="20:21" ht="15" customHeight="1" x14ac:dyDescent="0.25">
      <c r="T26862" s="135"/>
      <c r="U26862" s="135"/>
    </row>
    <row r="26863" spans="20:21" ht="15" customHeight="1" x14ac:dyDescent="0.25">
      <c r="T26863" s="135"/>
      <c r="U26863" s="135"/>
    </row>
    <row r="26864" spans="20:21" ht="15" customHeight="1" x14ac:dyDescent="0.25">
      <c r="T26864" s="135"/>
      <c r="U26864" s="135"/>
    </row>
    <row r="26865" spans="20:21" ht="15" customHeight="1" x14ac:dyDescent="0.25">
      <c r="T26865" s="135"/>
      <c r="U26865" s="135"/>
    </row>
    <row r="26866" spans="20:21" ht="15" customHeight="1" x14ac:dyDescent="0.25">
      <c r="T26866" s="135"/>
      <c r="U26866" s="135"/>
    </row>
    <row r="26867" spans="20:21" ht="15" customHeight="1" x14ac:dyDescent="0.25">
      <c r="T26867" s="135"/>
      <c r="U26867" s="135"/>
    </row>
    <row r="26868" spans="20:21" ht="15" customHeight="1" x14ac:dyDescent="0.25">
      <c r="T26868" s="135"/>
      <c r="U26868" s="135"/>
    </row>
    <row r="26869" spans="20:21" ht="15" customHeight="1" x14ac:dyDescent="0.25">
      <c r="T26869" s="135"/>
      <c r="U26869" s="135"/>
    </row>
    <row r="26870" spans="20:21" ht="15" customHeight="1" x14ac:dyDescent="0.25">
      <c r="T26870" s="135"/>
      <c r="U26870" s="135"/>
    </row>
    <row r="26871" spans="20:21" ht="15" customHeight="1" x14ac:dyDescent="0.25">
      <c r="T26871" s="135"/>
      <c r="U26871" s="135"/>
    </row>
    <row r="26872" spans="20:21" ht="15" customHeight="1" x14ac:dyDescent="0.25">
      <c r="T26872" s="135"/>
      <c r="U26872" s="135"/>
    </row>
    <row r="26873" spans="20:21" ht="15" customHeight="1" x14ac:dyDescent="0.25">
      <c r="T26873" s="135"/>
      <c r="U26873" s="135"/>
    </row>
    <row r="26874" spans="20:21" ht="15" customHeight="1" x14ac:dyDescent="0.25">
      <c r="T26874" s="135"/>
      <c r="U26874" s="135"/>
    </row>
    <row r="26875" spans="20:21" ht="15" customHeight="1" x14ac:dyDescent="0.25">
      <c r="T26875" s="135"/>
      <c r="U26875" s="135"/>
    </row>
    <row r="26876" spans="20:21" ht="15" customHeight="1" x14ac:dyDescent="0.25">
      <c r="T26876" s="135"/>
      <c r="U26876" s="135"/>
    </row>
    <row r="26877" spans="20:21" ht="15" customHeight="1" x14ac:dyDescent="0.25">
      <c r="T26877" s="135"/>
      <c r="U26877" s="135"/>
    </row>
    <row r="26878" spans="20:21" ht="15" customHeight="1" x14ac:dyDescent="0.25">
      <c r="T26878" s="135"/>
      <c r="U26878" s="135"/>
    </row>
    <row r="26879" spans="20:21" ht="15" customHeight="1" x14ac:dyDescent="0.25">
      <c r="T26879" s="135"/>
      <c r="U26879" s="135"/>
    </row>
    <row r="26880" spans="20:21" ht="15" customHeight="1" x14ac:dyDescent="0.25">
      <c r="T26880" s="135"/>
      <c r="U26880" s="135"/>
    </row>
    <row r="26881" spans="20:21" ht="15" customHeight="1" x14ac:dyDescent="0.25">
      <c r="T26881" s="135"/>
      <c r="U26881" s="135"/>
    </row>
    <row r="26882" spans="20:21" ht="15" customHeight="1" x14ac:dyDescent="0.25">
      <c r="T26882" s="135"/>
      <c r="U26882" s="135"/>
    </row>
    <row r="26883" spans="20:21" ht="15" customHeight="1" x14ac:dyDescent="0.25">
      <c r="T26883" s="135"/>
      <c r="U26883" s="135"/>
    </row>
    <row r="26884" spans="20:21" ht="15" customHeight="1" x14ac:dyDescent="0.25">
      <c r="T26884" s="135"/>
      <c r="U26884" s="135"/>
    </row>
    <row r="26885" spans="20:21" ht="15" customHeight="1" x14ac:dyDescent="0.25">
      <c r="T26885" s="135"/>
      <c r="U26885" s="135"/>
    </row>
    <row r="26886" spans="20:21" ht="15" customHeight="1" x14ac:dyDescent="0.25">
      <c r="T26886" s="135"/>
      <c r="U26886" s="135"/>
    </row>
    <row r="26887" spans="20:21" ht="15" customHeight="1" x14ac:dyDescent="0.25">
      <c r="T26887" s="135"/>
      <c r="U26887" s="135"/>
    </row>
    <row r="26888" spans="20:21" ht="15" customHeight="1" x14ac:dyDescent="0.25">
      <c r="T26888" s="135"/>
      <c r="U26888" s="135"/>
    </row>
    <row r="26889" spans="20:21" ht="15" customHeight="1" x14ac:dyDescent="0.25">
      <c r="T26889" s="135"/>
      <c r="U26889" s="135"/>
    </row>
    <row r="26890" spans="20:21" ht="15" customHeight="1" x14ac:dyDescent="0.25">
      <c r="T26890" s="135"/>
      <c r="U26890" s="135"/>
    </row>
    <row r="26891" spans="20:21" ht="15" customHeight="1" x14ac:dyDescent="0.25">
      <c r="T26891" s="135"/>
      <c r="U26891" s="135"/>
    </row>
    <row r="26892" spans="20:21" ht="15" customHeight="1" x14ac:dyDescent="0.25">
      <c r="T26892" s="135"/>
      <c r="U26892" s="135"/>
    </row>
    <row r="26893" spans="20:21" ht="15" customHeight="1" x14ac:dyDescent="0.25">
      <c r="T26893" s="135"/>
      <c r="U26893" s="135"/>
    </row>
    <row r="26894" spans="20:21" ht="15" customHeight="1" x14ac:dyDescent="0.25">
      <c r="T26894" s="135"/>
      <c r="U26894" s="135"/>
    </row>
    <row r="26895" spans="20:21" ht="15" customHeight="1" x14ac:dyDescent="0.25">
      <c r="T26895" s="135"/>
      <c r="U26895" s="135"/>
    </row>
    <row r="26896" spans="20:21" ht="15" customHeight="1" x14ac:dyDescent="0.25">
      <c r="T26896" s="135"/>
      <c r="U26896" s="135"/>
    </row>
    <row r="26897" spans="20:21" ht="15" customHeight="1" x14ac:dyDescent="0.25">
      <c r="T26897" s="135"/>
      <c r="U26897" s="135"/>
    </row>
    <row r="26898" spans="20:21" ht="15" customHeight="1" x14ac:dyDescent="0.25">
      <c r="T26898" s="135"/>
      <c r="U26898" s="135"/>
    </row>
    <row r="26899" spans="20:21" ht="15" customHeight="1" x14ac:dyDescent="0.25">
      <c r="T26899" s="135"/>
      <c r="U26899" s="135"/>
    </row>
    <row r="26900" spans="20:21" ht="15" customHeight="1" x14ac:dyDescent="0.25">
      <c r="T26900" s="135"/>
      <c r="U26900" s="135"/>
    </row>
    <row r="26901" spans="20:21" ht="15" customHeight="1" x14ac:dyDescent="0.25">
      <c r="T26901" s="135"/>
      <c r="U26901" s="135"/>
    </row>
    <row r="26902" spans="20:21" ht="15" customHeight="1" x14ac:dyDescent="0.25">
      <c r="T26902" s="135"/>
      <c r="U26902" s="135"/>
    </row>
    <row r="26903" spans="20:21" ht="15" customHeight="1" x14ac:dyDescent="0.25">
      <c r="T26903" s="135"/>
      <c r="U26903" s="135"/>
    </row>
    <row r="26904" spans="20:21" ht="15" customHeight="1" x14ac:dyDescent="0.25">
      <c r="T26904" s="135"/>
      <c r="U26904" s="135"/>
    </row>
    <row r="26905" spans="20:21" ht="15" customHeight="1" x14ac:dyDescent="0.25">
      <c r="T26905" s="135"/>
      <c r="U26905" s="135"/>
    </row>
    <row r="26906" spans="20:21" ht="15" customHeight="1" x14ac:dyDescent="0.25">
      <c r="T26906" s="135"/>
      <c r="U26906" s="135"/>
    </row>
    <row r="26907" spans="20:21" ht="15" customHeight="1" x14ac:dyDescent="0.25">
      <c r="T26907" s="135"/>
      <c r="U26907" s="135"/>
    </row>
    <row r="26908" spans="20:21" ht="15" customHeight="1" x14ac:dyDescent="0.25">
      <c r="T26908" s="135"/>
      <c r="U26908" s="135"/>
    </row>
    <row r="26909" spans="20:21" ht="15" customHeight="1" x14ac:dyDescent="0.25">
      <c r="T26909" s="135"/>
      <c r="U26909" s="135"/>
    </row>
    <row r="26910" spans="20:21" ht="15" customHeight="1" x14ac:dyDescent="0.25">
      <c r="T26910" s="135"/>
      <c r="U26910" s="135"/>
    </row>
    <row r="26911" spans="20:21" ht="15" customHeight="1" x14ac:dyDescent="0.25">
      <c r="T26911" s="135"/>
      <c r="U26911" s="135"/>
    </row>
    <row r="26912" spans="20:21" ht="15" customHeight="1" x14ac:dyDescent="0.25">
      <c r="T26912" s="135"/>
      <c r="U26912" s="135"/>
    </row>
    <row r="26913" spans="20:21" ht="15" customHeight="1" x14ac:dyDescent="0.25">
      <c r="T26913" s="135"/>
      <c r="U26913" s="135"/>
    </row>
    <row r="26914" spans="20:21" ht="15" customHeight="1" x14ac:dyDescent="0.25">
      <c r="T26914" s="135"/>
      <c r="U26914" s="135"/>
    </row>
    <row r="26915" spans="20:21" ht="15" customHeight="1" x14ac:dyDescent="0.25">
      <c r="T26915" s="135"/>
      <c r="U26915" s="135"/>
    </row>
    <row r="26916" spans="20:21" ht="15" customHeight="1" x14ac:dyDescent="0.25">
      <c r="T26916" s="135"/>
      <c r="U26916" s="135"/>
    </row>
    <row r="26917" spans="20:21" ht="15" customHeight="1" x14ac:dyDescent="0.25">
      <c r="T26917" s="135"/>
      <c r="U26917" s="135"/>
    </row>
    <row r="26918" spans="20:21" ht="15" customHeight="1" x14ac:dyDescent="0.25">
      <c r="T26918" s="135"/>
      <c r="U26918" s="135"/>
    </row>
    <row r="26919" spans="20:21" ht="15" customHeight="1" x14ac:dyDescent="0.25">
      <c r="T26919" s="135"/>
      <c r="U26919" s="135"/>
    </row>
    <row r="26920" spans="20:21" ht="15" customHeight="1" x14ac:dyDescent="0.25">
      <c r="T26920" s="135"/>
      <c r="U26920" s="135"/>
    </row>
    <row r="26921" spans="20:21" ht="15" customHeight="1" x14ac:dyDescent="0.25">
      <c r="T26921" s="135"/>
      <c r="U26921" s="135"/>
    </row>
    <row r="26922" spans="20:21" ht="15" customHeight="1" x14ac:dyDescent="0.25">
      <c r="T26922" s="135"/>
      <c r="U26922" s="135"/>
    </row>
    <row r="26923" spans="20:21" ht="15" customHeight="1" x14ac:dyDescent="0.25">
      <c r="T26923" s="135"/>
      <c r="U26923" s="135"/>
    </row>
    <row r="26924" spans="20:21" ht="15" customHeight="1" x14ac:dyDescent="0.25">
      <c r="T26924" s="135"/>
      <c r="U26924" s="135"/>
    </row>
    <row r="26925" spans="20:21" ht="15" customHeight="1" x14ac:dyDescent="0.25">
      <c r="T26925" s="135"/>
      <c r="U26925" s="135"/>
    </row>
    <row r="26926" spans="20:21" ht="15" customHeight="1" x14ac:dyDescent="0.25">
      <c r="T26926" s="135"/>
      <c r="U26926" s="135"/>
    </row>
    <row r="26927" spans="20:21" ht="15" customHeight="1" x14ac:dyDescent="0.25">
      <c r="T26927" s="135"/>
      <c r="U26927" s="135"/>
    </row>
    <row r="26928" spans="20:21" ht="15" customHeight="1" x14ac:dyDescent="0.25">
      <c r="T26928" s="135"/>
      <c r="U26928" s="135"/>
    </row>
    <row r="26929" spans="20:21" ht="15" customHeight="1" x14ac:dyDescent="0.25">
      <c r="T26929" s="135"/>
      <c r="U26929" s="135"/>
    </row>
    <row r="26930" spans="20:21" ht="15" customHeight="1" x14ac:dyDescent="0.25">
      <c r="T26930" s="135"/>
      <c r="U26930" s="135"/>
    </row>
    <row r="26931" spans="20:21" ht="15" customHeight="1" x14ac:dyDescent="0.25">
      <c r="T26931" s="135"/>
      <c r="U26931" s="135"/>
    </row>
    <row r="26932" spans="20:21" ht="15" customHeight="1" x14ac:dyDescent="0.25">
      <c r="T26932" s="135"/>
      <c r="U26932" s="135"/>
    </row>
    <row r="26933" spans="20:21" ht="15" customHeight="1" x14ac:dyDescent="0.25">
      <c r="T26933" s="135"/>
      <c r="U26933" s="135"/>
    </row>
    <row r="26934" spans="20:21" ht="15" customHeight="1" x14ac:dyDescent="0.25">
      <c r="T26934" s="135"/>
      <c r="U26934" s="135"/>
    </row>
    <row r="26935" spans="20:21" ht="15" customHeight="1" x14ac:dyDescent="0.25">
      <c r="T26935" s="135"/>
      <c r="U26935" s="135"/>
    </row>
    <row r="26936" spans="20:21" ht="15" customHeight="1" x14ac:dyDescent="0.25">
      <c r="T26936" s="135"/>
      <c r="U26936" s="135"/>
    </row>
    <row r="26937" spans="20:21" ht="15" customHeight="1" x14ac:dyDescent="0.25">
      <c r="T26937" s="135"/>
      <c r="U26937" s="135"/>
    </row>
    <row r="26938" spans="20:21" ht="15" customHeight="1" x14ac:dyDescent="0.25">
      <c r="T26938" s="135"/>
      <c r="U26938" s="135"/>
    </row>
    <row r="26939" spans="20:21" ht="15" customHeight="1" x14ac:dyDescent="0.25">
      <c r="T26939" s="135"/>
      <c r="U26939" s="135"/>
    </row>
    <row r="26940" spans="20:21" ht="15" customHeight="1" x14ac:dyDescent="0.25">
      <c r="T26940" s="135"/>
      <c r="U26940" s="135"/>
    </row>
    <row r="26941" spans="20:21" ht="15" customHeight="1" x14ac:dyDescent="0.25">
      <c r="T26941" s="135"/>
      <c r="U26941" s="135"/>
    </row>
    <row r="26942" spans="20:21" ht="15" customHeight="1" x14ac:dyDescent="0.25">
      <c r="T26942" s="135"/>
      <c r="U26942" s="135"/>
    </row>
    <row r="26943" spans="20:21" ht="15" customHeight="1" x14ac:dyDescent="0.25">
      <c r="T26943" s="135"/>
      <c r="U26943" s="135"/>
    </row>
    <row r="26944" spans="20:21" ht="15" customHeight="1" x14ac:dyDescent="0.25">
      <c r="T26944" s="135"/>
      <c r="U26944" s="135"/>
    </row>
    <row r="26945" spans="20:21" ht="15" customHeight="1" x14ac:dyDescent="0.25">
      <c r="T26945" s="135"/>
      <c r="U26945" s="135"/>
    </row>
    <row r="26946" spans="20:21" ht="15" customHeight="1" x14ac:dyDescent="0.25">
      <c r="T26946" s="135"/>
      <c r="U26946" s="135"/>
    </row>
    <row r="26947" spans="20:21" ht="15" customHeight="1" x14ac:dyDescent="0.25">
      <c r="T26947" s="135"/>
      <c r="U26947" s="135"/>
    </row>
    <row r="26948" spans="20:21" ht="15" customHeight="1" x14ac:dyDescent="0.25">
      <c r="T26948" s="135"/>
      <c r="U26948" s="135"/>
    </row>
    <row r="26949" spans="20:21" ht="15" customHeight="1" x14ac:dyDescent="0.25">
      <c r="T26949" s="135"/>
      <c r="U26949" s="135"/>
    </row>
    <row r="26950" spans="20:21" ht="15" customHeight="1" x14ac:dyDescent="0.25">
      <c r="T26950" s="135"/>
      <c r="U26950" s="135"/>
    </row>
    <row r="26951" spans="20:21" ht="15" customHeight="1" x14ac:dyDescent="0.25">
      <c r="T26951" s="135"/>
      <c r="U26951" s="135"/>
    </row>
    <row r="26952" spans="20:21" ht="15" customHeight="1" x14ac:dyDescent="0.25">
      <c r="T26952" s="135"/>
      <c r="U26952" s="135"/>
    </row>
    <row r="26953" spans="20:21" ht="15" customHeight="1" x14ac:dyDescent="0.25">
      <c r="T26953" s="135"/>
      <c r="U26953" s="135"/>
    </row>
    <row r="26954" spans="20:21" ht="15" customHeight="1" x14ac:dyDescent="0.25">
      <c r="T26954" s="135"/>
      <c r="U26954" s="135"/>
    </row>
    <row r="26955" spans="20:21" ht="15" customHeight="1" x14ac:dyDescent="0.25">
      <c r="T26955" s="135"/>
      <c r="U26955" s="135"/>
    </row>
    <row r="26956" spans="20:21" ht="15" customHeight="1" x14ac:dyDescent="0.25">
      <c r="T26956" s="135"/>
      <c r="U26956" s="135"/>
    </row>
    <row r="26957" spans="20:21" ht="15" customHeight="1" x14ac:dyDescent="0.25">
      <c r="T26957" s="135"/>
      <c r="U26957" s="135"/>
    </row>
    <row r="26958" spans="20:21" ht="15" customHeight="1" x14ac:dyDescent="0.25">
      <c r="T26958" s="135"/>
      <c r="U26958" s="135"/>
    </row>
    <row r="26959" spans="20:21" ht="15" customHeight="1" x14ac:dyDescent="0.25">
      <c r="T26959" s="135"/>
      <c r="U26959" s="135"/>
    </row>
    <row r="26960" spans="20:21" ht="15" customHeight="1" x14ac:dyDescent="0.25">
      <c r="T26960" s="135"/>
      <c r="U26960" s="135"/>
    </row>
    <row r="26961" spans="20:21" ht="15" customHeight="1" x14ac:dyDescent="0.25">
      <c r="T26961" s="135"/>
      <c r="U26961" s="135"/>
    </row>
    <row r="26962" spans="20:21" ht="15" customHeight="1" x14ac:dyDescent="0.25">
      <c r="T26962" s="135"/>
      <c r="U26962" s="135"/>
    </row>
    <row r="26963" spans="20:21" ht="15" customHeight="1" x14ac:dyDescent="0.25">
      <c r="T26963" s="135"/>
      <c r="U26963" s="135"/>
    </row>
    <row r="26964" spans="20:21" ht="15" customHeight="1" x14ac:dyDescent="0.25">
      <c r="T26964" s="135"/>
      <c r="U26964" s="135"/>
    </row>
    <row r="26965" spans="20:21" ht="15" customHeight="1" x14ac:dyDescent="0.25">
      <c r="T26965" s="135"/>
      <c r="U26965" s="135"/>
    </row>
    <row r="26966" spans="20:21" ht="15" customHeight="1" x14ac:dyDescent="0.25">
      <c r="T26966" s="135"/>
      <c r="U26966" s="135"/>
    </row>
    <row r="26967" spans="20:21" ht="15" customHeight="1" x14ac:dyDescent="0.25">
      <c r="T26967" s="135"/>
      <c r="U26967" s="135"/>
    </row>
    <row r="26968" spans="20:21" ht="15" customHeight="1" x14ac:dyDescent="0.25">
      <c r="T26968" s="135"/>
      <c r="U26968" s="135"/>
    </row>
    <row r="26969" spans="20:21" ht="15" customHeight="1" x14ac:dyDescent="0.25">
      <c r="T26969" s="135"/>
      <c r="U26969" s="135"/>
    </row>
    <row r="26970" spans="20:21" ht="15" customHeight="1" x14ac:dyDescent="0.25">
      <c r="T26970" s="135"/>
      <c r="U26970" s="135"/>
    </row>
    <row r="26971" spans="20:21" ht="15" customHeight="1" x14ac:dyDescent="0.25">
      <c r="T26971" s="135"/>
      <c r="U26971" s="135"/>
    </row>
    <row r="26972" spans="20:21" ht="15" customHeight="1" x14ac:dyDescent="0.25">
      <c r="T26972" s="135"/>
      <c r="U26972" s="135"/>
    </row>
    <row r="26973" spans="20:21" ht="15" customHeight="1" x14ac:dyDescent="0.25">
      <c r="T26973" s="135"/>
      <c r="U26973" s="135"/>
    </row>
    <row r="26974" spans="20:21" ht="15" customHeight="1" x14ac:dyDescent="0.25">
      <c r="T26974" s="135"/>
      <c r="U26974" s="135"/>
    </row>
    <row r="26975" spans="20:21" ht="15" customHeight="1" x14ac:dyDescent="0.25">
      <c r="T26975" s="135"/>
      <c r="U26975" s="135"/>
    </row>
    <row r="26976" spans="20:21" ht="15" customHeight="1" x14ac:dyDescent="0.25">
      <c r="T26976" s="135"/>
      <c r="U26976" s="135"/>
    </row>
    <row r="26977" spans="20:21" ht="15" customHeight="1" x14ac:dyDescent="0.25">
      <c r="T26977" s="135"/>
      <c r="U26977" s="135"/>
    </row>
    <row r="26978" spans="20:21" ht="15" customHeight="1" x14ac:dyDescent="0.25">
      <c r="T26978" s="135"/>
      <c r="U26978" s="135"/>
    </row>
    <row r="26979" spans="20:21" ht="15" customHeight="1" x14ac:dyDescent="0.25">
      <c r="T26979" s="135"/>
      <c r="U26979" s="135"/>
    </row>
    <row r="26980" spans="20:21" ht="15" customHeight="1" x14ac:dyDescent="0.25">
      <c r="T26980" s="135"/>
      <c r="U26980" s="135"/>
    </row>
    <row r="26981" spans="20:21" ht="15" customHeight="1" x14ac:dyDescent="0.25">
      <c r="T26981" s="135"/>
      <c r="U26981" s="135"/>
    </row>
    <row r="26982" spans="20:21" ht="15" customHeight="1" x14ac:dyDescent="0.25">
      <c r="T26982" s="135"/>
      <c r="U26982" s="135"/>
    </row>
    <row r="26983" spans="20:21" ht="15" customHeight="1" x14ac:dyDescent="0.25">
      <c r="T26983" s="135"/>
      <c r="U26983" s="135"/>
    </row>
    <row r="26984" spans="20:21" ht="15" customHeight="1" x14ac:dyDescent="0.25">
      <c r="T26984" s="135"/>
      <c r="U26984" s="135"/>
    </row>
    <row r="26985" spans="20:21" ht="15" customHeight="1" x14ac:dyDescent="0.25">
      <c r="T26985" s="135"/>
      <c r="U26985" s="135"/>
    </row>
    <row r="26986" spans="20:21" ht="15" customHeight="1" x14ac:dyDescent="0.25">
      <c r="T26986" s="135"/>
      <c r="U26986" s="135"/>
    </row>
    <row r="26987" spans="20:21" ht="15" customHeight="1" x14ac:dyDescent="0.25">
      <c r="T26987" s="135"/>
      <c r="U26987" s="135"/>
    </row>
    <row r="26988" spans="20:21" ht="15" customHeight="1" x14ac:dyDescent="0.25">
      <c r="T26988" s="135"/>
      <c r="U26988" s="135"/>
    </row>
    <row r="26989" spans="20:21" ht="15" customHeight="1" x14ac:dyDescent="0.25">
      <c r="T26989" s="135"/>
      <c r="U26989" s="135"/>
    </row>
    <row r="26990" spans="20:21" ht="15" customHeight="1" x14ac:dyDescent="0.25">
      <c r="T26990" s="135"/>
      <c r="U26990" s="135"/>
    </row>
    <row r="26991" spans="20:21" ht="15" customHeight="1" x14ac:dyDescent="0.25">
      <c r="T26991" s="135"/>
      <c r="U26991" s="135"/>
    </row>
    <row r="26992" spans="20:21" ht="15" customHeight="1" x14ac:dyDescent="0.25">
      <c r="T26992" s="135"/>
      <c r="U26992" s="135"/>
    </row>
    <row r="26993" spans="20:21" ht="15" customHeight="1" x14ac:dyDescent="0.25">
      <c r="T26993" s="135"/>
      <c r="U26993" s="135"/>
    </row>
    <row r="26994" spans="20:21" ht="15" customHeight="1" x14ac:dyDescent="0.25">
      <c r="T26994" s="135"/>
      <c r="U26994" s="135"/>
    </row>
    <row r="26995" spans="20:21" ht="15" customHeight="1" x14ac:dyDescent="0.25">
      <c r="T26995" s="135"/>
      <c r="U26995" s="135"/>
    </row>
    <row r="26996" spans="20:21" ht="15" customHeight="1" x14ac:dyDescent="0.25">
      <c r="T26996" s="135"/>
      <c r="U26996" s="135"/>
    </row>
    <row r="26997" spans="20:21" ht="15" customHeight="1" x14ac:dyDescent="0.25">
      <c r="T26997" s="135"/>
      <c r="U26997" s="135"/>
    </row>
    <row r="26998" spans="20:21" ht="15" customHeight="1" x14ac:dyDescent="0.25">
      <c r="T26998" s="135"/>
      <c r="U26998" s="135"/>
    </row>
    <row r="26999" spans="20:21" ht="15" customHeight="1" x14ac:dyDescent="0.25">
      <c r="T26999" s="135"/>
      <c r="U26999" s="135"/>
    </row>
    <row r="27000" spans="20:21" ht="15" customHeight="1" x14ac:dyDescent="0.25">
      <c r="T27000" s="135"/>
      <c r="U27000" s="135"/>
    </row>
    <row r="27001" spans="20:21" ht="15" customHeight="1" x14ac:dyDescent="0.25">
      <c r="T27001" s="135"/>
      <c r="U27001" s="135"/>
    </row>
    <row r="27002" spans="20:21" ht="15" customHeight="1" x14ac:dyDescent="0.25">
      <c r="T27002" s="135"/>
      <c r="U27002" s="135"/>
    </row>
    <row r="27003" spans="20:21" ht="15" customHeight="1" x14ac:dyDescent="0.25">
      <c r="T27003" s="135"/>
      <c r="U27003" s="135"/>
    </row>
    <row r="27004" spans="20:21" ht="15" customHeight="1" x14ac:dyDescent="0.25">
      <c r="T27004" s="135"/>
      <c r="U27004" s="135"/>
    </row>
    <row r="27005" spans="20:21" ht="15" customHeight="1" x14ac:dyDescent="0.25">
      <c r="T27005" s="135"/>
      <c r="U27005" s="135"/>
    </row>
    <row r="27006" spans="20:21" ht="15" customHeight="1" x14ac:dyDescent="0.25">
      <c r="T27006" s="135"/>
      <c r="U27006" s="135"/>
    </row>
    <row r="27007" spans="20:21" ht="15" customHeight="1" x14ac:dyDescent="0.25">
      <c r="T27007" s="135"/>
      <c r="U27007" s="135"/>
    </row>
    <row r="27008" spans="20:21" ht="15" customHeight="1" x14ac:dyDescent="0.25">
      <c r="T27008" s="135"/>
      <c r="U27008" s="135"/>
    </row>
    <row r="27009" spans="20:21" ht="15" customHeight="1" x14ac:dyDescent="0.25">
      <c r="T27009" s="135"/>
      <c r="U27009" s="135"/>
    </row>
    <row r="27010" spans="20:21" ht="15" customHeight="1" x14ac:dyDescent="0.25">
      <c r="T27010" s="135"/>
      <c r="U27010" s="135"/>
    </row>
    <row r="27011" spans="20:21" ht="15" customHeight="1" x14ac:dyDescent="0.25">
      <c r="T27011" s="135"/>
      <c r="U27011" s="135"/>
    </row>
    <row r="27012" spans="20:21" ht="15" customHeight="1" x14ac:dyDescent="0.25">
      <c r="T27012" s="135"/>
      <c r="U27012" s="135"/>
    </row>
    <row r="27013" spans="20:21" ht="15" customHeight="1" x14ac:dyDescent="0.25">
      <c r="T27013" s="135"/>
      <c r="U27013" s="135"/>
    </row>
    <row r="27014" spans="20:21" ht="15" customHeight="1" x14ac:dyDescent="0.25">
      <c r="T27014" s="135"/>
      <c r="U27014" s="135"/>
    </row>
    <row r="27015" spans="20:21" ht="15" customHeight="1" x14ac:dyDescent="0.25">
      <c r="T27015" s="135"/>
      <c r="U27015" s="135"/>
    </row>
    <row r="27016" spans="20:21" ht="15" customHeight="1" x14ac:dyDescent="0.25">
      <c r="T27016" s="135"/>
      <c r="U27016" s="135"/>
    </row>
    <row r="27017" spans="20:21" ht="15" customHeight="1" x14ac:dyDescent="0.25">
      <c r="T27017" s="135"/>
      <c r="U27017" s="135"/>
    </row>
    <row r="27018" spans="20:21" ht="15" customHeight="1" x14ac:dyDescent="0.25">
      <c r="T27018" s="135"/>
      <c r="U27018" s="135"/>
    </row>
    <row r="27019" spans="20:21" ht="15" customHeight="1" x14ac:dyDescent="0.25">
      <c r="T27019" s="135"/>
      <c r="U27019" s="135"/>
    </row>
    <row r="27020" spans="20:21" ht="15" customHeight="1" x14ac:dyDescent="0.25">
      <c r="T27020" s="135"/>
      <c r="U27020" s="135"/>
    </row>
    <row r="27021" spans="20:21" ht="15" customHeight="1" x14ac:dyDescent="0.25">
      <c r="T27021" s="135"/>
      <c r="U27021" s="135"/>
    </row>
    <row r="27022" spans="20:21" ht="15" customHeight="1" x14ac:dyDescent="0.25">
      <c r="T27022" s="135"/>
      <c r="U27022" s="135"/>
    </row>
    <row r="27023" spans="20:21" ht="15" customHeight="1" x14ac:dyDescent="0.25">
      <c r="T27023" s="135"/>
      <c r="U27023" s="135"/>
    </row>
    <row r="27024" spans="20:21" ht="15" customHeight="1" x14ac:dyDescent="0.25">
      <c r="T27024" s="135"/>
      <c r="U27024" s="135"/>
    </row>
    <row r="27025" spans="20:21" ht="15" customHeight="1" x14ac:dyDescent="0.25">
      <c r="T27025" s="135"/>
      <c r="U27025" s="135"/>
    </row>
    <row r="27026" spans="20:21" ht="15" customHeight="1" x14ac:dyDescent="0.25">
      <c r="T27026" s="135"/>
      <c r="U27026" s="135"/>
    </row>
    <row r="27027" spans="20:21" ht="15" customHeight="1" x14ac:dyDescent="0.25">
      <c r="T27027" s="135"/>
      <c r="U27027" s="135"/>
    </row>
    <row r="27028" spans="20:21" ht="15" customHeight="1" x14ac:dyDescent="0.25">
      <c r="T27028" s="135"/>
      <c r="U27028" s="135"/>
    </row>
    <row r="27029" spans="20:21" ht="15" customHeight="1" x14ac:dyDescent="0.25">
      <c r="T27029" s="135"/>
      <c r="U27029" s="135"/>
    </row>
    <row r="27030" spans="20:21" ht="15" customHeight="1" x14ac:dyDescent="0.25">
      <c r="T27030" s="135"/>
      <c r="U27030" s="135"/>
    </row>
    <row r="27031" spans="20:21" ht="15" customHeight="1" x14ac:dyDescent="0.25">
      <c r="T27031" s="135"/>
      <c r="U27031" s="135"/>
    </row>
    <row r="27032" spans="20:21" ht="15" customHeight="1" x14ac:dyDescent="0.25">
      <c r="T27032" s="135"/>
      <c r="U27032" s="135"/>
    </row>
    <row r="27033" spans="20:21" ht="15" customHeight="1" x14ac:dyDescent="0.25">
      <c r="T27033" s="135"/>
      <c r="U27033" s="135"/>
    </row>
    <row r="27034" spans="20:21" ht="15" customHeight="1" x14ac:dyDescent="0.25">
      <c r="T27034" s="135"/>
      <c r="U27034" s="135"/>
    </row>
    <row r="27035" spans="20:21" ht="15" customHeight="1" x14ac:dyDescent="0.25">
      <c r="T27035" s="135"/>
      <c r="U27035" s="135"/>
    </row>
    <row r="27036" spans="20:21" ht="15" customHeight="1" x14ac:dyDescent="0.25">
      <c r="T27036" s="135"/>
      <c r="U27036" s="135"/>
    </row>
    <row r="27037" spans="20:21" ht="15" customHeight="1" x14ac:dyDescent="0.25">
      <c r="T27037" s="135"/>
      <c r="U27037" s="135"/>
    </row>
    <row r="27038" spans="20:21" ht="15" customHeight="1" x14ac:dyDescent="0.25">
      <c r="T27038" s="135"/>
      <c r="U27038" s="135"/>
    </row>
    <row r="27039" spans="20:21" ht="15" customHeight="1" x14ac:dyDescent="0.25">
      <c r="T27039" s="135"/>
      <c r="U27039" s="135"/>
    </row>
    <row r="27040" spans="20:21" ht="15" customHeight="1" x14ac:dyDescent="0.25">
      <c r="T27040" s="135"/>
      <c r="U27040" s="135"/>
    </row>
    <row r="27041" spans="20:21" ht="15" customHeight="1" x14ac:dyDescent="0.25">
      <c r="T27041" s="135"/>
      <c r="U27041" s="135"/>
    </row>
    <row r="27042" spans="20:21" ht="15" customHeight="1" x14ac:dyDescent="0.25">
      <c r="T27042" s="135"/>
      <c r="U27042" s="135"/>
    </row>
    <row r="27043" spans="20:21" ht="15" customHeight="1" x14ac:dyDescent="0.25">
      <c r="T27043" s="135"/>
      <c r="U27043" s="135"/>
    </row>
    <row r="27044" spans="20:21" ht="15" customHeight="1" x14ac:dyDescent="0.25">
      <c r="T27044" s="135"/>
      <c r="U27044" s="135"/>
    </row>
    <row r="27045" spans="20:21" ht="15" customHeight="1" x14ac:dyDescent="0.25">
      <c r="T27045" s="135"/>
      <c r="U27045" s="135"/>
    </row>
    <row r="27046" spans="20:21" ht="15" customHeight="1" x14ac:dyDescent="0.25">
      <c r="T27046" s="135"/>
      <c r="U27046" s="135"/>
    </row>
    <row r="27047" spans="20:21" ht="15" customHeight="1" x14ac:dyDescent="0.25">
      <c r="T27047" s="135"/>
      <c r="U27047" s="135"/>
    </row>
    <row r="27048" spans="20:21" ht="15" customHeight="1" x14ac:dyDescent="0.25">
      <c r="T27048" s="135"/>
      <c r="U27048" s="135"/>
    </row>
    <row r="27049" spans="20:21" ht="15" customHeight="1" x14ac:dyDescent="0.25">
      <c r="T27049" s="135"/>
      <c r="U27049" s="135"/>
    </row>
    <row r="27050" spans="20:21" ht="15" customHeight="1" x14ac:dyDescent="0.25">
      <c r="T27050" s="135"/>
      <c r="U27050" s="135"/>
    </row>
    <row r="27051" spans="20:21" ht="15" customHeight="1" x14ac:dyDescent="0.25">
      <c r="T27051" s="135"/>
      <c r="U27051" s="135"/>
    </row>
    <row r="27052" spans="20:21" ht="15" customHeight="1" x14ac:dyDescent="0.25">
      <c r="T27052" s="135"/>
      <c r="U27052" s="135"/>
    </row>
    <row r="27053" spans="20:21" ht="15" customHeight="1" x14ac:dyDescent="0.25">
      <c r="T27053" s="135"/>
      <c r="U27053" s="135"/>
    </row>
    <row r="27054" spans="20:21" ht="15" customHeight="1" x14ac:dyDescent="0.25">
      <c r="T27054" s="135"/>
      <c r="U27054" s="135"/>
    </row>
    <row r="27055" spans="20:21" ht="15" customHeight="1" x14ac:dyDescent="0.25">
      <c r="T27055" s="135"/>
      <c r="U27055" s="135"/>
    </row>
    <row r="27056" spans="20:21" ht="15" customHeight="1" x14ac:dyDescent="0.25">
      <c r="T27056" s="135"/>
      <c r="U27056" s="135"/>
    </row>
    <row r="27057" spans="20:21" ht="15" customHeight="1" x14ac:dyDescent="0.25">
      <c r="T27057" s="135"/>
      <c r="U27057" s="135"/>
    </row>
    <row r="27058" spans="20:21" ht="15" customHeight="1" x14ac:dyDescent="0.25">
      <c r="T27058" s="135"/>
      <c r="U27058" s="135"/>
    </row>
    <row r="27059" spans="20:21" ht="15" customHeight="1" x14ac:dyDescent="0.25">
      <c r="T27059" s="135"/>
      <c r="U27059" s="135"/>
    </row>
    <row r="27060" spans="20:21" ht="15" customHeight="1" x14ac:dyDescent="0.25">
      <c r="T27060" s="135"/>
      <c r="U27060" s="135"/>
    </row>
    <row r="27061" spans="20:21" ht="15" customHeight="1" x14ac:dyDescent="0.25">
      <c r="T27061" s="135"/>
      <c r="U27061" s="135"/>
    </row>
    <row r="27062" spans="20:21" ht="15" customHeight="1" x14ac:dyDescent="0.25">
      <c r="T27062" s="135"/>
      <c r="U27062" s="135"/>
    </row>
    <row r="27063" spans="20:21" ht="15" customHeight="1" x14ac:dyDescent="0.25">
      <c r="T27063" s="135"/>
      <c r="U27063" s="135"/>
    </row>
    <row r="27064" spans="20:21" ht="15" customHeight="1" x14ac:dyDescent="0.25">
      <c r="T27064" s="135"/>
      <c r="U27064" s="135"/>
    </row>
    <row r="27065" spans="20:21" ht="15" customHeight="1" x14ac:dyDescent="0.25">
      <c r="T27065" s="135"/>
      <c r="U27065" s="135"/>
    </row>
    <row r="27066" spans="20:21" ht="15" customHeight="1" x14ac:dyDescent="0.25">
      <c r="T27066" s="135"/>
      <c r="U27066" s="135"/>
    </row>
    <row r="27067" spans="20:21" ht="15" customHeight="1" x14ac:dyDescent="0.25">
      <c r="T27067" s="135"/>
      <c r="U27067" s="135"/>
    </row>
    <row r="27068" spans="20:21" ht="15" customHeight="1" x14ac:dyDescent="0.25">
      <c r="T27068" s="135"/>
      <c r="U27068" s="135"/>
    </row>
    <row r="27069" spans="20:21" ht="15" customHeight="1" x14ac:dyDescent="0.25">
      <c r="T27069" s="135"/>
      <c r="U27069" s="135"/>
    </row>
    <row r="27070" spans="20:21" ht="15" customHeight="1" x14ac:dyDescent="0.25">
      <c r="T27070" s="135"/>
      <c r="U27070" s="135"/>
    </row>
    <row r="27071" spans="20:21" ht="15" customHeight="1" x14ac:dyDescent="0.25">
      <c r="T27071" s="135"/>
      <c r="U27071" s="135"/>
    </row>
    <row r="27072" spans="20:21" ht="15" customHeight="1" x14ac:dyDescent="0.25">
      <c r="T27072" s="135"/>
      <c r="U27072" s="135"/>
    </row>
    <row r="27073" spans="20:21" ht="15" customHeight="1" x14ac:dyDescent="0.25">
      <c r="T27073" s="135"/>
      <c r="U27073" s="135"/>
    </row>
    <row r="27074" spans="20:21" ht="15" customHeight="1" x14ac:dyDescent="0.25">
      <c r="T27074" s="135"/>
      <c r="U27074" s="135"/>
    </row>
    <row r="27075" spans="20:21" ht="15" customHeight="1" x14ac:dyDescent="0.25">
      <c r="T27075" s="135"/>
      <c r="U27075" s="135"/>
    </row>
    <row r="27076" spans="20:21" ht="15" customHeight="1" x14ac:dyDescent="0.25">
      <c r="T27076" s="135"/>
      <c r="U27076" s="135"/>
    </row>
    <row r="27077" spans="20:21" ht="15" customHeight="1" x14ac:dyDescent="0.25">
      <c r="T27077" s="135"/>
      <c r="U27077" s="135"/>
    </row>
    <row r="27078" spans="20:21" ht="15" customHeight="1" x14ac:dyDescent="0.25">
      <c r="T27078" s="135"/>
      <c r="U27078" s="135"/>
    </row>
    <row r="27079" spans="20:21" ht="15" customHeight="1" x14ac:dyDescent="0.25">
      <c r="T27079" s="135"/>
      <c r="U27079" s="135"/>
    </row>
    <row r="27080" spans="20:21" ht="15" customHeight="1" x14ac:dyDescent="0.25">
      <c r="T27080" s="135"/>
      <c r="U27080" s="135"/>
    </row>
    <row r="27081" spans="20:21" ht="15" customHeight="1" x14ac:dyDescent="0.25">
      <c r="T27081" s="135"/>
      <c r="U27081" s="135"/>
    </row>
    <row r="27082" spans="20:21" ht="15" customHeight="1" x14ac:dyDescent="0.25">
      <c r="T27082" s="135"/>
      <c r="U27082" s="135"/>
    </row>
    <row r="27083" spans="20:21" ht="15" customHeight="1" x14ac:dyDescent="0.25">
      <c r="T27083" s="135"/>
      <c r="U27083" s="135"/>
    </row>
    <row r="27084" spans="20:21" ht="15" customHeight="1" x14ac:dyDescent="0.25">
      <c r="T27084" s="135"/>
      <c r="U27084" s="135"/>
    </row>
    <row r="27085" spans="20:21" ht="15" customHeight="1" x14ac:dyDescent="0.25">
      <c r="T27085" s="135"/>
      <c r="U27085" s="135"/>
    </row>
    <row r="27086" spans="20:21" ht="15" customHeight="1" x14ac:dyDescent="0.25">
      <c r="T27086" s="135"/>
      <c r="U27086" s="135"/>
    </row>
    <row r="27087" spans="20:21" ht="15" customHeight="1" x14ac:dyDescent="0.25">
      <c r="T27087" s="135"/>
      <c r="U27087" s="135"/>
    </row>
    <row r="27088" spans="20:21" ht="15" customHeight="1" x14ac:dyDescent="0.25">
      <c r="T27088" s="135"/>
      <c r="U27088" s="135"/>
    </row>
    <row r="27089" spans="20:21" ht="15" customHeight="1" x14ac:dyDescent="0.25">
      <c r="T27089" s="135"/>
      <c r="U27089" s="135"/>
    </row>
    <row r="27090" spans="20:21" ht="15" customHeight="1" x14ac:dyDescent="0.25">
      <c r="T27090" s="135"/>
      <c r="U27090" s="135"/>
    </row>
    <row r="27091" spans="20:21" ht="15" customHeight="1" x14ac:dyDescent="0.25">
      <c r="T27091" s="135"/>
      <c r="U27091" s="135"/>
    </row>
    <row r="27092" spans="20:21" ht="15" customHeight="1" x14ac:dyDescent="0.25">
      <c r="T27092" s="135"/>
      <c r="U27092" s="135"/>
    </row>
    <row r="27093" spans="20:21" ht="15" customHeight="1" x14ac:dyDescent="0.25">
      <c r="T27093" s="135"/>
      <c r="U27093" s="135"/>
    </row>
    <row r="27094" spans="20:21" ht="15" customHeight="1" x14ac:dyDescent="0.25">
      <c r="T27094" s="135"/>
      <c r="U27094" s="135"/>
    </row>
    <row r="27095" spans="20:21" ht="15" customHeight="1" x14ac:dyDescent="0.25">
      <c r="T27095" s="135"/>
      <c r="U27095" s="135"/>
    </row>
    <row r="27096" spans="20:21" ht="15" customHeight="1" x14ac:dyDescent="0.25">
      <c r="T27096" s="135"/>
      <c r="U27096" s="135"/>
    </row>
    <row r="27097" spans="20:21" ht="15" customHeight="1" x14ac:dyDescent="0.25">
      <c r="T27097" s="135"/>
      <c r="U27097" s="135"/>
    </row>
    <row r="27098" spans="20:21" ht="15" customHeight="1" x14ac:dyDescent="0.25">
      <c r="T27098" s="135"/>
      <c r="U27098" s="135"/>
    </row>
    <row r="27099" spans="20:21" ht="15" customHeight="1" x14ac:dyDescent="0.25">
      <c r="T27099" s="135"/>
      <c r="U27099" s="135"/>
    </row>
    <row r="27100" spans="20:21" ht="15" customHeight="1" x14ac:dyDescent="0.25">
      <c r="T27100" s="135"/>
      <c r="U27100" s="135"/>
    </row>
    <row r="27101" spans="20:21" ht="15" customHeight="1" x14ac:dyDescent="0.25">
      <c r="T27101" s="135"/>
      <c r="U27101" s="135"/>
    </row>
    <row r="27102" spans="20:21" ht="15" customHeight="1" x14ac:dyDescent="0.25">
      <c r="T27102" s="135"/>
      <c r="U27102" s="135"/>
    </row>
    <row r="27103" spans="20:21" ht="15" customHeight="1" x14ac:dyDescent="0.25">
      <c r="T27103" s="135"/>
      <c r="U27103" s="135"/>
    </row>
    <row r="27104" spans="20:21" ht="15" customHeight="1" x14ac:dyDescent="0.25">
      <c r="T27104" s="135"/>
      <c r="U27104" s="135"/>
    </row>
    <row r="27105" spans="20:21" ht="15" customHeight="1" x14ac:dyDescent="0.25">
      <c r="T27105" s="135"/>
      <c r="U27105" s="135"/>
    </row>
    <row r="27106" spans="20:21" ht="15" customHeight="1" x14ac:dyDescent="0.25">
      <c r="T27106" s="135"/>
      <c r="U27106" s="135"/>
    </row>
    <row r="27107" spans="20:21" ht="15" customHeight="1" x14ac:dyDescent="0.25">
      <c r="T27107" s="135"/>
      <c r="U27107" s="135"/>
    </row>
    <row r="27108" spans="20:21" ht="15" customHeight="1" x14ac:dyDescent="0.25">
      <c r="T27108" s="135"/>
      <c r="U27108" s="135"/>
    </row>
    <row r="27109" spans="20:21" ht="15" customHeight="1" x14ac:dyDescent="0.25">
      <c r="T27109" s="135"/>
      <c r="U27109" s="135"/>
    </row>
    <row r="27110" spans="20:21" ht="15" customHeight="1" x14ac:dyDescent="0.25">
      <c r="T27110" s="135"/>
      <c r="U27110" s="135"/>
    </row>
    <row r="27111" spans="20:21" ht="15" customHeight="1" x14ac:dyDescent="0.25">
      <c r="T27111" s="135"/>
      <c r="U27111" s="135"/>
    </row>
    <row r="27112" spans="20:21" ht="15" customHeight="1" x14ac:dyDescent="0.25">
      <c r="T27112" s="135"/>
      <c r="U27112" s="135"/>
    </row>
    <row r="27113" spans="20:21" ht="15" customHeight="1" x14ac:dyDescent="0.25">
      <c r="T27113" s="135"/>
      <c r="U27113" s="135"/>
    </row>
    <row r="27114" spans="20:21" ht="15" customHeight="1" x14ac:dyDescent="0.25">
      <c r="T27114" s="135"/>
      <c r="U27114" s="135"/>
    </row>
    <row r="27115" spans="20:21" ht="15" customHeight="1" x14ac:dyDescent="0.25">
      <c r="T27115" s="135"/>
      <c r="U27115" s="135"/>
    </row>
    <row r="27116" spans="20:21" ht="15" customHeight="1" x14ac:dyDescent="0.25">
      <c r="T27116" s="135"/>
      <c r="U27116" s="135"/>
    </row>
    <row r="27117" spans="20:21" ht="15" customHeight="1" x14ac:dyDescent="0.25">
      <c r="T27117" s="135"/>
      <c r="U27117" s="135"/>
    </row>
    <row r="27118" spans="20:21" ht="15" customHeight="1" x14ac:dyDescent="0.25">
      <c r="T27118" s="135"/>
      <c r="U27118" s="135"/>
    </row>
    <row r="27119" spans="20:21" ht="15" customHeight="1" x14ac:dyDescent="0.25">
      <c r="T27119" s="135"/>
      <c r="U27119" s="135"/>
    </row>
    <row r="27120" spans="20:21" ht="15" customHeight="1" x14ac:dyDescent="0.25">
      <c r="T27120" s="135"/>
      <c r="U27120" s="135"/>
    </row>
    <row r="27121" spans="20:21" ht="15" customHeight="1" x14ac:dyDescent="0.25">
      <c r="T27121" s="135"/>
      <c r="U27121" s="135"/>
    </row>
    <row r="27122" spans="20:21" ht="15" customHeight="1" x14ac:dyDescent="0.25">
      <c r="T27122" s="135"/>
      <c r="U27122" s="135"/>
    </row>
    <row r="27123" spans="20:21" ht="15" customHeight="1" x14ac:dyDescent="0.25">
      <c r="T27123" s="135"/>
      <c r="U27123" s="135"/>
    </row>
    <row r="27124" spans="20:21" ht="15" customHeight="1" x14ac:dyDescent="0.25">
      <c r="T27124" s="135"/>
      <c r="U27124" s="135"/>
    </row>
    <row r="27125" spans="20:21" ht="15" customHeight="1" x14ac:dyDescent="0.25">
      <c r="T27125" s="135"/>
      <c r="U27125" s="135"/>
    </row>
    <row r="27126" spans="20:21" ht="15" customHeight="1" x14ac:dyDescent="0.25">
      <c r="T27126" s="135"/>
      <c r="U27126" s="135"/>
    </row>
    <row r="27127" spans="20:21" ht="15" customHeight="1" x14ac:dyDescent="0.25">
      <c r="T27127" s="135"/>
      <c r="U27127" s="135"/>
    </row>
    <row r="27128" spans="20:21" ht="15" customHeight="1" x14ac:dyDescent="0.25">
      <c r="T27128" s="135"/>
      <c r="U27128" s="135"/>
    </row>
    <row r="27129" spans="20:21" ht="15" customHeight="1" x14ac:dyDescent="0.25">
      <c r="T27129" s="135"/>
      <c r="U27129" s="135"/>
    </row>
    <row r="27130" spans="20:21" ht="15" customHeight="1" x14ac:dyDescent="0.25">
      <c r="T27130" s="135"/>
      <c r="U27130" s="135"/>
    </row>
    <row r="27131" spans="20:21" ht="15" customHeight="1" x14ac:dyDescent="0.25">
      <c r="T27131" s="135"/>
      <c r="U27131" s="135"/>
    </row>
    <row r="27132" spans="20:21" ht="15" customHeight="1" x14ac:dyDescent="0.25">
      <c r="T27132" s="135"/>
      <c r="U27132" s="135"/>
    </row>
    <row r="27133" spans="20:21" ht="15" customHeight="1" x14ac:dyDescent="0.25">
      <c r="T27133" s="135"/>
      <c r="U27133" s="135"/>
    </row>
    <row r="27134" spans="20:21" ht="15" customHeight="1" x14ac:dyDescent="0.25">
      <c r="T27134" s="135"/>
      <c r="U27134" s="135"/>
    </row>
    <row r="27135" spans="20:21" ht="15" customHeight="1" x14ac:dyDescent="0.25">
      <c r="T27135" s="135"/>
      <c r="U27135" s="135"/>
    </row>
    <row r="27136" spans="20:21" ht="15" customHeight="1" x14ac:dyDescent="0.25">
      <c r="T27136" s="135"/>
      <c r="U27136" s="135"/>
    </row>
    <row r="27137" spans="20:21" ht="15" customHeight="1" x14ac:dyDescent="0.25">
      <c r="T27137" s="135"/>
      <c r="U27137" s="135"/>
    </row>
    <row r="27138" spans="20:21" ht="15" customHeight="1" x14ac:dyDescent="0.25">
      <c r="T27138" s="135"/>
      <c r="U27138" s="135"/>
    </row>
    <row r="27139" spans="20:21" ht="15" customHeight="1" x14ac:dyDescent="0.25">
      <c r="T27139" s="135"/>
      <c r="U27139" s="135"/>
    </row>
    <row r="27140" spans="20:21" ht="15" customHeight="1" x14ac:dyDescent="0.25">
      <c r="T27140" s="135"/>
      <c r="U27140" s="135"/>
    </row>
    <row r="27141" spans="20:21" ht="15" customHeight="1" x14ac:dyDescent="0.25">
      <c r="T27141" s="135"/>
      <c r="U27141" s="135"/>
    </row>
    <row r="27142" spans="20:21" ht="15" customHeight="1" x14ac:dyDescent="0.25">
      <c r="T27142" s="135"/>
      <c r="U27142" s="135"/>
    </row>
    <row r="27143" spans="20:21" ht="15" customHeight="1" x14ac:dyDescent="0.25">
      <c r="T27143" s="135"/>
      <c r="U27143" s="135"/>
    </row>
    <row r="27144" spans="20:21" ht="15" customHeight="1" x14ac:dyDescent="0.25">
      <c r="T27144" s="135"/>
      <c r="U27144" s="135"/>
    </row>
    <row r="27145" spans="20:21" ht="15" customHeight="1" x14ac:dyDescent="0.25">
      <c r="T27145" s="135"/>
      <c r="U27145" s="135"/>
    </row>
    <row r="27146" spans="20:21" ht="15" customHeight="1" x14ac:dyDescent="0.25">
      <c r="T27146" s="135"/>
      <c r="U27146" s="135"/>
    </row>
    <row r="27147" spans="20:21" ht="15" customHeight="1" x14ac:dyDescent="0.25">
      <c r="T27147" s="135"/>
      <c r="U27147" s="135"/>
    </row>
    <row r="27148" spans="20:21" ht="15" customHeight="1" x14ac:dyDescent="0.25">
      <c r="T27148" s="135"/>
      <c r="U27148" s="135"/>
    </row>
    <row r="27149" spans="20:21" ht="15" customHeight="1" x14ac:dyDescent="0.25">
      <c r="T27149" s="135"/>
      <c r="U27149" s="135"/>
    </row>
    <row r="27150" spans="20:21" ht="15" customHeight="1" x14ac:dyDescent="0.25">
      <c r="T27150" s="135"/>
      <c r="U27150" s="135"/>
    </row>
    <row r="27151" spans="20:21" ht="15" customHeight="1" x14ac:dyDescent="0.25">
      <c r="T27151" s="135"/>
      <c r="U27151" s="135"/>
    </row>
    <row r="27152" spans="20:21" ht="15" customHeight="1" x14ac:dyDescent="0.25">
      <c r="T27152" s="135"/>
      <c r="U27152" s="135"/>
    </row>
    <row r="27153" spans="20:21" ht="15" customHeight="1" x14ac:dyDescent="0.25">
      <c r="T27153" s="135"/>
      <c r="U27153" s="135"/>
    </row>
    <row r="27154" spans="20:21" ht="15" customHeight="1" x14ac:dyDescent="0.25">
      <c r="T27154" s="135"/>
      <c r="U27154" s="135"/>
    </row>
    <row r="27155" spans="20:21" ht="15" customHeight="1" x14ac:dyDescent="0.25">
      <c r="T27155" s="135"/>
      <c r="U27155" s="135"/>
    </row>
    <row r="27156" spans="20:21" ht="15" customHeight="1" x14ac:dyDescent="0.25">
      <c r="T27156" s="135"/>
      <c r="U27156" s="135"/>
    </row>
    <row r="27157" spans="20:21" ht="15" customHeight="1" x14ac:dyDescent="0.25">
      <c r="T27157" s="135"/>
      <c r="U27157" s="135"/>
    </row>
    <row r="27158" spans="20:21" ht="15" customHeight="1" x14ac:dyDescent="0.25">
      <c r="T27158" s="135"/>
      <c r="U27158" s="135"/>
    </row>
    <row r="27159" spans="20:21" ht="15" customHeight="1" x14ac:dyDescent="0.25">
      <c r="T27159" s="135"/>
      <c r="U27159" s="135"/>
    </row>
    <row r="27160" spans="20:21" ht="15" customHeight="1" x14ac:dyDescent="0.25">
      <c r="T27160" s="135"/>
      <c r="U27160" s="135"/>
    </row>
    <row r="27161" spans="20:21" ht="15" customHeight="1" x14ac:dyDescent="0.25">
      <c r="T27161" s="135"/>
      <c r="U27161" s="135"/>
    </row>
    <row r="27162" spans="20:21" ht="15" customHeight="1" x14ac:dyDescent="0.25">
      <c r="T27162" s="135"/>
      <c r="U27162" s="135"/>
    </row>
    <row r="27163" spans="20:21" ht="15" customHeight="1" x14ac:dyDescent="0.25">
      <c r="T27163" s="135"/>
      <c r="U27163" s="135"/>
    </row>
    <row r="27164" spans="20:21" ht="15" customHeight="1" x14ac:dyDescent="0.25">
      <c r="T27164" s="135"/>
      <c r="U27164" s="135"/>
    </row>
    <row r="27165" spans="20:21" ht="15" customHeight="1" x14ac:dyDescent="0.25">
      <c r="T27165" s="135"/>
      <c r="U27165" s="135"/>
    </row>
    <row r="27166" spans="20:21" ht="15" customHeight="1" x14ac:dyDescent="0.25">
      <c r="T27166" s="135"/>
      <c r="U27166" s="135"/>
    </row>
    <row r="27167" spans="20:21" ht="15" customHeight="1" x14ac:dyDescent="0.25">
      <c r="T27167" s="135"/>
      <c r="U27167" s="135"/>
    </row>
    <row r="27168" spans="20:21" ht="15" customHeight="1" x14ac:dyDescent="0.25">
      <c r="T27168" s="135"/>
      <c r="U27168" s="135"/>
    </row>
    <row r="27169" spans="20:21" ht="15" customHeight="1" x14ac:dyDescent="0.25">
      <c r="T27169" s="135"/>
      <c r="U27169" s="135"/>
    </row>
    <row r="27170" spans="20:21" ht="15" customHeight="1" x14ac:dyDescent="0.25">
      <c r="T27170" s="135"/>
      <c r="U27170" s="135"/>
    </row>
    <row r="27171" spans="20:21" ht="15" customHeight="1" x14ac:dyDescent="0.25">
      <c r="T27171" s="135"/>
      <c r="U27171" s="135"/>
    </row>
    <row r="27172" spans="20:21" ht="15" customHeight="1" x14ac:dyDescent="0.25">
      <c r="T27172" s="135"/>
      <c r="U27172" s="135"/>
    </row>
    <row r="27173" spans="20:21" ht="15" customHeight="1" x14ac:dyDescent="0.25">
      <c r="T27173" s="135"/>
      <c r="U27173" s="135"/>
    </row>
    <row r="27174" spans="20:21" ht="15" customHeight="1" x14ac:dyDescent="0.25">
      <c r="T27174" s="135"/>
      <c r="U27174" s="135"/>
    </row>
    <row r="27175" spans="20:21" ht="15" customHeight="1" x14ac:dyDescent="0.25">
      <c r="T27175" s="135"/>
      <c r="U27175" s="135"/>
    </row>
    <row r="27176" spans="20:21" ht="15" customHeight="1" x14ac:dyDescent="0.25">
      <c r="T27176" s="135"/>
      <c r="U27176" s="135"/>
    </row>
    <row r="27177" spans="20:21" ht="15" customHeight="1" x14ac:dyDescent="0.25">
      <c r="T27177" s="135"/>
      <c r="U27177" s="135"/>
    </row>
    <row r="27178" spans="20:21" ht="15" customHeight="1" x14ac:dyDescent="0.25">
      <c r="T27178" s="135"/>
      <c r="U27178" s="135"/>
    </row>
    <row r="27179" spans="20:21" ht="15" customHeight="1" x14ac:dyDescent="0.25">
      <c r="T27179" s="135"/>
      <c r="U27179" s="135"/>
    </row>
    <row r="27180" spans="20:21" ht="15" customHeight="1" x14ac:dyDescent="0.25">
      <c r="T27180" s="135"/>
      <c r="U27180" s="135"/>
    </row>
    <row r="27181" spans="20:21" ht="15" customHeight="1" x14ac:dyDescent="0.25">
      <c r="T27181" s="135"/>
      <c r="U27181" s="135"/>
    </row>
    <row r="27182" spans="20:21" ht="15" customHeight="1" x14ac:dyDescent="0.25">
      <c r="T27182" s="135"/>
      <c r="U27182" s="135"/>
    </row>
    <row r="27183" spans="20:21" ht="15" customHeight="1" x14ac:dyDescent="0.25">
      <c r="T27183" s="135"/>
      <c r="U27183" s="135"/>
    </row>
    <row r="27184" spans="20:21" ht="15" customHeight="1" x14ac:dyDescent="0.25">
      <c r="T27184" s="135"/>
      <c r="U27184" s="135"/>
    </row>
    <row r="27185" spans="20:21" ht="15" customHeight="1" x14ac:dyDescent="0.25">
      <c r="T27185" s="135"/>
      <c r="U27185" s="135"/>
    </row>
    <row r="27186" spans="20:21" ht="15" customHeight="1" x14ac:dyDescent="0.25">
      <c r="T27186" s="135"/>
      <c r="U27186" s="135"/>
    </row>
    <row r="27187" spans="20:21" ht="15" customHeight="1" x14ac:dyDescent="0.25">
      <c r="T27187" s="135"/>
      <c r="U27187" s="135"/>
    </row>
    <row r="27188" spans="20:21" ht="15" customHeight="1" x14ac:dyDescent="0.25">
      <c r="T27188" s="135"/>
      <c r="U27188" s="135"/>
    </row>
    <row r="27189" spans="20:21" ht="15" customHeight="1" x14ac:dyDescent="0.25">
      <c r="T27189" s="135"/>
      <c r="U27189" s="135"/>
    </row>
    <row r="27190" spans="20:21" ht="15" customHeight="1" x14ac:dyDescent="0.25">
      <c r="T27190" s="135"/>
      <c r="U27190" s="135"/>
    </row>
    <row r="27191" spans="20:21" ht="15" customHeight="1" x14ac:dyDescent="0.25">
      <c r="T27191" s="135"/>
      <c r="U27191" s="135"/>
    </row>
    <row r="27192" spans="20:21" ht="15" customHeight="1" x14ac:dyDescent="0.25">
      <c r="T27192" s="135"/>
      <c r="U27192" s="135"/>
    </row>
    <row r="27193" spans="20:21" ht="15" customHeight="1" x14ac:dyDescent="0.25">
      <c r="T27193" s="135"/>
      <c r="U27193" s="135"/>
    </row>
    <row r="27194" spans="20:21" ht="15" customHeight="1" x14ac:dyDescent="0.25">
      <c r="T27194" s="135"/>
      <c r="U27194" s="135"/>
    </row>
    <row r="27195" spans="20:21" ht="15" customHeight="1" x14ac:dyDescent="0.25">
      <c r="T27195" s="135"/>
      <c r="U27195" s="135"/>
    </row>
    <row r="27196" spans="20:21" ht="15" customHeight="1" x14ac:dyDescent="0.25">
      <c r="T27196" s="135"/>
      <c r="U27196" s="135"/>
    </row>
    <row r="27197" spans="20:21" ht="15" customHeight="1" x14ac:dyDescent="0.25">
      <c r="T27197" s="135"/>
      <c r="U27197" s="135"/>
    </row>
    <row r="27198" spans="20:21" ht="15" customHeight="1" x14ac:dyDescent="0.25">
      <c r="T27198" s="135"/>
      <c r="U27198" s="135"/>
    </row>
    <row r="27199" spans="20:21" ht="15" customHeight="1" x14ac:dyDescent="0.25">
      <c r="T27199" s="135"/>
      <c r="U27199" s="135"/>
    </row>
    <row r="27200" spans="20:21" ht="15" customHeight="1" x14ac:dyDescent="0.25">
      <c r="T27200" s="135"/>
      <c r="U27200" s="135"/>
    </row>
    <row r="27201" spans="20:21" ht="15" customHeight="1" x14ac:dyDescent="0.25">
      <c r="T27201" s="135"/>
      <c r="U27201" s="135"/>
    </row>
    <row r="27202" spans="20:21" ht="15" customHeight="1" x14ac:dyDescent="0.25">
      <c r="T27202" s="135"/>
      <c r="U27202" s="135"/>
    </row>
    <row r="27203" spans="20:21" ht="15" customHeight="1" x14ac:dyDescent="0.25">
      <c r="T27203" s="135"/>
      <c r="U27203" s="135"/>
    </row>
    <row r="27204" spans="20:21" ht="15" customHeight="1" x14ac:dyDescent="0.25">
      <c r="T27204" s="135"/>
      <c r="U27204" s="135"/>
    </row>
    <row r="27205" spans="20:21" ht="15" customHeight="1" x14ac:dyDescent="0.25">
      <c r="T27205" s="135"/>
      <c r="U27205" s="135"/>
    </row>
    <row r="27206" spans="20:21" ht="15" customHeight="1" x14ac:dyDescent="0.25">
      <c r="T27206" s="135"/>
      <c r="U27206" s="135"/>
    </row>
    <row r="27207" spans="20:21" ht="15" customHeight="1" x14ac:dyDescent="0.25">
      <c r="T27207" s="135"/>
      <c r="U27207" s="135"/>
    </row>
    <row r="27208" spans="20:21" ht="15" customHeight="1" x14ac:dyDescent="0.25">
      <c r="T27208" s="135"/>
      <c r="U27208" s="135"/>
    </row>
    <row r="27209" spans="20:21" ht="15" customHeight="1" x14ac:dyDescent="0.25">
      <c r="T27209" s="135"/>
      <c r="U27209" s="135"/>
    </row>
    <row r="27210" spans="20:21" ht="15" customHeight="1" x14ac:dyDescent="0.25">
      <c r="T27210" s="135"/>
      <c r="U27210" s="135"/>
    </row>
    <row r="27211" spans="20:21" ht="15" customHeight="1" x14ac:dyDescent="0.25">
      <c r="T27211" s="135"/>
      <c r="U27211" s="135"/>
    </row>
    <row r="27212" spans="20:21" ht="15" customHeight="1" x14ac:dyDescent="0.25">
      <c r="T27212" s="135"/>
      <c r="U27212" s="135"/>
    </row>
    <row r="27213" spans="20:21" ht="15" customHeight="1" x14ac:dyDescent="0.25">
      <c r="T27213" s="135"/>
      <c r="U27213" s="135"/>
    </row>
    <row r="27214" spans="20:21" ht="15" customHeight="1" x14ac:dyDescent="0.25">
      <c r="T27214" s="135"/>
      <c r="U27214" s="135"/>
    </row>
    <row r="27215" spans="20:21" ht="15" customHeight="1" x14ac:dyDescent="0.25">
      <c r="T27215" s="135"/>
      <c r="U27215" s="135"/>
    </row>
    <row r="27216" spans="20:21" ht="15" customHeight="1" x14ac:dyDescent="0.25">
      <c r="T27216" s="135"/>
      <c r="U27216" s="135"/>
    </row>
    <row r="27217" spans="20:21" ht="15" customHeight="1" x14ac:dyDescent="0.25">
      <c r="T27217" s="135"/>
      <c r="U27217" s="135"/>
    </row>
    <row r="27218" spans="20:21" ht="15" customHeight="1" x14ac:dyDescent="0.25">
      <c r="T27218" s="135"/>
      <c r="U27218" s="135"/>
    </row>
    <row r="27219" spans="20:21" ht="15" customHeight="1" x14ac:dyDescent="0.25">
      <c r="T27219" s="135"/>
      <c r="U27219" s="135"/>
    </row>
    <row r="27220" spans="20:21" ht="15" customHeight="1" x14ac:dyDescent="0.25">
      <c r="T27220" s="135"/>
      <c r="U27220" s="135"/>
    </row>
    <row r="27221" spans="20:21" ht="15" customHeight="1" x14ac:dyDescent="0.25">
      <c r="T27221" s="135"/>
      <c r="U27221" s="135"/>
    </row>
    <row r="27222" spans="20:21" ht="15" customHeight="1" x14ac:dyDescent="0.25">
      <c r="T27222" s="135"/>
      <c r="U27222" s="135"/>
    </row>
    <row r="27223" spans="20:21" ht="15" customHeight="1" x14ac:dyDescent="0.25">
      <c r="T27223" s="135"/>
      <c r="U27223" s="135"/>
    </row>
    <row r="27224" spans="20:21" ht="15" customHeight="1" x14ac:dyDescent="0.25">
      <c r="T27224" s="135"/>
      <c r="U27224" s="135"/>
    </row>
    <row r="27225" spans="20:21" ht="15" customHeight="1" x14ac:dyDescent="0.25">
      <c r="T27225" s="135"/>
      <c r="U27225" s="135"/>
    </row>
    <row r="27226" spans="20:21" ht="15" customHeight="1" x14ac:dyDescent="0.25">
      <c r="T27226" s="135"/>
      <c r="U27226" s="135"/>
    </row>
    <row r="27227" spans="20:21" ht="15" customHeight="1" x14ac:dyDescent="0.25">
      <c r="T27227" s="135"/>
      <c r="U27227" s="135"/>
    </row>
    <row r="27228" spans="20:21" ht="15" customHeight="1" x14ac:dyDescent="0.25">
      <c r="T27228" s="135"/>
      <c r="U27228" s="135"/>
    </row>
    <row r="27229" spans="20:21" ht="15" customHeight="1" x14ac:dyDescent="0.25">
      <c r="T27229" s="135"/>
      <c r="U27229" s="135"/>
    </row>
    <row r="27230" spans="20:21" ht="15" customHeight="1" x14ac:dyDescent="0.25">
      <c r="T27230" s="135"/>
      <c r="U27230" s="135"/>
    </row>
    <row r="27231" spans="20:21" ht="15" customHeight="1" x14ac:dyDescent="0.25">
      <c r="T27231" s="135"/>
      <c r="U27231" s="135"/>
    </row>
    <row r="27232" spans="20:21" ht="15" customHeight="1" x14ac:dyDescent="0.25">
      <c r="T27232" s="135"/>
      <c r="U27232" s="135"/>
    </row>
    <row r="27233" spans="20:21" ht="15" customHeight="1" x14ac:dyDescent="0.25">
      <c r="T27233" s="135"/>
      <c r="U27233" s="135"/>
    </row>
    <row r="27234" spans="20:21" ht="15" customHeight="1" x14ac:dyDescent="0.25">
      <c r="T27234" s="135"/>
      <c r="U27234" s="135"/>
    </row>
    <row r="27235" spans="20:21" ht="15" customHeight="1" x14ac:dyDescent="0.25">
      <c r="T27235" s="135"/>
      <c r="U27235" s="135"/>
    </row>
    <row r="27236" spans="20:21" ht="15" customHeight="1" x14ac:dyDescent="0.25">
      <c r="T27236" s="135"/>
      <c r="U27236" s="135"/>
    </row>
    <row r="27237" spans="20:21" ht="15" customHeight="1" x14ac:dyDescent="0.25">
      <c r="T27237" s="135"/>
      <c r="U27237" s="135"/>
    </row>
    <row r="27238" spans="20:21" ht="15" customHeight="1" x14ac:dyDescent="0.25">
      <c r="T27238" s="135"/>
      <c r="U27238" s="135"/>
    </row>
    <row r="27239" spans="20:21" ht="15" customHeight="1" x14ac:dyDescent="0.25">
      <c r="T27239" s="135"/>
      <c r="U27239" s="135"/>
    </row>
    <row r="27240" spans="20:21" ht="15" customHeight="1" x14ac:dyDescent="0.25">
      <c r="T27240" s="135"/>
      <c r="U27240" s="135"/>
    </row>
    <row r="27241" spans="20:21" ht="15" customHeight="1" x14ac:dyDescent="0.25">
      <c r="T27241" s="135"/>
      <c r="U27241" s="135"/>
    </row>
    <row r="27242" spans="20:21" ht="15" customHeight="1" x14ac:dyDescent="0.25">
      <c r="T27242" s="135"/>
      <c r="U27242" s="135"/>
    </row>
    <row r="27243" spans="20:21" ht="15" customHeight="1" x14ac:dyDescent="0.25">
      <c r="T27243" s="135"/>
      <c r="U27243" s="135"/>
    </row>
    <row r="27244" spans="20:21" ht="15" customHeight="1" x14ac:dyDescent="0.25">
      <c r="T27244" s="135"/>
      <c r="U27244" s="135"/>
    </row>
    <row r="27245" spans="20:21" ht="15" customHeight="1" x14ac:dyDescent="0.25">
      <c r="T27245" s="135"/>
      <c r="U27245" s="135"/>
    </row>
    <row r="27246" spans="20:21" ht="15" customHeight="1" x14ac:dyDescent="0.25">
      <c r="T27246" s="135"/>
      <c r="U27246" s="135"/>
    </row>
    <row r="27247" spans="20:21" ht="15" customHeight="1" x14ac:dyDescent="0.25">
      <c r="T27247" s="135"/>
      <c r="U27247" s="135"/>
    </row>
    <row r="27248" spans="20:21" ht="15" customHeight="1" x14ac:dyDescent="0.25">
      <c r="T27248" s="135"/>
      <c r="U27248" s="135"/>
    </row>
    <row r="27249" spans="20:21" ht="15" customHeight="1" x14ac:dyDescent="0.25">
      <c r="T27249" s="135"/>
      <c r="U27249" s="135"/>
    </row>
    <row r="27250" spans="20:21" ht="15" customHeight="1" x14ac:dyDescent="0.25">
      <c r="T27250" s="135"/>
      <c r="U27250" s="135"/>
    </row>
    <row r="27251" spans="20:21" ht="15" customHeight="1" x14ac:dyDescent="0.25">
      <c r="T27251" s="135"/>
      <c r="U27251" s="135"/>
    </row>
    <row r="27252" spans="20:21" ht="15" customHeight="1" x14ac:dyDescent="0.25">
      <c r="T27252" s="135"/>
      <c r="U27252" s="135"/>
    </row>
    <row r="27253" spans="20:21" ht="15" customHeight="1" x14ac:dyDescent="0.25">
      <c r="T27253" s="135"/>
      <c r="U27253" s="135"/>
    </row>
    <row r="27254" spans="20:21" ht="15" customHeight="1" x14ac:dyDescent="0.25">
      <c r="T27254" s="135"/>
      <c r="U27254" s="135"/>
    </row>
    <row r="27255" spans="20:21" ht="15" customHeight="1" x14ac:dyDescent="0.25">
      <c r="T27255" s="135"/>
      <c r="U27255" s="135"/>
    </row>
    <row r="27256" spans="20:21" ht="15" customHeight="1" x14ac:dyDescent="0.25">
      <c r="T27256" s="135"/>
      <c r="U27256" s="135"/>
    </row>
    <row r="27257" spans="20:21" ht="15" customHeight="1" x14ac:dyDescent="0.25">
      <c r="T27257" s="135"/>
      <c r="U27257" s="135"/>
    </row>
    <row r="27258" spans="20:21" ht="15" customHeight="1" x14ac:dyDescent="0.25">
      <c r="T27258" s="135"/>
      <c r="U27258" s="135"/>
    </row>
    <row r="27259" spans="20:21" ht="15" customHeight="1" x14ac:dyDescent="0.25">
      <c r="T27259" s="135"/>
      <c r="U27259" s="135"/>
    </row>
    <row r="27260" spans="20:21" ht="15" customHeight="1" x14ac:dyDescent="0.25">
      <c r="T27260" s="135"/>
      <c r="U27260" s="135"/>
    </row>
    <row r="27261" spans="20:21" ht="15" customHeight="1" x14ac:dyDescent="0.25">
      <c r="T27261" s="135"/>
      <c r="U27261" s="135"/>
    </row>
    <row r="27262" spans="20:21" ht="15" customHeight="1" x14ac:dyDescent="0.25">
      <c r="T27262" s="135"/>
      <c r="U27262" s="135"/>
    </row>
    <row r="27263" spans="20:21" ht="15" customHeight="1" x14ac:dyDescent="0.25">
      <c r="T27263" s="135"/>
      <c r="U27263" s="135"/>
    </row>
    <row r="27264" spans="20:21" ht="15" customHeight="1" x14ac:dyDescent="0.25">
      <c r="T27264" s="135"/>
      <c r="U27264" s="135"/>
    </row>
    <row r="27265" spans="20:21" ht="15" customHeight="1" x14ac:dyDescent="0.25">
      <c r="T27265" s="135"/>
      <c r="U27265" s="135"/>
    </row>
    <row r="27266" spans="20:21" ht="15" customHeight="1" x14ac:dyDescent="0.25">
      <c r="T27266" s="135"/>
      <c r="U27266" s="135"/>
    </row>
    <row r="27267" spans="20:21" ht="15" customHeight="1" x14ac:dyDescent="0.25">
      <c r="T27267" s="135"/>
      <c r="U27267" s="135"/>
    </row>
    <row r="27268" spans="20:21" ht="15" customHeight="1" x14ac:dyDescent="0.25">
      <c r="T27268" s="135"/>
      <c r="U27268" s="135"/>
    </row>
    <row r="27269" spans="20:21" ht="15" customHeight="1" x14ac:dyDescent="0.25">
      <c r="T27269" s="135"/>
      <c r="U27269" s="135"/>
    </row>
    <row r="27270" spans="20:21" ht="15" customHeight="1" x14ac:dyDescent="0.25">
      <c r="T27270" s="135"/>
      <c r="U27270" s="135"/>
    </row>
    <row r="27271" spans="20:21" ht="15" customHeight="1" x14ac:dyDescent="0.25">
      <c r="T27271" s="135"/>
      <c r="U27271" s="135"/>
    </row>
    <row r="27272" spans="20:21" ht="15" customHeight="1" x14ac:dyDescent="0.25">
      <c r="T27272" s="135"/>
      <c r="U27272" s="135"/>
    </row>
    <row r="27273" spans="20:21" ht="15" customHeight="1" x14ac:dyDescent="0.25">
      <c r="T27273" s="135"/>
      <c r="U27273" s="135"/>
    </row>
    <row r="27274" spans="20:21" ht="15" customHeight="1" x14ac:dyDescent="0.25">
      <c r="T27274" s="135"/>
      <c r="U27274" s="135"/>
    </row>
    <row r="27275" spans="20:21" ht="15" customHeight="1" x14ac:dyDescent="0.25">
      <c r="T27275" s="135"/>
      <c r="U27275" s="135"/>
    </row>
    <row r="27276" spans="20:21" ht="15" customHeight="1" x14ac:dyDescent="0.25">
      <c r="T27276" s="135"/>
      <c r="U27276" s="135"/>
    </row>
    <row r="27277" spans="20:21" ht="15" customHeight="1" x14ac:dyDescent="0.25">
      <c r="T27277" s="135"/>
      <c r="U27277" s="135"/>
    </row>
    <row r="27278" spans="20:21" ht="15" customHeight="1" x14ac:dyDescent="0.25">
      <c r="T27278" s="135"/>
      <c r="U27278" s="135"/>
    </row>
    <row r="27279" spans="20:21" ht="15" customHeight="1" x14ac:dyDescent="0.25">
      <c r="T27279" s="135"/>
      <c r="U27279" s="135"/>
    </row>
    <row r="27280" spans="20:21" ht="15" customHeight="1" x14ac:dyDescent="0.25">
      <c r="T27280" s="135"/>
      <c r="U27280" s="135"/>
    </row>
    <row r="27281" spans="20:21" ht="15" customHeight="1" x14ac:dyDescent="0.25">
      <c r="T27281" s="135"/>
      <c r="U27281" s="135"/>
    </row>
    <row r="27282" spans="20:21" ht="15" customHeight="1" x14ac:dyDescent="0.25">
      <c r="T27282" s="135"/>
      <c r="U27282" s="135"/>
    </row>
    <row r="27283" spans="20:21" ht="15" customHeight="1" x14ac:dyDescent="0.25">
      <c r="T27283" s="135"/>
      <c r="U27283" s="135"/>
    </row>
    <row r="27284" spans="20:21" ht="15" customHeight="1" x14ac:dyDescent="0.25">
      <c r="T27284" s="135"/>
      <c r="U27284" s="135"/>
    </row>
    <row r="27285" spans="20:21" ht="15" customHeight="1" x14ac:dyDescent="0.25">
      <c r="T27285" s="135"/>
      <c r="U27285" s="135"/>
    </row>
    <row r="27286" spans="20:21" ht="15" customHeight="1" x14ac:dyDescent="0.25">
      <c r="T27286" s="135"/>
      <c r="U27286" s="135"/>
    </row>
    <row r="27287" spans="20:21" ht="15" customHeight="1" x14ac:dyDescent="0.25">
      <c r="T27287" s="135"/>
      <c r="U27287" s="135"/>
    </row>
    <row r="27288" spans="20:21" ht="15" customHeight="1" x14ac:dyDescent="0.25">
      <c r="T27288" s="135"/>
      <c r="U27288" s="135"/>
    </row>
    <row r="27289" spans="20:21" ht="15" customHeight="1" x14ac:dyDescent="0.25">
      <c r="T27289" s="135"/>
      <c r="U27289" s="135"/>
    </row>
    <row r="27290" spans="20:21" ht="15" customHeight="1" x14ac:dyDescent="0.25">
      <c r="T27290" s="135"/>
      <c r="U27290" s="135"/>
    </row>
    <row r="27291" spans="20:21" ht="15" customHeight="1" x14ac:dyDescent="0.25">
      <c r="T27291" s="135"/>
      <c r="U27291" s="135"/>
    </row>
    <row r="27292" spans="20:21" ht="15" customHeight="1" x14ac:dyDescent="0.25">
      <c r="T27292" s="135"/>
      <c r="U27292" s="135"/>
    </row>
    <row r="27293" spans="20:21" ht="15" customHeight="1" x14ac:dyDescent="0.25">
      <c r="T27293" s="135"/>
      <c r="U27293" s="135"/>
    </row>
    <row r="27294" spans="20:21" ht="15" customHeight="1" x14ac:dyDescent="0.25">
      <c r="T27294" s="135"/>
      <c r="U27294" s="135"/>
    </row>
    <row r="27295" spans="20:21" ht="15" customHeight="1" x14ac:dyDescent="0.25">
      <c r="T27295" s="135"/>
      <c r="U27295" s="135"/>
    </row>
    <row r="27296" spans="20:21" ht="15" customHeight="1" x14ac:dyDescent="0.25">
      <c r="T27296" s="135"/>
      <c r="U27296" s="135"/>
    </row>
    <row r="27297" spans="20:21" ht="15" customHeight="1" x14ac:dyDescent="0.25">
      <c r="T27297" s="135"/>
      <c r="U27297" s="135"/>
    </row>
    <row r="27298" spans="20:21" ht="15" customHeight="1" x14ac:dyDescent="0.25">
      <c r="T27298" s="135"/>
      <c r="U27298" s="135"/>
    </row>
    <row r="27299" spans="20:21" ht="15" customHeight="1" x14ac:dyDescent="0.25">
      <c r="T27299" s="135"/>
      <c r="U27299" s="135"/>
    </row>
    <row r="27300" spans="20:21" ht="15" customHeight="1" x14ac:dyDescent="0.25">
      <c r="T27300" s="135"/>
      <c r="U27300" s="135"/>
    </row>
    <row r="27301" spans="20:21" ht="15" customHeight="1" x14ac:dyDescent="0.25">
      <c r="T27301" s="135"/>
      <c r="U27301" s="135"/>
    </row>
    <row r="27302" spans="20:21" ht="15" customHeight="1" x14ac:dyDescent="0.25">
      <c r="T27302" s="135"/>
      <c r="U27302" s="135"/>
    </row>
    <row r="27303" spans="20:21" ht="15" customHeight="1" x14ac:dyDescent="0.25">
      <c r="T27303" s="135"/>
      <c r="U27303" s="135"/>
    </row>
    <row r="27304" spans="20:21" ht="15" customHeight="1" x14ac:dyDescent="0.25">
      <c r="T27304" s="135"/>
      <c r="U27304" s="135"/>
    </row>
    <row r="27305" spans="20:21" ht="15" customHeight="1" x14ac:dyDescent="0.25">
      <c r="T27305" s="135"/>
      <c r="U27305" s="135"/>
    </row>
    <row r="27306" spans="20:21" ht="15" customHeight="1" x14ac:dyDescent="0.25">
      <c r="T27306" s="135"/>
      <c r="U27306" s="135"/>
    </row>
    <row r="27307" spans="20:21" ht="15" customHeight="1" x14ac:dyDescent="0.25">
      <c r="T27307" s="135"/>
      <c r="U27307" s="135"/>
    </row>
    <row r="27308" spans="20:21" ht="15" customHeight="1" x14ac:dyDescent="0.25">
      <c r="T27308" s="135"/>
      <c r="U27308" s="135"/>
    </row>
    <row r="27309" spans="20:21" ht="15" customHeight="1" x14ac:dyDescent="0.25">
      <c r="T27309" s="135"/>
      <c r="U27309" s="135"/>
    </row>
    <row r="27310" spans="20:21" ht="15" customHeight="1" x14ac:dyDescent="0.25">
      <c r="T27310" s="135"/>
      <c r="U27310" s="135"/>
    </row>
    <row r="27311" spans="20:21" ht="15" customHeight="1" x14ac:dyDescent="0.25">
      <c r="T27311" s="135"/>
      <c r="U27311" s="135"/>
    </row>
    <row r="27312" spans="20:21" ht="15" customHeight="1" x14ac:dyDescent="0.25">
      <c r="T27312" s="135"/>
      <c r="U27312" s="135"/>
    </row>
    <row r="27313" spans="20:21" ht="15" customHeight="1" x14ac:dyDescent="0.25">
      <c r="T27313" s="135"/>
      <c r="U27313" s="135"/>
    </row>
    <row r="27314" spans="20:21" ht="15" customHeight="1" x14ac:dyDescent="0.25">
      <c r="T27314" s="135"/>
      <c r="U27314" s="135"/>
    </row>
    <row r="27315" spans="20:21" ht="15" customHeight="1" x14ac:dyDescent="0.25">
      <c r="T27315" s="135"/>
      <c r="U27315" s="135"/>
    </row>
    <row r="27316" spans="20:21" ht="15" customHeight="1" x14ac:dyDescent="0.25">
      <c r="T27316" s="135"/>
      <c r="U27316" s="135"/>
    </row>
    <row r="27317" spans="20:21" ht="15" customHeight="1" x14ac:dyDescent="0.25">
      <c r="T27317" s="135"/>
      <c r="U27317" s="135"/>
    </row>
    <row r="27318" spans="20:21" ht="15" customHeight="1" x14ac:dyDescent="0.25">
      <c r="T27318" s="135"/>
      <c r="U27318" s="135"/>
    </row>
    <row r="27319" spans="20:21" ht="15" customHeight="1" x14ac:dyDescent="0.25">
      <c r="T27319" s="135"/>
      <c r="U27319" s="135"/>
    </row>
    <row r="27320" spans="20:21" ht="15" customHeight="1" x14ac:dyDescent="0.25">
      <c r="T27320" s="135"/>
      <c r="U27320" s="135"/>
    </row>
    <row r="27321" spans="20:21" ht="15" customHeight="1" x14ac:dyDescent="0.25">
      <c r="T27321" s="135"/>
      <c r="U27321" s="135"/>
    </row>
    <row r="27322" spans="20:21" ht="15" customHeight="1" x14ac:dyDescent="0.25">
      <c r="T27322" s="135"/>
      <c r="U27322" s="135"/>
    </row>
    <row r="27323" spans="20:21" ht="15" customHeight="1" x14ac:dyDescent="0.25">
      <c r="T27323" s="135"/>
      <c r="U27323" s="135"/>
    </row>
    <row r="27324" spans="20:21" ht="15" customHeight="1" x14ac:dyDescent="0.25">
      <c r="T27324" s="135"/>
      <c r="U27324" s="135"/>
    </row>
    <row r="27325" spans="20:21" ht="15" customHeight="1" x14ac:dyDescent="0.25">
      <c r="T27325" s="135"/>
      <c r="U27325" s="135"/>
    </row>
    <row r="27326" spans="20:21" ht="15" customHeight="1" x14ac:dyDescent="0.25">
      <c r="T27326" s="135"/>
      <c r="U27326" s="135"/>
    </row>
    <row r="27327" spans="20:21" ht="15" customHeight="1" x14ac:dyDescent="0.25">
      <c r="T27327" s="135"/>
      <c r="U27327" s="135"/>
    </row>
    <row r="27328" spans="20:21" ht="15" customHeight="1" x14ac:dyDescent="0.25">
      <c r="T27328" s="135"/>
      <c r="U27328" s="135"/>
    </row>
    <row r="27329" spans="20:21" ht="15" customHeight="1" x14ac:dyDescent="0.25">
      <c r="T27329" s="135"/>
      <c r="U27329" s="135"/>
    </row>
    <row r="27330" spans="20:21" ht="15" customHeight="1" x14ac:dyDescent="0.25">
      <c r="T27330" s="135"/>
      <c r="U27330" s="135"/>
    </row>
    <row r="27331" spans="20:21" ht="15" customHeight="1" x14ac:dyDescent="0.25">
      <c r="T27331" s="135"/>
      <c r="U27331" s="135"/>
    </row>
    <row r="27332" spans="20:21" ht="15" customHeight="1" x14ac:dyDescent="0.25">
      <c r="T27332" s="135"/>
      <c r="U27332" s="135"/>
    </row>
    <row r="27333" spans="20:21" ht="15" customHeight="1" x14ac:dyDescent="0.25">
      <c r="T27333" s="135"/>
      <c r="U27333" s="135"/>
    </row>
    <row r="27334" spans="20:21" ht="15" customHeight="1" x14ac:dyDescent="0.25">
      <c r="T27334" s="135"/>
      <c r="U27334" s="135"/>
    </row>
    <row r="27335" spans="20:21" ht="15" customHeight="1" x14ac:dyDescent="0.25">
      <c r="T27335" s="135"/>
      <c r="U27335" s="135"/>
    </row>
    <row r="27336" spans="20:21" ht="15" customHeight="1" x14ac:dyDescent="0.25">
      <c r="T27336" s="135"/>
      <c r="U27336" s="135"/>
    </row>
    <row r="27337" spans="20:21" ht="15" customHeight="1" x14ac:dyDescent="0.25">
      <c r="T27337" s="135"/>
      <c r="U27337" s="135"/>
    </row>
    <row r="27338" spans="20:21" ht="15" customHeight="1" x14ac:dyDescent="0.25">
      <c r="T27338" s="135"/>
      <c r="U27338" s="135"/>
    </row>
    <row r="27339" spans="20:21" ht="15" customHeight="1" x14ac:dyDescent="0.25">
      <c r="T27339" s="135"/>
      <c r="U27339" s="135"/>
    </row>
    <row r="27340" spans="20:21" ht="15" customHeight="1" x14ac:dyDescent="0.25">
      <c r="T27340" s="135"/>
      <c r="U27340" s="135"/>
    </row>
    <row r="27341" spans="20:21" ht="15" customHeight="1" x14ac:dyDescent="0.25">
      <c r="T27341" s="135"/>
      <c r="U27341" s="135"/>
    </row>
    <row r="27342" spans="20:21" ht="15" customHeight="1" x14ac:dyDescent="0.25">
      <c r="T27342" s="135"/>
      <c r="U27342" s="135"/>
    </row>
    <row r="27343" spans="20:21" ht="15" customHeight="1" x14ac:dyDescent="0.25">
      <c r="T27343" s="135"/>
      <c r="U27343" s="135"/>
    </row>
    <row r="27344" spans="20:21" ht="15" customHeight="1" x14ac:dyDescent="0.25">
      <c r="T27344" s="135"/>
      <c r="U27344" s="135"/>
    </row>
    <row r="27345" spans="20:21" ht="15" customHeight="1" x14ac:dyDescent="0.25">
      <c r="T27345" s="135"/>
      <c r="U27345" s="135"/>
    </row>
    <row r="27346" spans="20:21" ht="15" customHeight="1" x14ac:dyDescent="0.25">
      <c r="T27346" s="135"/>
      <c r="U27346" s="135"/>
    </row>
    <row r="27347" spans="20:21" ht="15" customHeight="1" x14ac:dyDescent="0.25">
      <c r="T27347" s="135"/>
      <c r="U27347" s="135"/>
    </row>
    <row r="27348" spans="20:21" ht="15" customHeight="1" x14ac:dyDescent="0.25">
      <c r="T27348" s="135"/>
      <c r="U27348" s="135"/>
    </row>
    <row r="27349" spans="20:21" ht="15" customHeight="1" x14ac:dyDescent="0.25">
      <c r="T27349" s="135"/>
      <c r="U27349" s="135"/>
    </row>
    <row r="27350" spans="20:21" ht="15" customHeight="1" x14ac:dyDescent="0.25">
      <c r="T27350" s="135"/>
      <c r="U27350" s="135"/>
    </row>
    <row r="27351" spans="20:21" ht="15" customHeight="1" x14ac:dyDescent="0.25">
      <c r="T27351" s="135"/>
      <c r="U27351" s="135"/>
    </row>
    <row r="27352" spans="20:21" ht="15" customHeight="1" x14ac:dyDescent="0.25">
      <c r="T27352" s="135"/>
      <c r="U27352" s="135"/>
    </row>
    <row r="27353" spans="20:21" ht="15" customHeight="1" x14ac:dyDescent="0.25">
      <c r="T27353" s="135"/>
      <c r="U27353" s="135"/>
    </row>
    <row r="27354" spans="20:21" ht="15" customHeight="1" x14ac:dyDescent="0.25">
      <c r="T27354" s="135"/>
      <c r="U27354" s="135"/>
    </row>
    <row r="27355" spans="20:21" ht="15" customHeight="1" x14ac:dyDescent="0.25">
      <c r="T27355" s="135"/>
      <c r="U27355" s="135"/>
    </row>
    <row r="27356" spans="20:21" ht="15" customHeight="1" x14ac:dyDescent="0.25">
      <c r="T27356" s="135"/>
      <c r="U27356" s="135"/>
    </row>
    <row r="27357" spans="20:21" ht="15" customHeight="1" x14ac:dyDescent="0.25">
      <c r="T27357" s="135"/>
      <c r="U27357" s="135"/>
    </row>
    <row r="27358" spans="20:21" ht="15" customHeight="1" x14ac:dyDescent="0.25">
      <c r="T27358" s="135"/>
      <c r="U27358" s="135"/>
    </row>
    <row r="27359" spans="20:21" ht="15" customHeight="1" x14ac:dyDescent="0.25">
      <c r="T27359" s="135"/>
      <c r="U27359" s="135"/>
    </row>
    <row r="27360" spans="20:21" ht="15" customHeight="1" x14ac:dyDescent="0.25">
      <c r="T27360" s="135"/>
      <c r="U27360" s="135"/>
    </row>
    <row r="27361" spans="20:21" ht="15" customHeight="1" x14ac:dyDescent="0.25">
      <c r="T27361" s="135"/>
      <c r="U27361" s="135"/>
    </row>
    <row r="27362" spans="20:21" ht="15" customHeight="1" x14ac:dyDescent="0.25">
      <c r="T27362" s="135"/>
      <c r="U27362" s="135"/>
    </row>
    <row r="27363" spans="20:21" ht="15" customHeight="1" x14ac:dyDescent="0.25">
      <c r="T27363" s="135"/>
      <c r="U27363" s="135"/>
    </row>
    <row r="27364" spans="20:21" ht="15" customHeight="1" x14ac:dyDescent="0.25">
      <c r="T27364" s="135"/>
      <c r="U27364" s="135"/>
    </row>
    <row r="27365" spans="20:21" ht="15" customHeight="1" x14ac:dyDescent="0.25">
      <c r="T27365" s="135"/>
      <c r="U27365" s="135"/>
    </row>
    <row r="27366" spans="20:21" ht="15" customHeight="1" x14ac:dyDescent="0.25">
      <c r="T27366" s="135"/>
      <c r="U27366" s="135"/>
    </row>
    <row r="27367" spans="20:21" ht="15" customHeight="1" x14ac:dyDescent="0.25">
      <c r="T27367" s="135"/>
      <c r="U27367" s="135"/>
    </row>
    <row r="27368" spans="20:21" ht="15" customHeight="1" x14ac:dyDescent="0.25">
      <c r="T27368" s="135"/>
      <c r="U27368" s="135"/>
    </row>
    <row r="27369" spans="20:21" ht="15" customHeight="1" x14ac:dyDescent="0.25">
      <c r="T27369" s="135"/>
      <c r="U27369" s="135"/>
    </row>
    <row r="27370" spans="20:21" ht="15" customHeight="1" x14ac:dyDescent="0.25">
      <c r="T27370" s="135"/>
      <c r="U27370" s="135"/>
    </row>
    <row r="27371" spans="20:21" ht="15" customHeight="1" x14ac:dyDescent="0.25">
      <c r="T27371" s="135"/>
      <c r="U27371" s="135"/>
    </row>
    <row r="27372" spans="20:21" ht="15" customHeight="1" x14ac:dyDescent="0.25">
      <c r="T27372" s="135"/>
      <c r="U27372" s="135"/>
    </row>
    <row r="27373" spans="20:21" ht="15" customHeight="1" x14ac:dyDescent="0.25">
      <c r="T27373" s="135"/>
      <c r="U27373" s="135"/>
    </row>
    <row r="27374" spans="20:21" ht="15" customHeight="1" x14ac:dyDescent="0.25">
      <c r="T27374" s="135"/>
      <c r="U27374" s="135"/>
    </row>
    <row r="27375" spans="20:21" ht="15" customHeight="1" x14ac:dyDescent="0.25">
      <c r="T27375" s="135"/>
      <c r="U27375" s="135"/>
    </row>
    <row r="27376" spans="20:21" ht="15" customHeight="1" x14ac:dyDescent="0.25">
      <c r="T27376" s="135"/>
      <c r="U27376" s="135"/>
    </row>
    <row r="27377" spans="20:21" ht="15" customHeight="1" x14ac:dyDescent="0.25">
      <c r="T27377" s="135"/>
      <c r="U27377" s="135"/>
    </row>
    <row r="27378" spans="20:21" ht="15" customHeight="1" x14ac:dyDescent="0.25">
      <c r="T27378" s="135"/>
      <c r="U27378" s="135"/>
    </row>
    <row r="27379" spans="20:21" ht="15" customHeight="1" x14ac:dyDescent="0.25">
      <c r="T27379" s="135"/>
      <c r="U27379" s="135"/>
    </row>
    <row r="27380" spans="20:21" ht="15" customHeight="1" x14ac:dyDescent="0.25">
      <c r="T27380" s="135"/>
      <c r="U27380" s="135"/>
    </row>
    <row r="27381" spans="20:21" ht="15" customHeight="1" x14ac:dyDescent="0.25">
      <c r="T27381" s="135"/>
      <c r="U27381" s="135"/>
    </row>
    <row r="27382" spans="20:21" ht="15" customHeight="1" x14ac:dyDescent="0.25">
      <c r="T27382" s="135"/>
      <c r="U27382" s="135"/>
    </row>
    <row r="27383" spans="20:21" ht="15" customHeight="1" x14ac:dyDescent="0.25">
      <c r="T27383" s="135"/>
      <c r="U27383" s="135"/>
    </row>
    <row r="27384" spans="20:21" ht="15" customHeight="1" x14ac:dyDescent="0.25">
      <c r="T27384" s="135"/>
      <c r="U27384" s="135"/>
    </row>
    <row r="27385" spans="20:21" ht="15" customHeight="1" x14ac:dyDescent="0.25">
      <c r="T27385" s="135"/>
      <c r="U27385" s="135"/>
    </row>
    <row r="27386" spans="20:21" ht="15" customHeight="1" x14ac:dyDescent="0.25">
      <c r="T27386" s="135"/>
      <c r="U27386" s="135"/>
    </row>
    <row r="27387" spans="20:21" ht="15" customHeight="1" x14ac:dyDescent="0.25">
      <c r="T27387" s="135"/>
      <c r="U27387" s="135"/>
    </row>
    <row r="27388" spans="20:21" ht="15" customHeight="1" x14ac:dyDescent="0.25">
      <c r="T27388" s="135"/>
      <c r="U27388" s="135"/>
    </row>
    <row r="27389" spans="20:21" ht="15" customHeight="1" x14ac:dyDescent="0.25">
      <c r="T27389" s="135"/>
      <c r="U27389" s="135"/>
    </row>
    <row r="27390" spans="20:21" ht="15" customHeight="1" x14ac:dyDescent="0.25">
      <c r="T27390" s="135"/>
      <c r="U27390" s="135"/>
    </row>
    <row r="27391" spans="20:21" ht="15" customHeight="1" x14ac:dyDescent="0.25">
      <c r="T27391" s="135"/>
      <c r="U27391" s="135"/>
    </row>
    <row r="27392" spans="20:21" ht="15" customHeight="1" x14ac:dyDescent="0.25">
      <c r="T27392" s="135"/>
      <c r="U27392" s="135"/>
    </row>
    <row r="27393" spans="20:21" ht="15" customHeight="1" x14ac:dyDescent="0.25">
      <c r="T27393" s="135"/>
      <c r="U27393" s="135"/>
    </row>
    <row r="27394" spans="20:21" ht="15" customHeight="1" x14ac:dyDescent="0.25">
      <c r="T27394" s="135"/>
      <c r="U27394" s="135"/>
    </row>
    <row r="27395" spans="20:21" ht="15" customHeight="1" x14ac:dyDescent="0.25">
      <c r="T27395" s="135"/>
      <c r="U27395" s="135"/>
    </row>
    <row r="27396" spans="20:21" ht="15" customHeight="1" x14ac:dyDescent="0.25">
      <c r="T27396" s="135"/>
      <c r="U27396" s="135"/>
    </row>
    <row r="27397" spans="20:21" ht="15" customHeight="1" x14ac:dyDescent="0.25">
      <c r="T27397" s="135"/>
      <c r="U27397" s="135"/>
    </row>
    <row r="27398" spans="20:21" ht="15" customHeight="1" x14ac:dyDescent="0.25">
      <c r="T27398" s="135"/>
      <c r="U27398" s="135"/>
    </row>
    <row r="27399" spans="20:21" ht="15" customHeight="1" x14ac:dyDescent="0.25">
      <c r="T27399" s="135"/>
      <c r="U27399" s="135"/>
    </row>
    <row r="27400" spans="20:21" ht="15" customHeight="1" x14ac:dyDescent="0.25">
      <c r="T27400" s="135"/>
      <c r="U27400" s="135"/>
    </row>
    <row r="27401" spans="20:21" ht="15" customHeight="1" x14ac:dyDescent="0.25">
      <c r="T27401" s="135"/>
      <c r="U27401" s="135"/>
    </row>
    <row r="27402" spans="20:21" ht="15" customHeight="1" x14ac:dyDescent="0.25">
      <c r="T27402" s="135"/>
      <c r="U27402" s="135"/>
    </row>
    <row r="27403" spans="20:21" ht="15" customHeight="1" x14ac:dyDescent="0.25">
      <c r="T27403" s="135"/>
      <c r="U27403" s="135"/>
    </row>
    <row r="27404" spans="20:21" ht="15" customHeight="1" x14ac:dyDescent="0.25">
      <c r="T27404" s="135"/>
      <c r="U27404" s="135"/>
    </row>
    <row r="27405" spans="20:21" ht="15" customHeight="1" x14ac:dyDescent="0.25">
      <c r="T27405" s="135"/>
      <c r="U27405" s="135"/>
    </row>
    <row r="27406" spans="20:21" ht="15" customHeight="1" x14ac:dyDescent="0.25">
      <c r="T27406" s="135"/>
      <c r="U27406" s="135"/>
    </row>
    <row r="27407" spans="20:21" ht="15" customHeight="1" x14ac:dyDescent="0.25">
      <c r="T27407" s="135"/>
      <c r="U27407" s="135"/>
    </row>
    <row r="27408" spans="20:21" ht="15" customHeight="1" x14ac:dyDescent="0.25">
      <c r="T27408" s="135"/>
      <c r="U27408" s="135"/>
    </row>
    <row r="27409" spans="20:21" ht="15" customHeight="1" x14ac:dyDescent="0.25">
      <c r="T27409" s="135"/>
      <c r="U27409" s="135"/>
    </row>
    <row r="27410" spans="20:21" ht="15" customHeight="1" x14ac:dyDescent="0.25">
      <c r="T27410" s="135"/>
      <c r="U27410" s="135"/>
    </row>
    <row r="27411" spans="20:21" ht="15" customHeight="1" x14ac:dyDescent="0.25">
      <c r="T27411" s="135"/>
      <c r="U27411" s="135"/>
    </row>
    <row r="27412" spans="20:21" ht="15" customHeight="1" x14ac:dyDescent="0.25">
      <c r="T27412" s="135"/>
      <c r="U27412" s="135"/>
    </row>
    <row r="27413" spans="20:21" ht="15" customHeight="1" x14ac:dyDescent="0.25">
      <c r="T27413" s="135"/>
      <c r="U27413" s="135"/>
    </row>
    <row r="27414" spans="20:21" ht="15" customHeight="1" x14ac:dyDescent="0.25">
      <c r="T27414" s="135"/>
      <c r="U27414" s="135"/>
    </row>
    <row r="27415" spans="20:21" ht="15" customHeight="1" x14ac:dyDescent="0.25">
      <c r="T27415" s="135"/>
      <c r="U27415" s="135"/>
    </row>
    <row r="27416" spans="20:21" ht="15" customHeight="1" x14ac:dyDescent="0.25">
      <c r="T27416" s="135"/>
      <c r="U27416" s="135"/>
    </row>
    <row r="27417" spans="20:21" ht="15" customHeight="1" x14ac:dyDescent="0.25">
      <c r="T27417" s="135"/>
      <c r="U27417" s="135"/>
    </row>
    <row r="27418" spans="20:21" ht="15" customHeight="1" x14ac:dyDescent="0.25">
      <c r="T27418" s="135"/>
      <c r="U27418" s="135"/>
    </row>
    <row r="27419" spans="20:21" ht="15" customHeight="1" x14ac:dyDescent="0.25">
      <c r="T27419" s="135"/>
      <c r="U27419" s="135"/>
    </row>
    <row r="27420" spans="20:21" ht="15" customHeight="1" x14ac:dyDescent="0.25">
      <c r="T27420" s="135"/>
      <c r="U27420" s="135"/>
    </row>
    <row r="27421" spans="20:21" ht="15" customHeight="1" x14ac:dyDescent="0.25">
      <c r="T27421" s="135"/>
      <c r="U27421" s="135"/>
    </row>
    <row r="27422" spans="20:21" ht="15" customHeight="1" x14ac:dyDescent="0.25">
      <c r="T27422" s="135"/>
      <c r="U27422" s="135"/>
    </row>
    <row r="27423" spans="20:21" ht="15" customHeight="1" x14ac:dyDescent="0.25">
      <c r="T27423" s="135"/>
      <c r="U27423" s="135"/>
    </row>
    <row r="27424" spans="20:21" ht="15" customHeight="1" x14ac:dyDescent="0.25">
      <c r="T27424" s="135"/>
      <c r="U27424" s="135"/>
    </row>
    <row r="27425" spans="20:21" ht="15" customHeight="1" x14ac:dyDescent="0.25">
      <c r="T27425" s="135"/>
      <c r="U27425" s="135"/>
    </row>
    <row r="27426" spans="20:21" ht="15" customHeight="1" x14ac:dyDescent="0.25">
      <c r="T27426" s="135"/>
      <c r="U27426" s="135"/>
    </row>
    <row r="27427" spans="20:21" ht="15" customHeight="1" x14ac:dyDescent="0.25">
      <c r="T27427" s="135"/>
      <c r="U27427" s="135"/>
    </row>
    <row r="27428" spans="20:21" ht="15" customHeight="1" x14ac:dyDescent="0.25">
      <c r="T27428" s="135"/>
      <c r="U27428" s="135"/>
    </row>
    <row r="27429" spans="20:21" ht="15" customHeight="1" x14ac:dyDescent="0.25">
      <c r="T27429" s="135"/>
      <c r="U27429" s="135"/>
    </row>
    <row r="27430" spans="20:21" ht="15" customHeight="1" x14ac:dyDescent="0.25">
      <c r="T27430" s="135"/>
      <c r="U27430" s="135"/>
    </row>
    <row r="27431" spans="20:21" ht="15" customHeight="1" x14ac:dyDescent="0.25">
      <c r="T27431" s="135"/>
      <c r="U27431" s="135"/>
    </row>
    <row r="27432" spans="20:21" ht="15" customHeight="1" x14ac:dyDescent="0.25">
      <c r="T27432" s="135"/>
      <c r="U27432" s="135"/>
    </row>
    <row r="27433" spans="20:21" ht="15" customHeight="1" x14ac:dyDescent="0.25">
      <c r="T27433" s="135"/>
      <c r="U27433" s="135"/>
    </row>
    <row r="27434" spans="20:21" ht="15" customHeight="1" x14ac:dyDescent="0.25">
      <c r="T27434" s="135"/>
      <c r="U27434" s="135"/>
    </row>
    <row r="27435" spans="20:21" ht="15" customHeight="1" x14ac:dyDescent="0.25">
      <c r="T27435" s="135"/>
      <c r="U27435" s="135"/>
    </row>
    <row r="27436" spans="20:21" ht="15" customHeight="1" x14ac:dyDescent="0.25">
      <c r="T27436" s="135"/>
      <c r="U27436" s="135"/>
    </row>
    <row r="27437" spans="20:21" ht="15" customHeight="1" x14ac:dyDescent="0.25">
      <c r="T27437" s="135"/>
      <c r="U27437" s="135"/>
    </row>
    <row r="27438" spans="20:21" ht="15" customHeight="1" x14ac:dyDescent="0.25">
      <c r="T27438" s="135"/>
      <c r="U27438" s="135"/>
    </row>
    <row r="27439" spans="20:21" ht="15" customHeight="1" x14ac:dyDescent="0.25">
      <c r="T27439" s="135"/>
      <c r="U27439" s="135"/>
    </row>
    <row r="27440" spans="20:21" ht="15" customHeight="1" x14ac:dyDescent="0.25">
      <c r="T27440" s="135"/>
      <c r="U27440" s="135"/>
    </row>
    <row r="27441" spans="20:21" ht="15" customHeight="1" x14ac:dyDescent="0.25">
      <c r="T27441" s="135"/>
      <c r="U27441" s="135"/>
    </row>
    <row r="27442" spans="20:21" ht="15" customHeight="1" x14ac:dyDescent="0.25">
      <c r="T27442" s="135"/>
      <c r="U27442" s="135"/>
    </row>
    <row r="27443" spans="20:21" ht="15" customHeight="1" x14ac:dyDescent="0.25">
      <c r="T27443" s="135"/>
      <c r="U27443" s="135"/>
    </row>
    <row r="27444" spans="20:21" ht="15" customHeight="1" x14ac:dyDescent="0.25">
      <c r="T27444" s="135"/>
      <c r="U27444" s="135"/>
    </row>
    <row r="27445" spans="20:21" ht="15" customHeight="1" x14ac:dyDescent="0.25">
      <c r="T27445" s="135"/>
      <c r="U27445" s="135"/>
    </row>
    <row r="27446" spans="20:21" ht="15" customHeight="1" x14ac:dyDescent="0.25">
      <c r="T27446" s="135"/>
      <c r="U27446" s="135"/>
    </row>
    <row r="27447" spans="20:21" ht="15" customHeight="1" x14ac:dyDescent="0.25">
      <c r="T27447" s="135"/>
      <c r="U27447" s="135"/>
    </row>
    <row r="27448" spans="20:21" ht="15" customHeight="1" x14ac:dyDescent="0.25">
      <c r="T27448" s="135"/>
      <c r="U27448" s="135"/>
    </row>
    <row r="27449" spans="20:21" ht="15" customHeight="1" x14ac:dyDescent="0.25">
      <c r="T27449" s="135"/>
      <c r="U27449" s="135"/>
    </row>
    <row r="27450" spans="20:21" ht="15" customHeight="1" x14ac:dyDescent="0.25">
      <c r="T27450" s="135"/>
      <c r="U27450" s="135"/>
    </row>
    <row r="27451" spans="20:21" ht="15" customHeight="1" x14ac:dyDescent="0.25">
      <c r="T27451" s="135"/>
      <c r="U27451" s="135"/>
    </row>
    <row r="27452" spans="20:21" ht="15" customHeight="1" x14ac:dyDescent="0.25">
      <c r="T27452" s="135"/>
      <c r="U27452" s="135"/>
    </row>
    <row r="27453" spans="20:21" ht="15" customHeight="1" x14ac:dyDescent="0.25">
      <c r="T27453" s="135"/>
      <c r="U27453" s="135"/>
    </row>
    <row r="27454" spans="20:21" ht="15" customHeight="1" x14ac:dyDescent="0.25">
      <c r="T27454" s="135"/>
      <c r="U27454" s="135"/>
    </row>
    <row r="27455" spans="20:21" ht="15" customHeight="1" x14ac:dyDescent="0.25">
      <c r="T27455" s="135"/>
      <c r="U27455" s="135"/>
    </row>
    <row r="27456" spans="20:21" ht="15" customHeight="1" x14ac:dyDescent="0.25">
      <c r="T27456" s="135"/>
      <c r="U27456" s="135"/>
    </row>
    <row r="27457" spans="20:21" ht="15" customHeight="1" x14ac:dyDescent="0.25">
      <c r="T27457" s="135"/>
      <c r="U27457" s="135"/>
    </row>
    <row r="27458" spans="20:21" ht="15" customHeight="1" x14ac:dyDescent="0.25">
      <c r="T27458" s="135"/>
      <c r="U27458" s="135"/>
    </row>
    <row r="27459" spans="20:21" ht="15" customHeight="1" x14ac:dyDescent="0.25">
      <c r="T27459" s="135"/>
      <c r="U27459" s="135"/>
    </row>
    <row r="27460" spans="20:21" ht="15" customHeight="1" x14ac:dyDescent="0.25">
      <c r="T27460" s="135"/>
      <c r="U27460" s="135"/>
    </row>
    <row r="27461" spans="20:21" ht="15" customHeight="1" x14ac:dyDescent="0.25">
      <c r="T27461" s="135"/>
      <c r="U27461" s="135"/>
    </row>
    <row r="27462" spans="20:21" ht="15" customHeight="1" x14ac:dyDescent="0.25">
      <c r="T27462" s="135"/>
      <c r="U27462" s="135"/>
    </row>
    <row r="27463" spans="20:21" ht="15" customHeight="1" x14ac:dyDescent="0.25">
      <c r="T27463" s="135"/>
      <c r="U27463" s="135"/>
    </row>
    <row r="27464" spans="20:21" ht="15" customHeight="1" x14ac:dyDescent="0.25">
      <c r="T27464" s="135"/>
      <c r="U27464" s="135"/>
    </row>
    <row r="27465" spans="20:21" ht="15" customHeight="1" x14ac:dyDescent="0.25">
      <c r="T27465" s="135"/>
      <c r="U27465" s="135"/>
    </row>
    <row r="27466" spans="20:21" ht="15" customHeight="1" x14ac:dyDescent="0.25">
      <c r="T27466" s="135"/>
      <c r="U27466" s="135"/>
    </row>
    <row r="27467" spans="20:21" ht="15" customHeight="1" x14ac:dyDescent="0.25">
      <c r="T27467" s="135"/>
      <c r="U27467" s="135"/>
    </row>
    <row r="27468" spans="20:21" ht="15" customHeight="1" x14ac:dyDescent="0.25">
      <c r="T27468" s="135"/>
      <c r="U27468" s="135"/>
    </row>
    <row r="27469" spans="20:21" ht="15" customHeight="1" x14ac:dyDescent="0.25">
      <c r="T27469" s="135"/>
      <c r="U27469" s="135"/>
    </row>
    <row r="27470" spans="20:21" ht="15" customHeight="1" x14ac:dyDescent="0.25">
      <c r="T27470" s="135"/>
      <c r="U27470" s="135"/>
    </row>
    <row r="27471" spans="20:21" ht="15" customHeight="1" x14ac:dyDescent="0.25">
      <c r="T27471" s="135"/>
      <c r="U27471" s="135"/>
    </row>
    <row r="27472" spans="20:21" ht="15" customHeight="1" x14ac:dyDescent="0.25">
      <c r="T27472" s="135"/>
      <c r="U27472" s="135"/>
    </row>
    <row r="27473" spans="20:21" ht="15" customHeight="1" x14ac:dyDescent="0.25">
      <c r="T27473" s="135"/>
      <c r="U27473" s="135"/>
    </row>
    <row r="27474" spans="20:21" ht="15" customHeight="1" x14ac:dyDescent="0.25">
      <c r="T27474" s="135"/>
      <c r="U27474" s="135"/>
    </row>
    <row r="27475" spans="20:21" ht="15" customHeight="1" x14ac:dyDescent="0.25">
      <c r="T27475" s="135"/>
      <c r="U27475" s="135"/>
    </row>
    <row r="27476" spans="20:21" ht="15" customHeight="1" x14ac:dyDescent="0.25">
      <c r="T27476" s="135"/>
      <c r="U27476" s="135"/>
    </row>
    <row r="27477" spans="20:21" ht="15" customHeight="1" x14ac:dyDescent="0.25">
      <c r="T27477" s="135"/>
      <c r="U27477" s="135"/>
    </row>
    <row r="27478" spans="20:21" ht="15" customHeight="1" x14ac:dyDescent="0.25">
      <c r="T27478" s="135"/>
      <c r="U27478" s="135"/>
    </row>
    <row r="27479" spans="20:21" ht="15" customHeight="1" x14ac:dyDescent="0.25">
      <c r="T27479" s="135"/>
      <c r="U27479" s="135"/>
    </row>
    <row r="27480" spans="20:21" ht="15" customHeight="1" x14ac:dyDescent="0.25">
      <c r="T27480" s="135"/>
      <c r="U27480" s="135"/>
    </row>
    <row r="27481" spans="20:21" ht="15" customHeight="1" x14ac:dyDescent="0.25">
      <c r="T27481" s="135"/>
      <c r="U27481" s="135"/>
    </row>
    <row r="27482" spans="20:21" ht="15" customHeight="1" x14ac:dyDescent="0.25">
      <c r="T27482" s="135"/>
      <c r="U27482" s="135"/>
    </row>
    <row r="27483" spans="20:21" ht="15" customHeight="1" x14ac:dyDescent="0.25">
      <c r="T27483" s="135"/>
      <c r="U27483" s="135"/>
    </row>
    <row r="27484" spans="20:21" ht="15" customHeight="1" x14ac:dyDescent="0.25">
      <c r="T27484" s="135"/>
      <c r="U27484" s="135"/>
    </row>
    <row r="27485" spans="20:21" ht="15" customHeight="1" x14ac:dyDescent="0.25">
      <c r="T27485" s="135"/>
      <c r="U27485" s="135"/>
    </row>
    <row r="27486" spans="20:21" ht="15" customHeight="1" x14ac:dyDescent="0.25">
      <c r="T27486" s="135"/>
      <c r="U27486" s="135"/>
    </row>
    <row r="27487" spans="20:21" ht="15" customHeight="1" x14ac:dyDescent="0.25">
      <c r="T27487" s="135"/>
      <c r="U27487" s="135"/>
    </row>
    <row r="27488" spans="20:21" ht="15" customHeight="1" x14ac:dyDescent="0.25">
      <c r="T27488" s="135"/>
      <c r="U27488" s="135"/>
    </row>
    <row r="27489" spans="20:21" ht="15" customHeight="1" x14ac:dyDescent="0.25">
      <c r="T27489" s="135"/>
      <c r="U27489" s="135"/>
    </row>
    <row r="27490" spans="20:21" ht="15" customHeight="1" x14ac:dyDescent="0.25">
      <c r="T27490" s="135"/>
      <c r="U27490" s="135"/>
    </row>
    <row r="27491" spans="20:21" ht="15" customHeight="1" x14ac:dyDescent="0.25">
      <c r="T27491" s="135"/>
      <c r="U27491" s="135"/>
    </row>
    <row r="27492" spans="20:21" ht="15" customHeight="1" x14ac:dyDescent="0.25">
      <c r="T27492" s="135"/>
      <c r="U27492" s="135"/>
    </row>
    <row r="27493" spans="20:21" ht="15" customHeight="1" x14ac:dyDescent="0.25">
      <c r="T27493" s="135"/>
      <c r="U27493" s="135"/>
    </row>
    <row r="27494" spans="20:21" ht="15" customHeight="1" x14ac:dyDescent="0.25">
      <c r="T27494" s="135"/>
      <c r="U27494" s="135"/>
    </row>
    <row r="27495" spans="20:21" ht="15" customHeight="1" x14ac:dyDescent="0.25">
      <c r="T27495" s="135"/>
      <c r="U27495" s="135"/>
    </row>
    <row r="27496" spans="20:21" ht="15" customHeight="1" x14ac:dyDescent="0.25">
      <c r="T27496" s="135"/>
      <c r="U27496" s="135"/>
    </row>
    <row r="27497" spans="20:21" ht="15" customHeight="1" x14ac:dyDescent="0.25">
      <c r="T27497" s="135"/>
      <c r="U27497" s="135"/>
    </row>
    <row r="27498" spans="20:21" ht="15" customHeight="1" x14ac:dyDescent="0.25">
      <c r="T27498" s="135"/>
      <c r="U27498" s="135"/>
    </row>
    <row r="27499" spans="20:21" ht="15" customHeight="1" x14ac:dyDescent="0.25">
      <c r="T27499" s="135"/>
      <c r="U27499" s="135"/>
    </row>
    <row r="27500" spans="20:21" ht="15" customHeight="1" x14ac:dyDescent="0.25">
      <c r="T27500" s="135"/>
      <c r="U27500" s="135"/>
    </row>
    <row r="27501" spans="20:21" ht="15" customHeight="1" x14ac:dyDescent="0.25">
      <c r="T27501" s="135"/>
      <c r="U27501" s="135"/>
    </row>
    <row r="27502" spans="20:21" ht="15" customHeight="1" x14ac:dyDescent="0.25">
      <c r="T27502" s="135"/>
      <c r="U27502" s="135"/>
    </row>
    <row r="27503" spans="20:21" ht="15" customHeight="1" x14ac:dyDescent="0.25">
      <c r="T27503" s="135"/>
      <c r="U27503" s="135"/>
    </row>
    <row r="27504" spans="20:21" ht="15" customHeight="1" x14ac:dyDescent="0.25">
      <c r="T27504" s="135"/>
      <c r="U27504" s="135"/>
    </row>
    <row r="27505" spans="20:21" ht="15" customHeight="1" x14ac:dyDescent="0.25">
      <c r="T27505" s="135"/>
      <c r="U27505" s="135"/>
    </row>
    <row r="27506" spans="20:21" ht="15" customHeight="1" x14ac:dyDescent="0.25">
      <c r="T27506" s="135"/>
      <c r="U27506" s="135"/>
    </row>
    <row r="27507" spans="20:21" ht="15" customHeight="1" x14ac:dyDescent="0.25">
      <c r="T27507" s="135"/>
      <c r="U27507" s="135"/>
    </row>
    <row r="27508" spans="20:21" ht="15" customHeight="1" x14ac:dyDescent="0.25">
      <c r="T27508" s="135"/>
      <c r="U27508" s="135"/>
    </row>
    <row r="27509" spans="20:21" ht="15" customHeight="1" x14ac:dyDescent="0.25">
      <c r="T27509" s="135"/>
      <c r="U27509" s="135"/>
    </row>
    <row r="27510" spans="20:21" ht="15" customHeight="1" x14ac:dyDescent="0.25">
      <c r="T27510" s="135"/>
      <c r="U27510" s="135"/>
    </row>
    <row r="27511" spans="20:21" ht="15" customHeight="1" x14ac:dyDescent="0.25">
      <c r="T27511" s="135"/>
      <c r="U27511" s="135"/>
    </row>
    <row r="27512" spans="20:21" ht="15" customHeight="1" x14ac:dyDescent="0.25">
      <c r="T27512" s="135"/>
      <c r="U27512" s="135"/>
    </row>
    <row r="27513" spans="20:21" ht="15" customHeight="1" x14ac:dyDescent="0.25">
      <c r="T27513" s="135"/>
      <c r="U27513" s="135"/>
    </row>
    <row r="27514" spans="20:21" ht="15" customHeight="1" x14ac:dyDescent="0.25">
      <c r="T27514" s="135"/>
      <c r="U27514" s="135"/>
    </row>
    <row r="27515" spans="20:21" ht="15" customHeight="1" x14ac:dyDescent="0.25">
      <c r="T27515" s="135"/>
      <c r="U27515" s="135"/>
    </row>
    <row r="27516" spans="20:21" ht="15" customHeight="1" x14ac:dyDescent="0.25">
      <c r="T27516" s="135"/>
      <c r="U27516" s="135"/>
    </row>
    <row r="27517" spans="20:21" ht="15" customHeight="1" x14ac:dyDescent="0.25">
      <c r="T27517" s="135"/>
      <c r="U27517" s="135"/>
    </row>
    <row r="27518" spans="20:21" ht="15" customHeight="1" x14ac:dyDescent="0.25">
      <c r="T27518" s="135"/>
      <c r="U27518" s="135"/>
    </row>
    <row r="27519" spans="20:21" ht="15" customHeight="1" x14ac:dyDescent="0.25">
      <c r="T27519" s="135"/>
      <c r="U27519" s="135"/>
    </row>
    <row r="27520" spans="20:21" ht="15" customHeight="1" x14ac:dyDescent="0.25">
      <c r="T27520" s="135"/>
      <c r="U27520" s="135"/>
    </row>
    <row r="27521" spans="20:21" ht="15" customHeight="1" x14ac:dyDescent="0.25">
      <c r="T27521" s="135"/>
      <c r="U27521" s="135"/>
    </row>
    <row r="27522" spans="20:21" ht="15" customHeight="1" x14ac:dyDescent="0.25">
      <c r="T27522" s="135"/>
      <c r="U27522" s="135"/>
    </row>
    <row r="27523" spans="20:21" ht="15" customHeight="1" x14ac:dyDescent="0.25">
      <c r="T27523" s="135"/>
      <c r="U27523" s="135"/>
    </row>
    <row r="27524" spans="20:21" ht="15" customHeight="1" x14ac:dyDescent="0.25">
      <c r="T27524" s="135"/>
      <c r="U27524" s="135"/>
    </row>
    <row r="27525" spans="20:21" ht="15" customHeight="1" x14ac:dyDescent="0.25">
      <c r="T27525" s="135"/>
      <c r="U27525" s="135"/>
    </row>
    <row r="27526" spans="20:21" ht="15" customHeight="1" x14ac:dyDescent="0.25">
      <c r="T27526" s="135"/>
      <c r="U27526" s="135"/>
    </row>
    <row r="27527" spans="20:21" ht="15" customHeight="1" x14ac:dyDescent="0.25">
      <c r="T27527" s="135"/>
      <c r="U27527" s="135"/>
    </row>
    <row r="27528" spans="20:21" ht="15" customHeight="1" x14ac:dyDescent="0.25">
      <c r="T27528" s="135"/>
      <c r="U27528" s="135"/>
    </row>
    <row r="27529" spans="20:21" ht="15" customHeight="1" x14ac:dyDescent="0.25">
      <c r="T27529" s="135"/>
      <c r="U27529" s="135"/>
    </row>
    <row r="27530" spans="20:21" ht="15" customHeight="1" x14ac:dyDescent="0.25">
      <c r="T27530" s="135"/>
      <c r="U27530" s="135"/>
    </row>
    <row r="27531" spans="20:21" ht="15" customHeight="1" x14ac:dyDescent="0.25">
      <c r="T27531" s="135"/>
      <c r="U27531" s="135"/>
    </row>
    <row r="27532" spans="20:21" ht="15" customHeight="1" x14ac:dyDescent="0.25">
      <c r="T27532" s="135"/>
      <c r="U27532" s="135"/>
    </row>
    <row r="27533" spans="20:21" ht="15" customHeight="1" x14ac:dyDescent="0.25">
      <c r="T27533" s="135"/>
      <c r="U27533" s="135"/>
    </row>
    <row r="27534" spans="20:21" ht="15" customHeight="1" x14ac:dyDescent="0.25">
      <c r="T27534" s="135"/>
      <c r="U27534" s="135"/>
    </row>
    <row r="27535" spans="20:21" ht="15" customHeight="1" x14ac:dyDescent="0.25">
      <c r="T27535" s="135"/>
      <c r="U27535" s="135"/>
    </row>
    <row r="27536" spans="20:21" ht="15" customHeight="1" x14ac:dyDescent="0.25">
      <c r="T27536" s="135"/>
      <c r="U27536" s="135"/>
    </row>
    <row r="27537" spans="20:21" ht="15" customHeight="1" x14ac:dyDescent="0.25">
      <c r="T27537" s="135"/>
      <c r="U27537" s="135"/>
    </row>
    <row r="27538" spans="20:21" ht="15" customHeight="1" x14ac:dyDescent="0.25">
      <c r="T27538" s="135"/>
      <c r="U27538" s="135"/>
    </row>
    <row r="27539" spans="20:21" ht="15" customHeight="1" x14ac:dyDescent="0.25">
      <c r="T27539" s="135"/>
      <c r="U27539" s="135"/>
    </row>
    <row r="27540" spans="20:21" ht="15" customHeight="1" x14ac:dyDescent="0.25">
      <c r="T27540" s="135"/>
      <c r="U27540" s="135"/>
    </row>
    <row r="27541" spans="20:21" ht="15" customHeight="1" x14ac:dyDescent="0.25">
      <c r="T27541" s="135"/>
      <c r="U27541" s="135"/>
    </row>
    <row r="27542" spans="20:21" ht="15" customHeight="1" x14ac:dyDescent="0.25">
      <c r="T27542" s="135"/>
      <c r="U27542" s="135"/>
    </row>
    <row r="27543" spans="20:21" ht="15" customHeight="1" x14ac:dyDescent="0.25">
      <c r="T27543" s="135"/>
      <c r="U27543" s="135"/>
    </row>
    <row r="27544" spans="20:21" ht="15" customHeight="1" x14ac:dyDescent="0.25">
      <c r="T27544" s="135"/>
      <c r="U27544" s="135"/>
    </row>
    <row r="27545" spans="20:21" ht="15" customHeight="1" x14ac:dyDescent="0.25">
      <c r="T27545" s="135"/>
      <c r="U27545" s="135"/>
    </row>
    <row r="27546" spans="20:21" ht="15" customHeight="1" x14ac:dyDescent="0.25">
      <c r="T27546" s="135"/>
      <c r="U27546" s="135"/>
    </row>
    <row r="27547" spans="20:21" ht="15" customHeight="1" x14ac:dyDescent="0.25">
      <c r="T27547" s="135"/>
      <c r="U27547" s="135"/>
    </row>
    <row r="27548" spans="20:21" ht="15" customHeight="1" x14ac:dyDescent="0.25">
      <c r="T27548" s="135"/>
      <c r="U27548" s="135"/>
    </row>
    <row r="27549" spans="20:21" ht="15" customHeight="1" x14ac:dyDescent="0.25">
      <c r="T27549" s="135"/>
      <c r="U27549" s="135"/>
    </row>
    <row r="27550" spans="20:21" ht="15" customHeight="1" x14ac:dyDescent="0.25">
      <c r="T27550" s="135"/>
      <c r="U27550" s="135"/>
    </row>
    <row r="27551" spans="20:21" ht="15" customHeight="1" x14ac:dyDescent="0.25">
      <c r="T27551" s="135"/>
      <c r="U27551" s="135"/>
    </row>
    <row r="27552" spans="20:21" ht="15" customHeight="1" x14ac:dyDescent="0.25">
      <c r="T27552" s="135"/>
      <c r="U27552" s="135"/>
    </row>
    <row r="27553" spans="20:21" ht="15" customHeight="1" x14ac:dyDescent="0.25">
      <c r="T27553" s="135"/>
      <c r="U27553" s="135"/>
    </row>
    <row r="27554" spans="20:21" ht="15" customHeight="1" x14ac:dyDescent="0.25">
      <c r="T27554" s="135"/>
      <c r="U27554" s="135"/>
    </row>
    <row r="27555" spans="20:21" ht="15" customHeight="1" x14ac:dyDescent="0.25">
      <c r="T27555" s="135"/>
      <c r="U27555" s="135"/>
    </row>
    <row r="27556" spans="20:21" ht="15" customHeight="1" x14ac:dyDescent="0.25">
      <c r="T27556" s="135"/>
      <c r="U27556" s="135"/>
    </row>
    <row r="27557" spans="20:21" ht="15" customHeight="1" x14ac:dyDescent="0.25">
      <c r="T27557" s="135"/>
      <c r="U27557" s="135"/>
    </row>
    <row r="27558" spans="20:21" ht="15" customHeight="1" x14ac:dyDescent="0.25">
      <c r="T27558" s="135"/>
      <c r="U27558" s="135"/>
    </row>
    <row r="27559" spans="20:21" ht="15" customHeight="1" x14ac:dyDescent="0.25">
      <c r="T27559" s="135"/>
      <c r="U27559" s="135"/>
    </row>
    <row r="27560" spans="20:21" ht="15" customHeight="1" x14ac:dyDescent="0.25">
      <c r="T27560" s="135"/>
      <c r="U27560" s="135"/>
    </row>
    <row r="27561" spans="20:21" ht="15" customHeight="1" x14ac:dyDescent="0.25">
      <c r="T27561" s="135"/>
      <c r="U27561" s="135"/>
    </row>
    <row r="27562" spans="20:21" ht="15" customHeight="1" x14ac:dyDescent="0.25">
      <c r="T27562" s="135"/>
      <c r="U27562" s="135"/>
    </row>
    <row r="27563" spans="20:21" ht="15" customHeight="1" x14ac:dyDescent="0.25">
      <c r="T27563" s="135"/>
      <c r="U27563" s="135"/>
    </row>
    <row r="27564" spans="20:21" ht="15" customHeight="1" x14ac:dyDescent="0.25">
      <c r="T27564" s="135"/>
      <c r="U27564" s="135"/>
    </row>
    <row r="27565" spans="20:21" ht="15" customHeight="1" x14ac:dyDescent="0.25">
      <c r="T27565" s="135"/>
      <c r="U27565" s="135"/>
    </row>
    <row r="27566" spans="20:21" ht="15" customHeight="1" x14ac:dyDescent="0.25">
      <c r="T27566" s="135"/>
      <c r="U27566" s="135"/>
    </row>
    <row r="27567" spans="20:21" ht="15" customHeight="1" x14ac:dyDescent="0.25">
      <c r="T27567" s="135"/>
      <c r="U27567" s="135"/>
    </row>
    <row r="27568" spans="20:21" ht="15" customHeight="1" x14ac:dyDescent="0.25">
      <c r="T27568" s="135"/>
      <c r="U27568" s="135"/>
    </row>
    <row r="27569" spans="20:21" ht="15" customHeight="1" x14ac:dyDescent="0.25">
      <c r="T27569" s="135"/>
      <c r="U27569" s="135"/>
    </row>
    <row r="27570" spans="20:21" ht="15" customHeight="1" x14ac:dyDescent="0.25">
      <c r="T27570" s="135"/>
      <c r="U27570" s="135"/>
    </row>
    <row r="27571" spans="20:21" ht="15" customHeight="1" x14ac:dyDescent="0.25">
      <c r="T27571" s="135"/>
      <c r="U27571" s="135"/>
    </row>
    <row r="27572" spans="20:21" ht="15" customHeight="1" x14ac:dyDescent="0.25">
      <c r="T27572" s="135"/>
      <c r="U27572" s="135"/>
    </row>
    <row r="27573" spans="20:21" ht="15" customHeight="1" x14ac:dyDescent="0.25">
      <c r="T27573" s="135"/>
      <c r="U27573" s="135"/>
    </row>
    <row r="27574" spans="20:21" ht="15" customHeight="1" x14ac:dyDescent="0.25">
      <c r="T27574" s="135"/>
      <c r="U27574" s="135"/>
    </row>
    <row r="27575" spans="20:21" ht="15" customHeight="1" x14ac:dyDescent="0.25">
      <c r="T27575" s="135"/>
      <c r="U27575" s="135"/>
    </row>
    <row r="27576" spans="20:21" ht="15" customHeight="1" x14ac:dyDescent="0.25">
      <c r="T27576" s="135"/>
      <c r="U27576" s="135"/>
    </row>
    <row r="27577" spans="20:21" ht="15" customHeight="1" x14ac:dyDescent="0.25">
      <c r="T27577" s="135"/>
      <c r="U27577" s="135"/>
    </row>
    <row r="27578" spans="20:21" ht="15" customHeight="1" x14ac:dyDescent="0.25">
      <c r="T27578" s="135"/>
      <c r="U27578" s="135"/>
    </row>
    <row r="27579" spans="20:21" ht="15" customHeight="1" x14ac:dyDescent="0.25">
      <c r="T27579" s="135"/>
      <c r="U27579" s="135"/>
    </row>
    <row r="27580" spans="20:21" ht="15" customHeight="1" x14ac:dyDescent="0.25">
      <c r="T27580" s="135"/>
      <c r="U27580" s="135"/>
    </row>
    <row r="27581" spans="20:21" ht="15" customHeight="1" x14ac:dyDescent="0.25">
      <c r="T27581" s="135"/>
      <c r="U27581" s="135"/>
    </row>
    <row r="27582" spans="20:21" ht="15" customHeight="1" x14ac:dyDescent="0.25">
      <c r="T27582" s="135"/>
      <c r="U27582" s="135"/>
    </row>
    <row r="27583" spans="20:21" ht="15" customHeight="1" x14ac:dyDescent="0.25">
      <c r="T27583" s="135"/>
      <c r="U27583" s="135"/>
    </row>
    <row r="27584" spans="20:21" ht="15" customHeight="1" x14ac:dyDescent="0.25">
      <c r="T27584" s="135"/>
      <c r="U27584" s="135"/>
    </row>
    <row r="27585" spans="20:21" ht="15" customHeight="1" x14ac:dyDescent="0.25">
      <c r="T27585" s="135"/>
      <c r="U27585" s="135"/>
    </row>
    <row r="27586" spans="20:21" ht="15" customHeight="1" x14ac:dyDescent="0.25">
      <c r="T27586" s="135"/>
      <c r="U27586" s="135"/>
    </row>
    <row r="27587" spans="20:21" ht="15" customHeight="1" x14ac:dyDescent="0.25">
      <c r="T27587" s="135"/>
      <c r="U27587" s="135"/>
    </row>
    <row r="27588" spans="20:21" ht="15" customHeight="1" x14ac:dyDescent="0.25">
      <c r="T27588" s="135"/>
      <c r="U27588" s="135"/>
    </row>
    <row r="27589" spans="20:21" ht="15" customHeight="1" x14ac:dyDescent="0.25">
      <c r="T27589" s="135"/>
      <c r="U27589" s="135"/>
    </row>
    <row r="27590" spans="20:21" ht="15" customHeight="1" x14ac:dyDescent="0.25">
      <c r="T27590" s="135"/>
      <c r="U27590" s="135"/>
    </row>
    <row r="27591" spans="20:21" ht="15" customHeight="1" x14ac:dyDescent="0.25">
      <c r="T27591" s="135"/>
      <c r="U27591" s="135"/>
    </row>
    <row r="27592" spans="20:21" ht="15" customHeight="1" x14ac:dyDescent="0.25">
      <c r="T27592" s="135"/>
      <c r="U27592" s="135"/>
    </row>
    <row r="27593" spans="20:21" ht="15" customHeight="1" x14ac:dyDescent="0.25">
      <c r="T27593" s="135"/>
      <c r="U27593" s="135"/>
    </row>
    <row r="27594" spans="20:21" ht="15" customHeight="1" x14ac:dyDescent="0.25">
      <c r="T27594" s="135"/>
      <c r="U27594" s="135"/>
    </row>
    <row r="27595" spans="20:21" ht="15" customHeight="1" x14ac:dyDescent="0.25">
      <c r="T27595" s="135"/>
      <c r="U27595" s="135"/>
    </row>
    <row r="27596" spans="20:21" ht="15" customHeight="1" x14ac:dyDescent="0.25">
      <c r="T27596" s="135"/>
      <c r="U27596" s="135"/>
    </row>
    <row r="27597" spans="20:21" ht="15" customHeight="1" x14ac:dyDescent="0.25">
      <c r="T27597" s="135"/>
      <c r="U27597" s="135"/>
    </row>
    <row r="27598" spans="20:21" ht="15" customHeight="1" x14ac:dyDescent="0.25">
      <c r="T27598" s="135"/>
      <c r="U27598" s="135"/>
    </row>
    <row r="27599" spans="20:21" ht="15" customHeight="1" x14ac:dyDescent="0.25">
      <c r="T27599" s="135"/>
      <c r="U27599" s="135"/>
    </row>
    <row r="27600" spans="20:21" ht="15" customHeight="1" x14ac:dyDescent="0.25">
      <c r="T27600" s="135"/>
      <c r="U27600" s="135"/>
    </row>
    <row r="27601" spans="20:21" ht="15" customHeight="1" x14ac:dyDescent="0.25">
      <c r="T27601" s="135"/>
      <c r="U27601" s="135"/>
    </row>
    <row r="27602" spans="20:21" ht="15" customHeight="1" x14ac:dyDescent="0.25">
      <c r="T27602" s="135"/>
      <c r="U27602" s="135"/>
    </row>
    <row r="27603" spans="20:21" ht="15" customHeight="1" x14ac:dyDescent="0.25">
      <c r="T27603" s="135"/>
      <c r="U27603" s="135"/>
    </row>
    <row r="27604" spans="20:21" ht="15" customHeight="1" x14ac:dyDescent="0.25">
      <c r="T27604" s="135"/>
      <c r="U27604" s="135"/>
    </row>
    <row r="27605" spans="20:21" ht="15" customHeight="1" x14ac:dyDescent="0.25">
      <c r="T27605" s="135"/>
      <c r="U27605" s="135"/>
    </row>
    <row r="27606" spans="20:21" ht="15" customHeight="1" x14ac:dyDescent="0.25">
      <c r="T27606" s="135"/>
      <c r="U27606" s="135"/>
    </row>
    <row r="27607" spans="20:21" ht="15" customHeight="1" x14ac:dyDescent="0.25">
      <c r="T27607" s="135"/>
      <c r="U27607" s="135"/>
    </row>
    <row r="27608" spans="20:21" ht="15" customHeight="1" x14ac:dyDescent="0.25">
      <c r="T27608" s="135"/>
      <c r="U27608" s="135"/>
    </row>
    <row r="27609" spans="20:21" ht="15" customHeight="1" x14ac:dyDescent="0.25">
      <c r="T27609" s="135"/>
      <c r="U27609" s="135"/>
    </row>
    <row r="27610" spans="20:21" ht="15" customHeight="1" x14ac:dyDescent="0.25">
      <c r="T27610" s="135"/>
      <c r="U27610" s="135"/>
    </row>
    <row r="27611" spans="20:21" ht="15" customHeight="1" x14ac:dyDescent="0.25">
      <c r="T27611" s="135"/>
      <c r="U27611" s="135"/>
    </row>
    <row r="27612" spans="20:21" ht="15" customHeight="1" x14ac:dyDescent="0.25">
      <c r="T27612" s="135"/>
      <c r="U27612" s="135"/>
    </row>
    <row r="27613" spans="20:21" ht="15" customHeight="1" x14ac:dyDescent="0.25">
      <c r="T27613" s="135"/>
      <c r="U27613" s="135"/>
    </row>
    <row r="27614" spans="20:21" ht="15" customHeight="1" x14ac:dyDescent="0.25">
      <c r="T27614" s="135"/>
      <c r="U27614" s="135"/>
    </row>
    <row r="27615" spans="20:21" ht="15" customHeight="1" x14ac:dyDescent="0.25">
      <c r="T27615" s="135"/>
      <c r="U27615" s="135"/>
    </row>
    <row r="27616" spans="20:21" ht="15" customHeight="1" x14ac:dyDescent="0.25">
      <c r="T27616" s="135"/>
      <c r="U27616" s="135"/>
    </row>
    <row r="27617" spans="20:21" ht="15" customHeight="1" x14ac:dyDescent="0.25">
      <c r="T27617" s="135"/>
      <c r="U27617" s="135"/>
    </row>
    <row r="27618" spans="20:21" ht="15" customHeight="1" x14ac:dyDescent="0.25">
      <c r="T27618" s="135"/>
      <c r="U27618" s="135"/>
    </row>
    <row r="27619" spans="20:21" ht="15" customHeight="1" x14ac:dyDescent="0.25">
      <c r="T27619" s="135"/>
      <c r="U27619" s="135"/>
    </row>
    <row r="27620" spans="20:21" ht="15" customHeight="1" x14ac:dyDescent="0.25">
      <c r="T27620" s="135"/>
      <c r="U27620" s="135"/>
    </row>
    <row r="27621" spans="20:21" ht="15" customHeight="1" x14ac:dyDescent="0.25">
      <c r="T27621" s="135"/>
      <c r="U27621" s="135"/>
    </row>
    <row r="27622" spans="20:21" ht="15" customHeight="1" x14ac:dyDescent="0.25">
      <c r="T27622" s="135"/>
      <c r="U27622" s="135"/>
    </row>
    <row r="27623" spans="20:21" ht="15" customHeight="1" x14ac:dyDescent="0.25">
      <c r="T27623" s="135"/>
      <c r="U27623" s="135"/>
    </row>
    <row r="27624" spans="20:21" ht="15" customHeight="1" x14ac:dyDescent="0.25">
      <c r="T27624" s="135"/>
      <c r="U27624" s="135"/>
    </row>
    <row r="27625" spans="20:21" ht="15" customHeight="1" x14ac:dyDescent="0.25">
      <c r="T27625" s="135"/>
      <c r="U27625" s="135"/>
    </row>
    <row r="27626" spans="20:21" ht="15" customHeight="1" x14ac:dyDescent="0.25">
      <c r="T27626" s="135"/>
      <c r="U27626" s="135"/>
    </row>
    <row r="27627" spans="20:21" ht="15" customHeight="1" x14ac:dyDescent="0.25">
      <c r="T27627" s="135"/>
      <c r="U27627" s="135"/>
    </row>
    <row r="27628" spans="20:21" ht="15" customHeight="1" x14ac:dyDescent="0.25">
      <c r="T27628" s="135"/>
      <c r="U27628" s="135"/>
    </row>
    <row r="27629" spans="20:21" ht="15" customHeight="1" x14ac:dyDescent="0.25">
      <c r="T27629" s="135"/>
      <c r="U27629" s="135"/>
    </row>
    <row r="27630" spans="20:21" ht="15" customHeight="1" x14ac:dyDescent="0.25">
      <c r="T27630" s="135"/>
      <c r="U27630" s="135"/>
    </row>
    <row r="27631" spans="20:21" ht="15" customHeight="1" x14ac:dyDescent="0.25">
      <c r="T27631" s="135"/>
      <c r="U27631" s="135"/>
    </row>
    <row r="27632" spans="20:21" ht="15" customHeight="1" x14ac:dyDescent="0.25">
      <c r="T27632" s="135"/>
      <c r="U27632" s="135"/>
    </row>
    <row r="27633" spans="20:21" ht="15" customHeight="1" x14ac:dyDescent="0.25">
      <c r="T27633" s="135"/>
      <c r="U27633" s="135"/>
    </row>
    <row r="27634" spans="20:21" ht="15" customHeight="1" x14ac:dyDescent="0.25">
      <c r="T27634" s="135"/>
      <c r="U27634" s="135"/>
    </row>
    <row r="27635" spans="20:21" ht="15" customHeight="1" x14ac:dyDescent="0.25">
      <c r="T27635" s="135"/>
      <c r="U27635" s="135"/>
    </row>
    <row r="27636" spans="20:21" ht="15" customHeight="1" x14ac:dyDescent="0.25">
      <c r="T27636" s="135"/>
      <c r="U27636" s="135"/>
    </row>
    <row r="27637" spans="20:21" ht="15" customHeight="1" x14ac:dyDescent="0.25">
      <c r="T27637" s="135"/>
      <c r="U27637" s="135"/>
    </row>
    <row r="27638" spans="20:21" ht="15" customHeight="1" x14ac:dyDescent="0.25">
      <c r="T27638" s="135"/>
      <c r="U27638" s="135"/>
    </row>
    <row r="27639" spans="20:21" ht="15" customHeight="1" x14ac:dyDescent="0.25">
      <c r="T27639" s="135"/>
      <c r="U27639" s="135"/>
    </row>
    <row r="27640" spans="20:21" ht="15" customHeight="1" x14ac:dyDescent="0.25">
      <c r="T27640" s="135"/>
      <c r="U27640" s="135"/>
    </row>
    <row r="27641" spans="20:21" ht="15" customHeight="1" x14ac:dyDescent="0.25">
      <c r="T27641" s="135"/>
      <c r="U27641" s="135"/>
    </row>
    <row r="27642" spans="20:21" ht="15" customHeight="1" x14ac:dyDescent="0.25">
      <c r="T27642" s="135"/>
      <c r="U27642" s="135"/>
    </row>
    <row r="27643" spans="20:21" ht="15" customHeight="1" x14ac:dyDescent="0.25">
      <c r="T27643" s="135"/>
      <c r="U27643" s="135"/>
    </row>
    <row r="27644" spans="20:21" ht="15" customHeight="1" x14ac:dyDescent="0.25">
      <c r="T27644" s="135"/>
      <c r="U27644" s="135"/>
    </row>
    <row r="27645" spans="20:21" ht="15" customHeight="1" x14ac:dyDescent="0.25">
      <c r="T27645" s="135"/>
      <c r="U27645" s="135"/>
    </row>
    <row r="27646" spans="20:21" ht="15" customHeight="1" x14ac:dyDescent="0.25">
      <c r="T27646" s="135"/>
      <c r="U27646" s="135"/>
    </row>
    <row r="27647" spans="20:21" ht="15" customHeight="1" x14ac:dyDescent="0.25">
      <c r="T27647" s="135"/>
      <c r="U27647" s="135"/>
    </row>
    <row r="27648" spans="20:21" ht="15" customHeight="1" x14ac:dyDescent="0.25">
      <c r="T27648" s="135"/>
      <c r="U27648" s="135"/>
    </row>
    <row r="27649" spans="20:21" ht="15" customHeight="1" x14ac:dyDescent="0.25">
      <c r="T27649" s="135"/>
      <c r="U27649" s="135"/>
    </row>
    <row r="27650" spans="20:21" ht="15" customHeight="1" x14ac:dyDescent="0.25">
      <c r="T27650" s="135"/>
      <c r="U27650" s="135"/>
    </row>
    <row r="27651" spans="20:21" ht="15" customHeight="1" x14ac:dyDescent="0.25">
      <c r="T27651" s="135"/>
      <c r="U27651" s="135"/>
    </row>
    <row r="27652" spans="20:21" ht="15" customHeight="1" x14ac:dyDescent="0.25">
      <c r="T27652" s="135"/>
      <c r="U27652" s="135"/>
    </row>
    <row r="27653" spans="20:21" ht="15" customHeight="1" x14ac:dyDescent="0.25">
      <c r="T27653" s="135"/>
      <c r="U27653" s="135"/>
    </row>
    <row r="27654" spans="20:21" ht="15" customHeight="1" x14ac:dyDescent="0.25">
      <c r="T27654" s="135"/>
      <c r="U27654" s="135"/>
    </row>
    <row r="27655" spans="20:21" ht="15" customHeight="1" x14ac:dyDescent="0.25">
      <c r="T27655" s="135"/>
      <c r="U27655" s="135"/>
    </row>
    <row r="27656" spans="20:21" ht="15" customHeight="1" x14ac:dyDescent="0.25">
      <c r="T27656" s="135"/>
      <c r="U27656" s="135"/>
    </row>
    <row r="27657" spans="20:21" ht="15" customHeight="1" x14ac:dyDescent="0.25">
      <c r="T27657" s="135"/>
      <c r="U27657" s="135"/>
    </row>
    <row r="27658" spans="20:21" ht="15" customHeight="1" x14ac:dyDescent="0.25">
      <c r="T27658" s="135"/>
      <c r="U27658" s="135"/>
    </row>
    <row r="27659" spans="20:21" ht="15" customHeight="1" x14ac:dyDescent="0.25">
      <c r="T27659" s="135"/>
      <c r="U27659" s="135"/>
    </row>
    <row r="27660" spans="20:21" ht="15" customHeight="1" x14ac:dyDescent="0.25">
      <c r="T27660" s="135"/>
      <c r="U27660" s="135"/>
    </row>
    <row r="27661" spans="20:21" ht="15" customHeight="1" x14ac:dyDescent="0.25">
      <c r="T27661" s="135"/>
      <c r="U27661" s="135"/>
    </row>
    <row r="27662" spans="20:21" ht="15" customHeight="1" x14ac:dyDescent="0.25">
      <c r="T27662" s="135"/>
      <c r="U27662" s="135"/>
    </row>
    <row r="27663" spans="20:21" ht="15" customHeight="1" x14ac:dyDescent="0.25">
      <c r="T27663" s="135"/>
      <c r="U27663" s="135"/>
    </row>
    <row r="27664" spans="20:21" ht="15" customHeight="1" x14ac:dyDescent="0.25">
      <c r="T27664" s="135"/>
      <c r="U27664" s="135"/>
    </row>
    <row r="27665" spans="20:21" ht="15" customHeight="1" x14ac:dyDescent="0.25">
      <c r="T27665" s="135"/>
      <c r="U27665" s="135"/>
    </row>
    <row r="27666" spans="20:21" ht="15" customHeight="1" x14ac:dyDescent="0.25">
      <c r="T27666" s="135"/>
      <c r="U27666" s="135"/>
    </row>
    <row r="27667" spans="20:21" ht="15" customHeight="1" x14ac:dyDescent="0.25">
      <c r="T27667" s="135"/>
      <c r="U27667" s="135"/>
    </row>
    <row r="27668" spans="20:21" ht="15" customHeight="1" x14ac:dyDescent="0.25">
      <c r="T27668" s="135"/>
      <c r="U27668" s="135"/>
    </row>
    <row r="27669" spans="20:21" ht="15" customHeight="1" x14ac:dyDescent="0.25">
      <c r="T27669" s="135"/>
      <c r="U27669" s="135"/>
    </row>
    <row r="27670" spans="20:21" ht="15" customHeight="1" x14ac:dyDescent="0.25">
      <c r="T27670" s="135"/>
      <c r="U27670" s="135"/>
    </row>
    <row r="27671" spans="20:21" ht="15" customHeight="1" x14ac:dyDescent="0.25">
      <c r="T27671" s="135"/>
      <c r="U27671" s="135"/>
    </row>
    <row r="27672" spans="20:21" ht="15" customHeight="1" x14ac:dyDescent="0.25">
      <c r="T27672" s="135"/>
      <c r="U27672" s="135"/>
    </row>
    <row r="27673" spans="20:21" ht="15" customHeight="1" x14ac:dyDescent="0.25">
      <c r="T27673" s="135"/>
      <c r="U27673" s="135"/>
    </row>
    <row r="27674" spans="20:21" ht="15" customHeight="1" x14ac:dyDescent="0.25">
      <c r="T27674" s="135"/>
      <c r="U27674" s="135"/>
    </row>
    <row r="27675" spans="20:21" ht="15" customHeight="1" x14ac:dyDescent="0.25">
      <c r="T27675" s="135"/>
      <c r="U27675" s="135"/>
    </row>
    <row r="27676" spans="20:21" ht="15" customHeight="1" x14ac:dyDescent="0.25">
      <c r="T27676" s="135"/>
      <c r="U27676" s="135"/>
    </row>
    <row r="27677" spans="20:21" ht="15" customHeight="1" x14ac:dyDescent="0.25">
      <c r="T27677" s="135"/>
      <c r="U27677" s="135"/>
    </row>
    <row r="27678" spans="20:21" ht="15" customHeight="1" x14ac:dyDescent="0.25">
      <c r="T27678" s="135"/>
      <c r="U27678" s="135"/>
    </row>
    <row r="27679" spans="20:21" ht="15" customHeight="1" x14ac:dyDescent="0.25">
      <c r="T27679" s="135"/>
      <c r="U27679" s="135"/>
    </row>
    <row r="27680" spans="20:21" ht="15" customHeight="1" x14ac:dyDescent="0.25">
      <c r="T27680" s="135"/>
      <c r="U27680" s="135"/>
    </row>
    <row r="27681" spans="20:21" ht="15" customHeight="1" x14ac:dyDescent="0.25">
      <c r="T27681" s="135"/>
      <c r="U27681" s="135"/>
    </row>
    <row r="27682" spans="20:21" ht="15" customHeight="1" x14ac:dyDescent="0.25">
      <c r="T27682" s="135"/>
      <c r="U27682" s="135"/>
    </row>
    <row r="27683" spans="20:21" ht="15" customHeight="1" x14ac:dyDescent="0.25">
      <c r="T27683" s="135"/>
      <c r="U27683" s="135"/>
    </row>
    <row r="27684" spans="20:21" ht="15" customHeight="1" x14ac:dyDescent="0.25">
      <c r="T27684" s="135"/>
      <c r="U27684" s="135"/>
    </row>
    <row r="27685" spans="20:21" ht="15" customHeight="1" x14ac:dyDescent="0.25">
      <c r="T27685" s="135"/>
      <c r="U27685" s="135"/>
    </row>
    <row r="27686" spans="20:21" ht="15" customHeight="1" x14ac:dyDescent="0.25">
      <c r="T27686" s="135"/>
      <c r="U27686" s="135"/>
    </row>
    <row r="27687" spans="20:21" ht="15" customHeight="1" x14ac:dyDescent="0.25">
      <c r="T27687" s="135"/>
      <c r="U27687" s="135"/>
    </row>
    <row r="27688" spans="20:21" ht="15" customHeight="1" x14ac:dyDescent="0.25">
      <c r="T27688" s="135"/>
      <c r="U27688" s="135"/>
    </row>
    <row r="27689" spans="20:21" ht="15" customHeight="1" x14ac:dyDescent="0.25">
      <c r="T27689" s="135"/>
      <c r="U27689" s="135"/>
    </row>
    <row r="27690" spans="20:21" ht="15" customHeight="1" x14ac:dyDescent="0.25">
      <c r="T27690" s="135"/>
      <c r="U27690" s="135"/>
    </row>
    <row r="27691" spans="20:21" ht="15" customHeight="1" x14ac:dyDescent="0.25">
      <c r="T27691" s="135"/>
      <c r="U27691" s="135"/>
    </row>
    <row r="27692" spans="20:21" ht="15" customHeight="1" x14ac:dyDescent="0.25">
      <c r="T27692" s="135"/>
      <c r="U27692" s="135"/>
    </row>
    <row r="27693" spans="20:21" ht="15" customHeight="1" x14ac:dyDescent="0.25">
      <c r="T27693" s="135"/>
      <c r="U27693" s="135"/>
    </row>
    <row r="27694" spans="20:21" ht="15" customHeight="1" x14ac:dyDescent="0.25">
      <c r="T27694" s="135"/>
      <c r="U27694" s="135"/>
    </row>
    <row r="27695" spans="20:21" ht="15" customHeight="1" x14ac:dyDescent="0.25">
      <c r="T27695" s="135"/>
      <c r="U27695" s="135"/>
    </row>
    <row r="27696" spans="20:21" ht="15" customHeight="1" x14ac:dyDescent="0.25">
      <c r="T27696" s="135"/>
      <c r="U27696" s="135"/>
    </row>
    <row r="27697" spans="20:21" ht="15" customHeight="1" x14ac:dyDescent="0.25">
      <c r="T27697" s="135"/>
      <c r="U27697" s="135"/>
    </row>
    <row r="27698" spans="20:21" ht="15" customHeight="1" x14ac:dyDescent="0.25">
      <c r="T27698" s="135"/>
      <c r="U27698" s="135"/>
    </row>
    <row r="27699" spans="20:21" ht="15" customHeight="1" x14ac:dyDescent="0.25">
      <c r="T27699" s="135"/>
      <c r="U27699" s="135"/>
    </row>
    <row r="27700" spans="20:21" ht="15" customHeight="1" x14ac:dyDescent="0.25">
      <c r="T27700" s="135"/>
      <c r="U27700" s="135"/>
    </row>
    <row r="27701" spans="20:21" ht="15" customHeight="1" x14ac:dyDescent="0.25">
      <c r="T27701" s="135"/>
      <c r="U27701" s="135"/>
    </row>
    <row r="27702" spans="20:21" ht="15" customHeight="1" x14ac:dyDescent="0.25">
      <c r="T27702" s="135"/>
      <c r="U27702" s="135"/>
    </row>
    <row r="27703" spans="20:21" ht="15" customHeight="1" x14ac:dyDescent="0.25">
      <c r="T27703" s="135"/>
      <c r="U27703" s="135"/>
    </row>
    <row r="27704" spans="20:21" ht="15" customHeight="1" x14ac:dyDescent="0.25">
      <c r="T27704" s="135"/>
      <c r="U27704" s="135"/>
    </row>
    <row r="27705" spans="20:21" ht="15" customHeight="1" x14ac:dyDescent="0.25">
      <c r="T27705" s="135"/>
      <c r="U27705" s="135"/>
    </row>
    <row r="27706" spans="20:21" ht="15" customHeight="1" x14ac:dyDescent="0.25">
      <c r="T27706" s="135"/>
      <c r="U27706" s="135"/>
    </row>
    <row r="27707" spans="20:21" ht="15" customHeight="1" x14ac:dyDescent="0.25">
      <c r="T27707" s="135"/>
      <c r="U27707" s="135"/>
    </row>
    <row r="27708" spans="20:21" ht="15" customHeight="1" x14ac:dyDescent="0.25">
      <c r="T27708" s="135"/>
      <c r="U27708" s="135"/>
    </row>
    <row r="27709" spans="20:21" ht="15" customHeight="1" x14ac:dyDescent="0.25">
      <c r="T27709" s="135"/>
      <c r="U27709" s="135"/>
    </row>
    <row r="27710" spans="20:21" ht="15" customHeight="1" x14ac:dyDescent="0.25">
      <c r="T27710" s="135"/>
      <c r="U27710" s="135"/>
    </row>
    <row r="27711" spans="20:21" ht="15" customHeight="1" x14ac:dyDescent="0.25">
      <c r="T27711" s="135"/>
      <c r="U27711" s="135"/>
    </row>
    <row r="27712" spans="20:21" ht="15" customHeight="1" x14ac:dyDescent="0.25">
      <c r="T27712" s="135"/>
      <c r="U27712" s="135"/>
    </row>
    <row r="27713" spans="20:21" ht="15" customHeight="1" x14ac:dyDescent="0.25">
      <c r="T27713" s="135"/>
      <c r="U27713" s="135"/>
    </row>
    <row r="27714" spans="20:21" ht="15" customHeight="1" x14ac:dyDescent="0.25">
      <c r="T27714" s="135"/>
      <c r="U27714" s="135"/>
    </row>
    <row r="27715" spans="20:21" ht="15" customHeight="1" x14ac:dyDescent="0.25">
      <c r="T27715" s="135"/>
      <c r="U27715" s="135"/>
    </row>
    <row r="27716" spans="20:21" ht="15" customHeight="1" x14ac:dyDescent="0.25">
      <c r="T27716" s="135"/>
      <c r="U27716" s="135"/>
    </row>
    <row r="27717" spans="20:21" ht="15" customHeight="1" x14ac:dyDescent="0.25">
      <c r="T27717" s="135"/>
      <c r="U27717" s="135"/>
    </row>
    <row r="27718" spans="20:21" ht="15" customHeight="1" x14ac:dyDescent="0.25">
      <c r="T27718" s="135"/>
      <c r="U27718" s="135"/>
    </row>
    <row r="27719" spans="20:21" ht="15" customHeight="1" x14ac:dyDescent="0.25">
      <c r="T27719" s="135"/>
      <c r="U27719" s="135"/>
    </row>
    <row r="27720" spans="20:21" ht="15" customHeight="1" x14ac:dyDescent="0.25">
      <c r="T27720" s="135"/>
      <c r="U27720" s="135"/>
    </row>
    <row r="27721" spans="20:21" ht="15" customHeight="1" x14ac:dyDescent="0.25">
      <c r="T27721" s="135"/>
      <c r="U27721" s="135"/>
    </row>
    <row r="27722" spans="20:21" ht="15" customHeight="1" x14ac:dyDescent="0.25">
      <c r="T27722" s="135"/>
      <c r="U27722" s="135"/>
    </row>
    <row r="27723" spans="20:21" ht="15" customHeight="1" x14ac:dyDescent="0.25">
      <c r="T27723" s="135"/>
      <c r="U27723" s="135"/>
    </row>
    <row r="27724" spans="20:21" ht="15" customHeight="1" x14ac:dyDescent="0.25">
      <c r="T27724" s="135"/>
      <c r="U27724" s="135"/>
    </row>
    <row r="27725" spans="20:21" ht="15" customHeight="1" x14ac:dyDescent="0.25">
      <c r="T27725" s="135"/>
      <c r="U27725" s="135"/>
    </row>
    <row r="27726" spans="20:21" ht="15" customHeight="1" x14ac:dyDescent="0.25">
      <c r="T27726" s="135"/>
      <c r="U27726" s="135"/>
    </row>
    <row r="27727" spans="20:21" ht="15" customHeight="1" x14ac:dyDescent="0.25">
      <c r="T27727" s="135"/>
      <c r="U27727" s="135"/>
    </row>
    <row r="27728" spans="20:21" ht="15" customHeight="1" x14ac:dyDescent="0.25">
      <c r="T27728" s="135"/>
      <c r="U27728" s="135"/>
    </row>
    <row r="27729" spans="20:21" ht="15" customHeight="1" x14ac:dyDescent="0.25">
      <c r="T27729" s="135"/>
      <c r="U27729" s="135"/>
    </row>
    <row r="27730" spans="20:21" ht="15" customHeight="1" x14ac:dyDescent="0.25">
      <c r="T27730" s="135"/>
      <c r="U27730" s="135"/>
    </row>
    <row r="27731" spans="20:21" ht="15" customHeight="1" x14ac:dyDescent="0.25">
      <c r="T27731" s="135"/>
      <c r="U27731" s="135"/>
    </row>
    <row r="27732" spans="20:21" ht="15" customHeight="1" x14ac:dyDescent="0.25">
      <c r="T27732" s="135"/>
      <c r="U27732" s="135"/>
    </row>
    <row r="27733" spans="20:21" ht="15" customHeight="1" x14ac:dyDescent="0.25">
      <c r="T27733" s="135"/>
      <c r="U27733" s="135"/>
    </row>
    <row r="27734" spans="20:21" ht="15" customHeight="1" x14ac:dyDescent="0.25">
      <c r="T27734" s="135"/>
      <c r="U27734" s="135"/>
    </row>
    <row r="27735" spans="20:21" ht="15" customHeight="1" x14ac:dyDescent="0.25">
      <c r="T27735" s="135"/>
      <c r="U27735" s="135"/>
    </row>
    <row r="27736" spans="20:21" ht="15" customHeight="1" x14ac:dyDescent="0.25">
      <c r="T27736" s="135"/>
      <c r="U27736" s="135"/>
    </row>
    <row r="27737" spans="20:21" ht="15" customHeight="1" x14ac:dyDescent="0.25">
      <c r="T27737" s="135"/>
      <c r="U27737" s="135"/>
    </row>
    <row r="27738" spans="20:21" ht="15" customHeight="1" x14ac:dyDescent="0.25">
      <c r="T27738" s="135"/>
      <c r="U27738" s="135"/>
    </row>
    <row r="27739" spans="20:21" ht="15" customHeight="1" x14ac:dyDescent="0.25">
      <c r="T27739" s="135"/>
      <c r="U27739" s="135"/>
    </row>
    <row r="27740" spans="20:21" ht="15" customHeight="1" x14ac:dyDescent="0.25">
      <c r="T27740" s="135"/>
      <c r="U27740" s="135"/>
    </row>
    <row r="27741" spans="20:21" ht="15" customHeight="1" x14ac:dyDescent="0.25">
      <c r="T27741" s="135"/>
      <c r="U27741" s="135"/>
    </row>
    <row r="27742" spans="20:21" ht="15" customHeight="1" x14ac:dyDescent="0.25">
      <c r="T27742" s="135"/>
      <c r="U27742" s="135"/>
    </row>
    <row r="27743" spans="20:21" ht="15" customHeight="1" x14ac:dyDescent="0.25">
      <c r="T27743" s="135"/>
      <c r="U27743" s="135"/>
    </row>
    <row r="27744" spans="20:21" ht="15" customHeight="1" x14ac:dyDescent="0.25">
      <c r="T27744" s="135"/>
      <c r="U27744" s="135"/>
    </row>
    <row r="27745" spans="20:21" ht="15" customHeight="1" x14ac:dyDescent="0.25">
      <c r="T27745" s="135"/>
      <c r="U27745" s="135"/>
    </row>
    <row r="27746" spans="20:21" ht="15" customHeight="1" x14ac:dyDescent="0.25">
      <c r="T27746" s="135"/>
      <c r="U27746" s="135"/>
    </row>
    <row r="27747" spans="20:21" ht="15" customHeight="1" x14ac:dyDescent="0.25">
      <c r="T27747" s="135"/>
      <c r="U27747" s="135"/>
    </row>
    <row r="27748" spans="20:21" ht="15" customHeight="1" x14ac:dyDescent="0.25">
      <c r="T27748" s="135"/>
      <c r="U27748" s="135"/>
    </row>
    <row r="27749" spans="20:21" ht="15" customHeight="1" x14ac:dyDescent="0.25">
      <c r="T27749" s="135"/>
      <c r="U27749" s="135"/>
    </row>
    <row r="27750" spans="20:21" ht="15" customHeight="1" x14ac:dyDescent="0.25">
      <c r="T27750" s="135"/>
      <c r="U27750" s="135"/>
    </row>
    <row r="27751" spans="20:21" ht="15" customHeight="1" x14ac:dyDescent="0.25">
      <c r="T27751" s="135"/>
      <c r="U27751" s="135"/>
    </row>
    <row r="27752" spans="20:21" ht="15" customHeight="1" x14ac:dyDescent="0.25">
      <c r="T27752" s="135"/>
      <c r="U27752" s="135"/>
    </row>
    <row r="27753" spans="20:21" ht="15" customHeight="1" x14ac:dyDescent="0.25">
      <c r="T27753" s="135"/>
      <c r="U27753" s="135"/>
    </row>
    <row r="27754" spans="20:21" ht="15" customHeight="1" x14ac:dyDescent="0.25">
      <c r="T27754" s="135"/>
      <c r="U27754" s="135"/>
    </row>
    <row r="27755" spans="20:21" ht="15" customHeight="1" x14ac:dyDescent="0.25">
      <c r="T27755" s="135"/>
      <c r="U27755" s="135"/>
    </row>
    <row r="27756" spans="20:21" ht="15" customHeight="1" x14ac:dyDescent="0.25">
      <c r="T27756" s="135"/>
      <c r="U27756" s="135"/>
    </row>
    <row r="27757" spans="20:21" ht="15" customHeight="1" x14ac:dyDescent="0.25">
      <c r="T27757" s="135"/>
      <c r="U27757" s="135"/>
    </row>
    <row r="27758" spans="20:21" ht="15" customHeight="1" x14ac:dyDescent="0.25">
      <c r="T27758" s="135"/>
      <c r="U27758" s="135"/>
    </row>
    <row r="27759" spans="20:21" ht="15" customHeight="1" x14ac:dyDescent="0.25">
      <c r="T27759" s="135"/>
      <c r="U27759" s="135"/>
    </row>
    <row r="27760" spans="20:21" ht="15" customHeight="1" x14ac:dyDescent="0.25">
      <c r="T27760" s="135"/>
      <c r="U27760" s="135"/>
    </row>
    <row r="27761" spans="20:21" ht="15" customHeight="1" x14ac:dyDescent="0.25">
      <c r="T27761" s="135"/>
      <c r="U27761" s="135"/>
    </row>
    <row r="27762" spans="20:21" ht="15" customHeight="1" x14ac:dyDescent="0.25">
      <c r="T27762" s="135"/>
      <c r="U27762" s="135"/>
    </row>
    <row r="27763" spans="20:21" ht="15" customHeight="1" x14ac:dyDescent="0.25">
      <c r="T27763" s="135"/>
      <c r="U27763" s="135"/>
    </row>
    <row r="27764" spans="20:21" ht="15" customHeight="1" x14ac:dyDescent="0.25">
      <c r="T27764" s="135"/>
      <c r="U27764" s="135"/>
    </row>
    <row r="27765" spans="20:21" ht="15" customHeight="1" x14ac:dyDescent="0.25">
      <c r="T27765" s="135"/>
      <c r="U27765" s="135"/>
    </row>
    <row r="27766" spans="20:21" ht="15" customHeight="1" x14ac:dyDescent="0.25">
      <c r="T27766" s="135"/>
      <c r="U27766" s="135"/>
    </row>
    <row r="27767" spans="20:21" ht="15" customHeight="1" x14ac:dyDescent="0.25">
      <c r="T27767" s="135"/>
      <c r="U27767" s="135"/>
    </row>
    <row r="27768" spans="20:21" ht="15" customHeight="1" x14ac:dyDescent="0.25">
      <c r="T27768" s="135"/>
      <c r="U27768" s="135"/>
    </row>
    <row r="27769" spans="20:21" ht="15" customHeight="1" x14ac:dyDescent="0.25">
      <c r="T27769" s="135"/>
      <c r="U27769" s="135"/>
    </row>
    <row r="27770" spans="20:21" ht="15" customHeight="1" x14ac:dyDescent="0.25">
      <c r="T27770" s="135"/>
      <c r="U27770" s="135"/>
    </row>
    <row r="27771" spans="20:21" ht="15" customHeight="1" x14ac:dyDescent="0.25">
      <c r="T27771" s="135"/>
      <c r="U27771" s="135"/>
    </row>
    <row r="27772" spans="20:21" ht="15" customHeight="1" x14ac:dyDescent="0.25">
      <c r="T27772" s="135"/>
      <c r="U27772" s="135"/>
    </row>
    <row r="27773" spans="20:21" ht="15" customHeight="1" x14ac:dyDescent="0.25">
      <c r="T27773" s="135"/>
      <c r="U27773" s="135"/>
    </row>
    <row r="27774" spans="20:21" ht="15" customHeight="1" x14ac:dyDescent="0.25">
      <c r="T27774" s="135"/>
      <c r="U27774" s="135"/>
    </row>
    <row r="27775" spans="20:21" ht="15" customHeight="1" x14ac:dyDescent="0.25">
      <c r="T27775" s="135"/>
      <c r="U27775" s="135"/>
    </row>
    <row r="27776" spans="20:21" ht="15" customHeight="1" x14ac:dyDescent="0.25">
      <c r="T27776" s="135"/>
      <c r="U27776" s="135"/>
    </row>
    <row r="27777" spans="20:21" ht="15" customHeight="1" x14ac:dyDescent="0.25">
      <c r="T27777" s="135"/>
      <c r="U27777" s="135"/>
    </row>
    <row r="27778" spans="20:21" ht="15" customHeight="1" x14ac:dyDescent="0.25">
      <c r="T27778" s="135"/>
      <c r="U27778" s="135"/>
    </row>
    <row r="27779" spans="20:21" ht="15" customHeight="1" x14ac:dyDescent="0.25">
      <c r="T27779" s="135"/>
      <c r="U27779" s="135"/>
    </row>
    <row r="27780" spans="20:21" ht="15" customHeight="1" x14ac:dyDescent="0.25">
      <c r="T27780" s="135"/>
      <c r="U27780" s="135"/>
    </row>
    <row r="27781" spans="20:21" ht="15" customHeight="1" x14ac:dyDescent="0.25">
      <c r="T27781" s="135"/>
      <c r="U27781" s="135"/>
    </row>
    <row r="27782" spans="20:21" ht="15" customHeight="1" x14ac:dyDescent="0.25">
      <c r="T27782" s="135"/>
      <c r="U27782" s="135"/>
    </row>
    <row r="27783" spans="20:21" ht="15" customHeight="1" x14ac:dyDescent="0.25">
      <c r="T27783" s="135"/>
      <c r="U27783" s="135"/>
    </row>
    <row r="27784" spans="20:21" ht="15" customHeight="1" x14ac:dyDescent="0.25">
      <c r="T27784" s="135"/>
      <c r="U27784" s="135"/>
    </row>
    <row r="27785" spans="20:21" ht="15" customHeight="1" x14ac:dyDescent="0.25">
      <c r="T27785" s="135"/>
      <c r="U27785" s="135"/>
    </row>
    <row r="27786" spans="20:21" ht="15" customHeight="1" x14ac:dyDescent="0.25">
      <c r="T27786" s="135"/>
      <c r="U27786" s="135"/>
    </row>
    <row r="27787" spans="20:21" ht="15" customHeight="1" x14ac:dyDescent="0.25">
      <c r="T27787" s="135"/>
      <c r="U27787" s="135"/>
    </row>
    <row r="27788" spans="20:21" ht="15" customHeight="1" x14ac:dyDescent="0.25">
      <c r="T27788" s="135"/>
      <c r="U27788" s="135"/>
    </row>
    <row r="27789" spans="20:21" ht="15" customHeight="1" x14ac:dyDescent="0.25">
      <c r="T27789" s="135"/>
      <c r="U27789" s="135"/>
    </row>
    <row r="27790" spans="20:21" ht="15" customHeight="1" x14ac:dyDescent="0.25">
      <c r="T27790" s="135"/>
      <c r="U27790" s="135"/>
    </row>
    <row r="27791" spans="20:21" ht="15" customHeight="1" x14ac:dyDescent="0.25">
      <c r="T27791" s="135"/>
      <c r="U27791" s="135"/>
    </row>
    <row r="27792" spans="20:21" ht="15" customHeight="1" x14ac:dyDescent="0.25">
      <c r="T27792" s="135"/>
      <c r="U27792" s="135"/>
    </row>
    <row r="27793" spans="20:21" ht="15" customHeight="1" x14ac:dyDescent="0.25">
      <c r="T27793" s="135"/>
      <c r="U27793" s="135"/>
    </row>
    <row r="27794" spans="20:21" ht="15" customHeight="1" x14ac:dyDescent="0.25">
      <c r="T27794" s="135"/>
      <c r="U27794" s="135"/>
    </row>
    <row r="27795" spans="20:21" ht="15" customHeight="1" x14ac:dyDescent="0.25">
      <c r="T27795" s="135"/>
      <c r="U27795" s="135"/>
    </row>
    <row r="27796" spans="20:21" ht="15" customHeight="1" x14ac:dyDescent="0.25">
      <c r="T27796" s="135"/>
      <c r="U27796" s="135"/>
    </row>
    <row r="27797" spans="20:21" ht="15" customHeight="1" x14ac:dyDescent="0.25">
      <c r="T27797" s="135"/>
      <c r="U27797" s="135"/>
    </row>
    <row r="27798" spans="20:21" ht="15" customHeight="1" x14ac:dyDescent="0.25">
      <c r="T27798" s="135"/>
      <c r="U27798" s="135"/>
    </row>
    <row r="27799" spans="20:21" ht="15" customHeight="1" x14ac:dyDescent="0.25">
      <c r="T27799" s="135"/>
      <c r="U27799" s="135"/>
    </row>
    <row r="27800" spans="20:21" ht="15" customHeight="1" x14ac:dyDescent="0.25">
      <c r="T27800" s="135"/>
      <c r="U27800" s="135"/>
    </row>
    <row r="27801" spans="20:21" ht="15" customHeight="1" x14ac:dyDescent="0.25">
      <c r="T27801" s="135"/>
      <c r="U27801" s="135"/>
    </row>
    <row r="27802" spans="20:21" ht="15" customHeight="1" x14ac:dyDescent="0.25">
      <c r="T27802" s="135"/>
      <c r="U27802" s="135"/>
    </row>
    <row r="27803" spans="20:21" ht="15" customHeight="1" x14ac:dyDescent="0.25">
      <c r="T27803" s="135"/>
      <c r="U27803" s="135"/>
    </row>
    <row r="27804" spans="20:21" ht="15" customHeight="1" x14ac:dyDescent="0.25">
      <c r="T27804" s="135"/>
      <c r="U27804" s="135"/>
    </row>
    <row r="27805" spans="20:21" ht="15" customHeight="1" x14ac:dyDescent="0.25">
      <c r="T27805" s="135"/>
      <c r="U27805" s="135"/>
    </row>
    <row r="27806" spans="20:21" ht="15" customHeight="1" x14ac:dyDescent="0.25">
      <c r="T27806" s="135"/>
      <c r="U27806" s="135"/>
    </row>
    <row r="27807" spans="20:21" ht="15" customHeight="1" x14ac:dyDescent="0.25">
      <c r="T27807" s="135"/>
      <c r="U27807" s="135"/>
    </row>
    <row r="27808" spans="20:21" ht="15" customHeight="1" x14ac:dyDescent="0.25">
      <c r="T27808" s="135"/>
      <c r="U27808" s="135"/>
    </row>
    <row r="27809" spans="20:21" ht="15" customHeight="1" x14ac:dyDescent="0.25">
      <c r="T27809" s="135"/>
      <c r="U27809" s="135"/>
    </row>
    <row r="27810" spans="20:21" ht="15" customHeight="1" x14ac:dyDescent="0.25">
      <c r="T27810" s="135"/>
      <c r="U27810" s="135"/>
    </row>
    <row r="27811" spans="20:21" ht="15" customHeight="1" x14ac:dyDescent="0.25">
      <c r="T27811" s="135"/>
      <c r="U27811" s="135"/>
    </row>
    <row r="27812" spans="20:21" ht="15" customHeight="1" x14ac:dyDescent="0.25">
      <c r="T27812" s="135"/>
      <c r="U27812" s="135"/>
    </row>
    <row r="27813" spans="20:21" ht="15" customHeight="1" x14ac:dyDescent="0.25">
      <c r="T27813" s="135"/>
      <c r="U27813" s="135"/>
    </row>
    <row r="27814" spans="20:21" ht="15" customHeight="1" x14ac:dyDescent="0.25">
      <c r="T27814" s="135"/>
      <c r="U27814" s="135"/>
    </row>
    <row r="27815" spans="20:21" ht="15" customHeight="1" x14ac:dyDescent="0.25">
      <c r="T27815" s="135"/>
      <c r="U27815" s="135"/>
    </row>
    <row r="27816" spans="20:21" ht="15" customHeight="1" x14ac:dyDescent="0.25">
      <c r="T27816" s="135"/>
      <c r="U27816" s="135"/>
    </row>
    <row r="27817" spans="20:21" ht="15" customHeight="1" x14ac:dyDescent="0.25">
      <c r="T27817" s="135"/>
      <c r="U27817" s="135"/>
    </row>
    <row r="27818" spans="20:21" ht="15" customHeight="1" x14ac:dyDescent="0.25">
      <c r="T27818" s="135"/>
      <c r="U27818" s="135"/>
    </row>
    <row r="27819" spans="20:21" ht="15" customHeight="1" x14ac:dyDescent="0.25">
      <c r="T27819" s="135"/>
      <c r="U27819" s="135"/>
    </row>
    <row r="27820" spans="20:21" ht="15" customHeight="1" x14ac:dyDescent="0.25">
      <c r="T27820" s="135"/>
      <c r="U27820" s="135"/>
    </row>
    <row r="27821" spans="20:21" ht="15" customHeight="1" x14ac:dyDescent="0.25">
      <c r="T27821" s="135"/>
      <c r="U27821" s="135"/>
    </row>
    <row r="27822" spans="20:21" ht="15" customHeight="1" x14ac:dyDescent="0.25">
      <c r="T27822" s="135"/>
      <c r="U27822" s="135"/>
    </row>
    <row r="27823" spans="20:21" ht="15" customHeight="1" x14ac:dyDescent="0.25">
      <c r="T27823" s="135"/>
      <c r="U27823" s="135"/>
    </row>
    <row r="27824" spans="20:21" ht="15" customHeight="1" x14ac:dyDescent="0.25">
      <c r="T27824" s="135"/>
      <c r="U27824" s="135"/>
    </row>
    <row r="27825" spans="20:21" ht="15" customHeight="1" x14ac:dyDescent="0.25">
      <c r="T27825" s="135"/>
      <c r="U27825" s="135"/>
    </row>
    <row r="27826" spans="20:21" ht="15" customHeight="1" x14ac:dyDescent="0.25">
      <c r="T27826" s="135"/>
      <c r="U27826" s="135"/>
    </row>
    <row r="27827" spans="20:21" ht="15" customHeight="1" x14ac:dyDescent="0.25">
      <c r="T27827" s="135"/>
      <c r="U27827" s="135"/>
    </row>
    <row r="27828" spans="20:21" ht="15" customHeight="1" x14ac:dyDescent="0.25">
      <c r="T27828" s="135"/>
      <c r="U27828" s="135"/>
    </row>
    <row r="27829" spans="20:21" ht="15" customHeight="1" x14ac:dyDescent="0.25">
      <c r="T27829" s="135"/>
      <c r="U27829" s="135"/>
    </row>
    <row r="27830" spans="20:21" ht="15" customHeight="1" x14ac:dyDescent="0.25">
      <c r="T27830" s="135"/>
      <c r="U27830" s="135"/>
    </row>
    <row r="27831" spans="20:21" ht="15" customHeight="1" x14ac:dyDescent="0.25">
      <c r="T27831" s="135"/>
      <c r="U27831" s="135"/>
    </row>
    <row r="27832" spans="20:21" ht="15" customHeight="1" x14ac:dyDescent="0.25">
      <c r="T27832" s="135"/>
      <c r="U27832" s="135"/>
    </row>
    <row r="27833" spans="20:21" ht="15" customHeight="1" x14ac:dyDescent="0.25">
      <c r="T27833" s="135"/>
      <c r="U27833" s="135"/>
    </row>
    <row r="27834" spans="20:21" ht="15" customHeight="1" x14ac:dyDescent="0.25">
      <c r="T27834" s="135"/>
      <c r="U27834" s="135"/>
    </row>
    <row r="27835" spans="20:21" ht="15" customHeight="1" x14ac:dyDescent="0.25">
      <c r="T27835" s="135"/>
      <c r="U27835" s="135"/>
    </row>
    <row r="27836" spans="20:21" ht="15" customHeight="1" x14ac:dyDescent="0.25">
      <c r="T27836" s="135"/>
      <c r="U27836" s="135"/>
    </row>
    <row r="27837" spans="20:21" ht="15" customHeight="1" x14ac:dyDescent="0.25">
      <c r="T27837" s="135"/>
      <c r="U27837" s="135"/>
    </row>
    <row r="27838" spans="20:21" ht="15" customHeight="1" x14ac:dyDescent="0.25">
      <c r="T27838" s="135"/>
      <c r="U27838" s="135"/>
    </row>
    <row r="27839" spans="20:21" ht="15" customHeight="1" x14ac:dyDescent="0.25">
      <c r="T27839" s="135"/>
      <c r="U27839" s="135"/>
    </row>
    <row r="27840" spans="20:21" ht="15" customHeight="1" x14ac:dyDescent="0.25">
      <c r="T27840" s="135"/>
      <c r="U27840" s="135"/>
    </row>
    <row r="27841" spans="20:21" ht="15" customHeight="1" x14ac:dyDescent="0.25">
      <c r="T27841" s="135"/>
      <c r="U27841" s="135"/>
    </row>
    <row r="27842" spans="20:21" ht="15" customHeight="1" x14ac:dyDescent="0.25">
      <c r="T27842" s="135"/>
      <c r="U27842" s="135"/>
    </row>
    <row r="27843" spans="20:21" ht="15" customHeight="1" x14ac:dyDescent="0.25">
      <c r="T27843" s="135"/>
      <c r="U27843" s="135"/>
    </row>
    <row r="27844" spans="20:21" ht="15" customHeight="1" x14ac:dyDescent="0.25">
      <c r="T27844" s="135"/>
      <c r="U27844" s="135"/>
    </row>
    <row r="27845" spans="20:21" ht="15" customHeight="1" x14ac:dyDescent="0.25">
      <c r="T27845" s="135"/>
      <c r="U27845" s="135"/>
    </row>
    <row r="27846" spans="20:21" ht="15" customHeight="1" x14ac:dyDescent="0.25">
      <c r="T27846" s="135"/>
      <c r="U27846" s="135"/>
    </row>
    <row r="27847" spans="20:21" ht="15" customHeight="1" x14ac:dyDescent="0.25">
      <c r="T27847" s="135"/>
      <c r="U27847" s="135"/>
    </row>
    <row r="27848" spans="20:21" ht="15" customHeight="1" x14ac:dyDescent="0.25">
      <c r="T27848" s="135"/>
      <c r="U27848" s="135"/>
    </row>
    <row r="27849" spans="20:21" ht="15" customHeight="1" x14ac:dyDescent="0.25">
      <c r="T27849" s="135"/>
      <c r="U27849" s="135"/>
    </row>
    <row r="27850" spans="20:21" ht="15" customHeight="1" x14ac:dyDescent="0.25">
      <c r="T27850" s="135"/>
      <c r="U27850" s="135"/>
    </row>
    <row r="27851" spans="20:21" ht="15" customHeight="1" x14ac:dyDescent="0.25">
      <c r="T27851" s="135"/>
      <c r="U27851" s="135"/>
    </row>
    <row r="27852" spans="20:21" ht="15" customHeight="1" x14ac:dyDescent="0.25">
      <c r="T27852" s="135"/>
      <c r="U27852" s="135"/>
    </row>
    <row r="27853" spans="20:21" ht="15" customHeight="1" x14ac:dyDescent="0.25">
      <c r="T27853" s="135"/>
      <c r="U27853" s="135"/>
    </row>
    <row r="27854" spans="20:21" ht="15" customHeight="1" x14ac:dyDescent="0.25">
      <c r="T27854" s="135"/>
      <c r="U27854" s="135"/>
    </row>
    <row r="27855" spans="20:21" ht="15" customHeight="1" x14ac:dyDescent="0.25">
      <c r="T27855" s="135"/>
      <c r="U27855" s="135"/>
    </row>
    <row r="27856" spans="20:21" ht="15" customHeight="1" x14ac:dyDescent="0.25">
      <c r="T27856" s="135"/>
      <c r="U27856" s="135"/>
    </row>
    <row r="27857" spans="20:21" ht="15" customHeight="1" x14ac:dyDescent="0.25">
      <c r="T27857" s="135"/>
      <c r="U27857" s="135"/>
    </row>
    <row r="27858" spans="20:21" ht="15" customHeight="1" x14ac:dyDescent="0.25">
      <c r="T27858" s="135"/>
      <c r="U27858" s="135"/>
    </row>
    <row r="27859" spans="20:21" ht="15" customHeight="1" x14ac:dyDescent="0.25">
      <c r="T27859" s="135"/>
      <c r="U27859" s="135"/>
    </row>
    <row r="27860" spans="20:21" ht="15" customHeight="1" x14ac:dyDescent="0.25">
      <c r="T27860" s="135"/>
      <c r="U27860" s="135"/>
    </row>
    <row r="27861" spans="20:21" ht="15" customHeight="1" x14ac:dyDescent="0.25">
      <c r="T27861" s="135"/>
      <c r="U27861" s="135"/>
    </row>
    <row r="27862" spans="20:21" ht="15" customHeight="1" x14ac:dyDescent="0.25">
      <c r="T27862" s="135"/>
      <c r="U27862" s="135"/>
    </row>
    <row r="27863" spans="20:21" ht="15" customHeight="1" x14ac:dyDescent="0.25">
      <c r="T27863" s="135"/>
      <c r="U27863" s="135"/>
    </row>
    <row r="27864" spans="20:21" ht="15" customHeight="1" x14ac:dyDescent="0.25">
      <c r="T27864" s="135"/>
      <c r="U27864" s="135"/>
    </row>
    <row r="27865" spans="20:21" ht="15" customHeight="1" x14ac:dyDescent="0.25">
      <c r="T27865" s="135"/>
      <c r="U27865" s="135"/>
    </row>
    <row r="27866" spans="20:21" ht="15" customHeight="1" x14ac:dyDescent="0.25">
      <c r="T27866" s="135"/>
      <c r="U27866" s="135"/>
    </row>
    <row r="27867" spans="20:21" ht="15" customHeight="1" x14ac:dyDescent="0.25">
      <c r="T27867" s="135"/>
      <c r="U27867" s="135"/>
    </row>
    <row r="27868" spans="20:21" ht="15" customHeight="1" x14ac:dyDescent="0.25">
      <c r="T27868" s="135"/>
      <c r="U27868" s="135"/>
    </row>
    <row r="27869" spans="20:21" ht="15" customHeight="1" x14ac:dyDescent="0.25">
      <c r="T27869" s="135"/>
      <c r="U27869" s="135"/>
    </row>
    <row r="27870" spans="20:21" ht="15" customHeight="1" x14ac:dyDescent="0.25">
      <c r="T27870" s="135"/>
      <c r="U27870" s="135"/>
    </row>
    <row r="27871" spans="20:21" ht="15" customHeight="1" x14ac:dyDescent="0.25">
      <c r="T27871" s="135"/>
      <c r="U27871" s="135"/>
    </row>
    <row r="27872" spans="20:21" ht="15" customHeight="1" x14ac:dyDescent="0.25">
      <c r="T27872" s="135"/>
      <c r="U27872" s="135"/>
    </row>
    <row r="27873" spans="20:21" ht="15" customHeight="1" x14ac:dyDescent="0.25">
      <c r="T27873" s="135"/>
      <c r="U27873" s="135"/>
    </row>
    <row r="27874" spans="20:21" ht="15" customHeight="1" x14ac:dyDescent="0.25">
      <c r="T27874" s="135"/>
      <c r="U27874" s="135"/>
    </row>
    <row r="27875" spans="20:21" ht="15" customHeight="1" x14ac:dyDescent="0.25">
      <c r="T27875" s="135"/>
      <c r="U27875" s="135"/>
    </row>
    <row r="27876" spans="20:21" ht="15" customHeight="1" x14ac:dyDescent="0.25">
      <c r="T27876" s="135"/>
      <c r="U27876" s="135"/>
    </row>
    <row r="27877" spans="20:21" ht="15" customHeight="1" x14ac:dyDescent="0.25">
      <c r="T27877" s="135"/>
      <c r="U27877" s="135"/>
    </row>
    <row r="27878" spans="20:21" ht="15" customHeight="1" x14ac:dyDescent="0.25">
      <c r="T27878" s="135"/>
      <c r="U27878" s="135"/>
    </row>
    <row r="27879" spans="20:21" ht="15" customHeight="1" x14ac:dyDescent="0.25">
      <c r="T27879" s="135"/>
      <c r="U27879" s="135"/>
    </row>
    <row r="27880" spans="20:21" ht="15" customHeight="1" x14ac:dyDescent="0.25">
      <c r="T27880" s="135"/>
      <c r="U27880" s="135"/>
    </row>
    <row r="27881" spans="20:21" ht="15" customHeight="1" x14ac:dyDescent="0.25">
      <c r="T27881" s="135"/>
      <c r="U27881" s="135"/>
    </row>
    <row r="27882" spans="20:21" ht="15" customHeight="1" x14ac:dyDescent="0.25">
      <c r="T27882" s="135"/>
      <c r="U27882" s="135"/>
    </row>
    <row r="27883" spans="20:21" ht="15" customHeight="1" x14ac:dyDescent="0.25">
      <c r="T27883" s="135"/>
      <c r="U27883" s="135"/>
    </row>
    <row r="27884" spans="20:21" ht="15" customHeight="1" x14ac:dyDescent="0.25">
      <c r="T27884" s="135"/>
      <c r="U27884" s="135"/>
    </row>
    <row r="27885" spans="20:21" ht="15" customHeight="1" x14ac:dyDescent="0.25">
      <c r="T27885" s="135"/>
      <c r="U27885" s="135"/>
    </row>
    <row r="27886" spans="20:21" ht="15" customHeight="1" x14ac:dyDescent="0.25">
      <c r="T27886" s="135"/>
      <c r="U27886" s="135"/>
    </row>
    <row r="27887" spans="20:21" ht="15" customHeight="1" x14ac:dyDescent="0.25">
      <c r="T27887" s="135"/>
      <c r="U27887" s="135"/>
    </row>
    <row r="27888" spans="20:21" ht="15" customHeight="1" x14ac:dyDescent="0.25">
      <c r="T27888" s="135"/>
      <c r="U27888" s="135"/>
    </row>
    <row r="27889" spans="20:21" ht="15" customHeight="1" x14ac:dyDescent="0.25">
      <c r="T27889" s="135"/>
      <c r="U27889" s="135"/>
    </row>
    <row r="27890" spans="20:21" ht="15" customHeight="1" x14ac:dyDescent="0.25">
      <c r="T27890" s="135"/>
      <c r="U27890" s="135"/>
    </row>
    <row r="27891" spans="20:21" ht="15" customHeight="1" x14ac:dyDescent="0.25">
      <c r="T27891" s="135"/>
      <c r="U27891" s="135"/>
    </row>
    <row r="27892" spans="20:21" ht="15" customHeight="1" x14ac:dyDescent="0.25">
      <c r="T27892" s="135"/>
      <c r="U27892" s="135"/>
    </row>
    <row r="27893" spans="20:21" ht="15" customHeight="1" x14ac:dyDescent="0.25">
      <c r="T27893" s="135"/>
      <c r="U27893" s="135"/>
    </row>
    <row r="27894" spans="20:21" ht="15" customHeight="1" x14ac:dyDescent="0.25">
      <c r="T27894" s="135"/>
      <c r="U27894" s="135"/>
    </row>
    <row r="27895" spans="20:21" ht="15" customHeight="1" x14ac:dyDescent="0.25">
      <c r="T27895" s="135"/>
      <c r="U27895" s="135"/>
    </row>
    <row r="27896" spans="20:21" ht="15" customHeight="1" x14ac:dyDescent="0.25">
      <c r="T27896" s="135"/>
      <c r="U27896" s="135"/>
    </row>
    <row r="27897" spans="20:21" ht="15" customHeight="1" x14ac:dyDescent="0.25">
      <c r="T27897" s="135"/>
      <c r="U27897" s="135"/>
    </row>
    <row r="27898" spans="20:21" ht="15" customHeight="1" x14ac:dyDescent="0.25">
      <c r="T27898" s="135"/>
      <c r="U27898" s="135"/>
    </row>
    <row r="27899" spans="20:21" ht="15" customHeight="1" x14ac:dyDescent="0.25">
      <c r="T27899" s="135"/>
      <c r="U27899" s="135"/>
    </row>
    <row r="27900" spans="20:21" ht="15" customHeight="1" x14ac:dyDescent="0.25">
      <c r="T27900" s="135"/>
      <c r="U27900" s="135"/>
    </row>
    <row r="27901" spans="20:21" ht="15" customHeight="1" x14ac:dyDescent="0.25">
      <c r="T27901" s="135"/>
      <c r="U27901" s="135"/>
    </row>
    <row r="27902" spans="20:21" ht="15" customHeight="1" x14ac:dyDescent="0.25">
      <c r="T27902" s="135"/>
      <c r="U27902" s="135"/>
    </row>
    <row r="27903" spans="20:21" ht="15" customHeight="1" x14ac:dyDescent="0.25">
      <c r="T27903" s="135"/>
      <c r="U27903" s="135"/>
    </row>
    <row r="27904" spans="20:21" ht="15" customHeight="1" x14ac:dyDescent="0.25">
      <c r="T27904" s="135"/>
      <c r="U27904" s="135"/>
    </row>
    <row r="27905" spans="20:21" ht="15" customHeight="1" x14ac:dyDescent="0.25">
      <c r="T27905" s="135"/>
      <c r="U27905" s="135"/>
    </row>
    <row r="27906" spans="20:21" ht="15" customHeight="1" x14ac:dyDescent="0.25">
      <c r="T27906" s="135"/>
      <c r="U27906" s="135"/>
    </row>
    <row r="27907" spans="20:21" ht="15" customHeight="1" x14ac:dyDescent="0.25">
      <c r="T27907" s="135"/>
      <c r="U27907" s="135"/>
    </row>
    <row r="27908" spans="20:21" ht="15" customHeight="1" x14ac:dyDescent="0.25">
      <c r="T27908" s="135"/>
      <c r="U27908" s="135"/>
    </row>
    <row r="27909" spans="20:21" ht="15" customHeight="1" x14ac:dyDescent="0.25">
      <c r="T27909" s="135"/>
      <c r="U27909" s="135"/>
    </row>
    <row r="27910" spans="20:21" ht="15" customHeight="1" x14ac:dyDescent="0.25">
      <c r="T27910" s="135"/>
      <c r="U27910" s="135"/>
    </row>
    <row r="27911" spans="20:21" ht="15" customHeight="1" x14ac:dyDescent="0.25">
      <c r="T27911" s="135"/>
      <c r="U27911" s="135"/>
    </row>
    <row r="27912" spans="20:21" ht="15" customHeight="1" x14ac:dyDescent="0.25">
      <c r="T27912" s="135"/>
      <c r="U27912" s="135"/>
    </row>
    <row r="27913" spans="20:21" ht="15" customHeight="1" x14ac:dyDescent="0.25">
      <c r="T27913" s="135"/>
      <c r="U27913" s="135"/>
    </row>
    <row r="27914" spans="20:21" ht="15" customHeight="1" x14ac:dyDescent="0.25">
      <c r="T27914" s="135"/>
      <c r="U27914" s="135"/>
    </row>
    <row r="27915" spans="20:21" ht="15" customHeight="1" x14ac:dyDescent="0.25">
      <c r="T27915" s="135"/>
      <c r="U27915" s="135"/>
    </row>
    <row r="27916" spans="20:21" ht="15" customHeight="1" x14ac:dyDescent="0.25">
      <c r="T27916" s="135"/>
      <c r="U27916" s="135"/>
    </row>
    <row r="27917" spans="20:21" ht="15" customHeight="1" x14ac:dyDescent="0.25">
      <c r="T27917" s="135"/>
      <c r="U27917" s="135"/>
    </row>
    <row r="27918" spans="20:21" ht="15" customHeight="1" x14ac:dyDescent="0.25">
      <c r="T27918" s="135"/>
      <c r="U27918" s="135"/>
    </row>
    <row r="27919" spans="20:21" ht="15" customHeight="1" x14ac:dyDescent="0.25">
      <c r="T27919" s="135"/>
      <c r="U27919" s="135"/>
    </row>
    <row r="27920" spans="20:21" ht="15" customHeight="1" x14ac:dyDescent="0.25">
      <c r="T27920" s="135"/>
      <c r="U27920" s="135"/>
    </row>
    <row r="27921" spans="20:21" ht="15" customHeight="1" x14ac:dyDescent="0.25">
      <c r="T27921" s="135"/>
      <c r="U27921" s="135"/>
    </row>
    <row r="27922" spans="20:21" ht="15" customHeight="1" x14ac:dyDescent="0.25">
      <c r="T27922" s="135"/>
      <c r="U27922" s="135"/>
    </row>
    <row r="27923" spans="20:21" ht="15" customHeight="1" x14ac:dyDescent="0.25">
      <c r="T27923" s="135"/>
      <c r="U27923" s="135"/>
    </row>
    <row r="27924" spans="20:21" ht="15" customHeight="1" x14ac:dyDescent="0.25">
      <c r="T27924" s="135"/>
      <c r="U27924" s="135"/>
    </row>
    <row r="27925" spans="20:21" ht="15" customHeight="1" x14ac:dyDescent="0.25">
      <c r="T27925" s="135"/>
      <c r="U27925" s="135"/>
    </row>
    <row r="27926" spans="20:21" ht="15" customHeight="1" x14ac:dyDescent="0.25">
      <c r="T27926" s="135"/>
      <c r="U27926" s="135"/>
    </row>
    <row r="27927" spans="20:21" ht="15" customHeight="1" x14ac:dyDescent="0.25">
      <c r="T27927" s="135"/>
      <c r="U27927" s="135"/>
    </row>
    <row r="27928" spans="20:21" ht="15" customHeight="1" x14ac:dyDescent="0.25">
      <c r="T27928" s="135"/>
      <c r="U27928" s="135"/>
    </row>
    <row r="27929" spans="20:21" ht="15" customHeight="1" x14ac:dyDescent="0.25">
      <c r="T27929" s="135"/>
      <c r="U27929" s="135"/>
    </row>
    <row r="27930" spans="20:21" ht="15" customHeight="1" x14ac:dyDescent="0.25">
      <c r="T27930" s="135"/>
      <c r="U27930" s="135"/>
    </row>
    <row r="27931" spans="20:21" ht="15" customHeight="1" x14ac:dyDescent="0.25">
      <c r="T27931" s="135"/>
      <c r="U27931" s="135"/>
    </row>
    <row r="27932" spans="20:21" ht="15" customHeight="1" x14ac:dyDescent="0.25">
      <c r="T27932" s="135"/>
      <c r="U27932" s="135"/>
    </row>
    <row r="27933" spans="20:21" ht="15" customHeight="1" x14ac:dyDescent="0.25">
      <c r="T27933" s="135"/>
      <c r="U27933" s="135"/>
    </row>
    <row r="27934" spans="20:21" ht="15" customHeight="1" x14ac:dyDescent="0.25">
      <c r="T27934" s="135"/>
      <c r="U27934" s="135"/>
    </row>
    <row r="27935" spans="20:21" ht="15" customHeight="1" x14ac:dyDescent="0.25">
      <c r="T27935" s="135"/>
      <c r="U27935" s="135"/>
    </row>
    <row r="27936" spans="20:21" ht="15" customHeight="1" x14ac:dyDescent="0.25">
      <c r="T27936" s="135"/>
      <c r="U27936" s="135"/>
    </row>
    <row r="27937" spans="20:21" ht="15" customHeight="1" x14ac:dyDescent="0.25">
      <c r="T27937" s="135"/>
      <c r="U27937" s="135"/>
    </row>
    <row r="27938" spans="20:21" ht="15" customHeight="1" x14ac:dyDescent="0.25">
      <c r="T27938" s="135"/>
      <c r="U27938" s="135"/>
    </row>
    <row r="27939" spans="20:21" ht="15" customHeight="1" x14ac:dyDescent="0.25">
      <c r="T27939" s="135"/>
      <c r="U27939" s="135"/>
    </row>
    <row r="27940" spans="20:21" ht="15" customHeight="1" x14ac:dyDescent="0.25">
      <c r="T27940" s="135"/>
      <c r="U27940" s="135"/>
    </row>
    <row r="27941" spans="20:21" ht="15" customHeight="1" x14ac:dyDescent="0.25">
      <c r="T27941" s="135"/>
      <c r="U27941" s="135"/>
    </row>
    <row r="27942" spans="20:21" ht="15" customHeight="1" x14ac:dyDescent="0.25">
      <c r="T27942" s="135"/>
      <c r="U27942" s="135"/>
    </row>
    <row r="27943" spans="20:21" ht="15" customHeight="1" x14ac:dyDescent="0.25">
      <c r="T27943" s="135"/>
      <c r="U27943" s="135"/>
    </row>
    <row r="27944" spans="20:21" ht="15" customHeight="1" x14ac:dyDescent="0.25">
      <c r="T27944" s="135"/>
      <c r="U27944" s="135"/>
    </row>
    <row r="27945" spans="20:21" ht="15" customHeight="1" x14ac:dyDescent="0.25">
      <c r="T27945" s="135"/>
      <c r="U27945" s="135"/>
    </row>
    <row r="27946" spans="20:21" ht="15" customHeight="1" x14ac:dyDescent="0.25">
      <c r="T27946" s="135"/>
      <c r="U27946" s="135"/>
    </row>
    <row r="27947" spans="20:21" ht="15" customHeight="1" x14ac:dyDescent="0.25">
      <c r="T27947" s="135"/>
      <c r="U27947" s="135"/>
    </row>
    <row r="27948" spans="20:21" ht="15" customHeight="1" x14ac:dyDescent="0.25">
      <c r="T27948" s="135"/>
      <c r="U27948" s="135"/>
    </row>
    <row r="27949" spans="20:21" ht="15" customHeight="1" x14ac:dyDescent="0.25">
      <c r="T27949" s="135"/>
      <c r="U27949" s="135"/>
    </row>
    <row r="27950" spans="20:21" ht="15" customHeight="1" x14ac:dyDescent="0.25">
      <c r="T27950" s="135"/>
      <c r="U27950" s="135"/>
    </row>
    <row r="27951" spans="20:21" ht="15" customHeight="1" x14ac:dyDescent="0.25">
      <c r="T27951" s="135"/>
      <c r="U27951" s="135"/>
    </row>
    <row r="27952" spans="20:21" ht="15" customHeight="1" x14ac:dyDescent="0.25">
      <c r="T27952" s="135"/>
      <c r="U27952" s="135"/>
    </row>
    <row r="27953" spans="20:21" ht="15" customHeight="1" x14ac:dyDescent="0.25">
      <c r="T27953" s="135"/>
      <c r="U27953" s="135"/>
    </row>
    <row r="27954" spans="20:21" ht="15" customHeight="1" x14ac:dyDescent="0.25">
      <c r="T27954" s="135"/>
      <c r="U27954" s="135"/>
    </row>
    <row r="27955" spans="20:21" ht="15" customHeight="1" x14ac:dyDescent="0.25">
      <c r="T27955" s="135"/>
      <c r="U27955" s="135"/>
    </row>
    <row r="27956" spans="20:21" ht="15" customHeight="1" x14ac:dyDescent="0.25">
      <c r="T27956" s="135"/>
      <c r="U27956" s="135"/>
    </row>
    <row r="27957" spans="20:21" ht="15" customHeight="1" x14ac:dyDescent="0.25">
      <c r="T27957" s="135"/>
      <c r="U27957" s="135"/>
    </row>
    <row r="27958" spans="20:21" ht="15" customHeight="1" x14ac:dyDescent="0.25">
      <c r="T27958" s="135"/>
      <c r="U27958" s="135"/>
    </row>
    <row r="27959" spans="20:21" ht="15" customHeight="1" x14ac:dyDescent="0.25">
      <c r="T27959" s="135"/>
      <c r="U27959" s="135"/>
    </row>
    <row r="27960" spans="20:21" ht="15" customHeight="1" x14ac:dyDescent="0.25">
      <c r="T27960" s="135"/>
      <c r="U27960" s="135"/>
    </row>
    <row r="27961" spans="20:21" ht="15" customHeight="1" x14ac:dyDescent="0.25">
      <c r="T27961" s="135"/>
      <c r="U27961" s="135"/>
    </row>
    <row r="27962" spans="20:21" ht="15" customHeight="1" x14ac:dyDescent="0.25">
      <c r="T27962" s="135"/>
      <c r="U27962" s="135"/>
    </row>
    <row r="27963" spans="20:21" ht="15" customHeight="1" x14ac:dyDescent="0.25">
      <c r="T27963" s="135"/>
      <c r="U27963" s="135"/>
    </row>
    <row r="27964" spans="20:21" ht="15" customHeight="1" x14ac:dyDescent="0.25">
      <c r="T27964" s="135"/>
      <c r="U27964" s="135"/>
    </row>
    <row r="27965" spans="20:21" ht="15" customHeight="1" x14ac:dyDescent="0.25">
      <c r="T27965" s="135"/>
      <c r="U27965" s="135"/>
    </row>
    <row r="27966" spans="20:21" ht="15" customHeight="1" x14ac:dyDescent="0.25">
      <c r="T27966" s="135"/>
      <c r="U27966" s="135"/>
    </row>
    <row r="27967" spans="20:21" ht="15" customHeight="1" x14ac:dyDescent="0.25">
      <c r="T27967" s="135"/>
      <c r="U27967" s="135"/>
    </row>
    <row r="27968" spans="20:21" ht="15" customHeight="1" x14ac:dyDescent="0.25">
      <c r="T27968" s="135"/>
      <c r="U27968" s="135"/>
    </row>
    <row r="27969" spans="20:21" ht="15" customHeight="1" x14ac:dyDescent="0.25">
      <c r="T27969" s="135"/>
      <c r="U27969" s="135"/>
    </row>
    <row r="27970" spans="20:21" ht="15" customHeight="1" x14ac:dyDescent="0.25">
      <c r="T27970" s="135"/>
      <c r="U27970" s="135"/>
    </row>
    <row r="27971" spans="20:21" ht="15" customHeight="1" x14ac:dyDescent="0.25">
      <c r="T27971" s="135"/>
      <c r="U27971" s="135"/>
    </row>
    <row r="27972" spans="20:21" ht="15" customHeight="1" x14ac:dyDescent="0.25">
      <c r="T27972" s="135"/>
      <c r="U27972" s="135"/>
    </row>
    <row r="27973" spans="20:21" ht="15" customHeight="1" x14ac:dyDescent="0.25">
      <c r="T27973" s="135"/>
      <c r="U27973" s="135"/>
    </row>
    <row r="27974" spans="20:21" ht="15" customHeight="1" x14ac:dyDescent="0.25">
      <c r="T27974" s="135"/>
      <c r="U27974" s="135"/>
    </row>
    <row r="27975" spans="20:21" ht="15" customHeight="1" x14ac:dyDescent="0.25">
      <c r="T27975" s="135"/>
      <c r="U27975" s="135"/>
    </row>
    <row r="27976" spans="20:21" ht="15" customHeight="1" x14ac:dyDescent="0.25">
      <c r="T27976" s="135"/>
      <c r="U27976" s="135"/>
    </row>
    <row r="27977" spans="20:21" ht="15" customHeight="1" x14ac:dyDescent="0.25">
      <c r="T27977" s="135"/>
      <c r="U27977" s="135"/>
    </row>
    <row r="27978" spans="20:21" ht="15" customHeight="1" x14ac:dyDescent="0.25">
      <c r="T27978" s="135"/>
      <c r="U27978" s="135"/>
    </row>
    <row r="27979" spans="20:21" ht="15" customHeight="1" x14ac:dyDescent="0.25">
      <c r="T27979" s="135"/>
      <c r="U27979" s="135"/>
    </row>
    <row r="27980" spans="20:21" ht="15" customHeight="1" x14ac:dyDescent="0.25">
      <c r="T27980" s="135"/>
      <c r="U27980" s="135"/>
    </row>
    <row r="27981" spans="20:21" ht="15" customHeight="1" x14ac:dyDescent="0.25">
      <c r="T27981" s="135"/>
      <c r="U27981" s="135"/>
    </row>
    <row r="27982" spans="20:21" ht="15" customHeight="1" x14ac:dyDescent="0.25">
      <c r="T27982" s="135"/>
      <c r="U27982" s="135"/>
    </row>
    <row r="27983" spans="20:21" ht="15" customHeight="1" x14ac:dyDescent="0.25">
      <c r="T27983" s="135"/>
      <c r="U27983" s="135"/>
    </row>
    <row r="27984" spans="20:21" ht="15" customHeight="1" x14ac:dyDescent="0.25">
      <c r="T27984" s="135"/>
      <c r="U27984" s="135"/>
    </row>
    <row r="27985" spans="20:21" ht="15" customHeight="1" x14ac:dyDescent="0.25">
      <c r="T27985" s="135"/>
      <c r="U27985" s="135"/>
    </row>
    <row r="27986" spans="20:21" ht="15" customHeight="1" x14ac:dyDescent="0.25">
      <c r="T27986" s="135"/>
      <c r="U27986" s="135"/>
    </row>
    <row r="27987" spans="20:21" ht="15" customHeight="1" x14ac:dyDescent="0.25">
      <c r="T27987" s="135"/>
      <c r="U27987" s="135"/>
    </row>
    <row r="27988" spans="20:21" ht="15" customHeight="1" x14ac:dyDescent="0.25">
      <c r="T27988" s="135"/>
      <c r="U27988" s="135"/>
    </row>
    <row r="27989" spans="20:21" ht="15" customHeight="1" x14ac:dyDescent="0.25">
      <c r="T27989" s="135"/>
      <c r="U27989" s="135"/>
    </row>
    <row r="27990" spans="20:21" ht="15" customHeight="1" x14ac:dyDescent="0.25">
      <c r="T27990" s="135"/>
      <c r="U27990" s="135"/>
    </row>
    <row r="27991" spans="20:21" ht="15" customHeight="1" x14ac:dyDescent="0.25">
      <c r="T27991" s="135"/>
      <c r="U27991" s="135"/>
    </row>
    <row r="27992" spans="20:21" ht="15" customHeight="1" x14ac:dyDescent="0.25">
      <c r="T27992" s="135"/>
      <c r="U27992" s="135"/>
    </row>
    <row r="27993" spans="20:21" ht="15" customHeight="1" x14ac:dyDescent="0.25">
      <c r="T27993" s="135"/>
      <c r="U27993" s="135"/>
    </row>
    <row r="27994" spans="20:21" ht="15" customHeight="1" x14ac:dyDescent="0.25">
      <c r="T27994" s="135"/>
      <c r="U27994" s="135"/>
    </row>
    <row r="27995" spans="20:21" ht="15" customHeight="1" x14ac:dyDescent="0.25">
      <c r="T27995" s="135"/>
      <c r="U27995" s="135"/>
    </row>
    <row r="27996" spans="20:21" ht="15" customHeight="1" x14ac:dyDescent="0.25">
      <c r="T27996" s="135"/>
      <c r="U27996" s="135"/>
    </row>
    <row r="27997" spans="20:21" ht="15" customHeight="1" x14ac:dyDescent="0.25">
      <c r="T27997" s="135"/>
      <c r="U27997" s="135"/>
    </row>
    <row r="27998" spans="20:21" ht="15" customHeight="1" x14ac:dyDescent="0.25">
      <c r="T27998" s="135"/>
      <c r="U27998" s="135"/>
    </row>
    <row r="27999" spans="20:21" ht="15" customHeight="1" x14ac:dyDescent="0.25">
      <c r="T27999" s="135"/>
      <c r="U27999" s="135"/>
    </row>
    <row r="28000" spans="20:21" ht="15" customHeight="1" x14ac:dyDescent="0.25">
      <c r="T28000" s="135"/>
      <c r="U28000" s="135"/>
    </row>
    <row r="28001" spans="20:21" ht="15" customHeight="1" x14ac:dyDescent="0.25">
      <c r="T28001" s="135"/>
      <c r="U28001" s="135"/>
    </row>
    <row r="28002" spans="20:21" ht="15" customHeight="1" x14ac:dyDescent="0.25">
      <c r="T28002" s="135"/>
      <c r="U28002" s="135"/>
    </row>
    <row r="28003" spans="20:21" ht="15" customHeight="1" x14ac:dyDescent="0.25">
      <c r="T28003" s="135"/>
      <c r="U28003" s="135"/>
    </row>
    <row r="28004" spans="20:21" ht="15" customHeight="1" x14ac:dyDescent="0.25">
      <c r="T28004" s="135"/>
      <c r="U28004" s="135"/>
    </row>
    <row r="28005" spans="20:21" ht="15" customHeight="1" x14ac:dyDescent="0.25">
      <c r="T28005" s="135"/>
      <c r="U28005" s="135"/>
    </row>
    <row r="28006" spans="20:21" ht="15" customHeight="1" x14ac:dyDescent="0.25">
      <c r="T28006" s="135"/>
      <c r="U28006" s="135"/>
    </row>
    <row r="28007" spans="20:21" ht="15" customHeight="1" x14ac:dyDescent="0.25">
      <c r="T28007" s="135"/>
      <c r="U28007" s="135"/>
    </row>
    <row r="28008" spans="20:21" ht="15" customHeight="1" x14ac:dyDescent="0.25">
      <c r="T28008" s="135"/>
      <c r="U28008" s="135"/>
    </row>
    <row r="28009" spans="20:21" ht="15" customHeight="1" x14ac:dyDescent="0.25">
      <c r="T28009" s="135"/>
      <c r="U28009" s="135"/>
    </row>
    <row r="28010" spans="20:21" ht="15" customHeight="1" x14ac:dyDescent="0.25">
      <c r="T28010" s="135"/>
      <c r="U28010" s="135"/>
    </row>
    <row r="28011" spans="20:21" ht="15" customHeight="1" x14ac:dyDescent="0.25">
      <c r="T28011" s="135"/>
      <c r="U28011" s="135"/>
    </row>
    <row r="28012" spans="20:21" ht="15" customHeight="1" x14ac:dyDescent="0.25">
      <c r="T28012" s="135"/>
      <c r="U28012" s="135"/>
    </row>
    <row r="28013" spans="20:21" ht="15" customHeight="1" x14ac:dyDescent="0.25">
      <c r="T28013" s="135"/>
      <c r="U28013" s="135"/>
    </row>
    <row r="28014" spans="20:21" ht="15" customHeight="1" x14ac:dyDescent="0.25">
      <c r="T28014" s="135"/>
      <c r="U28014" s="135"/>
    </row>
    <row r="28015" spans="20:21" ht="15" customHeight="1" x14ac:dyDescent="0.25">
      <c r="T28015" s="135"/>
      <c r="U28015" s="135"/>
    </row>
    <row r="28016" spans="20:21" ht="15" customHeight="1" x14ac:dyDescent="0.25">
      <c r="T28016" s="135"/>
      <c r="U28016" s="135"/>
    </row>
    <row r="28017" spans="20:21" ht="15" customHeight="1" x14ac:dyDescent="0.25">
      <c r="T28017" s="135"/>
      <c r="U28017" s="135"/>
    </row>
    <row r="28018" spans="20:21" ht="15" customHeight="1" x14ac:dyDescent="0.25">
      <c r="T28018" s="135"/>
      <c r="U28018" s="135"/>
    </row>
    <row r="28019" spans="20:21" ht="15" customHeight="1" x14ac:dyDescent="0.25">
      <c r="T28019" s="135"/>
      <c r="U28019" s="135"/>
    </row>
    <row r="28020" spans="20:21" ht="15" customHeight="1" x14ac:dyDescent="0.25">
      <c r="T28020" s="135"/>
      <c r="U28020" s="135"/>
    </row>
    <row r="28021" spans="20:21" ht="15" customHeight="1" x14ac:dyDescent="0.25">
      <c r="T28021" s="135"/>
      <c r="U28021" s="135"/>
    </row>
    <row r="28022" spans="20:21" ht="15" customHeight="1" x14ac:dyDescent="0.25">
      <c r="T28022" s="135"/>
      <c r="U28022" s="135"/>
    </row>
    <row r="28023" spans="20:21" ht="15" customHeight="1" x14ac:dyDescent="0.25">
      <c r="T28023" s="135"/>
      <c r="U28023" s="135"/>
    </row>
    <row r="28024" spans="20:21" ht="15" customHeight="1" x14ac:dyDescent="0.25">
      <c r="T28024" s="135"/>
      <c r="U28024" s="135"/>
    </row>
    <row r="28025" spans="20:21" ht="15" customHeight="1" x14ac:dyDescent="0.25">
      <c r="T28025" s="135"/>
      <c r="U28025" s="135"/>
    </row>
    <row r="28026" spans="20:21" ht="15" customHeight="1" x14ac:dyDescent="0.25">
      <c r="T28026" s="135"/>
      <c r="U28026" s="135"/>
    </row>
    <row r="28027" spans="20:21" ht="15" customHeight="1" x14ac:dyDescent="0.25">
      <c r="T28027" s="135"/>
      <c r="U28027" s="135"/>
    </row>
    <row r="28028" spans="20:21" ht="15" customHeight="1" x14ac:dyDescent="0.25">
      <c r="T28028" s="135"/>
      <c r="U28028" s="135"/>
    </row>
    <row r="28029" spans="20:21" ht="15" customHeight="1" x14ac:dyDescent="0.25">
      <c r="T28029" s="135"/>
      <c r="U28029" s="135"/>
    </row>
    <row r="28030" spans="20:21" ht="15" customHeight="1" x14ac:dyDescent="0.25">
      <c r="T28030" s="135"/>
      <c r="U28030" s="135"/>
    </row>
    <row r="28031" spans="20:21" ht="15" customHeight="1" x14ac:dyDescent="0.25">
      <c r="T28031" s="135"/>
      <c r="U28031" s="135"/>
    </row>
    <row r="28032" spans="20:21" ht="15" customHeight="1" x14ac:dyDescent="0.25">
      <c r="T28032" s="135"/>
      <c r="U28032" s="135"/>
    </row>
    <row r="28033" spans="20:21" ht="15" customHeight="1" x14ac:dyDescent="0.25">
      <c r="T28033" s="135"/>
      <c r="U28033" s="135"/>
    </row>
    <row r="28034" spans="20:21" ht="15" customHeight="1" x14ac:dyDescent="0.25">
      <c r="T28034" s="135"/>
      <c r="U28034" s="135"/>
    </row>
    <row r="28035" spans="20:21" ht="15" customHeight="1" x14ac:dyDescent="0.25">
      <c r="T28035" s="135"/>
      <c r="U28035" s="135"/>
    </row>
    <row r="28036" spans="20:21" ht="15" customHeight="1" x14ac:dyDescent="0.25">
      <c r="T28036" s="135"/>
      <c r="U28036" s="135"/>
    </row>
    <row r="28037" spans="20:21" ht="15" customHeight="1" x14ac:dyDescent="0.25">
      <c r="T28037" s="135"/>
      <c r="U28037" s="135"/>
    </row>
    <row r="28038" spans="20:21" ht="15" customHeight="1" x14ac:dyDescent="0.25">
      <c r="T28038" s="135"/>
      <c r="U28038" s="135"/>
    </row>
    <row r="28039" spans="20:21" ht="15" customHeight="1" x14ac:dyDescent="0.25">
      <c r="T28039" s="135"/>
      <c r="U28039" s="135"/>
    </row>
    <row r="28040" spans="20:21" ht="15" customHeight="1" x14ac:dyDescent="0.25">
      <c r="T28040" s="135"/>
      <c r="U28040" s="135"/>
    </row>
    <row r="28041" spans="20:21" ht="15" customHeight="1" x14ac:dyDescent="0.25">
      <c r="T28041" s="135"/>
      <c r="U28041" s="135"/>
    </row>
    <row r="28042" spans="20:21" ht="15" customHeight="1" x14ac:dyDescent="0.25">
      <c r="T28042" s="135"/>
      <c r="U28042" s="135"/>
    </row>
    <row r="28043" spans="20:21" ht="15" customHeight="1" x14ac:dyDescent="0.25">
      <c r="T28043" s="135"/>
      <c r="U28043" s="135"/>
    </row>
    <row r="28044" spans="20:21" ht="15" customHeight="1" x14ac:dyDescent="0.25">
      <c r="T28044" s="135"/>
      <c r="U28044" s="135"/>
    </row>
    <row r="28045" spans="20:21" ht="15" customHeight="1" x14ac:dyDescent="0.25">
      <c r="T28045" s="135"/>
      <c r="U28045" s="135"/>
    </row>
    <row r="28046" spans="20:21" ht="15" customHeight="1" x14ac:dyDescent="0.25">
      <c r="T28046" s="135"/>
      <c r="U28046" s="135"/>
    </row>
    <row r="28047" spans="20:21" ht="15" customHeight="1" x14ac:dyDescent="0.25">
      <c r="T28047" s="135"/>
      <c r="U28047" s="135"/>
    </row>
    <row r="28048" spans="20:21" ht="15" customHeight="1" x14ac:dyDescent="0.25">
      <c r="T28048" s="135"/>
      <c r="U28048" s="135"/>
    </row>
    <row r="28049" spans="20:21" ht="15" customHeight="1" x14ac:dyDescent="0.25">
      <c r="T28049" s="135"/>
      <c r="U28049" s="135"/>
    </row>
    <row r="28050" spans="20:21" ht="15" customHeight="1" x14ac:dyDescent="0.25">
      <c r="T28050" s="135"/>
      <c r="U28050" s="135"/>
    </row>
    <row r="28051" spans="20:21" ht="15" customHeight="1" x14ac:dyDescent="0.25">
      <c r="T28051" s="135"/>
      <c r="U28051" s="135"/>
    </row>
    <row r="28052" spans="20:21" ht="15" customHeight="1" x14ac:dyDescent="0.25">
      <c r="T28052" s="135"/>
      <c r="U28052" s="135"/>
    </row>
    <row r="28053" spans="20:21" ht="15" customHeight="1" x14ac:dyDescent="0.25">
      <c r="T28053" s="135"/>
      <c r="U28053" s="135"/>
    </row>
    <row r="28054" spans="20:21" ht="15" customHeight="1" x14ac:dyDescent="0.25">
      <c r="T28054" s="135"/>
      <c r="U28054" s="135"/>
    </row>
    <row r="28055" spans="20:21" ht="15" customHeight="1" x14ac:dyDescent="0.25">
      <c r="T28055" s="135"/>
      <c r="U28055" s="135"/>
    </row>
    <row r="28056" spans="20:21" ht="15" customHeight="1" x14ac:dyDescent="0.25">
      <c r="T28056" s="135"/>
      <c r="U28056" s="135"/>
    </row>
    <row r="28057" spans="20:21" ht="15" customHeight="1" x14ac:dyDescent="0.25">
      <c r="T28057" s="135"/>
      <c r="U28057" s="135"/>
    </row>
    <row r="28058" spans="20:21" ht="15" customHeight="1" x14ac:dyDescent="0.25">
      <c r="T28058" s="135"/>
      <c r="U28058" s="135"/>
    </row>
    <row r="28059" spans="20:21" ht="15" customHeight="1" x14ac:dyDescent="0.25">
      <c r="T28059" s="135"/>
      <c r="U28059" s="135"/>
    </row>
    <row r="28060" spans="20:21" ht="15" customHeight="1" x14ac:dyDescent="0.25">
      <c r="T28060" s="135"/>
      <c r="U28060" s="135"/>
    </row>
    <row r="28061" spans="20:21" ht="15" customHeight="1" x14ac:dyDescent="0.25">
      <c r="T28061" s="135"/>
      <c r="U28061" s="135"/>
    </row>
    <row r="28062" spans="20:21" ht="15" customHeight="1" x14ac:dyDescent="0.25">
      <c r="T28062" s="135"/>
      <c r="U28062" s="135"/>
    </row>
    <row r="28063" spans="20:21" ht="15" customHeight="1" x14ac:dyDescent="0.25">
      <c r="T28063" s="135"/>
      <c r="U28063" s="135"/>
    </row>
    <row r="28064" spans="20:21" ht="15" customHeight="1" x14ac:dyDescent="0.25">
      <c r="T28064" s="135"/>
      <c r="U28064" s="135"/>
    </row>
    <row r="28065" spans="20:21" ht="15" customHeight="1" x14ac:dyDescent="0.25">
      <c r="T28065" s="135"/>
      <c r="U28065" s="135"/>
    </row>
    <row r="28066" spans="20:21" ht="15" customHeight="1" x14ac:dyDescent="0.25">
      <c r="T28066" s="135"/>
      <c r="U28066" s="135"/>
    </row>
    <row r="28067" spans="20:21" ht="15" customHeight="1" x14ac:dyDescent="0.25">
      <c r="T28067" s="135"/>
      <c r="U28067" s="135"/>
    </row>
    <row r="28068" spans="20:21" ht="15" customHeight="1" x14ac:dyDescent="0.25">
      <c r="T28068" s="135"/>
      <c r="U28068" s="135"/>
    </row>
    <row r="28069" spans="20:21" ht="15" customHeight="1" x14ac:dyDescent="0.25">
      <c r="T28069" s="135"/>
      <c r="U28069" s="135"/>
    </row>
    <row r="28070" spans="20:21" ht="15" customHeight="1" x14ac:dyDescent="0.25">
      <c r="T28070" s="135"/>
      <c r="U28070" s="135"/>
    </row>
    <row r="28071" spans="20:21" ht="15" customHeight="1" x14ac:dyDescent="0.25">
      <c r="T28071" s="135"/>
      <c r="U28071" s="135"/>
    </row>
    <row r="28072" spans="20:21" ht="15" customHeight="1" x14ac:dyDescent="0.25">
      <c r="T28072" s="135"/>
      <c r="U28072" s="135"/>
    </row>
    <row r="28073" spans="20:21" ht="15" customHeight="1" x14ac:dyDescent="0.25">
      <c r="T28073" s="135"/>
      <c r="U28073" s="135"/>
    </row>
    <row r="28074" spans="20:21" ht="15" customHeight="1" x14ac:dyDescent="0.25">
      <c r="T28074" s="135"/>
      <c r="U28074" s="135"/>
    </row>
    <row r="28075" spans="20:21" ht="15" customHeight="1" x14ac:dyDescent="0.25">
      <c r="T28075" s="135"/>
      <c r="U28075" s="135"/>
    </row>
    <row r="28076" spans="20:21" ht="15" customHeight="1" x14ac:dyDescent="0.25">
      <c r="T28076" s="135"/>
      <c r="U28076" s="135"/>
    </row>
    <row r="28077" spans="20:21" ht="15" customHeight="1" x14ac:dyDescent="0.25">
      <c r="T28077" s="135"/>
      <c r="U28077" s="135"/>
    </row>
    <row r="28078" spans="20:21" ht="15" customHeight="1" x14ac:dyDescent="0.25">
      <c r="T28078" s="135"/>
      <c r="U28078" s="135"/>
    </row>
    <row r="28079" spans="20:21" ht="15" customHeight="1" x14ac:dyDescent="0.25">
      <c r="T28079" s="135"/>
      <c r="U28079" s="135"/>
    </row>
    <row r="28080" spans="20:21" ht="15" customHeight="1" x14ac:dyDescent="0.25">
      <c r="T28080" s="135"/>
      <c r="U28080" s="135"/>
    </row>
    <row r="28081" spans="20:21" ht="15" customHeight="1" x14ac:dyDescent="0.25">
      <c r="T28081" s="135"/>
      <c r="U28081" s="135"/>
    </row>
    <row r="28082" spans="20:21" ht="15" customHeight="1" x14ac:dyDescent="0.25">
      <c r="T28082" s="135"/>
      <c r="U28082" s="135"/>
    </row>
    <row r="28083" spans="20:21" ht="15" customHeight="1" x14ac:dyDescent="0.25">
      <c r="T28083" s="135"/>
      <c r="U28083" s="135"/>
    </row>
    <row r="28084" spans="20:21" ht="15" customHeight="1" x14ac:dyDescent="0.25">
      <c r="T28084" s="135"/>
      <c r="U28084" s="135"/>
    </row>
    <row r="28085" spans="20:21" ht="15" customHeight="1" x14ac:dyDescent="0.25">
      <c r="T28085" s="135"/>
      <c r="U28085" s="135"/>
    </row>
    <row r="28086" spans="20:21" ht="15" customHeight="1" x14ac:dyDescent="0.25">
      <c r="T28086" s="135"/>
      <c r="U28086" s="135"/>
    </row>
    <row r="28087" spans="20:21" ht="15" customHeight="1" x14ac:dyDescent="0.25">
      <c r="T28087" s="135"/>
      <c r="U28087" s="135"/>
    </row>
    <row r="28088" spans="20:21" ht="15" customHeight="1" x14ac:dyDescent="0.25">
      <c r="T28088" s="135"/>
      <c r="U28088" s="135"/>
    </row>
    <row r="28089" spans="20:21" ht="15" customHeight="1" x14ac:dyDescent="0.25">
      <c r="T28089" s="135"/>
      <c r="U28089" s="135"/>
    </row>
    <row r="28090" spans="20:21" ht="15" customHeight="1" x14ac:dyDescent="0.25">
      <c r="T28090" s="135"/>
      <c r="U28090" s="135"/>
    </row>
    <row r="28091" spans="20:21" ht="15" customHeight="1" x14ac:dyDescent="0.25">
      <c r="T28091" s="135"/>
      <c r="U28091" s="135"/>
    </row>
    <row r="28092" spans="20:21" ht="15" customHeight="1" x14ac:dyDescent="0.25">
      <c r="T28092" s="135"/>
      <c r="U28092" s="135"/>
    </row>
    <row r="28093" spans="20:21" ht="15" customHeight="1" x14ac:dyDescent="0.25">
      <c r="T28093" s="135"/>
      <c r="U28093" s="135"/>
    </row>
    <row r="28094" spans="20:21" ht="15" customHeight="1" x14ac:dyDescent="0.25">
      <c r="T28094" s="135"/>
      <c r="U28094" s="135"/>
    </row>
    <row r="28095" spans="20:21" ht="15" customHeight="1" x14ac:dyDescent="0.25">
      <c r="T28095" s="135"/>
      <c r="U28095" s="135"/>
    </row>
    <row r="28096" spans="20:21" ht="15" customHeight="1" x14ac:dyDescent="0.25">
      <c r="T28096" s="135"/>
      <c r="U28096" s="135"/>
    </row>
    <row r="28097" spans="20:21" ht="15" customHeight="1" x14ac:dyDescent="0.25">
      <c r="T28097" s="135"/>
      <c r="U28097" s="135"/>
    </row>
    <row r="28098" spans="20:21" ht="15" customHeight="1" x14ac:dyDescent="0.25">
      <c r="T28098" s="135"/>
      <c r="U28098" s="135"/>
    </row>
    <row r="28099" spans="20:21" ht="15" customHeight="1" x14ac:dyDescent="0.25">
      <c r="T28099" s="135"/>
      <c r="U28099" s="135"/>
    </row>
    <row r="28100" spans="20:21" ht="15" customHeight="1" x14ac:dyDescent="0.25">
      <c r="T28100" s="135"/>
      <c r="U28100" s="135"/>
    </row>
    <row r="28101" spans="20:21" ht="15" customHeight="1" x14ac:dyDescent="0.25">
      <c r="T28101" s="135"/>
      <c r="U28101" s="135"/>
    </row>
    <row r="28102" spans="20:21" ht="15" customHeight="1" x14ac:dyDescent="0.25">
      <c r="T28102" s="135"/>
      <c r="U28102" s="135"/>
    </row>
    <row r="28103" spans="20:21" ht="15" customHeight="1" x14ac:dyDescent="0.25">
      <c r="T28103" s="135"/>
      <c r="U28103" s="135"/>
    </row>
    <row r="28104" spans="20:21" ht="15" customHeight="1" x14ac:dyDescent="0.25">
      <c r="T28104" s="135"/>
      <c r="U28104" s="135"/>
    </row>
    <row r="28105" spans="20:21" ht="15" customHeight="1" x14ac:dyDescent="0.25">
      <c r="T28105" s="135"/>
      <c r="U28105" s="135"/>
    </row>
    <row r="28106" spans="20:21" ht="15" customHeight="1" x14ac:dyDescent="0.25">
      <c r="T28106" s="135"/>
      <c r="U28106" s="135"/>
    </row>
    <row r="28107" spans="20:21" ht="15" customHeight="1" x14ac:dyDescent="0.25">
      <c r="T28107" s="135"/>
      <c r="U28107" s="135"/>
    </row>
    <row r="28108" spans="20:21" ht="15" customHeight="1" x14ac:dyDescent="0.25">
      <c r="T28108" s="135"/>
      <c r="U28108" s="135"/>
    </row>
    <row r="28109" spans="20:21" ht="15" customHeight="1" x14ac:dyDescent="0.25">
      <c r="T28109" s="135"/>
      <c r="U28109" s="135"/>
    </row>
    <row r="28110" spans="20:21" ht="15" customHeight="1" x14ac:dyDescent="0.25">
      <c r="T28110" s="135"/>
      <c r="U28110" s="135"/>
    </row>
    <row r="28111" spans="20:21" ht="15" customHeight="1" x14ac:dyDescent="0.25">
      <c r="T28111" s="135"/>
      <c r="U28111" s="135"/>
    </row>
    <row r="28112" spans="20:21" ht="15" customHeight="1" x14ac:dyDescent="0.25">
      <c r="T28112" s="135"/>
      <c r="U28112" s="135"/>
    </row>
    <row r="28113" spans="20:21" ht="15" customHeight="1" x14ac:dyDescent="0.25">
      <c r="T28113" s="135"/>
      <c r="U28113" s="135"/>
    </row>
    <row r="28114" spans="20:21" ht="15" customHeight="1" x14ac:dyDescent="0.25">
      <c r="T28114" s="135"/>
      <c r="U28114" s="135"/>
    </row>
    <row r="28115" spans="20:21" ht="15" customHeight="1" x14ac:dyDescent="0.25">
      <c r="T28115" s="135"/>
      <c r="U28115" s="135"/>
    </row>
    <row r="28116" spans="20:21" ht="15" customHeight="1" x14ac:dyDescent="0.25">
      <c r="T28116" s="135"/>
      <c r="U28116" s="135"/>
    </row>
    <row r="28117" spans="20:21" ht="15" customHeight="1" x14ac:dyDescent="0.25">
      <c r="T28117" s="135"/>
      <c r="U28117" s="135"/>
    </row>
    <row r="28118" spans="20:21" ht="15" customHeight="1" x14ac:dyDescent="0.25">
      <c r="T28118" s="135"/>
      <c r="U28118" s="135"/>
    </row>
    <row r="28119" spans="20:21" ht="15" customHeight="1" x14ac:dyDescent="0.25">
      <c r="T28119" s="135"/>
      <c r="U28119" s="135"/>
    </row>
    <row r="28120" spans="20:21" ht="15" customHeight="1" x14ac:dyDescent="0.25">
      <c r="T28120" s="135"/>
      <c r="U28120" s="135"/>
    </row>
    <row r="28121" spans="20:21" ht="15" customHeight="1" x14ac:dyDescent="0.25">
      <c r="T28121" s="135"/>
      <c r="U28121" s="135"/>
    </row>
    <row r="28122" spans="20:21" ht="15" customHeight="1" x14ac:dyDescent="0.25">
      <c r="T28122" s="135"/>
      <c r="U28122" s="135"/>
    </row>
    <row r="28123" spans="20:21" ht="15" customHeight="1" x14ac:dyDescent="0.25">
      <c r="T28123" s="135"/>
      <c r="U28123" s="135"/>
    </row>
    <row r="28124" spans="20:21" ht="15" customHeight="1" x14ac:dyDescent="0.25">
      <c r="T28124" s="135"/>
      <c r="U28124" s="135"/>
    </row>
    <row r="28125" spans="20:21" ht="15" customHeight="1" x14ac:dyDescent="0.25">
      <c r="T28125" s="135"/>
      <c r="U28125" s="135"/>
    </row>
    <row r="28126" spans="20:21" ht="15" customHeight="1" x14ac:dyDescent="0.25">
      <c r="T28126" s="135"/>
      <c r="U28126" s="135"/>
    </row>
    <row r="28127" spans="20:21" ht="15" customHeight="1" x14ac:dyDescent="0.25">
      <c r="T28127" s="135"/>
      <c r="U28127" s="135"/>
    </row>
    <row r="28128" spans="20:21" ht="15" customHeight="1" x14ac:dyDescent="0.25">
      <c r="T28128" s="135"/>
      <c r="U28128" s="135"/>
    </row>
    <row r="28129" spans="20:21" ht="15" customHeight="1" x14ac:dyDescent="0.25">
      <c r="T28129" s="135"/>
      <c r="U28129" s="135"/>
    </row>
    <row r="28130" spans="20:21" ht="15" customHeight="1" x14ac:dyDescent="0.25">
      <c r="T28130" s="135"/>
      <c r="U28130" s="135"/>
    </row>
    <row r="28131" spans="20:21" ht="15" customHeight="1" x14ac:dyDescent="0.25">
      <c r="T28131" s="135"/>
      <c r="U28131" s="135"/>
    </row>
    <row r="28132" spans="20:21" ht="15" customHeight="1" x14ac:dyDescent="0.25">
      <c r="T28132" s="135"/>
      <c r="U28132" s="135"/>
    </row>
    <row r="28133" spans="20:21" ht="15" customHeight="1" x14ac:dyDescent="0.25">
      <c r="T28133" s="135"/>
      <c r="U28133" s="135"/>
    </row>
    <row r="28134" spans="20:21" ht="15" customHeight="1" x14ac:dyDescent="0.25">
      <c r="T28134" s="135"/>
      <c r="U28134" s="135"/>
    </row>
    <row r="28135" spans="20:21" ht="15" customHeight="1" x14ac:dyDescent="0.25">
      <c r="T28135" s="135"/>
      <c r="U28135" s="135"/>
    </row>
    <row r="28136" spans="20:21" ht="15" customHeight="1" x14ac:dyDescent="0.25">
      <c r="T28136" s="135"/>
      <c r="U28136" s="135"/>
    </row>
    <row r="28137" spans="20:21" ht="15" customHeight="1" x14ac:dyDescent="0.25">
      <c r="T28137" s="135"/>
      <c r="U28137" s="135"/>
    </row>
    <row r="28138" spans="20:21" ht="15" customHeight="1" x14ac:dyDescent="0.25">
      <c r="T28138" s="135"/>
      <c r="U28138" s="135"/>
    </row>
    <row r="28139" spans="20:21" ht="15" customHeight="1" x14ac:dyDescent="0.25">
      <c r="T28139" s="135"/>
      <c r="U28139" s="135"/>
    </row>
    <row r="28140" spans="20:21" ht="15" customHeight="1" x14ac:dyDescent="0.25">
      <c r="T28140" s="135"/>
      <c r="U28140" s="135"/>
    </row>
    <row r="28141" spans="20:21" ht="15" customHeight="1" x14ac:dyDescent="0.25">
      <c r="T28141" s="135"/>
      <c r="U28141" s="135"/>
    </row>
    <row r="28142" spans="20:21" ht="15" customHeight="1" x14ac:dyDescent="0.25">
      <c r="T28142" s="135"/>
      <c r="U28142" s="135"/>
    </row>
    <row r="28143" spans="20:21" ht="15" customHeight="1" x14ac:dyDescent="0.25">
      <c r="T28143" s="135"/>
      <c r="U28143" s="135"/>
    </row>
    <row r="28144" spans="20:21" ht="15" customHeight="1" x14ac:dyDescent="0.25">
      <c r="T28144" s="135"/>
      <c r="U28144" s="135"/>
    </row>
    <row r="28145" spans="20:21" ht="15" customHeight="1" x14ac:dyDescent="0.25">
      <c r="T28145" s="135"/>
      <c r="U28145" s="135"/>
    </row>
    <row r="28146" spans="20:21" ht="15" customHeight="1" x14ac:dyDescent="0.25">
      <c r="T28146" s="135"/>
      <c r="U28146" s="135"/>
    </row>
    <row r="28147" spans="20:21" ht="15" customHeight="1" x14ac:dyDescent="0.25">
      <c r="T28147" s="135"/>
      <c r="U28147" s="135"/>
    </row>
    <row r="28148" spans="20:21" ht="15" customHeight="1" x14ac:dyDescent="0.25">
      <c r="T28148" s="135"/>
      <c r="U28148" s="135"/>
    </row>
    <row r="28149" spans="20:21" ht="15" customHeight="1" x14ac:dyDescent="0.25">
      <c r="T28149" s="135"/>
      <c r="U28149" s="135"/>
    </row>
    <row r="28150" spans="20:21" ht="15" customHeight="1" x14ac:dyDescent="0.25">
      <c r="T28150" s="135"/>
      <c r="U28150" s="135"/>
    </row>
    <row r="28151" spans="20:21" ht="15" customHeight="1" x14ac:dyDescent="0.25">
      <c r="T28151" s="135"/>
      <c r="U28151" s="135"/>
    </row>
    <row r="28152" spans="20:21" ht="15" customHeight="1" x14ac:dyDescent="0.25">
      <c r="T28152" s="135"/>
      <c r="U28152" s="135"/>
    </row>
    <row r="28153" spans="20:21" ht="15" customHeight="1" x14ac:dyDescent="0.25">
      <c r="T28153" s="135"/>
      <c r="U28153" s="135"/>
    </row>
    <row r="28154" spans="20:21" ht="15" customHeight="1" x14ac:dyDescent="0.25">
      <c r="T28154" s="135"/>
      <c r="U28154" s="135"/>
    </row>
    <row r="28155" spans="20:21" ht="15" customHeight="1" x14ac:dyDescent="0.25">
      <c r="T28155" s="135"/>
      <c r="U28155" s="135"/>
    </row>
    <row r="28156" spans="20:21" ht="15" customHeight="1" x14ac:dyDescent="0.25">
      <c r="T28156" s="135"/>
      <c r="U28156" s="135"/>
    </row>
    <row r="28157" spans="20:21" ht="15" customHeight="1" x14ac:dyDescent="0.25">
      <c r="T28157" s="135"/>
      <c r="U28157" s="135"/>
    </row>
    <row r="28158" spans="20:21" ht="15" customHeight="1" x14ac:dyDescent="0.25">
      <c r="T28158" s="135"/>
      <c r="U28158" s="135"/>
    </row>
    <row r="28159" spans="20:21" ht="15" customHeight="1" x14ac:dyDescent="0.25">
      <c r="T28159" s="135"/>
      <c r="U28159" s="135"/>
    </row>
    <row r="28160" spans="20:21" ht="15" customHeight="1" x14ac:dyDescent="0.25">
      <c r="T28160" s="135"/>
      <c r="U28160" s="135"/>
    </row>
    <row r="28161" spans="20:21" ht="15" customHeight="1" x14ac:dyDescent="0.25">
      <c r="T28161" s="135"/>
      <c r="U28161" s="135"/>
    </row>
    <row r="28162" spans="20:21" ht="15" customHeight="1" x14ac:dyDescent="0.25">
      <c r="T28162" s="135"/>
      <c r="U28162" s="135"/>
    </row>
    <row r="28163" spans="20:21" ht="15" customHeight="1" x14ac:dyDescent="0.25">
      <c r="T28163" s="135"/>
      <c r="U28163" s="135"/>
    </row>
    <row r="28164" spans="20:21" ht="15" customHeight="1" x14ac:dyDescent="0.25">
      <c r="T28164" s="135"/>
      <c r="U28164" s="135"/>
    </row>
    <row r="28165" spans="20:21" ht="15" customHeight="1" x14ac:dyDescent="0.25">
      <c r="T28165" s="135"/>
      <c r="U28165" s="135"/>
    </row>
    <row r="28166" spans="20:21" ht="15" customHeight="1" x14ac:dyDescent="0.25">
      <c r="T28166" s="135"/>
      <c r="U28166" s="135"/>
    </row>
    <row r="28167" spans="20:21" ht="15" customHeight="1" x14ac:dyDescent="0.25">
      <c r="T28167" s="135"/>
      <c r="U28167" s="135"/>
    </row>
    <row r="28168" spans="20:21" ht="15" customHeight="1" x14ac:dyDescent="0.25">
      <c r="T28168" s="135"/>
      <c r="U28168" s="135"/>
    </row>
    <row r="28169" spans="20:21" ht="15" customHeight="1" x14ac:dyDescent="0.25">
      <c r="T28169" s="135"/>
      <c r="U28169" s="135"/>
    </row>
    <row r="28170" spans="20:21" ht="15" customHeight="1" x14ac:dyDescent="0.25">
      <c r="T28170" s="135"/>
      <c r="U28170" s="135"/>
    </row>
    <row r="28171" spans="20:21" ht="15" customHeight="1" x14ac:dyDescent="0.25">
      <c r="T28171" s="135"/>
      <c r="U28171" s="135"/>
    </row>
    <row r="28172" spans="20:21" ht="15" customHeight="1" x14ac:dyDescent="0.25">
      <c r="T28172" s="135"/>
      <c r="U28172" s="135"/>
    </row>
    <row r="28173" spans="20:21" ht="15" customHeight="1" x14ac:dyDescent="0.25">
      <c r="T28173" s="135"/>
      <c r="U28173" s="135"/>
    </row>
    <row r="28174" spans="20:21" ht="15" customHeight="1" x14ac:dyDescent="0.25">
      <c r="T28174" s="135"/>
      <c r="U28174" s="135"/>
    </row>
    <row r="28175" spans="20:21" ht="15" customHeight="1" x14ac:dyDescent="0.25">
      <c r="T28175" s="135"/>
      <c r="U28175" s="135"/>
    </row>
    <row r="28176" spans="20:21" ht="15" customHeight="1" x14ac:dyDescent="0.25">
      <c r="T28176" s="135"/>
      <c r="U28176" s="135"/>
    </row>
    <row r="28177" spans="20:21" ht="15" customHeight="1" x14ac:dyDescent="0.25">
      <c r="T28177" s="135"/>
      <c r="U28177" s="135"/>
    </row>
    <row r="28178" spans="20:21" ht="15" customHeight="1" x14ac:dyDescent="0.25">
      <c r="T28178" s="135"/>
      <c r="U28178" s="135"/>
    </row>
    <row r="28179" spans="20:21" ht="15" customHeight="1" x14ac:dyDescent="0.25">
      <c r="T28179" s="135"/>
      <c r="U28179" s="135"/>
    </row>
    <row r="28180" spans="20:21" ht="15" customHeight="1" x14ac:dyDescent="0.25">
      <c r="T28180" s="135"/>
      <c r="U28180" s="135"/>
    </row>
    <row r="28181" spans="20:21" ht="15" customHeight="1" x14ac:dyDescent="0.25">
      <c r="T28181" s="135"/>
      <c r="U28181" s="135"/>
    </row>
    <row r="28182" spans="20:21" ht="15" customHeight="1" x14ac:dyDescent="0.25">
      <c r="T28182" s="135"/>
      <c r="U28182" s="135"/>
    </row>
    <row r="28183" spans="20:21" ht="15" customHeight="1" x14ac:dyDescent="0.25">
      <c r="T28183" s="135"/>
      <c r="U28183" s="135"/>
    </row>
    <row r="28184" spans="20:21" ht="15" customHeight="1" x14ac:dyDescent="0.25">
      <c r="T28184" s="135"/>
      <c r="U28184" s="135"/>
    </row>
    <row r="28185" spans="20:21" ht="15" customHeight="1" x14ac:dyDescent="0.25">
      <c r="T28185" s="135"/>
      <c r="U28185" s="135"/>
    </row>
    <row r="28186" spans="20:21" ht="15" customHeight="1" x14ac:dyDescent="0.25">
      <c r="T28186" s="135"/>
      <c r="U28186" s="135"/>
    </row>
    <row r="28187" spans="20:21" ht="15" customHeight="1" x14ac:dyDescent="0.25">
      <c r="T28187" s="135"/>
      <c r="U28187" s="135"/>
    </row>
    <row r="28188" spans="20:21" ht="15" customHeight="1" x14ac:dyDescent="0.25">
      <c r="T28188" s="135"/>
      <c r="U28188" s="135"/>
    </row>
    <row r="28189" spans="20:21" ht="15" customHeight="1" x14ac:dyDescent="0.25">
      <c r="T28189" s="135"/>
      <c r="U28189" s="135"/>
    </row>
    <row r="28190" spans="20:21" ht="15" customHeight="1" x14ac:dyDescent="0.25">
      <c r="T28190" s="135"/>
      <c r="U28190" s="135"/>
    </row>
    <row r="28191" spans="20:21" ht="15" customHeight="1" x14ac:dyDescent="0.25">
      <c r="T28191" s="135"/>
      <c r="U28191" s="135"/>
    </row>
    <row r="28192" spans="20:21" ht="15" customHeight="1" x14ac:dyDescent="0.25">
      <c r="T28192" s="135"/>
      <c r="U28192" s="135"/>
    </row>
    <row r="28193" spans="20:21" ht="15" customHeight="1" x14ac:dyDescent="0.25">
      <c r="T28193" s="135"/>
      <c r="U28193" s="135"/>
    </row>
    <row r="28194" spans="20:21" ht="15" customHeight="1" x14ac:dyDescent="0.25">
      <c r="T28194" s="135"/>
      <c r="U28194" s="135"/>
    </row>
    <row r="28195" spans="20:21" ht="15" customHeight="1" x14ac:dyDescent="0.25">
      <c r="T28195" s="135"/>
      <c r="U28195" s="135"/>
    </row>
    <row r="28196" spans="20:21" ht="15" customHeight="1" x14ac:dyDescent="0.25">
      <c r="T28196" s="135"/>
      <c r="U28196" s="135"/>
    </row>
    <row r="28197" spans="20:21" ht="15" customHeight="1" x14ac:dyDescent="0.25">
      <c r="T28197" s="135"/>
      <c r="U28197" s="135"/>
    </row>
    <row r="28198" spans="20:21" ht="15" customHeight="1" x14ac:dyDescent="0.25">
      <c r="T28198" s="135"/>
      <c r="U28198" s="135"/>
    </row>
    <row r="28199" spans="20:21" ht="15" customHeight="1" x14ac:dyDescent="0.25">
      <c r="T28199" s="135"/>
      <c r="U28199" s="135"/>
    </row>
    <row r="28200" spans="20:21" ht="15" customHeight="1" x14ac:dyDescent="0.25">
      <c r="T28200" s="135"/>
      <c r="U28200" s="135"/>
    </row>
    <row r="28201" spans="20:21" ht="15" customHeight="1" x14ac:dyDescent="0.25">
      <c r="T28201" s="135"/>
      <c r="U28201" s="135"/>
    </row>
    <row r="28202" spans="20:21" ht="15" customHeight="1" x14ac:dyDescent="0.25">
      <c r="T28202" s="135"/>
      <c r="U28202" s="135"/>
    </row>
    <row r="28203" spans="20:21" ht="15" customHeight="1" x14ac:dyDescent="0.25">
      <c r="T28203" s="135"/>
      <c r="U28203" s="135"/>
    </row>
    <row r="28204" spans="20:21" ht="15" customHeight="1" x14ac:dyDescent="0.25">
      <c r="T28204" s="135"/>
      <c r="U28204" s="135"/>
    </row>
    <row r="28205" spans="20:21" ht="15" customHeight="1" x14ac:dyDescent="0.25">
      <c r="T28205" s="135"/>
      <c r="U28205" s="135"/>
    </row>
    <row r="28206" spans="20:21" ht="15" customHeight="1" x14ac:dyDescent="0.25">
      <c r="T28206" s="135"/>
      <c r="U28206" s="135"/>
    </row>
    <row r="28207" spans="20:21" ht="15" customHeight="1" x14ac:dyDescent="0.25">
      <c r="T28207" s="135"/>
      <c r="U28207" s="135"/>
    </row>
    <row r="28208" spans="20:21" ht="15" customHeight="1" x14ac:dyDescent="0.25">
      <c r="T28208" s="135"/>
      <c r="U28208" s="135"/>
    </row>
    <row r="28209" spans="20:21" ht="15" customHeight="1" x14ac:dyDescent="0.25">
      <c r="T28209" s="135"/>
      <c r="U28209" s="135"/>
    </row>
    <row r="28210" spans="20:21" ht="15" customHeight="1" x14ac:dyDescent="0.25">
      <c r="T28210" s="135"/>
      <c r="U28210" s="135"/>
    </row>
    <row r="28211" spans="20:21" ht="15" customHeight="1" x14ac:dyDescent="0.25">
      <c r="T28211" s="135"/>
      <c r="U28211" s="135"/>
    </row>
    <row r="28212" spans="20:21" ht="15" customHeight="1" x14ac:dyDescent="0.25">
      <c r="T28212" s="135"/>
      <c r="U28212" s="135"/>
    </row>
    <row r="28213" spans="20:21" ht="15" customHeight="1" x14ac:dyDescent="0.25">
      <c r="T28213" s="135"/>
      <c r="U28213" s="135"/>
    </row>
    <row r="28214" spans="20:21" ht="15" customHeight="1" x14ac:dyDescent="0.25">
      <c r="T28214" s="135"/>
      <c r="U28214" s="135"/>
    </row>
    <row r="28215" spans="20:21" ht="15" customHeight="1" x14ac:dyDescent="0.25">
      <c r="T28215" s="135"/>
      <c r="U28215" s="135"/>
    </row>
    <row r="28216" spans="20:21" ht="15" customHeight="1" x14ac:dyDescent="0.25">
      <c r="T28216" s="135"/>
      <c r="U28216" s="135"/>
    </row>
    <row r="28217" spans="20:21" ht="15" customHeight="1" x14ac:dyDescent="0.25">
      <c r="T28217" s="135"/>
      <c r="U28217" s="135"/>
    </row>
    <row r="28218" spans="20:21" ht="15" customHeight="1" x14ac:dyDescent="0.25">
      <c r="T28218" s="135"/>
      <c r="U28218" s="135"/>
    </row>
    <row r="28219" spans="20:21" ht="15" customHeight="1" x14ac:dyDescent="0.25">
      <c r="T28219" s="135"/>
      <c r="U28219" s="135"/>
    </row>
    <row r="28220" spans="20:21" ht="15" customHeight="1" x14ac:dyDescent="0.25">
      <c r="T28220" s="135"/>
      <c r="U28220" s="135"/>
    </row>
    <row r="28221" spans="20:21" ht="15" customHeight="1" x14ac:dyDescent="0.25">
      <c r="T28221" s="135"/>
      <c r="U28221" s="135"/>
    </row>
    <row r="28222" spans="20:21" ht="15" customHeight="1" x14ac:dyDescent="0.25">
      <c r="T28222" s="135"/>
      <c r="U28222" s="135"/>
    </row>
    <row r="28223" spans="20:21" ht="15" customHeight="1" x14ac:dyDescent="0.25">
      <c r="T28223" s="135"/>
      <c r="U28223" s="135"/>
    </row>
    <row r="28224" spans="20:21" ht="15" customHeight="1" x14ac:dyDescent="0.25">
      <c r="T28224" s="135"/>
      <c r="U28224" s="135"/>
    </row>
    <row r="28225" spans="20:21" ht="15" customHeight="1" x14ac:dyDescent="0.25">
      <c r="T28225" s="135"/>
      <c r="U28225" s="135"/>
    </row>
    <row r="28226" spans="20:21" ht="15" customHeight="1" x14ac:dyDescent="0.25">
      <c r="T28226" s="135"/>
      <c r="U28226" s="135"/>
    </row>
    <row r="28227" spans="20:21" ht="15" customHeight="1" x14ac:dyDescent="0.25">
      <c r="T28227" s="135"/>
      <c r="U28227" s="135"/>
    </row>
    <row r="28228" spans="20:21" ht="15" customHeight="1" x14ac:dyDescent="0.25">
      <c r="T28228" s="135"/>
      <c r="U28228" s="135"/>
    </row>
    <row r="28229" spans="20:21" ht="15" customHeight="1" x14ac:dyDescent="0.25">
      <c r="T28229" s="135"/>
      <c r="U28229" s="135"/>
    </row>
    <row r="28230" spans="20:21" ht="15" customHeight="1" x14ac:dyDescent="0.25">
      <c r="T28230" s="135"/>
      <c r="U28230" s="135"/>
    </row>
    <row r="28231" spans="20:21" ht="15" customHeight="1" x14ac:dyDescent="0.25">
      <c r="T28231" s="135"/>
      <c r="U28231" s="135"/>
    </row>
    <row r="28232" spans="20:21" ht="15" customHeight="1" x14ac:dyDescent="0.25">
      <c r="T28232" s="135"/>
      <c r="U28232" s="135"/>
    </row>
    <row r="28233" spans="20:21" ht="15" customHeight="1" x14ac:dyDescent="0.25">
      <c r="T28233" s="135"/>
      <c r="U28233" s="135"/>
    </row>
    <row r="28234" spans="20:21" ht="15" customHeight="1" x14ac:dyDescent="0.25">
      <c r="T28234" s="135"/>
      <c r="U28234" s="135"/>
    </row>
    <row r="28235" spans="20:21" ht="15" customHeight="1" x14ac:dyDescent="0.25">
      <c r="T28235" s="135"/>
      <c r="U28235" s="135"/>
    </row>
    <row r="28236" spans="20:21" ht="15" customHeight="1" x14ac:dyDescent="0.25">
      <c r="T28236" s="135"/>
      <c r="U28236" s="135"/>
    </row>
    <row r="28237" spans="20:21" ht="15" customHeight="1" x14ac:dyDescent="0.25">
      <c r="T28237" s="135"/>
      <c r="U28237" s="135"/>
    </row>
    <row r="28238" spans="20:21" ht="15" customHeight="1" x14ac:dyDescent="0.25">
      <c r="T28238" s="135"/>
      <c r="U28238" s="135"/>
    </row>
    <row r="28239" spans="20:21" ht="15" customHeight="1" x14ac:dyDescent="0.25">
      <c r="T28239" s="135"/>
      <c r="U28239" s="135"/>
    </row>
    <row r="28240" spans="20:21" ht="15" customHeight="1" x14ac:dyDescent="0.25">
      <c r="T28240" s="135"/>
      <c r="U28240" s="135"/>
    </row>
    <row r="28241" spans="20:21" ht="15" customHeight="1" x14ac:dyDescent="0.25">
      <c r="T28241" s="135"/>
      <c r="U28241" s="135"/>
    </row>
    <row r="28242" spans="20:21" ht="15" customHeight="1" x14ac:dyDescent="0.25">
      <c r="T28242" s="135"/>
      <c r="U28242" s="135"/>
    </row>
    <row r="28243" spans="20:21" ht="15" customHeight="1" x14ac:dyDescent="0.25">
      <c r="T28243" s="135"/>
      <c r="U28243" s="135"/>
    </row>
    <row r="28244" spans="20:21" ht="15" customHeight="1" x14ac:dyDescent="0.25">
      <c r="T28244" s="135"/>
      <c r="U28244" s="135"/>
    </row>
    <row r="28245" spans="20:21" ht="15" customHeight="1" x14ac:dyDescent="0.25">
      <c r="T28245" s="135"/>
      <c r="U28245" s="135"/>
    </row>
    <row r="28246" spans="20:21" ht="15" customHeight="1" x14ac:dyDescent="0.25">
      <c r="T28246" s="135"/>
      <c r="U28246" s="135"/>
    </row>
    <row r="28247" spans="20:21" ht="15" customHeight="1" x14ac:dyDescent="0.25">
      <c r="T28247" s="135"/>
      <c r="U28247" s="135"/>
    </row>
    <row r="28248" spans="20:21" ht="15" customHeight="1" x14ac:dyDescent="0.25">
      <c r="T28248" s="135"/>
      <c r="U28248" s="135"/>
    </row>
    <row r="28249" spans="20:21" ht="15" customHeight="1" x14ac:dyDescent="0.25">
      <c r="T28249" s="135"/>
      <c r="U28249" s="135"/>
    </row>
    <row r="28250" spans="20:21" ht="15" customHeight="1" x14ac:dyDescent="0.25">
      <c r="T28250" s="135"/>
      <c r="U28250" s="135"/>
    </row>
    <row r="28251" spans="20:21" ht="15" customHeight="1" x14ac:dyDescent="0.25">
      <c r="T28251" s="135"/>
      <c r="U28251" s="135"/>
    </row>
    <row r="28252" spans="20:21" ht="15" customHeight="1" x14ac:dyDescent="0.25">
      <c r="T28252" s="135"/>
      <c r="U28252" s="135"/>
    </row>
    <row r="28253" spans="20:21" ht="15" customHeight="1" x14ac:dyDescent="0.25">
      <c r="T28253" s="135"/>
      <c r="U28253" s="135"/>
    </row>
    <row r="28254" spans="20:21" ht="15" customHeight="1" x14ac:dyDescent="0.25">
      <c r="T28254" s="135"/>
      <c r="U28254" s="135"/>
    </row>
    <row r="28255" spans="20:21" ht="15" customHeight="1" x14ac:dyDescent="0.25">
      <c r="T28255" s="135"/>
      <c r="U28255" s="135"/>
    </row>
    <row r="28256" spans="20:21" ht="15" customHeight="1" x14ac:dyDescent="0.25">
      <c r="T28256" s="135"/>
      <c r="U28256" s="135"/>
    </row>
    <row r="28257" spans="20:21" ht="15" customHeight="1" x14ac:dyDescent="0.25">
      <c r="T28257" s="135"/>
      <c r="U28257" s="135"/>
    </row>
    <row r="28258" spans="20:21" ht="15" customHeight="1" x14ac:dyDescent="0.25">
      <c r="T28258" s="135"/>
      <c r="U28258" s="135"/>
    </row>
    <row r="28259" spans="20:21" ht="15" customHeight="1" x14ac:dyDescent="0.25">
      <c r="T28259" s="135"/>
      <c r="U28259" s="135"/>
    </row>
    <row r="28260" spans="20:21" ht="15" customHeight="1" x14ac:dyDescent="0.25">
      <c r="T28260" s="135"/>
      <c r="U28260" s="135"/>
    </row>
    <row r="28261" spans="20:21" ht="15" customHeight="1" x14ac:dyDescent="0.25">
      <c r="T28261" s="135"/>
      <c r="U28261" s="135"/>
    </row>
    <row r="28262" spans="20:21" ht="15" customHeight="1" x14ac:dyDescent="0.25">
      <c r="T28262" s="135"/>
      <c r="U28262" s="135"/>
    </row>
    <row r="28263" spans="20:21" ht="15" customHeight="1" x14ac:dyDescent="0.25">
      <c r="T28263" s="135"/>
      <c r="U28263" s="135"/>
    </row>
    <row r="28264" spans="20:21" ht="15" customHeight="1" x14ac:dyDescent="0.25">
      <c r="T28264" s="135"/>
      <c r="U28264" s="135"/>
    </row>
    <row r="28265" spans="20:21" ht="15" customHeight="1" x14ac:dyDescent="0.25">
      <c r="T28265" s="135"/>
      <c r="U28265" s="135"/>
    </row>
    <row r="28266" spans="20:21" ht="15" customHeight="1" x14ac:dyDescent="0.25">
      <c r="T28266" s="135"/>
      <c r="U28266" s="135"/>
    </row>
    <row r="28267" spans="20:21" ht="15" customHeight="1" x14ac:dyDescent="0.25">
      <c r="T28267" s="135"/>
      <c r="U28267" s="135"/>
    </row>
    <row r="28268" spans="20:21" ht="15" customHeight="1" x14ac:dyDescent="0.25">
      <c r="T28268" s="135"/>
      <c r="U28268" s="135"/>
    </row>
    <row r="28269" spans="20:21" ht="15" customHeight="1" x14ac:dyDescent="0.25">
      <c r="T28269" s="135"/>
      <c r="U28269" s="135"/>
    </row>
    <row r="28270" spans="20:21" ht="15" customHeight="1" x14ac:dyDescent="0.25">
      <c r="T28270" s="135"/>
      <c r="U28270" s="135"/>
    </row>
    <row r="28271" spans="20:21" ht="15" customHeight="1" x14ac:dyDescent="0.25">
      <c r="T28271" s="135"/>
      <c r="U28271" s="135"/>
    </row>
    <row r="28272" spans="20:21" ht="15" customHeight="1" x14ac:dyDescent="0.25">
      <c r="T28272" s="135"/>
      <c r="U28272" s="135"/>
    </row>
    <row r="28273" spans="20:21" ht="15" customHeight="1" x14ac:dyDescent="0.25">
      <c r="T28273" s="135"/>
      <c r="U28273" s="135"/>
    </row>
    <row r="28274" spans="20:21" ht="15" customHeight="1" x14ac:dyDescent="0.25">
      <c r="T28274" s="135"/>
      <c r="U28274" s="135"/>
    </row>
    <row r="28275" spans="20:21" ht="15" customHeight="1" x14ac:dyDescent="0.25">
      <c r="T28275" s="135"/>
      <c r="U28275" s="135"/>
    </row>
    <row r="28276" spans="20:21" ht="15" customHeight="1" x14ac:dyDescent="0.25">
      <c r="T28276" s="135"/>
      <c r="U28276" s="135"/>
    </row>
    <row r="28277" spans="20:21" ht="15" customHeight="1" x14ac:dyDescent="0.25">
      <c r="T28277" s="135"/>
      <c r="U28277" s="135"/>
    </row>
    <row r="28278" spans="20:21" ht="15" customHeight="1" x14ac:dyDescent="0.25">
      <c r="T28278" s="135"/>
      <c r="U28278" s="135"/>
    </row>
    <row r="28279" spans="20:21" ht="15" customHeight="1" x14ac:dyDescent="0.25">
      <c r="T28279" s="135"/>
      <c r="U28279" s="135"/>
    </row>
    <row r="28280" spans="20:21" ht="15" customHeight="1" x14ac:dyDescent="0.25">
      <c r="T28280" s="135"/>
      <c r="U28280" s="135"/>
    </row>
    <row r="28281" spans="20:21" ht="15" customHeight="1" x14ac:dyDescent="0.25">
      <c r="T28281" s="135"/>
      <c r="U28281" s="135"/>
    </row>
    <row r="28282" spans="20:21" ht="15" customHeight="1" x14ac:dyDescent="0.25">
      <c r="T28282" s="135"/>
      <c r="U28282" s="135"/>
    </row>
    <row r="28283" spans="20:21" ht="15" customHeight="1" x14ac:dyDescent="0.25">
      <c r="T28283" s="135"/>
      <c r="U28283" s="135"/>
    </row>
    <row r="28284" spans="20:21" ht="15" customHeight="1" x14ac:dyDescent="0.25">
      <c r="T28284" s="135"/>
      <c r="U28284" s="135"/>
    </row>
    <row r="28285" spans="20:21" ht="15" customHeight="1" x14ac:dyDescent="0.25">
      <c r="T28285" s="135"/>
      <c r="U28285" s="135"/>
    </row>
    <row r="28286" spans="20:21" ht="15" customHeight="1" x14ac:dyDescent="0.25">
      <c r="T28286" s="135"/>
      <c r="U28286" s="135"/>
    </row>
    <row r="28287" spans="20:21" ht="15" customHeight="1" x14ac:dyDescent="0.25">
      <c r="T28287" s="135"/>
      <c r="U28287" s="135"/>
    </row>
    <row r="28288" spans="20:21" ht="15" customHeight="1" x14ac:dyDescent="0.25">
      <c r="T28288" s="135"/>
      <c r="U28288" s="135"/>
    </row>
    <row r="28289" spans="20:21" ht="15" customHeight="1" x14ac:dyDescent="0.25">
      <c r="T28289" s="135"/>
      <c r="U28289" s="135"/>
    </row>
    <row r="28290" spans="20:21" ht="15" customHeight="1" x14ac:dyDescent="0.25">
      <c r="T28290" s="135"/>
      <c r="U28290" s="135"/>
    </row>
    <row r="28291" spans="20:21" ht="15" customHeight="1" x14ac:dyDescent="0.25">
      <c r="T28291" s="135"/>
      <c r="U28291" s="135"/>
    </row>
    <row r="28292" spans="20:21" ht="15" customHeight="1" x14ac:dyDescent="0.25">
      <c r="T28292" s="135"/>
      <c r="U28292" s="135"/>
    </row>
    <row r="28293" spans="20:21" ht="15" customHeight="1" x14ac:dyDescent="0.25">
      <c r="T28293" s="135"/>
      <c r="U28293" s="135"/>
    </row>
    <row r="28294" spans="20:21" ht="15" customHeight="1" x14ac:dyDescent="0.25">
      <c r="T28294" s="135"/>
      <c r="U28294" s="135"/>
    </row>
    <row r="28295" spans="20:21" ht="15" customHeight="1" x14ac:dyDescent="0.25">
      <c r="T28295" s="135"/>
      <c r="U28295" s="135"/>
    </row>
    <row r="28296" spans="20:21" ht="15" customHeight="1" x14ac:dyDescent="0.25">
      <c r="T28296" s="135"/>
      <c r="U28296" s="135"/>
    </row>
    <row r="28297" spans="20:21" ht="15" customHeight="1" x14ac:dyDescent="0.25">
      <c r="T28297" s="135"/>
      <c r="U28297" s="135"/>
    </row>
    <row r="28298" spans="20:21" ht="15" customHeight="1" x14ac:dyDescent="0.25">
      <c r="T28298" s="135"/>
      <c r="U28298" s="135"/>
    </row>
    <row r="28299" spans="20:21" ht="15" customHeight="1" x14ac:dyDescent="0.25">
      <c r="T28299" s="135"/>
      <c r="U28299" s="135"/>
    </row>
    <row r="28300" spans="20:21" ht="15" customHeight="1" x14ac:dyDescent="0.25">
      <c r="T28300" s="135"/>
      <c r="U28300" s="135"/>
    </row>
    <row r="28301" spans="20:21" ht="15" customHeight="1" x14ac:dyDescent="0.25">
      <c r="T28301" s="135"/>
      <c r="U28301" s="135"/>
    </row>
    <row r="28302" spans="20:21" ht="15" customHeight="1" x14ac:dyDescent="0.25">
      <c r="T28302" s="135"/>
      <c r="U28302" s="135"/>
    </row>
    <row r="28303" spans="20:21" ht="15" customHeight="1" x14ac:dyDescent="0.25">
      <c r="T28303" s="135"/>
      <c r="U28303" s="135"/>
    </row>
    <row r="28304" spans="20:21" ht="15" customHeight="1" x14ac:dyDescent="0.25">
      <c r="T28304" s="135"/>
      <c r="U28304" s="135"/>
    </row>
    <row r="28305" spans="20:21" ht="15" customHeight="1" x14ac:dyDescent="0.25">
      <c r="T28305" s="135"/>
      <c r="U28305" s="135"/>
    </row>
    <row r="28306" spans="20:21" ht="15" customHeight="1" x14ac:dyDescent="0.25">
      <c r="T28306" s="135"/>
      <c r="U28306" s="135"/>
    </row>
    <row r="28307" spans="20:21" ht="15" customHeight="1" x14ac:dyDescent="0.25">
      <c r="T28307" s="135"/>
      <c r="U28307" s="135"/>
    </row>
    <row r="28308" spans="20:21" ht="15" customHeight="1" x14ac:dyDescent="0.25">
      <c r="T28308" s="135"/>
      <c r="U28308" s="135"/>
    </row>
    <row r="28309" spans="20:21" ht="15" customHeight="1" x14ac:dyDescent="0.25">
      <c r="T28309" s="135"/>
      <c r="U28309" s="135"/>
    </row>
    <row r="28310" spans="20:21" ht="15" customHeight="1" x14ac:dyDescent="0.25">
      <c r="T28310" s="135"/>
      <c r="U28310" s="135"/>
    </row>
    <row r="28311" spans="20:21" ht="15" customHeight="1" x14ac:dyDescent="0.25">
      <c r="T28311" s="135"/>
      <c r="U28311" s="135"/>
    </row>
    <row r="28312" spans="20:21" ht="15" customHeight="1" x14ac:dyDescent="0.25">
      <c r="T28312" s="135"/>
      <c r="U28312" s="135"/>
    </row>
    <row r="28313" spans="20:21" ht="15" customHeight="1" x14ac:dyDescent="0.25">
      <c r="T28313" s="135"/>
      <c r="U28313" s="135"/>
    </row>
    <row r="28314" spans="20:21" ht="15" customHeight="1" x14ac:dyDescent="0.25">
      <c r="T28314" s="135"/>
      <c r="U28314" s="135"/>
    </row>
    <row r="28315" spans="20:21" ht="15" customHeight="1" x14ac:dyDescent="0.25">
      <c r="T28315" s="135"/>
      <c r="U28315" s="135"/>
    </row>
    <row r="28316" spans="20:21" ht="15" customHeight="1" x14ac:dyDescent="0.25">
      <c r="T28316" s="135"/>
      <c r="U28316" s="135"/>
    </row>
    <row r="28317" spans="20:21" ht="15" customHeight="1" x14ac:dyDescent="0.25">
      <c r="T28317" s="135"/>
      <c r="U28317" s="135"/>
    </row>
    <row r="28318" spans="20:21" ht="15" customHeight="1" x14ac:dyDescent="0.25">
      <c r="T28318" s="135"/>
      <c r="U28318" s="135"/>
    </row>
    <row r="28319" spans="20:21" ht="15" customHeight="1" x14ac:dyDescent="0.25">
      <c r="T28319" s="135"/>
      <c r="U28319" s="135"/>
    </row>
    <row r="28320" spans="20:21" ht="15" customHeight="1" x14ac:dyDescent="0.25">
      <c r="T28320" s="135"/>
      <c r="U28320" s="135"/>
    </row>
    <row r="28321" spans="20:21" ht="15" customHeight="1" x14ac:dyDescent="0.25">
      <c r="T28321" s="135"/>
      <c r="U28321" s="135"/>
    </row>
    <row r="28322" spans="20:21" ht="15" customHeight="1" x14ac:dyDescent="0.25">
      <c r="T28322" s="135"/>
      <c r="U28322" s="135"/>
    </row>
    <row r="28323" spans="20:21" ht="15" customHeight="1" x14ac:dyDescent="0.25">
      <c r="T28323" s="135"/>
      <c r="U28323" s="135"/>
    </row>
    <row r="28324" spans="20:21" ht="15" customHeight="1" x14ac:dyDescent="0.25">
      <c r="T28324" s="135"/>
      <c r="U28324" s="135"/>
    </row>
    <row r="28325" spans="20:21" ht="15" customHeight="1" x14ac:dyDescent="0.25">
      <c r="T28325" s="135"/>
      <c r="U28325" s="135"/>
    </row>
    <row r="28326" spans="20:21" ht="15" customHeight="1" x14ac:dyDescent="0.25">
      <c r="T28326" s="135"/>
      <c r="U28326" s="135"/>
    </row>
    <row r="28327" spans="20:21" ht="15" customHeight="1" x14ac:dyDescent="0.25">
      <c r="T28327" s="135"/>
      <c r="U28327" s="135"/>
    </row>
    <row r="28328" spans="20:21" ht="15" customHeight="1" x14ac:dyDescent="0.25">
      <c r="T28328" s="135"/>
      <c r="U28328" s="135"/>
    </row>
    <row r="28329" spans="20:21" ht="15" customHeight="1" x14ac:dyDescent="0.25">
      <c r="T28329" s="135"/>
      <c r="U28329" s="135"/>
    </row>
    <row r="28330" spans="20:21" ht="15" customHeight="1" x14ac:dyDescent="0.25">
      <c r="T28330" s="135"/>
      <c r="U28330" s="135"/>
    </row>
    <row r="28331" spans="20:21" ht="15" customHeight="1" x14ac:dyDescent="0.25">
      <c r="T28331" s="135"/>
      <c r="U28331" s="135"/>
    </row>
    <row r="28332" spans="20:21" ht="15" customHeight="1" x14ac:dyDescent="0.25">
      <c r="T28332" s="135"/>
      <c r="U28332" s="135"/>
    </row>
    <row r="28333" spans="20:21" ht="15" customHeight="1" x14ac:dyDescent="0.25">
      <c r="T28333" s="135"/>
      <c r="U28333" s="135"/>
    </row>
    <row r="28334" spans="20:21" ht="15" customHeight="1" x14ac:dyDescent="0.25">
      <c r="T28334" s="135"/>
      <c r="U28334" s="135"/>
    </row>
    <row r="28335" spans="20:21" ht="15" customHeight="1" x14ac:dyDescent="0.25">
      <c r="T28335" s="135"/>
      <c r="U28335" s="135"/>
    </row>
    <row r="28336" spans="20:21" ht="15" customHeight="1" x14ac:dyDescent="0.25">
      <c r="T28336" s="135"/>
      <c r="U28336" s="135"/>
    </row>
    <row r="28337" spans="20:21" ht="15" customHeight="1" x14ac:dyDescent="0.25">
      <c r="T28337" s="135"/>
      <c r="U28337" s="135"/>
    </row>
    <row r="28338" spans="20:21" ht="15" customHeight="1" x14ac:dyDescent="0.25">
      <c r="T28338" s="135"/>
      <c r="U28338" s="135"/>
    </row>
    <row r="28339" spans="20:21" ht="15" customHeight="1" x14ac:dyDescent="0.25">
      <c r="T28339" s="135"/>
      <c r="U28339" s="135"/>
    </row>
    <row r="28340" spans="20:21" ht="15" customHeight="1" x14ac:dyDescent="0.25">
      <c r="T28340" s="135"/>
      <c r="U28340" s="135"/>
    </row>
    <row r="28341" spans="20:21" ht="15" customHeight="1" x14ac:dyDescent="0.25">
      <c r="T28341" s="135"/>
      <c r="U28341" s="135"/>
    </row>
    <row r="28342" spans="20:21" ht="15" customHeight="1" x14ac:dyDescent="0.25">
      <c r="T28342" s="135"/>
      <c r="U28342" s="135"/>
    </row>
    <row r="28343" spans="20:21" ht="15" customHeight="1" x14ac:dyDescent="0.25">
      <c r="T28343" s="135"/>
      <c r="U28343" s="135"/>
    </row>
    <row r="28344" spans="20:21" ht="15" customHeight="1" x14ac:dyDescent="0.25">
      <c r="T28344" s="135"/>
      <c r="U28344" s="135"/>
    </row>
    <row r="28345" spans="20:21" ht="15" customHeight="1" x14ac:dyDescent="0.25">
      <c r="T28345" s="135"/>
      <c r="U28345" s="135"/>
    </row>
    <row r="28346" spans="20:21" ht="15" customHeight="1" x14ac:dyDescent="0.25">
      <c r="T28346" s="135"/>
      <c r="U28346" s="135"/>
    </row>
    <row r="28347" spans="20:21" ht="15" customHeight="1" x14ac:dyDescent="0.25">
      <c r="T28347" s="135"/>
      <c r="U28347" s="135"/>
    </row>
    <row r="28348" spans="20:21" ht="15" customHeight="1" x14ac:dyDescent="0.25">
      <c r="T28348" s="135"/>
      <c r="U28348" s="135"/>
    </row>
    <row r="28349" spans="20:21" ht="15" customHeight="1" x14ac:dyDescent="0.25">
      <c r="T28349" s="135"/>
      <c r="U28349" s="135"/>
    </row>
    <row r="28350" spans="20:21" ht="15" customHeight="1" x14ac:dyDescent="0.25">
      <c r="T28350" s="135"/>
      <c r="U28350" s="135"/>
    </row>
    <row r="28351" spans="20:21" ht="15" customHeight="1" x14ac:dyDescent="0.25">
      <c r="T28351" s="135"/>
      <c r="U28351" s="135"/>
    </row>
    <row r="28352" spans="20:21" ht="15" customHeight="1" x14ac:dyDescent="0.25">
      <c r="T28352" s="135"/>
      <c r="U28352" s="135"/>
    </row>
    <row r="28353" spans="20:21" ht="15" customHeight="1" x14ac:dyDescent="0.25">
      <c r="T28353" s="135"/>
      <c r="U28353" s="135"/>
    </row>
    <row r="28354" spans="20:21" ht="15" customHeight="1" x14ac:dyDescent="0.25">
      <c r="T28354" s="135"/>
      <c r="U28354" s="135"/>
    </row>
    <row r="28355" spans="20:21" ht="15" customHeight="1" x14ac:dyDescent="0.25">
      <c r="T28355" s="135"/>
      <c r="U28355" s="135"/>
    </row>
    <row r="28356" spans="20:21" ht="15" customHeight="1" x14ac:dyDescent="0.25">
      <c r="T28356" s="135"/>
      <c r="U28356" s="135"/>
    </row>
    <row r="28357" spans="20:21" ht="15" customHeight="1" x14ac:dyDescent="0.25">
      <c r="T28357" s="135"/>
      <c r="U28357" s="135"/>
    </row>
    <row r="28358" spans="20:21" ht="15" customHeight="1" x14ac:dyDescent="0.25">
      <c r="T28358" s="135"/>
      <c r="U28358" s="135"/>
    </row>
    <row r="28359" spans="20:21" ht="15" customHeight="1" x14ac:dyDescent="0.25">
      <c r="T28359" s="135"/>
      <c r="U28359" s="135"/>
    </row>
    <row r="28360" spans="20:21" ht="15" customHeight="1" x14ac:dyDescent="0.25">
      <c r="T28360" s="135"/>
      <c r="U28360" s="135"/>
    </row>
    <row r="28361" spans="20:21" ht="15" customHeight="1" x14ac:dyDescent="0.25">
      <c r="T28361" s="135"/>
      <c r="U28361" s="135"/>
    </row>
    <row r="28362" spans="20:21" ht="15" customHeight="1" x14ac:dyDescent="0.25">
      <c r="T28362" s="135"/>
      <c r="U28362" s="135"/>
    </row>
    <row r="28363" spans="20:21" ht="15" customHeight="1" x14ac:dyDescent="0.25">
      <c r="T28363" s="135"/>
      <c r="U28363" s="135"/>
    </row>
    <row r="28364" spans="20:21" ht="15" customHeight="1" x14ac:dyDescent="0.25">
      <c r="T28364" s="135"/>
      <c r="U28364" s="135"/>
    </row>
    <row r="28365" spans="20:21" ht="15" customHeight="1" x14ac:dyDescent="0.25">
      <c r="T28365" s="135"/>
      <c r="U28365" s="135"/>
    </row>
    <row r="28366" spans="20:21" ht="15" customHeight="1" x14ac:dyDescent="0.25">
      <c r="T28366" s="135"/>
      <c r="U28366" s="135"/>
    </row>
    <row r="28367" spans="20:21" ht="15" customHeight="1" x14ac:dyDescent="0.25">
      <c r="T28367" s="135"/>
      <c r="U28367" s="135"/>
    </row>
    <row r="28368" spans="20:21" ht="15" customHeight="1" x14ac:dyDescent="0.25">
      <c r="T28368" s="135"/>
      <c r="U28368" s="135"/>
    </row>
    <row r="28369" spans="20:21" ht="15" customHeight="1" x14ac:dyDescent="0.25">
      <c r="T28369" s="135"/>
      <c r="U28369" s="135"/>
    </row>
    <row r="28370" spans="20:21" ht="15" customHeight="1" x14ac:dyDescent="0.25">
      <c r="T28370" s="135"/>
      <c r="U28370" s="135"/>
    </row>
    <row r="28371" spans="20:21" ht="15" customHeight="1" x14ac:dyDescent="0.25">
      <c r="T28371" s="135"/>
      <c r="U28371" s="135"/>
    </row>
    <row r="28372" spans="20:21" ht="15" customHeight="1" x14ac:dyDescent="0.25">
      <c r="T28372" s="135"/>
      <c r="U28372" s="135"/>
    </row>
    <row r="28373" spans="20:21" ht="15" customHeight="1" x14ac:dyDescent="0.25">
      <c r="T28373" s="135"/>
      <c r="U28373" s="135"/>
    </row>
    <row r="28374" spans="20:21" ht="15" customHeight="1" x14ac:dyDescent="0.25">
      <c r="T28374" s="135"/>
      <c r="U28374" s="135"/>
    </row>
    <row r="28375" spans="20:21" ht="15" customHeight="1" x14ac:dyDescent="0.25">
      <c r="T28375" s="135"/>
      <c r="U28375" s="135"/>
    </row>
    <row r="28376" spans="20:21" ht="15" customHeight="1" x14ac:dyDescent="0.25">
      <c r="T28376" s="135"/>
      <c r="U28376" s="135"/>
    </row>
    <row r="28377" spans="20:21" ht="15" customHeight="1" x14ac:dyDescent="0.25">
      <c r="T28377" s="135"/>
      <c r="U28377" s="135"/>
    </row>
    <row r="28378" spans="20:21" ht="15" customHeight="1" x14ac:dyDescent="0.25">
      <c r="T28378" s="135"/>
      <c r="U28378" s="135"/>
    </row>
    <row r="28379" spans="20:21" ht="15" customHeight="1" x14ac:dyDescent="0.25">
      <c r="T28379" s="135"/>
      <c r="U28379" s="135"/>
    </row>
    <row r="28380" spans="20:21" ht="15" customHeight="1" x14ac:dyDescent="0.25">
      <c r="T28380" s="135"/>
      <c r="U28380" s="135"/>
    </row>
    <row r="28381" spans="20:21" ht="15" customHeight="1" x14ac:dyDescent="0.25">
      <c r="T28381" s="135"/>
      <c r="U28381" s="135"/>
    </row>
    <row r="28382" spans="20:21" ht="15" customHeight="1" x14ac:dyDescent="0.25">
      <c r="T28382" s="135"/>
      <c r="U28382" s="135"/>
    </row>
    <row r="28383" spans="20:21" ht="15" customHeight="1" x14ac:dyDescent="0.25">
      <c r="T28383" s="135"/>
      <c r="U28383" s="135"/>
    </row>
    <row r="28384" spans="20:21" ht="15" customHeight="1" x14ac:dyDescent="0.25">
      <c r="T28384" s="135"/>
      <c r="U28384" s="135"/>
    </row>
    <row r="28385" spans="20:21" ht="15" customHeight="1" x14ac:dyDescent="0.25">
      <c r="T28385" s="135"/>
      <c r="U28385" s="135"/>
    </row>
    <row r="28386" spans="20:21" ht="15" customHeight="1" x14ac:dyDescent="0.25">
      <c r="T28386" s="135"/>
      <c r="U28386" s="135"/>
    </row>
    <row r="28387" spans="20:21" ht="15" customHeight="1" x14ac:dyDescent="0.25">
      <c r="T28387" s="135"/>
      <c r="U28387" s="135"/>
    </row>
    <row r="28388" spans="20:21" ht="15" customHeight="1" x14ac:dyDescent="0.25">
      <c r="T28388" s="135"/>
      <c r="U28388" s="135"/>
    </row>
    <row r="28389" spans="20:21" ht="15" customHeight="1" x14ac:dyDescent="0.25">
      <c r="T28389" s="135"/>
      <c r="U28389" s="135"/>
    </row>
    <row r="28390" spans="20:21" ht="15" customHeight="1" x14ac:dyDescent="0.25">
      <c r="T28390" s="135"/>
      <c r="U28390" s="135"/>
    </row>
    <row r="28391" spans="20:21" ht="15" customHeight="1" x14ac:dyDescent="0.25">
      <c r="T28391" s="135"/>
      <c r="U28391" s="135"/>
    </row>
    <row r="28392" spans="20:21" ht="15" customHeight="1" x14ac:dyDescent="0.25">
      <c r="T28392" s="135"/>
      <c r="U28392" s="135"/>
    </row>
    <row r="28393" spans="20:21" ht="15" customHeight="1" x14ac:dyDescent="0.25">
      <c r="T28393" s="135"/>
      <c r="U28393" s="135"/>
    </row>
    <row r="28394" spans="20:21" ht="15" customHeight="1" x14ac:dyDescent="0.25">
      <c r="T28394" s="135"/>
      <c r="U28394" s="135"/>
    </row>
    <row r="28395" spans="20:21" ht="15" customHeight="1" x14ac:dyDescent="0.25">
      <c r="T28395" s="135"/>
      <c r="U28395" s="135"/>
    </row>
    <row r="28396" spans="20:21" ht="15" customHeight="1" x14ac:dyDescent="0.25">
      <c r="T28396" s="135"/>
      <c r="U28396" s="135"/>
    </row>
    <row r="28397" spans="20:21" ht="15" customHeight="1" x14ac:dyDescent="0.25">
      <c r="T28397" s="135"/>
      <c r="U28397" s="135"/>
    </row>
    <row r="28398" spans="20:21" ht="15" customHeight="1" x14ac:dyDescent="0.25">
      <c r="T28398" s="135"/>
      <c r="U28398" s="135"/>
    </row>
    <row r="28399" spans="20:21" ht="15" customHeight="1" x14ac:dyDescent="0.25">
      <c r="T28399" s="135"/>
      <c r="U28399" s="135"/>
    </row>
    <row r="28400" spans="20:21" ht="15" customHeight="1" x14ac:dyDescent="0.25">
      <c r="T28400" s="135"/>
      <c r="U28400" s="135"/>
    </row>
    <row r="28401" spans="20:21" ht="15" customHeight="1" x14ac:dyDescent="0.25">
      <c r="T28401" s="135"/>
      <c r="U28401" s="135"/>
    </row>
    <row r="28402" spans="20:21" ht="15" customHeight="1" x14ac:dyDescent="0.25">
      <c r="T28402" s="135"/>
      <c r="U28402" s="135"/>
    </row>
    <row r="28403" spans="20:21" ht="15" customHeight="1" x14ac:dyDescent="0.25">
      <c r="T28403" s="135"/>
      <c r="U28403" s="135"/>
    </row>
    <row r="28404" spans="20:21" ht="15" customHeight="1" x14ac:dyDescent="0.25">
      <c r="T28404" s="135"/>
      <c r="U28404" s="135"/>
    </row>
    <row r="28405" spans="20:21" ht="15" customHeight="1" x14ac:dyDescent="0.25">
      <c r="T28405" s="135"/>
      <c r="U28405" s="135"/>
    </row>
    <row r="28406" spans="20:21" ht="15" customHeight="1" x14ac:dyDescent="0.25">
      <c r="T28406" s="135"/>
      <c r="U28406" s="135"/>
    </row>
    <row r="28407" spans="20:21" ht="15" customHeight="1" x14ac:dyDescent="0.25">
      <c r="T28407" s="135"/>
      <c r="U28407" s="135"/>
    </row>
    <row r="28408" spans="20:21" ht="15" customHeight="1" x14ac:dyDescent="0.25">
      <c r="T28408" s="135"/>
      <c r="U28408" s="135"/>
    </row>
    <row r="28409" spans="20:21" ht="15" customHeight="1" x14ac:dyDescent="0.25">
      <c r="T28409" s="135"/>
      <c r="U28409" s="135"/>
    </row>
    <row r="28410" spans="20:21" ht="15" customHeight="1" x14ac:dyDescent="0.25">
      <c r="T28410" s="135"/>
      <c r="U28410" s="135"/>
    </row>
    <row r="28411" spans="20:21" ht="15" customHeight="1" x14ac:dyDescent="0.25">
      <c r="T28411" s="135"/>
      <c r="U28411" s="135"/>
    </row>
    <row r="28412" spans="20:21" ht="15" customHeight="1" x14ac:dyDescent="0.25">
      <c r="T28412" s="135"/>
      <c r="U28412" s="135"/>
    </row>
    <row r="28413" spans="20:21" ht="15" customHeight="1" x14ac:dyDescent="0.25">
      <c r="T28413" s="135"/>
      <c r="U28413" s="135"/>
    </row>
    <row r="28414" spans="20:21" ht="15" customHeight="1" x14ac:dyDescent="0.25">
      <c r="T28414" s="135"/>
      <c r="U28414" s="135"/>
    </row>
    <row r="28415" spans="20:21" ht="15" customHeight="1" x14ac:dyDescent="0.25">
      <c r="T28415" s="135"/>
      <c r="U28415" s="135"/>
    </row>
    <row r="28416" spans="20:21" ht="15" customHeight="1" x14ac:dyDescent="0.25">
      <c r="T28416" s="135"/>
      <c r="U28416" s="135"/>
    </row>
    <row r="28417" spans="20:21" ht="15" customHeight="1" x14ac:dyDescent="0.25">
      <c r="T28417" s="135"/>
      <c r="U28417" s="135"/>
    </row>
    <row r="28418" spans="20:21" ht="15" customHeight="1" x14ac:dyDescent="0.25">
      <c r="T28418" s="135"/>
      <c r="U28418" s="135"/>
    </row>
    <row r="28419" spans="20:21" ht="15" customHeight="1" x14ac:dyDescent="0.25">
      <c r="T28419" s="135"/>
      <c r="U28419" s="135"/>
    </row>
    <row r="28420" spans="20:21" ht="15" customHeight="1" x14ac:dyDescent="0.25">
      <c r="T28420" s="135"/>
      <c r="U28420" s="135"/>
    </row>
    <row r="28421" spans="20:21" ht="15" customHeight="1" x14ac:dyDescent="0.25">
      <c r="T28421" s="135"/>
      <c r="U28421" s="135"/>
    </row>
    <row r="28422" spans="20:21" ht="15" customHeight="1" x14ac:dyDescent="0.25">
      <c r="T28422" s="135"/>
      <c r="U28422" s="135"/>
    </row>
    <row r="28423" spans="20:21" ht="15" customHeight="1" x14ac:dyDescent="0.25">
      <c r="T28423" s="135"/>
      <c r="U28423" s="135"/>
    </row>
    <row r="28424" spans="20:21" ht="15" customHeight="1" x14ac:dyDescent="0.25">
      <c r="T28424" s="135"/>
      <c r="U28424" s="135"/>
    </row>
    <row r="28425" spans="20:21" ht="15" customHeight="1" x14ac:dyDescent="0.25">
      <c r="T28425" s="135"/>
      <c r="U28425" s="135"/>
    </row>
    <row r="28426" spans="20:21" ht="15" customHeight="1" x14ac:dyDescent="0.25">
      <c r="T28426" s="135"/>
      <c r="U28426" s="135"/>
    </row>
    <row r="28427" spans="20:21" ht="15" customHeight="1" x14ac:dyDescent="0.25">
      <c r="T28427" s="135"/>
      <c r="U28427" s="135"/>
    </row>
    <row r="28428" spans="20:21" ht="15" customHeight="1" x14ac:dyDescent="0.25">
      <c r="T28428" s="135"/>
      <c r="U28428" s="135"/>
    </row>
    <row r="28429" spans="20:21" ht="15" customHeight="1" x14ac:dyDescent="0.25">
      <c r="T28429" s="135"/>
      <c r="U28429" s="135"/>
    </row>
    <row r="28430" spans="20:21" ht="15" customHeight="1" x14ac:dyDescent="0.25">
      <c r="T28430" s="135"/>
      <c r="U28430" s="135"/>
    </row>
    <row r="28431" spans="20:21" ht="15" customHeight="1" x14ac:dyDescent="0.25">
      <c r="T28431" s="135"/>
      <c r="U28431" s="135"/>
    </row>
    <row r="28432" spans="20:21" ht="15" customHeight="1" x14ac:dyDescent="0.25">
      <c r="T28432" s="135"/>
      <c r="U28432" s="135"/>
    </row>
    <row r="28433" spans="20:21" ht="15" customHeight="1" x14ac:dyDescent="0.25">
      <c r="T28433" s="135"/>
      <c r="U28433" s="135"/>
    </row>
    <row r="28434" spans="20:21" ht="15" customHeight="1" x14ac:dyDescent="0.25">
      <c r="T28434" s="135"/>
      <c r="U28434" s="135"/>
    </row>
    <row r="28435" spans="20:21" ht="15" customHeight="1" x14ac:dyDescent="0.25">
      <c r="T28435" s="135"/>
      <c r="U28435" s="135"/>
    </row>
    <row r="28436" spans="20:21" ht="15" customHeight="1" x14ac:dyDescent="0.25">
      <c r="T28436" s="135"/>
      <c r="U28436" s="135"/>
    </row>
    <row r="28437" spans="20:21" ht="15" customHeight="1" x14ac:dyDescent="0.25">
      <c r="T28437" s="135"/>
      <c r="U28437" s="135"/>
    </row>
    <row r="28438" spans="20:21" ht="15" customHeight="1" x14ac:dyDescent="0.25">
      <c r="T28438" s="135"/>
      <c r="U28438" s="135"/>
    </row>
    <row r="28439" spans="20:21" ht="15" customHeight="1" x14ac:dyDescent="0.25">
      <c r="T28439" s="135"/>
      <c r="U28439" s="135"/>
    </row>
    <row r="28440" spans="20:21" ht="15" customHeight="1" x14ac:dyDescent="0.25">
      <c r="T28440" s="135"/>
      <c r="U28440" s="135"/>
    </row>
    <row r="28441" spans="20:21" ht="15" customHeight="1" x14ac:dyDescent="0.25">
      <c r="T28441" s="135"/>
      <c r="U28441" s="135"/>
    </row>
    <row r="28442" spans="20:21" ht="15" customHeight="1" x14ac:dyDescent="0.25">
      <c r="T28442" s="135"/>
      <c r="U28442" s="135"/>
    </row>
    <row r="28443" spans="20:21" ht="15" customHeight="1" x14ac:dyDescent="0.25">
      <c r="T28443" s="135"/>
      <c r="U28443" s="135"/>
    </row>
    <row r="28444" spans="20:21" ht="15" customHeight="1" x14ac:dyDescent="0.25">
      <c r="T28444" s="135"/>
      <c r="U28444" s="135"/>
    </row>
    <row r="28445" spans="20:21" ht="15" customHeight="1" x14ac:dyDescent="0.25">
      <c r="T28445" s="135"/>
      <c r="U28445" s="135"/>
    </row>
    <row r="28446" spans="20:21" ht="15" customHeight="1" x14ac:dyDescent="0.25">
      <c r="T28446" s="135"/>
      <c r="U28446" s="135"/>
    </row>
    <row r="28447" spans="20:21" ht="15" customHeight="1" x14ac:dyDescent="0.25">
      <c r="T28447" s="135"/>
      <c r="U28447" s="135"/>
    </row>
    <row r="28448" spans="20:21" ht="15" customHeight="1" x14ac:dyDescent="0.25">
      <c r="T28448" s="135"/>
      <c r="U28448" s="135"/>
    </row>
    <row r="28449" spans="20:21" ht="15" customHeight="1" x14ac:dyDescent="0.25">
      <c r="T28449" s="135"/>
      <c r="U28449" s="135"/>
    </row>
    <row r="28450" spans="20:21" ht="15" customHeight="1" x14ac:dyDescent="0.25">
      <c r="T28450" s="135"/>
      <c r="U28450" s="135"/>
    </row>
    <row r="28451" spans="20:21" ht="15" customHeight="1" x14ac:dyDescent="0.25">
      <c r="T28451" s="135"/>
      <c r="U28451" s="135"/>
    </row>
    <row r="28452" spans="20:21" ht="15" customHeight="1" x14ac:dyDescent="0.25">
      <c r="T28452" s="135"/>
      <c r="U28452" s="135"/>
    </row>
    <row r="28453" spans="20:21" ht="15" customHeight="1" x14ac:dyDescent="0.25">
      <c r="T28453" s="135"/>
      <c r="U28453" s="135"/>
    </row>
    <row r="28454" spans="20:21" ht="15" customHeight="1" x14ac:dyDescent="0.25">
      <c r="T28454" s="135"/>
      <c r="U28454" s="135"/>
    </row>
    <row r="28455" spans="20:21" ht="15" customHeight="1" x14ac:dyDescent="0.25">
      <c r="T28455" s="135"/>
      <c r="U28455" s="135"/>
    </row>
    <row r="28456" spans="20:21" ht="15" customHeight="1" x14ac:dyDescent="0.25">
      <c r="T28456" s="135"/>
      <c r="U28456" s="135"/>
    </row>
    <row r="28457" spans="20:21" ht="15" customHeight="1" x14ac:dyDescent="0.25">
      <c r="T28457" s="135"/>
      <c r="U28457" s="135"/>
    </row>
    <row r="28458" spans="20:21" ht="15" customHeight="1" x14ac:dyDescent="0.25">
      <c r="T28458" s="135"/>
      <c r="U28458" s="135"/>
    </row>
    <row r="28459" spans="20:21" ht="15" customHeight="1" x14ac:dyDescent="0.25">
      <c r="T28459" s="135"/>
      <c r="U28459" s="135"/>
    </row>
    <row r="28460" spans="20:21" ht="15" customHeight="1" x14ac:dyDescent="0.25">
      <c r="T28460" s="135"/>
      <c r="U28460" s="135"/>
    </row>
    <row r="28461" spans="20:21" ht="15" customHeight="1" x14ac:dyDescent="0.25">
      <c r="T28461" s="135"/>
      <c r="U28461" s="135"/>
    </row>
    <row r="28462" spans="20:21" ht="15" customHeight="1" x14ac:dyDescent="0.25">
      <c r="T28462" s="135"/>
      <c r="U28462" s="135"/>
    </row>
    <row r="28463" spans="20:21" ht="15" customHeight="1" x14ac:dyDescent="0.25">
      <c r="T28463" s="135"/>
      <c r="U28463" s="135"/>
    </row>
    <row r="28464" spans="20:21" ht="15" customHeight="1" x14ac:dyDescent="0.25">
      <c r="T28464" s="135"/>
      <c r="U28464" s="135"/>
    </row>
    <row r="28465" spans="20:21" ht="15" customHeight="1" x14ac:dyDescent="0.25">
      <c r="T28465" s="135"/>
      <c r="U28465" s="135"/>
    </row>
    <row r="28466" spans="20:21" ht="15" customHeight="1" x14ac:dyDescent="0.25">
      <c r="T28466" s="135"/>
      <c r="U28466" s="135"/>
    </row>
    <row r="28467" spans="20:21" ht="15" customHeight="1" x14ac:dyDescent="0.25">
      <c r="T28467" s="135"/>
      <c r="U28467" s="135"/>
    </row>
    <row r="28468" spans="20:21" ht="15" customHeight="1" x14ac:dyDescent="0.25">
      <c r="T28468" s="135"/>
      <c r="U28468" s="135"/>
    </row>
    <row r="28469" spans="20:21" ht="15" customHeight="1" x14ac:dyDescent="0.25">
      <c r="T28469" s="135"/>
      <c r="U28469" s="135"/>
    </row>
    <row r="28470" spans="20:21" ht="15" customHeight="1" x14ac:dyDescent="0.25">
      <c r="T28470" s="135"/>
      <c r="U28470" s="135"/>
    </row>
    <row r="28471" spans="20:21" ht="15" customHeight="1" x14ac:dyDescent="0.25">
      <c r="T28471" s="135"/>
      <c r="U28471" s="135"/>
    </row>
    <row r="28472" spans="20:21" ht="15" customHeight="1" x14ac:dyDescent="0.25">
      <c r="T28472" s="135"/>
      <c r="U28472" s="135"/>
    </row>
    <row r="28473" spans="20:21" ht="15" customHeight="1" x14ac:dyDescent="0.25">
      <c r="T28473" s="135"/>
      <c r="U28473" s="135"/>
    </row>
    <row r="28474" spans="20:21" ht="15" customHeight="1" x14ac:dyDescent="0.25">
      <c r="T28474" s="135"/>
      <c r="U28474" s="135"/>
    </row>
    <row r="28475" spans="20:21" ht="15" customHeight="1" x14ac:dyDescent="0.25">
      <c r="T28475" s="135"/>
      <c r="U28475" s="135"/>
    </row>
    <row r="28476" spans="20:21" ht="15" customHeight="1" x14ac:dyDescent="0.25">
      <c r="T28476" s="135"/>
      <c r="U28476" s="135"/>
    </row>
    <row r="28477" spans="20:21" ht="15" customHeight="1" x14ac:dyDescent="0.25">
      <c r="T28477" s="135"/>
      <c r="U28477" s="135"/>
    </row>
    <row r="28478" spans="20:21" ht="15" customHeight="1" x14ac:dyDescent="0.25">
      <c r="T28478" s="135"/>
      <c r="U28478" s="135"/>
    </row>
    <row r="28479" spans="20:21" ht="15" customHeight="1" x14ac:dyDescent="0.25">
      <c r="T28479" s="135"/>
      <c r="U28479" s="135"/>
    </row>
    <row r="28480" spans="20:21" ht="15" customHeight="1" x14ac:dyDescent="0.25">
      <c r="T28480" s="135"/>
      <c r="U28480" s="135"/>
    </row>
    <row r="28481" spans="20:21" ht="15" customHeight="1" x14ac:dyDescent="0.25">
      <c r="T28481" s="135"/>
      <c r="U28481" s="135"/>
    </row>
    <row r="28482" spans="20:21" ht="15" customHeight="1" x14ac:dyDescent="0.25">
      <c r="T28482" s="135"/>
      <c r="U28482" s="135"/>
    </row>
    <row r="28483" spans="20:21" ht="15" customHeight="1" x14ac:dyDescent="0.25">
      <c r="T28483" s="135"/>
      <c r="U28483" s="135"/>
    </row>
    <row r="28484" spans="20:21" ht="15" customHeight="1" x14ac:dyDescent="0.25">
      <c r="T28484" s="135"/>
      <c r="U28484" s="135"/>
    </row>
    <row r="28485" spans="20:21" ht="15" customHeight="1" x14ac:dyDescent="0.25">
      <c r="T28485" s="135"/>
      <c r="U28485" s="135"/>
    </row>
    <row r="28486" spans="20:21" ht="15" customHeight="1" x14ac:dyDescent="0.25">
      <c r="T28486" s="135"/>
      <c r="U28486" s="135"/>
    </row>
    <row r="28487" spans="20:21" ht="15" customHeight="1" x14ac:dyDescent="0.25">
      <c r="T28487" s="135"/>
      <c r="U28487" s="135"/>
    </row>
    <row r="28488" spans="20:21" ht="15" customHeight="1" x14ac:dyDescent="0.25">
      <c r="T28488" s="135"/>
      <c r="U28488" s="135"/>
    </row>
    <row r="28489" spans="20:21" ht="15" customHeight="1" x14ac:dyDescent="0.25">
      <c r="T28489" s="135"/>
      <c r="U28489" s="135"/>
    </row>
    <row r="28490" spans="20:21" ht="15" customHeight="1" x14ac:dyDescent="0.25">
      <c r="T28490" s="135"/>
      <c r="U28490" s="135"/>
    </row>
    <row r="28491" spans="20:21" ht="15" customHeight="1" x14ac:dyDescent="0.25">
      <c r="T28491" s="135"/>
      <c r="U28491" s="135"/>
    </row>
    <row r="28492" spans="20:21" ht="15" customHeight="1" x14ac:dyDescent="0.25">
      <c r="T28492" s="135"/>
      <c r="U28492" s="135"/>
    </row>
    <row r="28493" spans="20:21" ht="15" customHeight="1" x14ac:dyDescent="0.25">
      <c r="T28493" s="135"/>
      <c r="U28493" s="135"/>
    </row>
    <row r="28494" spans="20:21" ht="15" customHeight="1" x14ac:dyDescent="0.25">
      <c r="T28494" s="135"/>
      <c r="U28494" s="135"/>
    </row>
    <row r="28495" spans="20:21" ht="15" customHeight="1" x14ac:dyDescent="0.25">
      <c r="T28495" s="135"/>
      <c r="U28495" s="135"/>
    </row>
    <row r="28496" spans="20:21" ht="15" customHeight="1" x14ac:dyDescent="0.25">
      <c r="T28496" s="135"/>
      <c r="U28496" s="135"/>
    </row>
    <row r="28497" spans="20:21" ht="15" customHeight="1" x14ac:dyDescent="0.25">
      <c r="T28497" s="135"/>
      <c r="U28497" s="135"/>
    </row>
    <row r="28498" spans="20:21" ht="15" customHeight="1" x14ac:dyDescent="0.25">
      <c r="T28498" s="135"/>
      <c r="U28498" s="135"/>
    </row>
    <row r="28499" spans="20:21" ht="15" customHeight="1" x14ac:dyDescent="0.25">
      <c r="T28499" s="135"/>
      <c r="U28499" s="135"/>
    </row>
    <row r="28500" spans="20:21" ht="15" customHeight="1" x14ac:dyDescent="0.25">
      <c r="T28500" s="135"/>
      <c r="U28500" s="135"/>
    </row>
    <row r="28501" spans="20:21" ht="15" customHeight="1" x14ac:dyDescent="0.25">
      <c r="T28501" s="135"/>
      <c r="U28501" s="135"/>
    </row>
    <row r="28502" spans="20:21" ht="15" customHeight="1" x14ac:dyDescent="0.25">
      <c r="T28502" s="135"/>
      <c r="U28502" s="135"/>
    </row>
    <row r="28503" spans="20:21" ht="15" customHeight="1" x14ac:dyDescent="0.25">
      <c r="T28503" s="135"/>
      <c r="U28503" s="135"/>
    </row>
    <row r="28504" spans="20:21" ht="15" customHeight="1" x14ac:dyDescent="0.25">
      <c r="T28504" s="135"/>
      <c r="U28504" s="135"/>
    </row>
    <row r="28505" spans="20:21" ht="15" customHeight="1" x14ac:dyDescent="0.25">
      <c r="T28505" s="135"/>
      <c r="U28505" s="135"/>
    </row>
    <row r="28506" spans="20:21" ht="15" customHeight="1" x14ac:dyDescent="0.25">
      <c r="T28506" s="135"/>
      <c r="U28506" s="135"/>
    </row>
    <row r="28507" spans="20:21" ht="15" customHeight="1" x14ac:dyDescent="0.25">
      <c r="T28507" s="135"/>
      <c r="U28507" s="135"/>
    </row>
    <row r="28508" spans="20:21" ht="15" customHeight="1" x14ac:dyDescent="0.25">
      <c r="T28508" s="135"/>
      <c r="U28508" s="135"/>
    </row>
    <row r="28509" spans="20:21" ht="15" customHeight="1" x14ac:dyDescent="0.25">
      <c r="T28509" s="135"/>
      <c r="U28509" s="135"/>
    </row>
    <row r="28510" spans="20:21" ht="15" customHeight="1" x14ac:dyDescent="0.25">
      <c r="T28510" s="135"/>
      <c r="U28510" s="135"/>
    </row>
    <row r="28511" spans="20:21" ht="15" customHeight="1" x14ac:dyDescent="0.25">
      <c r="T28511" s="135"/>
      <c r="U28511" s="135"/>
    </row>
    <row r="28512" spans="20:21" ht="15" customHeight="1" x14ac:dyDescent="0.25">
      <c r="T28512" s="135"/>
      <c r="U28512" s="135"/>
    </row>
    <row r="28513" spans="20:21" ht="15" customHeight="1" x14ac:dyDescent="0.25">
      <c r="T28513" s="135"/>
      <c r="U28513" s="135"/>
    </row>
    <row r="28514" spans="20:21" ht="15" customHeight="1" x14ac:dyDescent="0.25">
      <c r="T28514" s="135"/>
      <c r="U28514" s="135"/>
    </row>
    <row r="28515" spans="20:21" ht="15" customHeight="1" x14ac:dyDescent="0.25">
      <c r="T28515" s="135"/>
      <c r="U28515" s="135"/>
    </row>
    <row r="28516" spans="20:21" ht="15" customHeight="1" x14ac:dyDescent="0.25">
      <c r="T28516" s="135"/>
      <c r="U28516" s="135"/>
    </row>
    <row r="28517" spans="20:21" ht="15" customHeight="1" x14ac:dyDescent="0.25">
      <c r="T28517" s="135"/>
      <c r="U28517" s="135"/>
    </row>
    <row r="28518" spans="20:21" ht="15" customHeight="1" x14ac:dyDescent="0.25">
      <c r="T28518" s="135"/>
      <c r="U28518" s="135"/>
    </row>
    <row r="28519" spans="20:21" ht="15" customHeight="1" x14ac:dyDescent="0.25">
      <c r="T28519" s="135"/>
      <c r="U28519" s="135"/>
    </row>
    <row r="28520" spans="20:21" ht="15" customHeight="1" x14ac:dyDescent="0.25">
      <c r="T28520" s="135"/>
      <c r="U28520" s="135"/>
    </row>
    <row r="28521" spans="20:21" ht="15" customHeight="1" x14ac:dyDescent="0.25">
      <c r="T28521" s="135"/>
      <c r="U28521" s="135"/>
    </row>
    <row r="28522" spans="20:21" ht="15" customHeight="1" x14ac:dyDescent="0.25">
      <c r="T28522" s="135"/>
      <c r="U28522" s="135"/>
    </row>
    <row r="28523" spans="20:21" ht="15" customHeight="1" x14ac:dyDescent="0.25">
      <c r="T28523" s="135"/>
      <c r="U28523" s="135"/>
    </row>
    <row r="28524" spans="20:21" ht="15" customHeight="1" x14ac:dyDescent="0.25">
      <c r="T28524" s="135"/>
      <c r="U28524" s="135"/>
    </row>
    <row r="28525" spans="20:21" ht="15" customHeight="1" x14ac:dyDescent="0.25">
      <c r="T28525" s="135"/>
      <c r="U28525" s="135"/>
    </row>
    <row r="28526" spans="20:21" ht="15" customHeight="1" x14ac:dyDescent="0.25">
      <c r="T28526" s="135"/>
      <c r="U28526" s="135"/>
    </row>
    <row r="28527" spans="20:21" ht="15" customHeight="1" x14ac:dyDescent="0.25">
      <c r="T28527" s="135"/>
      <c r="U28527" s="135"/>
    </row>
    <row r="28528" spans="20:21" ht="15" customHeight="1" x14ac:dyDescent="0.25">
      <c r="T28528" s="135"/>
      <c r="U28528" s="135"/>
    </row>
    <row r="28529" spans="20:21" ht="15" customHeight="1" x14ac:dyDescent="0.25">
      <c r="T28529" s="135"/>
      <c r="U28529" s="135"/>
    </row>
    <row r="28530" spans="20:21" ht="15" customHeight="1" x14ac:dyDescent="0.25">
      <c r="T28530" s="135"/>
      <c r="U28530" s="135"/>
    </row>
    <row r="28531" spans="20:21" ht="15" customHeight="1" x14ac:dyDescent="0.25">
      <c r="T28531" s="135"/>
      <c r="U28531" s="135"/>
    </row>
    <row r="28532" spans="20:21" ht="15" customHeight="1" x14ac:dyDescent="0.25">
      <c r="T28532" s="135"/>
      <c r="U28532" s="135"/>
    </row>
    <row r="28533" spans="20:21" ht="15" customHeight="1" x14ac:dyDescent="0.25">
      <c r="T28533" s="135"/>
      <c r="U28533" s="135"/>
    </row>
    <row r="28534" spans="20:21" ht="15" customHeight="1" x14ac:dyDescent="0.25">
      <c r="T28534" s="135"/>
      <c r="U28534" s="135"/>
    </row>
    <row r="28535" spans="20:21" ht="15" customHeight="1" x14ac:dyDescent="0.25">
      <c r="T28535" s="135"/>
      <c r="U28535" s="135"/>
    </row>
    <row r="28536" spans="20:21" ht="15" customHeight="1" x14ac:dyDescent="0.25">
      <c r="T28536" s="135"/>
      <c r="U28536" s="135"/>
    </row>
    <row r="28537" spans="20:21" ht="15" customHeight="1" x14ac:dyDescent="0.25">
      <c r="T28537" s="135"/>
      <c r="U28537" s="135"/>
    </row>
    <row r="28538" spans="20:21" ht="15" customHeight="1" x14ac:dyDescent="0.25">
      <c r="T28538" s="135"/>
      <c r="U28538" s="135"/>
    </row>
    <row r="28539" spans="20:21" ht="15" customHeight="1" x14ac:dyDescent="0.25">
      <c r="T28539" s="135"/>
      <c r="U28539" s="135"/>
    </row>
    <row r="28540" spans="20:21" ht="15" customHeight="1" x14ac:dyDescent="0.25">
      <c r="T28540" s="135"/>
      <c r="U28540" s="135"/>
    </row>
    <row r="28541" spans="20:21" ht="15" customHeight="1" x14ac:dyDescent="0.25">
      <c r="T28541" s="135"/>
      <c r="U28541" s="135"/>
    </row>
    <row r="28542" spans="20:21" ht="15" customHeight="1" x14ac:dyDescent="0.25">
      <c r="T28542" s="135"/>
      <c r="U28542" s="135"/>
    </row>
    <row r="28543" spans="20:21" ht="15" customHeight="1" x14ac:dyDescent="0.25">
      <c r="T28543" s="135"/>
      <c r="U28543" s="135"/>
    </row>
    <row r="28544" spans="20:21" ht="15" customHeight="1" x14ac:dyDescent="0.25">
      <c r="T28544" s="135"/>
      <c r="U28544" s="135"/>
    </row>
    <row r="28545" spans="20:21" ht="15" customHeight="1" x14ac:dyDescent="0.25">
      <c r="T28545" s="135"/>
      <c r="U28545" s="135"/>
    </row>
    <row r="28546" spans="20:21" ht="15" customHeight="1" x14ac:dyDescent="0.25">
      <c r="T28546" s="135"/>
      <c r="U28546" s="135"/>
    </row>
    <row r="28547" spans="20:21" ht="15" customHeight="1" x14ac:dyDescent="0.25">
      <c r="T28547" s="135"/>
      <c r="U28547" s="135"/>
    </row>
    <row r="28548" spans="20:21" ht="15" customHeight="1" x14ac:dyDescent="0.25">
      <c r="T28548" s="135"/>
      <c r="U28548" s="135"/>
    </row>
    <row r="28549" spans="20:21" ht="15" customHeight="1" x14ac:dyDescent="0.25">
      <c r="T28549" s="135"/>
      <c r="U28549" s="135"/>
    </row>
    <row r="28550" spans="20:21" ht="15" customHeight="1" x14ac:dyDescent="0.25">
      <c r="T28550" s="135"/>
      <c r="U28550" s="135"/>
    </row>
    <row r="28551" spans="20:21" ht="15" customHeight="1" x14ac:dyDescent="0.25">
      <c r="T28551" s="135"/>
      <c r="U28551" s="135"/>
    </row>
    <row r="28552" spans="20:21" ht="15" customHeight="1" x14ac:dyDescent="0.25">
      <c r="T28552" s="135"/>
      <c r="U28552" s="135"/>
    </row>
    <row r="28553" spans="20:21" ht="15" customHeight="1" x14ac:dyDescent="0.25">
      <c r="T28553" s="135"/>
      <c r="U28553" s="135"/>
    </row>
    <row r="28554" spans="20:21" ht="15" customHeight="1" x14ac:dyDescent="0.25">
      <c r="T28554" s="135"/>
      <c r="U28554" s="135"/>
    </row>
    <row r="28555" spans="20:21" ht="15" customHeight="1" x14ac:dyDescent="0.25">
      <c r="T28555" s="135"/>
      <c r="U28555" s="135"/>
    </row>
    <row r="28556" spans="20:21" ht="15" customHeight="1" x14ac:dyDescent="0.25">
      <c r="T28556" s="135"/>
      <c r="U28556" s="135"/>
    </row>
    <row r="28557" spans="20:21" ht="15" customHeight="1" x14ac:dyDescent="0.25">
      <c r="T28557" s="135"/>
      <c r="U28557" s="135"/>
    </row>
    <row r="28558" spans="20:21" ht="15" customHeight="1" x14ac:dyDescent="0.25">
      <c r="T28558" s="135"/>
      <c r="U28558" s="135"/>
    </row>
    <row r="28559" spans="20:21" ht="15" customHeight="1" x14ac:dyDescent="0.25">
      <c r="T28559" s="135"/>
      <c r="U28559" s="135"/>
    </row>
    <row r="28560" spans="20:21" ht="15" customHeight="1" x14ac:dyDescent="0.25">
      <c r="T28560" s="135"/>
      <c r="U28560" s="135"/>
    </row>
    <row r="28561" spans="20:21" ht="15" customHeight="1" x14ac:dyDescent="0.25">
      <c r="T28561" s="135"/>
      <c r="U28561" s="135"/>
    </row>
    <row r="28562" spans="20:21" ht="15" customHeight="1" x14ac:dyDescent="0.25">
      <c r="T28562" s="135"/>
      <c r="U28562" s="135"/>
    </row>
    <row r="28563" spans="20:21" ht="15" customHeight="1" x14ac:dyDescent="0.25">
      <c r="T28563" s="135"/>
      <c r="U28563" s="135"/>
    </row>
    <row r="28564" spans="20:21" ht="15" customHeight="1" x14ac:dyDescent="0.25">
      <c r="T28564" s="135"/>
      <c r="U28564" s="135"/>
    </row>
    <row r="28565" spans="20:21" ht="15" customHeight="1" x14ac:dyDescent="0.25">
      <c r="T28565" s="135"/>
      <c r="U28565" s="135"/>
    </row>
    <row r="28566" spans="20:21" ht="15" customHeight="1" x14ac:dyDescent="0.25">
      <c r="T28566" s="135"/>
      <c r="U28566" s="135"/>
    </row>
    <row r="28567" spans="20:21" ht="15" customHeight="1" x14ac:dyDescent="0.25">
      <c r="T28567" s="135"/>
      <c r="U28567" s="135"/>
    </row>
    <row r="28568" spans="20:21" ht="15" customHeight="1" x14ac:dyDescent="0.25">
      <c r="T28568" s="135"/>
      <c r="U28568" s="135"/>
    </row>
    <row r="28569" spans="20:21" ht="15" customHeight="1" x14ac:dyDescent="0.25">
      <c r="T28569" s="135"/>
      <c r="U28569" s="135"/>
    </row>
    <row r="28570" spans="20:21" ht="15" customHeight="1" x14ac:dyDescent="0.25">
      <c r="T28570" s="135"/>
      <c r="U28570" s="135"/>
    </row>
    <row r="28571" spans="20:21" ht="15" customHeight="1" x14ac:dyDescent="0.25">
      <c r="T28571" s="135"/>
      <c r="U28571" s="135"/>
    </row>
    <row r="28572" spans="20:21" ht="15" customHeight="1" x14ac:dyDescent="0.25">
      <c r="T28572" s="135"/>
      <c r="U28572" s="135"/>
    </row>
    <row r="28573" spans="20:21" ht="15" customHeight="1" x14ac:dyDescent="0.25">
      <c r="T28573" s="135"/>
      <c r="U28573" s="135"/>
    </row>
    <row r="28574" spans="20:21" ht="15" customHeight="1" x14ac:dyDescent="0.25">
      <c r="T28574" s="135"/>
      <c r="U28574" s="135"/>
    </row>
    <row r="28575" spans="20:21" ht="15" customHeight="1" x14ac:dyDescent="0.25">
      <c r="T28575" s="135"/>
      <c r="U28575" s="135"/>
    </row>
    <row r="28576" spans="20:21" ht="15" customHeight="1" x14ac:dyDescent="0.25">
      <c r="T28576" s="135"/>
      <c r="U28576" s="135"/>
    </row>
    <row r="28577" spans="20:21" ht="15" customHeight="1" x14ac:dyDescent="0.25">
      <c r="T28577" s="135"/>
      <c r="U28577" s="135"/>
    </row>
    <row r="28578" spans="20:21" ht="15" customHeight="1" x14ac:dyDescent="0.25">
      <c r="T28578" s="135"/>
      <c r="U28578" s="135"/>
    </row>
    <row r="28579" spans="20:21" ht="15" customHeight="1" x14ac:dyDescent="0.25">
      <c r="T28579" s="135"/>
      <c r="U28579" s="135"/>
    </row>
    <row r="28580" spans="20:21" ht="15" customHeight="1" x14ac:dyDescent="0.25">
      <c r="T28580" s="135"/>
      <c r="U28580" s="135"/>
    </row>
    <row r="28581" spans="20:21" ht="15" customHeight="1" x14ac:dyDescent="0.25">
      <c r="T28581" s="135"/>
      <c r="U28581" s="135"/>
    </row>
    <row r="28582" spans="20:21" ht="15" customHeight="1" x14ac:dyDescent="0.25">
      <c r="T28582" s="135"/>
      <c r="U28582" s="135"/>
    </row>
    <row r="28583" spans="20:21" ht="15" customHeight="1" x14ac:dyDescent="0.25">
      <c r="T28583" s="135"/>
      <c r="U28583" s="135"/>
    </row>
    <row r="28584" spans="20:21" ht="15" customHeight="1" x14ac:dyDescent="0.25">
      <c r="T28584" s="135"/>
      <c r="U28584" s="135"/>
    </row>
    <row r="28585" spans="20:21" ht="15" customHeight="1" x14ac:dyDescent="0.25">
      <c r="T28585" s="135"/>
      <c r="U28585" s="135"/>
    </row>
    <row r="28586" spans="20:21" ht="15" customHeight="1" x14ac:dyDescent="0.25">
      <c r="T28586" s="135"/>
      <c r="U28586" s="135"/>
    </row>
    <row r="28587" spans="20:21" ht="15" customHeight="1" x14ac:dyDescent="0.25">
      <c r="T28587" s="135"/>
      <c r="U28587" s="135"/>
    </row>
    <row r="28588" spans="20:21" ht="15" customHeight="1" x14ac:dyDescent="0.25">
      <c r="T28588" s="135"/>
      <c r="U28588" s="135"/>
    </row>
    <row r="28589" spans="20:21" ht="15" customHeight="1" x14ac:dyDescent="0.25">
      <c r="T28589" s="135"/>
      <c r="U28589" s="135"/>
    </row>
    <row r="28590" spans="20:21" ht="15" customHeight="1" x14ac:dyDescent="0.25">
      <c r="T28590" s="135"/>
      <c r="U28590" s="135"/>
    </row>
    <row r="28591" spans="20:21" ht="15" customHeight="1" x14ac:dyDescent="0.25">
      <c r="T28591" s="135"/>
      <c r="U28591" s="135"/>
    </row>
    <row r="28592" spans="20:21" ht="15" customHeight="1" x14ac:dyDescent="0.25">
      <c r="T28592" s="135"/>
      <c r="U28592" s="135"/>
    </row>
    <row r="28593" spans="20:21" ht="15" customHeight="1" x14ac:dyDescent="0.25">
      <c r="T28593" s="135"/>
      <c r="U28593" s="135"/>
    </row>
    <row r="28594" spans="20:21" ht="15" customHeight="1" x14ac:dyDescent="0.25">
      <c r="T28594" s="135"/>
      <c r="U28594" s="135"/>
    </row>
    <row r="28595" spans="20:21" ht="15" customHeight="1" x14ac:dyDescent="0.25">
      <c r="T28595" s="135"/>
      <c r="U28595" s="135"/>
    </row>
    <row r="28596" spans="20:21" ht="15" customHeight="1" x14ac:dyDescent="0.25">
      <c r="T28596" s="135"/>
      <c r="U28596" s="135"/>
    </row>
    <row r="28597" spans="20:21" ht="15" customHeight="1" x14ac:dyDescent="0.25">
      <c r="T28597" s="135"/>
      <c r="U28597" s="135"/>
    </row>
    <row r="28598" spans="20:21" ht="15" customHeight="1" x14ac:dyDescent="0.25">
      <c r="T28598" s="135"/>
      <c r="U28598" s="135"/>
    </row>
    <row r="28599" spans="20:21" ht="15" customHeight="1" x14ac:dyDescent="0.25">
      <c r="T28599" s="135"/>
      <c r="U28599" s="135"/>
    </row>
    <row r="28600" spans="20:21" ht="15" customHeight="1" x14ac:dyDescent="0.25">
      <c r="T28600" s="135"/>
      <c r="U28600" s="135"/>
    </row>
    <row r="28601" spans="20:21" ht="15" customHeight="1" x14ac:dyDescent="0.25">
      <c r="T28601" s="135"/>
      <c r="U28601" s="135"/>
    </row>
    <row r="28602" spans="20:21" ht="15" customHeight="1" x14ac:dyDescent="0.25">
      <c r="T28602" s="135"/>
      <c r="U28602" s="135"/>
    </row>
    <row r="28603" spans="20:21" ht="15" customHeight="1" x14ac:dyDescent="0.25">
      <c r="T28603" s="135"/>
      <c r="U28603" s="135"/>
    </row>
    <row r="28604" spans="20:21" ht="15" customHeight="1" x14ac:dyDescent="0.25">
      <c r="T28604" s="135"/>
      <c r="U28604" s="135"/>
    </row>
    <row r="28605" spans="20:21" ht="15" customHeight="1" x14ac:dyDescent="0.25">
      <c r="T28605" s="135"/>
      <c r="U28605" s="135"/>
    </row>
    <row r="28606" spans="20:21" ht="15" customHeight="1" x14ac:dyDescent="0.25">
      <c r="T28606" s="135"/>
      <c r="U28606" s="135"/>
    </row>
    <row r="28607" spans="20:21" ht="15" customHeight="1" x14ac:dyDescent="0.25">
      <c r="T28607" s="135"/>
      <c r="U28607" s="135"/>
    </row>
    <row r="28608" spans="20:21" ht="15" customHeight="1" x14ac:dyDescent="0.25">
      <c r="T28608" s="135"/>
      <c r="U28608" s="135"/>
    </row>
    <row r="28609" spans="20:21" ht="15" customHeight="1" x14ac:dyDescent="0.25">
      <c r="T28609" s="135"/>
      <c r="U28609" s="135"/>
    </row>
    <row r="28610" spans="20:21" ht="15" customHeight="1" x14ac:dyDescent="0.25">
      <c r="T28610" s="135"/>
      <c r="U28610" s="135"/>
    </row>
    <row r="28611" spans="20:21" ht="15" customHeight="1" x14ac:dyDescent="0.25">
      <c r="T28611" s="135"/>
      <c r="U28611" s="135"/>
    </row>
    <row r="28612" spans="20:21" ht="15" customHeight="1" x14ac:dyDescent="0.25">
      <c r="T28612" s="135"/>
      <c r="U28612" s="135"/>
    </row>
    <row r="28613" spans="20:21" ht="15" customHeight="1" x14ac:dyDescent="0.25">
      <c r="T28613" s="135"/>
      <c r="U28613" s="135"/>
    </row>
    <row r="28614" spans="20:21" ht="15" customHeight="1" x14ac:dyDescent="0.25">
      <c r="T28614" s="135"/>
      <c r="U28614" s="135"/>
    </row>
    <row r="28615" spans="20:21" ht="15" customHeight="1" x14ac:dyDescent="0.25">
      <c r="T28615" s="135"/>
      <c r="U28615" s="135"/>
    </row>
    <row r="28616" spans="20:21" ht="15" customHeight="1" x14ac:dyDescent="0.25">
      <c r="T28616" s="135"/>
      <c r="U28616" s="135"/>
    </row>
    <row r="28617" spans="20:21" ht="15" customHeight="1" x14ac:dyDescent="0.25">
      <c r="T28617" s="135"/>
      <c r="U28617" s="135"/>
    </row>
    <row r="28618" spans="20:21" ht="15" customHeight="1" x14ac:dyDescent="0.25">
      <c r="T28618" s="135"/>
      <c r="U28618" s="135"/>
    </row>
    <row r="28619" spans="20:21" ht="15" customHeight="1" x14ac:dyDescent="0.25">
      <c r="T28619" s="135"/>
      <c r="U28619" s="135"/>
    </row>
    <row r="28620" spans="20:21" ht="15" customHeight="1" x14ac:dyDescent="0.25">
      <c r="T28620" s="135"/>
      <c r="U28620" s="135"/>
    </row>
    <row r="28621" spans="20:21" ht="15" customHeight="1" x14ac:dyDescent="0.25">
      <c r="T28621" s="135"/>
      <c r="U28621" s="135"/>
    </row>
    <row r="28622" spans="20:21" ht="15" customHeight="1" x14ac:dyDescent="0.25">
      <c r="T28622" s="135"/>
      <c r="U28622" s="135"/>
    </row>
    <row r="28623" spans="20:21" ht="15" customHeight="1" x14ac:dyDescent="0.25">
      <c r="T28623" s="135"/>
      <c r="U28623" s="135"/>
    </row>
    <row r="28624" spans="20:21" ht="15" customHeight="1" x14ac:dyDescent="0.25">
      <c r="T28624" s="135"/>
      <c r="U28624" s="135"/>
    </row>
    <row r="28625" spans="20:21" ht="15" customHeight="1" x14ac:dyDescent="0.25">
      <c r="T28625" s="135"/>
      <c r="U28625" s="135"/>
    </row>
    <row r="28626" spans="20:21" ht="15" customHeight="1" x14ac:dyDescent="0.25">
      <c r="T28626" s="135"/>
      <c r="U28626" s="135"/>
    </row>
    <row r="28627" spans="20:21" ht="15" customHeight="1" x14ac:dyDescent="0.25">
      <c r="T28627" s="135"/>
      <c r="U28627" s="135"/>
    </row>
    <row r="28628" spans="20:21" ht="15" customHeight="1" x14ac:dyDescent="0.25">
      <c r="T28628" s="135"/>
      <c r="U28628" s="135"/>
    </row>
    <row r="28629" spans="20:21" ht="15" customHeight="1" x14ac:dyDescent="0.25">
      <c r="T28629" s="135"/>
      <c r="U28629" s="135"/>
    </row>
    <row r="28630" spans="20:21" ht="15" customHeight="1" x14ac:dyDescent="0.25">
      <c r="T28630" s="135"/>
      <c r="U28630" s="135"/>
    </row>
    <row r="28631" spans="20:21" ht="15" customHeight="1" x14ac:dyDescent="0.25">
      <c r="T28631" s="135"/>
      <c r="U28631" s="135"/>
    </row>
    <row r="28632" spans="20:21" ht="15" customHeight="1" x14ac:dyDescent="0.25">
      <c r="T28632" s="135"/>
      <c r="U28632" s="135"/>
    </row>
    <row r="28633" spans="20:21" ht="15" customHeight="1" x14ac:dyDescent="0.25">
      <c r="T28633" s="135"/>
      <c r="U28633" s="135"/>
    </row>
    <row r="28634" spans="20:21" ht="15" customHeight="1" x14ac:dyDescent="0.25">
      <c r="T28634" s="135"/>
      <c r="U28634" s="135"/>
    </row>
    <row r="28635" spans="20:21" ht="15" customHeight="1" x14ac:dyDescent="0.25">
      <c r="T28635" s="135"/>
      <c r="U28635" s="135"/>
    </row>
    <row r="28636" spans="20:21" ht="15" customHeight="1" x14ac:dyDescent="0.25">
      <c r="T28636" s="135"/>
      <c r="U28636" s="135"/>
    </row>
    <row r="28637" spans="20:21" ht="15" customHeight="1" x14ac:dyDescent="0.25">
      <c r="T28637" s="135"/>
      <c r="U28637" s="135"/>
    </row>
    <row r="28638" spans="20:21" ht="15" customHeight="1" x14ac:dyDescent="0.25">
      <c r="T28638" s="135"/>
      <c r="U28638" s="135"/>
    </row>
    <row r="28639" spans="20:21" ht="15" customHeight="1" x14ac:dyDescent="0.25">
      <c r="T28639" s="135"/>
      <c r="U28639" s="135"/>
    </row>
    <row r="28640" spans="20:21" ht="15" customHeight="1" x14ac:dyDescent="0.25">
      <c r="T28640" s="135"/>
      <c r="U28640" s="135"/>
    </row>
    <row r="28641" spans="20:21" ht="15" customHeight="1" x14ac:dyDescent="0.25">
      <c r="T28641" s="135"/>
      <c r="U28641" s="135"/>
    </row>
    <row r="28642" spans="20:21" ht="15" customHeight="1" x14ac:dyDescent="0.25">
      <c r="T28642" s="135"/>
      <c r="U28642" s="135"/>
    </row>
    <row r="28643" spans="20:21" ht="15" customHeight="1" x14ac:dyDescent="0.25">
      <c r="T28643" s="135"/>
      <c r="U28643" s="135"/>
    </row>
    <row r="28644" spans="20:21" ht="15" customHeight="1" x14ac:dyDescent="0.25">
      <c r="T28644" s="135"/>
      <c r="U28644" s="135"/>
    </row>
    <row r="28645" spans="20:21" ht="15" customHeight="1" x14ac:dyDescent="0.25">
      <c r="T28645" s="135"/>
      <c r="U28645" s="135"/>
    </row>
    <row r="28646" spans="20:21" ht="15" customHeight="1" x14ac:dyDescent="0.25">
      <c r="T28646" s="135"/>
      <c r="U28646" s="135"/>
    </row>
    <row r="28647" spans="20:21" ht="15" customHeight="1" x14ac:dyDescent="0.25">
      <c r="T28647" s="135"/>
      <c r="U28647" s="135"/>
    </row>
    <row r="28648" spans="20:21" ht="15" customHeight="1" x14ac:dyDescent="0.25">
      <c r="T28648" s="135"/>
      <c r="U28648" s="135"/>
    </row>
    <row r="28649" spans="20:21" ht="15" customHeight="1" x14ac:dyDescent="0.25">
      <c r="T28649" s="135"/>
      <c r="U28649" s="135"/>
    </row>
    <row r="28650" spans="20:21" ht="15" customHeight="1" x14ac:dyDescent="0.25">
      <c r="T28650" s="135"/>
      <c r="U28650" s="135"/>
    </row>
    <row r="28651" spans="20:21" ht="15" customHeight="1" x14ac:dyDescent="0.25">
      <c r="T28651" s="135"/>
      <c r="U28651" s="135"/>
    </row>
    <row r="28652" spans="20:21" ht="15" customHeight="1" x14ac:dyDescent="0.25">
      <c r="T28652" s="135"/>
      <c r="U28652" s="135"/>
    </row>
    <row r="28653" spans="20:21" ht="15" customHeight="1" x14ac:dyDescent="0.25">
      <c r="T28653" s="135"/>
      <c r="U28653" s="135"/>
    </row>
    <row r="28654" spans="20:21" ht="15" customHeight="1" x14ac:dyDescent="0.25">
      <c r="T28654" s="135"/>
      <c r="U28654" s="135"/>
    </row>
    <row r="28655" spans="20:21" ht="15" customHeight="1" x14ac:dyDescent="0.25">
      <c r="T28655" s="135"/>
      <c r="U28655" s="135"/>
    </row>
    <row r="28656" spans="20:21" ht="15" customHeight="1" x14ac:dyDescent="0.25">
      <c r="T28656" s="135"/>
      <c r="U28656" s="135"/>
    </row>
    <row r="28657" spans="20:21" ht="15" customHeight="1" x14ac:dyDescent="0.25">
      <c r="T28657" s="135"/>
      <c r="U28657" s="135"/>
    </row>
    <row r="28658" spans="20:21" ht="15" customHeight="1" x14ac:dyDescent="0.25">
      <c r="T28658" s="135"/>
      <c r="U28658" s="135"/>
    </row>
    <row r="28659" spans="20:21" ht="15" customHeight="1" x14ac:dyDescent="0.25">
      <c r="T28659" s="135"/>
      <c r="U28659" s="135"/>
    </row>
    <row r="28660" spans="20:21" ht="15" customHeight="1" x14ac:dyDescent="0.25">
      <c r="T28660" s="135"/>
      <c r="U28660" s="135"/>
    </row>
    <row r="28661" spans="20:21" ht="15" customHeight="1" x14ac:dyDescent="0.25">
      <c r="T28661" s="135"/>
      <c r="U28661" s="135"/>
    </row>
    <row r="28662" spans="20:21" ht="15" customHeight="1" x14ac:dyDescent="0.25">
      <c r="T28662" s="135"/>
      <c r="U28662" s="135"/>
    </row>
    <row r="28663" spans="20:21" ht="15" customHeight="1" x14ac:dyDescent="0.25">
      <c r="T28663" s="135"/>
      <c r="U28663" s="135"/>
    </row>
    <row r="28664" spans="20:21" ht="15" customHeight="1" x14ac:dyDescent="0.25">
      <c r="T28664" s="135"/>
      <c r="U28664" s="135"/>
    </row>
    <row r="28665" spans="20:21" ht="15" customHeight="1" x14ac:dyDescent="0.25">
      <c r="T28665" s="135"/>
      <c r="U28665" s="135"/>
    </row>
    <row r="28666" spans="20:21" ht="15" customHeight="1" x14ac:dyDescent="0.25">
      <c r="T28666" s="135"/>
      <c r="U28666" s="135"/>
    </row>
    <row r="28667" spans="20:21" ht="15" customHeight="1" x14ac:dyDescent="0.25">
      <c r="T28667" s="135"/>
      <c r="U28667" s="135"/>
    </row>
    <row r="28668" spans="20:21" ht="15" customHeight="1" x14ac:dyDescent="0.25">
      <c r="T28668" s="135"/>
      <c r="U28668" s="135"/>
    </row>
    <row r="28669" spans="20:21" ht="15" customHeight="1" x14ac:dyDescent="0.25">
      <c r="T28669" s="135"/>
      <c r="U28669" s="135"/>
    </row>
    <row r="28670" spans="20:21" ht="15" customHeight="1" x14ac:dyDescent="0.25">
      <c r="T28670" s="135"/>
      <c r="U28670" s="135"/>
    </row>
    <row r="28671" spans="20:21" ht="15" customHeight="1" x14ac:dyDescent="0.25">
      <c r="T28671" s="135"/>
      <c r="U28671" s="135"/>
    </row>
    <row r="28672" spans="20:21" ht="15" customHeight="1" x14ac:dyDescent="0.25">
      <c r="T28672" s="135"/>
      <c r="U28672" s="135"/>
    </row>
    <row r="28673" spans="20:21" ht="15" customHeight="1" x14ac:dyDescent="0.25">
      <c r="T28673" s="135"/>
      <c r="U28673" s="135"/>
    </row>
    <row r="28674" spans="20:21" ht="15" customHeight="1" x14ac:dyDescent="0.25">
      <c r="T28674" s="135"/>
      <c r="U28674" s="135"/>
    </row>
    <row r="28675" spans="20:21" ht="15" customHeight="1" x14ac:dyDescent="0.25">
      <c r="T28675" s="135"/>
      <c r="U28675" s="135"/>
    </row>
    <row r="28676" spans="20:21" ht="15" customHeight="1" x14ac:dyDescent="0.25">
      <c r="T28676" s="135"/>
      <c r="U28676" s="135"/>
    </row>
    <row r="28677" spans="20:21" ht="15" customHeight="1" x14ac:dyDescent="0.25">
      <c r="T28677" s="135"/>
      <c r="U28677" s="135"/>
    </row>
    <row r="28678" spans="20:21" ht="15" customHeight="1" x14ac:dyDescent="0.25">
      <c r="T28678" s="135"/>
      <c r="U28678" s="135"/>
    </row>
    <row r="28679" spans="20:21" ht="15" customHeight="1" x14ac:dyDescent="0.25">
      <c r="T28679" s="135"/>
      <c r="U28679" s="135"/>
    </row>
    <row r="28680" spans="20:21" ht="15" customHeight="1" x14ac:dyDescent="0.25">
      <c r="T28680" s="135"/>
      <c r="U28680" s="135"/>
    </row>
    <row r="28681" spans="20:21" ht="15" customHeight="1" x14ac:dyDescent="0.25">
      <c r="T28681" s="135"/>
      <c r="U28681" s="135"/>
    </row>
    <row r="28682" spans="20:21" ht="15" customHeight="1" x14ac:dyDescent="0.25">
      <c r="T28682" s="135"/>
      <c r="U28682" s="135"/>
    </row>
    <row r="28683" spans="20:21" ht="15" customHeight="1" x14ac:dyDescent="0.25">
      <c r="T28683" s="135"/>
      <c r="U28683" s="135"/>
    </row>
    <row r="28684" spans="20:21" ht="15" customHeight="1" x14ac:dyDescent="0.25">
      <c r="T28684" s="135"/>
      <c r="U28684" s="135"/>
    </row>
    <row r="28685" spans="20:21" ht="15" customHeight="1" x14ac:dyDescent="0.25">
      <c r="T28685" s="135"/>
      <c r="U28685" s="135"/>
    </row>
    <row r="28686" spans="20:21" ht="15" customHeight="1" x14ac:dyDescent="0.25">
      <c r="T28686" s="135"/>
      <c r="U28686" s="135"/>
    </row>
    <row r="28687" spans="20:21" ht="15" customHeight="1" x14ac:dyDescent="0.25">
      <c r="T28687" s="135"/>
      <c r="U28687" s="135"/>
    </row>
    <row r="28688" spans="20:21" ht="15" customHeight="1" x14ac:dyDescent="0.25">
      <c r="T28688" s="135"/>
      <c r="U28688" s="135"/>
    </row>
    <row r="28689" spans="20:21" ht="15" customHeight="1" x14ac:dyDescent="0.25">
      <c r="T28689" s="135"/>
      <c r="U28689" s="135"/>
    </row>
    <row r="28690" spans="20:21" ht="15" customHeight="1" x14ac:dyDescent="0.25">
      <c r="T28690" s="135"/>
      <c r="U28690" s="135"/>
    </row>
    <row r="28691" spans="20:21" ht="15" customHeight="1" x14ac:dyDescent="0.25">
      <c r="T28691" s="135"/>
      <c r="U28691" s="135"/>
    </row>
    <row r="28692" spans="20:21" ht="15" customHeight="1" x14ac:dyDescent="0.25">
      <c r="T28692" s="135"/>
      <c r="U28692" s="135"/>
    </row>
    <row r="28693" spans="20:21" ht="15" customHeight="1" x14ac:dyDescent="0.25">
      <c r="T28693" s="135"/>
      <c r="U28693" s="135"/>
    </row>
    <row r="28694" spans="20:21" ht="15" customHeight="1" x14ac:dyDescent="0.25">
      <c r="T28694" s="135"/>
      <c r="U28694" s="135"/>
    </row>
    <row r="28695" spans="20:21" ht="15" customHeight="1" x14ac:dyDescent="0.25">
      <c r="T28695" s="135"/>
      <c r="U28695" s="135"/>
    </row>
    <row r="28696" spans="20:21" ht="15" customHeight="1" x14ac:dyDescent="0.25">
      <c r="T28696" s="135"/>
      <c r="U28696" s="135"/>
    </row>
    <row r="28697" spans="20:21" ht="15" customHeight="1" x14ac:dyDescent="0.25">
      <c r="T28697" s="135"/>
      <c r="U28697" s="135"/>
    </row>
    <row r="28698" spans="20:21" ht="15" customHeight="1" x14ac:dyDescent="0.25">
      <c r="T28698" s="135"/>
      <c r="U28698" s="135"/>
    </row>
    <row r="28699" spans="20:21" ht="15" customHeight="1" x14ac:dyDescent="0.25">
      <c r="T28699" s="135"/>
      <c r="U28699" s="135"/>
    </row>
    <row r="28700" spans="20:21" ht="15" customHeight="1" x14ac:dyDescent="0.25">
      <c r="T28700" s="135"/>
      <c r="U28700" s="135"/>
    </row>
    <row r="28701" spans="20:21" ht="15" customHeight="1" x14ac:dyDescent="0.25">
      <c r="T28701" s="135"/>
      <c r="U28701" s="135"/>
    </row>
    <row r="28702" spans="20:21" ht="15" customHeight="1" x14ac:dyDescent="0.25">
      <c r="T28702" s="135"/>
      <c r="U28702" s="135"/>
    </row>
    <row r="28703" spans="20:21" ht="15" customHeight="1" x14ac:dyDescent="0.25">
      <c r="T28703" s="135"/>
      <c r="U28703" s="135"/>
    </row>
    <row r="28704" spans="20:21" ht="15" customHeight="1" x14ac:dyDescent="0.25">
      <c r="T28704" s="135"/>
      <c r="U28704" s="135"/>
    </row>
    <row r="28705" spans="20:21" ht="15" customHeight="1" x14ac:dyDescent="0.25">
      <c r="T28705" s="135"/>
      <c r="U28705" s="135"/>
    </row>
    <row r="28706" spans="20:21" ht="15" customHeight="1" x14ac:dyDescent="0.25">
      <c r="T28706" s="135"/>
      <c r="U28706" s="135"/>
    </row>
    <row r="28707" spans="20:21" ht="15" customHeight="1" x14ac:dyDescent="0.25">
      <c r="T28707" s="135"/>
      <c r="U28707" s="135"/>
    </row>
    <row r="28708" spans="20:21" ht="15" customHeight="1" x14ac:dyDescent="0.25">
      <c r="T28708" s="135"/>
      <c r="U28708" s="135"/>
    </row>
    <row r="28709" spans="20:21" ht="15" customHeight="1" x14ac:dyDescent="0.25">
      <c r="T28709" s="135"/>
      <c r="U28709" s="135"/>
    </row>
    <row r="28710" spans="20:21" ht="15" customHeight="1" x14ac:dyDescent="0.25">
      <c r="T28710" s="135"/>
      <c r="U28710" s="135"/>
    </row>
    <row r="28711" spans="20:21" ht="15" customHeight="1" x14ac:dyDescent="0.25">
      <c r="T28711" s="135"/>
      <c r="U28711" s="135"/>
    </row>
    <row r="28712" spans="20:21" ht="15" customHeight="1" x14ac:dyDescent="0.25">
      <c r="T28712" s="135"/>
      <c r="U28712" s="135"/>
    </row>
    <row r="28713" spans="20:21" ht="15" customHeight="1" x14ac:dyDescent="0.25">
      <c r="T28713" s="135"/>
      <c r="U28713" s="135"/>
    </row>
    <row r="28714" spans="20:21" ht="15" customHeight="1" x14ac:dyDescent="0.25">
      <c r="T28714" s="135"/>
      <c r="U28714" s="135"/>
    </row>
    <row r="28715" spans="20:21" ht="15" customHeight="1" x14ac:dyDescent="0.25">
      <c r="T28715" s="135"/>
      <c r="U28715" s="135"/>
    </row>
    <row r="28716" spans="20:21" ht="15" customHeight="1" x14ac:dyDescent="0.25">
      <c r="T28716" s="135"/>
      <c r="U28716" s="135"/>
    </row>
    <row r="28717" spans="20:21" ht="15" customHeight="1" x14ac:dyDescent="0.25">
      <c r="T28717" s="135"/>
      <c r="U28717" s="135"/>
    </row>
    <row r="28718" spans="20:21" ht="15" customHeight="1" x14ac:dyDescent="0.25">
      <c r="T28718" s="135"/>
      <c r="U28718" s="135"/>
    </row>
    <row r="28719" spans="20:21" ht="15" customHeight="1" x14ac:dyDescent="0.25">
      <c r="T28719" s="135"/>
      <c r="U28719" s="135"/>
    </row>
    <row r="28720" spans="20:21" ht="15" customHeight="1" x14ac:dyDescent="0.25">
      <c r="T28720" s="135"/>
      <c r="U28720" s="135"/>
    </row>
    <row r="28721" spans="20:21" ht="15" customHeight="1" x14ac:dyDescent="0.25">
      <c r="T28721" s="135"/>
      <c r="U28721" s="135"/>
    </row>
    <row r="28722" spans="20:21" ht="15" customHeight="1" x14ac:dyDescent="0.25">
      <c r="T28722" s="135"/>
      <c r="U28722" s="135"/>
    </row>
    <row r="28723" spans="20:21" ht="15" customHeight="1" x14ac:dyDescent="0.25">
      <c r="T28723" s="135"/>
      <c r="U28723" s="135"/>
    </row>
    <row r="28724" spans="20:21" ht="15" customHeight="1" x14ac:dyDescent="0.25">
      <c r="T28724" s="135"/>
      <c r="U28724" s="135"/>
    </row>
    <row r="28725" spans="20:21" ht="15" customHeight="1" x14ac:dyDescent="0.25">
      <c r="T28725" s="135"/>
      <c r="U28725" s="135"/>
    </row>
    <row r="28726" spans="20:21" ht="15" customHeight="1" x14ac:dyDescent="0.25">
      <c r="T28726" s="135"/>
      <c r="U28726" s="135"/>
    </row>
    <row r="28727" spans="20:21" ht="15" customHeight="1" x14ac:dyDescent="0.25">
      <c r="T28727" s="135"/>
      <c r="U28727" s="135"/>
    </row>
    <row r="28728" spans="20:21" ht="15" customHeight="1" x14ac:dyDescent="0.25">
      <c r="T28728" s="135"/>
      <c r="U28728" s="135"/>
    </row>
    <row r="28729" spans="20:21" ht="15" customHeight="1" x14ac:dyDescent="0.25">
      <c r="T28729" s="135"/>
      <c r="U28729" s="135"/>
    </row>
    <row r="28730" spans="20:21" ht="15" customHeight="1" x14ac:dyDescent="0.25">
      <c r="T28730" s="135"/>
      <c r="U28730" s="135"/>
    </row>
    <row r="28731" spans="20:21" ht="15" customHeight="1" x14ac:dyDescent="0.25">
      <c r="T28731" s="135"/>
      <c r="U28731" s="135"/>
    </row>
    <row r="28732" spans="20:21" ht="15" customHeight="1" x14ac:dyDescent="0.25">
      <c r="T28732" s="135"/>
      <c r="U28732" s="135"/>
    </row>
    <row r="28733" spans="20:21" ht="15" customHeight="1" x14ac:dyDescent="0.25">
      <c r="T28733" s="135"/>
      <c r="U28733" s="135"/>
    </row>
    <row r="28734" spans="20:21" ht="15" customHeight="1" x14ac:dyDescent="0.25">
      <c r="T28734" s="135"/>
      <c r="U28734" s="135"/>
    </row>
    <row r="28735" spans="20:21" ht="15" customHeight="1" x14ac:dyDescent="0.25">
      <c r="T28735" s="135"/>
      <c r="U28735" s="135"/>
    </row>
    <row r="28736" spans="20:21" ht="15" customHeight="1" x14ac:dyDescent="0.25">
      <c r="T28736" s="135"/>
      <c r="U28736" s="135"/>
    </row>
    <row r="28737" spans="20:21" ht="15" customHeight="1" x14ac:dyDescent="0.25">
      <c r="T28737" s="135"/>
      <c r="U28737" s="135"/>
    </row>
    <row r="28738" spans="20:21" ht="15" customHeight="1" x14ac:dyDescent="0.25">
      <c r="T28738" s="135"/>
      <c r="U28738" s="135"/>
    </row>
    <row r="28739" spans="20:21" ht="15" customHeight="1" x14ac:dyDescent="0.25">
      <c r="T28739" s="135"/>
      <c r="U28739" s="135"/>
    </row>
    <row r="28740" spans="20:21" ht="15" customHeight="1" x14ac:dyDescent="0.25">
      <c r="T28740" s="135"/>
      <c r="U28740" s="135"/>
    </row>
    <row r="28741" spans="20:21" ht="15" customHeight="1" x14ac:dyDescent="0.25">
      <c r="T28741" s="135"/>
      <c r="U28741" s="135"/>
    </row>
    <row r="28742" spans="20:21" ht="15" customHeight="1" x14ac:dyDescent="0.25">
      <c r="T28742" s="135"/>
      <c r="U28742" s="135"/>
    </row>
    <row r="28743" spans="20:21" ht="15" customHeight="1" x14ac:dyDescent="0.25">
      <c r="T28743" s="135"/>
      <c r="U28743" s="135"/>
    </row>
    <row r="28744" spans="20:21" ht="15" customHeight="1" x14ac:dyDescent="0.25">
      <c r="T28744" s="135"/>
      <c r="U28744" s="135"/>
    </row>
    <row r="28745" spans="20:21" ht="15" customHeight="1" x14ac:dyDescent="0.25">
      <c r="T28745" s="135"/>
      <c r="U28745" s="135"/>
    </row>
    <row r="28746" spans="20:21" ht="15" customHeight="1" x14ac:dyDescent="0.25">
      <c r="T28746" s="135"/>
      <c r="U28746" s="135"/>
    </row>
    <row r="28747" spans="20:21" ht="15" customHeight="1" x14ac:dyDescent="0.25">
      <c r="T28747" s="135"/>
      <c r="U28747" s="135"/>
    </row>
    <row r="28748" spans="20:21" ht="15" customHeight="1" x14ac:dyDescent="0.25">
      <c r="T28748" s="135"/>
      <c r="U28748" s="135"/>
    </row>
    <row r="28749" spans="20:21" ht="15" customHeight="1" x14ac:dyDescent="0.25">
      <c r="T28749" s="135"/>
      <c r="U28749" s="135"/>
    </row>
    <row r="28750" spans="20:21" ht="15" customHeight="1" x14ac:dyDescent="0.25">
      <c r="T28750" s="135"/>
      <c r="U28750" s="135"/>
    </row>
    <row r="28751" spans="20:21" ht="15" customHeight="1" x14ac:dyDescent="0.25">
      <c r="T28751" s="135"/>
      <c r="U28751" s="135"/>
    </row>
    <row r="28752" spans="20:21" ht="15" customHeight="1" x14ac:dyDescent="0.25">
      <c r="T28752" s="135"/>
      <c r="U28752" s="135"/>
    </row>
    <row r="28753" spans="20:21" ht="15" customHeight="1" x14ac:dyDescent="0.25">
      <c r="T28753" s="135"/>
      <c r="U28753" s="135"/>
    </row>
    <row r="28754" spans="20:21" ht="15" customHeight="1" x14ac:dyDescent="0.25">
      <c r="T28754" s="135"/>
      <c r="U28754" s="135"/>
    </row>
    <row r="28755" spans="20:21" ht="15" customHeight="1" x14ac:dyDescent="0.25">
      <c r="T28755" s="135"/>
      <c r="U28755" s="135"/>
    </row>
    <row r="28756" spans="20:21" ht="15" customHeight="1" x14ac:dyDescent="0.25">
      <c r="T28756" s="135"/>
      <c r="U28756" s="135"/>
    </row>
    <row r="28757" spans="20:21" ht="15" customHeight="1" x14ac:dyDescent="0.25">
      <c r="T28757" s="135"/>
      <c r="U28757" s="135"/>
    </row>
    <row r="28758" spans="20:21" ht="15" customHeight="1" x14ac:dyDescent="0.25">
      <c r="T28758" s="135"/>
      <c r="U28758" s="135"/>
    </row>
    <row r="28759" spans="20:21" ht="15" customHeight="1" x14ac:dyDescent="0.25">
      <c r="T28759" s="135"/>
      <c r="U28759" s="135"/>
    </row>
    <row r="28760" spans="20:21" ht="15" customHeight="1" x14ac:dyDescent="0.25">
      <c r="T28760" s="135"/>
      <c r="U28760" s="135"/>
    </row>
    <row r="28761" spans="20:21" ht="15" customHeight="1" x14ac:dyDescent="0.25">
      <c r="T28761" s="135"/>
      <c r="U28761" s="135"/>
    </row>
    <row r="28762" spans="20:21" ht="15" customHeight="1" x14ac:dyDescent="0.25">
      <c r="T28762" s="135"/>
      <c r="U28762" s="135"/>
    </row>
    <row r="28763" spans="20:21" ht="15" customHeight="1" x14ac:dyDescent="0.25">
      <c r="T28763" s="135"/>
      <c r="U28763" s="135"/>
    </row>
    <row r="28764" spans="20:21" ht="15" customHeight="1" x14ac:dyDescent="0.25">
      <c r="T28764" s="135"/>
      <c r="U28764" s="135"/>
    </row>
    <row r="28765" spans="20:21" ht="15" customHeight="1" x14ac:dyDescent="0.25">
      <c r="T28765" s="135"/>
      <c r="U28765" s="135"/>
    </row>
    <row r="28766" spans="20:21" ht="15" customHeight="1" x14ac:dyDescent="0.25">
      <c r="T28766" s="135"/>
      <c r="U28766" s="135"/>
    </row>
    <row r="28767" spans="20:21" ht="15" customHeight="1" x14ac:dyDescent="0.25">
      <c r="T28767" s="135"/>
      <c r="U28767" s="135"/>
    </row>
    <row r="28768" spans="20:21" ht="15" customHeight="1" x14ac:dyDescent="0.25">
      <c r="T28768" s="135"/>
      <c r="U28768" s="135"/>
    </row>
    <row r="28769" spans="20:21" ht="15" customHeight="1" x14ac:dyDescent="0.25">
      <c r="T28769" s="135"/>
      <c r="U28769" s="135"/>
    </row>
    <row r="28770" spans="20:21" ht="15" customHeight="1" x14ac:dyDescent="0.25">
      <c r="T28770" s="135"/>
      <c r="U28770" s="135"/>
    </row>
    <row r="28771" spans="20:21" ht="15" customHeight="1" x14ac:dyDescent="0.25">
      <c r="T28771" s="135"/>
      <c r="U28771" s="135"/>
    </row>
    <row r="28772" spans="20:21" ht="15" customHeight="1" x14ac:dyDescent="0.25">
      <c r="T28772" s="135"/>
      <c r="U28772" s="135"/>
    </row>
    <row r="28773" spans="20:21" ht="15" customHeight="1" x14ac:dyDescent="0.25">
      <c r="T28773" s="135"/>
      <c r="U28773" s="135"/>
    </row>
    <row r="28774" spans="20:21" ht="15" customHeight="1" x14ac:dyDescent="0.25">
      <c r="T28774" s="135"/>
      <c r="U28774" s="135"/>
    </row>
    <row r="28775" spans="20:21" ht="15" customHeight="1" x14ac:dyDescent="0.25">
      <c r="T28775" s="135"/>
      <c r="U28775" s="135"/>
    </row>
    <row r="28776" spans="20:21" ht="15" customHeight="1" x14ac:dyDescent="0.25">
      <c r="T28776" s="135"/>
      <c r="U28776" s="135"/>
    </row>
    <row r="28777" spans="20:21" ht="15" customHeight="1" x14ac:dyDescent="0.25">
      <c r="T28777" s="135"/>
      <c r="U28777" s="135"/>
    </row>
    <row r="28778" spans="20:21" ht="15" customHeight="1" x14ac:dyDescent="0.25">
      <c r="T28778" s="135"/>
      <c r="U28778" s="135"/>
    </row>
    <row r="28779" spans="20:21" ht="15" customHeight="1" x14ac:dyDescent="0.25">
      <c r="T28779" s="135"/>
      <c r="U28779" s="135"/>
    </row>
    <row r="28780" spans="20:21" ht="15" customHeight="1" x14ac:dyDescent="0.25">
      <c r="T28780" s="135"/>
      <c r="U28780" s="135"/>
    </row>
    <row r="28781" spans="20:21" ht="15" customHeight="1" x14ac:dyDescent="0.25">
      <c r="T28781" s="135"/>
      <c r="U28781" s="135"/>
    </row>
    <row r="28782" spans="20:21" ht="15" customHeight="1" x14ac:dyDescent="0.25">
      <c r="T28782" s="135"/>
      <c r="U28782" s="135"/>
    </row>
    <row r="28783" spans="20:21" ht="15" customHeight="1" x14ac:dyDescent="0.25">
      <c r="T28783" s="135"/>
      <c r="U28783" s="135"/>
    </row>
    <row r="28784" spans="20:21" ht="15" customHeight="1" x14ac:dyDescent="0.25">
      <c r="T28784" s="135"/>
      <c r="U28784" s="135"/>
    </row>
    <row r="28785" spans="20:21" ht="15" customHeight="1" x14ac:dyDescent="0.25">
      <c r="T28785" s="135"/>
      <c r="U28785" s="135"/>
    </row>
    <row r="28786" spans="20:21" ht="15" customHeight="1" x14ac:dyDescent="0.25">
      <c r="T28786" s="135"/>
      <c r="U28786" s="135"/>
    </row>
    <row r="28787" spans="20:21" ht="15" customHeight="1" x14ac:dyDescent="0.25">
      <c r="T28787" s="135"/>
      <c r="U28787" s="135"/>
    </row>
    <row r="28788" spans="20:21" ht="15" customHeight="1" x14ac:dyDescent="0.25">
      <c r="T28788" s="135"/>
      <c r="U28788" s="135"/>
    </row>
    <row r="28789" spans="20:21" ht="15" customHeight="1" x14ac:dyDescent="0.25">
      <c r="T28789" s="135"/>
      <c r="U28789" s="135"/>
    </row>
    <row r="28790" spans="20:21" ht="15" customHeight="1" x14ac:dyDescent="0.25">
      <c r="T28790" s="135"/>
      <c r="U28790" s="135"/>
    </row>
    <row r="28791" spans="20:21" ht="15" customHeight="1" x14ac:dyDescent="0.25">
      <c r="T28791" s="135"/>
      <c r="U28791" s="135"/>
    </row>
    <row r="28792" spans="20:21" ht="15" customHeight="1" x14ac:dyDescent="0.25">
      <c r="T28792" s="135"/>
      <c r="U28792" s="135"/>
    </row>
    <row r="28793" spans="20:21" ht="15" customHeight="1" x14ac:dyDescent="0.25">
      <c r="T28793" s="135"/>
      <c r="U28793" s="135"/>
    </row>
    <row r="28794" spans="20:21" ht="15" customHeight="1" x14ac:dyDescent="0.25">
      <c r="T28794" s="135"/>
      <c r="U28794" s="135"/>
    </row>
    <row r="28795" spans="20:21" ht="15" customHeight="1" x14ac:dyDescent="0.25">
      <c r="T28795" s="135"/>
      <c r="U28795" s="135"/>
    </row>
    <row r="28796" spans="20:21" ht="15" customHeight="1" x14ac:dyDescent="0.25">
      <c r="T28796" s="135"/>
      <c r="U28796" s="135"/>
    </row>
    <row r="28797" spans="20:21" ht="15" customHeight="1" x14ac:dyDescent="0.25">
      <c r="T28797" s="135"/>
      <c r="U28797" s="135"/>
    </row>
    <row r="28798" spans="20:21" ht="15" customHeight="1" x14ac:dyDescent="0.25">
      <c r="T28798" s="135"/>
      <c r="U28798" s="135"/>
    </row>
    <row r="28799" spans="20:21" ht="15" customHeight="1" x14ac:dyDescent="0.25">
      <c r="T28799" s="135"/>
      <c r="U28799" s="135"/>
    </row>
    <row r="28800" spans="20:21" ht="15" customHeight="1" x14ac:dyDescent="0.25">
      <c r="T28800" s="135"/>
      <c r="U28800" s="135"/>
    </row>
    <row r="28801" spans="20:21" ht="15" customHeight="1" x14ac:dyDescent="0.25">
      <c r="T28801" s="135"/>
      <c r="U28801" s="135"/>
    </row>
    <row r="28802" spans="20:21" ht="15" customHeight="1" x14ac:dyDescent="0.25">
      <c r="T28802" s="135"/>
      <c r="U28802" s="135"/>
    </row>
    <row r="28803" spans="20:21" ht="15" customHeight="1" x14ac:dyDescent="0.25">
      <c r="T28803" s="135"/>
      <c r="U28803" s="135"/>
    </row>
    <row r="28804" spans="20:21" ht="15" customHeight="1" x14ac:dyDescent="0.25">
      <c r="T28804" s="135"/>
      <c r="U28804" s="135"/>
    </row>
    <row r="28805" spans="20:21" ht="15" customHeight="1" x14ac:dyDescent="0.25">
      <c r="T28805" s="135"/>
      <c r="U28805" s="135"/>
    </row>
    <row r="28806" spans="20:21" ht="15" customHeight="1" x14ac:dyDescent="0.25">
      <c r="T28806" s="135"/>
      <c r="U28806" s="135"/>
    </row>
    <row r="28807" spans="20:21" ht="15" customHeight="1" x14ac:dyDescent="0.25">
      <c r="T28807" s="135"/>
      <c r="U28807" s="135"/>
    </row>
    <row r="28808" spans="20:21" ht="15" customHeight="1" x14ac:dyDescent="0.25">
      <c r="T28808" s="135"/>
      <c r="U28808" s="135"/>
    </row>
    <row r="28809" spans="20:21" ht="15" customHeight="1" x14ac:dyDescent="0.25">
      <c r="T28809" s="135"/>
      <c r="U28809" s="135"/>
    </row>
    <row r="28810" spans="20:21" ht="15" customHeight="1" x14ac:dyDescent="0.25">
      <c r="T28810" s="135"/>
      <c r="U28810" s="135"/>
    </row>
    <row r="28811" spans="20:21" ht="15" customHeight="1" x14ac:dyDescent="0.25">
      <c r="T28811" s="135"/>
      <c r="U28811" s="135"/>
    </row>
    <row r="28812" spans="20:21" ht="15" customHeight="1" x14ac:dyDescent="0.25">
      <c r="T28812" s="135"/>
      <c r="U28812" s="135"/>
    </row>
    <row r="28813" spans="20:21" ht="15" customHeight="1" x14ac:dyDescent="0.25">
      <c r="T28813" s="135"/>
      <c r="U28813" s="135"/>
    </row>
    <row r="28814" spans="20:21" ht="15" customHeight="1" x14ac:dyDescent="0.25">
      <c r="T28814" s="135"/>
      <c r="U28814" s="135"/>
    </row>
    <row r="28815" spans="20:21" ht="15" customHeight="1" x14ac:dyDescent="0.25">
      <c r="T28815" s="135"/>
      <c r="U28815" s="135"/>
    </row>
    <row r="28816" spans="20:21" ht="15" customHeight="1" x14ac:dyDescent="0.25">
      <c r="T28816" s="135"/>
      <c r="U28816" s="135"/>
    </row>
    <row r="28817" spans="20:21" ht="15" customHeight="1" x14ac:dyDescent="0.25">
      <c r="T28817" s="135"/>
      <c r="U28817" s="135"/>
    </row>
    <row r="28818" spans="20:21" ht="15" customHeight="1" x14ac:dyDescent="0.25">
      <c r="T28818" s="135"/>
      <c r="U28818" s="135"/>
    </row>
    <row r="28819" spans="20:21" ht="15" customHeight="1" x14ac:dyDescent="0.25">
      <c r="T28819" s="135"/>
      <c r="U28819" s="135"/>
    </row>
    <row r="28820" spans="20:21" ht="15" customHeight="1" x14ac:dyDescent="0.25">
      <c r="T28820" s="135"/>
      <c r="U28820" s="135"/>
    </row>
    <row r="28821" spans="20:21" ht="15" customHeight="1" x14ac:dyDescent="0.25">
      <c r="T28821" s="135"/>
      <c r="U28821" s="135"/>
    </row>
    <row r="28822" spans="20:21" ht="15" customHeight="1" x14ac:dyDescent="0.25">
      <c r="T28822" s="135"/>
      <c r="U28822" s="135"/>
    </row>
    <row r="28823" spans="20:21" ht="15" customHeight="1" x14ac:dyDescent="0.25">
      <c r="T28823" s="135"/>
      <c r="U28823" s="135"/>
    </row>
    <row r="28824" spans="20:21" ht="15" customHeight="1" x14ac:dyDescent="0.25">
      <c r="T28824" s="135"/>
      <c r="U28824" s="135"/>
    </row>
    <row r="28825" spans="20:21" ht="15" customHeight="1" x14ac:dyDescent="0.25">
      <c r="T28825" s="135"/>
      <c r="U28825" s="135"/>
    </row>
    <row r="28826" spans="20:21" ht="15" customHeight="1" x14ac:dyDescent="0.25">
      <c r="T28826" s="135"/>
      <c r="U28826" s="135"/>
    </row>
    <row r="28827" spans="20:21" ht="15" customHeight="1" x14ac:dyDescent="0.25">
      <c r="T28827" s="135"/>
      <c r="U28827" s="135"/>
    </row>
    <row r="28828" spans="20:21" ht="15" customHeight="1" x14ac:dyDescent="0.25">
      <c r="T28828" s="135"/>
      <c r="U28828" s="135"/>
    </row>
    <row r="28829" spans="20:21" ht="15" customHeight="1" x14ac:dyDescent="0.25">
      <c r="T28829" s="135"/>
      <c r="U28829" s="135"/>
    </row>
    <row r="28830" spans="20:21" ht="15" customHeight="1" x14ac:dyDescent="0.25">
      <c r="T28830" s="135"/>
      <c r="U28830" s="135"/>
    </row>
    <row r="28831" spans="20:21" ht="15" customHeight="1" x14ac:dyDescent="0.25">
      <c r="T28831" s="135"/>
      <c r="U28831" s="135"/>
    </row>
    <row r="28832" spans="20:21" ht="15" customHeight="1" x14ac:dyDescent="0.25">
      <c r="T28832" s="135"/>
      <c r="U28832" s="135"/>
    </row>
    <row r="28833" spans="20:21" ht="15" customHeight="1" x14ac:dyDescent="0.25">
      <c r="T28833" s="135"/>
      <c r="U28833" s="135"/>
    </row>
    <row r="28834" spans="20:21" ht="15" customHeight="1" x14ac:dyDescent="0.25">
      <c r="T28834" s="135"/>
      <c r="U28834" s="135"/>
    </row>
    <row r="28835" spans="20:21" ht="15" customHeight="1" x14ac:dyDescent="0.25">
      <c r="T28835" s="135"/>
      <c r="U28835" s="135"/>
    </row>
    <row r="28836" spans="20:21" ht="15" customHeight="1" x14ac:dyDescent="0.25">
      <c r="T28836" s="135"/>
      <c r="U28836" s="135"/>
    </row>
    <row r="28837" spans="20:21" ht="15" customHeight="1" x14ac:dyDescent="0.25">
      <c r="T28837" s="135"/>
      <c r="U28837" s="135"/>
    </row>
    <row r="28838" spans="20:21" ht="15" customHeight="1" x14ac:dyDescent="0.25">
      <c r="T28838" s="135"/>
      <c r="U28838" s="135"/>
    </row>
    <row r="28839" spans="20:21" ht="15" customHeight="1" x14ac:dyDescent="0.25">
      <c r="T28839" s="135"/>
      <c r="U28839" s="135"/>
    </row>
    <row r="28840" spans="20:21" ht="15" customHeight="1" x14ac:dyDescent="0.25">
      <c r="T28840" s="135"/>
      <c r="U28840" s="135"/>
    </row>
    <row r="28841" spans="20:21" ht="15" customHeight="1" x14ac:dyDescent="0.25">
      <c r="T28841" s="135"/>
      <c r="U28841" s="135"/>
    </row>
    <row r="28842" spans="20:21" ht="15" customHeight="1" x14ac:dyDescent="0.25">
      <c r="T28842" s="135"/>
      <c r="U28842" s="135"/>
    </row>
    <row r="28843" spans="20:21" ht="15" customHeight="1" x14ac:dyDescent="0.25">
      <c r="T28843" s="135"/>
      <c r="U28843" s="135"/>
    </row>
    <row r="28844" spans="20:21" ht="15" customHeight="1" x14ac:dyDescent="0.25">
      <c r="T28844" s="135"/>
      <c r="U28844" s="135"/>
    </row>
    <row r="28845" spans="20:21" ht="15" customHeight="1" x14ac:dyDescent="0.25">
      <c r="T28845" s="135"/>
      <c r="U28845" s="135"/>
    </row>
    <row r="28846" spans="20:21" ht="15" customHeight="1" x14ac:dyDescent="0.25">
      <c r="T28846" s="135"/>
      <c r="U28846" s="135"/>
    </row>
    <row r="28847" spans="20:21" ht="15" customHeight="1" x14ac:dyDescent="0.25">
      <c r="T28847" s="135"/>
      <c r="U28847" s="135"/>
    </row>
    <row r="28848" spans="20:21" ht="15" customHeight="1" x14ac:dyDescent="0.25">
      <c r="T28848" s="135"/>
      <c r="U28848" s="135"/>
    </row>
    <row r="28849" spans="20:21" ht="15" customHeight="1" x14ac:dyDescent="0.25">
      <c r="T28849" s="135"/>
      <c r="U28849" s="135"/>
    </row>
    <row r="28850" spans="20:21" ht="15" customHeight="1" x14ac:dyDescent="0.25">
      <c r="T28850" s="135"/>
      <c r="U28850" s="135"/>
    </row>
    <row r="28851" spans="20:21" ht="15" customHeight="1" x14ac:dyDescent="0.25">
      <c r="T28851" s="135"/>
      <c r="U28851" s="135"/>
    </row>
    <row r="28852" spans="20:21" ht="15" customHeight="1" x14ac:dyDescent="0.25">
      <c r="T28852" s="135"/>
      <c r="U28852" s="135"/>
    </row>
    <row r="28853" spans="20:21" ht="15" customHeight="1" x14ac:dyDescent="0.25">
      <c r="T28853" s="135"/>
      <c r="U28853" s="135"/>
    </row>
    <row r="28854" spans="20:21" ht="15" customHeight="1" x14ac:dyDescent="0.25">
      <c r="T28854" s="135"/>
      <c r="U28854" s="135"/>
    </row>
    <row r="28855" spans="20:21" ht="15" customHeight="1" x14ac:dyDescent="0.25">
      <c r="T28855" s="135"/>
      <c r="U28855" s="135"/>
    </row>
    <row r="28856" spans="20:21" ht="15" customHeight="1" x14ac:dyDescent="0.25">
      <c r="T28856" s="135"/>
      <c r="U28856" s="135"/>
    </row>
    <row r="28857" spans="20:21" ht="15" customHeight="1" x14ac:dyDescent="0.25">
      <c r="T28857" s="135"/>
      <c r="U28857" s="135"/>
    </row>
    <row r="28858" spans="20:21" ht="15" customHeight="1" x14ac:dyDescent="0.25">
      <c r="T28858" s="135"/>
      <c r="U28858" s="135"/>
    </row>
    <row r="28859" spans="20:21" ht="15" customHeight="1" x14ac:dyDescent="0.25">
      <c r="T28859" s="135"/>
      <c r="U28859" s="135"/>
    </row>
    <row r="28860" spans="20:21" ht="15" customHeight="1" x14ac:dyDescent="0.25">
      <c r="T28860" s="135"/>
      <c r="U28860" s="135"/>
    </row>
    <row r="28861" spans="20:21" ht="15" customHeight="1" x14ac:dyDescent="0.25">
      <c r="T28861" s="135"/>
      <c r="U28861" s="135"/>
    </row>
    <row r="28862" spans="20:21" ht="15" customHeight="1" x14ac:dyDescent="0.25">
      <c r="T28862" s="135"/>
      <c r="U28862" s="135"/>
    </row>
    <row r="28863" spans="20:21" ht="15" customHeight="1" x14ac:dyDescent="0.25">
      <c r="T28863" s="135"/>
      <c r="U28863" s="135"/>
    </row>
    <row r="28864" spans="20:21" ht="15" customHeight="1" x14ac:dyDescent="0.25">
      <c r="T28864" s="135"/>
      <c r="U28864" s="135"/>
    </row>
    <row r="28865" spans="20:21" ht="15" customHeight="1" x14ac:dyDescent="0.25">
      <c r="T28865" s="135"/>
      <c r="U28865" s="135"/>
    </row>
    <row r="28866" spans="20:21" ht="15" customHeight="1" x14ac:dyDescent="0.25">
      <c r="T28866" s="135"/>
      <c r="U28866" s="135"/>
    </row>
    <row r="28867" spans="20:21" ht="15" customHeight="1" x14ac:dyDescent="0.25">
      <c r="T28867" s="135"/>
      <c r="U28867" s="135"/>
    </row>
    <row r="28868" spans="20:21" ht="15" customHeight="1" x14ac:dyDescent="0.25">
      <c r="T28868" s="135"/>
      <c r="U28868" s="135"/>
    </row>
    <row r="28869" spans="20:21" ht="15" customHeight="1" x14ac:dyDescent="0.25">
      <c r="T28869" s="135"/>
      <c r="U28869" s="135"/>
    </row>
    <row r="28870" spans="20:21" ht="15" customHeight="1" x14ac:dyDescent="0.25">
      <c r="T28870" s="135"/>
      <c r="U28870" s="135"/>
    </row>
    <row r="28871" spans="20:21" ht="15" customHeight="1" x14ac:dyDescent="0.25">
      <c r="T28871" s="135"/>
      <c r="U28871" s="135"/>
    </row>
    <row r="28872" spans="20:21" ht="15" customHeight="1" x14ac:dyDescent="0.25">
      <c r="T28872" s="135"/>
      <c r="U28872" s="135"/>
    </row>
    <row r="28873" spans="20:21" ht="15" customHeight="1" x14ac:dyDescent="0.25">
      <c r="T28873" s="135"/>
      <c r="U28873" s="135"/>
    </row>
    <row r="28874" spans="20:21" ht="15" customHeight="1" x14ac:dyDescent="0.25">
      <c r="T28874" s="135"/>
      <c r="U28874" s="135"/>
    </row>
    <row r="28875" spans="20:21" ht="15" customHeight="1" x14ac:dyDescent="0.25">
      <c r="T28875" s="135"/>
      <c r="U28875" s="135"/>
    </row>
    <row r="28876" spans="20:21" ht="15" customHeight="1" x14ac:dyDescent="0.25">
      <c r="T28876" s="135"/>
      <c r="U28876" s="135"/>
    </row>
    <row r="28877" spans="20:21" ht="15" customHeight="1" x14ac:dyDescent="0.25">
      <c r="T28877" s="135"/>
      <c r="U28877" s="135"/>
    </row>
    <row r="28878" spans="20:21" ht="15" customHeight="1" x14ac:dyDescent="0.25">
      <c r="T28878" s="135"/>
      <c r="U28878" s="135"/>
    </row>
    <row r="28879" spans="20:21" ht="15" customHeight="1" x14ac:dyDescent="0.25">
      <c r="T28879" s="135"/>
      <c r="U28879" s="135"/>
    </row>
    <row r="28880" spans="20:21" ht="15" customHeight="1" x14ac:dyDescent="0.25">
      <c r="T28880" s="135"/>
      <c r="U28880" s="135"/>
    </row>
    <row r="28881" spans="20:21" ht="15" customHeight="1" x14ac:dyDescent="0.25">
      <c r="T28881" s="135"/>
      <c r="U28881" s="135"/>
    </row>
    <row r="28882" spans="20:21" ht="15" customHeight="1" x14ac:dyDescent="0.25">
      <c r="T28882" s="135"/>
      <c r="U28882" s="135"/>
    </row>
    <row r="28883" spans="20:21" ht="15" customHeight="1" x14ac:dyDescent="0.25">
      <c r="T28883" s="135"/>
      <c r="U28883" s="135"/>
    </row>
    <row r="28884" spans="20:21" ht="15" customHeight="1" x14ac:dyDescent="0.25">
      <c r="T28884" s="135"/>
      <c r="U28884" s="135"/>
    </row>
    <row r="28885" spans="20:21" ht="15" customHeight="1" x14ac:dyDescent="0.25">
      <c r="T28885" s="135"/>
      <c r="U28885" s="135"/>
    </row>
    <row r="28886" spans="20:21" ht="15" customHeight="1" x14ac:dyDescent="0.25">
      <c r="T28886" s="135"/>
      <c r="U28886" s="135"/>
    </row>
    <row r="28887" spans="20:21" ht="15" customHeight="1" x14ac:dyDescent="0.25">
      <c r="T28887" s="135"/>
      <c r="U28887" s="135"/>
    </row>
    <row r="28888" spans="20:21" ht="15" customHeight="1" x14ac:dyDescent="0.25">
      <c r="T28888" s="135"/>
      <c r="U28888" s="135"/>
    </row>
    <row r="28889" spans="20:21" ht="15" customHeight="1" x14ac:dyDescent="0.25">
      <c r="T28889" s="135"/>
      <c r="U28889" s="135"/>
    </row>
    <row r="28890" spans="20:21" ht="15" customHeight="1" x14ac:dyDescent="0.25">
      <c r="T28890" s="135"/>
      <c r="U28890" s="135"/>
    </row>
    <row r="28891" spans="20:21" ht="15" customHeight="1" x14ac:dyDescent="0.25">
      <c r="T28891" s="135"/>
      <c r="U28891" s="135"/>
    </row>
    <row r="28892" spans="20:21" ht="15" customHeight="1" x14ac:dyDescent="0.25">
      <c r="T28892" s="135"/>
      <c r="U28892" s="135"/>
    </row>
    <row r="28893" spans="20:21" ht="15" customHeight="1" x14ac:dyDescent="0.25">
      <c r="T28893" s="135"/>
      <c r="U28893" s="135"/>
    </row>
    <row r="28894" spans="20:21" ht="15" customHeight="1" x14ac:dyDescent="0.25">
      <c r="T28894" s="135"/>
      <c r="U28894" s="135"/>
    </row>
    <row r="28895" spans="20:21" ht="15" customHeight="1" x14ac:dyDescent="0.25">
      <c r="T28895" s="135"/>
      <c r="U28895" s="135"/>
    </row>
    <row r="28896" spans="20:21" ht="15" customHeight="1" x14ac:dyDescent="0.25">
      <c r="T28896" s="135"/>
      <c r="U28896" s="135"/>
    </row>
    <row r="28897" spans="20:21" ht="15" customHeight="1" x14ac:dyDescent="0.25">
      <c r="T28897" s="135"/>
      <c r="U28897" s="135"/>
    </row>
    <row r="28898" spans="20:21" ht="15" customHeight="1" x14ac:dyDescent="0.25">
      <c r="T28898" s="135"/>
      <c r="U28898" s="135"/>
    </row>
    <row r="28899" spans="20:21" ht="15" customHeight="1" x14ac:dyDescent="0.25">
      <c r="T28899" s="135"/>
      <c r="U28899" s="135"/>
    </row>
    <row r="28900" spans="20:21" ht="15" customHeight="1" x14ac:dyDescent="0.25">
      <c r="T28900" s="135"/>
      <c r="U28900" s="135"/>
    </row>
    <row r="28901" spans="20:21" ht="15" customHeight="1" x14ac:dyDescent="0.25">
      <c r="T28901" s="135"/>
      <c r="U28901" s="135"/>
    </row>
    <row r="28902" spans="20:21" ht="15" customHeight="1" x14ac:dyDescent="0.25">
      <c r="T28902" s="135"/>
      <c r="U28902" s="135"/>
    </row>
    <row r="28903" spans="20:21" ht="15" customHeight="1" x14ac:dyDescent="0.25">
      <c r="T28903" s="135"/>
      <c r="U28903" s="135"/>
    </row>
    <row r="28904" spans="20:21" ht="15" customHeight="1" x14ac:dyDescent="0.25">
      <c r="T28904" s="135"/>
      <c r="U28904" s="135"/>
    </row>
    <row r="28905" spans="20:21" ht="15" customHeight="1" x14ac:dyDescent="0.25">
      <c r="T28905" s="135"/>
      <c r="U28905" s="135"/>
    </row>
    <row r="28906" spans="20:21" ht="15" customHeight="1" x14ac:dyDescent="0.25">
      <c r="T28906" s="135"/>
      <c r="U28906" s="135"/>
    </row>
    <row r="28907" spans="20:21" ht="15" customHeight="1" x14ac:dyDescent="0.25">
      <c r="T28907" s="135"/>
      <c r="U28907" s="135"/>
    </row>
    <row r="28908" spans="20:21" ht="15" customHeight="1" x14ac:dyDescent="0.25">
      <c r="T28908" s="135"/>
      <c r="U28908" s="135"/>
    </row>
    <row r="28909" spans="20:21" ht="15" customHeight="1" x14ac:dyDescent="0.25">
      <c r="T28909" s="135"/>
      <c r="U28909" s="135"/>
    </row>
    <row r="28910" spans="20:21" ht="15" customHeight="1" x14ac:dyDescent="0.25">
      <c r="T28910" s="135"/>
      <c r="U28910" s="135"/>
    </row>
    <row r="28911" spans="20:21" ht="15" customHeight="1" x14ac:dyDescent="0.25">
      <c r="T28911" s="135"/>
      <c r="U28911" s="135"/>
    </row>
    <row r="28912" spans="20:21" ht="15" customHeight="1" x14ac:dyDescent="0.25">
      <c r="T28912" s="135"/>
      <c r="U28912" s="135"/>
    </row>
    <row r="28913" spans="20:21" ht="15" customHeight="1" x14ac:dyDescent="0.25">
      <c r="T28913" s="135"/>
      <c r="U28913" s="135"/>
    </row>
    <row r="28914" spans="20:21" ht="15" customHeight="1" x14ac:dyDescent="0.25">
      <c r="T28914" s="135"/>
      <c r="U28914" s="135"/>
    </row>
    <row r="28915" spans="20:21" ht="15" customHeight="1" x14ac:dyDescent="0.25">
      <c r="T28915" s="135"/>
      <c r="U28915" s="135"/>
    </row>
    <row r="28916" spans="20:21" ht="15" customHeight="1" x14ac:dyDescent="0.25">
      <c r="T28916" s="135"/>
      <c r="U28916" s="135"/>
    </row>
    <row r="28917" spans="20:21" ht="15" customHeight="1" x14ac:dyDescent="0.25">
      <c r="T28917" s="135"/>
      <c r="U28917" s="135"/>
    </row>
    <row r="28918" spans="20:21" ht="15" customHeight="1" x14ac:dyDescent="0.25">
      <c r="T28918" s="135"/>
      <c r="U28918" s="135"/>
    </row>
    <row r="28919" spans="20:21" ht="15" customHeight="1" x14ac:dyDescent="0.25">
      <c r="T28919" s="135"/>
      <c r="U28919" s="135"/>
    </row>
    <row r="28920" spans="20:21" ht="15" customHeight="1" x14ac:dyDescent="0.25">
      <c r="T28920" s="135"/>
      <c r="U28920" s="135"/>
    </row>
    <row r="28921" spans="20:21" ht="15" customHeight="1" x14ac:dyDescent="0.25">
      <c r="T28921" s="135"/>
      <c r="U28921" s="135"/>
    </row>
    <row r="28922" spans="20:21" ht="15" customHeight="1" x14ac:dyDescent="0.25">
      <c r="T28922" s="135"/>
      <c r="U28922" s="135"/>
    </row>
    <row r="28923" spans="20:21" ht="15" customHeight="1" x14ac:dyDescent="0.25">
      <c r="T28923" s="135"/>
      <c r="U28923" s="135"/>
    </row>
    <row r="28924" spans="20:21" ht="15" customHeight="1" x14ac:dyDescent="0.25">
      <c r="T28924" s="135"/>
      <c r="U28924" s="135"/>
    </row>
    <row r="28925" spans="20:21" ht="15" customHeight="1" x14ac:dyDescent="0.25">
      <c r="T28925" s="135"/>
      <c r="U28925" s="135"/>
    </row>
    <row r="28926" spans="20:21" ht="15" customHeight="1" x14ac:dyDescent="0.25">
      <c r="T28926" s="135"/>
      <c r="U28926" s="135"/>
    </row>
    <row r="28927" spans="20:21" ht="15" customHeight="1" x14ac:dyDescent="0.25">
      <c r="T28927" s="135"/>
      <c r="U28927" s="135"/>
    </row>
    <row r="28928" spans="20:21" ht="15" customHeight="1" x14ac:dyDescent="0.25">
      <c r="T28928" s="135"/>
      <c r="U28928" s="135"/>
    </row>
    <row r="28929" spans="20:21" ht="15" customHeight="1" x14ac:dyDescent="0.25">
      <c r="T28929" s="135"/>
      <c r="U28929" s="135"/>
    </row>
    <row r="28930" spans="20:21" ht="15" customHeight="1" x14ac:dyDescent="0.25">
      <c r="T28930" s="135"/>
      <c r="U28930" s="135"/>
    </row>
    <row r="28931" spans="20:21" ht="15" customHeight="1" x14ac:dyDescent="0.25">
      <c r="T28931" s="135"/>
      <c r="U28931" s="135"/>
    </row>
    <row r="28932" spans="20:21" ht="15" customHeight="1" x14ac:dyDescent="0.25">
      <c r="T28932" s="135"/>
      <c r="U28932" s="135"/>
    </row>
    <row r="28933" spans="20:21" ht="15" customHeight="1" x14ac:dyDescent="0.25">
      <c r="T28933" s="135"/>
      <c r="U28933" s="135"/>
    </row>
    <row r="28934" spans="20:21" ht="15" customHeight="1" x14ac:dyDescent="0.25">
      <c r="T28934" s="135"/>
      <c r="U28934" s="135"/>
    </row>
    <row r="28935" spans="20:21" ht="15" customHeight="1" x14ac:dyDescent="0.25">
      <c r="T28935" s="135"/>
      <c r="U28935" s="135"/>
    </row>
    <row r="28936" spans="20:21" ht="15" customHeight="1" x14ac:dyDescent="0.25">
      <c r="T28936" s="135"/>
      <c r="U28936" s="135"/>
    </row>
    <row r="28937" spans="20:21" ht="15" customHeight="1" x14ac:dyDescent="0.25">
      <c r="T28937" s="135"/>
      <c r="U28937" s="135"/>
    </row>
    <row r="28938" spans="20:21" ht="15" customHeight="1" x14ac:dyDescent="0.25">
      <c r="T28938" s="135"/>
      <c r="U28938" s="135"/>
    </row>
    <row r="28939" spans="20:21" ht="15" customHeight="1" x14ac:dyDescent="0.25">
      <c r="T28939" s="135"/>
      <c r="U28939" s="135"/>
    </row>
    <row r="28940" spans="20:21" ht="15" customHeight="1" x14ac:dyDescent="0.25">
      <c r="T28940" s="135"/>
      <c r="U28940" s="135"/>
    </row>
    <row r="28941" spans="20:21" ht="15" customHeight="1" x14ac:dyDescent="0.25">
      <c r="T28941" s="135"/>
      <c r="U28941" s="135"/>
    </row>
    <row r="28942" spans="20:21" ht="15" customHeight="1" x14ac:dyDescent="0.25">
      <c r="T28942" s="135"/>
      <c r="U28942" s="135"/>
    </row>
    <row r="28943" spans="20:21" ht="15" customHeight="1" x14ac:dyDescent="0.25">
      <c r="T28943" s="135"/>
      <c r="U28943" s="135"/>
    </row>
    <row r="28944" spans="20:21" ht="15" customHeight="1" x14ac:dyDescent="0.25">
      <c r="T28944" s="135"/>
      <c r="U28944" s="135"/>
    </row>
    <row r="28945" spans="20:21" ht="15" customHeight="1" x14ac:dyDescent="0.25">
      <c r="T28945" s="135"/>
      <c r="U28945" s="135"/>
    </row>
    <row r="28946" spans="20:21" ht="15" customHeight="1" x14ac:dyDescent="0.25">
      <c r="T28946" s="135"/>
      <c r="U28946" s="135"/>
    </row>
    <row r="28947" spans="20:21" ht="15" customHeight="1" x14ac:dyDescent="0.25">
      <c r="T28947" s="135"/>
      <c r="U28947" s="135"/>
    </row>
    <row r="28948" spans="20:21" ht="15" customHeight="1" x14ac:dyDescent="0.25">
      <c r="T28948" s="135"/>
      <c r="U28948" s="135"/>
    </row>
    <row r="28949" spans="20:21" ht="15" customHeight="1" x14ac:dyDescent="0.25">
      <c r="T28949" s="135"/>
      <c r="U28949" s="135"/>
    </row>
    <row r="28950" spans="20:21" ht="15" customHeight="1" x14ac:dyDescent="0.25">
      <c r="T28950" s="135"/>
      <c r="U28950" s="135"/>
    </row>
    <row r="28951" spans="20:21" ht="15" customHeight="1" x14ac:dyDescent="0.25">
      <c r="T28951" s="135"/>
      <c r="U28951" s="135"/>
    </row>
    <row r="28952" spans="20:21" ht="15" customHeight="1" x14ac:dyDescent="0.25">
      <c r="T28952" s="135"/>
      <c r="U28952" s="135"/>
    </row>
    <row r="28953" spans="20:21" ht="15" customHeight="1" x14ac:dyDescent="0.25">
      <c r="T28953" s="135"/>
      <c r="U28953" s="135"/>
    </row>
    <row r="28954" spans="20:21" ht="15" customHeight="1" x14ac:dyDescent="0.25">
      <c r="T28954" s="135"/>
      <c r="U28954" s="135"/>
    </row>
    <row r="28955" spans="20:21" ht="15" customHeight="1" x14ac:dyDescent="0.25">
      <c r="T28955" s="135"/>
      <c r="U28955" s="135"/>
    </row>
    <row r="28956" spans="20:21" ht="15" customHeight="1" x14ac:dyDescent="0.25">
      <c r="T28956" s="135"/>
      <c r="U28956" s="135"/>
    </row>
    <row r="28957" spans="20:21" ht="15" customHeight="1" x14ac:dyDescent="0.25">
      <c r="T28957" s="135"/>
      <c r="U28957" s="135"/>
    </row>
    <row r="28958" spans="20:21" ht="15" customHeight="1" x14ac:dyDescent="0.25">
      <c r="T28958" s="135"/>
      <c r="U28958" s="135"/>
    </row>
    <row r="28959" spans="20:21" ht="15" customHeight="1" x14ac:dyDescent="0.25">
      <c r="T28959" s="135"/>
      <c r="U28959" s="135"/>
    </row>
    <row r="28960" spans="20:21" ht="15" customHeight="1" x14ac:dyDescent="0.25">
      <c r="T28960" s="135"/>
      <c r="U28960" s="135"/>
    </row>
    <row r="28961" spans="20:21" ht="15" customHeight="1" x14ac:dyDescent="0.25">
      <c r="T28961" s="135"/>
      <c r="U28961" s="135"/>
    </row>
    <row r="28962" spans="20:21" ht="15" customHeight="1" x14ac:dyDescent="0.25">
      <c r="T28962" s="135"/>
      <c r="U28962" s="135"/>
    </row>
    <row r="28963" spans="20:21" ht="15" customHeight="1" x14ac:dyDescent="0.25">
      <c r="T28963" s="135"/>
      <c r="U28963" s="135"/>
    </row>
    <row r="28964" spans="20:21" ht="15" customHeight="1" x14ac:dyDescent="0.25">
      <c r="T28964" s="135"/>
      <c r="U28964" s="135"/>
    </row>
    <row r="28965" spans="20:21" ht="15" customHeight="1" x14ac:dyDescent="0.25">
      <c r="T28965" s="135"/>
      <c r="U28965" s="135"/>
    </row>
    <row r="28966" spans="20:21" ht="15" customHeight="1" x14ac:dyDescent="0.25">
      <c r="T28966" s="135"/>
      <c r="U28966" s="135"/>
    </row>
    <row r="28967" spans="20:21" ht="15" customHeight="1" x14ac:dyDescent="0.25">
      <c r="T28967" s="135"/>
      <c r="U28967" s="135"/>
    </row>
    <row r="28968" spans="20:21" ht="15" customHeight="1" x14ac:dyDescent="0.25">
      <c r="T28968" s="135"/>
      <c r="U28968" s="135"/>
    </row>
    <row r="28969" spans="20:21" ht="15" customHeight="1" x14ac:dyDescent="0.25">
      <c r="T28969" s="135"/>
      <c r="U28969" s="135"/>
    </row>
    <row r="28970" spans="20:21" ht="15" customHeight="1" x14ac:dyDescent="0.25">
      <c r="T28970" s="135"/>
      <c r="U28970" s="135"/>
    </row>
    <row r="28971" spans="20:21" ht="15" customHeight="1" x14ac:dyDescent="0.25">
      <c r="T28971" s="135"/>
      <c r="U28971" s="135"/>
    </row>
    <row r="28972" spans="20:21" ht="15" customHeight="1" x14ac:dyDescent="0.25">
      <c r="T28972" s="135"/>
      <c r="U28972" s="135"/>
    </row>
    <row r="28973" spans="20:21" ht="15" customHeight="1" x14ac:dyDescent="0.25">
      <c r="T28973" s="135"/>
      <c r="U28973" s="135"/>
    </row>
    <row r="28974" spans="20:21" ht="15" customHeight="1" x14ac:dyDescent="0.25">
      <c r="T28974" s="135"/>
      <c r="U28974" s="135"/>
    </row>
    <row r="28975" spans="20:21" ht="15" customHeight="1" x14ac:dyDescent="0.25">
      <c r="T28975" s="135"/>
      <c r="U28975" s="135"/>
    </row>
    <row r="28976" spans="20:21" ht="15" customHeight="1" x14ac:dyDescent="0.25">
      <c r="T28976" s="135"/>
      <c r="U28976" s="135"/>
    </row>
    <row r="28977" spans="20:21" ht="15" customHeight="1" x14ac:dyDescent="0.25">
      <c r="T28977" s="135"/>
      <c r="U28977" s="135"/>
    </row>
    <row r="28978" spans="20:21" ht="15" customHeight="1" x14ac:dyDescent="0.25">
      <c r="T28978" s="135"/>
      <c r="U28978" s="135"/>
    </row>
    <row r="28979" spans="20:21" ht="15" customHeight="1" x14ac:dyDescent="0.25">
      <c r="T28979" s="135"/>
      <c r="U28979" s="135"/>
    </row>
    <row r="28980" spans="20:21" ht="15" customHeight="1" x14ac:dyDescent="0.25">
      <c r="T28980" s="135"/>
      <c r="U28980" s="135"/>
    </row>
    <row r="28981" spans="20:21" ht="15" customHeight="1" x14ac:dyDescent="0.25">
      <c r="T28981" s="135"/>
      <c r="U28981" s="135"/>
    </row>
    <row r="28982" spans="20:21" ht="15" customHeight="1" x14ac:dyDescent="0.25">
      <c r="T28982" s="135"/>
      <c r="U28982" s="135"/>
    </row>
    <row r="28983" spans="20:21" ht="15" customHeight="1" x14ac:dyDescent="0.25">
      <c r="T28983" s="135"/>
      <c r="U28983" s="135"/>
    </row>
    <row r="28984" spans="20:21" ht="15" customHeight="1" x14ac:dyDescent="0.25">
      <c r="T28984" s="135"/>
      <c r="U28984" s="135"/>
    </row>
    <row r="28985" spans="20:21" ht="15" customHeight="1" x14ac:dyDescent="0.25">
      <c r="T28985" s="135"/>
      <c r="U28985" s="135"/>
    </row>
    <row r="28986" spans="20:21" ht="15" customHeight="1" x14ac:dyDescent="0.25">
      <c r="T28986" s="135"/>
      <c r="U28986" s="135"/>
    </row>
    <row r="28987" spans="20:21" ht="15" customHeight="1" x14ac:dyDescent="0.25">
      <c r="T28987" s="135"/>
      <c r="U28987" s="135"/>
    </row>
    <row r="28988" spans="20:21" ht="15" customHeight="1" x14ac:dyDescent="0.25">
      <c r="T28988" s="135"/>
      <c r="U28988" s="135"/>
    </row>
    <row r="28989" spans="20:21" ht="15" customHeight="1" x14ac:dyDescent="0.25">
      <c r="T28989" s="135"/>
      <c r="U28989" s="135"/>
    </row>
    <row r="28990" spans="20:21" ht="15" customHeight="1" x14ac:dyDescent="0.25">
      <c r="T28990" s="135"/>
      <c r="U28990" s="135"/>
    </row>
    <row r="28991" spans="20:21" ht="15" customHeight="1" x14ac:dyDescent="0.25">
      <c r="T28991" s="135"/>
      <c r="U28991" s="135"/>
    </row>
    <row r="28992" spans="20:21" ht="15" customHeight="1" x14ac:dyDescent="0.25">
      <c r="T28992" s="135"/>
      <c r="U28992" s="135"/>
    </row>
    <row r="28993" spans="20:21" ht="15" customHeight="1" x14ac:dyDescent="0.25">
      <c r="T28993" s="135"/>
      <c r="U28993" s="135"/>
    </row>
    <row r="28994" spans="20:21" ht="15" customHeight="1" x14ac:dyDescent="0.25">
      <c r="T28994" s="135"/>
      <c r="U28994" s="135"/>
    </row>
    <row r="28995" spans="20:21" ht="15" customHeight="1" x14ac:dyDescent="0.25">
      <c r="T28995" s="135"/>
      <c r="U28995" s="135"/>
    </row>
    <row r="28996" spans="20:21" ht="15" customHeight="1" x14ac:dyDescent="0.25">
      <c r="T28996" s="135"/>
      <c r="U28996" s="135"/>
    </row>
    <row r="28997" spans="20:21" ht="15" customHeight="1" x14ac:dyDescent="0.25">
      <c r="T28997" s="135"/>
      <c r="U28997" s="135"/>
    </row>
    <row r="28998" spans="20:21" ht="15" customHeight="1" x14ac:dyDescent="0.25">
      <c r="T28998" s="135"/>
      <c r="U28998" s="135"/>
    </row>
    <row r="28999" spans="20:21" ht="15" customHeight="1" x14ac:dyDescent="0.25">
      <c r="T28999" s="135"/>
      <c r="U28999" s="135"/>
    </row>
    <row r="29000" spans="20:21" ht="15" customHeight="1" x14ac:dyDescent="0.25">
      <c r="T29000" s="135"/>
      <c r="U29000" s="135"/>
    </row>
    <row r="29001" spans="20:21" ht="15" customHeight="1" x14ac:dyDescent="0.25">
      <c r="T29001" s="135"/>
      <c r="U29001" s="135"/>
    </row>
    <row r="29002" spans="20:21" ht="15" customHeight="1" x14ac:dyDescent="0.25">
      <c r="T29002" s="135"/>
      <c r="U29002" s="135"/>
    </row>
    <row r="29003" spans="20:21" ht="15" customHeight="1" x14ac:dyDescent="0.25">
      <c r="T29003" s="135"/>
      <c r="U29003" s="135"/>
    </row>
    <row r="29004" spans="20:21" ht="15" customHeight="1" x14ac:dyDescent="0.25">
      <c r="T29004" s="135"/>
      <c r="U29004" s="135"/>
    </row>
    <row r="29005" spans="20:21" ht="15" customHeight="1" x14ac:dyDescent="0.25">
      <c r="T29005" s="135"/>
      <c r="U29005" s="135"/>
    </row>
    <row r="29006" spans="20:21" ht="15" customHeight="1" x14ac:dyDescent="0.25">
      <c r="T29006" s="135"/>
      <c r="U29006" s="135"/>
    </row>
    <row r="29007" spans="20:21" ht="15" customHeight="1" x14ac:dyDescent="0.25">
      <c r="T29007" s="135"/>
      <c r="U29007" s="135"/>
    </row>
    <row r="29008" spans="20:21" ht="15" customHeight="1" x14ac:dyDescent="0.25">
      <c r="T29008" s="135"/>
      <c r="U29008" s="135"/>
    </row>
    <row r="29009" spans="20:21" ht="15" customHeight="1" x14ac:dyDescent="0.25">
      <c r="T29009" s="135"/>
      <c r="U29009" s="135"/>
    </row>
    <row r="29010" spans="20:21" ht="15" customHeight="1" x14ac:dyDescent="0.25">
      <c r="T29010" s="135"/>
      <c r="U29010" s="135"/>
    </row>
    <row r="29011" spans="20:21" ht="15" customHeight="1" x14ac:dyDescent="0.25">
      <c r="T29011" s="135"/>
      <c r="U29011" s="135"/>
    </row>
    <row r="29012" spans="20:21" ht="15" customHeight="1" x14ac:dyDescent="0.25">
      <c r="T29012" s="135"/>
      <c r="U29012" s="135"/>
    </row>
    <row r="29013" spans="20:21" ht="15" customHeight="1" x14ac:dyDescent="0.25">
      <c r="T29013" s="135"/>
      <c r="U29013" s="135"/>
    </row>
    <row r="29014" spans="20:21" ht="15" customHeight="1" x14ac:dyDescent="0.25">
      <c r="T29014" s="135"/>
      <c r="U29014" s="135"/>
    </row>
    <row r="29015" spans="20:21" ht="15" customHeight="1" x14ac:dyDescent="0.25">
      <c r="T29015" s="135"/>
      <c r="U29015" s="135"/>
    </row>
    <row r="29016" spans="20:21" ht="15" customHeight="1" x14ac:dyDescent="0.25">
      <c r="T29016" s="135"/>
      <c r="U29016" s="135"/>
    </row>
    <row r="29017" spans="20:21" ht="15" customHeight="1" x14ac:dyDescent="0.25">
      <c r="T29017" s="135"/>
      <c r="U29017" s="135"/>
    </row>
    <row r="29018" spans="20:21" ht="15" customHeight="1" x14ac:dyDescent="0.25">
      <c r="T29018" s="135"/>
      <c r="U29018" s="135"/>
    </row>
    <row r="29019" spans="20:21" ht="15" customHeight="1" x14ac:dyDescent="0.25">
      <c r="T29019" s="135"/>
      <c r="U29019" s="135"/>
    </row>
    <row r="29020" spans="20:21" ht="15" customHeight="1" x14ac:dyDescent="0.25">
      <c r="T29020" s="135"/>
      <c r="U29020" s="135"/>
    </row>
    <row r="29021" spans="20:21" ht="15" customHeight="1" x14ac:dyDescent="0.25">
      <c r="T29021" s="135"/>
      <c r="U29021" s="135"/>
    </row>
    <row r="29022" spans="20:21" ht="15" customHeight="1" x14ac:dyDescent="0.25">
      <c r="T29022" s="135"/>
      <c r="U29022" s="135"/>
    </row>
    <row r="29023" spans="20:21" ht="15" customHeight="1" x14ac:dyDescent="0.25">
      <c r="T29023" s="135"/>
      <c r="U29023" s="135"/>
    </row>
    <row r="29024" spans="20:21" ht="15" customHeight="1" x14ac:dyDescent="0.25">
      <c r="T29024" s="135"/>
      <c r="U29024" s="135"/>
    </row>
    <row r="29025" spans="20:21" ht="15" customHeight="1" x14ac:dyDescent="0.25">
      <c r="T29025" s="135"/>
      <c r="U29025" s="135"/>
    </row>
    <row r="29026" spans="20:21" ht="15" customHeight="1" x14ac:dyDescent="0.25">
      <c r="T29026" s="135"/>
      <c r="U29026" s="135"/>
    </row>
    <row r="29027" spans="20:21" ht="15" customHeight="1" x14ac:dyDescent="0.25">
      <c r="T29027" s="135"/>
      <c r="U29027" s="135"/>
    </row>
    <row r="29028" spans="20:21" ht="15" customHeight="1" x14ac:dyDescent="0.25">
      <c r="T29028" s="135"/>
      <c r="U29028" s="135"/>
    </row>
    <row r="29029" spans="20:21" ht="15" customHeight="1" x14ac:dyDescent="0.25">
      <c r="T29029" s="135"/>
      <c r="U29029" s="135"/>
    </row>
    <row r="29030" spans="20:21" ht="15" customHeight="1" x14ac:dyDescent="0.25">
      <c r="T29030" s="135"/>
      <c r="U29030" s="135"/>
    </row>
    <row r="29031" spans="20:21" ht="15" customHeight="1" x14ac:dyDescent="0.25">
      <c r="T29031" s="135"/>
      <c r="U29031" s="135"/>
    </row>
    <row r="29032" spans="20:21" ht="15" customHeight="1" x14ac:dyDescent="0.25">
      <c r="T29032" s="135"/>
      <c r="U29032" s="135"/>
    </row>
    <row r="29033" spans="20:21" ht="15" customHeight="1" x14ac:dyDescent="0.25">
      <c r="T29033" s="135"/>
      <c r="U29033" s="135"/>
    </row>
    <row r="29034" spans="20:21" ht="15" customHeight="1" x14ac:dyDescent="0.25">
      <c r="T29034" s="135"/>
      <c r="U29034" s="135"/>
    </row>
    <row r="29035" spans="20:21" ht="15" customHeight="1" x14ac:dyDescent="0.25">
      <c r="T29035" s="135"/>
      <c r="U29035" s="135"/>
    </row>
    <row r="29036" spans="20:21" ht="15" customHeight="1" x14ac:dyDescent="0.25">
      <c r="T29036" s="135"/>
      <c r="U29036" s="135"/>
    </row>
    <row r="29037" spans="20:21" ht="15" customHeight="1" x14ac:dyDescent="0.25">
      <c r="T29037" s="135"/>
      <c r="U29037" s="135"/>
    </row>
    <row r="29038" spans="20:21" ht="15" customHeight="1" x14ac:dyDescent="0.25">
      <c r="T29038" s="135"/>
      <c r="U29038" s="135"/>
    </row>
    <row r="29039" spans="20:21" ht="15" customHeight="1" x14ac:dyDescent="0.25">
      <c r="T29039" s="135"/>
      <c r="U29039" s="135"/>
    </row>
    <row r="29040" spans="20:21" ht="15" customHeight="1" x14ac:dyDescent="0.25">
      <c r="T29040" s="135"/>
      <c r="U29040" s="135"/>
    </row>
    <row r="29041" spans="20:21" ht="15" customHeight="1" x14ac:dyDescent="0.25">
      <c r="T29041" s="135"/>
      <c r="U29041" s="135"/>
    </row>
    <row r="29042" spans="20:21" ht="15" customHeight="1" x14ac:dyDescent="0.25">
      <c r="T29042" s="135"/>
      <c r="U29042" s="135"/>
    </row>
    <row r="29043" spans="20:21" ht="15" customHeight="1" x14ac:dyDescent="0.25">
      <c r="T29043" s="135"/>
      <c r="U29043" s="135"/>
    </row>
    <row r="29044" spans="20:21" ht="15" customHeight="1" x14ac:dyDescent="0.25">
      <c r="T29044" s="135"/>
      <c r="U29044" s="135"/>
    </row>
    <row r="29045" spans="20:21" ht="15" customHeight="1" x14ac:dyDescent="0.25">
      <c r="T29045" s="135"/>
      <c r="U29045" s="135"/>
    </row>
    <row r="29046" spans="20:21" ht="15" customHeight="1" x14ac:dyDescent="0.25">
      <c r="T29046" s="135"/>
      <c r="U29046" s="135"/>
    </row>
    <row r="29047" spans="20:21" ht="15" customHeight="1" x14ac:dyDescent="0.25">
      <c r="T29047" s="135"/>
      <c r="U29047" s="135"/>
    </row>
    <row r="29048" spans="20:21" ht="15" customHeight="1" x14ac:dyDescent="0.25">
      <c r="T29048" s="135"/>
      <c r="U29048" s="135"/>
    </row>
    <row r="29049" spans="20:21" ht="15" customHeight="1" x14ac:dyDescent="0.25">
      <c r="T29049" s="135"/>
      <c r="U29049" s="135"/>
    </row>
    <row r="29050" spans="20:21" ht="15" customHeight="1" x14ac:dyDescent="0.25">
      <c r="T29050" s="135"/>
      <c r="U29050" s="135"/>
    </row>
    <row r="29051" spans="20:21" ht="15" customHeight="1" x14ac:dyDescent="0.25">
      <c r="T29051" s="135"/>
      <c r="U29051" s="135"/>
    </row>
    <row r="29052" spans="20:21" ht="15" customHeight="1" x14ac:dyDescent="0.25">
      <c r="T29052" s="135"/>
      <c r="U29052" s="135"/>
    </row>
    <row r="29053" spans="20:21" ht="15" customHeight="1" x14ac:dyDescent="0.25">
      <c r="T29053" s="135"/>
      <c r="U29053" s="135"/>
    </row>
    <row r="29054" spans="20:21" ht="15" customHeight="1" x14ac:dyDescent="0.25">
      <c r="T29054" s="135"/>
      <c r="U29054" s="135"/>
    </row>
    <row r="29055" spans="20:21" ht="15" customHeight="1" x14ac:dyDescent="0.25">
      <c r="T29055" s="135"/>
      <c r="U29055" s="135"/>
    </row>
    <row r="29056" spans="20:21" ht="15" customHeight="1" x14ac:dyDescent="0.25">
      <c r="T29056" s="135"/>
      <c r="U29056" s="135"/>
    </row>
    <row r="29057" spans="20:21" ht="15" customHeight="1" x14ac:dyDescent="0.25">
      <c r="T29057" s="135"/>
      <c r="U29057" s="135"/>
    </row>
    <row r="29058" spans="20:21" ht="15" customHeight="1" x14ac:dyDescent="0.25">
      <c r="T29058" s="135"/>
      <c r="U29058" s="135"/>
    </row>
    <row r="29059" spans="20:21" ht="15" customHeight="1" x14ac:dyDescent="0.25">
      <c r="T29059" s="135"/>
      <c r="U29059" s="135"/>
    </row>
    <row r="29060" spans="20:21" ht="15" customHeight="1" x14ac:dyDescent="0.25">
      <c r="T29060" s="135"/>
      <c r="U29060" s="135"/>
    </row>
    <row r="29061" spans="20:21" ht="15" customHeight="1" x14ac:dyDescent="0.25">
      <c r="T29061" s="135"/>
      <c r="U29061" s="135"/>
    </row>
    <row r="29062" spans="20:21" ht="15" customHeight="1" x14ac:dyDescent="0.25">
      <c r="T29062" s="135"/>
      <c r="U29062" s="135"/>
    </row>
    <row r="29063" spans="20:21" ht="15" customHeight="1" x14ac:dyDescent="0.25">
      <c r="T29063" s="135"/>
      <c r="U29063" s="135"/>
    </row>
    <row r="29064" spans="20:21" ht="15" customHeight="1" x14ac:dyDescent="0.25">
      <c r="T29064" s="135"/>
      <c r="U29064" s="135"/>
    </row>
    <row r="29065" spans="20:21" ht="15" customHeight="1" x14ac:dyDescent="0.25">
      <c r="T29065" s="135"/>
      <c r="U29065" s="135"/>
    </row>
    <row r="29066" spans="20:21" ht="15" customHeight="1" x14ac:dyDescent="0.25">
      <c r="T29066" s="135"/>
      <c r="U29066" s="135"/>
    </row>
    <row r="29067" spans="20:21" ht="15" customHeight="1" x14ac:dyDescent="0.25">
      <c r="T29067" s="135"/>
      <c r="U29067" s="135"/>
    </row>
    <row r="29068" spans="20:21" ht="15" customHeight="1" x14ac:dyDescent="0.25">
      <c r="T29068" s="135"/>
      <c r="U29068" s="135"/>
    </row>
    <row r="29069" spans="20:21" ht="15" customHeight="1" x14ac:dyDescent="0.25">
      <c r="T29069" s="135"/>
      <c r="U29069" s="135"/>
    </row>
    <row r="29070" spans="20:21" ht="15" customHeight="1" x14ac:dyDescent="0.25">
      <c r="T29070" s="135"/>
      <c r="U29070" s="135"/>
    </row>
    <row r="29071" spans="20:21" ht="15" customHeight="1" x14ac:dyDescent="0.25">
      <c r="T29071" s="135"/>
      <c r="U29071" s="135"/>
    </row>
    <row r="29072" spans="20:21" ht="15" customHeight="1" x14ac:dyDescent="0.25">
      <c r="T29072" s="135"/>
      <c r="U29072" s="135"/>
    </row>
    <row r="29073" spans="20:21" ht="15" customHeight="1" x14ac:dyDescent="0.25">
      <c r="T29073" s="135"/>
      <c r="U29073" s="135"/>
    </row>
    <row r="29074" spans="20:21" ht="15" customHeight="1" x14ac:dyDescent="0.25">
      <c r="T29074" s="135"/>
      <c r="U29074" s="135"/>
    </row>
    <row r="29075" spans="20:21" ht="15" customHeight="1" x14ac:dyDescent="0.25">
      <c r="T29075" s="135"/>
      <c r="U29075" s="135"/>
    </row>
    <row r="29076" spans="20:21" ht="15" customHeight="1" x14ac:dyDescent="0.25">
      <c r="T29076" s="135"/>
      <c r="U29076" s="135"/>
    </row>
    <row r="29077" spans="20:21" ht="15" customHeight="1" x14ac:dyDescent="0.25">
      <c r="T29077" s="135"/>
      <c r="U29077" s="135"/>
    </row>
    <row r="29078" spans="20:21" ht="15" customHeight="1" x14ac:dyDescent="0.25">
      <c r="T29078" s="135"/>
      <c r="U29078" s="135"/>
    </row>
    <row r="29079" spans="20:21" ht="15" customHeight="1" x14ac:dyDescent="0.25">
      <c r="T29079" s="135"/>
      <c r="U29079" s="135"/>
    </row>
    <row r="29080" spans="20:21" ht="15" customHeight="1" x14ac:dyDescent="0.25">
      <c r="T29080" s="135"/>
      <c r="U29080" s="135"/>
    </row>
    <row r="29081" spans="20:21" ht="15" customHeight="1" x14ac:dyDescent="0.25">
      <c r="T29081" s="135"/>
      <c r="U29081" s="135"/>
    </row>
    <row r="29082" spans="20:21" ht="15" customHeight="1" x14ac:dyDescent="0.25">
      <c r="T29082" s="135"/>
      <c r="U29082" s="135"/>
    </row>
    <row r="29083" spans="20:21" ht="15" customHeight="1" x14ac:dyDescent="0.25">
      <c r="T29083" s="135"/>
      <c r="U29083" s="135"/>
    </row>
    <row r="29084" spans="20:21" ht="15" customHeight="1" x14ac:dyDescent="0.25">
      <c r="T29084" s="135"/>
      <c r="U29084" s="135"/>
    </row>
    <row r="29085" spans="20:21" ht="15" customHeight="1" x14ac:dyDescent="0.25">
      <c r="T29085" s="135"/>
      <c r="U29085" s="135"/>
    </row>
    <row r="29086" spans="20:21" ht="15" customHeight="1" x14ac:dyDescent="0.25">
      <c r="T29086" s="135"/>
      <c r="U29086" s="135"/>
    </row>
    <row r="29087" spans="20:21" ht="15" customHeight="1" x14ac:dyDescent="0.25">
      <c r="T29087" s="135"/>
      <c r="U29087" s="135"/>
    </row>
    <row r="29088" spans="20:21" ht="15" customHeight="1" x14ac:dyDescent="0.25">
      <c r="T29088" s="135"/>
      <c r="U29088" s="135"/>
    </row>
    <row r="29089" spans="20:21" ht="15" customHeight="1" x14ac:dyDescent="0.25">
      <c r="T29089" s="135"/>
      <c r="U29089" s="135"/>
    </row>
    <row r="29090" spans="20:21" ht="15" customHeight="1" x14ac:dyDescent="0.25">
      <c r="T29090" s="135"/>
      <c r="U29090" s="135"/>
    </row>
    <row r="29091" spans="20:21" ht="15" customHeight="1" x14ac:dyDescent="0.25">
      <c r="T29091" s="135"/>
      <c r="U29091" s="135"/>
    </row>
    <row r="29092" spans="20:21" ht="15" customHeight="1" x14ac:dyDescent="0.25">
      <c r="T29092" s="135"/>
      <c r="U29092" s="135"/>
    </row>
    <row r="29093" spans="20:21" ht="15" customHeight="1" x14ac:dyDescent="0.25">
      <c r="T29093" s="135"/>
      <c r="U29093" s="135"/>
    </row>
    <row r="29094" spans="20:21" ht="15" customHeight="1" x14ac:dyDescent="0.25">
      <c r="T29094" s="135"/>
      <c r="U29094" s="135"/>
    </row>
    <row r="29095" spans="20:21" ht="15" customHeight="1" x14ac:dyDescent="0.25">
      <c r="T29095" s="135"/>
      <c r="U29095" s="135"/>
    </row>
    <row r="29096" spans="20:21" ht="15" customHeight="1" x14ac:dyDescent="0.25">
      <c r="T29096" s="135"/>
      <c r="U29096" s="135"/>
    </row>
    <row r="29097" spans="20:21" ht="15" customHeight="1" x14ac:dyDescent="0.25">
      <c r="T29097" s="135"/>
      <c r="U29097" s="135"/>
    </row>
    <row r="29098" spans="20:21" ht="15" customHeight="1" x14ac:dyDescent="0.25">
      <c r="T29098" s="135"/>
      <c r="U29098" s="135"/>
    </row>
    <row r="29099" spans="20:21" ht="15" customHeight="1" x14ac:dyDescent="0.25">
      <c r="T29099" s="135"/>
      <c r="U29099" s="135"/>
    </row>
    <row r="29100" spans="20:21" ht="15" customHeight="1" x14ac:dyDescent="0.25">
      <c r="T29100" s="135"/>
      <c r="U29100" s="135"/>
    </row>
    <row r="29101" spans="20:21" ht="15" customHeight="1" x14ac:dyDescent="0.25">
      <c r="T29101" s="135"/>
      <c r="U29101" s="135"/>
    </row>
    <row r="29102" spans="20:21" ht="15" customHeight="1" x14ac:dyDescent="0.25">
      <c r="T29102" s="135"/>
      <c r="U29102" s="135"/>
    </row>
    <row r="29103" spans="20:21" ht="15" customHeight="1" x14ac:dyDescent="0.25">
      <c r="T29103" s="135"/>
      <c r="U29103" s="135"/>
    </row>
    <row r="29104" spans="20:21" ht="15" customHeight="1" x14ac:dyDescent="0.25">
      <c r="T29104" s="135"/>
      <c r="U29104" s="135"/>
    </row>
    <row r="29105" spans="20:21" ht="15" customHeight="1" x14ac:dyDescent="0.25">
      <c r="T29105" s="135"/>
      <c r="U29105" s="135"/>
    </row>
    <row r="29106" spans="20:21" ht="15" customHeight="1" x14ac:dyDescent="0.25">
      <c r="T29106" s="135"/>
      <c r="U29106" s="135"/>
    </row>
    <row r="29107" spans="20:21" ht="15" customHeight="1" x14ac:dyDescent="0.25">
      <c r="T29107" s="135"/>
      <c r="U29107" s="135"/>
    </row>
    <row r="29108" spans="20:21" ht="15" customHeight="1" x14ac:dyDescent="0.25">
      <c r="T29108" s="135"/>
      <c r="U29108" s="135"/>
    </row>
    <row r="29109" spans="20:21" ht="15" customHeight="1" x14ac:dyDescent="0.25">
      <c r="T29109" s="135"/>
      <c r="U29109" s="135"/>
    </row>
    <row r="29110" spans="20:21" ht="15" customHeight="1" x14ac:dyDescent="0.25">
      <c r="T29110" s="135"/>
      <c r="U29110" s="135"/>
    </row>
    <row r="29111" spans="20:21" ht="15" customHeight="1" x14ac:dyDescent="0.25">
      <c r="T29111" s="135"/>
      <c r="U29111" s="135"/>
    </row>
    <row r="29112" spans="20:21" ht="15" customHeight="1" x14ac:dyDescent="0.25">
      <c r="T29112" s="135"/>
      <c r="U29112" s="135"/>
    </row>
    <row r="29113" spans="20:21" ht="15" customHeight="1" x14ac:dyDescent="0.25">
      <c r="T29113" s="135"/>
      <c r="U29113" s="135"/>
    </row>
    <row r="29114" spans="20:21" ht="15" customHeight="1" x14ac:dyDescent="0.25">
      <c r="T29114" s="135"/>
      <c r="U29114" s="135"/>
    </row>
    <row r="29115" spans="20:21" ht="15" customHeight="1" x14ac:dyDescent="0.25">
      <c r="T29115" s="135"/>
      <c r="U29115" s="135"/>
    </row>
    <row r="29116" spans="20:21" ht="15" customHeight="1" x14ac:dyDescent="0.25">
      <c r="T29116" s="135"/>
      <c r="U29116" s="135"/>
    </row>
    <row r="29117" spans="20:21" ht="15" customHeight="1" x14ac:dyDescent="0.25">
      <c r="T29117" s="135"/>
      <c r="U29117" s="135"/>
    </row>
    <row r="29118" spans="20:21" ht="15" customHeight="1" x14ac:dyDescent="0.25">
      <c r="T29118" s="135"/>
      <c r="U29118" s="135"/>
    </row>
    <row r="29119" spans="20:21" ht="15" customHeight="1" x14ac:dyDescent="0.25">
      <c r="T29119" s="135"/>
      <c r="U29119" s="135"/>
    </row>
    <row r="29120" spans="20:21" ht="15" customHeight="1" x14ac:dyDescent="0.25">
      <c r="T29120" s="135"/>
      <c r="U29120" s="135"/>
    </row>
    <row r="29121" spans="20:21" ht="15" customHeight="1" x14ac:dyDescent="0.25">
      <c r="T29121" s="135"/>
      <c r="U29121" s="135"/>
    </row>
    <row r="29122" spans="20:21" ht="15" customHeight="1" x14ac:dyDescent="0.25">
      <c r="T29122" s="135"/>
      <c r="U29122" s="135"/>
    </row>
    <row r="29123" spans="20:21" ht="15" customHeight="1" x14ac:dyDescent="0.25">
      <c r="T29123" s="135"/>
      <c r="U29123" s="135"/>
    </row>
    <row r="29124" spans="20:21" ht="15" customHeight="1" x14ac:dyDescent="0.25">
      <c r="T29124" s="135"/>
      <c r="U29124" s="135"/>
    </row>
    <row r="29125" spans="20:21" ht="15" customHeight="1" x14ac:dyDescent="0.25">
      <c r="T29125" s="135"/>
      <c r="U29125" s="135"/>
    </row>
    <row r="29126" spans="20:21" ht="15" customHeight="1" x14ac:dyDescent="0.25">
      <c r="T29126" s="135"/>
      <c r="U29126" s="135"/>
    </row>
    <row r="29127" spans="20:21" ht="15" customHeight="1" x14ac:dyDescent="0.25">
      <c r="T29127" s="135"/>
      <c r="U29127" s="135"/>
    </row>
    <row r="29128" spans="20:21" ht="15" customHeight="1" x14ac:dyDescent="0.25">
      <c r="T29128" s="135"/>
      <c r="U29128" s="135"/>
    </row>
    <row r="29129" spans="20:21" ht="15" customHeight="1" x14ac:dyDescent="0.25">
      <c r="T29129" s="135"/>
      <c r="U29129" s="135"/>
    </row>
    <row r="29130" spans="20:21" ht="15" customHeight="1" x14ac:dyDescent="0.25">
      <c r="T29130" s="135"/>
      <c r="U29130" s="135"/>
    </row>
    <row r="29131" spans="20:21" ht="15" customHeight="1" x14ac:dyDescent="0.25">
      <c r="T29131" s="135"/>
      <c r="U29131" s="135"/>
    </row>
    <row r="29132" spans="20:21" ht="15" customHeight="1" x14ac:dyDescent="0.25">
      <c r="T29132" s="135"/>
      <c r="U29132" s="135"/>
    </row>
    <row r="29133" spans="20:21" ht="15" customHeight="1" x14ac:dyDescent="0.25">
      <c r="T29133" s="135"/>
      <c r="U29133" s="135"/>
    </row>
    <row r="29134" spans="20:21" ht="15" customHeight="1" x14ac:dyDescent="0.25">
      <c r="T29134" s="135"/>
      <c r="U29134" s="135"/>
    </row>
    <row r="29135" spans="20:21" ht="15" customHeight="1" x14ac:dyDescent="0.25">
      <c r="T29135" s="135"/>
      <c r="U29135" s="135"/>
    </row>
    <row r="29136" spans="20:21" ht="15" customHeight="1" x14ac:dyDescent="0.25">
      <c r="T29136" s="135"/>
      <c r="U29136" s="135"/>
    </row>
    <row r="29137" spans="20:21" ht="15" customHeight="1" x14ac:dyDescent="0.25">
      <c r="T29137" s="135"/>
      <c r="U29137" s="135"/>
    </row>
    <row r="29138" spans="20:21" ht="15" customHeight="1" x14ac:dyDescent="0.25">
      <c r="T29138" s="135"/>
      <c r="U29138" s="135"/>
    </row>
    <row r="29139" spans="20:21" ht="15" customHeight="1" x14ac:dyDescent="0.25">
      <c r="T29139" s="135"/>
      <c r="U29139" s="135"/>
    </row>
    <row r="29140" spans="20:21" ht="15" customHeight="1" x14ac:dyDescent="0.25">
      <c r="T29140" s="135"/>
      <c r="U29140" s="135"/>
    </row>
    <row r="29141" spans="20:21" ht="15" customHeight="1" x14ac:dyDescent="0.25">
      <c r="T29141" s="135"/>
      <c r="U29141" s="135"/>
    </row>
    <row r="29142" spans="20:21" ht="15" customHeight="1" x14ac:dyDescent="0.25">
      <c r="T29142" s="135"/>
      <c r="U29142" s="135"/>
    </row>
    <row r="29143" spans="20:21" ht="15" customHeight="1" x14ac:dyDescent="0.25">
      <c r="T29143" s="135"/>
      <c r="U29143" s="135"/>
    </row>
    <row r="29144" spans="20:21" ht="15" customHeight="1" x14ac:dyDescent="0.25">
      <c r="T29144" s="135"/>
      <c r="U29144" s="135"/>
    </row>
    <row r="29145" spans="20:21" ht="15" customHeight="1" x14ac:dyDescent="0.25">
      <c r="T29145" s="135"/>
      <c r="U29145" s="135"/>
    </row>
    <row r="29146" spans="20:21" ht="15" customHeight="1" x14ac:dyDescent="0.25">
      <c r="T29146" s="135"/>
      <c r="U29146" s="135"/>
    </row>
    <row r="29147" spans="20:21" ht="15" customHeight="1" x14ac:dyDescent="0.25">
      <c r="T29147" s="135"/>
      <c r="U29147" s="135"/>
    </row>
    <row r="29148" spans="20:21" ht="15" customHeight="1" x14ac:dyDescent="0.25">
      <c r="T29148" s="135"/>
      <c r="U29148" s="135"/>
    </row>
    <row r="29149" spans="20:21" ht="15" customHeight="1" x14ac:dyDescent="0.25">
      <c r="T29149" s="135"/>
      <c r="U29149" s="135"/>
    </row>
    <row r="29150" spans="20:21" ht="15" customHeight="1" x14ac:dyDescent="0.25">
      <c r="T29150" s="135"/>
      <c r="U29150" s="135"/>
    </row>
    <row r="29151" spans="20:21" ht="15" customHeight="1" x14ac:dyDescent="0.25">
      <c r="T29151" s="135"/>
      <c r="U29151" s="135"/>
    </row>
    <row r="29152" spans="20:21" ht="15" customHeight="1" x14ac:dyDescent="0.25">
      <c r="T29152" s="135"/>
      <c r="U29152" s="135"/>
    </row>
    <row r="29153" spans="20:21" ht="15" customHeight="1" x14ac:dyDescent="0.25">
      <c r="T29153" s="135"/>
      <c r="U29153" s="135"/>
    </row>
    <row r="29154" spans="20:21" ht="15" customHeight="1" x14ac:dyDescent="0.25">
      <c r="T29154" s="135"/>
      <c r="U29154" s="135"/>
    </row>
    <row r="29155" spans="20:21" ht="15" customHeight="1" x14ac:dyDescent="0.25">
      <c r="T29155" s="135"/>
      <c r="U29155" s="135"/>
    </row>
    <row r="29156" spans="20:21" ht="15" customHeight="1" x14ac:dyDescent="0.25">
      <c r="T29156" s="135"/>
      <c r="U29156" s="135"/>
    </row>
    <row r="29157" spans="20:21" ht="15" customHeight="1" x14ac:dyDescent="0.25">
      <c r="T29157" s="135"/>
      <c r="U29157" s="135"/>
    </row>
    <row r="29158" spans="20:21" ht="15" customHeight="1" x14ac:dyDescent="0.25">
      <c r="T29158" s="135"/>
      <c r="U29158" s="135"/>
    </row>
    <row r="29159" spans="20:21" ht="15" customHeight="1" x14ac:dyDescent="0.25">
      <c r="T29159" s="135"/>
      <c r="U29159" s="135"/>
    </row>
    <row r="29160" spans="20:21" ht="15" customHeight="1" x14ac:dyDescent="0.25">
      <c r="T29160" s="135"/>
      <c r="U29160" s="135"/>
    </row>
    <row r="29161" spans="20:21" ht="15" customHeight="1" x14ac:dyDescent="0.25">
      <c r="T29161" s="135"/>
      <c r="U29161" s="135"/>
    </row>
    <row r="29162" spans="20:21" ht="15" customHeight="1" x14ac:dyDescent="0.25">
      <c r="T29162" s="135"/>
      <c r="U29162" s="135"/>
    </row>
    <row r="29163" spans="20:21" ht="15" customHeight="1" x14ac:dyDescent="0.25">
      <c r="T29163" s="135"/>
      <c r="U29163" s="135"/>
    </row>
    <row r="29164" spans="20:21" ht="15" customHeight="1" x14ac:dyDescent="0.25">
      <c r="T29164" s="135"/>
      <c r="U29164" s="135"/>
    </row>
    <row r="29165" spans="20:21" ht="15" customHeight="1" x14ac:dyDescent="0.25">
      <c r="T29165" s="135"/>
      <c r="U29165" s="135"/>
    </row>
    <row r="29166" spans="20:21" ht="15" customHeight="1" x14ac:dyDescent="0.25">
      <c r="T29166" s="135"/>
      <c r="U29166" s="135"/>
    </row>
    <row r="29167" spans="20:21" ht="15" customHeight="1" x14ac:dyDescent="0.25">
      <c r="T29167" s="135"/>
      <c r="U29167" s="135"/>
    </row>
    <row r="29168" spans="20:21" ht="15" customHeight="1" x14ac:dyDescent="0.25">
      <c r="T29168" s="135"/>
      <c r="U29168" s="135"/>
    </row>
    <row r="29169" spans="20:21" ht="15" customHeight="1" x14ac:dyDescent="0.25">
      <c r="T29169" s="135"/>
      <c r="U29169" s="135"/>
    </row>
    <row r="29170" spans="20:21" ht="15" customHeight="1" x14ac:dyDescent="0.25">
      <c r="T29170" s="135"/>
      <c r="U29170" s="135"/>
    </row>
    <row r="29171" spans="20:21" ht="15" customHeight="1" x14ac:dyDescent="0.25">
      <c r="T29171" s="135"/>
      <c r="U29171" s="135"/>
    </row>
    <row r="29172" spans="20:21" ht="15" customHeight="1" x14ac:dyDescent="0.25">
      <c r="T29172" s="135"/>
      <c r="U29172" s="135"/>
    </row>
    <row r="29173" spans="20:21" ht="15" customHeight="1" x14ac:dyDescent="0.25">
      <c r="T29173" s="135"/>
      <c r="U29173" s="135"/>
    </row>
    <row r="29174" spans="20:21" ht="15" customHeight="1" x14ac:dyDescent="0.25">
      <c r="T29174" s="135"/>
      <c r="U29174" s="135"/>
    </row>
    <row r="29175" spans="20:21" ht="15" customHeight="1" x14ac:dyDescent="0.25">
      <c r="T29175" s="135"/>
      <c r="U29175" s="135"/>
    </row>
    <row r="29176" spans="20:21" ht="15" customHeight="1" x14ac:dyDescent="0.25">
      <c r="T29176" s="135"/>
      <c r="U29176" s="135"/>
    </row>
    <row r="29177" spans="20:21" ht="15" customHeight="1" x14ac:dyDescent="0.25">
      <c r="T29177" s="135"/>
      <c r="U29177" s="135"/>
    </row>
    <row r="29178" spans="20:21" ht="15" customHeight="1" x14ac:dyDescent="0.25">
      <c r="T29178" s="135"/>
      <c r="U29178" s="135"/>
    </row>
    <row r="29179" spans="20:21" ht="15" customHeight="1" x14ac:dyDescent="0.25">
      <c r="T29179" s="135"/>
      <c r="U29179" s="135"/>
    </row>
    <row r="29180" spans="20:21" ht="15" customHeight="1" x14ac:dyDescent="0.25">
      <c r="T29180" s="135"/>
      <c r="U29180" s="135"/>
    </row>
    <row r="29181" spans="20:21" ht="15" customHeight="1" x14ac:dyDescent="0.25">
      <c r="T29181" s="135"/>
      <c r="U29181" s="135"/>
    </row>
    <row r="29182" spans="20:21" ht="15" customHeight="1" x14ac:dyDescent="0.25">
      <c r="T29182" s="135"/>
      <c r="U29182" s="135"/>
    </row>
    <row r="29183" spans="20:21" ht="15" customHeight="1" x14ac:dyDescent="0.25">
      <c r="T29183" s="135"/>
      <c r="U29183" s="135"/>
    </row>
    <row r="29184" spans="20:21" ht="15" customHeight="1" x14ac:dyDescent="0.25">
      <c r="T29184" s="135"/>
      <c r="U29184" s="135"/>
    </row>
    <row r="29185" spans="20:21" ht="15" customHeight="1" x14ac:dyDescent="0.25">
      <c r="T29185" s="135"/>
      <c r="U29185" s="135"/>
    </row>
    <row r="29186" spans="20:21" ht="15" customHeight="1" x14ac:dyDescent="0.25">
      <c r="T29186" s="135"/>
      <c r="U29186" s="135"/>
    </row>
    <row r="29187" spans="20:21" ht="15" customHeight="1" x14ac:dyDescent="0.25">
      <c r="T29187" s="135"/>
      <c r="U29187" s="135"/>
    </row>
    <row r="29188" spans="20:21" ht="15" customHeight="1" x14ac:dyDescent="0.25">
      <c r="T29188" s="135"/>
      <c r="U29188" s="135"/>
    </row>
    <row r="29189" spans="20:21" ht="15" customHeight="1" x14ac:dyDescent="0.25">
      <c r="T29189" s="135"/>
      <c r="U29189" s="135"/>
    </row>
    <row r="29190" spans="20:21" ht="15" customHeight="1" x14ac:dyDescent="0.25">
      <c r="T29190" s="135"/>
      <c r="U29190" s="135"/>
    </row>
    <row r="29191" spans="20:21" ht="15" customHeight="1" x14ac:dyDescent="0.25">
      <c r="T29191" s="135"/>
      <c r="U29191" s="135"/>
    </row>
    <row r="29192" spans="20:21" ht="15" customHeight="1" x14ac:dyDescent="0.25">
      <c r="T29192" s="135"/>
      <c r="U29192" s="135"/>
    </row>
    <row r="29193" spans="20:21" ht="15" customHeight="1" x14ac:dyDescent="0.25">
      <c r="T29193" s="135"/>
      <c r="U29193" s="135"/>
    </row>
    <row r="29194" spans="20:21" ht="15" customHeight="1" x14ac:dyDescent="0.25">
      <c r="T29194" s="135"/>
      <c r="U29194" s="135"/>
    </row>
    <row r="29195" spans="20:21" ht="15" customHeight="1" x14ac:dyDescent="0.25">
      <c r="T29195" s="135"/>
      <c r="U29195" s="135"/>
    </row>
    <row r="29196" spans="20:21" ht="15" customHeight="1" x14ac:dyDescent="0.25">
      <c r="T29196" s="135"/>
      <c r="U29196" s="135"/>
    </row>
    <row r="29197" spans="20:21" ht="15" customHeight="1" x14ac:dyDescent="0.25">
      <c r="T29197" s="135"/>
      <c r="U29197" s="135"/>
    </row>
    <row r="29198" spans="20:21" ht="15" customHeight="1" x14ac:dyDescent="0.25">
      <c r="T29198" s="135"/>
      <c r="U29198" s="135"/>
    </row>
    <row r="29199" spans="20:21" ht="15" customHeight="1" x14ac:dyDescent="0.25">
      <c r="T29199" s="135"/>
      <c r="U29199" s="135"/>
    </row>
    <row r="29200" spans="20:21" ht="15" customHeight="1" x14ac:dyDescent="0.25">
      <c r="T29200" s="135"/>
      <c r="U29200" s="135"/>
    </row>
    <row r="29201" spans="20:21" ht="15" customHeight="1" x14ac:dyDescent="0.25">
      <c r="T29201" s="135"/>
      <c r="U29201" s="135"/>
    </row>
    <row r="29202" spans="20:21" ht="15" customHeight="1" x14ac:dyDescent="0.25">
      <c r="T29202" s="135"/>
      <c r="U29202" s="135"/>
    </row>
    <row r="29203" spans="20:21" ht="15" customHeight="1" x14ac:dyDescent="0.25">
      <c r="T29203" s="135"/>
      <c r="U29203" s="135"/>
    </row>
    <row r="29204" spans="20:21" ht="15" customHeight="1" x14ac:dyDescent="0.25">
      <c r="T29204" s="135"/>
      <c r="U29204" s="135"/>
    </row>
    <row r="29205" spans="20:21" ht="15" customHeight="1" x14ac:dyDescent="0.25">
      <c r="T29205" s="135"/>
      <c r="U29205" s="135"/>
    </row>
    <row r="29206" spans="20:21" ht="15" customHeight="1" x14ac:dyDescent="0.25">
      <c r="T29206" s="135"/>
      <c r="U29206" s="135"/>
    </row>
    <row r="29207" spans="20:21" ht="15" customHeight="1" x14ac:dyDescent="0.25">
      <c r="T29207" s="135"/>
      <c r="U29207" s="135"/>
    </row>
    <row r="29208" spans="20:21" ht="15" customHeight="1" x14ac:dyDescent="0.25">
      <c r="T29208" s="135"/>
      <c r="U29208" s="135"/>
    </row>
    <row r="29209" spans="20:21" ht="15" customHeight="1" x14ac:dyDescent="0.25">
      <c r="T29209" s="135"/>
      <c r="U29209" s="135"/>
    </row>
    <row r="29210" spans="20:21" ht="15" customHeight="1" x14ac:dyDescent="0.25">
      <c r="T29210" s="135"/>
      <c r="U29210" s="135"/>
    </row>
    <row r="29211" spans="20:21" ht="15" customHeight="1" x14ac:dyDescent="0.25">
      <c r="T29211" s="135"/>
      <c r="U29211" s="135"/>
    </row>
    <row r="29212" spans="20:21" ht="15" customHeight="1" x14ac:dyDescent="0.25">
      <c r="T29212" s="135"/>
      <c r="U29212" s="135"/>
    </row>
    <row r="29213" spans="20:21" ht="15" customHeight="1" x14ac:dyDescent="0.25">
      <c r="T29213" s="135"/>
      <c r="U29213" s="135"/>
    </row>
    <row r="29214" spans="20:21" ht="15" customHeight="1" x14ac:dyDescent="0.25">
      <c r="T29214" s="135"/>
      <c r="U29214" s="135"/>
    </row>
    <row r="29215" spans="20:21" ht="15" customHeight="1" x14ac:dyDescent="0.25">
      <c r="T29215" s="135"/>
      <c r="U29215" s="135"/>
    </row>
    <row r="29216" spans="20:21" ht="15" customHeight="1" x14ac:dyDescent="0.25">
      <c r="T29216" s="135"/>
      <c r="U29216" s="135"/>
    </row>
    <row r="29217" spans="20:21" ht="15" customHeight="1" x14ac:dyDescent="0.25">
      <c r="T29217" s="135"/>
      <c r="U29217" s="135"/>
    </row>
    <row r="29218" spans="20:21" ht="15" customHeight="1" x14ac:dyDescent="0.25">
      <c r="T29218" s="135"/>
      <c r="U29218" s="135"/>
    </row>
    <row r="29219" spans="20:21" ht="15" customHeight="1" x14ac:dyDescent="0.25">
      <c r="T29219" s="135"/>
      <c r="U29219" s="135"/>
    </row>
    <row r="29220" spans="20:21" ht="15" customHeight="1" x14ac:dyDescent="0.25">
      <c r="T29220" s="135"/>
      <c r="U29220" s="135"/>
    </row>
    <row r="29221" spans="20:21" ht="15" customHeight="1" x14ac:dyDescent="0.25">
      <c r="T29221" s="135"/>
      <c r="U29221" s="135"/>
    </row>
    <row r="29222" spans="20:21" ht="15" customHeight="1" x14ac:dyDescent="0.25">
      <c r="T29222" s="135"/>
      <c r="U29222" s="135"/>
    </row>
    <row r="29223" spans="20:21" ht="15" customHeight="1" x14ac:dyDescent="0.25">
      <c r="T29223" s="135"/>
      <c r="U29223" s="135"/>
    </row>
    <row r="29224" spans="20:21" ht="15" customHeight="1" x14ac:dyDescent="0.25">
      <c r="T29224" s="135"/>
      <c r="U29224" s="135"/>
    </row>
    <row r="29225" spans="20:21" ht="15" customHeight="1" x14ac:dyDescent="0.25">
      <c r="T29225" s="135"/>
      <c r="U29225" s="135"/>
    </row>
    <row r="29226" spans="20:21" ht="15" customHeight="1" x14ac:dyDescent="0.25">
      <c r="T29226" s="135"/>
      <c r="U29226" s="135"/>
    </row>
    <row r="29227" spans="20:21" ht="15" customHeight="1" x14ac:dyDescent="0.25">
      <c r="T29227" s="135"/>
      <c r="U29227" s="135"/>
    </row>
    <row r="29228" spans="20:21" ht="15" customHeight="1" x14ac:dyDescent="0.25">
      <c r="T29228" s="135"/>
      <c r="U29228" s="135"/>
    </row>
    <row r="29229" spans="20:21" ht="15" customHeight="1" x14ac:dyDescent="0.25">
      <c r="T29229" s="135"/>
      <c r="U29229" s="135"/>
    </row>
    <row r="29230" spans="20:21" ht="15" customHeight="1" x14ac:dyDescent="0.25">
      <c r="T29230" s="135"/>
      <c r="U29230" s="135"/>
    </row>
    <row r="29231" spans="20:21" ht="15" customHeight="1" x14ac:dyDescent="0.25">
      <c r="T29231" s="135"/>
      <c r="U29231" s="135"/>
    </row>
    <row r="29232" spans="20:21" ht="15" customHeight="1" x14ac:dyDescent="0.25">
      <c r="T29232" s="135"/>
      <c r="U29232" s="135"/>
    </row>
    <row r="29233" spans="20:21" ht="15" customHeight="1" x14ac:dyDescent="0.25">
      <c r="T29233" s="135"/>
      <c r="U29233" s="135"/>
    </row>
    <row r="29234" spans="20:21" ht="15" customHeight="1" x14ac:dyDescent="0.25">
      <c r="T29234" s="135"/>
      <c r="U29234" s="135"/>
    </row>
    <row r="29235" spans="20:21" ht="15" customHeight="1" x14ac:dyDescent="0.25">
      <c r="T29235" s="135"/>
      <c r="U29235" s="135"/>
    </row>
    <row r="29236" spans="20:21" ht="15" customHeight="1" x14ac:dyDescent="0.25">
      <c r="T29236" s="135"/>
      <c r="U29236" s="135"/>
    </row>
    <row r="29237" spans="20:21" ht="15" customHeight="1" x14ac:dyDescent="0.25">
      <c r="T29237" s="135"/>
      <c r="U29237" s="135"/>
    </row>
    <row r="29238" spans="20:21" ht="15" customHeight="1" x14ac:dyDescent="0.25">
      <c r="T29238" s="135"/>
      <c r="U29238" s="135"/>
    </row>
    <row r="29239" spans="20:21" ht="15" customHeight="1" x14ac:dyDescent="0.25">
      <c r="T29239" s="135"/>
      <c r="U29239" s="135"/>
    </row>
    <row r="29240" spans="20:21" ht="15" customHeight="1" x14ac:dyDescent="0.25">
      <c r="T29240" s="135"/>
      <c r="U29240" s="135"/>
    </row>
    <row r="29241" spans="20:21" ht="15" customHeight="1" x14ac:dyDescent="0.25">
      <c r="T29241" s="135"/>
      <c r="U29241" s="135"/>
    </row>
    <row r="29242" spans="20:21" ht="15" customHeight="1" x14ac:dyDescent="0.25">
      <c r="T29242" s="135"/>
      <c r="U29242" s="135"/>
    </row>
    <row r="29243" spans="20:21" ht="15" customHeight="1" x14ac:dyDescent="0.25">
      <c r="T29243" s="135"/>
      <c r="U29243" s="135"/>
    </row>
    <row r="29244" spans="20:21" ht="15" customHeight="1" x14ac:dyDescent="0.25">
      <c r="T29244" s="135"/>
      <c r="U29244" s="135"/>
    </row>
    <row r="29245" spans="20:21" ht="15" customHeight="1" x14ac:dyDescent="0.25">
      <c r="T29245" s="135"/>
      <c r="U29245" s="135"/>
    </row>
    <row r="29246" spans="20:21" ht="15" customHeight="1" x14ac:dyDescent="0.25">
      <c r="T29246" s="135"/>
      <c r="U29246" s="135"/>
    </row>
    <row r="29247" spans="20:21" ht="15" customHeight="1" x14ac:dyDescent="0.25">
      <c r="T29247" s="135"/>
      <c r="U29247" s="135"/>
    </row>
    <row r="29248" spans="20:21" ht="15" customHeight="1" x14ac:dyDescent="0.25">
      <c r="T29248" s="135"/>
      <c r="U29248" s="135"/>
    </row>
    <row r="29249" spans="20:21" ht="15" customHeight="1" x14ac:dyDescent="0.25">
      <c r="T29249" s="135"/>
      <c r="U29249" s="135"/>
    </row>
    <row r="29250" spans="20:21" ht="15" customHeight="1" x14ac:dyDescent="0.25">
      <c r="T29250" s="135"/>
      <c r="U29250" s="135"/>
    </row>
    <row r="29251" spans="20:21" ht="15" customHeight="1" x14ac:dyDescent="0.25">
      <c r="T29251" s="135"/>
      <c r="U29251" s="135"/>
    </row>
    <row r="29252" spans="20:21" ht="15" customHeight="1" x14ac:dyDescent="0.25">
      <c r="T29252" s="135"/>
      <c r="U29252" s="135"/>
    </row>
    <row r="29253" spans="20:21" ht="15" customHeight="1" x14ac:dyDescent="0.25">
      <c r="T29253" s="135"/>
      <c r="U29253" s="135"/>
    </row>
    <row r="29254" spans="20:21" ht="15" customHeight="1" x14ac:dyDescent="0.25">
      <c r="T29254" s="135"/>
      <c r="U29254" s="135"/>
    </row>
    <row r="29255" spans="20:21" ht="15" customHeight="1" x14ac:dyDescent="0.25">
      <c r="T29255" s="135"/>
      <c r="U29255" s="135"/>
    </row>
    <row r="29256" spans="20:21" ht="15" customHeight="1" x14ac:dyDescent="0.25">
      <c r="T29256" s="135"/>
      <c r="U29256" s="135"/>
    </row>
    <row r="29257" spans="20:21" ht="15" customHeight="1" x14ac:dyDescent="0.25">
      <c r="T29257" s="135"/>
      <c r="U29257" s="135"/>
    </row>
    <row r="29258" spans="20:21" ht="15" customHeight="1" x14ac:dyDescent="0.25">
      <c r="T29258" s="135"/>
      <c r="U29258" s="135"/>
    </row>
    <row r="29259" spans="20:21" ht="15" customHeight="1" x14ac:dyDescent="0.25">
      <c r="T29259" s="135"/>
      <c r="U29259" s="135"/>
    </row>
    <row r="29260" spans="20:21" ht="15" customHeight="1" x14ac:dyDescent="0.25">
      <c r="T29260" s="135"/>
      <c r="U29260" s="135"/>
    </row>
    <row r="29261" spans="20:21" ht="15" customHeight="1" x14ac:dyDescent="0.25">
      <c r="T29261" s="135"/>
      <c r="U29261" s="135"/>
    </row>
    <row r="29262" spans="20:21" ht="15" customHeight="1" x14ac:dyDescent="0.25">
      <c r="T29262" s="135"/>
      <c r="U29262" s="135"/>
    </row>
    <row r="29263" spans="20:21" ht="15" customHeight="1" x14ac:dyDescent="0.25">
      <c r="T29263" s="135"/>
      <c r="U29263" s="135"/>
    </row>
    <row r="29264" spans="20:21" ht="15" customHeight="1" x14ac:dyDescent="0.25">
      <c r="T29264" s="135"/>
      <c r="U29264" s="135"/>
    </row>
    <row r="29265" spans="20:21" ht="15" customHeight="1" x14ac:dyDescent="0.25">
      <c r="T29265" s="135"/>
      <c r="U29265" s="135"/>
    </row>
    <row r="29266" spans="20:21" ht="15" customHeight="1" x14ac:dyDescent="0.25">
      <c r="T29266" s="135"/>
      <c r="U29266" s="135"/>
    </row>
    <row r="29267" spans="20:21" ht="15" customHeight="1" x14ac:dyDescent="0.25">
      <c r="T29267" s="135"/>
      <c r="U29267" s="135"/>
    </row>
    <row r="29268" spans="20:21" ht="15" customHeight="1" x14ac:dyDescent="0.25">
      <c r="T29268" s="135"/>
      <c r="U29268" s="135"/>
    </row>
    <row r="29269" spans="20:21" ht="15" customHeight="1" x14ac:dyDescent="0.25">
      <c r="T29269" s="135"/>
      <c r="U29269" s="135"/>
    </row>
    <row r="29270" spans="20:21" ht="15" customHeight="1" x14ac:dyDescent="0.25">
      <c r="T29270" s="135"/>
      <c r="U29270" s="135"/>
    </row>
    <row r="29271" spans="20:21" ht="15" customHeight="1" x14ac:dyDescent="0.25">
      <c r="T29271" s="135"/>
      <c r="U29271" s="135"/>
    </row>
    <row r="29272" spans="20:21" ht="15" customHeight="1" x14ac:dyDescent="0.25">
      <c r="T29272" s="135"/>
      <c r="U29272" s="135"/>
    </row>
    <row r="29273" spans="20:21" ht="15" customHeight="1" x14ac:dyDescent="0.25">
      <c r="T29273" s="135"/>
      <c r="U29273" s="135"/>
    </row>
    <row r="29274" spans="20:21" ht="15" customHeight="1" x14ac:dyDescent="0.25">
      <c r="T29274" s="135"/>
      <c r="U29274" s="135"/>
    </row>
    <row r="29275" spans="20:21" ht="15" customHeight="1" x14ac:dyDescent="0.25">
      <c r="T29275" s="135"/>
      <c r="U29275" s="135"/>
    </row>
    <row r="29276" spans="20:21" ht="15" customHeight="1" x14ac:dyDescent="0.25">
      <c r="T29276" s="135"/>
      <c r="U29276" s="135"/>
    </row>
    <row r="29277" spans="20:21" ht="15" customHeight="1" x14ac:dyDescent="0.25">
      <c r="T29277" s="135"/>
      <c r="U29277" s="135"/>
    </row>
    <row r="29278" spans="20:21" ht="15" customHeight="1" x14ac:dyDescent="0.25">
      <c r="T29278" s="135"/>
      <c r="U29278" s="135"/>
    </row>
    <row r="29279" spans="20:21" ht="15" customHeight="1" x14ac:dyDescent="0.25">
      <c r="T29279" s="135"/>
      <c r="U29279" s="135"/>
    </row>
    <row r="29280" spans="20:21" ht="15" customHeight="1" x14ac:dyDescent="0.25">
      <c r="T29280" s="135"/>
      <c r="U29280" s="135"/>
    </row>
    <row r="29281" spans="20:21" ht="15" customHeight="1" x14ac:dyDescent="0.25">
      <c r="T29281" s="135"/>
      <c r="U29281" s="135"/>
    </row>
    <row r="29282" spans="20:21" ht="15" customHeight="1" x14ac:dyDescent="0.25">
      <c r="T29282" s="135"/>
      <c r="U29282" s="135"/>
    </row>
    <row r="29283" spans="20:21" ht="15" customHeight="1" x14ac:dyDescent="0.25">
      <c r="T29283" s="135"/>
      <c r="U29283" s="135"/>
    </row>
    <row r="29284" spans="20:21" ht="15" customHeight="1" x14ac:dyDescent="0.25">
      <c r="T29284" s="135"/>
      <c r="U29284" s="135"/>
    </row>
    <row r="29285" spans="20:21" ht="15" customHeight="1" x14ac:dyDescent="0.25">
      <c r="T29285" s="135"/>
      <c r="U29285" s="135"/>
    </row>
    <row r="29286" spans="20:21" ht="15" customHeight="1" x14ac:dyDescent="0.25">
      <c r="T29286" s="135"/>
      <c r="U29286" s="135"/>
    </row>
    <row r="29287" spans="20:21" ht="15" customHeight="1" x14ac:dyDescent="0.25">
      <c r="T29287" s="135"/>
      <c r="U29287" s="135"/>
    </row>
    <row r="29288" spans="20:21" ht="15" customHeight="1" x14ac:dyDescent="0.25">
      <c r="T29288" s="135"/>
      <c r="U29288" s="135"/>
    </row>
    <row r="29289" spans="20:21" ht="15" customHeight="1" x14ac:dyDescent="0.25">
      <c r="T29289" s="135"/>
      <c r="U29289" s="135"/>
    </row>
    <row r="29290" spans="20:21" ht="15" customHeight="1" x14ac:dyDescent="0.25">
      <c r="T29290" s="135"/>
      <c r="U29290" s="135"/>
    </row>
    <row r="29291" spans="20:21" ht="15" customHeight="1" x14ac:dyDescent="0.25">
      <c r="T29291" s="135"/>
      <c r="U29291" s="135"/>
    </row>
    <row r="29292" spans="20:21" ht="15" customHeight="1" x14ac:dyDescent="0.25">
      <c r="T29292" s="135"/>
      <c r="U29292" s="135"/>
    </row>
    <row r="29293" spans="20:21" ht="15" customHeight="1" x14ac:dyDescent="0.25">
      <c r="T29293" s="135"/>
      <c r="U29293" s="135"/>
    </row>
    <row r="29294" spans="20:21" ht="15" customHeight="1" x14ac:dyDescent="0.25">
      <c r="T29294" s="135"/>
      <c r="U29294" s="135"/>
    </row>
    <row r="29295" spans="20:21" ht="15" customHeight="1" x14ac:dyDescent="0.25">
      <c r="T29295" s="135"/>
      <c r="U29295" s="135"/>
    </row>
    <row r="29296" spans="20:21" ht="15" customHeight="1" x14ac:dyDescent="0.25">
      <c r="T29296" s="135"/>
      <c r="U29296" s="135"/>
    </row>
    <row r="29297" spans="20:21" ht="15" customHeight="1" x14ac:dyDescent="0.25">
      <c r="T29297" s="135"/>
      <c r="U29297" s="135"/>
    </row>
    <row r="29298" spans="20:21" ht="15" customHeight="1" x14ac:dyDescent="0.25">
      <c r="T29298" s="135"/>
      <c r="U29298" s="135"/>
    </row>
    <row r="29299" spans="20:21" ht="15" customHeight="1" x14ac:dyDescent="0.25">
      <c r="T29299" s="135"/>
      <c r="U29299" s="135"/>
    </row>
    <row r="29300" spans="20:21" ht="15" customHeight="1" x14ac:dyDescent="0.25">
      <c r="T29300" s="135"/>
      <c r="U29300" s="135"/>
    </row>
    <row r="29301" spans="20:21" ht="15" customHeight="1" x14ac:dyDescent="0.25">
      <c r="T29301" s="135"/>
      <c r="U29301" s="135"/>
    </row>
    <row r="29302" spans="20:21" ht="15" customHeight="1" x14ac:dyDescent="0.25">
      <c r="T29302" s="135"/>
      <c r="U29302" s="135"/>
    </row>
    <row r="29303" spans="20:21" ht="15" customHeight="1" x14ac:dyDescent="0.25">
      <c r="T29303" s="135"/>
      <c r="U29303" s="135"/>
    </row>
    <row r="29304" spans="20:21" ht="15" customHeight="1" x14ac:dyDescent="0.25">
      <c r="T29304" s="135"/>
      <c r="U29304" s="135"/>
    </row>
    <row r="29305" spans="20:21" ht="15" customHeight="1" x14ac:dyDescent="0.25">
      <c r="T29305" s="135"/>
      <c r="U29305" s="135"/>
    </row>
    <row r="29306" spans="20:21" ht="15" customHeight="1" x14ac:dyDescent="0.25">
      <c r="T29306" s="135"/>
      <c r="U29306" s="135"/>
    </row>
    <row r="29307" spans="20:21" ht="15" customHeight="1" x14ac:dyDescent="0.25">
      <c r="T29307" s="135"/>
      <c r="U29307" s="135"/>
    </row>
    <row r="29308" spans="20:21" ht="15" customHeight="1" x14ac:dyDescent="0.25">
      <c r="T29308" s="135"/>
      <c r="U29308" s="135"/>
    </row>
    <row r="29309" spans="20:21" ht="15" customHeight="1" x14ac:dyDescent="0.25">
      <c r="T29309" s="135"/>
      <c r="U29309" s="135"/>
    </row>
    <row r="29310" spans="20:21" ht="15" customHeight="1" x14ac:dyDescent="0.25">
      <c r="T29310" s="135"/>
      <c r="U29310" s="135"/>
    </row>
    <row r="29311" spans="20:21" ht="15" customHeight="1" x14ac:dyDescent="0.25">
      <c r="T29311" s="135"/>
      <c r="U29311" s="135"/>
    </row>
    <row r="29312" spans="20:21" ht="15" customHeight="1" x14ac:dyDescent="0.25">
      <c r="T29312" s="135"/>
      <c r="U29312" s="135"/>
    </row>
    <row r="29313" spans="20:21" ht="15" customHeight="1" x14ac:dyDescent="0.25">
      <c r="T29313" s="135"/>
      <c r="U29313" s="135"/>
    </row>
    <row r="29314" spans="20:21" ht="15" customHeight="1" x14ac:dyDescent="0.25">
      <c r="T29314" s="135"/>
      <c r="U29314" s="135"/>
    </row>
    <row r="29315" spans="20:21" ht="15" customHeight="1" x14ac:dyDescent="0.25">
      <c r="T29315" s="135"/>
      <c r="U29315" s="135"/>
    </row>
    <row r="29316" spans="20:21" ht="15" customHeight="1" x14ac:dyDescent="0.25">
      <c r="T29316" s="135"/>
      <c r="U29316" s="135"/>
    </row>
    <row r="29317" spans="20:21" ht="15" customHeight="1" x14ac:dyDescent="0.25">
      <c r="T29317" s="135"/>
      <c r="U29317" s="135"/>
    </row>
    <row r="29318" spans="20:21" ht="15" customHeight="1" x14ac:dyDescent="0.25">
      <c r="T29318" s="135"/>
      <c r="U29318" s="135"/>
    </row>
    <row r="29319" spans="20:21" ht="15" customHeight="1" x14ac:dyDescent="0.25">
      <c r="T29319" s="135"/>
      <c r="U29319" s="135"/>
    </row>
    <row r="29320" spans="20:21" ht="15" customHeight="1" x14ac:dyDescent="0.25">
      <c r="T29320" s="135"/>
      <c r="U29320" s="135"/>
    </row>
    <row r="29321" spans="20:21" ht="15" customHeight="1" x14ac:dyDescent="0.25">
      <c r="T29321" s="135"/>
      <c r="U29321" s="135"/>
    </row>
    <row r="29322" spans="20:21" ht="15" customHeight="1" x14ac:dyDescent="0.25">
      <c r="T29322" s="135"/>
      <c r="U29322" s="135"/>
    </row>
    <row r="29323" spans="20:21" ht="15" customHeight="1" x14ac:dyDescent="0.25">
      <c r="T29323" s="135"/>
      <c r="U29323" s="135"/>
    </row>
    <row r="29324" spans="20:21" ht="15" customHeight="1" x14ac:dyDescent="0.25">
      <c r="T29324" s="135"/>
      <c r="U29324" s="135"/>
    </row>
    <row r="29325" spans="20:21" ht="15" customHeight="1" x14ac:dyDescent="0.25">
      <c r="T29325" s="135"/>
      <c r="U29325" s="135"/>
    </row>
    <row r="29326" spans="20:21" ht="15" customHeight="1" x14ac:dyDescent="0.25">
      <c r="T29326" s="135"/>
      <c r="U29326" s="135"/>
    </row>
    <row r="29327" spans="20:21" ht="15" customHeight="1" x14ac:dyDescent="0.25">
      <c r="T29327" s="135"/>
      <c r="U29327" s="135"/>
    </row>
    <row r="29328" spans="20:21" ht="15" customHeight="1" x14ac:dyDescent="0.25">
      <c r="T29328" s="135"/>
      <c r="U29328" s="135"/>
    </row>
    <row r="29329" spans="20:21" ht="15" customHeight="1" x14ac:dyDescent="0.25">
      <c r="T29329" s="135"/>
      <c r="U29329" s="135"/>
    </row>
    <row r="29330" spans="20:21" ht="15" customHeight="1" x14ac:dyDescent="0.25">
      <c r="T29330" s="135"/>
      <c r="U29330" s="135"/>
    </row>
    <row r="29331" spans="20:21" ht="15" customHeight="1" x14ac:dyDescent="0.25">
      <c r="T29331" s="135"/>
      <c r="U29331" s="135"/>
    </row>
    <row r="29332" spans="20:21" ht="15" customHeight="1" x14ac:dyDescent="0.25">
      <c r="T29332" s="135"/>
      <c r="U29332" s="135"/>
    </row>
    <row r="29333" spans="20:21" ht="15" customHeight="1" x14ac:dyDescent="0.25">
      <c r="T29333" s="135"/>
      <c r="U29333" s="135"/>
    </row>
    <row r="29334" spans="20:21" ht="15" customHeight="1" x14ac:dyDescent="0.25">
      <c r="T29334" s="135"/>
      <c r="U29334" s="135"/>
    </row>
    <row r="29335" spans="20:21" ht="15" customHeight="1" x14ac:dyDescent="0.25">
      <c r="T29335" s="135"/>
      <c r="U29335" s="135"/>
    </row>
    <row r="29336" spans="20:21" ht="15" customHeight="1" x14ac:dyDescent="0.25">
      <c r="T29336" s="135"/>
      <c r="U29336" s="135"/>
    </row>
    <row r="29337" spans="20:21" ht="15" customHeight="1" x14ac:dyDescent="0.25">
      <c r="T29337" s="135"/>
      <c r="U29337" s="135"/>
    </row>
    <row r="29338" spans="20:21" ht="15" customHeight="1" x14ac:dyDescent="0.25">
      <c r="T29338" s="135"/>
      <c r="U29338" s="135"/>
    </row>
    <row r="29339" spans="20:21" ht="15" customHeight="1" x14ac:dyDescent="0.25">
      <c r="T29339" s="135"/>
      <c r="U29339" s="135"/>
    </row>
    <row r="29340" spans="20:21" ht="15" customHeight="1" x14ac:dyDescent="0.25">
      <c r="T29340" s="135"/>
      <c r="U29340" s="135"/>
    </row>
    <row r="29341" spans="20:21" ht="15" customHeight="1" x14ac:dyDescent="0.25">
      <c r="T29341" s="135"/>
      <c r="U29341" s="135"/>
    </row>
    <row r="29342" spans="20:21" ht="15" customHeight="1" x14ac:dyDescent="0.25">
      <c r="T29342" s="135"/>
      <c r="U29342" s="135"/>
    </row>
    <row r="29343" spans="20:21" ht="15" customHeight="1" x14ac:dyDescent="0.25">
      <c r="T29343" s="135"/>
      <c r="U29343" s="135"/>
    </row>
    <row r="29344" spans="20:21" ht="15" customHeight="1" x14ac:dyDescent="0.25">
      <c r="T29344" s="135"/>
      <c r="U29344" s="135"/>
    </row>
    <row r="29345" spans="20:21" ht="15" customHeight="1" x14ac:dyDescent="0.25">
      <c r="T29345" s="135"/>
      <c r="U29345" s="135"/>
    </row>
    <row r="29346" spans="20:21" ht="15" customHeight="1" x14ac:dyDescent="0.25">
      <c r="T29346" s="135"/>
      <c r="U29346" s="135"/>
    </row>
    <row r="29347" spans="20:21" ht="15" customHeight="1" x14ac:dyDescent="0.25">
      <c r="T29347" s="135"/>
      <c r="U29347" s="135"/>
    </row>
    <row r="29348" spans="20:21" ht="15" customHeight="1" x14ac:dyDescent="0.25">
      <c r="T29348" s="135"/>
      <c r="U29348" s="135"/>
    </row>
    <row r="29349" spans="20:21" ht="15" customHeight="1" x14ac:dyDescent="0.25">
      <c r="T29349" s="135"/>
      <c r="U29349" s="135"/>
    </row>
    <row r="29350" spans="20:21" ht="15" customHeight="1" x14ac:dyDescent="0.25">
      <c r="T29350" s="135"/>
      <c r="U29350" s="135"/>
    </row>
    <row r="29351" spans="20:21" ht="15" customHeight="1" x14ac:dyDescent="0.25">
      <c r="T29351" s="135"/>
      <c r="U29351" s="135"/>
    </row>
    <row r="29352" spans="20:21" ht="15" customHeight="1" x14ac:dyDescent="0.25">
      <c r="T29352" s="135"/>
      <c r="U29352" s="135"/>
    </row>
    <row r="29353" spans="20:21" ht="15" customHeight="1" x14ac:dyDescent="0.25">
      <c r="T29353" s="135"/>
      <c r="U29353" s="135"/>
    </row>
    <row r="29354" spans="20:21" ht="15" customHeight="1" x14ac:dyDescent="0.25">
      <c r="T29354" s="135"/>
      <c r="U29354" s="135"/>
    </row>
    <row r="29355" spans="20:21" ht="15" customHeight="1" x14ac:dyDescent="0.25">
      <c r="T29355" s="135"/>
      <c r="U29355" s="135"/>
    </row>
    <row r="29356" spans="20:21" ht="15" customHeight="1" x14ac:dyDescent="0.25">
      <c r="T29356" s="135"/>
      <c r="U29356" s="135"/>
    </row>
    <row r="29357" spans="20:21" ht="15" customHeight="1" x14ac:dyDescent="0.25">
      <c r="T29357" s="135"/>
      <c r="U29357" s="135"/>
    </row>
    <row r="29358" spans="20:21" ht="15" customHeight="1" x14ac:dyDescent="0.25">
      <c r="T29358" s="135"/>
      <c r="U29358" s="135"/>
    </row>
    <row r="29359" spans="20:21" ht="15" customHeight="1" x14ac:dyDescent="0.25">
      <c r="T29359" s="135"/>
      <c r="U29359" s="135"/>
    </row>
    <row r="29360" spans="20:21" ht="15" customHeight="1" x14ac:dyDescent="0.25">
      <c r="T29360" s="135"/>
      <c r="U29360" s="135"/>
    </row>
    <row r="29361" spans="20:21" ht="15" customHeight="1" x14ac:dyDescent="0.25">
      <c r="T29361" s="135"/>
      <c r="U29361" s="135"/>
    </row>
    <row r="29362" spans="20:21" ht="15" customHeight="1" x14ac:dyDescent="0.25">
      <c r="T29362" s="135"/>
      <c r="U29362" s="135"/>
    </row>
    <row r="29363" spans="20:21" ht="15" customHeight="1" x14ac:dyDescent="0.25">
      <c r="T29363" s="135"/>
      <c r="U29363" s="135"/>
    </row>
    <row r="29364" spans="20:21" ht="15" customHeight="1" x14ac:dyDescent="0.25">
      <c r="T29364" s="135"/>
      <c r="U29364" s="135"/>
    </row>
    <row r="29365" spans="20:21" ht="15" customHeight="1" x14ac:dyDescent="0.25">
      <c r="T29365" s="135"/>
      <c r="U29365" s="135"/>
    </row>
    <row r="29366" spans="20:21" ht="15" customHeight="1" x14ac:dyDescent="0.25">
      <c r="T29366" s="135"/>
      <c r="U29366" s="135"/>
    </row>
    <row r="29367" spans="20:21" ht="15" customHeight="1" x14ac:dyDescent="0.25">
      <c r="T29367" s="135"/>
      <c r="U29367" s="135"/>
    </row>
    <row r="29368" spans="20:21" ht="15" customHeight="1" x14ac:dyDescent="0.25">
      <c r="T29368" s="135"/>
      <c r="U29368" s="135"/>
    </row>
    <row r="29369" spans="20:21" ht="15" customHeight="1" x14ac:dyDescent="0.25">
      <c r="T29369" s="135"/>
      <c r="U29369" s="135"/>
    </row>
    <row r="29370" spans="20:21" ht="15" customHeight="1" x14ac:dyDescent="0.25">
      <c r="T29370" s="135"/>
      <c r="U29370" s="135"/>
    </row>
    <row r="29371" spans="20:21" ht="15" customHeight="1" x14ac:dyDescent="0.25">
      <c r="T29371" s="135"/>
      <c r="U29371" s="135"/>
    </row>
    <row r="29372" spans="20:21" ht="15" customHeight="1" x14ac:dyDescent="0.25">
      <c r="T29372" s="135"/>
      <c r="U29372" s="135"/>
    </row>
    <row r="29373" spans="20:21" ht="15" customHeight="1" x14ac:dyDescent="0.25">
      <c r="T29373" s="135"/>
      <c r="U29373" s="135"/>
    </row>
    <row r="29374" spans="20:21" ht="15" customHeight="1" x14ac:dyDescent="0.25">
      <c r="T29374" s="135"/>
      <c r="U29374" s="135"/>
    </row>
    <row r="29375" spans="20:21" ht="15" customHeight="1" x14ac:dyDescent="0.25">
      <c r="T29375" s="135"/>
      <c r="U29375" s="135"/>
    </row>
    <row r="29376" spans="20:21" ht="15" customHeight="1" x14ac:dyDescent="0.25">
      <c r="T29376" s="135"/>
      <c r="U29376" s="135"/>
    </row>
    <row r="29377" spans="20:21" ht="15" customHeight="1" x14ac:dyDescent="0.25">
      <c r="T29377" s="135"/>
      <c r="U29377" s="135"/>
    </row>
    <row r="29378" spans="20:21" ht="15" customHeight="1" x14ac:dyDescent="0.25">
      <c r="T29378" s="135"/>
      <c r="U29378" s="135"/>
    </row>
    <row r="29379" spans="20:21" ht="15" customHeight="1" x14ac:dyDescent="0.25">
      <c r="T29379" s="135"/>
      <c r="U29379" s="135"/>
    </row>
    <row r="29380" spans="20:21" ht="15" customHeight="1" x14ac:dyDescent="0.25">
      <c r="T29380" s="135"/>
      <c r="U29380" s="135"/>
    </row>
    <row r="29381" spans="20:21" ht="15" customHeight="1" x14ac:dyDescent="0.25">
      <c r="T29381" s="135"/>
      <c r="U29381" s="135"/>
    </row>
    <row r="29382" spans="20:21" ht="15" customHeight="1" x14ac:dyDescent="0.25">
      <c r="T29382" s="135"/>
      <c r="U29382" s="135"/>
    </row>
    <row r="29383" spans="20:21" ht="15" customHeight="1" x14ac:dyDescent="0.25">
      <c r="T29383" s="135"/>
      <c r="U29383" s="135"/>
    </row>
    <row r="29384" spans="20:21" ht="15" customHeight="1" x14ac:dyDescent="0.25">
      <c r="T29384" s="135"/>
      <c r="U29384" s="135"/>
    </row>
    <row r="29385" spans="20:21" ht="15" customHeight="1" x14ac:dyDescent="0.25">
      <c r="T29385" s="135"/>
      <c r="U29385" s="135"/>
    </row>
    <row r="29386" spans="20:21" ht="15" customHeight="1" x14ac:dyDescent="0.25">
      <c r="T29386" s="135"/>
      <c r="U29386" s="135"/>
    </row>
    <row r="29387" spans="20:21" ht="15" customHeight="1" x14ac:dyDescent="0.25">
      <c r="T29387" s="135"/>
      <c r="U29387" s="135"/>
    </row>
    <row r="29388" spans="20:21" ht="15" customHeight="1" x14ac:dyDescent="0.25">
      <c r="T29388" s="135"/>
      <c r="U29388" s="135"/>
    </row>
    <row r="29389" spans="20:21" ht="15" customHeight="1" x14ac:dyDescent="0.25">
      <c r="T29389" s="135"/>
      <c r="U29389" s="135"/>
    </row>
    <row r="29390" spans="20:21" ht="15" customHeight="1" x14ac:dyDescent="0.25">
      <c r="T29390" s="135"/>
      <c r="U29390" s="135"/>
    </row>
    <row r="29391" spans="20:21" ht="15" customHeight="1" x14ac:dyDescent="0.25">
      <c r="T29391" s="135"/>
      <c r="U29391" s="135"/>
    </row>
    <row r="29392" spans="20:21" ht="15" customHeight="1" x14ac:dyDescent="0.25">
      <c r="T29392" s="135"/>
      <c r="U29392" s="135"/>
    </row>
    <row r="29393" spans="20:21" ht="15" customHeight="1" x14ac:dyDescent="0.25">
      <c r="T29393" s="135"/>
      <c r="U29393" s="135"/>
    </row>
    <row r="29394" spans="20:21" ht="15" customHeight="1" x14ac:dyDescent="0.25">
      <c r="T29394" s="135"/>
      <c r="U29394" s="135"/>
    </row>
    <row r="29395" spans="20:21" ht="15" customHeight="1" x14ac:dyDescent="0.25">
      <c r="T29395" s="135"/>
      <c r="U29395" s="135"/>
    </row>
    <row r="29396" spans="20:21" ht="15" customHeight="1" x14ac:dyDescent="0.25">
      <c r="T29396" s="135"/>
      <c r="U29396" s="135"/>
    </row>
    <row r="29397" spans="20:21" ht="15" customHeight="1" x14ac:dyDescent="0.25">
      <c r="T29397" s="135"/>
      <c r="U29397" s="135"/>
    </row>
    <row r="29398" spans="20:21" ht="15" customHeight="1" x14ac:dyDescent="0.25">
      <c r="T29398" s="135"/>
      <c r="U29398" s="135"/>
    </row>
    <row r="29399" spans="20:21" ht="15" customHeight="1" x14ac:dyDescent="0.25">
      <c r="T29399" s="135"/>
      <c r="U29399" s="135"/>
    </row>
    <row r="29400" spans="20:21" ht="15" customHeight="1" x14ac:dyDescent="0.25">
      <c r="T29400" s="135"/>
      <c r="U29400" s="135"/>
    </row>
    <row r="29401" spans="20:21" ht="15" customHeight="1" x14ac:dyDescent="0.25">
      <c r="T29401" s="135"/>
      <c r="U29401" s="135"/>
    </row>
    <row r="29402" spans="20:21" ht="15" customHeight="1" x14ac:dyDescent="0.25">
      <c r="T29402" s="135"/>
      <c r="U29402" s="135"/>
    </row>
    <row r="29403" spans="20:21" ht="15" customHeight="1" x14ac:dyDescent="0.25">
      <c r="T29403" s="135"/>
      <c r="U29403" s="135"/>
    </row>
    <row r="29404" spans="20:21" ht="15" customHeight="1" x14ac:dyDescent="0.25">
      <c r="T29404" s="135"/>
      <c r="U29404" s="135"/>
    </row>
    <row r="29405" spans="20:21" ht="15" customHeight="1" x14ac:dyDescent="0.25">
      <c r="T29405" s="135"/>
      <c r="U29405" s="135"/>
    </row>
    <row r="29406" spans="20:21" ht="15" customHeight="1" x14ac:dyDescent="0.25">
      <c r="T29406" s="135"/>
      <c r="U29406" s="135"/>
    </row>
    <row r="29407" spans="20:21" ht="15" customHeight="1" x14ac:dyDescent="0.25">
      <c r="T29407" s="135"/>
      <c r="U29407" s="135"/>
    </row>
    <row r="29408" spans="20:21" ht="15" customHeight="1" x14ac:dyDescent="0.25">
      <c r="T29408" s="135"/>
      <c r="U29408" s="135"/>
    </row>
    <row r="29409" spans="20:21" ht="15" customHeight="1" x14ac:dyDescent="0.25">
      <c r="T29409" s="135"/>
      <c r="U29409" s="135"/>
    </row>
    <row r="29410" spans="20:21" ht="15" customHeight="1" x14ac:dyDescent="0.25">
      <c r="T29410" s="135"/>
      <c r="U29410" s="135"/>
    </row>
    <row r="29411" spans="20:21" ht="15" customHeight="1" x14ac:dyDescent="0.25">
      <c r="T29411" s="135"/>
      <c r="U29411" s="135"/>
    </row>
    <row r="29412" spans="20:21" ht="15" customHeight="1" x14ac:dyDescent="0.25">
      <c r="T29412" s="135"/>
      <c r="U29412" s="135"/>
    </row>
    <row r="29413" spans="20:21" ht="15" customHeight="1" x14ac:dyDescent="0.25">
      <c r="T29413" s="135"/>
      <c r="U29413" s="135"/>
    </row>
    <row r="29414" spans="20:21" ht="15" customHeight="1" x14ac:dyDescent="0.25">
      <c r="T29414" s="135"/>
      <c r="U29414" s="135"/>
    </row>
    <row r="29415" spans="20:21" ht="15" customHeight="1" x14ac:dyDescent="0.25">
      <c r="T29415" s="135"/>
      <c r="U29415" s="135"/>
    </row>
    <row r="29416" spans="20:21" ht="15" customHeight="1" x14ac:dyDescent="0.25">
      <c r="T29416" s="135"/>
      <c r="U29416" s="135"/>
    </row>
    <row r="29417" spans="20:21" ht="15" customHeight="1" x14ac:dyDescent="0.25">
      <c r="T29417" s="135"/>
      <c r="U29417" s="135"/>
    </row>
    <row r="29418" spans="20:21" ht="15" customHeight="1" x14ac:dyDescent="0.25">
      <c r="T29418" s="135"/>
      <c r="U29418" s="135"/>
    </row>
    <row r="29419" spans="20:21" ht="15" customHeight="1" x14ac:dyDescent="0.25">
      <c r="T29419" s="135"/>
      <c r="U29419" s="135"/>
    </row>
    <row r="29420" spans="20:21" ht="15" customHeight="1" x14ac:dyDescent="0.25">
      <c r="T29420" s="135"/>
      <c r="U29420" s="135"/>
    </row>
    <row r="29421" spans="20:21" ht="15" customHeight="1" x14ac:dyDescent="0.25">
      <c r="T29421" s="135"/>
      <c r="U29421" s="135"/>
    </row>
    <row r="29422" spans="20:21" ht="15" customHeight="1" x14ac:dyDescent="0.25">
      <c r="T29422" s="135"/>
      <c r="U29422" s="135"/>
    </row>
    <row r="29423" spans="20:21" ht="15" customHeight="1" x14ac:dyDescent="0.25">
      <c r="T29423" s="135"/>
      <c r="U29423" s="135"/>
    </row>
    <row r="29424" spans="20:21" ht="15" customHeight="1" x14ac:dyDescent="0.25">
      <c r="T29424" s="135"/>
      <c r="U29424" s="135"/>
    </row>
    <row r="29425" spans="20:21" ht="15" customHeight="1" x14ac:dyDescent="0.25">
      <c r="T29425" s="135"/>
      <c r="U29425" s="135"/>
    </row>
    <row r="29426" spans="20:21" ht="15" customHeight="1" x14ac:dyDescent="0.25">
      <c r="T29426" s="135"/>
      <c r="U29426" s="135"/>
    </row>
    <row r="29427" spans="20:21" ht="15" customHeight="1" x14ac:dyDescent="0.25">
      <c r="T29427" s="135"/>
      <c r="U29427" s="135"/>
    </row>
    <row r="29428" spans="20:21" ht="15" customHeight="1" x14ac:dyDescent="0.25">
      <c r="T29428" s="135"/>
      <c r="U29428" s="135"/>
    </row>
    <row r="29429" spans="20:21" ht="15" customHeight="1" x14ac:dyDescent="0.25">
      <c r="T29429" s="135"/>
      <c r="U29429" s="135"/>
    </row>
    <row r="29430" spans="20:21" ht="15" customHeight="1" x14ac:dyDescent="0.25">
      <c r="T29430" s="135"/>
      <c r="U29430" s="135"/>
    </row>
    <row r="29431" spans="20:21" ht="15" customHeight="1" x14ac:dyDescent="0.25">
      <c r="T29431" s="135"/>
      <c r="U29431" s="135"/>
    </row>
    <row r="29432" spans="20:21" ht="15" customHeight="1" x14ac:dyDescent="0.25">
      <c r="T29432" s="135"/>
      <c r="U29432" s="135"/>
    </row>
    <row r="29433" spans="20:21" ht="15" customHeight="1" x14ac:dyDescent="0.25">
      <c r="T29433" s="135"/>
      <c r="U29433" s="135"/>
    </row>
    <row r="29434" spans="20:21" ht="15" customHeight="1" x14ac:dyDescent="0.25">
      <c r="T29434" s="135"/>
      <c r="U29434" s="135"/>
    </row>
    <row r="29435" spans="20:21" ht="15" customHeight="1" x14ac:dyDescent="0.25">
      <c r="T29435" s="135"/>
      <c r="U29435" s="135"/>
    </row>
    <row r="29436" spans="20:21" ht="15" customHeight="1" x14ac:dyDescent="0.25">
      <c r="T29436" s="135"/>
      <c r="U29436" s="135"/>
    </row>
    <row r="29437" spans="20:21" ht="15" customHeight="1" x14ac:dyDescent="0.25">
      <c r="T29437" s="135"/>
      <c r="U29437" s="135"/>
    </row>
    <row r="29438" spans="20:21" ht="15" customHeight="1" x14ac:dyDescent="0.25">
      <c r="T29438" s="135"/>
      <c r="U29438" s="135"/>
    </row>
    <row r="29439" spans="20:21" ht="15" customHeight="1" x14ac:dyDescent="0.25">
      <c r="T29439" s="135"/>
      <c r="U29439" s="135"/>
    </row>
    <row r="29440" spans="20:21" ht="15" customHeight="1" x14ac:dyDescent="0.25">
      <c r="T29440" s="135"/>
      <c r="U29440" s="135"/>
    </row>
    <row r="29441" spans="20:21" ht="15" customHeight="1" x14ac:dyDescent="0.25">
      <c r="T29441" s="135"/>
      <c r="U29441" s="135"/>
    </row>
    <row r="29442" spans="20:21" ht="15" customHeight="1" x14ac:dyDescent="0.25">
      <c r="T29442" s="135"/>
      <c r="U29442" s="135"/>
    </row>
    <row r="29443" spans="20:21" ht="15" customHeight="1" x14ac:dyDescent="0.25">
      <c r="T29443" s="135"/>
      <c r="U29443" s="135"/>
    </row>
    <row r="29444" spans="20:21" ht="15" customHeight="1" x14ac:dyDescent="0.25">
      <c r="T29444" s="135"/>
      <c r="U29444" s="135"/>
    </row>
    <row r="29445" spans="20:21" ht="15" customHeight="1" x14ac:dyDescent="0.25">
      <c r="T29445" s="135"/>
      <c r="U29445" s="135"/>
    </row>
    <row r="29446" spans="20:21" ht="15" customHeight="1" x14ac:dyDescent="0.25">
      <c r="T29446" s="135"/>
      <c r="U29446" s="135"/>
    </row>
    <row r="29447" spans="20:21" ht="15" customHeight="1" x14ac:dyDescent="0.25">
      <c r="T29447" s="135"/>
      <c r="U29447" s="135"/>
    </row>
    <row r="29448" spans="20:21" ht="15" customHeight="1" x14ac:dyDescent="0.25">
      <c r="T29448" s="135"/>
      <c r="U29448" s="135"/>
    </row>
    <row r="29449" spans="20:21" ht="15" customHeight="1" x14ac:dyDescent="0.25">
      <c r="T29449" s="135"/>
      <c r="U29449" s="135"/>
    </row>
    <row r="29450" spans="20:21" ht="15" customHeight="1" x14ac:dyDescent="0.25">
      <c r="T29450" s="135"/>
      <c r="U29450" s="135"/>
    </row>
    <row r="29451" spans="20:21" ht="15" customHeight="1" x14ac:dyDescent="0.25">
      <c r="T29451" s="135"/>
      <c r="U29451" s="135"/>
    </row>
    <row r="29452" spans="20:21" ht="15" customHeight="1" x14ac:dyDescent="0.25">
      <c r="T29452" s="135"/>
      <c r="U29452" s="135"/>
    </row>
    <row r="29453" spans="20:21" ht="15" customHeight="1" x14ac:dyDescent="0.25">
      <c r="T29453" s="135"/>
      <c r="U29453" s="135"/>
    </row>
    <row r="29454" spans="20:21" ht="15" customHeight="1" x14ac:dyDescent="0.25">
      <c r="T29454" s="135"/>
      <c r="U29454" s="135"/>
    </row>
    <row r="29455" spans="20:21" ht="15" customHeight="1" x14ac:dyDescent="0.25">
      <c r="T29455" s="135"/>
      <c r="U29455" s="135"/>
    </row>
    <row r="29456" spans="20:21" ht="15" customHeight="1" x14ac:dyDescent="0.25">
      <c r="T29456" s="135"/>
      <c r="U29456" s="135"/>
    </row>
    <row r="29457" spans="20:21" ht="15" customHeight="1" x14ac:dyDescent="0.25">
      <c r="T29457" s="135"/>
      <c r="U29457" s="135"/>
    </row>
    <row r="29458" spans="20:21" ht="15" customHeight="1" x14ac:dyDescent="0.25">
      <c r="T29458" s="135"/>
      <c r="U29458" s="135"/>
    </row>
    <row r="29459" spans="20:21" ht="15" customHeight="1" x14ac:dyDescent="0.25">
      <c r="T29459" s="135"/>
      <c r="U29459" s="135"/>
    </row>
    <row r="29460" spans="20:21" ht="15" customHeight="1" x14ac:dyDescent="0.25">
      <c r="T29460" s="135"/>
      <c r="U29460" s="135"/>
    </row>
    <row r="29461" spans="20:21" ht="15" customHeight="1" x14ac:dyDescent="0.25">
      <c r="T29461" s="135"/>
      <c r="U29461" s="135"/>
    </row>
    <row r="29462" spans="20:21" ht="15" customHeight="1" x14ac:dyDescent="0.25">
      <c r="T29462" s="135"/>
      <c r="U29462" s="135"/>
    </row>
    <row r="29463" spans="20:21" ht="15" customHeight="1" x14ac:dyDescent="0.25">
      <c r="T29463" s="135"/>
      <c r="U29463" s="135"/>
    </row>
    <row r="29464" spans="20:21" ht="15" customHeight="1" x14ac:dyDescent="0.25">
      <c r="T29464" s="135"/>
      <c r="U29464" s="135"/>
    </row>
    <row r="29465" spans="20:21" ht="15" customHeight="1" x14ac:dyDescent="0.25">
      <c r="T29465" s="135"/>
      <c r="U29465" s="135"/>
    </row>
    <row r="29466" spans="20:21" ht="15" customHeight="1" x14ac:dyDescent="0.25">
      <c r="T29466" s="135"/>
      <c r="U29466" s="135"/>
    </row>
    <row r="29467" spans="20:21" ht="15" customHeight="1" x14ac:dyDescent="0.25">
      <c r="T29467" s="135"/>
      <c r="U29467" s="135"/>
    </row>
    <row r="29468" spans="20:21" ht="15" customHeight="1" x14ac:dyDescent="0.25">
      <c r="T29468" s="135"/>
      <c r="U29468" s="135"/>
    </row>
    <row r="29469" spans="20:21" ht="15" customHeight="1" x14ac:dyDescent="0.25">
      <c r="T29469" s="135"/>
      <c r="U29469" s="135"/>
    </row>
    <row r="29470" spans="20:21" ht="15" customHeight="1" x14ac:dyDescent="0.25">
      <c r="T29470" s="135"/>
      <c r="U29470" s="135"/>
    </row>
    <row r="29471" spans="20:21" ht="15" customHeight="1" x14ac:dyDescent="0.25">
      <c r="T29471" s="135"/>
      <c r="U29471" s="135"/>
    </row>
    <row r="29472" spans="20:21" ht="15" customHeight="1" x14ac:dyDescent="0.25">
      <c r="T29472" s="135"/>
      <c r="U29472" s="135"/>
    </row>
    <row r="29473" spans="20:21" ht="15" customHeight="1" x14ac:dyDescent="0.25">
      <c r="T29473" s="135"/>
      <c r="U29473" s="135"/>
    </row>
    <row r="29474" spans="20:21" ht="15" customHeight="1" x14ac:dyDescent="0.25">
      <c r="T29474" s="135"/>
      <c r="U29474" s="135"/>
    </row>
    <row r="29475" spans="20:21" ht="15" customHeight="1" x14ac:dyDescent="0.25">
      <c r="T29475" s="135"/>
      <c r="U29475" s="135"/>
    </row>
    <row r="29476" spans="20:21" ht="15" customHeight="1" x14ac:dyDescent="0.25">
      <c r="T29476" s="135"/>
      <c r="U29476" s="135"/>
    </row>
    <row r="29477" spans="20:21" ht="15" customHeight="1" x14ac:dyDescent="0.25">
      <c r="T29477" s="135"/>
      <c r="U29477" s="135"/>
    </row>
    <row r="29478" spans="20:21" ht="15" customHeight="1" x14ac:dyDescent="0.25">
      <c r="T29478" s="135"/>
      <c r="U29478" s="135"/>
    </row>
    <row r="29479" spans="20:21" ht="15" customHeight="1" x14ac:dyDescent="0.25">
      <c r="T29479" s="135"/>
      <c r="U29479" s="135"/>
    </row>
    <row r="29480" spans="20:21" ht="15" customHeight="1" x14ac:dyDescent="0.25">
      <c r="T29480" s="135"/>
      <c r="U29480" s="135"/>
    </row>
    <row r="29481" spans="20:21" ht="15" customHeight="1" x14ac:dyDescent="0.25">
      <c r="T29481" s="135"/>
      <c r="U29481" s="135"/>
    </row>
    <row r="29482" spans="20:21" ht="15" customHeight="1" x14ac:dyDescent="0.25">
      <c r="T29482" s="135"/>
      <c r="U29482" s="135"/>
    </row>
    <row r="29483" spans="20:21" ht="15" customHeight="1" x14ac:dyDescent="0.25">
      <c r="T29483" s="135"/>
      <c r="U29483" s="135"/>
    </row>
    <row r="29484" spans="20:21" ht="15" customHeight="1" x14ac:dyDescent="0.25">
      <c r="T29484" s="135"/>
      <c r="U29484" s="135"/>
    </row>
    <row r="29485" spans="20:21" ht="15" customHeight="1" x14ac:dyDescent="0.25">
      <c r="T29485" s="135"/>
      <c r="U29485" s="135"/>
    </row>
    <row r="29486" spans="20:21" ht="15" customHeight="1" x14ac:dyDescent="0.25">
      <c r="T29486" s="135"/>
      <c r="U29486" s="135"/>
    </row>
    <row r="29487" spans="20:21" ht="15" customHeight="1" x14ac:dyDescent="0.25">
      <c r="T29487" s="135"/>
      <c r="U29487" s="135"/>
    </row>
    <row r="29488" spans="20:21" ht="15" customHeight="1" x14ac:dyDescent="0.25">
      <c r="T29488" s="135"/>
      <c r="U29488" s="135"/>
    </row>
    <row r="29489" spans="20:21" ht="15" customHeight="1" x14ac:dyDescent="0.25">
      <c r="T29489" s="135"/>
      <c r="U29489" s="135"/>
    </row>
    <row r="29490" spans="20:21" ht="15" customHeight="1" x14ac:dyDescent="0.25">
      <c r="T29490" s="135"/>
      <c r="U29490" s="135"/>
    </row>
    <row r="29491" spans="20:21" ht="15" customHeight="1" x14ac:dyDescent="0.25">
      <c r="T29491" s="135"/>
      <c r="U29491" s="135"/>
    </row>
    <row r="29492" spans="20:21" ht="15" customHeight="1" x14ac:dyDescent="0.25">
      <c r="T29492" s="135"/>
      <c r="U29492" s="135"/>
    </row>
    <row r="29493" spans="20:21" ht="15" customHeight="1" x14ac:dyDescent="0.25">
      <c r="T29493" s="135"/>
      <c r="U29493" s="135"/>
    </row>
    <row r="29494" spans="20:21" ht="15" customHeight="1" x14ac:dyDescent="0.25">
      <c r="T29494" s="135"/>
      <c r="U29494" s="135"/>
    </row>
    <row r="29495" spans="20:21" ht="15" customHeight="1" x14ac:dyDescent="0.25">
      <c r="T29495" s="135"/>
      <c r="U29495" s="135"/>
    </row>
    <row r="29496" spans="20:21" ht="15" customHeight="1" x14ac:dyDescent="0.25">
      <c r="T29496" s="135"/>
      <c r="U29496" s="135"/>
    </row>
    <row r="29497" spans="20:21" ht="15" customHeight="1" x14ac:dyDescent="0.25">
      <c r="T29497" s="135"/>
      <c r="U29497" s="135"/>
    </row>
    <row r="29498" spans="20:21" ht="15" customHeight="1" x14ac:dyDescent="0.25">
      <c r="T29498" s="135"/>
      <c r="U29498" s="135"/>
    </row>
    <row r="29499" spans="20:21" ht="15" customHeight="1" x14ac:dyDescent="0.25">
      <c r="T29499" s="135"/>
      <c r="U29499" s="135"/>
    </row>
    <row r="29500" spans="20:21" ht="15" customHeight="1" x14ac:dyDescent="0.25">
      <c r="T29500" s="135"/>
      <c r="U29500" s="135"/>
    </row>
    <row r="29501" spans="20:21" ht="15" customHeight="1" x14ac:dyDescent="0.25">
      <c r="T29501" s="135"/>
      <c r="U29501" s="135"/>
    </row>
    <row r="29502" spans="20:21" ht="15" customHeight="1" x14ac:dyDescent="0.25">
      <c r="T29502" s="135"/>
      <c r="U29502" s="135"/>
    </row>
    <row r="29503" spans="20:21" ht="15" customHeight="1" x14ac:dyDescent="0.25">
      <c r="T29503" s="135"/>
      <c r="U29503" s="135"/>
    </row>
    <row r="29504" spans="20:21" ht="15" customHeight="1" x14ac:dyDescent="0.25">
      <c r="T29504" s="135"/>
      <c r="U29504" s="135"/>
    </row>
    <row r="29505" spans="20:21" ht="15" customHeight="1" x14ac:dyDescent="0.25">
      <c r="T29505" s="135"/>
      <c r="U29505" s="135"/>
    </row>
    <row r="29506" spans="20:21" ht="15" customHeight="1" x14ac:dyDescent="0.25">
      <c r="T29506" s="135"/>
      <c r="U29506" s="135"/>
    </row>
    <row r="29507" spans="20:21" ht="15" customHeight="1" x14ac:dyDescent="0.25">
      <c r="T29507" s="135"/>
      <c r="U29507" s="135"/>
    </row>
    <row r="29508" spans="20:21" ht="15" customHeight="1" x14ac:dyDescent="0.25">
      <c r="T29508" s="135"/>
      <c r="U29508" s="135"/>
    </row>
    <row r="29509" spans="20:21" ht="15" customHeight="1" x14ac:dyDescent="0.25">
      <c r="T29509" s="135"/>
      <c r="U29509" s="135"/>
    </row>
    <row r="29510" spans="20:21" ht="15" customHeight="1" x14ac:dyDescent="0.25">
      <c r="T29510" s="135"/>
      <c r="U29510" s="135"/>
    </row>
    <row r="29511" spans="20:21" ht="15" customHeight="1" x14ac:dyDescent="0.25">
      <c r="T29511" s="135"/>
      <c r="U29511" s="135"/>
    </row>
    <row r="29512" spans="20:21" ht="15" customHeight="1" x14ac:dyDescent="0.25">
      <c r="T29512" s="135"/>
      <c r="U29512" s="135"/>
    </row>
    <row r="29513" spans="20:21" ht="15" customHeight="1" x14ac:dyDescent="0.25">
      <c r="T29513" s="135"/>
      <c r="U29513" s="135"/>
    </row>
    <row r="29514" spans="20:21" ht="15" customHeight="1" x14ac:dyDescent="0.25">
      <c r="T29514" s="135"/>
      <c r="U29514" s="135"/>
    </row>
    <row r="29515" spans="20:21" ht="15" customHeight="1" x14ac:dyDescent="0.25">
      <c r="T29515" s="135"/>
      <c r="U29515" s="135"/>
    </row>
    <row r="29516" spans="20:21" ht="15" customHeight="1" x14ac:dyDescent="0.25">
      <c r="T29516" s="135"/>
      <c r="U29516" s="135"/>
    </row>
    <row r="29517" spans="20:21" ht="15" customHeight="1" x14ac:dyDescent="0.25">
      <c r="T29517" s="135"/>
      <c r="U29517" s="135"/>
    </row>
    <row r="29518" spans="20:21" ht="15" customHeight="1" x14ac:dyDescent="0.25">
      <c r="T29518" s="135"/>
      <c r="U29518" s="135"/>
    </row>
    <row r="29519" spans="20:21" ht="15" customHeight="1" x14ac:dyDescent="0.25">
      <c r="T29519" s="135"/>
      <c r="U29519" s="135"/>
    </row>
    <row r="29520" spans="20:21" ht="15" customHeight="1" x14ac:dyDescent="0.25">
      <c r="T29520" s="135"/>
      <c r="U29520" s="135"/>
    </row>
    <row r="29521" spans="20:21" ht="15" customHeight="1" x14ac:dyDescent="0.25">
      <c r="T29521" s="135"/>
      <c r="U29521" s="135"/>
    </row>
    <row r="29522" spans="20:21" ht="15" customHeight="1" x14ac:dyDescent="0.25">
      <c r="T29522" s="135"/>
      <c r="U29522" s="135"/>
    </row>
    <row r="29523" spans="20:21" ht="15" customHeight="1" x14ac:dyDescent="0.25">
      <c r="T29523" s="135"/>
      <c r="U29523" s="135"/>
    </row>
    <row r="29524" spans="20:21" ht="15" customHeight="1" x14ac:dyDescent="0.25">
      <c r="T29524" s="135"/>
      <c r="U29524" s="135"/>
    </row>
    <row r="29525" spans="20:21" ht="15" customHeight="1" x14ac:dyDescent="0.25">
      <c r="T29525" s="135"/>
      <c r="U29525" s="135"/>
    </row>
    <row r="29526" spans="20:21" ht="15" customHeight="1" x14ac:dyDescent="0.25">
      <c r="T29526" s="135"/>
      <c r="U29526" s="135"/>
    </row>
    <row r="29527" spans="20:21" ht="15" customHeight="1" x14ac:dyDescent="0.25">
      <c r="T29527" s="135"/>
      <c r="U29527" s="135"/>
    </row>
    <row r="29528" spans="20:21" ht="15" customHeight="1" x14ac:dyDescent="0.25">
      <c r="T29528" s="135"/>
      <c r="U29528" s="135"/>
    </row>
    <row r="29529" spans="20:21" ht="15" customHeight="1" x14ac:dyDescent="0.25">
      <c r="T29529" s="135"/>
      <c r="U29529" s="135"/>
    </row>
    <row r="29530" spans="20:21" ht="15" customHeight="1" x14ac:dyDescent="0.25">
      <c r="T29530" s="135"/>
      <c r="U29530" s="135"/>
    </row>
    <row r="29531" spans="20:21" ht="15" customHeight="1" x14ac:dyDescent="0.25">
      <c r="T29531" s="135"/>
      <c r="U29531" s="135"/>
    </row>
    <row r="29532" spans="20:21" ht="15" customHeight="1" x14ac:dyDescent="0.25">
      <c r="T29532" s="135"/>
      <c r="U29532" s="135"/>
    </row>
    <row r="29533" spans="20:21" ht="15" customHeight="1" x14ac:dyDescent="0.25">
      <c r="T29533" s="135"/>
      <c r="U29533" s="135"/>
    </row>
    <row r="29534" spans="20:21" ht="15" customHeight="1" x14ac:dyDescent="0.25">
      <c r="T29534" s="135"/>
      <c r="U29534" s="135"/>
    </row>
    <row r="29535" spans="20:21" ht="15" customHeight="1" x14ac:dyDescent="0.25">
      <c r="T29535" s="135"/>
      <c r="U29535" s="135"/>
    </row>
    <row r="29536" spans="20:21" ht="15" customHeight="1" x14ac:dyDescent="0.25">
      <c r="T29536" s="135"/>
      <c r="U29536" s="135"/>
    </row>
    <row r="29537" spans="20:21" ht="15" customHeight="1" x14ac:dyDescent="0.25">
      <c r="T29537" s="135"/>
      <c r="U29537" s="135"/>
    </row>
    <row r="29538" spans="20:21" ht="15" customHeight="1" x14ac:dyDescent="0.25">
      <c r="T29538" s="135"/>
      <c r="U29538" s="135"/>
    </row>
    <row r="29539" spans="20:21" ht="15" customHeight="1" x14ac:dyDescent="0.25">
      <c r="T29539" s="135"/>
      <c r="U29539" s="135"/>
    </row>
    <row r="29540" spans="20:21" ht="15" customHeight="1" x14ac:dyDescent="0.25">
      <c r="T29540" s="135"/>
      <c r="U29540" s="135"/>
    </row>
    <row r="29541" spans="20:21" ht="15" customHeight="1" x14ac:dyDescent="0.25">
      <c r="T29541" s="135"/>
      <c r="U29541" s="135"/>
    </row>
    <row r="29542" spans="20:21" ht="15" customHeight="1" x14ac:dyDescent="0.25">
      <c r="T29542" s="135"/>
      <c r="U29542" s="135"/>
    </row>
    <row r="29543" spans="20:21" ht="15" customHeight="1" x14ac:dyDescent="0.25">
      <c r="T29543" s="135"/>
      <c r="U29543" s="135"/>
    </row>
    <row r="29544" spans="20:21" ht="15" customHeight="1" x14ac:dyDescent="0.25">
      <c r="T29544" s="135"/>
      <c r="U29544" s="135"/>
    </row>
    <row r="29545" spans="20:21" ht="15" customHeight="1" x14ac:dyDescent="0.25">
      <c r="T29545" s="135"/>
      <c r="U29545" s="135"/>
    </row>
    <row r="29546" spans="20:21" ht="15" customHeight="1" x14ac:dyDescent="0.25">
      <c r="T29546" s="135"/>
      <c r="U29546" s="135"/>
    </row>
    <row r="29547" spans="20:21" ht="15" customHeight="1" x14ac:dyDescent="0.25">
      <c r="T29547" s="135"/>
      <c r="U29547" s="135"/>
    </row>
    <row r="29548" spans="20:21" ht="15" customHeight="1" x14ac:dyDescent="0.25">
      <c r="T29548" s="135"/>
      <c r="U29548" s="135"/>
    </row>
    <row r="29549" spans="20:21" ht="15" customHeight="1" x14ac:dyDescent="0.25">
      <c r="T29549" s="135"/>
      <c r="U29549" s="135"/>
    </row>
    <row r="29550" spans="20:21" ht="15" customHeight="1" x14ac:dyDescent="0.25">
      <c r="T29550" s="135"/>
      <c r="U29550" s="135"/>
    </row>
    <row r="29551" spans="20:21" ht="15" customHeight="1" x14ac:dyDescent="0.25">
      <c r="T29551" s="135"/>
      <c r="U29551" s="135"/>
    </row>
    <row r="29552" spans="20:21" ht="15" customHeight="1" x14ac:dyDescent="0.25">
      <c r="T29552" s="135"/>
      <c r="U29552" s="135"/>
    </row>
    <row r="29553" spans="20:21" ht="15" customHeight="1" x14ac:dyDescent="0.25">
      <c r="T29553" s="135"/>
      <c r="U29553" s="135"/>
    </row>
    <row r="29554" spans="20:21" ht="15" customHeight="1" x14ac:dyDescent="0.25">
      <c r="T29554" s="135"/>
      <c r="U29554" s="135"/>
    </row>
    <row r="29555" spans="20:21" ht="15" customHeight="1" x14ac:dyDescent="0.25">
      <c r="T29555" s="135"/>
      <c r="U29555" s="135"/>
    </row>
    <row r="29556" spans="20:21" ht="15" customHeight="1" x14ac:dyDescent="0.25">
      <c r="T29556" s="135"/>
      <c r="U29556" s="135"/>
    </row>
    <row r="29557" spans="20:21" ht="15" customHeight="1" x14ac:dyDescent="0.25">
      <c r="T29557" s="135"/>
      <c r="U29557" s="135"/>
    </row>
    <row r="29558" spans="20:21" ht="15" customHeight="1" x14ac:dyDescent="0.25">
      <c r="T29558" s="135"/>
      <c r="U29558" s="135"/>
    </row>
    <row r="29559" spans="20:21" ht="15" customHeight="1" x14ac:dyDescent="0.25">
      <c r="T29559" s="135"/>
      <c r="U29559" s="135"/>
    </row>
    <row r="29560" spans="20:21" ht="15" customHeight="1" x14ac:dyDescent="0.25">
      <c r="T29560" s="135"/>
      <c r="U29560" s="135"/>
    </row>
    <row r="29561" spans="20:21" ht="15" customHeight="1" x14ac:dyDescent="0.25">
      <c r="T29561" s="135"/>
      <c r="U29561" s="135"/>
    </row>
    <row r="29562" spans="20:21" ht="15" customHeight="1" x14ac:dyDescent="0.25">
      <c r="T29562" s="135"/>
      <c r="U29562" s="135"/>
    </row>
    <row r="29563" spans="20:21" ht="15" customHeight="1" x14ac:dyDescent="0.25">
      <c r="T29563" s="135"/>
      <c r="U29563" s="135"/>
    </row>
    <row r="29564" spans="20:21" ht="15" customHeight="1" x14ac:dyDescent="0.25">
      <c r="T29564" s="135"/>
      <c r="U29564" s="135"/>
    </row>
    <row r="29565" spans="20:21" ht="15" customHeight="1" x14ac:dyDescent="0.25">
      <c r="T29565" s="135"/>
      <c r="U29565" s="135"/>
    </row>
    <row r="29566" spans="20:21" ht="15" customHeight="1" x14ac:dyDescent="0.25">
      <c r="T29566" s="135"/>
      <c r="U29566" s="135"/>
    </row>
    <row r="29567" spans="20:21" ht="15" customHeight="1" x14ac:dyDescent="0.25">
      <c r="T29567" s="135"/>
      <c r="U29567" s="135"/>
    </row>
    <row r="29568" spans="20:21" ht="15" customHeight="1" x14ac:dyDescent="0.25">
      <c r="T29568" s="135"/>
      <c r="U29568" s="135"/>
    </row>
    <row r="29569" spans="20:21" ht="15" customHeight="1" x14ac:dyDescent="0.25">
      <c r="T29569" s="135"/>
      <c r="U29569" s="135"/>
    </row>
    <row r="29570" spans="20:21" ht="15" customHeight="1" x14ac:dyDescent="0.25">
      <c r="T29570" s="135"/>
      <c r="U29570" s="135"/>
    </row>
    <row r="29571" spans="20:21" ht="15" customHeight="1" x14ac:dyDescent="0.25">
      <c r="T29571" s="135"/>
      <c r="U29571" s="135"/>
    </row>
    <row r="29572" spans="20:21" ht="15" customHeight="1" x14ac:dyDescent="0.25">
      <c r="T29572" s="135"/>
      <c r="U29572" s="135"/>
    </row>
    <row r="29573" spans="20:21" ht="15" customHeight="1" x14ac:dyDescent="0.25">
      <c r="T29573" s="135"/>
      <c r="U29573" s="135"/>
    </row>
    <row r="29574" spans="20:21" ht="15" customHeight="1" x14ac:dyDescent="0.25">
      <c r="T29574" s="135"/>
      <c r="U29574" s="135"/>
    </row>
    <row r="29575" spans="20:21" ht="15" customHeight="1" x14ac:dyDescent="0.25">
      <c r="T29575" s="135"/>
      <c r="U29575" s="135"/>
    </row>
    <row r="29576" spans="20:21" ht="15" customHeight="1" x14ac:dyDescent="0.25">
      <c r="T29576" s="135"/>
      <c r="U29576" s="135"/>
    </row>
    <row r="29577" spans="20:21" ht="15" customHeight="1" x14ac:dyDescent="0.25">
      <c r="T29577" s="135"/>
      <c r="U29577" s="135"/>
    </row>
    <row r="29578" spans="20:21" ht="15" customHeight="1" x14ac:dyDescent="0.25">
      <c r="T29578" s="135"/>
      <c r="U29578" s="135"/>
    </row>
    <row r="29579" spans="20:21" ht="15" customHeight="1" x14ac:dyDescent="0.25">
      <c r="T29579" s="135"/>
      <c r="U29579" s="135"/>
    </row>
    <row r="29580" spans="20:21" ht="15" customHeight="1" x14ac:dyDescent="0.25">
      <c r="T29580" s="135"/>
      <c r="U29580" s="135"/>
    </row>
    <row r="29581" spans="20:21" ht="15" customHeight="1" x14ac:dyDescent="0.25">
      <c r="T29581" s="135"/>
      <c r="U29581" s="135"/>
    </row>
    <row r="29582" spans="20:21" ht="15" customHeight="1" x14ac:dyDescent="0.25">
      <c r="T29582" s="135"/>
      <c r="U29582" s="135"/>
    </row>
    <row r="29583" spans="20:21" ht="15" customHeight="1" x14ac:dyDescent="0.25">
      <c r="T29583" s="135"/>
      <c r="U29583" s="135"/>
    </row>
    <row r="29584" spans="20:21" ht="15" customHeight="1" x14ac:dyDescent="0.25">
      <c r="T29584" s="135"/>
      <c r="U29584" s="135"/>
    </row>
    <row r="29585" spans="20:21" ht="15" customHeight="1" x14ac:dyDescent="0.25">
      <c r="T29585" s="135"/>
      <c r="U29585" s="135"/>
    </row>
    <row r="29586" spans="20:21" ht="15" customHeight="1" x14ac:dyDescent="0.25">
      <c r="T29586" s="135"/>
      <c r="U29586" s="135"/>
    </row>
    <row r="29587" spans="20:21" ht="15" customHeight="1" x14ac:dyDescent="0.25">
      <c r="T29587" s="135"/>
      <c r="U29587" s="135"/>
    </row>
    <row r="29588" spans="20:21" ht="15" customHeight="1" x14ac:dyDescent="0.25">
      <c r="T29588" s="135"/>
      <c r="U29588" s="135"/>
    </row>
    <row r="29589" spans="20:21" ht="15" customHeight="1" x14ac:dyDescent="0.25">
      <c r="T29589" s="135"/>
      <c r="U29589" s="135"/>
    </row>
    <row r="29590" spans="20:21" ht="15" customHeight="1" x14ac:dyDescent="0.25">
      <c r="T29590" s="135"/>
      <c r="U29590" s="135"/>
    </row>
    <row r="29591" spans="20:21" ht="15" customHeight="1" x14ac:dyDescent="0.25">
      <c r="T29591" s="135"/>
      <c r="U29591" s="135"/>
    </row>
    <row r="29592" spans="20:21" ht="15" customHeight="1" x14ac:dyDescent="0.25">
      <c r="T29592" s="135"/>
      <c r="U29592" s="135"/>
    </row>
    <row r="29593" spans="20:21" ht="15" customHeight="1" x14ac:dyDescent="0.25">
      <c r="T29593" s="135"/>
      <c r="U29593" s="135"/>
    </row>
    <row r="29594" spans="20:21" ht="15" customHeight="1" x14ac:dyDescent="0.25">
      <c r="T29594" s="135"/>
      <c r="U29594" s="135"/>
    </row>
    <row r="29595" spans="20:21" ht="15" customHeight="1" x14ac:dyDescent="0.25">
      <c r="T29595" s="135"/>
      <c r="U29595" s="135"/>
    </row>
    <row r="29596" spans="20:21" ht="15" customHeight="1" x14ac:dyDescent="0.25">
      <c r="T29596" s="135"/>
      <c r="U29596" s="135"/>
    </row>
    <row r="29597" spans="20:21" ht="15" customHeight="1" x14ac:dyDescent="0.25">
      <c r="T29597" s="135"/>
      <c r="U29597" s="135"/>
    </row>
    <row r="29598" spans="20:21" ht="15" customHeight="1" x14ac:dyDescent="0.25">
      <c r="T29598" s="135"/>
      <c r="U29598" s="135"/>
    </row>
    <row r="29599" spans="20:21" ht="15" customHeight="1" x14ac:dyDescent="0.25">
      <c r="T29599" s="135"/>
      <c r="U29599" s="135"/>
    </row>
    <row r="29600" spans="20:21" ht="15" customHeight="1" x14ac:dyDescent="0.25">
      <c r="T29600" s="135"/>
      <c r="U29600" s="135"/>
    </row>
    <row r="29601" spans="20:21" ht="15" customHeight="1" x14ac:dyDescent="0.25">
      <c r="T29601" s="135"/>
      <c r="U29601" s="135"/>
    </row>
    <row r="29602" spans="20:21" ht="15" customHeight="1" x14ac:dyDescent="0.25">
      <c r="T29602" s="135"/>
      <c r="U29602" s="135"/>
    </row>
    <row r="29603" spans="20:21" ht="15" customHeight="1" x14ac:dyDescent="0.25">
      <c r="T29603" s="135"/>
      <c r="U29603" s="135"/>
    </row>
    <row r="29604" spans="20:21" ht="15" customHeight="1" x14ac:dyDescent="0.25">
      <c r="T29604" s="135"/>
      <c r="U29604" s="135"/>
    </row>
    <row r="29605" spans="20:21" ht="15" customHeight="1" x14ac:dyDescent="0.25">
      <c r="T29605" s="135"/>
      <c r="U29605" s="135"/>
    </row>
    <row r="29606" spans="20:21" ht="15" customHeight="1" x14ac:dyDescent="0.25">
      <c r="T29606" s="135"/>
      <c r="U29606" s="135"/>
    </row>
    <row r="29607" spans="20:21" ht="15" customHeight="1" x14ac:dyDescent="0.25">
      <c r="T29607" s="135"/>
      <c r="U29607" s="135"/>
    </row>
    <row r="29608" spans="20:21" ht="15" customHeight="1" x14ac:dyDescent="0.25">
      <c r="T29608" s="135"/>
      <c r="U29608" s="135"/>
    </row>
    <row r="29609" spans="20:21" ht="15" customHeight="1" x14ac:dyDescent="0.25">
      <c r="T29609" s="135"/>
      <c r="U29609" s="135"/>
    </row>
    <row r="29610" spans="20:21" ht="15" customHeight="1" x14ac:dyDescent="0.25">
      <c r="T29610" s="135"/>
      <c r="U29610" s="135"/>
    </row>
    <row r="29611" spans="20:21" ht="15" customHeight="1" x14ac:dyDescent="0.25">
      <c r="T29611" s="135"/>
      <c r="U29611" s="135"/>
    </row>
    <row r="29612" spans="20:21" ht="15" customHeight="1" x14ac:dyDescent="0.25">
      <c r="T29612" s="135"/>
      <c r="U29612" s="135"/>
    </row>
    <row r="29613" spans="20:21" ht="15" customHeight="1" x14ac:dyDescent="0.25">
      <c r="T29613" s="135"/>
      <c r="U29613" s="135"/>
    </row>
    <row r="29614" spans="20:21" ht="15" customHeight="1" x14ac:dyDescent="0.25">
      <c r="T29614" s="135"/>
      <c r="U29614" s="135"/>
    </row>
    <row r="29615" spans="20:21" ht="15" customHeight="1" x14ac:dyDescent="0.25">
      <c r="T29615" s="135"/>
      <c r="U29615" s="135"/>
    </row>
    <row r="29616" spans="20:21" ht="15" customHeight="1" x14ac:dyDescent="0.25">
      <c r="T29616" s="135"/>
      <c r="U29616" s="135"/>
    </row>
    <row r="29617" spans="20:21" ht="15" customHeight="1" x14ac:dyDescent="0.25">
      <c r="T29617" s="135"/>
      <c r="U29617" s="135"/>
    </row>
    <row r="29618" spans="20:21" ht="15" customHeight="1" x14ac:dyDescent="0.25">
      <c r="T29618" s="135"/>
      <c r="U29618" s="135"/>
    </row>
    <row r="29619" spans="20:21" ht="15" customHeight="1" x14ac:dyDescent="0.25">
      <c r="T29619" s="135"/>
      <c r="U29619" s="135"/>
    </row>
    <row r="29620" spans="20:21" ht="15" customHeight="1" x14ac:dyDescent="0.25">
      <c r="T29620" s="135"/>
      <c r="U29620" s="135"/>
    </row>
    <row r="29621" spans="20:21" ht="15" customHeight="1" x14ac:dyDescent="0.25">
      <c r="T29621" s="135"/>
      <c r="U29621" s="135"/>
    </row>
    <row r="29622" spans="20:21" ht="15" customHeight="1" x14ac:dyDescent="0.25">
      <c r="T29622" s="135"/>
      <c r="U29622" s="135"/>
    </row>
    <row r="29623" spans="20:21" ht="15" customHeight="1" x14ac:dyDescent="0.25">
      <c r="T29623" s="135"/>
      <c r="U29623" s="135"/>
    </row>
    <row r="29624" spans="20:21" ht="15" customHeight="1" x14ac:dyDescent="0.25">
      <c r="T29624" s="135"/>
      <c r="U29624" s="135"/>
    </row>
    <row r="29625" spans="20:21" ht="15" customHeight="1" x14ac:dyDescent="0.25">
      <c r="T29625" s="135"/>
      <c r="U29625" s="135"/>
    </row>
    <row r="29626" spans="20:21" ht="15" customHeight="1" x14ac:dyDescent="0.25">
      <c r="T29626" s="135"/>
      <c r="U29626" s="135"/>
    </row>
    <row r="29627" spans="20:21" ht="15" customHeight="1" x14ac:dyDescent="0.25">
      <c r="T29627" s="135"/>
      <c r="U29627" s="135"/>
    </row>
    <row r="29628" spans="20:21" ht="15" customHeight="1" x14ac:dyDescent="0.25">
      <c r="T29628" s="135"/>
      <c r="U29628" s="135"/>
    </row>
    <row r="29629" spans="20:21" ht="15" customHeight="1" x14ac:dyDescent="0.25">
      <c r="T29629" s="135"/>
      <c r="U29629" s="135"/>
    </row>
    <row r="29630" spans="20:21" ht="15" customHeight="1" x14ac:dyDescent="0.25">
      <c r="T29630" s="135"/>
      <c r="U29630" s="135"/>
    </row>
    <row r="29631" spans="20:21" ht="15" customHeight="1" x14ac:dyDescent="0.25">
      <c r="T29631" s="135"/>
      <c r="U29631" s="135"/>
    </row>
    <row r="29632" spans="20:21" ht="15" customHeight="1" x14ac:dyDescent="0.25">
      <c r="T29632" s="135"/>
      <c r="U29632" s="135"/>
    </row>
    <row r="29633" spans="20:21" ht="15" customHeight="1" x14ac:dyDescent="0.25">
      <c r="T29633" s="135"/>
      <c r="U29633" s="135"/>
    </row>
    <row r="29634" spans="20:21" ht="15" customHeight="1" x14ac:dyDescent="0.25">
      <c r="T29634" s="135"/>
      <c r="U29634" s="135"/>
    </row>
    <row r="29635" spans="20:21" ht="15" customHeight="1" x14ac:dyDescent="0.25">
      <c r="T29635" s="135"/>
      <c r="U29635" s="135"/>
    </row>
    <row r="29636" spans="20:21" ht="15" customHeight="1" x14ac:dyDescent="0.25">
      <c r="T29636" s="135"/>
      <c r="U29636" s="135"/>
    </row>
    <row r="29637" spans="20:21" ht="15" customHeight="1" x14ac:dyDescent="0.25">
      <c r="T29637" s="135"/>
      <c r="U29637" s="135"/>
    </row>
    <row r="29638" spans="20:21" ht="15" customHeight="1" x14ac:dyDescent="0.25">
      <c r="T29638" s="135"/>
      <c r="U29638" s="135"/>
    </row>
    <row r="29639" spans="20:21" ht="15" customHeight="1" x14ac:dyDescent="0.25">
      <c r="T29639" s="135"/>
      <c r="U29639" s="135"/>
    </row>
    <row r="29640" spans="20:21" ht="15" customHeight="1" x14ac:dyDescent="0.25">
      <c r="T29640" s="135"/>
      <c r="U29640" s="135"/>
    </row>
    <row r="29641" spans="20:21" ht="15" customHeight="1" x14ac:dyDescent="0.25">
      <c r="T29641" s="135"/>
      <c r="U29641" s="135"/>
    </row>
    <row r="29642" spans="20:21" ht="15" customHeight="1" x14ac:dyDescent="0.25">
      <c r="T29642" s="135"/>
      <c r="U29642" s="135"/>
    </row>
    <row r="29643" spans="20:21" ht="15" customHeight="1" x14ac:dyDescent="0.25">
      <c r="T29643" s="135"/>
      <c r="U29643" s="135"/>
    </row>
    <row r="29644" spans="20:21" ht="15" customHeight="1" x14ac:dyDescent="0.25">
      <c r="T29644" s="135"/>
      <c r="U29644" s="135"/>
    </row>
    <row r="29645" spans="20:21" ht="15" customHeight="1" x14ac:dyDescent="0.25">
      <c r="T29645" s="135"/>
      <c r="U29645" s="135"/>
    </row>
    <row r="29646" spans="20:21" ht="15" customHeight="1" x14ac:dyDescent="0.25">
      <c r="T29646" s="135"/>
      <c r="U29646" s="135"/>
    </row>
    <row r="29647" spans="20:21" ht="15" customHeight="1" x14ac:dyDescent="0.25">
      <c r="T29647" s="135"/>
      <c r="U29647" s="135"/>
    </row>
    <row r="29648" spans="20:21" ht="15" customHeight="1" x14ac:dyDescent="0.25">
      <c r="T29648" s="135"/>
      <c r="U29648" s="135"/>
    </row>
    <row r="29649" spans="20:21" ht="15" customHeight="1" x14ac:dyDescent="0.25">
      <c r="T29649" s="135"/>
      <c r="U29649" s="135"/>
    </row>
    <row r="29650" spans="20:21" ht="15" customHeight="1" x14ac:dyDescent="0.25">
      <c r="T29650" s="135"/>
      <c r="U29650" s="135"/>
    </row>
    <row r="29651" spans="20:21" ht="15" customHeight="1" x14ac:dyDescent="0.25">
      <c r="T29651" s="135"/>
      <c r="U29651" s="135"/>
    </row>
    <row r="29652" spans="20:21" ht="15" customHeight="1" x14ac:dyDescent="0.25">
      <c r="T29652" s="135"/>
      <c r="U29652" s="135"/>
    </row>
    <row r="29653" spans="20:21" ht="15" customHeight="1" x14ac:dyDescent="0.25">
      <c r="T29653" s="135"/>
      <c r="U29653" s="135"/>
    </row>
    <row r="29654" spans="20:21" ht="15" customHeight="1" x14ac:dyDescent="0.25">
      <c r="T29654" s="135"/>
      <c r="U29654" s="135"/>
    </row>
    <row r="29655" spans="20:21" ht="15" customHeight="1" x14ac:dyDescent="0.25">
      <c r="T29655" s="135"/>
      <c r="U29655" s="135"/>
    </row>
    <row r="29656" spans="20:21" ht="15" customHeight="1" x14ac:dyDescent="0.25">
      <c r="T29656" s="135"/>
      <c r="U29656" s="135"/>
    </row>
    <row r="29657" spans="20:21" ht="15" customHeight="1" x14ac:dyDescent="0.25">
      <c r="T29657" s="135"/>
      <c r="U29657" s="135"/>
    </row>
    <row r="29658" spans="20:21" ht="15" customHeight="1" x14ac:dyDescent="0.25">
      <c r="T29658" s="135"/>
      <c r="U29658" s="135"/>
    </row>
    <row r="29659" spans="20:21" ht="15" customHeight="1" x14ac:dyDescent="0.25">
      <c r="T29659" s="135"/>
      <c r="U29659" s="135"/>
    </row>
    <row r="29660" spans="20:21" ht="15" customHeight="1" x14ac:dyDescent="0.25">
      <c r="T29660" s="135"/>
      <c r="U29660" s="135"/>
    </row>
    <row r="29661" spans="20:21" ht="15" customHeight="1" x14ac:dyDescent="0.25">
      <c r="T29661" s="135"/>
      <c r="U29661" s="135"/>
    </row>
    <row r="29662" spans="20:21" ht="15" customHeight="1" x14ac:dyDescent="0.25">
      <c r="T29662" s="135"/>
      <c r="U29662" s="135"/>
    </row>
    <row r="29663" spans="20:21" ht="15" customHeight="1" x14ac:dyDescent="0.25">
      <c r="T29663" s="135"/>
      <c r="U29663" s="135"/>
    </row>
    <row r="29664" spans="20:21" ht="15" customHeight="1" x14ac:dyDescent="0.25">
      <c r="T29664" s="135"/>
      <c r="U29664" s="135"/>
    </row>
    <row r="29665" spans="20:21" ht="15" customHeight="1" x14ac:dyDescent="0.25">
      <c r="T29665" s="135"/>
      <c r="U29665" s="135"/>
    </row>
    <row r="29666" spans="20:21" ht="15" customHeight="1" x14ac:dyDescent="0.25">
      <c r="T29666" s="135"/>
      <c r="U29666" s="135"/>
    </row>
    <row r="29667" spans="20:21" ht="15" customHeight="1" x14ac:dyDescent="0.25">
      <c r="T29667" s="135"/>
      <c r="U29667" s="135"/>
    </row>
    <row r="29668" spans="20:21" ht="15" customHeight="1" x14ac:dyDescent="0.25">
      <c r="T29668" s="135"/>
      <c r="U29668" s="135"/>
    </row>
    <row r="29669" spans="20:21" ht="15" customHeight="1" x14ac:dyDescent="0.25">
      <c r="T29669" s="135"/>
      <c r="U29669" s="135"/>
    </row>
    <row r="29670" spans="20:21" ht="15" customHeight="1" x14ac:dyDescent="0.25">
      <c r="T29670" s="135"/>
      <c r="U29670" s="135"/>
    </row>
    <row r="29671" spans="20:21" ht="15" customHeight="1" x14ac:dyDescent="0.25">
      <c r="T29671" s="135"/>
      <c r="U29671" s="135"/>
    </row>
    <row r="29672" spans="20:21" ht="15" customHeight="1" x14ac:dyDescent="0.25">
      <c r="T29672" s="135"/>
      <c r="U29672" s="135"/>
    </row>
    <row r="29673" spans="20:21" ht="15" customHeight="1" x14ac:dyDescent="0.25">
      <c r="T29673" s="135"/>
      <c r="U29673" s="135"/>
    </row>
    <row r="29674" spans="20:21" ht="15" customHeight="1" x14ac:dyDescent="0.25">
      <c r="T29674" s="135"/>
      <c r="U29674" s="135"/>
    </row>
    <row r="29675" spans="20:21" ht="15" customHeight="1" x14ac:dyDescent="0.25">
      <c r="T29675" s="135"/>
      <c r="U29675" s="135"/>
    </row>
    <row r="29676" spans="20:21" ht="15" customHeight="1" x14ac:dyDescent="0.25">
      <c r="T29676" s="135"/>
      <c r="U29676" s="135"/>
    </row>
    <row r="29677" spans="20:21" ht="15" customHeight="1" x14ac:dyDescent="0.25">
      <c r="T29677" s="135"/>
      <c r="U29677" s="135"/>
    </row>
    <row r="29678" spans="20:21" ht="15" customHeight="1" x14ac:dyDescent="0.25">
      <c r="T29678" s="135"/>
      <c r="U29678" s="135"/>
    </row>
    <row r="29679" spans="20:21" ht="15" customHeight="1" x14ac:dyDescent="0.25">
      <c r="T29679" s="135"/>
      <c r="U29679" s="135"/>
    </row>
    <row r="29680" spans="20:21" ht="15" customHeight="1" x14ac:dyDescent="0.25">
      <c r="T29680" s="135"/>
      <c r="U29680" s="135"/>
    </row>
    <row r="29681" spans="20:21" ht="15" customHeight="1" x14ac:dyDescent="0.25">
      <c r="T29681" s="135"/>
      <c r="U29681" s="135"/>
    </row>
    <row r="29682" spans="20:21" ht="15" customHeight="1" x14ac:dyDescent="0.25">
      <c r="T29682" s="135"/>
      <c r="U29682" s="135"/>
    </row>
    <row r="29683" spans="20:21" ht="15" customHeight="1" x14ac:dyDescent="0.25">
      <c r="T29683" s="135"/>
      <c r="U29683" s="135"/>
    </row>
    <row r="29684" spans="20:21" ht="15" customHeight="1" x14ac:dyDescent="0.25">
      <c r="T29684" s="135"/>
      <c r="U29684" s="135"/>
    </row>
    <row r="29685" spans="20:21" ht="15" customHeight="1" x14ac:dyDescent="0.25">
      <c r="T29685" s="135"/>
      <c r="U29685" s="135"/>
    </row>
    <row r="29686" spans="20:21" ht="15" customHeight="1" x14ac:dyDescent="0.25">
      <c r="T29686" s="135"/>
      <c r="U29686" s="135"/>
    </row>
    <row r="29687" spans="20:21" ht="15" customHeight="1" x14ac:dyDescent="0.25">
      <c r="T29687" s="135"/>
      <c r="U29687" s="135"/>
    </row>
    <row r="29688" spans="20:21" ht="15" customHeight="1" x14ac:dyDescent="0.25">
      <c r="T29688" s="135"/>
      <c r="U29688" s="135"/>
    </row>
    <row r="29689" spans="20:21" ht="15" customHeight="1" x14ac:dyDescent="0.25">
      <c r="T29689" s="135"/>
      <c r="U29689" s="135"/>
    </row>
    <row r="29690" spans="20:21" ht="15" customHeight="1" x14ac:dyDescent="0.25">
      <c r="T29690" s="135"/>
      <c r="U29690" s="135"/>
    </row>
    <row r="29691" spans="20:21" ht="15" customHeight="1" x14ac:dyDescent="0.25">
      <c r="T29691" s="135"/>
      <c r="U29691" s="135"/>
    </row>
    <row r="29692" spans="20:21" ht="15" customHeight="1" x14ac:dyDescent="0.25">
      <c r="T29692" s="135"/>
      <c r="U29692" s="135"/>
    </row>
    <row r="29693" spans="20:21" ht="15" customHeight="1" x14ac:dyDescent="0.25">
      <c r="T29693" s="135"/>
      <c r="U29693" s="135"/>
    </row>
    <row r="29694" spans="20:21" ht="15" customHeight="1" x14ac:dyDescent="0.25">
      <c r="T29694" s="135"/>
      <c r="U29694" s="135"/>
    </row>
    <row r="29695" spans="20:21" ht="15" customHeight="1" x14ac:dyDescent="0.25">
      <c r="T29695" s="135"/>
      <c r="U29695" s="135"/>
    </row>
    <row r="29696" spans="20:21" ht="15" customHeight="1" x14ac:dyDescent="0.25">
      <c r="T29696" s="135"/>
      <c r="U29696" s="135"/>
    </row>
    <row r="29697" spans="20:21" ht="15" customHeight="1" x14ac:dyDescent="0.25">
      <c r="T29697" s="135"/>
      <c r="U29697" s="135"/>
    </row>
    <row r="29698" spans="20:21" ht="15" customHeight="1" x14ac:dyDescent="0.25">
      <c r="T29698" s="135"/>
      <c r="U29698" s="135"/>
    </row>
    <row r="29699" spans="20:21" ht="15" customHeight="1" x14ac:dyDescent="0.25">
      <c r="T29699" s="135"/>
      <c r="U29699" s="135"/>
    </row>
    <row r="29700" spans="20:21" ht="15" customHeight="1" x14ac:dyDescent="0.25">
      <c r="T29700" s="135"/>
      <c r="U29700" s="135"/>
    </row>
    <row r="29701" spans="20:21" ht="15" customHeight="1" x14ac:dyDescent="0.25">
      <c r="T29701" s="135"/>
      <c r="U29701" s="135"/>
    </row>
    <row r="29702" spans="20:21" ht="15" customHeight="1" x14ac:dyDescent="0.25">
      <c r="T29702" s="135"/>
      <c r="U29702" s="135"/>
    </row>
    <row r="29703" spans="20:21" ht="15" customHeight="1" x14ac:dyDescent="0.25">
      <c r="T29703" s="135"/>
      <c r="U29703" s="135"/>
    </row>
    <row r="29704" spans="20:21" ht="15" customHeight="1" x14ac:dyDescent="0.25">
      <c r="T29704" s="135"/>
      <c r="U29704" s="135"/>
    </row>
    <row r="29705" spans="20:21" ht="15" customHeight="1" x14ac:dyDescent="0.25">
      <c r="T29705" s="135"/>
      <c r="U29705" s="135"/>
    </row>
    <row r="29706" spans="20:21" ht="15" customHeight="1" x14ac:dyDescent="0.25">
      <c r="T29706" s="135"/>
      <c r="U29706" s="135"/>
    </row>
    <row r="29707" spans="20:21" ht="15" customHeight="1" x14ac:dyDescent="0.25">
      <c r="T29707" s="135"/>
      <c r="U29707" s="135"/>
    </row>
    <row r="29708" spans="20:21" ht="15" customHeight="1" x14ac:dyDescent="0.25">
      <c r="T29708" s="135"/>
      <c r="U29708" s="135"/>
    </row>
    <row r="29709" spans="20:21" ht="15" customHeight="1" x14ac:dyDescent="0.25">
      <c r="T29709" s="135"/>
      <c r="U29709" s="135"/>
    </row>
    <row r="29710" spans="20:21" ht="15" customHeight="1" x14ac:dyDescent="0.25">
      <c r="T29710" s="135"/>
      <c r="U29710" s="135"/>
    </row>
    <row r="29711" spans="20:21" ht="15" customHeight="1" x14ac:dyDescent="0.25">
      <c r="T29711" s="135"/>
      <c r="U29711" s="135"/>
    </row>
    <row r="29712" spans="20:21" ht="15" customHeight="1" x14ac:dyDescent="0.25">
      <c r="T29712" s="135"/>
      <c r="U29712" s="135"/>
    </row>
    <row r="29713" spans="20:21" ht="15" customHeight="1" x14ac:dyDescent="0.25">
      <c r="T29713" s="135"/>
      <c r="U29713" s="135"/>
    </row>
    <row r="29714" spans="20:21" ht="15" customHeight="1" x14ac:dyDescent="0.25">
      <c r="T29714" s="135"/>
      <c r="U29714" s="135"/>
    </row>
    <row r="29715" spans="20:21" ht="15" customHeight="1" x14ac:dyDescent="0.25">
      <c r="T29715" s="135"/>
      <c r="U29715" s="135"/>
    </row>
    <row r="29716" spans="20:21" ht="15" customHeight="1" x14ac:dyDescent="0.25">
      <c r="T29716" s="135"/>
      <c r="U29716" s="135"/>
    </row>
    <row r="29717" spans="20:21" ht="15" customHeight="1" x14ac:dyDescent="0.25">
      <c r="T29717" s="135"/>
      <c r="U29717" s="135"/>
    </row>
    <row r="29718" spans="20:21" ht="15" customHeight="1" x14ac:dyDescent="0.25">
      <c r="T29718" s="135"/>
      <c r="U29718" s="135"/>
    </row>
    <row r="29719" spans="20:21" ht="15" customHeight="1" x14ac:dyDescent="0.25">
      <c r="T29719" s="135"/>
      <c r="U29719" s="135"/>
    </row>
    <row r="29720" spans="20:21" ht="15" customHeight="1" x14ac:dyDescent="0.25">
      <c r="T29720" s="135"/>
      <c r="U29720" s="135"/>
    </row>
    <row r="29721" spans="20:21" ht="15" customHeight="1" x14ac:dyDescent="0.25">
      <c r="T29721" s="135"/>
      <c r="U29721" s="135"/>
    </row>
    <row r="29722" spans="20:21" ht="15" customHeight="1" x14ac:dyDescent="0.25">
      <c r="T29722" s="135"/>
      <c r="U29722" s="135"/>
    </row>
    <row r="29723" spans="20:21" ht="15" customHeight="1" x14ac:dyDescent="0.25">
      <c r="T29723" s="135"/>
      <c r="U29723" s="135"/>
    </row>
    <row r="29724" spans="20:21" ht="15" customHeight="1" x14ac:dyDescent="0.25">
      <c r="T29724" s="135"/>
      <c r="U29724" s="135"/>
    </row>
    <row r="29725" spans="20:21" ht="15" customHeight="1" x14ac:dyDescent="0.25">
      <c r="T29725" s="135"/>
      <c r="U29725" s="135"/>
    </row>
    <row r="29726" spans="20:21" ht="15" customHeight="1" x14ac:dyDescent="0.25">
      <c r="T29726" s="135"/>
      <c r="U29726" s="135"/>
    </row>
    <row r="29727" spans="20:21" ht="15" customHeight="1" x14ac:dyDescent="0.25">
      <c r="T29727" s="135"/>
      <c r="U29727" s="135"/>
    </row>
    <row r="29728" spans="20:21" ht="15" customHeight="1" x14ac:dyDescent="0.25">
      <c r="T29728" s="135"/>
      <c r="U29728" s="135"/>
    </row>
    <row r="29729" spans="20:21" ht="15" customHeight="1" x14ac:dyDescent="0.25">
      <c r="T29729" s="135"/>
      <c r="U29729" s="135"/>
    </row>
    <row r="29730" spans="20:21" ht="15" customHeight="1" x14ac:dyDescent="0.25">
      <c r="T29730" s="135"/>
      <c r="U29730" s="135"/>
    </row>
    <row r="29731" spans="20:21" ht="15" customHeight="1" x14ac:dyDescent="0.25">
      <c r="T29731" s="135"/>
      <c r="U29731" s="135"/>
    </row>
    <row r="29732" spans="20:21" ht="15" customHeight="1" x14ac:dyDescent="0.25">
      <c r="T29732" s="135"/>
      <c r="U29732" s="135"/>
    </row>
    <row r="29733" spans="20:21" ht="15" customHeight="1" x14ac:dyDescent="0.25">
      <c r="T29733" s="135"/>
      <c r="U29733" s="135"/>
    </row>
    <row r="29734" spans="20:21" ht="15" customHeight="1" x14ac:dyDescent="0.25">
      <c r="T29734" s="135"/>
      <c r="U29734" s="135"/>
    </row>
    <row r="29735" spans="20:21" ht="15" customHeight="1" x14ac:dyDescent="0.25">
      <c r="T29735" s="135"/>
      <c r="U29735" s="135"/>
    </row>
    <row r="29736" spans="20:21" ht="15" customHeight="1" x14ac:dyDescent="0.25">
      <c r="T29736" s="135"/>
      <c r="U29736" s="135"/>
    </row>
    <row r="29737" spans="20:21" ht="15" customHeight="1" x14ac:dyDescent="0.25">
      <c r="T29737" s="135"/>
      <c r="U29737" s="135"/>
    </row>
    <row r="29738" spans="20:21" ht="15" customHeight="1" x14ac:dyDescent="0.25">
      <c r="T29738" s="135"/>
      <c r="U29738" s="135"/>
    </row>
    <row r="29739" spans="20:21" ht="15" customHeight="1" x14ac:dyDescent="0.25">
      <c r="T29739" s="135"/>
      <c r="U29739" s="135"/>
    </row>
    <row r="29740" spans="20:21" ht="15" customHeight="1" x14ac:dyDescent="0.25">
      <c r="T29740" s="135"/>
      <c r="U29740" s="135"/>
    </row>
    <row r="29741" spans="20:21" ht="15" customHeight="1" x14ac:dyDescent="0.25">
      <c r="T29741" s="135"/>
      <c r="U29741" s="135"/>
    </row>
    <row r="29742" spans="20:21" ht="15" customHeight="1" x14ac:dyDescent="0.25">
      <c r="T29742" s="135"/>
      <c r="U29742" s="135"/>
    </row>
    <row r="29743" spans="20:21" ht="15" customHeight="1" x14ac:dyDescent="0.25">
      <c r="T29743" s="135"/>
      <c r="U29743" s="135"/>
    </row>
    <row r="29744" spans="20:21" ht="15" customHeight="1" x14ac:dyDescent="0.25">
      <c r="T29744" s="135"/>
      <c r="U29744" s="135"/>
    </row>
    <row r="29745" spans="20:21" ht="15" customHeight="1" x14ac:dyDescent="0.25">
      <c r="T29745" s="135"/>
      <c r="U29745" s="135"/>
    </row>
    <row r="29746" spans="20:21" ht="15" customHeight="1" x14ac:dyDescent="0.25">
      <c r="T29746" s="135"/>
      <c r="U29746" s="135"/>
    </row>
    <row r="29747" spans="20:21" ht="15" customHeight="1" x14ac:dyDescent="0.25">
      <c r="T29747" s="135"/>
      <c r="U29747" s="135"/>
    </row>
    <row r="29748" spans="20:21" ht="15" customHeight="1" x14ac:dyDescent="0.25">
      <c r="T29748" s="135"/>
      <c r="U29748" s="135"/>
    </row>
    <row r="29749" spans="20:21" ht="15" customHeight="1" x14ac:dyDescent="0.25">
      <c r="T29749" s="135"/>
      <c r="U29749" s="135"/>
    </row>
    <row r="29750" spans="20:21" ht="15" customHeight="1" x14ac:dyDescent="0.25">
      <c r="T29750" s="135"/>
      <c r="U29750" s="135"/>
    </row>
    <row r="29751" spans="20:21" ht="15" customHeight="1" x14ac:dyDescent="0.25">
      <c r="T29751" s="135"/>
      <c r="U29751" s="135"/>
    </row>
    <row r="29752" spans="20:21" ht="15" customHeight="1" x14ac:dyDescent="0.25">
      <c r="T29752" s="135"/>
      <c r="U29752" s="135"/>
    </row>
    <row r="29753" spans="20:21" ht="15" customHeight="1" x14ac:dyDescent="0.25">
      <c r="T29753" s="135"/>
      <c r="U29753" s="135"/>
    </row>
    <row r="29754" spans="20:21" ht="15" customHeight="1" x14ac:dyDescent="0.25">
      <c r="T29754" s="135"/>
      <c r="U29754" s="135"/>
    </row>
    <row r="29755" spans="20:21" ht="15" customHeight="1" x14ac:dyDescent="0.25">
      <c r="T29755" s="135"/>
      <c r="U29755" s="135"/>
    </row>
    <row r="29756" spans="20:21" ht="15" customHeight="1" x14ac:dyDescent="0.25">
      <c r="T29756" s="135"/>
      <c r="U29756" s="135"/>
    </row>
    <row r="29757" spans="20:21" ht="15" customHeight="1" x14ac:dyDescent="0.25">
      <c r="T29757" s="135"/>
      <c r="U29757" s="135"/>
    </row>
    <row r="29758" spans="20:21" ht="15" customHeight="1" x14ac:dyDescent="0.25">
      <c r="T29758" s="135"/>
      <c r="U29758" s="135"/>
    </row>
    <row r="29759" spans="20:21" ht="15" customHeight="1" x14ac:dyDescent="0.25">
      <c r="T29759" s="135"/>
      <c r="U29759" s="135"/>
    </row>
    <row r="29760" spans="20:21" ht="15" customHeight="1" x14ac:dyDescent="0.25">
      <c r="T29760" s="135"/>
      <c r="U29760" s="135"/>
    </row>
    <row r="29761" spans="20:21" ht="15" customHeight="1" x14ac:dyDescent="0.25">
      <c r="T29761" s="135"/>
      <c r="U29761" s="135"/>
    </row>
    <row r="29762" spans="20:21" ht="15" customHeight="1" x14ac:dyDescent="0.25">
      <c r="T29762" s="135"/>
      <c r="U29762" s="135"/>
    </row>
    <row r="29763" spans="20:21" ht="15" customHeight="1" x14ac:dyDescent="0.25">
      <c r="T29763" s="135"/>
      <c r="U29763" s="135"/>
    </row>
    <row r="29764" spans="20:21" ht="15" customHeight="1" x14ac:dyDescent="0.25">
      <c r="T29764" s="135"/>
      <c r="U29764" s="135"/>
    </row>
    <row r="29765" spans="20:21" ht="15" customHeight="1" x14ac:dyDescent="0.25">
      <c r="T29765" s="135"/>
      <c r="U29765" s="135"/>
    </row>
    <row r="29766" spans="20:21" ht="15" customHeight="1" x14ac:dyDescent="0.25">
      <c r="T29766" s="135"/>
      <c r="U29766" s="135"/>
    </row>
    <row r="29767" spans="20:21" ht="15" customHeight="1" x14ac:dyDescent="0.25">
      <c r="T29767" s="135"/>
      <c r="U29767" s="135"/>
    </row>
    <row r="29768" spans="20:21" ht="15" customHeight="1" x14ac:dyDescent="0.25">
      <c r="T29768" s="135"/>
      <c r="U29768" s="135"/>
    </row>
    <row r="29769" spans="20:21" ht="15" customHeight="1" x14ac:dyDescent="0.25">
      <c r="T29769" s="135"/>
      <c r="U29769" s="135"/>
    </row>
    <row r="29770" spans="20:21" ht="15" customHeight="1" x14ac:dyDescent="0.25">
      <c r="T29770" s="135"/>
      <c r="U29770" s="135"/>
    </row>
    <row r="29771" spans="20:21" ht="15" customHeight="1" x14ac:dyDescent="0.25">
      <c r="T29771" s="135"/>
      <c r="U29771" s="135"/>
    </row>
    <row r="29772" spans="20:21" ht="15" customHeight="1" x14ac:dyDescent="0.25">
      <c r="T29772" s="135"/>
      <c r="U29772" s="135"/>
    </row>
    <row r="29773" spans="20:21" ht="15" customHeight="1" x14ac:dyDescent="0.25">
      <c r="T29773" s="135"/>
      <c r="U29773" s="135"/>
    </row>
    <row r="29774" spans="20:21" ht="15" customHeight="1" x14ac:dyDescent="0.25">
      <c r="T29774" s="135"/>
      <c r="U29774" s="135"/>
    </row>
    <row r="29775" spans="20:21" ht="15" customHeight="1" x14ac:dyDescent="0.25">
      <c r="T29775" s="135"/>
      <c r="U29775" s="135"/>
    </row>
    <row r="29776" spans="20:21" ht="15" customHeight="1" x14ac:dyDescent="0.25">
      <c r="T29776" s="135"/>
      <c r="U29776" s="135"/>
    </row>
    <row r="29777" spans="20:21" ht="15" customHeight="1" x14ac:dyDescent="0.25">
      <c r="T29777" s="135"/>
      <c r="U29777" s="135"/>
    </row>
    <row r="29778" spans="20:21" ht="15" customHeight="1" x14ac:dyDescent="0.25">
      <c r="T29778" s="135"/>
      <c r="U29778" s="135"/>
    </row>
    <row r="29779" spans="20:21" ht="15" customHeight="1" x14ac:dyDescent="0.25">
      <c r="T29779" s="135"/>
      <c r="U29779" s="135"/>
    </row>
    <row r="29780" spans="20:21" ht="15" customHeight="1" x14ac:dyDescent="0.25">
      <c r="T29780" s="135"/>
      <c r="U29780" s="135"/>
    </row>
    <row r="29781" spans="20:21" ht="15" customHeight="1" x14ac:dyDescent="0.25">
      <c r="T29781" s="135"/>
      <c r="U29781" s="135"/>
    </row>
    <row r="29782" spans="20:21" ht="15" customHeight="1" x14ac:dyDescent="0.25">
      <c r="T29782" s="135"/>
      <c r="U29782" s="135"/>
    </row>
    <row r="29783" spans="20:21" ht="15" customHeight="1" x14ac:dyDescent="0.25">
      <c r="T29783" s="135"/>
      <c r="U29783" s="135"/>
    </row>
    <row r="29784" spans="20:21" ht="15" customHeight="1" x14ac:dyDescent="0.25">
      <c r="T29784" s="135"/>
      <c r="U29784" s="135"/>
    </row>
    <row r="29785" spans="20:21" ht="15" customHeight="1" x14ac:dyDescent="0.25">
      <c r="T29785" s="135"/>
      <c r="U29785" s="135"/>
    </row>
    <row r="29786" spans="20:21" ht="15" customHeight="1" x14ac:dyDescent="0.25">
      <c r="T29786" s="135"/>
      <c r="U29786" s="135"/>
    </row>
    <row r="29787" spans="20:21" ht="15" customHeight="1" x14ac:dyDescent="0.25">
      <c r="T29787" s="135"/>
      <c r="U29787" s="135"/>
    </row>
    <row r="29788" spans="20:21" ht="15" customHeight="1" x14ac:dyDescent="0.25">
      <c r="T29788" s="135"/>
      <c r="U29788" s="135"/>
    </row>
    <row r="29789" spans="20:21" ht="15" customHeight="1" x14ac:dyDescent="0.25">
      <c r="T29789" s="135"/>
      <c r="U29789" s="135"/>
    </row>
    <row r="29790" spans="20:21" ht="15" customHeight="1" x14ac:dyDescent="0.25">
      <c r="T29790" s="135"/>
      <c r="U29790" s="135"/>
    </row>
    <row r="29791" spans="20:21" ht="15" customHeight="1" x14ac:dyDescent="0.25">
      <c r="T29791" s="135"/>
      <c r="U29791" s="135"/>
    </row>
    <row r="29792" spans="20:21" ht="15" customHeight="1" x14ac:dyDescent="0.25">
      <c r="T29792" s="135"/>
      <c r="U29792" s="135"/>
    </row>
    <row r="29793" spans="20:21" ht="15" customHeight="1" x14ac:dyDescent="0.25">
      <c r="T29793" s="135"/>
      <c r="U29793" s="135"/>
    </row>
    <row r="29794" spans="20:21" ht="15" customHeight="1" x14ac:dyDescent="0.25">
      <c r="T29794" s="135"/>
      <c r="U29794" s="135"/>
    </row>
    <row r="29795" spans="20:21" ht="15" customHeight="1" x14ac:dyDescent="0.25">
      <c r="T29795" s="135"/>
      <c r="U29795" s="135"/>
    </row>
    <row r="29796" spans="20:21" ht="15" customHeight="1" x14ac:dyDescent="0.25">
      <c r="T29796" s="135"/>
      <c r="U29796" s="135"/>
    </row>
    <row r="29797" spans="20:21" ht="15" customHeight="1" x14ac:dyDescent="0.25">
      <c r="T29797" s="135"/>
      <c r="U29797" s="135"/>
    </row>
    <row r="29798" spans="20:21" ht="15" customHeight="1" x14ac:dyDescent="0.25">
      <c r="T29798" s="135"/>
      <c r="U29798" s="135"/>
    </row>
    <row r="29799" spans="20:21" ht="15" customHeight="1" x14ac:dyDescent="0.25">
      <c r="T29799" s="135"/>
      <c r="U29799" s="135"/>
    </row>
    <row r="29800" spans="20:21" ht="15" customHeight="1" x14ac:dyDescent="0.25">
      <c r="T29800" s="135"/>
      <c r="U29800" s="135"/>
    </row>
    <row r="29801" spans="20:21" ht="15" customHeight="1" x14ac:dyDescent="0.25">
      <c r="T29801" s="135"/>
      <c r="U29801" s="135"/>
    </row>
    <row r="29802" spans="20:21" ht="15" customHeight="1" x14ac:dyDescent="0.25">
      <c r="T29802" s="135"/>
      <c r="U29802" s="135"/>
    </row>
    <row r="29803" spans="20:21" ht="15" customHeight="1" x14ac:dyDescent="0.25">
      <c r="T29803" s="135"/>
      <c r="U29803" s="135"/>
    </row>
    <row r="29804" spans="20:21" ht="15" customHeight="1" x14ac:dyDescent="0.25">
      <c r="T29804" s="135"/>
      <c r="U29804" s="135"/>
    </row>
    <row r="29805" spans="20:21" ht="15" customHeight="1" x14ac:dyDescent="0.25">
      <c r="T29805" s="135"/>
      <c r="U29805" s="135"/>
    </row>
    <row r="29806" spans="20:21" ht="15" customHeight="1" x14ac:dyDescent="0.25">
      <c r="T29806" s="135"/>
      <c r="U29806" s="135"/>
    </row>
    <row r="29807" spans="20:21" ht="15" customHeight="1" x14ac:dyDescent="0.25">
      <c r="T29807" s="135"/>
      <c r="U29807" s="135"/>
    </row>
    <row r="29808" spans="20:21" ht="15" customHeight="1" x14ac:dyDescent="0.25">
      <c r="T29808" s="135"/>
      <c r="U29808" s="135"/>
    </row>
    <row r="29809" spans="20:21" ht="15" customHeight="1" x14ac:dyDescent="0.25">
      <c r="T29809" s="135"/>
      <c r="U29809" s="135"/>
    </row>
    <row r="29810" spans="20:21" ht="15" customHeight="1" x14ac:dyDescent="0.25">
      <c r="T29810" s="135"/>
      <c r="U29810" s="135"/>
    </row>
    <row r="29811" spans="20:21" ht="15" customHeight="1" x14ac:dyDescent="0.25">
      <c r="T29811" s="135"/>
      <c r="U29811" s="135"/>
    </row>
    <row r="29812" spans="20:21" ht="15" customHeight="1" x14ac:dyDescent="0.25">
      <c r="T29812" s="135"/>
      <c r="U29812" s="135"/>
    </row>
    <row r="29813" spans="20:21" ht="15" customHeight="1" x14ac:dyDescent="0.25">
      <c r="T29813" s="135"/>
      <c r="U29813" s="135"/>
    </row>
    <row r="29814" spans="20:21" ht="15" customHeight="1" x14ac:dyDescent="0.25">
      <c r="T29814" s="135"/>
      <c r="U29814" s="135"/>
    </row>
    <row r="29815" spans="20:21" ht="15" customHeight="1" x14ac:dyDescent="0.25">
      <c r="T29815" s="135"/>
      <c r="U29815" s="135"/>
    </row>
    <row r="29816" spans="20:21" ht="15" customHeight="1" x14ac:dyDescent="0.25">
      <c r="T29816" s="135"/>
      <c r="U29816" s="135"/>
    </row>
    <row r="29817" spans="20:21" ht="15" customHeight="1" x14ac:dyDescent="0.25">
      <c r="T29817" s="135"/>
      <c r="U29817" s="135"/>
    </row>
    <row r="29818" spans="20:21" ht="15" customHeight="1" x14ac:dyDescent="0.25">
      <c r="T29818" s="135"/>
      <c r="U29818" s="135"/>
    </row>
    <row r="29819" spans="20:21" ht="15" customHeight="1" x14ac:dyDescent="0.25">
      <c r="T29819" s="135"/>
      <c r="U29819" s="135"/>
    </row>
    <row r="29820" spans="20:21" ht="15" customHeight="1" x14ac:dyDescent="0.25">
      <c r="T29820" s="135"/>
      <c r="U29820" s="135"/>
    </row>
    <row r="29821" spans="20:21" ht="15" customHeight="1" x14ac:dyDescent="0.25">
      <c r="T29821" s="135"/>
      <c r="U29821" s="135"/>
    </row>
    <row r="29822" spans="20:21" ht="15" customHeight="1" x14ac:dyDescent="0.25">
      <c r="T29822" s="135"/>
      <c r="U29822" s="135"/>
    </row>
    <row r="29823" spans="20:21" ht="15" customHeight="1" x14ac:dyDescent="0.25">
      <c r="T29823" s="135"/>
      <c r="U29823" s="135"/>
    </row>
    <row r="29824" spans="20:21" ht="15" customHeight="1" x14ac:dyDescent="0.25">
      <c r="T29824" s="135"/>
      <c r="U29824" s="135"/>
    </row>
    <row r="29825" spans="20:21" ht="15" customHeight="1" x14ac:dyDescent="0.25">
      <c r="T29825" s="135"/>
      <c r="U29825" s="135"/>
    </row>
    <row r="29826" spans="20:21" ht="15" customHeight="1" x14ac:dyDescent="0.25">
      <c r="T29826" s="135"/>
      <c r="U29826" s="135"/>
    </row>
    <row r="29827" spans="20:21" ht="15" customHeight="1" x14ac:dyDescent="0.25">
      <c r="T29827" s="135"/>
      <c r="U29827" s="135"/>
    </row>
    <row r="29828" spans="20:21" ht="15" customHeight="1" x14ac:dyDescent="0.25">
      <c r="T29828" s="135"/>
      <c r="U29828" s="135"/>
    </row>
    <row r="29829" spans="20:21" ht="15" customHeight="1" x14ac:dyDescent="0.25">
      <c r="T29829" s="135"/>
      <c r="U29829" s="135"/>
    </row>
    <row r="29830" spans="20:21" ht="15" customHeight="1" x14ac:dyDescent="0.25">
      <c r="T29830" s="135"/>
      <c r="U29830" s="135"/>
    </row>
    <row r="29831" spans="20:21" ht="15" customHeight="1" x14ac:dyDescent="0.25">
      <c r="T29831" s="135"/>
      <c r="U29831" s="135"/>
    </row>
    <row r="29832" spans="20:21" ht="15" customHeight="1" x14ac:dyDescent="0.25">
      <c r="T29832" s="135"/>
      <c r="U29832" s="135"/>
    </row>
    <row r="29833" spans="20:21" ht="15" customHeight="1" x14ac:dyDescent="0.25">
      <c r="T29833" s="135"/>
      <c r="U29833" s="135"/>
    </row>
    <row r="29834" spans="20:21" ht="15" customHeight="1" x14ac:dyDescent="0.25">
      <c r="T29834" s="135"/>
      <c r="U29834" s="135"/>
    </row>
    <row r="29835" spans="20:21" ht="15" customHeight="1" x14ac:dyDescent="0.25">
      <c r="T29835" s="135"/>
      <c r="U29835" s="135"/>
    </row>
    <row r="29836" spans="20:21" ht="15" customHeight="1" x14ac:dyDescent="0.25">
      <c r="T29836" s="135"/>
      <c r="U29836" s="135"/>
    </row>
    <row r="29837" spans="20:21" ht="15" customHeight="1" x14ac:dyDescent="0.25">
      <c r="T29837" s="135"/>
      <c r="U29837" s="135"/>
    </row>
    <row r="29838" spans="20:21" ht="15" customHeight="1" x14ac:dyDescent="0.25">
      <c r="T29838" s="135"/>
      <c r="U29838" s="135"/>
    </row>
    <row r="29839" spans="20:21" ht="15" customHeight="1" x14ac:dyDescent="0.25">
      <c r="T29839" s="135"/>
      <c r="U29839" s="135"/>
    </row>
    <row r="29840" spans="20:21" ht="15" customHeight="1" x14ac:dyDescent="0.25">
      <c r="T29840" s="135"/>
      <c r="U29840" s="135"/>
    </row>
    <row r="29841" spans="20:21" ht="15" customHeight="1" x14ac:dyDescent="0.25">
      <c r="T29841" s="135"/>
      <c r="U29841" s="135"/>
    </row>
    <row r="29842" spans="20:21" ht="15" customHeight="1" x14ac:dyDescent="0.25">
      <c r="T29842" s="135"/>
      <c r="U29842" s="135"/>
    </row>
    <row r="29843" spans="20:21" ht="15" customHeight="1" x14ac:dyDescent="0.25">
      <c r="T29843" s="135"/>
      <c r="U29843" s="135"/>
    </row>
    <row r="29844" spans="20:21" ht="15" customHeight="1" x14ac:dyDescent="0.25">
      <c r="T29844" s="135"/>
      <c r="U29844" s="135"/>
    </row>
    <row r="29845" spans="20:21" ht="15" customHeight="1" x14ac:dyDescent="0.25">
      <c r="T29845" s="135"/>
      <c r="U29845" s="135"/>
    </row>
    <row r="29846" spans="20:21" ht="15" customHeight="1" x14ac:dyDescent="0.25">
      <c r="T29846" s="135"/>
      <c r="U29846" s="135"/>
    </row>
    <row r="29847" spans="20:21" ht="15" customHeight="1" x14ac:dyDescent="0.25">
      <c r="T29847" s="135"/>
      <c r="U29847" s="135"/>
    </row>
    <row r="29848" spans="20:21" ht="15" customHeight="1" x14ac:dyDescent="0.25">
      <c r="T29848" s="135"/>
      <c r="U29848" s="135"/>
    </row>
    <row r="29849" spans="20:21" ht="15" customHeight="1" x14ac:dyDescent="0.25">
      <c r="T29849" s="135"/>
      <c r="U29849" s="135"/>
    </row>
    <row r="29850" spans="20:21" ht="15" customHeight="1" x14ac:dyDescent="0.25">
      <c r="T29850" s="135"/>
      <c r="U29850" s="135"/>
    </row>
    <row r="29851" spans="20:21" ht="15" customHeight="1" x14ac:dyDescent="0.25">
      <c r="T29851" s="135"/>
      <c r="U29851" s="135"/>
    </row>
    <row r="29852" spans="20:21" ht="15" customHeight="1" x14ac:dyDescent="0.25">
      <c r="T29852" s="135"/>
      <c r="U29852" s="135"/>
    </row>
    <row r="29853" spans="20:21" ht="15" customHeight="1" x14ac:dyDescent="0.25">
      <c r="T29853" s="135"/>
      <c r="U29853" s="135"/>
    </row>
    <row r="29854" spans="20:21" ht="15" customHeight="1" x14ac:dyDescent="0.25">
      <c r="T29854" s="135"/>
      <c r="U29854" s="135"/>
    </row>
    <row r="29855" spans="20:21" ht="15" customHeight="1" x14ac:dyDescent="0.25">
      <c r="T29855" s="135"/>
      <c r="U29855" s="135"/>
    </row>
    <row r="29856" spans="20:21" ht="15" customHeight="1" x14ac:dyDescent="0.25">
      <c r="T29856" s="135"/>
      <c r="U29856" s="135"/>
    </row>
    <row r="29857" spans="20:21" ht="15" customHeight="1" x14ac:dyDescent="0.25">
      <c r="T29857" s="135"/>
      <c r="U29857" s="135"/>
    </row>
    <row r="29858" spans="20:21" ht="15" customHeight="1" x14ac:dyDescent="0.25">
      <c r="T29858" s="135"/>
      <c r="U29858" s="135"/>
    </row>
    <row r="29859" spans="20:21" ht="15" customHeight="1" x14ac:dyDescent="0.25">
      <c r="T29859" s="135"/>
      <c r="U29859" s="135"/>
    </row>
    <row r="29860" spans="20:21" ht="15" customHeight="1" x14ac:dyDescent="0.25">
      <c r="T29860" s="135"/>
      <c r="U29860" s="135"/>
    </row>
    <row r="29861" spans="20:21" ht="15" customHeight="1" x14ac:dyDescent="0.25">
      <c r="T29861" s="135"/>
      <c r="U29861" s="135"/>
    </row>
    <row r="29862" spans="20:21" ht="15" customHeight="1" x14ac:dyDescent="0.25">
      <c r="T29862" s="135"/>
      <c r="U29862" s="135"/>
    </row>
    <row r="29863" spans="20:21" ht="15" customHeight="1" x14ac:dyDescent="0.25">
      <c r="T29863" s="135"/>
      <c r="U29863" s="135"/>
    </row>
    <row r="29864" spans="20:21" ht="15" customHeight="1" x14ac:dyDescent="0.25">
      <c r="T29864" s="135"/>
      <c r="U29864" s="135"/>
    </row>
    <row r="29865" spans="20:21" ht="15" customHeight="1" x14ac:dyDescent="0.25">
      <c r="T29865" s="135"/>
      <c r="U29865" s="135"/>
    </row>
    <row r="29866" spans="20:21" ht="15" customHeight="1" x14ac:dyDescent="0.25">
      <c r="T29866" s="135"/>
      <c r="U29866" s="135"/>
    </row>
    <row r="29867" spans="20:21" ht="15" customHeight="1" x14ac:dyDescent="0.25">
      <c r="T29867" s="135"/>
      <c r="U29867" s="135"/>
    </row>
    <row r="29868" spans="20:21" ht="15" customHeight="1" x14ac:dyDescent="0.25">
      <c r="T29868" s="135"/>
      <c r="U29868" s="135"/>
    </row>
    <row r="29869" spans="20:21" ht="15" customHeight="1" x14ac:dyDescent="0.25">
      <c r="T29869" s="135"/>
      <c r="U29869" s="135"/>
    </row>
    <row r="29870" spans="20:21" ht="15" customHeight="1" x14ac:dyDescent="0.25">
      <c r="T29870" s="135"/>
      <c r="U29870" s="135"/>
    </row>
    <row r="29871" spans="20:21" ht="15" customHeight="1" x14ac:dyDescent="0.25">
      <c r="T29871" s="135"/>
      <c r="U29871" s="135"/>
    </row>
    <row r="29872" spans="20:21" ht="15" customHeight="1" x14ac:dyDescent="0.25">
      <c r="T29872" s="135"/>
      <c r="U29872" s="135"/>
    </row>
    <row r="29873" spans="20:21" ht="15" customHeight="1" x14ac:dyDescent="0.25">
      <c r="T29873" s="135"/>
      <c r="U29873" s="135"/>
    </row>
    <row r="29874" spans="20:21" ht="15" customHeight="1" x14ac:dyDescent="0.25">
      <c r="T29874" s="135"/>
      <c r="U29874" s="135"/>
    </row>
    <row r="29875" spans="20:21" ht="15" customHeight="1" x14ac:dyDescent="0.25">
      <c r="T29875" s="135"/>
      <c r="U29875" s="135"/>
    </row>
    <row r="29876" spans="20:21" ht="15" customHeight="1" x14ac:dyDescent="0.25">
      <c r="T29876" s="135"/>
      <c r="U29876" s="135"/>
    </row>
    <row r="29877" spans="20:21" ht="15" customHeight="1" x14ac:dyDescent="0.25">
      <c r="T29877" s="135"/>
      <c r="U29877" s="135"/>
    </row>
    <row r="29878" spans="20:21" ht="15" customHeight="1" x14ac:dyDescent="0.25">
      <c r="T29878" s="135"/>
      <c r="U29878" s="135"/>
    </row>
    <row r="29879" spans="20:21" ht="15" customHeight="1" x14ac:dyDescent="0.25">
      <c r="T29879" s="135"/>
      <c r="U29879" s="135"/>
    </row>
    <row r="29880" spans="20:21" ht="15" customHeight="1" x14ac:dyDescent="0.25">
      <c r="T29880" s="135"/>
      <c r="U29880" s="135"/>
    </row>
    <row r="29881" spans="20:21" ht="15" customHeight="1" x14ac:dyDescent="0.25">
      <c r="T29881" s="135"/>
      <c r="U29881" s="135"/>
    </row>
    <row r="29882" spans="20:21" ht="15" customHeight="1" x14ac:dyDescent="0.25">
      <c r="T29882" s="135"/>
      <c r="U29882" s="135"/>
    </row>
    <row r="29883" spans="20:21" ht="15" customHeight="1" x14ac:dyDescent="0.25">
      <c r="T29883" s="135"/>
      <c r="U29883" s="135"/>
    </row>
    <row r="29884" spans="20:21" ht="15" customHeight="1" x14ac:dyDescent="0.25">
      <c r="T29884" s="135"/>
      <c r="U29884" s="135"/>
    </row>
    <row r="29885" spans="20:21" ht="15" customHeight="1" x14ac:dyDescent="0.25">
      <c r="T29885" s="135"/>
      <c r="U29885" s="135"/>
    </row>
    <row r="29886" spans="20:21" ht="15" customHeight="1" x14ac:dyDescent="0.25">
      <c r="T29886" s="135"/>
      <c r="U29886" s="135"/>
    </row>
    <row r="29887" spans="20:21" ht="15" customHeight="1" x14ac:dyDescent="0.25">
      <c r="T29887" s="135"/>
      <c r="U29887" s="135"/>
    </row>
    <row r="29888" spans="20:21" ht="15" customHeight="1" x14ac:dyDescent="0.25">
      <c r="T29888" s="135"/>
      <c r="U29888" s="135"/>
    </row>
    <row r="29889" spans="20:21" ht="15" customHeight="1" x14ac:dyDescent="0.25">
      <c r="T29889" s="135"/>
      <c r="U29889" s="135"/>
    </row>
    <row r="29890" spans="20:21" ht="15" customHeight="1" x14ac:dyDescent="0.25">
      <c r="T29890" s="135"/>
      <c r="U29890" s="135"/>
    </row>
    <row r="29891" spans="20:21" ht="15" customHeight="1" x14ac:dyDescent="0.25">
      <c r="T29891" s="135"/>
      <c r="U29891" s="135"/>
    </row>
    <row r="29892" spans="20:21" ht="15" customHeight="1" x14ac:dyDescent="0.25">
      <c r="T29892" s="135"/>
      <c r="U29892" s="135"/>
    </row>
    <row r="29893" spans="20:21" ht="15" customHeight="1" x14ac:dyDescent="0.25">
      <c r="T29893" s="135"/>
      <c r="U29893" s="135"/>
    </row>
    <row r="29894" spans="20:21" ht="15" customHeight="1" x14ac:dyDescent="0.25">
      <c r="T29894" s="135"/>
      <c r="U29894" s="135"/>
    </row>
    <row r="29895" spans="20:21" ht="15" customHeight="1" x14ac:dyDescent="0.25">
      <c r="T29895" s="135"/>
      <c r="U29895" s="135"/>
    </row>
    <row r="29896" spans="20:21" ht="15" customHeight="1" x14ac:dyDescent="0.25">
      <c r="T29896" s="135"/>
      <c r="U29896" s="135"/>
    </row>
    <row r="29897" spans="20:21" ht="15" customHeight="1" x14ac:dyDescent="0.25">
      <c r="T29897" s="135"/>
      <c r="U29897" s="135"/>
    </row>
    <row r="29898" spans="20:21" ht="15" customHeight="1" x14ac:dyDescent="0.25">
      <c r="T29898" s="135"/>
      <c r="U29898" s="135"/>
    </row>
    <row r="29899" spans="20:21" ht="15" customHeight="1" x14ac:dyDescent="0.25">
      <c r="T29899" s="135"/>
      <c r="U29899" s="135"/>
    </row>
    <row r="29900" spans="20:21" ht="15" customHeight="1" x14ac:dyDescent="0.25">
      <c r="T29900" s="135"/>
      <c r="U29900" s="135"/>
    </row>
    <row r="29901" spans="20:21" ht="15" customHeight="1" x14ac:dyDescent="0.25">
      <c r="T29901" s="135"/>
      <c r="U29901" s="135"/>
    </row>
    <row r="29902" spans="20:21" ht="15" customHeight="1" x14ac:dyDescent="0.25">
      <c r="T29902" s="135"/>
      <c r="U29902" s="135"/>
    </row>
    <row r="29903" spans="20:21" ht="15" customHeight="1" x14ac:dyDescent="0.25">
      <c r="T29903" s="135"/>
      <c r="U29903" s="135"/>
    </row>
    <row r="29904" spans="20:21" ht="15" customHeight="1" x14ac:dyDescent="0.25">
      <c r="T29904" s="135"/>
      <c r="U29904" s="135"/>
    </row>
    <row r="29905" spans="20:21" ht="15" customHeight="1" x14ac:dyDescent="0.25">
      <c r="T29905" s="135"/>
      <c r="U29905" s="135"/>
    </row>
    <row r="29906" spans="20:21" ht="15" customHeight="1" x14ac:dyDescent="0.25">
      <c r="T29906" s="135"/>
      <c r="U29906" s="135"/>
    </row>
    <row r="29907" spans="20:21" ht="15" customHeight="1" x14ac:dyDescent="0.25">
      <c r="T29907" s="135"/>
      <c r="U29907" s="135"/>
    </row>
    <row r="29908" spans="20:21" ht="15" customHeight="1" x14ac:dyDescent="0.25">
      <c r="T29908" s="135"/>
      <c r="U29908" s="135"/>
    </row>
    <row r="29909" spans="20:21" ht="15" customHeight="1" x14ac:dyDescent="0.25">
      <c r="T29909" s="135"/>
      <c r="U29909" s="135"/>
    </row>
    <row r="29910" spans="20:21" ht="15" customHeight="1" x14ac:dyDescent="0.25">
      <c r="T29910" s="135"/>
      <c r="U29910" s="135"/>
    </row>
    <row r="29911" spans="20:21" ht="15" customHeight="1" x14ac:dyDescent="0.25">
      <c r="T29911" s="135"/>
      <c r="U29911" s="135"/>
    </row>
    <row r="29912" spans="20:21" ht="15" customHeight="1" x14ac:dyDescent="0.25">
      <c r="T29912" s="135"/>
      <c r="U29912" s="135"/>
    </row>
    <row r="29913" spans="20:21" ht="15" customHeight="1" x14ac:dyDescent="0.25">
      <c r="T29913" s="135"/>
      <c r="U29913" s="135"/>
    </row>
    <row r="29914" spans="20:21" ht="15" customHeight="1" x14ac:dyDescent="0.25">
      <c r="T29914" s="135"/>
      <c r="U29914" s="135"/>
    </row>
    <row r="29915" spans="20:21" ht="15" customHeight="1" x14ac:dyDescent="0.25">
      <c r="T29915" s="135"/>
      <c r="U29915" s="135"/>
    </row>
    <row r="29916" spans="20:21" ht="15" customHeight="1" x14ac:dyDescent="0.25">
      <c r="T29916" s="135"/>
      <c r="U29916" s="135"/>
    </row>
    <row r="29917" spans="20:21" ht="15" customHeight="1" x14ac:dyDescent="0.25">
      <c r="T29917" s="135"/>
      <c r="U29917" s="135"/>
    </row>
    <row r="29918" spans="20:21" ht="15" customHeight="1" x14ac:dyDescent="0.25">
      <c r="T29918" s="135"/>
      <c r="U29918" s="135"/>
    </row>
    <row r="29919" spans="20:21" ht="15" customHeight="1" x14ac:dyDescent="0.25">
      <c r="T29919" s="135"/>
      <c r="U29919" s="135"/>
    </row>
    <row r="29920" spans="20:21" ht="15" customHeight="1" x14ac:dyDescent="0.25">
      <c r="T29920" s="135"/>
      <c r="U29920" s="135"/>
    </row>
    <row r="29921" spans="20:21" ht="15" customHeight="1" x14ac:dyDescent="0.25">
      <c r="T29921" s="135"/>
      <c r="U29921" s="135"/>
    </row>
    <row r="29922" spans="20:21" ht="15" customHeight="1" x14ac:dyDescent="0.25">
      <c r="T29922" s="135"/>
      <c r="U29922" s="135"/>
    </row>
    <row r="29923" spans="20:21" ht="15" customHeight="1" x14ac:dyDescent="0.25">
      <c r="T29923" s="135"/>
      <c r="U29923" s="135"/>
    </row>
    <row r="29924" spans="20:21" ht="15" customHeight="1" x14ac:dyDescent="0.25">
      <c r="T29924" s="135"/>
      <c r="U29924" s="135"/>
    </row>
    <row r="29925" spans="20:21" ht="15" customHeight="1" x14ac:dyDescent="0.25">
      <c r="T29925" s="135"/>
      <c r="U29925" s="135"/>
    </row>
    <row r="29926" spans="20:21" ht="15" customHeight="1" x14ac:dyDescent="0.25">
      <c r="T29926" s="135"/>
      <c r="U29926" s="135"/>
    </row>
    <row r="29927" spans="20:21" ht="15" customHeight="1" x14ac:dyDescent="0.25">
      <c r="T29927" s="135"/>
      <c r="U29927" s="135"/>
    </row>
    <row r="29928" spans="20:21" ht="15" customHeight="1" x14ac:dyDescent="0.25">
      <c r="T29928" s="135"/>
      <c r="U29928" s="135"/>
    </row>
    <row r="29929" spans="20:21" ht="15" customHeight="1" x14ac:dyDescent="0.25">
      <c r="T29929" s="135"/>
      <c r="U29929" s="135"/>
    </row>
    <row r="29930" spans="20:21" ht="15" customHeight="1" x14ac:dyDescent="0.25">
      <c r="T29930" s="135"/>
      <c r="U29930" s="135"/>
    </row>
    <row r="29931" spans="20:21" ht="15" customHeight="1" x14ac:dyDescent="0.25">
      <c r="T29931" s="135"/>
      <c r="U29931" s="135"/>
    </row>
    <row r="29932" spans="20:21" ht="15" customHeight="1" x14ac:dyDescent="0.25">
      <c r="T29932" s="135"/>
      <c r="U29932" s="135"/>
    </row>
    <row r="29933" spans="20:21" ht="15" customHeight="1" x14ac:dyDescent="0.25">
      <c r="T29933" s="135"/>
      <c r="U29933" s="135"/>
    </row>
    <row r="29934" spans="20:21" ht="15" customHeight="1" x14ac:dyDescent="0.25">
      <c r="T29934" s="135"/>
      <c r="U29934" s="135"/>
    </row>
    <row r="29935" spans="20:21" ht="15" customHeight="1" x14ac:dyDescent="0.25">
      <c r="T29935" s="135"/>
      <c r="U29935" s="135"/>
    </row>
    <row r="29936" spans="20:21" ht="15" customHeight="1" x14ac:dyDescent="0.25">
      <c r="T29936" s="135"/>
      <c r="U29936" s="135"/>
    </row>
    <row r="29937" spans="20:21" ht="15" customHeight="1" x14ac:dyDescent="0.25">
      <c r="T29937" s="135"/>
      <c r="U29937" s="135"/>
    </row>
    <row r="29938" spans="20:21" ht="15" customHeight="1" x14ac:dyDescent="0.25">
      <c r="T29938" s="135"/>
      <c r="U29938" s="135"/>
    </row>
    <row r="29939" spans="20:21" ht="15" customHeight="1" x14ac:dyDescent="0.25">
      <c r="T29939" s="135"/>
      <c r="U29939" s="135"/>
    </row>
    <row r="29940" spans="20:21" ht="15" customHeight="1" x14ac:dyDescent="0.25">
      <c r="T29940" s="135"/>
      <c r="U29940" s="135"/>
    </row>
    <row r="29941" spans="20:21" ht="15" customHeight="1" x14ac:dyDescent="0.25">
      <c r="T29941" s="135"/>
      <c r="U29941" s="135"/>
    </row>
    <row r="29942" spans="20:21" ht="15" customHeight="1" x14ac:dyDescent="0.25">
      <c r="T29942" s="135"/>
      <c r="U29942" s="135"/>
    </row>
    <row r="29943" spans="20:21" ht="15" customHeight="1" x14ac:dyDescent="0.25">
      <c r="T29943" s="135"/>
      <c r="U29943" s="135"/>
    </row>
    <row r="29944" spans="20:21" ht="15" customHeight="1" x14ac:dyDescent="0.25">
      <c r="T29944" s="135"/>
      <c r="U29944" s="135"/>
    </row>
    <row r="29945" spans="20:21" ht="15" customHeight="1" x14ac:dyDescent="0.25">
      <c r="T29945" s="135"/>
      <c r="U29945" s="135"/>
    </row>
    <row r="29946" spans="20:21" ht="15" customHeight="1" x14ac:dyDescent="0.25">
      <c r="T29946" s="135"/>
      <c r="U29946" s="135"/>
    </row>
    <row r="29947" spans="20:21" ht="15" customHeight="1" x14ac:dyDescent="0.25">
      <c r="T29947" s="135"/>
      <c r="U29947" s="135"/>
    </row>
    <row r="29948" spans="20:21" ht="15" customHeight="1" x14ac:dyDescent="0.25">
      <c r="T29948" s="135"/>
      <c r="U29948" s="135"/>
    </row>
    <row r="29949" spans="20:21" ht="15" customHeight="1" x14ac:dyDescent="0.25">
      <c r="T29949" s="135"/>
      <c r="U29949" s="135"/>
    </row>
    <row r="29950" spans="20:21" ht="15" customHeight="1" x14ac:dyDescent="0.25">
      <c r="T29950" s="135"/>
      <c r="U29950" s="135"/>
    </row>
    <row r="29951" spans="20:21" ht="15" customHeight="1" x14ac:dyDescent="0.25">
      <c r="T29951" s="135"/>
      <c r="U29951" s="135"/>
    </row>
    <row r="29952" spans="20:21" ht="15" customHeight="1" x14ac:dyDescent="0.25">
      <c r="T29952" s="135"/>
      <c r="U29952" s="135"/>
    </row>
    <row r="29953" spans="20:21" ht="15" customHeight="1" x14ac:dyDescent="0.25">
      <c r="T29953" s="135"/>
      <c r="U29953" s="135"/>
    </row>
    <row r="29954" spans="20:21" ht="15" customHeight="1" x14ac:dyDescent="0.25">
      <c r="T29954" s="135"/>
      <c r="U29954" s="135"/>
    </row>
    <row r="29955" spans="20:21" ht="15" customHeight="1" x14ac:dyDescent="0.25">
      <c r="T29955" s="135"/>
      <c r="U29955" s="135"/>
    </row>
    <row r="29956" spans="20:21" ht="15" customHeight="1" x14ac:dyDescent="0.25">
      <c r="T29956" s="135"/>
      <c r="U29956" s="135"/>
    </row>
    <row r="29957" spans="20:21" ht="15" customHeight="1" x14ac:dyDescent="0.25">
      <c r="T29957" s="135"/>
      <c r="U29957" s="135"/>
    </row>
    <row r="29958" spans="20:21" ht="15" customHeight="1" x14ac:dyDescent="0.25">
      <c r="T29958" s="135"/>
      <c r="U29958" s="135"/>
    </row>
    <row r="29959" spans="20:21" ht="15" customHeight="1" x14ac:dyDescent="0.25">
      <c r="T29959" s="135"/>
      <c r="U29959" s="135"/>
    </row>
    <row r="29960" spans="20:21" ht="15" customHeight="1" x14ac:dyDescent="0.25">
      <c r="T29960" s="135"/>
      <c r="U29960" s="135"/>
    </row>
    <row r="29961" spans="20:21" ht="15" customHeight="1" x14ac:dyDescent="0.25">
      <c r="T29961" s="135"/>
      <c r="U29961" s="135"/>
    </row>
    <row r="29962" spans="20:21" ht="15" customHeight="1" x14ac:dyDescent="0.25">
      <c r="T29962" s="135"/>
      <c r="U29962" s="135"/>
    </row>
    <row r="29963" spans="20:21" ht="15" customHeight="1" x14ac:dyDescent="0.25">
      <c r="T29963" s="135"/>
      <c r="U29963" s="135"/>
    </row>
    <row r="29964" spans="20:21" ht="15" customHeight="1" x14ac:dyDescent="0.25">
      <c r="T29964" s="135"/>
      <c r="U29964" s="135"/>
    </row>
    <row r="29965" spans="20:21" ht="15" customHeight="1" x14ac:dyDescent="0.25">
      <c r="T29965" s="135"/>
      <c r="U29965" s="135"/>
    </row>
    <row r="29966" spans="20:21" ht="15" customHeight="1" x14ac:dyDescent="0.25">
      <c r="T29966" s="135"/>
      <c r="U29966" s="135"/>
    </row>
    <row r="29967" spans="20:21" ht="15" customHeight="1" x14ac:dyDescent="0.25">
      <c r="T29967" s="135"/>
      <c r="U29967" s="135"/>
    </row>
    <row r="29968" spans="20:21" ht="15" customHeight="1" x14ac:dyDescent="0.25">
      <c r="T29968" s="135"/>
      <c r="U29968" s="135"/>
    </row>
    <row r="29969" spans="20:21" ht="15" customHeight="1" x14ac:dyDescent="0.25">
      <c r="T29969" s="135"/>
      <c r="U29969" s="135"/>
    </row>
    <row r="29970" spans="20:21" ht="15" customHeight="1" x14ac:dyDescent="0.25">
      <c r="T29970" s="135"/>
      <c r="U29970" s="135"/>
    </row>
    <row r="29971" spans="20:21" ht="15" customHeight="1" x14ac:dyDescent="0.25">
      <c r="T29971" s="135"/>
      <c r="U29971" s="135"/>
    </row>
    <row r="29972" spans="20:21" ht="15" customHeight="1" x14ac:dyDescent="0.25">
      <c r="T29972" s="135"/>
      <c r="U29972" s="135"/>
    </row>
    <row r="29973" spans="20:21" ht="15" customHeight="1" x14ac:dyDescent="0.25">
      <c r="T29973" s="135"/>
      <c r="U29973" s="135"/>
    </row>
    <row r="29974" spans="20:21" ht="15" customHeight="1" x14ac:dyDescent="0.25">
      <c r="T29974" s="135"/>
      <c r="U29974" s="135"/>
    </row>
    <row r="29975" spans="20:21" ht="15" customHeight="1" x14ac:dyDescent="0.25">
      <c r="T29975" s="135"/>
      <c r="U29975" s="135"/>
    </row>
    <row r="29976" spans="20:21" ht="15" customHeight="1" x14ac:dyDescent="0.25">
      <c r="T29976" s="135"/>
      <c r="U29976" s="135"/>
    </row>
    <row r="29977" spans="20:21" ht="15" customHeight="1" x14ac:dyDescent="0.25">
      <c r="T29977" s="135"/>
      <c r="U29977" s="135"/>
    </row>
    <row r="29978" spans="20:21" ht="15" customHeight="1" x14ac:dyDescent="0.25">
      <c r="T29978" s="135"/>
      <c r="U29978" s="135"/>
    </row>
    <row r="29979" spans="20:21" ht="15" customHeight="1" x14ac:dyDescent="0.25">
      <c r="T29979" s="135"/>
      <c r="U29979" s="135"/>
    </row>
    <row r="29980" spans="20:21" ht="15" customHeight="1" x14ac:dyDescent="0.25">
      <c r="T29980" s="135"/>
      <c r="U29980" s="135"/>
    </row>
    <row r="29981" spans="20:21" ht="15" customHeight="1" x14ac:dyDescent="0.25">
      <c r="T29981" s="135"/>
      <c r="U29981" s="135"/>
    </row>
    <row r="29982" spans="20:21" ht="15" customHeight="1" x14ac:dyDescent="0.25">
      <c r="T29982" s="135"/>
      <c r="U29982" s="135"/>
    </row>
    <row r="29983" spans="20:21" ht="15" customHeight="1" x14ac:dyDescent="0.25">
      <c r="T29983" s="135"/>
      <c r="U29983" s="135"/>
    </row>
    <row r="29984" spans="20:21" ht="15" customHeight="1" x14ac:dyDescent="0.25">
      <c r="T29984" s="135"/>
      <c r="U29984" s="135"/>
    </row>
    <row r="29985" spans="20:21" ht="15" customHeight="1" x14ac:dyDescent="0.25">
      <c r="T29985" s="135"/>
      <c r="U29985" s="135"/>
    </row>
    <row r="29986" spans="20:21" ht="15" customHeight="1" x14ac:dyDescent="0.25">
      <c r="T29986" s="135"/>
      <c r="U29986" s="135"/>
    </row>
    <row r="29987" spans="20:21" ht="15" customHeight="1" x14ac:dyDescent="0.25">
      <c r="T29987" s="135"/>
      <c r="U29987" s="135"/>
    </row>
    <row r="29988" spans="20:21" ht="15" customHeight="1" x14ac:dyDescent="0.25">
      <c r="T29988" s="135"/>
      <c r="U29988" s="135"/>
    </row>
    <row r="29989" spans="20:21" ht="15" customHeight="1" x14ac:dyDescent="0.25">
      <c r="T29989" s="135"/>
      <c r="U29989" s="135"/>
    </row>
    <row r="29990" spans="20:21" ht="15" customHeight="1" x14ac:dyDescent="0.25">
      <c r="T29990" s="135"/>
      <c r="U29990" s="135"/>
    </row>
    <row r="29991" spans="20:21" ht="15" customHeight="1" x14ac:dyDescent="0.25">
      <c r="T29991" s="135"/>
      <c r="U29991" s="135"/>
    </row>
    <row r="29992" spans="20:21" ht="15" customHeight="1" x14ac:dyDescent="0.25">
      <c r="T29992" s="135"/>
      <c r="U29992" s="135"/>
    </row>
    <row r="29993" spans="20:21" ht="15" customHeight="1" x14ac:dyDescent="0.25">
      <c r="T29993" s="135"/>
      <c r="U29993" s="135"/>
    </row>
    <row r="29994" spans="20:21" ht="15" customHeight="1" x14ac:dyDescent="0.25">
      <c r="T29994" s="135"/>
      <c r="U29994" s="135"/>
    </row>
    <row r="29995" spans="20:21" ht="15" customHeight="1" x14ac:dyDescent="0.25">
      <c r="T29995" s="135"/>
      <c r="U29995" s="135"/>
    </row>
    <row r="29996" spans="20:21" ht="15" customHeight="1" x14ac:dyDescent="0.25">
      <c r="T29996" s="135"/>
      <c r="U29996" s="135"/>
    </row>
    <row r="29997" spans="20:21" ht="15" customHeight="1" x14ac:dyDescent="0.25">
      <c r="T29997" s="135"/>
      <c r="U29997" s="135"/>
    </row>
    <row r="29998" spans="20:21" ht="15" customHeight="1" x14ac:dyDescent="0.25">
      <c r="T29998" s="135"/>
      <c r="U29998" s="135"/>
    </row>
    <row r="29999" spans="20:21" ht="15" customHeight="1" x14ac:dyDescent="0.25">
      <c r="T29999" s="135"/>
      <c r="U29999" s="135"/>
    </row>
    <row r="30000" spans="20:21" ht="15" customHeight="1" x14ac:dyDescent="0.25">
      <c r="T30000" s="135"/>
      <c r="U30000" s="135"/>
    </row>
    <row r="30001" spans="20:21" ht="15" customHeight="1" x14ac:dyDescent="0.25">
      <c r="T30001" s="135"/>
      <c r="U30001" s="135"/>
    </row>
    <row r="30002" spans="20:21" ht="15" customHeight="1" x14ac:dyDescent="0.25">
      <c r="T30002" s="135"/>
      <c r="U30002" s="135"/>
    </row>
    <row r="30003" spans="20:21" ht="15" customHeight="1" x14ac:dyDescent="0.25">
      <c r="T30003" s="135"/>
      <c r="U30003" s="135"/>
    </row>
    <row r="30004" spans="20:21" ht="15" customHeight="1" x14ac:dyDescent="0.25">
      <c r="T30004" s="135"/>
      <c r="U30004" s="135"/>
    </row>
    <row r="30005" spans="20:21" ht="15" customHeight="1" x14ac:dyDescent="0.25">
      <c r="T30005" s="135"/>
      <c r="U30005" s="135"/>
    </row>
    <row r="30006" spans="20:21" ht="15" customHeight="1" x14ac:dyDescent="0.25">
      <c r="T30006" s="135"/>
      <c r="U30006" s="135"/>
    </row>
    <row r="30007" spans="20:21" ht="15" customHeight="1" x14ac:dyDescent="0.25">
      <c r="T30007" s="135"/>
      <c r="U30007" s="135"/>
    </row>
    <row r="30008" spans="20:21" ht="15" customHeight="1" x14ac:dyDescent="0.25">
      <c r="T30008" s="135"/>
      <c r="U30008" s="135"/>
    </row>
    <row r="30009" spans="20:21" ht="15" customHeight="1" x14ac:dyDescent="0.25">
      <c r="T30009" s="135"/>
      <c r="U30009" s="135"/>
    </row>
    <row r="30010" spans="20:21" ht="15" customHeight="1" x14ac:dyDescent="0.25">
      <c r="T30010" s="135"/>
      <c r="U30010" s="135"/>
    </row>
    <row r="30011" spans="20:21" ht="15" customHeight="1" x14ac:dyDescent="0.25">
      <c r="T30011" s="135"/>
      <c r="U30011" s="135"/>
    </row>
    <row r="30012" spans="20:21" ht="15" customHeight="1" x14ac:dyDescent="0.25">
      <c r="T30012" s="135"/>
      <c r="U30012" s="135"/>
    </row>
    <row r="30013" spans="20:21" ht="15" customHeight="1" x14ac:dyDescent="0.25">
      <c r="T30013" s="135"/>
      <c r="U30013" s="135"/>
    </row>
    <row r="30014" spans="20:21" ht="15" customHeight="1" x14ac:dyDescent="0.25">
      <c r="T30014" s="135"/>
      <c r="U30014" s="135"/>
    </row>
    <row r="30015" spans="20:21" ht="15" customHeight="1" x14ac:dyDescent="0.25">
      <c r="T30015" s="135"/>
      <c r="U30015" s="135"/>
    </row>
    <row r="30016" spans="20:21" ht="15" customHeight="1" x14ac:dyDescent="0.25">
      <c r="T30016" s="135"/>
      <c r="U30016" s="135"/>
    </row>
    <row r="30017" spans="20:21" ht="15" customHeight="1" x14ac:dyDescent="0.25">
      <c r="T30017" s="135"/>
      <c r="U30017" s="135"/>
    </row>
    <row r="30018" spans="20:21" ht="15" customHeight="1" x14ac:dyDescent="0.25">
      <c r="T30018" s="135"/>
      <c r="U30018" s="135"/>
    </row>
    <row r="30019" spans="20:21" ht="15" customHeight="1" x14ac:dyDescent="0.25">
      <c r="T30019" s="135"/>
      <c r="U30019" s="135"/>
    </row>
    <row r="30020" spans="20:21" ht="15" customHeight="1" x14ac:dyDescent="0.25">
      <c r="T30020" s="135"/>
      <c r="U30020" s="135"/>
    </row>
    <row r="30021" spans="20:21" ht="15" customHeight="1" x14ac:dyDescent="0.25">
      <c r="T30021" s="135"/>
      <c r="U30021" s="135"/>
    </row>
    <row r="30022" spans="20:21" ht="15" customHeight="1" x14ac:dyDescent="0.25">
      <c r="T30022" s="135"/>
      <c r="U30022" s="135"/>
    </row>
    <row r="30023" spans="20:21" ht="15" customHeight="1" x14ac:dyDescent="0.25">
      <c r="T30023" s="135"/>
      <c r="U30023" s="135"/>
    </row>
    <row r="30024" spans="20:21" ht="15" customHeight="1" x14ac:dyDescent="0.25">
      <c r="T30024" s="135"/>
      <c r="U30024" s="135"/>
    </row>
    <row r="30025" spans="20:21" ht="15" customHeight="1" x14ac:dyDescent="0.25">
      <c r="T30025" s="135"/>
      <c r="U30025" s="135"/>
    </row>
    <row r="30026" spans="20:21" ht="15" customHeight="1" x14ac:dyDescent="0.25">
      <c r="T30026" s="135"/>
      <c r="U30026" s="135"/>
    </row>
    <row r="30027" spans="20:21" ht="15" customHeight="1" x14ac:dyDescent="0.25">
      <c r="T30027" s="135"/>
      <c r="U30027" s="135"/>
    </row>
    <row r="30028" spans="20:21" ht="15" customHeight="1" x14ac:dyDescent="0.25">
      <c r="T30028" s="135"/>
      <c r="U30028" s="135"/>
    </row>
    <row r="30029" spans="20:21" ht="15" customHeight="1" x14ac:dyDescent="0.25">
      <c r="T30029" s="135"/>
      <c r="U30029" s="135"/>
    </row>
    <row r="30030" spans="20:21" ht="15" customHeight="1" x14ac:dyDescent="0.25">
      <c r="T30030" s="135"/>
      <c r="U30030" s="135"/>
    </row>
    <row r="30031" spans="20:21" ht="15" customHeight="1" x14ac:dyDescent="0.25">
      <c r="T30031" s="135"/>
      <c r="U30031" s="135"/>
    </row>
    <row r="30032" spans="20:21" ht="15" customHeight="1" x14ac:dyDescent="0.25">
      <c r="T30032" s="135"/>
      <c r="U30032" s="135"/>
    </row>
    <row r="30033" spans="20:21" ht="15" customHeight="1" x14ac:dyDescent="0.25">
      <c r="T30033" s="135"/>
      <c r="U30033" s="135"/>
    </row>
    <row r="30034" spans="20:21" ht="15" customHeight="1" x14ac:dyDescent="0.25">
      <c r="T30034" s="135"/>
      <c r="U30034" s="135"/>
    </row>
    <row r="30035" spans="20:21" ht="15" customHeight="1" x14ac:dyDescent="0.25">
      <c r="T30035" s="135"/>
      <c r="U30035" s="135"/>
    </row>
    <row r="30036" spans="20:21" ht="15" customHeight="1" x14ac:dyDescent="0.25">
      <c r="T30036" s="135"/>
      <c r="U30036" s="135"/>
    </row>
    <row r="30037" spans="20:21" ht="15" customHeight="1" x14ac:dyDescent="0.25">
      <c r="T30037" s="135"/>
      <c r="U30037" s="135"/>
    </row>
    <row r="30038" spans="20:21" ht="15" customHeight="1" x14ac:dyDescent="0.25">
      <c r="T30038" s="135"/>
      <c r="U30038" s="135"/>
    </row>
    <row r="30039" spans="20:21" ht="15" customHeight="1" x14ac:dyDescent="0.25">
      <c r="T30039" s="135"/>
      <c r="U30039" s="135"/>
    </row>
    <row r="30040" spans="20:21" ht="15" customHeight="1" x14ac:dyDescent="0.25">
      <c r="T30040" s="135"/>
      <c r="U30040" s="135"/>
    </row>
    <row r="30041" spans="20:21" ht="15" customHeight="1" x14ac:dyDescent="0.25">
      <c r="T30041" s="135"/>
      <c r="U30041" s="135"/>
    </row>
    <row r="30042" spans="20:21" ht="15" customHeight="1" x14ac:dyDescent="0.25">
      <c r="T30042" s="135"/>
      <c r="U30042" s="135"/>
    </row>
    <row r="30043" spans="20:21" ht="15" customHeight="1" x14ac:dyDescent="0.25">
      <c r="T30043" s="135"/>
      <c r="U30043" s="135"/>
    </row>
    <row r="30044" spans="20:21" ht="15" customHeight="1" x14ac:dyDescent="0.25">
      <c r="T30044" s="135"/>
      <c r="U30044" s="135"/>
    </row>
    <row r="30045" spans="20:21" ht="15" customHeight="1" x14ac:dyDescent="0.25">
      <c r="T30045" s="135"/>
      <c r="U30045" s="135"/>
    </row>
    <row r="30046" spans="20:21" ht="15" customHeight="1" x14ac:dyDescent="0.25">
      <c r="T30046" s="135"/>
      <c r="U30046" s="135"/>
    </row>
    <row r="30047" spans="20:21" ht="15" customHeight="1" x14ac:dyDescent="0.25">
      <c r="T30047" s="135"/>
      <c r="U30047" s="135"/>
    </row>
    <row r="30048" spans="20:21" ht="15" customHeight="1" x14ac:dyDescent="0.25">
      <c r="T30048" s="135"/>
      <c r="U30048" s="135"/>
    </row>
    <row r="30049" spans="20:21" ht="15" customHeight="1" x14ac:dyDescent="0.25">
      <c r="T30049" s="135"/>
      <c r="U30049" s="135"/>
    </row>
    <row r="30050" spans="20:21" ht="15" customHeight="1" x14ac:dyDescent="0.25">
      <c r="T30050" s="135"/>
      <c r="U30050" s="135"/>
    </row>
    <row r="30051" spans="20:21" ht="15" customHeight="1" x14ac:dyDescent="0.25">
      <c r="T30051" s="135"/>
      <c r="U30051" s="135"/>
    </row>
    <row r="30052" spans="20:21" ht="15" customHeight="1" x14ac:dyDescent="0.25">
      <c r="T30052" s="135"/>
      <c r="U30052" s="135"/>
    </row>
    <row r="30053" spans="20:21" ht="15" customHeight="1" x14ac:dyDescent="0.25">
      <c r="T30053" s="135"/>
      <c r="U30053" s="135"/>
    </row>
    <row r="30054" spans="20:21" ht="15" customHeight="1" x14ac:dyDescent="0.25">
      <c r="T30054" s="135"/>
      <c r="U30054" s="135"/>
    </row>
    <row r="30055" spans="20:21" ht="15" customHeight="1" x14ac:dyDescent="0.25">
      <c r="T30055" s="135"/>
      <c r="U30055" s="135"/>
    </row>
    <row r="30056" spans="20:21" ht="15" customHeight="1" x14ac:dyDescent="0.25">
      <c r="T30056" s="135"/>
      <c r="U30056" s="135"/>
    </row>
    <row r="30057" spans="20:21" ht="15" customHeight="1" x14ac:dyDescent="0.25">
      <c r="T30057" s="135"/>
      <c r="U30057" s="135"/>
    </row>
    <row r="30058" spans="20:21" ht="15" customHeight="1" x14ac:dyDescent="0.25">
      <c r="T30058" s="135"/>
      <c r="U30058" s="135"/>
    </row>
    <row r="30059" spans="20:21" ht="15" customHeight="1" x14ac:dyDescent="0.25">
      <c r="T30059" s="135"/>
      <c r="U30059" s="135"/>
    </row>
    <row r="30060" spans="20:21" ht="15" customHeight="1" x14ac:dyDescent="0.25">
      <c r="T30060" s="135"/>
      <c r="U30060" s="135"/>
    </row>
    <row r="30061" spans="20:21" ht="15" customHeight="1" x14ac:dyDescent="0.25">
      <c r="T30061" s="135"/>
      <c r="U30061" s="135"/>
    </row>
    <row r="30062" spans="20:21" ht="15" customHeight="1" x14ac:dyDescent="0.25">
      <c r="T30062" s="135"/>
      <c r="U30062" s="135"/>
    </row>
    <row r="30063" spans="20:21" ht="15" customHeight="1" x14ac:dyDescent="0.25">
      <c r="T30063" s="135"/>
      <c r="U30063" s="135"/>
    </row>
    <row r="30064" spans="20:21" ht="15" customHeight="1" x14ac:dyDescent="0.25">
      <c r="T30064" s="135"/>
      <c r="U30064" s="135"/>
    </row>
    <row r="30065" spans="20:21" ht="15" customHeight="1" x14ac:dyDescent="0.25">
      <c r="T30065" s="135"/>
      <c r="U30065" s="135"/>
    </row>
    <row r="30066" spans="20:21" ht="15" customHeight="1" x14ac:dyDescent="0.25">
      <c r="T30066" s="135"/>
      <c r="U30066" s="135"/>
    </row>
    <row r="30067" spans="20:21" ht="15" customHeight="1" x14ac:dyDescent="0.25">
      <c r="T30067" s="135"/>
      <c r="U30067" s="135"/>
    </row>
    <row r="30068" spans="20:21" ht="15" customHeight="1" x14ac:dyDescent="0.25">
      <c r="T30068" s="135"/>
      <c r="U30068" s="135"/>
    </row>
    <row r="30069" spans="20:21" ht="15" customHeight="1" x14ac:dyDescent="0.25">
      <c r="T30069" s="135"/>
      <c r="U30069" s="135"/>
    </row>
    <row r="30070" spans="20:21" ht="15" customHeight="1" x14ac:dyDescent="0.25">
      <c r="T30070" s="135"/>
      <c r="U30070" s="135"/>
    </row>
    <row r="30071" spans="20:21" ht="15" customHeight="1" x14ac:dyDescent="0.25">
      <c r="T30071" s="135"/>
      <c r="U30071" s="135"/>
    </row>
    <row r="30072" spans="20:21" ht="15" customHeight="1" x14ac:dyDescent="0.25">
      <c r="T30072" s="135"/>
      <c r="U30072" s="135"/>
    </row>
    <row r="30073" spans="20:21" ht="15" customHeight="1" x14ac:dyDescent="0.25">
      <c r="T30073" s="135"/>
      <c r="U30073" s="135"/>
    </row>
    <row r="30074" spans="20:21" ht="15" customHeight="1" x14ac:dyDescent="0.25">
      <c r="T30074" s="135"/>
      <c r="U30074" s="135"/>
    </row>
    <row r="30075" spans="20:21" ht="15" customHeight="1" x14ac:dyDescent="0.25">
      <c r="T30075" s="135"/>
      <c r="U30075" s="135"/>
    </row>
    <row r="30076" spans="20:21" ht="15" customHeight="1" x14ac:dyDescent="0.25">
      <c r="T30076" s="135"/>
      <c r="U30076" s="135"/>
    </row>
    <row r="30077" spans="20:21" ht="15" customHeight="1" x14ac:dyDescent="0.25">
      <c r="T30077" s="135"/>
      <c r="U30077" s="135"/>
    </row>
    <row r="30078" spans="20:21" ht="15" customHeight="1" x14ac:dyDescent="0.25">
      <c r="T30078" s="135"/>
      <c r="U30078" s="135"/>
    </row>
    <row r="30079" spans="20:21" ht="15" customHeight="1" x14ac:dyDescent="0.25">
      <c r="T30079" s="135"/>
      <c r="U30079" s="135"/>
    </row>
    <row r="30080" spans="20:21" ht="15" customHeight="1" x14ac:dyDescent="0.25">
      <c r="T30080" s="135"/>
      <c r="U30080" s="135"/>
    </row>
    <row r="30081" spans="20:21" ht="15" customHeight="1" x14ac:dyDescent="0.25">
      <c r="T30081" s="135"/>
      <c r="U30081" s="135"/>
    </row>
    <row r="30082" spans="20:21" ht="15" customHeight="1" x14ac:dyDescent="0.25">
      <c r="T30082" s="135"/>
      <c r="U30082" s="135"/>
    </row>
    <row r="30083" spans="20:21" ht="15" customHeight="1" x14ac:dyDescent="0.25">
      <c r="T30083" s="135"/>
      <c r="U30083" s="135"/>
    </row>
    <row r="30084" spans="20:21" ht="15" customHeight="1" x14ac:dyDescent="0.25">
      <c r="T30084" s="135"/>
      <c r="U30084" s="135"/>
    </row>
    <row r="30085" spans="20:21" ht="15" customHeight="1" x14ac:dyDescent="0.25">
      <c r="T30085" s="135"/>
      <c r="U30085" s="135"/>
    </row>
    <row r="30086" spans="20:21" ht="15" customHeight="1" x14ac:dyDescent="0.25">
      <c r="T30086" s="135"/>
      <c r="U30086" s="135"/>
    </row>
    <row r="30087" spans="20:21" ht="15" customHeight="1" x14ac:dyDescent="0.25">
      <c r="T30087" s="135"/>
      <c r="U30087" s="135"/>
    </row>
    <row r="30088" spans="20:21" ht="15" customHeight="1" x14ac:dyDescent="0.25">
      <c r="T30088" s="135"/>
      <c r="U30088" s="135"/>
    </row>
    <row r="30089" spans="20:21" ht="15" customHeight="1" x14ac:dyDescent="0.25">
      <c r="T30089" s="135"/>
      <c r="U30089" s="135"/>
    </row>
    <row r="30090" spans="20:21" ht="15" customHeight="1" x14ac:dyDescent="0.25">
      <c r="T30090" s="135"/>
      <c r="U30090" s="135"/>
    </row>
    <row r="30091" spans="20:21" ht="15" customHeight="1" x14ac:dyDescent="0.25">
      <c r="T30091" s="135"/>
      <c r="U30091" s="135"/>
    </row>
    <row r="30092" spans="20:21" ht="15" customHeight="1" x14ac:dyDescent="0.25">
      <c r="T30092" s="135"/>
      <c r="U30092" s="135"/>
    </row>
    <row r="30093" spans="20:21" ht="15" customHeight="1" x14ac:dyDescent="0.25">
      <c r="T30093" s="135"/>
      <c r="U30093" s="135"/>
    </row>
    <row r="30094" spans="20:21" ht="15" customHeight="1" x14ac:dyDescent="0.25">
      <c r="T30094" s="135"/>
      <c r="U30094" s="135"/>
    </row>
    <row r="30095" spans="20:21" ht="15" customHeight="1" x14ac:dyDescent="0.25">
      <c r="T30095" s="135"/>
      <c r="U30095" s="135"/>
    </row>
    <row r="30096" spans="20:21" ht="15" customHeight="1" x14ac:dyDescent="0.25">
      <c r="T30096" s="135"/>
      <c r="U30096" s="135"/>
    </row>
    <row r="30097" spans="20:21" ht="15" customHeight="1" x14ac:dyDescent="0.25">
      <c r="T30097" s="135"/>
      <c r="U30097" s="135"/>
    </row>
    <row r="30098" spans="20:21" ht="15" customHeight="1" x14ac:dyDescent="0.25">
      <c r="T30098" s="135"/>
      <c r="U30098" s="135"/>
    </row>
    <row r="30099" spans="20:21" ht="15" customHeight="1" x14ac:dyDescent="0.25">
      <c r="T30099" s="135"/>
      <c r="U30099" s="135"/>
    </row>
    <row r="30100" spans="20:21" ht="15" customHeight="1" x14ac:dyDescent="0.25">
      <c r="T30100" s="135"/>
      <c r="U30100" s="135"/>
    </row>
    <row r="30101" spans="20:21" ht="15" customHeight="1" x14ac:dyDescent="0.25">
      <c r="T30101" s="135"/>
      <c r="U30101" s="135"/>
    </row>
    <row r="30102" spans="20:21" ht="15" customHeight="1" x14ac:dyDescent="0.25">
      <c r="T30102" s="135"/>
      <c r="U30102" s="135"/>
    </row>
    <row r="30103" spans="20:21" ht="15" customHeight="1" x14ac:dyDescent="0.25">
      <c r="T30103" s="135"/>
      <c r="U30103" s="135"/>
    </row>
    <row r="30104" spans="20:21" ht="15" customHeight="1" x14ac:dyDescent="0.25">
      <c r="T30104" s="135"/>
      <c r="U30104" s="135"/>
    </row>
    <row r="30105" spans="20:21" ht="15" customHeight="1" x14ac:dyDescent="0.25">
      <c r="T30105" s="135"/>
      <c r="U30105" s="135"/>
    </row>
    <row r="30106" spans="20:21" ht="15" customHeight="1" x14ac:dyDescent="0.25">
      <c r="T30106" s="135"/>
      <c r="U30106" s="135"/>
    </row>
    <row r="30107" spans="20:21" ht="15" customHeight="1" x14ac:dyDescent="0.25">
      <c r="T30107" s="135"/>
      <c r="U30107" s="135"/>
    </row>
    <row r="30108" spans="20:21" ht="15" customHeight="1" x14ac:dyDescent="0.25">
      <c r="T30108" s="135"/>
      <c r="U30108" s="135"/>
    </row>
    <row r="30109" spans="20:21" ht="15" customHeight="1" x14ac:dyDescent="0.25">
      <c r="T30109" s="135"/>
      <c r="U30109" s="135"/>
    </row>
    <row r="30110" spans="20:21" ht="15" customHeight="1" x14ac:dyDescent="0.25">
      <c r="T30110" s="135"/>
      <c r="U30110" s="135"/>
    </row>
    <row r="30111" spans="20:21" ht="15" customHeight="1" x14ac:dyDescent="0.25">
      <c r="T30111" s="135"/>
      <c r="U30111" s="135"/>
    </row>
    <row r="30112" spans="20:21" ht="15" customHeight="1" x14ac:dyDescent="0.25">
      <c r="T30112" s="135"/>
      <c r="U30112" s="135"/>
    </row>
    <row r="30113" spans="20:21" ht="15" customHeight="1" x14ac:dyDescent="0.25">
      <c r="T30113" s="135"/>
      <c r="U30113" s="135"/>
    </row>
    <row r="30114" spans="20:21" ht="15" customHeight="1" x14ac:dyDescent="0.25">
      <c r="T30114" s="135"/>
      <c r="U30114" s="135"/>
    </row>
    <row r="30115" spans="20:21" ht="15" customHeight="1" x14ac:dyDescent="0.25">
      <c r="T30115" s="135"/>
      <c r="U30115" s="135"/>
    </row>
    <row r="30116" spans="20:21" ht="15" customHeight="1" x14ac:dyDescent="0.25">
      <c r="T30116" s="135"/>
      <c r="U30116" s="135"/>
    </row>
    <row r="30117" spans="20:21" ht="15" customHeight="1" x14ac:dyDescent="0.25">
      <c r="T30117" s="135"/>
      <c r="U30117" s="135"/>
    </row>
    <row r="30118" spans="20:21" ht="15" customHeight="1" x14ac:dyDescent="0.25">
      <c r="T30118" s="135"/>
      <c r="U30118" s="135"/>
    </row>
    <row r="30119" spans="20:21" ht="15" customHeight="1" x14ac:dyDescent="0.25">
      <c r="T30119" s="135"/>
      <c r="U30119" s="135"/>
    </row>
    <row r="30120" spans="20:21" ht="15" customHeight="1" x14ac:dyDescent="0.25">
      <c r="T30120" s="135"/>
      <c r="U30120" s="135"/>
    </row>
    <row r="30121" spans="20:21" ht="15" customHeight="1" x14ac:dyDescent="0.25">
      <c r="T30121" s="135"/>
      <c r="U30121" s="135"/>
    </row>
    <row r="30122" spans="20:21" ht="15" customHeight="1" x14ac:dyDescent="0.25">
      <c r="T30122" s="135"/>
      <c r="U30122" s="135"/>
    </row>
    <row r="30123" spans="20:21" ht="15" customHeight="1" x14ac:dyDescent="0.25">
      <c r="T30123" s="135"/>
      <c r="U30123" s="135"/>
    </row>
    <row r="30124" spans="20:21" ht="15" customHeight="1" x14ac:dyDescent="0.25">
      <c r="T30124" s="135"/>
      <c r="U30124" s="135"/>
    </row>
    <row r="30125" spans="20:21" ht="15" customHeight="1" x14ac:dyDescent="0.25">
      <c r="T30125" s="135"/>
      <c r="U30125" s="135"/>
    </row>
    <row r="30126" spans="20:21" ht="15" customHeight="1" x14ac:dyDescent="0.25">
      <c r="T30126" s="135"/>
      <c r="U30126" s="135"/>
    </row>
    <row r="30127" spans="20:21" ht="15" customHeight="1" x14ac:dyDescent="0.25">
      <c r="T30127" s="135"/>
      <c r="U30127" s="135"/>
    </row>
    <row r="30128" spans="20:21" ht="15" customHeight="1" x14ac:dyDescent="0.25">
      <c r="T30128" s="135"/>
      <c r="U30128" s="135"/>
    </row>
    <row r="30129" spans="20:21" ht="15" customHeight="1" x14ac:dyDescent="0.25">
      <c r="T30129" s="135"/>
      <c r="U30129" s="135"/>
    </row>
    <row r="30130" spans="20:21" ht="15" customHeight="1" x14ac:dyDescent="0.25">
      <c r="T30130" s="135"/>
      <c r="U30130" s="135"/>
    </row>
    <row r="30131" spans="20:21" ht="15" customHeight="1" x14ac:dyDescent="0.25">
      <c r="T30131" s="135"/>
      <c r="U30131" s="135"/>
    </row>
    <row r="30132" spans="20:21" ht="15" customHeight="1" x14ac:dyDescent="0.25">
      <c r="T30132" s="135"/>
      <c r="U30132" s="135"/>
    </row>
    <row r="30133" spans="20:21" ht="15" customHeight="1" x14ac:dyDescent="0.25">
      <c r="T30133" s="135"/>
      <c r="U30133" s="135"/>
    </row>
    <row r="30134" spans="20:21" ht="15" customHeight="1" x14ac:dyDescent="0.25">
      <c r="T30134" s="135"/>
      <c r="U30134" s="135"/>
    </row>
    <row r="30135" spans="20:21" ht="15" customHeight="1" x14ac:dyDescent="0.25">
      <c r="T30135" s="135"/>
      <c r="U30135" s="135"/>
    </row>
    <row r="30136" spans="20:21" ht="15" customHeight="1" x14ac:dyDescent="0.25">
      <c r="T30136" s="135"/>
      <c r="U30136" s="135"/>
    </row>
    <row r="30137" spans="20:21" ht="15" customHeight="1" x14ac:dyDescent="0.25">
      <c r="T30137" s="135"/>
      <c r="U30137" s="135"/>
    </row>
    <row r="30138" spans="20:21" ht="15" customHeight="1" x14ac:dyDescent="0.25">
      <c r="T30138" s="135"/>
      <c r="U30138" s="135"/>
    </row>
    <row r="30139" spans="20:21" ht="15" customHeight="1" x14ac:dyDescent="0.25">
      <c r="T30139" s="135"/>
      <c r="U30139" s="135"/>
    </row>
    <row r="30140" spans="20:21" ht="15" customHeight="1" x14ac:dyDescent="0.25">
      <c r="T30140" s="135"/>
      <c r="U30140" s="135"/>
    </row>
    <row r="30141" spans="20:21" ht="15" customHeight="1" x14ac:dyDescent="0.25">
      <c r="T30141" s="135"/>
      <c r="U30141" s="135"/>
    </row>
    <row r="30142" spans="20:21" ht="15" customHeight="1" x14ac:dyDescent="0.25">
      <c r="T30142" s="135"/>
      <c r="U30142" s="135"/>
    </row>
    <row r="30143" spans="20:21" ht="15" customHeight="1" x14ac:dyDescent="0.25">
      <c r="T30143" s="135"/>
      <c r="U30143" s="135"/>
    </row>
    <row r="30144" spans="20:21" ht="15" customHeight="1" x14ac:dyDescent="0.25">
      <c r="T30144" s="135"/>
      <c r="U30144" s="135"/>
    </row>
    <row r="30145" spans="20:21" ht="15" customHeight="1" x14ac:dyDescent="0.25">
      <c r="T30145" s="135"/>
      <c r="U30145" s="135"/>
    </row>
    <row r="30146" spans="20:21" ht="15" customHeight="1" x14ac:dyDescent="0.25">
      <c r="T30146" s="135"/>
      <c r="U30146" s="135"/>
    </row>
    <row r="30147" spans="20:21" ht="15" customHeight="1" x14ac:dyDescent="0.25">
      <c r="T30147" s="135"/>
      <c r="U30147" s="135"/>
    </row>
    <row r="30148" spans="20:21" ht="15" customHeight="1" x14ac:dyDescent="0.25">
      <c r="T30148" s="135"/>
      <c r="U30148" s="135"/>
    </row>
    <row r="30149" spans="20:21" ht="15" customHeight="1" x14ac:dyDescent="0.25">
      <c r="T30149" s="135"/>
      <c r="U30149" s="135"/>
    </row>
    <row r="30150" spans="20:21" ht="15" customHeight="1" x14ac:dyDescent="0.25">
      <c r="T30150" s="135"/>
      <c r="U30150" s="135"/>
    </row>
    <row r="30151" spans="20:21" ht="15" customHeight="1" x14ac:dyDescent="0.25">
      <c r="T30151" s="135"/>
      <c r="U30151" s="135"/>
    </row>
    <row r="30152" spans="20:21" ht="15" customHeight="1" x14ac:dyDescent="0.25">
      <c r="T30152" s="135"/>
      <c r="U30152" s="135"/>
    </row>
    <row r="30153" spans="20:21" ht="15" customHeight="1" x14ac:dyDescent="0.25">
      <c r="T30153" s="135"/>
      <c r="U30153" s="135"/>
    </row>
    <row r="30154" spans="20:21" ht="15" customHeight="1" x14ac:dyDescent="0.25">
      <c r="T30154" s="135"/>
      <c r="U30154" s="135"/>
    </row>
    <row r="30155" spans="20:21" ht="15" customHeight="1" x14ac:dyDescent="0.25">
      <c r="T30155" s="135"/>
      <c r="U30155" s="135"/>
    </row>
    <row r="30156" spans="20:21" ht="15" customHeight="1" x14ac:dyDescent="0.25">
      <c r="T30156" s="135"/>
      <c r="U30156" s="135"/>
    </row>
    <row r="30157" spans="20:21" ht="15" customHeight="1" x14ac:dyDescent="0.25">
      <c r="T30157" s="135"/>
      <c r="U30157" s="135"/>
    </row>
    <row r="30158" spans="20:21" ht="15" customHeight="1" x14ac:dyDescent="0.25">
      <c r="T30158" s="135"/>
      <c r="U30158" s="135"/>
    </row>
    <row r="30159" spans="20:21" ht="15" customHeight="1" x14ac:dyDescent="0.25">
      <c r="T30159" s="135"/>
      <c r="U30159" s="135"/>
    </row>
    <row r="30160" spans="20:21" ht="15" customHeight="1" x14ac:dyDescent="0.25">
      <c r="T30160" s="135"/>
      <c r="U30160" s="135"/>
    </row>
    <row r="30161" spans="20:21" ht="15" customHeight="1" x14ac:dyDescent="0.25">
      <c r="T30161" s="135"/>
      <c r="U30161" s="135"/>
    </row>
    <row r="30162" spans="20:21" ht="15" customHeight="1" x14ac:dyDescent="0.25">
      <c r="T30162" s="135"/>
      <c r="U30162" s="135"/>
    </row>
    <row r="30163" spans="20:21" ht="15" customHeight="1" x14ac:dyDescent="0.25">
      <c r="T30163" s="135"/>
      <c r="U30163" s="135"/>
    </row>
    <row r="30164" spans="20:21" ht="15" customHeight="1" x14ac:dyDescent="0.25">
      <c r="T30164" s="135"/>
      <c r="U30164" s="135"/>
    </row>
    <row r="30165" spans="20:21" ht="15" customHeight="1" x14ac:dyDescent="0.25">
      <c r="T30165" s="135"/>
      <c r="U30165" s="135"/>
    </row>
    <row r="30166" spans="20:21" ht="15" customHeight="1" x14ac:dyDescent="0.25">
      <c r="T30166" s="135"/>
      <c r="U30166" s="135"/>
    </row>
    <row r="30167" spans="20:21" ht="15" customHeight="1" x14ac:dyDescent="0.25">
      <c r="T30167" s="135"/>
      <c r="U30167" s="135"/>
    </row>
    <row r="30168" spans="20:21" ht="15" customHeight="1" x14ac:dyDescent="0.25">
      <c r="T30168" s="135"/>
      <c r="U30168" s="135"/>
    </row>
    <row r="30169" spans="20:21" ht="15" customHeight="1" x14ac:dyDescent="0.25">
      <c r="T30169" s="135"/>
      <c r="U30169" s="135"/>
    </row>
    <row r="30170" spans="20:21" ht="15" customHeight="1" x14ac:dyDescent="0.25">
      <c r="T30170" s="135"/>
      <c r="U30170" s="135"/>
    </row>
    <row r="30171" spans="20:21" ht="15" customHeight="1" x14ac:dyDescent="0.25">
      <c r="T30171" s="135"/>
      <c r="U30171" s="135"/>
    </row>
    <row r="30172" spans="20:21" ht="15" customHeight="1" x14ac:dyDescent="0.25">
      <c r="T30172" s="135"/>
      <c r="U30172" s="135"/>
    </row>
    <row r="30173" spans="20:21" ht="15" customHeight="1" x14ac:dyDescent="0.25">
      <c r="T30173" s="135"/>
      <c r="U30173" s="135"/>
    </row>
    <row r="30174" spans="20:21" ht="15" customHeight="1" x14ac:dyDescent="0.25">
      <c r="T30174" s="135"/>
      <c r="U30174" s="135"/>
    </row>
    <row r="30175" spans="20:21" ht="15" customHeight="1" x14ac:dyDescent="0.25">
      <c r="T30175" s="135"/>
      <c r="U30175" s="135"/>
    </row>
    <row r="30176" spans="20:21" ht="15" customHeight="1" x14ac:dyDescent="0.25">
      <c r="T30176" s="135"/>
      <c r="U30176" s="135"/>
    </row>
    <row r="30177" spans="20:21" ht="15" customHeight="1" x14ac:dyDescent="0.25">
      <c r="T30177" s="135"/>
      <c r="U30177" s="135"/>
    </row>
    <row r="30178" spans="20:21" ht="15" customHeight="1" x14ac:dyDescent="0.25">
      <c r="T30178" s="135"/>
      <c r="U30178" s="135"/>
    </row>
    <row r="30179" spans="20:21" ht="15" customHeight="1" x14ac:dyDescent="0.25">
      <c r="T30179" s="135"/>
      <c r="U30179" s="135"/>
    </row>
    <row r="30180" spans="20:21" ht="15" customHeight="1" x14ac:dyDescent="0.25">
      <c r="T30180" s="135"/>
      <c r="U30180" s="135"/>
    </row>
    <row r="30181" spans="20:21" ht="15" customHeight="1" x14ac:dyDescent="0.25">
      <c r="T30181" s="135"/>
      <c r="U30181" s="135"/>
    </row>
    <row r="30182" spans="20:21" ht="15" customHeight="1" x14ac:dyDescent="0.25">
      <c r="T30182" s="135"/>
      <c r="U30182" s="135"/>
    </row>
    <row r="30183" spans="20:21" ht="15" customHeight="1" x14ac:dyDescent="0.25">
      <c r="T30183" s="135"/>
      <c r="U30183" s="135"/>
    </row>
    <row r="30184" spans="20:21" ht="15" customHeight="1" x14ac:dyDescent="0.25">
      <c r="T30184" s="135"/>
      <c r="U30184" s="135"/>
    </row>
    <row r="30185" spans="20:21" ht="15" customHeight="1" x14ac:dyDescent="0.25">
      <c r="T30185" s="135"/>
      <c r="U30185" s="135"/>
    </row>
    <row r="30186" spans="20:21" ht="15" customHeight="1" x14ac:dyDescent="0.25">
      <c r="T30186" s="135"/>
      <c r="U30186" s="135"/>
    </row>
    <row r="30187" spans="20:21" ht="15" customHeight="1" x14ac:dyDescent="0.25">
      <c r="T30187" s="135"/>
      <c r="U30187" s="135"/>
    </row>
    <row r="30188" spans="20:21" ht="15" customHeight="1" x14ac:dyDescent="0.25">
      <c r="T30188" s="135"/>
      <c r="U30188" s="135"/>
    </row>
    <row r="30189" spans="20:21" ht="15" customHeight="1" x14ac:dyDescent="0.25">
      <c r="T30189" s="135"/>
      <c r="U30189" s="135"/>
    </row>
    <row r="30190" spans="20:21" ht="15" customHeight="1" x14ac:dyDescent="0.25">
      <c r="T30190" s="135"/>
      <c r="U30190" s="135"/>
    </row>
    <row r="30191" spans="20:21" ht="15" customHeight="1" x14ac:dyDescent="0.25">
      <c r="T30191" s="135"/>
      <c r="U30191" s="135"/>
    </row>
    <row r="30192" spans="20:21" ht="15" customHeight="1" x14ac:dyDescent="0.25">
      <c r="T30192" s="135"/>
      <c r="U30192" s="135"/>
    </row>
    <row r="30193" spans="20:21" ht="15" customHeight="1" x14ac:dyDescent="0.25">
      <c r="T30193" s="135"/>
      <c r="U30193" s="135"/>
    </row>
    <row r="30194" spans="20:21" ht="15" customHeight="1" x14ac:dyDescent="0.25">
      <c r="T30194" s="135"/>
      <c r="U30194" s="135"/>
    </row>
    <row r="30195" spans="20:21" ht="15" customHeight="1" x14ac:dyDescent="0.25">
      <c r="T30195" s="135"/>
      <c r="U30195" s="135"/>
    </row>
    <row r="30196" spans="20:21" ht="15" customHeight="1" x14ac:dyDescent="0.25">
      <c r="T30196" s="135"/>
      <c r="U30196" s="135"/>
    </row>
    <row r="30197" spans="20:21" ht="15" customHeight="1" x14ac:dyDescent="0.25">
      <c r="T30197" s="135"/>
      <c r="U30197" s="135"/>
    </row>
    <row r="30198" spans="20:21" ht="15" customHeight="1" x14ac:dyDescent="0.25">
      <c r="T30198" s="135"/>
      <c r="U30198" s="135"/>
    </row>
    <row r="30199" spans="20:21" ht="15" customHeight="1" x14ac:dyDescent="0.25">
      <c r="T30199" s="135"/>
      <c r="U30199" s="135"/>
    </row>
    <row r="30200" spans="20:21" ht="15" customHeight="1" x14ac:dyDescent="0.25">
      <c r="T30200" s="135"/>
      <c r="U30200" s="135"/>
    </row>
    <row r="30201" spans="20:21" ht="15" customHeight="1" x14ac:dyDescent="0.25">
      <c r="T30201" s="135"/>
      <c r="U30201" s="135"/>
    </row>
    <row r="30202" spans="20:21" ht="15" customHeight="1" x14ac:dyDescent="0.25">
      <c r="T30202" s="135"/>
      <c r="U30202" s="135"/>
    </row>
    <row r="30203" spans="20:21" ht="15" customHeight="1" x14ac:dyDescent="0.25">
      <c r="T30203" s="135"/>
      <c r="U30203" s="135"/>
    </row>
    <row r="30204" spans="20:21" ht="15" customHeight="1" x14ac:dyDescent="0.25">
      <c r="T30204" s="135"/>
      <c r="U30204" s="135"/>
    </row>
    <row r="30205" spans="20:21" ht="15" customHeight="1" x14ac:dyDescent="0.25">
      <c r="T30205" s="135"/>
      <c r="U30205" s="135"/>
    </row>
    <row r="30206" spans="20:21" ht="15" customHeight="1" x14ac:dyDescent="0.25">
      <c r="T30206" s="135"/>
      <c r="U30206" s="135"/>
    </row>
    <row r="30207" spans="20:21" ht="15" customHeight="1" x14ac:dyDescent="0.25">
      <c r="T30207" s="135"/>
      <c r="U30207" s="135"/>
    </row>
    <row r="30208" spans="20:21" ht="15" customHeight="1" x14ac:dyDescent="0.25">
      <c r="T30208" s="135"/>
      <c r="U30208" s="135"/>
    </row>
    <row r="30209" spans="20:21" ht="15" customHeight="1" x14ac:dyDescent="0.25">
      <c r="T30209" s="135"/>
      <c r="U30209" s="135"/>
    </row>
    <row r="30210" spans="20:21" ht="15" customHeight="1" x14ac:dyDescent="0.25">
      <c r="T30210" s="135"/>
      <c r="U30210" s="135"/>
    </row>
    <row r="30211" spans="20:21" ht="15" customHeight="1" x14ac:dyDescent="0.25">
      <c r="T30211" s="135"/>
      <c r="U30211" s="135"/>
    </row>
    <row r="30212" spans="20:21" ht="15" customHeight="1" x14ac:dyDescent="0.25">
      <c r="T30212" s="135"/>
      <c r="U30212" s="135"/>
    </row>
    <row r="30213" spans="20:21" ht="15" customHeight="1" x14ac:dyDescent="0.25">
      <c r="T30213" s="135"/>
      <c r="U30213" s="135"/>
    </row>
    <row r="30214" spans="20:21" ht="15" customHeight="1" x14ac:dyDescent="0.25">
      <c r="T30214" s="135"/>
      <c r="U30214" s="135"/>
    </row>
    <row r="30215" spans="20:21" ht="15" customHeight="1" x14ac:dyDescent="0.25">
      <c r="T30215" s="135"/>
      <c r="U30215" s="135"/>
    </row>
    <row r="30216" spans="20:21" ht="15" customHeight="1" x14ac:dyDescent="0.25">
      <c r="T30216" s="135"/>
      <c r="U30216" s="135"/>
    </row>
    <row r="30217" spans="20:21" ht="15" customHeight="1" x14ac:dyDescent="0.25">
      <c r="T30217" s="135"/>
      <c r="U30217" s="135"/>
    </row>
    <row r="30218" spans="20:21" ht="15" customHeight="1" x14ac:dyDescent="0.25">
      <c r="T30218" s="135"/>
      <c r="U30218" s="135"/>
    </row>
    <row r="30219" spans="20:21" ht="15" customHeight="1" x14ac:dyDescent="0.25">
      <c r="T30219" s="135"/>
      <c r="U30219" s="135"/>
    </row>
    <row r="30220" spans="20:21" ht="15" customHeight="1" x14ac:dyDescent="0.25">
      <c r="T30220" s="135"/>
      <c r="U30220" s="135"/>
    </row>
    <row r="30221" spans="20:21" ht="15" customHeight="1" x14ac:dyDescent="0.25">
      <c r="T30221" s="135"/>
      <c r="U30221" s="135"/>
    </row>
    <row r="30222" spans="20:21" ht="15" customHeight="1" x14ac:dyDescent="0.25">
      <c r="T30222" s="135"/>
      <c r="U30222" s="135"/>
    </row>
    <row r="30223" spans="20:21" ht="15" customHeight="1" x14ac:dyDescent="0.25">
      <c r="T30223" s="135"/>
      <c r="U30223" s="135"/>
    </row>
    <row r="30224" spans="20:21" ht="15" customHeight="1" x14ac:dyDescent="0.25">
      <c r="T30224" s="135"/>
      <c r="U30224" s="135"/>
    </row>
    <row r="30225" spans="20:21" ht="15" customHeight="1" x14ac:dyDescent="0.25">
      <c r="T30225" s="135"/>
      <c r="U30225" s="135"/>
    </row>
    <row r="30226" spans="20:21" ht="15" customHeight="1" x14ac:dyDescent="0.25">
      <c r="T30226" s="135"/>
      <c r="U30226" s="135"/>
    </row>
    <row r="30227" spans="20:21" ht="15" customHeight="1" x14ac:dyDescent="0.25">
      <c r="T30227" s="135"/>
      <c r="U30227" s="135"/>
    </row>
    <row r="30228" spans="20:21" ht="15" customHeight="1" x14ac:dyDescent="0.25">
      <c r="T30228" s="135"/>
      <c r="U30228" s="135"/>
    </row>
    <row r="30229" spans="20:21" ht="15" customHeight="1" x14ac:dyDescent="0.25">
      <c r="T30229" s="135"/>
      <c r="U30229" s="135"/>
    </row>
    <row r="30230" spans="20:21" ht="15" customHeight="1" x14ac:dyDescent="0.25">
      <c r="T30230" s="135"/>
      <c r="U30230" s="135"/>
    </row>
    <row r="30231" spans="20:21" ht="15" customHeight="1" x14ac:dyDescent="0.25">
      <c r="T30231" s="135"/>
      <c r="U30231" s="135"/>
    </row>
    <row r="30232" spans="20:21" ht="15" customHeight="1" x14ac:dyDescent="0.25">
      <c r="T30232" s="135"/>
      <c r="U30232" s="135"/>
    </row>
    <row r="30233" spans="20:21" ht="15" customHeight="1" x14ac:dyDescent="0.25">
      <c r="T30233" s="135"/>
      <c r="U30233" s="135"/>
    </row>
    <row r="30234" spans="20:21" ht="15" customHeight="1" x14ac:dyDescent="0.25">
      <c r="T30234" s="135"/>
      <c r="U30234" s="135"/>
    </row>
    <row r="30235" spans="20:21" ht="15" customHeight="1" x14ac:dyDescent="0.25">
      <c r="T30235" s="135"/>
      <c r="U30235" s="135"/>
    </row>
    <row r="30236" spans="20:21" ht="15" customHeight="1" x14ac:dyDescent="0.25">
      <c r="T30236" s="135"/>
      <c r="U30236" s="135"/>
    </row>
    <row r="30237" spans="20:21" ht="15" customHeight="1" x14ac:dyDescent="0.25">
      <c r="T30237" s="135"/>
      <c r="U30237" s="135"/>
    </row>
    <row r="30238" spans="20:21" ht="15" customHeight="1" x14ac:dyDescent="0.25">
      <c r="T30238" s="135"/>
      <c r="U30238" s="135"/>
    </row>
    <row r="30239" spans="20:21" ht="15" customHeight="1" x14ac:dyDescent="0.25">
      <c r="T30239" s="135"/>
      <c r="U30239" s="135"/>
    </row>
    <row r="30240" spans="20:21" ht="15" customHeight="1" x14ac:dyDescent="0.25">
      <c r="T30240" s="135"/>
      <c r="U30240" s="135"/>
    </row>
    <row r="30241" spans="20:21" ht="15" customHeight="1" x14ac:dyDescent="0.25">
      <c r="T30241" s="135"/>
      <c r="U30241" s="135"/>
    </row>
    <row r="30242" spans="20:21" ht="15" customHeight="1" x14ac:dyDescent="0.25">
      <c r="T30242" s="135"/>
      <c r="U30242" s="135"/>
    </row>
    <row r="30243" spans="20:21" ht="15" customHeight="1" x14ac:dyDescent="0.25">
      <c r="T30243" s="135"/>
      <c r="U30243" s="135"/>
    </row>
    <row r="30244" spans="20:21" ht="15" customHeight="1" x14ac:dyDescent="0.25">
      <c r="T30244" s="135"/>
      <c r="U30244" s="135"/>
    </row>
    <row r="30245" spans="20:21" ht="15" customHeight="1" x14ac:dyDescent="0.25">
      <c r="T30245" s="135"/>
      <c r="U30245" s="135"/>
    </row>
    <row r="30246" spans="20:21" ht="15" customHeight="1" x14ac:dyDescent="0.25">
      <c r="T30246" s="135"/>
      <c r="U30246" s="135"/>
    </row>
    <row r="30247" spans="20:21" ht="15" customHeight="1" x14ac:dyDescent="0.25">
      <c r="T30247" s="135"/>
      <c r="U30247" s="135"/>
    </row>
    <row r="30248" spans="20:21" ht="15" customHeight="1" x14ac:dyDescent="0.25">
      <c r="T30248" s="135"/>
      <c r="U30248" s="135"/>
    </row>
    <row r="30249" spans="20:21" ht="15" customHeight="1" x14ac:dyDescent="0.25">
      <c r="T30249" s="135"/>
      <c r="U30249" s="135"/>
    </row>
    <row r="30250" spans="20:21" ht="15" customHeight="1" x14ac:dyDescent="0.25">
      <c r="T30250" s="135"/>
      <c r="U30250" s="135"/>
    </row>
    <row r="30251" spans="20:21" ht="15" customHeight="1" x14ac:dyDescent="0.25">
      <c r="T30251" s="135"/>
      <c r="U30251" s="135"/>
    </row>
    <row r="30252" spans="20:21" ht="15" customHeight="1" x14ac:dyDescent="0.25">
      <c r="T30252" s="135"/>
      <c r="U30252" s="135"/>
    </row>
    <row r="30253" spans="20:21" ht="15" customHeight="1" x14ac:dyDescent="0.25">
      <c r="T30253" s="135"/>
      <c r="U30253" s="135"/>
    </row>
    <row r="30254" spans="20:21" ht="15" customHeight="1" x14ac:dyDescent="0.25">
      <c r="T30254" s="135"/>
      <c r="U30254" s="135"/>
    </row>
    <row r="30255" spans="20:21" ht="15" customHeight="1" x14ac:dyDescent="0.25">
      <c r="T30255" s="135"/>
      <c r="U30255" s="135"/>
    </row>
    <row r="30256" spans="20:21" ht="15" customHeight="1" x14ac:dyDescent="0.25">
      <c r="T30256" s="135"/>
      <c r="U30256" s="135"/>
    </row>
    <row r="30257" spans="20:21" ht="15" customHeight="1" x14ac:dyDescent="0.25">
      <c r="T30257" s="135"/>
      <c r="U30257" s="135"/>
    </row>
    <row r="30258" spans="20:21" ht="15" customHeight="1" x14ac:dyDescent="0.25">
      <c r="T30258" s="135"/>
      <c r="U30258" s="135"/>
    </row>
    <row r="30259" spans="20:21" ht="15" customHeight="1" x14ac:dyDescent="0.25">
      <c r="T30259" s="135"/>
      <c r="U30259" s="135"/>
    </row>
    <row r="30260" spans="20:21" ht="15" customHeight="1" x14ac:dyDescent="0.25">
      <c r="T30260" s="135"/>
      <c r="U30260" s="135"/>
    </row>
    <row r="30261" spans="20:21" ht="15" customHeight="1" x14ac:dyDescent="0.25">
      <c r="T30261" s="135"/>
      <c r="U30261" s="135"/>
    </row>
    <row r="30262" spans="20:21" ht="15" customHeight="1" x14ac:dyDescent="0.25">
      <c r="T30262" s="135"/>
      <c r="U30262" s="135"/>
    </row>
    <row r="30263" spans="20:21" ht="15" customHeight="1" x14ac:dyDescent="0.25">
      <c r="T30263" s="135"/>
      <c r="U30263" s="135"/>
    </row>
    <row r="30264" spans="20:21" ht="15" customHeight="1" x14ac:dyDescent="0.25">
      <c r="T30264" s="135"/>
      <c r="U30264" s="135"/>
    </row>
    <row r="30265" spans="20:21" ht="15" customHeight="1" x14ac:dyDescent="0.25">
      <c r="T30265" s="135"/>
      <c r="U30265" s="135"/>
    </row>
    <row r="30266" spans="20:21" ht="15" customHeight="1" x14ac:dyDescent="0.25">
      <c r="T30266" s="135"/>
      <c r="U30266" s="135"/>
    </row>
    <row r="30267" spans="20:21" ht="15" customHeight="1" x14ac:dyDescent="0.25">
      <c r="T30267" s="135"/>
      <c r="U30267" s="135"/>
    </row>
    <row r="30268" spans="20:21" ht="15" customHeight="1" x14ac:dyDescent="0.25">
      <c r="T30268" s="135"/>
      <c r="U30268" s="135"/>
    </row>
    <row r="30269" spans="20:21" ht="15" customHeight="1" x14ac:dyDescent="0.25">
      <c r="T30269" s="135"/>
      <c r="U30269" s="135"/>
    </row>
    <row r="30270" spans="20:21" ht="15" customHeight="1" x14ac:dyDescent="0.25">
      <c r="T30270" s="135"/>
      <c r="U30270" s="135"/>
    </row>
    <row r="30271" spans="20:21" ht="15" customHeight="1" x14ac:dyDescent="0.25">
      <c r="T30271" s="135"/>
      <c r="U30271" s="135"/>
    </row>
    <row r="30272" spans="20:21" ht="15" customHeight="1" x14ac:dyDescent="0.25">
      <c r="T30272" s="135"/>
      <c r="U30272" s="135"/>
    </row>
    <row r="30273" spans="20:21" ht="15" customHeight="1" x14ac:dyDescent="0.25">
      <c r="T30273" s="135"/>
      <c r="U30273" s="135"/>
    </row>
    <row r="30274" spans="20:21" ht="15" customHeight="1" x14ac:dyDescent="0.25">
      <c r="T30274" s="135"/>
      <c r="U30274" s="135"/>
    </row>
    <row r="30275" spans="20:21" ht="15" customHeight="1" x14ac:dyDescent="0.25">
      <c r="T30275" s="135"/>
      <c r="U30275" s="135"/>
    </row>
    <row r="30276" spans="20:21" ht="15" customHeight="1" x14ac:dyDescent="0.25">
      <c r="T30276" s="135"/>
      <c r="U30276" s="135"/>
    </row>
    <row r="30277" spans="20:21" ht="15" customHeight="1" x14ac:dyDescent="0.25">
      <c r="T30277" s="135"/>
      <c r="U30277" s="135"/>
    </row>
    <row r="30278" spans="20:21" ht="15" customHeight="1" x14ac:dyDescent="0.25">
      <c r="T30278" s="135"/>
      <c r="U30278" s="135"/>
    </row>
    <row r="30279" spans="20:21" ht="15" customHeight="1" x14ac:dyDescent="0.25">
      <c r="T30279" s="135"/>
      <c r="U30279" s="135"/>
    </row>
    <row r="30280" spans="20:21" ht="15" customHeight="1" x14ac:dyDescent="0.25">
      <c r="T30280" s="135"/>
      <c r="U30280" s="135"/>
    </row>
    <row r="30281" spans="20:21" ht="15" customHeight="1" x14ac:dyDescent="0.25">
      <c r="T30281" s="135"/>
      <c r="U30281" s="135"/>
    </row>
    <row r="30282" spans="20:21" ht="15" customHeight="1" x14ac:dyDescent="0.25">
      <c r="T30282" s="135"/>
      <c r="U30282" s="135"/>
    </row>
    <row r="30283" spans="20:21" ht="15" customHeight="1" x14ac:dyDescent="0.25">
      <c r="T30283" s="135"/>
      <c r="U30283" s="135"/>
    </row>
    <row r="30284" spans="20:21" ht="15" customHeight="1" x14ac:dyDescent="0.25">
      <c r="T30284" s="135"/>
      <c r="U30284" s="135"/>
    </row>
    <row r="30285" spans="20:21" ht="15" customHeight="1" x14ac:dyDescent="0.25">
      <c r="T30285" s="135"/>
      <c r="U30285" s="135"/>
    </row>
    <row r="30286" spans="20:21" ht="15" customHeight="1" x14ac:dyDescent="0.25">
      <c r="T30286" s="135"/>
      <c r="U30286" s="135"/>
    </row>
    <row r="30287" spans="20:21" ht="15" customHeight="1" x14ac:dyDescent="0.25">
      <c r="T30287" s="135"/>
      <c r="U30287" s="135"/>
    </row>
    <row r="30288" spans="20:21" ht="15" customHeight="1" x14ac:dyDescent="0.25">
      <c r="T30288" s="135"/>
      <c r="U30288" s="135"/>
    </row>
    <row r="30289" spans="20:21" ht="15" customHeight="1" x14ac:dyDescent="0.25">
      <c r="T30289" s="135"/>
      <c r="U30289" s="135"/>
    </row>
    <row r="30290" spans="20:21" ht="15" customHeight="1" x14ac:dyDescent="0.25">
      <c r="T30290" s="135"/>
      <c r="U30290" s="135"/>
    </row>
    <row r="30291" spans="20:21" ht="15" customHeight="1" x14ac:dyDescent="0.25">
      <c r="T30291" s="135"/>
      <c r="U30291" s="135"/>
    </row>
    <row r="30292" spans="20:21" ht="15" customHeight="1" x14ac:dyDescent="0.25">
      <c r="T30292" s="135"/>
      <c r="U30292" s="135"/>
    </row>
    <row r="30293" spans="20:21" ht="15" customHeight="1" x14ac:dyDescent="0.25">
      <c r="T30293" s="135"/>
      <c r="U30293" s="135"/>
    </row>
    <row r="30294" spans="20:21" ht="15" customHeight="1" x14ac:dyDescent="0.25">
      <c r="T30294" s="135"/>
      <c r="U30294" s="135"/>
    </row>
    <row r="30295" spans="20:21" ht="15" customHeight="1" x14ac:dyDescent="0.25">
      <c r="T30295" s="135"/>
      <c r="U30295" s="135"/>
    </row>
    <row r="30296" spans="20:21" ht="15" customHeight="1" x14ac:dyDescent="0.25">
      <c r="T30296" s="135"/>
      <c r="U30296" s="135"/>
    </row>
    <row r="30297" spans="20:21" ht="15" customHeight="1" x14ac:dyDescent="0.25">
      <c r="T30297" s="135"/>
      <c r="U30297" s="135"/>
    </row>
    <row r="30298" spans="20:21" ht="15" customHeight="1" x14ac:dyDescent="0.25">
      <c r="T30298" s="135"/>
      <c r="U30298" s="135"/>
    </row>
    <row r="30299" spans="20:21" ht="15" customHeight="1" x14ac:dyDescent="0.25">
      <c r="T30299" s="135"/>
      <c r="U30299" s="135"/>
    </row>
    <row r="30300" spans="20:21" ht="15" customHeight="1" x14ac:dyDescent="0.25">
      <c r="T30300" s="135"/>
      <c r="U30300" s="135"/>
    </row>
    <row r="30301" spans="20:21" ht="15" customHeight="1" x14ac:dyDescent="0.25">
      <c r="T30301" s="135"/>
      <c r="U30301" s="135"/>
    </row>
    <row r="30302" spans="20:21" ht="15" customHeight="1" x14ac:dyDescent="0.25">
      <c r="T30302" s="135"/>
      <c r="U30302" s="135"/>
    </row>
    <row r="30303" spans="20:21" ht="15" customHeight="1" x14ac:dyDescent="0.25">
      <c r="T30303" s="135"/>
      <c r="U30303" s="135"/>
    </row>
    <row r="30304" spans="20:21" ht="15" customHeight="1" x14ac:dyDescent="0.25">
      <c r="T30304" s="135"/>
      <c r="U30304" s="135"/>
    </row>
    <row r="30305" spans="20:21" ht="15" customHeight="1" x14ac:dyDescent="0.25">
      <c r="T30305" s="135"/>
      <c r="U30305" s="135"/>
    </row>
    <row r="30306" spans="20:21" ht="15" customHeight="1" x14ac:dyDescent="0.25">
      <c r="T30306" s="135"/>
      <c r="U30306" s="135"/>
    </row>
    <row r="30307" spans="20:21" ht="15" customHeight="1" x14ac:dyDescent="0.25">
      <c r="T30307" s="135"/>
      <c r="U30307" s="135"/>
    </row>
    <row r="30308" spans="20:21" ht="15" customHeight="1" x14ac:dyDescent="0.25">
      <c r="T30308" s="135"/>
      <c r="U30308" s="135"/>
    </row>
    <row r="30309" spans="20:21" ht="15" customHeight="1" x14ac:dyDescent="0.25">
      <c r="T30309" s="135"/>
      <c r="U30309" s="135"/>
    </row>
    <row r="30310" spans="20:21" ht="15" customHeight="1" x14ac:dyDescent="0.25">
      <c r="T30310" s="135"/>
      <c r="U30310" s="135"/>
    </row>
    <row r="30311" spans="20:21" ht="15" customHeight="1" x14ac:dyDescent="0.25">
      <c r="T30311" s="135"/>
      <c r="U30311" s="135"/>
    </row>
    <row r="30312" spans="20:21" ht="15" customHeight="1" x14ac:dyDescent="0.25">
      <c r="T30312" s="135"/>
      <c r="U30312" s="135"/>
    </row>
    <row r="30313" spans="20:21" ht="15" customHeight="1" x14ac:dyDescent="0.25">
      <c r="T30313" s="135"/>
      <c r="U30313" s="135"/>
    </row>
    <row r="30314" spans="20:21" ht="15" customHeight="1" x14ac:dyDescent="0.25">
      <c r="T30314" s="135"/>
      <c r="U30314" s="135"/>
    </row>
    <row r="30315" spans="20:21" ht="15" customHeight="1" x14ac:dyDescent="0.25">
      <c r="T30315" s="135"/>
      <c r="U30315" s="135"/>
    </row>
    <row r="30316" spans="20:21" ht="15" customHeight="1" x14ac:dyDescent="0.25">
      <c r="T30316" s="135"/>
      <c r="U30316" s="135"/>
    </row>
    <row r="30317" spans="20:21" ht="15" customHeight="1" x14ac:dyDescent="0.25">
      <c r="T30317" s="135"/>
      <c r="U30317" s="135"/>
    </row>
    <row r="30318" spans="20:21" ht="15" customHeight="1" x14ac:dyDescent="0.25">
      <c r="T30318" s="135"/>
      <c r="U30318" s="135"/>
    </row>
    <row r="30319" spans="20:21" ht="15" customHeight="1" x14ac:dyDescent="0.25">
      <c r="T30319" s="135"/>
      <c r="U30319" s="135"/>
    </row>
    <row r="30320" spans="20:21" ht="15" customHeight="1" x14ac:dyDescent="0.25">
      <c r="T30320" s="135"/>
      <c r="U30320" s="135"/>
    </row>
    <row r="30321" spans="20:21" ht="15" customHeight="1" x14ac:dyDescent="0.25">
      <c r="T30321" s="135"/>
      <c r="U30321" s="135"/>
    </row>
    <row r="30322" spans="20:21" ht="15" customHeight="1" x14ac:dyDescent="0.25">
      <c r="T30322" s="135"/>
      <c r="U30322" s="135"/>
    </row>
    <row r="30323" spans="20:21" ht="15" customHeight="1" x14ac:dyDescent="0.25">
      <c r="T30323" s="135"/>
      <c r="U30323" s="135"/>
    </row>
    <row r="30324" spans="20:21" ht="15" customHeight="1" x14ac:dyDescent="0.25">
      <c r="T30324" s="135"/>
      <c r="U30324" s="135"/>
    </row>
    <row r="30325" spans="20:21" ht="15" customHeight="1" x14ac:dyDescent="0.25">
      <c r="T30325" s="135"/>
      <c r="U30325" s="135"/>
    </row>
    <row r="30326" spans="20:21" ht="15" customHeight="1" x14ac:dyDescent="0.25">
      <c r="T30326" s="135"/>
      <c r="U30326" s="135"/>
    </row>
    <row r="30327" spans="20:21" ht="15" customHeight="1" x14ac:dyDescent="0.25">
      <c r="T30327" s="135"/>
      <c r="U30327" s="135"/>
    </row>
    <row r="30328" spans="20:21" ht="15" customHeight="1" x14ac:dyDescent="0.25">
      <c r="T30328" s="135"/>
      <c r="U30328" s="135"/>
    </row>
    <row r="30329" spans="20:21" ht="15" customHeight="1" x14ac:dyDescent="0.25">
      <c r="T30329" s="135"/>
      <c r="U30329" s="135"/>
    </row>
    <row r="30330" spans="20:21" ht="15" customHeight="1" x14ac:dyDescent="0.25">
      <c r="T30330" s="135"/>
      <c r="U30330" s="135"/>
    </row>
    <row r="30331" spans="20:21" ht="15" customHeight="1" x14ac:dyDescent="0.25">
      <c r="T30331" s="135"/>
      <c r="U30331" s="135"/>
    </row>
    <row r="30332" spans="20:21" ht="15" customHeight="1" x14ac:dyDescent="0.25">
      <c r="T30332" s="135"/>
      <c r="U30332" s="135"/>
    </row>
    <row r="30333" spans="20:21" ht="15" customHeight="1" x14ac:dyDescent="0.25">
      <c r="T30333" s="135"/>
      <c r="U30333" s="135"/>
    </row>
    <row r="30334" spans="20:21" ht="15" customHeight="1" x14ac:dyDescent="0.25">
      <c r="T30334" s="135"/>
      <c r="U30334" s="135"/>
    </row>
    <row r="30335" spans="20:21" ht="15" customHeight="1" x14ac:dyDescent="0.25">
      <c r="T30335" s="135"/>
      <c r="U30335" s="135"/>
    </row>
    <row r="30336" spans="20:21" ht="15" customHeight="1" x14ac:dyDescent="0.25">
      <c r="T30336" s="135"/>
      <c r="U30336" s="135"/>
    </row>
    <row r="30337" spans="20:21" ht="15" customHeight="1" x14ac:dyDescent="0.25">
      <c r="T30337" s="135"/>
      <c r="U30337" s="135"/>
    </row>
    <row r="30338" spans="20:21" ht="15" customHeight="1" x14ac:dyDescent="0.25">
      <c r="T30338" s="135"/>
      <c r="U30338" s="135"/>
    </row>
    <row r="30339" spans="20:21" ht="15" customHeight="1" x14ac:dyDescent="0.25">
      <c r="T30339" s="135"/>
      <c r="U30339" s="135"/>
    </row>
    <row r="30340" spans="20:21" ht="15" customHeight="1" x14ac:dyDescent="0.25">
      <c r="T30340" s="135"/>
      <c r="U30340" s="135"/>
    </row>
    <row r="30341" spans="20:21" ht="15" customHeight="1" x14ac:dyDescent="0.25">
      <c r="T30341" s="135"/>
      <c r="U30341" s="135"/>
    </row>
    <row r="30342" spans="20:21" ht="15" customHeight="1" x14ac:dyDescent="0.25">
      <c r="T30342" s="135"/>
      <c r="U30342" s="135"/>
    </row>
    <row r="30343" spans="20:21" ht="15" customHeight="1" x14ac:dyDescent="0.25">
      <c r="T30343" s="135"/>
      <c r="U30343" s="135"/>
    </row>
    <row r="30344" spans="20:21" ht="15" customHeight="1" x14ac:dyDescent="0.25">
      <c r="T30344" s="135"/>
      <c r="U30344" s="135"/>
    </row>
    <row r="30345" spans="20:21" ht="15" customHeight="1" x14ac:dyDescent="0.25">
      <c r="T30345" s="135"/>
      <c r="U30345" s="135"/>
    </row>
    <row r="30346" spans="20:21" ht="15" customHeight="1" x14ac:dyDescent="0.25">
      <c r="T30346" s="135"/>
      <c r="U30346" s="135"/>
    </row>
    <row r="30347" spans="20:21" ht="15" customHeight="1" x14ac:dyDescent="0.25">
      <c r="T30347" s="135"/>
      <c r="U30347" s="135"/>
    </row>
    <row r="30348" spans="20:21" ht="15" customHeight="1" x14ac:dyDescent="0.25">
      <c r="T30348" s="135"/>
      <c r="U30348" s="135"/>
    </row>
    <row r="30349" spans="20:21" ht="15" customHeight="1" x14ac:dyDescent="0.25">
      <c r="T30349" s="135"/>
      <c r="U30349" s="135"/>
    </row>
    <row r="30350" spans="20:21" ht="15" customHeight="1" x14ac:dyDescent="0.25">
      <c r="T30350" s="135"/>
      <c r="U30350" s="135"/>
    </row>
    <row r="30351" spans="20:21" ht="15" customHeight="1" x14ac:dyDescent="0.25">
      <c r="T30351" s="135"/>
      <c r="U30351" s="135"/>
    </row>
    <row r="30352" spans="20:21" ht="15" customHeight="1" x14ac:dyDescent="0.25">
      <c r="T30352" s="135"/>
      <c r="U30352" s="135"/>
    </row>
    <row r="30353" spans="20:21" ht="15" customHeight="1" x14ac:dyDescent="0.25">
      <c r="T30353" s="135"/>
      <c r="U30353" s="135"/>
    </row>
    <row r="30354" spans="20:21" ht="15" customHeight="1" x14ac:dyDescent="0.25">
      <c r="T30354" s="135"/>
      <c r="U30354" s="135"/>
    </row>
    <row r="30355" spans="20:21" ht="15" customHeight="1" x14ac:dyDescent="0.25">
      <c r="T30355" s="135"/>
      <c r="U30355" s="135"/>
    </row>
    <row r="30356" spans="20:21" ht="15" customHeight="1" x14ac:dyDescent="0.25">
      <c r="T30356" s="135"/>
      <c r="U30356" s="135"/>
    </row>
    <row r="30357" spans="20:21" ht="15" customHeight="1" x14ac:dyDescent="0.25">
      <c r="T30357" s="135"/>
      <c r="U30357" s="135"/>
    </row>
    <row r="30358" spans="20:21" ht="15" customHeight="1" x14ac:dyDescent="0.25">
      <c r="T30358" s="135"/>
      <c r="U30358" s="135"/>
    </row>
    <row r="30359" spans="20:21" ht="15" customHeight="1" x14ac:dyDescent="0.25">
      <c r="T30359" s="135"/>
      <c r="U30359" s="135"/>
    </row>
    <row r="30360" spans="20:21" ht="15" customHeight="1" x14ac:dyDescent="0.25">
      <c r="T30360" s="135"/>
      <c r="U30360" s="135"/>
    </row>
    <row r="30361" spans="20:21" ht="15" customHeight="1" x14ac:dyDescent="0.25">
      <c r="T30361" s="135"/>
      <c r="U30361" s="135"/>
    </row>
    <row r="30362" spans="20:21" ht="15" customHeight="1" x14ac:dyDescent="0.25">
      <c r="T30362" s="135"/>
      <c r="U30362" s="135"/>
    </row>
    <row r="30363" spans="20:21" ht="15" customHeight="1" x14ac:dyDescent="0.25">
      <c r="T30363" s="135"/>
      <c r="U30363" s="135"/>
    </row>
    <row r="30364" spans="20:21" ht="15" customHeight="1" x14ac:dyDescent="0.25">
      <c r="T30364" s="135"/>
      <c r="U30364" s="135"/>
    </row>
    <row r="30365" spans="20:21" ht="15" customHeight="1" x14ac:dyDescent="0.25">
      <c r="T30365" s="135"/>
      <c r="U30365" s="135"/>
    </row>
    <row r="30366" spans="20:21" ht="15" customHeight="1" x14ac:dyDescent="0.25">
      <c r="T30366" s="135"/>
      <c r="U30366" s="135"/>
    </row>
    <row r="30367" spans="20:21" ht="15" customHeight="1" x14ac:dyDescent="0.25">
      <c r="T30367" s="135"/>
      <c r="U30367" s="135"/>
    </row>
    <row r="30368" spans="20:21" ht="15" customHeight="1" x14ac:dyDescent="0.25">
      <c r="T30368" s="135"/>
      <c r="U30368" s="135"/>
    </row>
    <row r="30369" spans="20:21" ht="15" customHeight="1" x14ac:dyDescent="0.25">
      <c r="T30369" s="135"/>
      <c r="U30369" s="135"/>
    </row>
    <row r="30370" spans="20:21" ht="15" customHeight="1" x14ac:dyDescent="0.25">
      <c r="T30370" s="135"/>
      <c r="U30370" s="135"/>
    </row>
    <row r="30371" spans="20:21" ht="15" customHeight="1" x14ac:dyDescent="0.25">
      <c r="T30371" s="135"/>
      <c r="U30371" s="135"/>
    </row>
    <row r="30372" spans="20:21" ht="15" customHeight="1" x14ac:dyDescent="0.25">
      <c r="T30372" s="135"/>
      <c r="U30372" s="135"/>
    </row>
    <row r="30373" spans="20:21" ht="15" customHeight="1" x14ac:dyDescent="0.25">
      <c r="T30373" s="135"/>
      <c r="U30373" s="135"/>
    </row>
    <row r="30374" spans="20:21" ht="15" customHeight="1" x14ac:dyDescent="0.25">
      <c r="T30374" s="135"/>
      <c r="U30374" s="135"/>
    </row>
    <row r="30375" spans="20:21" ht="15" customHeight="1" x14ac:dyDescent="0.25">
      <c r="T30375" s="135"/>
      <c r="U30375" s="135"/>
    </row>
    <row r="30376" spans="20:21" ht="15" customHeight="1" x14ac:dyDescent="0.25">
      <c r="T30376" s="135"/>
      <c r="U30376" s="135"/>
    </row>
    <row r="30377" spans="20:21" ht="15" customHeight="1" x14ac:dyDescent="0.25">
      <c r="T30377" s="135"/>
      <c r="U30377" s="135"/>
    </row>
    <row r="30378" spans="20:21" ht="15" customHeight="1" x14ac:dyDescent="0.25">
      <c r="T30378" s="135"/>
      <c r="U30378" s="135"/>
    </row>
    <row r="30379" spans="20:21" ht="15" customHeight="1" x14ac:dyDescent="0.25">
      <c r="T30379" s="135"/>
      <c r="U30379" s="135"/>
    </row>
    <row r="30380" spans="20:21" ht="15" customHeight="1" x14ac:dyDescent="0.25">
      <c r="T30380" s="135"/>
      <c r="U30380" s="135"/>
    </row>
    <row r="30381" spans="20:21" ht="15" customHeight="1" x14ac:dyDescent="0.25">
      <c r="T30381" s="135"/>
      <c r="U30381" s="135"/>
    </row>
    <row r="30382" spans="20:21" ht="15" customHeight="1" x14ac:dyDescent="0.25">
      <c r="T30382" s="135"/>
      <c r="U30382" s="135"/>
    </row>
    <row r="30383" spans="20:21" ht="15" customHeight="1" x14ac:dyDescent="0.25">
      <c r="T30383" s="135"/>
      <c r="U30383" s="135"/>
    </row>
    <row r="30384" spans="20:21" ht="15" customHeight="1" x14ac:dyDescent="0.25">
      <c r="T30384" s="135"/>
      <c r="U30384" s="135"/>
    </row>
    <row r="30385" spans="20:21" ht="15" customHeight="1" x14ac:dyDescent="0.25">
      <c r="T30385" s="135"/>
      <c r="U30385" s="135"/>
    </row>
    <row r="30386" spans="20:21" ht="15" customHeight="1" x14ac:dyDescent="0.25">
      <c r="T30386" s="135"/>
      <c r="U30386" s="135"/>
    </row>
    <row r="30387" spans="20:21" ht="15" customHeight="1" x14ac:dyDescent="0.25">
      <c r="T30387" s="135"/>
      <c r="U30387" s="135"/>
    </row>
    <row r="30388" spans="20:21" ht="15" customHeight="1" x14ac:dyDescent="0.25">
      <c r="T30388" s="135"/>
      <c r="U30388" s="135"/>
    </row>
    <row r="30389" spans="20:21" ht="15" customHeight="1" x14ac:dyDescent="0.25">
      <c r="T30389" s="135"/>
      <c r="U30389" s="135"/>
    </row>
    <row r="30390" spans="20:21" ht="15" customHeight="1" x14ac:dyDescent="0.25">
      <c r="T30390" s="135"/>
      <c r="U30390" s="135"/>
    </row>
    <row r="30391" spans="20:21" ht="15" customHeight="1" x14ac:dyDescent="0.25">
      <c r="T30391" s="135"/>
      <c r="U30391" s="135"/>
    </row>
    <row r="30392" spans="20:21" ht="15" customHeight="1" x14ac:dyDescent="0.25">
      <c r="T30392" s="135"/>
      <c r="U30392" s="135"/>
    </row>
    <row r="30393" spans="20:21" ht="15" customHeight="1" x14ac:dyDescent="0.25">
      <c r="T30393" s="135"/>
      <c r="U30393" s="135"/>
    </row>
    <row r="30394" spans="20:21" ht="15" customHeight="1" x14ac:dyDescent="0.25">
      <c r="T30394" s="135"/>
      <c r="U30394" s="135"/>
    </row>
    <row r="30395" spans="20:21" ht="15" customHeight="1" x14ac:dyDescent="0.25">
      <c r="T30395" s="135"/>
      <c r="U30395" s="135"/>
    </row>
    <row r="30396" spans="20:21" ht="15" customHeight="1" x14ac:dyDescent="0.25">
      <c r="T30396" s="135"/>
      <c r="U30396" s="135"/>
    </row>
    <row r="30397" spans="20:21" ht="15" customHeight="1" x14ac:dyDescent="0.25">
      <c r="T30397" s="135"/>
      <c r="U30397" s="135"/>
    </row>
    <row r="30398" spans="20:21" ht="15" customHeight="1" x14ac:dyDescent="0.25">
      <c r="T30398" s="135"/>
      <c r="U30398" s="135"/>
    </row>
    <row r="30399" spans="20:21" ht="15" customHeight="1" x14ac:dyDescent="0.25">
      <c r="T30399" s="135"/>
      <c r="U30399" s="135"/>
    </row>
    <row r="30400" spans="20:21" ht="15" customHeight="1" x14ac:dyDescent="0.25">
      <c r="T30400" s="135"/>
      <c r="U30400" s="135"/>
    </row>
    <row r="30401" spans="20:21" ht="15" customHeight="1" x14ac:dyDescent="0.25">
      <c r="T30401" s="135"/>
      <c r="U30401" s="135"/>
    </row>
    <row r="30402" spans="20:21" ht="15" customHeight="1" x14ac:dyDescent="0.25">
      <c r="T30402" s="135"/>
      <c r="U30402" s="135"/>
    </row>
    <row r="30403" spans="20:21" ht="15" customHeight="1" x14ac:dyDescent="0.25">
      <c r="T30403" s="135"/>
      <c r="U30403" s="135"/>
    </row>
    <row r="30404" spans="20:21" ht="15" customHeight="1" x14ac:dyDescent="0.25">
      <c r="T30404" s="135"/>
      <c r="U30404" s="135"/>
    </row>
    <row r="30405" spans="20:21" ht="15" customHeight="1" x14ac:dyDescent="0.25">
      <c r="T30405" s="135"/>
      <c r="U30405" s="135"/>
    </row>
    <row r="30406" spans="20:21" ht="15" customHeight="1" x14ac:dyDescent="0.25">
      <c r="T30406" s="135"/>
      <c r="U30406" s="135"/>
    </row>
    <row r="30407" spans="20:21" ht="15" customHeight="1" x14ac:dyDescent="0.25">
      <c r="T30407" s="135"/>
      <c r="U30407" s="135"/>
    </row>
    <row r="30408" spans="20:21" ht="15" customHeight="1" x14ac:dyDescent="0.25">
      <c r="T30408" s="135"/>
      <c r="U30408" s="135"/>
    </row>
    <row r="30409" spans="20:21" ht="15" customHeight="1" x14ac:dyDescent="0.25">
      <c r="T30409" s="135"/>
      <c r="U30409" s="135"/>
    </row>
    <row r="30410" spans="20:21" ht="15" customHeight="1" x14ac:dyDescent="0.25">
      <c r="T30410" s="135"/>
      <c r="U30410" s="135"/>
    </row>
    <row r="30411" spans="20:21" ht="15" customHeight="1" x14ac:dyDescent="0.25">
      <c r="T30411" s="135"/>
      <c r="U30411" s="135"/>
    </row>
    <row r="30412" spans="20:21" ht="15" customHeight="1" x14ac:dyDescent="0.25">
      <c r="T30412" s="135"/>
      <c r="U30412" s="135"/>
    </row>
    <row r="30413" spans="20:21" ht="15" customHeight="1" x14ac:dyDescent="0.25">
      <c r="T30413" s="135"/>
      <c r="U30413" s="135"/>
    </row>
    <row r="30414" spans="20:21" ht="15" customHeight="1" x14ac:dyDescent="0.25">
      <c r="T30414" s="135"/>
      <c r="U30414" s="135"/>
    </row>
    <row r="30415" spans="20:21" ht="15" customHeight="1" x14ac:dyDescent="0.25">
      <c r="T30415" s="135"/>
      <c r="U30415" s="135"/>
    </row>
    <row r="30416" spans="20:21" ht="15" customHeight="1" x14ac:dyDescent="0.25">
      <c r="T30416" s="135"/>
      <c r="U30416" s="135"/>
    </row>
    <row r="30417" spans="20:21" ht="15" customHeight="1" x14ac:dyDescent="0.25">
      <c r="T30417" s="135"/>
      <c r="U30417" s="135"/>
    </row>
    <row r="30418" spans="20:21" ht="15" customHeight="1" x14ac:dyDescent="0.25">
      <c r="T30418" s="135"/>
      <c r="U30418" s="135"/>
    </row>
    <row r="30419" spans="20:21" ht="15" customHeight="1" x14ac:dyDescent="0.25">
      <c r="T30419" s="135"/>
      <c r="U30419" s="135"/>
    </row>
    <row r="30420" spans="20:21" ht="15" customHeight="1" x14ac:dyDescent="0.25">
      <c r="T30420" s="135"/>
      <c r="U30420" s="135"/>
    </row>
    <row r="30421" spans="20:21" ht="15" customHeight="1" x14ac:dyDescent="0.25">
      <c r="T30421" s="135"/>
      <c r="U30421" s="135"/>
    </row>
    <row r="30422" spans="20:21" ht="15" customHeight="1" x14ac:dyDescent="0.25">
      <c r="T30422" s="135"/>
      <c r="U30422" s="135"/>
    </row>
    <row r="30423" spans="20:21" ht="15" customHeight="1" x14ac:dyDescent="0.25">
      <c r="T30423" s="135"/>
      <c r="U30423" s="135"/>
    </row>
    <row r="30424" spans="20:21" ht="15" customHeight="1" x14ac:dyDescent="0.25">
      <c r="T30424" s="135"/>
      <c r="U30424" s="135"/>
    </row>
    <row r="30425" spans="20:21" ht="15" customHeight="1" x14ac:dyDescent="0.25">
      <c r="T30425" s="135"/>
      <c r="U30425" s="135"/>
    </row>
    <row r="30426" spans="20:21" ht="15" customHeight="1" x14ac:dyDescent="0.25">
      <c r="T30426" s="135"/>
      <c r="U30426" s="135"/>
    </row>
    <row r="30427" spans="20:21" ht="15" customHeight="1" x14ac:dyDescent="0.25">
      <c r="T30427" s="135"/>
      <c r="U30427" s="135"/>
    </row>
    <row r="30428" spans="20:21" ht="15" customHeight="1" x14ac:dyDescent="0.25">
      <c r="T30428" s="135"/>
      <c r="U30428" s="135"/>
    </row>
    <row r="30429" spans="20:21" ht="15" customHeight="1" x14ac:dyDescent="0.25">
      <c r="T30429" s="135"/>
      <c r="U30429" s="135"/>
    </row>
    <row r="30430" spans="20:21" ht="15" customHeight="1" x14ac:dyDescent="0.25">
      <c r="T30430" s="135"/>
      <c r="U30430" s="135"/>
    </row>
    <row r="30431" spans="20:21" ht="15" customHeight="1" x14ac:dyDescent="0.25">
      <c r="T30431" s="135"/>
      <c r="U30431" s="135"/>
    </row>
    <row r="30432" spans="20:21" ht="15" customHeight="1" x14ac:dyDescent="0.25">
      <c r="T30432" s="135"/>
      <c r="U30432" s="135"/>
    </row>
    <row r="30433" spans="20:21" ht="15" customHeight="1" x14ac:dyDescent="0.25">
      <c r="T30433" s="135"/>
      <c r="U30433" s="135"/>
    </row>
    <row r="30434" spans="20:21" ht="15" customHeight="1" x14ac:dyDescent="0.25">
      <c r="T30434" s="135"/>
      <c r="U30434" s="135"/>
    </row>
    <row r="30435" spans="20:21" ht="15" customHeight="1" x14ac:dyDescent="0.25">
      <c r="T30435" s="135"/>
      <c r="U30435" s="135"/>
    </row>
    <row r="30436" spans="20:21" ht="15" customHeight="1" x14ac:dyDescent="0.25">
      <c r="T30436" s="135"/>
      <c r="U30436" s="135"/>
    </row>
    <row r="30437" spans="20:21" ht="15" customHeight="1" x14ac:dyDescent="0.25">
      <c r="T30437" s="135"/>
      <c r="U30437" s="135"/>
    </row>
    <row r="30438" spans="20:21" ht="15" customHeight="1" x14ac:dyDescent="0.25">
      <c r="T30438" s="135"/>
      <c r="U30438" s="135"/>
    </row>
    <row r="30439" spans="20:21" ht="15" customHeight="1" x14ac:dyDescent="0.25">
      <c r="T30439" s="135"/>
      <c r="U30439" s="135"/>
    </row>
    <row r="30440" spans="20:21" ht="15" customHeight="1" x14ac:dyDescent="0.25">
      <c r="T30440" s="135"/>
      <c r="U30440" s="135"/>
    </row>
    <row r="30441" spans="20:21" ht="15" customHeight="1" x14ac:dyDescent="0.25">
      <c r="T30441" s="135"/>
      <c r="U30441" s="135"/>
    </row>
    <row r="30442" spans="20:21" ht="15" customHeight="1" x14ac:dyDescent="0.25">
      <c r="T30442" s="135"/>
      <c r="U30442" s="135"/>
    </row>
    <row r="30443" spans="20:21" ht="15" customHeight="1" x14ac:dyDescent="0.25">
      <c r="T30443" s="135"/>
      <c r="U30443" s="135"/>
    </row>
    <row r="30444" spans="20:21" ht="15" customHeight="1" x14ac:dyDescent="0.25">
      <c r="T30444" s="135"/>
      <c r="U30444" s="135"/>
    </row>
    <row r="30445" spans="20:21" ht="15" customHeight="1" x14ac:dyDescent="0.25">
      <c r="T30445" s="135"/>
      <c r="U30445" s="135"/>
    </row>
    <row r="30446" spans="20:21" ht="15" customHeight="1" x14ac:dyDescent="0.25">
      <c r="T30446" s="135"/>
      <c r="U30446" s="135"/>
    </row>
    <row r="30447" spans="20:21" ht="15" customHeight="1" x14ac:dyDescent="0.25">
      <c r="T30447" s="135"/>
      <c r="U30447" s="135"/>
    </row>
    <row r="30448" spans="20:21" ht="15" customHeight="1" x14ac:dyDescent="0.25">
      <c r="T30448" s="135"/>
      <c r="U30448" s="135"/>
    </row>
    <row r="30449" spans="20:21" ht="15" customHeight="1" x14ac:dyDescent="0.25">
      <c r="T30449" s="135"/>
      <c r="U30449" s="135"/>
    </row>
    <row r="30450" spans="20:21" ht="15" customHeight="1" x14ac:dyDescent="0.25">
      <c r="T30450" s="135"/>
      <c r="U30450" s="135"/>
    </row>
    <row r="30451" spans="20:21" ht="15" customHeight="1" x14ac:dyDescent="0.25">
      <c r="T30451" s="135"/>
      <c r="U30451" s="135"/>
    </row>
    <row r="30452" spans="20:21" ht="15" customHeight="1" x14ac:dyDescent="0.25">
      <c r="T30452" s="135"/>
      <c r="U30452" s="135"/>
    </row>
    <row r="30453" spans="20:21" ht="15" customHeight="1" x14ac:dyDescent="0.25">
      <c r="T30453" s="135"/>
      <c r="U30453" s="135"/>
    </row>
    <row r="30454" spans="20:21" ht="15" customHeight="1" x14ac:dyDescent="0.25">
      <c r="T30454" s="135"/>
      <c r="U30454" s="135"/>
    </row>
    <row r="30455" spans="20:21" ht="15" customHeight="1" x14ac:dyDescent="0.25">
      <c r="T30455" s="135"/>
      <c r="U30455" s="135"/>
    </row>
    <row r="30456" spans="20:21" ht="15" customHeight="1" x14ac:dyDescent="0.25">
      <c r="T30456" s="135"/>
      <c r="U30456" s="135"/>
    </row>
    <row r="30457" spans="20:21" ht="15" customHeight="1" x14ac:dyDescent="0.25">
      <c r="T30457" s="135"/>
      <c r="U30457" s="135"/>
    </row>
    <row r="30458" spans="20:21" ht="15" customHeight="1" x14ac:dyDescent="0.25">
      <c r="T30458" s="135"/>
      <c r="U30458" s="135"/>
    </row>
    <row r="30459" spans="20:21" ht="15" customHeight="1" x14ac:dyDescent="0.25">
      <c r="T30459" s="135"/>
      <c r="U30459" s="135"/>
    </row>
    <row r="30460" spans="20:21" ht="15" customHeight="1" x14ac:dyDescent="0.25">
      <c r="T30460" s="135"/>
      <c r="U30460" s="135"/>
    </row>
    <row r="30461" spans="20:21" ht="15" customHeight="1" x14ac:dyDescent="0.25">
      <c r="T30461" s="135"/>
      <c r="U30461" s="135"/>
    </row>
    <row r="30462" spans="20:21" ht="15" customHeight="1" x14ac:dyDescent="0.25">
      <c r="T30462" s="135"/>
      <c r="U30462" s="135"/>
    </row>
    <row r="30463" spans="20:21" ht="15" customHeight="1" x14ac:dyDescent="0.25">
      <c r="T30463" s="135"/>
      <c r="U30463" s="135"/>
    </row>
    <row r="30464" spans="20:21" ht="15" customHeight="1" x14ac:dyDescent="0.25">
      <c r="T30464" s="135"/>
      <c r="U30464" s="135"/>
    </row>
    <row r="30465" spans="20:21" ht="15" customHeight="1" x14ac:dyDescent="0.25">
      <c r="T30465" s="135"/>
      <c r="U30465" s="135"/>
    </row>
    <row r="30466" spans="20:21" ht="15" customHeight="1" x14ac:dyDescent="0.25">
      <c r="T30466" s="135"/>
      <c r="U30466" s="135"/>
    </row>
    <row r="30467" spans="20:21" ht="15" customHeight="1" x14ac:dyDescent="0.25">
      <c r="T30467" s="135"/>
      <c r="U30467" s="135"/>
    </row>
    <row r="30468" spans="20:21" ht="15" customHeight="1" x14ac:dyDescent="0.25">
      <c r="T30468" s="135"/>
      <c r="U30468" s="135"/>
    </row>
    <row r="30469" spans="20:21" ht="15" customHeight="1" x14ac:dyDescent="0.25">
      <c r="T30469" s="135"/>
      <c r="U30469" s="135"/>
    </row>
    <row r="30470" spans="20:21" ht="15" customHeight="1" x14ac:dyDescent="0.25">
      <c r="T30470" s="135"/>
      <c r="U30470" s="135"/>
    </row>
    <row r="30471" spans="20:21" ht="15" customHeight="1" x14ac:dyDescent="0.25">
      <c r="T30471" s="135"/>
      <c r="U30471" s="135"/>
    </row>
    <row r="30472" spans="20:21" ht="15" customHeight="1" x14ac:dyDescent="0.25">
      <c r="T30472" s="135"/>
      <c r="U30472" s="135"/>
    </row>
    <row r="30473" spans="20:21" ht="15" customHeight="1" x14ac:dyDescent="0.25">
      <c r="T30473" s="135"/>
      <c r="U30473" s="135"/>
    </row>
    <row r="30474" spans="20:21" ht="15" customHeight="1" x14ac:dyDescent="0.25">
      <c r="T30474" s="135"/>
      <c r="U30474" s="135"/>
    </row>
    <row r="30475" spans="20:21" ht="15" customHeight="1" x14ac:dyDescent="0.25">
      <c r="T30475" s="135"/>
      <c r="U30475" s="135"/>
    </row>
    <row r="30476" spans="20:21" ht="15" customHeight="1" x14ac:dyDescent="0.25">
      <c r="T30476" s="135"/>
      <c r="U30476" s="135"/>
    </row>
    <row r="30477" spans="20:21" ht="15" customHeight="1" x14ac:dyDescent="0.25">
      <c r="T30477" s="135"/>
      <c r="U30477" s="135"/>
    </row>
    <row r="30478" spans="20:21" ht="15" customHeight="1" x14ac:dyDescent="0.25">
      <c r="T30478" s="135"/>
      <c r="U30478" s="135"/>
    </row>
    <row r="30479" spans="20:21" ht="15" customHeight="1" x14ac:dyDescent="0.25">
      <c r="T30479" s="135"/>
      <c r="U30479" s="135"/>
    </row>
    <row r="30480" spans="20:21" ht="15" customHeight="1" x14ac:dyDescent="0.25">
      <c r="T30480" s="135"/>
      <c r="U30480" s="135"/>
    </row>
    <row r="30481" spans="20:21" ht="15" customHeight="1" x14ac:dyDescent="0.25">
      <c r="T30481" s="135"/>
      <c r="U30481" s="135"/>
    </row>
    <row r="30482" spans="20:21" ht="15" customHeight="1" x14ac:dyDescent="0.25">
      <c r="T30482" s="135"/>
      <c r="U30482" s="135"/>
    </row>
    <row r="30483" spans="20:21" ht="15" customHeight="1" x14ac:dyDescent="0.25">
      <c r="T30483" s="135"/>
      <c r="U30483" s="135"/>
    </row>
    <row r="30484" spans="20:21" ht="15" customHeight="1" x14ac:dyDescent="0.25">
      <c r="T30484" s="135"/>
      <c r="U30484" s="135"/>
    </row>
    <row r="30485" spans="20:21" ht="15" customHeight="1" x14ac:dyDescent="0.25">
      <c r="T30485" s="135"/>
      <c r="U30485" s="135"/>
    </row>
    <row r="30486" spans="20:21" ht="15" customHeight="1" x14ac:dyDescent="0.25">
      <c r="T30486" s="135"/>
      <c r="U30486" s="135"/>
    </row>
    <row r="30487" spans="20:21" ht="15" customHeight="1" x14ac:dyDescent="0.25">
      <c r="T30487" s="135"/>
      <c r="U30487" s="135"/>
    </row>
    <row r="30488" spans="20:21" ht="15" customHeight="1" x14ac:dyDescent="0.25">
      <c r="T30488" s="135"/>
      <c r="U30488" s="135"/>
    </row>
    <row r="30489" spans="20:21" ht="15" customHeight="1" x14ac:dyDescent="0.25">
      <c r="T30489" s="135"/>
      <c r="U30489" s="135"/>
    </row>
    <row r="30490" spans="20:21" ht="15" customHeight="1" x14ac:dyDescent="0.25">
      <c r="T30490" s="135"/>
      <c r="U30490" s="135"/>
    </row>
    <row r="30491" spans="20:21" ht="15" customHeight="1" x14ac:dyDescent="0.25">
      <c r="T30491" s="135"/>
      <c r="U30491" s="135"/>
    </row>
    <row r="30492" spans="20:21" ht="15" customHeight="1" x14ac:dyDescent="0.25">
      <c r="T30492" s="135"/>
      <c r="U30492" s="135"/>
    </row>
    <row r="30493" spans="20:21" ht="15" customHeight="1" x14ac:dyDescent="0.25">
      <c r="T30493" s="135"/>
      <c r="U30493" s="135"/>
    </row>
    <row r="30494" spans="20:21" ht="15" customHeight="1" x14ac:dyDescent="0.25">
      <c r="T30494" s="135"/>
      <c r="U30494" s="135"/>
    </row>
    <row r="30495" spans="20:21" ht="15" customHeight="1" x14ac:dyDescent="0.25">
      <c r="T30495" s="135"/>
      <c r="U30495" s="135"/>
    </row>
    <row r="30496" spans="20:21" ht="15" customHeight="1" x14ac:dyDescent="0.25">
      <c r="T30496" s="135"/>
      <c r="U30496" s="135"/>
    </row>
    <row r="30497" spans="20:21" ht="15" customHeight="1" x14ac:dyDescent="0.25">
      <c r="T30497" s="135"/>
      <c r="U30497" s="135"/>
    </row>
    <row r="30498" spans="20:21" ht="15" customHeight="1" x14ac:dyDescent="0.25">
      <c r="T30498" s="135"/>
      <c r="U30498" s="135"/>
    </row>
    <row r="30499" spans="20:21" ht="15" customHeight="1" x14ac:dyDescent="0.25">
      <c r="T30499" s="135"/>
      <c r="U30499" s="135"/>
    </row>
    <row r="30500" spans="20:21" ht="15" customHeight="1" x14ac:dyDescent="0.25">
      <c r="T30500" s="135"/>
      <c r="U30500" s="135"/>
    </row>
    <row r="30501" spans="20:21" ht="15" customHeight="1" x14ac:dyDescent="0.25">
      <c r="T30501" s="135"/>
      <c r="U30501" s="135"/>
    </row>
    <row r="30502" spans="20:21" ht="15" customHeight="1" x14ac:dyDescent="0.25">
      <c r="T30502" s="135"/>
      <c r="U30502" s="135"/>
    </row>
    <row r="30503" spans="20:21" ht="15" customHeight="1" x14ac:dyDescent="0.25">
      <c r="T30503" s="135"/>
      <c r="U30503" s="135"/>
    </row>
    <row r="30504" spans="20:21" ht="15" customHeight="1" x14ac:dyDescent="0.25">
      <c r="T30504" s="135"/>
      <c r="U30504" s="135"/>
    </row>
    <row r="30505" spans="20:21" ht="15" customHeight="1" x14ac:dyDescent="0.25">
      <c r="T30505" s="135"/>
      <c r="U30505" s="135"/>
    </row>
    <row r="30506" spans="20:21" ht="15" customHeight="1" x14ac:dyDescent="0.25">
      <c r="T30506" s="135"/>
      <c r="U30506" s="135"/>
    </row>
    <row r="30507" spans="20:21" ht="15" customHeight="1" x14ac:dyDescent="0.25">
      <c r="T30507" s="135"/>
      <c r="U30507" s="135"/>
    </row>
    <row r="30508" spans="20:21" ht="15" customHeight="1" x14ac:dyDescent="0.25">
      <c r="T30508" s="135"/>
      <c r="U30508" s="135"/>
    </row>
    <row r="30509" spans="20:21" ht="15" customHeight="1" x14ac:dyDescent="0.25">
      <c r="T30509" s="135"/>
      <c r="U30509" s="135"/>
    </row>
    <row r="30510" spans="20:21" ht="15" customHeight="1" x14ac:dyDescent="0.25">
      <c r="T30510" s="135"/>
      <c r="U30510" s="135"/>
    </row>
    <row r="30511" spans="20:21" ht="15" customHeight="1" x14ac:dyDescent="0.25">
      <c r="T30511" s="135"/>
      <c r="U30511" s="135"/>
    </row>
    <row r="30512" spans="20:21" ht="15" customHeight="1" x14ac:dyDescent="0.25">
      <c r="T30512" s="135"/>
      <c r="U30512" s="135"/>
    </row>
    <row r="30513" spans="20:21" ht="15" customHeight="1" x14ac:dyDescent="0.25">
      <c r="T30513" s="135"/>
      <c r="U30513" s="135"/>
    </row>
    <row r="30514" spans="20:21" ht="15" customHeight="1" x14ac:dyDescent="0.25">
      <c r="T30514" s="135"/>
      <c r="U30514" s="135"/>
    </row>
    <row r="30515" spans="20:21" ht="15" customHeight="1" x14ac:dyDescent="0.25">
      <c r="T30515" s="135"/>
      <c r="U30515" s="135"/>
    </row>
    <row r="30516" spans="20:21" ht="15" customHeight="1" x14ac:dyDescent="0.25">
      <c r="T30516" s="135"/>
      <c r="U30516" s="135"/>
    </row>
    <row r="30517" spans="20:21" ht="15" customHeight="1" x14ac:dyDescent="0.25">
      <c r="T30517" s="135"/>
      <c r="U30517" s="135"/>
    </row>
    <row r="30518" spans="20:21" ht="15" customHeight="1" x14ac:dyDescent="0.25">
      <c r="T30518" s="135"/>
      <c r="U30518" s="135"/>
    </row>
    <row r="30519" spans="20:21" ht="15" customHeight="1" x14ac:dyDescent="0.25">
      <c r="T30519" s="135"/>
      <c r="U30519" s="135"/>
    </row>
    <row r="30520" spans="20:21" ht="15" customHeight="1" x14ac:dyDescent="0.25">
      <c r="T30520" s="135"/>
      <c r="U30520" s="135"/>
    </row>
    <row r="30521" spans="20:21" ht="15" customHeight="1" x14ac:dyDescent="0.25">
      <c r="T30521" s="135"/>
      <c r="U30521" s="135"/>
    </row>
    <row r="30522" spans="20:21" ht="15" customHeight="1" x14ac:dyDescent="0.25">
      <c r="T30522" s="135"/>
      <c r="U30522" s="135"/>
    </row>
    <row r="30523" spans="20:21" ht="15" customHeight="1" x14ac:dyDescent="0.25">
      <c r="T30523" s="135"/>
      <c r="U30523" s="135"/>
    </row>
    <row r="30524" spans="20:21" ht="15" customHeight="1" x14ac:dyDescent="0.25">
      <c r="T30524" s="135"/>
      <c r="U30524" s="135"/>
    </row>
    <row r="30525" spans="20:21" ht="15" customHeight="1" x14ac:dyDescent="0.25">
      <c r="T30525" s="135"/>
      <c r="U30525" s="135"/>
    </row>
    <row r="30526" spans="20:21" ht="15" customHeight="1" x14ac:dyDescent="0.25">
      <c r="T30526" s="135"/>
      <c r="U30526" s="135"/>
    </row>
    <row r="30527" spans="20:21" ht="15" customHeight="1" x14ac:dyDescent="0.25">
      <c r="T30527" s="135"/>
      <c r="U30527" s="135"/>
    </row>
    <row r="30528" spans="20:21" ht="15" customHeight="1" x14ac:dyDescent="0.25">
      <c r="T30528" s="135"/>
      <c r="U30528" s="135"/>
    </row>
    <row r="30529" spans="20:21" ht="15" customHeight="1" x14ac:dyDescent="0.25">
      <c r="T30529" s="135"/>
      <c r="U30529" s="135"/>
    </row>
    <row r="30530" spans="20:21" ht="15" customHeight="1" x14ac:dyDescent="0.25">
      <c r="T30530" s="135"/>
      <c r="U30530" s="135"/>
    </row>
    <row r="30531" spans="20:21" ht="15" customHeight="1" x14ac:dyDescent="0.25">
      <c r="T30531" s="135"/>
      <c r="U30531" s="135"/>
    </row>
    <row r="30532" spans="20:21" ht="15" customHeight="1" x14ac:dyDescent="0.25">
      <c r="T30532" s="135"/>
      <c r="U30532" s="135"/>
    </row>
    <row r="30533" spans="20:21" ht="15" customHeight="1" x14ac:dyDescent="0.25">
      <c r="T30533" s="135"/>
      <c r="U30533" s="135"/>
    </row>
    <row r="30534" spans="20:21" ht="15" customHeight="1" x14ac:dyDescent="0.25">
      <c r="T30534" s="135"/>
      <c r="U30534" s="135"/>
    </row>
    <row r="30535" spans="20:21" ht="15" customHeight="1" x14ac:dyDescent="0.25">
      <c r="T30535" s="135"/>
      <c r="U30535" s="135"/>
    </row>
    <row r="30536" spans="20:21" ht="15" customHeight="1" x14ac:dyDescent="0.25">
      <c r="T30536" s="135"/>
      <c r="U30536" s="135"/>
    </row>
    <row r="30537" spans="20:21" ht="15" customHeight="1" x14ac:dyDescent="0.25">
      <c r="T30537" s="135"/>
      <c r="U30537" s="135"/>
    </row>
    <row r="30538" spans="20:21" ht="15" customHeight="1" x14ac:dyDescent="0.25">
      <c r="T30538" s="135"/>
      <c r="U30538" s="135"/>
    </row>
    <row r="30539" spans="20:21" ht="15" customHeight="1" x14ac:dyDescent="0.25">
      <c r="T30539" s="135"/>
      <c r="U30539" s="135"/>
    </row>
    <row r="30540" spans="20:21" ht="15" customHeight="1" x14ac:dyDescent="0.25">
      <c r="T30540" s="135"/>
      <c r="U30540" s="135"/>
    </row>
    <row r="30541" spans="20:21" ht="15" customHeight="1" x14ac:dyDescent="0.25">
      <c r="T30541" s="135"/>
      <c r="U30541" s="135"/>
    </row>
    <row r="30542" spans="20:21" ht="15" customHeight="1" x14ac:dyDescent="0.25">
      <c r="T30542" s="135"/>
      <c r="U30542" s="135"/>
    </row>
    <row r="30543" spans="20:21" ht="15" customHeight="1" x14ac:dyDescent="0.25">
      <c r="T30543" s="135"/>
      <c r="U30543" s="135"/>
    </row>
    <row r="30544" spans="20:21" ht="15" customHeight="1" x14ac:dyDescent="0.25">
      <c r="T30544" s="135"/>
      <c r="U30544" s="135"/>
    </row>
    <row r="30545" spans="20:21" ht="15" customHeight="1" x14ac:dyDescent="0.25">
      <c r="T30545" s="135"/>
      <c r="U30545" s="135"/>
    </row>
    <row r="30546" spans="20:21" ht="15" customHeight="1" x14ac:dyDescent="0.25">
      <c r="T30546" s="135"/>
      <c r="U30546" s="135"/>
    </row>
    <row r="30547" spans="20:21" ht="15" customHeight="1" x14ac:dyDescent="0.25">
      <c r="T30547" s="135"/>
      <c r="U30547" s="135"/>
    </row>
    <row r="30548" spans="20:21" ht="15" customHeight="1" x14ac:dyDescent="0.25">
      <c r="T30548" s="135"/>
      <c r="U30548" s="135"/>
    </row>
    <row r="30549" spans="20:21" ht="15" customHeight="1" x14ac:dyDescent="0.25">
      <c r="T30549" s="135"/>
      <c r="U30549" s="135"/>
    </row>
    <row r="30550" spans="20:21" ht="15" customHeight="1" x14ac:dyDescent="0.25">
      <c r="T30550" s="135"/>
      <c r="U30550" s="135"/>
    </row>
    <row r="30551" spans="20:21" ht="15" customHeight="1" x14ac:dyDescent="0.25">
      <c r="T30551" s="135"/>
      <c r="U30551" s="135"/>
    </row>
    <row r="30552" spans="20:21" ht="15" customHeight="1" x14ac:dyDescent="0.25">
      <c r="T30552" s="135"/>
      <c r="U30552" s="135"/>
    </row>
    <row r="30553" spans="20:21" ht="15" customHeight="1" x14ac:dyDescent="0.25">
      <c r="T30553" s="135"/>
      <c r="U30553" s="135"/>
    </row>
    <row r="30554" spans="20:21" ht="15" customHeight="1" x14ac:dyDescent="0.25">
      <c r="T30554" s="135"/>
      <c r="U30554" s="135"/>
    </row>
    <row r="30555" spans="20:21" ht="15" customHeight="1" x14ac:dyDescent="0.25">
      <c r="T30555" s="135"/>
      <c r="U30555" s="135"/>
    </row>
    <row r="30556" spans="20:21" ht="15" customHeight="1" x14ac:dyDescent="0.25">
      <c r="T30556" s="135"/>
      <c r="U30556" s="135"/>
    </row>
    <row r="30557" spans="20:21" ht="15" customHeight="1" x14ac:dyDescent="0.25">
      <c r="T30557" s="135"/>
      <c r="U30557" s="135"/>
    </row>
    <row r="30558" spans="20:21" ht="15" customHeight="1" x14ac:dyDescent="0.25">
      <c r="T30558" s="135"/>
      <c r="U30558" s="135"/>
    </row>
    <row r="30559" spans="20:21" ht="15" customHeight="1" x14ac:dyDescent="0.25">
      <c r="T30559" s="135"/>
      <c r="U30559" s="135"/>
    </row>
    <row r="30560" spans="20:21" ht="15" customHeight="1" x14ac:dyDescent="0.25">
      <c r="T30560" s="135"/>
      <c r="U30560" s="135"/>
    </row>
    <row r="30561" spans="20:21" ht="15" customHeight="1" x14ac:dyDescent="0.25">
      <c r="T30561" s="135"/>
      <c r="U30561" s="135"/>
    </row>
    <row r="30562" spans="20:21" ht="15" customHeight="1" x14ac:dyDescent="0.25">
      <c r="T30562" s="135"/>
      <c r="U30562" s="135"/>
    </row>
    <row r="30563" spans="20:21" ht="15" customHeight="1" x14ac:dyDescent="0.25">
      <c r="T30563" s="135"/>
      <c r="U30563" s="135"/>
    </row>
    <row r="30564" spans="20:21" ht="15" customHeight="1" x14ac:dyDescent="0.25">
      <c r="T30564" s="135"/>
      <c r="U30564" s="135"/>
    </row>
    <row r="30565" spans="20:21" ht="15" customHeight="1" x14ac:dyDescent="0.25">
      <c r="T30565" s="135"/>
      <c r="U30565" s="135"/>
    </row>
    <row r="30566" spans="20:21" ht="15" customHeight="1" x14ac:dyDescent="0.25">
      <c r="T30566" s="135"/>
      <c r="U30566" s="135"/>
    </row>
    <row r="30567" spans="20:21" ht="15" customHeight="1" x14ac:dyDescent="0.25">
      <c r="T30567" s="135"/>
      <c r="U30567" s="135"/>
    </row>
    <row r="30568" spans="20:21" ht="15" customHeight="1" x14ac:dyDescent="0.25">
      <c r="T30568" s="135"/>
      <c r="U30568" s="135"/>
    </row>
    <row r="30569" spans="20:21" ht="15" customHeight="1" x14ac:dyDescent="0.25">
      <c r="T30569" s="135"/>
      <c r="U30569" s="135"/>
    </row>
    <row r="30570" spans="20:21" ht="15" customHeight="1" x14ac:dyDescent="0.25">
      <c r="T30570" s="135"/>
      <c r="U30570" s="135"/>
    </row>
    <row r="30571" spans="20:21" ht="15" customHeight="1" x14ac:dyDescent="0.25">
      <c r="T30571" s="135"/>
      <c r="U30571" s="135"/>
    </row>
    <row r="30572" spans="20:21" ht="15" customHeight="1" x14ac:dyDescent="0.25">
      <c r="T30572" s="135"/>
      <c r="U30572" s="135"/>
    </row>
    <row r="30573" spans="20:21" ht="15" customHeight="1" x14ac:dyDescent="0.25">
      <c r="T30573" s="135"/>
      <c r="U30573" s="135"/>
    </row>
    <row r="30574" spans="20:21" ht="15" customHeight="1" x14ac:dyDescent="0.25">
      <c r="T30574" s="135"/>
      <c r="U30574" s="135"/>
    </row>
    <row r="30575" spans="20:21" ht="15" customHeight="1" x14ac:dyDescent="0.25">
      <c r="T30575" s="135"/>
      <c r="U30575" s="135"/>
    </row>
    <row r="30576" spans="20:21" ht="15" customHeight="1" x14ac:dyDescent="0.25">
      <c r="T30576" s="135"/>
      <c r="U30576" s="135"/>
    </row>
    <row r="30577" spans="20:21" ht="15" customHeight="1" x14ac:dyDescent="0.25">
      <c r="T30577" s="135"/>
      <c r="U30577" s="135"/>
    </row>
    <row r="30578" spans="20:21" ht="15" customHeight="1" x14ac:dyDescent="0.25">
      <c r="T30578" s="135"/>
      <c r="U30578" s="135"/>
    </row>
    <row r="30579" spans="20:21" ht="15" customHeight="1" x14ac:dyDescent="0.25">
      <c r="T30579" s="135"/>
      <c r="U30579" s="135"/>
    </row>
    <row r="30580" spans="20:21" ht="15" customHeight="1" x14ac:dyDescent="0.25">
      <c r="T30580" s="135"/>
      <c r="U30580" s="135"/>
    </row>
    <row r="30581" spans="20:21" ht="15" customHeight="1" x14ac:dyDescent="0.25">
      <c r="T30581" s="135"/>
      <c r="U30581" s="135"/>
    </row>
    <row r="30582" spans="20:21" ht="15" customHeight="1" x14ac:dyDescent="0.25">
      <c r="T30582" s="135"/>
      <c r="U30582" s="135"/>
    </row>
    <row r="30583" spans="20:21" ht="15" customHeight="1" x14ac:dyDescent="0.25">
      <c r="T30583" s="135"/>
      <c r="U30583" s="135"/>
    </row>
    <row r="30584" spans="20:21" ht="15" customHeight="1" x14ac:dyDescent="0.25">
      <c r="T30584" s="135"/>
      <c r="U30584" s="135"/>
    </row>
    <row r="30585" spans="20:21" ht="15" customHeight="1" x14ac:dyDescent="0.25">
      <c r="T30585" s="135"/>
      <c r="U30585" s="135"/>
    </row>
    <row r="30586" spans="20:21" ht="15" customHeight="1" x14ac:dyDescent="0.25">
      <c r="T30586" s="135"/>
      <c r="U30586" s="135"/>
    </row>
    <row r="30587" spans="20:21" ht="15" customHeight="1" x14ac:dyDescent="0.25">
      <c r="T30587" s="135"/>
      <c r="U30587" s="135"/>
    </row>
    <row r="30588" spans="20:21" ht="15" customHeight="1" x14ac:dyDescent="0.25">
      <c r="T30588" s="135"/>
      <c r="U30588" s="135"/>
    </row>
    <row r="30589" spans="20:21" ht="15" customHeight="1" x14ac:dyDescent="0.25">
      <c r="T30589" s="135"/>
      <c r="U30589" s="135"/>
    </row>
    <row r="30590" spans="20:21" ht="15" customHeight="1" x14ac:dyDescent="0.25">
      <c r="T30590" s="135"/>
      <c r="U30590" s="135"/>
    </row>
    <row r="30591" spans="20:21" ht="15" customHeight="1" x14ac:dyDescent="0.25">
      <c r="T30591" s="135"/>
      <c r="U30591" s="135"/>
    </row>
    <row r="30592" spans="20:21" ht="15" customHeight="1" x14ac:dyDescent="0.25">
      <c r="T30592" s="135"/>
      <c r="U30592" s="135"/>
    </row>
    <row r="30593" spans="20:21" ht="15" customHeight="1" x14ac:dyDescent="0.25">
      <c r="T30593" s="135"/>
      <c r="U30593" s="135"/>
    </row>
    <row r="30594" spans="20:21" ht="15" customHeight="1" x14ac:dyDescent="0.25">
      <c r="T30594" s="135"/>
      <c r="U30594" s="135"/>
    </row>
    <row r="30595" spans="20:21" ht="15" customHeight="1" x14ac:dyDescent="0.25">
      <c r="T30595" s="135"/>
      <c r="U30595" s="135"/>
    </row>
    <row r="30596" spans="20:21" ht="15" customHeight="1" x14ac:dyDescent="0.25">
      <c r="T30596" s="135"/>
      <c r="U30596" s="135"/>
    </row>
    <row r="30597" spans="20:21" ht="15" customHeight="1" x14ac:dyDescent="0.25">
      <c r="T30597" s="135"/>
      <c r="U30597" s="135"/>
    </row>
    <row r="30598" spans="20:21" ht="15" customHeight="1" x14ac:dyDescent="0.25">
      <c r="T30598" s="135"/>
      <c r="U30598" s="135"/>
    </row>
    <row r="30599" spans="20:21" ht="15" customHeight="1" x14ac:dyDescent="0.25">
      <c r="T30599" s="135"/>
      <c r="U30599" s="135"/>
    </row>
    <row r="30600" spans="20:21" ht="15" customHeight="1" x14ac:dyDescent="0.25">
      <c r="T30600" s="135"/>
      <c r="U30600" s="135"/>
    </row>
    <row r="30601" spans="20:21" ht="15" customHeight="1" x14ac:dyDescent="0.25">
      <c r="T30601" s="135"/>
      <c r="U30601" s="135"/>
    </row>
    <row r="30602" spans="20:21" ht="15" customHeight="1" x14ac:dyDescent="0.25">
      <c r="T30602" s="135"/>
      <c r="U30602" s="135"/>
    </row>
    <row r="30603" spans="20:21" ht="15" customHeight="1" x14ac:dyDescent="0.25">
      <c r="T30603" s="135"/>
      <c r="U30603" s="135"/>
    </row>
    <row r="30604" spans="20:21" ht="15" customHeight="1" x14ac:dyDescent="0.25">
      <c r="T30604" s="135"/>
      <c r="U30604" s="135"/>
    </row>
    <row r="30605" spans="20:21" ht="15" customHeight="1" x14ac:dyDescent="0.25">
      <c r="T30605" s="135"/>
      <c r="U30605" s="135"/>
    </row>
    <row r="30606" spans="20:21" ht="15" customHeight="1" x14ac:dyDescent="0.25">
      <c r="T30606" s="135"/>
      <c r="U30606" s="135"/>
    </row>
    <row r="30607" spans="20:21" ht="15" customHeight="1" x14ac:dyDescent="0.25">
      <c r="T30607" s="135"/>
      <c r="U30607" s="135"/>
    </row>
    <row r="30608" spans="20:21" ht="15" customHeight="1" x14ac:dyDescent="0.25">
      <c r="T30608" s="135"/>
      <c r="U30608" s="135"/>
    </row>
    <row r="30609" spans="20:21" ht="15" customHeight="1" x14ac:dyDescent="0.25">
      <c r="T30609" s="135"/>
      <c r="U30609" s="135"/>
    </row>
    <row r="30610" spans="20:21" ht="15" customHeight="1" x14ac:dyDescent="0.25">
      <c r="T30610" s="135"/>
      <c r="U30610" s="135"/>
    </row>
    <row r="30611" spans="20:21" ht="15" customHeight="1" x14ac:dyDescent="0.25">
      <c r="T30611" s="135"/>
      <c r="U30611" s="135"/>
    </row>
    <row r="30612" spans="20:21" ht="15" customHeight="1" x14ac:dyDescent="0.25">
      <c r="T30612" s="135"/>
      <c r="U30612" s="135"/>
    </row>
    <row r="30613" spans="20:21" ht="15" customHeight="1" x14ac:dyDescent="0.25">
      <c r="T30613" s="135"/>
      <c r="U30613" s="135"/>
    </row>
    <row r="30614" spans="20:21" ht="15" customHeight="1" x14ac:dyDescent="0.25">
      <c r="T30614" s="135"/>
      <c r="U30614" s="135"/>
    </row>
    <row r="30615" spans="20:21" ht="15" customHeight="1" x14ac:dyDescent="0.25">
      <c r="T30615" s="135"/>
      <c r="U30615" s="135"/>
    </row>
    <row r="30616" spans="20:21" ht="15" customHeight="1" x14ac:dyDescent="0.25">
      <c r="T30616" s="135"/>
      <c r="U30616" s="135"/>
    </row>
    <row r="30617" spans="20:21" ht="15" customHeight="1" x14ac:dyDescent="0.25">
      <c r="T30617" s="135"/>
      <c r="U30617" s="135"/>
    </row>
    <row r="30618" spans="20:21" ht="15" customHeight="1" x14ac:dyDescent="0.25">
      <c r="T30618" s="135"/>
      <c r="U30618" s="135"/>
    </row>
    <row r="30619" spans="20:21" ht="15" customHeight="1" x14ac:dyDescent="0.25">
      <c r="T30619" s="135"/>
      <c r="U30619" s="135"/>
    </row>
    <row r="30620" spans="20:21" ht="15" customHeight="1" x14ac:dyDescent="0.25">
      <c r="T30620" s="135"/>
      <c r="U30620" s="135"/>
    </row>
    <row r="30621" spans="20:21" ht="15" customHeight="1" x14ac:dyDescent="0.25">
      <c r="T30621" s="135"/>
      <c r="U30621" s="135"/>
    </row>
    <row r="30622" spans="20:21" ht="15" customHeight="1" x14ac:dyDescent="0.25">
      <c r="T30622" s="135"/>
      <c r="U30622" s="135"/>
    </row>
    <row r="30623" spans="20:21" ht="15" customHeight="1" x14ac:dyDescent="0.25">
      <c r="T30623" s="135"/>
      <c r="U30623" s="135"/>
    </row>
    <row r="30624" spans="20:21" ht="15" customHeight="1" x14ac:dyDescent="0.25">
      <c r="T30624" s="135"/>
      <c r="U30624" s="135"/>
    </row>
    <row r="30625" spans="20:21" ht="15" customHeight="1" x14ac:dyDescent="0.25">
      <c r="T30625" s="135"/>
      <c r="U30625" s="135"/>
    </row>
    <row r="30626" spans="20:21" ht="15" customHeight="1" x14ac:dyDescent="0.25">
      <c r="T30626" s="135"/>
      <c r="U30626" s="135"/>
    </row>
    <row r="30627" spans="20:21" ht="15" customHeight="1" x14ac:dyDescent="0.25">
      <c r="T30627" s="135"/>
      <c r="U30627" s="135"/>
    </row>
    <row r="30628" spans="20:21" ht="15" customHeight="1" x14ac:dyDescent="0.25">
      <c r="T30628" s="135"/>
      <c r="U30628" s="135"/>
    </row>
    <row r="30629" spans="20:21" ht="15" customHeight="1" x14ac:dyDescent="0.25">
      <c r="T30629" s="135"/>
      <c r="U30629" s="135"/>
    </row>
    <row r="30630" spans="20:21" ht="15" customHeight="1" x14ac:dyDescent="0.25">
      <c r="T30630" s="135"/>
      <c r="U30630" s="135"/>
    </row>
    <row r="30631" spans="20:21" ht="15" customHeight="1" x14ac:dyDescent="0.25">
      <c r="T30631" s="135"/>
      <c r="U30631" s="135"/>
    </row>
    <row r="30632" spans="20:21" ht="15" customHeight="1" x14ac:dyDescent="0.25">
      <c r="T30632" s="135"/>
      <c r="U30632" s="135"/>
    </row>
    <row r="30633" spans="20:21" ht="15" customHeight="1" x14ac:dyDescent="0.25">
      <c r="T30633" s="135"/>
      <c r="U30633" s="135"/>
    </row>
    <row r="30634" spans="20:21" ht="15" customHeight="1" x14ac:dyDescent="0.25">
      <c r="T30634" s="135"/>
      <c r="U30634" s="135"/>
    </row>
    <row r="30635" spans="20:21" ht="15" customHeight="1" x14ac:dyDescent="0.25">
      <c r="T30635" s="135"/>
      <c r="U30635" s="135"/>
    </row>
    <row r="30636" spans="20:21" ht="15" customHeight="1" x14ac:dyDescent="0.25">
      <c r="T30636" s="135"/>
      <c r="U30636" s="135"/>
    </row>
    <row r="30637" spans="20:21" ht="15" customHeight="1" x14ac:dyDescent="0.25">
      <c r="T30637" s="135"/>
      <c r="U30637" s="135"/>
    </row>
    <row r="30638" spans="20:21" ht="15" customHeight="1" x14ac:dyDescent="0.25">
      <c r="T30638" s="135"/>
      <c r="U30638" s="135"/>
    </row>
    <row r="30639" spans="20:21" ht="15" customHeight="1" x14ac:dyDescent="0.25">
      <c r="T30639" s="135"/>
      <c r="U30639" s="135"/>
    </row>
    <row r="30640" spans="20:21" ht="15" customHeight="1" x14ac:dyDescent="0.25">
      <c r="T30640" s="135"/>
      <c r="U30640" s="135"/>
    </row>
    <row r="30641" spans="20:21" ht="15" customHeight="1" x14ac:dyDescent="0.25">
      <c r="T30641" s="135"/>
      <c r="U30641" s="135"/>
    </row>
    <row r="30642" spans="20:21" ht="15" customHeight="1" x14ac:dyDescent="0.25">
      <c r="T30642" s="135"/>
      <c r="U30642" s="135"/>
    </row>
    <row r="30643" spans="20:21" ht="15" customHeight="1" x14ac:dyDescent="0.25">
      <c r="T30643" s="135"/>
      <c r="U30643" s="135"/>
    </row>
    <row r="30644" spans="20:21" ht="15" customHeight="1" x14ac:dyDescent="0.25">
      <c r="T30644" s="135"/>
      <c r="U30644" s="135"/>
    </row>
    <row r="30645" spans="20:21" ht="15" customHeight="1" x14ac:dyDescent="0.25">
      <c r="T30645" s="135"/>
      <c r="U30645" s="135"/>
    </row>
    <row r="30646" spans="20:21" ht="15" customHeight="1" x14ac:dyDescent="0.25">
      <c r="T30646" s="135"/>
      <c r="U30646" s="135"/>
    </row>
    <row r="30647" spans="20:21" ht="15" customHeight="1" x14ac:dyDescent="0.25">
      <c r="T30647" s="135"/>
      <c r="U30647" s="135"/>
    </row>
    <row r="30648" spans="20:21" ht="15" customHeight="1" x14ac:dyDescent="0.25">
      <c r="T30648" s="135"/>
      <c r="U30648" s="135"/>
    </row>
    <row r="30649" spans="20:21" ht="15" customHeight="1" x14ac:dyDescent="0.25">
      <c r="T30649" s="135"/>
      <c r="U30649" s="135"/>
    </row>
    <row r="30650" spans="20:21" ht="15" customHeight="1" x14ac:dyDescent="0.25">
      <c r="T30650" s="135"/>
      <c r="U30650" s="135"/>
    </row>
    <row r="30651" spans="20:21" ht="15" customHeight="1" x14ac:dyDescent="0.25">
      <c r="T30651" s="135"/>
      <c r="U30651" s="135"/>
    </row>
    <row r="30652" spans="20:21" ht="15" customHeight="1" x14ac:dyDescent="0.25">
      <c r="T30652" s="135"/>
      <c r="U30652" s="135"/>
    </row>
    <row r="30653" spans="20:21" ht="15" customHeight="1" x14ac:dyDescent="0.25">
      <c r="T30653" s="135"/>
      <c r="U30653" s="135"/>
    </row>
    <row r="30654" spans="20:21" ht="15" customHeight="1" x14ac:dyDescent="0.25">
      <c r="T30654" s="135"/>
      <c r="U30654" s="135"/>
    </row>
    <row r="30655" spans="20:21" ht="15" customHeight="1" x14ac:dyDescent="0.25">
      <c r="T30655" s="135"/>
      <c r="U30655" s="135"/>
    </row>
    <row r="30656" spans="20:21" ht="15" customHeight="1" x14ac:dyDescent="0.25">
      <c r="T30656" s="135"/>
      <c r="U30656" s="135"/>
    </row>
    <row r="30657" spans="20:21" ht="15" customHeight="1" x14ac:dyDescent="0.25">
      <c r="T30657" s="135"/>
      <c r="U30657" s="135"/>
    </row>
    <row r="30658" spans="20:21" ht="15" customHeight="1" x14ac:dyDescent="0.25">
      <c r="T30658" s="135"/>
      <c r="U30658" s="135"/>
    </row>
    <row r="30659" spans="20:21" ht="15" customHeight="1" x14ac:dyDescent="0.25">
      <c r="T30659" s="135"/>
      <c r="U30659" s="135"/>
    </row>
    <row r="30660" spans="20:21" ht="15" customHeight="1" x14ac:dyDescent="0.25">
      <c r="T30660" s="135"/>
      <c r="U30660" s="135"/>
    </row>
    <row r="30661" spans="20:21" ht="15" customHeight="1" x14ac:dyDescent="0.25">
      <c r="T30661" s="135"/>
      <c r="U30661" s="135"/>
    </row>
    <row r="30662" spans="20:21" ht="15" customHeight="1" x14ac:dyDescent="0.25">
      <c r="T30662" s="135"/>
      <c r="U30662" s="135"/>
    </row>
    <row r="30663" spans="20:21" ht="15" customHeight="1" x14ac:dyDescent="0.25">
      <c r="T30663" s="135"/>
      <c r="U30663" s="135"/>
    </row>
    <row r="30664" spans="20:21" ht="15" customHeight="1" x14ac:dyDescent="0.25">
      <c r="T30664" s="135"/>
      <c r="U30664" s="135"/>
    </row>
    <row r="30665" spans="20:21" ht="15" customHeight="1" x14ac:dyDescent="0.25">
      <c r="T30665" s="135"/>
      <c r="U30665" s="135"/>
    </row>
    <row r="30666" spans="20:21" ht="15" customHeight="1" x14ac:dyDescent="0.25">
      <c r="T30666" s="135"/>
      <c r="U30666" s="135"/>
    </row>
    <row r="30667" spans="20:21" ht="15" customHeight="1" x14ac:dyDescent="0.25">
      <c r="T30667" s="135"/>
      <c r="U30667" s="135"/>
    </row>
    <row r="30668" spans="20:21" ht="15" customHeight="1" x14ac:dyDescent="0.25">
      <c r="T30668" s="135"/>
      <c r="U30668" s="135"/>
    </row>
    <row r="30669" spans="20:21" ht="15" customHeight="1" x14ac:dyDescent="0.25">
      <c r="T30669" s="135"/>
      <c r="U30669" s="135"/>
    </row>
    <row r="30670" spans="20:21" ht="15" customHeight="1" x14ac:dyDescent="0.25">
      <c r="T30670" s="135"/>
      <c r="U30670" s="135"/>
    </row>
    <row r="30671" spans="20:21" ht="15" customHeight="1" x14ac:dyDescent="0.25">
      <c r="T30671" s="135"/>
      <c r="U30671" s="135"/>
    </row>
    <row r="30672" spans="20:21" ht="15" customHeight="1" x14ac:dyDescent="0.25">
      <c r="T30672" s="135"/>
      <c r="U30672" s="135"/>
    </row>
    <row r="30673" spans="20:21" ht="15" customHeight="1" x14ac:dyDescent="0.25">
      <c r="T30673" s="135"/>
      <c r="U30673" s="135"/>
    </row>
    <row r="30674" spans="20:21" ht="15" customHeight="1" x14ac:dyDescent="0.25">
      <c r="T30674" s="135"/>
      <c r="U30674" s="135"/>
    </row>
    <row r="30675" spans="20:21" ht="15" customHeight="1" x14ac:dyDescent="0.25">
      <c r="T30675" s="135"/>
      <c r="U30675" s="135"/>
    </row>
    <row r="30676" spans="20:21" ht="15" customHeight="1" x14ac:dyDescent="0.25">
      <c r="T30676" s="135"/>
      <c r="U30676" s="135"/>
    </row>
    <row r="30677" spans="20:21" ht="15" customHeight="1" x14ac:dyDescent="0.25">
      <c r="T30677" s="135"/>
      <c r="U30677" s="135"/>
    </row>
    <row r="30678" spans="20:21" ht="15" customHeight="1" x14ac:dyDescent="0.25">
      <c r="T30678" s="135"/>
      <c r="U30678" s="135"/>
    </row>
    <row r="30679" spans="20:21" ht="15" customHeight="1" x14ac:dyDescent="0.25">
      <c r="T30679" s="135"/>
      <c r="U30679" s="135"/>
    </row>
    <row r="30680" spans="20:21" ht="15" customHeight="1" x14ac:dyDescent="0.25">
      <c r="T30680" s="135"/>
      <c r="U30680" s="135"/>
    </row>
    <row r="30681" spans="20:21" ht="15" customHeight="1" x14ac:dyDescent="0.25">
      <c r="T30681" s="135"/>
      <c r="U30681" s="135"/>
    </row>
    <row r="30682" spans="20:21" ht="15" customHeight="1" x14ac:dyDescent="0.25">
      <c r="T30682" s="135"/>
      <c r="U30682" s="135"/>
    </row>
    <row r="30683" spans="20:21" ht="15" customHeight="1" x14ac:dyDescent="0.25">
      <c r="T30683" s="135"/>
      <c r="U30683" s="135"/>
    </row>
    <row r="30684" spans="20:21" ht="15" customHeight="1" x14ac:dyDescent="0.25">
      <c r="T30684" s="135"/>
      <c r="U30684" s="135"/>
    </row>
    <row r="30685" spans="20:21" ht="15" customHeight="1" x14ac:dyDescent="0.25">
      <c r="T30685" s="135"/>
      <c r="U30685" s="135"/>
    </row>
    <row r="30686" spans="20:21" ht="15" customHeight="1" x14ac:dyDescent="0.25">
      <c r="T30686" s="135"/>
      <c r="U30686" s="135"/>
    </row>
    <row r="30687" spans="20:21" ht="15" customHeight="1" x14ac:dyDescent="0.25">
      <c r="T30687" s="135"/>
      <c r="U30687" s="135"/>
    </row>
    <row r="30688" spans="20:21" ht="15" customHeight="1" x14ac:dyDescent="0.25">
      <c r="T30688" s="135"/>
      <c r="U30688" s="135"/>
    </row>
    <row r="30689" spans="20:21" ht="15" customHeight="1" x14ac:dyDescent="0.25">
      <c r="T30689" s="135"/>
      <c r="U30689" s="135"/>
    </row>
    <row r="30690" spans="20:21" ht="15" customHeight="1" x14ac:dyDescent="0.25">
      <c r="T30690" s="135"/>
      <c r="U30690" s="135"/>
    </row>
    <row r="30691" spans="20:21" ht="15" customHeight="1" x14ac:dyDescent="0.25">
      <c r="T30691" s="135"/>
      <c r="U30691" s="135"/>
    </row>
    <row r="30692" spans="20:21" ht="15" customHeight="1" x14ac:dyDescent="0.25">
      <c r="T30692" s="135"/>
      <c r="U30692" s="135"/>
    </row>
    <row r="30693" spans="20:21" ht="15" customHeight="1" x14ac:dyDescent="0.25">
      <c r="T30693" s="135"/>
      <c r="U30693" s="135"/>
    </row>
    <row r="30694" spans="20:21" ht="15" customHeight="1" x14ac:dyDescent="0.25">
      <c r="T30694" s="135"/>
      <c r="U30694" s="135"/>
    </row>
    <row r="30695" spans="20:21" ht="15" customHeight="1" x14ac:dyDescent="0.25">
      <c r="T30695" s="135"/>
      <c r="U30695" s="135"/>
    </row>
    <row r="30696" spans="20:21" ht="15" customHeight="1" x14ac:dyDescent="0.25">
      <c r="T30696" s="135"/>
      <c r="U30696" s="135"/>
    </row>
    <row r="30697" spans="20:21" ht="15" customHeight="1" x14ac:dyDescent="0.25">
      <c r="T30697" s="135"/>
      <c r="U30697" s="135"/>
    </row>
    <row r="30698" spans="20:21" ht="15" customHeight="1" x14ac:dyDescent="0.25">
      <c r="T30698" s="135"/>
      <c r="U30698" s="135"/>
    </row>
    <row r="30699" spans="20:21" ht="15" customHeight="1" x14ac:dyDescent="0.25">
      <c r="T30699" s="135"/>
      <c r="U30699" s="135"/>
    </row>
    <row r="30700" spans="20:21" ht="15" customHeight="1" x14ac:dyDescent="0.25">
      <c r="T30700" s="135"/>
      <c r="U30700" s="135"/>
    </row>
    <row r="30701" spans="20:21" ht="15" customHeight="1" x14ac:dyDescent="0.25">
      <c r="T30701" s="135"/>
      <c r="U30701" s="135"/>
    </row>
    <row r="30702" spans="20:21" ht="15" customHeight="1" x14ac:dyDescent="0.25">
      <c r="T30702" s="135"/>
      <c r="U30702" s="135"/>
    </row>
    <row r="30703" spans="20:21" ht="15" customHeight="1" x14ac:dyDescent="0.25">
      <c r="T30703" s="135"/>
      <c r="U30703" s="135"/>
    </row>
    <row r="30704" spans="20:21" ht="15" customHeight="1" x14ac:dyDescent="0.25">
      <c r="T30704" s="135"/>
      <c r="U30704" s="135"/>
    </row>
    <row r="30705" spans="20:21" ht="15" customHeight="1" x14ac:dyDescent="0.25">
      <c r="T30705" s="135"/>
      <c r="U30705" s="135"/>
    </row>
    <row r="30706" spans="20:21" ht="15" customHeight="1" x14ac:dyDescent="0.25">
      <c r="T30706" s="135"/>
      <c r="U30706" s="135"/>
    </row>
    <row r="30707" spans="20:21" ht="15" customHeight="1" x14ac:dyDescent="0.25">
      <c r="T30707" s="135"/>
      <c r="U30707" s="135"/>
    </row>
    <row r="30708" spans="20:21" ht="15" customHeight="1" x14ac:dyDescent="0.25">
      <c r="T30708" s="135"/>
      <c r="U30708" s="135"/>
    </row>
    <row r="30709" spans="20:21" ht="15" customHeight="1" x14ac:dyDescent="0.25">
      <c r="T30709" s="135"/>
      <c r="U30709" s="135"/>
    </row>
    <row r="30710" spans="20:21" ht="15" customHeight="1" x14ac:dyDescent="0.25">
      <c r="T30710" s="135"/>
      <c r="U30710" s="135"/>
    </row>
    <row r="30711" spans="20:21" ht="15" customHeight="1" x14ac:dyDescent="0.25">
      <c r="T30711" s="135"/>
      <c r="U30711" s="135"/>
    </row>
    <row r="30712" spans="20:21" ht="15" customHeight="1" x14ac:dyDescent="0.25">
      <c r="T30712" s="135"/>
      <c r="U30712" s="135"/>
    </row>
    <row r="30713" spans="20:21" ht="15" customHeight="1" x14ac:dyDescent="0.25">
      <c r="T30713" s="135"/>
      <c r="U30713" s="135"/>
    </row>
    <row r="30714" spans="20:21" ht="15" customHeight="1" x14ac:dyDescent="0.25">
      <c r="T30714" s="135"/>
      <c r="U30714" s="135"/>
    </row>
    <row r="30715" spans="20:21" ht="15" customHeight="1" x14ac:dyDescent="0.25">
      <c r="T30715" s="135"/>
      <c r="U30715" s="135"/>
    </row>
    <row r="30716" spans="20:21" ht="15" customHeight="1" x14ac:dyDescent="0.25">
      <c r="T30716" s="135"/>
      <c r="U30716" s="135"/>
    </row>
    <row r="30717" spans="20:21" ht="15" customHeight="1" x14ac:dyDescent="0.25">
      <c r="T30717" s="135"/>
      <c r="U30717" s="135"/>
    </row>
    <row r="30718" spans="20:21" ht="15" customHeight="1" x14ac:dyDescent="0.25">
      <c r="T30718" s="135"/>
      <c r="U30718" s="135"/>
    </row>
    <row r="30719" spans="20:21" ht="15" customHeight="1" x14ac:dyDescent="0.25">
      <c r="T30719" s="135"/>
      <c r="U30719" s="135"/>
    </row>
    <row r="30720" spans="20:21" ht="15" customHeight="1" x14ac:dyDescent="0.25">
      <c r="T30720" s="135"/>
      <c r="U30720" s="135"/>
    </row>
    <row r="30721" spans="20:21" ht="15" customHeight="1" x14ac:dyDescent="0.25">
      <c r="T30721" s="135"/>
      <c r="U30721" s="135"/>
    </row>
    <row r="30722" spans="20:21" ht="15" customHeight="1" x14ac:dyDescent="0.25">
      <c r="T30722" s="135"/>
      <c r="U30722" s="135"/>
    </row>
    <row r="30723" spans="20:21" ht="15" customHeight="1" x14ac:dyDescent="0.25">
      <c r="T30723" s="135"/>
      <c r="U30723" s="135"/>
    </row>
    <row r="30724" spans="20:21" ht="15" customHeight="1" x14ac:dyDescent="0.25">
      <c r="T30724" s="135"/>
      <c r="U30724" s="135"/>
    </row>
    <row r="30725" spans="20:21" ht="15" customHeight="1" x14ac:dyDescent="0.25">
      <c r="T30725" s="135"/>
      <c r="U30725" s="135"/>
    </row>
    <row r="30726" spans="20:21" ht="15" customHeight="1" x14ac:dyDescent="0.25">
      <c r="T30726" s="135"/>
      <c r="U30726" s="135"/>
    </row>
    <row r="30727" spans="20:21" ht="15" customHeight="1" x14ac:dyDescent="0.25">
      <c r="T30727" s="135"/>
      <c r="U30727" s="135"/>
    </row>
    <row r="30728" spans="20:21" ht="15" customHeight="1" x14ac:dyDescent="0.25">
      <c r="T30728" s="135"/>
      <c r="U30728" s="135"/>
    </row>
    <row r="30729" spans="20:21" ht="15" customHeight="1" x14ac:dyDescent="0.25">
      <c r="T30729" s="135"/>
      <c r="U30729" s="135"/>
    </row>
    <row r="30730" spans="20:21" ht="15" customHeight="1" x14ac:dyDescent="0.25">
      <c r="T30730" s="135"/>
      <c r="U30730" s="135"/>
    </row>
    <row r="30731" spans="20:21" ht="15" customHeight="1" x14ac:dyDescent="0.25">
      <c r="T30731" s="135"/>
      <c r="U30731" s="135"/>
    </row>
    <row r="30732" spans="20:21" ht="15" customHeight="1" x14ac:dyDescent="0.25">
      <c r="T30732" s="135"/>
      <c r="U30732" s="135"/>
    </row>
    <row r="30733" spans="20:21" ht="15" customHeight="1" x14ac:dyDescent="0.25">
      <c r="T30733" s="135"/>
      <c r="U30733" s="135"/>
    </row>
    <row r="30734" spans="20:21" ht="15" customHeight="1" x14ac:dyDescent="0.25">
      <c r="T30734" s="135"/>
      <c r="U30734" s="135"/>
    </row>
    <row r="30735" spans="20:21" ht="15" customHeight="1" x14ac:dyDescent="0.25">
      <c r="T30735" s="135"/>
      <c r="U30735" s="135"/>
    </row>
    <row r="30736" spans="20:21" ht="15" customHeight="1" x14ac:dyDescent="0.25">
      <c r="T30736" s="135"/>
      <c r="U30736" s="135"/>
    </row>
    <row r="30737" spans="20:21" ht="15" customHeight="1" x14ac:dyDescent="0.25">
      <c r="T30737" s="135"/>
      <c r="U30737" s="135"/>
    </row>
    <row r="30738" spans="20:21" ht="15" customHeight="1" x14ac:dyDescent="0.25">
      <c r="T30738" s="135"/>
      <c r="U30738" s="135"/>
    </row>
    <row r="30739" spans="20:21" ht="15" customHeight="1" x14ac:dyDescent="0.25">
      <c r="T30739" s="135"/>
      <c r="U30739" s="135"/>
    </row>
    <row r="30740" spans="20:21" ht="15" customHeight="1" x14ac:dyDescent="0.25">
      <c r="T30740" s="135"/>
      <c r="U30740" s="135"/>
    </row>
    <row r="30741" spans="20:21" ht="15" customHeight="1" x14ac:dyDescent="0.25">
      <c r="T30741" s="135"/>
      <c r="U30741" s="135"/>
    </row>
    <row r="30742" spans="20:21" ht="15" customHeight="1" x14ac:dyDescent="0.25">
      <c r="T30742" s="135"/>
      <c r="U30742" s="135"/>
    </row>
    <row r="30743" spans="20:21" ht="15" customHeight="1" x14ac:dyDescent="0.25">
      <c r="T30743" s="135"/>
      <c r="U30743" s="135"/>
    </row>
    <row r="30744" spans="20:21" ht="15" customHeight="1" x14ac:dyDescent="0.25">
      <c r="T30744" s="135"/>
      <c r="U30744" s="135"/>
    </row>
    <row r="30745" spans="20:21" ht="15" customHeight="1" x14ac:dyDescent="0.25">
      <c r="T30745" s="135"/>
      <c r="U30745" s="135"/>
    </row>
    <row r="30746" spans="20:21" ht="15" customHeight="1" x14ac:dyDescent="0.25">
      <c r="T30746" s="135"/>
      <c r="U30746" s="135"/>
    </row>
    <row r="30747" spans="20:21" ht="15" customHeight="1" x14ac:dyDescent="0.25">
      <c r="T30747" s="135"/>
      <c r="U30747" s="135"/>
    </row>
    <row r="30748" spans="20:21" ht="15" customHeight="1" x14ac:dyDescent="0.25">
      <c r="T30748" s="135"/>
      <c r="U30748" s="135"/>
    </row>
    <row r="30749" spans="20:21" ht="15" customHeight="1" x14ac:dyDescent="0.25">
      <c r="T30749" s="135"/>
      <c r="U30749" s="135"/>
    </row>
    <row r="30750" spans="20:21" ht="15" customHeight="1" x14ac:dyDescent="0.25">
      <c r="T30750" s="135"/>
      <c r="U30750" s="135"/>
    </row>
    <row r="30751" spans="20:21" ht="15" customHeight="1" x14ac:dyDescent="0.25">
      <c r="T30751" s="135"/>
      <c r="U30751" s="135"/>
    </row>
    <row r="30752" spans="20:21" ht="15" customHeight="1" x14ac:dyDescent="0.25">
      <c r="T30752" s="135"/>
      <c r="U30752" s="135"/>
    </row>
    <row r="30753" spans="20:21" ht="15" customHeight="1" x14ac:dyDescent="0.25">
      <c r="T30753" s="135"/>
      <c r="U30753" s="135"/>
    </row>
    <row r="30754" spans="20:21" ht="15" customHeight="1" x14ac:dyDescent="0.25">
      <c r="T30754" s="135"/>
      <c r="U30754" s="135"/>
    </row>
    <row r="30755" spans="20:21" ht="15" customHeight="1" x14ac:dyDescent="0.25">
      <c r="T30755" s="135"/>
      <c r="U30755" s="135"/>
    </row>
    <row r="30756" spans="20:21" ht="15" customHeight="1" x14ac:dyDescent="0.25">
      <c r="T30756" s="135"/>
      <c r="U30756" s="135"/>
    </row>
    <row r="30757" spans="20:21" ht="15" customHeight="1" x14ac:dyDescent="0.25">
      <c r="T30757" s="135"/>
      <c r="U30757" s="135"/>
    </row>
    <row r="30758" spans="20:21" ht="15" customHeight="1" x14ac:dyDescent="0.25">
      <c r="T30758" s="135"/>
      <c r="U30758" s="135"/>
    </row>
    <row r="30759" spans="20:21" ht="15" customHeight="1" x14ac:dyDescent="0.25">
      <c r="T30759" s="135"/>
      <c r="U30759" s="135"/>
    </row>
    <row r="30760" spans="20:21" ht="15" customHeight="1" x14ac:dyDescent="0.25">
      <c r="T30760" s="135"/>
      <c r="U30760" s="135"/>
    </row>
    <row r="30761" spans="20:21" ht="15" customHeight="1" x14ac:dyDescent="0.25">
      <c r="T30761" s="135"/>
      <c r="U30761" s="135"/>
    </row>
    <row r="30762" spans="20:21" ht="15" customHeight="1" x14ac:dyDescent="0.25">
      <c r="T30762" s="135"/>
      <c r="U30762" s="135"/>
    </row>
    <row r="30763" spans="20:21" ht="15" customHeight="1" x14ac:dyDescent="0.25">
      <c r="T30763" s="135"/>
      <c r="U30763" s="135"/>
    </row>
    <row r="30764" spans="20:21" ht="15" customHeight="1" x14ac:dyDescent="0.25">
      <c r="T30764" s="135"/>
      <c r="U30764" s="135"/>
    </row>
    <row r="30765" spans="20:21" ht="15" customHeight="1" x14ac:dyDescent="0.25">
      <c r="T30765" s="135"/>
      <c r="U30765" s="135"/>
    </row>
    <row r="30766" spans="20:21" ht="15" customHeight="1" x14ac:dyDescent="0.25">
      <c r="T30766" s="135"/>
      <c r="U30766" s="135"/>
    </row>
    <row r="30767" spans="20:21" ht="15" customHeight="1" x14ac:dyDescent="0.25">
      <c r="T30767" s="135"/>
      <c r="U30767" s="135"/>
    </row>
    <row r="30768" spans="20:21" ht="15" customHeight="1" x14ac:dyDescent="0.25">
      <c r="T30768" s="135"/>
      <c r="U30768" s="135"/>
    </row>
    <row r="30769" spans="20:21" ht="15" customHeight="1" x14ac:dyDescent="0.25">
      <c r="T30769" s="135"/>
      <c r="U30769" s="135"/>
    </row>
    <row r="30770" spans="20:21" ht="15" customHeight="1" x14ac:dyDescent="0.25">
      <c r="T30770" s="135"/>
      <c r="U30770" s="135"/>
    </row>
    <row r="30771" spans="20:21" ht="15" customHeight="1" x14ac:dyDescent="0.25">
      <c r="T30771" s="135"/>
      <c r="U30771" s="135"/>
    </row>
    <row r="30772" spans="20:21" ht="15" customHeight="1" x14ac:dyDescent="0.25">
      <c r="T30772" s="135"/>
      <c r="U30772" s="135"/>
    </row>
    <row r="30773" spans="20:21" ht="15" customHeight="1" x14ac:dyDescent="0.25">
      <c r="T30773" s="135"/>
      <c r="U30773" s="135"/>
    </row>
    <row r="30774" spans="20:21" ht="15" customHeight="1" x14ac:dyDescent="0.25">
      <c r="T30774" s="135"/>
      <c r="U30774" s="135"/>
    </row>
    <row r="30775" spans="20:21" ht="15" customHeight="1" x14ac:dyDescent="0.25">
      <c r="T30775" s="135"/>
      <c r="U30775" s="135"/>
    </row>
    <row r="30776" spans="20:21" ht="15" customHeight="1" x14ac:dyDescent="0.25">
      <c r="T30776" s="135"/>
      <c r="U30776" s="135"/>
    </row>
    <row r="30777" spans="20:21" ht="15" customHeight="1" x14ac:dyDescent="0.25">
      <c r="T30777" s="135"/>
      <c r="U30777" s="135"/>
    </row>
    <row r="30778" spans="20:21" ht="15" customHeight="1" x14ac:dyDescent="0.25">
      <c r="T30778" s="135"/>
      <c r="U30778" s="135"/>
    </row>
    <row r="30779" spans="20:21" ht="15" customHeight="1" x14ac:dyDescent="0.25">
      <c r="T30779" s="135"/>
      <c r="U30779" s="135"/>
    </row>
    <row r="30780" spans="20:21" ht="15" customHeight="1" x14ac:dyDescent="0.25">
      <c r="T30780" s="135"/>
      <c r="U30780" s="135"/>
    </row>
    <row r="30781" spans="20:21" ht="15" customHeight="1" x14ac:dyDescent="0.25">
      <c r="T30781" s="135"/>
      <c r="U30781" s="135"/>
    </row>
    <row r="30782" spans="20:21" ht="15" customHeight="1" x14ac:dyDescent="0.25">
      <c r="T30782" s="135"/>
      <c r="U30782" s="135"/>
    </row>
    <row r="30783" spans="20:21" ht="15" customHeight="1" x14ac:dyDescent="0.25">
      <c r="T30783" s="135"/>
      <c r="U30783" s="135"/>
    </row>
    <row r="30784" spans="20:21" ht="15" customHeight="1" x14ac:dyDescent="0.25">
      <c r="T30784" s="135"/>
      <c r="U30784" s="135"/>
    </row>
    <row r="30785" spans="20:21" ht="15" customHeight="1" x14ac:dyDescent="0.25">
      <c r="T30785" s="135"/>
      <c r="U30785" s="135"/>
    </row>
    <row r="30786" spans="20:21" ht="15" customHeight="1" x14ac:dyDescent="0.25">
      <c r="T30786" s="135"/>
      <c r="U30786" s="135"/>
    </row>
    <row r="30787" spans="20:21" ht="15" customHeight="1" x14ac:dyDescent="0.25">
      <c r="T30787" s="135"/>
      <c r="U30787" s="135"/>
    </row>
    <row r="30788" spans="20:21" ht="15" customHeight="1" x14ac:dyDescent="0.25">
      <c r="T30788" s="135"/>
      <c r="U30788" s="135"/>
    </row>
    <row r="30789" spans="20:21" ht="15" customHeight="1" x14ac:dyDescent="0.25">
      <c r="T30789" s="135"/>
      <c r="U30789" s="135"/>
    </row>
    <row r="30790" spans="20:21" ht="15" customHeight="1" x14ac:dyDescent="0.25">
      <c r="T30790" s="135"/>
      <c r="U30790" s="135"/>
    </row>
    <row r="30791" spans="20:21" ht="15" customHeight="1" x14ac:dyDescent="0.25">
      <c r="T30791" s="135"/>
      <c r="U30791" s="135"/>
    </row>
    <row r="30792" spans="20:21" ht="15" customHeight="1" x14ac:dyDescent="0.25">
      <c r="T30792" s="135"/>
      <c r="U30792" s="135"/>
    </row>
    <row r="30793" spans="20:21" ht="15" customHeight="1" x14ac:dyDescent="0.25">
      <c r="T30793" s="135"/>
      <c r="U30793" s="135"/>
    </row>
    <row r="30794" spans="20:21" ht="15" customHeight="1" x14ac:dyDescent="0.25">
      <c r="T30794" s="135"/>
      <c r="U30794" s="135"/>
    </row>
    <row r="30795" spans="20:21" ht="15" customHeight="1" x14ac:dyDescent="0.25">
      <c r="T30795" s="135"/>
      <c r="U30795" s="135"/>
    </row>
    <row r="30796" spans="20:21" ht="15" customHeight="1" x14ac:dyDescent="0.25">
      <c r="T30796" s="135"/>
      <c r="U30796" s="135"/>
    </row>
    <row r="30797" spans="20:21" ht="15" customHeight="1" x14ac:dyDescent="0.25">
      <c r="T30797" s="135"/>
      <c r="U30797" s="135"/>
    </row>
    <row r="30798" spans="20:21" ht="15" customHeight="1" x14ac:dyDescent="0.25">
      <c r="T30798" s="135"/>
      <c r="U30798" s="135"/>
    </row>
    <row r="30799" spans="20:21" ht="15" customHeight="1" x14ac:dyDescent="0.25">
      <c r="T30799" s="135"/>
      <c r="U30799" s="135"/>
    </row>
    <row r="30800" spans="20:21" ht="15" customHeight="1" x14ac:dyDescent="0.25">
      <c r="T30800" s="135"/>
      <c r="U30800" s="135"/>
    </row>
    <row r="30801" spans="20:21" ht="15" customHeight="1" x14ac:dyDescent="0.25">
      <c r="T30801" s="135"/>
      <c r="U30801" s="135"/>
    </row>
    <row r="30802" spans="20:21" ht="15" customHeight="1" x14ac:dyDescent="0.25">
      <c r="T30802" s="135"/>
      <c r="U30802" s="135"/>
    </row>
    <row r="30803" spans="20:21" ht="15" customHeight="1" x14ac:dyDescent="0.25">
      <c r="T30803" s="135"/>
      <c r="U30803" s="135"/>
    </row>
    <row r="30804" spans="20:21" ht="15" customHeight="1" x14ac:dyDescent="0.25">
      <c r="T30804" s="135"/>
      <c r="U30804" s="135"/>
    </row>
    <row r="30805" spans="20:21" ht="15" customHeight="1" x14ac:dyDescent="0.25">
      <c r="T30805" s="135"/>
      <c r="U30805" s="135"/>
    </row>
    <row r="30806" spans="20:21" ht="15" customHeight="1" x14ac:dyDescent="0.25">
      <c r="T30806" s="135"/>
      <c r="U30806" s="135"/>
    </row>
    <row r="30807" spans="20:21" ht="15" customHeight="1" x14ac:dyDescent="0.25">
      <c r="T30807" s="135"/>
      <c r="U30807" s="135"/>
    </row>
    <row r="30808" spans="20:21" ht="15" customHeight="1" x14ac:dyDescent="0.25">
      <c r="T30808" s="135"/>
      <c r="U30808" s="135"/>
    </row>
    <row r="30809" spans="20:21" ht="15" customHeight="1" x14ac:dyDescent="0.25">
      <c r="T30809" s="135"/>
      <c r="U30809" s="135"/>
    </row>
    <row r="30810" spans="20:21" ht="15" customHeight="1" x14ac:dyDescent="0.25">
      <c r="T30810" s="135"/>
      <c r="U30810" s="135"/>
    </row>
    <row r="30811" spans="20:21" ht="15" customHeight="1" x14ac:dyDescent="0.25">
      <c r="T30811" s="135"/>
      <c r="U30811" s="135"/>
    </row>
    <row r="30812" spans="20:21" ht="15" customHeight="1" x14ac:dyDescent="0.25">
      <c r="T30812" s="135"/>
      <c r="U30812" s="135"/>
    </row>
    <row r="30813" spans="20:21" ht="15" customHeight="1" x14ac:dyDescent="0.25">
      <c r="T30813" s="135"/>
      <c r="U30813" s="135"/>
    </row>
    <row r="30814" spans="20:21" ht="15" customHeight="1" x14ac:dyDescent="0.25">
      <c r="T30814" s="135"/>
      <c r="U30814" s="135"/>
    </row>
    <row r="30815" spans="20:21" ht="15" customHeight="1" x14ac:dyDescent="0.25">
      <c r="T30815" s="135"/>
      <c r="U30815" s="135"/>
    </row>
    <row r="30816" spans="20:21" ht="15" customHeight="1" x14ac:dyDescent="0.25">
      <c r="T30816" s="135"/>
      <c r="U30816" s="135"/>
    </row>
    <row r="30817" spans="20:21" ht="15" customHeight="1" x14ac:dyDescent="0.25">
      <c r="T30817" s="135"/>
      <c r="U30817" s="135"/>
    </row>
    <row r="30818" spans="20:21" ht="15" customHeight="1" x14ac:dyDescent="0.25">
      <c r="T30818" s="135"/>
      <c r="U30818" s="135"/>
    </row>
    <row r="30819" spans="20:21" ht="15" customHeight="1" x14ac:dyDescent="0.25">
      <c r="T30819" s="135"/>
      <c r="U30819" s="135"/>
    </row>
    <row r="30820" spans="20:21" ht="15" customHeight="1" x14ac:dyDescent="0.25">
      <c r="T30820" s="135"/>
      <c r="U30820" s="135"/>
    </row>
    <row r="30821" spans="20:21" ht="15" customHeight="1" x14ac:dyDescent="0.25">
      <c r="T30821" s="135"/>
      <c r="U30821" s="135"/>
    </row>
    <row r="30822" spans="20:21" ht="15" customHeight="1" x14ac:dyDescent="0.25">
      <c r="T30822" s="135"/>
      <c r="U30822" s="135"/>
    </row>
    <row r="30823" spans="20:21" ht="15" customHeight="1" x14ac:dyDescent="0.25">
      <c r="T30823" s="135"/>
      <c r="U30823" s="135"/>
    </row>
    <row r="30824" spans="20:21" ht="15" customHeight="1" x14ac:dyDescent="0.25">
      <c r="T30824" s="135"/>
      <c r="U30824" s="135"/>
    </row>
    <row r="30825" spans="20:21" ht="15" customHeight="1" x14ac:dyDescent="0.25">
      <c r="T30825" s="135"/>
      <c r="U30825" s="135"/>
    </row>
    <row r="30826" spans="20:21" ht="15" customHeight="1" x14ac:dyDescent="0.25">
      <c r="T30826" s="135"/>
      <c r="U30826" s="135"/>
    </row>
    <row r="30827" spans="20:21" ht="15" customHeight="1" x14ac:dyDescent="0.25">
      <c r="T30827" s="135"/>
      <c r="U30827" s="135"/>
    </row>
    <row r="30828" spans="20:21" ht="15" customHeight="1" x14ac:dyDescent="0.25">
      <c r="T30828" s="135"/>
      <c r="U30828" s="135"/>
    </row>
    <row r="30829" spans="20:21" ht="15" customHeight="1" x14ac:dyDescent="0.25">
      <c r="T30829" s="135"/>
      <c r="U30829" s="135"/>
    </row>
    <row r="30830" spans="20:21" ht="15" customHeight="1" x14ac:dyDescent="0.25">
      <c r="T30830" s="135"/>
      <c r="U30830" s="135"/>
    </row>
    <row r="30831" spans="20:21" ht="15" customHeight="1" x14ac:dyDescent="0.25">
      <c r="T30831" s="135"/>
      <c r="U30831" s="135"/>
    </row>
    <row r="30832" spans="20:21" ht="15" customHeight="1" x14ac:dyDescent="0.25">
      <c r="T30832" s="135"/>
      <c r="U30832" s="135"/>
    </row>
    <row r="30833" spans="20:21" ht="15" customHeight="1" x14ac:dyDescent="0.25">
      <c r="T30833" s="135"/>
      <c r="U30833" s="135"/>
    </row>
    <row r="30834" spans="20:21" ht="15" customHeight="1" x14ac:dyDescent="0.25">
      <c r="T30834" s="135"/>
      <c r="U30834" s="135"/>
    </row>
    <row r="30835" spans="20:21" ht="15" customHeight="1" x14ac:dyDescent="0.25">
      <c r="T30835" s="135"/>
      <c r="U30835" s="135"/>
    </row>
    <row r="30836" spans="20:21" ht="15" customHeight="1" x14ac:dyDescent="0.25">
      <c r="T30836" s="135"/>
      <c r="U30836" s="135"/>
    </row>
    <row r="30837" spans="20:21" ht="15" customHeight="1" x14ac:dyDescent="0.25">
      <c r="T30837" s="135"/>
      <c r="U30837" s="135"/>
    </row>
    <row r="30838" spans="20:21" ht="15" customHeight="1" x14ac:dyDescent="0.25">
      <c r="T30838" s="135"/>
      <c r="U30838" s="135"/>
    </row>
    <row r="30839" spans="20:21" ht="15" customHeight="1" x14ac:dyDescent="0.25">
      <c r="T30839" s="135"/>
      <c r="U30839" s="135"/>
    </row>
    <row r="30840" spans="20:21" ht="15" customHeight="1" x14ac:dyDescent="0.25">
      <c r="T30840" s="135"/>
      <c r="U30840" s="135"/>
    </row>
    <row r="30841" spans="20:21" ht="15" customHeight="1" x14ac:dyDescent="0.25">
      <c r="T30841" s="135"/>
      <c r="U30841" s="135"/>
    </row>
    <row r="30842" spans="20:21" ht="15" customHeight="1" x14ac:dyDescent="0.25">
      <c r="T30842" s="135"/>
      <c r="U30842" s="135"/>
    </row>
    <row r="30843" spans="20:21" ht="15" customHeight="1" x14ac:dyDescent="0.25">
      <c r="T30843" s="135"/>
      <c r="U30843" s="135"/>
    </row>
    <row r="30844" spans="20:21" ht="15" customHeight="1" x14ac:dyDescent="0.25">
      <c r="T30844" s="135"/>
      <c r="U30844" s="135"/>
    </row>
    <row r="30845" spans="20:21" ht="15" customHeight="1" x14ac:dyDescent="0.25">
      <c r="T30845" s="135"/>
      <c r="U30845" s="135"/>
    </row>
    <row r="30846" spans="20:21" ht="15" customHeight="1" x14ac:dyDescent="0.25">
      <c r="T30846" s="135"/>
      <c r="U30846" s="135"/>
    </row>
    <row r="30847" spans="20:21" ht="15" customHeight="1" x14ac:dyDescent="0.25">
      <c r="T30847" s="135"/>
      <c r="U30847" s="135"/>
    </row>
    <row r="30848" spans="20:21" ht="15" customHeight="1" x14ac:dyDescent="0.25">
      <c r="T30848" s="135"/>
      <c r="U30848" s="135"/>
    </row>
    <row r="30849" spans="20:21" ht="15" customHeight="1" x14ac:dyDescent="0.25">
      <c r="T30849" s="135"/>
      <c r="U30849" s="135"/>
    </row>
    <row r="30850" spans="20:21" ht="15" customHeight="1" x14ac:dyDescent="0.25">
      <c r="T30850" s="135"/>
      <c r="U30850" s="135"/>
    </row>
    <row r="30851" spans="20:21" ht="15" customHeight="1" x14ac:dyDescent="0.25">
      <c r="T30851" s="135"/>
      <c r="U30851" s="135"/>
    </row>
    <row r="30852" spans="20:21" ht="15" customHeight="1" x14ac:dyDescent="0.25">
      <c r="T30852" s="135"/>
      <c r="U30852" s="135"/>
    </row>
    <row r="30853" spans="20:21" ht="15" customHeight="1" x14ac:dyDescent="0.25">
      <c r="T30853" s="135"/>
      <c r="U30853" s="135"/>
    </row>
    <row r="30854" spans="20:21" ht="15" customHeight="1" x14ac:dyDescent="0.25">
      <c r="T30854" s="135"/>
      <c r="U30854" s="135"/>
    </row>
    <row r="30855" spans="20:21" ht="15" customHeight="1" x14ac:dyDescent="0.25">
      <c r="T30855" s="135"/>
      <c r="U30855" s="135"/>
    </row>
    <row r="30856" spans="20:21" ht="15" customHeight="1" x14ac:dyDescent="0.25">
      <c r="T30856" s="135"/>
      <c r="U30856" s="135"/>
    </row>
    <row r="30857" spans="20:21" ht="15" customHeight="1" x14ac:dyDescent="0.25">
      <c r="T30857" s="135"/>
      <c r="U30857" s="135"/>
    </row>
    <row r="30858" spans="20:21" ht="15" customHeight="1" x14ac:dyDescent="0.25">
      <c r="T30858" s="135"/>
      <c r="U30858" s="135"/>
    </row>
    <row r="30859" spans="20:21" ht="15" customHeight="1" x14ac:dyDescent="0.25">
      <c r="T30859" s="135"/>
      <c r="U30859" s="135"/>
    </row>
    <row r="30860" spans="20:21" ht="15" customHeight="1" x14ac:dyDescent="0.25">
      <c r="T30860" s="135"/>
      <c r="U30860" s="135"/>
    </row>
    <row r="30861" spans="20:21" ht="15" customHeight="1" x14ac:dyDescent="0.25">
      <c r="T30861" s="135"/>
      <c r="U30861" s="135"/>
    </row>
    <row r="30862" spans="20:21" ht="15" customHeight="1" x14ac:dyDescent="0.25">
      <c r="T30862" s="135"/>
      <c r="U30862" s="135"/>
    </row>
    <row r="30863" spans="20:21" ht="15" customHeight="1" x14ac:dyDescent="0.25">
      <c r="T30863" s="135"/>
      <c r="U30863" s="135"/>
    </row>
    <row r="30864" spans="20:21" ht="15" customHeight="1" x14ac:dyDescent="0.25">
      <c r="T30864" s="135"/>
      <c r="U30864" s="135"/>
    </row>
    <row r="30865" spans="20:21" ht="15" customHeight="1" x14ac:dyDescent="0.25">
      <c r="T30865" s="135"/>
      <c r="U30865" s="135"/>
    </row>
    <row r="30866" spans="20:21" ht="15" customHeight="1" x14ac:dyDescent="0.25">
      <c r="T30866" s="135"/>
      <c r="U30866" s="135"/>
    </row>
    <row r="30867" spans="20:21" ht="15" customHeight="1" x14ac:dyDescent="0.25">
      <c r="T30867" s="135"/>
      <c r="U30867" s="135"/>
    </row>
    <row r="30868" spans="20:21" ht="15" customHeight="1" x14ac:dyDescent="0.25">
      <c r="T30868" s="135"/>
      <c r="U30868" s="135"/>
    </row>
    <row r="30869" spans="20:21" ht="15" customHeight="1" x14ac:dyDescent="0.25">
      <c r="T30869" s="135"/>
      <c r="U30869" s="135"/>
    </row>
    <row r="30870" spans="20:21" ht="15" customHeight="1" x14ac:dyDescent="0.25">
      <c r="T30870" s="135"/>
      <c r="U30870" s="135"/>
    </row>
    <row r="30871" spans="20:21" ht="15" customHeight="1" x14ac:dyDescent="0.25">
      <c r="T30871" s="135"/>
      <c r="U30871" s="135"/>
    </row>
    <row r="30872" spans="20:21" ht="15" customHeight="1" x14ac:dyDescent="0.25">
      <c r="T30872" s="135"/>
      <c r="U30872" s="135"/>
    </row>
    <row r="30873" spans="20:21" ht="15" customHeight="1" x14ac:dyDescent="0.25">
      <c r="T30873" s="135"/>
      <c r="U30873" s="135"/>
    </row>
    <row r="30874" spans="20:21" ht="15" customHeight="1" x14ac:dyDescent="0.25">
      <c r="T30874" s="135"/>
      <c r="U30874" s="135"/>
    </row>
    <row r="30875" spans="20:21" ht="15" customHeight="1" x14ac:dyDescent="0.25">
      <c r="T30875" s="135"/>
      <c r="U30875" s="135"/>
    </row>
    <row r="30876" spans="20:21" ht="15" customHeight="1" x14ac:dyDescent="0.25">
      <c r="T30876" s="135"/>
      <c r="U30876" s="135"/>
    </row>
    <row r="30877" spans="20:21" ht="15" customHeight="1" x14ac:dyDescent="0.25">
      <c r="T30877" s="135"/>
      <c r="U30877" s="135"/>
    </row>
    <row r="30878" spans="20:21" ht="15" customHeight="1" x14ac:dyDescent="0.25">
      <c r="T30878" s="135"/>
      <c r="U30878" s="135"/>
    </row>
    <row r="30879" spans="20:21" ht="15" customHeight="1" x14ac:dyDescent="0.25">
      <c r="T30879" s="135"/>
      <c r="U30879" s="135"/>
    </row>
    <row r="30880" spans="20:21" ht="15" customHeight="1" x14ac:dyDescent="0.25">
      <c r="T30880" s="135"/>
      <c r="U30880" s="135"/>
    </row>
    <row r="30881" spans="20:21" ht="15" customHeight="1" x14ac:dyDescent="0.25">
      <c r="T30881" s="135"/>
      <c r="U30881" s="135"/>
    </row>
    <row r="30882" spans="20:21" ht="15" customHeight="1" x14ac:dyDescent="0.25">
      <c r="T30882" s="135"/>
      <c r="U30882" s="135"/>
    </row>
    <row r="30883" spans="20:21" ht="15" customHeight="1" x14ac:dyDescent="0.25">
      <c r="T30883" s="135"/>
      <c r="U30883" s="135"/>
    </row>
    <row r="30884" spans="20:21" ht="15" customHeight="1" x14ac:dyDescent="0.25">
      <c r="T30884" s="135"/>
      <c r="U30884" s="135"/>
    </row>
    <row r="30885" spans="20:21" ht="15" customHeight="1" x14ac:dyDescent="0.25">
      <c r="T30885" s="135"/>
      <c r="U30885" s="135"/>
    </row>
    <row r="30886" spans="20:21" ht="15" customHeight="1" x14ac:dyDescent="0.25">
      <c r="T30886" s="135"/>
      <c r="U30886" s="135"/>
    </row>
    <row r="30887" spans="20:21" ht="15" customHeight="1" x14ac:dyDescent="0.25">
      <c r="T30887" s="135"/>
      <c r="U30887" s="135"/>
    </row>
    <row r="30888" spans="20:21" ht="15" customHeight="1" x14ac:dyDescent="0.25">
      <c r="T30888" s="135"/>
      <c r="U30888" s="135"/>
    </row>
    <row r="30889" spans="20:21" ht="15" customHeight="1" x14ac:dyDescent="0.25">
      <c r="T30889" s="135"/>
      <c r="U30889" s="135"/>
    </row>
    <row r="30890" spans="20:21" ht="15" customHeight="1" x14ac:dyDescent="0.25">
      <c r="T30890" s="135"/>
      <c r="U30890" s="135"/>
    </row>
    <row r="30891" spans="20:21" ht="15" customHeight="1" x14ac:dyDescent="0.25">
      <c r="T30891" s="135"/>
      <c r="U30891" s="135"/>
    </row>
    <row r="30892" spans="20:21" ht="15" customHeight="1" x14ac:dyDescent="0.25">
      <c r="T30892" s="135"/>
      <c r="U30892" s="135"/>
    </row>
    <row r="30893" spans="20:21" ht="15" customHeight="1" x14ac:dyDescent="0.25">
      <c r="T30893" s="135"/>
      <c r="U30893" s="135"/>
    </row>
    <row r="30894" spans="20:21" ht="15" customHeight="1" x14ac:dyDescent="0.25">
      <c r="T30894" s="135"/>
      <c r="U30894" s="135"/>
    </row>
    <row r="30895" spans="20:21" ht="15" customHeight="1" x14ac:dyDescent="0.25">
      <c r="T30895" s="135"/>
      <c r="U30895" s="135"/>
    </row>
    <row r="30896" spans="20:21" ht="15" customHeight="1" x14ac:dyDescent="0.25">
      <c r="T30896" s="135"/>
      <c r="U30896" s="135"/>
    </row>
    <row r="30897" spans="20:21" ht="15" customHeight="1" x14ac:dyDescent="0.25">
      <c r="T30897" s="135"/>
      <c r="U30897" s="135"/>
    </row>
    <row r="30898" spans="20:21" ht="15" customHeight="1" x14ac:dyDescent="0.25">
      <c r="T30898" s="135"/>
      <c r="U30898" s="135"/>
    </row>
    <row r="30899" spans="20:21" ht="15" customHeight="1" x14ac:dyDescent="0.25">
      <c r="T30899" s="135"/>
      <c r="U30899" s="135"/>
    </row>
    <row r="30900" spans="20:21" ht="15" customHeight="1" x14ac:dyDescent="0.25">
      <c r="T30900" s="135"/>
      <c r="U30900" s="135"/>
    </row>
    <row r="30901" spans="20:21" ht="15" customHeight="1" x14ac:dyDescent="0.25">
      <c r="T30901" s="135"/>
      <c r="U30901" s="135"/>
    </row>
    <row r="30902" spans="20:21" ht="15" customHeight="1" x14ac:dyDescent="0.25">
      <c r="T30902" s="135"/>
      <c r="U30902" s="135"/>
    </row>
    <row r="30903" spans="20:21" ht="15" customHeight="1" x14ac:dyDescent="0.25">
      <c r="T30903" s="135"/>
      <c r="U30903" s="135"/>
    </row>
    <row r="30904" spans="20:21" ht="15" customHeight="1" x14ac:dyDescent="0.25">
      <c r="T30904" s="135"/>
      <c r="U30904" s="135"/>
    </row>
    <row r="30905" spans="20:21" ht="15" customHeight="1" x14ac:dyDescent="0.25">
      <c r="T30905" s="135"/>
      <c r="U30905" s="135"/>
    </row>
    <row r="30906" spans="20:21" ht="15" customHeight="1" x14ac:dyDescent="0.25">
      <c r="T30906" s="135"/>
      <c r="U30906" s="135"/>
    </row>
    <row r="30907" spans="20:21" ht="15" customHeight="1" x14ac:dyDescent="0.25">
      <c r="T30907" s="135"/>
      <c r="U30907" s="135"/>
    </row>
    <row r="30908" spans="20:21" ht="15" customHeight="1" x14ac:dyDescent="0.25">
      <c r="T30908" s="135"/>
      <c r="U30908" s="135"/>
    </row>
    <row r="30909" spans="20:21" ht="15" customHeight="1" x14ac:dyDescent="0.25">
      <c r="T30909" s="135"/>
      <c r="U30909" s="135"/>
    </row>
    <row r="30910" spans="20:21" ht="15" customHeight="1" x14ac:dyDescent="0.25">
      <c r="T30910" s="135"/>
      <c r="U30910" s="135"/>
    </row>
    <row r="30911" spans="20:21" ht="15" customHeight="1" x14ac:dyDescent="0.25">
      <c r="T30911" s="135"/>
      <c r="U30911" s="135"/>
    </row>
    <row r="30912" spans="20:21" ht="15" customHeight="1" x14ac:dyDescent="0.25">
      <c r="T30912" s="135"/>
      <c r="U30912" s="135"/>
    </row>
    <row r="30913" spans="20:21" ht="15" customHeight="1" x14ac:dyDescent="0.25">
      <c r="T30913" s="135"/>
      <c r="U30913" s="135"/>
    </row>
    <row r="30914" spans="20:21" ht="15" customHeight="1" x14ac:dyDescent="0.25">
      <c r="T30914" s="135"/>
      <c r="U30914" s="135"/>
    </row>
    <row r="30915" spans="20:21" ht="15" customHeight="1" x14ac:dyDescent="0.25">
      <c r="T30915" s="135"/>
      <c r="U30915" s="135"/>
    </row>
    <row r="30916" spans="20:21" ht="15" customHeight="1" x14ac:dyDescent="0.25">
      <c r="T30916" s="135"/>
      <c r="U30916" s="135"/>
    </row>
    <row r="30917" spans="20:21" ht="15" customHeight="1" x14ac:dyDescent="0.25">
      <c r="T30917" s="135"/>
      <c r="U30917" s="135"/>
    </row>
    <row r="30918" spans="20:21" ht="15" customHeight="1" x14ac:dyDescent="0.25">
      <c r="T30918" s="135"/>
      <c r="U30918" s="135"/>
    </row>
    <row r="30919" spans="20:21" ht="15" customHeight="1" x14ac:dyDescent="0.25">
      <c r="T30919" s="135"/>
      <c r="U30919" s="135"/>
    </row>
    <row r="30920" spans="20:21" ht="15" customHeight="1" x14ac:dyDescent="0.25">
      <c r="T30920" s="135"/>
      <c r="U30920" s="135"/>
    </row>
    <row r="30921" spans="20:21" ht="15" customHeight="1" x14ac:dyDescent="0.25">
      <c r="T30921" s="135"/>
      <c r="U30921" s="135"/>
    </row>
    <row r="30922" spans="20:21" ht="15" customHeight="1" x14ac:dyDescent="0.25">
      <c r="T30922" s="135"/>
      <c r="U30922" s="135"/>
    </row>
    <row r="30923" spans="20:21" ht="15" customHeight="1" x14ac:dyDescent="0.25">
      <c r="T30923" s="135"/>
      <c r="U30923" s="135"/>
    </row>
    <row r="30924" spans="20:21" ht="15" customHeight="1" x14ac:dyDescent="0.25">
      <c r="T30924" s="135"/>
      <c r="U30924" s="135"/>
    </row>
    <row r="30925" spans="20:21" ht="15" customHeight="1" x14ac:dyDescent="0.25">
      <c r="T30925" s="135"/>
      <c r="U30925" s="135"/>
    </row>
    <row r="30926" spans="20:21" ht="15" customHeight="1" x14ac:dyDescent="0.25">
      <c r="T30926" s="135"/>
      <c r="U30926" s="135"/>
    </row>
    <row r="30927" spans="20:21" ht="15" customHeight="1" x14ac:dyDescent="0.25">
      <c r="T30927" s="135"/>
      <c r="U30927" s="135"/>
    </row>
    <row r="30928" spans="20:21" ht="15" customHeight="1" x14ac:dyDescent="0.25">
      <c r="T30928" s="135"/>
      <c r="U30928" s="135"/>
    </row>
    <row r="30929" spans="20:21" ht="15" customHeight="1" x14ac:dyDescent="0.25">
      <c r="T30929" s="135"/>
      <c r="U30929" s="135"/>
    </row>
    <row r="30930" spans="20:21" ht="15" customHeight="1" x14ac:dyDescent="0.25">
      <c r="T30930" s="135"/>
      <c r="U30930" s="135"/>
    </row>
    <row r="30931" spans="20:21" ht="15" customHeight="1" x14ac:dyDescent="0.25">
      <c r="T30931" s="135"/>
      <c r="U30931" s="135"/>
    </row>
    <row r="30932" spans="20:21" ht="15" customHeight="1" x14ac:dyDescent="0.25">
      <c r="T30932" s="135"/>
      <c r="U30932" s="135"/>
    </row>
    <row r="30933" spans="20:21" ht="15" customHeight="1" x14ac:dyDescent="0.25">
      <c r="T30933" s="135"/>
      <c r="U30933" s="135"/>
    </row>
    <row r="30934" spans="20:21" ht="15" customHeight="1" x14ac:dyDescent="0.25">
      <c r="T30934" s="135"/>
      <c r="U30934" s="135"/>
    </row>
    <row r="30935" spans="20:21" ht="15" customHeight="1" x14ac:dyDescent="0.25">
      <c r="T30935" s="135"/>
      <c r="U30935" s="135"/>
    </row>
    <row r="30936" spans="20:21" ht="15" customHeight="1" x14ac:dyDescent="0.25">
      <c r="T30936" s="135"/>
      <c r="U30936" s="135"/>
    </row>
    <row r="30937" spans="20:21" ht="15" customHeight="1" x14ac:dyDescent="0.25">
      <c r="T30937" s="135"/>
      <c r="U30937" s="135"/>
    </row>
    <row r="30938" spans="20:21" ht="15" customHeight="1" x14ac:dyDescent="0.25">
      <c r="T30938" s="135"/>
      <c r="U30938" s="135"/>
    </row>
    <row r="30939" spans="20:21" ht="15" customHeight="1" x14ac:dyDescent="0.25">
      <c r="T30939" s="135"/>
      <c r="U30939" s="135"/>
    </row>
    <row r="30940" spans="20:21" ht="15" customHeight="1" x14ac:dyDescent="0.25">
      <c r="T30940" s="135"/>
      <c r="U30940" s="135"/>
    </row>
    <row r="30941" spans="20:21" ht="15" customHeight="1" x14ac:dyDescent="0.25">
      <c r="T30941" s="135"/>
      <c r="U30941" s="135"/>
    </row>
    <row r="30942" spans="20:21" ht="15" customHeight="1" x14ac:dyDescent="0.25">
      <c r="T30942" s="135"/>
      <c r="U30942" s="135"/>
    </row>
    <row r="30943" spans="20:21" ht="15" customHeight="1" x14ac:dyDescent="0.25">
      <c r="T30943" s="135"/>
      <c r="U30943" s="135"/>
    </row>
    <row r="30944" spans="20:21" ht="15" customHeight="1" x14ac:dyDescent="0.25">
      <c r="T30944" s="135"/>
      <c r="U30944" s="135"/>
    </row>
    <row r="30945" spans="20:21" ht="15" customHeight="1" x14ac:dyDescent="0.25">
      <c r="T30945" s="135"/>
      <c r="U30945" s="135"/>
    </row>
    <row r="30946" spans="20:21" ht="15" customHeight="1" x14ac:dyDescent="0.25">
      <c r="T30946" s="135"/>
      <c r="U30946" s="135"/>
    </row>
    <row r="30947" spans="20:21" ht="15" customHeight="1" x14ac:dyDescent="0.25">
      <c r="T30947" s="135"/>
      <c r="U30947" s="135"/>
    </row>
    <row r="30948" spans="20:21" ht="15" customHeight="1" x14ac:dyDescent="0.25">
      <c r="T30948" s="135"/>
      <c r="U30948" s="135"/>
    </row>
    <row r="30949" spans="20:21" ht="15" customHeight="1" x14ac:dyDescent="0.25">
      <c r="T30949" s="135"/>
      <c r="U30949" s="135"/>
    </row>
    <row r="30950" spans="20:21" ht="15" customHeight="1" x14ac:dyDescent="0.25">
      <c r="T30950" s="135"/>
      <c r="U30950" s="135"/>
    </row>
    <row r="30951" spans="20:21" ht="15" customHeight="1" x14ac:dyDescent="0.25">
      <c r="T30951" s="135"/>
      <c r="U30951" s="135"/>
    </row>
    <row r="30952" spans="20:21" ht="15" customHeight="1" x14ac:dyDescent="0.25">
      <c r="T30952" s="135"/>
      <c r="U30952" s="135"/>
    </row>
    <row r="30953" spans="20:21" ht="15" customHeight="1" x14ac:dyDescent="0.25">
      <c r="T30953" s="135"/>
      <c r="U30953" s="135"/>
    </row>
    <row r="30954" spans="20:21" ht="15" customHeight="1" x14ac:dyDescent="0.25">
      <c r="T30954" s="135"/>
      <c r="U30954" s="135"/>
    </row>
    <row r="30955" spans="20:21" ht="15" customHeight="1" x14ac:dyDescent="0.25">
      <c r="T30955" s="135"/>
      <c r="U30955" s="135"/>
    </row>
    <row r="30956" spans="20:21" ht="15" customHeight="1" x14ac:dyDescent="0.25">
      <c r="T30956" s="135"/>
      <c r="U30956" s="135"/>
    </row>
    <row r="30957" spans="20:21" ht="15" customHeight="1" x14ac:dyDescent="0.25">
      <c r="T30957" s="135"/>
      <c r="U30957" s="135"/>
    </row>
    <row r="30958" spans="20:21" ht="15" customHeight="1" x14ac:dyDescent="0.25">
      <c r="T30958" s="135"/>
      <c r="U30958" s="135"/>
    </row>
    <row r="30959" spans="20:21" ht="15" customHeight="1" x14ac:dyDescent="0.25">
      <c r="T30959" s="135"/>
      <c r="U30959" s="135"/>
    </row>
    <row r="30960" spans="20:21" ht="15" customHeight="1" x14ac:dyDescent="0.25">
      <c r="T30960" s="135"/>
      <c r="U30960" s="135"/>
    </row>
    <row r="30961" spans="20:21" ht="15" customHeight="1" x14ac:dyDescent="0.25">
      <c r="T30961" s="135"/>
      <c r="U30961" s="135"/>
    </row>
    <row r="30962" spans="20:21" ht="15" customHeight="1" x14ac:dyDescent="0.25">
      <c r="T30962" s="135"/>
      <c r="U30962" s="135"/>
    </row>
    <row r="30963" spans="20:21" ht="15" customHeight="1" x14ac:dyDescent="0.25">
      <c r="T30963" s="135"/>
      <c r="U30963" s="135"/>
    </row>
    <row r="30964" spans="20:21" ht="15" customHeight="1" x14ac:dyDescent="0.25">
      <c r="T30964" s="135"/>
      <c r="U30964" s="135"/>
    </row>
    <row r="30965" spans="20:21" ht="15" customHeight="1" x14ac:dyDescent="0.25">
      <c r="T30965" s="135"/>
      <c r="U30965" s="135"/>
    </row>
    <row r="30966" spans="20:21" ht="15" customHeight="1" x14ac:dyDescent="0.25">
      <c r="T30966" s="135"/>
      <c r="U30966" s="135"/>
    </row>
    <row r="30967" spans="20:21" ht="15" customHeight="1" x14ac:dyDescent="0.25">
      <c r="T30967" s="135"/>
      <c r="U30967" s="135"/>
    </row>
    <row r="30968" spans="20:21" ht="15" customHeight="1" x14ac:dyDescent="0.25">
      <c r="T30968" s="135"/>
      <c r="U30968" s="135"/>
    </row>
    <row r="30969" spans="20:21" ht="15" customHeight="1" x14ac:dyDescent="0.25">
      <c r="T30969" s="135"/>
      <c r="U30969" s="135"/>
    </row>
    <row r="30970" spans="20:21" ht="15" customHeight="1" x14ac:dyDescent="0.25">
      <c r="T30970" s="135"/>
      <c r="U30970" s="135"/>
    </row>
    <row r="30971" spans="20:21" ht="15" customHeight="1" x14ac:dyDescent="0.25">
      <c r="T30971" s="135"/>
      <c r="U30971" s="135"/>
    </row>
    <row r="30972" spans="20:21" ht="15" customHeight="1" x14ac:dyDescent="0.25">
      <c r="T30972" s="135"/>
      <c r="U30972" s="135"/>
    </row>
    <row r="30973" spans="20:21" ht="15" customHeight="1" x14ac:dyDescent="0.25">
      <c r="T30973" s="135"/>
      <c r="U30973" s="135"/>
    </row>
    <row r="30974" spans="20:21" ht="15" customHeight="1" x14ac:dyDescent="0.25">
      <c r="T30974" s="135"/>
      <c r="U30974" s="135"/>
    </row>
    <row r="30975" spans="20:21" ht="15" customHeight="1" x14ac:dyDescent="0.25">
      <c r="T30975" s="135"/>
      <c r="U30975" s="135"/>
    </row>
    <row r="30976" spans="20:21" ht="15" customHeight="1" x14ac:dyDescent="0.25">
      <c r="T30976" s="135"/>
      <c r="U30976" s="135"/>
    </row>
    <row r="30977" spans="20:21" ht="15" customHeight="1" x14ac:dyDescent="0.25">
      <c r="T30977" s="135"/>
      <c r="U30977" s="135"/>
    </row>
    <row r="30978" spans="20:21" ht="15" customHeight="1" x14ac:dyDescent="0.25">
      <c r="T30978" s="135"/>
      <c r="U30978" s="135"/>
    </row>
    <row r="30979" spans="20:21" ht="15" customHeight="1" x14ac:dyDescent="0.25">
      <c r="T30979" s="135"/>
      <c r="U30979" s="135"/>
    </row>
    <row r="30980" spans="20:21" ht="15" customHeight="1" x14ac:dyDescent="0.25">
      <c r="T30980" s="135"/>
      <c r="U30980" s="135"/>
    </row>
    <row r="30981" spans="20:21" ht="15" customHeight="1" x14ac:dyDescent="0.25">
      <c r="T30981" s="135"/>
      <c r="U30981" s="135"/>
    </row>
    <row r="30982" spans="20:21" ht="15" customHeight="1" x14ac:dyDescent="0.25">
      <c r="T30982" s="135"/>
      <c r="U30982" s="135"/>
    </row>
    <row r="30983" spans="20:21" ht="15" customHeight="1" x14ac:dyDescent="0.25">
      <c r="T30983" s="135"/>
      <c r="U30983" s="135"/>
    </row>
    <row r="30984" spans="20:21" ht="15" customHeight="1" x14ac:dyDescent="0.25">
      <c r="T30984" s="135"/>
      <c r="U30984" s="135"/>
    </row>
    <row r="30985" spans="20:21" ht="15" customHeight="1" x14ac:dyDescent="0.25">
      <c r="T30985" s="135"/>
      <c r="U30985" s="135"/>
    </row>
    <row r="30986" spans="20:21" ht="15" customHeight="1" x14ac:dyDescent="0.25">
      <c r="T30986" s="135"/>
      <c r="U30986" s="135"/>
    </row>
    <row r="30987" spans="20:21" ht="15" customHeight="1" x14ac:dyDescent="0.25">
      <c r="T30987" s="135"/>
      <c r="U30987" s="135"/>
    </row>
    <row r="30988" spans="20:21" ht="15" customHeight="1" x14ac:dyDescent="0.25">
      <c r="T30988" s="135"/>
      <c r="U30988" s="135"/>
    </row>
    <row r="30989" spans="20:21" ht="15" customHeight="1" x14ac:dyDescent="0.25">
      <c r="T30989" s="135"/>
      <c r="U30989" s="135"/>
    </row>
    <row r="30990" spans="20:21" ht="15" customHeight="1" x14ac:dyDescent="0.25">
      <c r="T30990" s="135"/>
      <c r="U30990" s="135"/>
    </row>
    <row r="30991" spans="20:21" ht="15" customHeight="1" x14ac:dyDescent="0.25">
      <c r="T30991" s="135"/>
      <c r="U30991" s="135"/>
    </row>
    <row r="30992" spans="20:21" ht="15" customHeight="1" x14ac:dyDescent="0.25">
      <c r="T30992" s="135"/>
      <c r="U30992" s="135"/>
    </row>
    <row r="30993" spans="20:21" ht="15" customHeight="1" x14ac:dyDescent="0.25">
      <c r="T30993" s="135"/>
      <c r="U30993" s="135"/>
    </row>
    <row r="30994" spans="20:21" ht="15" customHeight="1" x14ac:dyDescent="0.25">
      <c r="T30994" s="135"/>
      <c r="U30994" s="135"/>
    </row>
    <row r="30995" spans="20:21" ht="15" customHeight="1" x14ac:dyDescent="0.25">
      <c r="T30995" s="135"/>
      <c r="U30995" s="135"/>
    </row>
    <row r="30996" spans="20:21" ht="15" customHeight="1" x14ac:dyDescent="0.25">
      <c r="T30996" s="135"/>
      <c r="U30996" s="135"/>
    </row>
    <row r="30997" spans="20:21" ht="15" customHeight="1" x14ac:dyDescent="0.25">
      <c r="T30997" s="135"/>
      <c r="U30997" s="135"/>
    </row>
    <row r="30998" spans="20:21" ht="15" customHeight="1" x14ac:dyDescent="0.25">
      <c r="T30998" s="135"/>
      <c r="U30998" s="135"/>
    </row>
    <row r="30999" spans="20:21" ht="15" customHeight="1" x14ac:dyDescent="0.25">
      <c r="T30999" s="135"/>
      <c r="U30999" s="135"/>
    </row>
    <row r="31000" spans="20:21" ht="15" customHeight="1" x14ac:dyDescent="0.25">
      <c r="T31000" s="135"/>
      <c r="U31000" s="135"/>
    </row>
    <row r="31001" spans="20:21" ht="15" customHeight="1" x14ac:dyDescent="0.25">
      <c r="T31001" s="135"/>
      <c r="U31001" s="135"/>
    </row>
    <row r="31002" spans="20:21" ht="15" customHeight="1" x14ac:dyDescent="0.25">
      <c r="T31002" s="135"/>
      <c r="U31002" s="135"/>
    </row>
    <row r="31003" spans="20:21" ht="15" customHeight="1" x14ac:dyDescent="0.25">
      <c r="T31003" s="135"/>
      <c r="U31003" s="135"/>
    </row>
    <row r="31004" spans="20:21" ht="15" customHeight="1" x14ac:dyDescent="0.25">
      <c r="T31004" s="135"/>
      <c r="U31004" s="135"/>
    </row>
    <row r="31005" spans="20:21" ht="15" customHeight="1" x14ac:dyDescent="0.25">
      <c r="T31005" s="135"/>
      <c r="U31005" s="135"/>
    </row>
    <row r="31006" spans="20:21" ht="15" customHeight="1" x14ac:dyDescent="0.25">
      <c r="T31006" s="135"/>
      <c r="U31006" s="135"/>
    </row>
    <row r="31007" spans="20:21" ht="15" customHeight="1" x14ac:dyDescent="0.25">
      <c r="T31007" s="135"/>
      <c r="U31007" s="135"/>
    </row>
    <row r="31008" spans="20:21" ht="15" customHeight="1" x14ac:dyDescent="0.25">
      <c r="T31008" s="135"/>
      <c r="U31008" s="135"/>
    </row>
    <row r="31009" spans="20:21" ht="15" customHeight="1" x14ac:dyDescent="0.25">
      <c r="T31009" s="135"/>
      <c r="U31009" s="135"/>
    </row>
    <row r="31010" spans="20:21" ht="15" customHeight="1" x14ac:dyDescent="0.25">
      <c r="T31010" s="135"/>
      <c r="U31010" s="135"/>
    </row>
    <row r="31011" spans="20:21" ht="15" customHeight="1" x14ac:dyDescent="0.25">
      <c r="T31011" s="135"/>
      <c r="U31011" s="135"/>
    </row>
    <row r="31012" spans="20:21" ht="15" customHeight="1" x14ac:dyDescent="0.25">
      <c r="T31012" s="135"/>
      <c r="U31012" s="135"/>
    </row>
    <row r="31013" spans="20:21" ht="15" customHeight="1" x14ac:dyDescent="0.25">
      <c r="T31013" s="135"/>
      <c r="U31013" s="135"/>
    </row>
    <row r="31014" spans="20:21" ht="15" customHeight="1" x14ac:dyDescent="0.25">
      <c r="T31014" s="135"/>
      <c r="U31014" s="135"/>
    </row>
    <row r="31015" spans="20:21" ht="15" customHeight="1" x14ac:dyDescent="0.25">
      <c r="T31015" s="135"/>
      <c r="U31015" s="135"/>
    </row>
    <row r="31016" spans="20:21" ht="15" customHeight="1" x14ac:dyDescent="0.25">
      <c r="T31016" s="135"/>
      <c r="U31016" s="135"/>
    </row>
    <row r="31017" spans="20:21" ht="15" customHeight="1" x14ac:dyDescent="0.25">
      <c r="T31017" s="135"/>
      <c r="U31017" s="135"/>
    </row>
    <row r="31018" spans="20:21" ht="15" customHeight="1" x14ac:dyDescent="0.25">
      <c r="T31018" s="135"/>
      <c r="U31018" s="135"/>
    </row>
    <row r="31019" spans="20:21" ht="15" customHeight="1" x14ac:dyDescent="0.25">
      <c r="T31019" s="135"/>
      <c r="U31019" s="135"/>
    </row>
    <row r="31020" spans="20:21" ht="15" customHeight="1" x14ac:dyDescent="0.25">
      <c r="T31020" s="135"/>
      <c r="U31020" s="135"/>
    </row>
    <row r="31021" spans="20:21" ht="15" customHeight="1" x14ac:dyDescent="0.25">
      <c r="T31021" s="135"/>
      <c r="U31021" s="135"/>
    </row>
    <row r="31022" spans="20:21" ht="15" customHeight="1" x14ac:dyDescent="0.25">
      <c r="T31022" s="135"/>
      <c r="U31022" s="135"/>
    </row>
    <row r="31023" spans="20:21" ht="15" customHeight="1" x14ac:dyDescent="0.25">
      <c r="T31023" s="135"/>
      <c r="U31023" s="135"/>
    </row>
    <row r="31024" spans="20:21" ht="15" customHeight="1" x14ac:dyDescent="0.25">
      <c r="T31024" s="135"/>
      <c r="U31024" s="135"/>
    </row>
    <row r="31025" spans="20:21" ht="15" customHeight="1" x14ac:dyDescent="0.25">
      <c r="T31025" s="135"/>
      <c r="U31025" s="135"/>
    </row>
    <row r="31026" spans="20:21" ht="15" customHeight="1" x14ac:dyDescent="0.25">
      <c r="T31026" s="135"/>
      <c r="U31026" s="135"/>
    </row>
    <row r="31027" spans="20:21" ht="15" customHeight="1" x14ac:dyDescent="0.25">
      <c r="T31027" s="135"/>
      <c r="U31027" s="135"/>
    </row>
    <row r="31028" spans="20:21" ht="15" customHeight="1" x14ac:dyDescent="0.25">
      <c r="T31028" s="135"/>
      <c r="U31028" s="135"/>
    </row>
    <row r="31029" spans="20:21" ht="15" customHeight="1" x14ac:dyDescent="0.25">
      <c r="T31029" s="135"/>
      <c r="U31029" s="135"/>
    </row>
    <row r="31030" spans="20:21" ht="15" customHeight="1" x14ac:dyDescent="0.25">
      <c r="T31030" s="135"/>
      <c r="U31030" s="135"/>
    </row>
    <row r="31031" spans="20:21" ht="15" customHeight="1" x14ac:dyDescent="0.25">
      <c r="T31031" s="135"/>
      <c r="U31031" s="135"/>
    </row>
    <row r="31032" spans="20:21" ht="15" customHeight="1" x14ac:dyDescent="0.25">
      <c r="T31032" s="135"/>
      <c r="U31032" s="135"/>
    </row>
    <row r="31033" spans="20:21" ht="15" customHeight="1" x14ac:dyDescent="0.25">
      <c r="T31033" s="135"/>
      <c r="U31033" s="135"/>
    </row>
    <row r="31034" spans="20:21" ht="15" customHeight="1" x14ac:dyDescent="0.25">
      <c r="T31034" s="135"/>
      <c r="U31034" s="135"/>
    </row>
    <row r="31035" spans="20:21" ht="15" customHeight="1" x14ac:dyDescent="0.25">
      <c r="T31035" s="135"/>
      <c r="U31035" s="135"/>
    </row>
    <row r="31036" spans="20:21" ht="15" customHeight="1" x14ac:dyDescent="0.25">
      <c r="T31036" s="135"/>
      <c r="U31036" s="135"/>
    </row>
    <row r="31037" spans="20:21" ht="15" customHeight="1" x14ac:dyDescent="0.25">
      <c r="T31037" s="135"/>
      <c r="U31037" s="135"/>
    </row>
    <row r="31038" spans="20:21" ht="15" customHeight="1" x14ac:dyDescent="0.25">
      <c r="T31038" s="135"/>
      <c r="U31038" s="135"/>
    </row>
    <row r="31039" spans="20:21" ht="15" customHeight="1" x14ac:dyDescent="0.25">
      <c r="T31039" s="135"/>
      <c r="U31039" s="135"/>
    </row>
    <row r="31040" spans="20:21" ht="15" customHeight="1" x14ac:dyDescent="0.25">
      <c r="T31040" s="135"/>
      <c r="U31040" s="135"/>
    </row>
    <row r="31041" spans="20:21" ht="15" customHeight="1" x14ac:dyDescent="0.25">
      <c r="T31041" s="135"/>
      <c r="U31041" s="135"/>
    </row>
    <row r="31042" spans="20:21" ht="15" customHeight="1" x14ac:dyDescent="0.25">
      <c r="T31042" s="135"/>
      <c r="U31042" s="135"/>
    </row>
    <row r="31043" spans="20:21" ht="15" customHeight="1" x14ac:dyDescent="0.25">
      <c r="T31043" s="135"/>
      <c r="U31043" s="135"/>
    </row>
    <row r="31044" spans="20:21" ht="15" customHeight="1" x14ac:dyDescent="0.25">
      <c r="T31044" s="135"/>
      <c r="U31044" s="135"/>
    </row>
    <row r="31045" spans="20:21" ht="15" customHeight="1" x14ac:dyDescent="0.25">
      <c r="T31045" s="135"/>
      <c r="U31045" s="135"/>
    </row>
    <row r="31046" spans="20:21" ht="15" customHeight="1" x14ac:dyDescent="0.25">
      <c r="T31046" s="135"/>
      <c r="U31046" s="135"/>
    </row>
    <row r="31047" spans="20:21" ht="15" customHeight="1" x14ac:dyDescent="0.25">
      <c r="T31047" s="135"/>
      <c r="U31047" s="135"/>
    </row>
    <row r="31048" spans="20:21" ht="15" customHeight="1" x14ac:dyDescent="0.25">
      <c r="T31048" s="135"/>
      <c r="U31048" s="135"/>
    </row>
    <row r="31049" spans="20:21" ht="15" customHeight="1" x14ac:dyDescent="0.25">
      <c r="T31049" s="135"/>
      <c r="U31049" s="135"/>
    </row>
    <row r="31050" spans="20:21" ht="15" customHeight="1" x14ac:dyDescent="0.25">
      <c r="T31050" s="135"/>
      <c r="U31050" s="135"/>
    </row>
    <row r="31051" spans="20:21" ht="15" customHeight="1" x14ac:dyDescent="0.25">
      <c r="T31051" s="135"/>
      <c r="U31051" s="135"/>
    </row>
    <row r="31052" spans="20:21" ht="15" customHeight="1" x14ac:dyDescent="0.25">
      <c r="T31052" s="135"/>
      <c r="U31052" s="135"/>
    </row>
    <row r="31053" spans="20:21" ht="15" customHeight="1" x14ac:dyDescent="0.25">
      <c r="T31053" s="135"/>
      <c r="U31053" s="135"/>
    </row>
    <row r="31054" spans="20:21" ht="15" customHeight="1" x14ac:dyDescent="0.25">
      <c r="T31054" s="135"/>
      <c r="U31054" s="135"/>
    </row>
    <row r="31055" spans="20:21" ht="15" customHeight="1" x14ac:dyDescent="0.25">
      <c r="T31055" s="135"/>
      <c r="U31055" s="135"/>
    </row>
    <row r="31056" spans="20:21" ht="15" customHeight="1" x14ac:dyDescent="0.25">
      <c r="T31056" s="135"/>
      <c r="U31056" s="135"/>
    </row>
    <row r="31057" spans="20:21" ht="15" customHeight="1" x14ac:dyDescent="0.25">
      <c r="T31057" s="135"/>
      <c r="U31057" s="135"/>
    </row>
    <row r="31058" spans="20:21" ht="15" customHeight="1" x14ac:dyDescent="0.25">
      <c r="T31058" s="135"/>
      <c r="U31058" s="135"/>
    </row>
    <row r="31059" spans="20:21" ht="15" customHeight="1" x14ac:dyDescent="0.25">
      <c r="T31059" s="135"/>
      <c r="U31059" s="135"/>
    </row>
    <row r="31060" spans="20:21" ht="15" customHeight="1" x14ac:dyDescent="0.25">
      <c r="T31060" s="135"/>
      <c r="U31060" s="135"/>
    </row>
    <row r="31061" spans="20:21" ht="15" customHeight="1" x14ac:dyDescent="0.25">
      <c r="T31061" s="135"/>
      <c r="U31061" s="135"/>
    </row>
    <row r="31062" spans="20:21" ht="15" customHeight="1" x14ac:dyDescent="0.25">
      <c r="T31062" s="135"/>
      <c r="U31062" s="135"/>
    </row>
    <row r="31063" spans="20:21" ht="15" customHeight="1" x14ac:dyDescent="0.25">
      <c r="T31063" s="135"/>
      <c r="U31063" s="135"/>
    </row>
    <row r="31064" spans="20:21" ht="15" customHeight="1" x14ac:dyDescent="0.25">
      <c r="T31064" s="135"/>
      <c r="U31064" s="135"/>
    </row>
    <row r="31065" spans="20:21" ht="15" customHeight="1" x14ac:dyDescent="0.25">
      <c r="T31065" s="135"/>
      <c r="U31065" s="135"/>
    </row>
    <row r="31066" spans="20:21" ht="15" customHeight="1" x14ac:dyDescent="0.25">
      <c r="T31066" s="135"/>
      <c r="U31066" s="135"/>
    </row>
    <row r="31067" spans="20:21" ht="15" customHeight="1" x14ac:dyDescent="0.25">
      <c r="T31067" s="135"/>
      <c r="U31067" s="135"/>
    </row>
    <row r="31068" spans="20:21" ht="15" customHeight="1" x14ac:dyDescent="0.25">
      <c r="T31068" s="135"/>
      <c r="U31068" s="135"/>
    </row>
    <row r="31069" spans="20:21" ht="15" customHeight="1" x14ac:dyDescent="0.25">
      <c r="T31069" s="135"/>
      <c r="U31069" s="135"/>
    </row>
    <row r="31070" spans="20:21" ht="15" customHeight="1" x14ac:dyDescent="0.25">
      <c r="T31070" s="135"/>
      <c r="U31070" s="135"/>
    </row>
    <row r="31071" spans="20:21" ht="15" customHeight="1" x14ac:dyDescent="0.25">
      <c r="T31071" s="135"/>
      <c r="U31071" s="135"/>
    </row>
    <row r="31072" spans="20:21" ht="15" customHeight="1" x14ac:dyDescent="0.25">
      <c r="T31072" s="135"/>
      <c r="U31072" s="135"/>
    </row>
    <row r="31073" spans="20:21" ht="15" customHeight="1" x14ac:dyDescent="0.25">
      <c r="T31073" s="135"/>
      <c r="U31073" s="135"/>
    </row>
    <row r="31074" spans="20:21" ht="15" customHeight="1" x14ac:dyDescent="0.25">
      <c r="T31074" s="135"/>
      <c r="U31074" s="135"/>
    </row>
    <row r="31075" spans="20:21" ht="15" customHeight="1" x14ac:dyDescent="0.25">
      <c r="T31075" s="135"/>
      <c r="U31075" s="135"/>
    </row>
    <row r="31076" spans="20:21" ht="15" customHeight="1" x14ac:dyDescent="0.25">
      <c r="T31076" s="135"/>
      <c r="U31076" s="135"/>
    </row>
    <row r="31077" spans="20:21" ht="15" customHeight="1" x14ac:dyDescent="0.25">
      <c r="T31077" s="135"/>
      <c r="U31077" s="135"/>
    </row>
    <row r="31078" spans="20:21" ht="15" customHeight="1" x14ac:dyDescent="0.25">
      <c r="T31078" s="135"/>
      <c r="U31078" s="135"/>
    </row>
    <row r="31079" spans="20:21" ht="15" customHeight="1" x14ac:dyDescent="0.25">
      <c r="T31079" s="135"/>
      <c r="U31079" s="135"/>
    </row>
    <row r="31080" spans="20:21" ht="15" customHeight="1" x14ac:dyDescent="0.25">
      <c r="T31080" s="135"/>
      <c r="U31080" s="135"/>
    </row>
    <row r="31081" spans="20:21" ht="15" customHeight="1" x14ac:dyDescent="0.25">
      <c r="T31081" s="135"/>
      <c r="U31081" s="135"/>
    </row>
    <row r="31082" spans="20:21" ht="15" customHeight="1" x14ac:dyDescent="0.25">
      <c r="T31082" s="135"/>
      <c r="U31082" s="135"/>
    </row>
    <row r="31083" spans="20:21" ht="15" customHeight="1" x14ac:dyDescent="0.25">
      <c r="T31083" s="135"/>
      <c r="U31083" s="135"/>
    </row>
    <row r="31084" spans="20:21" ht="15" customHeight="1" x14ac:dyDescent="0.25">
      <c r="T31084" s="135"/>
      <c r="U31084" s="135"/>
    </row>
    <row r="31085" spans="20:21" ht="15" customHeight="1" x14ac:dyDescent="0.25">
      <c r="T31085" s="135"/>
      <c r="U31085" s="135"/>
    </row>
    <row r="31086" spans="20:21" ht="15" customHeight="1" x14ac:dyDescent="0.25">
      <c r="T31086" s="135"/>
      <c r="U31086" s="135"/>
    </row>
    <row r="31087" spans="20:21" ht="15" customHeight="1" x14ac:dyDescent="0.25">
      <c r="T31087" s="135"/>
      <c r="U31087" s="135"/>
    </row>
    <row r="31088" spans="20:21" ht="15" customHeight="1" x14ac:dyDescent="0.25">
      <c r="T31088" s="135"/>
      <c r="U31088" s="135"/>
    </row>
    <row r="31089" spans="20:21" ht="15" customHeight="1" x14ac:dyDescent="0.25">
      <c r="T31089" s="135"/>
      <c r="U31089" s="135"/>
    </row>
    <row r="31090" spans="20:21" ht="15" customHeight="1" x14ac:dyDescent="0.25">
      <c r="T31090" s="135"/>
      <c r="U31090" s="135"/>
    </row>
    <row r="31091" spans="20:21" ht="15" customHeight="1" x14ac:dyDescent="0.25">
      <c r="T31091" s="135"/>
      <c r="U31091" s="135"/>
    </row>
    <row r="31092" spans="20:21" ht="15" customHeight="1" x14ac:dyDescent="0.25">
      <c r="T31092" s="135"/>
      <c r="U31092" s="135"/>
    </row>
    <row r="31093" spans="20:21" ht="15" customHeight="1" x14ac:dyDescent="0.25">
      <c r="T31093" s="135"/>
      <c r="U31093" s="135"/>
    </row>
    <row r="31094" spans="20:21" ht="15" customHeight="1" x14ac:dyDescent="0.25">
      <c r="T31094" s="135"/>
      <c r="U31094" s="135"/>
    </row>
    <row r="31095" spans="20:21" ht="15" customHeight="1" x14ac:dyDescent="0.25">
      <c r="T31095" s="135"/>
      <c r="U31095" s="135"/>
    </row>
    <row r="31096" spans="20:21" ht="15" customHeight="1" x14ac:dyDescent="0.25">
      <c r="T31096" s="135"/>
      <c r="U31096" s="135"/>
    </row>
    <row r="31097" spans="20:21" ht="15" customHeight="1" x14ac:dyDescent="0.25">
      <c r="T31097" s="135"/>
      <c r="U31097" s="135"/>
    </row>
    <row r="31098" spans="20:21" ht="15" customHeight="1" x14ac:dyDescent="0.25">
      <c r="T31098" s="135"/>
      <c r="U31098" s="135"/>
    </row>
    <row r="31099" spans="20:21" ht="15" customHeight="1" x14ac:dyDescent="0.25">
      <c r="T31099" s="135"/>
      <c r="U31099" s="135"/>
    </row>
    <row r="31100" spans="20:21" ht="15" customHeight="1" x14ac:dyDescent="0.25">
      <c r="T31100" s="135"/>
      <c r="U31100" s="135"/>
    </row>
    <row r="31101" spans="20:21" ht="15" customHeight="1" x14ac:dyDescent="0.25">
      <c r="T31101" s="135"/>
      <c r="U31101" s="135"/>
    </row>
    <row r="31102" spans="20:21" ht="15" customHeight="1" x14ac:dyDescent="0.25">
      <c r="T31102" s="135"/>
      <c r="U31102" s="135"/>
    </row>
    <row r="31103" spans="20:21" ht="15" customHeight="1" x14ac:dyDescent="0.25">
      <c r="T31103" s="135"/>
      <c r="U31103" s="135"/>
    </row>
    <row r="31104" spans="20:21" ht="15" customHeight="1" x14ac:dyDescent="0.25">
      <c r="T31104" s="135"/>
      <c r="U31104" s="135"/>
    </row>
    <row r="31105" spans="20:21" ht="15" customHeight="1" x14ac:dyDescent="0.25">
      <c r="T31105" s="135"/>
      <c r="U31105" s="135"/>
    </row>
    <row r="31106" spans="20:21" ht="15" customHeight="1" x14ac:dyDescent="0.25">
      <c r="T31106" s="135"/>
      <c r="U31106" s="135"/>
    </row>
    <row r="31107" spans="20:21" ht="15" customHeight="1" x14ac:dyDescent="0.25">
      <c r="T31107" s="135"/>
      <c r="U31107" s="135"/>
    </row>
    <row r="31108" spans="20:21" ht="15" customHeight="1" x14ac:dyDescent="0.25">
      <c r="T31108" s="135"/>
      <c r="U31108" s="135"/>
    </row>
    <row r="31109" spans="20:21" ht="15" customHeight="1" x14ac:dyDescent="0.25">
      <c r="T31109" s="135"/>
      <c r="U31109" s="135"/>
    </row>
    <row r="31110" spans="20:21" ht="15" customHeight="1" x14ac:dyDescent="0.25">
      <c r="T31110" s="135"/>
      <c r="U31110" s="135"/>
    </row>
    <row r="31111" spans="20:21" ht="15" customHeight="1" x14ac:dyDescent="0.25">
      <c r="T31111" s="135"/>
      <c r="U31111" s="135"/>
    </row>
    <row r="31112" spans="20:21" ht="15" customHeight="1" x14ac:dyDescent="0.25">
      <c r="T31112" s="135"/>
      <c r="U31112" s="135"/>
    </row>
    <row r="31113" spans="20:21" ht="15" customHeight="1" x14ac:dyDescent="0.25">
      <c r="T31113" s="135"/>
      <c r="U31113" s="135"/>
    </row>
    <row r="31114" spans="20:21" ht="15" customHeight="1" x14ac:dyDescent="0.25">
      <c r="T31114" s="135"/>
      <c r="U31114" s="135"/>
    </row>
    <row r="31115" spans="20:21" ht="15" customHeight="1" x14ac:dyDescent="0.25">
      <c r="T31115" s="135"/>
      <c r="U31115" s="135"/>
    </row>
    <row r="31116" spans="20:21" ht="15" customHeight="1" x14ac:dyDescent="0.25">
      <c r="T31116" s="135"/>
      <c r="U31116" s="135"/>
    </row>
    <row r="31117" spans="20:21" ht="15" customHeight="1" x14ac:dyDescent="0.25">
      <c r="T31117" s="135"/>
      <c r="U31117" s="135"/>
    </row>
    <row r="31118" spans="20:21" ht="15" customHeight="1" x14ac:dyDescent="0.25">
      <c r="T31118" s="135"/>
      <c r="U31118" s="135"/>
    </row>
    <row r="31119" spans="20:21" ht="15" customHeight="1" x14ac:dyDescent="0.25">
      <c r="T31119" s="135"/>
      <c r="U31119" s="135"/>
    </row>
    <row r="31120" spans="20:21" ht="15" customHeight="1" x14ac:dyDescent="0.25">
      <c r="T31120" s="135"/>
      <c r="U31120" s="135"/>
    </row>
    <row r="31121" spans="20:21" ht="15" customHeight="1" x14ac:dyDescent="0.25">
      <c r="T31121" s="135"/>
      <c r="U31121" s="135"/>
    </row>
    <row r="31122" spans="20:21" ht="15" customHeight="1" x14ac:dyDescent="0.25">
      <c r="T31122" s="135"/>
      <c r="U31122" s="135"/>
    </row>
    <row r="31123" spans="20:21" ht="15" customHeight="1" x14ac:dyDescent="0.25">
      <c r="T31123" s="135"/>
      <c r="U31123" s="135"/>
    </row>
    <row r="31124" spans="20:21" ht="15" customHeight="1" x14ac:dyDescent="0.25">
      <c r="T31124" s="135"/>
      <c r="U31124" s="135"/>
    </row>
    <row r="31125" spans="20:21" ht="15" customHeight="1" x14ac:dyDescent="0.25">
      <c r="T31125" s="135"/>
      <c r="U31125" s="135"/>
    </row>
    <row r="31126" spans="20:21" ht="15" customHeight="1" x14ac:dyDescent="0.25">
      <c r="T31126" s="135"/>
      <c r="U31126" s="135"/>
    </row>
    <row r="31127" spans="20:21" ht="15" customHeight="1" x14ac:dyDescent="0.25">
      <c r="T31127" s="135"/>
      <c r="U31127" s="135"/>
    </row>
    <row r="31128" spans="20:21" ht="15" customHeight="1" x14ac:dyDescent="0.25">
      <c r="T31128" s="135"/>
      <c r="U31128" s="135"/>
    </row>
    <row r="31129" spans="20:21" ht="15" customHeight="1" x14ac:dyDescent="0.25">
      <c r="T31129" s="135"/>
      <c r="U31129" s="135"/>
    </row>
    <row r="31130" spans="20:21" ht="15" customHeight="1" x14ac:dyDescent="0.25">
      <c r="T31130" s="135"/>
      <c r="U31130" s="135"/>
    </row>
    <row r="31131" spans="20:21" ht="15" customHeight="1" x14ac:dyDescent="0.25">
      <c r="T31131" s="135"/>
      <c r="U31131" s="135"/>
    </row>
    <row r="31132" spans="20:21" ht="15" customHeight="1" x14ac:dyDescent="0.25">
      <c r="T31132" s="135"/>
      <c r="U31132" s="135"/>
    </row>
    <row r="31133" spans="20:21" ht="15" customHeight="1" x14ac:dyDescent="0.25">
      <c r="T31133" s="135"/>
      <c r="U31133" s="135"/>
    </row>
    <row r="31134" spans="20:21" ht="15" customHeight="1" x14ac:dyDescent="0.25">
      <c r="T31134" s="135"/>
      <c r="U31134" s="135"/>
    </row>
    <row r="31135" spans="20:21" ht="15" customHeight="1" x14ac:dyDescent="0.25">
      <c r="T31135" s="135"/>
      <c r="U31135" s="135"/>
    </row>
    <row r="31136" spans="20:21" ht="15" customHeight="1" x14ac:dyDescent="0.25">
      <c r="T31136" s="135"/>
      <c r="U31136" s="135"/>
    </row>
    <row r="31137" spans="20:21" ht="15" customHeight="1" x14ac:dyDescent="0.25">
      <c r="T31137" s="135"/>
      <c r="U31137" s="135"/>
    </row>
    <row r="31138" spans="20:21" ht="15" customHeight="1" x14ac:dyDescent="0.25">
      <c r="T31138" s="135"/>
      <c r="U31138" s="135"/>
    </row>
    <row r="31139" spans="20:21" ht="15" customHeight="1" x14ac:dyDescent="0.25">
      <c r="T31139" s="135"/>
      <c r="U31139" s="135"/>
    </row>
    <row r="31140" spans="20:21" ht="15" customHeight="1" x14ac:dyDescent="0.25">
      <c r="T31140" s="135"/>
      <c r="U31140" s="135"/>
    </row>
    <row r="31141" spans="20:21" ht="15" customHeight="1" x14ac:dyDescent="0.25">
      <c r="T31141" s="135"/>
      <c r="U31141" s="135"/>
    </row>
    <row r="31142" spans="20:21" ht="15" customHeight="1" x14ac:dyDescent="0.25">
      <c r="T31142" s="135"/>
      <c r="U31142" s="135"/>
    </row>
    <row r="31143" spans="20:21" ht="15" customHeight="1" x14ac:dyDescent="0.25">
      <c r="T31143" s="135"/>
      <c r="U31143" s="135"/>
    </row>
    <row r="31144" spans="20:21" ht="15" customHeight="1" x14ac:dyDescent="0.25">
      <c r="T31144" s="135"/>
      <c r="U31144" s="135"/>
    </row>
    <row r="31145" spans="20:21" ht="15" customHeight="1" x14ac:dyDescent="0.25">
      <c r="T31145" s="135"/>
      <c r="U31145" s="135"/>
    </row>
    <row r="31146" spans="20:21" ht="15" customHeight="1" x14ac:dyDescent="0.25">
      <c r="T31146" s="135"/>
      <c r="U31146" s="135"/>
    </row>
    <row r="31147" spans="20:21" ht="15" customHeight="1" x14ac:dyDescent="0.25">
      <c r="T31147" s="135"/>
      <c r="U31147" s="135"/>
    </row>
    <row r="31148" spans="20:21" ht="15" customHeight="1" x14ac:dyDescent="0.25">
      <c r="T31148" s="135"/>
      <c r="U31148" s="135"/>
    </row>
    <row r="31149" spans="20:21" ht="15" customHeight="1" x14ac:dyDescent="0.25">
      <c r="T31149" s="135"/>
      <c r="U31149" s="135"/>
    </row>
    <row r="31150" spans="20:21" ht="15" customHeight="1" x14ac:dyDescent="0.25">
      <c r="T31150" s="135"/>
      <c r="U31150" s="135"/>
    </row>
    <row r="31151" spans="20:21" ht="15" customHeight="1" x14ac:dyDescent="0.25">
      <c r="T31151" s="135"/>
      <c r="U31151" s="135"/>
    </row>
    <row r="31152" spans="20:21" ht="15" customHeight="1" x14ac:dyDescent="0.25">
      <c r="T31152" s="135"/>
      <c r="U31152" s="135"/>
    </row>
    <row r="31153" spans="20:21" ht="15" customHeight="1" x14ac:dyDescent="0.25">
      <c r="T31153" s="135"/>
      <c r="U31153" s="135"/>
    </row>
    <row r="31154" spans="20:21" ht="15" customHeight="1" x14ac:dyDescent="0.25">
      <c r="T31154" s="135"/>
      <c r="U31154" s="135"/>
    </row>
    <row r="31155" spans="20:21" ht="15" customHeight="1" x14ac:dyDescent="0.25">
      <c r="T31155" s="135"/>
      <c r="U31155" s="135"/>
    </row>
    <row r="31156" spans="20:21" ht="15" customHeight="1" x14ac:dyDescent="0.25">
      <c r="T31156" s="135"/>
      <c r="U31156" s="135"/>
    </row>
    <row r="31157" spans="20:21" ht="15" customHeight="1" x14ac:dyDescent="0.25">
      <c r="T31157" s="135"/>
      <c r="U31157" s="135"/>
    </row>
    <row r="31158" spans="20:21" ht="15" customHeight="1" x14ac:dyDescent="0.25">
      <c r="T31158" s="135"/>
      <c r="U31158" s="135"/>
    </row>
    <row r="31159" spans="20:21" ht="15" customHeight="1" x14ac:dyDescent="0.25">
      <c r="T31159" s="135"/>
      <c r="U31159" s="135"/>
    </row>
    <row r="31160" spans="20:21" ht="15" customHeight="1" x14ac:dyDescent="0.25">
      <c r="T31160" s="135"/>
      <c r="U31160" s="135"/>
    </row>
    <row r="31161" spans="20:21" ht="15" customHeight="1" x14ac:dyDescent="0.25">
      <c r="T31161" s="135"/>
      <c r="U31161" s="135"/>
    </row>
    <row r="31162" spans="20:21" ht="15" customHeight="1" x14ac:dyDescent="0.25">
      <c r="T31162" s="135"/>
      <c r="U31162" s="135"/>
    </row>
    <row r="31163" spans="20:21" ht="15" customHeight="1" x14ac:dyDescent="0.25">
      <c r="T31163" s="135"/>
      <c r="U31163" s="135"/>
    </row>
    <row r="31164" spans="20:21" ht="15" customHeight="1" x14ac:dyDescent="0.25">
      <c r="T31164" s="135"/>
      <c r="U31164" s="135"/>
    </row>
    <row r="31165" spans="20:21" ht="15" customHeight="1" x14ac:dyDescent="0.25">
      <c r="T31165" s="135"/>
      <c r="U31165" s="135"/>
    </row>
    <row r="31166" spans="20:21" ht="15" customHeight="1" x14ac:dyDescent="0.25">
      <c r="T31166" s="135"/>
      <c r="U31166" s="135"/>
    </row>
    <row r="31167" spans="20:21" ht="15" customHeight="1" x14ac:dyDescent="0.25">
      <c r="T31167" s="135"/>
      <c r="U31167" s="135"/>
    </row>
    <row r="31168" spans="20:21" ht="15" customHeight="1" x14ac:dyDescent="0.25">
      <c r="T31168" s="135"/>
      <c r="U31168" s="135"/>
    </row>
    <row r="31169" spans="20:21" ht="15" customHeight="1" x14ac:dyDescent="0.25">
      <c r="T31169" s="135"/>
      <c r="U31169" s="135"/>
    </row>
    <row r="31170" spans="20:21" ht="15" customHeight="1" x14ac:dyDescent="0.25">
      <c r="T31170" s="135"/>
      <c r="U31170" s="135"/>
    </row>
    <row r="31171" spans="20:21" ht="15" customHeight="1" x14ac:dyDescent="0.25">
      <c r="T31171" s="135"/>
      <c r="U31171" s="135"/>
    </row>
    <row r="31172" spans="20:21" ht="15" customHeight="1" x14ac:dyDescent="0.25">
      <c r="T31172" s="135"/>
      <c r="U31172" s="135"/>
    </row>
    <row r="31173" spans="20:21" ht="15" customHeight="1" x14ac:dyDescent="0.25">
      <c r="T31173" s="135"/>
      <c r="U31173" s="135"/>
    </row>
    <row r="31174" spans="20:21" ht="15" customHeight="1" x14ac:dyDescent="0.25">
      <c r="T31174" s="135"/>
      <c r="U31174" s="135"/>
    </row>
    <row r="31175" spans="20:21" ht="15" customHeight="1" x14ac:dyDescent="0.25">
      <c r="T31175" s="135"/>
      <c r="U31175" s="135"/>
    </row>
    <row r="31176" spans="20:21" ht="15" customHeight="1" x14ac:dyDescent="0.25">
      <c r="T31176" s="135"/>
      <c r="U31176" s="135"/>
    </row>
    <row r="31177" spans="20:21" ht="15" customHeight="1" x14ac:dyDescent="0.25">
      <c r="T31177" s="135"/>
      <c r="U31177" s="135"/>
    </row>
    <row r="31178" spans="20:21" ht="15" customHeight="1" x14ac:dyDescent="0.25">
      <c r="T31178" s="135"/>
      <c r="U31178" s="135"/>
    </row>
    <row r="31179" spans="20:21" ht="15" customHeight="1" x14ac:dyDescent="0.25">
      <c r="T31179" s="135"/>
      <c r="U31179" s="135"/>
    </row>
    <row r="31180" spans="20:21" ht="15" customHeight="1" x14ac:dyDescent="0.25">
      <c r="T31180" s="135"/>
      <c r="U31180" s="135"/>
    </row>
    <row r="31181" spans="20:21" ht="15" customHeight="1" x14ac:dyDescent="0.25">
      <c r="T31181" s="135"/>
      <c r="U31181" s="135"/>
    </row>
    <row r="31182" spans="20:21" ht="15" customHeight="1" x14ac:dyDescent="0.25">
      <c r="T31182" s="135"/>
      <c r="U31182" s="135"/>
    </row>
    <row r="31183" spans="20:21" ht="15" customHeight="1" x14ac:dyDescent="0.25">
      <c r="T31183" s="135"/>
      <c r="U31183" s="135"/>
    </row>
    <row r="31184" spans="20:21" ht="15" customHeight="1" x14ac:dyDescent="0.25">
      <c r="T31184" s="135"/>
      <c r="U31184" s="135"/>
    </row>
    <row r="31185" spans="20:21" ht="15" customHeight="1" x14ac:dyDescent="0.25">
      <c r="T31185" s="135"/>
      <c r="U31185" s="135"/>
    </row>
    <row r="31186" spans="20:21" ht="15" customHeight="1" x14ac:dyDescent="0.25">
      <c r="T31186" s="135"/>
      <c r="U31186" s="135"/>
    </row>
    <row r="31187" spans="20:21" ht="15" customHeight="1" x14ac:dyDescent="0.25">
      <c r="T31187" s="135"/>
      <c r="U31187" s="135"/>
    </row>
    <row r="31188" spans="20:21" ht="15" customHeight="1" x14ac:dyDescent="0.25">
      <c r="T31188" s="135"/>
      <c r="U31188" s="135"/>
    </row>
    <row r="31189" spans="20:21" ht="15" customHeight="1" x14ac:dyDescent="0.25">
      <c r="T31189" s="135"/>
      <c r="U31189" s="135"/>
    </row>
    <row r="31190" spans="20:21" ht="15" customHeight="1" x14ac:dyDescent="0.25">
      <c r="T31190" s="135"/>
      <c r="U31190" s="135"/>
    </row>
    <row r="31191" spans="20:21" ht="15" customHeight="1" x14ac:dyDescent="0.25">
      <c r="T31191" s="135"/>
      <c r="U31191" s="135"/>
    </row>
    <row r="31192" spans="20:21" ht="15" customHeight="1" x14ac:dyDescent="0.25">
      <c r="T31192" s="135"/>
      <c r="U31192" s="135"/>
    </row>
    <row r="31193" spans="20:21" ht="15" customHeight="1" x14ac:dyDescent="0.25">
      <c r="T31193" s="135"/>
      <c r="U31193" s="135"/>
    </row>
    <row r="31194" spans="20:21" ht="15" customHeight="1" x14ac:dyDescent="0.25">
      <c r="T31194" s="135"/>
      <c r="U31194" s="135"/>
    </row>
    <row r="31195" spans="20:21" ht="15" customHeight="1" x14ac:dyDescent="0.25">
      <c r="T31195" s="135"/>
      <c r="U31195" s="135"/>
    </row>
    <row r="31196" spans="20:21" ht="15" customHeight="1" x14ac:dyDescent="0.25">
      <c r="T31196" s="135"/>
      <c r="U31196" s="135"/>
    </row>
    <row r="31197" spans="20:21" ht="15" customHeight="1" x14ac:dyDescent="0.25">
      <c r="T31197" s="135"/>
      <c r="U31197" s="135"/>
    </row>
    <row r="31198" spans="20:21" ht="15" customHeight="1" x14ac:dyDescent="0.25">
      <c r="T31198" s="135"/>
      <c r="U31198" s="135"/>
    </row>
    <row r="31199" spans="20:21" ht="15" customHeight="1" x14ac:dyDescent="0.25">
      <c r="T31199" s="135"/>
      <c r="U31199" s="135"/>
    </row>
    <row r="31200" spans="20:21" ht="15" customHeight="1" x14ac:dyDescent="0.25">
      <c r="T31200" s="135"/>
      <c r="U31200" s="135"/>
    </row>
    <row r="31201" spans="20:21" ht="15" customHeight="1" x14ac:dyDescent="0.25">
      <c r="T31201" s="135"/>
      <c r="U31201" s="135"/>
    </row>
    <row r="31202" spans="20:21" ht="15" customHeight="1" x14ac:dyDescent="0.25">
      <c r="T31202" s="135"/>
      <c r="U31202" s="135"/>
    </row>
    <row r="31203" spans="20:21" ht="15" customHeight="1" x14ac:dyDescent="0.25">
      <c r="T31203" s="135"/>
      <c r="U31203" s="135"/>
    </row>
    <row r="31204" spans="20:21" ht="15" customHeight="1" x14ac:dyDescent="0.25">
      <c r="T31204" s="135"/>
      <c r="U31204" s="135"/>
    </row>
    <row r="31205" spans="20:21" ht="15" customHeight="1" x14ac:dyDescent="0.25">
      <c r="T31205" s="135"/>
      <c r="U31205" s="135"/>
    </row>
    <row r="31206" spans="20:21" ht="15" customHeight="1" x14ac:dyDescent="0.25">
      <c r="T31206" s="135"/>
      <c r="U31206" s="135"/>
    </row>
    <row r="31207" spans="20:21" ht="15" customHeight="1" x14ac:dyDescent="0.25">
      <c r="T31207" s="135"/>
      <c r="U31207" s="135"/>
    </row>
    <row r="31208" spans="20:21" ht="15" customHeight="1" x14ac:dyDescent="0.25">
      <c r="T31208" s="135"/>
      <c r="U31208" s="135"/>
    </row>
    <row r="31209" spans="20:21" ht="15" customHeight="1" x14ac:dyDescent="0.25">
      <c r="T31209" s="135"/>
      <c r="U31209" s="135"/>
    </row>
    <row r="31210" spans="20:21" ht="15" customHeight="1" x14ac:dyDescent="0.25">
      <c r="T31210" s="135"/>
      <c r="U31210" s="135"/>
    </row>
    <row r="31211" spans="20:21" ht="15" customHeight="1" x14ac:dyDescent="0.25">
      <c r="T31211" s="135"/>
      <c r="U31211" s="135"/>
    </row>
    <row r="31212" spans="20:21" ht="15" customHeight="1" x14ac:dyDescent="0.25">
      <c r="T31212" s="135"/>
      <c r="U31212" s="135"/>
    </row>
    <row r="31213" spans="20:21" ht="15" customHeight="1" x14ac:dyDescent="0.25">
      <c r="T31213" s="135"/>
      <c r="U31213" s="135"/>
    </row>
    <row r="31214" spans="20:21" ht="15" customHeight="1" x14ac:dyDescent="0.25">
      <c r="T31214" s="135"/>
      <c r="U31214" s="135"/>
    </row>
    <row r="31215" spans="20:21" ht="15" customHeight="1" x14ac:dyDescent="0.25">
      <c r="T31215" s="135"/>
      <c r="U31215" s="135"/>
    </row>
    <row r="31216" spans="20:21" ht="15" customHeight="1" x14ac:dyDescent="0.25">
      <c r="T31216" s="135"/>
      <c r="U31216" s="135"/>
    </row>
    <row r="31217" spans="20:21" ht="15" customHeight="1" x14ac:dyDescent="0.25">
      <c r="T31217" s="135"/>
      <c r="U31217" s="135"/>
    </row>
    <row r="31218" spans="20:21" ht="15" customHeight="1" x14ac:dyDescent="0.25">
      <c r="T31218" s="135"/>
      <c r="U31218" s="135"/>
    </row>
    <row r="31219" spans="20:21" ht="15" customHeight="1" x14ac:dyDescent="0.25">
      <c r="T31219" s="135"/>
      <c r="U31219" s="135"/>
    </row>
    <row r="31220" spans="20:21" ht="15" customHeight="1" x14ac:dyDescent="0.25">
      <c r="T31220" s="135"/>
      <c r="U31220" s="135"/>
    </row>
    <row r="31221" spans="20:21" ht="15" customHeight="1" x14ac:dyDescent="0.25">
      <c r="T31221" s="135"/>
      <c r="U31221" s="135"/>
    </row>
    <row r="31222" spans="20:21" ht="15" customHeight="1" x14ac:dyDescent="0.25">
      <c r="T31222" s="135"/>
      <c r="U31222" s="135"/>
    </row>
    <row r="31223" spans="20:21" ht="15" customHeight="1" x14ac:dyDescent="0.25">
      <c r="T31223" s="135"/>
      <c r="U31223" s="135"/>
    </row>
    <row r="31224" spans="20:21" ht="15" customHeight="1" x14ac:dyDescent="0.25">
      <c r="T31224" s="135"/>
      <c r="U31224" s="135"/>
    </row>
    <row r="31225" spans="20:21" ht="15" customHeight="1" x14ac:dyDescent="0.25">
      <c r="T31225" s="135"/>
      <c r="U31225" s="135"/>
    </row>
    <row r="31226" spans="20:21" ht="15" customHeight="1" x14ac:dyDescent="0.25">
      <c r="T31226" s="135"/>
      <c r="U31226" s="135"/>
    </row>
    <row r="31227" spans="20:21" ht="15" customHeight="1" x14ac:dyDescent="0.25">
      <c r="T31227" s="135"/>
      <c r="U31227" s="135"/>
    </row>
    <row r="31228" spans="20:21" ht="15" customHeight="1" x14ac:dyDescent="0.25">
      <c r="T31228" s="135"/>
      <c r="U31228" s="135"/>
    </row>
    <row r="31229" spans="20:21" ht="15" customHeight="1" x14ac:dyDescent="0.25">
      <c r="T31229" s="135"/>
      <c r="U31229" s="135"/>
    </row>
    <row r="31230" spans="20:21" ht="15" customHeight="1" x14ac:dyDescent="0.25">
      <c r="T31230" s="135"/>
      <c r="U31230" s="135"/>
    </row>
    <row r="31231" spans="20:21" ht="15" customHeight="1" x14ac:dyDescent="0.25">
      <c r="T31231" s="135"/>
      <c r="U31231" s="135"/>
    </row>
    <row r="31232" spans="20:21" ht="15" customHeight="1" x14ac:dyDescent="0.25">
      <c r="T31232" s="135"/>
      <c r="U31232" s="135"/>
    </row>
    <row r="31233" spans="20:21" ht="15" customHeight="1" x14ac:dyDescent="0.25">
      <c r="T31233" s="135"/>
      <c r="U31233" s="135"/>
    </row>
    <row r="31234" spans="20:21" ht="15" customHeight="1" x14ac:dyDescent="0.25">
      <c r="T31234" s="135"/>
      <c r="U31234" s="135"/>
    </row>
    <row r="31235" spans="20:21" ht="15" customHeight="1" x14ac:dyDescent="0.25">
      <c r="T31235" s="135"/>
      <c r="U31235" s="135"/>
    </row>
    <row r="31236" spans="20:21" ht="15" customHeight="1" x14ac:dyDescent="0.25">
      <c r="T31236" s="135"/>
      <c r="U31236" s="135"/>
    </row>
    <row r="31237" spans="20:21" ht="15" customHeight="1" x14ac:dyDescent="0.25">
      <c r="T31237" s="135"/>
      <c r="U31237" s="135"/>
    </row>
    <row r="31238" spans="20:21" ht="15" customHeight="1" x14ac:dyDescent="0.25">
      <c r="T31238" s="135"/>
      <c r="U31238" s="135"/>
    </row>
    <row r="31239" spans="20:21" ht="15" customHeight="1" x14ac:dyDescent="0.25">
      <c r="T31239" s="135"/>
      <c r="U31239" s="135"/>
    </row>
    <row r="31240" spans="20:21" ht="15" customHeight="1" x14ac:dyDescent="0.25">
      <c r="T31240" s="135"/>
      <c r="U31240" s="135"/>
    </row>
    <row r="31241" spans="20:21" ht="15" customHeight="1" x14ac:dyDescent="0.25">
      <c r="T31241" s="135"/>
      <c r="U31241" s="135"/>
    </row>
    <row r="31242" spans="20:21" ht="15" customHeight="1" x14ac:dyDescent="0.25">
      <c r="T31242" s="135"/>
      <c r="U31242" s="135"/>
    </row>
    <row r="31243" spans="20:21" ht="15" customHeight="1" x14ac:dyDescent="0.25">
      <c r="T31243" s="135"/>
      <c r="U31243" s="135"/>
    </row>
    <row r="31244" spans="20:21" ht="15" customHeight="1" x14ac:dyDescent="0.25">
      <c r="T31244" s="135"/>
      <c r="U31244" s="135"/>
    </row>
    <row r="31245" spans="20:21" ht="15" customHeight="1" x14ac:dyDescent="0.25">
      <c r="T31245" s="135"/>
      <c r="U31245" s="135"/>
    </row>
    <row r="31246" spans="20:21" ht="15" customHeight="1" x14ac:dyDescent="0.25">
      <c r="T31246" s="135"/>
      <c r="U31246" s="135"/>
    </row>
    <row r="31247" spans="20:21" ht="15" customHeight="1" x14ac:dyDescent="0.25">
      <c r="T31247" s="135"/>
      <c r="U31247" s="135"/>
    </row>
    <row r="31248" spans="20:21" ht="15" customHeight="1" x14ac:dyDescent="0.25">
      <c r="T31248" s="135"/>
      <c r="U31248" s="135"/>
    </row>
    <row r="31249" spans="20:21" ht="15" customHeight="1" x14ac:dyDescent="0.25">
      <c r="T31249" s="135"/>
      <c r="U31249" s="135"/>
    </row>
    <row r="31250" spans="20:21" ht="15" customHeight="1" x14ac:dyDescent="0.25">
      <c r="T31250" s="135"/>
      <c r="U31250" s="135"/>
    </row>
    <row r="31251" spans="20:21" ht="15" customHeight="1" x14ac:dyDescent="0.25">
      <c r="T31251" s="135"/>
      <c r="U31251" s="135"/>
    </row>
    <row r="31252" spans="20:21" ht="15" customHeight="1" x14ac:dyDescent="0.25">
      <c r="T31252" s="135"/>
      <c r="U31252" s="135"/>
    </row>
    <row r="31253" spans="20:21" ht="15" customHeight="1" x14ac:dyDescent="0.25">
      <c r="T31253" s="135"/>
      <c r="U31253" s="135"/>
    </row>
    <row r="31254" spans="20:21" ht="15" customHeight="1" x14ac:dyDescent="0.25">
      <c r="T31254" s="135"/>
      <c r="U31254" s="135"/>
    </row>
    <row r="31255" spans="20:21" ht="15" customHeight="1" x14ac:dyDescent="0.25">
      <c r="T31255" s="135"/>
      <c r="U31255" s="135"/>
    </row>
    <row r="31256" spans="20:21" ht="15" customHeight="1" x14ac:dyDescent="0.25">
      <c r="T31256" s="135"/>
      <c r="U31256" s="135"/>
    </row>
    <row r="31257" spans="20:21" ht="15" customHeight="1" x14ac:dyDescent="0.25">
      <c r="T31257" s="135"/>
      <c r="U31257" s="135"/>
    </row>
    <row r="31258" spans="20:21" ht="15" customHeight="1" x14ac:dyDescent="0.25">
      <c r="T31258" s="135"/>
      <c r="U31258" s="135"/>
    </row>
    <row r="31259" spans="20:21" ht="15" customHeight="1" x14ac:dyDescent="0.25">
      <c r="T31259" s="135"/>
      <c r="U31259" s="135"/>
    </row>
    <row r="31260" spans="20:21" ht="15" customHeight="1" x14ac:dyDescent="0.25">
      <c r="T31260" s="135"/>
      <c r="U31260" s="135"/>
    </row>
    <row r="31261" spans="20:21" ht="15" customHeight="1" x14ac:dyDescent="0.25">
      <c r="T31261" s="135"/>
      <c r="U31261" s="135"/>
    </row>
    <row r="31262" spans="20:21" ht="15" customHeight="1" x14ac:dyDescent="0.25">
      <c r="T31262" s="135"/>
      <c r="U31262" s="135"/>
    </row>
    <row r="31263" spans="20:21" ht="15" customHeight="1" x14ac:dyDescent="0.25">
      <c r="T31263" s="135"/>
      <c r="U31263" s="135"/>
    </row>
    <row r="31264" spans="20:21" ht="15" customHeight="1" x14ac:dyDescent="0.25">
      <c r="T31264" s="135"/>
      <c r="U31264" s="135"/>
    </row>
    <row r="31265" spans="20:21" ht="15" customHeight="1" x14ac:dyDescent="0.25">
      <c r="T31265" s="135"/>
      <c r="U31265" s="135"/>
    </row>
    <row r="31266" spans="20:21" ht="15" customHeight="1" x14ac:dyDescent="0.25">
      <c r="T31266" s="135"/>
      <c r="U31266" s="135"/>
    </row>
    <row r="31267" spans="20:21" ht="15" customHeight="1" x14ac:dyDescent="0.25">
      <c r="T31267" s="135"/>
      <c r="U31267" s="135"/>
    </row>
    <row r="31268" spans="20:21" ht="15" customHeight="1" x14ac:dyDescent="0.25">
      <c r="T31268" s="135"/>
      <c r="U31268" s="135"/>
    </row>
    <row r="31269" spans="20:21" ht="15" customHeight="1" x14ac:dyDescent="0.25">
      <c r="T31269" s="135"/>
      <c r="U31269" s="135"/>
    </row>
    <row r="31270" spans="20:21" ht="15" customHeight="1" x14ac:dyDescent="0.25">
      <c r="T31270" s="135"/>
      <c r="U31270" s="135"/>
    </row>
    <row r="31271" spans="20:21" ht="15" customHeight="1" x14ac:dyDescent="0.25">
      <c r="T31271" s="135"/>
      <c r="U31271" s="135"/>
    </row>
    <row r="31272" spans="20:21" ht="15" customHeight="1" x14ac:dyDescent="0.25">
      <c r="T31272" s="135"/>
      <c r="U31272" s="135"/>
    </row>
    <row r="31273" spans="20:21" ht="15" customHeight="1" x14ac:dyDescent="0.25">
      <c r="T31273" s="135"/>
      <c r="U31273" s="135"/>
    </row>
    <row r="31274" spans="20:21" ht="15" customHeight="1" x14ac:dyDescent="0.25">
      <c r="T31274" s="135"/>
      <c r="U31274" s="135"/>
    </row>
    <row r="31275" spans="20:21" ht="15" customHeight="1" x14ac:dyDescent="0.25">
      <c r="T31275" s="135"/>
      <c r="U31275" s="135"/>
    </row>
    <row r="31276" spans="20:21" ht="15" customHeight="1" x14ac:dyDescent="0.25">
      <c r="T31276" s="135"/>
      <c r="U31276" s="135"/>
    </row>
    <row r="31277" spans="20:21" ht="15" customHeight="1" x14ac:dyDescent="0.25">
      <c r="T31277" s="135"/>
      <c r="U31277" s="135"/>
    </row>
    <row r="31278" spans="20:21" ht="15" customHeight="1" x14ac:dyDescent="0.25">
      <c r="T31278" s="135"/>
      <c r="U31278" s="135"/>
    </row>
    <row r="31279" spans="20:21" ht="15" customHeight="1" x14ac:dyDescent="0.25">
      <c r="T31279" s="135"/>
      <c r="U31279" s="135"/>
    </row>
    <row r="31280" spans="20:21" ht="15" customHeight="1" x14ac:dyDescent="0.25">
      <c r="T31280" s="135"/>
      <c r="U31280" s="135"/>
    </row>
    <row r="31281" spans="20:21" ht="15" customHeight="1" x14ac:dyDescent="0.25">
      <c r="T31281" s="135"/>
      <c r="U31281" s="135"/>
    </row>
    <row r="31282" spans="20:21" ht="15" customHeight="1" x14ac:dyDescent="0.25">
      <c r="T31282" s="135"/>
      <c r="U31282" s="135"/>
    </row>
    <row r="31283" spans="20:21" ht="15" customHeight="1" x14ac:dyDescent="0.25">
      <c r="T31283" s="135"/>
      <c r="U31283" s="135"/>
    </row>
    <row r="31284" spans="20:21" ht="15" customHeight="1" x14ac:dyDescent="0.25">
      <c r="T31284" s="135"/>
      <c r="U31284" s="135"/>
    </row>
    <row r="31285" spans="20:21" ht="15" customHeight="1" x14ac:dyDescent="0.25">
      <c r="T31285" s="135"/>
      <c r="U31285" s="135"/>
    </row>
    <row r="31286" spans="20:21" ht="15" customHeight="1" x14ac:dyDescent="0.25">
      <c r="T31286" s="135"/>
      <c r="U31286" s="135"/>
    </row>
    <row r="31287" spans="20:21" ht="15" customHeight="1" x14ac:dyDescent="0.25">
      <c r="T31287" s="135"/>
      <c r="U31287" s="135"/>
    </row>
    <row r="31288" spans="20:21" ht="15" customHeight="1" x14ac:dyDescent="0.25">
      <c r="T31288" s="135"/>
      <c r="U31288" s="135"/>
    </row>
    <row r="31289" spans="20:21" ht="15" customHeight="1" x14ac:dyDescent="0.25">
      <c r="T31289" s="135"/>
      <c r="U31289" s="135"/>
    </row>
    <row r="31290" spans="20:21" ht="15" customHeight="1" x14ac:dyDescent="0.25">
      <c r="T31290" s="135"/>
      <c r="U31290" s="135"/>
    </row>
    <row r="31291" spans="20:21" ht="15" customHeight="1" x14ac:dyDescent="0.25">
      <c r="T31291" s="135"/>
      <c r="U31291" s="135"/>
    </row>
    <row r="31292" spans="20:21" ht="15" customHeight="1" x14ac:dyDescent="0.25">
      <c r="T31292" s="135"/>
      <c r="U31292" s="135"/>
    </row>
    <row r="31293" spans="20:21" ht="15" customHeight="1" x14ac:dyDescent="0.25">
      <c r="T31293" s="135"/>
      <c r="U31293" s="135"/>
    </row>
    <row r="31294" spans="20:21" ht="15" customHeight="1" x14ac:dyDescent="0.25">
      <c r="T31294" s="135"/>
      <c r="U31294" s="135"/>
    </row>
    <row r="31295" spans="20:21" ht="15" customHeight="1" x14ac:dyDescent="0.25">
      <c r="T31295" s="135"/>
      <c r="U31295" s="135"/>
    </row>
    <row r="31296" spans="20:21" ht="15" customHeight="1" x14ac:dyDescent="0.25">
      <c r="T31296" s="135"/>
      <c r="U31296" s="135"/>
    </row>
    <row r="31297" spans="20:21" ht="15" customHeight="1" x14ac:dyDescent="0.25">
      <c r="T31297" s="135"/>
      <c r="U31297" s="135"/>
    </row>
    <row r="31298" spans="20:21" ht="15" customHeight="1" x14ac:dyDescent="0.25">
      <c r="T31298" s="135"/>
      <c r="U31298" s="135"/>
    </row>
    <row r="31299" spans="20:21" ht="15" customHeight="1" x14ac:dyDescent="0.25">
      <c r="T31299" s="135"/>
      <c r="U31299" s="135"/>
    </row>
    <row r="31300" spans="20:21" ht="15" customHeight="1" x14ac:dyDescent="0.25">
      <c r="T31300" s="135"/>
      <c r="U31300" s="135"/>
    </row>
    <row r="31301" spans="20:21" ht="15" customHeight="1" x14ac:dyDescent="0.25">
      <c r="T31301" s="135"/>
      <c r="U31301" s="135"/>
    </row>
    <row r="31302" spans="20:21" ht="15" customHeight="1" x14ac:dyDescent="0.25">
      <c r="T31302" s="135"/>
      <c r="U31302" s="135"/>
    </row>
    <row r="31303" spans="20:21" ht="15" customHeight="1" x14ac:dyDescent="0.25">
      <c r="T31303" s="135"/>
      <c r="U31303" s="135"/>
    </row>
    <row r="31304" spans="20:21" ht="15" customHeight="1" x14ac:dyDescent="0.25">
      <c r="T31304" s="135"/>
      <c r="U31304" s="135"/>
    </row>
    <row r="31305" spans="20:21" ht="15" customHeight="1" x14ac:dyDescent="0.25">
      <c r="T31305" s="135"/>
      <c r="U31305" s="135"/>
    </row>
    <row r="31306" spans="20:21" ht="15" customHeight="1" x14ac:dyDescent="0.25">
      <c r="T31306" s="135"/>
      <c r="U31306" s="135"/>
    </row>
    <row r="31307" spans="20:21" ht="15" customHeight="1" x14ac:dyDescent="0.25">
      <c r="T31307" s="135"/>
      <c r="U31307" s="135"/>
    </row>
    <row r="31308" spans="20:21" ht="15" customHeight="1" x14ac:dyDescent="0.25">
      <c r="T31308" s="135"/>
      <c r="U31308" s="135"/>
    </row>
    <row r="31309" spans="20:21" ht="15" customHeight="1" x14ac:dyDescent="0.25">
      <c r="T31309" s="135"/>
      <c r="U31309" s="135"/>
    </row>
    <row r="31310" spans="20:21" ht="15" customHeight="1" x14ac:dyDescent="0.25">
      <c r="T31310" s="135"/>
      <c r="U31310" s="135"/>
    </row>
    <row r="31311" spans="20:21" ht="15" customHeight="1" x14ac:dyDescent="0.25">
      <c r="T31311" s="135"/>
      <c r="U31311" s="135"/>
    </row>
    <row r="31312" spans="20:21" ht="15" customHeight="1" x14ac:dyDescent="0.25">
      <c r="T31312" s="135"/>
      <c r="U31312" s="135"/>
    </row>
    <row r="31313" spans="20:21" ht="15" customHeight="1" x14ac:dyDescent="0.25">
      <c r="T31313" s="135"/>
      <c r="U31313" s="135"/>
    </row>
    <row r="31314" spans="20:21" ht="15" customHeight="1" x14ac:dyDescent="0.25">
      <c r="T31314" s="135"/>
      <c r="U31314" s="135"/>
    </row>
    <row r="31315" spans="20:21" ht="15" customHeight="1" x14ac:dyDescent="0.25">
      <c r="T31315" s="135"/>
      <c r="U31315" s="135"/>
    </row>
    <row r="31316" spans="20:21" ht="15" customHeight="1" x14ac:dyDescent="0.25">
      <c r="T31316" s="135"/>
      <c r="U31316" s="135"/>
    </row>
    <row r="31317" spans="20:21" ht="15" customHeight="1" x14ac:dyDescent="0.25">
      <c r="T31317" s="135"/>
      <c r="U31317" s="135"/>
    </row>
    <row r="31318" spans="20:21" ht="15" customHeight="1" x14ac:dyDescent="0.25">
      <c r="T31318" s="135"/>
      <c r="U31318" s="135"/>
    </row>
    <row r="31319" spans="20:21" ht="15" customHeight="1" x14ac:dyDescent="0.25">
      <c r="T31319" s="135"/>
      <c r="U31319" s="135"/>
    </row>
    <row r="31320" spans="20:21" ht="15" customHeight="1" x14ac:dyDescent="0.25">
      <c r="T31320" s="135"/>
      <c r="U31320" s="135"/>
    </row>
    <row r="31321" spans="20:21" ht="15" customHeight="1" x14ac:dyDescent="0.25">
      <c r="T31321" s="135"/>
      <c r="U31321" s="135"/>
    </row>
    <row r="31322" spans="20:21" ht="15" customHeight="1" x14ac:dyDescent="0.25">
      <c r="T31322" s="135"/>
      <c r="U31322" s="135"/>
    </row>
    <row r="31323" spans="20:21" ht="15" customHeight="1" x14ac:dyDescent="0.25">
      <c r="T31323" s="135"/>
      <c r="U31323" s="135"/>
    </row>
    <row r="31324" spans="20:21" ht="15" customHeight="1" x14ac:dyDescent="0.25">
      <c r="T31324" s="135"/>
      <c r="U31324" s="135"/>
    </row>
    <row r="31325" spans="20:21" ht="15" customHeight="1" x14ac:dyDescent="0.25">
      <c r="T31325" s="135"/>
      <c r="U31325" s="135"/>
    </row>
    <row r="31326" spans="20:21" ht="15" customHeight="1" x14ac:dyDescent="0.25">
      <c r="T31326" s="135"/>
      <c r="U31326" s="135"/>
    </row>
    <row r="31327" spans="20:21" ht="15" customHeight="1" x14ac:dyDescent="0.25">
      <c r="T31327" s="135"/>
      <c r="U31327" s="135"/>
    </row>
    <row r="31328" spans="20:21" ht="15" customHeight="1" x14ac:dyDescent="0.25">
      <c r="T31328" s="135"/>
      <c r="U31328" s="135"/>
    </row>
    <row r="31329" spans="20:21" ht="15" customHeight="1" x14ac:dyDescent="0.25">
      <c r="T31329" s="135"/>
      <c r="U31329" s="135"/>
    </row>
    <row r="31330" spans="20:21" ht="15" customHeight="1" x14ac:dyDescent="0.25">
      <c r="T31330" s="135"/>
      <c r="U31330" s="135"/>
    </row>
    <row r="31331" spans="20:21" ht="15" customHeight="1" x14ac:dyDescent="0.25">
      <c r="T31331" s="135"/>
      <c r="U31331" s="135"/>
    </row>
    <row r="31332" spans="20:21" ht="15" customHeight="1" x14ac:dyDescent="0.25">
      <c r="T31332" s="135"/>
      <c r="U31332" s="135"/>
    </row>
    <row r="31333" spans="20:21" ht="15" customHeight="1" x14ac:dyDescent="0.25">
      <c r="T31333" s="135"/>
      <c r="U31333" s="135"/>
    </row>
    <row r="31334" spans="20:21" ht="15" customHeight="1" x14ac:dyDescent="0.25">
      <c r="T31334" s="135"/>
      <c r="U31334" s="135"/>
    </row>
    <row r="31335" spans="20:21" ht="15" customHeight="1" x14ac:dyDescent="0.25">
      <c r="T31335" s="135"/>
      <c r="U31335" s="135"/>
    </row>
    <row r="31336" spans="20:21" ht="15" customHeight="1" x14ac:dyDescent="0.25">
      <c r="T31336" s="135"/>
      <c r="U31336" s="135"/>
    </row>
    <row r="31337" spans="20:21" ht="15" customHeight="1" x14ac:dyDescent="0.25">
      <c r="T31337" s="135"/>
      <c r="U31337" s="135"/>
    </row>
    <row r="31338" spans="20:21" ht="15" customHeight="1" x14ac:dyDescent="0.25">
      <c r="T31338" s="135"/>
      <c r="U31338" s="135"/>
    </row>
    <row r="31339" spans="20:21" ht="15" customHeight="1" x14ac:dyDescent="0.25">
      <c r="T31339" s="135"/>
      <c r="U31339" s="135"/>
    </row>
    <row r="31340" spans="20:21" ht="15" customHeight="1" x14ac:dyDescent="0.25">
      <c r="T31340" s="135"/>
      <c r="U31340" s="135"/>
    </row>
    <row r="31341" spans="20:21" ht="15" customHeight="1" x14ac:dyDescent="0.25">
      <c r="T31341" s="135"/>
      <c r="U31341" s="135"/>
    </row>
    <row r="31342" spans="20:21" ht="15" customHeight="1" x14ac:dyDescent="0.25">
      <c r="T31342" s="135"/>
      <c r="U31342" s="135"/>
    </row>
    <row r="31343" spans="20:21" ht="15" customHeight="1" x14ac:dyDescent="0.25">
      <c r="T31343" s="135"/>
      <c r="U31343" s="135"/>
    </row>
    <row r="31344" spans="20:21" ht="15" customHeight="1" x14ac:dyDescent="0.25">
      <c r="T31344" s="135"/>
      <c r="U31344" s="135"/>
    </row>
    <row r="31345" spans="20:21" ht="15" customHeight="1" x14ac:dyDescent="0.25">
      <c r="T31345" s="135"/>
      <c r="U31345" s="135"/>
    </row>
    <row r="31346" spans="20:21" ht="15" customHeight="1" x14ac:dyDescent="0.25">
      <c r="T31346" s="135"/>
      <c r="U31346" s="135"/>
    </row>
    <row r="31347" spans="20:21" ht="15" customHeight="1" x14ac:dyDescent="0.25">
      <c r="T31347" s="135"/>
      <c r="U31347" s="135"/>
    </row>
    <row r="31348" spans="20:21" ht="15" customHeight="1" x14ac:dyDescent="0.25">
      <c r="T31348" s="135"/>
      <c r="U31348" s="135"/>
    </row>
    <row r="31349" spans="20:21" ht="15" customHeight="1" x14ac:dyDescent="0.25">
      <c r="T31349" s="135"/>
      <c r="U31349" s="135"/>
    </row>
    <row r="31350" spans="20:21" ht="15" customHeight="1" x14ac:dyDescent="0.25">
      <c r="T31350" s="135"/>
      <c r="U31350" s="135"/>
    </row>
    <row r="31351" spans="20:21" ht="15" customHeight="1" x14ac:dyDescent="0.25">
      <c r="T31351" s="135"/>
      <c r="U31351" s="135"/>
    </row>
    <row r="31352" spans="20:21" ht="15" customHeight="1" x14ac:dyDescent="0.25">
      <c r="T31352" s="135"/>
      <c r="U31352" s="135"/>
    </row>
    <row r="31353" spans="20:21" ht="15" customHeight="1" x14ac:dyDescent="0.25">
      <c r="T31353" s="135"/>
      <c r="U31353" s="135"/>
    </row>
    <row r="31354" spans="20:21" ht="15" customHeight="1" x14ac:dyDescent="0.25">
      <c r="T31354" s="135"/>
      <c r="U31354" s="135"/>
    </row>
    <row r="31355" spans="20:21" ht="15" customHeight="1" x14ac:dyDescent="0.25">
      <c r="T31355" s="135"/>
      <c r="U31355" s="135"/>
    </row>
    <row r="31356" spans="20:21" ht="15" customHeight="1" x14ac:dyDescent="0.25">
      <c r="T31356" s="135"/>
      <c r="U31356" s="135"/>
    </row>
    <row r="31357" spans="20:21" ht="15" customHeight="1" x14ac:dyDescent="0.25">
      <c r="T31357" s="135"/>
      <c r="U31357" s="135"/>
    </row>
    <row r="31358" spans="20:21" ht="15" customHeight="1" x14ac:dyDescent="0.25">
      <c r="T31358" s="135"/>
      <c r="U31358" s="135"/>
    </row>
    <row r="31359" spans="20:21" ht="15" customHeight="1" x14ac:dyDescent="0.25">
      <c r="T31359" s="135"/>
      <c r="U31359" s="135"/>
    </row>
    <row r="31360" spans="20:21" ht="15" customHeight="1" x14ac:dyDescent="0.25">
      <c r="T31360" s="135"/>
      <c r="U31360" s="135"/>
    </row>
    <row r="31361" spans="20:21" ht="15" customHeight="1" x14ac:dyDescent="0.25">
      <c r="T31361" s="135"/>
      <c r="U31361" s="135"/>
    </row>
    <row r="31362" spans="20:21" ht="15" customHeight="1" x14ac:dyDescent="0.25">
      <c r="T31362" s="135"/>
      <c r="U31362" s="135"/>
    </row>
    <row r="31363" spans="20:21" ht="15" customHeight="1" x14ac:dyDescent="0.25">
      <c r="T31363" s="135"/>
      <c r="U31363" s="135"/>
    </row>
    <row r="31364" spans="20:21" ht="15" customHeight="1" x14ac:dyDescent="0.25">
      <c r="T31364" s="135"/>
      <c r="U31364" s="135"/>
    </row>
    <row r="31365" spans="20:21" ht="15" customHeight="1" x14ac:dyDescent="0.25">
      <c r="T31365" s="135"/>
      <c r="U31365" s="135"/>
    </row>
    <row r="31366" spans="20:21" ht="15" customHeight="1" x14ac:dyDescent="0.25">
      <c r="T31366" s="135"/>
      <c r="U31366" s="135"/>
    </row>
    <row r="31367" spans="20:21" ht="15" customHeight="1" x14ac:dyDescent="0.25">
      <c r="T31367" s="135"/>
      <c r="U31367" s="135"/>
    </row>
    <row r="31368" spans="20:21" ht="15" customHeight="1" x14ac:dyDescent="0.25">
      <c r="T31368" s="135"/>
      <c r="U31368" s="135"/>
    </row>
    <row r="31369" spans="20:21" ht="15" customHeight="1" x14ac:dyDescent="0.25">
      <c r="T31369" s="135"/>
      <c r="U31369" s="135"/>
    </row>
    <row r="31370" spans="20:21" ht="15" customHeight="1" x14ac:dyDescent="0.25">
      <c r="T31370" s="135"/>
      <c r="U31370" s="135"/>
    </row>
    <row r="31371" spans="20:21" ht="15" customHeight="1" x14ac:dyDescent="0.25">
      <c r="T31371" s="135"/>
      <c r="U31371" s="135"/>
    </row>
    <row r="31372" spans="20:21" ht="15" customHeight="1" x14ac:dyDescent="0.25">
      <c r="T31372" s="135"/>
      <c r="U31372" s="135"/>
    </row>
    <row r="31373" spans="20:21" ht="15" customHeight="1" x14ac:dyDescent="0.25">
      <c r="T31373" s="135"/>
      <c r="U31373" s="135"/>
    </row>
    <row r="31374" spans="20:21" ht="15" customHeight="1" x14ac:dyDescent="0.25">
      <c r="T31374" s="135"/>
      <c r="U31374" s="135"/>
    </row>
    <row r="31375" spans="20:21" ht="15" customHeight="1" x14ac:dyDescent="0.25">
      <c r="T31375" s="135"/>
      <c r="U31375" s="135"/>
    </row>
    <row r="31376" spans="20:21" ht="15" customHeight="1" x14ac:dyDescent="0.25">
      <c r="T31376" s="135"/>
      <c r="U31376" s="135"/>
    </row>
    <row r="31377" spans="20:21" ht="15" customHeight="1" x14ac:dyDescent="0.25">
      <c r="T31377" s="135"/>
      <c r="U31377" s="135"/>
    </row>
    <row r="31378" spans="20:21" ht="15" customHeight="1" x14ac:dyDescent="0.25">
      <c r="T31378" s="135"/>
      <c r="U31378" s="135"/>
    </row>
    <row r="31379" spans="20:21" ht="15" customHeight="1" x14ac:dyDescent="0.25">
      <c r="T31379" s="135"/>
      <c r="U31379" s="135"/>
    </row>
    <row r="31380" spans="20:21" ht="15" customHeight="1" x14ac:dyDescent="0.25">
      <c r="T31380" s="135"/>
      <c r="U31380" s="135"/>
    </row>
    <row r="31381" spans="20:21" ht="15" customHeight="1" x14ac:dyDescent="0.25">
      <c r="T31381" s="135"/>
      <c r="U31381" s="135"/>
    </row>
    <row r="31382" spans="20:21" ht="15" customHeight="1" x14ac:dyDescent="0.25">
      <c r="T31382" s="135"/>
      <c r="U31382" s="135"/>
    </row>
    <row r="31383" spans="20:21" ht="15" customHeight="1" x14ac:dyDescent="0.25">
      <c r="T31383" s="135"/>
      <c r="U31383" s="135"/>
    </row>
    <row r="31384" spans="20:21" ht="15" customHeight="1" x14ac:dyDescent="0.25">
      <c r="T31384" s="135"/>
      <c r="U31384" s="135"/>
    </row>
    <row r="31385" spans="20:21" ht="15" customHeight="1" x14ac:dyDescent="0.25">
      <c r="T31385" s="135"/>
      <c r="U31385" s="135"/>
    </row>
    <row r="31386" spans="20:21" ht="15" customHeight="1" x14ac:dyDescent="0.25">
      <c r="T31386" s="135"/>
      <c r="U31386" s="135"/>
    </row>
    <row r="31387" spans="20:21" ht="15" customHeight="1" x14ac:dyDescent="0.25">
      <c r="T31387" s="135"/>
      <c r="U31387" s="135"/>
    </row>
    <row r="31388" spans="20:21" ht="15" customHeight="1" x14ac:dyDescent="0.25">
      <c r="T31388" s="135"/>
      <c r="U31388" s="135"/>
    </row>
    <row r="31389" spans="20:21" ht="15" customHeight="1" x14ac:dyDescent="0.25">
      <c r="T31389" s="135"/>
      <c r="U31389" s="135"/>
    </row>
    <row r="31390" spans="20:21" ht="15" customHeight="1" x14ac:dyDescent="0.25">
      <c r="T31390" s="135"/>
      <c r="U31390" s="135"/>
    </row>
    <row r="31391" spans="20:21" ht="15" customHeight="1" x14ac:dyDescent="0.25">
      <c r="T31391" s="135"/>
      <c r="U31391" s="135"/>
    </row>
    <row r="31392" spans="20:21" ht="15" customHeight="1" x14ac:dyDescent="0.25">
      <c r="T31392" s="135"/>
      <c r="U31392" s="135"/>
    </row>
    <row r="31393" spans="20:21" ht="15" customHeight="1" x14ac:dyDescent="0.25">
      <c r="T31393" s="135"/>
      <c r="U31393" s="135"/>
    </row>
    <row r="31394" spans="20:21" ht="15" customHeight="1" x14ac:dyDescent="0.25">
      <c r="T31394" s="135"/>
      <c r="U31394" s="135"/>
    </row>
    <row r="31395" spans="20:21" ht="15" customHeight="1" x14ac:dyDescent="0.25">
      <c r="T31395" s="135"/>
      <c r="U31395" s="135"/>
    </row>
    <row r="31396" spans="20:21" ht="15" customHeight="1" x14ac:dyDescent="0.25">
      <c r="T31396" s="135"/>
      <c r="U31396" s="135"/>
    </row>
    <row r="31397" spans="20:21" ht="15" customHeight="1" x14ac:dyDescent="0.25">
      <c r="T31397" s="135"/>
      <c r="U31397" s="135"/>
    </row>
    <row r="31398" spans="20:21" ht="15" customHeight="1" x14ac:dyDescent="0.25">
      <c r="T31398" s="135"/>
      <c r="U31398" s="135"/>
    </row>
    <row r="31399" spans="20:21" ht="15" customHeight="1" x14ac:dyDescent="0.25">
      <c r="T31399" s="135"/>
      <c r="U31399" s="135"/>
    </row>
    <row r="31400" spans="20:21" ht="15" customHeight="1" x14ac:dyDescent="0.25">
      <c r="T31400" s="135"/>
      <c r="U31400" s="135"/>
    </row>
    <row r="31401" spans="20:21" ht="15" customHeight="1" x14ac:dyDescent="0.25">
      <c r="T31401" s="135"/>
      <c r="U31401" s="135"/>
    </row>
    <row r="31402" spans="20:21" ht="15" customHeight="1" x14ac:dyDescent="0.25">
      <c r="T31402" s="135"/>
      <c r="U31402" s="135"/>
    </row>
    <row r="31403" spans="20:21" ht="15" customHeight="1" x14ac:dyDescent="0.25">
      <c r="T31403" s="135"/>
      <c r="U31403" s="135"/>
    </row>
    <row r="31404" spans="20:21" ht="15" customHeight="1" x14ac:dyDescent="0.25">
      <c r="T31404" s="135"/>
      <c r="U31404" s="135"/>
    </row>
    <row r="31405" spans="20:21" ht="15" customHeight="1" x14ac:dyDescent="0.25">
      <c r="T31405" s="135"/>
      <c r="U31405" s="135"/>
    </row>
    <row r="31406" spans="20:21" ht="15" customHeight="1" x14ac:dyDescent="0.25">
      <c r="T31406" s="135"/>
      <c r="U31406" s="135"/>
    </row>
    <row r="31407" spans="20:21" ht="15" customHeight="1" x14ac:dyDescent="0.25">
      <c r="T31407" s="135"/>
      <c r="U31407" s="135"/>
    </row>
    <row r="31408" spans="20:21" ht="15" customHeight="1" x14ac:dyDescent="0.25">
      <c r="T31408" s="135"/>
      <c r="U31408" s="135"/>
    </row>
    <row r="31409" spans="20:21" ht="15" customHeight="1" x14ac:dyDescent="0.25">
      <c r="T31409" s="135"/>
      <c r="U31409" s="135"/>
    </row>
    <row r="31410" spans="20:21" ht="15" customHeight="1" x14ac:dyDescent="0.25">
      <c r="T31410" s="135"/>
      <c r="U31410" s="135"/>
    </row>
    <row r="31411" spans="20:21" ht="15" customHeight="1" x14ac:dyDescent="0.25">
      <c r="T31411" s="135"/>
      <c r="U31411" s="135"/>
    </row>
    <row r="31412" spans="20:21" ht="15" customHeight="1" x14ac:dyDescent="0.25">
      <c r="T31412" s="135"/>
      <c r="U31412" s="135"/>
    </row>
    <row r="31413" spans="20:21" ht="15" customHeight="1" x14ac:dyDescent="0.25">
      <c r="T31413" s="135"/>
      <c r="U31413" s="135"/>
    </row>
    <row r="31414" spans="20:21" ht="15" customHeight="1" x14ac:dyDescent="0.25">
      <c r="T31414" s="135"/>
      <c r="U31414" s="135"/>
    </row>
    <row r="31415" spans="20:21" ht="15" customHeight="1" x14ac:dyDescent="0.25">
      <c r="T31415" s="135"/>
      <c r="U31415" s="135"/>
    </row>
    <row r="31416" spans="20:21" ht="15" customHeight="1" x14ac:dyDescent="0.25">
      <c r="T31416" s="135"/>
      <c r="U31416" s="135"/>
    </row>
    <row r="31417" spans="20:21" ht="15" customHeight="1" x14ac:dyDescent="0.25">
      <c r="T31417" s="135"/>
      <c r="U31417" s="135"/>
    </row>
    <row r="31418" spans="20:21" ht="15" customHeight="1" x14ac:dyDescent="0.25">
      <c r="T31418" s="135"/>
      <c r="U31418" s="135"/>
    </row>
    <row r="31419" spans="20:21" ht="15" customHeight="1" x14ac:dyDescent="0.25">
      <c r="T31419" s="135"/>
      <c r="U31419" s="135"/>
    </row>
    <row r="31420" spans="20:21" ht="15" customHeight="1" x14ac:dyDescent="0.25">
      <c r="T31420" s="135"/>
      <c r="U31420" s="135"/>
    </row>
    <row r="31421" spans="20:21" ht="15" customHeight="1" x14ac:dyDescent="0.25">
      <c r="T31421" s="135"/>
      <c r="U31421" s="135"/>
    </row>
    <row r="31422" spans="20:21" ht="15" customHeight="1" x14ac:dyDescent="0.25">
      <c r="T31422" s="135"/>
      <c r="U31422" s="135"/>
    </row>
    <row r="31423" spans="20:21" ht="15" customHeight="1" x14ac:dyDescent="0.25">
      <c r="T31423" s="135"/>
      <c r="U31423" s="135"/>
    </row>
    <row r="31424" spans="20:21" ht="15" customHeight="1" x14ac:dyDescent="0.25">
      <c r="T31424" s="135"/>
      <c r="U31424" s="135"/>
    </row>
    <row r="31425" spans="20:21" ht="15" customHeight="1" x14ac:dyDescent="0.25">
      <c r="T31425" s="135"/>
      <c r="U31425" s="135"/>
    </row>
    <row r="31426" spans="20:21" ht="15" customHeight="1" x14ac:dyDescent="0.25">
      <c r="T31426" s="135"/>
      <c r="U31426" s="135"/>
    </row>
    <row r="31427" spans="20:21" ht="15" customHeight="1" x14ac:dyDescent="0.25">
      <c r="T31427" s="135"/>
      <c r="U31427" s="135"/>
    </row>
    <row r="31428" spans="20:21" ht="15" customHeight="1" x14ac:dyDescent="0.25">
      <c r="T31428" s="135"/>
      <c r="U31428" s="135"/>
    </row>
    <row r="31429" spans="20:21" ht="15" customHeight="1" x14ac:dyDescent="0.25">
      <c r="T31429" s="135"/>
      <c r="U31429" s="135"/>
    </row>
    <row r="31430" spans="20:21" ht="15" customHeight="1" x14ac:dyDescent="0.25">
      <c r="T31430" s="135"/>
      <c r="U31430" s="135"/>
    </row>
    <row r="31431" spans="20:21" ht="15" customHeight="1" x14ac:dyDescent="0.25">
      <c r="T31431" s="135"/>
      <c r="U31431" s="135"/>
    </row>
    <row r="31432" spans="20:21" ht="15" customHeight="1" x14ac:dyDescent="0.25">
      <c r="T31432" s="135"/>
      <c r="U31432" s="135"/>
    </row>
    <row r="31433" spans="20:21" ht="15" customHeight="1" x14ac:dyDescent="0.25">
      <c r="T31433" s="135"/>
      <c r="U31433" s="135"/>
    </row>
    <row r="31434" spans="20:21" ht="15" customHeight="1" x14ac:dyDescent="0.25">
      <c r="T31434" s="135"/>
      <c r="U31434" s="135"/>
    </row>
    <row r="31435" spans="20:21" ht="15" customHeight="1" x14ac:dyDescent="0.25">
      <c r="T31435" s="135"/>
      <c r="U31435" s="135"/>
    </row>
    <row r="31436" spans="20:21" ht="15" customHeight="1" x14ac:dyDescent="0.25">
      <c r="T31436" s="135"/>
      <c r="U31436" s="135"/>
    </row>
    <row r="31437" spans="20:21" ht="15" customHeight="1" x14ac:dyDescent="0.25">
      <c r="T31437" s="135"/>
      <c r="U31437" s="135"/>
    </row>
    <row r="31438" spans="20:21" ht="15" customHeight="1" x14ac:dyDescent="0.25">
      <c r="T31438" s="135"/>
      <c r="U31438" s="135"/>
    </row>
    <row r="31439" spans="20:21" ht="15" customHeight="1" x14ac:dyDescent="0.25">
      <c r="T31439" s="135"/>
      <c r="U31439" s="135"/>
    </row>
    <row r="31440" spans="20:21" ht="15" customHeight="1" x14ac:dyDescent="0.25">
      <c r="T31440" s="135"/>
      <c r="U31440" s="135"/>
    </row>
    <row r="31441" spans="20:21" ht="15" customHeight="1" x14ac:dyDescent="0.25">
      <c r="T31441" s="135"/>
      <c r="U31441" s="135"/>
    </row>
    <row r="31442" spans="20:21" ht="15" customHeight="1" x14ac:dyDescent="0.25">
      <c r="T31442" s="135"/>
      <c r="U31442" s="135"/>
    </row>
    <row r="31443" spans="20:21" ht="15" customHeight="1" x14ac:dyDescent="0.25">
      <c r="T31443" s="135"/>
      <c r="U31443" s="135"/>
    </row>
    <row r="31444" spans="20:21" ht="15" customHeight="1" x14ac:dyDescent="0.25">
      <c r="T31444" s="135"/>
      <c r="U31444" s="135"/>
    </row>
    <row r="31445" spans="20:21" ht="15" customHeight="1" x14ac:dyDescent="0.25">
      <c r="T31445" s="135"/>
      <c r="U31445" s="135"/>
    </row>
    <row r="31446" spans="20:21" ht="15" customHeight="1" x14ac:dyDescent="0.25">
      <c r="T31446" s="135"/>
      <c r="U31446" s="135"/>
    </row>
    <row r="31447" spans="20:21" ht="15" customHeight="1" x14ac:dyDescent="0.25">
      <c r="T31447" s="135"/>
      <c r="U31447" s="135"/>
    </row>
    <row r="31448" spans="20:21" ht="15" customHeight="1" x14ac:dyDescent="0.25">
      <c r="T31448" s="135"/>
      <c r="U31448" s="135"/>
    </row>
    <row r="31449" spans="20:21" ht="15" customHeight="1" x14ac:dyDescent="0.25">
      <c r="T31449" s="135"/>
      <c r="U31449" s="135"/>
    </row>
    <row r="31450" spans="20:21" ht="15" customHeight="1" x14ac:dyDescent="0.25">
      <c r="T31450" s="135"/>
      <c r="U31450" s="135"/>
    </row>
    <row r="31451" spans="20:21" ht="15" customHeight="1" x14ac:dyDescent="0.25">
      <c r="T31451" s="135"/>
      <c r="U31451" s="135"/>
    </row>
    <row r="31452" spans="20:21" ht="15" customHeight="1" x14ac:dyDescent="0.25">
      <c r="T31452" s="135"/>
      <c r="U31452" s="135"/>
    </row>
    <row r="31453" spans="20:21" ht="15" customHeight="1" x14ac:dyDescent="0.25">
      <c r="T31453" s="135"/>
      <c r="U31453" s="135"/>
    </row>
    <row r="31454" spans="20:21" ht="15" customHeight="1" x14ac:dyDescent="0.25">
      <c r="T31454" s="135"/>
      <c r="U31454" s="135"/>
    </row>
    <row r="31455" spans="20:21" ht="15" customHeight="1" x14ac:dyDescent="0.25">
      <c r="T31455" s="135"/>
      <c r="U31455" s="135"/>
    </row>
    <row r="31456" spans="20:21" ht="15" customHeight="1" x14ac:dyDescent="0.25">
      <c r="T31456" s="135"/>
      <c r="U31456" s="135"/>
    </row>
    <row r="31457" spans="20:21" ht="15" customHeight="1" x14ac:dyDescent="0.25">
      <c r="T31457" s="135"/>
      <c r="U31457" s="135"/>
    </row>
    <row r="31458" spans="20:21" ht="15" customHeight="1" x14ac:dyDescent="0.25">
      <c r="T31458" s="135"/>
      <c r="U31458" s="135"/>
    </row>
    <row r="31459" spans="20:21" ht="15" customHeight="1" x14ac:dyDescent="0.25">
      <c r="T31459" s="135"/>
      <c r="U31459" s="135"/>
    </row>
    <row r="31460" spans="20:21" ht="15" customHeight="1" x14ac:dyDescent="0.25">
      <c r="T31460" s="135"/>
      <c r="U31460" s="135"/>
    </row>
    <row r="31461" spans="20:21" ht="15" customHeight="1" x14ac:dyDescent="0.25">
      <c r="T31461" s="135"/>
      <c r="U31461" s="135"/>
    </row>
    <row r="31462" spans="20:21" ht="15" customHeight="1" x14ac:dyDescent="0.25">
      <c r="T31462" s="135"/>
      <c r="U31462" s="135"/>
    </row>
    <row r="31463" spans="20:21" ht="15" customHeight="1" x14ac:dyDescent="0.25">
      <c r="T31463" s="135"/>
      <c r="U31463" s="135"/>
    </row>
    <row r="31464" spans="20:21" ht="15" customHeight="1" x14ac:dyDescent="0.25">
      <c r="T31464" s="135"/>
      <c r="U31464" s="135"/>
    </row>
    <row r="31465" spans="20:21" ht="15" customHeight="1" x14ac:dyDescent="0.25">
      <c r="T31465" s="135"/>
      <c r="U31465" s="135"/>
    </row>
    <row r="31466" spans="20:21" ht="15" customHeight="1" x14ac:dyDescent="0.25">
      <c r="T31466" s="135"/>
      <c r="U31466" s="135"/>
    </row>
    <row r="31467" spans="20:21" ht="15" customHeight="1" x14ac:dyDescent="0.25">
      <c r="T31467" s="135"/>
      <c r="U31467" s="135"/>
    </row>
    <row r="31468" spans="20:21" ht="15" customHeight="1" x14ac:dyDescent="0.25">
      <c r="T31468" s="135"/>
      <c r="U31468" s="135"/>
    </row>
    <row r="31469" spans="20:21" ht="15" customHeight="1" x14ac:dyDescent="0.25">
      <c r="T31469" s="135"/>
      <c r="U31469" s="135"/>
    </row>
    <row r="31470" spans="20:21" ht="15" customHeight="1" x14ac:dyDescent="0.25">
      <c r="T31470" s="135"/>
      <c r="U31470" s="135"/>
    </row>
    <row r="31471" spans="20:21" ht="15" customHeight="1" x14ac:dyDescent="0.25">
      <c r="T31471" s="135"/>
      <c r="U31471" s="135"/>
    </row>
    <row r="31472" spans="20:21" ht="15" customHeight="1" x14ac:dyDescent="0.25">
      <c r="T31472" s="135"/>
      <c r="U31472" s="135"/>
    </row>
    <row r="31473" spans="20:21" ht="15" customHeight="1" x14ac:dyDescent="0.25">
      <c r="T31473" s="135"/>
      <c r="U31473" s="135"/>
    </row>
    <row r="31474" spans="20:21" ht="15" customHeight="1" x14ac:dyDescent="0.25">
      <c r="T31474" s="135"/>
      <c r="U31474" s="135"/>
    </row>
    <row r="31475" spans="20:21" ht="15" customHeight="1" x14ac:dyDescent="0.25">
      <c r="T31475" s="135"/>
      <c r="U31475" s="135"/>
    </row>
    <row r="31476" spans="20:21" ht="15" customHeight="1" x14ac:dyDescent="0.25">
      <c r="T31476" s="135"/>
      <c r="U31476" s="135"/>
    </row>
    <row r="31477" spans="20:21" ht="15" customHeight="1" x14ac:dyDescent="0.25">
      <c r="T31477" s="135"/>
      <c r="U31477" s="135"/>
    </row>
    <row r="31478" spans="20:21" ht="15" customHeight="1" x14ac:dyDescent="0.25">
      <c r="T31478" s="135"/>
      <c r="U31478" s="135"/>
    </row>
    <row r="31479" spans="20:21" ht="15" customHeight="1" x14ac:dyDescent="0.25">
      <c r="T31479" s="135"/>
      <c r="U31479" s="135"/>
    </row>
    <row r="31480" spans="20:21" ht="15" customHeight="1" x14ac:dyDescent="0.25">
      <c r="T31480" s="135"/>
      <c r="U31480" s="135"/>
    </row>
    <row r="31481" spans="20:21" ht="15" customHeight="1" x14ac:dyDescent="0.25">
      <c r="T31481" s="135"/>
      <c r="U31481" s="135"/>
    </row>
    <row r="31482" spans="20:21" ht="15" customHeight="1" x14ac:dyDescent="0.25">
      <c r="T31482" s="135"/>
      <c r="U31482" s="135"/>
    </row>
    <row r="31483" spans="20:21" ht="15" customHeight="1" x14ac:dyDescent="0.25">
      <c r="T31483" s="135"/>
      <c r="U31483" s="135"/>
    </row>
    <row r="31484" spans="20:21" ht="15" customHeight="1" x14ac:dyDescent="0.25">
      <c r="T31484" s="135"/>
      <c r="U31484" s="135"/>
    </row>
    <row r="31485" spans="20:21" ht="15" customHeight="1" x14ac:dyDescent="0.25">
      <c r="T31485" s="135"/>
      <c r="U31485" s="135"/>
    </row>
    <row r="31486" spans="20:21" ht="15" customHeight="1" x14ac:dyDescent="0.25">
      <c r="T31486" s="135"/>
      <c r="U31486" s="135"/>
    </row>
    <row r="31487" spans="20:21" ht="15" customHeight="1" x14ac:dyDescent="0.25">
      <c r="T31487" s="135"/>
      <c r="U31487" s="135"/>
    </row>
    <row r="31488" spans="20:21" ht="15" customHeight="1" x14ac:dyDescent="0.25">
      <c r="T31488" s="135"/>
      <c r="U31488" s="135"/>
    </row>
    <row r="31489" spans="20:21" ht="15" customHeight="1" x14ac:dyDescent="0.25">
      <c r="T31489" s="135"/>
      <c r="U31489" s="135"/>
    </row>
    <row r="31490" spans="20:21" ht="15" customHeight="1" x14ac:dyDescent="0.25">
      <c r="T31490" s="135"/>
      <c r="U31490" s="135"/>
    </row>
    <row r="31491" spans="20:21" ht="15" customHeight="1" x14ac:dyDescent="0.25">
      <c r="T31491" s="135"/>
      <c r="U31491" s="135"/>
    </row>
    <row r="31492" spans="20:21" ht="15" customHeight="1" x14ac:dyDescent="0.25">
      <c r="T31492" s="135"/>
      <c r="U31492" s="135"/>
    </row>
    <row r="31493" spans="20:21" ht="15" customHeight="1" x14ac:dyDescent="0.25">
      <c r="T31493" s="135"/>
      <c r="U31493" s="135"/>
    </row>
    <row r="31494" spans="20:21" ht="15" customHeight="1" x14ac:dyDescent="0.25">
      <c r="T31494" s="135"/>
      <c r="U31494" s="135"/>
    </row>
    <row r="31495" spans="20:21" ht="15" customHeight="1" x14ac:dyDescent="0.25">
      <c r="T31495" s="135"/>
      <c r="U31495" s="135"/>
    </row>
    <row r="31496" spans="20:21" ht="15" customHeight="1" x14ac:dyDescent="0.25">
      <c r="T31496" s="135"/>
      <c r="U31496" s="135"/>
    </row>
    <row r="31497" spans="20:21" ht="15" customHeight="1" x14ac:dyDescent="0.25">
      <c r="T31497" s="135"/>
      <c r="U31497" s="135"/>
    </row>
    <row r="31498" spans="20:21" ht="15" customHeight="1" x14ac:dyDescent="0.25">
      <c r="T31498" s="135"/>
      <c r="U31498" s="135"/>
    </row>
    <row r="31499" spans="20:21" ht="15" customHeight="1" x14ac:dyDescent="0.25">
      <c r="T31499" s="135"/>
      <c r="U31499" s="135"/>
    </row>
    <row r="31500" spans="20:21" ht="15" customHeight="1" x14ac:dyDescent="0.25">
      <c r="T31500" s="135"/>
      <c r="U31500" s="135"/>
    </row>
    <row r="31501" spans="20:21" ht="15" customHeight="1" x14ac:dyDescent="0.25">
      <c r="T31501" s="135"/>
      <c r="U31501" s="135"/>
    </row>
    <row r="31502" spans="20:21" ht="15" customHeight="1" x14ac:dyDescent="0.25">
      <c r="T31502" s="135"/>
      <c r="U31502" s="135"/>
    </row>
    <row r="31503" spans="20:21" ht="15" customHeight="1" x14ac:dyDescent="0.25">
      <c r="T31503" s="135"/>
      <c r="U31503" s="135"/>
    </row>
    <row r="31504" spans="20:21" ht="15" customHeight="1" x14ac:dyDescent="0.25">
      <c r="T31504" s="135"/>
      <c r="U31504" s="135"/>
    </row>
    <row r="31505" spans="20:21" ht="15" customHeight="1" x14ac:dyDescent="0.25">
      <c r="T31505" s="135"/>
      <c r="U31505" s="135"/>
    </row>
    <row r="31506" spans="20:21" ht="15" customHeight="1" x14ac:dyDescent="0.25">
      <c r="T31506" s="135"/>
      <c r="U31506" s="135"/>
    </row>
    <row r="31507" spans="20:21" ht="15" customHeight="1" x14ac:dyDescent="0.25">
      <c r="T31507" s="135"/>
      <c r="U31507" s="135"/>
    </row>
    <row r="31508" spans="20:21" ht="15" customHeight="1" x14ac:dyDescent="0.25">
      <c r="T31508" s="135"/>
      <c r="U31508" s="135"/>
    </row>
    <row r="31509" spans="20:21" ht="15" customHeight="1" x14ac:dyDescent="0.25">
      <c r="T31509" s="135"/>
      <c r="U31509" s="135"/>
    </row>
    <row r="31510" spans="20:21" ht="15" customHeight="1" x14ac:dyDescent="0.25">
      <c r="T31510" s="135"/>
      <c r="U31510" s="135"/>
    </row>
    <row r="31511" spans="20:21" ht="15" customHeight="1" x14ac:dyDescent="0.25">
      <c r="T31511" s="135"/>
      <c r="U31511" s="135"/>
    </row>
    <row r="31512" spans="20:21" ht="15" customHeight="1" x14ac:dyDescent="0.25">
      <c r="T31512" s="135"/>
      <c r="U31512" s="135"/>
    </row>
    <row r="31513" spans="20:21" ht="15" customHeight="1" x14ac:dyDescent="0.25">
      <c r="T31513" s="135"/>
      <c r="U31513" s="135"/>
    </row>
    <row r="31514" spans="20:21" ht="15" customHeight="1" x14ac:dyDescent="0.25">
      <c r="T31514" s="135"/>
      <c r="U31514" s="135"/>
    </row>
    <row r="31515" spans="20:21" ht="15" customHeight="1" x14ac:dyDescent="0.25">
      <c r="T31515" s="135"/>
      <c r="U31515" s="135"/>
    </row>
    <row r="31516" spans="20:21" ht="15" customHeight="1" x14ac:dyDescent="0.25">
      <c r="T31516" s="135"/>
      <c r="U31516" s="135"/>
    </row>
    <row r="31517" spans="20:21" ht="15" customHeight="1" x14ac:dyDescent="0.25">
      <c r="T31517" s="135"/>
      <c r="U31517" s="135"/>
    </row>
    <row r="31518" spans="20:21" ht="15" customHeight="1" x14ac:dyDescent="0.25">
      <c r="T31518" s="135"/>
      <c r="U31518" s="135"/>
    </row>
    <row r="31519" spans="20:21" ht="15" customHeight="1" x14ac:dyDescent="0.25">
      <c r="T31519" s="135"/>
      <c r="U31519" s="135"/>
    </row>
    <row r="31520" spans="20:21" ht="15" customHeight="1" x14ac:dyDescent="0.25">
      <c r="T31520" s="135"/>
      <c r="U31520" s="135"/>
    </row>
    <row r="31521" spans="20:21" ht="15" customHeight="1" x14ac:dyDescent="0.25">
      <c r="T31521" s="135"/>
      <c r="U31521" s="135"/>
    </row>
    <row r="31522" spans="20:21" ht="15" customHeight="1" x14ac:dyDescent="0.25">
      <c r="T31522" s="135"/>
      <c r="U31522" s="135"/>
    </row>
    <row r="31523" spans="20:21" ht="15" customHeight="1" x14ac:dyDescent="0.25">
      <c r="T31523" s="135"/>
      <c r="U31523" s="135"/>
    </row>
    <row r="31524" spans="20:21" ht="15" customHeight="1" x14ac:dyDescent="0.25">
      <c r="T31524" s="135"/>
      <c r="U31524" s="135"/>
    </row>
    <row r="31525" spans="20:21" ht="15" customHeight="1" x14ac:dyDescent="0.25">
      <c r="T31525" s="135"/>
      <c r="U31525" s="135"/>
    </row>
    <row r="31526" spans="20:21" ht="15" customHeight="1" x14ac:dyDescent="0.25">
      <c r="T31526" s="135"/>
      <c r="U31526" s="135"/>
    </row>
    <row r="31527" spans="20:21" ht="15" customHeight="1" x14ac:dyDescent="0.25">
      <c r="T31527" s="135"/>
      <c r="U31527" s="135"/>
    </row>
    <row r="31528" spans="20:21" ht="15" customHeight="1" x14ac:dyDescent="0.25">
      <c r="T31528" s="135"/>
      <c r="U31528" s="135"/>
    </row>
    <row r="31529" spans="20:21" ht="15" customHeight="1" x14ac:dyDescent="0.25">
      <c r="T31529" s="135"/>
      <c r="U31529" s="135"/>
    </row>
    <row r="31530" spans="20:21" ht="15" customHeight="1" x14ac:dyDescent="0.25">
      <c r="T31530" s="135"/>
      <c r="U31530" s="135"/>
    </row>
    <row r="31531" spans="20:21" ht="15" customHeight="1" x14ac:dyDescent="0.25">
      <c r="T31531" s="135"/>
      <c r="U31531" s="135"/>
    </row>
    <row r="31532" spans="20:21" ht="15" customHeight="1" x14ac:dyDescent="0.25">
      <c r="T31532" s="135"/>
      <c r="U31532" s="135"/>
    </row>
    <row r="31533" spans="20:21" ht="15" customHeight="1" x14ac:dyDescent="0.25">
      <c r="T31533" s="135"/>
      <c r="U31533" s="135"/>
    </row>
    <row r="31534" spans="20:21" ht="15" customHeight="1" x14ac:dyDescent="0.25">
      <c r="T31534" s="135"/>
      <c r="U31534" s="135"/>
    </row>
    <row r="31535" spans="20:21" ht="15" customHeight="1" x14ac:dyDescent="0.25">
      <c r="T31535" s="135"/>
      <c r="U31535" s="135"/>
    </row>
    <row r="31536" spans="20:21" ht="15" customHeight="1" x14ac:dyDescent="0.25">
      <c r="T31536" s="135"/>
      <c r="U31536" s="135"/>
    </row>
    <row r="31537" spans="20:21" ht="15" customHeight="1" x14ac:dyDescent="0.25">
      <c r="T31537" s="135"/>
      <c r="U31537" s="135"/>
    </row>
    <row r="31538" spans="20:21" ht="15" customHeight="1" x14ac:dyDescent="0.25">
      <c r="T31538" s="135"/>
      <c r="U31538" s="135"/>
    </row>
    <row r="31539" spans="20:21" ht="15" customHeight="1" x14ac:dyDescent="0.25">
      <c r="T31539" s="135"/>
      <c r="U31539" s="135"/>
    </row>
    <row r="31540" spans="20:21" ht="15" customHeight="1" x14ac:dyDescent="0.25">
      <c r="T31540" s="135"/>
      <c r="U31540" s="135"/>
    </row>
    <row r="31541" spans="20:21" ht="15" customHeight="1" x14ac:dyDescent="0.25">
      <c r="T31541" s="135"/>
      <c r="U31541" s="135"/>
    </row>
    <row r="31542" spans="20:21" ht="15" customHeight="1" x14ac:dyDescent="0.25">
      <c r="T31542" s="135"/>
      <c r="U31542" s="135"/>
    </row>
    <row r="31543" spans="20:21" ht="15" customHeight="1" x14ac:dyDescent="0.25">
      <c r="T31543" s="135"/>
      <c r="U31543" s="135"/>
    </row>
    <row r="31544" spans="20:21" ht="15" customHeight="1" x14ac:dyDescent="0.25">
      <c r="T31544" s="135"/>
      <c r="U31544" s="135"/>
    </row>
    <row r="31545" spans="20:21" ht="15" customHeight="1" x14ac:dyDescent="0.25">
      <c r="T31545" s="135"/>
      <c r="U31545" s="135"/>
    </row>
    <row r="31546" spans="20:21" ht="15" customHeight="1" x14ac:dyDescent="0.25">
      <c r="T31546" s="135"/>
      <c r="U31546" s="135"/>
    </row>
    <row r="31547" spans="20:21" ht="15" customHeight="1" x14ac:dyDescent="0.25">
      <c r="T31547" s="135"/>
      <c r="U31547" s="135"/>
    </row>
    <row r="31548" spans="20:21" ht="15" customHeight="1" x14ac:dyDescent="0.25">
      <c r="T31548" s="135"/>
      <c r="U31548" s="135"/>
    </row>
    <row r="31549" spans="20:21" ht="15" customHeight="1" x14ac:dyDescent="0.25">
      <c r="T31549" s="135"/>
      <c r="U31549" s="135"/>
    </row>
    <row r="31550" spans="20:21" ht="15" customHeight="1" x14ac:dyDescent="0.25">
      <c r="T31550" s="135"/>
      <c r="U31550" s="135"/>
    </row>
    <row r="31551" spans="20:21" ht="15" customHeight="1" x14ac:dyDescent="0.25">
      <c r="T31551" s="135"/>
      <c r="U31551" s="135"/>
    </row>
    <row r="31552" spans="20:21" ht="15" customHeight="1" x14ac:dyDescent="0.25">
      <c r="T31552" s="135"/>
      <c r="U31552" s="135"/>
    </row>
    <row r="31553" spans="20:21" ht="15" customHeight="1" x14ac:dyDescent="0.25">
      <c r="T31553" s="135"/>
      <c r="U31553" s="135"/>
    </row>
    <row r="31554" spans="20:21" ht="15" customHeight="1" x14ac:dyDescent="0.25">
      <c r="T31554" s="135"/>
      <c r="U31554" s="135"/>
    </row>
    <row r="31555" spans="20:21" ht="15" customHeight="1" x14ac:dyDescent="0.25">
      <c r="T31555" s="135"/>
      <c r="U31555" s="135"/>
    </row>
    <row r="31556" spans="20:21" ht="15" customHeight="1" x14ac:dyDescent="0.25">
      <c r="T31556" s="135"/>
      <c r="U31556" s="135"/>
    </row>
    <row r="31557" spans="20:21" ht="15" customHeight="1" x14ac:dyDescent="0.25">
      <c r="T31557" s="135"/>
      <c r="U31557" s="135"/>
    </row>
    <row r="31558" spans="20:21" ht="15" customHeight="1" x14ac:dyDescent="0.25">
      <c r="T31558" s="135"/>
      <c r="U31558" s="135"/>
    </row>
    <row r="31559" spans="20:21" ht="15" customHeight="1" x14ac:dyDescent="0.25">
      <c r="T31559" s="135"/>
      <c r="U31559" s="135"/>
    </row>
    <row r="31560" spans="20:21" ht="15" customHeight="1" x14ac:dyDescent="0.25">
      <c r="T31560" s="135"/>
      <c r="U31560" s="135"/>
    </row>
    <row r="31561" spans="20:21" ht="15" customHeight="1" x14ac:dyDescent="0.25">
      <c r="T31561" s="135"/>
      <c r="U31561" s="135"/>
    </row>
    <row r="31562" spans="20:21" ht="15" customHeight="1" x14ac:dyDescent="0.25">
      <c r="T31562" s="135"/>
      <c r="U31562" s="135"/>
    </row>
    <row r="31563" spans="20:21" ht="15" customHeight="1" x14ac:dyDescent="0.25">
      <c r="T31563" s="135"/>
      <c r="U31563" s="135"/>
    </row>
    <row r="31564" spans="20:21" ht="15" customHeight="1" x14ac:dyDescent="0.25">
      <c r="T31564" s="135"/>
      <c r="U31564" s="135"/>
    </row>
    <row r="31565" spans="20:21" ht="15" customHeight="1" x14ac:dyDescent="0.25">
      <c r="T31565" s="135"/>
      <c r="U31565" s="135"/>
    </row>
    <row r="31566" spans="20:21" ht="15" customHeight="1" x14ac:dyDescent="0.25">
      <c r="T31566" s="135"/>
      <c r="U31566" s="135"/>
    </row>
    <row r="31567" spans="20:21" ht="15" customHeight="1" x14ac:dyDescent="0.25">
      <c r="T31567" s="135"/>
      <c r="U31567" s="135"/>
    </row>
    <row r="31568" spans="20:21" ht="15" customHeight="1" x14ac:dyDescent="0.25">
      <c r="T31568" s="135"/>
      <c r="U31568" s="135"/>
    </row>
    <row r="31569" spans="20:21" ht="15" customHeight="1" x14ac:dyDescent="0.25">
      <c r="T31569" s="135"/>
      <c r="U31569" s="135"/>
    </row>
    <row r="31570" spans="20:21" ht="15" customHeight="1" x14ac:dyDescent="0.25">
      <c r="T31570" s="135"/>
      <c r="U31570" s="135"/>
    </row>
    <row r="31571" spans="20:21" ht="15" customHeight="1" x14ac:dyDescent="0.25">
      <c r="T31571" s="135"/>
      <c r="U31571" s="135"/>
    </row>
    <row r="31572" spans="20:21" ht="15" customHeight="1" x14ac:dyDescent="0.25">
      <c r="T31572" s="135"/>
      <c r="U31572" s="135"/>
    </row>
    <row r="31573" spans="20:21" ht="15" customHeight="1" x14ac:dyDescent="0.25">
      <c r="T31573" s="135"/>
      <c r="U31573" s="135"/>
    </row>
    <row r="31574" spans="20:21" ht="15" customHeight="1" x14ac:dyDescent="0.25">
      <c r="T31574" s="135"/>
      <c r="U31574" s="135"/>
    </row>
    <row r="31575" spans="20:21" ht="15" customHeight="1" x14ac:dyDescent="0.25">
      <c r="T31575" s="135"/>
      <c r="U31575" s="135"/>
    </row>
    <row r="31576" spans="20:21" ht="15" customHeight="1" x14ac:dyDescent="0.25">
      <c r="T31576" s="135"/>
      <c r="U31576" s="135"/>
    </row>
    <row r="31577" spans="20:21" ht="15" customHeight="1" x14ac:dyDescent="0.25">
      <c r="T31577" s="135"/>
      <c r="U31577" s="135"/>
    </row>
    <row r="31578" spans="20:21" ht="15" customHeight="1" x14ac:dyDescent="0.25">
      <c r="T31578" s="135"/>
      <c r="U31578" s="135"/>
    </row>
    <row r="31579" spans="20:21" ht="15" customHeight="1" x14ac:dyDescent="0.25">
      <c r="T31579" s="135"/>
      <c r="U31579" s="135"/>
    </row>
    <row r="31580" spans="20:21" ht="15" customHeight="1" x14ac:dyDescent="0.25">
      <c r="T31580" s="135"/>
      <c r="U31580" s="135"/>
    </row>
    <row r="31581" spans="20:21" ht="15" customHeight="1" x14ac:dyDescent="0.25">
      <c r="T31581" s="135"/>
      <c r="U31581" s="135"/>
    </row>
    <row r="31582" spans="20:21" ht="15" customHeight="1" x14ac:dyDescent="0.25">
      <c r="T31582" s="135"/>
      <c r="U31582" s="135"/>
    </row>
    <row r="31583" spans="20:21" ht="15" customHeight="1" x14ac:dyDescent="0.25">
      <c r="T31583" s="135"/>
      <c r="U31583" s="135"/>
    </row>
    <row r="31584" spans="20:21" ht="15" customHeight="1" x14ac:dyDescent="0.25">
      <c r="T31584" s="135"/>
      <c r="U31584" s="135"/>
    </row>
    <row r="31585" spans="20:21" ht="15" customHeight="1" x14ac:dyDescent="0.25">
      <c r="T31585" s="135"/>
      <c r="U31585" s="135"/>
    </row>
    <row r="31586" spans="20:21" ht="15" customHeight="1" x14ac:dyDescent="0.25">
      <c r="T31586" s="135"/>
      <c r="U31586" s="135"/>
    </row>
    <row r="31587" spans="20:21" ht="15" customHeight="1" x14ac:dyDescent="0.25">
      <c r="T31587" s="135"/>
      <c r="U31587" s="135"/>
    </row>
    <row r="31588" spans="20:21" ht="15" customHeight="1" x14ac:dyDescent="0.25">
      <c r="T31588" s="135"/>
      <c r="U31588" s="135"/>
    </row>
    <row r="31589" spans="20:21" ht="15" customHeight="1" x14ac:dyDescent="0.25">
      <c r="T31589" s="135"/>
      <c r="U31589" s="135"/>
    </row>
    <row r="31590" spans="20:21" ht="15" customHeight="1" x14ac:dyDescent="0.25">
      <c r="T31590" s="135"/>
      <c r="U31590" s="135"/>
    </row>
    <row r="31591" spans="20:21" ht="15" customHeight="1" x14ac:dyDescent="0.25">
      <c r="T31591" s="135"/>
      <c r="U31591" s="135"/>
    </row>
    <row r="31592" spans="20:21" ht="15" customHeight="1" x14ac:dyDescent="0.25">
      <c r="T31592" s="135"/>
      <c r="U31592" s="135"/>
    </row>
    <row r="31593" spans="20:21" ht="15" customHeight="1" x14ac:dyDescent="0.25">
      <c r="T31593" s="135"/>
      <c r="U31593" s="135"/>
    </row>
    <row r="31594" spans="20:21" ht="15" customHeight="1" x14ac:dyDescent="0.25">
      <c r="T31594" s="135"/>
      <c r="U31594" s="135"/>
    </row>
    <row r="31595" spans="20:21" ht="15" customHeight="1" x14ac:dyDescent="0.25">
      <c r="T31595" s="135"/>
      <c r="U31595" s="135"/>
    </row>
    <row r="31596" spans="20:21" ht="15" customHeight="1" x14ac:dyDescent="0.25">
      <c r="T31596" s="135"/>
      <c r="U31596" s="135"/>
    </row>
    <row r="31597" spans="20:21" ht="15" customHeight="1" x14ac:dyDescent="0.25">
      <c r="T31597" s="135"/>
      <c r="U31597" s="135"/>
    </row>
    <row r="31598" spans="20:21" ht="15" customHeight="1" x14ac:dyDescent="0.25">
      <c r="T31598" s="135"/>
      <c r="U31598" s="135"/>
    </row>
    <row r="31599" spans="20:21" ht="15" customHeight="1" x14ac:dyDescent="0.25">
      <c r="T31599" s="135"/>
      <c r="U31599" s="135"/>
    </row>
    <row r="31600" spans="20:21" ht="15" customHeight="1" x14ac:dyDescent="0.25">
      <c r="T31600" s="135"/>
      <c r="U31600" s="135"/>
    </row>
    <row r="31601" spans="20:21" ht="15" customHeight="1" x14ac:dyDescent="0.25">
      <c r="T31601" s="135"/>
      <c r="U31601" s="135"/>
    </row>
    <row r="31602" spans="20:21" ht="15" customHeight="1" x14ac:dyDescent="0.25">
      <c r="T31602" s="135"/>
      <c r="U31602" s="135"/>
    </row>
    <row r="31603" spans="20:21" ht="15" customHeight="1" x14ac:dyDescent="0.25">
      <c r="T31603" s="135"/>
      <c r="U31603" s="135"/>
    </row>
    <row r="31604" spans="20:21" ht="15" customHeight="1" x14ac:dyDescent="0.25">
      <c r="T31604" s="135"/>
      <c r="U31604" s="135"/>
    </row>
    <row r="31605" spans="20:21" ht="15" customHeight="1" x14ac:dyDescent="0.25">
      <c r="T31605" s="135"/>
      <c r="U31605" s="135"/>
    </row>
    <row r="31606" spans="20:21" ht="15" customHeight="1" x14ac:dyDescent="0.25">
      <c r="T31606" s="135"/>
      <c r="U31606" s="135"/>
    </row>
    <row r="31607" spans="20:21" ht="15" customHeight="1" x14ac:dyDescent="0.25">
      <c r="T31607" s="135"/>
      <c r="U31607" s="135"/>
    </row>
    <row r="31608" spans="20:21" ht="15" customHeight="1" x14ac:dyDescent="0.25">
      <c r="T31608" s="135"/>
      <c r="U31608" s="135"/>
    </row>
    <row r="31609" spans="20:21" ht="15" customHeight="1" x14ac:dyDescent="0.25">
      <c r="T31609" s="135"/>
      <c r="U31609" s="135"/>
    </row>
    <row r="31610" spans="20:21" ht="15" customHeight="1" x14ac:dyDescent="0.25">
      <c r="T31610" s="135"/>
      <c r="U31610" s="135"/>
    </row>
    <row r="31611" spans="20:21" ht="15" customHeight="1" x14ac:dyDescent="0.25">
      <c r="T31611" s="135"/>
      <c r="U31611" s="135"/>
    </row>
    <row r="31612" spans="20:21" ht="15" customHeight="1" x14ac:dyDescent="0.25">
      <c r="T31612" s="135"/>
      <c r="U31612" s="135"/>
    </row>
    <row r="31613" spans="20:21" ht="15" customHeight="1" x14ac:dyDescent="0.25">
      <c r="T31613" s="135"/>
      <c r="U31613" s="135"/>
    </row>
    <row r="31614" spans="20:21" ht="15" customHeight="1" x14ac:dyDescent="0.25">
      <c r="T31614" s="135"/>
      <c r="U31614" s="135"/>
    </row>
    <row r="31615" spans="20:21" ht="15" customHeight="1" x14ac:dyDescent="0.25">
      <c r="T31615" s="135"/>
      <c r="U31615" s="135"/>
    </row>
    <row r="31616" spans="20:21" ht="15" customHeight="1" x14ac:dyDescent="0.25">
      <c r="T31616" s="135"/>
      <c r="U31616" s="135"/>
    </row>
    <row r="31617" spans="20:21" ht="15" customHeight="1" x14ac:dyDescent="0.25">
      <c r="T31617" s="135"/>
      <c r="U31617" s="135"/>
    </row>
    <row r="31618" spans="20:21" ht="15" customHeight="1" x14ac:dyDescent="0.25">
      <c r="T31618" s="135"/>
      <c r="U31618" s="135"/>
    </row>
    <row r="31619" spans="20:21" ht="15" customHeight="1" x14ac:dyDescent="0.25">
      <c r="T31619" s="135"/>
      <c r="U31619" s="135"/>
    </row>
    <row r="31620" spans="20:21" ht="15" customHeight="1" x14ac:dyDescent="0.25">
      <c r="T31620" s="135"/>
      <c r="U31620" s="135"/>
    </row>
    <row r="31621" spans="20:21" ht="15" customHeight="1" x14ac:dyDescent="0.25">
      <c r="T31621" s="135"/>
      <c r="U31621" s="135"/>
    </row>
    <row r="31622" spans="20:21" ht="15" customHeight="1" x14ac:dyDescent="0.25">
      <c r="T31622" s="135"/>
      <c r="U31622" s="135"/>
    </row>
    <row r="31623" spans="20:21" ht="15" customHeight="1" x14ac:dyDescent="0.25">
      <c r="T31623" s="135"/>
      <c r="U31623" s="135"/>
    </row>
    <row r="31624" spans="20:21" ht="15" customHeight="1" x14ac:dyDescent="0.25">
      <c r="T31624" s="135"/>
      <c r="U31624" s="135"/>
    </row>
    <row r="31625" spans="20:21" ht="15" customHeight="1" x14ac:dyDescent="0.25">
      <c r="T31625" s="135"/>
      <c r="U31625" s="135"/>
    </row>
    <row r="31626" spans="20:21" ht="15" customHeight="1" x14ac:dyDescent="0.25">
      <c r="T31626" s="135"/>
      <c r="U31626" s="135"/>
    </row>
    <row r="31627" spans="20:21" ht="15" customHeight="1" x14ac:dyDescent="0.25">
      <c r="T31627" s="135"/>
      <c r="U31627" s="135"/>
    </row>
    <row r="31628" spans="20:21" ht="15" customHeight="1" x14ac:dyDescent="0.25">
      <c r="T31628" s="135"/>
      <c r="U31628" s="135"/>
    </row>
    <row r="31629" spans="20:21" ht="15" customHeight="1" x14ac:dyDescent="0.25">
      <c r="T31629" s="135"/>
      <c r="U31629" s="135"/>
    </row>
    <row r="31630" spans="20:21" ht="15" customHeight="1" x14ac:dyDescent="0.25">
      <c r="T31630" s="135"/>
      <c r="U31630" s="135"/>
    </row>
    <row r="31631" spans="20:21" ht="15" customHeight="1" x14ac:dyDescent="0.25">
      <c r="T31631" s="135"/>
      <c r="U31631" s="135"/>
    </row>
    <row r="31632" spans="20:21" ht="15" customHeight="1" x14ac:dyDescent="0.25">
      <c r="T31632" s="135"/>
      <c r="U31632" s="135"/>
    </row>
    <row r="31633" spans="20:21" ht="15" customHeight="1" x14ac:dyDescent="0.25">
      <c r="T31633" s="135"/>
      <c r="U31633" s="135"/>
    </row>
    <row r="31634" spans="20:21" ht="15" customHeight="1" x14ac:dyDescent="0.25">
      <c r="T31634" s="135"/>
      <c r="U31634" s="135"/>
    </row>
    <row r="31635" spans="20:21" ht="15" customHeight="1" x14ac:dyDescent="0.25">
      <c r="T31635" s="135"/>
      <c r="U31635" s="135"/>
    </row>
    <row r="31636" spans="20:21" ht="15" customHeight="1" x14ac:dyDescent="0.25">
      <c r="T31636" s="135"/>
      <c r="U31636" s="135"/>
    </row>
    <row r="31637" spans="20:21" ht="15" customHeight="1" x14ac:dyDescent="0.25">
      <c r="T31637" s="135"/>
      <c r="U31637" s="135"/>
    </row>
    <row r="31638" spans="20:21" ht="15" customHeight="1" x14ac:dyDescent="0.25">
      <c r="T31638" s="135"/>
      <c r="U31638" s="135"/>
    </row>
    <row r="31639" spans="20:21" ht="15" customHeight="1" x14ac:dyDescent="0.25">
      <c r="T31639" s="135"/>
      <c r="U31639" s="135"/>
    </row>
    <row r="31640" spans="20:21" ht="15" customHeight="1" x14ac:dyDescent="0.25">
      <c r="T31640" s="135"/>
      <c r="U31640" s="135"/>
    </row>
    <row r="31641" spans="20:21" ht="15" customHeight="1" x14ac:dyDescent="0.25">
      <c r="T31641" s="135"/>
      <c r="U31641" s="135"/>
    </row>
    <row r="31642" spans="20:21" ht="15" customHeight="1" x14ac:dyDescent="0.25">
      <c r="T31642" s="135"/>
      <c r="U31642" s="135"/>
    </row>
    <row r="31643" spans="20:21" ht="15" customHeight="1" x14ac:dyDescent="0.25">
      <c r="T31643" s="135"/>
      <c r="U31643" s="135"/>
    </row>
    <row r="31644" spans="20:21" ht="15" customHeight="1" x14ac:dyDescent="0.25">
      <c r="T31644" s="135"/>
      <c r="U31644" s="135"/>
    </row>
    <row r="31645" spans="20:21" ht="15" customHeight="1" x14ac:dyDescent="0.25">
      <c r="T31645" s="135"/>
      <c r="U31645" s="135"/>
    </row>
    <row r="31646" spans="20:21" ht="15" customHeight="1" x14ac:dyDescent="0.25">
      <c r="T31646" s="135"/>
      <c r="U31646" s="135"/>
    </row>
    <row r="31647" spans="20:21" ht="15" customHeight="1" x14ac:dyDescent="0.25">
      <c r="T31647" s="135"/>
      <c r="U31647" s="135"/>
    </row>
    <row r="31648" spans="20:21" ht="15" customHeight="1" x14ac:dyDescent="0.25">
      <c r="T31648" s="135"/>
      <c r="U31648" s="135"/>
    </row>
    <row r="31649" spans="20:21" ht="15" customHeight="1" x14ac:dyDescent="0.25">
      <c r="T31649" s="135"/>
      <c r="U31649" s="135"/>
    </row>
    <row r="31650" spans="20:21" ht="15" customHeight="1" x14ac:dyDescent="0.25">
      <c r="T31650" s="135"/>
      <c r="U31650" s="135"/>
    </row>
    <row r="31651" spans="20:21" ht="15" customHeight="1" x14ac:dyDescent="0.25">
      <c r="T31651" s="135"/>
      <c r="U31651" s="135"/>
    </row>
    <row r="31652" spans="20:21" ht="15" customHeight="1" x14ac:dyDescent="0.25">
      <c r="T31652" s="135"/>
      <c r="U31652" s="135"/>
    </row>
    <row r="31653" spans="20:21" ht="15" customHeight="1" x14ac:dyDescent="0.25">
      <c r="T31653" s="135"/>
      <c r="U31653" s="135"/>
    </row>
    <row r="31654" spans="20:21" ht="15" customHeight="1" x14ac:dyDescent="0.25">
      <c r="T31654" s="135"/>
      <c r="U31654" s="135"/>
    </row>
    <row r="31655" spans="20:21" ht="15" customHeight="1" x14ac:dyDescent="0.25">
      <c r="T31655" s="135"/>
      <c r="U31655" s="135"/>
    </row>
    <row r="31656" spans="20:21" ht="15" customHeight="1" x14ac:dyDescent="0.25">
      <c r="T31656" s="135"/>
      <c r="U31656" s="135"/>
    </row>
    <row r="31657" spans="20:21" ht="15" customHeight="1" x14ac:dyDescent="0.25">
      <c r="T31657" s="135"/>
      <c r="U31657" s="135"/>
    </row>
    <row r="31658" spans="20:21" ht="15" customHeight="1" x14ac:dyDescent="0.25">
      <c r="T31658" s="135"/>
      <c r="U31658" s="135"/>
    </row>
    <row r="31659" spans="20:21" ht="15" customHeight="1" x14ac:dyDescent="0.25">
      <c r="T31659" s="135"/>
      <c r="U31659" s="135"/>
    </row>
    <row r="31660" spans="20:21" ht="15" customHeight="1" x14ac:dyDescent="0.25">
      <c r="T31660" s="135"/>
      <c r="U31660" s="135"/>
    </row>
    <row r="31661" spans="20:21" ht="15" customHeight="1" x14ac:dyDescent="0.25">
      <c r="T31661" s="135"/>
      <c r="U31661" s="135"/>
    </row>
    <row r="31662" spans="20:21" ht="15" customHeight="1" x14ac:dyDescent="0.25">
      <c r="T31662" s="135"/>
      <c r="U31662" s="135"/>
    </row>
    <row r="31663" spans="20:21" ht="15" customHeight="1" x14ac:dyDescent="0.25">
      <c r="T31663" s="135"/>
      <c r="U31663" s="135"/>
    </row>
    <row r="31664" spans="20:21" ht="15" customHeight="1" x14ac:dyDescent="0.25">
      <c r="T31664" s="135"/>
      <c r="U31664" s="135"/>
    </row>
    <row r="31665" spans="20:21" ht="15" customHeight="1" x14ac:dyDescent="0.25">
      <c r="T31665" s="135"/>
      <c r="U31665" s="135"/>
    </row>
    <row r="31666" spans="20:21" ht="15" customHeight="1" x14ac:dyDescent="0.25">
      <c r="T31666" s="135"/>
      <c r="U31666" s="135"/>
    </row>
    <row r="31667" spans="20:21" ht="15" customHeight="1" x14ac:dyDescent="0.25">
      <c r="T31667" s="135"/>
      <c r="U31667" s="135"/>
    </row>
    <row r="31668" spans="20:21" ht="15" customHeight="1" x14ac:dyDescent="0.25">
      <c r="T31668" s="135"/>
      <c r="U31668" s="135"/>
    </row>
    <row r="31669" spans="20:21" ht="15" customHeight="1" x14ac:dyDescent="0.25">
      <c r="T31669" s="135"/>
      <c r="U31669" s="135"/>
    </row>
    <row r="31670" spans="20:21" ht="15" customHeight="1" x14ac:dyDescent="0.25">
      <c r="T31670" s="135"/>
      <c r="U31670" s="135"/>
    </row>
    <row r="31671" spans="20:21" ht="15" customHeight="1" x14ac:dyDescent="0.25">
      <c r="T31671" s="135"/>
      <c r="U31671" s="135"/>
    </row>
    <row r="31672" spans="20:21" ht="15" customHeight="1" x14ac:dyDescent="0.25">
      <c r="T31672" s="135"/>
      <c r="U31672" s="135"/>
    </row>
    <row r="31673" spans="20:21" ht="15" customHeight="1" x14ac:dyDescent="0.25">
      <c r="T31673" s="135"/>
      <c r="U31673" s="135"/>
    </row>
    <row r="31674" spans="20:21" ht="15" customHeight="1" x14ac:dyDescent="0.25">
      <c r="T31674" s="135"/>
      <c r="U31674" s="135"/>
    </row>
    <row r="31675" spans="20:21" ht="15" customHeight="1" x14ac:dyDescent="0.25">
      <c r="T31675" s="135"/>
      <c r="U31675" s="135"/>
    </row>
    <row r="31676" spans="20:21" ht="15" customHeight="1" x14ac:dyDescent="0.25">
      <c r="T31676" s="135"/>
      <c r="U31676" s="135"/>
    </row>
    <row r="31677" spans="20:21" ht="15" customHeight="1" x14ac:dyDescent="0.25">
      <c r="T31677" s="135"/>
      <c r="U31677" s="135"/>
    </row>
    <row r="31678" spans="20:21" ht="15" customHeight="1" x14ac:dyDescent="0.25">
      <c r="T31678" s="135"/>
      <c r="U31678" s="135"/>
    </row>
    <row r="31679" spans="20:21" ht="15" customHeight="1" x14ac:dyDescent="0.25">
      <c r="T31679" s="135"/>
      <c r="U31679" s="135"/>
    </row>
    <row r="31680" spans="20:21" ht="15" customHeight="1" x14ac:dyDescent="0.25">
      <c r="T31680" s="135"/>
      <c r="U31680" s="135"/>
    </row>
    <row r="31681" spans="20:21" ht="15" customHeight="1" x14ac:dyDescent="0.25">
      <c r="T31681" s="135"/>
      <c r="U31681" s="135"/>
    </row>
    <row r="31682" spans="20:21" ht="15" customHeight="1" x14ac:dyDescent="0.25">
      <c r="T31682" s="135"/>
      <c r="U31682" s="135"/>
    </row>
    <row r="31683" spans="20:21" ht="15" customHeight="1" x14ac:dyDescent="0.25">
      <c r="T31683" s="135"/>
      <c r="U31683" s="135"/>
    </row>
    <row r="31684" spans="20:21" ht="15" customHeight="1" x14ac:dyDescent="0.25">
      <c r="T31684" s="135"/>
      <c r="U31684" s="135"/>
    </row>
    <row r="31685" spans="20:21" ht="15" customHeight="1" x14ac:dyDescent="0.25">
      <c r="T31685" s="135"/>
      <c r="U31685" s="135"/>
    </row>
    <row r="31686" spans="20:21" ht="15" customHeight="1" x14ac:dyDescent="0.25">
      <c r="T31686" s="135"/>
      <c r="U31686" s="135"/>
    </row>
    <row r="31687" spans="20:21" ht="15" customHeight="1" x14ac:dyDescent="0.25">
      <c r="T31687" s="135"/>
      <c r="U31687" s="135"/>
    </row>
    <row r="31688" spans="20:21" ht="15" customHeight="1" x14ac:dyDescent="0.25">
      <c r="T31688" s="135"/>
      <c r="U31688" s="135"/>
    </row>
    <row r="31689" spans="20:21" ht="15" customHeight="1" x14ac:dyDescent="0.25">
      <c r="T31689" s="135"/>
      <c r="U31689" s="135"/>
    </row>
    <row r="31690" spans="20:21" ht="15" customHeight="1" x14ac:dyDescent="0.25">
      <c r="T31690" s="135"/>
      <c r="U31690" s="135"/>
    </row>
    <row r="31691" spans="20:21" ht="15" customHeight="1" x14ac:dyDescent="0.25">
      <c r="T31691" s="135"/>
      <c r="U31691" s="135"/>
    </row>
    <row r="31692" spans="20:21" ht="15" customHeight="1" x14ac:dyDescent="0.25">
      <c r="T31692" s="135"/>
      <c r="U31692" s="135"/>
    </row>
    <row r="31693" spans="20:21" ht="15" customHeight="1" x14ac:dyDescent="0.25">
      <c r="T31693" s="135"/>
      <c r="U31693" s="135"/>
    </row>
    <row r="31694" spans="20:21" ht="15" customHeight="1" x14ac:dyDescent="0.25">
      <c r="T31694" s="135"/>
      <c r="U31694" s="135"/>
    </row>
    <row r="31695" spans="20:21" ht="15" customHeight="1" x14ac:dyDescent="0.25">
      <c r="T31695" s="135"/>
      <c r="U31695" s="135"/>
    </row>
    <row r="31696" spans="20:21" ht="15" customHeight="1" x14ac:dyDescent="0.25">
      <c r="T31696" s="135"/>
      <c r="U31696" s="135"/>
    </row>
    <row r="31697" spans="20:21" ht="15" customHeight="1" x14ac:dyDescent="0.25">
      <c r="T31697" s="135"/>
      <c r="U31697" s="135"/>
    </row>
    <row r="31698" spans="20:21" ht="15" customHeight="1" x14ac:dyDescent="0.25">
      <c r="T31698" s="135"/>
      <c r="U31698" s="135"/>
    </row>
    <row r="31699" spans="20:21" ht="15" customHeight="1" x14ac:dyDescent="0.25">
      <c r="T31699" s="135"/>
      <c r="U31699" s="135"/>
    </row>
    <row r="31700" spans="20:21" ht="15" customHeight="1" x14ac:dyDescent="0.25">
      <c r="T31700" s="135"/>
      <c r="U31700" s="135"/>
    </row>
    <row r="31701" spans="20:21" ht="15" customHeight="1" x14ac:dyDescent="0.25">
      <c r="T31701" s="135"/>
      <c r="U31701" s="135"/>
    </row>
    <row r="31702" spans="20:21" ht="15" customHeight="1" x14ac:dyDescent="0.25">
      <c r="T31702" s="135"/>
      <c r="U31702" s="135"/>
    </row>
    <row r="31703" spans="20:21" ht="15" customHeight="1" x14ac:dyDescent="0.25">
      <c r="T31703" s="135"/>
      <c r="U31703" s="135"/>
    </row>
    <row r="31704" spans="20:21" ht="15" customHeight="1" x14ac:dyDescent="0.25">
      <c r="T31704" s="135"/>
      <c r="U31704" s="135"/>
    </row>
    <row r="31705" spans="20:21" ht="15" customHeight="1" x14ac:dyDescent="0.25">
      <c r="T31705" s="135"/>
      <c r="U31705" s="135"/>
    </row>
    <row r="31706" spans="20:21" ht="15" customHeight="1" x14ac:dyDescent="0.25">
      <c r="T31706" s="135"/>
      <c r="U31706" s="135"/>
    </row>
    <row r="31707" spans="20:21" ht="15" customHeight="1" x14ac:dyDescent="0.25">
      <c r="T31707" s="135"/>
      <c r="U31707" s="135"/>
    </row>
    <row r="31708" spans="20:21" ht="15" customHeight="1" x14ac:dyDescent="0.25">
      <c r="T31708" s="135"/>
      <c r="U31708" s="135"/>
    </row>
    <row r="31709" spans="20:21" ht="15" customHeight="1" x14ac:dyDescent="0.25">
      <c r="T31709" s="135"/>
      <c r="U31709" s="135"/>
    </row>
    <row r="31710" spans="20:21" ht="15" customHeight="1" x14ac:dyDescent="0.25">
      <c r="T31710" s="135"/>
      <c r="U31710" s="135"/>
    </row>
    <row r="31711" spans="20:21" ht="15" customHeight="1" x14ac:dyDescent="0.25">
      <c r="T31711" s="135"/>
      <c r="U31711" s="135"/>
    </row>
    <row r="31712" spans="20:21" ht="15" customHeight="1" x14ac:dyDescent="0.25">
      <c r="T31712" s="135"/>
      <c r="U31712" s="135"/>
    </row>
    <row r="31713" spans="20:21" ht="15" customHeight="1" x14ac:dyDescent="0.25">
      <c r="T31713" s="135"/>
      <c r="U31713" s="135"/>
    </row>
    <row r="31714" spans="20:21" ht="15" customHeight="1" x14ac:dyDescent="0.25">
      <c r="T31714" s="135"/>
      <c r="U31714" s="135"/>
    </row>
    <row r="31715" spans="20:21" ht="15" customHeight="1" x14ac:dyDescent="0.25">
      <c r="T31715" s="135"/>
      <c r="U31715" s="135"/>
    </row>
    <row r="31716" spans="20:21" ht="15" customHeight="1" x14ac:dyDescent="0.25">
      <c r="T31716" s="135"/>
      <c r="U31716" s="135"/>
    </row>
    <row r="31717" spans="20:21" ht="15" customHeight="1" x14ac:dyDescent="0.25">
      <c r="T31717" s="135"/>
      <c r="U31717" s="135"/>
    </row>
    <row r="31718" spans="20:21" ht="15" customHeight="1" x14ac:dyDescent="0.25">
      <c r="T31718" s="135"/>
      <c r="U31718" s="135"/>
    </row>
    <row r="31719" spans="20:21" ht="15" customHeight="1" x14ac:dyDescent="0.25">
      <c r="T31719" s="135"/>
      <c r="U31719" s="135"/>
    </row>
    <row r="31720" spans="20:21" ht="15" customHeight="1" x14ac:dyDescent="0.25">
      <c r="T31720" s="135"/>
      <c r="U31720" s="135"/>
    </row>
    <row r="31721" spans="20:21" ht="15" customHeight="1" x14ac:dyDescent="0.25">
      <c r="T31721" s="135"/>
      <c r="U31721" s="135"/>
    </row>
    <row r="31722" spans="20:21" ht="15" customHeight="1" x14ac:dyDescent="0.25">
      <c r="T31722" s="135"/>
      <c r="U31722" s="135"/>
    </row>
    <row r="31723" spans="20:21" ht="15" customHeight="1" x14ac:dyDescent="0.25">
      <c r="T31723" s="135"/>
      <c r="U31723" s="135"/>
    </row>
    <row r="31724" spans="20:21" ht="15" customHeight="1" x14ac:dyDescent="0.25">
      <c r="T31724" s="135"/>
      <c r="U31724" s="135"/>
    </row>
    <row r="31725" spans="20:21" ht="15" customHeight="1" x14ac:dyDescent="0.25">
      <c r="T31725" s="135"/>
      <c r="U31725" s="135"/>
    </row>
    <row r="31726" spans="20:21" ht="15" customHeight="1" x14ac:dyDescent="0.25">
      <c r="T31726" s="135"/>
      <c r="U31726" s="135"/>
    </row>
    <row r="31727" spans="20:21" ht="15" customHeight="1" x14ac:dyDescent="0.25">
      <c r="T31727" s="135"/>
      <c r="U31727" s="135"/>
    </row>
    <row r="31728" spans="20:21" ht="15" customHeight="1" x14ac:dyDescent="0.25">
      <c r="T31728" s="135"/>
      <c r="U31728" s="135"/>
    </row>
    <row r="31729" spans="20:21" ht="15" customHeight="1" x14ac:dyDescent="0.25">
      <c r="T31729" s="135"/>
      <c r="U31729" s="135"/>
    </row>
    <row r="31730" spans="20:21" ht="15" customHeight="1" x14ac:dyDescent="0.25">
      <c r="T31730" s="135"/>
      <c r="U31730" s="135"/>
    </row>
    <row r="31731" spans="20:21" ht="15" customHeight="1" x14ac:dyDescent="0.25">
      <c r="T31731" s="135"/>
      <c r="U31731" s="135"/>
    </row>
    <row r="31732" spans="20:21" ht="15" customHeight="1" x14ac:dyDescent="0.25">
      <c r="T31732" s="135"/>
      <c r="U31732" s="135"/>
    </row>
    <row r="31733" spans="20:21" ht="15" customHeight="1" x14ac:dyDescent="0.25">
      <c r="T31733" s="135"/>
      <c r="U31733" s="135"/>
    </row>
    <row r="31734" spans="20:21" ht="15" customHeight="1" x14ac:dyDescent="0.25">
      <c r="T31734" s="135"/>
      <c r="U31734" s="135"/>
    </row>
    <row r="31735" spans="20:21" ht="15" customHeight="1" x14ac:dyDescent="0.25">
      <c r="T31735" s="135"/>
      <c r="U31735" s="135"/>
    </row>
    <row r="31736" spans="20:21" ht="15" customHeight="1" x14ac:dyDescent="0.25">
      <c r="T31736" s="135"/>
      <c r="U31736" s="135"/>
    </row>
    <row r="31737" spans="20:21" ht="15" customHeight="1" x14ac:dyDescent="0.25">
      <c r="T31737" s="135"/>
      <c r="U31737" s="135"/>
    </row>
    <row r="31738" spans="20:21" ht="15" customHeight="1" x14ac:dyDescent="0.25">
      <c r="T31738" s="135"/>
      <c r="U31738" s="135"/>
    </row>
    <row r="31739" spans="20:21" ht="15" customHeight="1" x14ac:dyDescent="0.25">
      <c r="T31739" s="135"/>
      <c r="U31739" s="135"/>
    </row>
    <row r="31740" spans="20:21" ht="15" customHeight="1" x14ac:dyDescent="0.25">
      <c r="T31740" s="135"/>
      <c r="U31740" s="135"/>
    </row>
    <row r="31741" spans="20:21" ht="15" customHeight="1" x14ac:dyDescent="0.25">
      <c r="T31741" s="135"/>
      <c r="U31741" s="135"/>
    </row>
    <row r="31742" spans="20:21" ht="15" customHeight="1" x14ac:dyDescent="0.25">
      <c r="T31742" s="135"/>
      <c r="U31742" s="135"/>
    </row>
    <row r="31743" spans="20:21" ht="15" customHeight="1" x14ac:dyDescent="0.25">
      <c r="T31743" s="135"/>
      <c r="U31743" s="135"/>
    </row>
    <row r="31744" spans="20:21" ht="15" customHeight="1" x14ac:dyDescent="0.25">
      <c r="T31744" s="135"/>
      <c r="U31744" s="135"/>
    </row>
    <row r="31745" spans="20:21" ht="15" customHeight="1" x14ac:dyDescent="0.25">
      <c r="T31745" s="135"/>
      <c r="U31745" s="135"/>
    </row>
    <row r="31746" spans="20:21" ht="15" customHeight="1" x14ac:dyDescent="0.25">
      <c r="T31746" s="135"/>
      <c r="U31746" s="135"/>
    </row>
    <row r="31747" spans="20:21" ht="15" customHeight="1" x14ac:dyDescent="0.25">
      <c r="T31747" s="135"/>
      <c r="U31747" s="135"/>
    </row>
    <row r="31748" spans="20:21" ht="15" customHeight="1" x14ac:dyDescent="0.25">
      <c r="T31748" s="135"/>
      <c r="U31748" s="135"/>
    </row>
    <row r="31749" spans="20:21" ht="15" customHeight="1" x14ac:dyDescent="0.25">
      <c r="T31749" s="135"/>
      <c r="U31749" s="135"/>
    </row>
    <row r="31750" spans="20:21" ht="15" customHeight="1" x14ac:dyDescent="0.25">
      <c r="T31750" s="135"/>
      <c r="U31750" s="135"/>
    </row>
    <row r="31751" spans="20:21" ht="15" customHeight="1" x14ac:dyDescent="0.25">
      <c r="T31751" s="135"/>
      <c r="U31751" s="135"/>
    </row>
    <row r="31752" spans="20:21" ht="15" customHeight="1" x14ac:dyDescent="0.25">
      <c r="T31752" s="135"/>
      <c r="U31752" s="135"/>
    </row>
    <row r="31753" spans="20:21" ht="15" customHeight="1" x14ac:dyDescent="0.25">
      <c r="T31753" s="135"/>
      <c r="U31753" s="135"/>
    </row>
    <row r="31754" spans="20:21" ht="15" customHeight="1" x14ac:dyDescent="0.25">
      <c r="T31754" s="135"/>
      <c r="U31754" s="135"/>
    </row>
    <row r="31755" spans="20:21" ht="15" customHeight="1" x14ac:dyDescent="0.25">
      <c r="T31755" s="135"/>
      <c r="U31755" s="135"/>
    </row>
    <row r="31756" spans="20:21" ht="15" customHeight="1" x14ac:dyDescent="0.25">
      <c r="T31756" s="135"/>
      <c r="U31756" s="135"/>
    </row>
    <row r="31757" spans="20:21" ht="15" customHeight="1" x14ac:dyDescent="0.25">
      <c r="T31757" s="135"/>
      <c r="U31757" s="135"/>
    </row>
    <row r="31758" spans="20:21" ht="15" customHeight="1" x14ac:dyDescent="0.25">
      <c r="T31758" s="135"/>
      <c r="U31758" s="135"/>
    </row>
    <row r="31759" spans="20:21" ht="15" customHeight="1" x14ac:dyDescent="0.25">
      <c r="T31759" s="135"/>
      <c r="U31759" s="135"/>
    </row>
    <row r="31760" spans="20:21" ht="15" customHeight="1" x14ac:dyDescent="0.25">
      <c r="T31760" s="135"/>
      <c r="U31760" s="135"/>
    </row>
    <row r="31761" spans="20:21" ht="15" customHeight="1" x14ac:dyDescent="0.25">
      <c r="T31761" s="135"/>
      <c r="U31761" s="135"/>
    </row>
    <row r="31762" spans="20:21" ht="15" customHeight="1" x14ac:dyDescent="0.25">
      <c r="T31762" s="135"/>
      <c r="U31762" s="135"/>
    </row>
    <row r="31763" spans="20:21" ht="15" customHeight="1" x14ac:dyDescent="0.25">
      <c r="T31763" s="135"/>
      <c r="U31763" s="135"/>
    </row>
    <row r="31764" spans="20:21" ht="15" customHeight="1" x14ac:dyDescent="0.25">
      <c r="T31764" s="135"/>
      <c r="U31764" s="135"/>
    </row>
    <row r="31765" spans="20:21" ht="15" customHeight="1" x14ac:dyDescent="0.25">
      <c r="T31765" s="135"/>
      <c r="U31765" s="135"/>
    </row>
    <row r="31766" spans="20:21" ht="15" customHeight="1" x14ac:dyDescent="0.25">
      <c r="T31766" s="135"/>
      <c r="U31766" s="135"/>
    </row>
    <row r="31767" spans="20:21" ht="15" customHeight="1" x14ac:dyDescent="0.25">
      <c r="T31767" s="135"/>
      <c r="U31767" s="135"/>
    </row>
    <row r="31768" spans="20:21" ht="15" customHeight="1" x14ac:dyDescent="0.25">
      <c r="T31768" s="135"/>
      <c r="U31768" s="135"/>
    </row>
    <row r="31769" spans="20:21" ht="15" customHeight="1" x14ac:dyDescent="0.25">
      <c r="T31769" s="135"/>
      <c r="U31769" s="135"/>
    </row>
    <row r="31770" spans="20:21" ht="15" customHeight="1" x14ac:dyDescent="0.25">
      <c r="T31770" s="135"/>
      <c r="U31770" s="135"/>
    </row>
    <row r="31771" spans="20:21" ht="15" customHeight="1" x14ac:dyDescent="0.25">
      <c r="T31771" s="135"/>
      <c r="U31771" s="135"/>
    </row>
    <row r="31772" spans="20:21" ht="15" customHeight="1" x14ac:dyDescent="0.25">
      <c r="T31772" s="135"/>
      <c r="U31772" s="135"/>
    </row>
    <row r="31773" spans="20:21" ht="15" customHeight="1" x14ac:dyDescent="0.25">
      <c r="T31773" s="135"/>
      <c r="U31773" s="135"/>
    </row>
    <row r="31774" spans="20:21" ht="15" customHeight="1" x14ac:dyDescent="0.25">
      <c r="T31774" s="135"/>
      <c r="U31774" s="135"/>
    </row>
    <row r="31775" spans="20:21" ht="15" customHeight="1" x14ac:dyDescent="0.25">
      <c r="T31775" s="135"/>
      <c r="U31775" s="135"/>
    </row>
    <row r="31776" spans="20:21" ht="15" customHeight="1" x14ac:dyDescent="0.25">
      <c r="T31776" s="135"/>
      <c r="U31776" s="135"/>
    </row>
    <row r="31777" spans="20:21" ht="15" customHeight="1" x14ac:dyDescent="0.25">
      <c r="T31777" s="135"/>
      <c r="U31777" s="135"/>
    </row>
    <row r="31778" spans="20:21" ht="15" customHeight="1" x14ac:dyDescent="0.25">
      <c r="T31778" s="135"/>
      <c r="U31778" s="135"/>
    </row>
    <row r="31779" spans="20:21" ht="15" customHeight="1" x14ac:dyDescent="0.25">
      <c r="T31779" s="135"/>
      <c r="U31779" s="135"/>
    </row>
    <row r="31780" spans="20:21" ht="15" customHeight="1" x14ac:dyDescent="0.25">
      <c r="T31780" s="135"/>
      <c r="U31780" s="135"/>
    </row>
    <row r="31781" spans="20:21" ht="15" customHeight="1" x14ac:dyDescent="0.25">
      <c r="T31781" s="135"/>
      <c r="U31781" s="135"/>
    </row>
    <row r="31782" spans="20:21" ht="15" customHeight="1" x14ac:dyDescent="0.25">
      <c r="T31782" s="135"/>
      <c r="U31782" s="135"/>
    </row>
    <row r="31783" spans="20:21" ht="15" customHeight="1" x14ac:dyDescent="0.25">
      <c r="T31783" s="135"/>
      <c r="U31783" s="135"/>
    </row>
    <row r="31784" spans="20:21" ht="15" customHeight="1" x14ac:dyDescent="0.25">
      <c r="T31784" s="135"/>
      <c r="U31784" s="135"/>
    </row>
    <row r="31785" spans="20:21" ht="15" customHeight="1" x14ac:dyDescent="0.25">
      <c r="T31785" s="135"/>
      <c r="U31785" s="135"/>
    </row>
    <row r="31786" spans="20:21" ht="15" customHeight="1" x14ac:dyDescent="0.25">
      <c r="T31786" s="135"/>
      <c r="U31786" s="135"/>
    </row>
    <row r="31787" spans="20:21" ht="15" customHeight="1" x14ac:dyDescent="0.25">
      <c r="T31787" s="135"/>
      <c r="U31787" s="135"/>
    </row>
    <row r="31788" spans="20:21" ht="15" customHeight="1" x14ac:dyDescent="0.25">
      <c r="T31788" s="135"/>
      <c r="U31788" s="135"/>
    </row>
    <row r="31789" spans="20:21" ht="15" customHeight="1" x14ac:dyDescent="0.25">
      <c r="T31789" s="135"/>
      <c r="U31789" s="135"/>
    </row>
    <row r="31790" spans="20:21" ht="15" customHeight="1" x14ac:dyDescent="0.25">
      <c r="T31790" s="135"/>
      <c r="U31790" s="135"/>
    </row>
    <row r="31791" spans="20:21" ht="15" customHeight="1" x14ac:dyDescent="0.25">
      <c r="T31791" s="135"/>
      <c r="U31791" s="135"/>
    </row>
    <row r="31792" spans="20:21" ht="15" customHeight="1" x14ac:dyDescent="0.25">
      <c r="T31792" s="135"/>
      <c r="U31792" s="135"/>
    </row>
    <row r="31793" spans="20:21" ht="15" customHeight="1" x14ac:dyDescent="0.25">
      <c r="T31793" s="135"/>
      <c r="U31793" s="135"/>
    </row>
    <row r="31794" spans="20:21" ht="15" customHeight="1" x14ac:dyDescent="0.25">
      <c r="T31794" s="135"/>
      <c r="U31794" s="135"/>
    </row>
    <row r="31795" spans="20:21" ht="15" customHeight="1" x14ac:dyDescent="0.25">
      <c r="T31795" s="135"/>
      <c r="U31795" s="135"/>
    </row>
    <row r="31796" spans="20:21" ht="15" customHeight="1" x14ac:dyDescent="0.25">
      <c r="T31796" s="135"/>
      <c r="U31796" s="135"/>
    </row>
    <row r="31797" spans="20:21" ht="15" customHeight="1" x14ac:dyDescent="0.25">
      <c r="T31797" s="135"/>
      <c r="U31797" s="135"/>
    </row>
    <row r="31798" spans="20:21" ht="15" customHeight="1" x14ac:dyDescent="0.25">
      <c r="T31798" s="135"/>
      <c r="U31798" s="135"/>
    </row>
    <row r="31799" spans="20:21" ht="15" customHeight="1" x14ac:dyDescent="0.25">
      <c r="T31799" s="135"/>
      <c r="U31799" s="135"/>
    </row>
    <row r="31800" spans="20:21" ht="15" customHeight="1" x14ac:dyDescent="0.25">
      <c r="T31800" s="135"/>
      <c r="U31800" s="135"/>
    </row>
    <row r="31801" spans="20:21" ht="15" customHeight="1" x14ac:dyDescent="0.25">
      <c r="T31801" s="135"/>
      <c r="U31801" s="135"/>
    </row>
    <row r="31802" spans="20:21" ht="15" customHeight="1" x14ac:dyDescent="0.25">
      <c r="T31802" s="135"/>
      <c r="U31802" s="135"/>
    </row>
    <row r="31803" spans="20:21" ht="15" customHeight="1" x14ac:dyDescent="0.25">
      <c r="T31803" s="135"/>
      <c r="U31803" s="135"/>
    </row>
    <row r="31804" spans="20:21" ht="15" customHeight="1" x14ac:dyDescent="0.25">
      <c r="T31804" s="135"/>
      <c r="U31804" s="135"/>
    </row>
    <row r="31805" spans="20:21" ht="15" customHeight="1" x14ac:dyDescent="0.25">
      <c r="T31805" s="135"/>
      <c r="U31805" s="135"/>
    </row>
    <row r="31806" spans="20:21" ht="15" customHeight="1" x14ac:dyDescent="0.25">
      <c r="T31806" s="135"/>
      <c r="U31806" s="135"/>
    </row>
    <row r="31807" spans="20:21" ht="15" customHeight="1" x14ac:dyDescent="0.25">
      <c r="T31807" s="135"/>
      <c r="U31807" s="135"/>
    </row>
    <row r="31808" spans="20:21" ht="15" customHeight="1" x14ac:dyDescent="0.25">
      <c r="T31808" s="135"/>
      <c r="U31808" s="135"/>
    </row>
    <row r="31809" spans="20:21" ht="15" customHeight="1" x14ac:dyDescent="0.25">
      <c r="T31809" s="135"/>
      <c r="U31809" s="135"/>
    </row>
    <row r="31810" spans="20:21" ht="15" customHeight="1" x14ac:dyDescent="0.25">
      <c r="T31810" s="135"/>
      <c r="U31810" s="135"/>
    </row>
    <row r="31811" spans="20:21" ht="15" customHeight="1" x14ac:dyDescent="0.25">
      <c r="T31811" s="135"/>
      <c r="U31811" s="135"/>
    </row>
    <row r="31812" spans="20:21" ht="15" customHeight="1" x14ac:dyDescent="0.25">
      <c r="T31812" s="135"/>
      <c r="U31812" s="135"/>
    </row>
    <row r="31813" spans="20:21" ht="15" customHeight="1" x14ac:dyDescent="0.25">
      <c r="T31813" s="135"/>
      <c r="U31813" s="135"/>
    </row>
    <row r="31814" spans="20:21" ht="15" customHeight="1" x14ac:dyDescent="0.25">
      <c r="T31814" s="135"/>
      <c r="U31814" s="135"/>
    </row>
    <row r="31815" spans="20:21" ht="15" customHeight="1" x14ac:dyDescent="0.25">
      <c r="T31815" s="135"/>
      <c r="U31815" s="135"/>
    </row>
    <row r="31816" spans="20:21" ht="15" customHeight="1" x14ac:dyDescent="0.25">
      <c r="T31816" s="135"/>
      <c r="U31816" s="135"/>
    </row>
    <row r="31817" spans="20:21" ht="15" customHeight="1" x14ac:dyDescent="0.25">
      <c r="T31817" s="135"/>
      <c r="U31817" s="135"/>
    </row>
    <row r="31818" spans="20:21" ht="15" customHeight="1" x14ac:dyDescent="0.25">
      <c r="T31818" s="135"/>
      <c r="U31818" s="135"/>
    </row>
    <row r="31819" spans="20:21" ht="15" customHeight="1" x14ac:dyDescent="0.25">
      <c r="T31819" s="135"/>
      <c r="U31819" s="135"/>
    </row>
    <row r="31820" spans="20:21" ht="15" customHeight="1" x14ac:dyDescent="0.25">
      <c r="T31820" s="135"/>
      <c r="U31820" s="135"/>
    </row>
    <row r="31821" spans="20:21" ht="15" customHeight="1" x14ac:dyDescent="0.25">
      <c r="T31821" s="135"/>
      <c r="U31821" s="135"/>
    </row>
    <row r="31822" spans="20:21" ht="15" customHeight="1" x14ac:dyDescent="0.25">
      <c r="T31822" s="135"/>
      <c r="U31822" s="135"/>
    </row>
    <row r="31823" spans="20:21" ht="15" customHeight="1" x14ac:dyDescent="0.25">
      <c r="T31823" s="135"/>
      <c r="U31823" s="135"/>
    </row>
    <row r="31824" spans="20:21" ht="15" customHeight="1" x14ac:dyDescent="0.25">
      <c r="T31824" s="135"/>
      <c r="U31824" s="135"/>
    </row>
    <row r="31825" spans="20:21" ht="15" customHeight="1" x14ac:dyDescent="0.25">
      <c r="T31825" s="135"/>
      <c r="U31825" s="135"/>
    </row>
    <row r="31826" spans="20:21" ht="15" customHeight="1" x14ac:dyDescent="0.25">
      <c r="T31826" s="135"/>
      <c r="U31826" s="135"/>
    </row>
    <row r="31827" spans="20:21" ht="15" customHeight="1" x14ac:dyDescent="0.25">
      <c r="T31827" s="135"/>
      <c r="U31827" s="135"/>
    </row>
    <row r="31828" spans="20:21" ht="15" customHeight="1" x14ac:dyDescent="0.25">
      <c r="T31828" s="135"/>
      <c r="U31828" s="135"/>
    </row>
    <row r="31829" spans="20:21" ht="15" customHeight="1" x14ac:dyDescent="0.25">
      <c r="T31829" s="135"/>
      <c r="U31829" s="135"/>
    </row>
    <row r="31830" spans="20:21" ht="15" customHeight="1" x14ac:dyDescent="0.25">
      <c r="T31830" s="135"/>
      <c r="U31830" s="135"/>
    </row>
    <row r="31831" spans="20:21" ht="15" customHeight="1" x14ac:dyDescent="0.25">
      <c r="T31831" s="135"/>
      <c r="U31831" s="135"/>
    </row>
    <row r="31832" spans="20:21" ht="15" customHeight="1" x14ac:dyDescent="0.25">
      <c r="T31832" s="135"/>
      <c r="U31832" s="135"/>
    </row>
    <row r="31833" spans="20:21" ht="15" customHeight="1" x14ac:dyDescent="0.25">
      <c r="T31833" s="135"/>
      <c r="U31833" s="135"/>
    </row>
    <row r="31834" spans="20:21" ht="15" customHeight="1" x14ac:dyDescent="0.25">
      <c r="T31834" s="135"/>
      <c r="U31834" s="135"/>
    </row>
    <row r="31835" spans="20:21" ht="15" customHeight="1" x14ac:dyDescent="0.25">
      <c r="T31835" s="135"/>
      <c r="U31835" s="135"/>
    </row>
    <row r="31836" spans="20:21" ht="15" customHeight="1" x14ac:dyDescent="0.25">
      <c r="T31836" s="135"/>
      <c r="U31836" s="135"/>
    </row>
    <row r="31837" spans="20:21" ht="15" customHeight="1" x14ac:dyDescent="0.25">
      <c r="T31837" s="135"/>
      <c r="U31837" s="135"/>
    </row>
    <row r="31838" spans="20:21" ht="15" customHeight="1" x14ac:dyDescent="0.25">
      <c r="T31838" s="135"/>
      <c r="U31838" s="135"/>
    </row>
    <row r="31839" spans="20:21" ht="15" customHeight="1" x14ac:dyDescent="0.25">
      <c r="T31839" s="135"/>
      <c r="U31839" s="135"/>
    </row>
    <row r="31840" spans="20:21" ht="15" customHeight="1" x14ac:dyDescent="0.25">
      <c r="T31840" s="135"/>
      <c r="U31840" s="135"/>
    </row>
    <row r="31841" spans="20:21" ht="15" customHeight="1" x14ac:dyDescent="0.25">
      <c r="T31841" s="135"/>
      <c r="U31841" s="135"/>
    </row>
    <row r="31842" spans="20:21" ht="15" customHeight="1" x14ac:dyDescent="0.25">
      <c r="T31842" s="135"/>
      <c r="U31842" s="135"/>
    </row>
    <row r="31843" spans="20:21" ht="15" customHeight="1" x14ac:dyDescent="0.25">
      <c r="T31843" s="135"/>
      <c r="U31843" s="135"/>
    </row>
    <row r="31844" spans="20:21" ht="15" customHeight="1" x14ac:dyDescent="0.25">
      <c r="T31844" s="135"/>
      <c r="U31844" s="135"/>
    </row>
    <row r="31845" spans="20:21" ht="15" customHeight="1" x14ac:dyDescent="0.25">
      <c r="T31845" s="135"/>
      <c r="U31845" s="135"/>
    </row>
    <row r="31846" spans="20:21" ht="15" customHeight="1" x14ac:dyDescent="0.25">
      <c r="T31846" s="135"/>
      <c r="U31846" s="135"/>
    </row>
    <row r="31847" spans="20:21" ht="15" customHeight="1" x14ac:dyDescent="0.25">
      <c r="T31847" s="135"/>
      <c r="U31847" s="135"/>
    </row>
    <row r="31848" spans="20:21" ht="15" customHeight="1" x14ac:dyDescent="0.25">
      <c r="T31848" s="135"/>
      <c r="U31848" s="135"/>
    </row>
    <row r="31849" spans="20:21" ht="15" customHeight="1" x14ac:dyDescent="0.25">
      <c r="T31849" s="135"/>
      <c r="U31849" s="135"/>
    </row>
    <row r="31850" spans="20:21" ht="15" customHeight="1" x14ac:dyDescent="0.25">
      <c r="T31850" s="135"/>
      <c r="U31850" s="135"/>
    </row>
    <row r="31851" spans="20:21" ht="15" customHeight="1" x14ac:dyDescent="0.25">
      <c r="T31851" s="135"/>
      <c r="U31851" s="135"/>
    </row>
    <row r="31852" spans="20:21" ht="15" customHeight="1" x14ac:dyDescent="0.25">
      <c r="T31852" s="135"/>
      <c r="U31852" s="135"/>
    </row>
    <row r="31853" spans="20:21" ht="15" customHeight="1" x14ac:dyDescent="0.25">
      <c r="T31853" s="135"/>
      <c r="U31853" s="135"/>
    </row>
    <row r="31854" spans="20:21" ht="15" customHeight="1" x14ac:dyDescent="0.25">
      <c r="T31854" s="135"/>
      <c r="U31854" s="135"/>
    </row>
    <row r="31855" spans="20:21" ht="15" customHeight="1" x14ac:dyDescent="0.25">
      <c r="T31855" s="135"/>
      <c r="U31855" s="135"/>
    </row>
    <row r="31856" spans="20:21" ht="15" customHeight="1" x14ac:dyDescent="0.25">
      <c r="T31856" s="135"/>
      <c r="U31856" s="135"/>
    </row>
    <row r="31857" spans="20:21" ht="15" customHeight="1" x14ac:dyDescent="0.25">
      <c r="T31857" s="135"/>
      <c r="U31857" s="135"/>
    </row>
    <row r="31858" spans="20:21" ht="15" customHeight="1" x14ac:dyDescent="0.25">
      <c r="T31858" s="135"/>
      <c r="U31858" s="135"/>
    </row>
    <row r="31859" spans="20:21" ht="15" customHeight="1" x14ac:dyDescent="0.25">
      <c r="T31859" s="135"/>
      <c r="U31859" s="135"/>
    </row>
    <row r="31860" spans="20:21" ht="15" customHeight="1" x14ac:dyDescent="0.25">
      <c r="T31860" s="135"/>
      <c r="U31860" s="135"/>
    </row>
    <row r="31861" spans="20:21" ht="15" customHeight="1" x14ac:dyDescent="0.25">
      <c r="T31861" s="135"/>
      <c r="U31861" s="135"/>
    </row>
    <row r="31862" spans="20:21" ht="15" customHeight="1" x14ac:dyDescent="0.25">
      <c r="T31862" s="135"/>
      <c r="U31862" s="135"/>
    </row>
    <row r="31863" spans="20:21" ht="15" customHeight="1" x14ac:dyDescent="0.25">
      <c r="T31863" s="135"/>
      <c r="U31863" s="135"/>
    </row>
    <row r="31864" spans="20:21" ht="15" customHeight="1" x14ac:dyDescent="0.25">
      <c r="T31864" s="135"/>
      <c r="U31864" s="135"/>
    </row>
    <row r="31865" spans="20:21" ht="15" customHeight="1" x14ac:dyDescent="0.25">
      <c r="T31865" s="135"/>
      <c r="U31865" s="135"/>
    </row>
    <row r="31866" spans="20:21" ht="15" customHeight="1" x14ac:dyDescent="0.25">
      <c r="T31866" s="135"/>
      <c r="U31866" s="135"/>
    </row>
    <row r="31867" spans="20:21" ht="15" customHeight="1" x14ac:dyDescent="0.25">
      <c r="T31867" s="135"/>
      <c r="U31867" s="135"/>
    </row>
    <row r="31868" spans="20:21" ht="15" customHeight="1" x14ac:dyDescent="0.25">
      <c r="T31868" s="135"/>
      <c r="U31868" s="135"/>
    </row>
    <row r="31869" spans="20:21" ht="15" customHeight="1" x14ac:dyDescent="0.25">
      <c r="T31869" s="135"/>
      <c r="U31869" s="135"/>
    </row>
    <row r="31870" spans="20:21" ht="15" customHeight="1" x14ac:dyDescent="0.25">
      <c r="T31870" s="135"/>
      <c r="U31870" s="135"/>
    </row>
    <row r="31871" spans="20:21" ht="15" customHeight="1" x14ac:dyDescent="0.25">
      <c r="T31871" s="135"/>
      <c r="U31871" s="135"/>
    </row>
    <row r="31872" spans="20:21" ht="15" customHeight="1" x14ac:dyDescent="0.25">
      <c r="T31872" s="135"/>
      <c r="U31872" s="135"/>
    </row>
    <row r="31873" spans="20:21" ht="15" customHeight="1" x14ac:dyDescent="0.25">
      <c r="T31873" s="135"/>
      <c r="U31873" s="135"/>
    </row>
    <row r="31874" spans="20:21" ht="15" customHeight="1" x14ac:dyDescent="0.25">
      <c r="T31874" s="135"/>
      <c r="U31874" s="135"/>
    </row>
    <row r="31875" spans="20:21" ht="15" customHeight="1" x14ac:dyDescent="0.25">
      <c r="T31875" s="135"/>
      <c r="U31875" s="135"/>
    </row>
    <row r="31876" spans="20:21" ht="15" customHeight="1" x14ac:dyDescent="0.25">
      <c r="T31876" s="135"/>
      <c r="U31876" s="135"/>
    </row>
    <row r="31877" spans="20:21" ht="15" customHeight="1" x14ac:dyDescent="0.25">
      <c r="T31877" s="135"/>
      <c r="U31877" s="135"/>
    </row>
    <row r="31878" spans="20:21" ht="15" customHeight="1" x14ac:dyDescent="0.25">
      <c r="T31878" s="135"/>
      <c r="U31878" s="135"/>
    </row>
    <row r="31879" spans="20:21" ht="15" customHeight="1" x14ac:dyDescent="0.25">
      <c r="T31879" s="135"/>
      <c r="U31879" s="135"/>
    </row>
    <row r="31880" spans="20:21" ht="15" customHeight="1" x14ac:dyDescent="0.25">
      <c r="T31880" s="135"/>
      <c r="U31880" s="135"/>
    </row>
    <row r="31881" spans="20:21" ht="15" customHeight="1" x14ac:dyDescent="0.25">
      <c r="T31881" s="135"/>
      <c r="U31881" s="135"/>
    </row>
    <row r="31882" spans="20:21" ht="15" customHeight="1" x14ac:dyDescent="0.25">
      <c r="T31882" s="135"/>
      <c r="U31882" s="135"/>
    </row>
    <row r="31883" spans="20:21" ht="15" customHeight="1" x14ac:dyDescent="0.25">
      <c r="T31883" s="135"/>
      <c r="U31883" s="135"/>
    </row>
    <row r="31884" spans="20:21" ht="15" customHeight="1" x14ac:dyDescent="0.25">
      <c r="T31884" s="135"/>
      <c r="U31884" s="135"/>
    </row>
    <row r="31885" spans="20:21" ht="15" customHeight="1" x14ac:dyDescent="0.25">
      <c r="T31885" s="135"/>
      <c r="U31885" s="135"/>
    </row>
    <row r="31886" spans="20:21" ht="15" customHeight="1" x14ac:dyDescent="0.25">
      <c r="T31886" s="135"/>
      <c r="U31886" s="135"/>
    </row>
    <row r="31887" spans="20:21" ht="15" customHeight="1" x14ac:dyDescent="0.25">
      <c r="T31887" s="135"/>
      <c r="U31887" s="135"/>
    </row>
    <row r="31888" spans="20:21" ht="15" customHeight="1" x14ac:dyDescent="0.25">
      <c r="T31888" s="135"/>
      <c r="U31888" s="135"/>
    </row>
    <row r="31889" spans="20:21" ht="15" customHeight="1" x14ac:dyDescent="0.25">
      <c r="T31889" s="135"/>
      <c r="U31889" s="135"/>
    </row>
    <row r="31890" spans="20:21" ht="15" customHeight="1" x14ac:dyDescent="0.25">
      <c r="T31890" s="135"/>
      <c r="U31890" s="135"/>
    </row>
    <row r="31891" spans="20:21" ht="15" customHeight="1" x14ac:dyDescent="0.25">
      <c r="T31891" s="135"/>
      <c r="U31891" s="135"/>
    </row>
    <row r="31892" spans="20:21" ht="15" customHeight="1" x14ac:dyDescent="0.25">
      <c r="T31892" s="135"/>
      <c r="U31892" s="135"/>
    </row>
    <row r="31893" spans="20:21" ht="15" customHeight="1" x14ac:dyDescent="0.25">
      <c r="T31893" s="135"/>
      <c r="U31893" s="135"/>
    </row>
    <row r="31894" spans="20:21" ht="15" customHeight="1" x14ac:dyDescent="0.25">
      <c r="T31894" s="135"/>
      <c r="U31894" s="135"/>
    </row>
    <row r="31895" spans="20:21" ht="15" customHeight="1" x14ac:dyDescent="0.25">
      <c r="T31895" s="135"/>
      <c r="U31895" s="135"/>
    </row>
    <row r="31896" spans="20:21" ht="15" customHeight="1" x14ac:dyDescent="0.25">
      <c r="T31896" s="135"/>
      <c r="U31896" s="135"/>
    </row>
    <row r="31897" spans="20:21" ht="15" customHeight="1" x14ac:dyDescent="0.25">
      <c r="T31897" s="135"/>
      <c r="U31897" s="135"/>
    </row>
    <row r="31898" spans="20:21" ht="15" customHeight="1" x14ac:dyDescent="0.25">
      <c r="T31898" s="135"/>
      <c r="U31898" s="135"/>
    </row>
    <row r="31899" spans="20:21" ht="15" customHeight="1" x14ac:dyDescent="0.25">
      <c r="T31899" s="135"/>
      <c r="U31899" s="135"/>
    </row>
    <row r="31900" spans="20:21" ht="15" customHeight="1" x14ac:dyDescent="0.25">
      <c r="T31900" s="135"/>
      <c r="U31900" s="135"/>
    </row>
    <row r="31901" spans="20:21" ht="15" customHeight="1" x14ac:dyDescent="0.25">
      <c r="T31901" s="135"/>
      <c r="U31901" s="135"/>
    </row>
    <row r="31902" spans="20:21" ht="15" customHeight="1" x14ac:dyDescent="0.25">
      <c r="T31902" s="135"/>
      <c r="U31902" s="135"/>
    </row>
    <row r="31903" spans="20:21" ht="15" customHeight="1" x14ac:dyDescent="0.25">
      <c r="T31903" s="135"/>
      <c r="U31903" s="135"/>
    </row>
    <row r="31904" spans="20:21" ht="15" customHeight="1" x14ac:dyDescent="0.25">
      <c r="T31904" s="135"/>
      <c r="U31904" s="135"/>
    </row>
    <row r="31905" spans="20:21" ht="15" customHeight="1" x14ac:dyDescent="0.25">
      <c r="T31905" s="135"/>
      <c r="U31905" s="135"/>
    </row>
    <row r="31906" spans="20:21" ht="15" customHeight="1" x14ac:dyDescent="0.25">
      <c r="T31906" s="135"/>
      <c r="U31906" s="135"/>
    </row>
    <row r="31907" spans="20:21" ht="15" customHeight="1" x14ac:dyDescent="0.25">
      <c r="T31907" s="135"/>
      <c r="U31907" s="135"/>
    </row>
    <row r="31908" spans="20:21" ht="15" customHeight="1" x14ac:dyDescent="0.25">
      <c r="T31908" s="135"/>
      <c r="U31908" s="135"/>
    </row>
    <row r="31909" spans="20:21" ht="15" customHeight="1" x14ac:dyDescent="0.25">
      <c r="T31909" s="135"/>
      <c r="U31909" s="135"/>
    </row>
    <row r="31910" spans="20:21" ht="15" customHeight="1" x14ac:dyDescent="0.25">
      <c r="T31910" s="135"/>
      <c r="U31910" s="135"/>
    </row>
    <row r="31911" spans="20:21" ht="15" customHeight="1" x14ac:dyDescent="0.25">
      <c r="T31911" s="135"/>
      <c r="U31911" s="135"/>
    </row>
    <row r="31912" spans="20:21" ht="15" customHeight="1" x14ac:dyDescent="0.25">
      <c r="T31912" s="135"/>
      <c r="U31912" s="135"/>
    </row>
    <row r="31913" spans="20:21" ht="15" customHeight="1" x14ac:dyDescent="0.25">
      <c r="T31913" s="135"/>
      <c r="U31913" s="135"/>
    </row>
    <row r="31914" spans="20:21" ht="15" customHeight="1" x14ac:dyDescent="0.25">
      <c r="T31914" s="135"/>
      <c r="U31914" s="135"/>
    </row>
    <row r="31915" spans="20:21" ht="15" customHeight="1" x14ac:dyDescent="0.25">
      <c r="T31915" s="135"/>
      <c r="U31915" s="135"/>
    </row>
    <row r="31916" spans="20:21" ht="15" customHeight="1" x14ac:dyDescent="0.25">
      <c r="T31916" s="135"/>
      <c r="U31916" s="135"/>
    </row>
    <row r="31917" spans="20:21" ht="15" customHeight="1" x14ac:dyDescent="0.25">
      <c r="T31917" s="135"/>
      <c r="U31917" s="135"/>
    </row>
    <row r="31918" spans="20:21" ht="15" customHeight="1" x14ac:dyDescent="0.25">
      <c r="T31918" s="135"/>
      <c r="U31918" s="135"/>
    </row>
    <row r="31919" spans="20:21" ht="15" customHeight="1" x14ac:dyDescent="0.25">
      <c r="T31919" s="135"/>
      <c r="U31919" s="135"/>
    </row>
    <row r="31920" spans="20:21" ht="15" customHeight="1" x14ac:dyDescent="0.25">
      <c r="T31920" s="135"/>
      <c r="U31920" s="135"/>
    </row>
    <row r="31921" spans="20:21" ht="15" customHeight="1" x14ac:dyDescent="0.25">
      <c r="T31921" s="135"/>
      <c r="U31921" s="135"/>
    </row>
    <row r="31922" spans="20:21" ht="15" customHeight="1" x14ac:dyDescent="0.25">
      <c r="T31922" s="135"/>
      <c r="U31922" s="135"/>
    </row>
    <row r="31923" spans="20:21" ht="15" customHeight="1" x14ac:dyDescent="0.25">
      <c r="T31923" s="135"/>
      <c r="U31923" s="135"/>
    </row>
    <row r="31924" spans="20:21" ht="15" customHeight="1" x14ac:dyDescent="0.25">
      <c r="T31924" s="135"/>
      <c r="U31924" s="135"/>
    </row>
    <row r="31925" spans="20:21" ht="15" customHeight="1" x14ac:dyDescent="0.25">
      <c r="T31925" s="135"/>
      <c r="U31925" s="135"/>
    </row>
    <row r="31926" spans="20:21" ht="15" customHeight="1" x14ac:dyDescent="0.25">
      <c r="T31926" s="135"/>
      <c r="U31926" s="135"/>
    </row>
    <row r="31927" spans="20:21" ht="15" customHeight="1" x14ac:dyDescent="0.25">
      <c r="T31927" s="135"/>
      <c r="U31927" s="135"/>
    </row>
    <row r="31928" spans="20:21" ht="15" customHeight="1" x14ac:dyDescent="0.25">
      <c r="T31928" s="135"/>
      <c r="U31928" s="135"/>
    </row>
    <row r="31929" spans="20:21" ht="15" customHeight="1" x14ac:dyDescent="0.25">
      <c r="T31929" s="135"/>
      <c r="U31929" s="135"/>
    </row>
    <row r="31930" spans="20:21" ht="15" customHeight="1" x14ac:dyDescent="0.25">
      <c r="T31930" s="135"/>
      <c r="U31930" s="135"/>
    </row>
    <row r="31931" spans="20:21" ht="15" customHeight="1" x14ac:dyDescent="0.25">
      <c r="T31931" s="135"/>
      <c r="U31931" s="135"/>
    </row>
    <row r="31932" spans="20:21" ht="15" customHeight="1" x14ac:dyDescent="0.25">
      <c r="T31932" s="135"/>
      <c r="U31932" s="135"/>
    </row>
    <row r="31933" spans="20:21" ht="15" customHeight="1" x14ac:dyDescent="0.25">
      <c r="T31933" s="135"/>
      <c r="U31933" s="135"/>
    </row>
    <row r="31934" spans="20:21" ht="15" customHeight="1" x14ac:dyDescent="0.25">
      <c r="T31934" s="135"/>
      <c r="U31934" s="135"/>
    </row>
    <row r="31935" spans="20:21" ht="15" customHeight="1" x14ac:dyDescent="0.25">
      <c r="T31935" s="135"/>
      <c r="U31935" s="135"/>
    </row>
    <row r="31936" spans="20:21" ht="15" customHeight="1" x14ac:dyDescent="0.25">
      <c r="T31936" s="135"/>
      <c r="U31936" s="135"/>
    </row>
    <row r="31937" spans="20:21" ht="15" customHeight="1" x14ac:dyDescent="0.25">
      <c r="T31937" s="135"/>
      <c r="U31937" s="135"/>
    </row>
    <row r="31938" spans="20:21" ht="15" customHeight="1" x14ac:dyDescent="0.25">
      <c r="T31938" s="135"/>
      <c r="U31938" s="135"/>
    </row>
    <row r="31939" spans="20:21" ht="15" customHeight="1" x14ac:dyDescent="0.25">
      <c r="T31939" s="135"/>
      <c r="U31939" s="135"/>
    </row>
    <row r="31940" spans="20:21" ht="15" customHeight="1" x14ac:dyDescent="0.25">
      <c r="T31940" s="135"/>
      <c r="U31940" s="135"/>
    </row>
    <row r="31941" spans="20:21" ht="15" customHeight="1" x14ac:dyDescent="0.25">
      <c r="T31941" s="135"/>
      <c r="U31941" s="135"/>
    </row>
    <row r="31942" spans="20:21" ht="15" customHeight="1" x14ac:dyDescent="0.25">
      <c r="T31942" s="135"/>
      <c r="U31942" s="135"/>
    </row>
    <row r="31943" spans="20:21" ht="15" customHeight="1" x14ac:dyDescent="0.25">
      <c r="T31943" s="135"/>
      <c r="U31943" s="135"/>
    </row>
    <row r="31944" spans="20:21" ht="15" customHeight="1" x14ac:dyDescent="0.25">
      <c r="T31944" s="135"/>
      <c r="U31944" s="135"/>
    </row>
    <row r="31945" spans="20:21" ht="15" customHeight="1" x14ac:dyDescent="0.25">
      <c r="T31945" s="135"/>
      <c r="U31945" s="135"/>
    </row>
    <row r="31946" spans="20:21" ht="15" customHeight="1" x14ac:dyDescent="0.25">
      <c r="T31946" s="135"/>
      <c r="U31946" s="135"/>
    </row>
    <row r="31947" spans="20:21" ht="15" customHeight="1" x14ac:dyDescent="0.25">
      <c r="T31947" s="135"/>
      <c r="U31947" s="135"/>
    </row>
    <row r="31948" spans="20:21" ht="15" customHeight="1" x14ac:dyDescent="0.25">
      <c r="T31948" s="135"/>
      <c r="U31948" s="135"/>
    </row>
    <row r="31949" spans="20:21" ht="15" customHeight="1" x14ac:dyDescent="0.25">
      <c r="T31949" s="135"/>
      <c r="U31949" s="135"/>
    </row>
    <row r="31950" spans="20:21" ht="15" customHeight="1" x14ac:dyDescent="0.25">
      <c r="T31950" s="135"/>
      <c r="U31950" s="135"/>
    </row>
    <row r="31951" spans="20:21" ht="15" customHeight="1" x14ac:dyDescent="0.25">
      <c r="T31951" s="135"/>
      <c r="U31951" s="135"/>
    </row>
    <row r="31952" spans="20:21" ht="15" customHeight="1" x14ac:dyDescent="0.25">
      <c r="T31952" s="135"/>
      <c r="U31952" s="135"/>
    </row>
    <row r="31953" spans="20:21" ht="15" customHeight="1" x14ac:dyDescent="0.25">
      <c r="T31953" s="135"/>
      <c r="U31953" s="135"/>
    </row>
    <row r="31954" spans="20:21" ht="15" customHeight="1" x14ac:dyDescent="0.25">
      <c r="T31954" s="135"/>
      <c r="U31954" s="135"/>
    </row>
    <row r="31955" spans="20:21" ht="15" customHeight="1" x14ac:dyDescent="0.25">
      <c r="T31955" s="135"/>
      <c r="U31955" s="135"/>
    </row>
    <row r="31956" spans="20:21" ht="15" customHeight="1" x14ac:dyDescent="0.25">
      <c r="T31956" s="135"/>
      <c r="U31956" s="135"/>
    </row>
    <row r="31957" spans="20:21" ht="15" customHeight="1" x14ac:dyDescent="0.25">
      <c r="T31957" s="135"/>
      <c r="U31957" s="135"/>
    </row>
    <row r="31958" spans="20:21" ht="15" customHeight="1" x14ac:dyDescent="0.25">
      <c r="T31958" s="135"/>
      <c r="U31958" s="135"/>
    </row>
    <row r="31959" spans="20:21" ht="15" customHeight="1" x14ac:dyDescent="0.25">
      <c r="T31959" s="135"/>
      <c r="U31959" s="135"/>
    </row>
    <row r="31960" spans="20:21" ht="15" customHeight="1" x14ac:dyDescent="0.25">
      <c r="T31960" s="135"/>
      <c r="U31960" s="135"/>
    </row>
    <row r="31961" spans="20:21" ht="15" customHeight="1" x14ac:dyDescent="0.25">
      <c r="T31961" s="135"/>
      <c r="U31961" s="135"/>
    </row>
    <row r="31962" spans="20:21" ht="15" customHeight="1" x14ac:dyDescent="0.25">
      <c r="T31962" s="135"/>
      <c r="U31962" s="135"/>
    </row>
    <row r="31963" spans="20:21" ht="15" customHeight="1" x14ac:dyDescent="0.25">
      <c r="T31963" s="135"/>
      <c r="U31963" s="135"/>
    </row>
    <row r="31964" spans="20:21" ht="15" customHeight="1" x14ac:dyDescent="0.25">
      <c r="T31964" s="135"/>
      <c r="U31964" s="135"/>
    </row>
    <row r="31965" spans="20:21" ht="15" customHeight="1" x14ac:dyDescent="0.25">
      <c r="T31965" s="135"/>
      <c r="U31965" s="135"/>
    </row>
    <row r="31966" spans="20:21" ht="15" customHeight="1" x14ac:dyDescent="0.25">
      <c r="T31966" s="135"/>
      <c r="U31966" s="135"/>
    </row>
    <row r="31967" spans="20:21" ht="15" customHeight="1" x14ac:dyDescent="0.25">
      <c r="T31967" s="135"/>
      <c r="U31967" s="135"/>
    </row>
    <row r="31968" spans="20:21" ht="15" customHeight="1" x14ac:dyDescent="0.25">
      <c r="T31968" s="135"/>
      <c r="U31968" s="135"/>
    </row>
    <row r="31969" spans="20:21" ht="15" customHeight="1" x14ac:dyDescent="0.25">
      <c r="T31969" s="135"/>
      <c r="U31969" s="135"/>
    </row>
    <row r="31970" spans="20:21" ht="15" customHeight="1" x14ac:dyDescent="0.25">
      <c r="T31970" s="135"/>
      <c r="U31970" s="135"/>
    </row>
    <row r="31971" spans="20:21" ht="15" customHeight="1" x14ac:dyDescent="0.25">
      <c r="T31971" s="135"/>
      <c r="U31971" s="135"/>
    </row>
    <row r="31972" spans="20:21" ht="15" customHeight="1" x14ac:dyDescent="0.25">
      <c r="T31972" s="135"/>
      <c r="U31972" s="135"/>
    </row>
    <row r="31973" spans="20:21" ht="15" customHeight="1" x14ac:dyDescent="0.25">
      <c r="T31973" s="135"/>
      <c r="U31973" s="135"/>
    </row>
    <row r="31974" spans="20:21" ht="15" customHeight="1" x14ac:dyDescent="0.25">
      <c r="T31974" s="135"/>
      <c r="U31974" s="135"/>
    </row>
    <row r="31975" spans="20:21" ht="15" customHeight="1" x14ac:dyDescent="0.25">
      <c r="T31975" s="135"/>
      <c r="U31975" s="135"/>
    </row>
    <row r="31976" spans="20:21" ht="15" customHeight="1" x14ac:dyDescent="0.25">
      <c r="T31976" s="135"/>
      <c r="U31976" s="135"/>
    </row>
    <row r="31977" spans="20:21" ht="15" customHeight="1" x14ac:dyDescent="0.25">
      <c r="T31977" s="135"/>
      <c r="U31977" s="135"/>
    </row>
    <row r="31978" spans="20:21" ht="15" customHeight="1" x14ac:dyDescent="0.25">
      <c r="T31978" s="135"/>
      <c r="U31978" s="135"/>
    </row>
    <row r="31979" spans="20:21" ht="15" customHeight="1" x14ac:dyDescent="0.25">
      <c r="T31979" s="135"/>
      <c r="U31979" s="135"/>
    </row>
    <row r="31980" spans="20:21" ht="15" customHeight="1" x14ac:dyDescent="0.25">
      <c r="T31980" s="135"/>
      <c r="U31980" s="135"/>
    </row>
    <row r="31981" spans="20:21" ht="15" customHeight="1" x14ac:dyDescent="0.25">
      <c r="T31981" s="135"/>
      <c r="U31981" s="135"/>
    </row>
    <row r="31982" spans="20:21" ht="15" customHeight="1" x14ac:dyDescent="0.25">
      <c r="T31982" s="135"/>
      <c r="U31982" s="135"/>
    </row>
    <row r="31983" spans="20:21" ht="15" customHeight="1" x14ac:dyDescent="0.25">
      <c r="T31983" s="135"/>
      <c r="U31983" s="135"/>
    </row>
    <row r="31984" spans="20:21" ht="15" customHeight="1" x14ac:dyDescent="0.25">
      <c r="T31984" s="135"/>
      <c r="U31984" s="135"/>
    </row>
    <row r="31985" spans="20:21" ht="15" customHeight="1" x14ac:dyDescent="0.25">
      <c r="T31985" s="135"/>
      <c r="U31985" s="135"/>
    </row>
    <row r="31986" spans="20:21" ht="15" customHeight="1" x14ac:dyDescent="0.25">
      <c r="T31986" s="135"/>
      <c r="U31986" s="135"/>
    </row>
    <row r="31987" spans="20:21" ht="15" customHeight="1" x14ac:dyDescent="0.25">
      <c r="T31987" s="135"/>
      <c r="U31987" s="135"/>
    </row>
    <row r="31988" spans="20:21" ht="15" customHeight="1" x14ac:dyDescent="0.25">
      <c r="T31988" s="135"/>
      <c r="U31988" s="135"/>
    </row>
    <row r="31989" spans="20:21" ht="15" customHeight="1" x14ac:dyDescent="0.25">
      <c r="T31989" s="135"/>
      <c r="U31989" s="135"/>
    </row>
    <row r="31990" spans="20:21" ht="15" customHeight="1" x14ac:dyDescent="0.25">
      <c r="T31990" s="135"/>
      <c r="U31990" s="135"/>
    </row>
    <row r="31991" spans="20:21" ht="15" customHeight="1" x14ac:dyDescent="0.25">
      <c r="T31991" s="135"/>
      <c r="U31991" s="135"/>
    </row>
    <row r="31992" spans="20:21" ht="15" customHeight="1" x14ac:dyDescent="0.25">
      <c r="T31992" s="135"/>
      <c r="U31992" s="135"/>
    </row>
    <row r="31993" spans="20:21" ht="15" customHeight="1" x14ac:dyDescent="0.25">
      <c r="T31993" s="135"/>
      <c r="U31993" s="135"/>
    </row>
    <row r="31994" spans="20:21" ht="15" customHeight="1" x14ac:dyDescent="0.25">
      <c r="T31994" s="135"/>
      <c r="U31994" s="135"/>
    </row>
    <row r="31995" spans="20:21" ht="15" customHeight="1" x14ac:dyDescent="0.25">
      <c r="T31995" s="135"/>
      <c r="U31995" s="135"/>
    </row>
    <row r="31996" spans="20:21" ht="15" customHeight="1" x14ac:dyDescent="0.25">
      <c r="T31996" s="135"/>
      <c r="U31996" s="135"/>
    </row>
    <row r="31997" spans="20:21" ht="15" customHeight="1" x14ac:dyDescent="0.25">
      <c r="T31997" s="135"/>
      <c r="U31997" s="135"/>
    </row>
    <row r="31998" spans="20:21" ht="15" customHeight="1" x14ac:dyDescent="0.25">
      <c r="T31998" s="135"/>
      <c r="U31998" s="135"/>
    </row>
    <row r="31999" spans="20:21" ht="15" customHeight="1" x14ac:dyDescent="0.25">
      <c r="T31999" s="135"/>
      <c r="U31999" s="135"/>
    </row>
    <row r="32000" spans="20:21" ht="15" customHeight="1" x14ac:dyDescent="0.25">
      <c r="T32000" s="135"/>
      <c r="U32000" s="135"/>
    </row>
    <row r="32001" spans="20:21" ht="15" customHeight="1" x14ac:dyDescent="0.25">
      <c r="T32001" s="135"/>
      <c r="U32001" s="135"/>
    </row>
    <row r="32002" spans="20:21" ht="15" customHeight="1" x14ac:dyDescent="0.25">
      <c r="T32002" s="135"/>
      <c r="U32002" s="135"/>
    </row>
    <row r="32003" spans="20:21" ht="15" customHeight="1" x14ac:dyDescent="0.25">
      <c r="T32003" s="135"/>
      <c r="U32003" s="135"/>
    </row>
    <row r="32004" spans="20:21" ht="15" customHeight="1" x14ac:dyDescent="0.25">
      <c r="T32004" s="135"/>
      <c r="U32004" s="135"/>
    </row>
    <row r="32005" spans="20:21" ht="15" customHeight="1" x14ac:dyDescent="0.25">
      <c r="T32005" s="135"/>
      <c r="U32005" s="135"/>
    </row>
    <row r="32006" spans="20:21" ht="15" customHeight="1" x14ac:dyDescent="0.25">
      <c r="T32006" s="135"/>
      <c r="U32006" s="135"/>
    </row>
    <row r="32007" spans="20:21" ht="15" customHeight="1" x14ac:dyDescent="0.25">
      <c r="T32007" s="135"/>
      <c r="U32007" s="135"/>
    </row>
    <row r="32008" spans="20:21" ht="15" customHeight="1" x14ac:dyDescent="0.25">
      <c r="T32008" s="135"/>
      <c r="U32008" s="135"/>
    </row>
    <row r="32009" spans="20:21" ht="15" customHeight="1" x14ac:dyDescent="0.25">
      <c r="T32009" s="135"/>
      <c r="U32009" s="135"/>
    </row>
    <row r="32010" spans="20:21" ht="15" customHeight="1" x14ac:dyDescent="0.25">
      <c r="T32010" s="135"/>
      <c r="U32010" s="135"/>
    </row>
    <row r="32011" spans="20:21" ht="15" customHeight="1" x14ac:dyDescent="0.25">
      <c r="T32011" s="135"/>
      <c r="U32011" s="135"/>
    </row>
    <row r="32012" spans="20:21" ht="15" customHeight="1" x14ac:dyDescent="0.25">
      <c r="T32012" s="135"/>
      <c r="U32012" s="135"/>
    </row>
    <row r="32013" spans="20:21" ht="15" customHeight="1" x14ac:dyDescent="0.25">
      <c r="T32013" s="135"/>
      <c r="U32013" s="135"/>
    </row>
    <row r="32014" spans="20:21" ht="15" customHeight="1" x14ac:dyDescent="0.25">
      <c r="T32014" s="135"/>
      <c r="U32014" s="135"/>
    </row>
    <row r="32015" spans="20:21" ht="15" customHeight="1" x14ac:dyDescent="0.25">
      <c r="T32015" s="135"/>
      <c r="U32015" s="135"/>
    </row>
    <row r="32016" spans="20:21" ht="15" customHeight="1" x14ac:dyDescent="0.25">
      <c r="T32016" s="135"/>
      <c r="U32016" s="135"/>
    </row>
    <row r="32017" spans="20:21" ht="15" customHeight="1" x14ac:dyDescent="0.25">
      <c r="T32017" s="135"/>
      <c r="U32017" s="135"/>
    </row>
    <row r="32018" spans="20:21" ht="15" customHeight="1" x14ac:dyDescent="0.25">
      <c r="T32018" s="135"/>
      <c r="U32018" s="135"/>
    </row>
    <row r="32019" spans="20:21" ht="15" customHeight="1" x14ac:dyDescent="0.25">
      <c r="T32019" s="135"/>
      <c r="U32019" s="135"/>
    </row>
    <row r="32020" spans="20:21" ht="15" customHeight="1" x14ac:dyDescent="0.25">
      <c r="T32020" s="135"/>
      <c r="U32020" s="135"/>
    </row>
    <row r="32021" spans="20:21" ht="15" customHeight="1" x14ac:dyDescent="0.25">
      <c r="T32021" s="135"/>
      <c r="U32021" s="135"/>
    </row>
    <row r="32022" spans="20:21" ht="15" customHeight="1" x14ac:dyDescent="0.25">
      <c r="T32022" s="135"/>
      <c r="U32022" s="135"/>
    </row>
    <row r="32023" spans="20:21" ht="15" customHeight="1" x14ac:dyDescent="0.25">
      <c r="T32023" s="135"/>
      <c r="U32023" s="135"/>
    </row>
    <row r="32024" spans="20:21" ht="15" customHeight="1" x14ac:dyDescent="0.25">
      <c r="T32024" s="135"/>
      <c r="U32024" s="135"/>
    </row>
    <row r="32025" spans="20:21" ht="15" customHeight="1" x14ac:dyDescent="0.25">
      <c r="T32025" s="135"/>
      <c r="U32025" s="135"/>
    </row>
    <row r="32026" spans="20:21" ht="15" customHeight="1" x14ac:dyDescent="0.25">
      <c r="T32026" s="135"/>
      <c r="U32026" s="135"/>
    </row>
    <row r="32027" spans="20:21" ht="15" customHeight="1" x14ac:dyDescent="0.25">
      <c r="T32027" s="135"/>
      <c r="U32027" s="135"/>
    </row>
    <row r="32028" spans="20:21" ht="15" customHeight="1" x14ac:dyDescent="0.25">
      <c r="T32028" s="135"/>
      <c r="U32028" s="135"/>
    </row>
    <row r="32029" spans="20:21" ht="15" customHeight="1" x14ac:dyDescent="0.25">
      <c r="T32029" s="135"/>
      <c r="U32029" s="135"/>
    </row>
    <row r="32030" spans="20:21" ht="15" customHeight="1" x14ac:dyDescent="0.25">
      <c r="T32030" s="135"/>
      <c r="U32030" s="135"/>
    </row>
    <row r="32031" spans="20:21" ht="15" customHeight="1" x14ac:dyDescent="0.25">
      <c r="T32031" s="135"/>
      <c r="U32031" s="135"/>
    </row>
    <row r="32032" spans="20:21" ht="15" customHeight="1" x14ac:dyDescent="0.25">
      <c r="T32032" s="135"/>
      <c r="U32032" s="135"/>
    </row>
    <row r="32033" spans="20:21" ht="15" customHeight="1" x14ac:dyDescent="0.25">
      <c r="T32033" s="135"/>
      <c r="U32033" s="135"/>
    </row>
    <row r="32034" spans="20:21" ht="15" customHeight="1" x14ac:dyDescent="0.25">
      <c r="T32034" s="135"/>
      <c r="U32034" s="135"/>
    </row>
    <row r="32035" spans="20:21" ht="15" customHeight="1" x14ac:dyDescent="0.25">
      <c r="T32035" s="135"/>
      <c r="U32035" s="135"/>
    </row>
    <row r="32036" spans="20:21" ht="15" customHeight="1" x14ac:dyDescent="0.25">
      <c r="T32036" s="135"/>
      <c r="U32036" s="135"/>
    </row>
    <row r="32037" spans="20:21" ht="15" customHeight="1" x14ac:dyDescent="0.25">
      <c r="T32037" s="135"/>
      <c r="U32037" s="135"/>
    </row>
    <row r="32038" spans="20:21" ht="15" customHeight="1" x14ac:dyDescent="0.25">
      <c r="T32038" s="135"/>
      <c r="U32038" s="135"/>
    </row>
    <row r="32039" spans="20:21" ht="15" customHeight="1" x14ac:dyDescent="0.25">
      <c r="T32039" s="135"/>
      <c r="U32039" s="135"/>
    </row>
    <row r="32040" spans="20:21" ht="15" customHeight="1" x14ac:dyDescent="0.25">
      <c r="T32040" s="135"/>
      <c r="U32040" s="135"/>
    </row>
    <row r="32041" spans="20:21" ht="15" customHeight="1" x14ac:dyDescent="0.25">
      <c r="T32041" s="135"/>
      <c r="U32041" s="135"/>
    </row>
    <row r="32042" spans="20:21" ht="15" customHeight="1" x14ac:dyDescent="0.25">
      <c r="T32042" s="135"/>
      <c r="U32042" s="135"/>
    </row>
    <row r="32043" spans="20:21" ht="15" customHeight="1" x14ac:dyDescent="0.25">
      <c r="T32043" s="135"/>
      <c r="U32043" s="135"/>
    </row>
    <row r="32044" spans="20:21" ht="15" customHeight="1" x14ac:dyDescent="0.25">
      <c r="T32044" s="135"/>
      <c r="U32044" s="135"/>
    </row>
    <row r="32045" spans="20:21" ht="15" customHeight="1" x14ac:dyDescent="0.25">
      <c r="T32045" s="135"/>
      <c r="U32045" s="135"/>
    </row>
    <row r="32046" spans="20:21" ht="15" customHeight="1" x14ac:dyDescent="0.25">
      <c r="T32046" s="135"/>
      <c r="U32046" s="135"/>
    </row>
    <row r="32047" spans="20:21" ht="15" customHeight="1" x14ac:dyDescent="0.25">
      <c r="T32047" s="135"/>
      <c r="U32047" s="135"/>
    </row>
    <row r="32048" spans="20:21" ht="15" customHeight="1" x14ac:dyDescent="0.25">
      <c r="T32048" s="135"/>
      <c r="U32048" s="135"/>
    </row>
    <row r="32049" spans="20:21" ht="15" customHeight="1" x14ac:dyDescent="0.25">
      <c r="T32049" s="135"/>
      <c r="U32049" s="135"/>
    </row>
    <row r="32050" spans="20:21" ht="15" customHeight="1" x14ac:dyDescent="0.25">
      <c r="T32050" s="135"/>
      <c r="U32050" s="135"/>
    </row>
    <row r="32051" spans="20:21" ht="15" customHeight="1" x14ac:dyDescent="0.25">
      <c r="T32051" s="135"/>
      <c r="U32051" s="135"/>
    </row>
    <row r="32052" spans="20:21" ht="15" customHeight="1" x14ac:dyDescent="0.25">
      <c r="T32052" s="135"/>
      <c r="U32052" s="135"/>
    </row>
    <row r="32053" spans="20:21" ht="15" customHeight="1" x14ac:dyDescent="0.25">
      <c r="T32053" s="135"/>
      <c r="U32053" s="135"/>
    </row>
    <row r="32054" spans="20:21" ht="15" customHeight="1" x14ac:dyDescent="0.25">
      <c r="T32054" s="135"/>
      <c r="U32054" s="135"/>
    </row>
    <row r="32055" spans="20:21" ht="15" customHeight="1" x14ac:dyDescent="0.25">
      <c r="T32055" s="135"/>
      <c r="U32055" s="135"/>
    </row>
    <row r="32056" spans="20:21" ht="15" customHeight="1" x14ac:dyDescent="0.25">
      <c r="T32056" s="135"/>
      <c r="U32056" s="135"/>
    </row>
    <row r="32057" spans="20:21" ht="15" customHeight="1" x14ac:dyDescent="0.25">
      <c r="T32057" s="135"/>
      <c r="U32057" s="135"/>
    </row>
    <row r="32058" spans="20:21" ht="15" customHeight="1" x14ac:dyDescent="0.25">
      <c r="T32058" s="135"/>
      <c r="U32058" s="135"/>
    </row>
    <row r="32059" spans="20:21" ht="15" customHeight="1" x14ac:dyDescent="0.25">
      <c r="T32059" s="135"/>
      <c r="U32059" s="135"/>
    </row>
    <row r="32060" spans="20:21" ht="15" customHeight="1" x14ac:dyDescent="0.25">
      <c r="T32060" s="135"/>
      <c r="U32060" s="135"/>
    </row>
    <row r="32061" spans="20:21" ht="15" customHeight="1" x14ac:dyDescent="0.25">
      <c r="T32061" s="135"/>
      <c r="U32061" s="135"/>
    </row>
    <row r="32062" spans="20:21" ht="15" customHeight="1" x14ac:dyDescent="0.25">
      <c r="T32062" s="135"/>
      <c r="U32062" s="135"/>
    </row>
    <row r="32063" spans="20:21" ht="15" customHeight="1" x14ac:dyDescent="0.25">
      <c r="T32063" s="135"/>
      <c r="U32063" s="135"/>
    </row>
    <row r="32064" spans="20:21" ht="15" customHeight="1" x14ac:dyDescent="0.25">
      <c r="T32064" s="135"/>
      <c r="U32064" s="135"/>
    </row>
    <row r="32065" spans="20:21" ht="15" customHeight="1" x14ac:dyDescent="0.25">
      <c r="T32065" s="135"/>
      <c r="U32065" s="135"/>
    </row>
    <row r="32066" spans="20:21" ht="15" customHeight="1" x14ac:dyDescent="0.25">
      <c r="T32066" s="135"/>
      <c r="U32066" s="135"/>
    </row>
    <row r="32067" spans="20:21" ht="15" customHeight="1" x14ac:dyDescent="0.25">
      <c r="T32067" s="135"/>
      <c r="U32067" s="135"/>
    </row>
    <row r="32068" spans="20:21" ht="15" customHeight="1" x14ac:dyDescent="0.25">
      <c r="T32068" s="135"/>
      <c r="U32068" s="135"/>
    </row>
    <row r="32069" spans="20:21" ht="15" customHeight="1" x14ac:dyDescent="0.25">
      <c r="T32069" s="135"/>
      <c r="U32069" s="135"/>
    </row>
    <row r="32070" spans="20:21" ht="15" customHeight="1" x14ac:dyDescent="0.25">
      <c r="T32070" s="135"/>
      <c r="U32070" s="135"/>
    </row>
    <row r="32071" spans="20:21" ht="15" customHeight="1" x14ac:dyDescent="0.25">
      <c r="T32071" s="135"/>
      <c r="U32071" s="135"/>
    </row>
    <row r="32072" spans="20:21" ht="15" customHeight="1" x14ac:dyDescent="0.25">
      <c r="T32072" s="135"/>
      <c r="U32072" s="135"/>
    </row>
    <row r="32073" spans="20:21" ht="15" customHeight="1" x14ac:dyDescent="0.25">
      <c r="T32073" s="135"/>
      <c r="U32073" s="135"/>
    </row>
    <row r="32074" spans="20:21" ht="15" customHeight="1" x14ac:dyDescent="0.25">
      <c r="T32074" s="135"/>
      <c r="U32074" s="135"/>
    </row>
    <row r="32075" spans="20:21" ht="15" customHeight="1" x14ac:dyDescent="0.25">
      <c r="T32075" s="135"/>
      <c r="U32075" s="135"/>
    </row>
    <row r="32076" spans="20:21" ht="15" customHeight="1" x14ac:dyDescent="0.25">
      <c r="T32076" s="135"/>
      <c r="U32076" s="135"/>
    </row>
    <row r="32077" spans="20:21" ht="15" customHeight="1" x14ac:dyDescent="0.25">
      <c r="T32077" s="135"/>
      <c r="U32077" s="135"/>
    </row>
    <row r="32078" spans="20:21" ht="15" customHeight="1" x14ac:dyDescent="0.25">
      <c r="T32078" s="135"/>
      <c r="U32078" s="135"/>
    </row>
    <row r="32079" spans="20:21" ht="15" customHeight="1" x14ac:dyDescent="0.25">
      <c r="T32079" s="135"/>
      <c r="U32079" s="135"/>
    </row>
    <row r="32080" spans="20:21" ht="15" customHeight="1" x14ac:dyDescent="0.25">
      <c r="T32080" s="135"/>
      <c r="U32080" s="135"/>
    </row>
    <row r="32081" spans="20:21" ht="15" customHeight="1" x14ac:dyDescent="0.25">
      <c r="T32081" s="135"/>
      <c r="U32081" s="135"/>
    </row>
    <row r="32082" spans="20:21" ht="15" customHeight="1" x14ac:dyDescent="0.25">
      <c r="T32082" s="135"/>
      <c r="U32082" s="135"/>
    </row>
    <row r="32083" spans="20:21" ht="15" customHeight="1" x14ac:dyDescent="0.25">
      <c r="T32083" s="135"/>
      <c r="U32083" s="135"/>
    </row>
    <row r="32084" spans="20:21" ht="15" customHeight="1" x14ac:dyDescent="0.25">
      <c r="T32084" s="135"/>
      <c r="U32084" s="135"/>
    </row>
    <row r="32085" spans="20:21" ht="15" customHeight="1" x14ac:dyDescent="0.25">
      <c r="T32085" s="135"/>
      <c r="U32085" s="135"/>
    </row>
    <row r="32086" spans="20:21" ht="15" customHeight="1" x14ac:dyDescent="0.25">
      <c r="T32086" s="135"/>
      <c r="U32086" s="135"/>
    </row>
    <row r="32087" spans="20:21" ht="15" customHeight="1" x14ac:dyDescent="0.25">
      <c r="T32087" s="135"/>
      <c r="U32087" s="135"/>
    </row>
    <row r="32088" spans="20:21" ht="15" customHeight="1" x14ac:dyDescent="0.25">
      <c r="T32088" s="135"/>
      <c r="U32088" s="135"/>
    </row>
    <row r="32089" spans="20:21" ht="15" customHeight="1" x14ac:dyDescent="0.25">
      <c r="T32089" s="135"/>
      <c r="U32089" s="135"/>
    </row>
    <row r="32090" spans="20:21" ht="15" customHeight="1" x14ac:dyDescent="0.25">
      <c r="T32090" s="135"/>
      <c r="U32090" s="135"/>
    </row>
    <row r="32091" spans="20:21" ht="15" customHeight="1" x14ac:dyDescent="0.25">
      <c r="T32091" s="135"/>
      <c r="U32091" s="135"/>
    </row>
    <row r="32092" spans="20:21" ht="15" customHeight="1" x14ac:dyDescent="0.25">
      <c r="T32092" s="135"/>
      <c r="U32092" s="135"/>
    </row>
    <row r="32093" spans="20:21" ht="15" customHeight="1" x14ac:dyDescent="0.25">
      <c r="T32093" s="135"/>
      <c r="U32093" s="135"/>
    </row>
    <row r="32094" spans="20:21" ht="15" customHeight="1" x14ac:dyDescent="0.25">
      <c r="T32094" s="135"/>
      <c r="U32094" s="135"/>
    </row>
    <row r="32095" spans="20:21" ht="15" customHeight="1" x14ac:dyDescent="0.25">
      <c r="T32095" s="135"/>
      <c r="U32095" s="135"/>
    </row>
    <row r="32096" spans="20:21" ht="15" customHeight="1" x14ac:dyDescent="0.25">
      <c r="T32096" s="135"/>
      <c r="U32096" s="135"/>
    </row>
    <row r="32097" spans="20:21" ht="15" customHeight="1" x14ac:dyDescent="0.25">
      <c r="T32097" s="135"/>
      <c r="U32097" s="135"/>
    </row>
    <row r="32098" spans="20:21" ht="15" customHeight="1" x14ac:dyDescent="0.25">
      <c r="T32098" s="135"/>
      <c r="U32098" s="135"/>
    </row>
    <row r="32099" spans="20:21" ht="15" customHeight="1" x14ac:dyDescent="0.25">
      <c r="T32099" s="135"/>
      <c r="U32099" s="135"/>
    </row>
    <row r="32100" spans="20:21" ht="15" customHeight="1" x14ac:dyDescent="0.25">
      <c r="T32100" s="135"/>
      <c r="U32100" s="135"/>
    </row>
    <row r="32101" spans="20:21" ht="15" customHeight="1" x14ac:dyDescent="0.25">
      <c r="T32101" s="135"/>
      <c r="U32101" s="135"/>
    </row>
    <row r="32102" spans="20:21" ht="15" customHeight="1" x14ac:dyDescent="0.25">
      <c r="T32102" s="135"/>
      <c r="U32102" s="135"/>
    </row>
    <row r="32103" spans="20:21" ht="15" customHeight="1" x14ac:dyDescent="0.25">
      <c r="T32103" s="135"/>
      <c r="U32103" s="135"/>
    </row>
    <row r="32104" spans="20:21" ht="15" customHeight="1" x14ac:dyDescent="0.25">
      <c r="T32104" s="135"/>
      <c r="U32104" s="135"/>
    </row>
    <row r="32105" spans="20:21" ht="15" customHeight="1" x14ac:dyDescent="0.25">
      <c r="T32105" s="135"/>
      <c r="U32105" s="135"/>
    </row>
    <row r="32106" spans="20:21" ht="15" customHeight="1" x14ac:dyDescent="0.25">
      <c r="T32106" s="135"/>
      <c r="U32106" s="135"/>
    </row>
    <row r="32107" spans="20:21" ht="15" customHeight="1" x14ac:dyDescent="0.25">
      <c r="T32107" s="135"/>
      <c r="U32107" s="135"/>
    </row>
    <row r="32108" spans="20:21" ht="15" customHeight="1" x14ac:dyDescent="0.25">
      <c r="T32108" s="135"/>
      <c r="U32108" s="135"/>
    </row>
    <row r="32109" spans="20:21" ht="15" customHeight="1" x14ac:dyDescent="0.25">
      <c r="T32109" s="135"/>
      <c r="U32109" s="135"/>
    </row>
    <row r="32110" spans="20:21" ht="15" customHeight="1" x14ac:dyDescent="0.25">
      <c r="T32110" s="135"/>
      <c r="U32110" s="135"/>
    </row>
    <row r="32111" spans="20:21" ht="15" customHeight="1" x14ac:dyDescent="0.25">
      <c r="T32111" s="135"/>
      <c r="U32111" s="135"/>
    </row>
    <row r="32112" spans="20:21" ht="15" customHeight="1" x14ac:dyDescent="0.25">
      <c r="T32112" s="135"/>
      <c r="U32112" s="135"/>
    </row>
    <row r="32113" spans="20:21" ht="15" customHeight="1" x14ac:dyDescent="0.25">
      <c r="T32113" s="135"/>
      <c r="U32113" s="135"/>
    </row>
    <row r="32114" spans="20:21" ht="15" customHeight="1" x14ac:dyDescent="0.25">
      <c r="T32114" s="135"/>
      <c r="U32114" s="135"/>
    </row>
    <row r="32115" spans="20:21" ht="15" customHeight="1" x14ac:dyDescent="0.25">
      <c r="T32115" s="135"/>
      <c r="U32115" s="135"/>
    </row>
    <row r="32116" spans="20:21" ht="15" customHeight="1" x14ac:dyDescent="0.25">
      <c r="T32116" s="135"/>
      <c r="U32116" s="135"/>
    </row>
    <row r="32117" spans="20:21" ht="15" customHeight="1" x14ac:dyDescent="0.25">
      <c r="T32117" s="135"/>
      <c r="U32117" s="135"/>
    </row>
    <row r="32118" spans="20:21" ht="15" customHeight="1" x14ac:dyDescent="0.25">
      <c r="T32118" s="135"/>
      <c r="U32118" s="135"/>
    </row>
    <row r="32119" spans="20:21" ht="15" customHeight="1" x14ac:dyDescent="0.25">
      <c r="T32119" s="135"/>
      <c r="U32119" s="135"/>
    </row>
    <row r="32120" spans="20:21" ht="15" customHeight="1" x14ac:dyDescent="0.25">
      <c r="T32120" s="135"/>
      <c r="U32120" s="135"/>
    </row>
    <row r="32121" spans="20:21" ht="15" customHeight="1" x14ac:dyDescent="0.25">
      <c r="T32121" s="135"/>
      <c r="U32121" s="135"/>
    </row>
    <row r="32122" spans="20:21" ht="15" customHeight="1" x14ac:dyDescent="0.25">
      <c r="T32122" s="135"/>
      <c r="U32122" s="135"/>
    </row>
    <row r="32123" spans="20:21" ht="15" customHeight="1" x14ac:dyDescent="0.25">
      <c r="T32123" s="135"/>
      <c r="U32123" s="135"/>
    </row>
    <row r="32124" spans="20:21" ht="15" customHeight="1" x14ac:dyDescent="0.25">
      <c r="T32124" s="135"/>
      <c r="U32124" s="135"/>
    </row>
    <row r="32125" spans="20:21" ht="15" customHeight="1" x14ac:dyDescent="0.25">
      <c r="T32125" s="135"/>
      <c r="U32125" s="135"/>
    </row>
    <row r="32126" spans="20:21" ht="15" customHeight="1" x14ac:dyDescent="0.25">
      <c r="T32126" s="135"/>
      <c r="U32126" s="135"/>
    </row>
    <row r="32127" spans="20:21" ht="15" customHeight="1" x14ac:dyDescent="0.25">
      <c r="T32127" s="135"/>
      <c r="U32127" s="135"/>
    </row>
    <row r="32128" spans="20:21" ht="15" customHeight="1" x14ac:dyDescent="0.25">
      <c r="T32128" s="135"/>
      <c r="U32128" s="135"/>
    </row>
    <row r="32129" spans="20:21" ht="15" customHeight="1" x14ac:dyDescent="0.25">
      <c r="T32129" s="135"/>
      <c r="U32129" s="135"/>
    </row>
    <row r="32130" spans="20:21" ht="15" customHeight="1" x14ac:dyDescent="0.25">
      <c r="T32130" s="135"/>
      <c r="U32130" s="135"/>
    </row>
    <row r="32131" spans="20:21" ht="15" customHeight="1" x14ac:dyDescent="0.25">
      <c r="T32131" s="135"/>
      <c r="U32131" s="135"/>
    </row>
    <row r="32132" spans="20:21" ht="15" customHeight="1" x14ac:dyDescent="0.25">
      <c r="T32132" s="135"/>
      <c r="U32132" s="135"/>
    </row>
    <row r="32133" spans="20:21" ht="15" customHeight="1" x14ac:dyDescent="0.25">
      <c r="T32133" s="135"/>
      <c r="U32133" s="135"/>
    </row>
    <row r="32134" spans="20:21" ht="15" customHeight="1" x14ac:dyDescent="0.25">
      <c r="T32134" s="135"/>
      <c r="U32134" s="135"/>
    </row>
    <row r="32135" spans="20:21" ht="15" customHeight="1" x14ac:dyDescent="0.25">
      <c r="T32135" s="135"/>
      <c r="U32135" s="135"/>
    </row>
    <row r="32136" spans="20:21" ht="15" customHeight="1" x14ac:dyDescent="0.25">
      <c r="T32136" s="135"/>
      <c r="U32136" s="135"/>
    </row>
    <row r="32137" spans="20:21" ht="15" customHeight="1" x14ac:dyDescent="0.25">
      <c r="T32137" s="135"/>
      <c r="U32137" s="135"/>
    </row>
    <row r="32138" spans="20:21" ht="15" customHeight="1" x14ac:dyDescent="0.25">
      <c r="T32138" s="135"/>
      <c r="U32138" s="135"/>
    </row>
    <row r="32139" spans="20:21" ht="15" customHeight="1" x14ac:dyDescent="0.25">
      <c r="T32139" s="135"/>
      <c r="U32139" s="135"/>
    </row>
    <row r="32140" spans="20:21" ht="15" customHeight="1" x14ac:dyDescent="0.25">
      <c r="T32140" s="135"/>
      <c r="U32140" s="135"/>
    </row>
    <row r="32141" spans="20:21" ht="15" customHeight="1" x14ac:dyDescent="0.25">
      <c r="T32141" s="135"/>
      <c r="U32141" s="135"/>
    </row>
    <row r="32142" spans="20:21" ht="15" customHeight="1" x14ac:dyDescent="0.25">
      <c r="T32142" s="135"/>
      <c r="U32142" s="135"/>
    </row>
    <row r="32143" spans="20:21" ht="15" customHeight="1" x14ac:dyDescent="0.25">
      <c r="T32143" s="135"/>
      <c r="U32143" s="135"/>
    </row>
    <row r="32144" spans="20:21" ht="15" customHeight="1" x14ac:dyDescent="0.25">
      <c r="T32144" s="135"/>
      <c r="U32144" s="135"/>
    </row>
    <row r="32145" spans="20:21" ht="15" customHeight="1" x14ac:dyDescent="0.25">
      <c r="T32145" s="135"/>
      <c r="U32145" s="135"/>
    </row>
    <row r="32146" spans="20:21" ht="15" customHeight="1" x14ac:dyDescent="0.25">
      <c r="T32146" s="135"/>
      <c r="U32146" s="135"/>
    </row>
    <row r="32147" spans="20:21" ht="15" customHeight="1" x14ac:dyDescent="0.25">
      <c r="T32147" s="135"/>
      <c r="U32147" s="135"/>
    </row>
    <row r="32148" spans="20:21" ht="15" customHeight="1" x14ac:dyDescent="0.25">
      <c r="T32148" s="135"/>
      <c r="U32148" s="135"/>
    </row>
    <row r="32149" spans="20:21" ht="15" customHeight="1" x14ac:dyDescent="0.25">
      <c r="T32149" s="135"/>
      <c r="U32149" s="135"/>
    </row>
    <row r="32150" spans="20:21" ht="15" customHeight="1" x14ac:dyDescent="0.25">
      <c r="T32150" s="135"/>
      <c r="U32150" s="135"/>
    </row>
    <row r="32151" spans="20:21" ht="15" customHeight="1" x14ac:dyDescent="0.25">
      <c r="T32151" s="135"/>
      <c r="U32151" s="135"/>
    </row>
    <row r="32152" spans="20:21" ht="15" customHeight="1" x14ac:dyDescent="0.25">
      <c r="T32152" s="135"/>
      <c r="U32152" s="135"/>
    </row>
    <row r="32153" spans="20:21" ht="15" customHeight="1" x14ac:dyDescent="0.25">
      <c r="T32153" s="135"/>
      <c r="U32153" s="135"/>
    </row>
    <row r="32154" spans="20:21" ht="15" customHeight="1" x14ac:dyDescent="0.25">
      <c r="T32154" s="135"/>
      <c r="U32154" s="135"/>
    </row>
    <row r="32155" spans="20:21" ht="15" customHeight="1" x14ac:dyDescent="0.25">
      <c r="T32155" s="135"/>
      <c r="U32155" s="135"/>
    </row>
    <row r="32156" spans="20:21" ht="15" customHeight="1" x14ac:dyDescent="0.25">
      <c r="T32156" s="135"/>
      <c r="U32156" s="135"/>
    </row>
    <row r="32157" spans="20:21" ht="15" customHeight="1" x14ac:dyDescent="0.25">
      <c r="T32157" s="135"/>
      <c r="U32157" s="135"/>
    </row>
    <row r="32158" spans="20:21" ht="15" customHeight="1" x14ac:dyDescent="0.25">
      <c r="T32158" s="135"/>
      <c r="U32158" s="135"/>
    </row>
    <row r="32159" spans="20:21" ht="15" customHeight="1" x14ac:dyDescent="0.25">
      <c r="T32159" s="135"/>
      <c r="U32159" s="135"/>
    </row>
    <row r="32160" spans="20:21" ht="15" customHeight="1" x14ac:dyDescent="0.25">
      <c r="T32160" s="135"/>
      <c r="U32160" s="135"/>
    </row>
    <row r="32161" spans="20:21" ht="15" customHeight="1" x14ac:dyDescent="0.25">
      <c r="T32161" s="135"/>
      <c r="U32161" s="135"/>
    </row>
    <row r="32162" spans="20:21" ht="15" customHeight="1" x14ac:dyDescent="0.25">
      <c r="T32162" s="135"/>
      <c r="U32162" s="135"/>
    </row>
    <row r="32163" spans="20:21" ht="15" customHeight="1" x14ac:dyDescent="0.25">
      <c r="T32163" s="135"/>
      <c r="U32163" s="135"/>
    </row>
    <row r="32164" spans="20:21" ht="15" customHeight="1" x14ac:dyDescent="0.25">
      <c r="T32164" s="135"/>
      <c r="U32164" s="135"/>
    </row>
    <row r="32165" spans="20:21" ht="15" customHeight="1" x14ac:dyDescent="0.25">
      <c r="T32165" s="135"/>
      <c r="U32165" s="135"/>
    </row>
    <row r="32166" spans="20:21" ht="15" customHeight="1" x14ac:dyDescent="0.25">
      <c r="T32166" s="135"/>
      <c r="U32166" s="135"/>
    </row>
    <row r="32167" spans="20:21" ht="15" customHeight="1" x14ac:dyDescent="0.25">
      <c r="T32167" s="135"/>
      <c r="U32167" s="135"/>
    </row>
    <row r="32168" spans="20:21" ht="15" customHeight="1" x14ac:dyDescent="0.25">
      <c r="T32168" s="135"/>
      <c r="U32168" s="135"/>
    </row>
    <row r="32169" spans="20:21" ht="15" customHeight="1" x14ac:dyDescent="0.25">
      <c r="T32169" s="135"/>
      <c r="U32169" s="135"/>
    </row>
    <row r="32170" spans="20:21" ht="15" customHeight="1" x14ac:dyDescent="0.25">
      <c r="T32170" s="135"/>
      <c r="U32170" s="135"/>
    </row>
    <row r="32171" spans="20:21" ht="15" customHeight="1" x14ac:dyDescent="0.25">
      <c r="T32171" s="135"/>
      <c r="U32171" s="135"/>
    </row>
    <row r="32172" spans="20:21" ht="15" customHeight="1" x14ac:dyDescent="0.25">
      <c r="T32172" s="135"/>
      <c r="U32172" s="135"/>
    </row>
    <row r="32173" spans="20:21" ht="15" customHeight="1" x14ac:dyDescent="0.25">
      <c r="T32173" s="135"/>
      <c r="U32173" s="135"/>
    </row>
    <row r="32174" spans="20:21" ht="15" customHeight="1" x14ac:dyDescent="0.25">
      <c r="T32174" s="135"/>
      <c r="U32174" s="135"/>
    </row>
    <row r="32175" spans="20:21" ht="15" customHeight="1" x14ac:dyDescent="0.25">
      <c r="T32175" s="135"/>
      <c r="U32175" s="135"/>
    </row>
    <row r="32176" spans="20:21" ht="15" customHeight="1" x14ac:dyDescent="0.25">
      <c r="T32176" s="135"/>
      <c r="U32176" s="135"/>
    </row>
    <row r="32177" spans="20:21" ht="15" customHeight="1" x14ac:dyDescent="0.25">
      <c r="T32177" s="135"/>
      <c r="U32177" s="135"/>
    </row>
    <row r="32178" spans="20:21" ht="15" customHeight="1" x14ac:dyDescent="0.25">
      <c r="T32178" s="135"/>
      <c r="U32178" s="135"/>
    </row>
    <row r="32179" spans="20:21" ht="15" customHeight="1" x14ac:dyDescent="0.25">
      <c r="T32179" s="135"/>
      <c r="U32179" s="135"/>
    </row>
    <row r="32180" spans="20:21" ht="15" customHeight="1" x14ac:dyDescent="0.25">
      <c r="T32180" s="135"/>
      <c r="U32180" s="135"/>
    </row>
    <row r="32181" spans="20:21" ht="15" customHeight="1" x14ac:dyDescent="0.25">
      <c r="T32181" s="135"/>
      <c r="U32181" s="135"/>
    </row>
    <row r="32182" spans="20:21" ht="15" customHeight="1" x14ac:dyDescent="0.25">
      <c r="T32182" s="135"/>
      <c r="U32182" s="135"/>
    </row>
    <row r="32183" spans="20:21" ht="15" customHeight="1" x14ac:dyDescent="0.25">
      <c r="T32183" s="135"/>
      <c r="U32183" s="135"/>
    </row>
    <row r="32184" spans="20:21" ht="15" customHeight="1" x14ac:dyDescent="0.25">
      <c r="T32184" s="135"/>
      <c r="U32184" s="135"/>
    </row>
    <row r="32185" spans="20:21" ht="15" customHeight="1" x14ac:dyDescent="0.25">
      <c r="T32185" s="135"/>
      <c r="U32185" s="135"/>
    </row>
    <row r="32186" spans="20:21" ht="15" customHeight="1" x14ac:dyDescent="0.25">
      <c r="T32186" s="135"/>
      <c r="U32186" s="135"/>
    </row>
    <row r="32187" spans="20:21" ht="15" customHeight="1" x14ac:dyDescent="0.25">
      <c r="T32187" s="135"/>
      <c r="U32187" s="135"/>
    </row>
    <row r="32188" spans="20:21" ht="15" customHeight="1" x14ac:dyDescent="0.25">
      <c r="T32188" s="135"/>
      <c r="U32188" s="135"/>
    </row>
    <row r="32189" spans="20:21" ht="15" customHeight="1" x14ac:dyDescent="0.25">
      <c r="T32189" s="135"/>
      <c r="U32189" s="135"/>
    </row>
    <row r="32190" spans="20:21" ht="15" customHeight="1" x14ac:dyDescent="0.25">
      <c r="T32190" s="135"/>
      <c r="U32190" s="135"/>
    </row>
    <row r="32191" spans="20:21" ht="15" customHeight="1" x14ac:dyDescent="0.25">
      <c r="T32191" s="135"/>
      <c r="U32191" s="135"/>
    </row>
    <row r="32192" spans="20:21" ht="15" customHeight="1" x14ac:dyDescent="0.25">
      <c r="T32192" s="135"/>
      <c r="U32192" s="135"/>
    </row>
    <row r="32193" spans="20:21" ht="15" customHeight="1" x14ac:dyDescent="0.25">
      <c r="T32193" s="135"/>
      <c r="U32193" s="135"/>
    </row>
    <row r="32194" spans="20:21" ht="15" customHeight="1" x14ac:dyDescent="0.25">
      <c r="T32194" s="135"/>
      <c r="U32194" s="135"/>
    </row>
    <row r="32195" spans="20:21" ht="15" customHeight="1" x14ac:dyDescent="0.25">
      <c r="T32195" s="135"/>
      <c r="U32195" s="135"/>
    </row>
    <row r="32196" spans="20:21" ht="15" customHeight="1" x14ac:dyDescent="0.25">
      <c r="T32196" s="135"/>
      <c r="U32196" s="135"/>
    </row>
    <row r="32197" spans="20:21" ht="15" customHeight="1" x14ac:dyDescent="0.25">
      <c r="T32197" s="135"/>
      <c r="U32197" s="135"/>
    </row>
    <row r="32198" spans="20:21" ht="15" customHeight="1" x14ac:dyDescent="0.25">
      <c r="T32198" s="135"/>
      <c r="U32198" s="135"/>
    </row>
    <row r="32199" spans="20:21" ht="15" customHeight="1" x14ac:dyDescent="0.25">
      <c r="T32199" s="135"/>
      <c r="U32199" s="135"/>
    </row>
    <row r="32200" spans="20:21" ht="15" customHeight="1" x14ac:dyDescent="0.25">
      <c r="T32200" s="135"/>
      <c r="U32200" s="135"/>
    </row>
    <row r="32201" spans="20:21" ht="15" customHeight="1" x14ac:dyDescent="0.25">
      <c r="T32201" s="135"/>
      <c r="U32201" s="135"/>
    </row>
    <row r="32202" spans="20:21" ht="15" customHeight="1" x14ac:dyDescent="0.25">
      <c r="T32202" s="135"/>
      <c r="U32202" s="135"/>
    </row>
    <row r="32203" spans="20:21" ht="15" customHeight="1" x14ac:dyDescent="0.25">
      <c r="T32203" s="135"/>
      <c r="U32203" s="135"/>
    </row>
    <row r="32204" spans="20:21" ht="15" customHeight="1" x14ac:dyDescent="0.25">
      <c r="T32204" s="135"/>
      <c r="U32204" s="135"/>
    </row>
    <row r="32205" spans="20:21" ht="15" customHeight="1" x14ac:dyDescent="0.25">
      <c r="T32205" s="135"/>
      <c r="U32205" s="135"/>
    </row>
    <row r="32206" spans="20:21" ht="15" customHeight="1" x14ac:dyDescent="0.25">
      <c r="T32206" s="135"/>
      <c r="U32206" s="135"/>
    </row>
    <row r="32207" spans="20:21" ht="15" customHeight="1" x14ac:dyDescent="0.25">
      <c r="T32207" s="135"/>
      <c r="U32207" s="135"/>
    </row>
    <row r="32208" spans="20:21" ht="15" customHeight="1" x14ac:dyDescent="0.25">
      <c r="T32208" s="135"/>
      <c r="U32208" s="135"/>
    </row>
    <row r="32209" spans="20:21" ht="15" customHeight="1" x14ac:dyDescent="0.25">
      <c r="T32209" s="135"/>
      <c r="U32209" s="135"/>
    </row>
    <row r="32210" spans="20:21" ht="15" customHeight="1" x14ac:dyDescent="0.25">
      <c r="T32210" s="135"/>
      <c r="U32210" s="135"/>
    </row>
    <row r="32211" spans="20:21" ht="15" customHeight="1" x14ac:dyDescent="0.25">
      <c r="T32211" s="135"/>
      <c r="U32211" s="135"/>
    </row>
    <row r="32212" spans="20:21" ht="15" customHeight="1" x14ac:dyDescent="0.25">
      <c r="T32212" s="135"/>
      <c r="U32212" s="135"/>
    </row>
    <row r="32213" spans="20:21" ht="15" customHeight="1" x14ac:dyDescent="0.25">
      <c r="T32213" s="135"/>
      <c r="U32213" s="135"/>
    </row>
    <row r="32214" spans="20:21" ht="15" customHeight="1" x14ac:dyDescent="0.25">
      <c r="T32214" s="135"/>
      <c r="U32214" s="135"/>
    </row>
    <row r="32215" spans="20:21" ht="15" customHeight="1" x14ac:dyDescent="0.25">
      <c r="T32215" s="135"/>
      <c r="U32215" s="135"/>
    </row>
    <row r="32216" spans="20:21" ht="15" customHeight="1" x14ac:dyDescent="0.25">
      <c r="T32216" s="135"/>
      <c r="U32216" s="135"/>
    </row>
    <row r="32217" spans="20:21" ht="15" customHeight="1" x14ac:dyDescent="0.25">
      <c r="T32217" s="135"/>
      <c r="U32217" s="135"/>
    </row>
    <row r="32218" spans="20:21" ht="15" customHeight="1" x14ac:dyDescent="0.25">
      <c r="T32218" s="135"/>
      <c r="U32218" s="135"/>
    </row>
    <row r="32219" spans="20:21" ht="15" customHeight="1" x14ac:dyDescent="0.25">
      <c r="T32219" s="135"/>
      <c r="U32219" s="135"/>
    </row>
    <row r="32220" spans="20:21" ht="15" customHeight="1" x14ac:dyDescent="0.25">
      <c r="T32220" s="135"/>
      <c r="U32220" s="135"/>
    </row>
    <row r="32221" spans="20:21" ht="15" customHeight="1" x14ac:dyDescent="0.25">
      <c r="T32221" s="135"/>
      <c r="U32221" s="135"/>
    </row>
    <row r="32222" spans="20:21" ht="15" customHeight="1" x14ac:dyDescent="0.25">
      <c r="T32222" s="135"/>
      <c r="U32222" s="135"/>
    </row>
    <row r="32223" spans="20:21" ht="15" customHeight="1" x14ac:dyDescent="0.25">
      <c r="T32223" s="135"/>
      <c r="U32223" s="135"/>
    </row>
    <row r="32224" spans="20:21" ht="15" customHeight="1" x14ac:dyDescent="0.25">
      <c r="T32224" s="135"/>
      <c r="U32224" s="135"/>
    </row>
    <row r="32225" spans="20:21" ht="15" customHeight="1" x14ac:dyDescent="0.25">
      <c r="T32225" s="135"/>
      <c r="U32225" s="135"/>
    </row>
    <row r="32226" spans="20:21" ht="15" customHeight="1" x14ac:dyDescent="0.25">
      <c r="T32226" s="135"/>
      <c r="U32226" s="135"/>
    </row>
    <row r="32227" spans="20:21" ht="15" customHeight="1" x14ac:dyDescent="0.25">
      <c r="T32227" s="135"/>
      <c r="U32227" s="135"/>
    </row>
    <row r="32228" spans="20:21" ht="15" customHeight="1" x14ac:dyDescent="0.25">
      <c r="T32228" s="135"/>
      <c r="U32228" s="135"/>
    </row>
    <row r="32229" spans="20:21" ht="15" customHeight="1" x14ac:dyDescent="0.25">
      <c r="T32229" s="135"/>
      <c r="U32229" s="135"/>
    </row>
    <row r="32230" spans="20:21" ht="15" customHeight="1" x14ac:dyDescent="0.25">
      <c r="T32230" s="135"/>
      <c r="U32230" s="135"/>
    </row>
    <row r="32231" spans="20:21" ht="15" customHeight="1" x14ac:dyDescent="0.25">
      <c r="T32231" s="135"/>
      <c r="U32231" s="135"/>
    </row>
    <row r="32232" spans="20:21" ht="15" customHeight="1" x14ac:dyDescent="0.25">
      <c r="T32232" s="135"/>
      <c r="U32232" s="135"/>
    </row>
    <row r="32233" spans="20:21" ht="15" customHeight="1" x14ac:dyDescent="0.25">
      <c r="T32233" s="135"/>
      <c r="U32233" s="135"/>
    </row>
    <row r="32234" spans="20:21" ht="15" customHeight="1" x14ac:dyDescent="0.25">
      <c r="T32234" s="135"/>
      <c r="U32234" s="135"/>
    </row>
    <row r="32235" spans="20:21" ht="15" customHeight="1" x14ac:dyDescent="0.25">
      <c r="T32235" s="135"/>
      <c r="U32235" s="135"/>
    </row>
    <row r="32236" spans="20:21" ht="15" customHeight="1" x14ac:dyDescent="0.25">
      <c r="T32236" s="135"/>
      <c r="U32236" s="135"/>
    </row>
    <row r="32237" spans="20:21" ht="15" customHeight="1" x14ac:dyDescent="0.25">
      <c r="T32237" s="135"/>
      <c r="U32237" s="135"/>
    </row>
    <row r="32238" spans="20:21" ht="15" customHeight="1" x14ac:dyDescent="0.25">
      <c r="T32238" s="135"/>
      <c r="U32238" s="135"/>
    </row>
    <row r="32239" spans="20:21" ht="15" customHeight="1" x14ac:dyDescent="0.25">
      <c r="T32239" s="135"/>
      <c r="U32239" s="135"/>
    </row>
    <row r="32240" spans="20:21" ht="15" customHeight="1" x14ac:dyDescent="0.25">
      <c r="T32240" s="135"/>
      <c r="U32240" s="135"/>
    </row>
    <row r="32241" spans="20:21" ht="15" customHeight="1" x14ac:dyDescent="0.25">
      <c r="T32241" s="135"/>
      <c r="U32241" s="135"/>
    </row>
    <row r="32242" spans="20:21" ht="15" customHeight="1" x14ac:dyDescent="0.25">
      <c r="T32242" s="135"/>
      <c r="U32242" s="135"/>
    </row>
    <row r="32243" spans="20:21" ht="15" customHeight="1" x14ac:dyDescent="0.25">
      <c r="T32243" s="135"/>
      <c r="U32243" s="135"/>
    </row>
    <row r="32244" spans="20:21" ht="15" customHeight="1" x14ac:dyDescent="0.25">
      <c r="T32244" s="135"/>
      <c r="U32244" s="135"/>
    </row>
    <row r="32245" spans="20:21" ht="15" customHeight="1" x14ac:dyDescent="0.25">
      <c r="T32245" s="135"/>
      <c r="U32245" s="135"/>
    </row>
    <row r="32246" spans="20:21" ht="15" customHeight="1" x14ac:dyDescent="0.25">
      <c r="T32246" s="135"/>
      <c r="U32246" s="135"/>
    </row>
    <row r="32247" spans="20:21" ht="15" customHeight="1" x14ac:dyDescent="0.25">
      <c r="T32247" s="135"/>
      <c r="U32247" s="135"/>
    </row>
    <row r="32248" spans="20:21" ht="15" customHeight="1" x14ac:dyDescent="0.25">
      <c r="T32248" s="135"/>
      <c r="U32248" s="135"/>
    </row>
    <row r="32249" spans="20:21" ht="15" customHeight="1" x14ac:dyDescent="0.25">
      <c r="T32249" s="135"/>
      <c r="U32249" s="135"/>
    </row>
    <row r="32250" spans="20:21" ht="15" customHeight="1" x14ac:dyDescent="0.25">
      <c r="T32250" s="135"/>
      <c r="U32250" s="135"/>
    </row>
    <row r="32251" spans="20:21" ht="15" customHeight="1" x14ac:dyDescent="0.25">
      <c r="T32251" s="135"/>
      <c r="U32251" s="135"/>
    </row>
    <row r="32252" spans="20:21" ht="15" customHeight="1" x14ac:dyDescent="0.25">
      <c r="T32252" s="135"/>
      <c r="U32252" s="135"/>
    </row>
    <row r="32253" spans="20:21" ht="15" customHeight="1" x14ac:dyDescent="0.25">
      <c r="T32253" s="135"/>
      <c r="U32253" s="135"/>
    </row>
    <row r="32254" spans="20:21" ht="15" customHeight="1" x14ac:dyDescent="0.25">
      <c r="T32254" s="135"/>
      <c r="U32254" s="135"/>
    </row>
    <row r="32255" spans="20:21" ht="15" customHeight="1" x14ac:dyDescent="0.25">
      <c r="T32255" s="135"/>
      <c r="U32255" s="135"/>
    </row>
    <row r="32256" spans="20:21" ht="15" customHeight="1" x14ac:dyDescent="0.25">
      <c r="T32256" s="135"/>
      <c r="U32256" s="135"/>
    </row>
    <row r="32257" spans="20:21" ht="15" customHeight="1" x14ac:dyDescent="0.25">
      <c r="T32257" s="135"/>
      <c r="U32257" s="135"/>
    </row>
    <row r="32258" spans="20:21" ht="15" customHeight="1" x14ac:dyDescent="0.25">
      <c r="T32258" s="135"/>
      <c r="U32258" s="135"/>
    </row>
    <row r="32259" spans="20:21" ht="15" customHeight="1" x14ac:dyDescent="0.25">
      <c r="T32259" s="135"/>
      <c r="U32259" s="135"/>
    </row>
    <row r="32260" spans="20:21" ht="15" customHeight="1" x14ac:dyDescent="0.25">
      <c r="T32260" s="135"/>
      <c r="U32260" s="135"/>
    </row>
    <row r="32261" spans="20:21" ht="15" customHeight="1" x14ac:dyDescent="0.25">
      <c r="T32261" s="135"/>
      <c r="U32261" s="135"/>
    </row>
    <row r="32262" spans="20:21" ht="15" customHeight="1" x14ac:dyDescent="0.25">
      <c r="T32262" s="135"/>
      <c r="U32262" s="135"/>
    </row>
    <row r="32263" spans="20:21" ht="15" customHeight="1" x14ac:dyDescent="0.25">
      <c r="T32263" s="135"/>
      <c r="U32263" s="135"/>
    </row>
    <row r="32264" spans="20:21" ht="15" customHeight="1" x14ac:dyDescent="0.25">
      <c r="T32264" s="135"/>
      <c r="U32264" s="135"/>
    </row>
    <row r="32265" spans="20:21" ht="15" customHeight="1" x14ac:dyDescent="0.25">
      <c r="T32265" s="135"/>
      <c r="U32265" s="135"/>
    </row>
    <row r="32266" spans="20:21" ht="15" customHeight="1" x14ac:dyDescent="0.25">
      <c r="T32266" s="135"/>
      <c r="U32266" s="135"/>
    </row>
    <row r="32267" spans="20:21" ht="15" customHeight="1" x14ac:dyDescent="0.25">
      <c r="T32267" s="135"/>
      <c r="U32267" s="135"/>
    </row>
    <row r="32268" spans="20:21" ht="15" customHeight="1" x14ac:dyDescent="0.25">
      <c r="T32268" s="135"/>
      <c r="U32268" s="135"/>
    </row>
    <row r="32269" spans="20:21" ht="15" customHeight="1" x14ac:dyDescent="0.25">
      <c r="T32269" s="135"/>
      <c r="U32269" s="135"/>
    </row>
    <row r="32270" spans="20:21" ht="15" customHeight="1" x14ac:dyDescent="0.25">
      <c r="T32270" s="135"/>
      <c r="U32270" s="135"/>
    </row>
    <row r="32271" spans="20:21" ht="15" customHeight="1" x14ac:dyDescent="0.25">
      <c r="T32271" s="135"/>
      <c r="U32271" s="135"/>
    </row>
    <row r="32272" spans="20:21" ht="15" customHeight="1" x14ac:dyDescent="0.25">
      <c r="T32272" s="135"/>
      <c r="U32272" s="135"/>
    </row>
    <row r="32273" spans="20:21" ht="15" customHeight="1" x14ac:dyDescent="0.25">
      <c r="T32273" s="135"/>
      <c r="U32273" s="135"/>
    </row>
    <row r="32274" spans="20:21" ht="15" customHeight="1" x14ac:dyDescent="0.25">
      <c r="T32274" s="135"/>
      <c r="U32274" s="135"/>
    </row>
    <row r="32275" spans="20:21" ht="15" customHeight="1" x14ac:dyDescent="0.25">
      <c r="T32275" s="135"/>
      <c r="U32275" s="135"/>
    </row>
    <row r="32276" spans="20:21" ht="15" customHeight="1" x14ac:dyDescent="0.25">
      <c r="T32276" s="135"/>
      <c r="U32276" s="135"/>
    </row>
    <row r="32277" spans="20:21" ht="15" customHeight="1" x14ac:dyDescent="0.25">
      <c r="T32277" s="135"/>
      <c r="U32277" s="135"/>
    </row>
    <row r="32278" spans="20:21" ht="15" customHeight="1" x14ac:dyDescent="0.25">
      <c r="T32278" s="135"/>
      <c r="U32278" s="135"/>
    </row>
    <row r="32279" spans="20:21" ht="15" customHeight="1" x14ac:dyDescent="0.25">
      <c r="T32279" s="135"/>
      <c r="U32279" s="135"/>
    </row>
    <row r="32280" spans="20:21" ht="15" customHeight="1" x14ac:dyDescent="0.25">
      <c r="T32280" s="135"/>
      <c r="U32280" s="135"/>
    </row>
    <row r="32281" spans="20:21" ht="15" customHeight="1" x14ac:dyDescent="0.25">
      <c r="T32281" s="135"/>
      <c r="U32281" s="135"/>
    </row>
    <row r="32282" spans="20:21" ht="15" customHeight="1" x14ac:dyDescent="0.25">
      <c r="T32282" s="135"/>
      <c r="U32282" s="135"/>
    </row>
    <row r="32283" spans="20:21" ht="15" customHeight="1" x14ac:dyDescent="0.25">
      <c r="T32283" s="135"/>
      <c r="U32283" s="135"/>
    </row>
    <row r="32284" spans="20:21" ht="15" customHeight="1" x14ac:dyDescent="0.25">
      <c r="T32284" s="135"/>
      <c r="U32284" s="135"/>
    </row>
    <row r="32285" spans="20:21" ht="15" customHeight="1" x14ac:dyDescent="0.25">
      <c r="T32285" s="135"/>
      <c r="U32285" s="135"/>
    </row>
    <row r="32286" spans="20:21" ht="15" customHeight="1" x14ac:dyDescent="0.25">
      <c r="T32286" s="135"/>
      <c r="U32286" s="135"/>
    </row>
    <row r="32287" spans="20:21" ht="15" customHeight="1" x14ac:dyDescent="0.25">
      <c r="T32287" s="135"/>
      <c r="U32287" s="135"/>
    </row>
    <row r="32288" spans="20:21" ht="15" customHeight="1" x14ac:dyDescent="0.25">
      <c r="T32288" s="135"/>
      <c r="U32288" s="135"/>
    </row>
    <row r="32289" spans="20:21" ht="15" customHeight="1" x14ac:dyDescent="0.25">
      <c r="T32289" s="135"/>
      <c r="U32289" s="135"/>
    </row>
    <row r="32290" spans="20:21" ht="15" customHeight="1" x14ac:dyDescent="0.25">
      <c r="T32290" s="135"/>
      <c r="U32290" s="135"/>
    </row>
    <row r="32291" spans="20:21" ht="15" customHeight="1" x14ac:dyDescent="0.25">
      <c r="T32291" s="135"/>
      <c r="U32291" s="135"/>
    </row>
    <row r="32292" spans="20:21" ht="15" customHeight="1" x14ac:dyDescent="0.25">
      <c r="T32292" s="135"/>
      <c r="U32292" s="135"/>
    </row>
    <row r="32293" spans="20:21" ht="15" customHeight="1" x14ac:dyDescent="0.25">
      <c r="T32293" s="135"/>
      <c r="U32293" s="135"/>
    </row>
    <row r="32294" spans="20:21" ht="15" customHeight="1" x14ac:dyDescent="0.25">
      <c r="T32294" s="135"/>
      <c r="U32294" s="135"/>
    </row>
    <row r="32295" spans="20:21" ht="15" customHeight="1" x14ac:dyDescent="0.25">
      <c r="T32295" s="135"/>
      <c r="U32295" s="135"/>
    </row>
    <row r="32296" spans="20:21" ht="15" customHeight="1" x14ac:dyDescent="0.25">
      <c r="T32296" s="135"/>
      <c r="U32296" s="135"/>
    </row>
    <row r="32297" spans="20:21" ht="15" customHeight="1" x14ac:dyDescent="0.25">
      <c r="T32297" s="135"/>
      <c r="U32297" s="135"/>
    </row>
    <row r="32298" spans="20:21" ht="15" customHeight="1" x14ac:dyDescent="0.25">
      <c r="T32298" s="135"/>
      <c r="U32298" s="135"/>
    </row>
    <row r="32299" spans="20:21" ht="15" customHeight="1" x14ac:dyDescent="0.25">
      <c r="T32299" s="135"/>
      <c r="U32299" s="135"/>
    </row>
    <row r="32300" spans="20:21" ht="15" customHeight="1" x14ac:dyDescent="0.25">
      <c r="T32300" s="135"/>
      <c r="U32300" s="135"/>
    </row>
    <row r="32301" spans="20:21" ht="15" customHeight="1" x14ac:dyDescent="0.25">
      <c r="T32301" s="135"/>
      <c r="U32301" s="135"/>
    </row>
    <row r="32302" spans="20:21" ht="15" customHeight="1" x14ac:dyDescent="0.25">
      <c r="T32302" s="135"/>
      <c r="U32302" s="135"/>
    </row>
    <row r="32303" spans="20:21" ht="15" customHeight="1" x14ac:dyDescent="0.25">
      <c r="T32303" s="135"/>
      <c r="U32303" s="135"/>
    </row>
    <row r="32304" spans="20:21" ht="15" customHeight="1" x14ac:dyDescent="0.25">
      <c r="T32304" s="135"/>
      <c r="U32304" s="135"/>
    </row>
    <row r="32305" spans="20:21" ht="15" customHeight="1" x14ac:dyDescent="0.25">
      <c r="T32305" s="135"/>
      <c r="U32305" s="135"/>
    </row>
    <row r="32306" spans="20:21" ht="15" customHeight="1" x14ac:dyDescent="0.25">
      <c r="T32306" s="135"/>
      <c r="U32306" s="135"/>
    </row>
    <row r="32307" spans="20:21" ht="15" customHeight="1" x14ac:dyDescent="0.25">
      <c r="T32307" s="135"/>
      <c r="U32307" s="135"/>
    </row>
    <row r="32308" spans="20:21" ht="15" customHeight="1" x14ac:dyDescent="0.25">
      <c r="T32308" s="135"/>
      <c r="U32308" s="135"/>
    </row>
    <row r="32309" spans="20:21" ht="15" customHeight="1" x14ac:dyDescent="0.25">
      <c r="T32309" s="135"/>
      <c r="U32309" s="135"/>
    </row>
    <row r="32310" spans="20:21" ht="15" customHeight="1" x14ac:dyDescent="0.25">
      <c r="T32310" s="135"/>
      <c r="U32310" s="135"/>
    </row>
    <row r="32311" spans="20:21" ht="15" customHeight="1" x14ac:dyDescent="0.25">
      <c r="T32311" s="135"/>
      <c r="U32311" s="135"/>
    </row>
    <row r="32312" spans="20:21" ht="15" customHeight="1" x14ac:dyDescent="0.25">
      <c r="T32312" s="135"/>
      <c r="U32312" s="135"/>
    </row>
    <row r="32313" spans="20:21" ht="15" customHeight="1" x14ac:dyDescent="0.25">
      <c r="T32313" s="135"/>
      <c r="U32313" s="135"/>
    </row>
    <row r="32314" spans="20:21" ht="15" customHeight="1" x14ac:dyDescent="0.25">
      <c r="T32314" s="135"/>
      <c r="U32314" s="135"/>
    </row>
    <row r="32315" spans="20:21" ht="15" customHeight="1" x14ac:dyDescent="0.25">
      <c r="T32315" s="135"/>
      <c r="U32315" s="135"/>
    </row>
    <row r="32316" spans="20:21" ht="15" customHeight="1" x14ac:dyDescent="0.25">
      <c r="T32316" s="135"/>
      <c r="U32316" s="135"/>
    </row>
    <row r="32317" spans="20:21" ht="15" customHeight="1" x14ac:dyDescent="0.25">
      <c r="T32317" s="135"/>
      <c r="U32317" s="135"/>
    </row>
    <row r="32318" spans="20:21" ht="15" customHeight="1" x14ac:dyDescent="0.25">
      <c r="T32318" s="135"/>
      <c r="U32318" s="135"/>
    </row>
    <row r="32319" spans="20:21" ht="15" customHeight="1" x14ac:dyDescent="0.25">
      <c r="T32319" s="135"/>
      <c r="U32319" s="135"/>
    </row>
    <row r="32320" spans="20:21" ht="15" customHeight="1" x14ac:dyDescent="0.25">
      <c r="T32320" s="135"/>
      <c r="U32320" s="135"/>
    </row>
    <row r="32321" spans="20:21" ht="15" customHeight="1" x14ac:dyDescent="0.25">
      <c r="T32321" s="135"/>
      <c r="U32321" s="135"/>
    </row>
    <row r="32322" spans="20:21" ht="15" customHeight="1" x14ac:dyDescent="0.25">
      <c r="T32322" s="135"/>
      <c r="U32322" s="135"/>
    </row>
    <row r="32323" spans="20:21" ht="15" customHeight="1" x14ac:dyDescent="0.25">
      <c r="T32323" s="135"/>
      <c r="U32323" s="135"/>
    </row>
    <row r="32324" spans="20:21" ht="15" customHeight="1" x14ac:dyDescent="0.25">
      <c r="T32324" s="135"/>
      <c r="U32324" s="135"/>
    </row>
    <row r="32325" spans="20:21" ht="15" customHeight="1" x14ac:dyDescent="0.25">
      <c r="T32325" s="135"/>
      <c r="U32325" s="135"/>
    </row>
    <row r="32326" spans="20:21" ht="15" customHeight="1" x14ac:dyDescent="0.25">
      <c r="T32326" s="135"/>
      <c r="U32326" s="135"/>
    </row>
    <row r="32327" spans="20:21" ht="15" customHeight="1" x14ac:dyDescent="0.25">
      <c r="T32327" s="135"/>
      <c r="U32327" s="135"/>
    </row>
    <row r="32328" spans="20:21" ht="15" customHeight="1" x14ac:dyDescent="0.25">
      <c r="T32328" s="135"/>
      <c r="U32328" s="135"/>
    </row>
    <row r="32329" spans="20:21" ht="15" customHeight="1" x14ac:dyDescent="0.25">
      <c r="T32329" s="135"/>
      <c r="U32329" s="135"/>
    </row>
    <row r="32330" spans="20:21" ht="15" customHeight="1" x14ac:dyDescent="0.25">
      <c r="T32330" s="135"/>
      <c r="U32330" s="135"/>
    </row>
    <row r="32331" spans="20:21" ht="15" customHeight="1" x14ac:dyDescent="0.25">
      <c r="T32331" s="135"/>
      <c r="U32331" s="135"/>
    </row>
    <row r="32332" spans="20:21" ht="15" customHeight="1" x14ac:dyDescent="0.25">
      <c r="T32332" s="135"/>
      <c r="U32332" s="135"/>
    </row>
    <row r="32333" spans="20:21" ht="15" customHeight="1" x14ac:dyDescent="0.25">
      <c r="T32333" s="135"/>
      <c r="U32333" s="135"/>
    </row>
    <row r="32334" spans="20:21" ht="15" customHeight="1" x14ac:dyDescent="0.25">
      <c r="T32334" s="135"/>
      <c r="U32334" s="135"/>
    </row>
    <row r="32335" spans="20:21" ht="15" customHeight="1" x14ac:dyDescent="0.25">
      <c r="T32335" s="135"/>
      <c r="U32335" s="135"/>
    </row>
    <row r="32336" spans="20:21" ht="15" customHeight="1" x14ac:dyDescent="0.25">
      <c r="T32336" s="135"/>
      <c r="U32336" s="135"/>
    </row>
    <row r="32337" spans="20:21" ht="15" customHeight="1" x14ac:dyDescent="0.25">
      <c r="T32337" s="135"/>
      <c r="U32337" s="135"/>
    </row>
    <row r="32338" spans="20:21" ht="15" customHeight="1" x14ac:dyDescent="0.25">
      <c r="T32338" s="135"/>
      <c r="U32338" s="135"/>
    </row>
    <row r="32339" spans="20:21" ht="15" customHeight="1" x14ac:dyDescent="0.25">
      <c r="T32339" s="135"/>
      <c r="U32339" s="135"/>
    </row>
    <row r="32340" spans="20:21" ht="15" customHeight="1" x14ac:dyDescent="0.25">
      <c r="T32340" s="135"/>
      <c r="U32340" s="135"/>
    </row>
    <row r="32341" spans="20:21" ht="15" customHeight="1" x14ac:dyDescent="0.25">
      <c r="T32341" s="135"/>
      <c r="U32341" s="135"/>
    </row>
    <row r="32342" spans="20:21" ht="15" customHeight="1" x14ac:dyDescent="0.25">
      <c r="T32342" s="135"/>
      <c r="U32342" s="135"/>
    </row>
    <row r="32343" spans="20:21" ht="15" customHeight="1" x14ac:dyDescent="0.25">
      <c r="T32343" s="135"/>
      <c r="U32343" s="135"/>
    </row>
    <row r="32344" spans="20:21" ht="15" customHeight="1" x14ac:dyDescent="0.25">
      <c r="T32344" s="135"/>
      <c r="U32344" s="135"/>
    </row>
    <row r="32345" spans="20:21" ht="15" customHeight="1" x14ac:dyDescent="0.25">
      <c r="T32345" s="135"/>
      <c r="U32345" s="135"/>
    </row>
    <row r="32346" spans="20:21" ht="15" customHeight="1" x14ac:dyDescent="0.25">
      <c r="T32346" s="135"/>
      <c r="U32346" s="135"/>
    </row>
    <row r="32347" spans="20:21" ht="15" customHeight="1" x14ac:dyDescent="0.25">
      <c r="T32347" s="135"/>
      <c r="U32347" s="135"/>
    </row>
    <row r="32348" spans="20:21" ht="15" customHeight="1" x14ac:dyDescent="0.25">
      <c r="T32348" s="135"/>
      <c r="U32348" s="135"/>
    </row>
    <row r="32349" spans="20:21" ht="15" customHeight="1" x14ac:dyDescent="0.25">
      <c r="T32349" s="135"/>
      <c r="U32349" s="135"/>
    </row>
    <row r="32350" spans="20:21" ht="15" customHeight="1" x14ac:dyDescent="0.25">
      <c r="T32350" s="135"/>
      <c r="U32350" s="135"/>
    </row>
    <row r="32351" spans="20:21" ht="15" customHeight="1" x14ac:dyDescent="0.25">
      <c r="T32351" s="135"/>
      <c r="U32351" s="135"/>
    </row>
    <row r="32352" spans="20:21" ht="15" customHeight="1" x14ac:dyDescent="0.25">
      <c r="T32352" s="135"/>
      <c r="U32352" s="135"/>
    </row>
    <row r="32353" spans="20:21" ht="15" customHeight="1" x14ac:dyDescent="0.25">
      <c r="T32353" s="135"/>
      <c r="U32353" s="135"/>
    </row>
    <row r="32354" spans="20:21" ht="15" customHeight="1" x14ac:dyDescent="0.25">
      <c r="T32354" s="135"/>
      <c r="U32354" s="135"/>
    </row>
    <row r="32355" spans="20:21" ht="15" customHeight="1" x14ac:dyDescent="0.25">
      <c r="T32355" s="135"/>
      <c r="U32355" s="135"/>
    </row>
    <row r="32356" spans="20:21" ht="15" customHeight="1" x14ac:dyDescent="0.25">
      <c r="T32356" s="135"/>
      <c r="U32356" s="135"/>
    </row>
    <row r="32357" spans="20:21" ht="15" customHeight="1" x14ac:dyDescent="0.25">
      <c r="T32357" s="135"/>
      <c r="U32357" s="135"/>
    </row>
    <row r="32358" spans="20:21" ht="15" customHeight="1" x14ac:dyDescent="0.25">
      <c r="T32358" s="135"/>
      <c r="U32358" s="135"/>
    </row>
    <row r="32359" spans="20:21" ht="15" customHeight="1" x14ac:dyDescent="0.25">
      <c r="T32359" s="135"/>
      <c r="U32359" s="135"/>
    </row>
    <row r="32360" spans="20:21" ht="15" customHeight="1" x14ac:dyDescent="0.25">
      <c r="T32360" s="135"/>
      <c r="U32360" s="135"/>
    </row>
    <row r="32361" spans="20:21" ht="15" customHeight="1" x14ac:dyDescent="0.25">
      <c r="T32361" s="135"/>
      <c r="U32361" s="135"/>
    </row>
    <row r="32362" spans="20:21" ht="15" customHeight="1" x14ac:dyDescent="0.25">
      <c r="T32362" s="135"/>
      <c r="U32362" s="135"/>
    </row>
    <row r="32363" spans="20:21" ht="15" customHeight="1" x14ac:dyDescent="0.25">
      <c r="T32363" s="135"/>
      <c r="U32363" s="135"/>
    </row>
    <row r="32364" spans="20:21" ht="15" customHeight="1" x14ac:dyDescent="0.25">
      <c r="T32364" s="135"/>
      <c r="U32364" s="135"/>
    </row>
    <row r="32365" spans="20:21" ht="15" customHeight="1" x14ac:dyDescent="0.25">
      <c r="T32365" s="135"/>
      <c r="U32365" s="135"/>
    </row>
    <row r="32366" spans="20:21" ht="15" customHeight="1" x14ac:dyDescent="0.25">
      <c r="T32366" s="135"/>
      <c r="U32366" s="135"/>
    </row>
    <row r="32367" spans="20:21" ht="15" customHeight="1" x14ac:dyDescent="0.25">
      <c r="T32367" s="135"/>
      <c r="U32367" s="135"/>
    </row>
    <row r="32368" spans="20:21" ht="15" customHeight="1" x14ac:dyDescent="0.25">
      <c r="T32368" s="135"/>
      <c r="U32368" s="135"/>
    </row>
    <row r="32369" spans="20:21" ht="15" customHeight="1" x14ac:dyDescent="0.25">
      <c r="T32369" s="135"/>
      <c r="U32369" s="135"/>
    </row>
    <row r="32370" spans="20:21" ht="15" customHeight="1" x14ac:dyDescent="0.25">
      <c r="T32370" s="135"/>
      <c r="U32370" s="135"/>
    </row>
    <row r="32371" spans="20:21" ht="15" customHeight="1" x14ac:dyDescent="0.25">
      <c r="T32371" s="135"/>
      <c r="U32371" s="135"/>
    </row>
    <row r="32372" spans="20:21" ht="15" customHeight="1" x14ac:dyDescent="0.25">
      <c r="T32372" s="135"/>
      <c r="U32372" s="135"/>
    </row>
    <row r="32373" spans="20:21" ht="15" customHeight="1" x14ac:dyDescent="0.25">
      <c r="T32373" s="135"/>
      <c r="U32373" s="135"/>
    </row>
    <row r="32374" spans="20:21" ht="15" customHeight="1" x14ac:dyDescent="0.25">
      <c r="T32374" s="135"/>
      <c r="U32374" s="135"/>
    </row>
    <row r="32375" spans="20:21" ht="15" customHeight="1" x14ac:dyDescent="0.25">
      <c r="T32375" s="135"/>
      <c r="U32375" s="135"/>
    </row>
    <row r="32376" spans="20:21" ht="15" customHeight="1" x14ac:dyDescent="0.25">
      <c r="T32376" s="135"/>
      <c r="U32376" s="135"/>
    </row>
    <row r="32377" spans="20:21" ht="15" customHeight="1" x14ac:dyDescent="0.25">
      <c r="T32377" s="135"/>
      <c r="U32377" s="135"/>
    </row>
    <row r="32378" spans="20:21" ht="15" customHeight="1" x14ac:dyDescent="0.25">
      <c r="T32378" s="135"/>
      <c r="U32378" s="135"/>
    </row>
    <row r="32379" spans="20:21" ht="15" customHeight="1" x14ac:dyDescent="0.25">
      <c r="T32379" s="135"/>
      <c r="U32379" s="135"/>
    </row>
    <row r="32380" spans="20:21" ht="15" customHeight="1" x14ac:dyDescent="0.25">
      <c r="T32380" s="135"/>
      <c r="U32380" s="135"/>
    </row>
    <row r="32381" spans="20:21" ht="15" customHeight="1" x14ac:dyDescent="0.25">
      <c r="T32381" s="135"/>
      <c r="U32381" s="135"/>
    </row>
    <row r="32382" spans="20:21" ht="15" customHeight="1" x14ac:dyDescent="0.25">
      <c r="T32382" s="135"/>
      <c r="U32382" s="135"/>
    </row>
    <row r="32383" spans="20:21" ht="15" customHeight="1" x14ac:dyDescent="0.25">
      <c r="T32383" s="135"/>
      <c r="U32383" s="135"/>
    </row>
    <row r="32384" spans="20:21" ht="15" customHeight="1" x14ac:dyDescent="0.25">
      <c r="T32384" s="135"/>
      <c r="U32384" s="135"/>
    </row>
    <row r="32385" spans="20:21" ht="15" customHeight="1" x14ac:dyDescent="0.25">
      <c r="T32385" s="135"/>
      <c r="U32385" s="135"/>
    </row>
    <row r="32386" spans="20:21" ht="15" customHeight="1" x14ac:dyDescent="0.25">
      <c r="T32386" s="135"/>
      <c r="U32386" s="135"/>
    </row>
    <row r="32387" spans="20:21" ht="15" customHeight="1" x14ac:dyDescent="0.25">
      <c r="T32387" s="135"/>
      <c r="U32387" s="135"/>
    </row>
    <row r="32388" spans="20:21" ht="15" customHeight="1" x14ac:dyDescent="0.25">
      <c r="T32388" s="135"/>
      <c r="U32388" s="135"/>
    </row>
    <row r="32389" spans="20:21" ht="15" customHeight="1" x14ac:dyDescent="0.25">
      <c r="T32389" s="135"/>
      <c r="U32389" s="135"/>
    </row>
    <row r="32390" spans="20:21" ht="15" customHeight="1" x14ac:dyDescent="0.25">
      <c r="T32390" s="135"/>
      <c r="U32390" s="135"/>
    </row>
    <row r="32391" spans="20:21" ht="15" customHeight="1" x14ac:dyDescent="0.25">
      <c r="T32391" s="135"/>
      <c r="U32391" s="135"/>
    </row>
    <row r="32392" spans="20:21" ht="15" customHeight="1" x14ac:dyDescent="0.25">
      <c r="T32392" s="135"/>
      <c r="U32392" s="135"/>
    </row>
    <row r="32393" spans="20:21" ht="15" customHeight="1" x14ac:dyDescent="0.25">
      <c r="T32393" s="135"/>
      <c r="U32393" s="135"/>
    </row>
    <row r="32394" spans="20:21" ht="15" customHeight="1" x14ac:dyDescent="0.25">
      <c r="T32394" s="135"/>
      <c r="U32394" s="135"/>
    </row>
    <row r="32395" spans="20:21" ht="15" customHeight="1" x14ac:dyDescent="0.25">
      <c r="T32395" s="135"/>
      <c r="U32395" s="135"/>
    </row>
    <row r="32396" spans="20:21" ht="15" customHeight="1" x14ac:dyDescent="0.25">
      <c r="T32396" s="135"/>
      <c r="U32396" s="135"/>
    </row>
    <row r="32397" spans="20:21" ht="15" customHeight="1" x14ac:dyDescent="0.25">
      <c r="T32397" s="135"/>
      <c r="U32397" s="135"/>
    </row>
    <row r="32398" spans="20:21" ht="15" customHeight="1" x14ac:dyDescent="0.25">
      <c r="T32398" s="135"/>
      <c r="U32398" s="135"/>
    </row>
    <row r="32399" spans="20:21" ht="15" customHeight="1" x14ac:dyDescent="0.25">
      <c r="T32399" s="135"/>
      <c r="U32399" s="135"/>
    </row>
    <row r="32400" spans="20:21" ht="15" customHeight="1" x14ac:dyDescent="0.25">
      <c r="T32400" s="135"/>
      <c r="U32400" s="135"/>
    </row>
    <row r="32401" spans="20:21" ht="15" customHeight="1" x14ac:dyDescent="0.25">
      <c r="T32401" s="135"/>
      <c r="U32401" s="135"/>
    </row>
    <row r="32402" spans="20:21" ht="15" customHeight="1" x14ac:dyDescent="0.25">
      <c r="T32402" s="135"/>
      <c r="U32402" s="135"/>
    </row>
    <row r="32403" spans="20:21" ht="15" customHeight="1" x14ac:dyDescent="0.25">
      <c r="T32403" s="135"/>
      <c r="U32403" s="135"/>
    </row>
    <row r="32404" spans="20:21" ht="15" customHeight="1" x14ac:dyDescent="0.25">
      <c r="T32404" s="135"/>
      <c r="U32404" s="135"/>
    </row>
    <row r="32405" spans="20:21" ht="15" customHeight="1" x14ac:dyDescent="0.25">
      <c r="T32405" s="135"/>
      <c r="U32405" s="135"/>
    </row>
    <row r="32406" spans="20:21" ht="15" customHeight="1" x14ac:dyDescent="0.25">
      <c r="T32406" s="135"/>
      <c r="U32406" s="135"/>
    </row>
    <row r="32407" spans="20:21" ht="15" customHeight="1" x14ac:dyDescent="0.25">
      <c r="T32407" s="135"/>
      <c r="U32407" s="135"/>
    </row>
    <row r="32408" spans="20:21" ht="15" customHeight="1" x14ac:dyDescent="0.25">
      <c r="T32408" s="135"/>
      <c r="U32408" s="135"/>
    </row>
    <row r="32409" spans="20:21" ht="15" customHeight="1" x14ac:dyDescent="0.25">
      <c r="T32409" s="135"/>
      <c r="U32409" s="135"/>
    </row>
    <row r="32410" spans="20:21" ht="15" customHeight="1" x14ac:dyDescent="0.25">
      <c r="T32410" s="135"/>
      <c r="U32410" s="135"/>
    </row>
    <row r="32411" spans="20:21" ht="15" customHeight="1" x14ac:dyDescent="0.25">
      <c r="T32411" s="135"/>
      <c r="U32411" s="135"/>
    </row>
    <row r="32412" spans="20:21" ht="15" customHeight="1" x14ac:dyDescent="0.25">
      <c r="T32412" s="135"/>
      <c r="U32412" s="135"/>
    </row>
    <row r="32413" spans="20:21" ht="15" customHeight="1" x14ac:dyDescent="0.25">
      <c r="T32413" s="135"/>
      <c r="U32413" s="135"/>
    </row>
    <row r="32414" spans="20:21" ht="15" customHeight="1" x14ac:dyDescent="0.25">
      <c r="T32414" s="135"/>
      <c r="U32414" s="135"/>
    </row>
    <row r="32415" spans="20:21" ht="15" customHeight="1" x14ac:dyDescent="0.25">
      <c r="T32415" s="135"/>
      <c r="U32415" s="135"/>
    </row>
    <row r="32416" spans="20:21" ht="15" customHeight="1" x14ac:dyDescent="0.25">
      <c r="T32416" s="135"/>
      <c r="U32416" s="135"/>
    </row>
    <row r="32417" spans="20:21" ht="15" customHeight="1" x14ac:dyDescent="0.25">
      <c r="T32417" s="135"/>
      <c r="U32417" s="135"/>
    </row>
    <row r="32418" spans="20:21" ht="15" customHeight="1" x14ac:dyDescent="0.25">
      <c r="T32418" s="135"/>
      <c r="U32418" s="135"/>
    </row>
    <row r="32419" spans="20:21" ht="15" customHeight="1" x14ac:dyDescent="0.25">
      <c r="T32419" s="135"/>
      <c r="U32419" s="135"/>
    </row>
    <row r="32420" spans="20:21" ht="15" customHeight="1" x14ac:dyDescent="0.25">
      <c r="T32420" s="135"/>
      <c r="U32420" s="135"/>
    </row>
    <row r="32421" spans="20:21" ht="15" customHeight="1" x14ac:dyDescent="0.25">
      <c r="T32421" s="135"/>
      <c r="U32421" s="135"/>
    </row>
    <row r="32422" spans="20:21" ht="15" customHeight="1" x14ac:dyDescent="0.25">
      <c r="T32422" s="135"/>
      <c r="U32422" s="135"/>
    </row>
    <row r="32423" spans="20:21" ht="15" customHeight="1" x14ac:dyDescent="0.25">
      <c r="T32423" s="135"/>
      <c r="U32423" s="135"/>
    </row>
    <row r="32424" spans="20:21" ht="15" customHeight="1" x14ac:dyDescent="0.25">
      <c r="T32424" s="135"/>
      <c r="U32424" s="135"/>
    </row>
    <row r="32425" spans="20:21" ht="15" customHeight="1" x14ac:dyDescent="0.25">
      <c r="T32425" s="135"/>
      <c r="U32425" s="135"/>
    </row>
    <row r="32426" spans="20:21" ht="15" customHeight="1" x14ac:dyDescent="0.25">
      <c r="T32426" s="135"/>
      <c r="U32426" s="135"/>
    </row>
    <row r="32427" spans="20:21" ht="15" customHeight="1" x14ac:dyDescent="0.25">
      <c r="T32427" s="135"/>
      <c r="U32427" s="135"/>
    </row>
    <row r="32428" spans="20:21" ht="15" customHeight="1" x14ac:dyDescent="0.25">
      <c r="T32428" s="135"/>
      <c r="U32428" s="135"/>
    </row>
    <row r="32429" spans="20:21" ht="15" customHeight="1" x14ac:dyDescent="0.25">
      <c r="T32429" s="135"/>
      <c r="U32429" s="135"/>
    </row>
    <row r="32430" spans="20:21" ht="15" customHeight="1" x14ac:dyDescent="0.25">
      <c r="T32430" s="135"/>
      <c r="U32430" s="135"/>
    </row>
    <row r="32431" spans="20:21" ht="15" customHeight="1" x14ac:dyDescent="0.25">
      <c r="T32431" s="135"/>
      <c r="U32431" s="135"/>
    </row>
    <row r="32432" spans="20:21" ht="15" customHeight="1" x14ac:dyDescent="0.25">
      <c r="T32432" s="135"/>
      <c r="U32432" s="135"/>
    </row>
    <row r="32433" spans="20:21" ht="15" customHeight="1" x14ac:dyDescent="0.25">
      <c r="T32433" s="135"/>
      <c r="U32433" s="135"/>
    </row>
    <row r="32434" spans="20:21" ht="15" customHeight="1" x14ac:dyDescent="0.25">
      <c r="T32434" s="135"/>
      <c r="U32434" s="135"/>
    </row>
    <row r="32435" spans="20:21" ht="15" customHeight="1" x14ac:dyDescent="0.25">
      <c r="T32435" s="135"/>
      <c r="U32435" s="135"/>
    </row>
    <row r="32436" spans="20:21" ht="15" customHeight="1" x14ac:dyDescent="0.25">
      <c r="T32436" s="135"/>
      <c r="U32436" s="135"/>
    </row>
    <row r="32437" spans="20:21" ht="15" customHeight="1" x14ac:dyDescent="0.25">
      <c r="T32437" s="135"/>
      <c r="U32437" s="135"/>
    </row>
    <row r="32438" spans="20:21" ht="15" customHeight="1" x14ac:dyDescent="0.25">
      <c r="T32438" s="135"/>
      <c r="U32438" s="135"/>
    </row>
    <row r="32439" spans="20:21" ht="15" customHeight="1" x14ac:dyDescent="0.25">
      <c r="T32439" s="135"/>
      <c r="U32439" s="135"/>
    </row>
    <row r="32440" spans="20:21" ht="15" customHeight="1" x14ac:dyDescent="0.25">
      <c r="T32440" s="135"/>
      <c r="U32440" s="135"/>
    </row>
    <row r="32441" spans="20:21" ht="15" customHeight="1" x14ac:dyDescent="0.25">
      <c r="T32441" s="135"/>
      <c r="U32441" s="135"/>
    </row>
    <row r="32442" spans="20:21" ht="15" customHeight="1" x14ac:dyDescent="0.25">
      <c r="T32442" s="135"/>
      <c r="U32442" s="135"/>
    </row>
    <row r="32443" spans="20:21" ht="15" customHeight="1" x14ac:dyDescent="0.25">
      <c r="T32443" s="135"/>
      <c r="U32443" s="135"/>
    </row>
    <row r="32444" spans="20:21" ht="15" customHeight="1" x14ac:dyDescent="0.25">
      <c r="T32444" s="135"/>
      <c r="U32444" s="135"/>
    </row>
    <row r="32445" spans="20:21" ht="15" customHeight="1" x14ac:dyDescent="0.25">
      <c r="T32445" s="135"/>
      <c r="U32445" s="135"/>
    </row>
    <row r="32446" spans="20:21" ht="15" customHeight="1" x14ac:dyDescent="0.25">
      <c r="T32446" s="135"/>
      <c r="U32446" s="135"/>
    </row>
    <row r="32447" spans="20:21" ht="15" customHeight="1" x14ac:dyDescent="0.25">
      <c r="T32447" s="135"/>
      <c r="U32447" s="135"/>
    </row>
    <row r="32448" spans="20:21" ht="15" customHeight="1" x14ac:dyDescent="0.25">
      <c r="T32448" s="135"/>
      <c r="U32448" s="135"/>
    </row>
    <row r="32449" spans="20:21" ht="15" customHeight="1" x14ac:dyDescent="0.25">
      <c r="T32449" s="135"/>
      <c r="U32449" s="135"/>
    </row>
    <row r="32450" spans="20:21" ht="15" customHeight="1" x14ac:dyDescent="0.25">
      <c r="T32450" s="135"/>
      <c r="U32450" s="135"/>
    </row>
    <row r="32451" spans="20:21" ht="15" customHeight="1" x14ac:dyDescent="0.25">
      <c r="T32451" s="135"/>
      <c r="U32451" s="135"/>
    </row>
    <row r="32452" spans="20:21" ht="15" customHeight="1" x14ac:dyDescent="0.25">
      <c r="T32452" s="135"/>
      <c r="U32452" s="135"/>
    </row>
    <row r="32453" spans="20:21" ht="15" customHeight="1" x14ac:dyDescent="0.25">
      <c r="T32453" s="135"/>
      <c r="U32453" s="135"/>
    </row>
    <row r="32454" spans="20:21" ht="15" customHeight="1" x14ac:dyDescent="0.25">
      <c r="T32454" s="135"/>
      <c r="U32454" s="135"/>
    </row>
    <row r="32455" spans="20:21" ht="15" customHeight="1" x14ac:dyDescent="0.25">
      <c r="T32455" s="135"/>
      <c r="U32455" s="135"/>
    </row>
    <row r="32456" spans="20:21" ht="15" customHeight="1" x14ac:dyDescent="0.25">
      <c r="T32456" s="135"/>
      <c r="U32456" s="135"/>
    </row>
    <row r="32457" spans="20:21" ht="15" customHeight="1" x14ac:dyDescent="0.25">
      <c r="T32457" s="135"/>
      <c r="U32457" s="135"/>
    </row>
    <row r="32458" spans="20:21" ht="15" customHeight="1" x14ac:dyDescent="0.25">
      <c r="T32458" s="135"/>
      <c r="U32458" s="135"/>
    </row>
    <row r="32459" spans="20:21" ht="15" customHeight="1" x14ac:dyDescent="0.25">
      <c r="T32459" s="135"/>
      <c r="U32459" s="135"/>
    </row>
    <row r="32460" spans="20:21" ht="15" customHeight="1" x14ac:dyDescent="0.25">
      <c r="T32460" s="135"/>
      <c r="U32460" s="135"/>
    </row>
    <row r="32461" spans="20:21" ht="15" customHeight="1" x14ac:dyDescent="0.25">
      <c r="T32461" s="135"/>
      <c r="U32461" s="135"/>
    </row>
    <row r="32462" spans="20:21" ht="15" customHeight="1" x14ac:dyDescent="0.25">
      <c r="T32462" s="135"/>
      <c r="U32462" s="135"/>
    </row>
    <row r="32463" spans="20:21" ht="15" customHeight="1" x14ac:dyDescent="0.25">
      <c r="T32463" s="135"/>
      <c r="U32463" s="135"/>
    </row>
    <row r="32464" spans="20:21" ht="15" customHeight="1" x14ac:dyDescent="0.25">
      <c r="T32464" s="135"/>
      <c r="U32464" s="135"/>
    </row>
    <row r="32465" spans="20:21" ht="15" customHeight="1" x14ac:dyDescent="0.25">
      <c r="T32465" s="135"/>
      <c r="U32465" s="135"/>
    </row>
    <row r="32466" spans="20:21" ht="15" customHeight="1" x14ac:dyDescent="0.25">
      <c r="T32466" s="135"/>
      <c r="U32466" s="135"/>
    </row>
    <row r="32467" spans="20:21" ht="15" customHeight="1" x14ac:dyDescent="0.25">
      <c r="T32467" s="135"/>
      <c r="U32467" s="135"/>
    </row>
    <row r="32468" spans="20:21" ht="15" customHeight="1" x14ac:dyDescent="0.25">
      <c r="T32468" s="135"/>
      <c r="U32468" s="135"/>
    </row>
    <row r="32469" spans="20:21" ht="15" customHeight="1" x14ac:dyDescent="0.25">
      <c r="T32469" s="135"/>
      <c r="U32469" s="135"/>
    </row>
    <row r="32470" spans="20:21" ht="15" customHeight="1" x14ac:dyDescent="0.25">
      <c r="T32470" s="135"/>
      <c r="U32470" s="135"/>
    </row>
    <row r="32471" spans="20:21" ht="15" customHeight="1" x14ac:dyDescent="0.25">
      <c r="T32471" s="135"/>
      <c r="U32471" s="135"/>
    </row>
    <row r="32472" spans="20:21" ht="15" customHeight="1" x14ac:dyDescent="0.25">
      <c r="T32472" s="135"/>
      <c r="U32472" s="135"/>
    </row>
    <row r="32473" spans="20:21" ht="15" customHeight="1" x14ac:dyDescent="0.25">
      <c r="T32473" s="135"/>
      <c r="U32473" s="135"/>
    </row>
    <row r="32474" spans="20:21" ht="15" customHeight="1" x14ac:dyDescent="0.25">
      <c r="T32474" s="135"/>
      <c r="U32474" s="135"/>
    </row>
    <row r="32475" spans="20:21" ht="15" customHeight="1" x14ac:dyDescent="0.25">
      <c r="T32475" s="135"/>
      <c r="U32475" s="135"/>
    </row>
    <row r="32476" spans="20:21" ht="15" customHeight="1" x14ac:dyDescent="0.25">
      <c r="T32476" s="135"/>
      <c r="U32476" s="135"/>
    </row>
    <row r="32477" spans="20:21" ht="15" customHeight="1" x14ac:dyDescent="0.25">
      <c r="T32477" s="135"/>
      <c r="U32477" s="135"/>
    </row>
    <row r="32478" spans="20:21" ht="15" customHeight="1" x14ac:dyDescent="0.25">
      <c r="T32478" s="135"/>
      <c r="U32478" s="135"/>
    </row>
    <row r="32479" spans="20:21" ht="15" customHeight="1" x14ac:dyDescent="0.25">
      <c r="T32479" s="135"/>
      <c r="U32479" s="135"/>
    </row>
    <row r="32480" spans="20:21" ht="15" customHeight="1" x14ac:dyDescent="0.25">
      <c r="T32480" s="135"/>
      <c r="U32480" s="135"/>
    </row>
    <row r="32481" spans="20:21" ht="15" customHeight="1" x14ac:dyDescent="0.25">
      <c r="T32481" s="135"/>
      <c r="U32481" s="135"/>
    </row>
    <row r="32482" spans="20:21" ht="15" customHeight="1" x14ac:dyDescent="0.25">
      <c r="T32482" s="135"/>
      <c r="U32482" s="135"/>
    </row>
    <row r="32483" spans="20:21" ht="15" customHeight="1" x14ac:dyDescent="0.25">
      <c r="T32483" s="135"/>
      <c r="U32483" s="135"/>
    </row>
    <row r="32484" spans="20:21" ht="15" customHeight="1" x14ac:dyDescent="0.25">
      <c r="T32484" s="135"/>
      <c r="U32484" s="135"/>
    </row>
    <row r="32485" spans="20:21" ht="15" customHeight="1" x14ac:dyDescent="0.25">
      <c r="T32485" s="135"/>
      <c r="U32485" s="135"/>
    </row>
    <row r="32486" spans="20:21" ht="15" customHeight="1" x14ac:dyDescent="0.25">
      <c r="T32486" s="135"/>
      <c r="U32486" s="135"/>
    </row>
    <row r="32487" spans="20:21" ht="15" customHeight="1" x14ac:dyDescent="0.25">
      <c r="T32487" s="135"/>
      <c r="U32487" s="135"/>
    </row>
    <row r="32488" spans="20:21" ht="15" customHeight="1" x14ac:dyDescent="0.25">
      <c r="T32488" s="135"/>
      <c r="U32488" s="135"/>
    </row>
    <row r="32489" spans="20:21" ht="15" customHeight="1" x14ac:dyDescent="0.25">
      <c r="T32489" s="135"/>
      <c r="U32489" s="135"/>
    </row>
    <row r="32490" spans="20:21" ht="15" customHeight="1" x14ac:dyDescent="0.25">
      <c r="T32490" s="135"/>
      <c r="U32490" s="135"/>
    </row>
    <row r="32491" spans="20:21" ht="15" customHeight="1" x14ac:dyDescent="0.25">
      <c r="T32491" s="135"/>
      <c r="U32491" s="135"/>
    </row>
    <row r="32492" spans="20:21" ht="15" customHeight="1" x14ac:dyDescent="0.25">
      <c r="T32492" s="135"/>
      <c r="U32492" s="135"/>
    </row>
    <row r="32493" spans="20:21" ht="15" customHeight="1" x14ac:dyDescent="0.25">
      <c r="T32493" s="135"/>
      <c r="U32493" s="135"/>
    </row>
    <row r="32494" spans="20:21" ht="15" customHeight="1" x14ac:dyDescent="0.25">
      <c r="T32494" s="135"/>
      <c r="U32494" s="135"/>
    </row>
    <row r="32495" spans="20:21" ht="15" customHeight="1" x14ac:dyDescent="0.25">
      <c r="T32495" s="135"/>
      <c r="U32495" s="135"/>
    </row>
    <row r="32496" spans="20:21" ht="15" customHeight="1" x14ac:dyDescent="0.25">
      <c r="T32496" s="135"/>
      <c r="U32496" s="135"/>
    </row>
    <row r="32497" spans="20:21" ht="15" customHeight="1" x14ac:dyDescent="0.25">
      <c r="T32497" s="135"/>
      <c r="U32497" s="135"/>
    </row>
    <row r="32498" spans="20:21" ht="15" customHeight="1" x14ac:dyDescent="0.25">
      <c r="T32498" s="135"/>
      <c r="U32498" s="135"/>
    </row>
    <row r="32499" spans="20:21" ht="15" customHeight="1" x14ac:dyDescent="0.25">
      <c r="T32499" s="135"/>
      <c r="U32499" s="135"/>
    </row>
    <row r="32500" spans="20:21" ht="15" customHeight="1" x14ac:dyDescent="0.25">
      <c r="T32500" s="135"/>
      <c r="U32500" s="135"/>
    </row>
    <row r="32501" spans="20:21" ht="15" customHeight="1" x14ac:dyDescent="0.25">
      <c r="T32501" s="135"/>
      <c r="U32501" s="135"/>
    </row>
    <row r="32502" spans="20:21" ht="15" customHeight="1" x14ac:dyDescent="0.25">
      <c r="T32502" s="135"/>
      <c r="U32502" s="135"/>
    </row>
    <row r="32503" spans="20:21" ht="15" customHeight="1" x14ac:dyDescent="0.25">
      <c r="T32503" s="135"/>
      <c r="U32503" s="135"/>
    </row>
    <row r="32504" spans="20:21" ht="15" customHeight="1" x14ac:dyDescent="0.25">
      <c r="T32504" s="135"/>
      <c r="U32504" s="135"/>
    </row>
    <row r="32505" spans="20:21" ht="15" customHeight="1" x14ac:dyDescent="0.25">
      <c r="T32505" s="135"/>
      <c r="U32505" s="135"/>
    </row>
    <row r="32506" spans="20:21" ht="15" customHeight="1" x14ac:dyDescent="0.25">
      <c r="T32506" s="135"/>
      <c r="U32506" s="135"/>
    </row>
    <row r="32507" spans="20:21" ht="15" customHeight="1" x14ac:dyDescent="0.25">
      <c r="T32507" s="135"/>
      <c r="U32507" s="135"/>
    </row>
    <row r="32508" spans="20:21" ht="15" customHeight="1" x14ac:dyDescent="0.25">
      <c r="T32508" s="135"/>
      <c r="U32508" s="135"/>
    </row>
    <row r="32509" spans="20:21" ht="15" customHeight="1" x14ac:dyDescent="0.25">
      <c r="T32509" s="135"/>
      <c r="U32509" s="135"/>
    </row>
    <row r="32510" spans="20:21" ht="15" customHeight="1" x14ac:dyDescent="0.25">
      <c r="T32510" s="135"/>
      <c r="U32510" s="135"/>
    </row>
    <row r="32511" spans="20:21" ht="15" customHeight="1" x14ac:dyDescent="0.25">
      <c r="T32511" s="135"/>
      <c r="U32511" s="135"/>
    </row>
    <row r="32512" spans="20:21" ht="15" customHeight="1" x14ac:dyDescent="0.25">
      <c r="T32512" s="135"/>
      <c r="U32512" s="135"/>
    </row>
    <row r="32513" spans="20:21" ht="15" customHeight="1" x14ac:dyDescent="0.25">
      <c r="T32513" s="135"/>
      <c r="U32513" s="135"/>
    </row>
    <row r="32514" spans="20:21" ht="15" customHeight="1" x14ac:dyDescent="0.25">
      <c r="T32514" s="135"/>
      <c r="U32514" s="135"/>
    </row>
    <row r="32515" spans="20:21" ht="15" customHeight="1" x14ac:dyDescent="0.25">
      <c r="T32515" s="135"/>
      <c r="U32515" s="135"/>
    </row>
    <row r="32516" spans="20:21" ht="15" customHeight="1" x14ac:dyDescent="0.25">
      <c r="T32516" s="135"/>
      <c r="U32516" s="135"/>
    </row>
    <row r="32517" spans="20:21" ht="15" customHeight="1" x14ac:dyDescent="0.25">
      <c r="T32517" s="135"/>
      <c r="U32517" s="135"/>
    </row>
    <row r="32518" spans="20:21" ht="15" customHeight="1" x14ac:dyDescent="0.25">
      <c r="T32518" s="135"/>
      <c r="U32518" s="135"/>
    </row>
    <row r="32519" spans="20:21" ht="15" customHeight="1" x14ac:dyDescent="0.25">
      <c r="T32519" s="135"/>
      <c r="U32519" s="135"/>
    </row>
    <row r="32520" spans="20:21" ht="15" customHeight="1" x14ac:dyDescent="0.25">
      <c r="T32520" s="135"/>
      <c r="U32520" s="135"/>
    </row>
    <row r="32521" spans="20:21" ht="15" customHeight="1" x14ac:dyDescent="0.25">
      <c r="T32521" s="135"/>
      <c r="U32521" s="135"/>
    </row>
    <row r="32522" spans="20:21" ht="15" customHeight="1" x14ac:dyDescent="0.25">
      <c r="T32522" s="135"/>
      <c r="U32522" s="135"/>
    </row>
    <row r="32523" spans="20:21" ht="15" customHeight="1" x14ac:dyDescent="0.25">
      <c r="T32523" s="135"/>
      <c r="U32523" s="135"/>
    </row>
    <row r="32524" spans="20:21" ht="15" customHeight="1" x14ac:dyDescent="0.25">
      <c r="T32524" s="135"/>
      <c r="U32524" s="135"/>
    </row>
    <row r="32525" spans="20:21" ht="15" customHeight="1" x14ac:dyDescent="0.25">
      <c r="T32525" s="135"/>
      <c r="U32525" s="135"/>
    </row>
    <row r="32526" spans="20:21" ht="15" customHeight="1" x14ac:dyDescent="0.25">
      <c r="T32526" s="135"/>
      <c r="U32526" s="135"/>
    </row>
    <row r="32527" spans="20:21" ht="15" customHeight="1" x14ac:dyDescent="0.25">
      <c r="T32527" s="135"/>
      <c r="U32527" s="135"/>
    </row>
    <row r="32528" spans="20:21" ht="15" customHeight="1" x14ac:dyDescent="0.25">
      <c r="T32528" s="135"/>
      <c r="U32528" s="135"/>
    </row>
    <row r="32529" spans="20:21" ht="15" customHeight="1" x14ac:dyDescent="0.25">
      <c r="T32529" s="135"/>
      <c r="U32529" s="135"/>
    </row>
    <row r="32530" spans="20:21" ht="15" customHeight="1" x14ac:dyDescent="0.25">
      <c r="T32530" s="135"/>
      <c r="U32530" s="135"/>
    </row>
    <row r="32531" spans="20:21" ht="15" customHeight="1" x14ac:dyDescent="0.25">
      <c r="T32531" s="135"/>
      <c r="U32531" s="135"/>
    </row>
    <row r="32532" spans="20:21" ht="15" customHeight="1" x14ac:dyDescent="0.25">
      <c r="T32532" s="135"/>
      <c r="U32532" s="135"/>
    </row>
    <row r="32533" spans="20:21" ht="15" customHeight="1" x14ac:dyDescent="0.25">
      <c r="T32533" s="135"/>
      <c r="U32533" s="135"/>
    </row>
    <row r="32534" spans="20:21" ht="15" customHeight="1" x14ac:dyDescent="0.25">
      <c r="T32534" s="135"/>
      <c r="U32534" s="135"/>
    </row>
    <row r="32535" spans="20:21" ht="15" customHeight="1" x14ac:dyDescent="0.25">
      <c r="T32535" s="135"/>
      <c r="U32535" s="135"/>
    </row>
    <row r="32536" spans="20:21" ht="15" customHeight="1" x14ac:dyDescent="0.25">
      <c r="T32536" s="135"/>
      <c r="U32536" s="135"/>
    </row>
    <row r="32537" spans="20:21" ht="15" customHeight="1" x14ac:dyDescent="0.25">
      <c r="T32537" s="135"/>
      <c r="U32537" s="135"/>
    </row>
    <row r="32538" spans="20:21" ht="15" customHeight="1" x14ac:dyDescent="0.25">
      <c r="T32538" s="135"/>
      <c r="U32538" s="135"/>
    </row>
    <row r="32539" spans="20:21" ht="15" customHeight="1" x14ac:dyDescent="0.25">
      <c r="T32539" s="135"/>
      <c r="U32539" s="135"/>
    </row>
    <row r="32540" spans="20:21" ht="15" customHeight="1" x14ac:dyDescent="0.25">
      <c r="T32540" s="135"/>
      <c r="U32540" s="135"/>
    </row>
    <row r="32541" spans="20:21" ht="15" customHeight="1" x14ac:dyDescent="0.25">
      <c r="T32541" s="135"/>
      <c r="U32541" s="135"/>
    </row>
    <row r="32542" spans="20:21" ht="15" customHeight="1" x14ac:dyDescent="0.25">
      <c r="T32542" s="135"/>
      <c r="U32542" s="135"/>
    </row>
    <row r="32543" spans="20:21" ht="15" customHeight="1" x14ac:dyDescent="0.25">
      <c r="T32543" s="135"/>
      <c r="U32543" s="135"/>
    </row>
    <row r="32544" spans="20:21" ht="15" customHeight="1" x14ac:dyDescent="0.25">
      <c r="T32544" s="135"/>
      <c r="U32544" s="135"/>
    </row>
    <row r="32545" spans="20:21" ht="15" customHeight="1" x14ac:dyDescent="0.25">
      <c r="T32545" s="135"/>
      <c r="U32545" s="135"/>
    </row>
    <row r="32546" spans="20:21" ht="15" customHeight="1" x14ac:dyDescent="0.25">
      <c r="T32546" s="135"/>
      <c r="U32546" s="135"/>
    </row>
    <row r="32547" spans="20:21" ht="15" customHeight="1" x14ac:dyDescent="0.25">
      <c r="T32547" s="135"/>
      <c r="U32547" s="135"/>
    </row>
    <row r="32548" spans="20:21" ht="15" customHeight="1" x14ac:dyDescent="0.25">
      <c r="T32548" s="135"/>
      <c r="U32548" s="135"/>
    </row>
    <row r="32549" spans="20:21" ht="15" customHeight="1" x14ac:dyDescent="0.25">
      <c r="T32549" s="135"/>
      <c r="U32549" s="135"/>
    </row>
    <row r="32550" spans="20:21" ht="15" customHeight="1" x14ac:dyDescent="0.25">
      <c r="T32550" s="135"/>
      <c r="U32550" s="135"/>
    </row>
    <row r="32551" spans="20:21" ht="15" customHeight="1" x14ac:dyDescent="0.25">
      <c r="T32551" s="135"/>
      <c r="U32551" s="135"/>
    </row>
    <row r="32552" spans="20:21" ht="15" customHeight="1" x14ac:dyDescent="0.25">
      <c r="T32552" s="135"/>
      <c r="U32552" s="135"/>
    </row>
    <row r="32553" spans="20:21" ht="15" customHeight="1" x14ac:dyDescent="0.25">
      <c r="T32553" s="135"/>
      <c r="U32553" s="135"/>
    </row>
    <row r="32554" spans="20:21" ht="15" customHeight="1" x14ac:dyDescent="0.25">
      <c r="T32554" s="135"/>
      <c r="U32554" s="135"/>
    </row>
    <row r="32555" spans="20:21" ht="15" customHeight="1" x14ac:dyDescent="0.25">
      <c r="T32555" s="135"/>
      <c r="U32555" s="135"/>
    </row>
    <row r="32556" spans="20:21" ht="15" customHeight="1" x14ac:dyDescent="0.25">
      <c r="T32556" s="135"/>
      <c r="U32556" s="135"/>
    </row>
    <row r="32557" spans="20:21" ht="15" customHeight="1" x14ac:dyDescent="0.25">
      <c r="T32557" s="135"/>
      <c r="U32557" s="135"/>
    </row>
    <row r="32558" spans="20:21" ht="15" customHeight="1" x14ac:dyDescent="0.25">
      <c r="T32558" s="135"/>
      <c r="U32558" s="135"/>
    </row>
    <row r="32559" spans="20:21" ht="15" customHeight="1" x14ac:dyDescent="0.25">
      <c r="T32559" s="135"/>
      <c r="U32559" s="135"/>
    </row>
    <row r="32560" spans="20:21" ht="15" customHeight="1" x14ac:dyDescent="0.25">
      <c r="T32560" s="135"/>
      <c r="U32560" s="135"/>
    </row>
    <row r="32561" spans="20:21" ht="15" customHeight="1" x14ac:dyDescent="0.25">
      <c r="T32561" s="135"/>
      <c r="U32561" s="135"/>
    </row>
    <row r="32562" spans="20:21" ht="15" customHeight="1" x14ac:dyDescent="0.25">
      <c r="T32562" s="135"/>
      <c r="U32562" s="135"/>
    </row>
    <row r="32563" spans="20:21" ht="15" customHeight="1" x14ac:dyDescent="0.25">
      <c r="T32563" s="135"/>
      <c r="U32563" s="135"/>
    </row>
    <row r="32564" spans="20:21" ht="15" customHeight="1" x14ac:dyDescent="0.25">
      <c r="T32564" s="135"/>
      <c r="U32564" s="135"/>
    </row>
    <row r="32565" spans="20:21" ht="15" customHeight="1" x14ac:dyDescent="0.25">
      <c r="T32565" s="135"/>
      <c r="U32565" s="135"/>
    </row>
    <row r="32566" spans="20:21" ht="15" customHeight="1" x14ac:dyDescent="0.25">
      <c r="T32566" s="135"/>
      <c r="U32566" s="135"/>
    </row>
    <row r="32567" spans="20:21" ht="15" customHeight="1" x14ac:dyDescent="0.25">
      <c r="T32567" s="135"/>
      <c r="U32567" s="135"/>
    </row>
    <row r="32568" spans="20:21" ht="15" customHeight="1" x14ac:dyDescent="0.25">
      <c r="T32568" s="135"/>
      <c r="U32568" s="135"/>
    </row>
    <row r="32569" spans="20:21" ht="15" customHeight="1" x14ac:dyDescent="0.25">
      <c r="T32569" s="135"/>
      <c r="U32569" s="135"/>
    </row>
    <row r="32570" spans="20:21" ht="15" customHeight="1" x14ac:dyDescent="0.25">
      <c r="T32570" s="135"/>
      <c r="U32570" s="135"/>
    </row>
    <row r="32571" spans="20:21" ht="15" customHeight="1" x14ac:dyDescent="0.25">
      <c r="T32571" s="135"/>
      <c r="U32571" s="135"/>
    </row>
    <row r="32572" spans="20:21" ht="15" customHeight="1" x14ac:dyDescent="0.25">
      <c r="T32572" s="135"/>
      <c r="U32572" s="135"/>
    </row>
    <row r="32573" spans="20:21" ht="15" customHeight="1" x14ac:dyDescent="0.25">
      <c r="T32573" s="135"/>
      <c r="U32573" s="135"/>
    </row>
    <row r="32574" spans="20:21" ht="15" customHeight="1" x14ac:dyDescent="0.25">
      <c r="T32574" s="135"/>
      <c r="U32574" s="135"/>
    </row>
    <row r="32575" spans="20:21" ht="15" customHeight="1" x14ac:dyDescent="0.25">
      <c r="T32575" s="135"/>
      <c r="U32575" s="135"/>
    </row>
    <row r="32576" spans="20:21" ht="15" customHeight="1" x14ac:dyDescent="0.25">
      <c r="T32576" s="135"/>
      <c r="U32576" s="135"/>
    </row>
    <row r="32577" spans="20:21" ht="15" customHeight="1" x14ac:dyDescent="0.25">
      <c r="T32577" s="135"/>
      <c r="U32577" s="135"/>
    </row>
    <row r="32578" spans="20:21" ht="15" customHeight="1" x14ac:dyDescent="0.25">
      <c r="T32578" s="135"/>
      <c r="U32578" s="135"/>
    </row>
    <row r="32579" spans="20:21" ht="15" customHeight="1" x14ac:dyDescent="0.25">
      <c r="T32579" s="135"/>
      <c r="U32579" s="135"/>
    </row>
    <row r="32580" spans="20:21" ht="15" customHeight="1" x14ac:dyDescent="0.25">
      <c r="T32580" s="135"/>
      <c r="U32580" s="135"/>
    </row>
    <row r="32581" spans="20:21" ht="15" customHeight="1" x14ac:dyDescent="0.25">
      <c r="T32581" s="135"/>
      <c r="U32581" s="135"/>
    </row>
    <row r="32582" spans="20:21" ht="15" customHeight="1" x14ac:dyDescent="0.25">
      <c r="T32582" s="135"/>
      <c r="U32582" s="135"/>
    </row>
    <row r="32583" spans="20:21" ht="15" customHeight="1" x14ac:dyDescent="0.25">
      <c r="T32583" s="135"/>
      <c r="U32583" s="135"/>
    </row>
    <row r="32584" spans="20:21" ht="15" customHeight="1" x14ac:dyDescent="0.25">
      <c r="T32584" s="135"/>
      <c r="U32584" s="135"/>
    </row>
    <row r="32585" spans="20:21" ht="15" customHeight="1" x14ac:dyDescent="0.25">
      <c r="T32585" s="135"/>
      <c r="U32585" s="135"/>
    </row>
    <row r="32586" spans="20:21" ht="15" customHeight="1" x14ac:dyDescent="0.25">
      <c r="T32586" s="135"/>
      <c r="U32586" s="135"/>
    </row>
    <row r="32587" spans="20:21" ht="15" customHeight="1" x14ac:dyDescent="0.25">
      <c r="T32587" s="135"/>
      <c r="U32587" s="135"/>
    </row>
    <row r="32588" spans="20:21" ht="15" customHeight="1" x14ac:dyDescent="0.25">
      <c r="T32588" s="135"/>
      <c r="U32588" s="135"/>
    </row>
    <row r="32589" spans="20:21" ht="15" customHeight="1" x14ac:dyDescent="0.25">
      <c r="T32589" s="135"/>
      <c r="U32589" s="135"/>
    </row>
    <row r="32590" spans="20:21" ht="15" customHeight="1" x14ac:dyDescent="0.25">
      <c r="T32590" s="135"/>
      <c r="U32590" s="135"/>
    </row>
    <row r="32591" spans="20:21" ht="15" customHeight="1" x14ac:dyDescent="0.25">
      <c r="T32591" s="135"/>
      <c r="U32591" s="135"/>
    </row>
    <row r="32592" spans="20:21" ht="15" customHeight="1" x14ac:dyDescent="0.25">
      <c r="T32592" s="135"/>
      <c r="U32592" s="135"/>
    </row>
    <row r="32593" spans="20:21" ht="15" customHeight="1" x14ac:dyDescent="0.25">
      <c r="T32593" s="135"/>
      <c r="U32593" s="135"/>
    </row>
    <row r="32594" spans="20:21" ht="15" customHeight="1" x14ac:dyDescent="0.25">
      <c r="T32594" s="135"/>
      <c r="U32594" s="135"/>
    </row>
    <row r="32595" spans="20:21" ht="15" customHeight="1" x14ac:dyDescent="0.25">
      <c r="T32595" s="135"/>
      <c r="U32595" s="135"/>
    </row>
    <row r="32596" spans="20:21" ht="15" customHeight="1" x14ac:dyDescent="0.25">
      <c r="T32596" s="135"/>
      <c r="U32596" s="135"/>
    </row>
    <row r="32597" spans="20:21" ht="15" customHeight="1" x14ac:dyDescent="0.25">
      <c r="T32597" s="135"/>
      <c r="U32597" s="135"/>
    </row>
    <row r="32598" spans="20:21" ht="15" customHeight="1" x14ac:dyDescent="0.25">
      <c r="T32598" s="135"/>
      <c r="U32598" s="135"/>
    </row>
    <row r="32599" spans="20:21" ht="15" customHeight="1" x14ac:dyDescent="0.25">
      <c r="T32599" s="135"/>
      <c r="U32599" s="135"/>
    </row>
    <row r="32600" spans="20:21" ht="15" customHeight="1" x14ac:dyDescent="0.25">
      <c r="T32600" s="135"/>
      <c r="U32600" s="135"/>
    </row>
    <row r="32601" spans="20:21" ht="15" customHeight="1" x14ac:dyDescent="0.25">
      <c r="T32601" s="135"/>
      <c r="U32601" s="135"/>
    </row>
    <row r="32602" spans="20:21" ht="15" customHeight="1" x14ac:dyDescent="0.25">
      <c r="T32602" s="135"/>
      <c r="U32602" s="135"/>
    </row>
    <row r="32603" spans="20:21" ht="15" customHeight="1" x14ac:dyDescent="0.25">
      <c r="T32603" s="135"/>
      <c r="U32603" s="135"/>
    </row>
    <row r="32604" spans="20:21" ht="15" customHeight="1" x14ac:dyDescent="0.25">
      <c r="T32604" s="135"/>
      <c r="U32604" s="135"/>
    </row>
    <row r="32605" spans="20:21" ht="15" customHeight="1" x14ac:dyDescent="0.25">
      <c r="T32605" s="135"/>
      <c r="U32605" s="135"/>
    </row>
    <row r="32606" spans="20:21" ht="15" customHeight="1" x14ac:dyDescent="0.25">
      <c r="T32606" s="135"/>
      <c r="U32606" s="135"/>
    </row>
    <row r="32607" spans="20:21" ht="15" customHeight="1" x14ac:dyDescent="0.25">
      <c r="T32607" s="135"/>
      <c r="U32607" s="135"/>
    </row>
    <row r="32608" spans="20:21" ht="15" customHeight="1" x14ac:dyDescent="0.25">
      <c r="T32608" s="135"/>
      <c r="U32608" s="135"/>
    </row>
    <row r="32609" spans="20:21" ht="15" customHeight="1" x14ac:dyDescent="0.25">
      <c r="T32609" s="135"/>
      <c r="U32609" s="135"/>
    </row>
    <row r="32610" spans="20:21" ht="15" customHeight="1" x14ac:dyDescent="0.25">
      <c r="T32610" s="135"/>
      <c r="U32610" s="135"/>
    </row>
    <row r="32611" spans="20:21" ht="15" customHeight="1" x14ac:dyDescent="0.25">
      <c r="T32611" s="135"/>
      <c r="U32611" s="135"/>
    </row>
    <row r="32612" spans="20:21" ht="15" customHeight="1" x14ac:dyDescent="0.25">
      <c r="T32612" s="135"/>
      <c r="U32612" s="135"/>
    </row>
    <row r="32613" spans="20:21" ht="15" customHeight="1" x14ac:dyDescent="0.25">
      <c r="T32613" s="135"/>
      <c r="U32613" s="135"/>
    </row>
    <row r="32614" spans="20:21" ht="15" customHeight="1" x14ac:dyDescent="0.25">
      <c r="T32614" s="135"/>
      <c r="U32614" s="135"/>
    </row>
    <row r="32615" spans="20:21" ht="15" customHeight="1" x14ac:dyDescent="0.25">
      <c r="T32615" s="135"/>
      <c r="U32615" s="135"/>
    </row>
    <row r="32616" spans="20:21" ht="15" customHeight="1" x14ac:dyDescent="0.25">
      <c r="T32616" s="135"/>
      <c r="U32616" s="135"/>
    </row>
    <row r="32617" spans="20:21" ht="15" customHeight="1" x14ac:dyDescent="0.25">
      <c r="T32617" s="135"/>
      <c r="U32617" s="135"/>
    </row>
    <row r="32618" spans="20:21" ht="15" customHeight="1" x14ac:dyDescent="0.25">
      <c r="T32618" s="135"/>
      <c r="U32618" s="135"/>
    </row>
    <row r="32619" spans="20:21" ht="15" customHeight="1" x14ac:dyDescent="0.25">
      <c r="T32619" s="135"/>
      <c r="U32619" s="135"/>
    </row>
    <row r="32620" spans="20:21" ht="15" customHeight="1" x14ac:dyDescent="0.25">
      <c r="T32620" s="135"/>
      <c r="U32620" s="135"/>
    </row>
    <row r="32621" spans="20:21" ht="15" customHeight="1" x14ac:dyDescent="0.25">
      <c r="T32621" s="135"/>
      <c r="U32621" s="135"/>
    </row>
    <row r="32622" spans="20:21" ht="15" customHeight="1" x14ac:dyDescent="0.25">
      <c r="T32622" s="135"/>
      <c r="U32622" s="135"/>
    </row>
    <row r="32623" spans="20:21" ht="15" customHeight="1" x14ac:dyDescent="0.25">
      <c r="T32623" s="135"/>
      <c r="U32623" s="135"/>
    </row>
    <row r="32624" spans="20:21" ht="15" customHeight="1" x14ac:dyDescent="0.25">
      <c r="T32624" s="135"/>
      <c r="U32624" s="135"/>
    </row>
    <row r="32625" spans="20:21" ht="15" customHeight="1" x14ac:dyDescent="0.25">
      <c r="T32625" s="135"/>
      <c r="U32625" s="135"/>
    </row>
    <row r="32626" spans="20:21" ht="15" customHeight="1" x14ac:dyDescent="0.25">
      <c r="T32626" s="135"/>
      <c r="U32626" s="135"/>
    </row>
    <row r="32627" spans="20:21" ht="15" customHeight="1" x14ac:dyDescent="0.25">
      <c r="T32627" s="135"/>
      <c r="U32627" s="135"/>
    </row>
    <row r="32628" spans="20:21" ht="15" customHeight="1" x14ac:dyDescent="0.25">
      <c r="T32628" s="135"/>
      <c r="U32628" s="135"/>
    </row>
    <row r="32629" spans="20:21" ht="15" customHeight="1" x14ac:dyDescent="0.25">
      <c r="T32629" s="135"/>
      <c r="U32629" s="135"/>
    </row>
    <row r="32630" spans="20:21" ht="15" customHeight="1" x14ac:dyDescent="0.25">
      <c r="T32630" s="135"/>
      <c r="U32630" s="135"/>
    </row>
    <row r="32631" spans="20:21" ht="15" customHeight="1" x14ac:dyDescent="0.25">
      <c r="T32631" s="135"/>
      <c r="U32631" s="135"/>
    </row>
    <row r="32632" spans="20:21" ht="15" customHeight="1" x14ac:dyDescent="0.25">
      <c r="T32632" s="135"/>
      <c r="U32632" s="135"/>
    </row>
    <row r="32633" spans="20:21" ht="15" customHeight="1" x14ac:dyDescent="0.25">
      <c r="T32633" s="135"/>
      <c r="U32633" s="135"/>
    </row>
    <row r="32634" spans="20:21" ht="15" customHeight="1" x14ac:dyDescent="0.25">
      <c r="T32634" s="135"/>
      <c r="U32634" s="135"/>
    </row>
    <row r="32635" spans="20:21" ht="15" customHeight="1" x14ac:dyDescent="0.25">
      <c r="T32635" s="135"/>
      <c r="U32635" s="135"/>
    </row>
    <row r="32636" spans="20:21" ht="15" customHeight="1" x14ac:dyDescent="0.25">
      <c r="T32636" s="135"/>
      <c r="U32636" s="135"/>
    </row>
    <row r="32637" spans="20:21" ht="15" customHeight="1" x14ac:dyDescent="0.25">
      <c r="T32637" s="135"/>
      <c r="U32637" s="135"/>
    </row>
    <row r="32638" spans="20:21" ht="15" customHeight="1" x14ac:dyDescent="0.25">
      <c r="T32638" s="135"/>
      <c r="U32638" s="135"/>
    </row>
    <row r="32639" spans="20:21" ht="15" customHeight="1" x14ac:dyDescent="0.25">
      <c r="T32639" s="135"/>
      <c r="U32639" s="135"/>
    </row>
    <row r="32640" spans="20:21" ht="15" customHeight="1" x14ac:dyDescent="0.25">
      <c r="T32640" s="135"/>
      <c r="U32640" s="135"/>
    </row>
    <row r="32641" spans="20:21" ht="15" customHeight="1" x14ac:dyDescent="0.25">
      <c r="T32641" s="135"/>
      <c r="U32641" s="135"/>
    </row>
    <row r="32642" spans="20:21" ht="15" customHeight="1" x14ac:dyDescent="0.25">
      <c r="T32642" s="135"/>
      <c r="U32642" s="135"/>
    </row>
    <row r="32643" spans="20:21" ht="15" customHeight="1" x14ac:dyDescent="0.25">
      <c r="T32643" s="135"/>
      <c r="U32643" s="135"/>
    </row>
    <row r="32644" spans="20:21" ht="15" customHeight="1" x14ac:dyDescent="0.25">
      <c r="T32644" s="135"/>
      <c r="U32644" s="135"/>
    </row>
    <row r="32645" spans="20:21" ht="15" customHeight="1" x14ac:dyDescent="0.25">
      <c r="T32645" s="135"/>
      <c r="U32645" s="135"/>
    </row>
    <row r="32646" spans="20:21" ht="15" customHeight="1" x14ac:dyDescent="0.25">
      <c r="T32646" s="135"/>
      <c r="U32646" s="135"/>
    </row>
    <row r="32647" spans="20:21" ht="15" customHeight="1" x14ac:dyDescent="0.25">
      <c r="T32647" s="135"/>
      <c r="U32647" s="135"/>
    </row>
    <row r="32648" spans="20:21" ht="15" customHeight="1" x14ac:dyDescent="0.25">
      <c r="T32648" s="135"/>
      <c r="U32648" s="135"/>
    </row>
    <row r="32649" spans="20:21" ht="15" customHeight="1" x14ac:dyDescent="0.25">
      <c r="T32649" s="135"/>
      <c r="U32649" s="135"/>
    </row>
    <row r="32650" spans="20:21" ht="15" customHeight="1" x14ac:dyDescent="0.25">
      <c r="T32650" s="135"/>
      <c r="U32650" s="135"/>
    </row>
    <row r="32651" spans="20:21" ht="15" customHeight="1" x14ac:dyDescent="0.25">
      <c r="T32651" s="135"/>
      <c r="U32651" s="135"/>
    </row>
    <row r="32652" spans="20:21" ht="15" customHeight="1" x14ac:dyDescent="0.25">
      <c r="T32652" s="135"/>
      <c r="U32652" s="135"/>
    </row>
    <row r="32653" spans="20:21" ht="15" customHeight="1" x14ac:dyDescent="0.25">
      <c r="T32653" s="135"/>
      <c r="U32653" s="135"/>
    </row>
    <row r="32654" spans="20:21" ht="15" customHeight="1" x14ac:dyDescent="0.25">
      <c r="T32654" s="135"/>
      <c r="U32654" s="135"/>
    </row>
    <row r="32655" spans="20:21" ht="15" customHeight="1" x14ac:dyDescent="0.25">
      <c r="T32655" s="135"/>
      <c r="U32655" s="135"/>
    </row>
    <row r="32656" spans="20:21" ht="15" customHeight="1" x14ac:dyDescent="0.25">
      <c r="T32656" s="135"/>
      <c r="U32656" s="135"/>
    </row>
    <row r="32657" spans="20:21" ht="15" customHeight="1" x14ac:dyDescent="0.25">
      <c r="T32657" s="135"/>
      <c r="U32657" s="135"/>
    </row>
    <row r="32658" spans="20:21" ht="15" customHeight="1" x14ac:dyDescent="0.25">
      <c r="T32658" s="135"/>
      <c r="U32658" s="135"/>
    </row>
    <row r="32659" spans="20:21" ht="15" customHeight="1" x14ac:dyDescent="0.25">
      <c r="T32659" s="135"/>
      <c r="U32659" s="135"/>
    </row>
    <row r="32660" spans="20:21" ht="15" customHeight="1" x14ac:dyDescent="0.25">
      <c r="T32660" s="135"/>
      <c r="U32660" s="135"/>
    </row>
    <row r="32661" spans="20:21" ht="15" customHeight="1" x14ac:dyDescent="0.25">
      <c r="T32661" s="135"/>
      <c r="U32661" s="135"/>
    </row>
    <row r="32662" spans="20:21" ht="15" customHeight="1" x14ac:dyDescent="0.25">
      <c r="T32662" s="135"/>
      <c r="U32662" s="135"/>
    </row>
    <row r="32663" spans="20:21" ht="15" customHeight="1" x14ac:dyDescent="0.25">
      <c r="T32663" s="135"/>
      <c r="U32663" s="135"/>
    </row>
    <row r="32664" spans="20:21" ht="15" customHeight="1" x14ac:dyDescent="0.25">
      <c r="T32664" s="135"/>
      <c r="U32664" s="135"/>
    </row>
    <row r="32665" spans="20:21" ht="15" customHeight="1" x14ac:dyDescent="0.25">
      <c r="T32665" s="135"/>
      <c r="U32665" s="135"/>
    </row>
    <row r="32666" spans="20:21" ht="15" customHeight="1" x14ac:dyDescent="0.25">
      <c r="T32666" s="135"/>
      <c r="U32666" s="135"/>
    </row>
    <row r="32667" spans="20:21" ht="15" customHeight="1" x14ac:dyDescent="0.25">
      <c r="T32667" s="135"/>
      <c r="U32667" s="135"/>
    </row>
    <row r="32668" spans="20:21" ht="15" customHeight="1" x14ac:dyDescent="0.25">
      <c r="T32668" s="135"/>
      <c r="U32668" s="135"/>
    </row>
    <row r="32669" spans="20:21" ht="15" customHeight="1" x14ac:dyDescent="0.25">
      <c r="T32669" s="135"/>
      <c r="U32669" s="135"/>
    </row>
    <row r="32670" spans="20:21" ht="15" customHeight="1" x14ac:dyDescent="0.25">
      <c r="T32670" s="135"/>
      <c r="U32670" s="135"/>
    </row>
    <row r="32671" spans="20:21" ht="15" customHeight="1" x14ac:dyDescent="0.25">
      <c r="T32671" s="135"/>
      <c r="U32671" s="135"/>
    </row>
    <row r="32672" spans="20:21" ht="15" customHeight="1" x14ac:dyDescent="0.25">
      <c r="T32672" s="135"/>
      <c r="U32672" s="135"/>
    </row>
    <row r="32673" spans="20:21" ht="15" customHeight="1" x14ac:dyDescent="0.25">
      <c r="T32673" s="135"/>
      <c r="U32673" s="135"/>
    </row>
    <row r="32674" spans="20:21" ht="15" customHeight="1" x14ac:dyDescent="0.25">
      <c r="T32674" s="135"/>
      <c r="U32674" s="135"/>
    </row>
    <row r="32675" spans="20:21" ht="15" customHeight="1" x14ac:dyDescent="0.25">
      <c r="T32675" s="135"/>
      <c r="U32675" s="135"/>
    </row>
    <row r="32676" spans="20:21" ht="15" customHeight="1" x14ac:dyDescent="0.25">
      <c r="T32676" s="135"/>
      <c r="U32676" s="135"/>
    </row>
    <row r="32677" spans="20:21" ht="15" customHeight="1" x14ac:dyDescent="0.25">
      <c r="T32677" s="135"/>
      <c r="U32677" s="135"/>
    </row>
    <row r="32678" spans="20:21" ht="15" customHeight="1" x14ac:dyDescent="0.25">
      <c r="T32678" s="135"/>
      <c r="U32678" s="135"/>
    </row>
    <row r="32679" spans="20:21" ht="15" customHeight="1" x14ac:dyDescent="0.25">
      <c r="T32679" s="135"/>
      <c r="U32679" s="135"/>
    </row>
    <row r="32680" spans="20:21" ht="15" customHeight="1" x14ac:dyDescent="0.25">
      <c r="T32680" s="135"/>
      <c r="U32680" s="135"/>
    </row>
    <row r="32681" spans="20:21" ht="15" customHeight="1" x14ac:dyDescent="0.25">
      <c r="T32681" s="135"/>
      <c r="U32681" s="135"/>
    </row>
    <row r="32682" spans="20:21" ht="15" customHeight="1" x14ac:dyDescent="0.25">
      <c r="T32682" s="135"/>
      <c r="U32682" s="135"/>
    </row>
    <row r="32683" spans="20:21" ht="15" customHeight="1" x14ac:dyDescent="0.25">
      <c r="T32683" s="135"/>
      <c r="U32683" s="135"/>
    </row>
    <row r="32684" spans="20:21" ht="15" customHeight="1" x14ac:dyDescent="0.25">
      <c r="T32684" s="135"/>
      <c r="U32684" s="135"/>
    </row>
    <row r="32685" spans="20:21" ht="15" customHeight="1" x14ac:dyDescent="0.25">
      <c r="T32685" s="135"/>
      <c r="U32685" s="135"/>
    </row>
    <row r="32686" spans="20:21" ht="15" customHeight="1" x14ac:dyDescent="0.25">
      <c r="T32686" s="135"/>
      <c r="U32686" s="135"/>
    </row>
    <row r="32687" spans="20:21" ht="15" customHeight="1" x14ac:dyDescent="0.25">
      <c r="T32687" s="135"/>
      <c r="U32687" s="135"/>
    </row>
    <row r="32688" spans="20:21" ht="15" customHeight="1" x14ac:dyDescent="0.25">
      <c r="T32688" s="135"/>
      <c r="U32688" s="135"/>
    </row>
    <row r="32689" spans="20:21" ht="15" customHeight="1" x14ac:dyDescent="0.25">
      <c r="T32689" s="135"/>
      <c r="U32689" s="135"/>
    </row>
    <row r="32690" spans="20:21" ht="15" customHeight="1" x14ac:dyDescent="0.25">
      <c r="T32690" s="135"/>
      <c r="U32690" s="135"/>
    </row>
    <row r="32691" spans="20:21" ht="15" customHeight="1" x14ac:dyDescent="0.25">
      <c r="T32691" s="135"/>
      <c r="U32691" s="135"/>
    </row>
    <row r="32692" spans="20:21" ht="15" customHeight="1" x14ac:dyDescent="0.25">
      <c r="T32692" s="135"/>
      <c r="U32692" s="135"/>
    </row>
    <row r="32693" spans="20:21" ht="15" customHeight="1" x14ac:dyDescent="0.25">
      <c r="T32693" s="135"/>
      <c r="U32693" s="135"/>
    </row>
    <row r="32694" spans="20:21" ht="15" customHeight="1" x14ac:dyDescent="0.25">
      <c r="T32694" s="135"/>
      <c r="U32694" s="135"/>
    </row>
    <row r="32695" spans="20:21" ht="15" customHeight="1" x14ac:dyDescent="0.25">
      <c r="T32695" s="135"/>
      <c r="U32695" s="135"/>
    </row>
    <row r="32696" spans="20:21" ht="15" customHeight="1" x14ac:dyDescent="0.25">
      <c r="T32696" s="135"/>
      <c r="U32696" s="135"/>
    </row>
    <row r="32697" spans="20:21" ht="15" customHeight="1" x14ac:dyDescent="0.25">
      <c r="T32697" s="135"/>
      <c r="U32697" s="135"/>
    </row>
    <row r="32698" spans="20:21" ht="15" customHeight="1" x14ac:dyDescent="0.25">
      <c r="T32698" s="135"/>
      <c r="U32698" s="135"/>
    </row>
    <row r="32699" spans="20:21" ht="15" customHeight="1" x14ac:dyDescent="0.25">
      <c r="T32699" s="135"/>
      <c r="U32699" s="135"/>
    </row>
    <row r="32700" spans="20:21" ht="15" customHeight="1" x14ac:dyDescent="0.25">
      <c r="T32700" s="135"/>
      <c r="U32700" s="135"/>
    </row>
    <row r="32701" spans="20:21" ht="15" customHeight="1" x14ac:dyDescent="0.25">
      <c r="T32701" s="135"/>
      <c r="U32701" s="135"/>
    </row>
    <row r="32702" spans="20:21" ht="15" customHeight="1" x14ac:dyDescent="0.25">
      <c r="T32702" s="135"/>
      <c r="U32702" s="135"/>
    </row>
    <row r="32703" spans="20:21" ht="15" customHeight="1" x14ac:dyDescent="0.25">
      <c r="T32703" s="135"/>
      <c r="U32703" s="135"/>
    </row>
    <row r="32704" spans="20:21" ht="15" customHeight="1" x14ac:dyDescent="0.25">
      <c r="T32704" s="135"/>
      <c r="U32704" s="135"/>
    </row>
    <row r="32705" spans="20:21" ht="15" customHeight="1" x14ac:dyDescent="0.25">
      <c r="T32705" s="135"/>
      <c r="U32705" s="135"/>
    </row>
    <row r="32706" spans="20:21" ht="15" customHeight="1" x14ac:dyDescent="0.25">
      <c r="T32706" s="135"/>
      <c r="U32706" s="135"/>
    </row>
    <row r="32707" spans="20:21" ht="15" customHeight="1" x14ac:dyDescent="0.25">
      <c r="T32707" s="135"/>
      <c r="U32707" s="135"/>
    </row>
    <row r="32708" spans="20:21" ht="15" customHeight="1" x14ac:dyDescent="0.25">
      <c r="T32708" s="135"/>
      <c r="U32708" s="135"/>
    </row>
    <row r="32709" spans="20:21" ht="15" customHeight="1" x14ac:dyDescent="0.25">
      <c r="T32709" s="135"/>
      <c r="U32709" s="135"/>
    </row>
    <row r="32710" spans="20:21" ht="15" customHeight="1" x14ac:dyDescent="0.25">
      <c r="T32710" s="135"/>
      <c r="U32710" s="135"/>
    </row>
    <row r="32711" spans="20:21" ht="15" customHeight="1" x14ac:dyDescent="0.25">
      <c r="T32711" s="135"/>
      <c r="U32711" s="135"/>
    </row>
    <row r="32712" spans="20:21" ht="15" customHeight="1" x14ac:dyDescent="0.25">
      <c r="T32712" s="135"/>
      <c r="U32712" s="135"/>
    </row>
    <row r="32713" spans="20:21" ht="15" customHeight="1" x14ac:dyDescent="0.25">
      <c r="T32713" s="135"/>
      <c r="U32713" s="135"/>
    </row>
    <row r="32714" spans="20:21" ht="15" customHeight="1" x14ac:dyDescent="0.25">
      <c r="T32714" s="135"/>
      <c r="U32714" s="135"/>
    </row>
    <row r="32715" spans="20:21" ht="15" customHeight="1" x14ac:dyDescent="0.25">
      <c r="T32715" s="135"/>
      <c r="U32715" s="135"/>
    </row>
    <row r="32716" spans="20:21" ht="15" customHeight="1" x14ac:dyDescent="0.25">
      <c r="T32716" s="135"/>
      <c r="U32716" s="135"/>
    </row>
    <row r="32717" spans="20:21" ht="15" customHeight="1" x14ac:dyDescent="0.25">
      <c r="T32717" s="135"/>
      <c r="U32717" s="135"/>
    </row>
    <row r="32718" spans="20:21" ht="15" customHeight="1" x14ac:dyDescent="0.25">
      <c r="T32718" s="135"/>
      <c r="U32718" s="135"/>
    </row>
    <row r="32719" spans="20:21" ht="15" customHeight="1" x14ac:dyDescent="0.25">
      <c r="T32719" s="135"/>
      <c r="U32719" s="135"/>
    </row>
    <row r="32720" spans="20:21" ht="15" customHeight="1" x14ac:dyDescent="0.25">
      <c r="T32720" s="135"/>
      <c r="U32720" s="135"/>
    </row>
    <row r="32721" spans="20:21" ht="15" customHeight="1" x14ac:dyDescent="0.25">
      <c r="T32721" s="135"/>
      <c r="U32721" s="135"/>
    </row>
    <row r="32722" spans="20:21" ht="15" customHeight="1" x14ac:dyDescent="0.25">
      <c r="T32722" s="135"/>
      <c r="U32722" s="135"/>
    </row>
    <row r="32723" spans="20:21" ht="15" customHeight="1" x14ac:dyDescent="0.25">
      <c r="T32723" s="135"/>
      <c r="U32723" s="135"/>
    </row>
    <row r="32724" spans="20:21" ht="15" customHeight="1" x14ac:dyDescent="0.25">
      <c r="T32724" s="135"/>
      <c r="U32724" s="135"/>
    </row>
    <row r="32725" spans="20:21" ht="15" customHeight="1" x14ac:dyDescent="0.25">
      <c r="T32725" s="135"/>
      <c r="U32725" s="135"/>
    </row>
    <row r="32726" spans="20:21" ht="15" customHeight="1" x14ac:dyDescent="0.25">
      <c r="T32726" s="135"/>
      <c r="U32726" s="135"/>
    </row>
    <row r="32727" spans="20:21" ht="15" customHeight="1" x14ac:dyDescent="0.25">
      <c r="T32727" s="135"/>
      <c r="U32727" s="135"/>
    </row>
    <row r="32728" spans="20:21" ht="15" customHeight="1" x14ac:dyDescent="0.25">
      <c r="T32728" s="135"/>
      <c r="U32728" s="135"/>
    </row>
    <row r="32729" spans="20:21" ht="15" customHeight="1" x14ac:dyDescent="0.25">
      <c r="T32729" s="135"/>
      <c r="U32729" s="135"/>
    </row>
    <row r="32730" spans="20:21" ht="15" customHeight="1" x14ac:dyDescent="0.25">
      <c r="T32730" s="135"/>
      <c r="U32730" s="135"/>
    </row>
    <row r="32731" spans="20:21" ht="15" customHeight="1" x14ac:dyDescent="0.25">
      <c r="T32731" s="135"/>
      <c r="U32731" s="135"/>
    </row>
    <row r="32732" spans="20:21" ht="15" customHeight="1" x14ac:dyDescent="0.25">
      <c r="T32732" s="135"/>
      <c r="U32732" s="135"/>
    </row>
    <row r="32733" spans="20:21" ht="15" customHeight="1" x14ac:dyDescent="0.25">
      <c r="T32733" s="135"/>
      <c r="U32733" s="135"/>
    </row>
    <row r="32734" spans="20:21" ht="15" customHeight="1" x14ac:dyDescent="0.25">
      <c r="T32734" s="135"/>
      <c r="U32734" s="135"/>
    </row>
    <row r="32735" spans="20:21" ht="15" customHeight="1" x14ac:dyDescent="0.25">
      <c r="T32735" s="135"/>
      <c r="U32735" s="135"/>
    </row>
    <row r="32736" spans="20:21" ht="15" customHeight="1" x14ac:dyDescent="0.25">
      <c r="T32736" s="135"/>
      <c r="U32736" s="135"/>
    </row>
    <row r="32737" spans="20:21" ht="15" customHeight="1" x14ac:dyDescent="0.25">
      <c r="T32737" s="135"/>
      <c r="U32737" s="135"/>
    </row>
    <row r="32738" spans="20:21" ht="15" customHeight="1" x14ac:dyDescent="0.25">
      <c r="T32738" s="135"/>
      <c r="U32738" s="135"/>
    </row>
    <row r="32739" spans="20:21" ht="15" customHeight="1" x14ac:dyDescent="0.25">
      <c r="T32739" s="135"/>
      <c r="U32739" s="135"/>
    </row>
    <row r="32740" spans="20:21" ht="15" customHeight="1" x14ac:dyDescent="0.25">
      <c r="T32740" s="135"/>
      <c r="U32740" s="135"/>
    </row>
    <row r="32741" spans="20:21" ht="15" customHeight="1" x14ac:dyDescent="0.25">
      <c r="T32741" s="135"/>
      <c r="U32741" s="135"/>
    </row>
    <row r="32742" spans="20:21" ht="15" customHeight="1" x14ac:dyDescent="0.25">
      <c r="T32742" s="135"/>
      <c r="U32742" s="135"/>
    </row>
    <row r="32743" spans="20:21" ht="15" customHeight="1" x14ac:dyDescent="0.25">
      <c r="T32743" s="135"/>
      <c r="U32743" s="135"/>
    </row>
    <row r="32744" spans="20:21" ht="15" customHeight="1" x14ac:dyDescent="0.25">
      <c r="T32744" s="135"/>
      <c r="U32744" s="135"/>
    </row>
    <row r="32745" spans="20:21" ht="15" customHeight="1" x14ac:dyDescent="0.25">
      <c r="T32745" s="135"/>
      <c r="U32745" s="135"/>
    </row>
    <row r="32746" spans="20:21" ht="15" customHeight="1" x14ac:dyDescent="0.25">
      <c r="T32746" s="135"/>
      <c r="U32746" s="135"/>
    </row>
    <row r="32747" spans="20:21" ht="15" customHeight="1" x14ac:dyDescent="0.25">
      <c r="T32747" s="135"/>
      <c r="U32747" s="135"/>
    </row>
    <row r="32748" spans="20:21" ht="15" customHeight="1" x14ac:dyDescent="0.25">
      <c r="T32748" s="135"/>
      <c r="U32748" s="135"/>
    </row>
    <row r="32749" spans="20:21" ht="15" customHeight="1" x14ac:dyDescent="0.25">
      <c r="T32749" s="135"/>
      <c r="U32749" s="135"/>
    </row>
    <row r="32750" spans="20:21" ht="15" customHeight="1" x14ac:dyDescent="0.25">
      <c r="T32750" s="135"/>
      <c r="U32750" s="135"/>
    </row>
    <row r="32751" spans="20:21" ht="15" customHeight="1" x14ac:dyDescent="0.25">
      <c r="T32751" s="135"/>
      <c r="U32751" s="135"/>
    </row>
    <row r="32752" spans="20:21" ht="15" customHeight="1" x14ac:dyDescent="0.25">
      <c r="T32752" s="135"/>
      <c r="U32752" s="135"/>
    </row>
    <row r="32753" spans="20:21" ht="15" customHeight="1" x14ac:dyDescent="0.25">
      <c r="T32753" s="135"/>
      <c r="U32753" s="135"/>
    </row>
    <row r="32754" spans="20:21" ht="15" customHeight="1" x14ac:dyDescent="0.25">
      <c r="T32754" s="135"/>
      <c r="U32754" s="135"/>
    </row>
    <row r="32755" spans="20:21" ht="15" customHeight="1" x14ac:dyDescent="0.25">
      <c r="T32755" s="135"/>
      <c r="U32755" s="135"/>
    </row>
    <row r="32756" spans="20:21" ht="15" customHeight="1" x14ac:dyDescent="0.25">
      <c r="T32756" s="135"/>
      <c r="U32756" s="135"/>
    </row>
    <row r="32757" spans="20:21" ht="15" customHeight="1" x14ac:dyDescent="0.25">
      <c r="T32757" s="135"/>
      <c r="U32757" s="135"/>
    </row>
    <row r="32758" spans="20:21" ht="15" customHeight="1" x14ac:dyDescent="0.25">
      <c r="T32758" s="135"/>
      <c r="U32758" s="135"/>
    </row>
    <row r="32759" spans="20:21" ht="15" customHeight="1" x14ac:dyDescent="0.25">
      <c r="T32759" s="135"/>
      <c r="U32759" s="135"/>
    </row>
    <row r="32760" spans="20:21" ht="15" customHeight="1" x14ac:dyDescent="0.25">
      <c r="T32760" s="135"/>
      <c r="U32760" s="135"/>
    </row>
    <row r="32761" spans="20:21" ht="15" customHeight="1" x14ac:dyDescent="0.25">
      <c r="T32761" s="135"/>
      <c r="U32761" s="135"/>
    </row>
    <row r="32762" spans="20:21" ht="15" customHeight="1" x14ac:dyDescent="0.25">
      <c r="T32762" s="135"/>
      <c r="U32762" s="135"/>
    </row>
    <row r="32763" spans="20:21" ht="15" customHeight="1" x14ac:dyDescent="0.25">
      <c r="T32763" s="135"/>
      <c r="U32763" s="135"/>
    </row>
    <row r="32764" spans="20:21" ht="15" customHeight="1" x14ac:dyDescent="0.25">
      <c r="T32764" s="135"/>
      <c r="U32764" s="135"/>
    </row>
    <row r="32765" spans="20:21" ht="15" customHeight="1" x14ac:dyDescent="0.25">
      <c r="T32765" s="135"/>
      <c r="U32765" s="135"/>
    </row>
    <row r="32766" spans="20:21" ht="15" customHeight="1" x14ac:dyDescent="0.25">
      <c r="T32766" s="135"/>
      <c r="U32766" s="135"/>
    </row>
    <row r="32767" spans="20:21" ht="15" customHeight="1" x14ac:dyDescent="0.25">
      <c r="T32767" s="135"/>
      <c r="U32767" s="135"/>
    </row>
    <row r="32768" spans="20:21" ht="15" customHeight="1" x14ac:dyDescent="0.25">
      <c r="T32768" s="135"/>
      <c r="U32768" s="135"/>
    </row>
    <row r="32769" spans="20:21" ht="15" customHeight="1" x14ac:dyDescent="0.25">
      <c r="T32769" s="135"/>
      <c r="U32769" s="135"/>
    </row>
    <row r="32770" spans="20:21" ht="15" customHeight="1" x14ac:dyDescent="0.25">
      <c r="T32770" s="135"/>
      <c r="U32770" s="135"/>
    </row>
    <row r="32771" spans="20:21" ht="15" customHeight="1" x14ac:dyDescent="0.25">
      <c r="T32771" s="135"/>
      <c r="U32771" s="135"/>
    </row>
    <row r="32772" spans="20:21" ht="15" customHeight="1" x14ac:dyDescent="0.25">
      <c r="T32772" s="135"/>
      <c r="U32772" s="135"/>
    </row>
    <row r="32773" spans="20:21" ht="15" customHeight="1" x14ac:dyDescent="0.25">
      <c r="T32773" s="135"/>
      <c r="U32773" s="135"/>
    </row>
    <row r="32774" spans="20:21" ht="15" customHeight="1" x14ac:dyDescent="0.25">
      <c r="T32774" s="135"/>
      <c r="U32774" s="135"/>
    </row>
    <row r="32775" spans="20:21" ht="15" customHeight="1" x14ac:dyDescent="0.25">
      <c r="T32775" s="135"/>
      <c r="U32775" s="135"/>
    </row>
    <row r="32776" spans="20:21" ht="15" customHeight="1" x14ac:dyDescent="0.25">
      <c r="T32776" s="135"/>
      <c r="U32776" s="135"/>
    </row>
    <row r="32777" spans="20:21" ht="15" customHeight="1" x14ac:dyDescent="0.25">
      <c r="T32777" s="135"/>
      <c r="U32777" s="135"/>
    </row>
    <row r="32778" spans="20:21" ht="15" customHeight="1" x14ac:dyDescent="0.25">
      <c r="T32778" s="135"/>
      <c r="U32778" s="135"/>
    </row>
    <row r="32779" spans="20:21" ht="15" customHeight="1" x14ac:dyDescent="0.25">
      <c r="T32779" s="135"/>
      <c r="U32779" s="135"/>
    </row>
    <row r="32780" spans="20:21" ht="15" customHeight="1" x14ac:dyDescent="0.25">
      <c r="T32780" s="135"/>
      <c r="U32780" s="135"/>
    </row>
    <row r="32781" spans="20:21" ht="15" customHeight="1" x14ac:dyDescent="0.25">
      <c r="T32781" s="135"/>
      <c r="U32781" s="135"/>
    </row>
    <row r="32782" spans="20:21" ht="15" customHeight="1" x14ac:dyDescent="0.25">
      <c r="T32782" s="135"/>
      <c r="U32782" s="135"/>
    </row>
    <row r="32783" spans="20:21" ht="15" customHeight="1" x14ac:dyDescent="0.25">
      <c r="T32783" s="135"/>
      <c r="U32783" s="135"/>
    </row>
    <row r="32784" spans="20:21" ht="15" customHeight="1" x14ac:dyDescent="0.25">
      <c r="T32784" s="135"/>
      <c r="U32784" s="135"/>
    </row>
    <row r="32785" spans="20:21" ht="15" customHeight="1" x14ac:dyDescent="0.25">
      <c r="T32785" s="135"/>
      <c r="U32785" s="135"/>
    </row>
    <row r="32786" spans="20:21" ht="15" customHeight="1" x14ac:dyDescent="0.25">
      <c r="T32786" s="135"/>
      <c r="U32786" s="135"/>
    </row>
    <row r="32787" spans="20:21" ht="15" customHeight="1" x14ac:dyDescent="0.25">
      <c r="T32787" s="135"/>
      <c r="U32787" s="135"/>
    </row>
    <row r="32788" spans="20:21" ht="15" customHeight="1" x14ac:dyDescent="0.25">
      <c r="T32788" s="135"/>
      <c r="U32788" s="135"/>
    </row>
    <row r="32789" spans="20:21" ht="15" customHeight="1" x14ac:dyDescent="0.25">
      <c r="T32789" s="135"/>
      <c r="U32789" s="135"/>
    </row>
    <row r="32790" spans="20:21" ht="15" customHeight="1" x14ac:dyDescent="0.25">
      <c r="T32790" s="135"/>
      <c r="U32790" s="135"/>
    </row>
    <row r="32791" spans="20:21" ht="15" customHeight="1" x14ac:dyDescent="0.25">
      <c r="T32791" s="135"/>
      <c r="U32791" s="135"/>
    </row>
    <row r="32792" spans="20:21" ht="15" customHeight="1" x14ac:dyDescent="0.25">
      <c r="T32792" s="135"/>
      <c r="U32792" s="135"/>
    </row>
    <row r="32793" spans="20:21" ht="15" customHeight="1" x14ac:dyDescent="0.25">
      <c r="T32793" s="135"/>
      <c r="U32793" s="135"/>
    </row>
    <row r="32794" spans="20:21" ht="15" customHeight="1" x14ac:dyDescent="0.25">
      <c r="T32794" s="135"/>
      <c r="U32794" s="135"/>
    </row>
    <row r="32795" spans="20:21" ht="15" customHeight="1" x14ac:dyDescent="0.25">
      <c r="T32795" s="135"/>
      <c r="U32795" s="135"/>
    </row>
    <row r="32796" spans="20:21" ht="15" customHeight="1" x14ac:dyDescent="0.25">
      <c r="T32796" s="135"/>
      <c r="U32796" s="135"/>
    </row>
    <row r="32797" spans="20:21" ht="15" customHeight="1" x14ac:dyDescent="0.25">
      <c r="T32797" s="135"/>
      <c r="U32797" s="135"/>
    </row>
    <row r="32798" spans="20:21" ht="15" customHeight="1" x14ac:dyDescent="0.25">
      <c r="T32798" s="135"/>
      <c r="U32798" s="135"/>
    </row>
    <row r="32799" spans="20:21" ht="15" customHeight="1" x14ac:dyDescent="0.25">
      <c r="T32799" s="135"/>
      <c r="U32799" s="135"/>
    </row>
    <row r="32800" spans="20:21" ht="15" customHeight="1" x14ac:dyDescent="0.25">
      <c r="T32800" s="135"/>
      <c r="U32800" s="135"/>
    </row>
    <row r="32801" spans="20:21" ht="15" customHeight="1" x14ac:dyDescent="0.25">
      <c r="T32801" s="135"/>
      <c r="U32801" s="135"/>
    </row>
    <row r="32802" spans="20:21" ht="15" customHeight="1" x14ac:dyDescent="0.25">
      <c r="T32802" s="135"/>
      <c r="U32802" s="135"/>
    </row>
    <row r="32803" spans="20:21" ht="15" customHeight="1" x14ac:dyDescent="0.25">
      <c r="T32803" s="135"/>
      <c r="U32803" s="135"/>
    </row>
    <row r="32804" spans="20:21" ht="15" customHeight="1" x14ac:dyDescent="0.25">
      <c r="T32804" s="135"/>
      <c r="U32804" s="135"/>
    </row>
    <row r="32805" spans="20:21" ht="15" customHeight="1" x14ac:dyDescent="0.25">
      <c r="T32805" s="135"/>
      <c r="U32805" s="135"/>
    </row>
    <row r="32806" spans="20:21" ht="15" customHeight="1" x14ac:dyDescent="0.25">
      <c r="T32806" s="135"/>
      <c r="U32806" s="135"/>
    </row>
    <row r="32807" spans="20:21" ht="15" customHeight="1" x14ac:dyDescent="0.25">
      <c r="T32807" s="135"/>
      <c r="U32807" s="135"/>
    </row>
    <row r="32808" spans="20:21" ht="15" customHeight="1" x14ac:dyDescent="0.25">
      <c r="T32808" s="135"/>
      <c r="U32808" s="135"/>
    </row>
    <row r="32809" spans="20:21" ht="15" customHeight="1" x14ac:dyDescent="0.25">
      <c r="T32809" s="135"/>
      <c r="U32809" s="135"/>
    </row>
    <row r="32810" spans="20:21" ht="15" customHeight="1" x14ac:dyDescent="0.25">
      <c r="T32810" s="135"/>
      <c r="U32810" s="135"/>
    </row>
    <row r="32811" spans="20:21" ht="15" customHeight="1" x14ac:dyDescent="0.25">
      <c r="T32811" s="135"/>
      <c r="U32811" s="135"/>
    </row>
    <row r="32812" spans="20:21" ht="15" customHeight="1" x14ac:dyDescent="0.25">
      <c r="T32812" s="135"/>
      <c r="U32812" s="135"/>
    </row>
    <row r="32813" spans="20:21" ht="15" customHeight="1" x14ac:dyDescent="0.25">
      <c r="T32813" s="135"/>
      <c r="U32813" s="135"/>
    </row>
    <row r="32814" spans="20:21" ht="15" customHeight="1" x14ac:dyDescent="0.25">
      <c r="T32814" s="135"/>
      <c r="U32814" s="135"/>
    </row>
    <row r="32815" spans="20:21" ht="15" customHeight="1" x14ac:dyDescent="0.25">
      <c r="T32815" s="135"/>
      <c r="U32815" s="135"/>
    </row>
    <row r="32816" spans="20:21" ht="15" customHeight="1" x14ac:dyDescent="0.25">
      <c r="T32816" s="135"/>
      <c r="U32816" s="135"/>
    </row>
    <row r="32817" spans="20:21" ht="15" customHeight="1" x14ac:dyDescent="0.25">
      <c r="T32817" s="135"/>
      <c r="U32817" s="135"/>
    </row>
    <row r="32818" spans="20:21" ht="15" customHeight="1" x14ac:dyDescent="0.25">
      <c r="T32818" s="135"/>
      <c r="U32818" s="135"/>
    </row>
    <row r="32819" spans="20:21" ht="15" customHeight="1" x14ac:dyDescent="0.25">
      <c r="T32819" s="135"/>
      <c r="U32819" s="135"/>
    </row>
    <row r="32820" spans="20:21" ht="15" customHeight="1" x14ac:dyDescent="0.25">
      <c r="T32820" s="135"/>
      <c r="U32820" s="135"/>
    </row>
    <row r="32821" spans="20:21" ht="15" customHeight="1" x14ac:dyDescent="0.25">
      <c r="T32821" s="135"/>
      <c r="U32821" s="135"/>
    </row>
    <row r="32822" spans="20:21" ht="15" customHeight="1" x14ac:dyDescent="0.25">
      <c r="T32822" s="135"/>
      <c r="U32822" s="135"/>
    </row>
    <row r="32823" spans="20:21" ht="15" customHeight="1" x14ac:dyDescent="0.25">
      <c r="T32823" s="135"/>
      <c r="U32823" s="135"/>
    </row>
    <row r="32824" spans="20:21" ht="15" customHeight="1" x14ac:dyDescent="0.25">
      <c r="T32824" s="135"/>
      <c r="U32824" s="135"/>
    </row>
    <row r="32825" spans="20:21" ht="15" customHeight="1" x14ac:dyDescent="0.25">
      <c r="T32825" s="135"/>
      <c r="U32825" s="135"/>
    </row>
    <row r="32826" spans="20:21" ht="15" customHeight="1" x14ac:dyDescent="0.25">
      <c r="T32826" s="135"/>
      <c r="U32826" s="135"/>
    </row>
    <row r="32827" spans="20:21" ht="15" customHeight="1" x14ac:dyDescent="0.25">
      <c r="T32827" s="135"/>
      <c r="U32827" s="135"/>
    </row>
    <row r="32828" spans="20:21" ht="15" customHeight="1" x14ac:dyDescent="0.25">
      <c r="T32828" s="135"/>
      <c r="U32828" s="135"/>
    </row>
    <row r="32829" spans="20:21" ht="15" customHeight="1" x14ac:dyDescent="0.25">
      <c r="T32829" s="135"/>
      <c r="U32829" s="135"/>
    </row>
    <row r="32830" spans="20:21" ht="15" customHeight="1" x14ac:dyDescent="0.25">
      <c r="T32830" s="135"/>
      <c r="U32830" s="135"/>
    </row>
    <row r="32831" spans="20:21" ht="15" customHeight="1" x14ac:dyDescent="0.25">
      <c r="T32831" s="135"/>
      <c r="U32831" s="135"/>
    </row>
    <row r="32832" spans="20:21" ht="15" customHeight="1" x14ac:dyDescent="0.25">
      <c r="T32832" s="135"/>
      <c r="U32832" s="135"/>
    </row>
    <row r="32833" spans="20:21" ht="15" customHeight="1" x14ac:dyDescent="0.25">
      <c r="T32833" s="135"/>
      <c r="U32833" s="135"/>
    </row>
    <row r="32834" spans="20:21" ht="15" customHeight="1" x14ac:dyDescent="0.25">
      <c r="T32834" s="135"/>
      <c r="U32834" s="135"/>
    </row>
    <row r="32835" spans="20:21" ht="15" customHeight="1" x14ac:dyDescent="0.25">
      <c r="T32835" s="135"/>
      <c r="U32835" s="135"/>
    </row>
    <row r="32836" spans="20:21" ht="15" customHeight="1" x14ac:dyDescent="0.25">
      <c r="T32836" s="135"/>
      <c r="U32836" s="135"/>
    </row>
    <row r="32837" spans="20:21" ht="15" customHeight="1" x14ac:dyDescent="0.25">
      <c r="T32837" s="135"/>
      <c r="U32837" s="135"/>
    </row>
    <row r="32838" spans="20:21" ht="15" customHeight="1" x14ac:dyDescent="0.25">
      <c r="T32838" s="135"/>
      <c r="U32838" s="135"/>
    </row>
    <row r="32839" spans="20:21" ht="15" customHeight="1" x14ac:dyDescent="0.25">
      <c r="T32839" s="135"/>
      <c r="U32839" s="135"/>
    </row>
    <row r="32840" spans="20:21" ht="15" customHeight="1" x14ac:dyDescent="0.25">
      <c r="T32840" s="135"/>
      <c r="U32840" s="135"/>
    </row>
    <row r="32841" spans="20:21" ht="15" customHeight="1" x14ac:dyDescent="0.25">
      <c r="T32841" s="135"/>
      <c r="U32841" s="135"/>
    </row>
    <row r="32842" spans="20:21" ht="15" customHeight="1" x14ac:dyDescent="0.25">
      <c r="T32842" s="135"/>
      <c r="U32842" s="135"/>
    </row>
    <row r="32843" spans="20:21" ht="15" customHeight="1" x14ac:dyDescent="0.25">
      <c r="T32843" s="135"/>
      <c r="U32843" s="135"/>
    </row>
    <row r="32844" spans="20:21" ht="15" customHeight="1" x14ac:dyDescent="0.25">
      <c r="T32844" s="135"/>
      <c r="U32844" s="135"/>
    </row>
    <row r="32845" spans="20:21" ht="15" customHeight="1" x14ac:dyDescent="0.25">
      <c r="T32845" s="135"/>
      <c r="U32845" s="135"/>
    </row>
    <row r="32846" spans="20:21" ht="15" customHeight="1" x14ac:dyDescent="0.25">
      <c r="T32846" s="135"/>
      <c r="U32846" s="135"/>
    </row>
    <row r="32847" spans="20:21" ht="15" customHeight="1" x14ac:dyDescent="0.25">
      <c r="T32847" s="135"/>
      <c r="U32847" s="135"/>
    </row>
    <row r="32848" spans="20:21" ht="15" customHeight="1" x14ac:dyDescent="0.25">
      <c r="T32848" s="135"/>
      <c r="U32848" s="135"/>
    </row>
    <row r="32849" spans="20:21" ht="15" customHeight="1" x14ac:dyDescent="0.25">
      <c r="T32849" s="135"/>
      <c r="U32849" s="135"/>
    </row>
    <row r="32850" spans="20:21" ht="15" customHeight="1" x14ac:dyDescent="0.25">
      <c r="T32850" s="135"/>
      <c r="U32850" s="135"/>
    </row>
    <row r="32851" spans="20:21" ht="15" customHeight="1" x14ac:dyDescent="0.25">
      <c r="T32851" s="135"/>
      <c r="U32851" s="135"/>
    </row>
    <row r="32852" spans="20:21" ht="15" customHeight="1" x14ac:dyDescent="0.25">
      <c r="T32852" s="135"/>
      <c r="U32852" s="135"/>
    </row>
    <row r="32853" spans="20:21" ht="15" customHeight="1" x14ac:dyDescent="0.25">
      <c r="T32853" s="135"/>
      <c r="U32853" s="135"/>
    </row>
    <row r="32854" spans="20:21" ht="15" customHeight="1" x14ac:dyDescent="0.25">
      <c r="T32854" s="135"/>
      <c r="U32854" s="135"/>
    </row>
    <row r="32855" spans="20:21" ht="15" customHeight="1" x14ac:dyDescent="0.25">
      <c r="T32855" s="135"/>
      <c r="U32855" s="135"/>
    </row>
    <row r="32856" spans="20:21" ht="15" customHeight="1" x14ac:dyDescent="0.25">
      <c r="T32856" s="135"/>
      <c r="U32856" s="135"/>
    </row>
    <row r="32857" spans="20:21" ht="15" customHeight="1" x14ac:dyDescent="0.25">
      <c r="T32857" s="135"/>
      <c r="U32857" s="135"/>
    </row>
    <row r="32858" spans="20:21" ht="15" customHeight="1" x14ac:dyDescent="0.25">
      <c r="T32858" s="135"/>
      <c r="U32858" s="135"/>
    </row>
    <row r="32859" spans="20:21" ht="15" customHeight="1" x14ac:dyDescent="0.25">
      <c r="T32859" s="135"/>
      <c r="U32859" s="135"/>
    </row>
    <row r="32860" spans="20:21" ht="15" customHeight="1" x14ac:dyDescent="0.25">
      <c r="T32860" s="135"/>
      <c r="U32860" s="135"/>
    </row>
    <row r="32861" spans="20:21" ht="15" customHeight="1" x14ac:dyDescent="0.25">
      <c r="T32861" s="135"/>
      <c r="U32861" s="135"/>
    </row>
    <row r="32862" spans="20:21" ht="15" customHeight="1" x14ac:dyDescent="0.25">
      <c r="T32862" s="135"/>
      <c r="U32862" s="135"/>
    </row>
    <row r="32863" spans="20:21" ht="15" customHeight="1" x14ac:dyDescent="0.25">
      <c r="T32863" s="135"/>
      <c r="U32863" s="135"/>
    </row>
    <row r="32864" spans="20:21" ht="15" customHeight="1" x14ac:dyDescent="0.25">
      <c r="T32864" s="135"/>
      <c r="U32864" s="135"/>
    </row>
    <row r="32865" spans="20:21" ht="15" customHeight="1" x14ac:dyDescent="0.25">
      <c r="T32865" s="135"/>
      <c r="U32865" s="135"/>
    </row>
    <row r="32866" spans="20:21" ht="15" customHeight="1" x14ac:dyDescent="0.25">
      <c r="T32866" s="135"/>
      <c r="U32866" s="135"/>
    </row>
    <row r="32867" spans="20:21" ht="15" customHeight="1" x14ac:dyDescent="0.25">
      <c r="T32867" s="135"/>
      <c r="U32867" s="135"/>
    </row>
    <row r="32868" spans="20:21" ht="15" customHeight="1" x14ac:dyDescent="0.25">
      <c r="T32868" s="135"/>
      <c r="U32868" s="135"/>
    </row>
    <row r="32869" spans="20:21" ht="15" customHeight="1" x14ac:dyDescent="0.25">
      <c r="T32869" s="135"/>
      <c r="U32869" s="135"/>
    </row>
    <row r="32870" spans="20:21" ht="15" customHeight="1" x14ac:dyDescent="0.25">
      <c r="T32870" s="135"/>
      <c r="U32870" s="135"/>
    </row>
    <row r="32871" spans="20:21" ht="15" customHeight="1" x14ac:dyDescent="0.25">
      <c r="T32871" s="135"/>
      <c r="U32871" s="135"/>
    </row>
    <row r="32872" spans="20:21" ht="15" customHeight="1" x14ac:dyDescent="0.25">
      <c r="T32872" s="135"/>
      <c r="U32872" s="135"/>
    </row>
    <row r="32873" spans="20:21" ht="15" customHeight="1" x14ac:dyDescent="0.25">
      <c r="T32873" s="135"/>
      <c r="U32873" s="135"/>
    </row>
    <row r="32874" spans="20:21" ht="15" customHeight="1" x14ac:dyDescent="0.25">
      <c r="T32874" s="135"/>
      <c r="U32874" s="135"/>
    </row>
    <row r="32875" spans="20:21" ht="15" customHeight="1" x14ac:dyDescent="0.25">
      <c r="T32875" s="135"/>
      <c r="U32875" s="135"/>
    </row>
    <row r="32876" spans="20:21" ht="15" customHeight="1" x14ac:dyDescent="0.25">
      <c r="T32876" s="135"/>
      <c r="U32876" s="135"/>
    </row>
    <row r="32877" spans="20:21" ht="15" customHeight="1" x14ac:dyDescent="0.25">
      <c r="T32877" s="135"/>
      <c r="U32877" s="135"/>
    </row>
    <row r="32878" spans="20:21" ht="15" customHeight="1" x14ac:dyDescent="0.25">
      <c r="T32878" s="135"/>
      <c r="U32878" s="135"/>
    </row>
    <row r="32879" spans="20:21" ht="15" customHeight="1" x14ac:dyDescent="0.25">
      <c r="T32879" s="135"/>
      <c r="U32879" s="135"/>
    </row>
    <row r="32880" spans="20:21" ht="15" customHeight="1" x14ac:dyDescent="0.25">
      <c r="T32880" s="135"/>
      <c r="U32880" s="135"/>
    </row>
    <row r="32881" spans="20:21" ht="15" customHeight="1" x14ac:dyDescent="0.25">
      <c r="T32881" s="135"/>
      <c r="U32881" s="135"/>
    </row>
    <row r="32882" spans="20:21" ht="15" customHeight="1" x14ac:dyDescent="0.25">
      <c r="T32882" s="135"/>
      <c r="U32882" s="135"/>
    </row>
    <row r="32883" spans="20:21" ht="15" customHeight="1" x14ac:dyDescent="0.25">
      <c r="T32883" s="135"/>
      <c r="U32883" s="135"/>
    </row>
    <row r="32884" spans="20:21" ht="15" customHeight="1" x14ac:dyDescent="0.25">
      <c r="T32884" s="135"/>
      <c r="U32884" s="135"/>
    </row>
    <row r="32885" spans="20:21" ht="15" customHeight="1" x14ac:dyDescent="0.25">
      <c r="T32885" s="135"/>
      <c r="U32885" s="135"/>
    </row>
    <row r="32886" spans="20:21" ht="15" customHeight="1" x14ac:dyDescent="0.25">
      <c r="T32886" s="135"/>
      <c r="U32886" s="135"/>
    </row>
    <row r="32887" spans="20:21" ht="15" customHeight="1" x14ac:dyDescent="0.25">
      <c r="T32887" s="135"/>
      <c r="U32887" s="135"/>
    </row>
    <row r="32888" spans="20:21" ht="15" customHeight="1" x14ac:dyDescent="0.25">
      <c r="T32888" s="135"/>
      <c r="U32888" s="135"/>
    </row>
    <row r="32889" spans="20:21" ht="15" customHeight="1" x14ac:dyDescent="0.25">
      <c r="T32889" s="135"/>
      <c r="U32889" s="135"/>
    </row>
    <row r="32890" spans="20:21" ht="15" customHeight="1" x14ac:dyDescent="0.25">
      <c r="T32890" s="135"/>
      <c r="U32890" s="135"/>
    </row>
    <row r="32891" spans="20:21" ht="15" customHeight="1" x14ac:dyDescent="0.25">
      <c r="T32891" s="135"/>
      <c r="U32891" s="135"/>
    </row>
    <row r="32892" spans="20:21" ht="15" customHeight="1" x14ac:dyDescent="0.25">
      <c r="T32892" s="135"/>
      <c r="U32892" s="135"/>
    </row>
    <row r="32893" spans="20:21" ht="15" customHeight="1" x14ac:dyDescent="0.25">
      <c r="T32893" s="135"/>
      <c r="U32893" s="135"/>
    </row>
    <row r="32894" spans="20:21" ht="15" customHeight="1" x14ac:dyDescent="0.25">
      <c r="T32894" s="135"/>
      <c r="U32894" s="135"/>
    </row>
    <row r="32895" spans="20:21" ht="15" customHeight="1" x14ac:dyDescent="0.25">
      <c r="T32895" s="135"/>
      <c r="U32895" s="135"/>
    </row>
    <row r="32896" spans="20:21" ht="15" customHeight="1" x14ac:dyDescent="0.25">
      <c r="T32896" s="135"/>
      <c r="U32896" s="135"/>
    </row>
    <row r="32897" spans="20:21" ht="15" customHeight="1" x14ac:dyDescent="0.25">
      <c r="T32897" s="135"/>
      <c r="U32897" s="135"/>
    </row>
    <row r="32898" spans="20:21" ht="15" customHeight="1" x14ac:dyDescent="0.25">
      <c r="T32898" s="135"/>
      <c r="U32898" s="135"/>
    </row>
    <row r="32899" spans="20:21" ht="15" customHeight="1" x14ac:dyDescent="0.25">
      <c r="T32899" s="135"/>
      <c r="U32899" s="135"/>
    </row>
    <row r="32900" spans="20:21" ht="15" customHeight="1" x14ac:dyDescent="0.25">
      <c r="T32900" s="135"/>
      <c r="U32900" s="135"/>
    </row>
    <row r="32901" spans="20:21" ht="15" customHeight="1" x14ac:dyDescent="0.25">
      <c r="T32901" s="135"/>
      <c r="U32901" s="135"/>
    </row>
    <row r="32902" spans="20:21" ht="15" customHeight="1" x14ac:dyDescent="0.25">
      <c r="T32902" s="135"/>
      <c r="U32902" s="135"/>
    </row>
    <row r="32903" spans="20:21" ht="15" customHeight="1" x14ac:dyDescent="0.25">
      <c r="T32903" s="135"/>
      <c r="U32903" s="135"/>
    </row>
    <row r="32904" spans="20:21" ht="15" customHeight="1" x14ac:dyDescent="0.25">
      <c r="T32904" s="135"/>
      <c r="U32904" s="135"/>
    </row>
    <row r="32905" spans="20:21" ht="15" customHeight="1" x14ac:dyDescent="0.25">
      <c r="T32905" s="135"/>
      <c r="U32905" s="135"/>
    </row>
    <row r="32906" spans="20:21" ht="15" customHeight="1" x14ac:dyDescent="0.25">
      <c r="T32906" s="135"/>
      <c r="U32906" s="135"/>
    </row>
    <row r="32907" spans="20:21" ht="15" customHeight="1" x14ac:dyDescent="0.25">
      <c r="T32907" s="135"/>
      <c r="U32907" s="135"/>
    </row>
    <row r="32908" spans="20:21" ht="15" customHeight="1" x14ac:dyDescent="0.25">
      <c r="T32908" s="135"/>
      <c r="U32908" s="135"/>
    </row>
    <row r="32909" spans="20:21" ht="15" customHeight="1" x14ac:dyDescent="0.25">
      <c r="T32909" s="135"/>
      <c r="U32909" s="135"/>
    </row>
    <row r="32910" spans="20:21" ht="15" customHeight="1" x14ac:dyDescent="0.25">
      <c r="T32910" s="135"/>
      <c r="U32910" s="135"/>
    </row>
    <row r="32911" spans="20:21" ht="15" customHeight="1" x14ac:dyDescent="0.25">
      <c r="T32911" s="135"/>
      <c r="U32911" s="135"/>
    </row>
    <row r="32912" spans="20:21" ht="15" customHeight="1" x14ac:dyDescent="0.25">
      <c r="T32912" s="135"/>
      <c r="U32912" s="135"/>
    </row>
    <row r="32913" spans="20:21" ht="15" customHeight="1" x14ac:dyDescent="0.25">
      <c r="T32913" s="135"/>
      <c r="U32913" s="135"/>
    </row>
    <row r="32914" spans="20:21" ht="15" customHeight="1" x14ac:dyDescent="0.25">
      <c r="T32914" s="135"/>
      <c r="U32914" s="135"/>
    </row>
    <row r="32915" spans="20:21" ht="15" customHeight="1" x14ac:dyDescent="0.25">
      <c r="T32915" s="135"/>
      <c r="U32915" s="135"/>
    </row>
    <row r="32916" spans="20:21" ht="15" customHeight="1" x14ac:dyDescent="0.25">
      <c r="T32916" s="135"/>
      <c r="U32916" s="135"/>
    </row>
    <row r="32917" spans="20:21" ht="15" customHeight="1" x14ac:dyDescent="0.25">
      <c r="T32917" s="135"/>
      <c r="U32917" s="135"/>
    </row>
    <row r="32918" spans="20:21" ht="15" customHeight="1" x14ac:dyDescent="0.25">
      <c r="T32918" s="135"/>
      <c r="U32918" s="135"/>
    </row>
    <row r="32919" spans="20:21" ht="15" customHeight="1" x14ac:dyDescent="0.25">
      <c r="T32919" s="135"/>
      <c r="U32919" s="135"/>
    </row>
    <row r="32920" spans="20:21" ht="15" customHeight="1" x14ac:dyDescent="0.25">
      <c r="T32920" s="135"/>
      <c r="U32920" s="135"/>
    </row>
    <row r="32921" spans="20:21" ht="15" customHeight="1" x14ac:dyDescent="0.25">
      <c r="T32921" s="135"/>
      <c r="U32921" s="135"/>
    </row>
    <row r="32922" spans="20:21" ht="15" customHeight="1" x14ac:dyDescent="0.25">
      <c r="T32922" s="135"/>
      <c r="U32922" s="135"/>
    </row>
    <row r="32923" spans="20:21" ht="15" customHeight="1" x14ac:dyDescent="0.25">
      <c r="T32923" s="135"/>
      <c r="U32923" s="135"/>
    </row>
    <row r="32924" spans="20:21" ht="15" customHeight="1" x14ac:dyDescent="0.25">
      <c r="T32924" s="135"/>
      <c r="U32924" s="135"/>
    </row>
    <row r="32925" spans="20:21" ht="15" customHeight="1" x14ac:dyDescent="0.25">
      <c r="T32925" s="135"/>
      <c r="U32925" s="135"/>
    </row>
    <row r="32926" spans="20:21" ht="15" customHeight="1" x14ac:dyDescent="0.25">
      <c r="T32926" s="135"/>
      <c r="U32926" s="135"/>
    </row>
    <row r="32927" spans="20:21" ht="15" customHeight="1" x14ac:dyDescent="0.25">
      <c r="T32927" s="135"/>
      <c r="U32927" s="135"/>
    </row>
    <row r="32928" spans="20:21" ht="15" customHeight="1" x14ac:dyDescent="0.25">
      <c r="T32928" s="135"/>
      <c r="U32928" s="135"/>
    </row>
    <row r="32929" spans="20:21" ht="15" customHeight="1" x14ac:dyDescent="0.25">
      <c r="T32929" s="135"/>
      <c r="U32929" s="135"/>
    </row>
    <row r="32930" spans="20:21" ht="15" customHeight="1" x14ac:dyDescent="0.25">
      <c r="T32930" s="135"/>
      <c r="U32930" s="135"/>
    </row>
    <row r="32931" spans="20:21" ht="15" customHeight="1" x14ac:dyDescent="0.25">
      <c r="T32931" s="135"/>
      <c r="U32931" s="135"/>
    </row>
    <row r="32932" spans="20:21" ht="15" customHeight="1" x14ac:dyDescent="0.25">
      <c r="T32932" s="135"/>
      <c r="U32932" s="135"/>
    </row>
    <row r="32933" spans="20:21" ht="15" customHeight="1" x14ac:dyDescent="0.25">
      <c r="T32933" s="135"/>
      <c r="U32933" s="135"/>
    </row>
    <row r="32934" spans="20:21" ht="15" customHeight="1" x14ac:dyDescent="0.25">
      <c r="T32934" s="135"/>
      <c r="U32934" s="135"/>
    </row>
    <row r="32935" spans="20:21" ht="15" customHeight="1" x14ac:dyDescent="0.25">
      <c r="T32935" s="135"/>
      <c r="U32935" s="135"/>
    </row>
    <row r="32936" spans="20:21" ht="15" customHeight="1" x14ac:dyDescent="0.25">
      <c r="T32936" s="135"/>
      <c r="U32936" s="135"/>
    </row>
    <row r="32937" spans="20:21" ht="15" customHeight="1" x14ac:dyDescent="0.25">
      <c r="T32937" s="135"/>
      <c r="U32937" s="135"/>
    </row>
    <row r="32938" spans="20:21" ht="15" customHeight="1" x14ac:dyDescent="0.25">
      <c r="T32938" s="135"/>
      <c r="U32938" s="135"/>
    </row>
    <row r="32939" spans="20:21" ht="15" customHeight="1" x14ac:dyDescent="0.25">
      <c r="T32939" s="135"/>
      <c r="U32939" s="135"/>
    </row>
    <row r="32940" spans="20:21" ht="15" customHeight="1" x14ac:dyDescent="0.25">
      <c r="T32940" s="135"/>
      <c r="U32940" s="135"/>
    </row>
    <row r="32941" spans="20:21" ht="15" customHeight="1" x14ac:dyDescent="0.25">
      <c r="T32941" s="135"/>
      <c r="U32941" s="135"/>
    </row>
    <row r="32942" spans="20:21" ht="15" customHeight="1" x14ac:dyDescent="0.25">
      <c r="T32942" s="135"/>
      <c r="U32942" s="135"/>
    </row>
    <row r="32943" spans="20:21" ht="15" customHeight="1" x14ac:dyDescent="0.25">
      <c r="T32943" s="135"/>
      <c r="U32943" s="135"/>
    </row>
    <row r="32944" spans="20:21" ht="15" customHeight="1" x14ac:dyDescent="0.25">
      <c r="T32944" s="135"/>
      <c r="U32944" s="135"/>
    </row>
    <row r="32945" spans="20:21" ht="15" customHeight="1" x14ac:dyDescent="0.25">
      <c r="T32945" s="135"/>
      <c r="U32945" s="135"/>
    </row>
    <row r="32946" spans="20:21" ht="15" customHeight="1" x14ac:dyDescent="0.25">
      <c r="T32946" s="135"/>
      <c r="U32946" s="135"/>
    </row>
    <row r="32947" spans="20:21" ht="15" customHeight="1" x14ac:dyDescent="0.25">
      <c r="T32947" s="135"/>
      <c r="U32947" s="135"/>
    </row>
    <row r="32948" spans="20:21" ht="15" customHeight="1" x14ac:dyDescent="0.25">
      <c r="T32948" s="135"/>
      <c r="U32948" s="135"/>
    </row>
    <row r="32949" spans="20:21" ht="15" customHeight="1" x14ac:dyDescent="0.25">
      <c r="T32949" s="135"/>
      <c r="U32949" s="135"/>
    </row>
    <row r="32950" spans="20:21" ht="15" customHeight="1" x14ac:dyDescent="0.25">
      <c r="T32950" s="135"/>
      <c r="U32950" s="135"/>
    </row>
    <row r="32951" spans="20:21" ht="15" customHeight="1" x14ac:dyDescent="0.25">
      <c r="T32951" s="135"/>
      <c r="U32951" s="135"/>
    </row>
    <row r="32952" spans="20:21" ht="15" customHeight="1" x14ac:dyDescent="0.25">
      <c r="T32952" s="135"/>
      <c r="U32952" s="135"/>
    </row>
    <row r="32953" spans="20:21" ht="15" customHeight="1" x14ac:dyDescent="0.25">
      <c r="T32953" s="135"/>
      <c r="U32953" s="135"/>
    </row>
    <row r="32954" spans="20:21" ht="15" customHeight="1" x14ac:dyDescent="0.25">
      <c r="T32954" s="135"/>
      <c r="U32954" s="135"/>
    </row>
    <row r="32955" spans="20:21" ht="15" customHeight="1" x14ac:dyDescent="0.25">
      <c r="T32955" s="135"/>
      <c r="U32955" s="135"/>
    </row>
    <row r="32956" spans="20:21" ht="15" customHeight="1" x14ac:dyDescent="0.25">
      <c r="T32956" s="135"/>
      <c r="U32956" s="135"/>
    </row>
    <row r="32957" spans="20:21" ht="15" customHeight="1" x14ac:dyDescent="0.25">
      <c r="T32957" s="135"/>
      <c r="U32957" s="135"/>
    </row>
    <row r="32958" spans="20:21" ht="15" customHeight="1" x14ac:dyDescent="0.25">
      <c r="T32958" s="135"/>
      <c r="U32958" s="135"/>
    </row>
    <row r="32959" spans="20:21" ht="15" customHeight="1" x14ac:dyDescent="0.25">
      <c r="T32959" s="135"/>
      <c r="U32959" s="135"/>
    </row>
    <row r="32960" spans="20:21" ht="15" customHeight="1" x14ac:dyDescent="0.25">
      <c r="T32960" s="135"/>
      <c r="U32960" s="135"/>
    </row>
    <row r="32961" spans="20:21" ht="15" customHeight="1" x14ac:dyDescent="0.25">
      <c r="T32961" s="135"/>
      <c r="U32961" s="135"/>
    </row>
    <row r="32962" spans="20:21" ht="15" customHeight="1" x14ac:dyDescent="0.25">
      <c r="T32962" s="135"/>
      <c r="U32962" s="135"/>
    </row>
    <row r="32963" spans="20:21" ht="15" customHeight="1" x14ac:dyDescent="0.25">
      <c r="T32963" s="135"/>
      <c r="U32963" s="135"/>
    </row>
    <row r="32964" spans="20:21" ht="15" customHeight="1" x14ac:dyDescent="0.25">
      <c r="T32964" s="135"/>
      <c r="U32964" s="135"/>
    </row>
    <row r="32965" spans="20:21" ht="15" customHeight="1" x14ac:dyDescent="0.25">
      <c r="T32965" s="135"/>
      <c r="U32965" s="135"/>
    </row>
    <row r="32966" spans="20:21" ht="15" customHeight="1" x14ac:dyDescent="0.25">
      <c r="T32966" s="135"/>
      <c r="U32966" s="135"/>
    </row>
    <row r="32967" spans="20:21" ht="15" customHeight="1" x14ac:dyDescent="0.25">
      <c r="T32967" s="135"/>
      <c r="U32967" s="135"/>
    </row>
    <row r="32968" spans="20:21" ht="15" customHeight="1" x14ac:dyDescent="0.25">
      <c r="T32968" s="135"/>
      <c r="U32968" s="135"/>
    </row>
    <row r="32969" spans="20:21" ht="15" customHeight="1" x14ac:dyDescent="0.25">
      <c r="T32969" s="135"/>
      <c r="U32969" s="135"/>
    </row>
    <row r="32970" spans="20:21" ht="15" customHeight="1" x14ac:dyDescent="0.25">
      <c r="T32970" s="135"/>
      <c r="U32970" s="135"/>
    </row>
    <row r="32971" spans="20:21" ht="15" customHeight="1" x14ac:dyDescent="0.25">
      <c r="T32971" s="135"/>
      <c r="U32971" s="135"/>
    </row>
    <row r="32972" spans="20:21" ht="15" customHeight="1" x14ac:dyDescent="0.25">
      <c r="T32972" s="135"/>
      <c r="U32972" s="135"/>
    </row>
    <row r="32973" spans="20:21" ht="15" customHeight="1" x14ac:dyDescent="0.25">
      <c r="T32973" s="135"/>
      <c r="U32973" s="135"/>
    </row>
    <row r="32974" spans="20:21" ht="15" customHeight="1" x14ac:dyDescent="0.25">
      <c r="T32974" s="135"/>
      <c r="U32974" s="135"/>
    </row>
    <row r="32975" spans="20:21" ht="15" customHeight="1" x14ac:dyDescent="0.25">
      <c r="T32975" s="135"/>
      <c r="U32975" s="135"/>
    </row>
    <row r="32976" spans="20:21" ht="15" customHeight="1" x14ac:dyDescent="0.25">
      <c r="T32976" s="135"/>
      <c r="U32976" s="135"/>
    </row>
    <row r="32977" spans="20:21" ht="15" customHeight="1" x14ac:dyDescent="0.25">
      <c r="T32977" s="135"/>
      <c r="U32977" s="135"/>
    </row>
    <row r="32978" spans="20:21" ht="15" customHeight="1" x14ac:dyDescent="0.25">
      <c r="T32978" s="135"/>
      <c r="U32978" s="135"/>
    </row>
    <row r="32979" spans="20:21" ht="15" customHeight="1" x14ac:dyDescent="0.25">
      <c r="T32979" s="135"/>
      <c r="U32979" s="135"/>
    </row>
    <row r="32980" spans="20:21" ht="15" customHeight="1" x14ac:dyDescent="0.25">
      <c r="T32980" s="135"/>
      <c r="U32980" s="135"/>
    </row>
    <row r="32981" spans="20:21" ht="15" customHeight="1" x14ac:dyDescent="0.25">
      <c r="T32981" s="135"/>
      <c r="U32981" s="135"/>
    </row>
    <row r="32982" spans="20:21" ht="15" customHeight="1" x14ac:dyDescent="0.25">
      <c r="T32982" s="135"/>
      <c r="U32982" s="135"/>
    </row>
    <row r="32983" spans="20:21" ht="15" customHeight="1" x14ac:dyDescent="0.25">
      <c r="T32983" s="135"/>
      <c r="U32983" s="135"/>
    </row>
    <row r="32984" spans="20:21" ht="15" customHeight="1" x14ac:dyDescent="0.25">
      <c r="T32984" s="135"/>
      <c r="U32984" s="135"/>
    </row>
    <row r="32985" spans="20:21" ht="15" customHeight="1" x14ac:dyDescent="0.25">
      <c r="T32985" s="135"/>
      <c r="U32985" s="135"/>
    </row>
    <row r="32986" spans="20:21" ht="15" customHeight="1" x14ac:dyDescent="0.25">
      <c r="T32986" s="135"/>
      <c r="U32986" s="135"/>
    </row>
    <row r="32987" spans="20:21" ht="15" customHeight="1" x14ac:dyDescent="0.25">
      <c r="T32987" s="135"/>
      <c r="U32987" s="135"/>
    </row>
    <row r="32988" spans="20:21" ht="15" customHeight="1" x14ac:dyDescent="0.25">
      <c r="T32988" s="135"/>
      <c r="U32988" s="135"/>
    </row>
    <row r="32989" spans="20:21" ht="15" customHeight="1" x14ac:dyDescent="0.25">
      <c r="T32989" s="135"/>
      <c r="U32989" s="135"/>
    </row>
    <row r="32990" spans="20:21" ht="15" customHeight="1" x14ac:dyDescent="0.25">
      <c r="T32990" s="135"/>
      <c r="U32990" s="135"/>
    </row>
    <row r="32991" spans="20:21" ht="15" customHeight="1" x14ac:dyDescent="0.25">
      <c r="T32991" s="135"/>
      <c r="U32991" s="135"/>
    </row>
    <row r="32992" spans="20:21" ht="15" customHeight="1" x14ac:dyDescent="0.25">
      <c r="T32992" s="135"/>
      <c r="U32992" s="135"/>
    </row>
    <row r="32993" spans="20:21" ht="15" customHeight="1" x14ac:dyDescent="0.25">
      <c r="T32993" s="135"/>
      <c r="U32993" s="135"/>
    </row>
    <row r="32994" spans="20:21" ht="15" customHeight="1" x14ac:dyDescent="0.25">
      <c r="T32994" s="135"/>
      <c r="U32994" s="135"/>
    </row>
    <row r="32995" spans="20:21" ht="15" customHeight="1" x14ac:dyDescent="0.25">
      <c r="T32995" s="135"/>
      <c r="U32995" s="135"/>
    </row>
    <row r="32996" spans="20:21" ht="15" customHeight="1" x14ac:dyDescent="0.25">
      <c r="T32996" s="135"/>
      <c r="U32996" s="135"/>
    </row>
    <row r="32997" spans="20:21" ht="15" customHeight="1" x14ac:dyDescent="0.25">
      <c r="T32997" s="135"/>
      <c r="U32997" s="135"/>
    </row>
    <row r="32998" spans="20:21" ht="15" customHeight="1" x14ac:dyDescent="0.25">
      <c r="T32998" s="135"/>
      <c r="U32998" s="135"/>
    </row>
    <row r="32999" spans="20:21" ht="15" customHeight="1" x14ac:dyDescent="0.25">
      <c r="T32999" s="135"/>
      <c r="U32999" s="135"/>
    </row>
    <row r="33000" spans="20:21" ht="15" customHeight="1" x14ac:dyDescent="0.25">
      <c r="T33000" s="135"/>
      <c r="U33000" s="135"/>
    </row>
    <row r="33001" spans="20:21" ht="15" customHeight="1" x14ac:dyDescent="0.25">
      <c r="T33001" s="135"/>
      <c r="U33001" s="135"/>
    </row>
    <row r="33002" spans="20:21" ht="15" customHeight="1" x14ac:dyDescent="0.25">
      <c r="T33002" s="135"/>
      <c r="U33002" s="135"/>
    </row>
    <row r="33003" spans="20:21" ht="15" customHeight="1" x14ac:dyDescent="0.25">
      <c r="T33003" s="135"/>
      <c r="U33003" s="135"/>
    </row>
    <row r="33004" spans="20:21" ht="15" customHeight="1" x14ac:dyDescent="0.25">
      <c r="T33004" s="135"/>
      <c r="U33004" s="135"/>
    </row>
    <row r="33005" spans="20:21" ht="15" customHeight="1" x14ac:dyDescent="0.25">
      <c r="T33005" s="135"/>
      <c r="U33005" s="135"/>
    </row>
    <row r="33006" spans="20:21" ht="15" customHeight="1" x14ac:dyDescent="0.25">
      <c r="T33006" s="135"/>
      <c r="U33006" s="135"/>
    </row>
    <row r="33007" spans="20:21" ht="15" customHeight="1" x14ac:dyDescent="0.25">
      <c r="T33007" s="135"/>
      <c r="U33007" s="135"/>
    </row>
    <row r="33008" spans="20:21" ht="15" customHeight="1" x14ac:dyDescent="0.25">
      <c r="T33008" s="135"/>
      <c r="U33008" s="135"/>
    </row>
    <row r="33009" spans="20:21" ht="15" customHeight="1" x14ac:dyDescent="0.25">
      <c r="T33009" s="135"/>
      <c r="U33009" s="135"/>
    </row>
    <row r="33010" spans="20:21" ht="15" customHeight="1" x14ac:dyDescent="0.25">
      <c r="T33010" s="135"/>
      <c r="U33010" s="135"/>
    </row>
    <row r="33011" spans="20:21" ht="15" customHeight="1" x14ac:dyDescent="0.25">
      <c r="T33011" s="135"/>
      <c r="U33011" s="135"/>
    </row>
    <row r="33012" spans="20:21" ht="15" customHeight="1" x14ac:dyDescent="0.25">
      <c r="T33012" s="135"/>
      <c r="U33012" s="135"/>
    </row>
    <row r="33013" spans="20:21" ht="15" customHeight="1" x14ac:dyDescent="0.25">
      <c r="T33013" s="135"/>
      <c r="U33013" s="135"/>
    </row>
    <row r="33014" spans="20:21" ht="15" customHeight="1" x14ac:dyDescent="0.25">
      <c r="T33014" s="135"/>
      <c r="U33014" s="135"/>
    </row>
    <row r="33015" spans="20:21" ht="15" customHeight="1" x14ac:dyDescent="0.25">
      <c r="T33015" s="135"/>
      <c r="U33015" s="135"/>
    </row>
    <row r="33016" spans="20:21" ht="15" customHeight="1" x14ac:dyDescent="0.25">
      <c r="T33016" s="135"/>
      <c r="U33016" s="135"/>
    </row>
    <row r="33017" spans="20:21" ht="15" customHeight="1" x14ac:dyDescent="0.25">
      <c r="T33017" s="135"/>
      <c r="U33017" s="135"/>
    </row>
    <row r="33018" spans="20:21" ht="15" customHeight="1" x14ac:dyDescent="0.25">
      <c r="T33018" s="135"/>
      <c r="U33018" s="135"/>
    </row>
    <row r="33019" spans="20:21" ht="15" customHeight="1" x14ac:dyDescent="0.25">
      <c r="T33019" s="135"/>
      <c r="U33019" s="135"/>
    </row>
    <row r="33020" spans="20:21" ht="15" customHeight="1" x14ac:dyDescent="0.25">
      <c r="T33020" s="135"/>
      <c r="U33020" s="135"/>
    </row>
    <row r="33021" spans="20:21" ht="15" customHeight="1" x14ac:dyDescent="0.25">
      <c r="T33021" s="135"/>
      <c r="U33021" s="135"/>
    </row>
    <row r="33022" spans="20:21" ht="15" customHeight="1" x14ac:dyDescent="0.25">
      <c r="T33022" s="135"/>
      <c r="U33022" s="135"/>
    </row>
    <row r="33023" spans="20:21" ht="15" customHeight="1" x14ac:dyDescent="0.25">
      <c r="T33023" s="135"/>
      <c r="U33023" s="135"/>
    </row>
    <row r="33024" spans="20:21" ht="15" customHeight="1" x14ac:dyDescent="0.25">
      <c r="T33024" s="135"/>
      <c r="U33024" s="135"/>
    </row>
    <row r="33025" spans="20:21" ht="15" customHeight="1" x14ac:dyDescent="0.25">
      <c r="T33025" s="135"/>
      <c r="U33025" s="135"/>
    </row>
    <row r="33026" spans="20:21" ht="15" customHeight="1" x14ac:dyDescent="0.25">
      <c r="T33026" s="135"/>
      <c r="U33026" s="135"/>
    </row>
    <row r="33027" spans="20:21" ht="15" customHeight="1" x14ac:dyDescent="0.25">
      <c r="T33027" s="135"/>
      <c r="U33027" s="135"/>
    </row>
    <row r="33028" spans="20:21" ht="15" customHeight="1" x14ac:dyDescent="0.25">
      <c r="T33028" s="135"/>
      <c r="U33028" s="135"/>
    </row>
    <row r="33029" spans="20:21" ht="15" customHeight="1" x14ac:dyDescent="0.25">
      <c r="T33029" s="135"/>
      <c r="U33029" s="135"/>
    </row>
    <row r="33030" spans="20:21" ht="15" customHeight="1" x14ac:dyDescent="0.25">
      <c r="T33030" s="135"/>
      <c r="U33030" s="135"/>
    </row>
    <row r="33031" spans="20:21" ht="15" customHeight="1" x14ac:dyDescent="0.25">
      <c r="T33031" s="135"/>
      <c r="U33031" s="135"/>
    </row>
    <row r="33032" spans="20:21" ht="15" customHeight="1" x14ac:dyDescent="0.25">
      <c r="T33032" s="135"/>
      <c r="U33032" s="135"/>
    </row>
    <row r="33033" spans="20:21" ht="15" customHeight="1" x14ac:dyDescent="0.25">
      <c r="T33033" s="135"/>
      <c r="U33033" s="135"/>
    </row>
    <row r="33034" spans="20:21" ht="15" customHeight="1" x14ac:dyDescent="0.25">
      <c r="T33034" s="135"/>
      <c r="U33034" s="135"/>
    </row>
    <row r="33035" spans="20:21" ht="15" customHeight="1" x14ac:dyDescent="0.25">
      <c r="T33035" s="135"/>
      <c r="U33035" s="135"/>
    </row>
    <row r="33036" spans="20:21" ht="15" customHeight="1" x14ac:dyDescent="0.25">
      <c r="T33036" s="135"/>
      <c r="U33036" s="135"/>
    </row>
    <row r="33037" spans="20:21" ht="15" customHeight="1" x14ac:dyDescent="0.25">
      <c r="T33037" s="135"/>
      <c r="U33037" s="135"/>
    </row>
    <row r="33038" spans="20:21" ht="15" customHeight="1" x14ac:dyDescent="0.25">
      <c r="T33038" s="135"/>
      <c r="U33038" s="135"/>
    </row>
    <row r="33039" spans="20:21" ht="15" customHeight="1" x14ac:dyDescent="0.25">
      <c r="T33039" s="135"/>
      <c r="U33039" s="135"/>
    </row>
    <row r="33040" spans="20:21" ht="15" customHeight="1" x14ac:dyDescent="0.25">
      <c r="T33040" s="135"/>
      <c r="U33040" s="135"/>
    </row>
    <row r="33041" spans="20:21" ht="15" customHeight="1" x14ac:dyDescent="0.25">
      <c r="T33041" s="135"/>
      <c r="U33041" s="135"/>
    </row>
    <row r="33042" spans="20:21" ht="15" customHeight="1" x14ac:dyDescent="0.25">
      <c r="T33042" s="135"/>
      <c r="U33042" s="135"/>
    </row>
    <row r="33043" spans="20:21" ht="15" customHeight="1" x14ac:dyDescent="0.25">
      <c r="T33043" s="135"/>
      <c r="U33043" s="135"/>
    </row>
    <row r="33044" spans="20:21" ht="15" customHeight="1" x14ac:dyDescent="0.25">
      <c r="T33044" s="135"/>
      <c r="U33044" s="135"/>
    </row>
    <row r="33045" spans="20:21" ht="15" customHeight="1" x14ac:dyDescent="0.25">
      <c r="T33045" s="135"/>
      <c r="U33045" s="135"/>
    </row>
    <row r="33046" spans="20:21" ht="15" customHeight="1" x14ac:dyDescent="0.25">
      <c r="T33046" s="135"/>
      <c r="U33046" s="135"/>
    </row>
    <row r="33047" spans="20:21" ht="15" customHeight="1" x14ac:dyDescent="0.25">
      <c r="T33047" s="135"/>
      <c r="U33047" s="135"/>
    </row>
    <row r="33048" spans="20:21" ht="15" customHeight="1" x14ac:dyDescent="0.25">
      <c r="T33048" s="135"/>
      <c r="U33048" s="135"/>
    </row>
    <row r="33049" spans="20:21" ht="15" customHeight="1" x14ac:dyDescent="0.25">
      <c r="T33049" s="135"/>
      <c r="U33049" s="135"/>
    </row>
    <row r="33050" spans="20:21" ht="15" customHeight="1" x14ac:dyDescent="0.25">
      <c r="T33050" s="135"/>
      <c r="U33050" s="135"/>
    </row>
    <row r="33051" spans="20:21" ht="15" customHeight="1" x14ac:dyDescent="0.25">
      <c r="T33051" s="135"/>
      <c r="U33051" s="135"/>
    </row>
    <row r="33052" spans="20:21" ht="15" customHeight="1" x14ac:dyDescent="0.25">
      <c r="T33052" s="135"/>
      <c r="U33052" s="135"/>
    </row>
    <row r="33053" spans="20:21" ht="15" customHeight="1" x14ac:dyDescent="0.25">
      <c r="T33053" s="135"/>
      <c r="U33053" s="135"/>
    </row>
    <row r="33054" spans="20:21" ht="15" customHeight="1" x14ac:dyDescent="0.25">
      <c r="T33054" s="135"/>
      <c r="U33054" s="135"/>
    </row>
    <row r="33055" spans="20:21" ht="15" customHeight="1" x14ac:dyDescent="0.25">
      <c r="T33055" s="135"/>
      <c r="U33055" s="135"/>
    </row>
    <row r="33056" spans="20:21" ht="15" customHeight="1" x14ac:dyDescent="0.25">
      <c r="T33056" s="135"/>
      <c r="U33056" s="135"/>
    </row>
    <row r="33057" spans="20:21" ht="15" customHeight="1" x14ac:dyDescent="0.25">
      <c r="T33057" s="135"/>
      <c r="U33057" s="135"/>
    </row>
    <row r="33058" spans="20:21" ht="15" customHeight="1" x14ac:dyDescent="0.25">
      <c r="T33058" s="135"/>
      <c r="U33058" s="135"/>
    </row>
    <row r="33059" spans="20:21" ht="15" customHeight="1" x14ac:dyDescent="0.25">
      <c r="T33059" s="135"/>
      <c r="U33059" s="135"/>
    </row>
    <row r="33060" spans="20:21" ht="15" customHeight="1" x14ac:dyDescent="0.25">
      <c r="T33060" s="135"/>
      <c r="U33060" s="135"/>
    </row>
    <row r="33061" spans="20:21" ht="15" customHeight="1" x14ac:dyDescent="0.25">
      <c r="T33061" s="135"/>
      <c r="U33061" s="135"/>
    </row>
    <row r="33062" spans="20:21" ht="15" customHeight="1" x14ac:dyDescent="0.25">
      <c r="T33062" s="135"/>
      <c r="U33062" s="135"/>
    </row>
    <row r="33063" spans="20:21" ht="15" customHeight="1" x14ac:dyDescent="0.25">
      <c r="T33063" s="135"/>
      <c r="U33063" s="135"/>
    </row>
    <row r="33064" spans="20:21" ht="15" customHeight="1" x14ac:dyDescent="0.25">
      <c r="T33064" s="135"/>
      <c r="U33064" s="135"/>
    </row>
    <row r="33065" spans="20:21" ht="15" customHeight="1" x14ac:dyDescent="0.25">
      <c r="T33065" s="135"/>
      <c r="U33065" s="135"/>
    </row>
    <row r="33066" spans="20:21" ht="15" customHeight="1" x14ac:dyDescent="0.25">
      <c r="T33066" s="135"/>
      <c r="U33066" s="135"/>
    </row>
    <row r="33067" spans="20:21" ht="15" customHeight="1" x14ac:dyDescent="0.25">
      <c r="T33067" s="135"/>
      <c r="U33067" s="135"/>
    </row>
    <row r="33068" spans="20:21" ht="15" customHeight="1" x14ac:dyDescent="0.25">
      <c r="T33068" s="135"/>
      <c r="U33068" s="135"/>
    </row>
    <row r="33069" spans="20:21" ht="15" customHeight="1" x14ac:dyDescent="0.25">
      <c r="T33069" s="135"/>
      <c r="U33069" s="135"/>
    </row>
    <row r="33070" spans="20:21" ht="15" customHeight="1" x14ac:dyDescent="0.25">
      <c r="T33070" s="135"/>
      <c r="U33070" s="135"/>
    </row>
    <row r="33071" spans="20:21" ht="15" customHeight="1" x14ac:dyDescent="0.25">
      <c r="T33071" s="135"/>
      <c r="U33071" s="135"/>
    </row>
    <row r="33072" spans="20:21" ht="15" customHeight="1" x14ac:dyDescent="0.25">
      <c r="T33072" s="135"/>
      <c r="U33072" s="135"/>
    </row>
    <row r="33073" spans="20:21" ht="15" customHeight="1" x14ac:dyDescent="0.25">
      <c r="T33073" s="135"/>
      <c r="U33073" s="135"/>
    </row>
    <row r="33074" spans="20:21" ht="15" customHeight="1" x14ac:dyDescent="0.25">
      <c r="T33074" s="135"/>
      <c r="U33074" s="135"/>
    </row>
    <row r="33075" spans="20:21" ht="15" customHeight="1" x14ac:dyDescent="0.25">
      <c r="T33075" s="135"/>
      <c r="U33075" s="135"/>
    </row>
    <row r="33076" spans="20:21" ht="15" customHeight="1" x14ac:dyDescent="0.25">
      <c r="T33076" s="135"/>
      <c r="U33076" s="135"/>
    </row>
    <row r="33077" spans="20:21" ht="15" customHeight="1" x14ac:dyDescent="0.25">
      <c r="T33077" s="135"/>
      <c r="U33077" s="135"/>
    </row>
    <row r="33078" spans="20:21" ht="15" customHeight="1" x14ac:dyDescent="0.25">
      <c r="T33078" s="135"/>
      <c r="U33078" s="135"/>
    </row>
    <row r="33079" spans="20:21" ht="15" customHeight="1" x14ac:dyDescent="0.25">
      <c r="T33079" s="135"/>
      <c r="U33079" s="135"/>
    </row>
    <row r="33080" spans="20:21" ht="15" customHeight="1" x14ac:dyDescent="0.25">
      <c r="T33080" s="135"/>
      <c r="U33080" s="135"/>
    </row>
    <row r="33081" spans="20:21" ht="15" customHeight="1" x14ac:dyDescent="0.25">
      <c r="T33081" s="135"/>
      <c r="U33081" s="135"/>
    </row>
    <row r="33082" spans="20:21" ht="15" customHeight="1" x14ac:dyDescent="0.25">
      <c r="T33082" s="135"/>
      <c r="U33082" s="135"/>
    </row>
    <row r="33083" spans="20:21" ht="15" customHeight="1" x14ac:dyDescent="0.25">
      <c r="T33083" s="135"/>
      <c r="U33083" s="135"/>
    </row>
    <row r="33084" spans="20:21" ht="15" customHeight="1" x14ac:dyDescent="0.25">
      <c r="T33084" s="135"/>
      <c r="U33084" s="135"/>
    </row>
    <row r="33085" spans="20:21" ht="15" customHeight="1" x14ac:dyDescent="0.25">
      <c r="T33085" s="135"/>
      <c r="U33085" s="135"/>
    </row>
    <row r="33086" spans="20:21" ht="15" customHeight="1" x14ac:dyDescent="0.25">
      <c r="T33086" s="135"/>
      <c r="U33086" s="135"/>
    </row>
    <row r="33087" spans="20:21" ht="15" customHeight="1" x14ac:dyDescent="0.25">
      <c r="T33087" s="135"/>
      <c r="U33087" s="135"/>
    </row>
    <row r="33088" spans="20:21" ht="15" customHeight="1" x14ac:dyDescent="0.25">
      <c r="T33088" s="135"/>
      <c r="U33088" s="135"/>
    </row>
    <row r="33089" spans="20:21" ht="15" customHeight="1" x14ac:dyDescent="0.25">
      <c r="T33089" s="135"/>
      <c r="U33089" s="135"/>
    </row>
    <row r="33090" spans="20:21" ht="15" customHeight="1" x14ac:dyDescent="0.25">
      <c r="T33090" s="135"/>
      <c r="U33090" s="135"/>
    </row>
    <row r="33091" spans="20:21" ht="15" customHeight="1" x14ac:dyDescent="0.25">
      <c r="T33091" s="135"/>
      <c r="U33091" s="135"/>
    </row>
    <row r="33092" spans="20:21" ht="15" customHeight="1" x14ac:dyDescent="0.25">
      <c r="T33092" s="135"/>
      <c r="U33092" s="135"/>
    </row>
    <row r="33093" spans="20:21" ht="15" customHeight="1" x14ac:dyDescent="0.25">
      <c r="T33093" s="135"/>
      <c r="U33093" s="135"/>
    </row>
    <row r="33094" spans="20:21" ht="15" customHeight="1" x14ac:dyDescent="0.25">
      <c r="T33094" s="135"/>
      <c r="U33094" s="135"/>
    </row>
    <row r="33095" spans="20:21" ht="15" customHeight="1" x14ac:dyDescent="0.25">
      <c r="T33095" s="135"/>
      <c r="U33095" s="135"/>
    </row>
    <row r="33096" spans="20:21" ht="15" customHeight="1" x14ac:dyDescent="0.25">
      <c r="T33096" s="135"/>
      <c r="U33096" s="135"/>
    </row>
    <row r="33097" spans="20:21" ht="15" customHeight="1" x14ac:dyDescent="0.25">
      <c r="T33097" s="135"/>
      <c r="U33097" s="135"/>
    </row>
    <row r="33098" spans="20:21" ht="15" customHeight="1" x14ac:dyDescent="0.25">
      <c r="T33098" s="135"/>
      <c r="U33098" s="135"/>
    </row>
    <row r="33099" spans="20:21" ht="15" customHeight="1" x14ac:dyDescent="0.25">
      <c r="T33099" s="135"/>
      <c r="U33099" s="135"/>
    </row>
    <row r="33100" spans="20:21" ht="15" customHeight="1" x14ac:dyDescent="0.25">
      <c r="T33100" s="135"/>
      <c r="U33100" s="135"/>
    </row>
    <row r="33101" spans="20:21" ht="15" customHeight="1" x14ac:dyDescent="0.25">
      <c r="T33101" s="135"/>
      <c r="U33101" s="135"/>
    </row>
    <row r="33102" spans="20:21" ht="15" customHeight="1" x14ac:dyDescent="0.25">
      <c r="T33102" s="135"/>
      <c r="U33102" s="135"/>
    </row>
    <row r="33103" spans="20:21" ht="15" customHeight="1" x14ac:dyDescent="0.25">
      <c r="T33103" s="135"/>
      <c r="U33103" s="135"/>
    </row>
    <row r="33104" spans="20:21" ht="15" customHeight="1" x14ac:dyDescent="0.25">
      <c r="T33104" s="135"/>
      <c r="U33104" s="135"/>
    </row>
    <row r="33105" spans="20:21" ht="15" customHeight="1" x14ac:dyDescent="0.25">
      <c r="T33105" s="135"/>
      <c r="U33105" s="135"/>
    </row>
    <row r="33106" spans="20:21" ht="15" customHeight="1" x14ac:dyDescent="0.25">
      <c r="T33106" s="135"/>
      <c r="U33106" s="135"/>
    </row>
    <row r="33107" spans="20:21" ht="15" customHeight="1" x14ac:dyDescent="0.25">
      <c r="T33107" s="135"/>
      <c r="U33107" s="135"/>
    </row>
    <row r="33108" spans="20:21" ht="15" customHeight="1" x14ac:dyDescent="0.25">
      <c r="T33108" s="135"/>
      <c r="U33108" s="135"/>
    </row>
    <row r="33109" spans="20:21" ht="15" customHeight="1" x14ac:dyDescent="0.25">
      <c r="T33109" s="135"/>
      <c r="U33109" s="135"/>
    </row>
    <row r="33110" spans="20:21" ht="15" customHeight="1" x14ac:dyDescent="0.25">
      <c r="T33110" s="135"/>
      <c r="U33110" s="135"/>
    </row>
    <row r="33111" spans="20:21" ht="15" customHeight="1" x14ac:dyDescent="0.25">
      <c r="T33111" s="135"/>
      <c r="U33111" s="135"/>
    </row>
    <row r="33112" spans="20:21" ht="15" customHeight="1" x14ac:dyDescent="0.25">
      <c r="T33112" s="135"/>
      <c r="U33112" s="135"/>
    </row>
    <row r="33113" spans="20:21" ht="15" customHeight="1" x14ac:dyDescent="0.25">
      <c r="T33113" s="135"/>
      <c r="U33113" s="135"/>
    </row>
    <row r="33114" spans="20:21" ht="15" customHeight="1" x14ac:dyDescent="0.25">
      <c r="T33114" s="135"/>
      <c r="U33114" s="135"/>
    </row>
    <row r="33115" spans="20:21" ht="15" customHeight="1" x14ac:dyDescent="0.25">
      <c r="T33115" s="135"/>
      <c r="U33115" s="135"/>
    </row>
    <row r="33116" spans="20:21" ht="15" customHeight="1" x14ac:dyDescent="0.25">
      <c r="T33116" s="135"/>
      <c r="U33116" s="135"/>
    </row>
    <row r="33117" spans="20:21" ht="15" customHeight="1" x14ac:dyDescent="0.25">
      <c r="T33117" s="135"/>
      <c r="U33117" s="135"/>
    </row>
    <row r="33118" spans="20:21" ht="15" customHeight="1" x14ac:dyDescent="0.25">
      <c r="T33118" s="135"/>
      <c r="U33118" s="135"/>
    </row>
    <row r="33119" spans="20:21" ht="15" customHeight="1" x14ac:dyDescent="0.25">
      <c r="T33119" s="135"/>
      <c r="U33119" s="135"/>
    </row>
    <row r="33120" spans="20:21" ht="15" customHeight="1" x14ac:dyDescent="0.25">
      <c r="T33120" s="135"/>
      <c r="U33120" s="135"/>
    </row>
    <row r="33121" spans="20:21" ht="15" customHeight="1" x14ac:dyDescent="0.25">
      <c r="T33121" s="135"/>
      <c r="U33121" s="135"/>
    </row>
    <row r="33122" spans="20:21" ht="15" customHeight="1" x14ac:dyDescent="0.25">
      <c r="T33122" s="135"/>
      <c r="U33122" s="135"/>
    </row>
    <row r="33123" spans="20:21" ht="15" customHeight="1" x14ac:dyDescent="0.25">
      <c r="T33123" s="135"/>
      <c r="U33123" s="135"/>
    </row>
    <row r="33124" spans="20:21" ht="15" customHeight="1" x14ac:dyDescent="0.25">
      <c r="T33124" s="135"/>
      <c r="U33124" s="135"/>
    </row>
    <row r="33125" spans="20:21" ht="15" customHeight="1" x14ac:dyDescent="0.25">
      <c r="T33125" s="135"/>
      <c r="U33125" s="135"/>
    </row>
    <row r="33126" spans="20:21" ht="15" customHeight="1" x14ac:dyDescent="0.25">
      <c r="T33126" s="135"/>
      <c r="U33126" s="135"/>
    </row>
    <row r="33127" spans="20:21" ht="15" customHeight="1" x14ac:dyDescent="0.25">
      <c r="T33127" s="135"/>
      <c r="U33127" s="135"/>
    </row>
    <row r="33128" spans="20:21" ht="15" customHeight="1" x14ac:dyDescent="0.25">
      <c r="T33128" s="135"/>
      <c r="U33128" s="135"/>
    </row>
    <row r="33129" spans="20:21" ht="15" customHeight="1" x14ac:dyDescent="0.25">
      <c r="T33129" s="135"/>
      <c r="U33129" s="135"/>
    </row>
    <row r="33130" spans="20:21" ht="15" customHeight="1" x14ac:dyDescent="0.25">
      <c r="T33130" s="135"/>
      <c r="U33130" s="135"/>
    </row>
    <row r="33131" spans="20:21" ht="15" customHeight="1" x14ac:dyDescent="0.25">
      <c r="T33131" s="135"/>
      <c r="U33131" s="135"/>
    </row>
    <row r="33132" spans="20:21" ht="15" customHeight="1" x14ac:dyDescent="0.25">
      <c r="T33132" s="135"/>
      <c r="U33132" s="135"/>
    </row>
    <row r="33133" spans="20:21" ht="15" customHeight="1" x14ac:dyDescent="0.25">
      <c r="T33133" s="135"/>
      <c r="U33133" s="135"/>
    </row>
    <row r="33134" spans="20:21" ht="15" customHeight="1" x14ac:dyDescent="0.25">
      <c r="T33134" s="135"/>
      <c r="U33134" s="135"/>
    </row>
    <row r="33135" spans="20:21" ht="15" customHeight="1" x14ac:dyDescent="0.25">
      <c r="T33135" s="135"/>
      <c r="U33135" s="135"/>
    </row>
    <row r="33136" spans="20:21" ht="15" customHeight="1" x14ac:dyDescent="0.25">
      <c r="T33136" s="135"/>
      <c r="U33136" s="135"/>
    </row>
    <row r="33137" spans="20:21" ht="15" customHeight="1" x14ac:dyDescent="0.25">
      <c r="T33137" s="135"/>
      <c r="U33137" s="135"/>
    </row>
    <row r="33138" spans="20:21" ht="15" customHeight="1" x14ac:dyDescent="0.25">
      <c r="T33138" s="135"/>
      <c r="U33138" s="135"/>
    </row>
    <row r="33139" spans="20:21" ht="15" customHeight="1" x14ac:dyDescent="0.25">
      <c r="T33139" s="135"/>
      <c r="U33139" s="135"/>
    </row>
    <row r="33140" spans="20:21" ht="15" customHeight="1" x14ac:dyDescent="0.25">
      <c r="T33140" s="135"/>
      <c r="U33140" s="135"/>
    </row>
    <row r="33141" spans="20:21" ht="15" customHeight="1" x14ac:dyDescent="0.25">
      <c r="T33141" s="135"/>
      <c r="U33141" s="135"/>
    </row>
    <row r="33142" spans="20:21" ht="15" customHeight="1" x14ac:dyDescent="0.25">
      <c r="T33142" s="135"/>
      <c r="U33142" s="135"/>
    </row>
    <row r="33143" spans="20:21" ht="15" customHeight="1" x14ac:dyDescent="0.25">
      <c r="T33143" s="135"/>
      <c r="U33143" s="135"/>
    </row>
    <row r="33144" spans="20:21" ht="15" customHeight="1" x14ac:dyDescent="0.25">
      <c r="T33144" s="135"/>
      <c r="U33144" s="135"/>
    </row>
    <row r="33145" spans="20:21" ht="15" customHeight="1" x14ac:dyDescent="0.25">
      <c r="T33145" s="135"/>
      <c r="U33145" s="135"/>
    </row>
    <row r="33146" spans="20:21" ht="15" customHeight="1" x14ac:dyDescent="0.25">
      <c r="T33146" s="135"/>
      <c r="U33146" s="135"/>
    </row>
    <row r="33147" spans="20:21" ht="15" customHeight="1" x14ac:dyDescent="0.25">
      <c r="T33147" s="135"/>
      <c r="U33147" s="135"/>
    </row>
    <row r="33148" spans="20:21" ht="15" customHeight="1" x14ac:dyDescent="0.25">
      <c r="T33148" s="135"/>
      <c r="U33148" s="135"/>
    </row>
    <row r="33149" spans="20:21" ht="15" customHeight="1" x14ac:dyDescent="0.25">
      <c r="T33149" s="135"/>
      <c r="U33149" s="135"/>
    </row>
    <row r="33150" spans="20:21" ht="15" customHeight="1" x14ac:dyDescent="0.25">
      <c r="T33150" s="135"/>
      <c r="U33150" s="135"/>
    </row>
    <row r="33151" spans="20:21" ht="15" customHeight="1" x14ac:dyDescent="0.25">
      <c r="T33151" s="135"/>
      <c r="U33151" s="135"/>
    </row>
    <row r="33152" spans="20:21" ht="15" customHeight="1" x14ac:dyDescent="0.25">
      <c r="T33152" s="135"/>
      <c r="U33152" s="135"/>
    </row>
    <row r="33153" spans="20:21" ht="15" customHeight="1" x14ac:dyDescent="0.25">
      <c r="T33153" s="135"/>
      <c r="U33153" s="135"/>
    </row>
    <row r="33154" spans="20:21" ht="15" customHeight="1" x14ac:dyDescent="0.25">
      <c r="T33154" s="135"/>
      <c r="U33154" s="135"/>
    </row>
    <row r="33155" spans="20:21" ht="15" customHeight="1" x14ac:dyDescent="0.25">
      <c r="T33155" s="135"/>
      <c r="U33155" s="135"/>
    </row>
    <row r="33156" spans="20:21" ht="15" customHeight="1" x14ac:dyDescent="0.25">
      <c r="T33156" s="135"/>
      <c r="U33156" s="135"/>
    </row>
    <row r="33157" spans="20:21" ht="15" customHeight="1" x14ac:dyDescent="0.25">
      <c r="T33157" s="135"/>
      <c r="U33157" s="135"/>
    </row>
    <row r="33158" spans="20:21" ht="15" customHeight="1" x14ac:dyDescent="0.25">
      <c r="T33158" s="135"/>
      <c r="U33158" s="135"/>
    </row>
    <row r="33159" spans="20:21" ht="15" customHeight="1" x14ac:dyDescent="0.25">
      <c r="T33159" s="135"/>
      <c r="U33159" s="135"/>
    </row>
    <row r="33160" spans="20:21" ht="15" customHeight="1" x14ac:dyDescent="0.25">
      <c r="T33160" s="135"/>
      <c r="U33160" s="135"/>
    </row>
    <row r="33161" spans="20:21" ht="15" customHeight="1" x14ac:dyDescent="0.25">
      <c r="T33161" s="135"/>
      <c r="U33161" s="135"/>
    </row>
    <row r="33162" spans="20:21" ht="15" customHeight="1" x14ac:dyDescent="0.25">
      <c r="T33162" s="135"/>
      <c r="U33162" s="135"/>
    </row>
    <row r="33163" spans="20:21" ht="15" customHeight="1" x14ac:dyDescent="0.25">
      <c r="T33163" s="135"/>
      <c r="U33163" s="135"/>
    </row>
    <row r="33164" spans="20:21" ht="15" customHeight="1" x14ac:dyDescent="0.25">
      <c r="T33164" s="135"/>
      <c r="U33164" s="135"/>
    </row>
    <row r="33165" spans="20:21" ht="15" customHeight="1" x14ac:dyDescent="0.25">
      <c r="T33165" s="135"/>
      <c r="U33165" s="135"/>
    </row>
    <row r="33166" spans="20:21" ht="15" customHeight="1" x14ac:dyDescent="0.25">
      <c r="T33166" s="135"/>
      <c r="U33166" s="135"/>
    </row>
    <row r="33167" spans="20:21" ht="15" customHeight="1" x14ac:dyDescent="0.25">
      <c r="T33167" s="135"/>
      <c r="U33167" s="135"/>
    </row>
    <row r="33168" spans="20:21" ht="15" customHeight="1" x14ac:dyDescent="0.25">
      <c r="T33168" s="135"/>
      <c r="U33168" s="135"/>
    </row>
    <row r="33169" spans="20:21" ht="15" customHeight="1" x14ac:dyDescent="0.25">
      <c r="T33169" s="135"/>
      <c r="U33169" s="135"/>
    </row>
    <row r="33170" spans="20:21" ht="15" customHeight="1" x14ac:dyDescent="0.25">
      <c r="T33170" s="135"/>
      <c r="U33170" s="135"/>
    </row>
    <row r="33171" spans="20:21" ht="15" customHeight="1" x14ac:dyDescent="0.25">
      <c r="T33171" s="135"/>
      <c r="U33171" s="135"/>
    </row>
    <row r="33172" spans="20:21" ht="15" customHeight="1" x14ac:dyDescent="0.25">
      <c r="T33172" s="135"/>
      <c r="U33172" s="135"/>
    </row>
    <row r="33173" spans="20:21" ht="15" customHeight="1" x14ac:dyDescent="0.25">
      <c r="T33173" s="135"/>
      <c r="U33173" s="135"/>
    </row>
    <row r="33174" spans="20:21" ht="15" customHeight="1" x14ac:dyDescent="0.25">
      <c r="T33174" s="135"/>
      <c r="U33174" s="135"/>
    </row>
    <row r="33175" spans="20:21" ht="15" customHeight="1" x14ac:dyDescent="0.25">
      <c r="T33175" s="135"/>
      <c r="U33175" s="135"/>
    </row>
    <row r="33176" spans="20:21" ht="15" customHeight="1" x14ac:dyDescent="0.25">
      <c r="T33176" s="135"/>
      <c r="U33176" s="135"/>
    </row>
    <row r="33177" spans="20:21" ht="15" customHeight="1" x14ac:dyDescent="0.25">
      <c r="T33177" s="135"/>
      <c r="U33177" s="135"/>
    </row>
    <row r="33178" spans="20:21" ht="15" customHeight="1" x14ac:dyDescent="0.25">
      <c r="T33178" s="135"/>
      <c r="U33178" s="135"/>
    </row>
    <row r="33179" spans="20:21" ht="15" customHeight="1" x14ac:dyDescent="0.25">
      <c r="T33179" s="135"/>
      <c r="U33179" s="135"/>
    </row>
    <row r="33180" spans="20:21" ht="15" customHeight="1" x14ac:dyDescent="0.25">
      <c r="T33180" s="135"/>
      <c r="U33180" s="135"/>
    </row>
    <row r="33181" spans="20:21" ht="15" customHeight="1" x14ac:dyDescent="0.25">
      <c r="T33181" s="135"/>
      <c r="U33181" s="135"/>
    </row>
    <row r="33182" spans="20:21" ht="15" customHeight="1" x14ac:dyDescent="0.25">
      <c r="T33182" s="135"/>
      <c r="U33182" s="135"/>
    </row>
    <row r="33183" spans="20:21" ht="15" customHeight="1" x14ac:dyDescent="0.25">
      <c r="T33183" s="135"/>
      <c r="U33183" s="135"/>
    </row>
    <row r="33184" spans="20:21" ht="15" customHeight="1" x14ac:dyDescent="0.25">
      <c r="T33184" s="135"/>
      <c r="U33184" s="135"/>
    </row>
    <row r="33185" spans="20:21" ht="15" customHeight="1" x14ac:dyDescent="0.25">
      <c r="T33185" s="135"/>
      <c r="U33185" s="135"/>
    </row>
    <row r="33186" spans="20:21" ht="15" customHeight="1" x14ac:dyDescent="0.25">
      <c r="T33186" s="135"/>
      <c r="U33186" s="135"/>
    </row>
    <row r="33187" spans="20:21" ht="15" customHeight="1" x14ac:dyDescent="0.25">
      <c r="T33187" s="135"/>
      <c r="U33187" s="135"/>
    </row>
    <row r="33188" spans="20:21" ht="15" customHeight="1" x14ac:dyDescent="0.25">
      <c r="T33188" s="135"/>
      <c r="U33188" s="135"/>
    </row>
    <row r="33189" spans="20:21" ht="15" customHeight="1" x14ac:dyDescent="0.25">
      <c r="T33189" s="135"/>
      <c r="U33189" s="135"/>
    </row>
    <row r="33190" spans="20:21" ht="15" customHeight="1" x14ac:dyDescent="0.25">
      <c r="T33190" s="135"/>
      <c r="U33190" s="135"/>
    </row>
    <row r="33191" spans="20:21" ht="15" customHeight="1" x14ac:dyDescent="0.25">
      <c r="T33191" s="135"/>
      <c r="U33191" s="135"/>
    </row>
    <row r="33192" spans="20:21" ht="15" customHeight="1" x14ac:dyDescent="0.25">
      <c r="T33192" s="135"/>
      <c r="U33192" s="135"/>
    </row>
    <row r="33193" spans="20:21" ht="15" customHeight="1" x14ac:dyDescent="0.25">
      <c r="T33193" s="135"/>
      <c r="U33193" s="135"/>
    </row>
    <row r="33194" spans="20:21" ht="15" customHeight="1" x14ac:dyDescent="0.25">
      <c r="T33194" s="135"/>
      <c r="U33194" s="135"/>
    </row>
    <row r="33195" spans="20:21" ht="15" customHeight="1" x14ac:dyDescent="0.25">
      <c r="T33195" s="135"/>
      <c r="U33195" s="135"/>
    </row>
    <row r="33196" spans="20:21" ht="15" customHeight="1" x14ac:dyDescent="0.25">
      <c r="T33196" s="135"/>
      <c r="U33196" s="135"/>
    </row>
    <row r="33197" spans="20:21" ht="15" customHeight="1" x14ac:dyDescent="0.25">
      <c r="T33197" s="135"/>
      <c r="U33197" s="135"/>
    </row>
    <row r="33198" spans="20:21" ht="15" customHeight="1" x14ac:dyDescent="0.25">
      <c r="T33198" s="135"/>
      <c r="U33198" s="135"/>
    </row>
    <row r="33199" spans="20:21" ht="15" customHeight="1" x14ac:dyDescent="0.25">
      <c r="T33199" s="135"/>
      <c r="U33199" s="135"/>
    </row>
    <row r="33200" spans="20:21" ht="15" customHeight="1" x14ac:dyDescent="0.25">
      <c r="T33200" s="135"/>
      <c r="U33200" s="135"/>
    </row>
    <row r="33201" spans="20:21" ht="15" customHeight="1" x14ac:dyDescent="0.25">
      <c r="T33201" s="135"/>
      <c r="U33201" s="135"/>
    </row>
    <row r="33202" spans="20:21" ht="15" customHeight="1" x14ac:dyDescent="0.25">
      <c r="T33202" s="135"/>
      <c r="U33202" s="135"/>
    </row>
    <row r="33203" spans="20:21" ht="15" customHeight="1" x14ac:dyDescent="0.25">
      <c r="T33203" s="135"/>
      <c r="U33203" s="135"/>
    </row>
    <row r="33204" spans="20:21" ht="15" customHeight="1" x14ac:dyDescent="0.25">
      <c r="T33204" s="135"/>
      <c r="U33204" s="135"/>
    </row>
    <row r="33205" spans="20:21" ht="15" customHeight="1" x14ac:dyDescent="0.25">
      <c r="T33205" s="135"/>
      <c r="U33205" s="135"/>
    </row>
    <row r="33206" spans="20:21" ht="15" customHeight="1" x14ac:dyDescent="0.25">
      <c r="T33206" s="135"/>
      <c r="U33206" s="135"/>
    </row>
    <row r="33207" spans="20:21" ht="15" customHeight="1" x14ac:dyDescent="0.25">
      <c r="T33207" s="135"/>
      <c r="U33207" s="135"/>
    </row>
    <row r="33208" spans="20:21" ht="15" customHeight="1" x14ac:dyDescent="0.25">
      <c r="T33208" s="135"/>
      <c r="U33208" s="135"/>
    </row>
    <row r="33209" spans="20:21" ht="15" customHeight="1" x14ac:dyDescent="0.25">
      <c r="T33209" s="135"/>
      <c r="U33209" s="135"/>
    </row>
    <row r="33210" spans="20:21" ht="15" customHeight="1" x14ac:dyDescent="0.25">
      <c r="T33210" s="135"/>
      <c r="U33210" s="135"/>
    </row>
    <row r="33211" spans="20:21" ht="15" customHeight="1" x14ac:dyDescent="0.25">
      <c r="T33211" s="135"/>
      <c r="U33211" s="135"/>
    </row>
    <row r="33212" spans="20:21" ht="15" customHeight="1" x14ac:dyDescent="0.25">
      <c r="T33212" s="135"/>
      <c r="U33212" s="135"/>
    </row>
    <row r="33213" spans="20:21" ht="15" customHeight="1" x14ac:dyDescent="0.25">
      <c r="T33213" s="135"/>
      <c r="U33213" s="135"/>
    </row>
    <row r="33214" spans="20:21" ht="15" customHeight="1" x14ac:dyDescent="0.25">
      <c r="T33214" s="135"/>
      <c r="U33214" s="135"/>
    </row>
    <row r="33215" spans="20:21" ht="15" customHeight="1" x14ac:dyDescent="0.25">
      <c r="T33215" s="135"/>
      <c r="U33215" s="135"/>
    </row>
    <row r="33216" spans="20:21" ht="15" customHeight="1" x14ac:dyDescent="0.25">
      <c r="T33216" s="135"/>
      <c r="U33216" s="135"/>
    </row>
    <row r="33217" spans="20:21" ht="15" customHeight="1" x14ac:dyDescent="0.25">
      <c r="T33217" s="135"/>
      <c r="U33217" s="135"/>
    </row>
    <row r="33218" spans="20:21" ht="15" customHeight="1" x14ac:dyDescent="0.25">
      <c r="T33218" s="135"/>
      <c r="U33218" s="135"/>
    </row>
    <row r="33219" spans="20:21" ht="15" customHeight="1" x14ac:dyDescent="0.25">
      <c r="T33219" s="135"/>
      <c r="U33219" s="135"/>
    </row>
    <row r="33220" spans="20:21" ht="15" customHeight="1" x14ac:dyDescent="0.25">
      <c r="T33220" s="135"/>
      <c r="U33220" s="135"/>
    </row>
    <row r="33221" spans="20:21" ht="15" customHeight="1" x14ac:dyDescent="0.25">
      <c r="T33221" s="135"/>
      <c r="U33221" s="135"/>
    </row>
    <row r="33222" spans="20:21" ht="15" customHeight="1" x14ac:dyDescent="0.25">
      <c r="T33222" s="135"/>
      <c r="U33222" s="135"/>
    </row>
    <row r="33223" spans="20:21" ht="15" customHeight="1" x14ac:dyDescent="0.25">
      <c r="T33223" s="135"/>
      <c r="U33223" s="135"/>
    </row>
    <row r="33224" spans="20:21" ht="15" customHeight="1" x14ac:dyDescent="0.25">
      <c r="T33224" s="135"/>
      <c r="U33224" s="135"/>
    </row>
    <row r="33225" spans="20:21" ht="15" customHeight="1" x14ac:dyDescent="0.25">
      <c r="T33225" s="135"/>
      <c r="U33225" s="135"/>
    </row>
    <row r="33226" spans="20:21" ht="15" customHeight="1" x14ac:dyDescent="0.25">
      <c r="T33226" s="135"/>
      <c r="U33226" s="135"/>
    </row>
    <row r="33227" spans="20:21" ht="15" customHeight="1" x14ac:dyDescent="0.25">
      <c r="T33227" s="135"/>
      <c r="U33227" s="135"/>
    </row>
    <row r="33228" spans="20:21" ht="15" customHeight="1" x14ac:dyDescent="0.25">
      <c r="T33228" s="135"/>
      <c r="U33228" s="135"/>
    </row>
    <row r="33229" spans="20:21" ht="15" customHeight="1" x14ac:dyDescent="0.25">
      <c r="T33229" s="135"/>
      <c r="U33229" s="135"/>
    </row>
    <row r="33230" spans="20:21" ht="15" customHeight="1" x14ac:dyDescent="0.25">
      <c r="T33230" s="135"/>
      <c r="U33230" s="135"/>
    </row>
    <row r="33231" spans="20:21" ht="15" customHeight="1" x14ac:dyDescent="0.25">
      <c r="T33231" s="135"/>
      <c r="U33231" s="135"/>
    </row>
    <row r="33232" spans="20:21" ht="15" customHeight="1" x14ac:dyDescent="0.25">
      <c r="T33232" s="135"/>
      <c r="U33232" s="135"/>
    </row>
    <row r="33233" spans="20:21" ht="15" customHeight="1" x14ac:dyDescent="0.25">
      <c r="T33233" s="135"/>
      <c r="U33233" s="135"/>
    </row>
    <row r="33234" spans="20:21" ht="15" customHeight="1" x14ac:dyDescent="0.25">
      <c r="T33234" s="135"/>
      <c r="U33234" s="135"/>
    </row>
    <row r="33235" spans="20:21" ht="15" customHeight="1" x14ac:dyDescent="0.25">
      <c r="T33235" s="135"/>
      <c r="U33235" s="135"/>
    </row>
    <row r="33236" spans="20:21" ht="15" customHeight="1" x14ac:dyDescent="0.25">
      <c r="T33236" s="135"/>
      <c r="U33236" s="135"/>
    </row>
    <row r="33237" spans="20:21" ht="15" customHeight="1" x14ac:dyDescent="0.25">
      <c r="T33237" s="135"/>
      <c r="U33237" s="135"/>
    </row>
    <row r="33238" spans="20:21" ht="15" customHeight="1" x14ac:dyDescent="0.25">
      <c r="T33238" s="135"/>
      <c r="U33238" s="135"/>
    </row>
    <row r="33239" spans="20:21" ht="15" customHeight="1" x14ac:dyDescent="0.25">
      <c r="T33239" s="135"/>
      <c r="U33239" s="135"/>
    </row>
    <row r="33240" spans="20:21" ht="15" customHeight="1" x14ac:dyDescent="0.25">
      <c r="T33240" s="135"/>
      <c r="U33240" s="135"/>
    </row>
    <row r="33241" spans="20:21" ht="15" customHeight="1" x14ac:dyDescent="0.25">
      <c r="T33241" s="135"/>
      <c r="U33241" s="135"/>
    </row>
    <row r="33242" spans="20:21" ht="15" customHeight="1" x14ac:dyDescent="0.25">
      <c r="T33242" s="135"/>
      <c r="U33242" s="135"/>
    </row>
    <row r="33243" spans="20:21" ht="15" customHeight="1" x14ac:dyDescent="0.25">
      <c r="T33243" s="135"/>
      <c r="U33243" s="135"/>
    </row>
    <row r="33244" spans="20:21" ht="15" customHeight="1" x14ac:dyDescent="0.25">
      <c r="T33244" s="135"/>
      <c r="U33244" s="135"/>
    </row>
    <row r="33245" spans="20:21" ht="15" customHeight="1" x14ac:dyDescent="0.25">
      <c r="T33245" s="135"/>
      <c r="U33245" s="135"/>
    </row>
    <row r="33246" spans="20:21" ht="15" customHeight="1" x14ac:dyDescent="0.25">
      <c r="T33246" s="135"/>
      <c r="U33246" s="135"/>
    </row>
    <row r="33247" spans="20:21" ht="15" customHeight="1" x14ac:dyDescent="0.25">
      <c r="T33247" s="135"/>
      <c r="U33247" s="135"/>
    </row>
    <row r="33248" spans="20:21" ht="15" customHeight="1" x14ac:dyDescent="0.25">
      <c r="T33248" s="135"/>
      <c r="U33248" s="135"/>
    </row>
    <row r="33249" spans="20:21" ht="15" customHeight="1" x14ac:dyDescent="0.25">
      <c r="T33249" s="135"/>
      <c r="U33249" s="135"/>
    </row>
    <row r="33250" spans="20:21" ht="15" customHeight="1" x14ac:dyDescent="0.25">
      <c r="T33250" s="135"/>
      <c r="U33250" s="135"/>
    </row>
    <row r="33251" spans="20:21" ht="15" customHeight="1" x14ac:dyDescent="0.25">
      <c r="T33251" s="135"/>
      <c r="U33251" s="135"/>
    </row>
    <row r="33252" spans="20:21" ht="15" customHeight="1" x14ac:dyDescent="0.25">
      <c r="T33252" s="135"/>
      <c r="U33252" s="135"/>
    </row>
    <row r="33253" spans="20:21" ht="15" customHeight="1" x14ac:dyDescent="0.25">
      <c r="T33253" s="135"/>
      <c r="U33253" s="135"/>
    </row>
    <row r="33254" spans="20:21" ht="15" customHeight="1" x14ac:dyDescent="0.25">
      <c r="T33254" s="135"/>
      <c r="U33254" s="135"/>
    </row>
    <row r="33255" spans="20:21" ht="15" customHeight="1" x14ac:dyDescent="0.25">
      <c r="T33255" s="135"/>
      <c r="U33255" s="135"/>
    </row>
    <row r="33256" spans="20:21" ht="15" customHeight="1" x14ac:dyDescent="0.25">
      <c r="T33256" s="135"/>
      <c r="U33256" s="135"/>
    </row>
    <row r="33257" spans="20:21" ht="15" customHeight="1" x14ac:dyDescent="0.25">
      <c r="T33257" s="135"/>
      <c r="U33257" s="135"/>
    </row>
    <row r="33258" spans="20:21" ht="15" customHeight="1" x14ac:dyDescent="0.25">
      <c r="T33258" s="135"/>
      <c r="U33258" s="135"/>
    </row>
    <row r="33259" spans="20:21" ht="15" customHeight="1" x14ac:dyDescent="0.25">
      <c r="T33259" s="135"/>
      <c r="U33259" s="135"/>
    </row>
    <row r="33260" spans="20:21" ht="15" customHeight="1" x14ac:dyDescent="0.25">
      <c r="T33260" s="135"/>
      <c r="U33260" s="135"/>
    </row>
    <row r="33261" spans="20:21" ht="15" customHeight="1" x14ac:dyDescent="0.25">
      <c r="T33261" s="135"/>
      <c r="U33261" s="135"/>
    </row>
    <row r="33262" spans="20:21" ht="15" customHeight="1" x14ac:dyDescent="0.25">
      <c r="T33262" s="135"/>
      <c r="U33262" s="135"/>
    </row>
    <row r="33263" spans="20:21" ht="15" customHeight="1" x14ac:dyDescent="0.25">
      <c r="T33263" s="135"/>
      <c r="U33263" s="135"/>
    </row>
    <row r="33264" spans="20:21" ht="15" customHeight="1" x14ac:dyDescent="0.25">
      <c r="T33264" s="135"/>
      <c r="U33264" s="135"/>
    </row>
    <row r="33265" spans="20:21" ht="15" customHeight="1" x14ac:dyDescent="0.25">
      <c r="T33265" s="135"/>
      <c r="U33265" s="135"/>
    </row>
    <row r="33266" spans="20:21" ht="15" customHeight="1" x14ac:dyDescent="0.25">
      <c r="T33266" s="135"/>
      <c r="U33266" s="135"/>
    </row>
    <row r="33267" spans="20:21" ht="15" customHeight="1" x14ac:dyDescent="0.25">
      <c r="T33267" s="135"/>
      <c r="U33267" s="135"/>
    </row>
    <row r="33268" spans="20:21" ht="15" customHeight="1" x14ac:dyDescent="0.25">
      <c r="T33268" s="135"/>
      <c r="U33268" s="135"/>
    </row>
    <row r="33269" spans="20:21" ht="15" customHeight="1" x14ac:dyDescent="0.25">
      <c r="T33269" s="135"/>
      <c r="U33269" s="135"/>
    </row>
    <row r="33270" spans="20:21" ht="15" customHeight="1" x14ac:dyDescent="0.25">
      <c r="T33270" s="135"/>
      <c r="U33270" s="135"/>
    </row>
    <row r="33271" spans="20:21" ht="15" customHeight="1" x14ac:dyDescent="0.25">
      <c r="T33271" s="135"/>
      <c r="U33271" s="135"/>
    </row>
    <row r="33272" spans="20:21" ht="15" customHeight="1" x14ac:dyDescent="0.25">
      <c r="T33272" s="135"/>
      <c r="U33272" s="135"/>
    </row>
    <row r="33273" spans="20:21" ht="15" customHeight="1" x14ac:dyDescent="0.25">
      <c r="T33273" s="135"/>
      <c r="U33273" s="135"/>
    </row>
    <row r="33274" spans="20:21" ht="15" customHeight="1" x14ac:dyDescent="0.25">
      <c r="T33274" s="135"/>
      <c r="U33274" s="135"/>
    </row>
    <row r="33275" spans="20:21" ht="15" customHeight="1" x14ac:dyDescent="0.25">
      <c r="T33275" s="135"/>
      <c r="U33275" s="135"/>
    </row>
    <row r="33276" spans="20:21" ht="15" customHeight="1" x14ac:dyDescent="0.25">
      <c r="T33276" s="135"/>
      <c r="U33276" s="135"/>
    </row>
    <row r="33277" spans="20:21" ht="15" customHeight="1" x14ac:dyDescent="0.25">
      <c r="T33277" s="135"/>
      <c r="U33277" s="135"/>
    </row>
    <row r="33278" spans="20:21" ht="15" customHeight="1" x14ac:dyDescent="0.25">
      <c r="T33278" s="135"/>
      <c r="U33278" s="135"/>
    </row>
    <row r="33279" spans="20:21" ht="15" customHeight="1" x14ac:dyDescent="0.25">
      <c r="T33279" s="135"/>
      <c r="U33279" s="135"/>
    </row>
    <row r="33280" spans="20:21" ht="15" customHeight="1" x14ac:dyDescent="0.25">
      <c r="T33280" s="135"/>
      <c r="U33280" s="135"/>
    </row>
    <row r="33281" spans="20:21" ht="15" customHeight="1" x14ac:dyDescent="0.25">
      <c r="T33281" s="135"/>
      <c r="U33281" s="135"/>
    </row>
    <row r="33282" spans="20:21" ht="15" customHeight="1" x14ac:dyDescent="0.25">
      <c r="T33282" s="135"/>
      <c r="U33282" s="135"/>
    </row>
    <row r="33283" spans="20:21" ht="15" customHeight="1" x14ac:dyDescent="0.25">
      <c r="T33283" s="135"/>
      <c r="U33283" s="135"/>
    </row>
    <row r="33284" spans="20:21" ht="15" customHeight="1" x14ac:dyDescent="0.25">
      <c r="T33284" s="135"/>
      <c r="U33284" s="135"/>
    </row>
    <row r="33285" spans="20:21" ht="15" customHeight="1" x14ac:dyDescent="0.25">
      <c r="T33285" s="135"/>
      <c r="U33285" s="135"/>
    </row>
    <row r="33286" spans="20:21" ht="15" customHeight="1" x14ac:dyDescent="0.25">
      <c r="T33286" s="135"/>
      <c r="U33286" s="135"/>
    </row>
    <row r="33287" spans="20:21" ht="15" customHeight="1" x14ac:dyDescent="0.25">
      <c r="T33287" s="135"/>
      <c r="U33287" s="135"/>
    </row>
    <row r="33288" spans="20:21" ht="15" customHeight="1" x14ac:dyDescent="0.25">
      <c r="T33288" s="135"/>
      <c r="U33288" s="135"/>
    </row>
    <row r="33289" spans="20:21" ht="15" customHeight="1" x14ac:dyDescent="0.25">
      <c r="T33289" s="135"/>
      <c r="U33289" s="135"/>
    </row>
    <row r="33290" spans="20:21" ht="15" customHeight="1" x14ac:dyDescent="0.25">
      <c r="T33290" s="135"/>
      <c r="U33290" s="135"/>
    </row>
    <row r="33291" spans="20:21" ht="15" customHeight="1" x14ac:dyDescent="0.25">
      <c r="T33291" s="135"/>
      <c r="U33291" s="135"/>
    </row>
    <row r="33292" spans="20:21" ht="15" customHeight="1" x14ac:dyDescent="0.25">
      <c r="T33292" s="135"/>
      <c r="U33292" s="135"/>
    </row>
    <row r="33293" spans="20:21" ht="15" customHeight="1" x14ac:dyDescent="0.25">
      <c r="T33293" s="135"/>
      <c r="U33293" s="135"/>
    </row>
    <row r="33294" spans="20:21" ht="15" customHeight="1" x14ac:dyDescent="0.25">
      <c r="T33294" s="135"/>
      <c r="U33294" s="135"/>
    </row>
    <row r="33295" spans="20:21" ht="15" customHeight="1" x14ac:dyDescent="0.25">
      <c r="T33295" s="135"/>
      <c r="U33295" s="135"/>
    </row>
    <row r="33296" spans="20:21" ht="15" customHeight="1" x14ac:dyDescent="0.25">
      <c r="T33296" s="135"/>
      <c r="U33296" s="135"/>
    </row>
    <row r="33297" spans="20:21" ht="15" customHeight="1" x14ac:dyDescent="0.25">
      <c r="T33297" s="135"/>
      <c r="U33297" s="135"/>
    </row>
    <row r="33298" spans="20:21" ht="15" customHeight="1" x14ac:dyDescent="0.25">
      <c r="T33298" s="135"/>
      <c r="U33298" s="135"/>
    </row>
    <row r="33299" spans="20:21" ht="15" customHeight="1" x14ac:dyDescent="0.25">
      <c r="T33299" s="135"/>
      <c r="U33299" s="135"/>
    </row>
    <row r="33300" spans="20:21" ht="15" customHeight="1" x14ac:dyDescent="0.25">
      <c r="T33300" s="135"/>
      <c r="U33300" s="135"/>
    </row>
    <row r="33301" spans="20:21" ht="15" customHeight="1" x14ac:dyDescent="0.25">
      <c r="T33301" s="135"/>
      <c r="U33301" s="135"/>
    </row>
    <row r="33302" spans="20:21" ht="15" customHeight="1" x14ac:dyDescent="0.25">
      <c r="T33302" s="135"/>
      <c r="U33302" s="135"/>
    </row>
    <row r="33303" spans="20:21" ht="15" customHeight="1" x14ac:dyDescent="0.25">
      <c r="T33303" s="135"/>
      <c r="U33303" s="135"/>
    </row>
    <row r="33304" spans="20:21" ht="15" customHeight="1" x14ac:dyDescent="0.25">
      <c r="T33304" s="135"/>
      <c r="U33304" s="135"/>
    </row>
    <row r="33305" spans="20:21" ht="15" customHeight="1" x14ac:dyDescent="0.25">
      <c r="T33305" s="135"/>
      <c r="U33305" s="135"/>
    </row>
    <row r="33306" spans="20:21" ht="15" customHeight="1" x14ac:dyDescent="0.25">
      <c r="T33306" s="135"/>
      <c r="U33306" s="135"/>
    </row>
    <row r="33307" spans="20:21" ht="15" customHeight="1" x14ac:dyDescent="0.25">
      <c r="T33307" s="135"/>
      <c r="U33307" s="135"/>
    </row>
    <row r="33308" spans="20:21" ht="15" customHeight="1" x14ac:dyDescent="0.25">
      <c r="T33308" s="135"/>
      <c r="U33308" s="135"/>
    </row>
    <row r="33309" spans="20:21" ht="15" customHeight="1" x14ac:dyDescent="0.25">
      <c r="T33309" s="135"/>
      <c r="U33309" s="135"/>
    </row>
    <row r="33310" spans="20:21" ht="15" customHeight="1" x14ac:dyDescent="0.25">
      <c r="T33310" s="135"/>
      <c r="U33310" s="135"/>
    </row>
    <row r="33311" spans="20:21" ht="15" customHeight="1" x14ac:dyDescent="0.25">
      <c r="T33311" s="135"/>
      <c r="U33311" s="135"/>
    </row>
    <row r="33312" spans="20:21" ht="15" customHeight="1" x14ac:dyDescent="0.25">
      <c r="T33312" s="135"/>
      <c r="U33312" s="135"/>
    </row>
    <row r="33313" spans="20:21" ht="15" customHeight="1" x14ac:dyDescent="0.25">
      <c r="T33313" s="135"/>
      <c r="U33313" s="135"/>
    </row>
    <row r="33314" spans="20:21" ht="15" customHeight="1" x14ac:dyDescent="0.25">
      <c r="T33314" s="135"/>
      <c r="U33314" s="135"/>
    </row>
    <row r="33315" spans="20:21" ht="15" customHeight="1" x14ac:dyDescent="0.25">
      <c r="T33315" s="135"/>
      <c r="U33315" s="135"/>
    </row>
    <row r="33316" spans="20:21" ht="15" customHeight="1" x14ac:dyDescent="0.25">
      <c r="T33316" s="135"/>
      <c r="U33316" s="135"/>
    </row>
    <row r="33317" spans="20:21" ht="15" customHeight="1" x14ac:dyDescent="0.25">
      <c r="T33317" s="135"/>
      <c r="U33317" s="135"/>
    </row>
    <row r="33318" spans="20:21" ht="15" customHeight="1" x14ac:dyDescent="0.25">
      <c r="T33318" s="135"/>
      <c r="U33318" s="135"/>
    </row>
    <row r="33319" spans="20:21" ht="15" customHeight="1" x14ac:dyDescent="0.25">
      <c r="T33319" s="135"/>
      <c r="U33319" s="135"/>
    </row>
    <row r="33320" spans="20:21" ht="15" customHeight="1" x14ac:dyDescent="0.25">
      <c r="T33320" s="135"/>
      <c r="U33320" s="135"/>
    </row>
    <row r="33321" spans="20:21" ht="15" customHeight="1" x14ac:dyDescent="0.25">
      <c r="T33321" s="135"/>
      <c r="U33321" s="135"/>
    </row>
    <row r="33322" spans="20:21" ht="15" customHeight="1" x14ac:dyDescent="0.25">
      <c r="T33322" s="135"/>
      <c r="U33322" s="135"/>
    </row>
    <row r="33323" spans="20:21" ht="15" customHeight="1" x14ac:dyDescent="0.25">
      <c r="T33323" s="135"/>
      <c r="U33323" s="135"/>
    </row>
    <row r="33324" spans="20:21" ht="15" customHeight="1" x14ac:dyDescent="0.25">
      <c r="T33324" s="135"/>
      <c r="U33324" s="135"/>
    </row>
    <row r="33325" spans="20:21" ht="15" customHeight="1" x14ac:dyDescent="0.25">
      <c r="T33325" s="135"/>
      <c r="U33325" s="135"/>
    </row>
    <row r="33326" spans="20:21" ht="15" customHeight="1" x14ac:dyDescent="0.25">
      <c r="T33326" s="135"/>
      <c r="U33326" s="135"/>
    </row>
    <row r="33327" spans="20:21" ht="15" customHeight="1" x14ac:dyDescent="0.25">
      <c r="T33327" s="135"/>
      <c r="U33327" s="135"/>
    </row>
    <row r="33328" spans="20:21" ht="15" customHeight="1" x14ac:dyDescent="0.25">
      <c r="T33328" s="135"/>
      <c r="U33328" s="135"/>
    </row>
    <row r="33329" spans="20:21" ht="15" customHeight="1" x14ac:dyDescent="0.25">
      <c r="T33329" s="135"/>
      <c r="U33329" s="135"/>
    </row>
    <row r="33330" spans="20:21" ht="15" customHeight="1" x14ac:dyDescent="0.25">
      <c r="T33330" s="135"/>
      <c r="U33330" s="135"/>
    </row>
    <row r="33331" spans="20:21" ht="15" customHeight="1" x14ac:dyDescent="0.25">
      <c r="T33331" s="135"/>
      <c r="U33331" s="135"/>
    </row>
    <row r="33332" spans="20:21" ht="15" customHeight="1" x14ac:dyDescent="0.25">
      <c r="T33332" s="135"/>
      <c r="U33332" s="135"/>
    </row>
    <row r="33333" spans="20:21" ht="15" customHeight="1" x14ac:dyDescent="0.25">
      <c r="T33333" s="135"/>
      <c r="U33333" s="135"/>
    </row>
    <row r="33334" spans="20:21" ht="15" customHeight="1" x14ac:dyDescent="0.25">
      <c r="T33334" s="135"/>
      <c r="U33334" s="135"/>
    </row>
    <row r="33335" spans="20:21" ht="15" customHeight="1" x14ac:dyDescent="0.25">
      <c r="T33335" s="135"/>
      <c r="U33335" s="135"/>
    </row>
    <row r="33336" spans="20:21" ht="15" customHeight="1" x14ac:dyDescent="0.25">
      <c r="T33336" s="135"/>
      <c r="U33336" s="135"/>
    </row>
    <row r="33337" spans="20:21" ht="15" customHeight="1" x14ac:dyDescent="0.25">
      <c r="T33337" s="135"/>
      <c r="U33337" s="135"/>
    </row>
    <row r="33338" spans="20:21" ht="15" customHeight="1" x14ac:dyDescent="0.25">
      <c r="T33338" s="135"/>
      <c r="U33338" s="135"/>
    </row>
    <row r="33339" spans="20:21" ht="15" customHeight="1" x14ac:dyDescent="0.25">
      <c r="T33339" s="135"/>
      <c r="U33339" s="135"/>
    </row>
    <row r="33340" spans="20:21" ht="15" customHeight="1" x14ac:dyDescent="0.25">
      <c r="T33340" s="135"/>
      <c r="U33340" s="135"/>
    </row>
    <row r="33341" spans="20:21" ht="15" customHeight="1" x14ac:dyDescent="0.25">
      <c r="T33341" s="135"/>
      <c r="U33341" s="135"/>
    </row>
    <row r="33342" spans="20:21" ht="15" customHeight="1" x14ac:dyDescent="0.25">
      <c r="T33342" s="135"/>
      <c r="U33342" s="135"/>
    </row>
    <row r="33343" spans="20:21" ht="15" customHeight="1" x14ac:dyDescent="0.25">
      <c r="T33343" s="135"/>
      <c r="U33343" s="135"/>
    </row>
    <row r="33344" spans="20:21" ht="15" customHeight="1" x14ac:dyDescent="0.25">
      <c r="T33344" s="135"/>
      <c r="U33344" s="135"/>
    </row>
    <row r="33345" spans="20:21" ht="15" customHeight="1" x14ac:dyDescent="0.25">
      <c r="T33345" s="135"/>
      <c r="U33345" s="135"/>
    </row>
    <row r="33346" spans="20:21" ht="15" customHeight="1" x14ac:dyDescent="0.25">
      <c r="T33346" s="135"/>
      <c r="U33346" s="135"/>
    </row>
    <row r="33347" spans="20:21" ht="15" customHeight="1" x14ac:dyDescent="0.25">
      <c r="T33347" s="135"/>
      <c r="U33347" s="135"/>
    </row>
    <row r="33348" spans="20:21" ht="15" customHeight="1" x14ac:dyDescent="0.25">
      <c r="T33348" s="135"/>
      <c r="U33348" s="135"/>
    </row>
    <row r="33349" spans="20:21" ht="15" customHeight="1" x14ac:dyDescent="0.25">
      <c r="T33349" s="135"/>
      <c r="U33349" s="135"/>
    </row>
    <row r="33350" spans="20:21" ht="15" customHeight="1" x14ac:dyDescent="0.25">
      <c r="T33350" s="135"/>
      <c r="U33350" s="135"/>
    </row>
    <row r="33351" spans="20:21" ht="15" customHeight="1" x14ac:dyDescent="0.25">
      <c r="T33351" s="135"/>
      <c r="U33351" s="135"/>
    </row>
    <row r="33352" spans="20:21" ht="15" customHeight="1" x14ac:dyDescent="0.25">
      <c r="T33352" s="135"/>
      <c r="U33352" s="135"/>
    </row>
    <row r="33353" spans="20:21" ht="15" customHeight="1" x14ac:dyDescent="0.25">
      <c r="T33353" s="135"/>
      <c r="U33353" s="135"/>
    </row>
    <row r="33354" spans="20:21" ht="15" customHeight="1" x14ac:dyDescent="0.25">
      <c r="T33354" s="135"/>
      <c r="U33354" s="135"/>
    </row>
    <row r="33355" spans="20:21" ht="15" customHeight="1" x14ac:dyDescent="0.25">
      <c r="T33355" s="135"/>
      <c r="U33355" s="135"/>
    </row>
    <row r="33356" spans="20:21" ht="15" customHeight="1" x14ac:dyDescent="0.25">
      <c r="T33356" s="135"/>
      <c r="U33356" s="135"/>
    </row>
    <row r="33357" spans="20:21" ht="15" customHeight="1" x14ac:dyDescent="0.25">
      <c r="T33357" s="135"/>
      <c r="U33357" s="135"/>
    </row>
    <row r="33358" spans="20:21" ht="15" customHeight="1" x14ac:dyDescent="0.25">
      <c r="T33358" s="135"/>
      <c r="U33358" s="135"/>
    </row>
    <row r="33359" spans="20:21" ht="15" customHeight="1" x14ac:dyDescent="0.25">
      <c r="T33359" s="135"/>
      <c r="U33359" s="135"/>
    </row>
    <row r="33360" spans="20:21" ht="15" customHeight="1" x14ac:dyDescent="0.25">
      <c r="T33360" s="135"/>
      <c r="U33360" s="135"/>
    </row>
    <row r="33361" spans="20:21" ht="15" customHeight="1" x14ac:dyDescent="0.25">
      <c r="T33361" s="135"/>
      <c r="U33361" s="135"/>
    </row>
    <row r="33362" spans="20:21" ht="15" customHeight="1" x14ac:dyDescent="0.25">
      <c r="T33362" s="135"/>
      <c r="U33362" s="135"/>
    </row>
    <row r="33363" spans="20:21" ht="15" customHeight="1" x14ac:dyDescent="0.25">
      <c r="T33363" s="135"/>
      <c r="U33363" s="135"/>
    </row>
    <row r="33364" spans="20:21" ht="15" customHeight="1" x14ac:dyDescent="0.25">
      <c r="T33364" s="135"/>
      <c r="U33364" s="135"/>
    </row>
    <row r="33365" spans="20:21" ht="15" customHeight="1" x14ac:dyDescent="0.25">
      <c r="T33365" s="135"/>
      <c r="U33365" s="135"/>
    </row>
    <row r="33366" spans="20:21" ht="15" customHeight="1" x14ac:dyDescent="0.25">
      <c r="T33366" s="135"/>
      <c r="U33366" s="135"/>
    </row>
    <row r="33367" spans="20:21" ht="15" customHeight="1" x14ac:dyDescent="0.25">
      <c r="T33367" s="135"/>
      <c r="U33367" s="135"/>
    </row>
    <row r="33368" spans="20:21" ht="15" customHeight="1" x14ac:dyDescent="0.25">
      <c r="T33368" s="135"/>
      <c r="U33368" s="135"/>
    </row>
    <row r="33369" spans="20:21" ht="15" customHeight="1" x14ac:dyDescent="0.25">
      <c r="T33369" s="135"/>
      <c r="U33369" s="135"/>
    </row>
    <row r="33370" spans="20:21" ht="15" customHeight="1" x14ac:dyDescent="0.25">
      <c r="T33370" s="135"/>
      <c r="U33370" s="135"/>
    </row>
    <row r="33371" spans="20:21" ht="15" customHeight="1" x14ac:dyDescent="0.25">
      <c r="T33371" s="135"/>
      <c r="U33371" s="135"/>
    </row>
    <row r="33372" spans="20:21" ht="15" customHeight="1" x14ac:dyDescent="0.25">
      <c r="T33372" s="135"/>
      <c r="U33372" s="135"/>
    </row>
    <row r="33373" spans="20:21" ht="15" customHeight="1" x14ac:dyDescent="0.25">
      <c r="T33373" s="135"/>
      <c r="U33373" s="135"/>
    </row>
    <row r="33374" spans="20:21" ht="15" customHeight="1" x14ac:dyDescent="0.25">
      <c r="T33374" s="135"/>
      <c r="U33374" s="135"/>
    </row>
    <row r="33375" spans="20:21" ht="15" customHeight="1" x14ac:dyDescent="0.25">
      <c r="T33375" s="135"/>
      <c r="U33375" s="135"/>
    </row>
    <row r="33376" spans="20:21" ht="15" customHeight="1" x14ac:dyDescent="0.25">
      <c r="T33376" s="135"/>
      <c r="U33376" s="135"/>
    </row>
    <row r="33377" spans="20:21" ht="15" customHeight="1" x14ac:dyDescent="0.25">
      <c r="T33377" s="135"/>
      <c r="U33377" s="135"/>
    </row>
    <row r="33378" spans="20:21" ht="15" customHeight="1" x14ac:dyDescent="0.25">
      <c r="T33378" s="135"/>
      <c r="U33378" s="135"/>
    </row>
    <row r="33379" spans="20:21" ht="15" customHeight="1" x14ac:dyDescent="0.25">
      <c r="T33379" s="135"/>
      <c r="U33379" s="135"/>
    </row>
    <row r="33380" spans="20:21" ht="15" customHeight="1" x14ac:dyDescent="0.25">
      <c r="T33380" s="135"/>
      <c r="U33380" s="135"/>
    </row>
    <row r="33381" spans="20:21" ht="15" customHeight="1" x14ac:dyDescent="0.25">
      <c r="T33381" s="135"/>
      <c r="U33381" s="135"/>
    </row>
    <row r="33382" spans="20:21" ht="15" customHeight="1" x14ac:dyDescent="0.25">
      <c r="T33382" s="135"/>
      <c r="U33382" s="135"/>
    </row>
    <row r="33383" spans="20:21" ht="15" customHeight="1" x14ac:dyDescent="0.25">
      <c r="T33383" s="135"/>
      <c r="U33383" s="135"/>
    </row>
    <row r="33384" spans="20:21" ht="15" customHeight="1" x14ac:dyDescent="0.25">
      <c r="T33384" s="135"/>
      <c r="U33384" s="135"/>
    </row>
    <row r="33385" spans="20:21" ht="15" customHeight="1" x14ac:dyDescent="0.25">
      <c r="T33385" s="135"/>
      <c r="U33385" s="135"/>
    </row>
    <row r="33386" spans="20:21" ht="15" customHeight="1" x14ac:dyDescent="0.25">
      <c r="T33386" s="135"/>
      <c r="U33386" s="135"/>
    </row>
    <row r="33387" spans="20:21" ht="15" customHeight="1" x14ac:dyDescent="0.25">
      <c r="T33387" s="135"/>
      <c r="U33387" s="135"/>
    </row>
    <row r="33388" spans="20:21" ht="15" customHeight="1" x14ac:dyDescent="0.25">
      <c r="T33388" s="135"/>
      <c r="U33388" s="135"/>
    </row>
    <row r="33389" spans="20:21" ht="15" customHeight="1" x14ac:dyDescent="0.25">
      <c r="T33389" s="135"/>
      <c r="U33389" s="135"/>
    </row>
    <row r="33390" spans="20:21" ht="15" customHeight="1" x14ac:dyDescent="0.25">
      <c r="T33390" s="135"/>
      <c r="U33390" s="135"/>
    </row>
    <row r="33391" spans="20:21" ht="15" customHeight="1" x14ac:dyDescent="0.25">
      <c r="T33391" s="135"/>
      <c r="U33391" s="135"/>
    </row>
    <row r="33392" spans="20:21" ht="15" customHeight="1" x14ac:dyDescent="0.25">
      <c r="T33392" s="135"/>
      <c r="U33392" s="135"/>
    </row>
    <row r="33393" spans="20:21" ht="15" customHeight="1" x14ac:dyDescent="0.25">
      <c r="T33393" s="135"/>
      <c r="U33393" s="135"/>
    </row>
    <row r="33394" spans="20:21" ht="15" customHeight="1" x14ac:dyDescent="0.25">
      <c r="T33394" s="135"/>
      <c r="U33394" s="135"/>
    </row>
    <row r="33395" spans="20:21" ht="15" customHeight="1" x14ac:dyDescent="0.25">
      <c r="T33395" s="135"/>
      <c r="U33395" s="135"/>
    </row>
    <row r="33396" spans="20:21" ht="15" customHeight="1" x14ac:dyDescent="0.25">
      <c r="T33396" s="135"/>
      <c r="U33396" s="135"/>
    </row>
    <row r="33397" spans="20:21" ht="15" customHeight="1" x14ac:dyDescent="0.25">
      <c r="T33397" s="135"/>
      <c r="U33397" s="135"/>
    </row>
    <row r="33398" spans="20:21" ht="15" customHeight="1" x14ac:dyDescent="0.25">
      <c r="T33398" s="135"/>
      <c r="U33398" s="135"/>
    </row>
    <row r="33399" spans="20:21" ht="15" customHeight="1" x14ac:dyDescent="0.25">
      <c r="T33399" s="135"/>
      <c r="U33399" s="135"/>
    </row>
    <row r="33400" spans="20:21" ht="15" customHeight="1" x14ac:dyDescent="0.25">
      <c r="T33400" s="135"/>
      <c r="U33400" s="135"/>
    </row>
    <row r="33401" spans="20:21" ht="15" customHeight="1" x14ac:dyDescent="0.25">
      <c r="T33401" s="135"/>
      <c r="U33401" s="135"/>
    </row>
    <row r="33402" spans="20:21" ht="15" customHeight="1" x14ac:dyDescent="0.25">
      <c r="T33402" s="135"/>
      <c r="U33402" s="135"/>
    </row>
    <row r="33403" spans="20:21" ht="15" customHeight="1" x14ac:dyDescent="0.25">
      <c r="T33403" s="135"/>
      <c r="U33403" s="135"/>
    </row>
    <row r="33404" spans="20:21" ht="15" customHeight="1" x14ac:dyDescent="0.25">
      <c r="T33404" s="135"/>
      <c r="U33404" s="135"/>
    </row>
    <row r="33405" spans="20:21" ht="15" customHeight="1" x14ac:dyDescent="0.25">
      <c r="T33405" s="135"/>
      <c r="U33405" s="135"/>
    </row>
    <row r="33406" spans="20:21" ht="15" customHeight="1" x14ac:dyDescent="0.25">
      <c r="T33406" s="135"/>
      <c r="U33406" s="135"/>
    </row>
    <row r="33407" spans="20:21" ht="15" customHeight="1" x14ac:dyDescent="0.25">
      <c r="T33407" s="135"/>
      <c r="U33407" s="135"/>
    </row>
    <row r="33408" spans="20:21" ht="15" customHeight="1" x14ac:dyDescent="0.25">
      <c r="T33408" s="135"/>
      <c r="U33408" s="135"/>
    </row>
    <row r="33409" spans="20:21" ht="15" customHeight="1" x14ac:dyDescent="0.25">
      <c r="T33409" s="135"/>
      <c r="U33409" s="135"/>
    </row>
    <row r="33410" spans="20:21" ht="15" customHeight="1" x14ac:dyDescent="0.25">
      <c r="T33410" s="135"/>
      <c r="U33410" s="135"/>
    </row>
    <row r="33411" spans="20:21" ht="15" customHeight="1" x14ac:dyDescent="0.25">
      <c r="T33411" s="135"/>
      <c r="U33411" s="135"/>
    </row>
    <row r="33412" spans="20:21" ht="15" customHeight="1" x14ac:dyDescent="0.25">
      <c r="T33412" s="135"/>
      <c r="U33412" s="135"/>
    </row>
    <row r="33413" spans="20:21" ht="15" customHeight="1" x14ac:dyDescent="0.25">
      <c r="T33413" s="135"/>
      <c r="U33413" s="135"/>
    </row>
    <row r="33414" spans="20:21" ht="15" customHeight="1" x14ac:dyDescent="0.25">
      <c r="T33414" s="135"/>
      <c r="U33414" s="135"/>
    </row>
    <row r="33415" spans="20:21" ht="15" customHeight="1" x14ac:dyDescent="0.25">
      <c r="T33415" s="135"/>
      <c r="U33415" s="135"/>
    </row>
    <row r="33416" spans="20:21" ht="15" customHeight="1" x14ac:dyDescent="0.25">
      <c r="T33416" s="135"/>
      <c r="U33416" s="135"/>
    </row>
    <row r="33417" spans="20:21" ht="15" customHeight="1" x14ac:dyDescent="0.25">
      <c r="T33417" s="135"/>
      <c r="U33417" s="135"/>
    </row>
    <row r="33418" spans="20:21" ht="15" customHeight="1" x14ac:dyDescent="0.25">
      <c r="T33418" s="135"/>
      <c r="U33418" s="135"/>
    </row>
    <row r="33419" spans="20:21" ht="15" customHeight="1" x14ac:dyDescent="0.25">
      <c r="T33419" s="135"/>
      <c r="U33419" s="135"/>
    </row>
    <row r="33420" spans="20:21" ht="15" customHeight="1" x14ac:dyDescent="0.25">
      <c r="T33420" s="135"/>
      <c r="U33420" s="135"/>
    </row>
    <row r="33421" spans="20:21" ht="15" customHeight="1" x14ac:dyDescent="0.25">
      <c r="T33421" s="135"/>
      <c r="U33421" s="135"/>
    </row>
    <row r="33422" spans="20:21" ht="15" customHeight="1" x14ac:dyDescent="0.25">
      <c r="T33422" s="135"/>
      <c r="U33422" s="135"/>
    </row>
    <row r="33423" spans="20:21" ht="15" customHeight="1" x14ac:dyDescent="0.25">
      <c r="T33423" s="135"/>
      <c r="U33423" s="135"/>
    </row>
    <row r="33424" spans="20:21" ht="15" customHeight="1" x14ac:dyDescent="0.25">
      <c r="T33424" s="135"/>
      <c r="U33424" s="135"/>
    </row>
    <row r="33425" spans="20:21" ht="15" customHeight="1" x14ac:dyDescent="0.25">
      <c r="T33425" s="135"/>
      <c r="U33425" s="135"/>
    </row>
    <row r="33426" spans="20:21" ht="15" customHeight="1" x14ac:dyDescent="0.25">
      <c r="T33426" s="135"/>
      <c r="U33426" s="135"/>
    </row>
    <row r="33427" spans="20:21" ht="15" customHeight="1" x14ac:dyDescent="0.25">
      <c r="T33427" s="135"/>
      <c r="U33427" s="135"/>
    </row>
    <row r="33428" spans="20:21" ht="15" customHeight="1" x14ac:dyDescent="0.25">
      <c r="T33428" s="135"/>
      <c r="U33428" s="135"/>
    </row>
    <row r="33429" spans="20:21" ht="15" customHeight="1" x14ac:dyDescent="0.25">
      <c r="T33429" s="135"/>
      <c r="U33429" s="135"/>
    </row>
    <row r="33430" spans="20:21" ht="15" customHeight="1" x14ac:dyDescent="0.25">
      <c r="T33430" s="135"/>
      <c r="U33430" s="135"/>
    </row>
    <row r="33431" spans="20:21" ht="15" customHeight="1" x14ac:dyDescent="0.25">
      <c r="T33431" s="135"/>
      <c r="U33431" s="135"/>
    </row>
    <row r="33432" spans="20:21" ht="15" customHeight="1" x14ac:dyDescent="0.25">
      <c r="T33432" s="135"/>
      <c r="U33432" s="135"/>
    </row>
    <row r="33433" spans="20:21" ht="15" customHeight="1" x14ac:dyDescent="0.25">
      <c r="T33433" s="135"/>
      <c r="U33433" s="135"/>
    </row>
    <row r="33434" spans="20:21" ht="15" customHeight="1" x14ac:dyDescent="0.25">
      <c r="T33434" s="135"/>
      <c r="U33434" s="135"/>
    </row>
    <row r="33435" spans="20:21" ht="15" customHeight="1" x14ac:dyDescent="0.25">
      <c r="T33435" s="135"/>
      <c r="U33435" s="135"/>
    </row>
    <row r="33436" spans="20:21" ht="15" customHeight="1" x14ac:dyDescent="0.25">
      <c r="T33436" s="135"/>
      <c r="U33436" s="135"/>
    </row>
    <row r="33437" spans="20:21" ht="15" customHeight="1" x14ac:dyDescent="0.25">
      <c r="T33437" s="135"/>
      <c r="U33437" s="135"/>
    </row>
    <row r="33438" spans="20:21" ht="15" customHeight="1" x14ac:dyDescent="0.25">
      <c r="T33438" s="135"/>
      <c r="U33438" s="135"/>
    </row>
    <row r="33439" spans="20:21" ht="15" customHeight="1" x14ac:dyDescent="0.25">
      <c r="T33439" s="135"/>
      <c r="U33439" s="135"/>
    </row>
    <row r="33440" spans="20:21" ht="15" customHeight="1" x14ac:dyDescent="0.25">
      <c r="T33440" s="135"/>
      <c r="U33440" s="135"/>
    </row>
    <row r="33441" spans="20:21" ht="15" customHeight="1" x14ac:dyDescent="0.25">
      <c r="T33441" s="135"/>
      <c r="U33441" s="135"/>
    </row>
    <row r="33442" spans="20:21" ht="15" customHeight="1" x14ac:dyDescent="0.25">
      <c r="T33442" s="135"/>
      <c r="U33442" s="135"/>
    </row>
    <row r="33443" spans="20:21" ht="15" customHeight="1" x14ac:dyDescent="0.25">
      <c r="T33443" s="135"/>
      <c r="U33443" s="135"/>
    </row>
    <row r="33444" spans="20:21" ht="15" customHeight="1" x14ac:dyDescent="0.25">
      <c r="T33444" s="135"/>
      <c r="U33444" s="135"/>
    </row>
    <row r="33445" spans="20:21" ht="15" customHeight="1" x14ac:dyDescent="0.25">
      <c r="T33445" s="135"/>
      <c r="U33445" s="135"/>
    </row>
    <row r="33446" spans="20:21" ht="15" customHeight="1" x14ac:dyDescent="0.25">
      <c r="T33446" s="135"/>
      <c r="U33446" s="135"/>
    </row>
    <row r="33447" spans="20:21" ht="15" customHeight="1" x14ac:dyDescent="0.25">
      <c r="T33447" s="135"/>
      <c r="U33447" s="135"/>
    </row>
    <row r="33448" spans="20:21" ht="15" customHeight="1" x14ac:dyDescent="0.25">
      <c r="T33448" s="135"/>
      <c r="U33448" s="135"/>
    </row>
    <row r="33449" spans="20:21" ht="15" customHeight="1" x14ac:dyDescent="0.25">
      <c r="T33449" s="135"/>
      <c r="U33449" s="135"/>
    </row>
    <row r="33450" spans="20:21" ht="15" customHeight="1" x14ac:dyDescent="0.25">
      <c r="T33450" s="135"/>
      <c r="U33450" s="135"/>
    </row>
    <row r="33451" spans="20:21" ht="15" customHeight="1" x14ac:dyDescent="0.25">
      <c r="T33451" s="135"/>
      <c r="U33451" s="135"/>
    </row>
    <row r="33452" spans="20:21" ht="15" customHeight="1" x14ac:dyDescent="0.25">
      <c r="T33452" s="135"/>
      <c r="U33452" s="135"/>
    </row>
    <row r="33453" spans="20:21" ht="15" customHeight="1" x14ac:dyDescent="0.25">
      <c r="T33453" s="135"/>
      <c r="U33453" s="135"/>
    </row>
    <row r="33454" spans="20:21" ht="15" customHeight="1" x14ac:dyDescent="0.25">
      <c r="T33454" s="135"/>
      <c r="U33454" s="135"/>
    </row>
    <row r="33455" spans="20:21" ht="15" customHeight="1" x14ac:dyDescent="0.25">
      <c r="T33455" s="135"/>
      <c r="U33455" s="135"/>
    </row>
    <row r="33456" spans="20:21" ht="15" customHeight="1" x14ac:dyDescent="0.25">
      <c r="T33456" s="135"/>
      <c r="U33456" s="135"/>
    </row>
    <row r="33457" spans="20:21" ht="15" customHeight="1" x14ac:dyDescent="0.25">
      <c r="T33457" s="135"/>
      <c r="U33457" s="135"/>
    </row>
    <row r="33458" spans="20:21" ht="15" customHeight="1" x14ac:dyDescent="0.25">
      <c r="T33458" s="135"/>
      <c r="U33458" s="135"/>
    </row>
    <row r="33459" spans="20:21" ht="15" customHeight="1" x14ac:dyDescent="0.25">
      <c r="T33459" s="135"/>
      <c r="U33459" s="135"/>
    </row>
    <row r="33460" spans="20:21" ht="15" customHeight="1" x14ac:dyDescent="0.25">
      <c r="T33460" s="135"/>
      <c r="U33460" s="135"/>
    </row>
    <row r="33461" spans="20:21" ht="15" customHeight="1" x14ac:dyDescent="0.25">
      <c r="T33461" s="135"/>
      <c r="U33461" s="135"/>
    </row>
    <row r="33462" spans="20:21" ht="15" customHeight="1" x14ac:dyDescent="0.25">
      <c r="T33462" s="135"/>
      <c r="U33462" s="135"/>
    </row>
    <row r="33463" spans="20:21" ht="15" customHeight="1" x14ac:dyDescent="0.25">
      <c r="T33463" s="135"/>
      <c r="U33463" s="135"/>
    </row>
    <row r="33464" spans="20:21" ht="15" customHeight="1" x14ac:dyDescent="0.25">
      <c r="T33464" s="135"/>
      <c r="U33464" s="135"/>
    </row>
    <row r="33465" spans="20:21" ht="15" customHeight="1" x14ac:dyDescent="0.25">
      <c r="T33465" s="135"/>
      <c r="U33465" s="135"/>
    </row>
    <row r="33466" spans="20:21" ht="15" customHeight="1" x14ac:dyDescent="0.25">
      <c r="T33466" s="135"/>
      <c r="U33466" s="135"/>
    </row>
    <row r="33467" spans="20:21" ht="15" customHeight="1" x14ac:dyDescent="0.25">
      <c r="T33467" s="135"/>
      <c r="U33467" s="135"/>
    </row>
    <row r="33468" spans="20:21" ht="15" customHeight="1" x14ac:dyDescent="0.25">
      <c r="T33468" s="135"/>
      <c r="U33468" s="135"/>
    </row>
    <row r="33469" spans="20:21" ht="15" customHeight="1" x14ac:dyDescent="0.25">
      <c r="T33469" s="135"/>
      <c r="U33469" s="135"/>
    </row>
    <row r="33470" spans="20:21" ht="15" customHeight="1" x14ac:dyDescent="0.25">
      <c r="T33470" s="135"/>
      <c r="U33470" s="135"/>
    </row>
    <row r="33471" spans="20:21" ht="15" customHeight="1" x14ac:dyDescent="0.25">
      <c r="T33471" s="135"/>
      <c r="U33471" s="135"/>
    </row>
    <row r="33472" spans="20:21" ht="15" customHeight="1" x14ac:dyDescent="0.25">
      <c r="T33472" s="135"/>
      <c r="U33472" s="135"/>
    </row>
    <row r="33473" spans="20:21" ht="15" customHeight="1" x14ac:dyDescent="0.25">
      <c r="T33473" s="135"/>
      <c r="U33473" s="135"/>
    </row>
    <row r="33474" spans="20:21" ht="15" customHeight="1" x14ac:dyDescent="0.25">
      <c r="T33474" s="135"/>
      <c r="U33474" s="135"/>
    </row>
    <row r="33475" spans="20:21" ht="15" customHeight="1" x14ac:dyDescent="0.25">
      <c r="T33475" s="135"/>
      <c r="U33475" s="135"/>
    </row>
    <row r="33476" spans="20:21" ht="15" customHeight="1" x14ac:dyDescent="0.25">
      <c r="T33476" s="135"/>
      <c r="U33476" s="135"/>
    </row>
    <row r="33477" spans="20:21" ht="15" customHeight="1" x14ac:dyDescent="0.25">
      <c r="T33477" s="135"/>
      <c r="U33477" s="135"/>
    </row>
    <row r="33478" spans="20:21" ht="15" customHeight="1" x14ac:dyDescent="0.25">
      <c r="T33478" s="135"/>
      <c r="U33478" s="135"/>
    </row>
    <row r="33479" spans="20:21" ht="15" customHeight="1" x14ac:dyDescent="0.25">
      <c r="T33479" s="135"/>
      <c r="U33479" s="135"/>
    </row>
    <row r="33480" spans="20:21" ht="15" customHeight="1" x14ac:dyDescent="0.25">
      <c r="T33480" s="135"/>
      <c r="U33480" s="135"/>
    </row>
    <row r="33481" spans="20:21" ht="15" customHeight="1" x14ac:dyDescent="0.25">
      <c r="T33481" s="135"/>
      <c r="U33481" s="135"/>
    </row>
    <row r="33482" spans="20:21" ht="15" customHeight="1" x14ac:dyDescent="0.25">
      <c r="T33482" s="135"/>
      <c r="U33482" s="135"/>
    </row>
    <row r="33483" spans="20:21" ht="15" customHeight="1" x14ac:dyDescent="0.25">
      <c r="T33483" s="135"/>
      <c r="U33483" s="135"/>
    </row>
    <row r="33484" spans="20:21" ht="15" customHeight="1" x14ac:dyDescent="0.25">
      <c r="T33484" s="135"/>
      <c r="U33484" s="135"/>
    </row>
    <row r="33485" spans="20:21" ht="15" customHeight="1" x14ac:dyDescent="0.25">
      <c r="T33485" s="135"/>
      <c r="U33485" s="135"/>
    </row>
    <row r="33486" spans="20:21" ht="15" customHeight="1" x14ac:dyDescent="0.25">
      <c r="T33486" s="135"/>
      <c r="U33486" s="135"/>
    </row>
    <row r="33487" spans="20:21" ht="15" customHeight="1" x14ac:dyDescent="0.25">
      <c r="T33487" s="135"/>
      <c r="U33487" s="135"/>
    </row>
    <row r="33488" spans="20:21" ht="15" customHeight="1" x14ac:dyDescent="0.25">
      <c r="T33488" s="135"/>
      <c r="U33488" s="135"/>
    </row>
    <row r="33489" spans="20:21" ht="15" customHeight="1" x14ac:dyDescent="0.25">
      <c r="T33489" s="135"/>
      <c r="U33489" s="135"/>
    </row>
    <row r="33490" spans="20:21" ht="15" customHeight="1" x14ac:dyDescent="0.25">
      <c r="T33490" s="135"/>
      <c r="U33490" s="135"/>
    </row>
    <row r="33491" spans="20:21" ht="15" customHeight="1" x14ac:dyDescent="0.25">
      <c r="T33491" s="135"/>
      <c r="U33491" s="135"/>
    </row>
    <row r="33492" spans="20:21" ht="15" customHeight="1" x14ac:dyDescent="0.25">
      <c r="T33492" s="135"/>
      <c r="U33492" s="135"/>
    </row>
    <row r="33493" spans="20:21" ht="15" customHeight="1" x14ac:dyDescent="0.25">
      <c r="T33493" s="135"/>
      <c r="U33493" s="135"/>
    </row>
    <row r="33494" spans="20:21" ht="15" customHeight="1" x14ac:dyDescent="0.25">
      <c r="T33494" s="135"/>
      <c r="U33494" s="135"/>
    </row>
    <row r="33495" spans="20:21" ht="15" customHeight="1" x14ac:dyDescent="0.25">
      <c r="T33495" s="135"/>
      <c r="U33495" s="135"/>
    </row>
    <row r="33496" spans="20:21" ht="15" customHeight="1" x14ac:dyDescent="0.25">
      <c r="T33496" s="135"/>
      <c r="U33496" s="135"/>
    </row>
    <row r="33497" spans="20:21" ht="15" customHeight="1" x14ac:dyDescent="0.25">
      <c r="T33497" s="135"/>
      <c r="U33497" s="135"/>
    </row>
    <row r="33498" spans="20:21" ht="15" customHeight="1" x14ac:dyDescent="0.25">
      <c r="T33498" s="135"/>
      <c r="U33498" s="135"/>
    </row>
    <row r="33499" spans="20:21" ht="15" customHeight="1" x14ac:dyDescent="0.25">
      <c r="T33499" s="135"/>
      <c r="U33499" s="135"/>
    </row>
    <row r="33500" spans="20:21" ht="15" customHeight="1" x14ac:dyDescent="0.25">
      <c r="T33500" s="135"/>
      <c r="U33500" s="135"/>
    </row>
    <row r="33501" spans="20:21" ht="15" customHeight="1" x14ac:dyDescent="0.25">
      <c r="T33501" s="135"/>
      <c r="U33501" s="135"/>
    </row>
    <row r="33502" spans="20:21" ht="15" customHeight="1" x14ac:dyDescent="0.25">
      <c r="T33502" s="135"/>
      <c r="U33502" s="135"/>
    </row>
    <row r="33503" spans="20:21" ht="15" customHeight="1" x14ac:dyDescent="0.25">
      <c r="T33503" s="135"/>
      <c r="U33503" s="135"/>
    </row>
    <row r="33504" spans="20:21" ht="15" customHeight="1" x14ac:dyDescent="0.25">
      <c r="T33504" s="135"/>
      <c r="U33504" s="135"/>
    </row>
    <row r="33505" spans="20:21" ht="15" customHeight="1" x14ac:dyDescent="0.25">
      <c r="T33505" s="135"/>
      <c r="U33505" s="135"/>
    </row>
    <row r="33506" spans="20:21" ht="15" customHeight="1" x14ac:dyDescent="0.25">
      <c r="T33506" s="135"/>
      <c r="U33506" s="135"/>
    </row>
    <row r="33507" spans="20:21" ht="15" customHeight="1" x14ac:dyDescent="0.25">
      <c r="T33507" s="135"/>
      <c r="U33507" s="135"/>
    </row>
    <row r="33508" spans="20:21" ht="15" customHeight="1" x14ac:dyDescent="0.25">
      <c r="T33508" s="135"/>
      <c r="U33508" s="135"/>
    </row>
    <row r="33509" spans="20:21" ht="15" customHeight="1" x14ac:dyDescent="0.25">
      <c r="T33509" s="135"/>
      <c r="U33509" s="135"/>
    </row>
    <row r="33510" spans="20:21" ht="15" customHeight="1" x14ac:dyDescent="0.25">
      <c r="T33510" s="135"/>
      <c r="U33510" s="135"/>
    </row>
    <row r="33511" spans="20:21" ht="15" customHeight="1" x14ac:dyDescent="0.25">
      <c r="T33511" s="135"/>
      <c r="U33511" s="135"/>
    </row>
    <row r="33512" spans="20:21" ht="15" customHeight="1" x14ac:dyDescent="0.25">
      <c r="T33512" s="135"/>
      <c r="U33512" s="135"/>
    </row>
    <row r="33513" spans="20:21" ht="15" customHeight="1" x14ac:dyDescent="0.25">
      <c r="T33513" s="135"/>
      <c r="U33513" s="135"/>
    </row>
    <row r="33514" spans="20:21" ht="15" customHeight="1" x14ac:dyDescent="0.25">
      <c r="T33514" s="135"/>
      <c r="U33514" s="135"/>
    </row>
    <row r="33515" spans="20:21" ht="15" customHeight="1" x14ac:dyDescent="0.25">
      <c r="T33515" s="135"/>
      <c r="U33515" s="135"/>
    </row>
    <row r="33516" spans="20:21" ht="15" customHeight="1" x14ac:dyDescent="0.25">
      <c r="T33516" s="135"/>
      <c r="U33516" s="135"/>
    </row>
    <row r="33517" spans="20:21" ht="15" customHeight="1" x14ac:dyDescent="0.25">
      <c r="T33517" s="135"/>
      <c r="U33517" s="135"/>
    </row>
    <row r="33518" spans="20:21" ht="15" customHeight="1" x14ac:dyDescent="0.25">
      <c r="T33518" s="135"/>
      <c r="U33518" s="135"/>
    </row>
    <row r="33519" spans="20:21" ht="15" customHeight="1" x14ac:dyDescent="0.25">
      <c r="T33519" s="135"/>
      <c r="U33519" s="135"/>
    </row>
    <row r="33520" spans="20:21" ht="15" customHeight="1" x14ac:dyDescent="0.25">
      <c r="T33520" s="135"/>
      <c r="U33520" s="135"/>
    </row>
    <row r="33521" spans="20:21" ht="15" customHeight="1" x14ac:dyDescent="0.25">
      <c r="T33521" s="135"/>
      <c r="U33521" s="135"/>
    </row>
    <row r="33522" spans="20:21" ht="15" customHeight="1" x14ac:dyDescent="0.25">
      <c r="T33522" s="135"/>
      <c r="U33522" s="135"/>
    </row>
    <row r="33523" spans="20:21" ht="15" customHeight="1" x14ac:dyDescent="0.25">
      <c r="T33523" s="135"/>
      <c r="U33523" s="135"/>
    </row>
    <row r="33524" spans="20:21" ht="15" customHeight="1" x14ac:dyDescent="0.25">
      <c r="T33524" s="135"/>
      <c r="U33524" s="135"/>
    </row>
    <row r="33525" spans="20:21" ht="15" customHeight="1" x14ac:dyDescent="0.25">
      <c r="T33525" s="135"/>
      <c r="U33525" s="135"/>
    </row>
    <row r="33526" spans="20:21" ht="15" customHeight="1" x14ac:dyDescent="0.25">
      <c r="T33526" s="135"/>
      <c r="U33526" s="135"/>
    </row>
    <row r="33527" spans="20:21" ht="15" customHeight="1" x14ac:dyDescent="0.25">
      <c r="T33527" s="135"/>
      <c r="U33527" s="135"/>
    </row>
    <row r="33528" spans="20:21" ht="15" customHeight="1" x14ac:dyDescent="0.25">
      <c r="T33528" s="135"/>
      <c r="U33528" s="135"/>
    </row>
    <row r="33529" spans="20:21" ht="15" customHeight="1" x14ac:dyDescent="0.25">
      <c r="T33529" s="135"/>
      <c r="U33529" s="135"/>
    </row>
    <row r="33530" spans="20:21" ht="15" customHeight="1" x14ac:dyDescent="0.25">
      <c r="T33530" s="135"/>
      <c r="U33530" s="135"/>
    </row>
    <row r="33531" spans="20:21" ht="15" customHeight="1" x14ac:dyDescent="0.25">
      <c r="T33531" s="135"/>
      <c r="U33531" s="135"/>
    </row>
    <row r="33532" spans="20:21" ht="15" customHeight="1" x14ac:dyDescent="0.25">
      <c r="T33532" s="135"/>
      <c r="U33532" s="135"/>
    </row>
    <row r="33533" spans="20:21" ht="15" customHeight="1" x14ac:dyDescent="0.25">
      <c r="T33533" s="135"/>
      <c r="U33533" s="135"/>
    </row>
    <row r="33534" spans="20:21" ht="15" customHeight="1" x14ac:dyDescent="0.25">
      <c r="T33534" s="135"/>
      <c r="U33534" s="135"/>
    </row>
    <row r="33535" spans="20:21" ht="15" customHeight="1" x14ac:dyDescent="0.25">
      <c r="T33535" s="135"/>
      <c r="U33535" s="135"/>
    </row>
    <row r="33536" spans="20:21" ht="15" customHeight="1" x14ac:dyDescent="0.25">
      <c r="T33536" s="135"/>
      <c r="U33536" s="135"/>
    </row>
    <row r="33537" spans="20:21" ht="15" customHeight="1" x14ac:dyDescent="0.25">
      <c r="T33537" s="135"/>
      <c r="U33537" s="135"/>
    </row>
    <row r="33538" spans="20:21" ht="15" customHeight="1" x14ac:dyDescent="0.25">
      <c r="T33538" s="135"/>
      <c r="U33538" s="135"/>
    </row>
    <row r="33539" spans="20:21" ht="15" customHeight="1" x14ac:dyDescent="0.25">
      <c r="T33539" s="135"/>
      <c r="U33539" s="135"/>
    </row>
    <row r="33540" spans="20:21" ht="15" customHeight="1" x14ac:dyDescent="0.25">
      <c r="T33540" s="135"/>
      <c r="U33540" s="135"/>
    </row>
    <row r="33541" spans="20:21" ht="15" customHeight="1" x14ac:dyDescent="0.25">
      <c r="T33541" s="135"/>
      <c r="U33541" s="135"/>
    </row>
    <row r="33542" spans="20:21" ht="15" customHeight="1" x14ac:dyDescent="0.25">
      <c r="T33542" s="135"/>
      <c r="U33542" s="135"/>
    </row>
    <row r="33543" spans="20:21" ht="15" customHeight="1" x14ac:dyDescent="0.25">
      <c r="T33543" s="135"/>
      <c r="U33543" s="135"/>
    </row>
    <row r="33544" spans="20:21" ht="15" customHeight="1" x14ac:dyDescent="0.25">
      <c r="T33544" s="135"/>
      <c r="U33544" s="135"/>
    </row>
    <row r="33545" spans="20:21" ht="15" customHeight="1" x14ac:dyDescent="0.25">
      <c r="T33545" s="135"/>
      <c r="U33545" s="135"/>
    </row>
    <row r="33546" spans="20:21" ht="15" customHeight="1" x14ac:dyDescent="0.25">
      <c r="T33546" s="135"/>
      <c r="U33546" s="135"/>
    </row>
    <row r="33547" spans="20:21" ht="15" customHeight="1" x14ac:dyDescent="0.25">
      <c r="T33547" s="135"/>
      <c r="U33547" s="135"/>
    </row>
    <row r="33548" spans="20:21" ht="15" customHeight="1" x14ac:dyDescent="0.25">
      <c r="T33548" s="135"/>
      <c r="U33548" s="135"/>
    </row>
    <row r="33549" spans="20:21" ht="15" customHeight="1" x14ac:dyDescent="0.25">
      <c r="T33549" s="135"/>
      <c r="U33549" s="135"/>
    </row>
    <row r="33550" spans="20:21" ht="15" customHeight="1" x14ac:dyDescent="0.25">
      <c r="T33550" s="135"/>
      <c r="U33550" s="135"/>
    </row>
    <row r="33551" spans="20:21" ht="15" customHeight="1" x14ac:dyDescent="0.25">
      <c r="T33551" s="135"/>
      <c r="U33551" s="135"/>
    </row>
    <row r="33552" spans="20:21" ht="15" customHeight="1" x14ac:dyDescent="0.25">
      <c r="T33552" s="135"/>
      <c r="U33552" s="135"/>
    </row>
    <row r="33553" spans="20:21" ht="15" customHeight="1" x14ac:dyDescent="0.25">
      <c r="T33553" s="135"/>
      <c r="U33553" s="135"/>
    </row>
    <row r="33554" spans="20:21" ht="15" customHeight="1" x14ac:dyDescent="0.25">
      <c r="T33554" s="135"/>
      <c r="U33554" s="135"/>
    </row>
    <row r="33555" spans="20:21" ht="15" customHeight="1" x14ac:dyDescent="0.25">
      <c r="T33555" s="135"/>
      <c r="U33555" s="135"/>
    </row>
    <row r="33556" spans="20:21" ht="15" customHeight="1" x14ac:dyDescent="0.25">
      <c r="T33556" s="135"/>
      <c r="U33556" s="135"/>
    </row>
    <row r="33557" spans="20:21" ht="15" customHeight="1" x14ac:dyDescent="0.25">
      <c r="T33557" s="135"/>
      <c r="U33557" s="135"/>
    </row>
    <row r="33558" spans="20:21" ht="15" customHeight="1" x14ac:dyDescent="0.25">
      <c r="T33558" s="135"/>
      <c r="U33558" s="135"/>
    </row>
    <row r="33559" spans="20:21" ht="15" customHeight="1" x14ac:dyDescent="0.25">
      <c r="T33559" s="135"/>
      <c r="U33559" s="135"/>
    </row>
    <row r="33560" spans="20:21" ht="15" customHeight="1" x14ac:dyDescent="0.25">
      <c r="T33560" s="135"/>
      <c r="U33560" s="135"/>
    </row>
    <row r="33561" spans="20:21" ht="15" customHeight="1" x14ac:dyDescent="0.25">
      <c r="T33561" s="135"/>
      <c r="U33561" s="135"/>
    </row>
    <row r="33562" spans="20:21" ht="15" customHeight="1" x14ac:dyDescent="0.25">
      <c r="T33562" s="135"/>
      <c r="U33562" s="135"/>
    </row>
    <row r="33563" spans="20:21" ht="15" customHeight="1" x14ac:dyDescent="0.25">
      <c r="T33563" s="135"/>
      <c r="U33563" s="135"/>
    </row>
    <row r="33564" spans="20:21" ht="15" customHeight="1" x14ac:dyDescent="0.25">
      <c r="T33564" s="135"/>
      <c r="U33564" s="135"/>
    </row>
    <row r="33565" spans="20:21" ht="15" customHeight="1" x14ac:dyDescent="0.25">
      <c r="T33565" s="135"/>
      <c r="U33565" s="135"/>
    </row>
    <row r="33566" spans="20:21" ht="15" customHeight="1" x14ac:dyDescent="0.25">
      <c r="T33566" s="135"/>
      <c r="U33566" s="135"/>
    </row>
    <row r="33567" spans="20:21" ht="15" customHeight="1" x14ac:dyDescent="0.25">
      <c r="T33567" s="135"/>
      <c r="U33567" s="135"/>
    </row>
    <row r="33568" spans="20:21" ht="15" customHeight="1" x14ac:dyDescent="0.25">
      <c r="T33568" s="135"/>
      <c r="U33568" s="135"/>
    </row>
    <row r="33569" spans="20:21" ht="15" customHeight="1" x14ac:dyDescent="0.25">
      <c r="T33569" s="135"/>
      <c r="U33569" s="135"/>
    </row>
    <row r="33570" spans="20:21" ht="15" customHeight="1" x14ac:dyDescent="0.25">
      <c r="T33570" s="135"/>
      <c r="U33570" s="135"/>
    </row>
    <row r="33571" spans="20:21" ht="15" customHeight="1" x14ac:dyDescent="0.25">
      <c r="T33571" s="135"/>
      <c r="U33571" s="135"/>
    </row>
    <row r="33572" spans="20:21" ht="15" customHeight="1" x14ac:dyDescent="0.25">
      <c r="T33572" s="135"/>
      <c r="U33572" s="135"/>
    </row>
    <row r="33573" spans="20:21" ht="15" customHeight="1" x14ac:dyDescent="0.25">
      <c r="T33573" s="135"/>
      <c r="U33573" s="135"/>
    </row>
    <row r="33574" spans="20:21" ht="15" customHeight="1" x14ac:dyDescent="0.25">
      <c r="T33574" s="135"/>
      <c r="U33574" s="135"/>
    </row>
    <row r="33575" spans="20:21" ht="15" customHeight="1" x14ac:dyDescent="0.25">
      <c r="T33575" s="135"/>
      <c r="U33575" s="135"/>
    </row>
    <row r="33576" spans="20:21" ht="15" customHeight="1" x14ac:dyDescent="0.25">
      <c r="T33576" s="135"/>
      <c r="U33576" s="135"/>
    </row>
    <row r="33577" spans="20:21" ht="15" customHeight="1" x14ac:dyDescent="0.25">
      <c r="T33577" s="135"/>
      <c r="U33577" s="135"/>
    </row>
    <row r="33578" spans="20:21" ht="15" customHeight="1" x14ac:dyDescent="0.25">
      <c r="T33578" s="135"/>
      <c r="U33578" s="135"/>
    </row>
    <row r="33579" spans="20:21" ht="15" customHeight="1" x14ac:dyDescent="0.25">
      <c r="T33579" s="135"/>
      <c r="U33579" s="135"/>
    </row>
    <row r="33580" spans="20:21" ht="15" customHeight="1" x14ac:dyDescent="0.25">
      <c r="T33580" s="135"/>
      <c r="U33580" s="135"/>
    </row>
    <row r="33581" spans="20:21" ht="15" customHeight="1" x14ac:dyDescent="0.25">
      <c r="T33581" s="135"/>
      <c r="U33581" s="135"/>
    </row>
    <row r="33582" spans="20:21" ht="15" customHeight="1" x14ac:dyDescent="0.25">
      <c r="T33582" s="135"/>
      <c r="U33582" s="135"/>
    </row>
    <row r="33583" spans="20:21" ht="15" customHeight="1" x14ac:dyDescent="0.25">
      <c r="T33583" s="135"/>
      <c r="U33583" s="135"/>
    </row>
    <row r="33584" spans="20:21" ht="15" customHeight="1" x14ac:dyDescent="0.25">
      <c r="T33584" s="135"/>
      <c r="U33584" s="135"/>
    </row>
    <row r="33585" spans="20:21" ht="15" customHeight="1" x14ac:dyDescent="0.25">
      <c r="T33585" s="135"/>
      <c r="U33585" s="135"/>
    </row>
    <row r="33586" spans="20:21" ht="15" customHeight="1" x14ac:dyDescent="0.25">
      <c r="T33586" s="135"/>
      <c r="U33586" s="135"/>
    </row>
    <row r="33587" spans="20:21" ht="15" customHeight="1" x14ac:dyDescent="0.25">
      <c r="T33587" s="135"/>
      <c r="U33587" s="135"/>
    </row>
    <row r="33588" spans="20:21" ht="15" customHeight="1" x14ac:dyDescent="0.25">
      <c r="T33588" s="135"/>
      <c r="U33588" s="135"/>
    </row>
    <row r="33589" spans="20:21" ht="15" customHeight="1" x14ac:dyDescent="0.25">
      <c r="T33589" s="135"/>
      <c r="U33589" s="135"/>
    </row>
    <row r="33590" spans="20:21" ht="15" customHeight="1" x14ac:dyDescent="0.25">
      <c r="T33590" s="135"/>
      <c r="U33590" s="135"/>
    </row>
    <row r="33591" spans="20:21" ht="15" customHeight="1" x14ac:dyDescent="0.25">
      <c r="T33591" s="135"/>
      <c r="U33591" s="135"/>
    </row>
    <row r="33592" spans="20:21" ht="15" customHeight="1" x14ac:dyDescent="0.25">
      <c r="T33592" s="135"/>
      <c r="U33592" s="135"/>
    </row>
    <row r="33593" spans="20:21" ht="15" customHeight="1" x14ac:dyDescent="0.25">
      <c r="T33593" s="135"/>
      <c r="U33593" s="135"/>
    </row>
    <row r="33594" spans="20:21" ht="15" customHeight="1" x14ac:dyDescent="0.25">
      <c r="T33594" s="135"/>
      <c r="U33594" s="135"/>
    </row>
    <row r="33595" spans="20:21" ht="15" customHeight="1" x14ac:dyDescent="0.25">
      <c r="T33595" s="135"/>
      <c r="U33595" s="135"/>
    </row>
    <row r="33596" spans="20:21" ht="15" customHeight="1" x14ac:dyDescent="0.25">
      <c r="T33596" s="135"/>
      <c r="U33596" s="135"/>
    </row>
    <row r="33597" spans="20:21" ht="15" customHeight="1" x14ac:dyDescent="0.25">
      <c r="T33597" s="135"/>
      <c r="U33597" s="135"/>
    </row>
    <row r="33598" spans="20:21" ht="15" customHeight="1" x14ac:dyDescent="0.25">
      <c r="T33598" s="135"/>
      <c r="U33598" s="135"/>
    </row>
    <row r="33599" spans="20:21" ht="15" customHeight="1" x14ac:dyDescent="0.25">
      <c r="T33599" s="135"/>
      <c r="U33599" s="135"/>
    </row>
    <row r="33600" spans="20:21" ht="15" customHeight="1" x14ac:dyDescent="0.25">
      <c r="T33600" s="135"/>
      <c r="U33600" s="135"/>
    </row>
    <row r="33601" spans="20:21" ht="15" customHeight="1" x14ac:dyDescent="0.25">
      <c r="T33601" s="135"/>
      <c r="U33601" s="135"/>
    </row>
    <row r="33602" spans="20:21" ht="15" customHeight="1" x14ac:dyDescent="0.25">
      <c r="T33602" s="135"/>
      <c r="U33602" s="135"/>
    </row>
    <row r="33603" spans="20:21" ht="15" customHeight="1" x14ac:dyDescent="0.25">
      <c r="T33603" s="135"/>
      <c r="U33603" s="135"/>
    </row>
    <row r="33604" spans="20:21" ht="15" customHeight="1" x14ac:dyDescent="0.25">
      <c r="T33604" s="135"/>
      <c r="U33604" s="135"/>
    </row>
    <row r="33605" spans="20:21" ht="15" customHeight="1" x14ac:dyDescent="0.25">
      <c r="T33605" s="135"/>
      <c r="U33605" s="135"/>
    </row>
    <row r="33606" spans="20:21" ht="15" customHeight="1" x14ac:dyDescent="0.25">
      <c r="T33606" s="135"/>
      <c r="U33606" s="135"/>
    </row>
    <row r="33607" spans="20:21" ht="15" customHeight="1" x14ac:dyDescent="0.25">
      <c r="T33607" s="135"/>
      <c r="U33607" s="135"/>
    </row>
    <row r="33608" spans="20:21" ht="15" customHeight="1" x14ac:dyDescent="0.25">
      <c r="T33608" s="135"/>
      <c r="U33608" s="135"/>
    </row>
    <row r="33609" spans="20:21" ht="15" customHeight="1" x14ac:dyDescent="0.25">
      <c r="T33609" s="135"/>
      <c r="U33609" s="135"/>
    </row>
    <row r="33610" spans="20:21" ht="15" customHeight="1" x14ac:dyDescent="0.25">
      <c r="T33610" s="135"/>
      <c r="U33610" s="135"/>
    </row>
    <row r="33611" spans="20:21" ht="15" customHeight="1" x14ac:dyDescent="0.25">
      <c r="T33611" s="135"/>
      <c r="U33611" s="135"/>
    </row>
    <row r="33612" spans="20:21" ht="15" customHeight="1" x14ac:dyDescent="0.25">
      <c r="T33612" s="135"/>
      <c r="U33612" s="135"/>
    </row>
    <row r="33613" spans="20:21" ht="15" customHeight="1" x14ac:dyDescent="0.25">
      <c r="T33613" s="135"/>
      <c r="U33613" s="135"/>
    </row>
    <row r="33614" spans="20:21" ht="15" customHeight="1" x14ac:dyDescent="0.25">
      <c r="T33614" s="135"/>
      <c r="U33614" s="135"/>
    </row>
    <row r="33615" spans="20:21" ht="15" customHeight="1" x14ac:dyDescent="0.25">
      <c r="T33615" s="135"/>
      <c r="U33615" s="135"/>
    </row>
    <row r="33616" spans="20:21" ht="15" customHeight="1" x14ac:dyDescent="0.25">
      <c r="T33616" s="135"/>
      <c r="U33616" s="135"/>
    </row>
    <row r="33617" spans="20:21" ht="15" customHeight="1" x14ac:dyDescent="0.25">
      <c r="T33617" s="135"/>
      <c r="U33617" s="135"/>
    </row>
    <row r="33618" spans="20:21" ht="15" customHeight="1" x14ac:dyDescent="0.25">
      <c r="T33618" s="135"/>
      <c r="U33618" s="135"/>
    </row>
    <row r="33619" spans="20:21" ht="15" customHeight="1" x14ac:dyDescent="0.25">
      <c r="T33619" s="135"/>
      <c r="U33619" s="135"/>
    </row>
    <row r="33620" spans="20:21" ht="15" customHeight="1" x14ac:dyDescent="0.25">
      <c r="T33620" s="135"/>
      <c r="U33620" s="135"/>
    </row>
    <row r="33621" spans="20:21" ht="15" customHeight="1" x14ac:dyDescent="0.25">
      <c r="T33621" s="135"/>
      <c r="U33621" s="135"/>
    </row>
    <row r="33622" spans="20:21" ht="15" customHeight="1" x14ac:dyDescent="0.25">
      <c r="T33622" s="135"/>
      <c r="U33622" s="135"/>
    </row>
    <row r="33623" spans="20:21" ht="15" customHeight="1" x14ac:dyDescent="0.25">
      <c r="T33623" s="135"/>
      <c r="U33623" s="135"/>
    </row>
    <row r="33624" spans="20:21" ht="15" customHeight="1" x14ac:dyDescent="0.25">
      <c r="T33624" s="135"/>
      <c r="U33624" s="135"/>
    </row>
    <row r="33625" spans="20:21" ht="15" customHeight="1" x14ac:dyDescent="0.25">
      <c r="T33625" s="135"/>
      <c r="U33625" s="135"/>
    </row>
    <row r="33626" spans="20:21" ht="15" customHeight="1" x14ac:dyDescent="0.25">
      <c r="T33626" s="135"/>
      <c r="U33626" s="135"/>
    </row>
    <row r="33627" spans="20:21" ht="15" customHeight="1" x14ac:dyDescent="0.25">
      <c r="T33627" s="135"/>
      <c r="U33627" s="135"/>
    </row>
    <row r="33628" spans="20:21" ht="15" customHeight="1" x14ac:dyDescent="0.25">
      <c r="T33628" s="135"/>
      <c r="U33628" s="135"/>
    </row>
    <row r="33629" spans="20:21" ht="15" customHeight="1" x14ac:dyDescent="0.25">
      <c r="T33629" s="135"/>
      <c r="U33629" s="135"/>
    </row>
    <row r="33630" spans="20:21" ht="15" customHeight="1" x14ac:dyDescent="0.25">
      <c r="T33630" s="135"/>
      <c r="U33630" s="135"/>
    </row>
    <row r="33631" spans="20:21" ht="15" customHeight="1" x14ac:dyDescent="0.25">
      <c r="T33631" s="135"/>
      <c r="U33631" s="135"/>
    </row>
    <row r="33632" spans="20:21" ht="15" customHeight="1" x14ac:dyDescent="0.25">
      <c r="T33632" s="135"/>
      <c r="U33632" s="135"/>
    </row>
    <row r="33633" spans="20:21" ht="15" customHeight="1" x14ac:dyDescent="0.25">
      <c r="T33633" s="135"/>
      <c r="U33633" s="135"/>
    </row>
    <row r="33634" spans="20:21" ht="15" customHeight="1" x14ac:dyDescent="0.25">
      <c r="T33634" s="135"/>
      <c r="U33634" s="135"/>
    </row>
    <row r="33635" spans="20:21" ht="15" customHeight="1" x14ac:dyDescent="0.25">
      <c r="T33635" s="135"/>
      <c r="U33635" s="135"/>
    </row>
    <row r="33636" spans="20:21" ht="15" customHeight="1" x14ac:dyDescent="0.25">
      <c r="T33636" s="135"/>
      <c r="U33636" s="135"/>
    </row>
    <row r="33637" spans="20:21" ht="15" customHeight="1" x14ac:dyDescent="0.25">
      <c r="T33637" s="135"/>
      <c r="U33637" s="135"/>
    </row>
    <row r="33638" spans="20:21" ht="15" customHeight="1" x14ac:dyDescent="0.25">
      <c r="T33638" s="135"/>
      <c r="U33638" s="135"/>
    </row>
    <row r="33639" spans="20:21" ht="15" customHeight="1" x14ac:dyDescent="0.25">
      <c r="T33639" s="135"/>
      <c r="U33639" s="135"/>
    </row>
    <row r="33640" spans="20:21" ht="15" customHeight="1" x14ac:dyDescent="0.25">
      <c r="T33640" s="135"/>
      <c r="U33640" s="135"/>
    </row>
    <row r="33641" spans="20:21" ht="15" customHeight="1" x14ac:dyDescent="0.25">
      <c r="T33641" s="135"/>
      <c r="U33641" s="135"/>
    </row>
    <row r="33642" spans="20:21" ht="15" customHeight="1" x14ac:dyDescent="0.25">
      <c r="T33642" s="135"/>
      <c r="U33642" s="135"/>
    </row>
    <row r="33643" spans="20:21" ht="15" customHeight="1" x14ac:dyDescent="0.25">
      <c r="T33643" s="135"/>
      <c r="U33643" s="135"/>
    </row>
    <row r="33644" spans="20:21" ht="15" customHeight="1" x14ac:dyDescent="0.25">
      <c r="T33644" s="135"/>
      <c r="U33644" s="135"/>
    </row>
    <row r="33645" spans="20:21" ht="15" customHeight="1" x14ac:dyDescent="0.25">
      <c r="T33645" s="135"/>
      <c r="U33645" s="135"/>
    </row>
    <row r="33646" spans="20:21" ht="15" customHeight="1" x14ac:dyDescent="0.25">
      <c r="T33646" s="135"/>
      <c r="U33646" s="135"/>
    </row>
    <row r="33647" spans="20:21" ht="15" customHeight="1" x14ac:dyDescent="0.25">
      <c r="T33647" s="135"/>
      <c r="U33647" s="135"/>
    </row>
    <row r="33648" spans="20:21" ht="15" customHeight="1" x14ac:dyDescent="0.25">
      <c r="T33648" s="135"/>
      <c r="U33648" s="135"/>
    </row>
    <row r="33649" spans="20:21" ht="15" customHeight="1" x14ac:dyDescent="0.25">
      <c r="T33649" s="135"/>
      <c r="U33649" s="135"/>
    </row>
    <row r="33650" spans="20:21" ht="15" customHeight="1" x14ac:dyDescent="0.25">
      <c r="T33650" s="135"/>
      <c r="U33650" s="135"/>
    </row>
    <row r="33651" spans="20:21" ht="15" customHeight="1" x14ac:dyDescent="0.25">
      <c r="T33651" s="135"/>
      <c r="U33651" s="135"/>
    </row>
    <row r="33652" spans="20:21" ht="15" customHeight="1" x14ac:dyDescent="0.25">
      <c r="T33652" s="135"/>
      <c r="U33652" s="135"/>
    </row>
    <row r="33653" spans="20:21" ht="15" customHeight="1" x14ac:dyDescent="0.25">
      <c r="T33653" s="135"/>
      <c r="U33653" s="135"/>
    </row>
    <row r="33654" spans="20:21" ht="15" customHeight="1" x14ac:dyDescent="0.25">
      <c r="T33654" s="135"/>
      <c r="U33654" s="135"/>
    </row>
    <row r="33655" spans="20:21" ht="15" customHeight="1" x14ac:dyDescent="0.25">
      <c r="T33655" s="135"/>
      <c r="U33655" s="135"/>
    </row>
    <row r="33656" spans="20:21" ht="15" customHeight="1" x14ac:dyDescent="0.25">
      <c r="T33656" s="135"/>
      <c r="U33656" s="135"/>
    </row>
    <row r="33657" spans="20:21" ht="15" customHeight="1" x14ac:dyDescent="0.25">
      <c r="T33657" s="135"/>
      <c r="U33657" s="135"/>
    </row>
    <row r="33658" spans="20:21" ht="15" customHeight="1" x14ac:dyDescent="0.25">
      <c r="T33658" s="135"/>
      <c r="U33658" s="135"/>
    </row>
    <row r="33659" spans="20:21" ht="15" customHeight="1" x14ac:dyDescent="0.25">
      <c r="T33659" s="135"/>
      <c r="U33659" s="135"/>
    </row>
    <row r="33660" spans="20:21" ht="15" customHeight="1" x14ac:dyDescent="0.25">
      <c r="T33660" s="135"/>
      <c r="U33660" s="135"/>
    </row>
    <row r="33661" spans="20:21" ht="15" customHeight="1" x14ac:dyDescent="0.25">
      <c r="T33661" s="135"/>
      <c r="U33661" s="135"/>
    </row>
    <row r="33662" spans="20:21" ht="15" customHeight="1" x14ac:dyDescent="0.25">
      <c r="T33662" s="135"/>
      <c r="U33662" s="135"/>
    </row>
    <row r="33663" spans="20:21" ht="15" customHeight="1" x14ac:dyDescent="0.25">
      <c r="T33663" s="135"/>
      <c r="U33663" s="135"/>
    </row>
    <row r="33664" spans="20:21" ht="15" customHeight="1" x14ac:dyDescent="0.25">
      <c r="T33664" s="135"/>
      <c r="U33664" s="135"/>
    </row>
    <row r="33665" spans="20:21" ht="15" customHeight="1" x14ac:dyDescent="0.25">
      <c r="T33665" s="135"/>
      <c r="U33665" s="135"/>
    </row>
    <row r="33666" spans="20:21" ht="15" customHeight="1" x14ac:dyDescent="0.25">
      <c r="T33666" s="135"/>
      <c r="U33666" s="135"/>
    </row>
    <row r="33667" spans="20:21" ht="15" customHeight="1" x14ac:dyDescent="0.25">
      <c r="T33667" s="135"/>
      <c r="U33667" s="135"/>
    </row>
    <row r="33668" spans="20:21" ht="15" customHeight="1" x14ac:dyDescent="0.25">
      <c r="T33668" s="135"/>
      <c r="U33668" s="135"/>
    </row>
    <row r="33669" spans="20:21" ht="15" customHeight="1" x14ac:dyDescent="0.25">
      <c r="T33669" s="135"/>
      <c r="U33669" s="135"/>
    </row>
    <row r="33670" spans="20:21" ht="15" customHeight="1" x14ac:dyDescent="0.25">
      <c r="T33670" s="135"/>
      <c r="U33670" s="135"/>
    </row>
    <row r="33671" spans="20:21" ht="15" customHeight="1" x14ac:dyDescent="0.25">
      <c r="T33671" s="135"/>
      <c r="U33671" s="135"/>
    </row>
    <row r="33672" spans="20:21" ht="15" customHeight="1" x14ac:dyDescent="0.25">
      <c r="T33672" s="135"/>
      <c r="U33672" s="135"/>
    </row>
    <row r="33673" spans="20:21" ht="15" customHeight="1" x14ac:dyDescent="0.25">
      <c r="T33673" s="135"/>
      <c r="U33673" s="135"/>
    </row>
    <row r="33674" spans="20:21" ht="15" customHeight="1" x14ac:dyDescent="0.25">
      <c r="T33674" s="135"/>
      <c r="U33674" s="135"/>
    </row>
    <row r="33675" spans="20:21" ht="15" customHeight="1" x14ac:dyDescent="0.25">
      <c r="T33675" s="135"/>
      <c r="U33675" s="135"/>
    </row>
    <row r="33676" spans="20:21" ht="15" customHeight="1" x14ac:dyDescent="0.25">
      <c r="T33676" s="135"/>
      <c r="U33676" s="135"/>
    </row>
    <row r="33677" spans="20:21" ht="15" customHeight="1" x14ac:dyDescent="0.25">
      <c r="T33677" s="135"/>
      <c r="U33677" s="135"/>
    </row>
    <row r="33678" spans="20:21" ht="15" customHeight="1" x14ac:dyDescent="0.25">
      <c r="T33678" s="135"/>
      <c r="U33678" s="135"/>
    </row>
    <row r="33679" spans="20:21" ht="15" customHeight="1" x14ac:dyDescent="0.25">
      <c r="T33679" s="135"/>
      <c r="U33679" s="135"/>
    </row>
    <row r="33680" spans="20:21" ht="15" customHeight="1" x14ac:dyDescent="0.25">
      <c r="T33680" s="135"/>
      <c r="U33680" s="135"/>
    </row>
    <row r="33681" spans="20:21" ht="15" customHeight="1" x14ac:dyDescent="0.25">
      <c r="T33681" s="135"/>
      <c r="U33681" s="135"/>
    </row>
    <row r="33682" spans="20:21" ht="15" customHeight="1" x14ac:dyDescent="0.25">
      <c r="T33682" s="135"/>
      <c r="U33682" s="135"/>
    </row>
    <row r="33683" spans="20:21" ht="15" customHeight="1" x14ac:dyDescent="0.25">
      <c r="T33683" s="135"/>
      <c r="U33683" s="135"/>
    </row>
    <row r="33684" spans="20:21" ht="15" customHeight="1" x14ac:dyDescent="0.25">
      <c r="T33684" s="135"/>
      <c r="U33684" s="135"/>
    </row>
    <row r="33685" spans="20:21" ht="15" customHeight="1" x14ac:dyDescent="0.25">
      <c r="T33685" s="135"/>
      <c r="U33685" s="135"/>
    </row>
    <row r="33686" spans="20:21" ht="15" customHeight="1" x14ac:dyDescent="0.25">
      <c r="T33686" s="135"/>
      <c r="U33686" s="135"/>
    </row>
    <row r="33687" spans="20:21" ht="15" customHeight="1" x14ac:dyDescent="0.25">
      <c r="T33687" s="135"/>
      <c r="U33687" s="135"/>
    </row>
    <row r="33688" spans="20:21" ht="15" customHeight="1" x14ac:dyDescent="0.25">
      <c r="T33688" s="135"/>
      <c r="U33688" s="135"/>
    </row>
    <row r="33689" spans="20:21" ht="15" customHeight="1" x14ac:dyDescent="0.25">
      <c r="T33689" s="135"/>
      <c r="U33689" s="135"/>
    </row>
    <row r="33690" spans="20:21" ht="15" customHeight="1" x14ac:dyDescent="0.25">
      <c r="T33690" s="135"/>
      <c r="U33690" s="135"/>
    </row>
    <row r="33691" spans="20:21" ht="15" customHeight="1" x14ac:dyDescent="0.25">
      <c r="T33691" s="135"/>
      <c r="U33691" s="135"/>
    </row>
    <row r="33692" spans="20:21" ht="15" customHeight="1" x14ac:dyDescent="0.25">
      <c r="T33692" s="135"/>
      <c r="U33692" s="135"/>
    </row>
    <row r="33693" spans="20:21" ht="15" customHeight="1" x14ac:dyDescent="0.25">
      <c r="T33693" s="135"/>
      <c r="U33693" s="135"/>
    </row>
    <row r="33694" spans="20:21" ht="15" customHeight="1" x14ac:dyDescent="0.25">
      <c r="T33694" s="135"/>
      <c r="U33694" s="135"/>
    </row>
    <row r="33695" spans="20:21" ht="15" customHeight="1" x14ac:dyDescent="0.25">
      <c r="T33695" s="135"/>
      <c r="U33695" s="135"/>
    </row>
    <row r="33696" spans="20:21" ht="15" customHeight="1" x14ac:dyDescent="0.25">
      <c r="T33696" s="135"/>
      <c r="U33696" s="135"/>
    </row>
    <row r="33697" spans="20:21" ht="15" customHeight="1" x14ac:dyDescent="0.25">
      <c r="T33697" s="135"/>
      <c r="U33697" s="135"/>
    </row>
    <row r="33698" spans="20:21" ht="15" customHeight="1" x14ac:dyDescent="0.25">
      <c r="T33698" s="135"/>
      <c r="U33698" s="135"/>
    </row>
    <row r="33699" spans="20:21" ht="15" customHeight="1" x14ac:dyDescent="0.25">
      <c r="T33699" s="135"/>
      <c r="U33699" s="135"/>
    </row>
    <row r="33700" spans="20:21" ht="15" customHeight="1" x14ac:dyDescent="0.25">
      <c r="T33700" s="135"/>
      <c r="U33700" s="135"/>
    </row>
    <row r="33701" spans="20:21" ht="15" customHeight="1" x14ac:dyDescent="0.25">
      <c r="T33701" s="135"/>
      <c r="U33701" s="135"/>
    </row>
    <row r="33702" spans="20:21" ht="15" customHeight="1" x14ac:dyDescent="0.25">
      <c r="T33702" s="135"/>
      <c r="U33702" s="135"/>
    </row>
    <row r="33703" spans="20:21" ht="15" customHeight="1" x14ac:dyDescent="0.25">
      <c r="T33703" s="135"/>
      <c r="U33703" s="135"/>
    </row>
    <row r="33704" spans="20:21" ht="15" customHeight="1" x14ac:dyDescent="0.25">
      <c r="T33704" s="135"/>
      <c r="U33704" s="135"/>
    </row>
    <row r="33705" spans="20:21" ht="15" customHeight="1" x14ac:dyDescent="0.25">
      <c r="T33705" s="135"/>
      <c r="U33705" s="135"/>
    </row>
    <row r="33706" spans="20:21" ht="15" customHeight="1" x14ac:dyDescent="0.25">
      <c r="T33706" s="135"/>
      <c r="U33706" s="135"/>
    </row>
    <row r="33707" spans="20:21" ht="15" customHeight="1" x14ac:dyDescent="0.25">
      <c r="T33707" s="135"/>
      <c r="U33707" s="135"/>
    </row>
    <row r="33708" spans="20:21" ht="15" customHeight="1" x14ac:dyDescent="0.25">
      <c r="T33708" s="135"/>
      <c r="U33708" s="135"/>
    </row>
    <row r="33709" spans="20:21" ht="15" customHeight="1" x14ac:dyDescent="0.25">
      <c r="T33709" s="135"/>
      <c r="U33709" s="135"/>
    </row>
    <row r="33710" spans="20:21" ht="15" customHeight="1" x14ac:dyDescent="0.25">
      <c r="T33710" s="135"/>
      <c r="U33710" s="135"/>
    </row>
    <row r="33711" spans="20:21" ht="15" customHeight="1" x14ac:dyDescent="0.25">
      <c r="T33711" s="135"/>
      <c r="U33711" s="135"/>
    </row>
    <row r="33712" spans="20:21" ht="15" customHeight="1" x14ac:dyDescent="0.25">
      <c r="T33712" s="135"/>
      <c r="U33712" s="135"/>
    </row>
    <row r="33713" spans="20:21" ht="15" customHeight="1" x14ac:dyDescent="0.25">
      <c r="T33713" s="135"/>
      <c r="U33713" s="135"/>
    </row>
    <row r="33714" spans="20:21" ht="15" customHeight="1" x14ac:dyDescent="0.25">
      <c r="T33714" s="135"/>
      <c r="U33714" s="135"/>
    </row>
    <row r="33715" spans="20:21" ht="15" customHeight="1" x14ac:dyDescent="0.25">
      <c r="T33715" s="135"/>
      <c r="U33715" s="135"/>
    </row>
    <row r="33716" spans="20:21" ht="15" customHeight="1" x14ac:dyDescent="0.25">
      <c r="T33716" s="135"/>
      <c r="U33716" s="135"/>
    </row>
    <row r="33717" spans="20:21" ht="15" customHeight="1" x14ac:dyDescent="0.25">
      <c r="T33717" s="135"/>
      <c r="U33717" s="135"/>
    </row>
    <row r="33718" spans="20:21" ht="15" customHeight="1" x14ac:dyDescent="0.25">
      <c r="T33718" s="135"/>
      <c r="U33718" s="135"/>
    </row>
    <row r="33719" spans="20:21" ht="15" customHeight="1" x14ac:dyDescent="0.25">
      <c r="T33719" s="135"/>
      <c r="U33719" s="135"/>
    </row>
    <row r="33720" spans="20:21" ht="15" customHeight="1" x14ac:dyDescent="0.25">
      <c r="T33720" s="135"/>
      <c r="U33720" s="135"/>
    </row>
    <row r="33721" spans="20:21" ht="15" customHeight="1" x14ac:dyDescent="0.25">
      <c r="T33721" s="135"/>
      <c r="U33721" s="135"/>
    </row>
    <row r="33722" spans="20:21" ht="15" customHeight="1" x14ac:dyDescent="0.25">
      <c r="T33722" s="135"/>
      <c r="U33722" s="135"/>
    </row>
    <row r="33723" spans="20:21" ht="15" customHeight="1" x14ac:dyDescent="0.25">
      <c r="T33723" s="135"/>
      <c r="U33723" s="135"/>
    </row>
    <row r="33724" spans="20:21" ht="15" customHeight="1" x14ac:dyDescent="0.25">
      <c r="T33724" s="135"/>
      <c r="U33724" s="135"/>
    </row>
    <row r="33725" spans="20:21" ht="15" customHeight="1" x14ac:dyDescent="0.25">
      <c r="T33725" s="135"/>
      <c r="U33725" s="135"/>
    </row>
    <row r="33726" spans="20:21" ht="15" customHeight="1" x14ac:dyDescent="0.25">
      <c r="T33726" s="135"/>
      <c r="U33726" s="135"/>
    </row>
    <row r="33727" spans="20:21" ht="15" customHeight="1" x14ac:dyDescent="0.25">
      <c r="T33727" s="135"/>
      <c r="U33727" s="135"/>
    </row>
    <row r="33728" spans="20:21" ht="15" customHeight="1" x14ac:dyDescent="0.25">
      <c r="T33728" s="135"/>
      <c r="U33728" s="135"/>
    </row>
    <row r="33729" spans="20:21" ht="15" customHeight="1" x14ac:dyDescent="0.25">
      <c r="T33729" s="135"/>
      <c r="U33729" s="135"/>
    </row>
    <row r="33730" spans="20:21" ht="15" customHeight="1" x14ac:dyDescent="0.25">
      <c r="T33730" s="135"/>
      <c r="U33730" s="135"/>
    </row>
    <row r="33731" spans="20:21" ht="15" customHeight="1" x14ac:dyDescent="0.25">
      <c r="T33731" s="135"/>
      <c r="U33731" s="135"/>
    </row>
    <row r="33732" spans="20:21" ht="15" customHeight="1" x14ac:dyDescent="0.25">
      <c r="T33732" s="135"/>
      <c r="U33732" s="135"/>
    </row>
    <row r="33733" spans="20:21" ht="15" customHeight="1" x14ac:dyDescent="0.25">
      <c r="T33733" s="135"/>
      <c r="U33733" s="135"/>
    </row>
    <row r="33734" spans="20:21" ht="15" customHeight="1" x14ac:dyDescent="0.25">
      <c r="T33734" s="135"/>
      <c r="U33734" s="135"/>
    </row>
    <row r="33735" spans="20:21" ht="15" customHeight="1" x14ac:dyDescent="0.25">
      <c r="T33735" s="135"/>
      <c r="U33735" s="135"/>
    </row>
    <row r="33736" spans="20:21" ht="15" customHeight="1" x14ac:dyDescent="0.25">
      <c r="T33736" s="135"/>
      <c r="U33736" s="135"/>
    </row>
    <row r="33737" spans="20:21" ht="15" customHeight="1" x14ac:dyDescent="0.25">
      <c r="T33737" s="135"/>
      <c r="U33737" s="135"/>
    </row>
    <row r="33738" spans="20:21" ht="15" customHeight="1" x14ac:dyDescent="0.25">
      <c r="T33738" s="135"/>
      <c r="U33738" s="135"/>
    </row>
    <row r="33739" spans="20:21" ht="15" customHeight="1" x14ac:dyDescent="0.25">
      <c r="T33739" s="135"/>
      <c r="U33739" s="135"/>
    </row>
    <row r="33740" spans="20:21" ht="15" customHeight="1" x14ac:dyDescent="0.25">
      <c r="T33740" s="135"/>
      <c r="U33740" s="135"/>
    </row>
    <row r="33741" spans="20:21" ht="15" customHeight="1" x14ac:dyDescent="0.25">
      <c r="T33741" s="135"/>
      <c r="U33741" s="135"/>
    </row>
    <row r="33742" spans="20:21" ht="15" customHeight="1" x14ac:dyDescent="0.25">
      <c r="T33742" s="135"/>
      <c r="U33742" s="135"/>
    </row>
    <row r="33743" spans="20:21" ht="15" customHeight="1" x14ac:dyDescent="0.25">
      <c r="T33743" s="135"/>
      <c r="U33743" s="135"/>
    </row>
    <row r="33744" spans="20:21" ht="15" customHeight="1" x14ac:dyDescent="0.25">
      <c r="T33744" s="135"/>
      <c r="U33744" s="135"/>
    </row>
    <row r="33745" spans="20:21" ht="15" customHeight="1" x14ac:dyDescent="0.25">
      <c r="T33745" s="135"/>
      <c r="U33745" s="135"/>
    </row>
    <row r="33746" spans="20:21" ht="15" customHeight="1" x14ac:dyDescent="0.25">
      <c r="T33746" s="135"/>
      <c r="U33746" s="135"/>
    </row>
    <row r="33747" spans="20:21" ht="15" customHeight="1" x14ac:dyDescent="0.25">
      <c r="T33747" s="135"/>
      <c r="U33747" s="135"/>
    </row>
    <row r="33748" spans="20:21" ht="15" customHeight="1" x14ac:dyDescent="0.25">
      <c r="T33748" s="135"/>
      <c r="U33748" s="135"/>
    </row>
    <row r="33749" spans="20:21" ht="15" customHeight="1" x14ac:dyDescent="0.25">
      <c r="T33749" s="135"/>
      <c r="U33749" s="135"/>
    </row>
    <row r="33750" spans="20:21" ht="15" customHeight="1" x14ac:dyDescent="0.25">
      <c r="T33750" s="135"/>
      <c r="U33750" s="135"/>
    </row>
    <row r="33751" spans="20:21" ht="15" customHeight="1" x14ac:dyDescent="0.25">
      <c r="T33751" s="135"/>
      <c r="U33751" s="135"/>
    </row>
    <row r="33752" spans="20:21" ht="15" customHeight="1" x14ac:dyDescent="0.25">
      <c r="T33752" s="135"/>
      <c r="U33752" s="135"/>
    </row>
    <row r="33753" spans="20:21" ht="15" customHeight="1" x14ac:dyDescent="0.25">
      <c r="T33753" s="135"/>
      <c r="U33753" s="135"/>
    </row>
    <row r="33754" spans="20:21" ht="15" customHeight="1" x14ac:dyDescent="0.25">
      <c r="T33754" s="135"/>
      <c r="U33754" s="135"/>
    </row>
    <row r="33755" spans="20:21" ht="15" customHeight="1" x14ac:dyDescent="0.25">
      <c r="T33755" s="135"/>
      <c r="U33755" s="135"/>
    </row>
    <row r="33756" spans="20:21" ht="15" customHeight="1" x14ac:dyDescent="0.25">
      <c r="T33756" s="135"/>
      <c r="U33756" s="135"/>
    </row>
    <row r="33757" spans="20:21" ht="15" customHeight="1" x14ac:dyDescent="0.25">
      <c r="T33757" s="135"/>
      <c r="U33757" s="135"/>
    </row>
    <row r="33758" spans="20:21" ht="15" customHeight="1" x14ac:dyDescent="0.25">
      <c r="T33758" s="135"/>
      <c r="U33758" s="135"/>
    </row>
    <row r="33759" spans="20:21" ht="15" customHeight="1" x14ac:dyDescent="0.25">
      <c r="T33759" s="135"/>
      <c r="U33759" s="135"/>
    </row>
    <row r="33760" spans="20:21" ht="15" customHeight="1" x14ac:dyDescent="0.25">
      <c r="T33760" s="135"/>
      <c r="U33760" s="135"/>
    </row>
    <row r="33761" spans="20:21" ht="15" customHeight="1" x14ac:dyDescent="0.25">
      <c r="T33761" s="135"/>
      <c r="U33761" s="135"/>
    </row>
    <row r="33762" spans="20:21" ht="15" customHeight="1" x14ac:dyDescent="0.25">
      <c r="T33762" s="135"/>
      <c r="U33762" s="135"/>
    </row>
    <row r="33763" spans="20:21" ht="15" customHeight="1" x14ac:dyDescent="0.25">
      <c r="T33763" s="135"/>
      <c r="U33763" s="135"/>
    </row>
    <row r="33764" spans="20:21" ht="15" customHeight="1" x14ac:dyDescent="0.25">
      <c r="T33764" s="135"/>
      <c r="U33764" s="135"/>
    </row>
    <row r="33765" spans="20:21" ht="15" customHeight="1" x14ac:dyDescent="0.25">
      <c r="T33765" s="135"/>
      <c r="U33765" s="135"/>
    </row>
    <row r="33766" spans="20:21" ht="15" customHeight="1" x14ac:dyDescent="0.25">
      <c r="T33766" s="135"/>
      <c r="U33766" s="135"/>
    </row>
    <row r="33767" spans="20:21" ht="15" customHeight="1" x14ac:dyDescent="0.25">
      <c r="T33767" s="135"/>
      <c r="U33767" s="135"/>
    </row>
    <row r="33768" spans="20:21" ht="15" customHeight="1" x14ac:dyDescent="0.25">
      <c r="T33768" s="135"/>
      <c r="U33768" s="135"/>
    </row>
    <row r="33769" spans="20:21" ht="15" customHeight="1" x14ac:dyDescent="0.25">
      <c r="T33769" s="135"/>
      <c r="U33769" s="135"/>
    </row>
    <row r="33770" spans="20:21" ht="15" customHeight="1" x14ac:dyDescent="0.25">
      <c r="T33770" s="135"/>
      <c r="U33770" s="135"/>
    </row>
    <row r="33771" spans="20:21" ht="15" customHeight="1" x14ac:dyDescent="0.25">
      <c r="T33771" s="135"/>
      <c r="U33771" s="135"/>
    </row>
    <row r="33772" spans="20:21" ht="15" customHeight="1" x14ac:dyDescent="0.25">
      <c r="T33772" s="135"/>
      <c r="U33772" s="135"/>
    </row>
    <row r="33773" spans="20:21" ht="15" customHeight="1" x14ac:dyDescent="0.25">
      <c r="T33773" s="135"/>
      <c r="U33773" s="135"/>
    </row>
    <row r="33774" spans="20:21" ht="15" customHeight="1" x14ac:dyDescent="0.25">
      <c r="T33774" s="135"/>
      <c r="U33774" s="135"/>
    </row>
    <row r="33775" spans="20:21" ht="15" customHeight="1" x14ac:dyDescent="0.25">
      <c r="T33775" s="135"/>
      <c r="U33775" s="135"/>
    </row>
    <row r="33776" spans="20:21" ht="15" customHeight="1" x14ac:dyDescent="0.25">
      <c r="T33776" s="135"/>
      <c r="U33776" s="135"/>
    </row>
    <row r="33777" spans="20:21" ht="15" customHeight="1" x14ac:dyDescent="0.25">
      <c r="T33777" s="135"/>
      <c r="U33777" s="135"/>
    </row>
    <row r="33778" spans="20:21" ht="15" customHeight="1" x14ac:dyDescent="0.25">
      <c r="T33778" s="135"/>
      <c r="U33778" s="135"/>
    </row>
    <row r="33779" spans="20:21" ht="15" customHeight="1" x14ac:dyDescent="0.25">
      <c r="T33779" s="135"/>
      <c r="U33779" s="135"/>
    </row>
    <row r="33780" spans="20:21" ht="15" customHeight="1" x14ac:dyDescent="0.25">
      <c r="T33780" s="135"/>
      <c r="U33780" s="135"/>
    </row>
    <row r="33781" spans="20:21" ht="15" customHeight="1" x14ac:dyDescent="0.25">
      <c r="T33781" s="135"/>
      <c r="U33781" s="135"/>
    </row>
    <row r="33782" spans="20:21" ht="15" customHeight="1" x14ac:dyDescent="0.25">
      <c r="T33782" s="135"/>
      <c r="U33782" s="135"/>
    </row>
    <row r="33783" spans="20:21" ht="15" customHeight="1" x14ac:dyDescent="0.25">
      <c r="T33783" s="135"/>
      <c r="U33783" s="135"/>
    </row>
    <row r="33784" spans="20:21" ht="15" customHeight="1" x14ac:dyDescent="0.25">
      <c r="T33784" s="135"/>
      <c r="U33784" s="135"/>
    </row>
    <row r="33785" spans="20:21" ht="15" customHeight="1" x14ac:dyDescent="0.25">
      <c r="T33785" s="135"/>
      <c r="U33785" s="135"/>
    </row>
    <row r="33786" spans="20:21" ht="15" customHeight="1" x14ac:dyDescent="0.25">
      <c r="T33786" s="135"/>
      <c r="U33786" s="135"/>
    </row>
    <row r="33787" spans="20:21" ht="15" customHeight="1" x14ac:dyDescent="0.25">
      <c r="T33787" s="135"/>
      <c r="U33787" s="135"/>
    </row>
    <row r="33788" spans="20:21" ht="15" customHeight="1" x14ac:dyDescent="0.25">
      <c r="T33788" s="135"/>
      <c r="U33788" s="135"/>
    </row>
    <row r="33789" spans="20:21" ht="15" customHeight="1" x14ac:dyDescent="0.25">
      <c r="T33789" s="135"/>
      <c r="U33789" s="135"/>
    </row>
    <row r="33790" spans="20:21" ht="15" customHeight="1" x14ac:dyDescent="0.25">
      <c r="T33790" s="135"/>
      <c r="U33790" s="135"/>
    </row>
    <row r="33791" spans="20:21" ht="15" customHeight="1" x14ac:dyDescent="0.25">
      <c r="T33791" s="135"/>
      <c r="U33791" s="135"/>
    </row>
    <row r="33792" spans="20:21" ht="15" customHeight="1" x14ac:dyDescent="0.25">
      <c r="T33792" s="135"/>
      <c r="U33792" s="135"/>
    </row>
    <row r="33793" spans="20:21" ht="15" customHeight="1" x14ac:dyDescent="0.25">
      <c r="T33793" s="135"/>
      <c r="U33793" s="135"/>
    </row>
    <row r="33794" spans="20:21" ht="15" customHeight="1" x14ac:dyDescent="0.25">
      <c r="T33794" s="135"/>
      <c r="U33794" s="135"/>
    </row>
    <row r="33795" spans="20:21" ht="15" customHeight="1" x14ac:dyDescent="0.25">
      <c r="T33795" s="135"/>
      <c r="U33795" s="135"/>
    </row>
    <row r="33796" spans="20:21" ht="15" customHeight="1" x14ac:dyDescent="0.25">
      <c r="T33796" s="135"/>
      <c r="U33796" s="135"/>
    </row>
    <row r="33797" spans="20:21" ht="15" customHeight="1" x14ac:dyDescent="0.25">
      <c r="T33797" s="135"/>
      <c r="U33797" s="135"/>
    </row>
    <row r="33798" spans="20:21" ht="15" customHeight="1" x14ac:dyDescent="0.25">
      <c r="T33798" s="135"/>
      <c r="U33798" s="135"/>
    </row>
    <row r="33799" spans="20:21" ht="15" customHeight="1" x14ac:dyDescent="0.25">
      <c r="T33799" s="135"/>
      <c r="U33799" s="135"/>
    </row>
    <row r="33800" spans="20:21" ht="15" customHeight="1" x14ac:dyDescent="0.25">
      <c r="T33800" s="135"/>
      <c r="U33800" s="135"/>
    </row>
    <row r="33801" spans="20:21" ht="15" customHeight="1" x14ac:dyDescent="0.25">
      <c r="T33801" s="135"/>
      <c r="U33801" s="135"/>
    </row>
    <row r="33802" spans="20:21" ht="15" customHeight="1" x14ac:dyDescent="0.25">
      <c r="T33802" s="135"/>
      <c r="U33802" s="135"/>
    </row>
    <row r="33803" spans="20:21" ht="15" customHeight="1" x14ac:dyDescent="0.25">
      <c r="T33803" s="135"/>
      <c r="U33803" s="135"/>
    </row>
    <row r="33804" spans="20:21" ht="15" customHeight="1" x14ac:dyDescent="0.25">
      <c r="T33804" s="135"/>
      <c r="U33804" s="135"/>
    </row>
    <row r="33805" spans="20:21" ht="15" customHeight="1" x14ac:dyDescent="0.25">
      <c r="T33805" s="135"/>
      <c r="U33805" s="135"/>
    </row>
    <row r="33806" spans="20:21" ht="15" customHeight="1" x14ac:dyDescent="0.25">
      <c r="T33806" s="135"/>
      <c r="U33806" s="135"/>
    </row>
    <row r="33807" spans="20:21" ht="15" customHeight="1" x14ac:dyDescent="0.25">
      <c r="T33807" s="135"/>
      <c r="U33807" s="135"/>
    </row>
    <row r="33808" spans="20:21" ht="15" customHeight="1" x14ac:dyDescent="0.25">
      <c r="T33808" s="135"/>
      <c r="U33808" s="135"/>
    </row>
    <row r="33809" spans="20:21" ht="15" customHeight="1" x14ac:dyDescent="0.25">
      <c r="T33809" s="135"/>
      <c r="U33809" s="135"/>
    </row>
    <row r="33810" spans="20:21" ht="15" customHeight="1" x14ac:dyDescent="0.25">
      <c r="T33810" s="135"/>
      <c r="U33810" s="135"/>
    </row>
    <row r="33811" spans="20:21" ht="15" customHeight="1" x14ac:dyDescent="0.25">
      <c r="T33811" s="135"/>
      <c r="U33811" s="135"/>
    </row>
    <row r="33812" spans="20:21" ht="15" customHeight="1" x14ac:dyDescent="0.25">
      <c r="T33812" s="135"/>
      <c r="U33812" s="135"/>
    </row>
    <row r="33813" spans="20:21" ht="15" customHeight="1" x14ac:dyDescent="0.25">
      <c r="T33813" s="135"/>
      <c r="U33813" s="135"/>
    </row>
    <row r="33814" spans="20:21" ht="15" customHeight="1" x14ac:dyDescent="0.25">
      <c r="T33814" s="135"/>
      <c r="U33814" s="135"/>
    </row>
    <row r="33815" spans="20:21" ht="15" customHeight="1" x14ac:dyDescent="0.25">
      <c r="T33815" s="135"/>
      <c r="U33815" s="135"/>
    </row>
    <row r="33816" spans="20:21" ht="15" customHeight="1" x14ac:dyDescent="0.25">
      <c r="T33816" s="135"/>
      <c r="U33816" s="135"/>
    </row>
    <row r="33817" spans="20:21" ht="15" customHeight="1" x14ac:dyDescent="0.25">
      <c r="T33817" s="135"/>
      <c r="U33817" s="135"/>
    </row>
    <row r="33818" spans="20:21" ht="15" customHeight="1" x14ac:dyDescent="0.25">
      <c r="T33818" s="135"/>
      <c r="U33818" s="135"/>
    </row>
    <row r="33819" spans="20:21" ht="15" customHeight="1" x14ac:dyDescent="0.25">
      <c r="T33819" s="135"/>
      <c r="U33819" s="135"/>
    </row>
    <row r="33820" spans="20:21" ht="15" customHeight="1" x14ac:dyDescent="0.25">
      <c r="T33820" s="135"/>
      <c r="U33820" s="135"/>
    </row>
    <row r="33821" spans="20:21" ht="15" customHeight="1" x14ac:dyDescent="0.25">
      <c r="T33821" s="135"/>
      <c r="U33821" s="135"/>
    </row>
    <row r="33822" spans="20:21" ht="15" customHeight="1" x14ac:dyDescent="0.25">
      <c r="T33822" s="135"/>
      <c r="U33822" s="135"/>
    </row>
    <row r="33823" spans="20:21" ht="15" customHeight="1" x14ac:dyDescent="0.25">
      <c r="T33823" s="135"/>
      <c r="U33823" s="135"/>
    </row>
    <row r="33824" spans="20:21" ht="15" customHeight="1" x14ac:dyDescent="0.25">
      <c r="T33824" s="135"/>
      <c r="U33824" s="135"/>
    </row>
    <row r="33825" spans="20:21" ht="15" customHeight="1" x14ac:dyDescent="0.25">
      <c r="T33825" s="135"/>
      <c r="U33825" s="135"/>
    </row>
    <row r="33826" spans="20:21" ht="15" customHeight="1" x14ac:dyDescent="0.25">
      <c r="T33826" s="135"/>
      <c r="U33826" s="135"/>
    </row>
    <row r="33827" spans="20:21" ht="15" customHeight="1" x14ac:dyDescent="0.25">
      <c r="T33827" s="135"/>
      <c r="U33827" s="135"/>
    </row>
    <row r="33828" spans="20:21" ht="15" customHeight="1" x14ac:dyDescent="0.25">
      <c r="T33828" s="135"/>
      <c r="U33828" s="135"/>
    </row>
    <row r="33829" spans="20:21" ht="15" customHeight="1" x14ac:dyDescent="0.25">
      <c r="T33829" s="135"/>
      <c r="U33829" s="135"/>
    </row>
    <row r="33830" spans="20:21" ht="15" customHeight="1" x14ac:dyDescent="0.25">
      <c r="T33830" s="135"/>
      <c r="U33830" s="135"/>
    </row>
    <row r="33831" spans="20:21" ht="15" customHeight="1" x14ac:dyDescent="0.25">
      <c r="T33831" s="135"/>
      <c r="U33831" s="135"/>
    </row>
    <row r="33832" spans="20:21" ht="15" customHeight="1" x14ac:dyDescent="0.25">
      <c r="T33832" s="135"/>
      <c r="U33832" s="135"/>
    </row>
    <row r="33833" spans="20:21" ht="15" customHeight="1" x14ac:dyDescent="0.25">
      <c r="T33833" s="135"/>
      <c r="U33833" s="135"/>
    </row>
    <row r="33834" spans="20:21" ht="15" customHeight="1" x14ac:dyDescent="0.25">
      <c r="T33834" s="135"/>
      <c r="U33834" s="135"/>
    </row>
    <row r="33835" spans="20:21" ht="15" customHeight="1" x14ac:dyDescent="0.25">
      <c r="T33835" s="135"/>
      <c r="U33835" s="135"/>
    </row>
    <row r="33836" spans="20:21" ht="15" customHeight="1" x14ac:dyDescent="0.25">
      <c r="T33836" s="135"/>
      <c r="U33836" s="135"/>
    </row>
    <row r="33837" spans="20:21" ht="15" customHeight="1" x14ac:dyDescent="0.25">
      <c r="T33837" s="135"/>
      <c r="U33837" s="135"/>
    </row>
    <row r="33838" spans="20:21" ht="15" customHeight="1" x14ac:dyDescent="0.25">
      <c r="T33838" s="135"/>
      <c r="U33838" s="135"/>
    </row>
    <row r="33839" spans="20:21" ht="15" customHeight="1" x14ac:dyDescent="0.25">
      <c r="T33839" s="135"/>
      <c r="U33839" s="135"/>
    </row>
    <row r="33840" spans="20:21" ht="15" customHeight="1" x14ac:dyDescent="0.25">
      <c r="T33840" s="135"/>
      <c r="U33840" s="135"/>
    </row>
    <row r="33841" spans="20:21" ht="15" customHeight="1" x14ac:dyDescent="0.25">
      <c r="T33841" s="135"/>
      <c r="U33841" s="135"/>
    </row>
    <row r="33842" spans="20:21" ht="15" customHeight="1" x14ac:dyDescent="0.25">
      <c r="T33842" s="135"/>
      <c r="U33842" s="135"/>
    </row>
    <row r="33843" spans="20:21" ht="15" customHeight="1" x14ac:dyDescent="0.25">
      <c r="T33843" s="135"/>
      <c r="U33843" s="135"/>
    </row>
    <row r="33844" spans="20:21" ht="15" customHeight="1" x14ac:dyDescent="0.25">
      <c r="T33844" s="135"/>
      <c r="U33844" s="135"/>
    </row>
    <row r="33845" spans="20:21" ht="15" customHeight="1" x14ac:dyDescent="0.25">
      <c r="T33845" s="135"/>
      <c r="U33845" s="135"/>
    </row>
    <row r="33846" spans="20:21" ht="15" customHeight="1" x14ac:dyDescent="0.25">
      <c r="T33846" s="135"/>
      <c r="U33846" s="135"/>
    </row>
    <row r="33847" spans="20:21" ht="15" customHeight="1" x14ac:dyDescent="0.25">
      <c r="T33847" s="135"/>
      <c r="U33847" s="135"/>
    </row>
    <row r="33848" spans="20:21" ht="15" customHeight="1" x14ac:dyDescent="0.25">
      <c r="T33848" s="135"/>
      <c r="U33848" s="135"/>
    </row>
    <row r="33849" spans="20:21" ht="15" customHeight="1" x14ac:dyDescent="0.25">
      <c r="T33849" s="135"/>
      <c r="U33849" s="135"/>
    </row>
    <row r="33850" spans="20:21" ht="15" customHeight="1" x14ac:dyDescent="0.25">
      <c r="T33850" s="135"/>
      <c r="U33850" s="135"/>
    </row>
    <row r="33851" spans="20:21" ht="15" customHeight="1" x14ac:dyDescent="0.25">
      <c r="T33851" s="135"/>
      <c r="U33851" s="135"/>
    </row>
    <row r="33852" spans="20:21" ht="15" customHeight="1" x14ac:dyDescent="0.25">
      <c r="T33852" s="135"/>
      <c r="U33852" s="135"/>
    </row>
    <row r="33853" spans="20:21" ht="15" customHeight="1" x14ac:dyDescent="0.25">
      <c r="T33853" s="135"/>
      <c r="U33853" s="135"/>
    </row>
    <row r="33854" spans="20:21" ht="15" customHeight="1" x14ac:dyDescent="0.25">
      <c r="T33854" s="135"/>
      <c r="U33854" s="135"/>
    </row>
    <row r="33855" spans="20:21" ht="15" customHeight="1" x14ac:dyDescent="0.25">
      <c r="T33855" s="135"/>
      <c r="U33855" s="135"/>
    </row>
    <row r="33856" spans="20:21" ht="15" customHeight="1" x14ac:dyDescent="0.25">
      <c r="T33856" s="135"/>
      <c r="U33856" s="135"/>
    </row>
    <row r="33857" spans="20:21" ht="15" customHeight="1" x14ac:dyDescent="0.25">
      <c r="T33857" s="135"/>
      <c r="U33857" s="135"/>
    </row>
    <row r="33858" spans="20:21" ht="15" customHeight="1" x14ac:dyDescent="0.25">
      <c r="T33858" s="135"/>
      <c r="U33858" s="135"/>
    </row>
    <row r="33859" spans="20:21" ht="15" customHeight="1" x14ac:dyDescent="0.25">
      <c r="T33859" s="135"/>
      <c r="U33859" s="135"/>
    </row>
    <row r="33860" spans="20:21" ht="15" customHeight="1" x14ac:dyDescent="0.25">
      <c r="T33860" s="135"/>
      <c r="U33860" s="135"/>
    </row>
    <row r="33861" spans="20:21" ht="15" customHeight="1" x14ac:dyDescent="0.25">
      <c r="T33861" s="135"/>
      <c r="U33861" s="135"/>
    </row>
    <row r="33862" spans="20:21" ht="15" customHeight="1" x14ac:dyDescent="0.25">
      <c r="T33862" s="135"/>
      <c r="U33862" s="135"/>
    </row>
    <row r="33863" spans="20:21" ht="15" customHeight="1" x14ac:dyDescent="0.25">
      <c r="T33863" s="135"/>
      <c r="U33863" s="135"/>
    </row>
    <row r="33864" spans="20:21" ht="15" customHeight="1" x14ac:dyDescent="0.25">
      <c r="T33864" s="135"/>
      <c r="U33864" s="135"/>
    </row>
    <row r="33865" spans="20:21" ht="15" customHeight="1" x14ac:dyDescent="0.25">
      <c r="T33865" s="135"/>
      <c r="U33865" s="135"/>
    </row>
    <row r="33866" spans="20:21" ht="15" customHeight="1" x14ac:dyDescent="0.25">
      <c r="T33866" s="135"/>
      <c r="U33866" s="135"/>
    </row>
    <row r="33867" spans="20:21" ht="15" customHeight="1" x14ac:dyDescent="0.25">
      <c r="T33867" s="135"/>
      <c r="U33867" s="135"/>
    </row>
    <row r="33868" spans="20:21" ht="15" customHeight="1" x14ac:dyDescent="0.25">
      <c r="T33868" s="135"/>
      <c r="U33868" s="135"/>
    </row>
    <row r="33869" spans="20:21" ht="15" customHeight="1" x14ac:dyDescent="0.25">
      <c r="T33869" s="135"/>
      <c r="U33869" s="135"/>
    </row>
    <row r="33870" spans="20:21" ht="15" customHeight="1" x14ac:dyDescent="0.25">
      <c r="T33870" s="135"/>
      <c r="U33870" s="135"/>
    </row>
    <row r="33871" spans="20:21" ht="15" customHeight="1" x14ac:dyDescent="0.25">
      <c r="T33871" s="135"/>
      <c r="U33871" s="135"/>
    </row>
    <row r="33872" spans="20:21" ht="15" customHeight="1" x14ac:dyDescent="0.25">
      <c r="T33872" s="135"/>
      <c r="U33872" s="135"/>
    </row>
    <row r="33873" spans="20:21" ht="15" customHeight="1" x14ac:dyDescent="0.25">
      <c r="T33873" s="135"/>
      <c r="U33873" s="135"/>
    </row>
    <row r="33874" spans="20:21" ht="15" customHeight="1" x14ac:dyDescent="0.25">
      <c r="T33874" s="135"/>
      <c r="U33874" s="135"/>
    </row>
    <row r="33875" spans="20:21" ht="15" customHeight="1" x14ac:dyDescent="0.25">
      <c r="T33875" s="135"/>
      <c r="U33875" s="135"/>
    </row>
    <row r="33876" spans="20:21" ht="15" customHeight="1" x14ac:dyDescent="0.25">
      <c r="T33876" s="135"/>
      <c r="U33876" s="135"/>
    </row>
    <row r="33877" spans="20:21" ht="15" customHeight="1" x14ac:dyDescent="0.25">
      <c r="T33877" s="135"/>
      <c r="U33877" s="135"/>
    </row>
    <row r="33878" spans="20:21" ht="15" customHeight="1" x14ac:dyDescent="0.25">
      <c r="T33878" s="135"/>
      <c r="U33878" s="135"/>
    </row>
    <row r="33879" spans="20:21" ht="15" customHeight="1" x14ac:dyDescent="0.25">
      <c r="T33879" s="135"/>
      <c r="U33879" s="135"/>
    </row>
    <row r="33880" spans="20:21" ht="15" customHeight="1" x14ac:dyDescent="0.25">
      <c r="T33880" s="135"/>
      <c r="U33880" s="135"/>
    </row>
    <row r="33881" spans="20:21" ht="15" customHeight="1" x14ac:dyDescent="0.25">
      <c r="T33881" s="135"/>
      <c r="U33881" s="135"/>
    </row>
    <row r="33882" spans="20:21" ht="15" customHeight="1" x14ac:dyDescent="0.25">
      <c r="T33882" s="135"/>
      <c r="U33882" s="135"/>
    </row>
    <row r="33883" spans="20:21" ht="15" customHeight="1" x14ac:dyDescent="0.25">
      <c r="T33883" s="135"/>
      <c r="U33883" s="135"/>
    </row>
    <row r="33884" spans="20:21" ht="15" customHeight="1" x14ac:dyDescent="0.25">
      <c r="T33884" s="135"/>
      <c r="U33884" s="135"/>
    </row>
    <row r="33885" spans="20:21" ht="15" customHeight="1" x14ac:dyDescent="0.25">
      <c r="T33885" s="135"/>
      <c r="U33885" s="135"/>
    </row>
    <row r="33886" spans="20:21" ht="15" customHeight="1" x14ac:dyDescent="0.25">
      <c r="T33886" s="135"/>
      <c r="U33886" s="135"/>
    </row>
    <row r="33887" spans="20:21" ht="15" customHeight="1" x14ac:dyDescent="0.25">
      <c r="T33887" s="135"/>
      <c r="U33887" s="135"/>
    </row>
    <row r="33888" spans="20:21" ht="15" customHeight="1" x14ac:dyDescent="0.25">
      <c r="T33888" s="135"/>
      <c r="U33888" s="135"/>
    </row>
    <row r="33889" spans="20:21" ht="15" customHeight="1" x14ac:dyDescent="0.25">
      <c r="T33889" s="135"/>
      <c r="U33889" s="135"/>
    </row>
    <row r="33890" spans="20:21" ht="15" customHeight="1" x14ac:dyDescent="0.25">
      <c r="T33890" s="135"/>
      <c r="U33890" s="135"/>
    </row>
    <row r="33891" spans="20:21" ht="15" customHeight="1" x14ac:dyDescent="0.25">
      <c r="T33891" s="135"/>
      <c r="U33891" s="135"/>
    </row>
    <row r="33892" spans="20:21" ht="15" customHeight="1" x14ac:dyDescent="0.25">
      <c r="T33892" s="135"/>
      <c r="U33892" s="135"/>
    </row>
    <row r="33893" spans="20:21" ht="15" customHeight="1" x14ac:dyDescent="0.25">
      <c r="T33893" s="135"/>
      <c r="U33893" s="135"/>
    </row>
    <row r="33894" spans="20:21" ht="15" customHeight="1" x14ac:dyDescent="0.25">
      <c r="T33894" s="135"/>
      <c r="U33894" s="135"/>
    </row>
    <row r="33895" spans="20:21" ht="15" customHeight="1" x14ac:dyDescent="0.25">
      <c r="T33895" s="135"/>
      <c r="U33895" s="135"/>
    </row>
    <row r="33896" spans="20:21" ht="15" customHeight="1" x14ac:dyDescent="0.25">
      <c r="T33896" s="135"/>
      <c r="U33896" s="135"/>
    </row>
    <row r="33897" spans="20:21" ht="15" customHeight="1" x14ac:dyDescent="0.25">
      <c r="T33897" s="135"/>
      <c r="U33897" s="135"/>
    </row>
    <row r="33898" spans="20:21" ht="15" customHeight="1" x14ac:dyDescent="0.25">
      <c r="T33898" s="135"/>
      <c r="U33898" s="135"/>
    </row>
    <row r="33899" spans="20:21" ht="15" customHeight="1" x14ac:dyDescent="0.25">
      <c r="T33899" s="135"/>
      <c r="U33899" s="135"/>
    </row>
    <row r="33900" spans="20:21" ht="15" customHeight="1" x14ac:dyDescent="0.25">
      <c r="T33900" s="135"/>
      <c r="U33900" s="135"/>
    </row>
    <row r="33901" spans="20:21" ht="15" customHeight="1" x14ac:dyDescent="0.25">
      <c r="T33901" s="135"/>
      <c r="U33901" s="135"/>
    </row>
    <row r="33902" spans="20:21" ht="15" customHeight="1" x14ac:dyDescent="0.25">
      <c r="T33902" s="135"/>
      <c r="U33902" s="135"/>
    </row>
    <row r="33903" spans="20:21" ht="15" customHeight="1" x14ac:dyDescent="0.25">
      <c r="T33903" s="135"/>
      <c r="U33903" s="135"/>
    </row>
    <row r="33904" spans="20:21" ht="15" customHeight="1" x14ac:dyDescent="0.25">
      <c r="T33904" s="135"/>
      <c r="U33904" s="135"/>
    </row>
    <row r="33905" spans="20:21" ht="15" customHeight="1" x14ac:dyDescent="0.25">
      <c r="T33905" s="135"/>
      <c r="U33905" s="135"/>
    </row>
    <row r="33906" spans="20:21" ht="15" customHeight="1" x14ac:dyDescent="0.25">
      <c r="T33906" s="135"/>
      <c r="U33906" s="135"/>
    </row>
    <row r="33907" spans="20:21" ht="15" customHeight="1" x14ac:dyDescent="0.25">
      <c r="T33907" s="135"/>
      <c r="U33907" s="135"/>
    </row>
    <row r="33908" spans="20:21" ht="15" customHeight="1" x14ac:dyDescent="0.25">
      <c r="T33908" s="135"/>
      <c r="U33908" s="135"/>
    </row>
    <row r="33909" spans="20:21" ht="15" customHeight="1" x14ac:dyDescent="0.25">
      <c r="T33909" s="135"/>
      <c r="U33909" s="135"/>
    </row>
    <row r="33910" spans="20:21" ht="15" customHeight="1" x14ac:dyDescent="0.25">
      <c r="T33910" s="135"/>
      <c r="U33910" s="135"/>
    </row>
    <row r="33911" spans="20:21" ht="15" customHeight="1" x14ac:dyDescent="0.25">
      <c r="T33911" s="135"/>
      <c r="U33911" s="135"/>
    </row>
    <row r="33912" spans="20:21" ht="15" customHeight="1" x14ac:dyDescent="0.25">
      <c r="T33912" s="135"/>
      <c r="U33912" s="135"/>
    </row>
    <row r="33913" spans="20:21" ht="15" customHeight="1" x14ac:dyDescent="0.25">
      <c r="T33913" s="135"/>
      <c r="U33913" s="135"/>
    </row>
    <row r="33914" spans="20:21" ht="15" customHeight="1" x14ac:dyDescent="0.25">
      <c r="T33914" s="135"/>
      <c r="U33914" s="135"/>
    </row>
    <row r="33915" spans="20:21" ht="15" customHeight="1" x14ac:dyDescent="0.25">
      <c r="T33915" s="135"/>
      <c r="U33915" s="135"/>
    </row>
    <row r="33916" spans="20:21" ht="15" customHeight="1" x14ac:dyDescent="0.25">
      <c r="T33916" s="135"/>
      <c r="U33916" s="135"/>
    </row>
    <row r="33917" spans="20:21" ht="15" customHeight="1" x14ac:dyDescent="0.25">
      <c r="T33917" s="135"/>
      <c r="U33917" s="135"/>
    </row>
    <row r="33918" spans="20:21" ht="15" customHeight="1" x14ac:dyDescent="0.25">
      <c r="T33918" s="135"/>
      <c r="U33918" s="135"/>
    </row>
    <row r="33919" spans="20:21" ht="15" customHeight="1" x14ac:dyDescent="0.25">
      <c r="T33919" s="135"/>
      <c r="U33919" s="135"/>
    </row>
    <row r="33920" spans="20:21" ht="15" customHeight="1" x14ac:dyDescent="0.25">
      <c r="T33920" s="135"/>
      <c r="U33920" s="135"/>
    </row>
    <row r="33921" spans="20:21" ht="15" customHeight="1" x14ac:dyDescent="0.25">
      <c r="T33921" s="135"/>
      <c r="U33921" s="135"/>
    </row>
    <row r="33922" spans="20:21" ht="15" customHeight="1" x14ac:dyDescent="0.25">
      <c r="T33922" s="135"/>
      <c r="U33922" s="135"/>
    </row>
    <row r="33923" spans="20:21" ht="15" customHeight="1" x14ac:dyDescent="0.25">
      <c r="T33923" s="135"/>
      <c r="U33923" s="135"/>
    </row>
    <row r="33924" spans="20:21" ht="15" customHeight="1" x14ac:dyDescent="0.25">
      <c r="T33924" s="135"/>
      <c r="U33924" s="135"/>
    </row>
    <row r="33925" spans="20:21" ht="15" customHeight="1" x14ac:dyDescent="0.25">
      <c r="T33925" s="135"/>
      <c r="U33925" s="135"/>
    </row>
    <row r="33926" spans="20:21" ht="15" customHeight="1" x14ac:dyDescent="0.25">
      <c r="T33926" s="135"/>
      <c r="U33926" s="135"/>
    </row>
    <row r="33927" spans="20:21" ht="15" customHeight="1" x14ac:dyDescent="0.25">
      <c r="T33927" s="135"/>
      <c r="U33927" s="135"/>
    </row>
    <row r="33928" spans="20:21" ht="15" customHeight="1" x14ac:dyDescent="0.25">
      <c r="T33928" s="135"/>
      <c r="U33928" s="135"/>
    </row>
    <row r="33929" spans="20:21" ht="15" customHeight="1" x14ac:dyDescent="0.25">
      <c r="T33929" s="135"/>
      <c r="U33929" s="135"/>
    </row>
    <row r="33930" spans="20:21" ht="15" customHeight="1" x14ac:dyDescent="0.25">
      <c r="T33930" s="135"/>
      <c r="U33930" s="135"/>
    </row>
    <row r="33931" spans="20:21" ht="15" customHeight="1" x14ac:dyDescent="0.25">
      <c r="T33931" s="135"/>
      <c r="U33931" s="135"/>
    </row>
    <row r="33932" spans="20:21" ht="15" customHeight="1" x14ac:dyDescent="0.25">
      <c r="T33932" s="135"/>
      <c r="U33932" s="135"/>
    </row>
    <row r="33933" spans="20:21" ht="15" customHeight="1" x14ac:dyDescent="0.25">
      <c r="T33933" s="135"/>
      <c r="U33933" s="135"/>
    </row>
    <row r="33934" spans="20:21" ht="15" customHeight="1" x14ac:dyDescent="0.25">
      <c r="T33934" s="135"/>
      <c r="U33934" s="135"/>
    </row>
    <row r="33935" spans="20:21" ht="15" customHeight="1" x14ac:dyDescent="0.25">
      <c r="T33935" s="135"/>
      <c r="U33935" s="135"/>
    </row>
    <row r="33936" spans="20:21" ht="15" customHeight="1" x14ac:dyDescent="0.25">
      <c r="T33936" s="135"/>
      <c r="U33936" s="135"/>
    </row>
    <row r="33937" spans="20:21" ht="15" customHeight="1" x14ac:dyDescent="0.25">
      <c r="T33937" s="135"/>
      <c r="U33937" s="135"/>
    </row>
    <row r="33938" spans="20:21" ht="15" customHeight="1" x14ac:dyDescent="0.25">
      <c r="T33938" s="135"/>
      <c r="U33938" s="135"/>
    </row>
    <row r="33939" spans="20:21" ht="15" customHeight="1" x14ac:dyDescent="0.25">
      <c r="T33939" s="135"/>
      <c r="U33939" s="135"/>
    </row>
    <row r="33940" spans="20:21" ht="15" customHeight="1" x14ac:dyDescent="0.25">
      <c r="T33940" s="135"/>
      <c r="U33940" s="135"/>
    </row>
    <row r="33941" spans="20:21" ht="15" customHeight="1" x14ac:dyDescent="0.25">
      <c r="T33941" s="135"/>
      <c r="U33941" s="135"/>
    </row>
    <row r="33942" spans="20:21" ht="15" customHeight="1" x14ac:dyDescent="0.25">
      <c r="T33942" s="135"/>
      <c r="U33942" s="135"/>
    </row>
    <row r="33943" spans="20:21" ht="15" customHeight="1" x14ac:dyDescent="0.25">
      <c r="T33943" s="135"/>
      <c r="U33943" s="135"/>
    </row>
    <row r="33944" spans="20:21" ht="15" customHeight="1" x14ac:dyDescent="0.25">
      <c r="T33944" s="135"/>
      <c r="U33944" s="135"/>
    </row>
    <row r="33945" spans="20:21" ht="15" customHeight="1" x14ac:dyDescent="0.25">
      <c r="T33945" s="135"/>
      <c r="U33945" s="135"/>
    </row>
    <row r="33946" spans="20:21" ht="15" customHeight="1" x14ac:dyDescent="0.25">
      <c r="T33946" s="135"/>
      <c r="U33946" s="135"/>
    </row>
    <row r="33947" spans="20:21" ht="15" customHeight="1" x14ac:dyDescent="0.25">
      <c r="T33947" s="135"/>
      <c r="U33947" s="135"/>
    </row>
    <row r="33948" spans="20:21" ht="15" customHeight="1" x14ac:dyDescent="0.25">
      <c r="T33948" s="135"/>
      <c r="U33948" s="135"/>
    </row>
    <row r="33949" spans="20:21" ht="15" customHeight="1" x14ac:dyDescent="0.25">
      <c r="T33949" s="135"/>
      <c r="U33949" s="135"/>
    </row>
    <row r="33950" spans="20:21" ht="15" customHeight="1" x14ac:dyDescent="0.25">
      <c r="T33950" s="135"/>
      <c r="U33950" s="135"/>
    </row>
    <row r="33951" spans="20:21" ht="15" customHeight="1" x14ac:dyDescent="0.25">
      <c r="T33951" s="135"/>
      <c r="U33951" s="135"/>
    </row>
    <row r="33952" spans="20:21" ht="15" customHeight="1" x14ac:dyDescent="0.25">
      <c r="T33952" s="135"/>
      <c r="U33952" s="135"/>
    </row>
    <row r="33953" spans="20:21" ht="15" customHeight="1" x14ac:dyDescent="0.25">
      <c r="T33953" s="135"/>
      <c r="U33953" s="135"/>
    </row>
    <row r="33954" spans="20:21" ht="15" customHeight="1" x14ac:dyDescent="0.25">
      <c r="T33954" s="135"/>
      <c r="U33954" s="135"/>
    </row>
    <row r="33955" spans="20:21" ht="15" customHeight="1" x14ac:dyDescent="0.25">
      <c r="T33955" s="135"/>
      <c r="U33955" s="135"/>
    </row>
    <row r="33956" spans="20:21" ht="15" customHeight="1" x14ac:dyDescent="0.25">
      <c r="T33956" s="135"/>
      <c r="U33956" s="135"/>
    </row>
    <row r="33957" spans="20:21" ht="15" customHeight="1" x14ac:dyDescent="0.25">
      <c r="T33957" s="135"/>
      <c r="U33957" s="135"/>
    </row>
    <row r="33958" spans="20:21" ht="15" customHeight="1" x14ac:dyDescent="0.25">
      <c r="T33958" s="135"/>
      <c r="U33958" s="135"/>
    </row>
    <row r="33959" spans="20:21" ht="15" customHeight="1" x14ac:dyDescent="0.25">
      <c r="T33959" s="135"/>
      <c r="U33959" s="135"/>
    </row>
    <row r="33960" spans="20:21" ht="15" customHeight="1" x14ac:dyDescent="0.25">
      <c r="T33960" s="135"/>
      <c r="U33960" s="135"/>
    </row>
    <row r="33961" spans="20:21" ht="15" customHeight="1" x14ac:dyDescent="0.25">
      <c r="T33961" s="135"/>
      <c r="U33961" s="135"/>
    </row>
    <row r="33962" spans="20:21" ht="15" customHeight="1" x14ac:dyDescent="0.25">
      <c r="T33962" s="135"/>
      <c r="U33962" s="135"/>
    </row>
    <row r="33963" spans="20:21" ht="15" customHeight="1" x14ac:dyDescent="0.25">
      <c r="T33963" s="135"/>
      <c r="U33963" s="135"/>
    </row>
    <row r="33964" spans="20:21" ht="15" customHeight="1" x14ac:dyDescent="0.25">
      <c r="T33964" s="135"/>
      <c r="U33964" s="135"/>
    </row>
    <row r="33965" spans="20:21" ht="15" customHeight="1" x14ac:dyDescent="0.25">
      <c r="T33965" s="135"/>
      <c r="U33965" s="135"/>
    </row>
    <row r="33966" spans="20:21" ht="15" customHeight="1" x14ac:dyDescent="0.25">
      <c r="T33966" s="135"/>
      <c r="U33966" s="135"/>
    </row>
    <row r="33967" spans="20:21" ht="15" customHeight="1" x14ac:dyDescent="0.25">
      <c r="T33967" s="135"/>
      <c r="U33967" s="135"/>
    </row>
    <row r="33968" spans="20:21" ht="15" customHeight="1" x14ac:dyDescent="0.25">
      <c r="T33968" s="135"/>
      <c r="U33968" s="135"/>
    </row>
    <row r="33969" spans="20:21" ht="15" customHeight="1" x14ac:dyDescent="0.25">
      <c r="T33969" s="135"/>
      <c r="U33969" s="135"/>
    </row>
    <row r="33970" spans="20:21" ht="15" customHeight="1" x14ac:dyDescent="0.25">
      <c r="T33970" s="135"/>
      <c r="U33970" s="135"/>
    </row>
    <row r="33971" spans="20:21" ht="15" customHeight="1" x14ac:dyDescent="0.25">
      <c r="T33971" s="135"/>
      <c r="U33971" s="135"/>
    </row>
    <row r="33972" spans="20:21" ht="15" customHeight="1" x14ac:dyDescent="0.25">
      <c r="T33972" s="135"/>
      <c r="U33972" s="135"/>
    </row>
    <row r="33973" spans="20:21" ht="15" customHeight="1" x14ac:dyDescent="0.25">
      <c r="T33973" s="135"/>
      <c r="U33973" s="135"/>
    </row>
    <row r="33974" spans="20:21" ht="15" customHeight="1" x14ac:dyDescent="0.25">
      <c r="T33974" s="135"/>
      <c r="U33974" s="135"/>
    </row>
    <row r="33975" spans="20:21" ht="15" customHeight="1" x14ac:dyDescent="0.25">
      <c r="T33975" s="135"/>
      <c r="U33975" s="135"/>
    </row>
    <row r="33976" spans="20:21" ht="15" customHeight="1" x14ac:dyDescent="0.25">
      <c r="T33976" s="135"/>
      <c r="U33976" s="135"/>
    </row>
    <row r="33977" spans="20:21" ht="15" customHeight="1" x14ac:dyDescent="0.25">
      <c r="T33977" s="135"/>
      <c r="U33977" s="135"/>
    </row>
    <row r="33978" spans="20:21" ht="15" customHeight="1" x14ac:dyDescent="0.25">
      <c r="T33978" s="135"/>
      <c r="U33978" s="135"/>
    </row>
    <row r="33979" spans="20:21" ht="15" customHeight="1" x14ac:dyDescent="0.25">
      <c r="T33979" s="135"/>
      <c r="U33979" s="135"/>
    </row>
    <row r="33980" spans="20:21" ht="15" customHeight="1" x14ac:dyDescent="0.25">
      <c r="T33980" s="135"/>
      <c r="U33980" s="135"/>
    </row>
    <row r="33981" spans="20:21" ht="15" customHeight="1" x14ac:dyDescent="0.25">
      <c r="T33981" s="135"/>
      <c r="U33981" s="135"/>
    </row>
    <row r="33982" spans="20:21" ht="15" customHeight="1" x14ac:dyDescent="0.25">
      <c r="T33982" s="135"/>
      <c r="U33982" s="135"/>
    </row>
    <row r="33983" spans="20:21" ht="15" customHeight="1" x14ac:dyDescent="0.25">
      <c r="T33983" s="135"/>
      <c r="U33983" s="135"/>
    </row>
    <row r="33984" spans="20:21" ht="15" customHeight="1" x14ac:dyDescent="0.25">
      <c r="T33984" s="135"/>
      <c r="U33984" s="135"/>
    </row>
    <row r="33985" spans="20:21" ht="15" customHeight="1" x14ac:dyDescent="0.25">
      <c r="T33985" s="135"/>
      <c r="U33985" s="135"/>
    </row>
    <row r="33986" spans="20:21" ht="15" customHeight="1" x14ac:dyDescent="0.25">
      <c r="T33986" s="135"/>
      <c r="U33986" s="135"/>
    </row>
    <row r="33987" spans="20:21" ht="15" customHeight="1" x14ac:dyDescent="0.25">
      <c r="T33987" s="135"/>
      <c r="U33987" s="135"/>
    </row>
    <row r="33988" spans="20:21" ht="15" customHeight="1" x14ac:dyDescent="0.25">
      <c r="T33988" s="135"/>
      <c r="U33988" s="135"/>
    </row>
    <row r="33989" spans="20:21" ht="15" customHeight="1" x14ac:dyDescent="0.25">
      <c r="T33989" s="135"/>
      <c r="U33989" s="135"/>
    </row>
    <row r="33990" spans="20:21" ht="15" customHeight="1" x14ac:dyDescent="0.25">
      <c r="T33990" s="135"/>
      <c r="U33990" s="135"/>
    </row>
    <row r="33991" spans="20:21" ht="15" customHeight="1" x14ac:dyDescent="0.25">
      <c r="T33991" s="135"/>
      <c r="U33991" s="135"/>
    </row>
    <row r="33992" spans="20:21" ht="15" customHeight="1" x14ac:dyDescent="0.25">
      <c r="T33992" s="135"/>
      <c r="U33992" s="135"/>
    </row>
    <row r="33993" spans="20:21" ht="15" customHeight="1" x14ac:dyDescent="0.25">
      <c r="T33993" s="135"/>
      <c r="U33993" s="135"/>
    </row>
    <row r="33994" spans="20:21" ht="15" customHeight="1" x14ac:dyDescent="0.25">
      <c r="T33994" s="135"/>
      <c r="U33994" s="135"/>
    </row>
    <row r="33995" spans="20:21" ht="15" customHeight="1" x14ac:dyDescent="0.25">
      <c r="T33995" s="135"/>
      <c r="U33995" s="135"/>
    </row>
    <row r="33996" spans="20:21" ht="15" customHeight="1" x14ac:dyDescent="0.25">
      <c r="T33996" s="135"/>
      <c r="U33996" s="135"/>
    </row>
    <row r="33997" spans="20:21" ht="15" customHeight="1" x14ac:dyDescent="0.25">
      <c r="T33997" s="135"/>
      <c r="U33997" s="135"/>
    </row>
    <row r="33998" spans="20:21" ht="15" customHeight="1" x14ac:dyDescent="0.25">
      <c r="T33998" s="135"/>
      <c r="U33998" s="135"/>
    </row>
    <row r="33999" spans="20:21" ht="15" customHeight="1" x14ac:dyDescent="0.25">
      <c r="T33999" s="135"/>
      <c r="U33999" s="135"/>
    </row>
    <row r="34000" spans="20:21" ht="15" customHeight="1" x14ac:dyDescent="0.25">
      <c r="T34000" s="135"/>
      <c r="U34000" s="135"/>
    </row>
    <row r="34001" spans="20:21" ht="15" customHeight="1" x14ac:dyDescent="0.25">
      <c r="T34001" s="135"/>
      <c r="U34001" s="135"/>
    </row>
    <row r="34002" spans="20:21" ht="15" customHeight="1" x14ac:dyDescent="0.25">
      <c r="T34002" s="135"/>
      <c r="U34002" s="135"/>
    </row>
    <row r="34003" spans="20:21" ht="15" customHeight="1" x14ac:dyDescent="0.25">
      <c r="T34003" s="135"/>
      <c r="U34003" s="135"/>
    </row>
    <row r="34004" spans="20:21" ht="15" customHeight="1" x14ac:dyDescent="0.25">
      <c r="T34004" s="135"/>
      <c r="U34004" s="135"/>
    </row>
    <row r="34005" spans="20:21" ht="15" customHeight="1" x14ac:dyDescent="0.25">
      <c r="T34005" s="135"/>
      <c r="U34005" s="135"/>
    </row>
    <row r="34006" spans="20:21" ht="15" customHeight="1" x14ac:dyDescent="0.25">
      <c r="T34006" s="135"/>
      <c r="U34006" s="135"/>
    </row>
    <row r="34007" spans="20:21" ht="15" customHeight="1" x14ac:dyDescent="0.25">
      <c r="T34007" s="135"/>
      <c r="U34007" s="135"/>
    </row>
    <row r="34008" spans="20:21" ht="15" customHeight="1" x14ac:dyDescent="0.25">
      <c r="T34008" s="135"/>
      <c r="U34008" s="135"/>
    </row>
    <row r="34009" spans="20:21" ht="15" customHeight="1" x14ac:dyDescent="0.25">
      <c r="T34009" s="135"/>
      <c r="U34009" s="135"/>
    </row>
    <row r="34010" spans="20:21" ht="15" customHeight="1" x14ac:dyDescent="0.25">
      <c r="T34010" s="135"/>
      <c r="U34010" s="135"/>
    </row>
    <row r="34011" spans="20:21" ht="15" customHeight="1" x14ac:dyDescent="0.25">
      <c r="T34011" s="135"/>
      <c r="U34011" s="135"/>
    </row>
    <row r="34012" spans="20:21" ht="15" customHeight="1" x14ac:dyDescent="0.25">
      <c r="T34012" s="135"/>
      <c r="U34012" s="135"/>
    </row>
    <row r="34013" spans="20:21" ht="15" customHeight="1" x14ac:dyDescent="0.25">
      <c r="T34013" s="135"/>
      <c r="U34013" s="135"/>
    </row>
    <row r="34014" spans="20:21" ht="15" customHeight="1" x14ac:dyDescent="0.25">
      <c r="T34014" s="135"/>
      <c r="U34014" s="135"/>
    </row>
    <row r="34015" spans="20:21" ht="15" customHeight="1" x14ac:dyDescent="0.25">
      <c r="T34015" s="135"/>
      <c r="U34015" s="135"/>
    </row>
    <row r="34016" spans="20:21" ht="15" customHeight="1" x14ac:dyDescent="0.25">
      <c r="T34016" s="135"/>
      <c r="U34016" s="135"/>
    </row>
    <row r="34017" spans="20:21" ht="15" customHeight="1" x14ac:dyDescent="0.25">
      <c r="T34017" s="135"/>
      <c r="U34017" s="135"/>
    </row>
    <row r="34018" spans="20:21" ht="15" customHeight="1" x14ac:dyDescent="0.25">
      <c r="T34018" s="135"/>
      <c r="U34018" s="135"/>
    </row>
    <row r="34019" spans="20:21" ht="15" customHeight="1" x14ac:dyDescent="0.25">
      <c r="T34019" s="135"/>
      <c r="U34019" s="135"/>
    </row>
    <row r="34020" spans="20:21" ht="15" customHeight="1" x14ac:dyDescent="0.25">
      <c r="T34020" s="135"/>
      <c r="U34020" s="135"/>
    </row>
    <row r="34021" spans="20:21" ht="15" customHeight="1" x14ac:dyDescent="0.25">
      <c r="T34021" s="135"/>
      <c r="U34021" s="135"/>
    </row>
    <row r="34022" spans="20:21" ht="15" customHeight="1" x14ac:dyDescent="0.25">
      <c r="T34022" s="135"/>
      <c r="U34022" s="135"/>
    </row>
    <row r="34023" spans="20:21" ht="15" customHeight="1" x14ac:dyDescent="0.25">
      <c r="T34023" s="135"/>
      <c r="U34023" s="135"/>
    </row>
    <row r="34024" spans="20:21" ht="15" customHeight="1" x14ac:dyDescent="0.25">
      <c r="T34024" s="135"/>
      <c r="U34024" s="135"/>
    </row>
    <row r="34025" spans="20:21" ht="15" customHeight="1" x14ac:dyDescent="0.25">
      <c r="T34025" s="135"/>
      <c r="U34025" s="135"/>
    </row>
    <row r="34026" spans="20:21" ht="15" customHeight="1" x14ac:dyDescent="0.25">
      <c r="T34026" s="135"/>
      <c r="U34026" s="135"/>
    </row>
    <row r="34027" spans="20:21" ht="15" customHeight="1" x14ac:dyDescent="0.25">
      <c r="T34027" s="135"/>
      <c r="U34027" s="135"/>
    </row>
    <row r="34028" spans="20:21" ht="15" customHeight="1" x14ac:dyDescent="0.25">
      <c r="T34028" s="135"/>
      <c r="U34028" s="135"/>
    </row>
    <row r="34029" spans="20:21" ht="15" customHeight="1" x14ac:dyDescent="0.25">
      <c r="T34029" s="135"/>
      <c r="U34029" s="135"/>
    </row>
    <row r="34030" spans="20:21" ht="15" customHeight="1" x14ac:dyDescent="0.25">
      <c r="T34030" s="135"/>
      <c r="U34030" s="135"/>
    </row>
    <row r="34031" spans="20:21" ht="15" customHeight="1" x14ac:dyDescent="0.25">
      <c r="T34031" s="135"/>
      <c r="U34031" s="135"/>
    </row>
    <row r="34032" spans="20:21" ht="15" customHeight="1" x14ac:dyDescent="0.25">
      <c r="T34032" s="135"/>
      <c r="U34032" s="135"/>
    </row>
    <row r="34033" spans="20:21" ht="15" customHeight="1" x14ac:dyDescent="0.25">
      <c r="T34033" s="135"/>
      <c r="U34033" s="135"/>
    </row>
    <row r="34034" spans="20:21" ht="15" customHeight="1" x14ac:dyDescent="0.25">
      <c r="T34034" s="135"/>
      <c r="U34034" s="135"/>
    </row>
    <row r="34035" spans="20:21" ht="15" customHeight="1" x14ac:dyDescent="0.25">
      <c r="T34035" s="135"/>
      <c r="U34035" s="135"/>
    </row>
    <row r="34036" spans="20:21" ht="15" customHeight="1" x14ac:dyDescent="0.25">
      <c r="T34036" s="135"/>
      <c r="U34036" s="135"/>
    </row>
    <row r="34037" spans="20:21" ht="15" customHeight="1" x14ac:dyDescent="0.25">
      <c r="T34037" s="135"/>
      <c r="U34037" s="135"/>
    </row>
    <row r="34038" spans="20:21" ht="15" customHeight="1" x14ac:dyDescent="0.25">
      <c r="T34038" s="135"/>
      <c r="U34038" s="135"/>
    </row>
    <row r="34039" spans="20:21" ht="15" customHeight="1" x14ac:dyDescent="0.25">
      <c r="T34039" s="135"/>
      <c r="U34039" s="135"/>
    </row>
    <row r="34040" spans="20:21" ht="15" customHeight="1" x14ac:dyDescent="0.25">
      <c r="T34040" s="135"/>
      <c r="U34040" s="135"/>
    </row>
    <row r="34041" spans="20:21" ht="15" customHeight="1" x14ac:dyDescent="0.25">
      <c r="T34041" s="135"/>
      <c r="U34041" s="135"/>
    </row>
    <row r="34042" spans="20:21" ht="15" customHeight="1" x14ac:dyDescent="0.25">
      <c r="T34042" s="135"/>
      <c r="U34042" s="135"/>
    </row>
    <row r="34043" spans="20:21" ht="15" customHeight="1" x14ac:dyDescent="0.25">
      <c r="T34043" s="135"/>
      <c r="U34043" s="135"/>
    </row>
    <row r="34044" spans="20:21" ht="15" customHeight="1" x14ac:dyDescent="0.25">
      <c r="T34044" s="135"/>
      <c r="U34044" s="135"/>
    </row>
    <row r="34045" spans="20:21" ht="15" customHeight="1" x14ac:dyDescent="0.25">
      <c r="T34045" s="135"/>
      <c r="U34045" s="135"/>
    </row>
    <row r="34046" spans="20:21" ht="15" customHeight="1" x14ac:dyDescent="0.25">
      <c r="T34046" s="135"/>
      <c r="U34046" s="135"/>
    </row>
    <row r="34047" spans="20:21" ht="15" customHeight="1" x14ac:dyDescent="0.25">
      <c r="T34047" s="135"/>
      <c r="U34047" s="135"/>
    </row>
    <row r="34048" spans="20:21" ht="15" customHeight="1" x14ac:dyDescent="0.25">
      <c r="T34048" s="135"/>
      <c r="U34048" s="135"/>
    </row>
    <row r="34049" spans="20:21" ht="15" customHeight="1" x14ac:dyDescent="0.25">
      <c r="T34049" s="135"/>
      <c r="U34049" s="135"/>
    </row>
    <row r="34050" spans="20:21" ht="15" customHeight="1" x14ac:dyDescent="0.25">
      <c r="T34050" s="135"/>
      <c r="U34050" s="135"/>
    </row>
    <row r="34051" spans="20:21" ht="15" customHeight="1" x14ac:dyDescent="0.25">
      <c r="T34051" s="135"/>
      <c r="U34051" s="135"/>
    </row>
    <row r="34052" spans="20:21" ht="15" customHeight="1" x14ac:dyDescent="0.25">
      <c r="T34052" s="135"/>
      <c r="U34052" s="135"/>
    </row>
    <row r="34053" spans="20:21" ht="15" customHeight="1" x14ac:dyDescent="0.25">
      <c r="T34053" s="135"/>
      <c r="U34053" s="135"/>
    </row>
    <row r="34054" spans="20:21" ht="15" customHeight="1" x14ac:dyDescent="0.25">
      <c r="T34054" s="135"/>
      <c r="U34054" s="135"/>
    </row>
    <row r="34055" spans="20:21" ht="15" customHeight="1" x14ac:dyDescent="0.25">
      <c r="T34055" s="135"/>
      <c r="U34055" s="135"/>
    </row>
    <row r="34056" spans="20:21" ht="15" customHeight="1" x14ac:dyDescent="0.25">
      <c r="T34056" s="135"/>
      <c r="U34056" s="135"/>
    </row>
    <row r="34057" spans="20:21" ht="15" customHeight="1" x14ac:dyDescent="0.25">
      <c r="T34057" s="135"/>
      <c r="U34057" s="135"/>
    </row>
    <row r="34058" spans="20:21" ht="15" customHeight="1" x14ac:dyDescent="0.25">
      <c r="T34058" s="135"/>
      <c r="U34058" s="135"/>
    </row>
    <row r="34059" spans="20:21" ht="15" customHeight="1" x14ac:dyDescent="0.25">
      <c r="T34059" s="135"/>
      <c r="U34059" s="135"/>
    </row>
    <row r="34060" spans="20:21" ht="15" customHeight="1" x14ac:dyDescent="0.25">
      <c r="T34060" s="135"/>
      <c r="U34060" s="135"/>
    </row>
    <row r="34061" spans="20:21" ht="15" customHeight="1" x14ac:dyDescent="0.25">
      <c r="T34061" s="135"/>
      <c r="U34061" s="135"/>
    </row>
    <row r="34062" spans="20:21" ht="15" customHeight="1" x14ac:dyDescent="0.25">
      <c r="T34062" s="135"/>
      <c r="U34062" s="135"/>
    </row>
    <row r="34063" spans="20:21" ht="15" customHeight="1" x14ac:dyDescent="0.25">
      <c r="T34063" s="135"/>
      <c r="U34063" s="135"/>
    </row>
    <row r="34064" spans="20:21" ht="15" customHeight="1" x14ac:dyDescent="0.25">
      <c r="T34064" s="135"/>
      <c r="U34064" s="135"/>
    </row>
    <row r="34065" spans="20:21" ht="15" customHeight="1" x14ac:dyDescent="0.25">
      <c r="T34065" s="135"/>
      <c r="U34065" s="135"/>
    </row>
    <row r="34066" spans="20:21" ht="15" customHeight="1" x14ac:dyDescent="0.25">
      <c r="T34066" s="135"/>
      <c r="U34066" s="135"/>
    </row>
    <row r="34067" spans="20:21" ht="15" customHeight="1" x14ac:dyDescent="0.25">
      <c r="T34067" s="135"/>
      <c r="U34067" s="135"/>
    </row>
    <row r="34068" spans="20:21" ht="15" customHeight="1" x14ac:dyDescent="0.25">
      <c r="T34068" s="135"/>
      <c r="U34068" s="135"/>
    </row>
    <row r="34069" spans="20:21" ht="15" customHeight="1" x14ac:dyDescent="0.25">
      <c r="T34069" s="135"/>
      <c r="U34069" s="135"/>
    </row>
    <row r="34070" spans="20:21" ht="15" customHeight="1" x14ac:dyDescent="0.25">
      <c r="T34070" s="135"/>
      <c r="U34070" s="135"/>
    </row>
    <row r="34071" spans="20:21" ht="15" customHeight="1" x14ac:dyDescent="0.25">
      <c r="T34071" s="135"/>
      <c r="U34071" s="135"/>
    </row>
    <row r="34072" spans="20:21" ht="15" customHeight="1" x14ac:dyDescent="0.25">
      <c r="T34072" s="135"/>
      <c r="U34072" s="135"/>
    </row>
    <row r="34073" spans="20:21" ht="15" customHeight="1" x14ac:dyDescent="0.25">
      <c r="T34073" s="135"/>
      <c r="U34073" s="135"/>
    </row>
    <row r="34074" spans="20:21" ht="15" customHeight="1" x14ac:dyDescent="0.25">
      <c r="T34074" s="135"/>
      <c r="U34074" s="135"/>
    </row>
    <row r="34075" spans="20:21" ht="15" customHeight="1" x14ac:dyDescent="0.25">
      <c r="T34075" s="135"/>
      <c r="U34075" s="135"/>
    </row>
    <row r="34076" spans="20:21" ht="15" customHeight="1" x14ac:dyDescent="0.25">
      <c r="T34076" s="135"/>
      <c r="U34076" s="135"/>
    </row>
    <row r="34077" spans="20:21" ht="15" customHeight="1" x14ac:dyDescent="0.25">
      <c r="T34077" s="135"/>
      <c r="U34077" s="135"/>
    </row>
    <row r="34078" spans="20:21" ht="15" customHeight="1" x14ac:dyDescent="0.25">
      <c r="T34078" s="135"/>
      <c r="U34078" s="135"/>
    </row>
    <row r="34079" spans="20:21" ht="15" customHeight="1" x14ac:dyDescent="0.25">
      <c r="T34079" s="135"/>
      <c r="U34079" s="135"/>
    </row>
    <row r="34080" spans="20:21" ht="15" customHeight="1" x14ac:dyDescent="0.25">
      <c r="T34080" s="135"/>
      <c r="U34080" s="135"/>
    </row>
    <row r="34081" spans="20:21" ht="15" customHeight="1" x14ac:dyDescent="0.25">
      <c r="T34081" s="135"/>
      <c r="U34081" s="135"/>
    </row>
    <row r="34082" spans="20:21" ht="15" customHeight="1" x14ac:dyDescent="0.25">
      <c r="T34082" s="135"/>
      <c r="U34082" s="135"/>
    </row>
    <row r="34083" spans="20:21" ht="15" customHeight="1" x14ac:dyDescent="0.25">
      <c r="T34083" s="135"/>
      <c r="U34083" s="135"/>
    </row>
    <row r="34084" spans="20:21" ht="15" customHeight="1" x14ac:dyDescent="0.25">
      <c r="T34084" s="135"/>
      <c r="U34084" s="135"/>
    </row>
    <row r="34085" spans="20:21" ht="15" customHeight="1" x14ac:dyDescent="0.25">
      <c r="T34085" s="135"/>
      <c r="U34085" s="135"/>
    </row>
    <row r="34086" spans="20:21" ht="15" customHeight="1" x14ac:dyDescent="0.25">
      <c r="T34086" s="135"/>
      <c r="U34086" s="135"/>
    </row>
    <row r="34087" spans="20:21" ht="15" customHeight="1" x14ac:dyDescent="0.25">
      <c r="T34087" s="135"/>
      <c r="U34087" s="135"/>
    </row>
    <row r="34088" spans="20:21" ht="15" customHeight="1" x14ac:dyDescent="0.25">
      <c r="T34088" s="135"/>
      <c r="U34088" s="135"/>
    </row>
    <row r="34089" spans="20:21" ht="15" customHeight="1" x14ac:dyDescent="0.25">
      <c r="T34089" s="135"/>
      <c r="U34089" s="135"/>
    </row>
    <row r="34090" spans="20:21" ht="15" customHeight="1" x14ac:dyDescent="0.25">
      <c r="T34090" s="135"/>
      <c r="U34090" s="135"/>
    </row>
    <row r="34091" spans="20:21" ht="15" customHeight="1" x14ac:dyDescent="0.25">
      <c r="T34091" s="135"/>
      <c r="U34091" s="135"/>
    </row>
    <row r="34092" spans="20:21" ht="15" customHeight="1" x14ac:dyDescent="0.25">
      <c r="T34092" s="135"/>
      <c r="U34092" s="135"/>
    </row>
    <row r="34093" spans="20:21" ht="15" customHeight="1" x14ac:dyDescent="0.25">
      <c r="T34093" s="135"/>
      <c r="U34093" s="135"/>
    </row>
    <row r="34094" spans="20:21" ht="15" customHeight="1" x14ac:dyDescent="0.25">
      <c r="T34094" s="135"/>
      <c r="U34094" s="135"/>
    </row>
    <row r="34095" spans="20:21" ht="15" customHeight="1" x14ac:dyDescent="0.25">
      <c r="T34095" s="135"/>
      <c r="U34095" s="135"/>
    </row>
    <row r="34096" spans="20:21" ht="15" customHeight="1" x14ac:dyDescent="0.25">
      <c r="T34096" s="135"/>
      <c r="U34096" s="135"/>
    </row>
    <row r="34097" spans="20:21" ht="15" customHeight="1" x14ac:dyDescent="0.25">
      <c r="T34097" s="135"/>
      <c r="U34097" s="135"/>
    </row>
    <row r="34098" spans="20:21" ht="15" customHeight="1" x14ac:dyDescent="0.25">
      <c r="T34098" s="135"/>
      <c r="U34098" s="135"/>
    </row>
    <row r="34099" spans="20:21" ht="15" customHeight="1" x14ac:dyDescent="0.25">
      <c r="T34099" s="135"/>
      <c r="U34099" s="135"/>
    </row>
    <row r="34100" spans="20:21" ht="15" customHeight="1" x14ac:dyDescent="0.25">
      <c r="T34100" s="135"/>
      <c r="U34100" s="135"/>
    </row>
    <row r="34101" spans="20:21" ht="15" customHeight="1" x14ac:dyDescent="0.25">
      <c r="T34101" s="135"/>
      <c r="U34101" s="135"/>
    </row>
    <row r="34102" spans="20:21" ht="15" customHeight="1" x14ac:dyDescent="0.25">
      <c r="T34102" s="135"/>
      <c r="U34102" s="135"/>
    </row>
    <row r="34103" spans="20:21" ht="15" customHeight="1" x14ac:dyDescent="0.25">
      <c r="T34103" s="135"/>
      <c r="U34103" s="135"/>
    </row>
    <row r="34104" spans="20:21" ht="15" customHeight="1" x14ac:dyDescent="0.25">
      <c r="T34104" s="135"/>
      <c r="U34104" s="135"/>
    </row>
    <row r="34105" spans="20:21" ht="15" customHeight="1" x14ac:dyDescent="0.25">
      <c r="T34105" s="135"/>
      <c r="U34105" s="135"/>
    </row>
    <row r="34106" spans="20:21" ht="15" customHeight="1" x14ac:dyDescent="0.25">
      <c r="T34106" s="135"/>
      <c r="U34106" s="135"/>
    </row>
    <row r="34107" spans="20:21" ht="15" customHeight="1" x14ac:dyDescent="0.25">
      <c r="T34107" s="135"/>
      <c r="U34107" s="135"/>
    </row>
    <row r="34108" spans="20:21" ht="15" customHeight="1" x14ac:dyDescent="0.25">
      <c r="T34108" s="135"/>
      <c r="U34108" s="135"/>
    </row>
    <row r="34109" spans="20:21" ht="15" customHeight="1" x14ac:dyDescent="0.25">
      <c r="T34109" s="135"/>
      <c r="U34109" s="135"/>
    </row>
    <row r="34110" spans="20:21" ht="15" customHeight="1" x14ac:dyDescent="0.25">
      <c r="T34110" s="135"/>
      <c r="U34110" s="135"/>
    </row>
    <row r="34111" spans="20:21" ht="15" customHeight="1" x14ac:dyDescent="0.25">
      <c r="T34111" s="135"/>
      <c r="U34111" s="135"/>
    </row>
    <row r="34112" spans="20:21" ht="15" customHeight="1" x14ac:dyDescent="0.25">
      <c r="T34112" s="135"/>
      <c r="U34112" s="135"/>
    </row>
    <row r="34113" spans="20:21" ht="15" customHeight="1" x14ac:dyDescent="0.25">
      <c r="T34113" s="135"/>
      <c r="U34113" s="135"/>
    </row>
    <row r="34114" spans="20:21" ht="15" customHeight="1" x14ac:dyDescent="0.25">
      <c r="T34114" s="135"/>
      <c r="U34114" s="135"/>
    </row>
    <row r="34115" spans="20:21" ht="15" customHeight="1" x14ac:dyDescent="0.25">
      <c r="T34115" s="135"/>
      <c r="U34115" s="135"/>
    </row>
    <row r="34116" spans="20:21" ht="15" customHeight="1" x14ac:dyDescent="0.25">
      <c r="T34116" s="135"/>
      <c r="U34116" s="135"/>
    </row>
    <row r="34117" spans="20:21" ht="15" customHeight="1" x14ac:dyDescent="0.25">
      <c r="T34117" s="135"/>
      <c r="U34117" s="135"/>
    </row>
    <row r="34118" spans="20:21" ht="15" customHeight="1" x14ac:dyDescent="0.25">
      <c r="T34118" s="135"/>
      <c r="U34118" s="135"/>
    </row>
    <row r="34119" spans="20:21" ht="15" customHeight="1" x14ac:dyDescent="0.25">
      <c r="T34119" s="135"/>
      <c r="U34119" s="135"/>
    </row>
    <row r="34120" spans="20:21" ht="15" customHeight="1" x14ac:dyDescent="0.25">
      <c r="T34120" s="135"/>
      <c r="U34120" s="135"/>
    </row>
    <row r="34121" spans="20:21" ht="15" customHeight="1" x14ac:dyDescent="0.25">
      <c r="T34121" s="135"/>
      <c r="U34121" s="135"/>
    </row>
    <row r="34122" spans="20:21" ht="15" customHeight="1" x14ac:dyDescent="0.25">
      <c r="T34122" s="135"/>
      <c r="U34122" s="135"/>
    </row>
    <row r="34123" spans="20:21" ht="15" customHeight="1" x14ac:dyDescent="0.25">
      <c r="T34123" s="135"/>
      <c r="U34123" s="135"/>
    </row>
    <row r="34124" spans="20:21" ht="15" customHeight="1" x14ac:dyDescent="0.25">
      <c r="T34124" s="135"/>
      <c r="U34124" s="135"/>
    </row>
    <row r="34125" spans="20:21" ht="15" customHeight="1" x14ac:dyDescent="0.25">
      <c r="T34125" s="135"/>
      <c r="U34125" s="135"/>
    </row>
    <row r="34126" spans="20:21" ht="15" customHeight="1" x14ac:dyDescent="0.25">
      <c r="T34126" s="135"/>
      <c r="U34126" s="135"/>
    </row>
    <row r="34127" spans="20:21" ht="15" customHeight="1" x14ac:dyDescent="0.25">
      <c r="T34127" s="135"/>
      <c r="U34127" s="135"/>
    </row>
    <row r="34128" spans="20:21" ht="15" customHeight="1" x14ac:dyDescent="0.25">
      <c r="T34128" s="135"/>
      <c r="U34128" s="135"/>
    </row>
    <row r="34129" spans="20:21" ht="15" customHeight="1" x14ac:dyDescent="0.25">
      <c r="T34129" s="135"/>
      <c r="U34129" s="135"/>
    </row>
    <row r="34130" spans="20:21" ht="15" customHeight="1" x14ac:dyDescent="0.25">
      <c r="T34130" s="135"/>
      <c r="U34130" s="135"/>
    </row>
    <row r="34131" spans="20:21" ht="15" customHeight="1" x14ac:dyDescent="0.25">
      <c r="T34131" s="135"/>
      <c r="U34131" s="135"/>
    </row>
    <row r="34132" spans="20:21" ht="15" customHeight="1" x14ac:dyDescent="0.25">
      <c r="T34132" s="135"/>
      <c r="U34132" s="135"/>
    </row>
    <row r="34133" spans="20:21" ht="15" customHeight="1" x14ac:dyDescent="0.25">
      <c r="T34133" s="135"/>
      <c r="U34133" s="135"/>
    </row>
    <row r="34134" spans="20:21" ht="15" customHeight="1" x14ac:dyDescent="0.25">
      <c r="T34134" s="135"/>
      <c r="U34134" s="135"/>
    </row>
    <row r="34135" spans="20:21" ht="15" customHeight="1" x14ac:dyDescent="0.25">
      <c r="T34135" s="135"/>
      <c r="U34135" s="135"/>
    </row>
    <row r="34136" spans="20:21" ht="15" customHeight="1" x14ac:dyDescent="0.25">
      <c r="T34136" s="135"/>
      <c r="U34136" s="135"/>
    </row>
    <row r="34137" spans="20:21" ht="15" customHeight="1" x14ac:dyDescent="0.25">
      <c r="T34137" s="135"/>
      <c r="U34137" s="135"/>
    </row>
    <row r="34138" spans="20:21" ht="15" customHeight="1" x14ac:dyDescent="0.25">
      <c r="T34138" s="135"/>
      <c r="U34138" s="135"/>
    </row>
    <row r="34139" spans="20:21" ht="15" customHeight="1" x14ac:dyDescent="0.25">
      <c r="T34139" s="135"/>
      <c r="U34139" s="135"/>
    </row>
    <row r="34140" spans="20:21" ht="15" customHeight="1" x14ac:dyDescent="0.25">
      <c r="T34140" s="135"/>
      <c r="U34140" s="135"/>
    </row>
    <row r="34141" spans="20:21" ht="15" customHeight="1" x14ac:dyDescent="0.25">
      <c r="T34141" s="135"/>
      <c r="U34141" s="135"/>
    </row>
    <row r="34142" spans="20:21" ht="15" customHeight="1" x14ac:dyDescent="0.25">
      <c r="T34142" s="135"/>
      <c r="U34142" s="135"/>
    </row>
    <row r="34143" spans="20:21" ht="15" customHeight="1" x14ac:dyDescent="0.25">
      <c r="T34143" s="135"/>
      <c r="U34143" s="135"/>
    </row>
    <row r="34144" spans="20:21" ht="15" customHeight="1" x14ac:dyDescent="0.25">
      <c r="T34144" s="135"/>
      <c r="U34144" s="135"/>
    </row>
    <row r="34145" spans="20:21" ht="15" customHeight="1" x14ac:dyDescent="0.25">
      <c r="T34145" s="135"/>
      <c r="U34145" s="135"/>
    </row>
    <row r="34146" spans="20:21" ht="15" customHeight="1" x14ac:dyDescent="0.25">
      <c r="T34146" s="135"/>
      <c r="U34146" s="135"/>
    </row>
    <row r="34147" spans="20:21" ht="15" customHeight="1" x14ac:dyDescent="0.25">
      <c r="T34147" s="135"/>
      <c r="U34147" s="135"/>
    </row>
    <row r="34148" spans="20:21" ht="15" customHeight="1" x14ac:dyDescent="0.25">
      <c r="T34148" s="135"/>
      <c r="U34148" s="135"/>
    </row>
    <row r="34149" spans="20:21" ht="15" customHeight="1" x14ac:dyDescent="0.25">
      <c r="T34149" s="135"/>
      <c r="U34149" s="135"/>
    </row>
    <row r="34150" spans="20:21" ht="15" customHeight="1" x14ac:dyDescent="0.25">
      <c r="T34150" s="135"/>
      <c r="U34150" s="135"/>
    </row>
    <row r="34151" spans="20:21" ht="15" customHeight="1" x14ac:dyDescent="0.25">
      <c r="T34151" s="135"/>
      <c r="U34151" s="135"/>
    </row>
    <row r="34152" spans="20:21" ht="15" customHeight="1" x14ac:dyDescent="0.25">
      <c r="T34152" s="135"/>
      <c r="U34152" s="135"/>
    </row>
    <row r="34153" spans="20:21" ht="15" customHeight="1" x14ac:dyDescent="0.25">
      <c r="T34153" s="135"/>
      <c r="U34153" s="135"/>
    </row>
    <row r="34154" spans="20:21" ht="15" customHeight="1" x14ac:dyDescent="0.25">
      <c r="T34154" s="135"/>
      <c r="U34154" s="135"/>
    </row>
    <row r="34155" spans="20:21" ht="15" customHeight="1" x14ac:dyDescent="0.25">
      <c r="T34155" s="135"/>
      <c r="U34155" s="135"/>
    </row>
    <row r="34156" spans="20:21" ht="15" customHeight="1" x14ac:dyDescent="0.25">
      <c r="T34156" s="135"/>
      <c r="U34156" s="135"/>
    </row>
    <row r="34157" spans="20:21" ht="15" customHeight="1" x14ac:dyDescent="0.25">
      <c r="T34157" s="135"/>
      <c r="U34157" s="135"/>
    </row>
    <row r="34158" spans="20:21" ht="15" customHeight="1" x14ac:dyDescent="0.25">
      <c r="T34158" s="135"/>
      <c r="U34158" s="135"/>
    </row>
    <row r="34159" spans="20:21" ht="15" customHeight="1" x14ac:dyDescent="0.25">
      <c r="T34159" s="135"/>
      <c r="U34159" s="135"/>
    </row>
    <row r="34160" spans="20:21" ht="15" customHeight="1" x14ac:dyDescent="0.25">
      <c r="T34160" s="135"/>
      <c r="U34160" s="135"/>
    </row>
    <row r="34161" spans="20:21" ht="15" customHeight="1" x14ac:dyDescent="0.25">
      <c r="T34161" s="135"/>
      <c r="U34161" s="135"/>
    </row>
    <row r="34162" spans="20:21" ht="15" customHeight="1" x14ac:dyDescent="0.25">
      <c r="T34162" s="135"/>
      <c r="U34162" s="135"/>
    </row>
    <row r="34163" spans="20:21" ht="15" customHeight="1" x14ac:dyDescent="0.25">
      <c r="T34163" s="135"/>
      <c r="U34163" s="135"/>
    </row>
    <row r="34164" spans="20:21" ht="15" customHeight="1" x14ac:dyDescent="0.25">
      <c r="T34164" s="135"/>
      <c r="U34164" s="135"/>
    </row>
    <row r="34165" spans="20:21" ht="15" customHeight="1" x14ac:dyDescent="0.25">
      <c r="T34165" s="135"/>
      <c r="U34165" s="135"/>
    </row>
    <row r="34166" spans="20:21" ht="15" customHeight="1" x14ac:dyDescent="0.25">
      <c r="T34166" s="135"/>
      <c r="U34166" s="135"/>
    </row>
    <row r="34167" spans="20:21" ht="15" customHeight="1" x14ac:dyDescent="0.25">
      <c r="T34167" s="135"/>
      <c r="U34167" s="135"/>
    </row>
    <row r="34168" spans="20:21" ht="15" customHeight="1" x14ac:dyDescent="0.25">
      <c r="T34168" s="135"/>
      <c r="U34168" s="135"/>
    </row>
    <row r="34169" spans="20:21" ht="15" customHeight="1" x14ac:dyDescent="0.25">
      <c r="T34169" s="135"/>
      <c r="U34169" s="135"/>
    </row>
    <row r="34170" spans="20:21" ht="15" customHeight="1" x14ac:dyDescent="0.25">
      <c r="T34170" s="135"/>
      <c r="U34170" s="135"/>
    </row>
    <row r="34171" spans="20:21" ht="15" customHeight="1" x14ac:dyDescent="0.25">
      <c r="T34171" s="135"/>
      <c r="U34171" s="135"/>
    </row>
    <row r="34172" spans="20:21" ht="15" customHeight="1" x14ac:dyDescent="0.25">
      <c r="T34172" s="135"/>
      <c r="U34172" s="135"/>
    </row>
    <row r="34173" spans="20:21" ht="15" customHeight="1" x14ac:dyDescent="0.25">
      <c r="T34173" s="135"/>
      <c r="U34173" s="135"/>
    </row>
    <row r="34174" spans="20:21" ht="15" customHeight="1" x14ac:dyDescent="0.25">
      <c r="T34174" s="135"/>
      <c r="U34174" s="135"/>
    </row>
    <row r="34175" spans="20:21" ht="15" customHeight="1" x14ac:dyDescent="0.25">
      <c r="T34175" s="135"/>
      <c r="U34175" s="135"/>
    </row>
    <row r="34176" spans="20:21" ht="15" customHeight="1" x14ac:dyDescent="0.25">
      <c r="T34176" s="135"/>
      <c r="U34176" s="135"/>
    </row>
    <row r="34177" spans="20:21" ht="15" customHeight="1" x14ac:dyDescent="0.25">
      <c r="T34177" s="135"/>
      <c r="U34177" s="135"/>
    </row>
    <row r="34178" spans="20:21" ht="15" customHeight="1" x14ac:dyDescent="0.25">
      <c r="T34178" s="135"/>
      <c r="U34178" s="135"/>
    </row>
    <row r="34179" spans="20:21" ht="15" customHeight="1" x14ac:dyDescent="0.25">
      <c r="T34179" s="135"/>
      <c r="U34179" s="135"/>
    </row>
    <row r="34180" spans="20:21" ht="15" customHeight="1" x14ac:dyDescent="0.25">
      <c r="T34180" s="135"/>
      <c r="U34180" s="135"/>
    </row>
    <row r="34181" spans="20:21" ht="15" customHeight="1" x14ac:dyDescent="0.25">
      <c r="T34181" s="135"/>
      <c r="U34181" s="135"/>
    </row>
    <row r="34182" spans="20:21" ht="15" customHeight="1" x14ac:dyDescent="0.25">
      <c r="T34182" s="135"/>
      <c r="U34182" s="135"/>
    </row>
    <row r="34183" spans="20:21" ht="15" customHeight="1" x14ac:dyDescent="0.25">
      <c r="T34183" s="135"/>
      <c r="U34183" s="135"/>
    </row>
    <row r="34184" spans="20:21" ht="15" customHeight="1" x14ac:dyDescent="0.25">
      <c r="T34184" s="135"/>
      <c r="U34184" s="135"/>
    </row>
    <row r="34185" spans="20:21" ht="15" customHeight="1" x14ac:dyDescent="0.25">
      <c r="T34185" s="135"/>
      <c r="U34185" s="135"/>
    </row>
    <row r="34186" spans="20:21" ht="15" customHeight="1" x14ac:dyDescent="0.25">
      <c r="T34186" s="135"/>
      <c r="U34186" s="135"/>
    </row>
    <row r="34187" spans="20:21" ht="15" customHeight="1" x14ac:dyDescent="0.25">
      <c r="T34187" s="135"/>
      <c r="U34187" s="135"/>
    </row>
    <row r="34188" spans="20:21" ht="15" customHeight="1" x14ac:dyDescent="0.25">
      <c r="T34188" s="135"/>
      <c r="U34188" s="135"/>
    </row>
    <row r="34189" spans="20:21" ht="15" customHeight="1" x14ac:dyDescent="0.25">
      <c r="T34189" s="135"/>
      <c r="U34189" s="135"/>
    </row>
    <row r="34190" spans="20:21" ht="15" customHeight="1" x14ac:dyDescent="0.25">
      <c r="T34190" s="135"/>
      <c r="U34190" s="135"/>
    </row>
    <row r="34191" spans="20:21" ht="15" customHeight="1" x14ac:dyDescent="0.25">
      <c r="T34191" s="135"/>
      <c r="U34191" s="135"/>
    </row>
    <row r="34192" spans="20:21" ht="15" customHeight="1" x14ac:dyDescent="0.25">
      <c r="T34192" s="135"/>
      <c r="U34192" s="135"/>
    </row>
    <row r="34193" spans="20:21" ht="15" customHeight="1" x14ac:dyDescent="0.25">
      <c r="T34193" s="135"/>
      <c r="U34193" s="135"/>
    </row>
    <row r="34194" spans="20:21" ht="15" customHeight="1" x14ac:dyDescent="0.25">
      <c r="T34194" s="135"/>
      <c r="U34194" s="135"/>
    </row>
    <row r="34195" spans="20:21" ht="15" customHeight="1" x14ac:dyDescent="0.25">
      <c r="T34195" s="135"/>
      <c r="U34195" s="135"/>
    </row>
    <row r="34196" spans="20:21" ht="15" customHeight="1" x14ac:dyDescent="0.25">
      <c r="T34196" s="135"/>
      <c r="U34196" s="135"/>
    </row>
    <row r="34197" spans="20:21" ht="15" customHeight="1" x14ac:dyDescent="0.25">
      <c r="T34197" s="135"/>
      <c r="U34197" s="135"/>
    </row>
    <row r="34198" spans="20:21" ht="15" customHeight="1" x14ac:dyDescent="0.25">
      <c r="T34198" s="135"/>
      <c r="U34198" s="135"/>
    </row>
    <row r="34199" spans="20:21" ht="15" customHeight="1" x14ac:dyDescent="0.25">
      <c r="T34199" s="135"/>
      <c r="U34199" s="135"/>
    </row>
    <row r="34200" spans="20:21" ht="15" customHeight="1" x14ac:dyDescent="0.25">
      <c r="T34200" s="135"/>
      <c r="U34200" s="135"/>
    </row>
    <row r="34201" spans="20:21" ht="15" customHeight="1" x14ac:dyDescent="0.25">
      <c r="T34201" s="135"/>
      <c r="U34201" s="135"/>
    </row>
    <row r="34202" spans="20:21" ht="15" customHeight="1" x14ac:dyDescent="0.25">
      <c r="T34202" s="135"/>
      <c r="U34202" s="135"/>
    </row>
    <row r="34203" spans="20:21" ht="15" customHeight="1" x14ac:dyDescent="0.25">
      <c r="T34203" s="135"/>
      <c r="U34203" s="135"/>
    </row>
    <row r="34204" spans="20:21" ht="15" customHeight="1" x14ac:dyDescent="0.25">
      <c r="T34204" s="135"/>
      <c r="U34204" s="135"/>
    </row>
    <row r="34205" spans="20:21" ht="15" customHeight="1" x14ac:dyDescent="0.25">
      <c r="T34205" s="135"/>
      <c r="U34205" s="135"/>
    </row>
    <row r="34206" spans="20:21" ht="15" customHeight="1" x14ac:dyDescent="0.25">
      <c r="T34206" s="135"/>
      <c r="U34206" s="135"/>
    </row>
    <row r="34207" spans="20:21" ht="15" customHeight="1" x14ac:dyDescent="0.25">
      <c r="T34207" s="135"/>
      <c r="U34207" s="135"/>
    </row>
    <row r="34208" spans="20:21" ht="15" customHeight="1" x14ac:dyDescent="0.25">
      <c r="T34208" s="135"/>
      <c r="U34208" s="135"/>
    </row>
    <row r="34209" spans="20:21" ht="15" customHeight="1" x14ac:dyDescent="0.25">
      <c r="T34209" s="135"/>
      <c r="U34209" s="135"/>
    </row>
    <row r="34210" spans="20:21" ht="15" customHeight="1" x14ac:dyDescent="0.25">
      <c r="T34210" s="135"/>
      <c r="U34210" s="135"/>
    </row>
    <row r="34211" spans="20:21" ht="15" customHeight="1" x14ac:dyDescent="0.25">
      <c r="T34211" s="135"/>
      <c r="U34211" s="135"/>
    </row>
    <row r="34212" spans="20:21" ht="15" customHeight="1" x14ac:dyDescent="0.25">
      <c r="T34212" s="135"/>
      <c r="U34212" s="135"/>
    </row>
    <row r="34213" spans="20:21" ht="15" customHeight="1" x14ac:dyDescent="0.25">
      <c r="T34213" s="135"/>
      <c r="U34213" s="135"/>
    </row>
    <row r="34214" spans="20:21" ht="15" customHeight="1" x14ac:dyDescent="0.25">
      <c r="T34214" s="135"/>
      <c r="U34214" s="135"/>
    </row>
    <row r="34215" spans="20:21" ht="15" customHeight="1" x14ac:dyDescent="0.25">
      <c r="T34215" s="135"/>
      <c r="U34215" s="135"/>
    </row>
    <row r="34216" spans="20:21" ht="15" customHeight="1" x14ac:dyDescent="0.25">
      <c r="T34216" s="135"/>
      <c r="U34216" s="135"/>
    </row>
    <row r="34217" spans="20:21" ht="15" customHeight="1" x14ac:dyDescent="0.25">
      <c r="T34217" s="135"/>
      <c r="U34217" s="135"/>
    </row>
    <row r="34218" spans="20:21" ht="15" customHeight="1" x14ac:dyDescent="0.25">
      <c r="T34218" s="135"/>
      <c r="U34218" s="135"/>
    </row>
    <row r="34219" spans="20:21" ht="15" customHeight="1" x14ac:dyDescent="0.25">
      <c r="T34219" s="135"/>
      <c r="U34219" s="135"/>
    </row>
    <row r="34220" spans="20:21" ht="15" customHeight="1" x14ac:dyDescent="0.25">
      <c r="T34220" s="135"/>
      <c r="U34220" s="135"/>
    </row>
    <row r="34221" spans="20:21" ht="15" customHeight="1" x14ac:dyDescent="0.25">
      <c r="T34221" s="135"/>
      <c r="U34221" s="135"/>
    </row>
    <row r="34222" spans="20:21" ht="15" customHeight="1" x14ac:dyDescent="0.25">
      <c r="T34222" s="135"/>
      <c r="U34222" s="135"/>
    </row>
    <row r="34223" spans="20:21" ht="15" customHeight="1" x14ac:dyDescent="0.25">
      <c r="T34223" s="135"/>
      <c r="U34223" s="135"/>
    </row>
    <row r="34224" spans="20:21" ht="15" customHeight="1" x14ac:dyDescent="0.25">
      <c r="T34224" s="135"/>
      <c r="U34224" s="135"/>
    </row>
    <row r="34225" spans="20:21" ht="15" customHeight="1" x14ac:dyDescent="0.25">
      <c r="T34225" s="135"/>
      <c r="U34225" s="135"/>
    </row>
    <row r="34226" spans="20:21" ht="15" customHeight="1" x14ac:dyDescent="0.25">
      <c r="T34226" s="135"/>
      <c r="U34226" s="135"/>
    </row>
    <row r="34227" spans="20:21" ht="15" customHeight="1" x14ac:dyDescent="0.25">
      <c r="T34227" s="135"/>
      <c r="U34227" s="135"/>
    </row>
    <row r="34228" spans="20:21" ht="15" customHeight="1" x14ac:dyDescent="0.25">
      <c r="T34228" s="135"/>
      <c r="U34228" s="135"/>
    </row>
    <row r="34229" spans="20:21" ht="15" customHeight="1" x14ac:dyDescent="0.25">
      <c r="T34229" s="135"/>
      <c r="U34229" s="135"/>
    </row>
    <row r="34230" spans="20:21" ht="15" customHeight="1" x14ac:dyDescent="0.25">
      <c r="T34230" s="135"/>
      <c r="U34230" s="135"/>
    </row>
    <row r="34231" spans="20:21" ht="15" customHeight="1" x14ac:dyDescent="0.25">
      <c r="T34231" s="135"/>
      <c r="U34231" s="135"/>
    </row>
    <row r="34232" spans="20:21" ht="15" customHeight="1" x14ac:dyDescent="0.25">
      <c r="T34232" s="135"/>
      <c r="U34232" s="135"/>
    </row>
    <row r="34233" spans="20:21" ht="15" customHeight="1" x14ac:dyDescent="0.25">
      <c r="T34233" s="135"/>
      <c r="U34233" s="135"/>
    </row>
    <row r="34234" spans="20:21" ht="15" customHeight="1" x14ac:dyDescent="0.25">
      <c r="T34234" s="135"/>
      <c r="U34234" s="135"/>
    </row>
    <row r="34235" spans="20:21" ht="15" customHeight="1" x14ac:dyDescent="0.25">
      <c r="T34235" s="135"/>
      <c r="U34235" s="135"/>
    </row>
    <row r="34236" spans="20:21" ht="15" customHeight="1" x14ac:dyDescent="0.25">
      <c r="T34236" s="135"/>
      <c r="U34236" s="135"/>
    </row>
    <row r="34237" spans="20:21" ht="15" customHeight="1" x14ac:dyDescent="0.25">
      <c r="T34237" s="135"/>
      <c r="U34237" s="135"/>
    </row>
    <row r="34238" spans="20:21" ht="15" customHeight="1" x14ac:dyDescent="0.25">
      <c r="T34238" s="135"/>
      <c r="U34238" s="135"/>
    </row>
    <row r="34239" spans="20:21" ht="15" customHeight="1" x14ac:dyDescent="0.25">
      <c r="T34239" s="135"/>
      <c r="U34239" s="135"/>
    </row>
    <row r="34240" spans="20:21" ht="15" customHeight="1" x14ac:dyDescent="0.25">
      <c r="T34240" s="135"/>
      <c r="U34240" s="135"/>
    </row>
    <row r="34241" spans="20:21" ht="15" customHeight="1" x14ac:dyDescent="0.25">
      <c r="T34241" s="135"/>
      <c r="U34241" s="135"/>
    </row>
    <row r="34242" spans="20:21" ht="15" customHeight="1" x14ac:dyDescent="0.25">
      <c r="T34242" s="135"/>
      <c r="U34242" s="135"/>
    </row>
    <row r="34243" spans="20:21" ht="15" customHeight="1" x14ac:dyDescent="0.25">
      <c r="T34243" s="135"/>
      <c r="U34243" s="135"/>
    </row>
    <row r="34244" spans="20:21" ht="15" customHeight="1" x14ac:dyDescent="0.25">
      <c r="T34244" s="135"/>
      <c r="U34244" s="135"/>
    </row>
    <row r="34245" spans="20:21" ht="15" customHeight="1" x14ac:dyDescent="0.25">
      <c r="T34245" s="135"/>
      <c r="U34245" s="135"/>
    </row>
    <row r="34246" spans="20:21" ht="15" customHeight="1" x14ac:dyDescent="0.25">
      <c r="T34246" s="135"/>
      <c r="U34246" s="135"/>
    </row>
    <row r="34247" spans="20:21" ht="15" customHeight="1" x14ac:dyDescent="0.25">
      <c r="T34247" s="135"/>
      <c r="U34247" s="135"/>
    </row>
    <row r="34248" spans="20:21" ht="15" customHeight="1" x14ac:dyDescent="0.25">
      <c r="T34248" s="135"/>
      <c r="U34248" s="135"/>
    </row>
    <row r="34249" spans="20:21" ht="15" customHeight="1" x14ac:dyDescent="0.25">
      <c r="T34249" s="135"/>
      <c r="U34249" s="135"/>
    </row>
    <row r="34250" spans="20:21" ht="15" customHeight="1" x14ac:dyDescent="0.25">
      <c r="T34250" s="135"/>
      <c r="U34250" s="135"/>
    </row>
    <row r="34251" spans="20:21" ht="15" customHeight="1" x14ac:dyDescent="0.25">
      <c r="T34251" s="135"/>
      <c r="U34251" s="135"/>
    </row>
    <row r="34252" spans="20:21" ht="15" customHeight="1" x14ac:dyDescent="0.25">
      <c r="T34252" s="135"/>
      <c r="U34252" s="135"/>
    </row>
    <row r="34253" spans="20:21" ht="15" customHeight="1" x14ac:dyDescent="0.25">
      <c r="T34253" s="135"/>
      <c r="U34253" s="135"/>
    </row>
    <row r="34254" spans="20:21" ht="15" customHeight="1" x14ac:dyDescent="0.25">
      <c r="T34254" s="135"/>
      <c r="U34254" s="135"/>
    </row>
    <row r="34255" spans="20:21" ht="15" customHeight="1" x14ac:dyDescent="0.25">
      <c r="T34255" s="135"/>
      <c r="U34255" s="135"/>
    </row>
    <row r="34256" spans="20:21" ht="15" customHeight="1" x14ac:dyDescent="0.25">
      <c r="T34256" s="135"/>
      <c r="U34256" s="135"/>
    </row>
    <row r="34257" spans="20:21" ht="15" customHeight="1" x14ac:dyDescent="0.25">
      <c r="T34257" s="135"/>
      <c r="U34257" s="135"/>
    </row>
    <row r="34258" spans="20:21" ht="15" customHeight="1" x14ac:dyDescent="0.25">
      <c r="T34258" s="135"/>
      <c r="U34258" s="135"/>
    </row>
    <row r="34259" spans="20:21" ht="15" customHeight="1" x14ac:dyDescent="0.25">
      <c r="T34259" s="135"/>
      <c r="U34259" s="135"/>
    </row>
    <row r="34260" spans="20:21" ht="15" customHeight="1" x14ac:dyDescent="0.25">
      <c r="T34260" s="135"/>
      <c r="U34260" s="135"/>
    </row>
    <row r="34261" spans="20:21" ht="15" customHeight="1" x14ac:dyDescent="0.25">
      <c r="T34261" s="135"/>
      <c r="U34261" s="135"/>
    </row>
    <row r="34262" spans="20:21" ht="15" customHeight="1" x14ac:dyDescent="0.25">
      <c r="T34262" s="135"/>
      <c r="U34262" s="135"/>
    </row>
    <row r="34263" spans="20:21" ht="15" customHeight="1" x14ac:dyDescent="0.25">
      <c r="T34263" s="135"/>
      <c r="U34263" s="135"/>
    </row>
    <row r="34264" spans="20:21" ht="15" customHeight="1" x14ac:dyDescent="0.25">
      <c r="T34264" s="135"/>
      <c r="U34264" s="135"/>
    </row>
    <row r="34265" spans="20:21" ht="15" customHeight="1" x14ac:dyDescent="0.25">
      <c r="T34265" s="135"/>
      <c r="U34265" s="135"/>
    </row>
    <row r="34266" spans="20:21" ht="15" customHeight="1" x14ac:dyDescent="0.25">
      <c r="T34266" s="135"/>
      <c r="U34266" s="135"/>
    </row>
    <row r="34267" spans="20:21" ht="15" customHeight="1" x14ac:dyDescent="0.25">
      <c r="T34267" s="135"/>
      <c r="U34267" s="135"/>
    </row>
    <row r="34268" spans="20:21" ht="15" customHeight="1" x14ac:dyDescent="0.25">
      <c r="T34268" s="135"/>
      <c r="U34268" s="135"/>
    </row>
    <row r="34269" spans="20:21" ht="15" customHeight="1" x14ac:dyDescent="0.25">
      <c r="T34269" s="135"/>
      <c r="U34269" s="135"/>
    </row>
    <row r="34270" spans="20:21" ht="15" customHeight="1" x14ac:dyDescent="0.25">
      <c r="T34270" s="135"/>
      <c r="U34270" s="135"/>
    </row>
    <row r="34271" spans="20:21" ht="15" customHeight="1" x14ac:dyDescent="0.25">
      <c r="T34271" s="135"/>
      <c r="U34271" s="135"/>
    </row>
    <row r="34272" spans="20:21" ht="15" customHeight="1" x14ac:dyDescent="0.25">
      <c r="T34272" s="135"/>
      <c r="U34272" s="135"/>
    </row>
    <row r="34273" spans="20:21" ht="15" customHeight="1" x14ac:dyDescent="0.25">
      <c r="T34273" s="135"/>
      <c r="U34273" s="135"/>
    </row>
    <row r="34274" spans="20:21" ht="15" customHeight="1" x14ac:dyDescent="0.25">
      <c r="T34274" s="135"/>
      <c r="U34274" s="135"/>
    </row>
    <row r="34275" spans="20:21" ht="15" customHeight="1" x14ac:dyDescent="0.25">
      <c r="T34275" s="135"/>
      <c r="U34275" s="135"/>
    </row>
    <row r="34276" spans="20:21" ht="15" customHeight="1" x14ac:dyDescent="0.25">
      <c r="T34276" s="135"/>
      <c r="U34276" s="135"/>
    </row>
    <row r="34277" spans="20:21" ht="15" customHeight="1" x14ac:dyDescent="0.25">
      <c r="T34277" s="135"/>
      <c r="U34277" s="135"/>
    </row>
    <row r="34278" spans="20:21" ht="15" customHeight="1" x14ac:dyDescent="0.25">
      <c r="T34278" s="135"/>
      <c r="U34278" s="135"/>
    </row>
    <row r="34279" spans="20:21" ht="15" customHeight="1" x14ac:dyDescent="0.25">
      <c r="T34279" s="135"/>
      <c r="U34279" s="135"/>
    </row>
    <row r="34280" spans="20:21" ht="15" customHeight="1" x14ac:dyDescent="0.25">
      <c r="T34280" s="135"/>
      <c r="U34280" s="135"/>
    </row>
    <row r="34281" spans="20:21" ht="15" customHeight="1" x14ac:dyDescent="0.25">
      <c r="T34281" s="135"/>
      <c r="U34281" s="135"/>
    </row>
    <row r="34282" spans="20:21" ht="15" customHeight="1" x14ac:dyDescent="0.25">
      <c r="T34282" s="135"/>
      <c r="U34282" s="135"/>
    </row>
    <row r="34283" spans="20:21" ht="15" customHeight="1" x14ac:dyDescent="0.25">
      <c r="T34283" s="135"/>
      <c r="U34283" s="135"/>
    </row>
    <row r="34284" spans="20:21" ht="15" customHeight="1" x14ac:dyDescent="0.25">
      <c r="T34284" s="135"/>
      <c r="U34284" s="135"/>
    </row>
    <row r="34285" spans="20:21" ht="15" customHeight="1" x14ac:dyDescent="0.25">
      <c r="T34285" s="135"/>
      <c r="U34285" s="135"/>
    </row>
    <row r="34286" spans="20:21" ht="15" customHeight="1" x14ac:dyDescent="0.25">
      <c r="T34286" s="135"/>
      <c r="U34286" s="135"/>
    </row>
    <row r="34287" spans="20:21" ht="15" customHeight="1" x14ac:dyDescent="0.25">
      <c r="T34287" s="135"/>
      <c r="U34287" s="135"/>
    </row>
    <row r="34288" spans="20:21" ht="15" customHeight="1" x14ac:dyDescent="0.25">
      <c r="T34288" s="135"/>
      <c r="U34288" s="135"/>
    </row>
    <row r="34289" spans="20:21" ht="15" customHeight="1" x14ac:dyDescent="0.25">
      <c r="T34289" s="135"/>
      <c r="U34289" s="135"/>
    </row>
    <row r="34290" spans="20:21" ht="15" customHeight="1" x14ac:dyDescent="0.25">
      <c r="T34290" s="135"/>
      <c r="U34290" s="135"/>
    </row>
    <row r="34291" spans="20:21" ht="15" customHeight="1" x14ac:dyDescent="0.25">
      <c r="T34291" s="135"/>
      <c r="U34291" s="135"/>
    </row>
    <row r="34292" spans="20:21" ht="15" customHeight="1" x14ac:dyDescent="0.25">
      <c r="T34292" s="135"/>
      <c r="U34292" s="135"/>
    </row>
    <row r="34293" spans="20:21" ht="15" customHeight="1" x14ac:dyDescent="0.25">
      <c r="T34293" s="135"/>
      <c r="U34293" s="135"/>
    </row>
    <row r="34294" spans="20:21" ht="15" customHeight="1" x14ac:dyDescent="0.25">
      <c r="T34294" s="135"/>
      <c r="U34294" s="135"/>
    </row>
    <row r="34295" spans="20:21" ht="15" customHeight="1" x14ac:dyDescent="0.25">
      <c r="T34295" s="135"/>
      <c r="U34295" s="135"/>
    </row>
    <row r="34296" spans="20:21" ht="15" customHeight="1" x14ac:dyDescent="0.25">
      <c r="T34296" s="135"/>
      <c r="U34296" s="135"/>
    </row>
    <row r="34297" spans="20:21" ht="15" customHeight="1" x14ac:dyDescent="0.25">
      <c r="T34297" s="135"/>
      <c r="U34297" s="135"/>
    </row>
    <row r="34298" spans="20:21" ht="15" customHeight="1" x14ac:dyDescent="0.25">
      <c r="T34298" s="135"/>
      <c r="U34298" s="135"/>
    </row>
    <row r="34299" spans="20:21" ht="15" customHeight="1" x14ac:dyDescent="0.25">
      <c r="T34299" s="135"/>
      <c r="U34299" s="135"/>
    </row>
    <row r="34300" spans="20:21" ht="15" customHeight="1" x14ac:dyDescent="0.25">
      <c r="T34300" s="135"/>
      <c r="U34300" s="135"/>
    </row>
    <row r="34301" spans="20:21" ht="15" customHeight="1" x14ac:dyDescent="0.25">
      <c r="T34301" s="135"/>
      <c r="U34301" s="135"/>
    </row>
    <row r="34302" spans="20:21" ht="15" customHeight="1" x14ac:dyDescent="0.25">
      <c r="T34302" s="135"/>
      <c r="U34302" s="135"/>
    </row>
    <row r="34303" spans="20:21" ht="15" customHeight="1" x14ac:dyDescent="0.25">
      <c r="T34303" s="135"/>
      <c r="U34303" s="135"/>
    </row>
    <row r="34304" spans="20:21" ht="15" customHeight="1" x14ac:dyDescent="0.25">
      <c r="T34304" s="135"/>
      <c r="U34304" s="135"/>
    </row>
    <row r="34305" spans="20:21" ht="15" customHeight="1" x14ac:dyDescent="0.25">
      <c r="T34305" s="135"/>
      <c r="U34305" s="135"/>
    </row>
    <row r="34306" spans="20:21" ht="15" customHeight="1" x14ac:dyDescent="0.25">
      <c r="T34306" s="135"/>
      <c r="U34306" s="135"/>
    </row>
    <row r="34307" spans="20:21" ht="15" customHeight="1" x14ac:dyDescent="0.25">
      <c r="T34307" s="135"/>
      <c r="U34307" s="135"/>
    </row>
    <row r="34308" spans="20:21" ht="15" customHeight="1" x14ac:dyDescent="0.25">
      <c r="T34308" s="135"/>
      <c r="U34308" s="135"/>
    </row>
    <row r="34309" spans="20:21" ht="15" customHeight="1" x14ac:dyDescent="0.25">
      <c r="T34309" s="135"/>
      <c r="U34309" s="135"/>
    </row>
    <row r="34310" spans="20:21" ht="15" customHeight="1" x14ac:dyDescent="0.25">
      <c r="T34310" s="135"/>
      <c r="U34310" s="135"/>
    </row>
    <row r="34311" spans="20:21" ht="15" customHeight="1" x14ac:dyDescent="0.25">
      <c r="T34311" s="135"/>
      <c r="U34311" s="135"/>
    </row>
    <row r="34312" spans="20:21" ht="15" customHeight="1" x14ac:dyDescent="0.25">
      <c r="T34312" s="135"/>
      <c r="U34312" s="135"/>
    </row>
    <row r="34313" spans="20:21" ht="15" customHeight="1" x14ac:dyDescent="0.25">
      <c r="T34313" s="135"/>
      <c r="U34313" s="135"/>
    </row>
    <row r="34314" spans="20:21" ht="15" customHeight="1" x14ac:dyDescent="0.25">
      <c r="T34314" s="135"/>
      <c r="U34314" s="135"/>
    </row>
    <row r="34315" spans="20:21" ht="15" customHeight="1" x14ac:dyDescent="0.25">
      <c r="T34315" s="135"/>
      <c r="U34315" s="135"/>
    </row>
    <row r="34316" spans="20:21" ht="15" customHeight="1" x14ac:dyDescent="0.25">
      <c r="T34316" s="135"/>
      <c r="U34316" s="135"/>
    </row>
    <row r="34317" spans="20:21" ht="15" customHeight="1" x14ac:dyDescent="0.25">
      <c r="T34317" s="135"/>
      <c r="U34317" s="135"/>
    </row>
    <row r="34318" spans="20:21" ht="15" customHeight="1" x14ac:dyDescent="0.25">
      <c r="T34318" s="135"/>
      <c r="U34318" s="135"/>
    </row>
    <row r="34319" spans="20:21" ht="15" customHeight="1" x14ac:dyDescent="0.25">
      <c r="T34319" s="135"/>
      <c r="U34319" s="135"/>
    </row>
    <row r="34320" spans="20:21" ht="15" customHeight="1" x14ac:dyDescent="0.25">
      <c r="T34320" s="135"/>
      <c r="U34320" s="135"/>
    </row>
    <row r="34321" spans="20:21" ht="15" customHeight="1" x14ac:dyDescent="0.25">
      <c r="T34321" s="135"/>
      <c r="U34321" s="135"/>
    </row>
    <row r="34322" spans="20:21" ht="15" customHeight="1" x14ac:dyDescent="0.25">
      <c r="T34322" s="135"/>
      <c r="U34322" s="135"/>
    </row>
    <row r="34323" spans="20:21" ht="15" customHeight="1" x14ac:dyDescent="0.25">
      <c r="T34323" s="135"/>
      <c r="U34323" s="135"/>
    </row>
    <row r="34324" spans="20:21" ht="15" customHeight="1" x14ac:dyDescent="0.25">
      <c r="T34324" s="135"/>
      <c r="U34324" s="135"/>
    </row>
    <row r="34325" spans="20:21" ht="15" customHeight="1" x14ac:dyDescent="0.25">
      <c r="T34325" s="135"/>
      <c r="U34325" s="135"/>
    </row>
    <row r="34326" spans="20:21" ht="15" customHeight="1" x14ac:dyDescent="0.25">
      <c r="T34326" s="135"/>
      <c r="U34326" s="135"/>
    </row>
    <row r="34327" spans="20:21" ht="15" customHeight="1" x14ac:dyDescent="0.25">
      <c r="T34327" s="135"/>
      <c r="U34327" s="135"/>
    </row>
    <row r="34328" spans="20:21" ht="15" customHeight="1" x14ac:dyDescent="0.25">
      <c r="T34328" s="135"/>
      <c r="U34328" s="135"/>
    </row>
    <row r="34329" spans="20:21" ht="15" customHeight="1" x14ac:dyDescent="0.25">
      <c r="T34329" s="135"/>
      <c r="U34329" s="135"/>
    </row>
    <row r="34330" spans="20:21" ht="15" customHeight="1" x14ac:dyDescent="0.25">
      <c r="T34330" s="135"/>
      <c r="U34330" s="135"/>
    </row>
    <row r="34331" spans="20:21" ht="15" customHeight="1" x14ac:dyDescent="0.25">
      <c r="T34331" s="135"/>
      <c r="U34331" s="135"/>
    </row>
    <row r="34332" spans="20:21" ht="15" customHeight="1" x14ac:dyDescent="0.25">
      <c r="T34332" s="135"/>
      <c r="U34332" s="135"/>
    </row>
    <row r="34333" spans="20:21" ht="15" customHeight="1" x14ac:dyDescent="0.25">
      <c r="T34333" s="135"/>
      <c r="U34333" s="135"/>
    </row>
    <row r="34334" spans="20:21" ht="15" customHeight="1" x14ac:dyDescent="0.25">
      <c r="T34334" s="135"/>
      <c r="U34334" s="135"/>
    </row>
    <row r="34335" spans="20:21" ht="15" customHeight="1" x14ac:dyDescent="0.25">
      <c r="T34335" s="135"/>
      <c r="U34335" s="135"/>
    </row>
    <row r="34336" spans="20:21" ht="15" customHeight="1" x14ac:dyDescent="0.25">
      <c r="T34336" s="135"/>
      <c r="U34336" s="135"/>
    </row>
    <row r="34337" spans="20:21" ht="15" customHeight="1" x14ac:dyDescent="0.25">
      <c r="T34337" s="135"/>
      <c r="U34337" s="135"/>
    </row>
    <row r="34338" spans="20:21" ht="15" customHeight="1" x14ac:dyDescent="0.25">
      <c r="T34338" s="135"/>
      <c r="U34338" s="135"/>
    </row>
    <row r="34339" spans="20:21" ht="15" customHeight="1" x14ac:dyDescent="0.25">
      <c r="T34339" s="135"/>
      <c r="U34339" s="135"/>
    </row>
    <row r="34340" spans="20:21" ht="15" customHeight="1" x14ac:dyDescent="0.25">
      <c r="T34340" s="135"/>
      <c r="U34340" s="135"/>
    </row>
    <row r="34341" spans="20:21" ht="15" customHeight="1" x14ac:dyDescent="0.25">
      <c r="T34341" s="135"/>
      <c r="U34341" s="135"/>
    </row>
    <row r="34342" spans="20:21" ht="15" customHeight="1" x14ac:dyDescent="0.25">
      <c r="T34342" s="135"/>
      <c r="U34342" s="135"/>
    </row>
    <row r="34343" spans="20:21" ht="15" customHeight="1" x14ac:dyDescent="0.25">
      <c r="T34343" s="135"/>
      <c r="U34343" s="135"/>
    </row>
    <row r="34344" spans="20:21" ht="15" customHeight="1" x14ac:dyDescent="0.25">
      <c r="T34344" s="135"/>
      <c r="U34344" s="135"/>
    </row>
    <row r="34345" spans="20:21" ht="15" customHeight="1" x14ac:dyDescent="0.25">
      <c r="T34345" s="135"/>
      <c r="U34345" s="135"/>
    </row>
    <row r="34346" spans="20:21" ht="15" customHeight="1" x14ac:dyDescent="0.25">
      <c r="T34346" s="135"/>
      <c r="U34346" s="135"/>
    </row>
    <row r="34347" spans="20:21" ht="15" customHeight="1" x14ac:dyDescent="0.25">
      <c r="T34347" s="135"/>
      <c r="U34347" s="135"/>
    </row>
    <row r="34348" spans="20:21" ht="15" customHeight="1" x14ac:dyDescent="0.25">
      <c r="T34348" s="135"/>
      <c r="U34348" s="135"/>
    </row>
    <row r="34349" spans="20:21" ht="15" customHeight="1" x14ac:dyDescent="0.25">
      <c r="T34349" s="135"/>
      <c r="U34349" s="135"/>
    </row>
    <row r="34350" spans="20:21" ht="15" customHeight="1" x14ac:dyDescent="0.25">
      <c r="T34350" s="135"/>
      <c r="U34350" s="135"/>
    </row>
    <row r="34351" spans="20:21" ht="15" customHeight="1" x14ac:dyDescent="0.25">
      <c r="T34351" s="135"/>
      <c r="U34351" s="135"/>
    </row>
    <row r="34352" spans="20:21" ht="15" customHeight="1" x14ac:dyDescent="0.25">
      <c r="T34352" s="135"/>
      <c r="U34352" s="135"/>
    </row>
    <row r="34353" spans="20:21" ht="15" customHeight="1" x14ac:dyDescent="0.25">
      <c r="T34353" s="135"/>
      <c r="U34353" s="135"/>
    </row>
    <row r="34354" spans="20:21" ht="15" customHeight="1" x14ac:dyDescent="0.25">
      <c r="T34354" s="135"/>
      <c r="U34354" s="135"/>
    </row>
    <row r="34355" spans="20:21" ht="15" customHeight="1" x14ac:dyDescent="0.25">
      <c r="T34355" s="135"/>
      <c r="U34355" s="135"/>
    </row>
    <row r="34356" spans="20:21" ht="15" customHeight="1" x14ac:dyDescent="0.25">
      <c r="T34356" s="135"/>
      <c r="U34356" s="135"/>
    </row>
    <row r="34357" spans="20:21" ht="15" customHeight="1" x14ac:dyDescent="0.25">
      <c r="T34357" s="135"/>
      <c r="U34357" s="135"/>
    </row>
    <row r="34358" spans="20:21" ht="15" customHeight="1" x14ac:dyDescent="0.25">
      <c r="T34358" s="135"/>
      <c r="U34358" s="135"/>
    </row>
    <row r="34359" spans="20:21" ht="15" customHeight="1" x14ac:dyDescent="0.25">
      <c r="T34359" s="135"/>
      <c r="U34359" s="135"/>
    </row>
    <row r="34360" spans="20:21" ht="15" customHeight="1" x14ac:dyDescent="0.25">
      <c r="T34360" s="135"/>
      <c r="U34360" s="135"/>
    </row>
    <row r="34361" spans="20:21" ht="15" customHeight="1" x14ac:dyDescent="0.25">
      <c r="T34361" s="135"/>
      <c r="U34361" s="135"/>
    </row>
    <row r="34362" spans="20:21" ht="15" customHeight="1" x14ac:dyDescent="0.25">
      <c r="T34362" s="135"/>
      <c r="U34362" s="135"/>
    </row>
    <row r="34363" spans="20:21" ht="15" customHeight="1" x14ac:dyDescent="0.25">
      <c r="T34363" s="135"/>
      <c r="U34363" s="135"/>
    </row>
    <row r="34364" spans="20:21" ht="15" customHeight="1" x14ac:dyDescent="0.25">
      <c r="T34364" s="135"/>
      <c r="U34364" s="135"/>
    </row>
    <row r="34365" spans="20:21" ht="15" customHeight="1" x14ac:dyDescent="0.25">
      <c r="T34365" s="135"/>
      <c r="U34365" s="135"/>
    </row>
    <row r="34366" spans="20:21" ht="15" customHeight="1" x14ac:dyDescent="0.25">
      <c r="T34366" s="135"/>
      <c r="U34366" s="135"/>
    </row>
    <row r="34367" spans="20:21" ht="15" customHeight="1" x14ac:dyDescent="0.25">
      <c r="T34367" s="135"/>
      <c r="U34367" s="135"/>
    </row>
    <row r="34368" spans="20:21" ht="15" customHeight="1" x14ac:dyDescent="0.25">
      <c r="T34368" s="135"/>
      <c r="U34368" s="135"/>
    </row>
    <row r="34369" spans="20:21" ht="15" customHeight="1" x14ac:dyDescent="0.25">
      <c r="T34369" s="135"/>
      <c r="U34369" s="135"/>
    </row>
    <row r="34370" spans="20:21" ht="15" customHeight="1" x14ac:dyDescent="0.25">
      <c r="T34370" s="135"/>
      <c r="U34370" s="135"/>
    </row>
    <row r="34371" spans="20:21" ht="15" customHeight="1" x14ac:dyDescent="0.25">
      <c r="T34371" s="135"/>
      <c r="U34371" s="135"/>
    </row>
    <row r="34372" spans="20:21" ht="15" customHeight="1" x14ac:dyDescent="0.25">
      <c r="T34372" s="135"/>
      <c r="U34372" s="135"/>
    </row>
    <row r="34373" spans="20:21" ht="15" customHeight="1" x14ac:dyDescent="0.25">
      <c r="T34373" s="135"/>
      <c r="U34373" s="135"/>
    </row>
    <row r="34374" spans="20:21" ht="15" customHeight="1" x14ac:dyDescent="0.25">
      <c r="T34374" s="135"/>
      <c r="U34374" s="135"/>
    </row>
    <row r="34375" spans="20:21" ht="15" customHeight="1" x14ac:dyDescent="0.25">
      <c r="T34375" s="135"/>
      <c r="U34375" s="135"/>
    </row>
    <row r="34376" spans="20:21" ht="15" customHeight="1" x14ac:dyDescent="0.25">
      <c r="T34376" s="135"/>
      <c r="U34376" s="135"/>
    </row>
    <row r="34377" spans="20:21" ht="15" customHeight="1" x14ac:dyDescent="0.25">
      <c r="T34377" s="135"/>
      <c r="U34377" s="135"/>
    </row>
    <row r="34378" spans="20:21" ht="15" customHeight="1" x14ac:dyDescent="0.25">
      <c r="T34378" s="135"/>
      <c r="U34378" s="135"/>
    </row>
    <row r="34379" spans="20:21" ht="15" customHeight="1" x14ac:dyDescent="0.25">
      <c r="T34379" s="135"/>
      <c r="U34379" s="135"/>
    </row>
    <row r="34380" spans="20:21" ht="15" customHeight="1" x14ac:dyDescent="0.25">
      <c r="T34380" s="135"/>
      <c r="U34380" s="135"/>
    </row>
    <row r="34381" spans="20:21" ht="15" customHeight="1" x14ac:dyDescent="0.25">
      <c r="T34381" s="135"/>
      <c r="U34381" s="135"/>
    </row>
    <row r="34382" spans="20:21" ht="15" customHeight="1" x14ac:dyDescent="0.25">
      <c r="T34382" s="135"/>
      <c r="U34382" s="135"/>
    </row>
    <row r="34383" spans="20:21" ht="15" customHeight="1" x14ac:dyDescent="0.25">
      <c r="T34383" s="135"/>
      <c r="U34383" s="135"/>
    </row>
    <row r="34384" spans="20:21" ht="15" customHeight="1" x14ac:dyDescent="0.25">
      <c r="T34384" s="135"/>
      <c r="U34384" s="135"/>
    </row>
    <row r="34385" spans="20:21" ht="15" customHeight="1" x14ac:dyDescent="0.25">
      <c r="T34385" s="135"/>
      <c r="U34385" s="135"/>
    </row>
    <row r="34386" spans="20:21" ht="15" customHeight="1" x14ac:dyDescent="0.25">
      <c r="T34386" s="135"/>
      <c r="U34386" s="135"/>
    </row>
    <row r="34387" spans="20:21" ht="15" customHeight="1" x14ac:dyDescent="0.25">
      <c r="T34387" s="135"/>
      <c r="U34387" s="135"/>
    </row>
    <row r="34388" spans="20:21" ht="15" customHeight="1" x14ac:dyDescent="0.25">
      <c r="T34388" s="135"/>
      <c r="U34388" s="135"/>
    </row>
    <row r="34389" spans="20:21" ht="15" customHeight="1" x14ac:dyDescent="0.25">
      <c r="T34389" s="135"/>
      <c r="U34389" s="135"/>
    </row>
    <row r="34390" spans="20:21" ht="15" customHeight="1" x14ac:dyDescent="0.25">
      <c r="T34390" s="135"/>
      <c r="U34390" s="135"/>
    </row>
    <row r="34391" spans="20:21" ht="15" customHeight="1" x14ac:dyDescent="0.25">
      <c r="T34391" s="135"/>
      <c r="U34391" s="135"/>
    </row>
    <row r="34392" spans="20:21" ht="15" customHeight="1" x14ac:dyDescent="0.25">
      <c r="T34392" s="135"/>
      <c r="U34392" s="135"/>
    </row>
    <row r="34393" spans="20:21" ht="15" customHeight="1" x14ac:dyDescent="0.25">
      <c r="T34393" s="135"/>
      <c r="U34393" s="135"/>
    </row>
    <row r="34394" spans="20:21" ht="15" customHeight="1" x14ac:dyDescent="0.25">
      <c r="T34394" s="135"/>
      <c r="U34394" s="135"/>
    </row>
    <row r="34395" spans="20:21" ht="15" customHeight="1" x14ac:dyDescent="0.25">
      <c r="T34395" s="135"/>
      <c r="U34395" s="135"/>
    </row>
    <row r="34396" spans="20:21" ht="15" customHeight="1" x14ac:dyDescent="0.25">
      <c r="T34396" s="135"/>
      <c r="U34396" s="135"/>
    </row>
    <row r="34397" spans="20:21" ht="15" customHeight="1" x14ac:dyDescent="0.25">
      <c r="T34397" s="135"/>
      <c r="U34397" s="135"/>
    </row>
    <row r="34398" spans="20:21" ht="15" customHeight="1" x14ac:dyDescent="0.25">
      <c r="T34398" s="135"/>
      <c r="U34398" s="135"/>
    </row>
    <row r="34399" spans="20:21" ht="15" customHeight="1" x14ac:dyDescent="0.25">
      <c r="T34399" s="135"/>
      <c r="U34399" s="135"/>
    </row>
    <row r="34400" spans="20:21" ht="15" customHeight="1" x14ac:dyDescent="0.25">
      <c r="T34400" s="135"/>
      <c r="U34400" s="135"/>
    </row>
    <row r="34401" spans="20:21" ht="15" customHeight="1" x14ac:dyDescent="0.25">
      <c r="T34401" s="135"/>
      <c r="U34401" s="135"/>
    </row>
    <row r="34402" spans="20:21" ht="15" customHeight="1" x14ac:dyDescent="0.25">
      <c r="T34402" s="135"/>
      <c r="U34402" s="135"/>
    </row>
    <row r="34403" spans="20:21" ht="15" customHeight="1" x14ac:dyDescent="0.25">
      <c r="T34403" s="135"/>
      <c r="U34403" s="135"/>
    </row>
    <row r="34404" spans="20:21" ht="15" customHeight="1" x14ac:dyDescent="0.25">
      <c r="T34404" s="135"/>
      <c r="U34404" s="135"/>
    </row>
    <row r="34405" spans="20:21" ht="15" customHeight="1" x14ac:dyDescent="0.25">
      <c r="T34405" s="135"/>
      <c r="U34405" s="135"/>
    </row>
    <row r="34406" spans="20:21" ht="15" customHeight="1" x14ac:dyDescent="0.25">
      <c r="T34406" s="135"/>
      <c r="U34406" s="135"/>
    </row>
    <row r="34407" spans="20:21" ht="15" customHeight="1" x14ac:dyDescent="0.25">
      <c r="T34407" s="135"/>
      <c r="U34407" s="135"/>
    </row>
    <row r="34408" spans="20:21" ht="15" customHeight="1" x14ac:dyDescent="0.25">
      <c r="T34408" s="135"/>
      <c r="U34408" s="135"/>
    </row>
    <row r="34409" spans="20:21" ht="15" customHeight="1" x14ac:dyDescent="0.25">
      <c r="T34409" s="135"/>
      <c r="U34409" s="135"/>
    </row>
    <row r="34410" spans="20:21" ht="15" customHeight="1" x14ac:dyDescent="0.25">
      <c r="T34410" s="135"/>
      <c r="U34410" s="135"/>
    </row>
    <row r="34411" spans="20:21" ht="15" customHeight="1" x14ac:dyDescent="0.25">
      <c r="T34411" s="135"/>
      <c r="U34411" s="135"/>
    </row>
    <row r="34412" spans="20:21" ht="15" customHeight="1" x14ac:dyDescent="0.25">
      <c r="T34412" s="135"/>
      <c r="U34412" s="135"/>
    </row>
    <row r="34413" spans="20:21" ht="15" customHeight="1" x14ac:dyDescent="0.25">
      <c r="T34413" s="135"/>
      <c r="U34413" s="135"/>
    </row>
    <row r="34414" spans="20:21" ht="15" customHeight="1" x14ac:dyDescent="0.25">
      <c r="T34414" s="135"/>
      <c r="U34414" s="135"/>
    </row>
    <row r="34415" spans="20:21" ht="15" customHeight="1" x14ac:dyDescent="0.25">
      <c r="T34415" s="135"/>
      <c r="U34415" s="135"/>
    </row>
    <row r="34416" spans="20:21" ht="15" customHeight="1" x14ac:dyDescent="0.25">
      <c r="T34416" s="135"/>
      <c r="U34416" s="135"/>
    </row>
    <row r="34417" spans="20:21" ht="15" customHeight="1" x14ac:dyDescent="0.25">
      <c r="T34417" s="135"/>
      <c r="U34417" s="135"/>
    </row>
    <row r="34418" spans="20:21" ht="15" customHeight="1" x14ac:dyDescent="0.25">
      <c r="T34418" s="135"/>
      <c r="U34418" s="135"/>
    </row>
    <row r="34419" spans="20:21" ht="15" customHeight="1" x14ac:dyDescent="0.25">
      <c r="T34419" s="135"/>
      <c r="U34419" s="135"/>
    </row>
    <row r="34420" spans="20:21" ht="15" customHeight="1" x14ac:dyDescent="0.25">
      <c r="T34420" s="135"/>
      <c r="U34420" s="135"/>
    </row>
    <row r="34421" spans="20:21" ht="15" customHeight="1" x14ac:dyDescent="0.25">
      <c r="T34421" s="135"/>
      <c r="U34421" s="135"/>
    </row>
    <row r="34422" spans="20:21" ht="15" customHeight="1" x14ac:dyDescent="0.25">
      <c r="T34422" s="135"/>
      <c r="U34422" s="135"/>
    </row>
    <row r="34423" spans="20:21" ht="15" customHeight="1" x14ac:dyDescent="0.25">
      <c r="T34423" s="135"/>
      <c r="U34423" s="135"/>
    </row>
    <row r="34424" spans="20:21" ht="15" customHeight="1" x14ac:dyDescent="0.25">
      <c r="T34424" s="135"/>
      <c r="U34424" s="135"/>
    </row>
    <row r="34425" spans="20:21" ht="15" customHeight="1" x14ac:dyDescent="0.25">
      <c r="T34425" s="135"/>
      <c r="U34425" s="135"/>
    </row>
    <row r="34426" spans="20:21" ht="15" customHeight="1" x14ac:dyDescent="0.25">
      <c r="T34426" s="135"/>
      <c r="U34426" s="135"/>
    </row>
    <row r="34427" spans="20:21" ht="15" customHeight="1" x14ac:dyDescent="0.25">
      <c r="T34427" s="135"/>
      <c r="U34427" s="135"/>
    </row>
    <row r="34428" spans="20:21" ht="15" customHeight="1" x14ac:dyDescent="0.25">
      <c r="T34428" s="135"/>
      <c r="U34428" s="135"/>
    </row>
    <row r="34429" spans="20:21" ht="15" customHeight="1" x14ac:dyDescent="0.25">
      <c r="T34429" s="135"/>
      <c r="U34429" s="135"/>
    </row>
    <row r="34430" spans="20:21" ht="15" customHeight="1" x14ac:dyDescent="0.25">
      <c r="T34430" s="135"/>
      <c r="U34430" s="135"/>
    </row>
    <row r="34431" spans="20:21" ht="15" customHeight="1" x14ac:dyDescent="0.25">
      <c r="T34431" s="135"/>
      <c r="U34431" s="135"/>
    </row>
    <row r="34432" spans="20:21" ht="15" customHeight="1" x14ac:dyDescent="0.25">
      <c r="T34432" s="135"/>
      <c r="U34432" s="135"/>
    </row>
    <row r="34433" spans="20:21" ht="15" customHeight="1" x14ac:dyDescent="0.25">
      <c r="T34433" s="135"/>
      <c r="U34433" s="135"/>
    </row>
    <row r="34434" spans="20:21" ht="15" customHeight="1" x14ac:dyDescent="0.25">
      <c r="T34434" s="135"/>
      <c r="U34434" s="135"/>
    </row>
    <row r="34435" spans="20:21" ht="15" customHeight="1" x14ac:dyDescent="0.25">
      <c r="T34435" s="135"/>
      <c r="U34435" s="135"/>
    </row>
    <row r="34436" spans="20:21" ht="15" customHeight="1" x14ac:dyDescent="0.25">
      <c r="T34436" s="135"/>
      <c r="U34436" s="135"/>
    </row>
    <row r="34437" spans="20:21" ht="15" customHeight="1" x14ac:dyDescent="0.25">
      <c r="T34437" s="135"/>
      <c r="U34437" s="135"/>
    </row>
    <row r="34438" spans="20:21" ht="15" customHeight="1" x14ac:dyDescent="0.25">
      <c r="T34438" s="135"/>
      <c r="U34438" s="135"/>
    </row>
    <row r="34439" spans="20:21" ht="15" customHeight="1" x14ac:dyDescent="0.25">
      <c r="T34439" s="135"/>
      <c r="U34439" s="135"/>
    </row>
    <row r="34440" spans="20:21" ht="15" customHeight="1" x14ac:dyDescent="0.25">
      <c r="T34440" s="135"/>
      <c r="U34440" s="135"/>
    </row>
    <row r="34441" spans="20:21" ht="15" customHeight="1" x14ac:dyDescent="0.25">
      <c r="T34441" s="135"/>
      <c r="U34441" s="135"/>
    </row>
    <row r="34442" spans="20:21" ht="15" customHeight="1" x14ac:dyDescent="0.25">
      <c r="T34442" s="135"/>
      <c r="U34442" s="135"/>
    </row>
    <row r="34443" spans="20:21" ht="15" customHeight="1" x14ac:dyDescent="0.25">
      <c r="T34443" s="135"/>
      <c r="U34443" s="135"/>
    </row>
    <row r="34444" spans="20:21" ht="15" customHeight="1" x14ac:dyDescent="0.25">
      <c r="T34444" s="135"/>
      <c r="U34444" s="135"/>
    </row>
    <row r="34445" spans="20:21" ht="15" customHeight="1" x14ac:dyDescent="0.25">
      <c r="T34445" s="135"/>
      <c r="U34445" s="135"/>
    </row>
    <row r="34446" spans="20:21" ht="15" customHeight="1" x14ac:dyDescent="0.25">
      <c r="T34446" s="135"/>
      <c r="U34446" s="135"/>
    </row>
    <row r="34447" spans="20:21" ht="15" customHeight="1" x14ac:dyDescent="0.25">
      <c r="T34447" s="135"/>
      <c r="U34447" s="135"/>
    </row>
    <row r="34448" spans="20:21" ht="15" customHeight="1" x14ac:dyDescent="0.25">
      <c r="T34448" s="135"/>
      <c r="U34448" s="135"/>
    </row>
    <row r="34449" spans="20:21" ht="15" customHeight="1" x14ac:dyDescent="0.25">
      <c r="T34449" s="135"/>
      <c r="U34449" s="135"/>
    </row>
    <row r="34450" spans="20:21" ht="15" customHeight="1" x14ac:dyDescent="0.25">
      <c r="T34450" s="135"/>
      <c r="U34450" s="135"/>
    </row>
    <row r="34451" spans="20:21" ht="15" customHeight="1" x14ac:dyDescent="0.25">
      <c r="T34451" s="135"/>
      <c r="U34451" s="135"/>
    </row>
    <row r="34452" spans="20:21" ht="15" customHeight="1" x14ac:dyDescent="0.25">
      <c r="T34452" s="135"/>
      <c r="U34452" s="135"/>
    </row>
    <row r="34453" spans="20:21" ht="15" customHeight="1" x14ac:dyDescent="0.25">
      <c r="T34453" s="135"/>
      <c r="U34453" s="135"/>
    </row>
    <row r="34454" spans="20:21" ht="15" customHeight="1" x14ac:dyDescent="0.25">
      <c r="T34454" s="135"/>
      <c r="U34454" s="135"/>
    </row>
    <row r="34455" spans="20:21" ht="15" customHeight="1" x14ac:dyDescent="0.25">
      <c r="T34455" s="135"/>
      <c r="U34455" s="135"/>
    </row>
    <row r="34456" spans="20:21" ht="15" customHeight="1" x14ac:dyDescent="0.25">
      <c r="T34456" s="135"/>
      <c r="U34456" s="135"/>
    </row>
    <row r="34457" spans="20:21" ht="15" customHeight="1" x14ac:dyDescent="0.25">
      <c r="T34457" s="135"/>
      <c r="U34457" s="135"/>
    </row>
    <row r="34458" spans="20:21" ht="15" customHeight="1" x14ac:dyDescent="0.25">
      <c r="T34458" s="135"/>
      <c r="U34458" s="135"/>
    </row>
    <row r="34459" spans="20:21" ht="15" customHeight="1" x14ac:dyDescent="0.25">
      <c r="T34459" s="135"/>
      <c r="U34459" s="135"/>
    </row>
    <row r="34460" spans="20:21" ht="15" customHeight="1" x14ac:dyDescent="0.25">
      <c r="T34460" s="135"/>
      <c r="U34460" s="135"/>
    </row>
    <row r="34461" spans="20:21" ht="15" customHeight="1" x14ac:dyDescent="0.25">
      <c r="T34461" s="135"/>
      <c r="U34461" s="135"/>
    </row>
    <row r="34462" spans="20:21" ht="15" customHeight="1" x14ac:dyDescent="0.25">
      <c r="T34462" s="135"/>
      <c r="U34462" s="135"/>
    </row>
    <row r="34463" spans="20:21" ht="15" customHeight="1" x14ac:dyDescent="0.25">
      <c r="T34463" s="135"/>
      <c r="U34463" s="135"/>
    </row>
    <row r="34464" spans="20:21" ht="15" customHeight="1" x14ac:dyDescent="0.25">
      <c r="T34464" s="135"/>
      <c r="U34464" s="135"/>
    </row>
    <row r="34465" spans="20:21" ht="15" customHeight="1" x14ac:dyDescent="0.25">
      <c r="T34465" s="135"/>
      <c r="U34465" s="135"/>
    </row>
    <row r="34466" spans="20:21" ht="15" customHeight="1" x14ac:dyDescent="0.25">
      <c r="T34466" s="135"/>
      <c r="U34466" s="135"/>
    </row>
    <row r="34467" spans="20:21" ht="15" customHeight="1" x14ac:dyDescent="0.25">
      <c r="T34467" s="135"/>
      <c r="U34467" s="135"/>
    </row>
    <row r="34468" spans="20:21" ht="15" customHeight="1" x14ac:dyDescent="0.25">
      <c r="T34468" s="135"/>
      <c r="U34468" s="135"/>
    </row>
    <row r="34469" spans="20:21" ht="15" customHeight="1" x14ac:dyDescent="0.25">
      <c r="T34469" s="135"/>
      <c r="U34469" s="135"/>
    </row>
    <row r="34470" spans="20:21" ht="15" customHeight="1" x14ac:dyDescent="0.25">
      <c r="T34470" s="135"/>
      <c r="U34470" s="135"/>
    </row>
    <row r="34471" spans="20:21" ht="15" customHeight="1" x14ac:dyDescent="0.25">
      <c r="T34471" s="135"/>
      <c r="U34471" s="135"/>
    </row>
    <row r="34472" spans="20:21" ht="15" customHeight="1" x14ac:dyDescent="0.25">
      <c r="T34472" s="135"/>
      <c r="U34472" s="135"/>
    </row>
    <row r="34473" spans="20:21" ht="15" customHeight="1" x14ac:dyDescent="0.25">
      <c r="T34473" s="135"/>
      <c r="U34473" s="135"/>
    </row>
    <row r="34474" spans="20:21" ht="15" customHeight="1" x14ac:dyDescent="0.25">
      <c r="T34474" s="135"/>
      <c r="U34474" s="135"/>
    </row>
    <row r="34475" spans="20:21" ht="15" customHeight="1" x14ac:dyDescent="0.25">
      <c r="T34475" s="135"/>
      <c r="U34475" s="135"/>
    </row>
    <row r="34476" spans="20:21" ht="15" customHeight="1" x14ac:dyDescent="0.25">
      <c r="T34476" s="135"/>
      <c r="U34476" s="135"/>
    </row>
    <row r="34477" spans="20:21" ht="15" customHeight="1" x14ac:dyDescent="0.25">
      <c r="T34477" s="135"/>
      <c r="U34477" s="135"/>
    </row>
    <row r="34478" spans="20:21" ht="15" customHeight="1" x14ac:dyDescent="0.25">
      <c r="T34478" s="135"/>
      <c r="U34478" s="135"/>
    </row>
    <row r="34479" spans="20:21" ht="15" customHeight="1" x14ac:dyDescent="0.25">
      <c r="T34479" s="135"/>
      <c r="U34479" s="135"/>
    </row>
    <row r="34480" spans="20:21" ht="15" customHeight="1" x14ac:dyDescent="0.25">
      <c r="T34480" s="135"/>
      <c r="U34480" s="135"/>
    </row>
    <row r="34481" spans="20:21" ht="15" customHeight="1" x14ac:dyDescent="0.25">
      <c r="T34481" s="135"/>
      <c r="U34481" s="135"/>
    </row>
    <row r="34482" spans="20:21" ht="15" customHeight="1" x14ac:dyDescent="0.25">
      <c r="T34482" s="135"/>
      <c r="U34482" s="135"/>
    </row>
    <row r="34483" spans="20:21" ht="15" customHeight="1" x14ac:dyDescent="0.25">
      <c r="T34483" s="135"/>
      <c r="U34483" s="135"/>
    </row>
    <row r="34484" spans="20:21" ht="15" customHeight="1" x14ac:dyDescent="0.25">
      <c r="T34484" s="135"/>
      <c r="U34484" s="135"/>
    </row>
    <row r="34485" spans="20:21" ht="15" customHeight="1" x14ac:dyDescent="0.25">
      <c r="T34485" s="135"/>
      <c r="U34485" s="135"/>
    </row>
    <row r="34486" spans="20:21" ht="15" customHeight="1" x14ac:dyDescent="0.25">
      <c r="T34486" s="135"/>
      <c r="U34486" s="135"/>
    </row>
    <row r="34487" spans="20:21" ht="15" customHeight="1" x14ac:dyDescent="0.25">
      <c r="T34487" s="135"/>
      <c r="U34487" s="135"/>
    </row>
    <row r="34488" spans="20:21" ht="15" customHeight="1" x14ac:dyDescent="0.25">
      <c r="T34488" s="135"/>
      <c r="U34488" s="135"/>
    </row>
    <row r="34489" spans="20:21" ht="15" customHeight="1" x14ac:dyDescent="0.25">
      <c r="T34489" s="135"/>
      <c r="U34489" s="135"/>
    </row>
    <row r="34490" spans="20:21" ht="15" customHeight="1" x14ac:dyDescent="0.25">
      <c r="T34490" s="135"/>
      <c r="U34490" s="135"/>
    </row>
    <row r="34491" spans="20:21" ht="15" customHeight="1" x14ac:dyDescent="0.25">
      <c r="T34491" s="135"/>
      <c r="U34491" s="135"/>
    </row>
    <row r="34492" spans="20:21" ht="15" customHeight="1" x14ac:dyDescent="0.25">
      <c r="T34492" s="135"/>
      <c r="U34492" s="135"/>
    </row>
    <row r="34493" spans="20:21" ht="15" customHeight="1" x14ac:dyDescent="0.25">
      <c r="T34493" s="135"/>
      <c r="U34493" s="135"/>
    </row>
    <row r="34494" spans="20:21" ht="15" customHeight="1" x14ac:dyDescent="0.25">
      <c r="T34494" s="135"/>
      <c r="U34494" s="135"/>
    </row>
    <row r="34495" spans="20:21" ht="15" customHeight="1" x14ac:dyDescent="0.25">
      <c r="T34495" s="135"/>
      <c r="U34495" s="135"/>
    </row>
    <row r="34496" spans="20:21" ht="15" customHeight="1" x14ac:dyDescent="0.25">
      <c r="T34496" s="135"/>
      <c r="U34496" s="135"/>
    </row>
    <row r="34497" spans="20:21" ht="15" customHeight="1" x14ac:dyDescent="0.25">
      <c r="T34497" s="135"/>
      <c r="U34497" s="135"/>
    </row>
    <row r="34498" spans="20:21" ht="15" customHeight="1" x14ac:dyDescent="0.25">
      <c r="T34498" s="135"/>
      <c r="U34498" s="135"/>
    </row>
    <row r="34499" spans="20:21" ht="15" customHeight="1" x14ac:dyDescent="0.25">
      <c r="T34499" s="135"/>
      <c r="U34499" s="135"/>
    </row>
    <row r="34500" spans="20:21" ht="15" customHeight="1" x14ac:dyDescent="0.25">
      <c r="T34500" s="135"/>
      <c r="U34500" s="135"/>
    </row>
    <row r="34501" spans="20:21" ht="15" customHeight="1" x14ac:dyDescent="0.25">
      <c r="T34501" s="135"/>
      <c r="U34501" s="135"/>
    </row>
    <row r="34502" spans="20:21" ht="15" customHeight="1" x14ac:dyDescent="0.25">
      <c r="T34502" s="135"/>
      <c r="U34502" s="135"/>
    </row>
    <row r="34503" spans="20:21" ht="15" customHeight="1" x14ac:dyDescent="0.25">
      <c r="T34503" s="135"/>
      <c r="U34503" s="135"/>
    </row>
    <row r="34504" spans="20:21" ht="15" customHeight="1" x14ac:dyDescent="0.25">
      <c r="T34504" s="135"/>
      <c r="U34504" s="135"/>
    </row>
    <row r="34505" spans="20:21" ht="15" customHeight="1" x14ac:dyDescent="0.25">
      <c r="T34505" s="135"/>
      <c r="U34505" s="135"/>
    </row>
    <row r="34506" spans="20:21" ht="15" customHeight="1" x14ac:dyDescent="0.25">
      <c r="T34506" s="135"/>
      <c r="U34506" s="135"/>
    </row>
    <row r="34507" spans="20:21" ht="15" customHeight="1" x14ac:dyDescent="0.25">
      <c r="T34507" s="135"/>
      <c r="U34507" s="135"/>
    </row>
    <row r="34508" spans="20:21" ht="15" customHeight="1" x14ac:dyDescent="0.25">
      <c r="T34508" s="135"/>
      <c r="U34508" s="135"/>
    </row>
    <row r="34509" spans="20:21" ht="15" customHeight="1" x14ac:dyDescent="0.25">
      <c r="T34509" s="135"/>
      <c r="U34509" s="135"/>
    </row>
    <row r="34510" spans="20:21" ht="15" customHeight="1" x14ac:dyDescent="0.25">
      <c r="T34510" s="135"/>
      <c r="U34510" s="135"/>
    </row>
    <row r="34511" spans="20:21" ht="15" customHeight="1" x14ac:dyDescent="0.25">
      <c r="T34511" s="135"/>
      <c r="U34511" s="135"/>
    </row>
    <row r="34512" spans="20:21" ht="15" customHeight="1" x14ac:dyDescent="0.25">
      <c r="T34512" s="135"/>
      <c r="U34512" s="135"/>
    </row>
    <row r="34513" spans="20:21" ht="15" customHeight="1" x14ac:dyDescent="0.25">
      <c r="T34513" s="135"/>
      <c r="U34513" s="135"/>
    </row>
    <row r="34514" spans="20:21" ht="15" customHeight="1" x14ac:dyDescent="0.25">
      <c r="T34514" s="135"/>
      <c r="U34514" s="135"/>
    </row>
    <row r="34515" spans="20:21" ht="15" customHeight="1" x14ac:dyDescent="0.25">
      <c r="T34515" s="135"/>
      <c r="U34515" s="135"/>
    </row>
    <row r="34516" spans="20:21" ht="15" customHeight="1" x14ac:dyDescent="0.25">
      <c r="T34516" s="135"/>
      <c r="U34516" s="135"/>
    </row>
    <row r="34517" spans="20:21" ht="15" customHeight="1" x14ac:dyDescent="0.25">
      <c r="T34517" s="135"/>
      <c r="U34517" s="135"/>
    </row>
    <row r="34518" spans="20:21" ht="15" customHeight="1" x14ac:dyDescent="0.25">
      <c r="T34518" s="135"/>
      <c r="U34518" s="135"/>
    </row>
    <row r="34519" spans="20:21" ht="15" customHeight="1" x14ac:dyDescent="0.25">
      <c r="T34519" s="135"/>
      <c r="U34519" s="135"/>
    </row>
    <row r="34520" spans="20:21" ht="15" customHeight="1" x14ac:dyDescent="0.25">
      <c r="T34520" s="135"/>
      <c r="U34520" s="135"/>
    </row>
    <row r="34521" spans="20:21" ht="15" customHeight="1" x14ac:dyDescent="0.25">
      <c r="T34521" s="135"/>
      <c r="U34521" s="135"/>
    </row>
    <row r="34522" spans="20:21" ht="15" customHeight="1" x14ac:dyDescent="0.25">
      <c r="T34522" s="135"/>
      <c r="U34522" s="135"/>
    </row>
    <row r="34523" spans="20:21" ht="15" customHeight="1" x14ac:dyDescent="0.25">
      <c r="T34523" s="135"/>
      <c r="U34523" s="135"/>
    </row>
    <row r="34524" spans="20:21" ht="15" customHeight="1" x14ac:dyDescent="0.25">
      <c r="T34524" s="135"/>
      <c r="U34524" s="135"/>
    </row>
    <row r="34525" spans="20:21" ht="15" customHeight="1" x14ac:dyDescent="0.25">
      <c r="T34525" s="135"/>
      <c r="U34525" s="135"/>
    </row>
    <row r="34526" spans="20:21" ht="15" customHeight="1" x14ac:dyDescent="0.25">
      <c r="T34526" s="135"/>
      <c r="U34526" s="135"/>
    </row>
    <row r="34527" spans="20:21" ht="15" customHeight="1" x14ac:dyDescent="0.25">
      <c r="T34527" s="135"/>
      <c r="U34527" s="135"/>
    </row>
    <row r="34528" spans="20:21" ht="15" customHeight="1" x14ac:dyDescent="0.25">
      <c r="T34528" s="135"/>
      <c r="U34528" s="135"/>
    </row>
    <row r="34529" spans="20:21" ht="15" customHeight="1" x14ac:dyDescent="0.25">
      <c r="T34529" s="135"/>
      <c r="U34529" s="135"/>
    </row>
    <row r="34530" spans="20:21" ht="15" customHeight="1" x14ac:dyDescent="0.25">
      <c r="T34530" s="135"/>
      <c r="U34530" s="135"/>
    </row>
    <row r="34531" spans="20:21" ht="15" customHeight="1" x14ac:dyDescent="0.25">
      <c r="T34531" s="135"/>
      <c r="U34531" s="135"/>
    </row>
    <row r="34532" spans="20:21" ht="15" customHeight="1" x14ac:dyDescent="0.25">
      <c r="T34532" s="135"/>
      <c r="U34532" s="135"/>
    </row>
    <row r="34533" spans="20:21" ht="15" customHeight="1" x14ac:dyDescent="0.25">
      <c r="T34533" s="135"/>
      <c r="U34533" s="135"/>
    </row>
    <row r="34534" spans="20:21" ht="15" customHeight="1" x14ac:dyDescent="0.25">
      <c r="T34534" s="135"/>
      <c r="U34534" s="135"/>
    </row>
    <row r="34535" spans="20:21" ht="15" customHeight="1" x14ac:dyDescent="0.25">
      <c r="T34535" s="135"/>
      <c r="U34535" s="135"/>
    </row>
    <row r="34536" spans="20:21" ht="15" customHeight="1" x14ac:dyDescent="0.25">
      <c r="T34536" s="135"/>
      <c r="U34536" s="135"/>
    </row>
    <row r="34537" spans="20:21" ht="15" customHeight="1" x14ac:dyDescent="0.25">
      <c r="T34537" s="135"/>
      <c r="U34537" s="135"/>
    </row>
    <row r="34538" spans="20:21" ht="15" customHeight="1" x14ac:dyDescent="0.25">
      <c r="T34538" s="135"/>
      <c r="U34538" s="135"/>
    </row>
    <row r="34539" spans="20:21" ht="15" customHeight="1" x14ac:dyDescent="0.25">
      <c r="T34539" s="135"/>
      <c r="U34539" s="135"/>
    </row>
    <row r="34540" spans="20:21" ht="15" customHeight="1" x14ac:dyDescent="0.25">
      <c r="T34540" s="135"/>
      <c r="U34540" s="135"/>
    </row>
    <row r="34541" spans="20:21" ht="15" customHeight="1" x14ac:dyDescent="0.25">
      <c r="T34541" s="135"/>
      <c r="U34541" s="135"/>
    </row>
    <row r="34542" spans="20:21" ht="15" customHeight="1" x14ac:dyDescent="0.25">
      <c r="T34542" s="135"/>
      <c r="U34542" s="135"/>
    </row>
    <row r="34543" spans="20:21" ht="15" customHeight="1" x14ac:dyDescent="0.25">
      <c r="T34543" s="135"/>
      <c r="U34543" s="135"/>
    </row>
    <row r="34544" spans="20:21" ht="15" customHeight="1" x14ac:dyDescent="0.25">
      <c r="T34544" s="135"/>
      <c r="U34544" s="135"/>
    </row>
    <row r="34545" spans="20:21" ht="15" customHeight="1" x14ac:dyDescent="0.25">
      <c r="T34545" s="135"/>
      <c r="U34545" s="135"/>
    </row>
    <row r="34546" spans="20:21" ht="15" customHeight="1" x14ac:dyDescent="0.25">
      <c r="T34546" s="135"/>
      <c r="U34546" s="135"/>
    </row>
    <row r="34547" spans="20:21" ht="15" customHeight="1" x14ac:dyDescent="0.25">
      <c r="T34547" s="135"/>
      <c r="U34547" s="135"/>
    </row>
    <row r="34548" spans="20:21" ht="15" customHeight="1" x14ac:dyDescent="0.25">
      <c r="T34548" s="135"/>
      <c r="U34548" s="135"/>
    </row>
    <row r="34549" spans="20:21" ht="15" customHeight="1" x14ac:dyDescent="0.25">
      <c r="T34549" s="135"/>
      <c r="U34549" s="135"/>
    </row>
    <row r="34550" spans="20:21" ht="15" customHeight="1" x14ac:dyDescent="0.25">
      <c r="T34550" s="135"/>
      <c r="U34550" s="135"/>
    </row>
    <row r="34551" spans="20:21" ht="15" customHeight="1" x14ac:dyDescent="0.25">
      <c r="T34551" s="135"/>
      <c r="U34551" s="135"/>
    </row>
    <row r="34552" spans="20:21" ht="15" customHeight="1" x14ac:dyDescent="0.25">
      <c r="T34552" s="135"/>
      <c r="U34552" s="135"/>
    </row>
    <row r="34553" spans="20:21" ht="15" customHeight="1" x14ac:dyDescent="0.25">
      <c r="T34553" s="135"/>
      <c r="U34553" s="135"/>
    </row>
    <row r="34554" spans="20:21" ht="15" customHeight="1" x14ac:dyDescent="0.25">
      <c r="T34554" s="135"/>
      <c r="U34554" s="135"/>
    </row>
    <row r="34555" spans="20:21" ht="15" customHeight="1" x14ac:dyDescent="0.25">
      <c r="T34555" s="135"/>
      <c r="U34555" s="135"/>
    </row>
    <row r="34556" spans="20:21" ht="15" customHeight="1" x14ac:dyDescent="0.25">
      <c r="T34556" s="135"/>
      <c r="U34556" s="135"/>
    </row>
    <row r="34557" spans="20:21" ht="15" customHeight="1" x14ac:dyDescent="0.25">
      <c r="T34557" s="135"/>
      <c r="U34557" s="135"/>
    </row>
    <row r="34558" spans="20:21" ht="15" customHeight="1" x14ac:dyDescent="0.25">
      <c r="T34558" s="135"/>
      <c r="U34558" s="135"/>
    </row>
    <row r="34559" spans="20:21" ht="15" customHeight="1" x14ac:dyDescent="0.25">
      <c r="T34559" s="135"/>
      <c r="U34559" s="135"/>
    </row>
    <row r="34560" spans="20:21" ht="15" customHeight="1" x14ac:dyDescent="0.25">
      <c r="T34560" s="135"/>
      <c r="U34560" s="135"/>
    </row>
    <row r="34561" spans="20:21" ht="15" customHeight="1" x14ac:dyDescent="0.25">
      <c r="T34561" s="135"/>
      <c r="U34561" s="135"/>
    </row>
    <row r="34562" spans="20:21" ht="15" customHeight="1" x14ac:dyDescent="0.25">
      <c r="T34562" s="135"/>
      <c r="U34562" s="135"/>
    </row>
    <row r="34563" spans="20:21" ht="15" customHeight="1" x14ac:dyDescent="0.25">
      <c r="T34563" s="135"/>
      <c r="U34563" s="135"/>
    </row>
    <row r="34564" spans="20:21" ht="15" customHeight="1" x14ac:dyDescent="0.25">
      <c r="T34564" s="135"/>
      <c r="U34564" s="135"/>
    </row>
    <row r="34565" spans="20:21" ht="15" customHeight="1" x14ac:dyDescent="0.25">
      <c r="T34565" s="135"/>
      <c r="U34565" s="135"/>
    </row>
    <row r="34566" spans="20:21" ht="15" customHeight="1" x14ac:dyDescent="0.25">
      <c r="T34566" s="135"/>
      <c r="U34566" s="135"/>
    </row>
    <row r="34567" spans="20:21" ht="15" customHeight="1" x14ac:dyDescent="0.25">
      <c r="T34567" s="135"/>
      <c r="U34567" s="135"/>
    </row>
    <row r="34568" spans="20:21" ht="15" customHeight="1" x14ac:dyDescent="0.25">
      <c r="T34568" s="135"/>
      <c r="U34568" s="135"/>
    </row>
    <row r="34569" spans="20:21" ht="15" customHeight="1" x14ac:dyDescent="0.25">
      <c r="T34569" s="135"/>
      <c r="U34569" s="135"/>
    </row>
    <row r="34570" spans="20:21" ht="15" customHeight="1" x14ac:dyDescent="0.25">
      <c r="T34570" s="135"/>
      <c r="U34570" s="135"/>
    </row>
    <row r="34571" spans="20:21" ht="15" customHeight="1" x14ac:dyDescent="0.25">
      <c r="T34571" s="135"/>
      <c r="U34571" s="135"/>
    </row>
    <row r="34572" spans="20:21" ht="15" customHeight="1" x14ac:dyDescent="0.25">
      <c r="T34572" s="135"/>
      <c r="U34572" s="135"/>
    </row>
    <row r="34573" spans="20:21" ht="15" customHeight="1" x14ac:dyDescent="0.25">
      <c r="T34573" s="135"/>
      <c r="U34573" s="135"/>
    </row>
    <row r="34574" spans="20:21" ht="15" customHeight="1" x14ac:dyDescent="0.25">
      <c r="T34574" s="135"/>
      <c r="U34574" s="135"/>
    </row>
    <row r="34575" spans="20:21" ht="15" customHeight="1" x14ac:dyDescent="0.25">
      <c r="T34575" s="135"/>
      <c r="U34575" s="135"/>
    </row>
    <row r="34576" spans="20:21" ht="15" customHeight="1" x14ac:dyDescent="0.25">
      <c r="T34576" s="135"/>
      <c r="U34576" s="135"/>
    </row>
    <row r="34577" spans="20:21" ht="15" customHeight="1" x14ac:dyDescent="0.25">
      <c r="T34577" s="135"/>
      <c r="U34577" s="135"/>
    </row>
    <row r="34578" spans="20:21" ht="15" customHeight="1" x14ac:dyDescent="0.25">
      <c r="T34578" s="135"/>
      <c r="U34578" s="135"/>
    </row>
    <row r="34579" spans="20:21" ht="15" customHeight="1" x14ac:dyDescent="0.25">
      <c r="T34579" s="135"/>
      <c r="U34579" s="135"/>
    </row>
    <row r="34580" spans="20:21" ht="15" customHeight="1" x14ac:dyDescent="0.25">
      <c r="T34580" s="135"/>
      <c r="U34580" s="135"/>
    </row>
    <row r="34581" spans="20:21" ht="15" customHeight="1" x14ac:dyDescent="0.25">
      <c r="T34581" s="135"/>
      <c r="U34581" s="135"/>
    </row>
    <row r="34582" spans="20:21" ht="15" customHeight="1" x14ac:dyDescent="0.25">
      <c r="T34582" s="135"/>
      <c r="U34582" s="135"/>
    </row>
    <row r="34583" spans="20:21" ht="15" customHeight="1" x14ac:dyDescent="0.25">
      <c r="T34583" s="135"/>
      <c r="U34583" s="135"/>
    </row>
    <row r="34584" spans="20:21" ht="15" customHeight="1" x14ac:dyDescent="0.25">
      <c r="T34584" s="135"/>
      <c r="U34584" s="135"/>
    </row>
    <row r="34585" spans="20:21" ht="15" customHeight="1" x14ac:dyDescent="0.25">
      <c r="T34585" s="135"/>
      <c r="U34585" s="135"/>
    </row>
    <row r="34586" spans="20:21" ht="15" customHeight="1" x14ac:dyDescent="0.25">
      <c r="T34586" s="135"/>
      <c r="U34586" s="135"/>
    </row>
    <row r="34587" spans="20:21" ht="15" customHeight="1" x14ac:dyDescent="0.25">
      <c r="T34587" s="135"/>
      <c r="U34587" s="135"/>
    </row>
    <row r="34588" spans="20:21" ht="15" customHeight="1" x14ac:dyDescent="0.25">
      <c r="T34588" s="135"/>
      <c r="U34588" s="135"/>
    </row>
    <row r="34589" spans="20:21" ht="15" customHeight="1" x14ac:dyDescent="0.25">
      <c r="T34589" s="135"/>
      <c r="U34589" s="135"/>
    </row>
    <row r="34590" spans="20:21" ht="15" customHeight="1" x14ac:dyDescent="0.25">
      <c r="T34590" s="135"/>
      <c r="U34590" s="135"/>
    </row>
    <row r="34591" spans="20:21" ht="15" customHeight="1" x14ac:dyDescent="0.25">
      <c r="T34591" s="135"/>
      <c r="U34591" s="135"/>
    </row>
    <row r="34592" spans="20:21" ht="15" customHeight="1" x14ac:dyDescent="0.25">
      <c r="T34592" s="135"/>
      <c r="U34592" s="135"/>
    </row>
    <row r="34593" spans="20:21" ht="15" customHeight="1" x14ac:dyDescent="0.25">
      <c r="T34593" s="135"/>
      <c r="U34593" s="135"/>
    </row>
    <row r="34594" spans="20:21" ht="15" customHeight="1" x14ac:dyDescent="0.25">
      <c r="T34594" s="135"/>
      <c r="U34594" s="135"/>
    </row>
    <row r="34595" spans="20:21" ht="15" customHeight="1" x14ac:dyDescent="0.25">
      <c r="T34595" s="135"/>
      <c r="U34595" s="135"/>
    </row>
    <row r="34596" spans="20:21" ht="15" customHeight="1" x14ac:dyDescent="0.25">
      <c r="T34596" s="135"/>
      <c r="U34596" s="135"/>
    </row>
    <row r="34597" spans="20:21" ht="15" customHeight="1" x14ac:dyDescent="0.25">
      <c r="T34597" s="135"/>
      <c r="U34597" s="135"/>
    </row>
    <row r="34598" spans="20:21" ht="15" customHeight="1" x14ac:dyDescent="0.25">
      <c r="T34598" s="135"/>
      <c r="U34598" s="135"/>
    </row>
    <row r="34599" spans="20:21" ht="15" customHeight="1" x14ac:dyDescent="0.25">
      <c r="T34599" s="135"/>
      <c r="U34599" s="135"/>
    </row>
    <row r="34600" spans="20:21" ht="15" customHeight="1" x14ac:dyDescent="0.25">
      <c r="T34600" s="135"/>
      <c r="U34600" s="135"/>
    </row>
    <row r="34601" spans="20:21" ht="15" customHeight="1" x14ac:dyDescent="0.25">
      <c r="T34601" s="135"/>
      <c r="U34601" s="135"/>
    </row>
    <row r="34602" spans="20:21" ht="15" customHeight="1" x14ac:dyDescent="0.25">
      <c r="T34602" s="135"/>
      <c r="U34602" s="135"/>
    </row>
    <row r="34603" spans="20:21" ht="15" customHeight="1" x14ac:dyDescent="0.25">
      <c r="T34603" s="135"/>
      <c r="U34603" s="135"/>
    </row>
    <row r="34604" spans="20:21" ht="15" customHeight="1" x14ac:dyDescent="0.25">
      <c r="T34604" s="135"/>
      <c r="U34604" s="135"/>
    </row>
    <row r="34605" spans="20:21" ht="15" customHeight="1" x14ac:dyDescent="0.25">
      <c r="T34605" s="135"/>
      <c r="U34605" s="135"/>
    </row>
    <row r="34606" spans="20:21" ht="15" customHeight="1" x14ac:dyDescent="0.25">
      <c r="T34606" s="135"/>
      <c r="U34606" s="135"/>
    </row>
    <row r="34607" spans="20:21" ht="15" customHeight="1" x14ac:dyDescent="0.25">
      <c r="T34607" s="135"/>
      <c r="U34607" s="135"/>
    </row>
    <row r="34608" spans="20:21" ht="15" customHeight="1" x14ac:dyDescent="0.25">
      <c r="T34608" s="135"/>
      <c r="U34608" s="135"/>
    </row>
    <row r="34609" spans="20:21" ht="15" customHeight="1" x14ac:dyDescent="0.25">
      <c r="T34609" s="135"/>
      <c r="U34609" s="135"/>
    </row>
    <row r="34610" spans="20:21" ht="15" customHeight="1" x14ac:dyDescent="0.25">
      <c r="T34610" s="135"/>
      <c r="U34610" s="135"/>
    </row>
    <row r="34611" spans="20:21" ht="15" customHeight="1" x14ac:dyDescent="0.25">
      <c r="T34611" s="135"/>
      <c r="U34611" s="135"/>
    </row>
    <row r="34612" spans="20:21" ht="15" customHeight="1" x14ac:dyDescent="0.25">
      <c r="T34612" s="135"/>
      <c r="U34612" s="135"/>
    </row>
    <row r="34613" spans="20:21" ht="15" customHeight="1" x14ac:dyDescent="0.25">
      <c r="T34613" s="135"/>
      <c r="U34613" s="135"/>
    </row>
    <row r="34614" spans="20:21" ht="15" customHeight="1" x14ac:dyDescent="0.25">
      <c r="T34614" s="135"/>
      <c r="U34614" s="135"/>
    </row>
    <row r="34615" spans="20:21" ht="15" customHeight="1" x14ac:dyDescent="0.25">
      <c r="T34615" s="135"/>
      <c r="U34615" s="135"/>
    </row>
    <row r="34616" spans="20:21" ht="15" customHeight="1" x14ac:dyDescent="0.25">
      <c r="T34616" s="135"/>
      <c r="U34616" s="135"/>
    </row>
    <row r="34617" spans="20:21" ht="15" customHeight="1" x14ac:dyDescent="0.25">
      <c r="T34617" s="135"/>
      <c r="U34617" s="135"/>
    </row>
    <row r="34618" spans="20:21" ht="15" customHeight="1" x14ac:dyDescent="0.25">
      <c r="T34618" s="135"/>
      <c r="U34618" s="135"/>
    </row>
    <row r="34619" spans="20:21" ht="15" customHeight="1" x14ac:dyDescent="0.25">
      <c r="T34619" s="135"/>
      <c r="U34619" s="135"/>
    </row>
    <row r="34620" spans="20:21" ht="15" customHeight="1" x14ac:dyDescent="0.25">
      <c r="T34620" s="135"/>
      <c r="U34620" s="135"/>
    </row>
    <row r="34621" spans="20:21" ht="15" customHeight="1" x14ac:dyDescent="0.25">
      <c r="T34621" s="135"/>
      <c r="U34621" s="135"/>
    </row>
    <row r="34622" spans="20:21" ht="15" customHeight="1" x14ac:dyDescent="0.25">
      <c r="T34622" s="135"/>
      <c r="U34622" s="135"/>
    </row>
    <row r="34623" spans="20:21" ht="15" customHeight="1" x14ac:dyDescent="0.25">
      <c r="T34623" s="135"/>
      <c r="U34623" s="135"/>
    </row>
    <row r="34624" spans="20:21" ht="15" customHeight="1" x14ac:dyDescent="0.25">
      <c r="T34624" s="135"/>
      <c r="U34624" s="135"/>
    </row>
    <row r="34625" spans="20:21" ht="15" customHeight="1" x14ac:dyDescent="0.25">
      <c r="T34625" s="135"/>
      <c r="U34625" s="135"/>
    </row>
    <row r="34626" spans="20:21" ht="15" customHeight="1" x14ac:dyDescent="0.25">
      <c r="T34626" s="135"/>
      <c r="U34626" s="135"/>
    </row>
    <row r="34627" spans="20:21" ht="15" customHeight="1" x14ac:dyDescent="0.25">
      <c r="T34627" s="135"/>
      <c r="U34627" s="135"/>
    </row>
    <row r="34628" spans="20:21" ht="15" customHeight="1" x14ac:dyDescent="0.25">
      <c r="T34628" s="135"/>
      <c r="U34628" s="135"/>
    </row>
    <row r="34629" spans="20:21" ht="15" customHeight="1" x14ac:dyDescent="0.25">
      <c r="T34629" s="135"/>
      <c r="U34629" s="135"/>
    </row>
    <row r="34630" spans="20:21" ht="15" customHeight="1" x14ac:dyDescent="0.25">
      <c r="T34630" s="135"/>
      <c r="U34630" s="135"/>
    </row>
    <row r="34631" spans="20:21" ht="15" customHeight="1" x14ac:dyDescent="0.25">
      <c r="T34631" s="135"/>
      <c r="U34631" s="135"/>
    </row>
    <row r="34632" spans="20:21" ht="15" customHeight="1" x14ac:dyDescent="0.25">
      <c r="T34632" s="135"/>
      <c r="U34632" s="135"/>
    </row>
    <row r="34633" spans="20:21" ht="15" customHeight="1" x14ac:dyDescent="0.25">
      <c r="T34633" s="135"/>
      <c r="U34633" s="135"/>
    </row>
    <row r="34634" spans="20:21" ht="15" customHeight="1" x14ac:dyDescent="0.25">
      <c r="T34634" s="135"/>
      <c r="U34634" s="135"/>
    </row>
    <row r="34635" spans="20:21" ht="15" customHeight="1" x14ac:dyDescent="0.25">
      <c r="T34635" s="135"/>
      <c r="U34635" s="135"/>
    </row>
    <row r="34636" spans="20:21" ht="15" customHeight="1" x14ac:dyDescent="0.25">
      <c r="T34636" s="135"/>
      <c r="U34636" s="135"/>
    </row>
    <row r="34637" spans="20:21" ht="15" customHeight="1" x14ac:dyDescent="0.25">
      <c r="T34637" s="135"/>
      <c r="U34637" s="135"/>
    </row>
    <row r="34638" spans="20:21" ht="15" customHeight="1" x14ac:dyDescent="0.25">
      <c r="T34638" s="135"/>
      <c r="U34638" s="135"/>
    </row>
    <row r="34639" spans="20:21" ht="15" customHeight="1" x14ac:dyDescent="0.25">
      <c r="T34639" s="135"/>
      <c r="U34639" s="135"/>
    </row>
    <row r="34640" spans="20:21" ht="15" customHeight="1" x14ac:dyDescent="0.25">
      <c r="T34640" s="135"/>
      <c r="U34640" s="135"/>
    </row>
    <row r="34641" spans="20:21" ht="15" customHeight="1" x14ac:dyDescent="0.25">
      <c r="T34641" s="135"/>
      <c r="U34641" s="135"/>
    </row>
    <row r="34642" spans="20:21" ht="15" customHeight="1" x14ac:dyDescent="0.25">
      <c r="T34642" s="135"/>
      <c r="U34642" s="135"/>
    </row>
    <row r="34643" spans="20:21" ht="15" customHeight="1" x14ac:dyDescent="0.25">
      <c r="T34643" s="135"/>
      <c r="U34643" s="135"/>
    </row>
    <row r="34644" spans="20:21" ht="15" customHeight="1" x14ac:dyDescent="0.25">
      <c r="T34644" s="135"/>
      <c r="U34644" s="135"/>
    </row>
    <row r="34645" spans="20:21" ht="15" customHeight="1" x14ac:dyDescent="0.25">
      <c r="T34645" s="135"/>
      <c r="U34645" s="135"/>
    </row>
    <row r="34646" spans="20:21" ht="15" customHeight="1" x14ac:dyDescent="0.25">
      <c r="T34646" s="135"/>
      <c r="U34646" s="135"/>
    </row>
    <row r="34647" spans="20:21" ht="15" customHeight="1" x14ac:dyDescent="0.25">
      <c r="T34647" s="135"/>
      <c r="U34647" s="135"/>
    </row>
    <row r="34648" spans="20:21" ht="15" customHeight="1" x14ac:dyDescent="0.25">
      <c r="T34648" s="135"/>
      <c r="U34648" s="135"/>
    </row>
    <row r="34649" spans="20:21" ht="15" customHeight="1" x14ac:dyDescent="0.25">
      <c r="T34649" s="135"/>
      <c r="U34649" s="135"/>
    </row>
    <row r="34650" spans="20:21" ht="15" customHeight="1" x14ac:dyDescent="0.25">
      <c r="T34650" s="135"/>
      <c r="U34650" s="135"/>
    </row>
    <row r="34651" spans="20:21" ht="15" customHeight="1" x14ac:dyDescent="0.25">
      <c r="T34651" s="135"/>
      <c r="U34651" s="135"/>
    </row>
    <row r="34652" spans="20:21" ht="15" customHeight="1" x14ac:dyDescent="0.25">
      <c r="T34652" s="135"/>
      <c r="U34652" s="135"/>
    </row>
    <row r="34653" spans="20:21" ht="15" customHeight="1" x14ac:dyDescent="0.25">
      <c r="T34653" s="135"/>
      <c r="U34653" s="135"/>
    </row>
    <row r="34654" spans="20:21" ht="15" customHeight="1" x14ac:dyDescent="0.25">
      <c r="T34654" s="135"/>
      <c r="U34654" s="135"/>
    </row>
    <row r="34655" spans="20:21" ht="15" customHeight="1" x14ac:dyDescent="0.25">
      <c r="T34655" s="135"/>
      <c r="U34655" s="135"/>
    </row>
    <row r="34656" spans="20:21" ht="15" customHeight="1" x14ac:dyDescent="0.25">
      <c r="T34656" s="135"/>
      <c r="U34656" s="135"/>
    </row>
    <row r="34657" spans="20:21" ht="15" customHeight="1" x14ac:dyDescent="0.25">
      <c r="T34657" s="135"/>
      <c r="U34657" s="135"/>
    </row>
    <row r="34658" spans="20:21" ht="15" customHeight="1" x14ac:dyDescent="0.25">
      <c r="T34658" s="135"/>
      <c r="U34658" s="135"/>
    </row>
    <row r="34659" spans="20:21" ht="15" customHeight="1" x14ac:dyDescent="0.25">
      <c r="T34659" s="135"/>
      <c r="U34659" s="135"/>
    </row>
    <row r="34660" spans="20:21" ht="15" customHeight="1" x14ac:dyDescent="0.25">
      <c r="T34660" s="135"/>
      <c r="U34660" s="135"/>
    </row>
    <row r="34661" spans="20:21" ht="15" customHeight="1" x14ac:dyDescent="0.25">
      <c r="T34661" s="135"/>
      <c r="U34661" s="135"/>
    </row>
    <row r="34662" spans="20:21" ht="15" customHeight="1" x14ac:dyDescent="0.25">
      <c r="T34662" s="135"/>
      <c r="U34662" s="135"/>
    </row>
    <row r="34663" spans="20:21" ht="15" customHeight="1" x14ac:dyDescent="0.25">
      <c r="T34663" s="135"/>
      <c r="U34663" s="135"/>
    </row>
    <row r="34664" spans="20:21" ht="15" customHeight="1" x14ac:dyDescent="0.25">
      <c r="T34664" s="135"/>
      <c r="U34664" s="135"/>
    </row>
    <row r="34665" spans="20:21" ht="15" customHeight="1" x14ac:dyDescent="0.25">
      <c r="T34665" s="135"/>
      <c r="U34665" s="135"/>
    </row>
    <row r="34666" spans="20:21" ht="15" customHeight="1" x14ac:dyDescent="0.25">
      <c r="T34666" s="135"/>
      <c r="U34666" s="135"/>
    </row>
    <row r="34667" spans="20:21" ht="15" customHeight="1" x14ac:dyDescent="0.25">
      <c r="T34667" s="135"/>
      <c r="U34667" s="135"/>
    </row>
    <row r="34668" spans="20:21" ht="15" customHeight="1" x14ac:dyDescent="0.25">
      <c r="T34668" s="135"/>
      <c r="U34668" s="135"/>
    </row>
    <row r="34669" spans="20:21" ht="15" customHeight="1" x14ac:dyDescent="0.25">
      <c r="T34669" s="135"/>
      <c r="U34669" s="135"/>
    </row>
    <row r="34670" spans="20:21" ht="15" customHeight="1" x14ac:dyDescent="0.25">
      <c r="T34670" s="135"/>
      <c r="U34670" s="135"/>
    </row>
    <row r="34671" spans="20:21" ht="15" customHeight="1" x14ac:dyDescent="0.25">
      <c r="T34671" s="135"/>
      <c r="U34671" s="135"/>
    </row>
    <row r="34672" spans="20:21" ht="15" customHeight="1" x14ac:dyDescent="0.25">
      <c r="T34672" s="135"/>
      <c r="U34672" s="135"/>
    </row>
    <row r="34673" spans="20:21" ht="15" customHeight="1" x14ac:dyDescent="0.25">
      <c r="T34673" s="135"/>
      <c r="U34673" s="135"/>
    </row>
    <row r="34674" spans="20:21" ht="15" customHeight="1" x14ac:dyDescent="0.25">
      <c r="T34674" s="135"/>
      <c r="U34674" s="135"/>
    </row>
    <row r="34675" spans="20:21" ht="15" customHeight="1" x14ac:dyDescent="0.25">
      <c r="T34675" s="135"/>
      <c r="U34675" s="135"/>
    </row>
    <row r="34676" spans="20:21" ht="15" customHeight="1" x14ac:dyDescent="0.25">
      <c r="T34676" s="135"/>
      <c r="U34676" s="135"/>
    </row>
    <row r="34677" spans="20:21" ht="15" customHeight="1" x14ac:dyDescent="0.25">
      <c r="T34677" s="135"/>
      <c r="U34677" s="135"/>
    </row>
    <row r="34678" spans="20:21" ht="15" customHeight="1" x14ac:dyDescent="0.25">
      <c r="T34678" s="135"/>
      <c r="U34678" s="135"/>
    </row>
    <row r="34679" spans="20:21" ht="15" customHeight="1" x14ac:dyDescent="0.25">
      <c r="T34679" s="135"/>
      <c r="U34679" s="135"/>
    </row>
    <row r="34680" spans="20:21" ht="15" customHeight="1" x14ac:dyDescent="0.25">
      <c r="T34680" s="135"/>
      <c r="U34680" s="135"/>
    </row>
    <row r="34681" spans="20:21" ht="15" customHeight="1" x14ac:dyDescent="0.25">
      <c r="T34681" s="135"/>
      <c r="U34681" s="135"/>
    </row>
    <row r="34682" spans="20:21" ht="15" customHeight="1" x14ac:dyDescent="0.25">
      <c r="T34682" s="135"/>
      <c r="U34682" s="135"/>
    </row>
    <row r="34683" spans="20:21" ht="15" customHeight="1" x14ac:dyDescent="0.25">
      <c r="T34683" s="135"/>
      <c r="U34683" s="135"/>
    </row>
    <row r="34684" spans="20:21" ht="15" customHeight="1" x14ac:dyDescent="0.25">
      <c r="T34684" s="135"/>
      <c r="U34684" s="135"/>
    </row>
    <row r="34685" spans="20:21" ht="15" customHeight="1" x14ac:dyDescent="0.25">
      <c r="T34685" s="135"/>
      <c r="U34685" s="135"/>
    </row>
    <row r="34686" spans="20:21" ht="15" customHeight="1" x14ac:dyDescent="0.25">
      <c r="T34686" s="135"/>
      <c r="U34686" s="135"/>
    </row>
    <row r="34687" spans="20:21" ht="15" customHeight="1" x14ac:dyDescent="0.25">
      <c r="T34687" s="135"/>
      <c r="U34687" s="135"/>
    </row>
    <row r="34688" spans="20:21" ht="15" customHeight="1" x14ac:dyDescent="0.25">
      <c r="T34688" s="135"/>
      <c r="U34688" s="135"/>
    </row>
    <row r="34689" spans="20:21" ht="15" customHeight="1" x14ac:dyDescent="0.25">
      <c r="T34689" s="135"/>
      <c r="U34689" s="135"/>
    </row>
    <row r="34690" spans="20:21" ht="15" customHeight="1" x14ac:dyDescent="0.25">
      <c r="T34690" s="135"/>
      <c r="U34690" s="135"/>
    </row>
    <row r="34691" spans="20:21" ht="15" customHeight="1" x14ac:dyDescent="0.25">
      <c r="T34691" s="135"/>
      <c r="U34691" s="135"/>
    </row>
    <row r="34692" spans="20:21" ht="15" customHeight="1" x14ac:dyDescent="0.25">
      <c r="T34692" s="135"/>
      <c r="U34692" s="135"/>
    </row>
    <row r="34693" spans="20:21" ht="15" customHeight="1" x14ac:dyDescent="0.25">
      <c r="T34693" s="135"/>
      <c r="U34693" s="135"/>
    </row>
    <row r="34694" spans="20:21" ht="15" customHeight="1" x14ac:dyDescent="0.25">
      <c r="T34694" s="135"/>
      <c r="U34694" s="135"/>
    </row>
    <row r="34695" spans="20:21" ht="15" customHeight="1" x14ac:dyDescent="0.25">
      <c r="T34695" s="135"/>
      <c r="U34695" s="135"/>
    </row>
    <row r="34696" spans="20:21" ht="15" customHeight="1" x14ac:dyDescent="0.25">
      <c r="T34696" s="135"/>
      <c r="U34696" s="135"/>
    </row>
    <row r="34697" spans="20:21" ht="15" customHeight="1" x14ac:dyDescent="0.25">
      <c r="T34697" s="135"/>
      <c r="U34697" s="135"/>
    </row>
    <row r="34698" spans="20:21" ht="15" customHeight="1" x14ac:dyDescent="0.25">
      <c r="T34698" s="135"/>
      <c r="U34698" s="135"/>
    </row>
    <row r="34699" spans="20:21" ht="15" customHeight="1" x14ac:dyDescent="0.25">
      <c r="T34699" s="135"/>
      <c r="U34699" s="135"/>
    </row>
    <row r="34700" spans="20:21" ht="15" customHeight="1" x14ac:dyDescent="0.25">
      <c r="T34700" s="135"/>
      <c r="U34700" s="135"/>
    </row>
    <row r="34701" spans="20:21" ht="15" customHeight="1" x14ac:dyDescent="0.25">
      <c r="T34701" s="135"/>
      <c r="U34701" s="135"/>
    </row>
    <row r="34702" spans="20:21" ht="15" customHeight="1" x14ac:dyDescent="0.25">
      <c r="T34702" s="135"/>
      <c r="U34702" s="135"/>
    </row>
    <row r="34703" spans="20:21" ht="15" customHeight="1" x14ac:dyDescent="0.25">
      <c r="T34703" s="135"/>
      <c r="U34703" s="135"/>
    </row>
    <row r="34704" spans="20:21" ht="15" customHeight="1" x14ac:dyDescent="0.25">
      <c r="T34704" s="135"/>
      <c r="U34704" s="135"/>
    </row>
    <row r="34705" spans="20:21" ht="15" customHeight="1" x14ac:dyDescent="0.25">
      <c r="T34705" s="135"/>
      <c r="U34705" s="135"/>
    </row>
    <row r="34706" spans="20:21" ht="15" customHeight="1" x14ac:dyDescent="0.25">
      <c r="T34706" s="135"/>
      <c r="U34706" s="135"/>
    </row>
    <row r="34707" spans="20:21" ht="15" customHeight="1" x14ac:dyDescent="0.25">
      <c r="T34707" s="135"/>
      <c r="U34707" s="135"/>
    </row>
    <row r="34708" spans="20:21" ht="15" customHeight="1" x14ac:dyDescent="0.25">
      <c r="T34708" s="135"/>
      <c r="U34708" s="135"/>
    </row>
    <row r="34709" spans="20:21" ht="15" customHeight="1" x14ac:dyDescent="0.25">
      <c r="T34709" s="135"/>
      <c r="U34709" s="135"/>
    </row>
    <row r="34710" spans="20:21" ht="15" customHeight="1" x14ac:dyDescent="0.25">
      <c r="T34710" s="135"/>
      <c r="U34710" s="135"/>
    </row>
    <row r="34711" spans="20:21" ht="15" customHeight="1" x14ac:dyDescent="0.25">
      <c r="T34711" s="135"/>
      <c r="U34711" s="135"/>
    </row>
    <row r="34712" spans="20:21" ht="15" customHeight="1" x14ac:dyDescent="0.25">
      <c r="T34712" s="135"/>
      <c r="U34712" s="135"/>
    </row>
    <row r="34713" spans="20:21" ht="15" customHeight="1" x14ac:dyDescent="0.25">
      <c r="T34713" s="135"/>
      <c r="U34713" s="135"/>
    </row>
    <row r="34714" spans="20:21" ht="15" customHeight="1" x14ac:dyDescent="0.25">
      <c r="T34714" s="135"/>
      <c r="U34714" s="135"/>
    </row>
    <row r="34715" spans="20:21" ht="15" customHeight="1" x14ac:dyDescent="0.25">
      <c r="T34715" s="135"/>
      <c r="U34715" s="135"/>
    </row>
    <row r="34716" spans="20:21" ht="15" customHeight="1" x14ac:dyDescent="0.25">
      <c r="T34716" s="135"/>
      <c r="U34716" s="135"/>
    </row>
    <row r="34717" spans="20:21" ht="15" customHeight="1" x14ac:dyDescent="0.25">
      <c r="T34717" s="135"/>
      <c r="U34717" s="135"/>
    </row>
    <row r="34718" spans="20:21" ht="15" customHeight="1" x14ac:dyDescent="0.25">
      <c r="T34718" s="135"/>
      <c r="U34718" s="135"/>
    </row>
    <row r="34719" spans="20:21" ht="15" customHeight="1" x14ac:dyDescent="0.25">
      <c r="T34719" s="135"/>
      <c r="U34719" s="135"/>
    </row>
    <row r="34720" spans="20:21" ht="15" customHeight="1" x14ac:dyDescent="0.25">
      <c r="T34720" s="135"/>
      <c r="U34720" s="135"/>
    </row>
    <row r="34721" spans="20:21" ht="15" customHeight="1" x14ac:dyDescent="0.25">
      <c r="T34721" s="135"/>
      <c r="U34721" s="135"/>
    </row>
    <row r="34722" spans="20:21" ht="15" customHeight="1" x14ac:dyDescent="0.25">
      <c r="T34722" s="135"/>
      <c r="U34722" s="135"/>
    </row>
    <row r="34723" spans="20:21" ht="15" customHeight="1" x14ac:dyDescent="0.25">
      <c r="T34723" s="135"/>
      <c r="U34723" s="135"/>
    </row>
    <row r="34724" spans="20:21" ht="15" customHeight="1" x14ac:dyDescent="0.25">
      <c r="T34724" s="135"/>
      <c r="U34724" s="135"/>
    </row>
    <row r="34725" spans="20:21" ht="15" customHeight="1" x14ac:dyDescent="0.25">
      <c r="T34725" s="135"/>
      <c r="U34725" s="135"/>
    </row>
    <row r="34726" spans="20:21" ht="15" customHeight="1" x14ac:dyDescent="0.25">
      <c r="T34726" s="135"/>
      <c r="U34726" s="135"/>
    </row>
    <row r="34727" spans="20:21" ht="15" customHeight="1" x14ac:dyDescent="0.25">
      <c r="T34727" s="135"/>
      <c r="U34727" s="135"/>
    </row>
    <row r="34728" spans="20:21" ht="15" customHeight="1" x14ac:dyDescent="0.25">
      <c r="T34728" s="135"/>
      <c r="U34728" s="135"/>
    </row>
    <row r="34729" spans="20:21" ht="15" customHeight="1" x14ac:dyDescent="0.25">
      <c r="T34729" s="135"/>
      <c r="U34729" s="135"/>
    </row>
    <row r="34730" spans="20:21" ht="15" customHeight="1" x14ac:dyDescent="0.25">
      <c r="T34730" s="135"/>
      <c r="U34730" s="135"/>
    </row>
    <row r="34731" spans="20:21" ht="15" customHeight="1" x14ac:dyDescent="0.25">
      <c r="T34731" s="135"/>
      <c r="U34731" s="135"/>
    </row>
    <row r="34732" spans="20:21" ht="15" customHeight="1" x14ac:dyDescent="0.25">
      <c r="T34732" s="135"/>
      <c r="U34732" s="135"/>
    </row>
    <row r="34733" spans="20:21" ht="15" customHeight="1" x14ac:dyDescent="0.25">
      <c r="T34733" s="135"/>
      <c r="U34733" s="135"/>
    </row>
    <row r="34734" spans="20:21" ht="15" customHeight="1" x14ac:dyDescent="0.25">
      <c r="T34734" s="135"/>
      <c r="U34734" s="135"/>
    </row>
    <row r="34735" spans="20:21" ht="15" customHeight="1" x14ac:dyDescent="0.25">
      <c r="T34735" s="135"/>
      <c r="U34735" s="135"/>
    </row>
    <row r="34736" spans="20:21" ht="15" customHeight="1" x14ac:dyDescent="0.25">
      <c r="T34736" s="135"/>
      <c r="U34736" s="135"/>
    </row>
    <row r="34737" spans="20:21" ht="15" customHeight="1" x14ac:dyDescent="0.25">
      <c r="T34737" s="135"/>
      <c r="U34737" s="135"/>
    </row>
    <row r="34738" spans="20:21" ht="15" customHeight="1" x14ac:dyDescent="0.25">
      <c r="T34738" s="135"/>
      <c r="U34738" s="135"/>
    </row>
    <row r="34739" spans="20:21" ht="15" customHeight="1" x14ac:dyDescent="0.25">
      <c r="T34739" s="135"/>
      <c r="U34739" s="135"/>
    </row>
    <row r="34740" spans="20:21" ht="15" customHeight="1" x14ac:dyDescent="0.25">
      <c r="T34740" s="135"/>
      <c r="U34740" s="135"/>
    </row>
    <row r="34741" spans="20:21" ht="15" customHeight="1" x14ac:dyDescent="0.25">
      <c r="T34741" s="135"/>
      <c r="U34741" s="135"/>
    </row>
    <row r="34742" spans="20:21" ht="15" customHeight="1" x14ac:dyDescent="0.25">
      <c r="T34742" s="135"/>
      <c r="U34742" s="135"/>
    </row>
    <row r="34743" spans="20:21" ht="15" customHeight="1" x14ac:dyDescent="0.25">
      <c r="T34743" s="135"/>
      <c r="U34743" s="135"/>
    </row>
    <row r="34744" spans="20:21" ht="15" customHeight="1" x14ac:dyDescent="0.25">
      <c r="T34744" s="135"/>
      <c r="U34744" s="135"/>
    </row>
    <row r="34745" spans="20:21" ht="15" customHeight="1" x14ac:dyDescent="0.25">
      <c r="T34745" s="135"/>
      <c r="U34745" s="135"/>
    </row>
    <row r="34746" spans="20:21" ht="15" customHeight="1" x14ac:dyDescent="0.25">
      <c r="T34746" s="135"/>
      <c r="U34746" s="135"/>
    </row>
    <row r="34747" spans="20:21" ht="15" customHeight="1" x14ac:dyDescent="0.25">
      <c r="T34747" s="135"/>
      <c r="U34747" s="135"/>
    </row>
    <row r="34748" spans="20:21" ht="15" customHeight="1" x14ac:dyDescent="0.25">
      <c r="T34748" s="135"/>
      <c r="U34748" s="135"/>
    </row>
    <row r="34749" spans="20:21" ht="15" customHeight="1" x14ac:dyDescent="0.25">
      <c r="T34749" s="135"/>
      <c r="U34749" s="135"/>
    </row>
    <row r="34750" spans="20:21" ht="15" customHeight="1" x14ac:dyDescent="0.25">
      <c r="T34750" s="135"/>
      <c r="U34750" s="135"/>
    </row>
    <row r="34751" spans="20:21" ht="15" customHeight="1" x14ac:dyDescent="0.25">
      <c r="T34751" s="135"/>
      <c r="U34751" s="135"/>
    </row>
    <row r="34752" spans="20:21" ht="15" customHeight="1" x14ac:dyDescent="0.25">
      <c r="T34752" s="135"/>
      <c r="U34752" s="135"/>
    </row>
    <row r="34753" spans="20:21" ht="15" customHeight="1" x14ac:dyDescent="0.25">
      <c r="T34753" s="135"/>
      <c r="U34753" s="135"/>
    </row>
    <row r="34754" spans="20:21" ht="15" customHeight="1" x14ac:dyDescent="0.25">
      <c r="T34754" s="135"/>
      <c r="U34754" s="135"/>
    </row>
    <row r="34755" spans="20:21" ht="15" customHeight="1" x14ac:dyDescent="0.25">
      <c r="T34755" s="135"/>
      <c r="U34755" s="135"/>
    </row>
    <row r="34756" spans="20:21" ht="15" customHeight="1" x14ac:dyDescent="0.25">
      <c r="T34756" s="135"/>
      <c r="U34756" s="135"/>
    </row>
    <row r="34757" spans="20:21" ht="15" customHeight="1" x14ac:dyDescent="0.25">
      <c r="T34757" s="135"/>
      <c r="U34757" s="135"/>
    </row>
    <row r="34758" spans="20:21" ht="15" customHeight="1" x14ac:dyDescent="0.25">
      <c r="T34758" s="135"/>
      <c r="U34758" s="135"/>
    </row>
    <row r="34759" spans="20:21" ht="15" customHeight="1" x14ac:dyDescent="0.25">
      <c r="T34759" s="135"/>
      <c r="U34759" s="135"/>
    </row>
    <row r="34760" spans="20:21" ht="15" customHeight="1" x14ac:dyDescent="0.25">
      <c r="T34760" s="135"/>
      <c r="U34760" s="135"/>
    </row>
    <row r="34761" spans="20:21" ht="15" customHeight="1" x14ac:dyDescent="0.25">
      <c r="T34761" s="135"/>
      <c r="U34761" s="135"/>
    </row>
    <row r="34762" spans="20:21" ht="15" customHeight="1" x14ac:dyDescent="0.25">
      <c r="T34762" s="135"/>
      <c r="U34762" s="135"/>
    </row>
    <row r="34763" spans="20:21" ht="15" customHeight="1" x14ac:dyDescent="0.25">
      <c r="T34763" s="135"/>
      <c r="U34763" s="135"/>
    </row>
    <row r="34764" spans="20:21" ht="15" customHeight="1" x14ac:dyDescent="0.25">
      <c r="T34764" s="135"/>
      <c r="U34764" s="135"/>
    </row>
    <row r="34765" spans="20:21" ht="15" customHeight="1" x14ac:dyDescent="0.25">
      <c r="T34765" s="135"/>
      <c r="U34765" s="135"/>
    </row>
    <row r="34766" spans="20:21" ht="15" customHeight="1" x14ac:dyDescent="0.25">
      <c r="T34766" s="135"/>
      <c r="U34766" s="135"/>
    </row>
    <row r="34767" spans="20:21" ht="15" customHeight="1" x14ac:dyDescent="0.25">
      <c r="T34767" s="135"/>
      <c r="U34767" s="135"/>
    </row>
    <row r="34768" spans="20:21" ht="15" customHeight="1" x14ac:dyDescent="0.25">
      <c r="T34768" s="135"/>
      <c r="U34768" s="135"/>
    </row>
    <row r="34769" spans="20:21" ht="15" customHeight="1" x14ac:dyDescent="0.25">
      <c r="T34769" s="135"/>
      <c r="U34769" s="135"/>
    </row>
    <row r="34770" spans="20:21" ht="15" customHeight="1" x14ac:dyDescent="0.25">
      <c r="T34770" s="135"/>
      <c r="U34770" s="135"/>
    </row>
    <row r="34771" spans="20:21" ht="15" customHeight="1" x14ac:dyDescent="0.25">
      <c r="T34771" s="135"/>
      <c r="U34771" s="135"/>
    </row>
    <row r="34772" spans="20:21" ht="15" customHeight="1" x14ac:dyDescent="0.25">
      <c r="T34772" s="135"/>
      <c r="U34772" s="135"/>
    </row>
    <row r="34773" spans="20:21" ht="15" customHeight="1" x14ac:dyDescent="0.25">
      <c r="T34773" s="135"/>
      <c r="U34773" s="135"/>
    </row>
    <row r="34774" spans="20:21" ht="15" customHeight="1" x14ac:dyDescent="0.25">
      <c r="T34774" s="135"/>
      <c r="U34774" s="135"/>
    </row>
    <row r="34775" spans="20:21" ht="15" customHeight="1" x14ac:dyDescent="0.25">
      <c r="T34775" s="135"/>
      <c r="U34775" s="135"/>
    </row>
    <row r="34776" spans="20:21" ht="15" customHeight="1" x14ac:dyDescent="0.25">
      <c r="T34776" s="135"/>
      <c r="U34776" s="135"/>
    </row>
    <row r="34777" spans="20:21" ht="15" customHeight="1" x14ac:dyDescent="0.25">
      <c r="T34777" s="135"/>
      <c r="U34777" s="135"/>
    </row>
    <row r="34778" spans="20:21" ht="15" customHeight="1" x14ac:dyDescent="0.25">
      <c r="T34778" s="135"/>
      <c r="U34778" s="135"/>
    </row>
    <row r="34779" spans="20:21" ht="15" customHeight="1" x14ac:dyDescent="0.25">
      <c r="T34779" s="135"/>
      <c r="U34779" s="135"/>
    </row>
    <row r="34780" spans="20:21" ht="15" customHeight="1" x14ac:dyDescent="0.25">
      <c r="T34780" s="135"/>
      <c r="U34780" s="135"/>
    </row>
    <row r="34781" spans="20:21" ht="15" customHeight="1" x14ac:dyDescent="0.25">
      <c r="T34781" s="135"/>
      <c r="U34781" s="135"/>
    </row>
    <row r="34782" spans="20:21" ht="15" customHeight="1" x14ac:dyDescent="0.25">
      <c r="T34782" s="135"/>
      <c r="U34782" s="135"/>
    </row>
    <row r="34783" spans="20:21" ht="15" customHeight="1" x14ac:dyDescent="0.25">
      <c r="T34783" s="135"/>
      <c r="U34783" s="135"/>
    </row>
    <row r="34784" spans="20:21" ht="15" customHeight="1" x14ac:dyDescent="0.25">
      <c r="T34784" s="135"/>
      <c r="U34784" s="135"/>
    </row>
    <row r="34785" spans="20:21" ht="15" customHeight="1" x14ac:dyDescent="0.25">
      <c r="T34785" s="135"/>
      <c r="U34785" s="135"/>
    </row>
    <row r="34786" spans="20:21" ht="15" customHeight="1" x14ac:dyDescent="0.25">
      <c r="T34786" s="135"/>
      <c r="U34786" s="135"/>
    </row>
    <row r="34787" spans="20:21" ht="15" customHeight="1" x14ac:dyDescent="0.25">
      <c r="T34787" s="135"/>
      <c r="U34787" s="135"/>
    </row>
    <row r="34788" spans="20:21" ht="15" customHeight="1" x14ac:dyDescent="0.25">
      <c r="T34788" s="135"/>
      <c r="U34788" s="135"/>
    </row>
    <row r="34789" spans="20:21" ht="15" customHeight="1" x14ac:dyDescent="0.25">
      <c r="T34789" s="135"/>
      <c r="U34789" s="135"/>
    </row>
    <row r="34790" spans="20:21" ht="15" customHeight="1" x14ac:dyDescent="0.25">
      <c r="T34790" s="135"/>
      <c r="U34790" s="135"/>
    </row>
    <row r="34791" spans="20:21" ht="15" customHeight="1" x14ac:dyDescent="0.25">
      <c r="T34791" s="135"/>
      <c r="U34791" s="135"/>
    </row>
    <row r="34792" spans="20:21" ht="15" customHeight="1" x14ac:dyDescent="0.25">
      <c r="T34792" s="135"/>
      <c r="U34792" s="135"/>
    </row>
    <row r="34793" spans="20:21" ht="15" customHeight="1" x14ac:dyDescent="0.25">
      <c r="T34793" s="135"/>
      <c r="U34793" s="135"/>
    </row>
    <row r="34794" spans="20:21" ht="15" customHeight="1" x14ac:dyDescent="0.25">
      <c r="T34794" s="135"/>
      <c r="U34794" s="135"/>
    </row>
    <row r="34795" spans="20:21" ht="15" customHeight="1" x14ac:dyDescent="0.25">
      <c r="T34795" s="135"/>
      <c r="U34795" s="135"/>
    </row>
    <row r="34796" spans="20:21" ht="15" customHeight="1" x14ac:dyDescent="0.25">
      <c r="T34796" s="135"/>
      <c r="U34796" s="135"/>
    </row>
    <row r="34797" spans="20:21" ht="15" customHeight="1" x14ac:dyDescent="0.25">
      <c r="T34797" s="135"/>
      <c r="U34797" s="135"/>
    </row>
    <row r="34798" spans="20:21" ht="15" customHeight="1" x14ac:dyDescent="0.25">
      <c r="T34798" s="135"/>
      <c r="U34798" s="135"/>
    </row>
    <row r="34799" spans="20:21" ht="15" customHeight="1" x14ac:dyDescent="0.25">
      <c r="T34799" s="135"/>
      <c r="U34799" s="135"/>
    </row>
    <row r="34800" spans="20:21" ht="15" customHeight="1" x14ac:dyDescent="0.25">
      <c r="T34800" s="135"/>
      <c r="U34800" s="135"/>
    </row>
    <row r="34801" spans="20:21" ht="15" customHeight="1" x14ac:dyDescent="0.25">
      <c r="T34801" s="135"/>
      <c r="U34801" s="135"/>
    </row>
    <row r="34802" spans="20:21" ht="15" customHeight="1" x14ac:dyDescent="0.25">
      <c r="T34802" s="135"/>
      <c r="U34802" s="135"/>
    </row>
    <row r="34803" spans="20:21" ht="15" customHeight="1" x14ac:dyDescent="0.25">
      <c r="T34803" s="135"/>
      <c r="U34803" s="135"/>
    </row>
    <row r="34804" spans="20:21" ht="15" customHeight="1" x14ac:dyDescent="0.25">
      <c r="T34804" s="135"/>
      <c r="U34804" s="135"/>
    </row>
    <row r="34805" spans="20:21" ht="15" customHeight="1" x14ac:dyDescent="0.25">
      <c r="T34805" s="135"/>
      <c r="U34805" s="135"/>
    </row>
    <row r="34806" spans="20:21" ht="15" customHeight="1" x14ac:dyDescent="0.25">
      <c r="T34806" s="135"/>
      <c r="U34806" s="135"/>
    </row>
    <row r="34807" spans="20:21" ht="15" customHeight="1" x14ac:dyDescent="0.25">
      <c r="T34807" s="135"/>
      <c r="U34807" s="135"/>
    </row>
    <row r="34808" spans="20:21" ht="15" customHeight="1" x14ac:dyDescent="0.25">
      <c r="T34808" s="135"/>
      <c r="U34808" s="135"/>
    </row>
    <row r="34809" spans="20:21" ht="15" customHeight="1" x14ac:dyDescent="0.25">
      <c r="T34809" s="135"/>
      <c r="U34809" s="135"/>
    </row>
    <row r="34810" spans="20:21" ht="15" customHeight="1" x14ac:dyDescent="0.25">
      <c r="T34810" s="135"/>
      <c r="U34810" s="135"/>
    </row>
    <row r="34811" spans="20:21" ht="15" customHeight="1" x14ac:dyDescent="0.25">
      <c r="T34811" s="135"/>
      <c r="U34811" s="135"/>
    </row>
    <row r="34812" spans="20:21" ht="15" customHeight="1" x14ac:dyDescent="0.25">
      <c r="T34812" s="135"/>
      <c r="U34812" s="135"/>
    </row>
    <row r="34813" spans="20:21" ht="15" customHeight="1" x14ac:dyDescent="0.25">
      <c r="T34813" s="135"/>
      <c r="U34813" s="135"/>
    </row>
    <row r="34814" spans="20:21" ht="15" customHeight="1" x14ac:dyDescent="0.25">
      <c r="T34814" s="135"/>
      <c r="U34814" s="135"/>
    </row>
    <row r="34815" spans="20:21" ht="15" customHeight="1" x14ac:dyDescent="0.25">
      <c r="T34815" s="135"/>
      <c r="U34815" s="135"/>
    </row>
    <row r="34816" spans="20:21" ht="15" customHeight="1" x14ac:dyDescent="0.25">
      <c r="T34816" s="135"/>
      <c r="U34816" s="135"/>
    </row>
    <row r="34817" spans="20:21" ht="15" customHeight="1" x14ac:dyDescent="0.25">
      <c r="T34817" s="135"/>
      <c r="U34817" s="135"/>
    </row>
    <row r="34818" spans="20:21" ht="15" customHeight="1" x14ac:dyDescent="0.25">
      <c r="T34818" s="135"/>
      <c r="U34818" s="135"/>
    </row>
    <row r="34819" spans="20:21" ht="15" customHeight="1" x14ac:dyDescent="0.25">
      <c r="T34819" s="135"/>
      <c r="U34819" s="135"/>
    </row>
    <row r="34820" spans="20:21" ht="15" customHeight="1" x14ac:dyDescent="0.25">
      <c r="T34820" s="135"/>
      <c r="U34820" s="135"/>
    </row>
    <row r="34821" spans="20:21" ht="15" customHeight="1" x14ac:dyDescent="0.25">
      <c r="T34821" s="135"/>
      <c r="U34821" s="135"/>
    </row>
    <row r="34822" spans="20:21" ht="15" customHeight="1" x14ac:dyDescent="0.25">
      <c r="T34822" s="135"/>
      <c r="U34822" s="135"/>
    </row>
    <row r="34823" spans="20:21" ht="15" customHeight="1" x14ac:dyDescent="0.25">
      <c r="T34823" s="135"/>
      <c r="U34823" s="135"/>
    </row>
    <row r="34824" spans="20:21" ht="15" customHeight="1" x14ac:dyDescent="0.25">
      <c r="T34824" s="135"/>
      <c r="U34824" s="135"/>
    </row>
    <row r="34825" spans="20:21" ht="15" customHeight="1" x14ac:dyDescent="0.25">
      <c r="T34825" s="135"/>
      <c r="U34825" s="135"/>
    </row>
    <row r="34826" spans="20:21" ht="15" customHeight="1" x14ac:dyDescent="0.25">
      <c r="T34826" s="135"/>
      <c r="U34826" s="135"/>
    </row>
    <row r="34827" spans="20:21" ht="15" customHeight="1" x14ac:dyDescent="0.25">
      <c r="T34827" s="135"/>
      <c r="U34827" s="135"/>
    </row>
    <row r="34828" spans="20:21" ht="15" customHeight="1" x14ac:dyDescent="0.25">
      <c r="T34828" s="135"/>
      <c r="U34828" s="135"/>
    </row>
    <row r="34829" spans="20:21" ht="15" customHeight="1" x14ac:dyDescent="0.25">
      <c r="T34829" s="135"/>
      <c r="U34829" s="135"/>
    </row>
    <row r="34830" spans="20:21" ht="15" customHeight="1" x14ac:dyDescent="0.25">
      <c r="T34830" s="135"/>
      <c r="U34830" s="135"/>
    </row>
    <row r="34831" spans="20:21" ht="15" customHeight="1" x14ac:dyDescent="0.25">
      <c r="T34831" s="135"/>
      <c r="U34831" s="135"/>
    </row>
    <row r="34832" spans="20:21" ht="15" customHeight="1" x14ac:dyDescent="0.25">
      <c r="T34832" s="135"/>
      <c r="U34832" s="135"/>
    </row>
    <row r="34833" spans="20:21" ht="15" customHeight="1" x14ac:dyDescent="0.25">
      <c r="T34833" s="135"/>
      <c r="U34833" s="135"/>
    </row>
    <row r="34834" spans="20:21" ht="15" customHeight="1" x14ac:dyDescent="0.25">
      <c r="T34834" s="135"/>
      <c r="U34834" s="135"/>
    </row>
    <row r="34835" spans="20:21" ht="15" customHeight="1" x14ac:dyDescent="0.25">
      <c r="T34835" s="135"/>
      <c r="U34835" s="135"/>
    </row>
    <row r="34836" spans="20:21" ht="15" customHeight="1" x14ac:dyDescent="0.25">
      <c r="T34836" s="135"/>
      <c r="U34836" s="135"/>
    </row>
    <row r="34837" spans="20:21" ht="15" customHeight="1" x14ac:dyDescent="0.25">
      <c r="T34837" s="135"/>
      <c r="U34837" s="135"/>
    </row>
    <row r="34838" spans="20:21" ht="15" customHeight="1" x14ac:dyDescent="0.25">
      <c r="T34838" s="135"/>
      <c r="U34838" s="135"/>
    </row>
    <row r="34839" spans="20:21" ht="15" customHeight="1" x14ac:dyDescent="0.25">
      <c r="T34839" s="135"/>
      <c r="U34839" s="135"/>
    </row>
    <row r="34840" spans="20:21" ht="15" customHeight="1" x14ac:dyDescent="0.25">
      <c r="T34840" s="135"/>
      <c r="U34840" s="135"/>
    </row>
    <row r="34841" spans="20:21" ht="15" customHeight="1" x14ac:dyDescent="0.25">
      <c r="T34841" s="135"/>
      <c r="U34841" s="135"/>
    </row>
    <row r="34842" spans="20:21" ht="15" customHeight="1" x14ac:dyDescent="0.25">
      <c r="T34842" s="135"/>
      <c r="U34842" s="135"/>
    </row>
    <row r="34843" spans="20:21" ht="15" customHeight="1" x14ac:dyDescent="0.25">
      <c r="T34843" s="135"/>
      <c r="U34843" s="135"/>
    </row>
    <row r="34844" spans="20:21" ht="15" customHeight="1" x14ac:dyDescent="0.25">
      <c r="T34844" s="135"/>
      <c r="U34844" s="135"/>
    </row>
    <row r="34845" spans="20:21" ht="15" customHeight="1" x14ac:dyDescent="0.25">
      <c r="T34845" s="135"/>
      <c r="U34845" s="135"/>
    </row>
    <row r="34846" spans="20:21" ht="15" customHeight="1" x14ac:dyDescent="0.25">
      <c r="T34846" s="135"/>
      <c r="U34846" s="135"/>
    </row>
    <row r="34847" spans="20:21" ht="15" customHeight="1" x14ac:dyDescent="0.25">
      <c r="T34847" s="135"/>
      <c r="U34847" s="135"/>
    </row>
    <row r="34848" spans="20:21" ht="15" customHeight="1" x14ac:dyDescent="0.25">
      <c r="T34848" s="135"/>
      <c r="U34848" s="135"/>
    </row>
    <row r="34849" spans="20:21" ht="15" customHeight="1" x14ac:dyDescent="0.25">
      <c r="T34849" s="135"/>
      <c r="U34849" s="135"/>
    </row>
    <row r="34850" spans="20:21" ht="15" customHeight="1" x14ac:dyDescent="0.25">
      <c r="T34850" s="135"/>
      <c r="U34850" s="135"/>
    </row>
    <row r="34851" spans="20:21" ht="15" customHeight="1" x14ac:dyDescent="0.25">
      <c r="T34851" s="135"/>
      <c r="U34851" s="135"/>
    </row>
    <row r="34852" spans="20:21" ht="15" customHeight="1" x14ac:dyDescent="0.25">
      <c r="T34852" s="135"/>
      <c r="U34852" s="135"/>
    </row>
    <row r="34853" spans="20:21" ht="15" customHeight="1" x14ac:dyDescent="0.25">
      <c r="T34853" s="135"/>
      <c r="U34853" s="135"/>
    </row>
    <row r="34854" spans="20:21" ht="15" customHeight="1" x14ac:dyDescent="0.25">
      <c r="T34854" s="135"/>
      <c r="U34854" s="135"/>
    </row>
    <row r="34855" spans="20:21" ht="15" customHeight="1" x14ac:dyDescent="0.25">
      <c r="T34855" s="135"/>
      <c r="U34855" s="135"/>
    </row>
    <row r="34856" spans="20:21" ht="15" customHeight="1" x14ac:dyDescent="0.25">
      <c r="T34856" s="135"/>
      <c r="U34856" s="135"/>
    </row>
    <row r="34857" spans="20:21" ht="15" customHeight="1" x14ac:dyDescent="0.25">
      <c r="T34857" s="135"/>
      <c r="U34857" s="135"/>
    </row>
    <row r="34858" spans="20:21" ht="15" customHeight="1" x14ac:dyDescent="0.25">
      <c r="T34858" s="135"/>
      <c r="U34858" s="135"/>
    </row>
    <row r="34859" spans="20:21" ht="15" customHeight="1" x14ac:dyDescent="0.25">
      <c r="T34859" s="135"/>
      <c r="U34859" s="135"/>
    </row>
    <row r="34860" spans="20:21" ht="15" customHeight="1" x14ac:dyDescent="0.25">
      <c r="T34860" s="135"/>
      <c r="U34860" s="135"/>
    </row>
    <row r="34861" spans="20:21" ht="15" customHeight="1" x14ac:dyDescent="0.25">
      <c r="T34861" s="135"/>
      <c r="U34861" s="135"/>
    </row>
    <row r="34862" spans="20:21" ht="15" customHeight="1" x14ac:dyDescent="0.25">
      <c r="T34862" s="135"/>
      <c r="U34862" s="135"/>
    </row>
    <row r="34863" spans="20:21" ht="15" customHeight="1" x14ac:dyDescent="0.25">
      <c r="T34863" s="135"/>
      <c r="U34863" s="135"/>
    </row>
    <row r="34864" spans="20:21" ht="15" customHeight="1" x14ac:dyDescent="0.25">
      <c r="T34864" s="135"/>
      <c r="U34864" s="135"/>
    </row>
    <row r="34865" spans="20:21" ht="15" customHeight="1" x14ac:dyDescent="0.25">
      <c r="T34865" s="135"/>
      <c r="U34865" s="135"/>
    </row>
    <row r="34866" spans="20:21" ht="15" customHeight="1" x14ac:dyDescent="0.25">
      <c r="T34866" s="135"/>
      <c r="U34866" s="135"/>
    </row>
    <row r="34867" spans="20:21" ht="15" customHeight="1" x14ac:dyDescent="0.25">
      <c r="T34867" s="135"/>
      <c r="U34867" s="135"/>
    </row>
    <row r="34868" spans="20:21" ht="15" customHeight="1" x14ac:dyDescent="0.25">
      <c r="T34868" s="135"/>
      <c r="U34868" s="135"/>
    </row>
    <row r="34869" spans="20:21" ht="15" customHeight="1" x14ac:dyDescent="0.25">
      <c r="T34869" s="135"/>
      <c r="U34869" s="135"/>
    </row>
    <row r="34870" spans="20:21" ht="15" customHeight="1" x14ac:dyDescent="0.25">
      <c r="T34870" s="135"/>
      <c r="U34870" s="135"/>
    </row>
    <row r="34871" spans="20:21" ht="15" customHeight="1" x14ac:dyDescent="0.25">
      <c r="T34871" s="135"/>
      <c r="U34871" s="135"/>
    </row>
    <row r="34872" spans="20:21" ht="15" customHeight="1" x14ac:dyDescent="0.25">
      <c r="T34872" s="135"/>
      <c r="U34872" s="135"/>
    </row>
    <row r="34873" spans="20:21" ht="15" customHeight="1" x14ac:dyDescent="0.25">
      <c r="T34873" s="135"/>
      <c r="U34873" s="135"/>
    </row>
    <row r="34874" spans="20:21" ht="15" customHeight="1" x14ac:dyDescent="0.25">
      <c r="T34874" s="135"/>
      <c r="U34874" s="135"/>
    </row>
    <row r="34875" spans="20:21" ht="15" customHeight="1" x14ac:dyDescent="0.25">
      <c r="T34875" s="135"/>
      <c r="U34875" s="135"/>
    </row>
    <row r="34876" spans="20:21" ht="15" customHeight="1" x14ac:dyDescent="0.25">
      <c r="T34876" s="135"/>
      <c r="U34876" s="135"/>
    </row>
    <row r="34877" spans="20:21" ht="15" customHeight="1" x14ac:dyDescent="0.25">
      <c r="T34877" s="135"/>
      <c r="U34877" s="135"/>
    </row>
    <row r="34878" spans="20:21" ht="15" customHeight="1" x14ac:dyDescent="0.25">
      <c r="T34878" s="135"/>
      <c r="U34878" s="135"/>
    </row>
    <row r="34879" spans="20:21" ht="15" customHeight="1" x14ac:dyDescent="0.25">
      <c r="T34879" s="135"/>
      <c r="U34879" s="135"/>
    </row>
    <row r="34880" spans="20:21" ht="15" customHeight="1" x14ac:dyDescent="0.25">
      <c r="T34880" s="135"/>
      <c r="U34880" s="135"/>
    </row>
    <row r="34881" spans="20:21" ht="15" customHeight="1" x14ac:dyDescent="0.25">
      <c r="T34881" s="135"/>
      <c r="U34881" s="135"/>
    </row>
    <row r="34882" spans="20:21" ht="15" customHeight="1" x14ac:dyDescent="0.25">
      <c r="T34882" s="135"/>
      <c r="U34882" s="135"/>
    </row>
    <row r="34883" spans="20:21" ht="15" customHeight="1" x14ac:dyDescent="0.25">
      <c r="T34883" s="135"/>
      <c r="U34883" s="135"/>
    </row>
    <row r="34884" spans="20:21" ht="15" customHeight="1" x14ac:dyDescent="0.25">
      <c r="T34884" s="135"/>
      <c r="U34884" s="135"/>
    </row>
    <row r="34885" spans="20:21" ht="15" customHeight="1" x14ac:dyDescent="0.25">
      <c r="T34885" s="135"/>
      <c r="U34885" s="135"/>
    </row>
    <row r="34886" spans="20:21" ht="15" customHeight="1" x14ac:dyDescent="0.25">
      <c r="T34886" s="135"/>
      <c r="U34886" s="135"/>
    </row>
    <row r="34887" spans="20:21" ht="15" customHeight="1" x14ac:dyDescent="0.25">
      <c r="T34887" s="135"/>
      <c r="U34887" s="135"/>
    </row>
    <row r="34888" spans="20:21" ht="15" customHeight="1" x14ac:dyDescent="0.25">
      <c r="T34888" s="135"/>
      <c r="U34888" s="135"/>
    </row>
    <row r="34889" spans="20:21" ht="15" customHeight="1" x14ac:dyDescent="0.25">
      <c r="T34889" s="135"/>
      <c r="U34889" s="135"/>
    </row>
    <row r="34890" spans="20:21" ht="15" customHeight="1" x14ac:dyDescent="0.25">
      <c r="T34890" s="135"/>
      <c r="U34890" s="135"/>
    </row>
    <row r="34891" spans="20:21" ht="15" customHeight="1" x14ac:dyDescent="0.25">
      <c r="T34891" s="135"/>
      <c r="U34891" s="135"/>
    </row>
    <row r="34892" spans="20:21" ht="15" customHeight="1" x14ac:dyDescent="0.25">
      <c r="T34892" s="135"/>
      <c r="U34892" s="135"/>
    </row>
    <row r="34893" spans="20:21" ht="15" customHeight="1" x14ac:dyDescent="0.25">
      <c r="T34893" s="135"/>
      <c r="U34893" s="135"/>
    </row>
    <row r="34894" spans="20:21" ht="15" customHeight="1" x14ac:dyDescent="0.25">
      <c r="T34894" s="135"/>
      <c r="U34894" s="135"/>
    </row>
    <row r="34895" spans="20:21" ht="15" customHeight="1" x14ac:dyDescent="0.25">
      <c r="T34895" s="135"/>
      <c r="U34895" s="135"/>
    </row>
    <row r="34896" spans="20:21" ht="15" customHeight="1" x14ac:dyDescent="0.25">
      <c r="T34896" s="135"/>
      <c r="U34896" s="135"/>
    </row>
    <row r="34897" spans="20:21" ht="15" customHeight="1" x14ac:dyDescent="0.25">
      <c r="T34897" s="135"/>
      <c r="U34897" s="135"/>
    </row>
    <row r="34898" spans="20:21" ht="15" customHeight="1" x14ac:dyDescent="0.25">
      <c r="T34898" s="135"/>
      <c r="U34898" s="135"/>
    </row>
    <row r="34899" spans="20:21" ht="15" customHeight="1" x14ac:dyDescent="0.25">
      <c r="T34899" s="135"/>
      <c r="U34899" s="135"/>
    </row>
    <row r="34900" spans="20:21" ht="15" customHeight="1" x14ac:dyDescent="0.25">
      <c r="T34900" s="135"/>
      <c r="U34900" s="135"/>
    </row>
    <row r="34901" spans="20:21" ht="15" customHeight="1" x14ac:dyDescent="0.25">
      <c r="T34901" s="135"/>
      <c r="U34901" s="135"/>
    </row>
    <row r="34902" spans="20:21" ht="15" customHeight="1" x14ac:dyDescent="0.25">
      <c r="T34902" s="135"/>
      <c r="U34902" s="135"/>
    </row>
    <row r="34903" spans="20:21" ht="15" customHeight="1" x14ac:dyDescent="0.25">
      <c r="T34903" s="135"/>
      <c r="U34903" s="135"/>
    </row>
    <row r="34904" spans="20:21" ht="15" customHeight="1" x14ac:dyDescent="0.25">
      <c r="T34904" s="135"/>
      <c r="U34904" s="135"/>
    </row>
    <row r="34905" spans="20:21" ht="15" customHeight="1" x14ac:dyDescent="0.25">
      <c r="T34905" s="135"/>
      <c r="U34905" s="135"/>
    </row>
    <row r="34906" spans="20:21" ht="15" customHeight="1" x14ac:dyDescent="0.25">
      <c r="T34906" s="135"/>
      <c r="U34906" s="135"/>
    </row>
    <row r="34907" spans="20:21" ht="15" customHeight="1" x14ac:dyDescent="0.25">
      <c r="T34907" s="135"/>
      <c r="U34907" s="135"/>
    </row>
    <row r="34908" spans="20:21" ht="15" customHeight="1" x14ac:dyDescent="0.25">
      <c r="T34908" s="135"/>
      <c r="U34908" s="135"/>
    </row>
    <row r="34909" spans="20:21" ht="15" customHeight="1" x14ac:dyDescent="0.25">
      <c r="T34909" s="135"/>
      <c r="U34909" s="135"/>
    </row>
    <row r="34910" spans="20:21" ht="15" customHeight="1" x14ac:dyDescent="0.25">
      <c r="T34910" s="135"/>
      <c r="U34910" s="135"/>
    </row>
    <row r="34911" spans="20:21" ht="15" customHeight="1" x14ac:dyDescent="0.25">
      <c r="T34911" s="135"/>
      <c r="U34911" s="135"/>
    </row>
    <row r="34912" spans="20:21" ht="15" customHeight="1" x14ac:dyDescent="0.25">
      <c r="T34912" s="135"/>
      <c r="U34912" s="135"/>
    </row>
    <row r="34913" spans="20:21" ht="15" customHeight="1" x14ac:dyDescent="0.25">
      <c r="T34913" s="135"/>
      <c r="U34913" s="135"/>
    </row>
    <row r="34914" spans="20:21" ht="15" customHeight="1" x14ac:dyDescent="0.25">
      <c r="T34914" s="135"/>
      <c r="U34914" s="135"/>
    </row>
    <row r="34915" spans="20:21" ht="15" customHeight="1" x14ac:dyDescent="0.25">
      <c r="T34915" s="135"/>
      <c r="U34915" s="135"/>
    </row>
    <row r="34916" spans="20:21" ht="15" customHeight="1" x14ac:dyDescent="0.25">
      <c r="T34916" s="135"/>
      <c r="U34916" s="135"/>
    </row>
    <row r="34917" spans="20:21" ht="15" customHeight="1" x14ac:dyDescent="0.25">
      <c r="T34917" s="135"/>
      <c r="U34917" s="135"/>
    </row>
    <row r="34918" spans="20:21" ht="15" customHeight="1" x14ac:dyDescent="0.25">
      <c r="T34918" s="135"/>
      <c r="U34918" s="135"/>
    </row>
    <row r="34919" spans="20:21" ht="15" customHeight="1" x14ac:dyDescent="0.25">
      <c r="T34919" s="135"/>
      <c r="U34919" s="135"/>
    </row>
    <row r="34920" spans="20:21" ht="15" customHeight="1" x14ac:dyDescent="0.25">
      <c r="T34920" s="135"/>
      <c r="U34920" s="135"/>
    </row>
    <row r="34921" spans="20:21" ht="15" customHeight="1" x14ac:dyDescent="0.25">
      <c r="T34921" s="135"/>
      <c r="U34921" s="135"/>
    </row>
    <row r="34922" spans="20:21" ht="15" customHeight="1" x14ac:dyDescent="0.25">
      <c r="T34922" s="135"/>
      <c r="U34922" s="135"/>
    </row>
    <row r="34923" spans="20:21" ht="15" customHeight="1" x14ac:dyDescent="0.25">
      <c r="T34923" s="135"/>
      <c r="U34923" s="135"/>
    </row>
    <row r="34924" spans="20:21" ht="15" customHeight="1" x14ac:dyDescent="0.25">
      <c r="T34924" s="135"/>
      <c r="U34924" s="135"/>
    </row>
    <row r="34925" spans="20:21" ht="15" customHeight="1" x14ac:dyDescent="0.25">
      <c r="T34925" s="135"/>
      <c r="U34925" s="135"/>
    </row>
    <row r="34926" spans="20:21" ht="15" customHeight="1" x14ac:dyDescent="0.25">
      <c r="T34926" s="135"/>
      <c r="U34926" s="135"/>
    </row>
    <row r="34927" spans="20:21" ht="15" customHeight="1" x14ac:dyDescent="0.25">
      <c r="T34927" s="135"/>
      <c r="U34927" s="135"/>
    </row>
    <row r="34928" spans="20:21" ht="15" customHeight="1" x14ac:dyDescent="0.25">
      <c r="T34928" s="135"/>
      <c r="U34928" s="135"/>
    </row>
    <row r="34929" spans="20:21" ht="15" customHeight="1" x14ac:dyDescent="0.25">
      <c r="T34929" s="135"/>
      <c r="U34929" s="135"/>
    </row>
    <row r="34930" spans="20:21" ht="15" customHeight="1" x14ac:dyDescent="0.25">
      <c r="T34930" s="135"/>
      <c r="U34930" s="135"/>
    </row>
    <row r="34931" spans="20:21" ht="15" customHeight="1" x14ac:dyDescent="0.25">
      <c r="T34931" s="135"/>
      <c r="U34931" s="135"/>
    </row>
    <row r="34932" spans="20:21" ht="15" customHeight="1" x14ac:dyDescent="0.25">
      <c r="T34932" s="135"/>
      <c r="U34932" s="135"/>
    </row>
    <row r="34933" spans="20:21" ht="15" customHeight="1" x14ac:dyDescent="0.25">
      <c r="T34933" s="135"/>
      <c r="U34933" s="135"/>
    </row>
    <row r="34934" spans="20:21" ht="15" customHeight="1" x14ac:dyDescent="0.25">
      <c r="T34934" s="135"/>
      <c r="U34934" s="135"/>
    </row>
    <row r="34935" spans="20:21" ht="15" customHeight="1" x14ac:dyDescent="0.25">
      <c r="T34935" s="135"/>
      <c r="U34935" s="135"/>
    </row>
    <row r="34936" spans="20:21" ht="15" customHeight="1" x14ac:dyDescent="0.25">
      <c r="T34936" s="135"/>
      <c r="U34936" s="135"/>
    </row>
    <row r="34937" spans="20:21" ht="15" customHeight="1" x14ac:dyDescent="0.25">
      <c r="T34937" s="135"/>
      <c r="U34937" s="135"/>
    </row>
    <row r="34938" spans="20:21" ht="15" customHeight="1" x14ac:dyDescent="0.25">
      <c r="T34938" s="135"/>
      <c r="U34938" s="135"/>
    </row>
    <row r="34939" spans="20:21" ht="15" customHeight="1" x14ac:dyDescent="0.25">
      <c r="T34939" s="135"/>
      <c r="U34939" s="135"/>
    </row>
    <row r="34940" spans="20:21" ht="15" customHeight="1" x14ac:dyDescent="0.25">
      <c r="T34940" s="135"/>
      <c r="U34940" s="135"/>
    </row>
    <row r="34941" spans="20:21" ht="15" customHeight="1" x14ac:dyDescent="0.25">
      <c r="T34941" s="135"/>
      <c r="U34941" s="135"/>
    </row>
    <row r="34942" spans="20:21" ht="15" customHeight="1" x14ac:dyDescent="0.25">
      <c r="T34942" s="135"/>
      <c r="U34942" s="135"/>
    </row>
    <row r="34943" spans="20:21" ht="15" customHeight="1" x14ac:dyDescent="0.25">
      <c r="T34943" s="135"/>
      <c r="U34943" s="135"/>
    </row>
    <row r="34944" spans="20:21" ht="15" customHeight="1" x14ac:dyDescent="0.25">
      <c r="T34944" s="135"/>
      <c r="U34944" s="135"/>
    </row>
    <row r="34945" spans="20:21" ht="15" customHeight="1" x14ac:dyDescent="0.25">
      <c r="T34945" s="135"/>
      <c r="U34945" s="135"/>
    </row>
    <row r="34946" spans="20:21" ht="15" customHeight="1" x14ac:dyDescent="0.25">
      <c r="T34946" s="135"/>
      <c r="U34946" s="135"/>
    </row>
    <row r="34947" spans="20:21" ht="15" customHeight="1" x14ac:dyDescent="0.25">
      <c r="T34947" s="135"/>
      <c r="U34947" s="135"/>
    </row>
    <row r="34948" spans="20:21" ht="15" customHeight="1" x14ac:dyDescent="0.25">
      <c r="T34948" s="135"/>
      <c r="U34948" s="135"/>
    </row>
    <row r="34949" spans="20:21" ht="15" customHeight="1" x14ac:dyDescent="0.25">
      <c r="T34949" s="135"/>
      <c r="U34949" s="135"/>
    </row>
    <row r="34950" spans="20:21" ht="15" customHeight="1" x14ac:dyDescent="0.25">
      <c r="T34950" s="135"/>
      <c r="U34950" s="135"/>
    </row>
    <row r="34951" spans="20:21" ht="15" customHeight="1" x14ac:dyDescent="0.25">
      <c r="T34951" s="135"/>
      <c r="U34951" s="135"/>
    </row>
    <row r="34952" spans="20:21" ht="15" customHeight="1" x14ac:dyDescent="0.25">
      <c r="T34952" s="135"/>
      <c r="U34952" s="135"/>
    </row>
    <row r="34953" spans="20:21" ht="15" customHeight="1" x14ac:dyDescent="0.25">
      <c r="T34953" s="135"/>
      <c r="U34953" s="135"/>
    </row>
    <row r="34954" spans="20:21" ht="15" customHeight="1" x14ac:dyDescent="0.25">
      <c r="T34954" s="135"/>
      <c r="U34954" s="135"/>
    </row>
    <row r="34955" spans="20:21" ht="15" customHeight="1" x14ac:dyDescent="0.25">
      <c r="T34955" s="135"/>
      <c r="U34955" s="135"/>
    </row>
    <row r="34956" spans="20:21" ht="15" customHeight="1" x14ac:dyDescent="0.25">
      <c r="T34956" s="135"/>
      <c r="U34956" s="135"/>
    </row>
    <row r="34957" spans="20:21" ht="15" customHeight="1" x14ac:dyDescent="0.25">
      <c r="T34957" s="135"/>
      <c r="U34957" s="135"/>
    </row>
    <row r="34958" spans="20:21" ht="15" customHeight="1" x14ac:dyDescent="0.25">
      <c r="T34958" s="135"/>
      <c r="U34958" s="135"/>
    </row>
    <row r="34959" spans="20:21" ht="15" customHeight="1" x14ac:dyDescent="0.25">
      <c r="T34959" s="135"/>
      <c r="U34959" s="135"/>
    </row>
    <row r="34960" spans="20:21" ht="15" customHeight="1" x14ac:dyDescent="0.25">
      <c r="T34960" s="135"/>
      <c r="U34960" s="135"/>
    </row>
    <row r="34961" spans="20:21" ht="15" customHeight="1" x14ac:dyDescent="0.25">
      <c r="T34961" s="135"/>
      <c r="U34961" s="135"/>
    </row>
    <row r="34962" spans="20:21" ht="15" customHeight="1" x14ac:dyDescent="0.25">
      <c r="T34962" s="135"/>
      <c r="U34962" s="135"/>
    </row>
    <row r="34963" spans="20:21" ht="15" customHeight="1" x14ac:dyDescent="0.25">
      <c r="T34963" s="135"/>
      <c r="U34963" s="135"/>
    </row>
    <row r="34964" spans="20:21" ht="15" customHeight="1" x14ac:dyDescent="0.25">
      <c r="T34964" s="135"/>
      <c r="U34964" s="135"/>
    </row>
    <row r="34965" spans="20:21" ht="15" customHeight="1" x14ac:dyDescent="0.25">
      <c r="T34965" s="135"/>
      <c r="U34965" s="135"/>
    </row>
    <row r="34966" spans="20:21" ht="15" customHeight="1" x14ac:dyDescent="0.25">
      <c r="T34966" s="135"/>
      <c r="U34966" s="135"/>
    </row>
    <row r="34967" spans="20:21" ht="15" customHeight="1" x14ac:dyDescent="0.25">
      <c r="T34967" s="135"/>
      <c r="U34967" s="135"/>
    </row>
    <row r="34968" spans="20:21" ht="15" customHeight="1" x14ac:dyDescent="0.25">
      <c r="T34968" s="135"/>
      <c r="U34968" s="135"/>
    </row>
    <row r="34969" spans="20:21" ht="15" customHeight="1" x14ac:dyDescent="0.25">
      <c r="T34969" s="135"/>
      <c r="U34969" s="135"/>
    </row>
    <row r="34970" spans="20:21" ht="15" customHeight="1" x14ac:dyDescent="0.25">
      <c r="T34970" s="135"/>
      <c r="U34970" s="135"/>
    </row>
    <row r="34971" spans="20:21" ht="15" customHeight="1" x14ac:dyDescent="0.25">
      <c r="T34971" s="135"/>
      <c r="U34971" s="135"/>
    </row>
    <row r="34972" spans="20:21" ht="15" customHeight="1" x14ac:dyDescent="0.25">
      <c r="T34972" s="135"/>
      <c r="U34972" s="135"/>
    </row>
    <row r="34973" spans="20:21" ht="15" customHeight="1" x14ac:dyDescent="0.25">
      <c r="T34973" s="135"/>
      <c r="U34973" s="135"/>
    </row>
    <row r="34974" spans="20:21" ht="15" customHeight="1" x14ac:dyDescent="0.25">
      <c r="T34974" s="135"/>
      <c r="U34974" s="135"/>
    </row>
    <row r="34975" spans="20:21" ht="15" customHeight="1" x14ac:dyDescent="0.25">
      <c r="T34975" s="135"/>
      <c r="U34975" s="135"/>
    </row>
    <row r="34976" spans="20:21" ht="15" customHeight="1" x14ac:dyDescent="0.25">
      <c r="T34976" s="135"/>
      <c r="U34976" s="135"/>
    </row>
    <row r="34977" spans="20:21" ht="15" customHeight="1" x14ac:dyDescent="0.25">
      <c r="T34977" s="135"/>
      <c r="U34977" s="135"/>
    </row>
    <row r="34978" spans="20:21" ht="15" customHeight="1" x14ac:dyDescent="0.25">
      <c r="T34978" s="135"/>
      <c r="U34978" s="135"/>
    </row>
    <row r="34979" spans="20:21" ht="15" customHeight="1" x14ac:dyDescent="0.25">
      <c r="T34979" s="135"/>
      <c r="U34979" s="135"/>
    </row>
    <row r="34980" spans="20:21" ht="15" customHeight="1" x14ac:dyDescent="0.25">
      <c r="T34980" s="135"/>
      <c r="U34980" s="135"/>
    </row>
    <row r="34981" spans="20:21" ht="15" customHeight="1" x14ac:dyDescent="0.25">
      <c r="T34981" s="135"/>
      <c r="U34981" s="135"/>
    </row>
    <row r="34982" spans="20:21" ht="15" customHeight="1" x14ac:dyDescent="0.25">
      <c r="T34982" s="135"/>
      <c r="U34982" s="135"/>
    </row>
    <row r="34983" spans="20:21" ht="15" customHeight="1" x14ac:dyDescent="0.25">
      <c r="T34983" s="135"/>
      <c r="U34983" s="135"/>
    </row>
    <row r="34984" spans="20:21" ht="15" customHeight="1" x14ac:dyDescent="0.25">
      <c r="T34984" s="135"/>
      <c r="U34984" s="135"/>
    </row>
    <row r="34985" spans="20:21" ht="15" customHeight="1" x14ac:dyDescent="0.25">
      <c r="T34985" s="135"/>
      <c r="U34985" s="135"/>
    </row>
    <row r="34986" spans="20:21" ht="15" customHeight="1" x14ac:dyDescent="0.25">
      <c r="T34986" s="135"/>
      <c r="U34986" s="135"/>
    </row>
    <row r="34987" spans="20:21" ht="15" customHeight="1" x14ac:dyDescent="0.25">
      <c r="T34987" s="135"/>
      <c r="U34987" s="135"/>
    </row>
    <row r="34988" spans="20:21" ht="15" customHeight="1" x14ac:dyDescent="0.25">
      <c r="T34988" s="135"/>
      <c r="U34988" s="135"/>
    </row>
    <row r="34989" spans="20:21" ht="15" customHeight="1" x14ac:dyDescent="0.25">
      <c r="T34989" s="135"/>
      <c r="U34989" s="135"/>
    </row>
    <row r="34990" spans="20:21" ht="15" customHeight="1" x14ac:dyDescent="0.25">
      <c r="T34990" s="135"/>
      <c r="U34990" s="135"/>
    </row>
    <row r="34991" spans="20:21" ht="15" customHeight="1" x14ac:dyDescent="0.25">
      <c r="T34991" s="135"/>
      <c r="U34991" s="135"/>
    </row>
    <row r="34992" spans="20:21" ht="15" customHeight="1" x14ac:dyDescent="0.25">
      <c r="T34992" s="135"/>
      <c r="U34992" s="135"/>
    </row>
    <row r="34993" spans="20:21" ht="15" customHeight="1" x14ac:dyDescent="0.25">
      <c r="T34993" s="135"/>
      <c r="U34993" s="135"/>
    </row>
    <row r="34994" spans="20:21" ht="15" customHeight="1" x14ac:dyDescent="0.25">
      <c r="T34994" s="135"/>
      <c r="U34994" s="135"/>
    </row>
    <row r="34995" spans="20:21" ht="15" customHeight="1" x14ac:dyDescent="0.25">
      <c r="T34995" s="135"/>
      <c r="U34995" s="135"/>
    </row>
    <row r="34996" spans="20:21" ht="15" customHeight="1" x14ac:dyDescent="0.25">
      <c r="T34996" s="135"/>
      <c r="U34996" s="135"/>
    </row>
    <row r="34997" spans="20:21" ht="15" customHeight="1" x14ac:dyDescent="0.25">
      <c r="T34997" s="135"/>
      <c r="U34997" s="135"/>
    </row>
    <row r="34998" spans="20:21" ht="15" customHeight="1" x14ac:dyDescent="0.25">
      <c r="T34998" s="135"/>
      <c r="U34998" s="135"/>
    </row>
    <row r="34999" spans="20:21" ht="15" customHeight="1" x14ac:dyDescent="0.25">
      <c r="T34999" s="135"/>
      <c r="U34999" s="135"/>
    </row>
    <row r="35000" spans="20:21" ht="15" customHeight="1" x14ac:dyDescent="0.25">
      <c r="T35000" s="135"/>
      <c r="U35000" s="135"/>
    </row>
    <row r="35001" spans="20:21" ht="15" customHeight="1" x14ac:dyDescent="0.25">
      <c r="T35001" s="135"/>
      <c r="U35001" s="135"/>
    </row>
    <row r="35002" spans="20:21" ht="15" customHeight="1" x14ac:dyDescent="0.25">
      <c r="T35002" s="135"/>
      <c r="U35002" s="135"/>
    </row>
    <row r="35003" spans="20:21" ht="15" customHeight="1" x14ac:dyDescent="0.25">
      <c r="T35003" s="135"/>
      <c r="U35003" s="135"/>
    </row>
    <row r="35004" spans="20:21" ht="15" customHeight="1" x14ac:dyDescent="0.25">
      <c r="T35004" s="135"/>
      <c r="U35004" s="135"/>
    </row>
    <row r="35005" spans="20:21" ht="15" customHeight="1" x14ac:dyDescent="0.25">
      <c r="T35005" s="135"/>
      <c r="U35005" s="135"/>
    </row>
    <row r="35006" spans="20:21" ht="15" customHeight="1" x14ac:dyDescent="0.25">
      <c r="T35006" s="135"/>
      <c r="U35006" s="135"/>
    </row>
    <row r="35007" spans="20:21" ht="15" customHeight="1" x14ac:dyDescent="0.25">
      <c r="T35007" s="135"/>
      <c r="U35007" s="135"/>
    </row>
    <row r="35008" spans="20:21" ht="15" customHeight="1" x14ac:dyDescent="0.25">
      <c r="T35008" s="135"/>
      <c r="U35008" s="135"/>
    </row>
    <row r="35009" spans="20:21" ht="15" customHeight="1" x14ac:dyDescent="0.25">
      <c r="T35009" s="135"/>
      <c r="U35009" s="135"/>
    </row>
    <row r="35010" spans="20:21" ht="15" customHeight="1" x14ac:dyDescent="0.25">
      <c r="T35010" s="135"/>
      <c r="U35010" s="135"/>
    </row>
    <row r="35011" spans="20:21" ht="15" customHeight="1" x14ac:dyDescent="0.25">
      <c r="T35011" s="135"/>
      <c r="U35011" s="135"/>
    </row>
    <row r="35012" spans="20:21" ht="15" customHeight="1" x14ac:dyDescent="0.25">
      <c r="T35012" s="135"/>
      <c r="U35012" s="135"/>
    </row>
    <row r="35013" spans="20:21" ht="15" customHeight="1" x14ac:dyDescent="0.25">
      <c r="T35013" s="135"/>
      <c r="U35013" s="135"/>
    </row>
    <row r="35014" spans="20:21" ht="15" customHeight="1" x14ac:dyDescent="0.25">
      <c r="T35014" s="135"/>
      <c r="U35014" s="135"/>
    </row>
    <row r="35015" spans="20:21" ht="15" customHeight="1" x14ac:dyDescent="0.25">
      <c r="T35015" s="135"/>
      <c r="U35015" s="135"/>
    </row>
    <row r="35016" spans="20:21" ht="15" customHeight="1" x14ac:dyDescent="0.25">
      <c r="T35016" s="135"/>
      <c r="U35016" s="135"/>
    </row>
    <row r="35017" spans="20:21" ht="15" customHeight="1" x14ac:dyDescent="0.25">
      <c r="T35017" s="135"/>
      <c r="U35017" s="135"/>
    </row>
    <row r="35018" spans="20:21" ht="15" customHeight="1" x14ac:dyDescent="0.25">
      <c r="T35018" s="135"/>
      <c r="U35018" s="135"/>
    </row>
    <row r="35019" spans="20:21" ht="15" customHeight="1" x14ac:dyDescent="0.25">
      <c r="T35019" s="135"/>
      <c r="U35019" s="135"/>
    </row>
    <row r="35020" spans="20:21" ht="15" customHeight="1" x14ac:dyDescent="0.25">
      <c r="T35020" s="135"/>
      <c r="U35020" s="135"/>
    </row>
    <row r="35021" spans="20:21" ht="15" customHeight="1" x14ac:dyDescent="0.25">
      <c r="T35021" s="135"/>
      <c r="U35021" s="135"/>
    </row>
    <row r="35022" spans="20:21" ht="15" customHeight="1" x14ac:dyDescent="0.25">
      <c r="T35022" s="135"/>
      <c r="U35022" s="135"/>
    </row>
    <row r="35023" spans="20:21" ht="15" customHeight="1" x14ac:dyDescent="0.25">
      <c r="T35023" s="135"/>
      <c r="U35023" s="135"/>
    </row>
    <row r="35024" spans="20:21" ht="15" customHeight="1" x14ac:dyDescent="0.25">
      <c r="T35024" s="135"/>
      <c r="U35024" s="135"/>
    </row>
    <row r="35025" spans="20:21" ht="15" customHeight="1" x14ac:dyDescent="0.25">
      <c r="T35025" s="135"/>
      <c r="U35025" s="135"/>
    </row>
    <row r="35026" spans="20:21" ht="15" customHeight="1" x14ac:dyDescent="0.25">
      <c r="T35026" s="135"/>
      <c r="U35026" s="135"/>
    </row>
    <row r="35027" spans="20:21" ht="15" customHeight="1" x14ac:dyDescent="0.25">
      <c r="T35027" s="135"/>
      <c r="U35027" s="135"/>
    </row>
    <row r="35028" spans="20:21" ht="15" customHeight="1" x14ac:dyDescent="0.25">
      <c r="T35028" s="135"/>
      <c r="U35028" s="135"/>
    </row>
    <row r="35029" spans="20:21" ht="15" customHeight="1" x14ac:dyDescent="0.25">
      <c r="T35029" s="135"/>
      <c r="U35029" s="135"/>
    </row>
    <row r="35030" spans="20:21" ht="15" customHeight="1" x14ac:dyDescent="0.25">
      <c r="T35030" s="135"/>
      <c r="U35030" s="135"/>
    </row>
    <row r="35031" spans="20:21" ht="15" customHeight="1" x14ac:dyDescent="0.25">
      <c r="T35031" s="135"/>
      <c r="U35031" s="135"/>
    </row>
    <row r="35032" spans="20:21" ht="15" customHeight="1" x14ac:dyDescent="0.25">
      <c r="T35032" s="135"/>
      <c r="U35032" s="135"/>
    </row>
    <row r="35033" spans="20:21" ht="15" customHeight="1" x14ac:dyDescent="0.25">
      <c r="T35033" s="135"/>
      <c r="U35033" s="135"/>
    </row>
    <row r="35034" spans="20:21" ht="15" customHeight="1" x14ac:dyDescent="0.25">
      <c r="T35034" s="135"/>
      <c r="U35034" s="135"/>
    </row>
    <row r="35035" spans="20:21" ht="15" customHeight="1" x14ac:dyDescent="0.25">
      <c r="T35035" s="135"/>
      <c r="U35035" s="135"/>
    </row>
    <row r="35036" spans="20:21" ht="15" customHeight="1" x14ac:dyDescent="0.25">
      <c r="T35036" s="135"/>
      <c r="U35036" s="135"/>
    </row>
    <row r="35037" spans="20:21" ht="15" customHeight="1" x14ac:dyDescent="0.25">
      <c r="T35037" s="135"/>
      <c r="U35037" s="135"/>
    </row>
    <row r="35038" spans="20:21" ht="15" customHeight="1" x14ac:dyDescent="0.25">
      <c r="T35038" s="135"/>
      <c r="U35038" s="135"/>
    </row>
    <row r="35039" spans="20:21" ht="15" customHeight="1" x14ac:dyDescent="0.25">
      <c r="T35039" s="135"/>
      <c r="U35039" s="135"/>
    </row>
    <row r="35040" spans="20:21" ht="15" customHeight="1" x14ac:dyDescent="0.25">
      <c r="T35040" s="135"/>
      <c r="U35040" s="135"/>
    </row>
    <row r="35041" spans="20:21" ht="15" customHeight="1" x14ac:dyDescent="0.25">
      <c r="T35041" s="135"/>
      <c r="U35041" s="135"/>
    </row>
    <row r="35042" spans="20:21" ht="15" customHeight="1" x14ac:dyDescent="0.25">
      <c r="T35042" s="135"/>
      <c r="U35042" s="135"/>
    </row>
    <row r="35043" spans="20:21" ht="15" customHeight="1" x14ac:dyDescent="0.25">
      <c r="T35043" s="135"/>
      <c r="U35043" s="135"/>
    </row>
    <row r="35044" spans="20:21" ht="15" customHeight="1" x14ac:dyDescent="0.25">
      <c r="T35044" s="135"/>
      <c r="U35044" s="135"/>
    </row>
    <row r="35045" spans="20:21" ht="15" customHeight="1" x14ac:dyDescent="0.25">
      <c r="T35045" s="135"/>
      <c r="U35045" s="135"/>
    </row>
    <row r="35046" spans="20:21" ht="15" customHeight="1" x14ac:dyDescent="0.25">
      <c r="T35046" s="135"/>
      <c r="U35046" s="135"/>
    </row>
    <row r="35047" spans="20:21" ht="15" customHeight="1" x14ac:dyDescent="0.25">
      <c r="T35047" s="135"/>
      <c r="U35047" s="135"/>
    </row>
    <row r="35048" spans="20:21" ht="15" customHeight="1" x14ac:dyDescent="0.25">
      <c r="T35048" s="135"/>
      <c r="U35048" s="135"/>
    </row>
    <row r="35049" spans="20:21" ht="15" customHeight="1" x14ac:dyDescent="0.25">
      <c r="T35049" s="135"/>
      <c r="U35049" s="135"/>
    </row>
    <row r="35050" spans="20:21" ht="15" customHeight="1" x14ac:dyDescent="0.25">
      <c r="T35050" s="135"/>
      <c r="U35050" s="135"/>
    </row>
    <row r="35051" spans="20:21" ht="15" customHeight="1" x14ac:dyDescent="0.25">
      <c r="T35051" s="135"/>
      <c r="U35051" s="135"/>
    </row>
    <row r="35052" spans="20:21" ht="15" customHeight="1" x14ac:dyDescent="0.25">
      <c r="T35052" s="135"/>
      <c r="U35052" s="135"/>
    </row>
    <row r="35053" spans="20:21" ht="15" customHeight="1" x14ac:dyDescent="0.25">
      <c r="T35053" s="135"/>
      <c r="U35053" s="135"/>
    </row>
    <row r="35054" spans="20:21" ht="15" customHeight="1" x14ac:dyDescent="0.25">
      <c r="T35054" s="135"/>
      <c r="U35054" s="135"/>
    </row>
    <row r="35055" spans="20:21" ht="15" customHeight="1" x14ac:dyDescent="0.25">
      <c r="T35055" s="135"/>
      <c r="U35055" s="135"/>
    </row>
    <row r="35056" spans="20:21" ht="15" customHeight="1" x14ac:dyDescent="0.25">
      <c r="T35056" s="135"/>
      <c r="U35056" s="135"/>
    </row>
    <row r="35057" spans="20:21" ht="15" customHeight="1" x14ac:dyDescent="0.25">
      <c r="T35057" s="135"/>
      <c r="U35057" s="135"/>
    </row>
    <row r="35058" spans="20:21" ht="15" customHeight="1" x14ac:dyDescent="0.25">
      <c r="T35058" s="135"/>
      <c r="U35058" s="135"/>
    </row>
    <row r="35059" spans="20:21" ht="15" customHeight="1" x14ac:dyDescent="0.25">
      <c r="T35059" s="135"/>
      <c r="U35059" s="135"/>
    </row>
    <row r="35060" spans="20:21" ht="15" customHeight="1" x14ac:dyDescent="0.25">
      <c r="T35060" s="135"/>
      <c r="U35060" s="135"/>
    </row>
    <row r="35061" spans="20:21" ht="15" customHeight="1" x14ac:dyDescent="0.25">
      <c r="T35061" s="135"/>
      <c r="U35061" s="135"/>
    </row>
    <row r="35062" spans="20:21" ht="15" customHeight="1" x14ac:dyDescent="0.25">
      <c r="T35062" s="135"/>
      <c r="U35062" s="135"/>
    </row>
    <row r="35063" spans="20:21" ht="15" customHeight="1" x14ac:dyDescent="0.25">
      <c r="T35063" s="135"/>
      <c r="U35063" s="135"/>
    </row>
    <row r="35064" spans="20:21" ht="15" customHeight="1" x14ac:dyDescent="0.25">
      <c r="T35064" s="135"/>
      <c r="U35064" s="135"/>
    </row>
    <row r="35065" spans="20:21" ht="15" customHeight="1" x14ac:dyDescent="0.25">
      <c r="T35065" s="135"/>
      <c r="U35065" s="135"/>
    </row>
    <row r="35066" spans="20:21" ht="15" customHeight="1" x14ac:dyDescent="0.25">
      <c r="T35066" s="135"/>
      <c r="U35066" s="135"/>
    </row>
    <row r="35067" spans="20:21" ht="15" customHeight="1" x14ac:dyDescent="0.25">
      <c r="T35067" s="135"/>
      <c r="U35067" s="135"/>
    </row>
    <row r="35068" spans="20:21" ht="15" customHeight="1" x14ac:dyDescent="0.25">
      <c r="T35068" s="135"/>
      <c r="U35068" s="135"/>
    </row>
    <row r="35069" spans="20:21" ht="15" customHeight="1" x14ac:dyDescent="0.25">
      <c r="T35069" s="135"/>
      <c r="U35069" s="135"/>
    </row>
    <row r="35070" spans="20:21" ht="15" customHeight="1" x14ac:dyDescent="0.25">
      <c r="T35070" s="135"/>
      <c r="U35070" s="135"/>
    </row>
    <row r="35071" spans="20:21" ht="15" customHeight="1" x14ac:dyDescent="0.25">
      <c r="T35071" s="135"/>
      <c r="U35071" s="135"/>
    </row>
    <row r="35072" spans="20:21" ht="15" customHeight="1" x14ac:dyDescent="0.25">
      <c r="T35072" s="135"/>
      <c r="U35072" s="135"/>
    </row>
    <row r="35073" spans="20:21" ht="15" customHeight="1" x14ac:dyDescent="0.25">
      <c r="T35073" s="135"/>
      <c r="U35073" s="135"/>
    </row>
    <row r="35074" spans="20:21" ht="15" customHeight="1" x14ac:dyDescent="0.25">
      <c r="T35074" s="135"/>
      <c r="U35074" s="135"/>
    </row>
    <row r="35075" spans="20:21" ht="15" customHeight="1" x14ac:dyDescent="0.25">
      <c r="T35075" s="135"/>
      <c r="U35075" s="135"/>
    </row>
    <row r="35076" spans="20:21" ht="15" customHeight="1" x14ac:dyDescent="0.25">
      <c r="T35076" s="135"/>
      <c r="U35076" s="135"/>
    </row>
    <row r="35077" spans="20:21" ht="15" customHeight="1" x14ac:dyDescent="0.25">
      <c r="T35077" s="135"/>
      <c r="U35077" s="135"/>
    </row>
    <row r="35078" spans="20:21" ht="15" customHeight="1" x14ac:dyDescent="0.25">
      <c r="T35078" s="135"/>
      <c r="U35078" s="135"/>
    </row>
    <row r="35079" spans="20:21" ht="15" customHeight="1" x14ac:dyDescent="0.25">
      <c r="T35079" s="135"/>
      <c r="U35079" s="135"/>
    </row>
    <row r="35080" spans="20:21" ht="15" customHeight="1" x14ac:dyDescent="0.25">
      <c r="T35080" s="135"/>
      <c r="U35080" s="135"/>
    </row>
    <row r="35081" spans="20:21" ht="15" customHeight="1" x14ac:dyDescent="0.25">
      <c r="T35081" s="135"/>
      <c r="U35081" s="135"/>
    </row>
    <row r="35082" spans="20:21" ht="15" customHeight="1" x14ac:dyDescent="0.25">
      <c r="T35082" s="135"/>
      <c r="U35082" s="135"/>
    </row>
    <row r="35083" spans="20:21" ht="15" customHeight="1" x14ac:dyDescent="0.25">
      <c r="T35083" s="135"/>
      <c r="U35083" s="135"/>
    </row>
    <row r="35084" spans="20:21" ht="15" customHeight="1" x14ac:dyDescent="0.25">
      <c r="T35084" s="135"/>
      <c r="U35084" s="135"/>
    </row>
    <row r="35085" spans="20:21" ht="15" customHeight="1" x14ac:dyDescent="0.25">
      <c r="T35085" s="135"/>
      <c r="U35085" s="135"/>
    </row>
    <row r="35086" spans="20:21" ht="15" customHeight="1" x14ac:dyDescent="0.25">
      <c r="T35086" s="135"/>
      <c r="U35086" s="135"/>
    </row>
    <row r="35087" spans="20:21" ht="15" customHeight="1" x14ac:dyDescent="0.25">
      <c r="T35087" s="135"/>
      <c r="U35087" s="135"/>
    </row>
    <row r="35088" spans="20:21" ht="15" customHeight="1" x14ac:dyDescent="0.25">
      <c r="T35088" s="135"/>
      <c r="U35088" s="135"/>
    </row>
    <row r="35089" spans="20:21" ht="15" customHeight="1" x14ac:dyDescent="0.25">
      <c r="T35089" s="135"/>
      <c r="U35089" s="135"/>
    </row>
    <row r="35090" spans="20:21" ht="15" customHeight="1" x14ac:dyDescent="0.25">
      <c r="T35090" s="135"/>
      <c r="U35090" s="135"/>
    </row>
    <row r="35091" spans="20:21" ht="15" customHeight="1" x14ac:dyDescent="0.25">
      <c r="T35091" s="135"/>
      <c r="U35091" s="135"/>
    </row>
    <row r="35092" spans="20:21" ht="15" customHeight="1" x14ac:dyDescent="0.25">
      <c r="T35092" s="135"/>
      <c r="U35092" s="135"/>
    </row>
    <row r="35093" spans="20:21" ht="15" customHeight="1" x14ac:dyDescent="0.25">
      <c r="T35093" s="135"/>
      <c r="U35093" s="135"/>
    </row>
    <row r="35094" spans="20:21" ht="15" customHeight="1" x14ac:dyDescent="0.25">
      <c r="T35094" s="135"/>
      <c r="U35094" s="135"/>
    </row>
    <row r="35095" spans="20:21" ht="15" customHeight="1" x14ac:dyDescent="0.25">
      <c r="T35095" s="135"/>
      <c r="U35095" s="135"/>
    </row>
    <row r="35096" spans="20:21" ht="15" customHeight="1" x14ac:dyDescent="0.25">
      <c r="T35096" s="135"/>
      <c r="U35096" s="135"/>
    </row>
    <row r="35097" spans="20:21" ht="15" customHeight="1" x14ac:dyDescent="0.25">
      <c r="T35097" s="135"/>
      <c r="U35097" s="135"/>
    </row>
    <row r="35098" spans="20:21" ht="15" customHeight="1" x14ac:dyDescent="0.25">
      <c r="T35098" s="135"/>
      <c r="U35098" s="135"/>
    </row>
    <row r="35099" spans="20:21" ht="15" customHeight="1" x14ac:dyDescent="0.25">
      <c r="T35099" s="135"/>
      <c r="U35099" s="135"/>
    </row>
    <row r="35100" spans="20:21" ht="15" customHeight="1" x14ac:dyDescent="0.25">
      <c r="T35100" s="135"/>
      <c r="U35100" s="135"/>
    </row>
    <row r="35101" spans="20:21" ht="15" customHeight="1" x14ac:dyDescent="0.25">
      <c r="T35101" s="135"/>
      <c r="U35101" s="135"/>
    </row>
    <row r="35102" spans="20:21" ht="15" customHeight="1" x14ac:dyDescent="0.25">
      <c r="T35102" s="135"/>
      <c r="U35102" s="135"/>
    </row>
    <row r="35103" spans="20:21" ht="15" customHeight="1" x14ac:dyDescent="0.25">
      <c r="T35103" s="135"/>
      <c r="U35103" s="135"/>
    </row>
    <row r="35104" spans="20:21" ht="15" customHeight="1" x14ac:dyDescent="0.25">
      <c r="T35104" s="135"/>
      <c r="U35104" s="135"/>
    </row>
    <row r="35105" spans="20:21" ht="15" customHeight="1" x14ac:dyDescent="0.25">
      <c r="T35105" s="135"/>
      <c r="U35105" s="135"/>
    </row>
    <row r="35106" spans="20:21" ht="15" customHeight="1" x14ac:dyDescent="0.25">
      <c r="T35106" s="135"/>
      <c r="U35106" s="135"/>
    </row>
    <row r="35107" spans="20:21" ht="15" customHeight="1" x14ac:dyDescent="0.25">
      <c r="T35107" s="135"/>
      <c r="U35107" s="135"/>
    </row>
    <row r="35108" spans="20:21" ht="15" customHeight="1" x14ac:dyDescent="0.25">
      <c r="T35108" s="135"/>
      <c r="U35108" s="135"/>
    </row>
    <row r="35109" spans="20:21" ht="15" customHeight="1" x14ac:dyDescent="0.25">
      <c r="T35109" s="135"/>
      <c r="U35109" s="135"/>
    </row>
    <row r="35110" spans="20:21" ht="15" customHeight="1" x14ac:dyDescent="0.25">
      <c r="T35110" s="135"/>
      <c r="U35110" s="135"/>
    </row>
    <row r="35111" spans="20:21" ht="15" customHeight="1" x14ac:dyDescent="0.25">
      <c r="T35111" s="135"/>
      <c r="U35111" s="135"/>
    </row>
    <row r="35112" spans="20:21" ht="15" customHeight="1" x14ac:dyDescent="0.25">
      <c r="T35112" s="135"/>
      <c r="U35112" s="135"/>
    </row>
    <row r="35113" spans="20:21" ht="15" customHeight="1" x14ac:dyDescent="0.25">
      <c r="T35113" s="135"/>
      <c r="U35113" s="135"/>
    </row>
    <row r="35114" spans="20:21" ht="15" customHeight="1" x14ac:dyDescent="0.25">
      <c r="T35114" s="135"/>
      <c r="U35114" s="135"/>
    </row>
    <row r="35115" spans="20:21" ht="15" customHeight="1" x14ac:dyDescent="0.25">
      <c r="T35115" s="135"/>
      <c r="U35115" s="135"/>
    </row>
    <row r="35116" spans="20:21" ht="15" customHeight="1" x14ac:dyDescent="0.25">
      <c r="T35116" s="135"/>
      <c r="U35116" s="135"/>
    </row>
    <row r="35117" spans="20:21" ht="15" customHeight="1" x14ac:dyDescent="0.25">
      <c r="T35117" s="135"/>
      <c r="U35117" s="135"/>
    </row>
    <row r="35118" spans="20:21" ht="15" customHeight="1" x14ac:dyDescent="0.25">
      <c r="T35118" s="135"/>
      <c r="U35118" s="135"/>
    </row>
    <row r="35119" spans="20:21" ht="15" customHeight="1" x14ac:dyDescent="0.25">
      <c r="T35119" s="135"/>
      <c r="U35119" s="135"/>
    </row>
    <row r="35120" spans="20:21" ht="15" customHeight="1" x14ac:dyDescent="0.25">
      <c r="T35120" s="135"/>
      <c r="U35120" s="135"/>
    </row>
    <row r="35121" spans="20:21" ht="15" customHeight="1" x14ac:dyDescent="0.25">
      <c r="T35121" s="135"/>
      <c r="U35121" s="135"/>
    </row>
    <row r="35122" spans="20:21" ht="15" customHeight="1" x14ac:dyDescent="0.25">
      <c r="T35122" s="135"/>
      <c r="U35122" s="135"/>
    </row>
    <row r="35123" spans="20:21" ht="15" customHeight="1" x14ac:dyDescent="0.25">
      <c r="T35123" s="135"/>
      <c r="U35123" s="135"/>
    </row>
    <row r="35124" spans="20:21" ht="15" customHeight="1" x14ac:dyDescent="0.25">
      <c r="T35124" s="135"/>
      <c r="U35124" s="135"/>
    </row>
    <row r="35125" spans="20:21" ht="15" customHeight="1" x14ac:dyDescent="0.25">
      <c r="T35125" s="135"/>
      <c r="U35125" s="135"/>
    </row>
    <row r="35126" spans="20:21" ht="15" customHeight="1" x14ac:dyDescent="0.25">
      <c r="T35126" s="135"/>
      <c r="U35126" s="135"/>
    </row>
    <row r="35127" spans="20:21" ht="15" customHeight="1" x14ac:dyDescent="0.25">
      <c r="T35127" s="135"/>
      <c r="U35127" s="135"/>
    </row>
    <row r="35128" spans="20:21" ht="15" customHeight="1" x14ac:dyDescent="0.25">
      <c r="T35128" s="135"/>
      <c r="U35128" s="135"/>
    </row>
    <row r="35129" spans="20:21" ht="15" customHeight="1" x14ac:dyDescent="0.25">
      <c r="T35129" s="135"/>
      <c r="U35129" s="135"/>
    </row>
    <row r="35130" spans="20:21" ht="15" customHeight="1" x14ac:dyDescent="0.25">
      <c r="T35130" s="135"/>
      <c r="U35130" s="135"/>
    </row>
    <row r="35131" spans="20:21" ht="15" customHeight="1" x14ac:dyDescent="0.25">
      <c r="T35131" s="135"/>
      <c r="U35131" s="135"/>
    </row>
    <row r="35132" spans="20:21" ht="15" customHeight="1" x14ac:dyDescent="0.25">
      <c r="T35132" s="135"/>
      <c r="U35132" s="135"/>
    </row>
    <row r="35133" spans="20:21" ht="15" customHeight="1" x14ac:dyDescent="0.25">
      <c r="T35133" s="135"/>
      <c r="U35133" s="135"/>
    </row>
    <row r="35134" spans="20:21" ht="15" customHeight="1" x14ac:dyDescent="0.25">
      <c r="T35134" s="135"/>
      <c r="U35134" s="135"/>
    </row>
    <row r="35135" spans="20:21" ht="15" customHeight="1" x14ac:dyDescent="0.25">
      <c r="T35135" s="135"/>
      <c r="U35135" s="135"/>
    </row>
    <row r="35136" spans="20:21" ht="15" customHeight="1" x14ac:dyDescent="0.25">
      <c r="T35136" s="135"/>
      <c r="U35136" s="135"/>
    </row>
    <row r="35137" spans="20:21" ht="15" customHeight="1" x14ac:dyDescent="0.25">
      <c r="T35137" s="135"/>
      <c r="U35137" s="135"/>
    </row>
    <row r="35138" spans="20:21" ht="15" customHeight="1" x14ac:dyDescent="0.25">
      <c r="T35138" s="135"/>
      <c r="U35138" s="135"/>
    </row>
    <row r="35139" spans="20:21" ht="15" customHeight="1" x14ac:dyDescent="0.25">
      <c r="T35139" s="135"/>
      <c r="U35139" s="135"/>
    </row>
    <row r="35140" spans="20:21" ht="15" customHeight="1" x14ac:dyDescent="0.25">
      <c r="T35140" s="135"/>
      <c r="U35140" s="135"/>
    </row>
    <row r="35141" spans="20:21" ht="15" customHeight="1" x14ac:dyDescent="0.25">
      <c r="T35141" s="135"/>
      <c r="U35141" s="135"/>
    </row>
    <row r="35142" spans="20:21" ht="15" customHeight="1" x14ac:dyDescent="0.25">
      <c r="T35142" s="135"/>
      <c r="U35142" s="135"/>
    </row>
    <row r="35143" spans="20:21" ht="15" customHeight="1" x14ac:dyDescent="0.25">
      <c r="T35143" s="135"/>
      <c r="U35143" s="135"/>
    </row>
    <row r="35144" spans="20:21" ht="15" customHeight="1" x14ac:dyDescent="0.25">
      <c r="T35144" s="135"/>
      <c r="U35144" s="135"/>
    </row>
    <row r="35145" spans="20:21" ht="15" customHeight="1" x14ac:dyDescent="0.25">
      <c r="T35145" s="135"/>
      <c r="U35145" s="135"/>
    </row>
    <row r="35146" spans="20:21" ht="15" customHeight="1" x14ac:dyDescent="0.25">
      <c r="T35146" s="135"/>
      <c r="U35146" s="135"/>
    </row>
    <row r="35147" spans="20:21" ht="15" customHeight="1" x14ac:dyDescent="0.25">
      <c r="T35147" s="135"/>
      <c r="U35147" s="135"/>
    </row>
    <row r="35148" spans="20:21" ht="15" customHeight="1" x14ac:dyDescent="0.25">
      <c r="T35148" s="135"/>
      <c r="U35148" s="135"/>
    </row>
    <row r="35149" spans="20:21" ht="15" customHeight="1" x14ac:dyDescent="0.25">
      <c r="T35149" s="135"/>
      <c r="U35149" s="135"/>
    </row>
    <row r="35150" spans="20:21" ht="15" customHeight="1" x14ac:dyDescent="0.25">
      <c r="T35150" s="135"/>
      <c r="U35150" s="135"/>
    </row>
    <row r="35151" spans="20:21" ht="15" customHeight="1" x14ac:dyDescent="0.25">
      <c r="T35151" s="135"/>
      <c r="U35151" s="135"/>
    </row>
    <row r="35152" spans="20:21" ht="15" customHeight="1" x14ac:dyDescent="0.25">
      <c r="T35152" s="135"/>
      <c r="U35152" s="135"/>
    </row>
    <row r="35153" spans="20:21" ht="15" customHeight="1" x14ac:dyDescent="0.25">
      <c r="T35153" s="135"/>
      <c r="U35153" s="135"/>
    </row>
    <row r="35154" spans="20:21" ht="15" customHeight="1" x14ac:dyDescent="0.25">
      <c r="T35154" s="135"/>
      <c r="U35154" s="135"/>
    </row>
    <row r="35155" spans="20:21" ht="15" customHeight="1" x14ac:dyDescent="0.25">
      <c r="T35155" s="135"/>
      <c r="U35155" s="135"/>
    </row>
    <row r="35156" spans="20:21" ht="15" customHeight="1" x14ac:dyDescent="0.25">
      <c r="T35156" s="135"/>
      <c r="U35156" s="135"/>
    </row>
    <row r="35157" spans="20:21" ht="15" customHeight="1" x14ac:dyDescent="0.25">
      <c r="T35157" s="135"/>
      <c r="U35157" s="135"/>
    </row>
    <row r="35158" spans="20:21" ht="15" customHeight="1" x14ac:dyDescent="0.25">
      <c r="T35158" s="135"/>
      <c r="U35158" s="135"/>
    </row>
    <row r="35159" spans="20:21" ht="15" customHeight="1" x14ac:dyDescent="0.25">
      <c r="T35159" s="135"/>
      <c r="U35159" s="135"/>
    </row>
    <row r="35160" spans="20:21" ht="15" customHeight="1" x14ac:dyDescent="0.25">
      <c r="T35160" s="135"/>
      <c r="U35160" s="135"/>
    </row>
    <row r="35161" spans="20:21" ht="15" customHeight="1" x14ac:dyDescent="0.25">
      <c r="T35161" s="135"/>
      <c r="U35161" s="135"/>
    </row>
    <row r="35162" spans="20:21" ht="15" customHeight="1" x14ac:dyDescent="0.25">
      <c r="T35162" s="135"/>
      <c r="U35162" s="135"/>
    </row>
    <row r="35163" spans="20:21" ht="15" customHeight="1" x14ac:dyDescent="0.25">
      <c r="T35163" s="135"/>
      <c r="U35163" s="135"/>
    </row>
    <row r="35164" spans="20:21" ht="15" customHeight="1" x14ac:dyDescent="0.25">
      <c r="T35164" s="135"/>
      <c r="U35164" s="135"/>
    </row>
    <row r="35165" spans="20:21" ht="15" customHeight="1" x14ac:dyDescent="0.25">
      <c r="T35165" s="135"/>
      <c r="U35165" s="135"/>
    </row>
    <row r="35166" spans="20:21" ht="15" customHeight="1" x14ac:dyDescent="0.25">
      <c r="T35166" s="135"/>
      <c r="U35166" s="135"/>
    </row>
    <row r="35167" spans="20:21" ht="15" customHeight="1" x14ac:dyDescent="0.25">
      <c r="T35167" s="135"/>
      <c r="U35167" s="135"/>
    </row>
    <row r="35168" spans="20:21" ht="15" customHeight="1" x14ac:dyDescent="0.25">
      <c r="T35168" s="135"/>
      <c r="U35168" s="135"/>
    </row>
    <row r="35169" spans="20:21" ht="15" customHeight="1" x14ac:dyDescent="0.25">
      <c r="T35169" s="135"/>
      <c r="U35169" s="135"/>
    </row>
    <row r="35170" spans="20:21" ht="15" customHeight="1" x14ac:dyDescent="0.25">
      <c r="T35170" s="135"/>
      <c r="U35170" s="135"/>
    </row>
    <row r="35171" spans="20:21" ht="15" customHeight="1" x14ac:dyDescent="0.25">
      <c r="T35171" s="135"/>
      <c r="U35171" s="135"/>
    </row>
    <row r="35172" spans="20:21" ht="15" customHeight="1" x14ac:dyDescent="0.25">
      <c r="T35172" s="135"/>
      <c r="U35172" s="135"/>
    </row>
    <row r="35173" spans="20:21" ht="15" customHeight="1" x14ac:dyDescent="0.25">
      <c r="T35173" s="135"/>
      <c r="U35173" s="135"/>
    </row>
    <row r="35174" spans="20:21" ht="15" customHeight="1" x14ac:dyDescent="0.25">
      <c r="T35174" s="135"/>
      <c r="U35174" s="135"/>
    </row>
    <row r="35175" spans="20:21" ht="15" customHeight="1" x14ac:dyDescent="0.25">
      <c r="T35175" s="135"/>
      <c r="U35175" s="135"/>
    </row>
    <row r="35176" spans="20:21" ht="15" customHeight="1" x14ac:dyDescent="0.25">
      <c r="T35176" s="135"/>
      <c r="U35176" s="135"/>
    </row>
    <row r="35177" spans="20:21" ht="15" customHeight="1" x14ac:dyDescent="0.25">
      <c r="T35177" s="135"/>
      <c r="U35177" s="135"/>
    </row>
    <row r="35178" spans="20:21" ht="15" customHeight="1" x14ac:dyDescent="0.25">
      <c r="T35178" s="135"/>
      <c r="U35178" s="135"/>
    </row>
    <row r="35179" spans="20:21" ht="15" customHeight="1" x14ac:dyDescent="0.25">
      <c r="T35179" s="135"/>
      <c r="U35179" s="135"/>
    </row>
    <row r="35180" spans="20:21" ht="15" customHeight="1" x14ac:dyDescent="0.25">
      <c r="T35180" s="135"/>
      <c r="U35180" s="135"/>
    </row>
    <row r="35181" spans="20:21" ht="15" customHeight="1" x14ac:dyDescent="0.25">
      <c r="T35181" s="135"/>
      <c r="U35181" s="135"/>
    </row>
    <row r="35182" spans="20:21" ht="15" customHeight="1" x14ac:dyDescent="0.25">
      <c r="T35182" s="135"/>
      <c r="U35182" s="135"/>
    </row>
    <row r="35183" spans="20:21" ht="15" customHeight="1" x14ac:dyDescent="0.25">
      <c r="T35183" s="135"/>
      <c r="U35183" s="135"/>
    </row>
    <row r="35184" spans="20:21" ht="15" customHeight="1" x14ac:dyDescent="0.25">
      <c r="T35184" s="135"/>
      <c r="U35184" s="135"/>
    </row>
    <row r="35185" spans="20:21" ht="15" customHeight="1" x14ac:dyDescent="0.25">
      <c r="T35185" s="135"/>
      <c r="U35185" s="135"/>
    </row>
    <row r="35186" spans="20:21" ht="15" customHeight="1" x14ac:dyDescent="0.25">
      <c r="T35186" s="135"/>
      <c r="U35186" s="135"/>
    </row>
    <row r="35187" spans="20:21" ht="15" customHeight="1" x14ac:dyDescent="0.25">
      <c r="T35187" s="135"/>
      <c r="U35187" s="135"/>
    </row>
    <row r="35188" spans="20:21" ht="15" customHeight="1" x14ac:dyDescent="0.25">
      <c r="T35188" s="135"/>
      <c r="U35188" s="135"/>
    </row>
    <row r="35189" spans="20:21" ht="15" customHeight="1" x14ac:dyDescent="0.25">
      <c r="T35189" s="135"/>
      <c r="U35189" s="135"/>
    </row>
    <row r="35190" spans="20:21" ht="15" customHeight="1" x14ac:dyDescent="0.25">
      <c r="T35190" s="135"/>
      <c r="U35190" s="135"/>
    </row>
    <row r="35191" spans="20:21" ht="15" customHeight="1" x14ac:dyDescent="0.25">
      <c r="T35191" s="135"/>
      <c r="U35191" s="135"/>
    </row>
    <row r="35192" spans="20:21" ht="15" customHeight="1" x14ac:dyDescent="0.25">
      <c r="T35192" s="135"/>
      <c r="U35192" s="135"/>
    </row>
    <row r="35193" spans="20:21" ht="15" customHeight="1" x14ac:dyDescent="0.25">
      <c r="T35193" s="135"/>
      <c r="U35193" s="135"/>
    </row>
    <row r="35194" spans="20:21" ht="15" customHeight="1" x14ac:dyDescent="0.25">
      <c r="T35194" s="135"/>
      <c r="U35194" s="135"/>
    </row>
    <row r="35195" spans="20:21" ht="15" customHeight="1" x14ac:dyDescent="0.25">
      <c r="T35195" s="135"/>
      <c r="U35195" s="135"/>
    </row>
    <row r="35196" spans="20:21" ht="15" customHeight="1" x14ac:dyDescent="0.25">
      <c r="T35196" s="135"/>
      <c r="U35196" s="135"/>
    </row>
    <row r="35197" spans="20:21" ht="15" customHeight="1" x14ac:dyDescent="0.25">
      <c r="T35197" s="135"/>
      <c r="U35197" s="135"/>
    </row>
    <row r="35198" spans="20:21" ht="15" customHeight="1" x14ac:dyDescent="0.25">
      <c r="T35198" s="135"/>
      <c r="U35198" s="135"/>
    </row>
    <row r="35199" spans="20:21" ht="15" customHeight="1" x14ac:dyDescent="0.25">
      <c r="T35199" s="135"/>
      <c r="U35199" s="135"/>
    </row>
    <row r="35200" spans="20:21" ht="15" customHeight="1" x14ac:dyDescent="0.25">
      <c r="T35200" s="135"/>
      <c r="U35200" s="135"/>
    </row>
    <row r="35201" spans="20:21" ht="15" customHeight="1" x14ac:dyDescent="0.25">
      <c r="T35201" s="135"/>
      <c r="U35201" s="135"/>
    </row>
    <row r="35202" spans="20:21" ht="15" customHeight="1" x14ac:dyDescent="0.25">
      <c r="T35202" s="135"/>
      <c r="U35202" s="135"/>
    </row>
    <row r="35203" spans="20:21" ht="15" customHeight="1" x14ac:dyDescent="0.25">
      <c r="T35203" s="135"/>
      <c r="U35203" s="135"/>
    </row>
    <row r="35204" spans="20:21" ht="15" customHeight="1" x14ac:dyDescent="0.25">
      <c r="T35204" s="135"/>
      <c r="U35204" s="135"/>
    </row>
    <row r="35205" spans="20:21" ht="15" customHeight="1" x14ac:dyDescent="0.25">
      <c r="T35205" s="135"/>
      <c r="U35205" s="135"/>
    </row>
    <row r="35206" spans="20:21" ht="15" customHeight="1" x14ac:dyDescent="0.25">
      <c r="T35206" s="135"/>
      <c r="U35206" s="135"/>
    </row>
    <row r="35207" spans="20:21" ht="15" customHeight="1" x14ac:dyDescent="0.25">
      <c r="T35207" s="135"/>
      <c r="U35207" s="135"/>
    </row>
    <row r="35208" spans="20:21" ht="15" customHeight="1" x14ac:dyDescent="0.25">
      <c r="T35208" s="135"/>
      <c r="U35208" s="135"/>
    </row>
    <row r="35209" spans="20:21" ht="15" customHeight="1" x14ac:dyDescent="0.25">
      <c r="T35209" s="135"/>
      <c r="U35209" s="135"/>
    </row>
    <row r="35210" spans="20:21" ht="15" customHeight="1" x14ac:dyDescent="0.25">
      <c r="T35210" s="135"/>
      <c r="U35210" s="135"/>
    </row>
    <row r="35211" spans="20:21" ht="15" customHeight="1" x14ac:dyDescent="0.25">
      <c r="T35211" s="135"/>
      <c r="U35211" s="135"/>
    </row>
    <row r="35212" spans="20:21" ht="15" customHeight="1" x14ac:dyDescent="0.25">
      <c r="T35212" s="135"/>
      <c r="U35212" s="135"/>
    </row>
    <row r="35213" spans="20:21" ht="15" customHeight="1" x14ac:dyDescent="0.25">
      <c r="T35213" s="135"/>
      <c r="U35213" s="135"/>
    </row>
    <row r="35214" spans="20:21" ht="15" customHeight="1" x14ac:dyDescent="0.25">
      <c r="T35214" s="135"/>
      <c r="U35214" s="135"/>
    </row>
    <row r="35215" spans="20:21" ht="15" customHeight="1" x14ac:dyDescent="0.25">
      <c r="T35215" s="135"/>
      <c r="U35215" s="135"/>
    </row>
    <row r="35216" spans="20:21" ht="15" customHeight="1" x14ac:dyDescent="0.25">
      <c r="T35216" s="135"/>
      <c r="U35216" s="135"/>
    </row>
    <row r="35217" spans="20:21" ht="15" customHeight="1" x14ac:dyDescent="0.25">
      <c r="T35217" s="135"/>
      <c r="U35217" s="135"/>
    </row>
    <row r="35218" spans="20:21" ht="15" customHeight="1" x14ac:dyDescent="0.25">
      <c r="T35218" s="135"/>
      <c r="U35218" s="135"/>
    </row>
    <row r="35219" spans="20:21" ht="15" customHeight="1" x14ac:dyDescent="0.25">
      <c r="T35219" s="135"/>
      <c r="U35219" s="135"/>
    </row>
    <row r="35220" spans="20:21" ht="15" customHeight="1" x14ac:dyDescent="0.25">
      <c r="T35220" s="135"/>
      <c r="U35220" s="135"/>
    </row>
    <row r="35221" spans="20:21" ht="15" customHeight="1" x14ac:dyDescent="0.25">
      <c r="T35221" s="135"/>
      <c r="U35221" s="135"/>
    </row>
    <row r="35222" spans="20:21" ht="15" customHeight="1" x14ac:dyDescent="0.25">
      <c r="T35222" s="135"/>
      <c r="U35222" s="135"/>
    </row>
    <row r="35223" spans="20:21" ht="15" customHeight="1" x14ac:dyDescent="0.25">
      <c r="T35223" s="135"/>
      <c r="U35223" s="135"/>
    </row>
    <row r="35224" spans="20:21" ht="15" customHeight="1" x14ac:dyDescent="0.25">
      <c r="T35224" s="135"/>
      <c r="U35224" s="135"/>
    </row>
    <row r="35225" spans="20:21" ht="15" customHeight="1" x14ac:dyDescent="0.25">
      <c r="T35225" s="135"/>
      <c r="U35225" s="135"/>
    </row>
    <row r="35226" spans="20:21" ht="15" customHeight="1" x14ac:dyDescent="0.25">
      <c r="T35226" s="135"/>
      <c r="U35226" s="135"/>
    </row>
    <row r="35227" spans="20:21" ht="15" customHeight="1" x14ac:dyDescent="0.25">
      <c r="T35227" s="135"/>
      <c r="U35227" s="135"/>
    </row>
    <row r="35228" spans="20:21" ht="15" customHeight="1" x14ac:dyDescent="0.25">
      <c r="T35228" s="135"/>
      <c r="U35228" s="135"/>
    </row>
    <row r="35229" spans="20:21" ht="15" customHeight="1" x14ac:dyDescent="0.25">
      <c r="T35229" s="135"/>
      <c r="U35229" s="135"/>
    </row>
    <row r="35230" spans="20:21" ht="15" customHeight="1" x14ac:dyDescent="0.25">
      <c r="T35230" s="135"/>
      <c r="U35230" s="135"/>
    </row>
    <row r="35231" spans="20:21" ht="15" customHeight="1" x14ac:dyDescent="0.25">
      <c r="T35231" s="135"/>
      <c r="U35231" s="135"/>
    </row>
    <row r="35232" spans="20:21" ht="15" customHeight="1" x14ac:dyDescent="0.25">
      <c r="T35232" s="135"/>
      <c r="U35232" s="135"/>
    </row>
    <row r="35233" spans="20:21" ht="15" customHeight="1" x14ac:dyDescent="0.25">
      <c r="T35233" s="135"/>
      <c r="U35233" s="135"/>
    </row>
    <row r="35234" spans="20:21" ht="15" customHeight="1" x14ac:dyDescent="0.25">
      <c r="T35234" s="135"/>
      <c r="U35234" s="135"/>
    </row>
    <row r="35235" spans="20:21" ht="15" customHeight="1" x14ac:dyDescent="0.25">
      <c r="T35235" s="135"/>
      <c r="U35235" s="135"/>
    </row>
    <row r="35236" spans="20:21" ht="15" customHeight="1" x14ac:dyDescent="0.25">
      <c r="T35236" s="135"/>
      <c r="U35236" s="135"/>
    </row>
    <row r="35237" spans="20:21" ht="15" customHeight="1" x14ac:dyDescent="0.25">
      <c r="T35237" s="135"/>
      <c r="U35237" s="135"/>
    </row>
    <row r="35238" spans="20:21" ht="15" customHeight="1" x14ac:dyDescent="0.25">
      <c r="T35238" s="135"/>
      <c r="U35238" s="135"/>
    </row>
    <row r="35239" spans="20:21" ht="15" customHeight="1" x14ac:dyDescent="0.25">
      <c r="T35239" s="135"/>
      <c r="U35239" s="135"/>
    </row>
    <row r="35240" spans="20:21" ht="15" customHeight="1" x14ac:dyDescent="0.25">
      <c r="T35240" s="135"/>
      <c r="U35240" s="135"/>
    </row>
    <row r="35241" spans="20:21" ht="15" customHeight="1" x14ac:dyDescent="0.25">
      <c r="T35241" s="135"/>
      <c r="U35241" s="135"/>
    </row>
    <row r="35242" spans="20:21" ht="15" customHeight="1" x14ac:dyDescent="0.25">
      <c r="T35242" s="135"/>
      <c r="U35242" s="135"/>
    </row>
    <row r="35243" spans="20:21" ht="15" customHeight="1" x14ac:dyDescent="0.25">
      <c r="T35243" s="135"/>
      <c r="U35243" s="135"/>
    </row>
    <row r="35244" spans="20:21" ht="15" customHeight="1" x14ac:dyDescent="0.25">
      <c r="T35244" s="135"/>
      <c r="U35244" s="135"/>
    </row>
    <row r="35245" spans="20:21" ht="15" customHeight="1" x14ac:dyDescent="0.25">
      <c r="T35245" s="135"/>
      <c r="U35245" s="135"/>
    </row>
    <row r="35246" spans="20:21" ht="15" customHeight="1" x14ac:dyDescent="0.25">
      <c r="T35246" s="135"/>
      <c r="U35246" s="135"/>
    </row>
    <row r="35247" spans="20:21" ht="15" customHeight="1" x14ac:dyDescent="0.25">
      <c r="T35247" s="135"/>
      <c r="U35247" s="135"/>
    </row>
    <row r="35248" spans="20:21" ht="15" customHeight="1" x14ac:dyDescent="0.25">
      <c r="T35248" s="135"/>
      <c r="U35248" s="135"/>
    </row>
    <row r="35249" spans="20:21" ht="15" customHeight="1" x14ac:dyDescent="0.25">
      <c r="T35249" s="135"/>
      <c r="U35249" s="135"/>
    </row>
    <row r="35250" spans="20:21" ht="15" customHeight="1" x14ac:dyDescent="0.25">
      <c r="T35250" s="135"/>
      <c r="U35250" s="135"/>
    </row>
    <row r="35251" spans="20:21" ht="15" customHeight="1" x14ac:dyDescent="0.25">
      <c r="T35251" s="135"/>
      <c r="U35251" s="135"/>
    </row>
    <row r="35252" spans="20:21" ht="15" customHeight="1" x14ac:dyDescent="0.25">
      <c r="T35252" s="135"/>
      <c r="U35252" s="135"/>
    </row>
    <row r="35253" spans="20:21" ht="15" customHeight="1" x14ac:dyDescent="0.25">
      <c r="T35253" s="135"/>
      <c r="U35253" s="135"/>
    </row>
    <row r="35254" spans="20:21" ht="15" customHeight="1" x14ac:dyDescent="0.25">
      <c r="T35254" s="135"/>
      <c r="U35254" s="135"/>
    </row>
    <row r="35255" spans="20:21" ht="15" customHeight="1" x14ac:dyDescent="0.25">
      <c r="T35255" s="135"/>
      <c r="U35255" s="135"/>
    </row>
    <row r="35256" spans="20:21" ht="15" customHeight="1" x14ac:dyDescent="0.25">
      <c r="T35256" s="135"/>
      <c r="U35256" s="135"/>
    </row>
    <row r="35257" spans="20:21" ht="15" customHeight="1" x14ac:dyDescent="0.25">
      <c r="T35257" s="135"/>
      <c r="U35257" s="135"/>
    </row>
    <row r="35258" spans="20:21" ht="15" customHeight="1" x14ac:dyDescent="0.25">
      <c r="T35258" s="135"/>
      <c r="U35258" s="135"/>
    </row>
    <row r="35259" spans="20:21" ht="15" customHeight="1" x14ac:dyDescent="0.25">
      <c r="T35259" s="135"/>
      <c r="U35259" s="135"/>
    </row>
    <row r="35260" spans="20:21" ht="15" customHeight="1" x14ac:dyDescent="0.25">
      <c r="T35260" s="135"/>
      <c r="U35260" s="135"/>
    </row>
    <row r="35261" spans="20:21" ht="15" customHeight="1" x14ac:dyDescent="0.25">
      <c r="T35261" s="135"/>
      <c r="U35261" s="135"/>
    </row>
    <row r="35262" spans="20:21" ht="15" customHeight="1" x14ac:dyDescent="0.25">
      <c r="T35262" s="135"/>
      <c r="U35262" s="135"/>
    </row>
    <row r="35263" spans="20:21" ht="15" customHeight="1" x14ac:dyDescent="0.25">
      <c r="T35263" s="135"/>
      <c r="U35263" s="135"/>
    </row>
    <row r="35264" spans="20:21" ht="15" customHeight="1" x14ac:dyDescent="0.25">
      <c r="T35264" s="135"/>
      <c r="U35264" s="135"/>
    </row>
    <row r="35265" spans="20:21" ht="15" customHeight="1" x14ac:dyDescent="0.25">
      <c r="T35265" s="135"/>
      <c r="U35265" s="135"/>
    </row>
    <row r="35266" spans="20:21" ht="15" customHeight="1" x14ac:dyDescent="0.25">
      <c r="T35266" s="135"/>
      <c r="U35266" s="135"/>
    </row>
    <row r="35267" spans="20:21" ht="15" customHeight="1" x14ac:dyDescent="0.25">
      <c r="T35267" s="135"/>
      <c r="U35267" s="135"/>
    </row>
    <row r="35268" spans="20:21" ht="15" customHeight="1" x14ac:dyDescent="0.25">
      <c r="T35268" s="135"/>
      <c r="U35268" s="135"/>
    </row>
    <row r="35269" spans="20:21" ht="15" customHeight="1" x14ac:dyDescent="0.25">
      <c r="T35269" s="135"/>
      <c r="U35269" s="135"/>
    </row>
    <row r="35270" spans="20:21" ht="15" customHeight="1" x14ac:dyDescent="0.25">
      <c r="T35270" s="135"/>
      <c r="U35270" s="135"/>
    </row>
    <row r="35271" spans="20:21" ht="15" customHeight="1" x14ac:dyDescent="0.25">
      <c r="T35271" s="135"/>
      <c r="U35271" s="135"/>
    </row>
    <row r="35272" spans="20:21" ht="15" customHeight="1" x14ac:dyDescent="0.25">
      <c r="T35272" s="135"/>
      <c r="U35272" s="135"/>
    </row>
    <row r="35273" spans="20:21" ht="15" customHeight="1" x14ac:dyDescent="0.25">
      <c r="T35273" s="135"/>
      <c r="U35273" s="135"/>
    </row>
    <row r="35274" spans="20:21" ht="15" customHeight="1" x14ac:dyDescent="0.25">
      <c r="T35274" s="135"/>
      <c r="U35274" s="135"/>
    </row>
    <row r="35275" spans="20:21" ht="15" customHeight="1" x14ac:dyDescent="0.25">
      <c r="T35275" s="135"/>
      <c r="U35275" s="135"/>
    </row>
    <row r="35276" spans="20:21" ht="15" customHeight="1" x14ac:dyDescent="0.25">
      <c r="T35276" s="135"/>
      <c r="U35276" s="135"/>
    </row>
    <row r="35277" spans="20:21" ht="15" customHeight="1" x14ac:dyDescent="0.25">
      <c r="T35277" s="135"/>
      <c r="U35277" s="135"/>
    </row>
    <row r="35278" spans="20:21" ht="15" customHeight="1" x14ac:dyDescent="0.25">
      <c r="T35278" s="135"/>
      <c r="U35278" s="135"/>
    </row>
    <row r="35279" spans="20:21" ht="15" customHeight="1" x14ac:dyDescent="0.25">
      <c r="T35279" s="135"/>
      <c r="U35279" s="135"/>
    </row>
    <row r="35280" spans="20:21" ht="15" customHeight="1" x14ac:dyDescent="0.25">
      <c r="T35280" s="135"/>
      <c r="U35280" s="135"/>
    </row>
    <row r="35281" spans="20:21" ht="15" customHeight="1" x14ac:dyDescent="0.25">
      <c r="T35281" s="135"/>
      <c r="U35281" s="135"/>
    </row>
    <row r="35282" spans="20:21" ht="15" customHeight="1" x14ac:dyDescent="0.25">
      <c r="T35282" s="135"/>
      <c r="U35282" s="135"/>
    </row>
    <row r="35283" spans="20:21" ht="15" customHeight="1" x14ac:dyDescent="0.25">
      <c r="T35283" s="135"/>
      <c r="U35283" s="135"/>
    </row>
    <row r="35284" spans="20:21" ht="15" customHeight="1" x14ac:dyDescent="0.25">
      <c r="T35284" s="135"/>
      <c r="U35284" s="135"/>
    </row>
    <row r="35285" spans="20:21" ht="15" customHeight="1" x14ac:dyDescent="0.25">
      <c r="T35285" s="135"/>
      <c r="U35285" s="135"/>
    </row>
    <row r="35286" spans="20:21" ht="15" customHeight="1" x14ac:dyDescent="0.25">
      <c r="T35286" s="135"/>
      <c r="U35286" s="135"/>
    </row>
    <row r="35287" spans="20:21" ht="15" customHeight="1" x14ac:dyDescent="0.25">
      <c r="T35287" s="135"/>
      <c r="U35287" s="135"/>
    </row>
    <row r="35288" spans="20:21" ht="15" customHeight="1" x14ac:dyDescent="0.25">
      <c r="T35288" s="135"/>
      <c r="U35288" s="135"/>
    </row>
    <row r="35289" spans="20:21" ht="15" customHeight="1" x14ac:dyDescent="0.25">
      <c r="T35289" s="135"/>
      <c r="U35289" s="135"/>
    </row>
    <row r="35290" spans="20:21" ht="15" customHeight="1" x14ac:dyDescent="0.25">
      <c r="T35290" s="135"/>
      <c r="U35290" s="135"/>
    </row>
    <row r="35291" spans="20:21" ht="15" customHeight="1" x14ac:dyDescent="0.25">
      <c r="T35291" s="135"/>
      <c r="U35291" s="135"/>
    </row>
    <row r="35292" spans="20:21" ht="15" customHeight="1" x14ac:dyDescent="0.25">
      <c r="T35292" s="135"/>
      <c r="U35292" s="135"/>
    </row>
    <row r="35293" spans="20:21" ht="15" customHeight="1" x14ac:dyDescent="0.25">
      <c r="T35293" s="135"/>
      <c r="U35293" s="135"/>
    </row>
    <row r="35294" spans="20:21" ht="15" customHeight="1" x14ac:dyDescent="0.25">
      <c r="T35294" s="135"/>
      <c r="U35294" s="135"/>
    </row>
    <row r="35295" spans="20:21" ht="15" customHeight="1" x14ac:dyDescent="0.25">
      <c r="T35295" s="135"/>
      <c r="U35295" s="135"/>
    </row>
    <row r="35296" spans="20:21" ht="15" customHeight="1" x14ac:dyDescent="0.25">
      <c r="T35296" s="135"/>
      <c r="U35296" s="135"/>
    </row>
    <row r="35297" spans="20:21" ht="15" customHeight="1" x14ac:dyDescent="0.25">
      <c r="T35297" s="135"/>
      <c r="U35297" s="135"/>
    </row>
    <row r="35298" spans="20:21" ht="15" customHeight="1" x14ac:dyDescent="0.25">
      <c r="T35298" s="135"/>
      <c r="U35298" s="135"/>
    </row>
    <row r="35299" spans="20:21" ht="15" customHeight="1" x14ac:dyDescent="0.25">
      <c r="T35299" s="135"/>
      <c r="U35299" s="135"/>
    </row>
    <row r="35300" spans="20:21" ht="15" customHeight="1" x14ac:dyDescent="0.25">
      <c r="T35300" s="135"/>
      <c r="U35300" s="135"/>
    </row>
    <row r="35301" spans="20:21" ht="15" customHeight="1" x14ac:dyDescent="0.25">
      <c r="T35301" s="135"/>
      <c r="U35301" s="135"/>
    </row>
    <row r="35302" spans="20:21" ht="15" customHeight="1" x14ac:dyDescent="0.25">
      <c r="T35302" s="135"/>
      <c r="U35302" s="135"/>
    </row>
    <row r="35303" spans="20:21" ht="15" customHeight="1" x14ac:dyDescent="0.25">
      <c r="T35303" s="135"/>
      <c r="U35303" s="135"/>
    </row>
    <row r="35304" spans="20:21" ht="15" customHeight="1" x14ac:dyDescent="0.25">
      <c r="T35304" s="135"/>
      <c r="U35304" s="135"/>
    </row>
    <row r="35305" spans="20:21" ht="15" customHeight="1" x14ac:dyDescent="0.25">
      <c r="T35305" s="135"/>
      <c r="U35305" s="135"/>
    </row>
    <row r="35306" spans="20:21" ht="15" customHeight="1" x14ac:dyDescent="0.25">
      <c r="T35306" s="135"/>
      <c r="U35306" s="135"/>
    </row>
    <row r="35307" spans="20:21" ht="15" customHeight="1" x14ac:dyDescent="0.25">
      <c r="T35307" s="135"/>
      <c r="U35307" s="135"/>
    </row>
    <row r="35308" spans="20:21" ht="15" customHeight="1" x14ac:dyDescent="0.25">
      <c r="T35308" s="135"/>
      <c r="U35308" s="135"/>
    </row>
    <row r="35309" spans="20:21" ht="15" customHeight="1" x14ac:dyDescent="0.25">
      <c r="T35309" s="135"/>
      <c r="U35309" s="135"/>
    </row>
    <row r="35310" spans="20:21" ht="15" customHeight="1" x14ac:dyDescent="0.25">
      <c r="T35310" s="135"/>
      <c r="U35310" s="135"/>
    </row>
    <row r="35311" spans="20:21" ht="15" customHeight="1" x14ac:dyDescent="0.25">
      <c r="T35311" s="135"/>
      <c r="U35311" s="135"/>
    </row>
    <row r="35312" spans="20:21" ht="15" customHeight="1" x14ac:dyDescent="0.25">
      <c r="T35312" s="135"/>
      <c r="U35312" s="135"/>
    </row>
    <row r="35313" spans="20:21" ht="15" customHeight="1" x14ac:dyDescent="0.25">
      <c r="T35313" s="135"/>
      <c r="U35313" s="135"/>
    </row>
    <row r="35314" spans="20:21" ht="15" customHeight="1" x14ac:dyDescent="0.25">
      <c r="T35314" s="135"/>
      <c r="U35314" s="135"/>
    </row>
    <row r="35315" spans="20:21" ht="15" customHeight="1" x14ac:dyDescent="0.25">
      <c r="T35315" s="135"/>
      <c r="U35315" s="135"/>
    </row>
    <row r="35316" spans="20:21" ht="15" customHeight="1" x14ac:dyDescent="0.25">
      <c r="T35316" s="135"/>
      <c r="U35316" s="135"/>
    </row>
    <row r="35317" spans="20:21" ht="15" customHeight="1" x14ac:dyDescent="0.25">
      <c r="T35317" s="135"/>
      <c r="U35317" s="135"/>
    </row>
    <row r="35318" spans="20:21" ht="15" customHeight="1" x14ac:dyDescent="0.25">
      <c r="T35318" s="135"/>
      <c r="U35318" s="135"/>
    </row>
    <row r="35319" spans="20:21" ht="15" customHeight="1" x14ac:dyDescent="0.25">
      <c r="T35319" s="135"/>
      <c r="U35319" s="135"/>
    </row>
    <row r="35320" spans="20:21" ht="15" customHeight="1" x14ac:dyDescent="0.25">
      <c r="T35320" s="135"/>
      <c r="U35320" s="135"/>
    </row>
    <row r="35321" spans="20:21" ht="15" customHeight="1" x14ac:dyDescent="0.25">
      <c r="T35321" s="135"/>
      <c r="U35321" s="135"/>
    </row>
    <row r="35322" spans="20:21" ht="15" customHeight="1" x14ac:dyDescent="0.25">
      <c r="T35322" s="135"/>
      <c r="U35322" s="135"/>
    </row>
    <row r="35323" spans="20:21" ht="15" customHeight="1" x14ac:dyDescent="0.25">
      <c r="T35323" s="135"/>
      <c r="U35323" s="135"/>
    </row>
    <row r="35324" spans="20:21" ht="15" customHeight="1" x14ac:dyDescent="0.25">
      <c r="T35324" s="135"/>
      <c r="U35324" s="135"/>
    </row>
    <row r="35325" spans="20:21" ht="15" customHeight="1" x14ac:dyDescent="0.25">
      <c r="T35325" s="135"/>
      <c r="U35325" s="135"/>
    </row>
    <row r="35326" spans="20:21" ht="15" customHeight="1" x14ac:dyDescent="0.25">
      <c r="T35326" s="135"/>
      <c r="U35326" s="135"/>
    </row>
    <row r="35327" spans="20:21" ht="15" customHeight="1" x14ac:dyDescent="0.25">
      <c r="T35327" s="135"/>
      <c r="U35327" s="135"/>
    </row>
    <row r="35328" spans="20:21" ht="15" customHeight="1" x14ac:dyDescent="0.25">
      <c r="T35328" s="135"/>
      <c r="U35328" s="135"/>
    </row>
    <row r="35329" spans="20:21" ht="15" customHeight="1" x14ac:dyDescent="0.25">
      <c r="T35329" s="135"/>
      <c r="U35329" s="135"/>
    </row>
    <row r="35330" spans="20:21" ht="15" customHeight="1" x14ac:dyDescent="0.25">
      <c r="T35330" s="135"/>
      <c r="U35330" s="135"/>
    </row>
    <row r="35331" spans="20:21" ht="15" customHeight="1" x14ac:dyDescent="0.25">
      <c r="T35331" s="135"/>
      <c r="U35331" s="135"/>
    </row>
    <row r="35332" spans="20:21" ht="15" customHeight="1" x14ac:dyDescent="0.25">
      <c r="T35332" s="135"/>
      <c r="U35332" s="135"/>
    </row>
    <row r="35333" spans="20:21" ht="15" customHeight="1" x14ac:dyDescent="0.25">
      <c r="T35333" s="135"/>
      <c r="U35333" s="135"/>
    </row>
    <row r="35334" spans="20:21" ht="15" customHeight="1" x14ac:dyDescent="0.25">
      <c r="T35334" s="135"/>
      <c r="U35334" s="135"/>
    </row>
    <row r="35335" spans="20:21" ht="15" customHeight="1" x14ac:dyDescent="0.25">
      <c r="T35335" s="135"/>
      <c r="U35335" s="135"/>
    </row>
    <row r="35336" spans="20:21" ht="15" customHeight="1" x14ac:dyDescent="0.25">
      <c r="T35336" s="135"/>
      <c r="U35336" s="135"/>
    </row>
    <row r="35337" spans="20:21" ht="15" customHeight="1" x14ac:dyDescent="0.25">
      <c r="T35337" s="135"/>
      <c r="U35337" s="135"/>
    </row>
    <row r="35338" spans="20:21" ht="15" customHeight="1" x14ac:dyDescent="0.25">
      <c r="T35338" s="135"/>
      <c r="U35338" s="135"/>
    </row>
    <row r="35339" spans="20:21" ht="15" customHeight="1" x14ac:dyDescent="0.25">
      <c r="T35339" s="135"/>
      <c r="U35339" s="135"/>
    </row>
    <row r="35340" spans="20:21" ht="15" customHeight="1" x14ac:dyDescent="0.25">
      <c r="T35340" s="135"/>
      <c r="U35340" s="135"/>
    </row>
    <row r="35341" spans="20:21" ht="15" customHeight="1" x14ac:dyDescent="0.25">
      <c r="T35341" s="135"/>
      <c r="U35341" s="135"/>
    </row>
    <row r="35342" spans="20:21" ht="15" customHeight="1" x14ac:dyDescent="0.25">
      <c r="T35342" s="135"/>
      <c r="U35342" s="135"/>
    </row>
    <row r="35343" spans="20:21" ht="15" customHeight="1" x14ac:dyDescent="0.25">
      <c r="T35343" s="135"/>
      <c r="U35343" s="135"/>
    </row>
    <row r="35344" spans="20:21" ht="15" customHeight="1" x14ac:dyDescent="0.25">
      <c r="T35344" s="135"/>
      <c r="U35344" s="135"/>
    </row>
    <row r="35345" spans="20:21" ht="15" customHeight="1" x14ac:dyDescent="0.25">
      <c r="T35345" s="135"/>
      <c r="U35345" s="135"/>
    </row>
    <row r="35346" spans="20:21" ht="15" customHeight="1" x14ac:dyDescent="0.25">
      <c r="T35346" s="135"/>
      <c r="U35346" s="135"/>
    </row>
    <row r="35347" spans="20:21" ht="15" customHeight="1" x14ac:dyDescent="0.25">
      <c r="T35347" s="135"/>
      <c r="U35347" s="135"/>
    </row>
    <row r="35348" spans="20:21" ht="15" customHeight="1" x14ac:dyDescent="0.25">
      <c r="T35348" s="135"/>
      <c r="U35348" s="135"/>
    </row>
    <row r="35349" spans="20:21" ht="15" customHeight="1" x14ac:dyDescent="0.25">
      <c r="T35349" s="135"/>
      <c r="U35349" s="135"/>
    </row>
    <row r="35350" spans="20:21" ht="15" customHeight="1" x14ac:dyDescent="0.25">
      <c r="T35350" s="135"/>
      <c r="U35350" s="135"/>
    </row>
    <row r="35351" spans="20:21" ht="15" customHeight="1" x14ac:dyDescent="0.25">
      <c r="T35351" s="135"/>
      <c r="U35351" s="135"/>
    </row>
    <row r="35352" spans="20:21" ht="15" customHeight="1" x14ac:dyDescent="0.25">
      <c r="T35352" s="135"/>
      <c r="U35352" s="135"/>
    </row>
    <row r="35353" spans="20:21" ht="15" customHeight="1" x14ac:dyDescent="0.25">
      <c r="T35353" s="135"/>
      <c r="U35353" s="135"/>
    </row>
    <row r="35354" spans="20:21" ht="15" customHeight="1" x14ac:dyDescent="0.25">
      <c r="T35354" s="135"/>
      <c r="U35354" s="135"/>
    </row>
    <row r="35355" spans="20:21" ht="15" customHeight="1" x14ac:dyDescent="0.25">
      <c r="T35355" s="135"/>
      <c r="U35355" s="135"/>
    </row>
    <row r="35356" spans="20:21" ht="15" customHeight="1" x14ac:dyDescent="0.25">
      <c r="T35356" s="135"/>
      <c r="U35356" s="135"/>
    </row>
    <row r="35357" spans="20:21" ht="15" customHeight="1" x14ac:dyDescent="0.25">
      <c r="T35357" s="135"/>
      <c r="U35357" s="135"/>
    </row>
    <row r="35358" spans="20:21" ht="15" customHeight="1" x14ac:dyDescent="0.25">
      <c r="T35358" s="135"/>
      <c r="U35358" s="135"/>
    </row>
    <row r="35359" spans="20:21" ht="15" customHeight="1" x14ac:dyDescent="0.25">
      <c r="T35359" s="135"/>
      <c r="U35359" s="135"/>
    </row>
    <row r="35360" spans="20:21" ht="15" customHeight="1" x14ac:dyDescent="0.25">
      <c r="T35360" s="135"/>
      <c r="U35360" s="135"/>
    </row>
    <row r="35361" spans="20:21" ht="15" customHeight="1" x14ac:dyDescent="0.25">
      <c r="T35361" s="135"/>
      <c r="U35361" s="135"/>
    </row>
    <row r="35362" spans="20:21" ht="15" customHeight="1" x14ac:dyDescent="0.25">
      <c r="T35362" s="135"/>
      <c r="U35362" s="135"/>
    </row>
    <row r="35363" spans="20:21" ht="15" customHeight="1" x14ac:dyDescent="0.25">
      <c r="T35363" s="135"/>
      <c r="U35363" s="135"/>
    </row>
    <row r="35364" spans="20:21" ht="15" customHeight="1" x14ac:dyDescent="0.25">
      <c r="T35364" s="135"/>
      <c r="U35364" s="135"/>
    </row>
    <row r="35365" spans="20:21" ht="15" customHeight="1" x14ac:dyDescent="0.25">
      <c r="T35365" s="135"/>
      <c r="U35365" s="135"/>
    </row>
    <row r="35366" spans="20:21" ht="15" customHeight="1" x14ac:dyDescent="0.25">
      <c r="T35366" s="135"/>
      <c r="U35366" s="135"/>
    </row>
    <row r="35367" spans="20:21" ht="15" customHeight="1" x14ac:dyDescent="0.25">
      <c r="T35367" s="135"/>
      <c r="U35367" s="135"/>
    </row>
    <row r="35368" spans="20:21" ht="15" customHeight="1" x14ac:dyDescent="0.25">
      <c r="T35368" s="135"/>
      <c r="U35368" s="135"/>
    </row>
    <row r="35369" spans="20:21" ht="15" customHeight="1" x14ac:dyDescent="0.25">
      <c r="T35369" s="135"/>
      <c r="U35369" s="135"/>
    </row>
    <row r="35370" spans="20:21" ht="15" customHeight="1" x14ac:dyDescent="0.25">
      <c r="T35370" s="135"/>
      <c r="U35370" s="135"/>
    </row>
    <row r="35371" spans="20:21" ht="15" customHeight="1" x14ac:dyDescent="0.25">
      <c r="T35371" s="135"/>
      <c r="U35371" s="135"/>
    </row>
    <row r="35372" spans="20:21" ht="15" customHeight="1" x14ac:dyDescent="0.25">
      <c r="T35372" s="135"/>
      <c r="U35372" s="135"/>
    </row>
    <row r="35373" spans="20:21" ht="15" customHeight="1" x14ac:dyDescent="0.25">
      <c r="T35373" s="135"/>
      <c r="U35373" s="135"/>
    </row>
    <row r="35374" spans="20:21" ht="15" customHeight="1" x14ac:dyDescent="0.25">
      <c r="T35374" s="135"/>
      <c r="U35374" s="135"/>
    </row>
    <row r="35375" spans="20:21" ht="15" customHeight="1" x14ac:dyDescent="0.25">
      <c r="T35375" s="135"/>
      <c r="U35375" s="135"/>
    </row>
    <row r="35376" spans="20:21" ht="15" customHeight="1" x14ac:dyDescent="0.25">
      <c r="T35376" s="135"/>
      <c r="U35376" s="135"/>
    </row>
    <row r="35377" spans="20:21" ht="15" customHeight="1" x14ac:dyDescent="0.25">
      <c r="T35377" s="135"/>
      <c r="U35377" s="135"/>
    </row>
    <row r="35378" spans="20:21" ht="15" customHeight="1" x14ac:dyDescent="0.25">
      <c r="T35378" s="135"/>
      <c r="U35378" s="135"/>
    </row>
    <row r="35379" spans="20:21" ht="15" customHeight="1" x14ac:dyDescent="0.25">
      <c r="T35379" s="135"/>
      <c r="U35379" s="135"/>
    </row>
    <row r="35380" spans="20:21" ht="15" customHeight="1" x14ac:dyDescent="0.25">
      <c r="T35380" s="135"/>
      <c r="U35380" s="135"/>
    </row>
    <row r="35381" spans="20:21" ht="15" customHeight="1" x14ac:dyDescent="0.25">
      <c r="T35381" s="135"/>
      <c r="U35381" s="135"/>
    </row>
    <row r="35382" spans="20:21" ht="15" customHeight="1" x14ac:dyDescent="0.25">
      <c r="T35382" s="135"/>
      <c r="U35382" s="135"/>
    </row>
    <row r="35383" spans="20:21" ht="15" customHeight="1" x14ac:dyDescent="0.25">
      <c r="T35383" s="135"/>
      <c r="U35383" s="135"/>
    </row>
    <row r="35384" spans="20:21" ht="15" customHeight="1" x14ac:dyDescent="0.25">
      <c r="T35384" s="135"/>
      <c r="U35384" s="135"/>
    </row>
    <row r="35385" spans="20:21" ht="15" customHeight="1" x14ac:dyDescent="0.25">
      <c r="T35385" s="135"/>
      <c r="U35385" s="135"/>
    </row>
    <row r="35386" spans="20:21" ht="15" customHeight="1" x14ac:dyDescent="0.25">
      <c r="T35386" s="135"/>
      <c r="U35386" s="135"/>
    </row>
    <row r="35387" spans="20:21" ht="15" customHeight="1" x14ac:dyDescent="0.25">
      <c r="T35387" s="135"/>
      <c r="U35387" s="135"/>
    </row>
    <row r="35388" spans="20:21" ht="15" customHeight="1" x14ac:dyDescent="0.25">
      <c r="T35388" s="135"/>
      <c r="U35388" s="135"/>
    </row>
    <row r="35389" spans="20:21" ht="15" customHeight="1" x14ac:dyDescent="0.25">
      <c r="T35389" s="135"/>
      <c r="U35389" s="135"/>
    </row>
    <row r="35390" spans="20:21" ht="15" customHeight="1" x14ac:dyDescent="0.25">
      <c r="T35390" s="135"/>
      <c r="U35390" s="135"/>
    </row>
    <row r="35391" spans="20:21" ht="15" customHeight="1" x14ac:dyDescent="0.25">
      <c r="T35391" s="135"/>
      <c r="U35391" s="135"/>
    </row>
    <row r="35392" spans="20:21" ht="15" customHeight="1" x14ac:dyDescent="0.25">
      <c r="T35392" s="135"/>
      <c r="U35392" s="135"/>
    </row>
    <row r="35393" spans="20:21" ht="15" customHeight="1" x14ac:dyDescent="0.25">
      <c r="T35393" s="135"/>
      <c r="U35393" s="135"/>
    </row>
    <row r="35394" spans="20:21" ht="15" customHeight="1" x14ac:dyDescent="0.25">
      <c r="T35394" s="135"/>
      <c r="U35394" s="135"/>
    </row>
    <row r="35395" spans="20:21" ht="15" customHeight="1" x14ac:dyDescent="0.25">
      <c r="T35395" s="135"/>
      <c r="U35395" s="135"/>
    </row>
    <row r="35396" spans="20:21" ht="15" customHeight="1" x14ac:dyDescent="0.25">
      <c r="T35396" s="135"/>
      <c r="U35396" s="135"/>
    </row>
    <row r="35397" spans="20:21" ht="15" customHeight="1" x14ac:dyDescent="0.25">
      <c r="T35397" s="135"/>
      <c r="U35397" s="135"/>
    </row>
    <row r="35398" spans="20:21" ht="15" customHeight="1" x14ac:dyDescent="0.25">
      <c r="T35398" s="135"/>
      <c r="U35398" s="135"/>
    </row>
    <row r="35399" spans="20:21" ht="15" customHeight="1" x14ac:dyDescent="0.25">
      <c r="T35399" s="135"/>
      <c r="U35399" s="135"/>
    </row>
    <row r="35400" spans="20:21" ht="15" customHeight="1" x14ac:dyDescent="0.25">
      <c r="T35400" s="135"/>
      <c r="U35400" s="135"/>
    </row>
    <row r="35401" spans="20:21" ht="15" customHeight="1" x14ac:dyDescent="0.25">
      <c r="T35401" s="135"/>
      <c r="U35401" s="135"/>
    </row>
    <row r="35402" spans="20:21" ht="15" customHeight="1" x14ac:dyDescent="0.25">
      <c r="T35402" s="135"/>
      <c r="U35402" s="135"/>
    </row>
    <row r="35403" spans="20:21" ht="15" customHeight="1" x14ac:dyDescent="0.25">
      <c r="T35403" s="135"/>
      <c r="U35403" s="135"/>
    </row>
    <row r="35404" spans="20:21" ht="15" customHeight="1" x14ac:dyDescent="0.25">
      <c r="T35404" s="135"/>
      <c r="U35404" s="135"/>
    </row>
    <row r="35405" spans="20:21" ht="15" customHeight="1" x14ac:dyDescent="0.25">
      <c r="T35405" s="135"/>
      <c r="U35405" s="135"/>
    </row>
    <row r="35406" spans="20:21" ht="15" customHeight="1" x14ac:dyDescent="0.25">
      <c r="T35406" s="135"/>
      <c r="U35406" s="135"/>
    </row>
    <row r="35407" spans="20:21" ht="15" customHeight="1" x14ac:dyDescent="0.25">
      <c r="T35407" s="135"/>
      <c r="U35407" s="135"/>
    </row>
    <row r="35408" spans="20:21" ht="15" customHeight="1" x14ac:dyDescent="0.25">
      <c r="T35408" s="135"/>
      <c r="U35408" s="135"/>
    </row>
    <row r="35409" spans="20:21" ht="15" customHeight="1" x14ac:dyDescent="0.25">
      <c r="T35409" s="135"/>
      <c r="U35409" s="135"/>
    </row>
    <row r="35410" spans="20:21" ht="15" customHeight="1" x14ac:dyDescent="0.25">
      <c r="T35410" s="135"/>
      <c r="U35410" s="135"/>
    </row>
    <row r="35411" spans="20:21" ht="15" customHeight="1" x14ac:dyDescent="0.25">
      <c r="T35411" s="135"/>
      <c r="U35411" s="135"/>
    </row>
    <row r="35412" spans="20:21" ht="15" customHeight="1" x14ac:dyDescent="0.25">
      <c r="T35412" s="135"/>
      <c r="U35412" s="135"/>
    </row>
    <row r="35413" spans="20:21" ht="15" customHeight="1" x14ac:dyDescent="0.25">
      <c r="T35413" s="135"/>
      <c r="U35413" s="135"/>
    </row>
    <row r="35414" spans="20:21" ht="15" customHeight="1" x14ac:dyDescent="0.25">
      <c r="T35414" s="135"/>
      <c r="U35414" s="135"/>
    </row>
    <row r="35415" spans="20:21" ht="15" customHeight="1" x14ac:dyDescent="0.25">
      <c r="T35415" s="135"/>
      <c r="U35415" s="135"/>
    </row>
    <row r="35416" spans="20:21" ht="15" customHeight="1" x14ac:dyDescent="0.25">
      <c r="T35416" s="135"/>
      <c r="U35416" s="135"/>
    </row>
    <row r="35417" spans="20:21" ht="15" customHeight="1" x14ac:dyDescent="0.25">
      <c r="T35417" s="135"/>
      <c r="U35417" s="135"/>
    </row>
    <row r="35418" spans="20:21" ht="15" customHeight="1" x14ac:dyDescent="0.25">
      <c r="T35418" s="135"/>
      <c r="U35418" s="135"/>
    </row>
    <row r="35419" spans="20:21" ht="15" customHeight="1" x14ac:dyDescent="0.25">
      <c r="T35419" s="135"/>
      <c r="U35419" s="135"/>
    </row>
    <row r="35420" spans="20:21" ht="15" customHeight="1" x14ac:dyDescent="0.25">
      <c r="T35420" s="135"/>
      <c r="U35420" s="135"/>
    </row>
    <row r="35421" spans="20:21" ht="15" customHeight="1" x14ac:dyDescent="0.25">
      <c r="T35421" s="135"/>
      <c r="U35421" s="135"/>
    </row>
    <row r="35422" spans="20:21" ht="15" customHeight="1" x14ac:dyDescent="0.25">
      <c r="T35422" s="135"/>
      <c r="U35422" s="135"/>
    </row>
    <row r="35423" spans="20:21" ht="15" customHeight="1" x14ac:dyDescent="0.25">
      <c r="T35423" s="135"/>
      <c r="U35423" s="135"/>
    </row>
    <row r="35424" spans="20:21" ht="15" customHeight="1" x14ac:dyDescent="0.25">
      <c r="T35424" s="135"/>
      <c r="U35424" s="135"/>
    </row>
    <row r="35425" spans="20:21" ht="15" customHeight="1" x14ac:dyDescent="0.25">
      <c r="T35425" s="135"/>
      <c r="U35425" s="135"/>
    </row>
    <row r="35426" spans="20:21" ht="15" customHeight="1" x14ac:dyDescent="0.25">
      <c r="T35426" s="135"/>
      <c r="U35426" s="135"/>
    </row>
    <row r="35427" spans="20:21" ht="15" customHeight="1" x14ac:dyDescent="0.25">
      <c r="T35427" s="135"/>
      <c r="U35427" s="135"/>
    </row>
    <row r="35428" spans="20:21" ht="15" customHeight="1" x14ac:dyDescent="0.25">
      <c r="T35428" s="135"/>
      <c r="U35428" s="135"/>
    </row>
    <row r="35429" spans="20:21" ht="15" customHeight="1" x14ac:dyDescent="0.25">
      <c r="T35429" s="135"/>
      <c r="U35429" s="135"/>
    </row>
    <row r="35430" spans="20:21" ht="15" customHeight="1" x14ac:dyDescent="0.25">
      <c r="T35430" s="135"/>
      <c r="U35430" s="135"/>
    </row>
    <row r="35431" spans="20:21" ht="15" customHeight="1" x14ac:dyDescent="0.25">
      <c r="T35431" s="135"/>
      <c r="U35431" s="135"/>
    </row>
    <row r="35432" spans="20:21" ht="15" customHeight="1" x14ac:dyDescent="0.25">
      <c r="T35432" s="135"/>
      <c r="U35432" s="135"/>
    </row>
    <row r="35433" spans="20:21" ht="15" customHeight="1" x14ac:dyDescent="0.25">
      <c r="T35433" s="135"/>
      <c r="U35433" s="135"/>
    </row>
    <row r="35434" spans="20:21" ht="15" customHeight="1" x14ac:dyDescent="0.25">
      <c r="T35434" s="135"/>
      <c r="U35434" s="135"/>
    </row>
    <row r="35435" spans="20:21" ht="15" customHeight="1" x14ac:dyDescent="0.25">
      <c r="T35435" s="135"/>
      <c r="U35435" s="135"/>
    </row>
    <row r="35436" spans="20:21" ht="15" customHeight="1" x14ac:dyDescent="0.25">
      <c r="T35436" s="135"/>
      <c r="U35436" s="135"/>
    </row>
    <row r="35437" spans="20:21" ht="15" customHeight="1" x14ac:dyDescent="0.25">
      <c r="T35437" s="135"/>
      <c r="U35437" s="135"/>
    </row>
    <row r="35438" spans="20:21" ht="15" customHeight="1" x14ac:dyDescent="0.25">
      <c r="T35438" s="135"/>
      <c r="U35438" s="135"/>
    </row>
    <row r="35439" spans="20:21" ht="15" customHeight="1" x14ac:dyDescent="0.25">
      <c r="T35439" s="135"/>
      <c r="U35439" s="135"/>
    </row>
    <row r="35440" spans="20:21" ht="15" customHeight="1" x14ac:dyDescent="0.25">
      <c r="T35440" s="135"/>
      <c r="U35440" s="135"/>
    </row>
    <row r="35441" spans="20:21" ht="15" customHeight="1" x14ac:dyDescent="0.25">
      <c r="T35441" s="135"/>
      <c r="U35441" s="135"/>
    </row>
    <row r="35442" spans="20:21" ht="15" customHeight="1" x14ac:dyDescent="0.25">
      <c r="T35442" s="135"/>
      <c r="U35442" s="135"/>
    </row>
    <row r="35443" spans="20:21" ht="15" customHeight="1" x14ac:dyDescent="0.25">
      <c r="T35443" s="135"/>
      <c r="U35443" s="135"/>
    </row>
    <row r="35444" spans="20:21" ht="15" customHeight="1" x14ac:dyDescent="0.25">
      <c r="T35444" s="135"/>
      <c r="U35444" s="135"/>
    </row>
    <row r="35445" spans="20:21" ht="15" customHeight="1" x14ac:dyDescent="0.25">
      <c r="T35445" s="135"/>
      <c r="U35445" s="135"/>
    </row>
    <row r="35446" spans="20:21" ht="15" customHeight="1" x14ac:dyDescent="0.25">
      <c r="T35446" s="135"/>
      <c r="U35446" s="135"/>
    </row>
    <row r="35447" spans="20:21" ht="15" customHeight="1" x14ac:dyDescent="0.25">
      <c r="T35447" s="135"/>
      <c r="U35447" s="135"/>
    </row>
    <row r="35448" spans="20:21" ht="15" customHeight="1" x14ac:dyDescent="0.25">
      <c r="T35448" s="135"/>
      <c r="U35448" s="135"/>
    </row>
    <row r="35449" spans="20:21" ht="15" customHeight="1" x14ac:dyDescent="0.25">
      <c r="T35449" s="135"/>
      <c r="U35449" s="135"/>
    </row>
    <row r="35450" spans="20:21" ht="15" customHeight="1" x14ac:dyDescent="0.25">
      <c r="T35450" s="135"/>
      <c r="U35450" s="135"/>
    </row>
    <row r="35451" spans="20:21" ht="15" customHeight="1" x14ac:dyDescent="0.25">
      <c r="T35451" s="135"/>
      <c r="U35451" s="135"/>
    </row>
    <row r="35452" spans="20:21" ht="15" customHeight="1" x14ac:dyDescent="0.25">
      <c r="T35452" s="135"/>
      <c r="U35452" s="135"/>
    </row>
    <row r="35453" spans="20:21" ht="15" customHeight="1" x14ac:dyDescent="0.25">
      <c r="T35453" s="135"/>
      <c r="U35453" s="135"/>
    </row>
    <row r="35454" spans="20:21" ht="15" customHeight="1" x14ac:dyDescent="0.25">
      <c r="T35454" s="135"/>
      <c r="U35454" s="135"/>
    </row>
    <row r="35455" spans="20:21" ht="15" customHeight="1" x14ac:dyDescent="0.25">
      <c r="T35455" s="135"/>
      <c r="U35455" s="135"/>
    </row>
    <row r="35456" spans="20:21" ht="15" customHeight="1" x14ac:dyDescent="0.25">
      <c r="T35456" s="135"/>
      <c r="U35456" s="135"/>
    </row>
    <row r="35457" spans="20:21" ht="15" customHeight="1" x14ac:dyDescent="0.25">
      <c r="T35457" s="135"/>
      <c r="U35457" s="135"/>
    </row>
    <row r="35458" spans="20:21" ht="15" customHeight="1" x14ac:dyDescent="0.25">
      <c r="T35458" s="135"/>
      <c r="U35458" s="135"/>
    </row>
    <row r="35459" spans="20:21" ht="15" customHeight="1" x14ac:dyDescent="0.25">
      <c r="T35459" s="135"/>
      <c r="U35459" s="135"/>
    </row>
    <row r="35460" spans="20:21" ht="15" customHeight="1" x14ac:dyDescent="0.25">
      <c r="T35460" s="135"/>
      <c r="U35460" s="135"/>
    </row>
    <row r="35461" spans="20:21" ht="15" customHeight="1" x14ac:dyDescent="0.25">
      <c r="T35461" s="135"/>
      <c r="U35461" s="135"/>
    </row>
    <row r="35462" spans="20:21" ht="15" customHeight="1" x14ac:dyDescent="0.25">
      <c r="T35462" s="135"/>
      <c r="U35462" s="135"/>
    </row>
    <row r="35463" spans="20:21" ht="15" customHeight="1" x14ac:dyDescent="0.25">
      <c r="T35463" s="135"/>
      <c r="U35463" s="135"/>
    </row>
    <row r="35464" spans="20:21" ht="15" customHeight="1" x14ac:dyDescent="0.25">
      <c r="T35464" s="135"/>
      <c r="U35464" s="135"/>
    </row>
    <row r="35465" spans="20:21" ht="15" customHeight="1" x14ac:dyDescent="0.25">
      <c r="T35465" s="135"/>
      <c r="U35465" s="135"/>
    </row>
    <row r="35466" spans="20:21" ht="15" customHeight="1" x14ac:dyDescent="0.25">
      <c r="T35466" s="135"/>
      <c r="U35466" s="135"/>
    </row>
    <row r="35467" spans="20:21" ht="15" customHeight="1" x14ac:dyDescent="0.25">
      <c r="T35467" s="135"/>
      <c r="U35467" s="135"/>
    </row>
    <row r="35468" spans="20:21" ht="15" customHeight="1" x14ac:dyDescent="0.25">
      <c r="T35468" s="135"/>
      <c r="U35468" s="135"/>
    </row>
    <row r="35469" spans="20:21" ht="15" customHeight="1" x14ac:dyDescent="0.25">
      <c r="T35469" s="135"/>
      <c r="U35469" s="135"/>
    </row>
    <row r="35470" spans="20:21" ht="15" customHeight="1" x14ac:dyDescent="0.25">
      <c r="T35470" s="135"/>
      <c r="U35470" s="135"/>
    </row>
    <row r="35471" spans="20:21" ht="15" customHeight="1" x14ac:dyDescent="0.25">
      <c r="T35471" s="135"/>
      <c r="U35471" s="135"/>
    </row>
    <row r="35472" spans="20:21" ht="15" customHeight="1" x14ac:dyDescent="0.25">
      <c r="T35472" s="135"/>
      <c r="U35472" s="135"/>
    </row>
    <row r="35473" spans="20:21" ht="15" customHeight="1" x14ac:dyDescent="0.25">
      <c r="T35473" s="135"/>
      <c r="U35473" s="135"/>
    </row>
    <row r="35474" spans="20:21" ht="15" customHeight="1" x14ac:dyDescent="0.25">
      <c r="T35474" s="135"/>
      <c r="U35474" s="135"/>
    </row>
    <row r="35475" spans="20:21" ht="15" customHeight="1" x14ac:dyDescent="0.25">
      <c r="T35475" s="135"/>
      <c r="U35475" s="135"/>
    </row>
    <row r="35476" spans="20:21" ht="15" customHeight="1" x14ac:dyDescent="0.25">
      <c r="T35476" s="135"/>
      <c r="U35476" s="135"/>
    </row>
    <row r="35477" spans="20:21" ht="15" customHeight="1" x14ac:dyDescent="0.25">
      <c r="T35477" s="135"/>
      <c r="U35477" s="135"/>
    </row>
    <row r="35478" spans="20:21" ht="15" customHeight="1" x14ac:dyDescent="0.25">
      <c r="T35478" s="135"/>
      <c r="U35478" s="135"/>
    </row>
    <row r="35479" spans="20:21" ht="15" customHeight="1" x14ac:dyDescent="0.25">
      <c r="T35479" s="135"/>
      <c r="U35479" s="135"/>
    </row>
    <row r="35480" spans="20:21" ht="15" customHeight="1" x14ac:dyDescent="0.25">
      <c r="T35480" s="135"/>
      <c r="U35480" s="135"/>
    </row>
    <row r="35481" spans="20:21" ht="15" customHeight="1" x14ac:dyDescent="0.25">
      <c r="T35481" s="135"/>
      <c r="U35481" s="135"/>
    </row>
    <row r="35482" spans="20:21" ht="15" customHeight="1" x14ac:dyDescent="0.25">
      <c r="T35482" s="135"/>
      <c r="U35482" s="135"/>
    </row>
    <row r="35483" spans="20:21" ht="15" customHeight="1" x14ac:dyDescent="0.25">
      <c r="T35483" s="135"/>
      <c r="U35483" s="135"/>
    </row>
    <row r="35484" spans="20:21" ht="15" customHeight="1" x14ac:dyDescent="0.25">
      <c r="T35484" s="135"/>
      <c r="U35484" s="135"/>
    </row>
    <row r="35485" spans="20:21" ht="15" customHeight="1" x14ac:dyDescent="0.25">
      <c r="T35485" s="135"/>
      <c r="U35485" s="135"/>
    </row>
    <row r="35486" spans="20:21" ht="15" customHeight="1" x14ac:dyDescent="0.25">
      <c r="T35486" s="135"/>
      <c r="U35486" s="135"/>
    </row>
    <row r="35487" spans="20:21" ht="15" customHeight="1" x14ac:dyDescent="0.25">
      <c r="T35487" s="135"/>
      <c r="U35487" s="135"/>
    </row>
    <row r="35488" spans="20:21" ht="15" customHeight="1" x14ac:dyDescent="0.25">
      <c r="T35488" s="135"/>
      <c r="U35488" s="135"/>
    </row>
    <row r="35489" spans="20:21" ht="15" customHeight="1" x14ac:dyDescent="0.25">
      <c r="T35489" s="135"/>
      <c r="U35489" s="135"/>
    </row>
    <row r="35490" spans="20:21" ht="15" customHeight="1" x14ac:dyDescent="0.25">
      <c r="T35490" s="135"/>
      <c r="U35490" s="135"/>
    </row>
    <row r="35491" spans="20:21" ht="15" customHeight="1" x14ac:dyDescent="0.25">
      <c r="T35491" s="135"/>
      <c r="U35491" s="135"/>
    </row>
    <row r="35492" spans="20:21" ht="15" customHeight="1" x14ac:dyDescent="0.25">
      <c r="T35492" s="135"/>
      <c r="U35492" s="135"/>
    </row>
    <row r="35493" spans="20:21" ht="15" customHeight="1" x14ac:dyDescent="0.25">
      <c r="T35493" s="135"/>
      <c r="U35493" s="135"/>
    </row>
    <row r="35494" spans="20:21" ht="15" customHeight="1" x14ac:dyDescent="0.25">
      <c r="T35494" s="135"/>
      <c r="U35494" s="135"/>
    </row>
    <row r="35495" spans="20:21" ht="15" customHeight="1" x14ac:dyDescent="0.25">
      <c r="T35495" s="135"/>
      <c r="U35495" s="135"/>
    </row>
    <row r="35496" spans="20:21" ht="15" customHeight="1" x14ac:dyDescent="0.25">
      <c r="T35496" s="135"/>
      <c r="U35496" s="135"/>
    </row>
    <row r="35497" spans="20:21" ht="15" customHeight="1" x14ac:dyDescent="0.25">
      <c r="T35497" s="135"/>
      <c r="U35497" s="135"/>
    </row>
    <row r="35498" spans="20:21" ht="15" customHeight="1" x14ac:dyDescent="0.25">
      <c r="T35498" s="135"/>
      <c r="U35498" s="135"/>
    </row>
    <row r="35499" spans="20:21" ht="15" customHeight="1" x14ac:dyDescent="0.25">
      <c r="T35499" s="135"/>
      <c r="U35499" s="135"/>
    </row>
    <row r="35500" spans="20:21" ht="15" customHeight="1" x14ac:dyDescent="0.25">
      <c r="T35500" s="135"/>
      <c r="U35500" s="135"/>
    </row>
    <row r="35501" spans="20:21" ht="15" customHeight="1" x14ac:dyDescent="0.25">
      <c r="T35501" s="135"/>
      <c r="U35501" s="135"/>
    </row>
    <row r="35502" spans="20:21" ht="15" customHeight="1" x14ac:dyDescent="0.25">
      <c r="T35502" s="135"/>
      <c r="U35502" s="135"/>
    </row>
    <row r="35503" spans="20:21" ht="15" customHeight="1" x14ac:dyDescent="0.25">
      <c r="T35503" s="135"/>
      <c r="U35503" s="135"/>
    </row>
    <row r="35504" spans="20:21" ht="15" customHeight="1" x14ac:dyDescent="0.25">
      <c r="T35504" s="135"/>
      <c r="U35504" s="135"/>
    </row>
    <row r="35505" spans="20:21" ht="15" customHeight="1" x14ac:dyDescent="0.25">
      <c r="T35505" s="135"/>
      <c r="U35505" s="135"/>
    </row>
    <row r="35506" spans="20:21" ht="15" customHeight="1" x14ac:dyDescent="0.25">
      <c r="T35506" s="135"/>
      <c r="U35506" s="135"/>
    </row>
    <row r="35507" spans="20:21" ht="15" customHeight="1" x14ac:dyDescent="0.25">
      <c r="T35507" s="135"/>
      <c r="U35507" s="135"/>
    </row>
    <row r="35508" spans="20:21" ht="15" customHeight="1" x14ac:dyDescent="0.25">
      <c r="T35508" s="135"/>
      <c r="U35508" s="135"/>
    </row>
    <row r="35509" spans="20:21" ht="15" customHeight="1" x14ac:dyDescent="0.25">
      <c r="T35509" s="135"/>
      <c r="U35509" s="135"/>
    </row>
    <row r="35510" spans="20:21" ht="15" customHeight="1" x14ac:dyDescent="0.25">
      <c r="T35510" s="135"/>
      <c r="U35510" s="135"/>
    </row>
    <row r="35511" spans="20:21" ht="15" customHeight="1" x14ac:dyDescent="0.25">
      <c r="T35511" s="135"/>
      <c r="U35511" s="135"/>
    </row>
    <row r="35512" spans="20:21" ht="15" customHeight="1" x14ac:dyDescent="0.25">
      <c r="T35512" s="135"/>
      <c r="U35512" s="135"/>
    </row>
    <row r="35513" spans="20:21" ht="15" customHeight="1" x14ac:dyDescent="0.25">
      <c r="T35513" s="135"/>
      <c r="U35513" s="135"/>
    </row>
    <row r="35514" spans="20:21" ht="15" customHeight="1" x14ac:dyDescent="0.25">
      <c r="T35514" s="135"/>
      <c r="U35514" s="135"/>
    </row>
    <row r="35515" spans="20:21" ht="15" customHeight="1" x14ac:dyDescent="0.25">
      <c r="T35515" s="135"/>
      <c r="U35515" s="135"/>
    </row>
    <row r="35516" spans="20:21" ht="15" customHeight="1" x14ac:dyDescent="0.25">
      <c r="T35516" s="135"/>
      <c r="U35516" s="135"/>
    </row>
    <row r="35517" spans="20:21" ht="15" customHeight="1" x14ac:dyDescent="0.25">
      <c r="T35517" s="135"/>
      <c r="U35517" s="135"/>
    </row>
    <row r="35518" spans="20:21" ht="15" customHeight="1" x14ac:dyDescent="0.25">
      <c r="T35518" s="135"/>
      <c r="U35518" s="135"/>
    </row>
    <row r="35519" spans="20:21" ht="15" customHeight="1" x14ac:dyDescent="0.25">
      <c r="T35519" s="135"/>
      <c r="U35519" s="135"/>
    </row>
    <row r="35520" spans="20:21" ht="15" customHeight="1" x14ac:dyDescent="0.25">
      <c r="T35520" s="135"/>
      <c r="U35520" s="135"/>
    </row>
    <row r="35521" spans="20:21" ht="15" customHeight="1" x14ac:dyDescent="0.25">
      <c r="T35521" s="135"/>
      <c r="U35521" s="135"/>
    </row>
    <row r="35522" spans="20:21" ht="15" customHeight="1" x14ac:dyDescent="0.25">
      <c r="T35522" s="135"/>
      <c r="U35522" s="135"/>
    </row>
    <row r="35523" spans="20:21" ht="15" customHeight="1" x14ac:dyDescent="0.25">
      <c r="T35523" s="135"/>
      <c r="U35523" s="135"/>
    </row>
    <row r="35524" spans="20:21" ht="15" customHeight="1" x14ac:dyDescent="0.25">
      <c r="T35524" s="135"/>
      <c r="U35524" s="135"/>
    </row>
    <row r="35525" spans="20:21" ht="15" customHeight="1" x14ac:dyDescent="0.25">
      <c r="T35525" s="135"/>
      <c r="U35525" s="135"/>
    </row>
    <row r="35526" spans="20:21" ht="15" customHeight="1" x14ac:dyDescent="0.25">
      <c r="T35526" s="135"/>
      <c r="U35526" s="135"/>
    </row>
    <row r="35527" spans="20:21" ht="15" customHeight="1" x14ac:dyDescent="0.25">
      <c r="T35527" s="135"/>
      <c r="U35527" s="135"/>
    </row>
    <row r="35528" spans="20:21" ht="15" customHeight="1" x14ac:dyDescent="0.25">
      <c r="T35528" s="135"/>
      <c r="U35528" s="135"/>
    </row>
    <row r="35529" spans="20:21" ht="15" customHeight="1" x14ac:dyDescent="0.25">
      <c r="T35529" s="135"/>
      <c r="U35529" s="135"/>
    </row>
    <row r="35530" spans="20:21" ht="15" customHeight="1" x14ac:dyDescent="0.25">
      <c r="T35530" s="135"/>
      <c r="U35530" s="135"/>
    </row>
    <row r="35531" spans="20:21" ht="15" customHeight="1" x14ac:dyDescent="0.25">
      <c r="T35531" s="135"/>
      <c r="U35531" s="135"/>
    </row>
    <row r="35532" spans="20:21" ht="15" customHeight="1" x14ac:dyDescent="0.25">
      <c r="T35532" s="135"/>
      <c r="U35532" s="135"/>
    </row>
    <row r="35533" spans="20:21" ht="15" customHeight="1" x14ac:dyDescent="0.25">
      <c r="T35533" s="135"/>
      <c r="U35533" s="135"/>
    </row>
    <row r="35534" spans="20:21" ht="15" customHeight="1" x14ac:dyDescent="0.25">
      <c r="T35534" s="135"/>
      <c r="U35534" s="135"/>
    </row>
    <row r="35535" spans="20:21" ht="15" customHeight="1" x14ac:dyDescent="0.25">
      <c r="T35535" s="135"/>
      <c r="U35535" s="135"/>
    </row>
    <row r="35536" spans="20:21" ht="15" customHeight="1" x14ac:dyDescent="0.25">
      <c r="T35536" s="135"/>
      <c r="U35536" s="135"/>
    </row>
    <row r="35537" spans="20:21" ht="15" customHeight="1" x14ac:dyDescent="0.25">
      <c r="T35537" s="135"/>
      <c r="U35537" s="135"/>
    </row>
    <row r="35538" spans="20:21" ht="15" customHeight="1" x14ac:dyDescent="0.25">
      <c r="T35538" s="135"/>
      <c r="U35538" s="135"/>
    </row>
    <row r="35539" spans="20:21" ht="15" customHeight="1" x14ac:dyDescent="0.25">
      <c r="T35539" s="135"/>
      <c r="U35539" s="135"/>
    </row>
    <row r="35540" spans="20:21" ht="15" customHeight="1" x14ac:dyDescent="0.25">
      <c r="T35540" s="135"/>
      <c r="U35540" s="135"/>
    </row>
    <row r="35541" spans="20:21" ht="15" customHeight="1" x14ac:dyDescent="0.25">
      <c r="T35541" s="135"/>
      <c r="U35541" s="135"/>
    </row>
    <row r="35542" spans="20:21" ht="15" customHeight="1" x14ac:dyDescent="0.25">
      <c r="T35542" s="135"/>
      <c r="U35542" s="135"/>
    </row>
    <row r="35543" spans="20:21" ht="15" customHeight="1" x14ac:dyDescent="0.25">
      <c r="T35543" s="135"/>
      <c r="U35543" s="135"/>
    </row>
    <row r="35544" spans="20:21" ht="15" customHeight="1" x14ac:dyDescent="0.25">
      <c r="T35544" s="135"/>
      <c r="U35544" s="135"/>
    </row>
    <row r="35545" spans="20:21" ht="15" customHeight="1" x14ac:dyDescent="0.25">
      <c r="T35545" s="135"/>
      <c r="U35545" s="135"/>
    </row>
    <row r="35546" spans="20:21" ht="15" customHeight="1" x14ac:dyDescent="0.25">
      <c r="T35546" s="135"/>
      <c r="U35546" s="135"/>
    </row>
    <row r="35547" spans="20:21" ht="15" customHeight="1" x14ac:dyDescent="0.25">
      <c r="T35547" s="135"/>
      <c r="U35547" s="135"/>
    </row>
    <row r="35548" spans="20:21" ht="15" customHeight="1" x14ac:dyDescent="0.25">
      <c r="T35548" s="135"/>
      <c r="U35548" s="135"/>
    </row>
    <row r="35549" spans="20:21" ht="15" customHeight="1" x14ac:dyDescent="0.25">
      <c r="T35549" s="135"/>
      <c r="U35549" s="135"/>
    </row>
    <row r="35550" spans="20:21" ht="15" customHeight="1" x14ac:dyDescent="0.25">
      <c r="T35550" s="135"/>
      <c r="U35550" s="135"/>
    </row>
    <row r="35551" spans="20:21" ht="15" customHeight="1" x14ac:dyDescent="0.25">
      <c r="T35551" s="135"/>
      <c r="U35551" s="135"/>
    </row>
    <row r="35552" spans="20:21" ht="15" customHeight="1" x14ac:dyDescent="0.25">
      <c r="T35552" s="135"/>
      <c r="U35552" s="135"/>
    </row>
    <row r="35553" spans="20:21" ht="15" customHeight="1" x14ac:dyDescent="0.25">
      <c r="T35553" s="135"/>
      <c r="U35553" s="135"/>
    </row>
    <row r="35554" spans="20:21" ht="15" customHeight="1" x14ac:dyDescent="0.25">
      <c r="T35554" s="135"/>
      <c r="U35554" s="135"/>
    </row>
    <row r="35555" spans="20:21" ht="15" customHeight="1" x14ac:dyDescent="0.25">
      <c r="T35555" s="135"/>
      <c r="U35555" s="135"/>
    </row>
    <row r="35556" spans="20:21" ht="15" customHeight="1" x14ac:dyDescent="0.25">
      <c r="T35556" s="135"/>
      <c r="U35556" s="135"/>
    </row>
    <row r="35557" spans="20:21" ht="15" customHeight="1" x14ac:dyDescent="0.25">
      <c r="T35557" s="135"/>
      <c r="U35557" s="135"/>
    </row>
    <row r="35558" spans="20:21" ht="15" customHeight="1" x14ac:dyDescent="0.25">
      <c r="T35558" s="135"/>
      <c r="U35558" s="135"/>
    </row>
    <row r="35559" spans="20:21" ht="15" customHeight="1" x14ac:dyDescent="0.25">
      <c r="T35559" s="135"/>
      <c r="U35559" s="135"/>
    </row>
    <row r="35560" spans="20:21" ht="15" customHeight="1" x14ac:dyDescent="0.25">
      <c r="T35560" s="135"/>
      <c r="U35560" s="135"/>
    </row>
    <row r="35561" spans="20:21" ht="15" customHeight="1" x14ac:dyDescent="0.25">
      <c r="T35561" s="135"/>
      <c r="U35561" s="135"/>
    </row>
    <row r="35562" spans="20:21" ht="15" customHeight="1" x14ac:dyDescent="0.25">
      <c r="T35562" s="135"/>
      <c r="U35562" s="135"/>
    </row>
    <row r="35563" spans="20:21" ht="15" customHeight="1" x14ac:dyDescent="0.25">
      <c r="T35563" s="135"/>
      <c r="U35563" s="135"/>
    </row>
    <row r="35564" spans="20:21" ht="15" customHeight="1" x14ac:dyDescent="0.25">
      <c r="T35564" s="135"/>
      <c r="U35564" s="135"/>
    </row>
    <row r="35565" spans="20:21" ht="15" customHeight="1" x14ac:dyDescent="0.25">
      <c r="T35565" s="135"/>
      <c r="U35565" s="135"/>
    </row>
    <row r="35566" spans="20:21" ht="15" customHeight="1" x14ac:dyDescent="0.25">
      <c r="T35566" s="135"/>
      <c r="U35566" s="135"/>
    </row>
    <row r="35567" spans="20:21" ht="15" customHeight="1" x14ac:dyDescent="0.25">
      <c r="T35567" s="135"/>
      <c r="U35567" s="135"/>
    </row>
    <row r="35568" spans="20:21" ht="15" customHeight="1" x14ac:dyDescent="0.25">
      <c r="T35568" s="135"/>
      <c r="U35568" s="135"/>
    </row>
    <row r="35569" spans="20:21" ht="15" customHeight="1" x14ac:dyDescent="0.25">
      <c r="T35569" s="135"/>
      <c r="U35569" s="135"/>
    </row>
    <row r="35570" spans="20:21" ht="15" customHeight="1" x14ac:dyDescent="0.25">
      <c r="T35570" s="135"/>
      <c r="U35570" s="135"/>
    </row>
    <row r="35571" spans="20:21" ht="15" customHeight="1" x14ac:dyDescent="0.25">
      <c r="T35571" s="135"/>
      <c r="U35571" s="135"/>
    </row>
    <row r="35572" spans="20:21" ht="15" customHeight="1" x14ac:dyDescent="0.25">
      <c r="T35572" s="135"/>
      <c r="U35572" s="135"/>
    </row>
    <row r="35573" spans="20:21" ht="15" customHeight="1" x14ac:dyDescent="0.25">
      <c r="T35573" s="135"/>
      <c r="U35573" s="135"/>
    </row>
    <row r="35574" spans="20:21" ht="15" customHeight="1" x14ac:dyDescent="0.25">
      <c r="T35574" s="135"/>
      <c r="U35574" s="135"/>
    </row>
    <row r="35575" spans="20:21" ht="15" customHeight="1" x14ac:dyDescent="0.25">
      <c r="T35575" s="135"/>
      <c r="U35575" s="135"/>
    </row>
    <row r="35576" spans="20:21" ht="15" customHeight="1" x14ac:dyDescent="0.25">
      <c r="T35576" s="135"/>
      <c r="U35576" s="135"/>
    </row>
    <row r="35577" spans="20:21" ht="15" customHeight="1" x14ac:dyDescent="0.25">
      <c r="T35577" s="135"/>
      <c r="U35577" s="135"/>
    </row>
    <row r="35578" spans="20:21" ht="15" customHeight="1" x14ac:dyDescent="0.25">
      <c r="T35578" s="135"/>
      <c r="U35578" s="135"/>
    </row>
    <row r="35579" spans="20:21" ht="15" customHeight="1" x14ac:dyDescent="0.25">
      <c r="T35579" s="135"/>
      <c r="U35579" s="135"/>
    </row>
    <row r="35580" spans="20:21" ht="15" customHeight="1" x14ac:dyDescent="0.25">
      <c r="T35580" s="135"/>
      <c r="U35580" s="135"/>
    </row>
    <row r="35581" spans="20:21" ht="15" customHeight="1" x14ac:dyDescent="0.25">
      <c r="T35581" s="135"/>
      <c r="U35581" s="135"/>
    </row>
    <row r="35582" spans="20:21" ht="15" customHeight="1" x14ac:dyDescent="0.25">
      <c r="T35582" s="135"/>
      <c r="U35582" s="135"/>
    </row>
    <row r="35583" spans="20:21" ht="15" customHeight="1" x14ac:dyDescent="0.25">
      <c r="T35583" s="135"/>
      <c r="U35583" s="135"/>
    </row>
    <row r="35584" spans="20:21" ht="15" customHeight="1" x14ac:dyDescent="0.25">
      <c r="T35584" s="135"/>
      <c r="U35584" s="135"/>
    </row>
    <row r="35585" spans="20:21" ht="15" customHeight="1" x14ac:dyDescent="0.25">
      <c r="T35585" s="135"/>
      <c r="U35585" s="135"/>
    </row>
    <row r="35586" spans="20:21" ht="15" customHeight="1" x14ac:dyDescent="0.25">
      <c r="T35586" s="135"/>
      <c r="U35586" s="135"/>
    </row>
    <row r="35587" spans="20:21" ht="15" customHeight="1" x14ac:dyDescent="0.25">
      <c r="T35587" s="135"/>
      <c r="U35587" s="135"/>
    </row>
    <row r="35588" spans="20:21" ht="15" customHeight="1" x14ac:dyDescent="0.25">
      <c r="T35588" s="135"/>
      <c r="U35588" s="135"/>
    </row>
    <row r="35589" spans="20:21" ht="15" customHeight="1" x14ac:dyDescent="0.25">
      <c r="T35589" s="135"/>
      <c r="U35589" s="135"/>
    </row>
    <row r="35590" spans="20:21" ht="15" customHeight="1" x14ac:dyDescent="0.25">
      <c r="T35590" s="135"/>
      <c r="U35590" s="135"/>
    </row>
    <row r="35591" spans="20:21" ht="15" customHeight="1" x14ac:dyDescent="0.25">
      <c r="T35591" s="135"/>
      <c r="U35591" s="135"/>
    </row>
    <row r="35592" spans="20:21" ht="15" customHeight="1" x14ac:dyDescent="0.25">
      <c r="T35592" s="135"/>
      <c r="U35592" s="135"/>
    </row>
    <row r="35593" spans="20:21" ht="15" customHeight="1" x14ac:dyDescent="0.25">
      <c r="T35593" s="135"/>
      <c r="U35593" s="135"/>
    </row>
    <row r="35594" spans="20:21" ht="15" customHeight="1" x14ac:dyDescent="0.25">
      <c r="T35594" s="135"/>
      <c r="U35594" s="135"/>
    </row>
    <row r="35595" spans="20:21" ht="15" customHeight="1" x14ac:dyDescent="0.25">
      <c r="T35595" s="135"/>
      <c r="U35595" s="135"/>
    </row>
    <row r="35596" spans="20:21" ht="15" customHeight="1" x14ac:dyDescent="0.25">
      <c r="T35596" s="135"/>
      <c r="U35596" s="135"/>
    </row>
    <row r="35597" spans="20:21" ht="15" customHeight="1" x14ac:dyDescent="0.25">
      <c r="T35597" s="135"/>
      <c r="U35597" s="135"/>
    </row>
    <row r="35598" spans="20:21" ht="15" customHeight="1" x14ac:dyDescent="0.25">
      <c r="T35598" s="135"/>
      <c r="U35598" s="135"/>
    </row>
    <row r="35599" spans="20:21" ht="15" customHeight="1" x14ac:dyDescent="0.25">
      <c r="T35599" s="135"/>
      <c r="U35599" s="135"/>
    </row>
    <row r="35600" spans="20:21" ht="15" customHeight="1" x14ac:dyDescent="0.25">
      <c r="T35600" s="135"/>
      <c r="U35600" s="135"/>
    </row>
    <row r="35601" spans="20:21" ht="15" customHeight="1" x14ac:dyDescent="0.25">
      <c r="T35601" s="135"/>
      <c r="U35601" s="135"/>
    </row>
    <row r="35602" spans="20:21" ht="15" customHeight="1" x14ac:dyDescent="0.25">
      <c r="T35602" s="135"/>
      <c r="U35602" s="135"/>
    </row>
    <row r="35603" spans="20:21" ht="15" customHeight="1" x14ac:dyDescent="0.25">
      <c r="T35603" s="135"/>
      <c r="U35603" s="135"/>
    </row>
    <row r="35604" spans="20:21" ht="15" customHeight="1" x14ac:dyDescent="0.25">
      <c r="T35604" s="135"/>
      <c r="U35604" s="135"/>
    </row>
    <row r="35605" spans="20:21" ht="15" customHeight="1" x14ac:dyDescent="0.25">
      <c r="T35605" s="135"/>
      <c r="U35605" s="135"/>
    </row>
    <row r="35606" spans="20:21" ht="15" customHeight="1" x14ac:dyDescent="0.25">
      <c r="T35606" s="135"/>
      <c r="U35606" s="135"/>
    </row>
    <row r="35607" spans="20:21" ht="15" customHeight="1" x14ac:dyDescent="0.25">
      <c r="T35607" s="135"/>
      <c r="U35607" s="135"/>
    </row>
    <row r="35608" spans="20:21" ht="15" customHeight="1" x14ac:dyDescent="0.25">
      <c r="T35608" s="135"/>
      <c r="U35608" s="135"/>
    </row>
    <row r="35609" spans="20:21" ht="15" customHeight="1" x14ac:dyDescent="0.25">
      <c r="T35609" s="135"/>
      <c r="U35609" s="135"/>
    </row>
    <row r="35610" spans="20:21" ht="15" customHeight="1" x14ac:dyDescent="0.25">
      <c r="T35610" s="135"/>
      <c r="U35610" s="135"/>
    </row>
    <row r="35611" spans="20:21" ht="15" customHeight="1" x14ac:dyDescent="0.25">
      <c r="T35611" s="135"/>
      <c r="U35611" s="135"/>
    </row>
    <row r="35612" spans="20:21" ht="15" customHeight="1" x14ac:dyDescent="0.25">
      <c r="T35612" s="135"/>
      <c r="U35612" s="135"/>
    </row>
    <row r="35613" spans="20:21" ht="15" customHeight="1" x14ac:dyDescent="0.25">
      <c r="T35613" s="135"/>
      <c r="U35613" s="135"/>
    </row>
    <row r="35614" spans="20:21" ht="15" customHeight="1" x14ac:dyDescent="0.25">
      <c r="T35614" s="135"/>
      <c r="U35614" s="135"/>
    </row>
    <row r="35615" spans="20:21" ht="15" customHeight="1" x14ac:dyDescent="0.25">
      <c r="T35615" s="135"/>
      <c r="U35615" s="135"/>
    </row>
    <row r="35616" spans="20:21" ht="15" customHeight="1" x14ac:dyDescent="0.25">
      <c r="T35616" s="135"/>
      <c r="U35616" s="135"/>
    </row>
    <row r="35617" spans="20:21" ht="15" customHeight="1" x14ac:dyDescent="0.25">
      <c r="T35617" s="135"/>
      <c r="U35617" s="135"/>
    </row>
    <row r="35618" spans="20:21" ht="15" customHeight="1" x14ac:dyDescent="0.25">
      <c r="T35618" s="135"/>
      <c r="U35618" s="135"/>
    </row>
    <row r="35619" spans="20:21" ht="15" customHeight="1" x14ac:dyDescent="0.25">
      <c r="T35619" s="135"/>
      <c r="U35619" s="135"/>
    </row>
    <row r="35620" spans="20:21" ht="15" customHeight="1" x14ac:dyDescent="0.25">
      <c r="T35620" s="135"/>
      <c r="U35620" s="135"/>
    </row>
    <row r="35621" spans="20:21" ht="15" customHeight="1" x14ac:dyDescent="0.25">
      <c r="T35621" s="135"/>
      <c r="U35621" s="135"/>
    </row>
    <row r="35622" spans="20:21" ht="15" customHeight="1" x14ac:dyDescent="0.25">
      <c r="T35622" s="135"/>
      <c r="U35622" s="135"/>
    </row>
    <row r="35623" spans="20:21" ht="15" customHeight="1" x14ac:dyDescent="0.25">
      <c r="T35623" s="135"/>
      <c r="U35623" s="135"/>
    </row>
    <row r="35624" spans="20:21" ht="15" customHeight="1" x14ac:dyDescent="0.25">
      <c r="T35624" s="135"/>
      <c r="U35624" s="135"/>
    </row>
    <row r="35625" spans="20:21" ht="15" customHeight="1" x14ac:dyDescent="0.25">
      <c r="T35625" s="135"/>
      <c r="U35625" s="135"/>
    </row>
    <row r="35626" spans="20:21" ht="15" customHeight="1" x14ac:dyDescent="0.25">
      <c r="T35626" s="135"/>
      <c r="U35626" s="135"/>
    </row>
    <row r="35627" spans="20:21" ht="15" customHeight="1" x14ac:dyDescent="0.25">
      <c r="T35627" s="135"/>
      <c r="U35627" s="135"/>
    </row>
    <row r="35628" spans="20:21" ht="15" customHeight="1" x14ac:dyDescent="0.25">
      <c r="T35628" s="135"/>
      <c r="U35628" s="135"/>
    </row>
    <row r="35629" spans="20:21" ht="15" customHeight="1" x14ac:dyDescent="0.25">
      <c r="T35629" s="135"/>
      <c r="U35629" s="135"/>
    </row>
    <row r="35630" spans="20:21" ht="15" customHeight="1" x14ac:dyDescent="0.25">
      <c r="T35630" s="135"/>
      <c r="U35630" s="135"/>
    </row>
    <row r="35631" spans="20:21" ht="15" customHeight="1" x14ac:dyDescent="0.25">
      <c r="T35631" s="135"/>
      <c r="U35631" s="135"/>
    </row>
    <row r="35632" spans="20:21" ht="15" customHeight="1" x14ac:dyDescent="0.25">
      <c r="T35632" s="135"/>
      <c r="U35632" s="135"/>
    </row>
    <row r="35633" spans="20:21" ht="15" customHeight="1" x14ac:dyDescent="0.25">
      <c r="T35633" s="135"/>
      <c r="U35633" s="135"/>
    </row>
    <row r="35634" spans="20:21" ht="15" customHeight="1" x14ac:dyDescent="0.25">
      <c r="T35634" s="135"/>
      <c r="U35634" s="135"/>
    </row>
    <row r="35635" spans="20:21" ht="15" customHeight="1" x14ac:dyDescent="0.25">
      <c r="T35635" s="135"/>
      <c r="U35635" s="135"/>
    </row>
    <row r="35636" spans="20:21" ht="15" customHeight="1" x14ac:dyDescent="0.25">
      <c r="T35636" s="135"/>
      <c r="U35636" s="135"/>
    </row>
    <row r="35637" spans="20:21" ht="15" customHeight="1" x14ac:dyDescent="0.25">
      <c r="T35637" s="135"/>
      <c r="U35637" s="135"/>
    </row>
    <row r="35638" spans="20:21" ht="15" customHeight="1" x14ac:dyDescent="0.25">
      <c r="T35638" s="135"/>
      <c r="U35638" s="135"/>
    </row>
    <row r="35639" spans="20:21" ht="15" customHeight="1" x14ac:dyDescent="0.25">
      <c r="T35639" s="135"/>
      <c r="U35639" s="135"/>
    </row>
    <row r="35640" spans="20:21" ht="15" customHeight="1" x14ac:dyDescent="0.25">
      <c r="T35640" s="135"/>
      <c r="U35640" s="135"/>
    </row>
    <row r="35641" spans="20:21" ht="15" customHeight="1" x14ac:dyDescent="0.25">
      <c r="T35641" s="135"/>
      <c r="U35641" s="135"/>
    </row>
    <row r="35642" spans="20:21" ht="15" customHeight="1" x14ac:dyDescent="0.25">
      <c r="T35642" s="135"/>
      <c r="U35642" s="135"/>
    </row>
    <row r="35643" spans="20:21" ht="15" customHeight="1" x14ac:dyDescent="0.25">
      <c r="T35643" s="135"/>
      <c r="U35643" s="135"/>
    </row>
    <row r="35644" spans="20:21" ht="15" customHeight="1" x14ac:dyDescent="0.25">
      <c r="T35644" s="135"/>
      <c r="U35644" s="135"/>
    </row>
    <row r="35645" spans="20:21" ht="15" customHeight="1" x14ac:dyDescent="0.25">
      <c r="T35645" s="135"/>
      <c r="U35645" s="135"/>
    </row>
    <row r="35646" spans="20:21" ht="15" customHeight="1" x14ac:dyDescent="0.25">
      <c r="T35646" s="135"/>
      <c r="U35646" s="135"/>
    </row>
    <row r="35647" spans="20:21" ht="15" customHeight="1" x14ac:dyDescent="0.25">
      <c r="T35647" s="135"/>
      <c r="U35647" s="135"/>
    </row>
    <row r="35648" spans="20:21" ht="15" customHeight="1" x14ac:dyDescent="0.25">
      <c r="T35648" s="135"/>
      <c r="U35648" s="135"/>
    </row>
    <row r="35649" spans="20:21" ht="15" customHeight="1" x14ac:dyDescent="0.25">
      <c r="T35649" s="135"/>
      <c r="U35649" s="135"/>
    </row>
    <row r="35650" spans="20:21" ht="15" customHeight="1" x14ac:dyDescent="0.25">
      <c r="T35650" s="135"/>
      <c r="U35650" s="135"/>
    </row>
    <row r="35651" spans="20:21" ht="15" customHeight="1" x14ac:dyDescent="0.25">
      <c r="T35651" s="135"/>
      <c r="U35651" s="135"/>
    </row>
    <row r="35652" spans="20:21" ht="15" customHeight="1" x14ac:dyDescent="0.25">
      <c r="T35652" s="135"/>
      <c r="U35652" s="135"/>
    </row>
    <row r="35653" spans="20:21" ht="15" customHeight="1" x14ac:dyDescent="0.25">
      <c r="T35653" s="135"/>
      <c r="U35653" s="135"/>
    </row>
    <row r="35654" spans="20:21" ht="15" customHeight="1" x14ac:dyDescent="0.25">
      <c r="T35654" s="135"/>
      <c r="U35654" s="135"/>
    </row>
    <row r="35655" spans="20:21" ht="15" customHeight="1" x14ac:dyDescent="0.25">
      <c r="T35655" s="135"/>
      <c r="U35655" s="135"/>
    </row>
    <row r="35656" spans="20:21" ht="15" customHeight="1" x14ac:dyDescent="0.25">
      <c r="T35656" s="135"/>
      <c r="U35656" s="135"/>
    </row>
    <row r="35657" spans="20:21" ht="15" customHeight="1" x14ac:dyDescent="0.25">
      <c r="T35657" s="135"/>
      <c r="U35657" s="135"/>
    </row>
    <row r="35658" spans="20:21" ht="15" customHeight="1" x14ac:dyDescent="0.25">
      <c r="T35658" s="135"/>
      <c r="U35658" s="135"/>
    </row>
    <row r="35659" spans="20:21" ht="15" customHeight="1" x14ac:dyDescent="0.25">
      <c r="T35659" s="135"/>
      <c r="U35659" s="135"/>
    </row>
    <row r="35660" spans="20:21" ht="15" customHeight="1" x14ac:dyDescent="0.25">
      <c r="T35660" s="135"/>
      <c r="U35660" s="135"/>
    </row>
    <row r="35661" spans="20:21" ht="15" customHeight="1" x14ac:dyDescent="0.25">
      <c r="T35661" s="135"/>
      <c r="U35661" s="135"/>
    </row>
    <row r="35662" spans="20:21" ht="15" customHeight="1" x14ac:dyDescent="0.25">
      <c r="T35662" s="135"/>
      <c r="U35662" s="135"/>
    </row>
    <row r="35663" spans="20:21" ht="15" customHeight="1" x14ac:dyDescent="0.25">
      <c r="T35663" s="135"/>
      <c r="U35663" s="135"/>
    </row>
    <row r="35664" spans="20:21" ht="15" customHeight="1" x14ac:dyDescent="0.25">
      <c r="T35664" s="135"/>
      <c r="U35664" s="135"/>
    </row>
    <row r="35665" spans="20:21" ht="15" customHeight="1" x14ac:dyDescent="0.25">
      <c r="T35665" s="135"/>
      <c r="U35665" s="135"/>
    </row>
    <row r="35666" spans="20:21" ht="15" customHeight="1" x14ac:dyDescent="0.25">
      <c r="T35666" s="135"/>
      <c r="U35666" s="135"/>
    </row>
    <row r="35667" spans="20:21" ht="15" customHeight="1" x14ac:dyDescent="0.25">
      <c r="T35667" s="135"/>
      <c r="U35667" s="135"/>
    </row>
    <row r="35668" spans="20:21" ht="15" customHeight="1" x14ac:dyDescent="0.25">
      <c r="T35668" s="135"/>
      <c r="U35668" s="135"/>
    </row>
    <row r="35669" spans="20:21" ht="15" customHeight="1" x14ac:dyDescent="0.25">
      <c r="T35669" s="135"/>
      <c r="U35669" s="135"/>
    </row>
    <row r="35670" spans="20:21" ht="15" customHeight="1" x14ac:dyDescent="0.25">
      <c r="T35670" s="135"/>
      <c r="U35670" s="135"/>
    </row>
    <row r="35671" spans="20:21" ht="15" customHeight="1" x14ac:dyDescent="0.25">
      <c r="T35671" s="135"/>
      <c r="U35671" s="135"/>
    </row>
    <row r="35672" spans="20:21" ht="15" customHeight="1" x14ac:dyDescent="0.25">
      <c r="T35672" s="135"/>
      <c r="U35672" s="135"/>
    </row>
    <row r="35673" spans="20:21" ht="15" customHeight="1" x14ac:dyDescent="0.25">
      <c r="T35673" s="135"/>
      <c r="U35673" s="135"/>
    </row>
    <row r="35674" spans="20:21" ht="15" customHeight="1" x14ac:dyDescent="0.25">
      <c r="T35674" s="135"/>
      <c r="U35674" s="135"/>
    </row>
    <row r="35675" spans="20:21" ht="15" customHeight="1" x14ac:dyDescent="0.25">
      <c r="T35675" s="135"/>
      <c r="U35675" s="135"/>
    </row>
    <row r="35676" spans="20:21" ht="15" customHeight="1" x14ac:dyDescent="0.25">
      <c r="T35676" s="135"/>
      <c r="U35676" s="135"/>
    </row>
    <row r="35677" spans="20:21" ht="15" customHeight="1" x14ac:dyDescent="0.25">
      <c r="T35677" s="135"/>
      <c r="U35677" s="135"/>
    </row>
    <row r="35678" spans="20:21" ht="15" customHeight="1" x14ac:dyDescent="0.25">
      <c r="T35678" s="135"/>
      <c r="U35678" s="135"/>
    </row>
    <row r="35679" spans="20:21" ht="15" customHeight="1" x14ac:dyDescent="0.25">
      <c r="T35679" s="135"/>
      <c r="U35679" s="135"/>
    </row>
    <row r="35680" spans="20:21" ht="15" customHeight="1" x14ac:dyDescent="0.25">
      <c r="T35680" s="135"/>
      <c r="U35680" s="135"/>
    </row>
    <row r="35681" spans="20:21" ht="15" customHeight="1" x14ac:dyDescent="0.25">
      <c r="T35681" s="135"/>
      <c r="U35681" s="135"/>
    </row>
    <row r="35682" spans="20:21" ht="15" customHeight="1" x14ac:dyDescent="0.25">
      <c r="T35682" s="135"/>
      <c r="U35682" s="135"/>
    </row>
    <row r="35683" spans="20:21" ht="15" customHeight="1" x14ac:dyDescent="0.25">
      <c r="T35683" s="135"/>
      <c r="U35683" s="135"/>
    </row>
    <row r="35684" spans="20:21" ht="15" customHeight="1" x14ac:dyDescent="0.25">
      <c r="T35684" s="135"/>
      <c r="U35684" s="135"/>
    </row>
    <row r="35685" spans="20:21" ht="15" customHeight="1" x14ac:dyDescent="0.25">
      <c r="T35685" s="135"/>
      <c r="U35685" s="135"/>
    </row>
    <row r="35686" spans="20:21" ht="15" customHeight="1" x14ac:dyDescent="0.25">
      <c r="T35686" s="135"/>
      <c r="U35686" s="135"/>
    </row>
    <row r="35687" spans="20:21" ht="15" customHeight="1" x14ac:dyDescent="0.25">
      <c r="T35687" s="135"/>
      <c r="U35687" s="135"/>
    </row>
    <row r="35688" spans="20:21" ht="15" customHeight="1" x14ac:dyDescent="0.25">
      <c r="T35688" s="135"/>
      <c r="U35688" s="135"/>
    </row>
    <row r="35689" spans="20:21" ht="15" customHeight="1" x14ac:dyDescent="0.25">
      <c r="T35689" s="135"/>
      <c r="U35689" s="135"/>
    </row>
    <row r="35690" spans="20:21" ht="15" customHeight="1" x14ac:dyDescent="0.25">
      <c r="T35690" s="135"/>
      <c r="U35690" s="135"/>
    </row>
    <row r="35691" spans="20:21" ht="15" customHeight="1" x14ac:dyDescent="0.25">
      <c r="T35691" s="135"/>
      <c r="U35691" s="135"/>
    </row>
    <row r="35692" spans="20:21" ht="15" customHeight="1" x14ac:dyDescent="0.25">
      <c r="T35692" s="135"/>
      <c r="U35692" s="135"/>
    </row>
    <row r="35693" spans="20:21" ht="15" customHeight="1" x14ac:dyDescent="0.25">
      <c r="T35693" s="135"/>
      <c r="U35693" s="135"/>
    </row>
    <row r="35694" spans="20:21" ht="15" customHeight="1" x14ac:dyDescent="0.25">
      <c r="T35694" s="135"/>
      <c r="U35694" s="135"/>
    </row>
    <row r="35695" spans="20:21" ht="15" customHeight="1" x14ac:dyDescent="0.25">
      <c r="T35695" s="135"/>
      <c r="U35695" s="135"/>
    </row>
    <row r="35696" spans="20:21" ht="15" customHeight="1" x14ac:dyDescent="0.25">
      <c r="T35696" s="135"/>
      <c r="U35696" s="135"/>
    </row>
    <row r="35697" spans="20:21" ht="15" customHeight="1" x14ac:dyDescent="0.25">
      <c r="T35697" s="135"/>
      <c r="U35697" s="135"/>
    </row>
    <row r="35698" spans="20:21" ht="15" customHeight="1" x14ac:dyDescent="0.25">
      <c r="T35698" s="135"/>
      <c r="U35698" s="135"/>
    </row>
    <row r="35699" spans="20:21" ht="15" customHeight="1" x14ac:dyDescent="0.25">
      <c r="T35699" s="135"/>
      <c r="U35699" s="135"/>
    </row>
    <row r="35700" spans="20:21" ht="15" customHeight="1" x14ac:dyDescent="0.25">
      <c r="T35700" s="135"/>
      <c r="U35700" s="135"/>
    </row>
    <row r="35701" spans="20:21" ht="15" customHeight="1" x14ac:dyDescent="0.25">
      <c r="T35701" s="135"/>
      <c r="U35701" s="135"/>
    </row>
    <row r="35702" spans="20:21" ht="15" customHeight="1" x14ac:dyDescent="0.25">
      <c r="T35702" s="135"/>
      <c r="U35702" s="135"/>
    </row>
    <row r="35703" spans="20:21" ht="15" customHeight="1" x14ac:dyDescent="0.25">
      <c r="T35703" s="135"/>
      <c r="U35703" s="135"/>
    </row>
    <row r="35704" spans="20:21" ht="15" customHeight="1" x14ac:dyDescent="0.25">
      <c r="T35704" s="135"/>
      <c r="U35704" s="135"/>
    </row>
    <row r="35705" spans="20:21" ht="15" customHeight="1" x14ac:dyDescent="0.25">
      <c r="T35705" s="135"/>
      <c r="U35705" s="135"/>
    </row>
    <row r="35706" spans="20:21" ht="15" customHeight="1" x14ac:dyDescent="0.25">
      <c r="T35706" s="135"/>
      <c r="U35706" s="135"/>
    </row>
    <row r="35707" spans="20:21" ht="15" customHeight="1" x14ac:dyDescent="0.25">
      <c r="T35707" s="135"/>
      <c r="U35707" s="135"/>
    </row>
    <row r="35708" spans="20:21" ht="15" customHeight="1" x14ac:dyDescent="0.25">
      <c r="T35708" s="135"/>
      <c r="U35708" s="135"/>
    </row>
    <row r="35709" spans="20:21" ht="15" customHeight="1" x14ac:dyDescent="0.25">
      <c r="T35709" s="135"/>
      <c r="U35709" s="135"/>
    </row>
    <row r="35710" spans="20:21" ht="15" customHeight="1" x14ac:dyDescent="0.25">
      <c r="T35710" s="135"/>
      <c r="U35710" s="135"/>
    </row>
    <row r="35711" spans="20:21" ht="15" customHeight="1" x14ac:dyDescent="0.25">
      <c r="T35711" s="135"/>
      <c r="U35711" s="135"/>
    </row>
    <row r="35712" spans="20:21" ht="15" customHeight="1" x14ac:dyDescent="0.25">
      <c r="T35712" s="135"/>
      <c r="U35712" s="135"/>
    </row>
    <row r="35713" spans="20:21" ht="15" customHeight="1" x14ac:dyDescent="0.25">
      <c r="T35713" s="135"/>
      <c r="U35713" s="135"/>
    </row>
    <row r="35714" spans="20:21" ht="15" customHeight="1" x14ac:dyDescent="0.25">
      <c r="T35714" s="135"/>
      <c r="U35714" s="135"/>
    </row>
    <row r="35715" spans="20:21" ht="15" customHeight="1" x14ac:dyDescent="0.25">
      <c r="T35715" s="135"/>
      <c r="U35715" s="135"/>
    </row>
    <row r="35716" spans="20:21" ht="15" customHeight="1" x14ac:dyDescent="0.25">
      <c r="T35716" s="135"/>
      <c r="U35716" s="135"/>
    </row>
    <row r="35717" spans="20:21" ht="15" customHeight="1" x14ac:dyDescent="0.25">
      <c r="T35717" s="135"/>
      <c r="U35717" s="135"/>
    </row>
    <row r="35718" spans="20:21" ht="15" customHeight="1" x14ac:dyDescent="0.25">
      <c r="T35718" s="135"/>
      <c r="U35718" s="135"/>
    </row>
    <row r="35719" spans="20:21" ht="15" customHeight="1" x14ac:dyDescent="0.25">
      <c r="T35719" s="135"/>
      <c r="U35719" s="135"/>
    </row>
    <row r="35720" spans="20:21" ht="15" customHeight="1" x14ac:dyDescent="0.25">
      <c r="T35720" s="135"/>
      <c r="U35720" s="135"/>
    </row>
    <row r="35721" spans="20:21" ht="15" customHeight="1" x14ac:dyDescent="0.25">
      <c r="T35721" s="135"/>
      <c r="U35721" s="135"/>
    </row>
    <row r="35722" spans="20:21" ht="15" customHeight="1" x14ac:dyDescent="0.25">
      <c r="T35722" s="135"/>
      <c r="U35722" s="135"/>
    </row>
    <row r="35723" spans="20:21" ht="15" customHeight="1" x14ac:dyDescent="0.25">
      <c r="T35723" s="135"/>
      <c r="U35723" s="135"/>
    </row>
    <row r="35724" spans="20:21" ht="15" customHeight="1" x14ac:dyDescent="0.25">
      <c r="T35724" s="135"/>
      <c r="U35724" s="135"/>
    </row>
    <row r="35725" spans="20:21" ht="15" customHeight="1" x14ac:dyDescent="0.25">
      <c r="T35725" s="135"/>
      <c r="U35725" s="135"/>
    </row>
    <row r="35726" spans="20:21" ht="15" customHeight="1" x14ac:dyDescent="0.25">
      <c r="T35726" s="135"/>
      <c r="U35726" s="135"/>
    </row>
    <row r="35727" spans="20:21" ht="15" customHeight="1" x14ac:dyDescent="0.25">
      <c r="T35727" s="135"/>
      <c r="U35727" s="135"/>
    </row>
    <row r="35728" spans="20:21" ht="15" customHeight="1" x14ac:dyDescent="0.25">
      <c r="T35728" s="135"/>
      <c r="U35728" s="135"/>
    </row>
    <row r="35729" spans="20:21" ht="15" customHeight="1" x14ac:dyDescent="0.25">
      <c r="T35729" s="135"/>
      <c r="U35729" s="135"/>
    </row>
    <row r="35730" spans="20:21" ht="15" customHeight="1" x14ac:dyDescent="0.25">
      <c r="T35730" s="135"/>
      <c r="U35730" s="135"/>
    </row>
    <row r="35731" spans="20:21" ht="15" customHeight="1" x14ac:dyDescent="0.25">
      <c r="T35731" s="135"/>
      <c r="U35731" s="135"/>
    </row>
    <row r="35732" spans="20:21" ht="15" customHeight="1" x14ac:dyDescent="0.25">
      <c r="T35732" s="135"/>
      <c r="U35732" s="135"/>
    </row>
    <row r="35733" spans="20:21" ht="15" customHeight="1" x14ac:dyDescent="0.25">
      <c r="T35733" s="135"/>
      <c r="U35733" s="135"/>
    </row>
    <row r="35734" spans="20:21" ht="15" customHeight="1" x14ac:dyDescent="0.25">
      <c r="T35734" s="135"/>
      <c r="U35734" s="135"/>
    </row>
    <row r="35735" spans="20:21" ht="15" customHeight="1" x14ac:dyDescent="0.25">
      <c r="T35735" s="135"/>
      <c r="U35735" s="135"/>
    </row>
    <row r="35736" spans="20:21" ht="15" customHeight="1" x14ac:dyDescent="0.25">
      <c r="T35736" s="135"/>
      <c r="U35736" s="135"/>
    </row>
    <row r="35737" spans="20:21" ht="15" customHeight="1" x14ac:dyDescent="0.25">
      <c r="T35737" s="135"/>
      <c r="U35737" s="135"/>
    </row>
    <row r="35738" spans="20:21" ht="15" customHeight="1" x14ac:dyDescent="0.25">
      <c r="T35738" s="135"/>
      <c r="U35738" s="135"/>
    </row>
    <row r="35739" spans="20:21" ht="15" customHeight="1" x14ac:dyDescent="0.25">
      <c r="T35739" s="135"/>
      <c r="U35739" s="135"/>
    </row>
    <row r="35740" spans="20:21" ht="15" customHeight="1" x14ac:dyDescent="0.25">
      <c r="T35740" s="135"/>
      <c r="U35740" s="135"/>
    </row>
    <row r="35741" spans="20:21" ht="15" customHeight="1" x14ac:dyDescent="0.25">
      <c r="T35741" s="135"/>
      <c r="U35741" s="135"/>
    </row>
    <row r="35742" spans="20:21" ht="15" customHeight="1" x14ac:dyDescent="0.25">
      <c r="T35742" s="135"/>
      <c r="U35742" s="135"/>
    </row>
    <row r="35743" spans="20:21" ht="15" customHeight="1" x14ac:dyDescent="0.25">
      <c r="T35743" s="135"/>
      <c r="U35743" s="135"/>
    </row>
    <row r="35744" spans="20:21" ht="15" customHeight="1" x14ac:dyDescent="0.25">
      <c r="T35744" s="135"/>
      <c r="U35744" s="135"/>
    </row>
    <row r="35745" spans="20:21" ht="15" customHeight="1" x14ac:dyDescent="0.25">
      <c r="T35745" s="135"/>
      <c r="U35745" s="135"/>
    </row>
    <row r="35746" spans="20:21" ht="15" customHeight="1" x14ac:dyDescent="0.25">
      <c r="T35746" s="135"/>
      <c r="U35746" s="135"/>
    </row>
    <row r="35747" spans="20:21" ht="15" customHeight="1" x14ac:dyDescent="0.25">
      <c r="T35747" s="135"/>
      <c r="U35747" s="135"/>
    </row>
    <row r="35748" spans="20:21" ht="15" customHeight="1" x14ac:dyDescent="0.25">
      <c r="T35748" s="135"/>
      <c r="U35748" s="135"/>
    </row>
    <row r="35749" spans="20:21" ht="15" customHeight="1" x14ac:dyDescent="0.25">
      <c r="T35749" s="135"/>
      <c r="U35749" s="135"/>
    </row>
    <row r="35750" spans="20:21" ht="15" customHeight="1" x14ac:dyDescent="0.25">
      <c r="T35750" s="135"/>
      <c r="U35750" s="135"/>
    </row>
    <row r="35751" spans="20:21" ht="15" customHeight="1" x14ac:dyDescent="0.25">
      <c r="T35751" s="135"/>
      <c r="U35751" s="135"/>
    </row>
    <row r="35752" spans="20:21" ht="15" customHeight="1" x14ac:dyDescent="0.25">
      <c r="T35752" s="135"/>
      <c r="U35752" s="135"/>
    </row>
    <row r="35753" spans="20:21" ht="15" customHeight="1" x14ac:dyDescent="0.25">
      <c r="T35753" s="135"/>
      <c r="U35753" s="135"/>
    </row>
    <row r="35754" spans="20:21" ht="15" customHeight="1" x14ac:dyDescent="0.25">
      <c r="T35754" s="135"/>
      <c r="U35754" s="135"/>
    </row>
    <row r="35755" spans="20:21" ht="15" customHeight="1" x14ac:dyDescent="0.25">
      <c r="T35755" s="135"/>
      <c r="U35755" s="135"/>
    </row>
    <row r="35756" spans="20:21" ht="15" customHeight="1" x14ac:dyDescent="0.25">
      <c r="T35756" s="135"/>
      <c r="U35756" s="135"/>
    </row>
    <row r="35757" spans="20:21" ht="15" customHeight="1" x14ac:dyDescent="0.25">
      <c r="T35757" s="135"/>
      <c r="U35757" s="135"/>
    </row>
    <row r="35758" spans="20:21" ht="15" customHeight="1" x14ac:dyDescent="0.25">
      <c r="T35758" s="135"/>
      <c r="U35758" s="135"/>
    </row>
    <row r="35759" spans="20:21" ht="15" customHeight="1" x14ac:dyDescent="0.25">
      <c r="T35759" s="135"/>
      <c r="U35759" s="135"/>
    </row>
    <row r="35760" spans="20:21" ht="15" customHeight="1" x14ac:dyDescent="0.25">
      <c r="T35760" s="135"/>
      <c r="U35760" s="135"/>
    </row>
    <row r="35761" spans="20:21" ht="15" customHeight="1" x14ac:dyDescent="0.25">
      <c r="T35761" s="135"/>
      <c r="U35761" s="135"/>
    </row>
    <row r="35762" spans="20:21" ht="15" customHeight="1" x14ac:dyDescent="0.25">
      <c r="T35762" s="135"/>
      <c r="U35762" s="135"/>
    </row>
    <row r="35763" spans="20:21" ht="15" customHeight="1" x14ac:dyDescent="0.25">
      <c r="T35763" s="135"/>
      <c r="U35763" s="135"/>
    </row>
    <row r="35764" spans="20:21" ht="15" customHeight="1" x14ac:dyDescent="0.25">
      <c r="T35764" s="135"/>
      <c r="U35764" s="135"/>
    </row>
    <row r="35765" spans="20:21" ht="15" customHeight="1" x14ac:dyDescent="0.25">
      <c r="T35765" s="135"/>
      <c r="U35765" s="135"/>
    </row>
    <row r="35766" spans="20:21" ht="15" customHeight="1" x14ac:dyDescent="0.25">
      <c r="T35766" s="135"/>
      <c r="U35766" s="135"/>
    </row>
    <row r="35767" spans="20:21" ht="15" customHeight="1" x14ac:dyDescent="0.25">
      <c r="T35767" s="135"/>
      <c r="U35767" s="135"/>
    </row>
    <row r="35768" spans="20:21" ht="15" customHeight="1" x14ac:dyDescent="0.25">
      <c r="T35768" s="135"/>
      <c r="U35768" s="135"/>
    </row>
    <row r="35769" spans="20:21" ht="15" customHeight="1" x14ac:dyDescent="0.25">
      <c r="T35769" s="135"/>
      <c r="U35769" s="135"/>
    </row>
    <row r="35770" spans="20:21" ht="15" customHeight="1" x14ac:dyDescent="0.25">
      <c r="T35770" s="135"/>
      <c r="U35770" s="135"/>
    </row>
    <row r="35771" spans="20:21" ht="15" customHeight="1" x14ac:dyDescent="0.25">
      <c r="T35771" s="135"/>
      <c r="U35771" s="135"/>
    </row>
    <row r="35772" spans="20:21" ht="15" customHeight="1" x14ac:dyDescent="0.25">
      <c r="T35772" s="135"/>
      <c r="U35772" s="135"/>
    </row>
    <row r="35773" spans="20:21" ht="15" customHeight="1" x14ac:dyDescent="0.25">
      <c r="T35773" s="135"/>
      <c r="U35773" s="135"/>
    </row>
    <row r="35774" spans="20:21" ht="15" customHeight="1" x14ac:dyDescent="0.25">
      <c r="T35774" s="135"/>
      <c r="U35774" s="135"/>
    </row>
    <row r="35775" spans="20:21" ht="15" customHeight="1" x14ac:dyDescent="0.25">
      <c r="T35775" s="135"/>
      <c r="U35775" s="135"/>
    </row>
    <row r="35776" spans="20:21" ht="15" customHeight="1" x14ac:dyDescent="0.25">
      <c r="T35776" s="135"/>
      <c r="U35776" s="135"/>
    </row>
    <row r="35777" spans="20:21" ht="15" customHeight="1" x14ac:dyDescent="0.25">
      <c r="T35777" s="135"/>
      <c r="U35777" s="135"/>
    </row>
    <row r="35778" spans="20:21" ht="15" customHeight="1" x14ac:dyDescent="0.25">
      <c r="T35778" s="135"/>
      <c r="U35778" s="135"/>
    </row>
    <row r="35779" spans="20:21" ht="15" customHeight="1" x14ac:dyDescent="0.25">
      <c r="T35779" s="135"/>
      <c r="U35779" s="135"/>
    </row>
    <row r="35780" spans="20:21" ht="15" customHeight="1" x14ac:dyDescent="0.25">
      <c r="T35780" s="135"/>
      <c r="U35780" s="135"/>
    </row>
    <row r="35781" spans="20:21" ht="15" customHeight="1" x14ac:dyDescent="0.25">
      <c r="T35781" s="135"/>
      <c r="U35781" s="135"/>
    </row>
    <row r="35782" spans="20:21" ht="15" customHeight="1" x14ac:dyDescent="0.25">
      <c r="T35782" s="135"/>
      <c r="U35782" s="135"/>
    </row>
    <row r="35783" spans="20:21" ht="15" customHeight="1" x14ac:dyDescent="0.25">
      <c r="T35783" s="135"/>
      <c r="U35783" s="135"/>
    </row>
    <row r="35784" spans="20:21" ht="15" customHeight="1" x14ac:dyDescent="0.25">
      <c r="T35784" s="135"/>
      <c r="U35784" s="135"/>
    </row>
    <row r="35785" spans="20:21" ht="15" customHeight="1" x14ac:dyDescent="0.25">
      <c r="T35785" s="135"/>
      <c r="U35785" s="135"/>
    </row>
    <row r="35786" spans="20:21" ht="15" customHeight="1" x14ac:dyDescent="0.25">
      <c r="T35786" s="135"/>
      <c r="U35786" s="135"/>
    </row>
    <row r="35787" spans="20:21" ht="15" customHeight="1" x14ac:dyDescent="0.25">
      <c r="T35787" s="135"/>
      <c r="U35787" s="135"/>
    </row>
    <row r="35788" spans="20:21" ht="15" customHeight="1" x14ac:dyDescent="0.25">
      <c r="T35788" s="135"/>
      <c r="U35788" s="135"/>
    </row>
    <row r="35789" spans="20:21" ht="15" customHeight="1" x14ac:dyDescent="0.25">
      <c r="T35789" s="135"/>
      <c r="U35789" s="135"/>
    </row>
    <row r="35790" spans="20:21" ht="15" customHeight="1" x14ac:dyDescent="0.25">
      <c r="T35790" s="135"/>
      <c r="U35790" s="135"/>
    </row>
    <row r="35791" spans="20:21" ht="15" customHeight="1" x14ac:dyDescent="0.25">
      <c r="T35791" s="135"/>
      <c r="U35791" s="135"/>
    </row>
    <row r="35792" spans="20:21" ht="15" customHeight="1" x14ac:dyDescent="0.25">
      <c r="T35792" s="135"/>
      <c r="U35792" s="135"/>
    </row>
    <row r="35793" spans="20:21" ht="15" customHeight="1" x14ac:dyDescent="0.25">
      <c r="T35793" s="135"/>
      <c r="U35793" s="135"/>
    </row>
    <row r="35794" spans="20:21" ht="15" customHeight="1" x14ac:dyDescent="0.25">
      <c r="T35794" s="135"/>
      <c r="U35794" s="135"/>
    </row>
    <row r="35795" spans="20:21" ht="15" customHeight="1" x14ac:dyDescent="0.25">
      <c r="T35795" s="135"/>
      <c r="U35795" s="135"/>
    </row>
    <row r="35796" spans="20:21" ht="15" customHeight="1" x14ac:dyDescent="0.25">
      <c r="T35796" s="135"/>
      <c r="U35796" s="135"/>
    </row>
    <row r="35797" spans="20:21" ht="15" customHeight="1" x14ac:dyDescent="0.25">
      <c r="T35797" s="135"/>
      <c r="U35797" s="135"/>
    </row>
    <row r="35798" spans="20:21" ht="15" customHeight="1" x14ac:dyDescent="0.25">
      <c r="T35798" s="135"/>
      <c r="U35798" s="135"/>
    </row>
    <row r="35799" spans="20:21" ht="15" customHeight="1" x14ac:dyDescent="0.25">
      <c r="T35799" s="135"/>
      <c r="U35799" s="135"/>
    </row>
    <row r="35800" spans="20:21" ht="15" customHeight="1" x14ac:dyDescent="0.25">
      <c r="T35800" s="135"/>
      <c r="U35800" s="135"/>
    </row>
    <row r="35801" spans="20:21" ht="15" customHeight="1" x14ac:dyDescent="0.25">
      <c r="T35801" s="135"/>
      <c r="U35801" s="135"/>
    </row>
    <row r="35802" spans="20:21" ht="15" customHeight="1" x14ac:dyDescent="0.25">
      <c r="T35802" s="135"/>
      <c r="U35802" s="135"/>
    </row>
    <row r="35803" spans="20:21" ht="15" customHeight="1" x14ac:dyDescent="0.25">
      <c r="T35803" s="135"/>
      <c r="U35803" s="135"/>
    </row>
    <row r="35804" spans="20:21" ht="15" customHeight="1" x14ac:dyDescent="0.25">
      <c r="T35804" s="135"/>
      <c r="U35804" s="135"/>
    </row>
    <row r="35805" spans="20:21" ht="15" customHeight="1" x14ac:dyDescent="0.25">
      <c r="T35805" s="135"/>
      <c r="U35805" s="135"/>
    </row>
    <row r="35806" spans="20:21" ht="15" customHeight="1" x14ac:dyDescent="0.25">
      <c r="T35806" s="135"/>
      <c r="U35806" s="135"/>
    </row>
    <row r="35807" spans="20:21" ht="15" customHeight="1" x14ac:dyDescent="0.25">
      <c r="T35807" s="135"/>
      <c r="U35807" s="135"/>
    </row>
    <row r="35808" spans="20:21" ht="15" customHeight="1" x14ac:dyDescent="0.25">
      <c r="T35808" s="135"/>
      <c r="U35808" s="135"/>
    </row>
    <row r="35809" spans="20:21" ht="15" customHeight="1" x14ac:dyDescent="0.25">
      <c r="T35809" s="135"/>
      <c r="U35809" s="135"/>
    </row>
    <row r="35810" spans="20:21" ht="15" customHeight="1" x14ac:dyDescent="0.25">
      <c r="T35810" s="135"/>
      <c r="U35810" s="135"/>
    </row>
    <row r="35811" spans="20:21" ht="15" customHeight="1" x14ac:dyDescent="0.25">
      <c r="T35811" s="135"/>
      <c r="U35811" s="135"/>
    </row>
    <row r="35812" spans="20:21" ht="15" customHeight="1" x14ac:dyDescent="0.25">
      <c r="T35812" s="135"/>
      <c r="U35812" s="135"/>
    </row>
    <row r="35813" spans="20:21" ht="15" customHeight="1" x14ac:dyDescent="0.25">
      <c r="T35813" s="135"/>
      <c r="U35813" s="135"/>
    </row>
    <row r="35814" spans="20:21" ht="15" customHeight="1" x14ac:dyDescent="0.25">
      <c r="T35814" s="135"/>
      <c r="U35814" s="135"/>
    </row>
    <row r="35815" spans="20:21" ht="15" customHeight="1" x14ac:dyDescent="0.25">
      <c r="T35815" s="135"/>
      <c r="U35815" s="135"/>
    </row>
    <row r="35816" spans="20:21" ht="15" customHeight="1" x14ac:dyDescent="0.25">
      <c r="T35816" s="135"/>
      <c r="U35816" s="135"/>
    </row>
    <row r="35817" spans="20:21" ht="15" customHeight="1" x14ac:dyDescent="0.25">
      <c r="T35817" s="135"/>
      <c r="U35817" s="135"/>
    </row>
    <row r="35818" spans="20:21" ht="15" customHeight="1" x14ac:dyDescent="0.25">
      <c r="T35818" s="135"/>
      <c r="U35818" s="135"/>
    </row>
    <row r="35819" spans="20:21" ht="15" customHeight="1" x14ac:dyDescent="0.25">
      <c r="T35819" s="135"/>
      <c r="U35819" s="135"/>
    </row>
    <row r="35820" spans="20:21" ht="15" customHeight="1" x14ac:dyDescent="0.25">
      <c r="T35820" s="135"/>
      <c r="U35820" s="135"/>
    </row>
    <row r="35821" spans="20:21" ht="15" customHeight="1" x14ac:dyDescent="0.25">
      <c r="T35821" s="135"/>
      <c r="U35821" s="135"/>
    </row>
    <row r="35822" spans="20:21" ht="15" customHeight="1" x14ac:dyDescent="0.25">
      <c r="T35822" s="135"/>
      <c r="U35822" s="135"/>
    </row>
    <row r="35823" spans="20:21" ht="15" customHeight="1" x14ac:dyDescent="0.25">
      <c r="T35823" s="135"/>
      <c r="U35823" s="135"/>
    </row>
    <row r="35824" spans="20:21" ht="15" customHeight="1" x14ac:dyDescent="0.25">
      <c r="T35824" s="135"/>
      <c r="U35824" s="135"/>
    </row>
    <row r="35825" spans="20:21" ht="15" customHeight="1" x14ac:dyDescent="0.25">
      <c r="T35825" s="135"/>
      <c r="U35825" s="135"/>
    </row>
    <row r="35826" spans="20:21" ht="15" customHeight="1" x14ac:dyDescent="0.25">
      <c r="T35826" s="135"/>
      <c r="U35826" s="135"/>
    </row>
    <row r="35827" spans="20:21" ht="15" customHeight="1" x14ac:dyDescent="0.25">
      <c r="T35827" s="135"/>
      <c r="U35827" s="135"/>
    </row>
    <row r="35828" spans="20:21" ht="15" customHeight="1" x14ac:dyDescent="0.25">
      <c r="T35828" s="135"/>
      <c r="U35828" s="135"/>
    </row>
    <row r="35829" spans="20:21" ht="15" customHeight="1" x14ac:dyDescent="0.25">
      <c r="T35829" s="135"/>
      <c r="U35829" s="135"/>
    </row>
    <row r="35830" spans="20:21" ht="15" customHeight="1" x14ac:dyDescent="0.25">
      <c r="T35830" s="135"/>
      <c r="U35830" s="135"/>
    </row>
    <row r="35831" spans="20:21" ht="15" customHeight="1" x14ac:dyDescent="0.25">
      <c r="T35831" s="135"/>
      <c r="U35831" s="135"/>
    </row>
    <row r="35832" spans="20:21" ht="15" customHeight="1" x14ac:dyDescent="0.25">
      <c r="T35832" s="135"/>
      <c r="U35832" s="135"/>
    </row>
    <row r="35833" spans="20:21" ht="15" customHeight="1" x14ac:dyDescent="0.25">
      <c r="T35833" s="135"/>
      <c r="U35833" s="135"/>
    </row>
    <row r="35834" spans="20:21" ht="15" customHeight="1" x14ac:dyDescent="0.25">
      <c r="T35834" s="135"/>
      <c r="U35834" s="135"/>
    </row>
    <row r="35835" spans="20:21" ht="15" customHeight="1" x14ac:dyDescent="0.25">
      <c r="T35835" s="135"/>
      <c r="U35835" s="135"/>
    </row>
    <row r="35836" spans="20:21" ht="15" customHeight="1" x14ac:dyDescent="0.25">
      <c r="T35836" s="135"/>
      <c r="U35836" s="135"/>
    </row>
    <row r="35837" spans="20:21" ht="15" customHeight="1" x14ac:dyDescent="0.25">
      <c r="T35837" s="135"/>
      <c r="U35837" s="135"/>
    </row>
    <row r="35838" spans="20:21" ht="15" customHeight="1" x14ac:dyDescent="0.25">
      <c r="T35838" s="135"/>
      <c r="U35838" s="135"/>
    </row>
    <row r="35839" spans="20:21" ht="15" customHeight="1" x14ac:dyDescent="0.25">
      <c r="T35839" s="135"/>
      <c r="U35839" s="135"/>
    </row>
    <row r="35840" spans="20:21" ht="15" customHeight="1" x14ac:dyDescent="0.25">
      <c r="T35840" s="135"/>
      <c r="U35840" s="135"/>
    </row>
    <row r="35841" spans="20:21" ht="15" customHeight="1" x14ac:dyDescent="0.25">
      <c r="T35841" s="135"/>
      <c r="U35841" s="135"/>
    </row>
    <row r="35842" spans="20:21" ht="15" customHeight="1" x14ac:dyDescent="0.25">
      <c r="T35842" s="135"/>
      <c r="U35842" s="135"/>
    </row>
    <row r="35843" spans="20:21" ht="15" customHeight="1" x14ac:dyDescent="0.25">
      <c r="T35843" s="135"/>
      <c r="U35843" s="135"/>
    </row>
    <row r="35844" spans="20:21" ht="15" customHeight="1" x14ac:dyDescent="0.25">
      <c r="T35844" s="135"/>
      <c r="U35844" s="135"/>
    </row>
    <row r="35845" spans="20:21" ht="15" customHeight="1" x14ac:dyDescent="0.25">
      <c r="T35845" s="135"/>
      <c r="U35845" s="135"/>
    </row>
    <row r="35846" spans="20:21" ht="15" customHeight="1" x14ac:dyDescent="0.25">
      <c r="T35846" s="135"/>
      <c r="U35846" s="135"/>
    </row>
    <row r="35847" spans="20:21" ht="15" customHeight="1" x14ac:dyDescent="0.25">
      <c r="T35847" s="135"/>
      <c r="U35847" s="135"/>
    </row>
    <row r="35848" spans="20:21" ht="15" customHeight="1" x14ac:dyDescent="0.25">
      <c r="T35848" s="135"/>
      <c r="U35848" s="135"/>
    </row>
    <row r="35849" spans="20:21" ht="15" customHeight="1" x14ac:dyDescent="0.25">
      <c r="T35849" s="135"/>
      <c r="U35849" s="135"/>
    </row>
    <row r="35850" spans="20:21" ht="15" customHeight="1" x14ac:dyDescent="0.25">
      <c r="T35850" s="135"/>
      <c r="U35850" s="135"/>
    </row>
    <row r="35851" spans="20:21" ht="15" customHeight="1" x14ac:dyDescent="0.25">
      <c r="T35851" s="135"/>
      <c r="U35851" s="135"/>
    </row>
    <row r="35852" spans="20:21" ht="15" customHeight="1" x14ac:dyDescent="0.25">
      <c r="T35852" s="135"/>
      <c r="U35852" s="135"/>
    </row>
    <row r="35853" spans="20:21" ht="15" customHeight="1" x14ac:dyDescent="0.25">
      <c r="T35853" s="135"/>
      <c r="U35853" s="135"/>
    </row>
    <row r="35854" spans="20:21" ht="15" customHeight="1" x14ac:dyDescent="0.25">
      <c r="T35854" s="135"/>
      <c r="U35854" s="135"/>
    </row>
    <row r="35855" spans="20:21" ht="15" customHeight="1" x14ac:dyDescent="0.25">
      <c r="T35855" s="135"/>
      <c r="U35855" s="135"/>
    </row>
    <row r="35856" spans="20:21" ht="15" customHeight="1" x14ac:dyDescent="0.25">
      <c r="T35856" s="135"/>
      <c r="U35856" s="135"/>
    </row>
    <row r="35857" spans="20:21" ht="15" customHeight="1" x14ac:dyDescent="0.25">
      <c r="T35857" s="135"/>
      <c r="U35857" s="135"/>
    </row>
    <row r="35858" spans="20:21" ht="15" customHeight="1" x14ac:dyDescent="0.25">
      <c r="T35858" s="135"/>
      <c r="U35858" s="135"/>
    </row>
    <row r="35859" spans="20:21" ht="15" customHeight="1" x14ac:dyDescent="0.25">
      <c r="T35859" s="135"/>
      <c r="U35859" s="135"/>
    </row>
    <row r="35860" spans="20:21" ht="15" customHeight="1" x14ac:dyDescent="0.25">
      <c r="T35860" s="135"/>
      <c r="U35860" s="135"/>
    </row>
    <row r="35861" spans="20:21" ht="15" customHeight="1" x14ac:dyDescent="0.25">
      <c r="T35861" s="135"/>
      <c r="U35861" s="135"/>
    </row>
    <row r="35862" spans="20:21" ht="15" customHeight="1" x14ac:dyDescent="0.25">
      <c r="T35862" s="135"/>
      <c r="U35862" s="135"/>
    </row>
    <row r="35863" spans="20:21" ht="15" customHeight="1" x14ac:dyDescent="0.25">
      <c r="T35863" s="135"/>
      <c r="U35863" s="135"/>
    </row>
    <row r="35864" spans="20:21" ht="15" customHeight="1" x14ac:dyDescent="0.25">
      <c r="T35864" s="135"/>
      <c r="U35864" s="135"/>
    </row>
    <row r="35865" spans="20:21" ht="15" customHeight="1" x14ac:dyDescent="0.25">
      <c r="T35865" s="135"/>
      <c r="U35865" s="135"/>
    </row>
    <row r="35866" spans="20:21" ht="15" customHeight="1" x14ac:dyDescent="0.25">
      <c r="T35866" s="135"/>
      <c r="U35866" s="135"/>
    </row>
    <row r="35867" spans="20:21" ht="15" customHeight="1" x14ac:dyDescent="0.25">
      <c r="T35867" s="135"/>
      <c r="U35867" s="135"/>
    </row>
    <row r="35868" spans="20:21" ht="15" customHeight="1" x14ac:dyDescent="0.25">
      <c r="T35868" s="135"/>
      <c r="U35868" s="135"/>
    </row>
    <row r="35869" spans="20:21" ht="15" customHeight="1" x14ac:dyDescent="0.25">
      <c r="T35869" s="135"/>
      <c r="U35869" s="135"/>
    </row>
    <row r="35870" spans="20:21" ht="15" customHeight="1" x14ac:dyDescent="0.25">
      <c r="T35870" s="135"/>
      <c r="U35870" s="135"/>
    </row>
    <row r="35871" spans="20:21" ht="15" customHeight="1" x14ac:dyDescent="0.25">
      <c r="T35871" s="135"/>
      <c r="U35871" s="135"/>
    </row>
    <row r="35872" spans="20:21" ht="15" customHeight="1" x14ac:dyDescent="0.25">
      <c r="T35872" s="135"/>
      <c r="U35872" s="135"/>
    </row>
    <row r="35873" spans="20:21" ht="15" customHeight="1" x14ac:dyDescent="0.25">
      <c r="T35873" s="135"/>
      <c r="U35873" s="135"/>
    </row>
    <row r="35874" spans="20:21" ht="15" customHeight="1" x14ac:dyDescent="0.25">
      <c r="T35874" s="135"/>
      <c r="U35874" s="135"/>
    </row>
    <row r="35875" spans="20:21" ht="15" customHeight="1" x14ac:dyDescent="0.25">
      <c r="T35875" s="135"/>
      <c r="U35875" s="135"/>
    </row>
    <row r="35876" spans="20:21" ht="15" customHeight="1" x14ac:dyDescent="0.25">
      <c r="T35876" s="135"/>
      <c r="U35876" s="135"/>
    </row>
    <row r="35877" spans="20:21" ht="15" customHeight="1" x14ac:dyDescent="0.25">
      <c r="T35877" s="135"/>
      <c r="U35877" s="135"/>
    </row>
    <row r="35878" spans="20:21" ht="15" customHeight="1" x14ac:dyDescent="0.25">
      <c r="T35878" s="135"/>
      <c r="U35878" s="135"/>
    </row>
    <row r="35879" spans="20:21" ht="15" customHeight="1" x14ac:dyDescent="0.25">
      <c r="T35879" s="135"/>
      <c r="U35879" s="135"/>
    </row>
    <row r="35880" spans="20:21" ht="15" customHeight="1" x14ac:dyDescent="0.25">
      <c r="T35880" s="135"/>
      <c r="U35880" s="135"/>
    </row>
    <row r="35881" spans="20:21" ht="15" customHeight="1" x14ac:dyDescent="0.25">
      <c r="T35881" s="135"/>
      <c r="U35881" s="135"/>
    </row>
    <row r="35882" spans="20:21" ht="15" customHeight="1" x14ac:dyDescent="0.25">
      <c r="T35882" s="135"/>
      <c r="U35882" s="135"/>
    </row>
    <row r="35883" spans="20:21" ht="15" customHeight="1" x14ac:dyDescent="0.25">
      <c r="T35883" s="135"/>
      <c r="U35883" s="135"/>
    </row>
    <row r="35884" spans="20:21" ht="15" customHeight="1" x14ac:dyDescent="0.25">
      <c r="T35884" s="135"/>
      <c r="U35884" s="135"/>
    </row>
    <row r="35885" spans="20:21" ht="15" customHeight="1" x14ac:dyDescent="0.25">
      <c r="T35885" s="135"/>
      <c r="U35885" s="135"/>
    </row>
    <row r="35886" spans="20:21" ht="15" customHeight="1" x14ac:dyDescent="0.25">
      <c r="T35886" s="135"/>
      <c r="U35886" s="135"/>
    </row>
    <row r="35887" spans="20:21" ht="15" customHeight="1" x14ac:dyDescent="0.25">
      <c r="T35887" s="135"/>
      <c r="U35887" s="135"/>
    </row>
    <row r="35888" spans="20:21" ht="15" customHeight="1" x14ac:dyDescent="0.25">
      <c r="T35888" s="135"/>
      <c r="U35888" s="135"/>
    </row>
    <row r="35889" spans="20:21" ht="15" customHeight="1" x14ac:dyDescent="0.25">
      <c r="T35889" s="135"/>
      <c r="U35889" s="135"/>
    </row>
    <row r="35890" spans="20:21" ht="15" customHeight="1" x14ac:dyDescent="0.25">
      <c r="T35890" s="135"/>
      <c r="U35890" s="135"/>
    </row>
    <row r="35891" spans="20:21" ht="15" customHeight="1" x14ac:dyDescent="0.25">
      <c r="T35891" s="135"/>
      <c r="U35891" s="135"/>
    </row>
    <row r="35892" spans="20:21" ht="15" customHeight="1" x14ac:dyDescent="0.25">
      <c r="T35892" s="135"/>
      <c r="U35892" s="135"/>
    </row>
    <row r="35893" spans="20:21" ht="15" customHeight="1" x14ac:dyDescent="0.25">
      <c r="T35893" s="135"/>
      <c r="U35893" s="135"/>
    </row>
    <row r="35894" spans="20:21" ht="15" customHeight="1" x14ac:dyDescent="0.25">
      <c r="T35894" s="135"/>
      <c r="U35894" s="135"/>
    </row>
    <row r="35895" spans="20:21" ht="15" customHeight="1" x14ac:dyDescent="0.25">
      <c r="T35895" s="135"/>
      <c r="U35895" s="135"/>
    </row>
    <row r="35896" spans="20:21" ht="15" customHeight="1" x14ac:dyDescent="0.25">
      <c r="T35896" s="135"/>
      <c r="U35896" s="135"/>
    </row>
    <row r="35897" spans="20:21" ht="15" customHeight="1" x14ac:dyDescent="0.25">
      <c r="T35897" s="135"/>
      <c r="U35897" s="135"/>
    </row>
    <row r="35898" spans="20:21" ht="15" customHeight="1" x14ac:dyDescent="0.25">
      <c r="T35898" s="135"/>
      <c r="U35898" s="135"/>
    </row>
    <row r="35899" spans="20:21" ht="15" customHeight="1" x14ac:dyDescent="0.25">
      <c r="T35899" s="135"/>
      <c r="U35899" s="135"/>
    </row>
    <row r="35900" spans="20:21" ht="15" customHeight="1" x14ac:dyDescent="0.25">
      <c r="T35900" s="135"/>
      <c r="U35900" s="135"/>
    </row>
    <row r="35901" spans="20:21" ht="15" customHeight="1" x14ac:dyDescent="0.25">
      <c r="T35901" s="135"/>
      <c r="U35901" s="135"/>
    </row>
    <row r="35902" spans="20:21" ht="15" customHeight="1" x14ac:dyDescent="0.25">
      <c r="T35902" s="135"/>
      <c r="U35902" s="135"/>
    </row>
    <row r="35903" spans="20:21" ht="15" customHeight="1" x14ac:dyDescent="0.25">
      <c r="T35903" s="135"/>
      <c r="U35903" s="135"/>
    </row>
    <row r="35904" spans="20:21" ht="15" customHeight="1" x14ac:dyDescent="0.25">
      <c r="T35904" s="135"/>
      <c r="U35904" s="135"/>
    </row>
    <row r="35905" spans="20:21" ht="15" customHeight="1" x14ac:dyDescent="0.25">
      <c r="T35905" s="135"/>
      <c r="U35905" s="135"/>
    </row>
    <row r="35906" spans="20:21" ht="15" customHeight="1" x14ac:dyDescent="0.25">
      <c r="T35906" s="135"/>
      <c r="U35906" s="135"/>
    </row>
    <row r="35907" spans="20:21" ht="15" customHeight="1" x14ac:dyDescent="0.25">
      <c r="T35907" s="135"/>
      <c r="U35907" s="135"/>
    </row>
    <row r="35908" spans="20:21" ht="15" customHeight="1" x14ac:dyDescent="0.25">
      <c r="T35908" s="135"/>
      <c r="U35908" s="135"/>
    </row>
    <row r="35909" spans="20:21" ht="15" customHeight="1" x14ac:dyDescent="0.25">
      <c r="T35909" s="135"/>
      <c r="U35909" s="135"/>
    </row>
    <row r="35910" spans="20:21" ht="15" customHeight="1" x14ac:dyDescent="0.25">
      <c r="T35910" s="135"/>
      <c r="U35910" s="135"/>
    </row>
    <row r="35911" spans="20:21" ht="15" customHeight="1" x14ac:dyDescent="0.25">
      <c r="T35911" s="135"/>
      <c r="U35911" s="135"/>
    </row>
    <row r="35912" spans="20:21" ht="15" customHeight="1" x14ac:dyDescent="0.25">
      <c r="T35912" s="135"/>
      <c r="U35912" s="135"/>
    </row>
    <row r="35913" spans="20:21" ht="15" customHeight="1" x14ac:dyDescent="0.25">
      <c r="T35913" s="135"/>
      <c r="U35913" s="135"/>
    </row>
    <row r="35914" spans="20:21" ht="15" customHeight="1" x14ac:dyDescent="0.25">
      <c r="T35914" s="135"/>
      <c r="U35914" s="135"/>
    </row>
    <row r="35915" spans="20:21" ht="15" customHeight="1" x14ac:dyDescent="0.25">
      <c r="T35915" s="135"/>
      <c r="U35915" s="135"/>
    </row>
    <row r="35916" spans="20:21" ht="15" customHeight="1" x14ac:dyDescent="0.25">
      <c r="T35916" s="135"/>
      <c r="U35916" s="135"/>
    </row>
    <row r="35917" spans="20:21" ht="15" customHeight="1" x14ac:dyDescent="0.25">
      <c r="T35917" s="135"/>
      <c r="U35917" s="135"/>
    </row>
    <row r="35918" spans="20:21" ht="15" customHeight="1" x14ac:dyDescent="0.25">
      <c r="T35918" s="135"/>
      <c r="U35918" s="135"/>
    </row>
    <row r="35919" spans="20:21" ht="15" customHeight="1" x14ac:dyDescent="0.25">
      <c r="T35919" s="135"/>
      <c r="U35919" s="135"/>
    </row>
    <row r="35920" spans="20:21" ht="15" customHeight="1" x14ac:dyDescent="0.25">
      <c r="T35920" s="135"/>
      <c r="U35920" s="135"/>
    </row>
    <row r="35921" spans="20:21" ht="15" customHeight="1" x14ac:dyDescent="0.25">
      <c r="T35921" s="135"/>
      <c r="U35921" s="135"/>
    </row>
    <row r="35922" spans="20:21" ht="15" customHeight="1" x14ac:dyDescent="0.25">
      <c r="T35922" s="135"/>
      <c r="U35922" s="135"/>
    </row>
    <row r="35923" spans="20:21" ht="15" customHeight="1" x14ac:dyDescent="0.25">
      <c r="T35923" s="135"/>
      <c r="U35923" s="135"/>
    </row>
    <row r="35924" spans="20:21" ht="15" customHeight="1" x14ac:dyDescent="0.25">
      <c r="T35924" s="135"/>
      <c r="U35924" s="135"/>
    </row>
    <row r="35925" spans="20:21" ht="15" customHeight="1" x14ac:dyDescent="0.25">
      <c r="T35925" s="135"/>
      <c r="U35925" s="135"/>
    </row>
    <row r="35926" spans="20:21" ht="15" customHeight="1" x14ac:dyDescent="0.25">
      <c r="T35926" s="135"/>
      <c r="U35926" s="135"/>
    </row>
    <row r="35927" spans="20:21" ht="15" customHeight="1" x14ac:dyDescent="0.25">
      <c r="T35927" s="135"/>
      <c r="U35927" s="135"/>
    </row>
    <row r="35928" spans="20:21" ht="15" customHeight="1" x14ac:dyDescent="0.25">
      <c r="T35928" s="135"/>
      <c r="U35928" s="135"/>
    </row>
    <row r="35929" spans="20:21" ht="15" customHeight="1" x14ac:dyDescent="0.25">
      <c r="T35929" s="135"/>
      <c r="U35929" s="135"/>
    </row>
    <row r="35930" spans="20:21" ht="15" customHeight="1" x14ac:dyDescent="0.25">
      <c r="T35930" s="135"/>
      <c r="U35930" s="135"/>
    </row>
    <row r="35931" spans="20:21" ht="15" customHeight="1" x14ac:dyDescent="0.25">
      <c r="T35931" s="135"/>
      <c r="U35931" s="135"/>
    </row>
    <row r="35932" spans="20:21" ht="15" customHeight="1" x14ac:dyDescent="0.25">
      <c r="T35932" s="135"/>
      <c r="U35932" s="135"/>
    </row>
    <row r="35933" spans="20:21" ht="15" customHeight="1" x14ac:dyDescent="0.25">
      <c r="T35933" s="135"/>
      <c r="U35933" s="135"/>
    </row>
    <row r="35934" spans="20:21" ht="15" customHeight="1" x14ac:dyDescent="0.25">
      <c r="T35934" s="135"/>
      <c r="U35934" s="135"/>
    </row>
    <row r="35935" spans="20:21" ht="15" customHeight="1" x14ac:dyDescent="0.25">
      <c r="T35935" s="135"/>
      <c r="U35935" s="135"/>
    </row>
    <row r="35936" spans="20:21" ht="15" customHeight="1" x14ac:dyDescent="0.25">
      <c r="T35936" s="135"/>
      <c r="U35936" s="135"/>
    </row>
    <row r="35937" spans="20:21" ht="15" customHeight="1" x14ac:dyDescent="0.25">
      <c r="T35937" s="135"/>
      <c r="U35937" s="135"/>
    </row>
    <row r="35938" spans="20:21" ht="15" customHeight="1" x14ac:dyDescent="0.25">
      <c r="T35938" s="135"/>
      <c r="U35938" s="135"/>
    </row>
    <row r="35939" spans="20:21" ht="15" customHeight="1" x14ac:dyDescent="0.25">
      <c r="T35939" s="135"/>
      <c r="U35939" s="135"/>
    </row>
    <row r="35940" spans="20:21" ht="15" customHeight="1" x14ac:dyDescent="0.25">
      <c r="T35940" s="135"/>
      <c r="U35940" s="135"/>
    </row>
    <row r="35941" spans="20:21" ht="15" customHeight="1" x14ac:dyDescent="0.25">
      <c r="T35941" s="135"/>
      <c r="U35941" s="135"/>
    </row>
    <row r="35942" spans="20:21" ht="15" customHeight="1" x14ac:dyDescent="0.25">
      <c r="T35942" s="135"/>
      <c r="U35942" s="135"/>
    </row>
    <row r="35943" spans="20:21" ht="15" customHeight="1" x14ac:dyDescent="0.25">
      <c r="T35943" s="135"/>
      <c r="U35943" s="135"/>
    </row>
    <row r="35944" spans="20:21" ht="15" customHeight="1" x14ac:dyDescent="0.25">
      <c r="T35944" s="135"/>
      <c r="U35944" s="135"/>
    </row>
    <row r="35945" spans="20:21" ht="15" customHeight="1" x14ac:dyDescent="0.25">
      <c r="T35945" s="135"/>
      <c r="U35945" s="135"/>
    </row>
    <row r="35946" spans="20:21" ht="15" customHeight="1" x14ac:dyDescent="0.25">
      <c r="T35946" s="135"/>
      <c r="U35946" s="135"/>
    </row>
    <row r="35947" spans="20:21" ht="15" customHeight="1" x14ac:dyDescent="0.25">
      <c r="T35947" s="135"/>
      <c r="U35947" s="135"/>
    </row>
    <row r="35948" spans="20:21" ht="15" customHeight="1" x14ac:dyDescent="0.25">
      <c r="T35948" s="135"/>
      <c r="U35948" s="135"/>
    </row>
    <row r="35949" spans="20:21" ht="15" customHeight="1" x14ac:dyDescent="0.25">
      <c r="T35949" s="135"/>
      <c r="U35949" s="135"/>
    </row>
    <row r="35950" spans="20:21" ht="15" customHeight="1" x14ac:dyDescent="0.25">
      <c r="T35950" s="135"/>
      <c r="U35950" s="135"/>
    </row>
    <row r="35951" spans="20:21" ht="15" customHeight="1" x14ac:dyDescent="0.25">
      <c r="T35951" s="135"/>
      <c r="U35951" s="135"/>
    </row>
    <row r="35952" spans="20:21" ht="15" customHeight="1" x14ac:dyDescent="0.25">
      <c r="T35952" s="135"/>
      <c r="U35952" s="135"/>
    </row>
    <row r="35953" spans="20:21" ht="15" customHeight="1" x14ac:dyDescent="0.25">
      <c r="T35953" s="135"/>
      <c r="U35953" s="135"/>
    </row>
    <row r="35954" spans="20:21" ht="15" customHeight="1" x14ac:dyDescent="0.25">
      <c r="T35954" s="135"/>
      <c r="U35954" s="135"/>
    </row>
    <row r="35955" spans="20:21" ht="15" customHeight="1" x14ac:dyDescent="0.25">
      <c r="T35955" s="135"/>
      <c r="U35955" s="135"/>
    </row>
    <row r="35956" spans="20:21" ht="15" customHeight="1" x14ac:dyDescent="0.25">
      <c r="T35956" s="135"/>
      <c r="U35956" s="135"/>
    </row>
    <row r="35957" spans="20:21" ht="15" customHeight="1" x14ac:dyDescent="0.25">
      <c r="T35957" s="135"/>
      <c r="U35957" s="135"/>
    </row>
    <row r="35958" spans="20:21" ht="15" customHeight="1" x14ac:dyDescent="0.25">
      <c r="T35958" s="135"/>
      <c r="U35958" s="135"/>
    </row>
    <row r="35959" spans="20:21" ht="15" customHeight="1" x14ac:dyDescent="0.25">
      <c r="T35959" s="135"/>
      <c r="U35959" s="135"/>
    </row>
    <row r="35960" spans="20:21" ht="15" customHeight="1" x14ac:dyDescent="0.25">
      <c r="T35960" s="135"/>
      <c r="U35960" s="135"/>
    </row>
    <row r="35961" spans="20:21" ht="15" customHeight="1" x14ac:dyDescent="0.25">
      <c r="T35961" s="135"/>
      <c r="U35961" s="135"/>
    </row>
    <row r="35962" spans="20:21" ht="15" customHeight="1" x14ac:dyDescent="0.25">
      <c r="T35962" s="135"/>
      <c r="U35962" s="135"/>
    </row>
    <row r="35963" spans="20:21" ht="15" customHeight="1" x14ac:dyDescent="0.25">
      <c r="T35963" s="135"/>
      <c r="U35963" s="135"/>
    </row>
    <row r="35964" spans="20:21" ht="15" customHeight="1" x14ac:dyDescent="0.25">
      <c r="T35964" s="135"/>
      <c r="U35964" s="135"/>
    </row>
    <row r="35965" spans="20:21" ht="15" customHeight="1" x14ac:dyDescent="0.25">
      <c r="T35965" s="135"/>
      <c r="U35965" s="135"/>
    </row>
    <row r="35966" spans="20:21" ht="15" customHeight="1" x14ac:dyDescent="0.25">
      <c r="T35966" s="135"/>
      <c r="U35966" s="135"/>
    </row>
    <row r="35967" spans="20:21" ht="15" customHeight="1" x14ac:dyDescent="0.25">
      <c r="T35967" s="135"/>
      <c r="U35967" s="135"/>
    </row>
    <row r="35968" spans="20:21" ht="15" customHeight="1" x14ac:dyDescent="0.25">
      <c r="T35968" s="135"/>
      <c r="U35968" s="135"/>
    </row>
    <row r="35969" spans="20:21" ht="15" customHeight="1" x14ac:dyDescent="0.25">
      <c r="T35969" s="135"/>
      <c r="U35969" s="135"/>
    </row>
    <row r="35970" spans="20:21" ht="15" customHeight="1" x14ac:dyDescent="0.25">
      <c r="T35970" s="135"/>
      <c r="U35970" s="135"/>
    </row>
    <row r="35971" spans="20:21" ht="15" customHeight="1" x14ac:dyDescent="0.25">
      <c r="T35971" s="135"/>
      <c r="U35971" s="135"/>
    </row>
    <row r="35972" spans="20:21" ht="15" customHeight="1" x14ac:dyDescent="0.25">
      <c r="T35972" s="135"/>
      <c r="U35972" s="135"/>
    </row>
    <row r="35973" spans="20:21" ht="15" customHeight="1" x14ac:dyDescent="0.25">
      <c r="T35973" s="135"/>
      <c r="U35973" s="135"/>
    </row>
    <row r="35974" spans="20:21" ht="15" customHeight="1" x14ac:dyDescent="0.25">
      <c r="T35974" s="135"/>
      <c r="U35974" s="135"/>
    </row>
    <row r="35975" spans="20:21" ht="15" customHeight="1" x14ac:dyDescent="0.25">
      <c r="T35975" s="135"/>
      <c r="U35975" s="135"/>
    </row>
    <row r="35976" spans="20:21" ht="15" customHeight="1" x14ac:dyDescent="0.25">
      <c r="T35976" s="135"/>
      <c r="U35976" s="135"/>
    </row>
    <row r="35977" spans="20:21" ht="15" customHeight="1" x14ac:dyDescent="0.25">
      <c r="T35977" s="135"/>
      <c r="U35977" s="135"/>
    </row>
    <row r="35978" spans="20:21" ht="15" customHeight="1" x14ac:dyDescent="0.25">
      <c r="T35978" s="135"/>
      <c r="U35978" s="135"/>
    </row>
    <row r="35979" spans="20:21" ht="15" customHeight="1" x14ac:dyDescent="0.25">
      <c r="T35979" s="135"/>
      <c r="U35979" s="135"/>
    </row>
    <row r="35980" spans="20:21" ht="15" customHeight="1" x14ac:dyDescent="0.25">
      <c r="T35980" s="135"/>
      <c r="U35980" s="135"/>
    </row>
    <row r="35981" spans="20:21" ht="15" customHeight="1" x14ac:dyDescent="0.25">
      <c r="T35981" s="135"/>
      <c r="U35981" s="135"/>
    </row>
    <row r="35982" spans="20:21" ht="15" customHeight="1" x14ac:dyDescent="0.25">
      <c r="T35982" s="135"/>
      <c r="U35982" s="135"/>
    </row>
    <row r="35983" spans="20:21" ht="15" customHeight="1" x14ac:dyDescent="0.25">
      <c r="T35983" s="135"/>
      <c r="U35983" s="135"/>
    </row>
    <row r="35984" spans="20:21" ht="15" customHeight="1" x14ac:dyDescent="0.25">
      <c r="T35984" s="135"/>
      <c r="U35984" s="135"/>
    </row>
    <row r="35985" spans="20:21" ht="15" customHeight="1" x14ac:dyDescent="0.25">
      <c r="T35985" s="135"/>
      <c r="U35985" s="135"/>
    </row>
    <row r="35986" spans="20:21" ht="15" customHeight="1" x14ac:dyDescent="0.25">
      <c r="T35986" s="135"/>
      <c r="U35986" s="135"/>
    </row>
    <row r="35987" spans="20:21" ht="15" customHeight="1" x14ac:dyDescent="0.25">
      <c r="T35987" s="135"/>
      <c r="U35987" s="135"/>
    </row>
    <row r="35988" spans="20:21" ht="15" customHeight="1" x14ac:dyDescent="0.25">
      <c r="T35988" s="135"/>
      <c r="U35988" s="135"/>
    </row>
    <row r="35989" spans="20:21" ht="15" customHeight="1" x14ac:dyDescent="0.25">
      <c r="T35989" s="135"/>
      <c r="U35989" s="135"/>
    </row>
    <row r="35990" spans="20:21" ht="15" customHeight="1" x14ac:dyDescent="0.25">
      <c r="T35990" s="135"/>
      <c r="U35990" s="135"/>
    </row>
    <row r="35991" spans="20:21" ht="15" customHeight="1" x14ac:dyDescent="0.25">
      <c r="T35991" s="135"/>
      <c r="U35991" s="135"/>
    </row>
    <row r="35992" spans="20:21" ht="15" customHeight="1" x14ac:dyDescent="0.25">
      <c r="T35992" s="135"/>
      <c r="U35992" s="135"/>
    </row>
    <row r="35993" spans="20:21" ht="15" customHeight="1" x14ac:dyDescent="0.25">
      <c r="T35993" s="135"/>
      <c r="U35993" s="135"/>
    </row>
    <row r="35994" spans="20:21" ht="15" customHeight="1" x14ac:dyDescent="0.25">
      <c r="T35994" s="135"/>
      <c r="U35994" s="135"/>
    </row>
    <row r="35995" spans="20:21" ht="15" customHeight="1" x14ac:dyDescent="0.25">
      <c r="T35995" s="135"/>
      <c r="U35995" s="135"/>
    </row>
    <row r="35996" spans="20:21" ht="15" customHeight="1" x14ac:dyDescent="0.25">
      <c r="T35996" s="135"/>
      <c r="U35996" s="135"/>
    </row>
    <row r="35997" spans="20:21" ht="15" customHeight="1" x14ac:dyDescent="0.25">
      <c r="T35997" s="135"/>
      <c r="U35997" s="135"/>
    </row>
    <row r="35998" spans="20:21" ht="15" customHeight="1" x14ac:dyDescent="0.25">
      <c r="T35998" s="135"/>
      <c r="U35998" s="135"/>
    </row>
    <row r="35999" spans="20:21" ht="15" customHeight="1" x14ac:dyDescent="0.25">
      <c r="T35999" s="135"/>
      <c r="U35999" s="135"/>
    </row>
    <row r="36000" spans="20:21" ht="15" customHeight="1" x14ac:dyDescent="0.25">
      <c r="T36000" s="135"/>
      <c r="U36000" s="135"/>
    </row>
    <row r="36001" spans="20:21" ht="15" customHeight="1" x14ac:dyDescent="0.25">
      <c r="T36001" s="135"/>
      <c r="U36001" s="135"/>
    </row>
    <row r="36002" spans="20:21" ht="15" customHeight="1" x14ac:dyDescent="0.25">
      <c r="T36002" s="135"/>
      <c r="U36002" s="135"/>
    </row>
    <row r="36003" spans="20:21" ht="15" customHeight="1" x14ac:dyDescent="0.25">
      <c r="T36003" s="135"/>
      <c r="U36003" s="135"/>
    </row>
    <row r="36004" spans="20:21" ht="15" customHeight="1" x14ac:dyDescent="0.25">
      <c r="T36004" s="135"/>
      <c r="U36004" s="135"/>
    </row>
    <row r="36005" spans="20:21" ht="15" customHeight="1" x14ac:dyDescent="0.25">
      <c r="T36005" s="135"/>
      <c r="U36005" s="135"/>
    </row>
    <row r="36006" spans="20:21" ht="15" customHeight="1" x14ac:dyDescent="0.25">
      <c r="T36006" s="135"/>
      <c r="U36006" s="135"/>
    </row>
    <row r="36007" spans="20:21" ht="15" customHeight="1" x14ac:dyDescent="0.25">
      <c r="T36007" s="135"/>
      <c r="U36007" s="135"/>
    </row>
    <row r="36008" spans="20:21" ht="15" customHeight="1" x14ac:dyDescent="0.25">
      <c r="T36008" s="135"/>
      <c r="U36008" s="135"/>
    </row>
    <row r="36009" spans="20:21" ht="15" customHeight="1" x14ac:dyDescent="0.25">
      <c r="T36009" s="135"/>
      <c r="U36009" s="135"/>
    </row>
    <row r="36010" spans="20:21" ht="15" customHeight="1" x14ac:dyDescent="0.25">
      <c r="T36010" s="135"/>
      <c r="U36010" s="135"/>
    </row>
    <row r="36011" spans="20:21" ht="15" customHeight="1" x14ac:dyDescent="0.25">
      <c r="T36011" s="135"/>
      <c r="U36011" s="135"/>
    </row>
    <row r="36012" spans="20:21" ht="15" customHeight="1" x14ac:dyDescent="0.25">
      <c r="T36012" s="135"/>
      <c r="U36012" s="135"/>
    </row>
    <row r="36013" spans="20:21" ht="15" customHeight="1" x14ac:dyDescent="0.25">
      <c r="T36013" s="135"/>
      <c r="U36013" s="135"/>
    </row>
    <row r="36014" spans="20:21" ht="15" customHeight="1" x14ac:dyDescent="0.25">
      <c r="T36014" s="135"/>
      <c r="U36014" s="135"/>
    </row>
    <row r="36015" spans="20:21" ht="15" customHeight="1" x14ac:dyDescent="0.25">
      <c r="T36015" s="135"/>
      <c r="U36015" s="135"/>
    </row>
    <row r="36016" spans="20:21" ht="15" customHeight="1" x14ac:dyDescent="0.25">
      <c r="T36016" s="135"/>
      <c r="U36016" s="135"/>
    </row>
    <row r="36017" spans="20:21" ht="15" customHeight="1" x14ac:dyDescent="0.25">
      <c r="T36017" s="135"/>
      <c r="U36017" s="135"/>
    </row>
    <row r="36018" spans="20:21" ht="15" customHeight="1" x14ac:dyDescent="0.25">
      <c r="T36018" s="135"/>
      <c r="U36018" s="135"/>
    </row>
    <row r="36019" spans="20:21" ht="15" customHeight="1" x14ac:dyDescent="0.25">
      <c r="T36019" s="135"/>
      <c r="U36019" s="135"/>
    </row>
    <row r="36020" spans="20:21" ht="15" customHeight="1" x14ac:dyDescent="0.25">
      <c r="T36020" s="135"/>
      <c r="U36020" s="135"/>
    </row>
    <row r="36021" spans="20:21" ht="15" customHeight="1" x14ac:dyDescent="0.25">
      <c r="T36021" s="135"/>
      <c r="U36021" s="135"/>
    </row>
    <row r="36022" spans="20:21" ht="15" customHeight="1" x14ac:dyDescent="0.25">
      <c r="T36022" s="135"/>
      <c r="U36022" s="135"/>
    </row>
    <row r="36023" spans="20:21" ht="15" customHeight="1" x14ac:dyDescent="0.25">
      <c r="T36023" s="135"/>
      <c r="U36023" s="135"/>
    </row>
    <row r="36024" spans="20:21" ht="15" customHeight="1" x14ac:dyDescent="0.25">
      <c r="T36024" s="135"/>
      <c r="U36024" s="135"/>
    </row>
    <row r="36025" spans="20:21" ht="15" customHeight="1" x14ac:dyDescent="0.25">
      <c r="T36025" s="135"/>
      <c r="U36025" s="135"/>
    </row>
    <row r="36026" spans="20:21" ht="15" customHeight="1" x14ac:dyDescent="0.25">
      <c r="T36026" s="135"/>
      <c r="U36026" s="135"/>
    </row>
    <row r="36027" spans="20:21" ht="15" customHeight="1" x14ac:dyDescent="0.25">
      <c r="T36027" s="135"/>
      <c r="U36027" s="135"/>
    </row>
    <row r="36028" spans="20:21" ht="15" customHeight="1" x14ac:dyDescent="0.25">
      <c r="T36028" s="135"/>
      <c r="U36028" s="135"/>
    </row>
    <row r="36029" spans="20:21" ht="15" customHeight="1" x14ac:dyDescent="0.25">
      <c r="T36029" s="135"/>
      <c r="U36029" s="135"/>
    </row>
    <row r="36030" spans="20:21" ht="15" customHeight="1" x14ac:dyDescent="0.25">
      <c r="T36030" s="135"/>
      <c r="U36030" s="135"/>
    </row>
    <row r="36031" spans="20:21" ht="15" customHeight="1" x14ac:dyDescent="0.25">
      <c r="T36031" s="135"/>
      <c r="U36031" s="135"/>
    </row>
    <row r="36032" spans="20:21" ht="15" customHeight="1" x14ac:dyDescent="0.25">
      <c r="T36032" s="135"/>
      <c r="U36032" s="135"/>
    </row>
    <row r="36033" spans="20:21" ht="15" customHeight="1" x14ac:dyDescent="0.25">
      <c r="T36033" s="135"/>
      <c r="U36033" s="135"/>
    </row>
    <row r="36034" spans="20:21" ht="15" customHeight="1" x14ac:dyDescent="0.25">
      <c r="T36034" s="135"/>
      <c r="U36034" s="135"/>
    </row>
    <row r="36035" spans="20:21" ht="15" customHeight="1" x14ac:dyDescent="0.25">
      <c r="T36035" s="135"/>
      <c r="U36035" s="135"/>
    </row>
    <row r="36036" spans="20:21" ht="15" customHeight="1" x14ac:dyDescent="0.25">
      <c r="T36036" s="135"/>
      <c r="U36036" s="135"/>
    </row>
    <row r="36037" spans="20:21" ht="15" customHeight="1" x14ac:dyDescent="0.25">
      <c r="T36037" s="135"/>
      <c r="U36037" s="135"/>
    </row>
    <row r="36038" spans="20:21" ht="15" customHeight="1" x14ac:dyDescent="0.25">
      <c r="T36038" s="135"/>
      <c r="U36038" s="135"/>
    </row>
    <row r="36039" spans="20:21" ht="15" customHeight="1" x14ac:dyDescent="0.25">
      <c r="T36039" s="135"/>
      <c r="U36039" s="135"/>
    </row>
    <row r="36040" spans="20:21" ht="15" customHeight="1" x14ac:dyDescent="0.25">
      <c r="T36040" s="135"/>
      <c r="U36040" s="135"/>
    </row>
    <row r="36041" spans="20:21" ht="15" customHeight="1" x14ac:dyDescent="0.25">
      <c r="T36041" s="135"/>
      <c r="U36041" s="135"/>
    </row>
    <row r="36042" spans="20:21" ht="15" customHeight="1" x14ac:dyDescent="0.25">
      <c r="T36042" s="135"/>
      <c r="U36042" s="135"/>
    </row>
    <row r="36043" spans="20:21" ht="15" customHeight="1" x14ac:dyDescent="0.25">
      <c r="T36043" s="135"/>
      <c r="U36043" s="135"/>
    </row>
    <row r="36044" spans="20:21" ht="15" customHeight="1" x14ac:dyDescent="0.25">
      <c r="T36044" s="135"/>
      <c r="U36044" s="135"/>
    </row>
    <row r="36045" spans="20:21" ht="15" customHeight="1" x14ac:dyDescent="0.25">
      <c r="T36045" s="135"/>
      <c r="U36045" s="135"/>
    </row>
    <row r="36046" spans="20:21" ht="15" customHeight="1" x14ac:dyDescent="0.25">
      <c r="T36046" s="135"/>
      <c r="U36046" s="135"/>
    </row>
    <row r="36047" spans="20:21" ht="15" customHeight="1" x14ac:dyDescent="0.25">
      <c r="T36047" s="135"/>
      <c r="U36047" s="135"/>
    </row>
    <row r="36048" spans="20:21" ht="15" customHeight="1" x14ac:dyDescent="0.25">
      <c r="T36048" s="135"/>
      <c r="U36048" s="135"/>
    </row>
    <row r="36049" spans="20:21" ht="15" customHeight="1" x14ac:dyDescent="0.25">
      <c r="T36049" s="135"/>
      <c r="U36049" s="135"/>
    </row>
    <row r="36050" spans="20:21" ht="15" customHeight="1" x14ac:dyDescent="0.25">
      <c r="T36050" s="135"/>
      <c r="U36050" s="135"/>
    </row>
    <row r="36051" spans="20:21" ht="15" customHeight="1" x14ac:dyDescent="0.25">
      <c r="T36051" s="135"/>
      <c r="U36051" s="135"/>
    </row>
    <row r="36052" spans="20:21" ht="15" customHeight="1" x14ac:dyDescent="0.25">
      <c r="T36052" s="135"/>
      <c r="U36052" s="135"/>
    </row>
    <row r="36053" spans="20:21" ht="15" customHeight="1" x14ac:dyDescent="0.25">
      <c r="T36053" s="135"/>
      <c r="U36053" s="135"/>
    </row>
    <row r="36054" spans="20:21" ht="15" customHeight="1" x14ac:dyDescent="0.25">
      <c r="T36054" s="135"/>
      <c r="U36054" s="135"/>
    </row>
    <row r="36055" spans="20:21" ht="15" customHeight="1" x14ac:dyDescent="0.25">
      <c r="T36055" s="135"/>
      <c r="U36055" s="135"/>
    </row>
    <row r="36056" spans="20:21" ht="15" customHeight="1" x14ac:dyDescent="0.25">
      <c r="T36056" s="135"/>
      <c r="U36056" s="135"/>
    </row>
    <row r="36057" spans="20:21" ht="15" customHeight="1" x14ac:dyDescent="0.25">
      <c r="T36057" s="135"/>
      <c r="U36057" s="135"/>
    </row>
    <row r="36058" spans="20:21" ht="15" customHeight="1" x14ac:dyDescent="0.25">
      <c r="T36058" s="135"/>
      <c r="U36058" s="135"/>
    </row>
    <row r="36059" spans="20:21" ht="15" customHeight="1" x14ac:dyDescent="0.25">
      <c r="T36059" s="135"/>
      <c r="U36059" s="135"/>
    </row>
    <row r="36060" spans="20:21" ht="15" customHeight="1" x14ac:dyDescent="0.25">
      <c r="T36060" s="135"/>
      <c r="U36060" s="135"/>
    </row>
    <row r="36061" spans="20:21" ht="15" customHeight="1" x14ac:dyDescent="0.25">
      <c r="T36061" s="135"/>
      <c r="U36061" s="135"/>
    </row>
    <row r="36062" spans="20:21" ht="15" customHeight="1" x14ac:dyDescent="0.25">
      <c r="T36062" s="135"/>
      <c r="U36062" s="135"/>
    </row>
    <row r="36063" spans="20:21" ht="15" customHeight="1" x14ac:dyDescent="0.25">
      <c r="T36063" s="135"/>
      <c r="U36063" s="135"/>
    </row>
    <row r="36064" spans="20:21" ht="15" customHeight="1" x14ac:dyDescent="0.25">
      <c r="T36064" s="135"/>
      <c r="U36064" s="135"/>
    </row>
    <row r="36065" spans="20:21" ht="15" customHeight="1" x14ac:dyDescent="0.25">
      <c r="T36065" s="135"/>
      <c r="U36065" s="135"/>
    </row>
    <row r="36066" spans="20:21" ht="15" customHeight="1" x14ac:dyDescent="0.25">
      <c r="T36066" s="135"/>
      <c r="U36066" s="135"/>
    </row>
    <row r="36067" spans="20:21" ht="15" customHeight="1" x14ac:dyDescent="0.25">
      <c r="T36067" s="135"/>
      <c r="U36067" s="135"/>
    </row>
    <row r="36068" spans="20:21" ht="15" customHeight="1" x14ac:dyDescent="0.25">
      <c r="T36068" s="135"/>
      <c r="U36068" s="135"/>
    </row>
    <row r="36069" spans="20:21" ht="15" customHeight="1" x14ac:dyDescent="0.25">
      <c r="T36069" s="135"/>
      <c r="U36069" s="135"/>
    </row>
    <row r="36070" spans="20:21" ht="15" customHeight="1" x14ac:dyDescent="0.25">
      <c r="T36070" s="135"/>
      <c r="U36070" s="135"/>
    </row>
    <row r="36071" spans="20:21" ht="15" customHeight="1" x14ac:dyDescent="0.25">
      <c r="T36071" s="135"/>
      <c r="U36071" s="135"/>
    </row>
    <row r="36072" spans="20:21" ht="15" customHeight="1" x14ac:dyDescent="0.25">
      <c r="T36072" s="135"/>
      <c r="U36072" s="135"/>
    </row>
    <row r="36073" spans="20:21" ht="15" customHeight="1" x14ac:dyDescent="0.25">
      <c r="T36073" s="135"/>
      <c r="U36073" s="135"/>
    </row>
    <row r="36074" spans="20:21" ht="15" customHeight="1" x14ac:dyDescent="0.25">
      <c r="T36074" s="135"/>
      <c r="U36074" s="135"/>
    </row>
    <row r="36075" spans="20:21" ht="15" customHeight="1" x14ac:dyDescent="0.25">
      <c r="T36075" s="135"/>
      <c r="U36075" s="135"/>
    </row>
    <row r="36076" spans="20:21" ht="15" customHeight="1" x14ac:dyDescent="0.25">
      <c r="T36076" s="135"/>
      <c r="U36076" s="135"/>
    </row>
    <row r="36077" spans="20:21" ht="15" customHeight="1" x14ac:dyDescent="0.25">
      <c r="T36077" s="135"/>
      <c r="U36077" s="135"/>
    </row>
    <row r="36078" spans="20:21" ht="15" customHeight="1" x14ac:dyDescent="0.25">
      <c r="T36078" s="135"/>
      <c r="U36078" s="135"/>
    </row>
    <row r="36079" spans="20:21" ht="15" customHeight="1" x14ac:dyDescent="0.25">
      <c r="T36079" s="135"/>
      <c r="U36079" s="135"/>
    </row>
    <row r="36080" spans="20:21" ht="15" customHeight="1" x14ac:dyDescent="0.25">
      <c r="T36080" s="135"/>
      <c r="U36080" s="135"/>
    </row>
    <row r="36081" spans="20:21" ht="15" customHeight="1" x14ac:dyDescent="0.25">
      <c r="T36081" s="135"/>
      <c r="U36081" s="135"/>
    </row>
    <row r="36082" spans="20:21" ht="15" customHeight="1" x14ac:dyDescent="0.25">
      <c r="T36082" s="135"/>
      <c r="U36082" s="135"/>
    </row>
    <row r="36083" spans="20:21" ht="15" customHeight="1" x14ac:dyDescent="0.25">
      <c r="T36083" s="135"/>
      <c r="U36083" s="135"/>
    </row>
    <row r="36084" spans="20:21" ht="15" customHeight="1" x14ac:dyDescent="0.25">
      <c r="T36084" s="135"/>
      <c r="U36084" s="135"/>
    </row>
    <row r="36085" spans="20:21" ht="15" customHeight="1" x14ac:dyDescent="0.25">
      <c r="T36085" s="135"/>
      <c r="U36085" s="135"/>
    </row>
    <row r="36086" spans="20:21" ht="15" customHeight="1" x14ac:dyDescent="0.25">
      <c r="T36086" s="135"/>
      <c r="U36086" s="135"/>
    </row>
    <row r="36087" spans="20:21" ht="15" customHeight="1" x14ac:dyDescent="0.25">
      <c r="T36087" s="135"/>
      <c r="U36087" s="135"/>
    </row>
    <row r="36088" spans="20:21" ht="15" customHeight="1" x14ac:dyDescent="0.25">
      <c r="T36088" s="135"/>
      <c r="U36088" s="135"/>
    </row>
    <row r="36089" spans="20:21" ht="15" customHeight="1" x14ac:dyDescent="0.25">
      <c r="T36089" s="135"/>
      <c r="U36089" s="135"/>
    </row>
    <row r="36090" spans="20:21" ht="15" customHeight="1" x14ac:dyDescent="0.25">
      <c r="T36090" s="135"/>
      <c r="U36090" s="135"/>
    </row>
    <row r="36091" spans="20:21" ht="15" customHeight="1" x14ac:dyDescent="0.25">
      <c r="T36091" s="135"/>
      <c r="U36091" s="135"/>
    </row>
    <row r="36092" spans="20:21" ht="15" customHeight="1" x14ac:dyDescent="0.25">
      <c r="T36092" s="135"/>
      <c r="U36092" s="135"/>
    </row>
    <row r="36093" spans="20:21" ht="15" customHeight="1" x14ac:dyDescent="0.25">
      <c r="T36093" s="135"/>
      <c r="U36093" s="135"/>
    </row>
    <row r="36094" spans="20:21" ht="15" customHeight="1" x14ac:dyDescent="0.25">
      <c r="T36094" s="135"/>
      <c r="U36094" s="135"/>
    </row>
    <row r="36095" spans="20:21" ht="15" customHeight="1" x14ac:dyDescent="0.25">
      <c r="T36095" s="135"/>
      <c r="U36095" s="135"/>
    </row>
    <row r="36096" spans="20:21" ht="15" customHeight="1" x14ac:dyDescent="0.25">
      <c r="T36096" s="135"/>
      <c r="U36096" s="135"/>
    </row>
    <row r="36097" spans="20:21" ht="15" customHeight="1" x14ac:dyDescent="0.25">
      <c r="T36097" s="135"/>
      <c r="U36097" s="135"/>
    </row>
    <row r="36098" spans="20:21" ht="15" customHeight="1" x14ac:dyDescent="0.25">
      <c r="T36098" s="135"/>
      <c r="U36098" s="135"/>
    </row>
    <row r="36099" spans="20:21" ht="15" customHeight="1" x14ac:dyDescent="0.25">
      <c r="T36099" s="135"/>
      <c r="U36099" s="135"/>
    </row>
    <row r="36100" spans="20:21" ht="15" customHeight="1" x14ac:dyDescent="0.25">
      <c r="T36100" s="135"/>
      <c r="U36100" s="135"/>
    </row>
    <row r="36101" spans="20:21" ht="15" customHeight="1" x14ac:dyDescent="0.25">
      <c r="T36101" s="135"/>
      <c r="U36101" s="135"/>
    </row>
    <row r="36102" spans="20:21" ht="15" customHeight="1" x14ac:dyDescent="0.25">
      <c r="T36102" s="135"/>
      <c r="U36102" s="135"/>
    </row>
    <row r="36103" spans="20:21" ht="15" customHeight="1" x14ac:dyDescent="0.25">
      <c r="T36103" s="135"/>
      <c r="U36103" s="135"/>
    </row>
    <row r="36104" spans="20:21" ht="15" customHeight="1" x14ac:dyDescent="0.25">
      <c r="T36104" s="135"/>
      <c r="U36104" s="135"/>
    </row>
    <row r="36105" spans="20:21" ht="15" customHeight="1" x14ac:dyDescent="0.25">
      <c r="T36105" s="135"/>
      <c r="U36105" s="135"/>
    </row>
    <row r="36106" spans="20:21" ht="15" customHeight="1" x14ac:dyDescent="0.25">
      <c r="T36106" s="135"/>
      <c r="U36106" s="135"/>
    </row>
    <row r="36107" spans="20:21" ht="15" customHeight="1" x14ac:dyDescent="0.25">
      <c r="T36107" s="135"/>
      <c r="U36107" s="135"/>
    </row>
    <row r="36108" spans="20:21" ht="15" customHeight="1" x14ac:dyDescent="0.25">
      <c r="T36108" s="135"/>
      <c r="U36108" s="135"/>
    </row>
    <row r="36109" spans="20:21" ht="15" customHeight="1" x14ac:dyDescent="0.25">
      <c r="T36109" s="135"/>
      <c r="U36109" s="135"/>
    </row>
    <row r="36110" spans="20:21" ht="15" customHeight="1" x14ac:dyDescent="0.25">
      <c r="T36110" s="135"/>
      <c r="U36110" s="135"/>
    </row>
    <row r="36111" spans="20:21" ht="15" customHeight="1" x14ac:dyDescent="0.25">
      <c r="T36111" s="135"/>
      <c r="U36111" s="135"/>
    </row>
    <row r="36112" spans="20:21" ht="15" customHeight="1" x14ac:dyDescent="0.25">
      <c r="T36112" s="135"/>
      <c r="U36112" s="135"/>
    </row>
    <row r="36113" spans="20:21" ht="15" customHeight="1" x14ac:dyDescent="0.25">
      <c r="T36113" s="135"/>
      <c r="U36113" s="135"/>
    </row>
    <row r="36114" spans="20:21" ht="15" customHeight="1" x14ac:dyDescent="0.25">
      <c r="T36114" s="135"/>
      <c r="U36114" s="135"/>
    </row>
    <row r="36115" spans="20:21" ht="15" customHeight="1" x14ac:dyDescent="0.25">
      <c r="T36115" s="135"/>
      <c r="U36115" s="135"/>
    </row>
    <row r="36116" spans="20:21" ht="15" customHeight="1" x14ac:dyDescent="0.25">
      <c r="T36116" s="135"/>
      <c r="U36116" s="135"/>
    </row>
    <row r="36117" spans="20:21" ht="15" customHeight="1" x14ac:dyDescent="0.25">
      <c r="T36117" s="135"/>
      <c r="U36117" s="135"/>
    </row>
    <row r="36118" spans="20:21" ht="15" customHeight="1" x14ac:dyDescent="0.25">
      <c r="T36118" s="135"/>
      <c r="U36118" s="135"/>
    </row>
    <row r="36119" spans="20:21" ht="15" customHeight="1" x14ac:dyDescent="0.25">
      <c r="T36119" s="135"/>
      <c r="U36119" s="135"/>
    </row>
    <row r="36120" spans="20:21" ht="15" customHeight="1" x14ac:dyDescent="0.25">
      <c r="T36120" s="135"/>
      <c r="U36120" s="135"/>
    </row>
    <row r="36121" spans="20:21" ht="15" customHeight="1" x14ac:dyDescent="0.25">
      <c r="T36121" s="135"/>
      <c r="U36121" s="135"/>
    </row>
    <row r="36122" spans="20:21" ht="15" customHeight="1" x14ac:dyDescent="0.25">
      <c r="T36122" s="135"/>
      <c r="U36122" s="135"/>
    </row>
    <row r="36123" spans="20:21" ht="15" customHeight="1" x14ac:dyDescent="0.25">
      <c r="T36123" s="135"/>
      <c r="U36123" s="135"/>
    </row>
    <row r="36124" spans="20:21" ht="15" customHeight="1" x14ac:dyDescent="0.25">
      <c r="T36124" s="135"/>
      <c r="U36124" s="135"/>
    </row>
    <row r="36125" spans="20:21" ht="15" customHeight="1" x14ac:dyDescent="0.25">
      <c r="T36125" s="135"/>
      <c r="U36125" s="135"/>
    </row>
    <row r="36126" spans="20:21" ht="15" customHeight="1" x14ac:dyDescent="0.25">
      <c r="T36126" s="135"/>
      <c r="U36126" s="135"/>
    </row>
    <row r="36127" spans="20:21" ht="15" customHeight="1" x14ac:dyDescent="0.25">
      <c r="T36127" s="135"/>
      <c r="U36127" s="135"/>
    </row>
    <row r="36128" spans="20:21" ht="15" customHeight="1" x14ac:dyDescent="0.25">
      <c r="T36128" s="135"/>
      <c r="U36128" s="135"/>
    </row>
    <row r="36129" spans="20:21" ht="15" customHeight="1" x14ac:dyDescent="0.25">
      <c r="T36129" s="135"/>
      <c r="U36129" s="135"/>
    </row>
    <row r="36130" spans="20:21" ht="15" customHeight="1" x14ac:dyDescent="0.25">
      <c r="T36130" s="135"/>
      <c r="U36130" s="135"/>
    </row>
    <row r="36131" spans="20:21" ht="15" customHeight="1" x14ac:dyDescent="0.25">
      <c r="T36131" s="135"/>
      <c r="U36131" s="135"/>
    </row>
    <row r="36132" spans="20:21" ht="15" customHeight="1" x14ac:dyDescent="0.25">
      <c r="T36132" s="135"/>
      <c r="U36132" s="135"/>
    </row>
    <row r="36133" spans="20:21" ht="15" customHeight="1" x14ac:dyDescent="0.25">
      <c r="T36133" s="135"/>
      <c r="U36133" s="135"/>
    </row>
    <row r="36134" spans="20:21" ht="15" customHeight="1" x14ac:dyDescent="0.25">
      <c r="T36134" s="135"/>
      <c r="U36134" s="135"/>
    </row>
    <row r="36135" spans="20:21" ht="15" customHeight="1" x14ac:dyDescent="0.25">
      <c r="T36135" s="135"/>
      <c r="U36135" s="135"/>
    </row>
    <row r="36136" spans="20:21" ht="15" customHeight="1" x14ac:dyDescent="0.25">
      <c r="T36136" s="135"/>
      <c r="U36136" s="135"/>
    </row>
    <row r="36137" spans="20:21" ht="15" customHeight="1" x14ac:dyDescent="0.25">
      <c r="T36137" s="135"/>
      <c r="U36137" s="135"/>
    </row>
    <row r="36138" spans="20:21" ht="15" customHeight="1" x14ac:dyDescent="0.25">
      <c r="T36138" s="135"/>
      <c r="U36138" s="135"/>
    </row>
    <row r="36139" spans="20:21" ht="15" customHeight="1" x14ac:dyDescent="0.25">
      <c r="T36139" s="135"/>
      <c r="U36139" s="135"/>
    </row>
    <row r="36140" spans="20:21" ht="15" customHeight="1" x14ac:dyDescent="0.25">
      <c r="T36140" s="135"/>
      <c r="U36140" s="135"/>
    </row>
    <row r="36141" spans="20:21" ht="15" customHeight="1" x14ac:dyDescent="0.25">
      <c r="T36141" s="135"/>
      <c r="U36141" s="135"/>
    </row>
    <row r="36142" spans="20:21" ht="15" customHeight="1" x14ac:dyDescent="0.25">
      <c r="T36142" s="135"/>
      <c r="U36142" s="135"/>
    </row>
    <row r="36143" spans="20:21" ht="15" customHeight="1" x14ac:dyDescent="0.25">
      <c r="T36143" s="135"/>
      <c r="U36143" s="135"/>
    </row>
    <row r="36144" spans="20:21" ht="15" customHeight="1" x14ac:dyDescent="0.25">
      <c r="T36144" s="135"/>
      <c r="U36144" s="135"/>
    </row>
    <row r="36145" spans="20:21" ht="15" customHeight="1" x14ac:dyDescent="0.25">
      <c r="T36145" s="135"/>
      <c r="U36145" s="135"/>
    </row>
    <row r="36146" spans="20:21" ht="15" customHeight="1" x14ac:dyDescent="0.25">
      <c r="T36146" s="135"/>
      <c r="U36146" s="135"/>
    </row>
    <row r="36147" spans="20:21" ht="15" customHeight="1" x14ac:dyDescent="0.25">
      <c r="T36147" s="135"/>
      <c r="U36147" s="135"/>
    </row>
    <row r="36148" spans="20:21" ht="15" customHeight="1" x14ac:dyDescent="0.25">
      <c r="T36148" s="135"/>
      <c r="U36148" s="135"/>
    </row>
    <row r="36149" spans="20:21" ht="15" customHeight="1" x14ac:dyDescent="0.25">
      <c r="T36149" s="135"/>
      <c r="U36149" s="135"/>
    </row>
    <row r="36150" spans="20:21" ht="15" customHeight="1" x14ac:dyDescent="0.25">
      <c r="T36150" s="135"/>
      <c r="U36150" s="135"/>
    </row>
    <row r="36151" spans="20:21" ht="15" customHeight="1" x14ac:dyDescent="0.25">
      <c r="T36151" s="135"/>
      <c r="U36151" s="135"/>
    </row>
    <row r="36152" spans="20:21" ht="15" customHeight="1" x14ac:dyDescent="0.25">
      <c r="T36152" s="135"/>
      <c r="U36152" s="135"/>
    </row>
    <row r="36153" spans="20:21" ht="15" customHeight="1" x14ac:dyDescent="0.25">
      <c r="T36153" s="135"/>
      <c r="U36153" s="135"/>
    </row>
    <row r="36154" spans="20:21" ht="15" customHeight="1" x14ac:dyDescent="0.25">
      <c r="T36154" s="135"/>
      <c r="U36154" s="135"/>
    </row>
    <row r="36155" spans="20:21" ht="15" customHeight="1" x14ac:dyDescent="0.25">
      <c r="T36155" s="135"/>
      <c r="U36155" s="135"/>
    </row>
    <row r="36156" spans="20:21" ht="15" customHeight="1" x14ac:dyDescent="0.25">
      <c r="T36156" s="135"/>
      <c r="U36156" s="135"/>
    </row>
    <row r="36157" spans="20:21" ht="15" customHeight="1" x14ac:dyDescent="0.25">
      <c r="T36157" s="135"/>
      <c r="U36157" s="135"/>
    </row>
    <row r="36158" spans="20:21" ht="15" customHeight="1" x14ac:dyDescent="0.25">
      <c r="T36158" s="135"/>
      <c r="U36158" s="135"/>
    </row>
    <row r="36159" spans="20:21" ht="15" customHeight="1" x14ac:dyDescent="0.25">
      <c r="T36159" s="135"/>
      <c r="U36159" s="135"/>
    </row>
    <row r="36160" spans="20:21" ht="15" customHeight="1" x14ac:dyDescent="0.25">
      <c r="T36160" s="135"/>
      <c r="U36160" s="135"/>
    </row>
    <row r="36161" spans="20:21" ht="15" customHeight="1" x14ac:dyDescent="0.25">
      <c r="T36161" s="135"/>
      <c r="U36161" s="135"/>
    </row>
    <row r="36162" spans="20:21" ht="15" customHeight="1" x14ac:dyDescent="0.25">
      <c r="T36162" s="135"/>
      <c r="U36162" s="135"/>
    </row>
    <row r="36163" spans="20:21" ht="15" customHeight="1" x14ac:dyDescent="0.25">
      <c r="T36163" s="135"/>
      <c r="U36163" s="135"/>
    </row>
    <row r="36164" spans="20:21" ht="15" customHeight="1" x14ac:dyDescent="0.25">
      <c r="T36164" s="135"/>
      <c r="U36164" s="135"/>
    </row>
    <row r="36165" spans="20:21" ht="15" customHeight="1" x14ac:dyDescent="0.25">
      <c r="T36165" s="135"/>
      <c r="U36165" s="135"/>
    </row>
    <row r="36166" spans="20:21" ht="15" customHeight="1" x14ac:dyDescent="0.25">
      <c r="T36166" s="135"/>
      <c r="U36166" s="135"/>
    </row>
    <row r="36167" spans="20:21" ht="15" customHeight="1" x14ac:dyDescent="0.25">
      <c r="T36167" s="135"/>
      <c r="U36167" s="135"/>
    </row>
    <row r="36168" spans="20:21" ht="15" customHeight="1" x14ac:dyDescent="0.25">
      <c r="T36168" s="135"/>
      <c r="U36168" s="135"/>
    </row>
    <row r="36169" spans="20:21" ht="15" customHeight="1" x14ac:dyDescent="0.25">
      <c r="T36169" s="135"/>
      <c r="U36169" s="135"/>
    </row>
    <row r="36170" spans="20:21" ht="15" customHeight="1" x14ac:dyDescent="0.25">
      <c r="T36170" s="135"/>
      <c r="U36170" s="135"/>
    </row>
    <row r="36171" spans="20:21" ht="15" customHeight="1" x14ac:dyDescent="0.25">
      <c r="T36171" s="135"/>
      <c r="U36171" s="135"/>
    </row>
    <row r="36172" spans="20:21" ht="15" customHeight="1" x14ac:dyDescent="0.25">
      <c r="T36172" s="135"/>
      <c r="U36172" s="135"/>
    </row>
    <row r="36173" spans="20:21" ht="15" customHeight="1" x14ac:dyDescent="0.25">
      <c r="T36173" s="135"/>
      <c r="U36173" s="135"/>
    </row>
    <row r="36174" spans="20:21" ht="15" customHeight="1" x14ac:dyDescent="0.25">
      <c r="T36174" s="135"/>
      <c r="U36174" s="135"/>
    </row>
    <row r="36175" spans="20:21" ht="15" customHeight="1" x14ac:dyDescent="0.25">
      <c r="T36175" s="135"/>
      <c r="U36175" s="135"/>
    </row>
    <row r="36176" spans="20:21" ht="15" customHeight="1" x14ac:dyDescent="0.25">
      <c r="T36176" s="135"/>
      <c r="U36176" s="135"/>
    </row>
    <row r="36177" spans="20:21" ht="15" customHeight="1" x14ac:dyDescent="0.25">
      <c r="T36177" s="135"/>
      <c r="U36177" s="135"/>
    </row>
    <row r="36178" spans="20:21" ht="15" customHeight="1" x14ac:dyDescent="0.25">
      <c r="T36178" s="135"/>
      <c r="U36178" s="135"/>
    </row>
    <row r="36179" spans="20:21" ht="15" customHeight="1" x14ac:dyDescent="0.25">
      <c r="T36179" s="135"/>
      <c r="U36179" s="135"/>
    </row>
    <row r="36180" spans="20:21" ht="15" customHeight="1" x14ac:dyDescent="0.25">
      <c r="T36180" s="135"/>
      <c r="U36180" s="135"/>
    </row>
    <row r="36181" spans="20:21" ht="15" customHeight="1" x14ac:dyDescent="0.25">
      <c r="T36181" s="135"/>
      <c r="U36181" s="135"/>
    </row>
    <row r="36182" spans="20:21" ht="15" customHeight="1" x14ac:dyDescent="0.25">
      <c r="T36182" s="135"/>
      <c r="U36182" s="135"/>
    </row>
    <row r="36183" spans="20:21" ht="15" customHeight="1" x14ac:dyDescent="0.25">
      <c r="T36183" s="135"/>
      <c r="U36183" s="135"/>
    </row>
    <row r="36184" spans="20:21" ht="15" customHeight="1" x14ac:dyDescent="0.25">
      <c r="T36184" s="135"/>
      <c r="U36184" s="135"/>
    </row>
    <row r="36185" spans="20:21" ht="15" customHeight="1" x14ac:dyDescent="0.25">
      <c r="T36185" s="135"/>
      <c r="U36185" s="135"/>
    </row>
    <row r="36186" spans="20:21" ht="15" customHeight="1" x14ac:dyDescent="0.25">
      <c r="T36186" s="135"/>
      <c r="U36186" s="135"/>
    </row>
    <row r="36187" spans="20:21" ht="15" customHeight="1" x14ac:dyDescent="0.25">
      <c r="T36187" s="135"/>
      <c r="U36187" s="135"/>
    </row>
    <row r="36188" spans="20:21" ht="15" customHeight="1" x14ac:dyDescent="0.25">
      <c r="T36188" s="135"/>
      <c r="U36188" s="135"/>
    </row>
    <row r="36189" spans="20:21" ht="15" customHeight="1" x14ac:dyDescent="0.25">
      <c r="T36189" s="135"/>
      <c r="U36189" s="135"/>
    </row>
    <row r="36190" spans="20:21" ht="15" customHeight="1" x14ac:dyDescent="0.25">
      <c r="T36190" s="135"/>
      <c r="U36190" s="135"/>
    </row>
    <row r="36191" spans="20:21" ht="15" customHeight="1" x14ac:dyDescent="0.25">
      <c r="T36191" s="135"/>
      <c r="U36191" s="135"/>
    </row>
    <row r="36192" spans="20:21" ht="15" customHeight="1" x14ac:dyDescent="0.25">
      <c r="T36192" s="135"/>
      <c r="U36192" s="135"/>
    </row>
    <row r="36193" spans="20:21" ht="15" customHeight="1" x14ac:dyDescent="0.25">
      <c r="T36193" s="135"/>
      <c r="U36193" s="135"/>
    </row>
    <row r="36194" spans="20:21" ht="15" customHeight="1" x14ac:dyDescent="0.25">
      <c r="T36194" s="135"/>
      <c r="U36194" s="135"/>
    </row>
    <row r="36195" spans="20:21" ht="15" customHeight="1" x14ac:dyDescent="0.25">
      <c r="T36195" s="135"/>
      <c r="U36195" s="135"/>
    </row>
    <row r="36196" spans="20:21" ht="15" customHeight="1" x14ac:dyDescent="0.25">
      <c r="T36196" s="135"/>
      <c r="U36196" s="135"/>
    </row>
    <row r="36197" spans="20:21" ht="15" customHeight="1" x14ac:dyDescent="0.25">
      <c r="T36197" s="135"/>
      <c r="U36197" s="135"/>
    </row>
    <row r="36198" spans="20:21" ht="15" customHeight="1" x14ac:dyDescent="0.25">
      <c r="T36198" s="135"/>
      <c r="U36198" s="135"/>
    </row>
    <row r="36199" spans="20:21" ht="15" customHeight="1" x14ac:dyDescent="0.25">
      <c r="T36199" s="135"/>
      <c r="U36199" s="135"/>
    </row>
    <row r="36200" spans="20:21" ht="15" customHeight="1" x14ac:dyDescent="0.25">
      <c r="T36200" s="135"/>
      <c r="U36200" s="135"/>
    </row>
    <row r="36201" spans="20:21" ht="15" customHeight="1" x14ac:dyDescent="0.25">
      <c r="T36201" s="135"/>
      <c r="U36201" s="135"/>
    </row>
    <row r="36202" spans="20:21" ht="15" customHeight="1" x14ac:dyDescent="0.25">
      <c r="T36202" s="135"/>
      <c r="U36202" s="135"/>
    </row>
    <row r="36203" spans="20:21" ht="15" customHeight="1" x14ac:dyDescent="0.25">
      <c r="T36203" s="135"/>
      <c r="U36203" s="135"/>
    </row>
    <row r="36204" spans="20:21" ht="15" customHeight="1" x14ac:dyDescent="0.25">
      <c r="T36204" s="135"/>
      <c r="U36204" s="135"/>
    </row>
    <row r="36205" spans="20:21" ht="15" customHeight="1" x14ac:dyDescent="0.25">
      <c r="T36205" s="135"/>
      <c r="U36205" s="135"/>
    </row>
    <row r="36206" spans="20:21" ht="15" customHeight="1" x14ac:dyDescent="0.25">
      <c r="T36206" s="135"/>
      <c r="U36206" s="135"/>
    </row>
    <row r="36207" spans="20:21" ht="15" customHeight="1" x14ac:dyDescent="0.25">
      <c r="T36207" s="135"/>
      <c r="U36207" s="135"/>
    </row>
    <row r="36208" spans="20:21" ht="15" customHeight="1" x14ac:dyDescent="0.25">
      <c r="T36208" s="135"/>
      <c r="U36208" s="135"/>
    </row>
    <row r="36209" spans="20:21" ht="15" customHeight="1" x14ac:dyDescent="0.25">
      <c r="T36209" s="135"/>
      <c r="U36209" s="135"/>
    </row>
    <row r="36210" spans="20:21" ht="15" customHeight="1" x14ac:dyDescent="0.25">
      <c r="T36210" s="135"/>
      <c r="U36210" s="135"/>
    </row>
    <row r="36211" spans="20:21" ht="15" customHeight="1" x14ac:dyDescent="0.25">
      <c r="T36211" s="135"/>
      <c r="U36211" s="135"/>
    </row>
    <row r="36212" spans="20:21" ht="15" customHeight="1" x14ac:dyDescent="0.25">
      <c r="T36212" s="135"/>
      <c r="U36212" s="135"/>
    </row>
    <row r="36213" spans="20:21" ht="15" customHeight="1" x14ac:dyDescent="0.25">
      <c r="T36213" s="135"/>
      <c r="U36213" s="135"/>
    </row>
    <row r="36214" spans="20:21" ht="15" customHeight="1" x14ac:dyDescent="0.25">
      <c r="T36214" s="135"/>
      <c r="U36214" s="135"/>
    </row>
    <row r="36215" spans="20:21" ht="15" customHeight="1" x14ac:dyDescent="0.25">
      <c r="T36215" s="135"/>
      <c r="U36215" s="135"/>
    </row>
    <row r="36216" spans="20:21" ht="15" customHeight="1" x14ac:dyDescent="0.25">
      <c r="T36216" s="135"/>
      <c r="U36216" s="135"/>
    </row>
    <row r="36217" spans="20:21" ht="15" customHeight="1" x14ac:dyDescent="0.25">
      <c r="T36217" s="135"/>
      <c r="U36217" s="135"/>
    </row>
    <row r="36218" spans="20:21" ht="15" customHeight="1" x14ac:dyDescent="0.25">
      <c r="T36218" s="135"/>
      <c r="U36218" s="135"/>
    </row>
    <row r="36219" spans="20:21" ht="15" customHeight="1" x14ac:dyDescent="0.25">
      <c r="T36219" s="135"/>
      <c r="U36219" s="135"/>
    </row>
    <row r="36220" spans="20:21" ht="15" customHeight="1" x14ac:dyDescent="0.25">
      <c r="T36220" s="135"/>
      <c r="U36220" s="135"/>
    </row>
    <row r="36221" spans="20:21" ht="15" customHeight="1" x14ac:dyDescent="0.25">
      <c r="T36221" s="135"/>
      <c r="U36221" s="135"/>
    </row>
    <row r="36222" spans="20:21" ht="15" customHeight="1" x14ac:dyDescent="0.25">
      <c r="T36222" s="135"/>
      <c r="U36222" s="135"/>
    </row>
    <row r="36223" spans="20:21" ht="15" customHeight="1" x14ac:dyDescent="0.25">
      <c r="T36223" s="135"/>
      <c r="U36223" s="135"/>
    </row>
    <row r="36224" spans="20:21" ht="15" customHeight="1" x14ac:dyDescent="0.25">
      <c r="T36224" s="135"/>
      <c r="U36224" s="135"/>
    </row>
    <row r="36225" spans="20:21" ht="15" customHeight="1" x14ac:dyDescent="0.25">
      <c r="T36225" s="135"/>
      <c r="U36225" s="135"/>
    </row>
    <row r="36226" spans="20:21" ht="15" customHeight="1" x14ac:dyDescent="0.25">
      <c r="T36226" s="135"/>
      <c r="U36226" s="135"/>
    </row>
    <row r="36227" spans="20:21" ht="15" customHeight="1" x14ac:dyDescent="0.25">
      <c r="T36227" s="135"/>
      <c r="U36227" s="135"/>
    </row>
    <row r="36228" spans="20:21" ht="15" customHeight="1" x14ac:dyDescent="0.25">
      <c r="T36228" s="135"/>
      <c r="U36228" s="135"/>
    </row>
    <row r="36229" spans="20:21" ht="15" customHeight="1" x14ac:dyDescent="0.25">
      <c r="T36229" s="135"/>
      <c r="U36229" s="135"/>
    </row>
    <row r="36230" spans="20:21" ht="15" customHeight="1" x14ac:dyDescent="0.25">
      <c r="T36230" s="135"/>
      <c r="U36230" s="135"/>
    </row>
    <row r="36231" spans="20:21" ht="15" customHeight="1" x14ac:dyDescent="0.25">
      <c r="T36231" s="135"/>
      <c r="U36231" s="135"/>
    </row>
    <row r="36232" spans="20:21" ht="15" customHeight="1" x14ac:dyDescent="0.25">
      <c r="T36232" s="135"/>
      <c r="U36232" s="135"/>
    </row>
    <row r="36233" spans="20:21" ht="15" customHeight="1" x14ac:dyDescent="0.25">
      <c r="T36233" s="135"/>
      <c r="U36233" s="135"/>
    </row>
    <row r="36234" spans="20:21" ht="15" customHeight="1" x14ac:dyDescent="0.25">
      <c r="T36234" s="135"/>
      <c r="U36234" s="135"/>
    </row>
    <row r="36235" spans="20:21" ht="15" customHeight="1" x14ac:dyDescent="0.25">
      <c r="T36235" s="135"/>
      <c r="U36235" s="135"/>
    </row>
    <row r="36236" spans="20:21" ht="15" customHeight="1" x14ac:dyDescent="0.25">
      <c r="T36236" s="135"/>
      <c r="U36236" s="135"/>
    </row>
    <row r="36237" spans="20:21" ht="15" customHeight="1" x14ac:dyDescent="0.25">
      <c r="T36237" s="135"/>
      <c r="U36237" s="135"/>
    </row>
    <row r="36238" spans="20:21" ht="15" customHeight="1" x14ac:dyDescent="0.25">
      <c r="T36238" s="135"/>
      <c r="U36238" s="135"/>
    </row>
    <row r="36239" spans="20:21" ht="15" customHeight="1" x14ac:dyDescent="0.25">
      <c r="T36239" s="135"/>
      <c r="U36239" s="135"/>
    </row>
    <row r="36240" spans="20:21" ht="15" customHeight="1" x14ac:dyDescent="0.25">
      <c r="T36240" s="135"/>
      <c r="U36240" s="135"/>
    </row>
    <row r="36241" spans="20:21" ht="15" customHeight="1" x14ac:dyDescent="0.25">
      <c r="T36241" s="135"/>
      <c r="U36241" s="135"/>
    </row>
    <row r="36242" spans="20:21" ht="15" customHeight="1" x14ac:dyDescent="0.25">
      <c r="T36242" s="135"/>
      <c r="U36242" s="135"/>
    </row>
    <row r="36243" spans="20:21" ht="15" customHeight="1" x14ac:dyDescent="0.25">
      <c r="T36243" s="135"/>
      <c r="U36243" s="135"/>
    </row>
    <row r="36244" spans="20:21" ht="15" customHeight="1" x14ac:dyDescent="0.25">
      <c r="T36244" s="135"/>
      <c r="U36244" s="135"/>
    </row>
    <row r="36245" spans="20:21" ht="15" customHeight="1" x14ac:dyDescent="0.25">
      <c r="T36245" s="135"/>
      <c r="U36245" s="135"/>
    </row>
    <row r="36246" spans="20:21" ht="15" customHeight="1" x14ac:dyDescent="0.25">
      <c r="T36246" s="135"/>
      <c r="U36246" s="135"/>
    </row>
    <row r="36247" spans="20:21" ht="15" customHeight="1" x14ac:dyDescent="0.25">
      <c r="T36247" s="135"/>
      <c r="U36247" s="135"/>
    </row>
    <row r="36248" spans="20:21" ht="15" customHeight="1" x14ac:dyDescent="0.25">
      <c r="T36248" s="135"/>
      <c r="U36248" s="135"/>
    </row>
    <row r="36249" spans="20:21" ht="15" customHeight="1" x14ac:dyDescent="0.25">
      <c r="T36249" s="135"/>
      <c r="U36249" s="135"/>
    </row>
    <row r="36250" spans="20:21" ht="15" customHeight="1" x14ac:dyDescent="0.25">
      <c r="T36250" s="135"/>
      <c r="U36250" s="135"/>
    </row>
    <row r="36251" spans="20:21" ht="15" customHeight="1" x14ac:dyDescent="0.25">
      <c r="T36251" s="135"/>
      <c r="U36251" s="135"/>
    </row>
    <row r="36252" spans="20:21" ht="15" customHeight="1" x14ac:dyDescent="0.25">
      <c r="T36252" s="135"/>
      <c r="U36252" s="135"/>
    </row>
    <row r="36253" spans="20:21" ht="15" customHeight="1" x14ac:dyDescent="0.25">
      <c r="T36253" s="135"/>
      <c r="U36253" s="135"/>
    </row>
    <row r="36254" spans="20:21" ht="15" customHeight="1" x14ac:dyDescent="0.25">
      <c r="T36254" s="135"/>
      <c r="U36254" s="135"/>
    </row>
    <row r="36255" spans="20:21" ht="15" customHeight="1" x14ac:dyDescent="0.25">
      <c r="T36255" s="135"/>
      <c r="U36255" s="135"/>
    </row>
    <row r="36256" spans="20:21" ht="15" customHeight="1" x14ac:dyDescent="0.25">
      <c r="T36256" s="135"/>
      <c r="U36256" s="135"/>
    </row>
    <row r="36257" spans="20:21" ht="15" customHeight="1" x14ac:dyDescent="0.25">
      <c r="T36257" s="135"/>
      <c r="U36257" s="135"/>
    </row>
    <row r="36258" spans="20:21" ht="15" customHeight="1" x14ac:dyDescent="0.25">
      <c r="T36258" s="135"/>
      <c r="U36258" s="135"/>
    </row>
    <row r="36259" spans="20:21" ht="15" customHeight="1" x14ac:dyDescent="0.25">
      <c r="T36259" s="135"/>
      <c r="U36259" s="135"/>
    </row>
    <row r="36260" spans="20:21" ht="15" customHeight="1" x14ac:dyDescent="0.25">
      <c r="T36260" s="135"/>
      <c r="U36260" s="135"/>
    </row>
    <row r="36261" spans="20:21" ht="15" customHeight="1" x14ac:dyDescent="0.25">
      <c r="T36261" s="135"/>
      <c r="U36261" s="135"/>
    </row>
    <row r="36262" spans="20:21" ht="15" customHeight="1" x14ac:dyDescent="0.25">
      <c r="T36262" s="135"/>
      <c r="U36262" s="135"/>
    </row>
    <row r="36263" spans="20:21" ht="15" customHeight="1" x14ac:dyDescent="0.25">
      <c r="T36263" s="135"/>
      <c r="U36263" s="135"/>
    </row>
    <row r="36264" spans="20:21" ht="15" customHeight="1" x14ac:dyDescent="0.25">
      <c r="T36264" s="135"/>
      <c r="U36264" s="135"/>
    </row>
    <row r="36265" spans="20:21" ht="15" customHeight="1" x14ac:dyDescent="0.25">
      <c r="T36265" s="135"/>
      <c r="U36265" s="135"/>
    </row>
    <row r="36266" spans="20:21" ht="15" customHeight="1" x14ac:dyDescent="0.25">
      <c r="T36266" s="135"/>
      <c r="U36266" s="135"/>
    </row>
    <row r="36267" spans="20:21" ht="15" customHeight="1" x14ac:dyDescent="0.25">
      <c r="T36267" s="135"/>
      <c r="U36267" s="135"/>
    </row>
    <row r="36268" spans="20:21" ht="15" customHeight="1" x14ac:dyDescent="0.25">
      <c r="T36268" s="135"/>
      <c r="U36268" s="135"/>
    </row>
    <row r="36269" spans="20:21" ht="15" customHeight="1" x14ac:dyDescent="0.25">
      <c r="T36269" s="135"/>
      <c r="U36269" s="135"/>
    </row>
    <row r="36270" spans="20:21" ht="15" customHeight="1" x14ac:dyDescent="0.25">
      <c r="T36270" s="135"/>
      <c r="U36270" s="135"/>
    </row>
    <row r="36271" spans="20:21" ht="15" customHeight="1" x14ac:dyDescent="0.25">
      <c r="T36271" s="135"/>
      <c r="U36271" s="135"/>
    </row>
    <row r="36272" spans="20:21" ht="15" customHeight="1" x14ac:dyDescent="0.25">
      <c r="T36272" s="135"/>
      <c r="U36272" s="135"/>
    </row>
    <row r="36273" spans="20:21" ht="15" customHeight="1" x14ac:dyDescent="0.25">
      <c r="T36273" s="135"/>
      <c r="U36273" s="135"/>
    </row>
    <row r="36274" spans="20:21" ht="15" customHeight="1" x14ac:dyDescent="0.25">
      <c r="T36274" s="135"/>
      <c r="U36274" s="135"/>
    </row>
    <row r="36275" spans="20:21" ht="15" customHeight="1" x14ac:dyDescent="0.25">
      <c r="T36275" s="135"/>
      <c r="U36275" s="135"/>
    </row>
    <row r="36276" spans="20:21" ht="15" customHeight="1" x14ac:dyDescent="0.25">
      <c r="T36276" s="135"/>
      <c r="U36276" s="135"/>
    </row>
    <row r="36277" spans="20:21" ht="15" customHeight="1" x14ac:dyDescent="0.25">
      <c r="T36277" s="135"/>
      <c r="U36277" s="135"/>
    </row>
    <row r="36278" spans="20:21" ht="15" customHeight="1" x14ac:dyDescent="0.25">
      <c r="T36278" s="135"/>
      <c r="U36278" s="135"/>
    </row>
    <row r="36279" spans="20:21" ht="15" customHeight="1" x14ac:dyDescent="0.25">
      <c r="T36279" s="135"/>
      <c r="U36279" s="135"/>
    </row>
    <row r="36280" spans="20:21" ht="15" customHeight="1" x14ac:dyDescent="0.25">
      <c r="T36280" s="135"/>
      <c r="U36280" s="135"/>
    </row>
    <row r="36281" spans="20:21" ht="15" customHeight="1" x14ac:dyDescent="0.25">
      <c r="T36281" s="135"/>
      <c r="U36281" s="135"/>
    </row>
    <row r="36282" spans="20:21" ht="15" customHeight="1" x14ac:dyDescent="0.25">
      <c r="T36282" s="135"/>
      <c r="U36282" s="135"/>
    </row>
    <row r="36283" spans="20:21" ht="15" customHeight="1" x14ac:dyDescent="0.25">
      <c r="T36283" s="135"/>
      <c r="U36283" s="135"/>
    </row>
    <row r="36284" spans="20:21" ht="15" customHeight="1" x14ac:dyDescent="0.25">
      <c r="T36284" s="135"/>
      <c r="U36284" s="135"/>
    </row>
    <row r="36285" spans="20:21" ht="15" customHeight="1" x14ac:dyDescent="0.25">
      <c r="T36285" s="135"/>
      <c r="U36285" s="135"/>
    </row>
    <row r="36286" spans="20:21" ht="15" customHeight="1" x14ac:dyDescent="0.25">
      <c r="T36286" s="135"/>
      <c r="U36286" s="135"/>
    </row>
    <row r="36287" spans="20:21" ht="15" customHeight="1" x14ac:dyDescent="0.25">
      <c r="T36287" s="135"/>
      <c r="U36287" s="135"/>
    </row>
    <row r="36288" spans="20:21" ht="15" customHeight="1" x14ac:dyDescent="0.25">
      <c r="T36288" s="135"/>
      <c r="U36288" s="135"/>
    </row>
    <row r="36289" spans="20:21" ht="15" customHeight="1" x14ac:dyDescent="0.25">
      <c r="T36289" s="135"/>
      <c r="U36289" s="135"/>
    </row>
    <row r="36290" spans="20:21" ht="15" customHeight="1" x14ac:dyDescent="0.25">
      <c r="T36290" s="135"/>
      <c r="U36290" s="135"/>
    </row>
    <row r="36291" spans="20:21" ht="15" customHeight="1" x14ac:dyDescent="0.25">
      <c r="T36291" s="135"/>
      <c r="U36291" s="135"/>
    </row>
    <row r="36292" spans="20:21" ht="15" customHeight="1" x14ac:dyDescent="0.25">
      <c r="T36292" s="135"/>
      <c r="U36292" s="135"/>
    </row>
    <row r="36293" spans="20:21" ht="15" customHeight="1" x14ac:dyDescent="0.25">
      <c r="T36293" s="135"/>
      <c r="U36293" s="135"/>
    </row>
    <row r="36294" spans="20:21" ht="15" customHeight="1" x14ac:dyDescent="0.25">
      <c r="T36294" s="135"/>
      <c r="U36294" s="135"/>
    </row>
    <row r="36295" spans="20:21" ht="15" customHeight="1" x14ac:dyDescent="0.25">
      <c r="T36295" s="135"/>
      <c r="U36295" s="135"/>
    </row>
    <row r="36296" spans="20:21" ht="15" customHeight="1" x14ac:dyDescent="0.25">
      <c r="T36296" s="135"/>
      <c r="U36296" s="135"/>
    </row>
    <row r="36297" spans="20:21" ht="15" customHeight="1" x14ac:dyDescent="0.25">
      <c r="T36297" s="135"/>
      <c r="U36297" s="135"/>
    </row>
    <row r="36298" spans="20:21" ht="15" customHeight="1" x14ac:dyDescent="0.25">
      <c r="T36298" s="135"/>
      <c r="U36298" s="135"/>
    </row>
    <row r="36299" spans="20:21" ht="15" customHeight="1" x14ac:dyDescent="0.25">
      <c r="T36299" s="135"/>
      <c r="U36299" s="135"/>
    </row>
    <row r="36300" spans="20:21" ht="15" customHeight="1" x14ac:dyDescent="0.25">
      <c r="T36300" s="135"/>
      <c r="U36300" s="135"/>
    </row>
    <row r="36301" spans="20:21" ht="15" customHeight="1" x14ac:dyDescent="0.25">
      <c r="T36301" s="135"/>
      <c r="U36301" s="135"/>
    </row>
    <row r="36302" spans="20:21" ht="15" customHeight="1" x14ac:dyDescent="0.25">
      <c r="T36302" s="135"/>
      <c r="U36302" s="135"/>
    </row>
    <row r="36303" spans="20:21" ht="15" customHeight="1" x14ac:dyDescent="0.25">
      <c r="T36303" s="135"/>
      <c r="U36303" s="135"/>
    </row>
    <row r="36304" spans="20:21" ht="15" customHeight="1" x14ac:dyDescent="0.25">
      <c r="T36304" s="135"/>
      <c r="U36304" s="135"/>
    </row>
    <row r="36305" spans="20:21" ht="15" customHeight="1" x14ac:dyDescent="0.25">
      <c r="T36305" s="135"/>
      <c r="U36305" s="135"/>
    </row>
    <row r="36306" spans="20:21" ht="15" customHeight="1" x14ac:dyDescent="0.25">
      <c r="T36306" s="135"/>
      <c r="U36306" s="135"/>
    </row>
    <row r="36307" spans="20:21" ht="15" customHeight="1" x14ac:dyDescent="0.25">
      <c r="T36307" s="135"/>
      <c r="U36307" s="135"/>
    </row>
    <row r="36308" spans="20:21" ht="15" customHeight="1" x14ac:dyDescent="0.25">
      <c r="T36308" s="135"/>
      <c r="U36308" s="135"/>
    </row>
    <row r="36309" spans="20:21" ht="15" customHeight="1" x14ac:dyDescent="0.25">
      <c r="T36309" s="135"/>
      <c r="U36309" s="135"/>
    </row>
    <row r="36310" spans="20:21" ht="15" customHeight="1" x14ac:dyDescent="0.25">
      <c r="T36310" s="135"/>
      <c r="U36310" s="135"/>
    </row>
    <row r="36311" spans="20:21" ht="15" customHeight="1" x14ac:dyDescent="0.25">
      <c r="T36311" s="135"/>
      <c r="U36311" s="135"/>
    </row>
    <row r="36312" spans="20:21" ht="15" customHeight="1" x14ac:dyDescent="0.25">
      <c r="T36312" s="135"/>
      <c r="U36312" s="135"/>
    </row>
    <row r="36313" spans="20:21" ht="15" customHeight="1" x14ac:dyDescent="0.25">
      <c r="T36313" s="135"/>
      <c r="U36313" s="135"/>
    </row>
    <row r="36314" spans="20:21" ht="15" customHeight="1" x14ac:dyDescent="0.25">
      <c r="T36314" s="135"/>
      <c r="U36314" s="135"/>
    </row>
    <row r="36315" spans="20:21" ht="15" customHeight="1" x14ac:dyDescent="0.25">
      <c r="T36315" s="135"/>
      <c r="U36315" s="135"/>
    </row>
    <row r="36316" spans="20:21" ht="15" customHeight="1" x14ac:dyDescent="0.25">
      <c r="T36316" s="135"/>
      <c r="U36316" s="135"/>
    </row>
    <row r="36317" spans="20:21" ht="15" customHeight="1" x14ac:dyDescent="0.25">
      <c r="T36317" s="135"/>
      <c r="U36317" s="135"/>
    </row>
    <row r="36318" spans="20:21" ht="15" customHeight="1" x14ac:dyDescent="0.25">
      <c r="T36318" s="135"/>
      <c r="U36318" s="135"/>
    </row>
    <row r="36319" spans="20:21" ht="15" customHeight="1" x14ac:dyDescent="0.25">
      <c r="T36319" s="135"/>
      <c r="U36319" s="135"/>
    </row>
    <row r="36320" spans="20:21" ht="15" customHeight="1" x14ac:dyDescent="0.25">
      <c r="T36320" s="135"/>
      <c r="U36320" s="135"/>
    </row>
    <row r="36321" spans="20:21" ht="15" customHeight="1" x14ac:dyDescent="0.25">
      <c r="T36321" s="135"/>
      <c r="U36321" s="135"/>
    </row>
    <row r="36322" spans="20:21" ht="15" customHeight="1" x14ac:dyDescent="0.25">
      <c r="T36322" s="135"/>
      <c r="U36322" s="135"/>
    </row>
    <row r="36323" spans="20:21" ht="15" customHeight="1" x14ac:dyDescent="0.25">
      <c r="T36323" s="135"/>
      <c r="U36323" s="135"/>
    </row>
    <row r="36324" spans="20:21" ht="15" customHeight="1" x14ac:dyDescent="0.25">
      <c r="T36324" s="135"/>
      <c r="U36324" s="135"/>
    </row>
    <row r="36325" spans="20:21" ht="15" customHeight="1" x14ac:dyDescent="0.25">
      <c r="T36325" s="135"/>
      <c r="U36325" s="135"/>
    </row>
    <row r="36326" spans="20:21" ht="15" customHeight="1" x14ac:dyDescent="0.25">
      <c r="T36326" s="135"/>
      <c r="U36326" s="135"/>
    </row>
    <row r="36327" spans="20:21" ht="15" customHeight="1" x14ac:dyDescent="0.25">
      <c r="T36327" s="135"/>
      <c r="U36327" s="135"/>
    </row>
    <row r="36328" spans="20:21" ht="15" customHeight="1" x14ac:dyDescent="0.25">
      <c r="T36328" s="135"/>
      <c r="U36328" s="135"/>
    </row>
    <row r="36329" spans="20:21" ht="15" customHeight="1" x14ac:dyDescent="0.25">
      <c r="T36329" s="135"/>
      <c r="U36329" s="135"/>
    </row>
    <row r="36330" spans="20:21" ht="15" customHeight="1" x14ac:dyDescent="0.25">
      <c r="T36330" s="135"/>
      <c r="U36330" s="135"/>
    </row>
    <row r="36331" spans="20:21" ht="15" customHeight="1" x14ac:dyDescent="0.25">
      <c r="T36331" s="135"/>
      <c r="U36331" s="135"/>
    </row>
    <row r="36332" spans="20:21" ht="15" customHeight="1" x14ac:dyDescent="0.25">
      <c r="T36332" s="135"/>
      <c r="U36332" s="135"/>
    </row>
    <row r="36333" spans="20:21" ht="15" customHeight="1" x14ac:dyDescent="0.25">
      <c r="T36333" s="135"/>
      <c r="U36333" s="135"/>
    </row>
    <row r="36334" spans="20:21" ht="15" customHeight="1" x14ac:dyDescent="0.25">
      <c r="T36334" s="135"/>
      <c r="U36334" s="135"/>
    </row>
    <row r="36335" spans="20:21" ht="15" customHeight="1" x14ac:dyDescent="0.25">
      <c r="T36335" s="135"/>
      <c r="U36335" s="135"/>
    </row>
    <row r="36336" spans="20:21" ht="15" customHeight="1" x14ac:dyDescent="0.25">
      <c r="T36336" s="135"/>
      <c r="U36336" s="135"/>
    </row>
    <row r="36337" spans="20:21" ht="15" customHeight="1" x14ac:dyDescent="0.25">
      <c r="T36337" s="135"/>
      <c r="U36337" s="135"/>
    </row>
    <row r="36338" spans="20:21" ht="15" customHeight="1" x14ac:dyDescent="0.25">
      <c r="T36338" s="135"/>
      <c r="U36338" s="135"/>
    </row>
    <row r="36339" spans="20:21" ht="15" customHeight="1" x14ac:dyDescent="0.25">
      <c r="T36339" s="135"/>
      <c r="U36339" s="135"/>
    </row>
    <row r="36340" spans="20:21" ht="15" customHeight="1" x14ac:dyDescent="0.25">
      <c r="T36340" s="135"/>
      <c r="U36340" s="135"/>
    </row>
    <row r="36341" spans="20:21" ht="15" customHeight="1" x14ac:dyDescent="0.25">
      <c r="T36341" s="135"/>
      <c r="U36341" s="135"/>
    </row>
    <row r="36342" spans="20:21" ht="15" customHeight="1" x14ac:dyDescent="0.25">
      <c r="T36342" s="135"/>
      <c r="U36342" s="135"/>
    </row>
    <row r="36343" spans="20:21" ht="15" customHeight="1" x14ac:dyDescent="0.25">
      <c r="T36343" s="135"/>
      <c r="U36343" s="135"/>
    </row>
    <row r="36344" spans="20:21" ht="15" customHeight="1" x14ac:dyDescent="0.25">
      <c r="T36344" s="135"/>
      <c r="U36344" s="135"/>
    </row>
    <row r="36345" spans="20:21" ht="15" customHeight="1" x14ac:dyDescent="0.25">
      <c r="T36345" s="135"/>
      <c r="U36345" s="135"/>
    </row>
    <row r="36346" spans="20:21" ht="15" customHeight="1" x14ac:dyDescent="0.25">
      <c r="T36346" s="135"/>
      <c r="U36346" s="135"/>
    </row>
    <row r="36347" spans="20:21" ht="15" customHeight="1" x14ac:dyDescent="0.25">
      <c r="T36347" s="135"/>
      <c r="U36347" s="135"/>
    </row>
    <row r="36348" spans="20:21" ht="15" customHeight="1" x14ac:dyDescent="0.25">
      <c r="T36348" s="135"/>
      <c r="U36348" s="135"/>
    </row>
    <row r="36349" spans="20:21" ht="15" customHeight="1" x14ac:dyDescent="0.25">
      <c r="T36349" s="135"/>
      <c r="U36349" s="135"/>
    </row>
    <row r="36350" spans="20:21" ht="15" customHeight="1" x14ac:dyDescent="0.25">
      <c r="T36350" s="135"/>
      <c r="U36350" s="135"/>
    </row>
    <row r="36351" spans="20:21" ht="15" customHeight="1" x14ac:dyDescent="0.25">
      <c r="T36351" s="135"/>
      <c r="U36351" s="135"/>
    </row>
    <row r="36352" spans="20:21" ht="15" customHeight="1" x14ac:dyDescent="0.25">
      <c r="T36352" s="135"/>
      <c r="U36352" s="135"/>
    </row>
    <row r="36353" spans="20:21" ht="15" customHeight="1" x14ac:dyDescent="0.25">
      <c r="T36353" s="135"/>
      <c r="U36353" s="135"/>
    </row>
    <row r="36354" spans="20:21" ht="15" customHeight="1" x14ac:dyDescent="0.25">
      <c r="T36354" s="135"/>
      <c r="U36354" s="135"/>
    </row>
    <row r="36355" spans="20:21" ht="15" customHeight="1" x14ac:dyDescent="0.25">
      <c r="T36355" s="135"/>
      <c r="U36355" s="135"/>
    </row>
    <row r="36356" spans="20:21" ht="15" customHeight="1" x14ac:dyDescent="0.25">
      <c r="T36356" s="135"/>
      <c r="U36356" s="135"/>
    </row>
    <row r="36357" spans="20:21" ht="15" customHeight="1" x14ac:dyDescent="0.25">
      <c r="T36357" s="135"/>
      <c r="U36357" s="135"/>
    </row>
    <row r="36358" spans="20:21" ht="15" customHeight="1" x14ac:dyDescent="0.25">
      <c r="T36358" s="135"/>
      <c r="U36358" s="135"/>
    </row>
    <row r="36359" spans="20:21" ht="15" customHeight="1" x14ac:dyDescent="0.25">
      <c r="T36359" s="135"/>
      <c r="U36359" s="135"/>
    </row>
    <row r="36360" spans="20:21" ht="15" customHeight="1" x14ac:dyDescent="0.25">
      <c r="T36360" s="135"/>
      <c r="U36360" s="135"/>
    </row>
    <row r="36361" spans="20:21" ht="15" customHeight="1" x14ac:dyDescent="0.25">
      <c r="T36361" s="135"/>
      <c r="U36361" s="135"/>
    </row>
    <row r="36362" spans="20:21" ht="15" customHeight="1" x14ac:dyDescent="0.25">
      <c r="T36362" s="135"/>
      <c r="U36362" s="135"/>
    </row>
    <row r="36363" spans="20:21" ht="15" customHeight="1" x14ac:dyDescent="0.25">
      <c r="T36363" s="135"/>
      <c r="U36363" s="135"/>
    </row>
    <row r="36364" spans="20:21" ht="15" customHeight="1" x14ac:dyDescent="0.25">
      <c r="T36364" s="135"/>
      <c r="U36364" s="135"/>
    </row>
    <row r="36365" spans="20:21" ht="15" customHeight="1" x14ac:dyDescent="0.25">
      <c r="T36365" s="135"/>
      <c r="U36365" s="135"/>
    </row>
    <row r="36366" spans="20:21" ht="15" customHeight="1" x14ac:dyDescent="0.25">
      <c r="T36366" s="135"/>
      <c r="U36366" s="135"/>
    </row>
    <row r="36367" spans="20:21" ht="15" customHeight="1" x14ac:dyDescent="0.25">
      <c r="T36367" s="135"/>
      <c r="U36367" s="135"/>
    </row>
    <row r="36368" spans="20:21" ht="15" customHeight="1" x14ac:dyDescent="0.25">
      <c r="T36368" s="135"/>
      <c r="U36368" s="135"/>
    </row>
    <row r="36369" spans="20:21" ht="15" customHeight="1" x14ac:dyDescent="0.25">
      <c r="T36369" s="135"/>
      <c r="U36369" s="135"/>
    </row>
    <row r="36370" spans="20:21" ht="15" customHeight="1" x14ac:dyDescent="0.25">
      <c r="T36370" s="135"/>
      <c r="U36370" s="135"/>
    </row>
    <row r="36371" spans="20:21" ht="15" customHeight="1" x14ac:dyDescent="0.25">
      <c r="T36371" s="135"/>
      <c r="U36371" s="135"/>
    </row>
    <row r="36372" spans="20:21" ht="15" customHeight="1" x14ac:dyDescent="0.25">
      <c r="T36372" s="135"/>
      <c r="U36372" s="135"/>
    </row>
    <row r="36373" spans="20:21" ht="15" customHeight="1" x14ac:dyDescent="0.25">
      <c r="T36373" s="135"/>
      <c r="U36373" s="135"/>
    </row>
    <row r="36374" spans="20:21" ht="15" customHeight="1" x14ac:dyDescent="0.25">
      <c r="T36374" s="135"/>
      <c r="U36374" s="135"/>
    </row>
    <row r="36375" spans="20:21" ht="15" customHeight="1" x14ac:dyDescent="0.25">
      <c r="T36375" s="135"/>
      <c r="U36375" s="135"/>
    </row>
    <row r="36376" spans="20:21" ht="15" customHeight="1" x14ac:dyDescent="0.25">
      <c r="T36376" s="135"/>
      <c r="U36376" s="135"/>
    </row>
    <row r="36377" spans="20:21" ht="15" customHeight="1" x14ac:dyDescent="0.25">
      <c r="T36377" s="135"/>
      <c r="U36377" s="135"/>
    </row>
    <row r="36378" spans="20:21" ht="15" customHeight="1" x14ac:dyDescent="0.25">
      <c r="T36378" s="135"/>
      <c r="U36378" s="135"/>
    </row>
    <row r="36379" spans="20:21" ht="15" customHeight="1" x14ac:dyDescent="0.25">
      <c r="T36379" s="135"/>
      <c r="U36379" s="135"/>
    </row>
    <row r="36380" spans="20:21" ht="15" customHeight="1" x14ac:dyDescent="0.25">
      <c r="T36380" s="135"/>
      <c r="U36380" s="135"/>
    </row>
    <row r="36381" spans="20:21" ht="15" customHeight="1" x14ac:dyDescent="0.25">
      <c r="T36381" s="135"/>
      <c r="U36381" s="135"/>
    </row>
    <row r="36382" spans="20:21" ht="15" customHeight="1" x14ac:dyDescent="0.25">
      <c r="T36382" s="135"/>
      <c r="U36382" s="135"/>
    </row>
    <row r="36383" spans="20:21" ht="15" customHeight="1" x14ac:dyDescent="0.25">
      <c r="T36383" s="135"/>
      <c r="U36383" s="135"/>
    </row>
    <row r="36384" spans="20:21" ht="15" customHeight="1" x14ac:dyDescent="0.25">
      <c r="T36384" s="135"/>
      <c r="U36384" s="135"/>
    </row>
    <row r="36385" spans="20:21" ht="15" customHeight="1" x14ac:dyDescent="0.25">
      <c r="T36385" s="135"/>
      <c r="U36385" s="135"/>
    </row>
    <row r="36386" spans="20:21" ht="15" customHeight="1" x14ac:dyDescent="0.25">
      <c r="T36386" s="135"/>
      <c r="U36386" s="135"/>
    </row>
    <row r="36387" spans="20:21" ht="15" customHeight="1" x14ac:dyDescent="0.25">
      <c r="T36387" s="135"/>
      <c r="U36387" s="135"/>
    </row>
    <row r="36388" spans="20:21" ht="15" customHeight="1" x14ac:dyDescent="0.25">
      <c r="T36388" s="135"/>
      <c r="U36388" s="135"/>
    </row>
    <row r="36389" spans="20:21" ht="15" customHeight="1" x14ac:dyDescent="0.25">
      <c r="T36389" s="135"/>
      <c r="U36389" s="135"/>
    </row>
    <row r="36390" spans="20:21" ht="15" customHeight="1" x14ac:dyDescent="0.25">
      <c r="T36390" s="135"/>
      <c r="U36390" s="135"/>
    </row>
    <row r="36391" spans="20:21" ht="15" customHeight="1" x14ac:dyDescent="0.25">
      <c r="T36391" s="135"/>
      <c r="U36391" s="135"/>
    </row>
    <row r="36392" spans="20:21" ht="15" customHeight="1" x14ac:dyDescent="0.25">
      <c r="T36392" s="135"/>
      <c r="U36392" s="135"/>
    </row>
    <row r="36393" spans="20:21" ht="15" customHeight="1" x14ac:dyDescent="0.25">
      <c r="T36393" s="135"/>
      <c r="U36393" s="135"/>
    </row>
    <row r="36394" spans="20:21" ht="15" customHeight="1" x14ac:dyDescent="0.25">
      <c r="T36394" s="135"/>
      <c r="U36394" s="135"/>
    </row>
    <row r="36395" spans="20:21" ht="15" customHeight="1" x14ac:dyDescent="0.25">
      <c r="T36395" s="135"/>
      <c r="U36395" s="135"/>
    </row>
    <row r="36396" spans="20:21" ht="15" customHeight="1" x14ac:dyDescent="0.25">
      <c r="T36396" s="135"/>
      <c r="U36396" s="135"/>
    </row>
    <row r="36397" spans="20:21" ht="15" customHeight="1" x14ac:dyDescent="0.25">
      <c r="T36397" s="135"/>
      <c r="U36397" s="135"/>
    </row>
    <row r="36398" spans="20:21" ht="15" customHeight="1" x14ac:dyDescent="0.25">
      <c r="T36398" s="135"/>
      <c r="U36398" s="135"/>
    </row>
    <row r="36399" spans="20:21" ht="15" customHeight="1" x14ac:dyDescent="0.25">
      <c r="T36399" s="135"/>
      <c r="U36399" s="135"/>
    </row>
    <row r="36400" spans="20:21" ht="15" customHeight="1" x14ac:dyDescent="0.25">
      <c r="T36400" s="135"/>
      <c r="U36400" s="135"/>
    </row>
    <row r="36401" spans="20:21" ht="15" customHeight="1" x14ac:dyDescent="0.25">
      <c r="T36401" s="135"/>
      <c r="U36401" s="135"/>
    </row>
    <row r="36402" spans="20:21" ht="15" customHeight="1" x14ac:dyDescent="0.25">
      <c r="T36402" s="135"/>
      <c r="U36402" s="135"/>
    </row>
    <row r="36403" spans="20:21" ht="15" customHeight="1" x14ac:dyDescent="0.25">
      <c r="T36403" s="135"/>
      <c r="U36403" s="135"/>
    </row>
    <row r="36404" spans="20:21" ht="15" customHeight="1" x14ac:dyDescent="0.25">
      <c r="T36404" s="135"/>
      <c r="U36404" s="135"/>
    </row>
    <row r="36405" spans="20:21" ht="15" customHeight="1" x14ac:dyDescent="0.25">
      <c r="T36405" s="135"/>
      <c r="U36405" s="135"/>
    </row>
    <row r="36406" spans="20:21" ht="15" customHeight="1" x14ac:dyDescent="0.25">
      <c r="T36406" s="135"/>
      <c r="U36406" s="135"/>
    </row>
    <row r="36407" spans="20:21" ht="15" customHeight="1" x14ac:dyDescent="0.25">
      <c r="T36407" s="135"/>
      <c r="U36407" s="135"/>
    </row>
    <row r="36408" spans="20:21" ht="15" customHeight="1" x14ac:dyDescent="0.25">
      <c r="T36408" s="135"/>
      <c r="U36408" s="135"/>
    </row>
    <row r="36409" spans="20:21" ht="15" customHeight="1" x14ac:dyDescent="0.25">
      <c r="T36409" s="135"/>
      <c r="U36409" s="135"/>
    </row>
    <row r="36410" spans="20:21" ht="15" customHeight="1" x14ac:dyDescent="0.25">
      <c r="T36410" s="135"/>
      <c r="U36410" s="135"/>
    </row>
    <row r="36411" spans="20:21" ht="15" customHeight="1" x14ac:dyDescent="0.25">
      <c r="T36411" s="135"/>
      <c r="U36411" s="135"/>
    </row>
    <row r="36412" spans="20:21" ht="15" customHeight="1" x14ac:dyDescent="0.25">
      <c r="T36412" s="135"/>
      <c r="U36412" s="135"/>
    </row>
    <row r="36413" spans="20:21" ht="15" customHeight="1" x14ac:dyDescent="0.25">
      <c r="T36413" s="135"/>
      <c r="U36413" s="135"/>
    </row>
    <row r="36414" spans="20:21" ht="15" customHeight="1" x14ac:dyDescent="0.25">
      <c r="T36414" s="135"/>
      <c r="U36414" s="135"/>
    </row>
    <row r="36415" spans="20:21" ht="15" customHeight="1" x14ac:dyDescent="0.25">
      <c r="T36415" s="135"/>
      <c r="U36415" s="135"/>
    </row>
    <row r="36416" spans="20:21" ht="15" customHeight="1" x14ac:dyDescent="0.25">
      <c r="T36416" s="135"/>
      <c r="U36416" s="135"/>
    </row>
    <row r="36417" spans="20:21" ht="15" customHeight="1" x14ac:dyDescent="0.25">
      <c r="T36417" s="135"/>
      <c r="U36417" s="135"/>
    </row>
    <row r="36418" spans="20:21" ht="15" customHeight="1" x14ac:dyDescent="0.25">
      <c r="T36418" s="135"/>
      <c r="U36418" s="135"/>
    </row>
    <row r="36419" spans="20:21" ht="15" customHeight="1" x14ac:dyDescent="0.25">
      <c r="T36419" s="135"/>
      <c r="U36419" s="135"/>
    </row>
    <row r="36420" spans="20:21" ht="15" customHeight="1" x14ac:dyDescent="0.25">
      <c r="T36420" s="135"/>
      <c r="U36420" s="135"/>
    </row>
    <row r="36421" spans="20:21" ht="15" customHeight="1" x14ac:dyDescent="0.25">
      <c r="T36421" s="135"/>
      <c r="U36421" s="135"/>
    </row>
    <row r="36422" spans="20:21" ht="15" customHeight="1" x14ac:dyDescent="0.25">
      <c r="T36422" s="135"/>
      <c r="U36422" s="135"/>
    </row>
    <row r="36423" spans="20:21" ht="15" customHeight="1" x14ac:dyDescent="0.25">
      <c r="T36423" s="135"/>
      <c r="U36423" s="135"/>
    </row>
    <row r="36424" spans="20:21" ht="15" customHeight="1" x14ac:dyDescent="0.25">
      <c r="T36424" s="135"/>
      <c r="U36424" s="135"/>
    </row>
    <row r="36425" spans="20:21" ht="15" customHeight="1" x14ac:dyDescent="0.25">
      <c r="T36425" s="135"/>
      <c r="U36425" s="135"/>
    </row>
    <row r="36426" spans="20:21" ht="15" customHeight="1" x14ac:dyDescent="0.25">
      <c r="T36426" s="135"/>
      <c r="U36426" s="135"/>
    </row>
    <row r="36427" spans="20:21" ht="15" customHeight="1" x14ac:dyDescent="0.25">
      <c r="T36427" s="135"/>
      <c r="U36427" s="135"/>
    </row>
    <row r="36428" spans="20:21" ht="15" customHeight="1" x14ac:dyDescent="0.25">
      <c r="T36428" s="135"/>
      <c r="U36428" s="135"/>
    </row>
    <row r="36429" spans="20:21" ht="15" customHeight="1" x14ac:dyDescent="0.25">
      <c r="T36429" s="135"/>
      <c r="U36429" s="135"/>
    </row>
    <row r="36430" spans="20:21" ht="15" customHeight="1" x14ac:dyDescent="0.25">
      <c r="T36430" s="135"/>
      <c r="U36430" s="135"/>
    </row>
    <row r="36431" spans="20:21" ht="15" customHeight="1" x14ac:dyDescent="0.25">
      <c r="T36431" s="135"/>
      <c r="U36431" s="135"/>
    </row>
    <row r="36432" spans="20:21" ht="15" customHeight="1" x14ac:dyDescent="0.25">
      <c r="T36432" s="135"/>
      <c r="U36432" s="135"/>
    </row>
    <row r="36433" spans="20:21" ht="15" customHeight="1" x14ac:dyDescent="0.25">
      <c r="T36433" s="135"/>
      <c r="U36433" s="135"/>
    </row>
    <row r="36434" spans="20:21" ht="15" customHeight="1" x14ac:dyDescent="0.25">
      <c r="T36434" s="135"/>
      <c r="U36434" s="135"/>
    </row>
    <row r="36435" spans="20:21" ht="15" customHeight="1" x14ac:dyDescent="0.25">
      <c r="T36435" s="135"/>
      <c r="U36435" s="135"/>
    </row>
    <row r="36436" spans="20:21" ht="15" customHeight="1" x14ac:dyDescent="0.25">
      <c r="T36436" s="135"/>
      <c r="U36436" s="135"/>
    </row>
    <row r="36437" spans="20:21" ht="15" customHeight="1" x14ac:dyDescent="0.25">
      <c r="T36437" s="135"/>
      <c r="U36437" s="135"/>
    </row>
    <row r="36438" spans="20:21" ht="15" customHeight="1" x14ac:dyDescent="0.25">
      <c r="T36438" s="135"/>
      <c r="U36438" s="135"/>
    </row>
    <row r="36439" spans="20:21" ht="15" customHeight="1" x14ac:dyDescent="0.25">
      <c r="T36439" s="135"/>
      <c r="U36439" s="135"/>
    </row>
    <row r="36440" spans="20:21" ht="15" customHeight="1" x14ac:dyDescent="0.25">
      <c r="T36440" s="135"/>
      <c r="U36440" s="135"/>
    </row>
    <row r="36441" spans="20:21" ht="15" customHeight="1" x14ac:dyDescent="0.25">
      <c r="T36441" s="135"/>
      <c r="U36441" s="135"/>
    </row>
    <row r="36442" spans="20:21" ht="15" customHeight="1" x14ac:dyDescent="0.25">
      <c r="T36442" s="135"/>
      <c r="U36442" s="135"/>
    </row>
    <row r="36443" spans="20:21" ht="15" customHeight="1" x14ac:dyDescent="0.25">
      <c r="T36443" s="135"/>
      <c r="U36443" s="135"/>
    </row>
    <row r="36444" spans="20:21" ht="15" customHeight="1" x14ac:dyDescent="0.25">
      <c r="T36444" s="135"/>
      <c r="U36444" s="135"/>
    </row>
    <row r="36445" spans="20:21" ht="15" customHeight="1" x14ac:dyDescent="0.25">
      <c r="T36445" s="135"/>
      <c r="U36445" s="135"/>
    </row>
    <row r="36446" spans="20:21" ht="15" customHeight="1" x14ac:dyDescent="0.25">
      <c r="T36446" s="135"/>
      <c r="U36446" s="135"/>
    </row>
    <row r="36447" spans="20:21" ht="15" customHeight="1" x14ac:dyDescent="0.25">
      <c r="T36447" s="135"/>
      <c r="U36447" s="135"/>
    </row>
    <row r="36448" spans="20:21" ht="15" customHeight="1" x14ac:dyDescent="0.25">
      <c r="T36448" s="135"/>
      <c r="U36448" s="135"/>
    </row>
    <row r="36449" spans="20:21" ht="15" customHeight="1" x14ac:dyDescent="0.25">
      <c r="T36449" s="135"/>
      <c r="U36449" s="135"/>
    </row>
    <row r="36450" spans="20:21" ht="15" customHeight="1" x14ac:dyDescent="0.25">
      <c r="T36450" s="135"/>
      <c r="U36450" s="135"/>
    </row>
    <row r="36451" spans="20:21" ht="15" customHeight="1" x14ac:dyDescent="0.25">
      <c r="T36451" s="135"/>
      <c r="U36451" s="135"/>
    </row>
    <row r="36452" spans="20:21" ht="15" customHeight="1" x14ac:dyDescent="0.25">
      <c r="T36452" s="135"/>
      <c r="U36452" s="135"/>
    </row>
    <row r="36453" spans="20:21" ht="15" customHeight="1" x14ac:dyDescent="0.25">
      <c r="T36453" s="135"/>
      <c r="U36453" s="135"/>
    </row>
    <row r="36454" spans="20:21" ht="15" customHeight="1" x14ac:dyDescent="0.25">
      <c r="T36454" s="135"/>
      <c r="U36454" s="135"/>
    </row>
    <row r="36455" spans="20:21" ht="15" customHeight="1" x14ac:dyDescent="0.25">
      <c r="T36455" s="135"/>
      <c r="U36455" s="135"/>
    </row>
    <row r="36456" spans="20:21" ht="15" customHeight="1" x14ac:dyDescent="0.25">
      <c r="T36456" s="135"/>
      <c r="U36456" s="135"/>
    </row>
    <row r="36457" spans="20:21" ht="15" customHeight="1" x14ac:dyDescent="0.25">
      <c r="T36457" s="135"/>
      <c r="U36457" s="135"/>
    </row>
    <row r="36458" spans="20:21" ht="15" customHeight="1" x14ac:dyDescent="0.25">
      <c r="T36458" s="135"/>
      <c r="U36458" s="135"/>
    </row>
    <row r="36459" spans="20:21" ht="15" customHeight="1" x14ac:dyDescent="0.25">
      <c r="T36459" s="135"/>
      <c r="U36459" s="135"/>
    </row>
    <row r="36460" spans="20:21" ht="15" customHeight="1" x14ac:dyDescent="0.25">
      <c r="T36460" s="135"/>
      <c r="U36460" s="135"/>
    </row>
    <row r="36461" spans="20:21" ht="15" customHeight="1" x14ac:dyDescent="0.25">
      <c r="T36461" s="135"/>
      <c r="U36461" s="135"/>
    </row>
    <row r="36462" spans="20:21" ht="15" customHeight="1" x14ac:dyDescent="0.25">
      <c r="T36462" s="135"/>
      <c r="U36462" s="135"/>
    </row>
    <row r="36463" spans="20:21" ht="15" customHeight="1" x14ac:dyDescent="0.25">
      <c r="T36463" s="135"/>
      <c r="U36463" s="135"/>
    </row>
    <row r="36464" spans="20:21" ht="15" customHeight="1" x14ac:dyDescent="0.25">
      <c r="T36464" s="135"/>
      <c r="U36464" s="135"/>
    </row>
    <row r="36465" spans="20:21" ht="15" customHeight="1" x14ac:dyDescent="0.25">
      <c r="T36465" s="135"/>
      <c r="U36465" s="135"/>
    </row>
    <row r="36466" spans="20:21" ht="15" customHeight="1" x14ac:dyDescent="0.25">
      <c r="T36466" s="135"/>
      <c r="U36466" s="135"/>
    </row>
    <row r="36467" spans="20:21" ht="15" customHeight="1" x14ac:dyDescent="0.25">
      <c r="T36467" s="135"/>
      <c r="U36467" s="135"/>
    </row>
    <row r="36468" spans="20:21" ht="15" customHeight="1" x14ac:dyDescent="0.25">
      <c r="T36468" s="135"/>
      <c r="U36468" s="135"/>
    </row>
    <row r="36469" spans="20:21" ht="15" customHeight="1" x14ac:dyDescent="0.25">
      <c r="T36469" s="135"/>
      <c r="U36469" s="135"/>
    </row>
    <row r="36470" spans="20:21" ht="15" customHeight="1" x14ac:dyDescent="0.25">
      <c r="T36470" s="135"/>
      <c r="U36470" s="135"/>
    </row>
    <row r="36471" spans="20:21" ht="15" customHeight="1" x14ac:dyDescent="0.25">
      <c r="T36471" s="135"/>
      <c r="U36471" s="135"/>
    </row>
    <row r="36472" spans="20:21" ht="15" customHeight="1" x14ac:dyDescent="0.25">
      <c r="T36472" s="135"/>
      <c r="U36472" s="135"/>
    </row>
    <row r="36473" spans="20:21" ht="15" customHeight="1" x14ac:dyDescent="0.25">
      <c r="T36473" s="135"/>
      <c r="U36473" s="135"/>
    </row>
    <row r="36474" spans="20:21" ht="15" customHeight="1" x14ac:dyDescent="0.25">
      <c r="T36474" s="135"/>
      <c r="U36474" s="135"/>
    </row>
    <row r="36475" spans="20:21" ht="15" customHeight="1" x14ac:dyDescent="0.25">
      <c r="T36475" s="135"/>
      <c r="U36475" s="135"/>
    </row>
    <row r="36476" spans="20:21" ht="15" customHeight="1" x14ac:dyDescent="0.25">
      <c r="T36476" s="135"/>
      <c r="U36476" s="135"/>
    </row>
    <row r="36477" spans="20:21" ht="15" customHeight="1" x14ac:dyDescent="0.25">
      <c r="T36477" s="135"/>
      <c r="U36477" s="135"/>
    </row>
    <row r="36478" spans="20:21" ht="15" customHeight="1" x14ac:dyDescent="0.25">
      <c r="T36478" s="135"/>
      <c r="U36478" s="135"/>
    </row>
    <row r="36479" spans="20:21" ht="15" customHeight="1" x14ac:dyDescent="0.25">
      <c r="T36479" s="135"/>
      <c r="U36479" s="135"/>
    </row>
    <row r="36480" spans="20:21" ht="15" customHeight="1" x14ac:dyDescent="0.25">
      <c r="T36480" s="135"/>
      <c r="U36480" s="135"/>
    </row>
    <row r="36481" spans="20:21" ht="15" customHeight="1" x14ac:dyDescent="0.25">
      <c r="T36481" s="135"/>
      <c r="U36481" s="135"/>
    </row>
    <row r="36482" spans="20:21" ht="15" customHeight="1" x14ac:dyDescent="0.25">
      <c r="T36482" s="135"/>
      <c r="U36482" s="135"/>
    </row>
    <row r="36483" spans="20:21" ht="15" customHeight="1" x14ac:dyDescent="0.25">
      <c r="T36483" s="135"/>
      <c r="U36483" s="135"/>
    </row>
    <row r="36484" spans="20:21" ht="15" customHeight="1" x14ac:dyDescent="0.25">
      <c r="T36484" s="135"/>
      <c r="U36484" s="135"/>
    </row>
    <row r="36485" spans="20:21" ht="15" customHeight="1" x14ac:dyDescent="0.25">
      <c r="T36485" s="135"/>
      <c r="U36485" s="135"/>
    </row>
    <row r="36486" spans="20:21" ht="15" customHeight="1" x14ac:dyDescent="0.25">
      <c r="T36486" s="135"/>
      <c r="U36486" s="135"/>
    </row>
    <row r="36487" spans="20:21" ht="15" customHeight="1" x14ac:dyDescent="0.25">
      <c r="T36487" s="135"/>
      <c r="U36487" s="135"/>
    </row>
    <row r="36488" spans="20:21" ht="15" customHeight="1" x14ac:dyDescent="0.25">
      <c r="T36488" s="135"/>
      <c r="U36488" s="135"/>
    </row>
    <row r="36489" spans="20:21" ht="15" customHeight="1" x14ac:dyDescent="0.25">
      <c r="T36489" s="135"/>
      <c r="U36489" s="135"/>
    </row>
    <row r="36490" spans="20:21" ht="15" customHeight="1" x14ac:dyDescent="0.25">
      <c r="T36490" s="135"/>
      <c r="U36490" s="135"/>
    </row>
    <row r="36491" spans="20:21" ht="15" customHeight="1" x14ac:dyDescent="0.25">
      <c r="T36491" s="135"/>
      <c r="U36491" s="135"/>
    </row>
    <row r="36492" spans="20:21" ht="15" customHeight="1" x14ac:dyDescent="0.25">
      <c r="T36492" s="135"/>
      <c r="U36492" s="135"/>
    </row>
    <row r="36493" spans="20:21" ht="15" customHeight="1" x14ac:dyDescent="0.25">
      <c r="T36493" s="135"/>
      <c r="U36493" s="135"/>
    </row>
    <row r="36494" spans="20:21" ht="15" customHeight="1" x14ac:dyDescent="0.25">
      <c r="T36494" s="135"/>
      <c r="U36494" s="135"/>
    </row>
    <row r="36495" spans="20:21" ht="15" customHeight="1" x14ac:dyDescent="0.25">
      <c r="T36495" s="135"/>
      <c r="U36495" s="135"/>
    </row>
    <row r="36496" spans="20:21" ht="15" customHeight="1" x14ac:dyDescent="0.25">
      <c r="T36496" s="135"/>
      <c r="U36496" s="135"/>
    </row>
    <row r="36497" spans="20:21" ht="15" customHeight="1" x14ac:dyDescent="0.25">
      <c r="T36497" s="135"/>
      <c r="U36497" s="135"/>
    </row>
    <row r="36498" spans="20:21" ht="15" customHeight="1" x14ac:dyDescent="0.25">
      <c r="T36498" s="135"/>
      <c r="U36498" s="135"/>
    </row>
    <row r="36499" spans="20:21" ht="15" customHeight="1" x14ac:dyDescent="0.25">
      <c r="T36499" s="135"/>
      <c r="U36499" s="135"/>
    </row>
    <row r="36500" spans="20:21" ht="15" customHeight="1" x14ac:dyDescent="0.25">
      <c r="T36500" s="135"/>
      <c r="U36500" s="135"/>
    </row>
    <row r="36501" spans="20:21" ht="15" customHeight="1" x14ac:dyDescent="0.25">
      <c r="T36501" s="135"/>
      <c r="U36501" s="135"/>
    </row>
    <row r="36502" spans="20:21" ht="15" customHeight="1" x14ac:dyDescent="0.25">
      <c r="T36502" s="135"/>
      <c r="U36502" s="135"/>
    </row>
    <row r="36503" spans="20:21" ht="15" customHeight="1" x14ac:dyDescent="0.25">
      <c r="T36503" s="135"/>
      <c r="U36503" s="135"/>
    </row>
    <row r="36504" spans="20:21" ht="15" customHeight="1" x14ac:dyDescent="0.25">
      <c r="T36504" s="135"/>
      <c r="U36504" s="135"/>
    </row>
    <row r="36505" spans="20:21" ht="15" customHeight="1" x14ac:dyDescent="0.25">
      <c r="T36505" s="135"/>
      <c r="U36505" s="135"/>
    </row>
    <row r="36506" spans="20:21" ht="15" customHeight="1" x14ac:dyDescent="0.25">
      <c r="T36506" s="135"/>
      <c r="U36506" s="135"/>
    </row>
    <row r="36507" spans="20:21" ht="15" customHeight="1" x14ac:dyDescent="0.25">
      <c r="T36507" s="135"/>
      <c r="U36507" s="135"/>
    </row>
    <row r="36508" spans="20:21" ht="15" customHeight="1" x14ac:dyDescent="0.25">
      <c r="T36508" s="135"/>
      <c r="U36508" s="135"/>
    </row>
    <row r="36509" spans="20:21" ht="15" customHeight="1" x14ac:dyDescent="0.25">
      <c r="T36509" s="135"/>
      <c r="U36509" s="135"/>
    </row>
    <row r="36510" spans="20:21" ht="15" customHeight="1" x14ac:dyDescent="0.25">
      <c r="T36510" s="135"/>
      <c r="U36510" s="135"/>
    </row>
    <row r="36511" spans="20:21" ht="15" customHeight="1" x14ac:dyDescent="0.25">
      <c r="T36511" s="135"/>
      <c r="U36511" s="135"/>
    </row>
    <row r="36512" spans="20:21" ht="15" customHeight="1" x14ac:dyDescent="0.25">
      <c r="T36512" s="135"/>
      <c r="U36512" s="135"/>
    </row>
    <row r="36513" spans="20:21" ht="15" customHeight="1" x14ac:dyDescent="0.25">
      <c r="T36513" s="135"/>
      <c r="U36513" s="135"/>
    </row>
    <row r="36514" spans="20:21" ht="15" customHeight="1" x14ac:dyDescent="0.25">
      <c r="T36514" s="135"/>
      <c r="U36514" s="135"/>
    </row>
    <row r="36515" spans="20:21" ht="15" customHeight="1" x14ac:dyDescent="0.25">
      <c r="T36515" s="135"/>
      <c r="U36515" s="135"/>
    </row>
    <row r="36516" spans="20:21" ht="15" customHeight="1" x14ac:dyDescent="0.25">
      <c r="T36516" s="135"/>
      <c r="U36516" s="135"/>
    </row>
    <row r="36517" spans="20:21" ht="15" customHeight="1" x14ac:dyDescent="0.25">
      <c r="T36517" s="135"/>
      <c r="U36517" s="135"/>
    </row>
    <row r="36518" spans="20:21" ht="15" customHeight="1" x14ac:dyDescent="0.25">
      <c r="T36518" s="135"/>
      <c r="U36518" s="135"/>
    </row>
    <row r="36519" spans="20:21" ht="15" customHeight="1" x14ac:dyDescent="0.25">
      <c r="T36519" s="135"/>
      <c r="U36519" s="135"/>
    </row>
    <row r="36520" spans="20:21" ht="15" customHeight="1" x14ac:dyDescent="0.25">
      <c r="T36520" s="135"/>
      <c r="U36520" s="135"/>
    </row>
    <row r="36521" spans="20:21" ht="15" customHeight="1" x14ac:dyDescent="0.25">
      <c r="T36521" s="135"/>
      <c r="U36521" s="135"/>
    </row>
    <row r="36522" spans="20:21" ht="15" customHeight="1" x14ac:dyDescent="0.25">
      <c r="T36522" s="135"/>
      <c r="U36522" s="135"/>
    </row>
    <row r="36523" spans="20:21" ht="15" customHeight="1" x14ac:dyDescent="0.25">
      <c r="T36523" s="135"/>
      <c r="U36523" s="135"/>
    </row>
    <row r="36524" spans="20:21" ht="15" customHeight="1" x14ac:dyDescent="0.25">
      <c r="T36524" s="135"/>
      <c r="U36524" s="135"/>
    </row>
    <row r="36525" spans="20:21" ht="15" customHeight="1" x14ac:dyDescent="0.25">
      <c r="T36525" s="135"/>
      <c r="U36525" s="135"/>
    </row>
    <row r="36526" spans="20:21" ht="15" customHeight="1" x14ac:dyDescent="0.25">
      <c r="T36526" s="135"/>
      <c r="U36526" s="135"/>
    </row>
    <row r="36527" spans="20:21" ht="15" customHeight="1" x14ac:dyDescent="0.25">
      <c r="T36527" s="135"/>
      <c r="U36527" s="135"/>
    </row>
    <row r="36528" spans="20:21" ht="15" customHeight="1" x14ac:dyDescent="0.25">
      <c r="T36528" s="135"/>
      <c r="U36528" s="135"/>
    </row>
    <row r="36529" spans="20:21" ht="15" customHeight="1" x14ac:dyDescent="0.25">
      <c r="T36529" s="135"/>
      <c r="U36529" s="135"/>
    </row>
    <row r="36530" spans="20:21" ht="15" customHeight="1" x14ac:dyDescent="0.25">
      <c r="T36530" s="135"/>
      <c r="U36530" s="135"/>
    </row>
    <row r="36531" spans="20:21" ht="15" customHeight="1" x14ac:dyDescent="0.25">
      <c r="T36531" s="135"/>
      <c r="U36531" s="135"/>
    </row>
    <row r="36532" spans="20:21" ht="15" customHeight="1" x14ac:dyDescent="0.25">
      <c r="T36532" s="135"/>
      <c r="U36532" s="135"/>
    </row>
    <row r="36533" spans="20:21" ht="15" customHeight="1" x14ac:dyDescent="0.25">
      <c r="T36533" s="135"/>
      <c r="U36533" s="135"/>
    </row>
    <row r="36534" spans="20:21" ht="15" customHeight="1" x14ac:dyDescent="0.25">
      <c r="T36534" s="135"/>
      <c r="U36534" s="135"/>
    </row>
    <row r="36535" spans="20:21" ht="15" customHeight="1" x14ac:dyDescent="0.25">
      <c r="T36535" s="135"/>
      <c r="U36535" s="135"/>
    </row>
    <row r="36536" spans="20:21" ht="15" customHeight="1" x14ac:dyDescent="0.25">
      <c r="T36536" s="135"/>
      <c r="U36536" s="135"/>
    </row>
    <row r="36537" spans="20:21" ht="15" customHeight="1" x14ac:dyDescent="0.25">
      <c r="T36537" s="135"/>
      <c r="U36537" s="135"/>
    </row>
    <row r="36538" spans="20:21" ht="15" customHeight="1" x14ac:dyDescent="0.25">
      <c r="T36538" s="135"/>
      <c r="U36538" s="135"/>
    </row>
    <row r="36539" spans="20:21" ht="15" customHeight="1" x14ac:dyDescent="0.25">
      <c r="T36539" s="135"/>
      <c r="U36539" s="135"/>
    </row>
    <row r="36540" spans="20:21" ht="15" customHeight="1" x14ac:dyDescent="0.25">
      <c r="T36540" s="135"/>
      <c r="U36540" s="135"/>
    </row>
    <row r="36541" spans="20:21" ht="15" customHeight="1" x14ac:dyDescent="0.25">
      <c r="T36541" s="135"/>
      <c r="U36541" s="135"/>
    </row>
    <row r="36542" spans="20:21" ht="15" customHeight="1" x14ac:dyDescent="0.25">
      <c r="T36542" s="135"/>
      <c r="U36542" s="135"/>
    </row>
    <row r="36543" spans="20:21" ht="15" customHeight="1" x14ac:dyDescent="0.25">
      <c r="T36543" s="135"/>
      <c r="U36543" s="135"/>
    </row>
    <row r="36544" spans="20:21" ht="15" customHeight="1" x14ac:dyDescent="0.25">
      <c r="T36544" s="135"/>
      <c r="U36544" s="135"/>
    </row>
    <row r="36545" spans="20:21" ht="15" customHeight="1" x14ac:dyDescent="0.25">
      <c r="T36545" s="135"/>
      <c r="U36545" s="135"/>
    </row>
    <row r="36546" spans="20:21" ht="15" customHeight="1" x14ac:dyDescent="0.25">
      <c r="T36546" s="135"/>
      <c r="U36546" s="135"/>
    </row>
    <row r="36547" spans="20:21" ht="15" customHeight="1" x14ac:dyDescent="0.25">
      <c r="T36547" s="135"/>
      <c r="U36547" s="135"/>
    </row>
    <row r="36548" spans="20:21" ht="15" customHeight="1" x14ac:dyDescent="0.25">
      <c r="T36548" s="135"/>
      <c r="U36548" s="135"/>
    </row>
    <row r="36549" spans="20:21" ht="15" customHeight="1" x14ac:dyDescent="0.25">
      <c r="T36549" s="135"/>
      <c r="U36549" s="135"/>
    </row>
    <row r="36550" spans="20:21" ht="15" customHeight="1" x14ac:dyDescent="0.25">
      <c r="T36550" s="135"/>
      <c r="U36550" s="135"/>
    </row>
    <row r="36551" spans="20:21" ht="15" customHeight="1" x14ac:dyDescent="0.25">
      <c r="T36551" s="135"/>
      <c r="U36551" s="135"/>
    </row>
    <row r="36552" spans="20:21" ht="15" customHeight="1" x14ac:dyDescent="0.25">
      <c r="T36552" s="135"/>
      <c r="U36552" s="135"/>
    </row>
    <row r="36553" spans="20:21" ht="15" customHeight="1" x14ac:dyDescent="0.25">
      <c r="T36553" s="135"/>
      <c r="U36553" s="135"/>
    </row>
    <row r="36554" spans="20:21" ht="15" customHeight="1" x14ac:dyDescent="0.25">
      <c r="T36554" s="135"/>
      <c r="U36554" s="135"/>
    </row>
    <row r="36555" spans="20:21" ht="15" customHeight="1" x14ac:dyDescent="0.25">
      <c r="T36555" s="135"/>
      <c r="U36555" s="135"/>
    </row>
    <row r="36556" spans="20:21" ht="15" customHeight="1" x14ac:dyDescent="0.25">
      <c r="T36556" s="135"/>
      <c r="U36556" s="135"/>
    </row>
    <row r="36557" spans="20:21" ht="15" customHeight="1" x14ac:dyDescent="0.25">
      <c r="T36557" s="135"/>
      <c r="U36557" s="135"/>
    </row>
    <row r="36558" spans="20:21" ht="15" customHeight="1" x14ac:dyDescent="0.25">
      <c r="T36558" s="135"/>
      <c r="U36558" s="135"/>
    </row>
    <row r="36559" spans="20:21" ht="15" customHeight="1" x14ac:dyDescent="0.25">
      <c r="T36559" s="135"/>
      <c r="U36559" s="135"/>
    </row>
    <row r="36560" spans="20:21" ht="15" customHeight="1" x14ac:dyDescent="0.25">
      <c r="T36560" s="135"/>
      <c r="U36560" s="135"/>
    </row>
    <row r="36561" spans="20:21" ht="15" customHeight="1" x14ac:dyDescent="0.25">
      <c r="T36561" s="135"/>
      <c r="U36561" s="135"/>
    </row>
    <row r="36562" spans="20:21" ht="15" customHeight="1" x14ac:dyDescent="0.25">
      <c r="T36562" s="135"/>
      <c r="U36562" s="135"/>
    </row>
    <row r="36563" spans="20:21" ht="15" customHeight="1" x14ac:dyDescent="0.25">
      <c r="T36563" s="135"/>
      <c r="U36563" s="135"/>
    </row>
    <row r="36564" spans="20:21" ht="15" customHeight="1" x14ac:dyDescent="0.25">
      <c r="T36564" s="135"/>
      <c r="U36564" s="135"/>
    </row>
    <row r="36565" spans="20:21" ht="15" customHeight="1" x14ac:dyDescent="0.25">
      <c r="T36565" s="135"/>
      <c r="U36565" s="135"/>
    </row>
    <row r="36566" spans="20:21" ht="15" customHeight="1" x14ac:dyDescent="0.25">
      <c r="T36566" s="135"/>
      <c r="U36566" s="135"/>
    </row>
    <row r="36567" spans="20:21" ht="15" customHeight="1" x14ac:dyDescent="0.25">
      <c r="T36567" s="135"/>
      <c r="U36567" s="135"/>
    </row>
    <row r="36568" spans="20:21" ht="15" customHeight="1" x14ac:dyDescent="0.25">
      <c r="T36568" s="135"/>
      <c r="U36568" s="135"/>
    </row>
    <row r="36569" spans="20:21" ht="15" customHeight="1" x14ac:dyDescent="0.25">
      <c r="T36569" s="135"/>
      <c r="U36569" s="135"/>
    </row>
    <row r="36570" spans="20:21" ht="15" customHeight="1" x14ac:dyDescent="0.25">
      <c r="T36570" s="135"/>
      <c r="U36570" s="135"/>
    </row>
    <row r="36571" spans="20:21" ht="15" customHeight="1" x14ac:dyDescent="0.25">
      <c r="T36571" s="135"/>
      <c r="U36571" s="135"/>
    </row>
    <row r="36572" spans="20:21" ht="15" customHeight="1" x14ac:dyDescent="0.25">
      <c r="T36572" s="135"/>
      <c r="U36572" s="135"/>
    </row>
    <row r="36573" spans="20:21" ht="15" customHeight="1" x14ac:dyDescent="0.25">
      <c r="T36573" s="135"/>
      <c r="U36573" s="135"/>
    </row>
    <row r="36574" spans="20:21" ht="15" customHeight="1" x14ac:dyDescent="0.25">
      <c r="T36574" s="135"/>
      <c r="U36574" s="135"/>
    </row>
    <row r="36575" spans="20:21" ht="15" customHeight="1" x14ac:dyDescent="0.25">
      <c r="T36575" s="135"/>
      <c r="U36575" s="135"/>
    </row>
    <row r="36576" spans="20:21" ht="15" customHeight="1" x14ac:dyDescent="0.25">
      <c r="T36576" s="135"/>
      <c r="U36576" s="135"/>
    </row>
    <row r="36577" spans="20:21" ht="15" customHeight="1" x14ac:dyDescent="0.25">
      <c r="T36577" s="135"/>
      <c r="U36577" s="135"/>
    </row>
    <row r="36578" spans="20:21" ht="15" customHeight="1" x14ac:dyDescent="0.25">
      <c r="T36578" s="135"/>
      <c r="U36578" s="135"/>
    </row>
    <row r="36579" spans="20:21" ht="15" customHeight="1" x14ac:dyDescent="0.25">
      <c r="T36579" s="135"/>
      <c r="U36579" s="135"/>
    </row>
    <row r="36580" spans="20:21" ht="15" customHeight="1" x14ac:dyDescent="0.25">
      <c r="T36580" s="135"/>
      <c r="U36580" s="135"/>
    </row>
    <row r="36581" spans="20:21" ht="15" customHeight="1" x14ac:dyDescent="0.25">
      <c r="T36581" s="135"/>
      <c r="U36581" s="135"/>
    </row>
    <row r="36582" spans="20:21" ht="15" customHeight="1" x14ac:dyDescent="0.25">
      <c r="T36582" s="135"/>
      <c r="U36582" s="135"/>
    </row>
    <row r="36583" spans="20:21" ht="15" customHeight="1" x14ac:dyDescent="0.25">
      <c r="T36583" s="135"/>
      <c r="U36583" s="135"/>
    </row>
    <row r="36584" spans="20:21" ht="15" customHeight="1" x14ac:dyDescent="0.25">
      <c r="T36584" s="135"/>
      <c r="U36584" s="135"/>
    </row>
    <row r="36585" spans="20:21" ht="15" customHeight="1" x14ac:dyDescent="0.25">
      <c r="T36585" s="135"/>
      <c r="U36585" s="135"/>
    </row>
    <row r="36586" spans="20:21" ht="15" customHeight="1" x14ac:dyDescent="0.25">
      <c r="T36586" s="135"/>
      <c r="U36586" s="135"/>
    </row>
    <row r="36587" spans="20:21" ht="15" customHeight="1" x14ac:dyDescent="0.25">
      <c r="T36587" s="135"/>
      <c r="U36587" s="135"/>
    </row>
    <row r="36588" spans="20:21" ht="15" customHeight="1" x14ac:dyDescent="0.25">
      <c r="T36588" s="135"/>
      <c r="U36588" s="135"/>
    </row>
    <row r="36589" spans="20:21" ht="15" customHeight="1" x14ac:dyDescent="0.25">
      <c r="T36589" s="135"/>
      <c r="U36589" s="135"/>
    </row>
    <row r="36590" spans="20:21" ht="15" customHeight="1" x14ac:dyDescent="0.25">
      <c r="T36590" s="135"/>
      <c r="U36590" s="135"/>
    </row>
    <row r="36591" spans="20:21" ht="15" customHeight="1" x14ac:dyDescent="0.25">
      <c r="T36591" s="135"/>
      <c r="U36591" s="135"/>
    </row>
    <row r="36592" spans="20:21" ht="15" customHeight="1" x14ac:dyDescent="0.25">
      <c r="T36592" s="135"/>
      <c r="U36592" s="135"/>
    </row>
    <row r="36593" spans="20:21" ht="15" customHeight="1" x14ac:dyDescent="0.25">
      <c r="T36593" s="135"/>
      <c r="U36593" s="135"/>
    </row>
    <row r="36594" spans="20:21" ht="15" customHeight="1" x14ac:dyDescent="0.25">
      <c r="T36594" s="135"/>
      <c r="U36594" s="135"/>
    </row>
    <row r="36595" spans="20:21" ht="15" customHeight="1" x14ac:dyDescent="0.25">
      <c r="T36595" s="135"/>
      <c r="U36595" s="135"/>
    </row>
    <row r="36596" spans="20:21" ht="15" customHeight="1" x14ac:dyDescent="0.25">
      <c r="T36596" s="135"/>
      <c r="U36596" s="135"/>
    </row>
    <row r="36597" spans="20:21" ht="15" customHeight="1" x14ac:dyDescent="0.25">
      <c r="T36597" s="135"/>
      <c r="U36597" s="135"/>
    </row>
    <row r="36598" spans="20:21" ht="15" customHeight="1" x14ac:dyDescent="0.25">
      <c r="T36598" s="135"/>
      <c r="U36598" s="135"/>
    </row>
    <row r="36599" spans="20:21" ht="15" customHeight="1" x14ac:dyDescent="0.25">
      <c r="T36599" s="135"/>
      <c r="U36599" s="135"/>
    </row>
    <row r="36600" spans="20:21" ht="15" customHeight="1" x14ac:dyDescent="0.25">
      <c r="T36600" s="135"/>
      <c r="U36600" s="135"/>
    </row>
    <row r="36601" spans="20:21" ht="15" customHeight="1" x14ac:dyDescent="0.25">
      <c r="T36601" s="135"/>
      <c r="U36601" s="135"/>
    </row>
    <row r="36602" spans="20:21" ht="15" customHeight="1" x14ac:dyDescent="0.25">
      <c r="T36602" s="135"/>
      <c r="U36602" s="135"/>
    </row>
    <row r="36603" spans="20:21" ht="15" customHeight="1" x14ac:dyDescent="0.25">
      <c r="T36603" s="135"/>
      <c r="U36603" s="135"/>
    </row>
    <row r="36604" spans="20:21" ht="15" customHeight="1" x14ac:dyDescent="0.25">
      <c r="T36604" s="135"/>
      <c r="U36604" s="135"/>
    </row>
    <row r="36605" spans="20:21" ht="15" customHeight="1" x14ac:dyDescent="0.25">
      <c r="T36605" s="135"/>
      <c r="U36605" s="135"/>
    </row>
    <row r="36606" spans="20:21" ht="15" customHeight="1" x14ac:dyDescent="0.25">
      <c r="T36606" s="135"/>
      <c r="U36606" s="135"/>
    </row>
    <row r="36607" spans="20:21" ht="15" customHeight="1" x14ac:dyDescent="0.25">
      <c r="T36607" s="135"/>
      <c r="U36607" s="135"/>
    </row>
    <row r="36608" spans="20:21" ht="15" customHeight="1" x14ac:dyDescent="0.25">
      <c r="T36608" s="135"/>
      <c r="U36608" s="135"/>
    </row>
    <row r="36609" spans="20:21" ht="15" customHeight="1" x14ac:dyDescent="0.25">
      <c r="T36609" s="135"/>
      <c r="U36609" s="135"/>
    </row>
    <row r="36610" spans="20:21" ht="15" customHeight="1" x14ac:dyDescent="0.25">
      <c r="T36610" s="135"/>
      <c r="U36610" s="135"/>
    </row>
    <row r="36611" spans="20:21" ht="15" customHeight="1" x14ac:dyDescent="0.25">
      <c r="T36611" s="135"/>
      <c r="U36611" s="135"/>
    </row>
    <row r="36612" spans="20:21" ht="15" customHeight="1" x14ac:dyDescent="0.25">
      <c r="T36612" s="135"/>
      <c r="U36612" s="135"/>
    </row>
    <row r="36613" spans="20:21" ht="15" customHeight="1" x14ac:dyDescent="0.25">
      <c r="T36613" s="135"/>
      <c r="U36613" s="135"/>
    </row>
    <row r="36614" spans="20:21" ht="15" customHeight="1" x14ac:dyDescent="0.25">
      <c r="T36614" s="135"/>
      <c r="U36614" s="135"/>
    </row>
    <row r="36615" spans="20:21" ht="15" customHeight="1" x14ac:dyDescent="0.25">
      <c r="T36615" s="135"/>
      <c r="U36615" s="135"/>
    </row>
    <row r="36616" spans="20:21" ht="15" customHeight="1" x14ac:dyDescent="0.25">
      <c r="T36616" s="135"/>
      <c r="U36616" s="135"/>
    </row>
    <row r="36617" spans="20:21" ht="15" customHeight="1" x14ac:dyDescent="0.25">
      <c r="T36617" s="135"/>
      <c r="U36617" s="135"/>
    </row>
    <row r="36618" spans="20:21" ht="15" customHeight="1" x14ac:dyDescent="0.25">
      <c r="T36618" s="135"/>
      <c r="U36618" s="135"/>
    </row>
    <row r="36619" spans="20:21" ht="15" customHeight="1" x14ac:dyDescent="0.25">
      <c r="T36619" s="135"/>
      <c r="U36619" s="135"/>
    </row>
    <row r="36620" spans="20:21" ht="15" customHeight="1" x14ac:dyDescent="0.25">
      <c r="T36620" s="135"/>
      <c r="U36620" s="135"/>
    </row>
    <row r="36621" spans="20:21" ht="15" customHeight="1" x14ac:dyDescent="0.25">
      <c r="T36621" s="135"/>
      <c r="U36621" s="135"/>
    </row>
    <row r="36622" spans="20:21" ht="15" customHeight="1" x14ac:dyDescent="0.25">
      <c r="T36622" s="135"/>
      <c r="U36622" s="135"/>
    </row>
    <row r="36623" spans="20:21" ht="15" customHeight="1" x14ac:dyDescent="0.25">
      <c r="T36623" s="135"/>
      <c r="U36623" s="135"/>
    </row>
    <row r="36624" spans="20:21" ht="15" customHeight="1" x14ac:dyDescent="0.25">
      <c r="T36624" s="135"/>
      <c r="U36624" s="135"/>
    </row>
    <row r="36625" spans="20:21" ht="15" customHeight="1" x14ac:dyDescent="0.25">
      <c r="T36625" s="135"/>
      <c r="U36625" s="135"/>
    </row>
    <row r="36626" spans="20:21" ht="15" customHeight="1" x14ac:dyDescent="0.25">
      <c r="T36626" s="135"/>
      <c r="U36626" s="135"/>
    </row>
    <row r="36627" spans="20:21" ht="15" customHeight="1" x14ac:dyDescent="0.25">
      <c r="T36627" s="135"/>
      <c r="U36627" s="135"/>
    </row>
    <row r="36628" spans="20:21" ht="15" customHeight="1" x14ac:dyDescent="0.25">
      <c r="T36628" s="135"/>
      <c r="U36628" s="135"/>
    </row>
    <row r="36629" spans="20:21" ht="15" customHeight="1" x14ac:dyDescent="0.25">
      <c r="T36629" s="135"/>
      <c r="U36629" s="135"/>
    </row>
    <row r="36630" spans="20:21" ht="15" customHeight="1" x14ac:dyDescent="0.25">
      <c r="T36630" s="135"/>
      <c r="U36630" s="135"/>
    </row>
    <row r="36631" spans="20:21" ht="15" customHeight="1" x14ac:dyDescent="0.25">
      <c r="T36631" s="135"/>
      <c r="U36631" s="135"/>
    </row>
    <row r="36632" spans="20:21" ht="15" customHeight="1" x14ac:dyDescent="0.25">
      <c r="T36632" s="135"/>
      <c r="U36632" s="135"/>
    </row>
    <row r="36633" spans="20:21" ht="15" customHeight="1" x14ac:dyDescent="0.25">
      <c r="T36633" s="135"/>
      <c r="U36633" s="135"/>
    </row>
    <row r="36634" spans="20:21" ht="15" customHeight="1" x14ac:dyDescent="0.25">
      <c r="T36634" s="135"/>
      <c r="U36634" s="135"/>
    </row>
    <row r="36635" spans="20:21" ht="15" customHeight="1" x14ac:dyDescent="0.25">
      <c r="T36635" s="135"/>
      <c r="U36635" s="135"/>
    </row>
    <row r="36636" spans="20:21" ht="15" customHeight="1" x14ac:dyDescent="0.25">
      <c r="T36636" s="135"/>
      <c r="U36636" s="135"/>
    </row>
    <row r="36637" spans="20:21" ht="15" customHeight="1" x14ac:dyDescent="0.25">
      <c r="T36637" s="135"/>
      <c r="U36637" s="135"/>
    </row>
    <row r="36638" spans="20:21" ht="15" customHeight="1" x14ac:dyDescent="0.25">
      <c r="T36638" s="135"/>
      <c r="U36638" s="135"/>
    </row>
    <row r="36639" spans="20:21" ht="15" customHeight="1" x14ac:dyDescent="0.25">
      <c r="T36639" s="135"/>
      <c r="U36639" s="135"/>
    </row>
    <row r="36640" spans="20:21" ht="15" customHeight="1" x14ac:dyDescent="0.25">
      <c r="T36640" s="135"/>
      <c r="U36640" s="135"/>
    </row>
    <row r="36641" spans="20:21" ht="15" customHeight="1" x14ac:dyDescent="0.25">
      <c r="T36641" s="135"/>
      <c r="U36641" s="135"/>
    </row>
    <row r="36642" spans="20:21" ht="15" customHeight="1" x14ac:dyDescent="0.25">
      <c r="T36642" s="135"/>
      <c r="U36642" s="135"/>
    </row>
    <row r="36643" spans="20:21" ht="15" customHeight="1" x14ac:dyDescent="0.25">
      <c r="T36643" s="135"/>
      <c r="U36643" s="135"/>
    </row>
    <row r="36644" spans="20:21" ht="15" customHeight="1" x14ac:dyDescent="0.25">
      <c r="T36644" s="135"/>
      <c r="U36644" s="135"/>
    </row>
    <row r="36645" spans="20:21" ht="15" customHeight="1" x14ac:dyDescent="0.25">
      <c r="T36645" s="135"/>
      <c r="U36645" s="135"/>
    </row>
    <row r="36646" spans="20:21" ht="15" customHeight="1" x14ac:dyDescent="0.25">
      <c r="T36646" s="135"/>
      <c r="U36646" s="135"/>
    </row>
    <row r="36647" spans="20:21" ht="15" customHeight="1" x14ac:dyDescent="0.25">
      <c r="T36647" s="135"/>
      <c r="U36647" s="135"/>
    </row>
    <row r="36648" spans="20:21" ht="15" customHeight="1" x14ac:dyDescent="0.25">
      <c r="T36648" s="135"/>
      <c r="U36648" s="135"/>
    </row>
    <row r="36649" spans="20:21" ht="15" customHeight="1" x14ac:dyDescent="0.25">
      <c r="T36649" s="135"/>
      <c r="U36649" s="135"/>
    </row>
    <row r="36650" spans="20:21" ht="15" customHeight="1" x14ac:dyDescent="0.25">
      <c r="T36650" s="135"/>
      <c r="U36650" s="135"/>
    </row>
    <row r="36651" spans="20:21" ht="15" customHeight="1" x14ac:dyDescent="0.25">
      <c r="T36651" s="135"/>
      <c r="U36651" s="135"/>
    </row>
    <row r="36652" spans="20:21" ht="15" customHeight="1" x14ac:dyDescent="0.25">
      <c r="T36652" s="135"/>
      <c r="U36652" s="135"/>
    </row>
    <row r="36653" spans="20:21" ht="15" customHeight="1" x14ac:dyDescent="0.25">
      <c r="T36653" s="135"/>
      <c r="U36653" s="135"/>
    </row>
    <row r="36654" spans="20:21" ht="15" customHeight="1" x14ac:dyDescent="0.25">
      <c r="T36654" s="135"/>
      <c r="U36654" s="135"/>
    </row>
    <row r="36655" spans="20:21" ht="15" customHeight="1" x14ac:dyDescent="0.25">
      <c r="T36655" s="135"/>
      <c r="U36655" s="135"/>
    </row>
    <row r="36656" spans="20:21" ht="15" customHeight="1" x14ac:dyDescent="0.25">
      <c r="T36656" s="135"/>
      <c r="U36656" s="135"/>
    </row>
    <row r="36657" spans="20:21" ht="15" customHeight="1" x14ac:dyDescent="0.25">
      <c r="T36657" s="135"/>
      <c r="U36657" s="135"/>
    </row>
    <row r="36658" spans="20:21" ht="15" customHeight="1" x14ac:dyDescent="0.25">
      <c r="T36658" s="135"/>
      <c r="U36658" s="135"/>
    </row>
    <row r="36659" spans="20:21" ht="15" customHeight="1" x14ac:dyDescent="0.25">
      <c r="T36659" s="135"/>
      <c r="U36659" s="135"/>
    </row>
    <row r="36660" spans="20:21" ht="15" customHeight="1" x14ac:dyDescent="0.25">
      <c r="T36660" s="135"/>
      <c r="U36660" s="135"/>
    </row>
    <row r="36661" spans="20:21" ht="15" customHeight="1" x14ac:dyDescent="0.25">
      <c r="T36661" s="135"/>
      <c r="U36661" s="135"/>
    </row>
    <row r="36662" spans="20:21" ht="15" customHeight="1" x14ac:dyDescent="0.25">
      <c r="T36662" s="135"/>
      <c r="U36662" s="135"/>
    </row>
    <row r="36663" spans="20:21" ht="15" customHeight="1" x14ac:dyDescent="0.25">
      <c r="T36663" s="135"/>
      <c r="U36663" s="135"/>
    </row>
    <row r="36664" spans="20:21" ht="15" customHeight="1" x14ac:dyDescent="0.25">
      <c r="T36664" s="135"/>
      <c r="U36664" s="135"/>
    </row>
    <row r="36665" spans="20:21" ht="15" customHeight="1" x14ac:dyDescent="0.25">
      <c r="T36665" s="135"/>
      <c r="U36665" s="135"/>
    </row>
    <row r="36666" spans="20:21" ht="15" customHeight="1" x14ac:dyDescent="0.25">
      <c r="T36666" s="135"/>
      <c r="U36666" s="135"/>
    </row>
    <row r="36667" spans="20:21" ht="15" customHeight="1" x14ac:dyDescent="0.25">
      <c r="T36667" s="135"/>
      <c r="U36667" s="135"/>
    </row>
    <row r="36668" spans="20:21" ht="15" customHeight="1" x14ac:dyDescent="0.25">
      <c r="T36668" s="135"/>
      <c r="U36668" s="135"/>
    </row>
    <row r="36669" spans="20:21" ht="15" customHeight="1" x14ac:dyDescent="0.25">
      <c r="T36669" s="135"/>
      <c r="U36669" s="135"/>
    </row>
    <row r="36670" spans="20:21" ht="15" customHeight="1" x14ac:dyDescent="0.25">
      <c r="T36670" s="135"/>
      <c r="U36670" s="135"/>
    </row>
    <row r="36671" spans="20:21" ht="15" customHeight="1" x14ac:dyDescent="0.25">
      <c r="T36671" s="135"/>
      <c r="U36671" s="135"/>
    </row>
    <row r="36672" spans="20:21" ht="15" customHeight="1" x14ac:dyDescent="0.25">
      <c r="T36672" s="135"/>
      <c r="U36672" s="135"/>
    </row>
    <row r="36673" spans="20:21" ht="15" customHeight="1" x14ac:dyDescent="0.25">
      <c r="T36673" s="135"/>
      <c r="U36673" s="135"/>
    </row>
    <row r="36674" spans="20:21" ht="15" customHeight="1" x14ac:dyDescent="0.25">
      <c r="T36674" s="135"/>
      <c r="U36674" s="135"/>
    </row>
    <row r="36675" spans="20:21" ht="15" customHeight="1" x14ac:dyDescent="0.25">
      <c r="T36675" s="135"/>
      <c r="U36675" s="135"/>
    </row>
    <row r="36676" spans="20:21" ht="15" customHeight="1" x14ac:dyDescent="0.25">
      <c r="T36676" s="135"/>
      <c r="U36676" s="135"/>
    </row>
    <row r="36677" spans="20:21" ht="15" customHeight="1" x14ac:dyDescent="0.25">
      <c r="T36677" s="135"/>
      <c r="U36677" s="135"/>
    </row>
    <row r="36678" spans="20:21" ht="15" customHeight="1" x14ac:dyDescent="0.25">
      <c r="T36678" s="135"/>
      <c r="U36678" s="135"/>
    </row>
    <row r="36679" spans="20:21" ht="15" customHeight="1" x14ac:dyDescent="0.25">
      <c r="T36679" s="135"/>
      <c r="U36679" s="135"/>
    </row>
    <row r="36680" spans="20:21" ht="15" customHeight="1" x14ac:dyDescent="0.25">
      <c r="T36680" s="135"/>
      <c r="U36680" s="135"/>
    </row>
    <row r="36681" spans="20:21" ht="15" customHeight="1" x14ac:dyDescent="0.25">
      <c r="T36681" s="135"/>
      <c r="U36681" s="135"/>
    </row>
    <row r="36682" spans="20:21" ht="15" customHeight="1" x14ac:dyDescent="0.25">
      <c r="T36682" s="135"/>
      <c r="U36682" s="135"/>
    </row>
    <row r="36683" spans="20:21" ht="15" customHeight="1" x14ac:dyDescent="0.25">
      <c r="T36683" s="135"/>
      <c r="U36683" s="135"/>
    </row>
    <row r="36684" spans="20:21" ht="15" customHeight="1" x14ac:dyDescent="0.25">
      <c r="T36684" s="135"/>
      <c r="U36684" s="135"/>
    </row>
    <row r="36685" spans="20:21" ht="15" customHeight="1" x14ac:dyDescent="0.25">
      <c r="T36685" s="135"/>
      <c r="U36685" s="135"/>
    </row>
    <row r="36686" spans="20:21" ht="15" customHeight="1" x14ac:dyDescent="0.25">
      <c r="T36686" s="135"/>
      <c r="U36686" s="135"/>
    </row>
    <row r="36687" spans="20:21" ht="15" customHeight="1" x14ac:dyDescent="0.25">
      <c r="T36687" s="135"/>
      <c r="U36687" s="135"/>
    </row>
    <row r="36688" spans="20:21" ht="15" customHeight="1" x14ac:dyDescent="0.25">
      <c r="T36688" s="135"/>
      <c r="U36688" s="135"/>
    </row>
    <row r="36689" spans="20:21" ht="15" customHeight="1" x14ac:dyDescent="0.25">
      <c r="T36689" s="135"/>
      <c r="U36689" s="135"/>
    </row>
    <row r="36690" spans="20:21" ht="15" customHeight="1" x14ac:dyDescent="0.25">
      <c r="T36690" s="135"/>
      <c r="U36690" s="135"/>
    </row>
    <row r="36691" spans="20:21" ht="15" customHeight="1" x14ac:dyDescent="0.25">
      <c r="T36691" s="135"/>
      <c r="U36691" s="135"/>
    </row>
    <row r="36692" spans="20:21" ht="15" customHeight="1" x14ac:dyDescent="0.25">
      <c r="T36692" s="135"/>
      <c r="U36692" s="135"/>
    </row>
    <row r="36693" spans="20:21" ht="15" customHeight="1" x14ac:dyDescent="0.25">
      <c r="T36693" s="135"/>
      <c r="U36693" s="135"/>
    </row>
    <row r="36694" spans="20:21" ht="15" customHeight="1" x14ac:dyDescent="0.25">
      <c r="T36694" s="135"/>
      <c r="U36694" s="135"/>
    </row>
    <row r="36695" spans="20:21" ht="15" customHeight="1" x14ac:dyDescent="0.25">
      <c r="T36695" s="135"/>
      <c r="U36695" s="135"/>
    </row>
    <row r="36696" spans="20:21" ht="15" customHeight="1" x14ac:dyDescent="0.25">
      <c r="T36696" s="135"/>
      <c r="U36696" s="135"/>
    </row>
    <row r="36697" spans="20:21" ht="15" customHeight="1" x14ac:dyDescent="0.25">
      <c r="T36697" s="135"/>
      <c r="U36697" s="135"/>
    </row>
    <row r="36698" spans="20:21" ht="15" customHeight="1" x14ac:dyDescent="0.25">
      <c r="T36698" s="135"/>
      <c r="U36698" s="135"/>
    </row>
    <row r="36699" spans="20:21" ht="15" customHeight="1" x14ac:dyDescent="0.25">
      <c r="T36699" s="135"/>
      <c r="U36699" s="135"/>
    </row>
    <row r="36700" spans="20:21" ht="15" customHeight="1" x14ac:dyDescent="0.25">
      <c r="T36700" s="135"/>
      <c r="U36700" s="135"/>
    </row>
    <row r="36701" spans="20:21" ht="15" customHeight="1" x14ac:dyDescent="0.25">
      <c r="T36701" s="135"/>
      <c r="U36701" s="135"/>
    </row>
    <row r="36702" spans="20:21" ht="15" customHeight="1" x14ac:dyDescent="0.25">
      <c r="T36702" s="135"/>
      <c r="U36702" s="135"/>
    </row>
    <row r="36703" spans="20:21" ht="15" customHeight="1" x14ac:dyDescent="0.25">
      <c r="T36703" s="135"/>
      <c r="U36703" s="135"/>
    </row>
    <row r="36704" spans="20:21" ht="15" customHeight="1" x14ac:dyDescent="0.25">
      <c r="T36704" s="135"/>
      <c r="U36704" s="135"/>
    </row>
    <row r="36705" spans="20:21" ht="15" customHeight="1" x14ac:dyDescent="0.25">
      <c r="T36705" s="135"/>
      <c r="U36705" s="135"/>
    </row>
    <row r="36706" spans="20:21" ht="15" customHeight="1" x14ac:dyDescent="0.25">
      <c r="T36706" s="135"/>
      <c r="U36706" s="135"/>
    </row>
    <row r="36707" spans="20:21" ht="15" customHeight="1" x14ac:dyDescent="0.25">
      <c r="T36707" s="135"/>
      <c r="U36707" s="135"/>
    </row>
    <row r="36708" spans="20:21" ht="15" customHeight="1" x14ac:dyDescent="0.25">
      <c r="T36708" s="135"/>
      <c r="U36708" s="135"/>
    </row>
    <row r="36709" spans="20:21" ht="15" customHeight="1" x14ac:dyDescent="0.25">
      <c r="T36709" s="135"/>
      <c r="U36709" s="135"/>
    </row>
    <row r="36710" spans="20:21" ht="15" customHeight="1" x14ac:dyDescent="0.25">
      <c r="T36710" s="135"/>
      <c r="U36710" s="135"/>
    </row>
    <row r="36711" spans="20:21" ht="15" customHeight="1" x14ac:dyDescent="0.25">
      <c r="T36711" s="135"/>
      <c r="U36711" s="135"/>
    </row>
    <row r="36712" spans="20:21" ht="15" customHeight="1" x14ac:dyDescent="0.25">
      <c r="T36712" s="135"/>
      <c r="U36712" s="135"/>
    </row>
    <row r="36713" spans="20:21" ht="15" customHeight="1" x14ac:dyDescent="0.25">
      <c r="T36713" s="135"/>
      <c r="U36713" s="135"/>
    </row>
    <row r="36714" spans="20:21" ht="15" customHeight="1" x14ac:dyDescent="0.25">
      <c r="T36714" s="135"/>
      <c r="U36714" s="135"/>
    </row>
    <row r="36715" spans="20:21" ht="15" customHeight="1" x14ac:dyDescent="0.25">
      <c r="T36715" s="135"/>
      <c r="U36715" s="135"/>
    </row>
    <row r="36716" spans="20:21" ht="15" customHeight="1" x14ac:dyDescent="0.25">
      <c r="T36716" s="135"/>
      <c r="U36716" s="135"/>
    </row>
    <row r="36717" spans="20:21" ht="15" customHeight="1" x14ac:dyDescent="0.25">
      <c r="T36717" s="135"/>
      <c r="U36717" s="135"/>
    </row>
    <row r="36718" spans="20:21" ht="15" customHeight="1" x14ac:dyDescent="0.25">
      <c r="T36718" s="135"/>
      <c r="U36718" s="135"/>
    </row>
    <row r="36719" spans="20:21" ht="15" customHeight="1" x14ac:dyDescent="0.25">
      <c r="T36719" s="135"/>
      <c r="U36719" s="135"/>
    </row>
    <row r="36720" spans="20:21" ht="15" customHeight="1" x14ac:dyDescent="0.25">
      <c r="T36720" s="135"/>
      <c r="U36720" s="135"/>
    </row>
    <row r="36721" spans="20:21" ht="15" customHeight="1" x14ac:dyDescent="0.25">
      <c r="T36721" s="135"/>
      <c r="U36721" s="135"/>
    </row>
    <row r="36722" spans="20:21" ht="15" customHeight="1" x14ac:dyDescent="0.25">
      <c r="T36722" s="135"/>
      <c r="U36722" s="135"/>
    </row>
    <row r="36723" spans="20:21" ht="15" customHeight="1" x14ac:dyDescent="0.25">
      <c r="T36723" s="135"/>
      <c r="U36723" s="135"/>
    </row>
    <row r="36724" spans="20:21" ht="15" customHeight="1" x14ac:dyDescent="0.25">
      <c r="T36724" s="135"/>
      <c r="U36724" s="135"/>
    </row>
    <row r="36725" spans="20:21" ht="15" customHeight="1" x14ac:dyDescent="0.25">
      <c r="T36725" s="135"/>
      <c r="U36725" s="135"/>
    </row>
    <row r="36726" spans="20:21" ht="15" customHeight="1" x14ac:dyDescent="0.25">
      <c r="T36726" s="135"/>
      <c r="U36726" s="135"/>
    </row>
    <row r="36727" spans="20:21" ht="15" customHeight="1" x14ac:dyDescent="0.25">
      <c r="T36727" s="135"/>
      <c r="U36727" s="135"/>
    </row>
    <row r="36728" spans="20:21" ht="15" customHeight="1" x14ac:dyDescent="0.25">
      <c r="T36728" s="135"/>
      <c r="U36728" s="135"/>
    </row>
    <row r="36729" spans="20:21" ht="15" customHeight="1" x14ac:dyDescent="0.25">
      <c r="T36729" s="135"/>
      <c r="U36729" s="135"/>
    </row>
    <row r="36730" spans="20:21" ht="15" customHeight="1" x14ac:dyDescent="0.25">
      <c r="T36730" s="135"/>
      <c r="U36730" s="135"/>
    </row>
    <row r="36731" spans="20:21" ht="15" customHeight="1" x14ac:dyDescent="0.25">
      <c r="T36731" s="135"/>
      <c r="U36731" s="135"/>
    </row>
    <row r="36732" spans="20:21" ht="15" customHeight="1" x14ac:dyDescent="0.25">
      <c r="T36732" s="135"/>
      <c r="U36732" s="135"/>
    </row>
    <row r="36733" spans="20:21" ht="15" customHeight="1" x14ac:dyDescent="0.25">
      <c r="T36733" s="135"/>
      <c r="U36733" s="135"/>
    </row>
    <row r="36734" spans="20:21" ht="15" customHeight="1" x14ac:dyDescent="0.25">
      <c r="T36734" s="135"/>
      <c r="U36734" s="135"/>
    </row>
    <row r="36735" spans="20:21" ht="15" customHeight="1" x14ac:dyDescent="0.25">
      <c r="T36735" s="135"/>
      <c r="U36735" s="135"/>
    </row>
    <row r="36736" spans="20:21" ht="15" customHeight="1" x14ac:dyDescent="0.25">
      <c r="T36736" s="135"/>
      <c r="U36736" s="135"/>
    </row>
    <row r="36737" spans="20:21" ht="15" customHeight="1" x14ac:dyDescent="0.25">
      <c r="T36737" s="135"/>
      <c r="U36737" s="135"/>
    </row>
    <row r="36738" spans="20:21" ht="15" customHeight="1" x14ac:dyDescent="0.25">
      <c r="T36738" s="135"/>
      <c r="U36738" s="135"/>
    </row>
    <row r="36739" spans="20:21" ht="15" customHeight="1" x14ac:dyDescent="0.25">
      <c r="T36739" s="135"/>
      <c r="U36739" s="135"/>
    </row>
    <row r="36740" spans="20:21" ht="15" customHeight="1" x14ac:dyDescent="0.25">
      <c r="T36740" s="135"/>
      <c r="U36740" s="135"/>
    </row>
    <row r="36741" spans="20:21" ht="15" customHeight="1" x14ac:dyDescent="0.25">
      <c r="T36741" s="135"/>
      <c r="U36741" s="135"/>
    </row>
    <row r="36742" spans="20:21" ht="15" customHeight="1" x14ac:dyDescent="0.25">
      <c r="T36742" s="135"/>
      <c r="U36742" s="135"/>
    </row>
    <row r="36743" spans="20:21" ht="15" customHeight="1" x14ac:dyDescent="0.25">
      <c r="T36743" s="135"/>
      <c r="U36743" s="135"/>
    </row>
    <row r="36744" spans="20:21" ht="15" customHeight="1" x14ac:dyDescent="0.25">
      <c r="T36744" s="135"/>
      <c r="U36744" s="135"/>
    </row>
    <row r="36745" spans="20:21" ht="15" customHeight="1" x14ac:dyDescent="0.25">
      <c r="T36745" s="135"/>
      <c r="U36745" s="135"/>
    </row>
    <row r="36746" spans="20:21" ht="15" customHeight="1" x14ac:dyDescent="0.25">
      <c r="T36746" s="135"/>
      <c r="U36746" s="135"/>
    </row>
    <row r="36747" spans="20:21" ht="15" customHeight="1" x14ac:dyDescent="0.25">
      <c r="T36747" s="135"/>
      <c r="U36747" s="135"/>
    </row>
    <row r="36748" spans="20:21" ht="15" customHeight="1" x14ac:dyDescent="0.25">
      <c r="T36748" s="135"/>
      <c r="U36748" s="135"/>
    </row>
    <row r="36749" spans="20:21" ht="15" customHeight="1" x14ac:dyDescent="0.25">
      <c r="T36749" s="135"/>
      <c r="U36749" s="135"/>
    </row>
    <row r="36750" spans="20:21" ht="15" customHeight="1" x14ac:dyDescent="0.25">
      <c r="T36750" s="135"/>
      <c r="U36750" s="135"/>
    </row>
    <row r="36751" spans="20:21" ht="15" customHeight="1" x14ac:dyDescent="0.25">
      <c r="T36751" s="135"/>
      <c r="U36751" s="135"/>
    </row>
    <row r="36752" spans="20:21" ht="15" customHeight="1" x14ac:dyDescent="0.25">
      <c r="T36752" s="135"/>
      <c r="U36752" s="135"/>
    </row>
    <row r="36753" spans="20:21" ht="15" customHeight="1" x14ac:dyDescent="0.25">
      <c r="T36753" s="135"/>
      <c r="U36753" s="135"/>
    </row>
    <row r="36754" spans="20:21" ht="15" customHeight="1" x14ac:dyDescent="0.25">
      <c r="T36754" s="135"/>
      <c r="U36754" s="135"/>
    </row>
    <row r="36755" spans="20:21" ht="15" customHeight="1" x14ac:dyDescent="0.25">
      <c r="T36755" s="135"/>
      <c r="U36755" s="135"/>
    </row>
    <row r="36756" spans="20:21" ht="15" customHeight="1" x14ac:dyDescent="0.25">
      <c r="T36756" s="135"/>
      <c r="U36756" s="135"/>
    </row>
    <row r="36757" spans="20:21" ht="15" customHeight="1" x14ac:dyDescent="0.25">
      <c r="T36757" s="135"/>
      <c r="U36757" s="135"/>
    </row>
    <row r="36758" spans="20:21" ht="15" customHeight="1" x14ac:dyDescent="0.25">
      <c r="T36758" s="135"/>
      <c r="U36758" s="135"/>
    </row>
    <row r="36759" spans="20:21" ht="15" customHeight="1" x14ac:dyDescent="0.25">
      <c r="T36759" s="135"/>
      <c r="U36759" s="135"/>
    </row>
    <row r="36760" spans="20:21" ht="15" customHeight="1" x14ac:dyDescent="0.25">
      <c r="T36760" s="135"/>
      <c r="U36760" s="135"/>
    </row>
    <row r="36761" spans="20:21" ht="15" customHeight="1" x14ac:dyDescent="0.25">
      <c r="T36761" s="135"/>
      <c r="U36761" s="135"/>
    </row>
    <row r="36762" spans="20:21" ht="15" customHeight="1" x14ac:dyDescent="0.25">
      <c r="T36762" s="135"/>
      <c r="U36762" s="135"/>
    </row>
    <row r="36763" spans="20:21" ht="15" customHeight="1" x14ac:dyDescent="0.25">
      <c r="T36763" s="135"/>
      <c r="U36763" s="135"/>
    </row>
    <row r="36764" spans="20:21" ht="15" customHeight="1" x14ac:dyDescent="0.25">
      <c r="T36764" s="135"/>
      <c r="U36764" s="135"/>
    </row>
    <row r="36765" spans="20:21" ht="15" customHeight="1" x14ac:dyDescent="0.25">
      <c r="T36765" s="135"/>
      <c r="U36765" s="135"/>
    </row>
    <row r="36766" spans="20:21" ht="15" customHeight="1" x14ac:dyDescent="0.25">
      <c r="T36766" s="135"/>
      <c r="U36766" s="135"/>
    </row>
    <row r="36767" spans="20:21" ht="15" customHeight="1" x14ac:dyDescent="0.25">
      <c r="T36767" s="135"/>
      <c r="U36767" s="135"/>
    </row>
    <row r="36768" spans="20:21" ht="15" customHeight="1" x14ac:dyDescent="0.25">
      <c r="T36768" s="135"/>
      <c r="U36768" s="135"/>
    </row>
    <row r="36769" spans="20:21" ht="15" customHeight="1" x14ac:dyDescent="0.25">
      <c r="T36769" s="135"/>
      <c r="U36769" s="135"/>
    </row>
    <row r="36770" spans="20:21" ht="15" customHeight="1" x14ac:dyDescent="0.25">
      <c r="T36770" s="135"/>
      <c r="U36770" s="135"/>
    </row>
    <row r="36771" spans="20:21" ht="15" customHeight="1" x14ac:dyDescent="0.25">
      <c r="T36771" s="135"/>
      <c r="U36771" s="135"/>
    </row>
    <row r="36772" spans="20:21" ht="15" customHeight="1" x14ac:dyDescent="0.25">
      <c r="T36772" s="135"/>
      <c r="U36772" s="135"/>
    </row>
    <row r="36773" spans="20:21" ht="15" customHeight="1" x14ac:dyDescent="0.25">
      <c r="T36773" s="135"/>
      <c r="U36773" s="135"/>
    </row>
    <row r="36774" spans="20:21" ht="15" customHeight="1" x14ac:dyDescent="0.25">
      <c r="T36774" s="135"/>
      <c r="U36774" s="135"/>
    </row>
    <row r="36775" spans="20:21" ht="15" customHeight="1" x14ac:dyDescent="0.25">
      <c r="T36775" s="135"/>
      <c r="U36775" s="135"/>
    </row>
    <row r="36776" spans="20:21" ht="15" customHeight="1" x14ac:dyDescent="0.25">
      <c r="T36776" s="135"/>
      <c r="U36776" s="135"/>
    </row>
    <row r="36777" spans="20:21" ht="15" customHeight="1" x14ac:dyDescent="0.25">
      <c r="T36777" s="135"/>
      <c r="U36777" s="135"/>
    </row>
    <row r="36778" spans="20:21" ht="15" customHeight="1" x14ac:dyDescent="0.25">
      <c r="T36778" s="135"/>
      <c r="U36778" s="135"/>
    </row>
    <row r="36779" spans="20:21" ht="15" customHeight="1" x14ac:dyDescent="0.25">
      <c r="T36779" s="135"/>
      <c r="U36779" s="135"/>
    </row>
    <row r="36780" spans="20:21" ht="15" customHeight="1" x14ac:dyDescent="0.25">
      <c r="T36780" s="135"/>
      <c r="U36780" s="135"/>
    </row>
    <row r="36781" spans="20:21" ht="15" customHeight="1" x14ac:dyDescent="0.25">
      <c r="T36781" s="135"/>
      <c r="U36781" s="135"/>
    </row>
    <row r="36782" spans="20:21" ht="15" customHeight="1" x14ac:dyDescent="0.25">
      <c r="T36782" s="135"/>
      <c r="U36782" s="135"/>
    </row>
    <row r="36783" spans="20:21" ht="15" customHeight="1" x14ac:dyDescent="0.25">
      <c r="T36783" s="135"/>
      <c r="U36783" s="135"/>
    </row>
    <row r="36784" spans="20:21" ht="15" customHeight="1" x14ac:dyDescent="0.25">
      <c r="T36784" s="135"/>
      <c r="U36784" s="135"/>
    </row>
    <row r="36785" spans="20:21" ht="15" customHeight="1" x14ac:dyDescent="0.25">
      <c r="T36785" s="135"/>
      <c r="U36785" s="135"/>
    </row>
    <row r="36786" spans="20:21" ht="15" customHeight="1" x14ac:dyDescent="0.25">
      <c r="T36786" s="135"/>
      <c r="U36786" s="135"/>
    </row>
    <row r="36787" spans="20:21" ht="15" customHeight="1" x14ac:dyDescent="0.25">
      <c r="T36787" s="135"/>
      <c r="U36787" s="135"/>
    </row>
    <row r="36788" spans="20:21" ht="15" customHeight="1" x14ac:dyDescent="0.25">
      <c r="T36788" s="135"/>
      <c r="U36788" s="135"/>
    </row>
    <row r="36789" spans="20:21" ht="15" customHeight="1" x14ac:dyDescent="0.25">
      <c r="T36789" s="135"/>
      <c r="U36789" s="135"/>
    </row>
    <row r="36790" spans="20:21" ht="15" customHeight="1" x14ac:dyDescent="0.25">
      <c r="T36790" s="135"/>
      <c r="U36790" s="135"/>
    </row>
    <row r="36791" spans="20:21" ht="15" customHeight="1" x14ac:dyDescent="0.25">
      <c r="T36791" s="135"/>
      <c r="U36791" s="135"/>
    </row>
    <row r="36792" spans="20:21" ht="15" customHeight="1" x14ac:dyDescent="0.25">
      <c r="T36792" s="135"/>
      <c r="U36792" s="135"/>
    </row>
    <row r="36793" spans="20:21" ht="15" customHeight="1" x14ac:dyDescent="0.25">
      <c r="T36793" s="135"/>
      <c r="U36793" s="135"/>
    </row>
    <row r="36794" spans="20:21" ht="15" customHeight="1" x14ac:dyDescent="0.25">
      <c r="T36794" s="135"/>
      <c r="U36794" s="135"/>
    </row>
    <row r="36795" spans="20:21" ht="15" customHeight="1" x14ac:dyDescent="0.25">
      <c r="T36795" s="135"/>
      <c r="U36795" s="135"/>
    </row>
    <row r="36796" spans="20:21" ht="15" customHeight="1" x14ac:dyDescent="0.25">
      <c r="T36796" s="135"/>
      <c r="U36796" s="135"/>
    </row>
    <row r="36797" spans="20:21" ht="15" customHeight="1" x14ac:dyDescent="0.25">
      <c r="T36797" s="135"/>
      <c r="U36797" s="135"/>
    </row>
    <row r="36798" spans="20:21" ht="15" customHeight="1" x14ac:dyDescent="0.25">
      <c r="T36798" s="135"/>
      <c r="U36798" s="135"/>
    </row>
    <row r="36799" spans="20:21" ht="15" customHeight="1" x14ac:dyDescent="0.25">
      <c r="T36799" s="135"/>
      <c r="U36799" s="135"/>
    </row>
    <row r="36800" spans="20:21" ht="15" customHeight="1" x14ac:dyDescent="0.25">
      <c r="T36800" s="135"/>
      <c r="U36800" s="135"/>
    </row>
    <row r="36801" spans="20:21" ht="15" customHeight="1" x14ac:dyDescent="0.25">
      <c r="T36801" s="135"/>
      <c r="U36801" s="135"/>
    </row>
    <row r="36802" spans="20:21" ht="15" customHeight="1" x14ac:dyDescent="0.25">
      <c r="T36802" s="135"/>
      <c r="U36802" s="135"/>
    </row>
    <row r="36803" spans="20:21" ht="15" customHeight="1" x14ac:dyDescent="0.25">
      <c r="T36803" s="135"/>
      <c r="U36803" s="135"/>
    </row>
    <row r="36804" spans="20:21" ht="15" customHeight="1" x14ac:dyDescent="0.25">
      <c r="T36804" s="135"/>
      <c r="U36804" s="135"/>
    </row>
    <row r="36805" spans="20:21" ht="15" customHeight="1" x14ac:dyDescent="0.25">
      <c r="T36805" s="135"/>
      <c r="U36805" s="135"/>
    </row>
    <row r="36806" spans="20:21" ht="15" customHeight="1" x14ac:dyDescent="0.25">
      <c r="T36806" s="135"/>
      <c r="U36806" s="135"/>
    </row>
    <row r="36807" spans="20:21" ht="15" customHeight="1" x14ac:dyDescent="0.25">
      <c r="T36807" s="135"/>
      <c r="U36807" s="135"/>
    </row>
    <row r="36808" spans="20:21" ht="15" customHeight="1" x14ac:dyDescent="0.25">
      <c r="T36808" s="135"/>
      <c r="U36808" s="135"/>
    </row>
    <row r="36809" spans="20:21" ht="15" customHeight="1" x14ac:dyDescent="0.25">
      <c r="T36809" s="135"/>
      <c r="U36809" s="135"/>
    </row>
    <row r="36810" spans="20:21" ht="15" customHeight="1" x14ac:dyDescent="0.25">
      <c r="T36810" s="135"/>
      <c r="U36810" s="135"/>
    </row>
    <row r="36811" spans="20:21" ht="15" customHeight="1" x14ac:dyDescent="0.25">
      <c r="T36811" s="135"/>
      <c r="U36811" s="135"/>
    </row>
    <row r="36812" spans="20:21" ht="15" customHeight="1" x14ac:dyDescent="0.25">
      <c r="T36812" s="135"/>
      <c r="U36812" s="135"/>
    </row>
    <row r="36813" spans="20:21" ht="15" customHeight="1" x14ac:dyDescent="0.25">
      <c r="T36813" s="135"/>
      <c r="U36813" s="135"/>
    </row>
    <row r="36814" spans="20:21" ht="15" customHeight="1" x14ac:dyDescent="0.25">
      <c r="T36814" s="135"/>
      <c r="U36814" s="135"/>
    </row>
    <row r="36815" spans="20:21" ht="15" customHeight="1" x14ac:dyDescent="0.25">
      <c r="T36815" s="135"/>
      <c r="U36815" s="135"/>
    </row>
    <row r="36816" spans="20:21" ht="15" customHeight="1" x14ac:dyDescent="0.25">
      <c r="T36816" s="135"/>
      <c r="U36816" s="135"/>
    </row>
    <row r="36817" spans="20:21" ht="15" customHeight="1" x14ac:dyDescent="0.25">
      <c r="T36817" s="135"/>
      <c r="U36817" s="135"/>
    </row>
    <row r="36818" spans="20:21" ht="15" customHeight="1" x14ac:dyDescent="0.25">
      <c r="T36818" s="135"/>
      <c r="U36818" s="135"/>
    </row>
    <row r="36819" spans="20:21" ht="15" customHeight="1" x14ac:dyDescent="0.25">
      <c r="T36819" s="135"/>
      <c r="U36819" s="135"/>
    </row>
    <row r="36820" spans="20:21" ht="15" customHeight="1" x14ac:dyDescent="0.25">
      <c r="T36820" s="135"/>
      <c r="U36820" s="135"/>
    </row>
    <row r="36821" spans="20:21" ht="15" customHeight="1" x14ac:dyDescent="0.25">
      <c r="T36821" s="135"/>
      <c r="U36821" s="135"/>
    </row>
    <row r="36822" spans="20:21" ht="15" customHeight="1" x14ac:dyDescent="0.25">
      <c r="T36822" s="135"/>
      <c r="U36822" s="135"/>
    </row>
    <row r="36823" spans="20:21" ht="15" customHeight="1" x14ac:dyDescent="0.25">
      <c r="T36823" s="135"/>
      <c r="U36823" s="135"/>
    </row>
    <row r="36824" spans="20:21" ht="15" customHeight="1" x14ac:dyDescent="0.25">
      <c r="T36824" s="135"/>
      <c r="U36824" s="135"/>
    </row>
    <row r="36825" spans="20:21" ht="15" customHeight="1" x14ac:dyDescent="0.25">
      <c r="T36825" s="135"/>
      <c r="U36825" s="135"/>
    </row>
    <row r="36826" spans="20:21" ht="15" customHeight="1" x14ac:dyDescent="0.25">
      <c r="T36826" s="135"/>
      <c r="U36826" s="135"/>
    </row>
    <row r="36827" spans="20:21" ht="15" customHeight="1" x14ac:dyDescent="0.25">
      <c r="T36827" s="135"/>
      <c r="U36827" s="135"/>
    </row>
    <row r="36828" spans="20:21" ht="15" customHeight="1" x14ac:dyDescent="0.25">
      <c r="T36828" s="135"/>
      <c r="U36828" s="135"/>
    </row>
    <row r="36829" spans="20:21" ht="15" customHeight="1" x14ac:dyDescent="0.25">
      <c r="T36829" s="135"/>
      <c r="U36829" s="135"/>
    </row>
    <row r="36830" spans="20:21" ht="15" customHeight="1" x14ac:dyDescent="0.25">
      <c r="T36830" s="135"/>
      <c r="U36830" s="135"/>
    </row>
    <row r="36831" spans="20:21" ht="15" customHeight="1" x14ac:dyDescent="0.25">
      <c r="T36831" s="135"/>
      <c r="U36831" s="135"/>
    </row>
    <row r="36832" spans="20:21" ht="15" customHeight="1" x14ac:dyDescent="0.25">
      <c r="T36832" s="135"/>
      <c r="U36832" s="135"/>
    </row>
    <row r="36833" spans="20:21" ht="15" customHeight="1" x14ac:dyDescent="0.25">
      <c r="T36833" s="135"/>
      <c r="U36833" s="135"/>
    </row>
    <row r="36834" spans="20:21" ht="15" customHeight="1" x14ac:dyDescent="0.25">
      <c r="T36834" s="135"/>
      <c r="U36834" s="135"/>
    </row>
    <row r="36835" spans="20:21" ht="15" customHeight="1" x14ac:dyDescent="0.25">
      <c r="T36835" s="135"/>
      <c r="U36835" s="135"/>
    </row>
    <row r="36836" spans="20:21" ht="15" customHeight="1" x14ac:dyDescent="0.25">
      <c r="T36836" s="135"/>
      <c r="U36836" s="135"/>
    </row>
    <row r="36837" spans="20:21" ht="15" customHeight="1" x14ac:dyDescent="0.25">
      <c r="T36837" s="135"/>
      <c r="U36837" s="135"/>
    </row>
    <row r="36838" spans="20:21" ht="15" customHeight="1" x14ac:dyDescent="0.25">
      <c r="T36838" s="135"/>
      <c r="U36838" s="135"/>
    </row>
    <row r="36839" spans="20:21" ht="15" customHeight="1" x14ac:dyDescent="0.25">
      <c r="T36839" s="135"/>
      <c r="U36839" s="135"/>
    </row>
    <row r="36840" spans="20:21" ht="15" customHeight="1" x14ac:dyDescent="0.25">
      <c r="T36840" s="135"/>
      <c r="U36840" s="135"/>
    </row>
    <row r="36841" spans="20:21" ht="15" customHeight="1" x14ac:dyDescent="0.25">
      <c r="T36841" s="135"/>
      <c r="U36841" s="135"/>
    </row>
    <row r="36842" spans="20:21" ht="15" customHeight="1" x14ac:dyDescent="0.25">
      <c r="T36842" s="135"/>
      <c r="U36842" s="135"/>
    </row>
    <row r="36843" spans="20:21" ht="15" customHeight="1" x14ac:dyDescent="0.25">
      <c r="T36843" s="135"/>
      <c r="U36843" s="135"/>
    </row>
    <row r="36844" spans="20:21" ht="15" customHeight="1" x14ac:dyDescent="0.25">
      <c r="T36844" s="135"/>
      <c r="U36844" s="135"/>
    </row>
    <row r="36845" spans="20:21" ht="15" customHeight="1" x14ac:dyDescent="0.25">
      <c r="T36845" s="135"/>
      <c r="U36845" s="135"/>
    </row>
    <row r="36846" spans="20:21" ht="15" customHeight="1" x14ac:dyDescent="0.25">
      <c r="T36846" s="135"/>
      <c r="U36846" s="135"/>
    </row>
    <row r="36847" spans="20:21" ht="15" customHeight="1" x14ac:dyDescent="0.25">
      <c r="T36847" s="135"/>
      <c r="U36847" s="135"/>
    </row>
    <row r="36848" spans="20:21" ht="15" customHeight="1" x14ac:dyDescent="0.25">
      <c r="T36848" s="135"/>
      <c r="U36848" s="135"/>
    </row>
    <row r="36849" spans="20:21" ht="15" customHeight="1" x14ac:dyDescent="0.25">
      <c r="T36849" s="135"/>
      <c r="U36849" s="135"/>
    </row>
    <row r="36850" spans="20:21" ht="15" customHeight="1" x14ac:dyDescent="0.25">
      <c r="T36850" s="135"/>
      <c r="U36850" s="135"/>
    </row>
    <row r="36851" spans="20:21" ht="15" customHeight="1" x14ac:dyDescent="0.25">
      <c r="T36851" s="135"/>
      <c r="U36851" s="135"/>
    </row>
    <row r="36852" spans="20:21" ht="15" customHeight="1" x14ac:dyDescent="0.25">
      <c r="T36852" s="135"/>
      <c r="U36852" s="135"/>
    </row>
    <row r="36853" spans="20:21" ht="15" customHeight="1" x14ac:dyDescent="0.25">
      <c r="T36853" s="135"/>
      <c r="U36853" s="135"/>
    </row>
    <row r="36854" spans="20:21" ht="15" customHeight="1" x14ac:dyDescent="0.25">
      <c r="T36854" s="135"/>
      <c r="U36854" s="135"/>
    </row>
    <row r="36855" spans="20:21" ht="15" customHeight="1" x14ac:dyDescent="0.25">
      <c r="T36855" s="135"/>
      <c r="U36855" s="135"/>
    </row>
    <row r="36856" spans="20:21" ht="15" customHeight="1" x14ac:dyDescent="0.25">
      <c r="T36856" s="135"/>
      <c r="U36856" s="135"/>
    </row>
    <row r="36857" spans="20:21" ht="15" customHeight="1" x14ac:dyDescent="0.25">
      <c r="T36857" s="135"/>
      <c r="U36857" s="135"/>
    </row>
    <row r="36858" spans="20:21" ht="15" customHeight="1" x14ac:dyDescent="0.25">
      <c r="T36858" s="135"/>
      <c r="U36858" s="135"/>
    </row>
    <row r="36859" spans="20:21" ht="15" customHeight="1" x14ac:dyDescent="0.25">
      <c r="T36859" s="135"/>
      <c r="U36859" s="135"/>
    </row>
    <row r="36860" spans="20:21" ht="15" customHeight="1" x14ac:dyDescent="0.25">
      <c r="T36860" s="135"/>
      <c r="U36860" s="135"/>
    </row>
    <row r="36861" spans="20:21" ht="15" customHeight="1" x14ac:dyDescent="0.25">
      <c r="T36861" s="135"/>
      <c r="U36861" s="135"/>
    </row>
    <row r="36862" spans="20:21" ht="15" customHeight="1" x14ac:dyDescent="0.25">
      <c r="T36862" s="135"/>
      <c r="U36862" s="135"/>
    </row>
    <row r="36863" spans="20:21" ht="15" customHeight="1" x14ac:dyDescent="0.25">
      <c r="T36863" s="135"/>
      <c r="U36863" s="135"/>
    </row>
    <row r="36864" spans="20:21" ht="15" customHeight="1" x14ac:dyDescent="0.25">
      <c r="T36864" s="135"/>
      <c r="U36864" s="135"/>
    </row>
    <row r="36865" spans="20:21" ht="15" customHeight="1" x14ac:dyDescent="0.25">
      <c r="T36865" s="135"/>
      <c r="U36865" s="135"/>
    </row>
    <row r="36866" spans="20:21" ht="15" customHeight="1" x14ac:dyDescent="0.25">
      <c r="T36866" s="135"/>
      <c r="U36866" s="135"/>
    </row>
    <row r="36867" spans="20:21" ht="15" customHeight="1" x14ac:dyDescent="0.25">
      <c r="T36867" s="135"/>
      <c r="U36867" s="135"/>
    </row>
    <row r="36868" spans="20:21" ht="15" customHeight="1" x14ac:dyDescent="0.25">
      <c r="T36868" s="135"/>
      <c r="U36868" s="135"/>
    </row>
    <row r="36869" spans="20:21" ht="15" customHeight="1" x14ac:dyDescent="0.25">
      <c r="T36869" s="135"/>
      <c r="U36869" s="135"/>
    </row>
    <row r="36870" spans="20:21" ht="15" customHeight="1" x14ac:dyDescent="0.25">
      <c r="T36870" s="135"/>
      <c r="U36870" s="135"/>
    </row>
    <row r="36871" spans="20:21" ht="15" customHeight="1" x14ac:dyDescent="0.25">
      <c r="T36871" s="135"/>
      <c r="U36871" s="135"/>
    </row>
    <row r="36872" spans="20:21" ht="15" customHeight="1" x14ac:dyDescent="0.25">
      <c r="T36872" s="135"/>
      <c r="U36872" s="135"/>
    </row>
    <row r="36873" spans="20:21" ht="15" customHeight="1" x14ac:dyDescent="0.25">
      <c r="T36873" s="135"/>
      <c r="U36873" s="135"/>
    </row>
    <row r="36874" spans="20:21" ht="15" customHeight="1" x14ac:dyDescent="0.25">
      <c r="T36874" s="135"/>
      <c r="U36874" s="135"/>
    </row>
    <row r="36875" spans="20:21" ht="15" customHeight="1" x14ac:dyDescent="0.25">
      <c r="T36875" s="135"/>
      <c r="U36875" s="135"/>
    </row>
    <row r="36876" spans="20:21" ht="15" customHeight="1" x14ac:dyDescent="0.25">
      <c r="T36876" s="135"/>
      <c r="U36876" s="135"/>
    </row>
    <row r="36877" spans="20:21" ht="15" customHeight="1" x14ac:dyDescent="0.25">
      <c r="T36877" s="135"/>
      <c r="U36877" s="135"/>
    </row>
    <row r="36878" spans="20:21" ht="15" customHeight="1" x14ac:dyDescent="0.25">
      <c r="T36878" s="135"/>
      <c r="U36878" s="135"/>
    </row>
    <row r="36879" spans="20:21" ht="15" customHeight="1" x14ac:dyDescent="0.25">
      <c r="T36879" s="135"/>
      <c r="U36879" s="135"/>
    </row>
    <row r="36880" spans="20:21" ht="15" customHeight="1" x14ac:dyDescent="0.25">
      <c r="T36880" s="135"/>
      <c r="U36880" s="135"/>
    </row>
    <row r="36881" spans="20:21" ht="15" customHeight="1" x14ac:dyDescent="0.25">
      <c r="T36881" s="135"/>
      <c r="U36881" s="135"/>
    </row>
    <row r="36882" spans="20:21" ht="15" customHeight="1" x14ac:dyDescent="0.25">
      <c r="T36882" s="135"/>
      <c r="U36882" s="135"/>
    </row>
    <row r="36883" spans="20:21" ht="15" customHeight="1" x14ac:dyDescent="0.25">
      <c r="T36883" s="135"/>
      <c r="U36883" s="135"/>
    </row>
    <row r="36884" spans="20:21" ht="15" customHeight="1" x14ac:dyDescent="0.25">
      <c r="T36884" s="135"/>
      <c r="U36884" s="135"/>
    </row>
    <row r="36885" spans="20:21" ht="15" customHeight="1" x14ac:dyDescent="0.25">
      <c r="T36885" s="135"/>
      <c r="U36885" s="135"/>
    </row>
    <row r="36886" spans="20:21" ht="15" customHeight="1" x14ac:dyDescent="0.25">
      <c r="T36886" s="135"/>
      <c r="U36886" s="135"/>
    </row>
    <row r="36887" spans="20:21" ht="15" customHeight="1" x14ac:dyDescent="0.25">
      <c r="T36887" s="135"/>
      <c r="U36887" s="135"/>
    </row>
    <row r="36888" spans="20:21" ht="15" customHeight="1" x14ac:dyDescent="0.25">
      <c r="T36888" s="135"/>
      <c r="U36888" s="135"/>
    </row>
    <row r="36889" spans="20:21" ht="15" customHeight="1" x14ac:dyDescent="0.25">
      <c r="T36889" s="135"/>
      <c r="U36889" s="135"/>
    </row>
    <row r="36890" spans="20:21" ht="15" customHeight="1" x14ac:dyDescent="0.25">
      <c r="T36890" s="135"/>
      <c r="U36890" s="135"/>
    </row>
    <row r="36891" spans="20:21" ht="15" customHeight="1" x14ac:dyDescent="0.25">
      <c r="T36891" s="135"/>
      <c r="U36891" s="135"/>
    </row>
    <row r="36892" spans="20:21" ht="15" customHeight="1" x14ac:dyDescent="0.25">
      <c r="T36892" s="135"/>
      <c r="U36892" s="135"/>
    </row>
    <row r="36893" spans="20:21" ht="15" customHeight="1" x14ac:dyDescent="0.25">
      <c r="T36893" s="135"/>
      <c r="U36893" s="135"/>
    </row>
    <row r="36894" spans="20:21" ht="15" customHeight="1" x14ac:dyDescent="0.25">
      <c r="T36894" s="135"/>
      <c r="U36894" s="135"/>
    </row>
    <row r="36895" spans="20:21" ht="15" customHeight="1" x14ac:dyDescent="0.25">
      <c r="T36895" s="135"/>
      <c r="U36895" s="135"/>
    </row>
    <row r="36896" spans="20:21" ht="15" customHeight="1" x14ac:dyDescent="0.25">
      <c r="T36896" s="135"/>
      <c r="U36896" s="135"/>
    </row>
    <row r="36897" spans="20:21" ht="15" customHeight="1" x14ac:dyDescent="0.25">
      <c r="T36897" s="135"/>
      <c r="U36897" s="135"/>
    </row>
    <row r="36898" spans="20:21" ht="15" customHeight="1" x14ac:dyDescent="0.25">
      <c r="T36898" s="135"/>
      <c r="U36898" s="135"/>
    </row>
    <row r="36899" spans="20:21" ht="15" customHeight="1" x14ac:dyDescent="0.25">
      <c r="T36899" s="135"/>
      <c r="U36899" s="135"/>
    </row>
    <row r="36900" spans="20:21" ht="15" customHeight="1" x14ac:dyDescent="0.25">
      <c r="T36900" s="135"/>
      <c r="U36900" s="135"/>
    </row>
    <row r="36901" spans="20:21" ht="15" customHeight="1" x14ac:dyDescent="0.25">
      <c r="T36901" s="135"/>
      <c r="U36901" s="135"/>
    </row>
    <row r="36902" spans="20:21" ht="15" customHeight="1" x14ac:dyDescent="0.25">
      <c r="T36902" s="135"/>
      <c r="U36902" s="135"/>
    </row>
    <row r="36903" spans="20:21" ht="15" customHeight="1" x14ac:dyDescent="0.25">
      <c r="T36903" s="135"/>
      <c r="U36903" s="135"/>
    </row>
    <row r="36904" spans="20:21" ht="15" customHeight="1" x14ac:dyDescent="0.25">
      <c r="T36904" s="135"/>
      <c r="U36904" s="135"/>
    </row>
    <row r="36905" spans="20:21" ht="15" customHeight="1" x14ac:dyDescent="0.25">
      <c r="T36905" s="135"/>
      <c r="U36905" s="135"/>
    </row>
    <row r="36906" spans="20:21" ht="15" customHeight="1" x14ac:dyDescent="0.25">
      <c r="T36906" s="135"/>
      <c r="U36906" s="135"/>
    </row>
    <row r="36907" spans="20:21" ht="15" customHeight="1" x14ac:dyDescent="0.25">
      <c r="T36907" s="135"/>
      <c r="U36907" s="135"/>
    </row>
    <row r="36908" spans="20:21" ht="15" customHeight="1" x14ac:dyDescent="0.25">
      <c r="T36908" s="135"/>
      <c r="U36908" s="135"/>
    </row>
    <row r="36909" spans="20:21" ht="15" customHeight="1" x14ac:dyDescent="0.25">
      <c r="T36909" s="135"/>
      <c r="U36909" s="135"/>
    </row>
    <row r="36910" spans="20:21" ht="15" customHeight="1" x14ac:dyDescent="0.25">
      <c r="T36910" s="135"/>
      <c r="U36910" s="135"/>
    </row>
    <row r="36911" spans="20:21" ht="15" customHeight="1" x14ac:dyDescent="0.25">
      <c r="T36911" s="135"/>
      <c r="U36911" s="135"/>
    </row>
    <row r="36912" spans="20:21" ht="15" customHeight="1" x14ac:dyDescent="0.25">
      <c r="T36912" s="135"/>
      <c r="U36912" s="135"/>
    </row>
    <row r="36913" spans="20:21" ht="15" customHeight="1" x14ac:dyDescent="0.25">
      <c r="T36913" s="135"/>
      <c r="U36913" s="135"/>
    </row>
    <row r="36914" spans="20:21" ht="15" customHeight="1" x14ac:dyDescent="0.25">
      <c r="T36914" s="135"/>
      <c r="U36914" s="135"/>
    </row>
    <row r="36915" spans="20:21" ht="15" customHeight="1" x14ac:dyDescent="0.25">
      <c r="T36915" s="135"/>
      <c r="U36915" s="135"/>
    </row>
    <row r="36916" spans="20:21" ht="15" customHeight="1" x14ac:dyDescent="0.25">
      <c r="T36916" s="135"/>
      <c r="U36916" s="135"/>
    </row>
    <row r="36917" spans="20:21" ht="15" customHeight="1" x14ac:dyDescent="0.25">
      <c r="T36917" s="135"/>
      <c r="U36917" s="135"/>
    </row>
    <row r="36918" spans="20:21" ht="15" customHeight="1" x14ac:dyDescent="0.25">
      <c r="T36918" s="135"/>
      <c r="U36918" s="135"/>
    </row>
    <row r="36919" spans="20:21" ht="15" customHeight="1" x14ac:dyDescent="0.25">
      <c r="T36919" s="135"/>
      <c r="U36919" s="135"/>
    </row>
    <row r="36920" spans="20:21" ht="15" customHeight="1" x14ac:dyDescent="0.25">
      <c r="T36920" s="135"/>
      <c r="U36920" s="135"/>
    </row>
    <row r="36921" spans="20:21" ht="15" customHeight="1" x14ac:dyDescent="0.25">
      <c r="T36921" s="135"/>
      <c r="U36921" s="135"/>
    </row>
    <row r="36922" spans="20:21" ht="15" customHeight="1" x14ac:dyDescent="0.25">
      <c r="T36922" s="135"/>
      <c r="U36922" s="135"/>
    </row>
    <row r="36923" spans="20:21" ht="15" customHeight="1" x14ac:dyDescent="0.25">
      <c r="T36923" s="135"/>
      <c r="U36923" s="135"/>
    </row>
    <row r="36924" spans="20:21" ht="15" customHeight="1" x14ac:dyDescent="0.25">
      <c r="T36924" s="135"/>
      <c r="U36924" s="135"/>
    </row>
    <row r="36925" spans="20:21" ht="15" customHeight="1" x14ac:dyDescent="0.25">
      <c r="T36925" s="135"/>
      <c r="U36925" s="135"/>
    </row>
    <row r="36926" spans="20:21" ht="15" customHeight="1" x14ac:dyDescent="0.25">
      <c r="T36926" s="135"/>
      <c r="U36926" s="135"/>
    </row>
    <row r="36927" spans="20:21" ht="15" customHeight="1" x14ac:dyDescent="0.25">
      <c r="T36927" s="135"/>
      <c r="U36927" s="135"/>
    </row>
    <row r="36928" spans="20:21" ht="15" customHeight="1" x14ac:dyDescent="0.25">
      <c r="T36928" s="135"/>
      <c r="U36928" s="135"/>
    </row>
    <row r="36929" spans="20:21" ht="15" customHeight="1" x14ac:dyDescent="0.25">
      <c r="T36929" s="135"/>
      <c r="U36929" s="135"/>
    </row>
    <row r="36930" spans="20:21" ht="15" customHeight="1" x14ac:dyDescent="0.25">
      <c r="T36930" s="135"/>
      <c r="U36930" s="135"/>
    </row>
    <row r="36931" spans="20:21" ht="15" customHeight="1" x14ac:dyDescent="0.25">
      <c r="T36931" s="135"/>
      <c r="U36931" s="135"/>
    </row>
    <row r="36932" spans="20:21" ht="15" customHeight="1" x14ac:dyDescent="0.25">
      <c r="T36932" s="135"/>
      <c r="U36932" s="135"/>
    </row>
    <row r="36933" spans="20:21" ht="15" customHeight="1" x14ac:dyDescent="0.25">
      <c r="T36933" s="135"/>
      <c r="U36933" s="135"/>
    </row>
    <row r="36934" spans="20:21" ht="15" customHeight="1" x14ac:dyDescent="0.25">
      <c r="T36934" s="135"/>
      <c r="U36934" s="135"/>
    </row>
    <row r="36935" spans="20:21" ht="15" customHeight="1" x14ac:dyDescent="0.25">
      <c r="T36935" s="135"/>
      <c r="U36935" s="135"/>
    </row>
    <row r="36936" spans="20:21" ht="15" customHeight="1" x14ac:dyDescent="0.25">
      <c r="T36936" s="135"/>
      <c r="U36936" s="135"/>
    </row>
    <row r="36937" spans="20:21" ht="15" customHeight="1" x14ac:dyDescent="0.25">
      <c r="T36937" s="135"/>
      <c r="U36937" s="135"/>
    </row>
    <row r="36938" spans="20:21" ht="15" customHeight="1" x14ac:dyDescent="0.25">
      <c r="T36938" s="135"/>
      <c r="U36938" s="135"/>
    </row>
    <row r="36939" spans="20:21" ht="15" customHeight="1" x14ac:dyDescent="0.25">
      <c r="T36939" s="135"/>
      <c r="U36939" s="135"/>
    </row>
    <row r="36940" spans="20:21" ht="15" customHeight="1" x14ac:dyDescent="0.25">
      <c r="T36940" s="135"/>
      <c r="U36940" s="135"/>
    </row>
    <row r="36941" spans="20:21" ht="15" customHeight="1" x14ac:dyDescent="0.25">
      <c r="T36941" s="135"/>
      <c r="U36941" s="135"/>
    </row>
    <row r="36942" spans="20:21" ht="15" customHeight="1" x14ac:dyDescent="0.25">
      <c r="T36942" s="135"/>
      <c r="U36942" s="135"/>
    </row>
    <row r="36943" spans="20:21" ht="15" customHeight="1" x14ac:dyDescent="0.25">
      <c r="T36943" s="135"/>
      <c r="U36943" s="135"/>
    </row>
    <row r="36944" spans="20:21" ht="15" customHeight="1" x14ac:dyDescent="0.25">
      <c r="T36944" s="135"/>
      <c r="U36944" s="135"/>
    </row>
    <row r="36945" spans="20:21" ht="15" customHeight="1" x14ac:dyDescent="0.25">
      <c r="T36945" s="135"/>
      <c r="U36945" s="135"/>
    </row>
    <row r="36946" spans="20:21" ht="15" customHeight="1" x14ac:dyDescent="0.25">
      <c r="T36946" s="135"/>
      <c r="U36946" s="135"/>
    </row>
    <row r="36947" spans="20:21" ht="15" customHeight="1" x14ac:dyDescent="0.25">
      <c r="T36947" s="135"/>
      <c r="U36947" s="135"/>
    </row>
    <row r="36948" spans="20:21" ht="15" customHeight="1" x14ac:dyDescent="0.25">
      <c r="T36948" s="135"/>
      <c r="U36948" s="135"/>
    </row>
    <row r="36949" spans="20:21" ht="15" customHeight="1" x14ac:dyDescent="0.25">
      <c r="T36949" s="135"/>
      <c r="U36949" s="135"/>
    </row>
    <row r="36950" spans="20:21" ht="15" customHeight="1" x14ac:dyDescent="0.25">
      <c r="T36950" s="135"/>
      <c r="U36950" s="135"/>
    </row>
    <row r="36951" spans="20:21" ht="15" customHeight="1" x14ac:dyDescent="0.25">
      <c r="T36951" s="135"/>
      <c r="U36951" s="135"/>
    </row>
    <row r="36952" spans="20:21" ht="15" customHeight="1" x14ac:dyDescent="0.25">
      <c r="T36952" s="135"/>
      <c r="U36952" s="135"/>
    </row>
    <row r="36953" spans="20:21" ht="15" customHeight="1" x14ac:dyDescent="0.25">
      <c r="T36953" s="135"/>
      <c r="U36953" s="135"/>
    </row>
    <row r="36954" spans="20:21" ht="15" customHeight="1" x14ac:dyDescent="0.25">
      <c r="T36954" s="135"/>
      <c r="U36954" s="135"/>
    </row>
    <row r="36955" spans="20:21" ht="15" customHeight="1" x14ac:dyDescent="0.25">
      <c r="T36955" s="135"/>
      <c r="U36955" s="135"/>
    </row>
    <row r="36956" spans="20:21" ht="15" customHeight="1" x14ac:dyDescent="0.25">
      <c r="T36956" s="135"/>
      <c r="U36956" s="135"/>
    </row>
    <row r="36957" spans="20:21" ht="15" customHeight="1" x14ac:dyDescent="0.25">
      <c r="T36957" s="135"/>
      <c r="U36957" s="135"/>
    </row>
    <row r="36958" spans="20:21" ht="15" customHeight="1" x14ac:dyDescent="0.25">
      <c r="T36958" s="135"/>
      <c r="U36958" s="135"/>
    </row>
    <row r="36959" spans="20:21" ht="15" customHeight="1" x14ac:dyDescent="0.25">
      <c r="T36959" s="135"/>
      <c r="U36959" s="135"/>
    </row>
    <row r="36960" spans="20:21" ht="15" customHeight="1" x14ac:dyDescent="0.25">
      <c r="T36960" s="135"/>
      <c r="U36960" s="135"/>
    </row>
    <row r="36961" spans="20:21" ht="15" customHeight="1" x14ac:dyDescent="0.25">
      <c r="T36961" s="135"/>
      <c r="U36961" s="135"/>
    </row>
    <row r="36962" spans="20:21" ht="15" customHeight="1" x14ac:dyDescent="0.25">
      <c r="T36962" s="135"/>
      <c r="U36962" s="135"/>
    </row>
    <row r="36963" spans="20:21" ht="15" customHeight="1" x14ac:dyDescent="0.25">
      <c r="T36963" s="135"/>
      <c r="U36963" s="135"/>
    </row>
    <row r="36964" spans="20:21" ht="15" customHeight="1" x14ac:dyDescent="0.25">
      <c r="T36964" s="135"/>
      <c r="U36964" s="135"/>
    </row>
    <row r="36965" spans="20:21" ht="15" customHeight="1" x14ac:dyDescent="0.25">
      <c r="T36965" s="135"/>
      <c r="U36965" s="135"/>
    </row>
    <row r="36966" spans="20:21" ht="15" customHeight="1" x14ac:dyDescent="0.25">
      <c r="T36966" s="135"/>
      <c r="U36966" s="135"/>
    </row>
    <row r="36967" spans="20:21" ht="15" customHeight="1" x14ac:dyDescent="0.25">
      <c r="T36967" s="135"/>
      <c r="U36967" s="135"/>
    </row>
    <row r="36968" spans="20:21" ht="15" customHeight="1" x14ac:dyDescent="0.25">
      <c r="T36968" s="135"/>
      <c r="U36968" s="135"/>
    </row>
    <row r="36969" spans="20:21" ht="15" customHeight="1" x14ac:dyDescent="0.25">
      <c r="T36969" s="135"/>
      <c r="U36969" s="135"/>
    </row>
    <row r="36970" spans="20:21" ht="15" customHeight="1" x14ac:dyDescent="0.25">
      <c r="T36970" s="135"/>
      <c r="U36970" s="135"/>
    </row>
    <row r="36971" spans="20:21" ht="15" customHeight="1" x14ac:dyDescent="0.25">
      <c r="T36971" s="135"/>
      <c r="U36971" s="135"/>
    </row>
    <row r="36972" spans="20:21" ht="15" customHeight="1" x14ac:dyDescent="0.25">
      <c r="T36972" s="135"/>
      <c r="U36972" s="135"/>
    </row>
    <row r="36973" spans="20:21" ht="15" customHeight="1" x14ac:dyDescent="0.25">
      <c r="T36973" s="135"/>
      <c r="U36973" s="135"/>
    </row>
    <row r="36974" spans="20:21" ht="15" customHeight="1" x14ac:dyDescent="0.25">
      <c r="T36974" s="135"/>
      <c r="U36974" s="135"/>
    </row>
    <row r="36975" spans="20:21" ht="15" customHeight="1" x14ac:dyDescent="0.25">
      <c r="T36975" s="135"/>
      <c r="U36975" s="135"/>
    </row>
    <row r="36976" spans="20:21" ht="15" customHeight="1" x14ac:dyDescent="0.25">
      <c r="T36976" s="135"/>
      <c r="U36976" s="135"/>
    </row>
    <row r="36977" spans="20:21" ht="15" customHeight="1" x14ac:dyDescent="0.25">
      <c r="T36977" s="135"/>
      <c r="U36977" s="135"/>
    </row>
    <row r="36978" spans="20:21" ht="15" customHeight="1" x14ac:dyDescent="0.25">
      <c r="T36978" s="135"/>
      <c r="U36978" s="135"/>
    </row>
    <row r="36979" spans="20:21" ht="15" customHeight="1" x14ac:dyDescent="0.25">
      <c r="T36979" s="135"/>
      <c r="U36979" s="135"/>
    </row>
    <row r="36980" spans="20:21" ht="15" customHeight="1" x14ac:dyDescent="0.25">
      <c r="T36980" s="135"/>
      <c r="U36980" s="135"/>
    </row>
    <row r="36981" spans="20:21" ht="15" customHeight="1" x14ac:dyDescent="0.25">
      <c r="T36981" s="135"/>
      <c r="U36981" s="135"/>
    </row>
    <row r="36982" spans="20:21" ht="15" customHeight="1" x14ac:dyDescent="0.25">
      <c r="T36982" s="135"/>
      <c r="U36982" s="135"/>
    </row>
    <row r="36983" spans="20:21" ht="15" customHeight="1" x14ac:dyDescent="0.25">
      <c r="T36983" s="135"/>
      <c r="U36983" s="135"/>
    </row>
    <row r="36984" spans="20:21" ht="15" customHeight="1" x14ac:dyDescent="0.25">
      <c r="T36984" s="135"/>
      <c r="U36984" s="135"/>
    </row>
    <row r="36985" spans="20:21" ht="15" customHeight="1" x14ac:dyDescent="0.25">
      <c r="T36985" s="135"/>
      <c r="U36985" s="135"/>
    </row>
    <row r="36986" spans="20:21" ht="15" customHeight="1" x14ac:dyDescent="0.25">
      <c r="T36986" s="135"/>
      <c r="U36986" s="135"/>
    </row>
    <row r="36987" spans="20:21" ht="15" customHeight="1" x14ac:dyDescent="0.25">
      <c r="T36987" s="135"/>
      <c r="U36987" s="135"/>
    </row>
    <row r="36988" spans="20:21" ht="15" customHeight="1" x14ac:dyDescent="0.25">
      <c r="T36988" s="135"/>
      <c r="U36988" s="135"/>
    </row>
    <row r="36989" spans="20:21" ht="15" customHeight="1" x14ac:dyDescent="0.25">
      <c r="T36989" s="135"/>
      <c r="U36989" s="135"/>
    </row>
    <row r="36990" spans="20:21" ht="15" customHeight="1" x14ac:dyDescent="0.25">
      <c r="T36990" s="135"/>
      <c r="U36990" s="135"/>
    </row>
    <row r="36991" spans="20:21" ht="15" customHeight="1" x14ac:dyDescent="0.25">
      <c r="T36991" s="135"/>
      <c r="U36991" s="135"/>
    </row>
    <row r="36992" spans="20:21" ht="15" customHeight="1" x14ac:dyDescent="0.25">
      <c r="T36992" s="135"/>
      <c r="U36992" s="135"/>
    </row>
    <row r="36993" spans="20:21" ht="15" customHeight="1" x14ac:dyDescent="0.25">
      <c r="T36993" s="135"/>
      <c r="U36993" s="135"/>
    </row>
    <row r="36994" spans="20:21" ht="15" customHeight="1" x14ac:dyDescent="0.25">
      <c r="T36994" s="135"/>
      <c r="U36994" s="135"/>
    </row>
    <row r="36995" spans="20:21" ht="15" customHeight="1" x14ac:dyDescent="0.25">
      <c r="T36995" s="135"/>
      <c r="U36995" s="135"/>
    </row>
    <row r="36996" spans="20:21" ht="15" customHeight="1" x14ac:dyDescent="0.25">
      <c r="T36996" s="135"/>
      <c r="U36996" s="135"/>
    </row>
    <row r="36997" spans="20:21" ht="15" customHeight="1" x14ac:dyDescent="0.25">
      <c r="T36997" s="135"/>
      <c r="U36997" s="135"/>
    </row>
    <row r="36998" spans="20:21" ht="15" customHeight="1" x14ac:dyDescent="0.25">
      <c r="T36998" s="135"/>
      <c r="U36998" s="135"/>
    </row>
    <row r="36999" spans="20:21" ht="15" customHeight="1" x14ac:dyDescent="0.25">
      <c r="T36999" s="135"/>
      <c r="U36999" s="135"/>
    </row>
    <row r="37000" spans="20:21" ht="15" customHeight="1" x14ac:dyDescent="0.25">
      <c r="T37000" s="135"/>
      <c r="U37000" s="135"/>
    </row>
    <row r="37001" spans="20:21" ht="15" customHeight="1" x14ac:dyDescent="0.25">
      <c r="T37001" s="135"/>
      <c r="U37001" s="135"/>
    </row>
    <row r="37002" spans="20:21" ht="15" customHeight="1" x14ac:dyDescent="0.25">
      <c r="T37002" s="135"/>
      <c r="U37002" s="135"/>
    </row>
    <row r="37003" spans="20:21" ht="15" customHeight="1" x14ac:dyDescent="0.25">
      <c r="T37003" s="135"/>
      <c r="U37003" s="135"/>
    </row>
    <row r="37004" spans="20:21" ht="15" customHeight="1" x14ac:dyDescent="0.25">
      <c r="T37004" s="135"/>
      <c r="U37004" s="135"/>
    </row>
    <row r="37005" spans="20:21" ht="15" customHeight="1" x14ac:dyDescent="0.25">
      <c r="T37005" s="135"/>
      <c r="U37005" s="135"/>
    </row>
    <row r="37006" spans="20:21" ht="15" customHeight="1" x14ac:dyDescent="0.25">
      <c r="T37006" s="135"/>
      <c r="U37006" s="135"/>
    </row>
    <row r="37007" spans="20:21" ht="15" customHeight="1" x14ac:dyDescent="0.25">
      <c r="T37007" s="135"/>
      <c r="U37007" s="135"/>
    </row>
    <row r="37008" spans="20:21" ht="15" customHeight="1" x14ac:dyDescent="0.25">
      <c r="T37008" s="135"/>
      <c r="U37008" s="135"/>
    </row>
    <row r="37009" spans="20:21" ht="15" customHeight="1" x14ac:dyDescent="0.25">
      <c r="T37009" s="135"/>
      <c r="U37009" s="135"/>
    </row>
    <row r="37010" spans="20:21" ht="15" customHeight="1" x14ac:dyDescent="0.25">
      <c r="T37010" s="135"/>
      <c r="U37010" s="135"/>
    </row>
    <row r="37011" spans="20:21" ht="15" customHeight="1" x14ac:dyDescent="0.25">
      <c r="T37011" s="135"/>
      <c r="U37011" s="135"/>
    </row>
    <row r="37012" spans="20:21" ht="15" customHeight="1" x14ac:dyDescent="0.25">
      <c r="T37012" s="135"/>
      <c r="U37012" s="135"/>
    </row>
    <row r="37013" spans="20:21" ht="15" customHeight="1" x14ac:dyDescent="0.25">
      <c r="T37013" s="135"/>
      <c r="U37013" s="135"/>
    </row>
    <row r="37014" spans="20:21" ht="15" customHeight="1" x14ac:dyDescent="0.25">
      <c r="T37014" s="135"/>
      <c r="U37014" s="135"/>
    </row>
    <row r="37015" spans="20:21" ht="15" customHeight="1" x14ac:dyDescent="0.25">
      <c r="T37015" s="135"/>
      <c r="U37015" s="135"/>
    </row>
    <row r="37016" spans="20:21" ht="15" customHeight="1" x14ac:dyDescent="0.25">
      <c r="T37016" s="135"/>
      <c r="U37016" s="135"/>
    </row>
    <row r="37017" spans="20:21" ht="15" customHeight="1" x14ac:dyDescent="0.25">
      <c r="T37017" s="135"/>
      <c r="U37017" s="135"/>
    </row>
    <row r="37018" spans="20:21" ht="15" customHeight="1" x14ac:dyDescent="0.25">
      <c r="T37018" s="135"/>
      <c r="U37018" s="135"/>
    </row>
    <row r="37019" spans="20:21" ht="15" customHeight="1" x14ac:dyDescent="0.25">
      <c r="T37019" s="135"/>
      <c r="U37019" s="135"/>
    </row>
    <row r="37020" spans="20:21" ht="15" customHeight="1" x14ac:dyDescent="0.25">
      <c r="T37020" s="135"/>
      <c r="U37020" s="135"/>
    </row>
    <row r="37021" spans="20:21" ht="15" customHeight="1" x14ac:dyDescent="0.25">
      <c r="T37021" s="135"/>
      <c r="U37021" s="135"/>
    </row>
    <row r="37022" spans="20:21" ht="15" customHeight="1" x14ac:dyDescent="0.25">
      <c r="T37022" s="135"/>
      <c r="U37022" s="135"/>
    </row>
    <row r="37023" spans="20:21" ht="15" customHeight="1" x14ac:dyDescent="0.25">
      <c r="T37023" s="135"/>
      <c r="U37023" s="135"/>
    </row>
    <row r="37024" spans="20:21" ht="15" customHeight="1" x14ac:dyDescent="0.25">
      <c r="T37024" s="135"/>
      <c r="U37024" s="135"/>
    </row>
    <row r="37025" spans="20:21" ht="15" customHeight="1" x14ac:dyDescent="0.25">
      <c r="T37025" s="135"/>
      <c r="U37025" s="135"/>
    </row>
    <row r="37026" spans="20:21" ht="15" customHeight="1" x14ac:dyDescent="0.25">
      <c r="T37026" s="135"/>
      <c r="U37026" s="135"/>
    </row>
    <row r="37027" spans="20:21" ht="15" customHeight="1" x14ac:dyDescent="0.25">
      <c r="T37027" s="135"/>
      <c r="U37027" s="135"/>
    </row>
    <row r="37028" spans="20:21" ht="15" customHeight="1" x14ac:dyDescent="0.25">
      <c r="T37028" s="135"/>
      <c r="U37028" s="135"/>
    </row>
    <row r="37029" spans="20:21" ht="15" customHeight="1" x14ac:dyDescent="0.25">
      <c r="T37029" s="135"/>
      <c r="U37029" s="135"/>
    </row>
    <row r="37030" spans="20:21" ht="15" customHeight="1" x14ac:dyDescent="0.25">
      <c r="T37030" s="135"/>
      <c r="U37030" s="135"/>
    </row>
    <row r="37031" spans="20:21" ht="15" customHeight="1" x14ac:dyDescent="0.25">
      <c r="T37031" s="135"/>
      <c r="U37031" s="135"/>
    </row>
    <row r="37032" spans="20:21" ht="15" customHeight="1" x14ac:dyDescent="0.25">
      <c r="T37032" s="135"/>
      <c r="U37032" s="135"/>
    </row>
    <row r="37033" spans="20:21" ht="15" customHeight="1" x14ac:dyDescent="0.25">
      <c r="T37033" s="135"/>
      <c r="U37033" s="135"/>
    </row>
    <row r="37034" spans="20:21" ht="15" customHeight="1" x14ac:dyDescent="0.25">
      <c r="T37034" s="135"/>
      <c r="U37034" s="135"/>
    </row>
    <row r="37035" spans="20:21" ht="15" customHeight="1" x14ac:dyDescent="0.25">
      <c r="T37035" s="135"/>
      <c r="U37035" s="135"/>
    </row>
    <row r="37036" spans="20:21" ht="15" customHeight="1" x14ac:dyDescent="0.25">
      <c r="T37036" s="135"/>
      <c r="U37036" s="135"/>
    </row>
    <row r="37037" spans="20:21" ht="15" customHeight="1" x14ac:dyDescent="0.25">
      <c r="T37037" s="135"/>
      <c r="U37037" s="135"/>
    </row>
    <row r="37038" spans="20:21" ht="15" customHeight="1" x14ac:dyDescent="0.25">
      <c r="T37038" s="135"/>
      <c r="U37038" s="135"/>
    </row>
    <row r="37039" spans="20:21" ht="15" customHeight="1" x14ac:dyDescent="0.25">
      <c r="T37039" s="135"/>
      <c r="U37039" s="135"/>
    </row>
    <row r="37040" spans="20:21" ht="15" customHeight="1" x14ac:dyDescent="0.25">
      <c r="T37040" s="135"/>
      <c r="U37040" s="135"/>
    </row>
    <row r="37041" spans="20:21" ht="15" customHeight="1" x14ac:dyDescent="0.25">
      <c r="T37041" s="135"/>
      <c r="U37041" s="135"/>
    </row>
    <row r="37042" spans="20:21" ht="15" customHeight="1" x14ac:dyDescent="0.25">
      <c r="T37042" s="135"/>
      <c r="U37042" s="135"/>
    </row>
    <row r="37043" spans="20:21" ht="15" customHeight="1" x14ac:dyDescent="0.25">
      <c r="T37043" s="135"/>
      <c r="U37043" s="135"/>
    </row>
    <row r="37044" spans="20:21" ht="15" customHeight="1" x14ac:dyDescent="0.25">
      <c r="T37044" s="135"/>
      <c r="U37044" s="135"/>
    </row>
    <row r="37045" spans="20:21" ht="15" customHeight="1" x14ac:dyDescent="0.25">
      <c r="T37045" s="135"/>
      <c r="U37045" s="135"/>
    </row>
    <row r="37046" spans="20:21" ht="15" customHeight="1" x14ac:dyDescent="0.25">
      <c r="T37046" s="135"/>
      <c r="U37046" s="135"/>
    </row>
    <row r="37047" spans="20:21" ht="15" customHeight="1" x14ac:dyDescent="0.25">
      <c r="T37047" s="135"/>
      <c r="U37047" s="135"/>
    </row>
    <row r="37048" spans="20:21" ht="15" customHeight="1" x14ac:dyDescent="0.25">
      <c r="T37048" s="135"/>
      <c r="U37048" s="135"/>
    </row>
    <row r="37049" spans="20:21" ht="15" customHeight="1" x14ac:dyDescent="0.25">
      <c r="T37049" s="135"/>
      <c r="U37049" s="135"/>
    </row>
    <row r="37050" spans="20:21" ht="15" customHeight="1" x14ac:dyDescent="0.25">
      <c r="T37050" s="135"/>
      <c r="U37050" s="135"/>
    </row>
    <row r="37051" spans="20:21" ht="15" customHeight="1" x14ac:dyDescent="0.25">
      <c r="T37051" s="135"/>
      <c r="U37051" s="135"/>
    </row>
    <row r="37052" spans="20:21" ht="15" customHeight="1" x14ac:dyDescent="0.25">
      <c r="T37052" s="135"/>
      <c r="U37052" s="135"/>
    </row>
    <row r="37053" spans="20:21" ht="15" customHeight="1" x14ac:dyDescent="0.25">
      <c r="T37053" s="135"/>
      <c r="U37053" s="135"/>
    </row>
    <row r="37054" spans="20:21" ht="15" customHeight="1" x14ac:dyDescent="0.25">
      <c r="T37054" s="135"/>
      <c r="U37054" s="135"/>
    </row>
    <row r="37055" spans="20:21" ht="15" customHeight="1" x14ac:dyDescent="0.25">
      <c r="T37055" s="135"/>
      <c r="U37055" s="135"/>
    </row>
    <row r="37056" spans="20:21" ht="15" customHeight="1" x14ac:dyDescent="0.25">
      <c r="T37056" s="135"/>
      <c r="U37056" s="135"/>
    </row>
    <row r="37057" spans="20:21" ht="15" customHeight="1" x14ac:dyDescent="0.25">
      <c r="T37057" s="135"/>
      <c r="U37057" s="135"/>
    </row>
    <row r="37058" spans="20:21" ht="15" customHeight="1" x14ac:dyDescent="0.25">
      <c r="T37058" s="135"/>
      <c r="U37058" s="135"/>
    </row>
    <row r="37059" spans="20:21" ht="15" customHeight="1" x14ac:dyDescent="0.25">
      <c r="T37059" s="135"/>
      <c r="U37059" s="135"/>
    </row>
    <row r="37060" spans="20:21" ht="15" customHeight="1" x14ac:dyDescent="0.25">
      <c r="T37060" s="135"/>
      <c r="U37060" s="135"/>
    </row>
    <row r="37061" spans="20:21" ht="15" customHeight="1" x14ac:dyDescent="0.25">
      <c r="T37061" s="135"/>
      <c r="U37061" s="135"/>
    </row>
    <row r="37062" spans="20:21" ht="15" customHeight="1" x14ac:dyDescent="0.25">
      <c r="T37062" s="135"/>
      <c r="U37062" s="135"/>
    </row>
    <row r="37063" spans="20:21" ht="15" customHeight="1" x14ac:dyDescent="0.25">
      <c r="T37063" s="135"/>
      <c r="U37063" s="135"/>
    </row>
    <row r="37064" spans="20:21" ht="15" customHeight="1" x14ac:dyDescent="0.25">
      <c r="T37064" s="135"/>
      <c r="U37064" s="135"/>
    </row>
    <row r="37065" spans="20:21" ht="15" customHeight="1" x14ac:dyDescent="0.25">
      <c r="T37065" s="135"/>
      <c r="U37065" s="135"/>
    </row>
    <row r="37066" spans="20:21" ht="15" customHeight="1" x14ac:dyDescent="0.25">
      <c r="T37066" s="135"/>
      <c r="U37066" s="135"/>
    </row>
    <row r="37067" spans="20:21" ht="15" customHeight="1" x14ac:dyDescent="0.25">
      <c r="T37067" s="135"/>
      <c r="U37067" s="135"/>
    </row>
    <row r="37068" spans="20:21" ht="15" customHeight="1" x14ac:dyDescent="0.25">
      <c r="T37068" s="135"/>
      <c r="U37068" s="135"/>
    </row>
    <row r="37069" spans="20:21" ht="15" customHeight="1" x14ac:dyDescent="0.25">
      <c r="T37069" s="135"/>
      <c r="U37069" s="135"/>
    </row>
    <row r="37070" spans="20:21" ht="15" customHeight="1" x14ac:dyDescent="0.25">
      <c r="T37070" s="135"/>
      <c r="U37070" s="135"/>
    </row>
    <row r="37071" spans="20:21" ht="15" customHeight="1" x14ac:dyDescent="0.25">
      <c r="T37071" s="135"/>
      <c r="U37071" s="135"/>
    </row>
    <row r="37072" spans="20:21" ht="15" customHeight="1" x14ac:dyDescent="0.25">
      <c r="T37072" s="135"/>
      <c r="U37072" s="135"/>
    </row>
    <row r="37073" spans="20:21" ht="15" customHeight="1" x14ac:dyDescent="0.25">
      <c r="T37073" s="135"/>
      <c r="U37073" s="135"/>
    </row>
    <row r="37074" spans="20:21" ht="15" customHeight="1" x14ac:dyDescent="0.25">
      <c r="T37074" s="135"/>
      <c r="U37074" s="135"/>
    </row>
    <row r="37075" spans="20:21" ht="15" customHeight="1" x14ac:dyDescent="0.25">
      <c r="T37075" s="135"/>
      <c r="U37075" s="135"/>
    </row>
    <row r="37076" spans="20:21" ht="15" customHeight="1" x14ac:dyDescent="0.25">
      <c r="T37076" s="135"/>
      <c r="U37076" s="135"/>
    </row>
    <row r="37077" spans="20:21" ht="15" customHeight="1" x14ac:dyDescent="0.25">
      <c r="T37077" s="135"/>
      <c r="U37077" s="135"/>
    </row>
    <row r="37078" spans="20:21" ht="15" customHeight="1" x14ac:dyDescent="0.25">
      <c r="T37078" s="135"/>
      <c r="U37078" s="135"/>
    </row>
    <row r="37079" spans="20:21" ht="15" customHeight="1" x14ac:dyDescent="0.25">
      <c r="T37079" s="135"/>
      <c r="U37079" s="135"/>
    </row>
    <row r="37080" spans="20:21" ht="15" customHeight="1" x14ac:dyDescent="0.25">
      <c r="T37080" s="135"/>
      <c r="U37080" s="135"/>
    </row>
    <row r="37081" spans="20:21" ht="15" customHeight="1" x14ac:dyDescent="0.25">
      <c r="T37081" s="135"/>
      <c r="U37081" s="135"/>
    </row>
    <row r="37082" spans="20:21" ht="15" customHeight="1" x14ac:dyDescent="0.25">
      <c r="T37082" s="135"/>
      <c r="U37082" s="135"/>
    </row>
    <row r="37083" spans="20:21" ht="15" customHeight="1" x14ac:dyDescent="0.25">
      <c r="T37083" s="135"/>
      <c r="U37083" s="135"/>
    </row>
    <row r="37084" spans="20:21" ht="15" customHeight="1" x14ac:dyDescent="0.25">
      <c r="T37084" s="135"/>
      <c r="U37084" s="135"/>
    </row>
    <row r="37085" spans="20:21" ht="15" customHeight="1" x14ac:dyDescent="0.25">
      <c r="T37085" s="135"/>
      <c r="U37085" s="135"/>
    </row>
    <row r="37086" spans="20:21" ht="15" customHeight="1" x14ac:dyDescent="0.25">
      <c r="T37086" s="135"/>
      <c r="U37086" s="135"/>
    </row>
    <row r="37087" spans="20:21" ht="15" customHeight="1" x14ac:dyDescent="0.25">
      <c r="T37087" s="135"/>
      <c r="U37087" s="135"/>
    </row>
    <row r="37088" spans="20:21" ht="15" customHeight="1" x14ac:dyDescent="0.25">
      <c r="T37088" s="135"/>
      <c r="U37088" s="135"/>
    </row>
    <row r="37089" spans="20:21" ht="15" customHeight="1" x14ac:dyDescent="0.25">
      <c r="T37089" s="135"/>
      <c r="U37089" s="135"/>
    </row>
    <row r="37090" spans="20:21" ht="15" customHeight="1" x14ac:dyDescent="0.25">
      <c r="T37090" s="135"/>
      <c r="U37090" s="135"/>
    </row>
    <row r="37091" spans="20:21" ht="15" customHeight="1" x14ac:dyDescent="0.25">
      <c r="T37091" s="135"/>
      <c r="U37091" s="135"/>
    </row>
    <row r="37092" spans="20:21" ht="15" customHeight="1" x14ac:dyDescent="0.25">
      <c r="T37092" s="135"/>
      <c r="U37092" s="135"/>
    </row>
    <row r="37093" spans="20:21" ht="15" customHeight="1" x14ac:dyDescent="0.25">
      <c r="T37093" s="135"/>
      <c r="U37093" s="135"/>
    </row>
    <row r="37094" spans="20:21" ht="15" customHeight="1" x14ac:dyDescent="0.25">
      <c r="T37094" s="135"/>
      <c r="U37094" s="135"/>
    </row>
    <row r="37095" spans="20:21" ht="15" customHeight="1" x14ac:dyDescent="0.25">
      <c r="T37095" s="135"/>
      <c r="U37095" s="135"/>
    </row>
    <row r="37096" spans="20:21" ht="15" customHeight="1" x14ac:dyDescent="0.25">
      <c r="T37096" s="135"/>
      <c r="U37096" s="135"/>
    </row>
    <row r="37097" spans="20:21" ht="15" customHeight="1" x14ac:dyDescent="0.25">
      <c r="T37097" s="135"/>
      <c r="U37097" s="135"/>
    </row>
    <row r="37098" spans="20:21" ht="15" customHeight="1" x14ac:dyDescent="0.25">
      <c r="T37098" s="135"/>
      <c r="U37098" s="135"/>
    </row>
    <row r="37099" spans="20:21" ht="15" customHeight="1" x14ac:dyDescent="0.25">
      <c r="T37099" s="135"/>
      <c r="U37099" s="135"/>
    </row>
    <row r="37100" spans="20:21" ht="15" customHeight="1" x14ac:dyDescent="0.25">
      <c r="T37100" s="135"/>
      <c r="U37100" s="135"/>
    </row>
    <row r="37101" spans="20:21" ht="15" customHeight="1" x14ac:dyDescent="0.25">
      <c r="T37101" s="135"/>
      <c r="U37101" s="135"/>
    </row>
    <row r="37102" spans="20:21" ht="15" customHeight="1" x14ac:dyDescent="0.25">
      <c r="T37102" s="135"/>
      <c r="U37102" s="135"/>
    </row>
    <row r="37103" spans="20:21" ht="15" customHeight="1" x14ac:dyDescent="0.25">
      <c r="T37103" s="135"/>
      <c r="U37103" s="135"/>
    </row>
    <row r="37104" spans="20:21" ht="15" customHeight="1" x14ac:dyDescent="0.25">
      <c r="T37104" s="135"/>
      <c r="U37104" s="135"/>
    </row>
    <row r="37105" spans="20:21" ht="15" customHeight="1" x14ac:dyDescent="0.25">
      <c r="T37105" s="135"/>
      <c r="U37105" s="135"/>
    </row>
    <row r="37106" spans="20:21" ht="15" customHeight="1" x14ac:dyDescent="0.25">
      <c r="T37106" s="135"/>
      <c r="U37106" s="135"/>
    </row>
    <row r="37107" spans="20:21" ht="15" customHeight="1" x14ac:dyDescent="0.25">
      <c r="T37107" s="135"/>
      <c r="U37107" s="135"/>
    </row>
    <row r="37108" spans="20:21" ht="15" customHeight="1" x14ac:dyDescent="0.25">
      <c r="T37108" s="135"/>
      <c r="U37108" s="135"/>
    </row>
    <row r="37109" spans="20:21" ht="15" customHeight="1" x14ac:dyDescent="0.25">
      <c r="T37109" s="135"/>
      <c r="U37109" s="135"/>
    </row>
    <row r="37110" spans="20:21" ht="15" customHeight="1" x14ac:dyDescent="0.25">
      <c r="T37110" s="135"/>
      <c r="U37110" s="135"/>
    </row>
    <row r="37111" spans="20:21" ht="15" customHeight="1" x14ac:dyDescent="0.25">
      <c r="T37111" s="135"/>
      <c r="U37111" s="135"/>
    </row>
    <row r="37112" spans="20:21" ht="15" customHeight="1" x14ac:dyDescent="0.25">
      <c r="T37112" s="135"/>
      <c r="U37112" s="135"/>
    </row>
    <row r="37113" spans="20:21" ht="15" customHeight="1" x14ac:dyDescent="0.25">
      <c r="T37113" s="135"/>
      <c r="U37113" s="135"/>
    </row>
    <row r="37114" spans="20:21" ht="15" customHeight="1" x14ac:dyDescent="0.25">
      <c r="T37114" s="135"/>
      <c r="U37114" s="135"/>
    </row>
    <row r="37115" spans="20:21" ht="15" customHeight="1" x14ac:dyDescent="0.25">
      <c r="T37115" s="135"/>
      <c r="U37115" s="135"/>
    </row>
    <row r="37116" spans="20:21" ht="15" customHeight="1" x14ac:dyDescent="0.25">
      <c r="T37116" s="135"/>
      <c r="U37116" s="135"/>
    </row>
    <row r="37117" spans="20:21" ht="15" customHeight="1" x14ac:dyDescent="0.25">
      <c r="T37117" s="135"/>
      <c r="U37117" s="135"/>
    </row>
    <row r="37118" spans="20:21" ht="15" customHeight="1" x14ac:dyDescent="0.25">
      <c r="T37118" s="135"/>
      <c r="U37118" s="135"/>
    </row>
    <row r="37119" spans="20:21" ht="15" customHeight="1" x14ac:dyDescent="0.25">
      <c r="T37119" s="135"/>
      <c r="U37119" s="135"/>
    </row>
    <row r="37120" spans="20:21" ht="15" customHeight="1" x14ac:dyDescent="0.25">
      <c r="T37120" s="135"/>
      <c r="U37120" s="135"/>
    </row>
    <row r="37121" spans="20:21" ht="15" customHeight="1" x14ac:dyDescent="0.25">
      <c r="T37121" s="135"/>
      <c r="U37121" s="135"/>
    </row>
    <row r="37122" spans="20:21" ht="15" customHeight="1" x14ac:dyDescent="0.25">
      <c r="T37122" s="135"/>
      <c r="U37122" s="135"/>
    </row>
    <row r="37123" spans="20:21" ht="15" customHeight="1" x14ac:dyDescent="0.25">
      <c r="T37123" s="135"/>
      <c r="U37123" s="135"/>
    </row>
    <row r="37124" spans="20:21" ht="15" customHeight="1" x14ac:dyDescent="0.25">
      <c r="T37124" s="135"/>
      <c r="U37124" s="135"/>
    </row>
    <row r="37125" spans="20:21" ht="15" customHeight="1" x14ac:dyDescent="0.25">
      <c r="T37125" s="135"/>
      <c r="U37125" s="135"/>
    </row>
    <row r="37126" spans="20:21" ht="15" customHeight="1" x14ac:dyDescent="0.25">
      <c r="T37126" s="135"/>
      <c r="U37126" s="135"/>
    </row>
    <row r="37127" spans="20:21" ht="15" customHeight="1" x14ac:dyDescent="0.25">
      <c r="T37127" s="135"/>
      <c r="U37127" s="135"/>
    </row>
    <row r="37128" spans="20:21" ht="15" customHeight="1" x14ac:dyDescent="0.25">
      <c r="T37128" s="135"/>
      <c r="U37128" s="135"/>
    </row>
    <row r="37129" spans="20:21" ht="15" customHeight="1" x14ac:dyDescent="0.25">
      <c r="T37129" s="135"/>
      <c r="U37129" s="135"/>
    </row>
    <row r="37130" spans="20:21" ht="15" customHeight="1" x14ac:dyDescent="0.25">
      <c r="T37130" s="135"/>
      <c r="U37130" s="135"/>
    </row>
    <row r="37131" spans="20:21" ht="15" customHeight="1" x14ac:dyDescent="0.25">
      <c r="T37131" s="135"/>
      <c r="U37131" s="135"/>
    </row>
    <row r="37132" spans="20:21" ht="15" customHeight="1" x14ac:dyDescent="0.25">
      <c r="T37132" s="135"/>
      <c r="U37132" s="135"/>
    </row>
    <row r="37133" spans="20:21" ht="15" customHeight="1" x14ac:dyDescent="0.25">
      <c r="T37133" s="135"/>
      <c r="U37133" s="135"/>
    </row>
    <row r="37134" spans="20:21" ht="15" customHeight="1" x14ac:dyDescent="0.25">
      <c r="T37134" s="135"/>
      <c r="U37134" s="135"/>
    </row>
    <row r="37135" spans="20:21" ht="15" customHeight="1" x14ac:dyDescent="0.25">
      <c r="T37135" s="135"/>
      <c r="U37135" s="135"/>
    </row>
    <row r="37136" spans="20:21" ht="15" customHeight="1" x14ac:dyDescent="0.25">
      <c r="T37136" s="135"/>
      <c r="U37136" s="135"/>
    </row>
    <row r="37137" spans="20:21" ht="15" customHeight="1" x14ac:dyDescent="0.25">
      <c r="T37137" s="135"/>
      <c r="U37137" s="135"/>
    </row>
    <row r="37138" spans="20:21" ht="15" customHeight="1" x14ac:dyDescent="0.25">
      <c r="T37138" s="135"/>
      <c r="U37138" s="135"/>
    </row>
    <row r="37139" spans="20:21" ht="15" customHeight="1" x14ac:dyDescent="0.25">
      <c r="T37139" s="135"/>
      <c r="U37139" s="135"/>
    </row>
    <row r="37140" spans="20:21" ht="15" customHeight="1" x14ac:dyDescent="0.25">
      <c r="T37140" s="135"/>
      <c r="U37140" s="135"/>
    </row>
    <row r="37141" spans="20:21" ht="15" customHeight="1" x14ac:dyDescent="0.25">
      <c r="T37141" s="135"/>
      <c r="U37141" s="135"/>
    </row>
    <row r="37142" spans="20:21" ht="15" customHeight="1" x14ac:dyDescent="0.25">
      <c r="T37142" s="135"/>
      <c r="U37142" s="135"/>
    </row>
    <row r="37143" spans="20:21" ht="15" customHeight="1" x14ac:dyDescent="0.25">
      <c r="T37143" s="135"/>
      <c r="U37143" s="135"/>
    </row>
    <row r="37144" spans="20:21" ht="15" customHeight="1" x14ac:dyDescent="0.25">
      <c r="T37144" s="135"/>
      <c r="U37144" s="135"/>
    </row>
    <row r="37145" spans="20:21" ht="15" customHeight="1" x14ac:dyDescent="0.25">
      <c r="T37145" s="135"/>
      <c r="U37145" s="135"/>
    </row>
    <row r="37146" spans="20:21" ht="15" customHeight="1" x14ac:dyDescent="0.25">
      <c r="T37146" s="135"/>
      <c r="U37146" s="135"/>
    </row>
    <row r="37147" spans="20:21" ht="15" customHeight="1" x14ac:dyDescent="0.25">
      <c r="T37147" s="135"/>
      <c r="U37147" s="135"/>
    </row>
    <row r="37148" spans="20:21" ht="15" customHeight="1" x14ac:dyDescent="0.25">
      <c r="T37148" s="135"/>
      <c r="U37148" s="135"/>
    </row>
    <row r="37149" spans="20:21" ht="15" customHeight="1" x14ac:dyDescent="0.25">
      <c r="T37149" s="135"/>
      <c r="U37149" s="135"/>
    </row>
    <row r="37150" spans="20:21" ht="15" customHeight="1" x14ac:dyDescent="0.25">
      <c r="T37150" s="135"/>
      <c r="U37150" s="135"/>
    </row>
    <row r="37151" spans="20:21" ht="15" customHeight="1" x14ac:dyDescent="0.25">
      <c r="T37151" s="135"/>
      <c r="U37151" s="135"/>
    </row>
    <row r="37152" spans="20:21" ht="15" customHeight="1" x14ac:dyDescent="0.25">
      <c r="T37152" s="135"/>
      <c r="U37152" s="135"/>
    </row>
    <row r="37153" spans="20:21" ht="15" customHeight="1" x14ac:dyDescent="0.25">
      <c r="T37153" s="135"/>
      <c r="U37153" s="135"/>
    </row>
    <row r="37154" spans="20:21" ht="15" customHeight="1" x14ac:dyDescent="0.25">
      <c r="T37154" s="135"/>
      <c r="U37154" s="135"/>
    </row>
    <row r="37155" spans="20:21" ht="15" customHeight="1" x14ac:dyDescent="0.25">
      <c r="T37155" s="135"/>
      <c r="U37155" s="135"/>
    </row>
    <row r="37156" spans="20:21" ht="15" customHeight="1" x14ac:dyDescent="0.25">
      <c r="T37156" s="135"/>
      <c r="U37156" s="135"/>
    </row>
    <row r="37157" spans="20:21" ht="15" customHeight="1" x14ac:dyDescent="0.25">
      <c r="T37157" s="135"/>
      <c r="U37157" s="135"/>
    </row>
    <row r="37158" spans="20:21" ht="15" customHeight="1" x14ac:dyDescent="0.25">
      <c r="T37158" s="135"/>
      <c r="U37158" s="135"/>
    </row>
    <row r="37159" spans="20:21" ht="15" customHeight="1" x14ac:dyDescent="0.25">
      <c r="T37159" s="135"/>
      <c r="U37159" s="135"/>
    </row>
    <row r="37160" spans="20:21" ht="15" customHeight="1" x14ac:dyDescent="0.25">
      <c r="T37160" s="135"/>
      <c r="U37160" s="135"/>
    </row>
    <row r="37161" spans="20:21" ht="15" customHeight="1" x14ac:dyDescent="0.25">
      <c r="T37161" s="135"/>
      <c r="U37161" s="135"/>
    </row>
    <row r="37162" spans="20:21" ht="15" customHeight="1" x14ac:dyDescent="0.25">
      <c r="T37162" s="135"/>
      <c r="U37162" s="135"/>
    </row>
    <row r="37163" spans="20:21" ht="15" customHeight="1" x14ac:dyDescent="0.25">
      <c r="T37163" s="135"/>
      <c r="U37163" s="135"/>
    </row>
    <row r="37164" spans="20:21" ht="15" customHeight="1" x14ac:dyDescent="0.25">
      <c r="T37164" s="135"/>
      <c r="U37164" s="135"/>
    </row>
    <row r="37165" spans="20:21" ht="15" customHeight="1" x14ac:dyDescent="0.25">
      <c r="T37165" s="135"/>
      <c r="U37165" s="135"/>
    </row>
    <row r="37166" spans="20:21" ht="15" customHeight="1" x14ac:dyDescent="0.25">
      <c r="T37166" s="135"/>
      <c r="U37166" s="135"/>
    </row>
    <row r="37167" spans="20:21" ht="15" customHeight="1" x14ac:dyDescent="0.25">
      <c r="T37167" s="135"/>
      <c r="U37167" s="135"/>
    </row>
    <row r="37168" spans="20:21" ht="15" customHeight="1" x14ac:dyDescent="0.25">
      <c r="T37168" s="135"/>
      <c r="U37168" s="135"/>
    </row>
    <row r="37169" spans="20:21" ht="15" customHeight="1" x14ac:dyDescent="0.25">
      <c r="T37169" s="135"/>
      <c r="U37169" s="135"/>
    </row>
    <row r="37170" spans="20:21" ht="15" customHeight="1" x14ac:dyDescent="0.25">
      <c r="T37170" s="135"/>
      <c r="U37170" s="135"/>
    </row>
    <row r="37171" spans="20:21" ht="15" customHeight="1" x14ac:dyDescent="0.25">
      <c r="T37171" s="135"/>
      <c r="U37171" s="135"/>
    </row>
    <row r="37172" spans="20:21" ht="15" customHeight="1" x14ac:dyDescent="0.25">
      <c r="T37172" s="135"/>
      <c r="U37172" s="135"/>
    </row>
    <row r="37173" spans="20:21" ht="15" customHeight="1" x14ac:dyDescent="0.25">
      <c r="T37173" s="135"/>
      <c r="U37173" s="135"/>
    </row>
    <row r="37174" spans="20:21" ht="15" customHeight="1" x14ac:dyDescent="0.25">
      <c r="T37174" s="135"/>
      <c r="U37174" s="135"/>
    </row>
    <row r="37175" spans="20:21" ht="15" customHeight="1" x14ac:dyDescent="0.25">
      <c r="T37175" s="135"/>
      <c r="U37175" s="135"/>
    </row>
    <row r="37176" spans="20:21" ht="15" customHeight="1" x14ac:dyDescent="0.25">
      <c r="T37176" s="135"/>
      <c r="U37176" s="135"/>
    </row>
    <row r="37177" spans="20:21" ht="15" customHeight="1" x14ac:dyDescent="0.25">
      <c r="T37177" s="135"/>
      <c r="U37177" s="135"/>
    </row>
    <row r="37178" spans="20:21" ht="15" customHeight="1" x14ac:dyDescent="0.25">
      <c r="T37178" s="135"/>
      <c r="U37178" s="135"/>
    </row>
    <row r="37179" spans="20:21" ht="15" customHeight="1" x14ac:dyDescent="0.25">
      <c r="T37179" s="135"/>
      <c r="U37179" s="135"/>
    </row>
    <row r="37180" spans="20:21" ht="15" customHeight="1" x14ac:dyDescent="0.25">
      <c r="T37180" s="135"/>
      <c r="U37180" s="135"/>
    </row>
    <row r="37181" spans="20:21" ht="15" customHeight="1" x14ac:dyDescent="0.25">
      <c r="T37181" s="135"/>
      <c r="U37181" s="135"/>
    </row>
    <row r="37182" spans="20:21" ht="15" customHeight="1" x14ac:dyDescent="0.25">
      <c r="T37182" s="135"/>
      <c r="U37182" s="135"/>
    </row>
    <row r="37183" spans="20:21" ht="15" customHeight="1" x14ac:dyDescent="0.25">
      <c r="T37183" s="135"/>
      <c r="U37183" s="135"/>
    </row>
    <row r="37184" spans="20:21" ht="15" customHeight="1" x14ac:dyDescent="0.25">
      <c r="T37184" s="135"/>
      <c r="U37184" s="135"/>
    </row>
    <row r="37185" spans="20:21" ht="15" customHeight="1" x14ac:dyDescent="0.25">
      <c r="T37185" s="135"/>
      <c r="U37185" s="135"/>
    </row>
    <row r="37186" spans="20:21" ht="15" customHeight="1" x14ac:dyDescent="0.25">
      <c r="T37186" s="135"/>
      <c r="U37186" s="135"/>
    </row>
    <row r="37187" spans="20:21" ht="15" customHeight="1" x14ac:dyDescent="0.25">
      <c r="T37187" s="135"/>
      <c r="U37187" s="135"/>
    </row>
    <row r="37188" spans="20:21" ht="15" customHeight="1" x14ac:dyDescent="0.25">
      <c r="T37188" s="135"/>
      <c r="U37188" s="135"/>
    </row>
    <row r="37189" spans="20:21" ht="15" customHeight="1" x14ac:dyDescent="0.25">
      <c r="T37189" s="135"/>
      <c r="U37189" s="135"/>
    </row>
    <row r="37190" spans="20:21" ht="15" customHeight="1" x14ac:dyDescent="0.25">
      <c r="T37190" s="135"/>
      <c r="U37190" s="135"/>
    </row>
    <row r="37191" spans="20:21" ht="15" customHeight="1" x14ac:dyDescent="0.25">
      <c r="T37191" s="135"/>
      <c r="U37191" s="135"/>
    </row>
    <row r="37192" spans="20:21" ht="15" customHeight="1" x14ac:dyDescent="0.25">
      <c r="T37192" s="135"/>
      <c r="U37192" s="135"/>
    </row>
    <row r="37193" spans="20:21" ht="15" customHeight="1" x14ac:dyDescent="0.25">
      <c r="T37193" s="135"/>
      <c r="U37193" s="135"/>
    </row>
    <row r="37194" spans="20:21" ht="15" customHeight="1" x14ac:dyDescent="0.25">
      <c r="T37194" s="135"/>
      <c r="U37194" s="135"/>
    </row>
    <row r="37195" spans="20:21" ht="15" customHeight="1" x14ac:dyDescent="0.25">
      <c r="T37195" s="135"/>
      <c r="U37195" s="135"/>
    </row>
    <row r="37196" spans="20:21" ht="15" customHeight="1" x14ac:dyDescent="0.25">
      <c r="T37196" s="135"/>
      <c r="U37196" s="135"/>
    </row>
    <row r="37197" spans="20:21" ht="15" customHeight="1" x14ac:dyDescent="0.25">
      <c r="T37197" s="135"/>
      <c r="U37197" s="135"/>
    </row>
    <row r="37198" spans="20:21" ht="15" customHeight="1" x14ac:dyDescent="0.25">
      <c r="T37198" s="135"/>
      <c r="U37198" s="135"/>
    </row>
    <row r="37199" spans="20:21" ht="15" customHeight="1" x14ac:dyDescent="0.25">
      <c r="T37199" s="135"/>
      <c r="U37199" s="135"/>
    </row>
    <row r="37200" spans="20:21" ht="15" customHeight="1" x14ac:dyDescent="0.25">
      <c r="T37200" s="135"/>
      <c r="U37200" s="135"/>
    </row>
    <row r="37201" spans="20:21" ht="15" customHeight="1" x14ac:dyDescent="0.25">
      <c r="T37201" s="135"/>
      <c r="U37201" s="135"/>
    </row>
    <row r="37202" spans="20:21" ht="15" customHeight="1" x14ac:dyDescent="0.25">
      <c r="T37202" s="135"/>
      <c r="U37202" s="135"/>
    </row>
    <row r="37203" spans="20:21" ht="15" customHeight="1" x14ac:dyDescent="0.25">
      <c r="T37203" s="135"/>
      <c r="U37203" s="135"/>
    </row>
    <row r="37204" spans="20:21" ht="15" customHeight="1" x14ac:dyDescent="0.25">
      <c r="T37204" s="135"/>
      <c r="U37204" s="135"/>
    </row>
    <row r="37205" spans="20:21" ht="15" customHeight="1" x14ac:dyDescent="0.25">
      <c r="T37205" s="135"/>
      <c r="U37205" s="135"/>
    </row>
    <row r="37206" spans="20:21" ht="15" customHeight="1" x14ac:dyDescent="0.25">
      <c r="T37206" s="135"/>
      <c r="U37206" s="135"/>
    </row>
    <row r="37207" spans="20:21" ht="15" customHeight="1" x14ac:dyDescent="0.25">
      <c r="T37207" s="135"/>
      <c r="U37207" s="135"/>
    </row>
    <row r="37208" spans="20:21" ht="15" customHeight="1" x14ac:dyDescent="0.25">
      <c r="T37208" s="135"/>
      <c r="U37208" s="135"/>
    </row>
    <row r="37209" spans="20:21" ht="15" customHeight="1" x14ac:dyDescent="0.25">
      <c r="T37209" s="135"/>
      <c r="U37209" s="135"/>
    </row>
    <row r="37210" spans="20:21" ht="15" customHeight="1" x14ac:dyDescent="0.25">
      <c r="T37210" s="135"/>
      <c r="U37210" s="135"/>
    </row>
    <row r="37211" spans="20:21" ht="15" customHeight="1" x14ac:dyDescent="0.25">
      <c r="T37211" s="135"/>
      <c r="U37211" s="135"/>
    </row>
    <row r="37212" spans="20:21" ht="15" customHeight="1" x14ac:dyDescent="0.25">
      <c r="T37212" s="135"/>
      <c r="U37212" s="135"/>
    </row>
    <row r="37213" spans="20:21" ht="15" customHeight="1" x14ac:dyDescent="0.25">
      <c r="T37213" s="135"/>
      <c r="U37213" s="135"/>
    </row>
    <row r="37214" spans="20:21" ht="15" customHeight="1" x14ac:dyDescent="0.25">
      <c r="T37214" s="135"/>
      <c r="U37214" s="135"/>
    </row>
    <row r="37215" spans="20:21" ht="15" customHeight="1" x14ac:dyDescent="0.25">
      <c r="T37215" s="135"/>
      <c r="U37215" s="135"/>
    </row>
    <row r="37216" spans="20:21" ht="15" customHeight="1" x14ac:dyDescent="0.25">
      <c r="T37216" s="135"/>
      <c r="U37216" s="135"/>
    </row>
    <row r="37217" spans="20:21" ht="15" customHeight="1" x14ac:dyDescent="0.25">
      <c r="T37217" s="135"/>
      <c r="U37217" s="135"/>
    </row>
    <row r="37218" spans="20:21" ht="15" customHeight="1" x14ac:dyDescent="0.25">
      <c r="T37218" s="135"/>
      <c r="U37218" s="135"/>
    </row>
    <row r="37219" spans="20:21" ht="15" customHeight="1" x14ac:dyDescent="0.25">
      <c r="T37219" s="135"/>
      <c r="U37219" s="135"/>
    </row>
    <row r="37220" spans="20:21" ht="15" customHeight="1" x14ac:dyDescent="0.25">
      <c r="T37220" s="135"/>
      <c r="U37220" s="135"/>
    </row>
    <row r="37221" spans="20:21" ht="15" customHeight="1" x14ac:dyDescent="0.25">
      <c r="T37221" s="135"/>
      <c r="U37221" s="135"/>
    </row>
    <row r="37222" spans="20:21" ht="15" customHeight="1" x14ac:dyDescent="0.25">
      <c r="T37222" s="135"/>
      <c r="U37222" s="135"/>
    </row>
    <row r="37223" spans="20:21" ht="15" customHeight="1" x14ac:dyDescent="0.25">
      <c r="T37223" s="135"/>
      <c r="U37223" s="135"/>
    </row>
    <row r="37224" spans="20:21" ht="15" customHeight="1" x14ac:dyDescent="0.25">
      <c r="T37224" s="135"/>
      <c r="U37224" s="135"/>
    </row>
    <row r="37225" spans="20:21" ht="15" customHeight="1" x14ac:dyDescent="0.25">
      <c r="T37225" s="135"/>
      <c r="U37225" s="135"/>
    </row>
    <row r="37226" spans="20:21" ht="15" customHeight="1" x14ac:dyDescent="0.25">
      <c r="T37226" s="135"/>
      <c r="U37226" s="135"/>
    </row>
    <row r="37227" spans="20:21" ht="15" customHeight="1" x14ac:dyDescent="0.25">
      <c r="T37227" s="135"/>
      <c r="U37227" s="135"/>
    </row>
    <row r="37228" spans="20:21" ht="15" customHeight="1" x14ac:dyDescent="0.25">
      <c r="T37228" s="135"/>
      <c r="U37228" s="135"/>
    </row>
    <row r="37229" spans="20:21" ht="15" customHeight="1" x14ac:dyDescent="0.25">
      <c r="T37229" s="135"/>
      <c r="U37229" s="135"/>
    </row>
    <row r="37230" spans="20:21" ht="15" customHeight="1" x14ac:dyDescent="0.25">
      <c r="T37230" s="135"/>
      <c r="U37230" s="135"/>
    </row>
    <row r="37231" spans="20:21" ht="15" customHeight="1" x14ac:dyDescent="0.25">
      <c r="T37231" s="135"/>
      <c r="U37231" s="135"/>
    </row>
    <row r="37232" spans="20:21" ht="15" customHeight="1" x14ac:dyDescent="0.25">
      <c r="T37232" s="135"/>
      <c r="U37232" s="135"/>
    </row>
    <row r="37233" spans="20:21" ht="15" customHeight="1" x14ac:dyDescent="0.25">
      <c r="T37233" s="135"/>
      <c r="U37233" s="135"/>
    </row>
    <row r="37234" spans="20:21" ht="15" customHeight="1" x14ac:dyDescent="0.25">
      <c r="T37234" s="135"/>
      <c r="U37234" s="135"/>
    </row>
    <row r="37235" spans="20:21" ht="15" customHeight="1" x14ac:dyDescent="0.25">
      <c r="T37235" s="135"/>
      <c r="U37235" s="135"/>
    </row>
    <row r="37236" spans="20:21" ht="15" customHeight="1" x14ac:dyDescent="0.25">
      <c r="T37236" s="135"/>
      <c r="U37236" s="135"/>
    </row>
    <row r="37237" spans="20:21" ht="15" customHeight="1" x14ac:dyDescent="0.25">
      <c r="T37237" s="135"/>
      <c r="U37237" s="135"/>
    </row>
    <row r="37238" spans="20:21" ht="15" customHeight="1" x14ac:dyDescent="0.25">
      <c r="T37238" s="135"/>
      <c r="U37238" s="135"/>
    </row>
    <row r="37239" spans="20:21" ht="15" customHeight="1" x14ac:dyDescent="0.25">
      <c r="T37239" s="135"/>
      <c r="U37239" s="135"/>
    </row>
    <row r="37240" spans="20:21" ht="15" customHeight="1" x14ac:dyDescent="0.25">
      <c r="T37240" s="135"/>
      <c r="U37240" s="135"/>
    </row>
    <row r="37241" spans="20:21" ht="15" customHeight="1" x14ac:dyDescent="0.25">
      <c r="T37241" s="135"/>
      <c r="U37241" s="135"/>
    </row>
    <row r="37242" spans="20:21" ht="15" customHeight="1" x14ac:dyDescent="0.25">
      <c r="T37242" s="135"/>
      <c r="U37242" s="135"/>
    </row>
    <row r="37243" spans="20:21" ht="15" customHeight="1" x14ac:dyDescent="0.25">
      <c r="T37243" s="135"/>
      <c r="U37243" s="135"/>
    </row>
    <row r="37244" spans="20:21" ht="15" customHeight="1" x14ac:dyDescent="0.25">
      <c r="T37244" s="135"/>
      <c r="U37244" s="135"/>
    </row>
    <row r="37245" spans="20:21" ht="15" customHeight="1" x14ac:dyDescent="0.25">
      <c r="T37245" s="135"/>
      <c r="U37245" s="135"/>
    </row>
    <row r="37246" spans="20:21" ht="15" customHeight="1" x14ac:dyDescent="0.25">
      <c r="T37246" s="135"/>
      <c r="U37246" s="135"/>
    </row>
    <row r="37247" spans="20:21" ht="15" customHeight="1" x14ac:dyDescent="0.25">
      <c r="T37247" s="135"/>
      <c r="U37247" s="135"/>
    </row>
    <row r="37248" spans="20:21" ht="15" customHeight="1" x14ac:dyDescent="0.25">
      <c r="T37248" s="135"/>
      <c r="U37248" s="135"/>
    </row>
    <row r="37249" spans="20:21" ht="15" customHeight="1" x14ac:dyDescent="0.25">
      <c r="T37249" s="135"/>
      <c r="U37249" s="135"/>
    </row>
    <row r="37250" spans="20:21" ht="15" customHeight="1" x14ac:dyDescent="0.25">
      <c r="T37250" s="135"/>
      <c r="U37250" s="135"/>
    </row>
    <row r="37251" spans="20:21" ht="15" customHeight="1" x14ac:dyDescent="0.25">
      <c r="T37251" s="135"/>
      <c r="U37251" s="135"/>
    </row>
    <row r="37252" spans="20:21" ht="15" customHeight="1" x14ac:dyDescent="0.25">
      <c r="T37252" s="135"/>
      <c r="U37252" s="135"/>
    </row>
    <row r="37253" spans="20:21" ht="15" customHeight="1" x14ac:dyDescent="0.25">
      <c r="T37253" s="135"/>
      <c r="U37253" s="135"/>
    </row>
    <row r="37254" spans="20:21" ht="15" customHeight="1" x14ac:dyDescent="0.25">
      <c r="T37254" s="135"/>
      <c r="U37254" s="135"/>
    </row>
    <row r="37255" spans="20:21" ht="15" customHeight="1" x14ac:dyDescent="0.25">
      <c r="T37255" s="135"/>
      <c r="U37255" s="135"/>
    </row>
    <row r="37256" spans="20:21" ht="15" customHeight="1" x14ac:dyDescent="0.25">
      <c r="T37256" s="135"/>
      <c r="U37256" s="135"/>
    </row>
    <row r="37257" spans="20:21" ht="15" customHeight="1" x14ac:dyDescent="0.25">
      <c r="T37257" s="135"/>
      <c r="U37257" s="135"/>
    </row>
    <row r="37258" spans="20:21" ht="15" customHeight="1" x14ac:dyDescent="0.25">
      <c r="T37258" s="135"/>
      <c r="U37258" s="135"/>
    </row>
    <row r="37259" spans="20:21" ht="15" customHeight="1" x14ac:dyDescent="0.25">
      <c r="T37259" s="135"/>
      <c r="U37259" s="135"/>
    </row>
    <row r="37260" spans="20:21" ht="15" customHeight="1" x14ac:dyDescent="0.25">
      <c r="T37260" s="135"/>
      <c r="U37260" s="135"/>
    </row>
    <row r="37261" spans="20:21" ht="15" customHeight="1" x14ac:dyDescent="0.25">
      <c r="T37261" s="135"/>
      <c r="U37261" s="135"/>
    </row>
    <row r="37262" spans="20:21" ht="15" customHeight="1" x14ac:dyDescent="0.25">
      <c r="T37262" s="135"/>
      <c r="U37262" s="135"/>
    </row>
    <row r="37263" spans="20:21" ht="15" customHeight="1" x14ac:dyDescent="0.25">
      <c r="T37263" s="135"/>
      <c r="U37263" s="135"/>
    </row>
    <row r="37264" spans="20:21" ht="15" customHeight="1" x14ac:dyDescent="0.25">
      <c r="T37264" s="135"/>
      <c r="U37264" s="135"/>
    </row>
    <row r="37265" spans="20:21" ht="15" customHeight="1" x14ac:dyDescent="0.25">
      <c r="T37265" s="135"/>
      <c r="U37265" s="135"/>
    </row>
    <row r="37266" spans="20:21" ht="15" customHeight="1" x14ac:dyDescent="0.25">
      <c r="T37266" s="135"/>
      <c r="U37266" s="135"/>
    </row>
    <row r="37267" spans="20:21" ht="15" customHeight="1" x14ac:dyDescent="0.25">
      <c r="T37267" s="135"/>
      <c r="U37267" s="135"/>
    </row>
    <row r="37268" spans="20:21" ht="15" customHeight="1" x14ac:dyDescent="0.25">
      <c r="T37268" s="135"/>
      <c r="U37268" s="135"/>
    </row>
    <row r="37269" spans="20:21" ht="15" customHeight="1" x14ac:dyDescent="0.25">
      <c r="T37269" s="135"/>
      <c r="U37269" s="135"/>
    </row>
    <row r="37270" spans="20:21" ht="15" customHeight="1" x14ac:dyDescent="0.25">
      <c r="T37270" s="135"/>
      <c r="U37270" s="135"/>
    </row>
    <row r="37271" spans="20:21" ht="15" customHeight="1" x14ac:dyDescent="0.25">
      <c r="T37271" s="135"/>
      <c r="U37271" s="135"/>
    </row>
    <row r="37272" spans="20:21" ht="15" customHeight="1" x14ac:dyDescent="0.25">
      <c r="T37272" s="135"/>
      <c r="U37272" s="135"/>
    </row>
    <row r="37273" spans="20:21" ht="15" customHeight="1" x14ac:dyDescent="0.25">
      <c r="T37273" s="135"/>
      <c r="U37273" s="135"/>
    </row>
    <row r="37274" spans="20:21" ht="15" customHeight="1" x14ac:dyDescent="0.25">
      <c r="T37274" s="135"/>
      <c r="U37274" s="135"/>
    </row>
    <row r="37275" spans="20:21" ht="15" customHeight="1" x14ac:dyDescent="0.25">
      <c r="T37275" s="135"/>
      <c r="U37275" s="135"/>
    </row>
    <row r="37276" spans="20:21" ht="15" customHeight="1" x14ac:dyDescent="0.25">
      <c r="T37276" s="135"/>
      <c r="U37276" s="135"/>
    </row>
    <row r="37277" spans="20:21" ht="15" customHeight="1" x14ac:dyDescent="0.25">
      <c r="T37277" s="135"/>
      <c r="U37277" s="135"/>
    </row>
    <row r="37278" spans="20:21" ht="15" customHeight="1" x14ac:dyDescent="0.25">
      <c r="T37278" s="135"/>
      <c r="U37278" s="135"/>
    </row>
    <row r="37279" spans="20:21" ht="15" customHeight="1" x14ac:dyDescent="0.25">
      <c r="T37279" s="135"/>
      <c r="U37279" s="135"/>
    </row>
    <row r="37280" spans="20:21" ht="15" customHeight="1" x14ac:dyDescent="0.25">
      <c r="T37280" s="135"/>
      <c r="U37280" s="135"/>
    </row>
    <row r="37281" spans="20:21" ht="15" customHeight="1" x14ac:dyDescent="0.25">
      <c r="T37281" s="135"/>
      <c r="U37281" s="135"/>
    </row>
    <row r="37282" spans="20:21" ht="15" customHeight="1" x14ac:dyDescent="0.25">
      <c r="T37282" s="135"/>
      <c r="U37282" s="135"/>
    </row>
    <row r="37283" spans="20:21" ht="15" customHeight="1" x14ac:dyDescent="0.25">
      <c r="T37283" s="135"/>
      <c r="U37283" s="135"/>
    </row>
    <row r="37284" spans="20:21" ht="15" customHeight="1" x14ac:dyDescent="0.25">
      <c r="T37284" s="135"/>
      <c r="U37284" s="135"/>
    </row>
    <row r="37285" spans="20:21" ht="15" customHeight="1" x14ac:dyDescent="0.25">
      <c r="T37285" s="135"/>
      <c r="U37285" s="135"/>
    </row>
    <row r="37286" spans="20:21" ht="15" customHeight="1" x14ac:dyDescent="0.25">
      <c r="T37286" s="135"/>
      <c r="U37286" s="135"/>
    </row>
    <row r="37287" spans="20:21" ht="15" customHeight="1" x14ac:dyDescent="0.25">
      <c r="T37287" s="135"/>
      <c r="U37287" s="135"/>
    </row>
    <row r="37288" spans="20:21" ht="15" customHeight="1" x14ac:dyDescent="0.25">
      <c r="T37288" s="135"/>
      <c r="U37288" s="135"/>
    </row>
    <row r="37289" spans="20:21" ht="15" customHeight="1" x14ac:dyDescent="0.25">
      <c r="T37289" s="135"/>
      <c r="U37289" s="135"/>
    </row>
    <row r="37290" spans="20:21" ht="15" customHeight="1" x14ac:dyDescent="0.25">
      <c r="T37290" s="135"/>
      <c r="U37290" s="135"/>
    </row>
    <row r="37291" spans="20:21" ht="15" customHeight="1" x14ac:dyDescent="0.25">
      <c r="T37291" s="135"/>
      <c r="U37291" s="135"/>
    </row>
    <row r="37292" spans="20:21" ht="15" customHeight="1" x14ac:dyDescent="0.25">
      <c r="T37292" s="135"/>
      <c r="U37292" s="135"/>
    </row>
    <row r="37293" spans="20:21" ht="15" customHeight="1" x14ac:dyDescent="0.25">
      <c r="T37293" s="135"/>
      <c r="U37293" s="135"/>
    </row>
    <row r="37294" spans="20:21" ht="15" customHeight="1" x14ac:dyDescent="0.25">
      <c r="T37294" s="135"/>
      <c r="U37294" s="135"/>
    </row>
    <row r="37295" spans="20:21" ht="15" customHeight="1" x14ac:dyDescent="0.25">
      <c r="T37295" s="135"/>
      <c r="U37295" s="135"/>
    </row>
    <row r="37296" spans="20:21" ht="15" customHeight="1" x14ac:dyDescent="0.25">
      <c r="T37296" s="135"/>
      <c r="U37296" s="135"/>
    </row>
    <row r="37297" spans="20:21" ht="15" customHeight="1" x14ac:dyDescent="0.25">
      <c r="T37297" s="135"/>
      <c r="U37297" s="135"/>
    </row>
    <row r="37298" spans="20:21" ht="15" customHeight="1" x14ac:dyDescent="0.25">
      <c r="T37298" s="135"/>
      <c r="U37298" s="135"/>
    </row>
    <row r="37299" spans="20:21" ht="15" customHeight="1" x14ac:dyDescent="0.25">
      <c r="T37299" s="135"/>
      <c r="U37299" s="135"/>
    </row>
    <row r="37300" spans="20:21" ht="15" customHeight="1" x14ac:dyDescent="0.25">
      <c r="T37300" s="135"/>
      <c r="U37300" s="135"/>
    </row>
    <row r="37301" spans="20:21" ht="15" customHeight="1" x14ac:dyDescent="0.25">
      <c r="T37301" s="135"/>
      <c r="U37301" s="135"/>
    </row>
    <row r="37302" spans="20:21" ht="15" customHeight="1" x14ac:dyDescent="0.25">
      <c r="T37302" s="135"/>
      <c r="U37302" s="135"/>
    </row>
    <row r="37303" spans="20:21" ht="15" customHeight="1" x14ac:dyDescent="0.25">
      <c r="T37303" s="135"/>
      <c r="U37303" s="135"/>
    </row>
    <row r="37304" spans="20:21" ht="15" customHeight="1" x14ac:dyDescent="0.25">
      <c r="T37304" s="135"/>
      <c r="U37304" s="135"/>
    </row>
    <row r="37305" spans="20:21" ht="15" customHeight="1" x14ac:dyDescent="0.25">
      <c r="T37305" s="135"/>
      <c r="U37305" s="135"/>
    </row>
    <row r="37306" spans="20:21" ht="15" customHeight="1" x14ac:dyDescent="0.25">
      <c r="T37306" s="135"/>
      <c r="U37306" s="135"/>
    </row>
    <row r="37307" spans="20:21" ht="15" customHeight="1" x14ac:dyDescent="0.25">
      <c r="T37307" s="135"/>
      <c r="U37307" s="135"/>
    </row>
    <row r="37308" spans="20:21" ht="15" customHeight="1" x14ac:dyDescent="0.25">
      <c r="T37308" s="135"/>
      <c r="U37308" s="135"/>
    </row>
    <row r="37309" spans="20:21" ht="15" customHeight="1" x14ac:dyDescent="0.25">
      <c r="T37309" s="135"/>
      <c r="U37309" s="135"/>
    </row>
    <row r="37310" spans="20:21" ht="15" customHeight="1" x14ac:dyDescent="0.25">
      <c r="T37310" s="135"/>
      <c r="U37310" s="135"/>
    </row>
    <row r="37311" spans="20:21" ht="15" customHeight="1" x14ac:dyDescent="0.25">
      <c r="T37311" s="135"/>
      <c r="U37311" s="135"/>
    </row>
    <row r="37312" spans="20:21" ht="15" customHeight="1" x14ac:dyDescent="0.25">
      <c r="T37312" s="135"/>
      <c r="U37312" s="135"/>
    </row>
    <row r="37313" spans="20:21" ht="15" customHeight="1" x14ac:dyDescent="0.25">
      <c r="T37313" s="135"/>
      <c r="U37313" s="135"/>
    </row>
    <row r="37314" spans="20:21" ht="15" customHeight="1" x14ac:dyDescent="0.25">
      <c r="T37314" s="135"/>
      <c r="U37314" s="135"/>
    </row>
    <row r="37315" spans="20:21" ht="15" customHeight="1" x14ac:dyDescent="0.25">
      <c r="T37315" s="135"/>
      <c r="U37315" s="135"/>
    </row>
    <row r="37316" spans="20:21" ht="15" customHeight="1" x14ac:dyDescent="0.25">
      <c r="T37316" s="135"/>
      <c r="U37316" s="135"/>
    </row>
    <row r="37317" spans="20:21" ht="15" customHeight="1" x14ac:dyDescent="0.25">
      <c r="T37317" s="135"/>
      <c r="U37317" s="135"/>
    </row>
    <row r="37318" spans="20:21" ht="15" customHeight="1" x14ac:dyDescent="0.25">
      <c r="T37318" s="135"/>
      <c r="U37318" s="135"/>
    </row>
    <row r="37319" spans="20:21" ht="15" customHeight="1" x14ac:dyDescent="0.25">
      <c r="T37319" s="135"/>
      <c r="U37319" s="135"/>
    </row>
    <row r="37320" spans="20:21" ht="15" customHeight="1" x14ac:dyDescent="0.25">
      <c r="T37320" s="135"/>
      <c r="U37320" s="135"/>
    </row>
    <row r="37321" spans="20:21" ht="15" customHeight="1" x14ac:dyDescent="0.25">
      <c r="T37321" s="135"/>
      <c r="U37321" s="135"/>
    </row>
    <row r="37322" spans="20:21" ht="15" customHeight="1" x14ac:dyDescent="0.25">
      <c r="T37322" s="135"/>
      <c r="U37322" s="135"/>
    </row>
    <row r="37323" spans="20:21" ht="15" customHeight="1" x14ac:dyDescent="0.25">
      <c r="T37323" s="135"/>
      <c r="U37323" s="135"/>
    </row>
    <row r="37324" spans="20:21" ht="15" customHeight="1" x14ac:dyDescent="0.25">
      <c r="T37324" s="135"/>
      <c r="U37324" s="135"/>
    </row>
    <row r="37325" spans="20:21" ht="15" customHeight="1" x14ac:dyDescent="0.25">
      <c r="T37325" s="135"/>
      <c r="U37325" s="135"/>
    </row>
    <row r="37326" spans="20:21" ht="15" customHeight="1" x14ac:dyDescent="0.25">
      <c r="T37326" s="135"/>
      <c r="U37326" s="135"/>
    </row>
    <row r="37327" spans="20:21" ht="15" customHeight="1" x14ac:dyDescent="0.25">
      <c r="T37327" s="135"/>
      <c r="U37327" s="135"/>
    </row>
    <row r="37328" spans="20:21" ht="15" customHeight="1" x14ac:dyDescent="0.25">
      <c r="T37328" s="135"/>
      <c r="U37328" s="135"/>
    </row>
    <row r="37329" spans="20:21" ht="15" customHeight="1" x14ac:dyDescent="0.25">
      <c r="T37329" s="135"/>
      <c r="U37329" s="135"/>
    </row>
    <row r="37330" spans="20:21" ht="15" customHeight="1" x14ac:dyDescent="0.25">
      <c r="T37330" s="135"/>
      <c r="U37330" s="135"/>
    </row>
    <row r="37331" spans="20:21" ht="15" customHeight="1" x14ac:dyDescent="0.25">
      <c r="T37331" s="135"/>
      <c r="U37331" s="135"/>
    </row>
    <row r="37332" spans="20:21" ht="15" customHeight="1" x14ac:dyDescent="0.25">
      <c r="T37332" s="135"/>
      <c r="U37332" s="135"/>
    </row>
    <row r="37333" spans="20:21" ht="15" customHeight="1" x14ac:dyDescent="0.25">
      <c r="T37333" s="135"/>
      <c r="U37333" s="135"/>
    </row>
    <row r="37334" spans="20:21" ht="15" customHeight="1" x14ac:dyDescent="0.25">
      <c r="T37334" s="135"/>
      <c r="U37334" s="135"/>
    </row>
    <row r="37335" spans="20:21" ht="15" customHeight="1" x14ac:dyDescent="0.25">
      <c r="T37335" s="135"/>
      <c r="U37335" s="135"/>
    </row>
    <row r="37336" spans="20:21" ht="15" customHeight="1" x14ac:dyDescent="0.25">
      <c r="T37336" s="135"/>
      <c r="U37336" s="135"/>
    </row>
    <row r="37337" spans="20:21" ht="15" customHeight="1" x14ac:dyDescent="0.25">
      <c r="T37337" s="135"/>
      <c r="U37337" s="135"/>
    </row>
    <row r="37338" spans="20:21" ht="15" customHeight="1" x14ac:dyDescent="0.25">
      <c r="T37338" s="135"/>
      <c r="U37338" s="135"/>
    </row>
    <row r="37339" spans="20:21" ht="15" customHeight="1" x14ac:dyDescent="0.25">
      <c r="T37339" s="135"/>
      <c r="U37339" s="135"/>
    </row>
    <row r="37340" spans="20:21" ht="15" customHeight="1" x14ac:dyDescent="0.25">
      <c r="T37340" s="135"/>
      <c r="U37340" s="135"/>
    </row>
    <row r="37341" spans="20:21" ht="15" customHeight="1" x14ac:dyDescent="0.25">
      <c r="T37341" s="135"/>
      <c r="U37341" s="135"/>
    </row>
    <row r="37342" spans="20:21" ht="15" customHeight="1" x14ac:dyDescent="0.25">
      <c r="T37342" s="135"/>
      <c r="U37342" s="135"/>
    </row>
    <row r="37343" spans="20:21" ht="15" customHeight="1" x14ac:dyDescent="0.25">
      <c r="T37343" s="135"/>
      <c r="U37343" s="135"/>
    </row>
    <row r="37344" spans="20:21" ht="15" customHeight="1" x14ac:dyDescent="0.25">
      <c r="T37344" s="135"/>
      <c r="U37344" s="135"/>
    </row>
    <row r="37345" spans="20:21" ht="15" customHeight="1" x14ac:dyDescent="0.25">
      <c r="T37345" s="135"/>
      <c r="U37345" s="135"/>
    </row>
    <row r="37346" spans="20:21" ht="15" customHeight="1" x14ac:dyDescent="0.25">
      <c r="T37346" s="135"/>
      <c r="U37346" s="135"/>
    </row>
    <row r="37347" spans="20:21" ht="15" customHeight="1" x14ac:dyDescent="0.25">
      <c r="T37347" s="135"/>
      <c r="U37347" s="135"/>
    </row>
    <row r="37348" spans="20:21" ht="15" customHeight="1" x14ac:dyDescent="0.25">
      <c r="T37348" s="135"/>
      <c r="U37348" s="135"/>
    </row>
    <row r="37349" spans="20:21" ht="15" customHeight="1" x14ac:dyDescent="0.25">
      <c r="T37349" s="135"/>
      <c r="U37349" s="135"/>
    </row>
    <row r="37350" spans="20:21" ht="15" customHeight="1" x14ac:dyDescent="0.25">
      <c r="T37350" s="135"/>
      <c r="U37350" s="135"/>
    </row>
    <row r="37351" spans="20:21" ht="15" customHeight="1" x14ac:dyDescent="0.25">
      <c r="T37351" s="135"/>
      <c r="U37351" s="135"/>
    </row>
    <row r="37352" spans="20:21" ht="15" customHeight="1" x14ac:dyDescent="0.25">
      <c r="T37352" s="135"/>
      <c r="U37352" s="135"/>
    </row>
    <row r="37353" spans="20:21" ht="15" customHeight="1" x14ac:dyDescent="0.25">
      <c r="T37353" s="135"/>
      <c r="U37353" s="135"/>
    </row>
    <row r="37354" spans="20:21" ht="15" customHeight="1" x14ac:dyDescent="0.25">
      <c r="T37354" s="135"/>
      <c r="U37354" s="135"/>
    </row>
    <row r="37355" spans="20:21" ht="15" customHeight="1" x14ac:dyDescent="0.25">
      <c r="T37355" s="135"/>
      <c r="U37355" s="135"/>
    </row>
    <row r="37356" spans="20:21" ht="15" customHeight="1" x14ac:dyDescent="0.25">
      <c r="T37356" s="135"/>
      <c r="U37356" s="135"/>
    </row>
    <row r="37357" spans="20:21" ht="15" customHeight="1" x14ac:dyDescent="0.25">
      <c r="T37357" s="135"/>
      <c r="U37357" s="135"/>
    </row>
    <row r="37358" spans="20:21" ht="15" customHeight="1" x14ac:dyDescent="0.25">
      <c r="T37358" s="135"/>
      <c r="U37358" s="135"/>
    </row>
    <row r="37359" spans="20:21" ht="15" customHeight="1" x14ac:dyDescent="0.25">
      <c r="T37359" s="135"/>
      <c r="U37359" s="135"/>
    </row>
    <row r="37360" spans="20:21" ht="15" customHeight="1" x14ac:dyDescent="0.25">
      <c r="T37360" s="135"/>
      <c r="U37360" s="135"/>
    </row>
    <row r="37361" spans="20:21" ht="15" customHeight="1" x14ac:dyDescent="0.25">
      <c r="T37361" s="135"/>
      <c r="U37361" s="135"/>
    </row>
    <row r="37362" spans="20:21" ht="15" customHeight="1" x14ac:dyDescent="0.25">
      <c r="T37362" s="135"/>
      <c r="U37362" s="135"/>
    </row>
    <row r="37363" spans="20:21" ht="15" customHeight="1" x14ac:dyDescent="0.25">
      <c r="T37363" s="135"/>
      <c r="U37363" s="135"/>
    </row>
    <row r="37364" spans="20:21" ht="15" customHeight="1" x14ac:dyDescent="0.25">
      <c r="T37364" s="135"/>
      <c r="U37364" s="135"/>
    </row>
    <row r="37365" spans="20:21" ht="15" customHeight="1" x14ac:dyDescent="0.25">
      <c r="T37365" s="135"/>
      <c r="U37365" s="135"/>
    </row>
    <row r="37366" spans="20:21" ht="15" customHeight="1" x14ac:dyDescent="0.25">
      <c r="T37366" s="135"/>
      <c r="U37366" s="135"/>
    </row>
    <row r="37367" spans="20:21" ht="15" customHeight="1" x14ac:dyDescent="0.25">
      <c r="T37367" s="135"/>
      <c r="U37367" s="135"/>
    </row>
    <row r="37368" spans="20:21" ht="15" customHeight="1" x14ac:dyDescent="0.25">
      <c r="T37368" s="135"/>
      <c r="U37368" s="135"/>
    </row>
    <row r="37369" spans="20:21" ht="15" customHeight="1" x14ac:dyDescent="0.25">
      <c r="T37369" s="135"/>
      <c r="U37369" s="135"/>
    </row>
    <row r="37370" spans="20:21" ht="15" customHeight="1" x14ac:dyDescent="0.25">
      <c r="T37370" s="135"/>
      <c r="U37370" s="135"/>
    </row>
    <row r="37371" spans="20:21" ht="15" customHeight="1" x14ac:dyDescent="0.25">
      <c r="T37371" s="135"/>
      <c r="U37371" s="135"/>
    </row>
    <row r="37372" spans="20:21" ht="15" customHeight="1" x14ac:dyDescent="0.25">
      <c r="T37372" s="135"/>
      <c r="U37372" s="135"/>
    </row>
    <row r="37373" spans="20:21" ht="15" customHeight="1" x14ac:dyDescent="0.25">
      <c r="T37373" s="135"/>
      <c r="U37373" s="135"/>
    </row>
    <row r="37374" spans="20:21" ht="15" customHeight="1" x14ac:dyDescent="0.25">
      <c r="T37374" s="135"/>
      <c r="U37374" s="135"/>
    </row>
    <row r="37375" spans="20:21" ht="15" customHeight="1" x14ac:dyDescent="0.25">
      <c r="T37375" s="135"/>
      <c r="U37375" s="135"/>
    </row>
    <row r="37376" spans="20:21" ht="15" customHeight="1" x14ac:dyDescent="0.25">
      <c r="T37376" s="135"/>
      <c r="U37376" s="135"/>
    </row>
    <row r="37377" spans="20:21" ht="15" customHeight="1" x14ac:dyDescent="0.25">
      <c r="T37377" s="135"/>
      <c r="U37377" s="135"/>
    </row>
    <row r="37378" spans="20:21" ht="15" customHeight="1" x14ac:dyDescent="0.25">
      <c r="T37378" s="135"/>
      <c r="U37378" s="135"/>
    </row>
    <row r="37379" spans="20:21" ht="15" customHeight="1" x14ac:dyDescent="0.25">
      <c r="T37379" s="135"/>
      <c r="U37379" s="135"/>
    </row>
    <row r="37380" spans="20:21" ht="15" customHeight="1" x14ac:dyDescent="0.25">
      <c r="T37380" s="135"/>
      <c r="U37380" s="135"/>
    </row>
    <row r="37381" spans="20:21" ht="15" customHeight="1" x14ac:dyDescent="0.25">
      <c r="T37381" s="135"/>
      <c r="U37381" s="135"/>
    </row>
    <row r="37382" spans="20:21" ht="15" customHeight="1" x14ac:dyDescent="0.25">
      <c r="T37382" s="135"/>
      <c r="U37382" s="135"/>
    </row>
    <row r="37383" spans="20:21" ht="15" customHeight="1" x14ac:dyDescent="0.25">
      <c r="T37383" s="135"/>
      <c r="U37383" s="135"/>
    </row>
    <row r="37384" spans="20:21" ht="15" customHeight="1" x14ac:dyDescent="0.25">
      <c r="T37384" s="135"/>
      <c r="U37384" s="135"/>
    </row>
    <row r="37385" spans="20:21" ht="15" customHeight="1" x14ac:dyDescent="0.25">
      <c r="T37385" s="135"/>
      <c r="U37385" s="135"/>
    </row>
    <row r="37386" spans="20:21" ht="15" customHeight="1" x14ac:dyDescent="0.25">
      <c r="T37386" s="135"/>
      <c r="U37386" s="135"/>
    </row>
    <row r="37387" spans="20:21" ht="15" customHeight="1" x14ac:dyDescent="0.25">
      <c r="T37387" s="135"/>
      <c r="U37387" s="135"/>
    </row>
    <row r="37388" spans="20:21" ht="15" customHeight="1" x14ac:dyDescent="0.25">
      <c r="T37388" s="135"/>
      <c r="U37388" s="135"/>
    </row>
    <row r="37389" spans="20:21" ht="15" customHeight="1" x14ac:dyDescent="0.25">
      <c r="T37389" s="135"/>
      <c r="U37389" s="135"/>
    </row>
    <row r="37390" spans="20:21" ht="15" customHeight="1" x14ac:dyDescent="0.25">
      <c r="T37390" s="135"/>
      <c r="U37390" s="135"/>
    </row>
    <row r="37391" spans="20:21" ht="15" customHeight="1" x14ac:dyDescent="0.25">
      <c r="T37391" s="135"/>
      <c r="U37391" s="135"/>
    </row>
    <row r="37392" spans="20:21" ht="15" customHeight="1" x14ac:dyDescent="0.25">
      <c r="T37392" s="135"/>
      <c r="U37392" s="135"/>
    </row>
    <row r="37393" spans="20:21" ht="15" customHeight="1" x14ac:dyDescent="0.25">
      <c r="T37393" s="135"/>
      <c r="U37393" s="135"/>
    </row>
    <row r="37394" spans="20:21" ht="15" customHeight="1" x14ac:dyDescent="0.25">
      <c r="T37394" s="135"/>
      <c r="U37394" s="135"/>
    </row>
    <row r="37395" spans="20:21" ht="15" customHeight="1" x14ac:dyDescent="0.25">
      <c r="T37395" s="135"/>
      <c r="U37395" s="135"/>
    </row>
    <row r="37396" spans="20:21" ht="15" customHeight="1" x14ac:dyDescent="0.25">
      <c r="T37396" s="135"/>
      <c r="U37396" s="135"/>
    </row>
    <row r="37397" spans="20:21" ht="15" customHeight="1" x14ac:dyDescent="0.25">
      <c r="T37397" s="135"/>
      <c r="U37397" s="135"/>
    </row>
    <row r="37398" spans="20:21" ht="15" customHeight="1" x14ac:dyDescent="0.25">
      <c r="T37398" s="135"/>
      <c r="U37398" s="135"/>
    </row>
    <row r="37399" spans="20:21" ht="15" customHeight="1" x14ac:dyDescent="0.25">
      <c r="T37399" s="135"/>
      <c r="U37399" s="135"/>
    </row>
    <row r="37400" spans="20:21" ht="15" customHeight="1" x14ac:dyDescent="0.25">
      <c r="T37400" s="135"/>
      <c r="U37400" s="135"/>
    </row>
    <row r="37401" spans="20:21" ht="15" customHeight="1" x14ac:dyDescent="0.25">
      <c r="T37401" s="135"/>
      <c r="U37401" s="135"/>
    </row>
    <row r="37402" spans="20:21" ht="15" customHeight="1" x14ac:dyDescent="0.25">
      <c r="T37402" s="135"/>
      <c r="U37402" s="135"/>
    </row>
    <row r="37403" spans="20:21" ht="15" customHeight="1" x14ac:dyDescent="0.25">
      <c r="T37403" s="135"/>
      <c r="U37403" s="135"/>
    </row>
    <row r="37404" spans="20:21" ht="15" customHeight="1" x14ac:dyDescent="0.25">
      <c r="T37404" s="135"/>
      <c r="U37404" s="135"/>
    </row>
    <row r="37405" spans="20:21" ht="15" customHeight="1" x14ac:dyDescent="0.25">
      <c r="T37405" s="135"/>
      <c r="U37405" s="135"/>
    </row>
    <row r="37406" spans="20:21" ht="15" customHeight="1" x14ac:dyDescent="0.25">
      <c r="T37406" s="135"/>
      <c r="U37406" s="135"/>
    </row>
    <row r="37407" spans="20:21" ht="15" customHeight="1" x14ac:dyDescent="0.25">
      <c r="T37407" s="135"/>
      <c r="U37407" s="135"/>
    </row>
    <row r="37408" spans="20:21" ht="15" customHeight="1" x14ac:dyDescent="0.25">
      <c r="T37408" s="135"/>
      <c r="U37408" s="135"/>
    </row>
    <row r="37409" spans="20:21" ht="15" customHeight="1" x14ac:dyDescent="0.25">
      <c r="T37409" s="135"/>
      <c r="U37409" s="135"/>
    </row>
    <row r="37410" spans="20:21" ht="15" customHeight="1" x14ac:dyDescent="0.25">
      <c r="T37410" s="135"/>
      <c r="U37410" s="135"/>
    </row>
    <row r="37411" spans="20:21" ht="15" customHeight="1" x14ac:dyDescent="0.25">
      <c r="T37411" s="135"/>
      <c r="U37411" s="135"/>
    </row>
    <row r="37412" spans="20:21" ht="15" customHeight="1" x14ac:dyDescent="0.25">
      <c r="T37412" s="135"/>
      <c r="U37412" s="135"/>
    </row>
    <row r="37413" spans="20:21" ht="15" customHeight="1" x14ac:dyDescent="0.25">
      <c r="T37413" s="135"/>
      <c r="U37413" s="135"/>
    </row>
    <row r="37414" spans="20:21" ht="15" customHeight="1" x14ac:dyDescent="0.25">
      <c r="T37414" s="135"/>
      <c r="U37414" s="135"/>
    </row>
    <row r="37415" spans="20:21" ht="15" customHeight="1" x14ac:dyDescent="0.25">
      <c r="T37415" s="135"/>
      <c r="U37415" s="135"/>
    </row>
    <row r="37416" spans="20:21" ht="15" customHeight="1" x14ac:dyDescent="0.25">
      <c r="T37416" s="135"/>
      <c r="U37416" s="135"/>
    </row>
    <row r="37417" spans="20:21" ht="15" customHeight="1" x14ac:dyDescent="0.25">
      <c r="T37417" s="135"/>
      <c r="U37417" s="135"/>
    </row>
    <row r="37418" spans="20:21" ht="15" customHeight="1" x14ac:dyDescent="0.25">
      <c r="T37418" s="135"/>
      <c r="U37418" s="135"/>
    </row>
    <row r="37419" spans="20:21" ht="15" customHeight="1" x14ac:dyDescent="0.25">
      <c r="T37419" s="135"/>
      <c r="U37419" s="135"/>
    </row>
    <row r="37420" spans="20:21" ht="15" customHeight="1" x14ac:dyDescent="0.25">
      <c r="T37420" s="135"/>
      <c r="U37420" s="135"/>
    </row>
    <row r="37421" spans="20:21" ht="15" customHeight="1" x14ac:dyDescent="0.25">
      <c r="T37421" s="135"/>
      <c r="U37421" s="135"/>
    </row>
    <row r="37422" spans="20:21" ht="15" customHeight="1" x14ac:dyDescent="0.25">
      <c r="T37422" s="135"/>
      <c r="U37422" s="135"/>
    </row>
    <row r="37423" spans="20:21" ht="15" customHeight="1" x14ac:dyDescent="0.25">
      <c r="T37423" s="135"/>
      <c r="U37423" s="135"/>
    </row>
    <row r="37424" spans="20:21" ht="15" customHeight="1" x14ac:dyDescent="0.25">
      <c r="T37424" s="135"/>
      <c r="U37424" s="135"/>
    </row>
    <row r="37425" spans="20:21" ht="15" customHeight="1" x14ac:dyDescent="0.25">
      <c r="T37425" s="135"/>
      <c r="U37425" s="135"/>
    </row>
    <row r="37426" spans="20:21" ht="15" customHeight="1" x14ac:dyDescent="0.25">
      <c r="T37426" s="135"/>
      <c r="U37426" s="135"/>
    </row>
    <row r="37427" spans="20:21" ht="15" customHeight="1" x14ac:dyDescent="0.25">
      <c r="T37427" s="135"/>
      <c r="U37427" s="135"/>
    </row>
    <row r="37428" spans="20:21" ht="15" customHeight="1" x14ac:dyDescent="0.25">
      <c r="T37428" s="135"/>
      <c r="U37428" s="135"/>
    </row>
    <row r="37429" spans="20:21" ht="15" customHeight="1" x14ac:dyDescent="0.25">
      <c r="T37429" s="135"/>
      <c r="U37429" s="135"/>
    </row>
    <row r="37430" spans="20:21" ht="15" customHeight="1" x14ac:dyDescent="0.25">
      <c r="T37430" s="135"/>
      <c r="U37430" s="135"/>
    </row>
    <row r="37431" spans="20:21" ht="15" customHeight="1" x14ac:dyDescent="0.25">
      <c r="T37431" s="135"/>
      <c r="U37431" s="135"/>
    </row>
    <row r="37432" spans="20:21" ht="15" customHeight="1" x14ac:dyDescent="0.25">
      <c r="T37432" s="135"/>
      <c r="U37432" s="135"/>
    </row>
    <row r="37433" spans="20:21" ht="15" customHeight="1" x14ac:dyDescent="0.25">
      <c r="T37433" s="135"/>
      <c r="U37433" s="135"/>
    </row>
    <row r="37434" spans="20:21" ht="15" customHeight="1" x14ac:dyDescent="0.25">
      <c r="T37434" s="135"/>
      <c r="U37434" s="135"/>
    </row>
    <row r="37435" spans="20:21" ht="15" customHeight="1" x14ac:dyDescent="0.25">
      <c r="T37435" s="135"/>
      <c r="U37435" s="135"/>
    </row>
    <row r="37436" spans="20:21" ht="15" customHeight="1" x14ac:dyDescent="0.25">
      <c r="T37436" s="135"/>
      <c r="U37436" s="135"/>
    </row>
    <row r="37437" spans="20:21" ht="15" customHeight="1" x14ac:dyDescent="0.25">
      <c r="T37437" s="135"/>
      <c r="U37437" s="135"/>
    </row>
    <row r="37438" spans="20:21" ht="15" customHeight="1" x14ac:dyDescent="0.25">
      <c r="T37438" s="135"/>
      <c r="U37438" s="135"/>
    </row>
    <row r="37439" spans="20:21" ht="15" customHeight="1" x14ac:dyDescent="0.25">
      <c r="T37439" s="135"/>
      <c r="U37439" s="135"/>
    </row>
    <row r="37440" spans="20:21" ht="15" customHeight="1" x14ac:dyDescent="0.25">
      <c r="T37440" s="135"/>
      <c r="U37440" s="135"/>
    </row>
    <row r="37441" spans="20:21" ht="15" customHeight="1" x14ac:dyDescent="0.25">
      <c r="T37441" s="135"/>
      <c r="U37441" s="135"/>
    </row>
    <row r="37442" spans="20:21" ht="15" customHeight="1" x14ac:dyDescent="0.25">
      <c r="T37442" s="135"/>
      <c r="U37442" s="135"/>
    </row>
    <row r="37443" spans="20:21" ht="15" customHeight="1" x14ac:dyDescent="0.25">
      <c r="T37443" s="135"/>
      <c r="U37443" s="135"/>
    </row>
    <row r="37444" spans="20:21" ht="15" customHeight="1" x14ac:dyDescent="0.25">
      <c r="T37444" s="135"/>
      <c r="U37444" s="135"/>
    </row>
    <row r="37445" spans="20:21" ht="15" customHeight="1" x14ac:dyDescent="0.25">
      <c r="T37445" s="135"/>
      <c r="U37445" s="135"/>
    </row>
    <row r="37446" spans="20:21" ht="15" customHeight="1" x14ac:dyDescent="0.25">
      <c r="T37446" s="135"/>
      <c r="U37446" s="135"/>
    </row>
    <row r="37447" spans="20:21" ht="15" customHeight="1" x14ac:dyDescent="0.25">
      <c r="T37447" s="135"/>
      <c r="U37447" s="135"/>
    </row>
    <row r="37448" spans="20:21" ht="15" customHeight="1" x14ac:dyDescent="0.25">
      <c r="T37448" s="135"/>
      <c r="U37448" s="135"/>
    </row>
    <row r="37449" spans="20:21" ht="15" customHeight="1" x14ac:dyDescent="0.25">
      <c r="T37449" s="135"/>
      <c r="U37449" s="135"/>
    </row>
    <row r="37450" spans="20:21" ht="15" customHeight="1" x14ac:dyDescent="0.25">
      <c r="T37450" s="135"/>
      <c r="U37450" s="135"/>
    </row>
    <row r="37451" spans="20:21" ht="15" customHeight="1" x14ac:dyDescent="0.25">
      <c r="T37451" s="135"/>
      <c r="U37451" s="135"/>
    </row>
    <row r="37452" spans="20:21" ht="15" customHeight="1" x14ac:dyDescent="0.25">
      <c r="T37452" s="135"/>
      <c r="U37452" s="135"/>
    </row>
    <row r="37453" spans="20:21" ht="15" customHeight="1" x14ac:dyDescent="0.25">
      <c r="T37453" s="135"/>
      <c r="U37453" s="135"/>
    </row>
    <row r="37454" spans="20:21" ht="15" customHeight="1" x14ac:dyDescent="0.25">
      <c r="T37454" s="135"/>
      <c r="U37454" s="135"/>
    </row>
    <row r="37455" spans="20:21" ht="15" customHeight="1" x14ac:dyDescent="0.25">
      <c r="T37455" s="135"/>
      <c r="U37455" s="135"/>
    </row>
    <row r="37456" spans="20:21" ht="15" customHeight="1" x14ac:dyDescent="0.25">
      <c r="T37456" s="135"/>
      <c r="U37456" s="135"/>
    </row>
    <row r="37457" spans="20:21" ht="15" customHeight="1" x14ac:dyDescent="0.25">
      <c r="T37457" s="135"/>
      <c r="U37457" s="135"/>
    </row>
    <row r="37458" spans="20:21" ht="15" customHeight="1" x14ac:dyDescent="0.25">
      <c r="T37458" s="135"/>
      <c r="U37458" s="135"/>
    </row>
    <row r="37459" spans="20:21" ht="15" customHeight="1" x14ac:dyDescent="0.25">
      <c r="T37459" s="135"/>
      <c r="U37459" s="135"/>
    </row>
    <row r="37460" spans="20:21" ht="15" customHeight="1" x14ac:dyDescent="0.25">
      <c r="T37460" s="135"/>
      <c r="U37460" s="135"/>
    </row>
    <row r="37461" spans="20:21" ht="15" customHeight="1" x14ac:dyDescent="0.25">
      <c r="T37461" s="135"/>
      <c r="U37461" s="135"/>
    </row>
    <row r="37462" spans="20:21" ht="15" customHeight="1" x14ac:dyDescent="0.25">
      <c r="T37462" s="135"/>
      <c r="U37462" s="135"/>
    </row>
    <row r="37463" spans="20:21" ht="15" customHeight="1" x14ac:dyDescent="0.25">
      <c r="T37463" s="135"/>
      <c r="U37463" s="135"/>
    </row>
    <row r="37464" spans="20:21" ht="15" customHeight="1" x14ac:dyDescent="0.25">
      <c r="T37464" s="135"/>
      <c r="U37464" s="135"/>
    </row>
    <row r="37465" spans="20:21" ht="15" customHeight="1" x14ac:dyDescent="0.25">
      <c r="T37465" s="135"/>
      <c r="U37465" s="135"/>
    </row>
    <row r="37466" spans="20:21" ht="15" customHeight="1" x14ac:dyDescent="0.25">
      <c r="T37466" s="135"/>
      <c r="U37466" s="135"/>
    </row>
    <row r="37467" spans="20:21" ht="15" customHeight="1" x14ac:dyDescent="0.25">
      <c r="T37467" s="135"/>
      <c r="U37467" s="135"/>
    </row>
    <row r="37468" spans="20:21" ht="15" customHeight="1" x14ac:dyDescent="0.25">
      <c r="T37468" s="135"/>
      <c r="U37468" s="135"/>
    </row>
    <row r="37469" spans="20:21" ht="15" customHeight="1" x14ac:dyDescent="0.25">
      <c r="T37469" s="135"/>
      <c r="U37469" s="135"/>
    </row>
    <row r="37470" spans="20:21" ht="15" customHeight="1" x14ac:dyDescent="0.25">
      <c r="T37470" s="135"/>
      <c r="U37470" s="135"/>
    </row>
    <row r="37471" spans="20:21" ht="15" customHeight="1" x14ac:dyDescent="0.25">
      <c r="T37471" s="135"/>
      <c r="U37471" s="135"/>
    </row>
    <row r="37472" spans="20:21" ht="15" customHeight="1" x14ac:dyDescent="0.25">
      <c r="T37472" s="135"/>
      <c r="U37472" s="135"/>
    </row>
    <row r="37473" spans="20:21" ht="15" customHeight="1" x14ac:dyDescent="0.25">
      <c r="T37473" s="135"/>
      <c r="U37473" s="135"/>
    </row>
    <row r="37474" spans="20:21" ht="15" customHeight="1" x14ac:dyDescent="0.25">
      <c r="T37474" s="135"/>
      <c r="U37474" s="135"/>
    </row>
    <row r="37475" spans="20:21" ht="15" customHeight="1" x14ac:dyDescent="0.25">
      <c r="T37475" s="135"/>
      <c r="U37475" s="135"/>
    </row>
    <row r="37476" spans="20:21" ht="15" customHeight="1" x14ac:dyDescent="0.25">
      <c r="T37476" s="135"/>
      <c r="U37476" s="135"/>
    </row>
    <row r="37477" spans="20:21" ht="15" customHeight="1" x14ac:dyDescent="0.25">
      <c r="T37477" s="135"/>
      <c r="U37477" s="135"/>
    </row>
    <row r="37478" spans="20:21" ht="15" customHeight="1" x14ac:dyDescent="0.25">
      <c r="T37478" s="135"/>
      <c r="U37478" s="135"/>
    </row>
    <row r="37479" spans="20:21" ht="15" customHeight="1" x14ac:dyDescent="0.25">
      <c r="T37479" s="135"/>
      <c r="U37479" s="135"/>
    </row>
    <row r="37480" spans="20:21" ht="15" customHeight="1" x14ac:dyDescent="0.25">
      <c r="T37480" s="135"/>
      <c r="U37480" s="135"/>
    </row>
    <row r="37481" spans="20:21" ht="15" customHeight="1" x14ac:dyDescent="0.25">
      <c r="T37481" s="135"/>
      <c r="U37481" s="135"/>
    </row>
    <row r="37482" spans="20:21" ht="15" customHeight="1" x14ac:dyDescent="0.25">
      <c r="T37482" s="135"/>
      <c r="U37482" s="135"/>
    </row>
    <row r="37483" spans="20:21" ht="15" customHeight="1" x14ac:dyDescent="0.25">
      <c r="T37483" s="135"/>
      <c r="U37483" s="135"/>
    </row>
    <row r="37484" spans="20:21" ht="15" customHeight="1" x14ac:dyDescent="0.25">
      <c r="T37484" s="135"/>
      <c r="U37484" s="135"/>
    </row>
    <row r="37485" spans="20:21" ht="15" customHeight="1" x14ac:dyDescent="0.25">
      <c r="T37485" s="135"/>
      <c r="U37485" s="135"/>
    </row>
    <row r="37486" spans="20:21" ht="15" customHeight="1" x14ac:dyDescent="0.25">
      <c r="T37486" s="135"/>
      <c r="U37486" s="135"/>
    </row>
    <row r="37487" spans="20:21" ht="15" customHeight="1" x14ac:dyDescent="0.25">
      <c r="T37487" s="135"/>
      <c r="U37487" s="135"/>
    </row>
    <row r="37488" spans="20:21" ht="15" customHeight="1" x14ac:dyDescent="0.25">
      <c r="T37488" s="135"/>
      <c r="U37488" s="135"/>
    </row>
    <row r="37489" spans="20:21" ht="15" customHeight="1" x14ac:dyDescent="0.25">
      <c r="T37489" s="135"/>
      <c r="U37489" s="135"/>
    </row>
    <row r="37490" spans="20:21" ht="15" customHeight="1" x14ac:dyDescent="0.25">
      <c r="T37490" s="135"/>
      <c r="U37490" s="135"/>
    </row>
    <row r="37491" spans="20:21" ht="15" customHeight="1" x14ac:dyDescent="0.25">
      <c r="T37491" s="135"/>
      <c r="U37491" s="135"/>
    </row>
    <row r="37492" spans="20:21" ht="15" customHeight="1" x14ac:dyDescent="0.25">
      <c r="T37492" s="135"/>
      <c r="U37492" s="135"/>
    </row>
    <row r="37493" spans="20:21" ht="15" customHeight="1" x14ac:dyDescent="0.25">
      <c r="T37493" s="135"/>
      <c r="U37493" s="135"/>
    </row>
    <row r="37494" spans="20:21" ht="15" customHeight="1" x14ac:dyDescent="0.25">
      <c r="T37494" s="135"/>
      <c r="U37494" s="135"/>
    </row>
    <row r="37495" spans="20:21" ht="15" customHeight="1" x14ac:dyDescent="0.25">
      <c r="T37495" s="135"/>
      <c r="U37495" s="135"/>
    </row>
    <row r="37496" spans="20:21" ht="15" customHeight="1" x14ac:dyDescent="0.25">
      <c r="T37496" s="135"/>
      <c r="U37496" s="135"/>
    </row>
    <row r="37497" spans="20:21" ht="15" customHeight="1" x14ac:dyDescent="0.25">
      <c r="T37497" s="135"/>
      <c r="U37497" s="135"/>
    </row>
    <row r="37498" spans="20:21" ht="15" customHeight="1" x14ac:dyDescent="0.25">
      <c r="T37498" s="135"/>
      <c r="U37498" s="135"/>
    </row>
    <row r="37499" spans="20:21" ht="15" customHeight="1" x14ac:dyDescent="0.25">
      <c r="T37499" s="135"/>
      <c r="U37499" s="135"/>
    </row>
    <row r="37500" spans="20:21" ht="15" customHeight="1" x14ac:dyDescent="0.25">
      <c r="T37500" s="135"/>
      <c r="U37500" s="135"/>
    </row>
    <row r="37501" spans="20:21" ht="15" customHeight="1" x14ac:dyDescent="0.25">
      <c r="T37501" s="135"/>
      <c r="U37501" s="135"/>
    </row>
    <row r="37502" spans="20:21" ht="15" customHeight="1" x14ac:dyDescent="0.25">
      <c r="T37502" s="135"/>
      <c r="U37502" s="135"/>
    </row>
    <row r="37503" spans="20:21" ht="15" customHeight="1" x14ac:dyDescent="0.25">
      <c r="T37503" s="135"/>
      <c r="U37503" s="135"/>
    </row>
    <row r="37504" spans="20:21" ht="15" customHeight="1" x14ac:dyDescent="0.25">
      <c r="T37504" s="135"/>
      <c r="U37504" s="135"/>
    </row>
    <row r="37505" spans="20:21" ht="15" customHeight="1" x14ac:dyDescent="0.25">
      <c r="T37505" s="135"/>
      <c r="U37505" s="135"/>
    </row>
    <row r="37506" spans="20:21" ht="15" customHeight="1" x14ac:dyDescent="0.25">
      <c r="T37506" s="135"/>
      <c r="U37506" s="135"/>
    </row>
    <row r="37507" spans="20:21" ht="15" customHeight="1" x14ac:dyDescent="0.25">
      <c r="T37507" s="135"/>
      <c r="U37507" s="135"/>
    </row>
    <row r="37508" spans="20:21" ht="15" customHeight="1" x14ac:dyDescent="0.25">
      <c r="T37508" s="135"/>
      <c r="U37508" s="135"/>
    </row>
    <row r="37509" spans="20:21" ht="15" customHeight="1" x14ac:dyDescent="0.25">
      <c r="T37509" s="135"/>
      <c r="U37509" s="135"/>
    </row>
    <row r="37510" spans="20:21" ht="15" customHeight="1" x14ac:dyDescent="0.25">
      <c r="T37510" s="135"/>
      <c r="U37510" s="135"/>
    </row>
    <row r="37511" spans="20:21" ht="15" customHeight="1" x14ac:dyDescent="0.25">
      <c r="T37511" s="135"/>
      <c r="U37511" s="135"/>
    </row>
    <row r="37512" spans="20:21" ht="15" customHeight="1" x14ac:dyDescent="0.25">
      <c r="T37512" s="135"/>
      <c r="U37512" s="135"/>
    </row>
    <row r="37513" spans="20:21" ht="15" customHeight="1" x14ac:dyDescent="0.25">
      <c r="T37513" s="135"/>
      <c r="U37513" s="135"/>
    </row>
    <row r="37514" spans="20:21" ht="15" customHeight="1" x14ac:dyDescent="0.25">
      <c r="T37514" s="135"/>
      <c r="U37514" s="135"/>
    </row>
    <row r="37515" spans="20:21" ht="15" customHeight="1" x14ac:dyDescent="0.25">
      <c r="T37515" s="135"/>
      <c r="U37515" s="135"/>
    </row>
    <row r="37516" spans="20:21" ht="15" customHeight="1" x14ac:dyDescent="0.25">
      <c r="T37516" s="135"/>
      <c r="U37516" s="135"/>
    </row>
    <row r="37517" spans="20:21" ht="15" customHeight="1" x14ac:dyDescent="0.25">
      <c r="T37517" s="135"/>
      <c r="U37517" s="135"/>
    </row>
    <row r="37518" spans="20:21" ht="15" customHeight="1" x14ac:dyDescent="0.25">
      <c r="T37518" s="135"/>
      <c r="U37518" s="135"/>
    </row>
    <row r="37519" spans="20:21" ht="15" customHeight="1" x14ac:dyDescent="0.25">
      <c r="T37519" s="135"/>
      <c r="U37519" s="135"/>
    </row>
    <row r="37520" spans="20:21" ht="15" customHeight="1" x14ac:dyDescent="0.25">
      <c r="T37520" s="135"/>
      <c r="U37520" s="135"/>
    </row>
    <row r="37521" spans="20:21" ht="15" customHeight="1" x14ac:dyDescent="0.25">
      <c r="T37521" s="135"/>
      <c r="U37521" s="135"/>
    </row>
    <row r="37522" spans="20:21" ht="15" customHeight="1" x14ac:dyDescent="0.25">
      <c r="T37522" s="135"/>
      <c r="U37522" s="135"/>
    </row>
    <row r="37523" spans="20:21" ht="15" customHeight="1" x14ac:dyDescent="0.25">
      <c r="T37523" s="135"/>
      <c r="U37523" s="135"/>
    </row>
    <row r="37524" spans="20:21" ht="15" customHeight="1" x14ac:dyDescent="0.25">
      <c r="T37524" s="135"/>
      <c r="U37524" s="135"/>
    </row>
    <row r="37525" spans="20:21" ht="15" customHeight="1" x14ac:dyDescent="0.25">
      <c r="T37525" s="135"/>
      <c r="U37525" s="135"/>
    </row>
    <row r="37526" spans="20:21" ht="15" customHeight="1" x14ac:dyDescent="0.25">
      <c r="T37526" s="135"/>
      <c r="U37526" s="135"/>
    </row>
    <row r="37527" spans="20:21" ht="15" customHeight="1" x14ac:dyDescent="0.25">
      <c r="T37527" s="135"/>
      <c r="U37527" s="135"/>
    </row>
    <row r="37528" spans="20:21" ht="15" customHeight="1" x14ac:dyDescent="0.25">
      <c r="T37528" s="135"/>
      <c r="U37528" s="135"/>
    </row>
    <row r="37529" spans="20:21" ht="15" customHeight="1" x14ac:dyDescent="0.25">
      <c r="T37529" s="135"/>
      <c r="U37529" s="135"/>
    </row>
    <row r="37530" spans="20:21" ht="15" customHeight="1" x14ac:dyDescent="0.25">
      <c r="T37530" s="135"/>
      <c r="U37530" s="135"/>
    </row>
    <row r="37531" spans="20:21" ht="15" customHeight="1" x14ac:dyDescent="0.25">
      <c r="T37531" s="135"/>
      <c r="U37531" s="135"/>
    </row>
    <row r="37532" spans="20:21" ht="15" customHeight="1" x14ac:dyDescent="0.25">
      <c r="T37532" s="135"/>
      <c r="U37532" s="135"/>
    </row>
    <row r="37533" spans="20:21" ht="15" customHeight="1" x14ac:dyDescent="0.25">
      <c r="T37533" s="135"/>
      <c r="U37533" s="135"/>
    </row>
    <row r="37534" spans="20:21" ht="15" customHeight="1" x14ac:dyDescent="0.25">
      <c r="T37534" s="135"/>
      <c r="U37534" s="135"/>
    </row>
    <row r="37535" spans="20:21" ht="15" customHeight="1" x14ac:dyDescent="0.25">
      <c r="T37535" s="135"/>
      <c r="U37535" s="135"/>
    </row>
    <row r="37536" spans="20:21" ht="15" customHeight="1" x14ac:dyDescent="0.25">
      <c r="T37536" s="135"/>
      <c r="U37536" s="135"/>
    </row>
    <row r="37537" spans="20:21" ht="15" customHeight="1" x14ac:dyDescent="0.25">
      <c r="T37537" s="135"/>
      <c r="U37537" s="135"/>
    </row>
    <row r="37538" spans="20:21" ht="15" customHeight="1" x14ac:dyDescent="0.25">
      <c r="T37538" s="135"/>
      <c r="U37538" s="135"/>
    </row>
    <row r="37539" spans="20:21" ht="15" customHeight="1" x14ac:dyDescent="0.25">
      <c r="T37539" s="135"/>
      <c r="U37539" s="135"/>
    </row>
    <row r="37540" spans="20:21" ht="15" customHeight="1" x14ac:dyDescent="0.25">
      <c r="T37540" s="135"/>
      <c r="U37540" s="135"/>
    </row>
    <row r="37541" spans="20:21" ht="15" customHeight="1" x14ac:dyDescent="0.25">
      <c r="T37541" s="135"/>
      <c r="U37541" s="135"/>
    </row>
    <row r="37542" spans="20:21" ht="15" customHeight="1" x14ac:dyDescent="0.25">
      <c r="T37542" s="135"/>
      <c r="U37542" s="135"/>
    </row>
    <row r="37543" spans="20:21" ht="15" customHeight="1" x14ac:dyDescent="0.25">
      <c r="T37543" s="135"/>
      <c r="U37543" s="135"/>
    </row>
    <row r="37544" spans="20:21" ht="15" customHeight="1" x14ac:dyDescent="0.25">
      <c r="T37544" s="135"/>
      <c r="U37544" s="135"/>
    </row>
    <row r="37545" spans="20:21" ht="15" customHeight="1" x14ac:dyDescent="0.25">
      <c r="T37545" s="135"/>
      <c r="U37545" s="135"/>
    </row>
    <row r="37546" spans="20:21" ht="15" customHeight="1" x14ac:dyDescent="0.25">
      <c r="T37546" s="135"/>
      <c r="U37546" s="135"/>
    </row>
    <row r="37547" spans="20:21" ht="15" customHeight="1" x14ac:dyDescent="0.25">
      <c r="T37547" s="135"/>
      <c r="U37547" s="135"/>
    </row>
    <row r="37548" spans="20:21" ht="15" customHeight="1" x14ac:dyDescent="0.25">
      <c r="T37548" s="135"/>
      <c r="U37548" s="135"/>
    </row>
    <row r="37549" spans="20:21" ht="15" customHeight="1" x14ac:dyDescent="0.25">
      <c r="T37549" s="135"/>
      <c r="U37549" s="135"/>
    </row>
    <row r="37550" spans="20:21" ht="15" customHeight="1" x14ac:dyDescent="0.25">
      <c r="T37550" s="135"/>
      <c r="U37550" s="135"/>
    </row>
    <row r="37551" spans="20:21" ht="15" customHeight="1" x14ac:dyDescent="0.25">
      <c r="T37551" s="135"/>
      <c r="U37551" s="135"/>
    </row>
    <row r="37552" spans="20:21" ht="15" customHeight="1" x14ac:dyDescent="0.25">
      <c r="T37552" s="135"/>
      <c r="U37552" s="135"/>
    </row>
    <row r="37553" spans="20:21" ht="15" customHeight="1" x14ac:dyDescent="0.25">
      <c r="T37553" s="135"/>
      <c r="U37553" s="135"/>
    </row>
    <row r="37554" spans="20:21" ht="15" customHeight="1" x14ac:dyDescent="0.25">
      <c r="T37554" s="135"/>
      <c r="U37554" s="135"/>
    </row>
    <row r="37555" spans="20:21" ht="15" customHeight="1" x14ac:dyDescent="0.25">
      <c r="T37555" s="135"/>
      <c r="U37555" s="135"/>
    </row>
    <row r="37556" spans="20:21" ht="15" customHeight="1" x14ac:dyDescent="0.25">
      <c r="T37556" s="135"/>
      <c r="U37556" s="135"/>
    </row>
    <row r="37557" spans="20:21" ht="15" customHeight="1" x14ac:dyDescent="0.25">
      <c r="T37557" s="135"/>
      <c r="U37557" s="135"/>
    </row>
    <row r="37558" spans="20:21" ht="15" customHeight="1" x14ac:dyDescent="0.25">
      <c r="T37558" s="135"/>
      <c r="U37558" s="135"/>
    </row>
    <row r="37559" spans="20:21" ht="15" customHeight="1" x14ac:dyDescent="0.25">
      <c r="T37559" s="135"/>
      <c r="U37559" s="135"/>
    </row>
    <row r="37560" spans="20:21" ht="15" customHeight="1" x14ac:dyDescent="0.25">
      <c r="T37560" s="135"/>
      <c r="U37560" s="135"/>
    </row>
    <row r="37561" spans="20:21" ht="15" customHeight="1" x14ac:dyDescent="0.25">
      <c r="T37561" s="135"/>
      <c r="U37561" s="135"/>
    </row>
    <row r="37562" spans="20:21" ht="15" customHeight="1" x14ac:dyDescent="0.25">
      <c r="T37562" s="135"/>
      <c r="U37562" s="135"/>
    </row>
    <row r="37563" spans="20:21" ht="15" customHeight="1" x14ac:dyDescent="0.25">
      <c r="T37563" s="135"/>
      <c r="U37563" s="135"/>
    </row>
    <row r="37564" spans="20:21" ht="15" customHeight="1" x14ac:dyDescent="0.25">
      <c r="T37564" s="135"/>
      <c r="U37564" s="135"/>
    </row>
    <row r="37565" spans="20:21" ht="15" customHeight="1" x14ac:dyDescent="0.25">
      <c r="T37565" s="135"/>
      <c r="U37565" s="135"/>
    </row>
    <row r="37566" spans="20:21" ht="15" customHeight="1" x14ac:dyDescent="0.25">
      <c r="T37566" s="135"/>
      <c r="U37566" s="135"/>
    </row>
    <row r="37567" spans="20:21" ht="15" customHeight="1" x14ac:dyDescent="0.25">
      <c r="T37567" s="135"/>
      <c r="U37567" s="135"/>
    </row>
    <row r="37568" spans="20:21" ht="15" customHeight="1" x14ac:dyDescent="0.25">
      <c r="T37568" s="135"/>
      <c r="U37568" s="135"/>
    </row>
    <row r="37569" spans="20:21" ht="15" customHeight="1" x14ac:dyDescent="0.25">
      <c r="T37569" s="135"/>
      <c r="U37569" s="135"/>
    </row>
    <row r="37570" spans="20:21" ht="15" customHeight="1" x14ac:dyDescent="0.25">
      <c r="T37570" s="135"/>
      <c r="U37570" s="135"/>
    </row>
    <row r="37571" spans="20:21" ht="15" customHeight="1" x14ac:dyDescent="0.25">
      <c r="T37571" s="135"/>
      <c r="U37571" s="135"/>
    </row>
    <row r="37572" spans="20:21" ht="15" customHeight="1" x14ac:dyDescent="0.25">
      <c r="T37572" s="135"/>
      <c r="U37572" s="135"/>
    </row>
    <row r="37573" spans="20:21" ht="15" customHeight="1" x14ac:dyDescent="0.25">
      <c r="T37573" s="135"/>
      <c r="U37573" s="135"/>
    </row>
    <row r="37574" spans="20:21" ht="15" customHeight="1" x14ac:dyDescent="0.25">
      <c r="T37574" s="135"/>
      <c r="U37574" s="135"/>
    </row>
    <row r="37575" spans="20:21" ht="15" customHeight="1" x14ac:dyDescent="0.25">
      <c r="T37575" s="135"/>
      <c r="U37575" s="135"/>
    </row>
    <row r="37576" spans="20:21" ht="15" customHeight="1" x14ac:dyDescent="0.25">
      <c r="T37576" s="135"/>
      <c r="U37576" s="135"/>
    </row>
    <row r="37577" spans="20:21" ht="15" customHeight="1" x14ac:dyDescent="0.25">
      <c r="T37577" s="135"/>
      <c r="U37577" s="135"/>
    </row>
    <row r="37578" spans="20:21" ht="15" customHeight="1" x14ac:dyDescent="0.25">
      <c r="T37578" s="135"/>
      <c r="U37578" s="135"/>
    </row>
    <row r="37579" spans="20:21" ht="15" customHeight="1" x14ac:dyDescent="0.25">
      <c r="T37579" s="135"/>
      <c r="U37579" s="135"/>
    </row>
    <row r="37580" spans="20:21" ht="15" customHeight="1" x14ac:dyDescent="0.25">
      <c r="T37580" s="135"/>
      <c r="U37580" s="135"/>
    </row>
    <row r="37581" spans="20:21" ht="15" customHeight="1" x14ac:dyDescent="0.25">
      <c r="T37581" s="135"/>
      <c r="U37581" s="135"/>
    </row>
    <row r="37582" spans="20:21" ht="15" customHeight="1" x14ac:dyDescent="0.25">
      <c r="T37582" s="135"/>
      <c r="U37582" s="135"/>
    </row>
    <row r="37583" spans="20:21" ht="15" customHeight="1" x14ac:dyDescent="0.25">
      <c r="T37583" s="135"/>
      <c r="U37583" s="135"/>
    </row>
    <row r="37584" spans="20:21" ht="15" customHeight="1" x14ac:dyDescent="0.25">
      <c r="T37584" s="135"/>
      <c r="U37584" s="135"/>
    </row>
    <row r="37585" spans="20:21" ht="15" customHeight="1" x14ac:dyDescent="0.25">
      <c r="T37585" s="135"/>
      <c r="U37585" s="135"/>
    </row>
    <row r="37586" spans="20:21" ht="15" customHeight="1" x14ac:dyDescent="0.25">
      <c r="T37586" s="135"/>
      <c r="U37586" s="135"/>
    </row>
    <row r="37587" spans="20:21" ht="15" customHeight="1" x14ac:dyDescent="0.25">
      <c r="T37587" s="135"/>
      <c r="U37587" s="135"/>
    </row>
    <row r="37588" spans="20:21" ht="15" customHeight="1" x14ac:dyDescent="0.25">
      <c r="T37588" s="135"/>
      <c r="U37588" s="135"/>
    </row>
    <row r="37589" spans="20:21" ht="15" customHeight="1" x14ac:dyDescent="0.25">
      <c r="T37589" s="135"/>
      <c r="U37589" s="135"/>
    </row>
    <row r="37590" spans="20:21" ht="15" customHeight="1" x14ac:dyDescent="0.25">
      <c r="T37590" s="135"/>
      <c r="U37590" s="135"/>
    </row>
    <row r="37591" spans="20:21" ht="15" customHeight="1" x14ac:dyDescent="0.25">
      <c r="T37591" s="135"/>
      <c r="U37591" s="135"/>
    </row>
    <row r="37592" spans="20:21" ht="15" customHeight="1" x14ac:dyDescent="0.25">
      <c r="T37592" s="135"/>
      <c r="U37592" s="135"/>
    </row>
    <row r="37593" spans="20:21" ht="15" customHeight="1" x14ac:dyDescent="0.25">
      <c r="T37593" s="135"/>
      <c r="U37593" s="135"/>
    </row>
    <row r="37594" spans="20:21" ht="15" customHeight="1" x14ac:dyDescent="0.25">
      <c r="T37594" s="135"/>
      <c r="U37594" s="135"/>
    </row>
    <row r="37595" spans="20:21" ht="15" customHeight="1" x14ac:dyDescent="0.25">
      <c r="T37595" s="135"/>
      <c r="U37595" s="135"/>
    </row>
    <row r="37596" spans="20:21" ht="15" customHeight="1" x14ac:dyDescent="0.25">
      <c r="T37596" s="135"/>
      <c r="U37596" s="135"/>
    </row>
    <row r="37597" spans="20:21" ht="15" customHeight="1" x14ac:dyDescent="0.25">
      <c r="T37597" s="135"/>
      <c r="U37597" s="135"/>
    </row>
    <row r="37598" spans="20:21" ht="15" customHeight="1" x14ac:dyDescent="0.25">
      <c r="T37598" s="135"/>
      <c r="U37598" s="135"/>
    </row>
    <row r="37599" spans="20:21" ht="15" customHeight="1" x14ac:dyDescent="0.25">
      <c r="T37599" s="135"/>
      <c r="U37599" s="135"/>
    </row>
    <row r="37600" spans="20:21" ht="15" customHeight="1" x14ac:dyDescent="0.25">
      <c r="T37600" s="135"/>
      <c r="U37600" s="135"/>
    </row>
    <row r="37601" spans="20:21" ht="15" customHeight="1" x14ac:dyDescent="0.25">
      <c r="T37601" s="135"/>
      <c r="U37601" s="135"/>
    </row>
    <row r="37602" spans="20:21" ht="15" customHeight="1" x14ac:dyDescent="0.25">
      <c r="T37602" s="135"/>
      <c r="U37602" s="135"/>
    </row>
    <row r="37603" spans="20:21" ht="15" customHeight="1" x14ac:dyDescent="0.25">
      <c r="T37603" s="135"/>
      <c r="U37603" s="135"/>
    </row>
    <row r="37604" spans="20:21" ht="15" customHeight="1" x14ac:dyDescent="0.25">
      <c r="T37604" s="135"/>
      <c r="U37604" s="135"/>
    </row>
    <row r="37605" spans="20:21" ht="15" customHeight="1" x14ac:dyDescent="0.25">
      <c r="T37605" s="135"/>
      <c r="U37605" s="135"/>
    </row>
    <row r="37606" spans="20:21" ht="15" customHeight="1" x14ac:dyDescent="0.25">
      <c r="T37606" s="135"/>
      <c r="U37606" s="135"/>
    </row>
    <row r="37607" spans="20:21" ht="15" customHeight="1" x14ac:dyDescent="0.25">
      <c r="T37607" s="135"/>
      <c r="U37607" s="135"/>
    </row>
    <row r="37608" spans="20:21" ht="15" customHeight="1" x14ac:dyDescent="0.25">
      <c r="T37608" s="135"/>
      <c r="U37608" s="135"/>
    </row>
    <row r="37609" spans="20:21" ht="15" customHeight="1" x14ac:dyDescent="0.25">
      <c r="T37609" s="135"/>
      <c r="U37609" s="135"/>
    </row>
    <row r="37610" spans="20:21" ht="15" customHeight="1" x14ac:dyDescent="0.25">
      <c r="T37610" s="135"/>
      <c r="U37610" s="135"/>
    </row>
    <row r="37611" spans="20:21" ht="15" customHeight="1" x14ac:dyDescent="0.25">
      <c r="T37611" s="135"/>
      <c r="U37611" s="135"/>
    </row>
    <row r="37612" spans="20:21" ht="15" customHeight="1" x14ac:dyDescent="0.25">
      <c r="T37612" s="135"/>
      <c r="U37612" s="135"/>
    </row>
    <row r="37613" spans="20:21" ht="15" customHeight="1" x14ac:dyDescent="0.25">
      <c r="T37613" s="135"/>
      <c r="U37613" s="135"/>
    </row>
    <row r="37614" spans="20:21" ht="15" customHeight="1" x14ac:dyDescent="0.25">
      <c r="T37614" s="135"/>
      <c r="U37614" s="135"/>
    </row>
    <row r="37615" spans="20:21" ht="15" customHeight="1" x14ac:dyDescent="0.25">
      <c r="T37615" s="135"/>
      <c r="U37615" s="135"/>
    </row>
    <row r="37616" spans="20:21" ht="15" customHeight="1" x14ac:dyDescent="0.25">
      <c r="T37616" s="135"/>
      <c r="U37616" s="135"/>
    </row>
    <row r="37617" spans="20:21" ht="15" customHeight="1" x14ac:dyDescent="0.25">
      <c r="T37617" s="135"/>
      <c r="U37617" s="135"/>
    </row>
    <row r="37618" spans="20:21" ht="15" customHeight="1" x14ac:dyDescent="0.25">
      <c r="T37618" s="135"/>
      <c r="U37618" s="135"/>
    </row>
    <row r="37619" spans="20:21" ht="15" customHeight="1" x14ac:dyDescent="0.25">
      <c r="T37619" s="135"/>
      <c r="U37619" s="135"/>
    </row>
    <row r="37620" spans="20:21" ht="15" customHeight="1" x14ac:dyDescent="0.25">
      <c r="T37620" s="135"/>
      <c r="U37620" s="135"/>
    </row>
    <row r="37621" spans="20:21" ht="15" customHeight="1" x14ac:dyDescent="0.25">
      <c r="T37621" s="135"/>
      <c r="U37621" s="135"/>
    </row>
    <row r="37622" spans="20:21" ht="15" customHeight="1" x14ac:dyDescent="0.25">
      <c r="T37622" s="135"/>
      <c r="U37622" s="135"/>
    </row>
    <row r="37623" spans="20:21" ht="15" customHeight="1" x14ac:dyDescent="0.25">
      <c r="T37623" s="135"/>
      <c r="U37623" s="135"/>
    </row>
    <row r="37624" spans="20:21" ht="15" customHeight="1" x14ac:dyDescent="0.25">
      <c r="T37624" s="135"/>
      <c r="U37624" s="135"/>
    </row>
    <row r="37625" spans="20:21" ht="15" customHeight="1" x14ac:dyDescent="0.25">
      <c r="T37625" s="135"/>
      <c r="U37625" s="135"/>
    </row>
    <row r="37626" spans="20:21" ht="15" customHeight="1" x14ac:dyDescent="0.25">
      <c r="T37626" s="135"/>
      <c r="U37626" s="135"/>
    </row>
    <row r="37627" spans="20:21" ht="15" customHeight="1" x14ac:dyDescent="0.25">
      <c r="T37627" s="135"/>
      <c r="U37627" s="135"/>
    </row>
    <row r="37628" spans="20:21" ht="15" customHeight="1" x14ac:dyDescent="0.25">
      <c r="T37628" s="135"/>
      <c r="U37628" s="135"/>
    </row>
    <row r="37629" spans="20:21" ht="15" customHeight="1" x14ac:dyDescent="0.25">
      <c r="T37629" s="135"/>
      <c r="U37629" s="135"/>
    </row>
    <row r="37630" spans="20:21" ht="15" customHeight="1" x14ac:dyDescent="0.25">
      <c r="T37630" s="135"/>
      <c r="U37630" s="135"/>
    </row>
    <row r="37631" spans="20:21" ht="15" customHeight="1" x14ac:dyDescent="0.25">
      <c r="T37631" s="135"/>
      <c r="U37631" s="135"/>
    </row>
    <row r="37632" spans="20:21" ht="15" customHeight="1" x14ac:dyDescent="0.25">
      <c r="T37632" s="135"/>
      <c r="U37632" s="135"/>
    </row>
    <row r="37633" spans="20:21" ht="15" customHeight="1" x14ac:dyDescent="0.25">
      <c r="T37633" s="135"/>
      <c r="U37633" s="135"/>
    </row>
    <row r="37634" spans="20:21" ht="15" customHeight="1" x14ac:dyDescent="0.25">
      <c r="T37634" s="135"/>
      <c r="U37634" s="135"/>
    </row>
    <row r="37635" spans="20:21" ht="15" customHeight="1" x14ac:dyDescent="0.25">
      <c r="T37635" s="135"/>
      <c r="U37635" s="135"/>
    </row>
    <row r="37636" spans="20:21" ht="15" customHeight="1" x14ac:dyDescent="0.25">
      <c r="T37636" s="135"/>
      <c r="U37636" s="135"/>
    </row>
    <row r="37637" spans="20:21" ht="15" customHeight="1" x14ac:dyDescent="0.25">
      <c r="T37637" s="135"/>
      <c r="U37637" s="135"/>
    </row>
    <row r="37638" spans="20:21" ht="15" customHeight="1" x14ac:dyDescent="0.25">
      <c r="T37638" s="135"/>
      <c r="U37638" s="135"/>
    </row>
    <row r="37639" spans="20:21" ht="15" customHeight="1" x14ac:dyDescent="0.25">
      <c r="T37639" s="135"/>
      <c r="U37639" s="135"/>
    </row>
    <row r="37640" spans="20:21" ht="15" customHeight="1" x14ac:dyDescent="0.25">
      <c r="T37640" s="135"/>
      <c r="U37640" s="135"/>
    </row>
    <row r="37641" spans="20:21" ht="15" customHeight="1" x14ac:dyDescent="0.25">
      <c r="T37641" s="135"/>
      <c r="U37641" s="135"/>
    </row>
    <row r="37642" spans="20:21" ht="15" customHeight="1" x14ac:dyDescent="0.25">
      <c r="T37642" s="135"/>
      <c r="U37642" s="135"/>
    </row>
    <row r="37643" spans="20:21" ht="15" customHeight="1" x14ac:dyDescent="0.25">
      <c r="T37643" s="135"/>
      <c r="U37643" s="135"/>
    </row>
    <row r="37644" spans="20:21" ht="15" customHeight="1" x14ac:dyDescent="0.25">
      <c r="T37644" s="135"/>
      <c r="U37644" s="135"/>
    </row>
    <row r="37645" spans="20:21" ht="15" customHeight="1" x14ac:dyDescent="0.25">
      <c r="T37645" s="135"/>
      <c r="U37645" s="135"/>
    </row>
    <row r="37646" spans="20:21" ht="15" customHeight="1" x14ac:dyDescent="0.25">
      <c r="T37646" s="135"/>
      <c r="U37646" s="135"/>
    </row>
    <row r="37647" spans="20:21" ht="15" customHeight="1" x14ac:dyDescent="0.25">
      <c r="T37647" s="135"/>
      <c r="U37647" s="135"/>
    </row>
    <row r="37648" spans="20:21" ht="15" customHeight="1" x14ac:dyDescent="0.25">
      <c r="T37648" s="135"/>
      <c r="U37648" s="135"/>
    </row>
    <row r="37649" spans="20:21" ht="15" customHeight="1" x14ac:dyDescent="0.25">
      <c r="T37649" s="135"/>
      <c r="U37649" s="135"/>
    </row>
    <row r="37650" spans="20:21" ht="15" customHeight="1" x14ac:dyDescent="0.25">
      <c r="T37650" s="135"/>
      <c r="U37650" s="135"/>
    </row>
    <row r="37651" spans="20:21" ht="15" customHeight="1" x14ac:dyDescent="0.25">
      <c r="T37651" s="135"/>
      <c r="U37651" s="135"/>
    </row>
    <row r="37652" spans="20:21" ht="15" customHeight="1" x14ac:dyDescent="0.25">
      <c r="T37652" s="135"/>
      <c r="U37652" s="135"/>
    </row>
    <row r="37653" spans="20:21" ht="15" customHeight="1" x14ac:dyDescent="0.25">
      <c r="T37653" s="135"/>
      <c r="U37653" s="135"/>
    </row>
    <row r="37654" spans="20:21" ht="15" customHeight="1" x14ac:dyDescent="0.25">
      <c r="T37654" s="135"/>
      <c r="U37654" s="135"/>
    </row>
    <row r="37655" spans="20:21" ht="15" customHeight="1" x14ac:dyDescent="0.25">
      <c r="T37655" s="135"/>
      <c r="U37655" s="135"/>
    </row>
    <row r="37656" spans="20:21" ht="15" customHeight="1" x14ac:dyDescent="0.25">
      <c r="T37656" s="135"/>
      <c r="U37656" s="135"/>
    </row>
    <row r="37657" spans="20:21" ht="15" customHeight="1" x14ac:dyDescent="0.25">
      <c r="T37657" s="135"/>
      <c r="U37657" s="135"/>
    </row>
    <row r="37658" spans="20:21" ht="15" customHeight="1" x14ac:dyDescent="0.25">
      <c r="T37658" s="135"/>
      <c r="U37658" s="135"/>
    </row>
    <row r="37659" spans="20:21" ht="15" customHeight="1" x14ac:dyDescent="0.25">
      <c r="T37659" s="135"/>
      <c r="U37659" s="135"/>
    </row>
    <row r="37660" spans="20:21" ht="15" customHeight="1" x14ac:dyDescent="0.25">
      <c r="T37660" s="135"/>
      <c r="U37660" s="135"/>
    </row>
    <row r="37661" spans="20:21" ht="15" customHeight="1" x14ac:dyDescent="0.25">
      <c r="T37661" s="135"/>
      <c r="U37661" s="135"/>
    </row>
    <row r="37662" spans="20:21" ht="15" customHeight="1" x14ac:dyDescent="0.25">
      <c r="T37662" s="135"/>
      <c r="U37662" s="135"/>
    </row>
    <row r="37663" spans="20:21" ht="15" customHeight="1" x14ac:dyDescent="0.25">
      <c r="T37663" s="135"/>
      <c r="U37663" s="135"/>
    </row>
    <row r="37664" spans="20:21" ht="15" customHeight="1" x14ac:dyDescent="0.25">
      <c r="T37664" s="135"/>
      <c r="U37664" s="135"/>
    </row>
    <row r="37665" spans="20:21" ht="15" customHeight="1" x14ac:dyDescent="0.25">
      <c r="T37665" s="135"/>
      <c r="U37665" s="135"/>
    </row>
    <row r="37666" spans="20:21" ht="15" customHeight="1" x14ac:dyDescent="0.25">
      <c r="T37666" s="135"/>
      <c r="U37666" s="135"/>
    </row>
    <row r="37667" spans="20:21" ht="15" customHeight="1" x14ac:dyDescent="0.25">
      <c r="T37667" s="135"/>
      <c r="U37667" s="135"/>
    </row>
    <row r="37668" spans="20:21" ht="15" customHeight="1" x14ac:dyDescent="0.25">
      <c r="T37668" s="135"/>
      <c r="U37668" s="135"/>
    </row>
    <row r="37669" spans="20:21" ht="15" customHeight="1" x14ac:dyDescent="0.25">
      <c r="T37669" s="135"/>
      <c r="U37669" s="135"/>
    </row>
    <row r="37670" spans="20:21" ht="15" customHeight="1" x14ac:dyDescent="0.25">
      <c r="T37670" s="135"/>
      <c r="U37670" s="135"/>
    </row>
    <row r="37671" spans="20:21" ht="15" customHeight="1" x14ac:dyDescent="0.25">
      <c r="T37671" s="135"/>
      <c r="U37671" s="135"/>
    </row>
    <row r="37672" spans="20:21" ht="15" customHeight="1" x14ac:dyDescent="0.25">
      <c r="T37672" s="135"/>
      <c r="U37672" s="135"/>
    </row>
    <row r="37673" spans="20:21" ht="15" customHeight="1" x14ac:dyDescent="0.25">
      <c r="T37673" s="135"/>
      <c r="U37673" s="135"/>
    </row>
    <row r="37674" spans="20:21" ht="15" customHeight="1" x14ac:dyDescent="0.25">
      <c r="T37674" s="135"/>
      <c r="U37674" s="135"/>
    </row>
    <row r="37675" spans="20:21" ht="15" customHeight="1" x14ac:dyDescent="0.25">
      <c r="T37675" s="135"/>
      <c r="U37675" s="135"/>
    </row>
    <row r="37676" spans="20:21" ht="15" customHeight="1" x14ac:dyDescent="0.25">
      <c r="T37676" s="135"/>
      <c r="U37676" s="135"/>
    </row>
    <row r="37677" spans="20:21" ht="15" customHeight="1" x14ac:dyDescent="0.25">
      <c r="T37677" s="135"/>
      <c r="U37677" s="135"/>
    </row>
    <row r="37678" spans="20:21" ht="15" customHeight="1" x14ac:dyDescent="0.25">
      <c r="T37678" s="135"/>
      <c r="U37678" s="135"/>
    </row>
    <row r="37679" spans="20:21" ht="15" customHeight="1" x14ac:dyDescent="0.25">
      <c r="T37679" s="135"/>
      <c r="U37679" s="135"/>
    </row>
    <row r="37680" spans="20:21" ht="15" customHeight="1" x14ac:dyDescent="0.25">
      <c r="T37680" s="135"/>
      <c r="U37680" s="135"/>
    </row>
    <row r="37681" spans="20:21" ht="15" customHeight="1" x14ac:dyDescent="0.25">
      <c r="T37681" s="135"/>
      <c r="U37681" s="135"/>
    </row>
    <row r="37682" spans="20:21" ht="15" customHeight="1" x14ac:dyDescent="0.25">
      <c r="T37682" s="135"/>
      <c r="U37682" s="135"/>
    </row>
    <row r="37683" spans="20:21" ht="15" customHeight="1" x14ac:dyDescent="0.25">
      <c r="T37683" s="135"/>
      <c r="U37683" s="135"/>
    </row>
    <row r="37684" spans="20:21" ht="15" customHeight="1" x14ac:dyDescent="0.25">
      <c r="T37684" s="135"/>
      <c r="U37684" s="135"/>
    </row>
    <row r="37685" spans="20:21" ht="15" customHeight="1" x14ac:dyDescent="0.25">
      <c r="T37685" s="135"/>
      <c r="U37685" s="135"/>
    </row>
    <row r="37686" spans="20:21" ht="15" customHeight="1" x14ac:dyDescent="0.25">
      <c r="T37686" s="135"/>
      <c r="U37686" s="135"/>
    </row>
    <row r="37687" spans="20:21" ht="15" customHeight="1" x14ac:dyDescent="0.25">
      <c r="T37687" s="135"/>
      <c r="U37687" s="135"/>
    </row>
    <row r="37688" spans="20:21" ht="15" customHeight="1" x14ac:dyDescent="0.25">
      <c r="T37688" s="135"/>
      <c r="U37688" s="135"/>
    </row>
    <row r="37689" spans="20:21" ht="15" customHeight="1" x14ac:dyDescent="0.25">
      <c r="T37689" s="135"/>
      <c r="U37689" s="135"/>
    </row>
    <row r="37690" spans="20:21" ht="15" customHeight="1" x14ac:dyDescent="0.25">
      <c r="T37690" s="135"/>
      <c r="U37690" s="135"/>
    </row>
    <row r="37691" spans="20:21" ht="15" customHeight="1" x14ac:dyDescent="0.25">
      <c r="T37691" s="135"/>
      <c r="U37691" s="135"/>
    </row>
    <row r="37692" spans="20:21" ht="15" customHeight="1" x14ac:dyDescent="0.25">
      <c r="T37692" s="135"/>
      <c r="U37692" s="135"/>
    </row>
    <row r="37693" spans="20:21" ht="15" customHeight="1" x14ac:dyDescent="0.25">
      <c r="T37693" s="135"/>
      <c r="U37693" s="135"/>
    </row>
    <row r="37694" spans="20:21" ht="15" customHeight="1" x14ac:dyDescent="0.25">
      <c r="T37694" s="135"/>
      <c r="U37694" s="135"/>
    </row>
    <row r="37695" spans="20:21" ht="15" customHeight="1" x14ac:dyDescent="0.25">
      <c r="T37695" s="135"/>
      <c r="U37695" s="135"/>
    </row>
    <row r="37696" spans="20:21" ht="15" customHeight="1" x14ac:dyDescent="0.25">
      <c r="T37696" s="135"/>
      <c r="U37696" s="135"/>
    </row>
    <row r="37697" spans="20:21" ht="15" customHeight="1" x14ac:dyDescent="0.25">
      <c r="T37697" s="135"/>
      <c r="U37697" s="135"/>
    </row>
    <row r="37698" spans="20:21" ht="15" customHeight="1" x14ac:dyDescent="0.25">
      <c r="T37698" s="135"/>
      <c r="U37698" s="135"/>
    </row>
    <row r="37699" spans="20:21" ht="15" customHeight="1" x14ac:dyDescent="0.25">
      <c r="T37699" s="135"/>
      <c r="U37699" s="135"/>
    </row>
    <row r="37700" spans="20:21" ht="15" customHeight="1" x14ac:dyDescent="0.25">
      <c r="T37700" s="135"/>
      <c r="U37700" s="135"/>
    </row>
    <row r="37701" spans="20:21" ht="15" customHeight="1" x14ac:dyDescent="0.25">
      <c r="T37701" s="135"/>
      <c r="U37701" s="135"/>
    </row>
    <row r="37702" spans="20:21" ht="15" customHeight="1" x14ac:dyDescent="0.25">
      <c r="T37702" s="135"/>
      <c r="U37702" s="135"/>
    </row>
    <row r="37703" spans="20:21" ht="15" customHeight="1" x14ac:dyDescent="0.25">
      <c r="T37703" s="135"/>
      <c r="U37703" s="135"/>
    </row>
    <row r="37704" spans="20:21" ht="15" customHeight="1" x14ac:dyDescent="0.25">
      <c r="T37704" s="135"/>
      <c r="U37704" s="135"/>
    </row>
    <row r="37705" spans="20:21" ht="15" customHeight="1" x14ac:dyDescent="0.25">
      <c r="T37705" s="135"/>
      <c r="U37705" s="135"/>
    </row>
    <row r="37706" spans="20:21" ht="15" customHeight="1" x14ac:dyDescent="0.25">
      <c r="T37706" s="135"/>
      <c r="U37706" s="135"/>
    </row>
    <row r="37707" spans="20:21" ht="15" customHeight="1" x14ac:dyDescent="0.25">
      <c r="T37707" s="135"/>
      <c r="U37707" s="135"/>
    </row>
    <row r="37708" spans="20:21" ht="15" customHeight="1" x14ac:dyDescent="0.25">
      <c r="T37708" s="135"/>
      <c r="U37708" s="135"/>
    </row>
    <row r="37709" spans="20:21" ht="15" customHeight="1" x14ac:dyDescent="0.25">
      <c r="T37709" s="135"/>
      <c r="U37709" s="135"/>
    </row>
    <row r="37710" spans="20:21" ht="15" customHeight="1" x14ac:dyDescent="0.25">
      <c r="T37710" s="135"/>
      <c r="U37710" s="135"/>
    </row>
    <row r="37711" spans="20:21" ht="15" customHeight="1" x14ac:dyDescent="0.25">
      <c r="T37711" s="135"/>
      <c r="U37711" s="135"/>
    </row>
    <row r="37712" spans="20:21" ht="15" customHeight="1" x14ac:dyDescent="0.25">
      <c r="T37712" s="135"/>
      <c r="U37712" s="135"/>
    </row>
    <row r="37713" spans="20:21" ht="15" customHeight="1" x14ac:dyDescent="0.25">
      <c r="T37713" s="135"/>
      <c r="U37713" s="135"/>
    </row>
    <row r="37714" spans="20:21" ht="15" customHeight="1" x14ac:dyDescent="0.25">
      <c r="T37714" s="135"/>
      <c r="U37714" s="135"/>
    </row>
    <row r="37715" spans="20:21" ht="15" customHeight="1" x14ac:dyDescent="0.25">
      <c r="T37715" s="135"/>
      <c r="U37715" s="135"/>
    </row>
    <row r="37716" spans="20:21" ht="15" customHeight="1" x14ac:dyDescent="0.25">
      <c r="T37716" s="135"/>
      <c r="U37716" s="135"/>
    </row>
    <row r="37717" spans="20:21" ht="15" customHeight="1" x14ac:dyDescent="0.25">
      <c r="T37717" s="135"/>
      <c r="U37717" s="135"/>
    </row>
    <row r="37718" spans="20:21" ht="15" customHeight="1" x14ac:dyDescent="0.25">
      <c r="T37718" s="135"/>
      <c r="U37718" s="135"/>
    </row>
    <row r="37719" spans="20:21" ht="15" customHeight="1" x14ac:dyDescent="0.25">
      <c r="T37719" s="135"/>
      <c r="U37719" s="135"/>
    </row>
    <row r="37720" spans="20:21" ht="15" customHeight="1" x14ac:dyDescent="0.25">
      <c r="T37720" s="135"/>
      <c r="U37720" s="135"/>
    </row>
    <row r="37721" spans="20:21" ht="15" customHeight="1" x14ac:dyDescent="0.25">
      <c r="T37721" s="135"/>
      <c r="U37721" s="135"/>
    </row>
    <row r="37722" spans="20:21" ht="15" customHeight="1" x14ac:dyDescent="0.25">
      <c r="T37722" s="135"/>
      <c r="U37722" s="135"/>
    </row>
    <row r="37723" spans="20:21" ht="15" customHeight="1" x14ac:dyDescent="0.25">
      <c r="T37723" s="135"/>
      <c r="U37723" s="135"/>
    </row>
    <row r="37724" spans="20:21" ht="15" customHeight="1" x14ac:dyDescent="0.25">
      <c r="T37724" s="135"/>
      <c r="U37724" s="135"/>
    </row>
    <row r="37725" spans="20:21" ht="15" customHeight="1" x14ac:dyDescent="0.25">
      <c r="T37725" s="135"/>
      <c r="U37725" s="135"/>
    </row>
    <row r="37726" spans="20:21" ht="15" customHeight="1" x14ac:dyDescent="0.25">
      <c r="T37726" s="135"/>
      <c r="U37726" s="135"/>
    </row>
    <row r="37727" spans="20:21" ht="15" customHeight="1" x14ac:dyDescent="0.25">
      <c r="T37727" s="135"/>
      <c r="U37727" s="135"/>
    </row>
    <row r="37728" spans="20:21" ht="15" customHeight="1" x14ac:dyDescent="0.25">
      <c r="T37728" s="135"/>
      <c r="U37728" s="135"/>
    </row>
    <row r="37729" spans="20:21" ht="15" customHeight="1" x14ac:dyDescent="0.25">
      <c r="T37729" s="135"/>
      <c r="U37729" s="135"/>
    </row>
    <row r="37730" spans="20:21" ht="15" customHeight="1" x14ac:dyDescent="0.25">
      <c r="T37730" s="135"/>
      <c r="U37730" s="135"/>
    </row>
    <row r="37731" spans="20:21" ht="15" customHeight="1" x14ac:dyDescent="0.25">
      <c r="T37731" s="135"/>
      <c r="U37731" s="135"/>
    </row>
    <row r="37732" spans="20:21" ht="15" customHeight="1" x14ac:dyDescent="0.25">
      <c r="T37732" s="135"/>
      <c r="U37732" s="135"/>
    </row>
    <row r="37733" spans="20:21" ht="15" customHeight="1" x14ac:dyDescent="0.25">
      <c r="T37733" s="135"/>
      <c r="U37733" s="135"/>
    </row>
    <row r="37734" spans="20:21" ht="15" customHeight="1" x14ac:dyDescent="0.25">
      <c r="T37734" s="135"/>
      <c r="U37734" s="135"/>
    </row>
    <row r="37735" spans="20:21" ht="15" customHeight="1" x14ac:dyDescent="0.25">
      <c r="T37735" s="135"/>
      <c r="U37735" s="135"/>
    </row>
    <row r="37736" spans="20:21" ht="15" customHeight="1" x14ac:dyDescent="0.25">
      <c r="T37736" s="135"/>
      <c r="U37736" s="135"/>
    </row>
    <row r="37737" spans="20:21" ht="15" customHeight="1" x14ac:dyDescent="0.25">
      <c r="T37737" s="135"/>
      <c r="U37737" s="135"/>
    </row>
    <row r="37738" spans="20:21" ht="15" customHeight="1" x14ac:dyDescent="0.25">
      <c r="T37738" s="135"/>
      <c r="U37738" s="135"/>
    </row>
    <row r="37739" spans="20:21" ht="15" customHeight="1" x14ac:dyDescent="0.25">
      <c r="T37739" s="135"/>
      <c r="U37739" s="135"/>
    </row>
    <row r="37740" spans="20:21" ht="15" customHeight="1" x14ac:dyDescent="0.25">
      <c r="T37740" s="135"/>
      <c r="U37740" s="135"/>
    </row>
    <row r="37741" spans="20:21" ht="15" customHeight="1" x14ac:dyDescent="0.25">
      <c r="T37741" s="135"/>
      <c r="U37741" s="135"/>
    </row>
    <row r="37742" spans="20:21" ht="15" customHeight="1" x14ac:dyDescent="0.25">
      <c r="T37742" s="135"/>
      <c r="U37742" s="135"/>
    </row>
    <row r="37743" spans="20:21" ht="15" customHeight="1" x14ac:dyDescent="0.25">
      <c r="T37743" s="135"/>
      <c r="U37743" s="135"/>
    </row>
    <row r="37744" spans="20:21" ht="15" customHeight="1" x14ac:dyDescent="0.25">
      <c r="T37744" s="135"/>
      <c r="U37744" s="135"/>
    </row>
    <row r="37745" spans="20:21" ht="15" customHeight="1" x14ac:dyDescent="0.25">
      <c r="T37745" s="135"/>
      <c r="U37745" s="135"/>
    </row>
    <row r="37746" spans="20:21" ht="15" customHeight="1" x14ac:dyDescent="0.25">
      <c r="T37746" s="135"/>
      <c r="U37746" s="135"/>
    </row>
    <row r="37747" spans="20:21" ht="15" customHeight="1" x14ac:dyDescent="0.25">
      <c r="T37747" s="135"/>
      <c r="U37747" s="135"/>
    </row>
    <row r="37748" spans="20:21" ht="15" customHeight="1" x14ac:dyDescent="0.25">
      <c r="T37748" s="135"/>
      <c r="U37748" s="135"/>
    </row>
    <row r="37749" spans="20:21" ht="15" customHeight="1" x14ac:dyDescent="0.25">
      <c r="T37749" s="135"/>
      <c r="U37749" s="135"/>
    </row>
    <row r="37750" spans="20:21" ht="15" customHeight="1" x14ac:dyDescent="0.25">
      <c r="T37750" s="135"/>
      <c r="U37750" s="135"/>
    </row>
    <row r="37751" spans="20:21" ht="15" customHeight="1" x14ac:dyDescent="0.25">
      <c r="T37751" s="135"/>
      <c r="U37751" s="135"/>
    </row>
    <row r="37752" spans="20:21" ht="15" customHeight="1" x14ac:dyDescent="0.25">
      <c r="T37752" s="135"/>
      <c r="U37752" s="135"/>
    </row>
    <row r="37753" spans="20:21" ht="15" customHeight="1" x14ac:dyDescent="0.25">
      <c r="T37753" s="135"/>
      <c r="U37753" s="135"/>
    </row>
    <row r="37754" spans="20:21" ht="15" customHeight="1" x14ac:dyDescent="0.25">
      <c r="T37754" s="135"/>
      <c r="U37754" s="135"/>
    </row>
    <row r="37755" spans="20:21" ht="15" customHeight="1" x14ac:dyDescent="0.25">
      <c r="T37755" s="135"/>
      <c r="U37755" s="135"/>
    </row>
    <row r="37756" spans="20:21" ht="15" customHeight="1" x14ac:dyDescent="0.25">
      <c r="T37756" s="135"/>
      <c r="U37756" s="135"/>
    </row>
    <row r="37757" spans="20:21" ht="15" customHeight="1" x14ac:dyDescent="0.25">
      <c r="T37757" s="135"/>
      <c r="U37757" s="135"/>
    </row>
    <row r="37758" spans="20:21" ht="15" customHeight="1" x14ac:dyDescent="0.25">
      <c r="T37758" s="135"/>
      <c r="U37758" s="135"/>
    </row>
    <row r="37759" spans="20:21" ht="15" customHeight="1" x14ac:dyDescent="0.25">
      <c r="T37759" s="135"/>
      <c r="U37759" s="135"/>
    </row>
    <row r="37760" spans="20:21" ht="15" customHeight="1" x14ac:dyDescent="0.25">
      <c r="T37760" s="135"/>
      <c r="U37760" s="135"/>
    </row>
    <row r="37761" spans="20:21" ht="15" customHeight="1" x14ac:dyDescent="0.25">
      <c r="T37761" s="135"/>
      <c r="U37761" s="135"/>
    </row>
    <row r="37762" spans="20:21" ht="15" customHeight="1" x14ac:dyDescent="0.25">
      <c r="T37762" s="135"/>
      <c r="U37762" s="135"/>
    </row>
    <row r="37763" spans="20:21" ht="15" customHeight="1" x14ac:dyDescent="0.25">
      <c r="T37763" s="135"/>
      <c r="U37763" s="135"/>
    </row>
    <row r="37764" spans="20:21" ht="15" customHeight="1" x14ac:dyDescent="0.25">
      <c r="T37764" s="135"/>
      <c r="U37764" s="135"/>
    </row>
    <row r="37765" spans="20:21" ht="15" customHeight="1" x14ac:dyDescent="0.25">
      <c r="T37765" s="135"/>
      <c r="U37765" s="135"/>
    </row>
    <row r="37766" spans="20:21" ht="15" customHeight="1" x14ac:dyDescent="0.25">
      <c r="T37766" s="135"/>
      <c r="U37766" s="135"/>
    </row>
    <row r="37767" spans="20:21" ht="15" customHeight="1" x14ac:dyDescent="0.25">
      <c r="T37767" s="135"/>
      <c r="U37767" s="135"/>
    </row>
    <row r="37768" spans="20:21" ht="15" customHeight="1" x14ac:dyDescent="0.25">
      <c r="T37768" s="135"/>
      <c r="U37768" s="135"/>
    </row>
    <row r="37769" spans="20:21" ht="15" customHeight="1" x14ac:dyDescent="0.25">
      <c r="T37769" s="135"/>
      <c r="U37769" s="135"/>
    </row>
    <row r="37770" spans="20:21" ht="15" customHeight="1" x14ac:dyDescent="0.25">
      <c r="T37770" s="135"/>
      <c r="U37770" s="135"/>
    </row>
    <row r="37771" spans="20:21" ht="15" customHeight="1" x14ac:dyDescent="0.25">
      <c r="T37771" s="135"/>
      <c r="U37771" s="135"/>
    </row>
    <row r="37772" spans="20:21" ht="15" customHeight="1" x14ac:dyDescent="0.25">
      <c r="T37772" s="135"/>
      <c r="U37772" s="135"/>
    </row>
    <row r="37773" spans="20:21" ht="15" customHeight="1" x14ac:dyDescent="0.25">
      <c r="T37773" s="135"/>
      <c r="U37773" s="135"/>
    </row>
    <row r="37774" spans="20:21" ht="15" customHeight="1" x14ac:dyDescent="0.25">
      <c r="T37774" s="135"/>
      <c r="U37774" s="135"/>
    </row>
    <row r="37775" spans="20:21" ht="15" customHeight="1" x14ac:dyDescent="0.25">
      <c r="T37775" s="135"/>
      <c r="U37775" s="135"/>
    </row>
    <row r="37776" spans="20:21" ht="15" customHeight="1" x14ac:dyDescent="0.25">
      <c r="T37776" s="135"/>
      <c r="U37776" s="135"/>
    </row>
    <row r="37777" spans="20:21" ht="15" customHeight="1" x14ac:dyDescent="0.25">
      <c r="T37777" s="135"/>
      <c r="U37777" s="135"/>
    </row>
    <row r="37778" spans="20:21" ht="15" customHeight="1" x14ac:dyDescent="0.25">
      <c r="T37778" s="135"/>
      <c r="U37778" s="135"/>
    </row>
    <row r="37779" spans="20:21" ht="15" customHeight="1" x14ac:dyDescent="0.25">
      <c r="T37779" s="135"/>
      <c r="U37779" s="135"/>
    </row>
    <row r="37780" spans="20:21" ht="15" customHeight="1" x14ac:dyDescent="0.25">
      <c r="T37780" s="135"/>
      <c r="U37780" s="135"/>
    </row>
    <row r="37781" spans="20:21" ht="15" customHeight="1" x14ac:dyDescent="0.25">
      <c r="T37781" s="135"/>
      <c r="U37781" s="135"/>
    </row>
    <row r="37782" spans="20:21" ht="15" customHeight="1" x14ac:dyDescent="0.25">
      <c r="T37782" s="135"/>
      <c r="U37782" s="135"/>
    </row>
    <row r="37783" spans="20:21" ht="15" customHeight="1" x14ac:dyDescent="0.25">
      <c r="T37783" s="135"/>
      <c r="U37783" s="135"/>
    </row>
    <row r="37784" spans="20:21" ht="15" customHeight="1" x14ac:dyDescent="0.25">
      <c r="T37784" s="135"/>
      <c r="U37784" s="135"/>
    </row>
    <row r="37785" spans="20:21" ht="15" customHeight="1" x14ac:dyDescent="0.25">
      <c r="T37785" s="135"/>
      <c r="U37785" s="135"/>
    </row>
    <row r="37786" spans="20:21" ht="15" customHeight="1" x14ac:dyDescent="0.25">
      <c r="T37786" s="135"/>
      <c r="U37786" s="135"/>
    </row>
    <row r="37787" spans="20:21" ht="15" customHeight="1" x14ac:dyDescent="0.25">
      <c r="T37787" s="135"/>
      <c r="U37787" s="135"/>
    </row>
    <row r="37788" spans="20:21" ht="15" customHeight="1" x14ac:dyDescent="0.25">
      <c r="T37788" s="135"/>
      <c r="U37788" s="135"/>
    </row>
    <row r="37789" spans="20:21" ht="15" customHeight="1" x14ac:dyDescent="0.25">
      <c r="T37789" s="135"/>
      <c r="U37789" s="135"/>
    </row>
    <row r="37790" spans="20:21" ht="15" customHeight="1" x14ac:dyDescent="0.25">
      <c r="T37790" s="135"/>
      <c r="U37790" s="135"/>
    </row>
    <row r="37791" spans="20:21" ht="15" customHeight="1" x14ac:dyDescent="0.25">
      <c r="T37791" s="135"/>
      <c r="U37791" s="135"/>
    </row>
    <row r="37792" spans="20:21" ht="15" customHeight="1" x14ac:dyDescent="0.25">
      <c r="T37792" s="135"/>
      <c r="U37792" s="135"/>
    </row>
    <row r="37793" spans="20:21" ht="15" customHeight="1" x14ac:dyDescent="0.25">
      <c r="T37793" s="135"/>
      <c r="U37793" s="135"/>
    </row>
    <row r="37794" spans="20:21" ht="15" customHeight="1" x14ac:dyDescent="0.25">
      <c r="T37794" s="135"/>
      <c r="U37794" s="135"/>
    </row>
    <row r="37795" spans="20:21" ht="15" customHeight="1" x14ac:dyDescent="0.25">
      <c r="T37795" s="135"/>
      <c r="U37795" s="135"/>
    </row>
    <row r="37796" spans="20:21" ht="15" customHeight="1" x14ac:dyDescent="0.25">
      <c r="T37796" s="135"/>
      <c r="U37796" s="135"/>
    </row>
    <row r="37797" spans="20:21" ht="15" customHeight="1" x14ac:dyDescent="0.25">
      <c r="T37797" s="135"/>
      <c r="U37797" s="135"/>
    </row>
    <row r="37798" spans="20:21" ht="15" customHeight="1" x14ac:dyDescent="0.25">
      <c r="T37798" s="135"/>
      <c r="U37798" s="135"/>
    </row>
    <row r="37799" spans="20:21" ht="15" customHeight="1" x14ac:dyDescent="0.25">
      <c r="T37799" s="135"/>
      <c r="U37799" s="135"/>
    </row>
    <row r="37800" spans="20:21" ht="15" customHeight="1" x14ac:dyDescent="0.25">
      <c r="T37800" s="135"/>
      <c r="U37800" s="135"/>
    </row>
    <row r="37801" spans="20:21" ht="15" customHeight="1" x14ac:dyDescent="0.25">
      <c r="T37801" s="135"/>
      <c r="U37801" s="135"/>
    </row>
    <row r="37802" spans="20:21" ht="15" customHeight="1" x14ac:dyDescent="0.25">
      <c r="T37802" s="135"/>
      <c r="U37802" s="135"/>
    </row>
    <row r="37803" spans="20:21" ht="15" customHeight="1" x14ac:dyDescent="0.25">
      <c r="T37803" s="135"/>
      <c r="U37803" s="135"/>
    </row>
    <row r="37804" spans="20:21" ht="15" customHeight="1" x14ac:dyDescent="0.25">
      <c r="T37804" s="135"/>
      <c r="U37804" s="135"/>
    </row>
    <row r="37805" spans="20:21" ht="15" customHeight="1" x14ac:dyDescent="0.25">
      <c r="T37805" s="135"/>
      <c r="U37805" s="135"/>
    </row>
    <row r="37806" spans="20:21" ht="15" customHeight="1" x14ac:dyDescent="0.25">
      <c r="T37806" s="135"/>
      <c r="U37806" s="135"/>
    </row>
    <row r="37807" spans="20:21" ht="15" customHeight="1" x14ac:dyDescent="0.25">
      <c r="T37807" s="135"/>
      <c r="U37807" s="135"/>
    </row>
    <row r="37808" spans="20:21" ht="15" customHeight="1" x14ac:dyDescent="0.25">
      <c r="T37808" s="135"/>
      <c r="U37808" s="135"/>
    </row>
    <row r="37809" spans="20:21" ht="15" customHeight="1" x14ac:dyDescent="0.25">
      <c r="T37809" s="135"/>
      <c r="U37809" s="135"/>
    </row>
    <row r="37810" spans="20:21" ht="15" customHeight="1" x14ac:dyDescent="0.25">
      <c r="T37810" s="135"/>
      <c r="U37810" s="135"/>
    </row>
    <row r="37811" spans="20:21" ht="15" customHeight="1" x14ac:dyDescent="0.25">
      <c r="T37811" s="135"/>
      <c r="U37811" s="135"/>
    </row>
    <row r="37812" spans="20:21" ht="15" customHeight="1" x14ac:dyDescent="0.25">
      <c r="T37812" s="135"/>
      <c r="U37812" s="135"/>
    </row>
    <row r="37813" spans="20:21" ht="15" customHeight="1" x14ac:dyDescent="0.25">
      <c r="T37813" s="135"/>
      <c r="U37813" s="135"/>
    </row>
    <row r="37814" spans="20:21" ht="15" customHeight="1" x14ac:dyDescent="0.25">
      <c r="T37814" s="135"/>
      <c r="U37814" s="135"/>
    </row>
    <row r="37815" spans="20:21" ht="15" customHeight="1" x14ac:dyDescent="0.25">
      <c r="T37815" s="135"/>
      <c r="U37815" s="135"/>
    </row>
    <row r="37816" spans="20:21" ht="15" customHeight="1" x14ac:dyDescent="0.25">
      <c r="T37816" s="135"/>
      <c r="U37816" s="135"/>
    </row>
    <row r="37817" spans="20:21" ht="15" customHeight="1" x14ac:dyDescent="0.25">
      <c r="T37817" s="135"/>
      <c r="U37817" s="135"/>
    </row>
    <row r="37818" spans="20:21" ht="15" customHeight="1" x14ac:dyDescent="0.25">
      <c r="T37818" s="135"/>
      <c r="U37818" s="135"/>
    </row>
    <row r="37819" spans="20:21" ht="15" customHeight="1" x14ac:dyDescent="0.25">
      <c r="T37819" s="135"/>
      <c r="U37819" s="135"/>
    </row>
    <row r="37820" spans="20:21" ht="15" customHeight="1" x14ac:dyDescent="0.25">
      <c r="T37820" s="135"/>
      <c r="U37820" s="135"/>
    </row>
    <row r="37821" spans="20:21" ht="15" customHeight="1" x14ac:dyDescent="0.25">
      <c r="T37821" s="135"/>
      <c r="U37821" s="135"/>
    </row>
    <row r="37822" spans="20:21" ht="15" customHeight="1" x14ac:dyDescent="0.25">
      <c r="T37822" s="135"/>
      <c r="U37822" s="135"/>
    </row>
    <row r="37823" spans="20:21" ht="15" customHeight="1" x14ac:dyDescent="0.25">
      <c r="T37823" s="135"/>
      <c r="U37823" s="135"/>
    </row>
    <row r="37824" spans="20:21" ht="15" customHeight="1" x14ac:dyDescent="0.25">
      <c r="T37824" s="135"/>
      <c r="U37824" s="135"/>
    </row>
    <row r="37825" spans="20:21" ht="15" customHeight="1" x14ac:dyDescent="0.25">
      <c r="T37825" s="135"/>
      <c r="U37825" s="135"/>
    </row>
    <row r="37826" spans="20:21" ht="15" customHeight="1" x14ac:dyDescent="0.25">
      <c r="T37826" s="135"/>
      <c r="U37826" s="135"/>
    </row>
    <row r="37827" spans="20:21" ht="15" customHeight="1" x14ac:dyDescent="0.25">
      <c r="T37827" s="135"/>
      <c r="U37827" s="135"/>
    </row>
    <row r="37828" spans="20:21" ht="15" customHeight="1" x14ac:dyDescent="0.25">
      <c r="T37828" s="135"/>
      <c r="U37828" s="135"/>
    </row>
    <row r="37829" spans="20:21" ht="15" customHeight="1" x14ac:dyDescent="0.25">
      <c r="T37829" s="135"/>
      <c r="U37829" s="135"/>
    </row>
    <row r="37830" spans="20:21" ht="15" customHeight="1" x14ac:dyDescent="0.25">
      <c r="T37830" s="135"/>
      <c r="U37830" s="135"/>
    </row>
    <row r="37831" spans="20:21" ht="15" customHeight="1" x14ac:dyDescent="0.25">
      <c r="T37831" s="135"/>
      <c r="U37831" s="135"/>
    </row>
    <row r="37832" spans="20:21" ht="15" customHeight="1" x14ac:dyDescent="0.25">
      <c r="T37832" s="135"/>
      <c r="U37832" s="135"/>
    </row>
    <row r="37833" spans="20:21" ht="15" customHeight="1" x14ac:dyDescent="0.25">
      <c r="T37833" s="135"/>
      <c r="U37833" s="135"/>
    </row>
    <row r="37834" spans="20:21" ht="15" customHeight="1" x14ac:dyDescent="0.25">
      <c r="T37834" s="135"/>
      <c r="U37834" s="135"/>
    </row>
    <row r="37835" spans="20:21" ht="15" customHeight="1" x14ac:dyDescent="0.25">
      <c r="T37835" s="135"/>
      <c r="U37835" s="135"/>
    </row>
    <row r="37836" spans="20:21" ht="15" customHeight="1" x14ac:dyDescent="0.25">
      <c r="T37836" s="135"/>
      <c r="U37836" s="135"/>
    </row>
    <row r="37837" spans="20:21" ht="15" customHeight="1" x14ac:dyDescent="0.25">
      <c r="T37837" s="135"/>
      <c r="U37837" s="135"/>
    </row>
    <row r="37838" spans="20:21" ht="15" customHeight="1" x14ac:dyDescent="0.25">
      <c r="T37838" s="135"/>
      <c r="U37838" s="135"/>
    </row>
    <row r="37839" spans="20:21" ht="15" customHeight="1" x14ac:dyDescent="0.25">
      <c r="T37839" s="135"/>
      <c r="U37839" s="135"/>
    </row>
    <row r="37840" spans="20:21" ht="15" customHeight="1" x14ac:dyDescent="0.25">
      <c r="T37840" s="135"/>
      <c r="U37840" s="135"/>
    </row>
    <row r="37841" spans="20:21" ht="15" customHeight="1" x14ac:dyDescent="0.25">
      <c r="T37841" s="135"/>
      <c r="U37841" s="135"/>
    </row>
    <row r="37842" spans="20:21" ht="15" customHeight="1" x14ac:dyDescent="0.25">
      <c r="T37842" s="135"/>
      <c r="U37842" s="135"/>
    </row>
    <row r="37843" spans="20:21" ht="15" customHeight="1" x14ac:dyDescent="0.25">
      <c r="T37843" s="135"/>
      <c r="U37843" s="135"/>
    </row>
    <row r="37844" spans="20:21" ht="15" customHeight="1" x14ac:dyDescent="0.25">
      <c r="T37844" s="135"/>
      <c r="U37844" s="135"/>
    </row>
    <row r="37845" spans="20:21" ht="15" customHeight="1" x14ac:dyDescent="0.25">
      <c r="T37845" s="135"/>
      <c r="U37845" s="135"/>
    </row>
    <row r="37846" spans="20:21" ht="15" customHeight="1" x14ac:dyDescent="0.25">
      <c r="T37846" s="135"/>
      <c r="U37846" s="135"/>
    </row>
    <row r="37847" spans="20:21" ht="15" customHeight="1" x14ac:dyDescent="0.25">
      <c r="T37847" s="135"/>
      <c r="U37847" s="135"/>
    </row>
    <row r="37848" spans="20:21" ht="15" customHeight="1" x14ac:dyDescent="0.25">
      <c r="T37848" s="135"/>
      <c r="U37848" s="135"/>
    </row>
    <row r="37849" spans="20:21" ht="15" customHeight="1" x14ac:dyDescent="0.25">
      <c r="T37849" s="135"/>
      <c r="U37849" s="135"/>
    </row>
    <row r="37850" spans="20:21" ht="15" customHeight="1" x14ac:dyDescent="0.25">
      <c r="T37850" s="135"/>
      <c r="U37850" s="135"/>
    </row>
    <row r="37851" spans="20:21" ht="15" customHeight="1" x14ac:dyDescent="0.25">
      <c r="T37851" s="135"/>
      <c r="U37851" s="135"/>
    </row>
    <row r="37852" spans="20:21" ht="15" customHeight="1" x14ac:dyDescent="0.25">
      <c r="T37852" s="135"/>
      <c r="U37852" s="135"/>
    </row>
    <row r="37853" spans="20:21" ht="15" customHeight="1" x14ac:dyDescent="0.25">
      <c r="T37853" s="135"/>
      <c r="U37853" s="135"/>
    </row>
    <row r="37854" spans="20:21" ht="15" customHeight="1" x14ac:dyDescent="0.25">
      <c r="T37854" s="135"/>
      <c r="U37854" s="135"/>
    </row>
    <row r="37855" spans="20:21" ht="15" customHeight="1" x14ac:dyDescent="0.25">
      <c r="T37855" s="135"/>
      <c r="U37855" s="135"/>
    </row>
    <row r="37856" spans="20:21" ht="15" customHeight="1" x14ac:dyDescent="0.25">
      <c r="T37856" s="135"/>
      <c r="U37856" s="135"/>
    </row>
    <row r="37857" spans="20:21" ht="15" customHeight="1" x14ac:dyDescent="0.25">
      <c r="T37857" s="135"/>
      <c r="U37857" s="135"/>
    </row>
    <row r="37858" spans="20:21" ht="15" customHeight="1" x14ac:dyDescent="0.25">
      <c r="T37858" s="135"/>
      <c r="U37858" s="135"/>
    </row>
    <row r="37859" spans="20:21" ht="15" customHeight="1" x14ac:dyDescent="0.25">
      <c r="T37859" s="135"/>
      <c r="U37859" s="135"/>
    </row>
    <row r="37860" spans="20:21" ht="15" customHeight="1" x14ac:dyDescent="0.25">
      <c r="T37860" s="135"/>
      <c r="U37860" s="135"/>
    </row>
    <row r="37861" spans="20:21" ht="15" customHeight="1" x14ac:dyDescent="0.25">
      <c r="T37861" s="135"/>
      <c r="U37861" s="135"/>
    </row>
    <row r="37862" spans="20:21" ht="15" customHeight="1" x14ac:dyDescent="0.25">
      <c r="T37862" s="135"/>
      <c r="U37862" s="135"/>
    </row>
    <row r="37863" spans="20:21" ht="15" customHeight="1" x14ac:dyDescent="0.25">
      <c r="T37863" s="135"/>
      <c r="U37863" s="135"/>
    </row>
    <row r="37864" spans="20:21" ht="15" customHeight="1" x14ac:dyDescent="0.25">
      <c r="T37864" s="135"/>
      <c r="U37864" s="135"/>
    </row>
    <row r="37865" spans="20:21" ht="15" customHeight="1" x14ac:dyDescent="0.25">
      <c r="T37865" s="135"/>
      <c r="U37865" s="135"/>
    </row>
    <row r="37866" spans="20:21" ht="15" customHeight="1" x14ac:dyDescent="0.25">
      <c r="T37866" s="135"/>
      <c r="U37866" s="135"/>
    </row>
    <row r="37867" spans="20:21" ht="15" customHeight="1" x14ac:dyDescent="0.25">
      <c r="T37867" s="135"/>
      <c r="U37867" s="135"/>
    </row>
    <row r="37868" spans="20:21" ht="15" customHeight="1" x14ac:dyDescent="0.25">
      <c r="T37868" s="135"/>
      <c r="U37868" s="135"/>
    </row>
    <row r="37869" spans="20:21" ht="15" customHeight="1" x14ac:dyDescent="0.25">
      <c r="T37869" s="135"/>
      <c r="U37869" s="135"/>
    </row>
    <row r="37870" spans="20:21" ht="15" customHeight="1" x14ac:dyDescent="0.25">
      <c r="T37870" s="135"/>
      <c r="U37870" s="135"/>
    </row>
    <row r="37871" spans="20:21" ht="15" customHeight="1" x14ac:dyDescent="0.25">
      <c r="T37871" s="135"/>
      <c r="U37871" s="135"/>
    </row>
    <row r="37872" spans="20:21" ht="15" customHeight="1" x14ac:dyDescent="0.25">
      <c r="T37872" s="135"/>
      <c r="U37872" s="135"/>
    </row>
    <row r="37873" spans="20:21" ht="15" customHeight="1" x14ac:dyDescent="0.25">
      <c r="T37873" s="135"/>
      <c r="U37873" s="135"/>
    </row>
    <row r="37874" spans="20:21" ht="15" customHeight="1" x14ac:dyDescent="0.25">
      <c r="T37874" s="135"/>
      <c r="U37874" s="135"/>
    </row>
    <row r="37875" spans="20:21" ht="15" customHeight="1" x14ac:dyDescent="0.25">
      <c r="T37875" s="135"/>
      <c r="U37875" s="135"/>
    </row>
    <row r="37876" spans="20:21" ht="15" customHeight="1" x14ac:dyDescent="0.25">
      <c r="T37876" s="135"/>
      <c r="U37876" s="135"/>
    </row>
    <row r="37877" spans="20:21" ht="15" customHeight="1" x14ac:dyDescent="0.25">
      <c r="T37877" s="135"/>
      <c r="U37877" s="135"/>
    </row>
    <row r="37878" spans="20:21" ht="15" customHeight="1" x14ac:dyDescent="0.25">
      <c r="T37878" s="135"/>
      <c r="U37878" s="135"/>
    </row>
    <row r="37879" spans="20:21" ht="15" customHeight="1" x14ac:dyDescent="0.25">
      <c r="T37879" s="135"/>
      <c r="U37879" s="135"/>
    </row>
    <row r="37880" spans="20:21" ht="15" customHeight="1" x14ac:dyDescent="0.25">
      <c r="T37880" s="135"/>
      <c r="U37880" s="135"/>
    </row>
    <row r="37881" spans="20:21" ht="15" customHeight="1" x14ac:dyDescent="0.25">
      <c r="T37881" s="135"/>
      <c r="U37881" s="135"/>
    </row>
    <row r="37882" spans="20:21" ht="15" customHeight="1" x14ac:dyDescent="0.25">
      <c r="T37882" s="135"/>
      <c r="U37882" s="135"/>
    </row>
    <row r="37883" spans="20:21" ht="15" customHeight="1" x14ac:dyDescent="0.25">
      <c r="T37883" s="135"/>
      <c r="U37883" s="135"/>
    </row>
    <row r="37884" spans="20:21" ht="15" customHeight="1" x14ac:dyDescent="0.25">
      <c r="T37884" s="135"/>
      <c r="U37884" s="135"/>
    </row>
    <row r="37885" spans="20:21" ht="15" customHeight="1" x14ac:dyDescent="0.25">
      <c r="T37885" s="135"/>
      <c r="U37885" s="135"/>
    </row>
    <row r="37886" spans="20:21" ht="15" customHeight="1" x14ac:dyDescent="0.25">
      <c r="T37886" s="135"/>
      <c r="U37886" s="135"/>
    </row>
    <row r="37887" spans="20:21" ht="15" customHeight="1" x14ac:dyDescent="0.25">
      <c r="T37887" s="135"/>
      <c r="U37887" s="135"/>
    </row>
    <row r="37888" spans="20:21" ht="15" customHeight="1" x14ac:dyDescent="0.25">
      <c r="T37888" s="135"/>
      <c r="U37888" s="135"/>
    </row>
    <row r="37889" spans="20:21" ht="15" customHeight="1" x14ac:dyDescent="0.25">
      <c r="T37889" s="135"/>
      <c r="U37889" s="135"/>
    </row>
    <row r="37890" spans="20:21" ht="15" customHeight="1" x14ac:dyDescent="0.25">
      <c r="T37890" s="135"/>
      <c r="U37890" s="135"/>
    </row>
    <row r="37891" spans="20:21" ht="15" customHeight="1" x14ac:dyDescent="0.25">
      <c r="T37891" s="135"/>
      <c r="U37891" s="135"/>
    </row>
    <row r="37892" spans="20:21" ht="15" customHeight="1" x14ac:dyDescent="0.25">
      <c r="T37892" s="135"/>
      <c r="U37892" s="135"/>
    </row>
    <row r="37893" spans="20:21" ht="15" customHeight="1" x14ac:dyDescent="0.25">
      <c r="T37893" s="135"/>
      <c r="U37893" s="135"/>
    </row>
    <row r="37894" spans="20:21" ht="15" customHeight="1" x14ac:dyDescent="0.25">
      <c r="T37894" s="135"/>
      <c r="U37894" s="135"/>
    </row>
    <row r="37895" spans="20:21" ht="15" customHeight="1" x14ac:dyDescent="0.25">
      <c r="T37895" s="135"/>
      <c r="U37895" s="135"/>
    </row>
    <row r="37896" spans="20:21" ht="15" customHeight="1" x14ac:dyDescent="0.25">
      <c r="T37896" s="135"/>
      <c r="U37896" s="135"/>
    </row>
    <row r="37897" spans="20:21" ht="15" customHeight="1" x14ac:dyDescent="0.25">
      <c r="T37897" s="135"/>
      <c r="U37897" s="135"/>
    </row>
    <row r="37898" spans="20:21" ht="15" customHeight="1" x14ac:dyDescent="0.25">
      <c r="T37898" s="135"/>
      <c r="U37898" s="135"/>
    </row>
    <row r="37899" spans="20:21" ht="15" customHeight="1" x14ac:dyDescent="0.25">
      <c r="T37899" s="135"/>
      <c r="U37899" s="135"/>
    </row>
    <row r="37900" spans="20:21" ht="15" customHeight="1" x14ac:dyDescent="0.25">
      <c r="T37900" s="135"/>
      <c r="U37900" s="135"/>
    </row>
    <row r="37901" spans="20:21" ht="15" customHeight="1" x14ac:dyDescent="0.25">
      <c r="T37901" s="135"/>
      <c r="U37901" s="135"/>
    </row>
    <row r="37902" spans="20:21" ht="15" customHeight="1" x14ac:dyDescent="0.25">
      <c r="T37902" s="135"/>
      <c r="U37902" s="135"/>
    </row>
    <row r="37903" spans="20:21" ht="15" customHeight="1" x14ac:dyDescent="0.25">
      <c r="T37903" s="135"/>
      <c r="U37903" s="135"/>
    </row>
    <row r="37904" spans="20:21" ht="15" customHeight="1" x14ac:dyDescent="0.25">
      <c r="T37904" s="135"/>
      <c r="U37904" s="135"/>
    </row>
    <row r="37905" spans="20:21" ht="15" customHeight="1" x14ac:dyDescent="0.25">
      <c r="T37905" s="135"/>
      <c r="U37905" s="135"/>
    </row>
    <row r="37906" spans="20:21" ht="15" customHeight="1" x14ac:dyDescent="0.25">
      <c r="T37906" s="135"/>
      <c r="U37906" s="135"/>
    </row>
    <row r="37907" spans="20:21" ht="15" customHeight="1" x14ac:dyDescent="0.25">
      <c r="T37907" s="135"/>
      <c r="U37907" s="135"/>
    </row>
    <row r="37908" spans="20:21" ht="15" customHeight="1" x14ac:dyDescent="0.25">
      <c r="T37908" s="135"/>
      <c r="U37908" s="135"/>
    </row>
    <row r="37909" spans="20:21" ht="15" customHeight="1" x14ac:dyDescent="0.25">
      <c r="T37909" s="135"/>
      <c r="U37909" s="135"/>
    </row>
    <row r="37910" spans="20:21" ht="15" customHeight="1" x14ac:dyDescent="0.25">
      <c r="T37910" s="135"/>
      <c r="U37910" s="135"/>
    </row>
    <row r="37911" spans="20:21" ht="15" customHeight="1" x14ac:dyDescent="0.25">
      <c r="T37911" s="135"/>
      <c r="U37911" s="135"/>
    </row>
    <row r="37912" spans="20:21" ht="15" customHeight="1" x14ac:dyDescent="0.25">
      <c r="T37912" s="135"/>
      <c r="U37912" s="135"/>
    </row>
    <row r="37913" spans="20:21" ht="15" customHeight="1" x14ac:dyDescent="0.25">
      <c r="T37913" s="135"/>
      <c r="U37913" s="135"/>
    </row>
    <row r="37914" spans="20:21" ht="15" customHeight="1" x14ac:dyDescent="0.25">
      <c r="T37914" s="135"/>
      <c r="U37914" s="135"/>
    </row>
    <row r="37915" spans="20:21" ht="15" customHeight="1" x14ac:dyDescent="0.25">
      <c r="T37915" s="135"/>
      <c r="U37915" s="135"/>
    </row>
    <row r="37916" spans="20:21" ht="15" customHeight="1" x14ac:dyDescent="0.25">
      <c r="T37916" s="135"/>
      <c r="U37916" s="135"/>
    </row>
    <row r="37917" spans="20:21" ht="15" customHeight="1" x14ac:dyDescent="0.25">
      <c r="T37917" s="135"/>
      <c r="U37917" s="135"/>
    </row>
    <row r="37918" spans="20:21" ht="15" customHeight="1" x14ac:dyDescent="0.25">
      <c r="T37918" s="135"/>
      <c r="U37918" s="135"/>
    </row>
    <row r="37919" spans="20:21" ht="15" customHeight="1" x14ac:dyDescent="0.25">
      <c r="T37919" s="135"/>
      <c r="U37919" s="135"/>
    </row>
    <row r="37920" spans="20:21" ht="15" customHeight="1" x14ac:dyDescent="0.25">
      <c r="T37920" s="135"/>
      <c r="U37920" s="135"/>
    </row>
    <row r="37921" spans="20:21" ht="15" customHeight="1" x14ac:dyDescent="0.25">
      <c r="T37921" s="135"/>
      <c r="U37921" s="135"/>
    </row>
    <row r="37922" spans="20:21" ht="15" customHeight="1" x14ac:dyDescent="0.25">
      <c r="T37922" s="135"/>
      <c r="U37922" s="135"/>
    </row>
    <row r="37923" spans="20:21" ht="15" customHeight="1" x14ac:dyDescent="0.25">
      <c r="T37923" s="135"/>
      <c r="U37923" s="135"/>
    </row>
    <row r="37924" spans="20:21" ht="15" customHeight="1" x14ac:dyDescent="0.25">
      <c r="T37924" s="135"/>
      <c r="U37924" s="135"/>
    </row>
    <row r="37925" spans="20:21" ht="15" customHeight="1" x14ac:dyDescent="0.25">
      <c r="T37925" s="135"/>
      <c r="U37925" s="135"/>
    </row>
    <row r="37926" spans="20:21" ht="15" customHeight="1" x14ac:dyDescent="0.25">
      <c r="T37926" s="135"/>
      <c r="U37926" s="135"/>
    </row>
    <row r="37927" spans="20:21" ht="15" customHeight="1" x14ac:dyDescent="0.25">
      <c r="T37927" s="135"/>
      <c r="U37927" s="135"/>
    </row>
    <row r="37928" spans="20:21" ht="15" customHeight="1" x14ac:dyDescent="0.25">
      <c r="T37928" s="135"/>
      <c r="U37928" s="135"/>
    </row>
    <row r="37929" spans="20:21" ht="15" customHeight="1" x14ac:dyDescent="0.25">
      <c r="T37929" s="135"/>
      <c r="U37929" s="135"/>
    </row>
    <row r="37930" spans="20:21" ht="15" customHeight="1" x14ac:dyDescent="0.25">
      <c r="T37930" s="135"/>
      <c r="U37930" s="135"/>
    </row>
    <row r="37931" spans="20:21" ht="15" customHeight="1" x14ac:dyDescent="0.25">
      <c r="T37931" s="135"/>
      <c r="U37931" s="135"/>
    </row>
    <row r="37932" spans="20:21" ht="15" customHeight="1" x14ac:dyDescent="0.25">
      <c r="T37932" s="135"/>
      <c r="U37932" s="135"/>
    </row>
    <row r="37933" spans="20:21" ht="15" customHeight="1" x14ac:dyDescent="0.25">
      <c r="T37933" s="135"/>
      <c r="U37933" s="135"/>
    </row>
    <row r="37934" spans="20:21" ht="15" customHeight="1" x14ac:dyDescent="0.25">
      <c r="T37934" s="135"/>
      <c r="U37934" s="135"/>
    </row>
    <row r="37935" spans="20:21" ht="15" customHeight="1" x14ac:dyDescent="0.25">
      <c r="T37935" s="135"/>
      <c r="U37935" s="135"/>
    </row>
    <row r="37936" spans="20:21" ht="15" customHeight="1" x14ac:dyDescent="0.25">
      <c r="T37936" s="135"/>
      <c r="U37936" s="135"/>
    </row>
    <row r="37937" spans="20:21" ht="15" customHeight="1" x14ac:dyDescent="0.25">
      <c r="T37937" s="135"/>
      <c r="U37937" s="135"/>
    </row>
    <row r="37938" spans="20:21" ht="15" customHeight="1" x14ac:dyDescent="0.25">
      <c r="T37938" s="135"/>
      <c r="U37938" s="135"/>
    </row>
    <row r="37939" spans="20:21" ht="15" customHeight="1" x14ac:dyDescent="0.25">
      <c r="T37939" s="135"/>
      <c r="U37939" s="135"/>
    </row>
    <row r="37940" spans="20:21" ht="15" customHeight="1" x14ac:dyDescent="0.25">
      <c r="T37940" s="135"/>
      <c r="U37940" s="135"/>
    </row>
    <row r="37941" spans="20:21" ht="15" customHeight="1" x14ac:dyDescent="0.25">
      <c r="T37941" s="135"/>
      <c r="U37941" s="135"/>
    </row>
    <row r="37942" spans="20:21" ht="15" customHeight="1" x14ac:dyDescent="0.25">
      <c r="T37942" s="135"/>
      <c r="U37942" s="135"/>
    </row>
    <row r="37943" spans="20:21" ht="15" customHeight="1" x14ac:dyDescent="0.25">
      <c r="T37943" s="135"/>
      <c r="U37943" s="135"/>
    </row>
    <row r="37944" spans="20:21" ht="15" customHeight="1" x14ac:dyDescent="0.25">
      <c r="T37944" s="135"/>
      <c r="U37944" s="135"/>
    </row>
    <row r="37945" spans="20:21" ht="15" customHeight="1" x14ac:dyDescent="0.25">
      <c r="T37945" s="135"/>
      <c r="U37945" s="135"/>
    </row>
    <row r="37946" spans="20:21" ht="15" customHeight="1" x14ac:dyDescent="0.25">
      <c r="T37946" s="135"/>
      <c r="U37946" s="135"/>
    </row>
    <row r="37947" spans="20:21" ht="15" customHeight="1" x14ac:dyDescent="0.25">
      <c r="T37947" s="135"/>
      <c r="U37947" s="135"/>
    </row>
    <row r="37948" spans="20:21" ht="15" customHeight="1" x14ac:dyDescent="0.25">
      <c r="T37948" s="135"/>
      <c r="U37948" s="135"/>
    </row>
    <row r="37949" spans="20:21" ht="15" customHeight="1" x14ac:dyDescent="0.25">
      <c r="T37949" s="135"/>
      <c r="U37949" s="135"/>
    </row>
    <row r="37950" spans="20:21" ht="15" customHeight="1" x14ac:dyDescent="0.25">
      <c r="T37950" s="135"/>
      <c r="U37950" s="135"/>
    </row>
    <row r="37951" spans="20:21" ht="15" customHeight="1" x14ac:dyDescent="0.25">
      <c r="T37951" s="135"/>
      <c r="U37951" s="135"/>
    </row>
    <row r="37952" spans="20:21" ht="15" customHeight="1" x14ac:dyDescent="0.25">
      <c r="T37952" s="135"/>
      <c r="U37952" s="135"/>
    </row>
    <row r="37953" spans="20:21" ht="15" customHeight="1" x14ac:dyDescent="0.25">
      <c r="T37953" s="135"/>
      <c r="U37953" s="135"/>
    </row>
    <row r="37954" spans="20:21" ht="15" customHeight="1" x14ac:dyDescent="0.25">
      <c r="T37954" s="135"/>
      <c r="U37954" s="135"/>
    </row>
    <row r="37955" spans="20:21" ht="15" customHeight="1" x14ac:dyDescent="0.25">
      <c r="T37955" s="135"/>
      <c r="U37955" s="135"/>
    </row>
    <row r="37956" spans="20:21" ht="15" customHeight="1" x14ac:dyDescent="0.25">
      <c r="T37956" s="135"/>
      <c r="U37956" s="135"/>
    </row>
    <row r="37957" spans="20:21" ht="15" customHeight="1" x14ac:dyDescent="0.25">
      <c r="T37957" s="135"/>
      <c r="U37957" s="135"/>
    </row>
    <row r="37958" spans="20:21" ht="15" customHeight="1" x14ac:dyDescent="0.25">
      <c r="T37958" s="135"/>
      <c r="U37958" s="135"/>
    </row>
    <row r="37959" spans="20:21" ht="15" customHeight="1" x14ac:dyDescent="0.25">
      <c r="T37959" s="135"/>
      <c r="U37959" s="135"/>
    </row>
    <row r="37960" spans="20:21" ht="15" customHeight="1" x14ac:dyDescent="0.25">
      <c r="T37960" s="135"/>
      <c r="U37960" s="135"/>
    </row>
    <row r="37961" spans="20:21" ht="15" customHeight="1" x14ac:dyDescent="0.25">
      <c r="T37961" s="135"/>
      <c r="U37961" s="135"/>
    </row>
    <row r="37962" spans="20:21" ht="15" customHeight="1" x14ac:dyDescent="0.25">
      <c r="T37962" s="135"/>
      <c r="U37962" s="135"/>
    </row>
    <row r="37963" spans="20:21" ht="15" customHeight="1" x14ac:dyDescent="0.25">
      <c r="T37963" s="135"/>
      <c r="U37963" s="135"/>
    </row>
    <row r="37964" spans="20:21" ht="15" customHeight="1" x14ac:dyDescent="0.25">
      <c r="T37964" s="135"/>
      <c r="U37964" s="135"/>
    </row>
    <row r="37965" spans="20:21" ht="15" customHeight="1" x14ac:dyDescent="0.25">
      <c r="T37965" s="135"/>
      <c r="U37965" s="135"/>
    </row>
    <row r="37966" spans="20:21" ht="15" customHeight="1" x14ac:dyDescent="0.25">
      <c r="T37966" s="135"/>
      <c r="U37966" s="135"/>
    </row>
    <row r="37967" spans="20:21" ht="15" customHeight="1" x14ac:dyDescent="0.25">
      <c r="T37967" s="135"/>
      <c r="U37967" s="135"/>
    </row>
    <row r="37968" spans="20:21" ht="15" customHeight="1" x14ac:dyDescent="0.25">
      <c r="T37968" s="135"/>
      <c r="U37968" s="135"/>
    </row>
    <row r="37969" spans="20:21" ht="15" customHeight="1" x14ac:dyDescent="0.25">
      <c r="T37969" s="135"/>
      <c r="U37969" s="135"/>
    </row>
    <row r="37970" spans="20:21" ht="15" customHeight="1" x14ac:dyDescent="0.25">
      <c r="T37970" s="135"/>
      <c r="U37970" s="135"/>
    </row>
    <row r="37971" spans="20:21" ht="15" customHeight="1" x14ac:dyDescent="0.25">
      <c r="T37971" s="135"/>
      <c r="U37971" s="135"/>
    </row>
    <row r="37972" spans="20:21" ht="15" customHeight="1" x14ac:dyDescent="0.25">
      <c r="T37972" s="135"/>
      <c r="U37972" s="135"/>
    </row>
    <row r="37973" spans="20:21" ht="15" customHeight="1" x14ac:dyDescent="0.25">
      <c r="T37973" s="135"/>
      <c r="U37973" s="135"/>
    </row>
    <row r="37974" spans="20:21" ht="15" customHeight="1" x14ac:dyDescent="0.25">
      <c r="T37974" s="135"/>
      <c r="U37974" s="135"/>
    </row>
    <row r="37975" spans="20:21" ht="15" customHeight="1" x14ac:dyDescent="0.25">
      <c r="T37975" s="135"/>
      <c r="U37975" s="135"/>
    </row>
    <row r="37976" spans="20:21" ht="15" customHeight="1" x14ac:dyDescent="0.25">
      <c r="T37976" s="135"/>
      <c r="U37976" s="135"/>
    </row>
    <row r="37977" spans="20:21" ht="15" customHeight="1" x14ac:dyDescent="0.25">
      <c r="T37977" s="135"/>
      <c r="U37977" s="135"/>
    </row>
    <row r="37978" spans="20:21" ht="15" customHeight="1" x14ac:dyDescent="0.25">
      <c r="T37978" s="135"/>
      <c r="U37978" s="135"/>
    </row>
    <row r="37979" spans="20:21" ht="15" customHeight="1" x14ac:dyDescent="0.25">
      <c r="T37979" s="135"/>
      <c r="U37979" s="135"/>
    </row>
    <row r="37980" spans="20:21" ht="15" customHeight="1" x14ac:dyDescent="0.25">
      <c r="T37980" s="135"/>
      <c r="U37980" s="135"/>
    </row>
    <row r="37981" spans="20:21" ht="15" customHeight="1" x14ac:dyDescent="0.25">
      <c r="T37981" s="135"/>
      <c r="U37981" s="135"/>
    </row>
    <row r="37982" spans="20:21" ht="15" customHeight="1" x14ac:dyDescent="0.25">
      <c r="T37982" s="135"/>
      <c r="U37982" s="135"/>
    </row>
    <row r="37983" spans="20:21" ht="15" customHeight="1" x14ac:dyDescent="0.25">
      <c r="T37983" s="135"/>
      <c r="U37983" s="135"/>
    </row>
    <row r="37984" spans="20:21" ht="15" customHeight="1" x14ac:dyDescent="0.25">
      <c r="T37984" s="135"/>
      <c r="U37984" s="135"/>
    </row>
    <row r="37985" spans="20:21" ht="15" customHeight="1" x14ac:dyDescent="0.25">
      <c r="T37985" s="135"/>
      <c r="U37985" s="135"/>
    </row>
    <row r="37986" spans="20:21" ht="15" customHeight="1" x14ac:dyDescent="0.25">
      <c r="T37986" s="135"/>
      <c r="U37986" s="135"/>
    </row>
    <row r="37987" spans="20:21" ht="15" customHeight="1" x14ac:dyDescent="0.25">
      <c r="T37987" s="135"/>
      <c r="U37987" s="135"/>
    </row>
    <row r="37988" spans="20:21" ht="15" customHeight="1" x14ac:dyDescent="0.25">
      <c r="T37988" s="135"/>
      <c r="U37988" s="135"/>
    </row>
    <row r="37989" spans="20:21" ht="15" customHeight="1" x14ac:dyDescent="0.25">
      <c r="T37989" s="135"/>
      <c r="U37989" s="135"/>
    </row>
    <row r="37990" spans="20:21" ht="15" customHeight="1" x14ac:dyDescent="0.25">
      <c r="T37990" s="135"/>
      <c r="U37990" s="135"/>
    </row>
    <row r="37991" spans="20:21" ht="15" customHeight="1" x14ac:dyDescent="0.25">
      <c r="T37991" s="135"/>
      <c r="U37991" s="135"/>
    </row>
    <row r="37992" spans="20:21" ht="15" customHeight="1" x14ac:dyDescent="0.25">
      <c r="T37992" s="135"/>
      <c r="U37992" s="135"/>
    </row>
    <row r="37993" spans="20:21" ht="15" customHeight="1" x14ac:dyDescent="0.25">
      <c r="T37993" s="135"/>
      <c r="U37993" s="135"/>
    </row>
    <row r="37994" spans="20:21" ht="15" customHeight="1" x14ac:dyDescent="0.25">
      <c r="T37994" s="135"/>
      <c r="U37994" s="135"/>
    </row>
    <row r="37995" spans="20:21" ht="15" customHeight="1" x14ac:dyDescent="0.25">
      <c r="T37995" s="135"/>
      <c r="U37995" s="135"/>
    </row>
    <row r="37996" spans="20:21" ht="15" customHeight="1" x14ac:dyDescent="0.25">
      <c r="T37996" s="135"/>
      <c r="U37996" s="135"/>
    </row>
    <row r="37997" spans="20:21" ht="15" customHeight="1" x14ac:dyDescent="0.25">
      <c r="T37997" s="135"/>
      <c r="U37997" s="135"/>
    </row>
    <row r="37998" spans="20:21" ht="15" customHeight="1" x14ac:dyDescent="0.25">
      <c r="T37998" s="135"/>
      <c r="U37998" s="135"/>
    </row>
    <row r="37999" spans="20:21" ht="15" customHeight="1" x14ac:dyDescent="0.25">
      <c r="T37999" s="135"/>
      <c r="U37999" s="135"/>
    </row>
    <row r="38000" spans="20:21" ht="15" customHeight="1" x14ac:dyDescent="0.25">
      <c r="T38000" s="135"/>
      <c r="U38000" s="135"/>
    </row>
    <row r="38001" spans="20:21" ht="15" customHeight="1" x14ac:dyDescent="0.25">
      <c r="T38001" s="135"/>
      <c r="U38001" s="135"/>
    </row>
    <row r="38002" spans="20:21" ht="15" customHeight="1" x14ac:dyDescent="0.25">
      <c r="T38002" s="135"/>
      <c r="U38002" s="135"/>
    </row>
    <row r="38003" spans="20:21" ht="15" customHeight="1" x14ac:dyDescent="0.25">
      <c r="T38003" s="135"/>
      <c r="U38003" s="135"/>
    </row>
    <row r="38004" spans="20:21" ht="15" customHeight="1" x14ac:dyDescent="0.25">
      <c r="T38004" s="135"/>
      <c r="U38004" s="135"/>
    </row>
    <row r="38005" spans="20:21" ht="15" customHeight="1" x14ac:dyDescent="0.25">
      <c r="T38005" s="135"/>
      <c r="U38005" s="135"/>
    </row>
    <row r="38006" spans="20:21" ht="15" customHeight="1" x14ac:dyDescent="0.25">
      <c r="T38006" s="135"/>
      <c r="U38006" s="135"/>
    </row>
    <row r="38007" spans="20:21" ht="15" customHeight="1" x14ac:dyDescent="0.25">
      <c r="T38007" s="135"/>
      <c r="U38007" s="135"/>
    </row>
    <row r="38008" spans="20:21" ht="15" customHeight="1" x14ac:dyDescent="0.25">
      <c r="T38008" s="135"/>
      <c r="U38008" s="135"/>
    </row>
    <row r="38009" spans="20:21" ht="15" customHeight="1" x14ac:dyDescent="0.25">
      <c r="T38009" s="135"/>
      <c r="U38009" s="135"/>
    </row>
    <row r="38010" spans="20:21" ht="15" customHeight="1" x14ac:dyDescent="0.25">
      <c r="T38010" s="135"/>
      <c r="U38010" s="135"/>
    </row>
    <row r="38011" spans="20:21" ht="15" customHeight="1" x14ac:dyDescent="0.25">
      <c r="T38011" s="135"/>
      <c r="U38011" s="135"/>
    </row>
    <row r="38012" spans="20:21" ht="15" customHeight="1" x14ac:dyDescent="0.25">
      <c r="T38012" s="135"/>
      <c r="U38012" s="135"/>
    </row>
    <row r="38013" spans="20:21" ht="15" customHeight="1" x14ac:dyDescent="0.25">
      <c r="T38013" s="135"/>
      <c r="U38013" s="135"/>
    </row>
    <row r="38014" spans="20:21" ht="15" customHeight="1" x14ac:dyDescent="0.25">
      <c r="T38014" s="135"/>
      <c r="U38014" s="135"/>
    </row>
    <row r="38015" spans="20:21" ht="15" customHeight="1" x14ac:dyDescent="0.25">
      <c r="T38015" s="135"/>
      <c r="U38015" s="135"/>
    </row>
    <row r="38016" spans="20:21" ht="15" customHeight="1" x14ac:dyDescent="0.25">
      <c r="T38016" s="135"/>
      <c r="U38016" s="135"/>
    </row>
    <row r="38017" spans="20:21" ht="15" customHeight="1" x14ac:dyDescent="0.25">
      <c r="T38017" s="135"/>
      <c r="U38017" s="135"/>
    </row>
    <row r="38018" spans="20:21" ht="15" customHeight="1" x14ac:dyDescent="0.25">
      <c r="T38018" s="135"/>
      <c r="U38018" s="135"/>
    </row>
    <row r="38019" spans="20:21" ht="15" customHeight="1" x14ac:dyDescent="0.25">
      <c r="T38019" s="135"/>
      <c r="U38019" s="135"/>
    </row>
    <row r="38020" spans="20:21" ht="15" customHeight="1" x14ac:dyDescent="0.25">
      <c r="T38020" s="135"/>
      <c r="U38020" s="135"/>
    </row>
    <row r="38021" spans="20:21" ht="15" customHeight="1" x14ac:dyDescent="0.25">
      <c r="T38021" s="135"/>
      <c r="U38021" s="135"/>
    </row>
    <row r="38022" spans="20:21" ht="15" customHeight="1" x14ac:dyDescent="0.25">
      <c r="T38022" s="135"/>
      <c r="U38022" s="135"/>
    </row>
    <row r="38023" spans="20:21" ht="15" customHeight="1" x14ac:dyDescent="0.25">
      <c r="T38023" s="135"/>
      <c r="U38023" s="135"/>
    </row>
    <row r="38024" spans="20:21" ht="15" customHeight="1" x14ac:dyDescent="0.25">
      <c r="T38024" s="135"/>
      <c r="U38024" s="135"/>
    </row>
    <row r="38025" spans="20:21" ht="15" customHeight="1" x14ac:dyDescent="0.25">
      <c r="T38025" s="135"/>
      <c r="U38025" s="135"/>
    </row>
    <row r="38026" spans="20:21" ht="15" customHeight="1" x14ac:dyDescent="0.25">
      <c r="T38026" s="135"/>
      <c r="U38026" s="135"/>
    </row>
    <row r="38027" spans="20:21" ht="15" customHeight="1" x14ac:dyDescent="0.25">
      <c r="T38027" s="135"/>
      <c r="U38027" s="135"/>
    </row>
    <row r="38028" spans="20:21" ht="15" customHeight="1" x14ac:dyDescent="0.25">
      <c r="T38028" s="135"/>
      <c r="U38028" s="135"/>
    </row>
    <row r="38029" spans="20:21" ht="15" customHeight="1" x14ac:dyDescent="0.25">
      <c r="T38029" s="135"/>
      <c r="U38029" s="135"/>
    </row>
    <row r="38030" spans="20:21" ht="15" customHeight="1" x14ac:dyDescent="0.25">
      <c r="T38030" s="135"/>
      <c r="U38030" s="135"/>
    </row>
    <row r="38031" spans="20:21" ht="15" customHeight="1" x14ac:dyDescent="0.25">
      <c r="T38031" s="135"/>
      <c r="U38031" s="135"/>
    </row>
    <row r="38032" spans="20:21" ht="15" customHeight="1" x14ac:dyDescent="0.25">
      <c r="T38032" s="135"/>
      <c r="U38032" s="135"/>
    </row>
    <row r="38033" spans="20:21" ht="15" customHeight="1" x14ac:dyDescent="0.25">
      <c r="T38033" s="135"/>
      <c r="U38033" s="135"/>
    </row>
    <row r="38034" spans="20:21" ht="15" customHeight="1" x14ac:dyDescent="0.25">
      <c r="T38034" s="135"/>
      <c r="U38034" s="135"/>
    </row>
    <row r="38035" spans="20:21" ht="15" customHeight="1" x14ac:dyDescent="0.25">
      <c r="T38035" s="135"/>
      <c r="U38035" s="135"/>
    </row>
    <row r="38036" spans="20:21" ht="15" customHeight="1" x14ac:dyDescent="0.25">
      <c r="T38036" s="135"/>
      <c r="U38036" s="135"/>
    </row>
    <row r="38037" spans="20:21" ht="15" customHeight="1" x14ac:dyDescent="0.25">
      <c r="T38037" s="135"/>
      <c r="U38037" s="135"/>
    </row>
    <row r="38038" spans="20:21" ht="15" customHeight="1" x14ac:dyDescent="0.25">
      <c r="T38038" s="135"/>
      <c r="U38038" s="135"/>
    </row>
    <row r="38039" spans="20:21" ht="15" customHeight="1" x14ac:dyDescent="0.25">
      <c r="T38039" s="135"/>
      <c r="U38039" s="135"/>
    </row>
    <row r="38040" spans="20:21" ht="15" customHeight="1" x14ac:dyDescent="0.25">
      <c r="T38040" s="135"/>
      <c r="U38040" s="135"/>
    </row>
    <row r="38041" spans="20:21" ht="15" customHeight="1" x14ac:dyDescent="0.25">
      <c r="T38041" s="135"/>
      <c r="U38041" s="135"/>
    </row>
    <row r="38042" spans="20:21" ht="15" customHeight="1" x14ac:dyDescent="0.25">
      <c r="T38042" s="135"/>
      <c r="U38042" s="135"/>
    </row>
    <row r="38043" spans="20:21" ht="15" customHeight="1" x14ac:dyDescent="0.25">
      <c r="T38043" s="135"/>
      <c r="U38043" s="135"/>
    </row>
    <row r="38044" spans="20:21" ht="15" customHeight="1" x14ac:dyDescent="0.25">
      <c r="T38044" s="135"/>
      <c r="U38044" s="135"/>
    </row>
    <row r="38045" spans="20:21" ht="15" customHeight="1" x14ac:dyDescent="0.25">
      <c r="T38045" s="135"/>
      <c r="U38045" s="135"/>
    </row>
    <row r="38046" spans="20:21" ht="15" customHeight="1" x14ac:dyDescent="0.25">
      <c r="T38046" s="135"/>
      <c r="U38046" s="135"/>
    </row>
    <row r="38047" spans="20:21" ht="15" customHeight="1" x14ac:dyDescent="0.25">
      <c r="T38047" s="135"/>
      <c r="U38047" s="135"/>
    </row>
    <row r="38048" spans="20:21" ht="15" customHeight="1" x14ac:dyDescent="0.25">
      <c r="T38048" s="135"/>
      <c r="U38048" s="135"/>
    </row>
    <row r="38049" spans="20:21" ht="15" customHeight="1" x14ac:dyDescent="0.25">
      <c r="T38049" s="135"/>
      <c r="U38049" s="135"/>
    </row>
    <row r="38050" spans="20:21" ht="15" customHeight="1" x14ac:dyDescent="0.25">
      <c r="T38050" s="135"/>
      <c r="U38050" s="135"/>
    </row>
    <row r="38051" spans="20:21" ht="15" customHeight="1" x14ac:dyDescent="0.25">
      <c r="T38051" s="135"/>
      <c r="U38051" s="135"/>
    </row>
    <row r="38052" spans="20:21" ht="15" customHeight="1" x14ac:dyDescent="0.25">
      <c r="T38052" s="135"/>
      <c r="U38052" s="135"/>
    </row>
    <row r="38053" spans="20:21" ht="15" customHeight="1" x14ac:dyDescent="0.25">
      <c r="T38053" s="135"/>
      <c r="U38053" s="135"/>
    </row>
    <row r="38054" spans="20:21" ht="15" customHeight="1" x14ac:dyDescent="0.25">
      <c r="T38054" s="135"/>
      <c r="U38054" s="135"/>
    </row>
    <row r="38055" spans="20:21" ht="15" customHeight="1" x14ac:dyDescent="0.25">
      <c r="T38055" s="135"/>
      <c r="U38055" s="135"/>
    </row>
    <row r="38056" spans="20:21" ht="15" customHeight="1" x14ac:dyDescent="0.25">
      <c r="T38056" s="135"/>
      <c r="U38056" s="135"/>
    </row>
    <row r="38057" spans="20:21" ht="15" customHeight="1" x14ac:dyDescent="0.25">
      <c r="T38057" s="135"/>
      <c r="U38057" s="135"/>
    </row>
    <row r="38058" spans="20:21" ht="15" customHeight="1" x14ac:dyDescent="0.25">
      <c r="T38058" s="135"/>
      <c r="U38058" s="135"/>
    </row>
    <row r="38059" spans="20:21" ht="15" customHeight="1" x14ac:dyDescent="0.25">
      <c r="T38059" s="135"/>
      <c r="U38059" s="135"/>
    </row>
    <row r="38060" spans="20:21" ht="15" customHeight="1" x14ac:dyDescent="0.25">
      <c r="T38060" s="135"/>
      <c r="U38060" s="135"/>
    </row>
    <row r="38061" spans="20:21" ht="15" customHeight="1" x14ac:dyDescent="0.25">
      <c r="T38061" s="135"/>
      <c r="U38061" s="135"/>
    </row>
    <row r="38062" spans="20:21" ht="15" customHeight="1" x14ac:dyDescent="0.25">
      <c r="T38062" s="135"/>
      <c r="U38062" s="135"/>
    </row>
    <row r="38063" spans="20:21" ht="15" customHeight="1" x14ac:dyDescent="0.25">
      <c r="T38063" s="135"/>
      <c r="U38063" s="135"/>
    </row>
    <row r="38064" spans="20:21" ht="15" customHeight="1" x14ac:dyDescent="0.25">
      <c r="T38064" s="135"/>
      <c r="U38064" s="135"/>
    </row>
    <row r="38065" spans="20:21" ht="15" customHeight="1" x14ac:dyDescent="0.25">
      <c r="T38065" s="135"/>
      <c r="U38065" s="135"/>
    </row>
    <row r="38066" spans="20:21" ht="15" customHeight="1" x14ac:dyDescent="0.25">
      <c r="T38066" s="135"/>
      <c r="U38066" s="135"/>
    </row>
    <row r="38067" spans="20:21" ht="15" customHeight="1" x14ac:dyDescent="0.25">
      <c r="T38067" s="135"/>
      <c r="U38067" s="135"/>
    </row>
    <row r="38068" spans="20:21" ht="15" customHeight="1" x14ac:dyDescent="0.25">
      <c r="T38068" s="135"/>
      <c r="U38068" s="135"/>
    </row>
    <row r="38069" spans="20:21" ht="15" customHeight="1" x14ac:dyDescent="0.25">
      <c r="T38069" s="135"/>
      <c r="U38069" s="135"/>
    </row>
    <row r="38070" spans="20:21" ht="15" customHeight="1" x14ac:dyDescent="0.25">
      <c r="T38070" s="135"/>
      <c r="U38070" s="135"/>
    </row>
    <row r="38071" spans="20:21" ht="15" customHeight="1" x14ac:dyDescent="0.25">
      <c r="T38071" s="135"/>
      <c r="U38071" s="135"/>
    </row>
    <row r="38072" spans="20:21" ht="15" customHeight="1" x14ac:dyDescent="0.25">
      <c r="T38072" s="135"/>
      <c r="U38072" s="135"/>
    </row>
    <row r="38073" spans="20:21" ht="15" customHeight="1" x14ac:dyDescent="0.25">
      <c r="T38073" s="135"/>
      <c r="U38073" s="135"/>
    </row>
    <row r="38074" spans="20:21" ht="15" customHeight="1" x14ac:dyDescent="0.25">
      <c r="T38074" s="135"/>
      <c r="U38074" s="135"/>
    </row>
    <row r="38075" spans="20:21" ht="15" customHeight="1" x14ac:dyDescent="0.25">
      <c r="T38075" s="135"/>
      <c r="U38075" s="135"/>
    </row>
    <row r="38076" spans="20:21" ht="15" customHeight="1" x14ac:dyDescent="0.25">
      <c r="T38076" s="135"/>
      <c r="U38076" s="135"/>
    </row>
    <row r="38077" spans="20:21" ht="15" customHeight="1" x14ac:dyDescent="0.25">
      <c r="T38077" s="135"/>
      <c r="U38077" s="135"/>
    </row>
    <row r="38078" spans="20:21" ht="15" customHeight="1" x14ac:dyDescent="0.25">
      <c r="T38078" s="135"/>
      <c r="U38078" s="135"/>
    </row>
    <row r="38079" spans="20:21" ht="15" customHeight="1" x14ac:dyDescent="0.25">
      <c r="T38079" s="135"/>
      <c r="U38079" s="135"/>
    </row>
    <row r="38080" spans="20:21" ht="15" customHeight="1" x14ac:dyDescent="0.25">
      <c r="T38080" s="135"/>
      <c r="U38080" s="135"/>
    </row>
    <row r="38081" spans="20:21" ht="15" customHeight="1" x14ac:dyDescent="0.25">
      <c r="T38081" s="135"/>
      <c r="U38081" s="135"/>
    </row>
    <row r="38082" spans="20:21" ht="15" customHeight="1" x14ac:dyDescent="0.25">
      <c r="T38082" s="135"/>
      <c r="U38082" s="135"/>
    </row>
    <row r="38083" spans="20:21" ht="15" customHeight="1" x14ac:dyDescent="0.25">
      <c r="T38083" s="135"/>
      <c r="U38083" s="135"/>
    </row>
    <row r="38084" spans="20:21" ht="15" customHeight="1" x14ac:dyDescent="0.25">
      <c r="T38084" s="135"/>
      <c r="U38084" s="135"/>
    </row>
    <row r="38085" spans="20:21" ht="15" customHeight="1" x14ac:dyDescent="0.25">
      <c r="T38085" s="135"/>
      <c r="U38085" s="135"/>
    </row>
    <row r="38086" spans="20:21" ht="15" customHeight="1" x14ac:dyDescent="0.25">
      <c r="T38086" s="135"/>
      <c r="U38086" s="135"/>
    </row>
    <row r="38087" spans="20:21" ht="15" customHeight="1" x14ac:dyDescent="0.25">
      <c r="T38087" s="135"/>
      <c r="U38087" s="135"/>
    </row>
    <row r="38088" spans="20:21" ht="15" customHeight="1" x14ac:dyDescent="0.25">
      <c r="T38088" s="135"/>
      <c r="U38088" s="135"/>
    </row>
    <row r="38089" spans="20:21" ht="15" customHeight="1" x14ac:dyDescent="0.25">
      <c r="T38089" s="135"/>
      <c r="U38089" s="135"/>
    </row>
    <row r="38090" spans="20:21" ht="15" customHeight="1" x14ac:dyDescent="0.25">
      <c r="T38090" s="135"/>
      <c r="U38090" s="135"/>
    </row>
    <row r="38091" spans="20:21" ht="15" customHeight="1" x14ac:dyDescent="0.25">
      <c r="T38091" s="135"/>
      <c r="U38091" s="135"/>
    </row>
    <row r="38092" spans="20:21" ht="15" customHeight="1" x14ac:dyDescent="0.25">
      <c r="T38092" s="135"/>
      <c r="U38092" s="135"/>
    </row>
    <row r="38093" spans="20:21" ht="15" customHeight="1" x14ac:dyDescent="0.25">
      <c r="T38093" s="135"/>
      <c r="U38093" s="135"/>
    </row>
    <row r="38094" spans="20:21" ht="15" customHeight="1" x14ac:dyDescent="0.25">
      <c r="T38094" s="135"/>
      <c r="U38094" s="135"/>
    </row>
    <row r="38095" spans="20:21" ht="15" customHeight="1" x14ac:dyDescent="0.25">
      <c r="T38095" s="135"/>
      <c r="U38095" s="135"/>
    </row>
    <row r="38096" spans="20:21" ht="15" customHeight="1" x14ac:dyDescent="0.25">
      <c r="T38096" s="135"/>
      <c r="U38096" s="135"/>
    </row>
    <row r="38097" spans="20:21" ht="15" customHeight="1" x14ac:dyDescent="0.25">
      <c r="T38097" s="135"/>
      <c r="U38097" s="135"/>
    </row>
    <row r="38098" spans="20:21" ht="15" customHeight="1" x14ac:dyDescent="0.25">
      <c r="T38098" s="135"/>
      <c r="U38098" s="135"/>
    </row>
    <row r="38099" spans="20:21" ht="15" customHeight="1" x14ac:dyDescent="0.25">
      <c r="T38099" s="135"/>
      <c r="U38099" s="135"/>
    </row>
    <row r="38100" spans="20:21" ht="15" customHeight="1" x14ac:dyDescent="0.25">
      <c r="T38100" s="135"/>
      <c r="U38100" s="135"/>
    </row>
    <row r="38101" spans="20:21" ht="15" customHeight="1" x14ac:dyDescent="0.25">
      <c r="T38101" s="135"/>
      <c r="U38101" s="135"/>
    </row>
    <row r="38102" spans="20:21" ht="15" customHeight="1" x14ac:dyDescent="0.25">
      <c r="T38102" s="135"/>
      <c r="U38102" s="135"/>
    </row>
    <row r="38103" spans="20:21" ht="15" customHeight="1" x14ac:dyDescent="0.25">
      <c r="T38103" s="135"/>
      <c r="U38103" s="135"/>
    </row>
    <row r="38104" spans="20:21" ht="15" customHeight="1" x14ac:dyDescent="0.25">
      <c r="T38104" s="135"/>
      <c r="U38104" s="135"/>
    </row>
    <row r="38105" spans="20:21" ht="15" customHeight="1" x14ac:dyDescent="0.25">
      <c r="T38105" s="135"/>
      <c r="U38105" s="135"/>
    </row>
    <row r="38106" spans="20:21" ht="15" customHeight="1" x14ac:dyDescent="0.25">
      <c r="T38106" s="135"/>
      <c r="U38106" s="135"/>
    </row>
    <row r="38107" spans="20:21" ht="15" customHeight="1" x14ac:dyDescent="0.25">
      <c r="T38107" s="135"/>
      <c r="U38107" s="135"/>
    </row>
    <row r="38108" spans="20:21" ht="15" customHeight="1" x14ac:dyDescent="0.25">
      <c r="T38108" s="135"/>
      <c r="U38108" s="135"/>
    </row>
    <row r="38109" spans="20:21" ht="15" customHeight="1" x14ac:dyDescent="0.25">
      <c r="T38109" s="135"/>
      <c r="U38109" s="135"/>
    </row>
    <row r="38110" spans="20:21" ht="15" customHeight="1" x14ac:dyDescent="0.25">
      <c r="T38110" s="135"/>
      <c r="U38110" s="135"/>
    </row>
    <row r="38111" spans="20:21" ht="15" customHeight="1" x14ac:dyDescent="0.25">
      <c r="T38111" s="135"/>
      <c r="U38111" s="135"/>
    </row>
    <row r="38112" spans="20:21" ht="15" customHeight="1" x14ac:dyDescent="0.25">
      <c r="T38112" s="135"/>
      <c r="U38112" s="135"/>
    </row>
    <row r="38113" spans="20:21" ht="15" customHeight="1" x14ac:dyDescent="0.25">
      <c r="T38113" s="135"/>
      <c r="U38113" s="135"/>
    </row>
    <row r="38114" spans="20:21" ht="15" customHeight="1" x14ac:dyDescent="0.25">
      <c r="T38114" s="135"/>
      <c r="U38114" s="135"/>
    </row>
    <row r="38115" spans="20:21" ht="15" customHeight="1" x14ac:dyDescent="0.25">
      <c r="T38115" s="135"/>
      <c r="U38115" s="135"/>
    </row>
    <row r="38116" spans="20:21" ht="15" customHeight="1" x14ac:dyDescent="0.25">
      <c r="T38116" s="135"/>
      <c r="U38116" s="135"/>
    </row>
    <row r="38117" spans="20:21" ht="15" customHeight="1" x14ac:dyDescent="0.25">
      <c r="T38117" s="135"/>
      <c r="U38117" s="135"/>
    </row>
    <row r="38118" spans="20:21" ht="15" customHeight="1" x14ac:dyDescent="0.25">
      <c r="T38118" s="135"/>
      <c r="U38118" s="135"/>
    </row>
    <row r="38119" spans="20:21" ht="15" customHeight="1" x14ac:dyDescent="0.25">
      <c r="T38119" s="135"/>
      <c r="U38119" s="135"/>
    </row>
    <row r="38120" spans="20:21" ht="15" customHeight="1" x14ac:dyDescent="0.25">
      <c r="T38120" s="135"/>
      <c r="U38120" s="135"/>
    </row>
    <row r="38121" spans="20:21" ht="15" customHeight="1" x14ac:dyDescent="0.25">
      <c r="T38121" s="135"/>
      <c r="U38121" s="135"/>
    </row>
    <row r="38122" spans="20:21" ht="15" customHeight="1" x14ac:dyDescent="0.25">
      <c r="T38122" s="135"/>
      <c r="U38122" s="135"/>
    </row>
    <row r="38123" spans="20:21" ht="15" customHeight="1" x14ac:dyDescent="0.25">
      <c r="T38123" s="135"/>
      <c r="U38123" s="135"/>
    </row>
    <row r="38124" spans="20:21" ht="15" customHeight="1" x14ac:dyDescent="0.25">
      <c r="T38124" s="135"/>
      <c r="U38124" s="135"/>
    </row>
    <row r="38125" spans="20:21" ht="15" customHeight="1" x14ac:dyDescent="0.25">
      <c r="T38125" s="135"/>
      <c r="U38125" s="135"/>
    </row>
    <row r="38126" spans="20:21" ht="15" customHeight="1" x14ac:dyDescent="0.25">
      <c r="T38126" s="135"/>
      <c r="U38126" s="135"/>
    </row>
    <row r="38127" spans="20:21" ht="15" customHeight="1" x14ac:dyDescent="0.25">
      <c r="T38127" s="135"/>
      <c r="U38127" s="135"/>
    </row>
    <row r="38128" spans="20:21" ht="15" customHeight="1" x14ac:dyDescent="0.25">
      <c r="T38128" s="135"/>
      <c r="U38128" s="135"/>
    </row>
    <row r="38129" spans="20:21" ht="15" customHeight="1" x14ac:dyDescent="0.25">
      <c r="T38129" s="135"/>
      <c r="U38129" s="135"/>
    </row>
    <row r="38130" spans="20:21" ht="15" customHeight="1" x14ac:dyDescent="0.25">
      <c r="T38130" s="135"/>
      <c r="U38130" s="135"/>
    </row>
    <row r="38131" spans="20:21" ht="15" customHeight="1" x14ac:dyDescent="0.25">
      <c r="T38131" s="135"/>
      <c r="U38131" s="135"/>
    </row>
    <row r="38132" spans="20:21" ht="15" customHeight="1" x14ac:dyDescent="0.25">
      <c r="T38132" s="135"/>
      <c r="U38132" s="135"/>
    </row>
    <row r="38133" spans="20:21" ht="15" customHeight="1" x14ac:dyDescent="0.25">
      <c r="T38133" s="135"/>
      <c r="U38133" s="135"/>
    </row>
    <row r="38134" spans="20:21" ht="15" customHeight="1" x14ac:dyDescent="0.25">
      <c r="T38134" s="135"/>
      <c r="U38134" s="135"/>
    </row>
    <row r="38135" spans="20:21" ht="15" customHeight="1" x14ac:dyDescent="0.25">
      <c r="T38135" s="135"/>
      <c r="U38135" s="135"/>
    </row>
    <row r="38136" spans="20:21" ht="15" customHeight="1" x14ac:dyDescent="0.25">
      <c r="T38136" s="135"/>
      <c r="U38136" s="135"/>
    </row>
    <row r="38137" spans="20:21" ht="15" customHeight="1" x14ac:dyDescent="0.25">
      <c r="T38137" s="135"/>
      <c r="U38137" s="135"/>
    </row>
    <row r="38138" spans="20:21" ht="15" customHeight="1" x14ac:dyDescent="0.25">
      <c r="T38138" s="135"/>
      <c r="U38138" s="135"/>
    </row>
    <row r="38139" spans="20:21" ht="15" customHeight="1" x14ac:dyDescent="0.25">
      <c r="T38139" s="135"/>
      <c r="U38139" s="135"/>
    </row>
    <row r="38140" spans="20:21" ht="15" customHeight="1" x14ac:dyDescent="0.25">
      <c r="T38140" s="135"/>
      <c r="U38140" s="135"/>
    </row>
    <row r="38141" spans="20:21" ht="15" customHeight="1" x14ac:dyDescent="0.25">
      <c r="T38141" s="135"/>
      <c r="U38141" s="135"/>
    </row>
    <row r="38142" spans="20:21" ht="15" customHeight="1" x14ac:dyDescent="0.25">
      <c r="T38142" s="135"/>
      <c r="U38142" s="135"/>
    </row>
    <row r="38143" spans="20:21" ht="15" customHeight="1" x14ac:dyDescent="0.25">
      <c r="T38143" s="135"/>
      <c r="U38143" s="135"/>
    </row>
    <row r="38144" spans="20:21" ht="15" customHeight="1" x14ac:dyDescent="0.25">
      <c r="T38144" s="135"/>
      <c r="U38144" s="135"/>
    </row>
    <row r="38145" spans="20:21" ht="15" customHeight="1" x14ac:dyDescent="0.25">
      <c r="T38145" s="135"/>
      <c r="U38145" s="135"/>
    </row>
    <row r="38146" spans="20:21" ht="15" customHeight="1" x14ac:dyDescent="0.25">
      <c r="T38146" s="135"/>
      <c r="U38146" s="135"/>
    </row>
    <row r="38147" spans="20:21" ht="15" customHeight="1" x14ac:dyDescent="0.25">
      <c r="T38147" s="135"/>
      <c r="U38147" s="135"/>
    </row>
    <row r="38148" spans="20:21" ht="15" customHeight="1" x14ac:dyDescent="0.25">
      <c r="T38148" s="135"/>
      <c r="U38148" s="135"/>
    </row>
    <row r="38149" spans="20:21" ht="15" customHeight="1" x14ac:dyDescent="0.25">
      <c r="T38149" s="135"/>
      <c r="U38149" s="135"/>
    </row>
    <row r="38150" spans="20:21" ht="15" customHeight="1" x14ac:dyDescent="0.25">
      <c r="T38150" s="135"/>
      <c r="U38150" s="135"/>
    </row>
    <row r="38151" spans="20:21" ht="15" customHeight="1" x14ac:dyDescent="0.25">
      <c r="T38151" s="135"/>
      <c r="U38151" s="135"/>
    </row>
    <row r="38152" spans="20:21" ht="15" customHeight="1" x14ac:dyDescent="0.25">
      <c r="T38152" s="135"/>
      <c r="U38152" s="135"/>
    </row>
    <row r="38153" spans="20:21" ht="15" customHeight="1" x14ac:dyDescent="0.25">
      <c r="T38153" s="135"/>
      <c r="U38153" s="135"/>
    </row>
    <row r="38154" spans="20:21" ht="15" customHeight="1" x14ac:dyDescent="0.25">
      <c r="T38154" s="135"/>
      <c r="U38154" s="135"/>
    </row>
    <row r="38155" spans="20:21" ht="15" customHeight="1" x14ac:dyDescent="0.25">
      <c r="T38155" s="135"/>
      <c r="U38155" s="135"/>
    </row>
    <row r="38156" spans="20:21" ht="15" customHeight="1" x14ac:dyDescent="0.25">
      <c r="T38156" s="135"/>
      <c r="U38156" s="135"/>
    </row>
    <row r="38157" spans="20:21" ht="15" customHeight="1" x14ac:dyDescent="0.25">
      <c r="T38157" s="135"/>
      <c r="U38157" s="135"/>
    </row>
    <row r="38158" spans="20:21" ht="15" customHeight="1" x14ac:dyDescent="0.25">
      <c r="T38158" s="135"/>
      <c r="U38158" s="135"/>
    </row>
    <row r="38159" spans="20:21" ht="15" customHeight="1" x14ac:dyDescent="0.25">
      <c r="T38159" s="135"/>
      <c r="U38159" s="135"/>
    </row>
    <row r="38160" spans="20:21" ht="15" customHeight="1" x14ac:dyDescent="0.25">
      <c r="T38160" s="135"/>
      <c r="U38160" s="135"/>
    </row>
    <row r="38161" spans="20:21" ht="15" customHeight="1" x14ac:dyDescent="0.25">
      <c r="T38161" s="135"/>
      <c r="U38161" s="135"/>
    </row>
    <row r="38162" spans="20:21" ht="15" customHeight="1" x14ac:dyDescent="0.25">
      <c r="T38162" s="135"/>
      <c r="U38162" s="135"/>
    </row>
    <row r="38163" spans="20:21" ht="15" customHeight="1" x14ac:dyDescent="0.25">
      <c r="T38163" s="135"/>
      <c r="U38163" s="135"/>
    </row>
    <row r="38164" spans="20:21" ht="15" customHeight="1" x14ac:dyDescent="0.25">
      <c r="T38164" s="135"/>
      <c r="U38164" s="135"/>
    </row>
    <row r="38165" spans="20:21" ht="15" customHeight="1" x14ac:dyDescent="0.25">
      <c r="T38165" s="135"/>
      <c r="U38165" s="135"/>
    </row>
    <row r="38166" spans="20:21" ht="15" customHeight="1" x14ac:dyDescent="0.25">
      <c r="T38166" s="135"/>
      <c r="U38166" s="135"/>
    </row>
    <row r="38167" spans="20:21" ht="15" customHeight="1" x14ac:dyDescent="0.25">
      <c r="T38167" s="135"/>
      <c r="U38167" s="135"/>
    </row>
    <row r="38168" spans="20:21" ht="15" customHeight="1" x14ac:dyDescent="0.25">
      <c r="T38168" s="135"/>
      <c r="U38168" s="135"/>
    </row>
    <row r="38169" spans="20:21" ht="15" customHeight="1" x14ac:dyDescent="0.25">
      <c r="T38169" s="135"/>
      <c r="U38169" s="135"/>
    </row>
    <row r="38170" spans="20:21" ht="15" customHeight="1" x14ac:dyDescent="0.25">
      <c r="T38170" s="135"/>
      <c r="U38170" s="135"/>
    </row>
    <row r="38171" spans="20:21" ht="15" customHeight="1" x14ac:dyDescent="0.25">
      <c r="T38171" s="135"/>
      <c r="U38171" s="135"/>
    </row>
    <row r="38172" spans="20:21" ht="15" customHeight="1" x14ac:dyDescent="0.25">
      <c r="T38172" s="135"/>
      <c r="U38172" s="135"/>
    </row>
    <row r="38173" spans="20:21" ht="15" customHeight="1" x14ac:dyDescent="0.25">
      <c r="T38173" s="135"/>
      <c r="U38173" s="135"/>
    </row>
    <row r="38174" spans="20:21" ht="15" customHeight="1" x14ac:dyDescent="0.25">
      <c r="T38174" s="135"/>
      <c r="U38174" s="135"/>
    </row>
    <row r="38175" spans="20:21" ht="15" customHeight="1" x14ac:dyDescent="0.25">
      <c r="T38175" s="135"/>
      <c r="U38175" s="135"/>
    </row>
    <row r="38176" spans="20:21" ht="15" customHeight="1" x14ac:dyDescent="0.25">
      <c r="T38176" s="135"/>
      <c r="U38176" s="135"/>
    </row>
    <row r="38177" spans="20:21" ht="15" customHeight="1" x14ac:dyDescent="0.25">
      <c r="T38177" s="135"/>
      <c r="U38177" s="135"/>
    </row>
    <row r="38178" spans="20:21" ht="15" customHeight="1" x14ac:dyDescent="0.25">
      <c r="T38178" s="135"/>
      <c r="U38178" s="135"/>
    </row>
    <row r="38179" spans="20:21" ht="15" customHeight="1" x14ac:dyDescent="0.25">
      <c r="T38179" s="135"/>
      <c r="U38179" s="135"/>
    </row>
    <row r="38180" spans="20:21" ht="15" customHeight="1" x14ac:dyDescent="0.25">
      <c r="T38180" s="135"/>
      <c r="U38180" s="135"/>
    </row>
    <row r="38181" spans="20:21" ht="15" customHeight="1" x14ac:dyDescent="0.25">
      <c r="T38181" s="135"/>
      <c r="U38181" s="135"/>
    </row>
    <row r="38182" spans="20:21" ht="15" customHeight="1" x14ac:dyDescent="0.25">
      <c r="T38182" s="135"/>
      <c r="U38182" s="135"/>
    </row>
    <row r="38183" spans="20:21" ht="15" customHeight="1" x14ac:dyDescent="0.25">
      <c r="T38183" s="135"/>
      <c r="U38183" s="135"/>
    </row>
    <row r="38184" spans="20:21" ht="15" customHeight="1" x14ac:dyDescent="0.25">
      <c r="T38184" s="135"/>
      <c r="U38184" s="135"/>
    </row>
    <row r="38185" spans="20:21" ht="15" customHeight="1" x14ac:dyDescent="0.25">
      <c r="T38185" s="135"/>
      <c r="U38185" s="135"/>
    </row>
    <row r="38186" spans="20:21" ht="15" customHeight="1" x14ac:dyDescent="0.25">
      <c r="T38186" s="135"/>
      <c r="U38186" s="135"/>
    </row>
    <row r="38187" spans="20:21" ht="15" customHeight="1" x14ac:dyDescent="0.25">
      <c r="T38187" s="135"/>
      <c r="U38187" s="135"/>
    </row>
    <row r="38188" spans="20:21" ht="15" customHeight="1" x14ac:dyDescent="0.25">
      <c r="T38188" s="135"/>
      <c r="U38188" s="135"/>
    </row>
    <row r="38189" spans="20:21" ht="15" customHeight="1" x14ac:dyDescent="0.25">
      <c r="T38189" s="135"/>
      <c r="U38189" s="135"/>
    </row>
    <row r="38190" spans="20:21" ht="15" customHeight="1" x14ac:dyDescent="0.25">
      <c r="T38190" s="135"/>
      <c r="U38190" s="135"/>
    </row>
    <row r="38191" spans="20:21" ht="15" customHeight="1" x14ac:dyDescent="0.25">
      <c r="T38191" s="135"/>
      <c r="U38191" s="135"/>
    </row>
    <row r="38192" spans="20:21" ht="15" customHeight="1" x14ac:dyDescent="0.25">
      <c r="T38192" s="135"/>
      <c r="U38192" s="135"/>
    </row>
    <row r="38193" spans="20:21" ht="15" customHeight="1" x14ac:dyDescent="0.25">
      <c r="T38193" s="135"/>
      <c r="U38193" s="135"/>
    </row>
    <row r="38194" spans="20:21" ht="15" customHeight="1" x14ac:dyDescent="0.25">
      <c r="T38194" s="135"/>
      <c r="U38194" s="135"/>
    </row>
    <row r="38195" spans="20:21" ht="15" customHeight="1" x14ac:dyDescent="0.25">
      <c r="T38195" s="135"/>
      <c r="U38195" s="135"/>
    </row>
    <row r="38196" spans="20:21" ht="15" customHeight="1" x14ac:dyDescent="0.25">
      <c r="T38196" s="135"/>
      <c r="U38196" s="135"/>
    </row>
    <row r="38197" spans="20:21" ht="15" customHeight="1" x14ac:dyDescent="0.25">
      <c r="T38197" s="135"/>
      <c r="U38197" s="135"/>
    </row>
    <row r="38198" spans="20:21" ht="15" customHeight="1" x14ac:dyDescent="0.25">
      <c r="T38198" s="135"/>
      <c r="U38198" s="135"/>
    </row>
    <row r="38199" spans="20:21" ht="15" customHeight="1" x14ac:dyDescent="0.25">
      <c r="T38199" s="135"/>
      <c r="U38199" s="135"/>
    </row>
    <row r="38200" spans="20:21" ht="15" customHeight="1" x14ac:dyDescent="0.25">
      <c r="T38200" s="135"/>
      <c r="U38200" s="135"/>
    </row>
    <row r="38201" spans="20:21" ht="15" customHeight="1" x14ac:dyDescent="0.25">
      <c r="T38201" s="135"/>
      <c r="U38201" s="135"/>
    </row>
    <row r="38202" spans="20:21" ht="15" customHeight="1" x14ac:dyDescent="0.25">
      <c r="T38202" s="135"/>
      <c r="U38202" s="135"/>
    </row>
    <row r="38203" spans="20:21" ht="15" customHeight="1" x14ac:dyDescent="0.25">
      <c r="T38203" s="135"/>
      <c r="U38203" s="135"/>
    </row>
    <row r="38204" spans="20:21" ht="15" customHeight="1" x14ac:dyDescent="0.25">
      <c r="T38204" s="135"/>
      <c r="U38204" s="135"/>
    </row>
    <row r="38205" spans="20:21" ht="15" customHeight="1" x14ac:dyDescent="0.25">
      <c r="T38205" s="135"/>
      <c r="U38205" s="135"/>
    </row>
    <row r="38206" spans="20:21" ht="15" customHeight="1" x14ac:dyDescent="0.25">
      <c r="T38206" s="135"/>
      <c r="U38206" s="135"/>
    </row>
    <row r="38207" spans="20:21" ht="15" customHeight="1" x14ac:dyDescent="0.25">
      <c r="T38207" s="135"/>
      <c r="U38207" s="135"/>
    </row>
    <row r="38208" spans="20:21" ht="15" customHeight="1" x14ac:dyDescent="0.25">
      <c r="T38208" s="135"/>
      <c r="U38208" s="135"/>
    </row>
    <row r="38209" spans="20:21" ht="15" customHeight="1" x14ac:dyDescent="0.25">
      <c r="T38209" s="135"/>
      <c r="U38209" s="135"/>
    </row>
    <row r="38210" spans="20:21" ht="15" customHeight="1" x14ac:dyDescent="0.25">
      <c r="T38210" s="135"/>
      <c r="U38210" s="135"/>
    </row>
    <row r="38211" spans="20:21" ht="15" customHeight="1" x14ac:dyDescent="0.25">
      <c r="T38211" s="135"/>
      <c r="U38211" s="135"/>
    </row>
    <row r="38212" spans="20:21" ht="15" customHeight="1" x14ac:dyDescent="0.25">
      <c r="T38212" s="135"/>
      <c r="U38212" s="135"/>
    </row>
    <row r="38213" spans="20:21" ht="15" customHeight="1" x14ac:dyDescent="0.25">
      <c r="T38213" s="135"/>
      <c r="U38213" s="135"/>
    </row>
    <row r="38214" spans="20:21" ht="15" customHeight="1" x14ac:dyDescent="0.25">
      <c r="T38214" s="135"/>
      <c r="U38214" s="135"/>
    </row>
    <row r="38215" spans="20:21" ht="15" customHeight="1" x14ac:dyDescent="0.25">
      <c r="T38215" s="135"/>
      <c r="U38215" s="135"/>
    </row>
    <row r="38216" spans="20:21" ht="15" customHeight="1" x14ac:dyDescent="0.25">
      <c r="T38216" s="135"/>
      <c r="U38216" s="135"/>
    </row>
    <row r="38217" spans="20:21" ht="15" customHeight="1" x14ac:dyDescent="0.25">
      <c r="T38217" s="135"/>
      <c r="U38217" s="135"/>
    </row>
    <row r="38218" spans="20:21" ht="15" customHeight="1" x14ac:dyDescent="0.25">
      <c r="T38218" s="135"/>
      <c r="U38218" s="135"/>
    </row>
    <row r="38219" spans="20:21" ht="15" customHeight="1" x14ac:dyDescent="0.25">
      <c r="T38219" s="135"/>
      <c r="U38219" s="135"/>
    </row>
    <row r="38220" spans="20:21" ht="15" customHeight="1" x14ac:dyDescent="0.25">
      <c r="T38220" s="135"/>
      <c r="U38220" s="135"/>
    </row>
    <row r="38221" spans="20:21" ht="15" customHeight="1" x14ac:dyDescent="0.25">
      <c r="T38221" s="135"/>
      <c r="U38221" s="135"/>
    </row>
    <row r="38222" spans="20:21" ht="15" customHeight="1" x14ac:dyDescent="0.25">
      <c r="T38222" s="135"/>
      <c r="U38222" s="135"/>
    </row>
    <row r="38223" spans="20:21" ht="15" customHeight="1" x14ac:dyDescent="0.25">
      <c r="T38223" s="135"/>
      <c r="U38223" s="135"/>
    </row>
    <row r="38224" spans="20:21" ht="15" customHeight="1" x14ac:dyDescent="0.25">
      <c r="T38224" s="135"/>
      <c r="U38224" s="135"/>
    </row>
    <row r="38225" spans="20:21" ht="15" customHeight="1" x14ac:dyDescent="0.25">
      <c r="T38225" s="135"/>
      <c r="U38225" s="135"/>
    </row>
    <row r="38226" spans="20:21" ht="15" customHeight="1" x14ac:dyDescent="0.25">
      <c r="T38226" s="135"/>
      <c r="U38226" s="135"/>
    </row>
    <row r="38227" spans="20:21" ht="15" customHeight="1" x14ac:dyDescent="0.25">
      <c r="T38227" s="135"/>
      <c r="U38227" s="135"/>
    </row>
    <row r="38228" spans="20:21" ht="15" customHeight="1" x14ac:dyDescent="0.25">
      <c r="T38228" s="135"/>
      <c r="U38228" s="135"/>
    </row>
    <row r="38229" spans="20:21" ht="15" customHeight="1" x14ac:dyDescent="0.25">
      <c r="T38229" s="135"/>
      <c r="U38229" s="135"/>
    </row>
    <row r="38230" spans="20:21" ht="15" customHeight="1" x14ac:dyDescent="0.25">
      <c r="T38230" s="135"/>
      <c r="U38230" s="135"/>
    </row>
    <row r="38231" spans="20:21" ht="15" customHeight="1" x14ac:dyDescent="0.25">
      <c r="T38231" s="135"/>
      <c r="U38231" s="135"/>
    </row>
    <row r="38232" spans="20:21" ht="15" customHeight="1" x14ac:dyDescent="0.25">
      <c r="T38232" s="135"/>
      <c r="U38232" s="135"/>
    </row>
    <row r="38233" spans="20:21" ht="15" customHeight="1" x14ac:dyDescent="0.25">
      <c r="T38233" s="135"/>
      <c r="U38233" s="135"/>
    </row>
    <row r="38234" spans="20:21" ht="15" customHeight="1" x14ac:dyDescent="0.25">
      <c r="T38234" s="135"/>
      <c r="U38234" s="135"/>
    </row>
    <row r="38235" spans="20:21" ht="15" customHeight="1" x14ac:dyDescent="0.25">
      <c r="T38235" s="135"/>
      <c r="U38235" s="135"/>
    </row>
    <row r="38236" spans="20:21" ht="15" customHeight="1" x14ac:dyDescent="0.25">
      <c r="T38236" s="135"/>
      <c r="U38236" s="135"/>
    </row>
    <row r="38237" spans="20:21" ht="15" customHeight="1" x14ac:dyDescent="0.25">
      <c r="T38237" s="135"/>
      <c r="U38237" s="135"/>
    </row>
    <row r="38238" spans="20:21" ht="15" customHeight="1" x14ac:dyDescent="0.25">
      <c r="T38238" s="135"/>
      <c r="U38238" s="135"/>
    </row>
    <row r="38239" spans="20:21" ht="15" customHeight="1" x14ac:dyDescent="0.25">
      <c r="T38239" s="135"/>
      <c r="U38239" s="135"/>
    </row>
    <row r="38240" spans="20:21" ht="15" customHeight="1" x14ac:dyDescent="0.25">
      <c r="T38240" s="135"/>
      <c r="U38240" s="135"/>
    </row>
    <row r="38241" spans="20:21" ht="15" customHeight="1" x14ac:dyDescent="0.25">
      <c r="T38241" s="135"/>
      <c r="U38241" s="135"/>
    </row>
    <row r="38242" spans="20:21" ht="15" customHeight="1" x14ac:dyDescent="0.25">
      <c r="T38242" s="135"/>
      <c r="U38242" s="135"/>
    </row>
    <row r="38243" spans="20:21" ht="15" customHeight="1" x14ac:dyDescent="0.25">
      <c r="T38243" s="135"/>
      <c r="U38243" s="135"/>
    </row>
    <row r="38244" spans="20:21" ht="15" customHeight="1" x14ac:dyDescent="0.25">
      <c r="T38244" s="135"/>
      <c r="U38244" s="135"/>
    </row>
    <row r="38245" spans="20:21" ht="15" customHeight="1" x14ac:dyDescent="0.25">
      <c r="T38245" s="135"/>
      <c r="U38245" s="135"/>
    </row>
    <row r="38246" spans="20:21" ht="15" customHeight="1" x14ac:dyDescent="0.25">
      <c r="T38246" s="135"/>
      <c r="U38246" s="135"/>
    </row>
    <row r="38247" spans="20:21" ht="15" customHeight="1" x14ac:dyDescent="0.25">
      <c r="T38247" s="135"/>
      <c r="U38247" s="135"/>
    </row>
    <row r="38248" spans="20:21" ht="15" customHeight="1" x14ac:dyDescent="0.25">
      <c r="T38248" s="135"/>
      <c r="U38248" s="135"/>
    </row>
    <row r="38249" spans="20:21" ht="15" customHeight="1" x14ac:dyDescent="0.25">
      <c r="T38249" s="135"/>
      <c r="U38249" s="135"/>
    </row>
    <row r="38250" spans="20:21" ht="15" customHeight="1" x14ac:dyDescent="0.25">
      <c r="T38250" s="135"/>
      <c r="U38250" s="135"/>
    </row>
    <row r="38251" spans="20:21" ht="15" customHeight="1" x14ac:dyDescent="0.25">
      <c r="T38251" s="135"/>
      <c r="U38251" s="135"/>
    </row>
    <row r="38252" spans="20:21" ht="15" customHeight="1" x14ac:dyDescent="0.25">
      <c r="T38252" s="135"/>
      <c r="U38252" s="135"/>
    </row>
    <row r="38253" spans="20:21" ht="15" customHeight="1" x14ac:dyDescent="0.25">
      <c r="T38253" s="135"/>
      <c r="U38253" s="135"/>
    </row>
    <row r="38254" spans="20:21" ht="15" customHeight="1" x14ac:dyDescent="0.25">
      <c r="T38254" s="135"/>
      <c r="U38254" s="135"/>
    </row>
    <row r="38255" spans="20:21" ht="15" customHeight="1" x14ac:dyDescent="0.25">
      <c r="T38255" s="135"/>
      <c r="U38255" s="135"/>
    </row>
    <row r="38256" spans="20:21" ht="15" customHeight="1" x14ac:dyDescent="0.25">
      <c r="T38256" s="135"/>
      <c r="U38256" s="135"/>
    </row>
    <row r="38257" spans="20:21" ht="15" customHeight="1" x14ac:dyDescent="0.25">
      <c r="T38257" s="135"/>
      <c r="U38257" s="135"/>
    </row>
    <row r="38258" spans="20:21" ht="15" customHeight="1" x14ac:dyDescent="0.25">
      <c r="T38258" s="135"/>
      <c r="U38258" s="135"/>
    </row>
    <row r="38259" spans="20:21" ht="15" customHeight="1" x14ac:dyDescent="0.25">
      <c r="T38259" s="135"/>
      <c r="U38259" s="135"/>
    </row>
    <row r="38260" spans="20:21" ht="15" customHeight="1" x14ac:dyDescent="0.25">
      <c r="T38260" s="135"/>
      <c r="U38260" s="135"/>
    </row>
    <row r="38261" spans="20:21" ht="15" customHeight="1" x14ac:dyDescent="0.25">
      <c r="T38261" s="135"/>
      <c r="U38261" s="135"/>
    </row>
    <row r="38262" spans="20:21" ht="15" customHeight="1" x14ac:dyDescent="0.25">
      <c r="T38262" s="135"/>
      <c r="U38262" s="135"/>
    </row>
    <row r="38263" spans="20:21" ht="15" customHeight="1" x14ac:dyDescent="0.25">
      <c r="T38263" s="135"/>
      <c r="U38263" s="135"/>
    </row>
    <row r="38264" spans="20:21" ht="15" customHeight="1" x14ac:dyDescent="0.25">
      <c r="T38264" s="135"/>
      <c r="U38264" s="135"/>
    </row>
    <row r="38265" spans="20:21" ht="15" customHeight="1" x14ac:dyDescent="0.25">
      <c r="T38265" s="135"/>
      <c r="U38265" s="135"/>
    </row>
    <row r="38266" spans="20:21" ht="15" customHeight="1" x14ac:dyDescent="0.25">
      <c r="T38266" s="135"/>
      <c r="U38266" s="135"/>
    </row>
    <row r="38267" spans="20:21" ht="15" customHeight="1" x14ac:dyDescent="0.25">
      <c r="T38267" s="135"/>
      <c r="U38267" s="135"/>
    </row>
    <row r="38268" spans="20:21" ht="15" customHeight="1" x14ac:dyDescent="0.25">
      <c r="T38268" s="135"/>
      <c r="U38268" s="135"/>
    </row>
    <row r="38269" spans="20:21" ht="15" customHeight="1" x14ac:dyDescent="0.25">
      <c r="T38269" s="135"/>
      <c r="U38269" s="135"/>
    </row>
    <row r="38270" spans="20:21" ht="15" customHeight="1" x14ac:dyDescent="0.25">
      <c r="T38270" s="135"/>
      <c r="U38270" s="135"/>
    </row>
    <row r="38271" spans="20:21" ht="15" customHeight="1" x14ac:dyDescent="0.25">
      <c r="T38271" s="135"/>
      <c r="U38271" s="135"/>
    </row>
    <row r="38272" spans="20:21" ht="15" customHeight="1" x14ac:dyDescent="0.25">
      <c r="T38272" s="135"/>
      <c r="U38272" s="135"/>
    </row>
    <row r="38273" spans="20:21" ht="15" customHeight="1" x14ac:dyDescent="0.25">
      <c r="T38273" s="135"/>
      <c r="U38273" s="135"/>
    </row>
    <row r="38274" spans="20:21" ht="15" customHeight="1" x14ac:dyDescent="0.25">
      <c r="T38274" s="135"/>
      <c r="U38274" s="135"/>
    </row>
    <row r="38275" spans="20:21" ht="15" customHeight="1" x14ac:dyDescent="0.25">
      <c r="T38275" s="135"/>
      <c r="U38275" s="135"/>
    </row>
    <row r="38276" spans="20:21" ht="15" customHeight="1" x14ac:dyDescent="0.25">
      <c r="T38276" s="135"/>
      <c r="U38276" s="135"/>
    </row>
    <row r="38277" spans="20:21" ht="15" customHeight="1" x14ac:dyDescent="0.25">
      <c r="T38277" s="135"/>
      <c r="U38277" s="135"/>
    </row>
    <row r="38278" spans="20:21" ht="15" customHeight="1" x14ac:dyDescent="0.25">
      <c r="T38278" s="135"/>
      <c r="U38278" s="135"/>
    </row>
    <row r="38279" spans="20:21" ht="15" customHeight="1" x14ac:dyDescent="0.25">
      <c r="T38279" s="135"/>
      <c r="U38279" s="135"/>
    </row>
    <row r="38280" spans="20:21" ht="15" customHeight="1" x14ac:dyDescent="0.25">
      <c r="T38280" s="135"/>
      <c r="U38280" s="135"/>
    </row>
    <row r="38281" spans="20:21" ht="15" customHeight="1" x14ac:dyDescent="0.25">
      <c r="T38281" s="135"/>
      <c r="U38281" s="135"/>
    </row>
    <row r="38282" spans="20:21" ht="15" customHeight="1" x14ac:dyDescent="0.25">
      <c r="T38282" s="135"/>
      <c r="U38282" s="135"/>
    </row>
    <row r="38283" spans="20:21" ht="15" customHeight="1" x14ac:dyDescent="0.25">
      <c r="T38283" s="135"/>
      <c r="U38283" s="135"/>
    </row>
    <row r="38284" spans="20:21" ht="15" customHeight="1" x14ac:dyDescent="0.25">
      <c r="T38284" s="135"/>
      <c r="U38284" s="135"/>
    </row>
    <row r="38285" spans="20:21" ht="15" customHeight="1" x14ac:dyDescent="0.25">
      <c r="T38285" s="135"/>
      <c r="U38285" s="135"/>
    </row>
    <row r="38286" spans="20:21" ht="15" customHeight="1" x14ac:dyDescent="0.25">
      <c r="T38286" s="135"/>
      <c r="U38286" s="135"/>
    </row>
    <row r="38287" spans="20:21" ht="15" customHeight="1" x14ac:dyDescent="0.25">
      <c r="T38287" s="135"/>
      <c r="U38287" s="135"/>
    </row>
    <row r="38288" spans="20:21" ht="15" customHeight="1" x14ac:dyDescent="0.25">
      <c r="T38288" s="135"/>
      <c r="U38288" s="135"/>
    </row>
    <row r="38289" spans="20:21" ht="15" customHeight="1" x14ac:dyDescent="0.25">
      <c r="T38289" s="135"/>
      <c r="U38289" s="135"/>
    </row>
    <row r="38290" spans="20:21" ht="15" customHeight="1" x14ac:dyDescent="0.25">
      <c r="T38290" s="135"/>
      <c r="U38290" s="135"/>
    </row>
    <row r="38291" spans="20:21" ht="15" customHeight="1" x14ac:dyDescent="0.25">
      <c r="T38291" s="135"/>
      <c r="U38291" s="135"/>
    </row>
    <row r="38292" spans="20:21" ht="15" customHeight="1" x14ac:dyDescent="0.25">
      <c r="T38292" s="135"/>
      <c r="U38292" s="135"/>
    </row>
    <row r="38293" spans="20:21" ht="15" customHeight="1" x14ac:dyDescent="0.25">
      <c r="T38293" s="135"/>
      <c r="U38293" s="135"/>
    </row>
    <row r="38294" spans="20:21" ht="15" customHeight="1" x14ac:dyDescent="0.25">
      <c r="T38294" s="135"/>
      <c r="U38294" s="135"/>
    </row>
    <row r="38295" spans="20:21" ht="15" customHeight="1" x14ac:dyDescent="0.25">
      <c r="T38295" s="135"/>
      <c r="U38295" s="135"/>
    </row>
    <row r="38296" spans="20:21" ht="15" customHeight="1" x14ac:dyDescent="0.25">
      <c r="T38296" s="135"/>
      <c r="U38296" s="135"/>
    </row>
    <row r="38297" spans="20:21" ht="15" customHeight="1" x14ac:dyDescent="0.25">
      <c r="T38297" s="135"/>
      <c r="U38297" s="135"/>
    </row>
    <row r="38298" spans="20:21" ht="15" customHeight="1" x14ac:dyDescent="0.25">
      <c r="T38298" s="135"/>
      <c r="U38298" s="135"/>
    </row>
    <row r="38299" spans="20:21" ht="15" customHeight="1" x14ac:dyDescent="0.25">
      <c r="T38299" s="135"/>
      <c r="U38299" s="135"/>
    </row>
    <row r="38300" spans="20:21" ht="15" customHeight="1" x14ac:dyDescent="0.25">
      <c r="T38300" s="135"/>
      <c r="U38300" s="135"/>
    </row>
    <row r="38301" spans="20:21" ht="15" customHeight="1" x14ac:dyDescent="0.25">
      <c r="T38301" s="135"/>
      <c r="U38301" s="135"/>
    </row>
    <row r="38302" spans="20:21" ht="15" customHeight="1" x14ac:dyDescent="0.25">
      <c r="T38302" s="135"/>
      <c r="U38302" s="135"/>
    </row>
    <row r="38303" spans="20:21" ht="15" customHeight="1" x14ac:dyDescent="0.25">
      <c r="T38303" s="135"/>
      <c r="U38303" s="135"/>
    </row>
    <row r="38304" spans="20:21" ht="15" customHeight="1" x14ac:dyDescent="0.25">
      <c r="T38304" s="135"/>
      <c r="U38304" s="135"/>
    </row>
    <row r="38305" spans="20:21" ht="15" customHeight="1" x14ac:dyDescent="0.25">
      <c r="T38305" s="135"/>
      <c r="U38305" s="135"/>
    </row>
    <row r="38306" spans="20:21" ht="15" customHeight="1" x14ac:dyDescent="0.25">
      <c r="T38306" s="135"/>
      <c r="U38306" s="135"/>
    </row>
    <row r="38307" spans="20:21" ht="15" customHeight="1" x14ac:dyDescent="0.25">
      <c r="T38307" s="135"/>
      <c r="U38307" s="135"/>
    </row>
    <row r="38308" spans="20:21" ht="15" customHeight="1" x14ac:dyDescent="0.25">
      <c r="T38308" s="135"/>
      <c r="U38308" s="135"/>
    </row>
    <row r="38309" spans="20:21" ht="15" customHeight="1" x14ac:dyDescent="0.25">
      <c r="T38309" s="135"/>
      <c r="U38309" s="135"/>
    </row>
    <row r="38310" spans="20:21" ht="15" customHeight="1" x14ac:dyDescent="0.25">
      <c r="T38310" s="135"/>
      <c r="U38310" s="135"/>
    </row>
    <row r="38311" spans="20:21" ht="15" customHeight="1" x14ac:dyDescent="0.25">
      <c r="T38311" s="135"/>
      <c r="U38311" s="135"/>
    </row>
    <row r="38312" spans="20:21" ht="15" customHeight="1" x14ac:dyDescent="0.25">
      <c r="T38312" s="135"/>
      <c r="U38312" s="135"/>
    </row>
    <row r="38313" spans="20:21" ht="15" customHeight="1" x14ac:dyDescent="0.25">
      <c r="T38313" s="135"/>
      <c r="U38313" s="135"/>
    </row>
    <row r="38314" spans="20:21" ht="15" customHeight="1" x14ac:dyDescent="0.25">
      <c r="T38314" s="135"/>
      <c r="U38314" s="135"/>
    </row>
    <row r="38315" spans="20:21" ht="15" customHeight="1" x14ac:dyDescent="0.25">
      <c r="T38315" s="135"/>
      <c r="U38315" s="135"/>
    </row>
    <row r="38316" spans="20:21" ht="15" customHeight="1" x14ac:dyDescent="0.25">
      <c r="T38316" s="135"/>
      <c r="U38316" s="135"/>
    </row>
    <row r="38317" spans="20:21" ht="15" customHeight="1" x14ac:dyDescent="0.25">
      <c r="T38317" s="135"/>
      <c r="U38317" s="135"/>
    </row>
    <row r="38318" spans="20:21" ht="15" customHeight="1" x14ac:dyDescent="0.25">
      <c r="T38318" s="135"/>
      <c r="U38318" s="135"/>
    </row>
    <row r="38319" spans="20:21" ht="15" customHeight="1" x14ac:dyDescent="0.25">
      <c r="T38319" s="135"/>
      <c r="U38319" s="135"/>
    </row>
    <row r="38320" spans="20:21" ht="15" customHeight="1" x14ac:dyDescent="0.25">
      <c r="T38320" s="135"/>
      <c r="U38320" s="135"/>
    </row>
    <row r="38321" spans="20:21" ht="15" customHeight="1" x14ac:dyDescent="0.25">
      <c r="T38321" s="135"/>
      <c r="U38321" s="135"/>
    </row>
    <row r="38322" spans="20:21" ht="15" customHeight="1" x14ac:dyDescent="0.25">
      <c r="T38322" s="135"/>
      <c r="U38322" s="135"/>
    </row>
    <row r="38323" spans="20:21" ht="15" customHeight="1" x14ac:dyDescent="0.25">
      <c r="T38323" s="135"/>
      <c r="U38323" s="135"/>
    </row>
    <row r="38324" spans="20:21" ht="15" customHeight="1" x14ac:dyDescent="0.25">
      <c r="T38324" s="135"/>
      <c r="U38324" s="135"/>
    </row>
    <row r="38325" spans="20:21" ht="15" customHeight="1" x14ac:dyDescent="0.25">
      <c r="T38325" s="135"/>
      <c r="U38325" s="135"/>
    </row>
    <row r="38326" spans="20:21" ht="15" customHeight="1" x14ac:dyDescent="0.25">
      <c r="T38326" s="135"/>
      <c r="U38326" s="135"/>
    </row>
    <row r="38327" spans="20:21" ht="15" customHeight="1" x14ac:dyDescent="0.25">
      <c r="T38327" s="135"/>
      <c r="U38327" s="135"/>
    </row>
    <row r="38328" spans="20:21" ht="15" customHeight="1" x14ac:dyDescent="0.25">
      <c r="T38328" s="135"/>
      <c r="U38328" s="135"/>
    </row>
    <row r="38329" spans="20:21" ht="15" customHeight="1" x14ac:dyDescent="0.25">
      <c r="T38329" s="135"/>
      <c r="U38329" s="135"/>
    </row>
    <row r="38330" spans="20:21" ht="15" customHeight="1" x14ac:dyDescent="0.25">
      <c r="T38330" s="135"/>
      <c r="U38330" s="135"/>
    </row>
    <row r="38331" spans="20:21" ht="15" customHeight="1" x14ac:dyDescent="0.25">
      <c r="T38331" s="135"/>
      <c r="U38331" s="135"/>
    </row>
    <row r="38332" spans="20:21" ht="15" customHeight="1" x14ac:dyDescent="0.25">
      <c r="T38332" s="135"/>
      <c r="U38332" s="135"/>
    </row>
    <row r="38333" spans="20:21" ht="15" customHeight="1" x14ac:dyDescent="0.25">
      <c r="T38333" s="135"/>
      <c r="U38333" s="135"/>
    </row>
    <row r="38334" spans="20:21" ht="15" customHeight="1" x14ac:dyDescent="0.25">
      <c r="T38334" s="135"/>
      <c r="U38334" s="135"/>
    </row>
    <row r="38335" spans="20:21" ht="15" customHeight="1" x14ac:dyDescent="0.25">
      <c r="T38335" s="135"/>
      <c r="U38335" s="135"/>
    </row>
    <row r="38336" spans="20:21" ht="15" customHeight="1" x14ac:dyDescent="0.25">
      <c r="T38336" s="135"/>
      <c r="U38336" s="135"/>
    </row>
    <row r="38337" spans="20:21" ht="15" customHeight="1" x14ac:dyDescent="0.25">
      <c r="T38337" s="135"/>
      <c r="U38337" s="135"/>
    </row>
    <row r="38338" spans="20:21" ht="15" customHeight="1" x14ac:dyDescent="0.25">
      <c r="T38338" s="135"/>
      <c r="U38338" s="135"/>
    </row>
    <row r="38339" spans="20:21" ht="15" customHeight="1" x14ac:dyDescent="0.25">
      <c r="T38339" s="135"/>
      <c r="U38339" s="135"/>
    </row>
    <row r="38340" spans="20:21" ht="15" customHeight="1" x14ac:dyDescent="0.25">
      <c r="T38340" s="135"/>
      <c r="U38340" s="135"/>
    </row>
    <row r="38341" spans="20:21" ht="15" customHeight="1" x14ac:dyDescent="0.25">
      <c r="T38341" s="135"/>
      <c r="U38341" s="135"/>
    </row>
    <row r="38342" spans="20:21" ht="15" customHeight="1" x14ac:dyDescent="0.25">
      <c r="T38342" s="135"/>
      <c r="U38342" s="135"/>
    </row>
    <row r="38343" spans="20:21" ht="15" customHeight="1" x14ac:dyDescent="0.25">
      <c r="T38343" s="135"/>
      <c r="U38343" s="135"/>
    </row>
    <row r="38344" spans="20:21" ht="15" customHeight="1" x14ac:dyDescent="0.25">
      <c r="T38344" s="135"/>
      <c r="U38344" s="135"/>
    </row>
    <row r="38345" spans="20:21" ht="15" customHeight="1" x14ac:dyDescent="0.25">
      <c r="T38345" s="135"/>
      <c r="U38345" s="135"/>
    </row>
    <row r="38346" spans="20:21" ht="15" customHeight="1" x14ac:dyDescent="0.25">
      <c r="T38346" s="135"/>
      <c r="U38346" s="135"/>
    </row>
    <row r="38347" spans="20:21" ht="15" customHeight="1" x14ac:dyDescent="0.25">
      <c r="T38347" s="135"/>
      <c r="U38347" s="135"/>
    </row>
    <row r="38348" spans="20:21" ht="15" customHeight="1" x14ac:dyDescent="0.25">
      <c r="T38348" s="135"/>
      <c r="U38348" s="135"/>
    </row>
    <row r="38349" spans="20:21" ht="15" customHeight="1" x14ac:dyDescent="0.25">
      <c r="T38349" s="135"/>
      <c r="U38349" s="135"/>
    </row>
    <row r="38350" spans="20:21" ht="15" customHeight="1" x14ac:dyDescent="0.25">
      <c r="T38350" s="135"/>
      <c r="U38350" s="135"/>
    </row>
    <row r="38351" spans="20:21" ht="15" customHeight="1" x14ac:dyDescent="0.25">
      <c r="T38351" s="135"/>
      <c r="U38351" s="135"/>
    </row>
    <row r="38352" spans="20:21" ht="15" customHeight="1" x14ac:dyDescent="0.25">
      <c r="T38352" s="135"/>
      <c r="U38352" s="135"/>
    </row>
    <row r="38353" spans="20:21" ht="15" customHeight="1" x14ac:dyDescent="0.25">
      <c r="T38353" s="135"/>
      <c r="U38353" s="135"/>
    </row>
    <row r="38354" spans="20:21" ht="15" customHeight="1" x14ac:dyDescent="0.25">
      <c r="T38354" s="135"/>
      <c r="U38354" s="135"/>
    </row>
    <row r="38355" spans="20:21" ht="15" customHeight="1" x14ac:dyDescent="0.25">
      <c r="T38355" s="135"/>
      <c r="U38355" s="135"/>
    </row>
    <row r="38356" spans="20:21" ht="15" customHeight="1" x14ac:dyDescent="0.25">
      <c r="T38356" s="135"/>
      <c r="U38356" s="135"/>
    </row>
    <row r="38357" spans="20:21" ht="15" customHeight="1" x14ac:dyDescent="0.25">
      <c r="T38357" s="135"/>
      <c r="U38357" s="135"/>
    </row>
    <row r="38358" spans="20:21" ht="15" customHeight="1" x14ac:dyDescent="0.25">
      <c r="T38358" s="135"/>
      <c r="U38358" s="135"/>
    </row>
    <row r="38359" spans="20:21" ht="15" customHeight="1" x14ac:dyDescent="0.25">
      <c r="T38359" s="135"/>
      <c r="U38359" s="135"/>
    </row>
    <row r="38360" spans="20:21" ht="15" customHeight="1" x14ac:dyDescent="0.25">
      <c r="T38360" s="135"/>
      <c r="U38360" s="135"/>
    </row>
    <row r="38361" spans="20:21" ht="15" customHeight="1" x14ac:dyDescent="0.25">
      <c r="T38361" s="135"/>
      <c r="U38361" s="135"/>
    </row>
    <row r="38362" spans="20:21" ht="15" customHeight="1" x14ac:dyDescent="0.25">
      <c r="T38362" s="135"/>
      <c r="U38362" s="135"/>
    </row>
    <row r="38363" spans="20:21" ht="15" customHeight="1" x14ac:dyDescent="0.25">
      <c r="T38363" s="135"/>
      <c r="U38363" s="135"/>
    </row>
    <row r="38364" spans="20:21" ht="15" customHeight="1" x14ac:dyDescent="0.25">
      <c r="T38364" s="135"/>
      <c r="U38364" s="135"/>
    </row>
    <row r="38365" spans="20:21" ht="15" customHeight="1" x14ac:dyDescent="0.25">
      <c r="T38365" s="135"/>
      <c r="U38365" s="135"/>
    </row>
    <row r="38366" spans="20:21" ht="15" customHeight="1" x14ac:dyDescent="0.25">
      <c r="T38366" s="135"/>
      <c r="U38366" s="135"/>
    </row>
    <row r="38367" spans="20:21" ht="15" customHeight="1" x14ac:dyDescent="0.25">
      <c r="T38367" s="135"/>
      <c r="U38367" s="135"/>
    </row>
    <row r="38368" spans="20:21" ht="15" customHeight="1" x14ac:dyDescent="0.25">
      <c r="T38368" s="135"/>
      <c r="U38368" s="135"/>
    </row>
    <row r="38369" spans="20:21" ht="15" customHeight="1" x14ac:dyDescent="0.25">
      <c r="T38369" s="135"/>
      <c r="U38369" s="135"/>
    </row>
    <row r="38370" spans="20:21" ht="15" customHeight="1" x14ac:dyDescent="0.25">
      <c r="T38370" s="135"/>
      <c r="U38370" s="135"/>
    </row>
    <row r="38371" spans="20:21" ht="15" customHeight="1" x14ac:dyDescent="0.25">
      <c r="T38371" s="135"/>
      <c r="U38371" s="135"/>
    </row>
    <row r="38372" spans="20:21" ht="15" customHeight="1" x14ac:dyDescent="0.25">
      <c r="T38372" s="135"/>
      <c r="U38372" s="135"/>
    </row>
    <row r="38373" spans="20:21" ht="15" customHeight="1" x14ac:dyDescent="0.25">
      <c r="T38373" s="135"/>
      <c r="U38373" s="135"/>
    </row>
    <row r="38374" spans="20:21" ht="15" customHeight="1" x14ac:dyDescent="0.25">
      <c r="T38374" s="135"/>
      <c r="U38374" s="135"/>
    </row>
    <row r="38375" spans="20:21" ht="15" customHeight="1" x14ac:dyDescent="0.25">
      <c r="T38375" s="135"/>
      <c r="U38375" s="135"/>
    </row>
    <row r="38376" spans="20:21" ht="15" customHeight="1" x14ac:dyDescent="0.25">
      <c r="T38376" s="135"/>
      <c r="U38376" s="135"/>
    </row>
    <row r="38377" spans="20:21" ht="15" customHeight="1" x14ac:dyDescent="0.25">
      <c r="T38377" s="135"/>
      <c r="U38377" s="135"/>
    </row>
    <row r="38378" spans="20:21" ht="15" customHeight="1" x14ac:dyDescent="0.25">
      <c r="T38378" s="135"/>
      <c r="U38378" s="135"/>
    </row>
    <row r="38379" spans="20:21" ht="15" customHeight="1" x14ac:dyDescent="0.25">
      <c r="T38379" s="135"/>
      <c r="U38379" s="135"/>
    </row>
    <row r="38380" spans="20:21" ht="15" customHeight="1" x14ac:dyDescent="0.25">
      <c r="T38380" s="135"/>
      <c r="U38380" s="135"/>
    </row>
    <row r="38381" spans="20:21" ht="15" customHeight="1" x14ac:dyDescent="0.25">
      <c r="T38381" s="135"/>
      <c r="U38381" s="135"/>
    </row>
    <row r="38382" spans="20:21" ht="15" customHeight="1" x14ac:dyDescent="0.25">
      <c r="T38382" s="135"/>
      <c r="U38382" s="135"/>
    </row>
    <row r="38383" spans="20:21" ht="15" customHeight="1" x14ac:dyDescent="0.25">
      <c r="T38383" s="135"/>
      <c r="U38383" s="135"/>
    </row>
    <row r="38384" spans="20:21" ht="15" customHeight="1" x14ac:dyDescent="0.25">
      <c r="T38384" s="135"/>
      <c r="U38384" s="135"/>
    </row>
    <row r="38385" spans="20:21" ht="15" customHeight="1" x14ac:dyDescent="0.25">
      <c r="T38385" s="135"/>
      <c r="U38385" s="135"/>
    </row>
    <row r="38386" spans="20:21" ht="15" customHeight="1" x14ac:dyDescent="0.25">
      <c r="T38386" s="135"/>
      <c r="U38386" s="135"/>
    </row>
    <row r="38387" spans="20:21" ht="15" customHeight="1" x14ac:dyDescent="0.25">
      <c r="T38387" s="135"/>
      <c r="U38387" s="135"/>
    </row>
    <row r="38388" spans="20:21" ht="15" customHeight="1" x14ac:dyDescent="0.25">
      <c r="T38388" s="135"/>
      <c r="U38388" s="135"/>
    </row>
    <row r="38389" spans="20:21" ht="15" customHeight="1" x14ac:dyDescent="0.25">
      <c r="T38389" s="135"/>
      <c r="U38389" s="135"/>
    </row>
    <row r="38390" spans="20:21" ht="15" customHeight="1" x14ac:dyDescent="0.25">
      <c r="T38390" s="135"/>
      <c r="U38390" s="135"/>
    </row>
    <row r="38391" spans="20:21" ht="15" customHeight="1" x14ac:dyDescent="0.25">
      <c r="T38391" s="135"/>
      <c r="U38391" s="135"/>
    </row>
    <row r="38392" spans="20:21" ht="15" customHeight="1" x14ac:dyDescent="0.25">
      <c r="T38392" s="135"/>
      <c r="U38392" s="135"/>
    </row>
    <row r="38393" spans="20:21" ht="15" customHeight="1" x14ac:dyDescent="0.25">
      <c r="T38393" s="135"/>
      <c r="U38393" s="135"/>
    </row>
    <row r="38394" spans="20:21" ht="15" customHeight="1" x14ac:dyDescent="0.25">
      <c r="T38394" s="135"/>
      <c r="U38394" s="135"/>
    </row>
    <row r="38395" spans="20:21" ht="15" customHeight="1" x14ac:dyDescent="0.25">
      <c r="T38395" s="135"/>
      <c r="U38395" s="135"/>
    </row>
    <row r="38396" spans="20:21" ht="15" customHeight="1" x14ac:dyDescent="0.25">
      <c r="T38396" s="135"/>
      <c r="U38396" s="135"/>
    </row>
    <row r="38397" spans="20:21" ht="15" customHeight="1" x14ac:dyDescent="0.25">
      <c r="T38397" s="135"/>
      <c r="U38397" s="135"/>
    </row>
    <row r="38398" spans="20:21" ht="15" customHeight="1" x14ac:dyDescent="0.25">
      <c r="T38398" s="135"/>
      <c r="U38398" s="135"/>
    </row>
    <row r="38399" spans="20:21" ht="15" customHeight="1" x14ac:dyDescent="0.25">
      <c r="T38399" s="135"/>
      <c r="U38399" s="135"/>
    </row>
    <row r="38400" spans="20:21" ht="15" customHeight="1" x14ac:dyDescent="0.25">
      <c r="T38400" s="135"/>
      <c r="U38400" s="135"/>
    </row>
    <row r="38401" spans="20:21" ht="15" customHeight="1" x14ac:dyDescent="0.25">
      <c r="T38401" s="135"/>
      <c r="U38401" s="135"/>
    </row>
    <row r="38402" spans="20:21" ht="15" customHeight="1" x14ac:dyDescent="0.25">
      <c r="T38402" s="135"/>
      <c r="U38402" s="135"/>
    </row>
    <row r="38403" spans="20:21" ht="15" customHeight="1" x14ac:dyDescent="0.25">
      <c r="T38403" s="135"/>
      <c r="U38403" s="135"/>
    </row>
    <row r="38404" spans="20:21" ht="15" customHeight="1" x14ac:dyDescent="0.25">
      <c r="T38404" s="135"/>
      <c r="U38404" s="135"/>
    </row>
    <row r="38405" spans="20:21" ht="15" customHeight="1" x14ac:dyDescent="0.25">
      <c r="T38405" s="135"/>
      <c r="U38405" s="135"/>
    </row>
    <row r="38406" spans="20:21" ht="15" customHeight="1" x14ac:dyDescent="0.25">
      <c r="T38406" s="135"/>
      <c r="U38406" s="135"/>
    </row>
    <row r="38407" spans="20:21" ht="15" customHeight="1" x14ac:dyDescent="0.25">
      <c r="T38407" s="135"/>
      <c r="U38407" s="135"/>
    </row>
    <row r="38408" spans="20:21" ht="15" customHeight="1" x14ac:dyDescent="0.25">
      <c r="T38408" s="135"/>
      <c r="U38408" s="135"/>
    </row>
    <row r="38409" spans="20:21" ht="15" customHeight="1" x14ac:dyDescent="0.25">
      <c r="T38409" s="135"/>
      <c r="U38409" s="135"/>
    </row>
    <row r="38410" spans="20:21" ht="15" customHeight="1" x14ac:dyDescent="0.25">
      <c r="T38410" s="135"/>
      <c r="U38410" s="135"/>
    </row>
    <row r="38411" spans="20:21" ht="15" customHeight="1" x14ac:dyDescent="0.25">
      <c r="T38411" s="135"/>
      <c r="U38411" s="135"/>
    </row>
    <row r="38412" spans="20:21" ht="15" customHeight="1" x14ac:dyDescent="0.25">
      <c r="T38412" s="135"/>
      <c r="U38412" s="135"/>
    </row>
    <row r="38413" spans="20:21" ht="15" customHeight="1" x14ac:dyDescent="0.25">
      <c r="T38413" s="135"/>
      <c r="U38413" s="135"/>
    </row>
    <row r="38414" spans="20:21" ht="15" customHeight="1" x14ac:dyDescent="0.25">
      <c r="T38414" s="135"/>
      <c r="U38414" s="135"/>
    </row>
    <row r="38415" spans="20:21" ht="15" customHeight="1" x14ac:dyDescent="0.25">
      <c r="T38415" s="135"/>
      <c r="U38415" s="135"/>
    </row>
    <row r="38416" spans="20:21" ht="15" customHeight="1" x14ac:dyDescent="0.25">
      <c r="T38416" s="135"/>
      <c r="U38416" s="135"/>
    </row>
    <row r="38417" spans="20:21" ht="15" customHeight="1" x14ac:dyDescent="0.25">
      <c r="T38417" s="135"/>
      <c r="U38417" s="135"/>
    </row>
    <row r="38418" spans="20:21" ht="15" customHeight="1" x14ac:dyDescent="0.25">
      <c r="T38418" s="135"/>
      <c r="U38418" s="135"/>
    </row>
    <row r="38419" spans="20:21" ht="15" customHeight="1" x14ac:dyDescent="0.25">
      <c r="T38419" s="135"/>
      <c r="U38419" s="135"/>
    </row>
    <row r="38420" spans="20:21" ht="15" customHeight="1" x14ac:dyDescent="0.25">
      <c r="T38420" s="135"/>
      <c r="U38420" s="135"/>
    </row>
    <row r="38421" spans="20:21" ht="15" customHeight="1" x14ac:dyDescent="0.25">
      <c r="T38421" s="135"/>
      <c r="U38421" s="135"/>
    </row>
    <row r="38422" spans="20:21" ht="15" customHeight="1" x14ac:dyDescent="0.25">
      <c r="T38422" s="135"/>
      <c r="U38422" s="135"/>
    </row>
    <row r="38423" spans="20:21" ht="15" customHeight="1" x14ac:dyDescent="0.25">
      <c r="T38423" s="135"/>
      <c r="U38423" s="135"/>
    </row>
    <row r="38424" spans="20:21" ht="15" customHeight="1" x14ac:dyDescent="0.25">
      <c r="T38424" s="135"/>
      <c r="U38424" s="135"/>
    </row>
    <row r="38425" spans="20:21" ht="15" customHeight="1" x14ac:dyDescent="0.25">
      <c r="T38425" s="135"/>
      <c r="U38425" s="135"/>
    </row>
    <row r="38426" spans="20:21" ht="15" customHeight="1" x14ac:dyDescent="0.25">
      <c r="T38426" s="135"/>
      <c r="U38426" s="135"/>
    </row>
    <row r="38427" spans="20:21" ht="15" customHeight="1" x14ac:dyDescent="0.25">
      <c r="T38427" s="135"/>
      <c r="U38427" s="135"/>
    </row>
    <row r="38428" spans="20:21" ht="15" customHeight="1" x14ac:dyDescent="0.25">
      <c r="T38428" s="135"/>
      <c r="U38428" s="135"/>
    </row>
    <row r="38429" spans="20:21" ht="15" customHeight="1" x14ac:dyDescent="0.25">
      <c r="T38429" s="135"/>
      <c r="U38429" s="135"/>
    </row>
    <row r="38430" spans="20:21" ht="15" customHeight="1" x14ac:dyDescent="0.25">
      <c r="T38430" s="135"/>
      <c r="U38430" s="135"/>
    </row>
    <row r="38431" spans="20:21" ht="15" customHeight="1" x14ac:dyDescent="0.25">
      <c r="T38431" s="135"/>
      <c r="U38431" s="135"/>
    </row>
    <row r="38432" spans="20:21" ht="15" customHeight="1" x14ac:dyDescent="0.25">
      <c r="T38432" s="135"/>
      <c r="U38432" s="135"/>
    </row>
    <row r="38433" spans="20:21" ht="15" customHeight="1" x14ac:dyDescent="0.25">
      <c r="T38433" s="135"/>
      <c r="U38433" s="135"/>
    </row>
    <row r="38434" spans="20:21" ht="15" customHeight="1" x14ac:dyDescent="0.25">
      <c r="T38434" s="135"/>
      <c r="U38434" s="135"/>
    </row>
    <row r="38435" spans="20:21" ht="15" customHeight="1" x14ac:dyDescent="0.25">
      <c r="T38435" s="135"/>
      <c r="U38435" s="135"/>
    </row>
    <row r="38436" spans="20:21" ht="15" customHeight="1" x14ac:dyDescent="0.25">
      <c r="T38436" s="135"/>
      <c r="U38436" s="135"/>
    </row>
    <row r="38437" spans="20:21" ht="15" customHeight="1" x14ac:dyDescent="0.25">
      <c r="T38437" s="135"/>
      <c r="U38437" s="135"/>
    </row>
    <row r="38438" spans="20:21" ht="15" customHeight="1" x14ac:dyDescent="0.25">
      <c r="T38438" s="135"/>
      <c r="U38438" s="135"/>
    </row>
    <row r="38439" spans="20:21" ht="15" customHeight="1" x14ac:dyDescent="0.25">
      <c r="T38439" s="135"/>
      <c r="U38439" s="135"/>
    </row>
    <row r="38440" spans="20:21" ht="15" customHeight="1" x14ac:dyDescent="0.25">
      <c r="T38440" s="135"/>
      <c r="U38440" s="135"/>
    </row>
    <row r="38441" spans="20:21" ht="15" customHeight="1" x14ac:dyDescent="0.25">
      <c r="T38441" s="135"/>
      <c r="U38441" s="135"/>
    </row>
    <row r="38442" spans="20:21" ht="15" customHeight="1" x14ac:dyDescent="0.25">
      <c r="T38442" s="135"/>
      <c r="U38442" s="135"/>
    </row>
    <row r="38443" spans="20:21" ht="15" customHeight="1" x14ac:dyDescent="0.25">
      <c r="T38443" s="135"/>
      <c r="U38443" s="135"/>
    </row>
    <row r="38444" spans="20:21" ht="15" customHeight="1" x14ac:dyDescent="0.25">
      <c r="T38444" s="135"/>
      <c r="U38444" s="135"/>
    </row>
    <row r="38445" spans="20:21" ht="15" customHeight="1" x14ac:dyDescent="0.25">
      <c r="T38445" s="135"/>
      <c r="U38445" s="135"/>
    </row>
    <row r="38446" spans="20:21" ht="15" customHeight="1" x14ac:dyDescent="0.25">
      <c r="T38446" s="135"/>
      <c r="U38446" s="135"/>
    </row>
    <row r="38447" spans="20:21" ht="15" customHeight="1" x14ac:dyDescent="0.25">
      <c r="T38447" s="135"/>
      <c r="U38447" s="135"/>
    </row>
    <row r="38448" spans="20:21" ht="15" customHeight="1" x14ac:dyDescent="0.25">
      <c r="T38448" s="135"/>
      <c r="U38448" s="135"/>
    </row>
    <row r="38449" spans="20:21" ht="15" customHeight="1" x14ac:dyDescent="0.25">
      <c r="T38449" s="135"/>
      <c r="U38449" s="135"/>
    </row>
    <row r="38450" spans="20:21" ht="15" customHeight="1" x14ac:dyDescent="0.25">
      <c r="T38450" s="135"/>
      <c r="U38450" s="135"/>
    </row>
    <row r="38451" spans="20:21" ht="15" customHeight="1" x14ac:dyDescent="0.25">
      <c r="T38451" s="135"/>
      <c r="U38451" s="135"/>
    </row>
    <row r="38452" spans="20:21" ht="15" customHeight="1" x14ac:dyDescent="0.25">
      <c r="T38452" s="135"/>
      <c r="U38452" s="135"/>
    </row>
    <row r="38453" spans="20:21" ht="15" customHeight="1" x14ac:dyDescent="0.25">
      <c r="T38453" s="135"/>
      <c r="U38453" s="135"/>
    </row>
    <row r="38454" spans="20:21" ht="15" customHeight="1" x14ac:dyDescent="0.25">
      <c r="T38454" s="135"/>
      <c r="U38454" s="135"/>
    </row>
    <row r="38455" spans="20:21" ht="15" customHeight="1" x14ac:dyDescent="0.25">
      <c r="T38455" s="135"/>
      <c r="U38455" s="135"/>
    </row>
    <row r="38456" spans="20:21" ht="15" customHeight="1" x14ac:dyDescent="0.25">
      <c r="T38456" s="135"/>
      <c r="U38456" s="135"/>
    </row>
    <row r="38457" spans="20:21" ht="15" customHeight="1" x14ac:dyDescent="0.25">
      <c r="T38457" s="135"/>
      <c r="U38457" s="135"/>
    </row>
    <row r="38458" spans="20:21" ht="15" customHeight="1" x14ac:dyDescent="0.25">
      <c r="T38458" s="135"/>
      <c r="U38458" s="135"/>
    </row>
    <row r="38459" spans="20:21" ht="15" customHeight="1" x14ac:dyDescent="0.25">
      <c r="T38459" s="135"/>
      <c r="U38459" s="135"/>
    </row>
    <row r="38460" spans="20:21" ht="15" customHeight="1" x14ac:dyDescent="0.25">
      <c r="T38460" s="135"/>
      <c r="U38460" s="135"/>
    </row>
    <row r="38461" spans="20:21" ht="15" customHeight="1" x14ac:dyDescent="0.25">
      <c r="T38461" s="135"/>
      <c r="U38461" s="135"/>
    </row>
    <row r="38462" spans="20:21" ht="15" customHeight="1" x14ac:dyDescent="0.25">
      <c r="T38462" s="135"/>
      <c r="U38462" s="135"/>
    </row>
    <row r="38463" spans="20:21" ht="15" customHeight="1" x14ac:dyDescent="0.25">
      <c r="T38463" s="135"/>
      <c r="U38463" s="135"/>
    </row>
    <row r="38464" spans="20:21" ht="15" customHeight="1" x14ac:dyDescent="0.25">
      <c r="T38464" s="135"/>
      <c r="U38464" s="135"/>
    </row>
    <row r="38465" spans="20:21" ht="15" customHeight="1" x14ac:dyDescent="0.25">
      <c r="T38465" s="135"/>
      <c r="U38465" s="135"/>
    </row>
    <row r="38466" spans="20:21" ht="15" customHeight="1" x14ac:dyDescent="0.25">
      <c r="T38466" s="135"/>
      <c r="U38466" s="135"/>
    </row>
    <row r="38467" spans="20:21" ht="15" customHeight="1" x14ac:dyDescent="0.25">
      <c r="T38467" s="135"/>
      <c r="U38467" s="135"/>
    </row>
    <row r="38468" spans="20:21" ht="15" customHeight="1" x14ac:dyDescent="0.25">
      <c r="T38468" s="135"/>
      <c r="U38468" s="135"/>
    </row>
    <row r="38469" spans="20:21" ht="15" customHeight="1" x14ac:dyDescent="0.25">
      <c r="T38469" s="135"/>
      <c r="U38469" s="135"/>
    </row>
    <row r="38470" spans="20:21" ht="15" customHeight="1" x14ac:dyDescent="0.25">
      <c r="T38470" s="135"/>
      <c r="U38470" s="135"/>
    </row>
    <row r="38471" spans="20:21" ht="15" customHeight="1" x14ac:dyDescent="0.25">
      <c r="T38471" s="135"/>
      <c r="U38471" s="135"/>
    </row>
    <row r="38472" spans="20:21" ht="15" customHeight="1" x14ac:dyDescent="0.25">
      <c r="T38472" s="135"/>
      <c r="U38472" s="135"/>
    </row>
    <row r="38473" spans="20:21" ht="15" customHeight="1" x14ac:dyDescent="0.25">
      <c r="T38473" s="135"/>
      <c r="U38473" s="135"/>
    </row>
    <row r="38474" spans="20:21" ht="15" customHeight="1" x14ac:dyDescent="0.25">
      <c r="T38474" s="135"/>
      <c r="U38474" s="135"/>
    </row>
    <row r="38475" spans="20:21" ht="15" customHeight="1" x14ac:dyDescent="0.25">
      <c r="T38475" s="135"/>
      <c r="U38475" s="135"/>
    </row>
    <row r="38476" spans="20:21" ht="15" customHeight="1" x14ac:dyDescent="0.25">
      <c r="T38476" s="135"/>
      <c r="U38476" s="135"/>
    </row>
    <row r="38477" spans="20:21" ht="15" customHeight="1" x14ac:dyDescent="0.25">
      <c r="T38477" s="135"/>
      <c r="U38477" s="135"/>
    </row>
    <row r="38478" spans="20:21" ht="15" customHeight="1" x14ac:dyDescent="0.25">
      <c r="T38478" s="135"/>
      <c r="U38478" s="135"/>
    </row>
    <row r="38479" spans="20:21" ht="15" customHeight="1" x14ac:dyDescent="0.25">
      <c r="T38479" s="135"/>
      <c r="U38479" s="135"/>
    </row>
    <row r="38480" spans="20:21" ht="15" customHeight="1" x14ac:dyDescent="0.25">
      <c r="T38480" s="135"/>
      <c r="U38480" s="135"/>
    </row>
    <row r="38481" spans="20:21" ht="15" customHeight="1" x14ac:dyDescent="0.25">
      <c r="T38481" s="135"/>
      <c r="U38481" s="135"/>
    </row>
    <row r="38482" spans="20:21" ht="15" customHeight="1" x14ac:dyDescent="0.25">
      <c r="T38482" s="135"/>
      <c r="U38482" s="135"/>
    </row>
    <row r="38483" spans="20:21" ht="15" customHeight="1" x14ac:dyDescent="0.25">
      <c r="T38483" s="135"/>
      <c r="U38483" s="135"/>
    </row>
    <row r="38484" spans="20:21" ht="15" customHeight="1" x14ac:dyDescent="0.25">
      <c r="T38484" s="135"/>
      <c r="U38484" s="135"/>
    </row>
    <row r="38485" spans="20:21" ht="15" customHeight="1" x14ac:dyDescent="0.25">
      <c r="T38485" s="135"/>
      <c r="U38485" s="135"/>
    </row>
    <row r="38486" spans="20:21" ht="15" customHeight="1" x14ac:dyDescent="0.25">
      <c r="T38486" s="135"/>
      <c r="U38486" s="135"/>
    </row>
    <row r="38487" spans="20:21" ht="15" customHeight="1" x14ac:dyDescent="0.25">
      <c r="T38487" s="135"/>
      <c r="U38487" s="135"/>
    </row>
    <row r="38488" spans="20:21" ht="15" customHeight="1" x14ac:dyDescent="0.25">
      <c r="T38488" s="135"/>
      <c r="U38488" s="135"/>
    </row>
    <row r="38489" spans="20:21" ht="15" customHeight="1" x14ac:dyDescent="0.25">
      <c r="T38489" s="135"/>
      <c r="U38489" s="135"/>
    </row>
    <row r="38490" spans="20:21" ht="15" customHeight="1" x14ac:dyDescent="0.25">
      <c r="T38490" s="135"/>
      <c r="U38490" s="135"/>
    </row>
    <row r="38491" spans="20:21" ht="15" customHeight="1" x14ac:dyDescent="0.25">
      <c r="T38491" s="135"/>
      <c r="U38491" s="135"/>
    </row>
    <row r="38492" spans="20:21" ht="15" customHeight="1" x14ac:dyDescent="0.25">
      <c r="T38492" s="135"/>
      <c r="U38492" s="135"/>
    </row>
    <row r="38493" spans="20:21" ht="15" customHeight="1" x14ac:dyDescent="0.25">
      <c r="T38493" s="135"/>
      <c r="U38493" s="135"/>
    </row>
    <row r="38494" spans="20:21" ht="15" customHeight="1" x14ac:dyDescent="0.25">
      <c r="T38494" s="135"/>
      <c r="U38494" s="135"/>
    </row>
    <row r="38495" spans="20:21" ht="15" customHeight="1" x14ac:dyDescent="0.25">
      <c r="T38495" s="135"/>
      <c r="U38495" s="135"/>
    </row>
    <row r="38496" spans="20:21" ht="15" customHeight="1" x14ac:dyDescent="0.25">
      <c r="T38496" s="135"/>
      <c r="U38496" s="135"/>
    </row>
    <row r="38497" spans="20:21" ht="15" customHeight="1" x14ac:dyDescent="0.25">
      <c r="T38497" s="135"/>
      <c r="U38497" s="135"/>
    </row>
    <row r="38498" spans="20:21" ht="15" customHeight="1" x14ac:dyDescent="0.25">
      <c r="T38498" s="135"/>
      <c r="U38498" s="135"/>
    </row>
    <row r="38499" spans="20:21" ht="15" customHeight="1" x14ac:dyDescent="0.25">
      <c r="T38499" s="135"/>
      <c r="U38499" s="135"/>
    </row>
    <row r="38500" spans="20:21" ht="15" customHeight="1" x14ac:dyDescent="0.25">
      <c r="T38500" s="135"/>
      <c r="U38500" s="135"/>
    </row>
    <row r="38501" spans="20:21" ht="15" customHeight="1" x14ac:dyDescent="0.25">
      <c r="T38501" s="135"/>
      <c r="U38501" s="135"/>
    </row>
    <row r="38502" spans="20:21" ht="15" customHeight="1" x14ac:dyDescent="0.25">
      <c r="T38502" s="135"/>
      <c r="U38502" s="135"/>
    </row>
    <row r="38503" spans="20:21" ht="15" customHeight="1" x14ac:dyDescent="0.25">
      <c r="T38503" s="135"/>
      <c r="U38503" s="135"/>
    </row>
    <row r="38504" spans="20:21" ht="15" customHeight="1" x14ac:dyDescent="0.25">
      <c r="T38504" s="135"/>
      <c r="U38504" s="135"/>
    </row>
    <row r="38505" spans="20:21" ht="15" customHeight="1" x14ac:dyDescent="0.25">
      <c r="T38505" s="135"/>
      <c r="U38505" s="135"/>
    </row>
    <row r="38506" spans="20:21" ht="15" customHeight="1" x14ac:dyDescent="0.25">
      <c r="T38506" s="135"/>
      <c r="U38506" s="135"/>
    </row>
    <row r="38507" spans="20:21" ht="15" customHeight="1" x14ac:dyDescent="0.25">
      <c r="T38507" s="135"/>
      <c r="U38507" s="135"/>
    </row>
    <row r="38508" spans="20:21" ht="15" customHeight="1" x14ac:dyDescent="0.25">
      <c r="T38508" s="135"/>
      <c r="U38508" s="135"/>
    </row>
    <row r="38509" spans="20:21" ht="15" customHeight="1" x14ac:dyDescent="0.25">
      <c r="T38509" s="135"/>
      <c r="U38509" s="135"/>
    </row>
    <row r="38510" spans="20:21" ht="15" customHeight="1" x14ac:dyDescent="0.25">
      <c r="T38510" s="135"/>
      <c r="U38510" s="135"/>
    </row>
    <row r="38511" spans="20:21" ht="15" customHeight="1" x14ac:dyDescent="0.25">
      <c r="T38511" s="135"/>
      <c r="U38511" s="135"/>
    </row>
    <row r="38512" spans="20:21" ht="15" customHeight="1" x14ac:dyDescent="0.25">
      <c r="T38512" s="135"/>
      <c r="U38512" s="135"/>
    </row>
    <row r="38513" spans="20:21" ht="15" customHeight="1" x14ac:dyDescent="0.25">
      <c r="T38513" s="135"/>
      <c r="U38513" s="135"/>
    </row>
    <row r="38514" spans="20:21" ht="15" customHeight="1" x14ac:dyDescent="0.25">
      <c r="T38514" s="135"/>
      <c r="U38514" s="135"/>
    </row>
    <row r="38515" spans="20:21" ht="15" customHeight="1" x14ac:dyDescent="0.25">
      <c r="T38515" s="135"/>
      <c r="U38515" s="135"/>
    </row>
    <row r="38516" spans="20:21" ht="15" customHeight="1" x14ac:dyDescent="0.25">
      <c r="T38516" s="135"/>
      <c r="U38516" s="135"/>
    </row>
    <row r="38517" spans="20:21" ht="15" customHeight="1" x14ac:dyDescent="0.25">
      <c r="T38517" s="135"/>
      <c r="U38517" s="135"/>
    </row>
    <row r="38518" spans="20:21" ht="15" customHeight="1" x14ac:dyDescent="0.25">
      <c r="T38518" s="135"/>
      <c r="U38518" s="135"/>
    </row>
    <row r="38519" spans="20:21" ht="15" customHeight="1" x14ac:dyDescent="0.25">
      <c r="T38519" s="135"/>
      <c r="U38519" s="135"/>
    </row>
    <row r="38520" spans="20:21" ht="15" customHeight="1" x14ac:dyDescent="0.25">
      <c r="T38520" s="135"/>
      <c r="U38520" s="135"/>
    </row>
    <row r="38521" spans="20:21" ht="15" customHeight="1" x14ac:dyDescent="0.25">
      <c r="T38521" s="135"/>
      <c r="U38521" s="135"/>
    </row>
    <row r="38522" spans="20:21" ht="15" customHeight="1" x14ac:dyDescent="0.25">
      <c r="T38522" s="135"/>
      <c r="U38522" s="135"/>
    </row>
    <row r="38523" spans="20:21" ht="15" customHeight="1" x14ac:dyDescent="0.25">
      <c r="T38523" s="135"/>
      <c r="U38523" s="135"/>
    </row>
    <row r="38524" spans="20:21" ht="15" customHeight="1" x14ac:dyDescent="0.25">
      <c r="T38524" s="135"/>
      <c r="U38524" s="135"/>
    </row>
    <row r="38525" spans="20:21" ht="15" customHeight="1" x14ac:dyDescent="0.25">
      <c r="T38525" s="135"/>
      <c r="U38525" s="135"/>
    </row>
    <row r="38526" spans="20:21" ht="15" customHeight="1" x14ac:dyDescent="0.25">
      <c r="T38526" s="135"/>
      <c r="U38526" s="135"/>
    </row>
    <row r="38527" spans="20:21" ht="15" customHeight="1" x14ac:dyDescent="0.25">
      <c r="T38527" s="135"/>
      <c r="U38527" s="135"/>
    </row>
    <row r="38528" spans="20:21" ht="15" customHeight="1" x14ac:dyDescent="0.25">
      <c r="T38528" s="135"/>
      <c r="U38528" s="135"/>
    </row>
    <row r="38529" spans="20:21" ht="15" customHeight="1" x14ac:dyDescent="0.25">
      <c r="T38529" s="135"/>
      <c r="U38529" s="135"/>
    </row>
    <row r="38530" spans="20:21" ht="15" customHeight="1" x14ac:dyDescent="0.25">
      <c r="T38530" s="135"/>
      <c r="U38530" s="135"/>
    </row>
    <row r="38531" spans="20:21" ht="15" customHeight="1" x14ac:dyDescent="0.25">
      <c r="T38531" s="135"/>
      <c r="U38531" s="135"/>
    </row>
    <row r="38532" spans="20:21" ht="15" customHeight="1" x14ac:dyDescent="0.25">
      <c r="T38532" s="135"/>
      <c r="U38532" s="135"/>
    </row>
    <row r="38533" spans="20:21" ht="15" customHeight="1" x14ac:dyDescent="0.25">
      <c r="T38533" s="135"/>
      <c r="U38533" s="135"/>
    </row>
    <row r="38534" spans="20:21" ht="15" customHeight="1" x14ac:dyDescent="0.25">
      <c r="T38534" s="135"/>
      <c r="U38534" s="135"/>
    </row>
    <row r="38535" spans="20:21" ht="15" customHeight="1" x14ac:dyDescent="0.25">
      <c r="T38535" s="135"/>
      <c r="U38535" s="135"/>
    </row>
    <row r="38536" spans="20:21" ht="15" customHeight="1" x14ac:dyDescent="0.25">
      <c r="T38536" s="135"/>
      <c r="U38536" s="135"/>
    </row>
    <row r="38537" spans="20:21" ht="15" customHeight="1" x14ac:dyDescent="0.25">
      <c r="T38537" s="135"/>
      <c r="U38537" s="135"/>
    </row>
    <row r="38538" spans="20:21" ht="15" customHeight="1" x14ac:dyDescent="0.25">
      <c r="T38538" s="135"/>
      <c r="U38538" s="135"/>
    </row>
    <row r="38539" spans="20:21" ht="15" customHeight="1" x14ac:dyDescent="0.25">
      <c r="T38539" s="135"/>
      <c r="U38539" s="135"/>
    </row>
    <row r="38540" spans="20:21" ht="15" customHeight="1" x14ac:dyDescent="0.25">
      <c r="T38540" s="135"/>
      <c r="U38540" s="135"/>
    </row>
    <row r="38541" spans="20:21" ht="15" customHeight="1" x14ac:dyDescent="0.25">
      <c r="T38541" s="135"/>
      <c r="U38541" s="135"/>
    </row>
    <row r="38542" spans="20:21" ht="15" customHeight="1" x14ac:dyDescent="0.25">
      <c r="T38542" s="135"/>
      <c r="U38542" s="135"/>
    </row>
    <row r="38543" spans="20:21" ht="15" customHeight="1" x14ac:dyDescent="0.25">
      <c r="T38543" s="135"/>
      <c r="U38543" s="135"/>
    </row>
    <row r="38544" spans="20:21" ht="15" customHeight="1" x14ac:dyDescent="0.25">
      <c r="T38544" s="135"/>
      <c r="U38544" s="135"/>
    </row>
    <row r="38545" spans="20:21" ht="15" customHeight="1" x14ac:dyDescent="0.25">
      <c r="T38545" s="135"/>
      <c r="U38545" s="135"/>
    </row>
    <row r="38546" spans="20:21" ht="15" customHeight="1" x14ac:dyDescent="0.25">
      <c r="T38546" s="135"/>
      <c r="U38546" s="135"/>
    </row>
    <row r="38547" spans="20:21" ht="15" customHeight="1" x14ac:dyDescent="0.25">
      <c r="T38547" s="135"/>
      <c r="U38547" s="135"/>
    </row>
    <row r="38548" spans="20:21" ht="15" customHeight="1" x14ac:dyDescent="0.25">
      <c r="T38548" s="135"/>
      <c r="U38548" s="135"/>
    </row>
    <row r="38549" spans="20:21" ht="15" customHeight="1" x14ac:dyDescent="0.25">
      <c r="T38549" s="135"/>
      <c r="U38549" s="135"/>
    </row>
    <row r="38550" spans="20:21" ht="15" customHeight="1" x14ac:dyDescent="0.25">
      <c r="T38550" s="135"/>
      <c r="U38550" s="135"/>
    </row>
    <row r="38551" spans="20:21" ht="15" customHeight="1" x14ac:dyDescent="0.25">
      <c r="T38551" s="135"/>
      <c r="U38551" s="135"/>
    </row>
    <row r="38552" spans="20:21" ht="15" customHeight="1" x14ac:dyDescent="0.25">
      <c r="T38552" s="135"/>
      <c r="U38552" s="135"/>
    </row>
    <row r="38553" spans="20:21" ht="15" customHeight="1" x14ac:dyDescent="0.25">
      <c r="T38553" s="135"/>
      <c r="U38553" s="135"/>
    </row>
    <row r="38554" spans="20:21" ht="15" customHeight="1" x14ac:dyDescent="0.25">
      <c r="T38554" s="135"/>
      <c r="U38554" s="135"/>
    </row>
    <row r="38555" spans="20:21" ht="15" customHeight="1" x14ac:dyDescent="0.25">
      <c r="T38555" s="135"/>
      <c r="U38555" s="135"/>
    </row>
    <row r="38556" spans="20:21" ht="15" customHeight="1" x14ac:dyDescent="0.25">
      <c r="T38556" s="135"/>
      <c r="U38556" s="135"/>
    </row>
    <row r="38557" spans="20:21" ht="15" customHeight="1" x14ac:dyDescent="0.25">
      <c r="T38557" s="135"/>
      <c r="U38557" s="135"/>
    </row>
    <row r="38558" spans="20:21" ht="15" customHeight="1" x14ac:dyDescent="0.25">
      <c r="T38558" s="135"/>
      <c r="U38558" s="135"/>
    </row>
    <row r="38559" spans="20:21" ht="15" customHeight="1" x14ac:dyDescent="0.25">
      <c r="T38559" s="135"/>
      <c r="U38559" s="135"/>
    </row>
    <row r="38560" spans="20:21" ht="15" customHeight="1" x14ac:dyDescent="0.25">
      <c r="T38560" s="135"/>
      <c r="U38560" s="135"/>
    </row>
    <row r="38561" spans="20:21" ht="15" customHeight="1" x14ac:dyDescent="0.25">
      <c r="T38561" s="135"/>
      <c r="U38561" s="135"/>
    </row>
    <row r="38562" spans="20:21" ht="15" customHeight="1" x14ac:dyDescent="0.25">
      <c r="T38562" s="135"/>
      <c r="U38562" s="135"/>
    </row>
    <row r="38563" spans="20:21" ht="15" customHeight="1" x14ac:dyDescent="0.25">
      <c r="T38563" s="135"/>
      <c r="U38563" s="135"/>
    </row>
    <row r="38564" spans="20:21" ht="15" customHeight="1" x14ac:dyDescent="0.25">
      <c r="T38564" s="135"/>
      <c r="U38564" s="135"/>
    </row>
    <row r="38565" spans="20:21" ht="15" customHeight="1" x14ac:dyDescent="0.25">
      <c r="T38565" s="135"/>
      <c r="U38565" s="135"/>
    </row>
    <row r="38566" spans="20:21" ht="15" customHeight="1" x14ac:dyDescent="0.25">
      <c r="T38566" s="135"/>
      <c r="U38566" s="135"/>
    </row>
    <row r="38567" spans="20:21" ht="15" customHeight="1" x14ac:dyDescent="0.25">
      <c r="T38567" s="135"/>
      <c r="U38567" s="135"/>
    </row>
    <row r="38568" spans="20:21" ht="15" customHeight="1" x14ac:dyDescent="0.25">
      <c r="T38568" s="135"/>
      <c r="U38568" s="135"/>
    </row>
    <row r="38569" spans="20:21" ht="15" customHeight="1" x14ac:dyDescent="0.25">
      <c r="T38569" s="135"/>
      <c r="U38569" s="135"/>
    </row>
    <row r="38570" spans="20:21" ht="15" customHeight="1" x14ac:dyDescent="0.25">
      <c r="T38570" s="135"/>
      <c r="U38570" s="135"/>
    </row>
    <row r="38571" spans="20:21" ht="15" customHeight="1" x14ac:dyDescent="0.25">
      <c r="T38571" s="135"/>
      <c r="U38571" s="135"/>
    </row>
    <row r="38572" spans="20:21" ht="15" customHeight="1" x14ac:dyDescent="0.25">
      <c r="T38572" s="135"/>
      <c r="U38572" s="135"/>
    </row>
    <row r="38573" spans="20:21" ht="15" customHeight="1" x14ac:dyDescent="0.25">
      <c r="T38573" s="135"/>
      <c r="U38573" s="135"/>
    </row>
    <row r="38574" spans="20:21" ht="15" customHeight="1" x14ac:dyDescent="0.25">
      <c r="T38574" s="135"/>
      <c r="U38574" s="135"/>
    </row>
    <row r="38575" spans="20:21" ht="15" customHeight="1" x14ac:dyDescent="0.25">
      <c r="T38575" s="135"/>
      <c r="U38575" s="135"/>
    </row>
    <row r="38576" spans="20:21" ht="15" customHeight="1" x14ac:dyDescent="0.25">
      <c r="T38576" s="135"/>
      <c r="U38576" s="135"/>
    </row>
    <row r="38577" spans="20:21" ht="15" customHeight="1" x14ac:dyDescent="0.25">
      <c r="T38577" s="135"/>
      <c r="U38577" s="135"/>
    </row>
    <row r="38578" spans="20:21" ht="15" customHeight="1" x14ac:dyDescent="0.25">
      <c r="T38578" s="135"/>
      <c r="U38578" s="135"/>
    </row>
    <row r="38579" spans="20:21" ht="15" customHeight="1" x14ac:dyDescent="0.25">
      <c r="T38579" s="135"/>
      <c r="U38579" s="135"/>
    </row>
    <row r="38580" spans="20:21" ht="15" customHeight="1" x14ac:dyDescent="0.25">
      <c r="T38580" s="135"/>
      <c r="U38580" s="135"/>
    </row>
    <row r="38581" spans="20:21" ht="15" customHeight="1" x14ac:dyDescent="0.25">
      <c r="T38581" s="135"/>
      <c r="U38581" s="135"/>
    </row>
    <row r="38582" spans="20:21" ht="15" customHeight="1" x14ac:dyDescent="0.25">
      <c r="T38582" s="135"/>
      <c r="U38582" s="135"/>
    </row>
    <row r="38583" spans="20:21" ht="15" customHeight="1" x14ac:dyDescent="0.25">
      <c r="T38583" s="135"/>
      <c r="U38583" s="135"/>
    </row>
    <row r="38584" spans="20:21" ht="15" customHeight="1" x14ac:dyDescent="0.25">
      <c r="T38584" s="135"/>
      <c r="U38584" s="135"/>
    </row>
    <row r="38585" spans="20:21" ht="15" customHeight="1" x14ac:dyDescent="0.25">
      <c r="T38585" s="135"/>
      <c r="U38585" s="135"/>
    </row>
    <row r="38586" spans="20:21" ht="15" customHeight="1" x14ac:dyDescent="0.25">
      <c r="T38586" s="135"/>
      <c r="U38586" s="135"/>
    </row>
    <row r="38587" spans="20:21" ht="15" customHeight="1" x14ac:dyDescent="0.25">
      <c r="T38587" s="135"/>
      <c r="U38587" s="135"/>
    </row>
    <row r="38588" spans="20:21" ht="15" customHeight="1" x14ac:dyDescent="0.25">
      <c r="T38588" s="135"/>
      <c r="U38588" s="135"/>
    </row>
    <row r="38589" spans="20:21" ht="15" customHeight="1" x14ac:dyDescent="0.25">
      <c r="T38589" s="135"/>
      <c r="U38589" s="135"/>
    </row>
    <row r="38590" spans="20:21" ht="15" customHeight="1" x14ac:dyDescent="0.25">
      <c r="T38590" s="135"/>
      <c r="U38590" s="135"/>
    </row>
    <row r="38591" spans="20:21" ht="15" customHeight="1" x14ac:dyDescent="0.25">
      <c r="T38591" s="135"/>
      <c r="U38591" s="135"/>
    </row>
    <row r="38592" spans="20:21" ht="15" customHeight="1" x14ac:dyDescent="0.25">
      <c r="T38592" s="135"/>
      <c r="U38592" s="135"/>
    </row>
    <row r="38593" spans="20:21" ht="15" customHeight="1" x14ac:dyDescent="0.25">
      <c r="T38593" s="135"/>
      <c r="U38593" s="135"/>
    </row>
    <row r="38594" spans="20:21" ht="15" customHeight="1" x14ac:dyDescent="0.25">
      <c r="T38594" s="135"/>
      <c r="U38594" s="135"/>
    </row>
    <row r="38595" spans="20:21" ht="15" customHeight="1" x14ac:dyDescent="0.25">
      <c r="T38595" s="135"/>
      <c r="U38595" s="135"/>
    </row>
    <row r="38596" spans="20:21" ht="15" customHeight="1" x14ac:dyDescent="0.25">
      <c r="T38596" s="135"/>
      <c r="U38596" s="135"/>
    </row>
    <row r="38597" spans="20:21" ht="15" customHeight="1" x14ac:dyDescent="0.25">
      <c r="T38597" s="135"/>
      <c r="U38597" s="135"/>
    </row>
    <row r="38598" spans="20:21" ht="15" customHeight="1" x14ac:dyDescent="0.25">
      <c r="T38598" s="135"/>
      <c r="U38598" s="135"/>
    </row>
    <row r="38599" spans="20:21" ht="15" customHeight="1" x14ac:dyDescent="0.25">
      <c r="T38599" s="135"/>
      <c r="U38599" s="135"/>
    </row>
    <row r="38600" spans="20:21" ht="15" customHeight="1" x14ac:dyDescent="0.25">
      <c r="T38600" s="135"/>
      <c r="U38600" s="135"/>
    </row>
    <row r="38601" spans="20:21" ht="15" customHeight="1" x14ac:dyDescent="0.25">
      <c r="T38601" s="135"/>
      <c r="U38601" s="135"/>
    </row>
    <row r="38602" spans="20:21" ht="15" customHeight="1" x14ac:dyDescent="0.25">
      <c r="T38602" s="135"/>
      <c r="U38602" s="135"/>
    </row>
    <row r="38603" spans="20:21" ht="15" customHeight="1" x14ac:dyDescent="0.25">
      <c r="T38603" s="135"/>
      <c r="U38603" s="135"/>
    </row>
    <row r="38604" spans="20:21" ht="15" customHeight="1" x14ac:dyDescent="0.25">
      <c r="T38604" s="135"/>
      <c r="U38604" s="135"/>
    </row>
    <row r="38605" spans="20:21" ht="15" customHeight="1" x14ac:dyDescent="0.25">
      <c r="T38605" s="135"/>
      <c r="U38605" s="135"/>
    </row>
    <row r="38606" spans="20:21" ht="15" customHeight="1" x14ac:dyDescent="0.25">
      <c r="T38606" s="135"/>
      <c r="U38606" s="135"/>
    </row>
    <row r="38607" spans="20:21" ht="15" customHeight="1" x14ac:dyDescent="0.25">
      <c r="T38607" s="135"/>
      <c r="U38607" s="135"/>
    </row>
    <row r="38608" spans="20:21" ht="15" customHeight="1" x14ac:dyDescent="0.25">
      <c r="T38608" s="135"/>
      <c r="U38608" s="135"/>
    </row>
    <row r="38609" spans="20:21" ht="15" customHeight="1" x14ac:dyDescent="0.25">
      <c r="T38609" s="135"/>
      <c r="U38609" s="135"/>
    </row>
    <row r="38610" spans="20:21" ht="15" customHeight="1" x14ac:dyDescent="0.25">
      <c r="T38610" s="135"/>
      <c r="U38610" s="135"/>
    </row>
    <row r="38611" spans="20:21" ht="15" customHeight="1" x14ac:dyDescent="0.25">
      <c r="T38611" s="135"/>
      <c r="U38611" s="135"/>
    </row>
    <row r="38612" spans="20:21" ht="15" customHeight="1" x14ac:dyDescent="0.25">
      <c r="T38612" s="135"/>
      <c r="U38612" s="135"/>
    </row>
    <row r="38613" spans="20:21" ht="15" customHeight="1" x14ac:dyDescent="0.25">
      <c r="T38613" s="135"/>
      <c r="U38613" s="135"/>
    </row>
    <row r="38614" spans="20:21" ht="15" customHeight="1" x14ac:dyDescent="0.25">
      <c r="T38614" s="135"/>
      <c r="U38614" s="135"/>
    </row>
    <row r="38615" spans="20:21" ht="15" customHeight="1" x14ac:dyDescent="0.25">
      <c r="T38615" s="135"/>
      <c r="U38615" s="135"/>
    </row>
    <row r="38616" spans="20:21" ht="15" customHeight="1" x14ac:dyDescent="0.25">
      <c r="T38616" s="135"/>
      <c r="U38616" s="135"/>
    </row>
    <row r="38617" spans="20:21" ht="15" customHeight="1" x14ac:dyDescent="0.25">
      <c r="T38617" s="135"/>
      <c r="U38617" s="135"/>
    </row>
    <row r="38618" spans="20:21" ht="15" customHeight="1" x14ac:dyDescent="0.25">
      <c r="T38618" s="135"/>
      <c r="U38618" s="135"/>
    </row>
    <row r="38619" spans="20:21" ht="15" customHeight="1" x14ac:dyDescent="0.25">
      <c r="T38619" s="135"/>
      <c r="U38619" s="135"/>
    </row>
    <row r="38620" spans="20:21" ht="15" customHeight="1" x14ac:dyDescent="0.25">
      <c r="T38620" s="135"/>
      <c r="U38620" s="135"/>
    </row>
    <row r="38621" spans="20:21" ht="15" customHeight="1" x14ac:dyDescent="0.25">
      <c r="T38621" s="135"/>
      <c r="U38621" s="135"/>
    </row>
    <row r="38622" spans="20:21" ht="15" customHeight="1" x14ac:dyDescent="0.25">
      <c r="T38622" s="135"/>
      <c r="U38622" s="135"/>
    </row>
    <row r="38623" spans="20:21" ht="15" customHeight="1" x14ac:dyDescent="0.25">
      <c r="T38623" s="135"/>
      <c r="U38623" s="135"/>
    </row>
    <row r="38624" spans="20:21" ht="15" customHeight="1" x14ac:dyDescent="0.25">
      <c r="T38624" s="135"/>
      <c r="U38624" s="135"/>
    </row>
    <row r="38625" spans="20:21" ht="15" customHeight="1" x14ac:dyDescent="0.25">
      <c r="T38625" s="135"/>
      <c r="U38625" s="135"/>
    </row>
    <row r="38626" spans="20:21" ht="15" customHeight="1" x14ac:dyDescent="0.25">
      <c r="T38626" s="135"/>
      <c r="U38626" s="135"/>
    </row>
    <row r="38627" spans="20:21" ht="15" customHeight="1" x14ac:dyDescent="0.25">
      <c r="T38627" s="135"/>
      <c r="U38627" s="135"/>
    </row>
    <row r="38628" spans="20:21" ht="15" customHeight="1" x14ac:dyDescent="0.25">
      <c r="T38628" s="135"/>
      <c r="U38628" s="135"/>
    </row>
    <row r="38629" spans="20:21" ht="15" customHeight="1" x14ac:dyDescent="0.25">
      <c r="T38629" s="135"/>
      <c r="U38629" s="135"/>
    </row>
    <row r="38630" spans="20:21" ht="15" customHeight="1" x14ac:dyDescent="0.25">
      <c r="T38630" s="135"/>
      <c r="U38630" s="135"/>
    </row>
    <row r="38631" spans="20:21" ht="15" customHeight="1" x14ac:dyDescent="0.25">
      <c r="T38631" s="135"/>
      <c r="U38631" s="135"/>
    </row>
    <row r="38632" spans="20:21" ht="15" customHeight="1" x14ac:dyDescent="0.25">
      <c r="T38632" s="135"/>
      <c r="U38632" s="135"/>
    </row>
    <row r="38633" spans="20:21" ht="15" customHeight="1" x14ac:dyDescent="0.25">
      <c r="T38633" s="135"/>
      <c r="U38633" s="135"/>
    </row>
    <row r="38634" spans="20:21" ht="15" customHeight="1" x14ac:dyDescent="0.25">
      <c r="T38634" s="135"/>
      <c r="U38634" s="135"/>
    </row>
    <row r="38635" spans="20:21" ht="15" customHeight="1" x14ac:dyDescent="0.25">
      <c r="T38635" s="135"/>
      <c r="U38635" s="135"/>
    </row>
    <row r="38636" spans="20:21" ht="15" customHeight="1" x14ac:dyDescent="0.25">
      <c r="T38636" s="135"/>
      <c r="U38636" s="135"/>
    </row>
    <row r="38637" spans="20:21" ht="15" customHeight="1" x14ac:dyDescent="0.25">
      <c r="T38637" s="135"/>
      <c r="U38637" s="135"/>
    </row>
    <row r="38638" spans="20:21" ht="15" customHeight="1" x14ac:dyDescent="0.25">
      <c r="T38638" s="135"/>
      <c r="U38638" s="135"/>
    </row>
    <row r="38639" spans="20:21" ht="15" customHeight="1" x14ac:dyDescent="0.25">
      <c r="T38639" s="135"/>
      <c r="U38639" s="135"/>
    </row>
    <row r="38640" spans="20:21" ht="15" customHeight="1" x14ac:dyDescent="0.25">
      <c r="T38640" s="135"/>
      <c r="U38640" s="135"/>
    </row>
    <row r="38641" spans="20:21" ht="15" customHeight="1" x14ac:dyDescent="0.25">
      <c r="T38641" s="135"/>
      <c r="U38641" s="135"/>
    </row>
    <row r="38642" spans="20:21" ht="15" customHeight="1" x14ac:dyDescent="0.25">
      <c r="T38642" s="135"/>
      <c r="U38642" s="135"/>
    </row>
    <row r="38643" spans="20:21" ht="15" customHeight="1" x14ac:dyDescent="0.25">
      <c r="T38643" s="135"/>
      <c r="U38643" s="135"/>
    </row>
    <row r="38644" spans="20:21" ht="15" customHeight="1" x14ac:dyDescent="0.25">
      <c r="T38644" s="135"/>
      <c r="U38644" s="135"/>
    </row>
    <row r="38645" spans="20:21" ht="15" customHeight="1" x14ac:dyDescent="0.25">
      <c r="T38645" s="135"/>
      <c r="U38645" s="135"/>
    </row>
    <row r="38646" spans="20:21" ht="15" customHeight="1" x14ac:dyDescent="0.25">
      <c r="T38646" s="135"/>
      <c r="U38646" s="135"/>
    </row>
    <row r="38647" spans="20:21" ht="15" customHeight="1" x14ac:dyDescent="0.25">
      <c r="T38647" s="135"/>
      <c r="U38647" s="135"/>
    </row>
    <row r="38648" spans="20:21" ht="15" customHeight="1" x14ac:dyDescent="0.25">
      <c r="T38648" s="135"/>
      <c r="U38648" s="135"/>
    </row>
    <row r="38649" spans="20:21" ht="15" customHeight="1" x14ac:dyDescent="0.25">
      <c r="T38649" s="135"/>
      <c r="U38649" s="135"/>
    </row>
    <row r="38650" spans="20:21" ht="15" customHeight="1" x14ac:dyDescent="0.25">
      <c r="T38650" s="135"/>
      <c r="U38650" s="135"/>
    </row>
    <row r="38651" spans="20:21" ht="15" customHeight="1" x14ac:dyDescent="0.25">
      <c r="T38651" s="135"/>
      <c r="U38651" s="135"/>
    </row>
    <row r="38652" spans="20:21" ht="15" customHeight="1" x14ac:dyDescent="0.25">
      <c r="T38652" s="135"/>
      <c r="U38652" s="135"/>
    </row>
    <row r="38653" spans="20:21" ht="15" customHeight="1" x14ac:dyDescent="0.25">
      <c r="T38653" s="135"/>
      <c r="U38653" s="135"/>
    </row>
    <row r="38654" spans="20:21" ht="15" customHeight="1" x14ac:dyDescent="0.25">
      <c r="T38654" s="135"/>
      <c r="U38654" s="135"/>
    </row>
    <row r="38655" spans="20:21" ht="15" customHeight="1" x14ac:dyDescent="0.25">
      <c r="T38655" s="135"/>
      <c r="U38655" s="135"/>
    </row>
    <row r="38656" spans="20:21" ht="15" customHeight="1" x14ac:dyDescent="0.25">
      <c r="T38656" s="135"/>
      <c r="U38656" s="135"/>
    </row>
    <row r="38657" spans="20:21" ht="15" customHeight="1" x14ac:dyDescent="0.25">
      <c r="T38657" s="135"/>
      <c r="U38657" s="135"/>
    </row>
    <row r="38658" spans="20:21" ht="15" customHeight="1" x14ac:dyDescent="0.25">
      <c r="T38658" s="135"/>
      <c r="U38658" s="135"/>
    </row>
    <row r="38659" spans="20:21" ht="15" customHeight="1" x14ac:dyDescent="0.25">
      <c r="T38659" s="135"/>
      <c r="U38659" s="135"/>
    </row>
    <row r="38660" spans="20:21" ht="15" customHeight="1" x14ac:dyDescent="0.25">
      <c r="T38660" s="135"/>
      <c r="U38660" s="135"/>
    </row>
    <row r="38661" spans="20:21" ht="15" customHeight="1" x14ac:dyDescent="0.25">
      <c r="T38661" s="135"/>
      <c r="U38661" s="135"/>
    </row>
    <row r="38662" spans="20:21" ht="15" customHeight="1" x14ac:dyDescent="0.25">
      <c r="T38662" s="135"/>
      <c r="U38662" s="135"/>
    </row>
    <row r="38663" spans="20:21" ht="15" customHeight="1" x14ac:dyDescent="0.25">
      <c r="T38663" s="135"/>
      <c r="U38663" s="135"/>
    </row>
    <row r="38664" spans="20:21" ht="15" customHeight="1" x14ac:dyDescent="0.25">
      <c r="T38664" s="135"/>
      <c r="U38664" s="135"/>
    </row>
    <row r="38665" spans="20:21" ht="15" customHeight="1" x14ac:dyDescent="0.25">
      <c r="T38665" s="135"/>
      <c r="U38665" s="135"/>
    </row>
    <row r="38666" spans="20:21" ht="15" customHeight="1" x14ac:dyDescent="0.25">
      <c r="T38666" s="135"/>
      <c r="U38666" s="135"/>
    </row>
    <row r="38667" spans="20:21" ht="15" customHeight="1" x14ac:dyDescent="0.25">
      <c r="T38667" s="135"/>
      <c r="U38667" s="135"/>
    </row>
    <row r="38668" spans="20:21" ht="15" customHeight="1" x14ac:dyDescent="0.25">
      <c r="T38668" s="135"/>
      <c r="U38668" s="135"/>
    </row>
    <row r="38669" spans="20:21" ht="15" customHeight="1" x14ac:dyDescent="0.25">
      <c r="T38669" s="135"/>
      <c r="U38669" s="135"/>
    </row>
    <row r="38670" spans="20:21" ht="15" customHeight="1" x14ac:dyDescent="0.25">
      <c r="T38670" s="135"/>
      <c r="U38670" s="135"/>
    </row>
    <row r="38671" spans="20:21" ht="15" customHeight="1" x14ac:dyDescent="0.25">
      <c r="T38671" s="135"/>
      <c r="U38671" s="135"/>
    </row>
    <row r="38672" spans="20:21" ht="15" customHeight="1" x14ac:dyDescent="0.25">
      <c r="T38672" s="135"/>
      <c r="U38672" s="135"/>
    </row>
    <row r="38673" spans="20:21" ht="15" customHeight="1" x14ac:dyDescent="0.25">
      <c r="T38673" s="135"/>
      <c r="U38673" s="135"/>
    </row>
    <row r="38674" spans="20:21" ht="15" customHeight="1" x14ac:dyDescent="0.25">
      <c r="T38674" s="135"/>
      <c r="U38674" s="135"/>
    </row>
    <row r="38675" spans="20:21" ht="15" customHeight="1" x14ac:dyDescent="0.25">
      <c r="T38675" s="135"/>
      <c r="U38675" s="135"/>
    </row>
    <row r="38676" spans="20:21" ht="15" customHeight="1" x14ac:dyDescent="0.25">
      <c r="T38676" s="135"/>
      <c r="U38676" s="135"/>
    </row>
    <row r="38677" spans="20:21" ht="15" customHeight="1" x14ac:dyDescent="0.25">
      <c r="T38677" s="135"/>
      <c r="U38677" s="135"/>
    </row>
    <row r="38678" spans="20:21" ht="15" customHeight="1" x14ac:dyDescent="0.25">
      <c r="T38678" s="135"/>
      <c r="U38678" s="135"/>
    </row>
    <row r="38679" spans="20:21" ht="15" customHeight="1" x14ac:dyDescent="0.25">
      <c r="T38679" s="135"/>
      <c r="U38679" s="135"/>
    </row>
    <row r="38680" spans="20:21" ht="15" customHeight="1" x14ac:dyDescent="0.25">
      <c r="T38680" s="135"/>
      <c r="U38680" s="135"/>
    </row>
    <row r="38681" spans="20:21" ht="15" customHeight="1" x14ac:dyDescent="0.25">
      <c r="T38681" s="135"/>
      <c r="U38681" s="135"/>
    </row>
    <row r="38682" spans="20:21" ht="15" customHeight="1" x14ac:dyDescent="0.25">
      <c r="T38682" s="135"/>
      <c r="U38682" s="135"/>
    </row>
    <row r="38683" spans="20:21" ht="15" customHeight="1" x14ac:dyDescent="0.25">
      <c r="T38683" s="135"/>
      <c r="U38683" s="135"/>
    </row>
    <row r="38684" spans="20:21" ht="15" customHeight="1" x14ac:dyDescent="0.25">
      <c r="T38684" s="135"/>
      <c r="U38684" s="135"/>
    </row>
    <row r="38685" spans="20:21" ht="15" customHeight="1" x14ac:dyDescent="0.25">
      <c r="T38685" s="135"/>
      <c r="U38685" s="135"/>
    </row>
    <row r="38686" spans="20:21" ht="15" customHeight="1" x14ac:dyDescent="0.25">
      <c r="T38686" s="135"/>
      <c r="U38686" s="135"/>
    </row>
    <row r="38687" spans="20:21" ht="15" customHeight="1" x14ac:dyDescent="0.25">
      <c r="T38687" s="135"/>
      <c r="U38687" s="135"/>
    </row>
    <row r="38688" spans="20:21" ht="15" customHeight="1" x14ac:dyDescent="0.25">
      <c r="T38688" s="135"/>
      <c r="U38688" s="135"/>
    </row>
    <row r="38689" spans="20:21" ht="15" customHeight="1" x14ac:dyDescent="0.25">
      <c r="T38689" s="135"/>
      <c r="U38689" s="135"/>
    </row>
    <row r="38690" spans="20:21" ht="15" customHeight="1" x14ac:dyDescent="0.25">
      <c r="T38690" s="135"/>
      <c r="U38690" s="135"/>
    </row>
    <row r="38691" spans="20:21" ht="15" customHeight="1" x14ac:dyDescent="0.25">
      <c r="T38691" s="135"/>
      <c r="U38691" s="135"/>
    </row>
    <row r="38692" spans="20:21" ht="15" customHeight="1" x14ac:dyDescent="0.25">
      <c r="T38692" s="135"/>
      <c r="U38692" s="135"/>
    </row>
    <row r="38693" spans="20:21" ht="15" customHeight="1" x14ac:dyDescent="0.25">
      <c r="T38693" s="135"/>
      <c r="U38693" s="135"/>
    </row>
    <row r="38694" spans="20:21" ht="15" customHeight="1" x14ac:dyDescent="0.25">
      <c r="T38694" s="135"/>
      <c r="U38694" s="135"/>
    </row>
    <row r="38695" spans="20:21" ht="15" customHeight="1" x14ac:dyDescent="0.25">
      <c r="T38695" s="135"/>
      <c r="U38695" s="135"/>
    </row>
    <row r="38696" spans="20:21" ht="15" customHeight="1" x14ac:dyDescent="0.25">
      <c r="T38696" s="135"/>
      <c r="U38696" s="135"/>
    </row>
    <row r="38697" spans="20:21" ht="15" customHeight="1" x14ac:dyDescent="0.25">
      <c r="T38697" s="135"/>
      <c r="U38697" s="135"/>
    </row>
    <row r="38698" spans="20:21" ht="15" customHeight="1" x14ac:dyDescent="0.25">
      <c r="T38698" s="135"/>
      <c r="U38698" s="135"/>
    </row>
    <row r="38699" spans="20:21" ht="15" customHeight="1" x14ac:dyDescent="0.25">
      <c r="T38699" s="135"/>
      <c r="U38699" s="135"/>
    </row>
    <row r="38700" spans="20:21" ht="15" customHeight="1" x14ac:dyDescent="0.25">
      <c r="T38700" s="135"/>
      <c r="U38700" s="135"/>
    </row>
    <row r="38701" spans="20:21" ht="15" customHeight="1" x14ac:dyDescent="0.25">
      <c r="T38701" s="135"/>
      <c r="U38701" s="135"/>
    </row>
    <row r="38702" spans="20:21" ht="15" customHeight="1" x14ac:dyDescent="0.25">
      <c r="T38702" s="135"/>
      <c r="U38702" s="135"/>
    </row>
    <row r="38703" spans="20:21" ht="15" customHeight="1" x14ac:dyDescent="0.25">
      <c r="T38703" s="135"/>
      <c r="U38703" s="135"/>
    </row>
    <row r="38704" spans="20:21" ht="15" customHeight="1" x14ac:dyDescent="0.25">
      <c r="T38704" s="135"/>
      <c r="U38704" s="135"/>
    </row>
    <row r="38705" spans="20:21" ht="15" customHeight="1" x14ac:dyDescent="0.25">
      <c r="T38705" s="135"/>
      <c r="U38705" s="135"/>
    </row>
    <row r="38706" spans="20:21" ht="15" customHeight="1" x14ac:dyDescent="0.25">
      <c r="T38706" s="135"/>
      <c r="U38706" s="135"/>
    </row>
    <row r="38707" spans="20:21" ht="15" customHeight="1" x14ac:dyDescent="0.25">
      <c r="T38707" s="135"/>
      <c r="U38707" s="135"/>
    </row>
    <row r="38708" spans="20:21" ht="15" customHeight="1" x14ac:dyDescent="0.25">
      <c r="T38708" s="135"/>
      <c r="U38708" s="135"/>
    </row>
    <row r="38709" spans="20:21" ht="15" customHeight="1" x14ac:dyDescent="0.25">
      <c r="T38709" s="135"/>
      <c r="U38709" s="135"/>
    </row>
    <row r="38710" spans="20:21" ht="15" customHeight="1" x14ac:dyDescent="0.25">
      <c r="T38710" s="135"/>
      <c r="U38710" s="135"/>
    </row>
    <row r="38711" spans="20:21" ht="15" customHeight="1" x14ac:dyDescent="0.25">
      <c r="T38711" s="135"/>
      <c r="U38711" s="135"/>
    </row>
    <row r="38712" spans="20:21" ht="15" customHeight="1" x14ac:dyDescent="0.25">
      <c r="T38712" s="135"/>
      <c r="U38712" s="135"/>
    </row>
    <row r="38713" spans="20:21" ht="15" customHeight="1" x14ac:dyDescent="0.25">
      <c r="T38713" s="135"/>
      <c r="U38713" s="135"/>
    </row>
    <row r="38714" spans="20:21" ht="15" customHeight="1" x14ac:dyDescent="0.25">
      <c r="T38714" s="135"/>
      <c r="U38714" s="135"/>
    </row>
    <row r="38715" spans="20:21" ht="15" customHeight="1" x14ac:dyDescent="0.25">
      <c r="T38715" s="135"/>
      <c r="U38715" s="135"/>
    </row>
    <row r="38716" spans="20:21" ht="15" customHeight="1" x14ac:dyDescent="0.25">
      <c r="T38716" s="135"/>
      <c r="U38716" s="135"/>
    </row>
    <row r="38717" spans="20:21" ht="15" customHeight="1" x14ac:dyDescent="0.25">
      <c r="T38717" s="135"/>
      <c r="U38717" s="135"/>
    </row>
    <row r="38718" spans="20:21" ht="15" customHeight="1" x14ac:dyDescent="0.25">
      <c r="T38718" s="135"/>
      <c r="U38718" s="135"/>
    </row>
    <row r="38719" spans="20:21" ht="15" customHeight="1" x14ac:dyDescent="0.25">
      <c r="T38719" s="135"/>
      <c r="U38719" s="135"/>
    </row>
    <row r="38720" spans="20:21" ht="15" customHeight="1" x14ac:dyDescent="0.25">
      <c r="T38720" s="135"/>
      <c r="U38720" s="135"/>
    </row>
    <row r="38721" spans="20:21" ht="15" customHeight="1" x14ac:dyDescent="0.25">
      <c r="T38721" s="135"/>
      <c r="U38721" s="135"/>
    </row>
    <row r="38722" spans="20:21" ht="15" customHeight="1" x14ac:dyDescent="0.25">
      <c r="T38722" s="135"/>
      <c r="U38722" s="135"/>
    </row>
    <row r="38723" spans="20:21" ht="15" customHeight="1" x14ac:dyDescent="0.25">
      <c r="T38723" s="135"/>
      <c r="U38723" s="135"/>
    </row>
    <row r="38724" spans="20:21" ht="15" customHeight="1" x14ac:dyDescent="0.25">
      <c r="T38724" s="135"/>
      <c r="U38724" s="135"/>
    </row>
    <row r="38725" spans="20:21" ht="15" customHeight="1" x14ac:dyDescent="0.25">
      <c r="T38725" s="135"/>
      <c r="U38725" s="135"/>
    </row>
    <row r="38726" spans="20:21" ht="15" customHeight="1" x14ac:dyDescent="0.25">
      <c r="T38726" s="135"/>
      <c r="U38726" s="135"/>
    </row>
    <row r="38727" spans="20:21" ht="15" customHeight="1" x14ac:dyDescent="0.25">
      <c r="T38727" s="135"/>
      <c r="U38727" s="135"/>
    </row>
    <row r="38728" spans="20:21" ht="15" customHeight="1" x14ac:dyDescent="0.25">
      <c r="T38728" s="135"/>
      <c r="U38728" s="135"/>
    </row>
    <row r="38729" spans="20:21" ht="15" customHeight="1" x14ac:dyDescent="0.25">
      <c r="T38729" s="135"/>
      <c r="U38729" s="135"/>
    </row>
    <row r="38730" spans="20:21" ht="15" customHeight="1" x14ac:dyDescent="0.25">
      <c r="T38730" s="135"/>
      <c r="U38730" s="135"/>
    </row>
    <row r="38731" spans="20:21" ht="15" customHeight="1" x14ac:dyDescent="0.25">
      <c r="T38731" s="135"/>
      <c r="U38731" s="135"/>
    </row>
    <row r="38732" spans="20:21" ht="15" customHeight="1" x14ac:dyDescent="0.25">
      <c r="T38732" s="135"/>
      <c r="U38732" s="135"/>
    </row>
    <row r="38733" spans="20:21" ht="15" customHeight="1" x14ac:dyDescent="0.25">
      <c r="T38733" s="135"/>
      <c r="U38733" s="135"/>
    </row>
    <row r="38734" spans="20:21" ht="15" customHeight="1" x14ac:dyDescent="0.25">
      <c r="T38734" s="135"/>
      <c r="U38734" s="135"/>
    </row>
    <row r="38735" spans="20:21" ht="15" customHeight="1" x14ac:dyDescent="0.25">
      <c r="T38735" s="135"/>
      <c r="U38735" s="135"/>
    </row>
    <row r="38736" spans="20:21" ht="15" customHeight="1" x14ac:dyDescent="0.25">
      <c r="T38736" s="135"/>
      <c r="U38736" s="135"/>
    </row>
    <row r="38737" spans="20:21" ht="15" customHeight="1" x14ac:dyDescent="0.25">
      <c r="T38737" s="135"/>
      <c r="U38737" s="135"/>
    </row>
    <row r="38738" spans="20:21" ht="15" customHeight="1" x14ac:dyDescent="0.25">
      <c r="T38738" s="135"/>
      <c r="U38738" s="135"/>
    </row>
    <row r="38739" spans="20:21" ht="15" customHeight="1" x14ac:dyDescent="0.25">
      <c r="T38739" s="135"/>
      <c r="U38739" s="135"/>
    </row>
    <row r="38740" spans="20:21" ht="15" customHeight="1" x14ac:dyDescent="0.25">
      <c r="T38740" s="135"/>
      <c r="U38740" s="135"/>
    </row>
    <row r="38741" spans="20:21" ht="15" customHeight="1" x14ac:dyDescent="0.25">
      <c r="T38741" s="135"/>
      <c r="U38741" s="135"/>
    </row>
    <row r="38742" spans="20:21" ht="15" customHeight="1" x14ac:dyDescent="0.25">
      <c r="T38742" s="135"/>
      <c r="U38742" s="135"/>
    </row>
    <row r="38743" spans="20:21" ht="15" customHeight="1" x14ac:dyDescent="0.25">
      <c r="T38743" s="135"/>
      <c r="U38743" s="135"/>
    </row>
    <row r="38744" spans="20:21" ht="15" customHeight="1" x14ac:dyDescent="0.25">
      <c r="T38744" s="135"/>
      <c r="U38744" s="135"/>
    </row>
    <row r="38745" spans="20:21" ht="15" customHeight="1" x14ac:dyDescent="0.25">
      <c r="T38745" s="135"/>
      <c r="U38745" s="135"/>
    </row>
    <row r="38746" spans="20:21" ht="15" customHeight="1" x14ac:dyDescent="0.25">
      <c r="T38746" s="135"/>
      <c r="U38746" s="135"/>
    </row>
    <row r="38747" spans="20:21" ht="15" customHeight="1" x14ac:dyDescent="0.25">
      <c r="T38747" s="135"/>
      <c r="U38747" s="135"/>
    </row>
    <row r="38748" spans="20:21" ht="15" customHeight="1" x14ac:dyDescent="0.25">
      <c r="T38748" s="135"/>
      <c r="U38748" s="135"/>
    </row>
    <row r="38749" spans="20:21" ht="15" customHeight="1" x14ac:dyDescent="0.25">
      <c r="T38749" s="135"/>
      <c r="U38749" s="135"/>
    </row>
    <row r="38750" spans="20:21" ht="15" customHeight="1" x14ac:dyDescent="0.25">
      <c r="T38750" s="135"/>
      <c r="U38750" s="135"/>
    </row>
    <row r="38751" spans="20:21" ht="15" customHeight="1" x14ac:dyDescent="0.25">
      <c r="T38751" s="135"/>
      <c r="U38751" s="135"/>
    </row>
    <row r="38752" spans="20:21" ht="15" customHeight="1" x14ac:dyDescent="0.25">
      <c r="T38752" s="135"/>
      <c r="U38752" s="135"/>
    </row>
    <row r="38753" spans="20:21" ht="15" customHeight="1" x14ac:dyDescent="0.25">
      <c r="T38753" s="135"/>
      <c r="U38753" s="135"/>
    </row>
    <row r="38754" spans="20:21" ht="15" customHeight="1" x14ac:dyDescent="0.25">
      <c r="T38754" s="135"/>
      <c r="U38754" s="135"/>
    </row>
    <row r="38755" spans="20:21" ht="15" customHeight="1" x14ac:dyDescent="0.25">
      <c r="T38755" s="135"/>
      <c r="U38755" s="135"/>
    </row>
    <row r="38756" spans="20:21" ht="15" customHeight="1" x14ac:dyDescent="0.25">
      <c r="T38756" s="135"/>
      <c r="U38756" s="135"/>
    </row>
    <row r="38757" spans="20:21" ht="15" customHeight="1" x14ac:dyDescent="0.25">
      <c r="T38757" s="135"/>
      <c r="U38757" s="135"/>
    </row>
    <row r="38758" spans="20:21" ht="15" customHeight="1" x14ac:dyDescent="0.25">
      <c r="T38758" s="135"/>
      <c r="U38758" s="135"/>
    </row>
    <row r="38759" spans="20:21" ht="15" customHeight="1" x14ac:dyDescent="0.25">
      <c r="T38759" s="135"/>
      <c r="U38759" s="135"/>
    </row>
    <row r="38760" spans="20:21" ht="15" customHeight="1" x14ac:dyDescent="0.25">
      <c r="T38760" s="135"/>
      <c r="U38760" s="135"/>
    </row>
    <row r="38761" spans="20:21" ht="15" customHeight="1" x14ac:dyDescent="0.25">
      <c r="T38761" s="135"/>
      <c r="U38761" s="135"/>
    </row>
    <row r="38762" spans="20:21" ht="15" customHeight="1" x14ac:dyDescent="0.25">
      <c r="T38762" s="135"/>
      <c r="U38762" s="135"/>
    </row>
    <row r="38763" spans="20:21" ht="15" customHeight="1" x14ac:dyDescent="0.25">
      <c r="T38763" s="135"/>
      <c r="U38763" s="135"/>
    </row>
    <row r="38764" spans="20:21" ht="15" customHeight="1" x14ac:dyDescent="0.25">
      <c r="T38764" s="135"/>
      <c r="U38764" s="135"/>
    </row>
    <row r="38765" spans="20:21" ht="15" customHeight="1" x14ac:dyDescent="0.25">
      <c r="T38765" s="135"/>
      <c r="U38765" s="135"/>
    </row>
    <row r="38766" spans="20:21" ht="15" customHeight="1" x14ac:dyDescent="0.25">
      <c r="T38766" s="135"/>
      <c r="U38766" s="135"/>
    </row>
    <row r="38767" spans="20:21" ht="15" customHeight="1" x14ac:dyDescent="0.25">
      <c r="T38767" s="135"/>
      <c r="U38767" s="135"/>
    </row>
    <row r="38768" spans="20:21" ht="15" customHeight="1" x14ac:dyDescent="0.25">
      <c r="T38768" s="135"/>
      <c r="U38768" s="135"/>
    </row>
    <row r="38769" spans="20:21" ht="15" customHeight="1" x14ac:dyDescent="0.25">
      <c r="T38769" s="135"/>
      <c r="U38769" s="135"/>
    </row>
    <row r="38770" spans="20:21" ht="15" customHeight="1" x14ac:dyDescent="0.25">
      <c r="T38770" s="135"/>
      <c r="U38770" s="135"/>
    </row>
    <row r="38771" spans="20:21" ht="15" customHeight="1" x14ac:dyDescent="0.25">
      <c r="T38771" s="135"/>
      <c r="U38771" s="135"/>
    </row>
    <row r="38772" spans="20:21" ht="15" customHeight="1" x14ac:dyDescent="0.25">
      <c r="T38772" s="135"/>
      <c r="U38772" s="135"/>
    </row>
    <row r="38773" spans="20:21" ht="15" customHeight="1" x14ac:dyDescent="0.25">
      <c r="T38773" s="135"/>
      <c r="U38773" s="135"/>
    </row>
    <row r="38774" spans="20:21" ht="15" customHeight="1" x14ac:dyDescent="0.25">
      <c r="T38774" s="135"/>
      <c r="U38774" s="135"/>
    </row>
    <row r="38775" spans="20:21" ht="15" customHeight="1" x14ac:dyDescent="0.25">
      <c r="T38775" s="135"/>
      <c r="U38775" s="135"/>
    </row>
    <row r="38776" spans="20:21" ht="15" customHeight="1" x14ac:dyDescent="0.25">
      <c r="T38776" s="135"/>
      <c r="U38776" s="135"/>
    </row>
    <row r="38777" spans="20:21" ht="15" customHeight="1" x14ac:dyDescent="0.25">
      <c r="T38777" s="135"/>
      <c r="U38777" s="135"/>
    </row>
    <row r="38778" spans="20:21" ht="15" customHeight="1" x14ac:dyDescent="0.25">
      <c r="T38778" s="135"/>
      <c r="U38778" s="135"/>
    </row>
    <row r="38779" spans="20:21" ht="15" customHeight="1" x14ac:dyDescent="0.25">
      <c r="T38779" s="135"/>
      <c r="U38779" s="135"/>
    </row>
    <row r="38780" spans="20:21" ht="15" customHeight="1" x14ac:dyDescent="0.25">
      <c r="T38780" s="135"/>
      <c r="U38780" s="135"/>
    </row>
    <row r="38781" spans="20:21" ht="15" customHeight="1" x14ac:dyDescent="0.25">
      <c r="T38781" s="135"/>
      <c r="U38781" s="135"/>
    </row>
    <row r="38782" spans="20:21" ht="15" customHeight="1" x14ac:dyDescent="0.25">
      <c r="T38782" s="135"/>
      <c r="U38782" s="135"/>
    </row>
    <row r="38783" spans="20:21" ht="15" customHeight="1" x14ac:dyDescent="0.25">
      <c r="T38783" s="135"/>
      <c r="U38783" s="135"/>
    </row>
    <row r="38784" spans="20:21" ht="15" customHeight="1" x14ac:dyDescent="0.25">
      <c r="T38784" s="135"/>
      <c r="U38784" s="135"/>
    </row>
    <row r="38785" spans="20:21" ht="15" customHeight="1" x14ac:dyDescent="0.25">
      <c r="T38785" s="135"/>
      <c r="U38785" s="135"/>
    </row>
    <row r="38786" spans="20:21" ht="15" customHeight="1" x14ac:dyDescent="0.25">
      <c r="T38786" s="135"/>
      <c r="U38786" s="135"/>
    </row>
    <row r="38787" spans="20:21" ht="15" customHeight="1" x14ac:dyDescent="0.25">
      <c r="T38787" s="135"/>
      <c r="U38787" s="135"/>
    </row>
    <row r="38788" spans="20:21" ht="15" customHeight="1" x14ac:dyDescent="0.25">
      <c r="T38788" s="135"/>
      <c r="U38788" s="135"/>
    </row>
    <row r="38789" spans="20:21" ht="15" customHeight="1" x14ac:dyDescent="0.25">
      <c r="T38789" s="135"/>
      <c r="U38789" s="135"/>
    </row>
    <row r="38790" spans="20:21" ht="15" customHeight="1" x14ac:dyDescent="0.25">
      <c r="T38790" s="135"/>
      <c r="U38790" s="135"/>
    </row>
    <row r="38791" spans="20:21" ht="15" customHeight="1" x14ac:dyDescent="0.25">
      <c r="T38791" s="135"/>
      <c r="U38791" s="135"/>
    </row>
    <row r="38792" spans="20:21" ht="15" customHeight="1" x14ac:dyDescent="0.25">
      <c r="T38792" s="135"/>
      <c r="U38792" s="135"/>
    </row>
    <row r="38793" spans="20:21" ht="15" customHeight="1" x14ac:dyDescent="0.25">
      <c r="T38793" s="135"/>
      <c r="U38793" s="135"/>
    </row>
    <row r="38794" spans="20:21" ht="15" customHeight="1" x14ac:dyDescent="0.25">
      <c r="T38794" s="135"/>
      <c r="U38794" s="135"/>
    </row>
    <row r="38795" spans="20:21" ht="15" customHeight="1" x14ac:dyDescent="0.25">
      <c r="T38795" s="135"/>
      <c r="U38795" s="135"/>
    </row>
    <row r="38796" spans="20:21" ht="15" customHeight="1" x14ac:dyDescent="0.25">
      <c r="T38796" s="135"/>
      <c r="U38796" s="135"/>
    </row>
    <row r="38797" spans="20:21" ht="15" customHeight="1" x14ac:dyDescent="0.25">
      <c r="T38797" s="135"/>
      <c r="U38797" s="135"/>
    </row>
    <row r="38798" spans="20:21" ht="15" customHeight="1" x14ac:dyDescent="0.25">
      <c r="T38798" s="135"/>
      <c r="U38798" s="135"/>
    </row>
    <row r="38799" spans="20:21" ht="15" customHeight="1" x14ac:dyDescent="0.25">
      <c r="T38799" s="135"/>
      <c r="U38799" s="135"/>
    </row>
    <row r="38800" spans="20:21" ht="15" customHeight="1" x14ac:dyDescent="0.25">
      <c r="T38800" s="135"/>
      <c r="U38800" s="135"/>
    </row>
    <row r="38801" spans="20:21" ht="15" customHeight="1" x14ac:dyDescent="0.25">
      <c r="T38801" s="135"/>
      <c r="U38801" s="135"/>
    </row>
    <row r="38802" spans="20:21" ht="15" customHeight="1" x14ac:dyDescent="0.25">
      <c r="T38802" s="135"/>
      <c r="U38802" s="135"/>
    </row>
    <row r="38803" spans="20:21" ht="15" customHeight="1" x14ac:dyDescent="0.25">
      <c r="T38803" s="135"/>
      <c r="U38803" s="135"/>
    </row>
    <row r="38804" spans="20:21" ht="15" customHeight="1" x14ac:dyDescent="0.25">
      <c r="T38804" s="135"/>
      <c r="U38804" s="135"/>
    </row>
    <row r="38805" spans="20:21" ht="15" customHeight="1" x14ac:dyDescent="0.25">
      <c r="T38805" s="135"/>
      <c r="U38805" s="135"/>
    </row>
    <row r="38806" spans="20:21" ht="15" customHeight="1" x14ac:dyDescent="0.25">
      <c r="T38806" s="135"/>
      <c r="U38806" s="135"/>
    </row>
    <row r="38807" spans="20:21" ht="15" customHeight="1" x14ac:dyDescent="0.25">
      <c r="T38807" s="135"/>
      <c r="U38807" s="135"/>
    </row>
    <row r="38808" spans="20:21" ht="15" customHeight="1" x14ac:dyDescent="0.25">
      <c r="T38808" s="135"/>
      <c r="U38808" s="135"/>
    </row>
    <row r="38809" spans="20:21" ht="15" customHeight="1" x14ac:dyDescent="0.25">
      <c r="T38809" s="135"/>
      <c r="U38809" s="135"/>
    </row>
    <row r="38810" spans="20:21" ht="15" customHeight="1" x14ac:dyDescent="0.25">
      <c r="T38810" s="135"/>
      <c r="U38810" s="135"/>
    </row>
    <row r="38811" spans="20:21" ht="15" customHeight="1" x14ac:dyDescent="0.25">
      <c r="T38811" s="135"/>
      <c r="U38811" s="135"/>
    </row>
    <row r="38812" spans="20:21" ht="15" customHeight="1" x14ac:dyDescent="0.25">
      <c r="T38812" s="135"/>
      <c r="U38812" s="135"/>
    </row>
    <row r="38813" spans="20:21" ht="15" customHeight="1" x14ac:dyDescent="0.25">
      <c r="T38813" s="135"/>
      <c r="U38813" s="135"/>
    </row>
    <row r="38814" spans="20:21" ht="15" customHeight="1" x14ac:dyDescent="0.25">
      <c r="T38814" s="135"/>
      <c r="U38814" s="135"/>
    </row>
    <row r="38815" spans="20:21" ht="15" customHeight="1" x14ac:dyDescent="0.25">
      <c r="T38815" s="135"/>
      <c r="U38815" s="135"/>
    </row>
    <row r="38816" spans="20:21" ht="15" customHeight="1" x14ac:dyDescent="0.25">
      <c r="T38816" s="135"/>
      <c r="U38816" s="135"/>
    </row>
    <row r="38817" spans="20:21" ht="15" customHeight="1" x14ac:dyDescent="0.25">
      <c r="T38817" s="135"/>
      <c r="U38817" s="135"/>
    </row>
    <row r="38818" spans="20:21" ht="15" customHeight="1" x14ac:dyDescent="0.25">
      <c r="T38818" s="135"/>
      <c r="U38818" s="135"/>
    </row>
    <row r="38819" spans="20:21" ht="15" customHeight="1" x14ac:dyDescent="0.25">
      <c r="T38819" s="135"/>
      <c r="U38819" s="135"/>
    </row>
    <row r="38820" spans="20:21" ht="15" customHeight="1" x14ac:dyDescent="0.25">
      <c r="T38820" s="135"/>
      <c r="U38820" s="135"/>
    </row>
    <row r="38821" spans="20:21" ht="15" customHeight="1" x14ac:dyDescent="0.25">
      <c r="T38821" s="135"/>
      <c r="U38821" s="135"/>
    </row>
    <row r="38822" spans="20:21" ht="15" customHeight="1" x14ac:dyDescent="0.25">
      <c r="T38822" s="135"/>
      <c r="U38822" s="135"/>
    </row>
    <row r="38823" spans="20:21" ht="15" customHeight="1" x14ac:dyDescent="0.25">
      <c r="T38823" s="135"/>
      <c r="U38823" s="135"/>
    </row>
    <row r="38824" spans="20:21" ht="15" customHeight="1" x14ac:dyDescent="0.25">
      <c r="T38824" s="135"/>
      <c r="U38824" s="135"/>
    </row>
    <row r="38825" spans="20:21" ht="15" customHeight="1" x14ac:dyDescent="0.25">
      <c r="T38825" s="135"/>
      <c r="U38825" s="135"/>
    </row>
    <row r="38826" spans="20:21" ht="15" customHeight="1" x14ac:dyDescent="0.25">
      <c r="T38826" s="135"/>
      <c r="U38826" s="135"/>
    </row>
    <row r="38827" spans="20:21" ht="15" customHeight="1" x14ac:dyDescent="0.25">
      <c r="T38827" s="135"/>
      <c r="U38827" s="135"/>
    </row>
    <row r="38828" spans="20:21" ht="15" customHeight="1" x14ac:dyDescent="0.25">
      <c r="T38828" s="135"/>
      <c r="U38828" s="135"/>
    </row>
    <row r="38829" spans="20:21" ht="15" customHeight="1" x14ac:dyDescent="0.25">
      <c r="T38829" s="135"/>
      <c r="U38829" s="135"/>
    </row>
    <row r="38830" spans="20:21" ht="15" customHeight="1" x14ac:dyDescent="0.25">
      <c r="T38830" s="135"/>
      <c r="U38830" s="135"/>
    </row>
    <row r="38831" spans="20:21" ht="15" customHeight="1" x14ac:dyDescent="0.25">
      <c r="T38831" s="135"/>
      <c r="U38831" s="135"/>
    </row>
    <row r="38832" spans="20:21" ht="15" customHeight="1" x14ac:dyDescent="0.25">
      <c r="T38832" s="135"/>
      <c r="U38832" s="135"/>
    </row>
    <row r="38833" spans="20:21" ht="15" customHeight="1" x14ac:dyDescent="0.25">
      <c r="T38833" s="135"/>
      <c r="U38833" s="135"/>
    </row>
    <row r="38834" spans="20:21" ht="15" customHeight="1" x14ac:dyDescent="0.25">
      <c r="T38834" s="135"/>
      <c r="U38834" s="135"/>
    </row>
    <row r="38835" spans="20:21" ht="15" customHeight="1" x14ac:dyDescent="0.25">
      <c r="T38835" s="135"/>
      <c r="U38835" s="135"/>
    </row>
    <row r="38836" spans="20:21" ht="15" customHeight="1" x14ac:dyDescent="0.25">
      <c r="T38836" s="135"/>
      <c r="U38836" s="135"/>
    </row>
    <row r="38837" spans="20:21" ht="15" customHeight="1" x14ac:dyDescent="0.25">
      <c r="T38837" s="135"/>
      <c r="U38837" s="135"/>
    </row>
    <row r="38838" spans="20:21" ht="15" customHeight="1" x14ac:dyDescent="0.25">
      <c r="T38838" s="135"/>
      <c r="U38838" s="135"/>
    </row>
    <row r="38839" spans="20:21" ht="15" customHeight="1" x14ac:dyDescent="0.25">
      <c r="T38839" s="135"/>
      <c r="U38839" s="135"/>
    </row>
    <row r="38840" spans="20:21" ht="15" customHeight="1" x14ac:dyDescent="0.25">
      <c r="T38840" s="135"/>
      <c r="U38840" s="135"/>
    </row>
    <row r="38841" spans="20:21" ht="15" customHeight="1" x14ac:dyDescent="0.25">
      <c r="T38841" s="135"/>
      <c r="U38841" s="135"/>
    </row>
    <row r="38842" spans="20:21" ht="15" customHeight="1" x14ac:dyDescent="0.25">
      <c r="T38842" s="135"/>
      <c r="U38842" s="135"/>
    </row>
    <row r="38843" spans="20:21" ht="15" customHeight="1" x14ac:dyDescent="0.25">
      <c r="T38843" s="135"/>
      <c r="U38843" s="135"/>
    </row>
    <row r="38844" spans="20:21" ht="15" customHeight="1" x14ac:dyDescent="0.25">
      <c r="T38844" s="135"/>
      <c r="U38844" s="135"/>
    </row>
    <row r="38845" spans="20:21" ht="15" customHeight="1" x14ac:dyDescent="0.25">
      <c r="T38845" s="135"/>
      <c r="U38845" s="135"/>
    </row>
    <row r="38846" spans="20:21" ht="15" customHeight="1" x14ac:dyDescent="0.25">
      <c r="T38846" s="135"/>
      <c r="U38846" s="135"/>
    </row>
    <row r="38847" spans="20:21" ht="15" customHeight="1" x14ac:dyDescent="0.25">
      <c r="T38847" s="135"/>
      <c r="U38847" s="135"/>
    </row>
    <row r="38848" spans="20:21" ht="15" customHeight="1" x14ac:dyDescent="0.25">
      <c r="T38848" s="135"/>
      <c r="U38848" s="135"/>
    </row>
    <row r="38849" spans="20:21" ht="15" customHeight="1" x14ac:dyDescent="0.25">
      <c r="T38849" s="135"/>
      <c r="U38849" s="135"/>
    </row>
    <row r="38850" spans="20:21" ht="15" customHeight="1" x14ac:dyDescent="0.25">
      <c r="T38850" s="135"/>
      <c r="U38850" s="135"/>
    </row>
    <row r="38851" spans="20:21" ht="15" customHeight="1" x14ac:dyDescent="0.25">
      <c r="T38851" s="135"/>
      <c r="U38851" s="135"/>
    </row>
    <row r="38852" spans="20:21" ht="15" customHeight="1" x14ac:dyDescent="0.25">
      <c r="T38852" s="135"/>
      <c r="U38852" s="135"/>
    </row>
    <row r="38853" spans="20:21" ht="15" customHeight="1" x14ac:dyDescent="0.25">
      <c r="T38853" s="135"/>
      <c r="U38853" s="135"/>
    </row>
    <row r="38854" spans="20:21" ht="15" customHeight="1" x14ac:dyDescent="0.25">
      <c r="T38854" s="135"/>
      <c r="U38854" s="135"/>
    </row>
    <row r="38855" spans="20:21" ht="15" customHeight="1" x14ac:dyDescent="0.25">
      <c r="T38855" s="135"/>
      <c r="U38855" s="135"/>
    </row>
    <row r="38856" spans="20:21" ht="15" customHeight="1" x14ac:dyDescent="0.25">
      <c r="T38856" s="135"/>
      <c r="U38856" s="135"/>
    </row>
    <row r="38857" spans="20:21" ht="15" customHeight="1" x14ac:dyDescent="0.25">
      <c r="T38857" s="135"/>
      <c r="U38857" s="135"/>
    </row>
    <row r="38858" spans="20:21" ht="15" customHeight="1" x14ac:dyDescent="0.25">
      <c r="T38858" s="135"/>
      <c r="U38858" s="135"/>
    </row>
    <row r="38859" spans="20:21" ht="15" customHeight="1" x14ac:dyDescent="0.25">
      <c r="T38859" s="135"/>
      <c r="U38859" s="135"/>
    </row>
    <row r="38860" spans="20:21" ht="15" customHeight="1" x14ac:dyDescent="0.25">
      <c r="T38860" s="135"/>
      <c r="U38860" s="135"/>
    </row>
    <row r="38861" spans="20:21" ht="15" customHeight="1" x14ac:dyDescent="0.25">
      <c r="T38861" s="135"/>
      <c r="U38861" s="135"/>
    </row>
    <row r="38862" spans="20:21" ht="15" customHeight="1" x14ac:dyDescent="0.25">
      <c r="T38862" s="135"/>
      <c r="U38862" s="135"/>
    </row>
    <row r="38863" spans="20:21" ht="15" customHeight="1" x14ac:dyDescent="0.25">
      <c r="T38863" s="135"/>
      <c r="U38863" s="135"/>
    </row>
    <row r="38864" spans="20:21" ht="15" customHeight="1" x14ac:dyDescent="0.25">
      <c r="T38864" s="135"/>
      <c r="U38864" s="135"/>
    </row>
    <row r="38865" spans="20:21" ht="15" customHeight="1" x14ac:dyDescent="0.25">
      <c r="T38865" s="135"/>
      <c r="U38865" s="135"/>
    </row>
    <row r="38866" spans="20:21" ht="15" customHeight="1" x14ac:dyDescent="0.25">
      <c r="T38866" s="135"/>
      <c r="U38866" s="135"/>
    </row>
    <row r="38867" spans="20:21" ht="15" customHeight="1" x14ac:dyDescent="0.25">
      <c r="T38867" s="135"/>
      <c r="U38867" s="135"/>
    </row>
    <row r="38868" spans="20:21" ht="15" customHeight="1" x14ac:dyDescent="0.25">
      <c r="T38868" s="135"/>
      <c r="U38868" s="135"/>
    </row>
    <row r="38869" spans="20:21" ht="15" customHeight="1" x14ac:dyDescent="0.25">
      <c r="T38869" s="135"/>
      <c r="U38869" s="135"/>
    </row>
    <row r="38870" spans="20:21" ht="15" customHeight="1" x14ac:dyDescent="0.25">
      <c r="T38870" s="135"/>
      <c r="U38870" s="135"/>
    </row>
    <row r="38871" spans="20:21" ht="15" customHeight="1" x14ac:dyDescent="0.25">
      <c r="T38871" s="135"/>
      <c r="U38871" s="135"/>
    </row>
    <row r="38872" spans="20:21" ht="15" customHeight="1" x14ac:dyDescent="0.25">
      <c r="T38872" s="135"/>
      <c r="U38872" s="135"/>
    </row>
    <row r="38873" spans="20:21" ht="15" customHeight="1" x14ac:dyDescent="0.25">
      <c r="T38873" s="135"/>
      <c r="U38873" s="135"/>
    </row>
    <row r="38874" spans="20:21" ht="15" customHeight="1" x14ac:dyDescent="0.25">
      <c r="T38874" s="135"/>
      <c r="U38874" s="135"/>
    </row>
    <row r="38875" spans="20:21" ht="15" customHeight="1" x14ac:dyDescent="0.25">
      <c r="T38875" s="135"/>
      <c r="U38875" s="135"/>
    </row>
    <row r="38876" spans="20:21" ht="15" customHeight="1" x14ac:dyDescent="0.25">
      <c r="T38876" s="135"/>
      <c r="U38876" s="135"/>
    </row>
    <row r="38877" spans="20:21" ht="15" customHeight="1" x14ac:dyDescent="0.25">
      <c r="T38877" s="135"/>
      <c r="U38877" s="135"/>
    </row>
    <row r="38878" spans="20:21" ht="15" customHeight="1" x14ac:dyDescent="0.25">
      <c r="T38878" s="135"/>
      <c r="U38878" s="135"/>
    </row>
    <row r="38879" spans="20:21" ht="15" customHeight="1" x14ac:dyDescent="0.25">
      <c r="T38879" s="135"/>
      <c r="U38879" s="135"/>
    </row>
    <row r="38880" spans="20:21" ht="15" customHeight="1" x14ac:dyDescent="0.25">
      <c r="T38880" s="135"/>
      <c r="U38880" s="135"/>
    </row>
    <row r="38881" spans="20:21" ht="15" customHeight="1" x14ac:dyDescent="0.25">
      <c r="T38881" s="135"/>
      <c r="U38881" s="135"/>
    </row>
    <row r="38882" spans="20:21" ht="15" customHeight="1" x14ac:dyDescent="0.25">
      <c r="T38882" s="135"/>
      <c r="U38882" s="135"/>
    </row>
    <row r="38883" spans="20:21" ht="15" customHeight="1" x14ac:dyDescent="0.25">
      <c r="T38883" s="135"/>
      <c r="U38883" s="135"/>
    </row>
    <row r="38884" spans="20:21" ht="15" customHeight="1" x14ac:dyDescent="0.25">
      <c r="T38884" s="135"/>
      <c r="U38884" s="135"/>
    </row>
    <row r="38885" spans="20:21" ht="15" customHeight="1" x14ac:dyDescent="0.25">
      <c r="T38885" s="135"/>
      <c r="U38885" s="135"/>
    </row>
    <row r="38886" spans="20:21" ht="15" customHeight="1" x14ac:dyDescent="0.25">
      <c r="T38886" s="135"/>
      <c r="U38886" s="135"/>
    </row>
    <row r="38887" spans="20:21" ht="15" customHeight="1" x14ac:dyDescent="0.25">
      <c r="T38887" s="135"/>
      <c r="U38887" s="135"/>
    </row>
    <row r="38888" spans="20:21" ht="15" customHeight="1" x14ac:dyDescent="0.25">
      <c r="T38888" s="135"/>
      <c r="U38888" s="135"/>
    </row>
    <row r="38889" spans="20:21" ht="15" customHeight="1" x14ac:dyDescent="0.25">
      <c r="T38889" s="135"/>
      <c r="U38889" s="135"/>
    </row>
    <row r="38890" spans="20:21" ht="15" customHeight="1" x14ac:dyDescent="0.25">
      <c r="T38890" s="135"/>
      <c r="U38890" s="135"/>
    </row>
    <row r="38891" spans="20:21" ht="15" customHeight="1" x14ac:dyDescent="0.25">
      <c r="T38891" s="135"/>
      <c r="U38891" s="135"/>
    </row>
    <row r="38892" spans="20:21" ht="15" customHeight="1" x14ac:dyDescent="0.25">
      <c r="T38892" s="135"/>
      <c r="U38892" s="135"/>
    </row>
    <row r="38893" spans="20:21" ht="15" customHeight="1" x14ac:dyDescent="0.25">
      <c r="T38893" s="135"/>
      <c r="U38893" s="135"/>
    </row>
    <row r="38894" spans="20:21" ht="15" customHeight="1" x14ac:dyDescent="0.25">
      <c r="T38894" s="135"/>
      <c r="U38894" s="135"/>
    </row>
    <row r="38895" spans="20:21" ht="15" customHeight="1" x14ac:dyDescent="0.25">
      <c r="T38895" s="135"/>
      <c r="U38895" s="135"/>
    </row>
    <row r="38896" spans="20:21" ht="15" customHeight="1" x14ac:dyDescent="0.25">
      <c r="T38896" s="135"/>
      <c r="U38896" s="135"/>
    </row>
    <row r="38897" spans="20:21" ht="15" customHeight="1" x14ac:dyDescent="0.25">
      <c r="T38897" s="135"/>
      <c r="U38897" s="135"/>
    </row>
    <row r="38898" spans="20:21" ht="15" customHeight="1" x14ac:dyDescent="0.25">
      <c r="T38898" s="135"/>
      <c r="U38898" s="135"/>
    </row>
    <row r="38899" spans="20:21" ht="15" customHeight="1" x14ac:dyDescent="0.25">
      <c r="T38899" s="135"/>
      <c r="U38899" s="135"/>
    </row>
    <row r="38900" spans="20:21" ht="15" customHeight="1" x14ac:dyDescent="0.25">
      <c r="T38900" s="135"/>
      <c r="U38900" s="135"/>
    </row>
    <row r="38901" spans="20:21" ht="15" customHeight="1" x14ac:dyDescent="0.25">
      <c r="T38901" s="135"/>
      <c r="U38901" s="135"/>
    </row>
    <row r="38902" spans="20:21" ht="15" customHeight="1" x14ac:dyDescent="0.25">
      <c r="T38902" s="135"/>
      <c r="U38902" s="135"/>
    </row>
    <row r="38903" spans="20:21" ht="15" customHeight="1" x14ac:dyDescent="0.25">
      <c r="T38903" s="135"/>
      <c r="U38903" s="135"/>
    </row>
    <row r="38904" spans="20:21" ht="15" customHeight="1" x14ac:dyDescent="0.25">
      <c r="T38904" s="135"/>
      <c r="U38904" s="135"/>
    </row>
    <row r="38905" spans="20:21" ht="15" customHeight="1" x14ac:dyDescent="0.25">
      <c r="T38905" s="135"/>
      <c r="U38905" s="135"/>
    </row>
    <row r="38906" spans="20:21" ht="15" customHeight="1" x14ac:dyDescent="0.25">
      <c r="T38906" s="135"/>
      <c r="U38906" s="135"/>
    </row>
    <row r="38907" spans="20:21" ht="15" customHeight="1" x14ac:dyDescent="0.25">
      <c r="T38907" s="135"/>
      <c r="U38907" s="135"/>
    </row>
    <row r="38908" spans="20:21" ht="15" customHeight="1" x14ac:dyDescent="0.25">
      <c r="T38908" s="135"/>
      <c r="U38908" s="135"/>
    </row>
    <row r="38909" spans="20:21" ht="15" customHeight="1" x14ac:dyDescent="0.25">
      <c r="T38909" s="135"/>
      <c r="U38909" s="135"/>
    </row>
    <row r="38910" spans="20:21" ht="15" customHeight="1" x14ac:dyDescent="0.25">
      <c r="T38910" s="135"/>
      <c r="U38910" s="135"/>
    </row>
    <row r="38911" spans="20:21" ht="15" customHeight="1" x14ac:dyDescent="0.25">
      <c r="T38911" s="135"/>
      <c r="U38911" s="135"/>
    </row>
    <row r="38912" spans="20:21" ht="15" customHeight="1" x14ac:dyDescent="0.25">
      <c r="T38912" s="135"/>
      <c r="U38912" s="135"/>
    </row>
    <row r="38913" spans="20:21" ht="15" customHeight="1" x14ac:dyDescent="0.25">
      <c r="T38913" s="135"/>
      <c r="U38913" s="135"/>
    </row>
    <row r="38914" spans="20:21" ht="15" customHeight="1" x14ac:dyDescent="0.25">
      <c r="T38914" s="135"/>
      <c r="U38914" s="135"/>
    </row>
    <row r="38915" spans="20:21" ht="15" customHeight="1" x14ac:dyDescent="0.25">
      <c r="T38915" s="135"/>
      <c r="U38915" s="135"/>
    </row>
    <row r="38916" spans="20:21" ht="15" customHeight="1" x14ac:dyDescent="0.25">
      <c r="T38916" s="135"/>
      <c r="U38916" s="135"/>
    </row>
    <row r="38917" spans="20:21" ht="15" customHeight="1" x14ac:dyDescent="0.25">
      <c r="T38917" s="135"/>
      <c r="U38917" s="135"/>
    </row>
    <row r="38918" spans="20:21" ht="15" customHeight="1" x14ac:dyDescent="0.25">
      <c r="T38918" s="135"/>
      <c r="U38918" s="135"/>
    </row>
    <row r="38919" spans="20:21" ht="15" customHeight="1" x14ac:dyDescent="0.25">
      <c r="T38919" s="135"/>
      <c r="U38919" s="135"/>
    </row>
    <row r="38920" spans="20:21" ht="15" customHeight="1" x14ac:dyDescent="0.25">
      <c r="T38920" s="135"/>
      <c r="U38920" s="135"/>
    </row>
    <row r="38921" spans="20:21" ht="15" customHeight="1" x14ac:dyDescent="0.25">
      <c r="T38921" s="135"/>
      <c r="U38921" s="135"/>
    </row>
    <row r="38922" spans="20:21" ht="15" customHeight="1" x14ac:dyDescent="0.25">
      <c r="T38922" s="135"/>
      <c r="U38922" s="135"/>
    </row>
    <row r="38923" spans="20:21" ht="15" customHeight="1" x14ac:dyDescent="0.25">
      <c r="T38923" s="135"/>
      <c r="U38923" s="135"/>
    </row>
    <row r="38924" spans="20:21" ht="15" customHeight="1" x14ac:dyDescent="0.25">
      <c r="T38924" s="135"/>
      <c r="U38924" s="135"/>
    </row>
    <row r="38925" spans="20:21" ht="15" customHeight="1" x14ac:dyDescent="0.25">
      <c r="T38925" s="135"/>
      <c r="U38925" s="135"/>
    </row>
    <row r="38926" spans="20:21" ht="15" customHeight="1" x14ac:dyDescent="0.25">
      <c r="T38926" s="135"/>
      <c r="U38926" s="135"/>
    </row>
    <row r="38927" spans="20:21" ht="15" customHeight="1" x14ac:dyDescent="0.25">
      <c r="T38927" s="135"/>
      <c r="U38927" s="135"/>
    </row>
    <row r="38928" spans="20:21" ht="15" customHeight="1" x14ac:dyDescent="0.25">
      <c r="T38928" s="135"/>
      <c r="U38928" s="135"/>
    </row>
    <row r="38929" spans="20:21" ht="15" customHeight="1" x14ac:dyDescent="0.25">
      <c r="T38929" s="135"/>
      <c r="U38929" s="135"/>
    </row>
    <row r="38930" spans="20:21" ht="15" customHeight="1" x14ac:dyDescent="0.25">
      <c r="T38930" s="135"/>
      <c r="U38930" s="135"/>
    </row>
    <row r="38931" spans="20:21" ht="15" customHeight="1" x14ac:dyDescent="0.25">
      <c r="T38931" s="135"/>
      <c r="U38931" s="135"/>
    </row>
    <row r="38932" spans="20:21" ht="15" customHeight="1" x14ac:dyDescent="0.25">
      <c r="T38932" s="135"/>
      <c r="U38932" s="135"/>
    </row>
    <row r="38933" spans="20:21" ht="15" customHeight="1" x14ac:dyDescent="0.25">
      <c r="T38933" s="135"/>
      <c r="U38933" s="135"/>
    </row>
    <row r="38934" spans="20:21" ht="15" customHeight="1" x14ac:dyDescent="0.25">
      <c r="T38934" s="135"/>
      <c r="U38934" s="135"/>
    </row>
    <row r="38935" spans="20:21" ht="15" customHeight="1" x14ac:dyDescent="0.25">
      <c r="T38935" s="135"/>
      <c r="U38935" s="135"/>
    </row>
    <row r="38936" spans="20:21" ht="15" customHeight="1" x14ac:dyDescent="0.25">
      <c r="T38936" s="135"/>
      <c r="U38936" s="135"/>
    </row>
    <row r="38937" spans="20:21" ht="15" customHeight="1" x14ac:dyDescent="0.25">
      <c r="T38937" s="135"/>
      <c r="U38937" s="135"/>
    </row>
    <row r="38938" spans="20:21" ht="15" customHeight="1" x14ac:dyDescent="0.25">
      <c r="T38938" s="135"/>
      <c r="U38938" s="135"/>
    </row>
    <row r="38939" spans="20:21" ht="15" customHeight="1" x14ac:dyDescent="0.25">
      <c r="T38939" s="135"/>
      <c r="U38939" s="135"/>
    </row>
    <row r="38940" spans="20:21" ht="15" customHeight="1" x14ac:dyDescent="0.25">
      <c r="T38940" s="135"/>
      <c r="U38940" s="135"/>
    </row>
    <row r="38941" spans="20:21" ht="15" customHeight="1" x14ac:dyDescent="0.25">
      <c r="T38941" s="135"/>
      <c r="U38941" s="135"/>
    </row>
    <row r="38942" spans="20:21" ht="15" customHeight="1" x14ac:dyDescent="0.25">
      <c r="T38942" s="135"/>
      <c r="U38942" s="135"/>
    </row>
    <row r="38943" spans="20:21" ht="15" customHeight="1" x14ac:dyDescent="0.25">
      <c r="T38943" s="135"/>
      <c r="U38943" s="135"/>
    </row>
    <row r="38944" spans="20:21" ht="15" customHeight="1" x14ac:dyDescent="0.25">
      <c r="T38944" s="135"/>
      <c r="U38944" s="135"/>
    </row>
    <row r="38945" spans="20:21" ht="15" customHeight="1" x14ac:dyDescent="0.25">
      <c r="T38945" s="135"/>
      <c r="U38945" s="135"/>
    </row>
    <row r="38946" spans="20:21" ht="15" customHeight="1" x14ac:dyDescent="0.25">
      <c r="T38946" s="135"/>
      <c r="U38946" s="135"/>
    </row>
    <row r="38947" spans="20:21" ht="15" customHeight="1" x14ac:dyDescent="0.25">
      <c r="T38947" s="135"/>
      <c r="U38947" s="135"/>
    </row>
    <row r="38948" spans="20:21" ht="15" customHeight="1" x14ac:dyDescent="0.25">
      <c r="T38948" s="135"/>
      <c r="U38948" s="135"/>
    </row>
    <row r="38949" spans="20:21" ht="15" customHeight="1" x14ac:dyDescent="0.25">
      <c r="T38949" s="135"/>
      <c r="U38949" s="135"/>
    </row>
    <row r="38950" spans="20:21" ht="15" customHeight="1" x14ac:dyDescent="0.25">
      <c r="T38950" s="135"/>
      <c r="U38950" s="135"/>
    </row>
    <row r="38951" spans="20:21" ht="15" customHeight="1" x14ac:dyDescent="0.25">
      <c r="T38951" s="135"/>
      <c r="U38951" s="135"/>
    </row>
    <row r="38952" spans="20:21" ht="15" customHeight="1" x14ac:dyDescent="0.25">
      <c r="T38952" s="135"/>
      <c r="U38952" s="135"/>
    </row>
    <row r="38953" spans="20:21" ht="15" customHeight="1" x14ac:dyDescent="0.25">
      <c r="T38953" s="135"/>
      <c r="U38953" s="135"/>
    </row>
    <row r="38954" spans="20:21" ht="15" customHeight="1" x14ac:dyDescent="0.25">
      <c r="T38954" s="135"/>
      <c r="U38954" s="135"/>
    </row>
    <row r="38955" spans="20:21" ht="15" customHeight="1" x14ac:dyDescent="0.25">
      <c r="T38955" s="135"/>
      <c r="U38955" s="135"/>
    </row>
    <row r="38956" spans="20:21" ht="15" customHeight="1" x14ac:dyDescent="0.25">
      <c r="T38956" s="135"/>
      <c r="U38956" s="135"/>
    </row>
    <row r="38957" spans="20:21" ht="15" customHeight="1" x14ac:dyDescent="0.25">
      <c r="T38957" s="135"/>
      <c r="U38957" s="135"/>
    </row>
    <row r="38958" spans="20:21" ht="15" customHeight="1" x14ac:dyDescent="0.25">
      <c r="T38958" s="135"/>
      <c r="U38958" s="135"/>
    </row>
    <row r="38959" spans="20:21" ht="15" customHeight="1" x14ac:dyDescent="0.25">
      <c r="T38959" s="135"/>
      <c r="U38959" s="135"/>
    </row>
    <row r="38960" spans="20:21" ht="15" customHeight="1" x14ac:dyDescent="0.25">
      <c r="T38960" s="135"/>
      <c r="U38960" s="135"/>
    </row>
    <row r="38961" spans="20:21" ht="15" customHeight="1" x14ac:dyDescent="0.25">
      <c r="T38961" s="135"/>
      <c r="U38961" s="135"/>
    </row>
    <row r="38962" spans="20:21" ht="15" customHeight="1" x14ac:dyDescent="0.25">
      <c r="T38962" s="135"/>
      <c r="U38962" s="135"/>
    </row>
    <row r="38963" spans="20:21" ht="15" customHeight="1" x14ac:dyDescent="0.25">
      <c r="T38963" s="135"/>
      <c r="U38963" s="135"/>
    </row>
    <row r="38964" spans="20:21" ht="15" customHeight="1" x14ac:dyDescent="0.25">
      <c r="T38964" s="135"/>
      <c r="U38964" s="135"/>
    </row>
    <row r="38965" spans="20:21" ht="15" customHeight="1" x14ac:dyDescent="0.25">
      <c r="T38965" s="135"/>
      <c r="U38965" s="135"/>
    </row>
    <row r="38966" spans="20:21" ht="15" customHeight="1" x14ac:dyDescent="0.25">
      <c r="T38966" s="135"/>
      <c r="U38966" s="135"/>
    </row>
    <row r="38967" spans="20:21" ht="15" customHeight="1" x14ac:dyDescent="0.25">
      <c r="T38967" s="135"/>
      <c r="U38967" s="135"/>
    </row>
    <row r="38968" spans="20:21" ht="15" customHeight="1" x14ac:dyDescent="0.25">
      <c r="T38968" s="135"/>
      <c r="U38968" s="135"/>
    </row>
    <row r="38969" spans="20:21" ht="15" customHeight="1" x14ac:dyDescent="0.25">
      <c r="T38969" s="135"/>
      <c r="U38969" s="135"/>
    </row>
    <row r="38970" spans="20:21" ht="15" customHeight="1" x14ac:dyDescent="0.25">
      <c r="T38970" s="135"/>
      <c r="U38970" s="135"/>
    </row>
    <row r="38971" spans="20:21" ht="15" customHeight="1" x14ac:dyDescent="0.25">
      <c r="T38971" s="135"/>
      <c r="U38971" s="135"/>
    </row>
    <row r="38972" spans="20:21" ht="15" customHeight="1" x14ac:dyDescent="0.25">
      <c r="T38972" s="135"/>
      <c r="U38972" s="135"/>
    </row>
    <row r="38973" spans="20:21" ht="15" customHeight="1" x14ac:dyDescent="0.25">
      <c r="T38973" s="135"/>
      <c r="U38973" s="135"/>
    </row>
    <row r="38974" spans="20:21" ht="15" customHeight="1" x14ac:dyDescent="0.25">
      <c r="T38974" s="135"/>
      <c r="U38974" s="135"/>
    </row>
    <row r="38975" spans="20:21" ht="15" customHeight="1" x14ac:dyDescent="0.25">
      <c r="T38975" s="135"/>
      <c r="U38975" s="135"/>
    </row>
    <row r="38976" spans="20:21" ht="15" customHeight="1" x14ac:dyDescent="0.25">
      <c r="T38976" s="135"/>
      <c r="U38976" s="135"/>
    </row>
    <row r="38977" spans="20:21" ht="15" customHeight="1" x14ac:dyDescent="0.25">
      <c r="T38977" s="135"/>
      <c r="U38977" s="135"/>
    </row>
    <row r="38978" spans="20:21" ht="15" customHeight="1" x14ac:dyDescent="0.25">
      <c r="T38978" s="135"/>
      <c r="U38978" s="135"/>
    </row>
    <row r="38979" spans="20:21" ht="15" customHeight="1" x14ac:dyDescent="0.25">
      <c r="T38979" s="135"/>
      <c r="U38979" s="135"/>
    </row>
    <row r="38980" spans="20:21" ht="15" customHeight="1" x14ac:dyDescent="0.25">
      <c r="T38980" s="135"/>
      <c r="U38980" s="135"/>
    </row>
    <row r="38981" spans="20:21" ht="15" customHeight="1" x14ac:dyDescent="0.25">
      <c r="T38981" s="135"/>
      <c r="U38981" s="135"/>
    </row>
    <row r="38982" spans="20:21" ht="15" customHeight="1" x14ac:dyDescent="0.25">
      <c r="T38982" s="135"/>
      <c r="U38982" s="135"/>
    </row>
    <row r="38983" spans="20:21" ht="15" customHeight="1" x14ac:dyDescent="0.25">
      <c r="T38983" s="135"/>
      <c r="U38983" s="135"/>
    </row>
    <row r="38984" spans="20:21" ht="15" customHeight="1" x14ac:dyDescent="0.25">
      <c r="T38984" s="135"/>
      <c r="U38984" s="135"/>
    </row>
    <row r="38985" spans="20:21" ht="15" customHeight="1" x14ac:dyDescent="0.25">
      <c r="T38985" s="135"/>
      <c r="U38985" s="135"/>
    </row>
    <row r="38986" spans="20:21" ht="15" customHeight="1" x14ac:dyDescent="0.25">
      <c r="T38986" s="135"/>
      <c r="U38986" s="135"/>
    </row>
    <row r="38987" spans="20:21" ht="15" customHeight="1" x14ac:dyDescent="0.25">
      <c r="T38987" s="135"/>
      <c r="U38987" s="135"/>
    </row>
    <row r="38988" spans="20:21" ht="15" customHeight="1" x14ac:dyDescent="0.25">
      <c r="T38988" s="135"/>
      <c r="U38988" s="135"/>
    </row>
    <row r="38989" spans="20:21" ht="15" customHeight="1" x14ac:dyDescent="0.25">
      <c r="T38989" s="135"/>
      <c r="U38989" s="135"/>
    </row>
    <row r="38990" spans="20:21" ht="15" customHeight="1" x14ac:dyDescent="0.25">
      <c r="T38990" s="135"/>
      <c r="U38990" s="135"/>
    </row>
    <row r="38991" spans="20:21" ht="15" customHeight="1" x14ac:dyDescent="0.25">
      <c r="T38991" s="135"/>
      <c r="U38991" s="135"/>
    </row>
    <row r="38992" spans="20:21" ht="15" customHeight="1" x14ac:dyDescent="0.25">
      <c r="T38992" s="135"/>
      <c r="U38992" s="135"/>
    </row>
    <row r="38993" spans="20:21" ht="15" customHeight="1" x14ac:dyDescent="0.25">
      <c r="T38993" s="135"/>
      <c r="U38993" s="135"/>
    </row>
    <row r="38994" spans="20:21" ht="15" customHeight="1" x14ac:dyDescent="0.25">
      <c r="T38994" s="135"/>
      <c r="U38994" s="135"/>
    </row>
    <row r="38995" spans="20:21" ht="15" customHeight="1" x14ac:dyDescent="0.25">
      <c r="T38995" s="135"/>
      <c r="U38995" s="135"/>
    </row>
    <row r="38996" spans="20:21" ht="15" customHeight="1" x14ac:dyDescent="0.25">
      <c r="T38996" s="135"/>
      <c r="U38996" s="135"/>
    </row>
    <row r="38997" spans="20:21" ht="15" customHeight="1" x14ac:dyDescent="0.25">
      <c r="T38997" s="135"/>
      <c r="U38997" s="135"/>
    </row>
    <row r="38998" spans="20:21" ht="15" customHeight="1" x14ac:dyDescent="0.25">
      <c r="T38998" s="135"/>
      <c r="U38998" s="135"/>
    </row>
    <row r="38999" spans="20:21" ht="15" customHeight="1" x14ac:dyDescent="0.25">
      <c r="T38999" s="135"/>
      <c r="U38999" s="135"/>
    </row>
    <row r="39000" spans="20:21" ht="15" customHeight="1" x14ac:dyDescent="0.25">
      <c r="T39000" s="135"/>
      <c r="U39000" s="135"/>
    </row>
    <row r="39001" spans="20:21" ht="15" customHeight="1" x14ac:dyDescent="0.25">
      <c r="T39001" s="135"/>
      <c r="U39001" s="135"/>
    </row>
    <row r="39002" spans="20:21" ht="15" customHeight="1" x14ac:dyDescent="0.25">
      <c r="T39002" s="135"/>
      <c r="U39002" s="135"/>
    </row>
    <row r="39003" spans="20:21" ht="15" customHeight="1" x14ac:dyDescent="0.25">
      <c r="T39003" s="135"/>
      <c r="U39003" s="135"/>
    </row>
    <row r="39004" spans="20:21" ht="15" customHeight="1" x14ac:dyDescent="0.25">
      <c r="T39004" s="135"/>
      <c r="U39004" s="135"/>
    </row>
    <row r="39005" spans="20:21" ht="15" customHeight="1" x14ac:dyDescent="0.25">
      <c r="T39005" s="135"/>
      <c r="U39005" s="135"/>
    </row>
    <row r="39006" spans="20:21" ht="15" customHeight="1" x14ac:dyDescent="0.25">
      <c r="T39006" s="135"/>
      <c r="U39006" s="135"/>
    </row>
    <row r="39007" spans="20:21" ht="15" customHeight="1" x14ac:dyDescent="0.25">
      <c r="T39007" s="135"/>
      <c r="U39007" s="135"/>
    </row>
    <row r="39008" spans="20:21" ht="15" customHeight="1" x14ac:dyDescent="0.25">
      <c r="T39008" s="135"/>
      <c r="U39008" s="135"/>
    </row>
    <row r="39009" spans="20:21" ht="15" customHeight="1" x14ac:dyDescent="0.25">
      <c r="T39009" s="135"/>
      <c r="U39009" s="135"/>
    </row>
    <row r="39010" spans="20:21" ht="15" customHeight="1" x14ac:dyDescent="0.25">
      <c r="T39010" s="135"/>
      <c r="U39010" s="135"/>
    </row>
    <row r="39011" spans="20:21" ht="15" customHeight="1" x14ac:dyDescent="0.25">
      <c r="T39011" s="135"/>
      <c r="U39011" s="135"/>
    </row>
    <row r="39012" spans="20:21" ht="15" customHeight="1" x14ac:dyDescent="0.25">
      <c r="T39012" s="135"/>
      <c r="U39012" s="135"/>
    </row>
    <row r="39013" spans="20:21" ht="15" customHeight="1" x14ac:dyDescent="0.25">
      <c r="T39013" s="135"/>
      <c r="U39013" s="135"/>
    </row>
    <row r="39014" spans="20:21" ht="15" customHeight="1" x14ac:dyDescent="0.25">
      <c r="T39014" s="135"/>
      <c r="U39014" s="135"/>
    </row>
    <row r="39015" spans="20:21" ht="15" customHeight="1" x14ac:dyDescent="0.25">
      <c r="T39015" s="135"/>
      <c r="U39015" s="135"/>
    </row>
    <row r="39016" spans="20:21" ht="15" customHeight="1" x14ac:dyDescent="0.25">
      <c r="T39016" s="135"/>
      <c r="U39016" s="135"/>
    </row>
    <row r="39017" spans="20:21" ht="15" customHeight="1" x14ac:dyDescent="0.25">
      <c r="T39017" s="135"/>
      <c r="U39017" s="135"/>
    </row>
    <row r="39018" spans="20:21" ht="15" customHeight="1" x14ac:dyDescent="0.25">
      <c r="T39018" s="135"/>
      <c r="U39018" s="135"/>
    </row>
    <row r="39019" spans="20:21" ht="15" customHeight="1" x14ac:dyDescent="0.25">
      <c r="T39019" s="135"/>
      <c r="U39019" s="135"/>
    </row>
    <row r="39020" spans="20:21" ht="15" customHeight="1" x14ac:dyDescent="0.25">
      <c r="T39020" s="135"/>
      <c r="U39020" s="135"/>
    </row>
    <row r="39021" spans="20:21" ht="15" customHeight="1" x14ac:dyDescent="0.25">
      <c r="T39021" s="135"/>
      <c r="U39021" s="135"/>
    </row>
    <row r="39022" spans="20:21" ht="15" customHeight="1" x14ac:dyDescent="0.25">
      <c r="T39022" s="135"/>
      <c r="U39022" s="135"/>
    </row>
    <row r="39023" spans="20:21" ht="15" customHeight="1" x14ac:dyDescent="0.25">
      <c r="T39023" s="135"/>
      <c r="U39023" s="135"/>
    </row>
    <row r="39024" spans="20:21" ht="15" customHeight="1" x14ac:dyDescent="0.25">
      <c r="T39024" s="135"/>
      <c r="U39024" s="135"/>
    </row>
    <row r="39025" spans="20:21" ht="15" customHeight="1" x14ac:dyDescent="0.25">
      <c r="T39025" s="135"/>
      <c r="U39025" s="135"/>
    </row>
    <row r="39026" spans="20:21" ht="15" customHeight="1" x14ac:dyDescent="0.25">
      <c r="T39026" s="135"/>
      <c r="U39026" s="135"/>
    </row>
    <row r="39027" spans="20:21" ht="15" customHeight="1" x14ac:dyDescent="0.25">
      <c r="T39027" s="135"/>
      <c r="U39027" s="135"/>
    </row>
    <row r="39028" spans="20:21" ht="15" customHeight="1" x14ac:dyDescent="0.25">
      <c r="T39028" s="135"/>
      <c r="U39028" s="135"/>
    </row>
    <row r="39029" spans="20:21" ht="15" customHeight="1" x14ac:dyDescent="0.25">
      <c r="T39029" s="135"/>
      <c r="U39029" s="135"/>
    </row>
    <row r="39030" spans="20:21" ht="15" customHeight="1" x14ac:dyDescent="0.25">
      <c r="T39030" s="135"/>
      <c r="U39030" s="135"/>
    </row>
    <row r="39031" spans="20:21" ht="15" customHeight="1" x14ac:dyDescent="0.25">
      <c r="T39031" s="135"/>
      <c r="U39031" s="135"/>
    </row>
    <row r="39032" spans="20:21" ht="15" customHeight="1" x14ac:dyDescent="0.25">
      <c r="T39032" s="135"/>
      <c r="U39032" s="135"/>
    </row>
    <row r="39033" spans="20:21" ht="15" customHeight="1" x14ac:dyDescent="0.25">
      <c r="T39033" s="135"/>
      <c r="U39033" s="135"/>
    </row>
    <row r="39034" spans="20:21" ht="15" customHeight="1" x14ac:dyDescent="0.25">
      <c r="T39034" s="135"/>
      <c r="U39034" s="135"/>
    </row>
    <row r="39035" spans="20:21" ht="15" customHeight="1" x14ac:dyDescent="0.25">
      <c r="T39035" s="135"/>
      <c r="U39035" s="135"/>
    </row>
    <row r="39036" spans="20:21" ht="15" customHeight="1" x14ac:dyDescent="0.25">
      <c r="T39036" s="135"/>
      <c r="U39036" s="135"/>
    </row>
    <row r="39037" spans="20:21" ht="15" customHeight="1" x14ac:dyDescent="0.25">
      <c r="T39037" s="135"/>
      <c r="U39037" s="135"/>
    </row>
    <row r="39038" spans="20:21" ht="15" customHeight="1" x14ac:dyDescent="0.25">
      <c r="T39038" s="135"/>
      <c r="U39038" s="135"/>
    </row>
    <row r="39039" spans="20:21" ht="15" customHeight="1" x14ac:dyDescent="0.25">
      <c r="T39039" s="135"/>
      <c r="U39039" s="135"/>
    </row>
    <row r="39040" spans="20:21" ht="15" customHeight="1" x14ac:dyDescent="0.25">
      <c r="T39040" s="135"/>
      <c r="U39040" s="135"/>
    </row>
    <row r="39041" spans="20:21" ht="15" customHeight="1" x14ac:dyDescent="0.25">
      <c r="T39041" s="135"/>
      <c r="U39041" s="135"/>
    </row>
    <row r="39042" spans="20:21" ht="15" customHeight="1" x14ac:dyDescent="0.25">
      <c r="T39042" s="135"/>
      <c r="U39042" s="135"/>
    </row>
    <row r="39043" spans="20:21" ht="15" customHeight="1" x14ac:dyDescent="0.25">
      <c r="T39043" s="135"/>
      <c r="U39043" s="135"/>
    </row>
    <row r="39044" spans="20:21" ht="15" customHeight="1" x14ac:dyDescent="0.25">
      <c r="T39044" s="135"/>
      <c r="U39044" s="135"/>
    </row>
    <row r="39045" spans="20:21" ht="15" customHeight="1" x14ac:dyDescent="0.25">
      <c r="T39045" s="135"/>
      <c r="U39045" s="135"/>
    </row>
    <row r="39046" spans="20:21" ht="15" customHeight="1" x14ac:dyDescent="0.25">
      <c r="T39046" s="135"/>
      <c r="U39046" s="135"/>
    </row>
    <row r="39047" spans="20:21" ht="15" customHeight="1" x14ac:dyDescent="0.25">
      <c r="T39047" s="135"/>
      <c r="U39047" s="135"/>
    </row>
    <row r="39048" spans="20:21" ht="15" customHeight="1" x14ac:dyDescent="0.25">
      <c r="T39048" s="135"/>
      <c r="U39048" s="135"/>
    </row>
    <row r="39049" spans="20:21" ht="15" customHeight="1" x14ac:dyDescent="0.25">
      <c r="T39049" s="135"/>
      <c r="U39049" s="135"/>
    </row>
    <row r="39050" spans="20:21" ht="15" customHeight="1" x14ac:dyDescent="0.25">
      <c r="T39050" s="135"/>
      <c r="U39050" s="135"/>
    </row>
    <row r="39051" spans="20:21" ht="15" customHeight="1" x14ac:dyDescent="0.25">
      <c r="T39051" s="135"/>
      <c r="U39051" s="135"/>
    </row>
    <row r="39052" spans="20:21" ht="15" customHeight="1" x14ac:dyDescent="0.25">
      <c r="T39052" s="135"/>
      <c r="U39052" s="135"/>
    </row>
    <row r="39053" spans="20:21" ht="15" customHeight="1" x14ac:dyDescent="0.25">
      <c r="T39053" s="135"/>
      <c r="U39053" s="135"/>
    </row>
    <row r="39054" spans="20:21" ht="15" customHeight="1" x14ac:dyDescent="0.25">
      <c r="T39054" s="135"/>
      <c r="U39054" s="135"/>
    </row>
    <row r="39055" spans="20:21" ht="15" customHeight="1" x14ac:dyDescent="0.25">
      <c r="T39055" s="135"/>
      <c r="U39055" s="135"/>
    </row>
    <row r="39056" spans="20:21" ht="15" customHeight="1" x14ac:dyDescent="0.25">
      <c r="T39056" s="135"/>
      <c r="U39056" s="135"/>
    </row>
    <row r="39057" spans="20:21" ht="15" customHeight="1" x14ac:dyDescent="0.25">
      <c r="T39057" s="135"/>
      <c r="U39057" s="135"/>
    </row>
    <row r="39058" spans="20:21" ht="15" customHeight="1" x14ac:dyDescent="0.25">
      <c r="T39058" s="135"/>
      <c r="U39058" s="135"/>
    </row>
    <row r="39059" spans="20:21" ht="15" customHeight="1" x14ac:dyDescent="0.25">
      <c r="T39059" s="135"/>
      <c r="U39059" s="135"/>
    </row>
    <row r="39060" spans="20:21" ht="15" customHeight="1" x14ac:dyDescent="0.25">
      <c r="T39060" s="135"/>
      <c r="U39060" s="135"/>
    </row>
    <row r="39061" spans="20:21" ht="15" customHeight="1" x14ac:dyDescent="0.25">
      <c r="T39061" s="135"/>
      <c r="U39061" s="135"/>
    </row>
    <row r="39062" spans="20:21" ht="15" customHeight="1" x14ac:dyDescent="0.25">
      <c r="T39062" s="135"/>
      <c r="U39062" s="135"/>
    </row>
    <row r="39063" spans="20:21" ht="15" customHeight="1" x14ac:dyDescent="0.25">
      <c r="T39063" s="135"/>
      <c r="U39063" s="135"/>
    </row>
    <row r="39064" spans="20:21" ht="15" customHeight="1" x14ac:dyDescent="0.25">
      <c r="T39064" s="135"/>
      <c r="U39064" s="135"/>
    </row>
    <row r="39065" spans="20:21" ht="15" customHeight="1" x14ac:dyDescent="0.25">
      <c r="T39065" s="135"/>
      <c r="U39065" s="135"/>
    </row>
    <row r="39066" spans="20:21" ht="15" customHeight="1" x14ac:dyDescent="0.25">
      <c r="T39066" s="135"/>
      <c r="U39066" s="135"/>
    </row>
    <row r="39067" spans="20:21" ht="15" customHeight="1" x14ac:dyDescent="0.25">
      <c r="T39067" s="135"/>
      <c r="U39067" s="135"/>
    </row>
    <row r="39068" spans="20:21" ht="15" customHeight="1" x14ac:dyDescent="0.25">
      <c r="T39068" s="135"/>
      <c r="U39068" s="135"/>
    </row>
    <row r="39069" spans="20:21" ht="15" customHeight="1" x14ac:dyDescent="0.25">
      <c r="T39069" s="135"/>
      <c r="U39069" s="135"/>
    </row>
    <row r="39070" spans="20:21" ht="15" customHeight="1" x14ac:dyDescent="0.25">
      <c r="T39070" s="135"/>
      <c r="U39070" s="135"/>
    </row>
    <row r="39071" spans="20:21" ht="15" customHeight="1" x14ac:dyDescent="0.25">
      <c r="T39071" s="135"/>
      <c r="U39071" s="135"/>
    </row>
    <row r="39072" spans="20:21" ht="15" customHeight="1" x14ac:dyDescent="0.25">
      <c r="T39072" s="135"/>
      <c r="U39072" s="135"/>
    </row>
    <row r="39073" spans="20:21" ht="15" customHeight="1" x14ac:dyDescent="0.25">
      <c r="T39073" s="135"/>
      <c r="U39073" s="135"/>
    </row>
    <row r="39074" spans="20:21" ht="15" customHeight="1" x14ac:dyDescent="0.25">
      <c r="T39074" s="135"/>
      <c r="U39074" s="135"/>
    </row>
    <row r="39075" spans="20:21" ht="15" customHeight="1" x14ac:dyDescent="0.25">
      <c r="T39075" s="135"/>
      <c r="U39075" s="135"/>
    </row>
    <row r="39076" spans="20:21" ht="15" customHeight="1" x14ac:dyDescent="0.25">
      <c r="T39076" s="135"/>
      <c r="U39076" s="135"/>
    </row>
    <row r="39077" spans="20:21" ht="15" customHeight="1" x14ac:dyDescent="0.25">
      <c r="T39077" s="135"/>
      <c r="U39077" s="135"/>
    </row>
    <row r="39078" spans="20:21" ht="15" customHeight="1" x14ac:dyDescent="0.25">
      <c r="T39078" s="135"/>
      <c r="U39078" s="135"/>
    </row>
    <row r="39079" spans="20:21" ht="15" customHeight="1" x14ac:dyDescent="0.25">
      <c r="T39079" s="135"/>
      <c r="U39079" s="135"/>
    </row>
    <row r="39080" spans="20:21" ht="15" customHeight="1" x14ac:dyDescent="0.25">
      <c r="T39080" s="135"/>
      <c r="U39080" s="135"/>
    </row>
    <row r="39081" spans="20:21" ht="15" customHeight="1" x14ac:dyDescent="0.25">
      <c r="T39081" s="135"/>
      <c r="U39081" s="135"/>
    </row>
    <row r="39082" spans="20:21" ht="15" customHeight="1" x14ac:dyDescent="0.25">
      <c r="T39082" s="135"/>
      <c r="U39082" s="135"/>
    </row>
    <row r="39083" spans="20:21" ht="15" customHeight="1" x14ac:dyDescent="0.25">
      <c r="T39083" s="135"/>
      <c r="U39083" s="135"/>
    </row>
    <row r="39084" spans="20:21" ht="15" customHeight="1" x14ac:dyDescent="0.25">
      <c r="T39084" s="135"/>
      <c r="U39084" s="135"/>
    </row>
    <row r="39085" spans="20:21" ht="15" customHeight="1" x14ac:dyDescent="0.25">
      <c r="T39085" s="135"/>
      <c r="U39085" s="135"/>
    </row>
    <row r="39086" spans="20:21" ht="15" customHeight="1" x14ac:dyDescent="0.25">
      <c r="T39086" s="135"/>
      <c r="U39086" s="135"/>
    </row>
    <row r="39087" spans="20:21" ht="15" customHeight="1" x14ac:dyDescent="0.25">
      <c r="T39087" s="135"/>
      <c r="U39087" s="135"/>
    </row>
    <row r="39088" spans="20:21" ht="15" customHeight="1" x14ac:dyDescent="0.25">
      <c r="T39088" s="135"/>
      <c r="U39088" s="135"/>
    </row>
    <row r="39089" spans="20:21" ht="15" customHeight="1" x14ac:dyDescent="0.25">
      <c r="T39089" s="135"/>
      <c r="U39089" s="135"/>
    </row>
    <row r="39090" spans="20:21" ht="15" customHeight="1" x14ac:dyDescent="0.25">
      <c r="T39090" s="135"/>
      <c r="U39090" s="135"/>
    </row>
    <row r="39091" spans="20:21" ht="15" customHeight="1" x14ac:dyDescent="0.25">
      <c r="T39091" s="135"/>
      <c r="U39091" s="135"/>
    </row>
    <row r="39092" spans="20:21" ht="15" customHeight="1" x14ac:dyDescent="0.25">
      <c r="T39092" s="135"/>
      <c r="U39092" s="135"/>
    </row>
    <row r="39093" spans="20:21" ht="15" customHeight="1" x14ac:dyDescent="0.25">
      <c r="T39093" s="135"/>
      <c r="U39093" s="135"/>
    </row>
    <row r="39094" spans="20:21" ht="15" customHeight="1" x14ac:dyDescent="0.25">
      <c r="T39094" s="135"/>
      <c r="U39094" s="135"/>
    </row>
    <row r="39095" spans="20:21" ht="15" customHeight="1" x14ac:dyDescent="0.25">
      <c r="T39095" s="135"/>
      <c r="U39095" s="135"/>
    </row>
    <row r="39096" spans="20:21" ht="15" customHeight="1" x14ac:dyDescent="0.25">
      <c r="T39096" s="135"/>
      <c r="U39096" s="135"/>
    </row>
    <row r="39097" spans="20:21" ht="15" customHeight="1" x14ac:dyDescent="0.25">
      <c r="T39097" s="135"/>
      <c r="U39097" s="135"/>
    </row>
    <row r="39098" spans="20:21" ht="15" customHeight="1" x14ac:dyDescent="0.25">
      <c r="T39098" s="135"/>
      <c r="U39098" s="135"/>
    </row>
    <row r="39099" spans="20:21" ht="15" customHeight="1" x14ac:dyDescent="0.25">
      <c r="T39099" s="135"/>
      <c r="U39099" s="135"/>
    </row>
    <row r="39100" spans="20:21" ht="15" customHeight="1" x14ac:dyDescent="0.25">
      <c r="T39100" s="135"/>
      <c r="U39100" s="135"/>
    </row>
    <row r="39101" spans="20:21" ht="15" customHeight="1" x14ac:dyDescent="0.25">
      <c r="T39101" s="135"/>
      <c r="U39101" s="135"/>
    </row>
    <row r="39102" spans="20:21" ht="15" customHeight="1" x14ac:dyDescent="0.25">
      <c r="T39102" s="135"/>
      <c r="U39102" s="135"/>
    </row>
    <row r="39103" spans="20:21" ht="15" customHeight="1" x14ac:dyDescent="0.25">
      <c r="T39103" s="135"/>
      <c r="U39103" s="135"/>
    </row>
    <row r="39104" spans="20:21" ht="15" customHeight="1" x14ac:dyDescent="0.25">
      <c r="T39104" s="135"/>
      <c r="U39104" s="135"/>
    </row>
    <row r="39105" spans="20:21" ht="15" customHeight="1" x14ac:dyDescent="0.25">
      <c r="T39105" s="135"/>
      <c r="U39105" s="135"/>
    </row>
    <row r="39106" spans="20:21" ht="15" customHeight="1" x14ac:dyDescent="0.25">
      <c r="T39106" s="135"/>
      <c r="U39106" s="135"/>
    </row>
    <row r="39107" spans="20:21" ht="15" customHeight="1" x14ac:dyDescent="0.25">
      <c r="T39107" s="135"/>
      <c r="U39107" s="135"/>
    </row>
    <row r="39108" spans="20:21" ht="15" customHeight="1" x14ac:dyDescent="0.25">
      <c r="T39108" s="135"/>
      <c r="U39108" s="135"/>
    </row>
    <row r="39109" spans="20:21" ht="15" customHeight="1" x14ac:dyDescent="0.25">
      <c r="T39109" s="135"/>
      <c r="U39109" s="135"/>
    </row>
    <row r="39110" spans="20:21" ht="15" customHeight="1" x14ac:dyDescent="0.25">
      <c r="T39110" s="135"/>
      <c r="U39110" s="135"/>
    </row>
    <row r="39111" spans="20:21" ht="15" customHeight="1" x14ac:dyDescent="0.25">
      <c r="T39111" s="135"/>
      <c r="U39111" s="135"/>
    </row>
    <row r="39112" spans="20:21" ht="15" customHeight="1" x14ac:dyDescent="0.25">
      <c r="T39112" s="135"/>
      <c r="U39112" s="135"/>
    </row>
    <row r="39113" spans="20:21" ht="15" customHeight="1" x14ac:dyDescent="0.25">
      <c r="T39113" s="135"/>
      <c r="U39113" s="135"/>
    </row>
    <row r="39114" spans="20:21" ht="15" customHeight="1" x14ac:dyDescent="0.25">
      <c r="T39114" s="135"/>
      <c r="U39114" s="135"/>
    </row>
    <row r="39115" spans="20:21" ht="15" customHeight="1" x14ac:dyDescent="0.25">
      <c r="T39115" s="135"/>
      <c r="U39115" s="135"/>
    </row>
    <row r="39116" spans="20:21" ht="15" customHeight="1" x14ac:dyDescent="0.25">
      <c r="T39116" s="135"/>
      <c r="U39116" s="135"/>
    </row>
    <row r="39117" spans="20:21" ht="15" customHeight="1" x14ac:dyDescent="0.25">
      <c r="T39117" s="135"/>
      <c r="U39117" s="135"/>
    </row>
    <row r="39118" spans="20:21" ht="15" customHeight="1" x14ac:dyDescent="0.25">
      <c r="T39118" s="135"/>
      <c r="U39118" s="135"/>
    </row>
    <row r="39119" spans="20:21" ht="15" customHeight="1" x14ac:dyDescent="0.25">
      <c r="T39119" s="135"/>
      <c r="U39119" s="135"/>
    </row>
    <row r="39120" spans="20:21" ht="15" customHeight="1" x14ac:dyDescent="0.25">
      <c r="T39120" s="135"/>
      <c r="U39120" s="135"/>
    </row>
    <row r="39121" spans="20:21" ht="15" customHeight="1" x14ac:dyDescent="0.25">
      <c r="T39121" s="135"/>
      <c r="U39121" s="135"/>
    </row>
    <row r="39122" spans="20:21" ht="15" customHeight="1" x14ac:dyDescent="0.25">
      <c r="T39122" s="135"/>
      <c r="U39122" s="135"/>
    </row>
    <row r="39123" spans="20:21" ht="15" customHeight="1" x14ac:dyDescent="0.25">
      <c r="T39123" s="135"/>
      <c r="U39123" s="135"/>
    </row>
    <row r="39124" spans="20:21" ht="15" customHeight="1" x14ac:dyDescent="0.25">
      <c r="T39124" s="135"/>
      <c r="U39124" s="135"/>
    </row>
    <row r="39125" spans="20:21" ht="15" customHeight="1" x14ac:dyDescent="0.25">
      <c r="T39125" s="135"/>
      <c r="U39125" s="135"/>
    </row>
    <row r="39126" spans="20:21" ht="15" customHeight="1" x14ac:dyDescent="0.25">
      <c r="T39126" s="135"/>
      <c r="U39126" s="135"/>
    </row>
    <row r="39127" spans="20:21" ht="15" customHeight="1" x14ac:dyDescent="0.25">
      <c r="T39127" s="135"/>
      <c r="U39127" s="135"/>
    </row>
    <row r="39128" spans="20:21" ht="15" customHeight="1" x14ac:dyDescent="0.25">
      <c r="T39128" s="135"/>
      <c r="U39128" s="135"/>
    </row>
    <row r="39129" spans="20:21" ht="15" customHeight="1" x14ac:dyDescent="0.25">
      <c r="T39129" s="135"/>
      <c r="U39129" s="135"/>
    </row>
    <row r="39130" spans="20:21" ht="15" customHeight="1" x14ac:dyDescent="0.25">
      <c r="T39130" s="135"/>
      <c r="U39130" s="135"/>
    </row>
    <row r="39131" spans="20:21" ht="15" customHeight="1" x14ac:dyDescent="0.25">
      <c r="T39131" s="135"/>
      <c r="U39131" s="135"/>
    </row>
    <row r="39132" spans="20:21" ht="15" customHeight="1" x14ac:dyDescent="0.25">
      <c r="T39132" s="135"/>
      <c r="U39132" s="135"/>
    </row>
    <row r="39133" spans="20:21" ht="15" customHeight="1" x14ac:dyDescent="0.25">
      <c r="T39133" s="135"/>
      <c r="U39133" s="135"/>
    </row>
    <row r="39134" spans="20:21" ht="15" customHeight="1" x14ac:dyDescent="0.25">
      <c r="T39134" s="135"/>
      <c r="U39134" s="135"/>
    </row>
    <row r="39135" spans="20:21" ht="15" customHeight="1" x14ac:dyDescent="0.25">
      <c r="T39135" s="135"/>
      <c r="U39135" s="135"/>
    </row>
    <row r="39136" spans="20:21" ht="15" customHeight="1" x14ac:dyDescent="0.25">
      <c r="T39136" s="135"/>
      <c r="U39136" s="135"/>
    </row>
    <row r="39137" spans="20:21" ht="15" customHeight="1" x14ac:dyDescent="0.25">
      <c r="T39137" s="135"/>
      <c r="U39137" s="135"/>
    </row>
    <row r="39138" spans="20:21" ht="15" customHeight="1" x14ac:dyDescent="0.25">
      <c r="T39138" s="135"/>
      <c r="U39138" s="135"/>
    </row>
    <row r="39139" spans="20:21" ht="15" customHeight="1" x14ac:dyDescent="0.25">
      <c r="T39139" s="135"/>
      <c r="U39139" s="135"/>
    </row>
    <row r="39140" spans="20:21" ht="15" customHeight="1" x14ac:dyDescent="0.25">
      <c r="T39140" s="135"/>
      <c r="U39140" s="135"/>
    </row>
    <row r="39141" spans="20:21" ht="15" customHeight="1" x14ac:dyDescent="0.25">
      <c r="T39141" s="135"/>
      <c r="U39141" s="135"/>
    </row>
    <row r="39142" spans="20:21" ht="15" customHeight="1" x14ac:dyDescent="0.25">
      <c r="T39142" s="135"/>
      <c r="U39142" s="135"/>
    </row>
    <row r="39143" spans="20:21" ht="15" customHeight="1" x14ac:dyDescent="0.25">
      <c r="T39143" s="135"/>
      <c r="U39143" s="135"/>
    </row>
    <row r="39144" spans="20:21" ht="15" customHeight="1" x14ac:dyDescent="0.25">
      <c r="T39144" s="135"/>
      <c r="U39144" s="135"/>
    </row>
    <row r="39145" spans="20:21" ht="15" customHeight="1" x14ac:dyDescent="0.25">
      <c r="T39145" s="135"/>
      <c r="U39145" s="135"/>
    </row>
    <row r="39146" spans="20:21" ht="15" customHeight="1" x14ac:dyDescent="0.25">
      <c r="T39146" s="135"/>
      <c r="U39146" s="135"/>
    </row>
    <row r="39147" spans="20:21" ht="15" customHeight="1" x14ac:dyDescent="0.25">
      <c r="T39147" s="135"/>
      <c r="U39147" s="135"/>
    </row>
    <row r="39148" spans="20:21" ht="15" customHeight="1" x14ac:dyDescent="0.25">
      <c r="T39148" s="135"/>
      <c r="U39148" s="135"/>
    </row>
    <row r="39149" spans="20:21" ht="15" customHeight="1" x14ac:dyDescent="0.25">
      <c r="T39149" s="135"/>
      <c r="U39149" s="135"/>
    </row>
    <row r="39150" spans="20:21" ht="15" customHeight="1" x14ac:dyDescent="0.25">
      <c r="T39150" s="135"/>
      <c r="U39150" s="135"/>
    </row>
    <row r="39151" spans="20:21" ht="15" customHeight="1" x14ac:dyDescent="0.25">
      <c r="T39151" s="135"/>
      <c r="U39151" s="135"/>
    </row>
    <row r="39152" spans="20:21" ht="15" customHeight="1" x14ac:dyDescent="0.25">
      <c r="T39152" s="135"/>
      <c r="U39152" s="135"/>
    </row>
    <row r="39153" spans="20:21" ht="15" customHeight="1" x14ac:dyDescent="0.25">
      <c r="T39153" s="135"/>
      <c r="U39153" s="135"/>
    </row>
    <row r="39154" spans="20:21" ht="15" customHeight="1" x14ac:dyDescent="0.25">
      <c r="T39154" s="135"/>
      <c r="U39154" s="135"/>
    </row>
    <row r="39155" spans="20:21" ht="15" customHeight="1" x14ac:dyDescent="0.25">
      <c r="T39155" s="135"/>
      <c r="U39155" s="135"/>
    </row>
    <row r="39156" spans="20:21" ht="15" customHeight="1" x14ac:dyDescent="0.25">
      <c r="T39156" s="135"/>
      <c r="U39156" s="135"/>
    </row>
    <row r="39157" spans="20:21" ht="15" customHeight="1" x14ac:dyDescent="0.25">
      <c r="T39157" s="135"/>
      <c r="U39157" s="135"/>
    </row>
    <row r="39158" spans="20:21" ht="15" customHeight="1" x14ac:dyDescent="0.25">
      <c r="T39158" s="135"/>
      <c r="U39158" s="135"/>
    </row>
    <row r="39159" spans="20:21" ht="15" customHeight="1" x14ac:dyDescent="0.25">
      <c r="T39159" s="135"/>
      <c r="U39159" s="135"/>
    </row>
    <row r="39160" spans="20:21" ht="15" customHeight="1" x14ac:dyDescent="0.25">
      <c r="T39160" s="135"/>
      <c r="U39160" s="135"/>
    </row>
    <row r="39161" spans="20:21" ht="15" customHeight="1" x14ac:dyDescent="0.25">
      <c r="T39161" s="135"/>
      <c r="U39161" s="135"/>
    </row>
    <row r="39162" spans="20:21" ht="15" customHeight="1" x14ac:dyDescent="0.25">
      <c r="T39162" s="135"/>
      <c r="U39162" s="135"/>
    </row>
    <row r="39163" spans="20:21" ht="15" customHeight="1" x14ac:dyDescent="0.25">
      <c r="T39163" s="135"/>
      <c r="U39163" s="135"/>
    </row>
    <row r="39164" spans="20:21" ht="15" customHeight="1" x14ac:dyDescent="0.25">
      <c r="T39164" s="135"/>
      <c r="U39164" s="135"/>
    </row>
    <row r="39165" spans="20:21" ht="15" customHeight="1" x14ac:dyDescent="0.25">
      <c r="T39165" s="135"/>
      <c r="U39165" s="135"/>
    </row>
    <row r="39166" spans="20:21" ht="15" customHeight="1" x14ac:dyDescent="0.25">
      <c r="T39166" s="135"/>
      <c r="U39166" s="135"/>
    </row>
    <row r="39167" spans="20:21" ht="15" customHeight="1" x14ac:dyDescent="0.25">
      <c r="T39167" s="135"/>
      <c r="U39167" s="135"/>
    </row>
    <row r="39168" spans="20:21" ht="15" customHeight="1" x14ac:dyDescent="0.25">
      <c r="T39168" s="135"/>
      <c r="U39168" s="135"/>
    </row>
    <row r="39169" spans="20:21" ht="15" customHeight="1" x14ac:dyDescent="0.25">
      <c r="T39169" s="135"/>
      <c r="U39169" s="135"/>
    </row>
    <row r="39170" spans="20:21" ht="15" customHeight="1" x14ac:dyDescent="0.25">
      <c r="T39170" s="135"/>
      <c r="U39170" s="135"/>
    </row>
    <row r="39171" spans="20:21" ht="15" customHeight="1" x14ac:dyDescent="0.25">
      <c r="T39171" s="135"/>
      <c r="U39171" s="135"/>
    </row>
    <row r="39172" spans="20:21" ht="15" customHeight="1" x14ac:dyDescent="0.25">
      <c r="T39172" s="135"/>
      <c r="U39172" s="135"/>
    </row>
    <row r="39173" spans="20:21" ht="15" customHeight="1" x14ac:dyDescent="0.25">
      <c r="T39173" s="135"/>
      <c r="U39173" s="135"/>
    </row>
    <row r="39174" spans="20:21" ht="15" customHeight="1" x14ac:dyDescent="0.25">
      <c r="T39174" s="135"/>
      <c r="U39174" s="135"/>
    </row>
    <row r="39175" spans="20:21" ht="15" customHeight="1" x14ac:dyDescent="0.25">
      <c r="T39175" s="135"/>
      <c r="U39175" s="135"/>
    </row>
    <row r="39176" spans="20:21" ht="15" customHeight="1" x14ac:dyDescent="0.25">
      <c r="T39176" s="135"/>
      <c r="U39176" s="135"/>
    </row>
    <row r="39177" spans="20:21" ht="15" customHeight="1" x14ac:dyDescent="0.25">
      <c r="T39177" s="135"/>
      <c r="U39177" s="135"/>
    </row>
    <row r="39178" spans="20:21" ht="15" customHeight="1" x14ac:dyDescent="0.25">
      <c r="T39178" s="135"/>
      <c r="U39178" s="135"/>
    </row>
    <row r="39179" spans="20:21" ht="15" customHeight="1" x14ac:dyDescent="0.25">
      <c r="T39179" s="135"/>
      <c r="U39179" s="135"/>
    </row>
    <row r="39180" spans="20:21" ht="15" customHeight="1" x14ac:dyDescent="0.25">
      <c r="T39180" s="135"/>
      <c r="U39180" s="135"/>
    </row>
    <row r="39181" spans="20:21" ht="15" customHeight="1" x14ac:dyDescent="0.25">
      <c r="T39181" s="135"/>
      <c r="U39181" s="135"/>
    </row>
    <row r="39182" spans="20:21" ht="15" customHeight="1" x14ac:dyDescent="0.25">
      <c r="T39182" s="135"/>
      <c r="U39182" s="135"/>
    </row>
    <row r="39183" spans="20:21" ht="15" customHeight="1" x14ac:dyDescent="0.25">
      <c r="T39183" s="135"/>
      <c r="U39183" s="135"/>
    </row>
    <row r="39184" spans="20:21" ht="15" customHeight="1" x14ac:dyDescent="0.25">
      <c r="T39184" s="135"/>
      <c r="U39184" s="135"/>
    </row>
    <row r="39185" spans="20:21" ht="15" customHeight="1" x14ac:dyDescent="0.25">
      <c r="T39185" s="135"/>
      <c r="U39185" s="135"/>
    </row>
    <row r="39186" spans="20:21" ht="15" customHeight="1" x14ac:dyDescent="0.25">
      <c r="T39186" s="135"/>
      <c r="U39186" s="135"/>
    </row>
    <row r="39187" spans="20:21" ht="15" customHeight="1" x14ac:dyDescent="0.25">
      <c r="T39187" s="135"/>
      <c r="U39187" s="135"/>
    </row>
    <row r="39188" spans="20:21" ht="15" customHeight="1" x14ac:dyDescent="0.25">
      <c r="T39188" s="135"/>
      <c r="U39188" s="135"/>
    </row>
    <row r="39189" spans="20:21" ht="15" customHeight="1" x14ac:dyDescent="0.25">
      <c r="T39189" s="135"/>
      <c r="U39189" s="135"/>
    </row>
    <row r="39190" spans="20:21" ht="15" customHeight="1" x14ac:dyDescent="0.25">
      <c r="T39190" s="135"/>
      <c r="U39190" s="135"/>
    </row>
    <row r="39191" spans="20:21" ht="15" customHeight="1" x14ac:dyDescent="0.25">
      <c r="T39191" s="135"/>
      <c r="U39191" s="135"/>
    </row>
    <row r="39192" spans="20:21" ht="15" customHeight="1" x14ac:dyDescent="0.25">
      <c r="T39192" s="135"/>
      <c r="U39192" s="135"/>
    </row>
    <row r="39193" spans="20:21" ht="15" customHeight="1" x14ac:dyDescent="0.25">
      <c r="T39193" s="135"/>
      <c r="U39193" s="135"/>
    </row>
    <row r="39194" spans="20:21" ht="15" customHeight="1" x14ac:dyDescent="0.25">
      <c r="T39194" s="135"/>
      <c r="U39194" s="135"/>
    </row>
    <row r="39195" spans="20:21" ht="15" customHeight="1" x14ac:dyDescent="0.25">
      <c r="T39195" s="135"/>
      <c r="U39195" s="135"/>
    </row>
    <row r="39196" spans="20:21" ht="15" customHeight="1" x14ac:dyDescent="0.25">
      <c r="T39196" s="135"/>
      <c r="U39196" s="135"/>
    </row>
    <row r="39197" spans="20:21" ht="15" customHeight="1" x14ac:dyDescent="0.25">
      <c r="T39197" s="135"/>
      <c r="U39197" s="135"/>
    </row>
    <row r="39198" spans="20:21" ht="15" customHeight="1" x14ac:dyDescent="0.25">
      <c r="T39198" s="135"/>
      <c r="U39198" s="135"/>
    </row>
    <row r="39199" spans="20:21" ht="15" customHeight="1" x14ac:dyDescent="0.25">
      <c r="T39199" s="135"/>
      <c r="U39199" s="135"/>
    </row>
    <row r="39200" spans="20:21" ht="15" customHeight="1" x14ac:dyDescent="0.25">
      <c r="T39200" s="135"/>
      <c r="U39200" s="135"/>
    </row>
    <row r="39201" spans="20:21" ht="15" customHeight="1" x14ac:dyDescent="0.25">
      <c r="T39201" s="135"/>
      <c r="U39201" s="135"/>
    </row>
    <row r="39202" spans="20:21" ht="15" customHeight="1" x14ac:dyDescent="0.25">
      <c r="T39202" s="135"/>
      <c r="U39202" s="135"/>
    </row>
    <row r="39203" spans="20:21" ht="15" customHeight="1" x14ac:dyDescent="0.25">
      <c r="T39203" s="135"/>
      <c r="U39203" s="135"/>
    </row>
    <row r="39204" spans="20:21" ht="15" customHeight="1" x14ac:dyDescent="0.25">
      <c r="T39204" s="135"/>
      <c r="U39204" s="135"/>
    </row>
    <row r="39205" spans="20:21" ht="15" customHeight="1" x14ac:dyDescent="0.25">
      <c r="T39205" s="135"/>
      <c r="U39205" s="135"/>
    </row>
    <row r="39206" spans="20:21" ht="15" customHeight="1" x14ac:dyDescent="0.25">
      <c r="T39206" s="135"/>
      <c r="U39206" s="135"/>
    </row>
    <row r="39207" spans="20:21" ht="15" customHeight="1" x14ac:dyDescent="0.25">
      <c r="T39207" s="135"/>
      <c r="U39207" s="135"/>
    </row>
    <row r="39208" spans="20:21" ht="15" customHeight="1" x14ac:dyDescent="0.25">
      <c r="T39208" s="135"/>
      <c r="U39208" s="135"/>
    </row>
    <row r="39209" spans="20:21" ht="15" customHeight="1" x14ac:dyDescent="0.25">
      <c r="T39209" s="135"/>
      <c r="U39209" s="135"/>
    </row>
    <row r="39210" spans="20:21" ht="15" customHeight="1" x14ac:dyDescent="0.25">
      <c r="T39210" s="135"/>
      <c r="U39210" s="135"/>
    </row>
    <row r="39211" spans="20:21" ht="15" customHeight="1" x14ac:dyDescent="0.25">
      <c r="T39211" s="135"/>
      <c r="U39211" s="135"/>
    </row>
    <row r="39212" spans="20:21" ht="15" customHeight="1" x14ac:dyDescent="0.25">
      <c r="T39212" s="135"/>
      <c r="U39212" s="135"/>
    </row>
    <row r="39213" spans="20:21" ht="15" customHeight="1" x14ac:dyDescent="0.25">
      <c r="T39213" s="135"/>
      <c r="U39213" s="135"/>
    </row>
    <row r="39214" spans="20:21" ht="15" customHeight="1" x14ac:dyDescent="0.25">
      <c r="T39214" s="135"/>
      <c r="U39214" s="135"/>
    </row>
    <row r="39215" spans="20:21" ht="15" customHeight="1" x14ac:dyDescent="0.25">
      <c r="T39215" s="135"/>
      <c r="U39215" s="135"/>
    </row>
    <row r="39216" spans="20:21" ht="15" customHeight="1" x14ac:dyDescent="0.25">
      <c r="T39216" s="135"/>
      <c r="U39216" s="135"/>
    </row>
    <row r="39217" spans="20:21" ht="15" customHeight="1" x14ac:dyDescent="0.25">
      <c r="T39217" s="135"/>
      <c r="U39217" s="135"/>
    </row>
    <row r="39218" spans="20:21" ht="15" customHeight="1" x14ac:dyDescent="0.25">
      <c r="T39218" s="135"/>
      <c r="U39218" s="135"/>
    </row>
    <row r="39219" spans="20:21" ht="15" customHeight="1" x14ac:dyDescent="0.25">
      <c r="T39219" s="135"/>
      <c r="U39219" s="135"/>
    </row>
    <row r="39220" spans="20:21" ht="15" customHeight="1" x14ac:dyDescent="0.25">
      <c r="T39220" s="135"/>
      <c r="U39220" s="135"/>
    </row>
    <row r="39221" spans="20:21" ht="15" customHeight="1" x14ac:dyDescent="0.25">
      <c r="T39221" s="135"/>
      <c r="U39221" s="135"/>
    </row>
    <row r="39222" spans="20:21" ht="15" customHeight="1" x14ac:dyDescent="0.25">
      <c r="T39222" s="135"/>
      <c r="U39222" s="135"/>
    </row>
    <row r="39223" spans="20:21" ht="15" customHeight="1" x14ac:dyDescent="0.25">
      <c r="T39223" s="135"/>
      <c r="U39223" s="135"/>
    </row>
    <row r="39224" spans="20:21" ht="15" customHeight="1" x14ac:dyDescent="0.25">
      <c r="T39224" s="135"/>
      <c r="U39224" s="135"/>
    </row>
    <row r="39225" spans="20:21" ht="15" customHeight="1" x14ac:dyDescent="0.25">
      <c r="T39225" s="135"/>
      <c r="U39225" s="135"/>
    </row>
    <row r="39226" spans="20:21" ht="15" customHeight="1" x14ac:dyDescent="0.25">
      <c r="T39226" s="135"/>
      <c r="U39226" s="135"/>
    </row>
    <row r="39227" spans="20:21" ht="15" customHeight="1" x14ac:dyDescent="0.25">
      <c r="T39227" s="135"/>
      <c r="U39227" s="135"/>
    </row>
    <row r="39228" spans="20:21" ht="15" customHeight="1" x14ac:dyDescent="0.25">
      <c r="T39228" s="135"/>
      <c r="U39228" s="135"/>
    </row>
    <row r="39229" spans="20:21" ht="15" customHeight="1" x14ac:dyDescent="0.25">
      <c r="T39229" s="135"/>
      <c r="U39229" s="135"/>
    </row>
    <row r="39230" spans="20:21" ht="15" customHeight="1" x14ac:dyDescent="0.25">
      <c r="T39230" s="135"/>
      <c r="U39230" s="135"/>
    </row>
    <row r="39231" spans="20:21" ht="15" customHeight="1" x14ac:dyDescent="0.25">
      <c r="T39231" s="135"/>
      <c r="U39231" s="135"/>
    </row>
    <row r="39232" spans="20:21" ht="15" customHeight="1" x14ac:dyDescent="0.25">
      <c r="T39232" s="135"/>
      <c r="U39232" s="135"/>
    </row>
    <row r="39233" spans="20:21" ht="15" customHeight="1" x14ac:dyDescent="0.25">
      <c r="T39233" s="135"/>
      <c r="U39233" s="135"/>
    </row>
    <row r="39234" spans="20:21" ht="15" customHeight="1" x14ac:dyDescent="0.25">
      <c r="T39234" s="135"/>
      <c r="U39234" s="135"/>
    </row>
    <row r="39235" spans="20:21" ht="15" customHeight="1" x14ac:dyDescent="0.25">
      <c r="T39235" s="135"/>
      <c r="U39235" s="135"/>
    </row>
    <row r="39236" spans="20:21" ht="15" customHeight="1" x14ac:dyDescent="0.25">
      <c r="T39236" s="135"/>
      <c r="U39236" s="135"/>
    </row>
    <row r="39237" spans="20:21" ht="15" customHeight="1" x14ac:dyDescent="0.25">
      <c r="T39237" s="135"/>
      <c r="U39237" s="135"/>
    </row>
    <row r="39238" spans="20:21" ht="15" customHeight="1" x14ac:dyDescent="0.25">
      <c r="T39238" s="135"/>
      <c r="U39238" s="135"/>
    </row>
    <row r="39239" spans="20:21" ht="15" customHeight="1" x14ac:dyDescent="0.25">
      <c r="T39239" s="135"/>
      <c r="U39239" s="135"/>
    </row>
    <row r="39240" spans="20:21" ht="15" customHeight="1" x14ac:dyDescent="0.25">
      <c r="T39240" s="135"/>
      <c r="U39240" s="135"/>
    </row>
    <row r="39241" spans="20:21" ht="15" customHeight="1" x14ac:dyDescent="0.25">
      <c r="T39241" s="135"/>
      <c r="U39241" s="135"/>
    </row>
    <row r="39242" spans="20:21" ht="15" customHeight="1" x14ac:dyDescent="0.25">
      <c r="T39242" s="135"/>
      <c r="U39242" s="135"/>
    </row>
    <row r="39243" spans="20:21" ht="15" customHeight="1" x14ac:dyDescent="0.25">
      <c r="T39243" s="135"/>
      <c r="U39243" s="135"/>
    </row>
    <row r="39244" spans="20:21" ht="15" customHeight="1" x14ac:dyDescent="0.25">
      <c r="T39244" s="135"/>
      <c r="U39244" s="135"/>
    </row>
    <row r="39245" spans="20:21" ht="15" customHeight="1" x14ac:dyDescent="0.25">
      <c r="T39245" s="135"/>
      <c r="U39245" s="135"/>
    </row>
    <row r="39246" spans="20:21" ht="15" customHeight="1" x14ac:dyDescent="0.25">
      <c r="T39246" s="135"/>
      <c r="U39246" s="135"/>
    </row>
    <row r="39247" spans="20:21" ht="15" customHeight="1" x14ac:dyDescent="0.25">
      <c r="T39247" s="135"/>
      <c r="U39247" s="135"/>
    </row>
    <row r="39248" spans="20:21" ht="15" customHeight="1" x14ac:dyDescent="0.25">
      <c r="T39248" s="135"/>
      <c r="U39248" s="135"/>
    </row>
    <row r="39249" spans="20:21" ht="15" customHeight="1" x14ac:dyDescent="0.25">
      <c r="T39249" s="135"/>
      <c r="U39249" s="135"/>
    </row>
    <row r="39250" spans="20:21" ht="15" customHeight="1" x14ac:dyDescent="0.25">
      <c r="T39250" s="135"/>
      <c r="U39250" s="135"/>
    </row>
    <row r="39251" spans="20:21" ht="15" customHeight="1" x14ac:dyDescent="0.25">
      <c r="T39251" s="135"/>
      <c r="U39251" s="135"/>
    </row>
    <row r="39252" spans="20:21" ht="15" customHeight="1" x14ac:dyDescent="0.25">
      <c r="T39252" s="135"/>
      <c r="U39252" s="135"/>
    </row>
    <row r="39253" spans="20:21" ht="15" customHeight="1" x14ac:dyDescent="0.25">
      <c r="T39253" s="135"/>
      <c r="U39253" s="135"/>
    </row>
    <row r="39254" spans="20:21" ht="15" customHeight="1" x14ac:dyDescent="0.25">
      <c r="T39254" s="135"/>
      <c r="U39254" s="135"/>
    </row>
    <row r="39255" spans="20:21" ht="15" customHeight="1" x14ac:dyDescent="0.25">
      <c r="T39255" s="135"/>
      <c r="U39255" s="135"/>
    </row>
    <row r="39256" spans="20:21" ht="15" customHeight="1" x14ac:dyDescent="0.25">
      <c r="T39256" s="135"/>
      <c r="U39256" s="135"/>
    </row>
    <row r="39257" spans="20:21" ht="15" customHeight="1" x14ac:dyDescent="0.25">
      <c r="T39257" s="135"/>
      <c r="U39257" s="135"/>
    </row>
    <row r="39258" spans="20:21" ht="15" customHeight="1" x14ac:dyDescent="0.25">
      <c r="T39258" s="135"/>
      <c r="U39258" s="135"/>
    </row>
    <row r="39259" spans="20:21" ht="15" customHeight="1" x14ac:dyDescent="0.25">
      <c r="T39259" s="135"/>
      <c r="U39259" s="135"/>
    </row>
    <row r="39260" spans="20:21" ht="15" customHeight="1" x14ac:dyDescent="0.25">
      <c r="T39260" s="135"/>
      <c r="U39260" s="135"/>
    </row>
    <row r="39261" spans="20:21" ht="15" customHeight="1" x14ac:dyDescent="0.25">
      <c r="T39261" s="135"/>
      <c r="U39261" s="135"/>
    </row>
    <row r="39262" spans="20:21" ht="15" customHeight="1" x14ac:dyDescent="0.25">
      <c r="T39262" s="135"/>
      <c r="U39262" s="135"/>
    </row>
    <row r="39263" spans="20:21" ht="15" customHeight="1" x14ac:dyDescent="0.25">
      <c r="T39263" s="135"/>
      <c r="U39263" s="135"/>
    </row>
    <row r="39264" spans="20:21" ht="15" customHeight="1" x14ac:dyDescent="0.25">
      <c r="T39264" s="135"/>
      <c r="U39264" s="135"/>
    </row>
    <row r="39265" spans="20:21" ht="15" customHeight="1" x14ac:dyDescent="0.25">
      <c r="T39265" s="135"/>
      <c r="U39265" s="135"/>
    </row>
    <row r="39266" spans="20:21" ht="15" customHeight="1" x14ac:dyDescent="0.25">
      <c r="T39266" s="135"/>
      <c r="U39266" s="135"/>
    </row>
    <row r="39267" spans="20:21" ht="15" customHeight="1" x14ac:dyDescent="0.25">
      <c r="T39267" s="135"/>
      <c r="U39267" s="135"/>
    </row>
    <row r="39268" spans="20:21" ht="15" customHeight="1" x14ac:dyDescent="0.25">
      <c r="T39268" s="135"/>
      <c r="U39268" s="135"/>
    </row>
    <row r="39269" spans="20:21" ht="15" customHeight="1" x14ac:dyDescent="0.25">
      <c r="T39269" s="135"/>
      <c r="U39269" s="135"/>
    </row>
    <row r="39270" spans="20:21" ht="15" customHeight="1" x14ac:dyDescent="0.25">
      <c r="T39270" s="135"/>
      <c r="U39270" s="135"/>
    </row>
    <row r="39271" spans="20:21" ht="15" customHeight="1" x14ac:dyDescent="0.25">
      <c r="T39271" s="135"/>
      <c r="U39271" s="135"/>
    </row>
    <row r="39272" spans="20:21" ht="15" customHeight="1" x14ac:dyDescent="0.25">
      <c r="T39272" s="135"/>
      <c r="U39272" s="135"/>
    </row>
    <row r="39273" spans="20:21" ht="15" customHeight="1" x14ac:dyDescent="0.25">
      <c r="T39273" s="135"/>
      <c r="U39273" s="135"/>
    </row>
    <row r="39274" spans="20:21" ht="15" customHeight="1" x14ac:dyDescent="0.25">
      <c r="T39274" s="135"/>
      <c r="U39274" s="135"/>
    </row>
    <row r="39275" spans="20:21" ht="15" customHeight="1" x14ac:dyDescent="0.25">
      <c r="T39275" s="135"/>
      <c r="U39275" s="135"/>
    </row>
    <row r="39276" spans="20:21" ht="15" customHeight="1" x14ac:dyDescent="0.25">
      <c r="T39276" s="135"/>
      <c r="U39276" s="135"/>
    </row>
    <row r="39277" spans="20:21" ht="15" customHeight="1" x14ac:dyDescent="0.25">
      <c r="T39277" s="135"/>
      <c r="U39277" s="135"/>
    </row>
    <row r="39278" spans="20:21" ht="15" customHeight="1" x14ac:dyDescent="0.25">
      <c r="T39278" s="135"/>
      <c r="U39278" s="135"/>
    </row>
    <row r="39279" spans="20:21" ht="15" customHeight="1" x14ac:dyDescent="0.25">
      <c r="T39279" s="135"/>
      <c r="U39279" s="135"/>
    </row>
    <row r="39280" spans="20:21" ht="15" customHeight="1" x14ac:dyDescent="0.25">
      <c r="T39280" s="135"/>
      <c r="U39280" s="135"/>
    </row>
    <row r="39281" spans="20:21" ht="15" customHeight="1" x14ac:dyDescent="0.25">
      <c r="T39281" s="135"/>
      <c r="U39281" s="135"/>
    </row>
    <row r="39282" spans="20:21" ht="15" customHeight="1" x14ac:dyDescent="0.25">
      <c r="T39282" s="135"/>
      <c r="U39282" s="135"/>
    </row>
    <row r="39283" spans="20:21" ht="15" customHeight="1" x14ac:dyDescent="0.25">
      <c r="T39283" s="135"/>
      <c r="U39283" s="135"/>
    </row>
    <row r="39284" spans="20:21" ht="15" customHeight="1" x14ac:dyDescent="0.25">
      <c r="T39284" s="135"/>
      <c r="U39284" s="135"/>
    </row>
    <row r="39285" spans="20:21" ht="15" customHeight="1" x14ac:dyDescent="0.25">
      <c r="T39285" s="135"/>
      <c r="U39285" s="135"/>
    </row>
    <row r="39286" spans="20:21" ht="15" customHeight="1" x14ac:dyDescent="0.25">
      <c r="T39286" s="135"/>
      <c r="U39286" s="135"/>
    </row>
    <row r="39287" spans="20:21" ht="15" customHeight="1" x14ac:dyDescent="0.25">
      <c r="T39287" s="135"/>
      <c r="U39287" s="135"/>
    </row>
    <row r="39288" spans="20:21" ht="15" customHeight="1" x14ac:dyDescent="0.25">
      <c r="T39288" s="135"/>
      <c r="U39288" s="135"/>
    </row>
    <row r="39289" spans="20:21" ht="15" customHeight="1" x14ac:dyDescent="0.25">
      <c r="T39289" s="135"/>
      <c r="U39289" s="135"/>
    </row>
    <row r="39290" spans="20:21" ht="15" customHeight="1" x14ac:dyDescent="0.25">
      <c r="T39290" s="135"/>
      <c r="U39290" s="135"/>
    </row>
    <row r="39291" spans="20:21" ht="15" customHeight="1" x14ac:dyDescent="0.25">
      <c r="T39291" s="135"/>
      <c r="U39291" s="135"/>
    </row>
    <row r="39292" spans="20:21" ht="15" customHeight="1" x14ac:dyDescent="0.25">
      <c r="T39292" s="135"/>
      <c r="U39292" s="135"/>
    </row>
    <row r="39293" spans="20:21" ht="15" customHeight="1" x14ac:dyDescent="0.25">
      <c r="T39293" s="135"/>
      <c r="U39293" s="135"/>
    </row>
    <row r="39294" spans="20:21" ht="15" customHeight="1" x14ac:dyDescent="0.25">
      <c r="T39294" s="135"/>
      <c r="U39294" s="135"/>
    </row>
    <row r="39295" spans="20:21" ht="15" customHeight="1" x14ac:dyDescent="0.25">
      <c r="T39295" s="135"/>
      <c r="U39295" s="135"/>
    </row>
    <row r="39296" spans="20:21" ht="15" customHeight="1" x14ac:dyDescent="0.25">
      <c r="T39296" s="135"/>
      <c r="U39296" s="135"/>
    </row>
    <row r="39297" spans="20:21" ht="15" customHeight="1" x14ac:dyDescent="0.25">
      <c r="T39297" s="135"/>
      <c r="U39297" s="135"/>
    </row>
    <row r="39298" spans="20:21" ht="15" customHeight="1" x14ac:dyDescent="0.25">
      <c r="T39298" s="135"/>
      <c r="U39298" s="135"/>
    </row>
    <row r="39299" spans="20:21" ht="15" customHeight="1" x14ac:dyDescent="0.25">
      <c r="T39299" s="135"/>
      <c r="U39299" s="135"/>
    </row>
    <row r="39300" spans="20:21" ht="15" customHeight="1" x14ac:dyDescent="0.25">
      <c r="T39300" s="135"/>
      <c r="U39300" s="135"/>
    </row>
    <row r="39301" spans="20:21" ht="15" customHeight="1" x14ac:dyDescent="0.25">
      <c r="T39301" s="135"/>
      <c r="U39301" s="135"/>
    </row>
    <row r="39302" spans="20:21" ht="15" customHeight="1" x14ac:dyDescent="0.25">
      <c r="T39302" s="135"/>
      <c r="U39302" s="135"/>
    </row>
    <row r="39303" spans="20:21" ht="15" customHeight="1" x14ac:dyDescent="0.25">
      <c r="T39303" s="135"/>
      <c r="U39303" s="135"/>
    </row>
    <row r="39304" spans="20:21" ht="15" customHeight="1" x14ac:dyDescent="0.25">
      <c r="T39304" s="135"/>
      <c r="U39304" s="135"/>
    </row>
    <row r="39305" spans="20:21" ht="15" customHeight="1" x14ac:dyDescent="0.25">
      <c r="T39305" s="135"/>
      <c r="U39305" s="135"/>
    </row>
    <row r="39306" spans="20:21" ht="15" customHeight="1" x14ac:dyDescent="0.25">
      <c r="T39306" s="135"/>
      <c r="U39306" s="135"/>
    </row>
    <row r="39307" spans="20:21" ht="15" customHeight="1" x14ac:dyDescent="0.25">
      <c r="T39307" s="135"/>
      <c r="U39307" s="135"/>
    </row>
    <row r="39308" spans="20:21" ht="15" customHeight="1" x14ac:dyDescent="0.25">
      <c r="T39308" s="135"/>
      <c r="U39308" s="135"/>
    </row>
    <row r="39309" spans="20:21" ht="15" customHeight="1" x14ac:dyDescent="0.25">
      <c r="T39309" s="135"/>
      <c r="U39309" s="135"/>
    </row>
    <row r="39310" spans="20:21" ht="15" customHeight="1" x14ac:dyDescent="0.25">
      <c r="T39310" s="135"/>
      <c r="U39310" s="135"/>
    </row>
    <row r="39311" spans="20:21" ht="15" customHeight="1" x14ac:dyDescent="0.25">
      <c r="T39311" s="135"/>
      <c r="U39311" s="135"/>
    </row>
    <row r="39312" spans="20:21" ht="15" customHeight="1" x14ac:dyDescent="0.25">
      <c r="T39312" s="135"/>
      <c r="U39312" s="135"/>
    </row>
    <row r="39313" spans="20:21" ht="15" customHeight="1" x14ac:dyDescent="0.25">
      <c r="T39313" s="135"/>
      <c r="U39313" s="135"/>
    </row>
    <row r="39314" spans="20:21" ht="15" customHeight="1" x14ac:dyDescent="0.25">
      <c r="T39314" s="135"/>
      <c r="U39314" s="135"/>
    </row>
    <row r="39315" spans="20:21" ht="15" customHeight="1" x14ac:dyDescent="0.25">
      <c r="T39315" s="135"/>
      <c r="U39315" s="135"/>
    </row>
    <row r="39316" spans="20:21" ht="15" customHeight="1" x14ac:dyDescent="0.25">
      <c r="T39316" s="135"/>
      <c r="U39316" s="135"/>
    </row>
    <row r="39317" spans="20:21" ht="15" customHeight="1" x14ac:dyDescent="0.25">
      <c r="T39317" s="135"/>
      <c r="U39317" s="135"/>
    </row>
    <row r="39318" spans="20:21" ht="15" customHeight="1" x14ac:dyDescent="0.25">
      <c r="T39318" s="135"/>
      <c r="U39318" s="135"/>
    </row>
    <row r="39319" spans="20:21" ht="15" customHeight="1" x14ac:dyDescent="0.25">
      <c r="T39319" s="135"/>
      <c r="U39319" s="135"/>
    </row>
    <row r="39320" spans="20:21" ht="15" customHeight="1" x14ac:dyDescent="0.25">
      <c r="T39320" s="135"/>
      <c r="U39320" s="135"/>
    </row>
    <row r="39321" spans="20:21" ht="15" customHeight="1" x14ac:dyDescent="0.25">
      <c r="T39321" s="135"/>
      <c r="U39321" s="135"/>
    </row>
    <row r="39322" spans="20:21" ht="15" customHeight="1" x14ac:dyDescent="0.25">
      <c r="T39322" s="135"/>
      <c r="U39322" s="135"/>
    </row>
    <row r="39323" spans="20:21" ht="15" customHeight="1" x14ac:dyDescent="0.25">
      <c r="T39323" s="135"/>
      <c r="U39323" s="135"/>
    </row>
    <row r="39324" spans="20:21" ht="15" customHeight="1" x14ac:dyDescent="0.25">
      <c r="T39324" s="135"/>
      <c r="U39324" s="135"/>
    </row>
    <row r="39325" spans="20:21" ht="15" customHeight="1" x14ac:dyDescent="0.25">
      <c r="T39325" s="135"/>
      <c r="U39325" s="135"/>
    </row>
    <row r="39326" spans="20:21" ht="15" customHeight="1" x14ac:dyDescent="0.25">
      <c r="T39326" s="135"/>
      <c r="U39326" s="135"/>
    </row>
    <row r="39327" spans="20:21" ht="15" customHeight="1" x14ac:dyDescent="0.25">
      <c r="T39327" s="135"/>
      <c r="U39327" s="135"/>
    </row>
    <row r="39328" spans="20:21" ht="15" customHeight="1" x14ac:dyDescent="0.25">
      <c r="T39328" s="135"/>
      <c r="U39328" s="135"/>
    </row>
    <row r="39329" spans="20:21" ht="15" customHeight="1" x14ac:dyDescent="0.25">
      <c r="T39329" s="135"/>
      <c r="U39329" s="135"/>
    </row>
    <row r="39330" spans="20:21" ht="15" customHeight="1" x14ac:dyDescent="0.25">
      <c r="T39330" s="135"/>
      <c r="U39330" s="135"/>
    </row>
    <row r="39331" spans="20:21" ht="15" customHeight="1" x14ac:dyDescent="0.25">
      <c r="T39331" s="135"/>
      <c r="U39331" s="135"/>
    </row>
    <row r="39332" spans="20:21" ht="15" customHeight="1" x14ac:dyDescent="0.25">
      <c r="T39332" s="135"/>
      <c r="U39332" s="135"/>
    </row>
    <row r="39333" spans="20:21" ht="15" customHeight="1" x14ac:dyDescent="0.25">
      <c r="T39333" s="135"/>
      <c r="U39333" s="135"/>
    </row>
    <row r="39334" spans="20:21" ht="15" customHeight="1" x14ac:dyDescent="0.25">
      <c r="T39334" s="135"/>
      <c r="U39334" s="135"/>
    </row>
    <row r="39335" spans="20:21" ht="15" customHeight="1" x14ac:dyDescent="0.25">
      <c r="T39335" s="135"/>
      <c r="U39335" s="135"/>
    </row>
    <row r="39336" spans="20:21" ht="15" customHeight="1" x14ac:dyDescent="0.25">
      <c r="T39336" s="135"/>
      <c r="U39336" s="135"/>
    </row>
    <row r="39337" spans="20:21" ht="15" customHeight="1" x14ac:dyDescent="0.25">
      <c r="T39337" s="135"/>
      <c r="U39337" s="135"/>
    </row>
    <row r="39338" spans="20:21" ht="15" customHeight="1" x14ac:dyDescent="0.25">
      <c r="T39338" s="135"/>
      <c r="U39338" s="135"/>
    </row>
    <row r="39339" spans="20:21" ht="15" customHeight="1" x14ac:dyDescent="0.25">
      <c r="T39339" s="135"/>
      <c r="U39339" s="135"/>
    </row>
    <row r="39340" spans="20:21" ht="15" customHeight="1" x14ac:dyDescent="0.25">
      <c r="T39340" s="135"/>
      <c r="U39340" s="135"/>
    </row>
    <row r="39341" spans="20:21" ht="15" customHeight="1" x14ac:dyDescent="0.25">
      <c r="T39341" s="135"/>
      <c r="U39341" s="135"/>
    </row>
    <row r="39342" spans="20:21" ht="15" customHeight="1" x14ac:dyDescent="0.25">
      <c r="T39342" s="135"/>
      <c r="U39342" s="135"/>
    </row>
    <row r="39343" spans="20:21" ht="15" customHeight="1" x14ac:dyDescent="0.25">
      <c r="T39343" s="135"/>
      <c r="U39343" s="135"/>
    </row>
    <row r="39344" spans="20:21" ht="15" customHeight="1" x14ac:dyDescent="0.25">
      <c r="T39344" s="135"/>
      <c r="U39344" s="135"/>
    </row>
    <row r="39345" spans="20:21" ht="15" customHeight="1" x14ac:dyDescent="0.25">
      <c r="T39345" s="135"/>
      <c r="U39345" s="135"/>
    </row>
    <row r="39346" spans="20:21" ht="15" customHeight="1" x14ac:dyDescent="0.25">
      <c r="T39346" s="135"/>
      <c r="U39346" s="135"/>
    </row>
    <row r="39347" spans="20:21" ht="15" customHeight="1" x14ac:dyDescent="0.25">
      <c r="T39347" s="135"/>
      <c r="U39347" s="135"/>
    </row>
    <row r="39348" spans="20:21" ht="15" customHeight="1" x14ac:dyDescent="0.25">
      <c r="T39348" s="135"/>
      <c r="U39348" s="135"/>
    </row>
    <row r="39349" spans="20:21" ht="15" customHeight="1" x14ac:dyDescent="0.25">
      <c r="T39349" s="135"/>
      <c r="U39349" s="135"/>
    </row>
    <row r="39350" spans="20:21" ht="15" customHeight="1" x14ac:dyDescent="0.25">
      <c r="T39350" s="135"/>
      <c r="U39350" s="135"/>
    </row>
    <row r="39351" spans="20:21" ht="15" customHeight="1" x14ac:dyDescent="0.25">
      <c r="T39351" s="135"/>
      <c r="U39351" s="135"/>
    </row>
    <row r="39352" spans="20:21" ht="15" customHeight="1" x14ac:dyDescent="0.25">
      <c r="T39352" s="135"/>
      <c r="U39352" s="135"/>
    </row>
    <row r="39353" spans="20:21" ht="15" customHeight="1" x14ac:dyDescent="0.25">
      <c r="T39353" s="135"/>
      <c r="U39353" s="135"/>
    </row>
    <row r="39354" spans="20:21" ht="15" customHeight="1" x14ac:dyDescent="0.25">
      <c r="T39354" s="135"/>
      <c r="U39354" s="135"/>
    </row>
    <row r="39355" spans="20:21" ht="15" customHeight="1" x14ac:dyDescent="0.25">
      <c r="T39355" s="135"/>
      <c r="U39355" s="135"/>
    </row>
    <row r="39356" spans="20:21" ht="15" customHeight="1" x14ac:dyDescent="0.25">
      <c r="T39356" s="135"/>
      <c r="U39356" s="135"/>
    </row>
    <row r="39357" spans="20:21" ht="15" customHeight="1" x14ac:dyDescent="0.25">
      <c r="T39357" s="135"/>
      <c r="U39357" s="135"/>
    </row>
    <row r="39358" spans="20:21" ht="15" customHeight="1" x14ac:dyDescent="0.25">
      <c r="T39358" s="135"/>
      <c r="U39358" s="135"/>
    </row>
    <row r="39359" spans="20:21" ht="15" customHeight="1" x14ac:dyDescent="0.25">
      <c r="T39359" s="135"/>
      <c r="U39359" s="135"/>
    </row>
    <row r="39360" spans="20:21" ht="15" customHeight="1" x14ac:dyDescent="0.25">
      <c r="T39360" s="135"/>
      <c r="U39360" s="135"/>
    </row>
    <row r="39361" spans="20:21" ht="15" customHeight="1" x14ac:dyDescent="0.25">
      <c r="T39361" s="135"/>
      <c r="U39361" s="135"/>
    </row>
    <row r="39362" spans="20:21" ht="15" customHeight="1" x14ac:dyDescent="0.25">
      <c r="T39362" s="135"/>
      <c r="U39362" s="135"/>
    </row>
    <row r="39363" spans="20:21" ht="15" customHeight="1" x14ac:dyDescent="0.25">
      <c r="T39363" s="135"/>
      <c r="U39363" s="135"/>
    </row>
    <row r="39364" spans="20:21" ht="15" customHeight="1" x14ac:dyDescent="0.25">
      <c r="T39364" s="135"/>
      <c r="U39364" s="135"/>
    </row>
    <row r="39365" spans="20:21" ht="15" customHeight="1" x14ac:dyDescent="0.25">
      <c r="T39365" s="135"/>
      <c r="U39365" s="135"/>
    </row>
    <row r="39366" spans="20:21" ht="15" customHeight="1" x14ac:dyDescent="0.25">
      <c r="T39366" s="135"/>
      <c r="U39366" s="135"/>
    </row>
    <row r="39367" spans="20:21" ht="15" customHeight="1" x14ac:dyDescent="0.25">
      <c r="T39367" s="135"/>
      <c r="U39367" s="135"/>
    </row>
    <row r="39368" spans="20:21" ht="15" customHeight="1" x14ac:dyDescent="0.25">
      <c r="T39368" s="135"/>
      <c r="U39368" s="135"/>
    </row>
    <row r="39369" spans="20:21" ht="15" customHeight="1" x14ac:dyDescent="0.25">
      <c r="T39369" s="135"/>
      <c r="U39369" s="135"/>
    </row>
    <row r="39370" spans="20:21" ht="15" customHeight="1" x14ac:dyDescent="0.25">
      <c r="T39370" s="135"/>
      <c r="U39370" s="135"/>
    </row>
    <row r="39371" spans="20:21" ht="15" customHeight="1" x14ac:dyDescent="0.25">
      <c r="T39371" s="135"/>
      <c r="U39371" s="135"/>
    </row>
    <row r="39372" spans="20:21" ht="15" customHeight="1" x14ac:dyDescent="0.25">
      <c r="T39372" s="135"/>
      <c r="U39372" s="135"/>
    </row>
    <row r="39373" spans="20:21" ht="15" customHeight="1" x14ac:dyDescent="0.25">
      <c r="T39373" s="135"/>
      <c r="U39373" s="135"/>
    </row>
    <row r="39374" spans="20:21" ht="15" customHeight="1" x14ac:dyDescent="0.25">
      <c r="T39374" s="135"/>
      <c r="U39374" s="135"/>
    </row>
    <row r="39375" spans="20:21" ht="15" customHeight="1" x14ac:dyDescent="0.25">
      <c r="T39375" s="135"/>
      <c r="U39375" s="135"/>
    </row>
    <row r="39376" spans="20:21" ht="15" customHeight="1" x14ac:dyDescent="0.25">
      <c r="T39376" s="135"/>
      <c r="U39376" s="135"/>
    </row>
    <row r="39377" spans="20:21" ht="15" customHeight="1" x14ac:dyDescent="0.25">
      <c r="T39377" s="135"/>
      <c r="U39377" s="135"/>
    </row>
    <row r="39378" spans="20:21" ht="15" customHeight="1" x14ac:dyDescent="0.25">
      <c r="T39378" s="135"/>
      <c r="U39378" s="135"/>
    </row>
    <row r="39379" spans="20:21" ht="15" customHeight="1" x14ac:dyDescent="0.25">
      <c r="T39379" s="135"/>
      <c r="U39379" s="135"/>
    </row>
    <row r="39380" spans="20:21" ht="15" customHeight="1" x14ac:dyDescent="0.25">
      <c r="T39380" s="135"/>
      <c r="U39380" s="135"/>
    </row>
    <row r="39381" spans="20:21" ht="15" customHeight="1" x14ac:dyDescent="0.25">
      <c r="T39381" s="135"/>
      <c r="U39381" s="135"/>
    </row>
    <row r="39382" spans="20:21" ht="15" customHeight="1" x14ac:dyDescent="0.25">
      <c r="T39382" s="135"/>
      <c r="U39382" s="135"/>
    </row>
    <row r="39383" spans="20:21" ht="15" customHeight="1" x14ac:dyDescent="0.25">
      <c r="T39383" s="135"/>
      <c r="U39383" s="135"/>
    </row>
    <row r="39384" spans="20:21" ht="15" customHeight="1" x14ac:dyDescent="0.25">
      <c r="T39384" s="135"/>
      <c r="U39384" s="135"/>
    </row>
    <row r="39385" spans="20:21" ht="15" customHeight="1" x14ac:dyDescent="0.25">
      <c r="T39385" s="135"/>
      <c r="U39385" s="135"/>
    </row>
    <row r="39386" spans="20:21" ht="15" customHeight="1" x14ac:dyDescent="0.25">
      <c r="T39386" s="135"/>
      <c r="U39386" s="135"/>
    </row>
    <row r="39387" spans="20:21" ht="15" customHeight="1" x14ac:dyDescent="0.25">
      <c r="T39387" s="135"/>
      <c r="U39387" s="135"/>
    </row>
    <row r="39388" spans="20:21" ht="15" customHeight="1" x14ac:dyDescent="0.25">
      <c r="T39388" s="135"/>
      <c r="U39388" s="135"/>
    </row>
    <row r="39389" spans="20:21" ht="15" customHeight="1" x14ac:dyDescent="0.25">
      <c r="T39389" s="135"/>
      <c r="U39389" s="135"/>
    </row>
    <row r="39390" spans="20:21" ht="15" customHeight="1" x14ac:dyDescent="0.25">
      <c r="T39390" s="135"/>
      <c r="U39390" s="135"/>
    </row>
    <row r="39391" spans="20:21" ht="15" customHeight="1" x14ac:dyDescent="0.25">
      <c r="T39391" s="135"/>
      <c r="U39391" s="135"/>
    </row>
    <row r="39392" spans="20:21" ht="15" customHeight="1" x14ac:dyDescent="0.25">
      <c r="T39392" s="135"/>
      <c r="U39392" s="135"/>
    </row>
    <row r="39393" spans="20:21" ht="15" customHeight="1" x14ac:dyDescent="0.25">
      <c r="T39393" s="135"/>
      <c r="U39393" s="135"/>
    </row>
    <row r="39394" spans="20:21" ht="15" customHeight="1" x14ac:dyDescent="0.25">
      <c r="T39394" s="135"/>
      <c r="U39394" s="135"/>
    </row>
    <row r="39395" spans="20:21" ht="15" customHeight="1" x14ac:dyDescent="0.25">
      <c r="T39395" s="135"/>
      <c r="U39395" s="135"/>
    </row>
    <row r="39396" spans="20:21" ht="15" customHeight="1" x14ac:dyDescent="0.25">
      <c r="T39396" s="135"/>
      <c r="U39396" s="135"/>
    </row>
    <row r="39397" spans="20:21" ht="15" customHeight="1" x14ac:dyDescent="0.25">
      <c r="T39397" s="135"/>
      <c r="U39397" s="135"/>
    </row>
    <row r="39398" spans="20:21" ht="15" customHeight="1" x14ac:dyDescent="0.25">
      <c r="T39398" s="135"/>
      <c r="U39398" s="135"/>
    </row>
    <row r="39399" spans="20:21" ht="15" customHeight="1" x14ac:dyDescent="0.25">
      <c r="T39399" s="135"/>
      <c r="U39399" s="135"/>
    </row>
    <row r="39400" spans="20:21" ht="15" customHeight="1" x14ac:dyDescent="0.25">
      <c r="T39400" s="135"/>
      <c r="U39400" s="135"/>
    </row>
    <row r="39401" spans="20:21" ht="15" customHeight="1" x14ac:dyDescent="0.25">
      <c r="T39401" s="135"/>
      <c r="U39401" s="135"/>
    </row>
    <row r="39402" spans="20:21" ht="15" customHeight="1" x14ac:dyDescent="0.25">
      <c r="T39402" s="135"/>
      <c r="U39402" s="135"/>
    </row>
    <row r="39403" spans="20:21" ht="15" customHeight="1" x14ac:dyDescent="0.25">
      <c r="T39403" s="135"/>
      <c r="U39403" s="135"/>
    </row>
    <row r="39404" spans="20:21" ht="15" customHeight="1" x14ac:dyDescent="0.25">
      <c r="T39404" s="135"/>
      <c r="U39404" s="135"/>
    </row>
    <row r="39405" spans="20:21" ht="15" customHeight="1" x14ac:dyDescent="0.25">
      <c r="T39405" s="135"/>
      <c r="U39405" s="135"/>
    </row>
    <row r="39406" spans="20:21" ht="15" customHeight="1" x14ac:dyDescent="0.25">
      <c r="T39406" s="135"/>
      <c r="U39406" s="135"/>
    </row>
    <row r="39407" spans="20:21" ht="15" customHeight="1" x14ac:dyDescent="0.25">
      <c r="T39407" s="135"/>
      <c r="U39407" s="135"/>
    </row>
    <row r="39408" spans="20:21" ht="15" customHeight="1" x14ac:dyDescent="0.25">
      <c r="T39408" s="135"/>
      <c r="U39408" s="135"/>
    </row>
    <row r="39409" spans="20:21" ht="15" customHeight="1" x14ac:dyDescent="0.25">
      <c r="T39409" s="135"/>
      <c r="U39409" s="135"/>
    </row>
    <row r="39410" spans="20:21" ht="15" customHeight="1" x14ac:dyDescent="0.25">
      <c r="T39410" s="135"/>
      <c r="U39410" s="135"/>
    </row>
    <row r="39411" spans="20:21" ht="15" customHeight="1" x14ac:dyDescent="0.25">
      <c r="T39411" s="135"/>
      <c r="U39411" s="135"/>
    </row>
    <row r="39412" spans="20:21" ht="15" customHeight="1" x14ac:dyDescent="0.25">
      <c r="T39412" s="135"/>
      <c r="U39412" s="135"/>
    </row>
    <row r="39413" spans="20:21" ht="15" customHeight="1" x14ac:dyDescent="0.25">
      <c r="T39413" s="135"/>
      <c r="U39413" s="135"/>
    </row>
    <row r="39414" spans="20:21" ht="15" customHeight="1" x14ac:dyDescent="0.25">
      <c r="T39414" s="135"/>
      <c r="U39414" s="135"/>
    </row>
    <row r="39415" spans="20:21" ht="15" customHeight="1" x14ac:dyDescent="0.25">
      <c r="T39415" s="135"/>
      <c r="U39415" s="135"/>
    </row>
    <row r="39416" spans="20:21" ht="15" customHeight="1" x14ac:dyDescent="0.25">
      <c r="T39416" s="135"/>
      <c r="U39416" s="135"/>
    </row>
    <row r="39417" spans="20:21" ht="15" customHeight="1" x14ac:dyDescent="0.25">
      <c r="T39417" s="135"/>
      <c r="U39417" s="135"/>
    </row>
    <row r="39418" spans="20:21" ht="15" customHeight="1" x14ac:dyDescent="0.25">
      <c r="T39418" s="135"/>
      <c r="U39418" s="135"/>
    </row>
    <row r="39419" spans="20:21" ht="15" customHeight="1" x14ac:dyDescent="0.25">
      <c r="T39419" s="135"/>
      <c r="U39419" s="135"/>
    </row>
    <row r="39420" spans="20:21" ht="15" customHeight="1" x14ac:dyDescent="0.25">
      <c r="T39420" s="135"/>
      <c r="U39420" s="135"/>
    </row>
    <row r="39421" spans="20:21" ht="15" customHeight="1" x14ac:dyDescent="0.25">
      <c r="T39421" s="135"/>
      <c r="U39421" s="135"/>
    </row>
    <row r="39422" spans="20:21" ht="15" customHeight="1" x14ac:dyDescent="0.25">
      <c r="T39422" s="135"/>
      <c r="U39422" s="135"/>
    </row>
    <row r="39423" spans="20:21" ht="15" customHeight="1" x14ac:dyDescent="0.25">
      <c r="T39423" s="135"/>
      <c r="U39423" s="135"/>
    </row>
    <row r="39424" spans="20:21" ht="15" customHeight="1" x14ac:dyDescent="0.25">
      <c r="T39424" s="135"/>
      <c r="U39424" s="135"/>
    </row>
    <row r="39425" spans="20:21" ht="15" customHeight="1" x14ac:dyDescent="0.25">
      <c r="T39425" s="135"/>
      <c r="U39425" s="135"/>
    </row>
    <row r="39426" spans="20:21" ht="15" customHeight="1" x14ac:dyDescent="0.25">
      <c r="T39426" s="135"/>
      <c r="U39426" s="135"/>
    </row>
    <row r="39427" spans="20:21" ht="15" customHeight="1" x14ac:dyDescent="0.25">
      <c r="T39427" s="135"/>
      <c r="U39427" s="135"/>
    </row>
    <row r="39428" spans="20:21" ht="15" customHeight="1" x14ac:dyDescent="0.25">
      <c r="T39428" s="135"/>
      <c r="U39428" s="135"/>
    </row>
    <row r="39429" spans="20:21" ht="15" customHeight="1" x14ac:dyDescent="0.25">
      <c r="T39429" s="135"/>
      <c r="U39429" s="135"/>
    </row>
    <row r="39430" spans="20:21" ht="15" customHeight="1" x14ac:dyDescent="0.25">
      <c r="T39430" s="135"/>
      <c r="U39430" s="135"/>
    </row>
    <row r="39431" spans="20:21" ht="15" customHeight="1" x14ac:dyDescent="0.25">
      <c r="T39431" s="135"/>
      <c r="U39431" s="135"/>
    </row>
    <row r="39432" spans="20:21" ht="15" customHeight="1" x14ac:dyDescent="0.25">
      <c r="T39432" s="135"/>
      <c r="U39432" s="135"/>
    </row>
    <row r="39433" spans="20:21" ht="15" customHeight="1" x14ac:dyDescent="0.25">
      <c r="T39433" s="135"/>
      <c r="U39433" s="135"/>
    </row>
    <row r="39434" spans="20:21" ht="15" customHeight="1" x14ac:dyDescent="0.25">
      <c r="T39434" s="135"/>
      <c r="U39434" s="135"/>
    </row>
    <row r="39435" spans="20:21" ht="15" customHeight="1" x14ac:dyDescent="0.25">
      <c r="T39435" s="135"/>
      <c r="U39435" s="135"/>
    </row>
    <row r="39436" spans="20:21" ht="15" customHeight="1" x14ac:dyDescent="0.25">
      <c r="T39436" s="135"/>
      <c r="U39436" s="135"/>
    </row>
    <row r="39437" spans="20:21" ht="15" customHeight="1" x14ac:dyDescent="0.25">
      <c r="T39437" s="135"/>
      <c r="U39437" s="135"/>
    </row>
    <row r="39438" spans="20:21" ht="15" customHeight="1" x14ac:dyDescent="0.25">
      <c r="T39438" s="135"/>
      <c r="U39438" s="135"/>
    </row>
    <row r="39439" spans="20:21" ht="15" customHeight="1" x14ac:dyDescent="0.25">
      <c r="T39439" s="135"/>
      <c r="U39439" s="135"/>
    </row>
    <row r="39440" spans="20:21" ht="15" customHeight="1" x14ac:dyDescent="0.25">
      <c r="T39440" s="135"/>
      <c r="U39440" s="135"/>
    </row>
    <row r="39441" spans="20:21" ht="15" customHeight="1" x14ac:dyDescent="0.25">
      <c r="T39441" s="135"/>
      <c r="U39441" s="135"/>
    </row>
    <row r="39442" spans="20:21" ht="15" customHeight="1" x14ac:dyDescent="0.25">
      <c r="T39442" s="135"/>
      <c r="U39442" s="135"/>
    </row>
    <row r="39443" spans="20:21" ht="15" customHeight="1" x14ac:dyDescent="0.25">
      <c r="T39443" s="135"/>
      <c r="U39443" s="135"/>
    </row>
    <row r="39444" spans="20:21" ht="15" customHeight="1" x14ac:dyDescent="0.25">
      <c r="T39444" s="135"/>
      <c r="U39444" s="135"/>
    </row>
    <row r="39445" spans="20:21" ht="15" customHeight="1" x14ac:dyDescent="0.25">
      <c r="T39445" s="135"/>
      <c r="U39445" s="135"/>
    </row>
    <row r="39446" spans="20:21" ht="15" customHeight="1" x14ac:dyDescent="0.25">
      <c r="T39446" s="135"/>
      <c r="U39446" s="135"/>
    </row>
    <row r="39447" spans="20:21" ht="15" customHeight="1" x14ac:dyDescent="0.25">
      <c r="T39447" s="135"/>
      <c r="U39447" s="135"/>
    </row>
    <row r="39448" spans="20:21" ht="15" customHeight="1" x14ac:dyDescent="0.25">
      <c r="T39448" s="135"/>
      <c r="U39448" s="135"/>
    </row>
    <row r="39449" spans="20:21" ht="15" customHeight="1" x14ac:dyDescent="0.25">
      <c r="T39449" s="135"/>
      <c r="U39449" s="135"/>
    </row>
    <row r="39450" spans="20:21" ht="15" customHeight="1" x14ac:dyDescent="0.25">
      <c r="T39450" s="135"/>
      <c r="U39450" s="135"/>
    </row>
    <row r="39451" spans="20:21" ht="15" customHeight="1" x14ac:dyDescent="0.25">
      <c r="T39451" s="135"/>
      <c r="U39451" s="135"/>
    </row>
    <row r="39452" spans="20:21" ht="15" customHeight="1" x14ac:dyDescent="0.25">
      <c r="T39452" s="135"/>
      <c r="U39452" s="135"/>
    </row>
    <row r="39453" spans="20:21" ht="15" customHeight="1" x14ac:dyDescent="0.25">
      <c r="T39453" s="135"/>
      <c r="U39453" s="135"/>
    </row>
    <row r="39454" spans="20:21" ht="15" customHeight="1" x14ac:dyDescent="0.25">
      <c r="T39454" s="135"/>
      <c r="U39454" s="135"/>
    </row>
    <row r="39455" spans="20:21" ht="15" customHeight="1" x14ac:dyDescent="0.25">
      <c r="T39455" s="135"/>
      <c r="U39455" s="135"/>
    </row>
    <row r="39456" spans="20:21" ht="15" customHeight="1" x14ac:dyDescent="0.25">
      <c r="T39456" s="135"/>
      <c r="U39456" s="135"/>
    </row>
    <row r="39457" spans="20:21" ht="15" customHeight="1" x14ac:dyDescent="0.25">
      <c r="T39457" s="135"/>
      <c r="U39457" s="135"/>
    </row>
    <row r="39458" spans="20:21" ht="15" customHeight="1" x14ac:dyDescent="0.25">
      <c r="T39458" s="135"/>
      <c r="U39458" s="135"/>
    </row>
    <row r="39459" spans="20:21" ht="15" customHeight="1" x14ac:dyDescent="0.25">
      <c r="T39459" s="135"/>
      <c r="U39459" s="135"/>
    </row>
    <row r="39460" spans="20:21" ht="15" customHeight="1" x14ac:dyDescent="0.25">
      <c r="T39460" s="135"/>
      <c r="U39460" s="135"/>
    </row>
    <row r="39461" spans="20:21" ht="15" customHeight="1" x14ac:dyDescent="0.25">
      <c r="T39461" s="135"/>
      <c r="U39461" s="135"/>
    </row>
    <row r="39462" spans="20:21" ht="15" customHeight="1" x14ac:dyDescent="0.25">
      <c r="T39462" s="135"/>
      <c r="U39462" s="135"/>
    </row>
    <row r="39463" spans="20:21" ht="15" customHeight="1" x14ac:dyDescent="0.25">
      <c r="T39463" s="135"/>
      <c r="U39463" s="135"/>
    </row>
    <row r="39464" spans="20:21" ht="15" customHeight="1" x14ac:dyDescent="0.25">
      <c r="T39464" s="135"/>
      <c r="U39464" s="135"/>
    </row>
    <row r="39465" spans="20:21" ht="15" customHeight="1" x14ac:dyDescent="0.25">
      <c r="T39465" s="135"/>
      <c r="U39465" s="135"/>
    </row>
    <row r="39466" spans="20:21" ht="15" customHeight="1" x14ac:dyDescent="0.25">
      <c r="T39466" s="135"/>
      <c r="U39466" s="135"/>
    </row>
    <row r="39467" spans="20:21" ht="15" customHeight="1" x14ac:dyDescent="0.25">
      <c r="T39467" s="135"/>
      <c r="U39467" s="135"/>
    </row>
    <row r="39468" spans="20:21" ht="15" customHeight="1" x14ac:dyDescent="0.25">
      <c r="T39468" s="135"/>
      <c r="U39468" s="135"/>
    </row>
    <row r="39469" spans="20:21" ht="15" customHeight="1" x14ac:dyDescent="0.25">
      <c r="T39469" s="135"/>
      <c r="U39469" s="135"/>
    </row>
    <row r="39470" spans="20:21" ht="15" customHeight="1" x14ac:dyDescent="0.25">
      <c r="T39470" s="135"/>
      <c r="U39470" s="135"/>
    </row>
    <row r="39471" spans="20:21" ht="15" customHeight="1" x14ac:dyDescent="0.25">
      <c r="T39471" s="135"/>
      <c r="U39471" s="135"/>
    </row>
    <row r="39472" spans="20:21" ht="15" customHeight="1" x14ac:dyDescent="0.25">
      <c r="T39472" s="135"/>
      <c r="U39472" s="135"/>
    </row>
    <row r="39473" spans="20:21" ht="15" customHeight="1" x14ac:dyDescent="0.25">
      <c r="T39473" s="135"/>
      <c r="U39473" s="135"/>
    </row>
    <row r="39474" spans="20:21" ht="15" customHeight="1" x14ac:dyDescent="0.25">
      <c r="T39474" s="135"/>
      <c r="U39474" s="135"/>
    </row>
    <row r="39475" spans="20:21" ht="15" customHeight="1" x14ac:dyDescent="0.25">
      <c r="T39475" s="135"/>
      <c r="U39475" s="135"/>
    </row>
    <row r="39476" spans="20:21" ht="15" customHeight="1" x14ac:dyDescent="0.25">
      <c r="T39476" s="135"/>
      <c r="U39476" s="135"/>
    </row>
    <row r="39477" spans="20:21" ht="15" customHeight="1" x14ac:dyDescent="0.25">
      <c r="T39477" s="135"/>
      <c r="U39477" s="135"/>
    </row>
    <row r="39478" spans="20:21" ht="15" customHeight="1" x14ac:dyDescent="0.25">
      <c r="T39478" s="135"/>
      <c r="U39478" s="135"/>
    </row>
    <row r="39479" spans="20:21" ht="15" customHeight="1" x14ac:dyDescent="0.25">
      <c r="T39479" s="135"/>
      <c r="U39479" s="135"/>
    </row>
    <row r="39480" spans="20:21" ht="15" customHeight="1" x14ac:dyDescent="0.25">
      <c r="T39480" s="135"/>
      <c r="U39480" s="135"/>
    </row>
    <row r="39481" spans="20:21" ht="15" customHeight="1" x14ac:dyDescent="0.25">
      <c r="T39481" s="135"/>
      <c r="U39481" s="135"/>
    </row>
    <row r="39482" spans="20:21" ht="15" customHeight="1" x14ac:dyDescent="0.25">
      <c r="T39482" s="135"/>
      <c r="U39482" s="135"/>
    </row>
    <row r="39483" spans="20:21" ht="15" customHeight="1" x14ac:dyDescent="0.25">
      <c r="T39483" s="135"/>
      <c r="U39483" s="135"/>
    </row>
    <row r="39484" spans="20:21" ht="15" customHeight="1" x14ac:dyDescent="0.25">
      <c r="T39484" s="135"/>
      <c r="U39484" s="135"/>
    </row>
    <row r="39485" spans="20:21" ht="15" customHeight="1" x14ac:dyDescent="0.25">
      <c r="T39485" s="135"/>
      <c r="U39485" s="135"/>
    </row>
    <row r="39486" spans="20:21" ht="15" customHeight="1" x14ac:dyDescent="0.25">
      <c r="T39486" s="135"/>
      <c r="U39486" s="135"/>
    </row>
    <row r="39487" spans="20:21" ht="15" customHeight="1" x14ac:dyDescent="0.25">
      <c r="T39487" s="135"/>
      <c r="U39487" s="135"/>
    </row>
    <row r="39488" spans="20:21" ht="15" customHeight="1" x14ac:dyDescent="0.25">
      <c r="T39488" s="135"/>
      <c r="U39488" s="135"/>
    </row>
    <row r="39489" spans="20:21" ht="15" customHeight="1" x14ac:dyDescent="0.25">
      <c r="T39489" s="135"/>
      <c r="U39489" s="135"/>
    </row>
    <row r="39490" spans="20:21" ht="15" customHeight="1" x14ac:dyDescent="0.25">
      <c r="T39490" s="135"/>
      <c r="U39490" s="135"/>
    </row>
    <row r="39491" spans="20:21" ht="15" customHeight="1" x14ac:dyDescent="0.25">
      <c r="T39491" s="135"/>
      <c r="U39491" s="135"/>
    </row>
    <row r="39492" spans="20:21" ht="15" customHeight="1" x14ac:dyDescent="0.25">
      <c r="T39492" s="135"/>
      <c r="U39492" s="135"/>
    </row>
    <row r="39493" spans="20:21" ht="15" customHeight="1" x14ac:dyDescent="0.25">
      <c r="T39493" s="135"/>
      <c r="U39493" s="135"/>
    </row>
    <row r="39494" spans="20:21" ht="15" customHeight="1" x14ac:dyDescent="0.25">
      <c r="T39494" s="135"/>
      <c r="U39494" s="135"/>
    </row>
    <row r="39495" spans="20:21" ht="15" customHeight="1" x14ac:dyDescent="0.25">
      <c r="T39495" s="135"/>
      <c r="U39495" s="135"/>
    </row>
    <row r="39496" spans="20:21" ht="15" customHeight="1" x14ac:dyDescent="0.25">
      <c r="T39496" s="135"/>
      <c r="U39496" s="135"/>
    </row>
    <row r="39497" spans="20:21" ht="15" customHeight="1" x14ac:dyDescent="0.25">
      <c r="T39497" s="135"/>
      <c r="U39497" s="135"/>
    </row>
    <row r="39498" spans="20:21" ht="15" customHeight="1" x14ac:dyDescent="0.25">
      <c r="T39498" s="135"/>
      <c r="U39498" s="135"/>
    </row>
    <row r="39499" spans="20:21" ht="15" customHeight="1" x14ac:dyDescent="0.25">
      <c r="T39499" s="135"/>
      <c r="U39499" s="135"/>
    </row>
    <row r="39500" spans="20:21" ht="15" customHeight="1" x14ac:dyDescent="0.25">
      <c r="T39500" s="135"/>
      <c r="U39500" s="135"/>
    </row>
    <row r="39501" spans="20:21" ht="15" customHeight="1" x14ac:dyDescent="0.25">
      <c r="T39501" s="135"/>
      <c r="U39501" s="135"/>
    </row>
    <row r="39502" spans="20:21" ht="15" customHeight="1" x14ac:dyDescent="0.25">
      <c r="T39502" s="135"/>
      <c r="U39502" s="135"/>
    </row>
    <row r="39503" spans="20:21" ht="15" customHeight="1" x14ac:dyDescent="0.25">
      <c r="T39503" s="135"/>
      <c r="U39503" s="135"/>
    </row>
    <row r="39504" spans="20:21" ht="15" customHeight="1" x14ac:dyDescent="0.25">
      <c r="T39504" s="135"/>
      <c r="U39504" s="135"/>
    </row>
    <row r="39505" spans="20:21" ht="15" customHeight="1" x14ac:dyDescent="0.25">
      <c r="T39505" s="135"/>
      <c r="U39505" s="135"/>
    </row>
    <row r="39506" spans="20:21" ht="15" customHeight="1" x14ac:dyDescent="0.25">
      <c r="T39506" s="135"/>
      <c r="U39506" s="135"/>
    </row>
    <row r="39507" spans="20:21" ht="15" customHeight="1" x14ac:dyDescent="0.25">
      <c r="T39507" s="135"/>
      <c r="U39507" s="135"/>
    </row>
    <row r="39508" spans="20:21" ht="15" customHeight="1" x14ac:dyDescent="0.25">
      <c r="T39508" s="135"/>
      <c r="U39508" s="135"/>
    </row>
    <row r="39509" spans="20:21" ht="15" customHeight="1" x14ac:dyDescent="0.25">
      <c r="T39509" s="135"/>
      <c r="U39509" s="135"/>
    </row>
    <row r="39510" spans="20:21" ht="15" customHeight="1" x14ac:dyDescent="0.25">
      <c r="T39510" s="135"/>
      <c r="U39510" s="135"/>
    </row>
    <row r="39511" spans="20:21" ht="15" customHeight="1" x14ac:dyDescent="0.25">
      <c r="T39511" s="135"/>
      <c r="U39511" s="135"/>
    </row>
    <row r="39512" spans="20:21" ht="15" customHeight="1" x14ac:dyDescent="0.25">
      <c r="T39512" s="135"/>
      <c r="U39512" s="135"/>
    </row>
    <row r="39513" spans="20:21" ht="15" customHeight="1" x14ac:dyDescent="0.25">
      <c r="T39513" s="135"/>
      <c r="U39513" s="135"/>
    </row>
    <row r="39514" spans="20:21" ht="15" customHeight="1" x14ac:dyDescent="0.25">
      <c r="T39514" s="135"/>
      <c r="U39514" s="135"/>
    </row>
    <row r="39515" spans="20:21" ht="15" customHeight="1" x14ac:dyDescent="0.25">
      <c r="T39515" s="135"/>
      <c r="U39515" s="135"/>
    </row>
    <row r="39516" spans="20:21" ht="15" customHeight="1" x14ac:dyDescent="0.25">
      <c r="T39516" s="135"/>
      <c r="U39516" s="135"/>
    </row>
    <row r="39517" spans="20:21" ht="15" customHeight="1" x14ac:dyDescent="0.25">
      <c r="T39517" s="135"/>
      <c r="U39517" s="135"/>
    </row>
    <row r="39518" spans="20:21" ht="15" customHeight="1" x14ac:dyDescent="0.25">
      <c r="T39518" s="135"/>
      <c r="U39518" s="135"/>
    </row>
    <row r="39519" spans="20:21" ht="15" customHeight="1" x14ac:dyDescent="0.25">
      <c r="T39519" s="135"/>
      <c r="U39519" s="135"/>
    </row>
    <row r="39520" spans="20:21" ht="15" customHeight="1" x14ac:dyDescent="0.25">
      <c r="T39520" s="135"/>
      <c r="U39520" s="135"/>
    </row>
    <row r="39521" spans="20:21" ht="15" customHeight="1" x14ac:dyDescent="0.25">
      <c r="T39521" s="135"/>
      <c r="U39521" s="135"/>
    </row>
    <row r="39522" spans="20:21" ht="15" customHeight="1" x14ac:dyDescent="0.25">
      <c r="T39522" s="135"/>
      <c r="U39522" s="135"/>
    </row>
    <row r="39523" spans="20:21" ht="15" customHeight="1" x14ac:dyDescent="0.25">
      <c r="T39523" s="135"/>
      <c r="U39523" s="135"/>
    </row>
    <row r="39524" spans="20:21" ht="15" customHeight="1" x14ac:dyDescent="0.25">
      <c r="T39524" s="135"/>
      <c r="U39524" s="135"/>
    </row>
    <row r="39525" spans="20:21" ht="15" customHeight="1" x14ac:dyDescent="0.25">
      <c r="T39525" s="135"/>
      <c r="U39525" s="135"/>
    </row>
    <row r="39526" spans="20:21" ht="15" customHeight="1" x14ac:dyDescent="0.25">
      <c r="T39526" s="135"/>
      <c r="U39526" s="135"/>
    </row>
    <row r="39527" spans="20:21" ht="15" customHeight="1" x14ac:dyDescent="0.25">
      <c r="T39527" s="135"/>
      <c r="U39527" s="135"/>
    </row>
    <row r="39528" spans="20:21" ht="15" customHeight="1" x14ac:dyDescent="0.25">
      <c r="T39528" s="135"/>
      <c r="U39528" s="135"/>
    </row>
    <row r="39529" spans="20:21" ht="15" customHeight="1" x14ac:dyDescent="0.25">
      <c r="T39529" s="135"/>
      <c r="U39529" s="135"/>
    </row>
    <row r="39530" spans="20:21" ht="15" customHeight="1" x14ac:dyDescent="0.25">
      <c r="T39530" s="135"/>
      <c r="U39530" s="135"/>
    </row>
    <row r="39531" spans="20:21" ht="15" customHeight="1" x14ac:dyDescent="0.25">
      <c r="T39531" s="135"/>
      <c r="U39531" s="135"/>
    </row>
    <row r="39532" spans="20:21" ht="15" customHeight="1" x14ac:dyDescent="0.25">
      <c r="T39532" s="135"/>
      <c r="U39532" s="135"/>
    </row>
    <row r="39533" spans="20:21" ht="15" customHeight="1" x14ac:dyDescent="0.25">
      <c r="T39533" s="135"/>
      <c r="U39533" s="135"/>
    </row>
    <row r="39534" spans="20:21" ht="15" customHeight="1" x14ac:dyDescent="0.25">
      <c r="T39534" s="135"/>
      <c r="U39534" s="135"/>
    </row>
    <row r="39535" spans="20:21" ht="15" customHeight="1" x14ac:dyDescent="0.25">
      <c r="T39535" s="135"/>
      <c r="U39535" s="135"/>
    </row>
    <row r="39536" spans="20:21" ht="15" customHeight="1" x14ac:dyDescent="0.25">
      <c r="T39536" s="135"/>
      <c r="U39536" s="135"/>
    </row>
    <row r="39537" spans="20:21" ht="15" customHeight="1" x14ac:dyDescent="0.25">
      <c r="T39537" s="135"/>
      <c r="U39537" s="135"/>
    </row>
    <row r="39538" spans="20:21" ht="15" customHeight="1" x14ac:dyDescent="0.25">
      <c r="T39538" s="135"/>
      <c r="U39538" s="135"/>
    </row>
    <row r="39539" spans="20:21" ht="15" customHeight="1" x14ac:dyDescent="0.25">
      <c r="T39539" s="135"/>
      <c r="U39539" s="135"/>
    </row>
    <row r="39540" spans="20:21" ht="15" customHeight="1" x14ac:dyDescent="0.25">
      <c r="T39540" s="135"/>
      <c r="U39540" s="135"/>
    </row>
    <row r="39541" spans="20:21" ht="15" customHeight="1" x14ac:dyDescent="0.25">
      <c r="T39541" s="135"/>
      <c r="U39541" s="135"/>
    </row>
    <row r="39542" spans="20:21" ht="15" customHeight="1" x14ac:dyDescent="0.25">
      <c r="T39542" s="135"/>
      <c r="U39542" s="135"/>
    </row>
    <row r="39543" spans="20:21" ht="15" customHeight="1" x14ac:dyDescent="0.25">
      <c r="T39543" s="135"/>
      <c r="U39543" s="135"/>
    </row>
    <row r="39544" spans="20:21" ht="15" customHeight="1" x14ac:dyDescent="0.25">
      <c r="T39544" s="135"/>
      <c r="U39544" s="135"/>
    </row>
    <row r="39545" spans="20:21" ht="15" customHeight="1" x14ac:dyDescent="0.25">
      <c r="T39545" s="135"/>
      <c r="U39545" s="135"/>
    </row>
    <row r="39546" spans="20:21" ht="15" customHeight="1" x14ac:dyDescent="0.25">
      <c r="T39546" s="135"/>
      <c r="U39546" s="135"/>
    </row>
    <row r="39547" spans="20:21" ht="15" customHeight="1" x14ac:dyDescent="0.25">
      <c r="T39547" s="135"/>
      <c r="U39547" s="135"/>
    </row>
    <row r="39548" spans="20:21" ht="15" customHeight="1" x14ac:dyDescent="0.25">
      <c r="T39548" s="135"/>
      <c r="U39548" s="135"/>
    </row>
    <row r="39549" spans="20:21" ht="15" customHeight="1" x14ac:dyDescent="0.25">
      <c r="T39549" s="135"/>
      <c r="U39549" s="135"/>
    </row>
    <row r="39550" spans="20:21" ht="15" customHeight="1" x14ac:dyDescent="0.25">
      <c r="T39550" s="135"/>
      <c r="U39550" s="135"/>
    </row>
    <row r="39551" spans="20:21" ht="15" customHeight="1" x14ac:dyDescent="0.25">
      <c r="T39551" s="135"/>
      <c r="U39551" s="135"/>
    </row>
    <row r="39552" spans="20:21" ht="15" customHeight="1" x14ac:dyDescent="0.25">
      <c r="T39552" s="135"/>
      <c r="U39552" s="135"/>
    </row>
    <row r="39553" spans="20:21" ht="15" customHeight="1" x14ac:dyDescent="0.25">
      <c r="T39553" s="135"/>
      <c r="U39553" s="135"/>
    </row>
    <row r="39554" spans="20:21" ht="15" customHeight="1" x14ac:dyDescent="0.25">
      <c r="T39554" s="135"/>
      <c r="U39554" s="135"/>
    </row>
    <row r="39555" spans="20:21" ht="15" customHeight="1" x14ac:dyDescent="0.25">
      <c r="T39555" s="135"/>
      <c r="U39555" s="135"/>
    </row>
    <row r="39556" spans="20:21" ht="15" customHeight="1" x14ac:dyDescent="0.25">
      <c r="T39556" s="135"/>
      <c r="U39556" s="135"/>
    </row>
    <row r="39557" spans="20:21" ht="15" customHeight="1" x14ac:dyDescent="0.25">
      <c r="T39557" s="135"/>
      <c r="U39557" s="135"/>
    </row>
    <row r="39558" spans="20:21" ht="15" customHeight="1" x14ac:dyDescent="0.25">
      <c r="T39558" s="135"/>
      <c r="U39558" s="135"/>
    </row>
    <row r="39559" spans="20:21" ht="15" customHeight="1" x14ac:dyDescent="0.25">
      <c r="T39559" s="135"/>
      <c r="U39559" s="135"/>
    </row>
    <row r="39560" spans="20:21" ht="15" customHeight="1" x14ac:dyDescent="0.25">
      <c r="T39560" s="135"/>
      <c r="U39560" s="135"/>
    </row>
    <row r="39561" spans="20:21" ht="15" customHeight="1" x14ac:dyDescent="0.25">
      <c r="T39561" s="135"/>
      <c r="U39561" s="135"/>
    </row>
    <row r="39562" spans="20:21" ht="15" customHeight="1" x14ac:dyDescent="0.25">
      <c r="T39562" s="135"/>
      <c r="U39562" s="135"/>
    </row>
    <row r="39563" spans="20:21" ht="15" customHeight="1" x14ac:dyDescent="0.25">
      <c r="T39563" s="135"/>
      <c r="U39563" s="135"/>
    </row>
    <row r="39564" spans="20:21" ht="15" customHeight="1" x14ac:dyDescent="0.25">
      <c r="T39564" s="135"/>
      <c r="U39564" s="135"/>
    </row>
    <row r="39565" spans="20:21" ht="15" customHeight="1" x14ac:dyDescent="0.25">
      <c r="T39565" s="135"/>
      <c r="U39565" s="135"/>
    </row>
    <row r="39566" spans="20:21" ht="15" customHeight="1" x14ac:dyDescent="0.25">
      <c r="T39566" s="135"/>
      <c r="U39566" s="135"/>
    </row>
    <row r="39567" spans="20:21" ht="15" customHeight="1" x14ac:dyDescent="0.25">
      <c r="T39567" s="135"/>
      <c r="U39567" s="135"/>
    </row>
    <row r="39568" spans="20:21" ht="15" customHeight="1" x14ac:dyDescent="0.25">
      <c r="T39568" s="135"/>
      <c r="U39568" s="135"/>
    </row>
    <row r="39569" spans="20:21" ht="15" customHeight="1" x14ac:dyDescent="0.25">
      <c r="T39569" s="135"/>
      <c r="U39569" s="135"/>
    </row>
    <row r="39570" spans="20:21" ht="15" customHeight="1" x14ac:dyDescent="0.25">
      <c r="T39570" s="135"/>
      <c r="U39570" s="135"/>
    </row>
    <row r="39571" spans="20:21" ht="15" customHeight="1" x14ac:dyDescent="0.25">
      <c r="T39571" s="135"/>
      <c r="U39571" s="135"/>
    </row>
    <row r="39572" spans="20:21" ht="15" customHeight="1" x14ac:dyDescent="0.25">
      <c r="T39572" s="135"/>
      <c r="U39572" s="135"/>
    </row>
    <row r="39573" spans="20:21" ht="15" customHeight="1" x14ac:dyDescent="0.25">
      <c r="T39573" s="135"/>
      <c r="U39573" s="135"/>
    </row>
    <row r="39574" spans="20:21" ht="15" customHeight="1" x14ac:dyDescent="0.25">
      <c r="T39574" s="135"/>
      <c r="U39574" s="135"/>
    </row>
    <row r="39575" spans="20:21" ht="15" customHeight="1" x14ac:dyDescent="0.25">
      <c r="T39575" s="135"/>
      <c r="U39575" s="135"/>
    </row>
    <row r="39576" spans="20:21" ht="15" customHeight="1" x14ac:dyDescent="0.25">
      <c r="T39576" s="135"/>
      <c r="U39576" s="135"/>
    </row>
    <row r="39577" spans="20:21" ht="15" customHeight="1" x14ac:dyDescent="0.25">
      <c r="T39577" s="135"/>
      <c r="U39577" s="135"/>
    </row>
    <row r="39578" spans="20:21" ht="15" customHeight="1" x14ac:dyDescent="0.25">
      <c r="T39578" s="135"/>
      <c r="U39578" s="135"/>
    </row>
    <row r="39579" spans="20:21" ht="15" customHeight="1" x14ac:dyDescent="0.25">
      <c r="T39579" s="135"/>
      <c r="U39579" s="135"/>
    </row>
    <row r="39580" spans="20:21" ht="15" customHeight="1" x14ac:dyDescent="0.25">
      <c r="T39580" s="135"/>
      <c r="U39580" s="135"/>
    </row>
    <row r="39581" spans="20:21" ht="15" customHeight="1" x14ac:dyDescent="0.25">
      <c r="T39581" s="135"/>
      <c r="U39581" s="135"/>
    </row>
    <row r="39582" spans="20:21" ht="15" customHeight="1" x14ac:dyDescent="0.25">
      <c r="T39582" s="135"/>
      <c r="U39582" s="135"/>
    </row>
    <row r="39583" spans="20:21" ht="15" customHeight="1" x14ac:dyDescent="0.25">
      <c r="T39583" s="135"/>
      <c r="U39583" s="135"/>
    </row>
    <row r="39584" spans="20:21" ht="15" customHeight="1" x14ac:dyDescent="0.25">
      <c r="T39584" s="135"/>
      <c r="U39584" s="135"/>
    </row>
    <row r="39585" spans="20:21" ht="15" customHeight="1" x14ac:dyDescent="0.25">
      <c r="T39585" s="135"/>
      <c r="U39585" s="135"/>
    </row>
    <row r="39586" spans="20:21" ht="15" customHeight="1" x14ac:dyDescent="0.25">
      <c r="T39586" s="135"/>
      <c r="U39586" s="135"/>
    </row>
    <row r="39587" spans="20:21" ht="15" customHeight="1" x14ac:dyDescent="0.25">
      <c r="T39587" s="135"/>
      <c r="U39587" s="135"/>
    </row>
    <row r="39588" spans="20:21" ht="15" customHeight="1" x14ac:dyDescent="0.25">
      <c r="T39588" s="135"/>
      <c r="U39588" s="135"/>
    </row>
    <row r="39589" spans="20:21" ht="15" customHeight="1" x14ac:dyDescent="0.25">
      <c r="T39589" s="135"/>
      <c r="U39589" s="135"/>
    </row>
    <row r="39590" spans="20:21" ht="15" customHeight="1" x14ac:dyDescent="0.25">
      <c r="T39590" s="135"/>
      <c r="U39590" s="135"/>
    </row>
    <row r="39591" spans="20:21" ht="15" customHeight="1" x14ac:dyDescent="0.25">
      <c r="T39591" s="135"/>
      <c r="U39591" s="135"/>
    </row>
    <row r="39592" spans="20:21" ht="15" customHeight="1" x14ac:dyDescent="0.25">
      <c r="T39592" s="135"/>
      <c r="U39592" s="135"/>
    </row>
    <row r="39593" spans="20:21" ht="15" customHeight="1" x14ac:dyDescent="0.25">
      <c r="T39593" s="135"/>
      <c r="U39593" s="135"/>
    </row>
    <row r="39594" spans="20:21" ht="15" customHeight="1" x14ac:dyDescent="0.25">
      <c r="T39594" s="135"/>
      <c r="U39594" s="135"/>
    </row>
    <row r="39595" spans="20:21" ht="15" customHeight="1" x14ac:dyDescent="0.25">
      <c r="T39595" s="135"/>
      <c r="U39595" s="135"/>
    </row>
    <row r="39596" spans="20:21" ht="15" customHeight="1" x14ac:dyDescent="0.25">
      <c r="T39596" s="135"/>
      <c r="U39596" s="135"/>
    </row>
    <row r="39597" spans="20:21" ht="15" customHeight="1" x14ac:dyDescent="0.25">
      <c r="T39597" s="135"/>
      <c r="U39597" s="135"/>
    </row>
    <row r="39598" spans="20:21" ht="15" customHeight="1" x14ac:dyDescent="0.25">
      <c r="T39598" s="135"/>
      <c r="U39598" s="135"/>
    </row>
    <row r="39599" spans="20:21" ht="15" customHeight="1" x14ac:dyDescent="0.25">
      <c r="T39599" s="135"/>
      <c r="U39599" s="135"/>
    </row>
    <row r="39600" spans="20:21" ht="15" customHeight="1" x14ac:dyDescent="0.25">
      <c r="T39600" s="135"/>
      <c r="U39600" s="135"/>
    </row>
    <row r="39601" spans="20:21" ht="15" customHeight="1" x14ac:dyDescent="0.25">
      <c r="T39601" s="135"/>
      <c r="U39601" s="135"/>
    </row>
    <row r="39602" spans="20:21" ht="15" customHeight="1" x14ac:dyDescent="0.25">
      <c r="T39602" s="135"/>
      <c r="U39602" s="135"/>
    </row>
    <row r="39603" spans="20:21" ht="15" customHeight="1" x14ac:dyDescent="0.25">
      <c r="T39603" s="135"/>
      <c r="U39603" s="135"/>
    </row>
    <row r="39604" spans="20:21" ht="15" customHeight="1" x14ac:dyDescent="0.25">
      <c r="T39604" s="135"/>
      <c r="U39604" s="135"/>
    </row>
    <row r="39605" spans="20:21" ht="15" customHeight="1" x14ac:dyDescent="0.25">
      <c r="T39605" s="135"/>
      <c r="U39605" s="135"/>
    </row>
    <row r="39606" spans="20:21" ht="15" customHeight="1" x14ac:dyDescent="0.25">
      <c r="T39606" s="135"/>
      <c r="U39606" s="135"/>
    </row>
    <row r="39607" spans="20:21" ht="15" customHeight="1" x14ac:dyDescent="0.25">
      <c r="T39607" s="135"/>
      <c r="U39607" s="135"/>
    </row>
    <row r="39608" spans="20:21" ht="15" customHeight="1" x14ac:dyDescent="0.25">
      <c r="T39608" s="135"/>
      <c r="U39608" s="135"/>
    </row>
    <row r="39609" spans="20:21" ht="15" customHeight="1" x14ac:dyDescent="0.25">
      <c r="T39609" s="135"/>
      <c r="U39609" s="135"/>
    </row>
    <row r="39610" spans="20:21" ht="15" customHeight="1" x14ac:dyDescent="0.25">
      <c r="T39610" s="135"/>
      <c r="U39610" s="135"/>
    </row>
    <row r="39611" spans="20:21" ht="15" customHeight="1" x14ac:dyDescent="0.25">
      <c r="T39611" s="135"/>
      <c r="U39611" s="135"/>
    </row>
    <row r="39612" spans="20:21" ht="15" customHeight="1" x14ac:dyDescent="0.25">
      <c r="T39612" s="135"/>
      <c r="U39612" s="135"/>
    </row>
    <row r="39613" spans="20:21" ht="15" customHeight="1" x14ac:dyDescent="0.25">
      <c r="T39613" s="135"/>
      <c r="U39613" s="135"/>
    </row>
    <row r="39614" spans="20:21" ht="15" customHeight="1" x14ac:dyDescent="0.25">
      <c r="T39614" s="135"/>
      <c r="U39614" s="135"/>
    </row>
    <row r="39615" spans="20:21" ht="15" customHeight="1" x14ac:dyDescent="0.25">
      <c r="T39615" s="135"/>
      <c r="U39615" s="135"/>
    </row>
    <row r="39616" spans="20:21" ht="15" customHeight="1" x14ac:dyDescent="0.25">
      <c r="T39616" s="135"/>
      <c r="U39616" s="135"/>
    </row>
    <row r="39617" spans="20:21" ht="15" customHeight="1" x14ac:dyDescent="0.25">
      <c r="T39617" s="135"/>
      <c r="U39617" s="135"/>
    </row>
    <row r="39618" spans="20:21" ht="15" customHeight="1" x14ac:dyDescent="0.25">
      <c r="T39618" s="135"/>
      <c r="U39618" s="135"/>
    </row>
    <row r="39619" spans="20:21" ht="15" customHeight="1" x14ac:dyDescent="0.25">
      <c r="T39619" s="135"/>
      <c r="U39619" s="135"/>
    </row>
    <row r="39620" spans="20:21" ht="15" customHeight="1" x14ac:dyDescent="0.25">
      <c r="T39620" s="135"/>
      <c r="U39620" s="135"/>
    </row>
    <row r="39621" spans="20:21" ht="15" customHeight="1" x14ac:dyDescent="0.25">
      <c r="T39621" s="135"/>
      <c r="U39621" s="135"/>
    </row>
    <row r="39622" spans="20:21" ht="15" customHeight="1" x14ac:dyDescent="0.25">
      <c r="T39622" s="135"/>
      <c r="U39622" s="135"/>
    </row>
    <row r="39623" spans="20:21" ht="15" customHeight="1" x14ac:dyDescent="0.25">
      <c r="T39623" s="135"/>
      <c r="U39623" s="135"/>
    </row>
    <row r="39624" spans="20:21" ht="15" customHeight="1" x14ac:dyDescent="0.25">
      <c r="T39624" s="135"/>
      <c r="U39624" s="135"/>
    </row>
    <row r="39625" spans="20:21" ht="15" customHeight="1" x14ac:dyDescent="0.25">
      <c r="T39625" s="135"/>
      <c r="U39625" s="135"/>
    </row>
    <row r="39626" spans="20:21" ht="15" customHeight="1" x14ac:dyDescent="0.25">
      <c r="T39626" s="135"/>
      <c r="U39626" s="135"/>
    </row>
    <row r="39627" spans="20:21" ht="15" customHeight="1" x14ac:dyDescent="0.25">
      <c r="T39627" s="135"/>
      <c r="U39627" s="135"/>
    </row>
    <row r="39628" spans="20:21" ht="15" customHeight="1" x14ac:dyDescent="0.25">
      <c r="T39628" s="135"/>
      <c r="U39628" s="135"/>
    </row>
    <row r="39629" spans="20:21" ht="15" customHeight="1" x14ac:dyDescent="0.25">
      <c r="T39629" s="135"/>
      <c r="U39629" s="135"/>
    </row>
    <row r="39630" spans="20:21" ht="15" customHeight="1" x14ac:dyDescent="0.25">
      <c r="T39630" s="135"/>
      <c r="U39630" s="135"/>
    </row>
    <row r="39631" spans="20:21" ht="15" customHeight="1" x14ac:dyDescent="0.25">
      <c r="T39631" s="135"/>
      <c r="U39631" s="135"/>
    </row>
    <row r="39632" spans="20:21" ht="15" customHeight="1" x14ac:dyDescent="0.25">
      <c r="T39632" s="135"/>
      <c r="U39632" s="135"/>
    </row>
    <row r="39633" spans="20:21" ht="15" customHeight="1" x14ac:dyDescent="0.25">
      <c r="T39633" s="135"/>
      <c r="U39633" s="135"/>
    </row>
    <row r="39634" spans="20:21" ht="15" customHeight="1" x14ac:dyDescent="0.25">
      <c r="T39634" s="135"/>
      <c r="U39634" s="135"/>
    </row>
    <row r="39635" spans="20:21" ht="15" customHeight="1" x14ac:dyDescent="0.25">
      <c r="T39635" s="135"/>
      <c r="U39635" s="135"/>
    </row>
    <row r="39636" spans="20:21" ht="15" customHeight="1" x14ac:dyDescent="0.25">
      <c r="T39636" s="135"/>
      <c r="U39636" s="135"/>
    </row>
    <row r="39637" spans="20:21" ht="15" customHeight="1" x14ac:dyDescent="0.25">
      <c r="T39637" s="135"/>
      <c r="U39637" s="135"/>
    </row>
    <row r="39638" spans="20:21" ht="15" customHeight="1" x14ac:dyDescent="0.25">
      <c r="T39638" s="135"/>
      <c r="U39638" s="135"/>
    </row>
    <row r="39639" spans="20:21" ht="15" customHeight="1" x14ac:dyDescent="0.25">
      <c r="T39639" s="135"/>
      <c r="U39639" s="135"/>
    </row>
    <row r="39640" spans="20:21" ht="15" customHeight="1" x14ac:dyDescent="0.25">
      <c r="T39640" s="135"/>
      <c r="U39640" s="135"/>
    </row>
    <row r="39641" spans="20:21" ht="15" customHeight="1" x14ac:dyDescent="0.25">
      <c r="T39641" s="135"/>
      <c r="U39641" s="135"/>
    </row>
    <row r="39642" spans="20:21" ht="15" customHeight="1" x14ac:dyDescent="0.25">
      <c r="T39642" s="135"/>
      <c r="U39642" s="135"/>
    </row>
    <row r="39643" spans="20:21" ht="15" customHeight="1" x14ac:dyDescent="0.25">
      <c r="T39643" s="135"/>
      <c r="U39643" s="135"/>
    </row>
    <row r="39644" spans="20:21" ht="15" customHeight="1" x14ac:dyDescent="0.25">
      <c r="T39644" s="135"/>
      <c r="U39644" s="135"/>
    </row>
    <row r="39645" spans="20:21" ht="15" customHeight="1" x14ac:dyDescent="0.25">
      <c r="T39645" s="135"/>
      <c r="U39645" s="135"/>
    </row>
    <row r="39646" spans="20:21" ht="15" customHeight="1" x14ac:dyDescent="0.25">
      <c r="T39646" s="135"/>
      <c r="U39646" s="135"/>
    </row>
    <row r="39647" spans="20:21" ht="15" customHeight="1" x14ac:dyDescent="0.25">
      <c r="T39647" s="135"/>
      <c r="U39647" s="135"/>
    </row>
    <row r="39648" spans="20:21" ht="15" customHeight="1" x14ac:dyDescent="0.25">
      <c r="T39648" s="135"/>
      <c r="U39648" s="135"/>
    </row>
    <row r="39649" spans="20:21" ht="15" customHeight="1" x14ac:dyDescent="0.25">
      <c r="T39649" s="135"/>
      <c r="U39649" s="135"/>
    </row>
    <row r="39650" spans="20:21" ht="15" customHeight="1" x14ac:dyDescent="0.25">
      <c r="T39650" s="135"/>
      <c r="U39650" s="135"/>
    </row>
    <row r="39651" spans="20:21" ht="15" customHeight="1" x14ac:dyDescent="0.25">
      <c r="T39651" s="135"/>
      <c r="U39651" s="135"/>
    </row>
    <row r="39652" spans="20:21" ht="15" customHeight="1" x14ac:dyDescent="0.25">
      <c r="T39652" s="135"/>
      <c r="U39652" s="135"/>
    </row>
    <row r="39653" spans="20:21" ht="15" customHeight="1" x14ac:dyDescent="0.25">
      <c r="T39653" s="135"/>
      <c r="U39653" s="135"/>
    </row>
    <row r="39654" spans="20:21" ht="15" customHeight="1" x14ac:dyDescent="0.25">
      <c r="T39654" s="135"/>
      <c r="U39654" s="135"/>
    </row>
    <row r="39655" spans="20:21" ht="15" customHeight="1" x14ac:dyDescent="0.25">
      <c r="T39655" s="135"/>
      <c r="U39655" s="135"/>
    </row>
    <row r="39656" spans="20:21" ht="15" customHeight="1" x14ac:dyDescent="0.25">
      <c r="T39656" s="135"/>
      <c r="U39656" s="135"/>
    </row>
    <row r="39657" spans="20:21" ht="15" customHeight="1" x14ac:dyDescent="0.25">
      <c r="T39657" s="135"/>
      <c r="U39657" s="135"/>
    </row>
    <row r="39658" spans="20:21" ht="15" customHeight="1" x14ac:dyDescent="0.25">
      <c r="T39658" s="135"/>
      <c r="U39658" s="135"/>
    </row>
    <row r="39659" spans="20:21" ht="15" customHeight="1" x14ac:dyDescent="0.25">
      <c r="T39659" s="135"/>
      <c r="U39659" s="135"/>
    </row>
    <row r="39660" spans="20:21" ht="15" customHeight="1" x14ac:dyDescent="0.25">
      <c r="T39660" s="135"/>
      <c r="U39660" s="135"/>
    </row>
    <row r="39661" spans="20:21" ht="15" customHeight="1" x14ac:dyDescent="0.25">
      <c r="T39661" s="135"/>
      <c r="U39661" s="135"/>
    </row>
    <row r="39662" spans="20:21" ht="15" customHeight="1" x14ac:dyDescent="0.25">
      <c r="T39662" s="135"/>
      <c r="U39662" s="135"/>
    </row>
    <row r="39663" spans="20:21" ht="15" customHeight="1" x14ac:dyDescent="0.25">
      <c r="T39663" s="135"/>
      <c r="U39663" s="135"/>
    </row>
    <row r="39664" spans="20:21" ht="15" customHeight="1" x14ac:dyDescent="0.25">
      <c r="T39664" s="135"/>
      <c r="U39664" s="135"/>
    </row>
    <row r="39665" spans="20:21" ht="15" customHeight="1" x14ac:dyDescent="0.25">
      <c r="T39665" s="135"/>
      <c r="U39665" s="135"/>
    </row>
    <row r="39666" spans="20:21" ht="15" customHeight="1" x14ac:dyDescent="0.25">
      <c r="T39666" s="135"/>
      <c r="U39666" s="135"/>
    </row>
    <row r="39667" spans="20:21" ht="15" customHeight="1" x14ac:dyDescent="0.25">
      <c r="T39667" s="135"/>
      <c r="U39667" s="135"/>
    </row>
    <row r="39668" spans="20:21" ht="15" customHeight="1" x14ac:dyDescent="0.25">
      <c r="T39668" s="135"/>
      <c r="U39668" s="135"/>
    </row>
    <row r="39669" spans="20:21" ht="15" customHeight="1" x14ac:dyDescent="0.25">
      <c r="T39669" s="135"/>
      <c r="U39669" s="135"/>
    </row>
    <row r="39670" spans="20:21" ht="15" customHeight="1" x14ac:dyDescent="0.25">
      <c r="T39670" s="135"/>
      <c r="U39670" s="135"/>
    </row>
    <row r="39671" spans="20:21" ht="15" customHeight="1" x14ac:dyDescent="0.25">
      <c r="T39671" s="135"/>
      <c r="U39671" s="135"/>
    </row>
    <row r="39672" spans="20:21" ht="15" customHeight="1" x14ac:dyDescent="0.25">
      <c r="T39672" s="135"/>
      <c r="U39672" s="135"/>
    </row>
    <row r="39673" spans="20:21" ht="15" customHeight="1" x14ac:dyDescent="0.25">
      <c r="T39673" s="135"/>
      <c r="U39673" s="135"/>
    </row>
    <row r="39674" spans="20:21" ht="15" customHeight="1" x14ac:dyDescent="0.25">
      <c r="T39674" s="135"/>
      <c r="U39674" s="135"/>
    </row>
    <row r="39675" spans="20:21" ht="15" customHeight="1" x14ac:dyDescent="0.25">
      <c r="T39675" s="135"/>
      <c r="U39675" s="135"/>
    </row>
    <row r="39676" spans="20:21" ht="15" customHeight="1" x14ac:dyDescent="0.25">
      <c r="T39676" s="135"/>
      <c r="U39676" s="135"/>
    </row>
    <row r="39677" spans="20:21" ht="15" customHeight="1" x14ac:dyDescent="0.25">
      <c r="T39677" s="135"/>
      <c r="U39677" s="135"/>
    </row>
    <row r="39678" spans="20:21" ht="15" customHeight="1" x14ac:dyDescent="0.25">
      <c r="T39678" s="135"/>
      <c r="U39678" s="135"/>
    </row>
    <row r="39679" spans="20:21" ht="15" customHeight="1" x14ac:dyDescent="0.25">
      <c r="T39679" s="135"/>
      <c r="U39679" s="135"/>
    </row>
    <row r="39680" spans="20:21" ht="15" customHeight="1" x14ac:dyDescent="0.25">
      <c r="T39680" s="135"/>
      <c r="U39680" s="135"/>
    </row>
    <row r="39681" spans="20:21" ht="15" customHeight="1" x14ac:dyDescent="0.25">
      <c r="T39681" s="135"/>
      <c r="U39681" s="135"/>
    </row>
    <row r="39682" spans="20:21" ht="15" customHeight="1" x14ac:dyDescent="0.25">
      <c r="T39682" s="135"/>
      <c r="U39682" s="135"/>
    </row>
    <row r="39683" spans="20:21" ht="15" customHeight="1" x14ac:dyDescent="0.25">
      <c r="T39683" s="135"/>
      <c r="U39683" s="135"/>
    </row>
    <row r="39684" spans="20:21" ht="15" customHeight="1" x14ac:dyDescent="0.25">
      <c r="T39684" s="135"/>
      <c r="U39684" s="135"/>
    </row>
    <row r="39685" spans="20:21" ht="15" customHeight="1" x14ac:dyDescent="0.25">
      <c r="T39685" s="135"/>
      <c r="U39685" s="135"/>
    </row>
    <row r="39686" spans="20:21" ht="15" customHeight="1" x14ac:dyDescent="0.25">
      <c r="T39686" s="135"/>
      <c r="U39686" s="135"/>
    </row>
    <row r="39687" spans="20:21" ht="15" customHeight="1" x14ac:dyDescent="0.25">
      <c r="T39687" s="135"/>
      <c r="U39687" s="135"/>
    </row>
    <row r="39688" spans="20:21" ht="15" customHeight="1" x14ac:dyDescent="0.25">
      <c r="T39688" s="135"/>
      <c r="U39688" s="135"/>
    </row>
    <row r="39689" spans="20:21" ht="15" customHeight="1" x14ac:dyDescent="0.25">
      <c r="T39689" s="135"/>
      <c r="U39689" s="135"/>
    </row>
    <row r="39690" spans="20:21" ht="15" customHeight="1" x14ac:dyDescent="0.25">
      <c r="T39690" s="135"/>
      <c r="U39690" s="135"/>
    </row>
    <row r="39691" spans="20:21" ht="15" customHeight="1" x14ac:dyDescent="0.25">
      <c r="T39691" s="135"/>
      <c r="U39691" s="135"/>
    </row>
    <row r="39692" spans="20:21" ht="15" customHeight="1" x14ac:dyDescent="0.25">
      <c r="T39692" s="135"/>
      <c r="U39692" s="135"/>
    </row>
    <row r="39693" spans="20:21" ht="15" customHeight="1" x14ac:dyDescent="0.25">
      <c r="T39693" s="135"/>
      <c r="U39693" s="135"/>
    </row>
    <row r="39694" spans="20:21" ht="15" customHeight="1" x14ac:dyDescent="0.25">
      <c r="T39694" s="135"/>
      <c r="U39694" s="135"/>
    </row>
    <row r="39695" spans="20:21" ht="15" customHeight="1" x14ac:dyDescent="0.25">
      <c r="T39695" s="135"/>
      <c r="U39695" s="135"/>
    </row>
    <row r="39696" spans="20:21" ht="15" customHeight="1" x14ac:dyDescent="0.25">
      <c r="T39696" s="135"/>
      <c r="U39696" s="135"/>
    </row>
    <row r="39697" spans="20:21" ht="15" customHeight="1" x14ac:dyDescent="0.25">
      <c r="T39697" s="135"/>
      <c r="U39697" s="135"/>
    </row>
    <row r="39698" spans="20:21" ht="15" customHeight="1" x14ac:dyDescent="0.25">
      <c r="T39698" s="135"/>
      <c r="U39698" s="135"/>
    </row>
    <row r="39699" spans="20:21" ht="15" customHeight="1" x14ac:dyDescent="0.25">
      <c r="T39699" s="135"/>
      <c r="U39699" s="135"/>
    </row>
    <row r="39700" spans="20:21" ht="15" customHeight="1" x14ac:dyDescent="0.25">
      <c r="T39700" s="135"/>
      <c r="U39700" s="135"/>
    </row>
    <row r="39701" spans="20:21" ht="15" customHeight="1" x14ac:dyDescent="0.25">
      <c r="T39701" s="135"/>
      <c r="U39701" s="135"/>
    </row>
    <row r="39702" spans="20:21" ht="15" customHeight="1" x14ac:dyDescent="0.25">
      <c r="T39702" s="135"/>
      <c r="U39702" s="135"/>
    </row>
    <row r="39703" spans="20:21" ht="15" customHeight="1" x14ac:dyDescent="0.25">
      <c r="T39703" s="135"/>
      <c r="U39703" s="135"/>
    </row>
    <row r="39704" spans="20:21" ht="15" customHeight="1" x14ac:dyDescent="0.25">
      <c r="T39704" s="135"/>
      <c r="U39704" s="135"/>
    </row>
    <row r="39705" spans="20:21" ht="15" customHeight="1" x14ac:dyDescent="0.25">
      <c r="T39705" s="135"/>
      <c r="U39705" s="135"/>
    </row>
    <row r="39706" spans="20:21" ht="15" customHeight="1" x14ac:dyDescent="0.25">
      <c r="T39706" s="135"/>
      <c r="U39706" s="135"/>
    </row>
    <row r="39707" spans="20:21" ht="15" customHeight="1" x14ac:dyDescent="0.25">
      <c r="T39707" s="135"/>
      <c r="U39707" s="135"/>
    </row>
    <row r="39708" spans="20:21" ht="15" customHeight="1" x14ac:dyDescent="0.25">
      <c r="T39708" s="135"/>
      <c r="U39708" s="135"/>
    </row>
    <row r="39709" spans="20:21" ht="15" customHeight="1" x14ac:dyDescent="0.25">
      <c r="T39709" s="135"/>
      <c r="U39709" s="135"/>
    </row>
    <row r="39710" spans="20:21" ht="15" customHeight="1" x14ac:dyDescent="0.25">
      <c r="T39710" s="135"/>
      <c r="U39710" s="135"/>
    </row>
    <row r="39711" spans="20:21" ht="15" customHeight="1" x14ac:dyDescent="0.25">
      <c r="T39711" s="135"/>
      <c r="U39711" s="135"/>
    </row>
    <row r="39712" spans="20:21" ht="15" customHeight="1" x14ac:dyDescent="0.25">
      <c r="T39712" s="135"/>
      <c r="U39712" s="135"/>
    </row>
    <row r="39713" spans="20:21" ht="15" customHeight="1" x14ac:dyDescent="0.25">
      <c r="T39713" s="135"/>
      <c r="U39713" s="135"/>
    </row>
    <row r="39714" spans="20:21" ht="15" customHeight="1" x14ac:dyDescent="0.25">
      <c r="T39714" s="135"/>
      <c r="U39714" s="135"/>
    </row>
    <row r="39715" spans="20:21" ht="15" customHeight="1" x14ac:dyDescent="0.25">
      <c r="T39715" s="135"/>
      <c r="U39715" s="135"/>
    </row>
    <row r="39716" spans="20:21" ht="15" customHeight="1" x14ac:dyDescent="0.25">
      <c r="T39716" s="135"/>
      <c r="U39716" s="135"/>
    </row>
    <row r="39717" spans="20:21" ht="15" customHeight="1" x14ac:dyDescent="0.25">
      <c r="T39717" s="135"/>
      <c r="U39717" s="135"/>
    </row>
    <row r="39718" spans="20:21" ht="15" customHeight="1" x14ac:dyDescent="0.25">
      <c r="T39718" s="135"/>
      <c r="U39718" s="135"/>
    </row>
    <row r="39719" spans="20:21" ht="15" customHeight="1" x14ac:dyDescent="0.25">
      <c r="T39719" s="135"/>
      <c r="U39719" s="135"/>
    </row>
    <row r="39720" spans="20:21" ht="15" customHeight="1" x14ac:dyDescent="0.25">
      <c r="T39720" s="135"/>
      <c r="U39720" s="135"/>
    </row>
    <row r="39721" spans="20:21" ht="15" customHeight="1" x14ac:dyDescent="0.25">
      <c r="T39721" s="135"/>
      <c r="U39721" s="135"/>
    </row>
    <row r="39722" spans="20:21" ht="15" customHeight="1" x14ac:dyDescent="0.25">
      <c r="T39722" s="135"/>
      <c r="U39722" s="135"/>
    </row>
    <row r="39723" spans="20:21" ht="15" customHeight="1" x14ac:dyDescent="0.25">
      <c r="T39723" s="135"/>
      <c r="U39723" s="135"/>
    </row>
    <row r="39724" spans="20:21" ht="15" customHeight="1" x14ac:dyDescent="0.25">
      <c r="T39724" s="135"/>
      <c r="U39724" s="135"/>
    </row>
    <row r="39725" spans="20:21" ht="15" customHeight="1" x14ac:dyDescent="0.25">
      <c r="T39725" s="135"/>
      <c r="U39725" s="135"/>
    </row>
    <row r="39726" spans="20:21" ht="15" customHeight="1" x14ac:dyDescent="0.25">
      <c r="T39726" s="135"/>
      <c r="U39726" s="135"/>
    </row>
    <row r="39727" spans="20:21" ht="15" customHeight="1" x14ac:dyDescent="0.25">
      <c r="T39727" s="135"/>
      <c r="U39727" s="135"/>
    </row>
    <row r="39728" spans="20:21" ht="15" customHeight="1" x14ac:dyDescent="0.25">
      <c r="T39728" s="135"/>
      <c r="U39728" s="135"/>
    </row>
    <row r="39729" spans="20:21" ht="15" customHeight="1" x14ac:dyDescent="0.25">
      <c r="T39729" s="135"/>
      <c r="U39729" s="135"/>
    </row>
    <row r="39730" spans="20:21" ht="15" customHeight="1" x14ac:dyDescent="0.25">
      <c r="T39730" s="135"/>
      <c r="U39730" s="135"/>
    </row>
    <row r="39731" spans="20:21" ht="15" customHeight="1" x14ac:dyDescent="0.25">
      <c r="T39731" s="135"/>
      <c r="U39731" s="135"/>
    </row>
    <row r="39732" spans="20:21" ht="15" customHeight="1" x14ac:dyDescent="0.25">
      <c r="T39732" s="135"/>
      <c r="U39732" s="135"/>
    </row>
    <row r="39733" spans="20:21" ht="15" customHeight="1" x14ac:dyDescent="0.25">
      <c r="T39733" s="135"/>
      <c r="U39733" s="135"/>
    </row>
    <row r="39734" spans="20:21" ht="15" customHeight="1" x14ac:dyDescent="0.25">
      <c r="T39734" s="135"/>
      <c r="U39734" s="135"/>
    </row>
    <row r="39735" spans="20:21" ht="15" customHeight="1" x14ac:dyDescent="0.25">
      <c r="T39735" s="135"/>
      <c r="U39735" s="135"/>
    </row>
    <row r="39736" spans="20:21" ht="15" customHeight="1" x14ac:dyDescent="0.25">
      <c r="T39736" s="135"/>
      <c r="U39736" s="135"/>
    </row>
    <row r="39737" spans="20:21" ht="15" customHeight="1" x14ac:dyDescent="0.25">
      <c r="T39737" s="135"/>
      <c r="U39737" s="135"/>
    </row>
    <row r="39738" spans="20:21" ht="15" customHeight="1" x14ac:dyDescent="0.25">
      <c r="T39738" s="135"/>
      <c r="U39738" s="135"/>
    </row>
    <row r="39739" spans="20:21" ht="15" customHeight="1" x14ac:dyDescent="0.25">
      <c r="T39739" s="135"/>
      <c r="U39739" s="135"/>
    </row>
    <row r="39740" spans="20:21" ht="15" customHeight="1" x14ac:dyDescent="0.25">
      <c r="T39740" s="135"/>
      <c r="U39740" s="135"/>
    </row>
    <row r="39741" spans="20:21" ht="15" customHeight="1" x14ac:dyDescent="0.25">
      <c r="T39741" s="135"/>
      <c r="U39741" s="135"/>
    </row>
    <row r="39742" spans="20:21" ht="15" customHeight="1" x14ac:dyDescent="0.25">
      <c r="T39742" s="135"/>
      <c r="U39742" s="135"/>
    </row>
    <row r="39743" spans="20:21" ht="15" customHeight="1" x14ac:dyDescent="0.25">
      <c r="T39743" s="135"/>
      <c r="U39743" s="135"/>
    </row>
    <row r="39744" spans="20:21" ht="15" customHeight="1" x14ac:dyDescent="0.25">
      <c r="T39744" s="135"/>
      <c r="U39744" s="135"/>
    </row>
    <row r="39745" spans="20:21" ht="15" customHeight="1" x14ac:dyDescent="0.25">
      <c r="T39745" s="135"/>
      <c r="U39745" s="135"/>
    </row>
    <row r="39746" spans="20:21" ht="15" customHeight="1" x14ac:dyDescent="0.25">
      <c r="T39746" s="135"/>
      <c r="U39746" s="135"/>
    </row>
    <row r="39747" spans="20:21" ht="15" customHeight="1" x14ac:dyDescent="0.25">
      <c r="T39747" s="135"/>
      <c r="U39747" s="135"/>
    </row>
    <row r="39748" spans="20:21" ht="15" customHeight="1" x14ac:dyDescent="0.25">
      <c r="T39748" s="135"/>
      <c r="U39748" s="135"/>
    </row>
    <row r="39749" spans="20:21" ht="15" customHeight="1" x14ac:dyDescent="0.25">
      <c r="T39749" s="135"/>
      <c r="U39749" s="135"/>
    </row>
    <row r="39750" spans="20:21" ht="15" customHeight="1" x14ac:dyDescent="0.25">
      <c r="T39750" s="135"/>
      <c r="U39750" s="135"/>
    </row>
    <row r="39751" spans="20:21" ht="15" customHeight="1" x14ac:dyDescent="0.25">
      <c r="T39751" s="135"/>
      <c r="U39751" s="135"/>
    </row>
    <row r="39752" spans="20:21" ht="15" customHeight="1" x14ac:dyDescent="0.25">
      <c r="T39752" s="135"/>
      <c r="U39752" s="135"/>
    </row>
    <row r="39753" spans="20:21" ht="15" customHeight="1" x14ac:dyDescent="0.25">
      <c r="T39753" s="135"/>
      <c r="U39753" s="135"/>
    </row>
    <row r="39754" spans="20:21" ht="15" customHeight="1" x14ac:dyDescent="0.25">
      <c r="T39754" s="135"/>
      <c r="U39754" s="135"/>
    </row>
    <row r="39755" spans="20:21" ht="15" customHeight="1" x14ac:dyDescent="0.25">
      <c r="T39755" s="135"/>
      <c r="U39755" s="135"/>
    </row>
    <row r="39756" spans="20:21" ht="15" customHeight="1" x14ac:dyDescent="0.25">
      <c r="T39756" s="135"/>
      <c r="U39756" s="135"/>
    </row>
    <row r="39757" spans="20:21" ht="15" customHeight="1" x14ac:dyDescent="0.25">
      <c r="T39757" s="135"/>
      <c r="U39757" s="135"/>
    </row>
    <row r="39758" spans="20:21" ht="15" customHeight="1" x14ac:dyDescent="0.25">
      <c r="T39758" s="135"/>
      <c r="U39758" s="135"/>
    </row>
    <row r="39759" spans="20:21" ht="15" customHeight="1" x14ac:dyDescent="0.25">
      <c r="T39759" s="135"/>
      <c r="U39759" s="135"/>
    </row>
    <row r="39760" spans="20:21" ht="15" customHeight="1" x14ac:dyDescent="0.25">
      <c r="T39760" s="135"/>
      <c r="U39760" s="135"/>
    </row>
    <row r="39761" spans="20:21" ht="15" customHeight="1" x14ac:dyDescent="0.25">
      <c r="T39761" s="135"/>
      <c r="U39761" s="135"/>
    </row>
    <row r="39762" spans="20:21" ht="15" customHeight="1" x14ac:dyDescent="0.25">
      <c r="T39762" s="135"/>
      <c r="U39762" s="135"/>
    </row>
    <row r="39763" spans="20:21" ht="15" customHeight="1" x14ac:dyDescent="0.25">
      <c r="T39763" s="135"/>
      <c r="U39763" s="135"/>
    </row>
    <row r="39764" spans="20:21" ht="15" customHeight="1" x14ac:dyDescent="0.25">
      <c r="T39764" s="135"/>
      <c r="U39764" s="135"/>
    </row>
    <row r="39765" spans="20:21" ht="15" customHeight="1" x14ac:dyDescent="0.25">
      <c r="T39765" s="135"/>
      <c r="U39765" s="135"/>
    </row>
    <row r="39766" spans="20:21" ht="15" customHeight="1" x14ac:dyDescent="0.25">
      <c r="T39766" s="135"/>
      <c r="U39766" s="135"/>
    </row>
    <row r="39767" spans="20:21" ht="15" customHeight="1" x14ac:dyDescent="0.25">
      <c r="T39767" s="135"/>
      <c r="U39767" s="135"/>
    </row>
    <row r="39768" spans="20:21" ht="15" customHeight="1" x14ac:dyDescent="0.25">
      <c r="T39768" s="135"/>
      <c r="U39768" s="135"/>
    </row>
    <row r="39769" spans="20:21" ht="15" customHeight="1" x14ac:dyDescent="0.25">
      <c r="T39769" s="135"/>
      <c r="U39769" s="135"/>
    </row>
    <row r="39770" spans="20:21" ht="15" customHeight="1" x14ac:dyDescent="0.25">
      <c r="T39770" s="135"/>
      <c r="U39770" s="135"/>
    </row>
    <row r="39771" spans="20:21" ht="15" customHeight="1" x14ac:dyDescent="0.25">
      <c r="T39771" s="135"/>
      <c r="U39771" s="135"/>
    </row>
    <row r="39772" spans="20:21" ht="15" customHeight="1" x14ac:dyDescent="0.25">
      <c r="T39772" s="135"/>
      <c r="U39772" s="135"/>
    </row>
    <row r="39773" spans="20:21" ht="15" customHeight="1" x14ac:dyDescent="0.25">
      <c r="T39773" s="135"/>
      <c r="U39773" s="135"/>
    </row>
    <row r="39774" spans="20:21" ht="15" customHeight="1" x14ac:dyDescent="0.25">
      <c r="T39774" s="135"/>
      <c r="U39774" s="135"/>
    </row>
    <row r="39775" spans="20:21" ht="15" customHeight="1" x14ac:dyDescent="0.25">
      <c r="T39775" s="135"/>
      <c r="U39775" s="135"/>
    </row>
    <row r="39776" spans="20:21" ht="15" customHeight="1" x14ac:dyDescent="0.25">
      <c r="T39776" s="135"/>
      <c r="U39776" s="135"/>
    </row>
    <row r="39777" spans="20:21" ht="15" customHeight="1" x14ac:dyDescent="0.25">
      <c r="T39777" s="135"/>
      <c r="U39777" s="135"/>
    </row>
    <row r="39778" spans="20:21" ht="15" customHeight="1" x14ac:dyDescent="0.25">
      <c r="T39778" s="135"/>
      <c r="U39778" s="135"/>
    </row>
    <row r="39779" spans="20:21" ht="15" customHeight="1" x14ac:dyDescent="0.25">
      <c r="T39779" s="135"/>
      <c r="U39779" s="135"/>
    </row>
    <row r="39780" spans="20:21" ht="15" customHeight="1" x14ac:dyDescent="0.25">
      <c r="T39780" s="135"/>
      <c r="U39780" s="135"/>
    </row>
    <row r="39781" spans="20:21" ht="15" customHeight="1" x14ac:dyDescent="0.25">
      <c r="T39781" s="135"/>
      <c r="U39781" s="135"/>
    </row>
    <row r="39782" spans="20:21" ht="15" customHeight="1" x14ac:dyDescent="0.25">
      <c r="T39782" s="135"/>
      <c r="U39782" s="135"/>
    </row>
    <row r="39783" spans="20:21" ht="15" customHeight="1" x14ac:dyDescent="0.25">
      <c r="T39783" s="135"/>
      <c r="U39783" s="135"/>
    </row>
    <row r="39784" spans="20:21" ht="15" customHeight="1" x14ac:dyDescent="0.25">
      <c r="T39784" s="135"/>
      <c r="U39784" s="135"/>
    </row>
    <row r="39785" spans="20:21" ht="15" customHeight="1" x14ac:dyDescent="0.25">
      <c r="T39785" s="135"/>
      <c r="U39785" s="135"/>
    </row>
    <row r="39786" spans="20:21" ht="15" customHeight="1" x14ac:dyDescent="0.25">
      <c r="T39786" s="135"/>
      <c r="U39786" s="135"/>
    </row>
    <row r="39787" spans="20:21" ht="15" customHeight="1" x14ac:dyDescent="0.25">
      <c r="T39787" s="135"/>
      <c r="U39787" s="135"/>
    </row>
    <row r="39788" spans="20:21" ht="15" customHeight="1" x14ac:dyDescent="0.25">
      <c r="T39788" s="135"/>
      <c r="U39788" s="135"/>
    </row>
    <row r="39789" spans="20:21" ht="15" customHeight="1" x14ac:dyDescent="0.25">
      <c r="T39789" s="135"/>
      <c r="U39789" s="135"/>
    </row>
    <row r="39790" spans="20:21" ht="15" customHeight="1" x14ac:dyDescent="0.25">
      <c r="T39790" s="135"/>
      <c r="U39790" s="135"/>
    </row>
    <row r="39791" spans="20:21" ht="15" customHeight="1" x14ac:dyDescent="0.25">
      <c r="T39791" s="135"/>
      <c r="U39791" s="135"/>
    </row>
    <row r="39792" spans="20:21" ht="15" customHeight="1" x14ac:dyDescent="0.25">
      <c r="T39792" s="135"/>
      <c r="U39792" s="135"/>
    </row>
    <row r="39793" spans="20:21" ht="15" customHeight="1" x14ac:dyDescent="0.25">
      <c r="T39793" s="135"/>
      <c r="U39793" s="135"/>
    </row>
    <row r="39794" spans="20:21" ht="15" customHeight="1" x14ac:dyDescent="0.25">
      <c r="T39794" s="135"/>
      <c r="U39794" s="135"/>
    </row>
    <row r="39795" spans="20:21" ht="15" customHeight="1" x14ac:dyDescent="0.25">
      <c r="T39795" s="135"/>
      <c r="U39795" s="135"/>
    </row>
    <row r="39796" spans="20:21" ht="15" customHeight="1" x14ac:dyDescent="0.25">
      <c r="T39796" s="135"/>
      <c r="U39796" s="135"/>
    </row>
    <row r="39797" spans="20:21" ht="15" customHeight="1" x14ac:dyDescent="0.25">
      <c r="T39797" s="135"/>
      <c r="U39797" s="135"/>
    </row>
    <row r="39798" spans="20:21" ht="15" customHeight="1" x14ac:dyDescent="0.25">
      <c r="T39798" s="135"/>
      <c r="U39798" s="135"/>
    </row>
    <row r="39799" spans="20:21" ht="15" customHeight="1" x14ac:dyDescent="0.25">
      <c r="T39799" s="135"/>
      <c r="U39799" s="135"/>
    </row>
    <row r="39800" spans="20:21" ht="15" customHeight="1" x14ac:dyDescent="0.25">
      <c r="T39800" s="135"/>
      <c r="U39800" s="135"/>
    </row>
    <row r="39801" spans="20:21" ht="15" customHeight="1" x14ac:dyDescent="0.25">
      <c r="T39801" s="135"/>
      <c r="U39801" s="135"/>
    </row>
    <row r="39802" spans="20:21" ht="15" customHeight="1" x14ac:dyDescent="0.25">
      <c r="T39802" s="135"/>
      <c r="U39802" s="135"/>
    </row>
    <row r="39803" spans="20:21" ht="15" customHeight="1" x14ac:dyDescent="0.25">
      <c r="T39803" s="135"/>
      <c r="U39803" s="135"/>
    </row>
    <row r="39804" spans="20:21" ht="15" customHeight="1" x14ac:dyDescent="0.25">
      <c r="T39804" s="135"/>
      <c r="U39804" s="135"/>
    </row>
    <row r="39805" spans="20:21" ht="15" customHeight="1" x14ac:dyDescent="0.25">
      <c r="T39805" s="135"/>
      <c r="U39805" s="135"/>
    </row>
    <row r="39806" spans="20:21" ht="15" customHeight="1" x14ac:dyDescent="0.25">
      <c r="T39806" s="135"/>
      <c r="U39806" s="135"/>
    </row>
    <row r="39807" spans="20:21" ht="15" customHeight="1" x14ac:dyDescent="0.25">
      <c r="T39807" s="135"/>
      <c r="U39807" s="135"/>
    </row>
    <row r="39808" spans="20:21" ht="15" customHeight="1" x14ac:dyDescent="0.25">
      <c r="T39808" s="135"/>
      <c r="U39808" s="135"/>
    </row>
    <row r="39809" spans="20:21" ht="15" customHeight="1" x14ac:dyDescent="0.25">
      <c r="T39809" s="135"/>
      <c r="U39809" s="135"/>
    </row>
    <row r="39810" spans="20:21" ht="15" customHeight="1" x14ac:dyDescent="0.25">
      <c r="T39810" s="135"/>
      <c r="U39810" s="135"/>
    </row>
    <row r="39811" spans="20:21" ht="15" customHeight="1" x14ac:dyDescent="0.25">
      <c r="T39811" s="135"/>
      <c r="U39811" s="135"/>
    </row>
    <row r="39812" spans="20:21" ht="15" customHeight="1" x14ac:dyDescent="0.25">
      <c r="T39812" s="135"/>
      <c r="U39812" s="135"/>
    </row>
    <row r="39813" spans="20:21" ht="15" customHeight="1" x14ac:dyDescent="0.25">
      <c r="T39813" s="135"/>
      <c r="U39813" s="135"/>
    </row>
    <row r="39814" spans="20:21" ht="15" customHeight="1" x14ac:dyDescent="0.25">
      <c r="T39814" s="135"/>
      <c r="U39814" s="135"/>
    </row>
    <row r="39815" spans="20:21" ht="15" customHeight="1" x14ac:dyDescent="0.25">
      <c r="T39815" s="135"/>
      <c r="U39815" s="135"/>
    </row>
    <row r="39816" spans="20:21" ht="15" customHeight="1" x14ac:dyDescent="0.25">
      <c r="T39816" s="135"/>
      <c r="U39816" s="135"/>
    </row>
    <row r="39817" spans="20:21" ht="15" customHeight="1" x14ac:dyDescent="0.25">
      <c r="T39817" s="135"/>
      <c r="U39817" s="135"/>
    </row>
    <row r="39818" spans="20:21" ht="15" customHeight="1" x14ac:dyDescent="0.25">
      <c r="T39818" s="135"/>
      <c r="U39818" s="135"/>
    </row>
    <row r="39819" spans="20:21" ht="15" customHeight="1" x14ac:dyDescent="0.25">
      <c r="T39819" s="135"/>
      <c r="U39819" s="135"/>
    </row>
    <row r="39820" spans="20:21" ht="15" customHeight="1" x14ac:dyDescent="0.25">
      <c r="T39820" s="135"/>
      <c r="U39820" s="135"/>
    </row>
    <row r="39821" spans="20:21" ht="15" customHeight="1" x14ac:dyDescent="0.25">
      <c r="T39821" s="135"/>
      <c r="U39821" s="135"/>
    </row>
    <row r="39822" spans="20:21" ht="15" customHeight="1" x14ac:dyDescent="0.25">
      <c r="T39822" s="135"/>
      <c r="U39822" s="135"/>
    </row>
    <row r="39823" spans="20:21" ht="15" customHeight="1" x14ac:dyDescent="0.25">
      <c r="T39823" s="135"/>
      <c r="U39823" s="135"/>
    </row>
    <row r="39824" spans="20:21" ht="15" customHeight="1" x14ac:dyDescent="0.25">
      <c r="T39824" s="135"/>
      <c r="U39824" s="135"/>
    </row>
    <row r="39825" spans="20:21" ht="15" customHeight="1" x14ac:dyDescent="0.25">
      <c r="T39825" s="135"/>
      <c r="U39825" s="135"/>
    </row>
    <row r="39826" spans="20:21" ht="15" customHeight="1" x14ac:dyDescent="0.25">
      <c r="T39826" s="135"/>
      <c r="U39826" s="135"/>
    </row>
    <row r="39827" spans="20:21" ht="15" customHeight="1" x14ac:dyDescent="0.25">
      <c r="T39827" s="135"/>
      <c r="U39827" s="135"/>
    </row>
    <row r="39828" spans="20:21" ht="15" customHeight="1" x14ac:dyDescent="0.25">
      <c r="T39828" s="135"/>
      <c r="U39828" s="135"/>
    </row>
    <row r="39829" spans="20:21" ht="15" customHeight="1" x14ac:dyDescent="0.25">
      <c r="T39829" s="135"/>
      <c r="U39829" s="135"/>
    </row>
    <row r="39830" spans="20:21" ht="15" customHeight="1" x14ac:dyDescent="0.25">
      <c r="T39830" s="135"/>
      <c r="U39830" s="135"/>
    </row>
    <row r="39831" spans="20:21" ht="15" customHeight="1" x14ac:dyDescent="0.25">
      <c r="T39831" s="135"/>
      <c r="U39831" s="135"/>
    </row>
    <row r="39832" spans="20:21" ht="15" customHeight="1" x14ac:dyDescent="0.25">
      <c r="T39832" s="135"/>
      <c r="U39832" s="135"/>
    </row>
    <row r="39833" spans="20:21" ht="15" customHeight="1" x14ac:dyDescent="0.25">
      <c r="T39833" s="135"/>
      <c r="U39833" s="135"/>
    </row>
    <row r="39834" spans="20:21" ht="15" customHeight="1" x14ac:dyDescent="0.25">
      <c r="T39834" s="135"/>
      <c r="U39834" s="135"/>
    </row>
    <row r="39835" spans="20:21" ht="15" customHeight="1" x14ac:dyDescent="0.25">
      <c r="T39835" s="135"/>
      <c r="U39835" s="135"/>
    </row>
    <row r="39836" spans="20:21" ht="15" customHeight="1" x14ac:dyDescent="0.25">
      <c r="T39836" s="135"/>
      <c r="U39836" s="135"/>
    </row>
    <row r="39837" spans="20:21" ht="15" customHeight="1" x14ac:dyDescent="0.25">
      <c r="T39837" s="135"/>
      <c r="U39837" s="135"/>
    </row>
    <row r="39838" spans="20:21" ht="15" customHeight="1" x14ac:dyDescent="0.25">
      <c r="T39838" s="135"/>
      <c r="U39838" s="135"/>
    </row>
    <row r="39839" spans="20:21" ht="15" customHeight="1" x14ac:dyDescent="0.25">
      <c r="T39839" s="135"/>
      <c r="U39839" s="135"/>
    </row>
    <row r="39840" spans="20:21" ht="15" customHeight="1" x14ac:dyDescent="0.25">
      <c r="T39840" s="135"/>
      <c r="U39840" s="135"/>
    </row>
    <row r="39841" spans="20:21" ht="15" customHeight="1" x14ac:dyDescent="0.25">
      <c r="T39841" s="135"/>
      <c r="U39841" s="135"/>
    </row>
    <row r="39842" spans="20:21" ht="15" customHeight="1" x14ac:dyDescent="0.25">
      <c r="T39842" s="135"/>
      <c r="U39842" s="135"/>
    </row>
    <row r="39843" spans="20:21" ht="15" customHeight="1" x14ac:dyDescent="0.25">
      <c r="T39843" s="135"/>
      <c r="U39843" s="135"/>
    </row>
    <row r="39844" spans="20:21" ht="15" customHeight="1" x14ac:dyDescent="0.25">
      <c r="T39844" s="135"/>
      <c r="U39844" s="135"/>
    </row>
    <row r="39845" spans="20:21" ht="15" customHeight="1" x14ac:dyDescent="0.25">
      <c r="T39845" s="135"/>
      <c r="U39845" s="135"/>
    </row>
    <row r="39846" spans="20:21" ht="15" customHeight="1" x14ac:dyDescent="0.25">
      <c r="T39846" s="135"/>
      <c r="U39846" s="135"/>
    </row>
    <row r="39847" spans="20:21" ht="15" customHeight="1" x14ac:dyDescent="0.25">
      <c r="T39847" s="135"/>
      <c r="U39847" s="135"/>
    </row>
    <row r="39848" spans="20:21" ht="15" customHeight="1" x14ac:dyDescent="0.25">
      <c r="T39848" s="135"/>
      <c r="U39848" s="135"/>
    </row>
    <row r="39849" spans="20:21" ht="15" customHeight="1" x14ac:dyDescent="0.25">
      <c r="T39849" s="135"/>
      <c r="U39849" s="135"/>
    </row>
    <row r="39850" spans="20:21" ht="15" customHeight="1" x14ac:dyDescent="0.25">
      <c r="T39850" s="135"/>
      <c r="U39850" s="135"/>
    </row>
    <row r="39851" spans="20:21" ht="15" customHeight="1" x14ac:dyDescent="0.25">
      <c r="T39851" s="135"/>
      <c r="U39851" s="135"/>
    </row>
    <row r="39852" spans="20:21" ht="15" customHeight="1" x14ac:dyDescent="0.25">
      <c r="T39852" s="135"/>
      <c r="U39852" s="135"/>
    </row>
    <row r="39853" spans="20:21" ht="15" customHeight="1" x14ac:dyDescent="0.25">
      <c r="T39853" s="135"/>
      <c r="U39853" s="135"/>
    </row>
    <row r="39854" spans="20:21" ht="15" customHeight="1" x14ac:dyDescent="0.25">
      <c r="T39854" s="135"/>
      <c r="U39854" s="135"/>
    </row>
    <row r="39855" spans="20:21" ht="15" customHeight="1" x14ac:dyDescent="0.25">
      <c r="T39855" s="135"/>
      <c r="U39855" s="135"/>
    </row>
    <row r="39856" spans="20:21" ht="15" customHeight="1" x14ac:dyDescent="0.25">
      <c r="T39856" s="135"/>
      <c r="U39856" s="135"/>
    </row>
    <row r="39857" spans="20:21" ht="15" customHeight="1" x14ac:dyDescent="0.25">
      <c r="T39857" s="135"/>
      <c r="U39857" s="135"/>
    </row>
    <row r="39858" spans="20:21" ht="15" customHeight="1" x14ac:dyDescent="0.25">
      <c r="T39858" s="135"/>
      <c r="U39858" s="135"/>
    </row>
    <row r="39859" spans="20:21" ht="15" customHeight="1" x14ac:dyDescent="0.25">
      <c r="T39859" s="135"/>
      <c r="U39859" s="135"/>
    </row>
    <row r="39860" spans="20:21" ht="15" customHeight="1" x14ac:dyDescent="0.25">
      <c r="T39860" s="135"/>
      <c r="U39860" s="135"/>
    </row>
    <row r="39861" spans="20:21" ht="15" customHeight="1" x14ac:dyDescent="0.25">
      <c r="T39861" s="135"/>
      <c r="U39861" s="135"/>
    </row>
    <row r="39862" spans="20:21" ht="15" customHeight="1" x14ac:dyDescent="0.25">
      <c r="T39862" s="135"/>
      <c r="U39862" s="135"/>
    </row>
    <row r="39863" spans="20:21" ht="15" customHeight="1" x14ac:dyDescent="0.25">
      <c r="T39863" s="135"/>
      <c r="U39863" s="135"/>
    </row>
    <row r="39864" spans="20:21" ht="15" customHeight="1" x14ac:dyDescent="0.25">
      <c r="T39864" s="135"/>
      <c r="U39864" s="135"/>
    </row>
    <row r="39865" spans="20:21" ht="15" customHeight="1" x14ac:dyDescent="0.25">
      <c r="T39865" s="135"/>
      <c r="U39865" s="135"/>
    </row>
    <row r="39866" spans="20:21" ht="15" customHeight="1" x14ac:dyDescent="0.25">
      <c r="T39866" s="135"/>
      <c r="U39866" s="135"/>
    </row>
    <row r="39867" spans="20:21" ht="15" customHeight="1" x14ac:dyDescent="0.25">
      <c r="T39867" s="135"/>
      <c r="U39867" s="135"/>
    </row>
    <row r="39868" spans="20:21" ht="15" customHeight="1" x14ac:dyDescent="0.25">
      <c r="T39868" s="135"/>
      <c r="U39868" s="135"/>
    </row>
    <row r="39869" spans="20:21" ht="15" customHeight="1" x14ac:dyDescent="0.25">
      <c r="T39869" s="135"/>
      <c r="U39869" s="135"/>
    </row>
    <row r="39870" spans="20:21" ht="15" customHeight="1" x14ac:dyDescent="0.25">
      <c r="T39870" s="135"/>
      <c r="U39870" s="135"/>
    </row>
    <row r="39871" spans="20:21" ht="15" customHeight="1" x14ac:dyDescent="0.25">
      <c r="T39871" s="135"/>
      <c r="U39871" s="135"/>
    </row>
    <row r="39872" spans="20:21" ht="15" customHeight="1" x14ac:dyDescent="0.25">
      <c r="T39872" s="135"/>
      <c r="U39872" s="135"/>
    </row>
    <row r="39873" spans="20:21" ht="15" customHeight="1" x14ac:dyDescent="0.25">
      <c r="T39873" s="135"/>
      <c r="U39873" s="135"/>
    </row>
    <row r="39874" spans="20:21" ht="15" customHeight="1" x14ac:dyDescent="0.25">
      <c r="T39874" s="135"/>
      <c r="U39874" s="135"/>
    </row>
    <row r="39875" spans="20:21" ht="15" customHeight="1" x14ac:dyDescent="0.25">
      <c r="T39875" s="135"/>
      <c r="U39875" s="135"/>
    </row>
    <row r="39876" spans="20:21" ht="15" customHeight="1" x14ac:dyDescent="0.25">
      <c r="T39876" s="135"/>
      <c r="U39876" s="135"/>
    </row>
    <row r="39877" spans="20:21" ht="15" customHeight="1" x14ac:dyDescent="0.25">
      <c r="T39877" s="135"/>
      <c r="U39877" s="135"/>
    </row>
    <row r="39878" spans="20:21" ht="15" customHeight="1" x14ac:dyDescent="0.25">
      <c r="T39878" s="135"/>
      <c r="U39878" s="135"/>
    </row>
    <row r="39879" spans="20:21" ht="15" customHeight="1" x14ac:dyDescent="0.25">
      <c r="T39879" s="135"/>
      <c r="U39879" s="135"/>
    </row>
    <row r="39880" spans="20:21" ht="15" customHeight="1" x14ac:dyDescent="0.25">
      <c r="T39880" s="135"/>
      <c r="U39880" s="135"/>
    </row>
    <row r="39881" spans="20:21" ht="15" customHeight="1" x14ac:dyDescent="0.25">
      <c r="T39881" s="135"/>
      <c r="U39881" s="135"/>
    </row>
    <row r="39882" spans="20:21" ht="15" customHeight="1" x14ac:dyDescent="0.25">
      <c r="T39882" s="135"/>
      <c r="U39882" s="135"/>
    </row>
    <row r="39883" spans="20:21" ht="15" customHeight="1" x14ac:dyDescent="0.25">
      <c r="T39883" s="135"/>
      <c r="U39883" s="135"/>
    </row>
    <row r="39884" spans="20:21" ht="15" customHeight="1" x14ac:dyDescent="0.25">
      <c r="T39884" s="135"/>
      <c r="U39884" s="135"/>
    </row>
    <row r="39885" spans="20:21" ht="15" customHeight="1" x14ac:dyDescent="0.25">
      <c r="T39885" s="135"/>
      <c r="U39885" s="135"/>
    </row>
    <row r="39886" spans="20:21" ht="15" customHeight="1" x14ac:dyDescent="0.25">
      <c r="T39886" s="135"/>
      <c r="U39886" s="135"/>
    </row>
    <row r="39887" spans="20:21" ht="15" customHeight="1" x14ac:dyDescent="0.25">
      <c r="T39887" s="135"/>
      <c r="U39887" s="135"/>
    </row>
    <row r="39888" spans="20:21" ht="15" customHeight="1" x14ac:dyDescent="0.25">
      <c r="T39888" s="135"/>
      <c r="U39888" s="135"/>
    </row>
    <row r="39889" spans="20:21" ht="15" customHeight="1" x14ac:dyDescent="0.25">
      <c r="T39889" s="135"/>
      <c r="U39889" s="135"/>
    </row>
    <row r="39890" spans="20:21" ht="15" customHeight="1" x14ac:dyDescent="0.25">
      <c r="T39890" s="135"/>
      <c r="U39890" s="135"/>
    </row>
    <row r="39891" spans="20:21" ht="15" customHeight="1" x14ac:dyDescent="0.25">
      <c r="T39891" s="135"/>
      <c r="U39891" s="135"/>
    </row>
    <row r="39892" spans="20:21" ht="15" customHeight="1" x14ac:dyDescent="0.25">
      <c r="T39892" s="135"/>
      <c r="U39892" s="135"/>
    </row>
    <row r="39893" spans="20:21" ht="15" customHeight="1" x14ac:dyDescent="0.25">
      <c r="T39893" s="135"/>
      <c r="U39893" s="135"/>
    </row>
    <row r="39894" spans="20:21" ht="15" customHeight="1" x14ac:dyDescent="0.25">
      <c r="T39894" s="135"/>
      <c r="U39894" s="135"/>
    </row>
    <row r="39895" spans="20:21" ht="15" customHeight="1" x14ac:dyDescent="0.25">
      <c r="T39895" s="135"/>
      <c r="U39895" s="135"/>
    </row>
    <row r="39896" spans="20:21" ht="15" customHeight="1" x14ac:dyDescent="0.25">
      <c r="T39896" s="135"/>
      <c r="U39896" s="135"/>
    </row>
    <row r="39897" spans="20:21" ht="15" customHeight="1" x14ac:dyDescent="0.25">
      <c r="T39897" s="135"/>
      <c r="U39897" s="135"/>
    </row>
    <row r="39898" spans="20:21" ht="15" customHeight="1" x14ac:dyDescent="0.25">
      <c r="T39898" s="135"/>
      <c r="U39898" s="135"/>
    </row>
    <row r="39899" spans="20:21" ht="15" customHeight="1" x14ac:dyDescent="0.25">
      <c r="T39899" s="135"/>
      <c r="U39899" s="135"/>
    </row>
    <row r="39900" spans="20:21" ht="15" customHeight="1" x14ac:dyDescent="0.25">
      <c r="T39900" s="135"/>
      <c r="U39900" s="135"/>
    </row>
    <row r="39901" spans="20:21" ht="15" customHeight="1" x14ac:dyDescent="0.25">
      <c r="T39901" s="135"/>
      <c r="U39901" s="135"/>
    </row>
    <row r="39902" spans="20:21" ht="15" customHeight="1" x14ac:dyDescent="0.25">
      <c r="T39902" s="135"/>
      <c r="U39902" s="135"/>
    </row>
    <row r="39903" spans="20:21" ht="15" customHeight="1" x14ac:dyDescent="0.25">
      <c r="T39903" s="135"/>
      <c r="U39903" s="135"/>
    </row>
    <row r="39904" spans="20:21" ht="15" customHeight="1" x14ac:dyDescent="0.25">
      <c r="T39904" s="135"/>
      <c r="U39904" s="135"/>
    </row>
    <row r="39905" spans="20:21" ht="15" customHeight="1" x14ac:dyDescent="0.25">
      <c r="T39905" s="135"/>
      <c r="U39905" s="135"/>
    </row>
    <row r="39906" spans="20:21" ht="15" customHeight="1" x14ac:dyDescent="0.25">
      <c r="T39906" s="135"/>
      <c r="U39906" s="135"/>
    </row>
    <row r="39907" spans="20:21" ht="15" customHeight="1" x14ac:dyDescent="0.25">
      <c r="T39907" s="135"/>
      <c r="U39907" s="135"/>
    </row>
    <row r="39908" spans="20:21" ht="15" customHeight="1" x14ac:dyDescent="0.25">
      <c r="T39908" s="135"/>
      <c r="U39908" s="135"/>
    </row>
    <row r="39909" spans="20:21" ht="15" customHeight="1" x14ac:dyDescent="0.25">
      <c r="T39909" s="135"/>
      <c r="U39909" s="135"/>
    </row>
    <row r="39910" spans="20:21" ht="15" customHeight="1" x14ac:dyDescent="0.25">
      <c r="T39910" s="135"/>
      <c r="U39910" s="135"/>
    </row>
    <row r="39911" spans="20:21" ht="15" customHeight="1" x14ac:dyDescent="0.25">
      <c r="T39911" s="135"/>
      <c r="U39911" s="135"/>
    </row>
    <row r="39912" spans="20:21" ht="15" customHeight="1" x14ac:dyDescent="0.25">
      <c r="T39912" s="135"/>
      <c r="U39912" s="135"/>
    </row>
    <row r="39913" spans="20:21" ht="15" customHeight="1" x14ac:dyDescent="0.25">
      <c r="T39913" s="135"/>
      <c r="U39913" s="135"/>
    </row>
    <row r="39914" spans="20:21" ht="15" customHeight="1" x14ac:dyDescent="0.25">
      <c r="T39914" s="135"/>
      <c r="U39914" s="135"/>
    </row>
    <row r="39915" spans="20:21" ht="15" customHeight="1" x14ac:dyDescent="0.25">
      <c r="T39915" s="135"/>
      <c r="U39915" s="135"/>
    </row>
    <row r="39916" spans="20:21" ht="15" customHeight="1" x14ac:dyDescent="0.25">
      <c r="T39916" s="135"/>
      <c r="U39916" s="135"/>
    </row>
    <row r="39917" spans="20:21" ht="15" customHeight="1" x14ac:dyDescent="0.25">
      <c r="T39917" s="135"/>
      <c r="U39917" s="135"/>
    </row>
    <row r="39918" spans="20:21" ht="15" customHeight="1" x14ac:dyDescent="0.25">
      <c r="T39918" s="135"/>
      <c r="U39918" s="135"/>
    </row>
    <row r="39919" spans="20:21" ht="15" customHeight="1" x14ac:dyDescent="0.25">
      <c r="T39919" s="135"/>
      <c r="U39919" s="135"/>
    </row>
    <row r="39920" spans="20:21" ht="15" customHeight="1" x14ac:dyDescent="0.25">
      <c r="T39920" s="135"/>
      <c r="U39920" s="135"/>
    </row>
    <row r="39921" spans="20:21" ht="15" customHeight="1" x14ac:dyDescent="0.25">
      <c r="T39921" s="135"/>
      <c r="U39921" s="135"/>
    </row>
    <row r="39922" spans="20:21" ht="15" customHeight="1" x14ac:dyDescent="0.25">
      <c r="T39922" s="135"/>
      <c r="U39922" s="135"/>
    </row>
    <row r="39923" spans="20:21" ht="15" customHeight="1" x14ac:dyDescent="0.25">
      <c r="T39923" s="135"/>
      <c r="U39923" s="135"/>
    </row>
    <row r="39924" spans="20:21" ht="15" customHeight="1" x14ac:dyDescent="0.25">
      <c r="T39924" s="135"/>
      <c r="U39924" s="135"/>
    </row>
    <row r="39925" spans="20:21" ht="15" customHeight="1" x14ac:dyDescent="0.25">
      <c r="T39925" s="135"/>
      <c r="U39925" s="135"/>
    </row>
    <row r="39926" spans="20:21" ht="15" customHeight="1" x14ac:dyDescent="0.25">
      <c r="T39926" s="135"/>
      <c r="U39926" s="135"/>
    </row>
    <row r="39927" spans="20:21" ht="15" customHeight="1" x14ac:dyDescent="0.25">
      <c r="T39927" s="135"/>
      <c r="U39927" s="135"/>
    </row>
    <row r="39928" spans="20:21" ht="15" customHeight="1" x14ac:dyDescent="0.25">
      <c r="T39928" s="135"/>
      <c r="U39928" s="135"/>
    </row>
    <row r="39929" spans="20:21" ht="15" customHeight="1" x14ac:dyDescent="0.25">
      <c r="T39929" s="135"/>
      <c r="U39929" s="135"/>
    </row>
    <row r="39930" spans="20:21" ht="15" customHeight="1" x14ac:dyDescent="0.25">
      <c r="T39930" s="135"/>
      <c r="U39930" s="135"/>
    </row>
    <row r="39931" spans="20:21" ht="15" customHeight="1" x14ac:dyDescent="0.25">
      <c r="T39931" s="135"/>
      <c r="U39931" s="135"/>
    </row>
    <row r="39932" spans="20:21" ht="15" customHeight="1" x14ac:dyDescent="0.25">
      <c r="T39932" s="135"/>
      <c r="U39932" s="135"/>
    </row>
    <row r="39933" spans="20:21" ht="15" customHeight="1" x14ac:dyDescent="0.25">
      <c r="T39933" s="135"/>
      <c r="U39933" s="135"/>
    </row>
    <row r="39934" spans="20:21" ht="15" customHeight="1" x14ac:dyDescent="0.25">
      <c r="T39934" s="135"/>
      <c r="U39934" s="135"/>
    </row>
    <row r="39935" spans="20:21" ht="15" customHeight="1" x14ac:dyDescent="0.25">
      <c r="T39935" s="135"/>
      <c r="U39935" s="135"/>
    </row>
    <row r="39936" spans="20:21" ht="15" customHeight="1" x14ac:dyDescent="0.25">
      <c r="T39936" s="135"/>
      <c r="U39936" s="135"/>
    </row>
    <row r="39937" spans="20:21" ht="15" customHeight="1" x14ac:dyDescent="0.25">
      <c r="T39937" s="135"/>
      <c r="U39937" s="135"/>
    </row>
    <row r="39938" spans="20:21" ht="15" customHeight="1" x14ac:dyDescent="0.25">
      <c r="T39938" s="135"/>
      <c r="U39938" s="135"/>
    </row>
    <row r="39939" spans="20:21" ht="15" customHeight="1" x14ac:dyDescent="0.25">
      <c r="T39939" s="135"/>
      <c r="U39939" s="135"/>
    </row>
    <row r="39940" spans="20:21" ht="15" customHeight="1" x14ac:dyDescent="0.25">
      <c r="T39940" s="135"/>
      <c r="U39940" s="135"/>
    </row>
    <row r="39941" spans="20:21" ht="15" customHeight="1" x14ac:dyDescent="0.25">
      <c r="T39941" s="135"/>
      <c r="U39941" s="135"/>
    </row>
    <row r="39942" spans="20:21" ht="15" customHeight="1" x14ac:dyDescent="0.25">
      <c r="T39942" s="135"/>
      <c r="U39942" s="135"/>
    </row>
    <row r="39943" spans="20:21" ht="15" customHeight="1" x14ac:dyDescent="0.25">
      <c r="T39943" s="135"/>
      <c r="U39943" s="135"/>
    </row>
    <row r="39944" spans="20:21" ht="15" customHeight="1" x14ac:dyDescent="0.25">
      <c r="T39944" s="135"/>
      <c r="U39944" s="135"/>
    </row>
    <row r="39945" spans="20:21" ht="15" customHeight="1" x14ac:dyDescent="0.25">
      <c r="T39945" s="135"/>
      <c r="U39945" s="135"/>
    </row>
    <row r="39946" spans="20:21" ht="15" customHeight="1" x14ac:dyDescent="0.25">
      <c r="T39946" s="135"/>
      <c r="U39946" s="135"/>
    </row>
    <row r="39947" spans="20:21" ht="15" customHeight="1" x14ac:dyDescent="0.25">
      <c r="T39947" s="135"/>
      <c r="U39947" s="135"/>
    </row>
    <row r="39948" spans="20:21" ht="15" customHeight="1" x14ac:dyDescent="0.25">
      <c r="T39948" s="135"/>
      <c r="U39948" s="135"/>
    </row>
    <row r="39949" spans="20:21" ht="15" customHeight="1" x14ac:dyDescent="0.25">
      <c r="T39949" s="135"/>
      <c r="U39949" s="135"/>
    </row>
    <row r="39950" spans="20:21" ht="15" customHeight="1" x14ac:dyDescent="0.25">
      <c r="T39950" s="135"/>
      <c r="U39950" s="135"/>
    </row>
    <row r="39951" spans="20:21" ht="15" customHeight="1" x14ac:dyDescent="0.25">
      <c r="T39951" s="135"/>
      <c r="U39951" s="135"/>
    </row>
    <row r="39952" spans="20:21" ht="15" customHeight="1" x14ac:dyDescent="0.25">
      <c r="T39952" s="135"/>
      <c r="U39952" s="135"/>
    </row>
    <row r="39953" spans="20:21" ht="15" customHeight="1" x14ac:dyDescent="0.25">
      <c r="T39953" s="135"/>
      <c r="U39953" s="135"/>
    </row>
    <row r="39954" spans="20:21" ht="15" customHeight="1" x14ac:dyDescent="0.25">
      <c r="T39954" s="135"/>
      <c r="U39954" s="135"/>
    </row>
    <row r="39955" spans="20:21" ht="15" customHeight="1" x14ac:dyDescent="0.25">
      <c r="T39955" s="135"/>
      <c r="U39955" s="135"/>
    </row>
    <row r="39956" spans="20:21" ht="15" customHeight="1" x14ac:dyDescent="0.25">
      <c r="T39956" s="135"/>
      <c r="U39956" s="135"/>
    </row>
    <row r="39957" spans="20:21" ht="15" customHeight="1" x14ac:dyDescent="0.25">
      <c r="T39957" s="135"/>
      <c r="U39957" s="135"/>
    </row>
    <row r="39958" spans="20:21" ht="15" customHeight="1" x14ac:dyDescent="0.25">
      <c r="T39958" s="135"/>
      <c r="U39958" s="135"/>
    </row>
    <row r="39959" spans="20:21" ht="15" customHeight="1" x14ac:dyDescent="0.25">
      <c r="T39959" s="135"/>
      <c r="U39959" s="135"/>
    </row>
    <row r="39960" spans="20:21" ht="15" customHeight="1" x14ac:dyDescent="0.25">
      <c r="T39960" s="135"/>
      <c r="U39960" s="135"/>
    </row>
    <row r="39961" spans="20:21" ht="15" customHeight="1" x14ac:dyDescent="0.25">
      <c r="T39961" s="135"/>
      <c r="U39961" s="135"/>
    </row>
    <row r="39962" spans="20:21" ht="15" customHeight="1" x14ac:dyDescent="0.25">
      <c r="T39962" s="135"/>
      <c r="U39962" s="135"/>
    </row>
    <row r="39963" spans="20:21" ht="15" customHeight="1" x14ac:dyDescent="0.25">
      <c r="T39963" s="135"/>
      <c r="U39963" s="135"/>
    </row>
    <row r="39964" spans="20:21" ht="15" customHeight="1" x14ac:dyDescent="0.25">
      <c r="T39964" s="135"/>
      <c r="U39964" s="135"/>
    </row>
    <row r="39965" spans="20:21" ht="15" customHeight="1" x14ac:dyDescent="0.25">
      <c r="T39965" s="135"/>
      <c r="U39965" s="135"/>
    </row>
    <row r="39966" spans="20:21" ht="15" customHeight="1" x14ac:dyDescent="0.25">
      <c r="T39966" s="135"/>
      <c r="U39966" s="135"/>
    </row>
    <row r="39967" spans="20:21" ht="15" customHeight="1" x14ac:dyDescent="0.25">
      <c r="T39967" s="135"/>
      <c r="U39967" s="135"/>
    </row>
    <row r="39968" spans="20:21" ht="15" customHeight="1" x14ac:dyDescent="0.25">
      <c r="T39968" s="135"/>
      <c r="U39968" s="135"/>
    </row>
    <row r="39969" spans="20:21" ht="15" customHeight="1" x14ac:dyDescent="0.25">
      <c r="T39969" s="135"/>
      <c r="U39969" s="135"/>
    </row>
    <row r="39970" spans="20:21" ht="15" customHeight="1" x14ac:dyDescent="0.25">
      <c r="T39970" s="135"/>
      <c r="U39970" s="135"/>
    </row>
    <row r="39971" spans="20:21" ht="15" customHeight="1" x14ac:dyDescent="0.25">
      <c r="T39971" s="135"/>
      <c r="U39971" s="135"/>
    </row>
    <row r="39972" spans="20:21" ht="15" customHeight="1" x14ac:dyDescent="0.25">
      <c r="T39972" s="135"/>
      <c r="U39972" s="135"/>
    </row>
    <row r="39973" spans="20:21" ht="15" customHeight="1" x14ac:dyDescent="0.25">
      <c r="T39973" s="135"/>
      <c r="U39973" s="135"/>
    </row>
    <row r="39974" spans="20:21" ht="15" customHeight="1" x14ac:dyDescent="0.25">
      <c r="T39974" s="135"/>
      <c r="U39974" s="135"/>
    </row>
    <row r="39975" spans="20:21" ht="15" customHeight="1" x14ac:dyDescent="0.25">
      <c r="T39975" s="135"/>
      <c r="U39975" s="135"/>
    </row>
    <row r="39976" spans="20:21" ht="15" customHeight="1" x14ac:dyDescent="0.25">
      <c r="T39976" s="135"/>
      <c r="U39976" s="135"/>
    </row>
    <row r="39977" spans="20:21" ht="15" customHeight="1" x14ac:dyDescent="0.25">
      <c r="T39977" s="135"/>
      <c r="U39977" s="135"/>
    </row>
    <row r="39978" spans="20:21" ht="15" customHeight="1" x14ac:dyDescent="0.25">
      <c r="T39978" s="135"/>
      <c r="U39978" s="135"/>
    </row>
    <row r="39979" spans="20:21" ht="15" customHeight="1" x14ac:dyDescent="0.25">
      <c r="T39979" s="135"/>
      <c r="U39979" s="135"/>
    </row>
    <row r="39980" spans="20:21" ht="15" customHeight="1" x14ac:dyDescent="0.25">
      <c r="T39980" s="135"/>
      <c r="U39980" s="135"/>
    </row>
    <row r="39981" spans="20:21" ht="15" customHeight="1" x14ac:dyDescent="0.25">
      <c r="T39981" s="135"/>
      <c r="U39981" s="135"/>
    </row>
    <row r="39982" spans="20:21" ht="15" customHeight="1" x14ac:dyDescent="0.25">
      <c r="T39982" s="135"/>
      <c r="U39982" s="135"/>
    </row>
    <row r="39983" spans="20:21" ht="15" customHeight="1" x14ac:dyDescent="0.25">
      <c r="T39983" s="135"/>
      <c r="U39983" s="135"/>
    </row>
    <row r="39984" spans="20:21" ht="15" customHeight="1" x14ac:dyDescent="0.25">
      <c r="T39984" s="135"/>
      <c r="U39984" s="135"/>
    </row>
    <row r="39985" spans="20:21" ht="15" customHeight="1" x14ac:dyDescent="0.25">
      <c r="T39985" s="135"/>
      <c r="U39985" s="135"/>
    </row>
    <row r="39986" spans="20:21" ht="15" customHeight="1" x14ac:dyDescent="0.25">
      <c r="T39986" s="135"/>
      <c r="U39986" s="135"/>
    </row>
    <row r="39987" spans="20:21" ht="15" customHeight="1" x14ac:dyDescent="0.25">
      <c r="T39987" s="135"/>
      <c r="U39987" s="135"/>
    </row>
    <row r="39988" spans="20:21" ht="15" customHeight="1" x14ac:dyDescent="0.25">
      <c r="T39988" s="135"/>
      <c r="U39988" s="135"/>
    </row>
    <row r="39989" spans="20:21" ht="15" customHeight="1" x14ac:dyDescent="0.25">
      <c r="T39989" s="135"/>
      <c r="U39989" s="135"/>
    </row>
    <row r="39990" spans="20:21" ht="15" customHeight="1" x14ac:dyDescent="0.25">
      <c r="T39990" s="135"/>
      <c r="U39990" s="135"/>
    </row>
    <row r="39991" spans="20:21" ht="15" customHeight="1" x14ac:dyDescent="0.25">
      <c r="T39991" s="135"/>
      <c r="U39991" s="135"/>
    </row>
    <row r="39992" spans="20:21" ht="15" customHeight="1" x14ac:dyDescent="0.25">
      <c r="T39992" s="135"/>
      <c r="U39992" s="135"/>
    </row>
    <row r="39993" spans="20:21" ht="15" customHeight="1" x14ac:dyDescent="0.25">
      <c r="T39993" s="135"/>
      <c r="U39993" s="135"/>
    </row>
    <row r="39994" spans="20:21" ht="15" customHeight="1" x14ac:dyDescent="0.25">
      <c r="T39994" s="135"/>
      <c r="U39994" s="135"/>
    </row>
    <row r="39995" spans="20:21" ht="15" customHeight="1" x14ac:dyDescent="0.25">
      <c r="T39995" s="135"/>
      <c r="U39995" s="135"/>
    </row>
    <row r="39996" spans="20:21" ht="15" customHeight="1" x14ac:dyDescent="0.25">
      <c r="T39996" s="135"/>
      <c r="U39996" s="135"/>
    </row>
    <row r="39997" spans="20:21" ht="15" customHeight="1" x14ac:dyDescent="0.25">
      <c r="T39997" s="135"/>
      <c r="U39997" s="135"/>
    </row>
    <row r="39998" spans="20:21" ht="15" customHeight="1" x14ac:dyDescent="0.25">
      <c r="T39998" s="135"/>
      <c r="U39998" s="135"/>
    </row>
    <row r="39999" spans="20:21" ht="15" customHeight="1" x14ac:dyDescent="0.25">
      <c r="T39999" s="135"/>
      <c r="U39999" s="135"/>
    </row>
    <row r="40000" spans="20:21" ht="15" customHeight="1" x14ac:dyDescent="0.25">
      <c r="T40000" s="135"/>
      <c r="U40000" s="135"/>
    </row>
    <row r="40001" spans="20:21" ht="15" customHeight="1" x14ac:dyDescent="0.25">
      <c r="T40001" s="135"/>
      <c r="U40001" s="135"/>
    </row>
    <row r="40002" spans="20:21" ht="15" customHeight="1" x14ac:dyDescent="0.25">
      <c r="T40002" s="135"/>
      <c r="U40002" s="135"/>
    </row>
    <row r="40003" spans="20:21" ht="15" customHeight="1" x14ac:dyDescent="0.25">
      <c r="T40003" s="135"/>
      <c r="U40003" s="135"/>
    </row>
    <row r="40004" spans="20:21" ht="15" customHeight="1" x14ac:dyDescent="0.25">
      <c r="T40004" s="135"/>
      <c r="U40004" s="135"/>
    </row>
    <row r="40005" spans="20:21" ht="15" customHeight="1" x14ac:dyDescent="0.25">
      <c r="T40005" s="135"/>
      <c r="U40005" s="135"/>
    </row>
    <row r="40006" spans="20:21" ht="15" customHeight="1" x14ac:dyDescent="0.25">
      <c r="T40006" s="135"/>
      <c r="U40006" s="135"/>
    </row>
    <row r="40007" spans="20:21" ht="15" customHeight="1" x14ac:dyDescent="0.25">
      <c r="T40007" s="135"/>
      <c r="U40007" s="135"/>
    </row>
    <row r="40008" spans="20:21" ht="15" customHeight="1" x14ac:dyDescent="0.25">
      <c r="T40008" s="135"/>
      <c r="U40008" s="135"/>
    </row>
    <row r="40009" spans="20:21" ht="15" customHeight="1" x14ac:dyDescent="0.25">
      <c r="T40009" s="135"/>
      <c r="U40009" s="135"/>
    </row>
    <row r="40010" spans="20:21" ht="15" customHeight="1" x14ac:dyDescent="0.25">
      <c r="T40010" s="135"/>
      <c r="U40010" s="135"/>
    </row>
    <row r="40011" spans="20:21" ht="15" customHeight="1" x14ac:dyDescent="0.25">
      <c r="T40011" s="135"/>
      <c r="U40011" s="135"/>
    </row>
    <row r="40012" spans="20:21" ht="15" customHeight="1" x14ac:dyDescent="0.25">
      <c r="T40012" s="135"/>
      <c r="U40012" s="135"/>
    </row>
    <row r="40013" spans="20:21" ht="15" customHeight="1" x14ac:dyDescent="0.25">
      <c r="T40013" s="135"/>
      <c r="U40013" s="135"/>
    </row>
    <row r="40014" spans="20:21" ht="15" customHeight="1" x14ac:dyDescent="0.25">
      <c r="T40014" s="135"/>
      <c r="U40014" s="135"/>
    </row>
    <row r="40015" spans="20:21" ht="15" customHeight="1" x14ac:dyDescent="0.25">
      <c r="T40015" s="135"/>
      <c r="U40015" s="135"/>
    </row>
    <row r="40016" spans="20:21" ht="15" customHeight="1" x14ac:dyDescent="0.25">
      <c r="T40016" s="135"/>
      <c r="U40016" s="135"/>
    </row>
    <row r="40017" spans="20:21" ht="15" customHeight="1" x14ac:dyDescent="0.25">
      <c r="T40017" s="135"/>
      <c r="U40017" s="135"/>
    </row>
    <row r="40018" spans="20:21" ht="15" customHeight="1" x14ac:dyDescent="0.25">
      <c r="T40018" s="135"/>
      <c r="U40018" s="135"/>
    </row>
    <row r="40019" spans="20:21" ht="15" customHeight="1" x14ac:dyDescent="0.25">
      <c r="T40019" s="135"/>
      <c r="U40019" s="135"/>
    </row>
    <row r="40020" spans="20:21" ht="15" customHeight="1" x14ac:dyDescent="0.25">
      <c r="T40020" s="135"/>
      <c r="U40020" s="135"/>
    </row>
    <row r="40021" spans="20:21" ht="15" customHeight="1" x14ac:dyDescent="0.25">
      <c r="T40021" s="135"/>
      <c r="U40021" s="135"/>
    </row>
    <row r="40022" spans="20:21" ht="15" customHeight="1" x14ac:dyDescent="0.25">
      <c r="T40022" s="135"/>
      <c r="U40022" s="135"/>
    </row>
    <row r="40023" spans="20:21" ht="15" customHeight="1" x14ac:dyDescent="0.25">
      <c r="T40023" s="135"/>
      <c r="U40023" s="135"/>
    </row>
    <row r="40024" spans="20:21" ht="15" customHeight="1" x14ac:dyDescent="0.25">
      <c r="T40024" s="135"/>
      <c r="U40024" s="135"/>
    </row>
    <row r="40025" spans="20:21" ht="15" customHeight="1" x14ac:dyDescent="0.25">
      <c r="T40025" s="135"/>
      <c r="U40025" s="135"/>
    </row>
    <row r="40026" spans="20:21" ht="15" customHeight="1" x14ac:dyDescent="0.25">
      <c r="T40026" s="135"/>
      <c r="U40026" s="135"/>
    </row>
    <row r="40027" spans="20:21" ht="15" customHeight="1" x14ac:dyDescent="0.25">
      <c r="T40027" s="135"/>
      <c r="U40027" s="135"/>
    </row>
    <row r="40028" spans="20:21" ht="15" customHeight="1" x14ac:dyDescent="0.25">
      <c r="T40028" s="135"/>
      <c r="U40028" s="135"/>
    </row>
    <row r="40029" spans="20:21" ht="15" customHeight="1" x14ac:dyDescent="0.25">
      <c r="T40029" s="135"/>
      <c r="U40029" s="135"/>
    </row>
    <row r="40030" spans="20:21" ht="15" customHeight="1" x14ac:dyDescent="0.25">
      <c r="T40030" s="135"/>
      <c r="U40030" s="135"/>
    </row>
    <row r="40031" spans="20:21" ht="15" customHeight="1" x14ac:dyDescent="0.25">
      <c r="T40031" s="135"/>
      <c r="U40031" s="135"/>
    </row>
    <row r="40032" spans="20:21" ht="15" customHeight="1" x14ac:dyDescent="0.25">
      <c r="T40032" s="135"/>
      <c r="U40032" s="135"/>
    </row>
    <row r="40033" spans="20:21" ht="15" customHeight="1" x14ac:dyDescent="0.25">
      <c r="T40033" s="135"/>
      <c r="U40033" s="135"/>
    </row>
    <row r="40034" spans="20:21" ht="15" customHeight="1" x14ac:dyDescent="0.25">
      <c r="T40034" s="135"/>
      <c r="U40034" s="135"/>
    </row>
    <row r="40035" spans="20:21" ht="15" customHeight="1" x14ac:dyDescent="0.25">
      <c r="T40035" s="135"/>
      <c r="U40035" s="135"/>
    </row>
    <row r="40036" spans="20:21" ht="15" customHeight="1" x14ac:dyDescent="0.25">
      <c r="T40036" s="135"/>
      <c r="U40036" s="135"/>
    </row>
    <row r="40037" spans="20:21" ht="15" customHeight="1" x14ac:dyDescent="0.25">
      <c r="T40037" s="135"/>
      <c r="U40037" s="135"/>
    </row>
    <row r="40038" spans="20:21" ht="15" customHeight="1" x14ac:dyDescent="0.25">
      <c r="T40038" s="135"/>
      <c r="U40038" s="135"/>
    </row>
    <row r="40039" spans="20:21" ht="15" customHeight="1" x14ac:dyDescent="0.25">
      <c r="T40039" s="135"/>
      <c r="U40039" s="135"/>
    </row>
    <row r="40040" spans="20:21" ht="15" customHeight="1" x14ac:dyDescent="0.25">
      <c r="T40040" s="135"/>
      <c r="U40040" s="135"/>
    </row>
    <row r="40041" spans="20:21" ht="15" customHeight="1" x14ac:dyDescent="0.25">
      <c r="T40041" s="135"/>
      <c r="U40041" s="135"/>
    </row>
    <row r="40042" spans="20:21" ht="15" customHeight="1" x14ac:dyDescent="0.25">
      <c r="T40042" s="135"/>
      <c r="U40042" s="135"/>
    </row>
    <row r="40043" spans="20:21" ht="15" customHeight="1" x14ac:dyDescent="0.25">
      <c r="T40043" s="135"/>
      <c r="U40043" s="135"/>
    </row>
    <row r="40044" spans="20:21" ht="15" customHeight="1" x14ac:dyDescent="0.25">
      <c r="T40044" s="135"/>
      <c r="U40044" s="135"/>
    </row>
    <row r="40045" spans="20:21" ht="15" customHeight="1" x14ac:dyDescent="0.25">
      <c r="T40045" s="135"/>
      <c r="U40045" s="135"/>
    </row>
    <row r="40046" spans="20:21" ht="15" customHeight="1" x14ac:dyDescent="0.25">
      <c r="T40046" s="135"/>
      <c r="U40046" s="135"/>
    </row>
    <row r="40047" spans="20:21" ht="15" customHeight="1" x14ac:dyDescent="0.25">
      <c r="T40047" s="135"/>
      <c r="U40047" s="135"/>
    </row>
    <row r="40048" spans="20:21" ht="15" customHeight="1" x14ac:dyDescent="0.25">
      <c r="T40048" s="135"/>
      <c r="U40048" s="135"/>
    </row>
    <row r="40049" spans="20:21" ht="15" customHeight="1" x14ac:dyDescent="0.25">
      <c r="T40049" s="135"/>
      <c r="U40049" s="135"/>
    </row>
    <row r="40050" spans="20:21" ht="15" customHeight="1" x14ac:dyDescent="0.25">
      <c r="T40050" s="135"/>
      <c r="U40050" s="135"/>
    </row>
    <row r="40051" spans="20:21" ht="15" customHeight="1" x14ac:dyDescent="0.25">
      <c r="T40051" s="135"/>
      <c r="U40051" s="135"/>
    </row>
    <row r="40052" spans="20:21" ht="15" customHeight="1" x14ac:dyDescent="0.25">
      <c r="T40052" s="135"/>
      <c r="U40052" s="135"/>
    </row>
    <row r="40053" spans="20:21" ht="15" customHeight="1" x14ac:dyDescent="0.25">
      <c r="T40053" s="135"/>
      <c r="U40053" s="135"/>
    </row>
    <row r="40054" spans="20:21" ht="15" customHeight="1" x14ac:dyDescent="0.25">
      <c r="T40054" s="135"/>
      <c r="U40054" s="135"/>
    </row>
    <row r="40055" spans="20:21" ht="15" customHeight="1" x14ac:dyDescent="0.25">
      <c r="T40055" s="135"/>
      <c r="U40055" s="135"/>
    </row>
    <row r="40056" spans="20:21" ht="15" customHeight="1" x14ac:dyDescent="0.25">
      <c r="T40056" s="135"/>
      <c r="U40056" s="135"/>
    </row>
    <row r="40057" spans="20:21" ht="15" customHeight="1" x14ac:dyDescent="0.25">
      <c r="T40057" s="135"/>
      <c r="U40057" s="135"/>
    </row>
    <row r="40058" spans="20:21" ht="15" customHeight="1" x14ac:dyDescent="0.25">
      <c r="T40058" s="135"/>
      <c r="U40058" s="135"/>
    </row>
    <row r="40059" spans="20:21" ht="15" customHeight="1" x14ac:dyDescent="0.25">
      <c r="T40059" s="135"/>
      <c r="U40059" s="135"/>
    </row>
    <row r="40060" spans="20:21" ht="15" customHeight="1" x14ac:dyDescent="0.25">
      <c r="T40060" s="135"/>
      <c r="U40060" s="135"/>
    </row>
    <row r="40061" spans="20:21" ht="15" customHeight="1" x14ac:dyDescent="0.25">
      <c r="T40061" s="135"/>
      <c r="U40061" s="135"/>
    </row>
    <row r="40062" spans="20:21" ht="15" customHeight="1" x14ac:dyDescent="0.25">
      <c r="T40062" s="135"/>
      <c r="U40062" s="135"/>
    </row>
    <row r="40063" spans="20:21" ht="15" customHeight="1" x14ac:dyDescent="0.25">
      <c r="T40063" s="135"/>
      <c r="U40063" s="135"/>
    </row>
    <row r="40064" spans="20:21" ht="15" customHeight="1" x14ac:dyDescent="0.25">
      <c r="T40064" s="135"/>
      <c r="U40064" s="135"/>
    </row>
    <row r="40065" spans="20:21" ht="15" customHeight="1" x14ac:dyDescent="0.25">
      <c r="T40065" s="135"/>
      <c r="U40065" s="135"/>
    </row>
    <row r="40066" spans="20:21" ht="15" customHeight="1" x14ac:dyDescent="0.25">
      <c r="T40066" s="135"/>
      <c r="U40066" s="135"/>
    </row>
    <row r="40067" spans="20:21" ht="15" customHeight="1" x14ac:dyDescent="0.25">
      <c r="T40067" s="135"/>
      <c r="U40067" s="135"/>
    </row>
    <row r="40068" spans="20:21" ht="15" customHeight="1" x14ac:dyDescent="0.25">
      <c r="T40068" s="135"/>
      <c r="U40068" s="135"/>
    </row>
    <row r="40069" spans="20:21" ht="15" customHeight="1" x14ac:dyDescent="0.25">
      <c r="T40069" s="135"/>
      <c r="U40069" s="135"/>
    </row>
    <row r="40070" spans="20:21" ht="15" customHeight="1" x14ac:dyDescent="0.25">
      <c r="T40070" s="135"/>
      <c r="U40070" s="135"/>
    </row>
    <row r="40071" spans="20:21" ht="15" customHeight="1" x14ac:dyDescent="0.25">
      <c r="T40071" s="135"/>
      <c r="U40071" s="135"/>
    </row>
    <row r="40072" spans="20:21" ht="15" customHeight="1" x14ac:dyDescent="0.25">
      <c r="T40072" s="135"/>
      <c r="U40072" s="135"/>
    </row>
    <row r="40073" spans="20:21" ht="15" customHeight="1" x14ac:dyDescent="0.25">
      <c r="T40073" s="135"/>
      <c r="U40073" s="135"/>
    </row>
    <row r="40074" spans="20:21" ht="15" customHeight="1" x14ac:dyDescent="0.25">
      <c r="T40074" s="135"/>
      <c r="U40074" s="135"/>
    </row>
    <row r="40075" spans="20:21" ht="15" customHeight="1" x14ac:dyDescent="0.25">
      <c r="T40075" s="135"/>
      <c r="U40075" s="135"/>
    </row>
    <row r="40076" spans="20:21" ht="15" customHeight="1" x14ac:dyDescent="0.25">
      <c r="T40076" s="135"/>
      <c r="U40076" s="135"/>
    </row>
    <row r="40077" spans="20:21" ht="15" customHeight="1" x14ac:dyDescent="0.25">
      <c r="T40077" s="135"/>
      <c r="U40077" s="135"/>
    </row>
    <row r="40078" spans="20:21" ht="15" customHeight="1" x14ac:dyDescent="0.25">
      <c r="T40078" s="135"/>
      <c r="U40078" s="135"/>
    </row>
    <row r="40079" spans="20:21" ht="15" customHeight="1" x14ac:dyDescent="0.25">
      <c r="T40079" s="135"/>
      <c r="U40079" s="135"/>
    </row>
    <row r="40080" spans="20:21" ht="15" customHeight="1" x14ac:dyDescent="0.25">
      <c r="T40080" s="135"/>
      <c r="U40080" s="135"/>
    </row>
    <row r="40081" spans="20:21" ht="15" customHeight="1" x14ac:dyDescent="0.25">
      <c r="T40081" s="135"/>
      <c r="U40081" s="135"/>
    </row>
    <row r="40082" spans="20:21" ht="15" customHeight="1" x14ac:dyDescent="0.25">
      <c r="T40082" s="135"/>
      <c r="U40082" s="135"/>
    </row>
    <row r="40083" spans="20:21" ht="15" customHeight="1" x14ac:dyDescent="0.25">
      <c r="T40083" s="135"/>
      <c r="U40083" s="135"/>
    </row>
    <row r="40084" spans="20:21" ht="15" customHeight="1" x14ac:dyDescent="0.25">
      <c r="T40084" s="135"/>
      <c r="U40084" s="135"/>
    </row>
    <row r="40085" spans="20:21" ht="15" customHeight="1" x14ac:dyDescent="0.25">
      <c r="T40085" s="135"/>
      <c r="U40085" s="135"/>
    </row>
    <row r="40086" spans="20:21" ht="15" customHeight="1" x14ac:dyDescent="0.25">
      <c r="T40086" s="135"/>
      <c r="U40086" s="135"/>
    </row>
    <row r="40087" spans="20:21" ht="15" customHeight="1" x14ac:dyDescent="0.25">
      <c r="T40087" s="135"/>
      <c r="U40087" s="135"/>
    </row>
    <row r="40088" spans="20:21" ht="15" customHeight="1" x14ac:dyDescent="0.25">
      <c r="T40088" s="135"/>
      <c r="U40088" s="135"/>
    </row>
    <row r="40089" spans="20:21" ht="15" customHeight="1" x14ac:dyDescent="0.25">
      <c r="T40089" s="135"/>
      <c r="U40089" s="135"/>
    </row>
    <row r="40090" spans="20:21" ht="15" customHeight="1" x14ac:dyDescent="0.25">
      <c r="T40090" s="135"/>
      <c r="U40090" s="135"/>
    </row>
    <row r="40091" spans="20:21" ht="15" customHeight="1" x14ac:dyDescent="0.25">
      <c r="T40091" s="135"/>
      <c r="U40091" s="135"/>
    </row>
    <row r="40092" spans="20:21" ht="15" customHeight="1" x14ac:dyDescent="0.25">
      <c r="T40092" s="135"/>
      <c r="U40092" s="135"/>
    </row>
    <row r="40093" spans="20:21" ht="15" customHeight="1" x14ac:dyDescent="0.25">
      <c r="T40093" s="135"/>
      <c r="U40093" s="135"/>
    </row>
    <row r="40094" spans="20:21" ht="15" customHeight="1" x14ac:dyDescent="0.25">
      <c r="T40094" s="135"/>
      <c r="U40094" s="135"/>
    </row>
    <row r="40095" spans="20:21" ht="15" customHeight="1" x14ac:dyDescent="0.25">
      <c r="T40095" s="135"/>
      <c r="U40095" s="135"/>
    </row>
    <row r="40096" spans="20:21" ht="15" customHeight="1" x14ac:dyDescent="0.25">
      <c r="T40096" s="135"/>
      <c r="U40096" s="135"/>
    </row>
    <row r="40097" spans="20:21" ht="15" customHeight="1" x14ac:dyDescent="0.25">
      <c r="T40097" s="135"/>
      <c r="U40097" s="135"/>
    </row>
    <row r="40098" spans="20:21" ht="15" customHeight="1" x14ac:dyDescent="0.25">
      <c r="T40098" s="135"/>
      <c r="U40098" s="135"/>
    </row>
    <row r="40099" spans="20:21" ht="15" customHeight="1" x14ac:dyDescent="0.25">
      <c r="T40099" s="135"/>
      <c r="U40099" s="135"/>
    </row>
    <row r="40100" spans="20:21" ht="15" customHeight="1" x14ac:dyDescent="0.25">
      <c r="T40100" s="135"/>
      <c r="U40100" s="135"/>
    </row>
    <row r="40101" spans="20:21" ht="15" customHeight="1" x14ac:dyDescent="0.25">
      <c r="T40101" s="135"/>
      <c r="U40101" s="135"/>
    </row>
    <row r="40102" spans="20:21" ht="15" customHeight="1" x14ac:dyDescent="0.25">
      <c r="T40102" s="135"/>
      <c r="U40102" s="135"/>
    </row>
    <row r="40103" spans="20:21" ht="15" customHeight="1" x14ac:dyDescent="0.25">
      <c r="T40103" s="135"/>
      <c r="U40103" s="135"/>
    </row>
    <row r="40104" spans="20:21" ht="15" customHeight="1" x14ac:dyDescent="0.25">
      <c r="T40104" s="135"/>
      <c r="U40104" s="135"/>
    </row>
    <row r="40105" spans="20:21" ht="15" customHeight="1" x14ac:dyDescent="0.25">
      <c r="T40105" s="135"/>
      <c r="U40105" s="135"/>
    </row>
    <row r="40106" spans="20:21" ht="15" customHeight="1" x14ac:dyDescent="0.25">
      <c r="T40106" s="135"/>
      <c r="U40106" s="135"/>
    </row>
    <row r="40107" spans="20:21" ht="15" customHeight="1" x14ac:dyDescent="0.25">
      <c r="T40107" s="135"/>
      <c r="U40107" s="135"/>
    </row>
    <row r="40108" spans="20:21" ht="15" customHeight="1" x14ac:dyDescent="0.25">
      <c r="T40108" s="135"/>
      <c r="U40108" s="135"/>
    </row>
    <row r="40109" spans="20:21" ht="15" customHeight="1" x14ac:dyDescent="0.25">
      <c r="T40109" s="135"/>
      <c r="U40109" s="135"/>
    </row>
    <row r="40110" spans="20:21" ht="15" customHeight="1" x14ac:dyDescent="0.25">
      <c r="T40110" s="135"/>
      <c r="U40110" s="135"/>
    </row>
    <row r="40111" spans="20:21" ht="15" customHeight="1" x14ac:dyDescent="0.25">
      <c r="T40111" s="135"/>
      <c r="U40111" s="135"/>
    </row>
    <row r="40112" spans="20:21" ht="15" customHeight="1" x14ac:dyDescent="0.25">
      <c r="T40112" s="135"/>
      <c r="U40112" s="135"/>
    </row>
    <row r="40113" spans="20:21" ht="15" customHeight="1" x14ac:dyDescent="0.25">
      <c r="T40113" s="135"/>
      <c r="U40113" s="135"/>
    </row>
    <row r="40114" spans="20:21" ht="15" customHeight="1" x14ac:dyDescent="0.25">
      <c r="T40114" s="135"/>
      <c r="U40114" s="135"/>
    </row>
    <row r="40115" spans="20:21" ht="15" customHeight="1" x14ac:dyDescent="0.25">
      <c r="T40115" s="135"/>
      <c r="U40115" s="135"/>
    </row>
    <row r="40116" spans="20:21" ht="15" customHeight="1" x14ac:dyDescent="0.25">
      <c r="T40116" s="135"/>
      <c r="U40116" s="135"/>
    </row>
    <row r="40117" spans="20:21" ht="15" customHeight="1" x14ac:dyDescent="0.25">
      <c r="T40117" s="135"/>
      <c r="U40117" s="135"/>
    </row>
    <row r="40118" spans="20:21" ht="15" customHeight="1" x14ac:dyDescent="0.25">
      <c r="T40118" s="135"/>
      <c r="U40118" s="135"/>
    </row>
    <row r="40119" spans="20:21" ht="15" customHeight="1" x14ac:dyDescent="0.25">
      <c r="T40119" s="135"/>
      <c r="U40119" s="135"/>
    </row>
    <row r="40120" spans="20:21" ht="15" customHeight="1" x14ac:dyDescent="0.25">
      <c r="T40120" s="135"/>
      <c r="U40120" s="135"/>
    </row>
    <row r="40121" spans="20:21" ht="15" customHeight="1" x14ac:dyDescent="0.25">
      <c r="T40121" s="135"/>
      <c r="U40121" s="135"/>
    </row>
    <row r="40122" spans="20:21" ht="15" customHeight="1" x14ac:dyDescent="0.25">
      <c r="T40122" s="135"/>
      <c r="U40122" s="135"/>
    </row>
    <row r="40123" spans="20:21" ht="15" customHeight="1" x14ac:dyDescent="0.25">
      <c r="T40123" s="135"/>
      <c r="U40123" s="135"/>
    </row>
    <row r="40124" spans="20:21" ht="15" customHeight="1" x14ac:dyDescent="0.25">
      <c r="T40124" s="135"/>
      <c r="U40124" s="135"/>
    </row>
    <row r="40125" spans="20:21" ht="15" customHeight="1" x14ac:dyDescent="0.25">
      <c r="T40125" s="135"/>
      <c r="U40125" s="135"/>
    </row>
    <row r="40126" spans="20:21" ht="15" customHeight="1" x14ac:dyDescent="0.25">
      <c r="T40126" s="135"/>
      <c r="U40126" s="135"/>
    </row>
    <row r="40127" spans="20:21" ht="15" customHeight="1" x14ac:dyDescent="0.25">
      <c r="T40127" s="135"/>
      <c r="U40127" s="135"/>
    </row>
    <row r="40128" spans="20:21" ht="15" customHeight="1" x14ac:dyDescent="0.25">
      <c r="T40128" s="135"/>
      <c r="U40128" s="135"/>
    </row>
    <row r="40129" spans="20:21" ht="15" customHeight="1" x14ac:dyDescent="0.25">
      <c r="T40129" s="135"/>
      <c r="U40129" s="135"/>
    </row>
    <row r="40130" spans="20:21" ht="15" customHeight="1" x14ac:dyDescent="0.25">
      <c r="T40130" s="135"/>
      <c r="U40130" s="135"/>
    </row>
    <row r="40131" spans="20:21" ht="15" customHeight="1" x14ac:dyDescent="0.25">
      <c r="T40131" s="135"/>
      <c r="U40131" s="135"/>
    </row>
    <row r="40132" spans="20:21" ht="15" customHeight="1" x14ac:dyDescent="0.25">
      <c r="T40132" s="135"/>
      <c r="U40132" s="135"/>
    </row>
    <row r="40133" spans="20:21" ht="15" customHeight="1" x14ac:dyDescent="0.25">
      <c r="T40133" s="135"/>
      <c r="U40133" s="135"/>
    </row>
    <row r="40134" spans="20:21" ht="15" customHeight="1" x14ac:dyDescent="0.25">
      <c r="T40134" s="135"/>
      <c r="U40134" s="135"/>
    </row>
    <row r="40135" spans="20:21" ht="15" customHeight="1" x14ac:dyDescent="0.25">
      <c r="T40135" s="135"/>
      <c r="U40135" s="135"/>
    </row>
    <row r="40136" spans="20:21" ht="15" customHeight="1" x14ac:dyDescent="0.25">
      <c r="T40136" s="135"/>
      <c r="U40136" s="135"/>
    </row>
    <row r="40137" spans="20:21" ht="15" customHeight="1" x14ac:dyDescent="0.25">
      <c r="T40137" s="135"/>
      <c r="U40137" s="135"/>
    </row>
    <row r="40138" spans="20:21" ht="15" customHeight="1" x14ac:dyDescent="0.25">
      <c r="T40138" s="135"/>
      <c r="U40138" s="135"/>
    </row>
    <row r="40139" spans="20:21" ht="15" customHeight="1" x14ac:dyDescent="0.25">
      <c r="T40139" s="135"/>
      <c r="U40139" s="135"/>
    </row>
    <row r="40140" spans="20:21" ht="15" customHeight="1" x14ac:dyDescent="0.25">
      <c r="T40140" s="135"/>
      <c r="U40140" s="135"/>
    </row>
    <row r="40141" spans="20:21" ht="15" customHeight="1" x14ac:dyDescent="0.25">
      <c r="T40141" s="135"/>
      <c r="U40141" s="135"/>
    </row>
    <row r="40142" spans="20:21" ht="15" customHeight="1" x14ac:dyDescent="0.25">
      <c r="T40142" s="135"/>
      <c r="U40142" s="135"/>
    </row>
    <row r="40143" spans="20:21" ht="15" customHeight="1" x14ac:dyDescent="0.25">
      <c r="T40143" s="135"/>
      <c r="U40143" s="135"/>
    </row>
    <row r="40144" spans="20:21" ht="15" customHeight="1" x14ac:dyDescent="0.25">
      <c r="T40144" s="135"/>
      <c r="U40144" s="135"/>
    </row>
    <row r="40145" spans="20:21" ht="15" customHeight="1" x14ac:dyDescent="0.25">
      <c r="T40145" s="135"/>
      <c r="U40145" s="135"/>
    </row>
    <row r="40146" spans="20:21" ht="15" customHeight="1" x14ac:dyDescent="0.25">
      <c r="T40146" s="135"/>
      <c r="U40146" s="135"/>
    </row>
    <row r="40147" spans="20:21" ht="15" customHeight="1" x14ac:dyDescent="0.25">
      <c r="T40147" s="135"/>
      <c r="U40147" s="135"/>
    </row>
    <row r="40148" spans="20:21" ht="15" customHeight="1" x14ac:dyDescent="0.25">
      <c r="T40148" s="135"/>
      <c r="U40148" s="135"/>
    </row>
    <row r="40149" spans="20:21" ht="15" customHeight="1" x14ac:dyDescent="0.25">
      <c r="T40149" s="135"/>
      <c r="U40149" s="135"/>
    </row>
    <row r="40150" spans="20:21" ht="15" customHeight="1" x14ac:dyDescent="0.25">
      <c r="T40150" s="135"/>
      <c r="U40150" s="135"/>
    </row>
    <row r="40151" spans="20:21" ht="15" customHeight="1" x14ac:dyDescent="0.25">
      <c r="T40151" s="135"/>
      <c r="U40151" s="135"/>
    </row>
    <row r="40152" spans="20:21" ht="15" customHeight="1" x14ac:dyDescent="0.25">
      <c r="T40152" s="135"/>
      <c r="U40152" s="135"/>
    </row>
    <row r="40153" spans="20:21" ht="15" customHeight="1" x14ac:dyDescent="0.25">
      <c r="T40153" s="135"/>
      <c r="U40153" s="135"/>
    </row>
    <row r="40154" spans="20:21" ht="15" customHeight="1" x14ac:dyDescent="0.25">
      <c r="T40154" s="135"/>
      <c r="U40154" s="135"/>
    </row>
    <row r="40155" spans="20:21" ht="15" customHeight="1" x14ac:dyDescent="0.25">
      <c r="T40155" s="135"/>
      <c r="U40155" s="135"/>
    </row>
    <row r="40156" spans="20:21" ht="15" customHeight="1" x14ac:dyDescent="0.25">
      <c r="T40156" s="135"/>
      <c r="U40156" s="135"/>
    </row>
    <row r="40157" spans="20:21" ht="15" customHeight="1" x14ac:dyDescent="0.25">
      <c r="T40157" s="135"/>
      <c r="U40157" s="135"/>
    </row>
    <row r="40158" spans="20:21" ht="15" customHeight="1" x14ac:dyDescent="0.25">
      <c r="T40158" s="135"/>
      <c r="U40158" s="135"/>
    </row>
    <row r="40159" spans="20:21" ht="15" customHeight="1" x14ac:dyDescent="0.25">
      <c r="T40159" s="135"/>
      <c r="U40159" s="135"/>
    </row>
    <row r="40160" spans="20:21" ht="15" customHeight="1" x14ac:dyDescent="0.25">
      <c r="T40160" s="135"/>
      <c r="U40160" s="135"/>
    </row>
    <row r="40161" spans="20:21" ht="15" customHeight="1" x14ac:dyDescent="0.25">
      <c r="T40161" s="135"/>
      <c r="U40161" s="135"/>
    </row>
    <row r="40162" spans="20:21" ht="15" customHeight="1" x14ac:dyDescent="0.25">
      <c r="T40162" s="135"/>
      <c r="U40162" s="135"/>
    </row>
    <row r="40163" spans="20:21" ht="15" customHeight="1" x14ac:dyDescent="0.25">
      <c r="T40163" s="135"/>
      <c r="U40163" s="135"/>
    </row>
    <row r="40164" spans="20:21" ht="15" customHeight="1" x14ac:dyDescent="0.25">
      <c r="T40164" s="135"/>
      <c r="U40164" s="135"/>
    </row>
    <row r="40165" spans="20:21" ht="15" customHeight="1" x14ac:dyDescent="0.25">
      <c r="T40165" s="135"/>
      <c r="U40165" s="135"/>
    </row>
    <row r="40166" spans="20:21" ht="15" customHeight="1" x14ac:dyDescent="0.25">
      <c r="T40166" s="135"/>
      <c r="U40166" s="135"/>
    </row>
    <row r="40167" spans="20:21" ht="15" customHeight="1" x14ac:dyDescent="0.25">
      <c r="T40167" s="135"/>
      <c r="U40167" s="135"/>
    </row>
    <row r="40168" spans="20:21" ht="15" customHeight="1" x14ac:dyDescent="0.25">
      <c r="T40168" s="135"/>
      <c r="U40168" s="135"/>
    </row>
    <row r="40169" spans="20:21" ht="15" customHeight="1" x14ac:dyDescent="0.25">
      <c r="T40169" s="135"/>
      <c r="U40169" s="135"/>
    </row>
    <row r="40170" spans="20:21" ht="15" customHeight="1" x14ac:dyDescent="0.25">
      <c r="T40170" s="135"/>
      <c r="U40170" s="135"/>
    </row>
    <row r="40171" spans="20:21" ht="15" customHeight="1" x14ac:dyDescent="0.25">
      <c r="T40171" s="135"/>
      <c r="U40171" s="135"/>
    </row>
    <row r="40172" spans="20:21" ht="15" customHeight="1" x14ac:dyDescent="0.25">
      <c r="T40172" s="135"/>
      <c r="U40172" s="135"/>
    </row>
    <row r="40173" spans="20:21" ht="15" customHeight="1" x14ac:dyDescent="0.25">
      <c r="T40173" s="135"/>
      <c r="U40173" s="135"/>
    </row>
    <row r="40174" spans="20:21" ht="15" customHeight="1" x14ac:dyDescent="0.25">
      <c r="T40174" s="135"/>
      <c r="U40174" s="135"/>
    </row>
    <row r="40175" spans="20:21" ht="15" customHeight="1" x14ac:dyDescent="0.25">
      <c r="T40175" s="135"/>
      <c r="U40175" s="135"/>
    </row>
    <row r="40176" spans="20:21" ht="15" customHeight="1" x14ac:dyDescent="0.25">
      <c r="T40176" s="135"/>
      <c r="U40176" s="135"/>
    </row>
    <row r="40177" spans="20:21" ht="15" customHeight="1" x14ac:dyDescent="0.25">
      <c r="T40177" s="135"/>
      <c r="U40177" s="135"/>
    </row>
    <row r="40178" spans="20:21" ht="15" customHeight="1" x14ac:dyDescent="0.25">
      <c r="T40178" s="135"/>
      <c r="U40178" s="135"/>
    </row>
    <row r="40179" spans="20:21" ht="15" customHeight="1" x14ac:dyDescent="0.25">
      <c r="T40179" s="135"/>
      <c r="U40179" s="135"/>
    </row>
    <row r="40180" spans="20:21" ht="15" customHeight="1" x14ac:dyDescent="0.25">
      <c r="T40180" s="135"/>
      <c r="U40180" s="135"/>
    </row>
    <row r="40181" spans="20:21" ht="15" customHeight="1" x14ac:dyDescent="0.25">
      <c r="T40181" s="135"/>
      <c r="U40181" s="135"/>
    </row>
    <row r="40182" spans="20:21" ht="15" customHeight="1" x14ac:dyDescent="0.25">
      <c r="T40182" s="135"/>
      <c r="U40182" s="135"/>
    </row>
    <row r="40183" spans="20:21" ht="15" customHeight="1" x14ac:dyDescent="0.25">
      <c r="T40183" s="135"/>
      <c r="U40183" s="135"/>
    </row>
    <row r="40184" spans="20:21" ht="15" customHeight="1" x14ac:dyDescent="0.25">
      <c r="T40184" s="135"/>
      <c r="U40184" s="135"/>
    </row>
    <row r="40185" spans="20:21" ht="15" customHeight="1" x14ac:dyDescent="0.25">
      <c r="T40185" s="135"/>
      <c r="U40185" s="135"/>
    </row>
    <row r="40186" spans="20:21" ht="15" customHeight="1" x14ac:dyDescent="0.25">
      <c r="T40186" s="135"/>
      <c r="U40186" s="135"/>
    </row>
    <row r="40187" spans="20:21" ht="15" customHeight="1" x14ac:dyDescent="0.25">
      <c r="T40187" s="135"/>
      <c r="U40187" s="135"/>
    </row>
    <row r="40188" spans="20:21" ht="15" customHeight="1" x14ac:dyDescent="0.25">
      <c r="T40188" s="135"/>
      <c r="U40188" s="135"/>
    </row>
    <row r="40189" spans="20:21" ht="15" customHeight="1" x14ac:dyDescent="0.25">
      <c r="T40189" s="135"/>
      <c r="U40189" s="135"/>
    </row>
    <row r="40190" spans="20:21" ht="15" customHeight="1" x14ac:dyDescent="0.25">
      <c r="T40190" s="135"/>
      <c r="U40190" s="135"/>
    </row>
    <row r="40191" spans="20:21" ht="15" customHeight="1" x14ac:dyDescent="0.25">
      <c r="T40191" s="135"/>
      <c r="U40191" s="135"/>
    </row>
    <row r="40192" spans="20:21" ht="15" customHeight="1" x14ac:dyDescent="0.25">
      <c r="T40192" s="135"/>
      <c r="U40192" s="135"/>
    </row>
    <row r="40193" spans="20:21" ht="15" customHeight="1" x14ac:dyDescent="0.25">
      <c r="T40193" s="135"/>
      <c r="U40193" s="135"/>
    </row>
    <row r="40194" spans="20:21" ht="15" customHeight="1" x14ac:dyDescent="0.25">
      <c r="T40194" s="135"/>
      <c r="U40194" s="135"/>
    </row>
    <row r="40195" spans="20:21" ht="15" customHeight="1" x14ac:dyDescent="0.25">
      <c r="T40195" s="135"/>
      <c r="U40195" s="135"/>
    </row>
    <row r="40196" spans="20:21" ht="15" customHeight="1" x14ac:dyDescent="0.25">
      <c r="T40196" s="135"/>
      <c r="U40196" s="135"/>
    </row>
    <row r="40197" spans="20:21" ht="15" customHeight="1" x14ac:dyDescent="0.25">
      <c r="T40197" s="135"/>
      <c r="U40197" s="135"/>
    </row>
    <row r="40198" spans="20:21" ht="15" customHeight="1" x14ac:dyDescent="0.25">
      <c r="T40198" s="135"/>
      <c r="U40198" s="135"/>
    </row>
    <row r="40199" spans="20:21" ht="15" customHeight="1" x14ac:dyDescent="0.25">
      <c r="T40199" s="135"/>
      <c r="U40199" s="135"/>
    </row>
    <row r="40200" spans="20:21" ht="15" customHeight="1" x14ac:dyDescent="0.25">
      <c r="T40200" s="135"/>
      <c r="U40200" s="135"/>
    </row>
    <row r="40201" spans="20:21" ht="15" customHeight="1" x14ac:dyDescent="0.25">
      <c r="T40201" s="135"/>
      <c r="U40201" s="135"/>
    </row>
    <row r="40202" spans="20:21" ht="15" customHeight="1" x14ac:dyDescent="0.25">
      <c r="T40202" s="135"/>
      <c r="U40202" s="135"/>
    </row>
    <row r="40203" spans="20:21" ht="15" customHeight="1" x14ac:dyDescent="0.25">
      <c r="T40203" s="135"/>
      <c r="U40203" s="135"/>
    </row>
    <row r="40204" spans="20:21" ht="15" customHeight="1" x14ac:dyDescent="0.25">
      <c r="T40204" s="135"/>
      <c r="U40204" s="135"/>
    </row>
    <row r="40205" spans="20:21" ht="15" customHeight="1" x14ac:dyDescent="0.25">
      <c r="T40205" s="135"/>
      <c r="U40205" s="135"/>
    </row>
    <row r="40206" spans="20:21" ht="15" customHeight="1" x14ac:dyDescent="0.25">
      <c r="T40206" s="135"/>
      <c r="U40206" s="135"/>
    </row>
    <row r="40207" spans="20:21" ht="15" customHeight="1" x14ac:dyDescent="0.25">
      <c r="T40207" s="135"/>
      <c r="U40207" s="135"/>
    </row>
    <row r="40208" spans="20:21" ht="15" customHeight="1" x14ac:dyDescent="0.25">
      <c r="T40208" s="135"/>
      <c r="U40208" s="135"/>
    </row>
    <row r="40209" spans="20:21" ht="15" customHeight="1" x14ac:dyDescent="0.25">
      <c r="T40209" s="135"/>
      <c r="U40209" s="135"/>
    </row>
    <row r="40210" spans="20:21" ht="15" customHeight="1" x14ac:dyDescent="0.25">
      <c r="T40210" s="135"/>
      <c r="U40210" s="135"/>
    </row>
    <row r="40211" spans="20:21" ht="15" customHeight="1" x14ac:dyDescent="0.25">
      <c r="T40211" s="135"/>
      <c r="U40211" s="135"/>
    </row>
    <row r="40212" spans="20:21" ht="15" customHeight="1" x14ac:dyDescent="0.25">
      <c r="T40212" s="135"/>
      <c r="U40212" s="135"/>
    </row>
    <row r="40213" spans="20:21" ht="15" customHeight="1" x14ac:dyDescent="0.25">
      <c r="T40213" s="135"/>
      <c r="U40213" s="135"/>
    </row>
    <row r="40214" spans="20:21" ht="15" customHeight="1" x14ac:dyDescent="0.25">
      <c r="T40214" s="135"/>
      <c r="U40214" s="135"/>
    </row>
    <row r="40215" spans="20:21" ht="15" customHeight="1" x14ac:dyDescent="0.25">
      <c r="T40215" s="135"/>
      <c r="U40215" s="135"/>
    </row>
    <row r="40216" spans="20:21" ht="15" customHeight="1" x14ac:dyDescent="0.25">
      <c r="T40216" s="135"/>
      <c r="U40216" s="135"/>
    </row>
    <row r="40217" spans="20:21" ht="15" customHeight="1" x14ac:dyDescent="0.25">
      <c r="T40217" s="135"/>
      <c r="U40217" s="135"/>
    </row>
    <row r="40218" spans="20:21" ht="15" customHeight="1" x14ac:dyDescent="0.25">
      <c r="T40218" s="135"/>
      <c r="U40218" s="135"/>
    </row>
    <row r="40219" spans="20:21" ht="15" customHeight="1" x14ac:dyDescent="0.25">
      <c r="T40219" s="135"/>
      <c r="U40219" s="135"/>
    </row>
    <row r="40220" spans="20:21" ht="15" customHeight="1" x14ac:dyDescent="0.25">
      <c r="T40220" s="135"/>
      <c r="U40220" s="135"/>
    </row>
    <row r="40221" spans="20:21" ht="15" customHeight="1" x14ac:dyDescent="0.25">
      <c r="T40221" s="135"/>
      <c r="U40221" s="135"/>
    </row>
    <row r="40222" spans="20:21" ht="15" customHeight="1" x14ac:dyDescent="0.25">
      <c r="T40222" s="135"/>
      <c r="U40222" s="135"/>
    </row>
    <row r="40223" spans="20:21" ht="15" customHeight="1" x14ac:dyDescent="0.25">
      <c r="T40223" s="135"/>
      <c r="U40223" s="135"/>
    </row>
    <row r="40224" spans="20:21" ht="15" customHeight="1" x14ac:dyDescent="0.25">
      <c r="T40224" s="135"/>
      <c r="U40224" s="135"/>
    </row>
    <row r="40225" spans="20:21" ht="15" customHeight="1" x14ac:dyDescent="0.25">
      <c r="T40225" s="135"/>
      <c r="U40225" s="135"/>
    </row>
    <row r="40226" spans="20:21" ht="15" customHeight="1" x14ac:dyDescent="0.25">
      <c r="T40226" s="135"/>
      <c r="U40226" s="135"/>
    </row>
    <row r="40227" spans="20:21" ht="15" customHeight="1" x14ac:dyDescent="0.25">
      <c r="T40227" s="135"/>
      <c r="U40227" s="135"/>
    </row>
    <row r="40228" spans="20:21" ht="15" customHeight="1" x14ac:dyDescent="0.25">
      <c r="T40228" s="135"/>
      <c r="U40228" s="135"/>
    </row>
    <row r="40229" spans="20:21" ht="15" customHeight="1" x14ac:dyDescent="0.25">
      <c r="T40229" s="135"/>
      <c r="U40229" s="135"/>
    </row>
    <row r="40230" spans="20:21" ht="15" customHeight="1" x14ac:dyDescent="0.25">
      <c r="T40230" s="135"/>
      <c r="U40230" s="135"/>
    </row>
    <row r="40231" spans="20:21" ht="15" customHeight="1" x14ac:dyDescent="0.25">
      <c r="T40231" s="135"/>
      <c r="U40231" s="135"/>
    </row>
    <row r="40232" spans="20:21" ht="15" customHeight="1" x14ac:dyDescent="0.25">
      <c r="T40232" s="135"/>
      <c r="U40232" s="135"/>
    </row>
    <row r="40233" spans="20:21" ht="15" customHeight="1" x14ac:dyDescent="0.25">
      <c r="T40233" s="135"/>
      <c r="U40233" s="135"/>
    </row>
    <row r="40234" spans="20:21" ht="15" customHeight="1" x14ac:dyDescent="0.25">
      <c r="T40234" s="135"/>
      <c r="U40234" s="135"/>
    </row>
    <row r="40235" spans="20:21" ht="15" customHeight="1" x14ac:dyDescent="0.25">
      <c r="T40235" s="135"/>
      <c r="U40235" s="135"/>
    </row>
    <row r="40236" spans="20:21" ht="15" customHeight="1" x14ac:dyDescent="0.25">
      <c r="T40236" s="135"/>
      <c r="U40236" s="135"/>
    </row>
    <row r="40237" spans="20:21" ht="15" customHeight="1" x14ac:dyDescent="0.25">
      <c r="T40237" s="135"/>
      <c r="U40237" s="135"/>
    </row>
    <row r="40238" spans="20:21" ht="15" customHeight="1" x14ac:dyDescent="0.25">
      <c r="T40238" s="135"/>
      <c r="U40238" s="135"/>
    </row>
    <row r="40239" spans="20:21" ht="15" customHeight="1" x14ac:dyDescent="0.25">
      <c r="T40239" s="135"/>
      <c r="U40239" s="135"/>
    </row>
    <row r="40240" spans="20:21" ht="15" customHeight="1" x14ac:dyDescent="0.25">
      <c r="T40240" s="135"/>
      <c r="U40240" s="135"/>
    </row>
    <row r="40241" spans="20:21" ht="15" customHeight="1" x14ac:dyDescent="0.25">
      <c r="T40241" s="135"/>
      <c r="U40241" s="135"/>
    </row>
    <row r="40242" spans="20:21" ht="15" customHeight="1" x14ac:dyDescent="0.25">
      <c r="T40242" s="135"/>
      <c r="U40242" s="135"/>
    </row>
    <row r="40243" spans="20:21" ht="15" customHeight="1" x14ac:dyDescent="0.25">
      <c r="T40243" s="135"/>
      <c r="U40243" s="135"/>
    </row>
    <row r="40244" spans="20:21" ht="15" customHeight="1" x14ac:dyDescent="0.25">
      <c r="T40244" s="135"/>
      <c r="U40244" s="135"/>
    </row>
    <row r="40245" spans="20:21" ht="15" customHeight="1" x14ac:dyDescent="0.25">
      <c r="T40245" s="135"/>
      <c r="U40245" s="135"/>
    </row>
    <row r="40246" spans="20:21" ht="15" customHeight="1" x14ac:dyDescent="0.25">
      <c r="T40246" s="135"/>
      <c r="U40246" s="135"/>
    </row>
    <row r="40247" spans="20:21" ht="15" customHeight="1" x14ac:dyDescent="0.25">
      <c r="T40247" s="135"/>
      <c r="U40247" s="135"/>
    </row>
    <row r="40248" spans="20:21" ht="15" customHeight="1" x14ac:dyDescent="0.25">
      <c r="T40248" s="135"/>
      <c r="U40248" s="135"/>
    </row>
    <row r="40249" spans="20:21" ht="15" customHeight="1" x14ac:dyDescent="0.25">
      <c r="T40249" s="135"/>
      <c r="U40249" s="135"/>
    </row>
    <row r="40250" spans="20:21" ht="15" customHeight="1" x14ac:dyDescent="0.25">
      <c r="T40250" s="135"/>
      <c r="U40250" s="135"/>
    </row>
    <row r="40251" spans="20:21" ht="15" customHeight="1" x14ac:dyDescent="0.25">
      <c r="T40251" s="135"/>
      <c r="U40251" s="135"/>
    </row>
    <row r="40252" spans="20:21" ht="15" customHeight="1" x14ac:dyDescent="0.25">
      <c r="T40252" s="135"/>
      <c r="U40252" s="135"/>
    </row>
    <row r="40253" spans="20:21" ht="15" customHeight="1" x14ac:dyDescent="0.25">
      <c r="T40253" s="135"/>
      <c r="U40253" s="135"/>
    </row>
    <row r="40254" spans="20:21" ht="15" customHeight="1" x14ac:dyDescent="0.25">
      <c r="T40254" s="135"/>
      <c r="U40254" s="135"/>
    </row>
    <row r="40255" spans="20:21" ht="15" customHeight="1" x14ac:dyDescent="0.25">
      <c r="T40255" s="135"/>
      <c r="U40255" s="135"/>
    </row>
    <row r="40256" spans="20:21" ht="15" customHeight="1" x14ac:dyDescent="0.25">
      <c r="T40256" s="135"/>
      <c r="U40256" s="135"/>
    </row>
    <row r="40257" spans="20:21" ht="15" customHeight="1" x14ac:dyDescent="0.25">
      <c r="T40257" s="135"/>
      <c r="U40257" s="135"/>
    </row>
    <row r="40258" spans="20:21" ht="15" customHeight="1" x14ac:dyDescent="0.25">
      <c r="T40258" s="135"/>
      <c r="U40258" s="135"/>
    </row>
    <row r="40259" spans="20:21" ht="15" customHeight="1" x14ac:dyDescent="0.25">
      <c r="T40259" s="135"/>
      <c r="U40259" s="135"/>
    </row>
    <row r="40260" spans="20:21" ht="15" customHeight="1" x14ac:dyDescent="0.25">
      <c r="T40260" s="135"/>
      <c r="U40260" s="135"/>
    </row>
    <row r="40261" spans="20:21" ht="15" customHeight="1" x14ac:dyDescent="0.25">
      <c r="T40261" s="135"/>
      <c r="U40261" s="135"/>
    </row>
    <row r="40262" spans="20:21" ht="15" customHeight="1" x14ac:dyDescent="0.25">
      <c r="T40262" s="135"/>
      <c r="U40262" s="135"/>
    </row>
    <row r="40263" spans="20:21" ht="15" customHeight="1" x14ac:dyDescent="0.25">
      <c r="T40263" s="135"/>
      <c r="U40263" s="135"/>
    </row>
    <row r="40264" spans="20:21" ht="15" customHeight="1" x14ac:dyDescent="0.25">
      <c r="T40264" s="135"/>
      <c r="U40264" s="135"/>
    </row>
    <row r="40265" spans="20:21" ht="15" customHeight="1" x14ac:dyDescent="0.25">
      <c r="T40265" s="135"/>
      <c r="U40265" s="135"/>
    </row>
    <row r="40266" spans="20:21" ht="15" customHeight="1" x14ac:dyDescent="0.25">
      <c r="T40266" s="135"/>
      <c r="U40266" s="135"/>
    </row>
    <row r="40267" spans="20:21" ht="15" customHeight="1" x14ac:dyDescent="0.25">
      <c r="T40267" s="135"/>
      <c r="U40267" s="135"/>
    </row>
    <row r="40268" spans="20:21" ht="15" customHeight="1" x14ac:dyDescent="0.25">
      <c r="T40268" s="135"/>
      <c r="U40268" s="135"/>
    </row>
    <row r="40269" spans="20:21" ht="15" customHeight="1" x14ac:dyDescent="0.25">
      <c r="T40269" s="135"/>
      <c r="U40269" s="135"/>
    </row>
    <row r="40270" spans="20:21" ht="15" customHeight="1" x14ac:dyDescent="0.25">
      <c r="T40270" s="135"/>
      <c r="U40270" s="135"/>
    </row>
    <row r="40271" spans="20:21" ht="15" customHeight="1" x14ac:dyDescent="0.25">
      <c r="T40271" s="135"/>
      <c r="U40271" s="135"/>
    </row>
    <row r="40272" spans="20:21" ht="15" customHeight="1" x14ac:dyDescent="0.25">
      <c r="T40272" s="135"/>
      <c r="U40272" s="135"/>
    </row>
    <row r="40273" spans="20:21" ht="15" customHeight="1" x14ac:dyDescent="0.25">
      <c r="T40273" s="135"/>
      <c r="U40273" s="135"/>
    </row>
    <row r="40274" spans="20:21" ht="15" customHeight="1" x14ac:dyDescent="0.25">
      <c r="T40274" s="135"/>
      <c r="U40274" s="135"/>
    </row>
    <row r="40275" spans="20:21" ht="15" customHeight="1" x14ac:dyDescent="0.25">
      <c r="T40275" s="135"/>
      <c r="U40275" s="135"/>
    </row>
    <row r="40276" spans="20:21" ht="15" customHeight="1" x14ac:dyDescent="0.25">
      <c r="T40276" s="135"/>
      <c r="U40276" s="135"/>
    </row>
    <row r="40277" spans="20:21" ht="15" customHeight="1" x14ac:dyDescent="0.25">
      <c r="T40277" s="135"/>
      <c r="U40277" s="135"/>
    </row>
    <row r="40278" spans="20:21" ht="15" customHeight="1" x14ac:dyDescent="0.25">
      <c r="T40278" s="135"/>
      <c r="U40278" s="135"/>
    </row>
    <row r="40279" spans="20:21" ht="15" customHeight="1" x14ac:dyDescent="0.25">
      <c r="T40279" s="135"/>
      <c r="U40279" s="135"/>
    </row>
    <row r="40280" spans="20:21" ht="15" customHeight="1" x14ac:dyDescent="0.25">
      <c r="T40280" s="135"/>
      <c r="U40280" s="135"/>
    </row>
    <row r="40281" spans="20:21" ht="15" customHeight="1" x14ac:dyDescent="0.25">
      <c r="T40281" s="135"/>
      <c r="U40281" s="135"/>
    </row>
    <row r="40282" spans="20:21" ht="15" customHeight="1" x14ac:dyDescent="0.25">
      <c r="T40282" s="135"/>
      <c r="U40282" s="135"/>
    </row>
    <row r="40283" spans="20:21" ht="15" customHeight="1" x14ac:dyDescent="0.25">
      <c r="T40283" s="135"/>
      <c r="U40283" s="135"/>
    </row>
    <row r="40284" spans="20:21" ht="15" customHeight="1" x14ac:dyDescent="0.25">
      <c r="T40284" s="135"/>
      <c r="U40284" s="135"/>
    </row>
    <row r="40285" spans="20:21" ht="15" customHeight="1" x14ac:dyDescent="0.25">
      <c r="T40285" s="135"/>
      <c r="U40285" s="135"/>
    </row>
    <row r="40286" spans="20:21" ht="15" customHeight="1" x14ac:dyDescent="0.25">
      <c r="T40286" s="135"/>
      <c r="U40286" s="135"/>
    </row>
    <row r="40287" spans="20:21" ht="15" customHeight="1" x14ac:dyDescent="0.25">
      <c r="T40287" s="135"/>
      <c r="U40287" s="135"/>
    </row>
    <row r="40288" spans="20:21" ht="15" customHeight="1" x14ac:dyDescent="0.25">
      <c r="T40288" s="135"/>
      <c r="U40288" s="135"/>
    </row>
    <row r="40289" spans="20:21" ht="15" customHeight="1" x14ac:dyDescent="0.25">
      <c r="T40289" s="135"/>
      <c r="U40289" s="135"/>
    </row>
    <row r="40290" spans="20:21" ht="15" customHeight="1" x14ac:dyDescent="0.25">
      <c r="T40290" s="135"/>
      <c r="U40290" s="135"/>
    </row>
    <row r="40291" spans="20:21" ht="15" customHeight="1" x14ac:dyDescent="0.25">
      <c r="T40291" s="135"/>
      <c r="U40291" s="135"/>
    </row>
    <row r="40292" spans="20:21" ht="15" customHeight="1" x14ac:dyDescent="0.25">
      <c r="T40292" s="135"/>
      <c r="U40292" s="135"/>
    </row>
    <row r="40293" spans="20:21" ht="15" customHeight="1" x14ac:dyDescent="0.25">
      <c r="T40293" s="135"/>
      <c r="U40293" s="135"/>
    </row>
    <row r="40294" spans="20:21" ht="15" customHeight="1" x14ac:dyDescent="0.25">
      <c r="T40294" s="135"/>
      <c r="U40294" s="135"/>
    </row>
    <row r="40295" spans="20:21" ht="15" customHeight="1" x14ac:dyDescent="0.25">
      <c r="T40295" s="135"/>
      <c r="U40295" s="135"/>
    </row>
    <row r="40296" spans="20:21" ht="15" customHeight="1" x14ac:dyDescent="0.25">
      <c r="T40296" s="135"/>
      <c r="U40296" s="135"/>
    </row>
    <row r="40297" spans="20:21" ht="15" customHeight="1" x14ac:dyDescent="0.25">
      <c r="T40297" s="135"/>
      <c r="U40297" s="135"/>
    </row>
    <row r="40298" spans="20:21" ht="15" customHeight="1" x14ac:dyDescent="0.25">
      <c r="T40298" s="135"/>
      <c r="U40298" s="135"/>
    </row>
    <row r="40299" spans="20:21" ht="15" customHeight="1" x14ac:dyDescent="0.25">
      <c r="T40299" s="135"/>
      <c r="U40299" s="135"/>
    </row>
    <row r="40300" spans="20:21" ht="15" customHeight="1" x14ac:dyDescent="0.25">
      <c r="T40300" s="135"/>
      <c r="U40300" s="135"/>
    </row>
    <row r="40301" spans="20:21" ht="15" customHeight="1" x14ac:dyDescent="0.25">
      <c r="T40301" s="135"/>
      <c r="U40301" s="135"/>
    </row>
    <row r="40302" spans="20:21" ht="15" customHeight="1" x14ac:dyDescent="0.25">
      <c r="T40302" s="135"/>
      <c r="U40302" s="135"/>
    </row>
    <row r="40303" spans="20:21" ht="15" customHeight="1" x14ac:dyDescent="0.25">
      <c r="T40303" s="135"/>
      <c r="U40303" s="135"/>
    </row>
    <row r="40304" spans="20:21" ht="15" customHeight="1" x14ac:dyDescent="0.25">
      <c r="T40304" s="135"/>
      <c r="U40304" s="135"/>
    </row>
    <row r="40305" spans="20:21" ht="15" customHeight="1" x14ac:dyDescent="0.25">
      <c r="T40305" s="135"/>
      <c r="U40305" s="135"/>
    </row>
    <row r="40306" spans="20:21" ht="15" customHeight="1" x14ac:dyDescent="0.25">
      <c r="T40306" s="135"/>
      <c r="U40306" s="135"/>
    </row>
    <row r="40307" spans="20:21" ht="15" customHeight="1" x14ac:dyDescent="0.25">
      <c r="T40307" s="135"/>
      <c r="U40307" s="135"/>
    </row>
    <row r="40308" spans="20:21" ht="15" customHeight="1" x14ac:dyDescent="0.25">
      <c r="T40308" s="135"/>
      <c r="U40308" s="135"/>
    </row>
    <row r="40309" spans="20:21" ht="15" customHeight="1" x14ac:dyDescent="0.25">
      <c r="T40309" s="135"/>
      <c r="U40309" s="135"/>
    </row>
    <row r="40310" spans="20:21" ht="15" customHeight="1" x14ac:dyDescent="0.25">
      <c r="T40310" s="135"/>
      <c r="U40310" s="135"/>
    </row>
    <row r="40311" spans="20:21" ht="15" customHeight="1" x14ac:dyDescent="0.25">
      <c r="T40311" s="135"/>
      <c r="U40311" s="135"/>
    </row>
    <row r="40312" spans="20:21" ht="15" customHeight="1" x14ac:dyDescent="0.25">
      <c r="T40312" s="135"/>
      <c r="U40312" s="135"/>
    </row>
    <row r="40313" spans="20:21" ht="15" customHeight="1" x14ac:dyDescent="0.25">
      <c r="T40313" s="135"/>
      <c r="U40313" s="135"/>
    </row>
    <row r="40314" spans="20:21" ht="15" customHeight="1" x14ac:dyDescent="0.25">
      <c r="T40314" s="135"/>
      <c r="U40314" s="135"/>
    </row>
    <row r="40315" spans="20:21" ht="15" customHeight="1" x14ac:dyDescent="0.25">
      <c r="T40315" s="135"/>
      <c r="U40315" s="135"/>
    </row>
    <row r="40316" spans="20:21" ht="15" customHeight="1" x14ac:dyDescent="0.25">
      <c r="T40316" s="135"/>
      <c r="U40316" s="135"/>
    </row>
    <row r="40317" spans="20:21" ht="15" customHeight="1" x14ac:dyDescent="0.25">
      <c r="T40317" s="135"/>
      <c r="U40317" s="135"/>
    </row>
    <row r="40318" spans="20:21" ht="15" customHeight="1" x14ac:dyDescent="0.25">
      <c r="T40318" s="135"/>
      <c r="U40318" s="135"/>
    </row>
    <row r="40319" spans="20:21" ht="15" customHeight="1" x14ac:dyDescent="0.25">
      <c r="T40319" s="135"/>
      <c r="U40319" s="135"/>
    </row>
    <row r="40320" spans="20:21" ht="15" customHeight="1" x14ac:dyDescent="0.25">
      <c r="T40320" s="135"/>
      <c r="U40320" s="135"/>
    </row>
    <row r="40321" spans="20:21" ht="15" customHeight="1" x14ac:dyDescent="0.25">
      <c r="T40321" s="135"/>
      <c r="U40321" s="135"/>
    </row>
    <row r="40322" spans="20:21" ht="15" customHeight="1" x14ac:dyDescent="0.25">
      <c r="T40322" s="135"/>
      <c r="U40322" s="135"/>
    </row>
    <row r="40323" spans="20:21" ht="15" customHeight="1" x14ac:dyDescent="0.25">
      <c r="T40323" s="135"/>
      <c r="U40323" s="135"/>
    </row>
    <row r="40324" spans="20:21" ht="15" customHeight="1" x14ac:dyDescent="0.25">
      <c r="T40324" s="135"/>
      <c r="U40324" s="135"/>
    </row>
    <row r="40325" spans="20:21" ht="15" customHeight="1" x14ac:dyDescent="0.25">
      <c r="T40325" s="135"/>
      <c r="U40325" s="135"/>
    </row>
    <row r="40326" spans="20:21" ht="15" customHeight="1" x14ac:dyDescent="0.25">
      <c r="T40326" s="135"/>
      <c r="U40326" s="135"/>
    </row>
    <row r="40327" spans="20:21" ht="15" customHeight="1" x14ac:dyDescent="0.25">
      <c r="T40327" s="135"/>
      <c r="U40327" s="135"/>
    </row>
    <row r="40328" spans="20:21" ht="15" customHeight="1" x14ac:dyDescent="0.25">
      <c r="T40328" s="135"/>
      <c r="U40328" s="135"/>
    </row>
    <row r="40329" spans="20:21" ht="15" customHeight="1" x14ac:dyDescent="0.25">
      <c r="T40329" s="135"/>
      <c r="U40329" s="135"/>
    </row>
    <row r="40330" spans="20:21" ht="15" customHeight="1" x14ac:dyDescent="0.25">
      <c r="T40330" s="135"/>
      <c r="U40330" s="135"/>
    </row>
    <row r="40331" spans="20:21" ht="15" customHeight="1" x14ac:dyDescent="0.25">
      <c r="T40331" s="135"/>
      <c r="U40331" s="135"/>
    </row>
    <row r="40332" spans="20:21" ht="15" customHeight="1" x14ac:dyDescent="0.25">
      <c r="T40332" s="135"/>
      <c r="U40332" s="135"/>
    </row>
    <row r="40333" spans="20:21" ht="15" customHeight="1" x14ac:dyDescent="0.25">
      <c r="T40333" s="135"/>
      <c r="U40333" s="135"/>
    </row>
    <row r="40334" spans="20:21" ht="15" customHeight="1" x14ac:dyDescent="0.25">
      <c r="T40334" s="135"/>
      <c r="U40334" s="135"/>
    </row>
    <row r="40335" spans="20:21" ht="15" customHeight="1" x14ac:dyDescent="0.25">
      <c r="T40335" s="135"/>
      <c r="U40335" s="135"/>
    </row>
    <row r="40336" spans="20:21" ht="15" customHeight="1" x14ac:dyDescent="0.25">
      <c r="T40336" s="135"/>
      <c r="U40336" s="135"/>
    </row>
    <row r="40337" spans="20:21" ht="15" customHeight="1" x14ac:dyDescent="0.25">
      <c r="T40337" s="135"/>
      <c r="U40337" s="135"/>
    </row>
    <row r="40338" spans="20:21" ht="15" customHeight="1" x14ac:dyDescent="0.25">
      <c r="T40338" s="135"/>
      <c r="U40338" s="135"/>
    </row>
    <row r="40339" spans="20:21" ht="15" customHeight="1" x14ac:dyDescent="0.25">
      <c r="T40339" s="135"/>
      <c r="U40339" s="135"/>
    </row>
    <row r="40340" spans="20:21" ht="15" customHeight="1" x14ac:dyDescent="0.25">
      <c r="T40340" s="135"/>
      <c r="U40340" s="135"/>
    </row>
    <row r="40341" spans="20:21" ht="15" customHeight="1" x14ac:dyDescent="0.25">
      <c r="T40341" s="135"/>
      <c r="U40341" s="135"/>
    </row>
    <row r="40342" spans="20:21" ht="15" customHeight="1" x14ac:dyDescent="0.25">
      <c r="T40342" s="135"/>
      <c r="U40342" s="135"/>
    </row>
    <row r="40343" spans="20:21" ht="15" customHeight="1" x14ac:dyDescent="0.25">
      <c r="T40343" s="135"/>
      <c r="U40343" s="135"/>
    </row>
    <row r="40344" spans="20:21" ht="15" customHeight="1" x14ac:dyDescent="0.25">
      <c r="T40344" s="135"/>
      <c r="U40344" s="135"/>
    </row>
    <row r="40345" spans="20:21" ht="15" customHeight="1" x14ac:dyDescent="0.25">
      <c r="T40345" s="135"/>
      <c r="U40345" s="135"/>
    </row>
    <row r="40346" spans="20:21" ht="15" customHeight="1" x14ac:dyDescent="0.25">
      <c r="T40346" s="135"/>
      <c r="U40346" s="135"/>
    </row>
    <row r="40347" spans="20:21" ht="15" customHeight="1" x14ac:dyDescent="0.25">
      <c r="T40347" s="135"/>
      <c r="U40347" s="135"/>
    </row>
    <row r="40348" spans="20:21" ht="15" customHeight="1" x14ac:dyDescent="0.25">
      <c r="T40348" s="135"/>
      <c r="U40348" s="135"/>
    </row>
    <row r="40349" spans="20:21" ht="15" customHeight="1" x14ac:dyDescent="0.25">
      <c r="T40349" s="135"/>
      <c r="U40349" s="135"/>
    </row>
    <row r="40350" spans="20:21" ht="15" customHeight="1" x14ac:dyDescent="0.25">
      <c r="T40350" s="135"/>
      <c r="U40350" s="135"/>
    </row>
    <row r="40351" spans="20:21" ht="15" customHeight="1" x14ac:dyDescent="0.25">
      <c r="T40351" s="135"/>
      <c r="U40351" s="135"/>
    </row>
    <row r="40352" spans="20:21" ht="15" customHeight="1" x14ac:dyDescent="0.25">
      <c r="T40352" s="135"/>
      <c r="U40352" s="135"/>
    </row>
    <row r="40353" spans="20:21" ht="15" customHeight="1" x14ac:dyDescent="0.25">
      <c r="T40353" s="135"/>
      <c r="U40353" s="135"/>
    </row>
    <row r="40354" spans="20:21" ht="15" customHeight="1" x14ac:dyDescent="0.25">
      <c r="T40354" s="135"/>
      <c r="U40354" s="135"/>
    </row>
    <row r="40355" spans="20:21" ht="15" customHeight="1" x14ac:dyDescent="0.25">
      <c r="T40355" s="135"/>
      <c r="U40355" s="135"/>
    </row>
    <row r="40356" spans="20:21" ht="15" customHeight="1" x14ac:dyDescent="0.25">
      <c r="T40356" s="135"/>
      <c r="U40356" s="135"/>
    </row>
    <row r="40357" spans="20:21" ht="15" customHeight="1" x14ac:dyDescent="0.25">
      <c r="T40357" s="135"/>
      <c r="U40357" s="135"/>
    </row>
    <row r="40358" spans="20:21" ht="15" customHeight="1" x14ac:dyDescent="0.25">
      <c r="T40358" s="135"/>
      <c r="U40358" s="135"/>
    </row>
    <row r="40359" spans="20:21" ht="15" customHeight="1" x14ac:dyDescent="0.25">
      <c r="T40359" s="135"/>
      <c r="U40359" s="135"/>
    </row>
    <row r="40360" spans="20:21" ht="15" customHeight="1" x14ac:dyDescent="0.25">
      <c r="T40360" s="135"/>
      <c r="U40360" s="135"/>
    </row>
    <row r="40361" spans="20:21" ht="15" customHeight="1" x14ac:dyDescent="0.25">
      <c r="T40361" s="135"/>
      <c r="U40361" s="135"/>
    </row>
    <row r="40362" spans="20:21" ht="15" customHeight="1" x14ac:dyDescent="0.25">
      <c r="T40362" s="135"/>
      <c r="U40362" s="135"/>
    </row>
    <row r="40363" spans="20:21" ht="15" customHeight="1" x14ac:dyDescent="0.25">
      <c r="T40363" s="135"/>
      <c r="U40363" s="135"/>
    </row>
    <row r="40364" spans="20:21" ht="15" customHeight="1" x14ac:dyDescent="0.25">
      <c r="T40364" s="135"/>
      <c r="U40364" s="135"/>
    </row>
    <row r="40365" spans="20:21" ht="15" customHeight="1" x14ac:dyDescent="0.25">
      <c r="T40365" s="135"/>
      <c r="U40365" s="135"/>
    </row>
    <row r="40366" spans="20:21" ht="15" customHeight="1" x14ac:dyDescent="0.25">
      <c r="T40366" s="135"/>
      <c r="U40366" s="135"/>
    </row>
    <row r="40367" spans="20:21" ht="15" customHeight="1" x14ac:dyDescent="0.25">
      <c r="T40367" s="135"/>
      <c r="U40367" s="135"/>
    </row>
    <row r="40368" spans="20:21" ht="15" customHeight="1" x14ac:dyDescent="0.25">
      <c r="T40368" s="135"/>
      <c r="U40368" s="135"/>
    </row>
    <row r="40369" spans="20:21" ht="15" customHeight="1" x14ac:dyDescent="0.25">
      <c r="T40369" s="135"/>
      <c r="U40369" s="135"/>
    </row>
    <row r="40370" spans="20:21" ht="15" customHeight="1" x14ac:dyDescent="0.25">
      <c r="T40370" s="135"/>
      <c r="U40370" s="135"/>
    </row>
    <row r="40371" spans="20:21" ht="15" customHeight="1" x14ac:dyDescent="0.25">
      <c r="T40371" s="135"/>
      <c r="U40371" s="135"/>
    </row>
    <row r="40372" spans="20:21" ht="15" customHeight="1" x14ac:dyDescent="0.25">
      <c r="T40372" s="135"/>
      <c r="U40372" s="135"/>
    </row>
    <row r="40373" spans="20:21" ht="15" customHeight="1" x14ac:dyDescent="0.25">
      <c r="T40373" s="135"/>
      <c r="U40373" s="135"/>
    </row>
    <row r="40374" spans="20:21" ht="15" customHeight="1" x14ac:dyDescent="0.25">
      <c r="T40374" s="135"/>
      <c r="U40374" s="135"/>
    </row>
    <row r="40375" spans="20:21" ht="15" customHeight="1" x14ac:dyDescent="0.25">
      <c r="T40375" s="135"/>
      <c r="U40375" s="135"/>
    </row>
    <row r="40376" spans="20:21" ht="15" customHeight="1" x14ac:dyDescent="0.25">
      <c r="T40376" s="135"/>
      <c r="U40376" s="135"/>
    </row>
    <row r="40377" spans="20:21" ht="15" customHeight="1" x14ac:dyDescent="0.25">
      <c r="T40377" s="135"/>
      <c r="U40377" s="135"/>
    </row>
    <row r="40378" spans="20:21" ht="15" customHeight="1" x14ac:dyDescent="0.25">
      <c r="T40378" s="135"/>
      <c r="U40378" s="135"/>
    </row>
    <row r="40379" spans="20:21" ht="15" customHeight="1" x14ac:dyDescent="0.25">
      <c r="T40379" s="135"/>
      <c r="U40379" s="135"/>
    </row>
    <row r="40380" spans="20:21" ht="15" customHeight="1" x14ac:dyDescent="0.25">
      <c r="T40380" s="135"/>
      <c r="U40380" s="135"/>
    </row>
    <row r="40381" spans="20:21" ht="15" customHeight="1" x14ac:dyDescent="0.25">
      <c r="T40381" s="135"/>
      <c r="U40381" s="135"/>
    </row>
    <row r="40382" spans="20:21" ht="15" customHeight="1" x14ac:dyDescent="0.25">
      <c r="T40382" s="135"/>
      <c r="U40382" s="135"/>
    </row>
    <row r="40383" spans="20:21" ht="15" customHeight="1" x14ac:dyDescent="0.25">
      <c r="T40383" s="135"/>
      <c r="U40383" s="135"/>
    </row>
    <row r="40384" spans="20:21" ht="15" customHeight="1" x14ac:dyDescent="0.25">
      <c r="T40384" s="135"/>
      <c r="U40384" s="135"/>
    </row>
    <row r="40385" spans="20:21" ht="15" customHeight="1" x14ac:dyDescent="0.25">
      <c r="T40385" s="135"/>
      <c r="U40385" s="135"/>
    </row>
    <row r="40386" spans="20:21" ht="15" customHeight="1" x14ac:dyDescent="0.25">
      <c r="T40386" s="135"/>
      <c r="U40386" s="135"/>
    </row>
    <row r="40387" spans="20:21" ht="15" customHeight="1" x14ac:dyDescent="0.25">
      <c r="T40387" s="135"/>
      <c r="U40387" s="135"/>
    </row>
    <row r="40388" spans="20:21" ht="15" customHeight="1" x14ac:dyDescent="0.25">
      <c r="T40388" s="135"/>
      <c r="U40388" s="135"/>
    </row>
    <row r="40389" spans="20:21" ht="15" customHeight="1" x14ac:dyDescent="0.25">
      <c r="T40389" s="135"/>
      <c r="U40389" s="135"/>
    </row>
    <row r="40390" spans="20:21" ht="15" customHeight="1" x14ac:dyDescent="0.25">
      <c r="T40390" s="135"/>
      <c r="U40390" s="135"/>
    </row>
    <row r="40391" spans="20:21" ht="15" customHeight="1" x14ac:dyDescent="0.25">
      <c r="T40391" s="135"/>
      <c r="U40391" s="135"/>
    </row>
    <row r="40392" spans="20:21" ht="15" customHeight="1" x14ac:dyDescent="0.25">
      <c r="T40392" s="135"/>
      <c r="U40392" s="135"/>
    </row>
    <row r="40393" spans="20:21" ht="15" customHeight="1" x14ac:dyDescent="0.25">
      <c r="T40393" s="135"/>
      <c r="U40393" s="135"/>
    </row>
    <row r="40394" spans="20:21" ht="15" customHeight="1" x14ac:dyDescent="0.25">
      <c r="T40394" s="135"/>
      <c r="U40394" s="135"/>
    </row>
    <row r="40395" spans="20:21" ht="15" customHeight="1" x14ac:dyDescent="0.25">
      <c r="T40395" s="135"/>
      <c r="U40395" s="135"/>
    </row>
    <row r="40396" spans="20:21" ht="15" customHeight="1" x14ac:dyDescent="0.25">
      <c r="T40396" s="135"/>
      <c r="U40396" s="135"/>
    </row>
    <row r="40397" spans="20:21" ht="15" customHeight="1" x14ac:dyDescent="0.25">
      <c r="T40397" s="135"/>
      <c r="U40397" s="135"/>
    </row>
    <row r="40398" spans="20:21" ht="15" customHeight="1" x14ac:dyDescent="0.25">
      <c r="T40398" s="135"/>
      <c r="U40398" s="135"/>
    </row>
    <row r="40399" spans="20:21" ht="15" customHeight="1" x14ac:dyDescent="0.25">
      <c r="T40399" s="135"/>
      <c r="U40399" s="135"/>
    </row>
    <row r="40400" spans="20:21" ht="15" customHeight="1" x14ac:dyDescent="0.25">
      <c r="T40400" s="135"/>
      <c r="U40400" s="135"/>
    </row>
    <row r="40401" spans="20:21" ht="15" customHeight="1" x14ac:dyDescent="0.25">
      <c r="T40401" s="135"/>
      <c r="U40401" s="135"/>
    </row>
    <row r="40402" spans="20:21" ht="15" customHeight="1" x14ac:dyDescent="0.25">
      <c r="T40402" s="135"/>
      <c r="U40402" s="135"/>
    </row>
    <row r="40403" spans="20:21" ht="15" customHeight="1" x14ac:dyDescent="0.25">
      <c r="T40403" s="135"/>
      <c r="U40403" s="135"/>
    </row>
    <row r="40404" spans="20:21" ht="15" customHeight="1" x14ac:dyDescent="0.25">
      <c r="T40404" s="135"/>
      <c r="U40404" s="135"/>
    </row>
    <row r="40405" spans="20:21" ht="15" customHeight="1" x14ac:dyDescent="0.25">
      <c r="T40405" s="135"/>
      <c r="U40405" s="135"/>
    </row>
    <row r="40406" spans="20:21" ht="15" customHeight="1" x14ac:dyDescent="0.25">
      <c r="T40406" s="135"/>
      <c r="U40406" s="135"/>
    </row>
    <row r="40407" spans="20:21" ht="15" customHeight="1" x14ac:dyDescent="0.25">
      <c r="T40407" s="135"/>
      <c r="U40407" s="135"/>
    </row>
    <row r="40408" spans="20:21" ht="15" customHeight="1" x14ac:dyDescent="0.25">
      <c r="T40408" s="135"/>
      <c r="U40408" s="135"/>
    </row>
    <row r="40409" spans="20:21" ht="15" customHeight="1" x14ac:dyDescent="0.25">
      <c r="T40409" s="135"/>
      <c r="U40409" s="135"/>
    </row>
    <row r="40410" spans="20:21" ht="15" customHeight="1" x14ac:dyDescent="0.25">
      <c r="T40410" s="135"/>
      <c r="U40410" s="135"/>
    </row>
    <row r="40411" spans="20:21" ht="15" customHeight="1" x14ac:dyDescent="0.25">
      <c r="T40411" s="135"/>
      <c r="U40411" s="135"/>
    </row>
    <row r="40412" spans="20:21" ht="15" customHeight="1" x14ac:dyDescent="0.25">
      <c r="T40412" s="135"/>
      <c r="U40412" s="135"/>
    </row>
    <row r="40413" spans="20:21" ht="15" customHeight="1" x14ac:dyDescent="0.25">
      <c r="T40413" s="135"/>
      <c r="U40413" s="135"/>
    </row>
    <row r="40414" spans="20:21" ht="15" customHeight="1" x14ac:dyDescent="0.25">
      <c r="T40414" s="135"/>
      <c r="U40414" s="135"/>
    </row>
    <row r="40415" spans="20:21" ht="15" customHeight="1" x14ac:dyDescent="0.25">
      <c r="T40415" s="135"/>
      <c r="U40415" s="135"/>
    </row>
    <row r="40416" spans="20:21" ht="15" customHeight="1" x14ac:dyDescent="0.25">
      <c r="T40416" s="135"/>
      <c r="U40416" s="135"/>
    </row>
    <row r="40417" spans="20:21" ht="15" customHeight="1" x14ac:dyDescent="0.25">
      <c r="T40417" s="135"/>
      <c r="U40417" s="135"/>
    </row>
    <row r="40418" spans="20:21" ht="15" customHeight="1" x14ac:dyDescent="0.25">
      <c r="T40418" s="135"/>
      <c r="U40418" s="135"/>
    </row>
    <row r="40419" spans="20:21" ht="15" customHeight="1" x14ac:dyDescent="0.25">
      <c r="T40419" s="135"/>
      <c r="U40419" s="135"/>
    </row>
    <row r="40420" spans="20:21" ht="15" customHeight="1" x14ac:dyDescent="0.25">
      <c r="T40420" s="135"/>
      <c r="U40420" s="135"/>
    </row>
    <row r="40421" spans="20:21" ht="15" customHeight="1" x14ac:dyDescent="0.25">
      <c r="T40421" s="135"/>
      <c r="U40421" s="135"/>
    </row>
    <row r="40422" spans="20:21" ht="15" customHeight="1" x14ac:dyDescent="0.25">
      <c r="T40422" s="135"/>
      <c r="U40422" s="135"/>
    </row>
    <row r="40423" spans="20:21" ht="15" customHeight="1" x14ac:dyDescent="0.25">
      <c r="T40423" s="135"/>
      <c r="U40423" s="135"/>
    </row>
    <row r="40424" spans="20:21" ht="15" customHeight="1" x14ac:dyDescent="0.25">
      <c r="T40424" s="135"/>
      <c r="U40424" s="135"/>
    </row>
    <row r="40425" spans="20:21" ht="15" customHeight="1" x14ac:dyDescent="0.25">
      <c r="T40425" s="135"/>
      <c r="U40425" s="135"/>
    </row>
    <row r="40426" spans="20:21" ht="15" customHeight="1" x14ac:dyDescent="0.25">
      <c r="T40426" s="135"/>
      <c r="U40426" s="135"/>
    </row>
    <row r="40427" spans="20:21" ht="15" customHeight="1" x14ac:dyDescent="0.25">
      <c r="T40427" s="135"/>
      <c r="U40427" s="135"/>
    </row>
    <row r="40428" spans="20:21" ht="15" customHeight="1" x14ac:dyDescent="0.25">
      <c r="T40428" s="135"/>
      <c r="U40428" s="135"/>
    </row>
    <row r="40429" spans="20:21" ht="15" customHeight="1" x14ac:dyDescent="0.25">
      <c r="T40429" s="135"/>
      <c r="U40429" s="135"/>
    </row>
    <row r="40430" spans="20:21" ht="15" customHeight="1" x14ac:dyDescent="0.25">
      <c r="T40430" s="135"/>
      <c r="U40430" s="135"/>
    </row>
    <row r="40431" spans="20:21" ht="15" customHeight="1" x14ac:dyDescent="0.25">
      <c r="T40431" s="135"/>
      <c r="U40431" s="135"/>
    </row>
    <row r="40432" spans="20:21" ht="15" customHeight="1" x14ac:dyDescent="0.25">
      <c r="T40432" s="135"/>
      <c r="U40432" s="135"/>
    </row>
    <row r="40433" spans="20:21" ht="15" customHeight="1" x14ac:dyDescent="0.25">
      <c r="T40433" s="135"/>
      <c r="U40433" s="135"/>
    </row>
    <row r="40434" spans="20:21" ht="15" customHeight="1" x14ac:dyDescent="0.25">
      <c r="T40434" s="135"/>
      <c r="U40434" s="135"/>
    </row>
    <row r="40435" spans="20:21" ht="15" customHeight="1" x14ac:dyDescent="0.25">
      <c r="T40435" s="135"/>
      <c r="U40435" s="135"/>
    </row>
    <row r="40436" spans="20:21" ht="15" customHeight="1" x14ac:dyDescent="0.25">
      <c r="T40436" s="135"/>
      <c r="U40436" s="135"/>
    </row>
    <row r="40437" spans="20:21" ht="15" customHeight="1" x14ac:dyDescent="0.25">
      <c r="T40437" s="135"/>
      <c r="U40437" s="135"/>
    </row>
    <row r="40438" spans="20:21" ht="15" customHeight="1" x14ac:dyDescent="0.25">
      <c r="T40438" s="135"/>
      <c r="U40438" s="135"/>
    </row>
    <row r="40439" spans="20:21" ht="15" customHeight="1" x14ac:dyDescent="0.25">
      <c r="T40439" s="135"/>
      <c r="U40439" s="135"/>
    </row>
    <row r="40440" spans="20:21" ht="15" customHeight="1" x14ac:dyDescent="0.25">
      <c r="T40440" s="135"/>
      <c r="U40440" s="135"/>
    </row>
    <row r="40441" spans="20:21" ht="15" customHeight="1" x14ac:dyDescent="0.25">
      <c r="T40441" s="135"/>
      <c r="U40441" s="135"/>
    </row>
    <row r="40442" spans="20:21" ht="15" customHeight="1" x14ac:dyDescent="0.25">
      <c r="T40442" s="135"/>
      <c r="U40442" s="135"/>
    </row>
    <row r="40443" spans="20:21" ht="15" customHeight="1" x14ac:dyDescent="0.25">
      <c r="T40443" s="135"/>
      <c r="U40443" s="135"/>
    </row>
    <row r="40444" spans="20:21" ht="15" customHeight="1" x14ac:dyDescent="0.25">
      <c r="T40444" s="135"/>
      <c r="U40444" s="135"/>
    </row>
    <row r="40445" spans="20:21" ht="15" customHeight="1" x14ac:dyDescent="0.25">
      <c r="T40445" s="135"/>
      <c r="U40445" s="135"/>
    </row>
    <row r="40446" spans="20:21" ht="15" customHeight="1" x14ac:dyDescent="0.25">
      <c r="T40446" s="135"/>
      <c r="U40446" s="135"/>
    </row>
    <row r="40447" spans="20:21" ht="15" customHeight="1" x14ac:dyDescent="0.25">
      <c r="T40447" s="135"/>
      <c r="U40447" s="135"/>
    </row>
    <row r="40448" spans="20:21" ht="15" customHeight="1" x14ac:dyDescent="0.25">
      <c r="T40448" s="135"/>
      <c r="U40448" s="135"/>
    </row>
    <row r="40449" spans="20:21" ht="15" customHeight="1" x14ac:dyDescent="0.25">
      <c r="T40449" s="135"/>
      <c r="U40449" s="135"/>
    </row>
    <row r="40450" spans="20:21" ht="15" customHeight="1" x14ac:dyDescent="0.25">
      <c r="T40450" s="135"/>
      <c r="U40450" s="135"/>
    </row>
    <row r="40451" spans="20:21" ht="15" customHeight="1" x14ac:dyDescent="0.25">
      <c r="T40451" s="135"/>
      <c r="U40451" s="135"/>
    </row>
    <row r="40452" spans="20:21" ht="15" customHeight="1" x14ac:dyDescent="0.25">
      <c r="T40452" s="135"/>
      <c r="U40452" s="135"/>
    </row>
    <row r="40453" spans="20:21" ht="15" customHeight="1" x14ac:dyDescent="0.25">
      <c r="T40453" s="135"/>
      <c r="U40453" s="135"/>
    </row>
    <row r="40454" spans="20:21" ht="15" customHeight="1" x14ac:dyDescent="0.25">
      <c r="T40454" s="135"/>
      <c r="U40454" s="135"/>
    </row>
    <row r="40455" spans="20:21" ht="15" customHeight="1" x14ac:dyDescent="0.25">
      <c r="T40455" s="135"/>
      <c r="U40455" s="135"/>
    </row>
    <row r="40456" spans="20:21" ht="15" customHeight="1" x14ac:dyDescent="0.25">
      <c r="T40456" s="135"/>
      <c r="U40456" s="135"/>
    </row>
    <row r="40457" spans="20:21" ht="15" customHeight="1" x14ac:dyDescent="0.25">
      <c r="T40457" s="135"/>
      <c r="U40457" s="135"/>
    </row>
    <row r="40458" spans="20:21" ht="15" customHeight="1" x14ac:dyDescent="0.25">
      <c r="T40458" s="135"/>
      <c r="U40458" s="135"/>
    </row>
    <row r="40459" spans="20:21" ht="15" customHeight="1" x14ac:dyDescent="0.25">
      <c r="T40459" s="135"/>
      <c r="U40459" s="135"/>
    </row>
    <row r="40460" spans="20:21" ht="15" customHeight="1" x14ac:dyDescent="0.25">
      <c r="T40460" s="135"/>
      <c r="U40460" s="135"/>
    </row>
    <row r="40461" spans="20:21" ht="15" customHeight="1" x14ac:dyDescent="0.25">
      <c r="T40461" s="135"/>
      <c r="U40461" s="135"/>
    </row>
    <row r="40462" spans="20:21" ht="15" customHeight="1" x14ac:dyDescent="0.25">
      <c r="T40462" s="135"/>
      <c r="U40462" s="135"/>
    </row>
    <row r="40463" spans="20:21" ht="15" customHeight="1" x14ac:dyDescent="0.25">
      <c r="T40463" s="135"/>
      <c r="U40463" s="135"/>
    </row>
    <row r="40464" spans="20:21" ht="15" customHeight="1" x14ac:dyDescent="0.25">
      <c r="T40464" s="135"/>
      <c r="U40464" s="135"/>
    </row>
    <row r="40465" spans="20:21" ht="15" customHeight="1" x14ac:dyDescent="0.25">
      <c r="T40465" s="135"/>
      <c r="U40465" s="135"/>
    </row>
    <row r="40466" spans="20:21" ht="15" customHeight="1" x14ac:dyDescent="0.25">
      <c r="T40466" s="135"/>
      <c r="U40466" s="135"/>
    </row>
    <row r="40467" spans="20:21" ht="15" customHeight="1" x14ac:dyDescent="0.25">
      <c r="T40467" s="135"/>
      <c r="U40467" s="135"/>
    </row>
    <row r="40468" spans="20:21" ht="15" customHeight="1" x14ac:dyDescent="0.25">
      <c r="T40468" s="135"/>
      <c r="U40468" s="135"/>
    </row>
    <row r="40469" spans="20:21" ht="15" customHeight="1" x14ac:dyDescent="0.25">
      <c r="T40469" s="135"/>
      <c r="U40469" s="135"/>
    </row>
    <row r="40470" spans="20:21" ht="15" customHeight="1" x14ac:dyDescent="0.25">
      <c r="T40470" s="135"/>
      <c r="U40470" s="135"/>
    </row>
    <row r="40471" spans="20:21" ht="15" customHeight="1" x14ac:dyDescent="0.25">
      <c r="T40471" s="135"/>
      <c r="U40471" s="135"/>
    </row>
    <row r="40472" spans="20:21" ht="15" customHeight="1" x14ac:dyDescent="0.25">
      <c r="T40472" s="135"/>
      <c r="U40472" s="135"/>
    </row>
    <row r="40473" spans="20:21" ht="15" customHeight="1" x14ac:dyDescent="0.25">
      <c r="T40473" s="135"/>
      <c r="U40473" s="135"/>
    </row>
    <row r="40474" spans="20:21" ht="15" customHeight="1" x14ac:dyDescent="0.25">
      <c r="T40474" s="135"/>
      <c r="U40474" s="135"/>
    </row>
    <row r="40475" spans="20:21" ht="15" customHeight="1" x14ac:dyDescent="0.25">
      <c r="T40475" s="135"/>
      <c r="U40475" s="135"/>
    </row>
    <row r="40476" spans="20:21" ht="15" customHeight="1" x14ac:dyDescent="0.25">
      <c r="T40476" s="135"/>
      <c r="U40476" s="135"/>
    </row>
    <row r="40477" spans="20:21" ht="15" customHeight="1" x14ac:dyDescent="0.25">
      <c r="T40477" s="135"/>
      <c r="U40477" s="135"/>
    </row>
    <row r="40478" spans="20:21" ht="15" customHeight="1" x14ac:dyDescent="0.25">
      <c r="T40478" s="135"/>
      <c r="U40478" s="135"/>
    </row>
    <row r="40479" spans="20:21" ht="15" customHeight="1" x14ac:dyDescent="0.25">
      <c r="T40479" s="135"/>
      <c r="U40479" s="135"/>
    </row>
    <row r="40480" spans="20:21" ht="15" customHeight="1" x14ac:dyDescent="0.25">
      <c r="T40480" s="135"/>
      <c r="U40480" s="135"/>
    </row>
    <row r="40481" spans="20:21" ht="15" customHeight="1" x14ac:dyDescent="0.25">
      <c r="T40481" s="135"/>
      <c r="U40481" s="135"/>
    </row>
    <row r="40482" spans="20:21" ht="15" customHeight="1" x14ac:dyDescent="0.25">
      <c r="T40482" s="135"/>
      <c r="U40482" s="135"/>
    </row>
    <row r="40483" spans="20:21" ht="15" customHeight="1" x14ac:dyDescent="0.25">
      <c r="T40483" s="135"/>
      <c r="U40483" s="135"/>
    </row>
    <row r="40484" spans="20:21" ht="15" customHeight="1" x14ac:dyDescent="0.25">
      <c r="T40484" s="135"/>
      <c r="U40484" s="135"/>
    </row>
    <row r="40485" spans="20:21" ht="15" customHeight="1" x14ac:dyDescent="0.25">
      <c r="T40485" s="135"/>
      <c r="U40485" s="135"/>
    </row>
    <row r="40486" spans="20:21" ht="15" customHeight="1" x14ac:dyDescent="0.25">
      <c r="T40486" s="135"/>
      <c r="U40486" s="135"/>
    </row>
    <row r="40487" spans="20:21" ht="15" customHeight="1" x14ac:dyDescent="0.25">
      <c r="T40487" s="135"/>
      <c r="U40487" s="135"/>
    </row>
    <row r="40488" spans="20:21" ht="15" customHeight="1" x14ac:dyDescent="0.25">
      <c r="T40488" s="135"/>
      <c r="U40488" s="135"/>
    </row>
    <row r="40489" spans="20:21" ht="15" customHeight="1" x14ac:dyDescent="0.25">
      <c r="T40489" s="135"/>
      <c r="U40489" s="135"/>
    </row>
    <row r="40490" spans="20:21" ht="15" customHeight="1" x14ac:dyDescent="0.25">
      <c r="T40490" s="135"/>
      <c r="U40490" s="135"/>
    </row>
    <row r="40491" spans="20:21" ht="15" customHeight="1" x14ac:dyDescent="0.25">
      <c r="T40491" s="135"/>
      <c r="U40491" s="135"/>
    </row>
    <row r="40492" spans="20:21" ht="15" customHeight="1" x14ac:dyDescent="0.25">
      <c r="T40492" s="135"/>
      <c r="U40492" s="135"/>
    </row>
    <row r="40493" spans="20:21" ht="15" customHeight="1" x14ac:dyDescent="0.25">
      <c r="T40493" s="135"/>
      <c r="U40493" s="135"/>
    </row>
    <row r="40494" spans="20:21" ht="15" customHeight="1" x14ac:dyDescent="0.25">
      <c r="T40494" s="135"/>
      <c r="U40494" s="135"/>
    </row>
    <row r="40495" spans="20:21" ht="15" customHeight="1" x14ac:dyDescent="0.25">
      <c r="T40495" s="135"/>
      <c r="U40495" s="135"/>
    </row>
    <row r="40496" spans="20:21" ht="15" customHeight="1" x14ac:dyDescent="0.25">
      <c r="T40496" s="135"/>
      <c r="U40496" s="135"/>
    </row>
    <row r="40497" spans="20:21" ht="15" customHeight="1" x14ac:dyDescent="0.25">
      <c r="T40497" s="135"/>
      <c r="U40497" s="135"/>
    </row>
    <row r="40498" spans="20:21" ht="15" customHeight="1" x14ac:dyDescent="0.25">
      <c r="T40498" s="135"/>
      <c r="U40498" s="135"/>
    </row>
    <row r="40499" spans="20:21" ht="15" customHeight="1" x14ac:dyDescent="0.25">
      <c r="T40499" s="135"/>
      <c r="U40499" s="135"/>
    </row>
    <row r="40500" spans="20:21" ht="15" customHeight="1" x14ac:dyDescent="0.25">
      <c r="T40500" s="135"/>
      <c r="U40500" s="135"/>
    </row>
    <row r="40501" spans="20:21" ht="15" customHeight="1" x14ac:dyDescent="0.25">
      <c r="T40501" s="135"/>
      <c r="U40501" s="135"/>
    </row>
    <row r="40502" spans="20:21" ht="15" customHeight="1" x14ac:dyDescent="0.25">
      <c r="T40502" s="135"/>
      <c r="U40502" s="135"/>
    </row>
    <row r="40503" spans="20:21" ht="15" customHeight="1" x14ac:dyDescent="0.25">
      <c r="T40503" s="135"/>
      <c r="U40503" s="135"/>
    </row>
    <row r="40504" spans="20:21" ht="15" customHeight="1" x14ac:dyDescent="0.25">
      <c r="T40504" s="135"/>
      <c r="U40504" s="135"/>
    </row>
    <row r="40505" spans="20:21" ht="15" customHeight="1" x14ac:dyDescent="0.25">
      <c r="T40505" s="135"/>
      <c r="U40505" s="135"/>
    </row>
    <row r="40506" spans="20:21" ht="15" customHeight="1" x14ac:dyDescent="0.25">
      <c r="T40506" s="135"/>
      <c r="U40506" s="135"/>
    </row>
    <row r="40507" spans="20:21" ht="15" customHeight="1" x14ac:dyDescent="0.25">
      <c r="T40507" s="135"/>
      <c r="U40507" s="135"/>
    </row>
    <row r="40508" spans="20:21" ht="15" customHeight="1" x14ac:dyDescent="0.25">
      <c r="T40508" s="135"/>
      <c r="U40508" s="135"/>
    </row>
    <row r="40509" spans="20:21" ht="15" customHeight="1" x14ac:dyDescent="0.25">
      <c r="T40509" s="135"/>
      <c r="U40509" s="135"/>
    </row>
    <row r="40510" spans="20:21" ht="15" customHeight="1" x14ac:dyDescent="0.25">
      <c r="T40510" s="135"/>
      <c r="U40510" s="135"/>
    </row>
    <row r="40511" spans="20:21" ht="15" customHeight="1" x14ac:dyDescent="0.25">
      <c r="T40511" s="135"/>
      <c r="U40511" s="135"/>
    </row>
    <row r="40512" spans="20:21" ht="15" customHeight="1" x14ac:dyDescent="0.25">
      <c r="T40512" s="135"/>
      <c r="U40512" s="135"/>
    </row>
    <row r="40513" spans="20:21" ht="15" customHeight="1" x14ac:dyDescent="0.25">
      <c r="T40513" s="135"/>
      <c r="U40513" s="135"/>
    </row>
    <row r="40514" spans="20:21" ht="15" customHeight="1" x14ac:dyDescent="0.25">
      <c r="T40514" s="135"/>
      <c r="U40514" s="135"/>
    </row>
    <row r="40515" spans="20:21" ht="15" customHeight="1" x14ac:dyDescent="0.25">
      <c r="T40515" s="135"/>
      <c r="U40515" s="135"/>
    </row>
    <row r="40516" spans="20:21" ht="15" customHeight="1" x14ac:dyDescent="0.25">
      <c r="T40516" s="135"/>
      <c r="U40516" s="135"/>
    </row>
    <row r="40517" spans="20:21" ht="15" customHeight="1" x14ac:dyDescent="0.25">
      <c r="T40517" s="135"/>
      <c r="U40517" s="135"/>
    </row>
    <row r="40518" spans="20:21" ht="15" customHeight="1" x14ac:dyDescent="0.25">
      <c r="T40518" s="135"/>
      <c r="U40518" s="135"/>
    </row>
    <row r="40519" spans="20:21" ht="15" customHeight="1" x14ac:dyDescent="0.25">
      <c r="T40519" s="135"/>
      <c r="U40519" s="135"/>
    </row>
    <row r="40520" spans="20:21" ht="15" customHeight="1" x14ac:dyDescent="0.25">
      <c r="T40520" s="135"/>
      <c r="U40520" s="135"/>
    </row>
    <row r="40521" spans="20:21" ht="15" customHeight="1" x14ac:dyDescent="0.25">
      <c r="T40521" s="135"/>
      <c r="U40521" s="135"/>
    </row>
    <row r="40522" spans="20:21" ht="15" customHeight="1" x14ac:dyDescent="0.25">
      <c r="T40522" s="135"/>
      <c r="U40522" s="135"/>
    </row>
    <row r="40523" spans="20:21" ht="15" customHeight="1" x14ac:dyDescent="0.25">
      <c r="T40523" s="135"/>
      <c r="U40523" s="135"/>
    </row>
    <row r="40524" spans="20:21" ht="15" customHeight="1" x14ac:dyDescent="0.25">
      <c r="T40524" s="135"/>
      <c r="U40524" s="135"/>
    </row>
    <row r="40525" spans="20:21" ht="15" customHeight="1" x14ac:dyDescent="0.25">
      <c r="T40525" s="135"/>
      <c r="U40525" s="135"/>
    </row>
    <row r="40526" spans="20:21" ht="15" customHeight="1" x14ac:dyDescent="0.25">
      <c r="T40526" s="135"/>
      <c r="U40526" s="135"/>
    </row>
    <row r="40527" spans="20:21" ht="15" customHeight="1" x14ac:dyDescent="0.25">
      <c r="T40527" s="135"/>
      <c r="U40527" s="135"/>
    </row>
    <row r="40528" spans="20:21" ht="15" customHeight="1" x14ac:dyDescent="0.25">
      <c r="T40528" s="135"/>
      <c r="U40528" s="135"/>
    </row>
    <row r="40529" spans="20:21" ht="15" customHeight="1" x14ac:dyDescent="0.25">
      <c r="T40529" s="135"/>
      <c r="U40529" s="135"/>
    </row>
    <row r="40530" spans="20:21" ht="15" customHeight="1" x14ac:dyDescent="0.25">
      <c r="T40530" s="135"/>
      <c r="U40530" s="135"/>
    </row>
    <row r="40531" spans="20:21" ht="15" customHeight="1" x14ac:dyDescent="0.25">
      <c r="T40531" s="135"/>
      <c r="U40531" s="135"/>
    </row>
    <row r="40532" spans="20:21" ht="15" customHeight="1" x14ac:dyDescent="0.25">
      <c r="T40532" s="135"/>
      <c r="U40532" s="135"/>
    </row>
    <row r="40533" spans="20:21" ht="15" customHeight="1" x14ac:dyDescent="0.25">
      <c r="T40533" s="135"/>
      <c r="U40533" s="135"/>
    </row>
    <row r="40534" spans="20:21" ht="15" customHeight="1" x14ac:dyDescent="0.25">
      <c r="T40534" s="135"/>
      <c r="U40534" s="135"/>
    </row>
    <row r="40535" spans="20:21" ht="15" customHeight="1" x14ac:dyDescent="0.25">
      <c r="T40535" s="135"/>
      <c r="U40535" s="135"/>
    </row>
    <row r="40536" spans="20:21" ht="15" customHeight="1" x14ac:dyDescent="0.25">
      <c r="T40536" s="135"/>
      <c r="U40536" s="135"/>
    </row>
    <row r="40537" spans="20:21" ht="15" customHeight="1" x14ac:dyDescent="0.25">
      <c r="T40537" s="135"/>
      <c r="U40537" s="135"/>
    </row>
    <row r="40538" spans="20:21" ht="15" customHeight="1" x14ac:dyDescent="0.25">
      <c r="T40538" s="135"/>
      <c r="U40538" s="135"/>
    </row>
    <row r="40539" spans="20:21" ht="15" customHeight="1" x14ac:dyDescent="0.25">
      <c r="T40539" s="135"/>
      <c r="U40539" s="135"/>
    </row>
    <row r="40540" spans="20:21" ht="15" customHeight="1" x14ac:dyDescent="0.25">
      <c r="T40540" s="135"/>
      <c r="U40540" s="135"/>
    </row>
    <row r="40541" spans="20:21" ht="15" customHeight="1" x14ac:dyDescent="0.25">
      <c r="T40541" s="135"/>
      <c r="U40541" s="135"/>
    </row>
    <row r="40542" spans="20:21" ht="15" customHeight="1" x14ac:dyDescent="0.25">
      <c r="T40542" s="135"/>
      <c r="U40542" s="135"/>
    </row>
    <row r="40543" spans="20:21" ht="15" customHeight="1" x14ac:dyDescent="0.25">
      <c r="T40543" s="135"/>
      <c r="U40543" s="135"/>
    </row>
    <row r="40544" spans="20:21" ht="15" customHeight="1" x14ac:dyDescent="0.25">
      <c r="T40544" s="135"/>
      <c r="U40544" s="135"/>
    </row>
    <row r="40545" spans="20:21" ht="15" customHeight="1" x14ac:dyDescent="0.25">
      <c r="T40545" s="135"/>
      <c r="U40545" s="135"/>
    </row>
    <row r="40546" spans="20:21" ht="15" customHeight="1" x14ac:dyDescent="0.25">
      <c r="T40546" s="135"/>
      <c r="U40546" s="135"/>
    </row>
    <row r="40547" spans="20:21" ht="15" customHeight="1" x14ac:dyDescent="0.25">
      <c r="T40547" s="135"/>
      <c r="U40547" s="135"/>
    </row>
    <row r="40548" spans="20:21" ht="15" customHeight="1" x14ac:dyDescent="0.25">
      <c r="T40548" s="135"/>
      <c r="U40548" s="135"/>
    </row>
    <row r="40549" spans="20:21" ht="15" customHeight="1" x14ac:dyDescent="0.25">
      <c r="T40549" s="135"/>
      <c r="U40549" s="135"/>
    </row>
    <row r="40550" spans="20:21" ht="15" customHeight="1" x14ac:dyDescent="0.25">
      <c r="T40550" s="135"/>
      <c r="U40550" s="135"/>
    </row>
    <row r="40551" spans="20:21" ht="15" customHeight="1" x14ac:dyDescent="0.25">
      <c r="T40551" s="135"/>
      <c r="U40551" s="135"/>
    </row>
    <row r="40552" spans="20:21" ht="15" customHeight="1" x14ac:dyDescent="0.25">
      <c r="T40552" s="135"/>
      <c r="U40552" s="135"/>
    </row>
    <row r="40553" spans="20:21" ht="15" customHeight="1" x14ac:dyDescent="0.25">
      <c r="T40553" s="135"/>
      <c r="U40553" s="135"/>
    </row>
    <row r="40554" spans="20:21" ht="15" customHeight="1" x14ac:dyDescent="0.25">
      <c r="T40554" s="135"/>
      <c r="U40554" s="135"/>
    </row>
    <row r="40555" spans="20:21" ht="15" customHeight="1" x14ac:dyDescent="0.25">
      <c r="T40555" s="135"/>
      <c r="U40555" s="135"/>
    </row>
    <row r="40556" spans="20:21" ht="15" customHeight="1" x14ac:dyDescent="0.25">
      <c r="T40556" s="135"/>
      <c r="U40556" s="135"/>
    </row>
    <row r="40557" spans="20:21" ht="15" customHeight="1" x14ac:dyDescent="0.25">
      <c r="T40557" s="135"/>
      <c r="U40557" s="135"/>
    </row>
    <row r="40558" spans="20:21" ht="15" customHeight="1" x14ac:dyDescent="0.25">
      <c r="T40558" s="135"/>
      <c r="U40558" s="135"/>
    </row>
    <row r="40559" spans="20:21" ht="15" customHeight="1" x14ac:dyDescent="0.25">
      <c r="T40559" s="135"/>
      <c r="U40559" s="135"/>
    </row>
    <row r="40560" spans="20:21" ht="15" customHeight="1" x14ac:dyDescent="0.25">
      <c r="T40560" s="135"/>
      <c r="U40560" s="135"/>
    </row>
    <row r="40561" spans="20:21" ht="15" customHeight="1" x14ac:dyDescent="0.25">
      <c r="T40561" s="135"/>
      <c r="U40561" s="135"/>
    </row>
    <row r="40562" spans="20:21" ht="15" customHeight="1" x14ac:dyDescent="0.25">
      <c r="T40562" s="135"/>
      <c r="U40562" s="135"/>
    </row>
    <row r="40563" spans="20:21" ht="15" customHeight="1" x14ac:dyDescent="0.25">
      <c r="T40563" s="135"/>
      <c r="U40563" s="135"/>
    </row>
    <row r="40564" spans="20:21" ht="15" customHeight="1" x14ac:dyDescent="0.25">
      <c r="T40564" s="135"/>
      <c r="U40564" s="135"/>
    </row>
    <row r="40565" spans="20:21" ht="15" customHeight="1" x14ac:dyDescent="0.25">
      <c r="T40565" s="135"/>
      <c r="U40565" s="135"/>
    </row>
    <row r="40566" spans="20:21" ht="15" customHeight="1" x14ac:dyDescent="0.25">
      <c r="T40566" s="135"/>
      <c r="U40566" s="135"/>
    </row>
    <row r="40567" spans="20:21" ht="15" customHeight="1" x14ac:dyDescent="0.25">
      <c r="T40567" s="135"/>
      <c r="U40567" s="135"/>
    </row>
    <row r="40568" spans="20:21" ht="15" customHeight="1" x14ac:dyDescent="0.25">
      <c r="T40568" s="135"/>
      <c r="U40568" s="135"/>
    </row>
    <row r="40569" spans="20:21" ht="15" customHeight="1" x14ac:dyDescent="0.25">
      <c r="T40569" s="135"/>
      <c r="U40569" s="135"/>
    </row>
    <row r="40570" spans="20:21" ht="15" customHeight="1" x14ac:dyDescent="0.25">
      <c r="T40570" s="135"/>
      <c r="U40570" s="135"/>
    </row>
    <row r="40571" spans="20:21" ht="15" customHeight="1" x14ac:dyDescent="0.25">
      <c r="T40571" s="135"/>
      <c r="U40571" s="135"/>
    </row>
    <row r="40572" spans="20:21" ht="15" customHeight="1" x14ac:dyDescent="0.25">
      <c r="T40572" s="135"/>
      <c r="U40572" s="135"/>
    </row>
    <row r="40573" spans="20:21" ht="15" customHeight="1" x14ac:dyDescent="0.25">
      <c r="T40573" s="135"/>
      <c r="U40573" s="135"/>
    </row>
    <row r="40574" spans="20:21" ht="15" customHeight="1" x14ac:dyDescent="0.25">
      <c r="T40574" s="135"/>
      <c r="U40574" s="135"/>
    </row>
    <row r="40575" spans="20:21" ht="15" customHeight="1" x14ac:dyDescent="0.25">
      <c r="T40575" s="135"/>
      <c r="U40575" s="135"/>
    </row>
    <row r="40576" spans="20:21" ht="15" customHeight="1" x14ac:dyDescent="0.25">
      <c r="T40576" s="135"/>
      <c r="U40576" s="135"/>
    </row>
    <row r="40577" spans="20:21" ht="15" customHeight="1" x14ac:dyDescent="0.25">
      <c r="T40577" s="135"/>
      <c r="U40577" s="135"/>
    </row>
    <row r="40578" spans="20:21" ht="15" customHeight="1" x14ac:dyDescent="0.25">
      <c r="T40578" s="135"/>
      <c r="U40578" s="135"/>
    </row>
    <row r="40579" spans="20:21" ht="15" customHeight="1" x14ac:dyDescent="0.25">
      <c r="T40579" s="135"/>
      <c r="U40579" s="135"/>
    </row>
    <row r="40580" spans="20:21" ht="15" customHeight="1" x14ac:dyDescent="0.25">
      <c r="T40580" s="135"/>
      <c r="U40580" s="135"/>
    </row>
    <row r="40581" spans="20:21" ht="15" customHeight="1" x14ac:dyDescent="0.25">
      <c r="T40581" s="135"/>
      <c r="U40581" s="135"/>
    </row>
    <row r="40582" spans="20:21" ht="15" customHeight="1" x14ac:dyDescent="0.25">
      <c r="T40582" s="135"/>
      <c r="U40582" s="135"/>
    </row>
    <row r="40583" spans="20:21" ht="15" customHeight="1" x14ac:dyDescent="0.25">
      <c r="T40583" s="135"/>
      <c r="U40583" s="135"/>
    </row>
    <row r="40584" spans="20:21" ht="15" customHeight="1" x14ac:dyDescent="0.25">
      <c r="T40584" s="135"/>
      <c r="U40584" s="135"/>
    </row>
    <row r="40585" spans="20:21" ht="15" customHeight="1" x14ac:dyDescent="0.25">
      <c r="T40585" s="135"/>
      <c r="U40585" s="135"/>
    </row>
    <row r="40586" spans="20:21" ht="15" customHeight="1" x14ac:dyDescent="0.25">
      <c r="T40586" s="135"/>
      <c r="U40586" s="135"/>
    </row>
    <row r="40587" spans="20:21" ht="15" customHeight="1" x14ac:dyDescent="0.25">
      <c r="T40587" s="135"/>
      <c r="U40587" s="135"/>
    </row>
    <row r="40588" spans="20:21" ht="15" customHeight="1" x14ac:dyDescent="0.25">
      <c r="T40588" s="135"/>
      <c r="U40588" s="135"/>
    </row>
    <row r="40589" spans="20:21" ht="15" customHeight="1" x14ac:dyDescent="0.25">
      <c r="T40589" s="135"/>
      <c r="U40589" s="135"/>
    </row>
    <row r="40590" spans="20:21" ht="15" customHeight="1" x14ac:dyDescent="0.25">
      <c r="T40590" s="135"/>
      <c r="U40590" s="135"/>
    </row>
    <row r="40591" spans="20:21" ht="15" customHeight="1" x14ac:dyDescent="0.25">
      <c r="T40591" s="135"/>
      <c r="U40591" s="135"/>
    </row>
    <row r="40592" spans="20:21" ht="15" customHeight="1" x14ac:dyDescent="0.25">
      <c r="T40592" s="135"/>
      <c r="U40592" s="135"/>
    </row>
    <row r="40593" spans="20:21" ht="15" customHeight="1" x14ac:dyDescent="0.25">
      <c r="T40593" s="135"/>
      <c r="U40593" s="135"/>
    </row>
    <row r="40594" spans="20:21" ht="15" customHeight="1" x14ac:dyDescent="0.25">
      <c r="T40594" s="135"/>
      <c r="U40594" s="135"/>
    </row>
    <row r="40595" spans="20:21" ht="15" customHeight="1" x14ac:dyDescent="0.25">
      <c r="T40595" s="135"/>
      <c r="U40595" s="135"/>
    </row>
    <row r="40596" spans="20:21" ht="15" customHeight="1" x14ac:dyDescent="0.25">
      <c r="T40596" s="135"/>
      <c r="U40596" s="135"/>
    </row>
    <row r="40597" spans="20:21" ht="15" customHeight="1" x14ac:dyDescent="0.25">
      <c r="T40597" s="135"/>
      <c r="U40597" s="135"/>
    </row>
    <row r="40598" spans="20:21" ht="15" customHeight="1" x14ac:dyDescent="0.25">
      <c r="T40598" s="135"/>
      <c r="U40598" s="135"/>
    </row>
    <row r="40599" spans="20:21" ht="15" customHeight="1" x14ac:dyDescent="0.25">
      <c r="T40599" s="135"/>
      <c r="U40599" s="135"/>
    </row>
    <row r="40600" spans="20:21" ht="15" customHeight="1" x14ac:dyDescent="0.25">
      <c r="T40600" s="135"/>
      <c r="U40600" s="135"/>
    </row>
    <row r="40601" spans="20:21" ht="15" customHeight="1" x14ac:dyDescent="0.25">
      <c r="T40601" s="135"/>
      <c r="U40601" s="135"/>
    </row>
    <row r="40602" spans="20:21" ht="15" customHeight="1" x14ac:dyDescent="0.25">
      <c r="T40602" s="135"/>
      <c r="U40602" s="135"/>
    </row>
    <row r="40603" spans="20:21" ht="15" customHeight="1" x14ac:dyDescent="0.25">
      <c r="T40603" s="135"/>
      <c r="U40603" s="135"/>
    </row>
    <row r="40604" spans="20:21" ht="15" customHeight="1" x14ac:dyDescent="0.25">
      <c r="T40604" s="135"/>
      <c r="U40604" s="135"/>
    </row>
    <row r="40605" spans="20:21" ht="15" customHeight="1" x14ac:dyDescent="0.25">
      <c r="T40605" s="135"/>
      <c r="U40605" s="135"/>
    </row>
    <row r="40606" spans="20:21" ht="15" customHeight="1" x14ac:dyDescent="0.25">
      <c r="T40606" s="135"/>
      <c r="U40606" s="135"/>
    </row>
    <row r="40607" spans="20:21" ht="15" customHeight="1" x14ac:dyDescent="0.25">
      <c r="T40607" s="135"/>
      <c r="U40607" s="135"/>
    </row>
    <row r="40608" spans="20:21" ht="15" customHeight="1" x14ac:dyDescent="0.25">
      <c r="T40608" s="135"/>
      <c r="U40608" s="135"/>
    </row>
    <row r="40609" spans="20:21" ht="15" customHeight="1" x14ac:dyDescent="0.25">
      <c r="T40609" s="135"/>
      <c r="U40609" s="135"/>
    </row>
    <row r="40610" spans="20:21" ht="15" customHeight="1" x14ac:dyDescent="0.25">
      <c r="T40610" s="135"/>
      <c r="U40610" s="135"/>
    </row>
    <row r="40611" spans="20:21" ht="15" customHeight="1" x14ac:dyDescent="0.25">
      <c r="T40611" s="135"/>
      <c r="U40611" s="135"/>
    </row>
    <row r="40612" spans="20:21" ht="15" customHeight="1" x14ac:dyDescent="0.25">
      <c r="T40612" s="135"/>
      <c r="U40612" s="135"/>
    </row>
    <row r="40613" spans="20:21" ht="15" customHeight="1" x14ac:dyDescent="0.25">
      <c r="T40613" s="135"/>
      <c r="U40613" s="135"/>
    </row>
    <row r="40614" spans="20:21" ht="15" customHeight="1" x14ac:dyDescent="0.25">
      <c r="T40614" s="135"/>
      <c r="U40614" s="135"/>
    </row>
    <row r="40615" spans="20:21" ht="15" customHeight="1" x14ac:dyDescent="0.25">
      <c r="T40615" s="135"/>
      <c r="U40615" s="135"/>
    </row>
    <row r="40616" spans="20:21" ht="15" customHeight="1" x14ac:dyDescent="0.25">
      <c r="T40616" s="135"/>
      <c r="U40616" s="135"/>
    </row>
    <row r="40617" spans="20:21" ht="15" customHeight="1" x14ac:dyDescent="0.25">
      <c r="T40617" s="135"/>
      <c r="U40617" s="135"/>
    </row>
    <row r="40618" spans="20:21" ht="15" customHeight="1" x14ac:dyDescent="0.25">
      <c r="T40618" s="135"/>
      <c r="U40618" s="135"/>
    </row>
    <row r="40619" spans="20:21" ht="15" customHeight="1" x14ac:dyDescent="0.25">
      <c r="T40619" s="135"/>
      <c r="U40619" s="135"/>
    </row>
    <row r="40620" spans="20:21" ht="15" customHeight="1" x14ac:dyDescent="0.25">
      <c r="T40620" s="135"/>
      <c r="U40620" s="135"/>
    </row>
    <row r="40621" spans="20:21" ht="15" customHeight="1" x14ac:dyDescent="0.25">
      <c r="T40621" s="135"/>
      <c r="U40621" s="135"/>
    </row>
    <row r="40622" spans="20:21" ht="15" customHeight="1" x14ac:dyDescent="0.25">
      <c r="T40622" s="135"/>
      <c r="U40622" s="135"/>
    </row>
    <row r="40623" spans="20:21" ht="15" customHeight="1" x14ac:dyDescent="0.25">
      <c r="T40623" s="135"/>
      <c r="U40623" s="135"/>
    </row>
    <row r="40624" spans="20:21" ht="15" customHeight="1" x14ac:dyDescent="0.25">
      <c r="T40624" s="135"/>
      <c r="U40624" s="135"/>
    </row>
    <row r="40625" spans="20:21" ht="15" customHeight="1" x14ac:dyDescent="0.25">
      <c r="T40625" s="135"/>
      <c r="U40625" s="135"/>
    </row>
    <row r="40626" spans="20:21" ht="15" customHeight="1" x14ac:dyDescent="0.25">
      <c r="T40626" s="135"/>
      <c r="U40626" s="135"/>
    </row>
    <row r="40627" spans="20:21" ht="15" customHeight="1" x14ac:dyDescent="0.25">
      <c r="T40627" s="135"/>
      <c r="U40627" s="135"/>
    </row>
    <row r="40628" spans="20:21" ht="15" customHeight="1" x14ac:dyDescent="0.25">
      <c r="T40628" s="135"/>
      <c r="U40628" s="135"/>
    </row>
    <row r="40629" spans="20:21" ht="15" customHeight="1" x14ac:dyDescent="0.25">
      <c r="T40629" s="135"/>
      <c r="U40629" s="135"/>
    </row>
    <row r="40630" spans="20:21" ht="15" customHeight="1" x14ac:dyDescent="0.25">
      <c r="T40630" s="135"/>
      <c r="U40630" s="135"/>
    </row>
    <row r="40631" spans="20:21" ht="15" customHeight="1" x14ac:dyDescent="0.25">
      <c r="T40631" s="135"/>
      <c r="U40631" s="135"/>
    </row>
    <row r="40632" spans="20:21" ht="15" customHeight="1" x14ac:dyDescent="0.25">
      <c r="T40632" s="135"/>
      <c r="U40632" s="135"/>
    </row>
    <row r="40633" spans="20:21" ht="15" customHeight="1" x14ac:dyDescent="0.25">
      <c r="T40633" s="135"/>
      <c r="U40633" s="135"/>
    </row>
    <row r="40634" spans="20:21" ht="15" customHeight="1" x14ac:dyDescent="0.25">
      <c r="T40634" s="135"/>
      <c r="U40634" s="135"/>
    </row>
    <row r="40635" spans="20:21" ht="15" customHeight="1" x14ac:dyDescent="0.25">
      <c r="T40635" s="135"/>
      <c r="U40635" s="135"/>
    </row>
    <row r="40636" spans="20:21" ht="15" customHeight="1" x14ac:dyDescent="0.25">
      <c r="T40636" s="135"/>
      <c r="U40636" s="135"/>
    </row>
    <row r="40637" spans="20:21" ht="15" customHeight="1" x14ac:dyDescent="0.25">
      <c r="T40637" s="135"/>
      <c r="U40637" s="135"/>
    </row>
    <row r="40638" spans="20:21" ht="15" customHeight="1" x14ac:dyDescent="0.25">
      <c r="T40638" s="135"/>
      <c r="U40638" s="135"/>
    </row>
    <row r="40639" spans="20:21" ht="15" customHeight="1" x14ac:dyDescent="0.25">
      <c r="T40639" s="135"/>
      <c r="U40639" s="135"/>
    </row>
    <row r="40640" spans="20:21" ht="15" customHeight="1" x14ac:dyDescent="0.25">
      <c r="T40640" s="135"/>
      <c r="U40640" s="135"/>
    </row>
    <row r="40641" spans="20:21" ht="15" customHeight="1" x14ac:dyDescent="0.25">
      <c r="T40641" s="135"/>
      <c r="U40641" s="135"/>
    </row>
    <row r="40642" spans="20:21" ht="15" customHeight="1" x14ac:dyDescent="0.25">
      <c r="T40642" s="135"/>
      <c r="U40642" s="135"/>
    </row>
    <row r="40643" spans="20:21" ht="15" customHeight="1" x14ac:dyDescent="0.25">
      <c r="T40643" s="135"/>
      <c r="U40643" s="135"/>
    </row>
    <row r="40644" spans="20:21" ht="15" customHeight="1" x14ac:dyDescent="0.25">
      <c r="T40644" s="135"/>
      <c r="U40644" s="135"/>
    </row>
    <row r="40645" spans="20:21" ht="15" customHeight="1" x14ac:dyDescent="0.25">
      <c r="T40645" s="135"/>
      <c r="U40645" s="135"/>
    </row>
    <row r="40646" spans="20:21" ht="15" customHeight="1" x14ac:dyDescent="0.25">
      <c r="T40646" s="135"/>
      <c r="U40646" s="135"/>
    </row>
    <row r="40647" spans="20:21" ht="15" customHeight="1" x14ac:dyDescent="0.25">
      <c r="T40647" s="135"/>
      <c r="U40647" s="135"/>
    </row>
    <row r="40648" spans="20:21" ht="15" customHeight="1" x14ac:dyDescent="0.25">
      <c r="T40648" s="135"/>
      <c r="U40648" s="135"/>
    </row>
    <row r="40649" spans="20:21" ht="15" customHeight="1" x14ac:dyDescent="0.25">
      <c r="T40649" s="135"/>
      <c r="U40649" s="135"/>
    </row>
    <row r="40650" spans="20:21" ht="15" customHeight="1" x14ac:dyDescent="0.25">
      <c r="T40650" s="135"/>
      <c r="U40650" s="135"/>
    </row>
    <row r="40651" spans="20:21" ht="15" customHeight="1" x14ac:dyDescent="0.25">
      <c r="T40651" s="135"/>
      <c r="U40651" s="135"/>
    </row>
    <row r="40652" spans="20:21" ht="15" customHeight="1" x14ac:dyDescent="0.25">
      <c r="T40652" s="135"/>
      <c r="U40652" s="135"/>
    </row>
    <row r="40653" spans="20:21" ht="15" customHeight="1" x14ac:dyDescent="0.25">
      <c r="T40653" s="135"/>
      <c r="U40653" s="135"/>
    </row>
    <row r="40654" spans="20:21" ht="15" customHeight="1" x14ac:dyDescent="0.25">
      <c r="T40654" s="135"/>
      <c r="U40654" s="135"/>
    </row>
    <row r="40655" spans="20:21" ht="15" customHeight="1" x14ac:dyDescent="0.25">
      <c r="T40655" s="135"/>
      <c r="U40655" s="135"/>
    </row>
    <row r="40656" spans="20:21" ht="15" customHeight="1" x14ac:dyDescent="0.25">
      <c r="T40656" s="135"/>
      <c r="U40656" s="135"/>
    </row>
    <row r="40657" spans="20:21" ht="15" customHeight="1" x14ac:dyDescent="0.25">
      <c r="T40657" s="135"/>
      <c r="U40657" s="135"/>
    </row>
    <row r="40658" spans="20:21" ht="15" customHeight="1" x14ac:dyDescent="0.25">
      <c r="T40658" s="135"/>
      <c r="U40658" s="135"/>
    </row>
    <row r="40659" spans="20:21" ht="15" customHeight="1" x14ac:dyDescent="0.25">
      <c r="T40659" s="135"/>
      <c r="U40659" s="135"/>
    </row>
    <row r="40660" spans="20:21" ht="15" customHeight="1" x14ac:dyDescent="0.25">
      <c r="T40660" s="135"/>
      <c r="U40660" s="135"/>
    </row>
    <row r="40661" spans="20:21" ht="15" customHeight="1" x14ac:dyDescent="0.25">
      <c r="T40661" s="135"/>
      <c r="U40661" s="135"/>
    </row>
    <row r="40662" spans="20:21" ht="15" customHeight="1" x14ac:dyDescent="0.25">
      <c r="T40662" s="135"/>
      <c r="U40662" s="135"/>
    </row>
    <row r="40663" spans="20:21" ht="15" customHeight="1" x14ac:dyDescent="0.25">
      <c r="T40663" s="135"/>
      <c r="U40663" s="135"/>
    </row>
    <row r="40664" spans="20:21" ht="15" customHeight="1" x14ac:dyDescent="0.25">
      <c r="T40664" s="135"/>
      <c r="U40664" s="135"/>
    </row>
    <row r="40665" spans="20:21" ht="15" customHeight="1" x14ac:dyDescent="0.25">
      <c r="T40665" s="135"/>
      <c r="U40665" s="135"/>
    </row>
    <row r="40666" spans="20:21" ht="15" customHeight="1" x14ac:dyDescent="0.25">
      <c r="T40666" s="135"/>
      <c r="U40666" s="135"/>
    </row>
    <row r="40667" spans="20:21" ht="15" customHeight="1" x14ac:dyDescent="0.25">
      <c r="T40667" s="135"/>
      <c r="U40667" s="135"/>
    </row>
    <row r="40668" spans="20:21" ht="15" customHeight="1" x14ac:dyDescent="0.25">
      <c r="T40668" s="135"/>
      <c r="U40668" s="135"/>
    </row>
    <row r="40669" spans="20:21" ht="15" customHeight="1" x14ac:dyDescent="0.25">
      <c r="T40669" s="135"/>
      <c r="U40669" s="135"/>
    </row>
    <row r="40670" spans="20:21" ht="15" customHeight="1" x14ac:dyDescent="0.25">
      <c r="T40670" s="135"/>
      <c r="U40670" s="135"/>
    </row>
    <row r="40671" spans="20:21" ht="15" customHeight="1" x14ac:dyDescent="0.25">
      <c r="T40671" s="135"/>
      <c r="U40671" s="135"/>
    </row>
    <row r="40672" spans="20:21" ht="15" customHeight="1" x14ac:dyDescent="0.25">
      <c r="T40672" s="135"/>
      <c r="U40672" s="135"/>
    </row>
    <row r="40673" spans="20:21" ht="15" customHeight="1" x14ac:dyDescent="0.25">
      <c r="T40673" s="135"/>
      <c r="U40673" s="135"/>
    </row>
    <row r="40674" spans="20:21" ht="15" customHeight="1" x14ac:dyDescent="0.25">
      <c r="T40674" s="135"/>
      <c r="U40674" s="135"/>
    </row>
    <row r="40675" spans="20:21" ht="15" customHeight="1" x14ac:dyDescent="0.25">
      <c r="T40675" s="135"/>
      <c r="U40675" s="135"/>
    </row>
    <row r="40676" spans="20:21" ht="15" customHeight="1" x14ac:dyDescent="0.25">
      <c r="T40676" s="135"/>
      <c r="U40676" s="135"/>
    </row>
    <row r="40677" spans="20:21" ht="15" customHeight="1" x14ac:dyDescent="0.25">
      <c r="T40677" s="135"/>
      <c r="U40677" s="135"/>
    </row>
    <row r="40678" spans="20:21" ht="15" customHeight="1" x14ac:dyDescent="0.25">
      <c r="T40678" s="135"/>
      <c r="U40678" s="135"/>
    </row>
    <row r="40679" spans="20:21" ht="15" customHeight="1" x14ac:dyDescent="0.25">
      <c r="T40679" s="135"/>
      <c r="U40679" s="135"/>
    </row>
    <row r="40680" spans="20:21" ht="15" customHeight="1" x14ac:dyDescent="0.25">
      <c r="T40680" s="135"/>
      <c r="U40680" s="135"/>
    </row>
    <row r="40681" spans="20:21" ht="15" customHeight="1" x14ac:dyDescent="0.25">
      <c r="T40681" s="135"/>
      <c r="U40681" s="135"/>
    </row>
    <row r="40682" spans="20:21" ht="15" customHeight="1" x14ac:dyDescent="0.25">
      <c r="T40682" s="135"/>
      <c r="U40682" s="135"/>
    </row>
    <row r="40683" spans="20:21" ht="15" customHeight="1" x14ac:dyDescent="0.25">
      <c r="T40683" s="135"/>
      <c r="U40683" s="135"/>
    </row>
    <row r="40684" spans="20:21" ht="15" customHeight="1" x14ac:dyDescent="0.25">
      <c r="T40684" s="135"/>
      <c r="U40684" s="135"/>
    </row>
    <row r="40685" spans="20:21" ht="15" customHeight="1" x14ac:dyDescent="0.25">
      <c r="T40685" s="135"/>
      <c r="U40685" s="135"/>
    </row>
    <row r="40686" spans="20:21" ht="15" customHeight="1" x14ac:dyDescent="0.25">
      <c r="T40686" s="135"/>
      <c r="U40686" s="135"/>
    </row>
    <row r="40687" spans="20:21" ht="15" customHeight="1" x14ac:dyDescent="0.25">
      <c r="T40687" s="135"/>
      <c r="U40687" s="135"/>
    </row>
    <row r="40688" spans="20:21" ht="15" customHeight="1" x14ac:dyDescent="0.25">
      <c r="T40688" s="135"/>
      <c r="U40688" s="135"/>
    </row>
    <row r="40689" spans="20:21" ht="15" customHeight="1" x14ac:dyDescent="0.25">
      <c r="T40689" s="135"/>
      <c r="U40689" s="135"/>
    </row>
    <row r="40690" spans="20:21" ht="15" customHeight="1" x14ac:dyDescent="0.25">
      <c r="T40690" s="135"/>
      <c r="U40690" s="135"/>
    </row>
    <row r="40691" spans="20:21" ht="15" customHeight="1" x14ac:dyDescent="0.25">
      <c r="T40691" s="135"/>
      <c r="U40691" s="135"/>
    </row>
    <row r="40692" spans="20:21" ht="15" customHeight="1" x14ac:dyDescent="0.25">
      <c r="T40692" s="135"/>
      <c r="U40692" s="135"/>
    </row>
    <row r="40693" spans="20:21" ht="15" customHeight="1" x14ac:dyDescent="0.25">
      <c r="T40693" s="135"/>
      <c r="U40693" s="135"/>
    </row>
    <row r="40694" spans="20:21" ht="15" customHeight="1" x14ac:dyDescent="0.25">
      <c r="T40694" s="135"/>
      <c r="U40694" s="135"/>
    </row>
    <row r="40695" spans="20:21" ht="15" customHeight="1" x14ac:dyDescent="0.25">
      <c r="T40695" s="135"/>
      <c r="U40695" s="135"/>
    </row>
    <row r="40696" spans="20:21" ht="15" customHeight="1" x14ac:dyDescent="0.25">
      <c r="T40696" s="135"/>
      <c r="U40696" s="135"/>
    </row>
    <row r="40697" spans="20:21" ht="15" customHeight="1" x14ac:dyDescent="0.25">
      <c r="T40697" s="135"/>
      <c r="U40697" s="135"/>
    </row>
    <row r="40698" spans="20:21" ht="15" customHeight="1" x14ac:dyDescent="0.25">
      <c r="T40698" s="135"/>
      <c r="U40698" s="135"/>
    </row>
    <row r="40699" spans="20:21" ht="15" customHeight="1" x14ac:dyDescent="0.25">
      <c r="T40699" s="135"/>
      <c r="U40699" s="135"/>
    </row>
    <row r="40700" spans="20:21" ht="15" customHeight="1" x14ac:dyDescent="0.25">
      <c r="T40700" s="135"/>
      <c r="U40700" s="135"/>
    </row>
    <row r="40701" spans="20:21" ht="15" customHeight="1" x14ac:dyDescent="0.25">
      <c r="T40701" s="135"/>
      <c r="U40701" s="135"/>
    </row>
    <row r="40702" spans="20:21" ht="15" customHeight="1" x14ac:dyDescent="0.25">
      <c r="T40702" s="135"/>
      <c r="U40702" s="135"/>
    </row>
    <row r="40703" spans="20:21" ht="15" customHeight="1" x14ac:dyDescent="0.25">
      <c r="T40703" s="135"/>
      <c r="U40703" s="135"/>
    </row>
    <row r="40704" spans="20:21" ht="15" customHeight="1" x14ac:dyDescent="0.25">
      <c r="T40704" s="135"/>
      <c r="U40704" s="135"/>
    </row>
    <row r="40705" spans="20:21" ht="15" customHeight="1" x14ac:dyDescent="0.25">
      <c r="T40705" s="135"/>
      <c r="U40705" s="135"/>
    </row>
    <row r="40706" spans="20:21" ht="15" customHeight="1" x14ac:dyDescent="0.25">
      <c r="T40706" s="135"/>
      <c r="U40706" s="135"/>
    </row>
    <row r="40707" spans="20:21" ht="15" customHeight="1" x14ac:dyDescent="0.25">
      <c r="T40707" s="135"/>
      <c r="U40707" s="135"/>
    </row>
    <row r="40708" spans="20:21" ht="15" customHeight="1" x14ac:dyDescent="0.25">
      <c r="T40708" s="135"/>
      <c r="U40708" s="135"/>
    </row>
    <row r="40709" spans="20:21" ht="15" customHeight="1" x14ac:dyDescent="0.25">
      <c r="T40709" s="135"/>
      <c r="U40709" s="135"/>
    </row>
    <row r="40710" spans="20:21" ht="15" customHeight="1" x14ac:dyDescent="0.25">
      <c r="T40710" s="135"/>
      <c r="U40710" s="135"/>
    </row>
    <row r="40711" spans="20:21" ht="15" customHeight="1" x14ac:dyDescent="0.25">
      <c r="T40711" s="135"/>
      <c r="U40711" s="135"/>
    </row>
    <row r="40712" spans="20:21" ht="15" customHeight="1" x14ac:dyDescent="0.25">
      <c r="T40712" s="135"/>
      <c r="U40712" s="135"/>
    </row>
    <row r="40713" spans="20:21" ht="15" customHeight="1" x14ac:dyDescent="0.25">
      <c r="T40713" s="135"/>
      <c r="U40713" s="135"/>
    </row>
    <row r="40714" spans="20:21" ht="15" customHeight="1" x14ac:dyDescent="0.25">
      <c r="T40714" s="135"/>
      <c r="U40714" s="135"/>
    </row>
    <row r="40715" spans="20:21" ht="15" customHeight="1" x14ac:dyDescent="0.25">
      <c r="T40715" s="135"/>
      <c r="U40715" s="135"/>
    </row>
    <row r="40716" spans="20:21" ht="15" customHeight="1" x14ac:dyDescent="0.25">
      <c r="T40716" s="135"/>
      <c r="U40716" s="135"/>
    </row>
    <row r="40717" spans="20:21" ht="15" customHeight="1" x14ac:dyDescent="0.25">
      <c r="T40717" s="135"/>
      <c r="U40717" s="135"/>
    </row>
    <row r="40718" spans="20:21" ht="15" customHeight="1" x14ac:dyDescent="0.25">
      <c r="T40718" s="135"/>
      <c r="U40718" s="135"/>
    </row>
    <row r="40719" spans="20:21" ht="15" customHeight="1" x14ac:dyDescent="0.25">
      <c r="T40719" s="135"/>
      <c r="U40719" s="135"/>
    </row>
    <row r="40720" spans="20:21" ht="15" customHeight="1" x14ac:dyDescent="0.25">
      <c r="T40720" s="135"/>
      <c r="U40720" s="135"/>
    </row>
    <row r="40721" spans="20:21" ht="15" customHeight="1" x14ac:dyDescent="0.25">
      <c r="T40721" s="135"/>
      <c r="U40721" s="135"/>
    </row>
    <row r="40722" spans="20:21" ht="15" customHeight="1" x14ac:dyDescent="0.25">
      <c r="T40722" s="135"/>
      <c r="U40722" s="135"/>
    </row>
    <row r="40723" spans="20:21" ht="15" customHeight="1" x14ac:dyDescent="0.25">
      <c r="T40723" s="135"/>
      <c r="U40723" s="135"/>
    </row>
    <row r="40724" spans="20:21" ht="15" customHeight="1" x14ac:dyDescent="0.25">
      <c r="T40724" s="135"/>
      <c r="U40724" s="135"/>
    </row>
    <row r="40725" spans="20:21" ht="15" customHeight="1" x14ac:dyDescent="0.25">
      <c r="T40725" s="135"/>
      <c r="U40725" s="135"/>
    </row>
    <row r="40726" spans="20:21" ht="15" customHeight="1" x14ac:dyDescent="0.25">
      <c r="T40726" s="135"/>
      <c r="U40726" s="135"/>
    </row>
    <row r="40727" spans="20:21" ht="15" customHeight="1" x14ac:dyDescent="0.25">
      <c r="T40727" s="135"/>
      <c r="U40727" s="135"/>
    </row>
    <row r="40728" spans="20:21" ht="15" customHeight="1" x14ac:dyDescent="0.25">
      <c r="T40728" s="135"/>
      <c r="U40728" s="135"/>
    </row>
    <row r="40729" spans="20:21" ht="15" customHeight="1" x14ac:dyDescent="0.25">
      <c r="T40729" s="135"/>
      <c r="U40729" s="135"/>
    </row>
    <row r="40730" spans="20:21" ht="15" customHeight="1" x14ac:dyDescent="0.25">
      <c r="T40730" s="135"/>
      <c r="U40730" s="135"/>
    </row>
    <row r="40731" spans="20:21" ht="15" customHeight="1" x14ac:dyDescent="0.25">
      <c r="T40731" s="135"/>
      <c r="U40731" s="135"/>
    </row>
    <row r="40732" spans="20:21" ht="15" customHeight="1" x14ac:dyDescent="0.25">
      <c r="T40732" s="135"/>
      <c r="U40732" s="135"/>
    </row>
    <row r="40733" spans="20:21" ht="15" customHeight="1" x14ac:dyDescent="0.25">
      <c r="T40733" s="135"/>
      <c r="U40733" s="135"/>
    </row>
    <row r="40734" spans="20:21" ht="15" customHeight="1" x14ac:dyDescent="0.25">
      <c r="T40734" s="135"/>
      <c r="U40734" s="135"/>
    </row>
    <row r="40735" spans="20:21" ht="15" customHeight="1" x14ac:dyDescent="0.25">
      <c r="T40735" s="135"/>
      <c r="U40735" s="135"/>
    </row>
    <row r="40736" spans="20:21" ht="15" customHeight="1" x14ac:dyDescent="0.25">
      <c r="T40736" s="135"/>
      <c r="U40736" s="135"/>
    </row>
    <row r="40737" spans="20:21" ht="15" customHeight="1" x14ac:dyDescent="0.25">
      <c r="T40737" s="135"/>
      <c r="U40737" s="135"/>
    </row>
    <row r="40738" spans="20:21" ht="15" customHeight="1" x14ac:dyDescent="0.25">
      <c r="T40738" s="135"/>
      <c r="U40738" s="135"/>
    </row>
    <row r="40739" spans="20:21" ht="15" customHeight="1" x14ac:dyDescent="0.25">
      <c r="T40739" s="135"/>
      <c r="U40739" s="135"/>
    </row>
    <row r="40740" spans="20:21" ht="15" customHeight="1" x14ac:dyDescent="0.25">
      <c r="T40740" s="135"/>
      <c r="U40740" s="135"/>
    </row>
    <row r="40741" spans="20:21" ht="15" customHeight="1" x14ac:dyDescent="0.25">
      <c r="T40741" s="135"/>
      <c r="U40741" s="135"/>
    </row>
    <row r="40742" spans="20:21" ht="15" customHeight="1" x14ac:dyDescent="0.25">
      <c r="T40742" s="135"/>
      <c r="U40742" s="135"/>
    </row>
    <row r="40743" spans="20:21" ht="15" customHeight="1" x14ac:dyDescent="0.25">
      <c r="T40743" s="135"/>
      <c r="U40743" s="135"/>
    </row>
    <row r="40744" spans="20:21" ht="15" customHeight="1" x14ac:dyDescent="0.25">
      <c r="T40744" s="135"/>
      <c r="U40744" s="135"/>
    </row>
    <row r="40745" spans="20:21" ht="15" customHeight="1" x14ac:dyDescent="0.25">
      <c r="T40745" s="135"/>
      <c r="U40745" s="135"/>
    </row>
    <row r="40746" spans="20:21" ht="15" customHeight="1" x14ac:dyDescent="0.25">
      <c r="T40746" s="135"/>
      <c r="U40746" s="135"/>
    </row>
    <row r="40747" spans="20:21" ht="15" customHeight="1" x14ac:dyDescent="0.25">
      <c r="T40747" s="135"/>
      <c r="U40747" s="135"/>
    </row>
    <row r="40748" spans="20:21" ht="15" customHeight="1" x14ac:dyDescent="0.25">
      <c r="T40748" s="135"/>
      <c r="U40748" s="135"/>
    </row>
    <row r="40749" spans="20:21" ht="15" customHeight="1" x14ac:dyDescent="0.25">
      <c r="T40749" s="135"/>
      <c r="U40749" s="135"/>
    </row>
    <row r="40750" spans="20:21" ht="15" customHeight="1" x14ac:dyDescent="0.25">
      <c r="T40750" s="135"/>
      <c r="U40750" s="135"/>
    </row>
    <row r="40751" spans="20:21" ht="15" customHeight="1" x14ac:dyDescent="0.25">
      <c r="T40751" s="135"/>
      <c r="U40751" s="135"/>
    </row>
    <row r="40752" spans="20:21" ht="15" customHeight="1" x14ac:dyDescent="0.25">
      <c r="T40752" s="135"/>
      <c r="U40752" s="135"/>
    </row>
    <row r="40753" spans="20:21" ht="15" customHeight="1" x14ac:dyDescent="0.25">
      <c r="T40753" s="135"/>
      <c r="U40753" s="135"/>
    </row>
    <row r="40754" spans="20:21" ht="15" customHeight="1" x14ac:dyDescent="0.25">
      <c r="T40754" s="135"/>
      <c r="U40754" s="135"/>
    </row>
    <row r="40755" spans="20:21" ht="15" customHeight="1" x14ac:dyDescent="0.25">
      <c r="T40755" s="135"/>
      <c r="U40755" s="135"/>
    </row>
    <row r="40756" spans="20:21" ht="15" customHeight="1" x14ac:dyDescent="0.25">
      <c r="T40756" s="135"/>
      <c r="U40756" s="135"/>
    </row>
    <row r="40757" spans="20:21" ht="15" customHeight="1" x14ac:dyDescent="0.25">
      <c r="T40757" s="135"/>
      <c r="U40757" s="135"/>
    </row>
    <row r="40758" spans="20:21" ht="15" customHeight="1" x14ac:dyDescent="0.25">
      <c r="T40758" s="135"/>
      <c r="U40758" s="135"/>
    </row>
    <row r="40759" spans="20:21" ht="15" customHeight="1" x14ac:dyDescent="0.25">
      <c r="T40759" s="135"/>
      <c r="U40759" s="135"/>
    </row>
    <row r="40760" spans="20:21" ht="15" customHeight="1" x14ac:dyDescent="0.25">
      <c r="T40760" s="135"/>
      <c r="U40760" s="135"/>
    </row>
    <row r="40761" spans="20:21" ht="15" customHeight="1" x14ac:dyDescent="0.25">
      <c r="T40761" s="135"/>
      <c r="U40761" s="135"/>
    </row>
    <row r="40762" spans="20:21" ht="15" customHeight="1" x14ac:dyDescent="0.25">
      <c r="T40762" s="135"/>
      <c r="U40762" s="135"/>
    </row>
    <row r="40763" spans="20:21" ht="15" customHeight="1" x14ac:dyDescent="0.25">
      <c r="T40763" s="135"/>
      <c r="U40763" s="135"/>
    </row>
    <row r="40764" spans="20:21" ht="15" customHeight="1" x14ac:dyDescent="0.25">
      <c r="T40764" s="135"/>
      <c r="U40764" s="135"/>
    </row>
    <row r="40765" spans="20:21" ht="15" customHeight="1" x14ac:dyDescent="0.25">
      <c r="T40765" s="135"/>
      <c r="U40765" s="135"/>
    </row>
    <row r="40766" spans="20:21" ht="15" customHeight="1" x14ac:dyDescent="0.25">
      <c r="T40766" s="135"/>
      <c r="U40766" s="135"/>
    </row>
    <row r="40767" spans="20:21" ht="15" customHeight="1" x14ac:dyDescent="0.25">
      <c r="T40767" s="135"/>
      <c r="U40767" s="135"/>
    </row>
    <row r="40768" spans="20:21" ht="15" customHeight="1" x14ac:dyDescent="0.25">
      <c r="T40768" s="135"/>
      <c r="U40768" s="135"/>
    </row>
    <row r="40769" spans="20:21" ht="15" customHeight="1" x14ac:dyDescent="0.25">
      <c r="T40769" s="135"/>
      <c r="U40769" s="135"/>
    </row>
    <row r="40770" spans="20:21" ht="15" customHeight="1" x14ac:dyDescent="0.25">
      <c r="T40770" s="135"/>
      <c r="U40770" s="135"/>
    </row>
    <row r="40771" spans="20:21" ht="15" customHeight="1" x14ac:dyDescent="0.25">
      <c r="T40771" s="135"/>
      <c r="U40771" s="135"/>
    </row>
    <row r="40772" spans="20:21" ht="15" customHeight="1" x14ac:dyDescent="0.25">
      <c r="T40772" s="135"/>
      <c r="U40772" s="135"/>
    </row>
    <row r="40773" spans="20:21" ht="15" customHeight="1" x14ac:dyDescent="0.25">
      <c r="T40773" s="135"/>
      <c r="U40773" s="135"/>
    </row>
    <row r="40774" spans="20:21" ht="15" customHeight="1" x14ac:dyDescent="0.25">
      <c r="T40774" s="135"/>
      <c r="U40774" s="135"/>
    </row>
    <row r="40775" spans="20:21" ht="15" customHeight="1" x14ac:dyDescent="0.25">
      <c r="T40775" s="135"/>
      <c r="U40775" s="135"/>
    </row>
    <row r="40776" spans="20:21" ht="15" customHeight="1" x14ac:dyDescent="0.25">
      <c r="T40776" s="135"/>
      <c r="U40776" s="135"/>
    </row>
    <row r="40777" spans="20:21" ht="15" customHeight="1" x14ac:dyDescent="0.25">
      <c r="T40777" s="135"/>
      <c r="U40777" s="135"/>
    </row>
    <row r="40778" spans="20:21" ht="15" customHeight="1" x14ac:dyDescent="0.25">
      <c r="T40778" s="135"/>
      <c r="U40778" s="135"/>
    </row>
    <row r="40779" spans="20:21" ht="15" customHeight="1" x14ac:dyDescent="0.25">
      <c r="T40779" s="135"/>
      <c r="U40779" s="135"/>
    </row>
    <row r="40780" spans="20:21" ht="15" customHeight="1" x14ac:dyDescent="0.25">
      <c r="T40780" s="135"/>
      <c r="U40780" s="135"/>
    </row>
    <row r="40781" spans="20:21" ht="15" customHeight="1" x14ac:dyDescent="0.25">
      <c r="T40781" s="135"/>
      <c r="U40781" s="135"/>
    </row>
    <row r="40782" spans="20:21" ht="15" customHeight="1" x14ac:dyDescent="0.25">
      <c r="T40782" s="135"/>
      <c r="U40782" s="135"/>
    </row>
    <row r="40783" spans="20:21" ht="15" customHeight="1" x14ac:dyDescent="0.25">
      <c r="T40783" s="135"/>
      <c r="U40783" s="135"/>
    </row>
    <row r="40784" spans="20:21" ht="15" customHeight="1" x14ac:dyDescent="0.25">
      <c r="T40784" s="135"/>
      <c r="U40784" s="135"/>
    </row>
    <row r="40785" spans="20:21" ht="15" customHeight="1" x14ac:dyDescent="0.25">
      <c r="T40785" s="135"/>
      <c r="U40785" s="135"/>
    </row>
    <row r="40786" spans="20:21" ht="15" customHeight="1" x14ac:dyDescent="0.25">
      <c r="T40786" s="135"/>
      <c r="U40786" s="135"/>
    </row>
    <row r="40787" spans="20:21" ht="15" customHeight="1" x14ac:dyDescent="0.25">
      <c r="T40787" s="135"/>
      <c r="U40787" s="135"/>
    </row>
    <row r="40788" spans="20:21" ht="15" customHeight="1" x14ac:dyDescent="0.25">
      <c r="T40788" s="135"/>
      <c r="U40788" s="135"/>
    </row>
    <row r="40789" spans="20:21" ht="15" customHeight="1" x14ac:dyDescent="0.25">
      <c r="T40789" s="135"/>
      <c r="U40789" s="135"/>
    </row>
    <row r="40790" spans="20:21" ht="15" customHeight="1" x14ac:dyDescent="0.25">
      <c r="T40790" s="135"/>
      <c r="U40790" s="135"/>
    </row>
    <row r="40791" spans="20:21" ht="15" customHeight="1" x14ac:dyDescent="0.25">
      <c r="T40791" s="135"/>
      <c r="U40791" s="135"/>
    </row>
    <row r="40792" spans="20:21" ht="15" customHeight="1" x14ac:dyDescent="0.25">
      <c r="T40792" s="135"/>
      <c r="U40792" s="135"/>
    </row>
    <row r="40793" spans="20:21" ht="15" customHeight="1" x14ac:dyDescent="0.25">
      <c r="T40793" s="135"/>
      <c r="U40793" s="135"/>
    </row>
    <row r="40794" spans="20:21" ht="15" customHeight="1" x14ac:dyDescent="0.25">
      <c r="T40794" s="135"/>
      <c r="U40794" s="135"/>
    </row>
    <row r="40795" spans="20:21" ht="15" customHeight="1" x14ac:dyDescent="0.25">
      <c r="T40795" s="135"/>
      <c r="U40795" s="135"/>
    </row>
    <row r="40796" spans="20:21" ht="15" customHeight="1" x14ac:dyDescent="0.25">
      <c r="T40796" s="135"/>
      <c r="U40796" s="135"/>
    </row>
    <row r="40797" spans="20:21" ht="15" customHeight="1" x14ac:dyDescent="0.25">
      <c r="T40797" s="135"/>
      <c r="U40797" s="135"/>
    </row>
    <row r="40798" spans="20:21" ht="15" customHeight="1" x14ac:dyDescent="0.25">
      <c r="T40798" s="135"/>
      <c r="U40798" s="135"/>
    </row>
    <row r="40799" spans="20:21" ht="15" customHeight="1" x14ac:dyDescent="0.25">
      <c r="T40799" s="135"/>
      <c r="U40799" s="135"/>
    </row>
    <row r="40800" spans="20:21" ht="15" customHeight="1" x14ac:dyDescent="0.25">
      <c r="T40800" s="135"/>
      <c r="U40800" s="135"/>
    </row>
    <row r="40801" spans="20:21" ht="15" customHeight="1" x14ac:dyDescent="0.25">
      <c r="T40801" s="135"/>
      <c r="U40801" s="135"/>
    </row>
    <row r="40802" spans="20:21" ht="15" customHeight="1" x14ac:dyDescent="0.25">
      <c r="T40802" s="135"/>
      <c r="U40802" s="135"/>
    </row>
    <row r="40803" spans="20:21" ht="15" customHeight="1" x14ac:dyDescent="0.25">
      <c r="T40803" s="135"/>
      <c r="U40803" s="135"/>
    </row>
    <row r="40804" spans="20:21" ht="15" customHeight="1" x14ac:dyDescent="0.25">
      <c r="T40804" s="135"/>
      <c r="U40804" s="135"/>
    </row>
    <row r="40805" spans="20:21" ht="15" customHeight="1" x14ac:dyDescent="0.25">
      <c r="T40805" s="135"/>
      <c r="U40805" s="135"/>
    </row>
    <row r="40806" spans="20:21" ht="15" customHeight="1" x14ac:dyDescent="0.25">
      <c r="T40806" s="135"/>
      <c r="U40806" s="135"/>
    </row>
    <row r="40807" spans="20:21" ht="15" customHeight="1" x14ac:dyDescent="0.25">
      <c r="T40807" s="135"/>
      <c r="U40807" s="135"/>
    </row>
    <row r="40808" spans="20:21" ht="15" customHeight="1" x14ac:dyDescent="0.25">
      <c r="T40808" s="135"/>
      <c r="U40808" s="135"/>
    </row>
    <row r="40809" spans="20:21" ht="15" customHeight="1" x14ac:dyDescent="0.25">
      <c r="T40809" s="135"/>
      <c r="U40809" s="135"/>
    </row>
    <row r="40810" spans="20:21" ht="15" customHeight="1" x14ac:dyDescent="0.25">
      <c r="T40810" s="135"/>
      <c r="U40810" s="135"/>
    </row>
    <row r="40811" spans="20:21" ht="15" customHeight="1" x14ac:dyDescent="0.25">
      <c r="T40811" s="135"/>
      <c r="U40811" s="135"/>
    </row>
    <row r="40812" spans="20:21" ht="15" customHeight="1" x14ac:dyDescent="0.25">
      <c r="T40812" s="135"/>
      <c r="U40812" s="135"/>
    </row>
    <row r="40813" spans="20:21" ht="15" customHeight="1" x14ac:dyDescent="0.25">
      <c r="T40813" s="135"/>
      <c r="U40813" s="135"/>
    </row>
    <row r="40814" spans="20:21" ht="15" customHeight="1" x14ac:dyDescent="0.25">
      <c r="T40814" s="135"/>
      <c r="U40814" s="135"/>
    </row>
    <row r="40815" spans="20:21" ht="15" customHeight="1" x14ac:dyDescent="0.25">
      <c r="T40815" s="135"/>
      <c r="U40815" s="135"/>
    </row>
    <row r="40816" spans="20:21" ht="15" customHeight="1" x14ac:dyDescent="0.25">
      <c r="T40816" s="135"/>
      <c r="U40816" s="135"/>
    </row>
    <row r="40817" spans="20:21" ht="15" customHeight="1" x14ac:dyDescent="0.25">
      <c r="T40817" s="135"/>
      <c r="U40817" s="135"/>
    </row>
    <row r="40818" spans="20:21" ht="15" customHeight="1" x14ac:dyDescent="0.25">
      <c r="T40818" s="135"/>
      <c r="U40818" s="135"/>
    </row>
    <row r="40819" spans="20:21" ht="15" customHeight="1" x14ac:dyDescent="0.25">
      <c r="T40819" s="135"/>
      <c r="U40819" s="135"/>
    </row>
    <row r="40820" spans="20:21" ht="15" customHeight="1" x14ac:dyDescent="0.25">
      <c r="T40820" s="135"/>
      <c r="U40820" s="135"/>
    </row>
    <row r="40821" spans="20:21" ht="15" customHeight="1" x14ac:dyDescent="0.25">
      <c r="T40821" s="135"/>
      <c r="U40821" s="135"/>
    </row>
    <row r="40822" spans="20:21" ht="15" customHeight="1" x14ac:dyDescent="0.25">
      <c r="T40822" s="135"/>
      <c r="U40822" s="135"/>
    </row>
    <row r="40823" spans="20:21" ht="15" customHeight="1" x14ac:dyDescent="0.25">
      <c r="T40823" s="135"/>
      <c r="U40823" s="135"/>
    </row>
    <row r="40824" spans="20:21" ht="15" customHeight="1" x14ac:dyDescent="0.25">
      <c r="T40824" s="135"/>
      <c r="U40824" s="135"/>
    </row>
    <row r="40825" spans="20:21" ht="15" customHeight="1" x14ac:dyDescent="0.25">
      <c r="T40825" s="135"/>
      <c r="U40825" s="135"/>
    </row>
    <row r="40826" spans="20:21" ht="15" customHeight="1" x14ac:dyDescent="0.25">
      <c r="T40826" s="135"/>
      <c r="U40826" s="135"/>
    </row>
    <row r="40827" spans="20:21" ht="15" customHeight="1" x14ac:dyDescent="0.25">
      <c r="T40827" s="135"/>
      <c r="U40827" s="135"/>
    </row>
    <row r="40828" spans="20:21" ht="15" customHeight="1" x14ac:dyDescent="0.25">
      <c r="T40828" s="135"/>
      <c r="U40828" s="135"/>
    </row>
    <row r="40829" spans="20:21" ht="15" customHeight="1" x14ac:dyDescent="0.25">
      <c r="T40829" s="135"/>
      <c r="U40829" s="135"/>
    </row>
    <row r="40830" spans="20:21" ht="15" customHeight="1" x14ac:dyDescent="0.25">
      <c r="T40830" s="135"/>
      <c r="U40830" s="135"/>
    </row>
    <row r="40831" spans="20:21" ht="15" customHeight="1" x14ac:dyDescent="0.25">
      <c r="T40831" s="135"/>
      <c r="U40831" s="135"/>
    </row>
    <row r="40832" spans="20:21" ht="15" customHeight="1" x14ac:dyDescent="0.25">
      <c r="T40832" s="135"/>
      <c r="U40832" s="135"/>
    </row>
    <row r="40833" spans="20:21" ht="15" customHeight="1" x14ac:dyDescent="0.25">
      <c r="T40833" s="135"/>
      <c r="U40833" s="135"/>
    </row>
    <row r="40834" spans="20:21" ht="15" customHeight="1" x14ac:dyDescent="0.25">
      <c r="T40834" s="135"/>
      <c r="U40834" s="135"/>
    </row>
    <row r="40835" spans="20:21" ht="15" customHeight="1" x14ac:dyDescent="0.25">
      <c r="T40835" s="135"/>
      <c r="U40835" s="135"/>
    </row>
    <row r="40836" spans="20:21" ht="15" customHeight="1" x14ac:dyDescent="0.25">
      <c r="T40836" s="135"/>
      <c r="U40836" s="135"/>
    </row>
    <row r="40837" spans="20:21" ht="15" customHeight="1" x14ac:dyDescent="0.25">
      <c r="T40837" s="135"/>
      <c r="U40837" s="135"/>
    </row>
    <row r="40838" spans="20:21" ht="15" customHeight="1" x14ac:dyDescent="0.25">
      <c r="T40838" s="135"/>
      <c r="U40838" s="135"/>
    </row>
    <row r="40839" spans="20:21" ht="15" customHeight="1" x14ac:dyDescent="0.25">
      <c r="T40839" s="135"/>
      <c r="U40839" s="135"/>
    </row>
    <row r="40840" spans="20:21" ht="15" customHeight="1" x14ac:dyDescent="0.25">
      <c r="T40840" s="135"/>
      <c r="U40840" s="135"/>
    </row>
    <row r="40841" spans="20:21" ht="15" customHeight="1" x14ac:dyDescent="0.25">
      <c r="T40841" s="135"/>
      <c r="U40841" s="135"/>
    </row>
    <row r="40842" spans="20:21" ht="15" customHeight="1" x14ac:dyDescent="0.25">
      <c r="T40842" s="135"/>
      <c r="U40842" s="135"/>
    </row>
    <row r="40843" spans="20:21" ht="15" customHeight="1" x14ac:dyDescent="0.25">
      <c r="T40843" s="135"/>
      <c r="U40843" s="135"/>
    </row>
    <row r="40844" spans="20:21" ht="15" customHeight="1" x14ac:dyDescent="0.25">
      <c r="T40844" s="135"/>
      <c r="U40844" s="135"/>
    </row>
    <row r="40845" spans="20:21" ht="15" customHeight="1" x14ac:dyDescent="0.25">
      <c r="T40845" s="135"/>
      <c r="U40845" s="135"/>
    </row>
    <row r="40846" spans="20:21" ht="15" customHeight="1" x14ac:dyDescent="0.25">
      <c r="T40846" s="135"/>
      <c r="U40846" s="135"/>
    </row>
    <row r="40847" spans="20:21" ht="15" customHeight="1" x14ac:dyDescent="0.25">
      <c r="T40847" s="135"/>
      <c r="U40847" s="135"/>
    </row>
    <row r="40848" spans="20:21" ht="15" customHeight="1" x14ac:dyDescent="0.25">
      <c r="T40848" s="135"/>
      <c r="U40848" s="135"/>
    </row>
    <row r="40849" spans="20:21" ht="15" customHeight="1" x14ac:dyDescent="0.25">
      <c r="T40849" s="135"/>
      <c r="U40849" s="135"/>
    </row>
    <row r="40850" spans="20:21" ht="15" customHeight="1" x14ac:dyDescent="0.25">
      <c r="T40850" s="135"/>
      <c r="U40850" s="135"/>
    </row>
    <row r="40851" spans="20:21" ht="15" customHeight="1" x14ac:dyDescent="0.25">
      <c r="T40851" s="135"/>
      <c r="U40851" s="135"/>
    </row>
    <row r="40852" spans="20:21" ht="15" customHeight="1" x14ac:dyDescent="0.25">
      <c r="T40852" s="135"/>
      <c r="U40852" s="135"/>
    </row>
    <row r="40853" spans="20:21" ht="15" customHeight="1" x14ac:dyDescent="0.25">
      <c r="T40853" s="135"/>
      <c r="U40853" s="135"/>
    </row>
    <row r="40854" spans="20:21" ht="15" customHeight="1" x14ac:dyDescent="0.25">
      <c r="T40854" s="135"/>
      <c r="U40854" s="135"/>
    </row>
    <row r="40855" spans="20:21" ht="15" customHeight="1" x14ac:dyDescent="0.25">
      <c r="T40855" s="135"/>
      <c r="U40855" s="135"/>
    </row>
    <row r="40856" spans="20:21" ht="15" customHeight="1" x14ac:dyDescent="0.25">
      <c r="T40856" s="135"/>
      <c r="U40856" s="135"/>
    </row>
    <row r="40857" spans="20:21" ht="15" customHeight="1" x14ac:dyDescent="0.25">
      <c r="T40857" s="135"/>
      <c r="U40857" s="135"/>
    </row>
    <row r="40858" spans="20:21" ht="15" customHeight="1" x14ac:dyDescent="0.25">
      <c r="T40858" s="135"/>
      <c r="U40858" s="135"/>
    </row>
    <row r="40859" spans="20:21" ht="15" customHeight="1" x14ac:dyDescent="0.25">
      <c r="T40859" s="135"/>
      <c r="U40859" s="135"/>
    </row>
    <row r="40860" spans="20:21" ht="15" customHeight="1" x14ac:dyDescent="0.25">
      <c r="T40860" s="135"/>
      <c r="U40860" s="135"/>
    </row>
    <row r="40861" spans="20:21" ht="15" customHeight="1" x14ac:dyDescent="0.25">
      <c r="T40861" s="135"/>
      <c r="U40861" s="135"/>
    </row>
    <row r="40862" spans="20:21" ht="15" customHeight="1" x14ac:dyDescent="0.25">
      <c r="T40862" s="135"/>
      <c r="U40862" s="135"/>
    </row>
    <row r="40863" spans="20:21" ht="15" customHeight="1" x14ac:dyDescent="0.25">
      <c r="T40863" s="135"/>
      <c r="U40863" s="135"/>
    </row>
    <row r="40864" spans="20:21" ht="15" customHeight="1" x14ac:dyDescent="0.25">
      <c r="T40864" s="135"/>
      <c r="U40864" s="135"/>
    </row>
    <row r="40865" spans="20:21" ht="15" customHeight="1" x14ac:dyDescent="0.25">
      <c r="T40865" s="135"/>
      <c r="U40865" s="135"/>
    </row>
    <row r="40866" spans="20:21" ht="15" customHeight="1" x14ac:dyDescent="0.25">
      <c r="T40866" s="135"/>
      <c r="U40866" s="135"/>
    </row>
    <row r="40867" spans="20:21" ht="15" customHeight="1" x14ac:dyDescent="0.25">
      <c r="T40867" s="135"/>
      <c r="U40867" s="135"/>
    </row>
    <row r="40868" spans="20:21" ht="15" customHeight="1" x14ac:dyDescent="0.25">
      <c r="T40868" s="135"/>
      <c r="U40868" s="135"/>
    </row>
    <row r="40869" spans="20:21" ht="15" customHeight="1" x14ac:dyDescent="0.25">
      <c r="T40869" s="135"/>
      <c r="U40869" s="135"/>
    </row>
    <row r="40870" spans="20:21" ht="15" customHeight="1" x14ac:dyDescent="0.25">
      <c r="T40870" s="135"/>
      <c r="U40870" s="135"/>
    </row>
    <row r="40871" spans="20:21" ht="15" customHeight="1" x14ac:dyDescent="0.25">
      <c r="T40871" s="135"/>
      <c r="U40871" s="135"/>
    </row>
    <row r="40872" spans="20:21" ht="15" customHeight="1" x14ac:dyDescent="0.25">
      <c r="T40872" s="135"/>
      <c r="U40872" s="135"/>
    </row>
    <row r="40873" spans="20:21" ht="15" customHeight="1" x14ac:dyDescent="0.25">
      <c r="T40873" s="135"/>
      <c r="U40873" s="135"/>
    </row>
    <row r="40874" spans="20:21" ht="15" customHeight="1" x14ac:dyDescent="0.25">
      <c r="T40874" s="135"/>
      <c r="U40874" s="135"/>
    </row>
    <row r="40875" spans="20:21" ht="15" customHeight="1" x14ac:dyDescent="0.25">
      <c r="T40875" s="135"/>
      <c r="U40875" s="135"/>
    </row>
    <row r="40876" spans="20:21" ht="15" customHeight="1" x14ac:dyDescent="0.25">
      <c r="T40876" s="135"/>
      <c r="U40876" s="135"/>
    </row>
    <row r="40877" spans="20:21" ht="15" customHeight="1" x14ac:dyDescent="0.25">
      <c r="T40877" s="135"/>
      <c r="U40877" s="135"/>
    </row>
    <row r="40878" spans="20:21" ht="15" customHeight="1" x14ac:dyDescent="0.25">
      <c r="T40878" s="135"/>
      <c r="U40878" s="135"/>
    </row>
    <row r="40879" spans="20:21" ht="15" customHeight="1" x14ac:dyDescent="0.25">
      <c r="T40879" s="135"/>
      <c r="U40879" s="135"/>
    </row>
    <row r="40880" spans="20:21" ht="15" customHeight="1" x14ac:dyDescent="0.25">
      <c r="T40880" s="135"/>
      <c r="U40880" s="135"/>
    </row>
    <row r="40881" spans="20:21" ht="15" customHeight="1" x14ac:dyDescent="0.25">
      <c r="T40881" s="135"/>
      <c r="U40881" s="135"/>
    </row>
    <row r="40882" spans="20:21" ht="15" customHeight="1" x14ac:dyDescent="0.25">
      <c r="T40882" s="135"/>
      <c r="U40882" s="135"/>
    </row>
    <row r="40883" spans="20:21" ht="15" customHeight="1" x14ac:dyDescent="0.25">
      <c r="T40883" s="135"/>
      <c r="U40883" s="135"/>
    </row>
    <row r="40884" spans="20:21" ht="15" customHeight="1" x14ac:dyDescent="0.25">
      <c r="T40884" s="135"/>
      <c r="U40884" s="135"/>
    </row>
    <row r="40885" spans="20:21" ht="15" customHeight="1" x14ac:dyDescent="0.25">
      <c r="T40885" s="135"/>
      <c r="U40885" s="135"/>
    </row>
    <row r="40886" spans="20:21" ht="15" customHeight="1" x14ac:dyDescent="0.25">
      <c r="T40886" s="135"/>
      <c r="U40886" s="135"/>
    </row>
    <row r="40887" spans="20:21" ht="15" customHeight="1" x14ac:dyDescent="0.25">
      <c r="T40887" s="135"/>
      <c r="U40887" s="135"/>
    </row>
    <row r="40888" spans="20:21" ht="15" customHeight="1" x14ac:dyDescent="0.25">
      <c r="T40888" s="135"/>
      <c r="U40888" s="135"/>
    </row>
    <row r="40889" spans="20:21" ht="15" customHeight="1" x14ac:dyDescent="0.25">
      <c r="T40889" s="135"/>
      <c r="U40889" s="135"/>
    </row>
    <row r="40890" spans="20:21" ht="15" customHeight="1" x14ac:dyDescent="0.25">
      <c r="T40890" s="135"/>
      <c r="U40890" s="135"/>
    </row>
    <row r="40891" spans="20:21" ht="15" customHeight="1" x14ac:dyDescent="0.25">
      <c r="T40891" s="135"/>
      <c r="U40891" s="135"/>
    </row>
    <row r="40892" spans="20:21" ht="15" customHeight="1" x14ac:dyDescent="0.25">
      <c r="T40892" s="135"/>
      <c r="U40892" s="135"/>
    </row>
    <row r="40893" spans="20:21" ht="15" customHeight="1" x14ac:dyDescent="0.25">
      <c r="T40893" s="135"/>
      <c r="U40893" s="135"/>
    </row>
    <row r="40894" spans="20:21" ht="15" customHeight="1" x14ac:dyDescent="0.25">
      <c r="T40894" s="135"/>
      <c r="U40894" s="135"/>
    </row>
    <row r="40895" spans="20:21" ht="15" customHeight="1" x14ac:dyDescent="0.25">
      <c r="T40895" s="135"/>
      <c r="U40895" s="135"/>
    </row>
    <row r="40896" spans="20:21" ht="15" customHeight="1" x14ac:dyDescent="0.25">
      <c r="T40896" s="135"/>
      <c r="U40896" s="135"/>
    </row>
    <row r="40897" spans="20:21" ht="15" customHeight="1" x14ac:dyDescent="0.25">
      <c r="T40897" s="135"/>
      <c r="U40897" s="135"/>
    </row>
    <row r="40898" spans="20:21" ht="15" customHeight="1" x14ac:dyDescent="0.25">
      <c r="T40898" s="135"/>
      <c r="U40898" s="135"/>
    </row>
    <row r="40899" spans="20:21" ht="15" customHeight="1" x14ac:dyDescent="0.25">
      <c r="T40899" s="135"/>
      <c r="U40899" s="135"/>
    </row>
    <row r="40900" spans="20:21" ht="15" customHeight="1" x14ac:dyDescent="0.25">
      <c r="T40900" s="135"/>
      <c r="U40900" s="135"/>
    </row>
    <row r="40901" spans="20:21" ht="15" customHeight="1" x14ac:dyDescent="0.25">
      <c r="T40901" s="135"/>
      <c r="U40901" s="135"/>
    </row>
    <row r="40902" spans="20:21" ht="15" customHeight="1" x14ac:dyDescent="0.25">
      <c r="T40902" s="135"/>
      <c r="U40902" s="135"/>
    </row>
    <row r="40903" spans="20:21" ht="15" customHeight="1" x14ac:dyDescent="0.25">
      <c r="T40903" s="135"/>
      <c r="U40903" s="135"/>
    </row>
    <row r="40904" spans="20:21" ht="15" customHeight="1" x14ac:dyDescent="0.25">
      <c r="T40904" s="135"/>
      <c r="U40904" s="135"/>
    </row>
    <row r="40905" spans="20:21" ht="15" customHeight="1" x14ac:dyDescent="0.25">
      <c r="T40905" s="135"/>
      <c r="U40905" s="135"/>
    </row>
    <row r="40906" spans="20:21" ht="15" customHeight="1" x14ac:dyDescent="0.25">
      <c r="T40906" s="135"/>
      <c r="U40906" s="135"/>
    </row>
    <row r="40907" spans="20:21" ht="15" customHeight="1" x14ac:dyDescent="0.25">
      <c r="T40907" s="135"/>
      <c r="U40907" s="135"/>
    </row>
    <row r="40908" spans="20:21" ht="15" customHeight="1" x14ac:dyDescent="0.25">
      <c r="T40908" s="135"/>
      <c r="U40908" s="135"/>
    </row>
    <row r="40909" spans="20:21" ht="15" customHeight="1" x14ac:dyDescent="0.25">
      <c r="T40909" s="135"/>
      <c r="U40909" s="135"/>
    </row>
    <row r="40910" spans="20:21" ht="15" customHeight="1" x14ac:dyDescent="0.25">
      <c r="T40910" s="135"/>
      <c r="U40910" s="135"/>
    </row>
    <row r="40911" spans="20:21" ht="15" customHeight="1" x14ac:dyDescent="0.25">
      <c r="T40911" s="135"/>
      <c r="U40911" s="135"/>
    </row>
    <row r="40912" spans="20:21" ht="15" customHeight="1" x14ac:dyDescent="0.25">
      <c r="T40912" s="135"/>
      <c r="U40912" s="135"/>
    </row>
    <row r="40913" spans="20:21" ht="15" customHeight="1" x14ac:dyDescent="0.25">
      <c r="T40913" s="135"/>
      <c r="U40913" s="135"/>
    </row>
    <row r="40914" spans="20:21" ht="15" customHeight="1" x14ac:dyDescent="0.25">
      <c r="T40914" s="135"/>
      <c r="U40914" s="135"/>
    </row>
    <row r="40915" spans="20:21" ht="15" customHeight="1" x14ac:dyDescent="0.25">
      <c r="T40915" s="135"/>
      <c r="U40915" s="135"/>
    </row>
    <row r="40916" spans="20:21" ht="15" customHeight="1" x14ac:dyDescent="0.25">
      <c r="T40916" s="135"/>
      <c r="U40916" s="135"/>
    </row>
    <row r="40917" spans="20:21" ht="15" customHeight="1" x14ac:dyDescent="0.25">
      <c r="T40917" s="135"/>
      <c r="U40917" s="135"/>
    </row>
    <row r="40918" spans="20:21" ht="15" customHeight="1" x14ac:dyDescent="0.25">
      <c r="T40918" s="135"/>
      <c r="U40918" s="135"/>
    </row>
    <row r="40919" spans="20:21" ht="15" customHeight="1" x14ac:dyDescent="0.25">
      <c r="T40919" s="135"/>
      <c r="U40919" s="135"/>
    </row>
    <row r="40920" spans="20:21" ht="15" customHeight="1" x14ac:dyDescent="0.25">
      <c r="T40920" s="135"/>
      <c r="U40920" s="135"/>
    </row>
    <row r="40921" spans="20:21" ht="15" customHeight="1" x14ac:dyDescent="0.25">
      <c r="T40921" s="135"/>
      <c r="U40921" s="135"/>
    </row>
    <row r="40922" spans="20:21" ht="15" customHeight="1" x14ac:dyDescent="0.25">
      <c r="T40922" s="135"/>
      <c r="U40922" s="135"/>
    </row>
    <row r="40923" spans="20:21" ht="15" customHeight="1" x14ac:dyDescent="0.25">
      <c r="T40923" s="135"/>
      <c r="U40923" s="135"/>
    </row>
    <row r="40924" spans="20:21" ht="15" customHeight="1" x14ac:dyDescent="0.25">
      <c r="T40924" s="135"/>
      <c r="U40924" s="135"/>
    </row>
    <row r="40925" spans="20:21" ht="15" customHeight="1" x14ac:dyDescent="0.25">
      <c r="T40925" s="135"/>
      <c r="U40925" s="135"/>
    </row>
    <row r="40926" spans="20:21" ht="15" customHeight="1" x14ac:dyDescent="0.25">
      <c r="T40926" s="135"/>
      <c r="U40926" s="135"/>
    </row>
    <row r="40927" spans="20:21" ht="15" customHeight="1" x14ac:dyDescent="0.25">
      <c r="T40927" s="135"/>
      <c r="U40927" s="135"/>
    </row>
    <row r="40928" spans="20:21" ht="15" customHeight="1" x14ac:dyDescent="0.25">
      <c r="T40928" s="135"/>
      <c r="U40928" s="135"/>
    </row>
    <row r="40929" spans="20:21" ht="15" customHeight="1" x14ac:dyDescent="0.25">
      <c r="T40929" s="135"/>
      <c r="U40929" s="135"/>
    </row>
    <row r="40930" spans="20:21" ht="15" customHeight="1" x14ac:dyDescent="0.25">
      <c r="T40930" s="135"/>
      <c r="U40930" s="135"/>
    </row>
    <row r="40931" spans="20:21" ht="15" customHeight="1" x14ac:dyDescent="0.25">
      <c r="T40931" s="135"/>
      <c r="U40931" s="135"/>
    </row>
    <row r="40932" spans="20:21" ht="15" customHeight="1" x14ac:dyDescent="0.25">
      <c r="T40932" s="135"/>
      <c r="U40932" s="135"/>
    </row>
    <row r="40933" spans="20:21" ht="15" customHeight="1" x14ac:dyDescent="0.25">
      <c r="T40933" s="135"/>
      <c r="U40933" s="135"/>
    </row>
    <row r="40934" spans="20:21" ht="15" customHeight="1" x14ac:dyDescent="0.25">
      <c r="T40934" s="135"/>
      <c r="U40934" s="135"/>
    </row>
    <row r="40935" spans="20:21" ht="15" customHeight="1" x14ac:dyDescent="0.25">
      <c r="T40935" s="135"/>
      <c r="U40935" s="135"/>
    </row>
    <row r="40936" spans="20:21" ht="15" customHeight="1" x14ac:dyDescent="0.25">
      <c r="T40936" s="135"/>
      <c r="U40936" s="135"/>
    </row>
    <row r="40937" spans="20:21" ht="15" customHeight="1" x14ac:dyDescent="0.25">
      <c r="T40937" s="135"/>
      <c r="U40937" s="135"/>
    </row>
    <row r="40938" spans="20:21" ht="15" customHeight="1" x14ac:dyDescent="0.25">
      <c r="T40938" s="135"/>
      <c r="U40938" s="135"/>
    </row>
    <row r="40939" spans="20:21" ht="15" customHeight="1" x14ac:dyDescent="0.25">
      <c r="T40939" s="135"/>
      <c r="U40939" s="135"/>
    </row>
    <row r="40940" spans="20:21" ht="15" customHeight="1" x14ac:dyDescent="0.25">
      <c r="T40940" s="135"/>
      <c r="U40940" s="135"/>
    </row>
    <row r="40941" spans="20:21" ht="15" customHeight="1" x14ac:dyDescent="0.25">
      <c r="T40941" s="135"/>
      <c r="U40941" s="135"/>
    </row>
    <row r="40942" spans="20:21" ht="15" customHeight="1" x14ac:dyDescent="0.25">
      <c r="T40942" s="135"/>
      <c r="U40942" s="135"/>
    </row>
    <row r="40943" spans="20:21" ht="15" customHeight="1" x14ac:dyDescent="0.25">
      <c r="T40943" s="135"/>
      <c r="U40943" s="135"/>
    </row>
    <row r="40944" spans="20:21" ht="15" customHeight="1" x14ac:dyDescent="0.25">
      <c r="T40944" s="135"/>
      <c r="U40944" s="135"/>
    </row>
    <row r="40945" spans="20:21" ht="15" customHeight="1" x14ac:dyDescent="0.25">
      <c r="T40945" s="135"/>
      <c r="U40945" s="135"/>
    </row>
    <row r="40946" spans="20:21" ht="15" customHeight="1" x14ac:dyDescent="0.25">
      <c r="T40946" s="135"/>
      <c r="U40946" s="135"/>
    </row>
    <row r="40947" spans="20:21" ht="15" customHeight="1" x14ac:dyDescent="0.25">
      <c r="T40947" s="135"/>
      <c r="U40947" s="135"/>
    </row>
    <row r="40948" spans="20:21" ht="15" customHeight="1" x14ac:dyDescent="0.25">
      <c r="T40948" s="135"/>
      <c r="U40948" s="135"/>
    </row>
    <row r="40949" spans="20:21" ht="15" customHeight="1" x14ac:dyDescent="0.25">
      <c r="T40949" s="135"/>
      <c r="U40949" s="135"/>
    </row>
    <row r="40950" spans="20:21" ht="15" customHeight="1" x14ac:dyDescent="0.25">
      <c r="T40950" s="135"/>
      <c r="U40950" s="135"/>
    </row>
    <row r="40951" spans="20:21" ht="15" customHeight="1" x14ac:dyDescent="0.25">
      <c r="T40951" s="135"/>
      <c r="U40951" s="135"/>
    </row>
    <row r="40952" spans="20:21" ht="15" customHeight="1" x14ac:dyDescent="0.25">
      <c r="T40952" s="135"/>
      <c r="U40952" s="135"/>
    </row>
    <row r="40953" spans="20:21" ht="15" customHeight="1" x14ac:dyDescent="0.25">
      <c r="T40953" s="135"/>
      <c r="U40953" s="135"/>
    </row>
    <row r="40954" spans="20:21" ht="15" customHeight="1" x14ac:dyDescent="0.25">
      <c r="T40954" s="135"/>
      <c r="U40954" s="135"/>
    </row>
    <row r="40955" spans="20:21" ht="15" customHeight="1" x14ac:dyDescent="0.25">
      <c r="T40955" s="135"/>
      <c r="U40955" s="135"/>
    </row>
    <row r="40956" spans="20:21" ht="15" customHeight="1" x14ac:dyDescent="0.25">
      <c r="T40956" s="135"/>
      <c r="U40956" s="135"/>
    </row>
    <row r="40957" spans="20:21" ht="15" customHeight="1" x14ac:dyDescent="0.25">
      <c r="T40957" s="135"/>
      <c r="U40957" s="135"/>
    </row>
    <row r="40958" spans="20:21" ht="15" customHeight="1" x14ac:dyDescent="0.25">
      <c r="T40958" s="135"/>
      <c r="U40958" s="135"/>
    </row>
    <row r="40959" spans="20:21" ht="15" customHeight="1" x14ac:dyDescent="0.25">
      <c r="T40959" s="135"/>
      <c r="U40959" s="135"/>
    </row>
    <row r="40960" spans="20:21" ht="15" customHeight="1" x14ac:dyDescent="0.25">
      <c r="T40960" s="135"/>
      <c r="U40960" s="135"/>
    </row>
    <row r="40961" spans="20:21" ht="15" customHeight="1" x14ac:dyDescent="0.25">
      <c r="T40961" s="135"/>
      <c r="U40961" s="135"/>
    </row>
    <row r="40962" spans="20:21" ht="15" customHeight="1" x14ac:dyDescent="0.25">
      <c r="T40962" s="135"/>
      <c r="U40962" s="135"/>
    </row>
    <row r="40963" spans="20:21" ht="15" customHeight="1" x14ac:dyDescent="0.25">
      <c r="T40963" s="135"/>
      <c r="U40963" s="135"/>
    </row>
    <row r="40964" spans="20:21" ht="15" customHeight="1" x14ac:dyDescent="0.25">
      <c r="T40964" s="135"/>
      <c r="U40964" s="135"/>
    </row>
    <row r="40965" spans="20:21" ht="15" customHeight="1" x14ac:dyDescent="0.25">
      <c r="T40965" s="135"/>
      <c r="U40965" s="135"/>
    </row>
    <row r="40966" spans="20:21" ht="15" customHeight="1" x14ac:dyDescent="0.25">
      <c r="T40966" s="135"/>
      <c r="U40966" s="135"/>
    </row>
    <row r="40967" spans="20:21" ht="15" customHeight="1" x14ac:dyDescent="0.25">
      <c r="T40967" s="135"/>
      <c r="U40967" s="135"/>
    </row>
    <row r="40968" spans="20:21" ht="15" customHeight="1" x14ac:dyDescent="0.25">
      <c r="T40968" s="135"/>
      <c r="U40968" s="135"/>
    </row>
    <row r="40969" spans="20:21" ht="15" customHeight="1" x14ac:dyDescent="0.25">
      <c r="T40969" s="135"/>
      <c r="U40969" s="135"/>
    </row>
    <row r="40970" spans="20:21" ht="15" customHeight="1" x14ac:dyDescent="0.25">
      <c r="T40970" s="135"/>
      <c r="U40970" s="135"/>
    </row>
    <row r="40971" spans="20:21" ht="15" customHeight="1" x14ac:dyDescent="0.25">
      <c r="T40971" s="135"/>
      <c r="U40971" s="135"/>
    </row>
    <row r="40972" spans="20:21" ht="15" customHeight="1" x14ac:dyDescent="0.25">
      <c r="T40972" s="135"/>
      <c r="U40972" s="135"/>
    </row>
    <row r="40973" spans="20:21" ht="15" customHeight="1" x14ac:dyDescent="0.25">
      <c r="T40973" s="135"/>
      <c r="U40973" s="135"/>
    </row>
    <row r="40974" spans="20:21" ht="15" customHeight="1" x14ac:dyDescent="0.25">
      <c r="T40974" s="135"/>
      <c r="U40974" s="135"/>
    </row>
    <row r="40975" spans="20:21" ht="15" customHeight="1" x14ac:dyDescent="0.25">
      <c r="T40975" s="135"/>
      <c r="U40975" s="135"/>
    </row>
    <row r="40976" spans="20:21" ht="15" customHeight="1" x14ac:dyDescent="0.25">
      <c r="T40976" s="135"/>
      <c r="U40976" s="135"/>
    </row>
    <row r="40977" spans="20:21" ht="15" customHeight="1" x14ac:dyDescent="0.25">
      <c r="T40977" s="135"/>
      <c r="U40977" s="135"/>
    </row>
    <row r="40978" spans="20:21" ht="15" customHeight="1" x14ac:dyDescent="0.25">
      <c r="T40978" s="135"/>
      <c r="U40978" s="135"/>
    </row>
    <row r="40979" spans="20:21" ht="15" customHeight="1" x14ac:dyDescent="0.25">
      <c r="T40979" s="135"/>
      <c r="U40979" s="135"/>
    </row>
    <row r="40980" spans="20:21" ht="15" customHeight="1" x14ac:dyDescent="0.25">
      <c r="T40980" s="135"/>
      <c r="U40980" s="135"/>
    </row>
    <row r="40981" spans="20:21" ht="15" customHeight="1" x14ac:dyDescent="0.25">
      <c r="T40981" s="135"/>
      <c r="U40981" s="135"/>
    </row>
    <row r="40982" spans="20:21" ht="15" customHeight="1" x14ac:dyDescent="0.25">
      <c r="T40982" s="135"/>
      <c r="U40982" s="135"/>
    </row>
    <row r="40983" spans="20:21" ht="15" customHeight="1" x14ac:dyDescent="0.25">
      <c r="T40983" s="135"/>
      <c r="U40983" s="135"/>
    </row>
    <row r="40984" spans="20:21" ht="15" customHeight="1" x14ac:dyDescent="0.25">
      <c r="T40984" s="135"/>
      <c r="U40984" s="135"/>
    </row>
    <row r="40985" spans="20:21" ht="15" customHeight="1" x14ac:dyDescent="0.25">
      <c r="T40985" s="135"/>
      <c r="U40985" s="135"/>
    </row>
    <row r="40986" spans="20:21" ht="15" customHeight="1" x14ac:dyDescent="0.25">
      <c r="T40986" s="135"/>
      <c r="U40986" s="135"/>
    </row>
    <row r="40987" spans="20:21" ht="15" customHeight="1" x14ac:dyDescent="0.25">
      <c r="T40987" s="135"/>
      <c r="U40987" s="135"/>
    </row>
    <row r="40988" spans="20:21" ht="15" customHeight="1" x14ac:dyDescent="0.25">
      <c r="T40988" s="135"/>
      <c r="U40988" s="135"/>
    </row>
    <row r="40989" spans="20:21" ht="15" customHeight="1" x14ac:dyDescent="0.25">
      <c r="T40989" s="135"/>
      <c r="U40989" s="135"/>
    </row>
    <row r="40990" spans="20:21" ht="15" customHeight="1" x14ac:dyDescent="0.25">
      <c r="T40990" s="135"/>
      <c r="U40990" s="135"/>
    </row>
    <row r="40991" spans="20:21" ht="15" customHeight="1" x14ac:dyDescent="0.25">
      <c r="T40991" s="135"/>
      <c r="U40991" s="135"/>
    </row>
    <row r="40992" spans="20:21" ht="15" customHeight="1" x14ac:dyDescent="0.25">
      <c r="T40992" s="135"/>
      <c r="U40992" s="135"/>
    </row>
    <row r="40993" spans="20:21" ht="15" customHeight="1" x14ac:dyDescent="0.25">
      <c r="T40993" s="135"/>
      <c r="U40993" s="135"/>
    </row>
    <row r="40994" spans="20:21" ht="15" customHeight="1" x14ac:dyDescent="0.25">
      <c r="T40994" s="135"/>
      <c r="U40994" s="135"/>
    </row>
    <row r="40995" spans="20:21" ht="15" customHeight="1" x14ac:dyDescent="0.25">
      <c r="T40995" s="135"/>
      <c r="U40995" s="135"/>
    </row>
    <row r="40996" spans="20:21" ht="15" customHeight="1" x14ac:dyDescent="0.25">
      <c r="T40996" s="135"/>
      <c r="U40996" s="135"/>
    </row>
    <row r="40997" spans="20:21" ht="15" customHeight="1" x14ac:dyDescent="0.25">
      <c r="T40997" s="135"/>
      <c r="U40997" s="135"/>
    </row>
    <row r="40998" spans="20:21" ht="15" customHeight="1" x14ac:dyDescent="0.25">
      <c r="T40998" s="135"/>
      <c r="U40998" s="135"/>
    </row>
    <row r="40999" spans="20:21" ht="15" customHeight="1" x14ac:dyDescent="0.25">
      <c r="T40999" s="135"/>
      <c r="U40999" s="135"/>
    </row>
    <row r="41000" spans="20:21" ht="15" customHeight="1" x14ac:dyDescent="0.25">
      <c r="T41000" s="135"/>
      <c r="U41000" s="135"/>
    </row>
    <row r="41001" spans="20:21" ht="15" customHeight="1" x14ac:dyDescent="0.25">
      <c r="T41001" s="135"/>
      <c r="U41001" s="135"/>
    </row>
    <row r="41002" spans="20:21" ht="15" customHeight="1" x14ac:dyDescent="0.25">
      <c r="T41002" s="135"/>
      <c r="U41002" s="135"/>
    </row>
    <row r="41003" spans="20:21" ht="15" customHeight="1" x14ac:dyDescent="0.25">
      <c r="T41003" s="135"/>
      <c r="U41003" s="135"/>
    </row>
    <row r="41004" spans="20:21" ht="15" customHeight="1" x14ac:dyDescent="0.25">
      <c r="T41004" s="135"/>
      <c r="U41004" s="135"/>
    </row>
    <row r="41005" spans="20:21" ht="15" customHeight="1" x14ac:dyDescent="0.25">
      <c r="T41005" s="135"/>
      <c r="U41005" s="135"/>
    </row>
    <row r="41006" spans="20:21" ht="15" customHeight="1" x14ac:dyDescent="0.25">
      <c r="T41006" s="135"/>
      <c r="U41006" s="135"/>
    </row>
    <row r="41007" spans="20:21" ht="15" customHeight="1" x14ac:dyDescent="0.25">
      <c r="T41007" s="135"/>
      <c r="U41007" s="135"/>
    </row>
    <row r="41008" spans="20:21" ht="15" customHeight="1" x14ac:dyDescent="0.25">
      <c r="T41008" s="135"/>
      <c r="U41008" s="135"/>
    </row>
    <row r="41009" spans="20:21" ht="15" customHeight="1" x14ac:dyDescent="0.25">
      <c r="T41009" s="135"/>
      <c r="U41009" s="135"/>
    </row>
    <row r="41010" spans="20:21" ht="15" customHeight="1" x14ac:dyDescent="0.25">
      <c r="T41010" s="135"/>
      <c r="U41010" s="135"/>
    </row>
    <row r="41011" spans="20:21" ht="15" customHeight="1" x14ac:dyDescent="0.25">
      <c r="T41011" s="135"/>
      <c r="U41011" s="135"/>
    </row>
    <row r="41012" spans="20:21" ht="15" customHeight="1" x14ac:dyDescent="0.25">
      <c r="T41012" s="135"/>
      <c r="U41012" s="135"/>
    </row>
    <row r="41013" spans="20:21" ht="15" customHeight="1" x14ac:dyDescent="0.25">
      <c r="T41013" s="135"/>
      <c r="U41013" s="135"/>
    </row>
    <row r="41014" spans="20:21" ht="15" customHeight="1" x14ac:dyDescent="0.25">
      <c r="T41014" s="135"/>
      <c r="U41014" s="135"/>
    </row>
    <row r="41015" spans="20:21" ht="15" customHeight="1" x14ac:dyDescent="0.25">
      <c r="T41015" s="135"/>
      <c r="U41015" s="135"/>
    </row>
    <row r="41016" spans="20:21" ht="15" customHeight="1" x14ac:dyDescent="0.25">
      <c r="T41016" s="135"/>
      <c r="U41016" s="135"/>
    </row>
    <row r="41017" spans="20:21" ht="15" customHeight="1" x14ac:dyDescent="0.25">
      <c r="T41017" s="135"/>
      <c r="U41017" s="135"/>
    </row>
    <row r="41018" spans="20:21" ht="15" customHeight="1" x14ac:dyDescent="0.25">
      <c r="T41018" s="135"/>
      <c r="U41018" s="135"/>
    </row>
    <row r="41019" spans="20:21" ht="15" customHeight="1" x14ac:dyDescent="0.25">
      <c r="T41019" s="135"/>
      <c r="U41019" s="135"/>
    </row>
    <row r="41020" spans="20:21" ht="15" customHeight="1" x14ac:dyDescent="0.25">
      <c r="T41020" s="135"/>
      <c r="U41020" s="135"/>
    </row>
    <row r="41021" spans="20:21" ht="15" customHeight="1" x14ac:dyDescent="0.25">
      <c r="T41021" s="135"/>
      <c r="U41021" s="135"/>
    </row>
    <row r="41022" spans="20:21" ht="15" customHeight="1" x14ac:dyDescent="0.25">
      <c r="T41022" s="135"/>
      <c r="U41022" s="135"/>
    </row>
    <row r="41023" spans="20:21" ht="15" customHeight="1" x14ac:dyDescent="0.25">
      <c r="T41023" s="135"/>
      <c r="U41023" s="135"/>
    </row>
    <row r="41024" spans="20:21" ht="15" customHeight="1" x14ac:dyDescent="0.25">
      <c r="T41024" s="135"/>
      <c r="U41024" s="135"/>
    </row>
    <row r="41025" spans="20:21" ht="15" customHeight="1" x14ac:dyDescent="0.25">
      <c r="T41025" s="135"/>
      <c r="U41025" s="135"/>
    </row>
    <row r="41026" spans="20:21" ht="15" customHeight="1" x14ac:dyDescent="0.25">
      <c r="T41026" s="135"/>
      <c r="U41026" s="135"/>
    </row>
    <row r="41027" spans="20:21" ht="15" customHeight="1" x14ac:dyDescent="0.25">
      <c r="T41027" s="135"/>
      <c r="U41027" s="135"/>
    </row>
    <row r="41028" spans="20:21" ht="15" customHeight="1" x14ac:dyDescent="0.25">
      <c r="T41028" s="135"/>
      <c r="U41028" s="135"/>
    </row>
    <row r="41029" spans="20:21" ht="15" customHeight="1" x14ac:dyDescent="0.25">
      <c r="T41029" s="135"/>
      <c r="U41029" s="135"/>
    </row>
    <row r="41030" spans="20:21" ht="15" customHeight="1" x14ac:dyDescent="0.25">
      <c r="T41030" s="135"/>
      <c r="U41030" s="135"/>
    </row>
    <row r="41031" spans="20:21" ht="15" customHeight="1" x14ac:dyDescent="0.25">
      <c r="T41031" s="135"/>
      <c r="U41031" s="135"/>
    </row>
    <row r="41032" spans="20:21" ht="15" customHeight="1" x14ac:dyDescent="0.25">
      <c r="T41032" s="135"/>
      <c r="U41032" s="135"/>
    </row>
    <row r="41033" spans="20:21" ht="15" customHeight="1" x14ac:dyDescent="0.25">
      <c r="T41033" s="135"/>
      <c r="U41033" s="135"/>
    </row>
    <row r="41034" spans="20:21" ht="15" customHeight="1" x14ac:dyDescent="0.25">
      <c r="T41034" s="135"/>
      <c r="U41034" s="135"/>
    </row>
    <row r="41035" spans="20:21" ht="15" customHeight="1" x14ac:dyDescent="0.25">
      <c r="T41035" s="135"/>
      <c r="U41035" s="135"/>
    </row>
    <row r="41036" spans="20:21" ht="15" customHeight="1" x14ac:dyDescent="0.25">
      <c r="T41036" s="135"/>
      <c r="U41036" s="135"/>
    </row>
    <row r="41037" spans="20:21" ht="15" customHeight="1" x14ac:dyDescent="0.25">
      <c r="T41037" s="135"/>
      <c r="U41037" s="135"/>
    </row>
    <row r="41038" spans="20:21" ht="15" customHeight="1" x14ac:dyDescent="0.25">
      <c r="T41038" s="135"/>
      <c r="U41038" s="135"/>
    </row>
    <row r="41039" spans="20:21" ht="15" customHeight="1" x14ac:dyDescent="0.25">
      <c r="T41039" s="135"/>
      <c r="U41039" s="135"/>
    </row>
    <row r="41040" spans="20:21" ht="15" customHeight="1" x14ac:dyDescent="0.25">
      <c r="T41040" s="135"/>
      <c r="U41040" s="135"/>
    </row>
    <row r="41041" spans="20:21" ht="15" customHeight="1" x14ac:dyDescent="0.25">
      <c r="T41041" s="135"/>
      <c r="U41041" s="135"/>
    </row>
    <row r="41042" spans="20:21" ht="15" customHeight="1" x14ac:dyDescent="0.25">
      <c r="T41042" s="135"/>
      <c r="U41042" s="135"/>
    </row>
    <row r="41043" spans="20:21" ht="15" customHeight="1" x14ac:dyDescent="0.25">
      <c r="T41043" s="135"/>
      <c r="U41043" s="135"/>
    </row>
    <row r="41044" spans="20:21" ht="15" customHeight="1" x14ac:dyDescent="0.25">
      <c r="T41044" s="135"/>
      <c r="U41044" s="135"/>
    </row>
    <row r="41045" spans="20:21" ht="15" customHeight="1" x14ac:dyDescent="0.25">
      <c r="T41045" s="135"/>
      <c r="U41045" s="135"/>
    </row>
    <row r="41046" spans="20:21" ht="15" customHeight="1" x14ac:dyDescent="0.25">
      <c r="T41046" s="135"/>
      <c r="U41046" s="135"/>
    </row>
    <row r="41047" spans="20:21" ht="15" customHeight="1" x14ac:dyDescent="0.25">
      <c r="T41047" s="135"/>
      <c r="U41047" s="135"/>
    </row>
    <row r="41048" spans="20:21" ht="15" customHeight="1" x14ac:dyDescent="0.25">
      <c r="T41048" s="135"/>
      <c r="U41048" s="135"/>
    </row>
    <row r="41049" spans="20:21" ht="15" customHeight="1" x14ac:dyDescent="0.25">
      <c r="T41049" s="135"/>
      <c r="U41049" s="135"/>
    </row>
    <row r="41050" spans="20:21" ht="15" customHeight="1" x14ac:dyDescent="0.25">
      <c r="T41050" s="135"/>
      <c r="U41050" s="135"/>
    </row>
    <row r="41051" spans="20:21" ht="15" customHeight="1" x14ac:dyDescent="0.25">
      <c r="T41051" s="135"/>
      <c r="U41051" s="135"/>
    </row>
    <row r="41052" spans="20:21" ht="15" customHeight="1" x14ac:dyDescent="0.25">
      <c r="T41052" s="135"/>
      <c r="U41052" s="135"/>
    </row>
    <row r="41053" spans="20:21" ht="15" customHeight="1" x14ac:dyDescent="0.25">
      <c r="T41053" s="135"/>
      <c r="U41053" s="135"/>
    </row>
    <row r="41054" spans="20:21" ht="15" customHeight="1" x14ac:dyDescent="0.25">
      <c r="T41054" s="135"/>
      <c r="U41054" s="135"/>
    </row>
    <row r="41055" spans="20:21" ht="15" customHeight="1" x14ac:dyDescent="0.25">
      <c r="T41055" s="135"/>
      <c r="U41055" s="135"/>
    </row>
    <row r="41056" spans="20:21" ht="15" customHeight="1" x14ac:dyDescent="0.25">
      <c r="T41056" s="135"/>
      <c r="U41056" s="135"/>
    </row>
    <row r="41057" spans="20:21" ht="15" customHeight="1" x14ac:dyDescent="0.25">
      <c r="T41057" s="135"/>
      <c r="U41057" s="135"/>
    </row>
    <row r="41058" spans="20:21" ht="15" customHeight="1" x14ac:dyDescent="0.25">
      <c r="T41058" s="135"/>
      <c r="U41058" s="135"/>
    </row>
    <row r="41059" spans="20:21" ht="15" customHeight="1" x14ac:dyDescent="0.25">
      <c r="T41059" s="135"/>
      <c r="U41059" s="135"/>
    </row>
    <row r="41060" spans="20:21" ht="15" customHeight="1" x14ac:dyDescent="0.25">
      <c r="T41060" s="135"/>
      <c r="U41060" s="135"/>
    </row>
    <row r="41061" spans="20:21" ht="15" customHeight="1" x14ac:dyDescent="0.25">
      <c r="T41061" s="135"/>
      <c r="U41061" s="135"/>
    </row>
    <row r="41062" spans="20:21" ht="15" customHeight="1" x14ac:dyDescent="0.25">
      <c r="T41062" s="135"/>
      <c r="U41062" s="135"/>
    </row>
    <row r="41063" spans="20:21" ht="15" customHeight="1" x14ac:dyDescent="0.25">
      <c r="T41063" s="135"/>
      <c r="U41063" s="135"/>
    </row>
    <row r="41064" spans="20:21" ht="15" customHeight="1" x14ac:dyDescent="0.25">
      <c r="T41064" s="135"/>
      <c r="U41064" s="135"/>
    </row>
    <row r="41065" spans="20:21" ht="15" customHeight="1" x14ac:dyDescent="0.25">
      <c r="T41065" s="135"/>
      <c r="U41065" s="135"/>
    </row>
    <row r="41066" spans="20:21" ht="15" customHeight="1" x14ac:dyDescent="0.25">
      <c r="T41066" s="135"/>
      <c r="U41066" s="135"/>
    </row>
    <row r="41067" spans="20:21" ht="15" customHeight="1" x14ac:dyDescent="0.25">
      <c r="T41067" s="135"/>
      <c r="U41067" s="135"/>
    </row>
    <row r="41068" spans="20:21" ht="15" customHeight="1" x14ac:dyDescent="0.25">
      <c r="T41068" s="135"/>
      <c r="U41068" s="135"/>
    </row>
    <row r="41069" spans="20:21" ht="15" customHeight="1" x14ac:dyDescent="0.25">
      <c r="T41069" s="135"/>
      <c r="U41069" s="135"/>
    </row>
    <row r="41070" spans="20:21" ht="15" customHeight="1" x14ac:dyDescent="0.25">
      <c r="T41070" s="135"/>
      <c r="U41070" s="135"/>
    </row>
    <row r="41071" spans="20:21" ht="15" customHeight="1" x14ac:dyDescent="0.25">
      <c r="T41071" s="135"/>
      <c r="U41071" s="135"/>
    </row>
    <row r="41072" spans="20:21" ht="15" customHeight="1" x14ac:dyDescent="0.25">
      <c r="T41072" s="135"/>
      <c r="U41072" s="135"/>
    </row>
    <row r="41073" spans="20:21" ht="15" customHeight="1" x14ac:dyDescent="0.25">
      <c r="T41073" s="135"/>
      <c r="U41073" s="135"/>
    </row>
    <row r="41074" spans="20:21" ht="15" customHeight="1" x14ac:dyDescent="0.25">
      <c r="T41074" s="135"/>
      <c r="U41074" s="135"/>
    </row>
    <row r="41075" spans="20:21" ht="15" customHeight="1" x14ac:dyDescent="0.25">
      <c r="T41075" s="135"/>
      <c r="U41075" s="135"/>
    </row>
    <row r="41076" spans="20:21" ht="15" customHeight="1" x14ac:dyDescent="0.25">
      <c r="T41076" s="135"/>
      <c r="U41076" s="135"/>
    </row>
    <row r="41077" spans="20:21" ht="15" customHeight="1" x14ac:dyDescent="0.25">
      <c r="T41077" s="135"/>
      <c r="U41077" s="135"/>
    </row>
    <row r="41078" spans="20:21" ht="15" customHeight="1" x14ac:dyDescent="0.25">
      <c r="T41078" s="135"/>
      <c r="U41078" s="135"/>
    </row>
    <row r="41079" spans="20:21" ht="15" customHeight="1" x14ac:dyDescent="0.25">
      <c r="T41079" s="135"/>
      <c r="U41079" s="135"/>
    </row>
    <row r="41080" spans="20:21" ht="15" customHeight="1" x14ac:dyDescent="0.25">
      <c r="T41080" s="135"/>
      <c r="U41080" s="135"/>
    </row>
    <row r="41081" spans="20:21" ht="15" customHeight="1" x14ac:dyDescent="0.25">
      <c r="T41081" s="135"/>
      <c r="U41081" s="135"/>
    </row>
    <row r="41082" spans="20:21" ht="15" customHeight="1" x14ac:dyDescent="0.25">
      <c r="T41082" s="135"/>
      <c r="U41082" s="135"/>
    </row>
    <row r="41083" spans="20:21" ht="15" customHeight="1" x14ac:dyDescent="0.25">
      <c r="T41083" s="135"/>
      <c r="U41083" s="135"/>
    </row>
    <row r="41084" spans="20:21" ht="15" customHeight="1" x14ac:dyDescent="0.25">
      <c r="T41084" s="135"/>
      <c r="U41084" s="135"/>
    </row>
    <row r="41085" spans="20:21" ht="15" customHeight="1" x14ac:dyDescent="0.25">
      <c r="T41085" s="135"/>
      <c r="U41085" s="135"/>
    </row>
    <row r="41086" spans="20:21" ht="15" customHeight="1" x14ac:dyDescent="0.25">
      <c r="T41086" s="135"/>
      <c r="U41086" s="135"/>
    </row>
    <row r="41087" spans="20:21" ht="15" customHeight="1" x14ac:dyDescent="0.25">
      <c r="T41087" s="135"/>
      <c r="U41087" s="135"/>
    </row>
    <row r="41088" spans="20:21" ht="15" customHeight="1" x14ac:dyDescent="0.25">
      <c r="T41088" s="135"/>
      <c r="U41088" s="135"/>
    </row>
    <row r="41089" spans="20:21" ht="15" customHeight="1" x14ac:dyDescent="0.25">
      <c r="T41089" s="135"/>
      <c r="U41089" s="135"/>
    </row>
    <row r="41090" spans="20:21" ht="15" customHeight="1" x14ac:dyDescent="0.25">
      <c r="T41090" s="135"/>
      <c r="U41090" s="135"/>
    </row>
    <row r="41091" spans="20:21" ht="15" customHeight="1" x14ac:dyDescent="0.25">
      <c r="T41091" s="135"/>
      <c r="U41091" s="135"/>
    </row>
    <row r="41092" spans="20:21" ht="15" customHeight="1" x14ac:dyDescent="0.25">
      <c r="T41092" s="135"/>
      <c r="U41092" s="135"/>
    </row>
    <row r="41093" spans="20:21" ht="15" customHeight="1" x14ac:dyDescent="0.25">
      <c r="T41093" s="135"/>
      <c r="U41093" s="135"/>
    </row>
    <row r="41094" spans="20:21" ht="15" customHeight="1" x14ac:dyDescent="0.25">
      <c r="T41094" s="135"/>
      <c r="U41094" s="135"/>
    </row>
    <row r="41095" spans="20:21" ht="15" customHeight="1" x14ac:dyDescent="0.25">
      <c r="T41095" s="135"/>
      <c r="U41095" s="135"/>
    </row>
    <row r="41096" spans="20:21" ht="15" customHeight="1" x14ac:dyDescent="0.25">
      <c r="T41096" s="135"/>
      <c r="U41096" s="135"/>
    </row>
    <row r="41097" spans="20:21" ht="15" customHeight="1" x14ac:dyDescent="0.25">
      <c r="T41097" s="135"/>
      <c r="U41097" s="135"/>
    </row>
    <row r="41098" spans="20:21" ht="15" customHeight="1" x14ac:dyDescent="0.25">
      <c r="T41098" s="135"/>
      <c r="U41098" s="135"/>
    </row>
    <row r="41099" spans="20:21" ht="15" customHeight="1" x14ac:dyDescent="0.25">
      <c r="T41099" s="135"/>
      <c r="U41099" s="135"/>
    </row>
    <row r="41100" spans="20:21" ht="15" customHeight="1" x14ac:dyDescent="0.25">
      <c r="T41100" s="135"/>
      <c r="U41100" s="135"/>
    </row>
    <row r="41101" spans="20:21" ht="15" customHeight="1" x14ac:dyDescent="0.25">
      <c r="T41101" s="135"/>
      <c r="U41101" s="135"/>
    </row>
    <row r="41102" spans="20:21" ht="15" customHeight="1" x14ac:dyDescent="0.25">
      <c r="T41102" s="135"/>
      <c r="U41102" s="135"/>
    </row>
    <row r="41103" spans="20:21" ht="15" customHeight="1" x14ac:dyDescent="0.25">
      <c r="T41103" s="135"/>
      <c r="U41103" s="135"/>
    </row>
    <row r="41104" spans="20:21" ht="15" customHeight="1" x14ac:dyDescent="0.25">
      <c r="T41104" s="135"/>
      <c r="U41104" s="135"/>
    </row>
    <row r="41105" spans="20:21" ht="15" customHeight="1" x14ac:dyDescent="0.25">
      <c r="T41105" s="135"/>
      <c r="U41105" s="135"/>
    </row>
    <row r="41106" spans="20:21" ht="15" customHeight="1" x14ac:dyDescent="0.25">
      <c r="T41106" s="135"/>
      <c r="U41106" s="135"/>
    </row>
    <row r="41107" spans="20:21" ht="15" customHeight="1" x14ac:dyDescent="0.25">
      <c r="T41107" s="135"/>
      <c r="U41107" s="135"/>
    </row>
    <row r="41108" spans="20:21" ht="15" customHeight="1" x14ac:dyDescent="0.25">
      <c r="T41108" s="135"/>
      <c r="U41108" s="135"/>
    </row>
    <row r="41109" spans="20:21" ht="15" customHeight="1" x14ac:dyDescent="0.25">
      <c r="T41109" s="135"/>
      <c r="U41109" s="135"/>
    </row>
    <row r="41110" spans="20:21" ht="15" customHeight="1" x14ac:dyDescent="0.25">
      <c r="T41110" s="135"/>
      <c r="U41110" s="135"/>
    </row>
    <row r="41111" spans="20:21" ht="15" customHeight="1" x14ac:dyDescent="0.25">
      <c r="T41111" s="135"/>
      <c r="U41111" s="135"/>
    </row>
    <row r="41112" spans="20:21" ht="15" customHeight="1" x14ac:dyDescent="0.25">
      <c r="T41112" s="135"/>
      <c r="U41112" s="135"/>
    </row>
    <row r="41113" spans="20:21" ht="15" customHeight="1" x14ac:dyDescent="0.25">
      <c r="T41113" s="135"/>
      <c r="U41113" s="135"/>
    </row>
    <row r="41114" spans="20:21" ht="15" customHeight="1" x14ac:dyDescent="0.25">
      <c r="T41114" s="135"/>
      <c r="U41114" s="135"/>
    </row>
    <row r="41115" spans="20:21" ht="15" customHeight="1" x14ac:dyDescent="0.25">
      <c r="T41115" s="135"/>
      <c r="U41115" s="135"/>
    </row>
    <row r="41116" spans="20:21" ht="15" customHeight="1" x14ac:dyDescent="0.25">
      <c r="T41116" s="135"/>
      <c r="U41116" s="135"/>
    </row>
    <row r="41117" spans="20:21" ht="15" customHeight="1" x14ac:dyDescent="0.25">
      <c r="T41117" s="135"/>
      <c r="U41117" s="135"/>
    </row>
    <row r="41118" spans="20:21" ht="15" customHeight="1" x14ac:dyDescent="0.25">
      <c r="T41118" s="135"/>
      <c r="U41118" s="135"/>
    </row>
    <row r="41119" spans="20:21" ht="15" customHeight="1" x14ac:dyDescent="0.25">
      <c r="T41119" s="135"/>
      <c r="U41119" s="135"/>
    </row>
    <row r="41120" spans="20:21" ht="15" customHeight="1" x14ac:dyDescent="0.25">
      <c r="T41120" s="135"/>
      <c r="U41120" s="135"/>
    </row>
    <row r="41121" spans="20:21" ht="15" customHeight="1" x14ac:dyDescent="0.25">
      <c r="T41121" s="135"/>
      <c r="U41121" s="135"/>
    </row>
    <row r="41122" spans="20:21" ht="15" customHeight="1" x14ac:dyDescent="0.25">
      <c r="T41122" s="135"/>
      <c r="U41122" s="135"/>
    </row>
    <row r="41123" spans="20:21" ht="15" customHeight="1" x14ac:dyDescent="0.25">
      <c r="T41123" s="135"/>
      <c r="U41123" s="135"/>
    </row>
    <row r="41124" spans="20:21" ht="15" customHeight="1" x14ac:dyDescent="0.25">
      <c r="T41124" s="135"/>
      <c r="U41124" s="135"/>
    </row>
    <row r="41125" spans="20:21" ht="15" customHeight="1" x14ac:dyDescent="0.25">
      <c r="T41125" s="135"/>
      <c r="U41125" s="135"/>
    </row>
    <row r="41126" spans="20:21" ht="15" customHeight="1" x14ac:dyDescent="0.25">
      <c r="T41126" s="135"/>
      <c r="U41126" s="135"/>
    </row>
    <row r="41127" spans="20:21" ht="15" customHeight="1" x14ac:dyDescent="0.25">
      <c r="T41127" s="135"/>
      <c r="U41127" s="135"/>
    </row>
    <row r="41128" spans="20:21" ht="15" customHeight="1" x14ac:dyDescent="0.25">
      <c r="T41128" s="135"/>
      <c r="U41128" s="135"/>
    </row>
    <row r="41129" spans="20:21" ht="15" customHeight="1" x14ac:dyDescent="0.25">
      <c r="T41129" s="135"/>
      <c r="U41129" s="135"/>
    </row>
    <row r="41130" spans="20:21" ht="15" customHeight="1" x14ac:dyDescent="0.25">
      <c r="T41130" s="135"/>
      <c r="U41130" s="135"/>
    </row>
    <row r="41131" spans="20:21" ht="15" customHeight="1" x14ac:dyDescent="0.25">
      <c r="T41131" s="135"/>
      <c r="U41131" s="135"/>
    </row>
    <row r="41132" spans="20:21" ht="15" customHeight="1" x14ac:dyDescent="0.25">
      <c r="T41132" s="135"/>
      <c r="U41132" s="135"/>
    </row>
    <row r="41133" spans="20:21" ht="15" customHeight="1" x14ac:dyDescent="0.25">
      <c r="T41133" s="135"/>
      <c r="U41133" s="135"/>
    </row>
    <row r="41134" spans="20:21" ht="15" customHeight="1" x14ac:dyDescent="0.25">
      <c r="T41134" s="135"/>
      <c r="U41134" s="135"/>
    </row>
    <row r="41135" spans="20:21" ht="15" customHeight="1" x14ac:dyDescent="0.25">
      <c r="T41135" s="135"/>
      <c r="U41135" s="135"/>
    </row>
    <row r="41136" spans="20:21" ht="15" customHeight="1" x14ac:dyDescent="0.25">
      <c r="T41136" s="135"/>
      <c r="U41136" s="135"/>
    </row>
    <row r="41137" spans="20:21" ht="15" customHeight="1" x14ac:dyDescent="0.25">
      <c r="T41137" s="135"/>
      <c r="U41137" s="135"/>
    </row>
    <row r="41138" spans="20:21" ht="15" customHeight="1" x14ac:dyDescent="0.25">
      <c r="T41138" s="135"/>
      <c r="U41138" s="135"/>
    </row>
    <row r="41139" spans="20:21" ht="15" customHeight="1" x14ac:dyDescent="0.25">
      <c r="T41139" s="135"/>
      <c r="U41139" s="135"/>
    </row>
    <row r="41140" spans="20:21" ht="15" customHeight="1" x14ac:dyDescent="0.25">
      <c r="T41140" s="135"/>
      <c r="U41140" s="135"/>
    </row>
    <row r="41141" spans="20:21" ht="15" customHeight="1" x14ac:dyDescent="0.25">
      <c r="T41141" s="135"/>
      <c r="U41141" s="135"/>
    </row>
    <row r="41142" spans="20:21" ht="15" customHeight="1" x14ac:dyDescent="0.25">
      <c r="T41142" s="135"/>
      <c r="U41142" s="135"/>
    </row>
    <row r="41143" spans="20:21" ht="15" customHeight="1" x14ac:dyDescent="0.25">
      <c r="T41143" s="135"/>
      <c r="U41143" s="135"/>
    </row>
    <row r="41144" spans="20:21" ht="15" customHeight="1" x14ac:dyDescent="0.25">
      <c r="T41144" s="135"/>
      <c r="U41144" s="135"/>
    </row>
    <row r="41145" spans="20:21" ht="15" customHeight="1" x14ac:dyDescent="0.25">
      <c r="T41145" s="135"/>
      <c r="U41145" s="135"/>
    </row>
    <row r="41146" spans="20:21" ht="15" customHeight="1" x14ac:dyDescent="0.25">
      <c r="T41146" s="135"/>
      <c r="U41146" s="135"/>
    </row>
    <row r="41147" spans="20:21" ht="15" customHeight="1" x14ac:dyDescent="0.25">
      <c r="T41147" s="135"/>
      <c r="U41147" s="135"/>
    </row>
    <row r="41148" spans="20:21" ht="15" customHeight="1" x14ac:dyDescent="0.25">
      <c r="T41148" s="135"/>
      <c r="U41148" s="135"/>
    </row>
    <row r="41149" spans="20:21" ht="15" customHeight="1" x14ac:dyDescent="0.25">
      <c r="T41149" s="135"/>
      <c r="U41149" s="135"/>
    </row>
    <row r="41150" spans="20:21" ht="15" customHeight="1" x14ac:dyDescent="0.25">
      <c r="T41150" s="135"/>
      <c r="U41150" s="135"/>
    </row>
    <row r="41151" spans="20:21" ht="15" customHeight="1" x14ac:dyDescent="0.25">
      <c r="T41151" s="135"/>
      <c r="U41151" s="135"/>
    </row>
    <row r="41152" spans="20:21" ht="15" customHeight="1" x14ac:dyDescent="0.25">
      <c r="T41152" s="135"/>
      <c r="U41152" s="135"/>
    </row>
    <row r="41153" spans="20:21" ht="15" customHeight="1" x14ac:dyDescent="0.25">
      <c r="T41153" s="135"/>
      <c r="U41153" s="135"/>
    </row>
    <row r="41154" spans="20:21" ht="15" customHeight="1" x14ac:dyDescent="0.25">
      <c r="T41154" s="135"/>
      <c r="U41154" s="135"/>
    </row>
    <row r="41155" spans="20:21" ht="15" customHeight="1" x14ac:dyDescent="0.25">
      <c r="T41155" s="135"/>
      <c r="U41155" s="135"/>
    </row>
    <row r="41156" spans="20:21" ht="15" customHeight="1" x14ac:dyDescent="0.25">
      <c r="T41156" s="135"/>
      <c r="U41156" s="135"/>
    </row>
    <row r="41157" spans="20:21" ht="15" customHeight="1" x14ac:dyDescent="0.25">
      <c r="T41157" s="135"/>
      <c r="U41157" s="135"/>
    </row>
    <row r="41158" spans="20:21" ht="15" customHeight="1" x14ac:dyDescent="0.25">
      <c r="T41158" s="135"/>
      <c r="U41158" s="135"/>
    </row>
    <row r="41159" spans="20:21" ht="15" customHeight="1" x14ac:dyDescent="0.25">
      <c r="T41159" s="135"/>
      <c r="U41159" s="135"/>
    </row>
    <row r="41160" spans="20:21" ht="15" customHeight="1" x14ac:dyDescent="0.25">
      <c r="T41160" s="135"/>
      <c r="U41160" s="135"/>
    </row>
    <row r="41161" spans="20:21" ht="15" customHeight="1" x14ac:dyDescent="0.25">
      <c r="T41161" s="135"/>
      <c r="U41161" s="135"/>
    </row>
    <row r="41162" spans="20:21" ht="15" customHeight="1" x14ac:dyDescent="0.25">
      <c r="T41162" s="135"/>
      <c r="U41162" s="135"/>
    </row>
    <row r="41163" spans="20:21" ht="15" customHeight="1" x14ac:dyDescent="0.25">
      <c r="T41163" s="135"/>
      <c r="U41163" s="135"/>
    </row>
    <row r="41164" spans="20:21" ht="15" customHeight="1" x14ac:dyDescent="0.25">
      <c r="T41164" s="135"/>
      <c r="U41164" s="135"/>
    </row>
    <row r="41165" spans="20:21" ht="15" customHeight="1" x14ac:dyDescent="0.25">
      <c r="T41165" s="135"/>
      <c r="U41165" s="135"/>
    </row>
    <row r="41166" spans="20:21" ht="15" customHeight="1" x14ac:dyDescent="0.25">
      <c r="T41166" s="135"/>
      <c r="U41166" s="135"/>
    </row>
    <row r="41167" spans="20:21" ht="15" customHeight="1" x14ac:dyDescent="0.25">
      <c r="T41167" s="135"/>
      <c r="U41167" s="135"/>
    </row>
    <row r="41168" spans="20:21" ht="15" customHeight="1" x14ac:dyDescent="0.25">
      <c r="T41168" s="135"/>
      <c r="U41168" s="135"/>
    </row>
    <row r="41169" spans="20:21" ht="15" customHeight="1" x14ac:dyDescent="0.25">
      <c r="T41169" s="135"/>
      <c r="U41169" s="135"/>
    </row>
    <row r="41170" spans="20:21" ht="15" customHeight="1" x14ac:dyDescent="0.25">
      <c r="T41170" s="135"/>
      <c r="U41170" s="135"/>
    </row>
    <row r="41171" spans="20:21" ht="15" customHeight="1" x14ac:dyDescent="0.25">
      <c r="T41171" s="135"/>
      <c r="U41171" s="135"/>
    </row>
    <row r="41172" spans="20:21" ht="15" customHeight="1" x14ac:dyDescent="0.25">
      <c r="T41172" s="135"/>
      <c r="U41172" s="135"/>
    </row>
    <row r="41173" spans="20:21" ht="15" customHeight="1" x14ac:dyDescent="0.25">
      <c r="T41173" s="135"/>
      <c r="U41173" s="135"/>
    </row>
    <row r="41174" spans="20:21" ht="15" customHeight="1" x14ac:dyDescent="0.25">
      <c r="T41174" s="135"/>
      <c r="U41174" s="135"/>
    </row>
    <row r="41175" spans="20:21" ht="15" customHeight="1" x14ac:dyDescent="0.25">
      <c r="T41175" s="135"/>
      <c r="U41175" s="135"/>
    </row>
    <row r="41176" spans="20:21" ht="15" customHeight="1" x14ac:dyDescent="0.25">
      <c r="T41176" s="135"/>
      <c r="U41176" s="135"/>
    </row>
    <row r="41177" spans="20:21" ht="15" customHeight="1" x14ac:dyDescent="0.25">
      <c r="T41177" s="135"/>
      <c r="U41177" s="135"/>
    </row>
    <row r="41178" spans="20:21" ht="15" customHeight="1" x14ac:dyDescent="0.25">
      <c r="T41178" s="135"/>
      <c r="U41178" s="135"/>
    </row>
    <row r="41179" spans="20:21" ht="15" customHeight="1" x14ac:dyDescent="0.25">
      <c r="T41179" s="135"/>
      <c r="U41179" s="135"/>
    </row>
    <row r="41180" spans="20:21" ht="15" customHeight="1" x14ac:dyDescent="0.25">
      <c r="T41180" s="135"/>
      <c r="U41180" s="135"/>
    </row>
    <row r="41181" spans="20:21" ht="15" customHeight="1" x14ac:dyDescent="0.25">
      <c r="T41181" s="135"/>
      <c r="U41181" s="135"/>
    </row>
    <row r="41182" spans="20:21" ht="15" customHeight="1" x14ac:dyDescent="0.25">
      <c r="T41182" s="135"/>
      <c r="U41182" s="135"/>
    </row>
    <row r="41183" spans="20:21" ht="15" customHeight="1" x14ac:dyDescent="0.25">
      <c r="T41183" s="135"/>
      <c r="U41183" s="135"/>
    </row>
    <row r="41184" spans="20:21" ht="15" customHeight="1" x14ac:dyDescent="0.25">
      <c r="T41184" s="135"/>
      <c r="U41184" s="135"/>
    </row>
    <row r="41185" spans="20:21" ht="15" customHeight="1" x14ac:dyDescent="0.25">
      <c r="T41185" s="135"/>
      <c r="U41185" s="135"/>
    </row>
    <row r="41186" spans="20:21" ht="15" customHeight="1" x14ac:dyDescent="0.25">
      <c r="T41186" s="135"/>
      <c r="U41186" s="135"/>
    </row>
    <row r="41187" spans="20:21" ht="15" customHeight="1" x14ac:dyDescent="0.25">
      <c r="T41187" s="135"/>
      <c r="U41187" s="135"/>
    </row>
    <row r="41188" spans="20:21" ht="15" customHeight="1" x14ac:dyDescent="0.25">
      <c r="T41188" s="135"/>
      <c r="U41188" s="135"/>
    </row>
    <row r="41189" spans="20:21" ht="15" customHeight="1" x14ac:dyDescent="0.25">
      <c r="T41189" s="135"/>
      <c r="U41189" s="135"/>
    </row>
    <row r="41190" spans="20:21" ht="15" customHeight="1" x14ac:dyDescent="0.25">
      <c r="T41190" s="135"/>
      <c r="U41190" s="135"/>
    </row>
    <row r="41191" spans="20:21" ht="15" customHeight="1" x14ac:dyDescent="0.25">
      <c r="T41191" s="135"/>
      <c r="U41191" s="135"/>
    </row>
    <row r="41192" spans="20:21" ht="15" customHeight="1" x14ac:dyDescent="0.25">
      <c r="T41192" s="135"/>
      <c r="U41192" s="135"/>
    </row>
    <row r="41193" spans="20:21" ht="15" customHeight="1" x14ac:dyDescent="0.25">
      <c r="T41193" s="135"/>
      <c r="U41193" s="135"/>
    </row>
    <row r="41194" spans="20:21" ht="15" customHeight="1" x14ac:dyDescent="0.25">
      <c r="T41194" s="135"/>
      <c r="U41194" s="135"/>
    </row>
    <row r="41195" spans="20:21" ht="15" customHeight="1" x14ac:dyDescent="0.25">
      <c r="T41195" s="135"/>
      <c r="U41195" s="135"/>
    </row>
    <row r="41196" spans="20:21" ht="15" customHeight="1" x14ac:dyDescent="0.25">
      <c r="T41196" s="135"/>
      <c r="U41196" s="135"/>
    </row>
    <row r="41197" spans="20:21" ht="15" customHeight="1" x14ac:dyDescent="0.25">
      <c r="T41197" s="135"/>
      <c r="U41197" s="135"/>
    </row>
    <row r="41198" spans="20:21" ht="15" customHeight="1" x14ac:dyDescent="0.25">
      <c r="T41198" s="135"/>
      <c r="U41198" s="135"/>
    </row>
    <row r="41199" spans="20:21" ht="15" customHeight="1" x14ac:dyDescent="0.25">
      <c r="T41199" s="135"/>
      <c r="U41199" s="135"/>
    </row>
    <row r="41200" spans="20:21" ht="15" customHeight="1" x14ac:dyDescent="0.25">
      <c r="T41200" s="135"/>
      <c r="U41200" s="135"/>
    </row>
    <row r="41201" spans="20:21" ht="15" customHeight="1" x14ac:dyDescent="0.25">
      <c r="T41201" s="135"/>
      <c r="U41201" s="135"/>
    </row>
    <row r="41202" spans="20:21" ht="15" customHeight="1" x14ac:dyDescent="0.25">
      <c r="T41202" s="135"/>
      <c r="U41202" s="135"/>
    </row>
    <row r="41203" spans="20:21" ht="15" customHeight="1" x14ac:dyDescent="0.25">
      <c r="T41203" s="135"/>
      <c r="U41203" s="135"/>
    </row>
    <row r="41204" spans="20:21" ht="15" customHeight="1" x14ac:dyDescent="0.25">
      <c r="T41204" s="135"/>
      <c r="U41204" s="135"/>
    </row>
    <row r="41205" spans="20:21" ht="15" customHeight="1" x14ac:dyDescent="0.25">
      <c r="T41205" s="135"/>
      <c r="U41205" s="135"/>
    </row>
    <row r="41206" spans="20:21" ht="15" customHeight="1" x14ac:dyDescent="0.25">
      <c r="T41206" s="135"/>
      <c r="U41206" s="135"/>
    </row>
    <row r="41207" spans="20:21" ht="15" customHeight="1" x14ac:dyDescent="0.25">
      <c r="T41207" s="135"/>
      <c r="U41207" s="135"/>
    </row>
    <row r="41208" spans="20:21" ht="15" customHeight="1" x14ac:dyDescent="0.25">
      <c r="T41208" s="135"/>
      <c r="U41208" s="135"/>
    </row>
    <row r="41209" spans="20:21" ht="15" customHeight="1" x14ac:dyDescent="0.25">
      <c r="T41209" s="135"/>
      <c r="U41209" s="135"/>
    </row>
    <row r="41210" spans="20:21" ht="15" customHeight="1" x14ac:dyDescent="0.25">
      <c r="T41210" s="135"/>
      <c r="U41210" s="135"/>
    </row>
    <row r="41211" spans="20:21" ht="15" customHeight="1" x14ac:dyDescent="0.25">
      <c r="T41211" s="135"/>
      <c r="U41211" s="135"/>
    </row>
    <row r="41212" spans="20:21" ht="15" customHeight="1" x14ac:dyDescent="0.25">
      <c r="T41212" s="135"/>
      <c r="U41212" s="135"/>
    </row>
    <row r="41213" spans="20:21" ht="15" customHeight="1" x14ac:dyDescent="0.25">
      <c r="T41213" s="135"/>
      <c r="U41213" s="135"/>
    </row>
    <row r="41214" spans="20:21" ht="15" customHeight="1" x14ac:dyDescent="0.25">
      <c r="T41214" s="135"/>
      <c r="U41214" s="135"/>
    </row>
    <row r="41215" spans="20:21" ht="15" customHeight="1" x14ac:dyDescent="0.25">
      <c r="T41215" s="135"/>
      <c r="U41215" s="135"/>
    </row>
    <row r="41216" spans="20:21" ht="15" customHeight="1" x14ac:dyDescent="0.25">
      <c r="T41216" s="135"/>
      <c r="U41216" s="135"/>
    </row>
    <row r="41217" spans="20:21" ht="15" customHeight="1" x14ac:dyDescent="0.25">
      <c r="T41217" s="135"/>
      <c r="U41217" s="135"/>
    </row>
    <row r="41218" spans="20:21" ht="15" customHeight="1" x14ac:dyDescent="0.25">
      <c r="T41218" s="135"/>
      <c r="U41218" s="135"/>
    </row>
    <row r="41219" spans="20:21" ht="15" customHeight="1" x14ac:dyDescent="0.25">
      <c r="T41219" s="135"/>
      <c r="U41219" s="135"/>
    </row>
    <row r="41220" spans="20:21" ht="15" customHeight="1" x14ac:dyDescent="0.25">
      <c r="T41220" s="135"/>
      <c r="U41220" s="135"/>
    </row>
    <row r="41221" spans="20:21" ht="15" customHeight="1" x14ac:dyDescent="0.25">
      <c r="T41221" s="135"/>
      <c r="U41221" s="135"/>
    </row>
    <row r="41222" spans="20:21" ht="15" customHeight="1" x14ac:dyDescent="0.25">
      <c r="T41222" s="135"/>
      <c r="U41222" s="135"/>
    </row>
    <row r="41223" spans="20:21" ht="15" customHeight="1" x14ac:dyDescent="0.25">
      <c r="T41223" s="135"/>
      <c r="U41223" s="135"/>
    </row>
    <row r="41224" spans="20:21" ht="15" customHeight="1" x14ac:dyDescent="0.25">
      <c r="T41224" s="135"/>
      <c r="U41224" s="135"/>
    </row>
    <row r="41225" spans="20:21" ht="15" customHeight="1" x14ac:dyDescent="0.25">
      <c r="T41225" s="135"/>
      <c r="U41225" s="135"/>
    </row>
    <row r="41226" spans="20:21" ht="15" customHeight="1" x14ac:dyDescent="0.25">
      <c r="T41226" s="135"/>
      <c r="U41226" s="135"/>
    </row>
    <row r="41227" spans="20:21" ht="15" customHeight="1" x14ac:dyDescent="0.25">
      <c r="T41227" s="135"/>
      <c r="U41227" s="135"/>
    </row>
    <row r="41228" spans="20:21" ht="15" customHeight="1" x14ac:dyDescent="0.25">
      <c r="T41228" s="135"/>
      <c r="U41228" s="135"/>
    </row>
    <row r="41229" spans="20:21" ht="15" customHeight="1" x14ac:dyDescent="0.25">
      <c r="T41229" s="135"/>
      <c r="U41229" s="135"/>
    </row>
    <row r="41230" spans="20:21" ht="15" customHeight="1" x14ac:dyDescent="0.25">
      <c r="T41230" s="135"/>
      <c r="U41230" s="135"/>
    </row>
    <row r="41231" spans="20:21" ht="15" customHeight="1" x14ac:dyDescent="0.25">
      <c r="T41231" s="135"/>
      <c r="U41231" s="135"/>
    </row>
    <row r="41232" spans="20:21" ht="15" customHeight="1" x14ac:dyDescent="0.25">
      <c r="T41232" s="135"/>
      <c r="U41232" s="135"/>
    </row>
    <row r="41233" spans="20:21" ht="15" customHeight="1" x14ac:dyDescent="0.25">
      <c r="T41233" s="135"/>
      <c r="U41233" s="135"/>
    </row>
    <row r="41234" spans="20:21" ht="15" customHeight="1" x14ac:dyDescent="0.25">
      <c r="T41234" s="135"/>
      <c r="U41234" s="135"/>
    </row>
    <row r="41235" spans="20:21" ht="15" customHeight="1" x14ac:dyDescent="0.25">
      <c r="T41235" s="135"/>
      <c r="U41235" s="135"/>
    </row>
    <row r="41236" spans="20:21" ht="15" customHeight="1" x14ac:dyDescent="0.25">
      <c r="T41236" s="135"/>
      <c r="U41236" s="135"/>
    </row>
    <row r="41237" spans="20:21" ht="15" customHeight="1" x14ac:dyDescent="0.25">
      <c r="T41237" s="135"/>
      <c r="U41237" s="135"/>
    </row>
    <row r="41238" spans="20:21" ht="15" customHeight="1" x14ac:dyDescent="0.25">
      <c r="T41238" s="135"/>
      <c r="U41238" s="135"/>
    </row>
    <row r="41239" spans="20:21" ht="15" customHeight="1" x14ac:dyDescent="0.25">
      <c r="T41239" s="135"/>
      <c r="U41239" s="135"/>
    </row>
    <row r="41240" spans="20:21" ht="15" customHeight="1" x14ac:dyDescent="0.25">
      <c r="T41240" s="135"/>
      <c r="U41240" s="135"/>
    </row>
    <row r="41241" spans="20:21" ht="15" customHeight="1" x14ac:dyDescent="0.25">
      <c r="T41241" s="135"/>
      <c r="U41241" s="135"/>
    </row>
    <row r="41242" spans="20:21" ht="15" customHeight="1" x14ac:dyDescent="0.25">
      <c r="T41242" s="135"/>
      <c r="U41242" s="135"/>
    </row>
    <row r="41243" spans="20:21" ht="15" customHeight="1" x14ac:dyDescent="0.25">
      <c r="T41243" s="135"/>
      <c r="U41243" s="135"/>
    </row>
    <row r="41244" spans="20:21" ht="15" customHeight="1" x14ac:dyDescent="0.25">
      <c r="T41244" s="135"/>
      <c r="U41244" s="135"/>
    </row>
    <row r="41245" spans="20:21" ht="15" customHeight="1" x14ac:dyDescent="0.25">
      <c r="T41245" s="135"/>
      <c r="U41245" s="135"/>
    </row>
    <row r="41246" spans="20:21" ht="15" customHeight="1" x14ac:dyDescent="0.25">
      <c r="T41246" s="135"/>
      <c r="U41246" s="135"/>
    </row>
    <row r="41247" spans="20:21" ht="15" customHeight="1" x14ac:dyDescent="0.25">
      <c r="T41247" s="135"/>
      <c r="U41247" s="135"/>
    </row>
    <row r="41248" spans="20:21" ht="15" customHeight="1" x14ac:dyDescent="0.25">
      <c r="T41248" s="135"/>
      <c r="U41248" s="135"/>
    </row>
    <row r="41249" spans="20:21" ht="15" customHeight="1" x14ac:dyDescent="0.25">
      <c r="T41249" s="135"/>
      <c r="U41249" s="135"/>
    </row>
    <row r="41250" spans="20:21" ht="15" customHeight="1" x14ac:dyDescent="0.25">
      <c r="T41250" s="135"/>
      <c r="U41250" s="135"/>
    </row>
    <row r="41251" spans="20:21" ht="15" customHeight="1" x14ac:dyDescent="0.25">
      <c r="T41251" s="135"/>
      <c r="U41251" s="135"/>
    </row>
    <row r="41252" spans="20:21" ht="15" customHeight="1" x14ac:dyDescent="0.25">
      <c r="T41252" s="135"/>
      <c r="U41252" s="135"/>
    </row>
    <row r="41253" spans="20:21" ht="15" customHeight="1" x14ac:dyDescent="0.25">
      <c r="T41253" s="135"/>
      <c r="U41253" s="135"/>
    </row>
    <row r="41254" spans="20:21" ht="15" customHeight="1" x14ac:dyDescent="0.25">
      <c r="T41254" s="135"/>
      <c r="U41254" s="135"/>
    </row>
    <row r="41255" spans="20:21" ht="15" customHeight="1" x14ac:dyDescent="0.25">
      <c r="T41255" s="135"/>
      <c r="U41255" s="135"/>
    </row>
    <row r="41256" spans="20:21" ht="15" customHeight="1" x14ac:dyDescent="0.25">
      <c r="T41256" s="135"/>
      <c r="U41256" s="135"/>
    </row>
    <row r="41257" spans="20:21" ht="15" customHeight="1" x14ac:dyDescent="0.25">
      <c r="T41257" s="135"/>
      <c r="U41257" s="135"/>
    </row>
    <row r="41258" spans="20:21" ht="15" customHeight="1" x14ac:dyDescent="0.25">
      <c r="T41258" s="135"/>
      <c r="U41258" s="135"/>
    </row>
    <row r="41259" spans="20:21" ht="15" customHeight="1" x14ac:dyDescent="0.25">
      <c r="T41259" s="135"/>
      <c r="U41259" s="135"/>
    </row>
    <row r="41260" spans="20:21" ht="15" customHeight="1" x14ac:dyDescent="0.25">
      <c r="T41260" s="135"/>
      <c r="U41260" s="135"/>
    </row>
    <row r="41261" spans="20:21" ht="15" customHeight="1" x14ac:dyDescent="0.25">
      <c r="T41261" s="135"/>
      <c r="U41261" s="135"/>
    </row>
    <row r="41262" spans="20:21" ht="15" customHeight="1" x14ac:dyDescent="0.25">
      <c r="T41262" s="135"/>
      <c r="U41262" s="135"/>
    </row>
    <row r="41263" spans="20:21" ht="15" customHeight="1" x14ac:dyDescent="0.25">
      <c r="T41263" s="135"/>
      <c r="U41263" s="135"/>
    </row>
    <row r="41264" spans="20:21" ht="15" customHeight="1" x14ac:dyDescent="0.25">
      <c r="T41264" s="135"/>
      <c r="U41264" s="135"/>
    </row>
    <row r="41265" spans="20:21" ht="15" customHeight="1" x14ac:dyDescent="0.25">
      <c r="T41265" s="135"/>
      <c r="U41265" s="135"/>
    </row>
    <row r="41266" spans="20:21" ht="15" customHeight="1" x14ac:dyDescent="0.25">
      <c r="T41266" s="135"/>
      <c r="U41266" s="135"/>
    </row>
    <row r="41267" spans="20:21" ht="15" customHeight="1" x14ac:dyDescent="0.25">
      <c r="T41267" s="135"/>
      <c r="U41267" s="135"/>
    </row>
    <row r="41268" spans="20:21" ht="15" customHeight="1" x14ac:dyDescent="0.25">
      <c r="T41268" s="135"/>
      <c r="U41268" s="135"/>
    </row>
    <row r="41269" spans="20:21" ht="15" customHeight="1" x14ac:dyDescent="0.25">
      <c r="T41269" s="135"/>
      <c r="U41269" s="135"/>
    </row>
    <row r="41270" spans="20:21" ht="15" customHeight="1" x14ac:dyDescent="0.25">
      <c r="T41270" s="135"/>
      <c r="U41270" s="135"/>
    </row>
    <row r="41271" spans="20:21" ht="15" customHeight="1" x14ac:dyDescent="0.25">
      <c r="T41271" s="135"/>
      <c r="U41271" s="135"/>
    </row>
    <row r="41272" spans="20:21" ht="15" customHeight="1" x14ac:dyDescent="0.25">
      <c r="T41272" s="135"/>
      <c r="U41272" s="135"/>
    </row>
    <row r="41273" spans="20:21" ht="15" customHeight="1" x14ac:dyDescent="0.25">
      <c r="T41273" s="135"/>
      <c r="U41273" s="135"/>
    </row>
    <row r="41274" spans="20:21" ht="15" customHeight="1" x14ac:dyDescent="0.25">
      <c r="T41274" s="135"/>
      <c r="U41274" s="135"/>
    </row>
    <row r="41275" spans="20:21" ht="15" customHeight="1" x14ac:dyDescent="0.25">
      <c r="T41275" s="135"/>
      <c r="U41275" s="135"/>
    </row>
    <row r="41276" spans="20:21" ht="15" customHeight="1" x14ac:dyDescent="0.25">
      <c r="T41276" s="135"/>
      <c r="U41276" s="135"/>
    </row>
    <row r="41277" spans="20:21" ht="15" customHeight="1" x14ac:dyDescent="0.25">
      <c r="T41277" s="135"/>
      <c r="U41277" s="135"/>
    </row>
    <row r="41278" spans="20:21" ht="15" customHeight="1" x14ac:dyDescent="0.25">
      <c r="T41278" s="135"/>
      <c r="U41278" s="135"/>
    </row>
    <row r="41279" spans="20:21" ht="15" customHeight="1" x14ac:dyDescent="0.25">
      <c r="T41279" s="135"/>
      <c r="U41279" s="135"/>
    </row>
    <row r="41280" spans="20:21" ht="15" customHeight="1" x14ac:dyDescent="0.25">
      <c r="T41280" s="135"/>
      <c r="U41280" s="135"/>
    </row>
    <row r="41281" spans="20:21" ht="15" customHeight="1" x14ac:dyDescent="0.25">
      <c r="T41281" s="135"/>
      <c r="U41281" s="135"/>
    </row>
    <row r="41282" spans="20:21" ht="15" customHeight="1" x14ac:dyDescent="0.25">
      <c r="T41282" s="135"/>
      <c r="U41282" s="135"/>
    </row>
    <row r="41283" spans="20:21" ht="15" customHeight="1" x14ac:dyDescent="0.25">
      <c r="T41283" s="135"/>
      <c r="U41283" s="135"/>
    </row>
    <row r="41284" spans="20:21" ht="15" customHeight="1" x14ac:dyDescent="0.25">
      <c r="T41284" s="135"/>
      <c r="U41284" s="135"/>
    </row>
    <row r="41285" spans="20:21" ht="15" customHeight="1" x14ac:dyDescent="0.25">
      <c r="T41285" s="135"/>
      <c r="U41285" s="135"/>
    </row>
    <row r="41286" spans="20:21" ht="15" customHeight="1" x14ac:dyDescent="0.25">
      <c r="T41286" s="135"/>
      <c r="U41286" s="135"/>
    </row>
    <row r="41287" spans="20:21" ht="15" customHeight="1" x14ac:dyDescent="0.25">
      <c r="T41287" s="135"/>
      <c r="U41287" s="135"/>
    </row>
    <row r="41288" spans="20:21" ht="15" customHeight="1" x14ac:dyDescent="0.25">
      <c r="T41288" s="135"/>
      <c r="U41288" s="135"/>
    </row>
    <row r="41289" spans="20:21" ht="15" customHeight="1" x14ac:dyDescent="0.25">
      <c r="T41289" s="135"/>
      <c r="U41289" s="135"/>
    </row>
    <row r="41290" spans="20:21" ht="15" customHeight="1" x14ac:dyDescent="0.25">
      <c r="T41290" s="135"/>
      <c r="U41290" s="135"/>
    </row>
    <row r="41291" spans="20:21" ht="15" customHeight="1" x14ac:dyDescent="0.25">
      <c r="T41291" s="135"/>
      <c r="U41291" s="135"/>
    </row>
    <row r="41292" spans="20:21" ht="15" customHeight="1" x14ac:dyDescent="0.25">
      <c r="T41292" s="135"/>
      <c r="U41292" s="135"/>
    </row>
    <row r="41293" spans="20:21" ht="15" customHeight="1" x14ac:dyDescent="0.25">
      <c r="T41293" s="135"/>
      <c r="U41293" s="135"/>
    </row>
    <row r="41294" spans="20:21" ht="15" customHeight="1" x14ac:dyDescent="0.25">
      <c r="T41294" s="135"/>
      <c r="U41294" s="135"/>
    </row>
    <row r="41295" spans="20:21" ht="15" customHeight="1" x14ac:dyDescent="0.25">
      <c r="T41295" s="135"/>
      <c r="U41295" s="135"/>
    </row>
    <row r="41296" spans="20:21" ht="15" customHeight="1" x14ac:dyDescent="0.25">
      <c r="T41296" s="135"/>
      <c r="U41296" s="135"/>
    </row>
    <row r="41297" spans="20:21" ht="15" customHeight="1" x14ac:dyDescent="0.25">
      <c r="T41297" s="135"/>
      <c r="U41297" s="135"/>
    </row>
    <row r="41298" spans="20:21" ht="15" customHeight="1" x14ac:dyDescent="0.25">
      <c r="T41298" s="135"/>
      <c r="U41298" s="135"/>
    </row>
    <row r="41299" spans="20:21" ht="15" customHeight="1" x14ac:dyDescent="0.25">
      <c r="T41299" s="135"/>
      <c r="U41299" s="135"/>
    </row>
    <row r="41300" spans="20:21" ht="15" customHeight="1" x14ac:dyDescent="0.25">
      <c r="T41300" s="135"/>
      <c r="U41300" s="135"/>
    </row>
    <row r="41301" spans="20:21" ht="15" customHeight="1" x14ac:dyDescent="0.25">
      <c r="T41301" s="135"/>
      <c r="U41301" s="135"/>
    </row>
    <row r="41302" spans="20:21" ht="15" customHeight="1" x14ac:dyDescent="0.25">
      <c r="T41302" s="135"/>
      <c r="U41302" s="135"/>
    </row>
    <row r="41303" spans="20:21" ht="15" customHeight="1" x14ac:dyDescent="0.25">
      <c r="T41303" s="135"/>
      <c r="U41303" s="135"/>
    </row>
    <row r="41304" spans="20:21" ht="15" customHeight="1" x14ac:dyDescent="0.25">
      <c r="T41304" s="135"/>
      <c r="U41304" s="135"/>
    </row>
    <row r="41305" spans="20:21" ht="15" customHeight="1" x14ac:dyDescent="0.25">
      <c r="T41305" s="135"/>
      <c r="U41305" s="135"/>
    </row>
    <row r="41306" spans="20:21" ht="15" customHeight="1" x14ac:dyDescent="0.25">
      <c r="T41306" s="135"/>
      <c r="U41306" s="135"/>
    </row>
    <row r="41307" spans="20:21" ht="15" customHeight="1" x14ac:dyDescent="0.25">
      <c r="T41307" s="135"/>
      <c r="U41307" s="135"/>
    </row>
    <row r="41308" spans="20:21" ht="15" customHeight="1" x14ac:dyDescent="0.25">
      <c r="T41308" s="135"/>
      <c r="U41308" s="135"/>
    </row>
    <row r="41309" spans="20:21" ht="15" customHeight="1" x14ac:dyDescent="0.25">
      <c r="T41309" s="135"/>
      <c r="U41309" s="135"/>
    </row>
    <row r="41310" spans="20:21" ht="15" customHeight="1" x14ac:dyDescent="0.25">
      <c r="T41310" s="135"/>
      <c r="U41310" s="135"/>
    </row>
    <row r="41311" spans="20:21" ht="15" customHeight="1" x14ac:dyDescent="0.25">
      <c r="T41311" s="135"/>
      <c r="U41311" s="135"/>
    </row>
    <row r="41312" spans="20:21" ht="15" customHeight="1" x14ac:dyDescent="0.25">
      <c r="T41312" s="135"/>
      <c r="U41312" s="135"/>
    </row>
    <row r="41313" spans="20:21" ht="15" customHeight="1" x14ac:dyDescent="0.25">
      <c r="T41313" s="135"/>
      <c r="U41313" s="135"/>
    </row>
    <row r="41314" spans="20:21" ht="15" customHeight="1" x14ac:dyDescent="0.25">
      <c r="T41314" s="135"/>
      <c r="U41314" s="135"/>
    </row>
    <row r="41315" spans="20:21" ht="15" customHeight="1" x14ac:dyDescent="0.25">
      <c r="T41315" s="135"/>
      <c r="U41315" s="135"/>
    </row>
    <row r="41316" spans="20:21" ht="15" customHeight="1" x14ac:dyDescent="0.25">
      <c r="T41316" s="135"/>
      <c r="U41316" s="135"/>
    </row>
    <row r="41317" spans="20:21" ht="15" customHeight="1" x14ac:dyDescent="0.25">
      <c r="T41317" s="135"/>
      <c r="U41317" s="135"/>
    </row>
    <row r="41318" spans="20:21" ht="15" customHeight="1" x14ac:dyDescent="0.25">
      <c r="T41318" s="135"/>
      <c r="U41318" s="135"/>
    </row>
    <row r="41319" spans="20:21" ht="15" customHeight="1" x14ac:dyDescent="0.25">
      <c r="T41319" s="135"/>
      <c r="U41319" s="135"/>
    </row>
    <row r="41320" spans="20:21" ht="15" customHeight="1" x14ac:dyDescent="0.25">
      <c r="T41320" s="135"/>
      <c r="U41320" s="135"/>
    </row>
    <row r="41321" spans="20:21" ht="15" customHeight="1" x14ac:dyDescent="0.25">
      <c r="T41321" s="135"/>
      <c r="U41321" s="135"/>
    </row>
    <row r="41322" spans="20:21" ht="15" customHeight="1" x14ac:dyDescent="0.25">
      <c r="T41322" s="135"/>
      <c r="U41322" s="135"/>
    </row>
    <row r="41323" spans="20:21" ht="15" customHeight="1" x14ac:dyDescent="0.25">
      <c r="T41323" s="135"/>
      <c r="U41323" s="135"/>
    </row>
    <row r="41324" spans="20:21" ht="15" customHeight="1" x14ac:dyDescent="0.25">
      <c r="T41324" s="135"/>
      <c r="U41324" s="135"/>
    </row>
    <row r="41325" spans="20:21" ht="15" customHeight="1" x14ac:dyDescent="0.25">
      <c r="T41325" s="135"/>
      <c r="U41325" s="135"/>
    </row>
    <row r="41326" spans="20:21" ht="15" customHeight="1" x14ac:dyDescent="0.25">
      <c r="T41326" s="135"/>
      <c r="U41326" s="135"/>
    </row>
    <row r="41327" spans="20:21" ht="15" customHeight="1" x14ac:dyDescent="0.25">
      <c r="T41327" s="135"/>
      <c r="U41327" s="135"/>
    </row>
    <row r="41328" spans="20:21" ht="15" customHeight="1" x14ac:dyDescent="0.25">
      <c r="T41328" s="135"/>
      <c r="U41328" s="135"/>
    </row>
    <row r="41329" spans="20:21" ht="15" customHeight="1" x14ac:dyDescent="0.25">
      <c r="T41329" s="135"/>
      <c r="U41329" s="135"/>
    </row>
    <row r="41330" spans="20:21" ht="15" customHeight="1" x14ac:dyDescent="0.25">
      <c r="T41330" s="135"/>
      <c r="U41330" s="135"/>
    </row>
    <row r="41331" spans="20:21" ht="15" customHeight="1" x14ac:dyDescent="0.25">
      <c r="T41331" s="135"/>
      <c r="U41331" s="135"/>
    </row>
    <row r="41332" spans="20:21" ht="15" customHeight="1" x14ac:dyDescent="0.25">
      <c r="T41332" s="135"/>
      <c r="U41332" s="135"/>
    </row>
    <row r="41333" spans="20:21" ht="15" customHeight="1" x14ac:dyDescent="0.25">
      <c r="T41333" s="135"/>
      <c r="U41333" s="135"/>
    </row>
    <row r="41334" spans="20:21" ht="15" customHeight="1" x14ac:dyDescent="0.25">
      <c r="T41334" s="135"/>
      <c r="U41334" s="135"/>
    </row>
    <row r="41335" spans="20:21" ht="15" customHeight="1" x14ac:dyDescent="0.25">
      <c r="T41335" s="135"/>
      <c r="U41335" s="135"/>
    </row>
    <row r="41336" spans="20:21" ht="15" customHeight="1" x14ac:dyDescent="0.25">
      <c r="T41336" s="135"/>
      <c r="U41336" s="135"/>
    </row>
    <row r="41337" spans="20:21" ht="15" customHeight="1" x14ac:dyDescent="0.25">
      <c r="T41337" s="135"/>
      <c r="U41337" s="135"/>
    </row>
    <row r="41338" spans="20:21" ht="15" customHeight="1" x14ac:dyDescent="0.25">
      <c r="T41338" s="135"/>
      <c r="U41338" s="135"/>
    </row>
    <row r="41339" spans="20:21" ht="15" customHeight="1" x14ac:dyDescent="0.25">
      <c r="T41339" s="135"/>
      <c r="U41339" s="135"/>
    </row>
    <row r="41340" spans="20:21" ht="15" customHeight="1" x14ac:dyDescent="0.25">
      <c r="T41340" s="135"/>
      <c r="U41340" s="135"/>
    </row>
    <row r="41341" spans="20:21" ht="15" customHeight="1" x14ac:dyDescent="0.25">
      <c r="T41341" s="135"/>
      <c r="U41341" s="135"/>
    </row>
    <row r="41342" spans="20:21" ht="15" customHeight="1" x14ac:dyDescent="0.25">
      <c r="T41342" s="135"/>
      <c r="U41342" s="135"/>
    </row>
    <row r="41343" spans="20:21" ht="15" customHeight="1" x14ac:dyDescent="0.25">
      <c r="T41343" s="135"/>
      <c r="U41343" s="135"/>
    </row>
    <row r="41344" spans="20:21" ht="15" customHeight="1" x14ac:dyDescent="0.25">
      <c r="T41344" s="135"/>
      <c r="U41344" s="135"/>
    </row>
    <row r="41345" spans="20:21" ht="15" customHeight="1" x14ac:dyDescent="0.25">
      <c r="T41345" s="135"/>
      <c r="U41345" s="135"/>
    </row>
    <row r="41346" spans="20:21" ht="15" customHeight="1" x14ac:dyDescent="0.25">
      <c r="T41346" s="135"/>
      <c r="U41346" s="135"/>
    </row>
    <row r="41347" spans="20:21" ht="15" customHeight="1" x14ac:dyDescent="0.25">
      <c r="T41347" s="135"/>
      <c r="U41347" s="135"/>
    </row>
    <row r="41348" spans="20:21" ht="15" customHeight="1" x14ac:dyDescent="0.25">
      <c r="T41348" s="135"/>
      <c r="U41348" s="135"/>
    </row>
    <row r="41349" spans="20:21" ht="15" customHeight="1" x14ac:dyDescent="0.25">
      <c r="T41349" s="135"/>
      <c r="U41349" s="135"/>
    </row>
    <row r="41350" spans="20:21" ht="15" customHeight="1" x14ac:dyDescent="0.25">
      <c r="T41350" s="135"/>
      <c r="U41350" s="135"/>
    </row>
    <row r="41351" spans="20:21" ht="15" customHeight="1" x14ac:dyDescent="0.25">
      <c r="T41351" s="135"/>
      <c r="U41351" s="135"/>
    </row>
    <row r="41352" spans="20:21" ht="15" customHeight="1" x14ac:dyDescent="0.25">
      <c r="T41352" s="135"/>
      <c r="U41352" s="135"/>
    </row>
    <row r="41353" spans="20:21" ht="15" customHeight="1" x14ac:dyDescent="0.25">
      <c r="T41353" s="135"/>
      <c r="U41353" s="135"/>
    </row>
    <row r="41354" spans="20:21" ht="15" customHeight="1" x14ac:dyDescent="0.25">
      <c r="T41354" s="135"/>
      <c r="U41354" s="135"/>
    </row>
    <row r="41355" spans="20:21" ht="15" customHeight="1" x14ac:dyDescent="0.25">
      <c r="T41355" s="135"/>
      <c r="U41355" s="135"/>
    </row>
    <row r="41356" spans="20:21" ht="15" customHeight="1" x14ac:dyDescent="0.25">
      <c r="T41356" s="135"/>
      <c r="U41356" s="135"/>
    </row>
    <row r="41357" spans="20:21" ht="15" customHeight="1" x14ac:dyDescent="0.25">
      <c r="T41357" s="135"/>
      <c r="U41357" s="135"/>
    </row>
    <row r="41358" spans="20:21" ht="15" customHeight="1" x14ac:dyDescent="0.25">
      <c r="T41358" s="135"/>
      <c r="U41358" s="135"/>
    </row>
    <row r="41359" spans="20:21" ht="15" customHeight="1" x14ac:dyDescent="0.25">
      <c r="T41359" s="135"/>
      <c r="U41359" s="135"/>
    </row>
    <row r="41360" spans="20:21" ht="15" customHeight="1" x14ac:dyDescent="0.25">
      <c r="T41360" s="135"/>
      <c r="U41360" s="135"/>
    </row>
    <row r="41361" spans="20:21" ht="15" customHeight="1" x14ac:dyDescent="0.25">
      <c r="T41361" s="135"/>
      <c r="U41361" s="135"/>
    </row>
    <row r="41362" spans="20:21" ht="15" customHeight="1" x14ac:dyDescent="0.25">
      <c r="T41362" s="135"/>
      <c r="U41362" s="135"/>
    </row>
    <row r="41363" spans="20:21" ht="15" customHeight="1" x14ac:dyDescent="0.25">
      <c r="T41363" s="135"/>
      <c r="U41363" s="135"/>
    </row>
    <row r="41364" spans="20:21" ht="15" customHeight="1" x14ac:dyDescent="0.25">
      <c r="T41364" s="135"/>
      <c r="U41364" s="135"/>
    </row>
    <row r="41365" spans="20:21" ht="15" customHeight="1" x14ac:dyDescent="0.25">
      <c r="T41365" s="135"/>
      <c r="U41365" s="135"/>
    </row>
    <row r="41366" spans="20:21" ht="15" customHeight="1" x14ac:dyDescent="0.25">
      <c r="T41366" s="135"/>
      <c r="U41366" s="135"/>
    </row>
    <row r="41367" spans="20:21" ht="15" customHeight="1" x14ac:dyDescent="0.25">
      <c r="T41367" s="135"/>
      <c r="U41367" s="135"/>
    </row>
    <row r="41368" spans="20:21" ht="15" customHeight="1" x14ac:dyDescent="0.25">
      <c r="T41368" s="135"/>
      <c r="U41368" s="135"/>
    </row>
    <row r="41369" spans="20:21" ht="15" customHeight="1" x14ac:dyDescent="0.25">
      <c r="T41369" s="135"/>
      <c r="U41369" s="135"/>
    </row>
    <row r="41370" spans="20:21" ht="15" customHeight="1" x14ac:dyDescent="0.25">
      <c r="T41370" s="135"/>
      <c r="U41370" s="135"/>
    </row>
    <row r="41371" spans="20:21" ht="15" customHeight="1" x14ac:dyDescent="0.25">
      <c r="T41371" s="135"/>
      <c r="U41371" s="135"/>
    </row>
    <row r="41372" spans="20:21" ht="15" customHeight="1" x14ac:dyDescent="0.25">
      <c r="T41372" s="135"/>
      <c r="U41372" s="135"/>
    </row>
    <row r="41373" spans="20:21" ht="15" customHeight="1" x14ac:dyDescent="0.25">
      <c r="T41373" s="135"/>
      <c r="U41373" s="135"/>
    </row>
    <row r="41374" spans="20:21" ht="15" customHeight="1" x14ac:dyDescent="0.25">
      <c r="T41374" s="135"/>
      <c r="U41374" s="135"/>
    </row>
    <row r="41375" spans="20:21" ht="15" customHeight="1" x14ac:dyDescent="0.25">
      <c r="T41375" s="135"/>
      <c r="U41375" s="135"/>
    </row>
    <row r="41376" spans="20:21" ht="15" customHeight="1" x14ac:dyDescent="0.25">
      <c r="T41376" s="135"/>
      <c r="U41376" s="135"/>
    </row>
    <row r="41377" spans="20:21" ht="15" customHeight="1" x14ac:dyDescent="0.25">
      <c r="T41377" s="135"/>
      <c r="U41377" s="135"/>
    </row>
    <row r="41378" spans="20:21" ht="15" customHeight="1" x14ac:dyDescent="0.25">
      <c r="T41378" s="135"/>
      <c r="U41378" s="135"/>
    </row>
    <row r="41379" spans="20:21" ht="15" customHeight="1" x14ac:dyDescent="0.25">
      <c r="T41379" s="135"/>
      <c r="U41379" s="135"/>
    </row>
    <row r="41380" spans="20:21" ht="15" customHeight="1" x14ac:dyDescent="0.25">
      <c r="T41380" s="135"/>
      <c r="U41380" s="135"/>
    </row>
    <row r="41381" spans="20:21" ht="15" customHeight="1" x14ac:dyDescent="0.25">
      <c r="T41381" s="135"/>
      <c r="U41381" s="135"/>
    </row>
    <row r="41382" spans="20:21" ht="15" customHeight="1" x14ac:dyDescent="0.25">
      <c r="T41382" s="135"/>
      <c r="U41382" s="135"/>
    </row>
    <row r="41383" spans="20:21" ht="15" customHeight="1" x14ac:dyDescent="0.25">
      <c r="T41383" s="135"/>
      <c r="U41383" s="135"/>
    </row>
    <row r="41384" spans="20:21" ht="15" customHeight="1" x14ac:dyDescent="0.25">
      <c r="T41384" s="135"/>
      <c r="U41384" s="135"/>
    </row>
    <row r="41385" spans="20:21" ht="15" customHeight="1" x14ac:dyDescent="0.25">
      <c r="T41385" s="135"/>
      <c r="U41385" s="135"/>
    </row>
    <row r="41386" spans="20:21" ht="15" customHeight="1" x14ac:dyDescent="0.25">
      <c r="T41386" s="135"/>
      <c r="U41386" s="135"/>
    </row>
    <row r="41387" spans="20:21" ht="15" customHeight="1" x14ac:dyDescent="0.25">
      <c r="T41387" s="135"/>
      <c r="U41387" s="135"/>
    </row>
    <row r="41388" spans="20:21" ht="15" customHeight="1" x14ac:dyDescent="0.25">
      <c r="T41388" s="135"/>
      <c r="U41388" s="135"/>
    </row>
    <row r="41389" spans="20:21" ht="15" customHeight="1" x14ac:dyDescent="0.25">
      <c r="T41389" s="135"/>
      <c r="U41389" s="135"/>
    </row>
    <row r="41390" spans="20:21" ht="15" customHeight="1" x14ac:dyDescent="0.25">
      <c r="T41390" s="135"/>
      <c r="U41390" s="135"/>
    </row>
    <row r="41391" spans="20:21" ht="15" customHeight="1" x14ac:dyDescent="0.25">
      <c r="T41391" s="135"/>
      <c r="U41391" s="135"/>
    </row>
    <row r="41392" spans="20:21" ht="15" customHeight="1" x14ac:dyDescent="0.25">
      <c r="T41392" s="135"/>
      <c r="U41392" s="135"/>
    </row>
    <row r="41393" spans="20:21" ht="15" customHeight="1" x14ac:dyDescent="0.25">
      <c r="T41393" s="135"/>
      <c r="U41393" s="135"/>
    </row>
    <row r="41394" spans="20:21" ht="15" customHeight="1" x14ac:dyDescent="0.25">
      <c r="T41394" s="135"/>
      <c r="U41394" s="135"/>
    </row>
    <row r="41395" spans="20:21" ht="15" customHeight="1" x14ac:dyDescent="0.25">
      <c r="T41395" s="135"/>
      <c r="U41395" s="135"/>
    </row>
    <row r="41396" spans="20:21" ht="15" customHeight="1" x14ac:dyDescent="0.25">
      <c r="T41396" s="135"/>
      <c r="U41396" s="135"/>
    </row>
    <row r="41397" spans="20:21" ht="15" customHeight="1" x14ac:dyDescent="0.25">
      <c r="T41397" s="135"/>
      <c r="U41397" s="135"/>
    </row>
    <row r="41398" spans="20:21" ht="15" customHeight="1" x14ac:dyDescent="0.25">
      <c r="T41398" s="135"/>
      <c r="U41398" s="135"/>
    </row>
    <row r="41399" spans="20:21" ht="15" customHeight="1" x14ac:dyDescent="0.25">
      <c r="T41399" s="135"/>
      <c r="U41399" s="135"/>
    </row>
    <row r="41400" spans="20:21" ht="15" customHeight="1" x14ac:dyDescent="0.25">
      <c r="T41400" s="135"/>
      <c r="U41400" s="135"/>
    </row>
    <row r="41401" spans="20:21" ht="15" customHeight="1" x14ac:dyDescent="0.25">
      <c r="T41401" s="135"/>
      <c r="U41401" s="135"/>
    </row>
    <row r="41402" spans="20:21" ht="15" customHeight="1" x14ac:dyDescent="0.25">
      <c r="T41402" s="135"/>
      <c r="U41402" s="135"/>
    </row>
    <row r="41403" spans="20:21" ht="15" customHeight="1" x14ac:dyDescent="0.25">
      <c r="T41403" s="135"/>
      <c r="U41403" s="135"/>
    </row>
    <row r="41404" spans="20:21" ht="15" customHeight="1" x14ac:dyDescent="0.25">
      <c r="T41404" s="135"/>
      <c r="U41404" s="135"/>
    </row>
    <row r="41405" spans="20:21" ht="15" customHeight="1" x14ac:dyDescent="0.25">
      <c r="T41405" s="135"/>
      <c r="U41405" s="135"/>
    </row>
    <row r="41406" spans="20:21" ht="15" customHeight="1" x14ac:dyDescent="0.25">
      <c r="T41406" s="135"/>
      <c r="U41406" s="135"/>
    </row>
    <row r="41407" spans="20:21" ht="15" customHeight="1" x14ac:dyDescent="0.25">
      <c r="T41407" s="135"/>
      <c r="U41407" s="135"/>
    </row>
    <row r="41408" spans="20:21" ht="15" customHeight="1" x14ac:dyDescent="0.25">
      <c r="T41408" s="135"/>
      <c r="U41408" s="135"/>
    </row>
    <row r="41409" spans="20:21" ht="15" customHeight="1" x14ac:dyDescent="0.25">
      <c r="T41409" s="135"/>
      <c r="U41409" s="135"/>
    </row>
    <row r="41410" spans="20:21" ht="15" customHeight="1" x14ac:dyDescent="0.25">
      <c r="T41410" s="135"/>
      <c r="U41410" s="135"/>
    </row>
    <row r="41411" spans="20:21" ht="15" customHeight="1" x14ac:dyDescent="0.25">
      <c r="T41411" s="135"/>
      <c r="U41411" s="135"/>
    </row>
    <row r="41412" spans="20:21" ht="15" customHeight="1" x14ac:dyDescent="0.25">
      <c r="T41412" s="135"/>
      <c r="U41412" s="135"/>
    </row>
    <row r="41413" spans="20:21" ht="15" customHeight="1" x14ac:dyDescent="0.25">
      <c r="T41413" s="135"/>
      <c r="U41413" s="135"/>
    </row>
    <row r="41414" spans="20:21" ht="15" customHeight="1" x14ac:dyDescent="0.25">
      <c r="T41414" s="135"/>
      <c r="U41414" s="135"/>
    </row>
    <row r="41415" spans="20:21" ht="15" customHeight="1" x14ac:dyDescent="0.25">
      <c r="T41415" s="135"/>
      <c r="U41415" s="135"/>
    </row>
    <row r="41416" spans="20:21" ht="15" customHeight="1" x14ac:dyDescent="0.25">
      <c r="T41416" s="135"/>
      <c r="U41416" s="135"/>
    </row>
    <row r="41417" spans="20:21" ht="15" customHeight="1" x14ac:dyDescent="0.25">
      <c r="T41417" s="135"/>
      <c r="U41417" s="135"/>
    </row>
    <row r="41418" spans="20:21" ht="15" customHeight="1" x14ac:dyDescent="0.25">
      <c r="T41418" s="135"/>
      <c r="U41418" s="135"/>
    </row>
    <row r="41419" spans="20:21" ht="15" customHeight="1" x14ac:dyDescent="0.25">
      <c r="T41419" s="135"/>
      <c r="U41419" s="135"/>
    </row>
    <row r="41420" spans="20:21" ht="15" customHeight="1" x14ac:dyDescent="0.25">
      <c r="T41420" s="135"/>
      <c r="U41420" s="135"/>
    </row>
    <row r="41421" spans="20:21" ht="15" customHeight="1" x14ac:dyDescent="0.25">
      <c r="T41421" s="135"/>
      <c r="U41421" s="135"/>
    </row>
    <row r="41422" spans="20:21" ht="15" customHeight="1" x14ac:dyDescent="0.25">
      <c r="T41422" s="135"/>
      <c r="U41422" s="135"/>
    </row>
    <row r="41423" spans="20:21" ht="15" customHeight="1" x14ac:dyDescent="0.25">
      <c r="T41423" s="135"/>
      <c r="U41423" s="135"/>
    </row>
    <row r="41424" spans="20:21" ht="15" customHeight="1" x14ac:dyDescent="0.25">
      <c r="T41424" s="135"/>
      <c r="U41424" s="135"/>
    </row>
    <row r="41425" spans="20:21" ht="15" customHeight="1" x14ac:dyDescent="0.25">
      <c r="T41425" s="135"/>
      <c r="U41425" s="135"/>
    </row>
    <row r="41426" spans="20:21" ht="15" customHeight="1" x14ac:dyDescent="0.25">
      <c r="T41426" s="135"/>
      <c r="U41426" s="135"/>
    </row>
    <row r="41427" spans="20:21" ht="15" customHeight="1" x14ac:dyDescent="0.25">
      <c r="T41427" s="135"/>
      <c r="U41427" s="135"/>
    </row>
    <row r="41428" spans="20:21" ht="15" customHeight="1" x14ac:dyDescent="0.25">
      <c r="T41428" s="135"/>
      <c r="U41428" s="135"/>
    </row>
    <row r="41429" spans="20:21" ht="15" customHeight="1" x14ac:dyDescent="0.25">
      <c r="T41429" s="135"/>
      <c r="U41429" s="135"/>
    </row>
    <row r="41430" spans="20:21" ht="15" customHeight="1" x14ac:dyDescent="0.25">
      <c r="T41430" s="135"/>
      <c r="U41430" s="135"/>
    </row>
    <row r="41431" spans="20:21" ht="15" customHeight="1" x14ac:dyDescent="0.25">
      <c r="T41431" s="135"/>
      <c r="U41431" s="135"/>
    </row>
    <row r="41432" spans="20:21" ht="15" customHeight="1" x14ac:dyDescent="0.25">
      <c r="T41432" s="135"/>
      <c r="U41432" s="135"/>
    </row>
    <row r="41433" spans="20:21" ht="15" customHeight="1" x14ac:dyDescent="0.25">
      <c r="T41433" s="135"/>
      <c r="U41433" s="135"/>
    </row>
    <row r="41434" spans="20:21" ht="15" customHeight="1" x14ac:dyDescent="0.25">
      <c r="T41434" s="135"/>
      <c r="U41434" s="135"/>
    </row>
    <row r="41435" spans="20:21" ht="15" customHeight="1" x14ac:dyDescent="0.25">
      <c r="T41435" s="135"/>
      <c r="U41435" s="135"/>
    </row>
    <row r="41436" spans="20:21" ht="15" customHeight="1" x14ac:dyDescent="0.25">
      <c r="T41436" s="135"/>
      <c r="U41436" s="135"/>
    </row>
    <row r="41437" spans="20:21" ht="15" customHeight="1" x14ac:dyDescent="0.25">
      <c r="T41437" s="135"/>
      <c r="U41437" s="135"/>
    </row>
    <row r="41438" spans="20:21" ht="15" customHeight="1" x14ac:dyDescent="0.25">
      <c r="T41438" s="135"/>
      <c r="U41438" s="135"/>
    </row>
    <row r="41439" spans="20:21" ht="15" customHeight="1" x14ac:dyDescent="0.25">
      <c r="T41439" s="135"/>
      <c r="U41439" s="135"/>
    </row>
    <row r="41440" spans="20:21" ht="15" customHeight="1" x14ac:dyDescent="0.25">
      <c r="T41440" s="135"/>
      <c r="U41440" s="135"/>
    </row>
    <row r="41441" spans="20:21" ht="15" customHeight="1" x14ac:dyDescent="0.25">
      <c r="T41441" s="135"/>
      <c r="U41441" s="135"/>
    </row>
    <row r="41442" spans="20:21" ht="15" customHeight="1" x14ac:dyDescent="0.25">
      <c r="T41442" s="135"/>
      <c r="U41442" s="135"/>
    </row>
    <row r="41443" spans="20:21" ht="15" customHeight="1" x14ac:dyDescent="0.25">
      <c r="T41443" s="135"/>
      <c r="U41443" s="135"/>
    </row>
    <row r="41444" spans="20:21" ht="15" customHeight="1" x14ac:dyDescent="0.25">
      <c r="T41444" s="135"/>
      <c r="U41444" s="135"/>
    </row>
    <row r="41445" spans="20:21" ht="15" customHeight="1" x14ac:dyDescent="0.25">
      <c r="T41445" s="135"/>
      <c r="U41445" s="135"/>
    </row>
    <row r="41446" spans="20:21" ht="15" customHeight="1" x14ac:dyDescent="0.25">
      <c r="T41446" s="135"/>
      <c r="U41446" s="135"/>
    </row>
    <row r="41447" spans="20:21" ht="15" customHeight="1" x14ac:dyDescent="0.25">
      <c r="T41447" s="135"/>
      <c r="U41447" s="135"/>
    </row>
    <row r="41448" spans="20:21" ht="15" customHeight="1" x14ac:dyDescent="0.25">
      <c r="T41448" s="135"/>
      <c r="U41448" s="135"/>
    </row>
    <row r="41449" spans="20:21" ht="15" customHeight="1" x14ac:dyDescent="0.25">
      <c r="T41449" s="135"/>
      <c r="U41449" s="135"/>
    </row>
    <row r="41450" spans="20:21" ht="15" customHeight="1" x14ac:dyDescent="0.25">
      <c r="T41450" s="135"/>
      <c r="U41450" s="135"/>
    </row>
    <row r="41451" spans="20:21" ht="15" customHeight="1" x14ac:dyDescent="0.25">
      <c r="T41451" s="135"/>
      <c r="U41451" s="135"/>
    </row>
    <row r="41452" spans="20:21" ht="15" customHeight="1" x14ac:dyDescent="0.25">
      <c r="T41452" s="135"/>
      <c r="U41452" s="135"/>
    </row>
    <row r="41453" spans="20:21" ht="15" customHeight="1" x14ac:dyDescent="0.25">
      <c r="T41453" s="135"/>
      <c r="U41453" s="135"/>
    </row>
    <row r="41454" spans="20:21" ht="15" customHeight="1" x14ac:dyDescent="0.25">
      <c r="T41454" s="135"/>
      <c r="U41454" s="135"/>
    </row>
    <row r="41455" spans="20:21" ht="15" customHeight="1" x14ac:dyDescent="0.25">
      <c r="T41455" s="135"/>
      <c r="U41455" s="135"/>
    </row>
    <row r="41456" spans="20:21" ht="15" customHeight="1" x14ac:dyDescent="0.25">
      <c r="T41456" s="135"/>
      <c r="U41456" s="135"/>
    </row>
    <row r="41457" spans="20:21" ht="15" customHeight="1" x14ac:dyDescent="0.25">
      <c r="T41457" s="135"/>
      <c r="U41457" s="135"/>
    </row>
    <row r="41458" spans="20:21" ht="15" customHeight="1" x14ac:dyDescent="0.25">
      <c r="T41458" s="135"/>
      <c r="U41458" s="135"/>
    </row>
    <row r="41459" spans="20:21" ht="15" customHeight="1" x14ac:dyDescent="0.25">
      <c r="T41459" s="135"/>
      <c r="U41459" s="135"/>
    </row>
    <row r="41460" spans="20:21" ht="15" customHeight="1" x14ac:dyDescent="0.25">
      <c r="T41460" s="135"/>
      <c r="U41460" s="135"/>
    </row>
    <row r="41461" spans="20:21" ht="15" customHeight="1" x14ac:dyDescent="0.25">
      <c r="T41461" s="135"/>
      <c r="U41461" s="135"/>
    </row>
    <row r="41462" spans="20:21" ht="15" customHeight="1" x14ac:dyDescent="0.25">
      <c r="T41462" s="135"/>
      <c r="U41462" s="135"/>
    </row>
    <row r="41463" spans="20:21" ht="15" customHeight="1" x14ac:dyDescent="0.25">
      <c r="T41463" s="135"/>
      <c r="U41463" s="135"/>
    </row>
    <row r="41464" spans="20:21" ht="15" customHeight="1" x14ac:dyDescent="0.25">
      <c r="T41464" s="135"/>
      <c r="U41464" s="135"/>
    </row>
    <row r="41465" spans="20:21" ht="15" customHeight="1" x14ac:dyDescent="0.25">
      <c r="T41465" s="135"/>
      <c r="U41465" s="135"/>
    </row>
    <row r="41466" spans="20:21" ht="15" customHeight="1" x14ac:dyDescent="0.25">
      <c r="T41466" s="135"/>
      <c r="U41466" s="135"/>
    </row>
    <row r="41467" spans="20:21" ht="15" customHeight="1" x14ac:dyDescent="0.25">
      <c r="T41467" s="135"/>
      <c r="U41467" s="135"/>
    </row>
    <row r="41468" spans="20:21" ht="15" customHeight="1" x14ac:dyDescent="0.25">
      <c r="T41468" s="135"/>
      <c r="U41468" s="135"/>
    </row>
    <row r="41469" spans="20:21" ht="15" customHeight="1" x14ac:dyDescent="0.25">
      <c r="T41469" s="135"/>
      <c r="U41469" s="135"/>
    </row>
    <row r="41470" spans="20:21" ht="15" customHeight="1" x14ac:dyDescent="0.25">
      <c r="T41470" s="135"/>
      <c r="U41470" s="135"/>
    </row>
    <row r="41471" spans="20:21" ht="15" customHeight="1" x14ac:dyDescent="0.25">
      <c r="T41471" s="135"/>
      <c r="U41471" s="135"/>
    </row>
    <row r="41472" spans="20:21" ht="15" customHeight="1" x14ac:dyDescent="0.25">
      <c r="T41472" s="135"/>
      <c r="U41472" s="135"/>
    </row>
    <row r="41473" spans="20:21" ht="15" customHeight="1" x14ac:dyDescent="0.25">
      <c r="T41473" s="135"/>
      <c r="U41473" s="135"/>
    </row>
    <row r="41474" spans="20:21" ht="15" customHeight="1" x14ac:dyDescent="0.25">
      <c r="T41474" s="135"/>
      <c r="U41474" s="135"/>
    </row>
    <row r="41475" spans="20:21" ht="15" customHeight="1" x14ac:dyDescent="0.25">
      <c r="T41475" s="135"/>
      <c r="U41475" s="135"/>
    </row>
    <row r="41476" spans="20:21" ht="15" customHeight="1" x14ac:dyDescent="0.25">
      <c r="T41476" s="135"/>
      <c r="U41476" s="135"/>
    </row>
    <row r="41477" spans="20:21" ht="15" customHeight="1" x14ac:dyDescent="0.25">
      <c r="T41477" s="135"/>
      <c r="U41477" s="135"/>
    </row>
    <row r="41478" spans="20:21" ht="15" customHeight="1" x14ac:dyDescent="0.25">
      <c r="T41478" s="135"/>
      <c r="U41478" s="135"/>
    </row>
    <row r="41479" spans="20:21" ht="15" customHeight="1" x14ac:dyDescent="0.25">
      <c r="T41479" s="135"/>
      <c r="U41479" s="135"/>
    </row>
    <row r="41480" spans="20:21" ht="15" customHeight="1" x14ac:dyDescent="0.25">
      <c r="T41480" s="135"/>
      <c r="U41480" s="135"/>
    </row>
    <row r="41481" spans="20:21" ht="15" customHeight="1" x14ac:dyDescent="0.25">
      <c r="T41481" s="135"/>
      <c r="U41481" s="135"/>
    </row>
    <row r="41482" spans="20:21" ht="15" customHeight="1" x14ac:dyDescent="0.25">
      <c r="T41482" s="135"/>
      <c r="U41482" s="135"/>
    </row>
    <row r="41483" spans="20:21" ht="15" customHeight="1" x14ac:dyDescent="0.25">
      <c r="T41483" s="135"/>
      <c r="U41483" s="135"/>
    </row>
    <row r="41484" spans="20:21" ht="15" customHeight="1" x14ac:dyDescent="0.25">
      <c r="T41484" s="135"/>
      <c r="U41484" s="135"/>
    </row>
    <row r="41485" spans="20:21" ht="15" customHeight="1" x14ac:dyDescent="0.25">
      <c r="T41485" s="135"/>
      <c r="U41485" s="135"/>
    </row>
    <row r="41486" spans="20:21" ht="15" customHeight="1" x14ac:dyDescent="0.25">
      <c r="T41486" s="135"/>
      <c r="U41486" s="135"/>
    </row>
    <row r="41487" spans="20:21" ht="15" customHeight="1" x14ac:dyDescent="0.25">
      <c r="T41487" s="135"/>
      <c r="U41487" s="135"/>
    </row>
    <row r="41488" spans="20:21" ht="15" customHeight="1" x14ac:dyDescent="0.25">
      <c r="T41488" s="135"/>
      <c r="U41488" s="135"/>
    </row>
    <row r="41489" spans="20:21" ht="15" customHeight="1" x14ac:dyDescent="0.25">
      <c r="T41489" s="135"/>
      <c r="U41489" s="135"/>
    </row>
    <row r="41490" spans="20:21" ht="15" customHeight="1" x14ac:dyDescent="0.25">
      <c r="T41490" s="135"/>
      <c r="U41490" s="135"/>
    </row>
    <row r="41491" spans="20:21" ht="15" customHeight="1" x14ac:dyDescent="0.25">
      <c r="T41491" s="135"/>
      <c r="U41491" s="135"/>
    </row>
    <row r="41492" spans="20:21" ht="15" customHeight="1" x14ac:dyDescent="0.25">
      <c r="T41492" s="135"/>
      <c r="U41492" s="135"/>
    </row>
    <row r="41493" spans="20:21" ht="15" customHeight="1" x14ac:dyDescent="0.25">
      <c r="T41493" s="135"/>
      <c r="U41493" s="135"/>
    </row>
    <row r="41494" spans="20:21" ht="15" customHeight="1" x14ac:dyDescent="0.25">
      <c r="T41494" s="135"/>
      <c r="U41494" s="135"/>
    </row>
    <row r="41495" spans="20:21" ht="15" customHeight="1" x14ac:dyDescent="0.25">
      <c r="T41495" s="135"/>
      <c r="U41495" s="135"/>
    </row>
    <row r="41496" spans="20:21" ht="15" customHeight="1" x14ac:dyDescent="0.25">
      <c r="T41496" s="135"/>
      <c r="U41496" s="135"/>
    </row>
    <row r="41497" spans="20:21" ht="15" customHeight="1" x14ac:dyDescent="0.25">
      <c r="T41497" s="135"/>
      <c r="U41497" s="135"/>
    </row>
    <row r="41498" spans="20:21" ht="15" customHeight="1" x14ac:dyDescent="0.25">
      <c r="T41498" s="135"/>
      <c r="U41498" s="135"/>
    </row>
    <row r="41499" spans="20:21" ht="15" customHeight="1" x14ac:dyDescent="0.25">
      <c r="T41499" s="135"/>
      <c r="U41499" s="135"/>
    </row>
    <row r="41500" spans="20:21" ht="15" customHeight="1" x14ac:dyDescent="0.25">
      <c r="T41500" s="135"/>
      <c r="U41500" s="135"/>
    </row>
    <row r="41501" spans="20:21" ht="15" customHeight="1" x14ac:dyDescent="0.25">
      <c r="T41501" s="135"/>
      <c r="U41501" s="135"/>
    </row>
    <row r="41502" spans="20:21" ht="15" customHeight="1" x14ac:dyDescent="0.25">
      <c r="T41502" s="135"/>
      <c r="U41502" s="135"/>
    </row>
    <row r="41503" spans="20:21" ht="15" customHeight="1" x14ac:dyDescent="0.25">
      <c r="T41503" s="135"/>
      <c r="U41503" s="135"/>
    </row>
    <row r="41504" spans="20:21" ht="15" customHeight="1" x14ac:dyDescent="0.25">
      <c r="T41504" s="135"/>
      <c r="U41504" s="135"/>
    </row>
    <row r="41505" spans="20:21" ht="15" customHeight="1" x14ac:dyDescent="0.25">
      <c r="T41505" s="135"/>
      <c r="U41505" s="135"/>
    </row>
    <row r="41506" spans="20:21" ht="15" customHeight="1" x14ac:dyDescent="0.25">
      <c r="T41506" s="135"/>
      <c r="U41506" s="135"/>
    </row>
    <row r="41507" spans="20:21" ht="15" customHeight="1" x14ac:dyDescent="0.25">
      <c r="T41507" s="135"/>
      <c r="U41507" s="135"/>
    </row>
    <row r="41508" spans="20:21" ht="15" customHeight="1" x14ac:dyDescent="0.25">
      <c r="T41508" s="135"/>
      <c r="U41508" s="135"/>
    </row>
    <row r="41509" spans="20:21" ht="15" customHeight="1" x14ac:dyDescent="0.25">
      <c r="T41509" s="135"/>
      <c r="U41509" s="135"/>
    </row>
    <row r="41510" spans="20:21" ht="15" customHeight="1" x14ac:dyDescent="0.25">
      <c r="T41510" s="135"/>
      <c r="U41510" s="135"/>
    </row>
    <row r="41511" spans="20:21" ht="15" customHeight="1" x14ac:dyDescent="0.25">
      <c r="T41511" s="135"/>
      <c r="U41511" s="135"/>
    </row>
    <row r="41512" spans="20:21" ht="15" customHeight="1" x14ac:dyDescent="0.25">
      <c r="T41512" s="135"/>
      <c r="U41512" s="135"/>
    </row>
    <row r="41513" spans="20:21" ht="15" customHeight="1" x14ac:dyDescent="0.25">
      <c r="T41513" s="135"/>
      <c r="U41513" s="135"/>
    </row>
    <row r="41514" spans="20:21" ht="15" customHeight="1" x14ac:dyDescent="0.25">
      <c r="T41514" s="135"/>
      <c r="U41514" s="135"/>
    </row>
    <row r="41515" spans="20:21" ht="15" customHeight="1" x14ac:dyDescent="0.25">
      <c r="T41515" s="135"/>
      <c r="U41515" s="135"/>
    </row>
    <row r="41516" spans="20:21" ht="15" customHeight="1" x14ac:dyDescent="0.25">
      <c r="T41516" s="135"/>
      <c r="U41516" s="135"/>
    </row>
    <row r="41517" spans="20:21" ht="15" customHeight="1" x14ac:dyDescent="0.25">
      <c r="T41517" s="135"/>
      <c r="U41517" s="135"/>
    </row>
    <row r="41518" spans="20:21" ht="15" customHeight="1" x14ac:dyDescent="0.25">
      <c r="T41518" s="135"/>
      <c r="U41518" s="135"/>
    </row>
    <row r="41519" spans="20:21" ht="15" customHeight="1" x14ac:dyDescent="0.25">
      <c r="T41519" s="135"/>
      <c r="U41519" s="135"/>
    </row>
    <row r="41520" spans="20:21" ht="15" customHeight="1" x14ac:dyDescent="0.25">
      <c r="T41520" s="135"/>
      <c r="U41520" s="135"/>
    </row>
    <row r="41521" spans="20:21" ht="15" customHeight="1" x14ac:dyDescent="0.25">
      <c r="T41521" s="135"/>
      <c r="U41521" s="135"/>
    </row>
    <row r="41522" spans="20:21" ht="15" customHeight="1" x14ac:dyDescent="0.25">
      <c r="T41522" s="135"/>
      <c r="U41522" s="135"/>
    </row>
    <row r="41523" spans="20:21" ht="15" customHeight="1" x14ac:dyDescent="0.25">
      <c r="T41523" s="135"/>
      <c r="U41523" s="135"/>
    </row>
    <row r="41524" spans="20:21" ht="15" customHeight="1" x14ac:dyDescent="0.25">
      <c r="T41524" s="135"/>
      <c r="U41524" s="135"/>
    </row>
    <row r="41525" spans="20:21" ht="15" customHeight="1" x14ac:dyDescent="0.25">
      <c r="T41525" s="135"/>
      <c r="U41525" s="135"/>
    </row>
    <row r="41526" spans="20:21" ht="15" customHeight="1" x14ac:dyDescent="0.25">
      <c r="T41526" s="135"/>
      <c r="U41526" s="135"/>
    </row>
    <row r="41527" spans="20:21" ht="15" customHeight="1" x14ac:dyDescent="0.25">
      <c r="T41527" s="135"/>
      <c r="U41527" s="135"/>
    </row>
    <row r="41528" spans="20:21" ht="15" customHeight="1" x14ac:dyDescent="0.25">
      <c r="T41528" s="135"/>
      <c r="U41528" s="135"/>
    </row>
    <row r="41529" spans="20:21" ht="15" customHeight="1" x14ac:dyDescent="0.25">
      <c r="T41529" s="135"/>
      <c r="U41529" s="135"/>
    </row>
    <row r="41530" spans="20:21" ht="15" customHeight="1" x14ac:dyDescent="0.25">
      <c r="T41530" s="135"/>
      <c r="U41530" s="135"/>
    </row>
    <row r="41531" spans="20:21" ht="15" customHeight="1" x14ac:dyDescent="0.25">
      <c r="T41531" s="135"/>
      <c r="U41531" s="135"/>
    </row>
    <row r="41532" spans="20:21" ht="15" customHeight="1" x14ac:dyDescent="0.25">
      <c r="T41532" s="135"/>
      <c r="U41532" s="135"/>
    </row>
    <row r="41533" spans="20:21" ht="15" customHeight="1" x14ac:dyDescent="0.25">
      <c r="T41533" s="135"/>
      <c r="U41533" s="135"/>
    </row>
    <row r="41534" spans="20:21" ht="15" customHeight="1" x14ac:dyDescent="0.25">
      <c r="T41534" s="135"/>
      <c r="U41534" s="135"/>
    </row>
    <row r="41535" spans="20:21" ht="15" customHeight="1" x14ac:dyDescent="0.25">
      <c r="T41535" s="135"/>
      <c r="U41535" s="135"/>
    </row>
    <row r="41536" spans="20:21" ht="15" customHeight="1" x14ac:dyDescent="0.25">
      <c r="T41536" s="135"/>
      <c r="U41536" s="135"/>
    </row>
    <row r="41537" spans="20:21" ht="15" customHeight="1" x14ac:dyDescent="0.25">
      <c r="T41537" s="135"/>
      <c r="U41537" s="135"/>
    </row>
    <row r="41538" spans="20:21" ht="15" customHeight="1" x14ac:dyDescent="0.25">
      <c r="T41538" s="135"/>
      <c r="U41538" s="135"/>
    </row>
    <row r="41539" spans="20:21" ht="15" customHeight="1" x14ac:dyDescent="0.25">
      <c r="T41539" s="135"/>
      <c r="U41539" s="135"/>
    </row>
    <row r="41540" spans="20:21" ht="15" customHeight="1" x14ac:dyDescent="0.25">
      <c r="T41540" s="135"/>
      <c r="U41540" s="135"/>
    </row>
    <row r="41541" spans="20:21" ht="15" customHeight="1" x14ac:dyDescent="0.25">
      <c r="T41541" s="135"/>
      <c r="U41541" s="135"/>
    </row>
    <row r="41542" spans="20:21" ht="15" customHeight="1" x14ac:dyDescent="0.25">
      <c r="T41542" s="135"/>
      <c r="U41542" s="135"/>
    </row>
    <row r="41543" spans="20:21" ht="15" customHeight="1" x14ac:dyDescent="0.25">
      <c r="T41543" s="135"/>
      <c r="U41543" s="135"/>
    </row>
    <row r="41544" spans="20:21" ht="15" customHeight="1" x14ac:dyDescent="0.25">
      <c r="T41544" s="135"/>
      <c r="U41544" s="135"/>
    </row>
    <row r="41545" spans="20:21" ht="15" customHeight="1" x14ac:dyDescent="0.25">
      <c r="T41545" s="135"/>
      <c r="U41545" s="135"/>
    </row>
    <row r="41546" spans="20:21" ht="15" customHeight="1" x14ac:dyDescent="0.25">
      <c r="T41546" s="135"/>
      <c r="U41546" s="135"/>
    </row>
    <row r="41547" spans="20:21" ht="15" customHeight="1" x14ac:dyDescent="0.25">
      <c r="T41547" s="135"/>
      <c r="U41547" s="135"/>
    </row>
    <row r="41548" spans="20:21" ht="15" customHeight="1" x14ac:dyDescent="0.25">
      <c r="T41548" s="135"/>
      <c r="U41548" s="135"/>
    </row>
    <row r="41549" spans="20:21" ht="15" customHeight="1" x14ac:dyDescent="0.25">
      <c r="T41549" s="135"/>
      <c r="U41549" s="135"/>
    </row>
    <row r="41550" spans="20:21" ht="15" customHeight="1" x14ac:dyDescent="0.25">
      <c r="T41550" s="135"/>
      <c r="U41550" s="135"/>
    </row>
    <row r="41551" spans="20:21" ht="15" customHeight="1" x14ac:dyDescent="0.25">
      <c r="T41551" s="135"/>
      <c r="U41551" s="135"/>
    </row>
    <row r="41552" spans="20:21" ht="15" customHeight="1" x14ac:dyDescent="0.25">
      <c r="T41552" s="135"/>
      <c r="U41552" s="135"/>
    </row>
    <row r="41553" spans="20:21" ht="15" customHeight="1" x14ac:dyDescent="0.25">
      <c r="T41553" s="135"/>
      <c r="U41553" s="135"/>
    </row>
    <row r="41554" spans="20:21" ht="15" customHeight="1" x14ac:dyDescent="0.25">
      <c r="T41554" s="135"/>
      <c r="U41554" s="135"/>
    </row>
    <row r="41555" spans="20:21" ht="15" customHeight="1" x14ac:dyDescent="0.25">
      <c r="T41555" s="135"/>
      <c r="U41555" s="135"/>
    </row>
    <row r="41556" spans="20:21" ht="15" customHeight="1" x14ac:dyDescent="0.25">
      <c r="T41556" s="135"/>
      <c r="U41556" s="135"/>
    </row>
    <row r="41557" spans="20:21" ht="15" customHeight="1" x14ac:dyDescent="0.25">
      <c r="T41557" s="135"/>
      <c r="U41557" s="135"/>
    </row>
    <row r="41558" spans="20:21" ht="15" customHeight="1" x14ac:dyDescent="0.25">
      <c r="T41558" s="135"/>
      <c r="U41558" s="135"/>
    </row>
    <row r="41559" spans="20:21" ht="15" customHeight="1" x14ac:dyDescent="0.25">
      <c r="T41559" s="135"/>
      <c r="U41559" s="135"/>
    </row>
    <row r="41560" spans="20:21" ht="15" customHeight="1" x14ac:dyDescent="0.25">
      <c r="T41560" s="135"/>
      <c r="U41560" s="135"/>
    </row>
    <row r="41561" spans="20:21" ht="15" customHeight="1" x14ac:dyDescent="0.25">
      <c r="T41561" s="135"/>
      <c r="U41561" s="135"/>
    </row>
    <row r="41562" spans="20:21" ht="15" customHeight="1" x14ac:dyDescent="0.25">
      <c r="T41562" s="135"/>
      <c r="U41562" s="135"/>
    </row>
    <row r="41563" spans="20:21" ht="15" customHeight="1" x14ac:dyDescent="0.25">
      <c r="T41563" s="135"/>
      <c r="U41563" s="135"/>
    </row>
    <row r="41564" spans="20:21" ht="15" customHeight="1" x14ac:dyDescent="0.25">
      <c r="T41564" s="135"/>
      <c r="U41564" s="135"/>
    </row>
    <row r="41565" spans="20:21" ht="15" customHeight="1" x14ac:dyDescent="0.25">
      <c r="T41565" s="135"/>
      <c r="U41565" s="135"/>
    </row>
    <row r="41566" spans="20:21" ht="15" customHeight="1" x14ac:dyDescent="0.25">
      <c r="T41566" s="135"/>
      <c r="U41566" s="135"/>
    </row>
    <row r="41567" spans="20:21" ht="15" customHeight="1" x14ac:dyDescent="0.25">
      <c r="T41567" s="135"/>
      <c r="U41567" s="135"/>
    </row>
    <row r="41568" spans="20:21" ht="15" customHeight="1" x14ac:dyDescent="0.25">
      <c r="T41568" s="135"/>
      <c r="U41568" s="135"/>
    </row>
    <row r="41569" spans="20:21" ht="15" customHeight="1" x14ac:dyDescent="0.25">
      <c r="T41569" s="135"/>
      <c r="U41569" s="135"/>
    </row>
    <row r="41570" spans="20:21" ht="15" customHeight="1" x14ac:dyDescent="0.25">
      <c r="T41570" s="135"/>
      <c r="U41570" s="135"/>
    </row>
    <row r="41571" spans="20:21" ht="15" customHeight="1" x14ac:dyDescent="0.25">
      <c r="T41571" s="135"/>
      <c r="U41571" s="135"/>
    </row>
    <row r="41572" spans="20:21" ht="15" customHeight="1" x14ac:dyDescent="0.25">
      <c r="T41572" s="135"/>
      <c r="U41572" s="135"/>
    </row>
    <row r="41573" spans="20:21" ht="15" customHeight="1" x14ac:dyDescent="0.25">
      <c r="T41573" s="135"/>
      <c r="U41573" s="135"/>
    </row>
    <row r="41574" spans="20:21" ht="15" customHeight="1" x14ac:dyDescent="0.25">
      <c r="T41574" s="135"/>
      <c r="U41574" s="135"/>
    </row>
    <row r="41575" spans="20:21" ht="15" customHeight="1" x14ac:dyDescent="0.25">
      <c r="T41575" s="135"/>
      <c r="U41575" s="135"/>
    </row>
    <row r="41576" spans="20:21" ht="15" customHeight="1" x14ac:dyDescent="0.25">
      <c r="T41576" s="135"/>
      <c r="U41576" s="135"/>
    </row>
    <row r="41577" spans="20:21" ht="15" customHeight="1" x14ac:dyDescent="0.25">
      <c r="T41577" s="135"/>
      <c r="U41577" s="135"/>
    </row>
    <row r="41578" spans="20:21" ht="15" customHeight="1" x14ac:dyDescent="0.25">
      <c r="T41578" s="135"/>
      <c r="U41578" s="135"/>
    </row>
    <row r="41579" spans="20:21" ht="15" customHeight="1" x14ac:dyDescent="0.25">
      <c r="T41579" s="135"/>
      <c r="U41579" s="135"/>
    </row>
    <row r="41580" spans="20:21" ht="15" customHeight="1" x14ac:dyDescent="0.25">
      <c r="T41580" s="135"/>
      <c r="U41580" s="135"/>
    </row>
    <row r="41581" spans="20:21" ht="15" customHeight="1" x14ac:dyDescent="0.25">
      <c r="T41581" s="135"/>
      <c r="U41581" s="135"/>
    </row>
    <row r="41582" spans="20:21" ht="15" customHeight="1" x14ac:dyDescent="0.25">
      <c r="T41582" s="135"/>
      <c r="U41582" s="135"/>
    </row>
    <row r="41583" spans="20:21" ht="15" customHeight="1" x14ac:dyDescent="0.25">
      <c r="T41583" s="135"/>
      <c r="U41583" s="135"/>
    </row>
    <row r="41584" spans="20:21" ht="15" customHeight="1" x14ac:dyDescent="0.25">
      <c r="T41584" s="135"/>
      <c r="U41584" s="135"/>
    </row>
    <row r="41585" spans="20:21" ht="15" customHeight="1" x14ac:dyDescent="0.25">
      <c r="T41585" s="135"/>
      <c r="U41585" s="135"/>
    </row>
    <row r="41586" spans="20:21" ht="15" customHeight="1" x14ac:dyDescent="0.25">
      <c r="T41586" s="135"/>
      <c r="U41586" s="135"/>
    </row>
    <row r="41587" spans="20:21" ht="15" customHeight="1" x14ac:dyDescent="0.25">
      <c r="T41587" s="135"/>
      <c r="U41587" s="135"/>
    </row>
    <row r="41588" spans="20:21" ht="15" customHeight="1" x14ac:dyDescent="0.25">
      <c r="T41588" s="135"/>
      <c r="U41588" s="135"/>
    </row>
    <row r="41589" spans="20:21" ht="15" customHeight="1" x14ac:dyDescent="0.25">
      <c r="T41589" s="135"/>
      <c r="U41589" s="135"/>
    </row>
    <row r="41590" spans="20:21" ht="15" customHeight="1" x14ac:dyDescent="0.25">
      <c r="T41590" s="135"/>
      <c r="U41590" s="135"/>
    </row>
    <row r="41591" spans="20:21" ht="15" customHeight="1" x14ac:dyDescent="0.25">
      <c r="T41591" s="135"/>
      <c r="U41591" s="135"/>
    </row>
    <row r="41592" spans="20:21" ht="15" customHeight="1" x14ac:dyDescent="0.25">
      <c r="T41592" s="135"/>
      <c r="U41592" s="135"/>
    </row>
    <row r="41593" spans="20:21" ht="15" customHeight="1" x14ac:dyDescent="0.25">
      <c r="T41593" s="135"/>
      <c r="U41593" s="135"/>
    </row>
    <row r="41594" spans="20:21" ht="15" customHeight="1" x14ac:dyDescent="0.25">
      <c r="T41594" s="135"/>
      <c r="U41594" s="135"/>
    </row>
    <row r="41595" spans="20:21" ht="15" customHeight="1" x14ac:dyDescent="0.25">
      <c r="T41595" s="135"/>
      <c r="U41595" s="135"/>
    </row>
    <row r="41596" spans="20:21" ht="15" customHeight="1" x14ac:dyDescent="0.25">
      <c r="T41596" s="135"/>
      <c r="U41596" s="135"/>
    </row>
    <row r="41597" spans="20:21" ht="15" customHeight="1" x14ac:dyDescent="0.25">
      <c r="T41597" s="135"/>
      <c r="U41597" s="135"/>
    </row>
    <row r="41598" spans="20:21" ht="15" customHeight="1" x14ac:dyDescent="0.25">
      <c r="T41598" s="135"/>
      <c r="U41598" s="135"/>
    </row>
    <row r="41599" spans="20:21" ht="15" customHeight="1" x14ac:dyDescent="0.25">
      <c r="T41599" s="135"/>
      <c r="U41599" s="135"/>
    </row>
    <row r="41600" spans="20:21" ht="15" customHeight="1" x14ac:dyDescent="0.25">
      <c r="T41600" s="135"/>
      <c r="U41600" s="135"/>
    </row>
    <row r="41601" spans="20:21" ht="15" customHeight="1" x14ac:dyDescent="0.25">
      <c r="T41601" s="135"/>
      <c r="U41601" s="135"/>
    </row>
    <row r="41602" spans="20:21" ht="15" customHeight="1" x14ac:dyDescent="0.25">
      <c r="T41602" s="135"/>
      <c r="U41602" s="135"/>
    </row>
    <row r="41603" spans="20:21" ht="15" customHeight="1" x14ac:dyDescent="0.25">
      <c r="T41603" s="135"/>
      <c r="U41603" s="135"/>
    </row>
    <row r="41604" spans="20:21" ht="15" customHeight="1" x14ac:dyDescent="0.25">
      <c r="T41604" s="135"/>
      <c r="U41604" s="135"/>
    </row>
    <row r="41605" spans="20:21" ht="15" customHeight="1" x14ac:dyDescent="0.25">
      <c r="T41605" s="135"/>
      <c r="U41605" s="135"/>
    </row>
    <row r="41606" spans="20:21" ht="15" customHeight="1" x14ac:dyDescent="0.25">
      <c r="T41606" s="135"/>
      <c r="U41606" s="135"/>
    </row>
    <row r="41607" spans="20:21" ht="15" customHeight="1" x14ac:dyDescent="0.25">
      <c r="T41607" s="135"/>
      <c r="U41607" s="135"/>
    </row>
    <row r="41608" spans="20:21" ht="15" customHeight="1" x14ac:dyDescent="0.25">
      <c r="T41608" s="135"/>
      <c r="U41608" s="135"/>
    </row>
    <row r="41609" spans="20:21" ht="15" customHeight="1" x14ac:dyDescent="0.25">
      <c r="T41609" s="135"/>
      <c r="U41609" s="135"/>
    </row>
    <row r="41610" spans="20:21" ht="15" customHeight="1" x14ac:dyDescent="0.25">
      <c r="T41610" s="135"/>
      <c r="U41610" s="135"/>
    </row>
    <row r="41611" spans="20:21" ht="15" customHeight="1" x14ac:dyDescent="0.25">
      <c r="T41611" s="135"/>
      <c r="U41611" s="135"/>
    </row>
    <row r="41612" spans="20:21" ht="15" customHeight="1" x14ac:dyDescent="0.25">
      <c r="T41612" s="135"/>
      <c r="U41612" s="135"/>
    </row>
    <row r="41613" spans="20:21" ht="15" customHeight="1" x14ac:dyDescent="0.25">
      <c r="T41613" s="135"/>
      <c r="U41613" s="135"/>
    </row>
    <row r="41614" spans="20:21" ht="15" customHeight="1" x14ac:dyDescent="0.25">
      <c r="T41614" s="135"/>
      <c r="U41614" s="135"/>
    </row>
    <row r="41615" spans="20:21" ht="15" customHeight="1" x14ac:dyDescent="0.25">
      <c r="T41615" s="135"/>
      <c r="U41615" s="135"/>
    </row>
    <row r="41616" spans="20:21" ht="15" customHeight="1" x14ac:dyDescent="0.25">
      <c r="T41616" s="135"/>
      <c r="U41616" s="135"/>
    </row>
    <row r="41617" spans="20:21" ht="15" customHeight="1" x14ac:dyDescent="0.25">
      <c r="T41617" s="135"/>
      <c r="U41617" s="135"/>
    </row>
    <row r="41618" spans="20:21" ht="15" customHeight="1" x14ac:dyDescent="0.25">
      <c r="T41618" s="135"/>
      <c r="U41618" s="135"/>
    </row>
    <row r="41619" spans="20:21" ht="15" customHeight="1" x14ac:dyDescent="0.25">
      <c r="T41619" s="135"/>
      <c r="U41619" s="135"/>
    </row>
    <row r="41620" spans="20:21" ht="15" customHeight="1" x14ac:dyDescent="0.25">
      <c r="T41620" s="135"/>
      <c r="U41620" s="135"/>
    </row>
    <row r="41621" spans="20:21" ht="15" customHeight="1" x14ac:dyDescent="0.25">
      <c r="T41621" s="135"/>
      <c r="U41621" s="135"/>
    </row>
    <row r="41622" spans="20:21" ht="15" customHeight="1" x14ac:dyDescent="0.25">
      <c r="T41622" s="135"/>
      <c r="U41622" s="135"/>
    </row>
    <row r="41623" spans="20:21" ht="15" customHeight="1" x14ac:dyDescent="0.25">
      <c r="T41623" s="135"/>
      <c r="U41623" s="135"/>
    </row>
    <row r="41624" spans="20:21" ht="15" customHeight="1" x14ac:dyDescent="0.25">
      <c r="T41624" s="135"/>
      <c r="U41624" s="135"/>
    </row>
    <row r="41625" spans="20:21" ht="15" customHeight="1" x14ac:dyDescent="0.25">
      <c r="T41625" s="135"/>
      <c r="U41625" s="135"/>
    </row>
    <row r="41626" spans="20:21" ht="15" customHeight="1" x14ac:dyDescent="0.25">
      <c r="T41626" s="135"/>
      <c r="U41626" s="135"/>
    </row>
    <row r="41627" spans="20:21" ht="15" customHeight="1" x14ac:dyDescent="0.25">
      <c r="T41627" s="135"/>
      <c r="U41627" s="135"/>
    </row>
    <row r="41628" spans="20:21" ht="15" customHeight="1" x14ac:dyDescent="0.25">
      <c r="T41628" s="135"/>
      <c r="U41628" s="135"/>
    </row>
    <row r="41629" spans="20:21" ht="15" customHeight="1" x14ac:dyDescent="0.25">
      <c r="T41629" s="135"/>
      <c r="U41629" s="135"/>
    </row>
    <row r="41630" spans="20:21" ht="15" customHeight="1" x14ac:dyDescent="0.25">
      <c r="T41630" s="135"/>
      <c r="U41630" s="135"/>
    </row>
    <row r="41631" spans="20:21" ht="15" customHeight="1" x14ac:dyDescent="0.25">
      <c r="T41631" s="135"/>
      <c r="U41631" s="135"/>
    </row>
    <row r="41632" spans="20:21" ht="15" customHeight="1" x14ac:dyDescent="0.25">
      <c r="T41632" s="135"/>
      <c r="U41632" s="135"/>
    </row>
    <row r="41633" spans="20:21" ht="15" customHeight="1" x14ac:dyDescent="0.25">
      <c r="T41633" s="135"/>
      <c r="U41633" s="135"/>
    </row>
    <row r="41634" spans="20:21" ht="15" customHeight="1" x14ac:dyDescent="0.25">
      <c r="T41634" s="135"/>
      <c r="U41634" s="135"/>
    </row>
    <row r="41635" spans="20:21" ht="15" customHeight="1" x14ac:dyDescent="0.25">
      <c r="T41635" s="135"/>
      <c r="U41635" s="135"/>
    </row>
    <row r="41636" spans="20:21" ht="15" customHeight="1" x14ac:dyDescent="0.25">
      <c r="T41636" s="135"/>
      <c r="U41636" s="135"/>
    </row>
    <row r="41637" spans="20:21" ht="15" customHeight="1" x14ac:dyDescent="0.25">
      <c r="T41637" s="135"/>
      <c r="U41637" s="135"/>
    </row>
    <row r="41638" spans="20:21" ht="15" customHeight="1" x14ac:dyDescent="0.25">
      <c r="T41638" s="135"/>
      <c r="U41638" s="135"/>
    </row>
    <row r="41639" spans="20:21" ht="15" customHeight="1" x14ac:dyDescent="0.25">
      <c r="T41639" s="135"/>
      <c r="U41639" s="135"/>
    </row>
    <row r="41640" spans="20:21" ht="15" customHeight="1" x14ac:dyDescent="0.25">
      <c r="T41640" s="135"/>
      <c r="U41640" s="135"/>
    </row>
    <row r="41641" spans="20:21" ht="15" customHeight="1" x14ac:dyDescent="0.25">
      <c r="T41641" s="135"/>
      <c r="U41641" s="135"/>
    </row>
    <row r="41642" spans="20:21" ht="15" customHeight="1" x14ac:dyDescent="0.25">
      <c r="T41642" s="135"/>
      <c r="U41642" s="135"/>
    </row>
    <row r="41643" spans="20:21" ht="15" customHeight="1" x14ac:dyDescent="0.25">
      <c r="T41643" s="135"/>
      <c r="U41643" s="135"/>
    </row>
    <row r="41644" spans="20:21" ht="15" customHeight="1" x14ac:dyDescent="0.25">
      <c r="T41644" s="135"/>
      <c r="U41644" s="135"/>
    </row>
    <row r="41645" spans="20:21" ht="15" customHeight="1" x14ac:dyDescent="0.25">
      <c r="T41645" s="135"/>
      <c r="U41645" s="135"/>
    </row>
    <row r="41646" spans="20:21" ht="15" customHeight="1" x14ac:dyDescent="0.25">
      <c r="T41646" s="135"/>
      <c r="U41646" s="135"/>
    </row>
    <row r="41647" spans="20:21" ht="15" customHeight="1" x14ac:dyDescent="0.25">
      <c r="T41647" s="135"/>
      <c r="U41647" s="135"/>
    </row>
    <row r="41648" spans="20:21" ht="15" customHeight="1" x14ac:dyDescent="0.25">
      <c r="T41648" s="135"/>
      <c r="U41648" s="135"/>
    </row>
    <row r="41649" spans="20:21" ht="15" customHeight="1" x14ac:dyDescent="0.25">
      <c r="T41649" s="135"/>
      <c r="U41649" s="135"/>
    </row>
    <row r="41650" spans="20:21" ht="15" customHeight="1" x14ac:dyDescent="0.25">
      <c r="T41650" s="135"/>
      <c r="U41650" s="135"/>
    </row>
    <row r="41651" spans="20:21" ht="15" customHeight="1" x14ac:dyDescent="0.25">
      <c r="T41651" s="135"/>
      <c r="U41651" s="135"/>
    </row>
    <row r="41652" spans="20:21" ht="15" customHeight="1" x14ac:dyDescent="0.25">
      <c r="T41652" s="135"/>
      <c r="U41652" s="135"/>
    </row>
    <row r="41653" spans="20:21" ht="15" customHeight="1" x14ac:dyDescent="0.25">
      <c r="T41653" s="135"/>
      <c r="U41653" s="135"/>
    </row>
    <row r="41654" spans="20:21" ht="15" customHeight="1" x14ac:dyDescent="0.25">
      <c r="T41654" s="135"/>
      <c r="U41654" s="135"/>
    </row>
    <row r="41655" spans="20:21" ht="15" customHeight="1" x14ac:dyDescent="0.25">
      <c r="T41655" s="135"/>
      <c r="U41655" s="135"/>
    </row>
    <row r="41656" spans="20:21" ht="15" customHeight="1" x14ac:dyDescent="0.25">
      <c r="T41656" s="135"/>
      <c r="U41656" s="135"/>
    </row>
    <row r="41657" spans="20:21" ht="15" customHeight="1" x14ac:dyDescent="0.25">
      <c r="T41657" s="135"/>
      <c r="U41657" s="135"/>
    </row>
    <row r="41658" spans="20:21" ht="15" customHeight="1" x14ac:dyDescent="0.25">
      <c r="T41658" s="135"/>
      <c r="U41658" s="135"/>
    </row>
    <row r="41659" spans="20:21" ht="15" customHeight="1" x14ac:dyDescent="0.25">
      <c r="T41659" s="135"/>
      <c r="U41659" s="135"/>
    </row>
    <row r="41660" spans="20:21" ht="15" customHeight="1" x14ac:dyDescent="0.25">
      <c r="T41660" s="135"/>
      <c r="U41660" s="135"/>
    </row>
    <row r="41661" spans="20:21" ht="15" customHeight="1" x14ac:dyDescent="0.25">
      <c r="T41661" s="135"/>
      <c r="U41661" s="135"/>
    </row>
    <row r="41662" spans="20:21" ht="15" customHeight="1" x14ac:dyDescent="0.25">
      <c r="T41662" s="135"/>
      <c r="U41662" s="135"/>
    </row>
    <row r="41663" spans="20:21" ht="15" customHeight="1" x14ac:dyDescent="0.25">
      <c r="T41663" s="135"/>
      <c r="U41663" s="135"/>
    </row>
    <row r="41664" spans="20:21" ht="15" customHeight="1" x14ac:dyDescent="0.25">
      <c r="T41664" s="135"/>
      <c r="U41664" s="135"/>
    </row>
    <row r="41665" spans="20:21" ht="15" customHeight="1" x14ac:dyDescent="0.25">
      <c r="T41665" s="135"/>
      <c r="U41665" s="135"/>
    </row>
    <row r="41666" spans="20:21" ht="15" customHeight="1" x14ac:dyDescent="0.25">
      <c r="T41666" s="135"/>
      <c r="U41666" s="135"/>
    </row>
    <row r="41667" spans="20:21" ht="15" customHeight="1" x14ac:dyDescent="0.25">
      <c r="T41667" s="135"/>
      <c r="U41667" s="135"/>
    </row>
    <row r="41668" spans="20:21" ht="15" customHeight="1" x14ac:dyDescent="0.25">
      <c r="T41668" s="135"/>
      <c r="U41668" s="135"/>
    </row>
    <row r="41669" spans="20:21" ht="15" customHeight="1" x14ac:dyDescent="0.25">
      <c r="T41669" s="135"/>
      <c r="U41669" s="135"/>
    </row>
    <row r="41670" spans="20:21" ht="15" customHeight="1" x14ac:dyDescent="0.25">
      <c r="T41670" s="135"/>
      <c r="U41670" s="135"/>
    </row>
    <row r="41671" spans="20:21" ht="15" customHeight="1" x14ac:dyDescent="0.25">
      <c r="T41671" s="135"/>
      <c r="U41671" s="135"/>
    </row>
    <row r="41672" spans="20:21" ht="15" customHeight="1" x14ac:dyDescent="0.25">
      <c r="T41672" s="135"/>
      <c r="U41672" s="135"/>
    </row>
    <row r="41673" spans="20:21" ht="15" customHeight="1" x14ac:dyDescent="0.25">
      <c r="T41673" s="135"/>
      <c r="U41673" s="135"/>
    </row>
    <row r="41674" spans="20:21" ht="15" customHeight="1" x14ac:dyDescent="0.25">
      <c r="T41674" s="135"/>
      <c r="U41674" s="135"/>
    </row>
    <row r="41675" spans="20:21" ht="15" customHeight="1" x14ac:dyDescent="0.25">
      <c r="T41675" s="135"/>
      <c r="U41675" s="135"/>
    </row>
    <row r="41676" spans="20:21" ht="15" customHeight="1" x14ac:dyDescent="0.25">
      <c r="T41676" s="135"/>
      <c r="U41676" s="135"/>
    </row>
    <row r="41677" spans="20:21" ht="15" customHeight="1" x14ac:dyDescent="0.25">
      <c r="T41677" s="135"/>
      <c r="U41677" s="135"/>
    </row>
    <row r="41678" spans="20:21" ht="15" customHeight="1" x14ac:dyDescent="0.25">
      <c r="T41678" s="135"/>
      <c r="U41678" s="135"/>
    </row>
    <row r="41679" spans="20:21" ht="15" customHeight="1" x14ac:dyDescent="0.25">
      <c r="T41679" s="135"/>
      <c r="U41679" s="135"/>
    </row>
    <row r="41680" spans="20:21" ht="15" customHeight="1" x14ac:dyDescent="0.25">
      <c r="T41680" s="135"/>
      <c r="U41680" s="135"/>
    </row>
    <row r="41681" spans="20:21" ht="15" customHeight="1" x14ac:dyDescent="0.25">
      <c r="T41681" s="135"/>
      <c r="U41681" s="135"/>
    </row>
    <row r="41682" spans="20:21" ht="15" customHeight="1" x14ac:dyDescent="0.25">
      <c r="T41682" s="135"/>
      <c r="U41682" s="135"/>
    </row>
    <row r="41683" spans="20:21" ht="15" customHeight="1" x14ac:dyDescent="0.25">
      <c r="T41683" s="135"/>
      <c r="U41683" s="135"/>
    </row>
    <row r="41684" spans="20:21" ht="15" customHeight="1" x14ac:dyDescent="0.25">
      <c r="T41684" s="135"/>
      <c r="U41684" s="135"/>
    </row>
    <row r="41685" spans="20:21" ht="15" customHeight="1" x14ac:dyDescent="0.25">
      <c r="T41685" s="135"/>
      <c r="U41685" s="135"/>
    </row>
    <row r="41686" spans="20:21" ht="15" customHeight="1" x14ac:dyDescent="0.25">
      <c r="T41686" s="135"/>
      <c r="U41686" s="135"/>
    </row>
    <row r="41687" spans="20:21" ht="15" customHeight="1" x14ac:dyDescent="0.25">
      <c r="T41687" s="135"/>
      <c r="U41687" s="135"/>
    </row>
    <row r="41688" spans="20:21" ht="15" customHeight="1" x14ac:dyDescent="0.25">
      <c r="T41688" s="135"/>
      <c r="U41688" s="135"/>
    </row>
    <row r="41689" spans="20:21" ht="15" customHeight="1" x14ac:dyDescent="0.25">
      <c r="T41689" s="135"/>
      <c r="U41689" s="135"/>
    </row>
    <row r="41690" spans="20:21" ht="15" customHeight="1" x14ac:dyDescent="0.25">
      <c r="T41690" s="135"/>
      <c r="U41690" s="135"/>
    </row>
    <row r="41691" spans="20:21" ht="15" customHeight="1" x14ac:dyDescent="0.25">
      <c r="T41691" s="135"/>
      <c r="U41691" s="135"/>
    </row>
    <row r="41692" spans="20:21" ht="15" customHeight="1" x14ac:dyDescent="0.25">
      <c r="T41692" s="135"/>
      <c r="U41692" s="135"/>
    </row>
    <row r="41693" spans="20:21" ht="15" customHeight="1" x14ac:dyDescent="0.25">
      <c r="T41693" s="135"/>
      <c r="U41693" s="135"/>
    </row>
    <row r="41694" spans="20:21" ht="15" customHeight="1" x14ac:dyDescent="0.25">
      <c r="T41694" s="135"/>
      <c r="U41694" s="135"/>
    </row>
    <row r="41695" spans="20:21" ht="15" customHeight="1" x14ac:dyDescent="0.25">
      <c r="T41695" s="135"/>
      <c r="U41695" s="135"/>
    </row>
    <row r="41696" spans="20:21" ht="15" customHeight="1" x14ac:dyDescent="0.25">
      <c r="T41696" s="135"/>
      <c r="U41696" s="135"/>
    </row>
    <row r="41697" spans="20:21" ht="15" customHeight="1" x14ac:dyDescent="0.25">
      <c r="T41697" s="135"/>
      <c r="U41697" s="135"/>
    </row>
    <row r="41698" spans="20:21" ht="15" customHeight="1" x14ac:dyDescent="0.25">
      <c r="T41698" s="135"/>
      <c r="U41698" s="135"/>
    </row>
    <row r="41699" spans="20:21" ht="15" customHeight="1" x14ac:dyDescent="0.25">
      <c r="T41699" s="135"/>
      <c r="U41699" s="135"/>
    </row>
    <row r="41700" spans="20:21" ht="15" customHeight="1" x14ac:dyDescent="0.25">
      <c r="T41700" s="135"/>
      <c r="U41700" s="135"/>
    </row>
    <row r="41701" spans="20:21" ht="15" customHeight="1" x14ac:dyDescent="0.25">
      <c r="T41701" s="135"/>
      <c r="U41701" s="135"/>
    </row>
    <row r="41702" spans="20:21" ht="15" customHeight="1" x14ac:dyDescent="0.25">
      <c r="T41702" s="135"/>
      <c r="U41702" s="135"/>
    </row>
    <row r="41703" spans="20:21" ht="15" customHeight="1" x14ac:dyDescent="0.25">
      <c r="T41703" s="135"/>
      <c r="U41703" s="135"/>
    </row>
    <row r="41704" spans="20:21" ht="15" customHeight="1" x14ac:dyDescent="0.25">
      <c r="T41704" s="135"/>
      <c r="U41704" s="135"/>
    </row>
    <row r="41705" spans="20:21" ht="15" customHeight="1" x14ac:dyDescent="0.25">
      <c r="T41705" s="135"/>
      <c r="U41705" s="135"/>
    </row>
    <row r="41706" spans="20:21" ht="15" customHeight="1" x14ac:dyDescent="0.25">
      <c r="T41706" s="135"/>
      <c r="U41706" s="135"/>
    </row>
    <row r="41707" spans="20:21" ht="15" customHeight="1" x14ac:dyDescent="0.25">
      <c r="T41707" s="135"/>
      <c r="U41707" s="135"/>
    </row>
    <row r="41708" spans="20:21" ht="15" customHeight="1" x14ac:dyDescent="0.25">
      <c r="T41708" s="135"/>
      <c r="U41708" s="135"/>
    </row>
    <row r="41709" spans="20:21" ht="15" customHeight="1" x14ac:dyDescent="0.25">
      <c r="T41709" s="135"/>
      <c r="U41709" s="135"/>
    </row>
    <row r="41710" spans="20:21" ht="15" customHeight="1" x14ac:dyDescent="0.25">
      <c r="T41710" s="135"/>
      <c r="U41710" s="135"/>
    </row>
    <row r="41711" spans="20:21" ht="15" customHeight="1" x14ac:dyDescent="0.25">
      <c r="T41711" s="135"/>
      <c r="U41711" s="135"/>
    </row>
    <row r="41712" spans="20:21" ht="15" customHeight="1" x14ac:dyDescent="0.25">
      <c r="T41712" s="135"/>
      <c r="U41712" s="135"/>
    </row>
    <row r="41713" spans="20:21" ht="15" customHeight="1" x14ac:dyDescent="0.25">
      <c r="T41713" s="135"/>
      <c r="U41713" s="135"/>
    </row>
    <row r="41714" spans="20:21" ht="15" customHeight="1" x14ac:dyDescent="0.25">
      <c r="T41714" s="135"/>
      <c r="U41714" s="135"/>
    </row>
    <row r="41715" spans="20:21" ht="15" customHeight="1" x14ac:dyDescent="0.25">
      <c r="T41715" s="135"/>
      <c r="U41715" s="135"/>
    </row>
    <row r="41716" spans="20:21" ht="15" customHeight="1" x14ac:dyDescent="0.25">
      <c r="T41716" s="135"/>
      <c r="U41716" s="135"/>
    </row>
    <row r="41717" spans="20:21" ht="15" customHeight="1" x14ac:dyDescent="0.25">
      <c r="T41717" s="135"/>
      <c r="U41717" s="135"/>
    </row>
    <row r="41718" spans="20:21" ht="15" customHeight="1" x14ac:dyDescent="0.25">
      <c r="T41718" s="135"/>
      <c r="U41718" s="135"/>
    </row>
    <row r="41719" spans="20:21" ht="15" customHeight="1" x14ac:dyDescent="0.25">
      <c r="T41719" s="135"/>
      <c r="U41719" s="135"/>
    </row>
    <row r="41720" spans="20:21" ht="15" customHeight="1" x14ac:dyDescent="0.25">
      <c r="T41720" s="135"/>
      <c r="U41720" s="135"/>
    </row>
    <row r="41721" spans="20:21" ht="15" customHeight="1" x14ac:dyDescent="0.25">
      <c r="T41721" s="135"/>
      <c r="U41721" s="135"/>
    </row>
    <row r="41722" spans="20:21" ht="15" customHeight="1" x14ac:dyDescent="0.25">
      <c r="T41722" s="135"/>
      <c r="U41722" s="135"/>
    </row>
    <row r="41723" spans="20:21" ht="15" customHeight="1" x14ac:dyDescent="0.25">
      <c r="T41723" s="135"/>
      <c r="U41723" s="135"/>
    </row>
    <row r="41724" spans="20:21" ht="15" customHeight="1" x14ac:dyDescent="0.25">
      <c r="T41724" s="135"/>
      <c r="U41724" s="135"/>
    </row>
    <row r="41725" spans="20:21" ht="15" customHeight="1" x14ac:dyDescent="0.25">
      <c r="T41725" s="135"/>
      <c r="U41725" s="135"/>
    </row>
    <row r="41726" spans="20:21" ht="15" customHeight="1" x14ac:dyDescent="0.25">
      <c r="T41726" s="135"/>
      <c r="U41726" s="135"/>
    </row>
    <row r="41727" spans="20:21" ht="15" customHeight="1" x14ac:dyDescent="0.25">
      <c r="T41727" s="135"/>
      <c r="U41727" s="135"/>
    </row>
    <row r="41728" spans="20:21" ht="15" customHeight="1" x14ac:dyDescent="0.25">
      <c r="T41728" s="135"/>
      <c r="U41728" s="135"/>
    </row>
    <row r="41729" spans="20:21" ht="15" customHeight="1" x14ac:dyDescent="0.25">
      <c r="T41729" s="135"/>
      <c r="U41729" s="135"/>
    </row>
    <row r="41730" spans="20:21" ht="15" customHeight="1" x14ac:dyDescent="0.25">
      <c r="T41730" s="135"/>
      <c r="U41730" s="135"/>
    </row>
    <row r="41731" spans="20:21" ht="15" customHeight="1" x14ac:dyDescent="0.25">
      <c r="T41731" s="135"/>
      <c r="U41731" s="135"/>
    </row>
    <row r="41732" spans="20:21" ht="15" customHeight="1" x14ac:dyDescent="0.25">
      <c r="T41732" s="135"/>
      <c r="U41732" s="135"/>
    </row>
    <row r="41733" spans="20:21" ht="15" customHeight="1" x14ac:dyDescent="0.25">
      <c r="T41733" s="135"/>
      <c r="U41733" s="135"/>
    </row>
    <row r="41734" spans="20:21" ht="15" customHeight="1" x14ac:dyDescent="0.25">
      <c r="T41734" s="135"/>
      <c r="U41734" s="135"/>
    </row>
    <row r="41735" spans="20:21" ht="15" customHeight="1" x14ac:dyDescent="0.25">
      <c r="T41735" s="135"/>
      <c r="U41735" s="135"/>
    </row>
    <row r="41736" spans="20:21" ht="15" customHeight="1" x14ac:dyDescent="0.25">
      <c r="T41736" s="135"/>
      <c r="U41736" s="135"/>
    </row>
    <row r="41737" spans="20:21" ht="15" customHeight="1" x14ac:dyDescent="0.25">
      <c r="T41737" s="135"/>
      <c r="U41737" s="135"/>
    </row>
    <row r="41738" spans="20:21" ht="15" customHeight="1" x14ac:dyDescent="0.25">
      <c r="T41738" s="135"/>
      <c r="U41738" s="135"/>
    </row>
    <row r="41739" spans="20:21" ht="15" customHeight="1" x14ac:dyDescent="0.25">
      <c r="T41739" s="135"/>
      <c r="U41739" s="135"/>
    </row>
    <row r="41740" spans="20:21" ht="15" customHeight="1" x14ac:dyDescent="0.25">
      <c r="T41740" s="135"/>
      <c r="U41740" s="135"/>
    </row>
    <row r="41741" spans="20:21" ht="15" customHeight="1" x14ac:dyDescent="0.25">
      <c r="T41741" s="135"/>
      <c r="U41741" s="135"/>
    </row>
    <row r="41742" spans="20:21" ht="15" customHeight="1" x14ac:dyDescent="0.25">
      <c r="T41742" s="135"/>
      <c r="U41742" s="135"/>
    </row>
    <row r="41743" spans="20:21" ht="15" customHeight="1" x14ac:dyDescent="0.25">
      <c r="T41743" s="135"/>
      <c r="U41743" s="135"/>
    </row>
    <row r="41744" spans="20:21" ht="15" customHeight="1" x14ac:dyDescent="0.25">
      <c r="T41744" s="135"/>
      <c r="U41744" s="135"/>
    </row>
    <row r="41745" spans="20:21" ht="15" customHeight="1" x14ac:dyDescent="0.25">
      <c r="T41745" s="135"/>
      <c r="U41745" s="135"/>
    </row>
    <row r="41746" spans="20:21" ht="15" customHeight="1" x14ac:dyDescent="0.25">
      <c r="T41746" s="135"/>
      <c r="U41746" s="135"/>
    </row>
    <row r="41747" spans="20:21" ht="15" customHeight="1" x14ac:dyDescent="0.25">
      <c r="T41747" s="135"/>
      <c r="U41747" s="135"/>
    </row>
    <row r="41748" spans="20:21" ht="15" customHeight="1" x14ac:dyDescent="0.25">
      <c r="T41748" s="135"/>
      <c r="U41748" s="135"/>
    </row>
    <row r="41749" spans="20:21" ht="15" customHeight="1" x14ac:dyDescent="0.25">
      <c r="T41749" s="135"/>
      <c r="U41749" s="135"/>
    </row>
    <row r="41750" spans="20:21" ht="15" customHeight="1" x14ac:dyDescent="0.25">
      <c r="T41750" s="135"/>
      <c r="U41750" s="135"/>
    </row>
    <row r="41751" spans="20:21" ht="15" customHeight="1" x14ac:dyDescent="0.25">
      <c r="T41751" s="135"/>
      <c r="U41751" s="135"/>
    </row>
    <row r="41752" spans="20:21" ht="15" customHeight="1" x14ac:dyDescent="0.25">
      <c r="T41752" s="135"/>
      <c r="U41752" s="135"/>
    </row>
    <row r="41753" spans="20:21" ht="15" customHeight="1" x14ac:dyDescent="0.25">
      <c r="T41753" s="135"/>
      <c r="U41753" s="135"/>
    </row>
    <row r="41754" spans="20:21" ht="15" customHeight="1" x14ac:dyDescent="0.25">
      <c r="T41754" s="135"/>
      <c r="U41754" s="135"/>
    </row>
    <row r="41755" spans="20:21" ht="15" customHeight="1" x14ac:dyDescent="0.25">
      <c r="T41755" s="135"/>
      <c r="U41755" s="135"/>
    </row>
    <row r="41756" spans="20:21" ht="15" customHeight="1" x14ac:dyDescent="0.25">
      <c r="T41756" s="135"/>
      <c r="U41756" s="135"/>
    </row>
    <row r="41757" spans="20:21" ht="15" customHeight="1" x14ac:dyDescent="0.25">
      <c r="T41757" s="135"/>
      <c r="U41757" s="135"/>
    </row>
    <row r="41758" spans="20:21" ht="15" customHeight="1" x14ac:dyDescent="0.25">
      <c r="T41758" s="135"/>
      <c r="U41758" s="135"/>
    </row>
    <row r="41759" spans="20:21" ht="15" customHeight="1" x14ac:dyDescent="0.25">
      <c r="T41759" s="135"/>
      <c r="U41759" s="135"/>
    </row>
    <row r="41760" spans="20:21" ht="15" customHeight="1" x14ac:dyDescent="0.25">
      <c r="T41760" s="135"/>
      <c r="U41760" s="135"/>
    </row>
    <row r="41761" spans="20:21" ht="15" customHeight="1" x14ac:dyDescent="0.25">
      <c r="T41761" s="135"/>
      <c r="U41761" s="135"/>
    </row>
    <row r="41762" spans="20:21" ht="15" customHeight="1" x14ac:dyDescent="0.25">
      <c r="T41762" s="135"/>
      <c r="U41762" s="135"/>
    </row>
    <row r="41763" spans="20:21" ht="15" customHeight="1" x14ac:dyDescent="0.25">
      <c r="T41763" s="135"/>
      <c r="U41763" s="135"/>
    </row>
    <row r="41764" spans="20:21" ht="15" customHeight="1" x14ac:dyDescent="0.25">
      <c r="T41764" s="135"/>
      <c r="U41764" s="135"/>
    </row>
    <row r="41765" spans="20:21" ht="15" customHeight="1" x14ac:dyDescent="0.25">
      <c r="T41765" s="135"/>
      <c r="U41765" s="135"/>
    </row>
    <row r="41766" spans="20:21" ht="15" customHeight="1" x14ac:dyDescent="0.25">
      <c r="T41766" s="135"/>
      <c r="U41766" s="135"/>
    </row>
    <row r="41767" spans="20:21" ht="15" customHeight="1" x14ac:dyDescent="0.25">
      <c r="T41767" s="135"/>
      <c r="U41767" s="135"/>
    </row>
    <row r="41768" spans="20:21" ht="15" customHeight="1" x14ac:dyDescent="0.25">
      <c r="T41768" s="135"/>
      <c r="U41768" s="135"/>
    </row>
    <row r="41769" spans="20:21" ht="15" customHeight="1" x14ac:dyDescent="0.25">
      <c r="T41769" s="135"/>
      <c r="U41769" s="135"/>
    </row>
    <row r="41770" spans="20:21" ht="15" customHeight="1" x14ac:dyDescent="0.25">
      <c r="T41770" s="135"/>
      <c r="U41770" s="135"/>
    </row>
    <row r="41771" spans="20:21" ht="15" customHeight="1" x14ac:dyDescent="0.25">
      <c r="T41771" s="135"/>
      <c r="U41771" s="135"/>
    </row>
    <row r="41772" spans="20:21" ht="15" customHeight="1" x14ac:dyDescent="0.25">
      <c r="T41772" s="135"/>
      <c r="U41772" s="135"/>
    </row>
    <row r="41773" spans="20:21" ht="15" customHeight="1" x14ac:dyDescent="0.25">
      <c r="T41773" s="135"/>
      <c r="U41773" s="135"/>
    </row>
    <row r="41774" spans="20:21" ht="15" customHeight="1" x14ac:dyDescent="0.25">
      <c r="T41774" s="135"/>
      <c r="U41774" s="135"/>
    </row>
    <row r="41775" spans="20:21" ht="15" customHeight="1" x14ac:dyDescent="0.25">
      <c r="T41775" s="135"/>
      <c r="U41775" s="135"/>
    </row>
    <row r="41776" spans="20:21" ht="15" customHeight="1" x14ac:dyDescent="0.25">
      <c r="T41776" s="135"/>
      <c r="U41776" s="135"/>
    </row>
    <row r="41777" spans="20:21" ht="15" customHeight="1" x14ac:dyDescent="0.25">
      <c r="T41777" s="135"/>
      <c r="U41777" s="135"/>
    </row>
    <row r="41778" spans="20:21" ht="15" customHeight="1" x14ac:dyDescent="0.25">
      <c r="T41778" s="135"/>
      <c r="U41778" s="135"/>
    </row>
    <row r="41779" spans="20:21" ht="15" customHeight="1" x14ac:dyDescent="0.25">
      <c r="T41779" s="135"/>
      <c r="U41779" s="135"/>
    </row>
    <row r="41780" spans="20:21" ht="15" customHeight="1" x14ac:dyDescent="0.25">
      <c r="T41780" s="135"/>
      <c r="U41780" s="135"/>
    </row>
    <row r="41781" spans="20:21" ht="15" customHeight="1" x14ac:dyDescent="0.25">
      <c r="T41781" s="135"/>
      <c r="U41781" s="135"/>
    </row>
    <row r="41782" spans="20:21" ht="15" customHeight="1" x14ac:dyDescent="0.25">
      <c r="T41782" s="135"/>
      <c r="U41782" s="135"/>
    </row>
    <row r="41783" spans="20:21" ht="15" customHeight="1" x14ac:dyDescent="0.25">
      <c r="T41783" s="135"/>
      <c r="U41783" s="135"/>
    </row>
    <row r="41784" spans="20:21" ht="15" customHeight="1" x14ac:dyDescent="0.25">
      <c r="T41784" s="135"/>
      <c r="U41784" s="135"/>
    </row>
    <row r="41785" spans="20:21" ht="15" customHeight="1" x14ac:dyDescent="0.25">
      <c r="T41785" s="135"/>
      <c r="U41785" s="135"/>
    </row>
    <row r="41786" spans="20:21" ht="15" customHeight="1" x14ac:dyDescent="0.25">
      <c r="T41786" s="135"/>
      <c r="U41786" s="135"/>
    </row>
    <row r="41787" spans="20:21" ht="15" customHeight="1" x14ac:dyDescent="0.25">
      <c r="T41787" s="135"/>
      <c r="U41787" s="135"/>
    </row>
    <row r="41788" spans="20:21" ht="15" customHeight="1" x14ac:dyDescent="0.25">
      <c r="T41788" s="135"/>
      <c r="U41788" s="135"/>
    </row>
    <row r="41789" spans="20:21" ht="15" customHeight="1" x14ac:dyDescent="0.25">
      <c r="T41789" s="135"/>
      <c r="U41789" s="135"/>
    </row>
    <row r="41790" spans="20:21" ht="15" customHeight="1" x14ac:dyDescent="0.25">
      <c r="T41790" s="135"/>
      <c r="U41790" s="135"/>
    </row>
    <row r="41791" spans="20:21" ht="15" customHeight="1" x14ac:dyDescent="0.25">
      <c r="T41791" s="135"/>
      <c r="U41791" s="135"/>
    </row>
    <row r="41792" spans="20:21" ht="15" customHeight="1" x14ac:dyDescent="0.25">
      <c r="T41792" s="135"/>
      <c r="U41792" s="135"/>
    </row>
    <row r="41793" spans="20:21" ht="15" customHeight="1" x14ac:dyDescent="0.25">
      <c r="T41793" s="135"/>
      <c r="U41793" s="135"/>
    </row>
    <row r="41794" spans="20:21" ht="15" customHeight="1" x14ac:dyDescent="0.25">
      <c r="T41794" s="135"/>
      <c r="U41794" s="135"/>
    </row>
    <row r="41795" spans="20:21" ht="15" customHeight="1" x14ac:dyDescent="0.25">
      <c r="T41795" s="135"/>
      <c r="U41795" s="135"/>
    </row>
    <row r="41796" spans="20:21" ht="15" customHeight="1" x14ac:dyDescent="0.25">
      <c r="T41796" s="135"/>
      <c r="U41796" s="135"/>
    </row>
    <row r="41797" spans="20:21" ht="15" customHeight="1" x14ac:dyDescent="0.25">
      <c r="T41797" s="135"/>
      <c r="U41797" s="135"/>
    </row>
    <row r="41798" spans="20:21" ht="15" customHeight="1" x14ac:dyDescent="0.25">
      <c r="T41798" s="135"/>
      <c r="U41798" s="135"/>
    </row>
    <row r="41799" spans="20:21" ht="15" customHeight="1" x14ac:dyDescent="0.25">
      <c r="T41799" s="135"/>
      <c r="U41799" s="135"/>
    </row>
    <row r="41800" spans="20:21" ht="15" customHeight="1" x14ac:dyDescent="0.25">
      <c r="T41800" s="135"/>
      <c r="U41800" s="135"/>
    </row>
    <row r="41801" spans="20:21" ht="15" customHeight="1" x14ac:dyDescent="0.25">
      <c r="T41801" s="135"/>
      <c r="U41801" s="135"/>
    </row>
    <row r="41802" spans="20:21" ht="15" customHeight="1" x14ac:dyDescent="0.25">
      <c r="T41802" s="135"/>
      <c r="U41802" s="135"/>
    </row>
    <row r="41803" spans="20:21" ht="15" customHeight="1" x14ac:dyDescent="0.25">
      <c r="T41803" s="135"/>
      <c r="U41803" s="135"/>
    </row>
    <row r="41804" spans="20:21" ht="15" customHeight="1" x14ac:dyDescent="0.25">
      <c r="T41804" s="135"/>
      <c r="U41804" s="135"/>
    </row>
    <row r="41805" spans="20:21" ht="15" customHeight="1" x14ac:dyDescent="0.25">
      <c r="T41805" s="135"/>
      <c r="U41805" s="135"/>
    </row>
    <row r="41806" spans="20:21" ht="15" customHeight="1" x14ac:dyDescent="0.25">
      <c r="T41806" s="135"/>
      <c r="U41806" s="135"/>
    </row>
    <row r="41807" spans="20:21" ht="15" customHeight="1" x14ac:dyDescent="0.25">
      <c r="T41807" s="135"/>
      <c r="U41807" s="135"/>
    </row>
    <row r="41808" spans="20:21" ht="15" customHeight="1" x14ac:dyDescent="0.25">
      <c r="T41808" s="135"/>
      <c r="U41808" s="135"/>
    </row>
    <row r="41809" spans="20:21" ht="15" customHeight="1" x14ac:dyDescent="0.25">
      <c r="T41809" s="135"/>
      <c r="U41809" s="135"/>
    </row>
    <row r="41810" spans="20:21" ht="15" customHeight="1" x14ac:dyDescent="0.25">
      <c r="T41810" s="135"/>
      <c r="U41810" s="135"/>
    </row>
    <row r="41811" spans="20:21" ht="15" customHeight="1" x14ac:dyDescent="0.25">
      <c r="T41811" s="135"/>
      <c r="U41811" s="135"/>
    </row>
    <row r="41812" spans="20:21" ht="15" customHeight="1" x14ac:dyDescent="0.25">
      <c r="T41812" s="135"/>
      <c r="U41812" s="135"/>
    </row>
    <row r="41813" spans="20:21" ht="15" customHeight="1" x14ac:dyDescent="0.25">
      <c r="T41813" s="135"/>
      <c r="U41813" s="135"/>
    </row>
    <row r="41814" spans="20:21" ht="15" customHeight="1" x14ac:dyDescent="0.25">
      <c r="T41814" s="135"/>
      <c r="U41814" s="135"/>
    </row>
    <row r="41815" spans="20:21" ht="15" customHeight="1" x14ac:dyDescent="0.25">
      <c r="T41815" s="135"/>
      <c r="U41815" s="135"/>
    </row>
    <row r="41816" spans="20:21" ht="15" customHeight="1" x14ac:dyDescent="0.25">
      <c r="T41816" s="135"/>
      <c r="U41816" s="135"/>
    </row>
    <row r="41817" spans="20:21" ht="15" customHeight="1" x14ac:dyDescent="0.25">
      <c r="T41817" s="135"/>
      <c r="U41817" s="135"/>
    </row>
    <row r="41818" spans="20:21" ht="15" customHeight="1" x14ac:dyDescent="0.25">
      <c r="T41818" s="135"/>
      <c r="U41818" s="135"/>
    </row>
    <row r="41819" spans="20:21" ht="15" customHeight="1" x14ac:dyDescent="0.25">
      <c r="T41819" s="135"/>
      <c r="U41819" s="135"/>
    </row>
    <row r="41820" spans="20:21" ht="15" customHeight="1" x14ac:dyDescent="0.25">
      <c r="T41820" s="135"/>
      <c r="U41820" s="135"/>
    </row>
    <row r="41821" spans="20:21" ht="15" customHeight="1" x14ac:dyDescent="0.25">
      <c r="T41821" s="135"/>
      <c r="U41821" s="135"/>
    </row>
    <row r="41822" spans="20:21" ht="15" customHeight="1" x14ac:dyDescent="0.25">
      <c r="T41822" s="135"/>
      <c r="U41822" s="135"/>
    </row>
    <row r="41823" spans="20:21" ht="15" customHeight="1" x14ac:dyDescent="0.25">
      <c r="T41823" s="135"/>
      <c r="U41823" s="135"/>
    </row>
    <row r="41824" spans="20:21" ht="15" customHeight="1" x14ac:dyDescent="0.25">
      <c r="T41824" s="135"/>
      <c r="U41824" s="135"/>
    </row>
    <row r="41825" spans="20:21" ht="15" customHeight="1" x14ac:dyDescent="0.25">
      <c r="T41825" s="135"/>
      <c r="U41825" s="135"/>
    </row>
    <row r="41826" spans="20:21" ht="15" customHeight="1" x14ac:dyDescent="0.25">
      <c r="T41826" s="135"/>
      <c r="U41826" s="135"/>
    </row>
    <row r="41827" spans="20:21" ht="15" customHeight="1" x14ac:dyDescent="0.25">
      <c r="T41827" s="135"/>
      <c r="U41827" s="135"/>
    </row>
    <row r="41828" spans="20:21" ht="15" customHeight="1" x14ac:dyDescent="0.25">
      <c r="T41828" s="135"/>
      <c r="U41828" s="135"/>
    </row>
    <row r="41829" spans="20:21" ht="15" customHeight="1" x14ac:dyDescent="0.25">
      <c r="T41829" s="135"/>
      <c r="U41829" s="135"/>
    </row>
    <row r="41830" spans="20:21" ht="15" customHeight="1" x14ac:dyDescent="0.25">
      <c r="T41830" s="135"/>
      <c r="U41830" s="135"/>
    </row>
    <row r="41831" spans="20:21" ht="15" customHeight="1" x14ac:dyDescent="0.25">
      <c r="T41831" s="135"/>
      <c r="U41831" s="135"/>
    </row>
    <row r="41832" spans="20:21" ht="15" customHeight="1" x14ac:dyDescent="0.25">
      <c r="T41832" s="135"/>
      <c r="U41832" s="135"/>
    </row>
    <row r="41833" spans="20:21" ht="15" customHeight="1" x14ac:dyDescent="0.25">
      <c r="T41833" s="135"/>
      <c r="U41833" s="135"/>
    </row>
    <row r="41834" spans="20:21" ht="15" customHeight="1" x14ac:dyDescent="0.25">
      <c r="T41834" s="135"/>
      <c r="U41834" s="135"/>
    </row>
    <row r="41835" spans="20:21" ht="15" customHeight="1" x14ac:dyDescent="0.25">
      <c r="T41835" s="135"/>
      <c r="U41835" s="135"/>
    </row>
    <row r="41836" spans="20:21" ht="15" customHeight="1" x14ac:dyDescent="0.25">
      <c r="T41836" s="135"/>
      <c r="U41836" s="135"/>
    </row>
    <row r="41837" spans="20:21" ht="15" customHeight="1" x14ac:dyDescent="0.25">
      <c r="T41837" s="135"/>
      <c r="U41837" s="135"/>
    </row>
    <row r="41838" spans="20:21" ht="15" customHeight="1" x14ac:dyDescent="0.25">
      <c r="T41838" s="135"/>
      <c r="U41838" s="135"/>
    </row>
    <row r="41839" spans="20:21" ht="15" customHeight="1" x14ac:dyDescent="0.25">
      <c r="T41839" s="135"/>
      <c r="U41839" s="135"/>
    </row>
    <row r="41840" spans="20:21" ht="15" customHeight="1" x14ac:dyDescent="0.25">
      <c r="T41840" s="135"/>
      <c r="U41840" s="135"/>
    </row>
    <row r="41841" spans="20:21" ht="15" customHeight="1" x14ac:dyDescent="0.25">
      <c r="T41841" s="135"/>
      <c r="U41841" s="135"/>
    </row>
    <row r="41842" spans="20:21" ht="15" customHeight="1" x14ac:dyDescent="0.25">
      <c r="T41842" s="135"/>
      <c r="U41842" s="135"/>
    </row>
    <row r="41843" spans="20:21" ht="15" customHeight="1" x14ac:dyDescent="0.25">
      <c r="T41843" s="135"/>
      <c r="U41843" s="135"/>
    </row>
    <row r="41844" spans="20:21" ht="15" customHeight="1" x14ac:dyDescent="0.25">
      <c r="T41844" s="135"/>
      <c r="U41844" s="135"/>
    </row>
    <row r="41845" spans="20:21" ht="15" customHeight="1" x14ac:dyDescent="0.25">
      <c r="T41845" s="135"/>
      <c r="U41845" s="135"/>
    </row>
    <row r="41846" spans="20:21" ht="15" customHeight="1" x14ac:dyDescent="0.25">
      <c r="T41846" s="135"/>
      <c r="U41846" s="135"/>
    </row>
    <row r="41847" spans="20:21" ht="15" customHeight="1" x14ac:dyDescent="0.25">
      <c r="T41847" s="135"/>
      <c r="U41847" s="135"/>
    </row>
    <row r="41848" spans="20:21" ht="15" customHeight="1" x14ac:dyDescent="0.25">
      <c r="T41848" s="135"/>
      <c r="U41848" s="135"/>
    </row>
    <row r="41849" spans="20:21" ht="15" customHeight="1" x14ac:dyDescent="0.25">
      <c r="T41849" s="135"/>
      <c r="U41849" s="135"/>
    </row>
    <row r="41850" spans="20:21" ht="15" customHeight="1" x14ac:dyDescent="0.25">
      <c r="T41850" s="135"/>
      <c r="U41850" s="135"/>
    </row>
    <row r="41851" spans="20:21" ht="15" customHeight="1" x14ac:dyDescent="0.25">
      <c r="T41851" s="135"/>
      <c r="U41851" s="135"/>
    </row>
    <row r="41852" spans="20:21" ht="15" customHeight="1" x14ac:dyDescent="0.25">
      <c r="T41852" s="135"/>
      <c r="U41852" s="135"/>
    </row>
    <row r="41853" spans="20:21" ht="15" customHeight="1" x14ac:dyDescent="0.25">
      <c r="T41853" s="135"/>
      <c r="U41853" s="135"/>
    </row>
    <row r="41854" spans="20:21" ht="15" customHeight="1" x14ac:dyDescent="0.25">
      <c r="T41854" s="135"/>
      <c r="U41854" s="135"/>
    </row>
    <row r="41855" spans="20:21" ht="15" customHeight="1" x14ac:dyDescent="0.25">
      <c r="T41855" s="135"/>
      <c r="U41855" s="135"/>
    </row>
    <row r="41856" spans="20:21" ht="15" customHeight="1" x14ac:dyDescent="0.25">
      <c r="T41856" s="135"/>
      <c r="U41856" s="135"/>
    </row>
    <row r="41857" spans="20:21" ht="15" customHeight="1" x14ac:dyDescent="0.25">
      <c r="T41857" s="135"/>
      <c r="U41857" s="135"/>
    </row>
    <row r="41858" spans="20:21" ht="15" customHeight="1" x14ac:dyDescent="0.25">
      <c r="T41858" s="135"/>
      <c r="U41858" s="135"/>
    </row>
    <row r="41859" spans="20:21" ht="15" customHeight="1" x14ac:dyDescent="0.25">
      <c r="T41859" s="135"/>
      <c r="U41859" s="135"/>
    </row>
    <row r="41860" spans="20:21" ht="15" customHeight="1" x14ac:dyDescent="0.25">
      <c r="T41860" s="135"/>
      <c r="U41860" s="135"/>
    </row>
    <row r="41861" spans="20:21" ht="15" customHeight="1" x14ac:dyDescent="0.25">
      <c r="T41861" s="135"/>
      <c r="U41861" s="135"/>
    </row>
    <row r="41862" spans="20:21" ht="15" customHeight="1" x14ac:dyDescent="0.25">
      <c r="T41862" s="135"/>
      <c r="U41862" s="135"/>
    </row>
    <row r="41863" spans="20:21" ht="15" customHeight="1" x14ac:dyDescent="0.25">
      <c r="T41863" s="135"/>
      <c r="U41863" s="135"/>
    </row>
    <row r="41864" spans="20:21" ht="15" customHeight="1" x14ac:dyDescent="0.25">
      <c r="T41864" s="135"/>
      <c r="U41864" s="135"/>
    </row>
    <row r="41865" spans="20:21" ht="15" customHeight="1" x14ac:dyDescent="0.25">
      <c r="T41865" s="135"/>
      <c r="U41865" s="135"/>
    </row>
    <row r="41866" spans="20:21" ht="15" customHeight="1" x14ac:dyDescent="0.25">
      <c r="T41866" s="135"/>
      <c r="U41866" s="135"/>
    </row>
    <row r="41867" spans="20:21" ht="15" customHeight="1" x14ac:dyDescent="0.25">
      <c r="T41867" s="135"/>
      <c r="U41867" s="135"/>
    </row>
    <row r="41868" spans="20:21" ht="15" customHeight="1" x14ac:dyDescent="0.25">
      <c r="T41868" s="135"/>
      <c r="U41868" s="135"/>
    </row>
    <row r="41869" spans="20:21" ht="15" customHeight="1" x14ac:dyDescent="0.25">
      <c r="T41869" s="135"/>
      <c r="U41869" s="135"/>
    </row>
    <row r="41870" spans="20:21" ht="15" customHeight="1" x14ac:dyDescent="0.25">
      <c r="T41870" s="135"/>
      <c r="U41870" s="135"/>
    </row>
    <row r="41871" spans="20:21" ht="15" customHeight="1" x14ac:dyDescent="0.25">
      <c r="T41871" s="135"/>
      <c r="U41871" s="135"/>
    </row>
    <row r="41872" spans="20:21" ht="15" customHeight="1" x14ac:dyDescent="0.25">
      <c r="T41872" s="135"/>
      <c r="U41872" s="135"/>
    </row>
    <row r="41873" spans="20:21" ht="15" customHeight="1" x14ac:dyDescent="0.25">
      <c r="T41873" s="135"/>
      <c r="U41873" s="135"/>
    </row>
    <row r="41874" spans="20:21" ht="15" customHeight="1" x14ac:dyDescent="0.25">
      <c r="T41874" s="135"/>
      <c r="U41874" s="135"/>
    </row>
    <row r="41875" spans="20:21" ht="15" customHeight="1" x14ac:dyDescent="0.25">
      <c r="T41875" s="135"/>
      <c r="U41875" s="135"/>
    </row>
    <row r="41876" spans="20:21" ht="15" customHeight="1" x14ac:dyDescent="0.25">
      <c r="T41876" s="135"/>
      <c r="U41876" s="135"/>
    </row>
    <row r="41877" spans="20:21" ht="15" customHeight="1" x14ac:dyDescent="0.25">
      <c r="T41877" s="135"/>
      <c r="U41877" s="135"/>
    </row>
    <row r="41878" spans="20:21" ht="15" customHeight="1" x14ac:dyDescent="0.25">
      <c r="T41878" s="135"/>
      <c r="U41878" s="135"/>
    </row>
    <row r="41879" spans="20:21" ht="15" customHeight="1" x14ac:dyDescent="0.25">
      <c r="T41879" s="135"/>
      <c r="U41879" s="135"/>
    </row>
    <row r="41880" spans="20:21" ht="15" customHeight="1" x14ac:dyDescent="0.25">
      <c r="T41880" s="135"/>
      <c r="U41880" s="135"/>
    </row>
    <row r="41881" spans="20:21" ht="15" customHeight="1" x14ac:dyDescent="0.25">
      <c r="T41881" s="135"/>
      <c r="U41881" s="135"/>
    </row>
    <row r="41882" spans="20:21" ht="15" customHeight="1" x14ac:dyDescent="0.25">
      <c r="T41882" s="135"/>
      <c r="U41882" s="135"/>
    </row>
    <row r="41883" spans="20:21" ht="15" customHeight="1" x14ac:dyDescent="0.25">
      <c r="T41883" s="135"/>
      <c r="U41883" s="135"/>
    </row>
    <row r="41884" spans="20:21" ht="15" customHeight="1" x14ac:dyDescent="0.25">
      <c r="T41884" s="135"/>
      <c r="U41884" s="135"/>
    </row>
    <row r="41885" spans="20:21" ht="15" customHeight="1" x14ac:dyDescent="0.25">
      <c r="T41885" s="135"/>
      <c r="U41885" s="135"/>
    </row>
    <row r="41886" spans="20:21" ht="15" customHeight="1" x14ac:dyDescent="0.25">
      <c r="T41886" s="135"/>
      <c r="U41886" s="135"/>
    </row>
    <row r="41887" spans="20:21" ht="15" customHeight="1" x14ac:dyDescent="0.25">
      <c r="T41887" s="135"/>
      <c r="U41887" s="135"/>
    </row>
    <row r="41888" spans="20:21" ht="15" customHeight="1" x14ac:dyDescent="0.25">
      <c r="T41888" s="135"/>
      <c r="U41888" s="135"/>
    </row>
    <row r="41889" spans="20:21" ht="15" customHeight="1" x14ac:dyDescent="0.25">
      <c r="T41889" s="135"/>
      <c r="U41889" s="135"/>
    </row>
    <row r="41890" spans="20:21" ht="15" customHeight="1" x14ac:dyDescent="0.25">
      <c r="T41890" s="135"/>
      <c r="U41890" s="135"/>
    </row>
    <row r="41891" spans="20:21" ht="15" customHeight="1" x14ac:dyDescent="0.25">
      <c r="T41891" s="135"/>
      <c r="U41891" s="135"/>
    </row>
    <row r="41892" spans="20:21" ht="15" customHeight="1" x14ac:dyDescent="0.25">
      <c r="T41892" s="135"/>
      <c r="U41892" s="135"/>
    </row>
    <row r="41893" spans="20:21" ht="15" customHeight="1" x14ac:dyDescent="0.25">
      <c r="T41893" s="135"/>
      <c r="U41893" s="135"/>
    </row>
    <row r="41894" spans="20:21" ht="15" customHeight="1" x14ac:dyDescent="0.25">
      <c r="T41894" s="135"/>
      <c r="U41894" s="135"/>
    </row>
    <row r="41895" spans="20:21" ht="15" customHeight="1" x14ac:dyDescent="0.25">
      <c r="T41895" s="135"/>
      <c r="U41895" s="135"/>
    </row>
    <row r="41896" spans="20:21" ht="15" customHeight="1" x14ac:dyDescent="0.25">
      <c r="T41896" s="135"/>
      <c r="U41896" s="135"/>
    </row>
    <row r="41897" spans="20:21" ht="15" customHeight="1" x14ac:dyDescent="0.25">
      <c r="T41897" s="135"/>
      <c r="U41897" s="135"/>
    </row>
    <row r="41898" spans="20:21" ht="15" customHeight="1" x14ac:dyDescent="0.25">
      <c r="T41898" s="135"/>
      <c r="U41898" s="135"/>
    </row>
    <row r="41899" spans="20:21" ht="15" customHeight="1" x14ac:dyDescent="0.25">
      <c r="T41899" s="135"/>
      <c r="U41899" s="135"/>
    </row>
    <row r="41900" spans="20:21" ht="15" customHeight="1" x14ac:dyDescent="0.25">
      <c r="T41900" s="135"/>
      <c r="U41900" s="135"/>
    </row>
    <row r="41901" spans="20:21" ht="15" customHeight="1" x14ac:dyDescent="0.25">
      <c r="T41901" s="135"/>
      <c r="U41901" s="135"/>
    </row>
    <row r="41902" spans="20:21" ht="15" customHeight="1" x14ac:dyDescent="0.25">
      <c r="T41902" s="135"/>
      <c r="U41902" s="135"/>
    </row>
    <row r="41903" spans="20:21" ht="15" customHeight="1" x14ac:dyDescent="0.25">
      <c r="T41903" s="135"/>
      <c r="U41903" s="135"/>
    </row>
    <row r="41904" spans="20:21" ht="15" customHeight="1" x14ac:dyDescent="0.25">
      <c r="T41904" s="135"/>
      <c r="U41904" s="135"/>
    </row>
    <row r="41905" spans="20:21" ht="15" customHeight="1" x14ac:dyDescent="0.25">
      <c r="T41905" s="135"/>
      <c r="U41905" s="135"/>
    </row>
    <row r="41906" spans="20:21" ht="15" customHeight="1" x14ac:dyDescent="0.25">
      <c r="T41906" s="135"/>
      <c r="U41906" s="135"/>
    </row>
    <row r="41907" spans="20:21" ht="15" customHeight="1" x14ac:dyDescent="0.25">
      <c r="T41907" s="135"/>
      <c r="U41907" s="135"/>
    </row>
    <row r="41908" spans="20:21" ht="15" customHeight="1" x14ac:dyDescent="0.25">
      <c r="T41908" s="135"/>
      <c r="U41908" s="135"/>
    </row>
    <row r="41909" spans="20:21" ht="15" customHeight="1" x14ac:dyDescent="0.25">
      <c r="T41909" s="135"/>
      <c r="U41909" s="135"/>
    </row>
    <row r="41910" spans="20:21" ht="15" customHeight="1" x14ac:dyDescent="0.25">
      <c r="T41910" s="135"/>
      <c r="U41910" s="135"/>
    </row>
    <row r="41911" spans="20:21" ht="15" customHeight="1" x14ac:dyDescent="0.25">
      <c r="T41911" s="135"/>
      <c r="U41911" s="135"/>
    </row>
    <row r="41912" spans="20:21" ht="15" customHeight="1" x14ac:dyDescent="0.25">
      <c r="T41912" s="135"/>
      <c r="U41912" s="135"/>
    </row>
    <row r="41913" spans="20:21" ht="15" customHeight="1" x14ac:dyDescent="0.25">
      <c r="T41913" s="135"/>
      <c r="U41913" s="135"/>
    </row>
    <row r="41914" spans="20:21" ht="15" customHeight="1" x14ac:dyDescent="0.25">
      <c r="T41914" s="135"/>
      <c r="U41914" s="135"/>
    </row>
    <row r="41915" spans="20:21" ht="15" customHeight="1" x14ac:dyDescent="0.25">
      <c r="T41915" s="135"/>
      <c r="U41915" s="135"/>
    </row>
    <row r="41916" spans="20:21" ht="15" customHeight="1" x14ac:dyDescent="0.25">
      <c r="T41916" s="135"/>
      <c r="U41916" s="135"/>
    </row>
    <row r="41917" spans="20:21" ht="15" customHeight="1" x14ac:dyDescent="0.25">
      <c r="T41917" s="135"/>
      <c r="U41917" s="135"/>
    </row>
    <row r="41918" spans="20:21" ht="15" customHeight="1" x14ac:dyDescent="0.25">
      <c r="T41918" s="135"/>
      <c r="U41918" s="135"/>
    </row>
    <row r="41919" spans="20:21" ht="15" customHeight="1" x14ac:dyDescent="0.25">
      <c r="T41919" s="135"/>
      <c r="U41919" s="135"/>
    </row>
    <row r="41920" spans="20:21" ht="15" customHeight="1" x14ac:dyDescent="0.25">
      <c r="T41920" s="135"/>
      <c r="U41920" s="135"/>
    </row>
    <row r="41921" spans="20:21" ht="15" customHeight="1" x14ac:dyDescent="0.25">
      <c r="T41921" s="135"/>
      <c r="U41921" s="135"/>
    </row>
    <row r="41922" spans="20:21" ht="15" customHeight="1" x14ac:dyDescent="0.25">
      <c r="T41922" s="135"/>
      <c r="U41922" s="135"/>
    </row>
    <row r="41923" spans="20:21" ht="15" customHeight="1" x14ac:dyDescent="0.25">
      <c r="T41923" s="135"/>
      <c r="U41923" s="135"/>
    </row>
    <row r="41924" spans="20:21" ht="15" customHeight="1" x14ac:dyDescent="0.25">
      <c r="T41924" s="135"/>
      <c r="U41924" s="135"/>
    </row>
    <row r="41925" spans="20:21" ht="15" customHeight="1" x14ac:dyDescent="0.25">
      <c r="T41925" s="135"/>
      <c r="U41925" s="135"/>
    </row>
    <row r="41926" spans="20:21" ht="15" customHeight="1" x14ac:dyDescent="0.25">
      <c r="T41926" s="135"/>
      <c r="U41926" s="135"/>
    </row>
    <row r="41927" spans="20:21" ht="15" customHeight="1" x14ac:dyDescent="0.25">
      <c r="T41927" s="135"/>
      <c r="U41927" s="135"/>
    </row>
    <row r="41928" spans="20:21" ht="15" customHeight="1" x14ac:dyDescent="0.25">
      <c r="T41928" s="135"/>
      <c r="U41928" s="135"/>
    </row>
    <row r="41929" spans="20:21" ht="15" customHeight="1" x14ac:dyDescent="0.25">
      <c r="T41929" s="135"/>
      <c r="U41929" s="135"/>
    </row>
    <row r="41930" spans="20:21" ht="15" customHeight="1" x14ac:dyDescent="0.25">
      <c r="T41930" s="135"/>
      <c r="U41930" s="135"/>
    </row>
    <row r="41931" spans="20:21" ht="15" customHeight="1" x14ac:dyDescent="0.25">
      <c r="T41931" s="135"/>
      <c r="U41931" s="135"/>
    </row>
    <row r="41932" spans="20:21" ht="15" customHeight="1" x14ac:dyDescent="0.25">
      <c r="T41932" s="135"/>
      <c r="U41932" s="135"/>
    </row>
    <row r="41933" spans="20:21" ht="15" customHeight="1" x14ac:dyDescent="0.25">
      <c r="T41933" s="135"/>
      <c r="U41933" s="135"/>
    </row>
    <row r="41934" spans="20:21" ht="15" customHeight="1" x14ac:dyDescent="0.25">
      <c r="T41934" s="135"/>
      <c r="U41934" s="135"/>
    </row>
    <row r="41935" spans="20:21" ht="15" customHeight="1" x14ac:dyDescent="0.25">
      <c r="T41935" s="135"/>
      <c r="U41935" s="135"/>
    </row>
    <row r="41936" spans="20:21" ht="15" customHeight="1" x14ac:dyDescent="0.25">
      <c r="T41936" s="135"/>
      <c r="U41936" s="135"/>
    </row>
    <row r="41937" spans="20:21" ht="15" customHeight="1" x14ac:dyDescent="0.25">
      <c r="T41937" s="135"/>
      <c r="U41937" s="135"/>
    </row>
    <row r="41938" spans="20:21" ht="15" customHeight="1" x14ac:dyDescent="0.25">
      <c r="T41938" s="135"/>
      <c r="U41938" s="135"/>
    </row>
    <row r="41939" spans="20:21" ht="15" customHeight="1" x14ac:dyDescent="0.25">
      <c r="T41939" s="135"/>
      <c r="U41939" s="135"/>
    </row>
    <row r="41940" spans="20:21" ht="15" customHeight="1" x14ac:dyDescent="0.25">
      <c r="T41940" s="135"/>
      <c r="U41940" s="135"/>
    </row>
    <row r="41941" spans="20:21" ht="15" customHeight="1" x14ac:dyDescent="0.25">
      <c r="T41941" s="135"/>
      <c r="U41941" s="135"/>
    </row>
    <row r="41942" spans="20:21" ht="15" customHeight="1" x14ac:dyDescent="0.25">
      <c r="T41942" s="135"/>
      <c r="U41942" s="135"/>
    </row>
    <row r="41943" spans="20:21" ht="15" customHeight="1" x14ac:dyDescent="0.25">
      <c r="T41943" s="135"/>
      <c r="U41943" s="135"/>
    </row>
    <row r="41944" spans="20:21" ht="15" customHeight="1" x14ac:dyDescent="0.25">
      <c r="T41944" s="135"/>
      <c r="U41944" s="135"/>
    </row>
    <row r="41945" spans="20:21" ht="15" customHeight="1" x14ac:dyDescent="0.25">
      <c r="T41945" s="135"/>
      <c r="U41945" s="135"/>
    </row>
    <row r="41946" spans="20:21" ht="15" customHeight="1" x14ac:dyDescent="0.25">
      <c r="T41946" s="135"/>
      <c r="U41946" s="135"/>
    </row>
    <row r="41947" spans="20:21" ht="15" customHeight="1" x14ac:dyDescent="0.25">
      <c r="T41947" s="135"/>
      <c r="U41947" s="135"/>
    </row>
    <row r="41948" spans="20:21" ht="15" customHeight="1" x14ac:dyDescent="0.25">
      <c r="T41948" s="135"/>
      <c r="U41948" s="135"/>
    </row>
    <row r="41949" spans="20:21" ht="15" customHeight="1" x14ac:dyDescent="0.25">
      <c r="T41949" s="135"/>
      <c r="U41949" s="135"/>
    </row>
    <row r="41950" spans="20:21" ht="15" customHeight="1" x14ac:dyDescent="0.25">
      <c r="T41950" s="135"/>
      <c r="U41950" s="135"/>
    </row>
    <row r="41951" spans="20:21" ht="15" customHeight="1" x14ac:dyDescent="0.25">
      <c r="T41951" s="135"/>
      <c r="U41951" s="135"/>
    </row>
    <row r="41952" spans="20:21" ht="15" customHeight="1" x14ac:dyDescent="0.25">
      <c r="T41952" s="135"/>
      <c r="U41952" s="135"/>
    </row>
    <row r="41953" spans="20:21" ht="15" customHeight="1" x14ac:dyDescent="0.25">
      <c r="T41953" s="135"/>
      <c r="U41953" s="135"/>
    </row>
    <row r="41954" spans="20:21" ht="15" customHeight="1" x14ac:dyDescent="0.25">
      <c r="T41954" s="135"/>
      <c r="U41954" s="135"/>
    </row>
    <row r="41955" spans="20:21" ht="15" customHeight="1" x14ac:dyDescent="0.25">
      <c r="T41955" s="135"/>
      <c r="U41955" s="135"/>
    </row>
    <row r="41956" spans="20:21" ht="15" customHeight="1" x14ac:dyDescent="0.25">
      <c r="T41956" s="135"/>
      <c r="U41956" s="135"/>
    </row>
    <row r="41957" spans="20:21" ht="15" customHeight="1" x14ac:dyDescent="0.25">
      <c r="T41957" s="135"/>
      <c r="U41957" s="135"/>
    </row>
    <row r="41958" spans="20:21" ht="15" customHeight="1" x14ac:dyDescent="0.25">
      <c r="T41958" s="135"/>
      <c r="U41958" s="135"/>
    </row>
    <row r="41959" spans="20:21" ht="15" customHeight="1" x14ac:dyDescent="0.25">
      <c r="T41959" s="135"/>
      <c r="U41959" s="135"/>
    </row>
    <row r="41960" spans="20:21" ht="15" customHeight="1" x14ac:dyDescent="0.25">
      <c r="T41960" s="135"/>
      <c r="U41960" s="135"/>
    </row>
    <row r="41961" spans="20:21" ht="15" customHeight="1" x14ac:dyDescent="0.25">
      <c r="T41961" s="135"/>
      <c r="U41961" s="135"/>
    </row>
    <row r="41962" spans="20:21" ht="15" customHeight="1" x14ac:dyDescent="0.25">
      <c r="T41962" s="135"/>
      <c r="U41962" s="135"/>
    </row>
    <row r="41963" spans="20:21" ht="15" customHeight="1" x14ac:dyDescent="0.25">
      <c r="T41963" s="135"/>
      <c r="U41963" s="135"/>
    </row>
    <row r="41964" spans="20:21" ht="15" customHeight="1" x14ac:dyDescent="0.25">
      <c r="T41964" s="135"/>
      <c r="U41964" s="135"/>
    </row>
    <row r="41965" spans="20:21" ht="15" customHeight="1" x14ac:dyDescent="0.25">
      <c r="T41965" s="135"/>
      <c r="U41965" s="135"/>
    </row>
    <row r="41966" spans="20:21" ht="15" customHeight="1" x14ac:dyDescent="0.25">
      <c r="T41966" s="135"/>
      <c r="U41966" s="135"/>
    </row>
    <row r="41967" spans="20:21" ht="15" customHeight="1" x14ac:dyDescent="0.25">
      <c r="T41967" s="135"/>
      <c r="U41967" s="135"/>
    </row>
    <row r="41968" spans="20:21" ht="15" customHeight="1" x14ac:dyDescent="0.25">
      <c r="T41968" s="135"/>
      <c r="U41968" s="135"/>
    </row>
    <row r="41969" spans="20:21" ht="15" customHeight="1" x14ac:dyDescent="0.25">
      <c r="T41969" s="135"/>
      <c r="U41969" s="135"/>
    </row>
    <row r="41970" spans="20:21" ht="15" customHeight="1" x14ac:dyDescent="0.25">
      <c r="T41970" s="135"/>
      <c r="U41970" s="135"/>
    </row>
    <row r="41971" spans="20:21" ht="15" customHeight="1" x14ac:dyDescent="0.25">
      <c r="T41971" s="135"/>
      <c r="U41971" s="135"/>
    </row>
    <row r="41972" spans="20:21" ht="15" customHeight="1" x14ac:dyDescent="0.25">
      <c r="T41972" s="135"/>
      <c r="U41972" s="135"/>
    </row>
    <row r="41973" spans="20:21" ht="15" customHeight="1" x14ac:dyDescent="0.25">
      <c r="T41973" s="135"/>
      <c r="U41973" s="135"/>
    </row>
    <row r="41974" spans="20:21" ht="15" customHeight="1" x14ac:dyDescent="0.25">
      <c r="T41974" s="135"/>
      <c r="U41974" s="135"/>
    </row>
    <row r="41975" spans="20:21" ht="15" customHeight="1" x14ac:dyDescent="0.25">
      <c r="T41975" s="135"/>
      <c r="U41975" s="135"/>
    </row>
    <row r="41976" spans="20:21" ht="15" customHeight="1" x14ac:dyDescent="0.25">
      <c r="T41976" s="135"/>
      <c r="U41976" s="135"/>
    </row>
    <row r="41977" spans="20:21" ht="15" customHeight="1" x14ac:dyDescent="0.25">
      <c r="T41977" s="135"/>
      <c r="U41977" s="135"/>
    </row>
    <row r="41978" spans="20:21" ht="15" customHeight="1" x14ac:dyDescent="0.25">
      <c r="T41978" s="135"/>
      <c r="U41978" s="135"/>
    </row>
    <row r="41979" spans="20:21" ht="15" customHeight="1" x14ac:dyDescent="0.25">
      <c r="T41979" s="135"/>
      <c r="U41979" s="135"/>
    </row>
    <row r="41980" spans="20:21" ht="15" customHeight="1" x14ac:dyDescent="0.25">
      <c r="T41980" s="135"/>
      <c r="U41980" s="135"/>
    </row>
    <row r="41981" spans="20:21" ht="15" customHeight="1" x14ac:dyDescent="0.25">
      <c r="T41981" s="135"/>
      <c r="U41981" s="135"/>
    </row>
    <row r="41982" spans="20:21" ht="15" customHeight="1" x14ac:dyDescent="0.25">
      <c r="T41982" s="135"/>
      <c r="U41982" s="135"/>
    </row>
    <row r="41983" spans="20:21" ht="15" customHeight="1" x14ac:dyDescent="0.25">
      <c r="T41983" s="135"/>
      <c r="U41983" s="135"/>
    </row>
    <row r="41984" spans="20:21" ht="15" customHeight="1" x14ac:dyDescent="0.25">
      <c r="T41984" s="135"/>
      <c r="U41984" s="135"/>
    </row>
    <row r="41985" spans="20:21" ht="15" customHeight="1" x14ac:dyDescent="0.25">
      <c r="T41985" s="135"/>
      <c r="U41985" s="135"/>
    </row>
    <row r="41986" spans="20:21" ht="15" customHeight="1" x14ac:dyDescent="0.25">
      <c r="T41986" s="135"/>
      <c r="U41986" s="135"/>
    </row>
    <row r="41987" spans="20:21" ht="15" customHeight="1" x14ac:dyDescent="0.25">
      <c r="T41987" s="135"/>
      <c r="U41987" s="135"/>
    </row>
    <row r="41988" spans="20:21" ht="15" customHeight="1" x14ac:dyDescent="0.25">
      <c r="T41988" s="135"/>
      <c r="U41988" s="135"/>
    </row>
    <row r="41989" spans="20:21" ht="15" customHeight="1" x14ac:dyDescent="0.25">
      <c r="T41989" s="135"/>
      <c r="U41989" s="135"/>
    </row>
    <row r="41990" spans="20:21" ht="15" customHeight="1" x14ac:dyDescent="0.25">
      <c r="T41990" s="135"/>
      <c r="U41990" s="135"/>
    </row>
    <row r="41991" spans="20:21" ht="15" customHeight="1" x14ac:dyDescent="0.25">
      <c r="T41991" s="135"/>
      <c r="U41991" s="135"/>
    </row>
    <row r="41992" spans="20:21" ht="15" customHeight="1" x14ac:dyDescent="0.25">
      <c r="T41992" s="135"/>
      <c r="U41992" s="135"/>
    </row>
    <row r="41993" spans="20:21" ht="15" customHeight="1" x14ac:dyDescent="0.25">
      <c r="T41993" s="135"/>
      <c r="U41993" s="135"/>
    </row>
    <row r="41994" spans="20:21" ht="15" customHeight="1" x14ac:dyDescent="0.25">
      <c r="T41994" s="135"/>
      <c r="U41994" s="135"/>
    </row>
    <row r="41995" spans="20:21" ht="15" customHeight="1" x14ac:dyDescent="0.25">
      <c r="T41995" s="135"/>
      <c r="U41995" s="135"/>
    </row>
    <row r="41996" spans="20:21" ht="15" customHeight="1" x14ac:dyDescent="0.25">
      <c r="T41996" s="135"/>
      <c r="U41996" s="135"/>
    </row>
    <row r="41997" spans="20:21" ht="15" customHeight="1" x14ac:dyDescent="0.25">
      <c r="T41997" s="135"/>
      <c r="U41997" s="135"/>
    </row>
    <row r="41998" spans="20:21" ht="15" customHeight="1" x14ac:dyDescent="0.25">
      <c r="T41998" s="135"/>
      <c r="U41998" s="135"/>
    </row>
    <row r="41999" spans="20:21" ht="15" customHeight="1" x14ac:dyDescent="0.25">
      <c r="T41999" s="135"/>
      <c r="U41999" s="135"/>
    </row>
    <row r="42000" spans="20:21" ht="15" customHeight="1" x14ac:dyDescent="0.25">
      <c r="T42000" s="135"/>
      <c r="U42000" s="135"/>
    </row>
    <row r="42001" spans="20:21" ht="15" customHeight="1" x14ac:dyDescent="0.25">
      <c r="T42001" s="135"/>
      <c r="U42001" s="135"/>
    </row>
    <row r="42002" spans="20:21" ht="15" customHeight="1" x14ac:dyDescent="0.25">
      <c r="T42002" s="135"/>
      <c r="U42002" s="135"/>
    </row>
    <row r="42003" spans="20:21" ht="15" customHeight="1" x14ac:dyDescent="0.25">
      <c r="T42003" s="135"/>
      <c r="U42003" s="135"/>
    </row>
    <row r="42004" spans="20:21" ht="15" customHeight="1" x14ac:dyDescent="0.25">
      <c r="T42004" s="135"/>
      <c r="U42004" s="135"/>
    </row>
    <row r="42005" spans="20:21" ht="15" customHeight="1" x14ac:dyDescent="0.25">
      <c r="T42005" s="135"/>
      <c r="U42005" s="135"/>
    </row>
    <row r="42006" spans="20:21" ht="15" customHeight="1" x14ac:dyDescent="0.25">
      <c r="T42006" s="135"/>
      <c r="U42006" s="135"/>
    </row>
    <row r="42007" spans="20:21" ht="15" customHeight="1" x14ac:dyDescent="0.25">
      <c r="T42007" s="135"/>
      <c r="U42007" s="135"/>
    </row>
    <row r="42008" spans="20:21" ht="15" customHeight="1" x14ac:dyDescent="0.25">
      <c r="T42008" s="135"/>
      <c r="U42008" s="135"/>
    </row>
    <row r="42009" spans="20:21" ht="15" customHeight="1" x14ac:dyDescent="0.25">
      <c r="T42009" s="135"/>
      <c r="U42009" s="135"/>
    </row>
    <row r="42010" spans="20:21" ht="15" customHeight="1" x14ac:dyDescent="0.25">
      <c r="T42010" s="135"/>
      <c r="U42010" s="135"/>
    </row>
    <row r="42011" spans="20:21" ht="15" customHeight="1" x14ac:dyDescent="0.25">
      <c r="T42011" s="135"/>
      <c r="U42011" s="135"/>
    </row>
    <row r="42012" spans="20:21" ht="15" customHeight="1" x14ac:dyDescent="0.25">
      <c r="T42012" s="135"/>
      <c r="U42012" s="135"/>
    </row>
    <row r="42013" spans="20:21" ht="15" customHeight="1" x14ac:dyDescent="0.25">
      <c r="T42013" s="135"/>
      <c r="U42013" s="135"/>
    </row>
    <row r="42014" spans="20:21" ht="15" customHeight="1" x14ac:dyDescent="0.25">
      <c r="T42014" s="135"/>
      <c r="U42014" s="135"/>
    </row>
    <row r="42015" spans="20:21" ht="15" customHeight="1" x14ac:dyDescent="0.25">
      <c r="T42015" s="135"/>
      <c r="U42015" s="135"/>
    </row>
    <row r="42016" spans="20:21" ht="15" customHeight="1" x14ac:dyDescent="0.25">
      <c r="T42016" s="135"/>
      <c r="U42016" s="135"/>
    </row>
    <row r="42017" spans="20:21" ht="15" customHeight="1" x14ac:dyDescent="0.25">
      <c r="T42017" s="135"/>
      <c r="U42017" s="135"/>
    </row>
    <row r="42018" spans="20:21" ht="15" customHeight="1" x14ac:dyDescent="0.25">
      <c r="T42018" s="135"/>
      <c r="U42018" s="135"/>
    </row>
    <row r="42019" spans="20:21" ht="15" customHeight="1" x14ac:dyDescent="0.25">
      <c r="T42019" s="135"/>
      <c r="U42019" s="135"/>
    </row>
    <row r="42020" spans="20:21" ht="15" customHeight="1" x14ac:dyDescent="0.25">
      <c r="T42020" s="135"/>
      <c r="U42020" s="135"/>
    </row>
    <row r="42021" spans="20:21" ht="15" customHeight="1" x14ac:dyDescent="0.25">
      <c r="T42021" s="135"/>
      <c r="U42021" s="135"/>
    </row>
    <row r="42022" spans="20:21" ht="15" customHeight="1" x14ac:dyDescent="0.25">
      <c r="T42022" s="135"/>
      <c r="U42022" s="135"/>
    </row>
    <row r="42023" spans="20:21" ht="15" customHeight="1" x14ac:dyDescent="0.25">
      <c r="T42023" s="135"/>
      <c r="U42023" s="135"/>
    </row>
    <row r="42024" spans="20:21" ht="15" customHeight="1" x14ac:dyDescent="0.25">
      <c r="T42024" s="135"/>
      <c r="U42024" s="135"/>
    </row>
    <row r="42025" spans="20:21" ht="15" customHeight="1" x14ac:dyDescent="0.25">
      <c r="T42025" s="135"/>
      <c r="U42025" s="135"/>
    </row>
    <row r="42026" spans="20:21" ht="15" customHeight="1" x14ac:dyDescent="0.25">
      <c r="T42026" s="135"/>
      <c r="U42026" s="135"/>
    </row>
    <row r="42027" spans="20:21" ht="15" customHeight="1" x14ac:dyDescent="0.25">
      <c r="T42027" s="135"/>
      <c r="U42027" s="135"/>
    </row>
    <row r="42028" spans="20:21" ht="15" customHeight="1" x14ac:dyDescent="0.25">
      <c r="T42028" s="135"/>
      <c r="U42028" s="135"/>
    </row>
    <row r="42029" spans="20:21" ht="15" customHeight="1" x14ac:dyDescent="0.25">
      <c r="T42029" s="135"/>
      <c r="U42029" s="135"/>
    </row>
    <row r="42030" spans="20:21" ht="15" customHeight="1" x14ac:dyDescent="0.25">
      <c r="T42030" s="135"/>
      <c r="U42030" s="135"/>
    </row>
    <row r="42031" spans="20:21" ht="15" customHeight="1" x14ac:dyDescent="0.25">
      <c r="T42031" s="135"/>
      <c r="U42031" s="135"/>
    </row>
    <row r="42032" spans="20:21" ht="15" customHeight="1" x14ac:dyDescent="0.25">
      <c r="T42032" s="135"/>
      <c r="U42032" s="135"/>
    </row>
    <row r="42033" spans="20:21" ht="15" customHeight="1" x14ac:dyDescent="0.25">
      <c r="T42033" s="135"/>
      <c r="U42033" s="135"/>
    </row>
    <row r="42034" spans="20:21" ht="15" customHeight="1" x14ac:dyDescent="0.25">
      <c r="T42034" s="135"/>
      <c r="U42034" s="135"/>
    </row>
    <row r="42035" spans="20:21" ht="15" customHeight="1" x14ac:dyDescent="0.25">
      <c r="T42035" s="135"/>
      <c r="U42035" s="135"/>
    </row>
    <row r="42036" spans="20:21" ht="15" customHeight="1" x14ac:dyDescent="0.25">
      <c r="T42036" s="135"/>
      <c r="U42036" s="135"/>
    </row>
    <row r="42037" spans="20:21" ht="15" customHeight="1" x14ac:dyDescent="0.25">
      <c r="T42037" s="135"/>
      <c r="U42037" s="135"/>
    </row>
    <row r="42038" spans="20:21" ht="15" customHeight="1" x14ac:dyDescent="0.25">
      <c r="T42038" s="135"/>
      <c r="U42038" s="135"/>
    </row>
    <row r="42039" spans="20:21" ht="15" customHeight="1" x14ac:dyDescent="0.25">
      <c r="T42039" s="135"/>
      <c r="U42039" s="135"/>
    </row>
    <row r="42040" spans="20:21" ht="15" customHeight="1" x14ac:dyDescent="0.25">
      <c r="T42040" s="135"/>
      <c r="U42040" s="135"/>
    </row>
    <row r="42041" spans="20:21" ht="15" customHeight="1" x14ac:dyDescent="0.25">
      <c r="T42041" s="135"/>
      <c r="U42041" s="135"/>
    </row>
    <row r="42042" spans="20:21" ht="15" customHeight="1" x14ac:dyDescent="0.25">
      <c r="T42042" s="135"/>
      <c r="U42042" s="135"/>
    </row>
    <row r="42043" spans="20:21" ht="15" customHeight="1" x14ac:dyDescent="0.25">
      <c r="T42043" s="135"/>
      <c r="U42043" s="135"/>
    </row>
    <row r="42044" spans="20:21" ht="15" customHeight="1" x14ac:dyDescent="0.25">
      <c r="T42044" s="135"/>
      <c r="U42044" s="135"/>
    </row>
    <row r="42045" spans="20:21" ht="15" customHeight="1" x14ac:dyDescent="0.25">
      <c r="T42045" s="135"/>
      <c r="U42045" s="135"/>
    </row>
    <row r="42046" spans="20:21" ht="15" customHeight="1" x14ac:dyDescent="0.25">
      <c r="T42046" s="135"/>
      <c r="U42046" s="135"/>
    </row>
    <row r="42047" spans="20:21" ht="15" customHeight="1" x14ac:dyDescent="0.25">
      <c r="T42047" s="135"/>
      <c r="U42047" s="135"/>
    </row>
    <row r="42048" spans="20:21" ht="15" customHeight="1" x14ac:dyDescent="0.25">
      <c r="T42048" s="135"/>
      <c r="U42048" s="135"/>
    </row>
    <row r="42049" spans="20:21" ht="15" customHeight="1" x14ac:dyDescent="0.25">
      <c r="T42049" s="135"/>
      <c r="U42049" s="135"/>
    </row>
    <row r="42050" spans="20:21" ht="15" customHeight="1" x14ac:dyDescent="0.25">
      <c r="T42050" s="135"/>
      <c r="U42050" s="135"/>
    </row>
    <row r="42051" spans="20:21" ht="15" customHeight="1" x14ac:dyDescent="0.25">
      <c r="T42051" s="135"/>
      <c r="U42051" s="135"/>
    </row>
    <row r="42052" spans="20:21" ht="15" customHeight="1" x14ac:dyDescent="0.25">
      <c r="T42052" s="135"/>
      <c r="U42052" s="135"/>
    </row>
    <row r="42053" spans="20:21" ht="15" customHeight="1" x14ac:dyDescent="0.25">
      <c r="T42053" s="135"/>
      <c r="U42053" s="135"/>
    </row>
    <row r="42054" spans="20:21" ht="15" customHeight="1" x14ac:dyDescent="0.25">
      <c r="T42054" s="135"/>
      <c r="U42054" s="135"/>
    </row>
    <row r="42055" spans="20:21" ht="15" customHeight="1" x14ac:dyDescent="0.25">
      <c r="T42055" s="135"/>
      <c r="U42055" s="135"/>
    </row>
    <row r="42056" spans="20:21" ht="15" customHeight="1" x14ac:dyDescent="0.25">
      <c r="T42056" s="135"/>
      <c r="U42056" s="135"/>
    </row>
    <row r="42057" spans="20:21" ht="15" customHeight="1" x14ac:dyDescent="0.25">
      <c r="T42057" s="135"/>
      <c r="U42057" s="135"/>
    </row>
    <row r="42058" spans="20:21" ht="15" customHeight="1" x14ac:dyDescent="0.25">
      <c r="T42058" s="135"/>
      <c r="U42058" s="135"/>
    </row>
    <row r="42059" spans="20:21" ht="15" customHeight="1" x14ac:dyDescent="0.25">
      <c r="T42059" s="135"/>
      <c r="U42059" s="135"/>
    </row>
    <row r="42060" spans="20:21" ht="15" customHeight="1" x14ac:dyDescent="0.25">
      <c r="T42060" s="135"/>
      <c r="U42060" s="135"/>
    </row>
    <row r="42061" spans="20:21" ht="15" customHeight="1" x14ac:dyDescent="0.25">
      <c r="T42061" s="135"/>
      <c r="U42061" s="135"/>
    </row>
    <row r="42062" spans="20:21" ht="15" customHeight="1" x14ac:dyDescent="0.25">
      <c r="T42062" s="135"/>
      <c r="U42062" s="135"/>
    </row>
    <row r="42063" spans="20:21" ht="15" customHeight="1" x14ac:dyDescent="0.25">
      <c r="T42063" s="135"/>
      <c r="U42063" s="135"/>
    </row>
    <row r="42064" spans="20:21" ht="15" customHeight="1" x14ac:dyDescent="0.25">
      <c r="T42064" s="135"/>
      <c r="U42064" s="135"/>
    </row>
    <row r="42065" spans="20:21" ht="15" customHeight="1" x14ac:dyDescent="0.25">
      <c r="T42065" s="135"/>
      <c r="U42065" s="135"/>
    </row>
    <row r="42066" spans="20:21" ht="15" customHeight="1" x14ac:dyDescent="0.25">
      <c r="T42066" s="135"/>
      <c r="U42066" s="135"/>
    </row>
    <row r="42067" spans="20:21" ht="15" customHeight="1" x14ac:dyDescent="0.25">
      <c r="T42067" s="135"/>
      <c r="U42067" s="135"/>
    </row>
    <row r="42068" spans="20:21" ht="15" customHeight="1" x14ac:dyDescent="0.25">
      <c r="T42068" s="135"/>
      <c r="U42068" s="135"/>
    </row>
    <row r="42069" spans="20:21" ht="15" customHeight="1" x14ac:dyDescent="0.25">
      <c r="T42069" s="135"/>
      <c r="U42069" s="135"/>
    </row>
    <row r="42070" spans="20:21" ht="15" customHeight="1" x14ac:dyDescent="0.25">
      <c r="T42070" s="135"/>
      <c r="U42070" s="135"/>
    </row>
    <row r="42071" spans="20:21" ht="15" customHeight="1" x14ac:dyDescent="0.25">
      <c r="T42071" s="135"/>
      <c r="U42071" s="135"/>
    </row>
    <row r="42072" spans="20:21" ht="15" customHeight="1" x14ac:dyDescent="0.25">
      <c r="T42072" s="135"/>
      <c r="U42072" s="135"/>
    </row>
    <row r="42073" spans="20:21" ht="15" customHeight="1" x14ac:dyDescent="0.25">
      <c r="T42073" s="135"/>
      <c r="U42073" s="135"/>
    </row>
    <row r="42074" spans="20:21" ht="15" customHeight="1" x14ac:dyDescent="0.25">
      <c r="T42074" s="135"/>
      <c r="U42074" s="135"/>
    </row>
    <row r="42075" spans="20:21" ht="15" customHeight="1" x14ac:dyDescent="0.25">
      <c r="T42075" s="135"/>
      <c r="U42075" s="135"/>
    </row>
    <row r="42076" spans="20:21" ht="15" customHeight="1" x14ac:dyDescent="0.25">
      <c r="T42076" s="135"/>
      <c r="U42076" s="135"/>
    </row>
    <row r="42077" spans="20:21" ht="15" customHeight="1" x14ac:dyDescent="0.25">
      <c r="T42077" s="135"/>
      <c r="U42077" s="135"/>
    </row>
    <row r="42078" spans="20:21" ht="15" customHeight="1" x14ac:dyDescent="0.25">
      <c r="T42078" s="135"/>
      <c r="U42078" s="135"/>
    </row>
    <row r="42079" spans="20:21" ht="15" customHeight="1" x14ac:dyDescent="0.25">
      <c r="T42079" s="135"/>
      <c r="U42079" s="135"/>
    </row>
    <row r="42080" spans="20:21" ht="15" customHeight="1" x14ac:dyDescent="0.25">
      <c r="T42080" s="135"/>
      <c r="U42080" s="135"/>
    </row>
    <row r="42081" spans="20:21" ht="15" customHeight="1" x14ac:dyDescent="0.25">
      <c r="T42081" s="135"/>
      <c r="U42081" s="135"/>
    </row>
    <row r="42082" spans="20:21" ht="15" customHeight="1" x14ac:dyDescent="0.25">
      <c r="T42082" s="135"/>
      <c r="U42082" s="135"/>
    </row>
    <row r="42083" spans="20:21" ht="15" customHeight="1" x14ac:dyDescent="0.25">
      <c r="T42083" s="135"/>
      <c r="U42083" s="135"/>
    </row>
    <row r="42084" spans="20:21" ht="15" customHeight="1" x14ac:dyDescent="0.25">
      <c r="T42084" s="135"/>
      <c r="U42084" s="135"/>
    </row>
    <row r="42085" spans="20:21" ht="15" customHeight="1" x14ac:dyDescent="0.25">
      <c r="T42085" s="135"/>
      <c r="U42085" s="135"/>
    </row>
    <row r="42086" spans="20:21" ht="15" customHeight="1" x14ac:dyDescent="0.25">
      <c r="T42086" s="135"/>
      <c r="U42086" s="135"/>
    </row>
    <row r="42087" spans="20:21" ht="15" customHeight="1" x14ac:dyDescent="0.25">
      <c r="T42087" s="135"/>
      <c r="U42087" s="135"/>
    </row>
    <row r="42088" spans="20:21" ht="15" customHeight="1" x14ac:dyDescent="0.25">
      <c r="T42088" s="135"/>
      <c r="U42088" s="135"/>
    </row>
    <row r="42089" spans="20:21" ht="15" customHeight="1" x14ac:dyDescent="0.25">
      <c r="T42089" s="135"/>
      <c r="U42089" s="135"/>
    </row>
    <row r="42090" spans="20:21" ht="15" customHeight="1" x14ac:dyDescent="0.25">
      <c r="T42090" s="135"/>
      <c r="U42090" s="135"/>
    </row>
    <row r="42091" spans="20:21" ht="15" customHeight="1" x14ac:dyDescent="0.25">
      <c r="T42091" s="135"/>
      <c r="U42091" s="135"/>
    </row>
    <row r="42092" spans="20:21" ht="15" customHeight="1" x14ac:dyDescent="0.25">
      <c r="T42092" s="135"/>
      <c r="U42092" s="135"/>
    </row>
    <row r="42093" spans="20:21" ht="15" customHeight="1" x14ac:dyDescent="0.25">
      <c r="T42093" s="135"/>
      <c r="U42093" s="135"/>
    </row>
    <row r="42094" spans="20:21" ht="15" customHeight="1" x14ac:dyDescent="0.25">
      <c r="T42094" s="135"/>
      <c r="U42094" s="135"/>
    </row>
    <row r="42095" spans="20:21" ht="15" customHeight="1" x14ac:dyDescent="0.25">
      <c r="T42095" s="135"/>
      <c r="U42095" s="135"/>
    </row>
    <row r="42096" spans="20:21" ht="15" customHeight="1" x14ac:dyDescent="0.25">
      <c r="T42096" s="135"/>
      <c r="U42096" s="135"/>
    </row>
    <row r="42097" spans="20:21" ht="15" customHeight="1" x14ac:dyDescent="0.25">
      <c r="T42097" s="135"/>
      <c r="U42097" s="135"/>
    </row>
    <row r="42098" spans="20:21" ht="15" customHeight="1" x14ac:dyDescent="0.25">
      <c r="T42098" s="135"/>
      <c r="U42098" s="135"/>
    </row>
    <row r="42099" spans="20:21" ht="15" customHeight="1" x14ac:dyDescent="0.25">
      <c r="T42099" s="135"/>
      <c r="U42099" s="135"/>
    </row>
    <row r="42100" spans="20:21" ht="15" customHeight="1" x14ac:dyDescent="0.25">
      <c r="T42100" s="135"/>
      <c r="U42100" s="135"/>
    </row>
    <row r="42101" spans="20:21" ht="15" customHeight="1" x14ac:dyDescent="0.25">
      <c r="T42101" s="135"/>
      <c r="U42101" s="135"/>
    </row>
    <row r="42102" spans="20:21" ht="15" customHeight="1" x14ac:dyDescent="0.25">
      <c r="T42102" s="135"/>
      <c r="U42102" s="135"/>
    </row>
    <row r="42103" spans="20:21" ht="15" customHeight="1" x14ac:dyDescent="0.25">
      <c r="T42103" s="135"/>
      <c r="U42103" s="135"/>
    </row>
    <row r="42104" spans="20:21" ht="15" customHeight="1" x14ac:dyDescent="0.25">
      <c r="T42104" s="135"/>
      <c r="U42104" s="135"/>
    </row>
    <row r="42105" spans="20:21" ht="15" customHeight="1" x14ac:dyDescent="0.25">
      <c r="T42105" s="135"/>
      <c r="U42105" s="135"/>
    </row>
    <row r="42106" spans="20:21" ht="15" customHeight="1" x14ac:dyDescent="0.25">
      <c r="T42106" s="135"/>
      <c r="U42106" s="135"/>
    </row>
    <row r="42107" spans="20:21" ht="15" customHeight="1" x14ac:dyDescent="0.25">
      <c r="T42107" s="135"/>
      <c r="U42107" s="135"/>
    </row>
    <row r="42108" spans="20:21" ht="15" customHeight="1" x14ac:dyDescent="0.25">
      <c r="T42108" s="135"/>
      <c r="U42108" s="135"/>
    </row>
    <row r="42109" spans="20:21" ht="15" customHeight="1" x14ac:dyDescent="0.25">
      <c r="T42109" s="135"/>
      <c r="U42109" s="135"/>
    </row>
    <row r="42110" spans="20:21" ht="15" customHeight="1" x14ac:dyDescent="0.25">
      <c r="T42110" s="135"/>
      <c r="U42110" s="135"/>
    </row>
    <row r="42111" spans="20:21" ht="15" customHeight="1" x14ac:dyDescent="0.25">
      <c r="T42111" s="135"/>
      <c r="U42111" s="135"/>
    </row>
    <row r="42112" spans="20:21" ht="15" customHeight="1" x14ac:dyDescent="0.25">
      <c r="T42112" s="135"/>
      <c r="U42112" s="135"/>
    </row>
    <row r="42113" spans="20:21" ht="15" customHeight="1" x14ac:dyDescent="0.25">
      <c r="T42113" s="135"/>
      <c r="U42113" s="135"/>
    </row>
    <row r="42114" spans="20:21" ht="15" customHeight="1" x14ac:dyDescent="0.25">
      <c r="T42114" s="135"/>
      <c r="U42114" s="135"/>
    </row>
    <row r="42115" spans="20:21" ht="15" customHeight="1" x14ac:dyDescent="0.25">
      <c r="T42115" s="135"/>
      <c r="U42115" s="135"/>
    </row>
    <row r="42116" spans="20:21" ht="15" customHeight="1" x14ac:dyDescent="0.25">
      <c r="T42116" s="135"/>
      <c r="U42116" s="135"/>
    </row>
    <row r="42117" spans="20:21" ht="15" customHeight="1" x14ac:dyDescent="0.25">
      <c r="T42117" s="135"/>
      <c r="U42117" s="135"/>
    </row>
    <row r="42118" spans="20:21" ht="15" customHeight="1" x14ac:dyDescent="0.25">
      <c r="T42118" s="135"/>
      <c r="U42118" s="135"/>
    </row>
    <row r="42119" spans="20:21" ht="15" customHeight="1" x14ac:dyDescent="0.25">
      <c r="T42119" s="135"/>
      <c r="U42119" s="135"/>
    </row>
    <row r="42120" spans="20:21" ht="15" customHeight="1" x14ac:dyDescent="0.25">
      <c r="T42120" s="135"/>
      <c r="U42120" s="135"/>
    </row>
    <row r="42121" spans="20:21" ht="15" customHeight="1" x14ac:dyDescent="0.25">
      <c r="T42121" s="135"/>
      <c r="U42121" s="135"/>
    </row>
    <row r="42122" spans="20:21" ht="15" customHeight="1" x14ac:dyDescent="0.25">
      <c r="T42122" s="135"/>
      <c r="U42122" s="135"/>
    </row>
    <row r="42123" spans="20:21" ht="15" customHeight="1" x14ac:dyDescent="0.25">
      <c r="T42123" s="135"/>
      <c r="U42123" s="135"/>
    </row>
    <row r="42124" spans="20:21" ht="15" customHeight="1" x14ac:dyDescent="0.25">
      <c r="T42124" s="135"/>
      <c r="U42124" s="135"/>
    </row>
    <row r="42125" spans="20:21" ht="15" customHeight="1" x14ac:dyDescent="0.25">
      <c r="T42125" s="135"/>
      <c r="U42125" s="135"/>
    </row>
    <row r="42126" spans="20:21" ht="15" customHeight="1" x14ac:dyDescent="0.25">
      <c r="T42126" s="135"/>
      <c r="U42126" s="135"/>
    </row>
    <row r="42127" spans="20:21" ht="15" customHeight="1" x14ac:dyDescent="0.25">
      <c r="T42127" s="135"/>
      <c r="U42127" s="135"/>
    </row>
    <row r="42128" spans="20:21" ht="15" customHeight="1" x14ac:dyDescent="0.25">
      <c r="T42128" s="135"/>
      <c r="U42128" s="135"/>
    </row>
    <row r="42129" spans="20:21" ht="15" customHeight="1" x14ac:dyDescent="0.25">
      <c r="T42129" s="135"/>
      <c r="U42129" s="135"/>
    </row>
    <row r="42130" spans="20:21" ht="15" customHeight="1" x14ac:dyDescent="0.25">
      <c r="T42130" s="135"/>
      <c r="U42130" s="135"/>
    </row>
    <row r="42131" spans="20:21" ht="15" customHeight="1" x14ac:dyDescent="0.25">
      <c r="T42131" s="135"/>
      <c r="U42131" s="135"/>
    </row>
    <row r="42132" spans="20:21" ht="15" customHeight="1" x14ac:dyDescent="0.25">
      <c r="T42132" s="135"/>
      <c r="U42132" s="135"/>
    </row>
    <row r="42133" spans="20:21" ht="15" customHeight="1" x14ac:dyDescent="0.25">
      <c r="T42133" s="135"/>
      <c r="U42133" s="135"/>
    </row>
    <row r="42134" spans="20:21" ht="15" customHeight="1" x14ac:dyDescent="0.25">
      <c r="T42134" s="135"/>
      <c r="U42134" s="135"/>
    </row>
    <row r="42135" spans="20:21" ht="15" customHeight="1" x14ac:dyDescent="0.25">
      <c r="T42135" s="135"/>
      <c r="U42135" s="135"/>
    </row>
    <row r="42136" spans="20:21" ht="15" customHeight="1" x14ac:dyDescent="0.25">
      <c r="T42136" s="135"/>
      <c r="U42136" s="135"/>
    </row>
    <row r="42137" spans="20:21" ht="15" customHeight="1" x14ac:dyDescent="0.25">
      <c r="T42137" s="135"/>
      <c r="U42137" s="135"/>
    </row>
    <row r="42138" spans="20:21" ht="15" customHeight="1" x14ac:dyDescent="0.25">
      <c r="T42138" s="135"/>
      <c r="U42138" s="135"/>
    </row>
    <row r="42139" spans="20:21" ht="15" customHeight="1" x14ac:dyDescent="0.25">
      <c r="T42139" s="135"/>
      <c r="U42139" s="135"/>
    </row>
    <row r="42140" spans="20:21" ht="15" customHeight="1" x14ac:dyDescent="0.25">
      <c r="T42140" s="135"/>
      <c r="U42140" s="135"/>
    </row>
    <row r="42141" spans="20:21" ht="15" customHeight="1" x14ac:dyDescent="0.25">
      <c r="T42141" s="135"/>
      <c r="U42141" s="135"/>
    </row>
    <row r="42142" spans="20:21" ht="15" customHeight="1" x14ac:dyDescent="0.25">
      <c r="T42142" s="135"/>
      <c r="U42142" s="135"/>
    </row>
    <row r="42143" spans="20:21" ht="15" customHeight="1" x14ac:dyDescent="0.25">
      <c r="T42143" s="135"/>
      <c r="U42143" s="135"/>
    </row>
    <row r="42144" spans="20:21" ht="15" customHeight="1" x14ac:dyDescent="0.25">
      <c r="T42144" s="135"/>
      <c r="U42144" s="135"/>
    </row>
    <row r="42145" spans="20:21" ht="15" customHeight="1" x14ac:dyDescent="0.25">
      <c r="T42145" s="135"/>
      <c r="U42145" s="135"/>
    </row>
    <row r="42146" spans="20:21" ht="15" customHeight="1" x14ac:dyDescent="0.25">
      <c r="T42146" s="135"/>
      <c r="U42146" s="135"/>
    </row>
    <row r="42147" spans="20:21" ht="15" customHeight="1" x14ac:dyDescent="0.25">
      <c r="T42147" s="135"/>
      <c r="U42147" s="135"/>
    </row>
    <row r="42148" spans="20:21" ht="15" customHeight="1" x14ac:dyDescent="0.25">
      <c r="T42148" s="135"/>
      <c r="U42148" s="135"/>
    </row>
    <row r="42149" spans="20:21" ht="15" customHeight="1" x14ac:dyDescent="0.25">
      <c r="T42149" s="135"/>
      <c r="U42149" s="135"/>
    </row>
    <row r="42150" spans="20:21" ht="15" customHeight="1" x14ac:dyDescent="0.25">
      <c r="T42150" s="135"/>
      <c r="U42150" s="135"/>
    </row>
    <row r="42151" spans="20:21" ht="15" customHeight="1" x14ac:dyDescent="0.25">
      <c r="T42151" s="135"/>
      <c r="U42151" s="135"/>
    </row>
    <row r="42152" spans="20:21" ht="15" customHeight="1" x14ac:dyDescent="0.25">
      <c r="T42152" s="135"/>
      <c r="U42152" s="135"/>
    </row>
    <row r="42153" spans="20:21" ht="15" customHeight="1" x14ac:dyDescent="0.25">
      <c r="T42153" s="135"/>
      <c r="U42153" s="135"/>
    </row>
    <row r="42154" spans="20:21" ht="15" customHeight="1" x14ac:dyDescent="0.25">
      <c r="T42154" s="135"/>
      <c r="U42154" s="135"/>
    </row>
    <row r="42155" spans="20:21" ht="15" customHeight="1" x14ac:dyDescent="0.25">
      <c r="T42155" s="135"/>
      <c r="U42155" s="135"/>
    </row>
    <row r="42156" spans="20:21" ht="15" customHeight="1" x14ac:dyDescent="0.25">
      <c r="T42156" s="135"/>
      <c r="U42156" s="135"/>
    </row>
    <row r="42157" spans="20:21" ht="15" customHeight="1" x14ac:dyDescent="0.25">
      <c r="T42157" s="135"/>
      <c r="U42157" s="135"/>
    </row>
    <row r="42158" spans="20:21" ht="15" customHeight="1" x14ac:dyDescent="0.25">
      <c r="T42158" s="135"/>
      <c r="U42158" s="135"/>
    </row>
    <row r="42159" spans="20:21" ht="15" customHeight="1" x14ac:dyDescent="0.25">
      <c r="T42159" s="135"/>
      <c r="U42159" s="135"/>
    </row>
    <row r="42160" spans="20:21" ht="15" customHeight="1" x14ac:dyDescent="0.25">
      <c r="T42160" s="135"/>
      <c r="U42160" s="135"/>
    </row>
    <row r="42161" spans="20:21" ht="15" customHeight="1" x14ac:dyDescent="0.25">
      <c r="T42161" s="135"/>
      <c r="U42161" s="135"/>
    </row>
    <row r="42162" spans="20:21" ht="15" customHeight="1" x14ac:dyDescent="0.25">
      <c r="T42162" s="135"/>
      <c r="U42162" s="135"/>
    </row>
    <row r="42163" spans="20:21" ht="15" customHeight="1" x14ac:dyDescent="0.25">
      <c r="T42163" s="135"/>
      <c r="U42163" s="135"/>
    </row>
    <row r="42164" spans="20:21" ht="15" customHeight="1" x14ac:dyDescent="0.25">
      <c r="T42164" s="135"/>
      <c r="U42164" s="135"/>
    </row>
    <row r="42165" spans="20:21" ht="15" customHeight="1" x14ac:dyDescent="0.25">
      <c r="T42165" s="135"/>
      <c r="U42165" s="135"/>
    </row>
    <row r="42166" spans="20:21" ht="15" customHeight="1" x14ac:dyDescent="0.25">
      <c r="T42166" s="135"/>
      <c r="U42166" s="135"/>
    </row>
    <row r="42167" spans="20:21" ht="15" customHeight="1" x14ac:dyDescent="0.25">
      <c r="T42167" s="135"/>
      <c r="U42167" s="135"/>
    </row>
    <row r="42168" spans="20:21" ht="15" customHeight="1" x14ac:dyDescent="0.25">
      <c r="T42168" s="135"/>
      <c r="U42168" s="135"/>
    </row>
    <row r="42169" spans="20:21" ht="15" customHeight="1" x14ac:dyDescent="0.25">
      <c r="T42169" s="135"/>
      <c r="U42169" s="135"/>
    </row>
    <row r="42170" spans="20:21" ht="15" customHeight="1" x14ac:dyDescent="0.25">
      <c r="T42170" s="135"/>
      <c r="U42170" s="135"/>
    </row>
    <row r="42171" spans="20:21" ht="15" customHeight="1" x14ac:dyDescent="0.25">
      <c r="T42171" s="135"/>
      <c r="U42171" s="135"/>
    </row>
    <row r="42172" spans="20:21" ht="15" customHeight="1" x14ac:dyDescent="0.25">
      <c r="T42172" s="135"/>
      <c r="U42172" s="135"/>
    </row>
    <row r="42173" spans="20:21" ht="15" customHeight="1" x14ac:dyDescent="0.25">
      <c r="T42173" s="135"/>
      <c r="U42173" s="135"/>
    </row>
    <row r="42174" spans="20:21" ht="15" customHeight="1" x14ac:dyDescent="0.25">
      <c r="T42174" s="135"/>
      <c r="U42174" s="135"/>
    </row>
    <row r="42175" spans="20:21" ht="15" customHeight="1" x14ac:dyDescent="0.25">
      <c r="T42175" s="135"/>
      <c r="U42175" s="135"/>
    </row>
    <row r="42176" spans="20:21" ht="15" customHeight="1" x14ac:dyDescent="0.25">
      <c r="T42176" s="135"/>
      <c r="U42176" s="135"/>
    </row>
    <row r="42177" spans="20:21" ht="15" customHeight="1" x14ac:dyDescent="0.25">
      <c r="T42177" s="135"/>
      <c r="U42177" s="135"/>
    </row>
    <row r="42178" spans="20:21" ht="15" customHeight="1" x14ac:dyDescent="0.25">
      <c r="T42178" s="135"/>
      <c r="U42178" s="135"/>
    </row>
    <row r="42179" spans="20:21" ht="15" customHeight="1" x14ac:dyDescent="0.25">
      <c r="T42179" s="135"/>
      <c r="U42179" s="135"/>
    </row>
    <row r="42180" spans="20:21" ht="15" customHeight="1" x14ac:dyDescent="0.25">
      <c r="T42180" s="135"/>
      <c r="U42180" s="135"/>
    </row>
    <row r="42181" spans="20:21" ht="15" customHeight="1" x14ac:dyDescent="0.25">
      <c r="T42181" s="135"/>
      <c r="U42181" s="135"/>
    </row>
    <row r="42182" spans="20:21" ht="15" customHeight="1" x14ac:dyDescent="0.25">
      <c r="T42182" s="135"/>
      <c r="U42182" s="135"/>
    </row>
    <row r="42183" spans="20:21" ht="15" customHeight="1" x14ac:dyDescent="0.25">
      <c r="T42183" s="135"/>
      <c r="U42183" s="135"/>
    </row>
    <row r="42184" spans="20:21" ht="15" customHeight="1" x14ac:dyDescent="0.25">
      <c r="T42184" s="135"/>
      <c r="U42184" s="135"/>
    </row>
    <row r="42185" spans="20:21" ht="15" customHeight="1" x14ac:dyDescent="0.25">
      <c r="T42185" s="135"/>
      <c r="U42185" s="135"/>
    </row>
    <row r="42186" spans="20:21" ht="15" customHeight="1" x14ac:dyDescent="0.25">
      <c r="T42186" s="135"/>
      <c r="U42186" s="135"/>
    </row>
    <row r="42187" spans="20:21" ht="15" customHeight="1" x14ac:dyDescent="0.25">
      <c r="T42187" s="135"/>
      <c r="U42187" s="135"/>
    </row>
    <row r="42188" spans="20:21" ht="15" customHeight="1" x14ac:dyDescent="0.25">
      <c r="T42188" s="135"/>
      <c r="U42188" s="135"/>
    </row>
    <row r="42189" spans="20:21" ht="15" customHeight="1" x14ac:dyDescent="0.25">
      <c r="T42189" s="135"/>
      <c r="U42189" s="135"/>
    </row>
    <row r="42190" spans="20:21" ht="15" customHeight="1" x14ac:dyDescent="0.25">
      <c r="T42190" s="135"/>
      <c r="U42190" s="135"/>
    </row>
    <row r="42191" spans="20:21" ht="15" customHeight="1" x14ac:dyDescent="0.25">
      <c r="T42191" s="135"/>
      <c r="U42191" s="135"/>
    </row>
    <row r="42192" spans="20:21" ht="15" customHeight="1" x14ac:dyDescent="0.25">
      <c r="T42192" s="135"/>
      <c r="U42192" s="135"/>
    </row>
    <row r="42193" spans="20:21" ht="15" customHeight="1" x14ac:dyDescent="0.25">
      <c r="T42193" s="135"/>
      <c r="U42193" s="135"/>
    </row>
    <row r="42194" spans="20:21" ht="15" customHeight="1" x14ac:dyDescent="0.25">
      <c r="T42194" s="135"/>
      <c r="U42194" s="135"/>
    </row>
    <row r="42195" spans="20:21" ht="15" customHeight="1" x14ac:dyDescent="0.25">
      <c r="T42195" s="135"/>
      <c r="U42195" s="135"/>
    </row>
    <row r="42196" spans="20:21" ht="15" customHeight="1" x14ac:dyDescent="0.25">
      <c r="T42196" s="135"/>
      <c r="U42196" s="135"/>
    </row>
    <row r="42197" spans="20:21" ht="15" customHeight="1" x14ac:dyDescent="0.25">
      <c r="T42197" s="135"/>
      <c r="U42197" s="135"/>
    </row>
    <row r="42198" spans="20:21" ht="15" customHeight="1" x14ac:dyDescent="0.25">
      <c r="T42198" s="135"/>
      <c r="U42198" s="135"/>
    </row>
    <row r="42199" spans="20:21" ht="15" customHeight="1" x14ac:dyDescent="0.25">
      <c r="T42199" s="135"/>
      <c r="U42199" s="135"/>
    </row>
    <row r="42200" spans="20:21" ht="15" customHeight="1" x14ac:dyDescent="0.25">
      <c r="T42200" s="135"/>
      <c r="U42200" s="135"/>
    </row>
    <row r="42201" spans="20:21" ht="15" customHeight="1" x14ac:dyDescent="0.25">
      <c r="T42201" s="135"/>
      <c r="U42201" s="135"/>
    </row>
    <row r="42202" spans="20:21" ht="15" customHeight="1" x14ac:dyDescent="0.25">
      <c r="T42202" s="135"/>
      <c r="U42202" s="135"/>
    </row>
    <row r="42203" spans="20:21" ht="15" customHeight="1" x14ac:dyDescent="0.25">
      <c r="T42203" s="135"/>
      <c r="U42203" s="135"/>
    </row>
    <row r="42204" spans="20:21" ht="15" customHeight="1" x14ac:dyDescent="0.25">
      <c r="T42204" s="135"/>
      <c r="U42204" s="135"/>
    </row>
    <row r="42205" spans="20:21" ht="15" customHeight="1" x14ac:dyDescent="0.25">
      <c r="T42205" s="135"/>
      <c r="U42205" s="135"/>
    </row>
    <row r="42206" spans="20:21" ht="15" customHeight="1" x14ac:dyDescent="0.25">
      <c r="T42206" s="135"/>
      <c r="U42206" s="135"/>
    </row>
    <row r="42207" spans="20:21" ht="15" customHeight="1" x14ac:dyDescent="0.25">
      <c r="T42207" s="135"/>
      <c r="U42207" s="135"/>
    </row>
    <row r="42208" spans="20:21" ht="15" customHeight="1" x14ac:dyDescent="0.25">
      <c r="T42208" s="135"/>
      <c r="U42208" s="135"/>
    </row>
    <row r="42209" spans="20:21" ht="15" customHeight="1" x14ac:dyDescent="0.25">
      <c r="T42209" s="135"/>
      <c r="U42209" s="135"/>
    </row>
    <row r="42210" spans="20:21" ht="15" customHeight="1" x14ac:dyDescent="0.25">
      <c r="T42210" s="135"/>
      <c r="U42210" s="135"/>
    </row>
    <row r="42211" spans="20:21" ht="15" customHeight="1" x14ac:dyDescent="0.25">
      <c r="T42211" s="135"/>
      <c r="U42211" s="135"/>
    </row>
    <row r="42212" spans="20:21" ht="15" customHeight="1" x14ac:dyDescent="0.25">
      <c r="T42212" s="135"/>
      <c r="U42212" s="135"/>
    </row>
    <row r="42213" spans="20:21" ht="15" customHeight="1" x14ac:dyDescent="0.25">
      <c r="T42213" s="135"/>
      <c r="U42213" s="135"/>
    </row>
    <row r="42214" spans="20:21" ht="15" customHeight="1" x14ac:dyDescent="0.25">
      <c r="T42214" s="135"/>
      <c r="U42214" s="135"/>
    </row>
    <row r="42215" spans="20:21" ht="15" customHeight="1" x14ac:dyDescent="0.25">
      <c r="T42215" s="135"/>
      <c r="U42215" s="135"/>
    </row>
    <row r="42216" spans="20:21" ht="15" customHeight="1" x14ac:dyDescent="0.25">
      <c r="T42216" s="135"/>
      <c r="U42216" s="135"/>
    </row>
    <row r="42217" spans="20:21" ht="15" customHeight="1" x14ac:dyDescent="0.25">
      <c r="T42217" s="135"/>
      <c r="U42217" s="135"/>
    </row>
    <row r="42218" spans="20:21" ht="15" customHeight="1" x14ac:dyDescent="0.25">
      <c r="T42218" s="135"/>
      <c r="U42218" s="135"/>
    </row>
    <row r="42219" spans="20:21" ht="15" customHeight="1" x14ac:dyDescent="0.25">
      <c r="T42219" s="135"/>
      <c r="U42219" s="135"/>
    </row>
    <row r="42220" spans="20:21" ht="15" customHeight="1" x14ac:dyDescent="0.25">
      <c r="T42220" s="135"/>
      <c r="U42220" s="135"/>
    </row>
    <row r="42221" spans="20:21" ht="15" customHeight="1" x14ac:dyDescent="0.25">
      <c r="T42221" s="135"/>
      <c r="U42221" s="135"/>
    </row>
    <row r="42222" spans="20:21" ht="15" customHeight="1" x14ac:dyDescent="0.25">
      <c r="T42222" s="135"/>
      <c r="U42222" s="135"/>
    </row>
    <row r="42223" spans="20:21" ht="15" customHeight="1" x14ac:dyDescent="0.25">
      <c r="T42223" s="135"/>
      <c r="U42223" s="135"/>
    </row>
    <row r="42224" spans="20:21" ht="15" customHeight="1" x14ac:dyDescent="0.25">
      <c r="T42224" s="135"/>
      <c r="U42224" s="135"/>
    </row>
    <row r="42225" spans="20:21" ht="15" customHeight="1" x14ac:dyDescent="0.25">
      <c r="T42225" s="135"/>
      <c r="U42225" s="135"/>
    </row>
    <row r="42226" spans="20:21" ht="15" customHeight="1" x14ac:dyDescent="0.25">
      <c r="T42226" s="135"/>
      <c r="U42226" s="135"/>
    </row>
    <row r="42227" spans="20:21" ht="15" customHeight="1" x14ac:dyDescent="0.25">
      <c r="T42227" s="135"/>
      <c r="U42227" s="135"/>
    </row>
    <row r="42228" spans="20:21" ht="15" customHeight="1" x14ac:dyDescent="0.25">
      <c r="T42228" s="135"/>
      <c r="U42228" s="135"/>
    </row>
    <row r="42229" spans="20:21" ht="15" customHeight="1" x14ac:dyDescent="0.25">
      <c r="T42229" s="135"/>
      <c r="U42229" s="135"/>
    </row>
    <row r="42230" spans="20:21" ht="15" customHeight="1" x14ac:dyDescent="0.25">
      <c r="T42230" s="135"/>
      <c r="U42230" s="135"/>
    </row>
    <row r="42231" spans="20:21" ht="15" customHeight="1" x14ac:dyDescent="0.25">
      <c r="T42231" s="135"/>
      <c r="U42231" s="135"/>
    </row>
    <row r="42232" spans="20:21" ht="15" customHeight="1" x14ac:dyDescent="0.25">
      <c r="T42232" s="135"/>
      <c r="U42232" s="135"/>
    </row>
    <row r="42233" spans="20:21" ht="15" customHeight="1" x14ac:dyDescent="0.25">
      <c r="T42233" s="135"/>
      <c r="U42233" s="135"/>
    </row>
    <row r="42234" spans="20:21" ht="15" customHeight="1" x14ac:dyDescent="0.25">
      <c r="T42234" s="135"/>
      <c r="U42234" s="135"/>
    </row>
    <row r="42235" spans="20:21" ht="15" customHeight="1" x14ac:dyDescent="0.25">
      <c r="T42235" s="135"/>
      <c r="U42235" s="135"/>
    </row>
    <row r="42236" spans="20:21" ht="15" customHeight="1" x14ac:dyDescent="0.25">
      <c r="T42236" s="135"/>
      <c r="U42236" s="135"/>
    </row>
    <row r="42237" spans="20:21" ht="15" customHeight="1" x14ac:dyDescent="0.25">
      <c r="T42237" s="135"/>
      <c r="U42237" s="135"/>
    </row>
    <row r="42238" spans="20:21" ht="15" customHeight="1" x14ac:dyDescent="0.25">
      <c r="T42238" s="135"/>
      <c r="U42238" s="135"/>
    </row>
    <row r="42239" spans="20:21" ht="15" customHeight="1" x14ac:dyDescent="0.25">
      <c r="T42239" s="135"/>
      <c r="U42239" s="135"/>
    </row>
    <row r="42240" spans="20:21" ht="15" customHeight="1" x14ac:dyDescent="0.25">
      <c r="T42240" s="135"/>
      <c r="U42240" s="135"/>
    </row>
    <row r="42241" spans="20:21" ht="15" customHeight="1" x14ac:dyDescent="0.25">
      <c r="T42241" s="135"/>
      <c r="U42241" s="135"/>
    </row>
    <row r="42242" spans="20:21" ht="15" customHeight="1" x14ac:dyDescent="0.25">
      <c r="T42242" s="135"/>
      <c r="U42242" s="135"/>
    </row>
    <row r="42243" spans="20:21" ht="15" customHeight="1" x14ac:dyDescent="0.25">
      <c r="T42243" s="135"/>
      <c r="U42243" s="135"/>
    </row>
    <row r="42244" spans="20:21" ht="15" customHeight="1" x14ac:dyDescent="0.25">
      <c r="T42244" s="135"/>
      <c r="U42244" s="135"/>
    </row>
    <row r="42245" spans="20:21" ht="15" customHeight="1" x14ac:dyDescent="0.25">
      <c r="T42245" s="135"/>
      <c r="U42245" s="135"/>
    </row>
    <row r="42246" spans="20:21" ht="15" customHeight="1" x14ac:dyDescent="0.25">
      <c r="T42246" s="135"/>
      <c r="U42246" s="135"/>
    </row>
    <row r="42247" spans="20:21" ht="15" customHeight="1" x14ac:dyDescent="0.25">
      <c r="T42247" s="135"/>
      <c r="U42247" s="135"/>
    </row>
    <row r="42248" spans="20:21" ht="15" customHeight="1" x14ac:dyDescent="0.25">
      <c r="T42248" s="135"/>
      <c r="U42248" s="135"/>
    </row>
    <row r="42249" spans="20:21" ht="15" customHeight="1" x14ac:dyDescent="0.25">
      <c r="T42249" s="135"/>
      <c r="U42249" s="135"/>
    </row>
    <row r="42250" spans="20:21" ht="15" customHeight="1" x14ac:dyDescent="0.25">
      <c r="T42250" s="135"/>
      <c r="U42250" s="135"/>
    </row>
    <row r="42251" spans="20:21" ht="15" customHeight="1" x14ac:dyDescent="0.25">
      <c r="T42251" s="135"/>
      <c r="U42251" s="135"/>
    </row>
    <row r="42252" spans="20:21" ht="15" customHeight="1" x14ac:dyDescent="0.25">
      <c r="T42252" s="135"/>
      <c r="U42252" s="135"/>
    </row>
    <row r="42253" spans="20:21" ht="15" customHeight="1" x14ac:dyDescent="0.25">
      <c r="T42253" s="135"/>
      <c r="U42253" s="135"/>
    </row>
    <row r="42254" spans="20:21" ht="15" customHeight="1" x14ac:dyDescent="0.25">
      <c r="T42254" s="135"/>
      <c r="U42254" s="135"/>
    </row>
    <row r="42255" spans="20:21" ht="15" customHeight="1" x14ac:dyDescent="0.25">
      <c r="T42255" s="135"/>
      <c r="U42255" s="135"/>
    </row>
    <row r="42256" spans="20:21" ht="15" customHeight="1" x14ac:dyDescent="0.25">
      <c r="T42256" s="135"/>
      <c r="U42256" s="135"/>
    </row>
    <row r="42257" spans="20:21" ht="15" customHeight="1" x14ac:dyDescent="0.25">
      <c r="T42257" s="135"/>
      <c r="U42257" s="135"/>
    </row>
    <row r="42258" spans="20:21" ht="15" customHeight="1" x14ac:dyDescent="0.25">
      <c r="T42258" s="135"/>
      <c r="U42258" s="135"/>
    </row>
    <row r="42259" spans="20:21" ht="15" customHeight="1" x14ac:dyDescent="0.25">
      <c r="T42259" s="135"/>
      <c r="U42259" s="135"/>
    </row>
    <row r="42260" spans="20:21" ht="15" customHeight="1" x14ac:dyDescent="0.25">
      <c r="T42260" s="135"/>
      <c r="U42260" s="135"/>
    </row>
    <row r="42261" spans="20:21" ht="15" customHeight="1" x14ac:dyDescent="0.25">
      <c r="T42261" s="135"/>
      <c r="U42261" s="135"/>
    </row>
    <row r="42262" spans="20:21" ht="15" customHeight="1" x14ac:dyDescent="0.25">
      <c r="T42262" s="135"/>
      <c r="U42262" s="135"/>
    </row>
    <row r="42263" spans="20:21" ht="15" customHeight="1" x14ac:dyDescent="0.25">
      <c r="T42263" s="135"/>
      <c r="U42263" s="135"/>
    </row>
    <row r="42264" spans="20:21" ht="15" customHeight="1" x14ac:dyDescent="0.25">
      <c r="T42264" s="135"/>
      <c r="U42264" s="135"/>
    </row>
    <row r="42265" spans="20:21" ht="15" customHeight="1" x14ac:dyDescent="0.25">
      <c r="T42265" s="135"/>
      <c r="U42265" s="135"/>
    </row>
    <row r="42266" spans="20:21" ht="15" customHeight="1" x14ac:dyDescent="0.25">
      <c r="T42266" s="135"/>
      <c r="U42266" s="135"/>
    </row>
    <row r="42267" spans="20:21" ht="15" customHeight="1" x14ac:dyDescent="0.25">
      <c r="T42267" s="135"/>
      <c r="U42267" s="135"/>
    </row>
    <row r="42268" spans="20:21" ht="15" customHeight="1" x14ac:dyDescent="0.25">
      <c r="T42268" s="135"/>
      <c r="U42268" s="135"/>
    </row>
    <row r="42269" spans="20:21" ht="15" customHeight="1" x14ac:dyDescent="0.25">
      <c r="T42269" s="135"/>
      <c r="U42269" s="135"/>
    </row>
    <row r="42270" spans="20:21" ht="15" customHeight="1" x14ac:dyDescent="0.25">
      <c r="T42270" s="135"/>
      <c r="U42270" s="135"/>
    </row>
    <row r="42271" spans="20:21" ht="15" customHeight="1" x14ac:dyDescent="0.25">
      <c r="T42271" s="135"/>
      <c r="U42271" s="135"/>
    </row>
    <row r="42272" spans="20:21" ht="15" customHeight="1" x14ac:dyDescent="0.25">
      <c r="T42272" s="135"/>
      <c r="U42272" s="135"/>
    </row>
    <row r="42273" spans="20:21" ht="15" customHeight="1" x14ac:dyDescent="0.25">
      <c r="T42273" s="135"/>
      <c r="U42273" s="135"/>
    </row>
    <row r="42274" spans="20:21" ht="15" customHeight="1" x14ac:dyDescent="0.25">
      <c r="T42274" s="135"/>
      <c r="U42274" s="135"/>
    </row>
    <row r="42275" spans="20:21" ht="15" customHeight="1" x14ac:dyDescent="0.25">
      <c r="T42275" s="135"/>
      <c r="U42275" s="135"/>
    </row>
    <row r="42276" spans="20:21" ht="15" customHeight="1" x14ac:dyDescent="0.25">
      <c r="T42276" s="135"/>
      <c r="U42276" s="135"/>
    </row>
    <row r="42277" spans="20:21" ht="15" customHeight="1" x14ac:dyDescent="0.25">
      <c r="T42277" s="135"/>
      <c r="U42277" s="135"/>
    </row>
    <row r="42278" spans="20:21" ht="15" customHeight="1" x14ac:dyDescent="0.25">
      <c r="T42278" s="135"/>
      <c r="U42278" s="135"/>
    </row>
    <row r="42279" spans="20:21" ht="15" customHeight="1" x14ac:dyDescent="0.25">
      <c r="T42279" s="135"/>
      <c r="U42279" s="135"/>
    </row>
    <row r="42280" spans="20:21" ht="15" customHeight="1" x14ac:dyDescent="0.25">
      <c r="T42280" s="135"/>
      <c r="U42280" s="135"/>
    </row>
    <row r="42281" spans="20:21" ht="15" customHeight="1" x14ac:dyDescent="0.25">
      <c r="T42281" s="135"/>
      <c r="U42281" s="135"/>
    </row>
    <row r="42282" spans="20:21" ht="15" customHeight="1" x14ac:dyDescent="0.25">
      <c r="T42282" s="135"/>
      <c r="U42282" s="135"/>
    </row>
    <row r="42283" spans="20:21" ht="15" customHeight="1" x14ac:dyDescent="0.25">
      <c r="T42283" s="135"/>
      <c r="U42283" s="135"/>
    </row>
    <row r="42284" spans="20:21" ht="15" customHeight="1" x14ac:dyDescent="0.25">
      <c r="T42284" s="135"/>
      <c r="U42284" s="135"/>
    </row>
    <row r="42285" spans="20:21" ht="15" customHeight="1" x14ac:dyDescent="0.25">
      <c r="T42285" s="135"/>
      <c r="U42285" s="135"/>
    </row>
    <row r="42286" spans="20:21" ht="15" customHeight="1" x14ac:dyDescent="0.25">
      <c r="T42286" s="135"/>
      <c r="U42286" s="135"/>
    </row>
    <row r="42287" spans="20:21" ht="15" customHeight="1" x14ac:dyDescent="0.25">
      <c r="T42287" s="135"/>
      <c r="U42287" s="135"/>
    </row>
    <row r="42288" spans="20:21" ht="15" customHeight="1" x14ac:dyDescent="0.25">
      <c r="T42288" s="135"/>
      <c r="U42288" s="135"/>
    </row>
    <row r="42289" spans="20:21" ht="15" customHeight="1" x14ac:dyDescent="0.25">
      <c r="T42289" s="135"/>
      <c r="U42289" s="135"/>
    </row>
    <row r="42290" spans="20:21" ht="15" customHeight="1" x14ac:dyDescent="0.25">
      <c r="T42290" s="135"/>
      <c r="U42290" s="135"/>
    </row>
    <row r="42291" spans="20:21" ht="15" customHeight="1" x14ac:dyDescent="0.25">
      <c r="T42291" s="135"/>
      <c r="U42291" s="135"/>
    </row>
    <row r="42292" spans="20:21" ht="15" customHeight="1" x14ac:dyDescent="0.25">
      <c r="T42292" s="135"/>
      <c r="U42292" s="135"/>
    </row>
    <row r="42293" spans="20:21" ht="15" customHeight="1" x14ac:dyDescent="0.25">
      <c r="T42293" s="135"/>
      <c r="U42293" s="135"/>
    </row>
    <row r="42294" spans="20:21" ht="15" customHeight="1" x14ac:dyDescent="0.25">
      <c r="T42294" s="135"/>
      <c r="U42294" s="135"/>
    </row>
    <row r="42295" spans="20:21" ht="15" customHeight="1" x14ac:dyDescent="0.25">
      <c r="T42295" s="135"/>
      <c r="U42295" s="135"/>
    </row>
    <row r="42296" spans="20:21" ht="15" customHeight="1" x14ac:dyDescent="0.25">
      <c r="T42296" s="135"/>
      <c r="U42296" s="135"/>
    </row>
    <row r="42297" spans="20:21" ht="15" customHeight="1" x14ac:dyDescent="0.25">
      <c r="T42297" s="135"/>
      <c r="U42297" s="135"/>
    </row>
    <row r="42298" spans="20:21" ht="15" customHeight="1" x14ac:dyDescent="0.25">
      <c r="T42298" s="135"/>
      <c r="U42298" s="135"/>
    </row>
    <row r="42299" spans="20:21" ht="15" customHeight="1" x14ac:dyDescent="0.25">
      <c r="T42299" s="135"/>
      <c r="U42299" s="135"/>
    </row>
    <row r="42300" spans="20:21" ht="15" customHeight="1" x14ac:dyDescent="0.25">
      <c r="T42300" s="135"/>
      <c r="U42300" s="135"/>
    </row>
    <row r="42301" spans="20:21" ht="15" customHeight="1" x14ac:dyDescent="0.25">
      <c r="T42301" s="135"/>
      <c r="U42301" s="135"/>
    </row>
    <row r="42302" spans="20:21" ht="15" customHeight="1" x14ac:dyDescent="0.25">
      <c r="T42302" s="135"/>
      <c r="U42302" s="135"/>
    </row>
    <row r="42303" spans="20:21" ht="15" customHeight="1" x14ac:dyDescent="0.25">
      <c r="T42303" s="135"/>
      <c r="U42303" s="135"/>
    </row>
    <row r="42304" spans="20:21" ht="15" customHeight="1" x14ac:dyDescent="0.25">
      <c r="T42304" s="135"/>
      <c r="U42304" s="135"/>
    </row>
    <row r="42305" spans="20:21" ht="15" customHeight="1" x14ac:dyDescent="0.25">
      <c r="T42305" s="135"/>
      <c r="U42305" s="135"/>
    </row>
    <row r="42306" spans="20:21" ht="15" customHeight="1" x14ac:dyDescent="0.25">
      <c r="T42306" s="135"/>
      <c r="U42306" s="135"/>
    </row>
    <row r="42307" spans="20:21" ht="15" customHeight="1" x14ac:dyDescent="0.25">
      <c r="T42307" s="135"/>
      <c r="U42307" s="135"/>
    </row>
    <row r="42308" spans="20:21" ht="15" customHeight="1" x14ac:dyDescent="0.25">
      <c r="T42308" s="135"/>
      <c r="U42308" s="135"/>
    </row>
    <row r="42309" spans="20:21" ht="15" customHeight="1" x14ac:dyDescent="0.25">
      <c r="T42309" s="135"/>
      <c r="U42309" s="135"/>
    </row>
    <row r="42310" spans="20:21" ht="15" customHeight="1" x14ac:dyDescent="0.25">
      <c r="T42310" s="135"/>
      <c r="U42310" s="135"/>
    </row>
    <row r="42311" spans="20:21" ht="15" customHeight="1" x14ac:dyDescent="0.25">
      <c r="T42311" s="135"/>
      <c r="U42311" s="135"/>
    </row>
    <row r="42312" spans="20:21" ht="15" customHeight="1" x14ac:dyDescent="0.25">
      <c r="T42312" s="135"/>
      <c r="U42312" s="135"/>
    </row>
    <row r="42313" spans="20:21" ht="15" customHeight="1" x14ac:dyDescent="0.25">
      <c r="T42313" s="135"/>
      <c r="U42313" s="135"/>
    </row>
    <row r="42314" spans="20:21" ht="15" customHeight="1" x14ac:dyDescent="0.25">
      <c r="T42314" s="135"/>
      <c r="U42314" s="135"/>
    </row>
    <row r="42315" spans="20:21" ht="15" customHeight="1" x14ac:dyDescent="0.25">
      <c r="T42315" s="135"/>
      <c r="U42315" s="135"/>
    </row>
    <row r="42316" spans="20:21" ht="15" customHeight="1" x14ac:dyDescent="0.25">
      <c r="T42316" s="135"/>
      <c r="U42316" s="135"/>
    </row>
    <row r="42317" spans="20:21" ht="15" customHeight="1" x14ac:dyDescent="0.25">
      <c r="T42317" s="135"/>
      <c r="U42317" s="135"/>
    </row>
    <row r="42318" spans="20:21" ht="15" customHeight="1" x14ac:dyDescent="0.25">
      <c r="T42318" s="135"/>
      <c r="U42318" s="135"/>
    </row>
    <row r="42319" spans="20:21" ht="15" customHeight="1" x14ac:dyDescent="0.25">
      <c r="T42319" s="135"/>
      <c r="U42319" s="135"/>
    </row>
    <row r="42320" spans="20:21" ht="15" customHeight="1" x14ac:dyDescent="0.25">
      <c r="T42320" s="135"/>
      <c r="U42320" s="135"/>
    </row>
    <row r="42321" spans="20:21" ht="15" customHeight="1" x14ac:dyDescent="0.25">
      <c r="T42321" s="135"/>
      <c r="U42321" s="135"/>
    </row>
    <row r="42322" spans="20:21" ht="15" customHeight="1" x14ac:dyDescent="0.25">
      <c r="T42322" s="135"/>
      <c r="U42322" s="135"/>
    </row>
    <row r="42323" spans="20:21" ht="15" customHeight="1" x14ac:dyDescent="0.25">
      <c r="T42323" s="135"/>
      <c r="U42323" s="135"/>
    </row>
    <row r="42324" spans="20:21" ht="15" customHeight="1" x14ac:dyDescent="0.25">
      <c r="T42324" s="135"/>
      <c r="U42324" s="135"/>
    </row>
    <row r="42325" spans="20:21" ht="15" customHeight="1" x14ac:dyDescent="0.25">
      <c r="T42325" s="135"/>
      <c r="U42325" s="135"/>
    </row>
    <row r="42326" spans="20:21" ht="15" customHeight="1" x14ac:dyDescent="0.25">
      <c r="T42326" s="135"/>
      <c r="U42326" s="135"/>
    </row>
    <row r="42327" spans="20:21" ht="15" customHeight="1" x14ac:dyDescent="0.25">
      <c r="T42327" s="135"/>
      <c r="U42327" s="135"/>
    </row>
    <row r="42328" spans="20:21" ht="15" customHeight="1" x14ac:dyDescent="0.25">
      <c r="T42328" s="135"/>
      <c r="U42328" s="135"/>
    </row>
    <row r="42329" spans="20:21" ht="15" customHeight="1" x14ac:dyDescent="0.25">
      <c r="T42329" s="135"/>
      <c r="U42329" s="135"/>
    </row>
    <row r="42330" spans="20:21" ht="15" customHeight="1" x14ac:dyDescent="0.25">
      <c r="T42330" s="135"/>
      <c r="U42330" s="135"/>
    </row>
    <row r="42331" spans="20:21" ht="15" customHeight="1" x14ac:dyDescent="0.25">
      <c r="T42331" s="135"/>
      <c r="U42331" s="135"/>
    </row>
    <row r="42332" spans="20:21" ht="15" customHeight="1" x14ac:dyDescent="0.25">
      <c r="T42332" s="135"/>
      <c r="U42332" s="135"/>
    </row>
    <row r="42333" spans="20:21" ht="15" customHeight="1" x14ac:dyDescent="0.25">
      <c r="T42333" s="135"/>
      <c r="U42333" s="135"/>
    </row>
    <row r="42334" spans="20:21" ht="15" customHeight="1" x14ac:dyDescent="0.25">
      <c r="T42334" s="135"/>
      <c r="U42334" s="135"/>
    </row>
    <row r="42335" spans="20:21" ht="15" customHeight="1" x14ac:dyDescent="0.25">
      <c r="T42335" s="135"/>
      <c r="U42335" s="135"/>
    </row>
    <row r="42336" spans="20:21" ht="15" customHeight="1" x14ac:dyDescent="0.25">
      <c r="T42336" s="135"/>
      <c r="U42336" s="135"/>
    </row>
    <row r="42337" spans="20:21" ht="15" customHeight="1" x14ac:dyDescent="0.25">
      <c r="T42337" s="135"/>
      <c r="U42337" s="135"/>
    </row>
    <row r="42338" spans="20:21" ht="15" customHeight="1" x14ac:dyDescent="0.25">
      <c r="T42338" s="135"/>
      <c r="U42338" s="135"/>
    </row>
    <row r="42339" spans="20:21" ht="15" customHeight="1" x14ac:dyDescent="0.25">
      <c r="T42339" s="135"/>
      <c r="U42339" s="135"/>
    </row>
    <row r="42340" spans="20:21" ht="15" customHeight="1" x14ac:dyDescent="0.25">
      <c r="T42340" s="135"/>
      <c r="U42340" s="135"/>
    </row>
    <row r="42341" spans="20:21" ht="15" customHeight="1" x14ac:dyDescent="0.25">
      <c r="T42341" s="135"/>
      <c r="U42341" s="135"/>
    </row>
    <row r="42342" spans="20:21" ht="15" customHeight="1" x14ac:dyDescent="0.25">
      <c r="T42342" s="135"/>
      <c r="U42342" s="135"/>
    </row>
    <row r="42343" spans="20:21" ht="15" customHeight="1" x14ac:dyDescent="0.25">
      <c r="T42343" s="135"/>
      <c r="U42343" s="135"/>
    </row>
    <row r="42344" spans="20:21" ht="15" customHeight="1" x14ac:dyDescent="0.25">
      <c r="T42344" s="135"/>
      <c r="U42344" s="135"/>
    </row>
    <row r="42345" spans="20:21" ht="15" customHeight="1" x14ac:dyDescent="0.25">
      <c r="T42345" s="135"/>
      <c r="U42345" s="135"/>
    </row>
    <row r="42346" spans="20:21" ht="15" customHeight="1" x14ac:dyDescent="0.25">
      <c r="T42346" s="135"/>
      <c r="U42346" s="135"/>
    </row>
    <row r="42347" spans="20:21" ht="15" customHeight="1" x14ac:dyDescent="0.25">
      <c r="T42347" s="135"/>
      <c r="U42347" s="135"/>
    </row>
    <row r="42348" spans="20:21" ht="15" customHeight="1" x14ac:dyDescent="0.25">
      <c r="T42348" s="135"/>
      <c r="U42348" s="135"/>
    </row>
    <row r="42349" spans="20:21" ht="15" customHeight="1" x14ac:dyDescent="0.25">
      <c r="T42349" s="135"/>
      <c r="U42349" s="135"/>
    </row>
    <row r="42350" spans="20:21" ht="15" customHeight="1" x14ac:dyDescent="0.25">
      <c r="T42350" s="135"/>
      <c r="U42350" s="135"/>
    </row>
    <row r="42351" spans="20:21" ht="15" customHeight="1" x14ac:dyDescent="0.25">
      <c r="T42351" s="135"/>
      <c r="U42351" s="135"/>
    </row>
    <row r="42352" spans="20:21" ht="15" customHeight="1" x14ac:dyDescent="0.25">
      <c r="T42352" s="135"/>
      <c r="U42352" s="135"/>
    </row>
    <row r="42353" spans="20:21" ht="15" customHeight="1" x14ac:dyDescent="0.25">
      <c r="T42353" s="135"/>
      <c r="U42353" s="135"/>
    </row>
    <row r="42354" spans="20:21" ht="15" customHeight="1" x14ac:dyDescent="0.25">
      <c r="T42354" s="135"/>
      <c r="U42354" s="135"/>
    </row>
    <row r="42355" spans="20:21" ht="15" customHeight="1" x14ac:dyDescent="0.25">
      <c r="T42355" s="135"/>
      <c r="U42355" s="135"/>
    </row>
    <row r="42356" spans="20:21" ht="15" customHeight="1" x14ac:dyDescent="0.25">
      <c r="T42356" s="135"/>
      <c r="U42356" s="135"/>
    </row>
    <row r="42357" spans="20:21" ht="15" customHeight="1" x14ac:dyDescent="0.25">
      <c r="T42357" s="135"/>
      <c r="U42357" s="135"/>
    </row>
    <row r="42358" spans="20:21" ht="15" customHeight="1" x14ac:dyDescent="0.25">
      <c r="T42358" s="135"/>
      <c r="U42358" s="135"/>
    </row>
    <row r="42359" spans="20:21" ht="15" customHeight="1" x14ac:dyDescent="0.25">
      <c r="T42359" s="135"/>
      <c r="U42359" s="135"/>
    </row>
    <row r="42360" spans="20:21" ht="15" customHeight="1" x14ac:dyDescent="0.25">
      <c r="T42360" s="135"/>
      <c r="U42360" s="135"/>
    </row>
    <row r="42361" spans="20:21" ht="15" customHeight="1" x14ac:dyDescent="0.25">
      <c r="T42361" s="135"/>
      <c r="U42361" s="135"/>
    </row>
    <row r="42362" spans="20:21" ht="15" customHeight="1" x14ac:dyDescent="0.25">
      <c r="T42362" s="135"/>
      <c r="U42362" s="135"/>
    </row>
    <row r="42363" spans="20:21" ht="15" customHeight="1" x14ac:dyDescent="0.25">
      <c r="T42363" s="135"/>
      <c r="U42363" s="135"/>
    </row>
    <row r="42364" spans="20:21" ht="15" customHeight="1" x14ac:dyDescent="0.25">
      <c r="T42364" s="135"/>
      <c r="U42364" s="135"/>
    </row>
    <row r="42365" spans="20:21" ht="15" customHeight="1" x14ac:dyDescent="0.25">
      <c r="T42365" s="135"/>
      <c r="U42365" s="135"/>
    </row>
    <row r="42366" spans="20:21" ht="15" customHeight="1" x14ac:dyDescent="0.25">
      <c r="T42366" s="135"/>
      <c r="U42366" s="135"/>
    </row>
    <row r="42367" spans="20:21" ht="15" customHeight="1" x14ac:dyDescent="0.25">
      <c r="T42367" s="135"/>
      <c r="U42367" s="135"/>
    </row>
    <row r="42368" spans="20:21" ht="15" customHeight="1" x14ac:dyDescent="0.25">
      <c r="T42368" s="135"/>
      <c r="U42368" s="135"/>
    </row>
    <row r="42369" spans="20:21" ht="15" customHeight="1" x14ac:dyDescent="0.25">
      <c r="T42369" s="135"/>
      <c r="U42369" s="135"/>
    </row>
    <row r="42370" spans="20:21" ht="15" customHeight="1" x14ac:dyDescent="0.25">
      <c r="T42370" s="135"/>
      <c r="U42370" s="135"/>
    </row>
    <row r="42371" spans="20:21" ht="15" customHeight="1" x14ac:dyDescent="0.25">
      <c r="T42371" s="135"/>
      <c r="U42371" s="135"/>
    </row>
    <row r="42372" spans="20:21" ht="15" customHeight="1" x14ac:dyDescent="0.25">
      <c r="T42372" s="135"/>
      <c r="U42372" s="135"/>
    </row>
    <row r="42373" spans="20:21" ht="15" customHeight="1" x14ac:dyDescent="0.25">
      <c r="T42373" s="135"/>
      <c r="U42373" s="135"/>
    </row>
    <row r="42374" spans="20:21" ht="15" customHeight="1" x14ac:dyDescent="0.25">
      <c r="T42374" s="135"/>
      <c r="U42374" s="135"/>
    </row>
    <row r="42375" spans="20:21" ht="15" customHeight="1" x14ac:dyDescent="0.25">
      <c r="T42375" s="135"/>
      <c r="U42375" s="135"/>
    </row>
    <row r="42376" spans="20:21" ht="15" customHeight="1" x14ac:dyDescent="0.25">
      <c r="T42376" s="135"/>
      <c r="U42376" s="135"/>
    </row>
    <row r="42377" spans="20:21" ht="15" customHeight="1" x14ac:dyDescent="0.25">
      <c r="T42377" s="135"/>
      <c r="U42377" s="135"/>
    </row>
    <row r="42378" spans="20:21" ht="15" customHeight="1" x14ac:dyDescent="0.25">
      <c r="T42378" s="135"/>
      <c r="U42378" s="135"/>
    </row>
    <row r="42379" spans="20:21" ht="15" customHeight="1" x14ac:dyDescent="0.25">
      <c r="T42379" s="135"/>
      <c r="U42379" s="135"/>
    </row>
    <row r="42380" spans="20:21" ht="15" customHeight="1" x14ac:dyDescent="0.25">
      <c r="T42380" s="135"/>
      <c r="U42380" s="135"/>
    </row>
    <row r="42381" spans="20:21" ht="15" customHeight="1" x14ac:dyDescent="0.25">
      <c r="T42381" s="135"/>
      <c r="U42381" s="135"/>
    </row>
    <row r="42382" spans="20:21" ht="15" customHeight="1" x14ac:dyDescent="0.25">
      <c r="T42382" s="135"/>
      <c r="U42382" s="135"/>
    </row>
    <row r="42383" spans="20:21" ht="15" customHeight="1" x14ac:dyDescent="0.25">
      <c r="T42383" s="135"/>
      <c r="U42383" s="135"/>
    </row>
    <row r="42384" spans="20:21" ht="15" customHeight="1" x14ac:dyDescent="0.25">
      <c r="T42384" s="135"/>
      <c r="U42384" s="135"/>
    </row>
    <row r="42385" spans="20:21" ht="15" customHeight="1" x14ac:dyDescent="0.25">
      <c r="T42385" s="135"/>
      <c r="U42385" s="135"/>
    </row>
    <row r="42386" spans="20:21" ht="15" customHeight="1" x14ac:dyDescent="0.25">
      <c r="T42386" s="135"/>
      <c r="U42386" s="135"/>
    </row>
    <row r="42387" spans="20:21" ht="15" customHeight="1" x14ac:dyDescent="0.25">
      <c r="T42387" s="135"/>
      <c r="U42387" s="135"/>
    </row>
    <row r="42388" spans="20:21" ht="15" customHeight="1" x14ac:dyDescent="0.25">
      <c r="T42388" s="135"/>
      <c r="U42388" s="135"/>
    </row>
    <row r="42389" spans="20:21" ht="15" customHeight="1" x14ac:dyDescent="0.25">
      <c r="T42389" s="135"/>
      <c r="U42389" s="135"/>
    </row>
    <row r="42390" spans="20:21" ht="15" customHeight="1" x14ac:dyDescent="0.25">
      <c r="T42390" s="135"/>
      <c r="U42390" s="135"/>
    </row>
    <row r="42391" spans="20:21" ht="15" customHeight="1" x14ac:dyDescent="0.25">
      <c r="T42391" s="135"/>
      <c r="U42391" s="135"/>
    </row>
    <row r="42392" spans="20:21" ht="15" customHeight="1" x14ac:dyDescent="0.25">
      <c r="T42392" s="135"/>
      <c r="U42392" s="135"/>
    </row>
    <row r="42393" spans="20:21" ht="15" customHeight="1" x14ac:dyDescent="0.25">
      <c r="T42393" s="135"/>
      <c r="U42393" s="135"/>
    </row>
    <row r="42394" spans="20:21" ht="15" customHeight="1" x14ac:dyDescent="0.25">
      <c r="T42394" s="135"/>
      <c r="U42394" s="135"/>
    </row>
    <row r="42395" spans="20:21" ht="15" customHeight="1" x14ac:dyDescent="0.25">
      <c r="T42395" s="135"/>
      <c r="U42395" s="135"/>
    </row>
    <row r="42396" spans="20:21" ht="15" customHeight="1" x14ac:dyDescent="0.25">
      <c r="T42396" s="135"/>
      <c r="U42396" s="135"/>
    </row>
    <row r="42397" spans="20:21" ht="15" customHeight="1" x14ac:dyDescent="0.25">
      <c r="T42397" s="135"/>
      <c r="U42397" s="135"/>
    </row>
    <row r="42398" spans="20:21" ht="15" customHeight="1" x14ac:dyDescent="0.25">
      <c r="T42398" s="135"/>
      <c r="U42398" s="135"/>
    </row>
    <row r="42399" spans="20:21" ht="15" customHeight="1" x14ac:dyDescent="0.25">
      <c r="T42399" s="135"/>
      <c r="U42399" s="135"/>
    </row>
    <row r="42400" spans="20:21" ht="15" customHeight="1" x14ac:dyDescent="0.25">
      <c r="T42400" s="135"/>
      <c r="U42400" s="135"/>
    </row>
    <row r="42401" spans="20:21" ht="15" customHeight="1" x14ac:dyDescent="0.25">
      <c r="T42401" s="135"/>
      <c r="U42401" s="135"/>
    </row>
    <row r="42402" spans="20:21" ht="15" customHeight="1" x14ac:dyDescent="0.25">
      <c r="T42402" s="135"/>
      <c r="U42402" s="135"/>
    </row>
    <row r="42403" spans="20:21" ht="15" customHeight="1" x14ac:dyDescent="0.25">
      <c r="T42403" s="135"/>
      <c r="U42403" s="135"/>
    </row>
    <row r="42404" spans="20:21" ht="15" customHeight="1" x14ac:dyDescent="0.25">
      <c r="T42404" s="135"/>
      <c r="U42404" s="135"/>
    </row>
    <row r="42405" spans="20:21" ht="15" customHeight="1" x14ac:dyDescent="0.25">
      <c r="T42405" s="135"/>
      <c r="U42405" s="135"/>
    </row>
    <row r="42406" spans="20:21" ht="15" customHeight="1" x14ac:dyDescent="0.25">
      <c r="T42406" s="135"/>
      <c r="U42406" s="135"/>
    </row>
    <row r="42407" spans="20:21" ht="15" customHeight="1" x14ac:dyDescent="0.25">
      <c r="T42407" s="135"/>
      <c r="U42407" s="135"/>
    </row>
    <row r="42408" spans="20:21" ht="15" customHeight="1" x14ac:dyDescent="0.25">
      <c r="T42408" s="135"/>
      <c r="U42408" s="135"/>
    </row>
    <row r="42409" spans="20:21" ht="15" customHeight="1" x14ac:dyDescent="0.25">
      <c r="T42409" s="135"/>
      <c r="U42409" s="135"/>
    </row>
    <row r="42410" spans="20:21" ht="15" customHeight="1" x14ac:dyDescent="0.25">
      <c r="T42410" s="135"/>
      <c r="U42410" s="135"/>
    </row>
    <row r="42411" spans="20:21" ht="15" customHeight="1" x14ac:dyDescent="0.25">
      <c r="T42411" s="135"/>
      <c r="U42411" s="135"/>
    </row>
    <row r="42412" spans="20:21" ht="15" customHeight="1" x14ac:dyDescent="0.25">
      <c r="T42412" s="135"/>
      <c r="U42412" s="135"/>
    </row>
    <row r="42413" spans="20:21" ht="15" customHeight="1" x14ac:dyDescent="0.25">
      <c r="T42413" s="135"/>
      <c r="U42413" s="135"/>
    </row>
    <row r="42414" spans="20:21" ht="15" customHeight="1" x14ac:dyDescent="0.25">
      <c r="T42414" s="135"/>
      <c r="U42414" s="135"/>
    </row>
    <row r="42415" spans="20:21" ht="15" customHeight="1" x14ac:dyDescent="0.25">
      <c r="T42415" s="135"/>
      <c r="U42415" s="135"/>
    </row>
    <row r="42416" spans="20:21" ht="15" customHeight="1" x14ac:dyDescent="0.25">
      <c r="T42416" s="135"/>
      <c r="U42416" s="135"/>
    </row>
    <row r="42417" spans="20:21" ht="15" customHeight="1" x14ac:dyDescent="0.25">
      <c r="T42417" s="135"/>
      <c r="U42417" s="135"/>
    </row>
    <row r="42418" spans="20:21" ht="15" customHeight="1" x14ac:dyDescent="0.25">
      <c r="T42418" s="135"/>
      <c r="U42418" s="135"/>
    </row>
    <row r="42419" spans="20:21" ht="15" customHeight="1" x14ac:dyDescent="0.25">
      <c r="T42419" s="135"/>
      <c r="U42419" s="135"/>
    </row>
    <row r="42420" spans="20:21" ht="15" customHeight="1" x14ac:dyDescent="0.25">
      <c r="T42420" s="135"/>
      <c r="U42420" s="135"/>
    </row>
    <row r="42421" spans="20:21" ht="15" customHeight="1" x14ac:dyDescent="0.25">
      <c r="T42421" s="135"/>
      <c r="U42421" s="135"/>
    </row>
    <row r="42422" spans="20:21" ht="15" customHeight="1" x14ac:dyDescent="0.25">
      <c r="T42422" s="135"/>
      <c r="U42422" s="135"/>
    </row>
    <row r="42423" spans="20:21" ht="15" customHeight="1" x14ac:dyDescent="0.25">
      <c r="T42423" s="135"/>
      <c r="U42423" s="135"/>
    </row>
    <row r="42424" spans="20:21" ht="15" customHeight="1" x14ac:dyDescent="0.25">
      <c r="T42424" s="135"/>
      <c r="U42424" s="135"/>
    </row>
    <row r="42425" spans="20:21" ht="15" customHeight="1" x14ac:dyDescent="0.25">
      <c r="T42425" s="135"/>
      <c r="U42425" s="135"/>
    </row>
    <row r="42426" spans="20:21" ht="15" customHeight="1" x14ac:dyDescent="0.25">
      <c r="T42426" s="135"/>
      <c r="U42426" s="135"/>
    </row>
    <row r="42427" spans="20:21" ht="15" customHeight="1" x14ac:dyDescent="0.25">
      <c r="T42427" s="135"/>
      <c r="U42427" s="135"/>
    </row>
    <row r="42428" spans="20:21" ht="15" customHeight="1" x14ac:dyDescent="0.25">
      <c r="T42428" s="135"/>
      <c r="U42428" s="135"/>
    </row>
    <row r="42429" spans="20:21" ht="15" customHeight="1" x14ac:dyDescent="0.25">
      <c r="T42429" s="135"/>
      <c r="U42429" s="135"/>
    </row>
    <row r="42430" spans="20:21" ht="15" customHeight="1" x14ac:dyDescent="0.25">
      <c r="T42430" s="135"/>
      <c r="U42430" s="135"/>
    </row>
    <row r="42431" spans="20:21" ht="15" customHeight="1" x14ac:dyDescent="0.25">
      <c r="T42431" s="135"/>
      <c r="U42431" s="135"/>
    </row>
    <row r="42432" spans="20:21" ht="15" customHeight="1" x14ac:dyDescent="0.25">
      <c r="T42432" s="135"/>
      <c r="U42432" s="135"/>
    </row>
    <row r="42433" spans="20:21" ht="15" customHeight="1" x14ac:dyDescent="0.25">
      <c r="T42433" s="135"/>
      <c r="U42433" s="135"/>
    </row>
    <row r="42434" spans="20:21" ht="15" customHeight="1" x14ac:dyDescent="0.25">
      <c r="T42434" s="135"/>
      <c r="U42434" s="135"/>
    </row>
    <row r="42435" spans="20:21" ht="15" customHeight="1" x14ac:dyDescent="0.25">
      <c r="T42435" s="135"/>
      <c r="U42435" s="135"/>
    </row>
    <row r="42436" spans="20:21" ht="15" customHeight="1" x14ac:dyDescent="0.25">
      <c r="T42436" s="135"/>
      <c r="U42436" s="135"/>
    </row>
    <row r="42437" spans="20:21" ht="15" customHeight="1" x14ac:dyDescent="0.25">
      <c r="T42437" s="135"/>
      <c r="U42437" s="135"/>
    </row>
    <row r="42438" spans="20:21" ht="15" customHeight="1" x14ac:dyDescent="0.25">
      <c r="T42438" s="135"/>
      <c r="U42438" s="135"/>
    </row>
    <row r="42439" spans="20:21" ht="15" customHeight="1" x14ac:dyDescent="0.25">
      <c r="T42439" s="135"/>
      <c r="U42439" s="135"/>
    </row>
    <row r="42440" spans="20:21" ht="15" customHeight="1" x14ac:dyDescent="0.25">
      <c r="T42440" s="135"/>
      <c r="U42440" s="135"/>
    </row>
    <row r="42441" spans="20:21" ht="15" customHeight="1" x14ac:dyDescent="0.25">
      <c r="T42441" s="135"/>
      <c r="U42441" s="135"/>
    </row>
    <row r="42442" spans="20:21" ht="15" customHeight="1" x14ac:dyDescent="0.25">
      <c r="T42442" s="135"/>
      <c r="U42442" s="135"/>
    </row>
    <row r="42443" spans="20:21" ht="15" customHeight="1" x14ac:dyDescent="0.25">
      <c r="T42443" s="135"/>
      <c r="U42443" s="135"/>
    </row>
    <row r="42444" spans="20:21" ht="15" customHeight="1" x14ac:dyDescent="0.25">
      <c r="T42444" s="135"/>
      <c r="U42444" s="135"/>
    </row>
    <row r="42445" spans="20:21" ht="15" customHeight="1" x14ac:dyDescent="0.25">
      <c r="T42445" s="135"/>
      <c r="U42445" s="135"/>
    </row>
    <row r="42446" spans="20:21" ht="15" customHeight="1" x14ac:dyDescent="0.25">
      <c r="T42446" s="135"/>
      <c r="U42446" s="135"/>
    </row>
    <row r="42447" spans="20:21" ht="15" customHeight="1" x14ac:dyDescent="0.25">
      <c r="T42447" s="135"/>
      <c r="U42447" s="135"/>
    </row>
    <row r="42448" spans="20:21" ht="15" customHeight="1" x14ac:dyDescent="0.25">
      <c r="T42448" s="135"/>
      <c r="U42448" s="135"/>
    </row>
    <row r="42449" spans="20:21" ht="15" customHeight="1" x14ac:dyDescent="0.25">
      <c r="T42449" s="135"/>
      <c r="U42449" s="135"/>
    </row>
    <row r="42450" spans="20:21" ht="15" customHeight="1" x14ac:dyDescent="0.25">
      <c r="T42450" s="135"/>
      <c r="U42450" s="135"/>
    </row>
    <row r="42451" spans="20:21" ht="15" customHeight="1" x14ac:dyDescent="0.25">
      <c r="T42451" s="135"/>
      <c r="U42451" s="135"/>
    </row>
    <row r="42452" spans="20:21" ht="15" customHeight="1" x14ac:dyDescent="0.25">
      <c r="T42452" s="135"/>
      <c r="U42452" s="135"/>
    </row>
    <row r="42453" spans="20:21" ht="15" customHeight="1" x14ac:dyDescent="0.25">
      <c r="T42453" s="135"/>
      <c r="U42453" s="135"/>
    </row>
    <row r="42454" spans="20:21" ht="15" customHeight="1" x14ac:dyDescent="0.25">
      <c r="T42454" s="135"/>
      <c r="U42454" s="135"/>
    </row>
    <row r="42455" spans="20:21" ht="15" customHeight="1" x14ac:dyDescent="0.25">
      <c r="T42455" s="135"/>
      <c r="U42455" s="135"/>
    </row>
    <row r="42456" spans="20:21" ht="15" customHeight="1" x14ac:dyDescent="0.25">
      <c r="T42456" s="135"/>
      <c r="U42456" s="135"/>
    </row>
    <row r="42457" spans="20:21" ht="15" customHeight="1" x14ac:dyDescent="0.25">
      <c r="T42457" s="135"/>
      <c r="U42457" s="135"/>
    </row>
    <row r="42458" spans="20:21" ht="15" customHeight="1" x14ac:dyDescent="0.25">
      <c r="T42458" s="135"/>
      <c r="U42458" s="135"/>
    </row>
    <row r="42459" spans="20:21" ht="15" customHeight="1" x14ac:dyDescent="0.25">
      <c r="T42459" s="135"/>
      <c r="U42459" s="135"/>
    </row>
    <row r="42460" spans="20:21" ht="15" customHeight="1" x14ac:dyDescent="0.25">
      <c r="T42460" s="135"/>
      <c r="U42460" s="135"/>
    </row>
    <row r="42461" spans="20:21" ht="15" customHeight="1" x14ac:dyDescent="0.25">
      <c r="T42461" s="135"/>
      <c r="U42461" s="135"/>
    </row>
    <row r="42462" spans="20:21" ht="15" customHeight="1" x14ac:dyDescent="0.25">
      <c r="T42462" s="135"/>
      <c r="U42462" s="135"/>
    </row>
    <row r="42463" spans="20:21" ht="15" customHeight="1" x14ac:dyDescent="0.25">
      <c r="T42463" s="135"/>
      <c r="U42463" s="135"/>
    </row>
    <row r="42464" spans="20:21" ht="15" customHeight="1" x14ac:dyDescent="0.25">
      <c r="T42464" s="135"/>
      <c r="U42464" s="135"/>
    </row>
    <row r="42465" spans="20:21" ht="15" customHeight="1" x14ac:dyDescent="0.25">
      <c r="T42465" s="135"/>
      <c r="U42465" s="135"/>
    </row>
    <row r="42466" spans="20:21" ht="15" customHeight="1" x14ac:dyDescent="0.25">
      <c r="T42466" s="135"/>
      <c r="U42466" s="135"/>
    </row>
    <row r="42467" spans="20:21" ht="15" customHeight="1" x14ac:dyDescent="0.25">
      <c r="T42467" s="135"/>
      <c r="U42467" s="135"/>
    </row>
    <row r="42468" spans="20:21" ht="15" customHeight="1" x14ac:dyDescent="0.25">
      <c r="T42468" s="135"/>
      <c r="U42468" s="135"/>
    </row>
    <row r="42469" spans="20:21" ht="15" customHeight="1" x14ac:dyDescent="0.25">
      <c r="T42469" s="135"/>
      <c r="U42469" s="135"/>
    </row>
    <row r="42470" spans="20:21" ht="15" customHeight="1" x14ac:dyDescent="0.25">
      <c r="T42470" s="135"/>
      <c r="U42470" s="135"/>
    </row>
    <row r="42471" spans="20:21" ht="15" customHeight="1" x14ac:dyDescent="0.25">
      <c r="T42471" s="135"/>
      <c r="U42471" s="135"/>
    </row>
    <row r="42472" spans="20:21" ht="15" customHeight="1" x14ac:dyDescent="0.25">
      <c r="T42472" s="135"/>
      <c r="U42472" s="135"/>
    </row>
    <row r="42473" spans="20:21" ht="15" customHeight="1" x14ac:dyDescent="0.25">
      <c r="T42473" s="135"/>
      <c r="U42473" s="135"/>
    </row>
    <row r="42474" spans="20:21" ht="15" customHeight="1" x14ac:dyDescent="0.25">
      <c r="T42474" s="135"/>
      <c r="U42474" s="135"/>
    </row>
    <row r="42475" spans="20:21" ht="15" customHeight="1" x14ac:dyDescent="0.25">
      <c r="T42475" s="135"/>
      <c r="U42475" s="135"/>
    </row>
    <row r="42476" spans="20:21" ht="15" customHeight="1" x14ac:dyDescent="0.25">
      <c r="T42476" s="135"/>
      <c r="U42476" s="135"/>
    </row>
    <row r="42477" spans="20:21" ht="15" customHeight="1" x14ac:dyDescent="0.25">
      <c r="T42477" s="135"/>
      <c r="U42477" s="135"/>
    </row>
    <row r="42478" spans="20:21" ht="15" customHeight="1" x14ac:dyDescent="0.25">
      <c r="T42478" s="135"/>
      <c r="U42478" s="135"/>
    </row>
    <row r="42479" spans="20:21" ht="15" customHeight="1" x14ac:dyDescent="0.25">
      <c r="T42479" s="135"/>
      <c r="U42479" s="135"/>
    </row>
    <row r="42480" spans="20:21" ht="15" customHeight="1" x14ac:dyDescent="0.25">
      <c r="T42480" s="135"/>
      <c r="U42480" s="135"/>
    </row>
    <row r="42481" spans="20:21" ht="15" customHeight="1" x14ac:dyDescent="0.25">
      <c r="T42481" s="135"/>
      <c r="U42481" s="135"/>
    </row>
    <row r="42482" spans="20:21" ht="15" customHeight="1" x14ac:dyDescent="0.25">
      <c r="T42482" s="135"/>
      <c r="U42482" s="135"/>
    </row>
    <row r="42483" spans="20:21" ht="15" customHeight="1" x14ac:dyDescent="0.25">
      <c r="T42483" s="135"/>
      <c r="U42483" s="135"/>
    </row>
    <row r="42484" spans="20:21" ht="15" customHeight="1" x14ac:dyDescent="0.25">
      <c r="T42484" s="135"/>
      <c r="U42484" s="135"/>
    </row>
    <row r="42485" spans="20:21" ht="15" customHeight="1" x14ac:dyDescent="0.25">
      <c r="T42485" s="135"/>
      <c r="U42485" s="135"/>
    </row>
    <row r="42486" spans="20:21" ht="15" customHeight="1" x14ac:dyDescent="0.25">
      <c r="T42486" s="135"/>
      <c r="U42486" s="135"/>
    </row>
    <row r="42487" spans="20:21" ht="15" customHeight="1" x14ac:dyDescent="0.25">
      <c r="T42487" s="135"/>
      <c r="U42487" s="135"/>
    </row>
    <row r="42488" spans="20:21" ht="15" customHeight="1" x14ac:dyDescent="0.25">
      <c r="T42488" s="135"/>
      <c r="U42488" s="135"/>
    </row>
    <row r="42489" spans="20:21" ht="15" customHeight="1" x14ac:dyDescent="0.25">
      <c r="T42489" s="135"/>
      <c r="U42489" s="135"/>
    </row>
    <row r="42490" spans="20:21" ht="15" customHeight="1" x14ac:dyDescent="0.25">
      <c r="T42490" s="135"/>
      <c r="U42490" s="135"/>
    </row>
    <row r="42491" spans="20:21" ht="15" customHeight="1" x14ac:dyDescent="0.25">
      <c r="T42491" s="135"/>
      <c r="U42491" s="135"/>
    </row>
    <row r="42492" spans="20:21" ht="15" customHeight="1" x14ac:dyDescent="0.25">
      <c r="T42492" s="135"/>
      <c r="U42492" s="135"/>
    </row>
    <row r="42493" spans="20:21" ht="15" customHeight="1" x14ac:dyDescent="0.25">
      <c r="T42493" s="135"/>
      <c r="U42493" s="135"/>
    </row>
    <row r="42494" spans="20:21" ht="15" customHeight="1" x14ac:dyDescent="0.25">
      <c r="T42494" s="135"/>
      <c r="U42494" s="135"/>
    </row>
    <row r="42495" spans="20:21" ht="15" customHeight="1" x14ac:dyDescent="0.25">
      <c r="T42495" s="135"/>
      <c r="U42495" s="135"/>
    </row>
    <row r="42496" spans="20:21" ht="15" customHeight="1" x14ac:dyDescent="0.25">
      <c r="T42496" s="135"/>
      <c r="U42496" s="135"/>
    </row>
    <row r="42497" spans="20:21" ht="15" customHeight="1" x14ac:dyDescent="0.25">
      <c r="T42497" s="135"/>
      <c r="U42497" s="135"/>
    </row>
    <row r="42498" spans="20:21" ht="15" customHeight="1" x14ac:dyDescent="0.25">
      <c r="T42498" s="135"/>
      <c r="U42498" s="135"/>
    </row>
    <row r="42499" spans="20:21" ht="15" customHeight="1" x14ac:dyDescent="0.25">
      <c r="T42499" s="135"/>
      <c r="U42499" s="135"/>
    </row>
    <row r="42500" spans="20:21" ht="15" customHeight="1" x14ac:dyDescent="0.25">
      <c r="T42500" s="135"/>
      <c r="U42500" s="135"/>
    </row>
    <row r="42501" spans="20:21" ht="15" customHeight="1" x14ac:dyDescent="0.25">
      <c r="T42501" s="135"/>
      <c r="U42501" s="135"/>
    </row>
    <row r="42502" spans="20:21" ht="15" customHeight="1" x14ac:dyDescent="0.25">
      <c r="T42502" s="135"/>
      <c r="U42502" s="135"/>
    </row>
    <row r="42503" spans="20:21" ht="15" customHeight="1" x14ac:dyDescent="0.25">
      <c r="T42503" s="135"/>
      <c r="U42503" s="135"/>
    </row>
    <row r="42504" spans="20:21" ht="15" customHeight="1" x14ac:dyDescent="0.25">
      <c r="T42504" s="135"/>
      <c r="U42504" s="135"/>
    </row>
    <row r="42505" spans="20:21" ht="15" customHeight="1" x14ac:dyDescent="0.25">
      <c r="T42505" s="135"/>
      <c r="U42505" s="135"/>
    </row>
    <row r="42506" spans="20:21" ht="15" customHeight="1" x14ac:dyDescent="0.25">
      <c r="T42506" s="135"/>
      <c r="U42506" s="135"/>
    </row>
    <row r="42507" spans="20:21" ht="15" customHeight="1" x14ac:dyDescent="0.25">
      <c r="T42507" s="135"/>
      <c r="U42507" s="135"/>
    </row>
    <row r="42508" spans="20:21" ht="15" customHeight="1" x14ac:dyDescent="0.25">
      <c r="T42508" s="135"/>
      <c r="U42508" s="135"/>
    </row>
    <row r="42509" spans="20:21" ht="15" customHeight="1" x14ac:dyDescent="0.25">
      <c r="T42509" s="135"/>
      <c r="U42509" s="135"/>
    </row>
    <row r="42510" spans="20:21" ht="15" customHeight="1" x14ac:dyDescent="0.25">
      <c r="T42510" s="135"/>
      <c r="U42510" s="135"/>
    </row>
    <row r="42511" spans="20:21" ht="15" customHeight="1" x14ac:dyDescent="0.25">
      <c r="T42511" s="135"/>
      <c r="U42511" s="135"/>
    </row>
    <row r="42512" spans="20:21" ht="15" customHeight="1" x14ac:dyDescent="0.25">
      <c r="T42512" s="135"/>
      <c r="U42512" s="135"/>
    </row>
    <row r="42513" spans="20:21" ht="15" customHeight="1" x14ac:dyDescent="0.25">
      <c r="T42513" s="135"/>
      <c r="U42513" s="135"/>
    </row>
    <row r="42514" spans="20:21" ht="15" customHeight="1" x14ac:dyDescent="0.25">
      <c r="T42514" s="135"/>
      <c r="U42514" s="135"/>
    </row>
    <row r="42515" spans="20:21" ht="15" customHeight="1" x14ac:dyDescent="0.25">
      <c r="T42515" s="135"/>
      <c r="U42515" s="135"/>
    </row>
    <row r="42516" spans="20:21" ht="15" customHeight="1" x14ac:dyDescent="0.25">
      <c r="T42516" s="135"/>
      <c r="U42516" s="135"/>
    </row>
    <row r="42517" spans="20:21" ht="15" customHeight="1" x14ac:dyDescent="0.25">
      <c r="T42517" s="135"/>
      <c r="U42517" s="135"/>
    </row>
    <row r="42518" spans="20:21" ht="15" customHeight="1" x14ac:dyDescent="0.25">
      <c r="T42518" s="135"/>
      <c r="U42518" s="135"/>
    </row>
    <row r="42519" spans="20:21" ht="15" customHeight="1" x14ac:dyDescent="0.25">
      <c r="T42519" s="135"/>
      <c r="U42519" s="135"/>
    </row>
    <row r="42520" spans="20:21" ht="15" customHeight="1" x14ac:dyDescent="0.25">
      <c r="T42520" s="135"/>
      <c r="U42520" s="135"/>
    </row>
    <row r="42521" spans="20:21" ht="15" customHeight="1" x14ac:dyDescent="0.25">
      <c r="T42521" s="135"/>
      <c r="U42521" s="135"/>
    </row>
    <row r="42522" spans="20:21" ht="15" customHeight="1" x14ac:dyDescent="0.25">
      <c r="T42522" s="135"/>
      <c r="U42522" s="135"/>
    </row>
    <row r="42523" spans="20:21" ht="15" customHeight="1" x14ac:dyDescent="0.25">
      <c r="T42523" s="135"/>
      <c r="U42523" s="135"/>
    </row>
    <row r="42524" spans="20:21" ht="15" customHeight="1" x14ac:dyDescent="0.25">
      <c r="T42524" s="135"/>
      <c r="U42524" s="135"/>
    </row>
    <row r="42525" spans="20:21" ht="15" customHeight="1" x14ac:dyDescent="0.25">
      <c r="T42525" s="135"/>
      <c r="U42525" s="135"/>
    </row>
    <row r="42526" spans="20:21" ht="15" customHeight="1" x14ac:dyDescent="0.25">
      <c r="T42526" s="135"/>
      <c r="U42526" s="135"/>
    </row>
    <row r="42527" spans="20:21" ht="15" customHeight="1" x14ac:dyDescent="0.25">
      <c r="T42527" s="135"/>
      <c r="U42527" s="135"/>
    </row>
    <row r="42528" spans="20:21" ht="15" customHeight="1" x14ac:dyDescent="0.25">
      <c r="T42528" s="135"/>
      <c r="U42528" s="135"/>
    </row>
    <row r="42529" spans="20:21" ht="15" customHeight="1" x14ac:dyDescent="0.25">
      <c r="T42529" s="135"/>
      <c r="U42529" s="135"/>
    </row>
    <row r="42530" spans="20:21" ht="15" customHeight="1" x14ac:dyDescent="0.25">
      <c r="T42530" s="135"/>
      <c r="U42530" s="135"/>
    </row>
    <row r="42531" spans="20:21" ht="15" customHeight="1" x14ac:dyDescent="0.25">
      <c r="T42531" s="135"/>
      <c r="U42531" s="135"/>
    </row>
    <row r="42532" spans="20:21" ht="15" customHeight="1" x14ac:dyDescent="0.25">
      <c r="T42532" s="135"/>
      <c r="U42532" s="135"/>
    </row>
    <row r="42533" spans="20:21" ht="15" customHeight="1" x14ac:dyDescent="0.25">
      <c r="T42533" s="135"/>
      <c r="U42533" s="135"/>
    </row>
    <row r="42534" spans="20:21" ht="15" customHeight="1" x14ac:dyDescent="0.25">
      <c r="T42534" s="135"/>
      <c r="U42534" s="135"/>
    </row>
    <row r="42535" spans="20:21" ht="15" customHeight="1" x14ac:dyDescent="0.25">
      <c r="T42535" s="135"/>
      <c r="U42535" s="135"/>
    </row>
    <row r="42536" spans="20:21" ht="15" customHeight="1" x14ac:dyDescent="0.25">
      <c r="T42536" s="135"/>
      <c r="U42536" s="135"/>
    </row>
    <row r="42537" spans="20:21" ht="15" customHeight="1" x14ac:dyDescent="0.25">
      <c r="T42537" s="135"/>
      <c r="U42537" s="135"/>
    </row>
    <row r="42538" spans="20:21" ht="15" customHeight="1" x14ac:dyDescent="0.25">
      <c r="T42538" s="135"/>
      <c r="U42538" s="135"/>
    </row>
    <row r="42539" spans="20:21" ht="15" customHeight="1" x14ac:dyDescent="0.25">
      <c r="T42539" s="135"/>
      <c r="U42539" s="135"/>
    </row>
    <row r="42540" spans="20:21" ht="15" customHeight="1" x14ac:dyDescent="0.25">
      <c r="T42540" s="135"/>
      <c r="U42540" s="135"/>
    </row>
    <row r="42541" spans="20:21" ht="15" customHeight="1" x14ac:dyDescent="0.25">
      <c r="T42541" s="135"/>
      <c r="U42541" s="135"/>
    </row>
    <row r="42542" spans="20:21" ht="15" customHeight="1" x14ac:dyDescent="0.25">
      <c r="T42542" s="135"/>
      <c r="U42542" s="135"/>
    </row>
    <row r="42543" spans="20:21" ht="15" customHeight="1" x14ac:dyDescent="0.25">
      <c r="T42543" s="135"/>
      <c r="U42543" s="135"/>
    </row>
    <row r="42544" spans="20:21" ht="15" customHeight="1" x14ac:dyDescent="0.25">
      <c r="T42544" s="135"/>
      <c r="U42544" s="135"/>
    </row>
    <row r="42545" spans="20:21" ht="15" customHeight="1" x14ac:dyDescent="0.25">
      <c r="T42545" s="135"/>
      <c r="U42545" s="135"/>
    </row>
    <row r="42546" spans="20:21" ht="15" customHeight="1" x14ac:dyDescent="0.25">
      <c r="T42546" s="135"/>
      <c r="U42546" s="135"/>
    </row>
    <row r="42547" spans="20:21" ht="15" customHeight="1" x14ac:dyDescent="0.25">
      <c r="T42547" s="135"/>
      <c r="U42547" s="135"/>
    </row>
    <row r="42548" spans="20:21" ht="15" customHeight="1" x14ac:dyDescent="0.25">
      <c r="T42548" s="135"/>
      <c r="U42548" s="135"/>
    </row>
    <row r="42549" spans="20:21" ht="15" customHeight="1" x14ac:dyDescent="0.25">
      <c r="T42549" s="135"/>
      <c r="U42549" s="135"/>
    </row>
    <row r="42550" spans="20:21" ht="15" customHeight="1" x14ac:dyDescent="0.25">
      <c r="T42550" s="135"/>
      <c r="U42550" s="135"/>
    </row>
    <row r="42551" spans="20:21" ht="15" customHeight="1" x14ac:dyDescent="0.25">
      <c r="T42551" s="135"/>
      <c r="U42551" s="135"/>
    </row>
    <row r="42552" spans="20:21" ht="15" customHeight="1" x14ac:dyDescent="0.25">
      <c r="T42552" s="135"/>
      <c r="U42552" s="135"/>
    </row>
    <row r="42553" spans="20:21" ht="15" customHeight="1" x14ac:dyDescent="0.25">
      <c r="T42553" s="135"/>
      <c r="U42553" s="135"/>
    </row>
    <row r="42554" spans="20:21" ht="15" customHeight="1" x14ac:dyDescent="0.25">
      <c r="T42554" s="135"/>
      <c r="U42554" s="135"/>
    </row>
    <row r="42555" spans="20:21" ht="15" customHeight="1" x14ac:dyDescent="0.25">
      <c r="T42555" s="135"/>
      <c r="U42555" s="135"/>
    </row>
    <row r="42556" spans="20:21" ht="15" customHeight="1" x14ac:dyDescent="0.25">
      <c r="T42556" s="135"/>
      <c r="U42556" s="135"/>
    </row>
    <row r="42557" spans="20:21" ht="15" customHeight="1" x14ac:dyDescent="0.25">
      <c r="T42557" s="135"/>
      <c r="U42557" s="135"/>
    </row>
    <row r="42558" spans="20:21" ht="15" customHeight="1" x14ac:dyDescent="0.25">
      <c r="T42558" s="135"/>
      <c r="U42558" s="135"/>
    </row>
    <row r="42559" spans="20:21" ht="15" customHeight="1" x14ac:dyDescent="0.25">
      <c r="T42559" s="135"/>
      <c r="U42559" s="135"/>
    </row>
    <row r="42560" spans="20:21" ht="15" customHeight="1" x14ac:dyDescent="0.25">
      <c r="T42560" s="135"/>
      <c r="U42560" s="135"/>
    </row>
    <row r="42561" spans="20:21" ht="15" customHeight="1" x14ac:dyDescent="0.25">
      <c r="T42561" s="135"/>
      <c r="U42561" s="135"/>
    </row>
    <row r="42562" spans="20:21" ht="15" customHeight="1" x14ac:dyDescent="0.25">
      <c r="T42562" s="135"/>
      <c r="U42562" s="135"/>
    </row>
    <row r="42563" spans="20:21" ht="15" customHeight="1" x14ac:dyDescent="0.25">
      <c r="T42563" s="135"/>
      <c r="U42563" s="135"/>
    </row>
    <row r="42564" spans="20:21" ht="15" customHeight="1" x14ac:dyDescent="0.25">
      <c r="T42564" s="135"/>
      <c r="U42564" s="135"/>
    </row>
    <row r="42565" spans="20:21" ht="15" customHeight="1" x14ac:dyDescent="0.25">
      <c r="T42565" s="135"/>
      <c r="U42565" s="135"/>
    </row>
    <row r="42566" spans="20:21" ht="15" customHeight="1" x14ac:dyDescent="0.25">
      <c r="T42566" s="135"/>
      <c r="U42566" s="135"/>
    </row>
    <row r="42567" spans="20:21" ht="15" customHeight="1" x14ac:dyDescent="0.25">
      <c r="T42567" s="135"/>
      <c r="U42567" s="135"/>
    </row>
    <row r="42568" spans="20:21" ht="15" customHeight="1" x14ac:dyDescent="0.25">
      <c r="T42568" s="135"/>
      <c r="U42568" s="135"/>
    </row>
    <row r="42569" spans="20:21" ht="15" customHeight="1" x14ac:dyDescent="0.25">
      <c r="T42569" s="135"/>
      <c r="U42569" s="135"/>
    </row>
    <row r="42570" spans="20:21" ht="15" customHeight="1" x14ac:dyDescent="0.25">
      <c r="T42570" s="135"/>
      <c r="U42570" s="135"/>
    </row>
    <row r="42571" spans="20:21" ht="15" customHeight="1" x14ac:dyDescent="0.25">
      <c r="T42571" s="135"/>
      <c r="U42571" s="135"/>
    </row>
    <row r="42572" spans="20:21" ht="15" customHeight="1" x14ac:dyDescent="0.25">
      <c r="T42572" s="135"/>
      <c r="U42572" s="135"/>
    </row>
    <row r="42573" spans="20:21" ht="15" customHeight="1" x14ac:dyDescent="0.25">
      <c r="T42573" s="135"/>
      <c r="U42573" s="135"/>
    </row>
    <row r="42574" spans="20:21" ht="15" customHeight="1" x14ac:dyDescent="0.25">
      <c r="T42574" s="135"/>
      <c r="U42574" s="135"/>
    </row>
    <row r="42575" spans="20:21" ht="15" customHeight="1" x14ac:dyDescent="0.25">
      <c r="T42575" s="135"/>
      <c r="U42575" s="135"/>
    </row>
    <row r="42576" spans="20:21" ht="15" customHeight="1" x14ac:dyDescent="0.25">
      <c r="T42576" s="135"/>
      <c r="U42576" s="135"/>
    </row>
    <row r="42577" spans="20:21" ht="15" customHeight="1" x14ac:dyDescent="0.25">
      <c r="T42577" s="135"/>
      <c r="U42577" s="135"/>
    </row>
    <row r="42578" spans="20:21" ht="15" customHeight="1" x14ac:dyDescent="0.25">
      <c r="T42578" s="135"/>
      <c r="U42578" s="135"/>
    </row>
    <row r="42579" spans="20:21" ht="15" customHeight="1" x14ac:dyDescent="0.25">
      <c r="T42579" s="135"/>
      <c r="U42579" s="135"/>
    </row>
    <row r="42580" spans="20:21" ht="15" customHeight="1" x14ac:dyDescent="0.25">
      <c r="T42580" s="135"/>
      <c r="U42580" s="135"/>
    </row>
    <row r="42581" spans="20:21" ht="15" customHeight="1" x14ac:dyDescent="0.25">
      <c r="T42581" s="135"/>
      <c r="U42581" s="135"/>
    </row>
    <row r="42582" spans="20:21" ht="15" customHeight="1" x14ac:dyDescent="0.25">
      <c r="T42582" s="135"/>
      <c r="U42582" s="135"/>
    </row>
    <row r="42583" spans="20:21" ht="15" customHeight="1" x14ac:dyDescent="0.25">
      <c r="T42583" s="135"/>
      <c r="U42583" s="135"/>
    </row>
    <row r="42584" spans="20:21" ht="15" customHeight="1" x14ac:dyDescent="0.25">
      <c r="T42584" s="135"/>
      <c r="U42584" s="135"/>
    </row>
    <row r="42585" spans="20:21" ht="15" customHeight="1" x14ac:dyDescent="0.25">
      <c r="T42585" s="135"/>
      <c r="U42585" s="135"/>
    </row>
    <row r="42586" spans="20:21" ht="15" customHeight="1" x14ac:dyDescent="0.25">
      <c r="T42586" s="135"/>
      <c r="U42586" s="135"/>
    </row>
    <row r="42587" spans="20:21" ht="15" customHeight="1" x14ac:dyDescent="0.25">
      <c r="T42587" s="135"/>
      <c r="U42587" s="135"/>
    </row>
    <row r="42588" spans="20:21" ht="15" customHeight="1" x14ac:dyDescent="0.25">
      <c r="T42588" s="135"/>
      <c r="U42588" s="135"/>
    </row>
    <row r="42589" spans="20:21" ht="15" customHeight="1" x14ac:dyDescent="0.25">
      <c r="T42589" s="135"/>
      <c r="U42589" s="135"/>
    </row>
    <row r="42590" spans="20:21" ht="15" customHeight="1" x14ac:dyDescent="0.25">
      <c r="T42590" s="135"/>
      <c r="U42590" s="135"/>
    </row>
    <row r="42591" spans="20:21" ht="15" customHeight="1" x14ac:dyDescent="0.25">
      <c r="T42591" s="135"/>
      <c r="U42591" s="135"/>
    </row>
    <row r="42592" spans="20:21" ht="15" customHeight="1" x14ac:dyDescent="0.25">
      <c r="T42592" s="135"/>
      <c r="U42592" s="135"/>
    </row>
    <row r="42593" spans="20:21" ht="15" customHeight="1" x14ac:dyDescent="0.25">
      <c r="T42593" s="135"/>
      <c r="U42593" s="135"/>
    </row>
    <row r="42594" spans="20:21" ht="15" customHeight="1" x14ac:dyDescent="0.25">
      <c r="T42594" s="135"/>
      <c r="U42594" s="135"/>
    </row>
    <row r="42595" spans="20:21" ht="15" customHeight="1" x14ac:dyDescent="0.25">
      <c r="T42595" s="135"/>
      <c r="U42595" s="135"/>
    </row>
    <row r="42596" spans="20:21" ht="15" customHeight="1" x14ac:dyDescent="0.25">
      <c r="T42596" s="135"/>
      <c r="U42596" s="135"/>
    </row>
    <row r="42597" spans="20:21" ht="15" customHeight="1" x14ac:dyDescent="0.25">
      <c r="T42597" s="135"/>
      <c r="U42597" s="135"/>
    </row>
    <row r="42598" spans="20:21" ht="15" customHeight="1" x14ac:dyDescent="0.25">
      <c r="T42598" s="135"/>
      <c r="U42598" s="135"/>
    </row>
    <row r="42599" spans="20:21" ht="15" customHeight="1" x14ac:dyDescent="0.25">
      <c r="T42599" s="135"/>
      <c r="U42599" s="135"/>
    </row>
    <row r="42600" spans="20:21" ht="15" customHeight="1" x14ac:dyDescent="0.25">
      <c r="T42600" s="135"/>
      <c r="U42600" s="135"/>
    </row>
    <row r="42601" spans="20:21" ht="15" customHeight="1" x14ac:dyDescent="0.25">
      <c r="T42601" s="135"/>
      <c r="U42601" s="135"/>
    </row>
    <row r="42602" spans="20:21" ht="15" customHeight="1" x14ac:dyDescent="0.25">
      <c r="T42602" s="135"/>
      <c r="U42602" s="135"/>
    </row>
    <row r="42603" spans="20:21" ht="15" customHeight="1" x14ac:dyDescent="0.25">
      <c r="T42603" s="135"/>
      <c r="U42603" s="135"/>
    </row>
    <row r="42604" spans="20:21" ht="15" customHeight="1" x14ac:dyDescent="0.25">
      <c r="T42604" s="135"/>
      <c r="U42604" s="135"/>
    </row>
    <row r="42605" spans="20:21" ht="15" customHeight="1" x14ac:dyDescent="0.25">
      <c r="T42605" s="135"/>
      <c r="U42605" s="135"/>
    </row>
    <row r="42606" spans="20:21" ht="15" customHeight="1" x14ac:dyDescent="0.25">
      <c r="T42606" s="135"/>
      <c r="U42606" s="135"/>
    </row>
    <row r="42607" spans="20:21" ht="15" customHeight="1" x14ac:dyDescent="0.25">
      <c r="T42607" s="135"/>
      <c r="U42607" s="135"/>
    </row>
    <row r="42608" spans="20:21" ht="15" customHeight="1" x14ac:dyDescent="0.25">
      <c r="T42608" s="135"/>
      <c r="U42608" s="135"/>
    </row>
    <row r="42609" spans="20:21" ht="15" customHeight="1" x14ac:dyDescent="0.25">
      <c r="T42609" s="135"/>
      <c r="U42609" s="135"/>
    </row>
    <row r="42610" spans="20:21" ht="15" customHeight="1" x14ac:dyDescent="0.25">
      <c r="T42610" s="135"/>
      <c r="U42610" s="135"/>
    </row>
    <row r="42611" spans="20:21" ht="15" customHeight="1" x14ac:dyDescent="0.25">
      <c r="T42611" s="135"/>
      <c r="U42611" s="135"/>
    </row>
    <row r="42612" spans="20:21" ht="15" customHeight="1" x14ac:dyDescent="0.25">
      <c r="T42612" s="135"/>
      <c r="U42612" s="135"/>
    </row>
    <row r="42613" spans="20:21" ht="15" customHeight="1" x14ac:dyDescent="0.25">
      <c r="T42613" s="135"/>
      <c r="U42613" s="135"/>
    </row>
    <row r="42614" spans="20:21" ht="15" customHeight="1" x14ac:dyDescent="0.25">
      <c r="T42614" s="135"/>
      <c r="U42614" s="135"/>
    </row>
    <row r="42615" spans="20:21" ht="15" customHeight="1" x14ac:dyDescent="0.25">
      <c r="T42615" s="135"/>
      <c r="U42615" s="135"/>
    </row>
    <row r="42616" spans="20:21" ht="15" customHeight="1" x14ac:dyDescent="0.25">
      <c r="T42616" s="135"/>
      <c r="U42616" s="135"/>
    </row>
    <row r="42617" spans="20:21" ht="15" customHeight="1" x14ac:dyDescent="0.25">
      <c r="T42617" s="135"/>
      <c r="U42617" s="135"/>
    </row>
    <row r="42618" spans="20:21" ht="15" customHeight="1" x14ac:dyDescent="0.25">
      <c r="T42618" s="135"/>
      <c r="U42618" s="135"/>
    </row>
    <row r="42619" spans="20:21" ht="15" customHeight="1" x14ac:dyDescent="0.25">
      <c r="T42619" s="135"/>
      <c r="U42619" s="135"/>
    </row>
    <row r="42620" spans="20:21" ht="15" customHeight="1" x14ac:dyDescent="0.25">
      <c r="T42620" s="135"/>
      <c r="U42620" s="135"/>
    </row>
    <row r="42621" spans="20:21" ht="15" customHeight="1" x14ac:dyDescent="0.25">
      <c r="T42621" s="135"/>
      <c r="U42621" s="135"/>
    </row>
    <row r="42622" spans="20:21" ht="15" customHeight="1" x14ac:dyDescent="0.25">
      <c r="T42622" s="135"/>
      <c r="U42622" s="135"/>
    </row>
    <row r="42623" spans="20:21" ht="15" customHeight="1" x14ac:dyDescent="0.25">
      <c r="T42623" s="135"/>
      <c r="U42623" s="135"/>
    </row>
    <row r="42624" spans="20:21" ht="15" customHeight="1" x14ac:dyDescent="0.25">
      <c r="T42624" s="135"/>
      <c r="U42624" s="135"/>
    </row>
    <row r="42625" spans="20:21" ht="15" customHeight="1" x14ac:dyDescent="0.25">
      <c r="T42625" s="135"/>
      <c r="U42625" s="135"/>
    </row>
    <row r="42626" spans="20:21" ht="15" customHeight="1" x14ac:dyDescent="0.25">
      <c r="T42626" s="135"/>
      <c r="U42626" s="135"/>
    </row>
    <row r="42627" spans="20:21" ht="15" customHeight="1" x14ac:dyDescent="0.25">
      <c r="T42627" s="135"/>
      <c r="U42627" s="135"/>
    </row>
    <row r="42628" spans="20:21" ht="15" customHeight="1" x14ac:dyDescent="0.25">
      <c r="T42628" s="135"/>
      <c r="U42628" s="135"/>
    </row>
    <row r="42629" spans="20:21" ht="15" customHeight="1" x14ac:dyDescent="0.25">
      <c r="T42629" s="135"/>
      <c r="U42629" s="135"/>
    </row>
    <row r="42630" spans="20:21" ht="15" customHeight="1" x14ac:dyDescent="0.25">
      <c r="T42630" s="135"/>
      <c r="U42630" s="135"/>
    </row>
    <row r="42631" spans="20:21" ht="15" customHeight="1" x14ac:dyDescent="0.25">
      <c r="T42631" s="135"/>
      <c r="U42631" s="135"/>
    </row>
    <row r="42632" spans="20:21" ht="15" customHeight="1" x14ac:dyDescent="0.25">
      <c r="T42632" s="135"/>
      <c r="U42632" s="135"/>
    </row>
    <row r="42633" spans="20:21" ht="15" customHeight="1" x14ac:dyDescent="0.25">
      <c r="T42633" s="135"/>
      <c r="U42633" s="135"/>
    </row>
    <row r="42634" spans="20:21" ht="15" customHeight="1" x14ac:dyDescent="0.25">
      <c r="T42634" s="135"/>
      <c r="U42634" s="135"/>
    </row>
    <row r="42635" spans="20:21" ht="15" customHeight="1" x14ac:dyDescent="0.25">
      <c r="T42635" s="135"/>
      <c r="U42635" s="135"/>
    </row>
    <row r="42636" spans="20:21" ht="15" customHeight="1" x14ac:dyDescent="0.25">
      <c r="T42636" s="135"/>
      <c r="U42636" s="135"/>
    </row>
    <row r="42637" spans="20:21" ht="15" customHeight="1" x14ac:dyDescent="0.25">
      <c r="T42637" s="135"/>
      <c r="U42637" s="135"/>
    </row>
    <row r="42638" spans="20:21" ht="15" customHeight="1" x14ac:dyDescent="0.25">
      <c r="T42638" s="135"/>
      <c r="U42638" s="135"/>
    </row>
    <row r="42639" spans="20:21" ht="15" customHeight="1" x14ac:dyDescent="0.25">
      <c r="T42639" s="135"/>
      <c r="U42639" s="135"/>
    </row>
    <row r="42640" spans="20:21" ht="15" customHeight="1" x14ac:dyDescent="0.25">
      <c r="T42640" s="135"/>
      <c r="U42640" s="135"/>
    </row>
    <row r="42641" spans="20:21" ht="15" customHeight="1" x14ac:dyDescent="0.25">
      <c r="T42641" s="135"/>
      <c r="U42641" s="135"/>
    </row>
    <row r="42642" spans="20:21" ht="15" customHeight="1" x14ac:dyDescent="0.25">
      <c r="T42642" s="135"/>
      <c r="U42642" s="135"/>
    </row>
    <row r="42643" spans="20:21" ht="15" customHeight="1" x14ac:dyDescent="0.25">
      <c r="T42643" s="135"/>
      <c r="U42643" s="135"/>
    </row>
    <row r="42644" spans="20:21" ht="15" customHeight="1" x14ac:dyDescent="0.25">
      <c r="T42644" s="135"/>
      <c r="U42644" s="135"/>
    </row>
    <row r="42645" spans="20:21" ht="15" customHeight="1" x14ac:dyDescent="0.25">
      <c r="T42645" s="135"/>
      <c r="U42645" s="135"/>
    </row>
    <row r="42646" spans="20:21" ht="15" customHeight="1" x14ac:dyDescent="0.25">
      <c r="T42646" s="135"/>
      <c r="U42646" s="135"/>
    </row>
    <row r="42647" spans="20:21" ht="15" customHeight="1" x14ac:dyDescent="0.25">
      <c r="T42647" s="135"/>
      <c r="U42647" s="135"/>
    </row>
    <row r="42648" spans="20:21" ht="15" customHeight="1" x14ac:dyDescent="0.25">
      <c r="T42648" s="135"/>
      <c r="U42648" s="135"/>
    </row>
    <row r="42649" spans="20:21" ht="15" customHeight="1" x14ac:dyDescent="0.25">
      <c r="T42649" s="135"/>
      <c r="U42649" s="135"/>
    </row>
    <row r="42650" spans="20:21" ht="15" customHeight="1" x14ac:dyDescent="0.25">
      <c r="T42650" s="135"/>
      <c r="U42650" s="135"/>
    </row>
    <row r="42651" spans="20:21" ht="15" customHeight="1" x14ac:dyDescent="0.25">
      <c r="T42651" s="135"/>
      <c r="U42651" s="135"/>
    </row>
    <row r="42652" spans="20:21" ht="15" customHeight="1" x14ac:dyDescent="0.25">
      <c r="T42652" s="135"/>
      <c r="U42652" s="135"/>
    </row>
    <row r="42653" spans="20:21" ht="15" customHeight="1" x14ac:dyDescent="0.25">
      <c r="T42653" s="135"/>
      <c r="U42653" s="135"/>
    </row>
    <row r="42654" spans="20:21" ht="15" customHeight="1" x14ac:dyDescent="0.25">
      <c r="T42654" s="135"/>
      <c r="U42654" s="135"/>
    </row>
    <row r="42655" spans="20:21" ht="15" customHeight="1" x14ac:dyDescent="0.25">
      <c r="T42655" s="135"/>
      <c r="U42655" s="135"/>
    </row>
    <row r="42656" spans="20:21" ht="15" customHeight="1" x14ac:dyDescent="0.25">
      <c r="T42656" s="135"/>
      <c r="U42656" s="135"/>
    </row>
    <row r="42657" spans="20:21" ht="15" customHeight="1" x14ac:dyDescent="0.25">
      <c r="T42657" s="135"/>
      <c r="U42657" s="135"/>
    </row>
    <row r="42658" spans="20:21" ht="15" customHeight="1" x14ac:dyDescent="0.25">
      <c r="T42658" s="135"/>
      <c r="U42658" s="135"/>
    </row>
    <row r="42659" spans="20:21" ht="15" customHeight="1" x14ac:dyDescent="0.25">
      <c r="T42659" s="135"/>
      <c r="U42659" s="135"/>
    </row>
    <row r="42660" spans="20:21" ht="15" customHeight="1" x14ac:dyDescent="0.25">
      <c r="T42660" s="135"/>
      <c r="U42660" s="135"/>
    </row>
    <row r="42661" spans="20:21" ht="15" customHeight="1" x14ac:dyDescent="0.25">
      <c r="T42661" s="135"/>
      <c r="U42661" s="135"/>
    </row>
    <row r="42662" spans="20:21" ht="15" customHeight="1" x14ac:dyDescent="0.25">
      <c r="T42662" s="135"/>
      <c r="U42662" s="135"/>
    </row>
    <row r="42663" spans="20:21" ht="15" customHeight="1" x14ac:dyDescent="0.25">
      <c r="T42663" s="135"/>
      <c r="U42663" s="135"/>
    </row>
    <row r="42664" spans="20:21" ht="15" customHeight="1" x14ac:dyDescent="0.25">
      <c r="T42664" s="135"/>
      <c r="U42664" s="135"/>
    </row>
    <row r="42665" spans="20:21" ht="15" customHeight="1" x14ac:dyDescent="0.25">
      <c r="T42665" s="135"/>
      <c r="U42665" s="135"/>
    </row>
    <row r="42666" spans="20:21" ht="15" customHeight="1" x14ac:dyDescent="0.25">
      <c r="T42666" s="135"/>
      <c r="U42666" s="135"/>
    </row>
    <row r="42667" spans="20:21" ht="15" customHeight="1" x14ac:dyDescent="0.25">
      <c r="T42667" s="135"/>
      <c r="U42667" s="135"/>
    </row>
    <row r="42668" spans="20:21" ht="15" customHeight="1" x14ac:dyDescent="0.25">
      <c r="T42668" s="135"/>
      <c r="U42668" s="135"/>
    </row>
    <row r="42669" spans="20:21" ht="15" customHeight="1" x14ac:dyDescent="0.25">
      <c r="T42669" s="135"/>
      <c r="U42669" s="135"/>
    </row>
    <row r="42670" spans="20:21" ht="15" customHeight="1" x14ac:dyDescent="0.25">
      <c r="T42670" s="135"/>
      <c r="U42670" s="135"/>
    </row>
    <row r="42671" spans="20:21" ht="15" customHeight="1" x14ac:dyDescent="0.25">
      <c r="T42671" s="135"/>
      <c r="U42671" s="135"/>
    </row>
    <row r="42672" spans="20:21" ht="15" customHeight="1" x14ac:dyDescent="0.25">
      <c r="T42672" s="135"/>
      <c r="U42672" s="135"/>
    </row>
    <row r="42673" spans="20:21" ht="15" customHeight="1" x14ac:dyDescent="0.25">
      <c r="T42673" s="135"/>
      <c r="U42673" s="135"/>
    </row>
    <row r="42674" spans="20:21" ht="15" customHeight="1" x14ac:dyDescent="0.25">
      <c r="T42674" s="135"/>
      <c r="U42674" s="135"/>
    </row>
    <row r="42675" spans="20:21" ht="15" customHeight="1" x14ac:dyDescent="0.25">
      <c r="T42675" s="135"/>
      <c r="U42675" s="135"/>
    </row>
    <row r="42676" spans="20:21" ht="15" customHeight="1" x14ac:dyDescent="0.25">
      <c r="T42676" s="135"/>
      <c r="U42676" s="135"/>
    </row>
    <row r="42677" spans="20:21" ht="15" customHeight="1" x14ac:dyDescent="0.25">
      <c r="T42677" s="135"/>
      <c r="U42677" s="135"/>
    </row>
    <row r="42678" spans="20:21" ht="15" customHeight="1" x14ac:dyDescent="0.25">
      <c r="T42678" s="135"/>
      <c r="U42678" s="135"/>
    </row>
    <row r="42679" spans="20:21" ht="15" customHeight="1" x14ac:dyDescent="0.25">
      <c r="T42679" s="135"/>
      <c r="U42679" s="135"/>
    </row>
    <row r="42680" spans="20:21" ht="15" customHeight="1" x14ac:dyDescent="0.25">
      <c r="T42680" s="135"/>
      <c r="U42680" s="135"/>
    </row>
    <row r="42681" spans="20:21" ht="15" customHeight="1" x14ac:dyDescent="0.25">
      <c r="T42681" s="135"/>
      <c r="U42681" s="135"/>
    </row>
    <row r="42682" spans="20:21" ht="15" customHeight="1" x14ac:dyDescent="0.25">
      <c r="T42682" s="135"/>
      <c r="U42682" s="135"/>
    </row>
    <row r="42683" spans="20:21" ht="15" customHeight="1" x14ac:dyDescent="0.25">
      <c r="T42683" s="135"/>
      <c r="U42683" s="135"/>
    </row>
    <row r="42684" spans="20:21" ht="15" customHeight="1" x14ac:dyDescent="0.25">
      <c r="T42684" s="135"/>
      <c r="U42684" s="135"/>
    </row>
    <row r="42685" spans="20:21" ht="15" customHeight="1" x14ac:dyDescent="0.25">
      <c r="T42685" s="135"/>
      <c r="U42685" s="135"/>
    </row>
    <row r="42686" spans="20:21" ht="15" customHeight="1" x14ac:dyDescent="0.25">
      <c r="T42686" s="135"/>
      <c r="U42686" s="135"/>
    </row>
    <row r="42687" spans="20:21" ht="15" customHeight="1" x14ac:dyDescent="0.25">
      <c r="T42687" s="135"/>
      <c r="U42687" s="135"/>
    </row>
    <row r="42688" spans="20:21" ht="15" customHeight="1" x14ac:dyDescent="0.25">
      <c r="T42688" s="135"/>
      <c r="U42688" s="135"/>
    </row>
    <row r="42689" spans="20:21" ht="15" customHeight="1" x14ac:dyDescent="0.25">
      <c r="T42689" s="135"/>
      <c r="U42689" s="135"/>
    </row>
    <row r="42690" spans="20:21" ht="15" customHeight="1" x14ac:dyDescent="0.25">
      <c r="T42690" s="135"/>
      <c r="U42690" s="135"/>
    </row>
    <row r="42691" spans="20:21" ht="15" customHeight="1" x14ac:dyDescent="0.25">
      <c r="T42691" s="135"/>
      <c r="U42691" s="135"/>
    </row>
    <row r="42692" spans="20:21" ht="15" customHeight="1" x14ac:dyDescent="0.25">
      <c r="T42692" s="135"/>
      <c r="U42692" s="135"/>
    </row>
    <row r="42693" spans="20:21" ht="15" customHeight="1" x14ac:dyDescent="0.25">
      <c r="T42693" s="135"/>
      <c r="U42693" s="135"/>
    </row>
    <row r="42694" spans="20:21" ht="15" customHeight="1" x14ac:dyDescent="0.25">
      <c r="T42694" s="135"/>
      <c r="U42694" s="135"/>
    </row>
    <row r="42695" spans="20:21" ht="15" customHeight="1" x14ac:dyDescent="0.25">
      <c r="T42695" s="135"/>
      <c r="U42695" s="135"/>
    </row>
    <row r="42696" spans="20:21" ht="15" customHeight="1" x14ac:dyDescent="0.25">
      <c r="T42696" s="135"/>
      <c r="U42696" s="135"/>
    </row>
    <row r="42697" spans="20:21" ht="15" customHeight="1" x14ac:dyDescent="0.25">
      <c r="T42697" s="135"/>
      <c r="U42697" s="135"/>
    </row>
    <row r="42698" spans="20:21" ht="15" customHeight="1" x14ac:dyDescent="0.25">
      <c r="T42698" s="135"/>
      <c r="U42698" s="135"/>
    </row>
    <row r="42699" spans="20:21" ht="15" customHeight="1" x14ac:dyDescent="0.25">
      <c r="T42699" s="135"/>
      <c r="U42699" s="135"/>
    </row>
    <row r="42700" spans="20:21" ht="15" customHeight="1" x14ac:dyDescent="0.25">
      <c r="T42700" s="135"/>
      <c r="U42700" s="135"/>
    </row>
    <row r="42701" spans="20:21" ht="15" customHeight="1" x14ac:dyDescent="0.25">
      <c r="T42701" s="135"/>
      <c r="U42701" s="135"/>
    </row>
    <row r="42702" spans="20:21" ht="15" customHeight="1" x14ac:dyDescent="0.25">
      <c r="T42702" s="135"/>
      <c r="U42702" s="135"/>
    </row>
    <row r="42703" spans="20:21" ht="15" customHeight="1" x14ac:dyDescent="0.25">
      <c r="T42703" s="135"/>
      <c r="U42703" s="135"/>
    </row>
    <row r="42704" spans="20:21" ht="15" customHeight="1" x14ac:dyDescent="0.25">
      <c r="T42704" s="135"/>
      <c r="U42704" s="135"/>
    </row>
    <row r="42705" spans="20:21" ht="15" customHeight="1" x14ac:dyDescent="0.25">
      <c r="T42705" s="135"/>
      <c r="U42705" s="135"/>
    </row>
    <row r="42706" spans="20:21" ht="15" customHeight="1" x14ac:dyDescent="0.25">
      <c r="T42706" s="135"/>
      <c r="U42706" s="135"/>
    </row>
    <row r="42707" spans="20:21" ht="15" customHeight="1" x14ac:dyDescent="0.25">
      <c r="T42707" s="135"/>
      <c r="U42707" s="135"/>
    </row>
    <row r="42708" spans="20:21" ht="15" customHeight="1" x14ac:dyDescent="0.25">
      <c r="T42708" s="135"/>
      <c r="U42708" s="135"/>
    </row>
    <row r="42709" spans="20:21" ht="15" customHeight="1" x14ac:dyDescent="0.25">
      <c r="T42709" s="135"/>
      <c r="U42709" s="135"/>
    </row>
    <row r="42710" spans="20:21" ht="15" customHeight="1" x14ac:dyDescent="0.25">
      <c r="T42710" s="135"/>
      <c r="U42710" s="135"/>
    </row>
    <row r="42711" spans="20:21" ht="15" customHeight="1" x14ac:dyDescent="0.25">
      <c r="T42711" s="135"/>
      <c r="U42711" s="135"/>
    </row>
    <row r="42712" spans="20:21" ht="15" customHeight="1" x14ac:dyDescent="0.25">
      <c r="T42712" s="135"/>
      <c r="U42712" s="135"/>
    </row>
    <row r="42713" spans="20:21" ht="15" customHeight="1" x14ac:dyDescent="0.25">
      <c r="T42713" s="135"/>
      <c r="U42713" s="135"/>
    </row>
    <row r="42714" spans="20:21" ht="15" customHeight="1" x14ac:dyDescent="0.25">
      <c r="T42714" s="135"/>
      <c r="U42714" s="135"/>
    </row>
    <row r="42715" spans="20:21" ht="15" customHeight="1" x14ac:dyDescent="0.25">
      <c r="T42715" s="135"/>
      <c r="U42715" s="135"/>
    </row>
    <row r="42716" spans="20:21" ht="15" customHeight="1" x14ac:dyDescent="0.25">
      <c r="T42716" s="135"/>
      <c r="U42716" s="135"/>
    </row>
    <row r="42717" spans="20:21" ht="15" customHeight="1" x14ac:dyDescent="0.25">
      <c r="T42717" s="135"/>
      <c r="U42717" s="135"/>
    </row>
    <row r="42718" spans="20:21" ht="15" customHeight="1" x14ac:dyDescent="0.25">
      <c r="T42718" s="135"/>
      <c r="U42718" s="135"/>
    </row>
    <row r="42719" spans="20:21" ht="15" customHeight="1" x14ac:dyDescent="0.25">
      <c r="T42719" s="135"/>
      <c r="U42719" s="135"/>
    </row>
    <row r="42720" spans="20:21" ht="15" customHeight="1" x14ac:dyDescent="0.25">
      <c r="T42720" s="135"/>
      <c r="U42720" s="135"/>
    </row>
    <row r="42721" spans="20:21" ht="15" customHeight="1" x14ac:dyDescent="0.25">
      <c r="T42721" s="135"/>
      <c r="U42721" s="135"/>
    </row>
    <row r="42722" spans="20:21" ht="15" customHeight="1" x14ac:dyDescent="0.25">
      <c r="T42722" s="135"/>
      <c r="U42722" s="135"/>
    </row>
    <row r="42723" spans="20:21" ht="15" customHeight="1" x14ac:dyDescent="0.25">
      <c r="T42723" s="135"/>
      <c r="U42723" s="135"/>
    </row>
    <row r="42724" spans="20:21" ht="15" customHeight="1" x14ac:dyDescent="0.25">
      <c r="T42724" s="135"/>
      <c r="U42724" s="135"/>
    </row>
    <row r="42725" spans="20:21" ht="15" customHeight="1" x14ac:dyDescent="0.25">
      <c r="T42725" s="135"/>
      <c r="U42725" s="135"/>
    </row>
    <row r="42726" spans="20:21" ht="15" customHeight="1" x14ac:dyDescent="0.25">
      <c r="T42726" s="135"/>
      <c r="U42726" s="135"/>
    </row>
    <row r="42727" spans="20:21" ht="15" customHeight="1" x14ac:dyDescent="0.25">
      <c r="T42727" s="135"/>
      <c r="U42727" s="135"/>
    </row>
    <row r="42728" spans="20:21" ht="15" customHeight="1" x14ac:dyDescent="0.25">
      <c r="T42728" s="135"/>
      <c r="U42728" s="135"/>
    </row>
    <row r="42729" spans="20:21" ht="15" customHeight="1" x14ac:dyDescent="0.25">
      <c r="T42729" s="135"/>
      <c r="U42729" s="135"/>
    </row>
    <row r="42730" spans="20:21" ht="15" customHeight="1" x14ac:dyDescent="0.25">
      <c r="T42730" s="135"/>
      <c r="U42730" s="135"/>
    </row>
    <row r="42731" spans="20:21" ht="15" customHeight="1" x14ac:dyDescent="0.25">
      <c r="T42731" s="135"/>
      <c r="U42731" s="135"/>
    </row>
    <row r="42732" spans="20:21" ht="15" customHeight="1" x14ac:dyDescent="0.25">
      <c r="T42732" s="135"/>
      <c r="U42732" s="135"/>
    </row>
    <row r="42733" spans="20:21" ht="15" customHeight="1" x14ac:dyDescent="0.25">
      <c r="T42733" s="135"/>
      <c r="U42733" s="135"/>
    </row>
    <row r="42734" spans="20:21" ht="15" customHeight="1" x14ac:dyDescent="0.25">
      <c r="T42734" s="135"/>
      <c r="U42734" s="135"/>
    </row>
    <row r="42735" spans="20:21" ht="15" customHeight="1" x14ac:dyDescent="0.25">
      <c r="T42735" s="135"/>
      <c r="U42735" s="135"/>
    </row>
    <row r="42736" spans="20:21" ht="15" customHeight="1" x14ac:dyDescent="0.25">
      <c r="T42736" s="135"/>
      <c r="U42736" s="135"/>
    </row>
    <row r="42737" spans="20:21" ht="15" customHeight="1" x14ac:dyDescent="0.25">
      <c r="T42737" s="135"/>
      <c r="U42737" s="135"/>
    </row>
    <row r="42738" spans="20:21" ht="15" customHeight="1" x14ac:dyDescent="0.25">
      <c r="T42738" s="135"/>
      <c r="U42738" s="135"/>
    </row>
    <row r="42739" spans="20:21" ht="15" customHeight="1" x14ac:dyDescent="0.25">
      <c r="T42739" s="135"/>
      <c r="U42739" s="135"/>
    </row>
    <row r="42740" spans="20:21" ht="15" customHeight="1" x14ac:dyDescent="0.25">
      <c r="T42740" s="135"/>
      <c r="U42740" s="135"/>
    </row>
    <row r="42741" spans="20:21" ht="15" customHeight="1" x14ac:dyDescent="0.25">
      <c r="T42741" s="135"/>
      <c r="U42741" s="135"/>
    </row>
    <row r="42742" spans="20:21" ht="15" customHeight="1" x14ac:dyDescent="0.25">
      <c r="T42742" s="135"/>
      <c r="U42742" s="135"/>
    </row>
    <row r="42743" spans="20:21" ht="15" customHeight="1" x14ac:dyDescent="0.25">
      <c r="T42743" s="135"/>
      <c r="U42743" s="135"/>
    </row>
    <row r="42744" spans="20:21" ht="15" customHeight="1" x14ac:dyDescent="0.25">
      <c r="T42744" s="135"/>
      <c r="U42744" s="135"/>
    </row>
    <row r="42745" spans="20:21" ht="15" customHeight="1" x14ac:dyDescent="0.25">
      <c r="T42745" s="135"/>
      <c r="U42745" s="135"/>
    </row>
    <row r="42746" spans="20:21" ht="15" customHeight="1" x14ac:dyDescent="0.25">
      <c r="T42746" s="135"/>
      <c r="U42746" s="135"/>
    </row>
    <row r="42747" spans="20:21" ht="15" customHeight="1" x14ac:dyDescent="0.25">
      <c r="T42747" s="135"/>
      <c r="U42747" s="135"/>
    </row>
    <row r="42748" spans="20:21" ht="15" customHeight="1" x14ac:dyDescent="0.25">
      <c r="T42748" s="135"/>
      <c r="U42748" s="135"/>
    </row>
    <row r="42749" spans="20:21" ht="15" customHeight="1" x14ac:dyDescent="0.25">
      <c r="T42749" s="135"/>
      <c r="U42749" s="135"/>
    </row>
    <row r="42750" spans="20:21" ht="15" customHeight="1" x14ac:dyDescent="0.25">
      <c r="T42750" s="135"/>
      <c r="U42750" s="135"/>
    </row>
    <row r="42751" spans="20:21" ht="15" customHeight="1" x14ac:dyDescent="0.25">
      <c r="T42751" s="135"/>
      <c r="U42751" s="135"/>
    </row>
    <row r="42752" spans="20:21" ht="15" customHeight="1" x14ac:dyDescent="0.25">
      <c r="T42752" s="135"/>
      <c r="U42752" s="135"/>
    </row>
    <row r="42753" spans="20:21" ht="15" customHeight="1" x14ac:dyDescent="0.25">
      <c r="T42753" s="135"/>
      <c r="U42753" s="135"/>
    </row>
    <row r="42754" spans="20:21" ht="15" customHeight="1" x14ac:dyDescent="0.25">
      <c r="T42754" s="135"/>
      <c r="U42754" s="135"/>
    </row>
    <row r="42755" spans="20:21" ht="15" customHeight="1" x14ac:dyDescent="0.25">
      <c r="T42755" s="135"/>
      <c r="U42755" s="135"/>
    </row>
    <row r="42756" spans="20:21" ht="15" customHeight="1" x14ac:dyDescent="0.25">
      <c r="T42756" s="135"/>
      <c r="U42756" s="135"/>
    </row>
    <row r="42757" spans="20:21" ht="15" customHeight="1" x14ac:dyDescent="0.25">
      <c r="T42757" s="135"/>
      <c r="U42757" s="135"/>
    </row>
    <row r="42758" spans="20:21" ht="15" customHeight="1" x14ac:dyDescent="0.25">
      <c r="T42758" s="135"/>
      <c r="U42758" s="135"/>
    </row>
    <row r="42759" spans="20:21" ht="15" customHeight="1" x14ac:dyDescent="0.25">
      <c r="T42759" s="135"/>
      <c r="U42759" s="135"/>
    </row>
    <row r="42760" spans="20:21" ht="15" customHeight="1" x14ac:dyDescent="0.25">
      <c r="T42760" s="135"/>
      <c r="U42760" s="135"/>
    </row>
    <row r="42761" spans="20:21" ht="15" customHeight="1" x14ac:dyDescent="0.25">
      <c r="T42761" s="135"/>
      <c r="U42761" s="135"/>
    </row>
    <row r="42762" spans="20:21" ht="15" customHeight="1" x14ac:dyDescent="0.25">
      <c r="T42762" s="135"/>
      <c r="U42762" s="135"/>
    </row>
    <row r="42763" spans="20:21" ht="15" customHeight="1" x14ac:dyDescent="0.25">
      <c r="T42763" s="135"/>
      <c r="U42763" s="135"/>
    </row>
    <row r="42764" spans="20:21" ht="15" customHeight="1" x14ac:dyDescent="0.25">
      <c r="T42764" s="135"/>
      <c r="U42764" s="135"/>
    </row>
    <row r="42765" spans="20:21" ht="15" customHeight="1" x14ac:dyDescent="0.25">
      <c r="T42765" s="135"/>
      <c r="U42765" s="135"/>
    </row>
    <row r="42766" spans="20:21" ht="15" customHeight="1" x14ac:dyDescent="0.25">
      <c r="T42766" s="135"/>
      <c r="U42766" s="135"/>
    </row>
    <row r="42767" spans="20:21" ht="15" customHeight="1" x14ac:dyDescent="0.25">
      <c r="T42767" s="135"/>
      <c r="U42767" s="135"/>
    </row>
    <row r="42768" spans="20:21" ht="15" customHeight="1" x14ac:dyDescent="0.25">
      <c r="T42768" s="135"/>
      <c r="U42768" s="135"/>
    </row>
    <row r="42769" spans="20:21" ht="15" customHeight="1" x14ac:dyDescent="0.25">
      <c r="T42769" s="135"/>
      <c r="U42769" s="135"/>
    </row>
    <row r="42770" spans="20:21" ht="15" customHeight="1" x14ac:dyDescent="0.25">
      <c r="T42770" s="135"/>
      <c r="U42770" s="135"/>
    </row>
    <row r="42771" spans="20:21" ht="15" customHeight="1" x14ac:dyDescent="0.25">
      <c r="T42771" s="135"/>
      <c r="U42771" s="135"/>
    </row>
    <row r="42772" spans="20:21" ht="15" customHeight="1" x14ac:dyDescent="0.25">
      <c r="T42772" s="135"/>
      <c r="U42772" s="135"/>
    </row>
    <row r="42773" spans="20:21" ht="15" customHeight="1" x14ac:dyDescent="0.25">
      <c r="T42773" s="135"/>
      <c r="U42773" s="135"/>
    </row>
    <row r="42774" spans="20:21" ht="15" customHeight="1" x14ac:dyDescent="0.25">
      <c r="T42774" s="135"/>
      <c r="U42774" s="135"/>
    </row>
    <row r="42775" spans="20:21" ht="15" customHeight="1" x14ac:dyDescent="0.25">
      <c r="T42775" s="135"/>
      <c r="U42775" s="135"/>
    </row>
    <row r="42776" spans="20:21" ht="15" customHeight="1" x14ac:dyDescent="0.25">
      <c r="T42776" s="135"/>
      <c r="U42776" s="135"/>
    </row>
    <row r="42777" spans="20:21" ht="15" customHeight="1" x14ac:dyDescent="0.25">
      <c r="T42777" s="135"/>
      <c r="U42777" s="135"/>
    </row>
    <row r="42778" spans="20:21" ht="15" customHeight="1" x14ac:dyDescent="0.25">
      <c r="T42778" s="135"/>
      <c r="U42778" s="135"/>
    </row>
    <row r="42779" spans="20:21" ht="15" customHeight="1" x14ac:dyDescent="0.25">
      <c r="T42779" s="135"/>
      <c r="U42779" s="135"/>
    </row>
    <row r="42780" spans="20:21" ht="15" customHeight="1" x14ac:dyDescent="0.25">
      <c r="T42780" s="135"/>
      <c r="U42780" s="135"/>
    </row>
    <row r="42781" spans="20:21" ht="15" customHeight="1" x14ac:dyDescent="0.25">
      <c r="T42781" s="135"/>
      <c r="U42781" s="135"/>
    </row>
    <row r="42782" spans="20:21" ht="15" customHeight="1" x14ac:dyDescent="0.25">
      <c r="T42782" s="135"/>
      <c r="U42782" s="135"/>
    </row>
    <row r="42783" spans="20:21" ht="15" customHeight="1" x14ac:dyDescent="0.25">
      <c r="T42783" s="135"/>
      <c r="U42783" s="135"/>
    </row>
    <row r="42784" spans="20:21" ht="15" customHeight="1" x14ac:dyDescent="0.25">
      <c r="T42784" s="135"/>
      <c r="U42784" s="135"/>
    </row>
    <row r="42785" spans="20:21" ht="15" customHeight="1" x14ac:dyDescent="0.25">
      <c r="T42785" s="135"/>
      <c r="U42785" s="135"/>
    </row>
    <row r="42786" spans="20:21" ht="15" customHeight="1" x14ac:dyDescent="0.25">
      <c r="T42786" s="135"/>
      <c r="U42786" s="135"/>
    </row>
    <row r="42787" spans="20:21" ht="15" customHeight="1" x14ac:dyDescent="0.25">
      <c r="T42787" s="135"/>
      <c r="U42787" s="135"/>
    </row>
    <row r="42788" spans="20:21" ht="15" customHeight="1" x14ac:dyDescent="0.25">
      <c r="T42788" s="135"/>
      <c r="U42788" s="135"/>
    </row>
    <row r="42789" spans="20:21" ht="15" customHeight="1" x14ac:dyDescent="0.25">
      <c r="T42789" s="135"/>
      <c r="U42789" s="135"/>
    </row>
    <row r="42790" spans="20:21" ht="15" customHeight="1" x14ac:dyDescent="0.25">
      <c r="T42790" s="135"/>
      <c r="U42790" s="135"/>
    </row>
    <row r="42791" spans="20:21" ht="15" customHeight="1" x14ac:dyDescent="0.25">
      <c r="T42791" s="135"/>
      <c r="U42791" s="135"/>
    </row>
    <row r="42792" spans="20:21" ht="15" customHeight="1" x14ac:dyDescent="0.25">
      <c r="T42792" s="135"/>
      <c r="U42792" s="135"/>
    </row>
    <row r="42793" spans="20:21" ht="15" customHeight="1" x14ac:dyDescent="0.25">
      <c r="T42793" s="135"/>
      <c r="U42793" s="135"/>
    </row>
    <row r="42794" spans="20:21" ht="15" customHeight="1" x14ac:dyDescent="0.25">
      <c r="T42794" s="135"/>
      <c r="U42794" s="135"/>
    </row>
    <row r="42795" spans="20:21" ht="15" customHeight="1" x14ac:dyDescent="0.25">
      <c r="T42795" s="135"/>
      <c r="U42795" s="135"/>
    </row>
    <row r="42796" spans="20:21" ht="15" customHeight="1" x14ac:dyDescent="0.25">
      <c r="T42796" s="135"/>
      <c r="U42796" s="135"/>
    </row>
    <row r="42797" spans="20:21" ht="15" customHeight="1" x14ac:dyDescent="0.25">
      <c r="T42797" s="135"/>
      <c r="U42797" s="135"/>
    </row>
    <row r="42798" spans="20:21" ht="15" customHeight="1" x14ac:dyDescent="0.25">
      <c r="T42798" s="135"/>
      <c r="U42798" s="135"/>
    </row>
    <row r="42799" spans="20:21" ht="15" customHeight="1" x14ac:dyDescent="0.25">
      <c r="T42799" s="135"/>
      <c r="U42799" s="135"/>
    </row>
    <row r="42800" spans="20:21" ht="15" customHeight="1" x14ac:dyDescent="0.25">
      <c r="T42800" s="135"/>
      <c r="U42800" s="135"/>
    </row>
    <row r="42801" spans="20:21" ht="15" customHeight="1" x14ac:dyDescent="0.25">
      <c r="T42801" s="135"/>
      <c r="U42801" s="135"/>
    </row>
    <row r="42802" spans="20:21" ht="15" customHeight="1" x14ac:dyDescent="0.25">
      <c r="T42802" s="135"/>
      <c r="U42802" s="135"/>
    </row>
    <row r="42803" spans="20:21" ht="15" customHeight="1" x14ac:dyDescent="0.25">
      <c r="T42803" s="135"/>
      <c r="U42803" s="135"/>
    </row>
    <row r="42804" spans="20:21" ht="15" customHeight="1" x14ac:dyDescent="0.25">
      <c r="T42804" s="135"/>
      <c r="U42804" s="135"/>
    </row>
    <row r="42805" spans="20:21" ht="15" customHeight="1" x14ac:dyDescent="0.25">
      <c r="T42805" s="135"/>
      <c r="U42805" s="135"/>
    </row>
    <row r="42806" spans="20:21" ht="15" customHeight="1" x14ac:dyDescent="0.25">
      <c r="T42806" s="135"/>
      <c r="U42806" s="135"/>
    </row>
    <row r="42807" spans="20:21" ht="15" customHeight="1" x14ac:dyDescent="0.25">
      <c r="T42807" s="135"/>
      <c r="U42807" s="135"/>
    </row>
    <row r="42808" spans="20:21" ht="15" customHeight="1" x14ac:dyDescent="0.25">
      <c r="T42808" s="135"/>
      <c r="U42808" s="135"/>
    </row>
    <row r="42809" spans="20:21" ht="15" customHeight="1" x14ac:dyDescent="0.25">
      <c r="T42809" s="135"/>
      <c r="U42809" s="135"/>
    </row>
    <row r="42810" spans="20:21" ht="15" customHeight="1" x14ac:dyDescent="0.25">
      <c r="T42810" s="135"/>
      <c r="U42810" s="135"/>
    </row>
    <row r="42811" spans="20:21" ht="15" customHeight="1" x14ac:dyDescent="0.25">
      <c r="T42811" s="135"/>
      <c r="U42811" s="135"/>
    </row>
    <row r="42812" spans="20:21" ht="15" customHeight="1" x14ac:dyDescent="0.25">
      <c r="T42812" s="135"/>
      <c r="U42812" s="135"/>
    </row>
    <row r="42813" spans="20:21" ht="15" customHeight="1" x14ac:dyDescent="0.25">
      <c r="T42813" s="135"/>
      <c r="U42813" s="135"/>
    </row>
    <row r="42814" spans="20:21" ht="15" customHeight="1" x14ac:dyDescent="0.25">
      <c r="T42814" s="135"/>
      <c r="U42814" s="135"/>
    </row>
    <row r="42815" spans="20:21" ht="15" customHeight="1" x14ac:dyDescent="0.25">
      <c r="T42815" s="135"/>
      <c r="U42815" s="135"/>
    </row>
    <row r="42816" spans="20:21" ht="15" customHeight="1" x14ac:dyDescent="0.25">
      <c r="T42816" s="135"/>
      <c r="U42816" s="135"/>
    </row>
    <row r="42817" spans="20:21" ht="15" customHeight="1" x14ac:dyDescent="0.25">
      <c r="T42817" s="135"/>
      <c r="U42817" s="135"/>
    </row>
    <row r="42818" spans="20:21" ht="15" customHeight="1" x14ac:dyDescent="0.25">
      <c r="T42818" s="135"/>
      <c r="U42818" s="135"/>
    </row>
    <row r="42819" spans="20:21" ht="15" customHeight="1" x14ac:dyDescent="0.25">
      <c r="T42819" s="135"/>
      <c r="U42819" s="135"/>
    </row>
    <row r="42820" spans="20:21" ht="15" customHeight="1" x14ac:dyDescent="0.25">
      <c r="T42820" s="135"/>
      <c r="U42820" s="135"/>
    </row>
    <row r="42821" spans="20:21" ht="15" customHeight="1" x14ac:dyDescent="0.25">
      <c r="T42821" s="135"/>
      <c r="U42821" s="135"/>
    </row>
    <row r="42822" spans="20:21" ht="15" customHeight="1" x14ac:dyDescent="0.25">
      <c r="T42822" s="135"/>
      <c r="U42822" s="135"/>
    </row>
    <row r="42823" spans="20:21" ht="15" customHeight="1" x14ac:dyDescent="0.25">
      <c r="T42823" s="135"/>
      <c r="U42823" s="135"/>
    </row>
    <row r="42824" spans="20:21" ht="15" customHeight="1" x14ac:dyDescent="0.25">
      <c r="T42824" s="135"/>
      <c r="U42824" s="135"/>
    </row>
    <row r="42825" spans="20:21" ht="15" customHeight="1" x14ac:dyDescent="0.25">
      <c r="T42825" s="135"/>
      <c r="U42825" s="135"/>
    </row>
    <row r="42826" spans="20:21" ht="15" customHeight="1" x14ac:dyDescent="0.25">
      <c r="T42826" s="135"/>
      <c r="U42826" s="135"/>
    </row>
    <row r="42827" spans="20:21" ht="15" customHeight="1" x14ac:dyDescent="0.25">
      <c r="T42827" s="135"/>
      <c r="U42827" s="135"/>
    </row>
    <row r="42828" spans="20:21" ht="15" customHeight="1" x14ac:dyDescent="0.25">
      <c r="T42828" s="135"/>
      <c r="U42828" s="135"/>
    </row>
    <row r="42829" spans="20:21" ht="15" customHeight="1" x14ac:dyDescent="0.25">
      <c r="T42829" s="135"/>
      <c r="U42829" s="135"/>
    </row>
    <row r="42830" spans="20:21" ht="15" customHeight="1" x14ac:dyDescent="0.25">
      <c r="T42830" s="135"/>
      <c r="U42830" s="135"/>
    </row>
    <row r="42831" spans="20:21" ht="15" customHeight="1" x14ac:dyDescent="0.25">
      <c r="T42831" s="135"/>
      <c r="U42831" s="135"/>
    </row>
    <row r="42832" spans="20:21" ht="15" customHeight="1" x14ac:dyDescent="0.25">
      <c r="T42832" s="135"/>
      <c r="U42832" s="135"/>
    </row>
    <row r="42833" spans="20:21" ht="15" customHeight="1" x14ac:dyDescent="0.25">
      <c r="T42833" s="135"/>
      <c r="U42833" s="135"/>
    </row>
    <row r="42834" spans="20:21" ht="15" customHeight="1" x14ac:dyDescent="0.25">
      <c r="T42834" s="135"/>
      <c r="U42834" s="135"/>
    </row>
    <row r="42835" spans="20:21" ht="15" customHeight="1" x14ac:dyDescent="0.25">
      <c r="T42835" s="135"/>
      <c r="U42835" s="135"/>
    </row>
    <row r="42836" spans="20:21" ht="15" customHeight="1" x14ac:dyDescent="0.25">
      <c r="T42836" s="135"/>
      <c r="U42836" s="135"/>
    </row>
    <row r="42837" spans="20:21" ht="15" customHeight="1" x14ac:dyDescent="0.25">
      <c r="T42837" s="135"/>
      <c r="U42837" s="135"/>
    </row>
    <row r="42838" spans="20:21" ht="15" customHeight="1" x14ac:dyDescent="0.25">
      <c r="T42838" s="135"/>
      <c r="U42838" s="135"/>
    </row>
    <row r="42839" spans="20:21" ht="15" customHeight="1" x14ac:dyDescent="0.25">
      <c r="T42839" s="135"/>
      <c r="U42839" s="135"/>
    </row>
    <row r="42840" spans="20:21" ht="15" customHeight="1" x14ac:dyDescent="0.25">
      <c r="T42840" s="135"/>
      <c r="U42840" s="135"/>
    </row>
    <row r="42841" spans="20:21" ht="15" customHeight="1" x14ac:dyDescent="0.25">
      <c r="T42841" s="135"/>
      <c r="U42841" s="135"/>
    </row>
    <row r="42842" spans="20:21" ht="15" customHeight="1" x14ac:dyDescent="0.25">
      <c r="T42842" s="135"/>
      <c r="U42842" s="135"/>
    </row>
    <row r="42843" spans="20:21" ht="15" customHeight="1" x14ac:dyDescent="0.25">
      <c r="T42843" s="135"/>
      <c r="U42843" s="135"/>
    </row>
    <row r="42844" spans="20:21" ht="15" customHeight="1" x14ac:dyDescent="0.25">
      <c r="T42844" s="135"/>
      <c r="U42844" s="135"/>
    </row>
    <row r="42845" spans="20:21" ht="15" customHeight="1" x14ac:dyDescent="0.25">
      <c r="T42845" s="135"/>
      <c r="U42845" s="135"/>
    </row>
    <row r="42846" spans="20:21" ht="15" customHeight="1" x14ac:dyDescent="0.25">
      <c r="T42846" s="135"/>
      <c r="U42846" s="135"/>
    </row>
    <row r="42847" spans="20:21" ht="15" customHeight="1" x14ac:dyDescent="0.25">
      <c r="T42847" s="135"/>
      <c r="U42847" s="135"/>
    </row>
    <row r="42848" spans="20:21" ht="15" customHeight="1" x14ac:dyDescent="0.25">
      <c r="T42848" s="135"/>
      <c r="U42848" s="135"/>
    </row>
    <row r="42849" spans="20:21" ht="15" customHeight="1" x14ac:dyDescent="0.25">
      <c r="T42849" s="135"/>
      <c r="U42849" s="135"/>
    </row>
    <row r="42850" spans="20:21" ht="15" customHeight="1" x14ac:dyDescent="0.25">
      <c r="T42850" s="135"/>
      <c r="U42850" s="135"/>
    </row>
    <row r="42851" spans="20:21" ht="15" customHeight="1" x14ac:dyDescent="0.25">
      <c r="T42851" s="135"/>
      <c r="U42851" s="135"/>
    </row>
    <row r="42852" spans="20:21" ht="15" customHeight="1" x14ac:dyDescent="0.25">
      <c r="T42852" s="135"/>
      <c r="U42852" s="135"/>
    </row>
    <row r="42853" spans="20:21" ht="15" customHeight="1" x14ac:dyDescent="0.25">
      <c r="T42853" s="135"/>
      <c r="U42853" s="135"/>
    </row>
    <row r="42854" spans="20:21" ht="15" customHeight="1" x14ac:dyDescent="0.25">
      <c r="T42854" s="135"/>
      <c r="U42854" s="135"/>
    </row>
    <row r="42855" spans="20:21" ht="15" customHeight="1" x14ac:dyDescent="0.25">
      <c r="T42855" s="135"/>
      <c r="U42855" s="135"/>
    </row>
    <row r="42856" spans="20:21" ht="15" customHeight="1" x14ac:dyDescent="0.25">
      <c r="T42856" s="135"/>
      <c r="U42856" s="135"/>
    </row>
    <row r="42857" spans="20:21" ht="15" customHeight="1" x14ac:dyDescent="0.25">
      <c r="T42857" s="135"/>
      <c r="U42857" s="135"/>
    </row>
    <row r="42858" spans="20:21" ht="15" customHeight="1" x14ac:dyDescent="0.25">
      <c r="T42858" s="135"/>
      <c r="U42858" s="135"/>
    </row>
    <row r="42859" spans="20:21" ht="15" customHeight="1" x14ac:dyDescent="0.25">
      <c r="T42859" s="135"/>
      <c r="U42859" s="135"/>
    </row>
    <row r="42860" spans="20:21" ht="15" customHeight="1" x14ac:dyDescent="0.25">
      <c r="T42860" s="135"/>
      <c r="U42860" s="135"/>
    </row>
    <row r="42861" spans="20:21" ht="15" customHeight="1" x14ac:dyDescent="0.25">
      <c r="T42861" s="135"/>
      <c r="U42861" s="135"/>
    </row>
    <row r="42862" spans="20:21" ht="15" customHeight="1" x14ac:dyDescent="0.25">
      <c r="T42862" s="135"/>
      <c r="U42862" s="135"/>
    </row>
    <row r="42863" spans="20:21" ht="15" customHeight="1" x14ac:dyDescent="0.25">
      <c r="T42863" s="135"/>
      <c r="U42863" s="135"/>
    </row>
    <row r="42864" spans="20:21" ht="15" customHeight="1" x14ac:dyDescent="0.25">
      <c r="T42864" s="135"/>
      <c r="U42864" s="135"/>
    </row>
    <row r="42865" spans="20:21" ht="15" customHeight="1" x14ac:dyDescent="0.25">
      <c r="T42865" s="135"/>
      <c r="U42865" s="135"/>
    </row>
    <row r="42866" spans="20:21" ht="15" customHeight="1" x14ac:dyDescent="0.25">
      <c r="T42866" s="135"/>
      <c r="U42866" s="135"/>
    </row>
    <row r="42867" spans="20:21" ht="15" customHeight="1" x14ac:dyDescent="0.25">
      <c r="T42867" s="135"/>
      <c r="U42867" s="135"/>
    </row>
    <row r="42868" spans="20:21" ht="15" customHeight="1" x14ac:dyDescent="0.25">
      <c r="T42868" s="135"/>
      <c r="U42868" s="135"/>
    </row>
    <row r="42869" spans="20:21" ht="15" customHeight="1" x14ac:dyDescent="0.25">
      <c r="T42869" s="135"/>
      <c r="U42869" s="135"/>
    </row>
    <row r="42870" spans="20:21" ht="15" customHeight="1" x14ac:dyDescent="0.25">
      <c r="T42870" s="135"/>
      <c r="U42870" s="135"/>
    </row>
    <row r="42871" spans="20:21" ht="15" customHeight="1" x14ac:dyDescent="0.25">
      <c r="T42871" s="135"/>
      <c r="U42871" s="135"/>
    </row>
    <row r="42872" spans="20:21" ht="15" customHeight="1" x14ac:dyDescent="0.25">
      <c r="T42872" s="135"/>
      <c r="U42872" s="135"/>
    </row>
    <row r="42873" spans="20:21" ht="15" customHeight="1" x14ac:dyDescent="0.25">
      <c r="T42873" s="135"/>
      <c r="U42873" s="135"/>
    </row>
    <row r="42874" spans="20:21" ht="15" customHeight="1" x14ac:dyDescent="0.25">
      <c r="T42874" s="135"/>
      <c r="U42874" s="135"/>
    </row>
    <row r="42875" spans="20:21" ht="15" customHeight="1" x14ac:dyDescent="0.25">
      <c r="T42875" s="135"/>
      <c r="U42875" s="135"/>
    </row>
    <row r="42876" spans="20:21" ht="15" customHeight="1" x14ac:dyDescent="0.25">
      <c r="T42876" s="135"/>
      <c r="U42876" s="135"/>
    </row>
    <row r="42877" spans="20:21" ht="15" customHeight="1" x14ac:dyDescent="0.25">
      <c r="T42877" s="135"/>
      <c r="U42877" s="135"/>
    </row>
    <row r="42878" spans="20:21" ht="15" customHeight="1" x14ac:dyDescent="0.25">
      <c r="T42878" s="135"/>
      <c r="U42878" s="135"/>
    </row>
    <row r="42879" spans="20:21" ht="15" customHeight="1" x14ac:dyDescent="0.25">
      <c r="T42879" s="135"/>
      <c r="U42879" s="135"/>
    </row>
    <row r="42880" spans="20:21" ht="15" customHeight="1" x14ac:dyDescent="0.25">
      <c r="T42880" s="135"/>
      <c r="U42880" s="135"/>
    </row>
    <row r="42881" spans="20:21" ht="15" customHeight="1" x14ac:dyDescent="0.25">
      <c r="T42881" s="135"/>
      <c r="U42881" s="135"/>
    </row>
    <row r="42882" spans="20:21" ht="15" customHeight="1" x14ac:dyDescent="0.25">
      <c r="T42882" s="135"/>
      <c r="U42882" s="135"/>
    </row>
    <row r="42883" spans="20:21" ht="15" customHeight="1" x14ac:dyDescent="0.25">
      <c r="T42883" s="135"/>
      <c r="U42883" s="135"/>
    </row>
    <row r="42884" spans="20:21" ht="15" customHeight="1" x14ac:dyDescent="0.25">
      <c r="T42884" s="135"/>
      <c r="U42884" s="135"/>
    </row>
    <row r="42885" spans="20:21" ht="15" customHeight="1" x14ac:dyDescent="0.25">
      <c r="T42885" s="135"/>
      <c r="U42885" s="135"/>
    </row>
    <row r="42886" spans="20:21" ht="15" customHeight="1" x14ac:dyDescent="0.25">
      <c r="T42886" s="135"/>
      <c r="U42886" s="135"/>
    </row>
    <row r="42887" spans="20:21" ht="15" customHeight="1" x14ac:dyDescent="0.25">
      <c r="T42887" s="135"/>
      <c r="U42887" s="135"/>
    </row>
    <row r="42888" spans="20:21" ht="15" customHeight="1" x14ac:dyDescent="0.25">
      <c r="T42888" s="135"/>
      <c r="U42888" s="135"/>
    </row>
    <row r="42889" spans="20:21" ht="15" customHeight="1" x14ac:dyDescent="0.25">
      <c r="T42889" s="135"/>
      <c r="U42889" s="135"/>
    </row>
    <row r="42890" spans="20:21" ht="15" customHeight="1" x14ac:dyDescent="0.25">
      <c r="T42890" s="135"/>
      <c r="U42890" s="135"/>
    </row>
    <row r="42891" spans="20:21" ht="15" customHeight="1" x14ac:dyDescent="0.25">
      <c r="T42891" s="135"/>
      <c r="U42891" s="135"/>
    </row>
    <row r="42892" spans="20:21" ht="15" customHeight="1" x14ac:dyDescent="0.25">
      <c r="T42892" s="135"/>
      <c r="U42892" s="135"/>
    </row>
    <row r="42893" spans="20:21" ht="15" customHeight="1" x14ac:dyDescent="0.25">
      <c r="T42893" s="135"/>
      <c r="U42893" s="135"/>
    </row>
    <row r="42894" spans="20:21" ht="15" customHeight="1" x14ac:dyDescent="0.25">
      <c r="T42894" s="135"/>
      <c r="U42894" s="135"/>
    </row>
    <row r="42895" spans="20:21" ht="15" customHeight="1" x14ac:dyDescent="0.25">
      <c r="T42895" s="135"/>
      <c r="U42895" s="135"/>
    </row>
    <row r="42896" spans="20:21" ht="15" customHeight="1" x14ac:dyDescent="0.25">
      <c r="T42896" s="135"/>
      <c r="U42896" s="135"/>
    </row>
    <row r="42897" spans="20:21" ht="15" customHeight="1" x14ac:dyDescent="0.25">
      <c r="T42897" s="135"/>
      <c r="U42897" s="135"/>
    </row>
    <row r="42898" spans="20:21" ht="15" customHeight="1" x14ac:dyDescent="0.25">
      <c r="T42898" s="135"/>
      <c r="U42898" s="135"/>
    </row>
    <row r="42899" spans="20:21" ht="15" customHeight="1" x14ac:dyDescent="0.25">
      <c r="T42899" s="135"/>
      <c r="U42899" s="135"/>
    </row>
    <row r="42900" spans="20:21" ht="15" customHeight="1" x14ac:dyDescent="0.25">
      <c r="T42900" s="135"/>
      <c r="U42900" s="135"/>
    </row>
    <row r="42901" spans="20:21" ht="15" customHeight="1" x14ac:dyDescent="0.25">
      <c r="T42901" s="135"/>
      <c r="U42901" s="135"/>
    </row>
    <row r="42902" spans="20:21" ht="15" customHeight="1" x14ac:dyDescent="0.25">
      <c r="T42902" s="135"/>
      <c r="U42902" s="135"/>
    </row>
    <row r="42903" spans="20:21" ht="15" customHeight="1" x14ac:dyDescent="0.25">
      <c r="T42903" s="135"/>
      <c r="U42903" s="135"/>
    </row>
    <row r="42904" spans="20:21" ht="15" customHeight="1" x14ac:dyDescent="0.25">
      <c r="T42904" s="135"/>
      <c r="U42904" s="135"/>
    </row>
    <row r="42905" spans="20:21" ht="15" customHeight="1" x14ac:dyDescent="0.25">
      <c r="T42905" s="135"/>
      <c r="U42905" s="135"/>
    </row>
    <row r="42906" spans="20:21" ht="15" customHeight="1" x14ac:dyDescent="0.25">
      <c r="T42906" s="135"/>
      <c r="U42906" s="135"/>
    </row>
    <row r="42907" spans="20:21" ht="15" customHeight="1" x14ac:dyDescent="0.25">
      <c r="T42907" s="135"/>
      <c r="U42907" s="135"/>
    </row>
    <row r="42908" spans="20:21" ht="15" customHeight="1" x14ac:dyDescent="0.25">
      <c r="T42908" s="135"/>
      <c r="U42908" s="135"/>
    </row>
    <row r="42909" spans="20:21" ht="15" customHeight="1" x14ac:dyDescent="0.25">
      <c r="T42909" s="135"/>
      <c r="U42909" s="135"/>
    </row>
    <row r="42910" spans="20:21" ht="15" customHeight="1" x14ac:dyDescent="0.25">
      <c r="T42910" s="135"/>
      <c r="U42910" s="135"/>
    </row>
    <row r="42911" spans="20:21" ht="15" customHeight="1" x14ac:dyDescent="0.25">
      <c r="T42911" s="135"/>
      <c r="U42911" s="135"/>
    </row>
    <row r="42912" spans="20:21" ht="15" customHeight="1" x14ac:dyDescent="0.25">
      <c r="T42912" s="135"/>
      <c r="U42912" s="135"/>
    </row>
    <row r="42913" spans="20:21" ht="15" customHeight="1" x14ac:dyDescent="0.25">
      <c r="T42913" s="135"/>
      <c r="U42913" s="135"/>
    </row>
    <row r="42914" spans="20:21" ht="15" customHeight="1" x14ac:dyDescent="0.25">
      <c r="T42914" s="135"/>
      <c r="U42914" s="135"/>
    </row>
    <row r="42915" spans="20:21" ht="15" customHeight="1" x14ac:dyDescent="0.25">
      <c r="T42915" s="135"/>
      <c r="U42915" s="135"/>
    </row>
    <row r="42916" spans="20:21" ht="15" customHeight="1" x14ac:dyDescent="0.25">
      <c r="T42916" s="135"/>
      <c r="U42916" s="135"/>
    </row>
    <row r="42917" spans="20:21" ht="15" customHeight="1" x14ac:dyDescent="0.25">
      <c r="T42917" s="135"/>
      <c r="U42917" s="135"/>
    </row>
    <row r="42918" spans="20:21" ht="15" customHeight="1" x14ac:dyDescent="0.25">
      <c r="T42918" s="135"/>
      <c r="U42918" s="135"/>
    </row>
    <row r="42919" spans="20:21" ht="15" customHeight="1" x14ac:dyDescent="0.25">
      <c r="T42919" s="135"/>
      <c r="U42919" s="135"/>
    </row>
    <row r="42920" spans="20:21" ht="15" customHeight="1" x14ac:dyDescent="0.25">
      <c r="T42920" s="135"/>
      <c r="U42920" s="135"/>
    </row>
    <row r="42921" spans="20:21" ht="15" customHeight="1" x14ac:dyDescent="0.25">
      <c r="T42921" s="135"/>
      <c r="U42921" s="135"/>
    </row>
    <row r="42922" spans="20:21" ht="15" customHeight="1" x14ac:dyDescent="0.25">
      <c r="T42922" s="135"/>
      <c r="U42922" s="135"/>
    </row>
    <row r="42923" spans="20:21" ht="15" customHeight="1" x14ac:dyDescent="0.25">
      <c r="T42923" s="135"/>
      <c r="U42923" s="135"/>
    </row>
    <row r="42924" spans="20:21" ht="15" customHeight="1" x14ac:dyDescent="0.25">
      <c r="T42924" s="135"/>
      <c r="U42924" s="135"/>
    </row>
    <row r="42925" spans="20:21" ht="15" customHeight="1" x14ac:dyDescent="0.25">
      <c r="T42925" s="135"/>
      <c r="U42925" s="135"/>
    </row>
    <row r="42926" spans="20:21" ht="15" customHeight="1" x14ac:dyDescent="0.25">
      <c r="T42926" s="135"/>
      <c r="U42926" s="135"/>
    </row>
    <row r="42927" spans="20:21" ht="15" customHeight="1" x14ac:dyDescent="0.25">
      <c r="T42927" s="135"/>
      <c r="U42927" s="135"/>
    </row>
    <row r="42928" spans="20:21" ht="15" customHeight="1" x14ac:dyDescent="0.25">
      <c r="T42928" s="135"/>
      <c r="U42928" s="135"/>
    </row>
    <row r="42929" spans="20:21" ht="15" customHeight="1" x14ac:dyDescent="0.25">
      <c r="T42929" s="135"/>
      <c r="U42929" s="135"/>
    </row>
    <row r="42930" spans="20:21" ht="15" customHeight="1" x14ac:dyDescent="0.25">
      <c r="T42930" s="135"/>
      <c r="U42930" s="135"/>
    </row>
    <row r="42931" spans="20:21" ht="15" customHeight="1" x14ac:dyDescent="0.25">
      <c r="T42931" s="135"/>
      <c r="U42931" s="135"/>
    </row>
    <row r="42932" spans="20:21" ht="15" customHeight="1" x14ac:dyDescent="0.25">
      <c r="T42932" s="135"/>
      <c r="U42932" s="135"/>
    </row>
    <row r="42933" spans="20:21" ht="15" customHeight="1" x14ac:dyDescent="0.25">
      <c r="T42933" s="135"/>
      <c r="U42933" s="135"/>
    </row>
    <row r="42934" spans="20:21" ht="15" customHeight="1" x14ac:dyDescent="0.25">
      <c r="T42934" s="135"/>
      <c r="U42934" s="135"/>
    </row>
    <row r="42935" spans="20:21" ht="15" customHeight="1" x14ac:dyDescent="0.25">
      <c r="T42935" s="135"/>
      <c r="U42935" s="135"/>
    </row>
    <row r="42936" spans="20:21" ht="15" customHeight="1" x14ac:dyDescent="0.25">
      <c r="T42936" s="135"/>
      <c r="U42936" s="135"/>
    </row>
    <row r="42937" spans="20:21" ht="15" customHeight="1" x14ac:dyDescent="0.25">
      <c r="T42937" s="135"/>
      <c r="U42937" s="135"/>
    </row>
    <row r="42938" spans="20:21" ht="15" customHeight="1" x14ac:dyDescent="0.25">
      <c r="T42938" s="135"/>
      <c r="U42938" s="135"/>
    </row>
    <row r="42939" spans="20:21" ht="15" customHeight="1" x14ac:dyDescent="0.25">
      <c r="T42939" s="135"/>
      <c r="U42939" s="135"/>
    </row>
    <row r="42940" spans="20:21" ht="15" customHeight="1" x14ac:dyDescent="0.25">
      <c r="T42940" s="135"/>
      <c r="U42940" s="135"/>
    </row>
    <row r="42941" spans="20:21" ht="15" customHeight="1" x14ac:dyDescent="0.25">
      <c r="T42941" s="135"/>
      <c r="U42941" s="135"/>
    </row>
    <row r="42942" spans="20:21" ht="15" customHeight="1" x14ac:dyDescent="0.25">
      <c r="T42942" s="135"/>
      <c r="U42942" s="135"/>
    </row>
    <row r="42943" spans="20:21" ht="15" customHeight="1" x14ac:dyDescent="0.25">
      <c r="T42943" s="135"/>
      <c r="U42943" s="135"/>
    </row>
    <row r="42944" spans="20:21" ht="15" customHeight="1" x14ac:dyDescent="0.25">
      <c r="T42944" s="135"/>
      <c r="U42944" s="135"/>
    </row>
    <row r="42945" spans="20:21" ht="15" customHeight="1" x14ac:dyDescent="0.25">
      <c r="T42945" s="135"/>
      <c r="U42945" s="135"/>
    </row>
    <row r="42946" spans="20:21" ht="15" customHeight="1" x14ac:dyDescent="0.25">
      <c r="T42946" s="135"/>
      <c r="U42946" s="135"/>
    </row>
    <row r="42947" spans="20:21" ht="15" customHeight="1" x14ac:dyDescent="0.25">
      <c r="T42947" s="135"/>
      <c r="U42947" s="135"/>
    </row>
    <row r="42948" spans="20:21" ht="15" customHeight="1" x14ac:dyDescent="0.25">
      <c r="T42948" s="135"/>
      <c r="U42948" s="135"/>
    </row>
    <row r="42949" spans="20:21" ht="15" customHeight="1" x14ac:dyDescent="0.25">
      <c r="T42949" s="135"/>
      <c r="U42949" s="135"/>
    </row>
    <row r="42950" spans="20:21" ht="15" customHeight="1" x14ac:dyDescent="0.25">
      <c r="T42950" s="135"/>
      <c r="U42950" s="135"/>
    </row>
    <row r="42951" spans="20:21" ht="15" customHeight="1" x14ac:dyDescent="0.25">
      <c r="T42951" s="135"/>
      <c r="U42951" s="135"/>
    </row>
    <row r="42952" spans="20:21" ht="15" customHeight="1" x14ac:dyDescent="0.25">
      <c r="T42952" s="135"/>
      <c r="U42952" s="135"/>
    </row>
    <row r="42953" spans="20:21" ht="15" customHeight="1" x14ac:dyDescent="0.25">
      <c r="T42953" s="135"/>
      <c r="U42953" s="135"/>
    </row>
    <row r="42954" spans="20:21" ht="15" customHeight="1" x14ac:dyDescent="0.25">
      <c r="T42954" s="135"/>
      <c r="U42954" s="135"/>
    </row>
    <row r="42955" spans="20:21" ht="15" customHeight="1" x14ac:dyDescent="0.25">
      <c r="T42955" s="135"/>
      <c r="U42955" s="135"/>
    </row>
    <row r="42956" spans="20:21" ht="15" customHeight="1" x14ac:dyDescent="0.25">
      <c r="T42956" s="135"/>
      <c r="U42956" s="135"/>
    </row>
    <row r="42957" spans="20:21" ht="15" customHeight="1" x14ac:dyDescent="0.25">
      <c r="T42957" s="135"/>
      <c r="U42957" s="135"/>
    </row>
    <row r="42958" spans="20:21" ht="15" customHeight="1" x14ac:dyDescent="0.25">
      <c r="T42958" s="135"/>
      <c r="U42958" s="135"/>
    </row>
    <row r="42959" spans="20:21" ht="15" customHeight="1" x14ac:dyDescent="0.25">
      <c r="T42959" s="135"/>
      <c r="U42959" s="135"/>
    </row>
    <row r="42960" spans="20:21" ht="15" customHeight="1" x14ac:dyDescent="0.25">
      <c r="T42960" s="135"/>
      <c r="U42960" s="135"/>
    </row>
    <row r="42961" spans="20:21" ht="15" customHeight="1" x14ac:dyDescent="0.25">
      <c r="T42961" s="135"/>
      <c r="U42961" s="135"/>
    </row>
    <row r="42962" spans="20:21" ht="15" customHeight="1" x14ac:dyDescent="0.25">
      <c r="T42962" s="135"/>
      <c r="U42962" s="135"/>
    </row>
    <row r="42963" spans="20:21" ht="15" customHeight="1" x14ac:dyDescent="0.25">
      <c r="T42963" s="135"/>
      <c r="U42963" s="135"/>
    </row>
    <row r="42964" spans="20:21" ht="15" customHeight="1" x14ac:dyDescent="0.25">
      <c r="T42964" s="135"/>
      <c r="U42964" s="135"/>
    </row>
    <row r="42965" spans="20:21" ht="15" customHeight="1" x14ac:dyDescent="0.25">
      <c r="T42965" s="135"/>
      <c r="U42965" s="135"/>
    </row>
    <row r="42966" spans="20:21" ht="15" customHeight="1" x14ac:dyDescent="0.25">
      <c r="T42966" s="135"/>
      <c r="U42966" s="135"/>
    </row>
    <row r="42967" spans="20:21" ht="15" customHeight="1" x14ac:dyDescent="0.25">
      <c r="T42967" s="135"/>
      <c r="U42967" s="135"/>
    </row>
    <row r="42968" spans="20:21" ht="15" customHeight="1" x14ac:dyDescent="0.25">
      <c r="T42968" s="135"/>
      <c r="U42968" s="135"/>
    </row>
    <row r="42969" spans="20:21" ht="15" customHeight="1" x14ac:dyDescent="0.25">
      <c r="T42969" s="135"/>
      <c r="U42969" s="135"/>
    </row>
    <row r="42970" spans="20:21" ht="15" customHeight="1" x14ac:dyDescent="0.25">
      <c r="T42970" s="135"/>
      <c r="U42970" s="135"/>
    </row>
    <row r="42971" spans="20:21" ht="15" customHeight="1" x14ac:dyDescent="0.25">
      <c r="T42971" s="135"/>
      <c r="U42971" s="135"/>
    </row>
    <row r="42972" spans="20:21" ht="15" customHeight="1" x14ac:dyDescent="0.25">
      <c r="T42972" s="135"/>
      <c r="U42972" s="135"/>
    </row>
    <row r="42973" spans="20:21" ht="15" customHeight="1" x14ac:dyDescent="0.25">
      <c r="T42973" s="135"/>
      <c r="U42973" s="135"/>
    </row>
    <row r="42974" spans="20:21" ht="15" customHeight="1" x14ac:dyDescent="0.25">
      <c r="T42974" s="135"/>
      <c r="U42974" s="135"/>
    </row>
    <row r="42975" spans="20:21" ht="15" customHeight="1" x14ac:dyDescent="0.25">
      <c r="T42975" s="135"/>
      <c r="U42975" s="135"/>
    </row>
    <row r="42976" spans="20:21" ht="15" customHeight="1" x14ac:dyDescent="0.25">
      <c r="T42976" s="135"/>
      <c r="U42976" s="135"/>
    </row>
    <row r="42977" spans="20:21" ht="15" customHeight="1" x14ac:dyDescent="0.25">
      <c r="T42977" s="135"/>
      <c r="U42977" s="135"/>
    </row>
    <row r="42978" spans="20:21" ht="15" customHeight="1" x14ac:dyDescent="0.25">
      <c r="T42978" s="135"/>
      <c r="U42978" s="135"/>
    </row>
    <row r="42979" spans="20:21" ht="15" customHeight="1" x14ac:dyDescent="0.25">
      <c r="T42979" s="135"/>
      <c r="U42979" s="135"/>
    </row>
    <row r="42980" spans="20:21" ht="15" customHeight="1" x14ac:dyDescent="0.25">
      <c r="T42980" s="135"/>
      <c r="U42980" s="135"/>
    </row>
    <row r="42981" spans="20:21" ht="15" customHeight="1" x14ac:dyDescent="0.25">
      <c r="T42981" s="135"/>
      <c r="U42981" s="135"/>
    </row>
    <row r="42982" spans="20:21" ht="15" customHeight="1" x14ac:dyDescent="0.25">
      <c r="T42982" s="135"/>
      <c r="U42982" s="135"/>
    </row>
    <row r="42983" spans="20:21" ht="15" customHeight="1" x14ac:dyDescent="0.25">
      <c r="T42983" s="135"/>
      <c r="U42983" s="135"/>
    </row>
    <row r="42984" spans="20:21" ht="15" customHeight="1" x14ac:dyDescent="0.25">
      <c r="T42984" s="135"/>
      <c r="U42984" s="135"/>
    </row>
    <row r="42985" spans="20:21" ht="15" customHeight="1" x14ac:dyDescent="0.25">
      <c r="T42985" s="135"/>
      <c r="U42985" s="135"/>
    </row>
    <row r="42986" spans="20:21" ht="15" customHeight="1" x14ac:dyDescent="0.25">
      <c r="T42986" s="135"/>
      <c r="U42986" s="135"/>
    </row>
    <row r="42987" spans="20:21" ht="15" customHeight="1" x14ac:dyDescent="0.25">
      <c r="T42987" s="135"/>
      <c r="U42987" s="135"/>
    </row>
    <row r="42988" spans="20:21" ht="15" customHeight="1" x14ac:dyDescent="0.25">
      <c r="T42988" s="135"/>
      <c r="U42988" s="135"/>
    </row>
    <row r="42989" spans="20:21" ht="15" customHeight="1" x14ac:dyDescent="0.25">
      <c r="T42989" s="135"/>
      <c r="U42989" s="135"/>
    </row>
    <row r="42990" spans="20:21" ht="15" customHeight="1" x14ac:dyDescent="0.25">
      <c r="T42990" s="135"/>
      <c r="U42990" s="135"/>
    </row>
    <row r="42991" spans="20:21" ht="15" customHeight="1" x14ac:dyDescent="0.25">
      <c r="T42991" s="135"/>
      <c r="U42991" s="135"/>
    </row>
    <row r="42992" spans="20:21" ht="15" customHeight="1" x14ac:dyDescent="0.25">
      <c r="T42992" s="135"/>
      <c r="U42992" s="135"/>
    </row>
    <row r="42993" spans="20:21" ht="15" customHeight="1" x14ac:dyDescent="0.25">
      <c r="T42993" s="135"/>
      <c r="U42993" s="135"/>
    </row>
    <row r="42994" spans="20:21" ht="15" customHeight="1" x14ac:dyDescent="0.25">
      <c r="T42994" s="135"/>
      <c r="U42994" s="135"/>
    </row>
    <row r="42995" spans="20:21" ht="15" customHeight="1" x14ac:dyDescent="0.25">
      <c r="T42995" s="135"/>
      <c r="U42995" s="135"/>
    </row>
    <row r="42996" spans="20:21" ht="15" customHeight="1" x14ac:dyDescent="0.25">
      <c r="T42996" s="135"/>
      <c r="U42996" s="135"/>
    </row>
    <row r="42997" spans="20:21" ht="15" customHeight="1" x14ac:dyDescent="0.25">
      <c r="T42997" s="135"/>
      <c r="U42997" s="135"/>
    </row>
    <row r="42998" spans="20:21" ht="15" customHeight="1" x14ac:dyDescent="0.25">
      <c r="T42998" s="135"/>
      <c r="U42998" s="135"/>
    </row>
    <row r="42999" spans="20:21" ht="15" customHeight="1" x14ac:dyDescent="0.25">
      <c r="T42999" s="135"/>
      <c r="U42999" s="135"/>
    </row>
    <row r="43000" spans="20:21" ht="15" customHeight="1" x14ac:dyDescent="0.25">
      <c r="T43000" s="135"/>
      <c r="U43000" s="135"/>
    </row>
    <row r="43001" spans="20:21" ht="15" customHeight="1" x14ac:dyDescent="0.25">
      <c r="T43001" s="135"/>
      <c r="U43001" s="135"/>
    </row>
    <row r="43002" spans="20:21" ht="15" customHeight="1" x14ac:dyDescent="0.25">
      <c r="T43002" s="135"/>
      <c r="U43002" s="135"/>
    </row>
    <row r="43003" spans="20:21" ht="15" customHeight="1" x14ac:dyDescent="0.25">
      <c r="T43003" s="135"/>
      <c r="U43003" s="135"/>
    </row>
    <row r="43004" spans="20:21" ht="15" customHeight="1" x14ac:dyDescent="0.25">
      <c r="T43004" s="135"/>
      <c r="U43004" s="135"/>
    </row>
    <row r="43005" spans="20:21" ht="15" customHeight="1" x14ac:dyDescent="0.25">
      <c r="T43005" s="135"/>
      <c r="U43005" s="135"/>
    </row>
    <row r="43006" spans="20:21" ht="15" customHeight="1" x14ac:dyDescent="0.25">
      <c r="T43006" s="135"/>
      <c r="U43006" s="135"/>
    </row>
    <row r="43007" spans="20:21" ht="15" customHeight="1" x14ac:dyDescent="0.25">
      <c r="T43007" s="135"/>
      <c r="U43007" s="135"/>
    </row>
    <row r="43008" spans="20:21" ht="15" customHeight="1" x14ac:dyDescent="0.25">
      <c r="T43008" s="135"/>
      <c r="U43008" s="135"/>
    </row>
    <row r="43009" spans="20:21" ht="15" customHeight="1" x14ac:dyDescent="0.25">
      <c r="T43009" s="135"/>
      <c r="U43009" s="135"/>
    </row>
    <row r="43010" spans="20:21" ht="15" customHeight="1" x14ac:dyDescent="0.25">
      <c r="T43010" s="135"/>
      <c r="U43010" s="135"/>
    </row>
    <row r="43011" spans="20:21" ht="15" customHeight="1" x14ac:dyDescent="0.25">
      <c r="T43011" s="135"/>
      <c r="U43011" s="135"/>
    </row>
    <row r="43012" spans="20:21" ht="15" customHeight="1" x14ac:dyDescent="0.25">
      <c r="T43012" s="135"/>
      <c r="U43012" s="135"/>
    </row>
    <row r="43013" spans="20:21" ht="15" customHeight="1" x14ac:dyDescent="0.25">
      <c r="T43013" s="135"/>
      <c r="U43013" s="135"/>
    </row>
    <row r="43014" spans="20:21" ht="15" customHeight="1" x14ac:dyDescent="0.25">
      <c r="T43014" s="135"/>
      <c r="U43014" s="135"/>
    </row>
    <row r="43015" spans="20:21" ht="15" customHeight="1" x14ac:dyDescent="0.25">
      <c r="T43015" s="135"/>
      <c r="U43015" s="135"/>
    </row>
    <row r="43016" spans="20:21" ht="15" customHeight="1" x14ac:dyDescent="0.25">
      <c r="T43016" s="135"/>
      <c r="U43016" s="135"/>
    </row>
    <row r="43017" spans="20:21" ht="15" customHeight="1" x14ac:dyDescent="0.25">
      <c r="T43017" s="135"/>
      <c r="U43017" s="135"/>
    </row>
    <row r="43018" spans="20:21" ht="15" customHeight="1" x14ac:dyDescent="0.25">
      <c r="T43018" s="135"/>
      <c r="U43018" s="135"/>
    </row>
    <row r="43019" spans="20:21" ht="15" customHeight="1" x14ac:dyDescent="0.25">
      <c r="T43019" s="135"/>
      <c r="U43019" s="135"/>
    </row>
    <row r="43020" spans="20:21" ht="15" customHeight="1" x14ac:dyDescent="0.25">
      <c r="T43020" s="135"/>
      <c r="U43020" s="135"/>
    </row>
    <row r="43021" spans="20:21" ht="15" customHeight="1" x14ac:dyDescent="0.25">
      <c r="T43021" s="135"/>
      <c r="U43021" s="135"/>
    </row>
    <row r="43022" spans="20:21" ht="15" customHeight="1" x14ac:dyDescent="0.25">
      <c r="T43022" s="135"/>
      <c r="U43022" s="135"/>
    </row>
    <row r="43023" spans="20:21" ht="15" customHeight="1" x14ac:dyDescent="0.25">
      <c r="T43023" s="135"/>
      <c r="U43023" s="135"/>
    </row>
    <row r="43024" spans="20:21" ht="15" customHeight="1" x14ac:dyDescent="0.25">
      <c r="T43024" s="135"/>
      <c r="U43024" s="135"/>
    </row>
    <row r="43025" spans="20:21" ht="15" customHeight="1" x14ac:dyDescent="0.25">
      <c r="T43025" s="135"/>
      <c r="U43025" s="135"/>
    </row>
    <row r="43026" spans="20:21" ht="15" customHeight="1" x14ac:dyDescent="0.25">
      <c r="T43026" s="135"/>
      <c r="U43026" s="135"/>
    </row>
    <row r="43027" spans="20:21" ht="15" customHeight="1" x14ac:dyDescent="0.25">
      <c r="T43027" s="135"/>
      <c r="U43027" s="135"/>
    </row>
    <row r="43028" spans="20:21" ht="15" customHeight="1" x14ac:dyDescent="0.25">
      <c r="T43028" s="135"/>
      <c r="U43028" s="135"/>
    </row>
    <row r="43029" spans="20:21" ht="15" customHeight="1" x14ac:dyDescent="0.25">
      <c r="T43029" s="135"/>
      <c r="U43029" s="135"/>
    </row>
    <row r="43030" spans="20:21" ht="15" customHeight="1" x14ac:dyDescent="0.25">
      <c r="T43030" s="135"/>
      <c r="U43030" s="135"/>
    </row>
    <row r="43031" spans="20:21" ht="15" customHeight="1" x14ac:dyDescent="0.25">
      <c r="T43031" s="135"/>
      <c r="U43031" s="135"/>
    </row>
    <row r="43032" spans="20:21" ht="15" customHeight="1" x14ac:dyDescent="0.25">
      <c r="T43032" s="135"/>
      <c r="U43032" s="135"/>
    </row>
    <row r="43033" spans="20:21" ht="15" customHeight="1" x14ac:dyDescent="0.25">
      <c r="T43033" s="135"/>
      <c r="U43033" s="135"/>
    </row>
    <row r="43034" spans="20:21" ht="15" customHeight="1" x14ac:dyDescent="0.25">
      <c r="T43034" s="135"/>
      <c r="U43034" s="135"/>
    </row>
    <row r="43035" spans="20:21" ht="15" customHeight="1" x14ac:dyDescent="0.25">
      <c r="T43035" s="135"/>
      <c r="U43035" s="135"/>
    </row>
    <row r="43036" spans="20:21" ht="15" customHeight="1" x14ac:dyDescent="0.25">
      <c r="T43036" s="135"/>
      <c r="U43036" s="135"/>
    </row>
    <row r="43037" spans="20:21" ht="15" customHeight="1" x14ac:dyDescent="0.25">
      <c r="T43037" s="135"/>
      <c r="U43037" s="135"/>
    </row>
    <row r="43038" spans="20:21" ht="15" customHeight="1" x14ac:dyDescent="0.25">
      <c r="T43038" s="135"/>
      <c r="U43038" s="135"/>
    </row>
    <row r="43039" spans="20:21" ht="15" customHeight="1" x14ac:dyDescent="0.25">
      <c r="T43039" s="135"/>
      <c r="U43039" s="135"/>
    </row>
    <row r="43040" spans="20:21" ht="15" customHeight="1" x14ac:dyDescent="0.25">
      <c r="T43040" s="135"/>
      <c r="U43040" s="135"/>
    </row>
    <row r="43041" spans="20:21" ht="15" customHeight="1" x14ac:dyDescent="0.25">
      <c r="T43041" s="135"/>
      <c r="U43041" s="135"/>
    </row>
    <row r="43042" spans="20:21" ht="15" customHeight="1" x14ac:dyDescent="0.25">
      <c r="T43042" s="135"/>
      <c r="U43042" s="135"/>
    </row>
    <row r="43043" spans="20:21" ht="15" customHeight="1" x14ac:dyDescent="0.25">
      <c r="T43043" s="135"/>
      <c r="U43043" s="135"/>
    </row>
    <row r="43044" spans="20:21" ht="15" customHeight="1" x14ac:dyDescent="0.25">
      <c r="T43044" s="135"/>
      <c r="U43044" s="135"/>
    </row>
    <row r="43045" spans="20:21" ht="15" customHeight="1" x14ac:dyDescent="0.25">
      <c r="T43045" s="135"/>
      <c r="U43045" s="135"/>
    </row>
    <row r="43046" spans="20:21" ht="15" customHeight="1" x14ac:dyDescent="0.25">
      <c r="T43046" s="135"/>
      <c r="U43046" s="135"/>
    </row>
    <row r="43047" spans="20:21" ht="15" customHeight="1" x14ac:dyDescent="0.25">
      <c r="T43047" s="135"/>
      <c r="U43047" s="135"/>
    </row>
    <row r="43048" spans="20:21" ht="15" customHeight="1" x14ac:dyDescent="0.25">
      <c r="T43048" s="135"/>
      <c r="U43048" s="135"/>
    </row>
    <row r="43049" spans="20:21" ht="15" customHeight="1" x14ac:dyDescent="0.25">
      <c r="T43049" s="135"/>
      <c r="U43049" s="135"/>
    </row>
    <row r="43050" spans="20:21" ht="15" customHeight="1" x14ac:dyDescent="0.25">
      <c r="T43050" s="135"/>
      <c r="U43050" s="135"/>
    </row>
    <row r="43051" spans="20:21" ht="15" customHeight="1" x14ac:dyDescent="0.25">
      <c r="T43051" s="135"/>
      <c r="U43051" s="135"/>
    </row>
    <row r="43052" spans="20:21" ht="15" customHeight="1" x14ac:dyDescent="0.25">
      <c r="T43052" s="135"/>
      <c r="U43052" s="135"/>
    </row>
    <row r="43053" spans="20:21" ht="15" customHeight="1" x14ac:dyDescent="0.25">
      <c r="T43053" s="135"/>
      <c r="U43053" s="135"/>
    </row>
    <row r="43054" spans="20:21" ht="15" customHeight="1" x14ac:dyDescent="0.25">
      <c r="T43054" s="135"/>
      <c r="U43054" s="135"/>
    </row>
    <row r="43055" spans="20:21" ht="15" customHeight="1" x14ac:dyDescent="0.25">
      <c r="T43055" s="135"/>
      <c r="U43055" s="135"/>
    </row>
    <row r="43056" spans="20:21" ht="15" customHeight="1" x14ac:dyDescent="0.25">
      <c r="T43056" s="135"/>
      <c r="U43056" s="135"/>
    </row>
    <row r="43057" spans="20:21" ht="15" customHeight="1" x14ac:dyDescent="0.25">
      <c r="T43057" s="135"/>
      <c r="U43057" s="135"/>
    </row>
    <row r="43058" spans="20:21" ht="15" customHeight="1" x14ac:dyDescent="0.25">
      <c r="T43058" s="135"/>
      <c r="U43058" s="135"/>
    </row>
    <row r="43059" spans="20:21" ht="15" customHeight="1" x14ac:dyDescent="0.25">
      <c r="T43059" s="135"/>
      <c r="U43059" s="135"/>
    </row>
    <row r="43060" spans="20:21" ht="15" customHeight="1" x14ac:dyDescent="0.25">
      <c r="T43060" s="135"/>
      <c r="U43060" s="135"/>
    </row>
    <row r="43061" spans="20:21" ht="15" customHeight="1" x14ac:dyDescent="0.25">
      <c r="T43061" s="135"/>
      <c r="U43061" s="135"/>
    </row>
    <row r="43062" spans="20:21" ht="15" customHeight="1" x14ac:dyDescent="0.25">
      <c r="T43062" s="135"/>
      <c r="U43062" s="135"/>
    </row>
    <row r="43063" spans="20:21" ht="15" customHeight="1" x14ac:dyDescent="0.25">
      <c r="T43063" s="135"/>
      <c r="U43063" s="135"/>
    </row>
    <row r="43064" spans="20:21" ht="15" customHeight="1" x14ac:dyDescent="0.25">
      <c r="T43064" s="135"/>
      <c r="U43064" s="135"/>
    </row>
    <row r="43065" spans="20:21" ht="15" customHeight="1" x14ac:dyDescent="0.25">
      <c r="T43065" s="135"/>
      <c r="U43065" s="135"/>
    </row>
    <row r="43066" spans="20:21" ht="15" customHeight="1" x14ac:dyDescent="0.25">
      <c r="T43066" s="135"/>
      <c r="U43066" s="135"/>
    </row>
    <row r="43067" spans="20:21" ht="15" customHeight="1" x14ac:dyDescent="0.25">
      <c r="T43067" s="135"/>
      <c r="U43067" s="135"/>
    </row>
    <row r="43068" spans="20:21" ht="15" customHeight="1" x14ac:dyDescent="0.25">
      <c r="T43068" s="135"/>
      <c r="U43068" s="135"/>
    </row>
    <row r="43069" spans="20:21" ht="15" customHeight="1" x14ac:dyDescent="0.25">
      <c r="T43069" s="135"/>
      <c r="U43069" s="135"/>
    </row>
    <row r="43070" spans="20:21" ht="15" customHeight="1" x14ac:dyDescent="0.25">
      <c r="T43070" s="135"/>
      <c r="U43070" s="135"/>
    </row>
    <row r="43071" spans="20:21" ht="15" customHeight="1" x14ac:dyDescent="0.25">
      <c r="T43071" s="135"/>
      <c r="U43071" s="135"/>
    </row>
    <row r="43072" spans="20:21" ht="15" customHeight="1" x14ac:dyDescent="0.25">
      <c r="T43072" s="135"/>
      <c r="U43072" s="135"/>
    </row>
    <row r="43073" spans="20:21" ht="15" customHeight="1" x14ac:dyDescent="0.25">
      <c r="T43073" s="135"/>
      <c r="U43073" s="135"/>
    </row>
    <row r="43074" spans="20:21" ht="15" customHeight="1" x14ac:dyDescent="0.25">
      <c r="T43074" s="135"/>
      <c r="U43074" s="135"/>
    </row>
    <row r="43075" spans="20:21" ht="15" customHeight="1" x14ac:dyDescent="0.25">
      <c r="T43075" s="135"/>
      <c r="U43075" s="135"/>
    </row>
    <row r="43076" spans="20:21" ht="15" customHeight="1" x14ac:dyDescent="0.25">
      <c r="T43076" s="135"/>
      <c r="U43076" s="135"/>
    </row>
    <row r="43077" spans="20:21" ht="15" customHeight="1" x14ac:dyDescent="0.25">
      <c r="T43077" s="135"/>
      <c r="U43077" s="135"/>
    </row>
    <row r="43078" spans="20:21" ht="15" customHeight="1" x14ac:dyDescent="0.25">
      <c r="T43078" s="135"/>
      <c r="U43078" s="135"/>
    </row>
    <row r="43079" spans="20:21" ht="15" customHeight="1" x14ac:dyDescent="0.25">
      <c r="T43079" s="135"/>
      <c r="U43079" s="135"/>
    </row>
    <row r="43080" spans="20:21" ht="15" customHeight="1" x14ac:dyDescent="0.25">
      <c r="T43080" s="135"/>
      <c r="U43080" s="135"/>
    </row>
    <row r="43081" spans="20:21" ht="15" customHeight="1" x14ac:dyDescent="0.25">
      <c r="T43081" s="135"/>
      <c r="U43081" s="135"/>
    </row>
    <row r="43082" spans="20:21" ht="15" customHeight="1" x14ac:dyDescent="0.25">
      <c r="T43082" s="135"/>
      <c r="U43082" s="135"/>
    </row>
    <row r="43083" spans="20:21" ht="15" customHeight="1" x14ac:dyDescent="0.25">
      <c r="T43083" s="135"/>
      <c r="U43083" s="135"/>
    </row>
    <row r="43084" spans="20:21" ht="15" customHeight="1" x14ac:dyDescent="0.25">
      <c r="T43084" s="135"/>
      <c r="U43084" s="135"/>
    </row>
    <row r="43085" spans="20:21" ht="15" customHeight="1" x14ac:dyDescent="0.25">
      <c r="T43085" s="135"/>
      <c r="U43085" s="135"/>
    </row>
    <row r="43086" spans="20:21" ht="15" customHeight="1" x14ac:dyDescent="0.25">
      <c r="T43086" s="135"/>
      <c r="U43086" s="135"/>
    </row>
    <row r="43087" spans="20:21" ht="15" customHeight="1" x14ac:dyDescent="0.25">
      <c r="T43087" s="135"/>
      <c r="U43087" s="135"/>
    </row>
    <row r="43088" spans="20:21" ht="15" customHeight="1" x14ac:dyDescent="0.25">
      <c r="T43088" s="135"/>
      <c r="U43088" s="135"/>
    </row>
    <row r="43089" spans="20:21" ht="15" customHeight="1" x14ac:dyDescent="0.25">
      <c r="T43089" s="135"/>
      <c r="U43089" s="135"/>
    </row>
    <row r="43090" spans="20:21" ht="15" customHeight="1" x14ac:dyDescent="0.25">
      <c r="T43090" s="135"/>
      <c r="U43090" s="135"/>
    </row>
    <row r="43091" spans="20:21" ht="15" customHeight="1" x14ac:dyDescent="0.25">
      <c r="T43091" s="135"/>
      <c r="U43091" s="135"/>
    </row>
    <row r="43092" spans="20:21" ht="15" customHeight="1" x14ac:dyDescent="0.25">
      <c r="T43092" s="135"/>
      <c r="U43092" s="135"/>
    </row>
    <row r="43093" spans="20:21" ht="15" customHeight="1" x14ac:dyDescent="0.25">
      <c r="T43093" s="135"/>
      <c r="U43093" s="135"/>
    </row>
    <row r="43094" spans="20:21" ht="15" customHeight="1" x14ac:dyDescent="0.25">
      <c r="T43094" s="135"/>
      <c r="U43094" s="135"/>
    </row>
    <row r="43095" spans="20:21" ht="15" customHeight="1" x14ac:dyDescent="0.25">
      <c r="T43095" s="135"/>
      <c r="U43095" s="135"/>
    </row>
    <row r="43096" spans="20:21" ht="15" customHeight="1" x14ac:dyDescent="0.25">
      <c r="T43096" s="135"/>
      <c r="U43096" s="135"/>
    </row>
    <row r="43097" spans="20:21" ht="15" customHeight="1" x14ac:dyDescent="0.25">
      <c r="T43097" s="135"/>
      <c r="U43097" s="135"/>
    </row>
    <row r="43098" spans="20:21" ht="15" customHeight="1" x14ac:dyDescent="0.25">
      <c r="T43098" s="135"/>
      <c r="U43098" s="135"/>
    </row>
    <row r="43099" spans="20:21" ht="15" customHeight="1" x14ac:dyDescent="0.25">
      <c r="T43099" s="135"/>
      <c r="U43099" s="135"/>
    </row>
    <row r="43100" spans="20:21" ht="15" customHeight="1" x14ac:dyDescent="0.25">
      <c r="T43100" s="135"/>
      <c r="U43100" s="135"/>
    </row>
    <row r="43101" spans="20:21" ht="15" customHeight="1" x14ac:dyDescent="0.25">
      <c r="T43101" s="135"/>
      <c r="U43101" s="135"/>
    </row>
    <row r="43102" spans="20:21" ht="15" customHeight="1" x14ac:dyDescent="0.25">
      <c r="T43102" s="135"/>
      <c r="U43102" s="135"/>
    </row>
    <row r="43103" spans="20:21" ht="15" customHeight="1" x14ac:dyDescent="0.25">
      <c r="T43103" s="135"/>
      <c r="U43103" s="135"/>
    </row>
    <row r="43104" spans="20:21" ht="15" customHeight="1" x14ac:dyDescent="0.25">
      <c r="T43104" s="135"/>
      <c r="U43104" s="135"/>
    </row>
    <row r="43105" spans="20:21" ht="15" customHeight="1" x14ac:dyDescent="0.25">
      <c r="T43105" s="135"/>
      <c r="U43105" s="135"/>
    </row>
    <row r="43106" spans="20:21" ht="15" customHeight="1" x14ac:dyDescent="0.25">
      <c r="T43106" s="135"/>
      <c r="U43106" s="135"/>
    </row>
    <row r="43107" spans="20:21" ht="15" customHeight="1" x14ac:dyDescent="0.25">
      <c r="T43107" s="135"/>
      <c r="U43107" s="135"/>
    </row>
    <row r="43108" spans="20:21" ht="15" customHeight="1" x14ac:dyDescent="0.25">
      <c r="T43108" s="135"/>
      <c r="U43108" s="135"/>
    </row>
    <row r="43109" spans="20:21" ht="15" customHeight="1" x14ac:dyDescent="0.25">
      <c r="T43109" s="135"/>
      <c r="U43109" s="135"/>
    </row>
    <row r="43110" spans="20:21" ht="15" customHeight="1" x14ac:dyDescent="0.25">
      <c r="T43110" s="135"/>
      <c r="U43110" s="135"/>
    </row>
    <row r="43111" spans="20:21" ht="15" customHeight="1" x14ac:dyDescent="0.25">
      <c r="T43111" s="135"/>
      <c r="U43111" s="135"/>
    </row>
    <row r="43112" spans="20:21" ht="15" customHeight="1" x14ac:dyDescent="0.25">
      <c r="T43112" s="135"/>
      <c r="U43112" s="135"/>
    </row>
    <row r="43113" spans="20:21" ht="15" customHeight="1" x14ac:dyDescent="0.25">
      <c r="T43113" s="135"/>
      <c r="U43113" s="135"/>
    </row>
    <row r="43114" spans="20:21" ht="15" customHeight="1" x14ac:dyDescent="0.25">
      <c r="T43114" s="135"/>
      <c r="U43114" s="135"/>
    </row>
    <row r="43115" spans="20:21" ht="15" customHeight="1" x14ac:dyDescent="0.25">
      <c r="T43115" s="135"/>
      <c r="U43115" s="135"/>
    </row>
    <row r="43116" spans="20:21" ht="15" customHeight="1" x14ac:dyDescent="0.25">
      <c r="T43116" s="135"/>
      <c r="U43116" s="135"/>
    </row>
    <row r="43117" spans="20:21" ht="15" customHeight="1" x14ac:dyDescent="0.25">
      <c r="T43117" s="135"/>
      <c r="U43117" s="135"/>
    </row>
    <row r="43118" spans="20:21" ht="15" customHeight="1" x14ac:dyDescent="0.25">
      <c r="T43118" s="135"/>
      <c r="U43118" s="135"/>
    </row>
    <row r="43119" spans="20:21" ht="15" customHeight="1" x14ac:dyDescent="0.25">
      <c r="T43119" s="135"/>
      <c r="U43119" s="135"/>
    </row>
    <row r="43120" spans="20:21" ht="15" customHeight="1" x14ac:dyDescent="0.25">
      <c r="T43120" s="135"/>
      <c r="U43120" s="135"/>
    </row>
    <row r="43121" spans="20:21" ht="15" customHeight="1" x14ac:dyDescent="0.25">
      <c r="T43121" s="135"/>
      <c r="U43121" s="135"/>
    </row>
    <row r="43122" spans="20:21" ht="15" customHeight="1" x14ac:dyDescent="0.25">
      <c r="T43122" s="135"/>
      <c r="U43122" s="135"/>
    </row>
    <row r="43123" spans="20:21" ht="15" customHeight="1" x14ac:dyDescent="0.25">
      <c r="T43123" s="135"/>
      <c r="U43123" s="135"/>
    </row>
    <row r="43124" spans="20:21" ht="15" customHeight="1" x14ac:dyDescent="0.25">
      <c r="T43124" s="135"/>
      <c r="U43124" s="135"/>
    </row>
    <row r="43125" spans="20:21" ht="15" customHeight="1" x14ac:dyDescent="0.25">
      <c r="T43125" s="135"/>
      <c r="U43125" s="135"/>
    </row>
    <row r="43126" spans="20:21" ht="15" customHeight="1" x14ac:dyDescent="0.25">
      <c r="T43126" s="135"/>
      <c r="U43126" s="135"/>
    </row>
    <row r="43127" spans="20:21" ht="15" customHeight="1" x14ac:dyDescent="0.25">
      <c r="T43127" s="135"/>
      <c r="U43127" s="135"/>
    </row>
    <row r="43128" spans="20:21" ht="15" customHeight="1" x14ac:dyDescent="0.25">
      <c r="T43128" s="135"/>
      <c r="U43128" s="135"/>
    </row>
    <row r="43129" spans="20:21" ht="15" customHeight="1" x14ac:dyDescent="0.25">
      <c r="T43129" s="135"/>
      <c r="U43129" s="135"/>
    </row>
    <row r="43130" spans="20:21" ht="15" customHeight="1" x14ac:dyDescent="0.25">
      <c r="T43130" s="135"/>
      <c r="U43130" s="135"/>
    </row>
    <row r="43131" spans="20:21" ht="15" customHeight="1" x14ac:dyDescent="0.25">
      <c r="T43131" s="135"/>
      <c r="U43131" s="135"/>
    </row>
    <row r="43132" spans="20:21" ht="15" customHeight="1" x14ac:dyDescent="0.25">
      <c r="T43132" s="135"/>
      <c r="U43132" s="135"/>
    </row>
    <row r="43133" spans="20:21" ht="15" customHeight="1" x14ac:dyDescent="0.25">
      <c r="T43133" s="135"/>
      <c r="U43133" s="135"/>
    </row>
    <row r="43134" spans="20:21" ht="15" customHeight="1" x14ac:dyDescent="0.25">
      <c r="T43134" s="135"/>
      <c r="U43134" s="135"/>
    </row>
    <row r="43135" spans="20:21" ht="15" customHeight="1" x14ac:dyDescent="0.25">
      <c r="T43135" s="135"/>
      <c r="U43135" s="135"/>
    </row>
    <row r="43136" spans="20:21" ht="15" customHeight="1" x14ac:dyDescent="0.25">
      <c r="T43136" s="135"/>
      <c r="U43136" s="135"/>
    </row>
    <row r="43137" spans="20:21" ht="15" customHeight="1" x14ac:dyDescent="0.25">
      <c r="T43137" s="135"/>
      <c r="U43137" s="135"/>
    </row>
    <row r="43138" spans="20:21" ht="15" customHeight="1" x14ac:dyDescent="0.25">
      <c r="T43138" s="135"/>
      <c r="U43138" s="135"/>
    </row>
    <row r="43139" spans="20:21" ht="15" customHeight="1" x14ac:dyDescent="0.25">
      <c r="T43139" s="135"/>
      <c r="U43139" s="135"/>
    </row>
    <row r="43140" spans="20:21" ht="15" customHeight="1" x14ac:dyDescent="0.25">
      <c r="T43140" s="135"/>
      <c r="U43140" s="135"/>
    </row>
    <row r="43141" spans="20:21" ht="15" customHeight="1" x14ac:dyDescent="0.25">
      <c r="T43141" s="135"/>
      <c r="U43141" s="135"/>
    </row>
    <row r="43142" spans="20:21" ht="15" customHeight="1" x14ac:dyDescent="0.25">
      <c r="T43142" s="135"/>
      <c r="U43142" s="135"/>
    </row>
    <row r="43143" spans="20:21" ht="15" customHeight="1" x14ac:dyDescent="0.25">
      <c r="T43143" s="135"/>
      <c r="U43143" s="135"/>
    </row>
    <row r="43144" spans="20:21" ht="15" customHeight="1" x14ac:dyDescent="0.25">
      <c r="T43144" s="135"/>
      <c r="U43144" s="135"/>
    </row>
    <row r="43145" spans="20:21" ht="15" customHeight="1" x14ac:dyDescent="0.25">
      <c r="T43145" s="135"/>
      <c r="U43145" s="135"/>
    </row>
    <row r="43146" spans="20:21" ht="15" customHeight="1" x14ac:dyDescent="0.25">
      <c r="T43146" s="135"/>
      <c r="U43146" s="135"/>
    </row>
    <row r="43147" spans="20:21" ht="15" customHeight="1" x14ac:dyDescent="0.25">
      <c r="T43147" s="135"/>
      <c r="U43147" s="135"/>
    </row>
    <row r="43148" spans="20:21" ht="15" customHeight="1" x14ac:dyDescent="0.25">
      <c r="T43148" s="135"/>
      <c r="U43148" s="135"/>
    </row>
    <row r="43149" spans="20:21" ht="15" customHeight="1" x14ac:dyDescent="0.25">
      <c r="T43149" s="135"/>
      <c r="U43149" s="135"/>
    </row>
    <row r="43150" spans="20:21" ht="15" customHeight="1" x14ac:dyDescent="0.25">
      <c r="T43150" s="135"/>
      <c r="U43150" s="135"/>
    </row>
    <row r="43151" spans="20:21" ht="15" customHeight="1" x14ac:dyDescent="0.25">
      <c r="T43151" s="135"/>
      <c r="U43151" s="135"/>
    </row>
    <row r="43152" spans="20:21" ht="15" customHeight="1" x14ac:dyDescent="0.25">
      <c r="T43152" s="135"/>
      <c r="U43152" s="135"/>
    </row>
    <row r="43153" spans="20:21" ht="15" customHeight="1" x14ac:dyDescent="0.25">
      <c r="T43153" s="135"/>
      <c r="U43153" s="135"/>
    </row>
    <row r="43154" spans="20:21" ht="15" customHeight="1" x14ac:dyDescent="0.25">
      <c r="T43154" s="135"/>
      <c r="U43154" s="135"/>
    </row>
    <row r="43155" spans="20:21" ht="15" customHeight="1" x14ac:dyDescent="0.25">
      <c r="T43155" s="135"/>
      <c r="U43155" s="135"/>
    </row>
    <row r="43156" spans="20:21" ht="15" customHeight="1" x14ac:dyDescent="0.25">
      <c r="T43156" s="135"/>
      <c r="U43156" s="135"/>
    </row>
    <row r="43157" spans="20:21" ht="15" customHeight="1" x14ac:dyDescent="0.25">
      <c r="T43157" s="135"/>
      <c r="U43157" s="135"/>
    </row>
    <row r="43158" spans="20:21" ht="15" customHeight="1" x14ac:dyDescent="0.25">
      <c r="T43158" s="135"/>
      <c r="U43158" s="135"/>
    </row>
    <row r="43159" spans="20:21" ht="15" customHeight="1" x14ac:dyDescent="0.25">
      <c r="T43159" s="135"/>
      <c r="U43159" s="135"/>
    </row>
    <row r="43160" spans="20:21" ht="15" customHeight="1" x14ac:dyDescent="0.25">
      <c r="T43160" s="135"/>
      <c r="U43160" s="135"/>
    </row>
    <row r="43161" spans="20:21" ht="15" customHeight="1" x14ac:dyDescent="0.25">
      <c r="T43161" s="135"/>
      <c r="U43161" s="135"/>
    </row>
    <row r="43162" spans="20:21" ht="15" customHeight="1" x14ac:dyDescent="0.25">
      <c r="T43162" s="135"/>
      <c r="U43162" s="135"/>
    </row>
    <row r="43163" spans="20:21" ht="15" customHeight="1" x14ac:dyDescent="0.25">
      <c r="T43163" s="135"/>
      <c r="U43163" s="135"/>
    </row>
    <row r="43164" spans="20:21" ht="15" customHeight="1" x14ac:dyDescent="0.25">
      <c r="T43164" s="135"/>
      <c r="U43164" s="135"/>
    </row>
    <row r="43165" spans="20:21" ht="15" customHeight="1" x14ac:dyDescent="0.25">
      <c r="T43165" s="135"/>
      <c r="U43165" s="135"/>
    </row>
    <row r="43166" spans="20:21" ht="15" customHeight="1" x14ac:dyDescent="0.25">
      <c r="T43166" s="135"/>
      <c r="U43166" s="135"/>
    </row>
    <row r="43167" spans="20:21" ht="15" customHeight="1" x14ac:dyDescent="0.25">
      <c r="T43167" s="135"/>
      <c r="U43167" s="135"/>
    </row>
    <row r="43168" spans="20:21" ht="15" customHeight="1" x14ac:dyDescent="0.25">
      <c r="T43168" s="135"/>
      <c r="U43168" s="135"/>
    </row>
    <row r="43169" spans="20:21" ht="15" customHeight="1" x14ac:dyDescent="0.25">
      <c r="T43169" s="135"/>
      <c r="U43169" s="135"/>
    </row>
    <row r="43170" spans="20:21" ht="15" customHeight="1" x14ac:dyDescent="0.25">
      <c r="T43170" s="135"/>
      <c r="U43170" s="135"/>
    </row>
    <row r="43171" spans="20:21" ht="15" customHeight="1" x14ac:dyDescent="0.25">
      <c r="T43171" s="135"/>
      <c r="U43171" s="135"/>
    </row>
    <row r="43172" spans="20:21" ht="15" customHeight="1" x14ac:dyDescent="0.25">
      <c r="T43172" s="135"/>
      <c r="U43172" s="135"/>
    </row>
    <row r="43173" spans="20:21" ht="15" customHeight="1" x14ac:dyDescent="0.25">
      <c r="T43173" s="135"/>
      <c r="U43173" s="135"/>
    </row>
    <row r="43174" spans="20:21" ht="15" customHeight="1" x14ac:dyDescent="0.25">
      <c r="T43174" s="135"/>
      <c r="U43174" s="135"/>
    </row>
    <row r="43175" spans="20:21" ht="15" customHeight="1" x14ac:dyDescent="0.25">
      <c r="T43175" s="135"/>
      <c r="U43175" s="135"/>
    </row>
    <row r="43176" spans="20:21" ht="15" customHeight="1" x14ac:dyDescent="0.25">
      <c r="T43176" s="135"/>
      <c r="U43176" s="135"/>
    </row>
    <row r="43177" spans="20:21" ht="15" customHeight="1" x14ac:dyDescent="0.25">
      <c r="T43177" s="135"/>
      <c r="U43177" s="135"/>
    </row>
    <row r="43178" spans="20:21" ht="15" customHeight="1" x14ac:dyDescent="0.25">
      <c r="T43178" s="135"/>
      <c r="U43178" s="135"/>
    </row>
    <row r="43179" spans="20:21" ht="15" customHeight="1" x14ac:dyDescent="0.25">
      <c r="T43179" s="135"/>
      <c r="U43179" s="135"/>
    </row>
    <row r="43180" spans="20:21" ht="15" customHeight="1" x14ac:dyDescent="0.25">
      <c r="T43180" s="135"/>
      <c r="U43180" s="135"/>
    </row>
    <row r="43181" spans="20:21" ht="15" customHeight="1" x14ac:dyDescent="0.25">
      <c r="T43181" s="135"/>
      <c r="U43181" s="135"/>
    </row>
    <row r="43182" spans="20:21" ht="15" customHeight="1" x14ac:dyDescent="0.25">
      <c r="T43182" s="135"/>
      <c r="U43182" s="135"/>
    </row>
    <row r="43183" spans="20:21" ht="15" customHeight="1" x14ac:dyDescent="0.25">
      <c r="T43183" s="135"/>
      <c r="U43183" s="135"/>
    </row>
    <row r="43184" spans="20:21" ht="15" customHeight="1" x14ac:dyDescent="0.25">
      <c r="T43184" s="135"/>
      <c r="U43184" s="135"/>
    </row>
    <row r="43185" spans="20:21" ht="15" customHeight="1" x14ac:dyDescent="0.25">
      <c r="T43185" s="135"/>
      <c r="U43185" s="135"/>
    </row>
    <row r="43186" spans="20:21" ht="15" customHeight="1" x14ac:dyDescent="0.25">
      <c r="T43186" s="135"/>
      <c r="U43186" s="135"/>
    </row>
    <row r="43187" spans="20:21" ht="15" customHeight="1" x14ac:dyDescent="0.25">
      <c r="T43187" s="135"/>
      <c r="U43187" s="135"/>
    </row>
    <row r="43188" spans="20:21" ht="15" customHeight="1" x14ac:dyDescent="0.25">
      <c r="T43188" s="135"/>
      <c r="U43188" s="135"/>
    </row>
    <row r="43189" spans="20:21" ht="15" customHeight="1" x14ac:dyDescent="0.25">
      <c r="T43189" s="135"/>
      <c r="U43189" s="135"/>
    </row>
    <row r="43190" spans="20:21" ht="15" customHeight="1" x14ac:dyDescent="0.25">
      <c r="T43190" s="135"/>
      <c r="U43190" s="135"/>
    </row>
    <row r="43191" spans="20:21" ht="15" customHeight="1" x14ac:dyDescent="0.25">
      <c r="T43191" s="135"/>
      <c r="U43191" s="135"/>
    </row>
    <row r="43192" spans="20:21" ht="15" customHeight="1" x14ac:dyDescent="0.25">
      <c r="T43192" s="135"/>
      <c r="U43192" s="135"/>
    </row>
    <row r="43193" spans="20:21" ht="15" customHeight="1" x14ac:dyDescent="0.25">
      <c r="T43193" s="135"/>
      <c r="U43193" s="135"/>
    </row>
    <row r="43194" spans="20:21" ht="15" customHeight="1" x14ac:dyDescent="0.25">
      <c r="T43194" s="135"/>
      <c r="U43194" s="135"/>
    </row>
    <row r="43195" spans="20:21" ht="15" customHeight="1" x14ac:dyDescent="0.25">
      <c r="T43195" s="135"/>
      <c r="U43195" s="135"/>
    </row>
    <row r="43196" spans="20:21" ht="15" customHeight="1" x14ac:dyDescent="0.25">
      <c r="T43196" s="135"/>
      <c r="U43196" s="135"/>
    </row>
    <row r="43197" spans="20:21" ht="15" customHeight="1" x14ac:dyDescent="0.25">
      <c r="T43197" s="135"/>
      <c r="U43197" s="135"/>
    </row>
    <row r="43198" spans="20:21" ht="15" customHeight="1" x14ac:dyDescent="0.25">
      <c r="T43198" s="135"/>
      <c r="U43198" s="135"/>
    </row>
    <row r="43199" spans="20:21" ht="15" customHeight="1" x14ac:dyDescent="0.25">
      <c r="T43199" s="135"/>
      <c r="U43199" s="135"/>
    </row>
    <row r="43200" spans="20:21" ht="15" customHeight="1" x14ac:dyDescent="0.25">
      <c r="T43200" s="135"/>
      <c r="U43200" s="135"/>
    </row>
    <row r="43201" spans="20:21" ht="15" customHeight="1" x14ac:dyDescent="0.25">
      <c r="T43201" s="135"/>
      <c r="U43201" s="135"/>
    </row>
    <row r="43202" spans="20:21" ht="15" customHeight="1" x14ac:dyDescent="0.25">
      <c r="T43202" s="135"/>
      <c r="U43202" s="135"/>
    </row>
    <row r="43203" spans="20:21" ht="15" customHeight="1" x14ac:dyDescent="0.25">
      <c r="T43203" s="135"/>
      <c r="U43203" s="135"/>
    </row>
    <row r="43204" spans="20:21" ht="15" customHeight="1" x14ac:dyDescent="0.25">
      <c r="T43204" s="135"/>
      <c r="U43204" s="135"/>
    </row>
    <row r="43205" spans="20:21" ht="15" customHeight="1" x14ac:dyDescent="0.25">
      <c r="T43205" s="135"/>
      <c r="U43205" s="135"/>
    </row>
    <row r="43206" spans="20:21" ht="15" customHeight="1" x14ac:dyDescent="0.25">
      <c r="T43206" s="135"/>
      <c r="U43206" s="135"/>
    </row>
    <row r="43207" spans="20:21" ht="15" customHeight="1" x14ac:dyDescent="0.25">
      <c r="T43207" s="135"/>
      <c r="U43207" s="135"/>
    </row>
    <row r="43208" spans="20:21" ht="15" customHeight="1" x14ac:dyDescent="0.25">
      <c r="T43208" s="135"/>
      <c r="U43208" s="135"/>
    </row>
    <row r="43209" spans="20:21" ht="15" customHeight="1" x14ac:dyDescent="0.25">
      <c r="T43209" s="135"/>
      <c r="U43209" s="135"/>
    </row>
    <row r="43210" spans="20:21" ht="15" customHeight="1" x14ac:dyDescent="0.25">
      <c r="T43210" s="135"/>
      <c r="U43210" s="135"/>
    </row>
    <row r="43211" spans="20:21" ht="15" customHeight="1" x14ac:dyDescent="0.25">
      <c r="T43211" s="135"/>
      <c r="U43211" s="135"/>
    </row>
    <row r="43212" spans="20:21" ht="15" customHeight="1" x14ac:dyDescent="0.25">
      <c r="T43212" s="135"/>
      <c r="U43212" s="135"/>
    </row>
    <row r="43213" spans="20:21" ht="15" customHeight="1" x14ac:dyDescent="0.25">
      <c r="T43213" s="135"/>
      <c r="U43213" s="135"/>
    </row>
    <row r="43214" spans="20:21" ht="15" customHeight="1" x14ac:dyDescent="0.25">
      <c r="T43214" s="135"/>
      <c r="U43214" s="135"/>
    </row>
    <row r="43215" spans="20:21" ht="15" customHeight="1" x14ac:dyDescent="0.25">
      <c r="T43215" s="135"/>
      <c r="U43215" s="135"/>
    </row>
    <row r="43216" spans="20:21" ht="15" customHeight="1" x14ac:dyDescent="0.25">
      <c r="T43216" s="135"/>
      <c r="U43216" s="135"/>
    </row>
    <row r="43217" spans="20:21" ht="15" customHeight="1" x14ac:dyDescent="0.25">
      <c r="T43217" s="135"/>
      <c r="U43217" s="135"/>
    </row>
    <row r="43218" spans="20:21" ht="15" customHeight="1" x14ac:dyDescent="0.25">
      <c r="T43218" s="135"/>
      <c r="U43218" s="135"/>
    </row>
    <row r="43219" spans="20:21" ht="15" customHeight="1" x14ac:dyDescent="0.25">
      <c r="T43219" s="135"/>
      <c r="U43219" s="135"/>
    </row>
    <row r="43220" spans="20:21" ht="15" customHeight="1" x14ac:dyDescent="0.25">
      <c r="T43220" s="135"/>
      <c r="U43220" s="135"/>
    </row>
    <row r="43221" spans="20:21" ht="15" customHeight="1" x14ac:dyDescent="0.25">
      <c r="T43221" s="135"/>
      <c r="U43221" s="135"/>
    </row>
    <row r="43222" spans="20:21" ht="15" customHeight="1" x14ac:dyDescent="0.25">
      <c r="T43222" s="135"/>
      <c r="U43222" s="135"/>
    </row>
    <row r="43223" spans="20:21" ht="15" customHeight="1" x14ac:dyDescent="0.25">
      <c r="T43223" s="135"/>
      <c r="U43223" s="135"/>
    </row>
    <row r="43224" spans="20:21" ht="15" customHeight="1" x14ac:dyDescent="0.25">
      <c r="T43224" s="135"/>
      <c r="U43224" s="135"/>
    </row>
    <row r="43225" spans="20:21" ht="15" customHeight="1" x14ac:dyDescent="0.25">
      <c r="T43225" s="135"/>
      <c r="U43225" s="135"/>
    </row>
    <row r="43226" spans="20:21" ht="15" customHeight="1" x14ac:dyDescent="0.25">
      <c r="T43226" s="135"/>
      <c r="U43226" s="135"/>
    </row>
    <row r="43227" spans="20:21" ht="15" customHeight="1" x14ac:dyDescent="0.25">
      <c r="T43227" s="135"/>
      <c r="U43227" s="135"/>
    </row>
    <row r="43228" spans="20:21" ht="15" customHeight="1" x14ac:dyDescent="0.25">
      <c r="T43228" s="135"/>
      <c r="U43228" s="135"/>
    </row>
    <row r="43229" spans="20:21" ht="15" customHeight="1" x14ac:dyDescent="0.25">
      <c r="T43229" s="135"/>
      <c r="U43229" s="135"/>
    </row>
    <row r="43230" spans="20:21" ht="15" customHeight="1" x14ac:dyDescent="0.25">
      <c r="T43230" s="135"/>
      <c r="U43230" s="135"/>
    </row>
    <row r="43231" spans="20:21" ht="15" customHeight="1" x14ac:dyDescent="0.25">
      <c r="T43231" s="135"/>
      <c r="U43231" s="135"/>
    </row>
    <row r="43232" spans="20:21" ht="15" customHeight="1" x14ac:dyDescent="0.25">
      <c r="T43232" s="135"/>
      <c r="U43232" s="135"/>
    </row>
    <row r="43233" spans="20:21" ht="15" customHeight="1" x14ac:dyDescent="0.25">
      <c r="T43233" s="135"/>
      <c r="U43233" s="135"/>
    </row>
    <row r="43234" spans="20:21" ht="15" customHeight="1" x14ac:dyDescent="0.25">
      <c r="T43234" s="135"/>
      <c r="U43234" s="135"/>
    </row>
    <row r="43235" spans="20:21" ht="15" customHeight="1" x14ac:dyDescent="0.25">
      <c r="T43235" s="135"/>
      <c r="U43235" s="135"/>
    </row>
    <row r="43236" spans="20:21" ht="15" customHeight="1" x14ac:dyDescent="0.25">
      <c r="T43236" s="135"/>
      <c r="U43236" s="135"/>
    </row>
    <row r="43237" spans="20:21" ht="15" customHeight="1" x14ac:dyDescent="0.25">
      <c r="T43237" s="135"/>
      <c r="U43237" s="135"/>
    </row>
    <row r="43238" spans="20:21" ht="15" customHeight="1" x14ac:dyDescent="0.25">
      <c r="T43238" s="135"/>
      <c r="U43238" s="135"/>
    </row>
    <row r="43239" spans="20:21" ht="15" customHeight="1" x14ac:dyDescent="0.25">
      <c r="T43239" s="135"/>
      <c r="U43239" s="135"/>
    </row>
    <row r="43240" spans="20:21" ht="15" customHeight="1" x14ac:dyDescent="0.25">
      <c r="T43240" s="135"/>
      <c r="U43240" s="135"/>
    </row>
    <row r="43241" spans="20:21" ht="15" customHeight="1" x14ac:dyDescent="0.25">
      <c r="T43241" s="135"/>
      <c r="U43241" s="135"/>
    </row>
    <row r="43242" spans="20:21" ht="15" customHeight="1" x14ac:dyDescent="0.25">
      <c r="T43242" s="135"/>
      <c r="U43242" s="135"/>
    </row>
    <row r="43243" spans="20:21" ht="15" customHeight="1" x14ac:dyDescent="0.25">
      <c r="T43243" s="135"/>
      <c r="U43243" s="135"/>
    </row>
    <row r="43244" spans="20:21" ht="15" customHeight="1" x14ac:dyDescent="0.25">
      <c r="T43244" s="135"/>
      <c r="U43244" s="135"/>
    </row>
    <row r="43245" spans="20:21" ht="15" customHeight="1" x14ac:dyDescent="0.25">
      <c r="T43245" s="135"/>
      <c r="U43245" s="135"/>
    </row>
    <row r="43246" spans="20:21" ht="15" customHeight="1" x14ac:dyDescent="0.25">
      <c r="T43246" s="135"/>
      <c r="U43246" s="135"/>
    </row>
    <row r="43247" spans="20:21" ht="15" customHeight="1" x14ac:dyDescent="0.25">
      <c r="T43247" s="135"/>
      <c r="U43247" s="135"/>
    </row>
    <row r="43248" spans="20:21" ht="15" customHeight="1" x14ac:dyDescent="0.25">
      <c r="T43248" s="135"/>
      <c r="U43248" s="135"/>
    </row>
    <row r="43249" spans="20:21" ht="15" customHeight="1" x14ac:dyDescent="0.25">
      <c r="T43249" s="135"/>
      <c r="U43249" s="135"/>
    </row>
    <row r="43250" spans="20:21" ht="15" customHeight="1" x14ac:dyDescent="0.25">
      <c r="T43250" s="135"/>
      <c r="U43250" s="135"/>
    </row>
    <row r="43251" spans="20:21" ht="15" customHeight="1" x14ac:dyDescent="0.25">
      <c r="T43251" s="135"/>
      <c r="U43251" s="135"/>
    </row>
    <row r="43252" spans="20:21" ht="15" customHeight="1" x14ac:dyDescent="0.25">
      <c r="T43252" s="135"/>
      <c r="U43252" s="135"/>
    </row>
    <row r="43253" spans="20:21" ht="15" customHeight="1" x14ac:dyDescent="0.25">
      <c r="T43253" s="135"/>
      <c r="U43253" s="135"/>
    </row>
    <row r="43254" spans="20:21" ht="15" customHeight="1" x14ac:dyDescent="0.25">
      <c r="T43254" s="135"/>
      <c r="U43254" s="135"/>
    </row>
    <row r="43255" spans="20:21" ht="15" customHeight="1" x14ac:dyDescent="0.25">
      <c r="T43255" s="135"/>
      <c r="U43255" s="135"/>
    </row>
    <row r="43256" spans="20:21" ht="15" customHeight="1" x14ac:dyDescent="0.25">
      <c r="T43256" s="135"/>
      <c r="U43256" s="135"/>
    </row>
    <row r="43257" spans="20:21" ht="15" customHeight="1" x14ac:dyDescent="0.25">
      <c r="T43257" s="135"/>
      <c r="U43257" s="135"/>
    </row>
    <row r="43258" spans="20:21" ht="15" customHeight="1" x14ac:dyDescent="0.25">
      <c r="T43258" s="135"/>
      <c r="U43258" s="135"/>
    </row>
    <row r="43259" spans="20:21" ht="15" customHeight="1" x14ac:dyDescent="0.25">
      <c r="T43259" s="135"/>
      <c r="U43259" s="135"/>
    </row>
    <row r="43260" spans="20:21" ht="15" customHeight="1" x14ac:dyDescent="0.25">
      <c r="T43260" s="135"/>
      <c r="U43260" s="135"/>
    </row>
    <row r="43261" spans="20:21" ht="15" customHeight="1" x14ac:dyDescent="0.25">
      <c r="T43261" s="135"/>
      <c r="U43261" s="135"/>
    </row>
    <row r="43262" spans="20:21" ht="15" customHeight="1" x14ac:dyDescent="0.25">
      <c r="T43262" s="135"/>
      <c r="U43262" s="135"/>
    </row>
    <row r="43263" spans="20:21" ht="15" customHeight="1" x14ac:dyDescent="0.25">
      <c r="T43263" s="135"/>
      <c r="U43263" s="135"/>
    </row>
    <row r="43264" spans="20:21" ht="15" customHeight="1" x14ac:dyDescent="0.25">
      <c r="T43264" s="135"/>
      <c r="U43264" s="135"/>
    </row>
    <row r="43265" spans="20:21" ht="15" customHeight="1" x14ac:dyDescent="0.25">
      <c r="T43265" s="135"/>
      <c r="U43265" s="135"/>
    </row>
    <row r="43266" spans="20:21" ht="15" customHeight="1" x14ac:dyDescent="0.25">
      <c r="T43266" s="135"/>
      <c r="U43266" s="135"/>
    </row>
    <row r="43267" spans="20:21" ht="15" customHeight="1" x14ac:dyDescent="0.25">
      <c r="T43267" s="135"/>
      <c r="U43267" s="135"/>
    </row>
    <row r="43268" spans="20:21" ht="15" customHeight="1" x14ac:dyDescent="0.25">
      <c r="T43268" s="135"/>
      <c r="U43268" s="135"/>
    </row>
    <row r="43269" spans="20:21" ht="15" customHeight="1" x14ac:dyDescent="0.25">
      <c r="T43269" s="135"/>
      <c r="U43269" s="135"/>
    </row>
    <row r="43270" spans="20:21" ht="15" customHeight="1" x14ac:dyDescent="0.25">
      <c r="T43270" s="135"/>
      <c r="U43270" s="135"/>
    </row>
    <row r="43271" spans="20:21" ht="15" customHeight="1" x14ac:dyDescent="0.25">
      <c r="T43271" s="135"/>
      <c r="U43271" s="135"/>
    </row>
    <row r="43272" spans="20:21" ht="15" customHeight="1" x14ac:dyDescent="0.25">
      <c r="T43272" s="135"/>
      <c r="U43272" s="135"/>
    </row>
    <row r="43273" spans="20:21" ht="15" customHeight="1" x14ac:dyDescent="0.25">
      <c r="T43273" s="135"/>
      <c r="U43273" s="135"/>
    </row>
    <row r="43274" spans="20:21" ht="15" customHeight="1" x14ac:dyDescent="0.25">
      <c r="T43274" s="135"/>
      <c r="U43274" s="135"/>
    </row>
    <row r="43275" spans="20:21" ht="15" customHeight="1" x14ac:dyDescent="0.25">
      <c r="T43275" s="135"/>
      <c r="U43275" s="135"/>
    </row>
    <row r="43276" spans="20:21" ht="15" customHeight="1" x14ac:dyDescent="0.25">
      <c r="T43276" s="135"/>
      <c r="U43276" s="135"/>
    </row>
    <row r="43277" spans="20:21" ht="15" customHeight="1" x14ac:dyDescent="0.25">
      <c r="T43277" s="135"/>
      <c r="U43277" s="135"/>
    </row>
    <row r="43278" spans="20:21" ht="15" customHeight="1" x14ac:dyDescent="0.25">
      <c r="T43278" s="135"/>
      <c r="U43278" s="135"/>
    </row>
    <row r="43279" spans="20:21" ht="15" customHeight="1" x14ac:dyDescent="0.25">
      <c r="T43279" s="135"/>
      <c r="U43279" s="135"/>
    </row>
    <row r="43280" spans="20:21" ht="15" customHeight="1" x14ac:dyDescent="0.25">
      <c r="T43280" s="135"/>
      <c r="U43280" s="135"/>
    </row>
    <row r="43281" spans="20:21" ht="15" customHeight="1" x14ac:dyDescent="0.25">
      <c r="T43281" s="135"/>
      <c r="U43281" s="135"/>
    </row>
    <row r="43282" spans="20:21" ht="15" customHeight="1" x14ac:dyDescent="0.25">
      <c r="T43282" s="135"/>
      <c r="U43282" s="135"/>
    </row>
    <row r="43283" spans="20:21" ht="15" customHeight="1" x14ac:dyDescent="0.25">
      <c r="T43283" s="135"/>
      <c r="U43283" s="135"/>
    </row>
    <row r="43284" spans="20:21" ht="15" customHeight="1" x14ac:dyDescent="0.25">
      <c r="T43284" s="135"/>
      <c r="U43284" s="135"/>
    </row>
    <row r="43285" spans="20:21" ht="15" customHeight="1" x14ac:dyDescent="0.25">
      <c r="T43285" s="135"/>
      <c r="U43285" s="135"/>
    </row>
    <row r="43286" spans="20:21" ht="15" customHeight="1" x14ac:dyDescent="0.25">
      <c r="T43286" s="135"/>
      <c r="U43286" s="135"/>
    </row>
    <row r="43287" spans="20:21" ht="15" customHeight="1" x14ac:dyDescent="0.25">
      <c r="T43287" s="135"/>
      <c r="U43287" s="135"/>
    </row>
    <row r="43288" spans="20:21" ht="15" customHeight="1" x14ac:dyDescent="0.25">
      <c r="T43288" s="135"/>
      <c r="U43288" s="135"/>
    </row>
    <row r="43289" spans="20:21" ht="15" customHeight="1" x14ac:dyDescent="0.25">
      <c r="T43289" s="135"/>
      <c r="U43289" s="135"/>
    </row>
    <row r="43290" spans="20:21" ht="15" customHeight="1" x14ac:dyDescent="0.25">
      <c r="T43290" s="135"/>
      <c r="U43290" s="135"/>
    </row>
    <row r="43291" spans="20:21" ht="15" customHeight="1" x14ac:dyDescent="0.25">
      <c r="T43291" s="135"/>
      <c r="U43291" s="135"/>
    </row>
    <row r="43292" spans="20:21" ht="15" customHeight="1" x14ac:dyDescent="0.25">
      <c r="T43292" s="135"/>
      <c r="U43292" s="135"/>
    </row>
    <row r="43293" spans="20:21" ht="15" customHeight="1" x14ac:dyDescent="0.25">
      <c r="T43293" s="135"/>
      <c r="U43293" s="135"/>
    </row>
    <row r="43294" spans="20:21" ht="15" customHeight="1" x14ac:dyDescent="0.25">
      <c r="T43294" s="135"/>
      <c r="U43294" s="135"/>
    </row>
    <row r="43295" spans="20:21" ht="15" customHeight="1" x14ac:dyDescent="0.25">
      <c r="T43295" s="135"/>
      <c r="U43295" s="135"/>
    </row>
    <row r="43296" spans="20:21" ht="15" customHeight="1" x14ac:dyDescent="0.25">
      <c r="T43296" s="135"/>
      <c r="U43296" s="135"/>
    </row>
    <row r="43297" spans="20:21" ht="15" customHeight="1" x14ac:dyDescent="0.25">
      <c r="T43297" s="135"/>
      <c r="U43297" s="135"/>
    </row>
    <row r="43298" spans="20:21" ht="15" customHeight="1" x14ac:dyDescent="0.25">
      <c r="T43298" s="135"/>
      <c r="U43298" s="135"/>
    </row>
    <row r="43299" spans="20:21" ht="15" customHeight="1" x14ac:dyDescent="0.25">
      <c r="T43299" s="135"/>
      <c r="U43299" s="135"/>
    </row>
    <row r="43300" spans="20:21" ht="15" customHeight="1" x14ac:dyDescent="0.25">
      <c r="T43300" s="135"/>
      <c r="U43300" s="135"/>
    </row>
    <row r="43301" spans="20:21" ht="15" customHeight="1" x14ac:dyDescent="0.25">
      <c r="T43301" s="135"/>
      <c r="U43301" s="135"/>
    </row>
    <row r="43302" spans="20:21" ht="15" customHeight="1" x14ac:dyDescent="0.25">
      <c r="T43302" s="135"/>
      <c r="U43302" s="135"/>
    </row>
    <row r="43303" spans="20:21" ht="15" customHeight="1" x14ac:dyDescent="0.25">
      <c r="T43303" s="135"/>
      <c r="U43303" s="135"/>
    </row>
    <row r="43304" spans="20:21" ht="15" customHeight="1" x14ac:dyDescent="0.25">
      <c r="T43304" s="135"/>
      <c r="U43304" s="135"/>
    </row>
    <row r="43305" spans="20:21" ht="15" customHeight="1" x14ac:dyDescent="0.25">
      <c r="T43305" s="135"/>
      <c r="U43305" s="135"/>
    </row>
    <row r="43306" spans="20:21" ht="15" customHeight="1" x14ac:dyDescent="0.25">
      <c r="T43306" s="135"/>
      <c r="U43306" s="135"/>
    </row>
    <row r="43307" spans="20:21" ht="15" customHeight="1" x14ac:dyDescent="0.25">
      <c r="T43307" s="135"/>
      <c r="U43307" s="135"/>
    </row>
    <row r="43308" spans="20:21" ht="15" customHeight="1" x14ac:dyDescent="0.25">
      <c r="T43308" s="135"/>
      <c r="U43308" s="135"/>
    </row>
    <row r="43309" spans="20:21" ht="15" customHeight="1" x14ac:dyDescent="0.25">
      <c r="T43309" s="135"/>
      <c r="U43309" s="135"/>
    </row>
    <row r="43310" spans="20:21" ht="15" customHeight="1" x14ac:dyDescent="0.25">
      <c r="T43310" s="135"/>
      <c r="U43310" s="135"/>
    </row>
    <row r="43311" spans="20:21" ht="15" customHeight="1" x14ac:dyDescent="0.25">
      <c r="T43311" s="135"/>
      <c r="U43311" s="135"/>
    </row>
    <row r="43312" spans="20:21" ht="15" customHeight="1" x14ac:dyDescent="0.25">
      <c r="T43312" s="135"/>
      <c r="U43312" s="135"/>
    </row>
    <row r="43313" spans="20:21" ht="15" customHeight="1" x14ac:dyDescent="0.25">
      <c r="T43313" s="135"/>
      <c r="U43313" s="135"/>
    </row>
    <row r="43314" spans="20:21" ht="15" customHeight="1" x14ac:dyDescent="0.25">
      <c r="T43314" s="135"/>
      <c r="U43314" s="135"/>
    </row>
    <row r="43315" spans="20:21" ht="15" customHeight="1" x14ac:dyDescent="0.25">
      <c r="T43315" s="135"/>
      <c r="U43315" s="135"/>
    </row>
    <row r="43316" spans="20:21" ht="15" customHeight="1" x14ac:dyDescent="0.25">
      <c r="T43316" s="135"/>
      <c r="U43316" s="135"/>
    </row>
    <row r="43317" spans="20:21" ht="15" customHeight="1" x14ac:dyDescent="0.25">
      <c r="T43317" s="135"/>
      <c r="U43317" s="135"/>
    </row>
    <row r="43318" spans="20:21" ht="15" customHeight="1" x14ac:dyDescent="0.25">
      <c r="T43318" s="135"/>
      <c r="U43318" s="135"/>
    </row>
    <row r="43319" spans="20:21" ht="15" customHeight="1" x14ac:dyDescent="0.25">
      <c r="T43319" s="135"/>
      <c r="U43319" s="135"/>
    </row>
    <row r="43320" spans="20:21" ht="15" customHeight="1" x14ac:dyDescent="0.25">
      <c r="T43320" s="135"/>
      <c r="U43320" s="135"/>
    </row>
    <row r="43321" spans="20:21" ht="15" customHeight="1" x14ac:dyDescent="0.25">
      <c r="T43321" s="135"/>
      <c r="U43321" s="135"/>
    </row>
    <row r="43322" spans="20:21" ht="15" customHeight="1" x14ac:dyDescent="0.25">
      <c r="T43322" s="135"/>
      <c r="U43322" s="135"/>
    </row>
    <row r="43323" spans="20:21" ht="15" customHeight="1" x14ac:dyDescent="0.25">
      <c r="T43323" s="135"/>
      <c r="U43323" s="135"/>
    </row>
    <row r="43324" spans="20:21" ht="15" customHeight="1" x14ac:dyDescent="0.25">
      <c r="T43324" s="135"/>
      <c r="U43324" s="135"/>
    </row>
    <row r="43325" spans="20:21" ht="15" customHeight="1" x14ac:dyDescent="0.25">
      <c r="T43325" s="135"/>
      <c r="U43325" s="135"/>
    </row>
    <row r="43326" spans="20:21" ht="15" customHeight="1" x14ac:dyDescent="0.25">
      <c r="T43326" s="135"/>
      <c r="U43326" s="135"/>
    </row>
    <row r="43327" spans="20:21" ht="15" customHeight="1" x14ac:dyDescent="0.25">
      <c r="T43327" s="135"/>
      <c r="U43327" s="135"/>
    </row>
    <row r="43328" spans="20:21" ht="15" customHeight="1" x14ac:dyDescent="0.25">
      <c r="T43328" s="135"/>
      <c r="U43328" s="135"/>
    </row>
    <row r="43329" spans="20:21" ht="15" customHeight="1" x14ac:dyDescent="0.25">
      <c r="T43329" s="135"/>
      <c r="U43329" s="135"/>
    </row>
    <row r="43330" spans="20:21" ht="15" customHeight="1" x14ac:dyDescent="0.25">
      <c r="T43330" s="135"/>
      <c r="U43330" s="135"/>
    </row>
    <row r="43331" spans="20:21" ht="15" customHeight="1" x14ac:dyDescent="0.25">
      <c r="T43331" s="135"/>
      <c r="U43331" s="135"/>
    </row>
    <row r="43332" spans="20:21" ht="15" customHeight="1" x14ac:dyDescent="0.25">
      <c r="T43332" s="135"/>
      <c r="U43332" s="135"/>
    </row>
    <row r="43333" spans="20:21" ht="15" customHeight="1" x14ac:dyDescent="0.25">
      <c r="T43333" s="135"/>
      <c r="U43333" s="135"/>
    </row>
    <row r="43334" spans="20:21" ht="15" customHeight="1" x14ac:dyDescent="0.25">
      <c r="T43334" s="135"/>
      <c r="U43334" s="135"/>
    </row>
    <row r="43335" spans="20:21" ht="15" customHeight="1" x14ac:dyDescent="0.25">
      <c r="T43335" s="135"/>
      <c r="U43335" s="135"/>
    </row>
    <row r="43336" spans="20:21" ht="15" customHeight="1" x14ac:dyDescent="0.25">
      <c r="T43336" s="135"/>
      <c r="U43336" s="135"/>
    </row>
    <row r="43337" spans="20:21" ht="15" customHeight="1" x14ac:dyDescent="0.25">
      <c r="T43337" s="135"/>
      <c r="U43337" s="135"/>
    </row>
    <row r="43338" spans="20:21" ht="15" customHeight="1" x14ac:dyDescent="0.25">
      <c r="T43338" s="135"/>
      <c r="U43338" s="135"/>
    </row>
    <row r="43339" spans="20:21" ht="15" customHeight="1" x14ac:dyDescent="0.25">
      <c r="T43339" s="135"/>
      <c r="U43339" s="135"/>
    </row>
    <row r="43340" spans="20:21" ht="15" customHeight="1" x14ac:dyDescent="0.25">
      <c r="T43340" s="135"/>
      <c r="U43340" s="135"/>
    </row>
    <row r="43341" spans="20:21" ht="15" customHeight="1" x14ac:dyDescent="0.25">
      <c r="T43341" s="135"/>
      <c r="U43341" s="135"/>
    </row>
    <row r="43342" spans="20:21" ht="15" customHeight="1" x14ac:dyDescent="0.25">
      <c r="T43342" s="135"/>
      <c r="U43342" s="135"/>
    </row>
    <row r="43343" spans="20:21" ht="15" customHeight="1" x14ac:dyDescent="0.25">
      <c r="T43343" s="135"/>
      <c r="U43343" s="135"/>
    </row>
    <row r="43344" spans="20:21" ht="15" customHeight="1" x14ac:dyDescent="0.25">
      <c r="T43344" s="135"/>
      <c r="U43344" s="135"/>
    </row>
    <row r="43345" spans="20:21" ht="15" customHeight="1" x14ac:dyDescent="0.25">
      <c r="T43345" s="135"/>
      <c r="U43345" s="135"/>
    </row>
    <row r="43346" spans="20:21" ht="15" customHeight="1" x14ac:dyDescent="0.25">
      <c r="T43346" s="135"/>
      <c r="U43346" s="135"/>
    </row>
    <row r="43347" spans="20:21" ht="15" customHeight="1" x14ac:dyDescent="0.25">
      <c r="T43347" s="135"/>
      <c r="U43347" s="135"/>
    </row>
    <row r="43348" spans="20:21" ht="15" customHeight="1" x14ac:dyDescent="0.25">
      <c r="T43348" s="135"/>
      <c r="U43348" s="135"/>
    </row>
    <row r="43349" spans="20:21" ht="15" customHeight="1" x14ac:dyDescent="0.25">
      <c r="T43349" s="135"/>
      <c r="U43349" s="135"/>
    </row>
    <row r="43350" spans="20:21" ht="15" customHeight="1" x14ac:dyDescent="0.25">
      <c r="T43350" s="135"/>
      <c r="U43350" s="135"/>
    </row>
    <row r="43351" spans="20:21" ht="15" customHeight="1" x14ac:dyDescent="0.25">
      <c r="T43351" s="135"/>
      <c r="U43351" s="135"/>
    </row>
    <row r="43352" spans="20:21" ht="15" customHeight="1" x14ac:dyDescent="0.25">
      <c r="T43352" s="135"/>
      <c r="U43352" s="135"/>
    </row>
    <row r="43353" spans="20:21" ht="15" customHeight="1" x14ac:dyDescent="0.25">
      <c r="T43353" s="135"/>
      <c r="U43353" s="135"/>
    </row>
    <row r="43354" spans="20:21" ht="15" customHeight="1" x14ac:dyDescent="0.25">
      <c r="T43354" s="135"/>
      <c r="U43354" s="135"/>
    </row>
    <row r="43355" spans="20:21" ht="15" customHeight="1" x14ac:dyDescent="0.25">
      <c r="T43355" s="135"/>
      <c r="U43355" s="135"/>
    </row>
    <row r="43356" spans="20:21" ht="15" customHeight="1" x14ac:dyDescent="0.25">
      <c r="T43356" s="135"/>
      <c r="U43356" s="135"/>
    </row>
    <row r="43357" spans="20:21" ht="15" customHeight="1" x14ac:dyDescent="0.25">
      <c r="T43357" s="135"/>
      <c r="U43357" s="135"/>
    </row>
    <row r="43358" spans="20:21" ht="15" customHeight="1" x14ac:dyDescent="0.25">
      <c r="T43358" s="135"/>
      <c r="U43358" s="135"/>
    </row>
    <row r="43359" spans="20:21" ht="15" customHeight="1" x14ac:dyDescent="0.25">
      <c r="T43359" s="135"/>
      <c r="U43359" s="135"/>
    </row>
    <row r="43360" spans="20:21" ht="15" customHeight="1" x14ac:dyDescent="0.25">
      <c r="T43360" s="135"/>
      <c r="U43360" s="135"/>
    </row>
    <row r="43361" spans="20:21" ht="15" customHeight="1" x14ac:dyDescent="0.25">
      <c r="T43361" s="135"/>
      <c r="U43361" s="135"/>
    </row>
    <row r="43362" spans="20:21" ht="15" customHeight="1" x14ac:dyDescent="0.25">
      <c r="T43362" s="135"/>
      <c r="U43362" s="135"/>
    </row>
    <row r="43363" spans="20:21" ht="15" customHeight="1" x14ac:dyDescent="0.25">
      <c r="T43363" s="135"/>
      <c r="U43363" s="135"/>
    </row>
    <row r="43364" spans="20:21" ht="15" customHeight="1" x14ac:dyDescent="0.25">
      <c r="T43364" s="135"/>
      <c r="U43364" s="135"/>
    </row>
    <row r="43365" spans="20:21" ht="15" customHeight="1" x14ac:dyDescent="0.25">
      <c r="T43365" s="135"/>
      <c r="U43365" s="135"/>
    </row>
    <row r="43366" spans="20:21" ht="15" customHeight="1" x14ac:dyDescent="0.25">
      <c r="T43366" s="135"/>
      <c r="U43366" s="135"/>
    </row>
    <row r="43367" spans="20:21" ht="15" customHeight="1" x14ac:dyDescent="0.25">
      <c r="T43367" s="135"/>
      <c r="U43367" s="135"/>
    </row>
    <row r="43368" spans="20:21" ht="15" customHeight="1" x14ac:dyDescent="0.25">
      <c r="T43368" s="135"/>
      <c r="U43368" s="135"/>
    </row>
    <row r="43369" spans="20:21" ht="15" customHeight="1" x14ac:dyDescent="0.25">
      <c r="T43369" s="135"/>
      <c r="U43369" s="135"/>
    </row>
    <row r="43370" spans="20:21" ht="15" customHeight="1" x14ac:dyDescent="0.25">
      <c r="T43370" s="135"/>
      <c r="U43370" s="135"/>
    </row>
    <row r="43371" spans="20:21" ht="15" customHeight="1" x14ac:dyDescent="0.25">
      <c r="T43371" s="135"/>
      <c r="U43371" s="135"/>
    </row>
    <row r="43372" spans="20:21" ht="15" customHeight="1" x14ac:dyDescent="0.25">
      <c r="T43372" s="135"/>
      <c r="U43372" s="135"/>
    </row>
    <row r="43373" spans="20:21" ht="15" customHeight="1" x14ac:dyDescent="0.25">
      <c r="T43373" s="135"/>
      <c r="U43373" s="135"/>
    </row>
    <row r="43374" spans="20:21" ht="15" customHeight="1" x14ac:dyDescent="0.25">
      <c r="T43374" s="135"/>
      <c r="U43374" s="135"/>
    </row>
    <row r="43375" spans="20:21" ht="15" customHeight="1" x14ac:dyDescent="0.25">
      <c r="T43375" s="135"/>
      <c r="U43375" s="135"/>
    </row>
    <row r="43376" spans="20:21" ht="15" customHeight="1" x14ac:dyDescent="0.25">
      <c r="T43376" s="135"/>
      <c r="U43376" s="135"/>
    </row>
    <row r="43377" spans="20:21" ht="15" customHeight="1" x14ac:dyDescent="0.25">
      <c r="T43377" s="135"/>
      <c r="U43377" s="135"/>
    </row>
    <row r="43378" spans="20:21" ht="15" customHeight="1" x14ac:dyDescent="0.25">
      <c r="T43378" s="135"/>
      <c r="U43378" s="135"/>
    </row>
    <row r="43379" spans="20:21" ht="15" customHeight="1" x14ac:dyDescent="0.25">
      <c r="T43379" s="135"/>
      <c r="U43379" s="135"/>
    </row>
    <row r="43380" spans="20:21" ht="15" customHeight="1" x14ac:dyDescent="0.25">
      <c r="T43380" s="135"/>
      <c r="U43380" s="135"/>
    </row>
    <row r="43381" spans="20:21" ht="15" customHeight="1" x14ac:dyDescent="0.25">
      <c r="T43381" s="135"/>
      <c r="U43381" s="135"/>
    </row>
    <row r="43382" spans="20:21" ht="15" customHeight="1" x14ac:dyDescent="0.25">
      <c r="T43382" s="135"/>
      <c r="U43382" s="135"/>
    </row>
    <row r="43383" spans="20:21" ht="15" customHeight="1" x14ac:dyDescent="0.25">
      <c r="T43383" s="135"/>
      <c r="U43383" s="135"/>
    </row>
    <row r="43384" spans="20:21" ht="15" customHeight="1" x14ac:dyDescent="0.25">
      <c r="T43384" s="135"/>
      <c r="U43384" s="135"/>
    </row>
    <row r="43385" spans="20:21" ht="15" customHeight="1" x14ac:dyDescent="0.25">
      <c r="T43385" s="135"/>
      <c r="U43385" s="135"/>
    </row>
    <row r="43386" spans="20:21" ht="15" customHeight="1" x14ac:dyDescent="0.25">
      <c r="T43386" s="135"/>
      <c r="U43386" s="135"/>
    </row>
    <row r="43387" spans="20:21" ht="15" customHeight="1" x14ac:dyDescent="0.25">
      <c r="T43387" s="135"/>
      <c r="U43387" s="135"/>
    </row>
    <row r="43388" spans="20:21" ht="15" customHeight="1" x14ac:dyDescent="0.25">
      <c r="T43388" s="135"/>
      <c r="U43388" s="135"/>
    </row>
    <row r="43389" spans="20:21" ht="15" customHeight="1" x14ac:dyDescent="0.25">
      <c r="T43389" s="135"/>
      <c r="U43389" s="135"/>
    </row>
    <row r="43390" spans="20:21" ht="15" customHeight="1" x14ac:dyDescent="0.25">
      <c r="T43390" s="135"/>
      <c r="U43390" s="135"/>
    </row>
    <row r="43391" spans="20:21" ht="15" customHeight="1" x14ac:dyDescent="0.25">
      <c r="T43391" s="135"/>
      <c r="U43391" s="135"/>
    </row>
    <row r="43392" spans="20:21" ht="15" customHeight="1" x14ac:dyDescent="0.25">
      <c r="T43392" s="135"/>
      <c r="U43392" s="135"/>
    </row>
    <row r="43393" spans="20:21" ht="15" customHeight="1" x14ac:dyDescent="0.25">
      <c r="T43393" s="135"/>
      <c r="U43393" s="135"/>
    </row>
    <row r="43394" spans="20:21" ht="15" customHeight="1" x14ac:dyDescent="0.25">
      <c r="T43394" s="135"/>
      <c r="U43394" s="135"/>
    </row>
    <row r="43395" spans="20:21" ht="15" customHeight="1" x14ac:dyDescent="0.25">
      <c r="T43395" s="135"/>
      <c r="U43395" s="135"/>
    </row>
    <row r="43396" spans="20:21" ht="15" customHeight="1" x14ac:dyDescent="0.25">
      <c r="T43396" s="135"/>
      <c r="U43396" s="135"/>
    </row>
    <row r="43397" spans="20:21" ht="15" customHeight="1" x14ac:dyDescent="0.25">
      <c r="T43397" s="135"/>
      <c r="U43397" s="135"/>
    </row>
    <row r="43398" spans="20:21" ht="15" customHeight="1" x14ac:dyDescent="0.25">
      <c r="T43398" s="135"/>
      <c r="U43398" s="135"/>
    </row>
    <row r="43399" spans="20:21" ht="15" customHeight="1" x14ac:dyDescent="0.25">
      <c r="T43399" s="135"/>
      <c r="U43399" s="135"/>
    </row>
    <row r="43400" spans="20:21" ht="15" customHeight="1" x14ac:dyDescent="0.25">
      <c r="T43400" s="135"/>
      <c r="U43400" s="135"/>
    </row>
    <row r="43401" spans="20:21" ht="15" customHeight="1" x14ac:dyDescent="0.25">
      <c r="T43401" s="135"/>
      <c r="U43401" s="135"/>
    </row>
    <row r="43402" spans="20:21" ht="15" customHeight="1" x14ac:dyDescent="0.25">
      <c r="T43402" s="135"/>
      <c r="U43402" s="135"/>
    </row>
    <row r="43403" spans="20:21" ht="15" customHeight="1" x14ac:dyDescent="0.25">
      <c r="T43403" s="135"/>
      <c r="U43403" s="135"/>
    </row>
    <row r="43404" spans="20:21" ht="15" customHeight="1" x14ac:dyDescent="0.25">
      <c r="T43404" s="135"/>
      <c r="U43404" s="135"/>
    </row>
    <row r="43405" spans="20:21" ht="15" customHeight="1" x14ac:dyDescent="0.25">
      <c r="T43405" s="135"/>
      <c r="U43405" s="135"/>
    </row>
    <row r="43406" spans="20:21" ht="15" customHeight="1" x14ac:dyDescent="0.25">
      <c r="T43406" s="135"/>
      <c r="U43406" s="135"/>
    </row>
    <row r="43407" spans="20:21" ht="15" customHeight="1" x14ac:dyDescent="0.25">
      <c r="T43407" s="135"/>
      <c r="U43407" s="135"/>
    </row>
    <row r="43408" spans="20:21" ht="15" customHeight="1" x14ac:dyDescent="0.25">
      <c r="T43408" s="135"/>
      <c r="U43408" s="135"/>
    </row>
    <row r="43409" spans="20:21" ht="15" customHeight="1" x14ac:dyDescent="0.25">
      <c r="T43409" s="135"/>
      <c r="U43409" s="135"/>
    </row>
    <row r="43410" spans="20:21" ht="15" customHeight="1" x14ac:dyDescent="0.25">
      <c r="T43410" s="135"/>
      <c r="U43410" s="135"/>
    </row>
    <row r="43411" spans="20:21" ht="15" customHeight="1" x14ac:dyDescent="0.25">
      <c r="T43411" s="135"/>
      <c r="U43411" s="135"/>
    </row>
    <row r="43412" spans="20:21" ht="15" customHeight="1" x14ac:dyDescent="0.25">
      <c r="T43412" s="135"/>
      <c r="U43412" s="135"/>
    </row>
    <row r="43413" spans="20:21" ht="15" customHeight="1" x14ac:dyDescent="0.25">
      <c r="T43413" s="135"/>
      <c r="U43413" s="135"/>
    </row>
    <row r="43414" spans="20:21" ht="15" customHeight="1" x14ac:dyDescent="0.25">
      <c r="T43414" s="135"/>
      <c r="U43414" s="135"/>
    </row>
    <row r="43415" spans="20:21" ht="15" customHeight="1" x14ac:dyDescent="0.25">
      <c r="T43415" s="135"/>
      <c r="U43415" s="135"/>
    </row>
    <row r="43416" spans="20:21" ht="15" customHeight="1" x14ac:dyDescent="0.25">
      <c r="T43416" s="135"/>
      <c r="U43416" s="135"/>
    </row>
    <row r="43417" spans="20:21" ht="15" customHeight="1" x14ac:dyDescent="0.25">
      <c r="T43417" s="135"/>
      <c r="U43417" s="135"/>
    </row>
    <row r="43418" spans="20:21" ht="15" customHeight="1" x14ac:dyDescent="0.25">
      <c r="T43418" s="135"/>
      <c r="U43418" s="135"/>
    </row>
    <row r="43419" spans="20:21" ht="15" customHeight="1" x14ac:dyDescent="0.25">
      <c r="T43419" s="135"/>
      <c r="U43419" s="135"/>
    </row>
    <row r="43420" spans="20:21" ht="15" customHeight="1" x14ac:dyDescent="0.25">
      <c r="T43420" s="135"/>
      <c r="U43420" s="135"/>
    </row>
    <row r="43421" spans="20:21" ht="15" customHeight="1" x14ac:dyDescent="0.25">
      <c r="T43421" s="135"/>
      <c r="U43421" s="135"/>
    </row>
    <row r="43422" spans="20:21" ht="15" customHeight="1" x14ac:dyDescent="0.25">
      <c r="T43422" s="135"/>
      <c r="U43422" s="135"/>
    </row>
    <row r="43423" spans="20:21" ht="15" customHeight="1" x14ac:dyDescent="0.25">
      <c r="T43423" s="135"/>
      <c r="U43423" s="135"/>
    </row>
    <row r="43424" spans="20:21" ht="15" customHeight="1" x14ac:dyDescent="0.25">
      <c r="T43424" s="135"/>
      <c r="U43424" s="135"/>
    </row>
    <row r="43425" spans="20:21" ht="15" customHeight="1" x14ac:dyDescent="0.25">
      <c r="T43425" s="135"/>
      <c r="U43425" s="135"/>
    </row>
    <row r="43426" spans="20:21" ht="15" customHeight="1" x14ac:dyDescent="0.25">
      <c r="T43426" s="135"/>
      <c r="U43426" s="135"/>
    </row>
    <row r="43427" spans="20:21" ht="15" customHeight="1" x14ac:dyDescent="0.25">
      <c r="T43427" s="135"/>
      <c r="U43427" s="135"/>
    </row>
    <row r="43428" spans="20:21" ht="15" customHeight="1" x14ac:dyDescent="0.25">
      <c r="T43428" s="135"/>
      <c r="U43428" s="135"/>
    </row>
    <row r="43429" spans="20:21" ht="15" customHeight="1" x14ac:dyDescent="0.25">
      <c r="T43429" s="135"/>
      <c r="U43429" s="135"/>
    </row>
    <row r="43430" spans="20:21" ht="15" customHeight="1" x14ac:dyDescent="0.25">
      <c r="T43430" s="135"/>
      <c r="U43430" s="135"/>
    </row>
    <row r="43431" spans="20:21" ht="15" customHeight="1" x14ac:dyDescent="0.25">
      <c r="T43431" s="135"/>
      <c r="U43431" s="135"/>
    </row>
    <row r="43432" spans="20:21" ht="15" customHeight="1" x14ac:dyDescent="0.25">
      <c r="T43432" s="135"/>
      <c r="U43432" s="135"/>
    </row>
    <row r="43433" spans="20:21" ht="15" customHeight="1" x14ac:dyDescent="0.25">
      <c r="T43433" s="135"/>
      <c r="U43433" s="135"/>
    </row>
    <row r="43434" spans="20:21" ht="15" customHeight="1" x14ac:dyDescent="0.25">
      <c r="T43434" s="135"/>
      <c r="U43434" s="135"/>
    </row>
    <row r="43435" spans="20:21" ht="15" customHeight="1" x14ac:dyDescent="0.25">
      <c r="T43435" s="135"/>
      <c r="U43435" s="135"/>
    </row>
    <row r="43436" spans="20:21" ht="15" customHeight="1" x14ac:dyDescent="0.25">
      <c r="T43436" s="135"/>
      <c r="U43436" s="135"/>
    </row>
    <row r="43437" spans="20:21" ht="15" customHeight="1" x14ac:dyDescent="0.25">
      <c r="T43437" s="135"/>
      <c r="U43437" s="135"/>
    </row>
    <row r="43438" spans="20:21" ht="15" customHeight="1" x14ac:dyDescent="0.25">
      <c r="T43438" s="135"/>
      <c r="U43438" s="135"/>
    </row>
    <row r="43439" spans="20:21" ht="15" customHeight="1" x14ac:dyDescent="0.25">
      <c r="T43439" s="135"/>
      <c r="U43439" s="135"/>
    </row>
    <row r="43440" spans="20:21" ht="15" customHeight="1" x14ac:dyDescent="0.25">
      <c r="T43440" s="135"/>
      <c r="U43440" s="135"/>
    </row>
    <row r="43441" spans="20:21" ht="15" customHeight="1" x14ac:dyDescent="0.25">
      <c r="T43441" s="135"/>
      <c r="U43441" s="135"/>
    </row>
    <row r="43442" spans="20:21" ht="15" customHeight="1" x14ac:dyDescent="0.25">
      <c r="T43442" s="135"/>
      <c r="U43442" s="135"/>
    </row>
    <row r="43443" spans="20:21" ht="15" customHeight="1" x14ac:dyDescent="0.25">
      <c r="T43443" s="135"/>
      <c r="U43443" s="135"/>
    </row>
    <row r="43444" spans="20:21" ht="15" customHeight="1" x14ac:dyDescent="0.25">
      <c r="T43444" s="135"/>
      <c r="U43444" s="135"/>
    </row>
    <row r="43445" spans="20:21" ht="15" customHeight="1" x14ac:dyDescent="0.25">
      <c r="T43445" s="135"/>
      <c r="U43445" s="135"/>
    </row>
    <row r="43446" spans="20:21" ht="15" customHeight="1" x14ac:dyDescent="0.25">
      <c r="T43446" s="135"/>
      <c r="U43446" s="135"/>
    </row>
    <row r="43447" spans="20:21" ht="15" customHeight="1" x14ac:dyDescent="0.25">
      <c r="T43447" s="135"/>
      <c r="U43447" s="135"/>
    </row>
    <row r="43448" spans="20:21" ht="15" customHeight="1" x14ac:dyDescent="0.25">
      <c r="T43448" s="135"/>
      <c r="U43448" s="135"/>
    </row>
    <row r="43449" spans="20:21" ht="15" customHeight="1" x14ac:dyDescent="0.25">
      <c r="T43449" s="135"/>
      <c r="U43449" s="135"/>
    </row>
    <row r="43450" spans="20:21" ht="15" customHeight="1" x14ac:dyDescent="0.25">
      <c r="T43450" s="135"/>
      <c r="U43450" s="135"/>
    </row>
    <row r="43451" spans="20:21" ht="15" customHeight="1" x14ac:dyDescent="0.25">
      <c r="T43451" s="135"/>
      <c r="U43451" s="135"/>
    </row>
    <row r="43452" spans="20:21" ht="15" customHeight="1" x14ac:dyDescent="0.25">
      <c r="T43452" s="135"/>
      <c r="U43452" s="135"/>
    </row>
    <row r="43453" spans="20:21" ht="15" customHeight="1" x14ac:dyDescent="0.25">
      <c r="T43453" s="135"/>
      <c r="U43453" s="135"/>
    </row>
    <row r="43454" spans="20:21" ht="15" customHeight="1" x14ac:dyDescent="0.25">
      <c r="T43454" s="135"/>
      <c r="U43454" s="135"/>
    </row>
    <row r="43455" spans="20:21" ht="15" customHeight="1" x14ac:dyDescent="0.25">
      <c r="T43455" s="135"/>
      <c r="U43455" s="135"/>
    </row>
    <row r="43456" spans="20:21" ht="15" customHeight="1" x14ac:dyDescent="0.25">
      <c r="T43456" s="135"/>
      <c r="U43456" s="135"/>
    </row>
    <row r="43457" spans="20:21" ht="15" customHeight="1" x14ac:dyDescent="0.25">
      <c r="T43457" s="135"/>
      <c r="U43457" s="135"/>
    </row>
    <row r="43458" spans="20:21" ht="15" customHeight="1" x14ac:dyDescent="0.25">
      <c r="T43458" s="135"/>
      <c r="U43458" s="135"/>
    </row>
    <row r="43459" spans="20:21" ht="15" customHeight="1" x14ac:dyDescent="0.25">
      <c r="T43459" s="135"/>
      <c r="U43459" s="135"/>
    </row>
    <row r="43460" spans="20:21" ht="15" customHeight="1" x14ac:dyDescent="0.25">
      <c r="T43460" s="135"/>
      <c r="U43460" s="135"/>
    </row>
    <row r="43461" spans="20:21" ht="15" customHeight="1" x14ac:dyDescent="0.25">
      <c r="T43461" s="135"/>
      <c r="U43461" s="135"/>
    </row>
    <row r="43462" spans="20:21" ht="15" customHeight="1" x14ac:dyDescent="0.25">
      <c r="T43462" s="135"/>
      <c r="U43462" s="135"/>
    </row>
    <row r="43463" spans="20:21" ht="15" customHeight="1" x14ac:dyDescent="0.25">
      <c r="T43463" s="135"/>
      <c r="U43463" s="135"/>
    </row>
    <row r="43464" spans="20:21" ht="15" customHeight="1" x14ac:dyDescent="0.25">
      <c r="T43464" s="135"/>
      <c r="U43464" s="135"/>
    </row>
    <row r="43465" spans="20:21" ht="15" customHeight="1" x14ac:dyDescent="0.25">
      <c r="T43465" s="135"/>
      <c r="U43465" s="135"/>
    </row>
    <row r="43466" spans="20:21" ht="15" customHeight="1" x14ac:dyDescent="0.25">
      <c r="T43466" s="135"/>
      <c r="U43466" s="135"/>
    </row>
    <row r="43467" spans="20:21" ht="15" customHeight="1" x14ac:dyDescent="0.25">
      <c r="T43467" s="135"/>
      <c r="U43467" s="135"/>
    </row>
    <row r="43468" spans="20:21" ht="15" customHeight="1" x14ac:dyDescent="0.25">
      <c r="T43468" s="135"/>
      <c r="U43468" s="135"/>
    </row>
    <row r="43469" spans="20:21" ht="15" customHeight="1" x14ac:dyDescent="0.25">
      <c r="T43469" s="135"/>
      <c r="U43469" s="135"/>
    </row>
    <row r="43470" spans="20:21" ht="15" customHeight="1" x14ac:dyDescent="0.25">
      <c r="T43470" s="135"/>
      <c r="U43470" s="135"/>
    </row>
    <row r="43471" spans="20:21" ht="15" customHeight="1" x14ac:dyDescent="0.25">
      <c r="T43471" s="135"/>
      <c r="U43471" s="135"/>
    </row>
    <row r="43472" spans="20:21" ht="15" customHeight="1" x14ac:dyDescent="0.25">
      <c r="T43472" s="135"/>
      <c r="U43472" s="135"/>
    </row>
    <row r="43473" spans="20:21" ht="15" customHeight="1" x14ac:dyDescent="0.25">
      <c r="T43473" s="135"/>
      <c r="U43473" s="135"/>
    </row>
    <row r="43474" spans="20:21" ht="15" customHeight="1" x14ac:dyDescent="0.25">
      <c r="T43474" s="135"/>
      <c r="U43474" s="135"/>
    </row>
    <row r="43475" spans="20:21" ht="15" customHeight="1" x14ac:dyDescent="0.25">
      <c r="T43475" s="135"/>
      <c r="U43475" s="135"/>
    </row>
    <row r="43476" spans="20:21" ht="15" customHeight="1" x14ac:dyDescent="0.25">
      <c r="T43476" s="135"/>
      <c r="U43476" s="135"/>
    </row>
    <row r="43477" spans="20:21" ht="15" customHeight="1" x14ac:dyDescent="0.25">
      <c r="T43477" s="135"/>
      <c r="U43477" s="135"/>
    </row>
    <row r="43478" spans="20:21" ht="15" customHeight="1" x14ac:dyDescent="0.25">
      <c r="T43478" s="135"/>
      <c r="U43478" s="135"/>
    </row>
    <row r="43479" spans="20:21" ht="15" customHeight="1" x14ac:dyDescent="0.25">
      <c r="T43479" s="135"/>
      <c r="U43479" s="135"/>
    </row>
    <row r="43480" spans="20:21" ht="15" customHeight="1" x14ac:dyDescent="0.25">
      <c r="T43480" s="135"/>
      <c r="U43480" s="135"/>
    </row>
    <row r="43481" spans="20:21" ht="15" customHeight="1" x14ac:dyDescent="0.25">
      <c r="T43481" s="135"/>
      <c r="U43481" s="135"/>
    </row>
    <row r="43482" spans="20:21" ht="15" customHeight="1" x14ac:dyDescent="0.25">
      <c r="T43482" s="135"/>
      <c r="U43482" s="135"/>
    </row>
    <row r="43483" spans="20:21" ht="15" customHeight="1" x14ac:dyDescent="0.25">
      <c r="T43483" s="135"/>
      <c r="U43483" s="135"/>
    </row>
    <row r="43484" spans="20:21" ht="15" customHeight="1" x14ac:dyDescent="0.25">
      <c r="T43484" s="135"/>
      <c r="U43484" s="135"/>
    </row>
    <row r="43485" spans="20:21" ht="15" customHeight="1" x14ac:dyDescent="0.25">
      <c r="T43485" s="135"/>
      <c r="U43485" s="135"/>
    </row>
    <row r="43486" spans="20:21" ht="15" customHeight="1" x14ac:dyDescent="0.25">
      <c r="T43486" s="135"/>
      <c r="U43486" s="135"/>
    </row>
    <row r="43487" spans="20:21" ht="15" customHeight="1" x14ac:dyDescent="0.25">
      <c r="T43487" s="135"/>
      <c r="U43487" s="135"/>
    </row>
    <row r="43488" spans="20:21" ht="15" customHeight="1" x14ac:dyDescent="0.25">
      <c r="T43488" s="135"/>
      <c r="U43488" s="135"/>
    </row>
    <row r="43489" spans="20:21" ht="15" customHeight="1" x14ac:dyDescent="0.25">
      <c r="T43489" s="135"/>
      <c r="U43489" s="135"/>
    </row>
    <row r="43490" spans="20:21" ht="15" customHeight="1" x14ac:dyDescent="0.25">
      <c r="T43490" s="135"/>
      <c r="U43490" s="135"/>
    </row>
    <row r="43491" spans="20:21" ht="15" customHeight="1" x14ac:dyDescent="0.25">
      <c r="T43491" s="135"/>
      <c r="U43491" s="135"/>
    </row>
    <row r="43492" spans="20:21" ht="15" customHeight="1" x14ac:dyDescent="0.25">
      <c r="T43492" s="135"/>
      <c r="U43492" s="135"/>
    </row>
    <row r="43493" spans="20:21" ht="15" customHeight="1" x14ac:dyDescent="0.25">
      <c r="T43493" s="135"/>
      <c r="U43493" s="135"/>
    </row>
    <row r="43494" spans="20:21" ht="15" customHeight="1" x14ac:dyDescent="0.25">
      <c r="T43494" s="135"/>
      <c r="U43494" s="135"/>
    </row>
    <row r="43495" spans="20:21" ht="15" customHeight="1" x14ac:dyDescent="0.25">
      <c r="T43495" s="135"/>
      <c r="U43495" s="135"/>
    </row>
    <row r="43496" spans="20:21" ht="15" customHeight="1" x14ac:dyDescent="0.25">
      <c r="T43496" s="135"/>
      <c r="U43496" s="135"/>
    </row>
    <row r="43497" spans="20:21" ht="15" customHeight="1" x14ac:dyDescent="0.25">
      <c r="T43497" s="135"/>
      <c r="U43497" s="135"/>
    </row>
    <row r="43498" spans="20:21" ht="15" customHeight="1" x14ac:dyDescent="0.25">
      <c r="T43498" s="135"/>
      <c r="U43498" s="135"/>
    </row>
    <row r="43499" spans="20:21" ht="15" customHeight="1" x14ac:dyDescent="0.25">
      <c r="T43499" s="135"/>
      <c r="U43499" s="135"/>
    </row>
    <row r="43500" spans="20:21" ht="15" customHeight="1" x14ac:dyDescent="0.25">
      <c r="T43500" s="135"/>
      <c r="U43500" s="135"/>
    </row>
    <row r="43501" spans="20:21" ht="15" customHeight="1" x14ac:dyDescent="0.25">
      <c r="T43501" s="135"/>
      <c r="U43501" s="135"/>
    </row>
    <row r="43502" spans="20:21" ht="15" customHeight="1" x14ac:dyDescent="0.25">
      <c r="T43502" s="135"/>
      <c r="U43502" s="135"/>
    </row>
    <row r="43503" spans="20:21" ht="15" customHeight="1" x14ac:dyDescent="0.25">
      <c r="T43503" s="135"/>
      <c r="U43503" s="135"/>
    </row>
    <row r="43504" spans="20:21" ht="15" customHeight="1" x14ac:dyDescent="0.25">
      <c r="T43504" s="135"/>
      <c r="U43504" s="135"/>
    </row>
    <row r="43505" spans="20:21" ht="15" customHeight="1" x14ac:dyDescent="0.25">
      <c r="T43505" s="135"/>
      <c r="U43505" s="135"/>
    </row>
    <row r="43506" spans="20:21" ht="15" customHeight="1" x14ac:dyDescent="0.25">
      <c r="T43506" s="135"/>
      <c r="U43506" s="135"/>
    </row>
    <row r="43507" spans="20:21" ht="15" customHeight="1" x14ac:dyDescent="0.25">
      <c r="T43507" s="135"/>
      <c r="U43507" s="135"/>
    </row>
    <row r="43508" spans="20:21" ht="15" customHeight="1" x14ac:dyDescent="0.25">
      <c r="T43508" s="135"/>
      <c r="U43508" s="135"/>
    </row>
    <row r="43509" spans="20:21" ht="15" customHeight="1" x14ac:dyDescent="0.25">
      <c r="T43509" s="135"/>
      <c r="U43509" s="135"/>
    </row>
    <row r="43510" spans="20:21" ht="15" customHeight="1" x14ac:dyDescent="0.25">
      <c r="T43510" s="135"/>
      <c r="U43510" s="135"/>
    </row>
    <row r="43511" spans="20:21" ht="15" customHeight="1" x14ac:dyDescent="0.25">
      <c r="T43511" s="135"/>
      <c r="U43511" s="135"/>
    </row>
    <row r="43512" spans="20:21" ht="15" customHeight="1" x14ac:dyDescent="0.25">
      <c r="T43512" s="135"/>
      <c r="U43512" s="135"/>
    </row>
    <row r="43513" spans="20:21" ht="15" customHeight="1" x14ac:dyDescent="0.25">
      <c r="T43513" s="135"/>
      <c r="U43513" s="135"/>
    </row>
    <row r="43514" spans="20:21" ht="15" customHeight="1" x14ac:dyDescent="0.25">
      <c r="T43514" s="135"/>
      <c r="U43514" s="135"/>
    </row>
    <row r="43515" spans="20:21" ht="15" customHeight="1" x14ac:dyDescent="0.25">
      <c r="T43515" s="135"/>
      <c r="U43515" s="135"/>
    </row>
    <row r="43516" spans="20:21" ht="15" customHeight="1" x14ac:dyDescent="0.25">
      <c r="T43516" s="135"/>
      <c r="U43516" s="135"/>
    </row>
    <row r="43517" spans="20:21" ht="15" customHeight="1" x14ac:dyDescent="0.25">
      <c r="T43517" s="135"/>
      <c r="U43517" s="135"/>
    </row>
    <row r="43518" spans="20:21" ht="15" customHeight="1" x14ac:dyDescent="0.25">
      <c r="T43518" s="135"/>
      <c r="U43518" s="135"/>
    </row>
    <row r="43519" spans="20:21" ht="15" customHeight="1" x14ac:dyDescent="0.25">
      <c r="T43519" s="135"/>
      <c r="U43519" s="135"/>
    </row>
    <row r="43520" spans="20:21" ht="15" customHeight="1" x14ac:dyDescent="0.25">
      <c r="T43520" s="135"/>
      <c r="U43520" s="135"/>
    </row>
    <row r="43521" spans="20:21" ht="15" customHeight="1" x14ac:dyDescent="0.25">
      <c r="T43521" s="135"/>
      <c r="U43521" s="135"/>
    </row>
    <row r="43522" spans="20:21" ht="15" customHeight="1" x14ac:dyDescent="0.25">
      <c r="T43522" s="135"/>
      <c r="U43522" s="135"/>
    </row>
    <row r="43523" spans="20:21" ht="15" customHeight="1" x14ac:dyDescent="0.25">
      <c r="T43523" s="135"/>
      <c r="U43523" s="135"/>
    </row>
    <row r="43524" spans="20:21" ht="15" customHeight="1" x14ac:dyDescent="0.25">
      <c r="T43524" s="135"/>
      <c r="U43524" s="135"/>
    </row>
    <row r="43525" spans="20:21" ht="15" customHeight="1" x14ac:dyDescent="0.25">
      <c r="T43525" s="135"/>
      <c r="U43525" s="135"/>
    </row>
    <row r="43526" spans="20:21" ht="15" customHeight="1" x14ac:dyDescent="0.25">
      <c r="T43526" s="135"/>
      <c r="U43526" s="135"/>
    </row>
    <row r="43527" spans="20:21" ht="15" customHeight="1" x14ac:dyDescent="0.25">
      <c r="T43527" s="135"/>
      <c r="U43527" s="135"/>
    </row>
    <row r="43528" spans="20:21" ht="15" customHeight="1" x14ac:dyDescent="0.25">
      <c r="T43528" s="135"/>
      <c r="U43528" s="135"/>
    </row>
    <row r="43529" spans="20:21" ht="15" customHeight="1" x14ac:dyDescent="0.25">
      <c r="T43529" s="135"/>
      <c r="U43529" s="135"/>
    </row>
    <row r="43530" spans="20:21" ht="15" customHeight="1" x14ac:dyDescent="0.25">
      <c r="T43530" s="135"/>
      <c r="U43530" s="135"/>
    </row>
    <row r="43531" spans="20:21" ht="15" customHeight="1" x14ac:dyDescent="0.25">
      <c r="T43531" s="135"/>
      <c r="U43531" s="135"/>
    </row>
    <row r="43532" spans="20:21" ht="15" customHeight="1" x14ac:dyDescent="0.25">
      <c r="T43532" s="135"/>
      <c r="U43532" s="135"/>
    </row>
    <row r="43533" spans="20:21" ht="15" customHeight="1" x14ac:dyDescent="0.25">
      <c r="T43533" s="135"/>
      <c r="U43533" s="135"/>
    </row>
    <row r="43534" spans="20:21" ht="15" customHeight="1" x14ac:dyDescent="0.25">
      <c r="T43534" s="135"/>
      <c r="U43534" s="135"/>
    </row>
    <row r="43535" spans="20:21" ht="15" customHeight="1" x14ac:dyDescent="0.25">
      <c r="T43535" s="135"/>
      <c r="U43535" s="135"/>
    </row>
    <row r="43536" spans="20:21" ht="15" customHeight="1" x14ac:dyDescent="0.25">
      <c r="T43536" s="135"/>
      <c r="U43536" s="135"/>
    </row>
    <row r="43537" spans="20:21" ht="15" customHeight="1" x14ac:dyDescent="0.25">
      <c r="T43537" s="135"/>
      <c r="U43537" s="135"/>
    </row>
    <row r="43538" spans="20:21" ht="15" customHeight="1" x14ac:dyDescent="0.25">
      <c r="T43538" s="135"/>
      <c r="U43538" s="135"/>
    </row>
    <row r="43539" spans="20:21" ht="15" customHeight="1" x14ac:dyDescent="0.25">
      <c r="T43539" s="135"/>
      <c r="U43539" s="135"/>
    </row>
    <row r="43540" spans="20:21" ht="15" customHeight="1" x14ac:dyDescent="0.25">
      <c r="T43540" s="135"/>
      <c r="U43540" s="135"/>
    </row>
    <row r="43541" spans="20:21" ht="15" customHeight="1" x14ac:dyDescent="0.25">
      <c r="T43541" s="135"/>
      <c r="U43541" s="135"/>
    </row>
    <row r="43542" spans="20:21" ht="15" customHeight="1" x14ac:dyDescent="0.25">
      <c r="T43542" s="135"/>
      <c r="U43542" s="135"/>
    </row>
    <row r="43543" spans="20:21" ht="15" customHeight="1" x14ac:dyDescent="0.25">
      <c r="T43543" s="135"/>
      <c r="U43543" s="135"/>
    </row>
    <row r="43544" spans="20:21" ht="15" customHeight="1" x14ac:dyDescent="0.25">
      <c r="T43544" s="135"/>
      <c r="U43544" s="135"/>
    </row>
    <row r="43545" spans="20:21" ht="15" customHeight="1" x14ac:dyDescent="0.25">
      <c r="T43545" s="135"/>
      <c r="U43545" s="135"/>
    </row>
    <row r="43546" spans="20:21" ht="15" customHeight="1" x14ac:dyDescent="0.25">
      <c r="T43546" s="135"/>
      <c r="U43546" s="135"/>
    </row>
    <row r="43547" spans="20:21" ht="15" customHeight="1" x14ac:dyDescent="0.25">
      <c r="T43547" s="135"/>
      <c r="U43547" s="135"/>
    </row>
    <row r="43548" spans="20:21" ht="15" customHeight="1" x14ac:dyDescent="0.25">
      <c r="T43548" s="135"/>
      <c r="U43548" s="135"/>
    </row>
    <row r="43549" spans="20:21" ht="15" customHeight="1" x14ac:dyDescent="0.25">
      <c r="T43549" s="135"/>
      <c r="U43549" s="135"/>
    </row>
    <row r="43550" spans="20:21" ht="15" customHeight="1" x14ac:dyDescent="0.25">
      <c r="T43550" s="135"/>
      <c r="U43550" s="135"/>
    </row>
    <row r="43551" spans="20:21" ht="15" customHeight="1" x14ac:dyDescent="0.25">
      <c r="T43551" s="135"/>
      <c r="U43551" s="135"/>
    </row>
    <row r="43552" spans="20:21" ht="15" customHeight="1" x14ac:dyDescent="0.25">
      <c r="T43552" s="135"/>
      <c r="U43552" s="135"/>
    </row>
    <row r="43553" spans="20:21" ht="15" customHeight="1" x14ac:dyDescent="0.25">
      <c r="T43553" s="135"/>
      <c r="U43553" s="135"/>
    </row>
    <row r="43554" spans="20:21" ht="15" customHeight="1" x14ac:dyDescent="0.25">
      <c r="T43554" s="135"/>
      <c r="U43554" s="135"/>
    </row>
    <row r="43555" spans="20:21" ht="15" customHeight="1" x14ac:dyDescent="0.25">
      <c r="T43555" s="135"/>
      <c r="U43555" s="135"/>
    </row>
    <row r="43556" spans="20:21" ht="15" customHeight="1" x14ac:dyDescent="0.25">
      <c r="T43556" s="135"/>
      <c r="U43556" s="135"/>
    </row>
    <row r="43557" spans="20:21" ht="15" customHeight="1" x14ac:dyDescent="0.25">
      <c r="T43557" s="135"/>
      <c r="U43557" s="135"/>
    </row>
    <row r="43558" spans="20:21" ht="15" customHeight="1" x14ac:dyDescent="0.25">
      <c r="T43558" s="135"/>
      <c r="U43558" s="135"/>
    </row>
    <row r="43559" spans="20:21" ht="15" customHeight="1" x14ac:dyDescent="0.25">
      <c r="T43559" s="135"/>
      <c r="U43559" s="135"/>
    </row>
    <row r="43560" spans="20:21" ht="15" customHeight="1" x14ac:dyDescent="0.25">
      <c r="T43560" s="135"/>
      <c r="U43560" s="135"/>
    </row>
    <row r="43561" spans="20:21" ht="15" customHeight="1" x14ac:dyDescent="0.25">
      <c r="T43561" s="135"/>
      <c r="U43561" s="135"/>
    </row>
    <row r="43562" spans="20:21" ht="15" customHeight="1" x14ac:dyDescent="0.25">
      <c r="T43562" s="135"/>
      <c r="U43562" s="135"/>
    </row>
    <row r="43563" spans="20:21" ht="15" customHeight="1" x14ac:dyDescent="0.25">
      <c r="T43563" s="135"/>
      <c r="U43563" s="135"/>
    </row>
    <row r="43564" spans="20:21" ht="15" customHeight="1" x14ac:dyDescent="0.25">
      <c r="T43564" s="135"/>
      <c r="U43564" s="135"/>
    </row>
    <row r="43565" spans="20:21" ht="15" customHeight="1" x14ac:dyDescent="0.25">
      <c r="T43565" s="135"/>
      <c r="U43565" s="135"/>
    </row>
    <row r="43566" spans="20:21" ht="15" customHeight="1" x14ac:dyDescent="0.25">
      <c r="T43566" s="135"/>
      <c r="U43566" s="135"/>
    </row>
    <row r="43567" spans="20:21" ht="15" customHeight="1" x14ac:dyDescent="0.25">
      <c r="T43567" s="135"/>
      <c r="U43567" s="135"/>
    </row>
    <row r="43568" spans="20:21" ht="15" customHeight="1" x14ac:dyDescent="0.25">
      <c r="T43568" s="135"/>
      <c r="U43568" s="135"/>
    </row>
    <row r="43569" spans="20:21" ht="15" customHeight="1" x14ac:dyDescent="0.25">
      <c r="T43569" s="135"/>
      <c r="U43569" s="135"/>
    </row>
    <row r="43570" spans="20:21" ht="15" customHeight="1" x14ac:dyDescent="0.25">
      <c r="T43570" s="135"/>
      <c r="U43570" s="135"/>
    </row>
    <row r="43571" spans="20:21" ht="15" customHeight="1" x14ac:dyDescent="0.25">
      <c r="T43571" s="135"/>
      <c r="U43571" s="135"/>
    </row>
    <row r="43572" spans="20:21" ht="15" customHeight="1" x14ac:dyDescent="0.25">
      <c r="T43572" s="135"/>
      <c r="U43572" s="135"/>
    </row>
    <row r="43573" spans="20:21" ht="15" customHeight="1" x14ac:dyDescent="0.25">
      <c r="T43573" s="135"/>
      <c r="U43573" s="135"/>
    </row>
    <row r="43574" spans="20:21" ht="15" customHeight="1" x14ac:dyDescent="0.25">
      <c r="T43574" s="135"/>
      <c r="U43574" s="135"/>
    </row>
    <row r="43575" spans="20:21" ht="15" customHeight="1" x14ac:dyDescent="0.25">
      <c r="T43575" s="135"/>
      <c r="U43575" s="135"/>
    </row>
    <row r="43576" spans="20:21" ht="15" customHeight="1" x14ac:dyDescent="0.25">
      <c r="T43576" s="135"/>
      <c r="U43576" s="135"/>
    </row>
    <row r="43577" spans="20:21" ht="15" customHeight="1" x14ac:dyDescent="0.25">
      <c r="T43577" s="135"/>
      <c r="U43577" s="135"/>
    </row>
    <row r="43578" spans="20:21" ht="15" customHeight="1" x14ac:dyDescent="0.25">
      <c r="T43578" s="135"/>
      <c r="U43578" s="135"/>
    </row>
    <row r="43579" spans="20:21" ht="15" customHeight="1" x14ac:dyDescent="0.25">
      <c r="T43579" s="135"/>
      <c r="U43579" s="135"/>
    </row>
    <row r="43580" spans="20:21" ht="15" customHeight="1" x14ac:dyDescent="0.25">
      <c r="T43580" s="135"/>
      <c r="U43580" s="135"/>
    </row>
    <row r="43581" spans="20:21" ht="15" customHeight="1" x14ac:dyDescent="0.25">
      <c r="T43581" s="135"/>
      <c r="U43581" s="135"/>
    </row>
    <row r="43582" spans="20:21" ht="15" customHeight="1" x14ac:dyDescent="0.25">
      <c r="T43582" s="135"/>
      <c r="U43582" s="135"/>
    </row>
    <row r="43583" spans="20:21" ht="15" customHeight="1" x14ac:dyDescent="0.25">
      <c r="T43583" s="135"/>
      <c r="U43583" s="135"/>
    </row>
    <row r="43584" spans="20:21" ht="15" customHeight="1" x14ac:dyDescent="0.25">
      <c r="T43584" s="135"/>
      <c r="U43584" s="135"/>
    </row>
    <row r="43585" spans="20:21" ht="15" customHeight="1" x14ac:dyDescent="0.25">
      <c r="T43585" s="135"/>
      <c r="U43585" s="135"/>
    </row>
    <row r="43586" spans="20:21" ht="15" customHeight="1" x14ac:dyDescent="0.25">
      <c r="T43586" s="135"/>
      <c r="U43586" s="135"/>
    </row>
    <row r="43587" spans="20:21" ht="15" customHeight="1" x14ac:dyDescent="0.25">
      <c r="T43587" s="135"/>
      <c r="U43587" s="135"/>
    </row>
    <row r="43588" spans="20:21" ht="15" customHeight="1" x14ac:dyDescent="0.25">
      <c r="T43588" s="135"/>
      <c r="U43588" s="135"/>
    </row>
    <row r="43589" spans="20:21" ht="15" customHeight="1" x14ac:dyDescent="0.25">
      <c r="T43589" s="135"/>
      <c r="U43589" s="135"/>
    </row>
    <row r="43590" spans="20:21" ht="15" customHeight="1" x14ac:dyDescent="0.25">
      <c r="T43590" s="135"/>
      <c r="U43590" s="135"/>
    </row>
    <row r="43591" spans="20:21" ht="15" customHeight="1" x14ac:dyDescent="0.25">
      <c r="T43591" s="135"/>
      <c r="U43591" s="135"/>
    </row>
    <row r="43592" spans="20:21" ht="15" customHeight="1" x14ac:dyDescent="0.25">
      <c r="T43592" s="135"/>
      <c r="U43592" s="135"/>
    </row>
    <row r="43593" spans="20:21" ht="15" customHeight="1" x14ac:dyDescent="0.25">
      <c r="T43593" s="135"/>
      <c r="U43593" s="135"/>
    </row>
    <row r="43594" spans="20:21" ht="15" customHeight="1" x14ac:dyDescent="0.25">
      <c r="T43594" s="135"/>
      <c r="U43594" s="135"/>
    </row>
    <row r="43595" spans="20:21" ht="15" customHeight="1" x14ac:dyDescent="0.25">
      <c r="T43595" s="135"/>
      <c r="U43595" s="135"/>
    </row>
    <row r="43596" spans="20:21" ht="15" customHeight="1" x14ac:dyDescent="0.25">
      <c r="T43596" s="135"/>
      <c r="U43596" s="135"/>
    </row>
    <row r="43597" spans="20:21" ht="15" customHeight="1" x14ac:dyDescent="0.25">
      <c r="T43597" s="135"/>
      <c r="U43597" s="135"/>
    </row>
    <row r="43598" spans="20:21" ht="15" customHeight="1" x14ac:dyDescent="0.25">
      <c r="T43598" s="135"/>
      <c r="U43598" s="135"/>
    </row>
    <row r="43599" spans="20:21" ht="15" customHeight="1" x14ac:dyDescent="0.25">
      <c r="T43599" s="135"/>
      <c r="U43599" s="135"/>
    </row>
    <row r="43600" spans="20:21" ht="15" customHeight="1" x14ac:dyDescent="0.25">
      <c r="T43600" s="135"/>
      <c r="U43600" s="135"/>
    </row>
    <row r="43601" spans="20:21" ht="15" customHeight="1" x14ac:dyDescent="0.25">
      <c r="T43601" s="135"/>
      <c r="U43601" s="135"/>
    </row>
    <row r="43602" spans="20:21" ht="15" customHeight="1" x14ac:dyDescent="0.25">
      <c r="T43602" s="135"/>
      <c r="U43602" s="135"/>
    </row>
    <row r="43603" spans="20:21" ht="15" customHeight="1" x14ac:dyDescent="0.25">
      <c r="T43603" s="135"/>
      <c r="U43603" s="135"/>
    </row>
    <row r="43604" spans="20:21" ht="15" customHeight="1" x14ac:dyDescent="0.25">
      <c r="T43604" s="135"/>
      <c r="U43604" s="135"/>
    </row>
    <row r="43605" spans="20:21" ht="15" customHeight="1" x14ac:dyDescent="0.25">
      <c r="T43605" s="135"/>
      <c r="U43605" s="135"/>
    </row>
    <row r="43606" spans="20:21" ht="15" customHeight="1" x14ac:dyDescent="0.25">
      <c r="T43606" s="135"/>
      <c r="U43606" s="135"/>
    </row>
    <row r="43607" spans="20:21" ht="15" customHeight="1" x14ac:dyDescent="0.25">
      <c r="T43607" s="135"/>
      <c r="U43607" s="135"/>
    </row>
    <row r="43608" spans="20:21" ht="15" customHeight="1" x14ac:dyDescent="0.25">
      <c r="T43608" s="135"/>
      <c r="U43608" s="135"/>
    </row>
    <row r="43609" spans="20:21" ht="15" customHeight="1" x14ac:dyDescent="0.25">
      <c r="T43609" s="135"/>
      <c r="U43609" s="135"/>
    </row>
    <row r="43610" spans="20:21" ht="15" customHeight="1" x14ac:dyDescent="0.25">
      <c r="T43610" s="135"/>
      <c r="U43610" s="135"/>
    </row>
    <row r="43611" spans="20:21" ht="15" customHeight="1" x14ac:dyDescent="0.25">
      <c r="T43611" s="135"/>
      <c r="U43611" s="135"/>
    </row>
    <row r="43612" spans="20:21" ht="15" customHeight="1" x14ac:dyDescent="0.25">
      <c r="T43612" s="135"/>
      <c r="U43612" s="135"/>
    </row>
    <row r="43613" spans="20:21" ht="15" customHeight="1" x14ac:dyDescent="0.25">
      <c r="T43613" s="135"/>
      <c r="U43613" s="135"/>
    </row>
    <row r="43614" spans="20:21" ht="15" customHeight="1" x14ac:dyDescent="0.25">
      <c r="T43614" s="135"/>
      <c r="U43614" s="135"/>
    </row>
    <row r="43615" spans="20:21" ht="15" customHeight="1" x14ac:dyDescent="0.25">
      <c r="T43615" s="135"/>
      <c r="U43615" s="135"/>
    </row>
    <row r="43616" spans="20:21" ht="15" customHeight="1" x14ac:dyDescent="0.25">
      <c r="T43616" s="135"/>
      <c r="U43616" s="135"/>
    </row>
    <row r="43617" spans="20:21" ht="15" customHeight="1" x14ac:dyDescent="0.25">
      <c r="T43617" s="135"/>
      <c r="U43617" s="135"/>
    </row>
    <row r="43618" spans="20:21" ht="15" customHeight="1" x14ac:dyDescent="0.25">
      <c r="T43618" s="135"/>
      <c r="U43618" s="135"/>
    </row>
    <row r="43619" spans="20:21" ht="15" customHeight="1" x14ac:dyDescent="0.25">
      <c r="T43619" s="135"/>
      <c r="U43619" s="135"/>
    </row>
    <row r="43620" spans="20:21" ht="15" customHeight="1" x14ac:dyDescent="0.25">
      <c r="T43620" s="135"/>
      <c r="U43620" s="135"/>
    </row>
    <row r="43621" spans="20:21" ht="15" customHeight="1" x14ac:dyDescent="0.25">
      <c r="T43621" s="135"/>
      <c r="U43621" s="135"/>
    </row>
    <row r="43622" spans="20:21" ht="15" customHeight="1" x14ac:dyDescent="0.25">
      <c r="T43622" s="135"/>
      <c r="U43622" s="135"/>
    </row>
    <row r="43623" spans="20:21" ht="15" customHeight="1" x14ac:dyDescent="0.25">
      <c r="T43623" s="135"/>
      <c r="U43623" s="135"/>
    </row>
    <row r="43624" spans="20:21" ht="15" customHeight="1" x14ac:dyDescent="0.25">
      <c r="T43624" s="135"/>
      <c r="U43624" s="135"/>
    </row>
    <row r="43625" spans="20:21" ht="15" customHeight="1" x14ac:dyDescent="0.25">
      <c r="T43625" s="135"/>
      <c r="U43625" s="135"/>
    </row>
    <row r="43626" spans="20:21" ht="15" customHeight="1" x14ac:dyDescent="0.25">
      <c r="T43626" s="135"/>
      <c r="U43626" s="135"/>
    </row>
    <row r="43627" spans="20:21" ht="15" customHeight="1" x14ac:dyDescent="0.25">
      <c r="T43627" s="135"/>
      <c r="U43627" s="135"/>
    </row>
    <row r="43628" spans="20:21" ht="15" customHeight="1" x14ac:dyDescent="0.25">
      <c r="T43628" s="135"/>
      <c r="U43628" s="135"/>
    </row>
    <row r="43629" spans="20:21" ht="15" customHeight="1" x14ac:dyDescent="0.25">
      <c r="T43629" s="135"/>
      <c r="U43629" s="135"/>
    </row>
    <row r="43630" spans="20:21" ht="15" customHeight="1" x14ac:dyDescent="0.25">
      <c r="T43630" s="135"/>
      <c r="U43630" s="135"/>
    </row>
    <row r="43631" spans="20:21" ht="15" customHeight="1" x14ac:dyDescent="0.25">
      <c r="T43631" s="135"/>
      <c r="U43631" s="135"/>
    </row>
    <row r="43632" spans="20:21" ht="15" customHeight="1" x14ac:dyDescent="0.25">
      <c r="T43632" s="135"/>
      <c r="U43632" s="135"/>
    </row>
    <row r="43633" spans="20:21" ht="15" customHeight="1" x14ac:dyDescent="0.25">
      <c r="T43633" s="135"/>
      <c r="U43633" s="135"/>
    </row>
    <row r="43634" spans="20:21" ht="15" customHeight="1" x14ac:dyDescent="0.25">
      <c r="T43634" s="135"/>
      <c r="U43634" s="135"/>
    </row>
    <row r="43635" spans="20:21" ht="15" customHeight="1" x14ac:dyDescent="0.25">
      <c r="T43635" s="135"/>
      <c r="U43635" s="135"/>
    </row>
    <row r="43636" spans="20:21" ht="15" customHeight="1" x14ac:dyDescent="0.25">
      <c r="T43636" s="135"/>
      <c r="U43636" s="135"/>
    </row>
    <row r="43637" spans="20:21" ht="15" customHeight="1" x14ac:dyDescent="0.25">
      <c r="T43637" s="135"/>
      <c r="U43637" s="135"/>
    </row>
    <row r="43638" spans="20:21" ht="15" customHeight="1" x14ac:dyDescent="0.25">
      <c r="T43638" s="135"/>
      <c r="U43638" s="135"/>
    </row>
    <row r="43639" spans="20:21" ht="15" customHeight="1" x14ac:dyDescent="0.25">
      <c r="T43639" s="135"/>
      <c r="U43639" s="135"/>
    </row>
    <row r="43640" spans="20:21" ht="15" customHeight="1" x14ac:dyDescent="0.25">
      <c r="T43640" s="135"/>
      <c r="U43640" s="135"/>
    </row>
    <row r="43641" spans="20:21" ht="15" customHeight="1" x14ac:dyDescent="0.25">
      <c r="T43641" s="135"/>
      <c r="U43641" s="135"/>
    </row>
    <row r="43642" spans="20:21" ht="15" customHeight="1" x14ac:dyDescent="0.25">
      <c r="T43642" s="135"/>
      <c r="U43642" s="135"/>
    </row>
    <row r="43643" spans="20:21" ht="15" customHeight="1" x14ac:dyDescent="0.25">
      <c r="T43643" s="135"/>
      <c r="U43643" s="135"/>
    </row>
    <row r="43644" spans="20:21" ht="15" customHeight="1" x14ac:dyDescent="0.25">
      <c r="T43644" s="135"/>
      <c r="U43644" s="135"/>
    </row>
    <row r="43645" spans="20:21" ht="15" customHeight="1" x14ac:dyDescent="0.25">
      <c r="T43645" s="135"/>
      <c r="U43645" s="135"/>
    </row>
    <row r="43646" spans="20:21" ht="15" customHeight="1" x14ac:dyDescent="0.25">
      <c r="T43646" s="135"/>
      <c r="U43646" s="135"/>
    </row>
    <row r="43647" spans="20:21" ht="15" customHeight="1" x14ac:dyDescent="0.25">
      <c r="T43647" s="135"/>
      <c r="U43647" s="135"/>
    </row>
    <row r="43648" spans="20:21" ht="15" customHeight="1" x14ac:dyDescent="0.25">
      <c r="T43648" s="135"/>
      <c r="U43648" s="135"/>
    </row>
    <row r="43649" spans="20:21" ht="15" customHeight="1" x14ac:dyDescent="0.25">
      <c r="T43649" s="135"/>
      <c r="U43649" s="135"/>
    </row>
    <row r="43650" spans="20:21" ht="15" customHeight="1" x14ac:dyDescent="0.25">
      <c r="T43650" s="135"/>
      <c r="U43650" s="135"/>
    </row>
    <row r="43651" spans="20:21" ht="15" customHeight="1" x14ac:dyDescent="0.25">
      <c r="T43651" s="135"/>
      <c r="U43651" s="135"/>
    </row>
    <row r="43652" spans="20:21" ht="15" customHeight="1" x14ac:dyDescent="0.25">
      <c r="T43652" s="135"/>
      <c r="U43652" s="135"/>
    </row>
    <row r="43653" spans="20:21" ht="15" customHeight="1" x14ac:dyDescent="0.25">
      <c r="T43653" s="135"/>
      <c r="U43653" s="135"/>
    </row>
    <row r="43654" spans="20:21" ht="15" customHeight="1" x14ac:dyDescent="0.25">
      <c r="T43654" s="135"/>
      <c r="U43654" s="135"/>
    </row>
    <row r="43655" spans="20:21" ht="15" customHeight="1" x14ac:dyDescent="0.25">
      <c r="T43655" s="135"/>
      <c r="U43655" s="135"/>
    </row>
    <row r="43656" spans="20:21" ht="15" customHeight="1" x14ac:dyDescent="0.25">
      <c r="T43656" s="135"/>
      <c r="U43656" s="135"/>
    </row>
    <row r="43657" spans="20:21" ht="15" customHeight="1" x14ac:dyDescent="0.25">
      <c r="T43657" s="135"/>
      <c r="U43657" s="135"/>
    </row>
    <row r="43658" spans="20:21" ht="15" customHeight="1" x14ac:dyDescent="0.25">
      <c r="T43658" s="135"/>
      <c r="U43658" s="135"/>
    </row>
    <row r="43659" spans="20:21" ht="15" customHeight="1" x14ac:dyDescent="0.25">
      <c r="T43659" s="135"/>
      <c r="U43659" s="135"/>
    </row>
    <row r="43660" spans="20:21" ht="15" customHeight="1" x14ac:dyDescent="0.25">
      <c r="T43660" s="135"/>
      <c r="U43660" s="135"/>
    </row>
    <row r="43661" spans="20:21" ht="15" customHeight="1" x14ac:dyDescent="0.25">
      <c r="T43661" s="135"/>
      <c r="U43661" s="135"/>
    </row>
    <row r="43662" spans="20:21" ht="15" customHeight="1" x14ac:dyDescent="0.25">
      <c r="T43662" s="135"/>
      <c r="U43662" s="135"/>
    </row>
    <row r="43663" spans="20:21" ht="15" customHeight="1" x14ac:dyDescent="0.25">
      <c r="T43663" s="135"/>
      <c r="U43663" s="135"/>
    </row>
    <row r="43664" spans="20:21" ht="15" customHeight="1" x14ac:dyDescent="0.25">
      <c r="T43664" s="135"/>
      <c r="U43664" s="135"/>
    </row>
    <row r="43665" spans="20:21" ht="15" customHeight="1" x14ac:dyDescent="0.25">
      <c r="T43665" s="135"/>
      <c r="U43665" s="135"/>
    </row>
    <row r="43666" spans="20:21" ht="15" customHeight="1" x14ac:dyDescent="0.25">
      <c r="T43666" s="135"/>
      <c r="U43666" s="135"/>
    </row>
    <row r="43667" spans="20:21" ht="15" customHeight="1" x14ac:dyDescent="0.25">
      <c r="T43667" s="135"/>
      <c r="U43667" s="135"/>
    </row>
    <row r="43668" spans="20:21" ht="15" customHeight="1" x14ac:dyDescent="0.25">
      <c r="T43668" s="135"/>
      <c r="U43668" s="135"/>
    </row>
    <row r="43669" spans="20:21" ht="15" customHeight="1" x14ac:dyDescent="0.25">
      <c r="T43669" s="135"/>
      <c r="U43669" s="135"/>
    </row>
    <row r="43670" spans="20:21" ht="15" customHeight="1" x14ac:dyDescent="0.25">
      <c r="T43670" s="135"/>
      <c r="U43670" s="135"/>
    </row>
    <row r="43671" spans="20:21" ht="15" customHeight="1" x14ac:dyDescent="0.25">
      <c r="T43671" s="135"/>
      <c r="U43671" s="135"/>
    </row>
    <row r="43672" spans="20:21" ht="15" customHeight="1" x14ac:dyDescent="0.25">
      <c r="T43672" s="135"/>
      <c r="U43672" s="135"/>
    </row>
    <row r="43673" spans="20:21" ht="15" customHeight="1" x14ac:dyDescent="0.25">
      <c r="T43673" s="135"/>
      <c r="U43673" s="135"/>
    </row>
    <row r="43674" spans="20:21" ht="15" customHeight="1" x14ac:dyDescent="0.25">
      <c r="T43674" s="135"/>
      <c r="U43674" s="135"/>
    </row>
    <row r="43675" spans="20:21" ht="15" customHeight="1" x14ac:dyDescent="0.25">
      <c r="T43675" s="135"/>
      <c r="U43675" s="135"/>
    </row>
    <row r="43676" spans="20:21" ht="15" customHeight="1" x14ac:dyDescent="0.25">
      <c r="T43676" s="135"/>
      <c r="U43676" s="135"/>
    </row>
    <row r="43677" spans="20:21" ht="15" customHeight="1" x14ac:dyDescent="0.25">
      <c r="T43677" s="135"/>
      <c r="U43677" s="135"/>
    </row>
    <row r="43678" spans="20:21" ht="15" customHeight="1" x14ac:dyDescent="0.25">
      <c r="T43678" s="135"/>
      <c r="U43678" s="135"/>
    </row>
    <row r="43679" spans="20:21" ht="15" customHeight="1" x14ac:dyDescent="0.25">
      <c r="T43679" s="135"/>
      <c r="U43679" s="135"/>
    </row>
    <row r="43680" spans="20:21" ht="15" customHeight="1" x14ac:dyDescent="0.25">
      <c r="T43680" s="135"/>
      <c r="U43680" s="135"/>
    </row>
    <row r="43681" spans="20:21" ht="15" customHeight="1" x14ac:dyDescent="0.25">
      <c r="T43681" s="135"/>
      <c r="U43681" s="135"/>
    </row>
    <row r="43682" spans="20:21" ht="15" customHeight="1" x14ac:dyDescent="0.25">
      <c r="T43682" s="135"/>
      <c r="U43682" s="135"/>
    </row>
    <row r="43683" spans="20:21" ht="15" customHeight="1" x14ac:dyDescent="0.25">
      <c r="T43683" s="135"/>
      <c r="U43683" s="135"/>
    </row>
    <row r="43684" spans="20:21" ht="15" customHeight="1" x14ac:dyDescent="0.25">
      <c r="T43684" s="135"/>
      <c r="U43684" s="135"/>
    </row>
    <row r="43685" spans="20:21" ht="15" customHeight="1" x14ac:dyDescent="0.25">
      <c r="T43685" s="135"/>
      <c r="U43685" s="135"/>
    </row>
    <row r="43686" spans="20:21" ht="15" customHeight="1" x14ac:dyDescent="0.25">
      <c r="T43686" s="135"/>
      <c r="U43686" s="135"/>
    </row>
    <row r="43687" spans="20:21" ht="15" customHeight="1" x14ac:dyDescent="0.25">
      <c r="T43687" s="135"/>
      <c r="U43687" s="135"/>
    </row>
    <row r="43688" spans="20:21" ht="15" customHeight="1" x14ac:dyDescent="0.25">
      <c r="T43688" s="135"/>
      <c r="U43688" s="135"/>
    </row>
    <row r="43689" spans="20:21" ht="15" customHeight="1" x14ac:dyDescent="0.25">
      <c r="T43689" s="135"/>
      <c r="U43689" s="135"/>
    </row>
    <row r="43690" spans="20:21" ht="15" customHeight="1" x14ac:dyDescent="0.25">
      <c r="T43690" s="135"/>
      <c r="U43690" s="135"/>
    </row>
    <row r="43691" spans="20:21" ht="15" customHeight="1" x14ac:dyDescent="0.25">
      <c r="T43691" s="135"/>
      <c r="U43691" s="135"/>
    </row>
    <row r="43692" spans="20:21" ht="15" customHeight="1" x14ac:dyDescent="0.25">
      <c r="T43692" s="135"/>
      <c r="U43692" s="135"/>
    </row>
    <row r="43693" spans="20:21" ht="15" customHeight="1" x14ac:dyDescent="0.25">
      <c r="T43693" s="135"/>
      <c r="U43693" s="135"/>
    </row>
    <row r="43694" spans="20:21" ht="15" customHeight="1" x14ac:dyDescent="0.25">
      <c r="T43694" s="135"/>
      <c r="U43694" s="135"/>
    </row>
    <row r="43695" spans="20:21" ht="15" customHeight="1" x14ac:dyDescent="0.25">
      <c r="T43695" s="135"/>
      <c r="U43695" s="135"/>
    </row>
    <row r="43696" spans="20:21" ht="15" customHeight="1" x14ac:dyDescent="0.25">
      <c r="T43696" s="135"/>
      <c r="U43696" s="135"/>
    </row>
    <row r="43697" spans="20:21" ht="15" customHeight="1" x14ac:dyDescent="0.25">
      <c r="T43697" s="135"/>
      <c r="U43697" s="135"/>
    </row>
    <row r="43698" spans="20:21" ht="15" customHeight="1" x14ac:dyDescent="0.25">
      <c r="T43698" s="135"/>
      <c r="U43698" s="135"/>
    </row>
    <row r="43699" spans="20:21" ht="15" customHeight="1" x14ac:dyDescent="0.25">
      <c r="T43699" s="135"/>
      <c r="U43699" s="135"/>
    </row>
    <row r="43700" spans="20:21" ht="15" customHeight="1" x14ac:dyDescent="0.25">
      <c r="T43700" s="135"/>
      <c r="U43700" s="135"/>
    </row>
    <row r="43701" spans="20:21" ht="15" customHeight="1" x14ac:dyDescent="0.25">
      <c r="T43701" s="135"/>
      <c r="U43701" s="135"/>
    </row>
    <row r="43702" spans="20:21" ht="15" customHeight="1" x14ac:dyDescent="0.25">
      <c r="T43702" s="135"/>
      <c r="U43702" s="135"/>
    </row>
    <row r="43703" spans="20:21" ht="15" customHeight="1" x14ac:dyDescent="0.25">
      <c r="T43703" s="135"/>
      <c r="U43703" s="135"/>
    </row>
    <row r="43704" spans="20:21" ht="15" customHeight="1" x14ac:dyDescent="0.25">
      <c r="T43704" s="135"/>
      <c r="U43704" s="135"/>
    </row>
    <row r="43705" spans="20:21" ht="15" customHeight="1" x14ac:dyDescent="0.25">
      <c r="T43705" s="135"/>
      <c r="U43705" s="135"/>
    </row>
    <row r="43706" spans="20:21" ht="15" customHeight="1" x14ac:dyDescent="0.25">
      <c r="T43706" s="135"/>
      <c r="U43706" s="135"/>
    </row>
    <row r="43707" spans="20:21" ht="15" customHeight="1" x14ac:dyDescent="0.25">
      <c r="T43707" s="135"/>
      <c r="U43707" s="135"/>
    </row>
    <row r="43708" spans="20:21" ht="15" customHeight="1" x14ac:dyDescent="0.25">
      <c r="T43708" s="135"/>
      <c r="U43708" s="135"/>
    </row>
    <row r="43709" spans="20:21" ht="15" customHeight="1" x14ac:dyDescent="0.25">
      <c r="T43709" s="135"/>
      <c r="U43709" s="135"/>
    </row>
    <row r="43710" spans="20:21" ht="15" customHeight="1" x14ac:dyDescent="0.25">
      <c r="T43710" s="135"/>
      <c r="U43710" s="135"/>
    </row>
    <row r="43711" spans="20:21" ht="15" customHeight="1" x14ac:dyDescent="0.25">
      <c r="T43711" s="135"/>
      <c r="U43711" s="135"/>
    </row>
    <row r="43712" spans="20:21" ht="15" customHeight="1" x14ac:dyDescent="0.25">
      <c r="T43712" s="135"/>
      <c r="U43712" s="135"/>
    </row>
    <row r="43713" spans="20:21" ht="15" customHeight="1" x14ac:dyDescent="0.25">
      <c r="T43713" s="135"/>
      <c r="U43713" s="135"/>
    </row>
    <row r="43714" spans="20:21" ht="15" customHeight="1" x14ac:dyDescent="0.25">
      <c r="T43714" s="135"/>
      <c r="U43714" s="135"/>
    </row>
    <row r="43715" spans="20:21" ht="15" customHeight="1" x14ac:dyDescent="0.25">
      <c r="T43715" s="135"/>
      <c r="U43715" s="135"/>
    </row>
    <row r="43716" spans="20:21" ht="15" customHeight="1" x14ac:dyDescent="0.25">
      <c r="T43716" s="135"/>
      <c r="U43716" s="135"/>
    </row>
    <row r="43717" spans="20:21" ht="15" customHeight="1" x14ac:dyDescent="0.25">
      <c r="T43717" s="135"/>
      <c r="U43717" s="135"/>
    </row>
    <row r="43718" spans="20:21" ht="15" customHeight="1" x14ac:dyDescent="0.25">
      <c r="T43718" s="135"/>
      <c r="U43718" s="135"/>
    </row>
    <row r="43719" spans="20:21" ht="15" customHeight="1" x14ac:dyDescent="0.25">
      <c r="T43719" s="135"/>
      <c r="U43719" s="135"/>
    </row>
    <row r="43720" spans="20:21" ht="15" customHeight="1" x14ac:dyDescent="0.25">
      <c r="T43720" s="135"/>
      <c r="U43720" s="135"/>
    </row>
    <row r="43721" spans="20:21" ht="15" customHeight="1" x14ac:dyDescent="0.25">
      <c r="T43721" s="135"/>
      <c r="U43721" s="135"/>
    </row>
    <row r="43722" spans="20:21" ht="15" customHeight="1" x14ac:dyDescent="0.25">
      <c r="T43722" s="135"/>
      <c r="U43722" s="135"/>
    </row>
    <row r="43723" spans="20:21" ht="15" customHeight="1" x14ac:dyDescent="0.25">
      <c r="T43723" s="135"/>
      <c r="U43723" s="135"/>
    </row>
    <row r="43724" spans="20:21" ht="15" customHeight="1" x14ac:dyDescent="0.25">
      <c r="T43724" s="135"/>
      <c r="U43724" s="135"/>
    </row>
    <row r="43725" spans="20:21" ht="15" customHeight="1" x14ac:dyDescent="0.25">
      <c r="T43725" s="135"/>
      <c r="U43725" s="135"/>
    </row>
    <row r="43726" spans="20:21" ht="15" customHeight="1" x14ac:dyDescent="0.25">
      <c r="T43726" s="135"/>
      <c r="U43726" s="135"/>
    </row>
    <row r="43727" spans="20:21" ht="15" customHeight="1" x14ac:dyDescent="0.25">
      <c r="T43727" s="135"/>
      <c r="U43727" s="135"/>
    </row>
    <row r="43728" spans="20:21" ht="15" customHeight="1" x14ac:dyDescent="0.25">
      <c r="T43728" s="135"/>
      <c r="U43728" s="135"/>
    </row>
    <row r="43729" spans="20:21" ht="15" customHeight="1" x14ac:dyDescent="0.25">
      <c r="T43729" s="135"/>
      <c r="U43729" s="135"/>
    </row>
    <row r="43730" spans="20:21" ht="15" customHeight="1" x14ac:dyDescent="0.25">
      <c r="T43730" s="135"/>
      <c r="U43730" s="135"/>
    </row>
    <row r="43731" spans="20:21" ht="15" customHeight="1" x14ac:dyDescent="0.25">
      <c r="T43731" s="135"/>
      <c r="U43731" s="135"/>
    </row>
    <row r="43732" spans="20:21" ht="15" customHeight="1" x14ac:dyDescent="0.25">
      <c r="T43732" s="135"/>
      <c r="U43732" s="135"/>
    </row>
    <row r="43733" spans="20:21" ht="15" customHeight="1" x14ac:dyDescent="0.25">
      <c r="T43733" s="135"/>
      <c r="U43733" s="135"/>
    </row>
    <row r="43734" spans="20:21" ht="15" customHeight="1" x14ac:dyDescent="0.25">
      <c r="T43734" s="135"/>
      <c r="U43734" s="135"/>
    </row>
    <row r="43735" spans="20:21" ht="15" customHeight="1" x14ac:dyDescent="0.25">
      <c r="T43735" s="135"/>
      <c r="U43735" s="135"/>
    </row>
    <row r="43736" spans="20:21" ht="15" customHeight="1" x14ac:dyDescent="0.25">
      <c r="T43736" s="135"/>
      <c r="U43736" s="135"/>
    </row>
    <row r="43737" spans="20:21" ht="15" customHeight="1" x14ac:dyDescent="0.25">
      <c r="T43737" s="135"/>
      <c r="U43737" s="135"/>
    </row>
    <row r="43738" spans="20:21" ht="15" customHeight="1" x14ac:dyDescent="0.25">
      <c r="T43738" s="135"/>
      <c r="U43738" s="135"/>
    </row>
    <row r="43739" spans="20:21" ht="15" customHeight="1" x14ac:dyDescent="0.25">
      <c r="T43739" s="135"/>
      <c r="U43739" s="135"/>
    </row>
    <row r="43740" spans="20:21" ht="15" customHeight="1" x14ac:dyDescent="0.25">
      <c r="T43740" s="135"/>
      <c r="U43740" s="135"/>
    </row>
    <row r="43741" spans="20:21" ht="15" customHeight="1" x14ac:dyDescent="0.25">
      <c r="T43741" s="135"/>
      <c r="U43741" s="135"/>
    </row>
    <row r="43742" spans="20:21" ht="15" customHeight="1" x14ac:dyDescent="0.25">
      <c r="T43742" s="135"/>
      <c r="U43742" s="135"/>
    </row>
    <row r="43743" spans="20:21" ht="15" customHeight="1" x14ac:dyDescent="0.25">
      <c r="T43743" s="135"/>
      <c r="U43743" s="135"/>
    </row>
    <row r="43744" spans="20:21" ht="15" customHeight="1" x14ac:dyDescent="0.25">
      <c r="T43744" s="135"/>
      <c r="U43744" s="135"/>
    </row>
    <row r="43745" spans="20:21" ht="15" customHeight="1" x14ac:dyDescent="0.25">
      <c r="T43745" s="135"/>
      <c r="U43745" s="135"/>
    </row>
    <row r="43746" spans="20:21" ht="15" customHeight="1" x14ac:dyDescent="0.25">
      <c r="T43746" s="135"/>
      <c r="U43746" s="135"/>
    </row>
    <row r="43747" spans="20:21" ht="15" customHeight="1" x14ac:dyDescent="0.25">
      <c r="T43747" s="135"/>
      <c r="U43747" s="135"/>
    </row>
    <row r="43748" spans="20:21" ht="15" customHeight="1" x14ac:dyDescent="0.25">
      <c r="T43748" s="135"/>
      <c r="U43748" s="135"/>
    </row>
    <row r="43749" spans="20:21" ht="15" customHeight="1" x14ac:dyDescent="0.25">
      <c r="T43749" s="135"/>
      <c r="U43749" s="135"/>
    </row>
    <row r="43750" spans="20:21" ht="15" customHeight="1" x14ac:dyDescent="0.25">
      <c r="T43750" s="135"/>
      <c r="U43750" s="135"/>
    </row>
    <row r="43751" spans="20:21" ht="15" customHeight="1" x14ac:dyDescent="0.25">
      <c r="T43751" s="135"/>
      <c r="U43751" s="135"/>
    </row>
    <row r="43752" spans="20:21" ht="15" customHeight="1" x14ac:dyDescent="0.25">
      <c r="T43752" s="135"/>
      <c r="U43752" s="135"/>
    </row>
    <row r="43753" spans="20:21" ht="15" customHeight="1" x14ac:dyDescent="0.25">
      <c r="T43753" s="135"/>
      <c r="U43753" s="135"/>
    </row>
    <row r="43754" spans="20:21" ht="15" customHeight="1" x14ac:dyDescent="0.25">
      <c r="T43754" s="135"/>
      <c r="U43754" s="135"/>
    </row>
    <row r="43755" spans="20:21" ht="15" customHeight="1" x14ac:dyDescent="0.25">
      <c r="T43755" s="135"/>
      <c r="U43755" s="135"/>
    </row>
    <row r="43756" spans="20:21" ht="15" customHeight="1" x14ac:dyDescent="0.25">
      <c r="T43756" s="135"/>
      <c r="U43756" s="135"/>
    </row>
    <row r="43757" spans="20:21" ht="15" customHeight="1" x14ac:dyDescent="0.25">
      <c r="T43757" s="135"/>
      <c r="U43757" s="135"/>
    </row>
    <row r="43758" spans="20:21" ht="15" customHeight="1" x14ac:dyDescent="0.25">
      <c r="T43758" s="135"/>
      <c r="U43758" s="135"/>
    </row>
    <row r="43759" spans="20:21" ht="15" customHeight="1" x14ac:dyDescent="0.25">
      <c r="T43759" s="135"/>
      <c r="U43759" s="135"/>
    </row>
    <row r="43760" spans="20:21" ht="15" customHeight="1" x14ac:dyDescent="0.25">
      <c r="T43760" s="135"/>
      <c r="U43760" s="135"/>
    </row>
    <row r="43761" spans="20:21" ht="15" customHeight="1" x14ac:dyDescent="0.25">
      <c r="T43761" s="135"/>
      <c r="U43761" s="135"/>
    </row>
    <row r="43762" spans="20:21" ht="15" customHeight="1" x14ac:dyDescent="0.25">
      <c r="T43762" s="135"/>
      <c r="U43762" s="135"/>
    </row>
    <row r="43763" spans="20:21" ht="15" customHeight="1" x14ac:dyDescent="0.25">
      <c r="T43763" s="135"/>
      <c r="U43763" s="135"/>
    </row>
    <row r="43764" spans="20:21" ht="15" customHeight="1" x14ac:dyDescent="0.25">
      <c r="T43764" s="135"/>
      <c r="U43764" s="135"/>
    </row>
    <row r="43765" spans="20:21" ht="15" customHeight="1" x14ac:dyDescent="0.25">
      <c r="T43765" s="135"/>
      <c r="U43765" s="135"/>
    </row>
    <row r="43766" spans="20:21" ht="15" customHeight="1" x14ac:dyDescent="0.25">
      <c r="T43766" s="135"/>
      <c r="U43766" s="135"/>
    </row>
    <row r="43767" spans="20:21" ht="15" customHeight="1" x14ac:dyDescent="0.25">
      <c r="T43767" s="135"/>
      <c r="U43767" s="135"/>
    </row>
    <row r="43768" spans="20:21" ht="15" customHeight="1" x14ac:dyDescent="0.25">
      <c r="T43768" s="135"/>
      <c r="U43768" s="135"/>
    </row>
    <row r="43769" spans="20:21" ht="15" customHeight="1" x14ac:dyDescent="0.25">
      <c r="T43769" s="135"/>
      <c r="U43769" s="135"/>
    </row>
    <row r="43770" spans="20:21" ht="15" customHeight="1" x14ac:dyDescent="0.25">
      <c r="T43770" s="135"/>
      <c r="U43770" s="135"/>
    </row>
    <row r="43771" spans="20:21" ht="15" customHeight="1" x14ac:dyDescent="0.25">
      <c r="T43771" s="135"/>
      <c r="U43771" s="135"/>
    </row>
    <row r="43772" spans="20:21" ht="15" customHeight="1" x14ac:dyDescent="0.25">
      <c r="T43772" s="135"/>
      <c r="U43772" s="135"/>
    </row>
    <row r="43773" spans="20:21" ht="15" customHeight="1" x14ac:dyDescent="0.25">
      <c r="T43773" s="135"/>
      <c r="U43773" s="135"/>
    </row>
    <row r="43774" spans="20:21" ht="15" customHeight="1" x14ac:dyDescent="0.25">
      <c r="T43774" s="135"/>
      <c r="U43774" s="135"/>
    </row>
    <row r="43775" spans="20:21" ht="15" customHeight="1" x14ac:dyDescent="0.25">
      <c r="T43775" s="135"/>
      <c r="U43775" s="135"/>
    </row>
    <row r="43776" spans="20:21" ht="15" customHeight="1" x14ac:dyDescent="0.25">
      <c r="T43776" s="135"/>
      <c r="U43776" s="135"/>
    </row>
    <row r="43777" spans="20:21" ht="15" customHeight="1" x14ac:dyDescent="0.25">
      <c r="T43777" s="135"/>
      <c r="U43777" s="135"/>
    </row>
    <row r="43778" spans="20:21" ht="15" customHeight="1" x14ac:dyDescent="0.25">
      <c r="T43778" s="135"/>
      <c r="U43778" s="135"/>
    </row>
    <row r="43779" spans="20:21" ht="15" customHeight="1" x14ac:dyDescent="0.25">
      <c r="T43779" s="135"/>
      <c r="U43779" s="135"/>
    </row>
    <row r="43780" spans="20:21" ht="15" customHeight="1" x14ac:dyDescent="0.25">
      <c r="T43780" s="135"/>
      <c r="U43780" s="135"/>
    </row>
    <row r="43781" spans="20:21" ht="15" customHeight="1" x14ac:dyDescent="0.25">
      <c r="T43781" s="135"/>
      <c r="U43781" s="135"/>
    </row>
    <row r="43782" spans="20:21" ht="15" customHeight="1" x14ac:dyDescent="0.25">
      <c r="T43782" s="135"/>
      <c r="U43782" s="135"/>
    </row>
    <row r="43783" spans="20:21" ht="15" customHeight="1" x14ac:dyDescent="0.25">
      <c r="T43783" s="135"/>
      <c r="U43783" s="135"/>
    </row>
    <row r="43784" spans="20:21" ht="15" customHeight="1" x14ac:dyDescent="0.25">
      <c r="T43784" s="135"/>
      <c r="U43784" s="135"/>
    </row>
    <row r="43785" spans="20:21" ht="15" customHeight="1" x14ac:dyDescent="0.25">
      <c r="T43785" s="135"/>
      <c r="U43785" s="135"/>
    </row>
    <row r="43786" spans="20:21" ht="15" customHeight="1" x14ac:dyDescent="0.25">
      <c r="T43786" s="135"/>
      <c r="U43786" s="135"/>
    </row>
    <row r="43787" spans="20:21" ht="15" customHeight="1" x14ac:dyDescent="0.25">
      <c r="T43787" s="135"/>
      <c r="U43787" s="135"/>
    </row>
    <row r="43788" spans="20:21" ht="15" customHeight="1" x14ac:dyDescent="0.25">
      <c r="T43788" s="135"/>
      <c r="U43788" s="135"/>
    </row>
    <row r="43789" spans="20:21" ht="15" customHeight="1" x14ac:dyDescent="0.25">
      <c r="T43789" s="135"/>
      <c r="U43789" s="135"/>
    </row>
    <row r="43790" spans="20:21" ht="15" customHeight="1" x14ac:dyDescent="0.25">
      <c r="T43790" s="135"/>
      <c r="U43790" s="135"/>
    </row>
    <row r="43791" spans="20:21" ht="15" customHeight="1" x14ac:dyDescent="0.25">
      <c r="T43791" s="135"/>
      <c r="U43791" s="135"/>
    </row>
    <row r="43792" spans="20:21" ht="15" customHeight="1" x14ac:dyDescent="0.25">
      <c r="T43792" s="135"/>
      <c r="U43792" s="135"/>
    </row>
    <row r="43793" spans="20:21" ht="15" customHeight="1" x14ac:dyDescent="0.25">
      <c r="T43793" s="135"/>
      <c r="U43793" s="135"/>
    </row>
    <row r="43794" spans="20:21" ht="15" customHeight="1" x14ac:dyDescent="0.25">
      <c r="T43794" s="135"/>
      <c r="U43794" s="135"/>
    </row>
    <row r="43795" spans="20:21" ht="15" customHeight="1" x14ac:dyDescent="0.25">
      <c r="T43795" s="135"/>
      <c r="U43795" s="135"/>
    </row>
    <row r="43796" spans="20:21" ht="15" customHeight="1" x14ac:dyDescent="0.25">
      <c r="T43796" s="135"/>
      <c r="U43796" s="135"/>
    </row>
    <row r="43797" spans="20:21" ht="15" customHeight="1" x14ac:dyDescent="0.25">
      <c r="T43797" s="135"/>
      <c r="U43797" s="135"/>
    </row>
    <row r="43798" spans="20:21" ht="15" customHeight="1" x14ac:dyDescent="0.25">
      <c r="T43798" s="135"/>
      <c r="U43798" s="135"/>
    </row>
    <row r="43799" spans="20:21" ht="15" customHeight="1" x14ac:dyDescent="0.25">
      <c r="T43799" s="135"/>
      <c r="U43799" s="135"/>
    </row>
    <row r="43800" spans="20:21" ht="15" customHeight="1" x14ac:dyDescent="0.25">
      <c r="T43800" s="135"/>
      <c r="U43800" s="135"/>
    </row>
    <row r="43801" spans="20:21" ht="15" customHeight="1" x14ac:dyDescent="0.25">
      <c r="T43801" s="135"/>
      <c r="U43801" s="135"/>
    </row>
    <row r="43802" spans="20:21" ht="15" customHeight="1" x14ac:dyDescent="0.25">
      <c r="T43802" s="135"/>
      <c r="U43802" s="135"/>
    </row>
    <row r="43803" spans="20:21" ht="15" customHeight="1" x14ac:dyDescent="0.25">
      <c r="T43803" s="135"/>
      <c r="U43803" s="135"/>
    </row>
    <row r="43804" spans="20:21" ht="15" customHeight="1" x14ac:dyDescent="0.25">
      <c r="T43804" s="135"/>
      <c r="U43804" s="135"/>
    </row>
    <row r="43805" spans="20:21" ht="15" customHeight="1" x14ac:dyDescent="0.25">
      <c r="T43805" s="135"/>
      <c r="U43805" s="135"/>
    </row>
    <row r="43806" spans="20:21" ht="15" customHeight="1" x14ac:dyDescent="0.25">
      <c r="T43806" s="135"/>
      <c r="U43806" s="135"/>
    </row>
    <row r="43807" spans="20:21" ht="15" customHeight="1" x14ac:dyDescent="0.25">
      <c r="T43807" s="135"/>
      <c r="U43807" s="135"/>
    </row>
    <row r="43808" spans="20:21" ht="15" customHeight="1" x14ac:dyDescent="0.25">
      <c r="T43808" s="135"/>
      <c r="U43808" s="135"/>
    </row>
    <row r="43809" spans="20:21" ht="15" customHeight="1" x14ac:dyDescent="0.25">
      <c r="T43809" s="135"/>
      <c r="U43809" s="135"/>
    </row>
    <row r="43810" spans="20:21" ht="15" customHeight="1" x14ac:dyDescent="0.25">
      <c r="T43810" s="135"/>
      <c r="U43810" s="135"/>
    </row>
    <row r="43811" spans="20:21" ht="15" customHeight="1" x14ac:dyDescent="0.25">
      <c r="T43811" s="135"/>
      <c r="U43811" s="135"/>
    </row>
    <row r="43812" spans="20:21" ht="15" customHeight="1" x14ac:dyDescent="0.25">
      <c r="T43812" s="135"/>
      <c r="U43812" s="135"/>
    </row>
    <row r="43813" spans="20:21" ht="15" customHeight="1" x14ac:dyDescent="0.25">
      <c r="T43813" s="135"/>
      <c r="U43813" s="135"/>
    </row>
    <row r="43814" spans="20:21" ht="15" customHeight="1" x14ac:dyDescent="0.25">
      <c r="T43814" s="135"/>
      <c r="U43814" s="135"/>
    </row>
    <row r="43815" spans="20:21" ht="15" customHeight="1" x14ac:dyDescent="0.25">
      <c r="T43815" s="135"/>
      <c r="U43815" s="135"/>
    </row>
    <row r="43816" spans="20:21" ht="15" customHeight="1" x14ac:dyDescent="0.25">
      <c r="T43816" s="135"/>
      <c r="U43816" s="135"/>
    </row>
    <row r="43817" spans="20:21" ht="15" customHeight="1" x14ac:dyDescent="0.25">
      <c r="T43817" s="135"/>
      <c r="U43817" s="135"/>
    </row>
    <row r="43818" spans="20:21" ht="15" customHeight="1" x14ac:dyDescent="0.25">
      <c r="T43818" s="135"/>
      <c r="U43818" s="135"/>
    </row>
    <row r="43819" spans="20:21" ht="15" customHeight="1" x14ac:dyDescent="0.25">
      <c r="T43819" s="135"/>
      <c r="U43819" s="135"/>
    </row>
    <row r="43820" spans="20:21" ht="15" customHeight="1" x14ac:dyDescent="0.25">
      <c r="T43820" s="135"/>
      <c r="U43820" s="135"/>
    </row>
    <row r="43821" spans="20:21" ht="15" customHeight="1" x14ac:dyDescent="0.25">
      <c r="T43821" s="135"/>
      <c r="U43821" s="135"/>
    </row>
    <row r="43822" spans="20:21" ht="15" customHeight="1" x14ac:dyDescent="0.25">
      <c r="T43822" s="135"/>
      <c r="U43822" s="135"/>
    </row>
    <row r="43823" spans="20:21" ht="15" customHeight="1" x14ac:dyDescent="0.25">
      <c r="T43823" s="135"/>
      <c r="U43823" s="135"/>
    </row>
    <row r="43824" spans="20:21" ht="15" customHeight="1" x14ac:dyDescent="0.25">
      <c r="T43824" s="135"/>
      <c r="U43824" s="135"/>
    </row>
    <row r="43825" spans="20:21" ht="15" customHeight="1" x14ac:dyDescent="0.25">
      <c r="T43825" s="135"/>
      <c r="U43825" s="135"/>
    </row>
    <row r="43826" spans="20:21" ht="15" customHeight="1" x14ac:dyDescent="0.25">
      <c r="T43826" s="135"/>
      <c r="U43826" s="135"/>
    </row>
    <row r="43827" spans="20:21" ht="15" customHeight="1" x14ac:dyDescent="0.25">
      <c r="T43827" s="135"/>
      <c r="U43827" s="135"/>
    </row>
    <row r="43828" spans="20:21" ht="15" customHeight="1" x14ac:dyDescent="0.25">
      <c r="T43828" s="135"/>
      <c r="U43828" s="135"/>
    </row>
    <row r="43829" spans="20:21" ht="15" customHeight="1" x14ac:dyDescent="0.25">
      <c r="T43829" s="135"/>
      <c r="U43829" s="135"/>
    </row>
    <row r="43830" spans="20:21" ht="15" customHeight="1" x14ac:dyDescent="0.25">
      <c r="T43830" s="135"/>
      <c r="U43830" s="135"/>
    </row>
    <row r="43831" spans="20:21" ht="15" customHeight="1" x14ac:dyDescent="0.25">
      <c r="T43831" s="135"/>
      <c r="U43831" s="135"/>
    </row>
    <row r="43832" spans="20:21" ht="15" customHeight="1" x14ac:dyDescent="0.25">
      <c r="T43832" s="135"/>
      <c r="U43832" s="135"/>
    </row>
    <row r="43833" spans="20:21" ht="15" customHeight="1" x14ac:dyDescent="0.25">
      <c r="T43833" s="135"/>
      <c r="U43833" s="135"/>
    </row>
    <row r="43834" spans="20:21" ht="15" customHeight="1" x14ac:dyDescent="0.25">
      <c r="T43834" s="135"/>
      <c r="U43834" s="135"/>
    </row>
    <row r="43835" spans="20:21" ht="15" customHeight="1" x14ac:dyDescent="0.25">
      <c r="T43835" s="135"/>
      <c r="U43835" s="135"/>
    </row>
    <row r="43836" spans="20:21" ht="15" customHeight="1" x14ac:dyDescent="0.25">
      <c r="T43836" s="135"/>
      <c r="U43836" s="135"/>
    </row>
    <row r="43837" spans="20:21" ht="15" customHeight="1" x14ac:dyDescent="0.25">
      <c r="T43837" s="135"/>
      <c r="U43837" s="135"/>
    </row>
    <row r="43838" spans="20:21" ht="15" customHeight="1" x14ac:dyDescent="0.25">
      <c r="T43838" s="135"/>
      <c r="U43838" s="135"/>
    </row>
    <row r="43839" spans="20:21" ht="15" customHeight="1" x14ac:dyDescent="0.25">
      <c r="T43839" s="135"/>
      <c r="U43839" s="135"/>
    </row>
    <row r="43840" spans="20:21" ht="15" customHeight="1" x14ac:dyDescent="0.25">
      <c r="T43840" s="135"/>
      <c r="U43840" s="135"/>
    </row>
    <row r="43841" spans="20:21" ht="15" customHeight="1" x14ac:dyDescent="0.25">
      <c r="T43841" s="135"/>
      <c r="U43841" s="135"/>
    </row>
    <row r="43842" spans="20:21" ht="15" customHeight="1" x14ac:dyDescent="0.25">
      <c r="T43842" s="135"/>
      <c r="U43842" s="135"/>
    </row>
    <row r="43843" spans="20:21" ht="15" customHeight="1" x14ac:dyDescent="0.25">
      <c r="T43843" s="135"/>
      <c r="U43843" s="135"/>
    </row>
    <row r="43844" spans="20:21" ht="15" customHeight="1" x14ac:dyDescent="0.25">
      <c r="T43844" s="135"/>
      <c r="U43844" s="135"/>
    </row>
    <row r="43845" spans="20:21" ht="15" customHeight="1" x14ac:dyDescent="0.25">
      <c r="T43845" s="135"/>
      <c r="U43845" s="135"/>
    </row>
    <row r="43846" spans="20:21" ht="15" customHeight="1" x14ac:dyDescent="0.25">
      <c r="T43846" s="135"/>
      <c r="U43846" s="135"/>
    </row>
    <row r="43847" spans="20:21" ht="15" customHeight="1" x14ac:dyDescent="0.25">
      <c r="T43847" s="135"/>
      <c r="U43847" s="135"/>
    </row>
    <row r="43848" spans="20:21" ht="15" customHeight="1" x14ac:dyDescent="0.25">
      <c r="T43848" s="135"/>
      <c r="U43848" s="135"/>
    </row>
    <row r="43849" spans="20:21" ht="15" customHeight="1" x14ac:dyDescent="0.25">
      <c r="T43849" s="135"/>
      <c r="U43849" s="135"/>
    </row>
    <row r="43850" spans="20:21" ht="15" customHeight="1" x14ac:dyDescent="0.25">
      <c r="T43850" s="135"/>
      <c r="U43850" s="135"/>
    </row>
    <row r="43851" spans="20:21" ht="15" customHeight="1" x14ac:dyDescent="0.25">
      <c r="T43851" s="135"/>
      <c r="U43851" s="135"/>
    </row>
    <row r="43852" spans="20:21" ht="15" customHeight="1" x14ac:dyDescent="0.25">
      <c r="T43852" s="135"/>
      <c r="U43852" s="135"/>
    </row>
    <row r="43853" spans="20:21" ht="15" customHeight="1" x14ac:dyDescent="0.25">
      <c r="T43853" s="135"/>
      <c r="U43853" s="135"/>
    </row>
    <row r="43854" spans="20:21" ht="15" customHeight="1" x14ac:dyDescent="0.25">
      <c r="T43854" s="135"/>
      <c r="U43854" s="135"/>
    </row>
    <row r="43855" spans="20:21" ht="15" customHeight="1" x14ac:dyDescent="0.25">
      <c r="T43855" s="135"/>
      <c r="U43855" s="135"/>
    </row>
    <row r="43856" spans="20:21" ht="15" customHeight="1" x14ac:dyDescent="0.25">
      <c r="T43856" s="135"/>
      <c r="U43856" s="135"/>
    </row>
    <row r="43857" spans="20:21" ht="15" customHeight="1" x14ac:dyDescent="0.25">
      <c r="T43857" s="135"/>
      <c r="U43857" s="135"/>
    </row>
    <row r="43858" spans="20:21" ht="15" customHeight="1" x14ac:dyDescent="0.25">
      <c r="T43858" s="135"/>
      <c r="U43858" s="135"/>
    </row>
    <row r="43859" spans="20:21" ht="15" customHeight="1" x14ac:dyDescent="0.25">
      <c r="T43859" s="135"/>
      <c r="U43859" s="135"/>
    </row>
    <row r="43860" spans="20:21" ht="15" customHeight="1" x14ac:dyDescent="0.25">
      <c r="T43860" s="135"/>
      <c r="U43860" s="135"/>
    </row>
    <row r="43861" spans="20:21" ht="15" customHeight="1" x14ac:dyDescent="0.25">
      <c r="T43861" s="135"/>
      <c r="U43861" s="135"/>
    </row>
    <row r="43862" spans="20:21" ht="15" customHeight="1" x14ac:dyDescent="0.25">
      <c r="T43862" s="135"/>
      <c r="U43862" s="135"/>
    </row>
    <row r="43863" spans="20:21" ht="15" customHeight="1" x14ac:dyDescent="0.25">
      <c r="T43863" s="135"/>
      <c r="U43863" s="135"/>
    </row>
    <row r="43864" spans="20:21" ht="15" customHeight="1" x14ac:dyDescent="0.25">
      <c r="T43864" s="135"/>
      <c r="U43864" s="135"/>
    </row>
    <row r="43865" spans="20:21" ht="15" customHeight="1" x14ac:dyDescent="0.25">
      <c r="T43865" s="135"/>
      <c r="U43865" s="135"/>
    </row>
    <row r="43866" spans="20:21" ht="15" customHeight="1" x14ac:dyDescent="0.25">
      <c r="T43866" s="135"/>
      <c r="U43866" s="135"/>
    </row>
    <row r="43867" spans="20:21" ht="15" customHeight="1" x14ac:dyDescent="0.25">
      <c r="T43867" s="135"/>
      <c r="U43867" s="135"/>
    </row>
    <row r="43868" spans="20:21" ht="15" customHeight="1" x14ac:dyDescent="0.25">
      <c r="T43868" s="135"/>
      <c r="U43868" s="135"/>
    </row>
    <row r="43869" spans="20:21" ht="15" customHeight="1" x14ac:dyDescent="0.25">
      <c r="T43869" s="135"/>
      <c r="U43869" s="135"/>
    </row>
    <row r="43870" spans="20:21" ht="15" customHeight="1" x14ac:dyDescent="0.25">
      <c r="T43870" s="135"/>
      <c r="U43870" s="135"/>
    </row>
    <row r="43871" spans="20:21" ht="15" customHeight="1" x14ac:dyDescent="0.25">
      <c r="T43871" s="135"/>
      <c r="U43871" s="135"/>
    </row>
    <row r="43872" spans="20:21" ht="15" customHeight="1" x14ac:dyDescent="0.25">
      <c r="T43872" s="135"/>
      <c r="U43872" s="135"/>
    </row>
    <row r="43873" spans="20:21" ht="15" customHeight="1" x14ac:dyDescent="0.25">
      <c r="T43873" s="135"/>
      <c r="U43873" s="135"/>
    </row>
    <row r="43874" spans="20:21" ht="15" customHeight="1" x14ac:dyDescent="0.25">
      <c r="T43874" s="135"/>
      <c r="U43874" s="135"/>
    </row>
    <row r="43875" spans="20:21" ht="15" customHeight="1" x14ac:dyDescent="0.25">
      <c r="T43875" s="135"/>
      <c r="U43875" s="135"/>
    </row>
    <row r="43876" spans="20:21" ht="15" customHeight="1" x14ac:dyDescent="0.25">
      <c r="T43876" s="135"/>
      <c r="U43876" s="135"/>
    </row>
    <row r="43877" spans="20:21" ht="15" customHeight="1" x14ac:dyDescent="0.25">
      <c r="T43877" s="135"/>
      <c r="U43877" s="135"/>
    </row>
    <row r="43878" spans="20:21" ht="15" customHeight="1" x14ac:dyDescent="0.25">
      <c r="T43878" s="135"/>
      <c r="U43878" s="135"/>
    </row>
    <row r="43879" spans="20:21" ht="15" customHeight="1" x14ac:dyDescent="0.25">
      <c r="T43879" s="135"/>
      <c r="U43879" s="135"/>
    </row>
    <row r="43880" spans="20:21" ht="15" customHeight="1" x14ac:dyDescent="0.25">
      <c r="T43880" s="135"/>
      <c r="U43880" s="135"/>
    </row>
    <row r="43881" spans="20:21" ht="15" customHeight="1" x14ac:dyDescent="0.25">
      <c r="T43881" s="135"/>
      <c r="U43881" s="135"/>
    </row>
    <row r="43882" spans="20:21" ht="15" customHeight="1" x14ac:dyDescent="0.25">
      <c r="T43882" s="135"/>
      <c r="U43882" s="135"/>
    </row>
    <row r="43883" spans="20:21" ht="15" customHeight="1" x14ac:dyDescent="0.25">
      <c r="T43883" s="135"/>
      <c r="U43883" s="135"/>
    </row>
    <row r="43884" spans="20:21" ht="15" customHeight="1" x14ac:dyDescent="0.25">
      <c r="T43884" s="135"/>
      <c r="U43884" s="135"/>
    </row>
    <row r="43885" spans="20:21" ht="15" customHeight="1" x14ac:dyDescent="0.25">
      <c r="T43885" s="135"/>
      <c r="U43885" s="135"/>
    </row>
    <row r="43886" spans="20:21" ht="15" customHeight="1" x14ac:dyDescent="0.25">
      <c r="T43886" s="135"/>
      <c r="U43886" s="135"/>
    </row>
    <row r="43887" spans="20:21" ht="15" customHeight="1" x14ac:dyDescent="0.25">
      <c r="T43887" s="135"/>
      <c r="U43887" s="135"/>
    </row>
    <row r="43888" spans="20:21" ht="15" customHeight="1" x14ac:dyDescent="0.25">
      <c r="T43888" s="135"/>
      <c r="U43888" s="135"/>
    </row>
    <row r="43889" spans="20:21" ht="15" customHeight="1" x14ac:dyDescent="0.25">
      <c r="T43889" s="135"/>
      <c r="U43889" s="135"/>
    </row>
    <row r="43890" spans="20:21" ht="15" customHeight="1" x14ac:dyDescent="0.25">
      <c r="T43890" s="135"/>
      <c r="U43890" s="135"/>
    </row>
    <row r="43891" spans="20:21" ht="15" customHeight="1" x14ac:dyDescent="0.25">
      <c r="T43891" s="135"/>
      <c r="U43891" s="135"/>
    </row>
    <row r="43892" spans="20:21" ht="15" customHeight="1" x14ac:dyDescent="0.25">
      <c r="T43892" s="135"/>
      <c r="U43892" s="135"/>
    </row>
    <row r="43893" spans="20:21" ht="15" customHeight="1" x14ac:dyDescent="0.25">
      <c r="T43893" s="135"/>
      <c r="U43893" s="135"/>
    </row>
    <row r="43894" spans="20:21" ht="15" customHeight="1" x14ac:dyDescent="0.25">
      <c r="T43894" s="135"/>
      <c r="U43894" s="135"/>
    </row>
    <row r="43895" spans="20:21" ht="15" customHeight="1" x14ac:dyDescent="0.25">
      <c r="T43895" s="135"/>
      <c r="U43895" s="135"/>
    </row>
    <row r="43896" spans="20:21" ht="15" customHeight="1" x14ac:dyDescent="0.25">
      <c r="T43896" s="135"/>
      <c r="U43896" s="135"/>
    </row>
    <row r="43897" spans="20:21" ht="15" customHeight="1" x14ac:dyDescent="0.25">
      <c r="T43897" s="135"/>
      <c r="U43897" s="135"/>
    </row>
    <row r="43898" spans="20:21" ht="15" customHeight="1" x14ac:dyDescent="0.25">
      <c r="T43898" s="135"/>
      <c r="U43898" s="135"/>
    </row>
    <row r="43899" spans="20:21" ht="15" customHeight="1" x14ac:dyDescent="0.25">
      <c r="T43899" s="135"/>
      <c r="U43899" s="135"/>
    </row>
    <row r="43900" spans="20:21" ht="15" customHeight="1" x14ac:dyDescent="0.25">
      <c r="T43900" s="135"/>
      <c r="U43900" s="135"/>
    </row>
    <row r="43901" spans="20:21" ht="15" customHeight="1" x14ac:dyDescent="0.25">
      <c r="T43901" s="135"/>
      <c r="U43901" s="135"/>
    </row>
    <row r="43902" spans="20:21" ht="15" customHeight="1" x14ac:dyDescent="0.25">
      <c r="T43902" s="135"/>
      <c r="U43902" s="135"/>
    </row>
    <row r="43903" spans="20:21" ht="15" customHeight="1" x14ac:dyDescent="0.25">
      <c r="T43903" s="135"/>
      <c r="U43903" s="135"/>
    </row>
    <row r="43904" spans="20:21" ht="15" customHeight="1" x14ac:dyDescent="0.25">
      <c r="T43904" s="135"/>
      <c r="U43904" s="135"/>
    </row>
    <row r="43905" spans="20:21" ht="15" customHeight="1" x14ac:dyDescent="0.25">
      <c r="T43905" s="135"/>
      <c r="U43905" s="135"/>
    </row>
    <row r="43906" spans="20:21" ht="15" customHeight="1" x14ac:dyDescent="0.25">
      <c r="T43906" s="135"/>
      <c r="U43906" s="135"/>
    </row>
    <row r="43907" spans="20:21" ht="15" customHeight="1" x14ac:dyDescent="0.25">
      <c r="T43907" s="135"/>
      <c r="U43907" s="135"/>
    </row>
    <row r="43908" spans="20:21" ht="15" customHeight="1" x14ac:dyDescent="0.25">
      <c r="T43908" s="135"/>
      <c r="U43908" s="135"/>
    </row>
    <row r="43909" spans="20:21" ht="15" customHeight="1" x14ac:dyDescent="0.25">
      <c r="T43909" s="135"/>
      <c r="U43909" s="135"/>
    </row>
    <row r="43910" spans="20:21" ht="15" customHeight="1" x14ac:dyDescent="0.25">
      <c r="T43910" s="135"/>
      <c r="U43910" s="135"/>
    </row>
    <row r="43911" spans="20:21" ht="15" customHeight="1" x14ac:dyDescent="0.25">
      <c r="T43911" s="135"/>
      <c r="U43911" s="135"/>
    </row>
    <row r="43912" spans="20:21" ht="15" customHeight="1" x14ac:dyDescent="0.25">
      <c r="T43912" s="135"/>
      <c r="U43912" s="135"/>
    </row>
    <row r="43913" spans="20:21" ht="15" customHeight="1" x14ac:dyDescent="0.25">
      <c r="T43913" s="135"/>
      <c r="U43913" s="135"/>
    </row>
    <row r="43914" spans="20:21" ht="15" customHeight="1" x14ac:dyDescent="0.25">
      <c r="T43914" s="135"/>
      <c r="U43914" s="135"/>
    </row>
    <row r="43915" spans="20:21" ht="15" customHeight="1" x14ac:dyDescent="0.25">
      <c r="T43915" s="135"/>
      <c r="U43915" s="135"/>
    </row>
    <row r="43916" spans="20:21" ht="15" customHeight="1" x14ac:dyDescent="0.25">
      <c r="T43916" s="135"/>
      <c r="U43916" s="135"/>
    </row>
    <row r="43917" spans="20:21" ht="15" customHeight="1" x14ac:dyDescent="0.25">
      <c r="T43917" s="135"/>
      <c r="U43917" s="135"/>
    </row>
    <row r="43918" spans="20:21" ht="15" customHeight="1" x14ac:dyDescent="0.25">
      <c r="T43918" s="135"/>
      <c r="U43918" s="135"/>
    </row>
    <row r="43919" spans="20:21" ht="15" customHeight="1" x14ac:dyDescent="0.25">
      <c r="T43919" s="135"/>
      <c r="U43919" s="135"/>
    </row>
    <row r="43920" spans="20:21" ht="15" customHeight="1" x14ac:dyDescent="0.25">
      <c r="T43920" s="135"/>
      <c r="U43920" s="135"/>
    </row>
    <row r="43921" spans="20:21" ht="15" customHeight="1" x14ac:dyDescent="0.25">
      <c r="T43921" s="135"/>
      <c r="U43921" s="135"/>
    </row>
    <row r="43922" spans="20:21" ht="15" customHeight="1" x14ac:dyDescent="0.25">
      <c r="T43922" s="135"/>
      <c r="U43922" s="135"/>
    </row>
    <row r="43923" spans="20:21" ht="15" customHeight="1" x14ac:dyDescent="0.25">
      <c r="T43923" s="135"/>
      <c r="U43923" s="135"/>
    </row>
    <row r="43924" spans="20:21" ht="15" customHeight="1" x14ac:dyDescent="0.25">
      <c r="T43924" s="135"/>
      <c r="U43924" s="135"/>
    </row>
    <row r="43925" spans="20:21" ht="15" customHeight="1" x14ac:dyDescent="0.25">
      <c r="T43925" s="135"/>
      <c r="U43925" s="135"/>
    </row>
    <row r="43926" spans="20:21" ht="15" customHeight="1" x14ac:dyDescent="0.25">
      <c r="T43926" s="135"/>
      <c r="U43926" s="135"/>
    </row>
    <row r="43927" spans="20:21" ht="15" customHeight="1" x14ac:dyDescent="0.25">
      <c r="T43927" s="135"/>
      <c r="U43927" s="135"/>
    </row>
    <row r="43928" spans="20:21" ht="15" customHeight="1" x14ac:dyDescent="0.25">
      <c r="T43928" s="135"/>
      <c r="U43928" s="135"/>
    </row>
    <row r="43929" spans="20:21" ht="15" customHeight="1" x14ac:dyDescent="0.25">
      <c r="T43929" s="135"/>
      <c r="U43929" s="135"/>
    </row>
    <row r="43930" spans="20:21" ht="15" customHeight="1" x14ac:dyDescent="0.25">
      <c r="T43930" s="135"/>
      <c r="U43930" s="135"/>
    </row>
    <row r="43931" spans="20:21" ht="15" customHeight="1" x14ac:dyDescent="0.25">
      <c r="T43931" s="135"/>
      <c r="U43931" s="135"/>
    </row>
    <row r="43932" spans="20:21" ht="15" customHeight="1" x14ac:dyDescent="0.25">
      <c r="T43932" s="135"/>
      <c r="U43932" s="135"/>
    </row>
    <row r="43933" spans="20:21" ht="15" customHeight="1" x14ac:dyDescent="0.25">
      <c r="T43933" s="135"/>
      <c r="U43933" s="135"/>
    </row>
    <row r="43934" spans="20:21" ht="15" customHeight="1" x14ac:dyDescent="0.25">
      <c r="T43934" s="135"/>
      <c r="U43934" s="135"/>
    </row>
    <row r="43935" spans="20:21" ht="15" customHeight="1" x14ac:dyDescent="0.25">
      <c r="T43935" s="135"/>
      <c r="U43935" s="135"/>
    </row>
    <row r="43936" spans="20:21" ht="15" customHeight="1" x14ac:dyDescent="0.25">
      <c r="T43936" s="135"/>
      <c r="U43936" s="135"/>
    </row>
    <row r="43937" spans="20:21" ht="15" customHeight="1" x14ac:dyDescent="0.25">
      <c r="T43937" s="135"/>
      <c r="U43937" s="135"/>
    </row>
    <row r="43938" spans="20:21" ht="15" customHeight="1" x14ac:dyDescent="0.25">
      <c r="T43938" s="135"/>
      <c r="U43938" s="135"/>
    </row>
    <row r="43939" spans="20:21" ht="15" customHeight="1" x14ac:dyDescent="0.25">
      <c r="T43939" s="135"/>
      <c r="U43939" s="135"/>
    </row>
    <row r="43940" spans="20:21" ht="15" customHeight="1" x14ac:dyDescent="0.25">
      <c r="T43940" s="135"/>
      <c r="U43940" s="135"/>
    </row>
    <row r="43941" spans="20:21" ht="15" customHeight="1" x14ac:dyDescent="0.25">
      <c r="T43941" s="135"/>
      <c r="U43941" s="135"/>
    </row>
    <row r="43942" spans="20:21" ht="15" customHeight="1" x14ac:dyDescent="0.25">
      <c r="T43942" s="135"/>
      <c r="U43942" s="135"/>
    </row>
    <row r="43943" spans="20:21" ht="15" customHeight="1" x14ac:dyDescent="0.25">
      <c r="T43943" s="135"/>
      <c r="U43943" s="135"/>
    </row>
    <row r="43944" spans="20:21" ht="15" customHeight="1" x14ac:dyDescent="0.25">
      <c r="T43944" s="135"/>
      <c r="U43944" s="135"/>
    </row>
    <row r="43945" spans="20:21" ht="15" customHeight="1" x14ac:dyDescent="0.25">
      <c r="T43945" s="135"/>
      <c r="U43945" s="135"/>
    </row>
    <row r="43946" spans="20:21" ht="15" customHeight="1" x14ac:dyDescent="0.25">
      <c r="T43946" s="135"/>
      <c r="U43946" s="135"/>
    </row>
    <row r="43947" spans="20:21" ht="15" customHeight="1" x14ac:dyDescent="0.25">
      <c r="T43947" s="135"/>
      <c r="U43947" s="135"/>
    </row>
    <row r="43948" spans="20:21" ht="15" customHeight="1" x14ac:dyDescent="0.25">
      <c r="T43948" s="135"/>
      <c r="U43948" s="135"/>
    </row>
    <row r="43949" spans="20:21" ht="15" customHeight="1" x14ac:dyDescent="0.25">
      <c r="T43949" s="135"/>
      <c r="U43949" s="135"/>
    </row>
    <row r="43950" spans="20:21" ht="15" customHeight="1" x14ac:dyDescent="0.25">
      <c r="T43950" s="135"/>
      <c r="U43950" s="135"/>
    </row>
    <row r="43951" spans="20:21" ht="15" customHeight="1" x14ac:dyDescent="0.25">
      <c r="T43951" s="135"/>
      <c r="U43951" s="135"/>
    </row>
    <row r="43952" spans="20:21" ht="15" customHeight="1" x14ac:dyDescent="0.25">
      <c r="T43952" s="135"/>
      <c r="U43952" s="135"/>
    </row>
    <row r="43953" spans="20:21" ht="15" customHeight="1" x14ac:dyDescent="0.25">
      <c r="T43953" s="135"/>
      <c r="U43953" s="135"/>
    </row>
    <row r="43954" spans="20:21" ht="15" customHeight="1" x14ac:dyDescent="0.25">
      <c r="T43954" s="135"/>
      <c r="U43954" s="135"/>
    </row>
    <row r="43955" spans="20:21" ht="15" customHeight="1" x14ac:dyDescent="0.25">
      <c r="T43955" s="135"/>
      <c r="U43955" s="135"/>
    </row>
    <row r="43956" spans="20:21" ht="15" customHeight="1" x14ac:dyDescent="0.25">
      <c r="T43956" s="135"/>
      <c r="U43956" s="135"/>
    </row>
    <row r="43957" spans="20:21" ht="15" customHeight="1" x14ac:dyDescent="0.25">
      <c r="T43957" s="135"/>
      <c r="U43957" s="135"/>
    </row>
    <row r="43958" spans="20:21" ht="15" customHeight="1" x14ac:dyDescent="0.25">
      <c r="T43958" s="135"/>
      <c r="U43958" s="135"/>
    </row>
    <row r="43959" spans="20:21" ht="15" customHeight="1" x14ac:dyDescent="0.25">
      <c r="T43959" s="135"/>
      <c r="U43959" s="135"/>
    </row>
    <row r="43960" spans="20:21" ht="15" customHeight="1" x14ac:dyDescent="0.25">
      <c r="T43960" s="135"/>
      <c r="U43960" s="135"/>
    </row>
    <row r="43961" spans="20:21" ht="15" customHeight="1" x14ac:dyDescent="0.25">
      <c r="T43961" s="135"/>
      <c r="U43961" s="135"/>
    </row>
    <row r="43962" spans="20:21" ht="15" customHeight="1" x14ac:dyDescent="0.25">
      <c r="T43962" s="135"/>
      <c r="U43962" s="135"/>
    </row>
    <row r="43963" spans="20:21" ht="15" customHeight="1" x14ac:dyDescent="0.25">
      <c r="T43963" s="135"/>
      <c r="U43963" s="135"/>
    </row>
    <row r="43964" spans="20:21" ht="15" customHeight="1" x14ac:dyDescent="0.25">
      <c r="T43964" s="135"/>
      <c r="U43964" s="135"/>
    </row>
    <row r="43965" spans="20:21" ht="15" customHeight="1" x14ac:dyDescent="0.25">
      <c r="T43965" s="135"/>
      <c r="U43965" s="135"/>
    </row>
    <row r="43966" spans="20:21" ht="15" customHeight="1" x14ac:dyDescent="0.25">
      <c r="T43966" s="135"/>
      <c r="U43966" s="135"/>
    </row>
    <row r="43967" spans="20:21" ht="15" customHeight="1" x14ac:dyDescent="0.25">
      <c r="T43967" s="135"/>
      <c r="U43967" s="135"/>
    </row>
    <row r="43968" spans="20:21" ht="15" customHeight="1" x14ac:dyDescent="0.25">
      <c r="T43968" s="135"/>
      <c r="U43968" s="135"/>
    </row>
    <row r="43969" spans="20:21" ht="15" customHeight="1" x14ac:dyDescent="0.25">
      <c r="T43969" s="135"/>
      <c r="U43969" s="135"/>
    </row>
    <row r="43970" spans="20:21" ht="15" customHeight="1" x14ac:dyDescent="0.25">
      <c r="T43970" s="135"/>
      <c r="U43970" s="135"/>
    </row>
    <row r="43971" spans="20:21" ht="15" customHeight="1" x14ac:dyDescent="0.25">
      <c r="T43971" s="135"/>
      <c r="U43971" s="135"/>
    </row>
    <row r="43972" spans="20:21" ht="15" customHeight="1" x14ac:dyDescent="0.25">
      <c r="T43972" s="135"/>
      <c r="U43972" s="135"/>
    </row>
    <row r="43973" spans="20:21" ht="15" customHeight="1" x14ac:dyDescent="0.25">
      <c r="T43973" s="135"/>
      <c r="U43973" s="135"/>
    </row>
    <row r="43974" spans="20:21" ht="15" customHeight="1" x14ac:dyDescent="0.25">
      <c r="T43974" s="135"/>
      <c r="U43974" s="135"/>
    </row>
    <row r="43975" spans="20:21" ht="15" customHeight="1" x14ac:dyDescent="0.25">
      <c r="T43975" s="135"/>
      <c r="U43975" s="135"/>
    </row>
    <row r="43976" spans="20:21" ht="15" customHeight="1" x14ac:dyDescent="0.25">
      <c r="T43976" s="135"/>
      <c r="U43976" s="135"/>
    </row>
    <row r="43977" spans="20:21" ht="15" customHeight="1" x14ac:dyDescent="0.25">
      <c r="T43977" s="135"/>
      <c r="U43977" s="135"/>
    </row>
    <row r="43978" spans="20:21" ht="15" customHeight="1" x14ac:dyDescent="0.25">
      <c r="T43978" s="135"/>
      <c r="U43978" s="135"/>
    </row>
    <row r="43979" spans="20:21" ht="15" customHeight="1" x14ac:dyDescent="0.25">
      <c r="T43979" s="135"/>
      <c r="U43979" s="135"/>
    </row>
    <row r="43980" spans="20:21" ht="15" customHeight="1" x14ac:dyDescent="0.25">
      <c r="T43980" s="135"/>
      <c r="U43980" s="135"/>
    </row>
    <row r="43981" spans="20:21" ht="15" customHeight="1" x14ac:dyDescent="0.25">
      <c r="T43981" s="135"/>
      <c r="U43981" s="135"/>
    </row>
    <row r="43982" spans="20:21" ht="15" customHeight="1" x14ac:dyDescent="0.25">
      <c r="T43982" s="135"/>
      <c r="U43982" s="135"/>
    </row>
    <row r="43983" spans="20:21" ht="15" customHeight="1" x14ac:dyDescent="0.25">
      <c r="T43983" s="135"/>
      <c r="U43983" s="135"/>
    </row>
    <row r="43984" spans="20:21" ht="15" customHeight="1" x14ac:dyDescent="0.25">
      <c r="T43984" s="135"/>
      <c r="U43984" s="135"/>
    </row>
    <row r="43985" spans="20:21" ht="15" customHeight="1" x14ac:dyDescent="0.25">
      <c r="T43985" s="135"/>
      <c r="U43985" s="135"/>
    </row>
    <row r="43986" spans="20:21" ht="15" customHeight="1" x14ac:dyDescent="0.25">
      <c r="T43986" s="135"/>
      <c r="U43986" s="135"/>
    </row>
    <row r="43987" spans="20:21" ht="15" customHeight="1" x14ac:dyDescent="0.25">
      <c r="T43987" s="135"/>
      <c r="U43987" s="135"/>
    </row>
    <row r="43988" spans="20:21" ht="15" customHeight="1" x14ac:dyDescent="0.25">
      <c r="T43988" s="135"/>
      <c r="U43988" s="135"/>
    </row>
    <row r="43989" spans="20:21" ht="15" customHeight="1" x14ac:dyDescent="0.25">
      <c r="T43989" s="135"/>
      <c r="U43989" s="135"/>
    </row>
    <row r="43990" spans="20:21" ht="15" customHeight="1" x14ac:dyDescent="0.25">
      <c r="T43990" s="135"/>
      <c r="U43990" s="135"/>
    </row>
    <row r="43991" spans="20:21" ht="15" customHeight="1" x14ac:dyDescent="0.25">
      <c r="T43991" s="135"/>
      <c r="U43991" s="135"/>
    </row>
    <row r="43992" spans="20:21" ht="15" customHeight="1" x14ac:dyDescent="0.25">
      <c r="T43992" s="135"/>
      <c r="U43992" s="135"/>
    </row>
    <row r="43993" spans="20:21" ht="15" customHeight="1" x14ac:dyDescent="0.25">
      <c r="T43993" s="135"/>
      <c r="U43993" s="135"/>
    </row>
    <row r="43994" spans="20:21" ht="15" customHeight="1" x14ac:dyDescent="0.25">
      <c r="T43994" s="135"/>
      <c r="U43994" s="135"/>
    </row>
    <row r="43995" spans="20:21" ht="15" customHeight="1" x14ac:dyDescent="0.25">
      <c r="T43995" s="135"/>
      <c r="U43995" s="135"/>
    </row>
    <row r="43996" spans="20:21" ht="15" customHeight="1" x14ac:dyDescent="0.25">
      <c r="T43996" s="135"/>
      <c r="U43996" s="135"/>
    </row>
    <row r="43997" spans="20:21" ht="15" customHeight="1" x14ac:dyDescent="0.25">
      <c r="T43997" s="135"/>
      <c r="U43997" s="135"/>
    </row>
    <row r="43998" spans="20:21" ht="15" customHeight="1" x14ac:dyDescent="0.25">
      <c r="T43998" s="135"/>
      <c r="U43998" s="135"/>
    </row>
    <row r="43999" spans="20:21" ht="15" customHeight="1" x14ac:dyDescent="0.25">
      <c r="T43999" s="135"/>
      <c r="U43999" s="135"/>
    </row>
    <row r="44000" spans="20:21" ht="15" customHeight="1" x14ac:dyDescent="0.25">
      <c r="T44000" s="135"/>
      <c r="U44000" s="135"/>
    </row>
    <row r="44001" spans="20:21" ht="15" customHeight="1" x14ac:dyDescent="0.25">
      <c r="T44001" s="135"/>
      <c r="U44001" s="135"/>
    </row>
    <row r="44002" spans="20:21" ht="15" customHeight="1" x14ac:dyDescent="0.25">
      <c r="T44002" s="135"/>
      <c r="U44002" s="135"/>
    </row>
    <row r="44003" spans="20:21" ht="15" customHeight="1" x14ac:dyDescent="0.25">
      <c r="T44003" s="135"/>
      <c r="U44003" s="135"/>
    </row>
    <row r="44004" spans="20:21" ht="15" customHeight="1" x14ac:dyDescent="0.25">
      <c r="T44004" s="135"/>
      <c r="U44004" s="135"/>
    </row>
    <row r="44005" spans="20:21" ht="15" customHeight="1" x14ac:dyDescent="0.25">
      <c r="T44005" s="135"/>
      <c r="U44005" s="135"/>
    </row>
    <row r="44006" spans="20:21" ht="15" customHeight="1" x14ac:dyDescent="0.25">
      <c r="T44006" s="135"/>
      <c r="U44006" s="135"/>
    </row>
    <row r="44007" spans="20:21" ht="15" customHeight="1" x14ac:dyDescent="0.25">
      <c r="T44007" s="135"/>
      <c r="U44007" s="135"/>
    </row>
    <row r="44008" spans="20:21" ht="15" customHeight="1" x14ac:dyDescent="0.25">
      <c r="T44008" s="135"/>
      <c r="U44008" s="135"/>
    </row>
    <row r="44009" spans="20:21" ht="15" customHeight="1" x14ac:dyDescent="0.25">
      <c r="T44009" s="135"/>
      <c r="U44009" s="135"/>
    </row>
    <row r="44010" spans="20:21" ht="15" customHeight="1" x14ac:dyDescent="0.25">
      <c r="T44010" s="135"/>
      <c r="U44010" s="135"/>
    </row>
    <row r="44011" spans="20:21" ht="15" customHeight="1" x14ac:dyDescent="0.25">
      <c r="T44011" s="135"/>
      <c r="U44011" s="135"/>
    </row>
    <row r="44012" spans="20:21" ht="15" customHeight="1" x14ac:dyDescent="0.25">
      <c r="T44012" s="135"/>
      <c r="U44012" s="135"/>
    </row>
    <row r="44013" spans="20:21" ht="15" customHeight="1" x14ac:dyDescent="0.25">
      <c r="T44013" s="135"/>
      <c r="U44013" s="135"/>
    </row>
    <row r="44014" spans="20:21" ht="15" customHeight="1" x14ac:dyDescent="0.25">
      <c r="T44014" s="135"/>
      <c r="U44014" s="135"/>
    </row>
    <row r="44015" spans="20:21" ht="15" customHeight="1" x14ac:dyDescent="0.25">
      <c r="T44015" s="135"/>
      <c r="U44015" s="135"/>
    </row>
    <row r="44016" spans="20:21" ht="15" customHeight="1" x14ac:dyDescent="0.25">
      <c r="T44016" s="135"/>
      <c r="U44016" s="135"/>
    </row>
    <row r="44017" spans="20:21" ht="15" customHeight="1" x14ac:dyDescent="0.25">
      <c r="T44017" s="135"/>
      <c r="U44017" s="135"/>
    </row>
    <row r="44018" spans="20:21" ht="15" customHeight="1" x14ac:dyDescent="0.25">
      <c r="T44018" s="135"/>
      <c r="U44018" s="135"/>
    </row>
    <row r="44019" spans="20:21" ht="15" customHeight="1" x14ac:dyDescent="0.25">
      <c r="T44019" s="135"/>
      <c r="U44019" s="135"/>
    </row>
    <row r="44020" spans="20:21" ht="15" customHeight="1" x14ac:dyDescent="0.25">
      <c r="T44020" s="135"/>
      <c r="U44020" s="135"/>
    </row>
    <row r="44021" spans="20:21" ht="15" customHeight="1" x14ac:dyDescent="0.25">
      <c r="T44021" s="135"/>
      <c r="U44021" s="135"/>
    </row>
    <row r="44022" spans="20:21" ht="15" customHeight="1" x14ac:dyDescent="0.25">
      <c r="T44022" s="135"/>
      <c r="U44022" s="135"/>
    </row>
    <row r="44023" spans="20:21" ht="15" customHeight="1" x14ac:dyDescent="0.25">
      <c r="T44023" s="135"/>
      <c r="U44023" s="135"/>
    </row>
    <row r="44024" spans="20:21" ht="15" customHeight="1" x14ac:dyDescent="0.25">
      <c r="T44024" s="135"/>
      <c r="U44024" s="135"/>
    </row>
    <row r="44025" spans="20:21" ht="15" customHeight="1" x14ac:dyDescent="0.25">
      <c r="T44025" s="135"/>
      <c r="U44025" s="135"/>
    </row>
    <row r="44026" spans="20:21" ht="15" customHeight="1" x14ac:dyDescent="0.25">
      <c r="T44026" s="135"/>
      <c r="U44026" s="135"/>
    </row>
    <row r="44027" spans="20:21" ht="15" customHeight="1" x14ac:dyDescent="0.25">
      <c r="T44027" s="135"/>
      <c r="U44027" s="135"/>
    </row>
    <row r="44028" spans="20:21" ht="15" customHeight="1" x14ac:dyDescent="0.25">
      <c r="T44028" s="135"/>
      <c r="U44028" s="135"/>
    </row>
    <row r="44029" spans="20:21" ht="15" customHeight="1" x14ac:dyDescent="0.25">
      <c r="T44029" s="135"/>
      <c r="U44029" s="135"/>
    </row>
    <row r="44030" spans="20:21" ht="15" customHeight="1" x14ac:dyDescent="0.25">
      <c r="T44030" s="135"/>
      <c r="U44030" s="135"/>
    </row>
    <row r="44031" spans="20:21" ht="15" customHeight="1" x14ac:dyDescent="0.25">
      <c r="T44031" s="135"/>
      <c r="U44031" s="135"/>
    </row>
    <row r="44032" spans="20:21" ht="15" customHeight="1" x14ac:dyDescent="0.25">
      <c r="T44032" s="135"/>
      <c r="U44032" s="135"/>
    </row>
    <row r="44033" spans="20:21" ht="15" customHeight="1" x14ac:dyDescent="0.25">
      <c r="T44033" s="135"/>
      <c r="U44033" s="135"/>
    </row>
    <row r="44034" spans="20:21" ht="15" customHeight="1" x14ac:dyDescent="0.25">
      <c r="T44034" s="135"/>
      <c r="U44034" s="135"/>
    </row>
    <row r="44035" spans="20:21" ht="15" customHeight="1" x14ac:dyDescent="0.25">
      <c r="T44035" s="135"/>
      <c r="U44035" s="135"/>
    </row>
    <row r="44036" spans="20:21" ht="15" customHeight="1" x14ac:dyDescent="0.25">
      <c r="T44036" s="135"/>
      <c r="U44036" s="135"/>
    </row>
    <row r="44037" spans="20:21" ht="15" customHeight="1" x14ac:dyDescent="0.25">
      <c r="T44037" s="135"/>
      <c r="U44037" s="135"/>
    </row>
    <row r="44038" spans="20:21" ht="15" customHeight="1" x14ac:dyDescent="0.25">
      <c r="T44038" s="135"/>
      <c r="U44038" s="135"/>
    </row>
    <row r="44039" spans="20:21" ht="15" customHeight="1" x14ac:dyDescent="0.25">
      <c r="T44039" s="135"/>
      <c r="U44039" s="135"/>
    </row>
    <row r="44040" spans="20:21" ht="15" customHeight="1" x14ac:dyDescent="0.25">
      <c r="T44040" s="135"/>
      <c r="U44040" s="135"/>
    </row>
    <row r="44041" spans="20:21" ht="15" customHeight="1" x14ac:dyDescent="0.25">
      <c r="T44041" s="135"/>
      <c r="U44041" s="135"/>
    </row>
    <row r="44042" spans="20:21" ht="15" customHeight="1" x14ac:dyDescent="0.25">
      <c r="T44042" s="135"/>
      <c r="U44042" s="135"/>
    </row>
    <row r="44043" spans="20:21" ht="15" customHeight="1" x14ac:dyDescent="0.25">
      <c r="T44043" s="135"/>
      <c r="U44043" s="135"/>
    </row>
    <row r="44044" spans="20:21" ht="15" customHeight="1" x14ac:dyDescent="0.25">
      <c r="T44044" s="135"/>
      <c r="U44044" s="135"/>
    </row>
    <row r="44045" spans="20:21" ht="15" customHeight="1" x14ac:dyDescent="0.25">
      <c r="T44045" s="135"/>
      <c r="U44045" s="135"/>
    </row>
    <row r="44046" spans="20:21" ht="15" customHeight="1" x14ac:dyDescent="0.25">
      <c r="T44046" s="135"/>
      <c r="U44046" s="135"/>
    </row>
    <row r="44047" spans="20:21" ht="15" customHeight="1" x14ac:dyDescent="0.25">
      <c r="T44047" s="135"/>
      <c r="U44047" s="135"/>
    </row>
    <row r="44048" spans="20:21" ht="15" customHeight="1" x14ac:dyDescent="0.25">
      <c r="T44048" s="135"/>
      <c r="U44048" s="135"/>
    </row>
    <row r="44049" spans="20:21" ht="15" customHeight="1" x14ac:dyDescent="0.25">
      <c r="T44049" s="135"/>
      <c r="U44049" s="135"/>
    </row>
    <row r="44050" spans="20:21" ht="15" customHeight="1" x14ac:dyDescent="0.25">
      <c r="T44050" s="135"/>
      <c r="U44050" s="135"/>
    </row>
    <row r="44051" spans="20:21" ht="15" customHeight="1" x14ac:dyDescent="0.25">
      <c r="T44051" s="135"/>
      <c r="U44051" s="135"/>
    </row>
    <row r="44052" spans="20:21" ht="15" customHeight="1" x14ac:dyDescent="0.25">
      <c r="T44052" s="135"/>
      <c r="U44052" s="135"/>
    </row>
    <row r="44053" spans="20:21" ht="15" customHeight="1" x14ac:dyDescent="0.25">
      <c r="T44053" s="135"/>
      <c r="U44053" s="135"/>
    </row>
    <row r="44054" spans="20:21" ht="15" customHeight="1" x14ac:dyDescent="0.25">
      <c r="T44054" s="135"/>
      <c r="U44054" s="135"/>
    </row>
    <row r="44055" spans="20:21" ht="15" customHeight="1" x14ac:dyDescent="0.25">
      <c r="T44055" s="135"/>
      <c r="U44055" s="135"/>
    </row>
    <row r="44056" spans="20:21" ht="15" customHeight="1" x14ac:dyDescent="0.25">
      <c r="T44056" s="135"/>
      <c r="U44056" s="135"/>
    </row>
    <row r="44057" spans="20:21" ht="15" customHeight="1" x14ac:dyDescent="0.25">
      <c r="T44057" s="135"/>
      <c r="U44057" s="135"/>
    </row>
    <row r="44058" spans="20:21" ht="15" customHeight="1" x14ac:dyDescent="0.25">
      <c r="T44058" s="135"/>
      <c r="U44058" s="135"/>
    </row>
    <row r="44059" spans="20:21" ht="15" customHeight="1" x14ac:dyDescent="0.25">
      <c r="T44059" s="135"/>
      <c r="U44059" s="135"/>
    </row>
    <row r="44060" spans="20:21" ht="15" customHeight="1" x14ac:dyDescent="0.25">
      <c r="T44060" s="135"/>
      <c r="U44060" s="135"/>
    </row>
    <row r="44061" spans="20:21" ht="15" customHeight="1" x14ac:dyDescent="0.25">
      <c r="T44061" s="135"/>
      <c r="U44061" s="135"/>
    </row>
    <row r="44062" spans="20:21" ht="15" customHeight="1" x14ac:dyDescent="0.25">
      <c r="T44062" s="135"/>
      <c r="U44062" s="135"/>
    </row>
    <row r="44063" spans="20:21" ht="15" customHeight="1" x14ac:dyDescent="0.25">
      <c r="T44063" s="135"/>
      <c r="U44063" s="135"/>
    </row>
    <row r="44064" spans="20:21" ht="15" customHeight="1" x14ac:dyDescent="0.25">
      <c r="T44064" s="135"/>
      <c r="U44064" s="135"/>
    </row>
    <row r="44065" spans="20:21" ht="15" customHeight="1" x14ac:dyDescent="0.25">
      <c r="T44065" s="135"/>
      <c r="U44065" s="135"/>
    </row>
    <row r="44066" spans="20:21" ht="15" customHeight="1" x14ac:dyDescent="0.25">
      <c r="T44066" s="135"/>
      <c r="U44066" s="135"/>
    </row>
    <row r="44067" spans="20:21" ht="15" customHeight="1" x14ac:dyDescent="0.25">
      <c r="T44067" s="135"/>
      <c r="U44067" s="135"/>
    </row>
    <row r="44068" spans="20:21" ht="15" customHeight="1" x14ac:dyDescent="0.25">
      <c r="T44068" s="135"/>
      <c r="U44068" s="135"/>
    </row>
    <row r="44069" spans="20:21" ht="15" customHeight="1" x14ac:dyDescent="0.25">
      <c r="T44069" s="135"/>
      <c r="U44069" s="135"/>
    </row>
    <row r="44070" spans="20:21" ht="15" customHeight="1" x14ac:dyDescent="0.25">
      <c r="T44070" s="135"/>
      <c r="U44070" s="135"/>
    </row>
    <row r="44071" spans="20:21" ht="15" customHeight="1" x14ac:dyDescent="0.25">
      <c r="T44071" s="135"/>
      <c r="U44071" s="135"/>
    </row>
    <row r="44072" spans="20:21" ht="15" customHeight="1" x14ac:dyDescent="0.25">
      <c r="T44072" s="135"/>
      <c r="U44072" s="135"/>
    </row>
    <row r="44073" spans="20:21" ht="15" customHeight="1" x14ac:dyDescent="0.25">
      <c r="T44073" s="135"/>
      <c r="U44073" s="135"/>
    </row>
    <row r="44074" spans="20:21" ht="15" customHeight="1" x14ac:dyDescent="0.25">
      <c r="T44074" s="135"/>
      <c r="U44074" s="135"/>
    </row>
    <row r="44075" spans="20:21" ht="15" customHeight="1" x14ac:dyDescent="0.25">
      <c r="T44075" s="135"/>
      <c r="U44075" s="135"/>
    </row>
    <row r="44076" spans="20:21" ht="15" customHeight="1" x14ac:dyDescent="0.25">
      <c r="T44076" s="135"/>
      <c r="U44076" s="135"/>
    </row>
    <row r="44077" spans="20:21" ht="15" customHeight="1" x14ac:dyDescent="0.25">
      <c r="T44077" s="135"/>
      <c r="U44077" s="135"/>
    </row>
    <row r="44078" spans="20:21" ht="15" customHeight="1" x14ac:dyDescent="0.25">
      <c r="T44078" s="135"/>
      <c r="U44078" s="135"/>
    </row>
    <row r="44079" spans="20:21" ht="15" customHeight="1" x14ac:dyDescent="0.25">
      <c r="T44079" s="135"/>
      <c r="U44079" s="135"/>
    </row>
    <row r="44080" spans="20:21" ht="15" customHeight="1" x14ac:dyDescent="0.25">
      <c r="T44080" s="135"/>
      <c r="U44080" s="135"/>
    </row>
    <row r="44081" spans="20:21" ht="15" customHeight="1" x14ac:dyDescent="0.25">
      <c r="T44081" s="135"/>
      <c r="U44081" s="135"/>
    </row>
    <row r="44082" spans="20:21" ht="15" customHeight="1" x14ac:dyDescent="0.25">
      <c r="T44082" s="135"/>
      <c r="U44082" s="135"/>
    </row>
    <row r="44083" spans="20:21" ht="15" customHeight="1" x14ac:dyDescent="0.25">
      <c r="T44083" s="135"/>
      <c r="U44083" s="135"/>
    </row>
    <row r="44084" spans="20:21" ht="15" customHeight="1" x14ac:dyDescent="0.25">
      <c r="T44084" s="135"/>
      <c r="U44084" s="135"/>
    </row>
    <row r="44085" spans="20:21" ht="15" customHeight="1" x14ac:dyDescent="0.25">
      <c r="T44085" s="135"/>
      <c r="U44085" s="135"/>
    </row>
    <row r="44086" spans="20:21" ht="15" customHeight="1" x14ac:dyDescent="0.25">
      <c r="T44086" s="135"/>
      <c r="U44086" s="135"/>
    </row>
    <row r="44087" spans="20:21" ht="15" customHeight="1" x14ac:dyDescent="0.25">
      <c r="T44087" s="135"/>
      <c r="U44087" s="135"/>
    </row>
    <row r="44088" spans="20:21" ht="15" customHeight="1" x14ac:dyDescent="0.25">
      <c r="T44088" s="135"/>
      <c r="U44088" s="135"/>
    </row>
    <row r="44089" spans="20:21" ht="15" customHeight="1" x14ac:dyDescent="0.25">
      <c r="T44089" s="135"/>
      <c r="U44089" s="135"/>
    </row>
    <row r="44090" spans="20:21" ht="15" customHeight="1" x14ac:dyDescent="0.25">
      <c r="T44090" s="135"/>
      <c r="U44090" s="135"/>
    </row>
    <row r="44091" spans="20:21" ht="15" customHeight="1" x14ac:dyDescent="0.25">
      <c r="T44091" s="135"/>
      <c r="U44091" s="135"/>
    </row>
    <row r="44092" spans="20:21" ht="15" customHeight="1" x14ac:dyDescent="0.25">
      <c r="T44092" s="135"/>
      <c r="U44092" s="135"/>
    </row>
    <row r="44093" spans="20:21" ht="15" customHeight="1" x14ac:dyDescent="0.25">
      <c r="T44093" s="135"/>
      <c r="U44093" s="135"/>
    </row>
    <row r="44094" spans="20:21" ht="15" customHeight="1" x14ac:dyDescent="0.25">
      <c r="T44094" s="135"/>
      <c r="U44094" s="135"/>
    </row>
    <row r="44095" spans="20:21" ht="15" customHeight="1" x14ac:dyDescent="0.25">
      <c r="T44095" s="135"/>
      <c r="U44095" s="135"/>
    </row>
    <row r="44096" spans="20:21" ht="15" customHeight="1" x14ac:dyDescent="0.25">
      <c r="T44096" s="135"/>
      <c r="U44096" s="135"/>
    </row>
    <row r="44097" spans="20:21" ht="15" customHeight="1" x14ac:dyDescent="0.25">
      <c r="T44097" s="135"/>
      <c r="U44097" s="135"/>
    </row>
    <row r="44098" spans="20:21" ht="15" customHeight="1" x14ac:dyDescent="0.25">
      <c r="T44098" s="135"/>
      <c r="U44098" s="135"/>
    </row>
    <row r="44099" spans="20:21" ht="15" customHeight="1" x14ac:dyDescent="0.25">
      <c r="T44099" s="135"/>
      <c r="U44099" s="135"/>
    </row>
    <row r="44100" spans="20:21" ht="15" customHeight="1" x14ac:dyDescent="0.25">
      <c r="T44100" s="135"/>
      <c r="U44100" s="135"/>
    </row>
    <row r="44101" spans="20:21" ht="15" customHeight="1" x14ac:dyDescent="0.25">
      <c r="T44101" s="135"/>
      <c r="U44101" s="135"/>
    </row>
    <row r="44102" spans="20:21" ht="15" customHeight="1" x14ac:dyDescent="0.25">
      <c r="T44102" s="135"/>
      <c r="U44102" s="135"/>
    </row>
    <row r="44103" spans="20:21" ht="15" customHeight="1" x14ac:dyDescent="0.25">
      <c r="T44103" s="135"/>
      <c r="U44103" s="135"/>
    </row>
    <row r="44104" spans="20:21" ht="15" customHeight="1" x14ac:dyDescent="0.25">
      <c r="T44104" s="135"/>
      <c r="U44104" s="135"/>
    </row>
    <row r="44105" spans="20:21" ht="15" customHeight="1" x14ac:dyDescent="0.25">
      <c r="T44105" s="135"/>
      <c r="U44105" s="135"/>
    </row>
    <row r="44106" spans="20:21" ht="15" customHeight="1" x14ac:dyDescent="0.25">
      <c r="T44106" s="135"/>
      <c r="U44106" s="135"/>
    </row>
    <row r="44107" spans="20:21" ht="15" customHeight="1" x14ac:dyDescent="0.25">
      <c r="T44107" s="135"/>
      <c r="U44107" s="135"/>
    </row>
    <row r="44108" spans="20:21" ht="15" customHeight="1" x14ac:dyDescent="0.25">
      <c r="T44108" s="135"/>
      <c r="U44108" s="135"/>
    </row>
    <row r="44109" spans="20:21" ht="15" customHeight="1" x14ac:dyDescent="0.25">
      <c r="T44109" s="135"/>
      <c r="U44109" s="135"/>
    </row>
    <row r="44110" spans="20:21" ht="15" customHeight="1" x14ac:dyDescent="0.25">
      <c r="T44110" s="135"/>
      <c r="U44110" s="135"/>
    </row>
    <row r="44111" spans="20:21" ht="15" customHeight="1" x14ac:dyDescent="0.25">
      <c r="T44111" s="135"/>
      <c r="U44111" s="135"/>
    </row>
    <row r="44112" spans="20:21" ht="15" customHeight="1" x14ac:dyDescent="0.25">
      <c r="T44112" s="135"/>
      <c r="U44112" s="135"/>
    </row>
    <row r="44113" spans="20:21" ht="15" customHeight="1" x14ac:dyDescent="0.25">
      <c r="T44113" s="135"/>
      <c r="U44113" s="135"/>
    </row>
    <row r="44114" spans="20:21" ht="15" customHeight="1" x14ac:dyDescent="0.25">
      <c r="T44114" s="135"/>
      <c r="U44114" s="135"/>
    </row>
    <row r="44115" spans="20:21" ht="15" customHeight="1" x14ac:dyDescent="0.25">
      <c r="T44115" s="135"/>
      <c r="U44115" s="135"/>
    </row>
    <row r="44116" spans="20:21" ht="15" customHeight="1" x14ac:dyDescent="0.25">
      <c r="T44116" s="135"/>
      <c r="U44116" s="135"/>
    </row>
    <row r="44117" spans="20:21" ht="15" customHeight="1" x14ac:dyDescent="0.25">
      <c r="T44117" s="135"/>
      <c r="U44117" s="135"/>
    </row>
    <row r="44118" spans="20:21" ht="15" customHeight="1" x14ac:dyDescent="0.25">
      <c r="T44118" s="135"/>
      <c r="U44118" s="135"/>
    </row>
    <row r="44119" spans="20:21" ht="15" customHeight="1" x14ac:dyDescent="0.25">
      <c r="T44119" s="135"/>
      <c r="U44119" s="135"/>
    </row>
    <row r="44120" spans="20:21" ht="15" customHeight="1" x14ac:dyDescent="0.25">
      <c r="T44120" s="135"/>
      <c r="U44120" s="135"/>
    </row>
    <row r="44121" spans="20:21" ht="15" customHeight="1" x14ac:dyDescent="0.25">
      <c r="T44121" s="135"/>
      <c r="U44121" s="135"/>
    </row>
    <row r="44122" spans="20:21" ht="15" customHeight="1" x14ac:dyDescent="0.25">
      <c r="T44122" s="135"/>
      <c r="U44122" s="135"/>
    </row>
    <row r="44123" spans="20:21" ht="15" customHeight="1" x14ac:dyDescent="0.25">
      <c r="T44123" s="135"/>
      <c r="U44123" s="135"/>
    </row>
    <row r="44124" spans="20:21" ht="15" customHeight="1" x14ac:dyDescent="0.25">
      <c r="T44124" s="135"/>
      <c r="U44124" s="135"/>
    </row>
    <row r="44125" spans="20:21" ht="15" customHeight="1" x14ac:dyDescent="0.25">
      <c r="T44125" s="135"/>
      <c r="U44125" s="135"/>
    </row>
    <row r="44126" spans="20:21" ht="15" customHeight="1" x14ac:dyDescent="0.25">
      <c r="T44126" s="135"/>
      <c r="U44126" s="135"/>
    </row>
    <row r="44127" spans="20:21" ht="15" customHeight="1" x14ac:dyDescent="0.25">
      <c r="T44127" s="135"/>
      <c r="U44127" s="135"/>
    </row>
    <row r="44128" spans="20:21" ht="15" customHeight="1" x14ac:dyDescent="0.25">
      <c r="T44128" s="135"/>
      <c r="U44128" s="135"/>
    </row>
    <row r="44129" spans="20:21" ht="15" customHeight="1" x14ac:dyDescent="0.25">
      <c r="T44129" s="135"/>
      <c r="U44129" s="135"/>
    </row>
    <row r="44130" spans="20:21" ht="15" customHeight="1" x14ac:dyDescent="0.25">
      <c r="T44130" s="135"/>
      <c r="U44130" s="135"/>
    </row>
    <row r="44131" spans="20:21" ht="15" customHeight="1" x14ac:dyDescent="0.25">
      <c r="T44131" s="135"/>
      <c r="U44131" s="135"/>
    </row>
    <row r="44132" spans="20:21" ht="15" customHeight="1" x14ac:dyDescent="0.25">
      <c r="T44132" s="135"/>
      <c r="U44132" s="135"/>
    </row>
    <row r="44133" spans="20:21" ht="15" customHeight="1" x14ac:dyDescent="0.25">
      <c r="T44133" s="135"/>
      <c r="U44133" s="135"/>
    </row>
    <row r="44134" spans="20:21" ht="15" customHeight="1" x14ac:dyDescent="0.25">
      <c r="T44134" s="135"/>
      <c r="U44134" s="135"/>
    </row>
    <row r="44135" spans="20:21" ht="15" customHeight="1" x14ac:dyDescent="0.25">
      <c r="T44135" s="135"/>
      <c r="U44135" s="135"/>
    </row>
    <row r="44136" spans="20:21" ht="15" customHeight="1" x14ac:dyDescent="0.25">
      <c r="T44136" s="135"/>
      <c r="U44136" s="135"/>
    </row>
    <row r="44137" spans="20:21" ht="15" customHeight="1" x14ac:dyDescent="0.25">
      <c r="T44137" s="135"/>
      <c r="U44137" s="135"/>
    </row>
    <row r="44138" spans="20:21" ht="15" customHeight="1" x14ac:dyDescent="0.25">
      <c r="T44138" s="135"/>
      <c r="U44138" s="135"/>
    </row>
    <row r="44139" spans="20:21" ht="15" customHeight="1" x14ac:dyDescent="0.25">
      <c r="T44139" s="135"/>
      <c r="U44139" s="135"/>
    </row>
    <row r="44140" spans="20:21" ht="15" customHeight="1" x14ac:dyDescent="0.25">
      <c r="T44140" s="135"/>
      <c r="U44140" s="135"/>
    </row>
    <row r="44141" spans="20:21" ht="15" customHeight="1" x14ac:dyDescent="0.25">
      <c r="T44141" s="135"/>
      <c r="U44141" s="135"/>
    </row>
    <row r="44142" spans="20:21" ht="15" customHeight="1" x14ac:dyDescent="0.25">
      <c r="T44142" s="135"/>
      <c r="U44142" s="135"/>
    </row>
    <row r="44143" spans="20:21" ht="15" customHeight="1" x14ac:dyDescent="0.25">
      <c r="T44143" s="135"/>
      <c r="U44143" s="135"/>
    </row>
    <row r="44144" spans="20:21" ht="15" customHeight="1" x14ac:dyDescent="0.25">
      <c r="T44144" s="135"/>
      <c r="U44144" s="135"/>
    </row>
    <row r="44145" spans="20:21" ht="15" customHeight="1" x14ac:dyDescent="0.25">
      <c r="T44145" s="135"/>
      <c r="U44145" s="135"/>
    </row>
    <row r="44146" spans="20:21" ht="15" customHeight="1" x14ac:dyDescent="0.25">
      <c r="T44146" s="135"/>
      <c r="U44146" s="135"/>
    </row>
    <row r="44147" spans="20:21" ht="15" customHeight="1" x14ac:dyDescent="0.25">
      <c r="T44147" s="135"/>
      <c r="U44147" s="135"/>
    </row>
    <row r="44148" spans="20:21" ht="15" customHeight="1" x14ac:dyDescent="0.25">
      <c r="T44148" s="135"/>
      <c r="U44148" s="135"/>
    </row>
    <row r="44149" spans="20:21" ht="15" customHeight="1" x14ac:dyDescent="0.25">
      <c r="T44149" s="135"/>
      <c r="U44149" s="135"/>
    </row>
    <row r="44150" spans="20:21" ht="15" customHeight="1" x14ac:dyDescent="0.25">
      <c r="T44150" s="135"/>
      <c r="U44150" s="135"/>
    </row>
    <row r="44151" spans="20:21" ht="15" customHeight="1" x14ac:dyDescent="0.25">
      <c r="T44151" s="135"/>
      <c r="U44151" s="135"/>
    </row>
    <row r="44152" spans="20:21" ht="15" customHeight="1" x14ac:dyDescent="0.25">
      <c r="T44152" s="135"/>
      <c r="U44152" s="135"/>
    </row>
    <row r="44153" spans="20:21" ht="15" customHeight="1" x14ac:dyDescent="0.25">
      <c r="T44153" s="135"/>
      <c r="U44153" s="135"/>
    </row>
    <row r="44154" spans="20:21" ht="15" customHeight="1" x14ac:dyDescent="0.25">
      <c r="T44154" s="135"/>
      <c r="U44154" s="135"/>
    </row>
    <row r="44155" spans="20:21" ht="15" customHeight="1" x14ac:dyDescent="0.25">
      <c r="T44155" s="135"/>
      <c r="U44155" s="135"/>
    </row>
    <row r="44156" spans="20:21" ht="15" customHeight="1" x14ac:dyDescent="0.25">
      <c r="T44156" s="135"/>
      <c r="U44156" s="135"/>
    </row>
    <row r="44157" spans="20:21" ht="15" customHeight="1" x14ac:dyDescent="0.25">
      <c r="T44157" s="135"/>
      <c r="U44157" s="135"/>
    </row>
    <row r="44158" spans="20:21" ht="15" customHeight="1" x14ac:dyDescent="0.25">
      <c r="T44158" s="135"/>
      <c r="U44158" s="135"/>
    </row>
    <row r="44159" spans="20:21" ht="15" customHeight="1" x14ac:dyDescent="0.25">
      <c r="T44159" s="135"/>
      <c r="U44159" s="135"/>
    </row>
    <row r="44160" spans="20:21" ht="15" customHeight="1" x14ac:dyDescent="0.25">
      <c r="T44160" s="135"/>
      <c r="U44160" s="135"/>
    </row>
    <row r="44161" spans="20:21" ht="15" customHeight="1" x14ac:dyDescent="0.25">
      <c r="T44161" s="135"/>
      <c r="U44161" s="135"/>
    </row>
    <row r="44162" spans="20:21" ht="15" customHeight="1" x14ac:dyDescent="0.25">
      <c r="T44162" s="135"/>
      <c r="U44162" s="135"/>
    </row>
    <row r="44163" spans="20:21" ht="15" customHeight="1" x14ac:dyDescent="0.25">
      <c r="T44163" s="135"/>
      <c r="U44163" s="135"/>
    </row>
    <row r="44164" spans="20:21" ht="15" customHeight="1" x14ac:dyDescent="0.25">
      <c r="T44164" s="135"/>
      <c r="U44164" s="135"/>
    </row>
    <row r="44165" spans="20:21" ht="15" customHeight="1" x14ac:dyDescent="0.25">
      <c r="T44165" s="135"/>
      <c r="U44165" s="135"/>
    </row>
    <row r="44166" spans="20:21" ht="15" customHeight="1" x14ac:dyDescent="0.25">
      <c r="T44166" s="135"/>
      <c r="U44166" s="135"/>
    </row>
    <row r="44167" spans="20:21" ht="15" customHeight="1" x14ac:dyDescent="0.25">
      <c r="T44167" s="135"/>
      <c r="U44167" s="135"/>
    </row>
    <row r="44168" spans="20:21" ht="15" customHeight="1" x14ac:dyDescent="0.25">
      <c r="T44168" s="135"/>
      <c r="U44168" s="135"/>
    </row>
    <row r="44169" spans="20:21" ht="15" customHeight="1" x14ac:dyDescent="0.25">
      <c r="T44169" s="135"/>
      <c r="U44169" s="135"/>
    </row>
    <row r="44170" spans="20:21" ht="15" customHeight="1" x14ac:dyDescent="0.25">
      <c r="T44170" s="135"/>
      <c r="U44170" s="135"/>
    </row>
    <row r="44171" spans="20:21" ht="15" customHeight="1" x14ac:dyDescent="0.25">
      <c r="T44171" s="135"/>
      <c r="U44171" s="135"/>
    </row>
    <row r="44172" spans="20:21" ht="15" customHeight="1" x14ac:dyDescent="0.25">
      <c r="T44172" s="135"/>
      <c r="U44172" s="135"/>
    </row>
    <row r="44173" spans="20:21" ht="15" customHeight="1" x14ac:dyDescent="0.25">
      <c r="T44173" s="135"/>
      <c r="U44173" s="135"/>
    </row>
    <row r="44174" spans="20:21" ht="15" customHeight="1" x14ac:dyDescent="0.25">
      <c r="T44174" s="135"/>
      <c r="U44174" s="135"/>
    </row>
    <row r="44175" spans="20:21" ht="15" customHeight="1" x14ac:dyDescent="0.25">
      <c r="T44175" s="135"/>
      <c r="U44175" s="135"/>
    </row>
    <row r="44176" spans="20:21" ht="15" customHeight="1" x14ac:dyDescent="0.25">
      <c r="T44176" s="135"/>
      <c r="U44176" s="135"/>
    </row>
    <row r="44177" spans="20:21" ht="15" customHeight="1" x14ac:dyDescent="0.25">
      <c r="T44177" s="135"/>
      <c r="U44177" s="135"/>
    </row>
    <row r="44178" spans="20:21" ht="15" customHeight="1" x14ac:dyDescent="0.25">
      <c r="T44178" s="135"/>
      <c r="U44178" s="135"/>
    </row>
    <row r="44179" spans="20:21" ht="15" customHeight="1" x14ac:dyDescent="0.25">
      <c r="T44179" s="135"/>
      <c r="U44179" s="135"/>
    </row>
    <row r="44180" spans="20:21" ht="15" customHeight="1" x14ac:dyDescent="0.25">
      <c r="T44180" s="135"/>
      <c r="U44180" s="135"/>
    </row>
    <row r="44181" spans="20:21" ht="15" customHeight="1" x14ac:dyDescent="0.25">
      <c r="T44181" s="135"/>
      <c r="U44181" s="135"/>
    </row>
    <row r="44182" spans="20:21" ht="15" customHeight="1" x14ac:dyDescent="0.25">
      <c r="T44182" s="135"/>
      <c r="U44182" s="135"/>
    </row>
    <row r="44183" spans="20:21" ht="15" customHeight="1" x14ac:dyDescent="0.25">
      <c r="T44183" s="135"/>
      <c r="U44183" s="135"/>
    </row>
    <row r="44184" spans="20:21" ht="15" customHeight="1" x14ac:dyDescent="0.25">
      <c r="T44184" s="135"/>
      <c r="U44184" s="135"/>
    </row>
    <row r="44185" spans="20:21" ht="15" customHeight="1" x14ac:dyDescent="0.25">
      <c r="T44185" s="135"/>
      <c r="U44185" s="135"/>
    </row>
    <row r="44186" spans="20:21" ht="15" customHeight="1" x14ac:dyDescent="0.25">
      <c r="T44186" s="135"/>
      <c r="U44186" s="135"/>
    </row>
    <row r="44187" spans="20:21" ht="15" customHeight="1" x14ac:dyDescent="0.25">
      <c r="T44187" s="135"/>
      <c r="U44187" s="135"/>
    </row>
    <row r="44188" spans="20:21" ht="15" customHeight="1" x14ac:dyDescent="0.25">
      <c r="T44188" s="135"/>
      <c r="U44188" s="135"/>
    </row>
    <row r="44189" spans="20:21" ht="15" customHeight="1" x14ac:dyDescent="0.25">
      <c r="T44189" s="135"/>
      <c r="U44189" s="135"/>
    </row>
    <row r="44190" spans="20:21" ht="15" customHeight="1" x14ac:dyDescent="0.25">
      <c r="T44190" s="135"/>
      <c r="U44190" s="135"/>
    </row>
    <row r="44191" spans="20:21" ht="15" customHeight="1" x14ac:dyDescent="0.25">
      <c r="T44191" s="135"/>
      <c r="U44191" s="135"/>
    </row>
    <row r="44192" spans="20:21" ht="15" customHeight="1" x14ac:dyDescent="0.25">
      <c r="T44192" s="135"/>
      <c r="U44192" s="135"/>
    </row>
    <row r="44193" spans="20:21" ht="15" customHeight="1" x14ac:dyDescent="0.25">
      <c r="T44193" s="135"/>
      <c r="U44193" s="135"/>
    </row>
    <row r="44194" spans="20:21" ht="15" customHeight="1" x14ac:dyDescent="0.25">
      <c r="T44194" s="135"/>
      <c r="U44194" s="135"/>
    </row>
    <row r="44195" spans="20:21" ht="15" customHeight="1" x14ac:dyDescent="0.25">
      <c r="T44195" s="135"/>
      <c r="U44195" s="135"/>
    </row>
    <row r="44196" spans="20:21" ht="15" customHeight="1" x14ac:dyDescent="0.25">
      <c r="T44196" s="135"/>
      <c r="U44196" s="135"/>
    </row>
    <row r="44197" spans="20:21" ht="15" customHeight="1" x14ac:dyDescent="0.25">
      <c r="T44197" s="135"/>
      <c r="U44197" s="135"/>
    </row>
    <row r="44198" spans="20:21" ht="15" customHeight="1" x14ac:dyDescent="0.25">
      <c r="T44198" s="135"/>
      <c r="U44198" s="135"/>
    </row>
    <row r="44199" spans="20:21" ht="15" customHeight="1" x14ac:dyDescent="0.25">
      <c r="T44199" s="135"/>
      <c r="U44199" s="135"/>
    </row>
    <row r="44200" spans="20:21" ht="15" customHeight="1" x14ac:dyDescent="0.25">
      <c r="T44200" s="135"/>
      <c r="U44200" s="135"/>
    </row>
    <row r="44201" spans="20:21" ht="15" customHeight="1" x14ac:dyDescent="0.25">
      <c r="T44201" s="135"/>
      <c r="U44201" s="135"/>
    </row>
    <row r="44202" spans="20:21" ht="15" customHeight="1" x14ac:dyDescent="0.25">
      <c r="T44202" s="135"/>
      <c r="U44202" s="135"/>
    </row>
    <row r="44203" spans="20:21" ht="15" customHeight="1" x14ac:dyDescent="0.25">
      <c r="T44203" s="135"/>
      <c r="U44203" s="135"/>
    </row>
    <row r="44204" spans="20:21" ht="15" customHeight="1" x14ac:dyDescent="0.25">
      <c r="T44204" s="135"/>
      <c r="U44204" s="135"/>
    </row>
    <row r="44205" spans="20:21" ht="15" customHeight="1" x14ac:dyDescent="0.25">
      <c r="T44205" s="135"/>
      <c r="U44205" s="135"/>
    </row>
    <row r="44206" spans="20:21" ht="15" customHeight="1" x14ac:dyDescent="0.25">
      <c r="T44206" s="135"/>
      <c r="U44206" s="135"/>
    </row>
    <row r="44207" spans="20:21" ht="15" customHeight="1" x14ac:dyDescent="0.25">
      <c r="T44207" s="135"/>
      <c r="U44207" s="135"/>
    </row>
    <row r="44208" spans="20:21" ht="15" customHeight="1" x14ac:dyDescent="0.25">
      <c r="T44208" s="135"/>
      <c r="U44208" s="135"/>
    </row>
    <row r="44209" spans="20:21" ht="15" customHeight="1" x14ac:dyDescent="0.25">
      <c r="T44209" s="135"/>
      <c r="U44209" s="135"/>
    </row>
    <row r="44210" spans="20:21" ht="15" customHeight="1" x14ac:dyDescent="0.25">
      <c r="T44210" s="135"/>
      <c r="U44210" s="135"/>
    </row>
    <row r="44211" spans="20:21" ht="15" customHeight="1" x14ac:dyDescent="0.25">
      <c r="T44211" s="135"/>
      <c r="U44211" s="135"/>
    </row>
    <row r="44212" spans="20:21" ht="15" customHeight="1" x14ac:dyDescent="0.25">
      <c r="T44212" s="135"/>
      <c r="U44212" s="135"/>
    </row>
    <row r="44213" spans="20:21" ht="15" customHeight="1" x14ac:dyDescent="0.25">
      <c r="T44213" s="135"/>
      <c r="U44213" s="135"/>
    </row>
    <row r="44214" spans="20:21" ht="15" customHeight="1" x14ac:dyDescent="0.25">
      <c r="T44214" s="135"/>
      <c r="U44214" s="135"/>
    </row>
    <row r="44215" spans="20:21" ht="15" customHeight="1" x14ac:dyDescent="0.25">
      <c r="T44215" s="135"/>
      <c r="U44215" s="135"/>
    </row>
    <row r="44216" spans="20:21" ht="15" customHeight="1" x14ac:dyDescent="0.25">
      <c r="T44216" s="135"/>
      <c r="U44216" s="135"/>
    </row>
    <row r="44217" spans="20:21" ht="15" customHeight="1" x14ac:dyDescent="0.25">
      <c r="T44217" s="135"/>
      <c r="U44217" s="135"/>
    </row>
    <row r="44218" spans="20:21" ht="15" customHeight="1" x14ac:dyDescent="0.25">
      <c r="T44218" s="135"/>
      <c r="U44218" s="135"/>
    </row>
    <row r="44219" spans="20:21" ht="15" customHeight="1" x14ac:dyDescent="0.25">
      <c r="T44219" s="135"/>
      <c r="U44219" s="135"/>
    </row>
    <row r="44220" spans="20:21" ht="15" customHeight="1" x14ac:dyDescent="0.25">
      <c r="T44220" s="135"/>
      <c r="U44220" s="135"/>
    </row>
    <row r="44221" spans="20:21" ht="15" customHeight="1" x14ac:dyDescent="0.25">
      <c r="T44221" s="135"/>
      <c r="U44221" s="135"/>
    </row>
    <row r="44222" spans="20:21" ht="15" customHeight="1" x14ac:dyDescent="0.25">
      <c r="T44222" s="135"/>
      <c r="U44222" s="135"/>
    </row>
    <row r="44223" spans="20:21" ht="15" customHeight="1" x14ac:dyDescent="0.25">
      <c r="T44223" s="135"/>
      <c r="U44223" s="135"/>
    </row>
    <row r="44224" spans="20:21" ht="15" customHeight="1" x14ac:dyDescent="0.25">
      <c r="T44224" s="135"/>
      <c r="U44224" s="135"/>
    </row>
    <row r="44225" spans="20:21" ht="15" customHeight="1" x14ac:dyDescent="0.25">
      <c r="T44225" s="135"/>
      <c r="U44225" s="135"/>
    </row>
    <row r="44226" spans="20:21" ht="15" customHeight="1" x14ac:dyDescent="0.25">
      <c r="T44226" s="135"/>
      <c r="U44226" s="135"/>
    </row>
    <row r="44227" spans="20:21" ht="15" customHeight="1" x14ac:dyDescent="0.25">
      <c r="T44227" s="135"/>
      <c r="U44227" s="135"/>
    </row>
    <row r="44228" spans="20:21" ht="15" customHeight="1" x14ac:dyDescent="0.25">
      <c r="T44228" s="135"/>
      <c r="U44228" s="135"/>
    </row>
    <row r="44229" spans="20:21" ht="15" customHeight="1" x14ac:dyDescent="0.25">
      <c r="T44229" s="135"/>
      <c r="U44229" s="135"/>
    </row>
    <row r="44230" spans="20:21" ht="15" customHeight="1" x14ac:dyDescent="0.25">
      <c r="T44230" s="135"/>
      <c r="U44230" s="135"/>
    </row>
    <row r="44231" spans="20:21" ht="15" customHeight="1" x14ac:dyDescent="0.25">
      <c r="T44231" s="135"/>
      <c r="U44231" s="135"/>
    </row>
    <row r="44232" spans="20:21" ht="15" customHeight="1" x14ac:dyDescent="0.25">
      <c r="T44232" s="135"/>
      <c r="U44232" s="135"/>
    </row>
    <row r="44233" spans="20:21" ht="15" customHeight="1" x14ac:dyDescent="0.25">
      <c r="T44233" s="135"/>
      <c r="U44233" s="135"/>
    </row>
    <row r="44234" spans="20:21" ht="15" customHeight="1" x14ac:dyDescent="0.25">
      <c r="T44234" s="135"/>
      <c r="U44234" s="135"/>
    </row>
    <row r="44235" spans="20:21" ht="15" customHeight="1" x14ac:dyDescent="0.25">
      <c r="T44235" s="135"/>
      <c r="U44235" s="135"/>
    </row>
    <row r="44236" spans="20:21" ht="15" customHeight="1" x14ac:dyDescent="0.25">
      <c r="T44236" s="135"/>
      <c r="U44236" s="135"/>
    </row>
    <row r="44237" spans="20:21" ht="15" customHeight="1" x14ac:dyDescent="0.25">
      <c r="T44237" s="135"/>
      <c r="U44237" s="135"/>
    </row>
    <row r="44238" spans="20:21" ht="15" customHeight="1" x14ac:dyDescent="0.25">
      <c r="T44238" s="135"/>
      <c r="U44238" s="135"/>
    </row>
    <row r="44239" spans="20:21" ht="15" customHeight="1" x14ac:dyDescent="0.25">
      <c r="T44239" s="135"/>
      <c r="U44239" s="135"/>
    </row>
    <row r="44240" spans="20:21" ht="15" customHeight="1" x14ac:dyDescent="0.25">
      <c r="T44240" s="135"/>
      <c r="U44240" s="135"/>
    </row>
    <row r="44241" spans="20:21" ht="15" customHeight="1" x14ac:dyDescent="0.25">
      <c r="T44241" s="135"/>
      <c r="U44241" s="135"/>
    </row>
    <row r="44242" spans="20:21" ht="15" customHeight="1" x14ac:dyDescent="0.25">
      <c r="T44242" s="135"/>
      <c r="U44242" s="135"/>
    </row>
    <row r="44243" spans="20:21" ht="15" customHeight="1" x14ac:dyDescent="0.25">
      <c r="T44243" s="135"/>
      <c r="U44243" s="135"/>
    </row>
    <row r="44244" spans="20:21" ht="15" customHeight="1" x14ac:dyDescent="0.25">
      <c r="T44244" s="135"/>
      <c r="U44244" s="135"/>
    </row>
    <row r="44245" spans="20:21" ht="15" customHeight="1" x14ac:dyDescent="0.25">
      <c r="T44245" s="135"/>
      <c r="U44245" s="135"/>
    </row>
    <row r="44246" spans="20:21" ht="15" customHeight="1" x14ac:dyDescent="0.25">
      <c r="T44246" s="135"/>
      <c r="U44246" s="135"/>
    </row>
    <row r="44247" spans="20:21" ht="15" customHeight="1" x14ac:dyDescent="0.25">
      <c r="T44247" s="135"/>
      <c r="U44247" s="135"/>
    </row>
    <row r="44248" spans="20:21" ht="15" customHeight="1" x14ac:dyDescent="0.25">
      <c r="T44248" s="135"/>
      <c r="U44248" s="135"/>
    </row>
    <row r="44249" spans="20:21" ht="15" customHeight="1" x14ac:dyDescent="0.25">
      <c r="T44249" s="135"/>
      <c r="U44249" s="135"/>
    </row>
    <row r="44250" spans="20:21" ht="15" customHeight="1" x14ac:dyDescent="0.25">
      <c r="T44250" s="135"/>
      <c r="U44250" s="135"/>
    </row>
    <row r="44251" spans="20:21" ht="15" customHeight="1" x14ac:dyDescent="0.25">
      <c r="T44251" s="135"/>
      <c r="U44251" s="135"/>
    </row>
    <row r="44252" spans="20:21" ht="15" customHeight="1" x14ac:dyDescent="0.25">
      <c r="T44252" s="135"/>
      <c r="U44252" s="135"/>
    </row>
    <row r="44253" spans="20:21" ht="15" customHeight="1" x14ac:dyDescent="0.25">
      <c r="T44253" s="135"/>
      <c r="U44253" s="135"/>
    </row>
    <row r="44254" spans="20:21" ht="15" customHeight="1" x14ac:dyDescent="0.25">
      <c r="T44254" s="135"/>
      <c r="U44254" s="135"/>
    </row>
    <row r="44255" spans="20:21" ht="15" customHeight="1" x14ac:dyDescent="0.25">
      <c r="T44255" s="135"/>
      <c r="U44255" s="135"/>
    </row>
    <row r="44256" spans="20:21" ht="15" customHeight="1" x14ac:dyDescent="0.25">
      <c r="T44256" s="135"/>
      <c r="U44256" s="135"/>
    </row>
    <row r="44257" spans="20:21" ht="15" customHeight="1" x14ac:dyDescent="0.25">
      <c r="T44257" s="135"/>
      <c r="U44257" s="135"/>
    </row>
    <row r="44258" spans="20:21" ht="15" customHeight="1" x14ac:dyDescent="0.25">
      <c r="T44258" s="135"/>
      <c r="U44258" s="135"/>
    </row>
    <row r="44259" spans="20:21" ht="15" customHeight="1" x14ac:dyDescent="0.25">
      <c r="T44259" s="135"/>
      <c r="U44259" s="135"/>
    </row>
    <row r="44260" spans="20:21" ht="15" customHeight="1" x14ac:dyDescent="0.25">
      <c r="T44260" s="135"/>
      <c r="U44260" s="135"/>
    </row>
    <row r="44261" spans="20:21" ht="15" customHeight="1" x14ac:dyDescent="0.25">
      <c r="T44261" s="135"/>
      <c r="U44261" s="135"/>
    </row>
    <row r="44262" spans="20:21" ht="15" customHeight="1" x14ac:dyDescent="0.25">
      <c r="T44262" s="135"/>
      <c r="U44262" s="135"/>
    </row>
    <row r="44263" spans="20:21" ht="15" customHeight="1" x14ac:dyDescent="0.25">
      <c r="T44263" s="135"/>
      <c r="U44263" s="135"/>
    </row>
    <row r="44264" spans="20:21" ht="15" customHeight="1" x14ac:dyDescent="0.25">
      <c r="T44264" s="135"/>
      <c r="U44264" s="135"/>
    </row>
    <row r="44265" spans="20:21" ht="15" customHeight="1" x14ac:dyDescent="0.25">
      <c r="T44265" s="135"/>
      <c r="U44265" s="135"/>
    </row>
    <row r="44266" spans="20:21" ht="15" customHeight="1" x14ac:dyDescent="0.25">
      <c r="T44266" s="135"/>
      <c r="U44266" s="135"/>
    </row>
    <row r="44267" spans="20:21" ht="15" customHeight="1" x14ac:dyDescent="0.25">
      <c r="T44267" s="135"/>
      <c r="U44267" s="135"/>
    </row>
    <row r="44268" spans="20:21" ht="15" customHeight="1" x14ac:dyDescent="0.25">
      <c r="T44268" s="135"/>
      <c r="U44268" s="135"/>
    </row>
    <row r="44269" spans="20:21" ht="15" customHeight="1" x14ac:dyDescent="0.25">
      <c r="T44269" s="135"/>
      <c r="U44269" s="135"/>
    </row>
    <row r="44270" spans="20:21" ht="15" customHeight="1" x14ac:dyDescent="0.25">
      <c r="T44270" s="135"/>
      <c r="U44270" s="135"/>
    </row>
    <row r="44271" spans="20:21" ht="15" customHeight="1" x14ac:dyDescent="0.25">
      <c r="T44271" s="135"/>
      <c r="U44271" s="135"/>
    </row>
    <row r="44272" spans="20:21" ht="15" customHeight="1" x14ac:dyDescent="0.25">
      <c r="T44272" s="135"/>
      <c r="U44272" s="135"/>
    </row>
    <row r="44273" spans="20:21" ht="15" customHeight="1" x14ac:dyDescent="0.25">
      <c r="T44273" s="135"/>
      <c r="U44273" s="135"/>
    </row>
    <row r="44274" spans="20:21" ht="15" customHeight="1" x14ac:dyDescent="0.25">
      <c r="T44274" s="135"/>
      <c r="U44274" s="135"/>
    </row>
    <row r="44275" spans="20:21" ht="15" customHeight="1" x14ac:dyDescent="0.25">
      <c r="T44275" s="135"/>
      <c r="U44275" s="135"/>
    </row>
    <row r="44276" spans="20:21" ht="15" customHeight="1" x14ac:dyDescent="0.25">
      <c r="T44276" s="135"/>
      <c r="U44276" s="135"/>
    </row>
    <row r="44277" spans="20:21" ht="15" customHeight="1" x14ac:dyDescent="0.25">
      <c r="T44277" s="135"/>
      <c r="U44277" s="135"/>
    </row>
    <row r="44278" spans="20:21" ht="15" customHeight="1" x14ac:dyDescent="0.25">
      <c r="T44278" s="135"/>
      <c r="U44278" s="135"/>
    </row>
    <row r="44279" spans="20:21" ht="15" customHeight="1" x14ac:dyDescent="0.25">
      <c r="T44279" s="135"/>
      <c r="U44279" s="135"/>
    </row>
    <row r="44280" spans="20:21" ht="15" customHeight="1" x14ac:dyDescent="0.25">
      <c r="T44280" s="135"/>
      <c r="U44280" s="135"/>
    </row>
    <row r="44281" spans="20:21" ht="15" customHeight="1" x14ac:dyDescent="0.25">
      <c r="T44281" s="135"/>
      <c r="U44281" s="135"/>
    </row>
    <row r="44282" spans="20:21" ht="15" customHeight="1" x14ac:dyDescent="0.25">
      <c r="T44282" s="135"/>
      <c r="U44282" s="135"/>
    </row>
    <row r="44283" spans="20:21" ht="15" customHeight="1" x14ac:dyDescent="0.25">
      <c r="T44283" s="135"/>
      <c r="U44283" s="135"/>
    </row>
    <row r="44284" spans="20:21" ht="15" customHeight="1" x14ac:dyDescent="0.25">
      <c r="T44284" s="135"/>
      <c r="U44284" s="135"/>
    </row>
    <row r="44285" spans="20:21" ht="15" customHeight="1" x14ac:dyDescent="0.25">
      <c r="T44285" s="135"/>
      <c r="U44285" s="135"/>
    </row>
    <row r="44286" spans="20:21" ht="15" customHeight="1" x14ac:dyDescent="0.25">
      <c r="T44286" s="135"/>
      <c r="U44286" s="135"/>
    </row>
    <row r="44287" spans="20:21" ht="15" customHeight="1" x14ac:dyDescent="0.25">
      <c r="T44287" s="135"/>
      <c r="U44287" s="135"/>
    </row>
    <row r="44288" spans="20:21" ht="15" customHeight="1" x14ac:dyDescent="0.25">
      <c r="T44288" s="135"/>
      <c r="U44288" s="135"/>
    </row>
    <row r="44289" spans="20:21" ht="15" customHeight="1" x14ac:dyDescent="0.25">
      <c r="T44289" s="135"/>
      <c r="U44289" s="135"/>
    </row>
    <row r="44290" spans="20:21" ht="15" customHeight="1" x14ac:dyDescent="0.25">
      <c r="T44290" s="135"/>
      <c r="U44290" s="135"/>
    </row>
    <row r="44291" spans="20:21" ht="15" customHeight="1" x14ac:dyDescent="0.25">
      <c r="T44291" s="135"/>
      <c r="U44291" s="135"/>
    </row>
    <row r="44292" spans="20:21" ht="15" customHeight="1" x14ac:dyDescent="0.25">
      <c r="T44292" s="135"/>
      <c r="U44292" s="135"/>
    </row>
    <row r="44293" spans="20:21" ht="15" customHeight="1" x14ac:dyDescent="0.25">
      <c r="T44293" s="135"/>
      <c r="U44293" s="135"/>
    </row>
    <row r="44294" spans="20:21" ht="15" customHeight="1" x14ac:dyDescent="0.25">
      <c r="T44294" s="135"/>
      <c r="U44294" s="135"/>
    </row>
    <row r="44295" spans="20:21" ht="15" customHeight="1" x14ac:dyDescent="0.25">
      <c r="T44295" s="135"/>
      <c r="U44295" s="135"/>
    </row>
    <row r="44296" spans="20:21" ht="15" customHeight="1" x14ac:dyDescent="0.25">
      <c r="T44296" s="135"/>
      <c r="U44296" s="135"/>
    </row>
    <row r="44297" spans="20:21" ht="15" customHeight="1" x14ac:dyDescent="0.25">
      <c r="T44297" s="135"/>
      <c r="U44297" s="135"/>
    </row>
    <row r="44298" spans="20:21" ht="15" customHeight="1" x14ac:dyDescent="0.25">
      <c r="T44298" s="135"/>
      <c r="U44298" s="135"/>
    </row>
    <row r="44299" spans="20:21" ht="15" customHeight="1" x14ac:dyDescent="0.25">
      <c r="T44299" s="135"/>
      <c r="U44299" s="135"/>
    </row>
    <row r="44300" spans="20:21" ht="15" customHeight="1" x14ac:dyDescent="0.25">
      <c r="T44300" s="135"/>
      <c r="U44300" s="135"/>
    </row>
    <row r="44301" spans="20:21" ht="15" customHeight="1" x14ac:dyDescent="0.25">
      <c r="T44301" s="135"/>
      <c r="U44301" s="135"/>
    </row>
    <row r="44302" spans="20:21" ht="15" customHeight="1" x14ac:dyDescent="0.25">
      <c r="T44302" s="135"/>
      <c r="U44302" s="135"/>
    </row>
    <row r="44303" spans="20:21" ht="15" customHeight="1" x14ac:dyDescent="0.25">
      <c r="T44303" s="135"/>
      <c r="U44303" s="135"/>
    </row>
    <row r="44304" spans="20:21" ht="15" customHeight="1" x14ac:dyDescent="0.25">
      <c r="T44304" s="135"/>
      <c r="U44304" s="135"/>
    </row>
    <row r="44305" spans="20:21" ht="15" customHeight="1" x14ac:dyDescent="0.25">
      <c r="T44305" s="135"/>
      <c r="U44305" s="135"/>
    </row>
    <row r="44306" spans="20:21" ht="15" customHeight="1" x14ac:dyDescent="0.25">
      <c r="T44306" s="135"/>
      <c r="U44306" s="135"/>
    </row>
    <row r="44307" spans="20:21" ht="15" customHeight="1" x14ac:dyDescent="0.25">
      <c r="T44307" s="135"/>
      <c r="U44307" s="135"/>
    </row>
    <row r="44308" spans="20:21" ht="15" customHeight="1" x14ac:dyDescent="0.25">
      <c r="T44308" s="135"/>
      <c r="U44308" s="135"/>
    </row>
    <row r="44309" spans="20:21" ht="15" customHeight="1" x14ac:dyDescent="0.25">
      <c r="T44309" s="135"/>
      <c r="U44309" s="135"/>
    </row>
    <row r="44310" spans="20:21" ht="15" customHeight="1" x14ac:dyDescent="0.25">
      <c r="T44310" s="135"/>
      <c r="U44310" s="135"/>
    </row>
    <row r="44311" spans="20:21" ht="15" customHeight="1" x14ac:dyDescent="0.25">
      <c r="T44311" s="135"/>
      <c r="U44311" s="135"/>
    </row>
    <row r="44312" spans="20:21" ht="15" customHeight="1" x14ac:dyDescent="0.25">
      <c r="T44312" s="135"/>
      <c r="U44312" s="135"/>
    </row>
    <row r="44313" spans="20:21" ht="15" customHeight="1" x14ac:dyDescent="0.25">
      <c r="T44313" s="135"/>
      <c r="U44313" s="135"/>
    </row>
    <row r="44314" spans="20:21" ht="15" customHeight="1" x14ac:dyDescent="0.25">
      <c r="T44314" s="135"/>
      <c r="U44314" s="135"/>
    </row>
    <row r="44315" spans="20:21" ht="15" customHeight="1" x14ac:dyDescent="0.25">
      <c r="T44315" s="135"/>
      <c r="U44315" s="135"/>
    </row>
    <row r="44316" spans="20:21" ht="15" customHeight="1" x14ac:dyDescent="0.25">
      <c r="T44316" s="135"/>
      <c r="U44316" s="135"/>
    </row>
    <row r="44317" spans="20:21" ht="15" customHeight="1" x14ac:dyDescent="0.25">
      <c r="T44317" s="135"/>
      <c r="U44317" s="135"/>
    </row>
    <row r="44318" spans="20:21" ht="15" customHeight="1" x14ac:dyDescent="0.25">
      <c r="T44318" s="135"/>
      <c r="U44318" s="135"/>
    </row>
    <row r="44319" spans="20:21" ht="15" customHeight="1" x14ac:dyDescent="0.25">
      <c r="T44319" s="135"/>
      <c r="U44319" s="135"/>
    </row>
    <row r="44320" spans="20:21" ht="15" customHeight="1" x14ac:dyDescent="0.25">
      <c r="T44320" s="135"/>
      <c r="U44320" s="135"/>
    </row>
    <row r="44321" spans="20:21" ht="15" customHeight="1" x14ac:dyDescent="0.25">
      <c r="T44321" s="135"/>
      <c r="U44321" s="135"/>
    </row>
    <row r="44322" spans="20:21" ht="15" customHeight="1" x14ac:dyDescent="0.25">
      <c r="T44322" s="135"/>
      <c r="U44322" s="135"/>
    </row>
    <row r="44323" spans="20:21" ht="15" customHeight="1" x14ac:dyDescent="0.25">
      <c r="T44323" s="135"/>
      <c r="U44323" s="135"/>
    </row>
    <row r="44324" spans="20:21" ht="15" customHeight="1" x14ac:dyDescent="0.25">
      <c r="T44324" s="135"/>
      <c r="U44324" s="135"/>
    </row>
    <row r="44325" spans="20:21" ht="15" customHeight="1" x14ac:dyDescent="0.25">
      <c r="T44325" s="135"/>
      <c r="U44325" s="135"/>
    </row>
    <row r="44326" spans="20:21" ht="15" customHeight="1" x14ac:dyDescent="0.25">
      <c r="T44326" s="135"/>
      <c r="U44326" s="135"/>
    </row>
    <row r="44327" spans="20:21" ht="15" customHeight="1" x14ac:dyDescent="0.25">
      <c r="T44327" s="135"/>
      <c r="U44327" s="135"/>
    </row>
    <row r="44328" spans="20:21" ht="15" customHeight="1" x14ac:dyDescent="0.25">
      <c r="T44328" s="135"/>
      <c r="U44328" s="135"/>
    </row>
    <row r="44329" spans="20:21" ht="15" customHeight="1" x14ac:dyDescent="0.25">
      <c r="T44329" s="135"/>
      <c r="U44329" s="135"/>
    </row>
    <row r="44330" spans="20:21" ht="15" customHeight="1" x14ac:dyDescent="0.25">
      <c r="T44330" s="135"/>
      <c r="U44330" s="135"/>
    </row>
    <row r="44331" spans="20:21" ht="15" customHeight="1" x14ac:dyDescent="0.25">
      <c r="T44331" s="135"/>
      <c r="U44331" s="135"/>
    </row>
    <row r="44332" spans="20:21" ht="15" customHeight="1" x14ac:dyDescent="0.25">
      <c r="T44332" s="135"/>
      <c r="U44332" s="135"/>
    </row>
    <row r="44333" spans="20:21" ht="15" customHeight="1" x14ac:dyDescent="0.25">
      <c r="T44333" s="135"/>
      <c r="U44333" s="135"/>
    </row>
    <row r="44334" spans="20:21" ht="15" customHeight="1" x14ac:dyDescent="0.25">
      <c r="T44334" s="135"/>
      <c r="U44334" s="135"/>
    </row>
    <row r="44335" spans="20:21" ht="15" customHeight="1" x14ac:dyDescent="0.25">
      <c r="T44335" s="135"/>
      <c r="U44335" s="135"/>
    </row>
    <row r="44336" spans="20:21" ht="15" customHeight="1" x14ac:dyDescent="0.25">
      <c r="T44336" s="135"/>
      <c r="U44336" s="135"/>
    </row>
    <row r="44337" spans="20:21" ht="15" customHeight="1" x14ac:dyDescent="0.25">
      <c r="T44337" s="135"/>
      <c r="U44337" s="135"/>
    </row>
    <row r="44338" spans="20:21" ht="15" customHeight="1" x14ac:dyDescent="0.25">
      <c r="T44338" s="135"/>
      <c r="U44338" s="135"/>
    </row>
    <row r="44339" spans="20:21" ht="15" customHeight="1" x14ac:dyDescent="0.25">
      <c r="T44339" s="135"/>
      <c r="U44339" s="135"/>
    </row>
    <row r="44340" spans="20:21" ht="15" customHeight="1" x14ac:dyDescent="0.25">
      <c r="T44340" s="135"/>
      <c r="U44340" s="135"/>
    </row>
    <row r="44341" spans="20:21" ht="15" customHeight="1" x14ac:dyDescent="0.25">
      <c r="T44341" s="135"/>
      <c r="U44341" s="135"/>
    </row>
    <row r="44342" spans="20:21" ht="15" customHeight="1" x14ac:dyDescent="0.25">
      <c r="T44342" s="135"/>
      <c r="U44342" s="135"/>
    </row>
    <row r="44343" spans="20:21" ht="15" customHeight="1" x14ac:dyDescent="0.25">
      <c r="T44343" s="135"/>
      <c r="U44343" s="135"/>
    </row>
    <row r="44344" spans="20:21" ht="15" customHeight="1" x14ac:dyDescent="0.25">
      <c r="T44344" s="135"/>
      <c r="U44344" s="135"/>
    </row>
    <row r="44345" spans="20:21" ht="15" customHeight="1" x14ac:dyDescent="0.25">
      <c r="T44345" s="135"/>
      <c r="U44345" s="135"/>
    </row>
    <row r="44346" spans="20:21" ht="15" customHeight="1" x14ac:dyDescent="0.25">
      <c r="T44346" s="135"/>
      <c r="U44346" s="135"/>
    </row>
    <row r="44347" spans="20:21" ht="15" customHeight="1" x14ac:dyDescent="0.25">
      <c r="T44347" s="135"/>
      <c r="U44347" s="135"/>
    </row>
    <row r="44348" spans="20:21" ht="15" customHeight="1" x14ac:dyDescent="0.25">
      <c r="T44348" s="135"/>
      <c r="U44348" s="135"/>
    </row>
    <row r="44349" spans="20:21" ht="15" customHeight="1" x14ac:dyDescent="0.25">
      <c r="T44349" s="135"/>
      <c r="U44349" s="135"/>
    </row>
    <row r="44350" spans="20:21" ht="15" customHeight="1" x14ac:dyDescent="0.25">
      <c r="T44350" s="135"/>
      <c r="U44350" s="135"/>
    </row>
    <row r="44351" spans="20:21" ht="15" customHeight="1" x14ac:dyDescent="0.25">
      <c r="T44351" s="135"/>
      <c r="U44351" s="135"/>
    </row>
    <row r="44352" spans="20:21" ht="15" customHeight="1" x14ac:dyDescent="0.25">
      <c r="T44352" s="135"/>
      <c r="U44352" s="135"/>
    </row>
    <row r="44353" spans="20:21" ht="15" customHeight="1" x14ac:dyDescent="0.25">
      <c r="T44353" s="135"/>
      <c r="U44353" s="135"/>
    </row>
    <row r="44354" spans="20:21" ht="15" customHeight="1" x14ac:dyDescent="0.25">
      <c r="T44354" s="135"/>
      <c r="U44354" s="135"/>
    </row>
    <row r="44355" spans="20:21" ht="15" customHeight="1" x14ac:dyDescent="0.25">
      <c r="T44355" s="135"/>
      <c r="U44355" s="135"/>
    </row>
    <row r="44356" spans="20:21" ht="15" customHeight="1" x14ac:dyDescent="0.25">
      <c r="T44356" s="135"/>
      <c r="U44356" s="135"/>
    </row>
    <row r="44357" spans="20:21" ht="15" customHeight="1" x14ac:dyDescent="0.25">
      <c r="T44357" s="135"/>
      <c r="U44357" s="135"/>
    </row>
    <row r="44358" spans="20:21" ht="15" customHeight="1" x14ac:dyDescent="0.25">
      <c r="T44358" s="135"/>
      <c r="U44358" s="135"/>
    </row>
    <row r="44359" spans="20:21" ht="15" customHeight="1" x14ac:dyDescent="0.25">
      <c r="T44359" s="135"/>
      <c r="U44359" s="135"/>
    </row>
    <row r="44360" spans="20:21" ht="15" customHeight="1" x14ac:dyDescent="0.25">
      <c r="T44360" s="135"/>
      <c r="U44360" s="135"/>
    </row>
    <row r="44361" spans="20:21" ht="15" customHeight="1" x14ac:dyDescent="0.25">
      <c r="T44361" s="135"/>
      <c r="U44361" s="135"/>
    </row>
    <row r="44362" spans="20:21" ht="15" customHeight="1" x14ac:dyDescent="0.25">
      <c r="T44362" s="135"/>
      <c r="U44362" s="135"/>
    </row>
    <row r="44363" spans="20:21" ht="15" customHeight="1" x14ac:dyDescent="0.25">
      <c r="T44363" s="135"/>
      <c r="U44363" s="135"/>
    </row>
    <row r="44364" spans="20:21" ht="15" customHeight="1" x14ac:dyDescent="0.25">
      <c r="T44364" s="135"/>
      <c r="U44364" s="135"/>
    </row>
    <row r="44365" spans="20:21" ht="15" customHeight="1" x14ac:dyDescent="0.25">
      <c r="T44365" s="135"/>
      <c r="U44365" s="135"/>
    </row>
    <row r="44366" spans="20:21" ht="15" customHeight="1" x14ac:dyDescent="0.25">
      <c r="T44366" s="135"/>
      <c r="U44366" s="135"/>
    </row>
    <row r="44367" spans="20:21" ht="15" customHeight="1" x14ac:dyDescent="0.25">
      <c r="T44367" s="135"/>
      <c r="U44367" s="135"/>
    </row>
    <row r="44368" spans="20:21" ht="15" customHeight="1" x14ac:dyDescent="0.25">
      <c r="T44368" s="135"/>
      <c r="U44368" s="135"/>
    </row>
    <row r="44369" spans="20:21" ht="15" customHeight="1" x14ac:dyDescent="0.25">
      <c r="T44369" s="135"/>
      <c r="U44369" s="135"/>
    </row>
    <row r="44370" spans="20:21" ht="15" customHeight="1" x14ac:dyDescent="0.25">
      <c r="T44370" s="135"/>
      <c r="U44370" s="135"/>
    </row>
    <row r="44371" spans="20:21" ht="15" customHeight="1" x14ac:dyDescent="0.25">
      <c r="T44371" s="135"/>
      <c r="U44371" s="135"/>
    </row>
    <row r="44372" spans="20:21" ht="15" customHeight="1" x14ac:dyDescent="0.25">
      <c r="T44372" s="135"/>
      <c r="U44372" s="135"/>
    </row>
    <row r="44373" spans="20:21" ht="15" customHeight="1" x14ac:dyDescent="0.25">
      <c r="T44373" s="135"/>
      <c r="U44373" s="135"/>
    </row>
    <row r="44374" spans="20:21" ht="15" customHeight="1" x14ac:dyDescent="0.25">
      <c r="T44374" s="135"/>
      <c r="U44374" s="135"/>
    </row>
    <row r="44375" spans="20:21" ht="15" customHeight="1" x14ac:dyDescent="0.25">
      <c r="T44375" s="135"/>
      <c r="U44375" s="135"/>
    </row>
    <row r="44376" spans="20:21" ht="15" customHeight="1" x14ac:dyDescent="0.25">
      <c r="T44376" s="135"/>
      <c r="U44376" s="135"/>
    </row>
    <row r="44377" spans="20:21" ht="15" customHeight="1" x14ac:dyDescent="0.25">
      <c r="T44377" s="135"/>
      <c r="U44377" s="135"/>
    </row>
    <row r="44378" spans="20:21" ht="15" customHeight="1" x14ac:dyDescent="0.25">
      <c r="T44378" s="135"/>
      <c r="U44378" s="135"/>
    </row>
    <row r="44379" spans="20:21" ht="15" customHeight="1" x14ac:dyDescent="0.25">
      <c r="T44379" s="135"/>
      <c r="U44379" s="135"/>
    </row>
    <row r="44380" spans="20:21" ht="15" customHeight="1" x14ac:dyDescent="0.25">
      <c r="T44380" s="135"/>
      <c r="U44380" s="135"/>
    </row>
    <row r="44381" spans="20:21" ht="15" customHeight="1" x14ac:dyDescent="0.25">
      <c r="T44381" s="135"/>
      <c r="U44381" s="135"/>
    </row>
    <row r="44382" spans="20:21" ht="15" customHeight="1" x14ac:dyDescent="0.25">
      <c r="T44382" s="135"/>
      <c r="U44382" s="135"/>
    </row>
    <row r="44383" spans="20:21" ht="15" customHeight="1" x14ac:dyDescent="0.25">
      <c r="T44383" s="135"/>
      <c r="U44383" s="135"/>
    </row>
    <row r="44384" spans="20:21" ht="15" customHeight="1" x14ac:dyDescent="0.25">
      <c r="T44384" s="135"/>
      <c r="U44384" s="135"/>
    </row>
    <row r="44385" spans="20:21" ht="15" customHeight="1" x14ac:dyDescent="0.25">
      <c r="T44385" s="135"/>
      <c r="U44385" s="135"/>
    </row>
    <row r="44386" spans="20:21" ht="15" customHeight="1" x14ac:dyDescent="0.25">
      <c r="T44386" s="135"/>
      <c r="U44386" s="135"/>
    </row>
    <row r="44387" spans="20:21" ht="15" customHeight="1" x14ac:dyDescent="0.25">
      <c r="T44387" s="135"/>
      <c r="U44387" s="135"/>
    </row>
    <row r="44388" spans="20:21" ht="15" customHeight="1" x14ac:dyDescent="0.25">
      <c r="T44388" s="135"/>
      <c r="U44388" s="135"/>
    </row>
    <row r="44389" spans="20:21" ht="15" customHeight="1" x14ac:dyDescent="0.25">
      <c r="T44389" s="135"/>
      <c r="U44389" s="135"/>
    </row>
    <row r="44390" spans="20:21" ht="15" customHeight="1" x14ac:dyDescent="0.25">
      <c r="T44390" s="135"/>
      <c r="U44390" s="135"/>
    </row>
    <row r="44391" spans="20:21" ht="15" customHeight="1" x14ac:dyDescent="0.25">
      <c r="T44391" s="135"/>
      <c r="U44391" s="135"/>
    </row>
    <row r="44392" spans="20:21" ht="15" customHeight="1" x14ac:dyDescent="0.25">
      <c r="T44392" s="135"/>
      <c r="U44392" s="135"/>
    </row>
    <row r="44393" spans="20:21" ht="15" customHeight="1" x14ac:dyDescent="0.25">
      <c r="T44393" s="135"/>
      <c r="U44393" s="135"/>
    </row>
    <row r="44394" spans="20:21" ht="15" customHeight="1" x14ac:dyDescent="0.25">
      <c r="T44394" s="135"/>
      <c r="U44394" s="135"/>
    </row>
    <row r="44395" spans="20:21" ht="15" customHeight="1" x14ac:dyDescent="0.25">
      <c r="T44395" s="135"/>
      <c r="U44395" s="135"/>
    </row>
    <row r="44396" spans="20:21" ht="15" customHeight="1" x14ac:dyDescent="0.25">
      <c r="T44396" s="135"/>
      <c r="U44396" s="135"/>
    </row>
    <row r="44397" spans="20:21" ht="15" customHeight="1" x14ac:dyDescent="0.25">
      <c r="T44397" s="135"/>
      <c r="U44397" s="135"/>
    </row>
    <row r="44398" spans="20:21" ht="15" customHeight="1" x14ac:dyDescent="0.25">
      <c r="T44398" s="135"/>
      <c r="U44398" s="135"/>
    </row>
    <row r="44399" spans="20:21" ht="15" customHeight="1" x14ac:dyDescent="0.25">
      <c r="T44399" s="135"/>
      <c r="U44399" s="135"/>
    </row>
    <row r="44400" spans="20:21" ht="15" customHeight="1" x14ac:dyDescent="0.25">
      <c r="T44400" s="135"/>
      <c r="U44400" s="135"/>
    </row>
    <row r="44401" spans="20:21" ht="15" customHeight="1" x14ac:dyDescent="0.25">
      <c r="T44401" s="135"/>
      <c r="U44401" s="135"/>
    </row>
    <row r="44402" spans="20:21" ht="15" customHeight="1" x14ac:dyDescent="0.25">
      <c r="T44402" s="135"/>
      <c r="U44402" s="135"/>
    </row>
    <row r="44403" spans="20:21" ht="15" customHeight="1" x14ac:dyDescent="0.25">
      <c r="T44403" s="135"/>
      <c r="U44403" s="135"/>
    </row>
    <row r="44404" spans="20:21" ht="15" customHeight="1" x14ac:dyDescent="0.25">
      <c r="T44404" s="135"/>
      <c r="U44404" s="135"/>
    </row>
    <row r="44405" spans="20:21" ht="15" customHeight="1" x14ac:dyDescent="0.25">
      <c r="T44405" s="135"/>
      <c r="U44405" s="135"/>
    </row>
    <row r="44406" spans="20:21" ht="15" customHeight="1" x14ac:dyDescent="0.25">
      <c r="T44406" s="135"/>
      <c r="U44406" s="135"/>
    </row>
    <row r="44407" spans="20:21" ht="15" customHeight="1" x14ac:dyDescent="0.25">
      <c r="T44407" s="135"/>
      <c r="U44407" s="135"/>
    </row>
    <row r="44408" spans="20:21" ht="15" customHeight="1" x14ac:dyDescent="0.25">
      <c r="T44408" s="135"/>
      <c r="U44408" s="135"/>
    </row>
    <row r="44409" spans="20:21" ht="15" customHeight="1" x14ac:dyDescent="0.25">
      <c r="T44409" s="135"/>
      <c r="U44409" s="135"/>
    </row>
    <row r="44410" spans="20:21" ht="15" customHeight="1" x14ac:dyDescent="0.25">
      <c r="T44410" s="135"/>
      <c r="U44410" s="135"/>
    </row>
    <row r="44411" spans="20:21" ht="15" customHeight="1" x14ac:dyDescent="0.25">
      <c r="T44411" s="135"/>
      <c r="U44411" s="135"/>
    </row>
    <row r="44412" spans="20:21" ht="15" customHeight="1" x14ac:dyDescent="0.25">
      <c r="T44412" s="135"/>
      <c r="U44412" s="135"/>
    </row>
    <row r="44413" spans="20:21" ht="15" customHeight="1" x14ac:dyDescent="0.25">
      <c r="T44413" s="135"/>
      <c r="U44413" s="135"/>
    </row>
    <row r="44414" spans="20:21" ht="15" customHeight="1" x14ac:dyDescent="0.25">
      <c r="T44414" s="135"/>
      <c r="U44414" s="135"/>
    </row>
    <row r="44415" spans="20:21" ht="15" customHeight="1" x14ac:dyDescent="0.25">
      <c r="T44415" s="135"/>
      <c r="U44415" s="135"/>
    </row>
    <row r="44416" spans="20:21" ht="15" customHeight="1" x14ac:dyDescent="0.25">
      <c r="T44416" s="135"/>
      <c r="U44416" s="135"/>
    </row>
    <row r="44417" spans="20:21" ht="15" customHeight="1" x14ac:dyDescent="0.25">
      <c r="T44417" s="135"/>
      <c r="U44417" s="135"/>
    </row>
    <row r="44418" spans="20:21" ht="15" customHeight="1" x14ac:dyDescent="0.25">
      <c r="T44418" s="135"/>
      <c r="U44418" s="135"/>
    </row>
    <row r="44419" spans="20:21" ht="15" customHeight="1" x14ac:dyDescent="0.25">
      <c r="T44419" s="135"/>
      <c r="U44419" s="135"/>
    </row>
    <row r="44420" spans="20:21" ht="15" customHeight="1" x14ac:dyDescent="0.25">
      <c r="T44420" s="135"/>
      <c r="U44420" s="135"/>
    </row>
    <row r="44421" spans="20:21" ht="15" customHeight="1" x14ac:dyDescent="0.25">
      <c r="T44421" s="135"/>
      <c r="U44421" s="135"/>
    </row>
    <row r="44422" spans="20:21" ht="15" customHeight="1" x14ac:dyDescent="0.25">
      <c r="T44422" s="135"/>
      <c r="U44422" s="135"/>
    </row>
    <row r="44423" spans="20:21" ht="15" customHeight="1" x14ac:dyDescent="0.25">
      <c r="T44423" s="135"/>
      <c r="U44423" s="135"/>
    </row>
    <row r="44424" spans="20:21" ht="15" customHeight="1" x14ac:dyDescent="0.25">
      <c r="T44424" s="135"/>
      <c r="U44424" s="135"/>
    </row>
    <row r="44425" spans="20:21" ht="15" customHeight="1" x14ac:dyDescent="0.25">
      <c r="T44425" s="135"/>
      <c r="U44425" s="135"/>
    </row>
    <row r="44426" spans="20:21" ht="15" customHeight="1" x14ac:dyDescent="0.25">
      <c r="T44426" s="135"/>
      <c r="U44426" s="135"/>
    </row>
    <row r="44427" spans="20:21" ht="15" customHeight="1" x14ac:dyDescent="0.25">
      <c r="T44427" s="135"/>
      <c r="U44427" s="135"/>
    </row>
    <row r="44428" spans="20:21" ht="15" customHeight="1" x14ac:dyDescent="0.25">
      <c r="T44428" s="135"/>
      <c r="U44428" s="135"/>
    </row>
    <row r="44429" spans="20:21" ht="15" customHeight="1" x14ac:dyDescent="0.25">
      <c r="T44429" s="135"/>
      <c r="U44429" s="135"/>
    </row>
    <row r="44430" spans="20:21" ht="15" customHeight="1" x14ac:dyDescent="0.25">
      <c r="T44430" s="135"/>
      <c r="U44430" s="135"/>
    </row>
    <row r="44431" spans="20:21" ht="15" customHeight="1" x14ac:dyDescent="0.25">
      <c r="T44431" s="135"/>
      <c r="U44431" s="135"/>
    </row>
    <row r="44432" spans="20:21" ht="15" customHeight="1" x14ac:dyDescent="0.25">
      <c r="T44432" s="135"/>
      <c r="U44432" s="135"/>
    </row>
    <row r="44433" spans="20:21" ht="15" customHeight="1" x14ac:dyDescent="0.25">
      <c r="T44433" s="135"/>
      <c r="U44433" s="135"/>
    </row>
    <row r="44434" spans="20:21" ht="15" customHeight="1" x14ac:dyDescent="0.25">
      <c r="T44434" s="135"/>
      <c r="U44434" s="135"/>
    </row>
    <row r="44435" spans="20:21" ht="15" customHeight="1" x14ac:dyDescent="0.25">
      <c r="T44435" s="135"/>
      <c r="U44435" s="135"/>
    </row>
    <row r="44436" spans="20:21" ht="15" customHeight="1" x14ac:dyDescent="0.25">
      <c r="T44436" s="135"/>
      <c r="U44436" s="135"/>
    </row>
    <row r="44437" spans="20:21" ht="15" customHeight="1" x14ac:dyDescent="0.25">
      <c r="T44437" s="135"/>
      <c r="U44437" s="135"/>
    </row>
    <row r="44438" spans="20:21" ht="15" customHeight="1" x14ac:dyDescent="0.25">
      <c r="T44438" s="135"/>
      <c r="U44438" s="135"/>
    </row>
    <row r="44439" spans="20:21" ht="15" customHeight="1" x14ac:dyDescent="0.25">
      <c r="T44439" s="135"/>
      <c r="U44439" s="135"/>
    </row>
    <row r="44440" spans="20:21" ht="15" customHeight="1" x14ac:dyDescent="0.25">
      <c r="T44440" s="135"/>
      <c r="U44440" s="135"/>
    </row>
    <row r="44441" spans="20:21" ht="15" customHeight="1" x14ac:dyDescent="0.25">
      <c r="T44441" s="135"/>
      <c r="U44441" s="135"/>
    </row>
    <row r="44442" spans="20:21" ht="15" customHeight="1" x14ac:dyDescent="0.25">
      <c r="T44442" s="135"/>
      <c r="U44442" s="135"/>
    </row>
    <row r="44443" spans="20:21" ht="15" customHeight="1" x14ac:dyDescent="0.25">
      <c r="T44443" s="135"/>
      <c r="U44443" s="135"/>
    </row>
    <row r="44444" spans="20:21" ht="15" customHeight="1" x14ac:dyDescent="0.25">
      <c r="T44444" s="135"/>
      <c r="U44444" s="135"/>
    </row>
    <row r="44445" spans="20:21" ht="15" customHeight="1" x14ac:dyDescent="0.25">
      <c r="T44445" s="135"/>
      <c r="U44445" s="135"/>
    </row>
    <row r="44446" spans="20:21" ht="15" customHeight="1" x14ac:dyDescent="0.25">
      <c r="T44446" s="135"/>
      <c r="U44446" s="135"/>
    </row>
    <row r="44447" spans="20:21" ht="15" customHeight="1" x14ac:dyDescent="0.25">
      <c r="T44447" s="135"/>
      <c r="U44447" s="135"/>
    </row>
    <row r="44448" spans="20:21" ht="15" customHeight="1" x14ac:dyDescent="0.25">
      <c r="T44448" s="135"/>
      <c r="U44448" s="135"/>
    </row>
    <row r="44449" spans="20:21" ht="15" customHeight="1" x14ac:dyDescent="0.25">
      <c r="T44449" s="135"/>
      <c r="U44449" s="135"/>
    </row>
    <row r="44450" spans="20:21" ht="15" customHeight="1" x14ac:dyDescent="0.25">
      <c r="T44450" s="135"/>
      <c r="U44450" s="135"/>
    </row>
    <row r="44451" spans="20:21" ht="15" customHeight="1" x14ac:dyDescent="0.25">
      <c r="T44451" s="135"/>
      <c r="U44451" s="135"/>
    </row>
    <row r="44452" spans="20:21" ht="15" customHeight="1" x14ac:dyDescent="0.25">
      <c r="T44452" s="135"/>
      <c r="U44452" s="135"/>
    </row>
    <row r="44453" spans="20:21" ht="15" customHeight="1" x14ac:dyDescent="0.25">
      <c r="T44453" s="135"/>
      <c r="U44453" s="135"/>
    </row>
    <row r="44454" spans="20:21" ht="15" customHeight="1" x14ac:dyDescent="0.25">
      <c r="T44454" s="135"/>
      <c r="U44454" s="135"/>
    </row>
    <row r="44455" spans="20:21" ht="15" customHeight="1" x14ac:dyDescent="0.25">
      <c r="T44455" s="135"/>
      <c r="U44455" s="135"/>
    </row>
    <row r="44456" spans="20:21" ht="15" customHeight="1" x14ac:dyDescent="0.25">
      <c r="T44456" s="135"/>
      <c r="U44456" s="135"/>
    </row>
    <row r="44457" spans="20:21" ht="15" customHeight="1" x14ac:dyDescent="0.25">
      <c r="T44457" s="135"/>
      <c r="U44457" s="135"/>
    </row>
    <row r="44458" spans="20:21" ht="15" customHeight="1" x14ac:dyDescent="0.25">
      <c r="T44458" s="135"/>
      <c r="U44458" s="135"/>
    </row>
    <row r="44459" spans="20:21" ht="15" customHeight="1" x14ac:dyDescent="0.25">
      <c r="T44459" s="135"/>
      <c r="U44459" s="135"/>
    </row>
    <row r="44460" spans="20:21" ht="15" customHeight="1" x14ac:dyDescent="0.25">
      <c r="T44460" s="135"/>
      <c r="U44460" s="135"/>
    </row>
    <row r="44461" spans="20:21" ht="15" customHeight="1" x14ac:dyDescent="0.25">
      <c r="T44461" s="135"/>
      <c r="U44461" s="135"/>
    </row>
    <row r="44462" spans="20:21" ht="15" customHeight="1" x14ac:dyDescent="0.25">
      <c r="T44462" s="135"/>
      <c r="U44462" s="135"/>
    </row>
    <row r="44463" spans="20:21" ht="15" customHeight="1" x14ac:dyDescent="0.25">
      <c r="T44463" s="135"/>
      <c r="U44463" s="135"/>
    </row>
    <row r="44464" spans="20:21" ht="15" customHeight="1" x14ac:dyDescent="0.25">
      <c r="T44464" s="135"/>
      <c r="U44464" s="135"/>
    </row>
    <row r="44465" spans="20:21" ht="15" customHeight="1" x14ac:dyDescent="0.25">
      <c r="T44465" s="135"/>
      <c r="U44465" s="135"/>
    </row>
    <row r="44466" spans="20:21" ht="15" customHeight="1" x14ac:dyDescent="0.25">
      <c r="T44466" s="135"/>
      <c r="U44466" s="135"/>
    </row>
    <row r="44467" spans="20:21" ht="15" customHeight="1" x14ac:dyDescent="0.25">
      <c r="T44467" s="135"/>
      <c r="U44467" s="135"/>
    </row>
    <row r="44468" spans="20:21" ht="15" customHeight="1" x14ac:dyDescent="0.25">
      <c r="T44468" s="135"/>
      <c r="U44468" s="135"/>
    </row>
    <row r="44469" spans="20:21" ht="15" customHeight="1" x14ac:dyDescent="0.25">
      <c r="T44469" s="135"/>
      <c r="U44469" s="135"/>
    </row>
    <row r="44470" spans="20:21" ht="15" customHeight="1" x14ac:dyDescent="0.25">
      <c r="T44470" s="135"/>
      <c r="U44470" s="135"/>
    </row>
    <row r="44471" spans="20:21" ht="15" customHeight="1" x14ac:dyDescent="0.25">
      <c r="T44471" s="135"/>
      <c r="U44471" s="135"/>
    </row>
    <row r="44472" spans="20:21" ht="15" customHeight="1" x14ac:dyDescent="0.25">
      <c r="T44472" s="135"/>
      <c r="U44472" s="135"/>
    </row>
    <row r="44473" spans="20:21" ht="15" customHeight="1" x14ac:dyDescent="0.25">
      <c r="T44473" s="135"/>
      <c r="U44473" s="135"/>
    </row>
    <row r="44474" spans="20:21" ht="15" customHeight="1" x14ac:dyDescent="0.25">
      <c r="T44474" s="135"/>
      <c r="U44474" s="135"/>
    </row>
    <row r="44475" spans="20:21" ht="15" customHeight="1" x14ac:dyDescent="0.25">
      <c r="T44475" s="135"/>
      <c r="U44475" s="135"/>
    </row>
    <row r="44476" spans="20:21" ht="15" customHeight="1" x14ac:dyDescent="0.25">
      <c r="T44476" s="135"/>
      <c r="U44476" s="135"/>
    </row>
    <row r="44477" spans="20:21" ht="15" customHeight="1" x14ac:dyDescent="0.25">
      <c r="T44477" s="135"/>
      <c r="U44477" s="135"/>
    </row>
    <row r="44478" spans="20:21" ht="15" customHeight="1" x14ac:dyDescent="0.25">
      <c r="T44478" s="135"/>
      <c r="U44478" s="135"/>
    </row>
    <row r="44479" spans="20:21" ht="15" customHeight="1" x14ac:dyDescent="0.25">
      <c r="T44479" s="135"/>
      <c r="U44479" s="135"/>
    </row>
    <row r="44480" spans="20:21" ht="15" customHeight="1" x14ac:dyDescent="0.25">
      <c r="T44480" s="135"/>
      <c r="U44480" s="135"/>
    </row>
    <row r="44481" spans="20:21" ht="15" customHeight="1" x14ac:dyDescent="0.25">
      <c r="T44481" s="135"/>
      <c r="U44481" s="135"/>
    </row>
    <row r="44482" spans="20:21" ht="15" customHeight="1" x14ac:dyDescent="0.25">
      <c r="T44482" s="135"/>
      <c r="U44482" s="135"/>
    </row>
    <row r="44483" spans="20:21" ht="15" customHeight="1" x14ac:dyDescent="0.25">
      <c r="T44483" s="135"/>
      <c r="U44483" s="135"/>
    </row>
    <row r="44484" spans="20:21" ht="15" customHeight="1" x14ac:dyDescent="0.25">
      <c r="T44484" s="135"/>
      <c r="U44484" s="135"/>
    </row>
    <row r="44485" spans="20:21" ht="15" customHeight="1" x14ac:dyDescent="0.25">
      <c r="T44485" s="135"/>
      <c r="U44485" s="135"/>
    </row>
    <row r="44486" spans="20:21" ht="15" customHeight="1" x14ac:dyDescent="0.25">
      <c r="T44486" s="135"/>
      <c r="U44486" s="135"/>
    </row>
    <row r="44487" spans="20:21" ht="15" customHeight="1" x14ac:dyDescent="0.25">
      <c r="T44487" s="135"/>
      <c r="U44487" s="135"/>
    </row>
    <row r="44488" spans="20:21" ht="15" customHeight="1" x14ac:dyDescent="0.25">
      <c r="T44488" s="135"/>
      <c r="U44488" s="135"/>
    </row>
    <row r="44489" spans="20:21" ht="15" customHeight="1" x14ac:dyDescent="0.25">
      <c r="T44489" s="135"/>
      <c r="U44489" s="135"/>
    </row>
    <row r="44490" spans="20:21" ht="15" customHeight="1" x14ac:dyDescent="0.25">
      <c r="T44490" s="135"/>
      <c r="U44490" s="135"/>
    </row>
    <row r="44491" spans="20:21" ht="15" customHeight="1" x14ac:dyDescent="0.25">
      <c r="T44491" s="135"/>
      <c r="U44491" s="135"/>
    </row>
    <row r="44492" spans="20:21" ht="15" customHeight="1" x14ac:dyDescent="0.25">
      <c r="T44492" s="135"/>
      <c r="U44492" s="135"/>
    </row>
    <row r="44493" spans="20:21" ht="15" customHeight="1" x14ac:dyDescent="0.25">
      <c r="T44493" s="135"/>
      <c r="U44493" s="135"/>
    </row>
    <row r="44494" spans="20:21" ht="15" customHeight="1" x14ac:dyDescent="0.25">
      <c r="T44494" s="135"/>
      <c r="U44494" s="135"/>
    </row>
    <row r="44495" spans="20:21" ht="15" customHeight="1" x14ac:dyDescent="0.25">
      <c r="T44495" s="135"/>
      <c r="U44495" s="135"/>
    </row>
    <row r="44496" spans="20:21" ht="15" customHeight="1" x14ac:dyDescent="0.25">
      <c r="T44496" s="135"/>
      <c r="U44496" s="135"/>
    </row>
    <row r="44497" spans="20:21" ht="15" customHeight="1" x14ac:dyDescent="0.25">
      <c r="T44497" s="135"/>
      <c r="U44497" s="135"/>
    </row>
    <row r="44498" spans="20:21" ht="15" customHeight="1" x14ac:dyDescent="0.25">
      <c r="T44498" s="135"/>
      <c r="U44498" s="135"/>
    </row>
    <row r="44499" spans="20:21" ht="15" customHeight="1" x14ac:dyDescent="0.25">
      <c r="T44499" s="135"/>
      <c r="U44499" s="135"/>
    </row>
    <row r="44500" spans="20:21" ht="15" customHeight="1" x14ac:dyDescent="0.25">
      <c r="T44500" s="135"/>
      <c r="U44500" s="135"/>
    </row>
    <row r="44501" spans="20:21" ht="15" customHeight="1" x14ac:dyDescent="0.25">
      <c r="T44501" s="135"/>
      <c r="U44501" s="135"/>
    </row>
    <row r="44502" spans="20:21" ht="15" customHeight="1" x14ac:dyDescent="0.25">
      <c r="T44502" s="135"/>
      <c r="U44502" s="135"/>
    </row>
    <row r="44503" spans="20:21" ht="15" customHeight="1" x14ac:dyDescent="0.25">
      <c r="T44503" s="135"/>
      <c r="U44503" s="135"/>
    </row>
    <row r="44504" spans="20:21" ht="15" customHeight="1" x14ac:dyDescent="0.25">
      <c r="T44504" s="135"/>
      <c r="U44504" s="135"/>
    </row>
    <row r="44505" spans="20:21" ht="15" customHeight="1" x14ac:dyDescent="0.25">
      <c r="T44505" s="135"/>
      <c r="U44505" s="135"/>
    </row>
    <row r="44506" spans="20:21" ht="15" customHeight="1" x14ac:dyDescent="0.25">
      <c r="T44506" s="135"/>
      <c r="U44506" s="135"/>
    </row>
    <row r="44507" spans="20:21" ht="15" customHeight="1" x14ac:dyDescent="0.25">
      <c r="T44507" s="135"/>
      <c r="U44507" s="135"/>
    </row>
    <row r="44508" spans="20:21" ht="15" customHeight="1" x14ac:dyDescent="0.25">
      <c r="T44508" s="135"/>
      <c r="U44508" s="135"/>
    </row>
    <row r="44509" spans="20:21" ht="15" customHeight="1" x14ac:dyDescent="0.25">
      <c r="T44509" s="135"/>
      <c r="U44509" s="135"/>
    </row>
    <row r="44510" spans="20:21" ht="15" customHeight="1" x14ac:dyDescent="0.25">
      <c r="T44510" s="135"/>
      <c r="U44510" s="135"/>
    </row>
    <row r="44511" spans="20:21" ht="15" customHeight="1" x14ac:dyDescent="0.25">
      <c r="T44511" s="135"/>
      <c r="U44511" s="135"/>
    </row>
    <row r="44512" spans="20:21" ht="15" customHeight="1" x14ac:dyDescent="0.25">
      <c r="T44512" s="135"/>
      <c r="U44512" s="135"/>
    </row>
    <row r="44513" spans="20:21" ht="15" customHeight="1" x14ac:dyDescent="0.25">
      <c r="T44513" s="135"/>
      <c r="U44513" s="135"/>
    </row>
    <row r="44514" spans="20:21" ht="15" customHeight="1" x14ac:dyDescent="0.25">
      <c r="T44514" s="135"/>
      <c r="U44514" s="135"/>
    </row>
    <row r="44515" spans="20:21" ht="15" customHeight="1" x14ac:dyDescent="0.25">
      <c r="T44515" s="135"/>
      <c r="U44515" s="135"/>
    </row>
    <row r="44516" spans="20:21" ht="15" customHeight="1" x14ac:dyDescent="0.25">
      <c r="T44516" s="135"/>
      <c r="U44516" s="135"/>
    </row>
    <row r="44517" spans="20:21" ht="15" customHeight="1" x14ac:dyDescent="0.25">
      <c r="T44517" s="135"/>
      <c r="U44517" s="135"/>
    </row>
    <row r="44518" spans="20:21" ht="15" customHeight="1" x14ac:dyDescent="0.25">
      <c r="T44518" s="135"/>
      <c r="U44518" s="135"/>
    </row>
    <row r="44519" spans="20:21" ht="15" customHeight="1" x14ac:dyDescent="0.25">
      <c r="T44519" s="135"/>
      <c r="U44519" s="135"/>
    </row>
    <row r="44520" spans="20:21" ht="15" customHeight="1" x14ac:dyDescent="0.25">
      <c r="T44520" s="135"/>
      <c r="U44520" s="135"/>
    </row>
    <row r="44521" spans="20:21" ht="15" customHeight="1" x14ac:dyDescent="0.25">
      <c r="T44521" s="135"/>
      <c r="U44521" s="135"/>
    </row>
    <row r="44522" spans="20:21" ht="15" customHeight="1" x14ac:dyDescent="0.25">
      <c r="T44522" s="135"/>
      <c r="U44522" s="135"/>
    </row>
    <row r="44523" spans="20:21" ht="15" customHeight="1" x14ac:dyDescent="0.25">
      <c r="T44523" s="135"/>
      <c r="U44523" s="135"/>
    </row>
    <row r="44524" spans="20:21" ht="15" customHeight="1" x14ac:dyDescent="0.25">
      <c r="T44524" s="135"/>
      <c r="U44524" s="135"/>
    </row>
    <row r="44525" spans="20:21" ht="15" customHeight="1" x14ac:dyDescent="0.25">
      <c r="T44525" s="135"/>
      <c r="U44525" s="135"/>
    </row>
    <row r="44526" spans="20:21" ht="15" customHeight="1" x14ac:dyDescent="0.25">
      <c r="T44526" s="135"/>
      <c r="U44526" s="135"/>
    </row>
    <row r="44527" spans="20:21" ht="15" customHeight="1" x14ac:dyDescent="0.25">
      <c r="T44527" s="135"/>
      <c r="U44527" s="135"/>
    </row>
    <row r="44528" spans="20:21" ht="15" customHeight="1" x14ac:dyDescent="0.25">
      <c r="T44528" s="135"/>
      <c r="U44528" s="135"/>
    </row>
    <row r="44529" spans="20:21" ht="15" customHeight="1" x14ac:dyDescent="0.25">
      <c r="T44529" s="135"/>
      <c r="U44529" s="135"/>
    </row>
    <row r="44530" spans="20:21" ht="15" customHeight="1" x14ac:dyDescent="0.25">
      <c r="T44530" s="135"/>
      <c r="U44530" s="135"/>
    </row>
    <row r="44531" spans="20:21" ht="15" customHeight="1" x14ac:dyDescent="0.25">
      <c r="T44531" s="135"/>
      <c r="U44531" s="135"/>
    </row>
    <row r="44532" spans="20:21" ht="15" customHeight="1" x14ac:dyDescent="0.25">
      <c r="T44532" s="135"/>
      <c r="U44532" s="135"/>
    </row>
    <row r="44533" spans="20:21" ht="15" customHeight="1" x14ac:dyDescent="0.25">
      <c r="T44533" s="135"/>
      <c r="U44533" s="135"/>
    </row>
    <row r="44534" spans="20:21" ht="15" customHeight="1" x14ac:dyDescent="0.25">
      <c r="T44534" s="135"/>
      <c r="U44534" s="135"/>
    </row>
    <row r="44535" spans="20:21" ht="15" customHeight="1" x14ac:dyDescent="0.25">
      <c r="T44535" s="135"/>
      <c r="U44535" s="135"/>
    </row>
    <row r="44536" spans="20:21" ht="15" customHeight="1" x14ac:dyDescent="0.25">
      <c r="T44536" s="135"/>
      <c r="U44536" s="135"/>
    </row>
    <row r="44537" spans="20:21" ht="15" customHeight="1" x14ac:dyDescent="0.25">
      <c r="T44537" s="135"/>
      <c r="U44537" s="135"/>
    </row>
    <row r="44538" spans="20:21" ht="15" customHeight="1" x14ac:dyDescent="0.25">
      <c r="T44538" s="135"/>
      <c r="U44538" s="135"/>
    </row>
    <row r="44539" spans="20:21" ht="15" customHeight="1" x14ac:dyDescent="0.25">
      <c r="T44539" s="135"/>
      <c r="U44539" s="135"/>
    </row>
    <row r="44540" spans="20:21" ht="15" customHeight="1" x14ac:dyDescent="0.25">
      <c r="T44540" s="135"/>
      <c r="U44540" s="135"/>
    </row>
    <row r="44541" spans="20:21" ht="15" customHeight="1" x14ac:dyDescent="0.25">
      <c r="T44541" s="135"/>
      <c r="U44541" s="135"/>
    </row>
    <row r="44542" spans="20:21" ht="15" customHeight="1" x14ac:dyDescent="0.25">
      <c r="T44542" s="135"/>
      <c r="U44542" s="135"/>
    </row>
    <row r="44543" spans="20:21" ht="15" customHeight="1" x14ac:dyDescent="0.25">
      <c r="T44543" s="135"/>
      <c r="U44543" s="135"/>
    </row>
    <row r="44544" spans="20:21" ht="15" customHeight="1" x14ac:dyDescent="0.25">
      <c r="T44544" s="135"/>
      <c r="U44544" s="135"/>
    </row>
    <row r="44545" spans="20:21" ht="15" customHeight="1" x14ac:dyDescent="0.25">
      <c r="T44545" s="135"/>
      <c r="U44545" s="135"/>
    </row>
    <row r="44546" spans="20:21" ht="15" customHeight="1" x14ac:dyDescent="0.25">
      <c r="T44546" s="135"/>
      <c r="U44546" s="135"/>
    </row>
    <row r="44547" spans="20:21" ht="15" customHeight="1" x14ac:dyDescent="0.25">
      <c r="T44547" s="135"/>
      <c r="U44547" s="135"/>
    </row>
    <row r="44548" spans="20:21" ht="15" customHeight="1" x14ac:dyDescent="0.25">
      <c r="T44548" s="135"/>
      <c r="U44548" s="135"/>
    </row>
    <row r="44549" spans="20:21" ht="15" customHeight="1" x14ac:dyDescent="0.25">
      <c r="T44549" s="135"/>
      <c r="U44549" s="135"/>
    </row>
    <row r="44550" spans="20:21" ht="15" customHeight="1" x14ac:dyDescent="0.25">
      <c r="T44550" s="135"/>
      <c r="U44550" s="135"/>
    </row>
    <row r="44551" spans="20:21" ht="15" customHeight="1" x14ac:dyDescent="0.25">
      <c r="T44551" s="135"/>
      <c r="U44551" s="135"/>
    </row>
    <row r="44552" spans="20:21" ht="15" customHeight="1" x14ac:dyDescent="0.25">
      <c r="T44552" s="135"/>
      <c r="U44552" s="135"/>
    </row>
    <row r="44553" spans="20:21" ht="15" customHeight="1" x14ac:dyDescent="0.25">
      <c r="T44553" s="135"/>
      <c r="U44553" s="135"/>
    </row>
    <row r="44554" spans="20:21" ht="15" customHeight="1" x14ac:dyDescent="0.25">
      <c r="T44554" s="135"/>
      <c r="U44554" s="135"/>
    </row>
    <row r="44555" spans="20:21" ht="15" customHeight="1" x14ac:dyDescent="0.25">
      <c r="T44555" s="135"/>
      <c r="U44555" s="135"/>
    </row>
    <row r="44556" spans="20:21" ht="15" customHeight="1" x14ac:dyDescent="0.25">
      <c r="T44556" s="135"/>
      <c r="U44556" s="135"/>
    </row>
    <row r="44557" spans="20:21" ht="15" customHeight="1" x14ac:dyDescent="0.25">
      <c r="T44557" s="135"/>
      <c r="U44557" s="135"/>
    </row>
    <row r="44558" spans="20:21" ht="15" customHeight="1" x14ac:dyDescent="0.25">
      <c r="T44558" s="135"/>
      <c r="U44558" s="135"/>
    </row>
    <row r="44559" spans="20:21" ht="15" customHeight="1" x14ac:dyDescent="0.25">
      <c r="T44559" s="135"/>
      <c r="U44559" s="135"/>
    </row>
    <row r="44560" spans="20:21" ht="15" customHeight="1" x14ac:dyDescent="0.25">
      <c r="T44560" s="135"/>
      <c r="U44560" s="135"/>
    </row>
    <row r="44561" spans="20:21" ht="15" customHeight="1" x14ac:dyDescent="0.25">
      <c r="T44561" s="135"/>
      <c r="U44561" s="135"/>
    </row>
    <row r="44562" spans="20:21" ht="15" customHeight="1" x14ac:dyDescent="0.25">
      <c r="T44562" s="135"/>
      <c r="U44562" s="135"/>
    </row>
    <row r="44563" spans="20:21" ht="15" customHeight="1" x14ac:dyDescent="0.25">
      <c r="T44563" s="135"/>
      <c r="U44563" s="135"/>
    </row>
    <row r="44564" spans="20:21" ht="15" customHeight="1" x14ac:dyDescent="0.25">
      <c r="T44564" s="135"/>
      <c r="U44564" s="135"/>
    </row>
    <row r="44565" spans="20:21" ht="15" customHeight="1" x14ac:dyDescent="0.25">
      <c r="T44565" s="135"/>
      <c r="U44565" s="135"/>
    </row>
    <row r="44566" spans="20:21" ht="15" customHeight="1" x14ac:dyDescent="0.25">
      <c r="T44566" s="135"/>
      <c r="U44566" s="135"/>
    </row>
    <row r="44567" spans="20:21" ht="15" customHeight="1" x14ac:dyDescent="0.25">
      <c r="T44567" s="135"/>
      <c r="U44567" s="135"/>
    </row>
    <row r="44568" spans="20:21" ht="15" customHeight="1" x14ac:dyDescent="0.25">
      <c r="T44568" s="135"/>
      <c r="U44568" s="135"/>
    </row>
    <row r="44569" spans="20:21" ht="15" customHeight="1" x14ac:dyDescent="0.25">
      <c r="T44569" s="135"/>
      <c r="U44569" s="135"/>
    </row>
    <row r="44570" spans="20:21" ht="15" customHeight="1" x14ac:dyDescent="0.25">
      <c r="T44570" s="135"/>
      <c r="U44570" s="135"/>
    </row>
    <row r="44571" spans="20:21" ht="15" customHeight="1" x14ac:dyDescent="0.25">
      <c r="T44571" s="135"/>
      <c r="U44571" s="135"/>
    </row>
    <row r="44572" spans="20:21" ht="15" customHeight="1" x14ac:dyDescent="0.25">
      <c r="T44572" s="135"/>
      <c r="U44572" s="135"/>
    </row>
    <row r="44573" spans="20:21" ht="15" customHeight="1" x14ac:dyDescent="0.25">
      <c r="T44573" s="135"/>
      <c r="U44573" s="135"/>
    </row>
    <row r="44574" spans="20:21" ht="15" customHeight="1" x14ac:dyDescent="0.25">
      <c r="T44574" s="135"/>
      <c r="U44574" s="135"/>
    </row>
    <row r="44575" spans="20:21" ht="15" customHeight="1" x14ac:dyDescent="0.25">
      <c r="T44575" s="135"/>
      <c r="U44575" s="135"/>
    </row>
    <row r="44576" spans="20:21" ht="15" customHeight="1" x14ac:dyDescent="0.25">
      <c r="T44576" s="135"/>
      <c r="U44576" s="135"/>
    </row>
    <row r="44577" spans="20:21" ht="15" customHeight="1" x14ac:dyDescent="0.25">
      <c r="T44577" s="135"/>
      <c r="U44577" s="135"/>
    </row>
    <row r="44578" spans="20:21" ht="15" customHeight="1" x14ac:dyDescent="0.25">
      <c r="T44578" s="135"/>
      <c r="U44578" s="135"/>
    </row>
    <row r="44579" spans="20:21" ht="15" customHeight="1" x14ac:dyDescent="0.25">
      <c r="T44579" s="135"/>
      <c r="U44579" s="135"/>
    </row>
    <row r="44580" spans="20:21" ht="15" customHeight="1" x14ac:dyDescent="0.25">
      <c r="T44580" s="135"/>
      <c r="U44580" s="135"/>
    </row>
    <row r="44581" spans="20:21" ht="15" customHeight="1" x14ac:dyDescent="0.25">
      <c r="T44581" s="135"/>
      <c r="U44581" s="135"/>
    </row>
    <row r="44582" spans="20:21" ht="15" customHeight="1" x14ac:dyDescent="0.25">
      <c r="T44582" s="135"/>
      <c r="U44582" s="135"/>
    </row>
    <row r="44583" spans="20:21" ht="15" customHeight="1" x14ac:dyDescent="0.25">
      <c r="T44583" s="135"/>
      <c r="U44583" s="135"/>
    </row>
    <row r="44584" spans="20:21" ht="15" customHeight="1" x14ac:dyDescent="0.25">
      <c r="T44584" s="135"/>
      <c r="U44584" s="135"/>
    </row>
    <row r="44585" spans="20:21" ht="15" customHeight="1" x14ac:dyDescent="0.25">
      <c r="T44585" s="135"/>
      <c r="U44585" s="135"/>
    </row>
    <row r="44586" spans="20:21" ht="15" customHeight="1" x14ac:dyDescent="0.25">
      <c r="T44586" s="135"/>
      <c r="U44586" s="135"/>
    </row>
    <row r="44587" spans="20:21" ht="15" customHeight="1" x14ac:dyDescent="0.25">
      <c r="T44587" s="135"/>
      <c r="U44587" s="135"/>
    </row>
    <row r="44588" spans="20:21" ht="15" customHeight="1" x14ac:dyDescent="0.25">
      <c r="T44588" s="135"/>
      <c r="U44588" s="135"/>
    </row>
    <row r="44589" spans="20:21" ht="15" customHeight="1" x14ac:dyDescent="0.25">
      <c r="T44589" s="135"/>
      <c r="U44589" s="135"/>
    </row>
    <row r="44590" spans="20:21" ht="15" customHeight="1" x14ac:dyDescent="0.25">
      <c r="T44590" s="135"/>
      <c r="U44590" s="135"/>
    </row>
    <row r="44591" spans="20:21" ht="15" customHeight="1" x14ac:dyDescent="0.25">
      <c r="T44591" s="135"/>
      <c r="U44591" s="135"/>
    </row>
    <row r="44592" spans="20:21" ht="15" customHeight="1" x14ac:dyDescent="0.25">
      <c r="T44592" s="135"/>
      <c r="U44592" s="135"/>
    </row>
    <row r="44593" spans="20:21" ht="15" customHeight="1" x14ac:dyDescent="0.25">
      <c r="T44593" s="135"/>
      <c r="U44593" s="135"/>
    </row>
    <row r="44594" spans="20:21" ht="15" customHeight="1" x14ac:dyDescent="0.25">
      <c r="T44594" s="135"/>
      <c r="U44594" s="135"/>
    </row>
    <row r="44595" spans="20:21" ht="15" customHeight="1" x14ac:dyDescent="0.25">
      <c r="T44595" s="135"/>
      <c r="U44595" s="135"/>
    </row>
    <row r="44596" spans="20:21" ht="15" customHeight="1" x14ac:dyDescent="0.25">
      <c r="T44596" s="135"/>
      <c r="U44596" s="135"/>
    </row>
    <row r="44597" spans="20:21" ht="15" customHeight="1" x14ac:dyDescent="0.25">
      <c r="T44597" s="135"/>
      <c r="U44597" s="135"/>
    </row>
    <row r="44598" spans="20:21" ht="15" customHeight="1" x14ac:dyDescent="0.25">
      <c r="T44598" s="135"/>
      <c r="U44598" s="135"/>
    </row>
    <row r="44599" spans="20:21" ht="15" customHeight="1" x14ac:dyDescent="0.25">
      <c r="T44599" s="135"/>
      <c r="U44599" s="135"/>
    </row>
    <row r="44600" spans="20:21" ht="15" customHeight="1" x14ac:dyDescent="0.25">
      <c r="T44600" s="135"/>
      <c r="U44600" s="135"/>
    </row>
    <row r="44601" spans="20:21" ht="15" customHeight="1" x14ac:dyDescent="0.25">
      <c r="T44601" s="135"/>
      <c r="U44601" s="135"/>
    </row>
    <row r="44602" spans="20:21" ht="15" customHeight="1" x14ac:dyDescent="0.25">
      <c r="T44602" s="135"/>
      <c r="U44602" s="135"/>
    </row>
    <row r="44603" spans="20:21" ht="15" customHeight="1" x14ac:dyDescent="0.25">
      <c r="T44603" s="135"/>
      <c r="U44603" s="135"/>
    </row>
    <row r="44604" spans="20:21" ht="15" customHeight="1" x14ac:dyDescent="0.25">
      <c r="T44604" s="135"/>
      <c r="U44604" s="135"/>
    </row>
    <row r="44605" spans="20:21" ht="15" customHeight="1" x14ac:dyDescent="0.25">
      <c r="T44605" s="135"/>
      <c r="U44605" s="135"/>
    </row>
    <row r="44606" spans="20:21" ht="15" customHeight="1" x14ac:dyDescent="0.25">
      <c r="T44606" s="135"/>
      <c r="U44606" s="135"/>
    </row>
    <row r="44607" spans="20:21" ht="15" customHeight="1" x14ac:dyDescent="0.25">
      <c r="T44607" s="135"/>
      <c r="U44607" s="135"/>
    </row>
    <row r="44608" spans="20:21" ht="15" customHeight="1" x14ac:dyDescent="0.25">
      <c r="T44608" s="135"/>
      <c r="U44608" s="135"/>
    </row>
    <row r="44609" spans="20:21" ht="15" customHeight="1" x14ac:dyDescent="0.25">
      <c r="T44609" s="135"/>
      <c r="U44609" s="135"/>
    </row>
    <row r="44610" spans="20:21" ht="15" customHeight="1" x14ac:dyDescent="0.25">
      <c r="T44610" s="135"/>
      <c r="U44610" s="135"/>
    </row>
    <row r="44611" spans="20:21" ht="15" customHeight="1" x14ac:dyDescent="0.25">
      <c r="T44611" s="135"/>
      <c r="U44611" s="135"/>
    </row>
    <row r="44612" spans="20:21" ht="15" customHeight="1" x14ac:dyDescent="0.25">
      <c r="T44612" s="135"/>
      <c r="U44612" s="135"/>
    </row>
    <row r="44613" spans="20:21" ht="15" customHeight="1" x14ac:dyDescent="0.25">
      <c r="T44613" s="135"/>
      <c r="U44613" s="135"/>
    </row>
    <row r="44614" spans="20:21" ht="15" customHeight="1" x14ac:dyDescent="0.25">
      <c r="T44614" s="135"/>
      <c r="U44614" s="135"/>
    </row>
    <row r="44615" spans="20:21" ht="15" customHeight="1" x14ac:dyDescent="0.25">
      <c r="T44615" s="135"/>
      <c r="U44615" s="135"/>
    </row>
    <row r="44616" spans="20:21" ht="15" customHeight="1" x14ac:dyDescent="0.25">
      <c r="T44616" s="135"/>
      <c r="U44616" s="135"/>
    </row>
    <row r="44617" spans="20:21" ht="15" customHeight="1" x14ac:dyDescent="0.25">
      <c r="T44617" s="135"/>
      <c r="U44617" s="135"/>
    </row>
    <row r="44618" spans="20:21" ht="15" customHeight="1" x14ac:dyDescent="0.25">
      <c r="T44618" s="135"/>
      <c r="U44618" s="135"/>
    </row>
    <row r="44619" spans="20:21" ht="15" customHeight="1" x14ac:dyDescent="0.25">
      <c r="T44619" s="135"/>
      <c r="U44619" s="135"/>
    </row>
    <row r="44620" spans="20:21" ht="15" customHeight="1" x14ac:dyDescent="0.25">
      <c r="T44620" s="135"/>
      <c r="U44620" s="135"/>
    </row>
    <row r="44621" spans="20:21" ht="15" customHeight="1" x14ac:dyDescent="0.25">
      <c r="T44621" s="135"/>
      <c r="U44621" s="135"/>
    </row>
    <row r="44622" spans="20:21" ht="15" customHeight="1" x14ac:dyDescent="0.25">
      <c r="T44622" s="135"/>
      <c r="U44622" s="135"/>
    </row>
    <row r="44623" spans="20:21" ht="15" customHeight="1" x14ac:dyDescent="0.25">
      <c r="T44623" s="135"/>
      <c r="U44623" s="135"/>
    </row>
    <row r="44624" spans="20:21" ht="15" customHeight="1" x14ac:dyDescent="0.25">
      <c r="T44624" s="135"/>
      <c r="U44624" s="135"/>
    </row>
    <row r="44625" spans="20:21" ht="15" customHeight="1" x14ac:dyDescent="0.25">
      <c r="T44625" s="135"/>
      <c r="U44625" s="135"/>
    </row>
    <row r="44626" spans="20:21" ht="15" customHeight="1" x14ac:dyDescent="0.25">
      <c r="T44626" s="135"/>
      <c r="U44626" s="135"/>
    </row>
    <row r="44627" spans="20:21" ht="15" customHeight="1" x14ac:dyDescent="0.25">
      <c r="T44627" s="135"/>
      <c r="U44627" s="135"/>
    </row>
    <row r="44628" spans="20:21" ht="15" customHeight="1" x14ac:dyDescent="0.25">
      <c r="T44628" s="135"/>
      <c r="U44628" s="135"/>
    </row>
    <row r="44629" spans="20:21" ht="15" customHeight="1" x14ac:dyDescent="0.25">
      <c r="T44629" s="135"/>
      <c r="U44629" s="135"/>
    </row>
    <row r="44630" spans="20:21" ht="15" customHeight="1" x14ac:dyDescent="0.25">
      <c r="T44630" s="135"/>
      <c r="U44630" s="135"/>
    </row>
    <row r="44631" spans="20:21" ht="15" customHeight="1" x14ac:dyDescent="0.25">
      <c r="T44631" s="135"/>
      <c r="U44631" s="135"/>
    </row>
    <row r="44632" spans="20:21" ht="15" customHeight="1" x14ac:dyDescent="0.25">
      <c r="T44632" s="135"/>
      <c r="U44632" s="135"/>
    </row>
    <row r="44633" spans="20:21" ht="15" customHeight="1" x14ac:dyDescent="0.25">
      <c r="T44633" s="135"/>
      <c r="U44633" s="135"/>
    </row>
    <row r="44634" spans="20:21" ht="15" customHeight="1" x14ac:dyDescent="0.25">
      <c r="T44634" s="135"/>
      <c r="U44634" s="135"/>
    </row>
    <row r="44635" spans="20:21" ht="15" customHeight="1" x14ac:dyDescent="0.25">
      <c r="T44635" s="135"/>
      <c r="U44635" s="135"/>
    </row>
    <row r="44636" spans="20:21" ht="15" customHeight="1" x14ac:dyDescent="0.25">
      <c r="T44636" s="135"/>
      <c r="U44636" s="135"/>
    </row>
    <row r="44637" spans="20:21" ht="15" customHeight="1" x14ac:dyDescent="0.25">
      <c r="T44637" s="135"/>
      <c r="U44637" s="135"/>
    </row>
    <row r="44638" spans="20:21" ht="15" customHeight="1" x14ac:dyDescent="0.25">
      <c r="T44638" s="135"/>
      <c r="U44638" s="135"/>
    </row>
    <row r="44639" spans="20:21" ht="15" customHeight="1" x14ac:dyDescent="0.25">
      <c r="T44639" s="135"/>
      <c r="U44639" s="135"/>
    </row>
    <row r="44640" spans="20:21" ht="15" customHeight="1" x14ac:dyDescent="0.25">
      <c r="T44640" s="135"/>
      <c r="U44640" s="135"/>
    </row>
    <row r="44641" spans="20:21" ht="15" customHeight="1" x14ac:dyDescent="0.25">
      <c r="T44641" s="135"/>
      <c r="U44641" s="135"/>
    </row>
    <row r="44642" spans="20:21" ht="15" customHeight="1" x14ac:dyDescent="0.25">
      <c r="T44642" s="135"/>
      <c r="U44642" s="135"/>
    </row>
    <row r="44643" spans="20:21" ht="15" customHeight="1" x14ac:dyDescent="0.25">
      <c r="T44643" s="135"/>
      <c r="U44643" s="135"/>
    </row>
    <row r="44644" spans="20:21" ht="15" customHeight="1" x14ac:dyDescent="0.25">
      <c r="T44644" s="135"/>
      <c r="U44644" s="135"/>
    </row>
    <row r="44645" spans="20:21" ht="15" customHeight="1" x14ac:dyDescent="0.25">
      <c r="T44645" s="135"/>
      <c r="U44645" s="135"/>
    </row>
    <row r="44646" spans="20:21" ht="15" customHeight="1" x14ac:dyDescent="0.25">
      <c r="T44646" s="135"/>
      <c r="U44646" s="135"/>
    </row>
    <row r="44647" spans="20:21" ht="15" customHeight="1" x14ac:dyDescent="0.25">
      <c r="T44647" s="135"/>
      <c r="U44647" s="135"/>
    </row>
    <row r="44648" spans="20:21" ht="15" customHeight="1" x14ac:dyDescent="0.25">
      <c r="T44648" s="135"/>
      <c r="U44648" s="135"/>
    </row>
    <row r="44649" spans="20:21" ht="15" customHeight="1" x14ac:dyDescent="0.25">
      <c r="T44649" s="135"/>
      <c r="U44649" s="135"/>
    </row>
    <row r="44650" spans="20:21" ht="15" customHeight="1" x14ac:dyDescent="0.25">
      <c r="T44650" s="135"/>
      <c r="U44650" s="135"/>
    </row>
    <row r="44651" spans="20:21" ht="15" customHeight="1" x14ac:dyDescent="0.25">
      <c r="T44651" s="135"/>
      <c r="U44651" s="135"/>
    </row>
    <row r="44652" spans="20:21" ht="15" customHeight="1" x14ac:dyDescent="0.25">
      <c r="T44652" s="135"/>
      <c r="U44652" s="135"/>
    </row>
    <row r="44653" spans="20:21" ht="15" customHeight="1" x14ac:dyDescent="0.25">
      <c r="T44653" s="135"/>
      <c r="U44653" s="135"/>
    </row>
    <row r="44654" spans="20:21" ht="15" customHeight="1" x14ac:dyDescent="0.25">
      <c r="T44654" s="135"/>
      <c r="U44654" s="135"/>
    </row>
    <row r="44655" spans="20:21" ht="15" customHeight="1" x14ac:dyDescent="0.25">
      <c r="T44655" s="135"/>
      <c r="U44655" s="135"/>
    </row>
    <row r="44656" spans="20:21" ht="15" customHeight="1" x14ac:dyDescent="0.25">
      <c r="T44656" s="135"/>
      <c r="U44656" s="135"/>
    </row>
    <row r="44657" spans="20:21" ht="15" customHeight="1" x14ac:dyDescent="0.25">
      <c r="T44657" s="135"/>
      <c r="U44657" s="135"/>
    </row>
    <row r="44658" spans="20:21" ht="15" customHeight="1" x14ac:dyDescent="0.25">
      <c r="T44658" s="135"/>
      <c r="U44658" s="135"/>
    </row>
    <row r="44659" spans="20:21" ht="15" customHeight="1" x14ac:dyDescent="0.25">
      <c r="T44659" s="135"/>
      <c r="U44659" s="135"/>
    </row>
    <row r="44660" spans="20:21" ht="15" customHeight="1" x14ac:dyDescent="0.25">
      <c r="T44660" s="135"/>
      <c r="U44660" s="135"/>
    </row>
    <row r="44661" spans="20:21" ht="15" customHeight="1" x14ac:dyDescent="0.25">
      <c r="T44661" s="135"/>
      <c r="U44661" s="135"/>
    </row>
    <row r="44662" spans="20:21" ht="15" customHeight="1" x14ac:dyDescent="0.25">
      <c r="T44662" s="135"/>
      <c r="U44662" s="135"/>
    </row>
    <row r="44663" spans="20:21" ht="15" customHeight="1" x14ac:dyDescent="0.25">
      <c r="T44663" s="135"/>
      <c r="U44663" s="135"/>
    </row>
    <row r="44664" spans="20:21" ht="15" customHeight="1" x14ac:dyDescent="0.25">
      <c r="T44664" s="135"/>
      <c r="U44664" s="135"/>
    </row>
    <row r="44665" spans="20:21" ht="15" customHeight="1" x14ac:dyDescent="0.25">
      <c r="T44665" s="135"/>
      <c r="U44665" s="135"/>
    </row>
    <row r="44666" spans="20:21" ht="15" customHeight="1" x14ac:dyDescent="0.25">
      <c r="T44666" s="135"/>
      <c r="U44666" s="135"/>
    </row>
    <row r="44667" spans="20:21" ht="15" customHeight="1" x14ac:dyDescent="0.25">
      <c r="T44667" s="135"/>
      <c r="U44667" s="135"/>
    </row>
    <row r="44668" spans="20:21" ht="15" customHeight="1" x14ac:dyDescent="0.25">
      <c r="T44668" s="135"/>
      <c r="U44668" s="135"/>
    </row>
    <row r="44669" spans="20:21" ht="15" customHeight="1" x14ac:dyDescent="0.25">
      <c r="T44669" s="135"/>
      <c r="U44669" s="135"/>
    </row>
    <row r="44670" spans="20:21" ht="15" customHeight="1" x14ac:dyDescent="0.25">
      <c r="T44670" s="135"/>
      <c r="U44670" s="135"/>
    </row>
    <row r="44671" spans="20:21" ht="15" customHeight="1" x14ac:dyDescent="0.25">
      <c r="T44671" s="135"/>
      <c r="U44671" s="135"/>
    </row>
    <row r="44672" spans="20:21" ht="15" customHeight="1" x14ac:dyDescent="0.25">
      <c r="T44672" s="135"/>
      <c r="U44672" s="135"/>
    </row>
    <row r="44673" spans="20:21" ht="15" customHeight="1" x14ac:dyDescent="0.25">
      <c r="T44673" s="135"/>
      <c r="U44673" s="135"/>
    </row>
    <row r="44674" spans="20:21" ht="15" customHeight="1" x14ac:dyDescent="0.25">
      <c r="T44674" s="135"/>
      <c r="U44674" s="135"/>
    </row>
    <row r="44675" spans="20:21" ht="15" customHeight="1" x14ac:dyDescent="0.25">
      <c r="T44675" s="135"/>
      <c r="U44675" s="135"/>
    </row>
    <row r="44676" spans="20:21" ht="15" customHeight="1" x14ac:dyDescent="0.25">
      <c r="T44676" s="135"/>
      <c r="U44676" s="135"/>
    </row>
    <row r="44677" spans="20:21" ht="15" customHeight="1" x14ac:dyDescent="0.25">
      <c r="T44677" s="135"/>
      <c r="U44677" s="135"/>
    </row>
    <row r="44678" spans="20:21" ht="15" customHeight="1" x14ac:dyDescent="0.25">
      <c r="T44678" s="135"/>
      <c r="U44678" s="135"/>
    </row>
    <row r="44679" spans="20:21" ht="15" customHeight="1" x14ac:dyDescent="0.25">
      <c r="T44679" s="135"/>
      <c r="U44679" s="135"/>
    </row>
    <row r="44680" spans="20:21" ht="15" customHeight="1" x14ac:dyDescent="0.25">
      <c r="T44680" s="135"/>
      <c r="U44680" s="135"/>
    </row>
    <row r="44681" spans="20:21" ht="15" customHeight="1" x14ac:dyDescent="0.25">
      <c r="T44681" s="135"/>
      <c r="U44681" s="135"/>
    </row>
    <row r="44682" spans="20:21" ht="15" customHeight="1" x14ac:dyDescent="0.25">
      <c r="T44682" s="135"/>
      <c r="U44682" s="135"/>
    </row>
    <row r="44683" spans="20:21" ht="15" customHeight="1" x14ac:dyDescent="0.25">
      <c r="T44683" s="135"/>
      <c r="U44683" s="135"/>
    </row>
    <row r="44684" spans="20:21" ht="15" customHeight="1" x14ac:dyDescent="0.25">
      <c r="T44684" s="135"/>
      <c r="U44684" s="135"/>
    </row>
    <row r="44685" spans="20:21" ht="15" customHeight="1" x14ac:dyDescent="0.25">
      <c r="T44685" s="135"/>
      <c r="U44685" s="135"/>
    </row>
    <row r="44686" spans="20:21" ht="15" customHeight="1" x14ac:dyDescent="0.25">
      <c r="T44686" s="135"/>
      <c r="U44686" s="135"/>
    </row>
    <row r="44687" spans="20:21" ht="15" customHeight="1" x14ac:dyDescent="0.25">
      <c r="T44687" s="135"/>
      <c r="U44687" s="135"/>
    </row>
    <row r="44688" spans="20:21" ht="15" customHeight="1" x14ac:dyDescent="0.25">
      <c r="T44688" s="135"/>
      <c r="U44688" s="135"/>
    </row>
    <row r="44689" spans="20:21" ht="15" customHeight="1" x14ac:dyDescent="0.25">
      <c r="T44689" s="135"/>
      <c r="U44689" s="135"/>
    </row>
    <row r="44690" spans="20:21" ht="15" customHeight="1" x14ac:dyDescent="0.25">
      <c r="T44690" s="135"/>
      <c r="U44690" s="135"/>
    </row>
    <row r="44691" spans="20:21" ht="15" customHeight="1" x14ac:dyDescent="0.25">
      <c r="T44691" s="135"/>
      <c r="U44691" s="135"/>
    </row>
    <row r="44692" spans="20:21" ht="15" customHeight="1" x14ac:dyDescent="0.25">
      <c r="T44692" s="135"/>
      <c r="U44692" s="135"/>
    </row>
    <row r="44693" spans="20:21" ht="15" customHeight="1" x14ac:dyDescent="0.25">
      <c r="T44693" s="135"/>
      <c r="U44693" s="135"/>
    </row>
    <row r="44694" spans="20:21" ht="15" customHeight="1" x14ac:dyDescent="0.25">
      <c r="T44694" s="135"/>
      <c r="U44694" s="135"/>
    </row>
    <row r="44695" spans="20:21" ht="15" customHeight="1" x14ac:dyDescent="0.25">
      <c r="T44695" s="135"/>
      <c r="U44695" s="135"/>
    </row>
    <row r="44696" spans="20:21" ht="15" customHeight="1" x14ac:dyDescent="0.25">
      <c r="T44696" s="135"/>
      <c r="U44696" s="135"/>
    </row>
    <row r="44697" spans="20:21" ht="15" customHeight="1" x14ac:dyDescent="0.25">
      <c r="T44697" s="135"/>
      <c r="U44697" s="135"/>
    </row>
    <row r="44698" spans="20:21" ht="15" customHeight="1" x14ac:dyDescent="0.25">
      <c r="T44698" s="135"/>
      <c r="U44698" s="135"/>
    </row>
    <row r="44699" spans="20:21" ht="15" customHeight="1" x14ac:dyDescent="0.25">
      <c r="T44699" s="135"/>
      <c r="U44699" s="135"/>
    </row>
    <row r="44700" spans="20:21" ht="15" customHeight="1" x14ac:dyDescent="0.25">
      <c r="T44700" s="135"/>
      <c r="U44700" s="135"/>
    </row>
    <row r="44701" spans="20:21" ht="15" customHeight="1" x14ac:dyDescent="0.25">
      <c r="T44701" s="135"/>
      <c r="U44701" s="135"/>
    </row>
    <row r="44702" spans="20:21" ht="15" customHeight="1" x14ac:dyDescent="0.25">
      <c r="T44702" s="135"/>
      <c r="U44702" s="135"/>
    </row>
    <row r="44703" spans="20:21" ht="15" customHeight="1" x14ac:dyDescent="0.25">
      <c r="T44703" s="135"/>
      <c r="U44703" s="135"/>
    </row>
    <row r="44704" spans="20:21" ht="15" customHeight="1" x14ac:dyDescent="0.25">
      <c r="T44704" s="135"/>
      <c r="U44704" s="135"/>
    </row>
    <row r="44705" spans="20:21" ht="15" customHeight="1" x14ac:dyDescent="0.25">
      <c r="T44705" s="135"/>
      <c r="U44705" s="135"/>
    </row>
    <row r="44706" spans="20:21" ht="15" customHeight="1" x14ac:dyDescent="0.25">
      <c r="T44706" s="135"/>
      <c r="U44706" s="135"/>
    </row>
    <row r="44707" spans="20:21" ht="15" customHeight="1" x14ac:dyDescent="0.25">
      <c r="T44707" s="135"/>
      <c r="U44707" s="135"/>
    </row>
    <row r="44708" spans="20:21" ht="15" customHeight="1" x14ac:dyDescent="0.25">
      <c r="T44708" s="135"/>
      <c r="U44708" s="135"/>
    </row>
    <row r="44709" spans="20:21" ht="15" customHeight="1" x14ac:dyDescent="0.25">
      <c r="T44709" s="135"/>
      <c r="U44709" s="135"/>
    </row>
    <row r="44710" spans="20:21" ht="15" customHeight="1" x14ac:dyDescent="0.25">
      <c r="T44710" s="135"/>
      <c r="U44710" s="135"/>
    </row>
    <row r="44711" spans="20:21" ht="15" customHeight="1" x14ac:dyDescent="0.25">
      <c r="T44711" s="135"/>
      <c r="U44711" s="135"/>
    </row>
    <row r="44712" spans="20:21" ht="15" customHeight="1" x14ac:dyDescent="0.25">
      <c r="T44712" s="135"/>
      <c r="U44712" s="135"/>
    </row>
    <row r="44713" spans="20:21" ht="15" customHeight="1" x14ac:dyDescent="0.25">
      <c r="T44713" s="135"/>
      <c r="U44713" s="135"/>
    </row>
    <row r="44714" spans="20:21" ht="15" customHeight="1" x14ac:dyDescent="0.25">
      <c r="T44714" s="135"/>
      <c r="U44714" s="135"/>
    </row>
    <row r="44715" spans="20:21" ht="15" customHeight="1" x14ac:dyDescent="0.25">
      <c r="T44715" s="135"/>
      <c r="U44715" s="135"/>
    </row>
    <row r="44716" spans="20:21" ht="15" customHeight="1" x14ac:dyDescent="0.25">
      <c r="T44716" s="135"/>
      <c r="U44716" s="135"/>
    </row>
    <row r="44717" spans="20:21" ht="15" customHeight="1" x14ac:dyDescent="0.25">
      <c r="T44717" s="135"/>
      <c r="U44717" s="135"/>
    </row>
    <row r="44718" spans="20:21" ht="15" customHeight="1" x14ac:dyDescent="0.25">
      <c r="T44718" s="135"/>
      <c r="U44718" s="135"/>
    </row>
    <row r="44719" spans="20:21" ht="15" customHeight="1" x14ac:dyDescent="0.25">
      <c r="T44719" s="135"/>
      <c r="U44719" s="135"/>
    </row>
    <row r="44720" spans="20:21" ht="15" customHeight="1" x14ac:dyDescent="0.25">
      <c r="T44720" s="135"/>
      <c r="U44720" s="135"/>
    </row>
    <row r="44721" spans="20:21" ht="15" customHeight="1" x14ac:dyDescent="0.25">
      <c r="T44721" s="135"/>
      <c r="U44721" s="135"/>
    </row>
    <row r="44722" spans="20:21" ht="15" customHeight="1" x14ac:dyDescent="0.25">
      <c r="T44722" s="135"/>
      <c r="U44722" s="135"/>
    </row>
    <row r="44723" spans="20:21" ht="15" customHeight="1" x14ac:dyDescent="0.25">
      <c r="T44723" s="135"/>
      <c r="U44723" s="135"/>
    </row>
    <row r="44724" spans="20:21" ht="15" customHeight="1" x14ac:dyDescent="0.25">
      <c r="T44724" s="135"/>
      <c r="U44724" s="135"/>
    </row>
    <row r="44725" spans="20:21" ht="15" customHeight="1" x14ac:dyDescent="0.25">
      <c r="T44725" s="135"/>
      <c r="U44725" s="135"/>
    </row>
    <row r="44726" spans="20:21" ht="15" customHeight="1" x14ac:dyDescent="0.25">
      <c r="T44726" s="135"/>
      <c r="U44726" s="135"/>
    </row>
    <row r="44727" spans="20:21" ht="15" customHeight="1" x14ac:dyDescent="0.25">
      <c r="T44727" s="135"/>
      <c r="U44727" s="135"/>
    </row>
    <row r="44728" spans="20:21" ht="15" customHeight="1" x14ac:dyDescent="0.25">
      <c r="T44728" s="135"/>
      <c r="U44728" s="135"/>
    </row>
    <row r="44729" spans="20:21" ht="15" customHeight="1" x14ac:dyDescent="0.25">
      <c r="T44729" s="135"/>
      <c r="U44729" s="135"/>
    </row>
    <row r="44730" spans="20:21" ht="15" customHeight="1" x14ac:dyDescent="0.25">
      <c r="T44730" s="135"/>
      <c r="U44730" s="135"/>
    </row>
    <row r="44731" spans="20:21" ht="15" customHeight="1" x14ac:dyDescent="0.25">
      <c r="T44731" s="135"/>
      <c r="U44731" s="135"/>
    </row>
    <row r="44732" spans="20:21" ht="15" customHeight="1" x14ac:dyDescent="0.25">
      <c r="T44732" s="135"/>
      <c r="U44732" s="135"/>
    </row>
    <row r="44733" spans="20:21" ht="15" customHeight="1" x14ac:dyDescent="0.25">
      <c r="T44733" s="135"/>
      <c r="U44733" s="135"/>
    </row>
    <row r="44734" spans="20:21" ht="15" customHeight="1" x14ac:dyDescent="0.25">
      <c r="T44734" s="135"/>
      <c r="U44734" s="135"/>
    </row>
    <row r="44735" spans="20:21" ht="15" customHeight="1" x14ac:dyDescent="0.25">
      <c r="T44735" s="135"/>
      <c r="U44735" s="135"/>
    </row>
    <row r="44736" spans="20:21" ht="15" customHeight="1" x14ac:dyDescent="0.25">
      <c r="T44736" s="135"/>
      <c r="U44736" s="135"/>
    </row>
    <row r="44737" spans="20:21" ht="15" customHeight="1" x14ac:dyDescent="0.25">
      <c r="T44737" s="135"/>
      <c r="U44737" s="135"/>
    </row>
    <row r="44738" spans="20:21" ht="15" customHeight="1" x14ac:dyDescent="0.25">
      <c r="T44738" s="135"/>
      <c r="U44738" s="135"/>
    </row>
    <row r="44739" spans="20:21" ht="15" customHeight="1" x14ac:dyDescent="0.25">
      <c r="T44739" s="135"/>
      <c r="U44739" s="135"/>
    </row>
    <row r="44740" spans="20:21" ht="15" customHeight="1" x14ac:dyDescent="0.25">
      <c r="T44740" s="135"/>
      <c r="U44740" s="135"/>
    </row>
    <row r="44741" spans="20:21" ht="15" customHeight="1" x14ac:dyDescent="0.25">
      <c r="T44741" s="135"/>
      <c r="U44741" s="135"/>
    </row>
    <row r="44742" spans="20:21" ht="15" customHeight="1" x14ac:dyDescent="0.25">
      <c r="T44742" s="135"/>
      <c r="U44742" s="135"/>
    </row>
    <row r="44743" spans="20:21" ht="15" customHeight="1" x14ac:dyDescent="0.25">
      <c r="T44743" s="135"/>
      <c r="U44743" s="135"/>
    </row>
    <row r="44744" spans="20:21" ht="15" customHeight="1" x14ac:dyDescent="0.25">
      <c r="T44744" s="135"/>
      <c r="U44744" s="135"/>
    </row>
    <row r="44745" spans="20:21" ht="15" customHeight="1" x14ac:dyDescent="0.25">
      <c r="T44745" s="135"/>
      <c r="U44745" s="135"/>
    </row>
    <row r="44746" spans="20:21" ht="15" customHeight="1" x14ac:dyDescent="0.25">
      <c r="T44746" s="135"/>
      <c r="U44746" s="135"/>
    </row>
    <row r="44747" spans="20:21" ht="15" customHeight="1" x14ac:dyDescent="0.25">
      <c r="T44747" s="135"/>
      <c r="U44747" s="135"/>
    </row>
    <row r="44748" spans="20:21" ht="15" customHeight="1" x14ac:dyDescent="0.25">
      <c r="T44748" s="135"/>
      <c r="U44748" s="135"/>
    </row>
    <row r="44749" spans="20:21" ht="15" customHeight="1" x14ac:dyDescent="0.25">
      <c r="T44749" s="135"/>
      <c r="U44749" s="135"/>
    </row>
    <row r="44750" spans="20:21" ht="15" customHeight="1" x14ac:dyDescent="0.25">
      <c r="T44750" s="135"/>
      <c r="U44750" s="135"/>
    </row>
    <row r="44751" spans="20:21" ht="15" customHeight="1" x14ac:dyDescent="0.25">
      <c r="T44751" s="135"/>
      <c r="U44751" s="135"/>
    </row>
    <row r="44752" spans="20:21" ht="15" customHeight="1" x14ac:dyDescent="0.25">
      <c r="T44752" s="135"/>
      <c r="U44752" s="135"/>
    </row>
    <row r="44753" spans="20:21" ht="15" customHeight="1" x14ac:dyDescent="0.25">
      <c r="T44753" s="135"/>
      <c r="U44753" s="135"/>
    </row>
    <row r="44754" spans="20:21" ht="15" customHeight="1" x14ac:dyDescent="0.25">
      <c r="T44754" s="135"/>
      <c r="U44754" s="135"/>
    </row>
    <row r="44755" spans="20:21" ht="15" customHeight="1" x14ac:dyDescent="0.25">
      <c r="T44755" s="135"/>
      <c r="U44755" s="135"/>
    </row>
    <row r="44756" spans="20:21" ht="15" customHeight="1" x14ac:dyDescent="0.25">
      <c r="T44756" s="135"/>
      <c r="U44756" s="135"/>
    </row>
    <row r="44757" spans="20:21" ht="15" customHeight="1" x14ac:dyDescent="0.25">
      <c r="T44757" s="135"/>
      <c r="U44757" s="135"/>
    </row>
    <row r="44758" spans="20:21" ht="15" customHeight="1" x14ac:dyDescent="0.25">
      <c r="T44758" s="135"/>
      <c r="U44758" s="135"/>
    </row>
    <row r="44759" spans="20:21" ht="15" customHeight="1" x14ac:dyDescent="0.25">
      <c r="T44759" s="135"/>
      <c r="U44759" s="135"/>
    </row>
    <row r="44760" spans="20:21" ht="15" customHeight="1" x14ac:dyDescent="0.25">
      <c r="T44760" s="135"/>
      <c r="U44760" s="135"/>
    </row>
    <row r="44761" spans="20:21" ht="15" customHeight="1" x14ac:dyDescent="0.25">
      <c r="T44761" s="135"/>
      <c r="U44761" s="135"/>
    </row>
    <row r="44762" spans="20:21" ht="15" customHeight="1" x14ac:dyDescent="0.25">
      <c r="T44762" s="135"/>
      <c r="U44762" s="135"/>
    </row>
    <row r="44763" spans="20:21" ht="15" customHeight="1" x14ac:dyDescent="0.25">
      <c r="T44763" s="135"/>
      <c r="U44763" s="135"/>
    </row>
    <row r="44764" spans="20:21" ht="15" customHeight="1" x14ac:dyDescent="0.25">
      <c r="T44764" s="135"/>
      <c r="U44764" s="135"/>
    </row>
    <row r="44765" spans="20:21" ht="15" customHeight="1" x14ac:dyDescent="0.25">
      <c r="T44765" s="135"/>
      <c r="U44765" s="135"/>
    </row>
    <row r="44766" spans="20:21" ht="15" customHeight="1" x14ac:dyDescent="0.25">
      <c r="T44766" s="135"/>
      <c r="U44766" s="135"/>
    </row>
    <row r="44767" spans="20:21" ht="15" customHeight="1" x14ac:dyDescent="0.25">
      <c r="T44767" s="135"/>
      <c r="U44767" s="135"/>
    </row>
    <row r="44768" spans="20:21" ht="15" customHeight="1" x14ac:dyDescent="0.25">
      <c r="T44768" s="135"/>
      <c r="U44768" s="135"/>
    </row>
    <row r="44769" spans="20:21" ht="15" customHeight="1" x14ac:dyDescent="0.25">
      <c r="T44769" s="135"/>
      <c r="U44769" s="135"/>
    </row>
    <row r="44770" spans="20:21" ht="15" customHeight="1" x14ac:dyDescent="0.25">
      <c r="T44770" s="135"/>
      <c r="U44770" s="135"/>
    </row>
    <row r="44771" spans="20:21" ht="15" customHeight="1" x14ac:dyDescent="0.25">
      <c r="T44771" s="135"/>
      <c r="U44771" s="135"/>
    </row>
    <row r="44772" spans="20:21" ht="15" customHeight="1" x14ac:dyDescent="0.25">
      <c r="T44772" s="135"/>
      <c r="U44772" s="135"/>
    </row>
    <row r="44773" spans="20:21" ht="15" customHeight="1" x14ac:dyDescent="0.25">
      <c r="T44773" s="135"/>
      <c r="U44773" s="135"/>
    </row>
    <row r="44774" spans="20:21" ht="15" customHeight="1" x14ac:dyDescent="0.25">
      <c r="T44774" s="135"/>
      <c r="U44774" s="135"/>
    </row>
    <row r="44775" spans="20:21" ht="15" customHeight="1" x14ac:dyDescent="0.25">
      <c r="T44775" s="135"/>
      <c r="U44775" s="135"/>
    </row>
    <row r="44776" spans="20:21" ht="15" customHeight="1" x14ac:dyDescent="0.25">
      <c r="T44776" s="135"/>
      <c r="U44776" s="135"/>
    </row>
    <row r="44777" spans="20:21" ht="15" customHeight="1" x14ac:dyDescent="0.25">
      <c r="T44777" s="135"/>
      <c r="U44777" s="135"/>
    </row>
    <row r="44778" spans="20:21" ht="15" customHeight="1" x14ac:dyDescent="0.25">
      <c r="T44778" s="135"/>
      <c r="U44778" s="135"/>
    </row>
    <row r="44779" spans="20:21" ht="15" customHeight="1" x14ac:dyDescent="0.25">
      <c r="T44779" s="135"/>
      <c r="U44779" s="135"/>
    </row>
    <row r="44780" spans="20:21" ht="15" customHeight="1" x14ac:dyDescent="0.25">
      <c r="T44780" s="135"/>
      <c r="U44780" s="135"/>
    </row>
    <row r="44781" spans="20:21" ht="15" customHeight="1" x14ac:dyDescent="0.25">
      <c r="T44781" s="135"/>
      <c r="U44781" s="135"/>
    </row>
    <row r="44782" spans="20:21" ht="15" customHeight="1" x14ac:dyDescent="0.25">
      <c r="T44782" s="135"/>
      <c r="U44782" s="135"/>
    </row>
    <row r="44783" spans="20:21" ht="15" customHeight="1" x14ac:dyDescent="0.25">
      <c r="T44783" s="135"/>
      <c r="U44783" s="135"/>
    </row>
    <row r="44784" spans="20:21" ht="15" customHeight="1" x14ac:dyDescent="0.25">
      <c r="T44784" s="135"/>
      <c r="U44784" s="135"/>
    </row>
    <row r="44785" spans="20:21" ht="15" customHeight="1" x14ac:dyDescent="0.25">
      <c r="T44785" s="135"/>
      <c r="U44785" s="135"/>
    </row>
    <row r="44786" spans="20:21" ht="15" customHeight="1" x14ac:dyDescent="0.25">
      <c r="T44786" s="135"/>
      <c r="U44786" s="135"/>
    </row>
    <row r="44787" spans="20:21" ht="15" customHeight="1" x14ac:dyDescent="0.25">
      <c r="T44787" s="135"/>
      <c r="U44787" s="135"/>
    </row>
    <row r="44788" spans="20:21" ht="15" customHeight="1" x14ac:dyDescent="0.25">
      <c r="T44788" s="135"/>
      <c r="U44788" s="135"/>
    </row>
    <row r="44789" spans="20:21" ht="15" customHeight="1" x14ac:dyDescent="0.25">
      <c r="T44789" s="135"/>
      <c r="U44789" s="135"/>
    </row>
    <row r="44790" spans="20:21" ht="15" customHeight="1" x14ac:dyDescent="0.25">
      <c r="T44790" s="135"/>
      <c r="U44790" s="135"/>
    </row>
    <row r="44791" spans="20:21" ht="15" customHeight="1" x14ac:dyDescent="0.25">
      <c r="T44791" s="135"/>
      <c r="U44791" s="135"/>
    </row>
    <row r="44792" spans="20:21" ht="15" customHeight="1" x14ac:dyDescent="0.25">
      <c r="T44792" s="135"/>
      <c r="U44792" s="135"/>
    </row>
    <row r="44793" spans="20:21" ht="15" customHeight="1" x14ac:dyDescent="0.25">
      <c r="T44793" s="135"/>
      <c r="U44793" s="135"/>
    </row>
    <row r="44794" spans="20:21" ht="15" customHeight="1" x14ac:dyDescent="0.25">
      <c r="T44794" s="135"/>
      <c r="U44794" s="135"/>
    </row>
    <row r="44795" spans="20:21" ht="15" customHeight="1" x14ac:dyDescent="0.25">
      <c r="T44795" s="135"/>
      <c r="U44795" s="135"/>
    </row>
    <row r="44796" spans="20:21" ht="15" customHeight="1" x14ac:dyDescent="0.25">
      <c r="T44796" s="135"/>
      <c r="U44796" s="135"/>
    </row>
    <row r="44797" spans="20:21" ht="15" customHeight="1" x14ac:dyDescent="0.25">
      <c r="T44797" s="135"/>
      <c r="U44797" s="135"/>
    </row>
    <row r="44798" spans="20:21" ht="15" customHeight="1" x14ac:dyDescent="0.25">
      <c r="T44798" s="135"/>
      <c r="U44798" s="135"/>
    </row>
    <row r="44799" spans="20:21" ht="15" customHeight="1" x14ac:dyDescent="0.25">
      <c r="T44799" s="135"/>
      <c r="U44799" s="135"/>
    </row>
    <row r="44800" spans="20:21" ht="15" customHeight="1" x14ac:dyDescent="0.25">
      <c r="T44800" s="135"/>
      <c r="U44800" s="135"/>
    </row>
    <row r="44801" spans="20:21" ht="15" customHeight="1" x14ac:dyDescent="0.25">
      <c r="T44801" s="135"/>
      <c r="U44801" s="135"/>
    </row>
    <row r="44802" spans="20:21" ht="15" customHeight="1" x14ac:dyDescent="0.25">
      <c r="T44802" s="135"/>
      <c r="U44802" s="135"/>
    </row>
    <row r="44803" spans="20:21" ht="15" customHeight="1" x14ac:dyDescent="0.25">
      <c r="T44803" s="135"/>
      <c r="U44803" s="135"/>
    </row>
    <row r="44804" spans="20:21" ht="15" customHeight="1" x14ac:dyDescent="0.25">
      <c r="T44804" s="135"/>
      <c r="U44804" s="135"/>
    </row>
    <row r="44805" spans="20:21" ht="15" customHeight="1" x14ac:dyDescent="0.25">
      <c r="T44805" s="135"/>
      <c r="U44805" s="135"/>
    </row>
    <row r="44806" spans="20:21" ht="15" customHeight="1" x14ac:dyDescent="0.25">
      <c r="T44806" s="135"/>
      <c r="U44806" s="135"/>
    </row>
    <row r="44807" spans="20:21" ht="15" customHeight="1" x14ac:dyDescent="0.25">
      <c r="T44807" s="135"/>
      <c r="U44807" s="135"/>
    </row>
    <row r="44808" spans="20:21" ht="15" customHeight="1" x14ac:dyDescent="0.25">
      <c r="T44808" s="135"/>
      <c r="U44808" s="135"/>
    </row>
    <row r="44809" spans="20:21" ht="15" customHeight="1" x14ac:dyDescent="0.25">
      <c r="T44809" s="135"/>
      <c r="U44809" s="135"/>
    </row>
    <row r="44810" spans="20:21" ht="15" customHeight="1" x14ac:dyDescent="0.25">
      <c r="T44810" s="135"/>
      <c r="U44810" s="135"/>
    </row>
    <row r="44811" spans="20:21" ht="15" customHeight="1" x14ac:dyDescent="0.25">
      <c r="T44811" s="135"/>
      <c r="U44811" s="135"/>
    </row>
    <row r="44812" spans="20:21" ht="15" customHeight="1" x14ac:dyDescent="0.25">
      <c r="T44812" s="135"/>
      <c r="U44812" s="135"/>
    </row>
    <row r="44813" spans="20:21" ht="15" customHeight="1" x14ac:dyDescent="0.25">
      <c r="T44813" s="135"/>
      <c r="U44813" s="135"/>
    </row>
    <row r="44814" spans="20:21" ht="15" customHeight="1" x14ac:dyDescent="0.25">
      <c r="T44814" s="135"/>
      <c r="U44814" s="135"/>
    </row>
    <row r="44815" spans="20:21" ht="15" customHeight="1" x14ac:dyDescent="0.25">
      <c r="T44815" s="135"/>
      <c r="U44815" s="135"/>
    </row>
    <row r="44816" spans="20:21" ht="15" customHeight="1" x14ac:dyDescent="0.25">
      <c r="T44816" s="135"/>
      <c r="U44816" s="135"/>
    </row>
    <row r="44817" spans="20:21" ht="15" customHeight="1" x14ac:dyDescent="0.25">
      <c r="T44817" s="135"/>
      <c r="U44817" s="135"/>
    </row>
    <row r="44818" spans="20:21" ht="15" customHeight="1" x14ac:dyDescent="0.25">
      <c r="T44818" s="135"/>
      <c r="U44818" s="135"/>
    </row>
    <row r="44819" spans="20:21" ht="15" customHeight="1" x14ac:dyDescent="0.25">
      <c r="T44819" s="135"/>
      <c r="U44819" s="135"/>
    </row>
    <row r="44820" spans="20:21" ht="15" customHeight="1" x14ac:dyDescent="0.25">
      <c r="T44820" s="135"/>
      <c r="U44820" s="135"/>
    </row>
    <row r="44821" spans="20:21" ht="15" customHeight="1" x14ac:dyDescent="0.25">
      <c r="T44821" s="135"/>
      <c r="U44821" s="135"/>
    </row>
    <row r="44822" spans="20:21" ht="15" customHeight="1" x14ac:dyDescent="0.25">
      <c r="T44822" s="135"/>
      <c r="U44822" s="135"/>
    </row>
    <row r="44823" spans="20:21" ht="15" customHeight="1" x14ac:dyDescent="0.25">
      <c r="T44823" s="135"/>
      <c r="U44823" s="135"/>
    </row>
    <row r="44824" spans="20:21" ht="15" customHeight="1" x14ac:dyDescent="0.25">
      <c r="T44824" s="135"/>
      <c r="U44824" s="135"/>
    </row>
    <row r="44825" spans="20:21" ht="15" customHeight="1" x14ac:dyDescent="0.25">
      <c r="T44825" s="135"/>
      <c r="U44825" s="135"/>
    </row>
    <row r="44826" spans="20:21" ht="15" customHeight="1" x14ac:dyDescent="0.25">
      <c r="T44826" s="135"/>
      <c r="U44826" s="135"/>
    </row>
    <row r="44827" spans="20:21" ht="15" customHeight="1" x14ac:dyDescent="0.25">
      <c r="T44827" s="135"/>
      <c r="U44827" s="135"/>
    </row>
    <row r="44828" spans="20:21" ht="15" customHeight="1" x14ac:dyDescent="0.25">
      <c r="T44828" s="135"/>
      <c r="U44828" s="135"/>
    </row>
    <row r="44829" spans="20:21" ht="15" customHeight="1" x14ac:dyDescent="0.25">
      <c r="T44829" s="135"/>
      <c r="U44829" s="135"/>
    </row>
    <row r="44830" spans="20:21" ht="15" customHeight="1" x14ac:dyDescent="0.25">
      <c r="T44830" s="135"/>
      <c r="U44830" s="135"/>
    </row>
    <row r="44831" spans="20:21" ht="15" customHeight="1" x14ac:dyDescent="0.25">
      <c r="T44831" s="135"/>
      <c r="U44831" s="135"/>
    </row>
    <row r="44832" spans="20:21" ht="15" customHeight="1" x14ac:dyDescent="0.25">
      <c r="T44832" s="135"/>
      <c r="U44832" s="135"/>
    </row>
    <row r="44833" spans="20:21" ht="15" customHeight="1" x14ac:dyDescent="0.25">
      <c r="T44833" s="135"/>
      <c r="U44833" s="135"/>
    </row>
    <row r="44834" spans="20:21" ht="15" customHeight="1" x14ac:dyDescent="0.25">
      <c r="T44834" s="135"/>
      <c r="U44834" s="135"/>
    </row>
    <row r="44835" spans="20:21" ht="15" customHeight="1" x14ac:dyDescent="0.25">
      <c r="T44835" s="135"/>
      <c r="U44835" s="135"/>
    </row>
    <row r="44836" spans="20:21" ht="15" customHeight="1" x14ac:dyDescent="0.25">
      <c r="T44836" s="135"/>
      <c r="U44836" s="135"/>
    </row>
    <row r="44837" spans="20:21" ht="15" customHeight="1" x14ac:dyDescent="0.25">
      <c r="T44837" s="135"/>
      <c r="U44837" s="135"/>
    </row>
    <row r="44838" spans="20:21" ht="15" customHeight="1" x14ac:dyDescent="0.25">
      <c r="T44838" s="135"/>
      <c r="U44838" s="135"/>
    </row>
    <row r="44839" spans="20:21" ht="15" customHeight="1" x14ac:dyDescent="0.25">
      <c r="T44839" s="135"/>
      <c r="U44839" s="135"/>
    </row>
    <row r="44840" spans="20:21" ht="15" customHeight="1" x14ac:dyDescent="0.25">
      <c r="T44840" s="135"/>
      <c r="U44840" s="135"/>
    </row>
    <row r="44841" spans="20:21" ht="15" customHeight="1" x14ac:dyDescent="0.25">
      <c r="T44841" s="135"/>
      <c r="U44841" s="135"/>
    </row>
    <row r="44842" spans="20:21" ht="15" customHeight="1" x14ac:dyDescent="0.25">
      <c r="T44842" s="135"/>
      <c r="U44842" s="135"/>
    </row>
    <row r="44843" spans="20:21" ht="15" customHeight="1" x14ac:dyDescent="0.25">
      <c r="T44843" s="135"/>
      <c r="U44843" s="135"/>
    </row>
    <row r="44844" spans="20:21" ht="15" customHeight="1" x14ac:dyDescent="0.25">
      <c r="T44844" s="135"/>
      <c r="U44844" s="135"/>
    </row>
    <row r="44845" spans="20:21" ht="15" customHeight="1" x14ac:dyDescent="0.25">
      <c r="T44845" s="135"/>
      <c r="U44845" s="135"/>
    </row>
    <row r="44846" spans="20:21" ht="15" customHeight="1" x14ac:dyDescent="0.25">
      <c r="T44846" s="135"/>
      <c r="U44846" s="135"/>
    </row>
    <row r="44847" spans="20:21" ht="15" customHeight="1" x14ac:dyDescent="0.25">
      <c r="T44847" s="135"/>
      <c r="U44847" s="135"/>
    </row>
    <row r="44848" spans="20:21" ht="15" customHeight="1" x14ac:dyDescent="0.25">
      <c r="T44848" s="135"/>
      <c r="U44848" s="135"/>
    </row>
    <row r="44849" spans="20:21" ht="15" customHeight="1" x14ac:dyDescent="0.25">
      <c r="T44849" s="135"/>
      <c r="U44849" s="135"/>
    </row>
    <row r="44850" spans="20:21" ht="15" customHeight="1" x14ac:dyDescent="0.25">
      <c r="T44850" s="135"/>
      <c r="U44850" s="135"/>
    </row>
    <row r="44851" spans="20:21" ht="15" customHeight="1" x14ac:dyDescent="0.25">
      <c r="T44851" s="135"/>
      <c r="U44851" s="135"/>
    </row>
    <row r="44852" spans="20:21" ht="15" customHeight="1" x14ac:dyDescent="0.25">
      <c r="T44852" s="135"/>
      <c r="U44852" s="135"/>
    </row>
    <row r="44853" spans="20:21" ht="15" customHeight="1" x14ac:dyDescent="0.25">
      <c r="T44853" s="135"/>
      <c r="U44853" s="135"/>
    </row>
    <row r="44854" spans="20:21" ht="15" customHeight="1" x14ac:dyDescent="0.25">
      <c r="T44854" s="135"/>
      <c r="U44854" s="135"/>
    </row>
    <row r="44855" spans="20:21" ht="15" customHeight="1" x14ac:dyDescent="0.25">
      <c r="T44855" s="135"/>
      <c r="U44855" s="135"/>
    </row>
    <row r="44856" spans="20:21" ht="15" customHeight="1" x14ac:dyDescent="0.25">
      <c r="T44856" s="135"/>
      <c r="U44856" s="135"/>
    </row>
    <row r="44857" spans="20:21" ht="15" customHeight="1" x14ac:dyDescent="0.25">
      <c r="T44857" s="135"/>
      <c r="U44857" s="135"/>
    </row>
    <row r="44858" spans="20:21" ht="15" customHeight="1" x14ac:dyDescent="0.25">
      <c r="T44858" s="135"/>
      <c r="U44858" s="135"/>
    </row>
    <row r="44859" spans="20:21" ht="15" customHeight="1" x14ac:dyDescent="0.25">
      <c r="T44859" s="135"/>
      <c r="U44859" s="135"/>
    </row>
    <row r="44860" spans="20:21" ht="15" customHeight="1" x14ac:dyDescent="0.25">
      <c r="T44860" s="135"/>
      <c r="U44860" s="135"/>
    </row>
    <row r="44861" spans="20:21" ht="15" customHeight="1" x14ac:dyDescent="0.25">
      <c r="T44861" s="135"/>
      <c r="U44861" s="135"/>
    </row>
    <row r="44862" spans="20:21" ht="15" customHeight="1" x14ac:dyDescent="0.25">
      <c r="T44862" s="135"/>
      <c r="U44862" s="135"/>
    </row>
    <row r="44863" spans="20:21" ht="15" customHeight="1" x14ac:dyDescent="0.25">
      <c r="T44863" s="135"/>
      <c r="U44863" s="135"/>
    </row>
    <row r="44864" spans="20:21" ht="15" customHeight="1" x14ac:dyDescent="0.25">
      <c r="T44864" s="135"/>
      <c r="U44864" s="135"/>
    </row>
    <row r="44865" spans="20:21" ht="15" customHeight="1" x14ac:dyDescent="0.25">
      <c r="T44865" s="135"/>
      <c r="U44865" s="135"/>
    </row>
    <row r="44866" spans="20:21" ht="15" customHeight="1" x14ac:dyDescent="0.25">
      <c r="T44866" s="135"/>
      <c r="U44866" s="135"/>
    </row>
    <row r="44867" spans="20:21" ht="15" customHeight="1" x14ac:dyDescent="0.25">
      <c r="T44867" s="135"/>
      <c r="U44867" s="135"/>
    </row>
    <row r="44868" spans="20:21" ht="15" customHeight="1" x14ac:dyDescent="0.25">
      <c r="T44868" s="135"/>
      <c r="U44868" s="135"/>
    </row>
    <row r="44869" spans="20:21" ht="15" customHeight="1" x14ac:dyDescent="0.25">
      <c r="T44869" s="135"/>
      <c r="U44869" s="135"/>
    </row>
    <row r="44870" spans="20:21" ht="15" customHeight="1" x14ac:dyDescent="0.25">
      <c r="T44870" s="135"/>
      <c r="U44870" s="135"/>
    </row>
    <row r="44871" spans="20:21" ht="15" customHeight="1" x14ac:dyDescent="0.25">
      <c r="T44871" s="135"/>
      <c r="U44871" s="135"/>
    </row>
    <row r="44872" spans="20:21" ht="15" customHeight="1" x14ac:dyDescent="0.25">
      <c r="T44872" s="135"/>
      <c r="U44872" s="135"/>
    </row>
    <row r="44873" spans="20:21" ht="15" customHeight="1" x14ac:dyDescent="0.25">
      <c r="T44873" s="135"/>
      <c r="U44873" s="135"/>
    </row>
    <row r="44874" spans="20:21" ht="15" customHeight="1" x14ac:dyDescent="0.25">
      <c r="T44874" s="135"/>
      <c r="U44874" s="135"/>
    </row>
    <row r="44875" spans="20:21" ht="15" customHeight="1" x14ac:dyDescent="0.25">
      <c r="T44875" s="135"/>
      <c r="U44875" s="135"/>
    </row>
    <row r="44876" spans="20:21" ht="15" customHeight="1" x14ac:dyDescent="0.25">
      <c r="T44876" s="135"/>
      <c r="U44876" s="135"/>
    </row>
    <row r="44877" spans="20:21" ht="15" customHeight="1" x14ac:dyDescent="0.25">
      <c r="T44877" s="135"/>
      <c r="U44877" s="135"/>
    </row>
    <row r="44878" spans="20:21" ht="15" customHeight="1" x14ac:dyDescent="0.25">
      <c r="T44878" s="135"/>
      <c r="U44878" s="135"/>
    </row>
    <row r="44879" spans="20:21" ht="15" customHeight="1" x14ac:dyDescent="0.25">
      <c r="T44879" s="135"/>
      <c r="U44879" s="135"/>
    </row>
    <row r="44880" spans="20:21" ht="15" customHeight="1" x14ac:dyDescent="0.25">
      <c r="T44880" s="135"/>
      <c r="U44880" s="135"/>
    </row>
    <row r="44881" spans="20:21" ht="15" customHeight="1" x14ac:dyDescent="0.25">
      <c r="T44881" s="135"/>
      <c r="U44881" s="135"/>
    </row>
    <row r="44882" spans="20:21" ht="15" customHeight="1" x14ac:dyDescent="0.25">
      <c r="T44882" s="135"/>
      <c r="U44882" s="135"/>
    </row>
    <row r="44883" spans="20:21" ht="15" customHeight="1" x14ac:dyDescent="0.25">
      <c r="T44883" s="135"/>
      <c r="U44883" s="135"/>
    </row>
    <row r="44884" spans="20:21" ht="15" customHeight="1" x14ac:dyDescent="0.25">
      <c r="T44884" s="135"/>
      <c r="U44884" s="135"/>
    </row>
    <row r="44885" spans="20:21" ht="15" customHeight="1" x14ac:dyDescent="0.25">
      <c r="T44885" s="135"/>
      <c r="U44885" s="135"/>
    </row>
    <row r="44886" spans="20:21" ht="15" customHeight="1" x14ac:dyDescent="0.25">
      <c r="T44886" s="135"/>
      <c r="U44886" s="135"/>
    </row>
    <row r="44887" spans="20:21" ht="15" customHeight="1" x14ac:dyDescent="0.25">
      <c r="T44887" s="135"/>
      <c r="U44887" s="135"/>
    </row>
    <row r="44888" spans="20:21" ht="15" customHeight="1" x14ac:dyDescent="0.25">
      <c r="T44888" s="135"/>
      <c r="U44888" s="135"/>
    </row>
    <row r="44889" spans="20:21" ht="15" customHeight="1" x14ac:dyDescent="0.25">
      <c r="T44889" s="135"/>
      <c r="U44889" s="135"/>
    </row>
    <row r="44890" spans="20:21" ht="15" customHeight="1" x14ac:dyDescent="0.25">
      <c r="T44890" s="135"/>
      <c r="U44890" s="135"/>
    </row>
    <row r="44891" spans="20:21" ht="15" customHeight="1" x14ac:dyDescent="0.25">
      <c r="T44891" s="135"/>
      <c r="U44891" s="135"/>
    </row>
    <row r="44892" spans="20:21" ht="15" customHeight="1" x14ac:dyDescent="0.25">
      <c r="T44892" s="135"/>
      <c r="U44892" s="135"/>
    </row>
    <row r="44893" spans="20:21" ht="15" customHeight="1" x14ac:dyDescent="0.25">
      <c r="T44893" s="135"/>
      <c r="U44893" s="135"/>
    </row>
    <row r="44894" spans="20:21" ht="15" customHeight="1" x14ac:dyDescent="0.25">
      <c r="T44894" s="135"/>
      <c r="U44894" s="135"/>
    </row>
    <row r="44895" spans="20:21" ht="15" customHeight="1" x14ac:dyDescent="0.25">
      <c r="T44895" s="135"/>
      <c r="U44895" s="135"/>
    </row>
    <row r="44896" spans="20:21" ht="15" customHeight="1" x14ac:dyDescent="0.25">
      <c r="T44896" s="135"/>
      <c r="U44896" s="135"/>
    </row>
    <row r="44897" spans="20:21" ht="15" customHeight="1" x14ac:dyDescent="0.25">
      <c r="T44897" s="135"/>
      <c r="U44897" s="135"/>
    </row>
    <row r="44898" spans="20:21" ht="15" customHeight="1" x14ac:dyDescent="0.25">
      <c r="T44898" s="135"/>
      <c r="U44898" s="135"/>
    </row>
    <row r="44899" spans="20:21" ht="15" customHeight="1" x14ac:dyDescent="0.25">
      <c r="T44899" s="135"/>
      <c r="U44899" s="135"/>
    </row>
    <row r="44900" spans="20:21" ht="15" customHeight="1" x14ac:dyDescent="0.25">
      <c r="T44900" s="135"/>
      <c r="U44900" s="135"/>
    </row>
    <row r="44901" spans="20:21" ht="15" customHeight="1" x14ac:dyDescent="0.25">
      <c r="T44901" s="135"/>
      <c r="U44901" s="135"/>
    </row>
    <row r="44902" spans="20:21" ht="15" customHeight="1" x14ac:dyDescent="0.25">
      <c r="T44902" s="135"/>
      <c r="U44902" s="135"/>
    </row>
    <row r="44903" spans="20:21" ht="15" customHeight="1" x14ac:dyDescent="0.25">
      <c r="T44903" s="135"/>
      <c r="U44903" s="135"/>
    </row>
    <row r="44904" spans="20:21" ht="15" customHeight="1" x14ac:dyDescent="0.25">
      <c r="T44904" s="135"/>
      <c r="U44904" s="135"/>
    </row>
    <row r="44905" spans="20:21" ht="15" customHeight="1" x14ac:dyDescent="0.25">
      <c r="T44905" s="135"/>
      <c r="U44905" s="135"/>
    </row>
    <row r="44906" spans="20:21" ht="15" customHeight="1" x14ac:dyDescent="0.25">
      <c r="T44906" s="135"/>
      <c r="U44906" s="135"/>
    </row>
    <row r="44907" spans="20:21" ht="15" customHeight="1" x14ac:dyDescent="0.25">
      <c r="T44907" s="135"/>
      <c r="U44907" s="135"/>
    </row>
    <row r="44908" spans="20:21" ht="15" customHeight="1" x14ac:dyDescent="0.25">
      <c r="T44908" s="135"/>
      <c r="U44908" s="135"/>
    </row>
    <row r="44909" spans="20:21" ht="15" customHeight="1" x14ac:dyDescent="0.25">
      <c r="T44909" s="135"/>
      <c r="U44909" s="135"/>
    </row>
    <row r="44910" spans="20:21" ht="15" customHeight="1" x14ac:dyDescent="0.25">
      <c r="T44910" s="135"/>
      <c r="U44910" s="135"/>
    </row>
    <row r="44911" spans="20:21" ht="15" customHeight="1" x14ac:dyDescent="0.25">
      <c r="T44911" s="135"/>
      <c r="U44911" s="135"/>
    </row>
    <row r="44912" spans="20:21" ht="15" customHeight="1" x14ac:dyDescent="0.25">
      <c r="T44912" s="135"/>
      <c r="U44912" s="135"/>
    </row>
    <row r="44913" spans="20:21" ht="15" customHeight="1" x14ac:dyDescent="0.25">
      <c r="T44913" s="135"/>
      <c r="U44913" s="135"/>
    </row>
    <row r="44914" spans="20:21" ht="15" customHeight="1" x14ac:dyDescent="0.25">
      <c r="T44914" s="135"/>
      <c r="U44914" s="135"/>
    </row>
    <row r="44915" spans="20:21" ht="15" customHeight="1" x14ac:dyDescent="0.25">
      <c r="T44915" s="135"/>
      <c r="U44915" s="135"/>
    </row>
    <row r="44916" spans="20:21" ht="15" customHeight="1" x14ac:dyDescent="0.25">
      <c r="T44916" s="135"/>
      <c r="U44916" s="135"/>
    </row>
    <row r="44917" spans="20:21" ht="15" customHeight="1" x14ac:dyDescent="0.25">
      <c r="T44917" s="135"/>
      <c r="U44917" s="135"/>
    </row>
    <row r="44918" spans="20:21" ht="15" customHeight="1" x14ac:dyDescent="0.25">
      <c r="T44918" s="135"/>
      <c r="U44918" s="135"/>
    </row>
    <row r="44919" spans="20:21" ht="15" customHeight="1" x14ac:dyDescent="0.25">
      <c r="T44919" s="135"/>
      <c r="U44919" s="135"/>
    </row>
    <row r="44920" spans="20:21" ht="15" customHeight="1" x14ac:dyDescent="0.25">
      <c r="T44920" s="135"/>
      <c r="U44920" s="135"/>
    </row>
    <row r="44921" spans="20:21" ht="15" customHeight="1" x14ac:dyDescent="0.25">
      <c r="T44921" s="135"/>
      <c r="U44921" s="135"/>
    </row>
    <row r="44922" spans="20:21" ht="15" customHeight="1" x14ac:dyDescent="0.25">
      <c r="T44922" s="135"/>
      <c r="U44922" s="135"/>
    </row>
    <row r="44923" spans="20:21" ht="15" customHeight="1" x14ac:dyDescent="0.25">
      <c r="T44923" s="135"/>
      <c r="U44923" s="135"/>
    </row>
    <row r="44924" spans="20:21" ht="15" customHeight="1" x14ac:dyDescent="0.25">
      <c r="T44924" s="135"/>
      <c r="U44924" s="135"/>
    </row>
    <row r="44925" spans="20:21" ht="15" customHeight="1" x14ac:dyDescent="0.25">
      <c r="T44925" s="135"/>
      <c r="U44925" s="135"/>
    </row>
    <row r="44926" spans="20:21" ht="15" customHeight="1" x14ac:dyDescent="0.25">
      <c r="T44926" s="135"/>
      <c r="U44926" s="135"/>
    </row>
    <row r="44927" spans="20:21" ht="15" customHeight="1" x14ac:dyDescent="0.25">
      <c r="T44927" s="135"/>
      <c r="U44927" s="135"/>
    </row>
    <row r="44928" spans="20:21" ht="15" customHeight="1" x14ac:dyDescent="0.25">
      <c r="T44928" s="135"/>
      <c r="U44928" s="135"/>
    </row>
    <row r="44929" spans="20:21" ht="15" customHeight="1" x14ac:dyDescent="0.25">
      <c r="T44929" s="135"/>
      <c r="U44929" s="135"/>
    </row>
    <row r="44930" spans="20:21" ht="15" customHeight="1" x14ac:dyDescent="0.25">
      <c r="T44930" s="135"/>
      <c r="U44930" s="135"/>
    </row>
    <row r="44931" spans="20:21" ht="15" customHeight="1" x14ac:dyDescent="0.25">
      <c r="T44931" s="135"/>
      <c r="U44931" s="135"/>
    </row>
    <row r="44932" spans="20:21" ht="15" customHeight="1" x14ac:dyDescent="0.25">
      <c r="T44932" s="135"/>
      <c r="U44932" s="135"/>
    </row>
    <row r="44933" spans="20:21" ht="15" customHeight="1" x14ac:dyDescent="0.25">
      <c r="T44933" s="135"/>
      <c r="U44933" s="135"/>
    </row>
    <row r="44934" spans="20:21" ht="15" customHeight="1" x14ac:dyDescent="0.25">
      <c r="T44934" s="135"/>
      <c r="U44934" s="135"/>
    </row>
    <row r="44935" spans="20:21" ht="15" customHeight="1" x14ac:dyDescent="0.25">
      <c r="T44935" s="135"/>
      <c r="U44935" s="135"/>
    </row>
    <row r="44936" spans="20:21" ht="15" customHeight="1" x14ac:dyDescent="0.25">
      <c r="T44936" s="135"/>
      <c r="U44936" s="135"/>
    </row>
    <row r="44937" spans="20:21" ht="15" customHeight="1" x14ac:dyDescent="0.25">
      <c r="T44937" s="135"/>
      <c r="U44937" s="135"/>
    </row>
    <row r="44938" spans="20:21" ht="15" customHeight="1" x14ac:dyDescent="0.25">
      <c r="T44938" s="135"/>
      <c r="U44938" s="135"/>
    </row>
    <row r="44939" spans="20:21" ht="15" customHeight="1" x14ac:dyDescent="0.25">
      <c r="T44939" s="135"/>
      <c r="U44939" s="135"/>
    </row>
    <row r="44940" spans="20:21" ht="15" customHeight="1" x14ac:dyDescent="0.25">
      <c r="T44940" s="135"/>
      <c r="U44940" s="135"/>
    </row>
    <row r="44941" spans="20:21" ht="15" customHeight="1" x14ac:dyDescent="0.25">
      <c r="T44941" s="135"/>
      <c r="U44941" s="135"/>
    </row>
    <row r="44942" spans="20:21" ht="15" customHeight="1" x14ac:dyDescent="0.25">
      <c r="T44942" s="135"/>
      <c r="U44942" s="135"/>
    </row>
    <row r="44943" spans="20:21" ht="15" customHeight="1" x14ac:dyDescent="0.25">
      <c r="T44943" s="135"/>
      <c r="U44943" s="135"/>
    </row>
    <row r="44944" spans="20:21" ht="15" customHeight="1" x14ac:dyDescent="0.25">
      <c r="T44944" s="135"/>
      <c r="U44944" s="135"/>
    </row>
    <row r="44945" spans="20:21" ht="15" customHeight="1" x14ac:dyDescent="0.25">
      <c r="T44945" s="135"/>
      <c r="U44945" s="135"/>
    </row>
    <row r="44946" spans="20:21" ht="15" customHeight="1" x14ac:dyDescent="0.25">
      <c r="T44946" s="135"/>
      <c r="U44946" s="135"/>
    </row>
    <row r="44947" spans="20:21" ht="15" customHeight="1" x14ac:dyDescent="0.25">
      <c r="T44947" s="135"/>
      <c r="U44947" s="135"/>
    </row>
    <row r="44948" spans="20:21" ht="15" customHeight="1" x14ac:dyDescent="0.25">
      <c r="T44948" s="135"/>
      <c r="U44948" s="135"/>
    </row>
    <row r="44949" spans="20:21" ht="15" customHeight="1" x14ac:dyDescent="0.25">
      <c r="T44949" s="135"/>
      <c r="U44949" s="135"/>
    </row>
    <row r="44950" spans="20:21" ht="15" customHeight="1" x14ac:dyDescent="0.25">
      <c r="T44950" s="135"/>
      <c r="U44950" s="135"/>
    </row>
    <row r="44951" spans="20:21" ht="15" customHeight="1" x14ac:dyDescent="0.25">
      <c r="T44951" s="135"/>
      <c r="U44951" s="135"/>
    </row>
    <row r="44952" spans="20:21" ht="15" customHeight="1" x14ac:dyDescent="0.25">
      <c r="T44952" s="135"/>
      <c r="U44952" s="135"/>
    </row>
    <row r="44953" spans="20:21" ht="15" customHeight="1" x14ac:dyDescent="0.25">
      <c r="T44953" s="135"/>
      <c r="U44953" s="135"/>
    </row>
    <row r="44954" spans="20:21" ht="15" customHeight="1" x14ac:dyDescent="0.25">
      <c r="T44954" s="135"/>
      <c r="U44954" s="135"/>
    </row>
    <row r="44955" spans="20:21" ht="15" customHeight="1" x14ac:dyDescent="0.25">
      <c r="T44955" s="135"/>
      <c r="U44955" s="135"/>
    </row>
    <row r="44956" spans="20:21" ht="15" customHeight="1" x14ac:dyDescent="0.25">
      <c r="T44956" s="135"/>
      <c r="U44956" s="135"/>
    </row>
    <row r="44957" spans="20:21" ht="15" customHeight="1" x14ac:dyDescent="0.25">
      <c r="T44957" s="135"/>
      <c r="U44957" s="135"/>
    </row>
    <row r="44958" spans="20:21" ht="15" customHeight="1" x14ac:dyDescent="0.25">
      <c r="T44958" s="135"/>
      <c r="U44958" s="135"/>
    </row>
    <row r="44959" spans="20:21" ht="15" customHeight="1" x14ac:dyDescent="0.25">
      <c r="T44959" s="135"/>
      <c r="U44959" s="135"/>
    </row>
    <row r="44960" spans="20:21" ht="15" customHeight="1" x14ac:dyDescent="0.25">
      <c r="T44960" s="135"/>
      <c r="U44960" s="135"/>
    </row>
    <row r="44961" spans="20:21" ht="15" customHeight="1" x14ac:dyDescent="0.25">
      <c r="T44961" s="135"/>
      <c r="U44961" s="135"/>
    </row>
    <row r="44962" spans="20:21" ht="15" customHeight="1" x14ac:dyDescent="0.25">
      <c r="T44962" s="135"/>
      <c r="U44962" s="135"/>
    </row>
    <row r="44963" spans="20:21" ht="15" customHeight="1" x14ac:dyDescent="0.25">
      <c r="T44963" s="135"/>
      <c r="U44963" s="135"/>
    </row>
    <row r="44964" spans="20:21" ht="15" customHeight="1" x14ac:dyDescent="0.25">
      <c r="T44964" s="135"/>
      <c r="U44964" s="135"/>
    </row>
    <row r="44965" spans="20:21" ht="15" customHeight="1" x14ac:dyDescent="0.25">
      <c r="T44965" s="135"/>
      <c r="U44965" s="135"/>
    </row>
    <row r="44966" spans="20:21" ht="15" customHeight="1" x14ac:dyDescent="0.25">
      <c r="T44966" s="135"/>
      <c r="U44966" s="135"/>
    </row>
    <row r="44967" spans="20:21" ht="15" customHeight="1" x14ac:dyDescent="0.25">
      <c r="T44967" s="135"/>
      <c r="U44967" s="135"/>
    </row>
    <row r="44968" spans="20:21" ht="15" customHeight="1" x14ac:dyDescent="0.25">
      <c r="T44968" s="135"/>
      <c r="U44968" s="135"/>
    </row>
    <row r="44969" spans="20:21" ht="15" customHeight="1" x14ac:dyDescent="0.25">
      <c r="T44969" s="135"/>
      <c r="U44969" s="135"/>
    </row>
    <row r="44970" spans="20:21" ht="15" customHeight="1" x14ac:dyDescent="0.25">
      <c r="T44970" s="135"/>
      <c r="U44970" s="135"/>
    </row>
    <row r="44971" spans="20:21" ht="15" customHeight="1" x14ac:dyDescent="0.25">
      <c r="T44971" s="135"/>
      <c r="U44971" s="135"/>
    </row>
    <row r="44972" spans="20:21" ht="15" customHeight="1" x14ac:dyDescent="0.25">
      <c r="T44972" s="135"/>
      <c r="U44972" s="135"/>
    </row>
    <row r="44973" spans="20:21" ht="15" customHeight="1" x14ac:dyDescent="0.25">
      <c r="T44973" s="135"/>
      <c r="U44973" s="135"/>
    </row>
    <row r="44974" spans="20:21" ht="15" customHeight="1" x14ac:dyDescent="0.25">
      <c r="T44974" s="135"/>
      <c r="U44974" s="135"/>
    </row>
    <row r="44975" spans="20:21" ht="15" customHeight="1" x14ac:dyDescent="0.25">
      <c r="T44975" s="135"/>
      <c r="U44975" s="135"/>
    </row>
    <row r="44976" spans="20:21" ht="15" customHeight="1" x14ac:dyDescent="0.25">
      <c r="T44976" s="135"/>
      <c r="U44976" s="135"/>
    </row>
    <row r="44977" spans="20:21" ht="15" customHeight="1" x14ac:dyDescent="0.25">
      <c r="T44977" s="135"/>
      <c r="U44977" s="135"/>
    </row>
    <row r="44978" spans="20:21" ht="15" customHeight="1" x14ac:dyDescent="0.25">
      <c r="T44978" s="135"/>
      <c r="U44978" s="135"/>
    </row>
    <row r="44979" spans="20:21" ht="15" customHeight="1" x14ac:dyDescent="0.25">
      <c r="T44979" s="135"/>
      <c r="U44979" s="135"/>
    </row>
    <row r="44980" spans="20:21" ht="15" customHeight="1" x14ac:dyDescent="0.25">
      <c r="T44980" s="135"/>
      <c r="U44980" s="135"/>
    </row>
    <row r="44981" spans="20:21" ht="15" customHeight="1" x14ac:dyDescent="0.25">
      <c r="T44981" s="135"/>
      <c r="U44981" s="135"/>
    </row>
    <row r="44982" spans="20:21" ht="15" customHeight="1" x14ac:dyDescent="0.25">
      <c r="T44982" s="135"/>
      <c r="U44982" s="135"/>
    </row>
    <row r="44983" spans="20:21" ht="15" customHeight="1" x14ac:dyDescent="0.25">
      <c r="T44983" s="135"/>
      <c r="U44983" s="135"/>
    </row>
    <row r="44984" spans="20:21" ht="15" customHeight="1" x14ac:dyDescent="0.25">
      <c r="T44984" s="135"/>
      <c r="U44984" s="135"/>
    </row>
    <row r="44985" spans="20:21" ht="15" customHeight="1" x14ac:dyDescent="0.25">
      <c r="T44985" s="135"/>
      <c r="U44985" s="135"/>
    </row>
    <row r="44986" spans="20:21" ht="15" customHeight="1" x14ac:dyDescent="0.25">
      <c r="T44986" s="135"/>
      <c r="U44986" s="135"/>
    </row>
    <row r="44987" spans="20:21" ht="15" customHeight="1" x14ac:dyDescent="0.25">
      <c r="T44987" s="135"/>
      <c r="U44987" s="135"/>
    </row>
    <row r="44988" spans="20:21" ht="15" customHeight="1" x14ac:dyDescent="0.25">
      <c r="T44988" s="135"/>
      <c r="U44988" s="135"/>
    </row>
    <row r="44989" spans="20:21" ht="15" customHeight="1" x14ac:dyDescent="0.25">
      <c r="T44989" s="135"/>
      <c r="U44989" s="135"/>
    </row>
    <row r="44990" spans="20:21" ht="15" customHeight="1" x14ac:dyDescent="0.25">
      <c r="T44990" s="135"/>
      <c r="U44990" s="135"/>
    </row>
    <row r="44991" spans="20:21" ht="15" customHeight="1" x14ac:dyDescent="0.25">
      <c r="T44991" s="135"/>
      <c r="U44991" s="135"/>
    </row>
    <row r="44992" spans="20:21" ht="15" customHeight="1" x14ac:dyDescent="0.25">
      <c r="T44992" s="135"/>
      <c r="U44992" s="135"/>
    </row>
    <row r="44993" spans="20:21" ht="15" customHeight="1" x14ac:dyDescent="0.25">
      <c r="T44993" s="135"/>
      <c r="U44993" s="135"/>
    </row>
    <row r="44994" spans="20:21" ht="15" customHeight="1" x14ac:dyDescent="0.25">
      <c r="T44994" s="135"/>
      <c r="U44994" s="135"/>
    </row>
    <row r="44995" spans="20:21" ht="15" customHeight="1" x14ac:dyDescent="0.25">
      <c r="T44995" s="135"/>
      <c r="U44995" s="135"/>
    </row>
    <row r="44996" spans="20:21" ht="15" customHeight="1" x14ac:dyDescent="0.25">
      <c r="T44996" s="135"/>
      <c r="U44996" s="135"/>
    </row>
    <row r="44997" spans="20:21" ht="15" customHeight="1" x14ac:dyDescent="0.25">
      <c r="T44997" s="135"/>
      <c r="U44997" s="135"/>
    </row>
    <row r="44998" spans="20:21" ht="15" customHeight="1" x14ac:dyDescent="0.25">
      <c r="T44998" s="135"/>
      <c r="U44998" s="135"/>
    </row>
    <row r="44999" spans="20:21" ht="15" customHeight="1" x14ac:dyDescent="0.25">
      <c r="T44999" s="135"/>
      <c r="U44999" s="135"/>
    </row>
    <row r="45000" spans="20:21" ht="15" customHeight="1" x14ac:dyDescent="0.25">
      <c r="T45000" s="135"/>
      <c r="U45000" s="135"/>
    </row>
    <row r="45001" spans="20:21" ht="15" customHeight="1" x14ac:dyDescent="0.25">
      <c r="T45001" s="135"/>
      <c r="U45001" s="135"/>
    </row>
    <row r="45002" spans="20:21" ht="15" customHeight="1" x14ac:dyDescent="0.25">
      <c r="T45002" s="135"/>
      <c r="U45002" s="135"/>
    </row>
    <row r="45003" spans="20:21" ht="15" customHeight="1" x14ac:dyDescent="0.25">
      <c r="T45003" s="135"/>
      <c r="U45003" s="135"/>
    </row>
    <row r="45004" spans="20:21" ht="15" customHeight="1" x14ac:dyDescent="0.25">
      <c r="T45004" s="135"/>
      <c r="U45004" s="135"/>
    </row>
    <row r="45005" spans="20:21" ht="15" customHeight="1" x14ac:dyDescent="0.25">
      <c r="T45005" s="135"/>
      <c r="U45005" s="135"/>
    </row>
    <row r="45006" spans="20:21" ht="15" customHeight="1" x14ac:dyDescent="0.25">
      <c r="T45006" s="135"/>
      <c r="U45006" s="135"/>
    </row>
    <row r="45007" spans="20:21" ht="15" customHeight="1" x14ac:dyDescent="0.25">
      <c r="T45007" s="135"/>
      <c r="U45007" s="135"/>
    </row>
    <row r="45008" spans="20:21" ht="15" customHeight="1" x14ac:dyDescent="0.25">
      <c r="T45008" s="135"/>
      <c r="U45008" s="135"/>
    </row>
    <row r="45009" spans="20:21" ht="15" customHeight="1" x14ac:dyDescent="0.25">
      <c r="T45009" s="135"/>
      <c r="U45009" s="135"/>
    </row>
    <row r="45010" spans="20:21" ht="15" customHeight="1" x14ac:dyDescent="0.25">
      <c r="T45010" s="135"/>
      <c r="U45010" s="135"/>
    </row>
    <row r="45011" spans="20:21" ht="15" customHeight="1" x14ac:dyDescent="0.25">
      <c r="T45011" s="135"/>
      <c r="U45011" s="135"/>
    </row>
    <row r="45012" spans="20:21" ht="15" customHeight="1" x14ac:dyDescent="0.25">
      <c r="T45012" s="135"/>
      <c r="U45012" s="135"/>
    </row>
    <row r="45013" spans="20:21" ht="15" customHeight="1" x14ac:dyDescent="0.25">
      <c r="T45013" s="135"/>
      <c r="U45013" s="135"/>
    </row>
    <row r="45014" spans="20:21" ht="15" customHeight="1" x14ac:dyDescent="0.25">
      <c r="T45014" s="135"/>
      <c r="U45014" s="135"/>
    </row>
    <row r="45015" spans="20:21" ht="15" customHeight="1" x14ac:dyDescent="0.25">
      <c r="T45015" s="135"/>
      <c r="U45015" s="135"/>
    </row>
    <row r="45016" spans="20:21" ht="15" customHeight="1" x14ac:dyDescent="0.25">
      <c r="T45016" s="135"/>
      <c r="U45016" s="135"/>
    </row>
    <row r="45017" spans="20:21" ht="15" customHeight="1" x14ac:dyDescent="0.25">
      <c r="T45017" s="135"/>
      <c r="U45017" s="135"/>
    </row>
    <row r="45018" spans="20:21" ht="15" customHeight="1" x14ac:dyDescent="0.25">
      <c r="T45018" s="135"/>
      <c r="U45018" s="135"/>
    </row>
    <row r="45019" spans="20:21" ht="15" customHeight="1" x14ac:dyDescent="0.25">
      <c r="T45019" s="135"/>
      <c r="U45019" s="135"/>
    </row>
    <row r="45020" spans="20:21" ht="15" customHeight="1" x14ac:dyDescent="0.25">
      <c r="T45020" s="135"/>
      <c r="U45020" s="135"/>
    </row>
    <row r="45021" spans="20:21" ht="15" customHeight="1" x14ac:dyDescent="0.25">
      <c r="T45021" s="135"/>
      <c r="U45021" s="135"/>
    </row>
    <row r="45022" spans="20:21" ht="15" customHeight="1" x14ac:dyDescent="0.25">
      <c r="T45022" s="135"/>
      <c r="U45022" s="135"/>
    </row>
    <row r="45023" spans="20:21" ht="15" customHeight="1" x14ac:dyDescent="0.25">
      <c r="T45023" s="135"/>
      <c r="U45023" s="135"/>
    </row>
    <row r="45024" spans="20:21" ht="15" customHeight="1" x14ac:dyDescent="0.25">
      <c r="T45024" s="135"/>
      <c r="U45024" s="135"/>
    </row>
    <row r="45025" spans="20:21" ht="15" customHeight="1" x14ac:dyDescent="0.25">
      <c r="T45025" s="135"/>
      <c r="U45025" s="135"/>
    </row>
    <row r="45026" spans="20:21" ht="15" customHeight="1" x14ac:dyDescent="0.25">
      <c r="T45026" s="135"/>
      <c r="U45026" s="135"/>
    </row>
    <row r="45027" spans="20:21" ht="15" customHeight="1" x14ac:dyDescent="0.25">
      <c r="T45027" s="135"/>
      <c r="U45027" s="135"/>
    </row>
    <row r="45028" spans="20:21" ht="15" customHeight="1" x14ac:dyDescent="0.25">
      <c r="T45028" s="135"/>
      <c r="U45028" s="135"/>
    </row>
    <row r="45029" spans="20:21" ht="15" customHeight="1" x14ac:dyDescent="0.25">
      <c r="T45029" s="135"/>
      <c r="U45029" s="135"/>
    </row>
    <row r="45030" spans="20:21" ht="15" customHeight="1" x14ac:dyDescent="0.25">
      <c r="T45030" s="135"/>
      <c r="U45030" s="135"/>
    </row>
    <row r="45031" spans="20:21" ht="15" customHeight="1" x14ac:dyDescent="0.25">
      <c r="T45031" s="135"/>
      <c r="U45031" s="135"/>
    </row>
    <row r="45032" spans="20:21" ht="15" customHeight="1" x14ac:dyDescent="0.25">
      <c r="T45032" s="135"/>
      <c r="U45032" s="135"/>
    </row>
    <row r="45033" spans="20:21" ht="15" customHeight="1" x14ac:dyDescent="0.25">
      <c r="T45033" s="135"/>
      <c r="U45033" s="135"/>
    </row>
    <row r="45034" spans="20:21" ht="15" customHeight="1" x14ac:dyDescent="0.25">
      <c r="T45034" s="135"/>
      <c r="U45034" s="135"/>
    </row>
    <row r="45035" spans="20:21" ht="15" customHeight="1" x14ac:dyDescent="0.25">
      <c r="T45035" s="135"/>
      <c r="U45035" s="135"/>
    </row>
    <row r="45036" spans="20:21" ht="15" customHeight="1" x14ac:dyDescent="0.25">
      <c r="T45036" s="135"/>
      <c r="U45036" s="135"/>
    </row>
    <row r="45037" spans="20:21" ht="15" customHeight="1" x14ac:dyDescent="0.25">
      <c r="T45037" s="135"/>
      <c r="U45037" s="135"/>
    </row>
    <row r="45038" spans="20:21" ht="15" customHeight="1" x14ac:dyDescent="0.25">
      <c r="T45038" s="135"/>
      <c r="U45038" s="135"/>
    </row>
    <row r="45039" spans="20:21" ht="15" customHeight="1" x14ac:dyDescent="0.25">
      <c r="T45039" s="135"/>
      <c r="U45039" s="135"/>
    </row>
    <row r="45040" spans="20:21" ht="15" customHeight="1" x14ac:dyDescent="0.25">
      <c r="T45040" s="135"/>
      <c r="U45040" s="135"/>
    </row>
    <row r="45041" spans="20:21" ht="15" customHeight="1" x14ac:dyDescent="0.25">
      <c r="T45041" s="135"/>
      <c r="U45041" s="135"/>
    </row>
    <row r="45042" spans="20:21" ht="15" customHeight="1" x14ac:dyDescent="0.25">
      <c r="T45042" s="135"/>
      <c r="U45042" s="135"/>
    </row>
    <row r="45043" spans="20:21" ht="15" customHeight="1" x14ac:dyDescent="0.25">
      <c r="T45043" s="135"/>
      <c r="U45043" s="135"/>
    </row>
    <row r="45044" spans="20:21" ht="15" customHeight="1" x14ac:dyDescent="0.25">
      <c r="T45044" s="135"/>
      <c r="U45044" s="135"/>
    </row>
    <row r="45045" spans="20:21" ht="15" customHeight="1" x14ac:dyDescent="0.25">
      <c r="T45045" s="135"/>
      <c r="U45045" s="135"/>
    </row>
    <row r="45046" spans="20:21" ht="15" customHeight="1" x14ac:dyDescent="0.25">
      <c r="T45046" s="135"/>
      <c r="U45046" s="135"/>
    </row>
    <row r="45047" spans="20:21" ht="15" customHeight="1" x14ac:dyDescent="0.25">
      <c r="T45047" s="135"/>
      <c r="U45047" s="135"/>
    </row>
    <row r="45048" spans="20:21" ht="15" customHeight="1" x14ac:dyDescent="0.25">
      <c r="T45048" s="135"/>
      <c r="U45048" s="135"/>
    </row>
    <row r="45049" spans="20:21" ht="15" customHeight="1" x14ac:dyDescent="0.25">
      <c r="T45049" s="135"/>
      <c r="U45049" s="135"/>
    </row>
    <row r="45050" spans="20:21" ht="15" customHeight="1" x14ac:dyDescent="0.25">
      <c r="T45050" s="135"/>
      <c r="U45050" s="135"/>
    </row>
    <row r="45051" spans="20:21" ht="15" customHeight="1" x14ac:dyDescent="0.25">
      <c r="T45051" s="135"/>
      <c r="U45051" s="135"/>
    </row>
    <row r="45052" spans="20:21" ht="15" customHeight="1" x14ac:dyDescent="0.25">
      <c r="T45052" s="135"/>
      <c r="U45052" s="135"/>
    </row>
    <row r="45053" spans="20:21" ht="15" customHeight="1" x14ac:dyDescent="0.25">
      <c r="T45053" s="135"/>
      <c r="U45053" s="135"/>
    </row>
    <row r="45054" spans="20:21" ht="15" customHeight="1" x14ac:dyDescent="0.25">
      <c r="T45054" s="135"/>
      <c r="U45054" s="135"/>
    </row>
    <row r="45055" spans="20:21" ht="15" customHeight="1" x14ac:dyDescent="0.25">
      <c r="T45055" s="135"/>
      <c r="U45055" s="135"/>
    </row>
    <row r="45056" spans="20:21" ht="15" customHeight="1" x14ac:dyDescent="0.25">
      <c r="T45056" s="135"/>
      <c r="U45056" s="135"/>
    </row>
    <row r="45057" spans="20:21" ht="15" customHeight="1" x14ac:dyDescent="0.25">
      <c r="T45057" s="135"/>
      <c r="U45057" s="135"/>
    </row>
    <row r="45058" spans="20:21" ht="15" customHeight="1" x14ac:dyDescent="0.25">
      <c r="T45058" s="135"/>
      <c r="U45058" s="135"/>
    </row>
    <row r="45059" spans="20:21" ht="15" customHeight="1" x14ac:dyDescent="0.25">
      <c r="T45059" s="135"/>
      <c r="U45059" s="135"/>
    </row>
    <row r="45060" spans="20:21" ht="15" customHeight="1" x14ac:dyDescent="0.25">
      <c r="T45060" s="135"/>
      <c r="U45060" s="135"/>
    </row>
    <row r="45061" spans="20:21" ht="15" customHeight="1" x14ac:dyDescent="0.25">
      <c r="T45061" s="135"/>
      <c r="U45061" s="135"/>
    </row>
    <row r="45062" spans="20:21" ht="15" customHeight="1" x14ac:dyDescent="0.25">
      <c r="T45062" s="135"/>
      <c r="U45062" s="135"/>
    </row>
    <row r="45063" spans="20:21" ht="15" customHeight="1" x14ac:dyDescent="0.25">
      <c r="T45063" s="135"/>
      <c r="U45063" s="135"/>
    </row>
    <row r="45064" spans="20:21" ht="15" customHeight="1" x14ac:dyDescent="0.25">
      <c r="T45064" s="135"/>
      <c r="U45064" s="135"/>
    </row>
    <row r="45065" spans="20:21" ht="15" customHeight="1" x14ac:dyDescent="0.25">
      <c r="T45065" s="135"/>
      <c r="U45065" s="135"/>
    </row>
    <row r="45066" spans="20:21" ht="15" customHeight="1" x14ac:dyDescent="0.25">
      <c r="T45066" s="135"/>
      <c r="U45066" s="135"/>
    </row>
    <row r="45067" spans="20:21" ht="15" customHeight="1" x14ac:dyDescent="0.25">
      <c r="T45067" s="135"/>
      <c r="U45067" s="135"/>
    </row>
    <row r="45068" spans="20:21" ht="15" customHeight="1" x14ac:dyDescent="0.25">
      <c r="T45068" s="135"/>
      <c r="U45068" s="135"/>
    </row>
    <row r="45069" spans="20:21" ht="15" customHeight="1" x14ac:dyDescent="0.25">
      <c r="T45069" s="135"/>
      <c r="U45069" s="135"/>
    </row>
    <row r="45070" spans="20:21" ht="15" customHeight="1" x14ac:dyDescent="0.25">
      <c r="T45070" s="135"/>
      <c r="U45070" s="135"/>
    </row>
    <row r="45071" spans="20:21" ht="15" customHeight="1" x14ac:dyDescent="0.25">
      <c r="T45071" s="135"/>
      <c r="U45071" s="135"/>
    </row>
    <row r="45072" spans="20:21" ht="15" customHeight="1" x14ac:dyDescent="0.25">
      <c r="T45072" s="135"/>
      <c r="U45072" s="135"/>
    </row>
    <row r="45073" spans="20:21" ht="15" customHeight="1" x14ac:dyDescent="0.25">
      <c r="T45073" s="135"/>
      <c r="U45073" s="135"/>
    </row>
    <row r="45074" spans="20:21" ht="15" customHeight="1" x14ac:dyDescent="0.25">
      <c r="T45074" s="135"/>
      <c r="U45074" s="135"/>
    </row>
    <row r="45075" spans="20:21" ht="15" customHeight="1" x14ac:dyDescent="0.25">
      <c r="T45075" s="135"/>
      <c r="U45075" s="135"/>
    </row>
    <row r="45076" spans="20:21" ht="15" customHeight="1" x14ac:dyDescent="0.25">
      <c r="T45076" s="135"/>
      <c r="U45076" s="135"/>
    </row>
    <row r="45077" spans="20:21" ht="15" customHeight="1" x14ac:dyDescent="0.25">
      <c r="T45077" s="135"/>
      <c r="U45077" s="135"/>
    </row>
    <row r="45078" spans="20:21" ht="15" customHeight="1" x14ac:dyDescent="0.25">
      <c r="T45078" s="135"/>
      <c r="U45078" s="135"/>
    </row>
    <row r="45079" spans="20:21" ht="15" customHeight="1" x14ac:dyDescent="0.25">
      <c r="T45079" s="135"/>
      <c r="U45079" s="135"/>
    </row>
    <row r="45080" spans="20:21" ht="15" customHeight="1" x14ac:dyDescent="0.25">
      <c r="T45080" s="135"/>
      <c r="U45080" s="135"/>
    </row>
    <row r="45081" spans="20:21" ht="15" customHeight="1" x14ac:dyDescent="0.25">
      <c r="T45081" s="135"/>
      <c r="U45081" s="135"/>
    </row>
    <row r="45082" spans="20:21" ht="15" customHeight="1" x14ac:dyDescent="0.25">
      <c r="T45082" s="135"/>
      <c r="U45082" s="135"/>
    </row>
    <row r="45083" spans="20:21" ht="15" customHeight="1" x14ac:dyDescent="0.25">
      <c r="T45083" s="135"/>
      <c r="U45083" s="135"/>
    </row>
    <row r="45084" spans="20:21" ht="15" customHeight="1" x14ac:dyDescent="0.25">
      <c r="T45084" s="135"/>
      <c r="U45084" s="135"/>
    </row>
    <row r="45085" spans="20:21" ht="15" customHeight="1" x14ac:dyDescent="0.25">
      <c r="T45085" s="135"/>
      <c r="U45085" s="135"/>
    </row>
    <row r="45086" spans="20:21" ht="15" customHeight="1" x14ac:dyDescent="0.25">
      <c r="T45086" s="135"/>
      <c r="U45086" s="135"/>
    </row>
    <row r="45087" spans="20:21" ht="15" customHeight="1" x14ac:dyDescent="0.25">
      <c r="T45087" s="135"/>
      <c r="U45087" s="135"/>
    </row>
    <row r="45088" spans="20:21" ht="15" customHeight="1" x14ac:dyDescent="0.25">
      <c r="T45088" s="135"/>
      <c r="U45088" s="135"/>
    </row>
    <row r="45089" spans="20:21" ht="15" customHeight="1" x14ac:dyDescent="0.25">
      <c r="T45089" s="135"/>
      <c r="U45089" s="135"/>
    </row>
    <row r="45090" spans="20:21" ht="15" customHeight="1" x14ac:dyDescent="0.25">
      <c r="T45090" s="135"/>
      <c r="U45090" s="135"/>
    </row>
    <row r="45091" spans="20:21" ht="15" customHeight="1" x14ac:dyDescent="0.25">
      <c r="T45091" s="135"/>
      <c r="U45091" s="135"/>
    </row>
    <row r="45092" spans="20:21" ht="15" customHeight="1" x14ac:dyDescent="0.25">
      <c r="T45092" s="135"/>
      <c r="U45092" s="135"/>
    </row>
    <row r="45093" spans="20:21" ht="15" customHeight="1" x14ac:dyDescent="0.25">
      <c r="T45093" s="135"/>
      <c r="U45093" s="135"/>
    </row>
    <row r="45094" spans="20:21" ht="15" customHeight="1" x14ac:dyDescent="0.25">
      <c r="T45094" s="135"/>
      <c r="U45094" s="135"/>
    </row>
    <row r="45095" spans="20:21" ht="15" customHeight="1" x14ac:dyDescent="0.25">
      <c r="T45095" s="135"/>
      <c r="U45095" s="135"/>
    </row>
    <row r="45096" spans="20:21" ht="15" customHeight="1" x14ac:dyDescent="0.25">
      <c r="T45096" s="135"/>
      <c r="U45096" s="135"/>
    </row>
    <row r="45097" spans="20:21" ht="15" customHeight="1" x14ac:dyDescent="0.25">
      <c r="T45097" s="135"/>
      <c r="U45097" s="135"/>
    </row>
    <row r="45098" spans="20:21" ht="15" customHeight="1" x14ac:dyDescent="0.25">
      <c r="T45098" s="135"/>
      <c r="U45098" s="135"/>
    </row>
    <row r="45099" spans="20:21" ht="15" customHeight="1" x14ac:dyDescent="0.25">
      <c r="T45099" s="135"/>
      <c r="U45099" s="135"/>
    </row>
    <row r="45100" spans="20:21" ht="15" customHeight="1" x14ac:dyDescent="0.25">
      <c r="T45100" s="135"/>
      <c r="U45100" s="135"/>
    </row>
    <row r="45101" spans="20:21" ht="15" customHeight="1" x14ac:dyDescent="0.25">
      <c r="T45101" s="135"/>
      <c r="U45101" s="135"/>
    </row>
    <row r="45102" spans="20:21" ht="15" customHeight="1" x14ac:dyDescent="0.25">
      <c r="T45102" s="135"/>
      <c r="U45102" s="135"/>
    </row>
    <row r="45103" spans="20:21" ht="15" customHeight="1" x14ac:dyDescent="0.25">
      <c r="T45103" s="135"/>
      <c r="U45103" s="135"/>
    </row>
    <row r="45104" spans="20:21" ht="15" customHeight="1" x14ac:dyDescent="0.25">
      <c r="T45104" s="135"/>
      <c r="U45104" s="135"/>
    </row>
    <row r="45105" spans="20:21" ht="15" customHeight="1" x14ac:dyDescent="0.25">
      <c r="T45105" s="135"/>
      <c r="U45105" s="135"/>
    </row>
    <row r="45106" spans="20:21" ht="15" customHeight="1" x14ac:dyDescent="0.25">
      <c r="T45106" s="135"/>
      <c r="U45106" s="135"/>
    </row>
    <row r="45107" spans="20:21" ht="15" customHeight="1" x14ac:dyDescent="0.25">
      <c r="T45107" s="135"/>
      <c r="U45107" s="135"/>
    </row>
    <row r="45108" spans="20:21" ht="15" customHeight="1" x14ac:dyDescent="0.25">
      <c r="T45108" s="135"/>
      <c r="U45108" s="135"/>
    </row>
    <row r="45109" spans="20:21" ht="15" customHeight="1" x14ac:dyDescent="0.25">
      <c r="T45109" s="135"/>
      <c r="U45109" s="135"/>
    </row>
    <row r="45110" spans="20:21" ht="15" customHeight="1" x14ac:dyDescent="0.25">
      <c r="T45110" s="135"/>
      <c r="U45110" s="135"/>
    </row>
    <row r="45111" spans="20:21" ht="15" customHeight="1" x14ac:dyDescent="0.25">
      <c r="T45111" s="135"/>
      <c r="U45111" s="135"/>
    </row>
    <row r="45112" spans="20:21" ht="15" customHeight="1" x14ac:dyDescent="0.25">
      <c r="T45112" s="135"/>
      <c r="U45112" s="135"/>
    </row>
    <row r="45113" spans="20:21" ht="15" customHeight="1" x14ac:dyDescent="0.25">
      <c r="T45113" s="135"/>
      <c r="U45113" s="135"/>
    </row>
    <row r="45114" spans="20:21" ht="15" customHeight="1" x14ac:dyDescent="0.25">
      <c r="T45114" s="135"/>
      <c r="U45114" s="135"/>
    </row>
    <row r="45115" spans="20:21" ht="15" customHeight="1" x14ac:dyDescent="0.25">
      <c r="T45115" s="135"/>
      <c r="U45115" s="135"/>
    </row>
    <row r="45116" spans="20:21" ht="15" customHeight="1" x14ac:dyDescent="0.25">
      <c r="T45116" s="135"/>
      <c r="U45116" s="135"/>
    </row>
    <row r="45117" spans="20:21" ht="15" customHeight="1" x14ac:dyDescent="0.25">
      <c r="T45117" s="135"/>
      <c r="U45117" s="135"/>
    </row>
    <row r="45118" spans="20:21" ht="15" customHeight="1" x14ac:dyDescent="0.25">
      <c r="T45118" s="135"/>
      <c r="U45118" s="135"/>
    </row>
    <row r="45119" spans="20:21" ht="15" customHeight="1" x14ac:dyDescent="0.25">
      <c r="T45119" s="135"/>
      <c r="U45119" s="135"/>
    </row>
    <row r="45120" spans="20:21" ht="15" customHeight="1" x14ac:dyDescent="0.25">
      <c r="T45120" s="135"/>
      <c r="U45120" s="135"/>
    </row>
    <row r="45121" spans="20:21" ht="15" customHeight="1" x14ac:dyDescent="0.25">
      <c r="T45121" s="135"/>
      <c r="U45121" s="135"/>
    </row>
    <row r="45122" spans="20:21" ht="15" customHeight="1" x14ac:dyDescent="0.25">
      <c r="T45122" s="135"/>
      <c r="U45122" s="135"/>
    </row>
    <row r="45123" spans="20:21" ht="15" customHeight="1" x14ac:dyDescent="0.25">
      <c r="T45123" s="135"/>
      <c r="U45123" s="135"/>
    </row>
    <row r="45124" spans="20:21" ht="15" customHeight="1" x14ac:dyDescent="0.25">
      <c r="T45124" s="135"/>
      <c r="U45124" s="135"/>
    </row>
    <row r="45125" spans="20:21" ht="15" customHeight="1" x14ac:dyDescent="0.25">
      <c r="T45125" s="135"/>
      <c r="U45125" s="135"/>
    </row>
    <row r="45126" spans="20:21" ht="15" customHeight="1" x14ac:dyDescent="0.25">
      <c r="T45126" s="135"/>
      <c r="U45126" s="135"/>
    </row>
    <row r="45127" spans="20:21" ht="15" customHeight="1" x14ac:dyDescent="0.25">
      <c r="T45127" s="135"/>
      <c r="U45127" s="135"/>
    </row>
    <row r="45128" spans="20:21" ht="15" customHeight="1" x14ac:dyDescent="0.25">
      <c r="T45128" s="135"/>
      <c r="U45128" s="135"/>
    </row>
    <row r="45129" spans="20:21" ht="15" customHeight="1" x14ac:dyDescent="0.25">
      <c r="T45129" s="135"/>
      <c r="U45129" s="135"/>
    </row>
    <row r="45130" spans="20:21" ht="15" customHeight="1" x14ac:dyDescent="0.25">
      <c r="T45130" s="135"/>
      <c r="U45130" s="135"/>
    </row>
    <row r="45131" spans="20:21" ht="15" customHeight="1" x14ac:dyDescent="0.25">
      <c r="T45131" s="135"/>
      <c r="U45131" s="135"/>
    </row>
    <row r="45132" spans="20:21" ht="15" customHeight="1" x14ac:dyDescent="0.25">
      <c r="T45132" s="135"/>
      <c r="U45132" s="135"/>
    </row>
    <row r="45133" spans="20:21" ht="15" customHeight="1" x14ac:dyDescent="0.25">
      <c r="T45133" s="135"/>
      <c r="U45133" s="135"/>
    </row>
    <row r="45134" spans="20:21" ht="15" customHeight="1" x14ac:dyDescent="0.25">
      <c r="T45134" s="135"/>
      <c r="U45134" s="135"/>
    </row>
    <row r="45135" spans="20:21" ht="15" customHeight="1" x14ac:dyDescent="0.25">
      <c r="T45135" s="135"/>
      <c r="U45135" s="135"/>
    </row>
    <row r="45136" spans="20:21" ht="15" customHeight="1" x14ac:dyDescent="0.25">
      <c r="T45136" s="135"/>
      <c r="U45136" s="135"/>
    </row>
    <row r="45137" spans="20:21" ht="15" customHeight="1" x14ac:dyDescent="0.25">
      <c r="T45137" s="135"/>
      <c r="U45137" s="135"/>
    </row>
    <row r="45138" spans="20:21" ht="15" customHeight="1" x14ac:dyDescent="0.25">
      <c r="T45138" s="135"/>
      <c r="U45138" s="135"/>
    </row>
    <row r="45139" spans="20:21" ht="15" customHeight="1" x14ac:dyDescent="0.25">
      <c r="T45139" s="135"/>
      <c r="U45139" s="135"/>
    </row>
    <row r="45140" spans="20:21" ht="15" customHeight="1" x14ac:dyDescent="0.25">
      <c r="T45140" s="135"/>
      <c r="U45140" s="135"/>
    </row>
    <row r="45141" spans="20:21" ht="15" customHeight="1" x14ac:dyDescent="0.25">
      <c r="T45141" s="135"/>
      <c r="U45141" s="135"/>
    </row>
    <row r="45142" spans="20:21" ht="15" customHeight="1" x14ac:dyDescent="0.25">
      <c r="T45142" s="135"/>
      <c r="U45142" s="135"/>
    </row>
    <row r="45143" spans="20:21" ht="15" customHeight="1" x14ac:dyDescent="0.25">
      <c r="T45143" s="135"/>
      <c r="U45143" s="135"/>
    </row>
    <row r="45144" spans="20:21" ht="15" customHeight="1" x14ac:dyDescent="0.25">
      <c r="T45144" s="135"/>
      <c r="U45144" s="135"/>
    </row>
    <row r="45145" spans="20:21" ht="15" customHeight="1" x14ac:dyDescent="0.25">
      <c r="T45145" s="135"/>
      <c r="U45145" s="135"/>
    </row>
    <row r="45146" spans="20:21" ht="15" customHeight="1" x14ac:dyDescent="0.25">
      <c r="T45146" s="135"/>
      <c r="U45146" s="135"/>
    </row>
    <row r="45147" spans="20:21" ht="15" customHeight="1" x14ac:dyDescent="0.25">
      <c r="T45147" s="135"/>
      <c r="U45147" s="135"/>
    </row>
    <row r="45148" spans="20:21" ht="15" customHeight="1" x14ac:dyDescent="0.25">
      <c r="T45148" s="135"/>
      <c r="U45148" s="135"/>
    </row>
    <row r="45149" spans="20:21" ht="15" customHeight="1" x14ac:dyDescent="0.25">
      <c r="T45149" s="135"/>
      <c r="U45149" s="135"/>
    </row>
    <row r="45150" spans="20:21" ht="15" customHeight="1" x14ac:dyDescent="0.25">
      <c r="T45150" s="135"/>
      <c r="U45150" s="135"/>
    </row>
    <row r="45151" spans="20:21" ht="15" customHeight="1" x14ac:dyDescent="0.25">
      <c r="T45151" s="135"/>
      <c r="U45151" s="135"/>
    </row>
    <row r="45152" spans="20:21" ht="15" customHeight="1" x14ac:dyDescent="0.25">
      <c r="T45152" s="135"/>
      <c r="U45152" s="135"/>
    </row>
    <row r="45153" spans="20:21" ht="15" customHeight="1" x14ac:dyDescent="0.25">
      <c r="T45153" s="135"/>
      <c r="U45153" s="135"/>
    </row>
    <row r="45154" spans="20:21" ht="15" customHeight="1" x14ac:dyDescent="0.25">
      <c r="T45154" s="135"/>
      <c r="U45154" s="135"/>
    </row>
    <row r="45155" spans="20:21" ht="15" customHeight="1" x14ac:dyDescent="0.25">
      <c r="T45155" s="135"/>
      <c r="U45155" s="135"/>
    </row>
    <row r="45156" spans="20:21" ht="15" customHeight="1" x14ac:dyDescent="0.25">
      <c r="T45156" s="135"/>
      <c r="U45156" s="135"/>
    </row>
    <row r="45157" spans="20:21" ht="15" customHeight="1" x14ac:dyDescent="0.25">
      <c r="T45157" s="135"/>
      <c r="U45157" s="135"/>
    </row>
    <row r="45158" spans="20:21" ht="15" customHeight="1" x14ac:dyDescent="0.25">
      <c r="T45158" s="135"/>
      <c r="U45158" s="135"/>
    </row>
    <row r="45159" spans="20:21" ht="15" customHeight="1" x14ac:dyDescent="0.25">
      <c r="T45159" s="135"/>
      <c r="U45159" s="135"/>
    </row>
    <row r="45160" spans="20:21" ht="15" customHeight="1" x14ac:dyDescent="0.25">
      <c r="T45160" s="135"/>
      <c r="U45160" s="135"/>
    </row>
    <row r="45161" spans="20:21" ht="15" customHeight="1" x14ac:dyDescent="0.25">
      <c r="T45161" s="135"/>
      <c r="U45161" s="135"/>
    </row>
    <row r="45162" spans="20:21" ht="15" customHeight="1" x14ac:dyDescent="0.25">
      <c r="T45162" s="135"/>
      <c r="U45162" s="135"/>
    </row>
    <row r="45163" spans="20:21" ht="15" customHeight="1" x14ac:dyDescent="0.25">
      <c r="T45163" s="135"/>
      <c r="U45163" s="135"/>
    </row>
    <row r="45164" spans="20:21" ht="15" customHeight="1" x14ac:dyDescent="0.25">
      <c r="T45164" s="135"/>
      <c r="U45164" s="135"/>
    </row>
    <row r="45165" spans="20:21" ht="15" customHeight="1" x14ac:dyDescent="0.25">
      <c r="T45165" s="135"/>
      <c r="U45165" s="135"/>
    </row>
    <row r="45166" spans="20:21" ht="15" customHeight="1" x14ac:dyDescent="0.25">
      <c r="T45166" s="135"/>
      <c r="U45166" s="135"/>
    </row>
    <row r="45167" spans="20:21" ht="15" customHeight="1" x14ac:dyDescent="0.25">
      <c r="T45167" s="135"/>
      <c r="U45167" s="135"/>
    </row>
    <row r="45168" spans="20:21" ht="15" customHeight="1" x14ac:dyDescent="0.25">
      <c r="T45168" s="135"/>
      <c r="U45168" s="135"/>
    </row>
    <row r="45169" spans="20:21" ht="15" customHeight="1" x14ac:dyDescent="0.25">
      <c r="T45169" s="135"/>
      <c r="U45169" s="135"/>
    </row>
    <row r="45170" spans="20:21" ht="15" customHeight="1" x14ac:dyDescent="0.25">
      <c r="T45170" s="135"/>
      <c r="U45170" s="135"/>
    </row>
    <row r="45171" spans="20:21" ht="15" customHeight="1" x14ac:dyDescent="0.25">
      <c r="T45171" s="135"/>
      <c r="U45171" s="135"/>
    </row>
    <row r="45172" spans="20:21" ht="15" customHeight="1" x14ac:dyDescent="0.25">
      <c r="T45172" s="135"/>
      <c r="U45172" s="135"/>
    </row>
    <row r="45173" spans="20:21" ht="15" customHeight="1" x14ac:dyDescent="0.25">
      <c r="T45173" s="135"/>
      <c r="U45173" s="135"/>
    </row>
    <row r="45174" spans="20:21" ht="15" customHeight="1" x14ac:dyDescent="0.25">
      <c r="T45174" s="135"/>
      <c r="U45174" s="135"/>
    </row>
    <row r="45175" spans="20:21" ht="15" customHeight="1" x14ac:dyDescent="0.25">
      <c r="T45175" s="135"/>
      <c r="U45175" s="135"/>
    </row>
    <row r="45176" spans="20:21" ht="15" customHeight="1" x14ac:dyDescent="0.25">
      <c r="T45176" s="135"/>
      <c r="U45176" s="135"/>
    </row>
    <row r="45177" spans="20:21" ht="15" customHeight="1" x14ac:dyDescent="0.25">
      <c r="T45177" s="135"/>
      <c r="U45177" s="135"/>
    </row>
    <row r="45178" spans="20:21" ht="15" customHeight="1" x14ac:dyDescent="0.25">
      <c r="T45178" s="135"/>
      <c r="U45178" s="135"/>
    </row>
    <row r="45179" spans="20:21" ht="15" customHeight="1" x14ac:dyDescent="0.25">
      <c r="T45179" s="135"/>
      <c r="U45179" s="135"/>
    </row>
    <row r="45180" spans="20:21" ht="15" customHeight="1" x14ac:dyDescent="0.25">
      <c r="T45180" s="135"/>
      <c r="U45180" s="135"/>
    </row>
    <row r="45181" spans="20:21" ht="15" customHeight="1" x14ac:dyDescent="0.25">
      <c r="T45181" s="135"/>
      <c r="U45181" s="135"/>
    </row>
    <row r="45182" spans="20:21" ht="15" customHeight="1" x14ac:dyDescent="0.25">
      <c r="T45182" s="135"/>
      <c r="U45182" s="135"/>
    </row>
    <row r="45183" spans="20:21" ht="15" customHeight="1" x14ac:dyDescent="0.25">
      <c r="T45183" s="135"/>
      <c r="U45183" s="135"/>
    </row>
    <row r="45184" spans="20:21" ht="15" customHeight="1" x14ac:dyDescent="0.25">
      <c r="T45184" s="135"/>
      <c r="U45184" s="135"/>
    </row>
    <row r="45185" spans="20:21" ht="15" customHeight="1" x14ac:dyDescent="0.25">
      <c r="T45185" s="135"/>
      <c r="U45185" s="135"/>
    </row>
    <row r="45186" spans="20:21" ht="15" customHeight="1" x14ac:dyDescent="0.25">
      <c r="T45186" s="135"/>
      <c r="U45186" s="135"/>
    </row>
    <row r="45187" spans="20:21" ht="15" customHeight="1" x14ac:dyDescent="0.25">
      <c r="T45187" s="135"/>
      <c r="U45187" s="135"/>
    </row>
    <row r="45188" spans="20:21" ht="15" customHeight="1" x14ac:dyDescent="0.25">
      <c r="T45188" s="135"/>
      <c r="U45188" s="135"/>
    </row>
    <row r="45189" spans="20:21" ht="15" customHeight="1" x14ac:dyDescent="0.25">
      <c r="T45189" s="135"/>
      <c r="U45189" s="135"/>
    </row>
    <row r="45190" spans="20:21" ht="15" customHeight="1" x14ac:dyDescent="0.25">
      <c r="T45190" s="135"/>
      <c r="U45190" s="135"/>
    </row>
    <row r="45191" spans="20:21" ht="15" customHeight="1" x14ac:dyDescent="0.25">
      <c r="T45191" s="135"/>
      <c r="U45191" s="135"/>
    </row>
    <row r="45192" spans="20:21" ht="15" customHeight="1" x14ac:dyDescent="0.25">
      <c r="T45192" s="135"/>
      <c r="U45192" s="135"/>
    </row>
    <row r="45193" spans="20:21" ht="15" customHeight="1" x14ac:dyDescent="0.25">
      <c r="T45193" s="135"/>
      <c r="U45193" s="135"/>
    </row>
    <row r="45194" spans="20:21" ht="15" customHeight="1" x14ac:dyDescent="0.25">
      <c r="T45194" s="135"/>
      <c r="U45194" s="135"/>
    </row>
    <row r="45195" spans="20:21" ht="15" customHeight="1" x14ac:dyDescent="0.25">
      <c r="T45195" s="135"/>
      <c r="U45195" s="135"/>
    </row>
    <row r="45196" spans="20:21" ht="15" customHeight="1" x14ac:dyDescent="0.25">
      <c r="T45196" s="135"/>
      <c r="U45196" s="135"/>
    </row>
    <row r="45197" spans="20:21" ht="15" customHeight="1" x14ac:dyDescent="0.25">
      <c r="T45197" s="135"/>
      <c r="U45197" s="135"/>
    </row>
    <row r="45198" spans="20:21" ht="15" customHeight="1" x14ac:dyDescent="0.25">
      <c r="T45198" s="135"/>
      <c r="U45198" s="135"/>
    </row>
    <row r="45199" spans="20:21" ht="15" customHeight="1" x14ac:dyDescent="0.25">
      <c r="T45199" s="135"/>
      <c r="U45199" s="135"/>
    </row>
    <row r="45200" spans="20:21" ht="15" customHeight="1" x14ac:dyDescent="0.25">
      <c r="T45200" s="135"/>
      <c r="U45200" s="135"/>
    </row>
    <row r="45201" spans="20:21" ht="15" customHeight="1" x14ac:dyDescent="0.25">
      <c r="T45201" s="135"/>
      <c r="U45201" s="135"/>
    </row>
    <row r="45202" spans="20:21" ht="15" customHeight="1" x14ac:dyDescent="0.25">
      <c r="T45202" s="135"/>
      <c r="U45202" s="135"/>
    </row>
    <row r="45203" spans="20:21" ht="15" customHeight="1" x14ac:dyDescent="0.25">
      <c r="T45203" s="135"/>
      <c r="U45203" s="135"/>
    </row>
    <row r="45204" spans="20:21" ht="15" customHeight="1" x14ac:dyDescent="0.25">
      <c r="T45204" s="135"/>
      <c r="U45204" s="135"/>
    </row>
    <row r="45205" spans="20:21" ht="15" customHeight="1" x14ac:dyDescent="0.25">
      <c r="T45205" s="135"/>
      <c r="U45205" s="135"/>
    </row>
    <row r="45206" spans="20:21" ht="15" customHeight="1" x14ac:dyDescent="0.25">
      <c r="T45206" s="135"/>
      <c r="U45206" s="135"/>
    </row>
    <row r="45207" spans="20:21" ht="15" customHeight="1" x14ac:dyDescent="0.25">
      <c r="T45207" s="135"/>
      <c r="U45207" s="135"/>
    </row>
    <row r="45208" spans="20:21" ht="15" customHeight="1" x14ac:dyDescent="0.25">
      <c r="T45208" s="135"/>
      <c r="U45208" s="135"/>
    </row>
    <row r="45209" spans="20:21" ht="15" customHeight="1" x14ac:dyDescent="0.25">
      <c r="T45209" s="135"/>
      <c r="U45209" s="135"/>
    </row>
    <row r="45210" spans="20:21" ht="15" customHeight="1" x14ac:dyDescent="0.25">
      <c r="T45210" s="135"/>
      <c r="U45210" s="135"/>
    </row>
    <row r="45211" spans="20:21" ht="15" customHeight="1" x14ac:dyDescent="0.25">
      <c r="T45211" s="135"/>
      <c r="U45211" s="135"/>
    </row>
    <row r="45212" spans="20:21" ht="15" customHeight="1" x14ac:dyDescent="0.25">
      <c r="T45212" s="135"/>
      <c r="U45212" s="135"/>
    </row>
    <row r="45213" spans="20:21" ht="15" customHeight="1" x14ac:dyDescent="0.25">
      <c r="T45213" s="135"/>
      <c r="U45213" s="135"/>
    </row>
    <row r="45214" spans="20:21" ht="15" customHeight="1" x14ac:dyDescent="0.25">
      <c r="T45214" s="135"/>
      <c r="U45214" s="135"/>
    </row>
    <row r="45215" spans="20:21" ht="15" customHeight="1" x14ac:dyDescent="0.25">
      <c r="T45215" s="135"/>
      <c r="U45215" s="135"/>
    </row>
    <row r="45216" spans="20:21" ht="15" customHeight="1" x14ac:dyDescent="0.25">
      <c r="T45216" s="135"/>
      <c r="U45216" s="135"/>
    </row>
    <row r="45217" spans="20:21" ht="15" customHeight="1" x14ac:dyDescent="0.25">
      <c r="T45217" s="135"/>
      <c r="U45217" s="135"/>
    </row>
    <row r="45218" spans="20:21" ht="15" customHeight="1" x14ac:dyDescent="0.25">
      <c r="T45218" s="135"/>
      <c r="U45218" s="135"/>
    </row>
    <row r="45219" spans="20:21" ht="15" customHeight="1" x14ac:dyDescent="0.25">
      <c r="T45219" s="135"/>
      <c r="U45219" s="135"/>
    </row>
    <row r="45220" spans="20:21" ht="15" customHeight="1" x14ac:dyDescent="0.25">
      <c r="T45220" s="135"/>
      <c r="U45220" s="135"/>
    </row>
    <row r="45221" spans="20:21" ht="15" customHeight="1" x14ac:dyDescent="0.25">
      <c r="T45221" s="135"/>
      <c r="U45221" s="135"/>
    </row>
    <row r="45222" spans="20:21" ht="15" customHeight="1" x14ac:dyDescent="0.25">
      <c r="T45222" s="135"/>
      <c r="U45222" s="135"/>
    </row>
    <row r="45223" spans="20:21" ht="15" customHeight="1" x14ac:dyDescent="0.25">
      <c r="T45223" s="135"/>
      <c r="U45223" s="135"/>
    </row>
    <row r="45224" spans="20:21" ht="15" customHeight="1" x14ac:dyDescent="0.25">
      <c r="T45224" s="135"/>
      <c r="U45224" s="135"/>
    </row>
    <row r="45225" spans="20:21" ht="15" customHeight="1" x14ac:dyDescent="0.25">
      <c r="T45225" s="135"/>
      <c r="U45225" s="135"/>
    </row>
    <row r="45226" spans="20:21" ht="15" customHeight="1" x14ac:dyDescent="0.25">
      <c r="T45226" s="135"/>
      <c r="U45226" s="135"/>
    </row>
    <row r="45227" spans="20:21" ht="15" customHeight="1" x14ac:dyDescent="0.25">
      <c r="T45227" s="135"/>
      <c r="U45227" s="135"/>
    </row>
    <row r="45228" spans="20:21" ht="15" customHeight="1" x14ac:dyDescent="0.25">
      <c r="T45228" s="135"/>
      <c r="U45228" s="135"/>
    </row>
    <row r="45229" spans="20:21" ht="15" customHeight="1" x14ac:dyDescent="0.25">
      <c r="T45229" s="135"/>
      <c r="U45229" s="135"/>
    </row>
    <row r="45230" spans="20:21" ht="15" customHeight="1" x14ac:dyDescent="0.25">
      <c r="T45230" s="135"/>
      <c r="U45230" s="135"/>
    </row>
    <row r="45231" spans="20:21" ht="15" customHeight="1" x14ac:dyDescent="0.25">
      <c r="T45231" s="135"/>
      <c r="U45231" s="135"/>
    </row>
    <row r="45232" spans="20:21" ht="15" customHeight="1" x14ac:dyDescent="0.25">
      <c r="T45232" s="135"/>
      <c r="U45232" s="135"/>
    </row>
    <row r="45233" spans="20:21" ht="15" customHeight="1" x14ac:dyDescent="0.25">
      <c r="T45233" s="135"/>
      <c r="U45233" s="135"/>
    </row>
    <row r="45234" spans="20:21" ht="15" customHeight="1" x14ac:dyDescent="0.25">
      <c r="T45234" s="135"/>
      <c r="U45234" s="135"/>
    </row>
    <row r="45235" spans="20:21" ht="15" customHeight="1" x14ac:dyDescent="0.25">
      <c r="T45235" s="135"/>
      <c r="U45235" s="135"/>
    </row>
    <row r="45236" spans="20:21" ht="15" customHeight="1" x14ac:dyDescent="0.25">
      <c r="T45236" s="135"/>
      <c r="U45236" s="135"/>
    </row>
    <row r="45237" spans="20:21" ht="15" customHeight="1" x14ac:dyDescent="0.25">
      <c r="T45237" s="135"/>
      <c r="U45237" s="135"/>
    </row>
    <row r="45238" spans="20:21" ht="15" customHeight="1" x14ac:dyDescent="0.25">
      <c r="T45238" s="135"/>
      <c r="U45238" s="135"/>
    </row>
    <row r="45239" spans="20:21" ht="15" customHeight="1" x14ac:dyDescent="0.25">
      <c r="T45239" s="135"/>
      <c r="U45239" s="135"/>
    </row>
    <row r="45240" spans="20:21" ht="15" customHeight="1" x14ac:dyDescent="0.25">
      <c r="T45240" s="135"/>
      <c r="U45240" s="135"/>
    </row>
    <row r="45241" spans="20:21" ht="15" customHeight="1" x14ac:dyDescent="0.25">
      <c r="T45241" s="135"/>
      <c r="U45241" s="135"/>
    </row>
    <row r="45242" spans="20:21" ht="15" customHeight="1" x14ac:dyDescent="0.25">
      <c r="T45242" s="135"/>
      <c r="U45242" s="135"/>
    </row>
    <row r="45243" spans="20:21" ht="15" customHeight="1" x14ac:dyDescent="0.25">
      <c r="T45243" s="135"/>
      <c r="U45243" s="135"/>
    </row>
    <row r="45244" spans="20:21" ht="15" customHeight="1" x14ac:dyDescent="0.25">
      <c r="T45244" s="135"/>
      <c r="U45244" s="135"/>
    </row>
    <row r="45245" spans="20:21" ht="15" customHeight="1" x14ac:dyDescent="0.25">
      <c r="T45245" s="135"/>
      <c r="U45245" s="135"/>
    </row>
    <row r="45246" spans="20:21" ht="15" customHeight="1" x14ac:dyDescent="0.25">
      <c r="T45246" s="135"/>
      <c r="U45246" s="135"/>
    </row>
    <row r="45247" spans="20:21" ht="15" customHeight="1" x14ac:dyDescent="0.25">
      <c r="T45247" s="135"/>
      <c r="U45247" s="135"/>
    </row>
    <row r="45248" spans="20:21" ht="15" customHeight="1" x14ac:dyDescent="0.25">
      <c r="T45248" s="135"/>
      <c r="U45248" s="135"/>
    </row>
    <row r="45249" spans="20:21" ht="15" customHeight="1" x14ac:dyDescent="0.25">
      <c r="T45249" s="135"/>
      <c r="U45249" s="135"/>
    </row>
    <row r="45250" spans="20:21" ht="15" customHeight="1" x14ac:dyDescent="0.25">
      <c r="T45250" s="135"/>
      <c r="U45250" s="135"/>
    </row>
    <row r="45251" spans="20:21" ht="15" customHeight="1" x14ac:dyDescent="0.25">
      <c r="T45251" s="135"/>
      <c r="U45251" s="135"/>
    </row>
    <row r="45252" spans="20:21" ht="15" customHeight="1" x14ac:dyDescent="0.25">
      <c r="T45252" s="135"/>
      <c r="U45252" s="135"/>
    </row>
    <row r="45253" spans="20:21" ht="15" customHeight="1" x14ac:dyDescent="0.25">
      <c r="T45253" s="135"/>
      <c r="U45253" s="135"/>
    </row>
    <row r="45254" spans="20:21" ht="15" customHeight="1" x14ac:dyDescent="0.25">
      <c r="T45254" s="135"/>
      <c r="U45254" s="135"/>
    </row>
    <row r="45255" spans="20:21" ht="15" customHeight="1" x14ac:dyDescent="0.25">
      <c r="T45255" s="135"/>
      <c r="U45255" s="135"/>
    </row>
    <row r="45256" spans="20:21" ht="15" customHeight="1" x14ac:dyDescent="0.25">
      <c r="T45256" s="135"/>
      <c r="U45256" s="135"/>
    </row>
    <row r="45257" spans="20:21" ht="15" customHeight="1" x14ac:dyDescent="0.25">
      <c r="T45257" s="135"/>
      <c r="U45257" s="135"/>
    </row>
    <row r="45258" spans="20:21" ht="15" customHeight="1" x14ac:dyDescent="0.25">
      <c r="T45258" s="135"/>
      <c r="U45258" s="135"/>
    </row>
    <row r="45259" spans="20:21" ht="15" customHeight="1" x14ac:dyDescent="0.25">
      <c r="T45259" s="135"/>
      <c r="U45259" s="135"/>
    </row>
    <row r="45260" spans="20:21" ht="15" customHeight="1" x14ac:dyDescent="0.25">
      <c r="T45260" s="135"/>
      <c r="U45260" s="135"/>
    </row>
    <row r="45261" spans="20:21" ht="15" customHeight="1" x14ac:dyDescent="0.25">
      <c r="T45261" s="135"/>
      <c r="U45261" s="135"/>
    </row>
    <row r="45262" spans="20:21" ht="15" customHeight="1" x14ac:dyDescent="0.25">
      <c r="T45262" s="135"/>
      <c r="U45262" s="135"/>
    </row>
    <row r="45263" spans="20:21" ht="15" customHeight="1" x14ac:dyDescent="0.25">
      <c r="T45263" s="135"/>
      <c r="U45263" s="135"/>
    </row>
    <row r="45264" spans="20:21" ht="15" customHeight="1" x14ac:dyDescent="0.25">
      <c r="T45264" s="135"/>
      <c r="U45264" s="135"/>
    </row>
    <row r="45265" spans="20:21" ht="15" customHeight="1" x14ac:dyDescent="0.25">
      <c r="T45265" s="135"/>
      <c r="U45265" s="135"/>
    </row>
    <row r="45266" spans="20:21" ht="15" customHeight="1" x14ac:dyDescent="0.25">
      <c r="T45266" s="135"/>
      <c r="U45266" s="135"/>
    </row>
    <row r="45267" spans="20:21" ht="15" customHeight="1" x14ac:dyDescent="0.25">
      <c r="T45267" s="135"/>
      <c r="U45267" s="135"/>
    </row>
    <row r="45268" spans="20:21" ht="15" customHeight="1" x14ac:dyDescent="0.25">
      <c r="T45268" s="135"/>
      <c r="U45268" s="135"/>
    </row>
    <row r="45269" spans="20:21" ht="15" customHeight="1" x14ac:dyDescent="0.25">
      <c r="T45269" s="135"/>
      <c r="U45269" s="135"/>
    </row>
    <row r="45270" spans="20:21" ht="15" customHeight="1" x14ac:dyDescent="0.25">
      <c r="T45270" s="135"/>
      <c r="U45270" s="135"/>
    </row>
    <row r="45271" spans="20:21" ht="15" customHeight="1" x14ac:dyDescent="0.25">
      <c r="T45271" s="135"/>
      <c r="U45271" s="135"/>
    </row>
    <row r="45272" spans="20:21" ht="15" customHeight="1" x14ac:dyDescent="0.25">
      <c r="T45272" s="135"/>
      <c r="U45272" s="135"/>
    </row>
    <row r="45273" spans="20:21" ht="15" customHeight="1" x14ac:dyDescent="0.25">
      <c r="T45273" s="135"/>
      <c r="U45273" s="135"/>
    </row>
    <row r="45274" spans="20:21" ht="15" customHeight="1" x14ac:dyDescent="0.25">
      <c r="T45274" s="135"/>
      <c r="U45274" s="135"/>
    </row>
    <row r="45275" spans="20:21" ht="15" customHeight="1" x14ac:dyDescent="0.25">
      <c r="T45275" s="135"/>
      <c r="U45275" s="135"/>
    </row>
    <row r="45276" spans="20:21" ht="15" customHeight="1" x14ac:dyDescent="0.25">
      <c r="T45276" s="135"/>
      <c r="U45276" s="135"/>
    </row>
    <row r="45277" spans="20:21" ht="15" customHeight="1" x14ac:dyDescent="0.25">
      <c r="T45277" s="135"/>
      <c r="U45277" s="135"/>
    </row>
    <row r="45278" spans="20:21" ht="15" customHeight="1" x14ac:dyDescent="0.25">
      <c r="T45278" s="135"/>
      <c r="U45278" s="135"/>
    </row>
    <row r="45279" spans="20:21" ht="15" customHeight="1" x14ac:dyDescent="0.25">
      <c r="T45279" s="135"/>
      <c r="U45279" s="135"/>
    </row>
    <row r="45280" spans="20:21" ht="15" customHeight="1" x14ac:dyDescent="0.25">
      <c r="T45280" s="135"/>
      <c r="U45280" s="135"/>
    </row>
    <row r="45281" spans="20:21" ht="15" customHeight="1" x14ac:dyDescent="0.25">
      <c r="T45281" s="135"/>
      <c r="U45281" s="135"/>
    </row>
    <row r="45282" spans="20:21" ht="15" customHeight="1" x14ac:dyDescent="0.25">
      <c r="T45282" s="135"/>
      <c r="U45282" s="135"/>
    </row>
    <row r="45283" spans="20:21" ht="15" customHeight="1" x14ac:dyDescent="0.25">
      <c r="T45283" s="135"/>
      <c r="U45283" s="135"/>
    </row>
    <row r="45284" spans="20:21" ht="15" customHeight="1" x14ac:dyDescent="0.25">
      <c r="T45284" s="135"/>
      <c r="U45284" s="135"/>
    </row>
    <row r="45285" spans="20:21" ht="15" customHeight="1" x14ac:dyDescent="0.25">
      <c r="T45285" s="135"/>
      <c r="U45285" s="135"/>
    </row>
    <row r="45286" spans="20:21" ht="15" customHeight="1" x14ac:dyDescent="0.25">
      <c r="T45286" s="135"/>
      <c r="U45286" s="135"/>
    </row>
    <row r="45287" spans="20:21" ht="15" customHeight="1" x14ac:dyDescent="0.25">
      <c r="T45287" s="135"/>
      <c r="U45287" s="135"/>
    </row>
    <row r="45288" spans="20:21" ht="15" customHeight="1" x14ac:dyDescent="0.25">
      <c r="T45288" s="135"/>
      <c r="U45288" s="135"/>
    </row>
    <row r="45289" spans="20:21" ht="15" customHeight="1" x14ac:dyDescent="0.25">
      <c r="T45289" s="135"/>
      <c r="U45289" s="135"/>
    </row>
    <row r="45290" spans="20:21" ht="15" customHeight="1" x14ac:dyDescent="0.25">
      <c r="T45290" s="135"/>
      <c r="U45290" s="135"/>
    </row>
    <row r="45291" spans="20:21" ht="15" customHeight="1" x14ac:dyDescent="0.25">
      <c r="T45291" s="135"/>
      <c r="U45291" s="135"/>
    </row>
    <row r="45292" spans="20:21" ht="15" customHeight="1" x14ac:dyDescent="0.25">
      <c r="T45292" s="135"/>
      <c r="U45292" s="135"/>
    </row>
    <row r="45293" spans="20:21" ht="15" customHeight="1" x14ac:dyDescent="0.25">
      <c r="T45293" s="135"/>
      <c r="U45293" s="135"/>
    </row>
    <row r="45294" spans="20:21" ht="15" customHeight="1" x14ac:dyDescent="0.25">
      <c r="T45294" s="135"/>
      <c r="U45294" s="135"/>
    </row>
    <row r="45295" spans="20:21" ht="15" customHeight="1" x14ac:dyDescent="0.25">
      <c r="T45295" s="135"/>
      <c r="U45295" s="135"/>
    </row>
    <row r="45296" spans="20:21" ht="15" customHeight="1" x14ac:dyDescent="0.25">
      <c r="T45296" s="135"/>
      <c r="U45296" s="135"/>
    </row>
    <row r="45297" spans="20:21" ht="15" customHeight="1" x14ac:dyDescent="0.25">
      <c r="T45297" s="135"/>
      <c r="U45297" s="135"/>
    </row>
    <row r="45298" spans="20:21" ht="15" customHeight="1" x14ac:dyDescent="0.25">
      <c r="T45298" s="135"/>
      <c r="U45298" s="135"/>
    </row>
    <row r="45299" spans="20:21" ht="15" customHeight="1" x14ac:dyDescent="0.25">
      <c r="T45299" s="135"/>
      <c r="U45299" s="135"/>
    </row>
    <row r="45300" spans="20:21" ht="15" customHeight="1" x14ac:dyDescent="0.25">
      <c r="T45300" s="135"/>
      <c r="U45300" s="135"/>
    </row>
    <row r="45301" spans="20:21" ht="15" customHeight="1" x14ac:dyDescent="0.25">
      <c r="T45301" s="135"/>
      <c r="U45301" s="135"/>
    </row>
    <row r="45302" spans="20:21" ht="15" customHeight="1" x14ac:dyDescent="0.25">
      <c r="T45302" s="135"/>
      <c r="U45302" s="135"/>
    </row>
    <row r="45303" spans="20:21" ht="15" customHeight="1" x14ac:dyDescent="0.25">
      <c r="T45303" s="135"/>
      <c r="U45303" s="135"/>
    </row>
    <row r="45304" spans="20:21" ht="15" customHeight="1" x14ac:dyDescent="0.25">
      <c r="T45304" s="135"/>
      <c r="U45304" s="135"/>
    </row>
    <row r="45305" spans="20:21" ht="15" customHeight="1" x14ac:dyDescent="0.25">
      <c r="T45305" s="135"/>
      <c r="U45305" s="135"/>
    </row>
    <row r="45306" spans="20:21" ht="15" customHeight="1" x14ac:dyDescent="0.25">
      <c r="T45306" s="135"/>
      <c r="U45306" s="135"/>
    </row>
    <row r="45307" spans="20:21" ht="15" customHeight="1" x14ac:dyDescent="0.25">
      <c r="T45307" s="135"/>
      <c r="U45307" s="135"/>
    </row>
    <row r="45308" spans="20:21" ht="15" customHeight="1" x14ac:dyDescent="0.25">
      <c r="T45308" s="135"/>
      <c r="U45308" s="135"/>
    </row>
    <row r="45309" spans="20:21" ht="15" customHeight="1" x14ac:dyDescent="0.25">
      <c r="T45309" s="135"/>
      <c r="U45309" s="135"/>
    </row>
    <row r="45310" spans="20:21" ht="15" customHeight="1" x14ac:dyDescent="0.25">
      <c r="T45310" s="135"/>
      <c r="U45310" s="135"/>
    </row>
    <row r="45311" spans="20:21" ht="15" customHeight="1" x14ac:dyDescent="0.25">
      <c r="T45311" s="135"/>
      <c r="U45311" s="135"/>
    </row>
    <row r="45312" spans="20:21" ht="15" customHeight="1" x14ac:dyDescent="0.25">
      <c r="T45312" s="135"/>
      <c r="U45312" s="135"/>
    </row>
    <row r="45313" spans="20:21" ht="15" customHeight="1" x14ac:dyDescent="0.25">
      <c r="T45313" s="135"/>
      <c r="U45313" s="135"/>
    </row>
    <row r="45314" spans="20:21" ht="15" customHeight="1" x14ac:dyDescent="0.25">
      <c r="T45314" s="135"/>
      <c r="U45314" s="135"/>
    </row>
    <row r="45315" spans="20:21" ht="15" customHeight="1" x14ac:dyDescent="0.25">
      <c r="T45315" s="135"/>
      <c r="U45315" s="135"/>
    </row>
    <row r="45316" spans="20:21" ht="15" customHeight="1" x14ac:dyDescent="0.25">
      <c r="T45316" s="135"/>
      <c r="U45316" s="135"/>
    </row>
    <row r="45317" spans="20:21" ht="15" customHeight="1" x14ac:dyDescent="0.25">
      <c r="T45317" s="135"/>
      <c r="U45317" s="135"/>
    </row>
    <row r="45318" spans="20:21" ht="15" customHeight="1" x14ac:dyDescent="0.25">
      <c r="T45318" s="135"/>
      <c r="U45318" s="135"/>
    </row>
    <row r="45319" spans="20:21" ht="15" customHeight="1" x14ac:dyDescent="0.25">
      <c r="T45319" s="135"/>
      <c r="U45319" s="135"/>
    </row>
    <row r="45320" spans="20:21" ht="15" customHeight="1" x14ac:dyDescent="0.25">
      <c r="T45320" s="135"/>
      <c r="U45320" s="135"/>
    </row>
    <row r="45321" spans="20:21" ht="15" customHeight="1" x14ac:dyDescent="0.25">
      <c r="T45321" s="135"/>
      <c r="U45321" s="135"/>
    </row>
    <row r="45322" spans="20:21" ht="15" customHeight="1" x14ac:dyDescent="0.25">
      <c r="T45322" s="135"/>
      <c r="U45322" s="135"/>
    </row>
    <row r="45323" spans="20:21" ht="15" customHeight="1" x14ac:dyDescent="0.25">
      <c r="T45323" s="135"/>
      <c r="U45323" s="135"/>
    </row>
    <row r="45324" spans="20:21" ht="15" customHeight="1" x14ac:dyDescent="0.25">
      <c r="T45324" s="135"/>
      <c r="U45324" s="135"/>
    </row>
    <row r="45325" spans="20:21" ht="15" customHeight="1" x14ac:dyDescent="0.25">
      <c r="T45325" s="135"/>
      <c r="U45325" s="135"/>
    </row>
    <row r="45326" spans="20:21" ht="15" customHeight="1" x14ac:dyDescent="0.25">
      <c r="T45326" s="135"/>
      <c r="U45326" s="135"/>
    </row>
    <row r="45327" spans="20:21" ht="15" customHeight="1" x14ac:dyDescent="0.25">
      <c r="T45327" s="135"/>
      <c r="U45327" s="135"/>
    </row>
    <row r="45328" spans="20:21" ht="15" customHeight="1" x14ac:dyDescent="0.25">
      <c r="T45328" s="135"/>
      <c r="U45328" s="135"/>
    </row>
    <row r="45329" spans="20:21" ht="15" customHeight="1" x14ac:dyDescent="0.25">
      <c r="T45329" s="135"/>
      <c r="U45329" s="135"/>
    </row>
    <row r="45330" spans="20:21" ht="15" customHeight="1" x14ac:dyDescent="0.25">
      <c r="T45330" s="135"/>
      <c r="U45330" s="135"/>
    </row>
    <row r="45331" spans="20:21" ht="15" customHeight="1" x14ac:dyDescent="0.25">
      <c r="T45331" s="135"/>
      <c r="U45331" s="135"/>
    </row>
    <row r="45332" spans="20:21" ht="15" customHeight="1" x14ac:dyDescent="0.25">
      <c r="T45332" s="135"/>
      <c r="U45332" s="135"/>
    </row>
    <row r="45333" spans="20:21" ht="15" customHeight="1" x14ac:dyDescent="0.25">
      <c r="T45333" s="135"/>
      <c r="U45333" s="135"/>
    </row>
    <row r="45334" spans="20:21" ht="15" customHeight="1" x14ac:dyDescent="0.25">
      <c r="T45334" s="135"/>
      <c r="U45334" s="135"/>
    </row>
    <row r="45335" spans="20:21" ht="15" customHeight="1" x14ac:dyDescent="0.25">
      <c r="T45335" s="135"/>
      <c r="U45335" s="135"/>
    </row>
    <row r="45336" spans="20:21" ht="15" customHeight="1" x14ac:dyDescent="0.25">
      <c r="T45336" s="135"/>
      <c r="U45336" s="135"/>
    </row>
    <row r="45337" spans="20:21" ht="15" customHeight="1" x14ac:dyDescent="0.25">
      <c r="T45337" s="135"/>
      <c r="U45337" s="135"/>
    </row>
    <row r="45338" spans="20:21" ht="15" customHeight="1" x14ac:dyDescent="0.25">
      <c r="T45338" s="135"/>
      <c r="U45338" s="135"/>
    </row>
    <row r="45339" spans="20:21" ht="15" customHeight="1" x14ac:dyDescent="0.25">
      <c r="T45339" s="135"/>
      <c r="U45339" s="135"/>
    </row>
    <row r="45340" spans="20:21" ht="15" customHeight="1" x14ac:dyDescent="0.25">
      <c r="T45340" s="135"/>
      <c r="U45340" s="135"/>
    </row>
    <row r="45341" spans="20:21" ht="15" customHeight="1" x14ac:dyDescent="0.25">
      <c r="T45341" s="135"/>
      <c r="U45341" s="135"/>
    </row>
    <row r="45342" spans="20:21" ht="15" customHeight="1" x14ac:dyDescent="0.25">
      <c r="T45342" s="135"/>
      <c r="U45342" s="135"/>
    </row>
    <row r="45343" spans="20:21" ht="15" customHeight="1" x14ac:dyDescent="0.25">
      <c r="T45343" s="135"/>
      <c r="U45343" s="135"/>
    </row>
    <row r="45344" spans="20:21" ht="15" customHeight="1" x14ac:dyDescent="0.25">
      <c r="T45344" s="135"/>
      <c r="U45344" s="135"/>
    </row>
    <row r="45345" spans="20:21" ht="15" customHeight="1" x14ac:dyDescent="0.25">
      <c r="T45345" s="135"/>
      <c r="U45345" s="135"/>
    </row>
    <row r="45346" spans="20:21" ht="15" customHeight="1" x14ac:dyDescent="0.25">
      <c r="T45346" s="135"/>
      <c r="U45346" s="135"/>
    </row>
    <row r="45347" spans="20:21" ht="15" customHeight="1" x14ac:dyDescent="0.25">
      <c r="T45347" s="135"/>
      <c r="U45347" s="135"/>
    </row>
    <row r="45348" spans="20:21" ht="15" customHeight="1" x14ac:dyDescent="0.25">
      <c r="T45348" s="135"/>
      <c r="U45348" s="135"/>
    </row>
    <row r="45349" spans="20:21" ht="15" customHeight="1" x14ac:dyDescent="0.25">
      <c r="T45349" s="135"/>
      <c r="U45349" s="135"/>
    </row>
    <row r="45350" spans="20:21" ht="15" customHeight="1" x14ac:dyDescent="0.25">
      <c r="T45350" s="135"/>
      <c r="U45350" s="135"/>
    </row>
    <row r="45351" spans="20:21" ht="15" customHeight="1" x14ac:dyDescent="0.25">
      <c r="T45351" s="135"/>
      <c r="U45351" s="135"/>
    </row>
    <row r="45352" spans="20:21" ht="15" customHeight="1" x14ac:dyDescent="0.25">
      <c r="T45352" s="135"/>
      <c r="U45352" s="135"/>
    </row>
    <row r="45353" spans="20:21" ht="15" customHeight="1" x14ac:dyDescent="0.25">
      <c r="T45353" s="135"/>
      <c r="U45353" s="135"/>
    </row>
    <row r="45354" spans="20:21" ht="15" customHeight="1" x14ac:dyDescent="0.25">
      <c r="T45354" s="135"/>
      <c r="U45354" s="135"/>
    </row>
    <row r="45355" spans="20:21" ht="15" customHeight="1" x14ac:dyDescent="0.25">
      <c r="T45355" s="135"/>
      <c r="U45355" s="135"/>
    </row>
    <row r="45356" spans="20:21" ht="15" customHeight="1" x14ac:dyDescent="0.25">
      <c r="T45356" s="135"/>
      <c r="U45356" s="135"/>
    </row>
    <row r="45357" spans="20:21" ht="15" customHeight="1" x14ac:dyDescent="0.25">
      <c r="T45357" s="135"/>
      <c r="U45357" s="135"/>
    </row>
    <row r="45358" spans="20:21" ht="15" customHeight="1" x14ac:dyDescent="0.25">
      <c r="T45358" s="135"/>
      <c r="U45358" s="135"/>
    </row>
    <row r="45359" spans="20:21" ht="15" customHeight="1" x14ac:dyDescent="0.25">
      <c r="T45359" s="135"/>
      <c r="U45359" s="135"/>
    </row>
    <row r="45360" spans="20:21" ht="15" customHeight="1" x14ac:dyDescent="0.25">
      <c r="T45360" s="135"/>
      <c r="U45360" s="135"/>
    </row>
    <row r="45361" spans="20:21" ht="15" customHeight="1" x14ac:dyDescent="0.25">
      <c r="T45361" s="135"/>
      <c r="U45361" s="135"/>
    </row>
    <row r="45362" spans="20:21" ht="15" customHeight="1" x14ac:dyDescent="0.25">
      <c r="T45362" s="135"/>
      <c r="U45362" s="135"/>
    </row>
    <row r="45363" spans="20:21" ht="15" customHeight="1" x14ac:dyDescent="0.25">
      <c r="T45363" s="135"/>
      <c r="U45363" s="135"/>
    </row>
    <row r="45364" spans="20:21" ht="15" customHeight="1" x14ac:dyDescent="0.25">
      <c r="T45364" s="135"/>
      <c r="U45364" s="135"/>
    </row>
    <row r="45365" spans="20:21" ht="15" customHeight="1" x14ac:dyDescent="0.25">
      <c r="T45365" s="135"/>
      <c r="U45365" s="135"/>
    </row>
    <row r="45366" spans="20:21" ht="15" customHeight="1" x14ac:dyDescent="0.25">
      <c r="T45366" s="135"/>
      <c r="U45366" s="135"/>
    </row>
    <row r="45367" spans="20:21" ht="15" customHeight="1" x14ac:dyDescent="0.25">
      <c r="T45367" s="135"/>
      <c r="U45367" s="135"/>
    </row>
    <row r="45368" spans="20:21" ht="15" customHeight="1" x14ac:dyDescent="0.25">
      <c r="T45368" s="135"/>
      <c r="U45368" s="135"/>
    </row>
    <row r="45369" spans="20:21" ht="15" customHeight="1" x14ac:dyDescent="0.25">
      <c r="T45369" s="135"/>
      <c r="U45369" s="135"/>
    </row>
    <row r="45370" spans="20:21" ht="15" customHeight="1" x14ac:dyDescent="0.25">
      <c r="T45370" s="135"/>
      <c r="U45370" s="135"/>
    </row>
    <row r="45371" spans="20:21" ht="15" customHeight="1" x14ac:dyDescent="0.25">
      <c r="T45371" s="135"/>
      <c r="U45371" s="135"/>
    </row>
    <row r="45372" spans="20:21" ht="15" customHeight="1" x14ac:dyDescent="0.25">
      <c r="T45372" s="135"/>
      <c r="U45372" s="135"/>
    </row>
    <row r="45373" spans="20:21" ht="15" customHeight="1" x14ac:dyDescent="0.25">
      <c r="T45373" s="135"/>
      <c r="U45373" s="135"/>
    </row>
    <row r="45374" spans="20:21" ht="15" customHeight="1" x14ac:dyDescent="0.25">
      <c r="T45374" s="135"/>
      <c r="U45374" s="135"/>
    </row>
    <row r="45375" spans="20:21" ht="15" customHeight="1" x14ac:dyDescent="0.25">
      <c r="T45375" s="135"/>
      <c r="U45375" s="135"/>
    </row>
    <row r="45376" spans="20:21" ht="15" customHeight="1" x14ac:dyDescent="0.25">
      <c r="T45376" s="135"/>
      <c r="U45376" s="135"/>
    </row>
    <row r="45377" spans="20:21" ht="15" customHeight="1" x14ac:dyDescent="0.25">
      <c r="T45377" s="135"/>
      <c r="U45377" s="135"/>
    </row>
    <row r="45378" spans="20:21" ht="15" customHeight="1" x14ac:dyDescent="0.25">
      <c r="T45378" s="135"/>
      <c r="U45378" s="135"/>
    </row>
    <row r="45379" spans="20:21" ht="15" customHeight="1" x14ac:dyDescent="0.25">
      <c r="T45379" s="135"/>
      <c r="U45379" s="135"/>
    </row>
    <row r="45380" spans="20:21" ht="15" customHeight="1" x14ac:dyDescent="0.25">
      <c r="T45380" s="135"/>
      <c r="U45380" s="135"/>
    </row>
    <row r="45381" spans="20:21" ht="15" customHeight="1" x14ac:dyDescent="0.25">
      <c r="T45381" s="135"/>
      <c r="U45381" s="135"/>
    </row>
    <row r="45382" spans="20:21" ht="15" customHeight="1" x14ac:dyDescent="0.25">
      <c r="T45382" s="135"/>
      <c r="U45382" s="135"/>
    </row>
    <row r="45383" spans="20:21" ht="15" customHeight="1" x14ac:dyDescent="0.25">
      <c r="T45383" s="135"/>
      <c r="U45383" s="135"/>
    </row>
    <row r="45384" spans="20:21" ht="15" customHeight="1" x14ac:dyDescent="0.25">
      <c r="T45384" s="135"/>
      <c r="U45384" s="135"/>
    </row>
    <row r="45385" spans="20:21" ht="15" customHeight="1" x14ac:dyDescent="0.25">
      <c r="T45385" s="135"/>
      <c r="U45385" s="135"/>
    </row>
    <row r="45386" spans="20:21" ht="15" customHeight="1" x14ac:dyDescent="0.25">
      <c r="T45386" s="135"/>
      <c r="U45386" s="135"/>
    </row>
    <row r="45387" spans="20:21" ht="15" customHeight="1" x14ac:dyDescent="0.25">
      <c r="T45387" s="135"/>
      <c r="U45387" s="135"/>
    </row>
    <row r="45388" spans="20:21" ht="15" customHeight="1" x14ac:dyDescent="0.25">
      <c r="T45388" s="135"/>
      <c r="U45388" s="135"/>
    </row>
    <row r="45389" spans="20:21" ht="15" customHeight="1" x14ac:dyDescent="0.25">
      <c r="T45389" s="135"/>
      <c r="U45389" s="135"/>
    </row>
    <row r="45390" spans="20:21" ht="15" customHeight="1" x14ac:dyDescent="0.25">
      <c r="T45390" s="135"/>
      <c r="U45390" s="135"/>
    </row>
    <row r="45391" spans="20:21" ht="15" customHeight="1" x14ac:dyDescent="0.25">
      <c r="T45391" s="135"/>
      <c r="U45391" s="135"/>
    </row>
    <row r="45392" spans="20:21" ht="15" customHeight="1" x14ac:dyDescent="0.25">
      <c r="T45392" s="135"/>
      <c r="U45392" s="135"/>
    </row>
    <row r="45393" spans="20:21" ht="15" customHeight="1" x14ac:dyDescent="0.25">
      <c r="T45393" s="135"/>
      <c r="U45393" s="135"/>
    </row>
    <row r="45394" spans="20:21" ht="15" customHeight="1" x14ac:dyDescent="0.25">
      <c r="T45394" s="135"/>
      <c r="U45394" s="135"/>
    </row>
    <row r="45395" spans="20:21" ht="15" customHeight="1" x14ac:dyDescent="0.25">
      <c r="T45395" s="135"/>
      <c r="U45395" s="135"/>
    </row>
    <row r="45396" spans="20:21" ht="15" customHeight="1" x14ac:dyDescent="0.25">
      <c r="T45396" s="135"/>
      <c r="U45396" s="135"/>
    </row>
    <row r="45397" spans="20:21" ht="15" customHeight="1" x14ac:dyDescent="0.25">
      <c r="T45397" s="135"/>
      <c r="U45397" s="135"/>
    </row>
    <row r="45398" spans="20:21" ht="15" customHeight="1" x14ac:dyDescent="0.25">
      <c r="T45398" s="135"/>
      <c r="U45398" s="135"/>
    </row>
    <row r="45399" spans="20:21" ht="15" customHeight="1" x14ac:dyDescent="0.25">
      <c r="T45399" s="135"/>
      <c r="U45399" s="135"/>
    </row>
    <row r="45400" spans="20:21" ht="15" customHeight="1" x14ac:dyDescent="0.25">
      <c r="T45400" s="135"/>
      <c r="U45400" s="135"/>
    </row>
    <row r="45401" spans="20:21" ht="15" customHeight="1" x14ac:dyDescent="0.25">
      <c r="T45401" s="135"/>
      <c r="U45401" s="135"/>
    </row>
    <row r="45402" spans="20:21" ht="15" customHeight="1" x14ac:dyDescent="0.25">
      <c r="T45402" s="135"/>
      <c r="U45402" s="135"/>
    </row>
    <row r="45403" spans="20:21" ht="15" customHeight="1" x14ac:dyDescent="0.25">
      <c r="T45403" s="135"/>
      <c r="U45403" s="135"/>
    </row>
    <row r="45404" spans="20:21" ht="15" customHeight="1" x14ac:dyDescent="0.25">
      <c r="T45404" s="135"/>
      <c r="U45404" s="135"/>
    </row>
    <row r="45405" spans="20:21" ht="15" customHeight="1" x14ac:dyDescent="0.25">
      <c r="T45405" s="135"/>
      <c r="U45405" s="135"/>
    </row>
    <row r="45406" spans="20:21" ht="15" customHeight="1" x14ac:dyDescent="0.25">
      <c r="T45406" s="135"/>
      <c r="U45406" s="135"/>
    </row>
    <row r="45407" spans="20:21" ht="15" customHeight="1" x14ac:dyDescent="0.25">
      <c r="T45407" s="135"/>
      <c r="U45407" s="135"/>
    </row>
    <row r="45408" spans="20:21" ht="15" customHeight="1" x14ac:dyDescent="0.25">
      <c r="T45408" s="135"/>
      <c r="U45408" s="135"/>
    </row>
    <row r="45409" spans="20:21" ht="15" customHeight="1" x14ac:dyDescent="0.25">
      <c r="T45409" s="135"/>
      <c r="U45409" s="135"/>
    </row>
    <row r="45410" spans="20:21" ht="15" customHeight="1" x14ac:dyDescent="0.25">
      <c r="T45410" s="135"/>
      <c r="U45410" s="135"/>
    </row>
    <row r="45411" spans="20:21" ht="15" customHeight="1" x14ac:dyDescent="0.25">
      <c r="T45411" s="135"/>
      <c r="U45411" s="135"/>
    </row>
    <row r="45412" spans="20:21" ht="15" customHeight="1" x14ac:dyDescent="0.25">
      <c r="T45412" s="135"/>
      <c r="U45412" s="135"/>
    </row>
    <row r="45413" spans="20:21" ht="15" customHeight="1" x14ac:dyDescent="0.25">
      <c r="T45413" s="135"/>
      <c r="U45413" s="135"/>
    </row>
    <row r="45414" spans="20:21" ht="15" customHeight="1" x14ac:dyDescent="0.25">
      <c r="T45414" s="135"/>
      <c r="U45414" s="135"/>
    </row>
    <row r="45415" spans="20:21" ht="15" customHeight="1" x14ac:dyDescent="0.25">
      <c r="T45415" s="135"/>
      <c r="U45415" s="135"/>
    </row>
    <row r="45416" spans="20:21" ht="15" customHeight="1" x14ac:dyDescent="0.25">
      <c r="T45416" s="135"/>
      <c r="U45416" s="135"/>
    </row>
    <row r="45417" spans="20:21" ht="15" customHeight="1" x14ac:dyDescent="0.25">
      <c r="T45417" s="135"/>
      <c r="U45417" s="135"/>
    </row>
    <row r="45418" spans="20:21" ht="15" customHeight="1" x14ac:dyDescent="0.25">
      <c r="T45418" s="135"/>
      <c r="U45418" s="135"/>
    </row>
    <row r="45419" spans="20:21" ht="15" customHeight="1" x14ac:dyDescent="0.25">
      <c r="T45419" s="135"/>
      <c r="U45419" s="135"/>
    </row>
    <row r="45420" spans="20:21" ht="15" customHeight="1" x14ac:dyDescent="0.25">
      <c r="T45420" s="135"/>
      <c r="U45420" s="135"/>
    </row>
    <row r="45421" spans="20:21" ht="15" customHeight="1" x14ac:dyDescent="0.25">
      <c r="T45421" s="135"/>
      <c r="U45421" s="135"/>
    </row>
    <row r="45422" spans="20:21" ht="15" customHeight="1" x14ac:dyDescent="0.25">
      <c r="T45422" s="135"/>
      <c r="U45422" s="135"/>
    </row>
    <row r="45423" spans="20:21" ht="15" customHeight="1" x14ac:dyDescent="0.25">
      <c r="T45423" s="135"/>
      <c r="U45423" s="135"/>
    </row>
    <row r="45424" spans="20:21" ht="15" customHeight="1" x14ac:dyDescent="0.25">
      <c r="T45424" s="135"/>
      <c r="U45424" s="135"/>
    </row>
    <row r="45425" spans="20:21" ht="15" customHeight="1" x14ac:dyDescent="0.25">
      <c r="T45425" s="135"/>
      <c r="U45425" s="135"/>
    </row>
    <row r="45426" spans="20:21" ht="15" customHeight="1" x14ac:dyDescent="0.25">
      <c r="T45426" s="135"/>
      <c r="U45426" s="135"/>
    </row>
    <row r="45427" spans="20:21" ht="15" customHeight="1" x14ac:dyDescent="0.25">
      <c r="T45427" s="135"/>
      <c r="U45427" s="135"/>
    </row>
    <row r="45428" spans="20:21" ht="15" customHeight="1" x14ac:dyDescent="0.25">
      <c r="T45428" s="135"/>
      <c r="U45428" s="135"/>
    </row>
    <row r="45429" spans="20:21" ht="15" customHeight="1" x14ac:dyDescent="0.25">
      <c r="T45429" s="135"/>
      <c r="U45429" s="135"/>
    </row>
    <row r="45430" spans="20:21" ht="15" customHeight="1" x14ac:dyDescent="0.25">
      <c r="T45430" s="135"/>
      <c r="U45430" s="135"/>
    </row>
    <row r="45431" spans="20:21" ht="15" customHeight="1" x14ac:dyDescent="0.25">
      <c r="T45431" s="135"/>
      <c r="U45431" s="135"/>
    </row>
    <row r="45432" spans="20:21" ht="15" customHeight="1" x14ac:dyDescent="0.25">
      <c r="T45432" s="135"/>
      <c r="U45432" s="135"/>
    </row>
    <row r="45433" spans="20:21" ht="15" customHeight="1" x14ac:dyDescent="0.25">
      <c r="T45433" s="135"/>
      <c r="U45433" s="135"/>
    </row>
    <row r="45434" spans="20:21" ht="15" customHeight="1" x14ac:dyDescent="0.25">
      <c r="T45434" s="135"/>
      <c r="U45434" s="135"/>
    </row>
    <row r="45435" spans="20:21" ht="15" customHeight="1" x14ac:dyDescent="0.25">
      <c r="T45435" s="135"/>
      <c r="U45435" s="135"/>
    </row>
    <row r="45436" spans="20:21" ht="15" customHeight="1" x14ac:dyDescent="0.25">
      <c r="T45436" s="135"/>
      <c r="U45436" s="135"/>
    </row>
    <row r="45437" spans="20:21" ht="15" customHeight="1" x14ac:dyDescent="0.25">
      <c r="T45437" s="135"/>
      <c r="U45437" s="135"/>
    </row>
    <row r="45438" spans="20:21" ht="15" customHeight="1" x14ac:dyDescent="0.25">
      <c r="T45438" s="135"/>
      <c r="U45438" s="135"/>
    </row>
    <row r="45439" spans="20:21" ht="15" customHeight="1" x14ac:dyDescent="0.25">
      <c r="T45439" s="135"/>
      <c r="U45439" s="135"/>
    </row>
    <row r="45440" spans="20:21" ht="15" customHeight="1" x14ac:dyDescent="0.25">
      <c r="T45440" s="135"/>
      <c r="U45440" s="135"/>
    </row>
    <row r="45441" spans="20:21" ht="15" customHeight="1" x14ac:dyDescent="0.25">
      <c r="T45441" s="135"/>
      <c r="U45441" s="135"/>
    </row>
    <row r="45442" spans="20:21" ht="15" customHeight="1" x14ac:dyDescent="0.25">
      <c r="T45442" s="135"/>
      <c r="U45442" s="135"/>
    </row>
    <row r="45443" spans="20:21" ht="15" customHeight="1" x14ac:dyDescent="0.25">
      <c r="T45443" s="135"/>
      <c r="U45443" s="135"/>
    </row>
    <row r="45444" spans="20:21" ht="15" customHeight="1" x14ac:dyDescent="0.25">
      <c r="T45444" s="135"/>
      <c r="U45444" s="135"/>
    </row>
    <row r="45445" spans="20:21" ht="15" customHeight="1" x14ac:dyDescent="0.25">
      <c r="T45445" s="135"/>
      <c r="U45445" s="135"/>
    </row>
    <row r="45446" spans="20:21" ht="15" customHeight="1" x14ac:dyDescent="0.25">
      <c r="T45446" s="135"/>
      <c r="U45446" s="135"/>
    </row>
    <row r="45447" spans="20:21" ht="15" customHeight="1" x14ac:dyDescent="0.25">
      <c r="T45447" s="135"/>
      <c r="U45447" s="135"/>
    </row>
    <row r="45448" spans="20:21" ht="15" customHeight="1" x14ac:dyDescent="0.25">
      <c r="T45448" s="135"/>
      <c r="U45448" s="135"/>
    </row>
    <row r="45449" spans="20:21" ht="15" customHeight="1" x14ac:dyDescent="0.25">
      <c r="T45449" s="135"/>
      <c r="U45449" s="135"/>
    </row>
    <row r="45450" spans="20:21" ht="15" customHeight="1" x14ac:dyDescent="0.25">
      <c r="T45450" s="135"/>
      <c r="U45450" s="135"/>
    </row>
    <row r="45451" spans="20:21" ht="15" customHeight="1" x14ac:dyDescent="0.25">
      <c r="T45451" s="135"/>
      <c r="U45451" s="135"/>
    </row>
    <row r="45452" spans="20:21" ht="15" customHeight="1" x14ac:dyDescent="0.25">
      <c r="T45452" s="135"/>
      <c r="U45452" s="135"/>
    </row>
    <row r="45453" spans="20:21" ht="15" customHeight="1" x14ac:dyDescent="0.25">
      <c r="T45453" s="135"/>
      <c r="U45453" s="135"/>
    </row>
    <row r="45454" spans="20:21" ht="15" customHeight="1" x14ac:dyDescent="0.25">
      <c r="T45454" s="135"/>
      <c r="U45454" s="135"/>
    </row>
    <row r="45455" spans="20:21" ht="15" customHeight="1" x14ac:dyDescent="0.25">
      <c r="T45455" s="135"/>
      <c r="U45455" s="135"/>
    </row>
    <row r="45456" spans="20:21" ht="15" customHeight="1" x14ac:dyDescent="0.25">
      <c r="T45456" s="135"/>
      <c r="U45456" s="135"/>
    </row>
    <row r="45457" spans="20:21" ht="15" customHeight="1" x14ac:dyDescent="0.25">
      <c r="T45457" s="135"/>
      <c r="U45457" s="135"/>
    </row>
    <row r="45458" spans="20:21" ht="15" customHeight="1" x14ac:dyDescent="0.25">
      <c r="T45458" s="135"/>
      <c r="U45458" s="135"/>
    </row>
    <row r="45459" spans="20:21" ht="15" customHeight="1" x14ac:dyDescent="0.25">
      <c r="T45459" s="135"/>
      <c r="U45459" s="135"/>
    </row>
    <row r="45460" spans="20:21" ht="15" customHeight="1" x14ac:dyDescent="0.25">
      <c r="T45460" s="135"/>
      <c r="U45460" s="135"/>
    </row>
    <row r="45461" spans="20:21" ht="15" customHeight="1" x14ac:dyDescent="0.25">
      <c r="T45461" s="135"/>
      <c r="U45461" s="135"/>
    </row>
    <row r="45462" spans="20:21" ht="15" customHeight="1" x14ac:dyDescent="0.25">
      <c r="T45462" s="135"/>
      <c r="U45462" s="135"/>
    </row>
    <row r="45463" spans="20:21" ht="15" customHeight="1" x14ac:dyDescent="0.25">
      <c r="T45463" s="135"/>
      <c r="U45463" s="135"/>
    </row>
    <row r="45464" spans="20:21" ht="15" customHeight="1" x14ac:dyDescent="0.25">
      <c r="T45464" s="135"/>
      <c r="U45464" s="135"/>
    </row>
    <row r="45465" spans="20:21" ht="15" customHeight="1" x14ac:dyDescent="0.25">
      <c r="T45465" s="135"/>
      <c r="U45465" s="135"/>
    </row>
    <row r="45466" spans="20:21" ht="15" customHeight="1" x14ac:dyDescent="0.25">
      <c r="T45466" s="135"/>
      <c r="U45466" s="135"/>
    </row>
    <row r="45467" spans="20:21" ht="15" customHeight="1" x14ac:dyDescent="0.25">
      <c r="T45467" s="135"/>
      <c r="U45467" s="135"/>
    </row>
    <row r="45468" spans="20:21" ht="15" customHeight="1" x14ac:dyDescent="0.25">
      <c r="T45468" s="135"/>
      <c r="U45468" s="135"/>
    </row>
    <row r="45469" spans="20:21" ht="15" customHeight="1" x14ac:dyDescent="0.25">
      <c r="T45469" s="135"/>
      <c r="U45469" s="135"/>
    </row>
    <row r="45470" spans="20:21" ht="15" customHeight="1" x14ac:dyDescent="0.25">
      <c r="T45470" s="135"/>
      <c r="U45470" s="135"/>
    </row>
    <row r="45471" spans="20:21" ht="15" customHeight="1" x14ac:dyDescent="0.25">
      <c r="T45471" s="135"/>
      <c r="U45471" s="135"/>
    </row>
    <row r="45472" spans="20:21" ht="15" customHeight="1" x14ac:dyDescent="0.25">
      <c r="T45472" s="135"/>
      <c r="U45472" s="135"/>
    </row>
    <row r="45473" spans="20:21" ht="15" customHeight="1" x14ac:dyDescent="0.25">
      <c r="T45473" s="135"/>
      <c r="U45473" s="135"/>
    </row>
    <row r="45474" spans="20:21" ht="15" customHeight="1" x14ac:dyDescent="0.25">
      <c r="T45474" s="135"/>
      <c r="U45474" s="135"/>
    </row>
    <row r="45475" spans="20:21" ht="15" customHeight="1" x14ac:dyDescent="0.25">
      <c r="T45475" s="135"/>
      <c r="U45475" s="135"/>
    </row>
    <row r="45476" spans="20:21" ht="15" customHeight="1" x14ac:dyDescent="0.25">
      <c r="T45476" s="135"/>
      <c r="U45476" s="135"/>
    </row>
    <row r="45477" spans="20:21" ht="15" customHeight="1" x14ac:dyDescent="0.25">
      <c r="T45477" s="135"/>
      <c r="U45477" s="135"/>
    </row>
    <row r="45478" spans="20:21" ht="15" customHeight="1" x14ac:dyDescent="0.25">
      <c r="T45478" s="135"/>
      <c r="U45478" s="135"/>
    </row>
    <row r="45479" spans="20:21" ht="15" customHeight="1" x14ac:dyDescent="0.25">
      <c r="T45479" s="135"/>
      <c r="U45479" s="135"/>
    </row>
    <row r="45480" spans="20:21" ht="15" customHeight="1" x14ac:dyDescent="0.25">
      <c r="T45480" s="135"/>
      <c r="U45480" s="135"/>
    </row>
    <row r="45481" spans="20:21" ht="15" customHeight="1" x14ac:dyDescent="0.25">
      <c r="T45481" s="135"/>
      <c r="U45481" s="135"/>
    </row>
    <row r="45482" spans="20:21" ht="15" customHeight="1" x14ac:dyDescent="0.25">
      <c r="T45482" s="135"/>
      <c r="U45482" s="135"/>
    </row>
    <row r="45483" spans="20:21" ht="15" customHeight="1" x14ac:dyDescent="0.25">
      <c r="T45483" s="135"/>
      <c r="U45483" s="135"/>
    </row>
    <row r="45484" spans="20:21" ht="15" customHeight="1" x14ac:dyDescent="0.25">
      <c r="T45484" s="135"/>
      <c r="U45484" s="135"/>
    </row>
    <row r="45485" spans="20:21" ht="15" customHeight="1" x14ac:dyDescent="0.25">
      <c r="T45485" s="135"/>
      <c r="U45485" s="135"/>
    </row>
    <row r="45486" spans="20:21" ht="15" customHeight="1" x14ac:dyDescent="0.25">
      <c r="T45486" s="135"/>
      <c r="U45486" s="135"/>
    </row>
    <row r="45487" spans="20:21" ht="15" customHeight="1" x14ac:dyDescent="0.25">
      <c r="T45487" s="135"/>
      <c r="U45487" s="135"/>
    </row>
    <row r="45488" spans="20:21" ht="15" customHeight="1" x14ac:dyDescent="0.25">
      <c r="T45488" s="135"/>
      <c r="U45488" s="135"/>
    </row>
    <row r="45489" spans="20:21" ht="15" customHeight="1" x14ac:dyDescent="0.25">
      <c r="T45489" s="135"/>
      <c r="U45489" s="135"/>
    </row>
    <row r="45490" spans="20:21" ht="15" customHeight="1" x14ac:dyDescent="0.25">
      <c r="T45490" s="135"/>
      <c r="U45490" s="135"/>
    </row>
    <row r="45491" spans="20:21" ht="15" customHeight="1" x14ac:dyDescent="0.25">
      <c r="T45491" s="135"/>
      <c r="U45491" s="135"/>
    </row>
    <row r="45492" spans="20:21" ht="15" customHeight="1" x14ac:dyDescent="0.25">
      <c r="T45492" s="135"/>
      <c r="U45492" s="135"/>
    </row>
    <row r="45493" spans="20:21" ht="15" customHeight="1" x14ac:dyDescent="0.25">
      <c r="T45493" s="135"/>
      <c r="U45493" s="135"/>
    </row>
    <row r="45494" spans="20:21" ht="15" customHeight="1" x14ac:dyDescent="0.25">
      <c r="T45494" s="135"/>
      <c r="U45494" s="135"/>
    </row>
    <row r="45495" spans="20:21" ht="15" customHeight="1" x14ac:dyDescent="0.25">
      <c r="T45495" s="135"/>
      <c r="U45495" s="135"/>
    </row>
    <row r="45496" spans="20:21" ht="15" customHeight="1" x14ac:dyDescent="0.25">
      <c r="T45496" s="135"/>
      <c r="U45496" s="135"/>
    </row>
    <row r="45497" spans="20:21" ht="15" customHeight="1" x14ac:dyDescent="0.25">
      <c r="T45497" s="135"/>
      <c r="U45497" s="135"/>
    </row>
    <row r="45498" spans="20:21" ht="15" customHeight="1" x14ac:dyDescent="0.25">
      <c r="T45498" s="135"/>
      <c r="U45498" s="135"/>
    </row>
    <row r="45499" spans="20:21" ht="15" customHeight="1" x14ac:dyDescent="0.25">
      <c r="T45499" s="135"/>
      <c r="U45499" s="135"/>
    </row>
    <row r="45500" spans="20:21" ht="15" customHeight="1" x14ac:dyDescent="0.25">
      <c r="T45500" s="135"/>
      <c r="U45500" s="135"/>
    </row>
    <row r="45501" spans="20:21" ht="15" customHeight="1" x14ac:dyDescent="0.25">
      <c r="T45501" s="135"/>
      <c r="U45501" s="135"/>
    </row>
    <row r="45502" spans="20:21" ht="15" customHeight="1" x14ac:dyDescent="0.25">
      <c r="T45502" s="135"/>
      <c r="U45502" s="135"/>
    </row>
    <row r="45503" spans="20:21" ht="15" customHeight="1" x14ac:dyDescent="0.25">
      <c r="T45503" s="135"/>
      <c r="U45503" s="135"/>
    </row>
    <row r="45504" spans="20:21" ht="15" customHeight="1" x14ac:dyDescent="0.25">
      <c r="T45504" s="135"/>
      <c r="U45504" s="135"/>
    </row>
    <row r="45505" spans="20:21" ht="15" customHeight="1" x14ac:dyDescent="0.25">
      <c r="T45505" s="135"/>
      <c r="U45505" s="135"/>
    </row>
    <row r="45506" spans="20:21" ht="15" customHeight="1" x14ac:dyDescent="0.25">
      <c r="T45506" s="135"/>
      <c r="U45506" s="135"/>
    </row>
    <row r="45507" spans="20:21" ht="15" customHeight="1" x14ac:dyDescent="0.25">
      <c r="T45507" s="135"/>
      <c r="U45507" s="135"/>
    </row>
    <row r="45508" spans="20:21" ht="15" customHeight="1" x14ac:dyDescent="0.25">
      <c r="T45508" s="135"/>
      <c r="U45508" s="135"/>
    </row>
    <row r="45509" spans="20:21" ht="15" customHeight="1" x14ac:dyDescent="0.25">
      <c r="T45509" s="135"/>
      <c r="U45509" s="135"/>
    </row>
    <row r="45510" spans="20:21" ht="15" customHeight="1" x14ac:dyDescent="0.25">
      <c r="T45510" s="135"/>
      <c r="U45510" s="135"/>
    </row>
    <row r="45511" spans="20:21" ht="15" customHeight="1" x14ac:dyDescent="0.25">
      <c r="T45511" s="135"/>
      <c r="U45511" s="135"/>
    </row>
    <row r="45512" spans="20:21" ht="15" customHeight="1" x14ac:dyDescent="0.25">
      <c r="T45512" s="135"/>
      <c r="U45512" s="135"/>
    </row>
    <row r="45513" spans="20:21" ht="15" customHeight="1" x14ac:dyDescent="0.25">
      <c r="T45513" s="135"/>
      <c r="U45513" s="135"/>
    </row>
    <row r="45514" spans="20:21" ht="15" customHeight="1" x14ac:dyDescent="0.25">
      <c r="T45514" s="135"/>
      <c r="U45514" s="135"/>
    </row>
    <row r="45515" spans="20:21" ht="15" customHeight="1" x14ac:dyDescent="0.25">
      <c r="T45515" s="135"/>
      <c r="U45515" s="135"/>
    </row>
    <row r="45516" spans="20:21" ht="15" customHeight="1" x14ac:dyDescent="0.25">
      <c r="T45516" s="135"/>
      <c r="U45516" s="135"/>
    </row>
    <row r="45517" spans="20:21" ht="15" customHeight="1" x14ac:dyDescent="0.25">
      <c r="T45517" s="135"/>
      <c r="U45517" s="135"/>
    </row>
    <row r="45518" spans="20:21" ht="15" customHeight="1" x14ac:dyDescent="0.25">
      <c r="T45518" s="135"/>
      <c r="U45518" s="135"/>
    </row>
    <row r="45519" spans="20:21" ht="15" customHeight="1" x14ac:dyDescent="0.25">
      <c r="T45519" s="135"/>
      <c r="U45519" s="135"/>
    </row>
    <row r="45520" spans="20:21" ht="15" customHeight="1" x14ac:dyDescent="0.25">
      <c r="T45520" s="135"/>
      <c r="U45520" s="135"/>
    </row>
    <row r="45521" spans="20:21" ht="15" customHeight="1" x14ac:dyDescent="0.25">
      <c r="T45521" s="135"/>
      <c r="U45521" s="135"/>
    </row>
    <row r="45522" spans="20:21" ht="15" customHeight="1" x14ac:dyDescent="0.25">
      <c r="T45522" s="135"/>
      <c r="U45522" s="135"/>
    </row>
    <row r="45523" spans="20:21" ht="15" customHeight="1" x14ac:dyDescent="0.25">
      <c r="T45523" s="135"/>
      <c r="U45523" s="135"/>
    </row>
    <row r="45524" spans="20:21" ht="15" customHeight="1" x14ac:dyDescent="0.25">
      <c r="T45524" s="135"/>
      <c r="U45524" s="135"/>
    </row>
    <row r="45525" spans="20:21" ht="15" customHeight="1" x14ac:dyDescent="0.25">
      <c r="T45525" s="135"/>
      <c r="U45525" s="135"/>
    </row>
    <row r="45526" spans="20:21" ht="15" customHeight="1" x14ac:dyDescent="0.25">
      <c r="T45526" s="135"/>
      <c r="U45526" s="135"/>
    </row>
    <row r="45527" spans="20:21" ht="15" customHeight="1" x14ac:dyDescent="0.25">
      <c r="T45527" s="135"/>
      <c r="U45527" s="135"/>
    </row>
    <row r="45528" spans="20:21" ht="15" customHeight="1" x14ac:dyDescent="0.25">
      <c r="T45528" s="135"/>
      <c r="U45528" s="135"/>
    </row>
    <row r="45529" spans="20:21" ht="15" customHeight="1" x14ac:dyDescent="0.25">
      <c r="T45529" s="135"/>
      <c r="U45529" s="135"/>
    </row>
    <row r="45530" spans="20:21" ht="15" customHeight="1" x14ac:dyDescent="0.25">
      <c r="T45530" s="135"/>
      <c r="U45530" s="135"/>
    </row>
    <row r="45531" spans="20:21" ht="15" customHeight="1" x14ac:dyDescent="0.25">
      <c r="T45531" s="135"/>
      <c r="U45531" s="135"/>
    </row>
    <row r="45532" spans="20:21" ht="15" customHeight="1" x14ac:dyDescent="0.25">
      <c r="T45532" s="135"/>
      <c r="U45532" s="135"/>
    </row>
    <row r="45533" spans="20:21" ht="15" customHeight="1" x14ac:dyDescent="0.25">
      <c r="T45533" s="135"/>
      <c r="U45533" s="135"/>
    </row>
    <row r="45534" spans="20:21" ht="15" customHeight="1" x14ac:dyDescent="0.25">
      <c r="T45534" s="135"/>
      <c r="U45534" s="135"/>
    </row>
    <row r="45535" spans="20:21" ht="15" customHeight="1" x14ac:dyDescent="0.25">
      <c r="T45535" s="135"/>
      <c r="U45535" s="135"/>
    </row>
    <row r="45536" spans="20:21" ht="15" customHeight="1" x14ac:dyDescent="0.25">
      <c r="T45536" s="135"/>
      <c r="U45536" s="135"/>
    </row>
    <row r="45537" spans="20:21" ht="15" customHeight="1" x14ac:dyDescent="0.25">
      <c r="T45537" s="135"/>
      <c r="U45537" s="135"/>
    </row>
    <row r="45538" spans="20:21" ht="15" customHeight="1" x14ac:dyDescent="0.25">
      <c r="T45538" s="135"/>
      <c r="U45538" s="135"/>
    </row>
    <row r="45539" spans="20:21" ht="15" customHeight="1" x14ac:dyDescent="0.25">
      <c r="T45539" s="135"/>
      <c r="U45539" s="135"/>
    </row>
    <row r="45540" spans="20:21" ht="15" customHeight="1" x14ac:dyDescent="0.25">
      <c r="T45540" s="135"/>
      <c r="U45540" s="135"/>
    </row>
    <row r="45541" spans="20:21" ht="15" customHeight="1" x14ac:dyDescent="0.25">
      <c r="T45541" s="135"/>
      <c r="U45541" s="135"/>
    </row>
    <row r="45542" spans="20:21" ht="15" customHeight="1" x14ac:dyDescent="0.25">
      <c r="T45542" s="135"/>
      <c r="U45542" s="135"/>
    </row>
    <row r="45543" spans="20:21" ht="15" customHeight="1" x14ac:dyDescent="0.25">
      <c r="T45543" s="135"/>
      <c r="U45543" s="135"/>
    </row>
    <row r="45544" spans="20:21" ht="15" customHeight="1" x14ac:dyDescent="0.25">
      <c r="T45544" s="135"/>
      <c r="U45544" s="135"/>
    </row>
    <row r="45545" spans="20:21" ht="15" customHeight="1" x14ac:dyDescent="0.25">
      <c r="T45545" s="135"/>
      <c r="U45545" s="135"/>
    </row>
    <row r="45546" spans="20:21" ht="15" customHeight="1" x14ac:dyDescent="0.25">
      <c r="T45546" s="135"/>
      <c r="U45546" s="135"/>
    </row>
    <row r="45547" spans="20:21" ht="15" customHeight="1" x14ac:dyDescent="0.25">
      <c r="T45547" s="135"/>
      <c r="U45547" s="135"/>
    </row>
    <row r="45548" spans="20:21" ht="15" customHeight="1" x14ac:dyDescent="0.25">
      <c r="T45548" s="135"/>
      <c r="U45548" s="135"/>
    </row>
    <row r="45549" spans="20:21" ht="15" customHeight="1" x14ac:dyDescent="0.25">
      <c r="T45549" s="135"/>
      <c r="U45549" s="135"/>
    </row>
    <row r="45550" spans="20:21" ht="15" customHeight="1" x14ac:dyDescent="0.25">
      <c r="T45550" s="135"/>
      <c r="U45550" s="135"/>
    </row>
    <row r="45551" spans="20:21" ht="15" customHeight="1" x14ac:dyDescent="0.25">
      <c r="T45551" s="135"/>
      <c r="U45551" s="135"/>
    </row>
    <row r="45552" spans="20:21" ht="15" customHeight="1" x14ac:dyDescent="0.25">
      <c r="T45552" s="135"/>
      <c r="U45552" s="135"/>
    </row>
    <row r="45553" spans="20:21" ht="15" customHeight="1" x14ac:dyDescent="0.25">
      <c r="T45553" s="135"/>
      <c r="U45553" s="135"/>
    </row>
    <row r="45554" spans="20:21" ht="15" customHeight="1" x14ac:dyDescent="0.25">
      <c r="T45554" s="135"/>
      <c r="U45554" s="135"/>
    </row>
    <row r="45555" spans="20:21" ht="15" customHeight="1" x14ac:dyDescent="0.25">
      <c r="T45555" s="135"/>
      <c r="U45555" s="135"/>
    </row>
    <row r="45556" spans="20:21" ht="15" customHeight="1" x14ac:dyDescent="0.25">
      <c r="T45556" s="135"/>
      <c r="U45556" s="135"/>
    </row>
    <row r="45557" spans="20:21" ht="15" customHeight="1" x14ac:dyDescent="0.25">
      <c r="T45557" s="135"/>
      <c r="U45557" s="135"/>
    </row>
    <row r="45558" spans="20:21" ht="15" customHeight="1" x14ac:dyDescent="0.25">
      <c r="T45558" s="135"/>
      <c r="U45558" s="135"/>
    </row>
    <row r="45559" spans="20:21" ht="15" customHeight="1" x14ac:dyDescent="0.25">
      <c r="T45559" s="135"/>
      <c r="U45559" s="135"/>
    </row>
    <row r="45560" spans="20:21" ht="15" customHeight="1" x14ac:dyDescent="0.25">
      <c r="T45560" s="135"/>
      <c r="U45560" s="135"/>
    </row>
    <row r="45561" spans="20:21" ht="15" customHeight="1" x14ac:dyDescent="0.25">
      <c r="T45561" s="135"/>
      <c r="U45561" s="135"/>
    </row>
    <row r="45562" spans="20:21" ht="15" customHeight="1" x14ac:dyDescent="0.25">
      <c r="T45562" s="135"/>
      <c r="U45562" s="135"/>
    </row>
    <row r="45563" spans="20:21" ht="15" customHeight="1" x14ac:dyDescent="0.25">
      <c r="T45563" s="135"/>
      <c r="U45563" s="135"/>
    </row>
    <row r="45564" spans="20:21" ht="15" customHeight="1" x14ac:dyDescent="0.25">
      <c r="T45564" s="135"/>
      <c r="U45564" s="135"/>
    </row>
    <row r="45565" spans="20:21" ht="15" customHeight="1" x14ac:dyDescent="0.25">
      <c r="T45565" s="135"/>
      <c r="U45565" s="135"/>
    </row>
    <row r="45566" spans="20:21" ht="15" customHeight="1" x14ac:dyDescent="0.25">
      <c r="T45566" s="135"/>
      <c r="U45566" s="135"/>
    </row>
    <row r="45567" spans="20:21" ht="15" customHeight="1" x14ac:dyDescent="0.25">
      <c r="T45567" s="135"/>
      <c r="U45567" s="135"/>
    </row>
    <row r="45568" spans="20:21" ht="15" customHeight="1" x14ac:dyDescent="0.25">
      <c r="T45568" s="135"/>
      <c r="U45568" s="135"/>
    </row>
    <row r="45569" spans="20:21" ht="15" customHeight="1" x14ac:dyDescent="0.25">
      <c r="T45569" s="135"/>
      <c r="U45569" s="135"/>
    </row>
    <row r="45570" spans="20:21" ht="15" customHeight="1" x14ac:dyDescent="0.25">
      <c r="T45570" s="135"/>
      <c r="U45570" s="135"/>
    </row>
    <row r="45571" spans="20:21" ht="15" customHeight="1" x14ac:dyDescent="0.25">
      <c r="T45571" s="135"/>
      <c r="U45571" s="135"/>
    </row>
    <row r="45572" spans="20:21" ht="15" customHeight="1" x14ac:dyDescent="0.25">
      <c r="T45572" s="135"/>
      <c r="U45572" s="135"/>
    </row>
    <row r="45573" spans="20:21" ht="15" customHeight="1" x14ac:dyDescent="0.25">
      <c r="T45573" s="135"/>
      <c r="U45573" s="135"/>
    </row>
    <row r="45574" spans="20:21" ht="15" customHeight="1" x14ac:dyDescent="0.25">
      <c r="T45574" s="135"/>
      <c r="U45574" s="135"/>
    </row>
    <row r="45575" spans="20:21" ht="15" customHeight="1" x14ac:dyDescent="0.25">
      <c r="T45575" s="135"/>
      <c r="U45575" s="135"/>
    </row>
    <row r="45576" spans="20:21" ht="15" customHeight="1" x14ac:dyDescent="0.25">
      <c r="T45576" s="135"/>
      <c r="U45576" s="135"/>
    </row>
    <row r="45577" spans="20:21" ht="15" customHeight="1" x14ac:dyDescent="0.25">
      <c r="T45577" s="135"/>
      <c r="U45577" s="135"/>
    </row>
    <row r="45578" spans="20:21" ht="15" customHeight="1" x14ac:dyDescent="0.25">
      <c r="T45578" s="135"/>
      <c r="U45578" s="135"/>
    </row>
    <row r="45579" spans="20:21" ht="15" customHeight="1" x14ac:dyDescent="0.25">
      <c r="T45579" s="135"/>
      <c r="U45579" s="135"/>
    </row>
    <row r="45580" spans="20:21" ht="15" customHeight="1" x14ac:dyDescent="0.25">
      <c r="T45580" s="135"/>
      <c r="U45580" s="135"/>
    </row>
    <row r="45581" spans="20:21" ht="15" customHeight="1" x14ac:dyDescent="0.25">
      <c r="T45581" s="135"/>
      <c r="U45581" s="135"/>
    </row>
    <row r="45582" spans="20:21" ht="15" customHeight="1" x14ac:dyDescent="0.25">
      <c r="T45582" s="135"/>
      <c r="U45582" s="135"/>
    </row>
    <row r="45583" spans="20:21" ht="15" customHeight="1" x14ac:dyDescent="0.25">
      <c r="T45583" s="135"/>
      <c r="U45583" s="135"/>
    </row>
    <row r="45584" spans="20:21" ht="15" customHeight="1" x14ac:dyDescent="0.25">
      <c r="T45584" s="135"/>
      <c r="U45584" s="135"/>
    </row>
    <row r="45585" spans="20:21" ht="15" customHeight="1" x14ac:dyDescent="0.25">
      <c r="T45585" s="135"/>
      <c r="U45585" s="135"/>
    </row>
    <row r="45586" spans="20:21" ht="15" customHeight="1" x14ac:dyDescent="0.25">
      <c r="T45586" s="135"/>
      <c r="U45586" s="135"/>
    </row>
    <row r="45587" spans="20:21" ht="15" customHeight="1" x14ac:dyDescent="0.25">
      <c r="T45587" s="135"/>
      <c r="U45587" s="135"/>
    </row>
    <row r="45588" spans="20:21" ht="15" customHeight="1" x14ac:dyDescent="0.25">
      <c r="T45588" s="135"/>
      <c r="U45588" s="135"/>
    </row>
    <row r="45589" spans="20:21" ht="15" customHeight="1" x14ac:dyDescent="0.25">
      <c r="T45589" s="135"/>
      <c r="U45589" s="135"/>
    </row>
    <row r="45590" spans="20:21" ht="15" customHeight="1" x14ac:dyDescent="0.25">
      <c r="T45590" s="135"/>
      <c r="U45590" s="135"/>
    </row>
    <row r="45591" spans="20:21" ht="15" customHeight="1" x14ac:dyDescent="0.25">
      <c r="T45591" s="135"/>
      <c r="U45591" s="135"/>
    </row>
    <row r="45592" spans="20:21" ht="15" customHeight="1" x14ac:dyDescent="0.25">
      <c r="T45592" s="135"/>
      <c r="U45592" s="135"/>
    </row>
    <row r="45593" spans="20:21" ht="15" customHeight="1" x14ac:dyDescent="0.25">
      <c r="T45593" s="135"/>
      <c r="U45593" s="135"/>
    </row>
    <row r="45594" spans="20:21" ht="15" customHeight="1" x14ac:dyDescent="0.25">
      <c r="T45594" s="135"/>
      <c r="U45594" s="135"/>
    </row>
    <row r="45595" spans="20:21" ht="15" customHeight="1" x14ac:dyDescent="0.25">
      <c r="T45595" s="135"/>
      <c r="U45595" s="135"/>
    </row>
    <row r="45596" spans="20:21" ht="15" customHeight="1" x14ac:dyDescent="0.25">
      <c r="T45596" s="135"/>
      <c r="U45596" s="135"/>
    </row>
    <row r="45597" spans="20:21" ht="15" customHeight="1" x14ac:dyDescent="0.25">
      <c r="T45597" s="135"/>
      <c r="U45597" s="135"/>
    </row>
    <row r="45598" spans="20:21" ht="15" customHeight="1" x14ac:dyDescent="0.25">
      <c r="T45598" s="135"/>
      <c r="U45598" s="135"/>
    </row>
    <row r="45599" spans="20:21" ht="15" customHeight="1" x14ac:dyDescent="0.25">
      <c r="T45599" s="135"/>
      <c r="U45599" s="135"/>
    </row>
    <row r="45600" spans="20:21" ht="15" customHeight="1" x14ac:dyDescent="0.25">
      <c r="T45600" s="135"/>
      <c r="U45600" s="135"/>
    </row>
    <row r="45601" spans="20:21" ht="15" customHeight="1" x14ac:dyDescent="0.25">
      <c r="T45601" s="135"/>
      <c r="U45601" s="135"/>
    </row>
    <row r="45602" spans="20:21" ht="15" customHeight="1" x14ac:dyDescent="0.25">
      <c r="T45602" s="135"/>
      <c r="U45602" s="135"/>
    </row>
    <row r="45603" spans="20:21" ht="15" customHeight="1" x14ac:dyDescent="0.25">
      <c r="T45603" s="135"/>
      <c r="U45603" s="135"/>
    </row>
    <row r="45604" spans="20:21" ht="15" customHeight="1" x14ac:dyDescent="0.25">
      <c r="T45604" s="135"/>
      <c r="U45604" s="135"/>
    </row>
    <row r="45605" spans="20:21" ht="15" customHeight="1" x14ac:dyDescent="0.25">
      <c r="T45605" s="135"/>
      <c r="U45605" s="135"/>
    </row>
    <row r="45606" spans="20:21" ht="15" customHeight="1" x14ac:dyDescent="0.25">
      <c r="T45606" s="135"/>
      <c r="U45606" s="135"/>
    </row>
    <row r="45607" spans="20:21" ht="15" customHeight="1" x14ac:dyDescent="0.25">
      <c r="T45607" s="135"/>
      <c r="U45607" s="135"/>
    </row>
    <row r="45608" spans="20:21" ht="15" customHeight="1" x14ac:dyDescent="0.25">
      <c r="T45608" s="135"/>
      <c r="U45608" s="135"/>
    </row>
    <row r="45609" spans="20:21" ht="15" customHeight="1" x14ac:dyDescent="0.25">
      <c r="T45609" s="135"/>
      <c r="U45609" s="135"/>
    </row>
    <row r="45610" spans="20:21" ht="15" customHeight="1" x14ac:dyDescent="0.25">
      <c r="T45610" s="135"/>
      <c r="U45610" s="135"/>
    </row>
    <row r="45611" spans="20:21" ht="15" customHeight="1" x14ac:dyDescent="0.25">
      <c r="T45611" s="135"/>
      <c r="U45611" s="135"/>
    </row>
    <row r="45612" spans="20:21" ht="15" customHeight="1" x14ac:dyDescent="0.25">
      <c r="T45612" s="135"/>
      <c r="U45612" s="135"/>
    </row>
    <row r="45613" spans="20:21" ht="15" customHeight="1" x14ac:dyDescent="0.25">
      <c r="T45613" s="135"/>
      <c r="U45613" s="135"/>
    </row>
    <row r="45614" spans="20:21" ht="15" customHeight="1" x14ac:dyDescent="0.25">
      <c r="T45614" s="135"/>
      <c r="U45614" s="135"/>
    </row>
    <row r="45615" spans="20:21" ht="15" customHeight="1" x14ac:dyDescent="0.25">
      <c r="T45615" s="135"/>
      <c r="U45615" s="135"/>
    </row>
    <row r="45616" spans="20:21" ht="15" customHeight="1" x14ac:dyDescent="0.25">
      <c r="T45616" s="135"/>
      <c r="U45616" s="135"/>
    </row>
    <row r="45617" spans="20:21" ht="15" customHeight="1" x14ac:dyDescent="0.25">
      <c r="T45617" s="135"/>
      <c r="U45617" s="135"/>
    </row>
    <row r="45618" spans="20:21" ht="15" customHeight="1" x14ac:dyDescent="0.25">
      <c r="T45618" s="135"/>
      <c r="U45618" s="135"/>
    </row>
    <row r="45619" spans="20:21" ht="15" customHeight="1" x14ac:dyDescent="0.25">
      <c r="T45619" s="135"/>
      <c r="U45619" s="135"/>
    </row>
    <row r="45620" spans="20:21" ht="15" customHeight="1" x14ac:dyDescent="0.25">
      <c r="T45620" s="135"/>
      <c r="U45620" s="135"/>
    </row>
    <row r="45621" spans="20:21" ht="15" customHeight="1" x14ac:dyDescent="0.25">
      <c r="T45621" s="135"/>
      <c r="U45621" s="135"/>
    </row>
    <row r="45622" spans="20:21" ht="15" customHeight="1" x14ac:dyDescent="0.25">
      <c r="T45622" s="135"/>
      <c r="U45622" s="135"/>
    </row>
    <row r="45623" spans="20:21" ht="15" customHeight="1" x14ac:dyDescent="0.25">
      <c r="T45623" s="135"/>
      <c r="U45623" s="135"/>
    </row>
    <row r="45624" spans="20:21" ht="15" customHeight="1" x14ac:dyDescent="0.25">
      <c r="T45624" s="135"/>
      <c r="U45624" s="135"/>
    </row>
    <row r="45625" spans="20:21" ht="15" customHeight="1" x14ac:dyDescent="0.25">
      <c r="T45625" s="135"/>
      <c r="U45625" s="135"/>
    </row>
    <row r="45626" spans="20:21" ht="15" customHeight="1" x14ac:dyDescent="0.25">
      <c r="T45626" s="135"/>
      <c r="U45626" s="135"/>
    </row>
    <row r="45627" spans="20:21" ht="15" customHeight="1" x14ac:dyDescent="0.25">
      <c r="T45627" s="135"/>
      <c r="U45627" s="135"/>
    </row>
    <row r="45628" spans="20:21" ht="15" customHeight="1" x14ac:dyDescent="0.25">
      <c r="T45628" s="135"/>
      <c r="U45628" s="135"/>
    </row>
    <row r="45629" spans="20:21" ht="15" customHeight="1" x14ac:dyDescent="0.25">
      <c r="T45629" s="135"/>
      <c r="U45629" s="135"/>
    </row>
    <row r="45630" spans="20:21" ht="15" customHeight="1" x14ac:dyDescent="0.25">
      <c r="T45630" s="135"/>
      <c r="U45630" s="135"/>
    </row>
    <row r="45631" spans="20:21" ht="15" customHeight="1" x14ac:dyDescent="0.25">
      <c r="T45631" s="135"/>
      <c r="U45631" s="135"/>
    </row>
    <row r="45632" spans="20:21" ht="15" customHeight="1" x14ac:dyDescent="0.25">
      <c r="T45632" s="135"/>
      <c r="U45632" s="135"/>
    </row>
    <row r="45633" spans="20:21" ht="15" customHeight="1" x14ac:dyDescent="0.25">
      <c r="T45633" s="135"/>
      <c r="U45633" s="135"/>
    </row>
    <row r="45634" spans="20:21" ht="15" customHeight="1" x14ac:dyDescent="0.25">
      <c r="T45634" s="135"/>
      <c r="U45634" s="135"/>
    </row>
    <row r="45635" spans="20:21" ht="15" customHeight="1" x14ac:dyDescent="0.25">
      <c r="T45635" s="135"/>
      <c r="U45635" s="135"/>
    </row>
    <row r="45636" spans="20:21" ht="15" customHeight="1" x14ac:dyDescent="0.25">
      <c r="T45636" s="135"/>
      <c r="U45636" s="135"/>
    </row>
    <row r="45637" spans="20:21" ht="15" customHeight="1" x14ac:dyDescent="0.25">
      <c r="T45637" s="135"/>
      <c r="U45637" s="135"/>
    </row>
    <row r="45638" spans="20:21" ht="15" customHeight="1" x14ac:dyDescent="0.25">
      <c r="T45638" s="135"/>
      <c r="U45638" s="135"/>
    </row>
    <row r="45639" spans="20:21" ht="15" customHeight="1" x14ac:dyDescent="0.25">
      <c r="T45639" s="135"/>
      <c r="U45639" s="135"/>
    </row>
    <row r="45640" spans="20:21" ht="15" customHeight="1" x14ac:dyDescent="0.25">
      <c r="T45640" s="135"/>
      <c r="U45640" s="135"/>
    </row>
    <row r="45641" spans="20:21" ht="15" customHeight="1" x14ac:dyDescent="0.25">
      <c r="T45641" s="135"/>
      <c r="U45641" s="135"/>
    </row>
    <row r="45642" spans="20:21" ht="15" customHeight="1" x14ac:dyDescent="0.25">
      <c r="T45642" s="135"/>
      <c r="U45642" s="135"/>
    </row>
    <row r="45643" spans="20:21" ht="15" customHeight="1" x14ac:dyDescent="0.25">
      <c r="T45643" s="135"/>
      <c r="U45643" s="135"/>
    </row>
    <row r="45644" spans="20:21" ht="15" customHeight="1" x14ac:dyDescent="0.25">
      <c r="T45644" s="135"/>
      <c r="U45644" s="135"/>
    </row>
    <row r="45645" spans="20:21" ht="15" customHeight="1" x14ac:dyDescent="0.25">
      <c r="T45645" s="135"/>
      <c r="U45645" s="135"/>
    </row>
    <row r="45646" spans="20:21" ht="15" customHeight="1" x14ac:dyDescent="0.25">
      <c r="T45646" s="135"/>
      <c r="U45646" s="135"/>
    </row>
    <row r="45647" spans="20:21" ht="15" customHeight="1" x14ac:dyDescent="0.25">
      <c r="T45647" s="135"/>
      <c r="U45647" s="135"/>
    </row>
    <row r="45648" spans="20:21" ht="15" customHeight="1" x14ac:dyDescent="0.25">
      <c r="T45648" s="135"/>
      <c r="U45648" s="135"/>
    </row>
    <row r="45649" spans="20:21" ht="15" customHeight="1" x14ac:dyDescent="0.25">
      <c r="T45649" s="135"/>
      <c r="U45649" s="135"/>
    </row>
    <row r="45650" spans="20:21" ht="15" customHeight="1" x14ac:dyDescent="0.25">
      <c r="T45650" s="135"/>
      <c r="U45650" s="135"/>
    </row>
    <row r="45651" spans="20:21" ht="15" customHeight="1" x14ac:dyDescent="0.25">
      <c r="T45651" s="135"/>
      <c r="U45651" s="135"/>
    </row>
    <row r="45652" spans="20:21" ht="15" customHeight="1" x14ac:dyDescent="0.25">
      <c r="T45652" s="135"/>
      <c r="U45652" s="135"/>
    </row>
    <row r="45653" spans="20:21" ht="15" customHeight="1" x14ac:dyDescent="0.25">
      <c r="T45653" s="135"/>
      <c r="U45653" s="135"/>
    </row>
    <row r="45654" spans="20:21" ht="15" customHeight="1" x14ac:dyDescent="0.25">
      <c r="T45654" s="135"/>
      <c r="U45654" s="135"/>
    </row>
    <row r="45655" spans="20:21" ht="15" customHeight="1" x14ac:dyDescent="0.25">
      <c r="T45655" s="135"/>
      <c r="U45655" s="135"/>
    </row>
    <row r="45656" spans="20:21" ht="15" customHeight="1" x14ac:dyDescent="0.25">
      <c r="T45656" s="135"/>
      <c r="U45656" s="135"/>
    </row>
    <row r="45657" spans="20:21" ht="15" customHeight="1" x14ac:dyDescent="0.25">
      <c r="T45657" s="135"/>
      <c r="U45657" s="135"/>
    </row>
    <row r="45658" spans="20:21" ht="15" customHeight="1" x14ac:dyDescent="0.25">
      <c r="T45658" s="135"/>
      <c r="U45658" s="135"/>
    </row>
    <row r="45659" spans="20:21" ht="15" customHeight="1" x14ac:dyDescent="0.25">
      <c r="T45659" s="135"/>
      <c r="U45659" s="135"/>
    </row>
    <row r="45660" spans="20:21" ht="15" customHeight="1" x14ac:dyDescent="0.25">
      <c r="T45660" s="135"/>
      <c r="U45660" s="135"/>
    </row>
    <row r="45661" spans="20:21" ht="15" customHeight="1" x14ac:dyDescent="0.25">
      <c r="T45661" s="135"/>
      <c r="U45661" s="135"/>
    </row>
    <row r="45662" spans="20:21" ht="15" customHeight="1" x14ac:dyDescent="0.25">
      <c r="T45662" s="135"/>
      <c r="U45662" s="135"/>
    </row>
    <row r="45663" spans="20:21" ht="15" customHeight="1" x14ac:dyDescent="0.25">
      <c r="T45663" s="135"/>
      <c r="U45663" s="135"/>
    </row>
    <row r="45664" spans="20:21" ht="15" customHeight="1" x14ac:dyDescent="0.25">
      <c r="T45664" s="135"/>
      <c r="U45664" s="135"/>
    </row>
    <row r="45665" spans="20:21" ht="15" customHeight="1" x14ac:dyDescent="0.25">
      <c r="T45665" s="135"/>
      <c r="U45665" s="135"/>
    </row>
    <row r="45666" spans="20:21" ht="15" customHeight="1" x14ac:dyDescent="0.25">
      <c r="T45666" s="135"/>
      <c r="U45666" s="135"/>
    </row>
    <row r="45667" spans="20:21" ht="15" customHeight="1" x14ac:dyDescent="0.25">
      <c r="T45667" s="135"/>
      <c r="U45667" s="135"/>
    </row>
    <row r="45668" spans="20:21" ht="15" customHeight="1" x14ac:dyDescent="0.25">
      <c r="T45668" s="135"/>
      <c r="U45668" s="135"/>
    </row>
    <row r="45669" spans="20:21" ht="15" customHeight="1" x14ac:dyDescent="0.25">
      <c r="T45669" s="135"/>
      <c r="U45669" s="135"/>
    </row>
    <row r="45670" spans="20:21" ht="15" customHeight="1" x14ac:dyDescent="0.25">
      <c r="T45670" s="135"/>
      <c r="U45670" s="135"/>
    </row>
    <row r="45671" spans="20:21" ht="15" customHeight="1" x14ac:dyDescent="0.25">
      <c r="T45671" s="135"/>
      <c r="U45671" s="135"/>
    </row>
    <row r="45672" spans="20:21" ht="15" customHeight="1" x14ac:dyDescent="0.25">
      <c r="T45672" s="135"/>
      <c r="U45672" s="135"/>
    </row>
    <row r="45673" spans="20:21" ht="15" customHeight="1" x14ac:dyDescent="0.25">
      <c r="T45673" s="135"/>
      <c r="U45673" s="135"/>
    </row>
    <row r="45674" spans="20:21" ht="15" customHeight="1" x14ac:dyDescent="0.25">
      <c r="T45674" s="135"/>
      <c r="U45674" s="135"/>
    </row>
    <row r="45675" spans="20:21" ht="15" customHeight="1" x14ac:dyDescent="0.25">
      <c r="T45675" s="135"/>
      <c r="U45675" s="135"/>
    </row>
    <row r="45676" spans="20:21" ht="15" customHeight="1" x14ac:dyDescent="0.25">
      <c r="T45676" s="135"/>
      <c r="U45676" s="135"/>
    </row>
    <row r="45677" spans="20:21" ht="15" customHeight="1" x14ac:dyDescent="0.25">
      <c r="T45677" s="135"/>
      <c r="U45677" s="135"/>
    </row>
    <row r="45678" spans="20:21" ht="15" customHeight="1" x14ac:dyDescent="0.25">
      <c r="T45678" s="135"/>
      <c r="U45678" s="135"/>
    </row>
    <row r="45679" spans="20:21" ht="15" customHeight="1" x14ac:dyDescent="0.25">
      <c r="T45679" s="135"/>
      <c r="U45679" s="135"/>
    </row>
    <row r="45680" spans="20:21" ht="15" customHeight="1" x14ac:dyDescent="0.25">
      <c r="T45680" s="135"/>
      <c r="U45680" s="135"/>
    </row>
    <row r="45681" spans="20:21" ht="15" customHeight="1" x14ac:dyDescent="0.25">
      <c r="T45681" s="135"/>
      <c r="U45681" s="135"/>
    </row>
    <row r="45682" spans="20:21" ht="15" customHeight="1" x14ac:dyDescent="0.25">
      <c r="T45682" s="135"/>
      <c r="U45682" s="135"/>
    </row>
    <row r="45683" spans="20:21" ht="15" customHeight="1" x14ac:dyDescent="0.25">
      <c r="T45683" s="135"/>
      <c r="U45683" s="135"/>
    </row>
    <row r="45684" spans="20:21" ht="15" customHeight="1" x14ac:dyDescent="0.25">
      <c r="T45684" s="135"/>
      <c r="U45684" s="135"/>
    </row>
    <row r="45685" spans="20:21" ht="15" customHeight="1" x14ac:dyDescent="0.25">
      <c r="T45685" s="135"/>
      <c r="U45685" s="135"/>
    </row>
    <row r="45686" spans="20:21" ht="15" customHeight="1" x14ac:dyDescent="0.25">
      <c r="T45686" s="135"/>
      <c r="U45686" s="135"/>
    </row>
    <row r="45687" spans="20:21" ht="15" customHeight="1" x14ac:dyDescent="0.25">
      <c r="T45687" s="135"/>
      <c r="U45687" s="135"/>
    </row>
    <row r="45688" spans="20:21" ht="15" customHeight="1" x14ac:dyDescent="0.25">
      <c r="T45688" s="135"/>
      <c r="U45688" s="135"/>
    </row>
    <row r="45689" spans="20:21" ht="15" customHeight="1" x14ac:dyDescent="0.25">
      <c r="T45689" s="135"/>
      <c r="U45689" s="135"/>
    </row>
    <row r="45690" spans="20:21" ht="15" customHeight="1" x14ac:dyDescent="0.25">
      <c r="T45690" s="135"/>
      <c r="U45690" s="135"/>
    </row>
    <row r="45691" spans="20:21" ht="15" customHeight="1" x14ac:dyDescent="0.25">
      <c r="T45691" s="135"/>
      <c r="U45691" s="135"/>
    </row>
    <row r="45692" spans="20:21" ht="15" customHeight="1" x14ac:dyDescent="0.25">
      <c r="T45692" s="135"/>
      <c r="U45692" s="135"/>
    </row>
    <row r="45693" spans="20:21" ht="15" customHeight="1" x14ac:dyDescent="0.25">
      <c r="T45693" s="135"/>
      <c r="U45693" s="135"/>
    </row>
    <row r="45694" spans="20:21" ht="15" customHeight="1" x14ac:dyDescent="0.25">
      <c r="T45694" s="135"/>
      <c r="U45694" s="135"/>
    </row>
    <row r="45695" spans="20:21" ht="15" customHeight="1" x14ac:dyDescent="0.25">
      <c r="T45695" s="135"/>
      <c r="U45695" s="135"/>
    </row>
    <row r="45696" spans="20:21" ht="15" customHeight="1" x14ac:dyDescent="0.25">
      <c r="T45696" s="135"/>
      <c r="U45696" s="135"/>
    </row>
    <row r="45697" spans="20:21" ht="15" customHeight="1" x14ac:dyDescent="0.25">
      <c r="T45697" s="135"/>
      <c r="U45697" s="135"/>
    </row>
    <row r="45698" spans="20:21" ht="15" customHeight="1" x14ac:dyDescent="0.25">
      <c r="T45698" s="135"/>
      <c r="U45698" s="135"/>
    </row>
    <row r="45699" spans="20:21" ht="15" customHeight="1" x14ac:dyDescent="0.25">
      <c r="T45699" s="135"/>
      <c r="U45699" s="135"/>
    </row>
    <row r="45700" spans="20:21" ht="15" customHeight="1" x14ac:dyDescent="0.25">
      <c r="T45700" s="135"/>
      <c r="U45700" s="135"/>
    </row>
    <row r="45701" spans="20:21" ht="15" customHeight="1" x14ac:dyDescent="0.25">
      <c r="T45701" s="135"/>
      <c r="U45701" s="135"/>
    </row>
    <row r="45702" spans="20:21" ht="15" customHeight="1" x14ac:dyDescent="0.25">
      <c r="T45702" s="135"/>
      <c r="U45702" s="135"/>
    </row>
    <row r="45703" spans="20:21" ht="15" customHeight="1" x14ac:dyDescent="0.25">
      <c r="T45703" s="135"/>
      <c r="U45703" s="135"/>
    </row>
    <row r="45704" spans="20:21" ht="15" customHeight="1" x14ac:dyDescent="0.25">
      <c r="T45704" s="135"/>
      <c r="U45704" s="135"/>
    </row>
    <row r="45705" spans="20:21" ht="15" customHeight="1" x14ac:dyDescent="0.25">
      <c r="T45705" s="135"/>
      <c r="U45705" s="135"/>
    </row>
    <row r="45706" spans="20:21" ht="15" customHeight="1" x14ac:dyDescent="0.25">
      <c r="T45706" s="135"/>
      <c r="U45706" s="135"/>
    </row>
    <row r="45707" spans="20:21" ht="15" customHeight="1" x14ac:dyDescent="0.25">
      <c r="T45707" s="135"/>
      <c r="U45707" s="135"/>
    </row>
    <row r="45708" spans="20:21" ht="15" customHeight="1" x14ac:dyDescent="0.25">
      <c r="T45708" s="135"/>
      <c r="U45708" s="135"/>
    </row>
    <row r="45709" spans="20:21" ht="15" customHeight="1" x14ac:dyDescent="0.25">
      <c r="T45709" s="135"/>
      <c r="U45709" s="135"/>
    </row>
    <row r="45710" spans="20:21" ht="15" customHeight="1" x14ac:dyDescent="0.25">
      <c r="T45710" s="135"/>
      <c r="U45710" s="135"/>
    </row>
    <row r="45711" spans="20:21" ht="15" customHeight="1" x14ac:dyDescent="0.25">
      <c r="T45711" s="135"/>
      <c r="U45711" s="135"/>
    </row>
    <row r="45712" spans="20:21" ht="15" customHeight="1" x14ac:dyDescent="0.25">
      <c r="T45712" s="135"/>
      <c r="U45712" s="135"/>
    </row>
    <row r="45713" spans="20:21" ht="15" customHeight="1" x14ac:dyDescent="0.25">
      <c r="T45713" s="135"/>
      <c r="U45713" s="135"/>
    </row>
    <row r="45714" spans="20:21" ht="15" customHeight="1" x14ac:dyDescent="0.25">
      <c r="T45714" s="135"/>
      <c r="U45714" s="135"/>
    </row>
    <row r="45715" spans="20:21" ht="15" customHeight="1" x14ac:dyDescent="0.25">
      <c r="T45715" s="135"/>
      <c r="U45715" s="135"/>
    </row>
    <row r="45716" spans="20:21" ht="15" customHeight="1" x14ac:dyDescent="0.25">
      <c r="T45716" s="135"/>
      <c r="U45716" s="135"/>
    </row>
    <row r="45717" spans="20:21" ht="15" customHeight="1" x14ac:dyDescent="0.25">
      <c r="T45717" s="135"/>
      <c r="U45717" s="135"/>
    </row>
    <row r="45718" spans="20:21" ht="15" customHeight="1" x14ac:dyDescent="0.25">
      <c r="T45718" s="135"/>
      <c r="U45718" s="135"/>
    </row>
    <row r="45719" spans="20:21" ht="15" customHeight="1" x14ac:dyDescent="0.25">
      <c r="T45719" s="135"/>
      <c r="U45719" s="135"/>
    </row>
    <row r="45720" spans="20:21" ht="15" customHeight="1" x14ac:dyDescent="0.25">
      <c r="T45720" s="135"/>
      <c r="U45720" s="135"/>
    </row>
    <row r="45721" spans="20:21" ht="15" customHeight="1" x14ac:dyDescent="0.25">
      <c r="T45721" s="135"/>
      <c r="U45721" s="135"/>
    </row>
    <row r="45722" spans="20:21" ht="15" customHeight="1" x14ac:dyDescent="0.25">
      <c r="T45722" s="135"/>
      <c r="U45722" s="135"/>
    </row>
    <row r="45723" spans="20:21" ht="15" customHeight="1" x14ac:dyDescent="0.25">
      <c r="T45723" s="135"/>
      <c r="U45723" s="135"/>
    </row>
    <row r="45724" spans="20:21" ht="15" customHeight="1" x14ac:dyDescent="0.25">
      <c r="T45724" s="135"/>
      <c r="U45724" s="135"/>
    </row>
    <row r="45725" spans="20:21" ht="15" customHeight="1" x14ac:dyDescent="0.25">
      <c r="T45725" s="135"/>
      <c r="U45725" s="135"/>
    </row>
    <row r="45726" spans="20:21" ht="15" customHeight="1" x14ac:dyDescent="0.25">
      <c r="T45726" s="135"/>
      <c r="U45726" s="135"/>
    </row>
    <row r="45727" spans="20:21" ht="15" customHeight="1" x14ac:dyDescent="0.25">
      <c r="T45727" s="135"/>
      <c r="U45727" s="135"/>
    </row>
    <row r="45728" spans="20:21" ht="15" customHeight="1" x14ac:dyDescent="0.25">
      <c r="T45728" s="135"/>
      <c r="U45728" s="135"/>
    </row>
    <row r="45729" spans="20:21" ht="15" customHeight="1" x14ac:dyDescent="0.25">
      <c r="T45729" s="135"/>
      <c r="U45729" s="135"/>
    </row>
    <row r="45730" spans="20:21" ht="15" customHeight="1" x14ac:dyDescent="0.25">
      <c r="T45730" s="135"/>
      <c r="U45730" s="135"/>
    </row>
    <row r="45731" spans="20:21" ht="15" customHeight="1" x14ac:dyDescent="0.25">
      <c r="T45731" s="135"/>
      <c r="U45731" s="135"/>
    </row>
    <row r="45732" spans="20:21" ht="15" customHeight="1" x14ac:dyDescent="0.25">
      <c r="T45732" s="135"/>
      <c r="U45732" s="135"/>
    </row>
    <row r="45733" spans="20:21" ht="15" customHeight="1" x14ac:dyDescent="0.25">
      <c r="T45733" s="135"/>
      <c r="U45733" s="135"/>
    </row>
    <row r="45734" spans="20:21" ht="15" customHeight="1" x14ac:dyDescent="0.25">
      <c r="T45734" s="135"/>
      <c r="U45734" s="135"/>
    </row>
    <row r="45735" spans="20:21" ht="15" customHeight="1" x14ac:dyDescent="0.25">
      <c r="T45735" s="135"/>
      <c r="U45735" s="135"/>
    </row>
    <row r="45736" spans="20:21" ht="15" customHeight="1" x14ac:dyDescent="0.25">
      <c r="T45736" s="135"/>
      <c r="U45736" s="135"/>
    </row>
    <row r="45737" spans="20:21" ht="15" customHeight="1" x14ac:dyDescent="0.25">
      <c r="T45737" s="135"/>
      <c r="U45737" s="135"/>
    </row>
    <row r="45738" spans="20:21" ht="15" customHeight="1" x14ac:dyDescent="0.25">
      <c r="T45738" s="135"/>
      <c r="U45738" s="135"/>
    </row>
    <row r="45739" spans="20:21" ht="15" customHeight="1" x14ac:dyDescent="0.25">
      <c r="T45739" s="135"/>
      <c r="U45739" s="135"/>
    </row>
    <row r="45740" spans="20:21" ht="15" customHeight="1" x14ac:dyDescent="0.25">
      <c r="T45740" s="135"/>
      <c r="U45740" s="135"/>
    </row>
    <row r="45741" spans="20:21" ht="15" customHeight="1" x14ac:dyDescent="0.25">
      <c r="T45741" s="135"/>
      <c r="U45741" s="135"/>
    </row>
    <row r="45742" spans="20:21" ht="15" customHeight="1" x14ac:dyDescent="0.25">
      <c r="T45742" s="135"/>
      <c r="U45742" s="135"/>
    </row>
    <row r="45743" spans="20:21" ht="15" customHeight="1" x14ac:dyDescent="0.25">
      <c r="T45743" s="135"/>
      <c r="U45743" s="135"/>
    </row>
    <row r="45744" spans="20:21" ht="15" customHeight="1" x14ac:dyDescent="0.25">
      <c r="T45744" s="135"/>
      <c r="U45744" s="135"/>
    </row>
    <row r="45745" spans="20:21" ht="15" customHeight="1" x14ac:dyDescent="0.25">
      <c r="T45745" s="135"/>
      <c r="U45745" s="135"/>
    </row>
    <row r="45746" spans="20:21" ht="15" customHeight="1" x14ac:dyDescent="0.25">
      <c r="T45746" s="135"/>
      <c r="U45746" s="135"/>
    </row>
    <row r="45747" spans="20:21" ht="15" customHeight="1" x14ac:dyDescent="0.25">
      <c r="T45747" s="135"/>
      <c r="U45747" s="135"/>
    </row>
    <row r="45748" spans="20:21" ht="15" customHeight="1" x14ac:dyDescent="0.25">
      <c r="T45748" s="135"/>
      <c r="U45748" s="135"/>
    </row>
    <row r="45749" spans="20:21" ht="15" customHeight="1" x14ac:dyDescent="0.25">
      <c r="T45749" s="135"/>
      <c r="U45749" s="135"/>
    </row>
    <row r="45750" spans="20:21" ht="15" customHeight="1" x14ac:dyDescent="0.25">
      <c r="T45750" s="135"/>
      <c r="U45750" s="135"/>
    </row>
    <row r="45751" spans="20:21" ht="15" customHeight="1" x14ac:dyDescent="0.25">
      <c r="T45751" s="135"/>
      <c r="U45751" s="135"/>
    </row>
    <row r="45752" spans="20:21" ht="15" customHeight="1" x14ac:dyDescent="0.25">
      <c r="T45752" s="135"/>
      <c r="U45752" s="135"/>
    </row>
    <row r="45753" spans="20:21" ht="15" customHeight="1" x14ac:dyDescent="0.25">
      <c r="T45753" s="135"/>
      <c r="U45753" s="135"/>
    </row>
    <row r="45754" spans="20:21" ht="15" customHeight="1" x14ac:dyDescent="0.25">
      <c r="T45754" s="135"/>
      <c r="U45754" s="135"/>
    </row>
    <row r="45755" spans="20:21" ht="15" customHeight="1" x14ac:dyDescent="0.25">
      <c r="T45755" s="135"/>
      <c r="U45755" s="135"/>
    </row>
    <row r="45756" spans="20:21" ht="15" customHeight="1" x14ac:dyDescent="0.25">
      <c r="T45756" s="135"/>
      <c r="U45756" s="135"/>
    </row>
    <row r="45757" spans="20:21" ht="15" customHeight="1" x14ac:dyDescent="0.25">
      <c r="T45757" s="135"/>
      <c r="U45757" s="135"/>
    </row>
    <row r="45758" spans="20:21" ht="15" customHeight="1" x14ac:dyDescent="0.25">
      <c r="T45758" s="135"/>
      <c r="U45758" s="135"/>
    </row>
    <row r="45759" spans="20:21" ht="15" customHeight="1" x14ac:dyDescent="0.25">
      <c r="T45759" s="135"/>
      <c r="U45759" s="135"/>
    </row>
    <row r="45760" spans="20:21" ht="15" customHeight="1" x14ac:dyDescent="0.25">
      <c r="T45760" s="135"/>
      <c r="U45760" s="135"/>
    </row>
    <row r="45761" spans="20:21" ht="15" customHeight="1" x14ac:dyDescent="0.25">
      <c r="T45761" s="135"/>
      <c r="U45761" s="135"/>
    </row>
    <row r="45762" spans="20:21" ht="15" customHeight="1" x14ac:dyDescent="0.25">
      <c r="T45762" s="135"/>
      <c r="U45762" s="135"/>
    </row>
    <row r="45763" spans="20:21" ht="15" customHeight="1" x14ac:dyDescent="0.25">
      <c r="T45763" s="135"/>
      <c r="U45763" s="135"/>
    </row>
    <row r="45764" spans="20:21" ht="15" customHeight="1" x14ac:dyDescent="0.25">
      <c r="T45764" s="135"/>
      <c r="U45764" s="135"/>
    </row>
    <row r="45765" spans="20:21" ht="15" customHeight="1" x14ac:dyDescent="0.25">
      <c r="T45765" s="135"/>
      <c r="U45765" s="135"/>
    </row>
    <row r="45766" spans="20:21" ht="15" customHeight="1" x14ac:dyDescent="0.25">
      <c r="T45766" s="135"/>
      <c r="U45766" s="135"/>
    </row>
    <row r="45767" spans="20:21" ht="15" customHeight="1" x14ac:dyDescent="0.25">
      <c r="T45767" s="135"/>
      <c r="U45767" s="135"/>
    </row>
    <row r="45768" spans="20:21" ht="15" customHeight="1" x14ac:dyDescent="0.25">
      <c r="T45768" s="135"/>
      <c r="U45768" s="135"/>
    </row>
    <row r="45769" spans="20:21" ht="15" customHeight="1" x14ac:dyDescent="0.25">
      <c r="T45769" s="135"/>
      <c r="U45769" s="135"/>
    </row>
    <row r="45770" spans="20:21" ht="15" customHeight="1" x14ac:dyDescent="0.25">
      <c r="T45770" s="135"/>
      <c r="U45770" s="135"/>
    </row>
    <row r="45771" spans="20:21" ht="15" customHeight="1" x14ac:dyDescent="0.25">
      <c r="T45771" s="135"/>
      <c r="U45771" s="135"/>
    </row>
    <row r="45772" spans="20:21" ht="15" customHeight="1" x14ac:dyDescent="0.25">
      <c r="T45772" s="135"/>
      <c r="U45772" s="135"/>
    </row>
    <row r="45773" spans="20:21" ht="15" customHeight="1" x14ac:dyDescent="0.25">
      <c r="T45773" s="135"/>
      <c r="U45773" s="135"/>
    </row>
    <row r="45774" spans="20:21" ht="15" customHeight="1" x14ac:dyDescent="0.25">
      <c r="T45774" s="135"/>
      <c r="U45774" s="135"/>
    </row>
    <row r="45775" spans="20:21" ht="15" customHeight="1" x14ac:dyDescent="0.25">
      <c r="T45775" s="135"/>
      <c r="U45775" s="135"/>
    </row>
    <row r="45776" spans="20:21" ht="15" customHeight="1" x14ac:dyDescent="0.25">
      <c r="T45776" s="135"/>
      <c r="U45776" s="135"/>
    </row>
    <row r="45777" spans="20:21" ht="15" customHeight="1" x14ac:dyDescent="0.25">
      <c r="T45777" s="135"/>
      <c r="U45777" s="135"/>
    </row>
    <row r="45778" spans="20:21" ht="15" customHeight="1" x14ac:dyDescent="0.25">
      <c r="T45778" s="135"/>
      <c r="U45778" s="135"/>
    </row>
    <row r="45779" spans="20:21" ht="15" customHeight="1" x14ac:dyDescent="0.25">
      <c r="T45779" s="135"/>
      <c r="U45779" s="135"/>
    </row>
    <row r="45780" spans="20:21" ht="15" customHeight="1" x14ac:dyDescent="0.25">
      <c r="T45780" s="135"/>
      <c r="U45780" s="135"/>
    </row>
    <row r="45781" spans="20:21" ht="15" customHeight="1" x14ac:dyDescent="0.25">
      <c r="T45781" s="135"/>
      <c r="U45781" s="135"/>
    </row>
    <row r="45782" spans="20:21" ht="15" customHeight="1" x14ac:dyDescent="0.25">
      <c r="T45782" s="135"/>
      <c r="U45782" s="135"/>
    </row>
    <row r="45783" spans="20:21" ht="15" customHeight="1" x14ac:dyDescent="0.25">
      <c r="T45783" s="135"/>
      <c r="U45783" s="135"/>
    </row>
    <row r="45784" spans="20:21" ht="15" customHeight="1" x14ac:dyDescent="0.25">
      <c r="T45784" s="135"/>
      <c r="U45784" s="135"/>
    </row>
    <row r="45785" spans="20:21" ht="15" customHeight="1" x14ac:dyDescent="0.25">
      <c r="T45785" s="135"/>
      <c r="U45785" s="135"/>
    </row>
    <row r="45786" spans="20:21" ht="15" customHeight="1" x14ac:dyDescent="0.25">
      <c r="T45786" s="135"/>
      <c r="U45786" s="135"/>
    </row>
    <row r="45787" spans="20:21" ht="15" customHeight="1" x14ac:dyDescent="0.25">
      <c r="T45787" s="135"/>
      <c r="U45787" s="135"/>
    </row>
    <row r="45788" spans="20:21" ht="15" customHeight="1" x14ac:dyDescent="0.25">
      <c r="T45788" s="135"/>
      <c r="U45788" s="135"/>
    </row>
    <row r="45789" spans="20:21" ht="15" customHeight="1" x14ac:dyDescent="0.25">
      <c r="T45789" s="135"/>
      <c r="U45789" s="135"/>
    </row>
    <row r="45790" spans="20:21" ht="15" customHeight="1" x14ac:dyDescent="0.25">
      <c r="T45790" s="135"/>
      <c r="U45790" s="135"/>
    </row>
    <row r="45791" spans="20:21" ht="15" customHeight="1" x14ac:dyDescent="0.25">
      <c r="T45791" s="135"/>
      <c r="U45791" s="135"/>
    </row>
    <row r="45792" spans="20:21" ht="15" customHeight="1" x14ac:dyDescent="0.25">
      <c r="T45792" s="135"/>
      <c r="U45792" s="135"/>
    </row>
    <row r="45793" spans="20:21" ht="15" customHeight="1" x14ac:dyDescent="0.25">
      <c r="T45793" s="135"/>
      <c r="U45793" s="135"/>
    </row>
    <row r="45794" spans="20:21" ht="15" customHeight="1" x14ac:dyDescent="0.25">
      <c r="T45794" s="135"/>
      <c r="U45794" s="135"/>
    </row>
    <row r="45795" spans="20:21" ht="15" customHeight="1" x14ac:dyDescent="0.25">
      <c r="T45795" s="135"/>
      <c r="U45795" s="135"/>
    </row>
    <row r="45796" spans="20:21" ht="15" customHeight="1" x14ac:dyDescent="0.25">
      <c r="T45796" s="135"/>
      <c r="U45796" s="135"/>
    </row>
    <row r="45797" spans="20:21" ht="15" customHeight="1" x14ac:dyDescent="0.25">
      <c r="T45797" s="135"/>
      <c r="U45797" s="135"/>
    </row>
    <row r="45798" spans="20:21" ht="15" customHeight="1" x14ac:dyDescent="0.25">
      <c r="T45798" s="135"/>
      <c r="U45798" s="135"/>
    </row>
    <row r="45799" spans="20:21" ht="15" customHeight="1" x14ac:dyDescent="0.25">
      <c r="T45799" s="135"/>
      <c r="U45799" s="135"/>
    </row>
    <row r="45800" spans="20:21" ht="15" customHeight="1" x14ac:dyDescent="0.25">
      <c r="T45800" s="135"/>
      <c r="U45800" s="135"/>
    </row>
    <row r="45801" spans="20:21" ht="15" customHeight="1" x14ac:dyDescent="0.25">
      <c r="T45801" s="135"/>
      <c r="U45801" s="135"/>
    </row>
    <row r="45802" spans="20:21" ht="15" customHeight="1" x14ac:dyDescent="0.25">
      <c r="T45802" s="135"/>
      <c r="U45802" s="135"/>
    </row>
    <row r="45803" spans="20:21" ht="15" customHeight="1" x14ac:dyDescent="0.25">
      <c r="T45803" s="135"/>
      <c r="U45803" s="135"/>
    </row>
    <row r="45804" spans="20:21" ht="15" customHeight="1" x14ac:dyDescent="0.25">
      <c r="T45804" s="135"/>
      <c r="U45804" s="135"/>
    </row>
    <row r="45805" spans="20:21" ht="15" customHeight="1" x14ac:dyDescent="0.25">
      <c r="T45805" s="135"/>
      <c r="U45805" s="135"/>
    </row>
    <row r="45806" spans="20:21" ht="15" customHeight="1" x14ac:dyDescent="0.25">
      <c r="T45806" s="135"/>
      <c r="U45806" s="135"/>
    </row>
    <row r="45807" spans="20:21" ht="15" customHeight="1" x14ac:dyDescent="0.25">
      <c r="T45807" s="135"/>
      <c r="U45807" s="135"/>
    </row>
    <row r="45808" spans="20:21" ht="15" customHeight="1" x14ac:dyDescent="0.25">
      <c r="T45808" s="135"/>
      <c r="U45808" s="135"/>
    </row>
    <row r="45809" spans="20:21" ht="15" customHeight="1" x14ac:dyDescent="0.25">
      <c r="T45809" s="135"/>
      <c r="U45809" s="135"/>
    </row>
    <row r="45810" spans="20:21" ht="15" customHeight="1" x14ac:dyDescent="0.25">
      <c r="T45810" s="135"/>
      <c r="U45810" s="135"/>
    </row>
    <row r="45811" spans="20:21" ht="15" customHeight="1" x14ac:dyDescent="0.25">
      <c r="T45811" s="135"/>
      <c r="U45811" s="135"/>
    </row>
    <row r="45812" spans="20:21" ht="15" customHeight="1" x14ac:dyDescent="0.25">
      <c r="T45812" s="135"/>
      <c r="U45812" s="135"/>
    </row>
    <row r="45813" spans="20:21" ht="15" customHeight="1" x14ac:dyDescent="0.25">
      <c r="T45813" s="135"/>
      <c r="U45813" s="135"/>
    </row>
    <row r="45814" spans="20:21" ht="15" customHeight="1" x14ac:dyDescent="0.25">
      <c r="T45814" s="135"/>
      <c r="U45814" s="135"/>
    </row>
    <row r="45815" spans="20:21" ht="15" customHeight="1" x14ac:dyDescent="0.25">
      <c r="T45815" s="135"/>
      <c r="U45815" s="135"/>
    </row>
    <row r="45816" spans="20:21" ht="15" customHeight="1" x14ac:dyDescent="0.25">
      <c r="T45816" s="135"/>
      <c r="U45816" s="135"/>
    </row>
    <row r="45817" spans="20:21" ht="15" customHeight="1" x14ac:dyDescent="0.25">
      <c r="T45817" s="135"/>
      <c r="U45817" s="135"/>
    </row>
    <row r="45818" spans="20:21" ht="15" customHeight="1" x14ac:dyDescent="0.25">
      <c r="T45818" s="135"/>
      <c r="U45818" s="135"/>
    </row>
    <row r="45819" spans="20:21" ht="15" customHeight="1" x14ac:dyDescent="0.25">
      <c r="T45819" s="135"/>
      <c r="U45819" s="135"/>
    </row>
    <row r="45820" spans="20:21" ht="15" customHeight="1" x14ac:dyDescent="0.25">
      <c r="T45820" s="135"/>
      <c r="U45820" s="135"/>
    </row>
    <row r="45821" spans="20:21" ht="15" customHeight="1" x14ac:dyDescent="0.25">
      <c r="T45821" s="135"/>
      <c r="U45821" s="135"/>
    </row>
    <row r="45822" spans="20:21" ht="15" customHeight="1" x14ac:dyDescent="0.25">
      <c r="T45822" s="135"/>
      <c r="U45822" s="135"/>
    </row>
    <row r="45823" spans="20:21" ht="15" customHeight="1" x14ac:dyDescent="0.25">
      <c r="T45823" s="135"/>
      <c r="U45823" s="135"/>
    </row>
    <row r="45824" spans="20:21" ht="15" customHeight="1" x14ac:dyDescent="0.25">
      <c r="T45824" s="135"/>
      <c r="U45824" s="135"/>
    </row>
    <row r="45825" spans="20:21" ht="15" customHeight="1" x14ac:dyDescent="0.25">
      <c r="T45825" s="135"/>
      <c r="U45825" s="135"/>
    </row>
    <row r="45826" spans="20:21" ht="15" customHeight="1" x14ac:dyDescent="0.25">
      <c r="T45826" s="135"/>
      <c r="U45826" s="135"/>
    </row>
    <row r="45827" spans="20:21" ht="15" customHeight="1" x14ac:dyDescent="0.25">
      <c r="T45827" s="135"/>
      <c r="U45827" s="135"/>
    </row>
    <row r="45828" spans="20:21" ht="15" customHeight="1" x14ac:dyDescent="0.25">
      <c r="T45828" s="135"/>
      <c r="U45828" s="135"/>
    </row>
    <row r="45829" spans="20:21" ht="15" customHeight="1" x14ac:dyDescent="0.25">
      <c r="T45829" s="135"/>
      <c r="U45829" s="135"/>
    </row>
    <row r="45830" spans="20:21" ht="15" customHeight="1" x14ac:dyDescent="0.25">
      <c r="T45830" s="135"/>
      <c r="U45830" s="135"/>
    </row>
    <row r="45831" spans="20:21" ht="15" customHeight="1" x14ac:dyDescent="0.25">
      <c r="T45831" s="135"/>
      <c r="U45831" s="135"/>
    </row>
    <row r="45832" spans="20:21" ht="15" customHeight="1" x14ac:dyDescent="0.25">
      <c r="T45832" s="135"/>
      <c r="U45832" s="135"/>
    </row>
    <row r="45833" spans="20:21" ht="15" customHeight="1" x14ac:dyDescent="0.25">
      <c r="T45833" s="135"/>
      <c r="U45833" s="135"/>
    </row>
    <row r="45834" spans="20:21" ht="15" customHeight="1" x14ac:dyDescent="0.25">
      <c r="T45834" s="135"/>
      <c r="U45834" s="135"/>
    </row>
    <row r="45835" spans="20:21" ht="15" customHeight="1" x14ac:dyDescent="0.25">
      <c r="T45835" s="135"/>
      <c r="U45835" s="135"/>
    </row>
    <row r="45836" spans="20:21" ht="15" customHeight="1" x14ac:dyDescent="0.25">
      <c r="T45836" s="135"/>
      <c r="U45836" s="135"/>
    </row>
    <row r="45837" spans="20:21" ht="15" customHeight="1" x14ac:dyDescent="0.25">
      <c r="T45837" s="135"/>
      <c r="U45837" s="135"/>
    </row>
    <row r="45838" spans="20:21" ht="15" customHeight="1" x14ac:dyDescent="0.25">
      <c r="T45838" s="135"/>
      <c r="U45838" s="135"/>
    </row>
    <row r="45839" spans="20:21" ht="15" customHeight="1" x14ac:dyDescent="0.25">
      <c r="T45839" s="135"/>
      <c r="U45839" s="135"/>
    </row>
    <row r="45840" spans="20:21" ht="15" customHeight="1" x14ac:dyDescent="0.25">
      <c r="T45840" s="135"/>
      <c r="U45840" s="135"/>
    </row>
    <row r="45841" spans="20:21" ht="15" customHeight="1" x14ac:dyDescent="0.25">
      <c r="T45841" s="135"/>
      <c r="U45841" s="135"/>
    </row>
    <row r="45842" spans="20:21" ht="15" customHeight="1" x14ac:dyDescent="0.25">
      <c r="T45842" s="135"/>
      <c r="U45842" s="135"/>
    </row>
    <row r="45843" spans="20:21" ht="15" customHeight="1" x14ac:dyDescent="0.25">
      <c r="T45843" s="135"/>
      <c r="U45843" s="135"/>
    </row>
    <row r="45844" spans="20:21" ht="15" customHeight="1" x14ac:dyDescent="0.25">
      <c r="T45844" s="135"/>
      <c r="U45844" s="135"/>
    </row>
    <row r="45845" spans="20:21" ht="15" customHeight="1" x14ac:dyDescent="0.25">
      <c r="T45845" s="135"/>
      <c r="U45845" s="135"/>
    </row>
    <row r="45846" spans="20:21" ht="15" customHeight="1" x14ac:dyDescent="0.25">
      <c r="T45846" s="135"/>
      <c r="U45846" s="135"/>
    </row>
    <row r="45847" spans="20:21" ht="15" customHeight="1" x14ac:dyDescent="0.25">
      <c r="T45847" s="135"/>
      <c r="U45847" s="135"/>
    </row>
    <row r="45848" spans="20:21" ht="15" customHeight="1" x14ac:dyDescent="0.25">
      <c r="T45848" s="135"/>
      <c r="U45848" s="135"/>
    </row>
    <row r="45849" spans="20:21" ht="15" customHeight="1" x14ac:dyDescent="0.25">
      <c r="T45849" s="135"/>
      <c r="U45849" s="135"/>
    </row>
    <row r="45850" spans="20:21" ht="15" customHeight="1" x14ac:dyDescent="0.25">
      <c r="T45850" s="135"/>
      <c r="U45850" s="135"/>
    </row>
    <row r="45851" spans="20:21" ht="15" customHeight="1" x14ac:dyDescent="0.25">
      <c r="T45851" s="135"/>
      <c r="U45851" s="135"/>
    </row>
    <row r="45852" spans="20:21" ht="15" customHeight="1" x14ac:dyDescent="0.25">
      <c r="T45852" s="135"/>
      <c r="U45852" s="135"/>
    </row>
    <row r="45853" spans="20:21" ht="15" customHeight="1" x14ac:dyDescent="0.25">
      <c r="T45853" s="135"/>
      <c r="U45853" s="135"/>
    </row>
    <row r="45854" spans="20:21" ht="15" customHeight="1" x14ac:dyDescent="0.25">
      <c r="T45854" s="135"/>
      <c r="U45854" s="135"/>
    </row>
    <row r="45855" spans="20:21" ht="15" customHeight="1" x14ac:dyDescent="0.25">
      <c r="T45855" s="135"/>
      <c r="U45855" s="135"/>
    </row>
    <row r="45856" spans="20:21" ht="15" customHeight="1" x14ac:dyDescent="0.25">
      <c r="T45856" s="135"/>
      <c r="U45856" s="135"/>
    </row>
    <row r="45857" spans="20:21" ht="15" customHeight="1" x14ac:dyDescent="0.25">
      <c r="T45857" s="135"/>
      <c r="U45857" s="135"/>
    </row>
    <row r="45858" spans="20:21" ht="15" customHeight="1" x14ac:dyDescent="0.25">
      <c r="T45858" s="135"/>
      <c r="U45858" s="135"/>
    </row>
    <row r="45859" spans="20:21" ht="15" customHeight="1" x14ac:dyDescent="0.25">
      <c r="T45859" s="135"/>
      <c r="U45859" s="135"/>
    </row>
    <row r="45860" spans="20:21" ht="15" customHeight="1" x14ac:dyDescent="0.25">
      <c r="T45860" s="135"/>
      <c r="U45860" s="135"/>
    </row>
    <row r="45861" spans="20:21" ht="15" customHeight="1" x14ac:dyDescent="0.25">
      <c r="T45861" s="135"/>
      <c r="U45861" s="135"/>
    </row>
    <row r="45862" spans="20:21" ht="15" customHeight="1" x14ac:dyDescent="0.25">
      <c r="T45862" s="135"/>
      <c r="U45862" s="135"/>
    </row>
    <row r="45863" spans="20:21" ht="15" customHeight="1" x14ac:dyDescent="0.25">
      <c r="T45863" s="135"/>
      <c r="U45863" s="135"/>
    </row>
    <row r="45864" spans="20:21" ht="15" customHeight="1" x14ac:dyDescent="0.25">
      <c r="T45864" s="135"/>
      <c r="U45864" s="135"/>
    </row>
    <row r="45865" spans="20:21" ht="15" customHeight="1" x14ac:dyDescent="0.25">
      <c r="T45865" s="135"/>
      <c r="U45865" s="135"/>
    </row>
    <row r="45866" spans="20:21" ht="15" customHeight="1" x14ac:dyDescent="0.25">
      <c r="T45866" s="135"/>
      <c r="U45866" s="135"/>
    </row>
    <row r="45867" spans="20:21" ht="15" customHeight="1" x14ac:dyDescent="0.25">
      <c r="T45867" s="135"/>
      <c r="U45867" s="135"/>
    </row>
    <row r="45868" spans="20:21" ht="15" customHeight="1" x14ac:dyDescent="0.25">
      <c r="T45868" s="135"/>
      <c r="U45868" s="135"/>
    </row>
    <row r="45869" spans="20:21" ht="15" customHeight="1" x14ac:dyDescent="0.25">
      <c r="T45869" s="135"/>
      <c r="U45869" s="135"/>
    </row>
    <row r="45870" spans="20:21" ht="15" customHeight="1" x14ac:dyDescent="0.25">
      <c r="T45870" s="135"/>
      <c r="U45870" s="135"/>
    </row>
    <row r="45871" spans="20:21" ht="15" customHeight="1" x14ac:dyDescent="0.25">
      <c r="T45871" s="135"/>
      <c r="U45871" s="135"/>
    </row>
    <row r="45872" spans="20:21" ht="15" customHeight="1" x14ac:dyDescent="0.25">
      <c r="T45872" s="135"/>
      <c r="U45872" s="135"/>
    </row>
    <row r="45873" spans="20:21" ht="15" customHeight="1" x14ac:dyDescent="0.25">
      <c r="T45873" s="135"/>
      <c r="U45873" s="135"/>
    </row>
    <row r="45874" spans="20:21" ht="15" customHeight="1" x14ac:dyDescent="0.25">
      <c r="T45874" s="135"/>
      <c r="U45874" s="135"/>
    </row>
    <row r="45875" spans="20:21" ht="15" customHeight="1" x14ac:dyDescent="0.25">
      <c r="T45875" s="135"/>
      <c r="U45875" s="135"/>
    </row>
    <row r="45876" spans="20:21" ht="15" customHeight="1" x14ac:dyDescent="0.25">
      <c r="T45876" s="135"/>
      <c r="U45876" s="135"/>
    </row>
    <row r="45877" spans="20:21" ht="15" customHeight="1" x14ac:dyDescent="0.25">
      <c r="T45877" s="135"/>
      <c r="U45877" s="135"/>
    </row>
    <row r="45878" spans="20:21" ht="15" customHeight="1" x14ac:dyDescent="0.25">
      <c r="T45878" s="135"/>
      <c r="U45878" s="135"/>
    </row>
    <row r="45879" spans="20:21" ht="15" customHeight="1" x14ac:dyDescent="0.25">
      <c r="T45879" s="135"/>
      <c r="U45879" s="135"/>
    </row>
    <row r="45880" spans="20:21" ht="15" customHeight="1" x14ac:dyDescent="0.25">
      <c r="T45880" s="135"/>
      <c r="U45880" s="135"/>
    </row>
    <row r="45881" spans="20:21" ht="15" customHeight="1" x14ac:dyDescent="0.25">
      <c r="T45881" s="135"/>
      <c r="U45881" s="135"/>
    </row>
    <row r="45882" spans="20:21" ht="15" customHeight="1" x14ac:dyDescent="0.25">
      <c r="T45882" s="135"/>
      <c r="U45882" s="135"/>
    </row>
    <row r="45883" spans="20:21" ht="15" customHeight="1" x14ac:dyDescent="0.25">
      <c r="T45883" s="135"/>
      <c r="U45883" s="135"/>
    </row>
    <row r="45884" spans="20:21" ht="15" customHeight="1" x14ac:dyDescent="0.25">
      <c r="T45884" s="135"/>
      <c r="U45884" s="135"/>
    </row>
    <row r="45885" spans="20:21" ht="15" customHeight="1" x14ac:dyDescent="0.25">
      <c r="T45885" s="135"/>
      <c r="U45885" s="135"/>
    </row>
    <row r="45886" spans="20:21" ht="15" customHeight="1" x14ac:dyDescent="0.25">
      <c r="T45886" s="135"/>
      <c r="U45886" s="135"/>
    </row>
    <row r="45887" spans="20:21" ht="15" customHeight="1" x14ac:dyDescent="0.25">
      <c r="T45887" s="135"/>
      <c r="U45887" s="135"/>
    </row>
    <row r="45888" spans="20:21" ht="15" customHeight="1" x14ac:dyDescent="0.25">
      <c r="T45888" s="135"/>
      <c r="U45888" s="135"/>
    </row>
    <row r="45889" spans="20:21" ht="15" customHeight="1" x14ac:dyDescent="0.25">
      <c r="T45889" s="135"/>
      <c r="U45889" s="135"/>
    </row>
    <row r="45890" spans="20:21" ht="15" customHeight="1" x14ac:dyDescent="0.25">
      <c r="T45890" s="135"/>
      <c r="U45890" s="135"/>
    </row>
    <row r="45891" spans="20:21" ht="15" customHeight="1" x14ac:dyDescent="0.25">
      <c r="T45891" s="135"/>
      <c r="U45891" s="135"/>
    </row>
    <row r="45892" spans="20:21" ht="15" customHeight="1" x14ac:dyDescent="0.25">
      <c r="T45892" s="135"/>
      <c r="U45892" s="135"/>
    </row>
    <row r="45893" spans="20:21" ht="15" customHeight="1" x14ac:dyDescent="0.25">
      <c r="T45893" s="135"/>
      <c r="U45893" s="135"/>
    </row>
    <row r="45894" spans="20:21" ht="15" customHeight="1" x14ac:dyDescent="0.25">
      <c r="T45894" s="135"/>
      <c r="U45894" s="135"/>
    </row>
    <row r="45895" spans="20:21" ht="15" customHeight="1" x14ac:dyDescent="0.25">
      <c r="T45895" s="135"/>
      <c r="U45895" s="135"/>
    </row>
    <row r="45896" spans="20:21" ht="15" customHeight="1" x14ac:dyDescent="0.25">
      <c r="T45896" s="135"/>
      <c r="U45896" s="135"/>
    </row>
    <row r="45897" spans="20:21" ht="15" customHeight="1" x14ac:dyDescent="0.25">
      <c r="T45897" s="135"/>
      <c r="U45897" s="135"/>
    </row>
    <row r="45898" spans="20:21" ht="15" customHeight="1" x14ac:dyDescent="0.25">
      <c r="T45898" s="135"/>
      <c r="U45898" s="135"/>
    </row>
    <row r="45899" spans="20:21" ht="15" customHeight="1" x14ac:dyDescent="0.25">
      <c r="T45899" s="135"/>
      <c r="U45899" s="135"/>
    </row>
    <row r="45900" spans="20:21" ht="15" customHeight="1" x14ac:dyDescent="0.25">
      <c r="T45900" s="135"/>
      <c r="U45900" s="135"/>
    </row>
    <row r="45901" spans="20:21" ht="15" customHeight="1" x14ac:dyDescent="0.25">
      <c r="T45901" s="135"/>
      <c r="U45901" s="135"/>
    </row>
    <row r="45902" spans="20:21" ht="15" customHeight="1" x14ac:dyDescent="0.25">
      <c r="T45902" s="135"/>
      <c r="U45902" s="135"/>
    </row>
    <row r="45903" spans="20:21" ht="15" customHeight="1" x14ac:dyDescent="0.25">
      <c r="T45903" s="135"/>
      <c r="U45903" s="135"/>
    </row>
    <row r="45904" spans="20:21" ht="15" customHeight="1" x14ac:dyDescent="0.25">
      <c r="T45904" s="135"/>
      <c r="U45904" s="135"/>
    </row>
    <row r="45905" spans="20:21" ht="15" customHeight="1" x14ac:dyDescent="0.25">
      <c r="T45905" s="135"/>
      <c r="U45905" s="135"/>
    </row>
    <row r="45906" spans="20:21" ht="15" customHeight="1" x14ac:dyDescent="0.25">
      <c r="T45906" s="135"/>
      <c r="U45906" s="135"/>
    </row>
    <row r="45907" spans="20:21" ht="15" customHeight="1" x14ac:dyDescent="0.25">
      <c r="T45907" s="135"/>
      <c r="U45907" s="135"/>
    </row>
    <row r="45908" spans="20:21" ht="15" customHeight="1" x14ac:dyDescent="0.25">
      <c r="T45908" s="135"/>
      <c r="U45908" s="135"/>
    </row>
    <row r="45909" spans="20:21" ht="15" customHeight="1" x14ac:dyDescent="0.25">
      <c r="T45909" s="135"/>
      <c r="U45909" s="135"/>
    </row>
    <row r="45910" spans="20:21" ht="15" customHeight="1" x14ac:dyDescent="0.25">
      <c r="T45910" s="135"/>
      <c r="U45910" s="135"/>
    </row>
    <row r="45911" spans="20:21" ht="15" customHeight="1" x14ac:dyDescent="0.25">
      <c r="T45911" s="135"/>
      <c r="U45911" s="135"/>
    </row>
    <row r="45912" spans="20:21" ht="15" customHeight="1" x14ac:dyDescent="0.25">
      <c r="T45912" s="135"/>
      <c r="U45912" s="135"/>
    </row>
    <row r="45913" spans="20:21" ht="15" customHeight="1" x14ac:dyDescent="0.25">
      <c r="T45913" s="135"/>
      <c r="U45913" s="135"/>
    </row>
    <row r="45914" spans="20:21" ht="15" customHeight="1" x14ac:dyDescent="0.25">
      <c r="T45914" s="135"/>
      <c r="U45914" s="135"/>
    </row>
    <row r="45915" spans="20:21" ht="15" customHeight="1" x14ac:dyDescent="0.25">
      <c r="T45915" s="135"/>
      <c r="U45915" s="135"/>
    </row>
    <row r="45916" spans="20:21" ht="15" customHeight="1" x14ac:dyDescent="0.25">
      <c r="T45916" s="135"/>
      <c r="U45916" s="135"/>
    </row>
    <row r="45917" spans="20:21" ht="15" customHeight="1" x14ac:dyDescent="0.25">
      <c r="T45917" s="135"/>
      <c r="U45917" s="135"/>
    </row>
    <row r="45918" spans="20:21" ht="15" customHeight="1" x14ac:dyDescent="0.25">
      <c r="T45918" s="135"/>
      <c r="U45918" s="135"/>
    </row>
    <row r="45919" spans="20:21" ht="15" customHeight="1" x14ac:dyDescent="0.25">
      <c r="T45919" s="135"/>
      <c r="U45919" s="135"/>
    </row>
    <row r="45920" spans="20:21" ht="15" customHeight="1" x14ac:dyDescent="0.25">
      <c r="T45920" s="135"/>
      <c r="U45920" s="135"/>
    </row>
    <row r="45921" spans="20:21" ht="15" customHeight="1" x14ac:dyDescent="0.25">
      <c r="T45921" s="135"/>
      <c r="U45921" s="135"/>
    </row>
    <row r="45922" spans="20:21" ht="15" customHeight="1" x14ac:dyDescent="0.25">
      <c r="T45922" s="135"/>
      <c r="U45922" s="135"/>
    </row>
    <row r="45923" spans="20:21" ht="15" customHeight="1" x14ac:dyDescent="0.25">
      <c r="T45923" s="135"/>
      <c r="U45923" s="135"/>
    </row>
    <row r="45924" spans="20:21" ht="15" customHeight="1" x14ac:dyDescent="0.25">
      <c r="T45924" s="135"/>
      <c r="U45924" s="135"/>
    </row>
    <row r="45925" spans="20:21" ht="15" customHeight="1" x14ac:dyDescent="0.25">
      <c r="T45925" s="135"/>
      <c r="U45925" s="135"/>
    </row>
    <row r="45926" spans="20:21" ht="15" customHeight="1" x14ac:dyDescent="0.25">
      <c r="T45926" s="135"/>
      <c r="U45926" s="135"/>
    </row>
    <row r="45927" spans="20:21" ht="15" customHeight="1" x14ac:dyDescent="0.25">
      <c r="T45927" s="135"/>
      <c r="U45927" s="135"/>
    </row>
    <row r="45928" spans="20:21" ht="15" customHeight="1" x14ac:dyDescent="0.25">
      <c r="T45928" s="135"/>
      <c r="U45928" s="135"/>
    </row>
    <row r="45929" spans="20:21" ht="15" customHeight="1" x14ac:dyDescent="0.25">
      <c r="T45929" s="135"/>
      <c r="U45929" s="135"/>
    </row>
    <row r="45930" spans="20:21" ht="15" customHeight="1" x14ac:dyDescent="0.25">
      <c r="T45930" s="135"/>
      <c r="U45930" s="135"/>
    </row>
    <row r="45931" spans="20:21" ht="15" customHeight="1" x14ac:dyDescent="0.25">
      <c r="T45931" s="135"/>
      <c r="U45931" s="135"/>
    </row>
    <row r="45932" spans="20:21" ht="15" customHeight="1" x14ac:dyDescent="0.25">
      <c r="T45932" s="135"/>
      <c r="U45932" s="135"/>
    </row>
    <row r="45933" spans="20:21" ht="15" customHeight="1" x14ac:dyDescent="0.25">
      <c r="T45933" s="135"/>
      <c r="U45933" s="135"/>
    </row>
    <row r="45934" spans="20:21" ht="15" customHeight="1" x14ac:dyDescent="0.25">
      <c r="T45934" s="135"/>
      <c r="U45934" s="135"/>
    </row>
    <row r="45935" spans="20:21" ht="15" customHeight="1" x14ac:dyDescent="0.25">
      <c r="T45935" s="135"/>
      <c r="U45935" s="135"/>
    </row>
    <row r="45936" spans="20:21" ht="15" customHeight="1" x14ac:dyDescent="0.25">
      <c r="T45936" s="135"/>
      <c r="U45936" s="135"/>
    </row>
    <row r="45937" spans="20:21" ht="15" customHeight="1" x14ac:dyDescent="0.25">
      <c r="T45937" s="135"/>
      <c r="U45937" s="135"/>
    </row>
    <row r="45938" spans="20:21" ht="15" customHeight="1" x14ac:dyDescent="0.25">
      <c r="T45938" s="135"/>
      <c r="U45938" s="135"/>
    </row>
    <row r="45939" spans="20:21" ht="15" customHeight="1" x14ac:dyDescent="0.25">
      <c r="T45939" s="135"/>
      <c r="U45939" s="135"/>
    </row>
    <row r="45940" spans="20:21" ht="15" customHeight="1" x14ac:dyDescent="0.25">
      <c r="T45940" s="135"/>
      <c r="U45940" s="135"/>
    </row>
    <row r="45941" spans="20:21" ht="15" customHeight="1" x14ac:dyDescent="0.25">
      <c r="T45941" s="135"/>
      <c r="U45941" s="135"/>
    </row>
    <row r="45942" spans="20:21" ht="15" customHeight="1" x14ac:dyDescent="0.25">
      <c r="T45942" s="135"/>
      <c r="U45942" s="135"/>
    </row>
    <row r="45943" spans="20:21" ht="15" customHeight="1" x14ac:dyDescent="0.25">
      <c r="T45943" s="135"/>
      <c r="U45943" s="135"/>
    </row>
    <row r="45944" spans="20:21" ht="15" customHeight="1" x14ac:dyDescent="0.25">
      <c r="T45944" s="135"/>
      <c r="U45944" s="135"/>
    </row>
    <row r="45945" spans="20:21" ht="15" customHeight="1" x14ac:dyDescent="0.25">
      <c r="T45945" s="135"/>
      <c r="U45945" s="135"/>
    </row>
    <row r="45946" spans="20:21" ht="15" customHeight="1" x14ac:dyDescent="0.25">
      <c r="T45946" s="135"/>
      <c r="U45946" s="135"/>
    </row>
    <row r="45947" spans="20:21" ht="15" customHeight="1" x14ac:dyDescent="0.25">
      <c r="T45947" s="135"/>
      <c r="U45947" s="135"/>
    </row>
    <row r="45948" spans="20:21" ht="15" customHeight="1" x14ac:dyDescent="0.25">
      <c r="T45948" s="135"/>
      <c r="U45948" s="135"/>
    </row>
    <row r="45949" spans="20:21" ht="15" customHeight="1" x14ac:dyDescent="0.25">
      <c r="T45949" s="135"/>
      <c r="U45949" s="135"/>
    </row>
    <row r="45950" spans="20:21" ht="15" customHeight="1" x14ac:dyDescent="0.25">
      <c r="T45950" s="135"/>
      <c r="U45950" s="135"/>
    </row>
    <row r="45951" spans="20:21" ht="15" customHeight="1" x14ac:dyDescent="0.25">
      <c r="T45951" s="135"/>
      <c r="U45951" s="135"/>
    </row>
    <row r="45952" spans="20:21" ht="15" customHeight="1" x14ac:dyDescent="0.25">
      <c r="T45952" s="135"/>
      <c r="U45952" s="135"/>
    </row>
    <row r="45953" spans="20:21" ht="15" customHeight="1" x14ac:dyDescent="0.25">
      <c r="T45953" s="135"/>
      <c r="U45953" s="135"/>
    </row>
    <row r="45954" spans="20:21" ht="15" customHeight="1" x14ac:dyDescent="0.25">
      <c r="T45954" s="135"/>
      <c r="U45954" s="135"/>
    </row>
    <row r="45955" spans="20:21" ht="15" customHeight="1" x14ac:dyDescent="0.25">
      <c r="T45955" s="135"/>
      <c r="U45955" s="135"/>
    </row>
    <row r="45956" spans="20:21" ht="15" customHeight="1" x14ac:dyDescent="0.25">
      <c r="T45956" s="135"/>
      <c r="U45956" s="135"/>
    </row>
    <row r="45957" spans="20:21" ht="15" customHeight="1" x14ac:dyDescent="0.25">
      <c r="T45957" s="135"/>
      <c r="U45957" s="135"/>
    </row>
    <row r="45958" spans="20:21" ht="15" customHeight="1" x14ac:dyDescent="0.25">
      <c r="T45958" s="135"/>
      <c r="U45958" s="135"/>
    </row>
    <row r="45959" spans="20:21" ht="15" customHeight="1" x14ac:dyDescent="0.25">
      <c r="T45959" s="135"/>
      <c r="U45959" s="135"/>
    </row>
    <row r="45960" spans="20:21" ht="15" customHeight="1" x14ac:dyDescent="0.25">
      <c r="T45960" s="135"/>
      <c r="U45960" s="135"/>
    </row>
    <row r="45961" spans="20:21" ht="15" customHeight="1" x14ac:dyDescent="0.25">
      <c r="T45961" s="135"/>
      <c r="U45961" s="135"/>
    </row>
    <row r="45962" spans="20:21" ht="15" customHeight="1" x14ac:dyDescent="0.25">
      <c r="T45962" s="135"/>
      <c r="U45962" s="135"/>
    </row>
    <row r="45963" spans="20:21" ht="15" customHeight="1" x14ac:dyDescent="0.25">
      <c r="T45963" s="135"/>
      <c r="U45963" s="135"/>
    </row>
    <row r="45964" spans="20:21" ht="15" customHeight="1" x14ac:dyDescent="0.25">
      <c r="T45964" s="135"/>
      <c r="U45964" s="135"/>
    </row>
    <row r="45965" spans="20:21" ht="15" customHeight="1" x14ac:dyDescent="0.25">
      <c r="T45965" s="135"/>
      <c r="U45965" s="135"/>
    </row>
    <row r="45966" spans="20:21" ht="15" customHeight="1" x14ac:dyDescent="0.25">
      <c r="T45966" s="135"/>
      <c r="U45966" s="135"/>
    </row>
    <row r="45967" spans="20:21" ht="15" customHeight="1" x14ac:dyDescent="0.25">
      <c r="T45967" s="135"/>
      <c r="U45967" s="135"/>
    </row>
    <row r="45968" spans="20:21" ht="15" customHeight="1" x14ac:dyDescent="0.25">
      <c r="T45968" s="135"/>
      <c r="U45968" s="135"/>
    </row>
    <row r="45969" spans="20:21" ht="15" customHeight="1" x14ac:dyDescent="0.25">
      <c r="T45969" s="135"/>
      <c r="U45969" s="135"/>
    </row>
    <row r="45970" spans="20:21" ht="15" customHeight="1" x14ac:dyDescent="0.25">
      <c r="T45970" s="135"/>
      <c r="U45970" s="135"/>
    </row>
    <row r="45971" spans="20:21" ht="15" customHeight="1" x14ac:dyDescent="0.25">
      <c r="T45971" s="135"/>
      <c r="U45971" s="135"/>
    </row>
    <row r="45972" spans="20:21" ht="15" customHeight="1" x14ac:dyDescent="0.25">
      <c r="T45972" s="135"/>
      <c r="U45972" s="135"/>
    </row>
    <row r="45973" spans="20:21" ht="15" customHeight="1" x14ac:dyDescent="0.25">
      <c r="T45973" s="135"/>
      <c r="U45973" s="135"/>
    </row>
    <row r="45974" spans="20:21" ht="15" customHeight="1" x14ac:dyDescent="0.25">
      <c r="T45974" s="135"/>
      <c r="U45974" s="135"/>
    </row>
    <row r="45975" spans="20:21" ht="15" customHeight="1" x14ac:dyDescent="0.25">
      <c r="T45975" s="135"/>
      <c r="U45975" s="135"/>
    </row>
    <row r="45976" spans="20:21" ht="15" customHeight="1" x14ac:dyDescent="0.25">
      <c r="T45976" s="135"/>
      <c r="U45976" s="135"/>
    </row>
    <row r="45977" spans="20:21" ht="15" customHeight="1" x14ac:dyDescent="0.25">
      <c r="T45977" s="135"/>
      <c r="U45977" s="135"/>
    </row>
    <row r="45978" spans="20:21" ht="15" customHeight="1" x14ac:dyDescent="0.25">
      <c r="T45978" s="135"/>
      <c r="U45978" s="135"/>
    </row>
    <row r="45979" spans="20:21" ht="15" customHeight="1" x14ac:dyDescent="0.25">
      <c r="T45979" s="135"/>
      <c r="U45979" s="135"/>
    </row>
    <row r="45980" spans="20:21" ht="15" customHeight="1" x14ac:dyDescent="0.25">
      <c r="T45980" s="135"/>
      <c r="U45980" s="135"/>
    </row>
    <row r="45981" spans="20:21" ht="15" customHeight="1" x14ac:dyDescent="0.25">
      <c r="T45981" s="135"/>
      <c r="U45981" s="135"/>
    </row>
    <row r="45982" spans="20:21" ht="15" customHeight="1" x14ac:dyDescent="0.25">
      <c r="T45982" s="135"/>
      <c r="U45982" s="135"/>
    </row>
    <row r="45983" spans="20:21" ht="15" customHeight="1" x14ac:dyDescent="0.25">
      <c r="T45983" s="135"/>
      <c r="U45983" s="135"/>
    </row>
    <row r="45984" spans="20:21" ht="15" customHeight="1" x14ac:dyDescent="0.25">
      <c r="T45984" s="135"/>
      <c r="U45984" s="135"/>
    </row>
    <row r="45985" spans="20:21" ht="15" customHeight="1" x14ac:dyDescent="0.25">
      <c r="T45985" s="135"/>
      <c r="U45985" s="135"/>
    </row>
    <row r="45986" spans="20:21" ht="15" customHeight="1" x14ac:dyDescent="0.25">
      <c r="T45986" s="135"/>
      <c r="U45986" s="135"/>
    </row>
    <row r="45987" spans="20:21" ht="15" customHeight="1" x14ac:dyDescent="0.25">
      <c r="T45987" s="135"/>
      <c r="U45987" s="135"/>
    </row>
    <row r="45988" spans="20:21" ht="15" customHeight="1" x14ac:dyDescent="0.25">
      <c r="T45988" s="135"/>
      <c r="U45988" s="135"/>
    </row>
    <row r="45989" spans="20:21" ht="15" customHeight="1" x14ac:dyDescent="0.25">
      <c r="T45989" s="135"/>
      <c r="U45989" s="135"/>
    </row>
    <row r="45990" spans="20:21" ht="15" customHeight="1" x14ac:dyDescent="0.25">
      <c r="T45990" s="135"/>
      <c r="U45990" s="135"/>
    </row>
    <row r="45991" spans="20:21" ht="15" customHeight="1" x14ac:dyDescent="0.25">
      <c r="T45991" s="135"/>
      <c r="U45991" s="135"/>
    </row>
    <row r="45992" spans="20:21" ht="15" customHeight="1" x14ac:dyDescent="0.25">
      <c r="T45992" s="135"/>
      <c r="U45992" s="135"/>
    </row>
    <row r="45993" spans="20:21" ht="15" customHeight="1" x14ac:dyDescent="0.25">
      <c r="T45993" s="135"/>
      <c r="U45993" s="135"/>
    </row>
    <row r="45994" spans="20:21" ht="15" customHeight="1" x14ac:dyDescent="0.25">
      <c r="T45994" s="135"/>
      <c r="U45994" s="135"/>
    </row>
    <row r="45995" spans="20:21" ht="15" customHeight="1" x14ac:dyDescent="0.25">
      <c r="T45995" s="135"/>
      <c r="U45995" s="135"/>
    </row>
    <row r="45996" spans="20:21" ht="15" customHeight="1" x14ac:dyDescent="0.25">
      <c r="T45996" s="135"/>
      <c r="U45996" s="135"/>
    </row>
    <row r="45997" spans="20:21" ht="15" customHeight="1" x14ac:dyDescent="0.25">
      <c r="T45997" s="135"/>
      <c r="U45997" s="135"/>
    </row>
    <row r="45998" spans="20:21" ht="15" customHeight="1" x14ac:dyDescent="0.25">
      <c r="T45998" s="135"/>
      <c r="U45998" s="135"/>
    </row>
    <row r="45999" spans="20:21" ht="15" customHeight="1" x14ac:dyDescent="0.25">
      <c r="T45999" s="135"/>
      <c r="U45999" s="135"/>
    </row>
    <row r="46000" spans="20:21" ht="15" customHeight="1" x14ac:dyDescent="0.25">
      <c r="T46000" s="135"/>
      <c r="U46000" s="135"/>
    </row>
    <row r="46001" spans="20:21" ht="15" customHeight="1" x14ac:dyDescent="0.25">
      <c r="T46001" s="135"/>
      <c r="U46001" s="135"/>
    </row>
    <row r="46002" spans="20:21" ht="15" customHeight="1" x14ac:dyDescent="0.25">
      <c r="T46002" s="135"/>
      <c r="U46002" s="135"/>
    </row>
    <row r="46003" spans="20:21" ht="15" customHeight="1" x14ac:dyDescent="0.25">
      <c r="T46003" s="135"/>
      <c r="U46003" s="135"/>
    </row>
    <row r="46004" spans="20:21" ht="15" customHeight="1" x14ac:dyDescent="0.25">
      <c r="T46004" s="135"/>
      <c r="U46004" s="135"/>
    </row>
    <row r="46005" spans="20:21" ht="15" customHeight="1" x14ac:dyDescent="0.25">
      <c r="T46005" s="135"/>
      <c r="U46005" s="135"/>
    </row>
    <row r="46006" spans="20:21" ht="15" customHeight="1" x14ac:dyDescent="0.25">
      <c r="T46006" s="135"/>
      <c r="U46006" s="135"/>
    </row>
    <row r="46007" spans="20:21" ht="15" customHeight="1" x14ac:dyDescent="0.25">
      <c r="T46007" s="135"/>
      <c r="U46007" s="135"/>
    </row>
    <row r="46008" spans="20:21" ht="15" customHeight="1" x14ac:dyDescent="0.25">
      <c r="T46008" s="135"/>
      <c r="U46008" s="135"/>
    </row>
    <row r="46009" spans="20:21" ht="15" customHeight="1" x14ac:dyDescent="0.25">
      <c r="T46009" s="135"/>
      <c r="U46009" s="135"/>
    </row>
    <row r="46010" spans="20:21" ht="15" customHeight="1" x14ac:dyDescent="0.25">
      <c r="T46010" s="135"/>
      <c r="U46010" s="135"/>
    </row>
    <row r="46011" spans="20:21" ht="15" customHeight="1" x14ac:dyDescent="0.25">
      <c r="T46011" s="135"/>
      <c r="U46011" s="135"/>
    </row>
    <row r="46012" spans="20:21" ht="15" customHeight="1" x14ac:dyDescent="0.25">
      <c r="T46012" s="135"/>
      <c r="U46012" s="135"/>
    </row>
    <row r="46013" spans="20:21" ht="15" customHeight="1" x14ac:dyDescent="0.25">
      <c r="T46013" s="135"/>
      <c r="U46013" s="135"/>
    </row>
    <row r="46014" spans="20:21" ht="15" customHeight="1" x14ac:dyDescent="0.25">
      <c r="T46014" s="135"/>
      <c r="U46014" s="135"/>
    </row>
    <row r="46015" spans="20:21" ht="15" customHeight="1" x14ac:dyDescent="0.25">
      <c r="T46015" s="135"/>
      <c r="U46015" s="135"/>
    </row>
    <row r="46016" spans="20:21" ht="15" customHeight="1" x14ac:dyDescent="0.25">
      <c r="T46016" s="135"/>
      <c r="U46016" s="135"/>
    </row>
    <row r="46017" spans="20:21" ht="15" customHeight="1" x14ac:dyDescent="0.25">
      <c r="T46017" s="135"/>
      <c r="U46017" s="135"/>
    </row>
    <row r="46018" spans="20:21" ht="15" customHeight="1" x14ac:dyDescent="0.25">
      <c r="T46018" s="135"/>
      <c r="U46018" s="135"/>
    </row>
    <row r="46019" spans="20:21" ht="15" customHeight="1" x14ac:dyDescent="0.25">
      <c r="T46019" s="135"/>
      <c r="U46019" s="135"/>
    </row>
    <row r="46020" spans="20:21" ht="15" customHeight="1" x14ac:dyDescent="0.25">
      <c r="T46020" s="135"/>
      <c r="U46020" s="135"/>
    </row>
    <row r="46021" spans="20:21" ht="15" customHeight="1" x14ac:dyDescent="0.25">
      <c r="T46021" s="135"/>
      <c r="U46021" s="135"/>
    </row>
    <row r="46022" spans="20:21" ht="15" customHeight="1" x14ac:dyDescent="0.25">
      <c r="T46022" s="135"/>
      <c r="U46022" s="135"/>
    </row>
    <row r="46023" spans="20:21" ht="15" customHeight="1" x14ac:dyDescent="0.25">
      <c r="T46023" s="135"/>
      <c r="U46023" s="135"/>
    </row>
    <row r="46024" spans="20:21" ht="15" customHeight="1" x14ac:dyDescent="0.25">
      <c r="T46024" s="135"/>
      <c r="U46024" s="135"/>
    </row>
    <row r="46025" spans="20:21" ht="15" customHeight="1" x14ac:dyDescent="0.25">
      <c r="T46025" s="135"/>
      <c r="U46025" s="135"/>
    </row>
    <row r="46026" spans="20:21" ht="15" customHeight="1" x14ac:dyDescent="0.25">
      <c r="T46026" s="135"/>
      <c r="U46026" s="135"/>
    </row>
    <row r="46027" spans="20:21" ht="15" customHeight="1" x14ac:dyDescent="0.25">
      <c r="T46027" s="135"/>
      <c r="U46027" s="135"/>
    </row>
    <row r="46028" spans="20:21" ht="15" customHeight="1" x14ac:dyDescent="0.25">
      <c r="T46028" s="135"/>
      <c r="U46028" s="135"/>
    </row>
    <row r="46029" spans="20:21" ht="15" customHeight="1" x14ac:dyDescent="0.25">
      <c r="T46029" s="135"/>
      <c r="U46029" s="135"/>
    </row>
    <row r="46030" spans="20:21" ht="15" customHeight="1" x14ac:dyDescent="0.25">
      <c r="T46030" s="135"/>
      <c r="U46030" s="135"/>
    </row>
    <row r="46031" spans="20:21" ht="15" customHeight="1" x14ac:dyDescent="0.25">
      <c r="T46031" s="135"/>
      <c r="U46031" s="135"/>
    </row>
    <row r="46032" spans="20:21" ht="15" customHeight="1" x14ac:dyDescent="0.25">
      <c r="T46032" s="135"/>
      <c r="U46032" s="135"/>
    </row>
    <row r="46033" spans="20:21" ht="15" customHeight="1" x14ac:dyDescent="0.25">
      <c r="T46033" s="135"/>
      <c r="U46033" s="135"/>
    </row>
    <row r="46034" spans="20:21" ht="15" customHeight="1" x14ac:dyDescent="0.25">
      <c r="T46034" s="135"/>
      <c r="U46034" s="135"/>
    </row>
    <row r="46035" spans="20:21" ht="15" customHeight="1" x14ac:dyDescent="0.25">
      <c r="T46035" s="135"/>
      <c r="U46035" s="135"/>
    </row>
    <row r="46036" spans="20:21" ht="15" customHeight="1" x14ac:dyDescent="0.25">
      <c r="T46036" s="135"/>
      <c r="U46036" s="135"/>
    </row>
    <row r="46037" spans="20:21" ht="15" customHeight="1" x14ac:dyDescent="0.25">
      <c r="T46037" s="135"/>
      <c r="U46037" s="135"/>
    </row>
    <row r="46038" spans="20:21" ht="15" customHeight="1" x14ac:dyDescent="0.25">
      <c r="T46038" s="135"/>
      <c r="U46038" s="135"/>
    </row>
    <row r="46039" spans="20:21" ht="15" customHeight="1" x14ac:dyDescent="0.25">
      <c r="T46039" s="135"/>
      <c r="U46039" s="135"/>
    </row>
    <row r="46040" spans="20:21" ht="15" customHeight="1" x14ac:dyDescent="0.25">
      <c r="T46040" s="135"/>
      <c r="U46040" s="135"/>
    </row>
    <row r="46041" spans="20:21" ht="15" customHeight="1" x14ac:dyDescent="0.25">
      <c r="T46041" s="135"/>
      <c r="U46041" s="135"/>
    </row>
    <row r="46042" spans="20:21" ht="15" customHeight="1" x14ac:dyDescent="0.25">
      <c r="T46042" s="135"/>
      <c r="U46042" s="135"/>
    </row>
    <row r="46043" spans="20:21" ht="15" customHeight="1" x14ac:dyDescent="0.25">
      <c r="T46043" s="135"/>
      <c r="U46043" s="135"/>
    </row>
    <row r="46044" spans="20:21" ht="15" customHeight="1" x14ac:dyDescent="0.25">
      <c r="T46044" s="135"/>
      <c r="U46044" s="135"/>
    </row>
    <row r="46045" spans="20:21" ht="15" customHeight="1" x14ac:dyDescent="0.25">
      <c r="T46045" s="135"/>
      <c r="U46045" s="135"/>
    </row>
    <row r="46046" spans="20:21" ht="15" customHeight="1" x14ac:dyDescent="0.25">
      <c r="T46046" s="135"/>
      <c r="U46046" s="135"/>
    </row>
    <row r="46047" spans="20:21" ht="15" customHeight="1" x14ac:dyDescent="0.25">
      <c r="T46047" s="135"/>
      <c r="U46047" s="135"/>
    </row>
    <row r="46048" spans="20:21" ht="15" customHeight="1" x14ac:dyDescent="0.25">
      <c r="T46048" s="135"/>
      <c r="U46048" s="135"/>
    </row>
    <row r="46049" spans="20:21" ht="15" customHeight="1" x14ac:dyDescent="0.25">
      <c r="T46049" s="135"/>
      <c r="U46049" s="135"/>
    </row>
    <row r="46050" spans="20:21" ht="15" customHeight="1" x14ac:dyDescent="0.25">
      <c r="T46050" s="135"/>
      <c r="U46050" s="135"/>
    </row>
    <row r="46051" spans="20:21" ht="15" customHeight="1" x14ac:dyDescent="0.25">
      <c r="T46051" s="135"/>
      <c r="U46051" s="135"/>
    </row>
    <row r="46052" spans="20:21" ht="15" customHeight="1" x14ac:dyDescent="0.25">
      <c r="T46052" s="135"/>
      <c r="U46052" s="135"/>
    </row>
    <row r="46053" spans="20:21" ht="15" customHeight="1" x14ac:dyDescent="0.25">
      <c r="T46053" s="135"/>
      <c r="U46053" s="135"/>
    </row>
    <row r="46054" spans="20:21" ht="15" customHeight="1" x14ac:dyDescent="0.25">
      <c r="T46054" s="135"/>
      <c r="U46054" s="135"/>
    </row>
    <row r="46055" spans="20:21" ht="15" customHeight="1" x14ac:dyDescent="0.25">
      <c r="T46055" s="135"/>
      <c r="U46055" s="135"/>
    </row>
    <row r="46056" spans="20:21" ht="15" customHeight="1" x14ac:dyDescent="0.25">
      <c r="T46056" s="135"/>
      <c r="U46056" s="135"/>
    </row>
    <row r="46057" spans="20:21" ht="15" customHeight="1" x14ac:dyDescent="0.25">
      <c r="T46057" s="135"/>
      <c r="U46057" s="135"/>
    </row>
    <row r="46058" spans="20:21" ht="15" customHeight="1" x14ac:dyDescent="0.25">
      <c r="T46058" s="135"/>
      <c r="U46058" s="135"/>
    </row>
    <row r="46059" spans="20:21" ht="15" customHeight="1" x14ac:dyDescent="0.25">
      <c r="T46059" s="135"/>
      <c r="U46059" s="135"/>
    </row>
    <row r="46060" spans="20:21" ht="15" customHeight="1" x14ac:dyDescent="0.25">
      <c r="T46060" s="135"/>
      <c r="U46060" s="135"/>
    </row>
    <row r="46061" spans="20:21" ht="15" customHeight="1" x14ac:dyDescent="0.25">
      <c r="T46061" s="135"/>
      <c r="U46061" s="135"/>
    </row>
    <row r="46062" spans="20:21" ht="15" customHeight="1" x14ac:dyDescent="0.25">
      <c r="T46062" s="135"/>
      <c r="U46062" s="135"/>
    </row>
    <row r="46063" spans="20:21" ht="15" customHeight="1" x14ac:dyDescent="0.25">
      <c r="T46063" s="135"/>
      <c r="U46063" s="135"/>
    </row>
    <row r="46064" spans="20:21" ht="15" customHeight="1" x14ac:dyDescent="0.25">
      <c r="T46064" s="135"/>
      <c r="U46064" s="135"/>
    </row>
    <row r="46065" spans="20:21" ht="15" customHeight="1" x14ac:dyDescent="0.25">
      <c r="T46065" s="135"/>
      <c r="U46065" s="135"/>
    </row>
    <row r="46066" spans="20:21" ht="15" customHeight="1" x14ac:dyDescent="0.25">
      <c r="T46066" s="135"/>
      <c r="U46066" s="135"/>
    </row>
    <row r="46067" spans="20:21" ht="15" customHeight="1" x14ac:dyDescent="0.25">
      <c r="T46067" s="135"/>
      <c r="U46067" s="135"/>
    </row>
    <row r="46068" spans="20:21" ht="15" customHeight="1" x14ac:dyDescent="0.25">
      <c r="T46068" s="135"/>
      <c r="U46068" s="135"/>
    </row>
    <row r="46069" spans="20:21" ht="15" customHeight="1" x14ac:dyDescent="0.25">
      <c r="T46069" s="135"/>
      <c r="U46069" s="135"/>
    </row>
    <row r="46070" spans="20:21" ht="15" customHeight="1" x14ac:dyDescent="0.25">
      <c r="T46070" s="135"/>
      <c r="U46070" s="135"/>
    </row>
    <row r="46071" spans="20:21" ht="15" customHeight="1" x14ac:dyDescent="0.25">
      <c r="T46071" s="135"/>
      <c r="U46071" s="135"/>
    </row>
    <row r="46072" spans="20:21" ht="15" customHeight="1" x14ac:dyDescent="0.25">
      <c r="T46072" s="135"/>
      <c r="U46072" s="135"/>
    </row>
    <row r="46073" spans="20:21" ht="15" customHeight="1" x14ac:dyDescent="0.25">
      <c r="T46073" s="135"/>
      <c r="U46073" s="135"/>
    </row>
    <row r="46074" spans="20:21" ht="15" customHeight="1" x14ac:dyDescent="0.25">
      <c r="T46074" s="135"/>
      <c r="U46074" s="135"/>
    </row>
    <row r="46075" spans="20:21" ht="15" customHeight="1" x14ac:dyDescent="0.25">
      <c r="T46075" s="135"/>
      <c r="U46075" s="135"/>
    </row>
    <row r="46076" spans="20:21" ht="15" customHeight="1" x14ac:dyDescent="0.25">
      <c r="T46076" s="135"/>
      <c r="U46076" s="135"/>
    </row>
    <row r="46077" spans="20:21" ht="15" customHeight="1" x14ac:dyDescent="0.25">
      <c r="T46077" s="135"/>
      <c r="U46077" s="135"/>
    </row>
    <row r="46078" spans="20:21" ht="15" customHeight="1" x14ac:dyDescent="0.25">
      <c r="T46078" s="135"/>
      <c r="U46078" s="135"/>
    </row>
    <row r="46079" spans="20:21" ht="15" customHeight="1" x14ac:dyDescent="0.25">
      <c r="T46079" s="135"/>
      <c r="U46079" s="135"/>
    </row>
    <row r="46080" spans="20:21" ht="15" customHeight="1" x14ac:dyDescent="0.25">
      <c r="T46080" s="135"/>
      <c r="U46080" s="135"/>
    </row>
    <row r="46081" spans="20:21" ht="15" customHeight="1" x14ac:dyDescent="0.25">
      <c r="T46081" s="135"/>
      <c r="U46081" s="135"/>
    </row>
    <row r="46082" spans="20:21" ht="15" customHeight="1" x14ac:dyDescent="0.25">
      <c r="T46082" s="135"/>
      <c r="U46082" s="135"/>
    </row>
    <row r="46083" spans="20:21" ht="15" customHeight="1" x14ac:dyDescent="0.25">
      <c r="T46083" s="135"/>
      <c r="U46083" s="135"/>
    </row>
    <row r="46084" spans="20:21" ht="15" customHeight="1" x14ac:dyDescent="0.25">
      <c r="T46084" s="135"/>
      <c r="U46084" s="135"/>
    </row>
    <row r="46085" spans="20:21" ht="15" customHeight="1" x14ac:dyDescent="0.25">
      <c r="T46085" s="135"/>
      <c r="U46085" s="135"/>
    </row>
    <row r="46086" spans="20:21" ht="15" customHeight="1" x14ac:dyDescent="0.25">
      <c r="T46086" s="135"/>
      <c r="U46086" s="135"/>
    </row>
    <row r="46087" spans="20:21" ht="15" customHeight="1" x14ac:dyDescent="0.25">
      <c r="T46087" s="135"/>
      <c r="U46087" s="135"/>
    </row>
    <row r="46088" spans="20:21" ht="15" customHeight="1" x14ac:dyDescent="0.25">
      <c r="T46088" s="135"/>
      <c r="U46088" s="135"/>
    </row>
    <row r="46089" spans="20:21" ht="15" customHeight="1" x14ac:dyDescent="0.25">
      <c r="T46089" s="135"/>
      <c r="U46089" s="135"/>
    </row>
    <row r="46090" spans="20:21" ht="15" customHeight="1" x14ac:dyDescent="0.25">
      <c r="T46090" s="135"/>
      <c r="U46090" s="135"/>
    </row>
    <row r="46091" spans="20:21" ht="15" customHeight="1" x14ac:dyDescent="0.25">
      <c r="T46091" s="135"/>
      <c r="U46091" s="135"/>
    </row>
    <row r="46092" spans="20:21" ht="15" customHeight="1" x14ac:dyDescent="0.25">
      <c r="T46092" s="135"/>
      <c r="U46092" s="135"/>
    </row>
    <row r="46093" spans="20:21" ht="15" customHeight="1" x14ac:dyDescent="0.25">
      <c r="T46093" s="135"/>
      <c r="U46093" s="135"/>
    </row>
    <row r="46094" spans="20:21" ht="15" customHeight="1" x14ac:dyDescent="0.25">
      <c r="T46094" s="135"/>
      <c r="U46094" s="135"/>
    </row>
    <row r="46095" spans="20:21" ht="15" customHeight="1" x14ac:dyDescent="0.25">
      <c r="T46095" s="135"/>
      <c r="U46095" s="135"/>
    </row>
    <row r="46096" spans="20:21" ht="15" customHeight="1" x14ac:dyDescent="0.25">
      <c r="T46096" s="135"/>
      <c r="U46096" s="135"/>
    </row>
    <row r="46097" spans="20:21" ht="15" customHeight="1" x14ac:dyDescent="0.25">
      <c r="T46097" s="135"/>
      <c r="U46097" s="135"/>
    </row>
    <row r="46098" spans="20:21" ht="15" customHeight="1" x14ac:dyDescent="0.25">
      <c r="T46098" s="135"/>
      <c r="U46098" s="135"/>
    </row>
    <row r="46099" spans="20:21" ht="15" customHeight="1" x14ac:dyDescent="0.25">
      <c r="T46099" s="135"/>
      <c r="U46099" s="135"/>
    </row>
    <row r="46100" spans="20:21" ht="15" customHeight="1" x14ac:dyDescent="0.25">
      <c r="T46100" s="135"/>
      <c r="U46100" s="135"/>
    </row>
    <row r="46101" spans="20:21" ht="15" customHeight="1" x14ac:dyDescent="0.25">
      <c r="T46101" s="135"/>
      <c r="U46101" s="135"/>
    </row>
    <row r="46102" spans="20:21" ht="15" customHeight="1" x14ac:dyDescent="0.25">
      <c r="T46102" s="135"/>
      <c r="U46102" s="135"/>
    </row>
    <row r="46103" spans="20:21" ht="15" customHeight="1" x14ac:dyDescent="0.25">
      <c r="T46103" s="135"/>
      <c r="U46103" s="135"/>
    </row>
    <row r="46104" spans="20:21" ht="15" customHeight="1" x14ac:dyDescent="0.25">
      <c r="T46104" s="135"/>
      <c r="U46104" s="135"/>
    </row>
    <row r="46105" spans="20:21" ht="15" customHeight="1" x14ac:dyDescent="0.25">
      <c r="T46105" s="135"/>
      <c r="U46105" s="135"/>
    </row>
    <row r="46106" spans="20:21" ht="15" customHeight="1" x14ac:dyDescent="0.25">
      <c r="T46106" s="135"/>
      <c r="U46106" s="135"/>
    </row>
    <row r="46107" spans="20:21" ht="15" customHeight="1" x14ac:dyDescent="0.25">
      <c r="T46107" s="135"/>
      <c r="U46107" s="135"/>
    </row>
    <row r="46108" spans="20:21" ht="15" customHeight="1" x14ac:dyDescent="0.25">
      <c r="T46108" s="135"/>
      <c r="U46108" s="135"/>
    </row>
    <row r="46109" spans="20:21" ht="15" customHeight="1" x14ac:dyDescent="0.25">
      <c r="T46109" s="135"/>
      <c r="U46109" s="135"/>
    </row>
    <row r="46110" spans="20:21" ht="15" customHeight="1" x14ac:dyDescent="0.25">
      <c r="T46110" s="135"/>
      <c r="U46110" s="135"/>
    </row>
    <row r="46111" spans="20:21" ht="15" customHeight="1" x14ac:dyDescent="0.25">
      <c r="T46111" s="135"/>
      <c r="U46111" s="135"/>
    </row>
    <row r="46112" spans="20:21" ht="15" customHeight="1" x14ac:dyDescent="0.25">
      <c r="T46112" s="135"/>
      <c r="U46112" s="135"/>
    </row>
    <row r="46113" spans="20:21" ht="15" customHeight="1" x14ac:dyDescent="0.25">
      <c r="T46113" s="135"/>
      <c r="U46113" s="135"/>
    </row>
    <row r="46114" spans="20:21" ht="15" customHeight="1" x14ac:dyDescent="0.25">
      <c r="T46114" s="135"/>
      <c r="U46114" s="135"/>
    </row>
    <row r="46115" spans="20:21" ht="15" customHeight="1" x14ac:dyDescent="0.25">
      <c r="T46115" s="135"/>
      <c r="U46115" s="135"/>
    </row>
    <row r="46116" spans="20:21" ht="15" customHeight="1" x14ac:dyDescent="0.25">
      <c r="T46116" s="135"/>
      <c r="U46116" s="135"/>
    </row>
    <row r="46117" spans="20:21" ht="15" customHeight="1" x14ac:dyDescent="0.25">
      <c r="T46117" s="135"/>
      <c r="U46117" s="135"/>
    </row>
    <row r="46118" spans="20:21" ht="15" customHeight="1" x14ac:dyDescent="0.25">
      <c r="T46118" s="135"/>
      <c r="U46118" s="135"/>
    </row>
    <row r="46119" spans="20:21" ht="15" customHeight="1" x14ac:dyDescent="0.25">
      <c r="T46119" s="135"/>
      <c r="U46119" s="135"/>
    </row>
    <row r="46120" spans="20:21" ht="15" customHeight="1" x14ac:dyDescent="0.25">
      <c r="T46120" s="135"/>
      <c r="U46120" s="135"/>
    </row>
    <row r="46121" spans="20:21" ht="15" customHeight="1" x14ac:dyDescent="0.25">
      <c r="T46121" s="135"/>
      <c r="U46121" s="135"/>
    </row>
    <row r="46122" spans="20:21" ht="15" customHeight="1" x14ac:dyDescent="0.25">
      <c r="T46122" s="135"/>
      <c r="U46122" s="135"/>
    </row>
    <row r="46123" spans="20:21" ht="15" customHeight="1" x14ac:dyDescent="0.25">
      <c r="T46123" s="135"/>
      <c r="U46123" s="135"/>
    </row>
    <row r="46124" spans="20:21" ht="15" customHeight="1" x14ac:dyDescent="0.25">
      <c r="T46124" s="135"/>
      <c r="U46124" s="135"/>
    </row>
    <row r="46125" spans="20:21" ht="15" customHeight="1" x14ac:dyDescent="0.25">
      <c r="T46125" s="135"/>
      <c r="U46125" s="135"/>
    </row>
    <row r="46126" spans="20:21" ht="15" customHeight="1" x14ac:dyDescent="0.25">
      <c r="T46126" s="135"/>
      <c r="U46126" s="135"/>
    </row>
    <row r="46127" spans="20:21" ht="15" customHeight="1" x14ac:dyDescent="0.25">
      <c r="T46127" s="135"/>
      <c r="U46127" s="135"/>
    </row>
    <row r="46128" spans="20:21" ht="15" customHeight="1" x14ac:dyDescent="0.25">
      <c r="T46128" s="135"/>
      <c r="U46128" s="135"/>
    </row>
    <row r="46129" spans="20:21" ht="15" customHeight="1" x14ac:dyDescent="0.25">
      <c r="T46129" s="135"/>
      <c r="U46129" s="135"/>
    </row>
    <row r="46130" spans="20:21" ht="15" customHeight="1" x14ac:dyDescent="0.25">
      <c r="T46130" s="135"/>
      <c r="U46130" s="135"/>
    </row>
    <row r="46131" spans="20:21" ht="15" customHeight="1" x14ac:dyDescent="0.25">
      <c r="T46131" s="135"/>
      <c r="U46131" s="135"/>
    </row>
    <row r="46132" spans="20:21" ht="15" customHeight="1" x14ac:dyDescent="0.25">
      <c r="T46132" s="135"/>
      <c r="U46132" s="135"/>
    </row>
    <row r="46133" spans="20:21" ht="15" customHeight="1" x14ac:dyDescent="0.25">
      <c r="T46133" s="135"/>
      <c r="U46133" s="135"/>
    </row>
    <row r="46134" spans="20:21" ht="15" customHeight="1" x14ac:dyDescent="0.25">
      <c r="T46134" s="135"/>
      <c r="U46134" s="135"/>
    </row>
    <row r="46135" spans="20:21" ht="15" customHeight="1" x14ac:dyDescent="0.25">
      <c r="T46135" s="135"/>
      <c r="U46135" s="135"/>
    </row>
    <row r="46136" spans="20:21" ht="15" customHeight="1" x14ac:dyDescent="0.25">
      <c r="T46136" s="135"/>
      <c r="U46136" s="135"/>
    </row>
    <row r="46137" spans="20:21" ht="15" customHeight="1" x14ac:dyDescent="0.25">
      <c r="T46137" s="135"/>
      <c r="U46137" s="135"/>
    </row>
    <row r="46138" spans="20:21" ht="15" customHeight="1" x14ac:dyDescent="0.25">
      <c r="T46138" s="135"/>
      <c r="U46138" s="135"/>
    </row>
    <row r="46139" spans="20:21" ht="15" customHeight="1" x14ac:dyDescent="0.25">
      <c r="T46139" s="135"/>
      <c r="U46139" s="135"/>
    </row>
    <row r="46140" spans="20:21" ht="15" customHeight="1" x14ac:dyDescent="0.25">
      <c r="T46140" s="135"/>
      <c r="U46140" s="135"/>
    </row>
    <row r="46141" spans="20:21" ht="15" customHeight="1" x14ac:dyDescent="0.25">
      <c r="T46141" s="135"/>
      <c r="U46141" s="135"/>
    </row>
    <row r="46142" spans="20:21" ht="15" customHeight="1" x14ac:dyDescent="0.25">
      <c r="T46142" s="135"/>
      <c r="U46142" s="135"/>
    </row>
    <row r="46143" spans="20:21" ht="15" customHeight="1" x14ac:dyDescent="0.25">
      <c r="T46143" s="135"/>
      <c r="U46143" s="135"/>
    </row>
    <row r="46144" spans="20:21" ht="15" customHeight="1" x14ac:dyDescent="0.25">
      <c r="T46144" s="135"/>
      <c r="U46144" s="135"/>
    </row>
    <row r="46145" spans="20:21" ht="15" customHeight="1" x14ac:dyDescent="0.25">
      <c r="T46145" s="135"/>
      <c r="U46145" s="135"/>
    </row>
    <row r="46146" spans="20:21" ht="15" customHeight="1" x14ac:dyDescent="0.25">
      <c r="T46146" s="135"/>
      <c r="U46146" s="135"/>
    </row>
    <row r="46147" spans="20:21" ht="15" customHeight="1" x14ac:dyDescent="0.25">
      <c r="T46147" s="135"/>
      <c r="U46147" s="135"/>
    </row>
    <row r="46148" spans="20:21" ht="15" customHeight="1" x14ac:dyDescent="0.25">
      <c r="T46148" s="135"/>
      <c r="U46148" s="135"/>
    </row>
    <row r="46149" spans="20:21" ht="15" customHeight="1" x14ac:dyDescent="0.25">
      <c r="T46149" s="135"/>
      <c r="U46149" s="135"/>
    </row>
    <row r="46150" spans="20:21" ht="15" customHeight="1" x14ac:dyDescent="0.25">
      <c r="T46150" s="135"/>
      <c r="U46150" s="135"/>
    </row>
    <row r="46151" spans="20:21" ht="15" customHeight="1" x14ac:dyDescent="0.25">
      <c r="T46151" s="135"/>
      <c r="U46151" s="135"/>
    </row>
    <row r="46152" spans="20:21" ht="15" customHeight="1" x14ac:dyDescent="0.25">
      <c r="T46152" s="135"/>
      <c r="U46152" s="135"/>
    </row>
    <row r="46153" spans="20:21" ht="15" customHeight="1" x14ac:dyDescent="0.25">
      <c r="T46153" s="135"/>
      <c r="U46153" s="135"/>
    </row>
    <row r="46154" spans="20:21" ht="15" customHeight="1" x14ac:dyDescent="0.25">
      <c r="T46154" s="135"/>
      <c r="U46154" s="135"/>
    </row>
    <row r="46155" spans="20:21" ht="15" customHeight="1" x14ac:dyDescent="0.25">
      <c r="T46155" s="135"/>
      <c r="U46155" s="135"/>
    </row>
    <row r="46156" spans="20:21" ht="15" customHeight="1" x14ac:dyDescent="0.25">
      <c r="T46156" s="135"/>
      <c r="U46156" s="135"/>
    </row>
    <row r="46157" spans="20:21" ht="15" customHeight="1" x14ac:dyDescent="0.25">
      <c r="T46157" s="135"/>
      <c r="U46157" s="135"/>
    </row>
    <row r="46158" spans="20:21" ht="15" customHeight="1" x14ac:dyDescent="0.25">
      <c r="T46158" s="135"/>
      <c r="U46158" s="135"/>
    </row>
    <row r="46159" spans="20:21" ht="15" customHeight="1" x14ac:dyDescent="0.25">
      <c r="T46159" s="135"/>
      <c r="U46159" s="135"/>
    </row>
    <row r="46160" spans="20:21" ht="15" customHeight="1" x14ac:dyDescent="0.25">
      <c r="T46160" s="135"/>
      <c r="U46160" s="135"/>
    </row>
    <row r="46161" spans="20:21" ht="15" customHeight="1" x14ac:dyDescent="0.25">
      <c r="T46161" s="135"/>
      <c r="U46161" s="135"/>
    </row>
    <row r="46162" spans="20:21" ht="15" customHeight="1" x14ac:dyDescent="0.25">
      <c r="T46162" s="135"/>
      <c r="U46162" s="135"/>
    </row>
    <row r="46163" spans="20:21" ht="15" customHeight="1" x14ac:dyDescent="0.25">
      <c r="T46163" s="135"/>
      <c r="U46163" s="135"/>
    </row>
    <row r="46164" spans="20:21" ht="15" customHeight="1" x14ac:dyDescent="0.25">
      <c r="T46164" s="135"/>
      <c r="U46164" s="135"/>
    </row>
    <row r="46165" spans="20:21" ht="15" customHeight="1" x14ac:dyDescent="0.25">
      <c r="T46165" s="135"/>
      <c r="U46165" s="135"/>
    </row>
    <row r="46166" spans="20:21" ht="15" customHeight="1" x14ac:dyDescent="0.25">
      <c r="T46166" s="135"/>
      <c r="U46166" s="135"/>
    </row>
    <row r="46167" spans="20:21" ht="15" customHeight="1" x14ac:dyDescent="0.25">
      <c r="T46167" s="135"/>
      <c r="U46167" s="135"/>
    </row>
    <row r="46168" spans="20:21" ht="15" customHeight="1" x14ac:dyDescent="0.25">
      <c r="T46168" s="135"/>
      <c r="U46168" s="135"/>
    </row>
    <row r="46169" spans="20:21" ht="15" customHeight="1" x14ac:dyDescent="0.25">
      <c r="T46169" s="135"/>
      <c r="U46169" s="135"/>
    </row>
    <row r="46170" spans="20:21" ht="15" customHeight="1" x14ac:dyDescent="0.25">
      <c r="T46170" s="135"/>
      <c r="U46170" s="135"/>
    </row>
    <row r="46171" spans="20:21" ht="15" customHeight="1" x14ac:dyDescent="0.25">
      <c r="T46171" s="135"/>
      <c r="U46171" s="135"/>
    </row>
    <row r="46172" spans="20:21" ht="15" customHeight="1" x14ac:dyDescent="0.25">
      <c r="T46172" s="135"/>
      <c r="U46172" s="135"/>
    </row>
    <row r="46173" spans="20:21" ht="15" customHeight="1" x14ac:dyDescent="0.25">
      <c r="T46173" s="135"/>
      <c r="U46173" s="135"/>
    </row>
    <row r="46174" spans="20:21" ht="15" customHeight="1" x14ac:dyDescent="0.25">
      <c r="T46174" s="135"/>
      <c r="U46174" s="135"/>
    </row>
    <row r="46175" spans="20:21" ht="15" customHeight="1" x14ac:dyDescent="0.25">
      <c r="T46175" s="135"/>
      <c r="U46175" s="135"/>
    </row>
    <row r="46176" spans="20:21" ht="15" customHeight="1" x14ac:dyDescent="0.25">
      <c r="T46176" s="135"/>
      <c r="U46176" s="135"/>
    </row>
    <row r="46177" spans="20:21" ht="15" customHeight="1" x14ac:dyDescent="0.25">
      <c r="T46177" s="135"/>
      <c r="U46177" s="135"/>
    </row>
    <row r="46178" spans="20:21" ht="15" customHeight="1" x14ac:dyDescent="0.25">
      <c r="T46178" s="135"/>
      <c r="U46178" s="135"/>
    </row>
    <row r="46179" spans="20:21" ht="15" customHeight="1" x14ac:dyDescent="0.25">
      <c r="T46179" s="135"/>
      <c r="U46179" s="135"/>
    </row>
    <row r="46180" spans="20:21" ht="15" customHeight="1" x14ac:dyDescent="0.25">
      <c r="T46180" s="135"/>
      <c r="U46180" s="135"/>
    </row>
    <row r="46181" spans="20:21" ht="15" customHeight="1" x14ac:dyDescent="0.25">
      <c r="T46181" s="135"/>
      <c r="U46181" s="135"/>
    </row>
    <row r="46182" spans="20:21" ht="15" customHeight="1" x14ac:dyDescent="0.25">
      <c r="T46182" s="135"/>
      <c r="U46182" s="135"/>
    </row>
    <row r="46183" spans="20:21" ht="15" customHeight="1" x14ac:dyDescent="0.25">
      <c r="T46183" s="135"/>
      <c r="U46183" s="135"/>
    </row>
    <row r="46184" spans="20:21" ht="15" customHeight="1" x14ac:dyDescent="0.25">
      <c r="T46184" s="135"/>
      <c r="U46184" s="135"/>
    </row>
    <row r="46185" spans="20:21" ht="15" customHeight="1" x14ac:dyDescent="0.25">
      <c r="T46185" s="135"/>
      <c r="U46185" s="135"/>
    </row>
    <row r="46186" spans="20:21" ht="15" customHeight="1" x14ac:dyDescent="0.25">
      <c r="T46186" s="135"/>
      <c r="U46186" s="135"/>
    </row>
    <row r="46187" spans="20:21" ht="15" customHeight="1" x14ac:dyDescent="0.25">
      <c r="T46187" s="135"/>
      <c r="U46187" s="135"/>
    </row>
    <row r="46188" spans="20:21" ht="15" customHeight="1" x14ac:dyDescent="0.25">
      <c r="T46188" s="135"/>
      <c r="U46188" s="135"/>
    </row>
    <row r="46189" spans="20:21" ht="15" customHeight="1" x14ac:dyDescent="0.25">
      <c r="T46189" s="135"/>
      <c r="U46189" s="135"/>
    </row>
    <row r="46190" spans="20:21" ht="15" customHeight="1" x14ac:dyDescent="0.25">
      <c r="T46190" s="135"/>
      <c r="U46190" s="135"/>
    </row>
    <row r="46191" spans="20:21" ht="15" customHeight="1" x14ac:dyDescent="0.25">
      <c r="T46191" s="135"/>
      <c r="U46191" s="135"/>
    </row>
    <row r="46192" spans="20:21" ht="15" customHeight="1" x14ac:dyDescent="0.25">
      <c r="T46192" s="135"/>
      <c r="U46192" s="135"/>
    </row>
    <row r="46193" spans="20:21" ht="15" customHeight="1" x14ac:dyDescent="0.25">
      <c r="T46193" s="135"/>
      <c r="U46193" s="135"/>
    </row>
    <row r="46194" spans="20:21" ht="15" customHeight="1" x14ac:dyDescent="0.25">
      <c r="T46194" s="135"/>
      <c r="U46194" s="135"/>
    </row>
    <row r="46195" spans="20:21" ht="15" customHeight="1" x14ac:dyDescent="0.25">
      <c r="T46195" s="135"/>
      <c r="U46195" s="135"/>
    </row>
    <row r="46196" spans="20:21" ht="15" customHeight="1" x14ac:dyDescent="0.25">
      <c r="T46196" s="135"/>
      <c r="U46196" s="135"/>
    </row>
    <row r="46197" spans="20:21" ht="15" customHeight="1" x14ac:dyDescent="0.25">
      <c r="T46197" s="135"/>
      <c r="U46197" s="135"/>
    </row>
    <row r="46198" spans="20:21" ht="15" customHeight="1" x14ac:dyDescent="0.25">
      <c r="T46198" s="135"/>
      <c r="U46198" s="135"/>
    </row>
    <row r="46199" spans="20:21" ht="15" customHeight="1" x14ac:dyDescent="0.25">
      <c r="T46199" s="135"/>
      <c r="U46199" s="135"/>
    </row>
    <row r="46200" spans="20:21" ht="15" customHeight="1" x14ac:dyDescent="0.25">
      <c r="T46200" s="135"/>
      <c r="U46200" s="135"/>
    </row>
    <row r="46201" spans="20:21" ht="15" customHeight="1" x14ac:dyDescent="0.25">
      <c r="T46201" s="135"/>
      <c r="U46201" s="135"/>
    </row>
    <row r="46202" spans="20:21" ht="15" customHeight="1" x14ac:dyDescent="0.25">
      <c r="T46202" s="135"/>
      <c r="U46202" s="135"/>
    </row>
    <row r="46203" spans="20:21" ht="15" customHeight="1" x14ac:dyDescent="0.25">
      <c r="T46203" s="135"/>
      <c r="U46203" s="135"/>
    </row>
    <row r="46204" spans="20:21" ht="15" customHeight="1" x14ac:dyDescent="0.25">
      <c r="T46204" s="135"/>
      <c r="U46204" s="135"/>
    </row>
    <row r="46205" spans="20:21" ht="15" customHeight="1" x14ac:dyDescent="0.25">
      <c r="T46205" s="135"/>
      <c r="U46205" s="135"/>
    </row>
    <row r="46206" spans="20:21" ht="15" customHeight="1" x14ac:dyDescent="0.25">
      <c r="T46206" s="135"/>
      <c r="U46206" s="135"/>
    </row>
    <row r="46207" spans="20:21" ht="15" customHeight="1" x14ac:dyDescent="0.25">
      <c r="T46207" s="135"/>
      <c r="U46207" s="135"/>
    </row>
    <row r="46208" spans="20:21" ht="15" customHeight="1" x14ac:dyDescent="0.25">
      <c r="T46208" s="135"/>
      <c r="U46208" s="135"/>
    </row>
    <row r="46209" spans="20:21" ht="15" customHeight="1" x14ac:dyDescent="0.25">
      <c r="T46209" s="135"/>
      <c r="U46209" s="135"/>
    </row>
    <row r="46210" spans="20:21" ht="15" customHeight="1" x14ac:dyDescent="0.25">
      <c r="T46210" s="135"/>
      <c r="U46210" s="135"/>
    </row>
    <row r="46211" spans="20:21" ht="15" customHeight="1" x14ac:dyDescent="0.25">
      <c r="T46211" s="135"/>
      <c r="U46211" s="135"/>
    </row>
    <row r="46212" spans="20:21" ht="15" customHeight="1" x14ac:dyDescent="0.25">
      <c r="T46212" s="135"/>
      <c r="U46212" s="135"/>
    </row>
    <row r="46213" spans="20:21" ht="15" customHeight="1" x14ac:dyDescent="0.25">
      <c r="T46213" s="135"/>
      <c r="U46213" s="135"/>
    </row>
    <row r="46214" spans="20:21" ht="15" customHeight="1" x14ac:dyDescent="0.25">
      <c r="T46214" s="135"/>
      <c r="U46214" s="135"/>
    </row>
    <row r="46215" spans="20:21" ht="15" customHeight="1" x14ac:dyDescent="0.25">
      <c r="T46215" s="135"/>
      <c r="U46215" s="135"/>
    </row>
    <row r="46216" spans="20:21" ht="15" customHeight="1" x14ac:dyDescent="0.25">
      <c r="T46216" s="135"/>
      <c r="U46216" s="135"/>
    </row>
    <row r="46217" spans="20:21" ht="15" customHeight="1" x14ac:dyDescent="0.25">
      <c r="T46217" s="135"/>
      <c r="U46217" s="135"/>
    </row>
    <row r="46218" spans="20:21" ht="15" customHeight="1" x14ac:dyDescent="0.25">
      <c r="T46218" s="135"/>
      <c r="U46218" s="135"/>
    </row>
    <row r="46219" spans="20:21" ht="15" customHeight="1" x14ac:dyDescent="0.25">
      <c r="T46219" s="135"/>
      <c r="U46219" s="135"/>
    </row>
    <row r="46220" spans="20:21" ht="15" customHeight="1" x14ac:dyDescent="0.25">
      <c r="T46220" s="135"/>
      <c r="U46220" s="135"/>
    </row>
    <row r="46221" spans="20:21" ht="15" customHeight="1" x14ac:dyDescent="0.25">
      <c r="T46221" s="135"/>
      <c r="U46221" s="135"/>
    </row>
    <row r="46222" spans="20:21" ht="15" customHeight="1" x14ac:dyDescent="0.25">
      <c r="T46222" s="135"/>
      <c r="U46222" s="135"/>
    </row>
    <row r="46223" spans="20:21" ht="15" customHeight="1" x14ac:dyDescent="0.25">
      <c r="T46223" s="135"/>
      <c r="U46223" s="135"/>
    </row>
    <row r="46224" spans="20:21" ht="15" customHeight="1" x14ac:dyDescent="0.25">
      <c r="T46224" s="135"/>
      <c r="U46224" s="135"/>
    </row>
    <row r="46225" spans="20:21" ht="15" customHeight="1" x14ac:dyDescent="0.25">
      <c r="T46225" s="135"/>
      <c r="U46225" s="135"/>
    </row>
    <row r="46226" spans="20:21" ht="15" customHeight="1" x14ac:dyDescent="0.25">
      <c r="T46226" s="135"/>
      <c r="U46226" s="135"/>
    </row>
    <row r="46227" spans="20:21" ht="15" customHeight="1" x14ac:dyDescent="0.25">
      <c r="T46227" s="135"/>
      <c r="U46227" s="135"/>
    </row>
    <row r="46228" spans="20:21" ht="15" customHeight="1" x14ac:dyDescent="0.25">
      <c r="T46228" s="135"/>
      <c r="U46228" s="135"/>
    </row>
    <row r="46229" spans="20:21" ht="15" customHeight="1" x14ac:dyDescent="0.25">
      <c r="T46229" s="135"/>
      <c r="U46229" s="135"/>
    </row>
    <row r="46230" spans="20:21" ht="15" customHeight="1" x14ac:dyDescent="0.25">
      <c r="T46230" s="135"/>
      <c r="U46230" s="135"/>
    </row>
    <row r="46231" spans="20:21" ht="15" customHeight="1" x14ac:dyDescent="0.25">
      <c r="T46231" s="135"/>
      <c r="U46231" s="135"/>
    </row>
    <row r="46232" spans="20:21" ht="15" customHeight="1" x14ac:dyDescent="0.25">
      <c r="T46232" s="135"/>
      <c r="U46232" s="135"/>
    </row>
    <row r="46233" spans="20:21" ht="15" customHeight="1" x14ac:dyDescent="0.25">
      <c r="T46233" s="135"/>
      <c r="U46233" s="135"/>
    </row>
    <row r="46234" spans="20:21" ht="15" customHeight="1" x14ac:dyDescent="0.25">
      <c r="T46234" s="135"/>
      <c r="U46234" s="135"/>
    </row>
    <row r="46235" spans="20:21" ht="15" customHeight="1" x14ac:dyDescent="0.25">
      <c r="T46235" s="135"/>
      <c r="U46235" s="135"/>
    </row>
    <row r="46236" spans="20:21" ht="15" customHeight="1" x14ac:dyDescent="0.25">
      <c r="T46236" s="135"/>
      <c r="U46236" s="135"/>
    </row>
    <row r="46237" spans="20:21" ht="15" customHeight="1" x14ac:dyDescent="0.25">
      <c r="T46237" s="135"/>
      <c r="U46237" s="135"/>
    </row>
    <row r="46238" spans="20:21" ht="15" customHeight="1" x14ac:dyDescent="0.25">
      <c r="T46238" s="135"/>
      <c r="U46238" s="135"/>
    </row>
    <row r="46239" spans="20:21" ht="15" customHeight="1" x14ac:dyDescent="0.25">
      <c r="T46239" s="135"/>
      <c r="U46239" s="135"/>
    </row>
    <row r="46240" spans="20:21" ht="15" customHeight="1" x14ac:dyDescent="0.25">
      <c r="T46240" s="135"/>
      <c r="U46240" s="135"/>
    </row>
    <row r="46241" spans="20:21" ht="15" customHeight="1" x14ac:dyDescent="0.25">
      <c r="T46241" s="135"/>
      <c r="U46241" s="135"/>
    </row>
    <row r="46242" spans="20:21" ht="15" customHeight="1" x14ac:dyDescent="0.25">
      <c r="T46242" s="135"/>
      <c r="U46242" s="135"/>
    </row>
    <row r="46243" spans="20:21" ht="15" customHeight="1" x14ac:dyDescent="0.25">
      <c r="T46243" s="135"/>
      <c r="U46243" s="135"/>
    </row>
    <row r="46244" spans="20:21" ht="15" customHeight="1" x14ac:dyDescent="0.25">
      <c r="T46244" s="135"/>
      <c r="U46244" s="135"/>
    </row>
    <row r="46245" spans="20:21" ht="15" customHeight="1" x14ac:dyDescent="0.25">
      <c r="T46245" s="135"/>
      <c r="U46245" s="135"/>
    </row>
    <row r="46246" spans="20:21" ht="15" customHeight="1" x14ac:dyDescent="0.25">
      <c r="T46246" s="135"/>
      <c r="U46246" s="135"/>
    </row>
    <row r="46247" spans="20:21" ht="15" customHeight="1" x14ac:dyDescent="0.25">
      <c r="T46247" s="135"/>
      <c r="U46247" s="135"/>
    </row>
    <row r="46248" spans="20:21" ht="15" customHeight="1" x14ac:dyDescent="0.25">
      <c r="T46248" s="135"/>
      <c r="U46248" s="135"/>
    </row>
    <row r="46249" spans="20:21" ht="15" customHeight="1" x14ac:dyDescent="0.25">
      <c r="T46249" s="135"/>
      <c r="U46249" s="135"/>
    </row>
    <row r="46250" spans="20:21" ht="15" customHeight="1" x14ac:dyDescent="0.25">
      <c r="T46250" s="135"/>
      <c r="U46250" s="135"/>
    </row>
    <row r="46251" spans="20:21" ht="15" customHeight="1" x14ac:dyDescent="0.25">
      <c r="T46251" s="135"/>
      <c r="U46251" s="135"/>
    </row>
    <row r="46252" spans="20:21" ht="15" customHeight="1" x14ac:dyDescent="0.25">
      <c r="T46252" s="135"/>
      <c r="U46252" s="135"/>
    </row>
    <row r="46253" spans="20:21" ht="15" customHeight="1" x14ac:dyDescent="0.25">
      <c r="T46253" s="135"/>
      <c r="U46253" s="135"/>
    </row>
    <row r="46254" spans="20:21" ht="15" customHeight="1" x14ac:dyDescent="0.25">
      <c r="T46254" s="135"/>
      <c r="U46254" s="135"/>
    </row>
    <row r="46255" spans="20:21" ht="15" customHeight="1" x14ac:dyDescent="0.25">
      <c r="T46255" s="135"/>
      <c r="U46255" s="135"/>
    </row>
    <row r="46256" spans="20:21" ht="15" customHeight="1" x14ac:dyDescent="0.25">
      <c r="T46256" s="135"/>
      <c r="U46256" s="135"/>
    </row>
    <row r="46257" spans="20:21" ht="15" customHeight="1" x14ac:dyDescent="0.25">
      <c r="T46257" s="135"/>
      <c r="U46257" s="135"/>
    </row>
    <row r="46258" spans="20:21" ht="15" customHeight="1" x14ac:dyDescent="0.25">
      <c r="T46258" s="135"/>
      <c r="U46258" s="135"/>
    </row>
    <row r="46259" spans="20:21" ht="15" customHeight="1" x14ac:dyDescent="0.25">
      <c r="T46259" s="135"/>
      <c r="U46259" s="135"/>
    </row>
    <row r="46260" spans="20:21" ht="15" customHeight="1" x14ac:dyDescent="0.25">
      <c r="T46260" s="135"/>
      <c r="U46260" s="135"/>
    </row>
    <row r="46261" spans="20:21" ht="15" customHeight="1" x14ac:dyDescent="0.25">
      <c r="T46261" s="135"/>
      <c r="U46261" s="135"/>
    </row>
    <row r="46262" spans="20:21" ht="15" customHeight="1" x14ac:dyDescent="0.25">
      <c r="T46262" s="135"/>
      <c r="U46262" s="135"/>
    </row>
    <row r="46263" spans="20:21" ht="15" customHeight="1" x14ac:dyDescent="0.25">
      <c r="T46263" s="135"/>
      <c r="U46263" s="135"/>
    </row>
    <row r="46264" spans="20:21" ht="15" customHeight="1" x14ac:dyDescent="0.25">
      <c r="T46264" s="135"/>
      <c r="U46264" s="135"/>
    </row>
    <row r="46265" spans="20:21" ht="15" customHeight="1" x14ac:dyDescent="0.25">
      <c r="T46265" s="135"/>
      <c r="U46265" s="135"/>
    </row>
    <row r="46266" spans="20:21" ht="15" customHeight="1" x14ac:dyDescent="0.25">
      <c r="T46266" s="135"/>
      <c r="U46266" s="135"/>
    </row>
    <row r="46267" spans="20:21" ht="15" customHeight="1" x14ac:dyDescent="0.25">
      <c r="T46267" s="135"/>
      <c r="U46267" s="135"/>
    </row>
    <row r="46268" spans="20:21" ht="15" customHeight="1" x14ac:dyDescent="0.25">
      <c r="T46268" s="135"/>
      <c r="U46268" s="135"/>
    </row>
    <row r="46269" spans="20:21" ht="15" customHeight="1" x14ac:dyDescent="0.25">
      <c r="T46269" s="135"/>
      <c r="U46269" s="135"/>
    </row>
    <row r="46270" spans="20:21" ht="15" customHeight="1" x14ac:dyDescent="0.25">
      <c r="T46270" s="135"/>
      <c r="U46270" s="135"/>
    </row>
    <row r="46271" spans="20:21" ht="15" customHeight="1" x14ac:dyDescent="0.25">
      <c r="T46271" s="135"/>
      <c r="U46271" s="135"/>
    </row>
    <row r="46272" spans="20:21" ht="15" customHeight="1" x14ac:dyDescent="0.25">
      <c r="T46272" s="135"/>
      <c r="U46272" s="135"/>
    </row>
    <row r="46273" spans="20:21" ht="15" customHeight="1" x14ac:dyDescent="0.25">
      <c r="T46273" s="135"/>
      <c r="U46273" s="135"/>
    </row>
    <row r="46274" spans="20:21" ht="15" customHeight="1" x14ac:dyDescent="0.25">
      <c r="T46274" s="135"/>
      <c r="U46274" s="135"/>
    </row>
    <row r="46275" spans="20:21" ht="15" customHeight="1" x14ac:dyDescent="0.25">
      <c r="T46275" s="135"/>
      <c r="U46275" s="135"/>
    </row>
    <row r="46276" spans="20:21" ht="15" customHeight="1" x14ac:dyDescent="0.25">
      <c r="T46276" s="135"/>
      <c r="U46276" s="135"/>
    </row>
    <row r="46277" spans="20:21" ht="15" customHeight="1" x14ac:dyDescent="0.25">
      <c r="T46277" s="135"/>
      <c r="U46277" s="135"/>
    </row>
    <row r="46278" spans="20:21" ht="15" customHeight="1" x14ac:dyDescent="0.25">
      <c r="T46278" s="135"/>
      <c r="U46278" s="135"/>
    </row>
    <row r="46279" spans="20:21" ht="15" customHeight="1" x14ac:dyDescent="0.25">
      <c r="T46279" s="135"/>
      <c r="U46279" s="135"/>
    </row>
    <row r="46280" spans="20:21" ht="15" customHeight="1" x14ac:dyDescent="0.25">
      <c r="T46280" s="135"/>
      <c r="U46280" s="135"/>
    </row>
    <row r="46281" spans="20:21" ht="15" customHeight="1" x14ac:dyDescent="0.25">
      <c r="T46281" s="135"/>
      <c r="U46281" s="135"/>
    </row>
    <row r="46282" spans="20:21" ht="15" customHeight="1" x14ac:dyDescent="0.25">
      <c r="T46282" s="135"/>
      <c r="U46282" s="135"/>
    </row>
    <row r="46283" spans="20:21" ht="15" customHeight="1" x14ac:dyDescent="0.25">
      <c r="T46283" s="135"/>
      <c r="U46283" s="135"/>
    </row>
    <row r="46284" spans="20:21" ht="15" customHeight="1" x14ac:dyDescent="0.25">
      <c r="T46284" s="135"/>
      <c r="U46284" s="135"/>
    </row>
    <row r="46285" spans="20:21" ht="15" customHeight="1" x14ac:dyDescent="0.25">
      <c r="T46285" s="135"/>
      <c r="U46285" s="135"/>
    </row>
    <row r="46286" spans="20:21" ht="15" customHeight="1" x14ac:dyDescent="0.25">
      <c r="T46286" s="135"/>
      <c r="U46286" s="135"/>
    </row>
    <row r="46287" spans="20:21" ht="15" customHeight="1" x14ac:dyDescent="0.25">
      <c r="T46287" s="135"/>
      <c r="U46287" s="135"/>
    </row>
    <row r="46288" spans="20:21" ht="15" customHeight="1" x14ac:dyDescent="0.25">
      <c r="T46288" s="135"/>
      <c r="U46288" s="135"/>
    </row>
    <row r="46289" spans="20:21" ht="15" customHeight="1" x14ac:dyDescent="0.25">
      <c r="T46289" s="135"/>
      <c r="U46289" s="135"/>
    </row>
    <row r="46290" spans="20:21" ht="15" customHeight="1" x14ac:dyDescent="0.25">
      <c r="T46290" s="135"/>
      <c r="U46290" s="135"/>
    </row>
    <row r="46291" spans="20:21" ht="15" customHeight="1" x14ac:dyDescent="0.25">
      <c r="T46291" s="135"/>
      <c r="U46291" s="135"/>
    </row>
    <row r="46292" spans="20:21" ht="15" customHeight="1" x14ac:dyDescent="0.25">
      <c r="T46292" s="135"/>
      <c r="U46292" s="135"/>
    </row>
    <row r="46293" spans="20:21" ht="15" customHeight="1" x14ac:dyDescent="0.25">
      <c r="T46293" s="135"/>
      <c r="U46293" s="135"/>
    </row>
    <row r="46294" spans="20:21" ht="15" customHeight="1" x14ac:dyDescent="0.25">
      <c r="T46294" s="135"/>
      <c r="U46294" s="135"/>
    </row>
    <row r="46295" spans="20:21" ht="15" customHeight="1" x14ac:dyDescent="0.25">
      <c r="T46295" s="135"/>
      <c r="U46295" s="135"/>
    </row>
    <row r="46296" spans="20:21" ht="15" customHeight="1" x14ac:dyDescent="0.25">
      <c r="T46296" s="135"/>
      <c r="U46296" s="135"/>
    </row>
    <row r="46297" spans="20:21" ht="15" customHeight="1" x14ac:dyDescent="0.25">
      <c r="T46297" s="135"/>
      <c r="U46297" s="135"/>
    </row>
    <row r="46298" spans="20:21" ht="15" customHeight="1" x14ac:dyDescent="0.25">
      <c r="T46298" s="135"/>
      <c r="U46298" s="135"/>
    </row>
    <row r="46299" spans="20:21" ht="15" customHeight="1" x14ac:dyDescent="0.25">
      <c r="T46299" s="135"/>
      <c r="U46299" s="135"/>
    </row>
    <row r="46300" spans="20:21" ht="15" customHeight="1" x14ac:dyDescent="0.25">
      <c r="T46300" s="135"/>
      <c r="U46300" s="135"/>
    </row>
    <row r="46301" spans="20:21" ht="15" customHeight="1" x14ac:dyDescent="0.25">
      <c r="T46301" s="135"/>
      <c r="U46301" s="135"/>
    </row>
    <row r="46302" spans="20:21" ht="15" customHeight="1" x14ac:dyDescent="0.25">
      <c r="T46302" s="135"/>
      <c r="U46302" s="135"/>
    </row>
    <row r="46303" spans="20:21" ht="15" customHeight="1" x14ac:dyDescent="0.25">
      <c r="T46303" s="135"/>
      <c r="U46303" s="135"/>
    </row>
    <row r="46304" spans="20:21" ht="15" customHeight="1" x14ac:dyDescent="0.25">
      <c r="T46304" s="135"/>
      <c r="U46304" s="135"/>
    </row>
    <row r="46305" spans="20:21" ht="15" customHeight="1" x14ac:dyDescent="0.25">
      <c r="T46305" s="135"/>
      <c r="U46305" s="135"/>
    </row>
    <row r="46306" spans="20:21" ht="15" customHeight="1" x14ac:dyDescent="0.25">
      <c r="T46306" s="135"/>
      <c r="U46306" s="135"/>
    </row>
    <row r="46307" spans="20:21" ht="15" customHeight="1" x14ac:dyDescent="0.25">
      <c r="T46307" s="135"/>
      <c r="U46307" s="135"/>
    </row>
    <row r="46308" spans="20:21" ht="15" customHeight="1" x14ac:dyDescent="0.25">
      <c r="T46308" s="135"/>
      <c r="U46308" s="135"/>
    </row>
    <row r="46309" spans="20:21" ht="15" customHeight="1" x14ac:dyDescent="0.25">
      <c r="T46309" s="135"/>
      <c r="U46309" s="135"/>
    </row>
    <row r="46310" spans="20:21" ht="15" customHeight="1" x14ac:dyDescent="0.25">
      <c r="T46310" s="135"/>
      <c r="U46310" s="135"/>
    </row>
    <row r="46311" spans="20:21" ht="15" customHeight="1" x14ac:dyDescent="0.25">
      <c r="T46311" s="135"/>
      <c r="U46311" s="135"/>
    </row>
    <row r="46312" spans="20:21" ht="15" customHeight="1" x14ac:dyDescent="0.25">
      <c r="T46312" s="135"/>
      <c r="U46312" s="135"/>
    </row>
    <row r="46313" spans="20:21" ht="15" customHeight="1" x14ac:dyDescent="0.25">
      <c r="T46313" s="135"/>
      <c r="U46313" s="135"/>
    </row>
    <row r="46314" spans="20:21" ht="15" customHeight="1" x14ac:dyDescent="0.25">
      <c r="T46314" s="135"/>
      <c r="U46314" s="135"/>
    </row>
    <row r="46315" spans="20:21" ht="15" customHeight="1" x14ac:dyDescent="0.25">
      <c r="T46315" s="135"/>
      <c r="U46315" s="135"/>
    </row>
    <row r="46316" spans="20:21" ht="15" customHeight="1" x14ac:dyDescent="0.25">
      <c r="T46316" s="135"/>
      <c r="U46316" s="135"/>
    </row>
    <row r="46317" spans="20:21" ht="15" customHeight="1" x14ac:dyDescent="0.25">
      <c r="T46317" s="135"/>
      <c r="U46317" s="135"/>
    </row>
    <row r="46318" spans="20:21" ht="15" customHeight="1" x14ac:dyDescent="0.25">
      <c r="T46318" s="135"/>
      <c r="U46318" s="135"/>
    </row>
    <row r="46319" spans="20:21" ht="15" customHeight="1" x14ac:dyDescent="0.25">
      <c r="T46319" s="135"/>
      <c r="U46319" s="135"/>
    </row>
    <row r="46320" spans="20:21" ht="15" customHeight="1" x14ac:dyDescent="0.25">
      <c r="T46320" s="135"/>
      <c r="U46320" s="135"/>
    </row>
    <row r="46321" spans="20:21" ht="15" customHeight="1" x14ac:dyDescent="0.25">
      <c r="T46321" s="135"/>
      <c r="U46321" s="135"/>
    </row>
    <row r="46322" spans="20:21" ht="15" customHeight="1" x14ac:dyDescent="0.25">
      <c r="T46322" s="135"/>
      <c r="U46322" s="135"/>
    </row>
    <row r="46323" spans="20:21" ht="15" customHeight="1" x14ac:dyDescent="0.25">
      <c r="T46323" s="135"/>
      <c r="U46323" s="135"/>
    </row>
    <row r="46324" spans="20:21" ht="15" customHeight="1" x14ac:dyDescent="0.25">
      <c r="T46324" s="135"/>
      <c r="U46324" s="135"/>
    </row>
    <row r="46325" spans="20:21" ht="15" customHeight="1" x14ac:dyDescent="0.25">
      <c r="T46325" s="135"/>
      <c r="U46325" s="135"/>
    </row>
    <row r="46326" spans="20:21" ht="15" customHeight="1" x14ac:dyDescent="0.25">
      <c r="T46326" s="135"/>
      <c r="U46326" s="135"/>
    </row>
    <row r="46327" spans="20:21" ht="15" customHeight="1" x14ac:dyDescent="0.25">
      <c r="T46327" s="135"/>
      <c r="U46327" s="135"/>
    </row>
    <row r="46328" spans="20:21" ht="15" customHeight="1" x14ac:dyDescent="0.25">
      <c r="T46328" s="135"/>
      <c r="U46328" s="135"/>
    </row>
    <row r="46329" spans="20:21" ht="15" customHeight="1" x14ac:dyDescent="0.25">
      <c r="T46329" s="135"/>
      <c r="U46329" s="135"/>
    </row>
    <row r="46330" spans="20:21" ht="15" customHeight="1" x14ac:dyDescent="0.25">
      <c r="T46330" s="135"/>
      <c r="U46330" s="135"/>
    </row>
    <row r="46331" spans="20:21" ht="15" customHeight="1" x14ac:dyDescent="0.25">
      <c r="T46331" s="135"/>
      <c r="U46331" s="135"/>
    </row>
    <row r="46332" spans="20:21" ht="15" customHeight="1" x14ac:dyDescent="0.25">
      <c r="T46332" s="135"/>
      <c r="U46332" s="135"/>
    </row>
    <row r="46333" spans="20:21" ht="15" customHeight="1" x14ac:dyDescent="0.25">
      <c r="T46333" s="135"/>
      <c r="U46333" s="135"/>
    </row>
    <row r="46334" spans="20:21" ht="15" customHeight="1" x14ac:dyDescent="0.25">
      <c r="T46334" s="135"/>
      <c r="U46334" s="135"/>
    </row>
    <row r="46335" spans="20:21" ht="15" customHeight="1" x14ac:dyDescent="0.25">
      <c r="T46335" s="135"/>
      <c r="U46335" s="135"/>
    </row>
    <row r="46336" spans="20:21" ht="15" customHeight="1" x14ac:dyDescent="0.25">
      <c r="T46336" s="135"/>
      <c r="U46336" s="135"/>
    </row>
    <row r="46337" spans="20:21" ht="15" customHeight="1" x14ac:dyDescent="0.25">
      <c r="T46337" s="135"/>
      <c r="U46337" s="135"/>
    </row>
    <row r="46338" spans="20:21" ht="15" customHeight="1" x14ac:dyDescent="0.25">
      <c r="T46338" s="135"/>
      <c r="U46338" s="135"/>
    </row>
    <row r="46339" spans="20:21" ht="15" customHeight="1" x14ac:dyDescent="0.25">
      <c r="T46339" s="135"/>
      <c r="U46339" s="135"/>
    </row>
    <row r="46340" spans="20:21" ht="15" customHeight="1" x14ac:dyDescent="0.25">
      <c r="T46340" s="135"/>
      <c r="U46340" s="135"/>
    </row>
    <row r="46341" spans="20:21" ht="15" customHeight="1" x14ac:dyDescent="0.25">
      <c r="T46341" s="135"/>
      <c r="U46341" s="135"/>
    </row>
    <row r="46342" spans="20:21" ht="15" customHeight="1" x14ac:dyDescent="0.25">
      <c r="T46342" s="135"/>
      <c r="U46342" s="135"/>
    </row>
    <row r="46343" spans="20:21" ht="15" customHeight="1" x14ac:dyDescent="0.25">
      <c r="T46343" s="135"/>
      <c r="U46343" s="135"/>
    </row>
    <row r="46344" spans="20:21" ht="15" customHeight="1" x14ac:dyDescent="0.25">
      <c r="T46344" s="135"/>
      <c r="U46344" s="135"/>
    </row>
    <row r="46345" spans="20:21" ht="15" customHeight="1" x14ac:dyDescent="0.25">
      <c r="T46345" s="135"/>
      <c r="U46345" s="135"/>
    </row>
    <row r="46346" spans="20:21" ht="15" customHeight="1" x14ac:dyDescent="0.25">
      <c r="T46346" s="135"/>
      <c r="U46346" s="135"/>
    </row>
    <row r="46347" spans="20:21" ht="15" customHeight="1" x14ac:dyDescent="0.25">
      <c r="T46347" s="135"/>
      <c r="U46347" s="135"/>
    </row>
    <row r="46348" spans="20:21" ht="15" customHeight="1" x14ac:dyDescent="0.25">
      <c r="T46348" s="135"/>
      <c r="U46348" s="135"/>
    </row>
    <row r="46349" spans="20:21" ht="15" customHeight="1" x14ac:dyDescent="0.25">
      <c r="T46349" s="135"/>
      <c r="U46349" s="135"/>
    </row>
    <row r="46350" spans="20:21" ht="15" customHeight="1" x14ac:dyDescent="0.25">
      <c r="T46350" s="135"/>
      <c r="U46350" s="135"/>
    </row>
    <row r="46351" spans="20:21" ht="15" customHeight="1" x14ac:dyDescent="0.25">
      <c r="T46351" s="135"/>
      <c r="U46351" s="135"/>
    </row>
    <row r="46352" spans="20:21" ht="15" customHeight="1" x14ac:dyDescent="0.25">
      <c r="T46352" s="135"/>
      <c r="U46352" s="135"/>
    </row>
    <row r="46353" spans="20:21" ht="15" customHeight="1" x14ac:dyDescent="0.25">
      <c r="T46353" s="135"/>
      <c r="U46353" s="135"/>
    </row>
    <row r="46354" spans="20:21" ht="15" customHeight="1" x14ac:dyDescent="0.25">
      <c r="T46354" s="135"/>
      <c r="U46354" s="135"/>
    </row>
    <row r="46355" spans="20:21" ht="15" customHeight="1" x14ac:dyDescent="0.25">
      <c r="T46355" s="135"/>
      <c r="U46355" s="135"/>
    </row>
    <row r="46356" spans="20:21" ht="15" customHeight="1" x14ac:dyDescent="0.25">
      <c r="T46356" s="135"/>
      <c r="U46356" s="135"/>
    </row>
    <row r="46357" spans="20:21" ht="15" customHeight="1" x14ac:dyDescent="0.25">
      <c r="T46357" s="135"/>
      <c r="U46357" s="135"/>
    </row>
    <row r="46358" spans="20:21" ht="15" customHeight="1" x14ac:dyDescent="0.25">
      <c r="T46358" s="135"/>
      <c r="U46358" s="135"/>
    </row>
    <row r="46359" spans="20:21" ht="15" customHeight="1" x14ac:dyDescent="0.25">
      <c r="T46359" s="135"/>
      <c r="U46359" s="135"/>
    </row>
    <row r="46360" spans="20:21" ht="15" customHeight="1" x14ac:dyDescent="0.25">
      <c r="T46360" s="135"/>
      <c r="U46360" s="135"/>
    </row>
    <row r="46361" spans="20:21" ht="15" customHeight="1" x14ac:dyDescent="0.25">
      <c r="T46361" s="135"/>
      <c r="U46361" s="135"/>
    </row>
    <row r="46362" spans="20:21" ht="15" customHeight="1" x14ac:dyDescent="0.25">
      <c r="T46362" s="135"/>
      <c r="U46362" s="135"/>
    </row>
    <row r="46363" spans="20:21" ht="15" customHeight="1" x14ac:dyDescent="0.25">
      <c r="T46363" s="135"/>
      <c r="U46363" s="135"/>
    </row>
    <row r="46364" spans="20:21" ht="15" customHeight="1" x14ac:dyDescent="0.25">
      <c r="T46364" s="135"/>
      <c r="U46364" s="135"/>
    </row>
    <row r="46365" spans="20:21" ht="15" customHeight="1" x14ac:dyDescent="0.25">
      <c r="T46365" s="135"/>
      <c r="U46365" s="135"/>
    </row>
    <row r="46366" spans="20:21" ht="15" customHeight="1" x14ac:dyDescent="0.25">
      <c r="T46366" s="135"/>
      <c r="U46366" s="135"/>
    </row>
    <row r="46367" spans="20:21" ht="15" customHeight="1" x14ac:dyDescent="0.25">
      <c r="T46367" s="135"/>
      <c r="U46367" s="135"/>
    </row>
    <row r="46368" spans="20:21" ht="15" customHeight="1" x14ac:dyDescent="0.25">
      <c r="T46368" s="135"/>
      <c r="U46368" s="135"/>
    </row>
    <row r="46369" spans="20:21" ht="15" customHeight="1" x14ac:dyDescent="0.25">
      <c r="T46369" s="135"/>
      <c r="U46369" s="135"/>
    </row>
    <row r="46370" spans="20:21" ht="15" customHeight="1" x14ac:dyDescent="0.25">
      <c r="T46370" s="135"/>
      <c r="U46370" s="135"/>
    </row>
    <row r="46371" spans="20:21" ht="15" customHeight="1" x14ac:dyDescent="0.25">
      <c r="T46371" s="135"/>
      <c r="U46371" s="135"/>
    </row>
    <row r="46372" spans="20:21" ht="15" customHeight="1" x14ac:dyDescent="0.25">
      <c r="T46372" s="135"/>
      <c r="U46372" s="135"/>
    </row>
    <row r="46373" spans="20:21" ht="15" customHeight="1" x14ac:dyDescent="0.25">
      <c r="T46373" s="135"/>
      <c r="U46373" s="135"/>
    </row>
    <row r="46374" spans="20:21" ht="15" customHeight="1" x14ac:dyDescent="0.25">
      <c r="T46374" s="135"/>
      <c r="U46374" s="135"/>
    </row>
    <row r="46375" spans="20:21" ht="15" customHeight="1" x14ac:dyDescent="0.25">
      <c r="T46375" s="135"/>
      <c r="U46375" s="135"/>
    </row>
    <row r="46376" spans="20:21" ht="15" customHeight="1" x14ac:dyDescent="0.25">
      <c r="T46376" s="135"/>
      <c r="U46376" s="135"/>
    </row>
    <row r="46377" spans="20:21" ht="15" customHeight="1" x14ac:dyDescent="0.25">
      <c r="T46377" s="135"/>
      <c r="U46377" s="135"/>
    </row>
    <row r="46378" spans="20:21" ht="15" customHeight="1" x14ac:dyDescent="0.25">
      <c r="T46378" s="135"/>
      <c r="U46378" s="135"/>
    </row>
    <row r="46379" spans="20:21" ht="15" customHeight="1" x14ac:dyDescent="0.25">
      <c r="T46379" s="135"/>
      <c r="U46379" s="135"/>
    </row>
    <row r="46380" spans="20:21" ht="15" customHeight="1" x14ac:dyDescent="0.25">
      <c r="T46380" s="135"/>
      <c r="U46380" s="135"/>
    </row>
    <row r="46381" spans="20:21" ht="15" customHeight="1" x14ac:dyDescent="0.25">
      <c r="T46381" s="135"/>
      <c r="U46381" s="135"/>
    </row>
    <row r="46382" spans="20:21" ht="15" customHeight="1" x14ac:dyDescent="0.25">
      <c r="T46382" s="135"/>
      <c r="U46382" s="135"/>
    </row>
    <row r="46383" spans="20:21" ht="15" customHeight="1" x14ac:dyDescent="0.25">
      <c r="T46383" s="135"/>
      <c r="U46383" s="135"/>
    </row>
    <row r="46384" spans="20:21" ht="15" customHeight="1" x14ac:dyDescent="0.25">
      <c r="T46384" s="135"/>
      <c r="U46384" s="135"/>
    </row>
    <row r="46385" spans="20:21" ht="15" customHeight="1" x14ac:dyDescent="0.25">
      <c r="T46385" s="135"/>
      <c r="U46385" s="135"/>
    </row>
    <row r="46386" spans="20:21" ht="15" customHeight="1" x14ac:dyDescent="0.25">
      <c r="T46386" s="135"/>
      <c r="U46386" s="135"/>
    </row>
    <row r="46387" spans="20:21" ht="15" customHeight="1" x14ac:dyDescent="0.25">
      <c r="T46387" s="135"/>
      <c r="U46387" s="135"/>
    </row>
    <row r="46388" spans="20:21" ht="15" customHeight="1" x14ac:dyDescent="0.25">
      <c r="T46388" s="135"/>
      <c r="U46388" s="135"/>
    </row>
    <row r="46389" spans="20:21" ht="15" customHeight="1" x14ac:dyDescent="0.25">
      <c r="T46389" s="135"/>
      <c r="U46389" s="135"/>
    </row>
    <row r="46390" spans="20:21" ht="15" customHeight="1" x14ac:dyDescent="0.25">
      <c r="T46390" s="135"/>
      <c r="U46390" s="135"/>
    </row>
    <row r="46391" spans="20:21" ht="15" customHeight="1" x14ac:dyDescent="0.25">
      <c r="T46391" s="135"/>
      <c r="U46391" s="135"/>
    </row>
    <row r="46392" spans="20:21" ht="15" customHeight="1" x14ac:dyDescent="0.25">
      <c r="T46392" s="135"/>
      <c r="U46392" s="135"/>
    </row>
    <row r="46393" spans="20:21" ht="15" customHeight="1" x14ac:dyDescent="0.25">
      <c r="T46393" s="135"/>
      <c r="U46393" s="135"/>
    </row>
    <row r="46394" spans="20:21" ht="15" customHeight="1" x14ac:dyDescent="0.25">
      <c r="T46394" s="135"/>
      <c r="U46394" s="135"/>
    </row>
    <row r="46395" spans="20:21" ht="15" customHeight="1" x14ac:dyDescent="0.25">
      <c r="T46395" s="135"/>
      <c r="U46395" s="135"/>
    </row>
    <row r="46396" spans="20:21" ht="15" customHeight="1" x14ac:dyDescent="0.25">
      <c r="T46396" s="135"/>
      <c r="U46396" s="135"/>
    </row>
    <row r="46397" spans="20:21" ht="15" customHeight="1" x14ac:dyDescent="0.25">
      <c r="T46397" s="135"/>
      <c r="U46397" s="135"/>
    </row>
    <row r="46398" spans="20:21" ht="15" customHeight="1" x14ac:dyDescent="0.25">
      <c r="T46398" s="135"/>
      <c r="U46398" s="135"/>
    </row>
    <row r="46399" spans="20:21" ht="15" customHeight="1" x14ac:dyDescent="0.25">
      <c r="T46399" s="135"/>
      <c r="U46399" s="135"/>
    </row>
    <row r="46400" spans="20:21" ht="15" customHeight="1" x14ac:dyDescent="0.25">
      <c r="T46400" s="135"/>
      <c r="U46400" s="135"/>
    </row>
    <row r="46401" spans="20:21" ht="15" customHeight="1" x14ac:dyDescent="0.25">
      <c r="T46401" s="135"/>
      <c r="U46401" s="135"/>
    </row>
    <row r="46402" spans="20:21" ht="15" customHeight="1" x14ac:dyDescent="0.25">
      <c r="T46402" s="135"/>
      <c r="U46402" s="135"/>
    </row>
    <row r="46403" spans="20:21" ht="15" customHeight="1" x14ac:dyDescent="0.25">
      <c r="T46403" s="135"/>
      <c r="U46403" s="135"/>
    </row>
    <row r="46404" spans="20:21" ht="15" customHeight="1" x14ac:dyDescent="0.25">
      <c r="T46404" s="135"/>
      <c r="U46404" s="135"/>
    </row>
    <row r="46405" spans="20:21" ht="15" customHeight="1" x14ac:dyDescent="0.25">
      <c r="T46405" s="135"/>
      <c r="U46405" s="135"/>
    </row>
    <row r="46406" spans="20:21" ht="15" customHeight="1" x14ac:dyDescent="0.25">
      <c r="T46406" s="135"/>
      <c r="U46406" s="135"/>
    </row>
    <row r="46407" spans="20:21" ht="15" customHeight="1" x14ac:dyDescent="0.25">
      <c r="T46407" s="135"/>
      <c r="U46407" s="135"/>
    </row>
    <row r="46408" spans="20:21" ht="15" customHeight="1" x14ac:dyDescent="0.25">
      <c r="T46408" s="135"/>
      <c r="U46408" s="135"/>
    </row>
    <row r="46409" spans="20:21" ht="15" customHeight="1" x14ac:dyDescent="0.25">
      <c r="T46409" s="135"/>
      <c r="U46409" s="135"/>
    </row>
    <row r="46410" spans="20:21" ht="15" customHeight="1" x14ac:dyDescent="0.25">
      <c r="T46410" s="135"/>
      <c r="U46410" s="135"/>
    </row>
    <row r="46411" spans="20:21" ht="15" customHeight="1" x14ac:dyDescent="0.25">
      <c r="T46411" s="135"/>
      <c r="U46411" s="135"/>
    </row>
    <row r="46412" spans="20:21" ht="15" customHeight="1" x14ac:dyDescent="0.25">
      <c r="T46412" s="135"/>
      <c r="U46412" s="135"/>
    </row>
    <row r="46413" spans="20:21" ht="15" customHeight="1" x14ac:dyDescent="0.25">
      <c r="T46413" s="135"/>
      <c r="U46413" s="135"/>
    </row>
    <row r="46414" spans="20:21" ht="15" customHeight="1" x14ac:dyDescent="0.25">
      <c r="T46414" s="135"/>
      <c r="U46414" s="135"/>
    </row>
    <row r="46415" spans="20:21" ht="15" customHeight="1" x14ac:dyDescent="0.25">
      <c r="T46415" s="135"/>
      <c r="U46415" s="135"/>
    </row>
    <row r="46416" spans="20:21" ht="15" customHeight="1" x14ac:dyDescent="0.25">
      <c r="T46416" s="135"/>
      <c r="U46416" s="135"/>
    </row>
    <row r="46417" spans="20:21" ht="15" customHeight="1" x14ac:dyDescent="0.25">
      <c r="T46417" s="135"/>
      <c r="U46417" s="135"/>
    </row>
    <row r="46418" spans="20:21" ht="15" customHeight="1" x14ac:dyDescent="0.25">
      <c r="T46418" s="135"/>
      <c r="U46418" s="135"/>
    </row>
    <row r="46419" spans="20:21" ht="15" customHeight="1" x14ac:dyDescent="0.25">
      <c r="T46419" s="135"/>
      <c r="U46419" s="135"/>
    </row>
    <row r="46420" spans="20:21" ht="15" customHeight="1" x14ac:dyDescent="0.25">
      <c r="T46420" s="135"/>
      <c r="U46420" s="135"/>
    </row>
    <row r="46421" spans="20:21" ht="15" customHeight="1" x14ac:dyDescent="0.25">
      <c r="T46421" s="135"/>
      <c r="U46421" s="135"/>
    </row>
    <row r="46422" spans="20:21" ht="15" customHeight="1" x14ac:dyDescent="0.25">
      <c r="T46422" s="135"/>
      <c r="U46422" s="135"/>
    </row>
    <row r="46423" spans="20:21" ht="15" customHeight="1" x14ac:dyDescent="0.25">
      <c r="T46423" s="135"/>
      <c r="U46423" s="135"/>
    </row>
    <row r="46424" spans="20:21" ht="15" customHeight="1" x14ac:dyDescent="0.25">
      <c r="T46424" s="135"/>
      <c r="U46424" s="135"/>
    </row>
    <row r="46425" spans="20:21" ht="15" customHeight="1" x14ac:dyDescent="0.25">
      <c r="T46425" s="135"/>
      <c r="U46425" s="135"/>
    </row>
    <row r="46426" spans="20:21" ht="15" customHeight="1" x14ac:dyDescent="0.25">
      <c r="T46426" s="135"/>
      <c r="U46426" s="135"/>
    </row>
    <row r="46427" spans="20:21" ht="15" customHeight="1" x14ac:dyDescent="0.25">
      <c r="T46427" s="135"/>
      <c r="U46427" s="135"/>
    </row>
    <row r="46428" spans="20:21" ht="15" customHeight="1" x14ac:dyDescent="0.25">
      <c r="T46428" s="135"/>
      <c r="U46428" s="135"/>
    </row>
    <row r="46429" spans="20:21" ht="15" customHeight="1" x14ac:dyDescent="0.25">
      <c r="T46429" s="135"/>
      <c r="U46429" s="135"/>
    </row>
    <row r="46430" spans="20:21" ht="15" customHeight="1" x14ac:dyDescent="0.25">
      <c r="T46430" s="135"/>
      <c r="U46430" s="135"/>
    </row>
    <row r="46431" spans="20:21" ht="15" customHeight="1" x14ac:dyDescent="0.25">
      <c r="T46431" s="135"/>
      <c r="U46431" s="135"/>
    </row>
    <row r="46432" spans="20:21" ht="15" customHeight="1" x14ac:dyDescent="0.25">
      <c r="T46432" s="135"/>
      <c r="U46432" s="135"/>
    </row>
    <row r="46433" spans="20:21" ht="15" customHeight="1" x14ac:dyDescent="0.25">
      <c r="T46433" s="135"/>
      <c r="U46433" s="135"/>
    </row>
    <row r="46434" spans="20:21" ht="15" customHeight="1" x14ac:dyDescent="0.25">
      <c r="T46434" s="135"/>
      <c r="U46434" s="135"/>
    </row>
    <row r="46435" spans="20:21" ht="15" customHeight="1" x14ac:dyDescent="0.25">
      <c r="T46435" s="135"/>
      <c r="U46435" s="135"/>
    </row>
    <row r="46436" spans="20:21" ht="15" customHeight="1" x14ac:dyDescent="0.25">
      <c r="T46436" s="135"/>
      <c r="U46436" s="135"/>
    </row>
    <row r="46437" spans="20:21" ht="15" customHeight="1" x14ac:dyDescent="0.25">
      <c r="T46437" s="135"/>
      <c r="U46437" s="135"/>
    </row>
    <row r="46438" spans="20:21" ht="15" customHeight="1" x14ac:dyDescent="0.25">
      <c r="T46438" s="135"/>
      <c r="U46438" s="135"/>
    </row>
    <row r="46439" spans="20:21" ht="15" customHeight="1" x14ac:dyDescent="0.25">
      <c r="T46439" s="135"/>
      <c r="U46439" s="135"/>
    </row>
    <row r="46440" spans="20:21" ht="15" customHeight="1" x14ac:dyDescent="0.25">
      <c r="T46440" s="135"/>
      <c r="U46440" s="135"/>
    </row>
    <row r="46441" spans="20:21" ht="15" customHeight="1" x14ac:dyDescent="0.25">
      <c r="T46441" s="135"/>
      <c r="U46441" s="135"/>
    </row>
    <row r="46442" spans="20:21" ht="15" customHeight="1" x14ac:dyDescent="0.25">
      <c r="T46442" s="135"/>
      <c r="U46442" s="135"/>
    </row>
    <row r="46443" spans="20:21" ht="15" customHeight="1" x14ac:dyDescent="0.25">
      <c r="T46443" s="135"/>
      <c r="U46443" s="135"/>
    </row>
    <row r="46444" spans="20:21" ht="15" customHeight="1" x14ac:dyDescent="0.25">
      <c r="T46444" s="135"/>
      <c r="U46444" s="135"/>
    </row>
    <row r="46445" spans="20:21" ht="15" customHeight="1" x14ac:dyDescent="0.25">
      <c r="T46445" s="135"/>
      <c r="U46445" s="135"/>
    </row>
    <row r="46446" spans="20:21" ht="15" customHeight="1" x14ac:dyDescent="0.25">
      <c r="T46446" s="135"/>
      <c r="U46446" s="135"/>
    </row>
    <row r="46447" spans="20:21" ht="15" customHeight="1" x14ac:dyDescent="0.25">
      <c r="T46447" s="135"/>
      <c r="U46447" s="135"/>
    </row>
    <row r="46448" spans="20:21" ht="15" customHeight="1" x14ac:dyDescent="0.25">
      <c r="T46448" s="135"/>
      <c r="U46448" s="135"/>
    </row>
    <row r="46449" spans="20:21" ht="15" customHeight="1" x14ac:dyDescent="0.25">
      <c r="T46449" s="135"/>
      <c r="U46449" s="135"/>
    </row>
    <row r="46450" spans="20:21" ht="15" customHeight="1" x14ac:dyDescent="0.25">
      <c r="T46450" s="135"/>
      <c r="U46450" s="135"/>
    </row>
    <row r="46451" spans="20:21" ht="15" customHeight="1" x14ac:dyDescent="0.25">
      <c r="T46451" s="135"/>
      <c r="U46451" s="135"/>
    </row>
    <row r="46452" spans="20:21" ht="15" customHeight="1" x14ac:dyDescent="0.25">
      <c r="T46452" s="135"/>
      <c r="U46452" s="135"/>
    </row>
    <row r="46453" spans="20:21" ht="15" customHeight="1" x14ac:dyDescent="0.25">
      <c r="T46453" s="135"/>
      <c r="U46453" s="135"/>
    </row>
    <row r="46454" spans="20:21" ht="15" customHeight="1" x14ac:dyDescent="0.25">
      <c r="T46454" s="135"/>
      <c r="U46454" s="135"/>
    </row>
    <row r="46455" spans="20:21" ht="15" customHeight="1" x14ac:dyDescent="0.25">
      <c r="T46455" s="135"/>
      <c r="U46455" s="135"/>
    </row>
    <row r="46456" spans="20:21" ht="15" customHeight="1" x14ac:dyDescent="0.25">
      <c r="T46456" s="135"/>
      <c r="U46456" s="135"/>
    </row>
    <row r="46457" spans="20:21" ht="15" customHeight="1" x14ac:dyDescent="0.25">
      <c r="T46457" s="135"/>
      <c r="U46457" s="135"/>
    </row>
    <row r="46458" spans="20:21" ht="15" customHeight="1" x14ac:dyDescent="0.25">
      <c r="T46458" s="135"/>
      <c r="U46458" s="135"/>
    </row>
    <row r="46459" spans="20:21" ht="15" customHeight="1" x14ac:dyDescent="0.25">
      <c r="T46459" s="135"/>
      <c r="U46459" s="135"/>
    </row>
    <row r="46460" spans="20:21" ht="15" customHeight="1" x14ac:dyDescent="0.25">
      <c r="T46460" s="135"/>
      <c r="U46460" s="135"/>
    </row>
    <row r="46461" spans="20:21" ht="15" customHeight="1" x14ac:dyDescent="0.25">
      <c r="T46461" s="135"/>
      <c r="U46461" s="135"/>
    </row>
    <row r="46462" spans="20:21" ht="15" customHeight="1" x14ac:dyDescent="0.25">
      <c r="T46462" s="135"/>
      <c r="U46462" s="135"/>
    </row>
    <row r="46463" spans="20:21" ht="15" customHeight="1" x14ac:dyDescent="0.25">
      <c r="T46463" s="135"/>
      <c r="U46463" s="135"/>
    </row>
    <row r="46464" spans="20:21" ht="15" customHeight="1" x14ac:dyDescent="0.25">
      <c r="T46464" s="135"/>
      <c r="U46464" s="135"/>
    </row>
    <row r="46465" spans="20:21" ht="15" customHeight="1" x14ac:dyDescent="0.25">
      <c r="T46465" s="135"/>
      <c r="U46465" s="135"/>
    </row>
    <row r="46466" spans="20:21" ht="15" customHeight="1" x14ac:dyDescent="0.25">
      <c r="T46466" s="135"/>
      <c r="U46466" s="135"/>
    </row>
    <row r="46467" spans="20:21" ht="15" customHeight="1" x14ac:dyDescent="0.25">
      <c r="T46467" s="135"/>
      <c r="U46467" s="135"/>
    </row>
    <row r="46468" spans="20:21" ht="15" customHeight="1" x14ac:dyDescent="0.25">
      <c r="T46468" s="135"/>
      <c r="U46468" s="135"/>
    </row>
    <row r="46469" spans="20:21" ht="15" customHeight="1" x14ac:dyDescent="0.25">
      <c r="T46469" s="135"/>
      <c r="U46469" s="135"/>
    </row>
    <row r="46470" spans="20:21" ht="15" customHeight="1" x14ac:dyDescent="0.25">
      <c r="T46470" s="135"/>
      <c r="U46470" s="135"/>
    </row>
    <row r="46471" spans="20:21" ht="15" customHeight="1" x14ac:dyDescent="0.25">
      <c r="T46471" s="135"/>
      <c r="U46471" s="135"/>
    </row>
    <row r="46472" spans="20:21" ht="15" customHeight="1" x14ac:dyDescent="0.25">
      <c r="T46472" s="135"/>
      <c r="U46472" s="135"/>
    </row>
    <row r="46473" spans="20:21" ht="15" customHeight="1" x14ac:dyDescent="0.25">
      <c r="T46473" s="135"/>
      <c r="U46473" s="135"/>
    </row>
    <row r="46474" spans="20:21" ht="15" customHeight="1" x14ac:dyDescent="0.25">
      <c r="T46474" s="135"/>
      <c r="U46474" s="135"/>
    </row>
    <row r="46475" spans="20:21" ht="15" customHeight="1" x14ac:dyDescent="0.25">
      <c r="T46475" s="135"/>
      <c r="U46475" s="135"/>
    </row>
    <row r="46476" spans="20:21" ht="15" customHeight="1" x14ac:dyDescent="0.25">
      <c r="T46476" s="135"/>
      <c r="U46476" s="135"/>
    </row>
    <row r="46477" spans="20:21" ht="15" customHeight="1" x14ac:dyDescent="0.25">
      <c r="T46477" s="135"/>
      <c r="U46477" s="135"/>
    </row>
    <row r="46478" spans="20:21" ht="15" customHeight="1" x14ac:dyDescent="0.25">
      <c r="T46478" s="135"/>
      <c r="U46478" s="135"/>
    </row>
    <row r="46479" spans="20:21" ht="15" customHeight="1" x14ac:dyDescent="0.25">
      <c r="T46479" s="135"/>
      <c r="U46479" s="135"/>
    </row>
    <row r="46480" spans="20:21" ht="15" customHeight="1" x14ac:dyDescent="0.25">
      <c r="T46480" s="135"/>
      <c r="U46480" s="135"/>
    </row>
    <row r="46481" spans="20:21" ht="15" customHeight="1" x14ac:dyDescent="0.25">
      <c r="T46481" s="135"/>
      <c r="U46481" s="135"/>
    </row>
    <row r="46482" spans="20:21" ht="15" customHeight="1" x14ac:dyDescent="0.25">
      <c r="T46482" s="135"/>
      <c r="U46482" s="135"/>
    </row>
    <row r="46483" spans="20:21" ht="15" customHeight="1" x14ac:dyDescent="0.25">
      <c r="T46483" s="135"/>
      <c r="U46483" s="135"/>
    </row>
    <row r="46484" spans="20:21" ht="15" customHeight="1" x14ac:dyDescent="0.25">
      <c r="T46484" s="135"/>
      <c r="U46484" s="135"/>
    </row>
    <row r="46485" spans="20:21" ht="15" customHeight="1" x14ac:dyDescent="0.25">
      <c r="T46485" s="135"/>
      <c r="U46485" s="135"/>
    </row>
    <row r="46486" spans="20:21" ht="15" customHeight="1" x14ac:dyDescent="0.25">
      <c r="T46486" s="135"/>
      <c r="U46486" s="135"/>
    </row>
    <row r="46487" spans="20:21" ht="15" customHeight="1" x14ac:dyDescent="0.25">
      <c r="T46487" s="135"/>
      <c r="U46487" s="135"/>
    </row>
    <row r="46488" spans="20:21" ht="15" customHeight="1" x14ac:dyDescent="0.25">
      <c r="T46488" s="135"/>
      <c r="U46488" s="135"/>
    </row>
    <row r="46489" spans="20:21" ht="15" customHeight="1" x14ac:dyDescent="0.25">
      <c r="T46489" s="135"/>
      <c r="U46489" s="135"/>
    </row>
    <row r="46490" spans="20:21" ht="15" customHeight="1" x14ac:dyDescent="0.25">
      <c r="T46490" s="135"/>
      <c r="U46490" s="135"/>
    </row>
    <row r="46491" spans="20:21" ht="15" customHeight="1" x14ac:dyDescent="0.25">
      <c r="T46491" s="135"/>
      <c r="U46491" s="135"/>
    </row>
    <row r="46492" spans="20:21" ht="15" customHeight="1" x14ac:dyDescent="0.25">
      <c r="T46492" s="135"/>
      <c r="U46492" s="135"/>
    </row>
    <row r="46493" spans="20:21" ht="15" customHeight="1" x14ac:dyDescent="0.25">
      <c r="T46493" s="135"/>
      <c r="U46493" s="135"/>
    </row>
    <row r="46494" spans="20:21" ht="15" customHeight="1" x14ac:dyDescent="0.25">
      <c r="T46494" s="135"/>
      <c r="U46494" s="135"/>
    </row>
    <row r="46495" spans="20:21" ht="15" customHeight="1" x14ac:dyDescent="0.25">
      <c r="T46495" s="135"/>
      <c r="U46495" s="135"/>
    </row>
    <row r="46496" spans="20:21" ht="15" customHeight="1" x14ac:dyDescent="0.25">
      <c r="T46496" s="135"/>
      <c r="U46496" s="135"/>
    </row>
    <row r="46497" spans="20:21" ht="15" customHeight="1" x14ac:dyDescent="0.25">
      <c r="T46497" s="135"/>
      <c r="U46497" s="135"/>
    </row>
    <row r="46498" spans="20:21" ht="15" customHeight="1" x14ac:dyDescent="0.25">
      <c r="T46498" s="135"/>
      <c r="U46498" s="135"/>
    </row>
    <row r="46499" spans="20:21" ht="15" customHeight="1" x14ac:dyDescent="0.25">
      <c r="T46499" s="135"/>
      <c r="U46499" s="135"/>
    </row>
    <row r="46500" spans="20:21" ht="15" customHeight="1" x14ac:dyDescent="0.25">
      <c r="T46500" s="135"/>
      <c r="U46500" s="135"/>
    </row>
    <row r="46501" spans="20:21" ht="15" customHeight="1" x14ac:dyDescent="0.25">
      <c r="T46501" s="135"/>
      <c r="U46501" s="135"/>
    </row>
    <row r="46502" spans="20:21" ht="15" customHeight="1" x14ac:dyDescent="0.25">
      <c r="T46502" s="135"/>
      <c r="U46502" s="135"/>
    </row>
    <row r="46503" spans="20:21" ht="15" customHeight="1" x14ac:dyDescent="0.25">
      <c r="T46503" s="135"/>
      <c r="U46503" s="135"/>
    </row>
    <row r="46504" spans="20:21" ht="15" customHeight="1" x14ac:dyDescent="0.25">
      <c r="T46504" s="135"/>
      <c r="U46504" s="135"/>
    </row>
    <row r="46505" spans="20:21" ht="15" customHeight="1" x14ac:dyDescent="0.25">
      <c r="T46505" s="135"/>
      <c r="U46505" s="135"/>
    </row>
    <row r="46506" spans="20:21" ht="15" customHeight="1" x14ac:dyDescent="0.25">
      <c r="T46506" s="135"/>
      <c r="U46506" s="135"/>
    </row>
    <row r="46507" spans="20:21" ht="15" customHeight="1" x14ac:dyDescent="0.25">
      <c r="T46507" s="135"/>
      <c r="U46507" s="135"/>
    </row>
    <row r="46508" spans="20:21" ht="15" customHeight="1" x14ac:dyDescent="0.25">
      <c r="T46508" s="135"/>
      <c r="U46508" s="135"/>
    </row>
    <row r="46509" spans="20:21" ht="15" customHeight="1" x14ac:dyDescent="0.25">
      <c r="T46509" s="135"/>
      <c r="U46509" s="135"/>
    </row>
    <row r="46510" spans="20:21" ht="15" customHeight="1" x14ac:dyDescent="0.25">
      <c r="T46510" s="135"/>
      <c r="U46510" s="135"/>
    </row>
    <row r="46511" spans="20:21" ht="15" customHeight="1" x14ac:dyDescent="0.25">
      <c r="T46511" s="135"/>
      <c r="U46511" s="135"/>
    </row>
    <row r="46512" spans="20:21" ht="15" customHeight="1" x14ac:dyDescent="0.25">
      <c r="T46512" s="135"/>
      <c r="U46512" s="135"/>
    </row>
    <row r="46513" spans="20:21" ht="15" customHeight="1" x14ac:dyDescent="0.25">
      <c r="T46513" s="135"/>
      <c r="U46513" s="135"/>
    </row>
    <row r="46514" spans="20:21" ht="15" customHeight="1" x14ac:dyDescent="0.25">
      <c r="T46514" s="135"/>
      <c r="U46514" s="135"/>
    </row>
    <row r="46515" spans="20:21" ht="15" customHeight="1" x14ac:dyDescent="0.25">
      <c r="T46515" s="135"/>
      <c r="U46515" s="135"/>
    </row>
    <row r="46516" spans="20:21" ht="15" customHeight="1" x14ac:dyDescent="0.25">
      <c r="T46516" s="135"/>
      <c r="U46516" s="135"/>
    </row>
    <row r="46517" spans="20:21" ht="15" customHeight="1" x14ac:dyDescent="0.25">
      <c r="T46517" s="135"/>
      <c r="U46517" s="135"/>
    </row>
    <row r="46518" spans="20:21" ht="15" customHeight="1" x14ac:dyDescent="0.25">
      <c r="T46518" s="135"/>
      <c r="U46518" s="135"/>
    </row>
    <row r="46519" spans="20:21" ht="15" customHeight="1" x14ac:dyDescent="0.25">
      <c r="T46519" s="135"/>
      <c r="U46519" s="135"/>
    </row>
    <row r="46520" spans="20:21" ht="15" customHeight="1" x14ac:dyDescent="0.25">
      <c r="T46520" s="135"/>
      <c r="U46520" s="135"/>
    </row>
    <row r="46521" spans="20:21" ht="15" customHeight="1" x14ac:dyDescent="0.25">
      <c r="T46521" s="135"/>
      <c r="U46521" s="135"/>
    </row>
    <row r="46522" spans="20:21" ht="15" customHeight="1" x14ac:dyDescent="0.25">
      <c r="T46522" s="135"/>
      <c r="U46522" s="135"/>
    </row>
    <row r="46523" spans="20:21" ht="15" customHeight="1" x14ac:dyDescent="0.25">
      <c r="T46523" s="135"/>
      <c r="U46523" s="135"/>
    </row>
    <row r="46524" spans="20:21" ht="15" customHeight="1" x14ac:dyDescent="0.25">
      <c r="T46524" s="135"/>
      <c r="U46524" s="135"/>
    </row>
    <row r="46525" spans="20:21" ht="15" customHeight="1" x14ac:dyDescent="0.25">
      <c r="T46525" s="135"/>
      <c r="U46525" s="135"/>
    </row>
    <row r="46526" spans="20:21" ht="15" customHeight="1" x14ac:dyDescent="0.25">
      <c r="T46526" s="135"/>
      <c r="U46526" s="135"/>
    </row>
    <row r="46527" spans="20:21" ht="15" customHeight="1" x14ac:dyDescent="0.25">
      <c r="T46527" s="135"/>
      <c r="U46527" s="135"/>
    </row>
    <row r="46528" spans="20:21" ht="15" customHeight="1" x14ac:dyDescent="0.25">
      <c r="T46528" s="135"/>
      <c r="U46528" s="135"/>
    </row>
    <row r="46529" spans="20:21" ht="15" customHeight="1" x14ac:dyDescent="0.25">
      <c r="T46529" s="135"/>
      <c r="U46529" s="135"/>
    </row>
    <row r="46530" spans="20:21" ht="15" customHeight="1" x14ac:dyDescent="0.25">
      <c r="T46530" s="135"/>
      <c r="U46530" s="135"/>
    </row>
    <row r="46531" spans="20:21" ht="15" customHeight="1" x14ac:dyDescent="0.25">
      <c r="T46531" s="135"/>
      <c r="U46531" s="135"/>
    </row>
    <row r="46532" spans="20:21" ht="15" customHeight="1" x14ac:dyDescent="0.25">
      <c r="T46532" s="135"/>
      <c r="U46532" s="135"/>
    </row>
    <row r="46533" spans="20:21" ht="15" customHeight="1" x14ac:dyDescent="0.25">
      <c r="T46533" s="135"/>
      <c r="U46533" s="135"/>
    </row>
    <row r="46534" spans="20:21" ht="15" customHeight="1" x14ac:dyDescent="0.25">
      <c r="T46534" s="135"/>
      <c r="U46534" s="135"/>
    </row>
    <row r="46535" spans="20:21" ht="15" customHeight="1" x14ac:dyDescent="0.25">
      <c r="T46535" s="135"/>
      <c r="U46535" s="135"/>
    </row>
    <row r="46536" spans="20:21" ht="15" customHeight="1" x14ac:dyDescent="0.25">
      <c r="T46536" s="135"/>
      <c r="U46536" s="135"/>
    </row>
    <row r="46537" spans="20:21" ht="15" customHeight="1" x14ac:dyDescent="0.25">
      <c r="T46537" s="135"/>
      <c r="U46537" s="135"/>
    </row>
    <row r="46538" spans="20:21" ht="15" customHeight="1" x14ac:dyDescent="0.25">
      <c r="T46538" s="135"/>
      <c r="U46538" s="135"/>
    </row>
    <row r="46539" spans="20:21" ht="15" customHeight="1" x14ac:dyDescent="0.25">
      <c r="T46539" s="135"/>
      <c r="U46539" s="135"/>
    </row>
    <row r="46540" spans="20:21" ht="15" customHeight="1" x14ac:dyDescent="0.25">
      <c r="T46540" s="135"/>
      <c r="U46540" s="135"/>
    </row>
    <row r="46541" spans="20:21" ht="15" customHeight="1" x14ac:dyDescent="0.25">
      <c r="T46541" s="135"/>
      <c r="U46541" s="135"/>
    </row>
    <row r="46542" spans="20:21" ht="15" customHeight="1" x14ac:dyDescent="0.25">
      <c r="T46542" s="135"/>
      <c r="U46542" s="135"/>
    </row>
    <row r="46543" spans="20:21" ht="15" customHeight="1" x14ac:dyDescent="0.25">
      <c r="T46543" s="135"/>
      <c r="U46543" s="135"/>
    </row>
    <row r="46544" spans="20:21" ht="15" customHeight="1" x14ac:dyDescent="0.25">
      <c r="T46544" s="135"/>
      <c r="U46544" s="135"/>
    </row>
    <row r="46545" spans="20:21" ht="15" customHeight="1" x14ac:dyDescent="0.25">
      <c r="T46545" s="135"/>
      <c r="U46545" s="135"/>
    </row>
    <row r="46546" spans="20:21" ht="15" customHeight="1" x14ac:dyDescent="0.25">
      <c r="T46546" s="135"/>
      <c r="U46546" s="135"/>
    </row>
    <row r="46547" spans="20:21" ht="15" customHeight="1" x14ac:dyDescent="0.25">
      <c r="T46547" s="135"/>
      <c r="U46547" s="135"/>
    </row>
    <row r="46548" spans="20:21" ht="15" customHeight="1" x14ac:dyDescent="0.25">
      <c r="T46548" s="135"/>
      <c r="U46548" s="135"/>
    </row>
    <row r="46549" spans="20:21" ht="15" customHeight="1" x14ac:dyDescent="0.25">
      <c r="T46549" s="135"/>
      <c r="U46549" s="135"/>
    </row>
    <row r="46550" spans="20:21" ht="15" customHeight="1" x14ac:dyDescent="0.25">
      <c r="T46550" s="135"/>
      <c r="U46550" s="135"/>
    </row>
    <row r="46551" spans="20:21" ht="15" customHeight="1" x14ac:dyDescent="0.25">
      <c r="T46551" s="135"/>
      <c r="U46551" s="135"/>
    </row>
    <row r="46552" spans="20:21" ht="15" customHeight="1" x14ac:dyDescent="0.25">
      <c r="T46552" s="135"/>
      <c r="U46552" s="135"/>
    </row>
    <row r="46553" spans="20:21" ht="15" customHeight="1" x14ac:dyDescent="0.25">
      <c r="T46553" s="135"/>
      <c r="U46553" s="135"/>
    </row>
    <row r="46554" spans="20:21" ht="15" customHeight="1" x14ac:dyDescent="0.25">
      <c r="T46554" s="135"/>
      <c r="U46554" s="135"/>
    </row>
    <row r="46555" spans="20:21" ht="15" customHeight="1" x14ac:dyDescent="0.25">
      <c r="T46555" s="135"/>
      <c r="U46555" s="135"/>
    </row>
    <row r="46556" spans="20:21" ht="15" customHeight="1" x14ac:dyDescent="0.25">
      <c r="T46556" s="135"/>
      <c r="U46556" s="135"/>
    </row>
    <row r="46557" spans="20:21" ht="15" customHeight="1" x14ac:dyDescent="0.25">
      <c r="T46557" s="135"/>
      <c r="U46557" s="135"/>
    </row>
    <row r="46558" spans="20:21" ht="15" customHeight="1" x14ac:dyDescent="0.25">
      <c r="T46558" s="135"/>
      <c r="U46558" s="135"/>
    </row>
    <row r="46559" spans="20:21" ht="15" customHeight="1" x14ac:dyDescent="0.25">
      <c r="T46559" s="135"/>
      <c r="U46559" s="135"/>
    </row>
    <row r="46560" spans="20:21" ht="15" customHeight="1" x14ac:dyDescent="0.25">
      <c r="T46560" s="135"/>
      <c r="U46560" s="135"/>
    </row>
    <row r="46561" spans="20:21" ht="15" customHeight="1" x14ac:dyDescent="0.25">
      <c r="T46561" s="135"/>
      <c r="U46561" s="135"/>
    </row>
    <row r="46562" spans="20:21" ht="15" customHeight="1" x14ac:dyDescent="0.25">
      <c r="T46562" s="135"/>
      <c r="U46562" s="135"/>
    </row>
    <row r="46563" spans="20:21" ht="15" customHeight="1" x14ac:dyDescent="0.25">
      <c r="T46563" s="135"/>
      <c r="U46563" s="135"/>
    </row>
    <row r="46564" spans="20:21" ht="15" customHeight="1" x14ac:dyDescent="0.25">
      <c r="T46564" s="135"/>
      <c r="U46564" s="135"/>
    </row>
    <row r="46565" spans="20:21" ht="15" customHeight="1" x14ac:dyDescent="0.25">
      <c r="T46565" s="135"/>
      <c r="U46565" s="135"/>
    </row>
    <row r="46566" spans="20:21" ht="15" customHeight="1" x14ac:dyDescent="0.25">
      <c r="T46566" s="135"/>
      <c r="U46566" s="135"/>
    </row>
    <row r="46567" spans="20:21" ht="15" customHeight="1" x14ac:dyDescent="0.25">
      <c r="T46567" s="135"/>
      <c r="U46567" s="135"/>
    </row>
    <row r="46568" spans="20:21" ht="15" customHeight="1" x14ac:dyDescent="0.25">
      <c r="T46568" s="135"/>
      <c r="U46568" s="135"/>
    </row>
    <row r="46569" spans="20:21" ht="15" customHeight="1" x14ac:dyDescent="0.25">
      <c r="T46569" s="135"/>
      <c r="U46569" s="135"/>
    </row>
    <row r="46570" spans="20:21" ht="15" customHeight="1" x14ac:dyDescent="0.25">
      <c r="T46570" s="135"/>
      <c r="U46570" s="135"/>
    </row>
    <row r="46571" spans="20:21" ht="15" customHeight="1" x14ac:dyDescent="0.25">
      <c r="T46571" s="135"/>
      <c r="U46571" s="135"/>
    </row>
    <row r="46572" spans="20:21" ht="15" customHeight="1" x14ac:dyDescent="0.25">
      <c r="T46572" s="135"/>
      <c r="U46572" s="135"/>
    </row>
    <row r="46573" spans="20:21" ht="15" customHeight="1" x14ac:dyDescent="0.25">
      <c r="T46573" s="135"/>
      <c r="U46573" s="135"/>
    </row>
    <row r="46574" spans="20:21" ht="15" customHeight="1" x14ac:dyDescent="0.25">
      <c r="T46574" s="135"/>
      <c r="U46574" s="135"/>
    </row>
    <row r="46575" spans="20:21" ht="15" customHeight="1" x14ac:dyDescent="0.25">
      <c r="T46575" s="135"/>
      <c r="U46575" s="135"/>
    </row>
    <row r="46576" spans="20:21" ht="15" customHeight="1" x14ac:dyDescent="0.25">
      <c r="T46576" s="135"/>
      <c r="U46576" s="135"/>
    </row>
    <row r="46577" spans="20:21" ht="15" customHeight="1" x14ac:dyDescent="0.25">
      <c r="T46577" s="135"/>
      <c r="U46577" s="135"/>
    </row>
    <row r="46578" spans="20:21" ht="15" customHeight="1" x14ac:dyDescent="0.25">
      <c r="T46578" s="135"/>
      <c r="U46578" s="135"/>
    </row>
    <row r="46579" spans="20:21" ht="15" customHeight="1" x14ac:dyDescent="0.25">
      <c r="T46579" s="135"/>
      <c r="U46579" s="135"/>
    </row>
    <row r="46580" spans="20:21" ht="15" customHeight="1" x14ac:dyDescent="0.25">
      <c r="T46580" s="135"/>
      <c r="U46580" s="135"/>
    </row>
    <row r="46581" spans="20:21" ht="15" customHeight="1" x14ac:dyDescent="0.25">
      <c r="T46581" s="135"/>
      <c r="U46581" s="135"/>
    </row>
    <row r="46582" spans="20:21" ht="15" customHeight="1" x14ac:dyDescent="0.25">
      <c r="T46582" s="135"/>
      <c r="U46582" s="135"/>
    </row>
    <row r="46583" spans="20:21" ht="15" customHeight="1" x14ac:dyDescent="0.25">
      <c r="T46583" s="135"/>
      <c r="U46583" s="135"/>
    </row>
    <row r="46584" spans="20:21" ht="15" customHeight="1" x14ac:dyDescent="0.25">
      <c r="T46584" s="135"/>
      <c r="U46584" s="135"/>
    </row>
    <row r="46585" spans="20:21" ht="15" customHeight="1" x14ac:dyDescent="0.25">
      <c r="T46585" s="135"/>
      <c r="U46585" s="135"/>
    </row>
    <row r="46586" spans="20:21" ht="15" customHeight="1" x14ac:dyDescent="0.25">
      <c r="T46586" s="135"/>
      <c r="U46586" s="135"/>
    </row>
    <row r="46587" spans="20:21" ht="15" customHeight="1" x14ac:dyDescent="0.25">
      <c r="T46587" s="135"/>
      <c r="U46587" s="135"/>
    </row>
    <row r="46588" spans="20:21" ht="15" customHeight="1" x14ac:dyDescent="0.25">
      <c r="T46588" s="135"/>
      <c r="U46588" s="135"/>
    </row>
    <row r="46589" spans="20:21" ht="15" customHeight="1" x14ac:dyDescent="0.25">
      <c r="T46589" s="135"/>
      <c r="U46589" s="135"/>
    </row>
    <row r="46590" spans="20:21" ht="15" customHeight="1" x14ac:dyDescent="0.25">
      <c r="T46590" s="135"/>
      <c r="U46590" s="135"/>
    </row>
    <row r="46591" spans="20:21" ht="15" customHeight="1" x14ac:dyDescent="0.25">
      <c r="T46591" s="135"/>
      <c r="U46591" s="135"/>
    </row>
    <row r="46592" spans="20:21" ht="15" customHeight="1" x14ac:dyDescent="0.25">
      <c r="T46592" s="135"/>
      <c r="U46592" s="135"/>
    </row>
    <row r="46593" spans="20:21" ht="15" customHeight="1" x14ac:dyDescent="0.25">
      <c r="T46593" s="135"/>
      <c r="U46593" s="135"/>
    </row>
    <row r="46594" spans="20:21" ht="15" customHeight="1" x14ac:dyDescent="0.25">
      <c r="T46594" s="135"/>
      <c r="U46594" s="135"/>
    </row>
    <row r="46595" spans="20:21" ht="15" customHeight="1" x14ac:dyDescent="0.25">
      <c r="T46595" s="135"/>
      <c r="U46595" s="135"/>
    </row>
    <row r="46596" spans="20:21" ht="15" customHeight="1" x14ac:dyDescent="0.25">
      <c r="T46596" s="135"/>
      <c r="U46596" s="135"/>
    </row>
    <row r="46597" spans="20:21" ht="15" customHeight="1" x14ac:dyDescent="0.25">
      <c r="T46597" s="135"/>
      <c r="U46597" s="135"/>
    </row>
    <row r="46598" spans="20:21" ht="15" customHeight="1" x14ac:dyDescent="0.25">
      <c r="T46598" s="135"/>
      <c r="U46598" s="135"/>
    </row>
    <row r="46599" spans="20:21" ht="15" customHeight="1" x14ac:dyDescent="0.25">
      <c r="T46599" s="135"/>
      <c r="U46599" s="135"/>
    </row>
    <row r="46600" spans="20:21" ht="15" customHeight="1" x14ac:dyDescent="0.25">
      <c r="T46600" s="135"/>
      <c r="U46600" s="135"/>
    </row>
    <row r="46601" spans="20:21" ht="15" customHeight="1" x14ac:dyDescent="0.25">
      <c r="T46601" s="135"/>
      <c r="U46601" s="135"/>
    </row>
    <row r="46602" spans="20:21" ht="15" customHeight="1" x14ac:dyDescent="0.25">
      <c r="T46602" s="135"/>
      <c r="U46602" s="135"/>
    </row>
    <row r="46603" spans="20:21" ht="15" customHeight="1" x14ac:dyDescent="0.25">
      <c r="T46603" s="135"/>
      <c r="U46603" s="135"/>
    </row>
    <row r="46604" spans="20:21" ht="15" customHeight="1" x14ac:dyDescent="0.25">
      <c r="T46604" s="135"/>
      <c r="U46604" s="135"/>
    </row>
    <row r="46605" spans="20:21" ht="15" customHeight="1" x14ac:dyDescent="0.25">
      <c r="T46605" s="135"/>
      <c r="U46605" s="135"/>
    </row>
    <row r="46606" spans="20:21" ht="15" customHeight="1" x14ac:dyDescent="0.25">
      <c r="T46606" s="135"/>
      <c r="U46606" s="135"/>
    </row>
    <row r="46607" spans="20:21" ht="15" customHeight="1" x14ac:dyDescent="0.25">
      <c r="T46607" s="135"/>
      <c r="U46607" s="135"/>
    </row>
    <row r="46608" spans="20:21" ht="15" customHeight="1" x14ac:dyDescent="0.25">
      <c r="T46608" s="135"/>
      <c r="U46608" s="135"/>
    </row>
    <row r="46609" spans="20:21" ht="15" customHeight="1" x14ac:dyDescent="0.25">
      <c r="T46609" s="135"/>
      <c r="U46609" s="135"/>
    </row>
    <row r="46610" spans="20:21" ht="15" customHeight="1" x14ac:dyDescent="0.25">
      <c r="T46610" s="135"/>
      <c r="U46610" s="135"/>
    </row>
    <row r="46611" spans="20:21" ht="15" customHeight="1" x14ac:dyDescent="0.25">
      <c r="T46611" s="135"/>
      <c r="U46611" s="135"/>
    </row>
    <row r="46612" spans="20:21" ht="15" customHeight="1" x14ac:dyDescent="0.25">
      <c r="T46612" s="135"/>
      <c r="U46612" s="135"/>
    </row>
    <row r="46613" spans="20:21" ht="15" customHeight="1" x14ac:dyDescent="0.25">
      <c r="T46613" s="135"/>
      <c r="U46613" s="135"/>
    </row>
    <row r="46614" spans="20:21" ht="15" customHeight="1" x14ac:dyDescent="0.25">
      <c r="T46614" s="135"/>
      <c r="U46614" s="135"/>
    </row>
    <row r="46615" spans="20:21" ht="15" customHeight="1" x14ac:dyDescent="0.25">
      <c r="T46615" s="135"/>
      <c r="U46615" s="135"/>
    </row>
    <row r="46616" spans="20:21" ht="15" customHeight="1" x14ac:dyDescent="0.25">
      <c r="T46616" s="135"/>
      <c r="U46616" s="135"/>
    </row>
    <row r="46617" spans="20:21" ht="15" customHeight="1" x14ac:dyDescent="0.25">
      <c r="T46617" s="135"/>
      <c r="U46617" s="135"/>
    </row>
    <row r="46618" spans="20:21" ht="15" customHeight="1" x14ac:dyDescent="0.25">
      <c r="T46618" s="135"/>
      <c r="U46618" s="135"/>
    </row>
    <row r="46619" spans="20:21" ht="15" customHeight="1" x14ac:dyDescent="0.25">
      <c r="T46619" s="135"/>
      <c r="U46619" s="135"/>
    </row>
    <row r="46620" spans="20:21" ht="15" customHeight="1" x14ac:dyDescent="0.25">
      <c r="T46620" s="135"/>
      <c r="U46620" s="135"/>
    </row>
    <row r="46621" spans="20:21" ht="15" customHeight="1" x14ac:dyDescent="0.25">
      <c r="T46621" s="135"/>
      <c r="U46621" s="135"/>
    </row>
    <row r="46622" spans="20:21" ht="15" customHeight="1" x14ac:dyDescent="0.25">
      <c r="T46622" s="135"/>
      <c r="U46622" s="135"/>
    </row>
    <row r="46623" spans="20:21" ht="15" customHeight="1" x14ac:dyDescent="0.25">
      <c r="T46623" s="135"/>
      <c r="U46623" s="135"/>
    </row>
    <row r="46624" spans="20:21" ht="15" customHeight="1" x14ac:dyDescent="0.25">
      <c r="T46624" s="135"/>
      <c r="U46624" s="135"/>
    </row>
    <row r="46625" spans="20:21" ht="15" customHeight="1" x14ac:dyDescent="0.25">
      <c r="T46625" s="135"/>
      <c r="U46625" s="135"/>
    </row>
    <row r="46626" spans="20:21" ht="15" customHeight="1" x14ac:dyDescent="0.25">
      <c r="T46626" s="135"/>
      <c r="U46626" s="135"/>
    </row>
    <row r="46627" spans="20:21" ht="15" customHeight="1" x14ac:dyDescent="0.25">
      <c r="T46627" s="135"/>
      <c r="U46627" s="135"/>
    </row>
    <row r="46628" spans="20:21" ht="15" customHeight="1" x14ac:dyDescent="0.25">
      <c r="T46628" s="135"/>
      <c r="U46628" s="135"/>
    </row>
    <row r="46629" spans="20:21" ht="15" customHeight="1" x14ac:dyDescent="0.25">
      <c r="T46629" s="135"/>
      <c r="U46629" s="135"/>
    </row>
    <row r="46630" spans="20:21" ht="15" customHeight="1" x14ac:dyDescent="0.25">
      <c r="T46630" s="135"/>
      <c r="U46630" s="135"/>
    </row>
    <row r="46631" spans="20:21" ht="15" customHeight="1" x14ac:dyDescent="0.25">
      <c r="T46631" s="135"/>
      <c r="U46631" s="135"/>
    </row>
    <row r="46632" spans="20:21" ht="15" customHeight="1" x14ac:dyDescent="0.25">
      <c r="T46632" s="135"/>
      <c r="U46632" s="135"/>
    </row>
    <row r="46633" spans="20:21" ht="15" customHeight="1" x14ac:dyDescent="0.25">
      <c r="T46633" s="135"/>
      <c r="U46633" s="135"/>
    </row>
    <row r="46634" spans="20:21" ht="15" customHeight="1" x14ac:dyDescent="0.25">
      <c r="T46634" s="135"/>
      <c r="U46634" s="135"/>
    </row>
    <row r="46635" spans="20:21" ht="15" customHeight="1" x14ac:dyDescent="0.25">
      <c r="T46635" s="135"/>
      <c r="U46635" s="135"/>
    </row>
    <row r="46636" spans="20:21" ht="15" customHeight="1" x14ac:dyDescent="0.25">
      <c r="T46636" s="135"/>
      <c r="U46636" s="135"/>
    </row>
    <row r="46637" spans="20:21" ht="15" customHeight="1" x14ac:dyDescent="0.25">
      <c r="T46637" s="135"/>
      <c r="U46637" s="135"/>
    </row>
    <row r="46638" spans="20:21" ht="15" customHeight="1" x14ac:dyDescent="0.25">
      <c r="T46638" s="135"/>
      <c r="U46638" s="135"/>
    </row>
    <row r="46639" spans="20:21" ht="15" customHeight="1" x14ac:dyDescent="0.25">
      <c r="T46639" s="135"/>
      <c r="U46639" s="135"/>
    </row>
    <row r="46640" spans="20:21" ht="15" customHeight="1" x14ac:dyDescent="0.25">
      <c r="T46640" s="135"/>
      <c r="U46640" s="135"/>
    </row>
    <row r="46641" spans="20:21" ht="15" customHeight="1" x14ac:dyDescent="0.25">
      <c r="T46641" s="135"/>
      <c r="U46641" s="135"/>
    </row>
    <row r="46642" spans="20:21" ht="15" customHeight="1" x14ac:dyDescent="0.25">
      <c r="T46642" s="135"/>
      <c r="U46642" s="135"/>
    </row>
    <row r="46643" spans="20:21" ht="15" customHeight="1" x14ac:dyDescent="0.25">
      <c r="T46643" s="135"/>
      <c r="U46643" s="135"/>
    </row>
    <row r="46644" spans="20:21" ht="15" customHeight="1" x14ac:dyDescent="0.25">
      <c r="T46644" s="135"/>
      <c r="U46644" s="135"/>
    </row>
    <row r="46645" spans="20:21" ht="15" customHeight="1" x14ac:dyDescent="0.25">
      <c r="T46645" s="135"/>
      <c r="U46645" s="135"/>
    </row>
    <row r="46646" spans="20:21" ht="15" customHeight="1" x14ac:dyDescent="0.25">
      <c r="T46646" s="135"/>
      <c r="U46646" s="135"/>
    </row>
    <row r="46647" spans="20:21" ht="15" customHeight="1" x14ac:dyDescent="0.25">
      <c r="T46647" s="135"/>
      <c r="U46647" s="135"/>
    </row>
    <row r="46648" spans="20:21" ht="15" customHeight="1" x14ac:dyDescent="0.25">
      <c r="T46648" s="135"/>
      <c r="U46648" s="135"/>
    </row>
    <row r="46649" spans="20:21" ht="15" customHeight="1" x14ac:dyDescent="0.25">
      <c r="T46649" s="135"/>
      <c r="U46649" s="135"/>
    </row>
    <row r="46650" spans="20:21" ht="15" customHeight="1" x14ac:dyDescent="0.25">
      <c r="T46650" s="135"/>
      <c r="U46650" s="135"/>
    </row>
    <row r="46651" spans="20:21" ht="15" customHeight="1" x14ac:dyDescent="0.25">
      <c r="T46651" s="135"/>
      <c r="U46651" s="135"/>
    </row>
    <row r="46652" spans="20:21" ht="15" customHeight="1" x14ac:dyDescent="0.25">
      <c r="T46652" s="135"/>
      <c r="U46652" s="135"/>
    </row>
    <row r="46653" spans="20:21" ht="15" customHeight="1" x14ac:dyDescent="0.25">
      <c r="T46653" s="135"/>
      <c r="U46653" s="135"/>
    </row>
    <row r="46654" spans="20:21" ht="15" customHeight="1" x14ac:dyDescent="0.25">
      <c r="T46654" s="135"/>
      <c r="U46654" s="135"/>
    </row>
    <row r="46655" spans="20:21" ht="15" customHeight="1" x14ac:dyDescent="0.25">
      <c r="T46655" s="135"/>
      <c r="U46655" s="135"/>
    </row>
    <row r="46656" spans="20:21" ht="15" customHeight="1" x14ac:dyDescent="0.25">
      <c r="T46656" s="135"/>
      <c r="U46656" s="135"/>
    </row>
    <row r="46657" spans="20:21" ht="15" customHeight="1" x14ac:dyDescent="0.25">
      <c r="T46657" s="135"/>
      <c r="U46657" s="135"/>
    </row>
    <row r="46658" spans="20:21" ht="15" customHeight="1" x14ac:dyDescent="0.25">
      <c r="T46658" s="135"/>
      <c r="U46658" s="135"/>
    </row>
    <row r="46659" spans="20:21" ht="15" customHeight="1" x14ac:dyDescent="0.25">
      <c r="T46659" s="135"/>
      <c r="U46659" s="135"/>
    </row>
    <row r="46660" spans="20:21" ht="15" customHeight="1" x14ac:dyDescent="0.25">
      <c r="T46660" s="135"/>
      <c r="U46660" s="135"/>
    </row>
    <row r="46661" spans="20:21" ht="15" customHeight="1" x14ac:dyDescent="0.25">
      <c r="T46661" s="135"/>
      <c r="U46661" s="135"/>
    </row>
    <row r="46662" spans="20:21" ht="15" customHeight="1" x14ac:dyDescent="0.25">
      <c r="T46662" s="135"/>
      <c r="U46662" s="135"/>
    </row>
    <row r="46663" spans="20:21" ht="15" customHeight="1" x14ac:dyDescent="0.25">
      <c r="T46663" s="135"/>
      <c r="U46663" s="135"/>
    </row>
    <row r="46664" spans="20:21" ht="15" customHeight="1" x14ac:dyDescent="0.25">
      <c r="T46664" s="135"/>
      <c r="U46664" s="135"/>
    </row>
    <row r="46665" spans="20:21" ht="15" customHeight="1" x14ac:dyDescent="0.25">
      <c r="T46665" s="135"/>
      <c r="U46665" s="135"/>
    </row>
    <row r="46666" spans="20:21" ht="15" customHeight="1" x14ac:dyDescent="0.25">
      <c r="T46666" s="135"/>
      <c r="U46666" s="135"/>
    </row>
    <row r="46667" spans="20:21" ht="15" customHeight="1" x14ac:dyDescent="0.25">
      <c r="T46667" s="135"/>
      <c r="U46667" s="135"/>
    </row>
    <row r="46668" spans="20:21" ht="15" customHeight="1" x14ac:dyDescent="0.25">
      <c r="T46668" s="135"/>
      <c r="U46668" s="135"/>
    </row>
    <row r="46669" spans="20:21" ht="15" customHeight="1" x14ac:dyDescent="0.25">
      <c r="T46669" s="135"/>
      <c r="U46669" s="135"/>
    </row>
    <row r="46670" spans="20:21" ht="15" customHeight="1" x14ac:dyDescent="0.25">
      <c r="T46670" s="135"/>
      <c r="U46670" s="135"/>
    </row>
    <row r="46671" spans="20:21" ht="15" customHeight="1" x14ac:dyDescent="0.25">
      <c r="T46671" s="135"/>
      <c r="U46671" s="135"/>
    </row>
    <row r="46672" spans="20:21" ht="15" customHeight="1" x14ac:dyDescent="0.25">
      <c r="T46672" s="135"/>
      <c r="U46672" s="135"/>
    </row>
    <row r="46673" spans="20:21" ht="15" customHeight="1" x14ac:dyDescent="0.25">
      <c r="T46673" s="135"/>
      <c r="U46673" s="135"/>
    </row>
    <row r="46674" spans="20:21" ht="15" customHeight="1" x14ac:dyDescent="0.25">
      <c r="T46674" s="135"/>
      <c r="U46674" s="135"/>
    </row>
    <row r="46675" spans="20:21" ht="15" customHeight="1" x14ac:dyDescent="0.25">
      <c r="T46675" s="135"/>
      <c r="U46675" s="135"/>
    </row>
    <row r="46676" spans="20:21" ht="15" customHeight="1" x14ac:dyDescent="0.25">
      <c r="T46676" s="135"/>
      <c r="U46676" s="135"/>
    </row>
    <row r="46677" spans="20:21" ht="15" customHeight="1" x14ac:dyDescent="0.25">
      <c r="T46677" s="135"/>
      <c r="U46677" s="135"/>
    </row>
    <row r="46678" spans="20:21" ht="15" customHeight="1" x14ac:dyDescent="0.25">
      <c r="T46678" s="135"/>
      <c r="U46678" s="135"/>
    </row>
    <row r="46679" spans="20:21" ht="15" customHeight="1" x14ac:dyDescent="0.25">
      <c r="T46679" s="135"/>
      <c r="U46679" s="135"/>
    </row>
    <row r="46680" spans="20:21" ht="15" customHeight="1" x14ac:dyDescent="0.25">
      <c r="T46680" s="135"/>
      <c r="U46680" s="135"/>
    </row>
    <row r="46681" spans="20:21" ht="15" customHeight="1" x14ac:dyDescent="0.25">
      <c r="T46681" s="135"/>
      <c r="U46681" s="135"/>
    </row>
    <row r="46682" spans="20:21" ht="15" customHeight="1" x14ac:dyDescent="0.25">
      <c r="T46682" s="135"/>
      <c r="U46682" s="135"/>
    </row>
    <row r="46683" spans="20:21" ht="15" customHeight="1" x14ac:dyDescent="0.25">
      <c r="T46683" s="135"/>
      <c r="U46683" s="135"/>
    </row>
    <row r="46684" spans="20:21" ht="15" customHeight="1" x14ac:dyDescent="0.25">
      <c r="T46684" s="135"/>
      <c r="U46684" s="135"/>
    </row>
    <row r="46685" spans="20:21" ht="15" customHeight="1" x14ac:dyDescent="0.25">
      <c r="T46685" s="135"/>
      <c r="U46685" s="135"/>
    </row>
    <row r="46686" spans="20:21" ht="15" customHeight="1" x14ac:dyDescent="0.25">
      <c r="T46686" s="135"/>
      <c r="U46686" s="135"/>
    </row>
    <row r="46687" spans="20:21" ht="15" customHeight="1" x14ac:dyDescent="0.25">
      <c r="T46687" s="135"/>
      <c r="U46687" s="135"/>
    </row>
    <row r="46688" spans="20:21" ht="15" customHeight="1" x14ac:dyDescent="0.25">
      <c r="T46688" s="135"/>
      <c r="U46688" s="135"/>
    </row>
    <row r="46689" spans="20:21" ht="15" customHeight="1" x14ac:dyDescent="0.25">
      <c r="T46689" s="135"/>
      <c r="U46689" s="135"/>
    </row>
    <row r="46690" spans="20:21" ht="15" customHeight="1" x14ac:dyDescent="0.25">
      <c r="T46690" s="135"/>
      <c r="U46690" s="135"/>
    </row>
    <row r="46691" spans="20:21" ht="15" customHeight="1" x14ac:dyDescent="0.25">
      <c r="T46691" s="135"/>
      <c r="U46691" s="135"/>
    </row>
    <row r="46692" spans="20:21" ht="15" customHeight="1" x14ac:dyDescent="0.25">
      <c r="T46692" s="135"/>
      <c r="U46692" s="135"/>
    </row>
    <row r="46693" spans="20:21" ht="15" customHeight="1" x14ac:dyDescent="0.25">
      <c r="T46693" s="135"/>
      <c r="U46693" s="135"/>
    </row>
    <row r="46694" spans="20:21" ht="15" customHeight="1" x14ac:dyDescent="0.25">
      <c r="T46694" s="135"/>
      <c r="U46694" s="135"/>
    </row>
    <row r="46695" spans="20:21" ht="15" customHeight="1" x14ac:dyDescent="0.25">
      <c r="T46695" s="135"/>
      <c r="U46695" s="135"/>
    </row>
    <row r="46696" spans="20:21" ht="15" customHeight="1" x14ac:dyDescent="0.25">
      <c r="T46696" s="135"/>
      <c r="U46696" s="135"/>
    </row>
    <row r="46697" spans="20:21" ht="15" customHeight="1" x14ac:dyDescent="0.25">
      <c r="T46697" s="135"/>
      <c r="U46697" s="135"/>
    </row>
    <row r="46698" spans="20:21" ht="15" customHeight="1" x14ac:dyDescent="0.25">
      <c r="T46698" s="135"/>
      <c r="U46698" s="135"/>
    </row>
    <row r="46699" spans="20:21" ht="15" customHeight="1" x14ac:dyDescent="0.25">
      <c r="T46699" s="135"/>
      <c r="U46699" s="135"/>
    </row>
    <row r="46700" spans="20:21" ht="15" customHeight="1" x14ac:dyDescent="0.25">
      <c r="T46700" s="135"/>
      <c r="U46700" s="135"/>
    </row>
    <row r="46701" spans="20:21" ht="15" customHeight="1" x14ac:dyDescent="0.25">
      <c r="T46701" s="135"/>
      <c r="U46701" s="135"/>
    </row>
    <row r="46702" spans="20:21" ht="15" customHeight="1" x14ac:dyDescent="0.25">
      <c r="T46702" s="135"/>
      <c r="U46702" s="135"/>
    </row>
    <row r="46703" spans="20:21" ht="15" customHeight="1" x14ac:dyDescent="0.25">
      <c r="T46703" s="135"/>
      <c r="U46703" s="135"/>
    </row>
    <row r="46704" spans="20:21" ht="15" customHeight="1" x14ac:dyDescent="0.25">
      <c r="T46704" s="135"/>
      <c r="U46704" s="135"/>
    </row>
    <row r="46705" spans="20:21" ht="15" customHeight="1" x14ac:dyDescent="0.25">
      <c r="T46705" s="135"/>
      <c r="U46705" s="135"/>
    </row>
    <row r="46706" spans="20:21" ht="15" customHeight="1" x14ac:dyDescent="0.25">
      <c r="T46706" s="135"/>
      <c r="U46706" s="135"/>
    </row>
    <row r="46707" spans="20:21" ht="15" customHeight="1" x14ac:dyDescent="0.25">
      <c r="T46707" s="135"/>
      <c r="U46707" s="135"/>
    </row>
    <row r="46708" spans="20:21" ht="15" customHeight="1" x14ac:dyDescent="0.25">
      <c r="T46708" s="135"/>
      <c r="U46708" s="135"/>
    </row>
    <row r="46709" spans="20:21" ht="15" customHeight="1" x14ac:dyDescent="0.25">
      <c r="T46709" s="135"/>
      <c r="U46709" s="135"/>
    </row>
    <row r="46710" spans="20:21" ht="15" customHeight="1" x14ac:dyDescent="0.25">
      <c r="T46710" s="135"/>
      <c r="U46710" s="135"/>
    </row>
    <row r="46711" spans="20:21" ht="15" customHeight="1" x14ac:dyDescent="0.25">
      <c r="T46711" s="135"/>
      <c r="U46711" s="135"/>
    </row>
    <row r="46712" spans="20:21" ht="15" customHeight="1" x14ac:dyDescent="0.25">
      <c r="T46712" s="135"/>
      <c r="U46712" s="135"/>
    </row>
    <row r="46713" spans="20:21" ht="15" customHeight="1" x14ac:dyDescent="0.25">
      <c r="T46713" s="135"/>
      <c r="U46713" s="135"/>
    </row>
    <row r="46714" spans="20:21" ht="15" customHeight="1" x14ac:dyDescent="0.25">
      <c r="T46714" s="135"/>
      <c r="U46714" s="135"/>
    </row>
    <row r="46715" spans="20:21" ht="15" customHeight="1" x14ac:dyDescent="0.25">
      <c r="T46715" s="135"/>
      <c r="U46715" s="135"/>
    </row>
    <row r="46716" spans="20:21" ht="15" customHeight="1" x14ac:dyDescent="0.25">
      <c r="T46716" s="135"/>
      <c r="U46716" s="135"/>
    </row>
    <row r="46717" spans="20:21" ht="15" customHeight="1" x14ac:dyDescent="0.25">
      <c r="T46717" s="135"/>
      <c r="U46717" s="135"/>
    </row>
    <row r="46718" spans="20:21" ht="15" customHeight="1" x14ac:dyDescent="0.25">
      <c r="T46718" s="135"/>
      <c r="U46718" s="135"/>
    </row>
    <row r="46719" spans="20:21" ht="15" customHeight="1" x14ac:dyDescent="0.25">
      <c r="T46719" s="135"/>
      <c r="U46719" s="135"/>
    </row>
    <row r="46720" spans="20:21" ht="15" customHeight="1" x14ac:dyDescent="0.25">
      <c r="T46720" s="135"/>
      <c r="U46720" s="135"/>
    </row>
    <row r="46721" spans="20:21" ht="15" customHeight="1" x14ac:dyDescent="0.25">
      <c r="T46721" s="135"/>
      <c r="U46721" s="135"/>
    </row>
    <row r="46722" spans="20:21" ht="15" customHeight="1" x14ac:dyDescent="0.25">
      <c r="T46722" s="135"/>
      <c r="U46722" s="135"/>
    </row>
    <row r="46723" spans="20:21" ht="15" customHeight="1" x14ac:dyDescent="0.25">
      <c r="T46723" s="135"/>
      <c r="U46723" s="135"/>
    </row>
    <row r="46724" spans="20:21" ht="15" customHeight="1" x14ac:dyDescent="0.25">
      <c r="T46724" s="135"/>
      <c r="U46724" s="135"/>
    </row>
    <row r="46725" spans="20:21" ht="15" customHeight="1" x14ac:dyDescent="0.25">
      <c r="T46725" s="135"/>
      <c r="U46725" s="135"/>
    </row>
    <row r="46726" spans="20:21" ht="15" customHeight="1" x14ac:dyDescent="0.25">
      <c r="T46726" s="135"/>
      <c r="U46726" s="135"/>
    </row>
    <row r="46727" spans="20:21" ht="15" customHeight="1" x14ac:dyDescent="0.25">
      <c r="T46727" s="135"/>
      <c r="U46727" s="135"/>
    </row>
    <row r="46728" spans="20:21" ht="15" customHeight="1" x14ac:dyDescent="0.25">
      <c r="T46728" s="135"/>
      <c r="U46728" s="135"/>
    </row>
    <row r="46729" spans="20:21" ht="15" customHeight="1" x14ac:dyDescent="0.25">
      <c r="T46729" s="135"/>
      <c r="U46729" s="135"/>
    </row>
    <row r="46730" spans="20:21" ht="15" customHeight="1" x14ac:dyDescent="0.25">
      <c r="T46730" s="135"/>
      <c r="U46730" s="135"/>
    </row>
    <row r="46731" spans="20:21" ht="15" customHeight="1" x14ac:dyDescent="0.25">
      <c r="T46731" s="135"/>
      <c r="U46731" s="135"/>
    </row>
    <row r="46732" spans="20:21" ht="15" customHeight="1" x14ac:dyDescent="0.25">
      <c r="T46732" s="135"/>
      <c r="U46732" s="135"/>
    </row>
    <row r="46733" spans="20:21" ht="15" customHeight="1" x14ac:dyDescent="0.25">
      <c r="T46733" s="135"/>
      <c r="U46733" s="135"/>
    </row>
    <row r="46734" spans="20:21" ht="15" customHeight="1" x14ac:dyDescent="0.25">
      <c r="T46734" s="135"/>
      <c r="U46734" s="135"/>
    </row>
    <row r="46735" spans="20:21" ht="15" customHeight="1" x14ac:dyDescent="0.25">
      <c r="T46735" s="135"/>
      <c r="U46735" s="135"/>
    </row>
    <row r="46736" spans="20:21" ht="15" customHeight="1" x14ac:dyDescent="0.25">
      <c r="T46736" s="135"/>
      <c r="U46736" s="135"/>
    </row>
    <row r="46737" spans="20:21" ht="15" customHeight="1" x14ac:dyDescent="0.25">
      <c r="T46737" s="135"/>
      <c r="U46737" s="135"/>
    </row>
    <row r="46738" spans="20:21" ht="15" customHeight="1" x14ac:dyDescent="0.25">
      <c r="T46738" s="135"/>
      <c r="U46738" s="135"/>
    </row>
    <row r="46739" spans="20:21" ht="15" customHeight="1" x14ac:dyDescent="0.25">
      <c r="T46739" s="135"/>
      <c r="U46739" s="135"/>
    </row>
    <row r="46740" spans="20:21" ht="15" customHeight="1" x14ac:dyDescent="0.25">
      <c r="T46740" s="135"/>
      <c r="U46740" s="135"/>
    </row>
    <row r="46741" spans="20:21" ht="15" customHeight="1" x14ac:dyDescent="0.25">
      <c r="T46741" s="135"/>
      <c r="U46741" s="135"/>
    </row>
    <row r="46742" spans="20:21" ht="15" customHeight="1" x14ac:dyDescent="0.25">
      <c r="T46742" s="135"/>
      <c r="U46742" s="135"/>
    </row>
    <row r="46743" spans="20:21" ht="15" customHeight="1" x14ac:dyDescent="0.25">
      <c r="T46743" s="135"/>
      <c r="U46743" s="135"/>
    </row>
    <row r="46744" spans="20:21" ht="15" customHeight="1" x14ac:dyDescent="0.25">
      <c r="T46744" s="135"/>
      <c r="U46744" s="135"/>
    </row>
    <row r="46745" spans="20:21" ht="15" customHeight="1" x14ac:dyDescent="0.25">
      <c r="T46745" s="135"/>
      <c r="U46745" s="135"/>
    </row>
    <row r="46746" spans="20:21" ht="15" customHeight="1" x14ac:dyDescent="0.25">
      <c r="T46746" s="135"/>
      <c r="U46746" s="135"/>
    </row>
    <row r="46747" spans="20:21" ht="15" customHeight="1" x14ac:dyDescent="0.25">
      <c r="T46747" s="135"/>
      <c r="U46747" s="135"/>
    </row>
    <row r="46748" spans="20:21" ht="15" customHeight="1" x14ac:dyDescent="0.25">
      <c r="T46748" s="135"/>
      <c r="U46748" s="135"/>
    </row>
    <row r="46749" spans="20:21" ht="15" customHeight="1" x14ac:dyDescent="0.25">
      <c r="T46749" s="135"/>
      <c r="U46749" s="135"/>
    </row>
    <row r="46750" spans="20:21" ht="15" customHeight="1" x14ac:dyDescent="0.25">
      <c r="T46750" s="135"/>
      <c r="U46750" s="135"/>
    </row>
    <row r="46751" spans="20:21" ht="15" customHeight="1" x14ac:dyDescent="0.25">
      <c r="T46751" s="135"/>
      <c r="U46751" s="135"/>
    </row>
    <row r="46752" spans="20:21" ht="15" customHeight="1" x14ac:dyDescent="0.25">
      <c r="T46752" s="135"/>
      <c r="U46752" s="135"/>
    </row>
    <row r="46753" spans="20:21" ht="15" customHeight="1" x14ac:dyDescent="0.25">
      <c r="T46753" s="135"/>
      <c r="U46753" s="135"/>
    </row>
    <row r="46754" spans="20:21" ht="15" customHeight="1" x14ac:dyDescent="0.25">
      <c r="T46754" s="135"/>
      <c r="U46754" s="135"/>
    </row>
    <row r="46755" spans="20:21" ht="15" customHeight="1" x14ac:dyDescent="0.25">
      <c r="T46755" s="135"/>
      <c r="U46755" s="135"/>
    </row>
    <row r="46756" spans="20:21" ht="15" customHeight="1" x14ac:dyDescent="0.25">
      <c r="T46756" s="135"/>
      <c r="U46756" s="135"/>
    </row>
    <row r="46757" spans="20:21" ht="15" customHeight="1" x14ac:dyDescent="0.25">
      <c r="T46757" s="135"/>
      <c r="U46757" s="135"/>
    </row>
    <row r="46758" spans="20:21" ht="15" customHeight="1" x14ac:dyDescent="0.25">
      <c r="T46758" s="135"/>
      <c r="U46758" s="135"/>
    </row>
    <row r="46759" spans="20:21" ht="15" customHeight="1" x14ac:dyDescent="0.25">
      <c r="T46759" s="135"/>
      <c r="U46759" s="135"/>
    </row>
    <row r="46760" spans="20:21" ht="15" customHeight="1" x14ac:dyDescent="0.25">
      <c r="T46760" s="135"/>
      <c r="U46760" s="135"/>
    </row>
    <row r="46761" spans="20:21" ht="15" customHeight="1" x14ac:dyDescent="0.25">
      <c r="T46761" s="135"/>
      <c r="U46761" s="135"/>
    </row>
    <row r="46762" spans="20:21" ht="15" customHeight="1" x14ac:dyDescent="0.25">
      <c r="T46762" s="135"/>
      <c r="U46762" s="135"/>
    </row>
    <row r="46763" spans="20:21" ht="15" customHeight="1" x14ac:dyDescent="0.25">
      <c r="T46763" s="135"/>
      <c r="U46763" s="135"/>
    </row>
    <row r="46764" spans="20:21" ht="15" customHeight="1" x14ac:dyDescent="0.25">
      <c r="T46764" s="135"/>
      <c r="U46764" s="135"/>
    </row>
    <row r="46765" spans="20:21" ht="15" customHeight="1" x14ac:dyDescent="0.25">
      <c r="T46765" s="135"/>
      <c r="U46765" s="135"/>
    </row>
    <row r="46766" spans="20:21" ht="15" customHeight="1" x14ac:dyDescent="0.25">
      <c r="T46766" s="135"/>
      <c r="U46766" s="135"/>
    </row>
    <row r="46767" spans="20:21" ht="15" customHeight="1" x14ac:dyDescent="0.25">
      <c r="T46767" s="135"/>
      <c r="U46767" s="135"/>
    </row>
    <row r="46768" spans="20:21" ht="15" customHeight="1" x14ac:dyDescent="0.25">
      <c r="T46768" s="135"/>
      <c r="U46768" s="135"/>
    </row>
    <row r="46769" spans="20:21" ht="15" customHeight="1" x14ac:dyDescent="0.25">
      <c r="T46769" s="135"/>
      <c r="U46769" s="135"/>
    </row>
    <row r="46770" spans="20:21" ht="15" customHeight="1" x14ac:dyDescent="0.25">
      <c r="T46770" s="135"/>
      <c r="U46770" s="135"/>
    </row>
    <row r="46771" spans="20:21" ht="15" customHeight="1" x14ac:dyDescent="0.25">
      <c r="T46771" s="135"/>
      <c r="U46771" s="135"/>
    </row>
    <row r="46772" spans="20:21" ht="15" customHeight="1" x14ac:dyDescent="0.25">
      <c r="T46772" s="135"/>
      <c r="U46772" s="135"/>
    </row>
    <row r="46773" spans="20:21" ht="15" customHeight="1" x14ac:dyDescent="0.25">
      <c r="T46773" s="135"/>
      <c r="U46773" s="135"/>
    </row>
    <row r="46774" spans="20:21" ht="15" customHeight="1" x14ac:dyDescent="0.25">
      <c r="T46774" s="135"/>
      <c r="U46774" s="135"/>
    </row>
    <row r="46775" spans="20:21" ht="15" customHeight="1" x14ac:dyDescent="0.25">
      <c r="T46775" s="135"/>
      <c r="U46775" s="135"/>
    </row>
    <row r="46776" spans="20:21" ht="15" customHeight="1" x14ac:dyDescent="0.25">
      <c r="T46776" s="135"/>
      <c r="U46776" s="135"/>
    </row>
    <row r="46777" spans="20:21" ht="15" customHeight="1" x14ac:dyDescent="0.25">
      <c r="T46777" s="135"/>
      <c r="U46777" s="135"/>
    </row>
    <row r="46778" spans="20:21" ht="15" customHeight="1" x14ac:dyDescent="0.25">
      <c r="T46778" s="135"/>
      <c r="U46778" s="135"/>
    </row>
    <row r="46779" spans="20:21" ht="15" customHeight="1" x14ac:dyDescent="0.25">
      <c r="T46779" s="135"/>
      <c r="U46779" s="135"/>
    </row>
    <row r="46780" spans="20:21" ht="15" customHeight="1" x14ac:dyDescent="0.25">
      <c r="T46780" s="135"/>
      <c r="U46780" s="135"/>
    </row>
    <row r="46781" spans="20:21" ht="15" customHeight="1" x14ac:dyDescent="0.25">
      <c r="T46781" s="135"/>
      <c r="U46781" s="135"/>
    </row>
    <row r="46782" spans="20:21" ht="15" customHeight="1" x14ac:dyDescent="0.25">
      <c r="T46782" s="135"/>
      <c r="U46782" s="135"/>
    </row>
    <row r="46783" spans="20:21" ht="15" customHeight="1" x14ac:dyDescent="0.25">
      <c r="T46783" s="135"/>
      <c r="U46783" s="135"/>
    </row>
    <row r="46784" spans="20:21" ht="15" customHeight="1" x14ac:dyDescent="0.25">
      <c r="T46784" s="135"/>
      <c r="U46784" s="135"/>
    </row>
    <row r="46785" spans="20:21" ht="15" customHeight="1" x14ac:dyDescent="0.25">
      <c r="T46785" s="135"/>
      <c r="U46785" s="135"/>
    </row>
    <row r="46786" spans="20:21" ht="15" customHeight="1" x14ac:dyDescent="0.25">
      <c r="T46786" s="135"/>
      <c r="U46786" s="135"/>
    </row>
    <row r="46787" spans="20:21" ht="15" customHeight="1" x14ac:dyDescent="0.25">
      <c r="T46787" s="135"/>
      <c r="U46787" s="135"/>
    </row>
    <row r="46788" spans="20:21" ht="15" customHeight="1" x14ac:dyDescent="0.25">
      <c r="T46788" s="135"/>
      <c r="U46788" s="135"/>
    </row>
    <row r="46789" spans="20:21" ht="15" customHeight="1" x14ac:dyDescent="0.25">
      <c r="T46789" s="135"/>
      <c r="U46789" s="135"/>
    </row>
    <row r="46790" spans="20:21" ht="15" customHeight="1" x14ac:dyDescent="0.25">
      <c r="T46790" s="135"/>
      <c r="U46790" s="135"/>
    </row>
    <row r="46791" spans="20:21" ht="15" customHeight="1" x14ac:dyDescent="0.25">
      <c r="T46791" s="135"/>
      <c r="U46791" s="135"/>
    </row>
    <row r="46792" spans="20:21" ht="15" customHeight="1" x14ac:dyDescent="0.25">
      <c r="T46792" s="135"/>
      <c r="U46792" s="135"/>
    </row>
    <row r="46793" spans="20:21" ht="15" customHeight="1" x14ac:dyDescent="0.25">
      <c r="T46793" s="135"/>
      <c r="U46793" s="135"/>
    </row>
    <row r="46794" spans="20:21" ht="15" customHeight="1" x14ac:dyDescent="0.25">
      <c r="T46794" s="135"/>
      <c r="U46794" s="135"/>
    </row>
    <row r="46795" spans="20:21" ht="15" customHeight="1" x14ac:dyDescent="0.25">
      <c r="T46795" s="135"/>
      <c r="U46795" s="135"/>
    </row>
    <row r="46796" spans="20:21" ht="15" customHeight="1" x14ac:dyDescent="0.25">
      <c r="T46796" s="135"/>
      <c r="U46796" s="135"/>
    </row>
    <row r="46797" spans="20:21" ht="15" customHeight="1" x14ac:dyDescent="0.25">
      <c r="T46797" s="135"/>
      <c r="U46797" s="135"/>
    </row>
    <row r="46798" spans="20:21" ht="15" customHeight="1" x14ac:dyDescent="0.25">
      <c r="T46798" s="135"/>
      <c r="U46798" s="135"/>
    </row>
    <row r="46799" spans="20:21" ht="15" customHeight="1" x14ac:dyDescent="0.25">
      <c r="T46799" s="135"/>
      <c r="U46799" s="135"/>
    </row>
    <row r="46800" spans="20:21" ht="15" customHeight="1" x14ac:dyDescent="0.25">
      <c r="T46800" s="135"/>
      <c r="U46800" s="135"/>
    </row>
    <row r="46801" spans="20:21" ht="15" customHeight="1" x14ac:dyDescent="0.25">
      <c r="T46801" s="135"/>
      <c r="U46801" s="135"/>
    </row>
    <row r="46802" spans="20:21" ht="15" customHeight="1" x14ac:dyDescent="0.25">
      <c r="T46802" s="135"/>
      <c r="U46802" s="135"/>
    </row>
    <row r="46803" spans="20:21" ht="15" customHeight="1" x14ac:dyDescent="0.25">
      <c r="T46803" s="135"/>
      <c r="U46803" s="135"/>
    </row>
    <row r="46804" spans="20:21" ht="15" customHeight="1" x14ac:dyDescent="0.25">
      <c r="T46804" s="135"/>
      <c r="U46804" s="135"/>
    </row>
    <row r="46805" spans="20:21" ht="15" customHeight="1" x14ac:dyDescent="0.25">
      <c r="T46805" s="135"/>
      <c r="U46805" s="135"/>
    </row>
    <row r="46806" spans="20:21" ht="15" customHeight="1" x14ac:dyDescent="0.25">
      <c r="T46806" s="135"/>
      <c r="U46806" s="135"/>
    </row>
    <row r="46807" spans="20:21" ht="15" customHeight="1" x14ac:dyDescent="0.25">
      <c r="T46807" s="135"/>
      <c r="U46807" s="135"/>
    </row>
    <row r="46808" spans="20:21" ht="15" customHeight="1" x14ac:dyDescent="0.25">
      <c r="T46808" s="135"/>
      <c r="U46808" s="135"/>
    </row>
    <row r="46809" spans="20:21" ht="15" customHeight="1" x14ac:dyDescent="0.25">
      <c r="T46809" s="135"/>
      <c r="U46809" s="135"/>
    </row>
    <row r="46810" spans="20:21" ht="15" customHeight="1" x14ac:dyDescent="0.25">
      <c r="T46810" s="135"/>
      <c r="U46810" s="135"/>
    </row>
    <row r="46811" spans="20:21" ht="15" customHeight="1" x14ac:dyDescent="0.25">
      <c r="T46811" s="135"/>
      <c r="U46811" s="135"/>
    </row>
    <row r="46812" spans="20:21" ht="15" customHeight="1" x14ac:dyDescent="0.25">
      <c r="T46812" s="135"/>
      <c r="U46812" s="135"/>
    </row>
    <row r="46813" spans="20:21" ht="15" customHeight="1" x14ac:dyDescent="0.25">
      <c r="T46813" s="135"/>
      <c r="U46813" s="135"/>
    </row>
    <row r="46814" spans="20:21" ht="15" customHeight="1" x14ac:dyDescent="0.25">
      <c r="T46814" s="135"/>
      <c r="U46814" s="135"/>
    </row>
    <row r="46815" spans="20:21" ht="15" customHeight="1" x14ac:dyDescent="0.25">
      <c r="T46815" s="135"/>
      <c r="U46815" s="135"/>
    </row>
    <row r="46816" spans="20:21" ht="15" customHeight="1" x14ac:dyDescent="0.25">
      <c r="T46816" s="135"/>
      <c r="U46816" s="135"/>
    </row>
    <row r="46817" spans="20:21" ht="15" customHeight="1" x14ac:dyDescent="0.25">
      <c r="T46817" s="135"/>
      <c r="U46817" s="135"/>
    </row>
    <row r="46818" spans="20:21" ht="15" customHeight="1" x14ac:dyDescent="0.25">
      <c r="T46818" s="135"/>
      <c r="U46818" s="135"/>
    </row>
    <row r="46819" spans="20:21" ht="15" customHeight="1" x14ac:dyDescent="0.25">
      <c r="T46819" s="135"/>
      <c r="U46819" s="135"/>
    </row>
    <row r="46820" spans="20:21" ht="15" customHeight="1" x14ac:dyDescent="0.25">
      <c r="T46820" s="135"/>
      <c r="U46820" s="135"/>
    </row>
    <row r="46821" spans="20:21" ht="15" customHeight="1" x14ac:dyDescent="0.25">
      <c r="T46821" s="135"/>
      <c r="U46821" s="135"/>
    </row>
    <row r="46822" spans="20:21" ht="15" customHeight="1" x14ac:dyDescent="0.25">
      <c r="T46822" s="135"/>
      <c r="U46822" s="135"/>
    </row>
    <row r="46823" spans="20:21" ht="15" customHeight="1" x14ac:dyDescent="0.25">
      <c r="T46823" s="135"/>
      <c r="U46823" s="135"/>
    </row>
    <row r="46824" spans="20:21" ht="15" customHeight="1" x14ac:dyDescent="0.25">
      <c r="T46824" s="135"/>
      <c r="U46824" s="135"/>
    </row>
    <row r="46825" spans="20:21" ht="15" customHeight="1" x14ac:dyDescent="0.25">
      <c r="T46825" s="135"/>
      <c r="U46825" s="135"/>
    </row>
    <row r="46826" spans="20:21" ht="15" customHeight="1" x14ac:dyDescent="0.25">
      <c r="T46826" s="135"/>
      <c r="U46826" s="135"/>
    </row>
    <row r="46827" spans="20:21" ht="15" customHeight="1" x14ac:dyDescent="0.25">
      <c r="T46827" s="135"/>
      <c r="U46827" s="135"/>
    </row>
    <row r="46828" spans="20:21" ht="15" customHeight="1" x14ac:dyDescent="0.25">
      <c r="T46828" s="135"/>
      <c r="U46828" s="135"/>
    </row>
    <row r="46829" spans="20:21" ht="15" customHeight="1" x14ac:dyDescent="0.25">
      <c r="T46829" s="135"/>
      <c r="U46829" s="135"/>
    </row>
    <row r="46830" spans="20:21" ht="15" customHeight="1" x14ac:dyDescent="0.25">
      <c r="T46830" s="135"/>
      <c r="U46830" s="135"/>
    </row>
    <row r="46831" spans="20:21" ht="15" customHeight="1" x14ac:dyDescent="0.25">
      <c r="T46831" s="135"/>
      <c r="U46831" s="135"/>
    </row>
    <row r="46832" spans="20:21" ht="15" customHeight="1" x14ac:dyDescent="0.25">
      <c r="T46832" s="135"/>
      <c r="U46832" s="135"/>
    </row>
    <row r="46833" spans="20:21" ht="15" customHeight="1" x14ac:dyDescent="0.25">
      <c r="T46833" s="135"/>
      <c r="U46833" s="135"/>
    </row>
    <row r="46834" spans="20:21" ht="15" customHeight="1" x14ac:dyDescent="0.25">
      <c r="T46834" s="135"/>
      <c r="U46834" s="135"/>
    </row>
    <row r="46835" spans="20:21" ht="15" customHeight="1" x14ac:dyDescent="0.25">
      <c r="T46835" s="135"/>
      <c r="U46835" s="135"/>
    </row>
    <row r="46836" spans="20:21" ht="15" customHeight="1" x14ac:dyDescent="0.25">
      <c r="T46836" s="135"/>
      <c r="U46836" s="135"/>
    </row>
    <row r="46837" spans="20:21" ht="15" customHeight="1" x14ac:dyDescent="0.25">
      <c r="T46837" s="135"/>
      <c r="U46837" s="135"/>
    </row>
    <row r="46838" spans="20:21" ht="15" customHeight="1" x14ac:dyDescent="0.25">
      <c r="T46838" s="135"/>
      <c r="U46838" s="135"/>
    </row>
    <row r="46839" spans="20:21" ht="15" customHeight="1" x14ac:dyDescent="0.25">
      <c r="T46839" s="135"/>
      <c r="U46839" s="135"/>
    </row>
    <row r="46840" spans="20:21" ht="15" customHeight="1" x14ac:dyDescent="0.25">
      <c r="T46840" s="135"/>
      <c r="U46840" s="135"/>
    </row>
    <row r="46841" spans="20:21" ht="15" customHeight="1" x14ac:dyDescent="0.25">
      <c r="T46841" s="135"/>
      <c r="U46841" s="135"/>
    </row>
    <row r="46842" spans="20:21" ht="15" customHeight="1" x14ac:dyDescent="0.25">
      <c r="T46842" s="135"/>
      <c r="U46842" s="135"/>
    </row>
    <row r="46843" spans="20:21" ht="15" customHeight="1" x14ac:dyDescent="0.25">
      <c r="T46843" s="135"/>
      <c r="U46843" s="135"/>
    </row>
    <row r="46844" spans="20:21" ht="15" customHeight="1" x14ac:dyDescent="0.25">
      <c r="T46844" s="135"/>
      <c r="U46844" s="135"/>
    </row>
    <row r="46845" spans="20:21" ht="15" customHeight="1" x14ac:dyDescent="0.25">
      <c r="T46845" s="135"/>
      <c r="U46845" s="135"/>
    </row>
    <row r="46846" spans="20:21" ht="15" customHeight="1" x14ac:dyDescent="0.25">
      <c r="T46846" s="135"/>
      <c r="U46846" s="135"/>
    </row>
    <row r="46847" spans="20:21" ht="15" customHeight="1" x14ac:dyDescent="0.25">
      <c r="T46847" s="135"/>
      <c r="U46847" s="135"/>
    </row>
    <row r="46848" spans="20:21" ht="15" customHeight="1" x14ac:dyDescent="0.25">
      <c r="T46848" s="135"/>
      <c r="U46848" s="135"/>
    </row>
    <row r="46849" spans="20:21" ht="15" customHeight="1" x14ac:dyDescent="0.25">
      <c r="T46849" s="135"/>
      <c r="U46849" s="135"/>
    </row>
    <row r="46850" spans="20:21" ht="15" customHeight="1" x14ac:dyDescent="0.25">
      <c r="T46850" s="135"/>
      <c r="U46850" s="135"/>
    </row>
    <row r="46851" spans="20:21" ht="15" customHeight="1" x14ac:dyDescent="0.25">
      <c r="T46851" s="135"/>
      <c r="U46851" s="135"/>
    </row>
    <row r="46852" spans="20:21" ht="15" customHeight="1" x14ac:dyDescent="0.25">
      <c r="T46852" s="135"/>
      <c r="U46852" s="135"/>
    </row>
    <row r="46853" spans="20:21" ht="15" customHeight="1" x14ac:dyDescent="0.25">
      <c r="T46853" s="135"/>
      <c r="U46853" s="135"/>
    </row>
    <row r="46854" spans="20:21" ht="15" customHeight="1" x14ac:dyDescent="0.25">
      <c r="T46854" s="135"/>
      <c r="U46854" s="135"/>
    </row>
    <row r="46855" spans="20:21" ht="15" customHeight="1" x14ac:dyDescent="0.25">
      <c r="T46855" s="135"/>
      <c r="U46855" s="135"/>
    </row>
    <row r="46856" spans="20:21" ht="15" customHeight="1" x14ac:dyDescent="0.25">
      <c r="T46856" s="135"/>
      <c r="U46856" s="135"/>
    </row>
    <row r="46857" spans="20:21" ht="15" customHeight="1" x14ac:dyDescent="0.25">
      <c r="T46857" s="135"/>
      <c r="U46857" s="135"/>
    </row>
    <row r="46858" spans="20:21" ht="15" customHeight="1" x14ac:dyDescent="0.25">
      <c r="T46858" s="135"/>
      <c r="U46858" s="135"/>
    </row>
    <row r="46859" spans="20:21" ht="15" customHeight="1" x14ac:dyDescent="0.25">
      <c r="T46859" s="135"/>
      <c r="U46859" s="135"/>
    </row>
    <row r="46860" spans="20:21" ht="15" customHeight="1" x14ac:dyDescent="0.25">
      <c r="T46860" s="135"/>
      <c r="U46860" s="135"/>
    </row>
    <row r="46861" spans="20:21" ht="15" customHeight="1" x14ac:dyDescent="0.25">
      <c r="T46861" s="135"/>
      <c r="U46861" s="135"/>
    </row>
    <row r="46862" spans="20:21" ht="15" customHeight="1" x14ac:dyDescent="0.25">
      <c r="T46862" s="135"/>
      <c r="U46862" s="135"/>
    </row>
    <row r="46863" spans="20:21" ht="15" customHeight="1" x14ac:dyDescent="0.25">
      <c r="T46863" s="135"/>
      <c r="U46863" s="135"/>
    </row>
    <row r="46864" spans="20:21" ht="15" customHeight="1" x14ac:dyDescent="0.25">
      <c r="T46864" s="135"/>
      <c r="U46864" s="135"/>
    </row>
    <row r="46865" spans="20:21" ht="15" customHeight="1" x14ac:dyDescent="0.25">
      <c r="T46865" s="135"/>
      <c r="U46865" s="135"/>
    </row>
    <row r="46866" spans="20:21" ht="15" customHeight="1" x14ac:dyDescent="0.25">
      <c r="T46866" s="135"/>
      <c r="U46866" s="135"/>
    </row>
    <row r="46867" spans="20:21" ht="15" customHeight="1" x14ac:dyDescent="0.25">
      <c r="T46867" s="135"/>
      <c r="U46867" s="135"/>
    </row>
    <row r="46868" spans="20:21" ht="15" customHeight="1" x14ac:dyDescent="0.25">
      <c r="T46868" s="135"/>
      <c r="U46868" s="135"/>
    </row>
    <row r="46869" spans="20:21" ht="15" customHeight="1" x14ac:dyDescent="0.25">
      <c r="T46869" s="135"/>
      <c r="U46869" s="135"/>
    </row>
    <row r="46870" spans="20:21" ht="15" customHeight="1" x14ac:dyDescent="0.25">
      <c r="T46870" s="135"/>
      <c r="U46870" s="135"/>
    </row>
    <row r="46871" spans="20:21" ht="15" customHeight="1" x14ac:dyDescent="0.25">
      <c r="T46871" s="135"/>
      <c r="U46871" s="135"/>
    </row>
    <row r="46872" spans="20:21" ht="15" customHeight="1" x14ac:dyDescent="0.25">
      <c r="T46872" s="135"/>
      <c r="U46872" s="135"/>
    </row>
    <row r="46873" spans="20:21" ht="15" customHeight="1" x14ac:dyDescent="0.25">
      <c r="T46873" s="135"/>
      <c r="U46873" s="135"/>
    </row>
    <row r="46874" spans="20:21" ht="15" customHeight="1" x14ac:dyDescent="0.25">
      <c r="T46874" s="135"/>
      <c r="U46874" s="135"/>
    </row>
    <row r="46875" spans="20:21" ht="15" customHeight="1" x14ac:dyDescent="0.25">
      <c r="T46875" s="135"/>
      <c r="U46875" s="135"/>
    </row>
    <row r="46876" spans="20:21" ht="15" customHeight="1" x14ac:dyDescent="0.25">
      <c r="T46876" s="135"/>
      <c r="U46876" s="135"/>
    </row>
    <row r="46877" spans="20:21" ht="15" customHeight="1" x14ac:dyDescent="0.25">
      <c r="T46877" s="135"/>
      <c r="U46877" s="135"/>
    </row>
    <row r="46878" spans="20:21" ht="15" customHeight="1" x14ac:dyDescent="0.25">
      <c r="T46878" s="135"/>
      <c r="U46878" s="135"/>
    </row>
    <row r="46879" spans="20:21" ht="15" customHeight="1" x14ac:dyDescent="0.25">
      <c r="T46879" s="135"/>
      <c r="U46879" s="135"/>
    </row>
    <row r="46880" spans="20:21" ht="15" customHeight="1" x14ac:dyDescent="0.25">
      <c r="T46880" s="135"/>
      <c r="U46880" s="135"/>
    </row>
    <row r="46881" spans="20:21" ht="15" customHeight="1" x14ac:dyDescent="0.25">
      <c r="T46881" s="135"/>
      <c r="U46881" s="135"/>
    </row>
    <row r="46882" spans="20:21" ht="15" customHeight="1" x14ac:dyDescent="0.25">
      <c r="T46882" s="135"/>
      <c r="U46882" s="135"/>
    </row>
    <row r="46883" spans="20:21" ht="15" customHeight="1" x14ac:dyDescent="0.25">
      <c r="T46883" s="135"/>
      <c r="U46883" s="135"/>
    </row>
    <row r="46884" spans="20:21" ht="15" customHeight="1" x14ac:dyDescent="0.25">
      <c r="T46884" s="135"/>
      <c r="U46884" s="135"/>
    </row>
    <row r="46885" spans="20:21" ht="15" customHeight="1" x14ac:dyDescent="0.25">
      <c r="T46885" s="135"/>
      <c r="U46885" s="135"/>
    </row>
    <row r="46886" spans="20:21" ht="15" customHeight="1" x14ac:dyDescent="0.25">
      <c r="T46886" s="135"/>
      <c r="U46886" s="135"/>
    </row>
    <row r="46887" spans="20:21" ht="15" customHeight="1" x14ac:dyDescent="0.25">
      <c r="T46887" s="135"/>
      <c r="U46887" s="135"/>
    </row>
    <row r="46888" spans="20:21" ht="15" customHeight="1" x14ac:dyDescent="0.25">
      <c r="T46888" s="135"/>
      <c r="U46888" s="135"/>
    </row>
    <row r="46889" spans="20:21" ht="15" customHeight="1" x14ac:dyDescent="0.25">
      <c r="T46889" s="135"/>
      <c r="U46889" s="135"/>
    </row>
    <row r="46890" spans="20:21" ht="15" customHeight="1" x14ac:dyDescent="0.25">
      <c r="T46890" s="135"/>
      <c r="U46890" s="135"/>
    </row>
    <row r="46891" spans="20:21" ht="15" customHeight="1" x14ac:dyDescent="0.25">
      <c r="T46891" s="135"/>
      <c r="U46891" s="135"/>
    </row>
    <row r="46892" spans="20:21" ht="15" customHeight="1" x14ac:dyDescent="0.25">
      <c r="T46892" s="135"/>
      <c r="U46892" s="135"/>
    </row>
    <row r="46893" spans="20:21" ht="15" customHeight="1" x14ac:dyDescent="0.25">
      <c r="T46893" s="135"/>
      <c r="U46893" s="135"/>
    </row>
    <row r="46894" spans="20:21" ht="15" customHeight="1" x14ac:dyDescent="0.25">
      <c r="T46894" s="135"/>
      <c r="U46894" s="135"/>
    </row>
    <row r="46895" spans="20:21" ht="15" customHeight="1" x14ac:dyDescent="0.25">
      <c r="T46895" s="135"/>
      <c r="U46895" s="135"/>
    </row>
    <row r="46896" spans="20:21" ht="15" customHeight="1" x14ac:dyDescent="0.25">
      <c r="T46896" s="135"/>
      <c r="U46896" s="135"/>
    </row>
    <row r="46897" spans="20:21" ht="15" customHeight="1" x14ac:dyDescent="0.25">
      <c r="T46897" s="135"/>
      <c r="U46897" s="135"/>
    </row>
    <row r="46898" spans="20:21" ht="15" customHeight="1" x14ac:dyDescent="0.25">
      <c r="T46898" s="135"/>
      <c r="U46898" s="135"/>
    </row>
    <row r="46899" spans="20:21" ht="15" customHeight="1" x14ac:dyDescent="0.25">
      <c r="T46899" s="135"/>
      <c r="U46899" s="135"/>
    </row>
    <row r="46900" spans="20:21" ht="15" customHeight="1" x14ac:dyDescent="0.25">
      <c r="T46900" s="135"/>
      <c r="U46900" s="135"/>
    </row>
    <row r="46901" spans="20:21" ht="15" customHeight="1" x14ac:dyDescent="0.25">
      <c r="T46901" s="135"/>
      <c r="U46901" s="135"/>
    </row>
    <row r="46902" spans="20:21" ht="15" customHeight="1" x14ac:dyDescent="0.25">
      <c r="T46902" s="135"/>
      <c r="U46902" s="135"/>
    </row>
    <row r="46903" spans="20:21" ht="15" customHeight="1" x14ac:dyDescent="0.25">
      <c r="T46903" s="135"/>
      <c r="U46903" s="135"/>
    </row>
    <row r="46904" spans="20:21" ht="15" customHeight="1" x14ac:dyDescent="0.25">
      <c r="T46904" s="135"/>
      <c r="U46904" s="135"/>
    </row>
    <row r="46905" spans="20:21" ht="15" customHeight="1" x14ac:dyDescent="0.25">
      <c r="T46905" s="135"/>
      <c r="U46905" s="135"/>
    </row>
    <row r="46906" spans="20:21" ht="15" customHeight="1" x14ac:dyDescent="0.25">
      <c r="T46906" s="135"/>
      <c r="U46906" s="135"/>
    </row>
    <row r="46907" spans="20:21" ht="15" customHeight="1" x14ac:dyDescent="0.25">
      <c r="T46907" s="135"/>
      <c r="U46907" s="135"/>
    </row>
    <row r="46908" spans="20:21" ht="15" customHeight="1" x14ac:dyDescent="0.25">
      <c r="T46908" s="135"/>
      <c r="U46908" s="135"/>
    </row>
    <row r="46909" spans="20:21" ht="15" customHeight="1" x14ac:dyDescent="0.25">
      <c r="T46909" s="135"/>
      <c r="U46909" s="135"/>
    </row>
    <row r="46910" spans="20:21" ht="15" customHeight="1" x14ac:dyDescent="0.25">
      <c r="T46910" s="135"/>
      <c r="U46910" s="135"/>
    </row>
    <row r="46911" spans="20:21" ht="15" customHeight="1" x14ac:dyDescent="0.25">
      <c r="T46911" s="135"/>
      <c r="U46911" s="135"/>
    </row>
    <row r="46912" spans="20:21" ht="15" customHeight="1" x14ac:dyDescent="0.25">
      <c r="T46912" s="135"/>
      <c r="U46912" s="135"/>
    </row>
    <row r="46913" spans="20:21" ht="15" customHeight="1" x14ac:dyDescent="0.25">
      <c r="T46913" s="135"/>
      <c r="U46913" s="135"/>
    </row>
    <row r="46914" spans="20:21" ht="15" customHeight="1" x14ac:dyDescent="0.25">
      <c r="T46914" s="135"/>
      <c r="U46914" s="135"/>
    </row>
    <row r="46915" spans="20:21" ht="15" customHeight="1" x14ac:dyDescent="0.25">
      <c r="T46915" s="135"/>
      <c r="U46915" s="135"/>
    </row>
    <row r="46916" spans="20:21" ht="15" customHeight="1" x14ac:dyDescent="0.25">
      <c r="T46916" s="135"/>
      <c r="U46916" s="135"/>
    </row>
    <row r="46917" spans="20:21" ht="15" customHeight="1" x14ac:dyDescent="0.25">
      <c r="T46917" s="135"/>
      <c r="U46917" s="135"/>
    </row>
    <row r="46918" spans="20:21" ht="15" customHeight="1" x14ac:dyDescent="0.25">
      <c r="T46918" s="135"/>
      <c r="U46918" s="135"/>
    </row>
    <row r="46919" spans="20:21" ht="15" customHeight="1" x14ac:dyDescent="0.25">
      <c r="T46919" s="135"/>
      <c r="U46919" s="135"/>
    </row>
    <row r="46920" spans="20:21" ht="15" customHeight="1" x14ac:dyDescent="0.25">
      <c r="T46920" s="135"/>
      <c r="U46920" s="135"/>
    </row>
    <row r="46921" spans="20:21" ht="15" customHeight="1" x14ac:dyDescent="0.25">
      <c r="T46921" s="135"/>
      <c r="U46921" s="135"/>
    </row>
    <row r="46922" spans="20:21" ht="15" customHeight="1" x14ac:dyDescent="0.25">
      <c r="T46922" s="135"/>
      <c r="U46922" s="135"/>
    </row>
    <row r="46923" spans="20:21" ht="15" customHeight="1" x14ac:dyDescent="0.25">
      <c r="T46923" s="135"/>
      <c r="U46923" s="135"/>
    </row>
    <row r="46924" spans="20:21" ht="15" customHeight="1" x14ac:dyDescent="0.25">
      <c r="T46924" s="135"/>
      <c r="U46924" s="135"/>
    </row>
    <row r="46925" spans="20:21" ht="15" customHeight="1" x14ac:dyDescent="0.25">
      <c r="T46925" s="135"/>
      <c r="U46925" s="135"/>
    </row>
    <row r="46926" spans="20:21" ht="15" customHeight="1" x14ac:dyDescent="0.25">
      <c r="T46926" s="135"/>
      <c r="U46926" s="135"/>
    </row>
    <row r="46927" spans="20:21" ht="15" customHeight="1" x14ac:dyDescent="0.25">
      <c r="T46927" s="135"/>
      <c r="U46927" s="135"/>
    </row>
    <row r="46928" spans="20:21" ht="15" customHeight="1" x14ac:dyDescent="0.25">
      <c r="T46928" s="135"/>
      <c r="U46928" s="135"/>
    </row>
    <row r="46929" spans="20:21" ht="15" customHeight="1" x14ac:dyDescent="0.25">
      <c r="T46929" s="135"/>
      <c r="U46929" s="135"/>
    </row>
    <row r="46930" spans="20:21" ht="15" customHeight="1" x14ac:dyDescent="0.25">
      <c r="T46930" s="135"/>
      <c r="U46930" s="135"/>
    </row>
    <row r="46931" spans="20:21" ht="15" customHeight="1" x14ac:dyDescent="0.25">
      <c r="T46931" s="135"/>
      <c r="U46931" s="135"/>
    </row>
    <row r="46932" spans="20:21" ht="15" customHeight="1" x14ac:dyDescent="0.25">
      <c r="T46932" s="135"/>
      <c r="U46932" s="135"/>
    </row>
    <row r="46933" spans="20:21" ht="15" customHeight="1" x14ac:dyDescent="0.25">
      <c r="T46933" s="135"/>
      <c r="U46933" s="135"/>
    </row>
    <row r="46934" spans="20:21" ht="15" customHeight="1" x14ac:dyDescent="0.25">
      <c r="T46934" s="135"/>
      <c r="U46934" s="135"/>
    </row>
    <row r="46935" spans="20:21" ht="15" customHeight="1" x14ac:dyDescent="0.25">
      <c r="T46935" s="135"/>
      <c r="U46935" s="135"/>
    </row>
    <row r="46936" spans="20:21" ht="15" customHeight="1" x14ac:dyDescent="0.25">
      <c r="T46936" s="135"/>
      <c r="U46936" s="135"/>
    </row>
    <row r="46937" spans="20:21" ht="15" customHeight="1" x14ac:dyDescent="0.25">
      <c r="T46937" s="135"/>
      <c r="U46937" s="135"/>
    </row>
    <row r="46938" spans="20:21" ht="15" customHeight="1" x14ac:dyDescent="0.25">
      <c r="T46938" s="135"/>
      <c r="U46938" s="135"/>
    </row>
    <row r="46939" spans="20:21" ht="15" customHeight="1" x14ac:dyDescent="0.25">
      <c r="T46939" s="135"/>
      <c r="U46939" s="135"/>
    </row>
    <row r="46940" spans="20:21" ht="15" customHeight="1" x14ac:dyDescent="0.25">
      <c r="T46940" s="135"/>
      <c r="U46940" s="135"/>
    </row>
    <row r="46941" spans="20:21" ht="15" customHeight="1" x14ac:dyDescent="0.25">
      <c r="T46941" s="135"/>
      <c r="U46941" s="135"/>
    </row>
    <row r="46942" spans="20:21" ht="15" customHeight="1" x14ac:dyDescent="0.25">
      <c r="T46942" s="135"/>
      <c r="U46942" s="135"/>
    </row>
    <row r="46943" spans="20:21" ht="15" customHeight="1" x14ac:dyDescent="0.25">
      <c r="T46943" s="135"/>
      <c r="U46943" s="135"/>
    </row>
    <row r="46944" spans="20:21" ht="15" customHeight="1" x14ac:dyDescent="0.25">
      <c r="T46944" s="135"/>
      <c r="U46944" s="135"/>
    </row>
    <row r="46945" spans="20:21" ht="15" customHeight="1" x14ac:dyDescent="0.25">
      <c r="T46945" s="135"/>
      <c r="U46945" s="135"/>
    </row>
    <row r="46946" spans="20:21" ht="15" customHeight="1" x14ac:dyDescent="0.25">
      <c r="T46946" s="135"/>
      <c r="U46946" s="135"/>
    </row>
    <row r="46947" spans="20:21" ht="15" customHeight="1" x14ac:dyDescent="0.25">
      <c r="T46947" s="135"/>
      <c r="U46947" s="135"/>
    </row>
    <row r="46948" spans="20:21" ht="15" customHeight="1" x14ac:dyDescent="0.25">
      <c r="T46948" s="135"/>
      <c r="U46948" s="135"/>
    </row>
    <row r="46949" spans="20:21" ht="15" customHeight="1" x14ac:dyDescent="0.25">
      <c r="T46949" s="135"/>
      <c r="U46949" s="135"/>
    </row>
    <row r="46950" spans="20:21" ht="15" customHeight="1" x14ac:dyDescent="0.25">
      <c r="T46950" s="135"/>
      <c r="U46950" s="135"/>
    </row>
    <row r="46951" spans="20:21" ht="15" customHeight="1" x14ac:dyDescent="0.25">
      <c r="T46951" s="135"/>
      <c r="U46951" s="135"/>
    </row>
    <row r="46952" spans="20:21" ht="15" customHeight="1" x14ac:dyDescent="0.25">
      <c r="T46952" s="135"/>
      <c r="U46952" s="135"/>
    </row>
    <row r="46953" spans="20:21" ht="15" customHeight="1" x14ac:dyDescent="0.25">
      <c r="T46953" s="135"/>
      <c r="U46953" s="135"/>
    </row>
    <row r="46954" spans="20:21" ht="15" customHeight="1" x14ac:dyDescent="0.25">
      <c r="T46954" s="135"/>
      <c r="U46954" s="135"/>
    </row>
    <row r="46955" spans="20:21" ht="15" customHeight="1" x14ac:dyDescent="0.25">
      <c r="T46955" s="135"/>
      <c r="U46955" s="135"/>
    </row>
    <row r="46956" spans="20:21" ht="15" customHeight="1" x14ac:dyDescent="0.25">
      <c r="T46956" s="135"/>
      <c r="U46956" s="135"/>
    </row>
    <row r="46957" spans="20:21" ht="15" customHeight="1" x14ac:dyDescent="0.25">
      <c r="T46957" s="135"/>
      <c r="U46957" s="135"/>
    </row>
    <row r="46958" spans="20:21" ht="15" customHeight="1" x14ac:dyDescent="0.25">
      <c r="T46958" s="135"/>
      <c r="U46958" s="135"/>
    </row>
    <row r="46959" spans="20:21" ht="15" customHeight="1" x14ac:dyDescent="0.25">
      <c r="T46959" s="135"/>
      <c r="U46959" s="135"/>
    </row>
    <row r="46960" spans="20:21" ht="15" customHeight="1" x14ac:dyDescent="0.25">
      <c r="T46960" s="135"/>
      <c r="U46960" s="135"/>
    </row>
    <row r="46961" spans="20:21" ht="15" customHeight="1" x14ac:dyDescent="0.25">
      <c r="T46961" s="135"/>
      <c r="U46961" s="135"/>
    </row>
    <row r="46962" spans="20:21" ht="15" customHeight="1" x14ac:dyDescent="0.25">
      <c r="T46962" s="135"/>
      <c r="U46962" s="135"/>
    </row>
    <row r="46963" spans="20:21" ht="15" customHeight="1" x14ac:dyDescent="0.25">
      <c r="T46963" s="135"/>
      <c r="U46963" s="135"/>
    </row>
    <row r="46964" spans="20:21" ht="15" customHeight="1" x14ac:dyDescent="0.25">
      <c r="T46964" s="135"/>
      <c r="U46964" s="135"/>
    </row>
    <row r="46965" spans="20:21" ht="15" customHeight="1" x14ac:dyDescent="0.25">
      <c r="T46965" s="135"/>
      <c r="U46965" s="135"/>
    </row>
    <row r="46966" spans="20:21" ht="15" customHeight="1" x14ac:dyDescent="0.25">
      <c r="T46966" s="135"/>
      <c r="U46966" s="135"/>
    </row>
    <row r="46967" spans="20:21" ht="15" customHeight="1" x14ac:dyDescent="0.25">
      <c r="T46967" s="135"/>
      <c r="U46967" s="135"/>
    </row>
    <row r="46968" spans="20:21" ht="15" customHeight="1" x14ac:dyDescent="0.25">
      <c r="T46968" s="135"/>
      <c r="U46968" s="135"/>
    </row>
    <row r="46969" spans="20:21" ht="15" customHeight="1" x14ac:dyDescent="0.25">
      <c r="T46969" s="135"/>
      <c r="U46969" s="135"/>
    </row>
    <row r="46970" spans="20:21" ht="15" customHeight="1" x14ac:dyDescent="0.25">
      <c r="T46970" s="135"/>
      <c r="U46970" s="135"/>
    </row>
    <row r="46971" spans="20:21" ht="15" customHeight="1" x14ac:dyDescent="0.25">
      <c r="T46971" s="135"/>
      <c r="U46971" s="135"/>
    </row>
    <row r="46972" spans="20:21" ht="15" customHeight="1" x14ac:dyDescent="0.25">
      <c r="T46972" s="135"/>
      <c r="U46972" s="135"/>
    </row>
    <row r="46973" spans="20:21" ht="15" customHeight="1" x14ac:dyDescent="0.25">
      <c r="T46973" s="135"/>
      <c r="U46973" s="135"/>
    </row>
    <row r="46974" spans="20:21" ht="15" customHeight="1" x14ac:dyDescent="0.25">
      <c r="T46974" s="135"/>
      <c r="U46974" s="135"/>
    </row>
    <row r="46975" spans="20:21" ht="15" customHeight="1" x14ac:dyDescent="0.25">
      <c r="T46975" s="135"/>
      <c r="U46975" s="135"/>
    </row>
    <row r="46976" spans="20:21" ht="15" customHeight="1" x14ac:dyDescent="0.25">
      <c r="T46976" s="135"/>
      <c r="U46976" s="135"/>
    </row>
    <row r="46977" spans="20:21" ht="15" customHeight="1" x14ac:dyDescent="0.25">
      <c r="T46977" s="135"/>
      <c r="U46977" s="135"/>
    </row>
    <row r="46978" spans="20:21" ht="15" customHeight="1" x14ac:dyDescent="0.25">
      <c r="T46978" s="135"/>
      <c r="U46978" s="135"/>
    </row>
    <row r="46979" spans="20:21" ht="15" customHeight="1" x14ac:dyDescent="0.25">
      <c r="T46979" s="135"/>
      <c r="U46979" s="135"/>
    </row>
    <row r="46980" spans="20:21" ht="15" customHeight="1" x14ac:dyDescent="0.25">
      <c r="T46980" s="135"/>
      <c r="U46980" s="135"/>
    </row>
    <row r="46981" spans="20:21" ht="15" customHeight="1" x14ac:dyDescent="0.25">
      <c r="T46981" s="135"/>
      <c r="U46981" s="135"/>
    </row>
    <row r="46982" spans="20:21" ht="15" customHeight="1" x14ac:dyDescent="0.25">
      <c r="T46982" s="135"/>
      <c r="U46982" s="135"/>
    </row>
    <row r="46983" spans="20:21" ht="15" customHeight="1" x14ac:dyDescent="0.25">
      <c r="T46983" s="135"/>
      <c r="U46983" s="135"/>
    </row>
    <row r="46984" spans="20:21" ht="15" customHeight="1" x14ac:dyDescent="0.25">
      <c r="T46984" s="135"/>
      <c r="U46984" s="135"/>
    </row>
    <row r="46985" spans="20:21" ht="15" customHeight="1" x14ac:dyDescent="0.25">
      <c r="T46985" s="135"/>
      <c r="U46985" s="135"/>
    </row>
    <row r="46986" spans="20:21" ht="15" customHeight="1" x14ac:dyDescent="0.25">
      <c r="T46986" s="135"/>
      <c r="U46986" s="135"/>
    </row>
    <row r="46987" spans="20:21" ht="15" customHeight="1" x14ac:dyDescent="0.25">
      <c r="T46987" s="135"/>
      <c r="U46987" s="135"/>
    </row>
    <row r="46988" spans="20:21" ht="15" customHeight="1" x14ac:dyDescent="0.25">
      <c r="T46988" s="135"/>
      <c r="U46988" s="135"/>
    </row>
    <row r="46989" spans="20:21" ht="15" customHeight="1" x14ac:dyDescent="0.25">
      <c r="T46989" s="135"/>
      <c r="U46989" s="135"/>
    </row>
    <row r="46990" spans="20:21" ht="15" customHeight="1" x14ac:dyDescent="0.25">
      <c r="T46990" s="135"/>
      <c r="U46990" s="135"/>
    </row>
    <row r="46991" spans="20:21" ht="15" customHeight="1" x14ac:dyDescent="0.25">
      <c r="T46991" s="135"/>
      <c r="U46991" s="135"/>
    </row>
    <row r="46992" spans="20:21" ht="15" customHeight="1" x14ac:dyDescent="0.25">
      <c r="T46992" s="135"/>
      <c r="U46992" s="135"/>
    </row>
    <row r="46993" spans="20:21" ht="15" customHeight="1" x14ac:dyDescent="0.25">
      <c r="T46993" s="135"/>
      <c r="U46993" s="135"/>
    </row>
    <row r="46994" spans="20:21" ht="15" customHeight="1" x14ac:dyDescent="0.25">
      <c r="T46994" s="135"/>
      <c r="U46994" s="135"/>
    </row>
    <row r="46995" spans="20:21" ht="15" customHeight="1" x14ac:dyDescent="0.25">
      <c r="T46995" s="135"/>
      <c r="U46995" s="135"/>
    </row>
    <row r="46996" spans="20:21" ht="15" customHeight="1" x14ac:dyDescent="0.25">
      <c r="T46996" s="135"/>
      <c r="U46996" s="135"/>
    </row>
    <row r="46997" spans="20:21" ht="15" customHeight="1" x14ac:dyDescent="0.25">
      <c r="T46997" s="135"/>
      <c r="U46997" s="135"/>
    </row>
    <row r="46998" spans="20:21" ht="15" customHeight="1" x14ac:dyDescent="0.25">
      <c r="T46998" s="135"/>
      <c r="U46998" s="135"/>
    </row>
    <row r="46999" spans="20:21" ht="15" customHeight="1" x14ac:dyDescent="0.25">
      <c r="T46999" s="135"/>
      <c r="U46999" s="135"/>
    </row>
    <row r="47000" spans="20:21" ht="15" customHeight="1" x14ac:dyDescent="0.25">
      <c r="T47000" s="135"/>
      <c r="U47000" s="135"/>
    </row>
    <row r="47001" spans="20:21" ht="15" customHeight="1" x14ac:dyDescent="0.25">
      <c r="T47001" s="135"/>
      <c r="U47001" s="135"/>
    </row>
    <row r="47002" spans="20:21" ht="15" customHeight="1" x14ac:dyDescent="0.25">
      <c r="T47002" s="135"/>
      <c r="U47002" s="135"/>
    </row>
    <row r="47003" spans="20:21" ht="15" customHeight="1" x14ac:dyDescent="0.25">
      <c r="T47003" s="135"/>
      <c r="U47003" s="135"/>
    </row>
    <row r="47004" spans="20:21" ht="15" customHeight="1" x14ac:dyDescent="0.25">
      <c r="T47004" s="135"/>
      <c r="U47004" s="135"/>
    </row>
    <row r="47005" spans="20:21" ht="15" customHeight="1" x14ac:dyDescent="0.25">
      <c r="T47005" s="135"/>
      <c r="U47005" s="135"/>
    </row>
    <row r="47006" spans="20:21" ht="15" customHeight="1" x14ac:dyDescent="0.25">
      <c r="T47006" s="135"/>
      <c r="U47006" s="135"/>
    </row>
    <row r="47007" spans="20:21" ht="15" customHeight="1" x14ac:dyDescent="0.25">
      <c r="T47007" s="135"/>
      <c r="U47007" s="135"/>
    </row>
    <row r="47008" spans="20:21" ht="15" customHeight="1" x14ac:dyDescent="0.25">
      <c r="T47008" s="135"/>
      <c r="U47008" s="135"/>
    </row>
    <row r="47009" spans="20:21" ht="15" customHeight="1" x14ac:dyDescent="0.25">
      <c r="T47009" s="135"/>
      <c r="U47009" s="135"/>
    </row>
    <row r="47010" spans="20:21" ht="15" customHeight="1" x14ac:dyDescent="0.25">
      <c r="T47010" s="135"/>
      <c r="U47010" s="135"/>
    </row>
    <row r="47011" spans="20:21" ht="15" customHeight="1" x14ac:dyDescent="0.25">
      <c r="T47011" s="135"/>
      <c r="U47011" s="135"/>
    </row>
    <row r="47012" spans="20:21" ht="15" customHeight="1" x14ac:dyDescent="0.25">
      <c r="T47012" s="135"/>
      <c r="U47012" s="135"/>
    </row>
    <row r="47013" spans="20:21" ht="15" customHeight="1" x14ac:dyDescent="0.25">
      <c r="T47013" s="135"/>
      <c r="U47013" s="135"/>
    </row>
    <row r="47014" spans="20:21" ht="15" customHeight="1" x14ac:dyDescent="0.25">
      <c r="T47014" s="135"/>
      <c r="U47014" s="135"/>
    </row>
    <row r="47015" spans="20:21" ht="15" customHeight="1" x14ac:dyDescent="0.25">
      <c r="T47015" s="135"/>
      <c r="U47015" s="135"/>
    </row>
    <row r="47016" spans="20:21" ht="15" customHeight="1" x14ac:dyDescent="0.25">
      <c r="T47016" s="135"/>
      <c r="U47016" s="135"/>
    </row>
    <row r="47017" spans="20:21" ht="15" customHeight="1" x14ac:dyDescent="0.25">
      <c r="T47017" s="135"/>
      <c r="U47017" s="135"/>
    </row>
    <row r="47018" spans="20:21" ht="15" customHeight="1" x14ac:dyDescent="0.25">
      <c r="T47018" s="135"/>
      <c r="U47018" s="135"/>
    </row>
    <row r="47019" spans="20:21" ht="15" customHeight="1" x14ac:dyDescent="0.25">
      <c r="T47019" s="135"/>
      <c r="U47019" s="135"/>
    </row>
    <row r="47020" spans="20:21" ht="15" customHeight="1" x14ac:dyDescent="0.25">
      <c r="T47020" s="135"/>
      <c r="U47020" s="135"/>
    </row>
    <row r="47021" spans="20:21" ht="15" customHeight="1" x14ac:dyDescent="0.25">
      <c r="T47021" s="135"/>
      <c r="U47021" s="135"/>
    </row>
    <row r="47022" spans="20:21" ht="15" customHeight="1" x14ac:dyDescent="0.25">
      <c r="T47022" s="135"/>
      <c r="U47022" s="135"/>
    </row>
    <row r="47023" spans="20:21" ht="15" customHeight="1" x14ac:dyDescent="0.25">
      <c r="T47023" s="135"/>
      <c r="U47023" s="135"/>
    </row>
    <row r="47024" spans="20:21" ht="15" customHeight="1" x14ac:dyDescent="0.25">
      <c r="T47024" s="135"/>
      <c r="U47024" s="135"/>
    </row>
    <row r="47025" spans="20:21" ht="15" customHeight="1" x14ac:dyDescent="0.25">
      <c r="T47025" s="135"/>
      <c r="U47025" s="135"/>
    </row>
    <row r="47026" spans="20:21" ht="15" customHeight="1" x14ac:dyDescent="0.25">
      <c r="T47026" s="135"/>
      <c r="U47026" s="135"/>
    </row>
    <row r="47027" spans="20:21" ht="15" customHeight="1" x14ac:dyDescent="0.25">
      <c r="T47027" s="135"/>
      <c r="U47027" s="135"/>
    </row>
    <row r="47028" spans="20:21" ht="15" customHeight="1" x14ac:dyDescent="0.25">
      <c r="T47028" s="135"/>
      <c r="U47028" s="135"/>
    </row>
    <row r="47029" spans="20:21" ht="15" customHeight="1" x14ac:dyDescent="0.25">
      <c r="T47029" s="135"/>
      <c r="U47029" s="135"/>
    </row>
    <row r="47030" spans="20:21" ht="15" customHeight="1" x14ac:dyDescent="0.25">
      <c r="T47030" s="135"/>
      <c r="U47030" s="135"/>
    </row>
    <row r="47031" spans="20:21" ht="15" customHeight="1" x14ac:dyDescent="0.25">
      <c r="T47031" s="135"/>
      <c r="U47031" s="135"/>
    </row>
    <row r="47032" spans="20:21" ht="15" customHeight="1" x14ac:dyDescent="0.25">
      <c r="T47032" s="135"/>
      <c r="U47032" s="135"/>
    </row>
    <row r="47033" spans="20:21" ht="15" customHeight="1" x14ac:dyDescent="0.25">
      <c r="T47033" s="135"/>
      <c r="U47033" s="135"/>
    </row>
    <row r="47034" spans="20:21" ht="15" customHeight="1" x14ac:dyDescent="0.25">
      <c r="T47034" s="135"/>
      <c r="U47034" s="135"/>
    </row>
    <row r="47035" spans="20:21" ht="15" customHeight="1" x14ac:dyDescent="0.25">
      <c r="T47035" s="135"/>
      <c r="U47035" s="135"/>
    </row>
    <row r="47036" spans="20:21" ht="15" customHeight="1" x14ac:dyDescent="0.25">
      <c r="T47036" s="135"/>
      <c r="U47036" s="135"/>
    </row>
    <row r="47037" spans="20:21" ht="15" customHeight="1" x14ac:dyDescent="0.25">
      <c r="T47037" s="135"/>
      <c r="U47037" s="135"/>
    </row>
    <row r="47038" spans="20:21" ht="15" customHeight="1" x14ac:dyDescent="0.25">
      <c r="T47038" s="135"/>
      <c r="U47038" s="135"/>
    </row>
    <row r="47039" spans="20:21" ht="15" customHeight="1" x14ac:dyDescent="0.25">
      <c r="T47039" s="135"/>
      <c r="U47039" s="135"/>
    </row>
    <row r="47040" spans="20:21" ht="15" customHeight="1" x14ac:dyDescent="0.25">
      <c r="T47040" s="135"/>
      <c r="U47040" s="135"/>
    </row>
    <row r="47041" spans="20:21" ht="15" customHeight="1" x14ac:dyDescent="0.25">
      <c r="T47041" s="135"/>
      <c r="U47041" s="135"/>
    </row>
    <row r="47042" spans="20:21" ht="15" customHeight="1" x14ac:dyDescent="0.25">
      <c r="T47042" s="135"/>
      <c r="U47042" s="135"/>
    </row>
    <row r="47043" spans="20:21" ht="15" customHeight="1" x14ac:dyDescent="0.25">
      <c r="T47043" s="135"/>
      <c r="U47043" s="135"/>
    </row>
    <row r="47044" spans="20:21" ht="15" customHeight="1" x14ac:dyDescent="0.25">
      <c r="T47044" s="135"/>
      <c r="U47044" s="135"/>
    </row>
    <row r="47045" spans="20:21" ht="15" customHeight="1" x14ac:dyDescent="0.25">
      <c r="T47045" s="135"/>
      <c r="U47045" s="135"/>
    </row>
    <row r="47046" spans="20:21" ht="15" customHeight="1" x14ac:dyDescent="0.25">
      <c r="T47046" s="135"/>
      <c r="U47046" s="135"/>
    </row>
    <row r="47047" spans="20:21" ht="15" customHeight="1" x14ac:dyDescent="0.25">
      <c r="T47047" s="135"/>
      <c r="U47047" s="135"/>
    </row>
    <row r="47048" spans="20:21" ht="15" customHeight="1" x14ac:dyDescent="0.25">
      <c r="T47048" s="135"/>
      <c r="U47048" s="135"/>
    </row>
    <row r="47049" spans="20:21" ht="15" customHeight="1" x14ac:dyDescent="0.25">
      <c r="T47049" s="135"/>
      <c r="U47049" s="135"/>
    </row>
    <row r="47050" spans="20:21" ht="15" customHeight="1" x14ac:dyDescent="0.25">
      <c r="T47050" s="135"/>
      <c r="U47050" s="135"/>
    </row>
    <row r="47051" spans="20:21" ht="15" customHeight="1" x14ac:dyDescent="0.25">
      <c r="T47051" s="135"/>
      <c r="U47051" s="135"/>
    </row>
    <row r="47052" spans="20:21" ht="15" customHeight="1" x14ac:dyDescent="0.25">
      <c r="T47052" s="135"/>
      <c r="U47052" s="135"/>
    </row>
    <row r="47053" spans="20:21" ht="15" customHeight="1" x14ac:dyDescent="0.25">
      <c r="T47053" s="135"/>
      <c r="U47053" s="135"/>
    </row>
    <row r="47054" spans="20:21" ht="15" customHeight="1" x14ac:dyDescent="0.25">
      <c r="T47054" s="135"/>
      <c r="U47054" s="135"/>
    </row>
    <row r="47055" spans="20:21" ht="15" customHeight="1" x14ac:dyDescent="0.25">
      <c r="T47055" s="135"/>
      <c r="U47055" s="135"/>
    </row>
    <row r="47056" spans="20:21" ht="15" customHeight="1" x14ac:dyDescent="0.25">
      <c r="T47056" s="135"/>
      <c r="U47056" s="135"/>
    </row>
    <row r="47057" spans="20:21" ht="15" customHeight="1" x14ac:dyDescent="0.25">
      <c r="T47057" s="135"/>
      <c r="U47057" s="135"/>
    </row>
    <row r="47058" spans="20:21" ht="15" customHeight="1" x14ac:dyDescent="0.25">
      <c r="T47058" s="135"/>
      <c r="U47058" s="135"/>
    </row>
    <row r="47059" spans="20:21" ht="15" customHeight="1" x14ac:dyDescent="0.25">
      <c r="T47059" s="135"/>
      <c r="U47059" s="135"/>
    </row>
    <row r="47060" spans="20:21" ht="15" customHeight="1" x14ac:dyDescent="0.25">
      <c r="T47060" s="135"/>
      <c r="U47060" s="135"/>
    </row>
    <row r="47061" spans="20:21" ht="15" customHeight="1" x14ac:dyDescent="0.25">
      <c r="T47061" s="135"/>
      <c r="U47061" s="135"/>
    </row>
    <row r="47062" spans="20:21" ht="15" customHeight="1" x14ac:dyDescent="0.25">
      <c r="T47062" s="135"/>
      <c r="U47062" s="135"/>
    </row>
    <row r="47063" spans="20:21" ht="15" customHeight="1" x14ac:dyDescent="0.25">
      <c r="T47063" s="135"/>
      <c r="U47063" s="135"/>
    </row>
    <row r="47064" spans="20:21" ht="15" customHeight="1" x14ac:dyDescent="0.25">
      <c r="T47064" s="135"/>
      <c r="U47064" s="135"/>
    </row>
    <row r="47065" spans="20:21" ht="15" customHeight="1" x14ac:dyDescent="0.25">
      <c r="T47065" s="135"/>
      <c r="U47065" s="135"/>
    </row>
    <row r="47066" spans="20:21" ht="15" customHeight="1" x14ac:dyDescent="0.25">
      <c r="T47066" s="135"/>
      <c r="U47066" s="135"/>
    </row>
    <row r="47067" spans="20:21" ht="15" customHeight="1" x14ac:dyDescent="0.25">
      <c r="T47067" s="135"/>
      <c r="U47067" s="135"/>
    </row>
    <row r="47068" spans="20:21" ht="15" customHeight="1" x14ac:dyDescent="0.25">
      <c r="T47068" s="135"/>
      <c r="U47068" s="135"/>
    </row>
    <row r="47069" spans="20:21" ht="15" customHeight="1" x14ac:dyDescent="0.25">
      <c r="T47069" s="135"/>
      <c r="U47069" s="135"/>
    </row>
    <row r="47070" spans="20:21" ht="15" customHeight="1" x14ac:dyDescent="0.25">
      <c r="T47070" s="135"/>
      <c r="U47070" s="135"/>
    </row>
    <row r="47071" spans="20:21" ht="15" customHeight="1" x14ac:dyDescent="0.25">
      <c r="T47071" s="135"/>
      <c r="U47071" s="135"/>
    </row>
    <row r="47072" spans="20:21" ht="15" customHeight="1" x14ac:dyDescent="0.25">
      <c r="T47072" s="135"/>
      <c r="U47072" s="135"/>
    </row>
    <row r="47073" spans="20:21" ht="15" customHeight="1" x14ac:dyDescent="0.25">
      <c r="T47073" s="135"/>
      <c r="U47073" s="135"/>
    </row>
    <row r="47074" spans="20:21" ht="15" customHeight="1" x14ac:dyDescent="0.25">
      <c r="T47074" s="135"/>
      <c r="U47074" s="135"/>
    </row>
    <row r="47075" spans="20:21" ht="15" customHeight="1" x14ac:dyDescent="0.25">
      <c r="T47075" s="135"/>
      <c r="U47075" s="135"/>
    </row>
    <row r="47076" spans="20:21" ht="15" customHeight="1" x14ac:dyDescent="0.25">
      <c r="T47076" s="135"/>
      <c r="U47076" s="135"/>
    </row>
    <row r="47077" spans="20:21" ht="15" customHeight="1" x14ac:dyDescent="0.25">
      <c r="T47077" s="135"/>
      <c r="U47077" s="135"/>
    </row>
    <row r="47078" spans="20:21" ht="15" customHeight="1" x14ac:dyDescent="0.25">
      <c r="T47078" s="135"/>
      <c r="U47078" s="135"/>
    </row>
    <row r="47079" spans="20:21" ht="15" customHeight="1" x14ac:dyDescent="0.25">
      <c r="T47079" s="135"/>
      <c r="U47079" s="135"/>
    </row>
    <row r="47080" spans="20:21" ht="15" customHeight="1" x14ac:dyDescent="0.25">
      <c r="T47080" s="135"/>
      <c r="U47080" s="135"/>
    </row>
    <row r="47081" spans="20:21" ht="15" customHeight="1" x14ac:dyDescent="0.25">
      <c r="T47081" s="135"/>
      <c r="U47081" s="135"/>
    </row>
    <row r="47082" spans="20:21" ht="15" customHeight="1" x14ac:dyDescent="0.25">
      <c r="T47082" s="135"/>
      <c r="U47082" s="135"/>
    </row>
    <row r="47083" spans="20:21" ht="15" customHeight="1" x14ac:dyDescent="0.25">
      <c r="T47083" s="135"/>
      <c r="U47083" s="135"/>
    </row>
    <row r="47084" spans="20:21" ht="15" customHeight="1" x14ac:dyDescent="0.25">
      <c r="T47084" s="135"/>
      <c r="U47084" s="135"/>
    </row>
    <row r="47085" spans="20:21" ht="15" customHeight="1" x14ac:dyDescent="0.25">
      <c r="T47085" s="135"/>
      <c r="U47085" s="135"/>
    </row>
    <row r="47086" spans="20:21" ht="15" customHeight="1" x14ac:dyDescent="0.25">
      <c r="T47086" s="135"/>
      <c r="U47086" s="135"/>
    </row>
    <row r="47087" spans="20:21" ht="15" customHeight="1" x14ac:dyDescent="0.25">
      <c r="T47087" s="135"/>
      <c r="U47087" s="135"/>
    </row>
    <row r="47088" spans="20:21" ht="15" customHeight="1" x14ac:dyDescent="0.25">
      <c r="T47088" s="135"/>
      <c r="U47088" s="135"/>
    </row>
    <row r="47089" spans="20:21" ht="15" customHeight="1" x14ac:dyDescent="0.25">
      <c r="T47089" s="135"/>
      <c r="U47089" s="135"/>
    </row>
    <row r="47090" spans="20:21" ht="15" customHeight="1" x14ac:dyDescent="0.25">
      <c r="T47090" s="135"/>
      <c r="U47090" s="135"/>
    </row>
    <row r="47091" spans="20:21" ht="15" customHeight="1" x14ac:dyDescent="0.25">
      <c r="T47091" s="135"/>
      <c r="U47091" s="135"/>
    </row>
    <row r="47092" spans="20:21" ht="15" customHeight="1" x14ac:dyDescent="0.25">
      <c r="T47092" s="135"/>
      <c r="U47092" s="135"/>
    </row>
    <row r="47093" spans="20:21" ht="15" customHeight="1" x14ac:dyDescent="0.25">
      <c r="T47093" s="135"/>
      <c r="U47093" s="135"/>
    </row>
    <row r="47094" spans="20:21" ht="15" customHeight="1" x14ac:dyDescent="0.25">
      <c r="T47094" s="135"/>
      <c r="U47094" s="135"/>
    </row>
    <row r="47095" spans="20:21" ht="15" customHeight="1" x14ac:dyDescent="0.25">
      <c r="T47095" s="135"/>
      <c r="U47095" s="135"/>
    </row>
    <row r="47096" spans="20:21" ht="15" customHeight="1" x14ac:dyDescent="0.25">
      <c r="T47096" s="135"/>
      <c r="U47096" s="135"/>
    </row>
    <row r="47097" spans="20:21" ht="15" customHeight="1" x14ac:dyDescent="0.25">
      <c r="T47097" s="135"/>
      <c r="U47097" s="135"/>
    </row>
    <row r="47098" spans="20:21" ht="15" customHeight="1" x14ac:dyDescent="0.25">
      <c r="T47098" s="135"/>
      <c r="U47098" s="135"/>
    </row>
    <row r="47099" spans="20:21" ht="15" customHeight="1" x14ac:dyDescent="0.25">
      <c r="T47099" s="135"/>
      <c r="U47099" s="135"/>
    </row>
    <row r="47100" spans="20:21" ht="15" customHeight="1" x14ac:dyDescent="0.25">
      <c r="T47100" s="135"/>
      <c r="U47100" s="135"/>
    </row>
    <row r="47101" spans="20:21" ht="15" customHeight="1" x14ac:dyDescent="0.25">
      <c r="T47101" s="135"/>
      <c r="U47101" s="135"/>
    </row>
    <row r="47102" spans="20:21" ht="15" customHeight="1" x14ac:dyDescent="0.25">
      <c r="T47102" s="135"/>
      <c r="U47102" s="135"/>
    </row>
    <row r="47103" spans="20:21" ht="15" customHeight="1" x14ac:dyDescent="0.25">
      <c r="T47103" s="135"/>
      <c r="U47103" s="135"/>
    </row>
    <row r="47104" spans="20:21" ht="15" customHeight="1" x14ac:dyDescent="0.25">
      <c r="T47104" s="135"/>
      <c r="U47104" s="135"/>
    </row>
    <row r="47105" spans="20:21" ht="15" customHeight="1" x14ac:dyDescent="0.25">
      <c r="T47105" s="135"/>
      <c r="U47105" s="135"/>
    </row>
    <row r="47106" spans="20:21" ht="15" customHeight="1" x14ac:dyDescent="0.25">
      <c r="T47106" s="135"/>
      <c r="U47106" s="135"/>
    </row>
    <row r="47107" spans="20:21" ht="15" customHeight="1" x14ac:dyDescent="0.25">
      <c r="T47107" s="135"/>
      <c r="U47107" s="135"/>
    </row>
    <row r="47108" spans="20:21" ht="15" customHeight="1" x14ac:dyDescent="0.25">
      <c r="T47108" s="135"/>
      <c r="U47108" s="135"/>
    </row>
    <row r="47109" spans="20:21" ht="15" customHeight="1" x14ac:dyDescent="0.25">
      <c r="T47109" s="135"/>
      <c r="U47109" s="135"/>
    </row>
    <row r="47110" spans="20:21" ht="15" customHeight="1" x14ac:dyDescent="0.25">
      <c r="T47110" s="135"/>
      <c r="U47110" s="135"/>
    </row>
    <row r="47111" spans="20:21" ht="15" customHeight="1" x14ac:dyDescent="0.25">
      <c r="T47111" s="135"/>
      <c r="U47111" s="135"/>
    </row>
    <row r="47112" spans="20:21" ht="15" customHeight="1" x14ac:dyDescent="0.25">
      <c r="T47112" s="135"/>
      <c r="U47112" s="135"/>
    </row>
    <row r="47113" spans="20:21" ht="15" customHeight="1" x14ac:dyDescent="0.25">
      <c r="T47113" s="135"/>
      <c r="U47113" s="135"/>
    </row>
    <row r="47114" spans="20:21" ht="15" customHeight="1" x14ac:dyDescent="0.25">
      <c r="T47114" s="135"/>
      <c r="U47114" s="135"/>
    </row>
    <row r="47115" spans="20:21" ht="15" customHeight="1" x14ac:dyDescent="0.25">
      <c r="T47115" s="135"/>
      <c r="U47115" s="135"/>
    </row>
    <row r="47116" spans="20:21" ht="15" customHeight="1" x14ac:dyDescent="0.25">
      <c r="T47116" s="135"/>
      <c r="U47116" s="135"/>
    </row>
    <row r="47117" spans="20:21" ht="15" customHeight="1" x14ac:dyDescent="0.25">
      <c r="T47117" s="135"/>
      <c r="U47117" s="135"/>
    </row>
    <row r="47118" spans="20:21" ht="15" customHeight="1" x14ac:dyDescent="0.25">
      <c r="T47118" s="135"/>
      <c r="U47118" s="135"/>
    </row>
    <row r="47119" spans="20:21" ht="15" customHeight="1" x14ac:dyDescent="0.25">
      <c r="T47119" s="135"/>
      <c r="U47119" s="135"/>
    </row>
    <row r="47120" spans="20:21" ht="15" customHeight="1" x14ac:dyDescent="0.25">
      <c r="T47120" s="135"/>
      <c r="U47120" s="135"/>
    </row>
    <row r="47121" spans="20:21" ht="15" customHeight="1" x14ac:dyDescent="0.25">
      <c r="T47121" s="135"/>
      <c r="U47121" s="135"/>
    </row>
    <row r="47122" spans="20:21" ht="15" customHeight="1" x14ac:dyDescent="0.25">
      <c r="T47122" s="135"/>
      <c r="U47122" s="135"/>
    </row>
    <row r="47123" spans="20:21" ht="15" customHeight="1" x14ac:dyDescent="0.25">
      <c r="T47123" s="135"/>
      <c r="U47123" s="135"/>
    </row>
    <row r="47124" spans="20:21" ht="15" customHeight="1" x14ac:dyDescent="0.25">
      <c r="T47124" s="135"/>
      <c r="U47124" s="135"/>
    </row>
    <row r="47125" spans="20:21" ht="15" customHeight="1" x14ac:dyDescent="0.25">
      <c r="T47125" s="135"/>
      <c r="U47125" s="135"/>
    </row>
    <row r="47126" spans="20:21" ht="15" customHeight="1" x14ac:dyDescent="0.25">
      <c r="T47126" s="135"/>
      <c r="U47126" s="135"/>
    </row>
    <row r="47127" spans="20:21" ht="15" customHeight="1" x14ac:dyDescent="0.25">
      <c r="T47127" s="135"/>
      <c r="U47127" s="135"/>
    </row>
    <row r="47128" spans="20:21" ht="15" customHeight="1" x14ac:dyDescent="0.25">
      <c r="T47128" s="135"/>
      <c r="U47128" s="135"/>
    </row>
    <row r="47129" spans="20:21" ht="15" customHeight="1" x14ac:dyDescent="0.25">
      <c r="T47129" s="135"/>
      <c r="U47129" s="135"/>
    </row>
    <row r="47130" spans="20:21" ht="15" customHeight="1" x14ac:dyDescent="0.25">
      <c r="T47130" s="135"/>
      <c r="U47130" s="135"/>
    </row>
    <row r="47131" spans="20:21" ht="15" customHeight="1" x14ac:dyDescent="0.25">
      <c r="T47131" s="135"/>
      <c r="U47131" s="135"/>
    </row>
    <row r="47132" spans="20:21" ht="15" customHeight="1" x14ac:dyDescent="0.25">
      <c r="T47132" s="135"/>
      <c r="U47132" s="135"/>
    </row>
    <row r="47133" spans="20:21" ht="15" customHeight="1" x14ac:dyDescent="0.25">
      <c r="T47133" s="135"/>
      <c r="U47133" s="135"/>
    </row>
    <row r="47134" spans="20:21" ht="15" customHeight="1" x14ac:dyDescent="0.25">
      <c r="T47134" s="135"/>
      <c r="U47134" s="135"/>
    </row>
    <row r="47135" spans="20:21" ht="15" customHeight="1" x14ac:dyDescent="0.25">
      <c r="T47135" s="135"/>
      <c r="U47135" s="135"/>
    </row>
    <row r="47136" spans="20:21" ht="15" customHeight="1" x14ac:dyDescent="0.25">
      <c r="T47136" s="135"/>
      <c r="U47136" s="135"/>
    </row>
    <row r="47137" spans="20:21" ht="15" customHeight="1" x14ac:dyDescent="0.25">
      <c r="T47137" s="135"/>
      <c r="U47137" s="135"/>
    </row>
    <row r="47138" spans="20:21" ht="15" customHeight="1" x14ac:dyDescent="0.25">
      <c r="T47138" s="135"/>
      <c r="U47138" s="135"/>
    </row>
    <row r="47139" spans="20:21" ht="15" customHeight="1" x14ac:dyDescent="0.25">
      <c r="T47139" s="135"/>
      <c r="U47139" s="135"/>
    </row>
    <row r="47140" spans="20:21" ht="15" customHeight="1" x14ac:dyDescent="0.25">
      <c r="T47140" s="135"/>
      <c r="U47140" s="135"/>
    </row>
    <row r="47141" spans="20:21" ht="15" customHeight="1" x14ac:dyDescent="0.25">
      <c r="T47141" s="135"/>
      <c r="U47141" s="135"/>
    </row>
    <row r="47142" spans="20:21" ht="15" customHeight="1" x14ac:dyDescent="0.25">
      <c r="T47142" s="135"/>
      <c r="U47142" s="135"/>
    </row>
    <row r="47143" spans="20:21" ht="15" customHeight="1" x14ac:dyDescent="0.25">
      <c r="T47143" s="135"/>
      <c r="U47143" s="135"/>
    </row>
    <row r="47144" spans="20:21" ht="15" customHeight="1" x14ac:dyDescent="0.25">
      <c r="T47144" s="135"/>
      <c r="U47144" s="135"/>
    </row>
    <row r="47145" spans="20:21" ht="15" customHeight="1" x14ac:dyDescent="0.25">
      <c r="T47145" s="135"/>
      <c r="U47145" s="135"/>
    </row>
    <row r="47146" spans="20:21" ht="15" customHeight="1" x14ac:dyDescent="0.25">
      <c r="T47146" s="135"/>
      <c r="U47146" s="135"/>
    </row>
    <row r="47147" spans="20:21" ht="15" customHeight="1" x14ac:dyDescent="0.25">
      <c r="T47147" s="135"/>
      <c r="U47147" s="135"/>
    </row>
    <row r="47148" spans="20:21" ht="15" customHeight="1" x14ac:dyDescent="0.25">
      <c r="T47148" s="135"/>
      <c r="U47148" s="135"/>
    </row>
    <row r="47149" spans="20:21" ht="15" customHeight="1" x14ac:dyDescent="0.25">
      <c r="T47149" s="135"/>
      <c r="U47149" s="135"/>
    </row>
    <row r="47150" spans="20:21" ht="15" customHeight="1" x14ac:dyDescent="0.25">
      <c r="T47150" s="135"/>
      <c r="U47150" s="135"/>
    </row>
    <row r="47151" spans="20:21" ht="15" customHeight="1" x14ac:dyDescent="0.25">
      <c r="T47151" s="135"/>
      <c r="U47151" s="135"/>
    </row>
    <row r="47152" spans="20:21" ht="15" customHeight="1" x14ac:dyDescent="0.25">
      <c r="T47152" s="135"/>
      <c r="U47152" s="135"/>
    </row>
    <row r="47153" spans="20:21" ht="15" customHeight="1" x14ac:dyDescent="0.25">
      <c r="T47153" s="135"/>
      <c r="U47153" s="135"/>
    </row>
    <row r="47154" spans="20:21" ht="15" customHeight="1" x14ac:dyDescent="0.25">
      <c r="T47154" s="135"/>
      <c r="U47154" s="135"/>
    </row>
    <row r="47155" spans="20:21" ht="15" customHeight="1" x14ac:dyDescent="0.25">
      <c r="T47155" s="135"/>
      <c r="U47155" s="135"/>
    </row>
    <row r="47156" spans="20:21" ht="15" customHeight="1" x14ac:dyDescent="0.25">
      <c r="T47156" s="135"/>
      <c r="U47156" s="135"/>
    </row>
    <row r="47157" spans="20:21" ht="15" customHeight="1" x14ac:dyDescent="0.25">
      <c r="T47157" s="135"/>
      <c r="U47157" s="135"/>
    </row>
    <row r="47158" spans="20:21" ht="15" customHeight="1" x14ac:dyDescent="0.25">
      <c r="T47158" s="135"/>
      <c r="U47158" s="135"/>
    </row>
    <row r="47159" spans="20:21" ht="15" customHeight="1" x14ac:dyDescent="0.25">
      <c r="T47159" s="135"/>
      <c r="U47159" s="135"/>
    </row>
    <row r="47160" spans="20:21" ht="15" customHeight="1" x14ac:dyDescent="0.25">
      <c r="T47160" s="135"/>
      <c r="U47160" s="135"/>
    </row>
    <row r="47161" spans="20:21" ht="15" customHeight="1" x14ac:dyDescent="0.25">
      <c r="T47161" s="135"/>
      <c r="U47161" s="135"/>
    </row>
    <row r="47162" spans="20:21" ht="15" customHeight="1" x14ac:dyDescent="0.25">
      <c r="T47162" s="135"/>
      <c r="U47162" s="135"/>
    </row>
    <row r="47163" spans="20:21" ht="15" customHeight="1" x14ac:dyDescent="0.25">
      <c r="T47163" s="135"/>
      <c r="U47163" s="135"/>
    </row>
    <row r="47164" spans="20:21" ht="15" customHeight="1" x14ac:dyDescent="0.25">
      <c r="T47164" s="135"/>
      <c r="U47164" s="135"/>
    </row>
    <row r="47165" spans="20:21" ht="15" customHeight="1" x14ac:dyDescent="0.25">
      <c r="T47165" s="135"/>
      <c r="U47165" s="135"/>
    </row>
    <row r="47166" spans="20:21" ht="15" customHeight="1" x14ac:dyDescent="0.25">
      <c r="T47166" s="135"/>
      <c r="U47166" s="135"/>
    </row>
    <row r="47167" spans="20:21" ht="15" customHeight="1" x14ac:dyDescent="0.25">
      <c r="T47167" s="135"/>
      <c r="U47167" s="135"/>
    </row>
    <row r="47168" spans="20:21" ht="15" customHeight="1" x14ac:dyDescent="0.25">
      <c r="T47168" s="135"/>
      <c r="U47168" s="135"/>
    </row>
    <row r="47169" spans="20:21" ht="15" customHeight="1" x14ac:dyDescent="0.25">
      <c r="T47169" s="135"/>
      <c r="U47169" s="135"/>
    </row>
    <row r="47170" spans="20:21" ht="15" customHeight="1" x14ac:dyDescent="0.25">
      <c r="T47170" s="135"/>
      <c r="U47170" s="135"/>
    </row>
    <row r="47171" spans="20:21" ht="15" customHeight="1" x14ac:dyDescent="0.25">
      <c r="T47171" s="135"/>
      <c r="U47171" s="135"/>
    </row>
    <row r="47172" spans="20:21" ht="15" customHeight="1" x14ac:dyDescent="0.25">
      <c r="T47172" s="135"/>
      <c r="U47172" s="135"/>
    </row>
    <row r="47173" spans="20:21" ht="15" customHeight="1" x14ac:dyDescent="0.25">
      <c r="T47173" s="135"/>
      <c r="U47173" s="135"/>
    </row>
    <row r="47174" spans="20:21" ht="15" customHeight="1" x14ac:dyDescent="0.25">
      <c r="T47174" s="135"/>
      <c r="U47174" s="135"/>
    </row>
    <row r="47175" spans="20:21" ht="15" customHeight="1" x14ac:dyDescent="0.25">
      <c r="T47175" s="135"/>
      <c r="U47175" s="135"/>
    </row>
    <row r="47176" spans="20:21" ht="15" customHeight="1" x14ac:dyDescent="0.25">
      <c r="T47176" s="135"/>
      <c r="U47176" s="135"/>
    </row>
    <row r="47177" spans="20:21" ht="15" customHeight="1" x14ac:dyDescent="0.25">
      <c r="T47177" s="135"/>
      <c r="U47177" s="135"/>
    </row>
    <row r="47178" spans="20:21" ht="15" customHeight="1" x14ac:dyDescent="0.25">
      <c r="T47178" s="135"/>
      <c r="U47178" s="135"/>
    </row>
    <row r="47179" spans="20:21" ht="15" customHeight="1" x14ac:dyDescent="0.25">
      <c r="T47179" s="135"/>
      <c r="U47179" s="135"/>
    </row>
    <row r="47180" spans="20:21" ht="15" customHeight="1" x14ac:dyDescent="0.25">
      <c r="T47180" s="135"/>
      <c r="U47180" s="135"/>
    </row>
    <row r="47181" spans="20:21" ht="15" customHeight="1" x14ac:dyDescent="0.25">
      <c r="T47181" s="135"/>
      <c r="U47181" s="135"/>
    </row>
    <row r="47182" spans="20:21" ht="15" customHeight="1" x14ac:dyDescent="0.25">
      <c r="T47182" s="135"/>
      <c r="U47182" s="135"/>
    </row>
    <row r="47183" spans="20:21" ht="15" customHeight="1" x14ac:dyDescent="0.25">
      <c r="T47183" s="135"/>
      <c r="U47183" s="135"/>
    </row>
    <row r="47184" spans="20:21" ht="15" customHeight="1" x14ac:dyDescent="0.25">
      <c r="T47184" s="135"/>
      <c r="U47184" s="135"/>
    </row>
    <row r="47185" spans="20:21" ht="15" customHeight="1" x14ac:dyDescent="0.25">
      <c r="T47185" s="135"/>
      <c r="U47185" s="135"/>
    </row>
    <row r="47186" spans="20:21" ht="15" customHeight="1" x14ac:dyDescent="0.25">
      <c r="T47186" s="135"/>
      <c r="U47186" s="135"/>
    </row>
    <row r="47187" spans="20:21" ht="15" customHeight="1" x14ac:dyDescent="0.25">
      <c r="T47187" s="135"/>
      <c r="U47187" s="135"/>
    </row>
    <row r="47188" spans="20:21" ht="15" customHeight="1" x14ac:dyDescent="0.25">
      <c r="T47188" s="135"/>
      <c r="U47188" s="135"/>
    </row>
    <row r="47189" spans="20:21" ht="15" customHeight="1" x14ac:dyDescent="0.25">
      <c r="T47189" s="135"/>
      <c r="U47189" s="135"/>
    </row>
    <row r="47190" spans="20:21" ht="15" customHeight="1" x14ac:dyDescent="0.25">
      <c r="T47190" s="135"/>
      <c r="U47190" s="135"/>
    </row>
    <row r="47191" spans="20:21" ht="15" customHeight="1" x14ac:dyDescent="0.25">
      <c r="T47191" s="135"/>
      <c r="U47191" s="135"/>
    </row>
    <row r="47192" spans="20:21" ht="15" customHeight="1" x14ac:dyDescent="0.25">
      <c r="T47192" s="135"/>
      <c r="U47192" s="135"/>
    </row>
    <row r="47193" spans="20:21" ht="15" customHeight="1" x14ac:dyDescent="0.25">
      <c r="T47193" s="135"/>
      <c r="U47193" s="135"/>
    </row>
    <row r="47194" spans="20:21" ht="15" customHeight="1" x14ac:dyDescent="0.25">
      <c r="T47194" s="135"/>
      <c r="U47194" s="135"/>
    </row>
    <row r="47195" spans="20:21" ht="15" customHeight="1" x14ac:dyDescent="0.25">
      <c r="T47195" s="135"/>
      <c r="U47195" s="135"/>
    </row>
    <row r="47196" spans="20:21" ht="15" customHeight="1" x14ac:dyDescent="0.25">
      <c r="T47196" s="135"/>
      <c r="U47196" s="135"/>
    </row>
    <row r="47197" spans="20:21" ht="15" customHeight="1" x14ac:dyDescent="0.25">
      <c r="T47197" s="135"/>
      <c r="U47197" s="135"/>
    </row>
    <row r="47198" spans="20:21" ht="15" customHeight="1" x14ac:dyDescent="0.25">
      <c r="T47198" s="135"/>
      <c r="U47198" s="135"/>
    </row>
    <row r="47199" spans="20:21" ht="15" customHeight="1" x14ac:dyDescent="0.25">
      <c r="T47199" s="135"/>
      <c r="U47199" s="135"/>
    </row>
    <row r="47200" spans="20:21" ht="15" customHeight="1" x14ac:dyDescent="0.25">
      <c r="T47200" s="135"/>
      <c r="U47200" s="135"/>
    </row>
    <row r="47201" spans="20:21" ht="15" customHeight="1" x14ac:dyDescent="0.25">
      <c r="T47201" s="135"/>
      <c r="U47201" s="135"/>
    </row>
    <row r="47202" spans="20:21" ht="15" customHeight="1" x14ac:dyDescent="0.25">
      <c r="T47202" s="135"/>
      <c r="U47202" s="135"/>
    </row>
    <row r="47203" spans="20:21" ht="15" customHeight="1" x14ac:dyDescent="0.25">
      <c r="T47203" s="135"/>
      <c r="U47203" s="135"/>
    </row>
    <row r="47204" spans="20:21" ht="15" customHeight="1" x14ac:dyDescent="0.25">
      <c r="T47204" s="135"/>
      <c r="U47204" s="135"/>
    </row>
    <row r="47205" spans="20:21" ht="15" customHeight="1" x14ac:dyDescent="0.25">
      <c r="T47205" s="135"/>
      <c r="U47205" s="135"/>
    </row>
    <row r="47206" spans="20:21" ht="15" customHeight="1" x14ac:dyDescent="0.25">
      <c r="T47206" s="135"/>
      <c r="U47206" s="135"/>
    </row>
    <row r="47207" spans="20:21" ht="15" customHeight="1" x14ac:dyDescent="0.25">
      <c r="T47207" s="135"/>
      <c r="U47207" s="135"/>
    </row>
    <row r="47208" spans="20:21" ht="15" customHeight="1" x14ac:dyDescent="0.25">
      <c r="T47208" s="135"/>
      <c r="U47208" s="135"/>
    </row>
    <row r="47209" spans="20:21" ht="15" customHeight="1" x14ac:dyDescent="0.25">
      <c r="T47209" s="135"/>
      <c r="U47209" s="135"/>
    </row>
    <row r="47210" spans="20:21" ht="15" customHeight="1" x14ac:dyDescent="0.25">
      <c r="T47210" s="135"/>
      <c r="U47210" s="135"/>
    </row>
    <row r="47211" spans="20:21" ht="15" customHeight="1" x14ac:dyDescent="0.25">
      <c r="T47211" s="135"/>
      <c r="U47211" s="135"/>
    </row>
    <row r="47212" spans="20:21" ht="15" customHeight="1" x14ac:dyDescent="0.25">
      <c r="T47212" s="135"/>
      <c r="U47212" s="135"/>
    </row>
    <row r="47213" spans="20:21" ht="15" customHeight="1" x14ac:dyDescent="0.25">
      <c r="T47213" s="135"/>
      <c r="U47213" s="135"/>
    </row>
    <row r="47214" spans="20:21" ht="15" customHeight="1" x14ac:dyDescent="0.25">
      <c r="T47214" s="135"/>
      <c r="U47214" s="135"/>
    </row>
    <row r="47215" spans="20:21" ht="15" customHeight="1" x14ac:dyDescent="0.25">
      <c r="T47215" s="135"/>
      <c r="U47215" s="135"/>
    </row>
    <row r="47216" spans="20:21" ht="15" customHeight="1" x14ac:dyDescent="0.25">
      <c r="T47216" s="135"/>
      <c r="U47216" s="135"/>
    </row>
    <row r="47217" spans="20:21" ht="15" customHeight="1" x14ac:dyDescent="0.25">
      <c r="T47217" s="135"/>
      <c r="U47217" s="135"/>
    </row>
    <row r="47218" spans="20:21" ht="15" customHeight="1" x14ac:dyDescent="0.25">
      <c r="T47218" s="135"/>
      <c r="U47218" s="135"/>
    </row>
    <row r="47219" spans="20:21" ht="15" customHeight="1" x14ac:dyDescent="0.25">
      <c r="T47219" s="135"/>
      <c r="U47219" s="135"/>
    </row>
    <row r="47220" spans="20:21" ht="15" customHeight="1" x14ac:dyDescent="0.25">
      <c r="T47220" s="135"/>
      <c r="U47220" s="135"/>
    </row>
    <row r="47221" spans="20:21" ht="15" customHeight="1" x14ac:dyDescent="0.25">
      <c r="T47221" s="135"/>
      <c r="U47221" s="135"/>
    </row>
    <row r="47222" spans="20:21" ht="15" customHeight="1" x14ac:dyDescent="0.25">
      <c r="T47222" s="135"/>
      <c r="U47222" s="135"/>
    </row>
    <row r="47223" spans="20:21" ht="15" customHeight="1" x14ac:dyDescent="0.25">
      <c r="T47223" s="135"/>
      <c r="U47223" s="135"/>
    </row>
    <row r="47224" spans="20:21" ht="15" customHeight="1" x14ac:dyDescent="0.25">
      <c r="T47224" s="135"/>
      <c r="U47224" s="135"/>
    </row>
    <row r="47225" spans="20:21" ht="15" customHeight="1" x14ac:dyDescent="0.25">
      <c r="T47225" s="135"/>
      <c r="U47225" s="135"/>
    </row>
    <row r="47226" spans="20:21" ht="15" customHeight="1" x14ac:dyDescent="0.25">
      <c r="T47226" s="135"/>
      <c r="U47226" s="135"/>
    </row>
    <row r="47227" spans="20:21" ht="15" customHeight="1" x14ac:dyDescent="0.25">
      <c r="T47227" s="135"/>
      <c r="U47227" s="135"/>
    </row>
    <row r="47228" spans="20:21" ht="15" customHeight="1" x14ac:dyDescent="0.25">
      <c r="T47228" s="135"/>
      <c r="U47228" s="135"/>
    </row>
    <row r="47229" spans="20:21" ht="15" customHeight="1" x14ac:dyDescent="0.25">
      <c r="T47229" s="135"/>
      <c r="U47229" s="135"/>
    </row>
    <row r="47230" spans="20:21" ht="15" customHeight="1" x14ac:dyDescent="0.25">
      <c r="T47230" s="135"/>
      <c r="U47230" s="135"/>
    </row>
    <row r="47231" spans="20:21" ht="15" customHeight="1" x14ac:dyDescent="0.25">
      <c r="T47231" s="135"/>
      <c r="U47231" s="135"/>
    </row>
    <row r="47232" spans="20:21" ht="15" customHeight="1" x14ac:dyDescent="0.25">
      <c r="T47232" s="135"/>
      <c r="U47232" s="135"/>
    </row>
    <row r="47233" spans="20:21" ht="15" customHeight="1" x14ac:dyDescent="0.25">
      <c r="T47233" s="135"/>
      <c r="U47233" s="135"/>
    </row>
    <row r="47234" spans="20:21" ht="15" customHeight="1" x14ac:dyDescent="0.25">
      <c r="T47234" s="135"/>
      <c r="U47234" s="135"/>
    </row>
    <row r="47235" spans="20:21" ht="15" customHeight="1" x14ac:dyDescent="0.25">
      <c r="T47235" s="135"/>
      <c r="U47235" s="135"/>
    </row>
    <row r="47236" spans="20:21" ht="15" customHeight="1" x14ac:dyDescent="0.25">
      <c r="T47236" s="135"/>
      <c r="U47236" s="135"/>
    </row>
    <row r="47237" spans="20:21" ht="15" customHeight="1" x14ac:dyDescent="0.25">
      <c r="T47237" s="135"/>
      <c r="U47237" s="135"/>
    </row>
    <row r="47238" spans="20:21" ht="15" customHeight="1" x14ac:dyDescent="0.25">
      <c r="T47238" s="135"/>
      <c r="U47238" s="135"/>
    </row>
    <row r="47239" spans="20:21" ht="15" customHeight="1" x14ac:dyDescent="0.25">
      <c r="T47239" s="135"/>
      <c r="U47239" s="135"/>
    </row>
    <row r="47240" spans="20:21" ht="15" customHeight="1" x14ac:dyDescent="0.25">
      <c r="T47240" s="135"/>
      <c r="U47240" s="135"/>
    </row>
    <row r="47241" spans="20:21" ht="15" customHeight="1" x14ac:dyDescent="0.25">
      <c r="T47241" s="135"/>
      <c r="U47241" s="135"/>
    </row>
    <row r="47242" spans="20:21" ht="15" customHeight="1" x14ac:dyDescent="0.25">
      <c r="T47242" s="135"/>
      <c r="U47242" s="135"/>
    </row>
    <row r="47243" spans="20:21" ht="15" customHeight="1" x14ac:dyDescent="0.25">
      <c r="T47243" s="135"/>
      <c r="U47243" s="135"/>
    </row>
    <row r="47244" spans="20:21" ht="15" customHeight="1" x14ac:dyDescent="0.25">
      <c r="T47244" s="135"/>
      <c r="U47244" s="135"/>
    </row>
    <row r="47245" spans="20:21" ht="15" customHeight="1" x14ac:dyDescent="0.25">
      <c r="T47245" s="135"/>
      <c r="U47245" s="135"/>
    </row>
    <row r="47246" spans="20:21" ht="15" customHeight="1" x14ac:dyDescent="0.25">
      <c r="T47246" s="135"/>
      <c r="U47246" s="135"/>
    </row>
    <row r="47247" spans="20:21" ht="15" customHeight="1" x14ac:dyDescent="0.25">
      <c r="T47247" s="135"/>
      <c r="U47247" s="135"/>
    </row>
    <row r="47248" spans="20:21" ht="15" customHeight="1" x14ac:dyDescent="0.25">
      <c r="T47248" s="135"/>
      <c r="U47248" s="135"/>
    </row>
    <row r="47249" spans="20:21" ht="15" customHeight="1" x14ac:dyDescent="0.25">
      <c r="T47249" s="135"/>
      <c r="U47249" s="135"/>
    </row>
    <row r="47250" spans="20:21" ht="15" customHeight="1" x14ac:dyDescent="0.25">
      <c r="T47250" s="135"/>
      <c r="U47250" s="135"/>
    </row>
    <row r="47251" spans="20:21" ht="15" customHeight="1" x14ac:dyDescent="0.25">
      <c r="T47251" s="135"/>
      <c r="U47251" s="135"/>
    </row>
    <row r="47252" spans="20:21" ht="15" customHeight="1" x14ac:dyDescent="0.25">
      <c r="T47252" s="135"/>
      <c r="U47252" s="135"/>
    </row>
    <row r="47253" spans="20:21" ht="15" customHeight="1" x14ac:dyDescent="0.25">
      <c r="T47253" s="135"/>
      <c r="U47253" s="135"/>
    </row>
    <row r="47254" spans="20:21" ht="15" customHeight="1" x14ac:dyDescent="0.25">
      <c r="T47254" s="135"/>
      <c r="U47254" s="135"/>
    </row>
    <row r="47255" spans="20:21" ht="15" customHeight="1" x14ac:dyDescent="0.25">
      <c r="T47255" s="135"/>
      <c r="U47255" s="135"/>
    </row>
    <row r="47256" spans="20:21" ht="15" customHeight="1" x14ac:dyDescent="0.25">
      <c r="T47256" s="135"/>
      <c r="U47256" s="135"/>
    </row>
    <row r="47257" spans="20:21" ht="15" customHeight="1" x14ac:dyDescent="0.25">
      <c r="T47257" s="135"/>
      <c r="U47257" s="135"/>
    </row>
    <row r="47258" spans="20:21" ht="15" customHeight="1" x14ac:dyDescent="0.25">
      <c r="T47258" s="135"/>
      <c r="U47258" s="135"/>
    </row>
    <row r="47259" spans="20:21" ht="15" customHeight="1" x14ac:dyDescent="0.25">
      <c r="T47259" s="135"/>
      <c r="U47259" s="135"/>
    </row>
    <row r="47260" spans="20:21" ht="15" customHeight="1" x14ac:dyDescent="0.25">
      <c r="T47260" s="135"/>
      <c r="U47260" s="135"/>
    </row>
    <row r="47261" spans="20:21" ht="15" customHeight="1" x14ac:dyDescent="0.25">
      <c r="T47261" s="135"/>
      <c r="U47261" s="135"/>
    </row>
    <row r="47262" spans="20:21" ht="15" customHeight="1" x14ac:dyDescent="0.25">
      <c r="T47262" s="135"/>
      <c r="U47262" s="135"/>
    </row>
    <row r="47263" spans="20:21" ht="15" customHeight="1" x14ac:dyDescent="0.25">
      <c r="T47263" s="135"/>
      <c r="U47263" s="135"/>
    </row>
    <row r="47264" spans="20:21" ht="15" customHeight="1" x14ac:dyDescent="0.25">
      <c r="T47264" s="135"/>
      <c r="U47264" s="135"/>
    </row>
    <row r="47265" spans="20:21" ht="15" customHeight="1" x14ac:dyDescent="0.25">
      <c r="T47265" s="135"/>
      <c r="U47265" s="135"/>
    </row>
    <row r="47266" spans="20:21" ht="15" customHeight="1" x14ac:dyDescent="0.25">
      <c r="T47266" s="135"/>
      <c r="U47266" s="135"/>
    </row>
    <row r="47267" spans="20:21" ht="15" customHeight="1" x14ac:dyDescent="0.25">
      <c r="T47267" s="135"/>
      <c r="U47267" s="135"/>
    </row>
    <row r="47268" spans="20:21" ht="15" customHeight="1" x14ac:dyDescent="0.25">
      <c r="T47268" s="135"/>
      <c r="U47268" s="135"/>
    </row>
    <row r="47269" spans="20:21" ht="15" customHeight="1" x14ac:dyDescent="0.25">
      <c r="T47269" s="135"/>
      <c r="U47269" s="135"/>
    </row>
    <row r="47270" spans="20:21" ht="15" customHeight="1" x14ac:dyDescent="0.25">
      <c r="T47270" s="135"/>
      <c r="U47270" s="135"/>
    </row>
    <row r="47271" spans="20:21" ht="15" customHeight="1" x14ac:dyDescent="0.25">
      <c r="T47271" s="135"/>
      <c r="U47271" s="135"/>
    </row>
    <row r="47272" spans="20:21" ht="15" customHeight="1" x14ac:dyDescent="0.25">
      <c r="T47272" s="135"/>
      <c r="U47272" s="135"/>
    </row>
    <row r="47273" spans="20:21" ht="15" customHeight="1" x14ac:dyDescent="0.25">
      <c r="T47273" s="135"/>
      <c r="U47273" s="135"/>
    </row>
    <row r="47274" spans="20:21" ht="15" customHeight="1" x14ac:dyDescent="0.25">
      <c r="T47274" s="135"/>
      <c r="U47274" s="135"/>
    </row>
    <row r="47275" spans="20:21" ht="15" customHeight="1" x14ac:dyDescent="0.25">
      <c r="T47275" s="135"/>
      <c r="U47275" s="135"/>
    </row>
    <row r="47276" spans="20:21" ht="15" customHeight="1" x14ac:dyDescent="0.25">
      <c r="T47276" s="135"/>
      <c r="U47276" s="135"/>
    </row>
    <row r="47277" spans="20:21" ht="15" customHeight="1" x14ac:dyDescent="0.25">
      <c r="T47277" s="135"/>
      <c r="U47277" s="135"/>
    </row>
    <row r="47278" spans="20:21" ht="15" customHeight="1" x14ac:dyDescent="0.25">
      <c r="T47278" s="135"/>
      <c r="U47278" s="135"/>
    </row>
    <row r="47279" spans="20:21" ht="15" customHeight="1" x14ac:dyDescent="0.25">
      <c r="T47279" s="135"/>
      <c r="U47279" s="135"/>
    </row>
    <row r="47280" spans="20:21" ht="15" customHeight="1" x14ac:dyDescent="0.25">
      <c r="T47280" s="135"/>
      <c r="U47280" s="135"/>
    </row>
    <row r="47281" spans="20:21" ht="15" customHeight="1" x14ac:dyDescent="0.25">
      <c r="T47281" s="135"/>
      <c r="U47281" s="135"/>
    </row>
    <row r="47282" spans="20:21" ht="15" customHeight="1" x14ac:dyDescent="0.25">
      <c r="T47282" s="135"/>
      <c r="U47282" s="135"/>
    </row>
    <row r="47283" spans="20:21" ht="15" customHeight="1" x14ac:dyDescent="0.25">
      <c r="T47283" s="135"/>
      <c r="U47283" s="135"/>
    </row>
    <row r="47284" spans="20:21" ht="15" customHeight="1" x14ac:dyDescent="0.25">
      <c r="T47284" s="135"/>
      <c r="U47284" s="135"/>
    </row>
    <row r="47285" spans="20:21" ht="15" customHeight="1" x14ac:dyDescent="0.25">
      <c r="T47285" s="135"/>
      <c r="U47285" s="135"/>
    </row>
    <row r="47286" spans="20:21" ht="15" customHeight="1" x14ac:dyDescent="0.25">
      <c r="T47286" s="135"/>
      <c r="U47286" s="135"/>
    </row>
    <row r="47287" spans="20:21" ht="15" customHeight="1" x14ac:dyDescent="0.25">
      <c r="T47287" s="135"/>
      <c r="U47287" s="135"/>
    </row>
    <row r="47288" spans="20:21" ht="15" customHeight="1" x14ac:dyDescent="0.25">
      <c r="T47288" s="135"/>
      <c r="U47288" s="135"/>
    </row>
    <row r="47289" spans="20:21" ht="15" customHeight="1" x14ac:dyDescent="0.25">
      <c r="T47289" s="135"/>
      <c r="U47289" s="135"/>
    </row>
    <row r="47290" spans="20:21" ht="15" customHeight="1" x14ac:dyDescent="0.25">
      <c r="T47290" s="135"/>
      <c r="U47290" s="135"/>
    </row>
    <row r="47291" spans="20:21" ht="15" customHeight="1" x14ac:dyDescent="0.25">
      <c r="T47291" s="135"/>
      <c r="U47291" s="135"/>
    </row>
    <row r="47292" spans="20:21" ht="15" customHeight="1" x14ac:dyDescent="0.25">
      <c r="T47292" s="135"/>
      <c r="U47292" s="135"/>
    </row>
    <row r="47293" spans="20:21" ht="15" customHeight="1" x14ac:dyDescent="0.25">
      <c r="T47293" s="135"/>
      <c r="U47293" s="135"/>
    </row>
    <row r="47294" spans="20:21" ht="15" customHeight="1" x14ac:dyDescent="0.25">
      <c r="T47294" s="135"/>
      <c r="U47294" s="135"/>
    </row>
    <row r="47295" spans="20:21" ht="15" customHeight="1" x14ac:dyDescent="0.25">
      <c r="T47295" s="135"/>
      <c r="U47295" s="135"/>
    </row>
    <row r="47296" spans="20:21" ht="15" customHeight="1" x14ac:dyDescent="0.25">
      <c r="T47296" s="135"/>
      <c r="U47296" s="135"/>
    </row>
    <row r="47297" spans="20:21" ht="15" customHeight="1" x14ac:dyDescent="0.25">
      <c r="T47297" s="135"/>
      <c r="U47297" s="135"/>
    </row>
    <row r="47298" spans="20:21" ht="15" customHeight="1" x14ac:dyDescent="0.25">
      <c r="T47298" s="135"/>
      <c r="U47298" s="135"/>
    </row>
    <row r="47299" spans="20:21" ht="15" customHeight="1" x14ac:dyDescent="0.25">
      <c r="T47299" s="135"/>
      <c r="U47299" s="135"/>
    </row>
    <row r="47300" spans="20:21" ht="15" customHeight="1" x14ac:dyDescent="0.25">
      <c r="T47300" s="135"/>
      <c r="U47300" s="135"/>
    </row>
    <row r="47301" spans="20:21" ht="15" customHeight="1" x14ac:dyDescent="0.25">
      <c r="T47301" s="135"/>
      <c r="U47301" s="135"/>
    </row>
    <row r="47302" spans="20:21" ht="15" customHeight="1" x14ac:dyDescent="0.25">
      <c r="T47302" s="135"/>
      <c r="U47302" s="135"/>
    </row>
    <row r="47303" spans="20:21" ht="15" customHeight="1" x14ac:dyDescent="0.25">
      <c r="T47303" s="135"/>
      <c r="U47303" s="135"/>
    </row>
    <row r="47304" spans="20:21" ht="15" customHeight="1" x14ac:dyDescent="0.25">
      <c r="T47304" s="135"/>
      <c r="U47304" s="135"/>
    </row>
    <row r="47305" spans="20:21" ht="15" customHeight="1" x14ac:dyDescent="0.25">
      <c r="T47305" s="135"/>
      <c r="U47305" s="135"/>
    </row>
    <row r="47306" spans="20:21" ht="15" customHeight="1" x14ac:dyDescent="0.25">
      <c r="T47306" s="135"/>
      <c r="U47306" s="135"/>
    </row>
    <row r="47307" spans="20:21" ht="15" customHeight="1" x14ac:dyDescent="0.25">
      <c r="T47307" s="135"/>
      <c r="U47307" s="135"/>
    </row>
    <row r="47308" spans="20:21" ht="15" customHeight="1" x14ac:dyDescent="0.25">
      <c r="T47308" s="135"/>
      <c r="U47308" s="135"/>
    </row>
    <row r="47309" spans="20:21" ht="15" customHeight="1" x14ac:dyDescent="0.25">
      <c r="T47309" s="135"/>
      <c r="U47309" s="135"/>
    </row>
    <row r="47310" spans="20:21" ht="15" customHeight="1" x14ac:dyDescent="0.25">
      <c r="T47310" s="135"/>
      <c r="U47310" s="135"/>
    </row>
    <row r="47311" spans="20:21" ht="15" customHeight="1" x14ac:dyDescent="0.25">
      <c r="T47311" s="135"/>
      <c r="U47311" s="135"/>
    </row>
    <row r="47312" spans="20:21" ht="15" customHeight="1" x14ac:dyDescent="0.25">
      <c r="T47312" s="135"/>
      <c r="U47312" s="135"/>
    </row>
    <row r="47313" spans="20:21" ht="15" customHeight="1" x14ac:dyDescent="0.25">
      <c r="T47313" s="135"/>
      <c r="U47313" s="135"/>
    </row>
    <row r="47314" spans="20:21" ht="15" customHeight="1" x14ac:dyDescent="0.25">
      <c r="T47314" s="135"/>
      <c r="U47314" s="135"/>
    </row>
    <row r="47315" spans="20:21" ht="15" customHeight="1" x14ac:dyDescent="0.25">
      <c r="T47315" s="135"/>
      <c r="U47315" s="135"/>
    </row>
    <row r="47316" spans="20:21" ht="15" customHeight="1" x14ac:dyDescent="0.25">
      <c r="T47316" s="135"/>
      <c r="U47316" s="135"/>
    </row>
    <row r="47317" spans="20:21" ht="15" customHeight="1" x14ac:dyDescent="0.25">
      <c r="T47317" s="135"/>
      <c r="U47317" s="135"/>
    </row>
    <row r="47318" spans="20:21" ht="15" customHeight="1" x14ac:dyDescent="0.25">
      <c r="T47318" s="135"/>
      <c r="U47318" s="135"/>
    </row>
    <row r="47319" spans="20:21" ht="15" customHeight="1" x14ac:dyDescent="0.25">
      <c r="T47319" s="135"/>
      <c r="U47319" s="135"/>
    </row>
    <row r="47320" spans="20:21" ht="15" customHeight="1" x14ac:dyDescent="0.25">
      <c r="T47320" s="135"/>
      <c r="U47320" s="135"/>
    </row>
    <row r="47321" spans="20:21" ht="15" customHeight="1" x14ac:dyDescent="0.25">
      <c r="T47321" s="135"/>
      <c r="U47321" s="135"/>
    </row>
    <row r="47322" spans="20:21" ht="15" customHeight="1" x14ac:dyDescent="0.25">
      <c r="T47322" s="135"/>
      <c r="U47322" s="135"/>
    </row>
    <row r="47323" spans="20:21" ht="15" customHeight="1" x14ac:dyDescent="0.25">
      <c r="T47323" s="135"/>
      <c r="U47323" s="135"/>
    </row>
    <row r="47324" spans="20:21" ht="15" customHeight="1" x14ac:dyDescent="0.25">
      <c r="T47324" s="135"/>
      <c r="U47324" s="135"/>
    </row>
    <row r="47325" spans="20:21" ht="15" customHeight="1" x14ac:dyDescent="0.25">
      <c r="T47325" s="135"/>
      <c r="U47325" s="135"/>
    </row>
    <row r="47326" spans="20:21" ht="15" customHeight="1" x14ac:dyDescent="0.25">
      <c r="T47326" s="135"/>
      <c r="U47326" s="135"/>
    </row>
    <row r="47327" spans="20:21" ht="15" customHeight="1" x14ac:dyDescent="0.25">
      <c r="T47327" s="135"/>
      <c r="U47327" s="135"/>
    </row>
    <row r="47328" spans="20:21" ht="15" customHeight="1" x14ac:dyDescent="0.25">
      <c r="T47328" s="135"/>
      <c r="U47328" s="135"/>
    </row>
    <row r="47329" spans="20:21" ht="15" customHeight="1" x14ac:dyDescent="0.25">
      <c r="T47329" s="135"/>
      <c r="U47329" s="135"/>
    </row>
    <row r="47330" spans="20:21" ht="15" customHeight="1" x14ac:dyDescent="0.25">
      <c r="T47330" s="135"/>
      <c r="U47330" s="135"/>
    </row>
    <row r="47331" spans="20:21" ht="15" customHeight="1" x14ac:dyDescent="0.25">
      <c r="T47331" s="135"/>
      <c r="U47331" s="135"/>
    </row>
    <row r="47332" spans="20:21" ht="15" customHeight="1" x14ac:dyDescent="0.25">
      <c r="T47332" s="135"/>
      <c r="U47332" s="135"/>
    </row>
    <row r="47333" spans="20:21" ht="15" customHeight="1" x14ac:dyDescent="0.25">
      <c r="T47333" s="135"/>
      <c r="U47333" s="135"/>
    </row>
    <row r="47334" spans="20:21" ht="15" customHeight="1" x14ac:dyDescent="0.25">
      <c r="T47334" s="135"/>
      <c r="U47334" s="135"/>
    </row>
    <row r="47335" spans="20:21" ht="15" customHeight="1" x14ac:dyDescent="0.25">
      <c r="T47335" s="135"/>
      <c r="U47335" s="135"/>
    </row>
    <row r="47336" spans="20:21" ht="15" customHeight="1" x14ac:dyDescent="0.25">
      <c r="T47336" s="135"/>
      <c r="U47336" s="135"/>
    </row>
    <row r="47337" spans="20:21" ht="15" customHeight="1" x14ac:dyDescent="0.25">
      <c r="T47337" s="135"/>
      <c r="U47337" s="135"/>
    </row>
    <row r="47338" spans="20:21" ht="15" customHeight="1" x14ac:dyDescent="0.25">
      <c r="T47338" s="135"/>
      <c r="U47338" s="135"/>
    </row>
    <row r="47339" spans="20:21" ht="15" customHeight="1" x14ac:dyDescent="0.25">
      <c r="T47339" s="135"/>
      <c r="U47339" s="135"/>
    </row>
    <row r="47340" spans="20:21" ht="15" customHeight="1" x14ac:dyDescent="0.25">
      <c r="T47340" s="135"/>
      <c r="U47340" s="135"/>
    </row>
    <row r="47341" spans="20:21" ht="15" customHeight="1" x14ac:dyDescent="0.25">
      <c r="T47341" s="135"/>
      <c r="U47341" s="135"/>
    </row>
    <row r="47342" spans="20:21" ht="15" customHeight="1" x14ac:dyDescent="0.25">
      <c r="T47342" s="135"/>
      <c r="U47342" s="135"/>
    </row>
    <row r="47343" spans="20:21" ht="15" customHeight="1" x14ac:dyDescent="0.25">
      <c r="T47343" s="135"/>
      <c r="U47343" s="135"/>
    </row>
    <row r="47344" spans="20:21" ht="15" customHeight="1" x14ac:dyDescent="0.25">
      <c r="T47344" s="135"/>
      <c r="U47344" s="135"/>
    </row>
    <row r="47345" spans="20:21" ht="15" customHeight="1" x14ac:dyDescent="0.25">
      <c r="T47345" s="135"/>
      <c r="U47345" s="135"/>
    </row>
    <row r="47346" spans="20:21" ht="15" customHeight="1" x14ac:dyDescent="0.25">
      <c r="T47346" s="135"/>
      <c r="U47346" s="135"/>
    </row>
    <row r="47347" spans="20:21" ht="15" customHeight="1" x14ac:dyDescent="0.25">
      <c r="T47347" s="135"/>
      <c r="U47347" s="135"/>
    </row>
    <row r="47348" spans="20:21" ht="15" customHeight="1" x14ac:dyDescent="0.25">
      <c r="T47348" s="135"/>
      <c r="U47348" s="135"/>
    </row>
    <row r="47349" spans="20:21" ht="15" customHeight="1" x14ac:dyDescent="0.25">
      <c r="T47349" s="135"/>
      <c r="U47349" s="135"/>
    </row>
    <row r="47350" spans="20:21" ht="15" customHeight="1" x14ac:dyDescent="0.25">
      <c r="T47350" s="135"/>
      <c r="U47350" s="135"/>
    </row>
    <row r="47351" spans="20:21" ht="15" customHeight="1" x14ac:dyDescent="0.25">
      <c r="T47351" s="135"/>
      <c r="U47351" s="135"/>
    </row>
    <row r="47352" spans="20:21" ht="15" customHeight="1" x14ac:dyDescent="0.25">
      <c r="T47352" s="135"/>
      <c r="U47352" s="135"/>
    </row>
    <row r="47353" spans="20:21" ht="15" customHeight="1" x14ac:dyDescent="0.25">
      <c r="T47353" s="135"/>
      <c r="U47353" s="135"/>
    </row>
    <row r="47354" spans="20:21" ht="15" customHeight="1" x14ac:dyDescent="0.25">
      <c r="T47354" s="135"/>
      <c r="U47354" s="135"/>
    </row>
    <row r="47355" spans="20:21" ht="15" customHeight="1" x14ac:dyDescent="0.25">
      <c r="T47355" s="135"/>
      <c r="U47355" s="135"/>
    </row>
    <row r="47356" spans="20:21" ht="15" customHeight="1" x14ac:dyDescent="0.25">
      <c r="T47356" s="135"/>
      <c r="U47356" s="135"/>
    </row>
    <row r="47357" spans="20:21" ht="15" customHeight="1" x14ac:dyDescent="0.25">
      <c r="T47357" s="135"/>
      <c r="U47357" s="135"/>
    </row>
    <row r="47358" spans="20:21" ht="15" customHeight="1" x14ac:dyDescent="0.25">
      <c r="T47358" s="135"/>
      <c r="U47358" s="135"/>
    </row>
    <row r="47359" spans="20:21" ht="15" customHeight="1" x14ac:dyDescent="0.25">
      <c r="T47359" s="135"/>
      <c r="U47359" s="135"/>
    </row>
    <row r="47360" spans="20:21" ht="15" customHeight="1" x14ac:dyDescent="0.25">
      <c r="T47360" s="135"/>
      <c r="U47360" s="135"/>
    </row>
    <row r="47361" spans="20:21" ht="15" customHeight="1" x14ac:dyDescent="0.25">
      <c r="T47361" s="135"/>
      <c r="U47361" s="135"/>
    </row>
    <row r="47362" spans="20:21" ht="15" customHeight="1" x14ac:dyDescent="0.25">
      <c r="T47362" s="135"/>
      <c r="U47362" s="135"/>
    </row>
    <row r="47363" spans="20:21" ht="15" customHeight="1" x14ac:dyDescent="0.25">
      <c r="T47363" s="135"/>
      <c r="U47363" s="135"/>
    </row>
    <row r="47364" spans="20:21" ht="15" customHeight="1" x14ac:dyDescent="0.25">
      <c r="T47364" s="135"/>
      <c r="U47364" s="135"/>
    </row>
    <row r="47365" spans="20:21" ht="15" customHeight="1" x14ac:dyDescent="0.25">
      <c r="T47365" s="135"/>
      <c r="U47365" s="135"/>
    </row>
    <row r="47366" spans="20:21" ht="15" customHeight="1" x14ac:dyDescent="0.25">
      <c r="T47366" s="135"/>
      <c r="U47366" s="135"/>
    </row>
    <row r="47367" spans="20:21" ht="15" customHeight="1" x14ac:dyDescent="0.25">
      <c r="T47367" s="135"/>
      <c r="U47367" s="135"/>
    </row>
    <row r="47368" spans="20:21" ht="15" customHeight="1" x14ac:dyDescent="0.25">
      <c r="T47368" s="135"/>
      <c r="U47368" s="135"/>
    </row>
    <row r="47369" spans="20:21" ht="15" customHeight="1" x14ac:dyDescent="0.25">
      <c r="T47369" s="135"/>
      <c r="U47369" s="135"/>
    </row>
    <row r="47370" spans="20:21" ht="15" customHeight="1" x14ac:dyDescent="0.25">
      <c r="T47370" s="135"/>
      <c r="U47370" s="135"/>
    </row>
    <row r="47371" spans="20:21" ht="15" customHeight="1" x14ac:dyDescent="0.25">
      <c r="T47371" s="135"/>
      <c r="U47371" s="135"/>
    </row>
    <row r="47372" spans="20:21" ht="15" customHeight="1" x14ac:dyDescent="0.25">
      <c r="T47372" s="135"/>
      <c r="U47372" s="135"/>
    </row>
    <row r="47373" spans="20:21" ht="15" customHeight="1" x14ac:dyDescent="0.25">
      <c r="T47373" s="135"/>
      <c r="U47373" s="135"/>
    </row>
    <row r="47374" spans="20:21" ht="15" customHeight="1" x14ac:dyDescent="0.25">
      <c r="T47374" s="135"/>
      <c r="U47374" s="135"/>
    </row>
    <row r="47375" spans="20:21" ht="15" customHeight="1" x14ac:dyDescent="0.25">
      <c r="T47375" s="135"/>
      <c r="U47375" s="135"/>
    </row>
    <row r="47376" spans="20:21" ht="15" customHeight="1" x14ac:dyDescent="0.25">
      <c r="T47376" s="135"/>
      <c r="U47376" s="135"/>
    </row>
    <row r="47377" spans="20:21" ht="15" customHeight="1" x14ac:dyDescent="0.25">
      <c r="T47377" s="135"/>
      <c r="U47377" s="135"/>
    </row>
    <row r="47378" spans="20:21" ht="15" customHeight="1" x14ac:dyDescent="0.25">
      <c r="T47378" s="135"/>
      <c r="U47378" s="135"/>
    </row>
    <row r="47379" spans="20:21" ht="15" customHeight="1" x14ac:dyDescent="0.25">
      <c r="T47379" s="135"/>
      <c r="U47379" s="135"/>
    </row>
    <row r="47380" spans="20:21" ht="15" customHeight="1" x14ac:dyDescent="0.25">
      <c r="T47380" s="135"/>
      <c r="U47380" s="135"/>
    </row>
    <row r="47381" spans="20:21" ht="15" customHeight="1" x14ac:dyDescent="0.25">
      <c r="T47381" s="135"/>
      <c r="U47381" s="135"/>
    </row>
    <row r="47382" spans="20:21" ht="15" customHeight="1" x14ac:dyDescent="0.25">
      <c r="T47382" s="135"/>
      <c r="U47382" s="135"/>
    </row>
    <row r="47383" spans="20:21" ht="15" customHeight="1" x14ac:dyDescent="0.25">
      <c r="T47383" s="135"/>
      <c r="U47383" s="135"/>
    </row>
    <row r="47384" spans="20:21" ht="15" customHeight="1" x14ac:dyDescent="0.25">
      <c r="T47384" s="135"/>
      <c r="U47384" s="135"/>
    </row>
    <row r="47385" spans="20:21" ht="15" customHeight="1" x14ac:dyDescent="0.25">
      <c r="T47385" s="135"/>
      <c r="U47385" s="135"/>
    </row>
    <row r="47386" spans="20:21" ht="15" customHeight="1" x14ac:dyDescent="0.25">
      <c r="T47386" s="135"/>
      <c r="U47386" s="135"/>
    </row>
    <row r="47387" spans="20:21" ht="15" customHeight="1" x14ac:dyDescent="0.25">
      <c r="T47387" s="135"/>
      <c r="U47387" s="135"/>
    </row>
    <row r="47388" spans="20:21" ht="15" customHeight="1" x14ac:dyDescent="0.25">
      <c r="T47388" s="135"/>
      <c r="U47388" s="135"/>
    </row>
    <row r="47389" spans="20:21" ht="15" customHeight="1" x14ac:dyDescent="0.25">
      <c r="T47389" s="135"/>
      <c r="U47389" s="135"/>
    </row>
    <row r="47390" spans="20:21" ht="15" customHeight="1" x14ac:dyDescent="0.25">
      <c r="T47390" s="135"/>
      <c r="U47390" s="135"/>
    </row>
    <row r="47391" spans="20:21" ht="15" customHeight="1" x14ac:dyDescent="0.25">
      <c r="T47391" s="135"/>
      <c r="U47391" s="135"/>
    </row>
    <row r="47392" spans="20:21" ht="15" customHeight="1" x14ac:dyDescent="0.25">
      <c r="T47392" s="135"/>
      <c r="U47392" s="135"/>
    </row>
    <row r="47393" spans="20:21" ht="15" customHeight="1" x14ac:dyDescent="0.25">
      <c r="T47393" s="135"/>
      <c r="U47393" s="135"/>
    </row>
    <row r="47394" spans="20:21" ht="15" customHeight="1" x14ac:dyDescent="0.25">
      <c r="T47394" s="135"/>
      <c r="U47394" s="135"/>
    </row>
    <row r="47395" spans="20:21" ht="15" customHeight="1" x14ac:dyDescent="0.25">
      <c r="T47395" s="135"/>
      <c r="U47395" s="135"/>
    </row>
    <row r="47396" spans="20:21" ht="15" customHeight="1" x14ac:dyDescent="0.25">
      <c r="T47396" s="135"/>
      <c r="U47396" s="135"/>
    </row>
    <row r="47397" spans="20:21" ht="15" customHeight="1" x14ac:dyDescent="0.25">
      <c r="T47397" s="135"/>
      <c r="U47397" s="135"/>
    </row>
    <row r="47398" spans="20:21" ht="15" customHeight="1" x14ac:dyDescent="0.25">
      <c r="T47398" s="135"/>
      <c r="U47398" s="135"/>
    </row>
    <row r="47399" spans="20:21" ht="15" customHeight="1" x14ac:dyDescent="0.25">
      <c r="T47399" s="135"/>
      <c r="U47399" s="135"/>
    </row>
    <row r="47400" spans="20:21" ht="15" customHeight="1" x14ac:dyDescent="0.25">
      <c r="T47400" s="135"/>
      <c r="U47400" s="135"/>
    </row>
    <row r="47401" spans="20:21" ht="15" customHeight="1" x14ac:dyDescent="0.25">
      <c r="T47401" s="135"/>
      <c r="U47401" s="135"/>
    </row>
    <row r="47402" spans="20:21" ht="15" customHeight="1" x14ac:dyDescent="0.25">
      <c r="T47402" s="135"/>
      <c r="U47402" s="135"/>
    </row>
    <row r="47403" spans="20:21" ht="15" customHeight="1" x14ac:dyDescent="0.25">
      <c r="T47403" s="135"/>
      <c r="U47403" s="135"/>
    </row>
    <row r="47404" spans="20:21" ht="15" customHeight="1" x14ac:dyDescent="0.25">
      <c r="T47404" s="135"/>
      <c r="U47404" s="135"/>
    </row>
    <row r="47405" spans="20:21" ht="15" customHeight="1" x14ac:dyDescent="0.25">
      <c r="T47405" s="135"/>
      <c r="U47405" s="135"/>
    </row>
    <row r="47406" spans="20:21" ht="15" customHeight="1" x14ac:dyDescent="0.25">
      <c r="T47406" s="135"/>
      <c r="U47406" s="135"/>
    </row>
    <row r="47407" spans="20:21" ht="15" customHeight="1" x14ac:dyDescent="0.25">
      <c r="T47407" s="135"/>
      <c r="U47407" s="135"/>
    </row>
    <row r="47408" spans="20:21" ht="15" customHeight="1" x14ac:dyDescent="0.25">
      <c r="T47408" s="135"/>
      <c r="U47408" s="135"/>
    </row>
    <row r="47409" spans="20:21" ht="15" customHeight="1" x14ac:dyDescent="0.25">
      <c r="T47409" s="135"/>
      <c r="U47409" s="135"/>
    </row>
    <row r="47410" spans="20:21" ht="15" customHeight="1" x14ac:dyDescent="0.25">
      <c r="T47410" s="135"/>
      <c r="U47410" s="135"/>
    </row>
    <row r="47411" spans="20:21" ht="15" customHeight="1" x14ac:dyDescent="0.25">
      <c r="T47411" s="135"/>
      <c r="U47411" s="135"/>
    </row>
    <row r="47412" spans="20:21" ht="15" customHeight="1" x14ac:dyDescent="0.25">
      <c r="T47412" s="135"/>
      <c r="U47412" s="135"/>
    </row>
    <row r="47413" spans="20:21" ht="15" customHeight="1" x14ac:dyDescent="0.25">
      <c r="T47413" s="135"/>
      <c r="U47413" s="135"/>
    </row>
    <row r="47414" spans="20:21" ht="15" customHeight="1" x14ac:dyDescent="0.25">
      <c r="T47414" s="135"/>
      <c r="U47414" s="135"/>
    </row>
    <row r="47415" spans="20:21" ht="15" customHeight="1" x14ac:dyDescent="0.25">
      <c r="T47415" s="135"/>
      <c r="U47415" s="135"/>
    </row>
    <row r="47416" spans="20:21" ht="15" customHeight="1" x14ac:dyDescent="0.25">
      <c r="T47416" s="135"/>
      <c r="U47416" s="135"/>
    </row>
    <row r="47417" spans="20:21" ht="15" customHeight="1" x14ac:dyDescent="0.25">
      <c r="T47417" s="135"/>
      <c r="U47417" s="135"/>
    </row>
    <row r="47418" spans="20:21" ht="15" customHeight="1" x14ac:dyDescent="0.25">
      <c r="T47418" s="135"/>
      <c r="U47418" s="135"/>
    </row>
    <row r="47419" spans="20:21" ht="15" customHeight="1" x14ac:dyDescent="0.25">
      <c r="T47419" s="135"/>
      <c r="U47419" s="135"/>
    </row>
    <row r="47420" spans="20:21" ht="15" customHeight="1" x14ac:dyDescent="0.25">
      <c r="T47420" s="135"/>
      <c r="U47420" s="135"/>
    </row>
    <row r="47421" spans="20:21" ht="15" customHeight="1" x14ac:dyDescent="0.25">
      <c r="T47421" s="135"/>
      <c r="U47421" s="135"/>
    </row>
    <row r="47422" spans="20:21" ht="15" customHeight="1" x14ac:dyDescent="0.25">
      <c r="T47422" s="135"/>
      <c r="U47422" s="135"/>
    </row>
    <row r="47423" spans="20:21" ht="15" customHeight="1" x14ac:dyDescent="0.25">
      <c r="T47423" s="135"/>
      <c r="U47423" s="135"/>
    </row>
    <row r="47424" spans="20:21" ht="15" customHeight="1" x14ac:dyDescent="0.25">
      <c r="T47424" s="135"/>
      <c r="U47424" s="135"/>
    </row>
    <row r="47425" spans="20:21" ht="15" customHeight="1" x14ac:dyDescent="0.25">
      <c r="T47425" s="135"/>
      <c r="U47425" s="135"/>
    </row>
    <row r="47426" spans="20:21" ht="15" customHeight="1" x14ac:dyDescent="0.25">
      <c r="T47426" s="135"/>
      <c r="U47426" s="135"/>
    </row>
    <row r="47427" spans="20:21" ht="15" customHeight="1" x14ac:dyDescent="0.25">
      <c r="T47427" s="135"/>
      <c r="U47427" s="135"/>
    </row>
    <row r="47428" spans="20:21" ht="15" customHeight="1" x14ac:dyDescent="0.25">
      <c r="T47428" s="135"/>
      <c r="U47428" s="135"/>
    </row>
    <row r="47429" spans="20:21" ht="15" customHeight="1" x14ac:dyDescent="0.25">
      <c r="T47429" s="135"/>
      <c r="U47429" s="135"/>
    </row>
    <row r="47430" spans="20:21" ht="15" customHeight="1" x14ac:dyDescent="0.25">
      <c r="T47430" s="135"/>
      <c r="U47430" s="135"/>
    </row>
    <row r="47431" spans="20:21" ht="15" customHeight="1" x14ac:dyDescent="0.25">
      <c r="T47431" s="135"/>
      <c r="U47431" s="135"/>
    </row>
    <row r="47432" spans="20:21" ht="15" customHeight="1" x14ac:dyDescent="0.25">
      <c r="T47432" s="135"/>
      <c r="U47432" s="135"/>
    </row>
    <row r="47433" spans="20:21" ht="15" customHeight="1" x14ac:dyDescent="0.25">
      <c r="T47433" s="135"/>
      <c r="U47433" s="135"/>
    </row>
    <row r="47434" spans="20:21" ht="15" customHeight="1" x14ac:dyDescent="0.25">
      <c r="T47434" s="135"/>
      <c r="U47434" s="135"/>
    </row>
    <row r="47435" spans="20:21" ht="15" customHeight="1" x14ac:dyDescent="0.25">
      <c r="T47435" s="135"/>
      <c r="U47435" s="135"/>
    </row>
    <row r="47436" spans="20:21" ht="15" customHeight="1" x14ac:dyDescent="0.25">
      <c r="T47436" s="135"/>
      <c r="U47436" s="135"/>
    </row>
    <row r="47437" spans="20:21" ht="15" customHeight="1" x14ac:dyDescent="0.25">
      <c r="T47437" s="135"/>
      <c r="U47437" s="135"/>
    </row>
    <row r="47438" spans="20:21" ht="15" customHeight="1" x14ac:dyDescent="0.25">
      <c r="T47438" s="135"/>
      <c r="U47438" s="135"/>
    </row>
    <row r="47439" spans="20:21" ht="15" customHeight="1" x14ac:dyDescent="0.25">
      <c r="T47439" s="135"/>
      <c r="U47439" s="135"/>
    </row>
    <row r="47440" spans="20:21" ht="15" customHeight="1" x14ac:dyDescent="0.25">
      <c r="T47440" s="135"/>
      <c r="U47440" s="135"/>
    </row>
    <row r="47441" spans="20:21" ht="15" customHeight="1" x14ac:dyDescent="0.25">
      <c r="T47441" s="135"/>
      <c r="U47441" s="135"/>
    </row>
    <row r="47442" spans="20:21" ht="15" customHeight="1" x14ac:dyDescent="0.25">
      <c r="T47442" s="135"/>
      <c r="U47442" s="135"/>
    </row>
    <row r="47443" spans="20:21" ht="15" customHeight="1" x14ac:dyDescent="0.25">
      <c r="T47443" s="135"/>
      <c r="U47443" s="135"/>
    </row>
    <row r="47444" spans="20:21" ht="15" customHeight="1" x14ac:dyDescent="0.25">
      <c r="T47444" s="135"/>
      <c r="U47444" s="135"/>
    </row>
    <row r="47445" spans="20:21" ht="15" customHeight="1" x14ac:dyDescent="0.25">
      <c r="T47445" s="135"/>
      <c r="U47445" s="135"/>
    </row>
    <row r="47446" spans="20:21" ht="15" customHeight="1" x14ac:dyDescent="0.25">
      <c r="T47446" s="135"/>
      <c r="U47446" s="135"/>
    </row>
    <row r="47447" spans="20:21" ht="15" customHeight="1" x14ac:dyDescent="0.25">
      <c r="T47447" s="135"/>
      <c r="U47447" s="135"/>
    </row>
    <row r="47448" spans="20:21" ht="15" customHeight="1" x14ac:dyDescent="0.25">
      <c r="T47448" s="135"/>
      <c r="U47448" s="135"/>
    </row>
    <row r="47449" spans="20:21" ht="15" customHeight="1" x14ac:dyDescent="0.25">
      <c r="T47449" s="135"/>
      <c r="U47449" s="135"/>
    </row>
    <row r="47450" spans="20:21" ht="15" customHeight="1" x14ac:dyDescent="0.25">
      <c r="T47450" s="135"/>
      <c r="U47450" s="135"/>
    </row>
    <row r="47451" spans="20:21" ht="15" customHeight="1" x14ac:dyDescent="0.25">
      <c r="T47451" s="135"/>
      <c r="U47451" s="135"/>
    </row>
    <row r="47452" spans="20:21" ht="15" customHeight="1" x14ac:dyDescent="0.25">
      <c r="T47452" s="135"/>
      <c r="U47452" s="135"/>
    </row>
    <row r="47453" spans="20:21" ht="15" customHeight="1" x14ac:dyDescent="0.25">
      <c r="T47453" s="135"/>
      <c r="U47453" s="135"/>
    </row>
    <row r="47454" spans="20:21" ht="15" customHeight="1" x14ac:dyDescent="0.25">
      <c r="T47454" s="135"/>
      <c r="U47454" s="135"/>
    </row>
    <row r="47455" spans="20:21" ht="15" customHeight="1" x14ac:dyDescent="0.25">
      <c r="T47455" s="135"/>
      <c r="U47455" s="135"/>
    </row>
    <row r="47456" spans="20:21" ht="15" customHeight="1" x14ac:dyDescent="0.25">
      <c r="T47456" s="135"/>
      <c r="U47456" s="135"/>
    </row>
    <row r="47457" spans="20:21" ht="15" customHeight="1" x14ac:dyDescent="0.25">
      <c r="T47457" s="135"/>
      <c r="U47457" s="135"/>
    </row>
    <row r="47458" spans="20:21" ht="15" customHeight="1" x14ac:dyDescent="0.25">
      <c r="T47458" s="135"/>
      <c r="U47458" s="135"/>
    </row>
    <row r="47459" spans="20:21" ht="15" customHeight="1" x14ac:dyDescent="0.25">
      <c r="T47459" s="135"/>
      <c r="U47459" s="135"/>
    </row>
    <row r="47460" spans="20:21" ht="15" customHeight="1" x14ac:dyDescent="0.25">
      <c r="T47460" s="135"/>
      <c r="U47460" s="135"/>
    </row>
    <row r="47461" spans="20:21" ht="15" customHeight="1" x14ac:dyDescent="0.25">
      <c r="T47461" s="135"/>
      <c r="U47461" s="135"/>
    </row>
    <row r="47462" spans="20:21" ht="15" customHeight="1" x14ac:dyDescent="0.25">
      <c r="T47462" s="135"/>
      <c r="U47462" s="135"/>
    </row>
    <row r="47463" spans="20:21" ht="15" customHeight="1" x14ac:dyDescent="0.25">
      <c r="T47463" s="135"/>
      <c r="U47463" s="135"/>
    </row>
    <row r="47464" spans="20:21" ht="15" customHeight="1" x14ac:dyDescent="0.25">
      <c r="T47464" s="135"/>
      <c r="U47464" s="135"/>
    </row>
    <row r="47465" spans="20:21" ht="15" customHeight="1" x14ac:dyDescent="0.25">
      <c r="T47465" s="135"/>
      <c r="U47465" s="135"/>
    </row>
    <row r="47466" spans="20:21" ht="15" customHeight="1" x14ac:dyDescent="0.25">
      <c r="T47466" s="135"/>
      <c r="U47466" s="135"/>
    </row>
    <row r="47467" spans="20:21" ht="15" customHeight="1" x14ac:dyDescent="0.25">
      <c r="T47467" s="135"/>
      <c r="U47467" s="135"/>
    </row>
    <row r="47468" spans="20:21" ht="15" customHeight="1" x14ac:dyDescent="0.25">
      <c r="T47468" s="135"/>
      <c r="U47468" s="135"/>
    </row>
    <row r="47469" spans="20:21" ht="15" customHeight="1" x14ac:dyDescent="0.25">
      <c r="T47469" s="135"/>
      <c r="U47469" s="135"/>
    </row>
    <row r="47470" spans="20:21" ht="15" customHeight="1" x14ac:dyDescent="0.25">
      <c r="T47470" s="135"/>
      <c r="U47470" s="135"/>
    </row>
    <row r="47471" spans="20:21" ht="15" customHeight="1" x14ac:dyDescent="0.25">
      <c r="T47471" s="135"/>
      <c r="U47471" s="135"/>
    </row>
    <row r="47472" spans="20:21" ht="15" customHeight="1" x14ac:dyDescent="0.25">
      <c r="T47472" s="135"/>
      <c r="U47472" s="135"/>
    </row>
    <row r="47473" spans="20:21" ht="15" customHeight="1" x14ac:dyDescent="0.25">
      <c r="T47473" s="135"/>
      <c r="U47473" s="135"/>
    </row>
    <row r="47474" spans="20:21" ht="15" customHeight="1" x14ac:dyDescent="0.25">
      <c r="T47474" s="135"/>
      <c r="U47474" s="135"/>
    </row>
    <row r="47475" spans="20:21" ht="15" customHeight="1" x14ac:dyDescent="0.25">
      <c r="T47475" s="135"/>
      <c r="U47475" s="135"/>
    </row>
    <row r="47476" spans="20:21" ht="15" customHeight="1" x14ac:dyDescent="0.25">
      <c r="T47476" s="135"/>
      <c r="U47476" s="135"/>
    </row>
    <row r="47477" spans="20:21" ht="15" customHeight="1" x14ac:dyDescent="0.25">
      <c r="T47477" s="135"/>
      <c r="U47477" s="135"/>
    </row>
    <row r="47478" spans="20:21" ht="15" customHeight="1" x14ac:dyDescent="0.25">
      <c r="T47478" s="135"/>
      <c r="U47478" s="135"/>
    </row>
    <row r="47479" spans="20:21" ht="15" customHeight="1" x14ac:dyDescent="0.25">
      <c r="T47479" s="135"/>
      <c r="U47479" s="135"/>
    </row>
    <row r="47480" spans="20:21" ht="15" customHeight="1" x14ac:dyDescent="0.25">
      <c r="T47480" s="135"/>
      <c r="U47480" s="135"/>
    </row>
    <row r="47481" spans="20:21" ht="15" customHeight="1" x14ac:dyDescent="0.25">
      <c r="T47481" s="135"/>
      <c r="U47481" s="135"/>
    </row>
    <row r="47482" spans="20:21" ht="15" customHeight="1" x14ac:dyDescent="0.25">
      <c r="T47482" s="135"/>
      <c r="U47482" s="135"/>
    </row>
    <row r="47483" spans="20:21" ht="15" customHeight="1" x14ac:dyDescent="0.25">
      <c r="T47483" s="135"/>
      <c r="U47483" s="135"/>
    </row>
    <row r="47484" spans="20:21" ht="15" customHeight="1" x14ac:dyDescent="0.25">
      <c r="T47484" s="135"/>
      <c r="U47484" s="135"/>
    </row>
    <row r="47485" spans="20:21" ht="15" customHeight="1" x14ac:dyDescent="0.25">
      <c r="T47485" s="135"/>
      <c r="U47485" s="135"/>
    </row>
    <row r="47486" spans="20:21" ht="15" customHeight="1" x14ac:dyDescent="0.25">
      <c r="T47486" s="135"/>
      <c r="U47486" s="135"/>
    </row>
    <row r="47487" spans="20:21" ht="15" customHeight="1" x14ac:dyDescent="0.25">
      <c r="T47487" s="135"/>
      <c r="U47487" s="135"/>
    </row>
    <row r="47488" spans="20:21" ht="15" customHeight="1" x14ac:dyDescent="0.25">
      <c r="T47488" s="135"/>
      <c r="U47488" s="135"/>
    </row>
    <row r="47489" spans="20:21" ht="15" customHeight="1" x14ac:dyDescent="0.25">
      <c r="T47489" s="135"/>
      <c r="U47489" s="135"/>
    </row>
    <row r="47490" spans="20:21" ht="15" customHeight="1" x14ac:dyDescent="0.25">
      <c r="T47490" s="135"/>
      <c r="U47490" s="135"/>
    </row>
    <row r="47491" spans="20:21" ht="15" customHeight="1" x14ac:dyDescent="0.25">
      <c r="T47491" s="135"/>
      <c r="U47491" s="135"/>
    </row>
    <row r="47492" spans="20:21" ht="15" customHeight="1" x14ac:dyDescent="0.25">
      <c r="T47492" s="135"/>
      <c r="U47492" s="135"/>
    </row>
    <row r="47493" spans="20:21" ht="15" customHeight="1" x14ac:dyDescent="0.25">
      <c r="T47493" s="135"/>
      <c r="U47493" s="135"/>
    </row>
    <row r="47494" spans="20:21" ht="15" customHeight="1" x14ac:dyDescent="0.25">
      <c r="T47494" s="135"/>
      <c r="U47494" s="135"/>
    </row>
    <row r="47495" spans="20:21" ht="15" customHeight="1" x14ac:dyDescent="0.25">
      <c r="T47495" s="135"/>
      <c r="U47495" s="135"/>
    </row>
    <row r="47496" spans="20:21" ht="15" customHeight="1" x14ac:dyDescent="0.25">
      <c r="T47496" s="135"/>
      <c r="U47496" s="135"/>
    </row>
    <row r="47497" spans="20:21" ht="15" customHeight="1" x14ac:dyDescent="0.25">
      <c r="T47497" s="135"/>
      <c r="U47497" s="135"/>
    </row>
    <row r="47498" spans="20:21" ht="15" customHeight="1" x14ac:dyDescent="0.25">
      <c r="T47498" s="135"/>
      <c r="U47498" s="135"/>
    </row>
    <row r="47499" spans="20:21" ht="15" customHeight="1" x14ac:dyDescent="0.25">
      <c r="T47499" s="135"/>
      <c r="U47499" s="135"/>
    </row>
    <row r="47500" spans="20:21" ht="15" customHeight="1" x14ac:dyDescent="0.25">
      <c r="T47500" s="135"/>
      <c r="U47500" s="135"/>
    </row>
    <row r="47501" spans="20:21" ht="15" customHeight="1" x14ac:dyDescent="0.25">
      <c r="T47501" s="135"/>
      <c r="U47501" s="135"/>
    </row>
    <row r="47502" spans="20:21" ht="15" customHeight="1" x14ac:dyDescent="0.25">
      <c r="T47502" s="135"/>
      <c r="U47502" s="135"/>
    </row>
    <row r="47503" spans="20:21" ht="15" customHeight="1" x14ac:dyDescent="0.25">
      <c r="T47503" s="135"/>
      <c r="U47503" s="135"/>
    </row>
    <row r="47504" spans="20:21" ht="15" customHeight="1" x14ac:dyDescent="0.25">
      <c r="T47504" s="135"/>
      <c r="U47504" s="135"/>
    </row>
    <row r="47505" spans="20:21" ht="15" customHeight="1" x14ac:dyDescent="0.25">
      <c r="T47505" s="135"/>
      <c r="U47505" s="135"/>
    </row>
    <row r="47506" spans="20:21" ht="15" customHeight="1" x14ac:dyDescent="0.25">
      <c r="T47506" s="135"/>
      <c r="U47506" s="135"/>
    </row>
    <row r="47507" spans="20:21" ht="15" customHeight="1" x14ac:dyDescent="0.25">
      <c r="T47507" s="135"/>
      <c r="U47507" s="135"/>
    </row>
    <row r="47508" spans="20:21" ht="15" customHeight="1" x14ac:dyDescent="0.25">
      <c r="T47508" s="135"/>
      <c r="U47508" s="135"/>
    </row>
    <row r="47509" spans="20:21" ht="15" customHeight="1" x14ac:dyDescent="0.25">
      <c r="T47509" s="135"/>
      <c r="U47509" s="135"/>
    </row>
    <row r="47510" spans="20:21" ht="15" customHeight="1" x14ac:dyDescent="0.25">
      <c r="T47510" s="135"/>
      <c r="U47510" s="135"/>
    </row>
    <row r="47511" spans="20:21" ht="15" customHeight="1" x14ac:dyDescent="0.25">
      <c r="T47511" s="135"/>
      <c r="U47511" s="135"/>
    </row>
    <row r="47512" spans="20:21" ht="15" customHeight="1" x14ac:dyDescent="0.25">
      <c r="T47512" s="135"/>
      <c r="U47512" s="135"/>
    </row>
    <row r="47513" spans="20:21" ht="15" customHeight="1" x14ac:dyDescent="0.25">
      <c r="T47513" s="135"/>
      <c r="U47513" s="135"/>
    </row>
    <row r="47514" spans="20:21" ht="15" customHeight="1" x14ac:dyDescent="0.25">
      <c r="T47514" s="135"/>
      <c r="U47514" s="135"/>
    </row>
    <row r="47515" spans="20:21" ht="15" customHeight="1" x14ac:dyDescent="0.25">
      <c r="T47515" s="135"/>
      <c r="U47515" s="135"/>
    </row>
    <row r="47516" spans="20:21" ht="15" customHeight="1" x14ac:dyDescent="0.25">
      <c r="T47516" s="135"/>
      <c r="U47516" s="135"/>
    </row>
    <row r="47517" spans="20:21" ht="15" customHeight="1" x14ac:dyDescent="0.25">
      <c r="T47517" s="135"/>
      <c r="U47517" s="135"/>
    </row>
    <row r="47518" spans="20:21" ht="15" customHeight="1" x14ac:dyDescent="0.25">
      <c r="T47518" s="135"/>
      <c r="U47518" s="135"/>
    </row>
    <row r="47519" spans="20:21" ht="15" customHeight="1" x14ac:dyDescent="0.25">
      <c r="T47519" s="135"/>
      <c r="U47519" s="135"/>
    </row>
    <row r="47520" spans="20:21" ht="15" customHeight="1" x14ac:dyDescent="0.25">
      <c r="T47520" s="135"/>
      <c r="U47520" s="135"/>
    </row>
    <row r="47521" spans="20:21" ht="15" customHeight="1" x14ac:dyDescent="0.25">
      <c r="T47521" s="135"/>
      <c r="U47521" s="135"/>
    </row>
    <row r="47522" spans="20:21" ht="15" customHeight="1" x14ac:dyDescent="0.25">
      <c r="T47522" s="135"/>
      <c r="U47522" s="135"/>
    </row>
    <row r="47523" spans="20:21" ht="15" customHeight="1" x14ac:dyDescent="0.25">
      <c r="T47523" s="135"/>
      <c r="U47523" s="135"/>
    </row>
    <row r="47524" spans="20:21" ht="15" customHeight="1" x14ac:dyDescent="0.25">
      <c r="T47524" s="135"/>
      <c r="U47524" s="135"/>
    </row>
    <row r="47525" spans="20:21" ht="15" customHeight="1" x14ac:dyDescent="0.25">
      <c r="T47525" s="135"/>
      <c r="U47525" s="135"/>
    </row>
    <row r="47526" spans="20:21" ht="15" customHeight="1" x14ac:dyDescent="0.25">
      <c r="T47526" s="135"/>
      <c r="U47526" s="135"/>
    </row>
    <row r="47527" spans="20:21" ht="15" customHeight="1" x14ac:dyDescent="0.25">
      <c r="T47527" s="135"/>
      <c r="U47527" s="135"/>
    </row>
    <row r="47528" spans="20:21" ht="15" customHeight="1" x14ac:dyDescent="0.25">
      <c r="T47528" s="135"/>
      <c r="U47528" s="135"/>
    </row>
    <row r="47529" spans="20:21" ht="15" customHeight="1" x14ac:dyDescent="0.25">
      <c r="T47529" s="135"/>
      <c r="U47529" s="135"/>
    </row>
    <row r="47530" spans="20:21" ht="15" customHeight="1" x14ac:dyDescent="0.25">
      <c r="T47530" s="135"/>
      <c r="U47530" s="135"/>
    </row>
    <row r="47531" spans="20:21" ht="15" customHeight="1" x14ac:dyDescent="0.25">
      <c r="T47531" s="135"/>
      <c r="U47531" s="135"/>
    </row>
    <row r="47532" spans="20:21" ht="15" customHeight="1" x14ac:dyDescent="0.25">
      <c r="T47532" s="135"/>
      <c r="U47532" s="135"/>
    </row>
    <row r="47533" spans="20:21" ht="15" customHeight="1" x14ac:dyDescent="0.25">
      <c r="T47533" s="135"/>
      <c r="U47533" s="135"/>
    </row>
    <row r="47534" spans="20:21" ht="15" customHeight="1" x14ac:dyDescent="0.25">
      <c r="T47534" s="135"/>
      <c r="U47534" s="135"/>
    </row>
    <row r="47535" spans="20:21" ht="15" customHeight="1" x14ac:dyDescent="0.25">
      <c r="T47535" s="135"/>
      <c r="U47535" s="135"/>
    </row>
    <row r="47536" spans="20:21" ht="15" customHeight="1" x14ac:dyDescent="0.25">
      <c r="T47536" s="135"/>
      <c r="U47536" s="135"/>
    </row>
    <row r="47537" spans="20:21" ht="15" customHeight="1" x14ac:dyDescent="0.25">
      <c r="T47537" s="135"/>
      <c r="U47537" s="135"/>
    </row>
    <row r="47538" spans="20:21" ht="15" customHeight="1" x14ac:dyDescent="0.25">
      <c r="T47538" s="135"/>
      <c r="U47538" s="135"/>
    </row>
    <row r="47539" spans="20:21" ht="15" customHeight="1" x14ac:dyDescent="0.25">
      <c r="T47539" s="135"/>
      <c r="U47539" s="135"/>
    </row>
    <row r="47540" spans="20:21" ht="15" customHeight="1" x14ac:dyDescent="0.25">
      <c r="T47540" s="135"/>
      <c r="U47540" s="135"/>
    </row>
    <row r="47541" spans="20:21" ht="15" customHeight="1" x14ac:dyDescent="0.25">
      <c r="T47541" s="135"/>
      <c r="U47541" s="135"/>
    </row>
    <row r="47542" spans="20:21" ht="15" customHeight="1" x14ac:dyDescent="0.25">
      <c r="T47542" s="135"/>
      <c r="U47542" s="135"/>
    </row>
    <row r="47543" spans="20:21" ht="15" customHeight="1" x14ac:dyDescent="0.25">
      <c r="T47543" s="135"/>
      <c r="U47543" s="135"/>
    </row>
    <row r="47544" spans="20:21" ht="15" customHeight="1" x14ac:dyDescent="0.25">
      <c r="T47544" s="135"/>
      <c r="U47544" s="135"/>
    </row>
    <row r="47545" spans="20:21" ht="15" customHeight="1" x14ac:dyDescent="0.25">
      <c r="T47545" s="135"/>
      <c r="U47545" s="135"/>
    </row>
    <row r="47546" spans="20:21" ht="15" customHeight="1" x14ac:dyDescent="0.25">
      <c r="T47546" s="135"/>
      <c r="U47546" s="135"/>
    </row>
    <row r="47547" spans="20:21" ht="15" customHeight="1" x14ac:dyDescent="0.25">
      <c r="T47547" s="135"/>
      <c r="U47547" s="135"/>
    </row>
    <row r="47548" spans="20:21" ht="15" customHeight="1" x14ac:dyDescent="0.25">
      <c r="T47548" s="135"/>
      <c r="U47548" s="135"/>
    </row>
    <row r="47549" spans="20:21" ht="15" customHeight="1" x14ac:dyDescent="0.25">
      <c r="T47549" s="135"/>
      <c r="U47549" s="135"/>
    </row>
    <row r="47550" spans="20:21" ht="15" customHeight="1" x14ac:dyDescent="0.25">
      <c r="T47550" s="135"/>
      <c r="U47550" s="135"/>
    </row>
    <row r="47551" spans="20:21" ht="15" customHeight="1" x14ac:dyDescent="0.25">
      <c r="T47551" s="135"/>
      <c r="U47551" s="135"/>
    </row>
    <row r="47552" spans="20:21" ht="15" customHeight="1" x14ac:dyDescent="0.25">
      <c r="T47552" s="135"/>
      <c r="U47552" s="135"/>
    </row>
    <row r="47553" spans="20:21" ht="15" customHeight="1" x14ac:dyDescent="0.25">
      <c r="T47553" s="135"/>
      <c r="U47553" s="135"/>
    </row>
    <row r="47554" spans="20:21" ht="15" customHeight="1" x14ac:dyDescent="0.25">
      <c r="T47554" s="135"/>
      <c r="U47554" s="135"/>
    </row>
    <row r="47555" spans="20:21" ht="15" customHeight="1" x14ac:dyDescent="0.25">
      <c r="T47555" s="135"/>
      <c r="U47555" s="135"/>
    </row>
    <row r="47556" spans="20:21" ht="15" customHeight="1" x14ac:dyDescent="0.25">
      <c r="T47556" s="135"/>
      <c r="U47556" s="135"/>
    </row>
    <row r="47557" spans="20:21" ht="15" customHeight="1" x14ac:dyDescent="0.25">
      <c r="T47557" s="135"/>
      <c r="U47557" s="135"/>
    </row>
    <row r="47558" spans="20:21" ht="15" customHeight="1" x14ac:dyDescent="0.25">
      <c r="T47558" s="135"/>
      <c r="U47558" s="135"/>
    </row>
    <row r="47559" spans="20:21" ht="15" customHeight="1" x14ac:dyDescent="0.25">
      <c r="T47559" s="135"/>
      <c r="U47559" s="135"/>
    </row>
    <row r="47560" spans="20:21" ht="15" customHeight="1" x14ac:dyDescent="0.25">
      <c r="T47560" s="135"/>
      <c r="U47560" s="135"/>
    </row>
    <row r="47561" spans="20:21" ht="15" customHeight="1" x14ac:dyDescent="0.25">
      <c r="T47561" s="135"/>
      <c r="U47561" s="135"/>
    </row>
    <row r="47562" spans="20:21" ht="15" customHeight="1" x14ac:dyDescent="0.25">
      <c r="T47562" s="135"/>
      <c r="U47562" s="135"/>
    </row>
    <row r="47563" spans="20:21" ht="15" customHeight="1" x14ac:dyDescent="0.25">
      <c r="T47563" s="135"/>
      <c r="U47563" s="135"/>
    </row>
    <row r="47564" spans="20:21" ht="15" customHeight="1" x14ac:dyDescent="0.25">
      <c r="T47564" s="135"/>
      <c r="U47564" s="135"/>
    </row>
    <row r="47565" spans="20:21" ht="15" customHeight="1" x14ac:dyDescent="0.25">
      <c r="T47565" s="135"/>
      <c r="U47565" s="135"/>
    </row>
    <row r="47566" spans="20:21" ht="15" customHeight="1" x14ac:dyDescent="0.25">
      <c r="T47566" s="135"/>
      <c r="U47566" s="135"/>
    </row>
    <row r="47567" spans="20:21" ht="15" customHeight="1" x14ac:dyDescent="0.25">
      <c r="T47567" s="135"/>
      <c r="U47567" s="135"/>
    </row>
    <row r="47568" spans="20:21" ht="15" customHeight="1" x14ac:dyDescent="0.25">
      <c r="T47568" s="135"/>
      <c r="U47568" s="135"/>
    </row>
    <row r="47569" spans="20:21" ht="15" customHeight="1" x14ac:dyDescent="0.25">
      <c r="T47569" s="135"/>
      <c r="U47569" s="135"/>
    </row>
    <row r="47570" spans="20:21" ht="15" customHeight="1" x14ac:dyDescent="0.25">
      <c r="T47570" s="135"/>
      <c r="U47570" s="135"/>
    </row>
    <row r="47571" spans="20:21" ht="15" customHeight="1" x14ac:dyDescent="0.25">
      <c r="T47571" s="135"/>
      <c r="U47571" s="135"/>
    </row>
    <row r="47572" spans="20:21" ht="15" customHeight="1" x14ac:dyDescent="0.25">
      <c r="T47572" s="135"/>
      <c r="U47572" s="135"/>
    </row>
    <row r="47573" spans="20:21" ht="15" customHeight="1" x14ac:dyDescent="0.25">
      <c r="T47573" s="135"/>
      <c r="U47573" s="135"/>
    </row>
    <row r="47574" spans="20:21" ht="15" customHeight="1" x14ac:dyDescent="0.25">
      <c r="T47574" s="135"/>
      <c r="U47574" s="135"/>
    </row>
    <row r="47575" spans="20:21" ht="15" customHeight="1" x14ac:dyDescent="0.25">
      <c r="T47575" s="135"/>
      <c r="U47575" s="135"/>
    </row>
    <row r="47576" spans="20:21" ht="15" customHeight="1" x14ac:dyDescent="0.25">
      <c r="T47576" s="135"/>
      <c r="U47576" s="135"/>
    </row>
    <row r="47577" spans="20:21" ht="15" customHeight="1" x14ac:dyDescent="0.25">
      <c r="T47577" s="135"/>
      <c r="U47577" s="135"/>
    </row>
    <row r="47578" spans="20:21" ht="15" customHeight="1" x14ac:dyDescent="0.25">
      <c r="T47578" s="135"/>
      <c r="U47578" s="135"/>
    </row>
    <row r="47579" spans="20:21" ht="15" customHeight="1" x14ac:dyDescent="0.25">
      <c r="T47579" s="135"/>
      <c r="U47579" s="135"/>
    </row>
    <row r="47580" spans="20:21" ht="15" customHeight="1" x14ac:dyDescent="0.25">
      <c r="T47580" s="135"/>
      <c r="U47580" s="135"/>
    </row>
    <row r="47581" spans="20:21" ht="15" customHeight="1" x14ac:dyDescent="0.25">
      <c r="T47581" s="135"/>
      <c r="U47581" s="135"/>
    </row>
    <row r="47582" spans="20:21" ht="15" customHeight="1" x14ac:dyDescent="0.25">
      <c r="T47582" s="135"/>
      <c r="U47582" s="135"/>
    </row>
    <row r="47583" spans="20:21" ht="15" customHeight="1" x14ac:dyDescent="0.25">
      <c r="T47583" s="135"/>
      <c r="U47583" s="135"/>
    </row>
    <row r="47584" spans="20:21" ht="15" customHeight="1" x14ac:dyDescent="0.25">
      <c r="T47584" s="135"/>
      <c r="U47584" s="135"/>
    </row>
    <row r="47585" spans="20:21" ht="15" customHeight="1" x14ac:dyDescent="0.25">
      <c r="T47585" s="135"/>
      <c r="U47585" s="135"/>
    </row>
    <row r="47586" spans="20:21" ht="15" customHeight="1" x14ac:dyDescent="0.25">
      <c r="T47586" s="135"/>
      <c r="U47586" s="135"/>
    </row>
    <row r="47587" spans="20:21" ht="15" customHeight="1" x14ac:dyDescent="0.25">
      <c r="T47587" s="135"/>
      <c r="U47587" s="135"/>
    </row>
    <row r="47588" spans="20:21" ht="15" customHeight="1" x14ac:dyDescent="0.25">
      <c r="T47588" s="135"/>
      <c r="U47588" s="135"/>
    </row>
    <row r="47589" spans="20:21" ht="15" customHeight="1" x14ac:dyDescent="0.25">
      <c r="T47589" s="135"/>
      <c r="U47589" s="135"/>
    </row>
    <row r="47590" spans="20:21" ht="15" customHeight="1" x14ac:dyDescent="0.25">
      <c r="T47590" s="135"/>
      <c r="U47590" s="135"/>
    </row>
    <row r="47591" spans="20:21" ht="15" customHeight="1" x14ac:dyDescent="0.25">
      <c r="T47591" s="135"/>
      <c r="U47591" s="135"/>
    </row>
    <row r="47592" spans="20:21" ht="15" customHeight="1" x14ac:dyDescent="0.25">
      <c r="T47592" s="135"/>
      <c r="U47592" s="135"/>
    </row>
    <row r="47593" spans="20:21" ht="15" customHeight="1" x14ac:dyDescent="0.25">
      <c r="T47593" s="135"/>
      <c r="U47593" s="135"/>
    </row>
    <row r="47594" spans="20:21" ht="15" customHeight="1" x14ac:dyDescent="0.25">
      <c r="T47594" s="135"/>
      <c r="U47594" s="135"/>
    </row>
    <row r="47595" spans="20:21" ht="15" customHeight="1" x14ac:dyDescent="0.25">
      <c r="T47595" s="135"/>
      <c r="U47595" s="135"/>
    </row>
    <row r="47596" spans="20:21" ht="15" customHeight="1" x14ac:dyDescent="0.25">
      <c r="T47596" s="135"/>
      <c r="U47596" s="135"/>
    </row>
    <row r="47597" spans="20:21" ht="15" customHeight="1" x14ac:dyDescent="0.25">
      <c r="T47597" s="135"/>
      <c r="U47597" s="135"/>
    </row>
    <row r="47598" spans="20:21" ht="15" customHeight="1" x14ac:dyDescent="0.25">
      <c r="T47598" s="135"/>
      <c r="U47598" s="135"/>
    </row>
    <row r="47599" spans="20:21" ht="15" customHeight="1" x14ac:dyDescent="0.25">
      <c r="T47599" s="135"/>
      <c r="U47599" s="135"/>
    </row>
    <row r="47600" spans="20:21" ht="15" customHeight="1" x14ac:dyDescent="0.25">
      <c r="T47600" s="135"/>
      <c r="U47600" s="135"/>
    </row>
    <row r="47601" spans="20:21" ht="15" customHeight="1" x14ac:dyDescent="0.25">
      <c r="T47601" s="135"/>
      <c r="U47601" s="135"/>
    </row>
    <row r="47602" spans="20:21" ht="15" customHeight="1" x14ac:dyDescent="0.25">
      <c r="T47602" s="135"/>
      <c r="U47602" s="135"/>
    </row>
    <row r="47603" spans="20:21" ht="15" customHeight="1" x14ac:dyDescent="0.25">
      <c r="T47603" s="135"/>
      <c r="U47603" s="135"/>
    </row>
    <row r="47604" spans="20:21" ht="15" customHeight="1" x14ac:dyDescent="0.25">
      <c r="T47604" s="135"/>
      <c r="U47604" s="135"/>
    </row>
    <row r="47605" spans="20:21" ht="15" customHeight="1" x14ac:dyDescent="0.25">
      <c r="T47605" s="135"/>
      <c r="U47605" s="135"/>
    </row>
    <row r="47606" spans="20:21" ht="15" customHeight="1" x14ac:dyDescent="0.25">
      <c r="T47606" s="135"/>
      <c r="U47606" s="135"/>
    </row>
    <row r="47607" spans="20:21" ht="15" customHeight="1" x14ac:dyDescent="0.25">
      <c r="T47607" s="135"/>
      <c r="U47607" s="135"/>
    </row>
    <row r="47608" spans="20:21" ht="15" customHeight="1" x14ac:dyDescent="0.25">
      <c r="T47608" s="135"/>
      <c r="U47608" s="135"/>
    </row>
    <row r="47609" spans="20:21" ht="15" customHeight="1" x14ac:dyDescent="0.25">
      <c r="T47609" s="135"/>
      <c r="U47609" s="135"/>
    </row>
    <row r="47610" spans="20:21" ht="15" customHeight="1" x14ac:dyDescent="0.25">
      <c r="T47610" s="135"/>
      <c r="U47610" s="135"/>
    </row>
    <row r="47611" spans="20:21" ht="15" customHeight="1" x14ac:dyDescent="0.25">
      <c r="T47611" s="135"/>
      <c r="U47611" s="135"/>
    </row>
    <row r="47612" spans="20:21" ht="15" customHeight="1" x14ac:dyDescent="0.25">
      <c r="T47612" s="135"/>
      <c r="U47612" s="135"/>
    </row>
    <row r="47613" spans="20:21" ht="15" customHeight="1" x14ac:dyDescent="0.25">
      <c r="T47613" s="135"/>
      <c r="U47613" s="135"/>
    </row>
    <row r="47614" spans="20:21" ht="15" customHeight="1" x14ac:dyDescent="0.25">
      <c r="T47614" s="135"/>
      <c r="U47614" s="135"/>
    </row>
    <row r="47615" spans="20:21" ht="15" customHeight="1" x14ac:dyDescent="0.25">
      <c r="T47615" s="135"/>
      <c r="U47615" s="135"/>
    </row>
    <row r="47616" spans="20:21" ht="15" customHeight="1" x14ac:dyDescent="0.25">
      <c r="T47616" s="135"/>
      <c r="U47616" s="135"/>
    </row>
    <row r="47617" spans="20:21" ht="15" customHeight="1" x14ac:dyDescent="0.25">
      <c r="T47617" s="135"/>
      <c r="U47617" s="135"/>
    </row>
    <row r="47618" spans="20:21" ht="15" customHeight="1" x14ac:dyDescent="0.25">
      <c r="T47618" s="135"/>
      <c r="U47618" s="135"/>
    </row>
    <row r="47619" spans="20:21" ht="15" customHeight="1" x14ac:dyDescent="0.25">
      <c r="T47619" s="135"/>
      <c r="U47619" s="135"/>
    </row>
    <row r="47620" spans="20:21" ht="15" customHeight="1" x14ac:dyDescent="0.25">
      <c r="T47620" s="135"/>
      <c r="U47620" s="135"/>
    </row>
    <row r="47621" spans="20:21" ht="15" customHeight="1" x14ac:dyDescent="0.25">
      <c r="T47621" s="135"/>
      <c r="U47621" s="135"/>
    </row>
    <row r="47622" spans="20:21" ht="15" customHeight="1" x14ac:dyDescent="0.25">
      <c r="T47622" s="135"/>
      <c r="U47622" s="135"/>
    </row>
    <row r="47623" spans="20:21" ht="15" customHeight="1" x14ac:dyDescent="0.25">
      <c r="T47623" s="135"/>
      <c r="U47623" s="135"/>
    </row>
    <row r="47624" spans="20:21" ht="15" customHeight="1" x14ac:dyDescent="0.25">
      <c r="T47624" s="135"/>
      <c r="U47624" s="135"/>
    </row>
    <row r="47625" spans="20:21" ht="15" customHeight="1" x14ac:dyDescent="0.25">
      <c r="T47625" s="135"/>
      <c r="U47625" s="135"/>
    </row>
    <row r="47626" spans="20:21" ht="15" customHeight="1" x14ac:dyDescent="0.25">
      <c r="T47626" s="135"/>
      <c r="U47626" s="135"/>
    </row>
    <row r="47627" spans="20:21" ht="15" customHeight="1" x14ac:dyDescent="0.25">
      <c r="T47627" s="135"/>
      <c r="U47627" s="135"/>
    </row>
    <row r="47628" spans="20:21" ht="15" customHeight="1" x14ac:dyDescent="0.25">
      <c r="T47628" s="135"/>
      <c r="U47628" s="135"/>
    </row>
    <row r="47629" spans="20:21" ht="15" customHeight="1" x14ac:dyDescent="0.25">
      <c r="T47629" s="135"/>
      <c r="U47629" s="135"/>
    </row>
    <row r="47630" spans="20:21" ht="15" customHeight="1" x14ac:dyDescent="0.25">
      <c r="T47630" s="135"/>
      <c r="U47630" s="135"/>
    </row>
    <row r="47631" spans="20:21" ht="15" customHeight="1" x14ac:dyDescent="0.25">
      <c r="T47631" s="135"/>
      <c r="U47631" s="135"/>
    </row>
    <row r="47632" spans="20:21" ht="15" customHeight="1" x14ac:dyDescent="0.25">
      <c r="T47632" s="135"/>
      <c r="U47632" s="135"/>
    </row>
    <row r="47633" spans="20:21" ht="15" customHeight="1" x14ac:dyDescent="0.25">
      <c r="T47633" s="135"/>
      <c r="U47633" s="135"/>
    </row>
    <row r="47634" spans="20:21" ht="15" customHeight="1" x14ac:dyDescent="0.25">
      <c r="T47634" s="135"/>
      <c r="U47634" s="135"/>
    </row>
    <row r="47635" spans="20:21" ht="15" customHeight="1" x14ac:dyDescent="0.25">
      <c r="T47635" s="135"/>
      <c r="U47635" s="135"/>
    </row>
    <row r="47636" spans="20:21" ht="15" customHeight="1" x14ac:dyDescent="0.25">
      <c r="T47636" s="135"/>
      <c r="U47636" s="135"/>
    </row>
    <row r="47637" spans="20:21" ht="15" customHeight="1" x14ac:dyDescent="0.25">
      <c r="T47637" s="135"/>
      <c r="U47637" s="135"/>
    </row>
    <row r="47638" spans="20:21" ht="15" customHeight="1" x14ac:dyDescent="0.25">
      <c r="T47638" s="135"/>
      <c r="U47638" s="135"/>
    </row>
    <row r="47639" spans="20:21" ht="15" customHeight="1" x14ac:dyDescent="0.25">
      <c r="T47639" s="135"/>
      <c r="U47639" s="135"/>
    </row>
    <row r="47640" spans="20:21" ht="15" customHeight="1" x14ac:dyDescent="0.25">
      <c r="T47640" s="135"/>
      <c r="U47640" s="135"/>
    </row>
    <row r="47641" spans="20:21" ht="15" customHeight="1" x14ac:dyDescent="0.25">
      <c r="T47641" s="135"/>
      <c r="U47641" s="135"/>
    </row>
    <row r="47642" spans="20:21" ht="15" customHeight="1" x14ac:dyDescent="0.25">
      <c r="T47642" s="135"/>
      <c r="U47642" s="135"/>
    </row>
    <row r="47643" spans="20:21" ht="15" customHeight="1" x14ac:dyDescent="0.25">
      <c r="T47643" s="135"/>
      <c r="U47643" s="135"/>
    </row>
    <row r="47644" spans="20:21" ht="15" customHeight="1" x14ac:dyDescent="0.25">
      <c r="T47644" s="135"/>
      <c r="U47644" s="135"/>
    </row>
    <row r="47645" spans="20:21" ht="15" customHeight="1" x14ac:dyDescent="0.25">
      <c r="T47645" s="135"/>
      <c r="U47645" s="135"/>
    </row>
    <row r="47646" spans="20:21" ht="15" customHeight="1" x14ac:dyDescent="0.25">
      <c r="T47646" s="135"/>
      <c r="U47646" s="135"/>
    </row>
    <row r="47647" spans="20:21" ht="15" customHeight="1" x14ac:dyDescent="0.25">
      <c r="T47647" s="135"/>
      <c r="U47647" s="135"/>
    </row>
    <row r="47648" spans="20:21" ht="15" customHeight="1" x14ac:dyDescent="0.25">
      <c r="T47648" s="135"/>
      <c r="U47648" s="135"/>
    </row>
    <row r="47649" spans="20:21" ht="15" customHeight="1" x14ac:dyDescent="0.25">
      <c r="T47649" s="135"/>
      <c r="U47649" s="135"/>
    </row>
    <row r="47650" spans="20:21" ht="15" customHeight="1" x14ac:dyDescent="0.25">
      <c r="T47650" s="135"/>
      <c r="U47650" s="135"/>
    </row>
    <row r="47651" spans="20:21" ht="15" customHeight="1" x14ac:dyDescent="0.25">
      <c r="T47651" s="135"/>
      <c r="U47651" s="135"/>
    </row>
    <row r="47652" spans="20:21" ht="15" customHeight="1" x14ac:dyDescent="0.25">
      <c r="T47652" s="135"/>
      <c r="U47652" s="135"/>
    </row>
    <row r="47653" spans="20:21" ht="15" customHeight="1" x14ac:dyDescent="0.25">
      <c r="T47653" s="135"/>
      <c r="U47653" s="135"/>
    </row>
    <row r="47654" spans="20:21" ht="15" customHeight="1" x14ac:dyDescent="0.25">
      <c r="T47654" s="135"/>
      <c r="U47654" s="135"/>
    </row>
    <row r="47655" spans="20:21" ht="15" customHeight="1" x14ac:dyDescent="0.25">
      <c r="T47655" s="135"/>
      <c r="U47655" s="135"/>
    </row>
    <row r="47656" spans="20:21" ht="15" customHeight="1" x14ac:dyDescent="0.25">
      <c r="T47656" s="135"/>
      <c r="U47656" s="135"/>
    </row>
    <row r="47657" spans="20:21" ht="15" customHeight="1" x14ac:dyDescent="0.25">
      <c r="T47657" s="135"/>
      <c r="U47657" s="135"/>
    </row>
    <row r="47658" spans="20:21" ht="15" customHeight="1" x14ac:dyDescent="0.25">
      <c r="T47658" s="135"/>
      <c r="U47658" s="135"/>
    </row>
    <row r="47659" spans="20:21" ht="15" customHeight="1" x14ac:dyDescent="0.25">
      <c r="T47659" s="135"/>
      <c r="U47659" s="135"/>
    </row>
    <row r="47660" spans="20:21" ht="15" customHeight="1" x14ac:dyDescent="0.25">
      <c r="T47660" s="135"/>
      <c r="U47660" s="135"/>
    </row>
    <row r="47661" spans="20:21" ht="15" customHeight="1" x14ac:dyDescent="0.25">
      <c r="T47661" s="135"/>
      <c r="U47661" s="135"/>
    </row>
    <row r="47662" spans="20:21" ht="15" customHeight="1" x14ac:dyDescent="0.25">
      <c r="T47662" s="135"/>
      <c r="U47662" s="135"/>
    </row>
    <row r="47663" spans="20:21" ht="15" customHeight="1" x14ac:dyDescent="0.25">
      <c r="T47663" s="135"/>
      <c r="U47663" s="135"/>
    </row>
    <row r="47664" spans="20:21" ht="15" customHeight="1" x14ac:dyDescent="0.25">
      <c r="T47664" s="135"/>
      <c r="U47664" s="135"/>
    </row>
    <row r="47665" spans="20:21" ht="15" customHeight="1" x14ac:dyDescent="0.25">
      <c r="T47665" s="135"/>
      <c r="U47665" s="135"/>
    </row>
    <row r="47666" spans="20:21" ht="15" customHeight="1" x14ac:dyDescent="0.25">
      <c r="T47666" s="135"/>
      <c r="U47666" s="135"/>
    </row>
    <row r="47667" spans="20:21" ht="15" customHeight="1" x14ac:dyDescent="0.25">
      <c r="T47667" s="135"/>
      <c r="U47667" s="135"/>
    </row>
    <row r="47668" spans="20:21" ht="15" customHeight="1" x14ac:dyDescent="0.25">
      <c r="T47668" s="135"/>
      <c r="U47668" s="135"/>
    </row>
    <row r="47669" spans="20:21" ht="15" customHeight="1" x14ac:dyDescent="0.25">
      <c r="T47669" s="135"/>
      <c r="U47669" s="135"/>
    </row>
    <row r="47670" spans="20:21" ht="15" customHeight="1" x14ac:dyDescent="0.25">
      <c r="T47670" s="135"/>
      <c r="U47670" s="135"/>
    </row>
    <row r="47671" spans="20:21" ht="15" customHeight="1" x14ac:dyDescent="0.25">
      <c r="T47671" s="135"/>
      <c r="U47671" s="135"/>
    </row>
    <row r="47672" spans="20:21" ht="15" customHeight="1" x14ac:dyDescent="0.25">
      <c r="T47672" s="135"/>
      <c r="U47672" s="135"/>
    </row>
    <row r="47673" spans="20:21" ht="15" customHeight="1" x14ac:dyDescent="0.25">
      <c r="T47673" s="135"/>
      <c r="U47673" s="135"/>
    </row>
    <row r="47674" spans="20:21" ht="15" customHeight="1" x14ac:dyDescent="0.25">
      <c r="T47674" s="135"/>
      <c r="U47674" s="135"/>
    </row>
    <row r="47675" spans="20:21" ht="15" customHeight="1" x14ac:dyDescent="0.25">
      <c r="T47675" s="135"/>
      <c r="U47675" s="135"/>
    </row>
    <row r="47676" spans="20:21" ht="15" customHeight="1" x14ac:dyDescent="0.25">
      <c r="T47676" s="135"/>
      <c r="U47676" s="135"/>
    </row>
    <row r="47677" spans="20:21" ht="15" customHeight="1" x14ac:dyDescent="0.25">
      <c r="T47677" s="135"/>
      <c r="U47677" s="135"/>
    </row>
    <row r="47678" spans="20:21" ht="15" customHeight="1" x14ac:dyDescent="0.25">
      <c r="T47678" s="135"/>
      <c r="U47678" s="135"/>
    </row>
    <row r="47679" spans="20:21" ht="15" customHeight="1" x14ac:dyDescent="0.25">
      <c r="T47679" s="135"/>
      <c r="U47679" s="135"/>
    </row>
    <row r="47680" spans="20:21" ht="15" customHeight="1" x14ac:dyDescent="0.25">
      <c r="T47680" s="135"/>
      <c r="U47680" s="135"/>
    </row>
    <row r="47681" spans="20:21" ht="15" customHeight="1" x14ac:dyDescent="0.25">
      <c r="T47681" s="135"/>
      <c r="U47681" s="135"/>
    </row>
    <row r="47682" spans="20:21" ht="15" customHeight="1" x14ac:dyDescent="0.25">
      <c r="T47682" s="135"/>
      <c r="U47682" s="135"/>
    </row>
    <row r="47683" spans="20:21" ht="15" customHeight="1" x14ac:dyDescent="0.25">
      <c r="T47683" s="135"/>
      <c r="U47683" s="135"/>
    </row>
    <row r="47684" spans="20:21" ht="15" customHeight="1" x14ac:dyDescent="0.25">
      <c r="T47684" s="135"/>
      <c r="U47684" s="135"/>
    </row>
    <row r="47685" spans="20:21" ht="15" customHeight="1" x14ac:dyDescent="0.25">
      <c r="T47685" s="135"/>
      <c r="U47685" s="135"/>
    </row>
    <row r="47686" spans="20:21" ht="15" customHeight="1" x14ac:dyDescent="0.25">
      <c r="T47686" s="135"/>
      <c r="U47686" s="135"/>
    </row>
    <row r="47687" spans="20:21" ht="15" customHeight="1" x14ac:dyDescent="0.25">
      <c r="T47687" s="135"/>
      <c r="U47687" s="135"/>
    </row>
    <row r="47688" spans="20:21" ht="15" customHeight="1" x14ac:dyDescent="0.25">
      <c r="T47688" s="135"/>
      <c r="U47688" s="135"/>
    </row>
    <row r="47689" spans="20:21" ht="15" customHeight="1" x14ac:dyDescent="0.25">
      <c r="T47689" s="135"/>
      <c r="U47689" s="135"/>
    </row>
    <row r="47690" spans="20:21" ht="15" customHeight="1" x14ac:dyDescent="0.25">
      <c r="T47690" s="135"/>
      <c r="U47690" s="135"/>
    </row>
    <row r="47691" spans="20:21" ht="15" customHeight="1" x14ac:dyDescent="0.25">
      <c r="T47691" s="135"/>
      <c r="U47691" s="135"/>
    </row>
    <row r="47692" spans="20:21" ht="15" customHeight="1" x14ac:dyDescent="0.25">
      <c r="T47692" s="135"/>
      <c r="U47692" s="135"/>
    </row>
    <row r="47693" spans="20:21" ht="15" customHeight="1" x14ac:dyDescent="0.25">
      <c r="T47693" s="135"/>
      <c r="U47693" s="135"/>
    </row>
    <row r="47694" spans="20:21" ht="15" customHeight="1" x14ac:dyDescent="0.25">
      <c r="T47694" s="135"/>
      <c r="U47694" s="135"/>
    </row>
    <row r="47695" spans="20:21" ht="15" customHeight="1" x14ac:dyDescent="0.25">
      <c r="T47695" s="135"/>
      <c r="U47695" s="135"/>
    </row>
    <row r="47696" spans="20:21" ht="15" customHeight="1" x14ac:dyDescent="0.25">
      <c r="T47696" s="135"/>
      <c r="U47696" s="135"/>
    </row>
    <row r="47697" spans="20:21" ht="15" customHeight="1" x14ac:dyDescent="0.25">
      <c r="T47697" s="135"/>
      <c r="U47697" s="135"/>
    </row>
    <row r="47698" spans="20:21" ht="15" customHeight="1" x14ac:dyDescent="0.25">
      <c r="T47698" s="135"/>
      <c r="U47698" s="135"/>
    </row>
    <row r="47699" spans="20:21" ht="15" customHeight="1" x14ac:dyDescent="0.25">
      <c r="T47699" s="135"/>
      <c r="U47699" s="135"/>
    </row>
    <row r="47700" spans="20:21" ht="15" customHeight="1" x14ac:dyDescent="0.25">
      <c r="T47700" s="135"/>
      <c r="U47700" s="135"/>
    </row>
    <row r="47701" spans="20:21" ht="15" customHeight="1" x14ac:dyDescent="0.25">
      <c r="T47701" s="135"/>
      <c r="U47701" s="135"/>
    </row>
    <row r="47702" spans="20:21" ht="15" customHeight="1" x14ac:dyDescent="0.25">
      <c r="T47702" s="135"/>
      <c r="U47702" s="135"/>
    </row>
    <row r="47703" spans="20:21" ht="15" customHeight="1" x14ac:dyDescent="0.25">
      <c r="T47703" s="135"/>
      <c r="U47703" s="135"/>
    </row>
    <row r="47704" spans="20:21" ht="15" customHeight="1" x14ac:dyDescent="0.25">
      <c r="T47704" s="135"/>
      <c r="U47704" s="135"/>
    </row>
    <row r="47705" spans="20:21" ht="15" customHeight="1" x14ac:dyDescent="0.25">
      <c r="T47705" s="135"/>
      <c r="U47705" s="135"/>
    </row>
    <row r="47706" spans="20:21" ht="15" customHeight="1" x14ac:dyDescent="0.25">
      <c r="T47706" s="135"/>
      <c r="U47706" s="135"/>
    </row>
    <row r="47707" spans="20:21" ht="15" customHeight="1" x14ac:dyDescent="0.25">
      <c r="T47707" s="135"/>
      <c r="U47707" s="135"/>
    </row>
    <row r="47708" spans="20:21" ht="15" customHeight="1" x14ac:dyDescent="0.25">
      <c r="T47708" s="135"/>
      <c r="U47708" s="135"/>
    </row>
    <row r="47709" spans="20:21" ht="15" customHeight="1" x14ac:dyDescent="0.25">
      <c r="T47709" s="135"/>
      <c r="U47709" s="135"/>
    </row>
    <row r="47710" spans="20:21" ht="15" customHeight="1" x14ac:dyDescent="0.25">
      <c r="T47710" s="135"/>
      <c r="U47710" s="135"/>
    </row>
    <row r="47711" spans="20:21" ht="15" customHeight="1" x14ac:dyDescent="0.25">
      <c r="T47711" s="135"/>
      <c r="U47711" s="135"/>
    </row>
    <row r="47712" spans="20:21" ht="15" customHeight="1" x14ac:dyDescent="0.25">
      <c r="T47712" s="135"/>
      <c r="U47712" s="135"/>
    </row>
    <row r="47713" spans="20:21" ht="15" customHeight="1" x14ac:dyDescent="0.25">
      <c r="T47713" s="135"/>
      <c r="U47713" s="135"/>
    </row>
    <row r="47714" spans="20:21" ht="15" customHeight="1" x14ac:dyDescent="0.25">
      <c r="T47714" s="135"/>
      <c r="U47714" s="135"/>
    </row>
    <row r="47715" spans="20:21" ht="15" customHeight="1" x14ac:dyDescent="0.25">
      <c r="T47715" s="135"/>
      <c r="U47715" s="135"/>
    </row>
    <row r="47716" spans="20:21" ht="15" customHeight="1" x14ac:dyDescent="0.25">
      <c r="T47716" s="135"/>
      <c r="U47716" s="135"/>
    </row>
    <row r="47717" spans="20:21" ht="15" customHeight="1" x14ac:dyDescent="0.25">
      <c r="T47717" s="135"/>
      <c r="U47717" s="135"/>
    </row>
    <row r="47718" spans="20:21" ht="15" customHeight="1" x14ac:dyDescent="0.25">
      <c r="T47718" s="135"/>
      <c r="U47718" s="135"/>
    </row>
    <row r="47719" spans="20:21" ht="15" customHeight="1" x14ac:dyDescent="0.25">
      <c r="T47719" s="135"/>
      <c r="U47719" s="135"/>
    </row>
    <row r="47720" spans="20:21" ht="15" customHeight="1" x14ac:dyDescent="0.25">
      <c r="T47720" s="135"/>
      <c r="U47720" s="135"/>
    </row>
    <row r="47721" spans="20:21" ht="15" customHeight="1" x14ac:dyDescent="0.25">
      <c r="T47721" s="135"/>
      <c r="U47721" s="135"/>
    </row>
    <row r="47722" spans="20:21" ht="15" customHeight="1" x14ac:dyDescent="0.25">
      <c r="T47722" s="135"/>
      <c r="U47722" s="135"/>
    </row>
    <row r="47723" spans="20:21" ht="15" customHeight="1" x14ac:dyDescent="0.25">
      <c r="T47723" s="135"/>
      <c r="U47723" s="135"/>
    </row>
    <row r="47724" spans="20:21" ht="15" customHeight="1" x14ac:dyDescent="0.25">
      <c r="T47724" s="135"/>
      <c r="U47724" s="135"/>
    </row>
    <row r="47725" spans="20:21" ht="15" customHeight="1" x14ac:dyDescent="0.25">
      <c r="T47725" s="135"/>
      <c r="U47725" s="135"/>
    </row>
    <row r="47726" spans="20:21" ht="15" customHeight="1" x14ac:dyDescent="0.25">
      <c r="T47726" s="135"/>
      <c r="U47726" s="135"/>
    </row>
    <row r="47727" spans="20:21" ht="15" customHeight="1" x14ac:dyDescent="0.25">
      <c r="T47727" s="135"/>
      <c r="U47727" s="135"/>
    </row>
    <row r="47728" spans="20:21" ht="15" customHeight="1" x14ac:dyDescent="0.25">
      <c r="T47728" s="135"/>
      <c r="U47728" s="135"/>
    </row>
    <row r="47729" spans="20:21" ht="15" customHeight="1" x14ac:dyDescent="0.25">
      <c r="T47729" s="135"/>
      <c r="U47729" s="135"/>
    </row>
    <row r="47730" spans="20:21" ht="15" customHeight="1" x14ac:dyDescent="0.25">
      <c r="T47730" s="135"/>
      <c r="U47730" s="135"/>
    </row>
    <row r="47731" spans="20:21" ht="15" customHeight="1" x14ac:dyDescent="0.25">
      <c r="T47731" s="135"/>
      <c r="U47731" s="135"/>
    </row>
    <row r="47732" spans="20:21" ht="15" customHeight="1" x14ac:dyDescent="0.25">
      <c r="T47732" s="135"/>
      <c r="U47732" s="135"/>
    </row>
    <row r="47733" spans="20:21" ht="15" customHeight="1" x14ac:dyDescent="0.25">
      <c r="T47733" s="135"/>
      <c r="U47733" s="135"/>
    </row>
    <row r="47734" spans="20:21" ht="15" customHeight="1" x14ac:dyDescent="0.25">
      <c r="T47734" s="135"/>
      <c r="U47734" s="135"/>
    </row>
    <row r="47735" spans="20:21" ht="15" customHeight="1" x14ac:dyDescent="0.25">
      <c r="T47735" s="135"/>
      <c r="U47735" s="135"/>
    </row>
    <row r="47736" spans="20:21" ht="15" customHeight="1" x14ac:dyDescent="0.25">
      <c r="T47736" s="135"/>
      <c r="U47736" s="135"/>
    </row>
    <row r="47737" spans="20:21" ht="15" customHeight="1" x14ac:dyDescent="0.25">
      <c r="T47737" s="135"/>
      <c r="U47737" s="135"/>
    </row>
    <row r="47738" spans="20:21" ht="15" customHeight="1" x14ac:dyDescent="0.25">
      <c r="T47738" s="135"/>
      <c r="U47738" s="135"/>
    </row>
    <row r="47739" spans="20:21" ht="15" customHeight="1" x14ac:dyDescent="0.25">
      <c r="T47739" s="135"/>
      <c r="U47739" s="135"/>
    </row>
    <row r="47740" spans="20:21" ht="15" customHeight="1" x14ac:dyDescent="0.25">
      <c r="T47740" s="135"/>
      <c r="U47740" s="135"/>
    </row>
    <row r="47741" spans="20:21" ht="15" customHeight="1" x14ac:dyDescent="0.25">
      <c r="T47741" s="135"/>
      <c r="U47741" s="135"/>
    </row>
    <row r="47742" spans="20:21" ht="15" customHeight="1" x14ac:dyDescent="0.25">
      <c r="T47742" s="135"/>
      <c r="U47742" s="135"/>
    </row>
    <row r="47743" spans="20:21" ht="15" customHeight="1" x14ac:dyDescent="0.25">
      <c r="T47743" s="135"/>
      <c r="U47743" s="135"/>
    </row>
    <row r="47744" spans="20:21" ht="15" customHeight="1" x14ac:dyDescent="0.25">
      <c r="T47744" s="135"/>
      <c r="U47744" s="135"/>
    </row>
    <row r="47745" spans="20:21" ht="15" customHeight="1" x14ac:dyDescent="0.25">
      <c r="T47745" s="135"/>
      <c r="U47745" s="135"/>
    </row>
    <row r="47746" spans="20:21" ht="15" customHeight="1" x14ac:dyDescent="0.25">
      <c r="T47746" s="135"/>
      <c r="U47746" s="135"/>
    </row>
    <row r="47747" spans="20:21" ht="15" customHeight="1" x14ac:dyDescent="0.25">
      <c r="T47747" s="135"/>
      <c r="U47747" s="135"/>
    </row>
    <row r="47748" spans="20:21" ht="15" customHeight="1" x14ac:dyDescent="0.25">
      <c r="T47748" s="135"/>
      <c r="U47748" s="135"/>
    </row>
    <row r="47749" spans="20:21" ht="15" customHeight="1" x14ac:dyDescent="0.25">
      <c r="T47749" s="135"/>
      <c r="U47749" s="135"/>
    </row>
    <row r="47750" spans="20:21" ht="15" customHeight="1" x14ac:dyDescent="0.25">
      <c r="T47750" s="135"/>
      <c r="U47750" s="135"/>
    </row>
    <row r="47751" spans="20:21" ht="15" customHeight="1" x14ac:dyDescent="0.25">
      <c r="T47751" s="135"/>
      <c r="U47751" s="135"/>
    </row>
    <row r="47752" spans="20:21" ht="15" customHeight="1" x14ac:dyDescent="0.25">
      <c r="T47752" s="135"/>
      <c r="U47752" s="135"/>
    </row>
    <row r="47753" spans="20:21" ht="15" customHeight="1" x14ac:dyDescent="0.25">
      <c r="T47753" s="135"/>
      <c r="U47753" s="135"/>
    </row>
    <row r="47754" spans="20:21" ht="15" customHeight="1" x14ac:dyDescent="0.25">
      <c r="T47754" s="135"/>
      <c r="U47754" s="135"/>
    </row>
    <row r="47755" spans="20:21" ht="15" customHeight="1" x14ac:dyDescent="0.25">
      <c r="T47755" s="135"/>
      <c r="U47755" s="135"/>
    </row>
    <row r="47756" spans="20:21" ht="15" customHeight="1" x14ac:dyDescent="0.25">
      <c r="T47756" s="135"/>
      <c r="U47756" s="135"/>
    </row>
    <row r="47757" spans="20:21" ht="15" customHeight="1" x14ac:dyDescent="0.25">
      <c r="T47757" s="135"/>
      <c r="U47757" s="135"/>
    </row>
    <row r="47758" spans="20:21" ht="15" customHeight="1" x14ac:dyDescent="0.25">
      <c r="T47758" s="135"/>
      <c r="U47758" s="135"/>
    </row>
    <row r="47759" spans="20:21" ht="15" customHeight="1" x14ac:dyDescent="0.25">
      <c r="T47759" s="135"/>
      <c r="U47759" s="135"/>
    </row>
    <row r="47760" spans="20:21" ht="15" customHeight="1" x14ac:dyDescent="0.25">
      <c r="T47760" s="135"/>
      <c r="U47760" s="135"/>
    </row>
    <row r="47761" spans="20:21" ht="15" customHeight="1" x14ac:dyDescent="0.25">
      <c r="T47761" s="135"/>
      <c r="U47761" s="135"/>
    </row>
    <row r="47762" spans="20:21" ht="15" customHeight="1" x14ac:dyDescent="0.25">
      <c r="T47762" s="135"/>
      <c r="U47762" s="135"/>
    </row>
    <row r="47763" spans="20:21" ht="15" customHeight="1" x14ac:dyDescent="0.25">
      <c r="T47763" s="135"/>
      <c r="U47763" s="135"/>
    </row>
    <row r="47764" spans="20:21" ht="15" customHeight="1" x14ac:dyDescent="0.25">
      <c r="T47764" s="135"/>
      <c r="U47764" s="135"/>
    </row>
    <row r="47765" spans="20:21" ht="15" customHeight="1" x14ac:dyDescent="0.25">
      <c r="T47765" s="135"/>
      <c r="U47765" s="135"/>
    </row>
    <row r="47766" spans="20:21" ht="15" customHeight="1" x14ac:dyDescent="0.25">
      <c r="T47766" s="135"/>
      <c r="U47766" s="135"/>
    </row>
    <row r="47767" spans="20:21" ht="15" customHeight="1" x14ac:dyDescent="0.25">
      <c r="T47767" s="135"/>
      <c r="U47767" s="135"/>
    </row>
    <row r="47768" spans="20:21" ht="15" customHeight="1" x14ac:dyDescent="0.25">
      <c r="T47768" s="135"/>
      <c r="U47768" s="135"/>
    </row>
    <row r="47769" spans="20:21" ht="15" customHeight="1" x14ac:dyDescent="0.25">
      <c r="T47769" s="135"/>
      <c r="U47769" s="135"/>
    </row>
    <row r="47770" spans="20:21" ht="15" customHeight="1" x14ac:dyDescent="0.25">
      <c r="T47770" s="135"/>
      <c r="U47770" s="135"/>
    </row>
    <row r="47771" spans="20:21" ht="15" customHeight="1" x14ac:dyDescent="0.25">
      <c r="T47771" s="135"/>
      <c r="U47771" s="135"/>
    </row>
    <row r="47772" spans="20:21" ht="15" customHeight="1" x14ac:dyDescent="0.25">
      <c r="T47772" s="135"/>
      <c r="U47772" s="135"/>
    </row>
    <row r="47773" spans="20:21" ht="15" customHeight="1" x14ac:dyDescent="0.25">
      <c r="T47773" s="135"/>
      <c r="U47773" s="135"/>
    </row>
    <row r="47774" spans="20:21" ht="15" customHeight="1" x14ac:dyDescent="0.25">
      <c r="T47774" s="135"/>
      <c r="U47774" s="135"/>
    </row>
    <row r="47775" spans="20:21" ht="15" customHeight="1" x14ac:dyDescent="0.25">
      <c r="T47775" s="135"/>
      <c r="U47775" s="135"/>
    </row>
    <row r="47776" spans="20:21" ht="15" customHeight="1" x14ac:dyDescent="0.25">
      <c r="T47776" s="135"/>
      <c r="U47776" s="135"/>
    </row>
    <row r="47777" spans="20:21" ht="15" customHeight="1" x14ac:dyDescent="0.25">
      <c r="T47777" s="135"/>
      <c r="U47777" s="135"/>
    </row>
    <row r="47778" spans="20:21" ht="15" customHeight="1" x14ac:dyDescent="0.25">
      <c r="T47778" s="135"/>
      <c r="U47778" s="135"/>
    </row>
    <row r="47779" spans="20:21" ht="15" customHeight="1" x14ac:dyDescent="0.25">
      <c r="T47779" s="135"/>
      <c r="U47779" s="135"/>
    </row>
    <row r="47780" spans="20:21" ht="15" customHeight="1" x14ac:dyDescent="0.25">
      <c r="T47780" s="135"/>
      <c r="U47780" s="135"/>
    </row>
    <row r="47781" spans="20:21" ht="15" customHeight="1" x14ac:dyDescent="0.25">
      <c r="T47781" s="135"/>
      <c r="U47781" s="135"/>
    </row>
    <row r="47782" spans="20:21" ht="15" customHeight="1" x14ac:dyDescent="0.25">
      <c r="T47782" s="135"/>
      <c r="U47782" s="135"/>
    </row>
    <row r="47783" spans="20:21" ht="15" customHeight="1" x14ac:dyDescent="0.25">
      <c r="T47783" s="135"/>
      <c r="U47783" s="135"/>
    </row>
    <row r="47784" spans="20:21" ht="15" customHeight="1" x14ac:dyDescent="0.25">
      <c r="T47784" s="135"/>
      <c r="U47784" s="135"/>
    </row>
    <row r="47785" spans="20:21" ht="15" customHeight="1" x14ac:dyDescent="0.25">
      <c r="T47785" s="135"/>
      <c r="U47785" s="135"/>
    </row>
    <row r="47786" spans="20:21" ht="15" customHeight="1" x14ac:dyDescent="0.25">
      <c r="T47786" s="135"/>
      <c r="U47786" s="135"/>
    </row>
    <row r="47787" spans="20:21" ht="15" customHeight="1" x14ac:dyDescent="0.25">
      <c r="T47787" s="135"/>
      <c r="U47787" s="135"/>
    </row>
    <row r="47788" spans="20:21" ht="15" customHeight="1" x14ac:dyDescent="0.25">
      <c r="T47788" s="135"/>
      <c r="U47788" s="135"/>
    </row>
    <row r="47789" spans="20:21" ht="15" customHeight="1" x14ac:dyDescent="0.25">
      <c r="T47789" s="135"/>
      <c r="U47789" s="135"/>
    </row>
    <row r="47790" spans="20:21" ht="15" customHeight="1" x14ac:dyDescent="0.25">
      <c r="T47790" s="135"/>
      <c r="U47790" s="135"/>
    </row>
    <row r="47791" spans="20:21" ht="15" customHeight="1" x14ac:dyDescent="0.25">
      <c r="T47791" s="135"/>
      <c r="U47791" s="135"/>
    </row>
    <row r="47792" spans="20:21" ht="15" customHeight="1" x14ac:dyDescent="0.25">
      <c r="T47792" s="135"/>
      <c r="U47792" s="135"/>
    </row>
    <row r="47793" spans="20:21" ht="15" customHeight="1" x14ac:dyDescent="0.25">
      <c r="T47793" s="135"/>
      <c r="U47793" s="135"/>
    </row>
    <row r="47794" spans="20:21" ht="15" customHeight="1" x14ac:dyDescent="0.25">
      <c r="T47794" s="135"/>
      <c r="U47794" s="135"/>
    </row>
    <row r="47795" spans="20:21" ht="15" customHeight="1" x14ac:dyDescent="0.25">
      <c r="T47795" s="135"/>
      <c r="U47795" s="135"/>
    </row>
    <row r="47796" spans="20:21" ht="15" customHeight="1" x14ac:dyDescent="0.25">
      <c r="T47796" s="135"/>
      <c r="U47796" s="135"/>
    </row>
    <row r="47797" spans="20:21" ht="15" customHeight="1" x14ac:dyDescent="0.25">
      <c r="T47797" s="135"/>
      <c r="U47797" s="135"/>
    </row>
    <row r="47798" spans="20:21" ht="15" customHeight="1" x14ac:dyDescent="0.25">
      <c r="T47798" s="135"/>
      <c r="U47798" s="135"/>
    </row>
    <row r="47799" spans="20:21" ht="15" customHeight="1" x14ac:dyDescent="0.25">
      <c r="T47799" s="135"/>
      <c r="U47799" s="135"/>
    </row>
    <row r="47800" spans="20:21" ht="15" customHeight="1" x14ac:dyDescent="0.25">
      <c r="T47800" s="135"/>
      <c r="U47800" s="135"/>
    </row>
    <row r="47801" spans="20:21" ht="15" customHeight="1" x14ac:dyDescent="0.25">
      <c r="T47801" s="135"/>
      <c r="U47801" s="135"/>
    </row>
    <row r="47802" spans="20:21" ht="15" customHeight="1" x14ac:dyDescent="0.25">
      <c r="T47802" s="135"/>
      <c r="U47802" s="135"/>
    </row>
    <row r="47803" spans="20:21" ht="15" customHeight="1" x14ac:dyDescent="0.25">
      <c r="T47803" s="135"/>
      <c r="U47803" s="135"/>
    </row>
    <row r="47804" spans="20:21" ht="15" customHeight="1" x14ac:dyDescent="0.25">
      <c r="T47804" s="135"/>
      <c r="U47804" s="135"/>
    </row>
    <row r="47805" spans="20:21" ht="15" customHeight="1" x14ac:dyDescent="0.25">
      <c r="T47805" s="135"/>
      <c r="U47805" s="135"/>
    </row>
    <row r="47806" spans="20:21" ht="15" customHeight="1" x14ac:dyDescent="0.25">
      <c r="T47806" s="135"/>
      <c r="U47806" s="135"/>
    </row>
    <row r="47807" spans="20:21" ht="15" customHeight="1" x14ac:dyDescent="0.25">
      <c r="T47807" s="135"/>
      <c r="U47807" s="135"/>
    </row>
    <row r="47808" spans="20:21" ht="15" customHeight="1" x14ac:dyDescent="0.25">
      <c r="T47808" s="135"/>
      <c r="U47808" s="135"/>
    </row>
    <row r="47809" spans="20:21" ht="15" customHeight="1" x14ac:dyDescent="0.25">
      <c r="T47809" s="135"/>
      <c r="U47809" s="135"/>
    </row>
    <row r="47810" spans="20:21" ht="15" customHeight="1" x14ac:dyDescent="0.25">
      <c r="T47810" s="135"/>
      <c r="U47810" s="135"/>
    </row>
    <row r="47811" spans="20:21" ht="15" customHeight="1" x14ac:dyDescent="0.25">
      <c r="T47811" s="135"/>
      <c r="U47811" s="135"/>
    </row>
    <row r="47812" spans="20:21" ht="15" customHeight="1" x14ac:dyDescent="0.25">
      <c r="T47812" s="135"/>
      <c r="U47812" s="135"/>
    </row>
    <row r="47813" spans="20:21" ht="15" customHeight="1" x14ac:dyDescent="0.25">
      <c r="T47813" s="135"/>
      <c r="U47813" s="135"/>
    </row>
    <row r="47814" spans="20:21" ht="15" customHeight="1" x14ac:dyDescent="0.25">
      <c r="T47814" s="135"/>
      <c r="U47814" s="135"/>
    </row>
    <row r="47815" spans="20:21" ht="15" customHeight="1" x14ac:dyDescent="0.25">
      <c r="T47815" s="135"/>
      <c r="U47815" s="135"/>
    </row>
    <row r="47816" spans="20:21" ht="15" customHeight="1" x14ac:dyDescent="0.25">
      <c r="T47816" s="135"/>
      <c r="U47816" s="135"/>
    </row>
    <row r="47817" spans="20:21" ht="15" customHeight="1" x14ac:dyDescent="0.25">
      <c r="T47817" s="135"/>
      <c r="U47817" s="135"/>
    </row>
    <row r="47818" spans="20:21" ht="15" customHeight="1" x14ac:dyDescent="0.25">
      <c r="T47818" s="135"/>
      <c r="U47818" s="135"/>
    </row>
    <row r="47819" spans="20:21" ht="15" customHeight="1" x14ac:dyDescent="0.25">
      <c r="T47819" s="135"/>
      <c r="U47819" s="135"/>
    </row>
    <row r="47820" spans="20:21" ht="15" customHeight="1" x14ac:dyDescent="0.25">
      <c r="T47820" s="135"/>
      <c r="U47820" s="135"/>
    </row>
    <row r="47821" spans="20:21" ht="15" customHeight="1" x14ac:dyDescent="0.25">
      <c r="T47821" s="135"/>
      <c r="U47821" s="135"/>
    </row>
    <row r="47822" spans="20:21" ht="15" customHeight="1" x14ac:dyDescent="0.25">
      <c r="T47822" s="135"/>
      <c r="U47822" s="135"/>
    </row>
    <row r="47823" spans="20:21" ht="15" customHeight="1" x14ac:dyDescent="0.25">
      <c r="T47823" s="135"/>
      <c r="U47823" s="135"/>
    </row>
    <row r="47824" spans="20:21" ht="15" customHeight="1" x14ac:dyDescent="0.25">
      <c r="T47824" s="135"/>
      <c r="U47824" s="135"/>
    </row>
    <row r="47825" spans="20:21" ht="15" customHeight="1" x14ac:dyDescent="0.25">
      <c r="T47825" s="135"/>
      <c r="U47825" s="135"/>
    </row>
    <row r="47826" spans="20:21" ht="15" customHeight="1" x14ac:dyDescent="0.25">
      <c r="T47826" s="135"/>
      <c r="U47826" s="135"/>
    </row>
    <row r="47827" spans="20:21" ht="15" customHeight="1" x14ac:dyDescent="0.25">
      <c r="T47827" s="135"/>
      <c r="U47827" s="135"/>
    </row>
    <row r="47828" spans="20:21" ht="15" customHeight="1" x14ac:dyDescent="0.25">
      <c r="T47828" s="135"/>
      <c r="U47828" s="135"/>
    </row>
    <row r="47829" spans="20:21" ht="15" customHeight="1" x14ac:dyDescent="0.25">
      <c r="T47829" s="135"/>
      <c r="U47829" s="135"/>
    </row>
    <row r="47830" spans="20:21" ht="15" customHeight="1" x14ac:dyDescent="0.25">
      <c r="T47830" s="135"/>
      <c r="U47830" s="135"/>
    </row>
    <row r="47831" spans="20:21" ht="15" customHeight="1" x14ac:dyDescent="0.25">
      <c r="T47831" s="135"/>
      <c r="U47831" s="135"/>
    </row>
    <row r="47832" spans="20:21" ht="15" customHeight="1" x14ac:dyDescent="0.25">
      <c r="T47832" s="135"/>
      <c r="U47832" s="135"/>
    </row>
    <row r="47833" spans="20:21" ht="15" customHeight="1" x14ac:dyDescent="0.25">
      <c r="T47833" s="135"/>
      <c r="U47833" s="135"/>
    </row>
    <row r="47834" spans="20:21" ht="15" customHeight="1" x14ac:dyDescent="0.25">
      <c r="T47834" s="135"/>
      <c r="U47834" s="135"/>
    </row>
    <row r="47835" spans="20:21" ht="15" customHeight="1" x14ac:dyDescent="0.25">
      <c r="T47835" s="135"/>
      <c r="U47835" s="135"/>
    </row>
    <row r="47836" spans="20:21" ht="15" customHeight="1" x14ac:dyDescent="0.25">
      <c r="T47836" s="135"/>
      <c r="U47836" s="135"/>
    </row>
    <row r="47837" spans="20:21" ht="15" customHeight="1" x14ac:dyDescent="0.25">
      <c r="T47837" s="135"/>
      <c r="U47837" s="135"/>
    </row>
    <row r="47838" spans="20:21" ht="15" customHeight="1" x14ac:dyDescent="0.25">
      <c r="T47838" s="135"/>
      <c r="U47838" s="135"/>
    </row>
    <row r="47839" spans="20:21" ht="15" customHeight="1" x14ac:dyDescent="0.25">
      <c r="T47839" s="135"/>
      <c r="U47839" s="135"/>
    </row>
    <row r="47840" spans="20:21" ht="15" customHeight="1" x14ac:dyDescent="0.25">
      <c r="T47840" s="135"/>
      <c r="U47840" s="135"/>
    </row>
    <row r="47841" spans="20:21" ht="15" customHeight="1" x14ac:dyDescent="0.25">
      <c r="T47841" s="135"/>
      <c r="U47841" s="135"/>
    </row>
    <row r="47842" spans="20:21" ht="15" customHeight="1" x14ac:dyDescent="0.25">
      <c r="T47842" s="135"/>
      <c r="U47842" s="135"/>
    </row>
    <row r="47843" spans="20:21" ht="15" customHeight="1" x14ac:dyDescent="0.25">
      <c r="T47843" s="135"/>
      <c r="U47843" s="135"/>
    </row>
    <row r="47844" spans="20:21" ht="15" customHeight="1" x14ac:dyDescent="0.25">
      <c r="T47844" s="135"/>
      <c r="U47844" s="135"/>
    </row>
    <row r="47845" spans="20:21" ht="15" customHeight="1" x14ac:dyDescent="0.25">
      <c r="T47845" s="135"/>
      <c r="U47845" s="135"/>
    </row>
    <row r="47846" spans="20:21" ht="15" customHeight="1" x14ac:dyDescent="0.25">
      <c r="T47846" s="135"/>
      <c r="U47846" s="135"/>
    </row>
    <row r="47847" spans="20:21" ht="15" customHeight="1" x14ac:dyDescent="0.25">
      <c r="T47847" s="135"/>
      <c r="U47847" s="135"/>
    </row>
    <row r="47848" spans="20:21" ht="15" customHeight="1" x14ac:dyDescent="0.25">
      <c r="T47848" s="135"/>
      <c r="U47848" s="135"/>
    </row>
    <row r="47849" spans="20:21" ht="15" customHeight="1" x14ac:dyDescent="0.25">
      <c r="T47849" s="135"/>
      <c r="U47849" s="135"/>
    </row>
    <row r="47850" spans="20:21" ht="15" customHeight="1" x14ac:dyDescent="0.25">
      <c r="T47850" s="135"/>
      <c r="U47850" s="135"/>
    </row>
    <row r="47851" spans="20:21" ht="15" customHeight="1" x14ac:dyDescent="0.25">
      <c r="T47851" s="135"/>
      <c r="U47851" s="135"/>
    </row>
    <row r="47852" spans="20:21" ht="15" customHeight="1" x14ac:dyDescent="0.25">
      <c r="T47852" s="135"/>
      <c r="U47852" s="135"/>
    </row>
    <row r="47853" spans="20:21" ht="15" customHeight="1" x14ac:dyDescent="0.25">
      <c r="T47853" s="135"/>
      <c r="U47853" s="135"/>
    </row>
    <row r="47854" spans="20:21" ht="15" customHeight="1" x14ac:dyDescent="0.25">
      <c r="T47854" s="135"/>
      <c r="U47854" s="135"/>
    </row>
    <row r="47855" spans="20:21" ht="15" customHeight="1" x14ac:dyDescent="0.25">
      <c r="T47855" s="135"/>
      <c r="U47855" s="135"/>
    </row>
    <row r="47856" spans="20:21" ht="15" customHeight="1" x14ac:dyDescent="0.25">
      <c r="T47856" s="135"/>
      <c r="U47856" s="135"/>
    </row>
    <row r="47857" spans="20:21" ht="15" customHeight="1" x14ac:dyDescent="0.25">
      <c r="T47857" s="135"/>
      <c r="U47857" s="135"/>
    </row>
    <row r="47858" spans="20:21" ht="15" customHeight="1" x14ac:dyDescent="0.25">
      <c r="T47858" s="135"/>
      <c r="U47858" s="135"/>
    </row>
    <row r="47859" spans="20:21" ht="15" customHeight="1" x14ac:dyDescent="0.25">
      <c r="T47859" s="135"/>
      <c r="U47859" s="135"/>
    </row>
    <row r="47860" spans="20:21" ht="15" customHeight="1" x14ac:dyDescent="0.25">
      <c r="T47860" s="135"/>
      <c r="U47860" s="135"/>
    </row>
    <row r="47861" spans="20:21" ht="15" customHeight="1" x14ac:dyDescent="0.25">
      <c r="T47861" s="135"/>
      <c r="U47861" s="135"/>
    </row>
    <row r="47862" spans="20:21" ht="15" customHeight="1" x14ac:dyDescent="0.25">
      <c r="T47862" s="135"/>
      <c r="U47862" s="135"/>
    </row>
    <row r="47863" spans="20:21" ht="15" customHeight="1" x14ac:dyDescent="0.25">
      <c r="T47863" s="135"/>
      <c r="U47863" s="135"/>
    </row>
    <row r="47864" spans="20:21" ht="15" customHeight="1" x14ac:dyDescent="0.25">
      <c r="T47864" s="135"/>
      <c r="U47864" s="135"/>
    </row>
    <row r="47865" spans="20:21" ht="15" customHeight="1" x14ac:dyDescent="0.25">
      <c r="T47865" s="135"/>
      <c r="U47865" s="135"/>
    </row>
    <row r="47866" spans="20:21" ht="15" customHeight="1" x14ac:dyDescent="0.25">
      <c r="T47866" s="135"/>
      <c r="U47866" s="135"/>
    </row>
    <row r="47867" spans="20:21" ht="15" customHeight="1" x14ac:dyDescent="0.25">
      <c r="T47867" s="135"/>
      <c r="U47867" s="135"/>
    </row>
    <row r="47868" spans="20:21" ht="15" customHeight="1" x14ac:dyDescent="0.25">
      <c r="T47868" s="135"/>
      <c r="U47868" s="135"/>
    </row>
    <row r="47869" spans="20:21" ht="15" customHeight="1" x14ac:dyDescent="0.25">
      <c r="T47869" s="135"/>
      <c r="U47869" s="135"/>
    </row>
    <row r="47870" spans="20:21" ht="15" customHeight="1" x14ac:dyDescent="0.25">
      <c r="T47870" s="135"/>
      <c r="U47870" s="135"/>
    </row>
    <row r="47871" spans="20:21" ht="15" customHeight="1" x14ac:dyDescent="0.25">
      <c r="T47871" s="135"/>
      <c r="U47871" s="135"/>
    </row>
    <row r="47872" spans="20:21" ht="15" customHeight="1" x14ac:dyDescent="0.25">
      <c r="T47872" s="135"/>
      <c r="U47872" s="135"/>
    </row>
    <row r="47873" spans="20:21" ht="15" customHeight="1" x14ac:dyDescent="0.25">
      <c r="T47873" s="135"/>
      <c r="U47873" s="135"/>
    </row>
    <row r="47874" spans="20:21" ht="15" customHeight="1" x14ac:dyDescent="0.25">
      <c r="T47874" s="135"/>
      <c r="U47874" s="135"/>
    </row>
    <row r="47875" spans="20:21" ht="15" customHeight="1" x14ac:dyDescent="0.25">
      <c r="T47875" s="135"/>
      <c r="U47875" s="135"/>
    </row>
    <row r="47876" spans="20:21" ht="15" customHeight="1" x14ac:dyDescent="0.25">
      <c r="T47876" s="135"/>
      <c r="U47876" s="135"/>
    </row>
    <row r="47877" spans="20:21" ht="15" customHeight="1" x14ac:dyDescent="0.25">
      <c r="T47877" s="135"/>
      <c r="U47877" s="135"/>
    </row>
    <row r="47878" spans="20:21" ht="15" customHeight="1" x14ac:dyDescent="0.25">
      <c r="T47878" s="135"/>
      <c r="U47878" s="135"/>
    </row>
    <row r="47879" spans="20:21" ht="15" customHeight="1" x14ac:dyDescent="0.25">
      <c r="T47879" s="135"/>
      <c r="U47879" s="135"/>
    </row>
    <row r="47880" spans="20:21" ht="15" customHeight="1" x14ac:dyDescent="0.25">
      <c r="T47880" s="135"/>
      <c r="U47880" s="135"/>
    </row>
    <row r="47881" spans="20:21" ht="15" customHeight="1" x14ac:dyDescent="0.25">
      <c r="T47881" s="135"/>
      <c r="U47881" s="135"/>
    </row>
    <row r="47882" spans="20:21" ht="15" customHeight="1" x14ac:dyDescent="0.25">
      <c r="T47882" s="135"/>
      <c r="U47882" s="135"/>
    </row>
    <row r="47883" spans="20:21" ht="15" customHeight="1" x14ac:dyDescent="0.25">
      <c r="T47883" s="135"/>
      <c r="U47883" s="135"/>
    </row>
    <row r="47884" spans="20:21" ht="15" customHeight="1" x14ac:dyDescent="0.25">
      <c r="T47884" s="135"/>
      <c r="U47884" s="135"/>
    </row>
    <row r="47885" spans="20:21" ht="15" customHeight="1" x14ac:dyDescent="0.25">
      <c r="T47885" s="135"/>
      <c r="U47885" s="135"/>
    </row>
    <row r="47886" spans="20:21" ht="15" customHeight="1" x14ac:dyDescent="0.25">
      <c r="T47886" s="135"/>
      <c r="U47886" s="135"/>
    </row>
    <row r="47887" spans="20:21" ht="15" customHeight="1" x14ac:dyDescent="0.25">
      <c r="T47887" s="135"/>
      <c r="U47887" s="135"/>
    </row>
    <row r="47888" spans="20:21" ht="15" customHeight="1" x14ac:dyDescent="0.25">
      <c r="T47888" s="135"/>
      <c r="U47888" s="135"/>
    </row>
    <row r="47889" spans="20:21" ht="15" customHeight="1" x14ac:dyDescent="0.25">
      <c r="T47889" s="135"/>
      <c r="U47889" s="135"/>
    </row>
    <row r="47890" spans="20:21" ht="15" customHeight="1" x14ac:dyDescent="0.25">
      <c r="T47890" s="135"/>
      <c r="U47890" s="135"/>
    </row>
    <row r="47891" spans="20:21" ht="15" customHeight="1" x14ac:dyDescent="0.25">
      <c r="T47891" s="135"/>
      <c r="U47891" s="135"/>
    </row>
    <row r="47892" spans="20:21" ht="15" customHeight="1" x14ac:dyDescent="0.25">
      <c r="T47892" s="135"/>
      <c r="U47892" s="135"/>
    </row>
    <row r="47893" spans="20:21" ht="15" customHeight="1" x14ac:dyDescent="0.25">
      <c r="T47893" s="135"/>
      <c r="U47893" s="135"/>
    </row>
    <row r="47894" spans="20:21" ht="15" customHeight="1" x14ac:dyDescent="0.25">
      <c r="T47894" s="135"/>
      <c r="U47894" s="135"/>
    </row>
    <row r="47895" spans="20:21" ht="15" customHeight="1" x14ac:dyDescent="0.25">
      <c r="T47895" s="135"/>
      <c r="U47895" s="135"/>
    </row>
    <row r="47896" spans="20:21" ht="15" customHeight="1" x14ac:dyDescent="0.25">
      <c r="T47896" s="135"/>
      <c r="U47896" s="135"/>
    </row>
    <row r="47897" spans="20:21" ht="15" customHeight="1" x14ac:dyDescent="0.25">
      <c r="T47897" s="135"/>
      <c r="U47897" s="135"/>
    </row>
    <row r="47898" spans="20:21" ht="15" customHeight="1" x14ac:dyDescent="0.25">
      <c r="T47898" s="135"/>
      <c r="U47898" s="135"/>
    </row>
    <row r="47899" spans="20:21" ht="15" customHeight="1" x14ac:dyDescent="0.25">
      <c r="T47899" s="135"/>
      <c r="U47899" s="135"/>
    </row>
    <row r="47900" spans="20:21" ht="15" customHeight="1" x14ac:dyDescent="0.25">
      <c r="T47900" s="135"/>
      <c r="U47900" s="135"/>
    </row>
    <row r="47901" spans="20:21" ht="15" customHeight="1" x14ac:dyDescent="0.25">
      <c r="T47901" s="135"/>
      <c r="U47901" s="135"/>
    </row>
    <row r="47902" spans="20:21" ht="15" customHeight="1" x14ac:dyDescent="0.25">
      <c r="T47902" s="135"/>
      <c r="U47902" s="135"/>
    </row>
    <row r="47903" spans="20:21" ht="15" customHeight="1" x14ac:dyDescent="0.25">
      <c r="T47903" s="135"/>
      <c r="U47903" s="135"/>
    </row>
    <row r="47904" spans="20:21" ht="15" customHeight="1" x14ac:dyDescent="0.25">
      <c r="T47904" s="135"/>
      <c r="U47904" s="135"/>
    </row>
    <row r="47905" spans="20:21" ht="15" customHeight="1" x14ac:dyDescent="0.25">
      <c r="T47905" s="135"/>
      <c r="U47905" s="135"/>
    </row>
    <row r="47906" spans="20:21" ht="15" customHeight="1" x14ac:dyDescent="0.25">
      <c r="T47906" s="135"/>
      <c r="U47906" s="135"/>
    </row>
    <row r="47907" spans="20:21" ht="15" customHeight="1" x14ac:dyDescent="0.25">
      <c r="T47907" s="135"/>
      <c r="U47907" s="135"/>
    </row>
    <row r="47908" spans="20:21" ht="15" customHeight="1" x14ac:dyDescent="0.25">
      <c r="T47908" s="135"/>
      <c r="U47908" s="135"/>
    </row>
    <row r="47909" spans="20:21" ht="15" customHeight="1" x14ac:dyDescent="0.25">
      <c r="T47909" s="135"/>
      <c r="U47909" s="135"/>
    </row>
    <row r="47910" spans="20:21" ht="15" customHeight="1" x14ac:dyDescent="0.25">
      <c r="T47910" s="135"/>
      <c r="U47910" s="135"/>
    </row>
    <row r="47911" spans="20:21" ht="15" customHeight="1" x14ac:dyDescent="0.25">
      <c r="T47911" s="135"/>
      <c r="U47911" s="135"/>
    </row>
    <row r="47912" spans="20:21" ht="15" customHeight="1" x14ac:dyDescent="0.25">
      <c r="T47912" s="135"/>
      <c r="U47912" s="135"/>
    </row>
    <row r="47913" spans="20:21" ht="15" customHeight="1" x14ac:dyDescent="0.25">
      <c r="T47913" s="135"/>
      <c r="U47913" s="135"/>
    </row>
    <row r="47914" spans="20:21" ht="15" customHeight="1" x14ac:dyDescent="0.25">
      <c r="T47914" s="135"/>
      <c r="U47914" s="135"/>
    </row>
    <row r="47915" spans="20:21" ht="15" customHeight="1" x14ac:dyDescent="0.25">
      <c r="T47915" s="135"/>
      <c r="U47915" s="135"/>
    </row>
    <row r="47916" spans="20:21" ht="15" customHeight="1" x14ac:dyDescent="0.25">
      <c r="T47916" s="135"/>
      <c r="U47916" s="135"/>
    </row>
    <row r="47917" spans="20:21" ht="15" customHeight="1" x14ac:dyDescent="0.25">
      <c r="T47917" s="135"/>
      <c r="U47917" s="135"/>
    </row>
    <row r="47918" spans="20:21" ht="15" customHeight="1" x14ac:dyDescent="0.25">
      <c r="T47918" s="135"/>
      <c r="U47918" s="135"/>
    </row>
    <row r="47919" spans="20:21" ht="15" customHeight="1" x14ac:dyDescent="0.25">
      <c r="T47919" s="135"/>
      <c r="U47919" s="135"/>
    </row>
    <row r="47920" spans="20:21" ht="15" customHeight="1" x14ac:dyDescent="0.25">
      <c r="T47920" s="135"/>
      <c r="U47920" s="135"/>
    </row>
    <row r="47921" spans="20:21" ht="15" customHeight="1" x14ac:dyDescent="0.25">
      <c r="T47921" s="135"/>
      <c r="U47921" s="135"/>
    </row>
    <row r="47922" spans="20:21" ht="15" customHeight="1" x14ac:dyDescent="0.25">
      <c r="T47922" s="135"/>
      <c r="U47922" s="135"/>
    </row>
    <row r="47923" spans="20:21" ht="15" customHeight="1" x14ac:dyDescent="0.25">
      <c r="T47923" s="135"/>
      <c r="U47923" s="135"/>
    </row>
    <row r="47924" spans="20:21" ht="15" customHeight="1" x14ac:dyDescent="0.25">
      <c r="T47924" s="135"/>
      <c r="U47924" s="135"/>
    </row>
    <row r="47925" spans="20:21" ht="15" customHeight="1" x14ac:dyDescent="0.25">
      <c r="T47925" s="135"/>
      <c r="U47925" s="135"/>
    </row>
    <row r="47926" spans="20:21" ht="15" customHeight="1" x14ac:dyDescent="0.25">
      <c r="T47926" s="135"/>
      <c r="U47926" s="135"/>
    </row>
    <row r="47927" spans="20:21" ht="15" customHeight="1" x14ac:dyDescent="0.25">
      <c r="T47927" s="135"/>
      <c r="U47927" s="135"/>
    </row>
    <row r="47928" spans="20:21" ht="15" customHeight="1" x14ac:dyDescent="0.25">
      <c r="T47928" s="135"/>
      <c r="U47928" s="135"/>
    </row>
    <row r="47929" spans="20:21" ht="15" customHeight="1" x14ac:dyDescent="0.25">
      <c r="T47929" s="135"/>
      <c r="U47929" s="135"/>
    </row>
    <row r="47930" spans="20:21" ht="15" customHeight="1" x14ac:dyDescent="0.25">
      <c r="T47930" s="135"/>
      <c r="U47930" s="135"/>
    </row>
    <row r="47931" spans="20:21" ht="15" customHeight="1" x14ac:dyDescent="0.25">
      <c r="T47931" s="135"/>
      <c r="U47931" s="135"/>
    </row>
    <row r="47932" spans="20:21" ht="15" customHeight="1" x14ac:dyDescent="0.25">
      <c r="T47932" s="135"/>
      <c r="U47932" s="135"/>
    </row>
    <row r="47933" spans="20:21" ht="15" customHeight="1" x14ac:dyDescent="0.25">
      <c r="T47933" s="135"/>
      <c r="U47933" s="135"/>
    </row>
    <row r="47934" spans="20:21" ht="15" customHeight="1" x14ac:dyDescent="0.25">
      <c r="T47934" s="135"/>
      <c r="U47934" s="135"/>
    </row>
    <row r="47935" spans="20:21" ht="15" customHeight="1" x14ac:dyDescent="0.25">
      <c r="T47935" s="135"/>
      <c r="U47935" s="135"/>
    </row>
    <row r="47936" spans="20:21" ht="15" customHeight="1" x14ac:dyDescent="0.25">
      <c r="T47936" s="135"/>
      <c r="U47936" s="135"/>
    </row>
    <row r="47937" spans="20:21" ht="15" customHeight="1" x14ac:dyDescent="0.25">
      <c r="T47937" s="135"/>
      <c r="U47937" s="135"/>
    </row>
    <row r="47938" spans="20:21" ht="15" customHeight="1" x14ac:dyDescent="0.25">
      <c r="T47938" s="135"/>
      <c r="U47938" s="135"/>
    </row>
    <row r="47939" spans="20:21" ht="15" customHeight="1" x14ac:dyDescent="0.25">
      <c r="T47939" s="135"/>
      <c r="U47939" s="135"/>
    </row>
    <row r="47940" spans="20:21" ht="15" customHeight="1" x14ac:dyDescent="0.25">
      <c r="T47940" s="135"/>
      <c r="U47940" s="135"/>
    </row>
    <row r="47941" spans="20:21" ht="15" customHeight="1" x14ac:dyDescent="0.25">
      <c r="T47941" s="135"/>
      <c r="U47941" s="135"/>
    </row>
    <row r="47942" spans="20:21" ht="15" customHeight="1" x14ac:dyDescent="0.25">
      <c r="T47942" s="135"/>
      <c r="U47942" s="135"/>
    </row>
    <row r="47943" spans="20:21" ht="15" customHeight="1" x14ac:dyDescent="0.25">
      <c r="T47943" s="135"/>
      <c r="U47943" s="135"/>
    </row>
    <row r="47944" spans="20:21" ht="15" customHeight="1" x14ac:dyDescent="0.25">
      <c r="T47944" s="135"/>
      <c r="U47944" s="135"/>
    </row>
    <row r="47945" spans="20:21" ht="15" customHeight="1" x14ac:dyDescent="0.25">
      <c r="T47945" s="135"/>
      <c r="U47945" s="135"/>
    </row>
    <row r="47946" spans="20:21" ht="15" customHeight="1" x14ac:dyDescent="0.25">
      <c r="T47946" s="135"/>
      <c r="U47946" s="135"/>
    </row>
    <row r="47947" spans="20:21" ht="15" customHeight="1" x14ac:dyDescent="0.25">
      <c r="T47947" s="135"/>
      <c r="U47947" s="135"/>
    </row>
    <row r="47948" spans="20:21" ht="15" customHeight="1" x14ac:dyDescent="0.25">
      <c r="T47948" s="135"/>
      <c r="U47948" s="135"/>
    </row>
    <row r="47949" spans="20:21" ht="15" customHeight="1" x14ac:dyDescent="0.25">
      <c r="T47949" s="135"/>
      <c r="U47949" s="135"/>
    </row>
    <row r="47950" spans="20:21" ht="15" customHeight="1" x14ac:dyDescent="0.25">
      <c r="T47950" s="135"/>
      <c r="U47950" s="135"/>
    </row>
    <row r="47951" spans="20:21" ht="15" customHeight="1" x14ac:dyDescent="0.25">
      <c r="T47951" s="135"/>
      <c r="U47951" s="135"/>
    </row>
    <row r="47952" spans="20:21" ht="15" customHeight="1" x14ac:dyDescent="0.25">
      <c r="T47952" s="135"/>
      <c r="U47952" s="135"/>
    </row>
    <row r="47953" spans="20:21" ht="15" customHeight="1" x14ac:dyDescent="0.25">
      <c r="T47953" s="135"/>
      <c r="U47953" s="135"/>
    </row>
    <row r="47954" spans="20:21" ht="15" customHeight="1" x14ac:dyDescent="0.25">
      <c r="T47954" s="135"/>
      <c r="U47954" s="135"/>
    </row>
    <row r="47955" spans="20:21" ht="15" customHeight="1" x14ac:dyDescent="0.25">
      <c r="T47955" s="135"/>
      <c r="U47955" s="135"/>
    </row>
    <row r="47956" spans="20:21" ht="15" customHeight="1" x14ac:dyDescent="0.25">
      <c r="T47956" s="135"/>
      <c r="U47956" s="135"/>
    </row>
    <row r="47957" spans="20:21" ht="15" customHeight="1" x14ac:dyDescent="0.25">
      <c r="T47957" s="135"/>
      <c r="U47957" s="135"/>
    </row>
    <row r="47958" spans="20:21" ht="15" customHeight="1" x14ac:dyDescent="0.25">
      <c r="T47958" s="135"/>
      <c r="U47958" s="135"/>
    </row>
    <row r="47959" spans="20:21" ht="15" customHeight="1" x14ac:dyDescent="0.25">
      <c r="T47959" s="135"/>
      <c r="U47959" s="135"/>
    </row>
    <row r="47960" spans="20:21" ht="15" customHeight="1" x14ac:dyDescent="0.25">
      <c r="T47960" s="135"/>
      <c r="U47960" s="135"/>
    </row>
    <row r="47961" spans="20:21" ht="15" customHeight="1" x14ac:dyDescent="0.25">
      <c r="T47961" s="135"/>
      <c r="U47961" s="135"/>
    </row>
    <row r="47962" spans="20:21" ht="15" customHeight="1" x14ac:dyDescent="0.25">
      <c r="T47962" s="135"/>
      <c r="U47962" s="135"/>
    </row>
    <row r="47963" spans="20:21" ht="15" customHeight="1" x14ac:dyDescent="0.25">
      <c r="T47963" s="135"/>
      <c r="U47963" s="135"/>
    </row>
    <row r="47964" spans="20:21" ht="15" customHeight="1" x14ac:dyDescent="0.25">
      <c r="T47964" s="135"/>
      <c r="U47964" s="135"/>
    </row>
    <row r="47965" spans="20:21" ht="15" customHeight="1" x14ac:dyDescent="0.25">
      <c r="T47965" s="135"/>
      <c r="U47965" s="135"/>
    </row>
    <row r="47966" spans="20:21" ht="15" customHeight="1" x14ac:dyDescent="0.25">
      <c r="T47966" s="135"/>
      <c r="U47966" s="135"/>
    </row>
    <row r="47967" spans="20:21" ht="15" customHeight="1" x14ac:dyDescent="0.25">
      <c r="T47967" s="135"/>
      <c r="U47967" s="135"/>
    </row>
    <row r="47968" spans="20:21" ht="15" customHeight="1" x14ac:dyDescent="0.25">
      <c r="T47968" s="135"/>
      <c r="U47968" s="135"/>
    </row>
    <row r="47969" spans="20:21" ht="15" customHeight="1" x14ac:dyDescent="0.25">
      <c r="T47969" s="135"/>
      <c r="U47969" s="135"/>
    </row>
    <row r="47970" spans="20:21" ht="15" customHeight="1" x14ac:dyDescent="0.25">
      <c r="T47970" s="135"/>
      <c r="U47970" s="135"/>
    </row>
    <row r="47971" spans="20:21" ht="15" customHeight="1" x14ac:dyDescent="0.25">
      <c r="T47971" s="135"/>
      <c r="U47971" s="135"/>
    </row>
    <row r="47972" spans="20:21" ht="15" customHeight="1" x14ac:dyDescent="0.25">
      <c r="T47972" s="135"/>
      <c r="U47972" s="135"/>
    </row>
    <row r="47973" spans="20:21" ht="15" customHeight="1" x14ac:dyDescent="0.25">
      <c r="T47973" s="135"/>
      <c r="U47973" s="135"/>
    </row>
    <row r="47974" spans="20:21" ht="15" customHeight="1" x14ac:dyDescent="0.25">
      <c r="T47974" s="135"/>
      <c r="U47974" s="135"/>
    </row>
    <row r="47975" spans="20:21" ht="15" customHeight="1" x14ac:dyDescent="0.25">
      <c r="T47975" s="135"/>
      <c r="U47975" s="135"/>
    </row>
    <row r="47976" spans="20:21" ht="15" customHeight="1" x14ac:dyDescent="0.25">
      <c r="T47976" s="135"/>
      <c r="U47976" s="135"/>
    </row>
    <row r="47977" spans="20:21" ht="15" customHeight="1" x14ac:dyDescent="0.25">
      <c r="T47977" s="135"/>
      <c r="U47977" s="135"/>
    </row>
    <row r="47978" spans="20:21" ht="15" customHeight="1" x14ac:dyDescent="0.25">
      <c r="T47978" s="135"/>
      <c r="U47978" s="135"/>
    </row>
    <row r="47979" spans="20:21" ht="15" customHeight="1" x14ac:dyDescent="0.25">
      <c r="T47979" s="135"/>
      <c r="U47979" s="135"/>
    </row>
    <row r="47980" spans="20:21" ht="15" customHeight="1" x14ac:dyDescent="0.25">
      <c r="T47980" s="135"/>
      <c r="U47980" s="135"/>
    </row>
    <row r="47981" spans="20:21" ht="15" customHeight="1" x14ac:dyDescent="0.25">
      <c r="T47981" s="135"/>
      <c r="U47981" s="135"/>
    </row>
    <row r="47982" spans="20:21" ht="15" customHeight="1" x14ac:dyDescent="0.25">
      <c r="T47982" s="135"/>
      <c r="U47982" s="135"/>
    </row>
    <row r="47983" spans="20:21" ht="15" customHeight="1" x14ac:dyDescent="0.25">
      <c r="T47983" s="135"/>
      <c r="U47983" s="135"/>
    </row>
    <row r="47984" spans="20:21" ht="15" customHeight="1" x14ac:dyDescent="0.25">
      <c r="T47984" s="135"/>
      <c r="U47984" s="135"/>
    </row>
    <row r="47985" spans="20:21" ht="15" customHeight="1" x14ac:dyDescent="0.25">
      <c r="T47985" s="135"/>
      <c r="U47985" s="135"/>
    </row>
    <row r="47986" spans="20:21" ht="15" customHeight="1" x14ac:dyDescent="0.25">
      <c r="T47986" s="135"/>
      <c r="U47986" s="135"/>
    </row>
    <row r="47987" spans="20:21" ht="15" customHeight="1" x14ac:dyDescent="0.25">
      <c r="T47987" s="135"/>
      <c r="U47987" s="135"/>
    </row>
    <row r="47988" spans="20:21" ht="15" customHeight="1" x14ac:dyDescent="0.25">
      <c r="T47988" s="135"/>
      <c r="U47988" s="135"/>
    </row>
    <row r="47989" spans="20:21" ht="15" customHeight="1" x14ac:dyDescent="0.25">
      <c r="T47989" s="135"/>
      <c r="U47989" s="135"/>
    </row>
    <row r="47990" spans="20:21" ht="15" customHeight="1" x14ac:dyDescent="0.25">
      <c r="T47990" s="135"/>
      <c r="U47990" s="135"/>
    </row>
    <row r="47991" spans="20:21" ht="15" customHeight="1" x14ac:dyDescent="0.25">
      <c r="T47991" s="135"/>
      <c r="U47991" s="135"/>
    </row>
    <row r="47992" spans="20:21" ht="15" customHeight="1" x14ac:dyDescent="0.25">
      <c r="T47992" s="135"/>
      <c r="U47992" s="135"/>
    </row>
    <row r="47993" spans="20:21" ht="15" customHeight="1" x14ac:dyDescent="0.25">
      <c r="T47993" s="135"/>
      <c r="U47993" s="135"/>
    </row>
    <row r="47994" spans="20:21" ht="15" customHeight="1" x14ac:dyDescent="0.25">
      <c r="T47994" s="135"/>
      <c r="U47994" s="135"/>
    </row>
    <row r="47995" spans="20:21" ht="15" customHeight="1" x14ac:dyDescent="0.25">
      <c r="T47995" s="135"/>
      <c r="U47995" s="135"/>
    </row>
    <row r="47996" spans="20:21" ht="15" customHeight="1" x14ac:dyDescent="0.25">
      <c r="T47996" s="135"/>
      <c r="U47996" s="135"/>
    </row>
    <row r="47997" spans="20:21" ht="15" customHeight="1" x14ac:dyDescent="0.25">
      <c r="T47997" s="135"/>
      <c r="U47997" s="135"/>
    </row>
    <row r="47998" spans="20:21" ht="15" customHeight="1" x14ac:dyDescent="0.25">
      <c r="T47998" s="135"/>
      <c r="U47998" s="135"/>
    </row>
    <row r="47999" spans="20:21" ht="15" customHeight="1" x14ac:dyDescent="0.25">
      <c r="T47999" s="135"/>
      <c r="U47999" s="135"/>
    </row>
    <row r="48000" spans="20:21" ht="15" customHeight="1" x14ac:dyDescent="0.25">
      <c r="T48000" s="135"/>
      <c r="U48000" s="135"/>
    </row>
    <row r="48001" spans="20:21" ht="15" customHeight="1" x14ac:dyDescent="0.25">
      <c r="T48001" s="135"/>
      <c r="U48001" s="135"/>
    </row>
    <row r="48002" spans="20:21" ht="15" customHeight="1" x14ac:dyDescent="0.25">
      <c r="T48002" s="135"/>
      <c r="U48002" s="135"/>
    </row>
    <row r="48003" spans="20:21" ht="15" customHeight="1" x14ac:dyDescent="0.25">
      <c r="T48003" s="135"/>
      <c r="U48003" s="135"/>
    </row>
    <row r="48004" spans="20:21" ht="15" customHeight="1" x14ac:dyDescent="0.25">
      <c r="T48004" s="135"/>
      <c r="U48004" s="135"/>
    </row>
    <row r="48005" spans="20:21" ht="15" customHeight="1" x14ac:dyDescent="0.25">
      <c r="T48005" s="135"/>
      <c r="U48005" s="135"/>
    </row>
    <row r="48006" spans="20:21" ht="15" customHeight="1" x14ac:dyDescent="0.25">
      <c r="T48006" s="135"/>
      <c r="U48006" s="135"/>
    </row>
    <row r="48007" spans="20:21" ht="15" customHeight="1" x14ac:dyDescent="0.25">
      <c r="T48007" s="135"/>
      <c r="U48007" s="135"/>
    </row>
    <row r="48008" spans="20:21" ht="15" customHeight="1" x14ac:dyDescent="0.25">
      <c r="T48008" s="135"/>
      <c r="U48008" s="135"/>
    </row>
    <row r="48009" spans="20:21" ht="15" customHeight="1" x14ac:dyDescent="0.25">
      <c r="T48009" s="135"/>
      <c r="U48009" s="135"/>
    </row>
    <row r="48010" spans="20:21" ht="15" customHeight="1" x14ac:dyDescent="0.25">
      <c r="T48010" s="135"/>
      <c r="U48010" s="135"/>
    </row>
    <row r="48011" spans="20:21" ht="15" customHeight="1" x14ac:dyDescent="0.25">
      <c r="T48011" s="135"/>
      <c r="U48011" s="135"/>
    </row>
    <row r="48012" spans="20:21" ht="15" customHeight="1" x14ac:dyDescent="0.25">
      <c r="T48012" s="135"/>
      <c r="U48012" s="135"/>
    </row>
    <row r="48013" spans="20:21" ht="15" customHeight="1" x14ac:dyDescent="0.25">
      <c r="T48013" s="135"/>
      <c r="U48013" s="135"/>
    </row>
    <row r="48014" spans="20:21" ht="15" customHeight="1" x14ac:dyDescent="0.25">
      <c r="T48014" s="135"/>
      <c r="U48014" s="135"/>
    </row>
    <row r="48015" spans="20:21" ht="15" customHeight="1" x14ac:dyDescent="0.25">
      <c r="T48015" s="135"/>
      <c r="U48015" s="135"/>
    </row>
    <row r="48016" spans="20:21" ht="15" customHeight="1" x14ac:dyDescent="0.25">
      <c r="T48016" s="135"/>
      <c r="U48016" s="135"/>
    </row>
    <row r="48017" spans="20:21" ht="15" customHeight="1" x14ac:dyDescent="0.25">
      <c r="T48017" s="135"/>
      <c r="U48017" s="135"/>
    </row>
    <row r="48018" spans="20:21" ht="15" customHeight="1" x14ac:dyDescent="0.25">
      <c r="T48018" s="135"/>
      <c r="U48018" s="135"/>
    </row>
    <row r="48019" spans="20:21" ht="15" customHeight="1" x14ac:dyDescent="0.25">
      <c r="T48019" s="135"/>
      <c r="U48019" s="135"/>
    </row>
    <row r="48020" spans="20:21" ht="15" customHeight="1" x14ac:dyDescent="0.25">
      <c r="T48020" s="135"/>
      <c r="U48020" s="135"/>
    </row>
    <row r="48021" spans="20:21" ht="15" customHeight="1" x14ac:dyDescent="0.25">
      <c r="T48021" s="135"/>
      <c r="U48021" s="135"/>
    </row>
    <row r="48022" spans="20:21" ht="15" customHeight="1" x14ac:dyDescent="0.25">
      <c r="T48022" s="135"/>
      <c r="U48022" s="135"/>
    </row>
    <row r="48023" spans="20:21" ht="15" customHeight="1" x14ac:dyDescent="0.25">
      <c r="T48023" s="135"/>
      <c r="U48023" s="135"/>
    </row>
    <row r="48024" spans="20:21" ht="15" customHeight="1" x14ac:dyDescent="0.25">
      <c r="T48024" s="135"/>
      <c r="U48024" s="135"/>
    </row>
    <row r="48025" spans="20:21" ht="15" customHeight="1" x14ac:dyDescent="0.25">
      <c r="T48025" s="135"/>
      <c r="U48025" s="135"/>
    </row>
    <row r="48026" spans="20:21" ht="15" customHeight="1" x14ac:dyDescent="0.25">
      <c r="T48026" s="135"/>
      <c r="U48026" s="135"/>
    </row>
    <row r="48027" spans="20:21" ht="15" customHeight="1" x14ac:dyDescent="0.25">
      <c r="T48027" s="135"/>
      <c r="U48027" s="135"/>
    </row>
    <row r="48028" spans="20:21" ht="15" customHeight="1" x14ac:dyDescent="0.25">
      <c r="T48028" s="135"/>
      <c r="U48028" s="135"/>
    </row>
    <row r="48029" spans="20:21" ht="15" customHeight="1" x14ac:dyDescent="0.25">
      <c r="T48029" s="135"/>
      <c r="U48029" s="135"/>
    </row>
    <row r="48030" spans="20:21" ht="15" customHeight="1" x14ac:dyDescent="0.25">
      <c r="T48030" s="135"/>
      <c r="U48030" s="135"/>
    </row>
    <row r="48031" spans="20:21" ht="15" customHeight="1" x14ac:dyDescent="0.25">
      <c r="T48031" s="135"/>
      <c r="U48031" s="135"/>
    </row>
    <row r="48032" spans="20:21" ht="15" customHeight="1" x14ac:dyDescent="0.25">
      <c r="T48032" s="135"/>
      <c r="U48032" s="135"/>
    </row>
    <row r="48033" spans="20:21" ht="15" customHeight="1" x14ac:dyDescent="0.25">
      <c r="T48033" s="135"/>
      <c r="U48033" s="135"/>
    </row>
    <row r="48034" spans="20:21" ht="15" customHeight="1" x14ac:dyDescent="0.25">
      <c r="T48034" s="135"/>
      <c r="U48034" s="135"/>
    </row>
    <row r="48035" spans="20:21" ht="15" customHeight="1" x14ac:dyDescent="0.25">
      <c r="T48035" s="135"/>
      <c r="U48035" s="135"/>
    </row>
    <row r="48036" spans="20:21" ht="15" customHeight="1" x14ac:dyDescent="0.25">
      <c r="T48036" s="135"/>
      <c r="U48036" s="135"/>
    </row>
    <row r="48037" spans="20:21" ht="15" customHeight="1" x14ac:dyDescent="0.25">
      <c r="T48037" s="135"/>
      <c r="U48037" s="135"/>
    </row>
    <row r="48038" spans="20:21" ht="15" customHeight="1" x14ac:dyDescent="0.25">
      <c r="T48038" s="135"/>
      <c r="U48038" s="135"/>
    </row>
    <row r="48039" spans="20:21" ht="15" customHeight="1" x14ac:dyDescent="0.25">
      <c r="T48039" s="135"/>
      <c r="U48039" s="135"/>
    </row>
    <row r="48040" spans="20:21" ht="15" customHeight="1" x14ac:dyDescent="0.25">
      <c r="T48040" s="135"/>
      <c r="U48040" s="135"/>
    </row>
    <row r="48041" spans="20:21" ht="15" customHeight="1" x14ac:dyDescent="0.25">
      <c r="T48041" s="135"/>
      <c r="U48041" s="135"/>
    </row>
    <row r="48042" spans="20:21" ht="15" customHeight="1" x14ac:dyDescent="0.25">
      <c r="T48042" s="135"/>
      <c r="U48042" s="135"/>
    </row>
    <row r="48043" spans="20:21" ht="15" customHeight="1" x14ac:dyDescent="0.25">
      <c r="T48043" s="135"/>
      <c r="U48043" s="135"/>
    </row>
    <row r="48044" spans="20:21" ht="15" customHeight="1" x14ac:dyDescent="0.25">
      <c r="T48044" s="135"/>
      <c r="U48044" s="135"/>
    </row>
    <row r="48045" spans="20:21" ht="15" customHeight="1" x14ac:dyDescent="0.25">
      <c r="T48045" s="135"/>
      <c r="U48045" s="135"/>
    </row>
    <row r="48046" spans="20:21" ht="15" customHeight="1" x14ac:dyDescent="0.25">
      <c r="T48046" s="135"/>
      <c r="U48046" s="135"/>
    </row>
    <row r="48047" spans="20:21" ht="15" customHeight="1" x14ac:dyDescent="0.25">
      <c r="T48047" s="135"/>
      <c r="U48047" s="135"/>
    </row>
    <row r="48048" spans="20:21" ht="15" customHeight="1" x14ac:dyDescent="0.25">
      <c r="T48048" s="135"/>
      <c r="U48048" s="135"/>
    </row>
    <row r="48049" spans="20:21" ht="15" customHeight="1" x14ac:dyDescent="0.25">
      <c r="T48049" s="135"/>
      <c r="U48049" s="135"/>
    </row>
    <row r="48050" spans="20:21" ht="15" customHeight="1" x14ac:dyDescent="0.25">
      <c r="T48050" s="135"/>
      <c r="U48050" s="135"/>
    </row>
    <row r="48051" spans="20:21" ht="15" customHeight="1" x14ac:dyDescent="0.25">
      <c r="T48051" s="135"/>
      <c r="U48051" s="135"/>
    </row>
    <row r="48052" spans="20:21" ht="15" customHeight="1" x14ac:dyDescent="0.25">
      <c r="T48052" s="135"/>
      <c r="U48052" s="135"/>
    </row>
    <row r="48053" spans="20:21" ht="15" customHeight="1" x14ac:dyDescent="0.25">
      <c r="T48053" s="135"/>
      <c r="U48053" s="135"/>
    </row>
    <row r="48054" spans="20:21" ht="15" customHeight="1" x14ac:dyDescent="0.25">
      <c r="T48054" s="135"/>
      <c r="U48054" s="135"/>
    </row>
    <row r="48055" spans="20:21" ht="15" customHeight="1" x14ac:dyDescent="0.25">
      <c r="T48055" s="135"/>
      <c r="U48055" s="135"/>
    </row>
    <row r="48056" spans="20:21" ht="15" customHeight="1" x14ac:dyDescent="0.25">
      <c r="T48056" s="135"/>
      <c r="U48056" s="135"/>
    </row>
    <row r="48057" spans="20:21" ht="15" customHeight="1" x14ac:dyDescent="0.25">
      <c r="T48057" s="135"/>
      <c r="U48057" s="135"/>
    </row>
    <row r="48058" spans="20:21" ht="15" customHeight="1" x14ac:dyDescent="0.25">
      <c r="T48058" s="135"/>
      <c r="U48058" s="135"/>
    </row>
    <row r="48059" spans="20:21" ht="15" customHeight="1" x14ac:dyDescent="0.25">
      <c r="T48059" s="135"/>
      <c r="U48059" s="135"/>
    </row>
    <row r="48060" spans="20:21" ht="15" customHeight="1" x14ac:dyDescent="0.25">
      <c r="T48060" s="135"/>
      <c r="U48060" s="135"/>
    </row>
    <row r="48061" spans="20:21" ht="15" customHeight="1" x14ac:dyDescent="0.25">
      <c r="T48061" s="135"/>
      <c r="U48061" s="135"/>
    </row>
    <row r="48062" spans="20:21" ht="15" customHeight="1" x14ac:dyDescent="0.25">
      <c r="T48062" s="135"/>
      <c r="U48062" s="135"/>
    </row>
    <row r="48063" spans="20:21" ht="15" customHeight="1" x14ac:dyDescent="0.25">
      <c r="T48063" s="135"/>
      <c r="U48063" s="135"/>
    </row>
    <row r="48064" spans="20:21" ht="15" customHeight="1" x14ac:dyDescent="0.25">
      <c r="T48064" s="135"/>
      <c r="U48064" s="135"/>
    </row>
    <row r="48065" spans="20:21" ht="15" customHeight="1" x14ac:dyDescent="0.25">
      <c r="T48065" s="135"/>
      <c r="U48065" s="135"/>
    </row>
    <row r="48066" spans="20:21" ht="15" customHeight="1" x14ac:dyDescent="0.25">
      <c r="T48066" s="135"/>
      <c r="U48066" s="135"/>
    </row>
    <row r="48067" spans="20:21" ht="15" customHeight="1" x14ac:dyDescent="0.25">
      <c r="T48067" s="135"/>
      <c r="U48067" s="135"/>
    </row>
    <row r="48068" spans="20:21" ht="15" customHeight="1" x14ac:dyDescent="0.25">
      <c r="T48068" s="135"/>
      <c r="U48068" s="135"/>
    </row>
    <row r="48069" spans="20:21" ht="15" customHeight="1" x14ac:dyDescent="0.25">
      <c r="T48069" s="135"/>
      <c r="U48069" s="135"/>
    </row>
    <row r="48070" spans="20:21" ht="15" customHeight="1" x14ac:dyDescent="0.25">
      <c r="T48070" s="135"/>
      <c r="U48070" s="135"/>
    </row>
    <row r="48071" spans="20:21" ht="15" customHeight="1" x14ac:dyDescent="0.25">
      <c r="T48071" s="135"/>
      <c r="U48071" s="135"/>
    </row>
    <row r="48072" spans="20:21" ht="15" customHeight="1" x14ac:dyDescent="0.25">
      <c r="T48072" s="135"/>
      <c r="U48072" s="135"/>
    </row>
    <row r="48073" spans="20:21" ht="15" customHeight="1" x14ac:dyDescent="0.25">
      <c r="T48073" s="135"/>
      <c r="U48073" s="135"/>
    </row>
    <row r="48074" spans="20:21" ht="15" customHeight="1" x14ac:dyDescent="0.25">
      <c r="T48074" s="135"/>
      <c r="U48074" s="135"/>
    </row>
    <row r="48075" spans="20:21" ht="15" customHeight="1" x14ac:dyDescent="0.25">
      <c r="T48075" s="135"/>
      <c r="U48075" s="135"/>
    </row>
    <row r="48076" spans="20:21" ht="15" customHeight="1" x14ac:dyDescent="0.25">
      <c r="T48076" s="135"/>
      <c r="U48076" s="135"/>
    </row>
    <row r="48077" spans="20:21" ht="15" customHeight="1" x14ac:dyDescent="0.25">
      <c r="T48077" s="135"/>
      <c r="U48077" s="135"/>
    </row>
    <row r="48078" spans="20:21" ht="15" customHeight="1" x14ac:dyDescent="0.25">
      <c r="T48078" s="135"/>
      <c r="U48078" s="135"/>
    </row>
    <row r="48079" spans="20:21" ht="15" customHeight="1" x14ac:dyDescent="0.25">
      <c r="T48079" s="135"/>
      <c r="U48079" s="135"/>
    </row>
    <row r="48080" spans="20:21" ht="15" customHeight="1" x14ac:dyDescent="0.25">
      <c r="T48080" s="135"/>
      <c r="U48080" s="135"/>
    </row>
    <row r="48081" spans="20:21" ht="15" customHeight="1" x14ac:dyDescent="0.25">
      <c r="T48081" s="135"/>
      <c r="U48081" s="135"/>
    </row>
    <row r="48082" spans="20:21" ht="15" customHeight="1" x14ac:dyDescent="0.25">
      <c r="T48082" s="135"/>
      <c r="U48082" s="135"/>
    </row>
    <row r="48083" spans="20:21" ht="15" customHeight="1" x14ac:dyDescent="0.25">
      <c r="T48083" s="135"/>
      <c r="U48083" s="135"/>
    </row>
    <row r="48084" spans="20:21" ht="15" customHeight="1" x14ac:dyDescent="0.25">
      <c r="T48084" s="135"/>
      <c r="U48084" s="135"/>
    </row>
    <row r="48085" spans="20:21" ht="15" customHeight="1" x14ac:dyDescent="0.25">
      <c r="T48085" s="135"/>
      <c r="U48085" s="135"/>
    </row>
    <row r="48086" spans="20:21" ht="15" customHeight="1" x14ac:dyDescent="0.25">
      <c r="T48086" s="135"/>
      <c r="U48086" s="135"/>
    </row>
    <row r="48087" spans="20:21" ht="15" customHeight="1" x14ac:dyDescent="0.25">
      <c r="T48087" s="135"/>
      <c r="U48087" s="135"/>
    </row>
    <row r="48088" spans="20:21" ht="15" customHeight="1" x14ac:dyDescent="0.25">
      <c r="T48088" s="135"/>
      <c r="U48088" s="135"/>
    </row>
    <row r="48089" spans="20:21" ht="15" customHeight="1" x14ac:dyDescent="0.25">
      <c r="T48089" s="135"/>
      <c r="U48089" s="135"/>
    </row>
    <row r="48090" spans="20:21" ht="15" customHeight="1" x14ac:dyDescent="0.25">
      <c r="T48090" s="135"/>
      <c r="U48090" s="135"/>
    </row>
    <row r="48091" spans="20:21" ht="15" customHeight="1" x14ac:dyDescent="0.25">
      <c r="T48091" s="135"/>
      <c r="U48091" s="135"/>
    </row>
    <row r="48092" spans="20:21" ht="15" customHeight="1" x14ac:dyDescent="0.25">
      <c r="T48092" s="135"/>
      <c r="U48092" s="135"/>
    </row>
    <row r="48093" spans="20:21" ht="15" customHeight="1" x14ac:dyDescent="0.25">
      <c r="T48093" s="135"/>
      <c r="U48093" s="135"/>
    </row>
    <row r="48094" spans="20:21" ht="15" customHeight="1" x14ac:dyDescent="0.25">
      <c r="T48094" s="135"/>
      <c r="U48094" s="135"/>
    </row>
    <row r="48095" spans="20:21" ht="15" customHeight="1" x14ac:dyDescent="0.25">
      <c r="T48095" s="135"/>
      <c r="U48095" s="135"/>
    </row>
    <row r="48096" spans="20:21" ht="15" customHeight="1" x14ac:dyDescent="0.25">
      <c r="T48096" s="135"/>
      <c r="U48096" s="135"/>
    </row>
    <row r="48097" spans="20:21" ht="15" customHeight="1" x14ac:dyDescent="0.25">
      <c r="T48097" s="135"/>
      <c r="U48097" s="135"/>
    </row>
    <row r="48098" spans="20:21" ht="15" customHeight="1" x14ac:dyDescent="0.25">
      <c r="T48098" s="135"/>
      <c r="U48098" s="135"/>
    </row>
    <row r="48099" spans="20:21" ht="15" customHeight="1" x14ac:dyDescent="0.25">
      <c r="T48099" s="135"/>
      <c r="U48099" s="135"/>
    </row>
    <row r="48100" spans="20:21" ht="15" customHeight="1" x14ac:dyDescent="0.25">
      <c r="T48100" s="135"/>
      <c r="U48100" s="135"/>
    </row>
    <row r="48101" spans="20:21" ht="15" customHeight="1" x14ac:dyDescent="0.25">
      <c r="T48101" s="135"/>
      <c r="U48101" s="135"/>
    </row>
    <row r="48102" spans="20:21" ht="15" customHeight="1" x14ac:dyDescent="0.25">
      <c r="T48102" s="135"/>
      <c r="U48102" s="135"/>
    </row>
    <row r="48103" spans="20:21" ht="15" customHeight="1" x14ac:dyDescent="0.25">
      <c r="T48103" s="135"/>
      <c r="U48103" s="135"/>
    </row>
    <row r="48104" spans="20:21" ht="15" customHeight="1" x14ac:dyDescent="0.25">
      <c r="T48104" s="135"/>
      <c r="U48104" s="135"/>
    </row>
    <row r="48105" spans="20:21" ht="15" customHeight="1" x14ac:dyDescent="0.25">
      <c r="T48105" s="135"/>
      <c r="U48105" s="135"/>
    </row>
    <row r="48106" spans="20:21" ht="15" customHeight="1" x14ac:dyDescent="0.25">
      <c r="T48106" s="135"/>
      <c r="U48106" s="135"/>
    </row>
    <row r="48107" spans="20:21" ht="15" customHeight="1" x14ac:dyDescent="0.25">
      <c r="T48107" s="135"/>
      <c r="U48107" s="135"/>
    </row>
    <row r="48108" spans="20:21" ht="15" customHeight="1" x14ac:dyDescent="0.25">
      <c r="T48108" s="135"/>
      <c r="U48108" s="135"/>
    </row>
    <row r="48109" spans="20:21" ht="15" customHeight="1" x14ac:dyDescent="0.25">
      <c r="T48109" s="135"/>
      <c r="U48109" s="135"/>
    </row>
    <row r="48110" spans="20:21" ht="15" customHeight="1" x14ac:dyDescent="0.25">
      <c r="T48110" s="135"/>
      <c r="U48110" s="135"/>
    </row>
    <row r="48111" spans="20:21" ht="15" customHeight="1" x14ac:dyDescent="0.25">
      <c r="T48111" s="135"/>
      <c r="U48111" s="135"/>
    </row>
    <row r="48112" spans="20:21" ht="15" customHeight="1" x14ac:dyDescent="0.25">
      <c r="T48112" s="135"/>
      <c r="U48112" s="135"/>
    </row>
    <row r="48113" spans="20:21" ht="15" customHeight="1" x14ac:dyDescent="0.25">
      <c r="T48113" s="135"/>
      <c r="U48113" s="135"/>
    </row>
    <row r="48114" spans="20:21" ht="15" customHeight="1" x14ac:dyDescent="0.25">
      <c r="T48114" s="135"/>
      <c r="U48114" s="135"/>
    </row>
    <row r="48115" spans="20:21" ht="15" customHeight="1" x14ac:dyDescent="0.25">
      <c r="T48115" s="135"/>
      <c r="U48115" s="135"/>
    </row>
    <row r="48116" spans="20:21" ht="15" customHeight="1" x14ac:dyDescent="0.25">
      <c r="T48116" s="135"/>
      <c r="U48116" s="135"/>
    </row>
    <row r="48117" spans="20:21" ht="15" customHeight="1" x14ac:dyDescent="0.25">
      <c r="T48117" s="135"/>
      <c r="U48117" s="135"/>
    </row>
    <row r="48118" spans="20:21" ht="15" customHeight="1" x14ac:dyDescent="0.25">
      <c r="T48118" s="135"/>
      <c r="U48118" s="135"/>
    </row>
    <row r="48119" spans="20:21" ht="15" customHeight="1" x14ac:dyDescent="0.25">
      <c r="T48119" s="135"/>
      <c r="U48119" s="135"/>
    </row>
    <row r="48120" spans="20:21" ht="15" customHeight="1" x14ac:dyDescent="0.25">
      <c r="T48120" s="135"/>
      <c r="U48120" s="135"/>
    </row>
    <row r="48121" spans="20:21" ht="15" customHeight="1" x14ac:dyDescent="0.25">
      <c r="T48121" s="135"/>
      <c r="U48121" s="135"/>
    </row>
    <row r="48122" spans="20:21" ht="15" customHeight="1" x14ac:dyDescent="0.25">
      <c r="T48122" s="135"/>
      <c r="U48122" s="135"/>
    </row>
    <row r="48123" spans="20:21" ht="15" customHeight="1" x14ac:dyDescent="0.25">
      <c r="T48123" s="135"/>
      <c r="U48123" s="135"/>
    </row>
    <row r="48124" spans="20:21" ht="15" customHeight="1" x14ac:dyDescent="0.25">
      <c r="T48124" s="135"/>
      <c r="U48124" s="135"/>
    </row>
    <row r="48125" spans="20:21" ht="15" customHeight="1" x14ac:dyDescent="0.25">
      <c r="T48125" s="135"/>
      <c r="U48125" s="135"/>
    </row>
    <row r="48126" spans="20:21" ht="15" customHeight="1" x14ac:dyDescent="0.25">
      <c r="T48126" s="135"/>
      <c r="U48126" s="135"/>
    </row>
    <row r="48127" spans="20:21" ht="15" customHeight="1" x14ac:dyDescent="0.25">
      <c r="T48127" s="135"/>
      <c r="U48127" s="135"/>
    </row>
    <row r="48128" spans="20:21" ht="15" customHeight="1" x14ac:dyDescent="0.25">
      <c r="T48128" s="135"/>
      <c r="U48128" s="135"/>
    </row>
    <row r="48129" spans="20:21" ht="15" customHeight="1" x14ac:dyDescent="0.25">
      <c r="T48129" s="135"/>
      <c r="U48129" s="135"/>
    </row>
    <row r="48130" spans="20:21" ht="15" customHeight="1" x14ac:dyDescent="0.25">
      <c r="T48130" s="135"/>
      <c r="U48130" s="135"/>
    </row>
    <row r="48131" spans="20:21" ht="15" customHeight="1" x14ac:dyDescent="0.25">
      <c r="T48131" s="135"/>
      <c r="U48131" s="135"/>
    </row>
    <row r="48132" spans="20:21" ht="15" customHeight="1" x14ac:dyDescent="0.25">
      <c r="T48132" s="135"/>
      <c r="U48132" s="135"/>
    </row>
    <row r="48133" spans="20:21" ht="15" customHeight="1" x14ac:dyDescent="0.25">
      <c r="T48133" s="135"/>
      <c r="U48133" s="135"/>
    </row>
    <row r="48134" spans="20:21" ht="15" customHeight="1" x14ac:dyDescent="0.25">
      <c r="T48134" s="135"/>
      <c r="U48134" s="135"/>
    </row>
    <row r="48135" spans="20:21" ht="15" customHeight="1" x14ac:dyDescent="0.25">
      <c r="T48135" s="135"/>
      <c r="U48135" s="135"/>
    </row>
    <row r="48136" spans="20:21" ht="15" customHeight="1" x14ac:dyDescent="0.25">
      <c r="T48136" s="135"/>
      <c r="U48136" s="135"/>
    </row>
    <row r="48137" spans="20:21" ht="15" customHeight="1" x14ac:dyDescent="0.25">
      <c r="T48137" s="135"/>
      <c r="U48137" s="135"/>
    </row>
    <row r="48138" spans="20:21" ht="15" customHeight="1" x14ac:dyDescent="0.25">
      <c r="T48138" s="135"/>
      <c r="U48138" s="135"/>
    </row>
    <row r="48139" spans="20:21" ht="15" customHeight="1" x14ac:dyDescent="0.25">
      <c r="T48139" s="135"/>
      <c r="U48139" s="135"/>
    </row>
    <row r="48140" spans="20:21" ht="15" customHeight="1" x14ac:dyDescent="0.25">
      <c r="T48140" s="135"/>
      <c r="U48140" s="135"/>
    </row>
    <row r="48141" spans="20:21" ht="15" customHeight="1" x14ac:dyDescent="0.25">
      <c r="T48141" s="135"/>
      <c r="U48141" s="135"/>
    </row>
    <row r="48142" spans="20:21" ht="15" customHeight="1" x14ac:dyDescent="0.25">
      <c r="T48142" s="135"/>
      <c r="U48142" s="135"/>
    </row>
    <row r="48143" spans="20:21" ht="15" customHeight="1" x14ac:dyDescent="0.25">
      <c r="T48143" s="135"/>
      <c r="U48143" s="135"/>
    </row>
    <row r="48144" spans="20:21" ht="15" customHeight="1" x14ac:dyDescent="0.25">
      <c r="T48144" s="135"/>
      <c r="U48144" s="135"/>
    </row>
    <row r="48145" spans="20:21" ht="15" customHeight="1" x14ac:dyDescent="0.25">
      <c r="T48145" s="135"/>
      <c r="U48145" s="135"/>
    </row>
    <row r="48146" spans="20:21" ht="15" customHeight="1" x14ac:dyDescent="0.25">
      <c r="T48146" s="135"/>
      <c r="U48146" s="135"/>
    </row>
    <row r="48147" spans="20:21" ht="15" customHeight="1" x14ac:dyDescent="0.25">
      <c r="T48147" s="135"/>
      <c r="U48147" s="135"/>
    </row>
    <row r="48148" spans="20:21" ht="15" customHeight="1" x14ac:dyDescent="0.25">
      <c r="T48148" s="135"/>
      <c r="U48148" s="135"/>
    </row>
    <row r="48149" spans="20:21" ht="15" customHeight="1" x14ac:dyDescent="0.25">
      <c r="T48149" s="135"/>
      <c r="U48149" s="135"/>
    </row>
    <row r="48150" spans="20:21" ht="15" customHeight="1" x14ac:dyDescent="0.25">
      <c r="T48150" s="135"/>
      <c r="U48150" s="135"/>
    </row>
    <row r="48151" spans="20:21" ht="15" customHeight="1" x14ac:dyDescent="0.25">
      <c r="T48151" s="135"/>
      <c r="U48151" s="135"/>
    </row>
    <row r="48152" spans="20:21" ht="15" customHeight="1" x14ac:dyDescent="0.25">
      <c r="T48152" s="135"/>
      <c r="U48152" s="135"/>
    </row>
    <row r="48153" spans="20:21" ht="15" customHeight="1" x14ac:dyDescent="0.25">
      <c r="T48153" s="135"/>
      <c r="U48153" s="135"/>
    </row>
    <row r="48154" spans="20:21" ht="15" customHeight="1" x14ac:dyDescent="0.25">
      <c r="T48154" s="135"/>
      <c r="U48154" s="135"/>
    </row>
    <row r="48155" spans="20:21" ht="15" customHeight="1" x14ac:dyDescent="0.25">
      <c r="T48155" s="135"/>
      <c r="U48155" s="135"/>
    </row>
    <row r="48156" spans="20:21" ht="15" customHeight="1" x14ac:dyDescent="0.25">
      <c r="T48156" s="135"/>
      <c r="U48156" s="135"/>
    </row>
    <row r="48157" spans="20:21" ht="15" customHeight="1" x14ac:dyDescent="0.25">
      <c r="T48157" s="135"/>
      <c r="U48157" s="135"/>
    </row>
    <row r="48158" spans="20:21" ht="15" customHeight="1" x14ac:dyDescent="0.25">
      <c r="T48158" s="135"/>
      <c r="U48158" s="135"/>
    </row>
    <row r="48159" spans="20:21" ht="15" customHeight="1" x14ac:dyDescent="0.25">
      <c r="T48159" s="135"/>
      <c r="U48159" s="135"/>
    </row>
    <row r="48160" spans="20:21" ht="15" customHeight="1" x14ac:dyDescent="0.25">
      <c r="T48160" s="135"/>
      <c r="U48160" s="135"/>
    </row>
    <row r="48161" spans="20:21" ht="15" customHeight="1" x14ac:dyDescent="0.25">
      <c r="T48161" s="135"/>
      <c r="U48161" s="135"/>
    </row>
    <row r="48162" spans="20:21" ht="15" customHeight="1" x14ac:dyDescent="0.25">
      <c r="T48162" s="135"/>
      <c r="U48162" s="135"/>
    </row>
    <row r="48163" spans="20:21" ht="15" customHeight="1" x14ac:dyDescent="0.25">
      <c r="T48163" s="135"/>
      <c r="U48163" s="135"/>
    </row>
    <row r="48164" spans="20:21" ht="15" customHeight="1" x14ac:dyDescent="0.25">
      <c r="T48164" s="135"/>
      <c r="U48164" s="135"/>
    </row>
    <row r="48165" spans="20:21" ht="15" customHeight="1" x14ac:dyDescent="0.25">
      <c r="T48165" s="135"/>
      <c r="U48165" s="135"/>
    </row>
    <row r="48166" spans="20:21" ht="15" customHeight="1" x14ac:dyDescent="0.25">
      <c r="T48166" s="135"/>
      <c r="U48166" s="135"/>
    </row>
    <row r="48167" spans="20:21" ht="15" customHeight="1" x14ac:dyDescent="0.25">
      <c r="T48167" s="135"/>
      <c r="U48167" s="135"/>
    </row>
    <row r="48168" spans="20:21" ht="15" customHeight="1" x14ac:dyDescent="0.25">
      <c r="T48168" s="135"/>
      <c r="U48168" s="135"/>
    </row>
    <row r="48169" spans="20:21" ht="15" customHeight="1" x14ac:dyDescent="0.25">
      <c r="T48169" s="135"/>
      <c r="U48169" s="135"/>
    </row>
    <row r="48170" spans="20:21" ht="15" customHeight="1" x14ac:dyDescent="0.25">
      <c r="T48170" s="135"/>
      <c r="U48170" s="135"/>
    </row>
    <row r="48171" spans="20:21" ht="15" customHeight="1" x14ac:dyDescent="0.25">
      <c r="T48171" s="135"/>
      <c r="U48171" s="135"/>
    </row>
    <row r="48172" spans="20:21" ht="15" customHeight="1" x14ac:dyDescent="0.25">
      <c r="T48172" s="135"/>
      <c r="U48172" s="135"/>
    </row>
    <row r="48173" spans="20:21" ht="15" customHeight="1" x14ac:dyDescent="0.25">
      <c r="T48173" s="135"/>
      <c r="U48173" s="135"/>
    </row>
    <row r="48174" spans="20:21" ht="15" customHeight="1" x14ac:dyDescent="0.25">
      <c r="T48174" s="135"/>
      <c r="U48174" s="135"/>
    </row>
    <row r="48175" spans="20:21" ht="15" customHeight="1" x14ac:dyDescent="0.25">
      <c r="T48175" s="135"/>
      <c r="U48175" s="135"/>
    </row>
    <row r="48176" spans="20:21" ht="15" customHeight="1" x14ac:dyDescent="0.25">
      <c r="T48176" s="135"/>
      <c r="U48176" s="135"/>
    </row>
    <row r="48177" spans="20:21" ht="15" customHeight="1" x14ac:dyDescent="0.25">
      <c r="T48177" s="135"/>
      <c r="U48177" s="135"/>
    </row>
    <row r="48178" spans="20:21" ht="15" customHeight="1" x14ac:dyDescent="0.25">
      <c r="T48178" s="135"/>
      <c r="U48178" s="135"/>
    </row>
    <row r="48179" spans="20:21" ht="15" customHeight="1" x14ac:dyDescent="0.25">
      <c r="T48179" s="135"/>
      <c r="U48179" s="135"/>
    </row>
    <row r="48180" spans="20:21" ht="15" customHeight="1" x14ac:dyDescent="0.25">
      <c r="T48180" s="135"/>
      <c r="U48180" s="135"/>
    </row>
    <row r="48181" spans="20:21" ht="15" customHeight="1" x14ac:dyDescent="0.25">
      <c r="T48181" s="135"/>
      <c r="U48181" s="135"/>
    </row>
    <row r="48182" spans="20:21" ht="15" customHeight="1" x14ac:dyDescent="0.25">
      <c r="T48182" s="135"/>
      <c r="U48182" s="135"/>
    </row>
    <row r="48183" spans="20:21" ht="15" customHeight="1" x14ac:dyDescent="0.25">
      <c r="T48183" s="135"/>
      <c r="U48183" s="135"/>
    </row>
    <row r="48184" spans="20:21" ht="15" customHeight="1" x14ac:dyDescent="0.25">
      <c r="T48184" s="135"/>
      <c r="U48184" s="135"/>
    </row>
    <row r="48185" spans="20:21" ht="15" customHeight="1" x14ac:dyDescent="0.25">
      <c r="T48185" s="135"/>
      <c r="U48185" s="135"/>
    </row>
    <row r="48186" spans="20:21" ht="15" customHeight="1" x14ac:dyDescent="0.25">
      <c r="T48186" s="135"/>
      <c r="U48186" s="135"/>
    </row>
    <row r="48187" spans="20:21" ht="15" customHeight="1" x14ac:dyDescent="0.25">
      <c r="T48187" s="135"/>
      <c r="U48187" s="135"/>
    </row>
    <row r="48188" spans="20:21" ht="15" customHeight="1" x14ac:dyDescent="0.25">
      <c r="T48188" s="135"/>
      <c r="U48188" s="135"/>
    </row>
    <row r="48189" spans="20:21" ht="15" customHeight="1" x14ac:dyDescent="0.25">
      <c r="T48189" s="135"/>
      <c r="U48189" s="135"/>
    </row>
    <row r="48190" spans="20:21" ht="15" customHeight="1" x14ac:dyDescent="0.25">
      <c r="T48190" s="135"/>
      <c r="U48190" s="135"/>
    </row>
    <row r="48191" spans="20:21" ht="15" customHeight="1" x14ac:dyDescent="0.25">
      <c r="T48191" s="135"/>
      <c r="U48191" s="135"/>
    </row>
    <row r="48192" spans="20:21" ht="15" customHeight="1" x14ac:dyDescent="0.25">
      <c r="T48192" s="135"/>
      <c r="U48192" s="135"/>
    </row>
    <row r="48193" spans="20:21" ht="15" customHeight="1" x14ac:dyDescent="0.25">
      <c r="T48193" s="135"/>
      <c r="U48193" s="135"/>
    </row>
    <row r="48194" spans="20:21" ht="15" customHeight="1" x14ac:dyDescent="0.25">
      <c r="T48194" s="135"/>
      <c r="U48194" s="135"/>
    </row>
    <row r="48195" spans="20:21" ht="15" customHeight="1" x14ac:dyDescent="0.25">
      <c r="T48195" s="135"/>
      <c r="U48195" s="135"/>
    </row>
    <row r="48196" spans="20:21" ht="15" customHeight="1" x14ac:dyDescent="0.25">
      <c r="T48196" s="135"/>
      <c r="U48196" s="135"/>
    </row>
    <row r="48197" spans="20:21" ht="15" customHeight="1" x14ac:dyDescent="0.25">
      <c r="T48197" s="135"/>
      <c r="U48197" s="135"/>
    </row>
    <row r="48198" spans="20:21" ht="15" customHeight="1" x14ac:dyDescent="0.25">
      <c r="T48198" s="135"/>
      <c r="U48198" s="135"/>
    </row>
    <row r="48199" spans="20:21" ht="15" customHeight="1" x14ac:dyDescent="0.25">
      <c r="T48199" s="135"/>
      <c r="U48199" s="135"/>
    </row>
    <row r="48200" spans="20:21" ht="15" customHeight="1" x14ac:dyDescent="0.25">
      <c r="T48200" s="135"/>
      <c r="U48200" s="135"/>
    </row>
    <row r="48201" spans="20:21" ht="15" customHeight="1" x14ac:dyDescent="0.25">
      <c r="T48201" s="135"/>
      <c r="U48201" s="135"/>
    </row>
    <row r="48202" spans="20:21" ht="15" customHeight="1" x14ac:dyDescent="0.25">
      <c r="T48202" s="135"/>
      <c r="U48202" s="135"/>
    </row>
    <row r="48203" spans="20:21" ht="15" customHeight="1" x14ac:dyDescent="0.25">
      <c r="T48203" s="135"/>
      <c r="U48203" s="135"/>
    </row>
    <row r="48204" spans="20:21" ht="15" customHeight="1" x14ac:dyDescent="0.25">
      <c r="T48204" s="135"/>
      <c r="U48204" s="135"/>
    </row>
    <row r="48205" spans="20:21" ht="15" customHeight="1" x14ac:dyDescent="0.25">
      <c r="T48205" s="135"/>
      <c r="U48205" s="135"/>
    </row>
    <row r="48206" spans="20:21" ht="15" customHeight="1" x14ac:dyDescent="0.25">
      <c r="T48206" s="135"/>
      <c r="U48206" s="135"/>
    </row>
    <row r="48207" spans="20:21" ht="15" customHeight="1" x14ac:dyDescent="0.25">
      <c r="T48207" s="135"/>
      <c r="U48207" s="135"/>
    </row>
    <row r="48208" spans="20:21" ht="15" customHeight="1" x14ac:dyDescent="0.25">
      <c r="T48208" s="135"/>
      <c r="U48208" s="135"/>
    </row>
    <row r="48209" spans="20:21" ht="15" customHeight="1" x14ac:dyDescent="0.25">
      <c r="T48209" s="135"/>
      <c r="U48209" s="135"/>
    </row>
    <row r="48210" spans="20:21" ht="15" customHeight="1" x14ac:dyDescent="0.25">
      <c r="T48210" s="135"/>
      <c r="U48210" s="135"/>
    </row>
    <row r="48211" spans="20:21" ht="15" customHeight="1" x14ac:dyDescent="0.25">
      <c r="T48211" s="135"/>
      <c r="U48211" s="135"/>
    </row>
    <row r="48212" spans="20:21" ht="15" customHeight="1" x14ac:dyDescent="0.25">
      <c r="T48212" s="135"/>
      <c r="U48212" s="135"/>
    </row>
    <row r="48213" spans="20:21" ht="15" customHeight="1" x14ac:dyDescent="0.25">
      <c r="T48213" s="135"/>
      <c r="U48213" s="135"/>
    </row>
    <row r="48214" spans="20:21" ht="15" customHeight="1" x14ac:dyDescent="0.25">
      <c r="T48214" s="135"/>
      <c r="U48214" s="135"/>
    </row>
    <row r="48215" spans="20:21" ht="15" customHeight="1" x14ac:dyDescent="0.25">
      <c r="T48215" s="135"/>
      <c r="U48215" s="135"/>
    </row>
    <row r="48216" spans="20:21" ht="15" customHeight="1" x14ac:dyDescent="0.25">
      <c r="T48216" s="135"/>
      <c r="U48216" s="135"/>
    </row>
    <row r="48217" spans="20:21" ht="15" customHeight="1" x14ac:dyDescent="0.25">
      <c r="T48217" s="135"/>
      <c r="U48217" s="135"/>
    </row>
    <row r="48218" spans="20:21" ht="15" customHeight="1" x14ac:dyDescent="0.25">
      <c r="T48218" s="135"/>
      <c r="U48218" s="135"/>
    </row>
    <row r="48219" spans="20:21" ht="15" customHeight="1" x14ac:dyDescent="0.25">
      <c r="T48219" s="135"/>
      <c r="U48219" s="135"/>
    </row>
    <row r="48220" spans="20:21" ht="15" customHeight="1" x14ac:dyDescent="0.25">
      <c r="T48220" s="135"/>
      <c r="U48220" s="135"/>
    </row>
    <row r="48221" spans="20:21" ht="15" customHeight="1" x14ac:dyDescent="0.25">
      <c r="T48221" s="135"/>
      <c r="U48221" s="135"/>
    </row>
    <row r="48222" spans="20:21" ht="15" customHeight="1" x14ac:dyDescent="0.25">
      <c r="T48222" s="135"/>
      <c r="U48222" s="135"/>
    </row>
    <row r="48223" spans="20:21" ht="15" customHeight="1" x14ac:dyDescent="0.25">
      <c r="T48223" s="135"/>
      <c r="U48223" s="135"/>
    </row>
    <row r="48224" spans="20:21" ht="15" customHeight="1" x14ac:dyDescent="0.25">
      <c r="T48224" s="135"/>
      <c r="U48224" s="135"/>
    </row>
    <row r="48225" spans="20:21" ht="15" customHeight="1" x14ac:dyDescent="0.25">
      <c r="T48225" s="135"/>
      <c r="U48225" s="135"/>
    </row>
    <row r="48226" spans="20:21" ht="15" customHeight="1" x14ac:dyDescent="0.25">
      <c r="T48226" s="135"/>
      <c r="U48226" s="135"/>
    </row>
    <row r="48227" spans="20:21" ht="15" customHeight="1" x14ac:dyDescent="0.25">
      <c r="T48227" s="135"/>
      <c r="U48227" s="135"/>
    </row>
    <row r="48228" spans="20:21" ht="15" customHeight="1" x14ac:dyDescent="0.25">
      <c r="T48228" s="135"/>
      <c r="U48228" s="135"/>
    </row>
    <row r="48229" spans="20:21" ht="15" customHeight="1" x14ac:dyDescent="0.25">
      <c r="T48229" s="135"/>
      <c r="U48229" s="135"/>
    </row>
    <row r="48230" spans="20:21" ht="15" customHeight="1" x14ac:dyDescent="0.25">
      <c r="T48230" s="135"/>
      <c r="U48230" s="135"/>
    </row>
    <row r="48231" spans="20:21" ht="15" customHeight="1" x14ac:dyDescent="0.25">
      <c r="T48231" s="135"/>
      <c r="U48231" s="135"/>
    </row>
    <row r="48232" spans="20:21" ht="15" customHeight="1" x14ac:dyDescent="0.25">
      <c r="T48232" s="135"/>
      <c r="U48232" s="135"/>
    </row>
    <row r="48233" spans="20:21" ht="15" customHeight="1" x14ac:dyDescent="0.25">
      <c r="T48233" s="135"/>
      <c r="U48233" s="135"/>
    </row>
    <row r="48234" spans="20:21" ht="15" customHeight="1" x14ac:dyDescent="0.25">
      <c r="T48234" s="135"/>
      <c r="U48234" s="135"/>
    </row>
    <row r="48235" spans="20:21" ht="15" customHeight="1" x14ac:dyDescent="0.25">
      <c r="T48235" s="135"/>
      <c r="U48235" s="135"/>
    </row>
    <row r="48236" spans="20:21" ht="15" customHeight="1" x14ac:dyDescent="0.25">
      <c r="T48236" s="135"/>
      <c r="U48236" s="135"/>
    </row>
    <row r="48237" spans="20:21" ht="15" customHeight="1" x14ac:dyDescent="0.25">
      <c r="T48237" s="135"/>
      <c r="U48237" s="135"/>
    </row>
    <row r="48238" spans="20:21" ht="15" customHeight="1" x14ac:dyDescent="0.25">
      <c r="T48238" s="135"/>
      <c r="U48238" s="135"/>
    </row>
    <row r="48239" spans="20:21" ht="15" customHeight="1" x14ac:dyDescent="0.25">
      <c r="T48239" s="135"/>
      <c r="U48239" s="135"/>
    </row>
    <row r="48240" spans="20:21" ht="15" customHeight="1" x14ac:dyDescent="0.25">
      <c r="T48240" s="135"/>
      <c r="U48240" s="135"/>
    </row>
    <row r="48241" spans="20:21" ht="15" customHeight="1" x14ac:dyDescent="0.25">
      <c r="T48241" s="135"/>
      <c r="U48241" s="135"/>
    </row>
    <row r="48242" spans="20:21" ht="15" customHeight="1" x14ac:dyDescent="0.25">
      <c r="T48242" s="135"/>
      <c r="U48242" s="135"/>
    </row>
    <row r="48243" spans="20:21" ht="15" customHeight="1" x14ac:dyDescent="0.25">
      <c r="T48243" s="135"/>
      <c r="U48243" s="135"/>
    </row>
    <row r="48244" spans="20:21" ht="15" customHeight="1" x14ac:dyDescent="0.25">
      <c r="T48244" s="135"/>
      <c r="U48244" s="135"/>
    </row>
    <row r="48245" spans="20:21" ht="15" customHeight="1" x14ac:dyDescent="0.25">
      <c r="T48245" s="135"/>
      <c r="U48245" s="135"/>
    </row>
    <row r="48246" spans="20:21" ht="15" customHeight="1" x14ac:dyDescent="0.25">
      <c r="T48246" s="135"/>
      <c r="U48246" s="135"/>
    </row>
    <row r="48247" spans="20:21" ht="15" customHeight="1" x14ac:dyDescent="0.25">
      <c r="T48247" s="135"/>
      <c r="U48247" s="135"/>
    </row>
    <row r="48248" spans="20:21" ht="15" customHeight="1" x14ac:dyDescent="0.25">
      <c r="T48248" s="135"/>
      <c r="U48248" s="135"/>
    </row>
    <row r="48249" spans="20:21" ht="15" customHeight="1" x14ac:dyDescent="0.25">
      <c r="T48249" s="135"/>
      <c r="U48249" s="135"/>
    </row>
    <row r="48250" spans="20:21" ht="15" customHeight="1" x14ac:dyDescent="0.25">
      <c r="T48250" s="135"/>
      <c r="U48250" s="135"/>
    </row>
    <row r="48251" spans="20:21" ht="15" customHeight="1" x14ac:dyDescent="0.25">
      <c r="T48251" s="135"/>
      <c r="U48251" s="135"/>
    </row>
    <row r="48252" spans="20:21" ht="15" customHeight="1" x14ac:dyDescent="0.25">
      <c r="T48252" s="135"/>
      <c r="U48252" s="135"/>
    </row>
    <row r="48253" spans="20:21" ht="15" customHeight="1" x14ac:dyDescent="0.25">
      <c r="T48253" s="135"/>
      <c r="U48253" s="135"/>
    </row>
    <row r="48254" spans="20:21" ht="15" customHeight="1" x14ac:dyDescent="0.25">
      <c r="T48254" s="135"/>
      <c r="U48254" s="135"/>
    </row>
    <row r="48255" spans="20:21" ht="15" customHeight="1" x14ac:dyDescent="0.25">
      <c r="T48255" s="135"/>
      <c r="U48255" s="135"/>
    </row>
    <row r="48256" spans="20:21" ht="15" customHeight="1" x14ac:dyDescent="0.25">
      <c r="T48256" s="135"/>
      <c r="U48256" s="135"/>
    </row>
    <row r="48257" spans="20:21" ht="15" customHeight="1" x14ac:dyDescent="0.25">
      <c r="T48257" s="135"/>
      <c r="U48257" s="135"/>
    </row>
    <row r="48258" spans="20:21" ht="15" customHeight="1" x14ac:dyDescent="0.25">
      <c r="T48258" s="135"/>
      <c r="U48258" s="135"/>
    </row>
    <row r="48259" spans="20:21" ht="15" customHeight="1" x14ac:dyDescent="0.25">
      <c r="T48259" s="135"/>
      <c r="U48259" s="135"/>
    </row>
    <row r="48260" spans="20:21" ht="15" customHeight="1" x14ac:dyDescent="0.25">
      <c r="T48260" s="135"/>
      <c r="U48260" s="135"/>
    </row>
    <row r="48261" spans="20:21" ht="15" customHeight="1" x14ac:dyDescent="0.25">
      <c r="T48261" s="135"/>
      <c r="U48261" s="135"/>
    </row>
    <row r="48262" spans="20:21" ht="15" customHeight="1" x14ac:dyDescent="0.25">
      <c r="T48262" s="135"/>
      <c r="U48262" s="135"/>
    </row>
    <row r="48263" spans="20:21" ht="15" customHeight="1" x14ac:dyDescent="0.25">
      <c r="T48263" s="135"/>
      <c r="U48263" s="135"/>
    </row>
    <row r="48264" spans="20:21" ht="15" customHeight="1" x14ac:dyDescent="0.25">
      <c r="T48264" s="135"/>
      <c r="U48264" s="135"/>
    </row>
    <row r="48265" spans="20:21" ht="15" customHeight="1" x14ac:dyDescent="0.25">
      <c r="T48265" s="135"/>
      <c r="U48265" s="135"/>
    </row>
    <row r="48266" spans="20:21" ht="15" customHeight="1" x14ac:dyDescent="0.25">
      <c r="T48266" s="135"/>
      <c r="U48266" s="135"/>
    </row>
    <row r="48267" spans="20:21" ht="15" customHeight="1" x14ac:dyDescent="0.25">
      <c r="T48267" s="135"/>
      <c r="U48267" s="135"/>
    </row>
    <row r="48268" spans="20:21" ht="15" customHeight="1" x14ac:dyDescent="0.25">
      <c r="T48268" s="135"/>
      <c r="U48268" s="135"/>
    </row>
    <row r="48269" spans="20:21" ht="15" customHeight="1" x14ac:dyDescent="0.25">
      <c r="T48269" s="135"/>
      <c r="U48269" s="135"/>
    </row>
    <row r="48270" spans="20:21" ht="15" customHeight="1" x14ac:dyDescent="0.25">
      <c r="T48270" s="135"/>
      <c r="U48270" s="135"/>
    </row>
    <row r="48271" spans="20:21" ht="15" customHeight="1" x14ac:dyDescent="0.25">
      <c r="T48271" s="135"/>
      <c r="U48271" s="135"/>
    </row>
    <row r="48272" spans="20:21" ht="15" customHeight="1" x14ac:dyDescent="0.25">
      <c r="T48272" s="135"/>
      <c r="U48272" s="135"/>
    </row>
    <row r="48273" spans="20:21" ht="15" customHeight="1" x14ac:dyDescent="0.25">
      <c r="T48273" s="135"/>
      <c r="U48273" s="135"/>
    </row>
    <row r="48274" spans="20:21" ht="15" customHeight="1" x14ac:dyDescent="0.25">
      <c r="T48274" s="135"/>
      <c r="U48274" s="135"/>
    </row>
    <row r="48275" spans="20:21" ht="15" customHeight="1" x14ac:dyDescent="0.25">
      <c r="T48275" s="135"/>
      <c r="U48275" s="135"/>
    </row>
    <row r="48276" spans="20:21" ht="15" customHeight="1" x14ac:dyDescent="0.25">
      <c r="T48276" s="135"/>
      <c r="U48276" s="135"/>
    </row>
    <row r="48277" spans="20:21" ht="15" customHeight="1" x14ac:dyDescent="0.25">
      <c r="T48277" s="135"/>
      <c r="U48277" s="135"/>
    </row>
    <row r="48278" spans="20:21" ht="15" customHeight="1" x14ac:dyDescent="0.25">
      <c r="T48278" s="135"/>
      <c r="U48278" s="135"/>
    </row>
    <row r="48279" spans="20:21" ht="15" customHeight="1" x14ac:dyDescent="0.25">
      <c r="T48279" s="135"/>
      <c r="U48279" s="135"/>
    </row>
    <row r="48280" spans="20:21" ht="15" customHeight="1" x14ac:dyDescent="0.25">
      <c r="T48280" s="135"/>
      <c r="U48280" s="135"/>
    </row>
    <row r="48281" spans="20:21" ht="15" customHeight="1" x14ac:dyDescent="0.25">
      <c r="T48281" s="135"/>
      <c r="U48281" s="135"/>
    </row>
    <row r="48282" spans="20:21" ht="15" customHeight="1" x14ac:dyDescent="0.25">
      <c r="T48282" s="135"/>
      <c r="U48282" s="135"/>
    </row>
    <row r="48283" spans="20:21" ht="15" customHeight="1" x14ac:dyDescent="0.25">
      <c r="T48283" s="135"/>
      <c r="U48283" s="135"/>
    </row>
    <row r="48284" spans="20:21" ht="15" customHeight="1" x14ac:dyDescent="0.25">
      <c r="T48284" s="135"/>
      <c r="U48284" s="135"/>
    </row>
    <row r="48285" spans="20:21" ht="15" customHeight="1" x14ac:dyDescent="0.25">
      <c r="T48285" s="135"/>
      <c r="U48285" s="135"/>
    </row>
    <row r="48286" spans="20:21" ht="15" customHeight="1" x14ac:dyDescent="0.25">
      <c r="T48286" s="135"/>
      <c r="U48286" s="135"/>
    </row>
    <row r="48287" spans="20:21" ht="15" customHeight="1" x14ac:dyDescent="0.25">
      <c r="T48287" s="135"/>
      <c r="U48287" s="135"/>
    </row>
    <row r="48288" spans="20:21" ht="15" customHeight="1" x14ac:dyDescent="0.25">
      <c r="T48288" s="135"/>
      <c r="U48288" s="135"/>
    </row>
    <row r="48289" spans="20:21" ht="15" customHeight="1" x14ac:dyDescent="0.25">
      <c r="T48289" s="135"/>
      <c r="U48289" s="135"/>
    </row>
    <row r="48290" spans="20:21" ht="15" customHeight="1" x14ac:dyDescent="0.25">
      <c r="T48290" s="135"/>
      <c r="U48290" s="135"/>
    </row>
    <row r="48291" spans="20:21" ht="15" customHeight="1" x14ac:dyDescent="0.25">
      <c r="T48291" s="135"/>
      <c r="U48291" s="135"/>
    </row>
    <row r="48292" spans="20:21" ht="15" customHeight="1" x14ac:dyDescent="0.25">
      <c r="T48292" s="135"/>
      <c r="U48292" s="135"/>
    </row>
    <row r="48293" spans="20:21" ht="15" customHeight="1" x14ac:dyDescent="0.25">
      <c r="T48293" s="135"/>
      <c r="U48293" s="135"/>
    </row>
    <row r="48294" spans="20:21" ht="15" customHeight="1" x14ac:dyDescent="0.25">
      <c r="T48294" s="135"/>
      <c r="U48294" s="135"/>
    </row>
    <row r="48295" spans="20:21" ht="15" customHeight="1" x14ac:dyDescent="0.25">
      <c r="T48295" s="135"/>
      <c r="U48295" s="135"/>
    </row>
    <row r="48296" spans="20:21" ht="15" customHeight="1" x14ac:dyDescent="0.25">
      <c r="T48296" s="135"/>
      <c r="U48296" s="135"/>
    </row>
    <row r="48297" spans="20:21" ht="15" customHeight="1" x14ac:dyDescent="0.25">
      <c r="T48297" s="135"/>
      <c r="U48297" s="135"/>
    </row>
    <row r="48298" spans="20:21" ht="15" customHeight="1" x14ac:dyDescent="0.25">
      <c r="T48298" s="135"/>
      <c r="U48298" s="135"/>
    </row>
    <row r="48299" spans="20:21" ht="15" customHeight="1" x14ac:dyDescent="0.25">
      <c r="T48299" s="135"/>
      <c r="U48299" s="135"/>
    </row>
    <row r="48300" spans="20:21" ht="15" customHeight="1" x14ac:dyDescent="0.25">
      <c r="T48300" s="135"/>
      <c r="U48300" s="135"/>
    </row>
    <row r="48301" spans="20:21" ht="15" customHeight="1" x14ac:dyDescent="0.25">
      <c r="T48301" s="135"/>
      <c r="U48301" s="135"/>
    </row>
    <row r="48302" spans="20:21" ht="15" customHeight="1" x14ac:dyDescent="0.25">
      <c r="T48302" s="135"/>
      <c r="U48302" s="135"/>
    </row>
    <row r="48303" spans="20:21" ht="15" customHeight="1" x14ac:dyDescent="0.25">
      <c r="T48303" s="135"/>
      <c r="U48303" s="135"/>
    </row>
    <row r="48304" spans="20:21" ht="15" customHeight="1" x14ac:dyDescent="0.25">
      <c r="T48304" s="135"/>
      <c r="U48304" s="135"/>
    </row>
    <row r="48305" spans="20:21" ht="15" customHeight="1" x14ac:dyDescent="0.25">
      <c r="T48305" s="135"/>
      <c r="U48305" s="135"/>
    </row>
    <row r="48306" spans="20:21" ht="15" customHeight="1" x14ac:dyDescent="0.25">
      <c r="T48306" s="135"/>
      <c r="U48306" s="135"/>
    </row>
    <row r="48307" spans="20:21" ht="15" customHeight="1" x14ac:dyDescent="0.25">
      <c r="T48307" s="135"/>
      <c r="U48307" s="135"/>
    </row>
    <row r="48308" spans="20:21" ht="15" customHeight="1" x14ac:dyDescent="0.25">
      <c r="T48308" s="135"/>
      <c r="U48308" s="135"/>
    </row>
    <row r="48309" spans="20:21" ht="15" customHeight="1" x14ac:dyDescent="0.25">
      <c r="T48309" s="135"/>
      <c r="U48309" s="135"/>
    </row>
    <row r="48310" spans="20:21" ht="15" customHeight="1" x14ac:dyDescent="0.25">
      <c r="T48310" s="135"/>
      <c r="U48310" s="135"/>
    </row>
    <row r="48311" spans="20:21" ht="15" customHeight="1" x14ac:dyDescent="0.25">
      <c r="T48311" s="135"/>
      <c r="U48311" s="135"/>
    </row>
    <row r="48312" spans="20:21" ht="15" customHeight="1" x14ac:dyDescent="0.25">
      <c r="T48312" s="135"/>
      <c r="U48312" s="135"/>
    </row>
    <row r="48313" spans="20:21" ht="15" customHeight="1" x14ac:dyDescent="0.25">
      <c r="T48313" s="135"/>
      <c r="U48313" s="135"/>
    </row>
    <row r="48314" spans="20:21" ht="15" customHeight="1" x14ac:dyDescent="0.25">
      <c r="T48314" s="135"/>
      <c r="U48314" s="135"/>
    </row>
    <row r="48315" spans="20:21" ht="15" customHeight="1" x14ac:dyDescent="0.25">
      <c r="T48315" s="135"/>
      <c r="U48315" s="135"/>
    </row>
    <row r="48316" spans="20:21" ht="15" customHeight="1" x14ac:dyDescent="0.25">
      <c r="T48316" s="135"/>
      <c r="U48316" s="135"/>
    </row>
    <row r="48317" spans="20:21" ht="15" customHeight="1" x14ac:dyDescent="0.25">
      <c r="T48317" s="135"/>
      <c r="U48317" s="135"/>
    </row>
    <row r="48318" spans="20:21" ht="15" customHeight="1" x14ac:dyDescent="0.25">
      <c r="T48318" s="135"/>
      <c r="U48318" s="135"/>
    </row>
    <row r="48319" spans="20:21" ht="15" customHeight="1" x14ac:dyDescent="0.25">
      <c r="T48319" s="135"/>
      <c r="U48319" s="135"/>
    </row>
    <row r="48320" spans="20:21" ht="15" customHeight="1" x14ac:dyDescent="0.25">
      <c r="T48320" s="135"/>
      <c r="U48320" s="135"/>
    </row>
    <row r="48321" spans="20:21" ht="15" customHeight="1" x14ac:dyDescent="0.25">
      <c r="T48321" s="135"/>
      <c r="U48321" s="135"/>
    </row>
    <row r="48322" spans="20:21" ht="15" customHeight="1" x14ac:dyDescent="0.25">
      <c r="T48322" s="135"/>
      <c r="U48322" s="135"/>
    </row>
    <row r="48323" spans="20:21" ht="15" customHeight="1" x14ac:dyDescent="0.25">
      <c r="T48323" s="135"/>
      <c r="U48323" s="135"/>
    </row>
    <row r="48324" spans="20:21" ht="15" customHeight="1" x14ac:dyDescent="0.25">
      <c r="T48324" s="135"/>
      <c r="U48324" s="135"/>
    </row>
    <row r="48325" spans="20:21" ht="15" customHeight="1" x14ac:dyDescent="0.25">
      <c r="T48325" s="135"/>
      <c r="U48325" s="135"/>
    </row>
    <row r="48326" spans="20:21" ht="15" customHeight="1" x14ac:dyDescent="0.25">
      <c r="T48326" s="135"/>
      <c r="U48326" s="135"/>
    </row>
    <row r="48327" spans="20:21" ht="15" customHeight="1" x14ac:dyDescent="0.25">
      <c r="T48327" s="135"/>
      <c r="U48327" s="135"/>
    </row>
    <row r="48328" spans="20:21" ht="15" customHeight="1" x14ac:dyDescent="0.25">
      <c r="T48328" s="135"/>
      <c r="U48328" s="135"/>
    </row>
    <row r="48329" spans="20:21" ht="15" customHeight="1" x14ac:dyDescent="0.25">
      <c r="T48329" s="135"/>
      <c r="U48329" s="135"/>
    </row>
    <row r="48330" spans="20:21" ht="15" customHeight="1" x14ac:dyDescent="0.25">
      <c r="T48330" s="135"/>
      <c r="U48330" s="135"/>
    </row>
    <row r="48331" spans="20:21" ht="15" customHeight="1" x14ac:dyDescent="0.25">
      <c r="T48331" s="135"/>
      <c r="U48331" s="135"/>
    </row>
    <row r="48332" spans="20:21" ht="15" customHeight="1" x14ac:dyDescent="0.25">
      <c r="T48332" s="135"/>
      <c r="U48332" s="135"/>
    </row>
    <row r="48333" spans="20:21" ht="15" customHeight="1" x14ac:dyDescent="0.25">
      <c r="T48333" s="135"/>
      <c r="U48333" s="135"/>
    </row>
    <row r="48334" spans="20:21" ht="15" customHeight="1" x14ac:dyDescent="0.25">
      <c r="T48334" s="135"/>
      <c r="U48334" s="135"/>
    </row>
    <row r="48335" spans="20:21" ht="15" customHeight="1" x14ac:dyDescent="0.25">
      <c r="T48335" s="135"/>
      <c r="U48335" s="135"/>
    </row>
    <row r="48336" spans="20:21" ht="15" customHeight="1" x14ac:dyDescent="0.25">
      <c r="T48336" s="135"/>
      <c r="U48336" s="135"/>
    </row>
    <row r="48337" spans="20:21" ht="15" customHeight="1" x14ac:dyDescent="0.25">
      <c r="T48337" s="135"/>
      <c r="U48337" s="135"/>
    </row>
    <row r="48338" spans="20:21" ht="15" customHeight="1" x14ac:dyDescent="0.25">
      <c r="T48338" s="135"/>
      <c r="U48338" s="135"/>
    </row>
    <row r="48339" spans="20:21" ht="15" customHeight="1" x14ac:dyDescent="0.25">
      <c r="T48339" s="135"/>
      <c r="U48339" s="135"/>
    </row>
    <row r="48340" spans="20:21" ht="15" customHeight="1" x14ac:dyDescent="0.25">
      <c r="T48340" s="135"/>
      <c r="U48340" s="135"/>
    </row>
    <row r="48341" spans="20:21" ht="15" customHeight="1" x14ac:dyDescent="0.25">
      <c r="T48341" s="135"/>
      <c r="U48341" s="135"/>
    </row>
    <row r="48342" spans="20:21" ht="15" customHeight="1" x14ac:dyDescent="0.25">
      <c r="T48342" s="135"/>
      <c r="U48342" s="135"/>
    </row>
    <row r="48343" spans="20:21" ht="15" customHeight="1" x14ac:dyDescent="0.25">
      <c r="T48343" s="135"/>
      <c r="U48343" s="135"/>
    </row>
    <row r="48344" spans="20:21" ht="15" customHeight="1" x14ac:dyDescent="0.25">
      <c r="T48344" s="135"/>
      <c r="U48344" s="135"/>
    </row>
    <row r="48345" spans="20:21" ht="15" customHeight="1" x14ac:dyDescent="0.25">
      <c r="T48345" s="135"/>
      <c r="U48345" s="135"/>
    </row>
    <row r="48346" spans="20:21" ht="15" customHeight="1" x14ac:dyDescent="0.25">
      <c r="T48346" s="135"/>
      <c r="U48346" s="135"/>
    </row>
    <row r="48347" spans="20:21" ht="15" customHeight="1" x14ac:dyDescent="0.25">
      <c r="T48347" s="135"/>
      <c r="U48347" s="135"/>
    </row>
    <row r="48348" spans="20:21" ht="15" customHeight="1" x14ac:dyDescent="0.25">
      <c r="T48348" s="135"/>
      <c r="U48348" s="135"/>
    </row>
    <row r="48349" spans="20:21" ht="15" customHeight="1" x14ac:dyDescent="0.25">
      <c r="T48349" s="135"/>
      <c r="U48349" s="135"/>
    </row>
    <row r="48350" spans="20:21" ht="15" customHeight="1" x14ac:dyDescent="0.25">
      <c r="T48350" s="135"/>
      <c r="U48350" s="135"/>
    </row>
    <row r="48351" spans="20:21" ht="15" customHeight="1" x14ac:dyDescent="0.25">
      <c r="T48351" s="135"/>
      <c r="U48351" s="135"/>
    </row>
    <row r="48352" spans="20:21" ht="15" customHeight="1" x14ac:dyDescent="0.25">
      <c r="T48352" s="135"/>
      <c r="U48352" s="135"/>
    </row>
    <row r="48353" spans="20:21" ht="15" customHeight="1" x14ac:dyDescent="0.25">
      <c r="T48353" s="135"/>
      <c r="U48353" s="135"/>
    </row>
    <row r="48354" spans="20:21" ht="15" customHeight="1" x14ac:dyDescent="0.25">
      <c r="T48354" s="135"/>
      <c r="U48354" s="135"/>
    </row>
    <row r="48355" spans="20:21" ht="15" customHeight="1" x14ac:dyDescent="0.25">
      <c r="T48355" s="135"/>
      <c r="U48355" s="135"/>
    </row>
    <row r="48356" spans="20:21" ht="15" customHeight="1" x14ac:dyDescent="0.25">
      <c r="T48356" s="135"/>
      <c r="U48356" s="135"/>
    </row>
    <row r="48357" spans="20:21" ht="15" customHeight="1" x14ac:dyDescent="0.25">
      <c r="T48357" s="135"/>
      <c r="U48357" s="135"/>
    </row>
    <row r="48358" spans="20:21" ht="15" customHeight="1" x14ac:dyDescent="0.25">
      <c r="T48358" s="135"/>
      <c r="U48358" s="135"/>
    </row>
    <row r="48359" spans="20:21" ht="15" customHeight="1" x14ac:dyDescent="0.25">
      <c r="T48359" s="135"/>
      <c r="U48359" s="135"/>
    </row>
    <row r="48360" spans="20:21" ht="15" customHeight="1" x14ac:dyDescent="0.25">
      <c r="T48360" s="135"/>
      <c r="U48360" s="135"/>
    </row>
    <row r="48361" spans="20:21" ht="15" customHeight="1" x14ac:dyDescent="0.25">
      <c r="T48361" s="135"/>
      <c r="U48361" s="135"/>
    </row>
    <row r="48362" spans="20:21" ht="15" customHeight="1" x14ac:dyDescent="0.25">
      <c r="T48362" s="135"/>
      <c r="U48362" s="135"/>
    </row>
    <row r="48363" spans="20:21" ht="15" customHeight="1" x14ac:dyDescent="0.25">
      <c r="T48363" s="135"/>
      <c r="U48363" s="135"/>
    </row>
    <row r="48364" spans="20:21" ht="15" customHeight="1" x14ac:dyDescent="0.25">
      <c r="T48364" s="135"/>
      <c r="U48364" s="135"/>
    </row>
    <row r="48365" spans="20:21" ht="15" customHeight="1" x14ac:dyDescent="0.25">
      <c r="T48365" s="135"/>
      <c r="U48365" s="135"/>
    </row>
    <row r="48366" spans="20:21" ht="15" customHeight="1" x14ac:dyDescent="0.25">
      <c r="T48366" s="135"/>
      <c r="U48366" s="135"/>
    </row>
    <row r="48367" spans="20:21" ht="15" customHeight="1" x14ac:dyDescent="0.25">
      <c r="T48367" s="135"/>
      <c r="U48367" s="135"/>
    </row>
    <row r="48368" spans="20:21" ht="15" customHeight="1" x14ac:dyDescent="0.25">
      <c r="T48368" s="135"/>
      <c r="U48368" s="135"/>
    </row>
    <row r="48369" spans="20:21" ht="15" customHeight="1" x14ac:dyDescent="0.25">
      <c r="T48369" s="135"/>
      <c r="U48369" s="135"/>
    </row>
    <row r="48370" spans="20:21" ht="15" customHeight="1" x14ac:dyDescent="0.25">
      <c r="T48370" s="135"/>
      <c r="U48370" s="135"/>
    </row>
    <row r="48371" spans="20:21" ht="15" customHeight="1" x14ac:dyDescent="0.25">
      <c r="T48371" s="135"/>
      <c r="U48371" s="135"/>
    </row>
    <row r="48372" spans="20:21" ht="15" customHeight="1" x14ac:dyDescent="0.25">
      <c r="T48372" s="135"/>
      <c r="U48372" s="135"/>
    </row>
    <row r="48373" spans="20:21" ht="15" customHeight="1" x14ac:dyDescent="0.25">
      <c r="T48373" s="135"/>
      <c r="U48373" s="135"/>
    </row>
    <row r="48374" spans="20:21" ht="15" customHeight="1" x14ac:dyDescent="0.25">
      <c r="T48374" s="135"/>
      <c r="U48374" s="135"/>
    </row>
    <row r="48375" spans="20:21" ht="15" customHeight="1" x14ac:dyDescent="0.25">
      <c r="T48375" s="135"/>
      <c r="U48375" s="135"/>
    </row>
    <row r="48376" spans="20:21" ht="15" customHeight="1" x14ac:dyDescent="0.25">
      <c r="T48376" s="135"/>
      <c r="U48376" s="135"/>
    </row>
    <row r="48377" spans="20:21" ht="15" customHeight="1" x14ac:dyDescent="0.25">
      <c r="T48377" s="135"/>
      <c r="U48377" s="135"/>
    </row>
    <row r="48378" spans="20:21" ht="15" customHeight="1" x14ac:dyDescent="0.25">
      <c r="T48378" s="135"/>
      <c r="U48378" s="135"/>
    </row>
    <row r="48379" spans="20:21" ht="15" customHeight="1" x14ac:dyDescent="0.25">
      <c r="T48379" s="135"/>
      <c r="U48379" s="135"/>
    </row>
    <row r="48380" spans="20:21" ht="15" customHeight="1" x14ac:dyDescent="0.25">
      <c r="T48380" s="135"/>
      <c r="U48380" s="135"/>
    </row>
    <row r="48381" spans="20:21" ht="15" customHeight="1" x14ac:dyDescent="0.25">
      <c r="T48381" s="135"/>
      <c r="U48381" s="135"/>
    </row>
    <row r="48382" spans="20:21" ht="15" customHeight="1" x14ac:dyDescent="0.25">
      <c r="T48382" s="135"/>
      <c r="U48382" s="135"/>
    </row>
    <row r="48383" spans="20:21" ht="15" customHeight="1" x14ac:dyDescent="0.25">
      <c r="T48383" s="135"/>
      <c r="U48383" s="135"/>
    </row>
    <row r="48384" spans="20:21" ht="15" customHeight="1" x14ac:dyDescent="0.25">
      <c r="T48384" s="135"/>
      <c r="U48384" s="135"/>
    </row>
    <row r="48385" spans="20:21" ht="15" customHeight="1" x14ac:dyDescent="0.25">
      <c r="T48385" s="135"/>
      <c r="U48385" s="135"/>
    </row>
    <row r="48386" spans="20:21" ht="15" customHeight="1" x14ac:dyDescent="0.25">
      <c r="T48386" s="135"/>
      <c r="U48386" s="135"/>
    </row>
    <row r="48387" spans="20:21" ht="15" customHeight="1" x14ac:dyDescent="0.25">
      <c r="T48387" s="135"/>
      <c r="U48387" s="135"/>
    </row>
    <row r="48388" spans="20:21" ht="15" customHeight="1" x14ac:dyDescent="0.25">
      <c r="T48388" s="135"/>
      <c r="U48388" s="135"/>
    </row>
    <row r="48389" spans="20:21" ht="15" customHeight="1" x14ac:dyDescent="0.25">
      <c r="T48389" s="135"/>
      <c r="U48389" s="135"/>
    </row>
    <row r="48390" spans="20:21" ht="15" customHeight="1" x14ac:dyDescent="0.25">
      <c r="T48390" s="135"/>
      <c r="U48390" s="135"/>
    </row>
    <row r="48391" spans="20:21" ht="15" customHeight="1" x14ac:dyDescent="0.25">
      <c r="T48391" s="135"/>
      <c r="U48391" s="135"/>
    </row>
    <row r="48392" spans="20:21" ht="15" customHeight="1" x14ac:dyDescent="0.25">
      <c r="T48392" s="135"/>
      <c r="U48392" s="135"/>
    </row>
    <row r="48393" spans="20:21" ht="15" customHeight="1" x14ac:dyDescent="0.25">
      <c r="T48393" s="135"/>
      <c r="U48393" s="135"/>
    </row>
    <row r="48394" spans="20:21" ht="15" customHeight="1" x14ac:dyDescent="0.25">
      <c r="T48394" s="135"/>
      <c r="U48394" s="135"/>
    </row>
    <row r="48395" spans="20:21" ht="15" customHeight="1" x14ac:dyDescent="0.25">
      <c r="T48395" s="135"/>
      <c r="U48395" s="135"/>
    </row>
    <row r="48396" spans="20:21" ht="15" customHeight="1" x14ac:dyDescent="0.25">
      <c r="T48396" s="135"/>
      <c r="U48396" s="135"/>
    </row>
    <row r="48397" spans="20:21" ht="15" customHeight="1" x14ac:dyDescent="0.25">
      <c r="T48397" s="135"/>
      <c r="U48397" s="135"/>
    </row>
    <row r="48398" spans="20:21" ht="15" customHeight="1" x14ac:dyDescent="0.25">
      <c r="T48398" s="135"/>
      <c r="U48398" s="135"/>
    </row>
    <row r="48399" spans="20:21" ht="15" customHeight="1" x14ac:dyDescent="0.25">
      <c r="T48399" s="135"/>
      <c r="U48399" s="135"/>
    </row>
    <row r="48400" spans="20:21" ht="15" customHeight="1" x14ac:dyDescent="0.25">
      <c r="T48400" s="135"/>
      <c r="U48400" s="135"/>
    </row>
    <row r="48401" spans="20:21" ht="15" customHeight="1" x14ac:dyDescent="0.25">
      <c r="T48401" s="135"/>
      <c r="U48401" s="135"/>
    </row>
    <row r="48402" spans="20:21" ht="15" customHeight="1" x14ac:dyDescent="0.25">
      <c r="T48402" s="135"/>
      <c r="U48402" s="135"/>
    </row>
    <row r="48403" spans="20:21" ht="15" customHeight="1" x14ac:dyDescent="0.25">
      <c r="T48403" s="135"/>
      <c r="U48403" s="135"/>
    </row>
    <row r="48404" spans="20:21" ht="15" customHeight="1" x14ac:dyDescent="0.25">
      <c r="T48404" s="135"/>
      <c r="U48404" s="135"/>
    </row>
    <row r="48405" spans="20:21" ht="15" customHeight="1" x14ac:dyDescent="0.25">
      <c r="T48405" s="135"/>
      <c r="U48405" s="135"/>
    </row>
    <row r="48406" spans="20:21" ht="15" customHeight="1" x14ac:dyDescent="0.25">
      <c r="T48406" s="135"/>
      <c r="U48406" s="135"/>
    </row>
    <row r="48407" spans="20:21" ht="15" customHeight="1" x14ac:dyDescent="0.25">
      <c r="T48407" s="135"/>
      <c r="U48407" s="135"/>
    </row>
    <row r="48408" spans="20:21" ht="15" customHeight="1" x14ac:dyDescent="0.25">
      <c r="T48408" s="135"/>
      <c r="U48408" s="135"/>
    </row>
    <row r="48409" spans="20:21" ht="15" customHeight="1" x14ac:dyDescent="0.25">
      <c r="T48409" s="135"/>
      <c r="U48409" s="135"/>
    </row>
    <row r="48410" spans="20:21" ht="15" customHeight="1" x14ac:dyDescent="0.25">
      <c r="T48410" s="135"/>
      <c r="U48410" s="135"/>
    </row>
    <row r="48411" spans="20:21" ht="15" customHeight="1" x14ac:dyDescent="0.25">
      <c r="T48411" s="135"/>
      <c r="U48411" s="135"/>
    </row>
    <row r="48412" spans="20:21" ht="15" customHeight="1" x14ac:dyDescent="0.25">
      <c r="T48412" s="135"/>
      <c r="U48412" s="135"/>
    </row>
    <row r="48413" spans="20:21" ht="15" customHeight="1" x14ac:dyDescent="0.25">
      <c r="T48413" s="135"/>
      <c r="U48413" s="135"/>
    </row>
    <row r="48414" spans="20:21" ht="15" customHeight="1" x14ac:dyDescent="0.25">
      <c r="T48414" s="135"/>
      <c r="U48414" s="135"/>
    </row>
    <row r="48415" spans="20:21" ht="15" customHeight="1" x14ac:dyDescent="0.25">
      <c r="T48415" s="135"/>
      <c r="U48415" s="135"/>
    </row>
    <row r="48416" spans="20:21" ht="15" customHeight="1" x14ac:dyDescent="0.25">
      <c r="T48416" s="135"/>
      <c r="U48416" s="135"/>
    </row>
    <row r="48417" spans="20:21" ht="15" customHeight="1" x14ac:dyDescent="0.25">
      <c r="T48417" s="135"/>
      <c r="U48417" s="135"/>
    </row>
    <row r="48418" spans="20:21" ht="15" customHeight="1" x14ac:dyDescent="0.25">
      <c r="T48418" s="135"/>
      <c r="U48418" s="135"/>
    </row>
    <row r="48419" spans="20:21" ht="15" customHeight="1" x14ac:dyDescent="0.25">
      <c r="T48419" s="135"/>
      <c r="U48419" s="135"/>
    </row>
    <row r="48420" spans="20:21" ht="15" customHeight="1" x14ac:dyDescent="0.25">
      <c r="T48420" s="135"/>
      <c r="U48420" s="135"/>
    </row>
    <row r="48421" spans="20:21" ht="15" customHeight="1" x14ac:dyDescent="0.25">
      <c r="T48421" s="135"/>
      <c r="U48421" s="135"/>
    </row>
    <row r="48422" spans="20:21" ht="15" customHeight="1" x14ac:dyDescent="0.25">
      <c r="T48422" s="135"/>
      <c r="U48422" s="135"/>
    </row>
    <row r="48423" spans="20:21" ht="15" customHeight="1" x14ac:dyDescent="0.25">
      <c r="T48423" s="135"/>
      <c r="U48423" s="135"/>
    </row>
    <row r="48424" spans="20:21" ht="15" customHeight="1" x14ac:dyDescent="0.25">
      <c r="T48424" s="135"/>
      <c r="U48424" s="135"/>
    </row>
    <row r="48425" spans="20:21" ht="15" customHeight="1" x14ac:dyDescent="0.25">
      <c r="T48425" s="135"/>
      <c r="U48425" s="135"/>
    </row>
    <row r="48426" spans="20:21" ht="15" customHeight="1" x14ac:dyDescent="0.25">
      <c r="T48426" s="135"/>
      <c r="U48426" s="135"/>
    </row>
    <row r="48427" spans="20:21" ht="15" customHeight="1" x14ac:dyDescent="0.25">
      <c r="T48427" s="135"/>
      <c r="U48427" s="135"/>
    </row>
    <row r="48428" spans="20:21" ht="15" customHeight="1" x14ac:dyDescent="0.25">
      <c r="T48428" s="135"/>
      <c r="U48428" s="135"/>
    </row>
    <row r="48429" spans="20:21" ht="15" customHeight="1" x14ac:dyDescent="0.25">
      <c r="T48429" s="135"/>
      <c r="U48429" s="135"/>
    </row>
    <row r="48430" spans="20:21" ht="15" customHeight="1" x14ac:dyDescent="0.25">
      <c r="T48430" s="135"/>
      <c r="U48430" s="135"/>
    </row>
    <row r="48431" spans="20:21" ht="15" customHeight="1" x14ac:dyDescent="0.25">
      <c r="T48431" s="135"/>
      <c r="U48431" s="135"/>
    </row>
    <row r="48432" spans="20:21" ht="15" customHeight="1" x14ac:dyDescent="0.25">
      <c r="T48432" s="135"/>
      <c r="U48432" s="135"/>
    </row>
    <row r="48433" spans="20:21" ht="15" customHeight="1" x14ac:dyDescent="0.25">
      <c r="T48433" s="135"/>
      <c r="U48433" s="135"/>
    </row>
    <row r="48434" spans="20:21" ht="15" customHeight="1" x14ac:dyDescent="0.25">
      <c r="T48434" s="135"/>
      <c r="U48434" s="135"/>
    </row>
    <row r="48435" spans="20:21" ht="15" customHeight="1" x14ac:dyDescent="0.25">
      <c r="T48435" s="135"/>
      <c r="U48435" s="135"/>
    </row>
    <row r="48436" spans="20:21" ht="15" customHeight="1" x14ac:dyDescent="0.25">
      <c r="T48436" s="135"/>
      <c r="U48436" s="135"/>
    </row>
    <row r="48437" spans="20:21" ht="15" customHeight="1" x14ac:dyDescent="0.25">
      <c r="T48437" s="135"/>
      <c r="U48437" s="135"/>
    </row>
    <row r="48438" spans="20:21" ht="15" customHeight="1" x14ac:dyDescent="0.25">
      <c r="T48438" s="135"/>
      <c r="U48438" s="135"/>
    </row>
    <row r="48439" spans="20:21" ht="15" customHeight="1" x14ac:dyDescent="0.25">
      <c r="T48439" s="135"/>
      <c r="U48439" s="135"/>
    </row>
    <row r="48440" spans="20:21" ht="15" customHeight="1" x14ac:dyDescent="0.25">
      <c r="T48440" s="135"/>
      <c r="U48440" s="135"/>
    </row>
    <row r="48441" spans="20:21" ht="15" customHeight="1" x14ac:dyDescent="0.25">
      <c r="T48441" s="135"/>
      <c r="U48441" s="135"/>
    </row>
    <row r="48442" spans="20:21" ht="15" customHeight="1" x14ac:dyDescent="0.25">
      <c r="T48442" s="135"/>
      <c r="U48442" s="135"/>
    </row>
    <row r="48443" spans="20:21" ht="15" customHeight="1" x14ac:dyDescent="0.25">
      <c r="T48443" s="135"/>
      <c r="U48443" s="135"/>
    </row>
    <row r="48444" spans="20:21" ht="15" customHeight="1" x14ac:dyDescent="0.25">
      <c r="T48444" s="135"/>
      <c r="U48444" s="135"/>
    </row>
    <row r="48445" spans="20:21" ht="15" customHeight="1" x14ac:dyDescent="0.25">
      <c r="T48445" s="135"/>
      <c r="U48445" s="135"/>
    </row>
    <row r="48446" spans="20:21" ht="15" customHeight="1" x14ac:dyDescent="0.25">
      <c r="T48446" s="135"/>
      <c r="U48446" s="135"/>
    </row>
    <row r="48447" spans="20:21" ht="15" customHeight="1" x14ac:dyDescent="0.25">
      <c r="T48447" s="135"/>
      <c r="U48447" s="135"/>
    </row>
    <row r="48448" spans="20:21" ht="15" customHeight="1" x14ac:dyDescent="0.25">
      <c r="T48448" s="135"/>
      <c r="U48448" s="135"/>
    </row>
    <row r="48449" spans="20:21" ht="15" customHeight="1" x14ac:dyDescent="0.25">
      <c r="T48449" s="135"/>
      <c r="U48449" s="135"/>
    </row>
    <row r="48450" spans="20:21" ht="15" customHeight="1" x14ac:dyDescent="0.25">
      <c r="T48450" s="135"/>
      <c r="U48450" s="135"/>
    </row>
    <row r="48451" spans="20:21" ht="15" customHeight="1" x14ac:dyDescent="0.25">
      <c r="T48451" s="135"/>
      <c r="U48451" s="135"/>
    </row>
    <row r="48452" spans="20:21" ht="15" customHeight="1" x14ac:dyDescent="0.25">
      <c r="T48452" s="135"/>
      <c r="U48452" s="135"/>
    </row>
    <row r="48453" spans="20:21" ht="15" customHeight="1" x14ac:dyDescent="0.25">
      <c r="T48453" s="135"/>
      <c r="U48453" s="135"/>
    </row>
    <row r="48454" spans="20:21" ht="15" customHeight="1" x14ac:dyDescent="0.25">
      <c r="T48454" s="135"/>
      <c r="U48454" s="135"/>
    </row>
    <row r="48455" spans="20:21" ht="15" customHeight="1" x14ac:dyDescent="0.25">
      <c r="T48455" s="135"/>
      <c r="U48455" s="135"/>
    </row>
    <row r="48456" spans="20:21" ht="15" customHeight="1" x14ac:dyDescent="0.25">
      <c r="T48456" s="135"/>
      <c r="U48456" s="135"/>
    </row>
    <row r="48457" spans="20:21" ht="15" customHeight="1" x14ac:dyDescent="0.25">
      <c r="T48457" s="135"/>
      <c r="U48457" s="135"/>
    </row>
    <row r="48458" spans="20:21" ht="15" customHeight="1" x14ac:dyDescent="0.25">
      <c r="T48458" s="135"/>
      <c r="U48458" s="135"/>
    </row>
    <row r="48459" spans="20:21" ht="15" customHeight="1" x14ac:dyDescent="0.25">
      <c r="T48459" s="135"/>
      <c r="U48459" s="135"/>
    </row>
    <row r="48460" spans="20:21" ht="15" customHeight="1" x14ac:dyDescent="0.25">
      <c r="T48460" s="135"/>
      <c r="U48460" s="135"/>
    </row>
    <row r="48461" spans="20:21" ht="15" customHeight="1" x14ac:dyDescent="0.25">
      <c r="T48461" s="135"/>
      <c r="U48461" s="135"/>
    </row>
    <row r="48462" spans="20:21" ht="15" customHeight="1" x14ac:dyDescent="0.25">
      <c r="T48462" s="135"/>
      <c r="U48462" s="135"/>
    </row>
    <row r="48463" spans="20:21" ht="15" customHeight="1" x14ac:dyDescent="0.25">
      <c r="T48463" s="135"/>
      <c r="U48463" s="135"/>
    </row>
    <row r="48464" spans="20:21" ht="15" customHeight="1" x14ac:dyDescent="0.25">
      <c r="T48464" s="135"/>
      <c r="U48464" s="135"/>
    </row>
    <row r="48465" spans="20:21" ht="15" customHeight="1" x14ac:dyDescent="0.25">
      <c r="T48465" s="135"/>
      <c r="U48465" s="135"/>
    </row>
    <row r="48466" spans="20:21" ht="15" customHeight="1" x14ac:dyDescent="0.25">
      <c r="T48466" s="135"/>
      <c r="U48466" s="135"/>
    </row>
    <row r="48467" spans="20:21" ht="15" customHeight="1" x14ac:dyDescent="0.25">
      <c r="T48467" s="135"/>
      <c r="U48467" s="135"/>
    </row>
    <row r="48468" spans="20:21" ht="15" customHeight="1" x14ac:dyDescent="0.25">
      <c r="T48468" s="135"/>
      <c r="U48468" s="135"/>
    </row>
    <row r="48469" spans="20:21" ht="15" customHeight="1" x14ac:dyDescent="0.25">
      <c r="T48469" s="135"/>
      <c r="U48469" s="135"/>
    </row>
    <row r="48470" spans="20:21" ht="15" customHeight="1" x14ac:dyDescent="0.25">
      <c r="T48470" s="135"/>
      <c r="U48470" s="135"/>
    </row>
    <row r="48471" spans="20:21" ht="15" customHeight="1" x14ac:dyDescent="0.25">
      <c r="T48471" s="135"/>
      <c r="U48471" s="135"/>
    </row>
    <row r="48472" spans="20:21" ht="15" customHeight="1" x14ac:dyDescent="0.25">
      <c r="T48472" s="135"/>
      <c r="U48472" s="135"/>
    </row>
    <row r="48473" spans="20:21" ht="15" customHeight="1" x14ac:dyDescent="0.25">
      <c r="T48473" s="135"/>
      <c r="U48473" s="135"/>
    </row>
    <row r="48474" spans="20:21" ht="15" customHeight="1" x14ac:dyDescent="0.25">
      <c r="T48474" s="135"/>
      <c r="U48474" s="135"/>
    </row>
    <row r="48475" spans="20:21" ht="15" customHeight="1" x14ac:dyDescent="0.25">
      <c r="T48475" s="135"/>
      <c r="U48475" s="135"/>
    </row>
    <row r="48476" spans="20:21" ht="15" customHeight="1" x14ac:dyDescent="0.25">
      <c r="T48476" s="135"/>
      <c r="U48476" s="135"/>
    </row>
    <row r="48477" spans="20:21" ht="15" customHeight="1" x14ac:dyDescent="0.25">
      <c r="T48477" s="135"/>
      <c r="U48477" s="135"/>
    </row>
    <row r="48478" spans="20:21" ht="15" customHeight="1" x14ac:dyDescent="0.25">
      <c r="T48478" s="135"/>
      <c r="U48478" s="135"/>
    </row>
    <row r="48479" spans="20:21" ht="15" customHeight="1" x14ac:dyDescent="0.25">
      <c r="T48479" s="135"/>
      <c r="U48479" s="135"/>
    </row>
    <row r="48480" spans="20:21" ht="15" customHeight="1" x14ac:dyDescent="0.25">
      <c r="T48480" s="135"/>
      <c r="U48480" s="135"/>
    </row>
    <row r="48481" spans="20:21" ht="15" customHeight="1" x14ac:dyDescent="0.25">
      <c r="T48481" s="135"/>
      <c r="U48481" s="135"/>
    </row>
    <row r="48482" spans="20:21" ht="15" customHeight="1" x14ac:dyDescent="0.25">
      <c r="T48482" s="135"/>
      <c r="U48482" s="135"/>
    </row>
    <row r="48483" spans="20:21" ht="15" customHeight="1" x14ac:dyDescent="0.25">
      <c r="T48483" s="135"/>
      <c r="U48483" s="135"/>
    </row>
    <row r="48484" spans="20:21" ht="15" customHeight="1" x14ac:dyDescent="0.25">
      <c r="T48484" s="135"/>
      <c r="U48484" s="135"/>
    </row>
    <row r="48485" spans="20:21" ht="15" customHeight="1" x14ac:dyDescent="0.25">
      <c r="T48485" s="135"/>
      <c r="U48485" s="135"/>
    </row>
    <row r="48486" spans="20:21" ht="15" customHeight="1" x14ac:dyDescent="0.25">
      <c r="T48486" s="135"/>
      <c r="U48486" s="135"/>
    </row>
    <row r="48487" spans="20:21" ht="15" customHeight="1" x14ac:dyDescent="0.25">
      <c r="T48487" s="135"/>
      <c r="U48487" s="135"/>
    </row>
    <row r="48488" spans="20:21" ht="15" customHeight="1" x14ac:dyDescent="0.25">
      <c r="T48488" s="135"/>
      <c r="U48488" s="135"/>
    </row>
    <row r="48489" spans="20:21" ht="15" customHeight="1" x14ac:dyDescent="0.25">
      <c r="T48489" s="135"/>
      <c r="U48489" s="135"/>
    </row>
    <row r="48490" spans="20:21" ht="15" customHeight="1" x14ac:dyDescent="0.25">
      <c r="T48490" s="135"/>
      <c r="U48490" s="135"/>
    </row>
    <row r="48491" spans="20:21" ht="15" customHeight="1" x14ac:dyDescent="0.25">
      <c r="T48491" s="135"/>
      <c r="U48491" s="135"/>
    </row>
    <row r="48492" spans="20:21" ht="15" customHeight="1" x14ac:dyDescent="0.25">
      <c r="T48492" s="135"/>
      <c r="U48492" s="135"/>
    </row>
    <row r="48493" spans="20:21" ht="15" customHeight="1" x14ac:dyDescent="0.25">
      <c r="T48493" s="135"/>
      <c r="U48493" s="135"/>
    </row>
    <row r="48494" spans="20:21" ht="15" customHeight="1" x14ac:dyDescent="0.25">
      <c r="T48494" s="135"/>
      <c r="U48494" s="135"/>
    </row>
    <row r="48495" spans="20:21" ht="15" customHeight="1" x14ac:dyDescent="0.25">
      <c r="T48495" s="135"/>
      <c r="U48495" s="135"/>
    </row>
    <row r="48496" spans="20:21" ht="15" customHeight="1" x14ac:dyDescent="0.25">
      <c r="T48496" s="135"/>
      <c r="U48496" s="135"/>
    </row>
    <row r="48497" spans="20:21" ht="15" customHeight="1" x14ac:dyDescent="0.25">
      <c r="T48497" s="135"/>
      <c r="U48497" s="135"/>
    </row>
    <row r="48498" spans="20:21" ht="15" customHeight="1" x14ac:dyDescent="0.25">
      <c r="T48498" s="135"/>
      <c r="U48498" s="135"/>
    </row>
    <row r="48499" spans="20:21" ht="15" customHeight="1" x14ac:dyDescent="0.25">
      <c r="T48499" s="135"/>
      <c r="U48499" s="135"/>
    </row>
    <row r="48500" spans="20:21" ht="15" customHeight="1" x14ac:dyDescent="0.25">
      <c r="T48500" s="135"/>
      <c r="U48500" s="135"/>
    </row>
    <row r="48501" spans="20:21" ht="15" customHeight="1" x14ac:dyDescent="0.25">
      <c r="T48501" s="135"/>
      <c r="U48501" s="135"/>
    </row>
    <row r="48502" spans="20:21" ht="15" customHeight="1" x14ac:dyDescent="0.25">
      <c r="T48502" s="135"/>
      <c r="U48502" s="135"/>
    </row>
    <row r="48503" spans="20:21" ht="15" customHeight="1" x14ac:dyDescent="0.25">
      <c r="T48503" s="135"/>
      <c r="U48503" s="135"/>
    </row>
    <row r="48504" spans="20:21" ht="15" customHeight="1" x14ac:dyDescent="0.25">
      <c r="T48504" s="135"/>
      <c r="U48504" s="135"/>
    </row>
    <row r="48505" spans="20:21" ht="15" customHeight="1" x14ac:dyDescent="0.25">
      <c r="T48505" s="135"/>
      <c r="U48505" s="135"/>
    </row>
    <row r="48506" spans="20:21" ht="15" customHeight="1" x14ac:dyDescent="0.25">
      <c r="T48506" s="135"/>
      <c r="U48506" s="135"/>
    </row>
    <row r="48507" spans="20:21" ht="15" customHeight="1" x14ac:dyDescent="0.25">
      <c r="T48507" s="135"/>
      <c r="U48507" s="135"/>
    </row>
    <row r="48508" spans="20:21" ht="15" customHeight="1" x14ac:dyDescent="0.25">
      <c r="T48508" s="135"/>
      <c r="U48508" s="135"/>
    </row>
    <row r="48509" spans="20:21" ht="15" customHeight="1" x14ac:dyDescent="0.25">
      <c r="T48509" s="135"/>
      <c r="U48509" s="135"/>
    </row>
    <row r="48510" spans="20:21" ht="15" customHeight="1" x14ac:dyDescent="0.25">
      <c r="T48510" s="135"/>
      <c r="U48510" s="135"/>
    </row>
    <row r="48511" spans="20:21" ht="15" customHeight="1" x14ac:dyDescent="0.25">
      <c r="T48511" s="135"/>
      <c r="U48511" s="135"/>
    </row>
    <row r="48512" spans="20:21" ht="15" customHeight="1" x14ac:dyDescent="0.25">
      <c r="T48512" s="135"/>
      <c r="U48512" s="135"/>
    </row>
    <row r="48513" spans="20:21" ht="15" customHeight="1" x14ac:dyDescent="0.25">
      <c r="T48513" s="135"/>
      <c r="U48513" s="135"/>
    </row>
    <row r="48514" spans="20:21" ht="15" customHeight="1" x14ac:dyDescent="0.25">
      <c r="T48514" s="135"/>
      <c r="U48514" s="135"/>
    </row>
    <row r="48515" spans="20:21" ht="15" customHeight="1" x14ac:dyDescent="0.25">
      <c r="T48515" s="135"/>
      <c r="U48515" s="135"/>
    </row>
    <row r="48516" spans="20:21" ht="15" customHeight="1" x14ac:dyDescent="0.25">
      <c r="T48516" s="135"/>
      <c r="U48516" s="135"/>
    </row>
    <row r="48517" spans="20:21" ht="15" customHeight="1" x14ac:dyDescent="0.25">
      <c r="T48517" s="135"/>
      <c r="U48517" s="135"/>
    </row>
    <row r="48518" spans="20:21" ht="15" customHeight="1" x14ac:dyDescent="0.25">
      <c r="T48518" s="135"/>
      <c r="U48518" s="135"/>
    </row>
    <row r="48519" spans="20:21" ht="15" customHeight="1" x14ac:dyDescent="0.25">
      <c r="T48519" s="135"/>
      <c r="U48519" s="135"/>
    </row>
    <row r="48520" spans="20:21" ht="15" customHeight="1" x14ac:dyDescent="0.25">
      <c r="T48520" s="135"/>
      <c r="U48520" s="135"/>
    </row>
    <row r="48521" spans="20:21" ht="15" customHeight="1" x14ac:dyDescent="0.25">
      <c r="T48521" s="135"/>
      <c r="U48521" s="135"/>
    </row>
    <row r="48522" spans="20:21" ht="15" customHeight="1" x14ac:dyDescent="0.25">
      <c r="T48522" s="135"/>
      <c r="U48522" s="135"/>
    </row>
    <row r="48523" spans="20:21" ht="15" customHeight="1" x14ac:dyDescent="0.25">
      <c r="T48523" s="135"/>
      <c r="U48523" s="135"/>
    </row>
    <row r="48524" spans="20:21" ht="15" customHeight="1" x14ac:dyDescent="0.25">
      <c r="T48524" s="135"/>
      <c r="U48524" s="135"/>
    </row>
    <row r="48525" spans="20:21" ht="15" customHeight="1" x14ac:dyDescent="0.25">
      <c r="T48525" s="135"/>
      <c r="U48525" s="135"/>
    </row>
    <row r="48526" spans="20:21" ht="15" customHeight="1" x14ac:dyDescent="0.25">
      <c r="T48526" s="135"/>
      <c r="U48526" s="135"/>
    </row>
    <row r="48527" spans="20:21" ht="15" customHeight="1" x14ac:dyDescent="0.25">
      <c r="T48527" s="135"/>
      <c r="U48527" s="135"/>
    </row>
    <row r="48528" spans="20:21" ht="15" customHeight="1" x14ac:dyDescent="0.25">
      <c r="T48528" s="135"/>
      <c r="U48528" s="135"/>
    </row>
    <row r="48529" spans="20:21" ht="15" customHeight="1" x14ac:dyDescent="0.25">
      <c r="T48529" s="135"/>
      <c r="U48529" s="135"/>
    </row>
    <row r="48530" spans="20:21" ht="15" customHeight="1" x14ac:dyDescent="0.25">
      <c r="T48530" s="135"/>
      <c r="U48530" s="135"/>
    </row>
    <row r="48531" spans="20:21" ht="15" customHeight="1" x14ac:dyDescent="0.25">
      <c r="T48531" s="135"/>
      <c r="U48531" s="135"/>
    </row>
    <row r="48532" spans="20:21" ht="15" customHeight="1" x14ac:dyDescent="0.25">
      <c r="T48532" s="135"/>
      <c r="U48532" s="135"/>
    </row>
    <row r="48533" spans="20:21" ht="15" customHeight="1" x14ac:dyDescent="0.25">
      <c r="T48533" s="135"/>
      <c r="U48533" s="135"/>
    </row>
    <row r="48534" spans="20:21" ht="15" customHeight="1" x14ac:dyDescent="0.25">
      <c r="T48534" s="135"/>
      <c r="U48534" s="135"/>
    </row>
    <row r="48535" spans="20:21" ht="15" customHeight="1" x14ac:dyDescent="0.25">
      <c r="T48535" s="135"/>
      <c r="U48535" s="135"/>
    </row>
    <row r="48536" spans="20:21" ht="15" customHeight="1" x14ac:dyDescent="0.25">
      <c r="T48536" s="135"/>
      <c r="U48536" s="135"/>
    </row>
    <row r="48537" spans="20:21" ht="15" customHeight="1" x14ac:dyDescent="0.25">
      <c r="T48537" s="135"/>
      <c r="U48537" s="135"/>
    </row>
    <row r="48538" spans="20:21" ht="15" customHeight="1" x14ac:dyDescent="0.25">
      <c r="T48538" s="135"/>
      <c r="U48538" s="135"/>
    </row>
    <row r="48539" spans="20:21" ht="15" customHeight="1" x14ac:dyDescent="0.25">
      <c r="T48539" s="135"/>
      <c r="U48539" s="135"/>
    </row>
    <row r="48540" spans="20:21" ht="15" customHeight="1" x14ac:dyDescent="0.25">
      <c r="T48540" s="135"/>
      <c r="U48540" s="135"/>
    </row>
    <row r="48541" spans="20:21" ht="15" customHeight="1" x14ac:dyDescent="0.25">
      <c r="T48541" s="135"/>
      <c r="U48541" s="135"/>
    </row>
    <row r="48542" spans="20:21" ht="15" customHeight="1" x14ac:dyDescent="0.25">
      <c r="T48542" s="135"/>
      <c r="U48542" s="135"/>
    </row>
    <row r="48543" spans="20:21" ht="15" customHeight="1" x14ac:dyDescent="0.25">
      <c r="T48543" s="135"/>
      <c r="U48543" s="135"/>
    </row>
    <row r="48544" spans="20:21" ht="15" customHeight="1" x14ac:dyDescent="0.25">
      <c r="T48544" s="135"/>
      <c r="U48544" s="135"/>
    </row>
    <row r="48545" spans="20:21" ht="15" customHeight="1" x14ac:dyDescent="0.25">
      <c r="T48545" s="135"/>
      <c r="U48545" s="135"/>
    </row>
    <row r="48546" spans="20:21" ht="15" customHeight="1" x14ac:dyDescent="0.25">
      <c r="T48546" s="135"/>
      <c r="U48546" s="135"/>
    </row>
    <row r="48547" spans="20:21" ht="15" customHeight="1" x14ac:dyDescent="0.25">
      <c r="T48547" s="135"/>
      <c r="U48547" s="135"/>
    </row>
    <row r="48548" spans="20:21" ht="15" customHeight="1" x14ac:dyDescent="0.25">
      <c r="T48548" s="135"/>
      <c r="U48548" s="135"/>
    </row>
    <row r="48549" spans="20:21" ht="15" customHeight="1" x14ac:dyDescent="0.25">
      <c r="T48549" s="135"/>
      <c r="U48549" s="135"/>
    </row>
    <row r="48550" spans="20:21" ht="15" customHeight="1" x14ac:dyDescent="0.25">
      <c r="T48550" s="135"/>
      <c r="U48550" s="135"/>
    </row>
    <row r="48551" spans="20:21" ht="15" customHeight="1" x14ac:dyDescent="0.25">
      <c r="T48551" s="135"/>
      <c r="U48551" s="135"/>
    </row>
    <row r="48552" spans="20:21" ht="15" customHeight="1" x14ac:dyDescent="0.25">
      <c r="T48552" s="135"/>
      <c r="U48552" s="135"/>
    </row>
    <row r="48553" spans="20:21" ht="15" customHeight="1" x14ac:dyDescent="0.25">
      <c r="T48553" s="135"/>
      <c r="U48553" s="135"/>
    </row>
    <row r="48554" spans="20:21" ht="15" customHeight="1" x14ac:dyDescent="0.25">
      <c r="T48554" s="135"/>
      <c r="U48554" s="135"/>
    </row>
    <row r="48555" spans="20:21" ht="15" customHeight="1" x14ac:dyDescent="0.25">
      <c r="T48555" s="135"/>
      <c r="U48555" s="135"/>
    </row>
    <row r="48556" spans="20:21" ht="15" customHeight="1" x14ac:dyDescent="0.25">
      <c r="T48556" s="135"/>
      <c r="U48556" s="135"/>
    </row>
    <row r="48557" spans="20:21" ht="15" customHeight="1" x14ac:dyDescent="0.25">
      <c r="T48557" s="135"/>
      <c r="U48557" s="135"/>
    </row>
    <row r="48558" spans="20:21" ht="15" customHeight="1" x14ac:dyDescent="0.25">
      <c r="T48558" s="135"/>
      <c r="U48558" s="135"/>
    </row>
    <row r="48559" spans="20:21" ht="15" customHeight="1" x14ac:dyDescent="0.25">
      <c r="T48559" s="135"/>
      <c r="U48559" s="135"/>
    </row>
    <row r="48560" spans="20:21" ht="15" customHeight="1" x14ac:dyDescent="0.25">
      <c r="T48560" s="135"/>
      <c r="U48560" s="135"/>
    </row>
    <row r="48561" spans="20:21" ht="15" customHeight="1" x14ac:dyDescent="0.25">
      <c r="T48561" s="135"/>
      <c r="U48561" s="135"/>
    </row>
    <row r="48562" spans="20:21" ht="15" customHeight="1" x14ac:dyDescent="0.25">
      <c r="T48562" s="135"/>
      <c r="U48562" s="135"/>
    </row>
    <row r="48563" spans="20:21" ht="15" customHeight="1" x14ac:dyDescent="0.25">
      <c r="T48563" s="135"/>
      <c r="U48563" s="135"/>
    </row>
    <row r="48564" spans="20:21" ht="15" customHeight="1" x14ac:dyDescent="0.25">
      <c r="T48564" s="135"/>
      <c r="U48564" s="135"/>
    </row>
    <row r="48565" spans="20:21" ht="15" customHeight="1" x14ac:dyDescent="0.25">
      <c r="T48565" s="135"/>
      <c r="U48565" s="135"/>
    </row>
    <row r="48566" spans="20:21" ht="15" customHeight="1" x14ac:dyDescent="0.25">
      <c r="T48566" s="135"/>
      <c r="U48566" s="135"/>
    </row>
    <row r="48567" spans="20:21" ht="15" customHeight="1" x14ac:dyDescent="0.25">
      <c r="T48567" s="135"/>
      <c r="U48567" s="135"/>
    </row>
    <row r="48568" spans="20:21" ht="15" customHeight="1" x14ac:dyDescent="0.25">
      <c r="T48568" s="135"/>
      <c r="U48568" s="135"/>
    </row>
    <row r="48569" spans="20:21" ht="15" customHeight="1" x14ac:dyDescent="0.25">
      <c r="T48569" s="135"/>
      <c r="U48569" s="135"/>
    </row>
    <row r="48570" spans="20:21" ht="15" customHeight="1" x14ac:dyDescent="0.25">
      <c r="T48570" s="135"/>
      <c r="U48570" s="135"/>
    </row>
    <row r="48571" spans="20:21" ht="15" customHeight="1" x14ac:dyDescent="0.25">
      <c r="T48571" s="135"/>
      <c r="U48571" s="135"/>
    </row>
    <row r="48572" spans="20:21" ht="15" customHeight="1" x14ac:dyDescent="0.25">
      <c r="T48572" s="135"/>
      <c r="U48572" s="135"/>
    </row>
    <row r="48573" spans="20:21" ht="15" customHeight="1" x14ac:dyDescent="0.25">
      <c r="T48573" s="135"/>
      <c r="U48573" s="135"/>
    </row>
    <row r="48574" spans="20:21" ht="15" customHeight="1" x14ac:dyDescent="0.25">
      <c r="T48574" s="135"/>
      <c r="U48574" s="135"/>
    </row>
    <row r="48575" spans="20:21" ht="15" customHeight="1" x14ac:dyDescent="0.25">
      <c r="T48575" s="135"/>
      <c r="U48575" s="135"/>
    </row>
    <row r="48576" spans="20:21" ht="15" customHeight="1" x14ac:dyDescent="0.25">
      <c r="T48576" s="135"/>
      <c r="U48576" s="135"/>
    </row>
    <row r="48577" spans="20:21" ht="15" customHeight="1" x14ac:dyDescent="0.25">
      <c r="T48577" s="135"/>
      <c r="U48577" s="135"/>
    </row>
    <row r="48578" spans="20:21" ht="15" customHeight="1" x14ac:dyDescent="0.25">
      <c r="T48578" s="135"/>
      <c r="U48578" s="135"/>
    </row>
    <row r="48579" spans="20:21" ht="15" customHeight="1" x14ac:dyDescent="0.25">
      <c r="T48579" s="135"/>
      <c r="U48579" s="135"/>
    </row>
    <row r="48580" spans="20:21" ht="15" customHeight="1" x14ac:dyDescent="0.25">
      <c r="T48580" s="135"/>
      <c r="U48580" s="135"/>
    </row>
    <row r="48581" spans="20:21" ht="15" customHeight="1" x14ac:dyDescent="0.25">
      <c r="T48581" s="135"/>
      <c r="U48581" s="135"/>
    </row>
    <row r="48582" spans="20:21" ht="15" customHeight="1" x14ac:dyDescent="0.25">
      <c r="T48582" s="135"/>
      <c r="U48582" s="135"/>
    </row>
    <row r="48583" spans="20:21" ht="15" customHeight="1" x14ac:dyDescent="0.25">
      <c r="T48583" s="135"/>
      <c r="U48583" s="135"/>
    </row>
    <row r="48584" spans="20:21" ht="15" customHeight="1" x14ac:dyDescent="0.25">
      <c r="T48584" s="135"/>
      <c r="U48584" s="135"/>
    </row>
    <row r="48585" spans="20:21" ht="15" customHeight="1" x14ac:dyDescent="0.25">
      <c r="T48585" s="135"/>
      <c r="U48585" s="135"/>
    </row>
    <row r="48586" spans="20:21" ht="15" customHeight="1" x14ac:dyDescent="0.25">
      <c r="T48586" s="135"/>
      <c r="U48586" s="135"/>
    </row>
    <row r="48587" spans="20:21" ht="15" customHeight="1" x14ac:dyDescent="0.25">
      <c r="T48587" s="135"/>
      <c r="U48587" s="135"/>
    </row>
    <row r="48588" spans="20:21" ht="15" customHeight="1" x14ac:dyDescent="0.25">
      <c r="T48588" s="135"/>
      <c r="U48588" s="135"/>
    </row>
    <row r="48589" spans="20:21" ht="15" customHeight="1" x14ac:dyDescent="0.25">
      <c r="T48589" s="135"/>
      <c r="U48589" s="135"/>
    </row>
    <row r="48590" spans="20:21" ht="15" customHeight="1" x14ac:dyDescent="0.25">
      <c r="T48590" s="135"/>
      <c r="U48590" s="135"/>
    </row>
    <row r="48591" spans="20:21" ht="15" customHeight="1" x14ac:dyDescent="0.25">
      <c r="T48591" s="135"/>
      <c r="U48591" s="135"/>
    </row>
    <row r="48592" spans="20:21" ht="15" customHeight="1" x14ac:dyDescent="0.25">
      <c r="T48592" s="135"/>
      <c r="U48592" s="135"/>
    </row>
    <row r="48593" spans="20:21" ht="15" customHeight="1" x14ac:dyDescent="0.25">
      <c r="T48593" s="135"/>
      <c r="U48593" s="135"/>
    </row>
    <row r="48594" spans="20:21" ht="15" customHeight="1" x14ac:dyDescent="0.25">
      <c r="T48594" s="135"/>
      <c r="U48594" s="135"/>
    </row>
    <row r="48595" spans="20:21" ht="15" customHeight="1" x14ac:dyDescent="0.25">
      <c r="T48595" s="135"/>
      <c r="U48595" s="135"/>
    </row>
    <row r="48596" spans="20:21" ht="15" customHeight="1" x14ac:dyDescent="0.25">
      <c r="T48596" s="135"/>
      <c r="U48596" s="135"/>
    </row>
    <row r="48597" spans="20:21" ht="15" customHeight="1" x14ac:dyDescent="0.25">
      <c r="T48597" s="135"/>
      <c r="U48597" s="135"/>
    </row>
    <row r="48598" spans="20:21" ht="15" customHeight="1" x14ac:dyDescent="0.25">
      <c r="T48598" s="135"/>
      <c r="U48598" s="135"/>
    </row>
    <row r="48599" spans="20:21" ht="15" customHeight="1" x14ac:dyDescent="0.25">
      <c r="T48599" s="135"/>
      <c r="U48599" s="135"/>
    </row>
    <row r="48600" spans="20:21" ht="15" customHeight="1" x14ac:dyDescent="0.25">
      <c r="T48600" s="135"/>
      <c r="U48600" s="135"/>
    </row>
    <row r="48601" spans="20:21" ht="15" customHeight="1" x14ac:dyDescent="0.25">
      <c r="T48601" s="135"/>
      <c r="U48601" s="135"/>
    </row>
    <row r="48602" spans="20:21" ht="15" customHeight="1" x14ac:dyDescent="0.25">
      <c r="T48602" s="135"/>
      <c r="U48602" s="135"/>
    </row>
    <row r="48603" spans="20:21" ht="15" customHeight="1" x14ac:dyDescent="0.25">
      <c r="T48603" s="135"/>
      <c r="U48603" s="135"/>
    </row>
    <row r="48604" spans="20:21" ht="15" customHeight="1" x14ac:dyDescent="0.25">
      <c r="T48604" s="135"/>
      <c r="U48604" s="135"/>
    </row>
    <row r="48605" spans="20:21" ht="15" customHeight="1" x14ac:dyDescent="0.25">
      <c r="T48605" s="135"/>
      <c r="U48605" s="135"/>
    </row>
    <row r="48606" spans="20:21" ht="15" customHeight="1" x14ac:dyDescent="0.25">
      <c r="T48606" s="135"/>
      <c r="U48606" s="135"/>
    </row>
    <row r="48607" spans="20:21" ht="15" customHeight="1" x14ac:dyDescent="0.25">
      <c r="T48607" s="135"/>
      <c r="U48607" s="135"/>
    </row>
    <row r="48608" spans="20:21" ht="15" customHeight="1" x14ac:dyDescent="0.25">
      <c r="T48608" s="135"/>
      <c r="U48608" s="135"/>
    </row>
    <row r="48609" spans="20:21" ht="15" customHeight="1" x14ac:dyDescent="0.25">
      <c r="T48609" s="135"/>
      <c r="U48609" s="135"/>
    </row>
    <row r="48610" spans="20:21" ht="15" customHeight="1" x14ac:dyDescent="0.25">
      <c r="T48610" s="135"/>
      <c r="U48610" s="135"/>
    </row>
    <row r="48611" spans="20:21" ht="15" customHeight="1" x14ac:dyDescent="0.25">
      <c r="T48611" s="135"/>
      <c r="U48611" s="135"/>
    </row>
    <row r="48612" spans="20:21" ht="15" customHeight="1" x14ac:dyDescent="0.25">
      <c r="T48612" s="135"/>
      <c r="U48612" s="135"/>
    </row>
    <row r="48613" spans="20:21" ht="15" customHeight="1" x14ac:dyDescent="0.25">
      <c r="T48613" s="135"/>
      <c r="U48613" s="135"/>
    </row>
    <row r="48614" spans="20:21" ht="15" customHeight="1" x14ac:dyDescent="0.25">
      <c r="T48614" s="135"/>
      <c r="U48614" s="135"/>
    </row>
    <row r="48615" spans="20:21" ht="15" customHeight="1" x14ac:dyDescent="0.25">
      <c r="T48615" s="135"/>
      <c r="U48615" s="135"/>
    </row>
    <row r="48616" spans="20:21" ht="15" customHeight="1" x14ac:dyDescent="0.25">
      <c r="T48616" s="135"/>
      <c r="U48616" s="135"/>
    </row>
    <row r="48617" spans="20:21" ht="15" customHeight="1" x14ac:dyDescent="0.25">
      <c r="T48617" s="135"/>
      <c r="U48617" s="135"/>
    </row>
    <row r="48618" spans="20:21" ht="15" customHeight="1" x14ac:dyDescent="0.25">
      <c r="T48618" s="135"/>
      <c r="U48618" s="135"/>
    </row>
    <row r="48619" spans="20:21" ht="15" customHeight="1" x14ac:dyDescent="0.25">
      <c r="T48619" s="135"/>
      <c r="U48619" s="135"/>
    </row>
    <row r="48620" spans="20:21" ht="15" customHeight="1" x14ac:dyDescent="0.25">
      <c r="T48620" s="135"/>
      <c r="U48620" s="135"/>
    </row>
    <row r="48621" spans="20:21" ht="15" customHeight="1" x14ac:dyDescent="0.25">
      <c r="T48621" s="135"/>
      <c r="U48621" s="135"/>
    </row>
    <row r="48622" spans="20:21" ht="15" customHeight="1" x14ac:dyDescent="0.25">
      <c r="T48622" s="135"/>
      <c r="U48622" s="135"/>
    </row>
    <row r="48623" spans="20:21" ht="15" customHeight="1" x14ac:dyDescent="0.25">
      <c r="T48623" s="135"/>
      <c r="U48623" s="135"/>
    </row>
    <row r="48624" spans="20:21" ht="15" customHeight="1" x14ac:dyDescent="0.25">
      <c r="T48624" s="135"/>
      <c r="U48624" s="135"/>
    </row>
    <row r="48625" spans="20:21" ht="15" customHeight="1" x14ac:dyDescent="0.25">
      <c r="T48625" s="135"/>
      <c r="U48625" s="135"/>
    </row>
    <row r="48626" spans="20:21" ht="15" customHeight="1" x14ac:dyDescent="0.25">
      <c r="T48626" s="135"/>
      <c r="U48626" s="135"/>
    </row>
    <row r="48627" spans="20:21" ht="15" customHeight="1" x14ac:dyDescent="0.25">
      <c r="T48627" s="135"/>
      <c r="U48627" s="135"/>
    </row>
    <row r="48628" spans="20:21" ht="15" customHeight="1" x14ac:dyDescent="0.25">
      <c r="T48628" s="135"/>
      <c r="U48628" s="135"/>
    </row>
    <row r="48629" spans="20:21" ht="15" customHeight="1" x14ac:dyDescent="0.25">
      <c r="T48629" s="135"/>
      <c r="U48629" s="135"/>
    </row>
    <row r="48630" spans="20:21" ht="15" customHeight="1" x14ac:dyDescent="0.25">
      <c r="T48630" s="135"/>
      <c r="U48630" s="135"/>
    </row>
    <row r="48631" spans="20:21" ht="15" customHeight="1" x14ac:dyDescent="0.25">
      <c r="T48631" s="135"/>
      <c r="U48631" s="135"/>
    </row>
    <row r="48632" spans="20:21" ht="15" customHeight="1" x14ac:dyDescent="0.25">
      <c r="T48632" s="135"/>
      <c r="U48632" s="135"/>
    </row>
    <row r="48633" spans="20:21" ht="15" customHeight="1" x14ac:dyDescent="0.25">
      <c r="T48633" s="135"/>
      <c r="U48633" s="135"/>
    </row>
    <row r="48634" spans="20:21" ht="15" customHeight="1" x14ac:dyDescent="0.25">
      <c r="T48634" s="135"/>
      <c r="U48634" s="135"/>
    </row>
    <row r="48635" spans="20:21" ht="15" customHeight="1" x14ac:dyDescent="0.25">
      <c r="T48635" s="135"/>
      <c r="U48635" s="135"/>
    </row>
    <row r="48636" spans="20:21" ht="15" customHeight="1" x14ac:dyDescent="0.25">
      <c r="T48636" s="135"/>
      <c r="U48636" s="135"/>
    </row>
    <row r="48637" spans="20:21" ht="15" customHeight="1" x14ac:dyDescent="0.25">
      <c r="T48637" s="135"/>
      <c r="U48637" s="135"/>
    </row>
    <row r="48638" spans="20:21" ht="15" customHeight="1" x14ac:dyDescent="0.25">
      <c r="T48638" s="135"/>
      <c r="U48638" s="135"/>
    </row>
    <row r="48639" spans="20:21" ht="15" customHeight="1" x14ac:dyDescent="0.25">
      <c r="T48639" s="135"/>
      <c r="U48639" s="135"/>
    </row>
    <row r="48640" spans="20:21" ht="15" customHeight="1" x14ac:dyDescent="0.25">
      <c r="T48640" s="135"/>
      <c r="U48640" s="135"/>
    </row>
    <row r="48641" spans="20:21" ht="15" customHeight="1" x14ac:dyDescent="0.25">
      <c r="T48641" s="135"/>
      <c r="U48641" s="135"/>
    </row>
    <row r="48642" spans="20:21" ht="15" customHeight="1" x14ac:dyDescent="0.25">
      <c r="T48642" s="135"/>
      <c r="U48642" s="135"/>
    </row>
    <row r="48643" spans="20:21" ht="15" customHeight="1" x14ac:dyDescent="0.25">
      <c r="T48643" s="135"/>
      <c r="U48643" s="135"/>
    </row>
    <row r="48644" spans="20:21" ht="15" customHeight="1" x14ac:dyDescent="0.25">
      <c r="T48644" s="135"/>
      <c r="U48644" s="135"/>
    </row>
    <row r="48645" spans="20:21" ht="15" customHeight="1" x14ac:dyDescent="0.25">
      <c r="T48645" s="135"/>
      <c r="U48645" s="135"/>
    </row>
    <row r="48646" spans="20:21" ht="15" customHeight="1" x14ac:dyDescent="0.25">
      <c r="T48646" s="135"/>
      <c r="U48646" s="135"/>
    </row>
    <row r="48647" spans="20:21" ht="15" customHeight="1" x14ac:dyDescent="0.25">
      <c r="T48647" s="135"/>
      <c r="U48647" s="135"/>
    </row>
    <row r="48648" spans="20:21" ht="15" customHeight="1" x14ac:dyDescent="0.25">
      <c r="T48648" s="135"/>
      <c r="U48648" s="135"/>
    </row>
    <row r="48649" spans="20:21" ht="15" customHeight="1" x14ac:dyDescent="0.25">
      <c r="T48649" s="135"/>
      <c r="U48649" s="135"/>
    </row>
    <row r="48650" spans="20:21" ht="15" customHeight="1" x14ac:dyDescent="0.25">
      <c r="T48650" s="135"/>
      <c r="U48650" s="135"/>
    </row>
    <row r="48651" spans="20:21" ht="15" customHeight="1" x14ac:dyDescent="0.25">
      <c r="T48651" s="135"/>
      <c r="U48651" s="135"/>
    </row>
    <row r="48652" spans="20:21" ht="15" customHeight="1" x14ac:dyDescent="0.25">
      <c r="T48652" s="135"/>
      <c r="U48652" s="135"/>
    </row>
    <row r="48653" spans="20:21" ht="15" customHeight="1" x14ac:dyDescent="0.25">
      <c r="T48653" s="135"/>
      <c r="U48653" s="135"/>
    </row>
    <row r="48654" spans="20:21" ht="15" customHeight="1" x14ac:dyDescent="0.25">
      <c r="T48654" s="135"/>
      <c r="U48654" s="135"/>
    </row>
    <row r="48655" spans="20:21" ht="15" customHeight="1" x14ac:dyDescent="0.25">
      <c r="T48655" s="135"/>
      <c r="U48655" s="135"/>
    </row>
    <row r="48656" spans="20:21" ht="15" customHeight="1" x14ac:dyDescent="0.25">
      <c r="T48656" s="135"/>
      <c r="U48656" s="135"/>
    </row>
    <row r="48657" spans="20:21" ht="15" customHeight="1" x14ac:dyDescent="0.25">
      <c r="T48657" s="135"/>
      <c r="U48657" s="135"/>
    </row>
    <row r="48658" spans="20:21" ht="15" customHeight="1" x14ac:dyDescent="0.25">
      <c r="T48658" s="135"/>
      <c r="U48658" s="135"/>
    </row>
    <row r="48659" spans="20:21" ht="15" customHeight="1" x14ac:dyDescent="0.25">
      <c r="T48659" s="135"/>
      <c r="U48659" s="135"/>
    </row>
    <row r="48660" spans="20:21" ht="15" customHeight="1" x14ac:dyDescent="0.25">
      <c r="T48660" s="135"/>
      <c r="U48660" s="135"/>
    </row>
    <row r="48661" spans="20:21" ht="15" customHeight="1" x14ac:dyDescent="0.25">
      <c r="T48661" s="135"/>
      <c r="U48661" s="135"/>
    </row>
    <row r="48662" spans="20:21" ht="15" customHeight="1" x14ac:dyDescent="0.25">
      <c r="T48662" s="135"/>
      <c r="U48662" s="135"/>
    </row>
    <row r="48663" spans="20:21" ht="15" customHeight="1" x14ac:dyDescent="0.25">
      <c r="T48663" s="135"/>
      <c r="U48663" s="135"/>
    </row>
    <row r="48664" spans="20:21" ht="15" customHeight="1" x14ac:dyDescent="0.25">
      <c r="T48664" s="135"/>
      <c r="U48664" s="135"/>
    </row>
    <row r="48665" spans="20:21" ht="15" customHeight="1" x14ac:dyDescent="0.25">
      <c r="T48665" s="135"/>
      <c r="U48665" s="135"/>
    </row>
    <row r="48666" spans="20:21" ht="15" customHeight="1" x14ac:dyDescent="0.25">
      <c r="T48666" s="135"/>
      <c r="U48666" s="135"/>
    </row>
    <row r="48667" spans="20:21" ht="15" customHeight="1" x14ac:dyDescent="0.25">
      <c r="T48667" s="135"/>
      <c r="U48667" s="135"/>
    </row>
    <row r="48668" spans="20:21" ht="15" customHeight="1" x14ac:dyDescent="0.25">
      <c r="T48668" s="135"/>
      <c r="U48668" s="135"/>
    </row>
    <row r="48669" spans="20:21" ht="15" customHeight="1" x14ac:dyDescent="0.25">
      <c r="T48669" s="135"/>
      <c r="U48669" s="135"/>
    </row>
    <row r="48670" spans="20:21" ht="15" customHeight="1" x14ac:dyDescent="0.25">
      <c r="T48670" s="135"/>
      <c r="U48670" s="135"/>
    </row>
    <row r="48671" spans="20:21" ht="15" customHeight="1" x14ac:dyDescent="0.25">
      <c r="T48671" s="135"/>
      <c r="U48671" s="135"/>
    </row>
    <row r="48672" spans="20:21" ht="15" customHeight="1" x14ac:dyDescent="0.25">
      <c r="T48672" s="135"/>
      <c r="U48672" s="135"/>
    </row>
    <row r="48673" spans="20:21" ht="15" customHeight="1" x14ac:dyDescent="0.25">
      <c r="T48673" s="135"/>
      <c r="U48673" s="135"/>
    </row>
    <row r="48674" spans="20:21" ht="15" customHeight="1" x14ac:dyDescent="0.25">
      <c r="T48674" s="135"/>
      <c r="U48674" s="135"/>
    </row>
    <row r="48675" spans="20:21" ht="15" customHeight="1" x14ac:dyDescent="0.25">
      <c r="T48675" s="135"/>
      <c r="U48675" s="135"/>
    </row>
    <row r="48676" spans="20:21" ht="15" customHeight="1" x14ac:dyDescent="0.25">
      <c r="T48676" s="135"/>
      <c r="U48676" s="135"/>
    </row>
    <row r="48677" spans="20:21" ht="15" customHeight="1" x14ac:dyDescent="0.25">
      <c r="T48677" s="135"/>
      <c r="U48677" s="135"/>
    </row>
    <row r="48678" spans="20:21" ht="15" customHeight="1" x14ac:dyDescent="0.25">
      <c r="T48678" s="135"/>
      <c r="U48678" s="135"/>
    </row>
    <row r="48679" spans="20:21" ht="15" customHeight="1" x14ac:dyDescent="0.25">
      <c r="T48679" s="135"/>
      <c r="U48679" s="135"/>
    </row>
    <row r="48680" spans="20:21" ht="15" customHeight="1" x14ac:dyDescent="0.25">
      <c r="T48680" s="135"/>
      <c r="U48680" s="135"/>
    </row>
    <row r="48681" spans="20:21" ht="15" customHeight="1" x14ac:dyDescent="0.25">
      <c r="T48681" s="135"/>
      <c r="U48681" s="135"/>
    </row>
    <row r="48682" spans="20:21" ht="15" customHeight="1" x14ac:dyDescent="0.25">
      <c r="T48682" s="135"/>
      <c r="U48682" s="135"/>
    </row>
    <row r="48683" spans="20:21" ht="15" customHeight="1" x14ac:dyDescent="0.25">
      <c r="T48683" s="135"/>
      <c r="U48683" s="135"/>
    </row>
    <row r="48684" spans="20:21" ht="15" customHeight="1" x14ac:dyDescent="0.25">
      <c r="T48684" s="135"/>
      <c r="U48684" s="135"/>
    </row>
    <row r="48685" spans="20:21" ht="15" customHeight="1" x14ac:dyDescent="0.25">
      <c r="T48685" s="135"/>
      <c r="U48685" s="135"/>
    </row>
    <row r="48686" spans="20:21" ht="15" customHeight="1" x14ac:dyDescent="0.25">
      <c r="T48686" s="135"/>
      <c r="U48686" s="135"/>
    </row>
    <row r="48687" spans="20:21" ht="15" customHeight="1" x14ac:dyDescent="0.25">
      <c r="T48687" s="135"/>
      <c r="U48687" s="135"/>
    </row>
    <row r="48688" spans="20:21" ht="15" customHeight="1" x14ac:dyDescent="0.25">
      <c r="T48688" s="135"/>
      <c r="U48688" s="135"/>
    </row>
    <row r="48689" spans="20:21" ht="15" customHeight="1" x14ac:dyDescent="0.25">
      <c r="T48689" s="135"/>
      <c r="U48689" s="135"/>
    </row>
    <row r="48690" spans="20:21" ht="15" customHeight="1" x14ac:dyDescent="0.25">
      <c r="T48690" s="135"/>
      <c r="U48690" s="135"/>
    </row>
    <row r="48691" spans="20:21" ht="15" customHeight="1" x14ac:dyDescent="0.25">
      <c r="T48691" s="135"/>
      <c r="U48691" s="135"/>
    </row>
    <row r="48692" spans="20:21" ht="15" customHeight="1" x14ac:dyDescent="0.25">
      <c r="T48692" s="135"/>
      <c r="U48692" s="135"/>
    </row>
    <row r="48693" spans="20:21" ht="15" customHeight="1" x14ac:dyDescent="0.25">
      <c r="T48693" s="135"/>
      <c r="U48693" s="135"/>
    </row>
    <row r="48694" spans="20:21" ht="15" customHeight="1" x14ac:dyDescent="0.25">
      <c r="T48694" s="135"/>
      <c r="U48694" s="135"/>
    </row>
    <row r="48695" spans="20:21" ht="15" customHeight="1" x14ac:dyDescent="0.25">
      <c r="T48695" s="135"/>
      <c r="U48695" s="135"/>
    </row>
    <row r="48696" spans="20:21" ht="15" customHeight="1" x14ac:dyDescent="0.25">
      <c r="T48696" s="135"/>
      <c r="U48696" s="135"/>
    </row>
    <row r="48697" spans="20:21" ht="15" customHeight="1" x14ac:dyDescent="0.25">
      <c r="T48697" s="135"/>
      <c r="U48697" s="135"/>
    </row>
    <row r="48698" spans="20:21" ht="15" customHeight="1" x14ac:dyDescent="0.25">
      <c r="T48698" s="135"/>
      <c r="U48698" s="135"/>
    </row>
    <row r="48699" spans="20:21" ht="15" customHeight="1" x14ac:dyDescent="0.25">
      <c r="T48699" s="135"/>
      <c r="U48699" s="135"/>
    </row>
    <row r="48700" spans="20:21" ht="15" customHeight="1" x14ac:dyDescent="0.25">
      <c r="T48700" s="135"/>
      <c r="U48700" s="135"/>
    </row>
    <row r="48701" spans="20:21" ht="15" customHeight="1" x14ac:dyDescent="0.25">
      <c r="T48701" s="135"/>
      <c r="U48701" s="135"/>
    </row>
    <row r="48702" spans="20:21" ht="15" customHeight="1" x14ac:dyDescent="0.25">
      <c r="T48702" s="135"/>
      <c r="U48702" s="135"/>
    </row>
    <row r="48703" spans="20:21" ht="15" customHeight="1" x14ac:dyDescent="0.25">
      <c r="T48703" s="135"/>
      <c r="U48703" s="135"/>
    </row>
    <row r="48704" spans="20:21" ht="15" customHeight="1" x14ac:dyDescent="0.25">
      <c r="T48704" s="135"/>
      <c r="U48704" s="135"/>
    </row>
    <row r="48705" spans="20:21" ht="15" customHeight="1" x14ac:dyDescent="0.25">
      <c r="T48705" s="135"/>
      <c r="U48705" s="135"/>
    </row>
    <row r="48706" spans="20:21" ht="15" customHeight="1" x14ac:dyDescent="0.25">
      <c r="T48706" s="135"/>
      <c r="U48706" s="135"/>
    </row>
    <row r="48707" spans="20:21" ht="15" customHeight="1" x14ac:dyDescent="0.25">
      <c r="T48707" s="135"/>
      <c r="U48707" s="135"/>
    </row>
    <row r="48708" spans="20:21" ht="15" customHeight="1" x14ac:dyDescent="0.25">
      <c r="T48708" s="135"/>
      <c r="U48708" s="135"/>
    </row>
    <row r="48709" spans="20:21" ht="15" customHeight="1" x14ac:dyDescent="0.25">
      <c r="T48709" s="135"/>
      <c r="U48709" s="135"/>
    </row>
    <row r="48710" spans="20:21" ht="15" customHeight="1" x14ac:dyDescent="0.25">
      <c r="T48710" s="135"/>
      <c r="U48710" s="135"/>
    </row>
    <row r="48711" spans="20:21" ht="15" customHeight="1" x14ac:dyDescent="0.25">
      <c r="T48711" s="135"/>
      <c r="U48711" s="135"/>
    </row>
    <row r="48712" spans="20:21" ht="15" customHeight="1" x14ac:dyDescent="0.25">
      <c r="T48712" s="135"/>
      <c r="U48712" s="135"/>
    </row>
    <row r="48713" spans="20:21" ht="15" customHeight="1" x14ac:dyDescent="0.25">
      <c r="T48713" s="135"/>
      <c r="U48713" s="135"/>
    </row>
    <row r="48714" spans="20:21" ht="15" customHeight="1" x14ac:dyDescent="0.25">
      <c r="T48714" s="135"/>
      <c r="U48714" s="135"/>
    </row>
    <row r="48715" spans="20:21" ht="15" customHeight="1" x14ac:dyDescent="0.25">
      <c r="T48715" s="135"/>
      <c r="U48715" s="135"/>
    </row>
    <row r="48716" spans="20:21" ht="15" customHeight="1" x14ac:dyDescent="0.25">
      <c r="T48716" s="135"/>
      <c r="U48716" s="135"/>
    </row>
    <row r="48717" spans="20:21" ht="15" customHeight="1" x14ac:dyDescent="0.25">
      <c r="T48717" s="135"/>
      <c r="U48717" s="135"/>
    </row>
    <row r="48718" spans="20:21" ht="15" customHeight="1" x14ac:dyDescent="0.25">
      <c r="T48718" s="135"/>
      <c r="U48718" s="135"/>
    </row>
    <row r="48719" spans="20:21" ht="15" customHeight="1" x14ac:dyDescent="0.25">
      <c r="T48719" s="135"/>
      <c r="U48719" s="135"/>
    </row>
    <row r="48720" spans="20:21" ht="15" customHeight="1" x14ac:dyDescent="0.25">
      <c r="T48720" s="135"/>
      <c r="U48720" s="135"/>
    </row>
    <row r="48721" spans="20:21" ht="15" customHeight="1" x14ac:dyDescent="0.25">
      <c r="T48721" s="135"/>
      <c r="U48721" s="135"/>
    </row>
    <row r="48722" spans="20:21" ht="15" customHeight="1" x14ac:dyDescent="0.25">
      <c r="T48722" s="135"/>
      <c r="U48722" s="135"/>
    </row>
    <row r="48723" spans="20:21" ht="15" customHeight="1" x14ac:dyDescent="0.25">
      <c r="T48723" s="135"/>
      <c r="U48723" s="135"/>
    </row>
    <row r="48724" spans="20:21" ht="15" customHeight="1" x14ac:dyDescent="0.25">
      <c r="T48724" s="135"/>
      <c r="U48724" s="135"/>
    </row>
    <row r="48725" spans="20:21" ht="15" customHeight="1" x14ac:dyDescent="0.25">
      <c r="T48725" s="135"/>
      <c r="U48725" s="135"/>
    </row>
    <row r="48726" spans="20:21" ht="15" customHeight="1" x14ac:dyDescent="0.25">
      <c r="T48726" s="135"/>
      <c r="U48726" s="135"/>
    </row>
    <row r="48727" spans="20:21" ht="15" customHeight="1" x14ac:dyDescent="0.25">
      <c r="T48727" s="135"/>
      <c r="U48727" s="135"/>
    </row>
    <row r="48728" spans="20:21" ht="15" customHeight="1" x14ac:dyDescent="0.25">
      <c r="T48728" s="135"/>
      <c r="U48728" s="135"/>
    </row>
    <row r="48729" spans="20:21" ht="15" customHeight="1" x14ac:dyDescent="0.25">
      <c r="T48729" s="135"/>
      <c r="U48729" s="135"/>
    </row>
    <row r="48730" spans="20:21" ht="15" customHeight="1" x14ac:dyDescent="0.25">
      <c r="T48730" s="135"/>
      <c r="U48730" s="135"/>
    </row>
    <row r="48731" spans="20:21" ht="15" customHeight="1" x14ac:dyDescent="0.25">
      <c r="T48731" s="135"/>
      <c r="U48731" s="135"/>
    </row>
    <row r="48732" spans="20:21" ht="15" customHeight="1" x14ac:dyDescent="0.25">
      <c r="T48732" s="135"/>
      <c r="U48732" s="135"/>
    </row>
    <row r="48733" spans="20:21" ht="15" customHeight="1" x14ac:dyDescent="0.25">
      <c r="T48733" s="135"/>
      <c r="U48733" s="135"/>
    </row>
    <row r="48734" spans="20:21" ht="15" customHeight="1" x14ac:dyDescent="0.25">
      <c r="T48734" s="135"/>
      <c r="U48734" s="135"/>
    </row>
    <row r="48735" spans="20:21" ht="15" customHeight="1" x14ac:dyDescent="0.25">
      <c r="T48735" s="135"/>
      <c r="U48735" s="135"/>
    </row>
    <row r="48736" spans="20:21" ht="15" customHeight="1" x14ac:dyDescent="0.25">
      <c r="T48736" s="135"/>
      <c r="U48736" s="135"/>
    </row>
    <row r="48737" spans="20:21" ht="15" customHeight="1" x14ac:dyDescent="0.25">
      <c r="T48737" s="135"/>
      <c r="U48737" s="135"/>
    </row>
    <row r="48738" spans="20:21" ht="15" customHeight="1" x14ac:dyDescent="0.25">
      <c r="T48738" s="135"/>
      <c r="U48738" s="135"/>
    </row>
    <row r="48739" spans="20:21" ht="15" customHeight="1" x14ac:dyDescent="0.25">
      <c r="T48739" s="135"/>
      <c r="U48739" s="135"/>
    </row>
    <row r="48740" spans="20:21" ht="15" customHeight="1" x14ac:dyDescent="0.25">
      <c r="T48740" s="135"/>
      <c r="U48740" s="135"/>
    </row>
    <row r="48741" spans="20:21" ht="15" customHeight="1" x14ac:dyDescent="0.25">
      <c r="T48741" s="135"/>
      <c r="U48741" s="135"/>
    </row>
    <row r="48742" spans="20:21" ht="15" customHeight="1" x14ac:dyDescent="0.25">
      <c r="T48742" s="135"/>
      <c r="U48742" s="135"/>
    </row>
    <row r="48743" spans="20:21" ht="15" customHeight="1" x14ac:dyDescent="0.25">
      <c r="T48743" s="135"/>
      <c r="U48743" s="135"/>
    </row>
    <row r="48744" spans="20:21" ht="15" customHeight="1" x14ac:dyDescent="0.25">
      <c r="T48744" s="135"/>
      <c r="U48744" s="135"/>
    </row>
    <row r="48745" spans="20:21" ht="15" customHeight="1" x14ac:dyDescent="0.25">
      <c r="T48745" s="135"/>
      <c r="U48745" s="135"/>
    </row>
    <row r="48746" spans="20:21" ht="15" customHeight="1" x14ac:dyDescent="0.25">
      <c r="T48746" s="135"/>
      <c r="U48746" s="135"/>
    </row>
    <row r="48747" spans="20:21" ht="15" customHeight="1" x14ac:dyDescent="0.25">
      <c r="T48747" s="135"/>
      <c r="U48747" s="135"/>
    </row>
    <row r="48748" spans="20:21" ht="15" customHeight="1" x14ac:dyDescent="0.25">
      <c r="T48748" s="135"/>
      <c r="U48748" s="135"/>
    </row>
    <row r="48749" spans="20:21" ht="15" customHeight="1" x14ac:dyDescent="0.25">
      <c r="T48749" s="135"/>
      <c r="U48749" s="135"/>
    </row>
    <row r="48750" spans="20:21" ht="15" customHeight="1" x14ac:dyDescent="0.25">
      <c r="T48750" s="135"/>
      <c r="U48750" s="135"/>
    </row>
    <row r="48751" spans="20:21" ht="15" customHeight="1" x14ac:dyDescent="0.25">
      <c r="T48751" s="135"/>
      <c r="U48751" s="135"/>
    </row>
    <row r="48752" spans="20:21" ht="15" customHeight="1" x14ac:dyDescent="0.25">
      <c r="T48752" s="135"/>
      <c r="U48752" s="135"/>
    </row>
    <row r="48753" spans="20:21" ht="15" customHeight="1" x14ac:dyDescent="0.25">
      <c r="T48753" s="135"/>
      <c r="U48753" s="135"/>
    </row>
    <row r="48754" spans="20:21" ht="15" customHeight="1" x14ac:dyDescent="0.25">
      <c r="T48754" s="135"/>
      <c r="U48754" s="135"/>
    </row>
    <row r="48755" spans="20:21" ht="15" customHeight="1" x14ac:dyDescent="0.25">
      <c r="T48755" s="135"/>
      <c r="U48755" s="135"/>
    </row>
    <row r="48756" spans="20:21" ht="15" customHeight="1" x14ac:dyDescent="0.25">
      <c r="T48756" s="135"/>
      <c r="U48756" s="135"/>
    </row>
    <row r="48757" spans="20:21" ht="15" customHeight="1" x14ac:dyDescent="0.25">
      <c r="T48757" s="135"/>
      <c r="U48757" s="135"/>
    </row>
    <row r="48758" spans="20:21" ht="15" customHeight="1" x14ac:dyDescent="0.25">
      <c r="T48758" s="135"/>
      <c r="U48758" s="135"/>
    </row>
    <row r="48759" spans="20:21" ht="15" customHeight="1" x14ac:dyDescent="0.25">
      <c r="T48759" s="135"/>
      <c r="U48759" s="135"/>
    </row>
    <row r="48760" spans="20:21" ht="15" customHeight="1" x14ac:dyDescent="0.25">
      <c r="T48760" s="135"/>
      <c r="U48760" s="135"/>
    </row>
    <row r="48761" spans="20:21" ht="15" customHeight="1" x14ac:dyDescent="0.25">
      <c r="T48761" s="135"/>
      <c r="U48761" s="135"/>
    </row>
    <row r="48762" spans="20:21" ht="15" customHeight="1" x14ac:dyDescent="0.25">
      <c r="T48762" s="135"/>
      <c r="U48762" s="135"/>
    </row>
    <row r="48763" spans="20:21" ht="15" customHeight="1" x14ac:dyDescent="0.25">
      <c r="T48763" s="135"/>
      <c r="U48763" s="135"/>
    </row>
    <row r="48764" spans="20:21" ht="15" customHeight="1" x14ac:dyDescent="0.25">
      <c r="T48764" s="135"/>
      <c r="U48764" s="135"/>
    </row>
    <row r="48765" spans="20:21" ht="15" customHeight="1" x14ac:dyDescent="0.25">
      <c r="T48765" s="135"/>
      <c r="U48765" s="135"/>
    </row>
    <row r="48766" spans="20:21" ht="15" customHeight="1" x14ac:dyDescent="0.25">
      <c r="T48766" s="135"/>
      <c r="U48766" s="135"/>
    </row>
    <row r="48767" spans="20:21" ht="15" customHeight="1" x14ac:dyDescent="0.25">
      <c r="T48767" s="135"/>
      <c r="U48767" s="135"/>
    </row>
    <row r="48768" spans="20:21" ht="15" customHeight="1" x14ac:dyDescent="0.25">
      <c r="T48768" s="135"/>
      <c r="U48768" s="135"/>
    </row>
    <row r="48769" spans="20:21" ht="15" customHeight="1" x14ac:dyDescent="0.25">
      <c r="T48769" s="135"/>
      <c r="U48769" s="135"/>
    </row>
    <row r="48770" spans="20:21" ht="15" customHeight="1" x14ac:dyDescent="0.25">
      <c r="T48770" s="135"/>
      <c r="U48770" s="135"/>
    </row>
    <row r="48771" spans="20:21" ht="15" customHeight="1" x14ac:dyDescent="0.25">
      <c r="T48771" s="135"/>
      <c r="U48771" s="135"/>
    </row>
    <row r="48772" spans="20:21" ht="15" customHeight="1" x14ac:dyDescent="0.25">
      <c r="T48772" s="135"/>
      <c r="U48772" s="135"/>
    </row>
    <row r="48773" spans="20:21" ht="15" customHeight="1" x14ac:dyDescent="0.25">
      <c r="T48773" s="135"/>
      <c r="U48773" s="135"/>
    </row>
    <row r="48774" spans="20:21" ht="15" customHeight="1" x14ac:dyDescent="0.25">
      <c r="T48774" s="135"/>
      <c r="U48774" s="135"/>
    </row>
    <row r="48775" spans="20:21" ht="15" customHeight="1" x14ac:dyDescent="0.25">
      <c r="T48775" s="135"/>
      <c r="U48775" s="135"/>
    </row>
    <row r="48776" spans="20:21" ht="15" customHeight="1" x14ac:dyDescent="0.25">
      <c r="T48776" s="135"/>
      <c r="U48776" s="135"/>
    </row>
    <row r="48777" spans="20:21" ht="15" customHeight="1" x14ac:dyDescent="0.25">
      <c r="T48777" s="135"/>
      <c r="U48777" s="135"/>
    </row>
    <row r="48778" spans="20:21" ht="15" customHeight="1" x14ac:dyDescent="0.25">
      <c r="T48778" s="135"/>
      <c r="U48778" s="135"/>
    </row>
    <row r="48779" spans="20:21" ht="15" customHeight="1" x14ac:dyDescent="0.25">
      <c r="T48779" s="135"/>
      <c r="U48779" s="135"/>
    </row>
    <row r="48780" spans="20:21" ht="15" customHeight="1" x14ac:dyDescent="0.25">
      <c r="T48780" s="135"/>
      <c r="U48780" s="135"/>
    </row>
    <row r="48781" spans="20:21" ht="15" customHeight="1" x14ac:dyDescent="0.25">
      <c r="T48781" s="135"/>
      <c r="U48781" s="135"/>
    </row>
    <row r="48782" spans="20:21" ht="15" customHeight="1" x14ac:dyDescent="0.25">
      <c r="T48782" s="135"/>
      <c r="U48782" s="135"/>
    </row>
    <row r="48783" spans="20:21" ht="15" customHeight="1" x14ac:dyDescent="0.25">
      <c r="T48783" s="135"/>
      <c r="U48783" s="135"/>
    </row>
    <row r="48784" spans="20:21" ht="15" customHeight="1" x14ac:dyDescent="0.25">
      <c r="T48784" s="135"/>
      <c r="U48784" s="135"/>
    </row>
    <row r="48785" spans="20:21" ht="15" customHeight="1" x14ac:dyDescent="0.25">
      <c r="T48785" s="135"/>
      <c r="U48785" s="135"/>
    </row>
    <row r="48786" spans="20:21" ht="15" customHeight="1" x14ac:dyDescent="0.25">
      <c r="T48786" s="135"/>
      <c r="U48786" s="135"/>
    </row>
    <row r="48787" spans="20:21" ht="15" customHeight="1" x14ac:dyDescent="0.25">
      <c r="T48787" s="135"/>
      <c r="U48787" s="135"/>
    </row>
    <row r="48788" spans="20:21" ht="15" customHeight="1" x14ac:dyDescent="0.25">
      <c r="T48788" s="135"/>
      <c r="U48788" s="135"/>
    </row>
    <row r="48789" spans="20:21" ht="15" customHeight="1" x14ac:dyDescent="0.25">
      <c r="T48789" s="135"/>
      <c r="U48789" s="135"/>
    </row>
    <row r="48790" spans="20:21" ht="15" customHeight="1" x14ac:dyDescent="0.25">
      <c r="T48790" s="135"/>
      <c r="U48790" s="135"/>
    </row>
    <row r="48791" spans="20:21" ht="15" customHeight="1" x14ac:dyDescent="0.25">
      <c r="T48791" s="135"/>
      <c r="U48791" s="135"/>
    </row>
    <row r="48792" spans="20:21" ht="15" customHeight="1" x14ac:dyDescent="0.25">
      <c r="T48792" s="135"/>
      <c r="U48792" s="135"/>
    </row>
    <row r="48793" spans="20:21" ht="15" customHeight="1" x14ac:dyDescent="0.25">
      <c r="T48793" s="135"/>
      <c r="U48793" s="135"/>
    </row>
    <row r="48794" spans="20:21" ht="15" customHeight="1" x14ac:dyDescent="0.25">
      <c r="T48794" s="135"/>
      <c r="U48794" s="135"/>
    </row>
    <row r="48795" spans="20:21" ht="15" customHeight="1" x14ac:dyDescent="0.25">
      <c r="T48795" s="135"/>
      <c r="U48795" s="135"/>
    </row>
    <row r="48796" spans="20:21" ht="15" customHeight="1" x14ac:dyDescent="0.25">
      <c r="T48796" s="135"/>
      <c r="U48796" s="135"/>
    </row>
    <row r="48797" spans="20:21" ht="15" customHeight="1" x14ac:dyDescent="0.25">
      <c r="T48797" s="135"/>
      <c r="U48797" s="135"/>
    </row>
    <row r="48798" spans="20:21" ht="15" customHeight="1" x14ac:dyDescent="0.25">
      <c r="T48798" s="135"/>
      <c r="U48798" s="135"/>
    </row>
    <row r="48799" spans="20:21" ht="15" customHeight="1" x14ac:dyDescent="0.25">
      <c r="T48799" s="135"/>
      <c r="U48799" s="135"/>
    </row>
    <row r="48800" spans="20:21" ht="15" customHeight="1" x14ac:dyDescent="0.25">
      <c r="T48800" s="135"/>
      <c r="U48800" s="135"/>
    </row>
    <row r="48801" spans="20:21" ht="15" customHeight="1" x14ac:dyDescent="0.25">
      <c r="T48801" s="135"/>
      <c r="U48801" s="135"/>
    </row>
    <row r="48802" spans="20:21" ht="15" customHeight="1" x14ac:dyDescent="0.25">
      <c r="T48802" s="135"/>
      <c r="U48802" s="135"/>
    </row>
    <row r="48803" spans="20:21" ht="15" customHeight="1" x14ac:dyDescent="0.25">
      <c r="T48803" s="135"/>
      <c r="U48803" s="135"/>
    </row>
    <row r="48804" spans="20:21" ht="15" customHeight="1" x14ac:dyDescent="0.25">
      <c r="T48804" s="135"/>
      <c r="U48804" s="135"/>
    </row>
    <row r="48805" spans="20:21" ht="15" customHeight="1" x14ac:dyDescent="0.25">
      <c r="T48805" s="135"/>
      <c r="U48805" s="135"/>
    </row>
    <row r="48806" spans="20:21" ht="15" customHeight="1" x14ac:dyDescent="0.25">
      <c r="T48806" s="135"/>
      <c r="U48806" s="135"/>
    </row>
    <row r="48807" spans="20:21" ht="15" customHeight="1" x14ac:dyDescent="0.25">
      <c r="T48807" s="135"/>
      <c r="U48807" s="135"/>
    </row>
    <row r="48808" spans="20:21" ht="15" customHeight="1" x14ac:dyDescent="0.25">
      <c r="T48808" s="135"/>
      <c r="U48808" s="135"/>
    </row>
    <row r="48809" spans="20:21" ht="15" customHeight="1" x14ac:dyDescent="0.25">
      <c r="T48809" s="135"/>
      <c r="U48809" s="135"/>
    </row>
    <row r="48810" spans="20:21" ht="15" customHeight="1" x14ac:dyDescent="0.25">
      <c r="T48810" s="135"/>
      <c r="U48810" s="135"/>
    </row>
    <row r="48811" spans="20:21" ht="15" customHeight="1" x14ac:dyDescent="0.25">
      <c r="T48811" s="135"/>
      <c r="U48811" s="135"/>
    </row>
    <row r="48812" spans="20:21" ht="15" customHeight="1" x14ac:dyDescent="0.25">
      <c r="T48812" s="135"/>
      <c r="U48812" s="135"/>
    </row>
    <row r="48813" spans="20:21" ht="15" customHeight="1" x14ac:dyDescent="0.25">
      <c r="T48813" s="135"/>
      <c r="U48813" s="135"/>
    </row>
    <row r="48814" spans="20:21" ht="15" customHeight="1" x14ac:dyDescent="0.25">
      <c r="T48814" s="135"/>
      <c r="U48814" s="135"/>
    </row>
    <row r="48815" spans="20:21" ht="15" customHeight="1" x14ac:dyDescent="0.25">
      <c r="T48815" s="135"/>
      <c r="U48815" s="135"/>
    </row>
    <row r="48816" spans="20:21" ht="15" customHeight="1" x14ac:dyDescent="0.25">
      <c r="T48816" s="135"/>
      <c r="U48816" s="135"/>
    </row>
    <row r="48817" spans="20:21" ht="15" customHeight="1" x14ac:dyDescent="0.25">
      <c r="T48817" s="135"/>
      <c r="U48817" s="135"/>
    </row>
    <row r="48818" spans="20:21" ht="15" customHeight="1" x14ac:dyDescent="0.25">
      <c r="T48818" s="135"/>
      <c r="U48818" s="135"/>
    </row>
    <row r="48819" spans="20:21" ht="15" customHeight="1" x14ac:dyDescent="0.25">
      <c r="T48819" s="135"/>
      <c r="U48819" s="135"/>
    </row>
    <row r="48820" spans="20:21" ht="15" customHeight="1" x14ac:dyDescent="0.25">
      <c r="T48820" s="135"/>
      <c r="U48820" s="135"/>
    </row>
    <row r="48821" spans="20:21" ht="15" customHeight="1" x14ac:dyDescent="0.25">
      <c r="T48821" s="135"/>
      <c r="U48821" s="135"/>
    </row>
    <row r="48822" spans="20:21" ht="15" customHeight="1" x14ac:dyDescent="0.25">
      <c r="T48822" s="135"/>
      <c r="U48822" s="135"/>
    </row>
    <row r="48823" spans="20:21" ht="15" customHeight="1" x14ac:dyDescent="0.25">
      <c r="T48823" s="135"/>
      <c r="U48823" s="135"/>
    </row>
    <row r="48824" spans="20:21" ht="15" customHeight="1" x14ac:dyDescent="0.25">
      <c r="T48824" s="135"/>
      <c r="U48824" s="135"/>
    </row>
    <row r="48825" spans="20:21" ht="15" customHeight="1" x14ac:dyDescent="0.25">
      <c r="T48825" s="135"/>
      <c r="U48825" s="135"/>
    </row>
    <row r="48826" spans="20:21" ht="15" customHeight="1" x14ac:dyDescent="0.25">
      <c r="T48826" s="135"/>
      <c r="U48826" s="135"/>
    </row>
    <row r="48827" spans="20:21" ht="15" customHeight="1" x14ac:dyDescent="0.25">
      <c r="T48827" s="135"/>
      <c r="U48827" s="135"/>
    </row>
    <row r="48828" spans="20:21" ht="15" customHeight="1" x14ac:dyDescent="0.25">
      <c r="T48828" s="135"/>
      <c r="U48828" s="135"/>
    </row>
    <row r="48829" spans="20:21" ht="15" customHeight="1" x14ac:dyDescent="0.25">
      <c r="T48829" s="135"/>
      <c r="U48829" s="135"/>
    </row>
    <row r="48830" spans="20:21" ht="15" customHeight="1" x14ac:dyDescent="0.25">
      <c r="T48830" s="135"/>
      <c r="U48830" s="135"/>
    </row>
    <row r="48831" spans="20:21" ht="15" customHeight="1" x14ac:dyDescent="0.25">
      <c r="T48831" s="135"/>
      <c r="U48831" s="135"/>
    </row>
    <row r="48832" spans="20:21" ht="15" customHeight="1" x14ac:dyDescent="0.25">
      <c r="T48832" s="135"/>
      <c r="U48832" s="135"/>
    </row>
    <row r="48833" spans="20:21" ht="15" customHeight="1" x14ac:dyDescent="0.25">
      <c r="T48833" s="135"/>
      <c r="U48833" s="135"/>
    </row>
    <row r="48834" spans="20:21" ht="15" customHeight="1" x14ac:dyDescent="0.25">
      <c r="T48834" s="135"/>
      <c r="U48834" s="135"/>
    </row>
    <row r="48835" spans="20:21" ht="15" customHeight="1" x14ac:dyDescent="0.25">
      <c r="T48835" s="135"/>
      <c r="U48835" s="135"/>
    </row>
    <row r="48836" spans="20:21" ht="15" customHeight="1" x14ac:dyDescent="0.25">
      <c r="T48836" s="135"/>
      <c r="U48836" s="135"/>
    </row>
    <row r="48837" spans="20:21" ht="15" customHeight="1" x14ac:dyDescent="0.25">
      <c r="T48837" s="135"/>
      <c r="U48837" s="135"/>
    </row>
    <row r="48838" spans="20:21" ht="15" customHeight="1" x14ac:dyDescent="0.25">
      <c r="T48838" s="135"/>
      <c r="U48838" s="135"/>
    </row>
    <row r="48839" spans="20:21" ht="15" customHeight="1" x14ac:dyDescent="0.25">
      <c r="T48839" s="135"/>
      <c r="U48839" s="135"/>
    </row>
    <row r="48840" spans="20:21" ht="15" customHeight="1" x14ac:dyDescent="0.25">
      <c r="T48840" s="135"/>
      <c r="U48840" s="135"/>
    </row>
    <row r="48841" spans="20:21" ht="15" customHeight="1" x14ac:dyDescent="0.25">
      <c r="T48841" s="135"/>
      <c r="U48841" s="135"/>
    </row>
    <row r="48842" spans="20:21" ht="15" customHeight="1" x14ac:dyDescent="0.25">
      <c r="T48842" s="135"/>
      <c r="U48842" s="135"/>
    </row>
    <row r="48843" spans="20:21" ht="15" customHeight="1" x14ac:dyDescent="0.25">
      <c r="T48843" s="135"/>
      <c r="U48843" s="135"/>
    </row>
    <row r="48844" spans="20:21" ht="15" customHeight="1" x14ac:dyDescent="0.25">
      <c r="T48844" s="135"/>
      <c r="U48844" s="135"/>
    </row>
    <row r="48845" spans="20:21" ht="15" customHeight="1" x14ac:dyDescent="0.25">
      <c r="T48845" s="135"/>
      <c r="U48845" s="135"/>
    </row>
    <row r="48846" spans="20:21" ht="15" customHeight="1" x14ac:dyDescent="0.25">
      <c r="T48846" s="135"/>
      <c r="U48846" s="135"/>
    </row>
    <row r="48847" spans="20:21" ht="15" customHeight="1" x14ac:dyDescent="0.25">
      <c r="T48847" s="135"/>
      <c r="U48847" s="135"/>
    </row>
    <row r="48848" spans="20:21" ht="15" customHeight="1" x14ac:dyDescent="0.25">
      <c r="T48848" s="135"/>
      <c r="U48848" s="135"/>
    </row>
    <row r="48849" spans="20:21" ht="15" customHeight="1" x14ac:dyDescent="0.25">
      <c r="T48849" s="135"/>
      <c r="U48849" s="135"/>
    </row>
    <row r="48850" spans="20:21" ht="15" customHeight="1" x14ac:dyDescent="0.25">
      <c r="T48850" s="135"/>
      <c r="U48850" s="135"/>
    </row>
    <row r="48851" spans="20:21" ht="15" customHeight="1" x14ac:dyDescent="0.25">
      <c r="T48851" s="135"/>
      <c r="U48851" s="135"/>
    </row>
    <row r="48852" spans="20:21" ht="15" customHeight="1" x14ac:dyDescent="0.25">
      <c r="T48852" s="135"/>
      <c r="U48852" s="135"/>
    </row>
    <row r="48853" spans="20:21" ht="15" customHeight="1" x14ac:dyDescent="0.25">
      <c r="T48853" s="135"/>
      <c r="U48853" s="135"/>
    </row>
    <row r="48854" spans="20:21" ht="15" customHeight="1" x14ac:dyDescent="0.25">
      <c r="T48854" s="135"/>
      <c r="U48854" s="135"/>
    </row>
    <row r="48855" spans="20:21" ht="15" customHeight="1" x14ac:dyDescent="0.25">
      <c r="T48855" s="135"/>
      <c r="U48855" s="135"/>
    </row>
    <row r="48856" spans="20:21" ht="15" customHeight="1" x14ac:dyDescent="0.25">
      <c r="T48856" s="135"/>
      <c r="U48856" s="135"/>
    </row>
    <row r="48857" spans="20:21" ht="15" customHeight="1" x14ac:dyDescent="0.25">
      <c r="T48857" s="135"/>
      <c r="U48857" s="135"/>
    </row>
    <row r="48858" spans="20:21" ht="15" customHeight="1" x14ac:dyDescent="0.25">
      <c r="T48858" s="135"/>
      <c r="U48858" s="135"/>
    </row>
    <row r="48859" spans="20:21" ht="15" customHeight="1" x14ac:dyDescent="0.25">
      <c r="T48859" s="135"/>
      <c r="U48859" s="135"/>
    </row>
    <row r="48860" spans="20:21" ht="15" customHeight="1" x14ac:dyDescent="0.25">
      <c r="T48860" s="135"/>
      <c r="U48860" s="135"/>
    </row>
    <row r="48861" spans="20:21" ht="15" customHeight="1" x14ac:dyDescent="0.25">
      <c r="T48861" s="135"/>
      <c r="U48861" s="135"/>
    </row>
    <row r="48862" spans="20:21" ht="15" customHeight="1" x14ac:dyDescent="0.25">
      <c r="T48862" s="135"/>
      <c r="U48862" s="135"/>
    </row>
    <row r="48863" spans="20:21" ht="15" customHeight="1" x14ac:dyDescent="0.25">
      <c r="T48863" s="135"/>
      <c r="U48863" s="135"/>
    </row>
    <row r="48864" spans="20:21" ht="15" customHeight="1" x14ac:dyDescent="0.25">
      <c r="T48864" s="135"/>
      <c r="U48864" s="135"/>
    </row>
    <row r="48865" spans="20:21" ht="15" customHeight="1" x14ac:dyDescent="0.25">
      <c r="T48865" s="135"/>
      <c r="U48865" s="135"/>
    </row>
    <row r="48866" spans="20:21" ht="15" customHeight="1" x14ac:dyDescent="0.25">
      <c r="T48866" s="135"/>
      <c r="U48866" s="135"/>
    </row>
    <row r="48867" spans="20:21" ht="15" customHeight="1" x14ac:dyDescent="0.25">
      <c r="T48867" s="135"/>
      <c r="U48867" s="135"/>
    </row>
    <row r="48868" spans="20:21" ht="15" customHeight="1" x14ac:dyDescent="0.25">
      <c r="T48868" s="135"/>
      <c r="U48868" s="135"/>
    </row>
    <row r="48869" spans="20:21" ht="15" customHeight="1" x14ac:dyDescent="0.25">
      <c r="T48869" s="135"/>
      <c r="U48869" s="135"/>
    </row>
    <row r="48870" spans="20:21" ht="15" customHeight="1" x14ac:dyDescent="0.25">
      <c r="T48870" s="135"/>
      <c r="U48870" s="135"/>
    </row>
    <row r="48871" spans="20:21" ht="15" customHeight="1" x14ac:dyDescent="0.25">
      <c r="T48871" s="135"/>
      <c r="U48871" s="135"/>
    </row>
    <row r="48872" spans="20:21" ht="15" customHeight="1" x14ac:dyDescent="0.25">
      <c r="T48872" s="135"/>
      <c r="U48872" s="135"/>
    </row>
    <row r="48873" spans="20:21" ht="15" customHeight="1" x14ac:dyDescent="0.25">
      <c r="T48873" s="135"/>
      <c r="U48873" s="135"/>
    </row>
    <row r="48874" spans="20:21" ht="15" customHeight="1" x14ac:dyDescent="0.25">
      <c r="T48874" s="135"/>
      <c r="U48874" s="135"/>
    </row>
    <row r="48875" spans="20:21" ht="15" customHeight="1" x14ac:dyDescent="0.25">
      <c r="T48875" s="135"/>
      <c r="U48875" s="135"/>
    </row>
    <row r="48876" spans="20:21" ht="15" customHeight="1" x14ac:dyDescent="0.25">
      <c r="T48876" s="135"/>
      <c r="U48876" s="135"/>
    </row>
    <row r="48877" spans="20:21" ht="15" customHeight="1" x14ac:dyDescent="0.25">
      <c r="T48877" s="135"/>
      <c r="U48877" s="135"/>
    </row>
    <row r="48878" spans="20:21" ht="15" customHeight="1" x14ac:dyDescent="0.25">
      <c r="T48878" s="135"/>
      <c r="U48878" s="135"/>
    </row>
    <row r="48879" spans="20:21" ht="15" customHeight="1" x14ac:dyDescent="0.25">
      <c r="T48879" s="135"/>
      <c r="U48879" s="135"/>
    </row>
    <row r="48880" spans="20:21" ht="15" customHeight="1" x14ac:dyDescent="0.25">
      <c r="T48880" s="135"/>
      <c r="U48880" s="135"/>
    </row>
    <row r="48881" spans="20:21" ht="15" customHeight="1" x14ac:dyDescent="0.25">
      <c r="T48881" s="135"/>
      <c r="U48881" s="135"/>
    </row>
    <row r="48882" spans="20:21" ht="15" customHeight="1" x14ac:dyDescent="0.25">
      <c r="T48882" s="135"/>
      <c r="U48882" s="135"/>
    </row>
    <row r="48883" spans="20:21" ht="15" customHeight="1" x14ac:dyDescent="0.25">
      <c r="T48883" s="135"/>
      <c r="U48883" s="135"/>
    </row>
    <row r="48884" spans="20:21" ht="15" customHeight="1" x14ac:dyDescent="0.25">
      <c r="T48884" s="135"/>
      <c r="U48884" s="135"/>
    </row>
    <row r="48885" spans="20:21" ht="15" customHeight="1" x14ac:dyDescent="0.25">
      <c r="T48885" s="135"/>
      <c r="U48885" s="135"/>
    </row>
    <row r="48886" spans="20:21" ht="15" customHeight="1" x14ac:dyDescent="0.25">
      <c r="T48886" s="135"/>
      <c r="U48886" s="135"/>
    </row>
    <row r="48887" spans="20:21" ht="15" customHeight="1" x14ac:dyDescent="0.25">
      <c r="T48887" s="135"/>
      <c r="U48887" s="135"/>
    </row>
    <row r="48888" spans="20:21" ht="15" customHeight="1" x14ac:dyDescent="0.25">
      <c r="T48888" s="135"/>
      <c r="U48888" s="135"/>
    </row>
    <row r="48889" spans="20:21" ht="15" customHeight="1" x14ac:dyDescent="0.25">
      <c r="T48889" s="135"/>
      <c r="U48889" s="135"/>
    </row>
    <row r="48890" spans="20:21" ht="15" customHeight="1" x14ac:dyDescent="0.25">
      <c r="T48890" s="135"/>
      <c r="U48890" s="135"/>
    </row>
    <row r="48891" spans="20:21" ht="15" customHeight="1" x14ac:dyDescent="0.25">
      <c r="T48891" s="135"/>
      <c r="U48891" s="135"/>
    </row>
    <row r="48892" spans="20:21" ht="15" customHeight="1" x14ac:dyDescent="0.25">
      <c r="T48892" s="135"/>
      <c r="U48892" s="135"/>
    </row>
    <row r="48893" spans="20:21" ht="15" customHeight="1" x14ac:dyDescent="0.25">
      <c r="T48893" s="135"/>
      <c r="U48893" s="135"/>
    </row>
    <row r="48894" spans="20:21" ht="15" customHeight="1" x14ac:dyDescent="0.25">
      <c r="T48894" s="135"/>
      <c r="U48894" s="135"/>
    </row>
    <row r="48895" spans="20:21" ht="15" customHeight="1" x14ac:dyDescent="0.25">
      <c r="T48895" s="135"/>
      <c r="U48895" s="135"/>
    </row>
    <row r="48896" spans="20:21" ht="15" customHeight="1" x14ac:dyDescent="0.25">
      <c r="T48896" s="135"/>
      <c r="U48896" s="135"/>
    </row>
    <row r="48897" spans="20:21" ht="15" customHeight="1" x14ac:dyDescent="0.25">
      <c r="T48897" s="135"/>
      <c r="U48897" s="135"/>
    </row>
    <row r="48898" spans="20:21" ht="15" customHeight="1" x14ac:dyDescent="0.25">
      <c r="T48898" s="135"/>
      <c r="U48898" s="135"/>
    </row>
    <row r="48899" spans="20:21" ht="15" customHeight="1" x14ac:dyDescent="0.25">
      <c r="T48899" s="135"/>
      <c r="U48899" s="135"/>
    </row>
    <row r="48900" spans="20:21" ht="15" customHeight="1" x14ac:dyDescent="0.25">
      <c r="T48900" s="135"/>
      <c r="U48900" s="135"/>
    </row>
    <row r="48901" spans="20:21" ht="15" customHeight="1" x14ac:dyDescent="0.25">
      <c r="T48901" s="135"/>
      <c r="U48901" s="135"/>
    </row>
    <row r="48902" spans="20:21" ht="15" customHeight="1" x14ac:dyDescent="0.25">
      <c r="T48902" s="135"/>
      <c r="U48902" s="135"/>
    </row>
    <row r="48903" spans="20:21" ht="15" customHeight="1" x14ac:dyDescent="0.25">
      <c r="T48903" s="135"/>
      <c r="U48903" s="135"/>
    </row>
    <row r="48904" spans="20:21" ht="15" customHeight="1" x14ac:dyDescent="0.25">
      <c r="T48904" s="135"/>
      <c r="U48904" s="135"/>
    </row>
    <row r="48905" spans="20:21" ht="15" customHeight="1" x14ac:dyDescent="0.25">
      <c r="T48905" s="135"/>
      <c r="U48905" s="135"/>
    </row>
    <row r="48906" spans="20:21" ht="15" customHeight="1" x14ac:dyDescent="0.25">
      <c r="T48906" s="135"/>
      <c r="U48906" s="135"/>
    </row>
    <row r="48907" spans="20:21" ht="15" customHeight="1" x14ac:dyDescent="0.25">
      <c r="T48907" s="135"/>
      <c r="U48907" s="135"/>
    </row>
    <row r="48908" spans="20:21" ht="15" customHeight="1" x14ac:dyDescent="0.25">
      <c r="T48908" s="135"/>
      <c r="U48908" s="135"/>
    </row>
    <row r="48909" spans="20:21" ht="15" customHeight="1" x14ac:dyDescent="0.25">
      <c r="T48909" s="135"/>
      <c r="U48909" s="135"/>
    </row>
    <row r="48910" spans="20:21" ht="15" customHeight="1" x14ac:dyDescent="0.25">
      <c r="T48910" s="135"/>
      <c r="U48910" s="135"/>
    </row>
    <row r="48911" spans="20:21" ht="15" customHeight="1" x14ac:dyDescent="0.25">
      <c r="T48911" s="135"/>
      <c r="U48911" s="135"/>
    </row>
    <row r="48912" spans="20:21" ht="15" customHeight="1" x14ac:dyDescent="0.25">
      <c r="T48912" s="135"/>
      <c r="U48912" s="135"/>
    </row>
    <row r="48913" spans="20:21" ht="15" customHeight="1" x14ac:dyDescent="0.25">
      <c r="T48913" s="135"/>
      <c r="U48913" s="135"/>
    </row>
    <row r="48914" spans="20:21" ht="15" customHeight="1" x14ac:dyDescent="0.25">
      <c r="T48914" s="135"/>
      <c r="U48914" s="135"/>
    </row>
    <row r="48915" spans="20:21" ht="15" customHeight="1" x14ac:dyDescent="0.25">
      <c r="T48915" s="135"/>
      <c r="U48915" s="135"/>
    </row>
    <row r="48916" spans="20:21" ht="15" customHeight="1" x14ac:dyDescent="0.25">
      <c r="T48916" s="135"/>
      <c r="U48916" s="135"/>
    </row>
    <row r="48917" spans="20:21" ht="15" customHeight="1" x14ac:dyDescent="0.25">
      <c r="T48917" s="135"/>
      <c r="U48917" s="135"/>
    </row>
    <row r="48918" spans="20:21" ht="15" customHeight="1" x14ac:dyDescent="0.25">
      <c r="T48918" s="135"/>
      <c r="U48918" s="135"/>
    </row>
    <row r="48919" spans="20:21" ht="15" customHeight="1" x14ac:dyDescent="0.25">
      <c r="T48919" s="135"/>
      <c r="U48919" s="135"/>
    </row>
    <row r="48920" spans="20:21" ht="15" customHeight="1" x14ac:dyDescent="0.25">
      <c r="T48920" s="135"/>
      <c r="U48920" s="135"/>
    </row>
    <row r="48921" spans="20:21" ht="15" customHeight="1" x14ac:dyDescent="0.25">
      <c r="T48921" s="135"/>
      <c r="U48921" s="135"/>
    </row>
    <row r="48922" spans="20:21" ht="15" customHeight="1" x14ac:dyDescent="0.25">
      <c r="T48922" s="135"/>
      <c r="U48922" s="135"/>
    </row>
    <row r="48923" spans="20:21" ht="15" customHeight="1" x14ac:dyDescent="0.25">
      <c r="T48923" s="135"/>
      <c r="U48923" s="135"/>
    </row>
    <row r="48924" spans="20:21" ht="15" customHeight="1" x14ac:dyDescent="0.25">
      <c r="T48924" s="135"/>
      <c r="U48924" s="135"/>
    </row>
    <row r="48925" spans="20:21" ht="15" customHeight="1" x14ac:dyDescent="0.25">
      <c r="T48925" s="135"/>
      <c r="U48925" s="135"/>
    </row>
    <row r="48926" spans="20:21" ht="15" customHeight="1" x14ac:dyDescent="0.25">
      <c r="T48926" s="135"/>
      <c r="U48926" s="135"/>
    </row>
    <row r="48927" spans="20:21" ht="15" customHeight="1" x14ac:dyDescent="0.25">
      <c r="T48927" s="135"/>
      <c r="U48927" s="135"/>
    </row>
    <row r="48928" spans="20:21" ht="15" customHeight="1" x14ac:dyDescent="0.25">
      <c r="T48928" s="135"/>
      <c r="U48928" s="135"/>
    </row>
    <row r="48929" spans="20:21" ht="15" customHeight="1" x14ac:dyDescent="0.25">
      <c r="T48929" s="135"/>
      <c r="U48929" s="135"/>
    </row>
    <row r="48930" spans="20:21" ht="15" customHeight="1" x14ac:dyDescent="0.25">
      <c r="T48930" s="135"/>
      <c r="U48930" s="135"/>
    </row>
    <row r="48931" spans="20:21" ht="15" customHeight="1" x14ac:dyDescent="0.25">
      <c r="T48931" s="135"/>
      <c r="U48931" s="135"/>
    </row>
    <row r="48932" spans="20:21" ht="15" customHeight="1" x14ac:dyDescent="0.25">
      <c r="T48932" s="135"/>
      <c r="U48932" s="135"/>
    </row>
    <row r="48933" spans="20:21" ht="15" customHeight="1" x14ac:dyDescent="0.25">
      <c r="T48933" s="135"/>
      <c r="U48933" s="135"/>
    </row>
    <row r="48934" spans="20:21" ht="15" customHeight="1" x14ac:dyDescent="0.25">
      <c r="T48934" s="135"/>
      <c r="U48934" s="135"/>
    </row>
    <row r="48935" spans="20:21" ht="15" customHeight="1" x14ac:dyDescent="0.25">
      <c r="T48935" s="135"/>
      <c r="U48935" s="135"/>
    </row>
    <row r="48936" spans="20:21" ht="15" customHeight="1" x14ac:dyDescent="0.25">
      <c r="T48936" s="135"/>
      <c r="U48936" s="135"/>
    </row>
    <row r="48937" spans="20:21" ht="15" customHeight="1" x14ac:dyDescent="0.25">
      <c r="T48937" s="135"/>
      <c r="U48937" s="135"/>
    </row>
    <row r="48938" spans="20:21" ht="15" customHeight="1" x14ac:dyDescent="0.25">
      <c r="T48938" s="135"/>
      <c r="U48938" s="135"/>
    </row>
    <row r="48939" spans="20:21" ht="15" customHeight="1" x14ac:dyDescent="0.25">
      <c r="T48939" s="135"/>
      <c r="U48939" s="135"/>
    </row>
    <row r="48940" spans="20:21" ht="15" customHeight="1" x14ac:dyDescent="0.25">
      <c r="T48940" s="135"/>
      <c r="U48940" s="135"/>
    </row>
    <row r="48941" spans="20:21" ht="15" customHeight="1" x14ac:dyDescent="0.25">
      <c r="T48941" s="135"/>
      <c r="U48941" s="135"/>
    </row>
    <row r="48942" spans="20:21" ht="15" customHeight="1" x14ac:dyDescent="0.25">
      <c r="T48942" s="135"/>
      <c r="U48942" s="135"/>
    </row>
    <row r="48943" spans="20:21" ht="15" customHeight="1" x14ac:dyDescent="0.25">
      <c r="T48943" s="135"/>
      <c r="U48943" s="135"/>
    </row>
    <row r="48944" spans="20:21" ht="15" customHeight="1" x14ac:dyDescent="0.25">
      <c r="T48944" s="135"/>
      <c r="U48944" s="135"/>
    </row>
    <row r="48945" spans="20:21" ht="15" customHeight="1" x14ac:dyDescent="0.25">
      <c r="T48945" s="135"/>
      <c r="U48945" s="135"/>
    </row>
    <row r="48946" spans="20:21" ht="15" customHeight="1" x14ac:dyDescent="0.25">
      <c r="T48946" s="135"/>
      <c r="U48946" s="135"/>
    </row>
    <row r="48947" spans="20:21" ht="15" customHeight="1" x14ac:dyDescent="0.25">
      <c r="T48947" s="135"/>
      <c r="U48947" s="135"/>
    </row>
    <row r="48948" spans="20:21" ht="15" customHeight="1" x14ac:dyDescent="0.25">
      <c r="T48948" s="135"/>
      <c r="U48948" s="135"/>
    </row>
    <row r="48949" spans="20:21" ht="15" customHeight="1" x14ac:dyDescent="0.25">
      <c r="T48949" s="135"/>
      <c r="U48949" s="135"/>
    </row>
    <row r="48950" spans="20:21" ht="15" customHeight="1" x14ac:dyDescent="0.25">
      <c r="T48950" s="135"/>
      <c r="U48950" s="135"/>
    </row>
    <row r="48951" spans="20:21" ht="15" customHeight="1" x14ac:dyDescent="0.25">
      <c r="T48951" s="135"/>
      <c r="U48951" s="135"/>
    </row>
    <row r="48952" spans="20:21" ht="15" customHeight="1" x14ac:dyDescent="0.25">
      <c r="T48952" s="135"/>
      <c r="U48952" s="135"/>
    </row>
    <row r="48953" spans="20:21" ht="15" customHeight="1" x14ac:dyDescent="0.25">
      <c r="T48953" s="135"/>
      <c r="U48953" s="135"/>
    </row>
    <row r="48954" spans="20:21" ht="15" customHeight="1" x14ac:dyDescent="0.25">
      <c r="T48954" s="135"/>
      <c r="U48954" s="135"/>
    </row>
    <row r="48955" spans="20:21" ht="15" customHeight="1" x14ac:dyDescent="0.25">
      <c r="T48955" s="135"/>
      <c r="U48955" s="135"/>
    </row>
    <row r="48956" spans="20:21" ht="15" customHeight="1" x14ac:dyDescent="0.25">
      <c r="T48956" s="135"/>
      <c r="U48956" s="135"/>
    </row>
    <row r="48957" spans="20:21" ht="15" customHeight="1" x14ac:dyDescent="0.25">
      <c r="T48957" s="135"/>
      <c r="U48957" s="135"/>
    </row>
    <row r="48958" spans="20:21" ht="15" customHeight="1" x14ac:dyDescent="0.25">
      <c r="T48958" s="135"/>
      <c r="U48958" s="135"/>
    </row>
    <row r="48959" spans="20:21" ht="15" customHeight="1" x14ac:dyDescent="0.25">
      <c r="T48959" s="135"/>
      <c r="U48959" s="135"/>
    </row>
    <row r="48960" spans="20:21" ht="15" customHeight="1" x14ac:dyDescent="0.25">
      <c r="T48960" s="135"/>
      <c r="U48960" s="135"/>
    </row>
    <row r="48961" spans="20:21" ht="15" customHeight="1" x14ac:dyDescent="0.25">
      <c r="T48961" s="135"/>
      <c r="U48961" s="135"/>
    </row>
    <row r="48962" spans="20:21" ht="15" customHeight="1" x14ac:dyDescent="0.25">
      <c r="T48962" s="135"/>
      <c r="U48962" s="135"/>
    </row>
    <row r="48963" spans="20:21" ht="15" customHeight="1" x14ac:dyDescent="0.25">
      <c r="T48963" s="135"/>
      <c r="U48963" s="135"/>
    </row>
    <row r="48964" spans="20:21" ht="15" customHeight="1" x14ac:dyDescent="0.25">
      <c r="T48964" s="135"/>
      <c r="U48964" s="135"/>
    </row>
    <row r="48965" spans="20:21" ht="15" customHeight="1" x14ac:dyDescent="0.25">
      <c r="T48965" s="135"/>
      <c r="U48965" s="135"/>
    </row>
    <row r="48966" spans="20:21" ht="15" customHeight="1" x14ac:dyDescent="0.25">
      <c r="T48966" s="135"/>
      <c r="U48966" s="135"/>
    </row>
    <row r="48967" spans="20:21" ht="15" customHeight="1" x14ac:dyDescent="0.25">
      <c r="T48967" s="135"/>
      <c r="U48967" s="135"/>
    </row>
    <row r="48968" spans="20:21" ht="15" customHeight="1" x14ac:dyDescent="0.25">
      <c r="T48968" s="135"/>
      <c r="U48968" s="135"/>
    </row>
    <row r="48969" spans="20:21" ht="15" customHeight="1" x14ac:dyDescent="0.25">
      <c r="T48969" s="135"/>
      <c r="U48969" s="135"/>
    </row>
    <row r="48970" spans="20:21" ht="15" customHeight="1" x14ac:dyDescent="0.25">
      <c r="T48970" s="135"/>
      <c r="U48970" s="135"/>
    </row>
    <row r="48971" spans="20:21" ht="15" customHeight="1" x14ac:dyDescent="0.25">
      <c r="T48971" s="135"/>
      <c r="U48971" s="135"/>
    </row>
    <row r="48972" spans="20:21" ht="15" customHeight="1" x14ac:dyDescent="0.25">
      <c r="T48972" s="135"/>
      <c r="U48972" s="135"/>
    </row>
    <row r="48973" spans="20:21" ht="15" customHeight="1" x14ac:dyDescent="0.25">
      <c r="T48973" s="135"/>
      <c r="U48973" s="135"/>
    </row>
    <row r="48974" spans="20:21" ht="15" customHeight="1" x14ac:dyDescent="0.25">
      <c r="T48974" s="135"/>
      <c r="U48974" s="135"/>
    </row>
    <row r="48975" spans="20:21" ht="15" customHeight="1" x14ac:dyDescent="0.25">
      <c r="T48975" s="135"/>
      <c r="U48975" s="135"/>
    </row>
    <row r="48976" spans="20:21" ht="15" customHeight="1" x14ac:dyDescent="0.25">
      <c r="T48976" s="135"/>
      <c r="U48976" s="135"/>
    </row>
    <row r="48977" spans="20:21" ht="15" customHeight="1" x14ac:dyDescent="0.25">
      <c r="T48977" s="135"/>
      <c r="U48977" s="135"/>
    </row>
    <row r="48978" spans="20:21" ht="15" customHeight="1" x14ac:dyDescent="0.25">
      <c r="T48978" s="135"/>
      <c r="U48978" s="135"/>
    </row>
    <row r="48979" spans="20:21" ht="15" customHeight="1" x14ac:dyDescent="0.25">
      <c r="T48979" s="135"/>
      <c r="U48979" s="135"/>
    </row>
    <row r="48980" spans="20:21" ht="15" customHeight="1" x14ac:dyDescent="0.25">
      <c r="T48980" s="135"/>
      <c r="U48980" s="135"/>
    </row>
    <row r="48981" spans="20:21" ht="15" customHeight="1" x14ac:dyDescent="0.25">
      <c r="T48981" s="135"/>
      <c r="U48981" s="135"/>
    </row>
    <row r="48982" spans="20:21" ht="15" customHeight="1" x14ac:dyDescent="0.25">
      <c r="T48982" s="135"/>
      <c r="U48982" s="135"/>
    </row>
    <row r="48983" spans="20:21" ht="15" customHeight="1" x14ac:dyDescent="0.25">
      <c r="T48983" s="135"/>
      <c r="U48983" s="135"/>
    </row>
    <row r="48984" spans="20:21" ht="15" customHeight="1" x14ac:dyDescent="0.25">
      <c r="T48984" s="135"/>
      <c r="U48984" s="135"/>
    </row>
    <row r="48985" spans="20:21" ht="15" customHeight="1" x14ac:dyDescent="0.25">
      <c r="T48985" s="135"/>
      <c r="U48985" s="135"/>
    </row>
    <row r="48986" spans="20:21" ht="15" customHeight="1" x14ac:dyDescent="0.25">
      <c r="T48986" s="135"/>
      <c r="U48986" s="135"/>
    </row>
    <row r="48987" spans="20:21" ht="15" customHeight="1" x14ac:dyDescent="0.25">
      <c r="T48987" s="135"/>
      <c r="U48987" s="135"/>
    </row>
    <row r="48988" spans="20:21" ht="15" customHeight="1" x14ac:dyDescent="0.25">
      <c r="T48988" s="135"/>
      <c r="U48988" s="135"/>
    </row>
    <row r="48989" spans="20:21" ht="15" customHeight="1" x14ac:dyDescent="0.25">
      <c r="T48989" s="135"/>
      <c r="U48989" s="135"/>
    </row>
    <row r="48990" spans="20:21" ht="15" customHeight="1" x14ac:dyDescent="0.25">
      <c r="T48990" s="135"/>
      <c r="U48990" s="135"/>
    </row>
    <row r="48991" spans="20:21" ht="15" customHeight="1" x14ac:dyDescent="0.25">
      <c r="T48991" s="135"/>
      <c r="U48991" s="135"/>
    </row>
    <row r="48992" spans="20:21" ht="15" customHeight="1" x14ac:dyDescent="0.25">
      <c r="T48992" s="135"/>
      <c r="U48992" s="135"/>
    </row>
    <row r="48993" spans="20:21" ht="15" customHeight="1" x14ac:dyDescent="0.25">
      <c r="T48993" s="135"/>
      <c r="U48993" s="135"/>
    </row>
    <row r="48994" spans="20:21" ht="15" customHeight="1" x14ac:dyDescent="0.25">
      <c r="T48994" s="135"/>
      <c r="U48994" s="135"/>
    </row>
    <row r="48995" spans="20:21" ht="15" customHeight="1" x14ac:dyDescent="0.25">
      <c r="T48995" s="135"/>
      <c r="U48995" s="135"/>
    </row>
    <row r="48996" spans="20:21" ht="15" customHeight="1" x14ac:dyDescent="0.25">
      <c r="T48996" s="135"/>
      <c r="U48996" s="135"/>
    </row>
    <row r="48997" spans="20:21" ht="15" customHeight="1" x14ac:dyDescent="0.25">
      <c r="T48997" s="135"/>
      <c r="U48997" s="135"/>
    </row>
    <row r="48998" spans="20:21" ht="15" customHeight="1" x14ac:dyDescent="0.25">
      <c r="T48998" s="135"/>
      <c r="U48998" s="135"/>
    </row>
    <row r="48999" spans="20:21" ht="15" customHeight="1" x14ac:dyDescent="0.25">
      <c r="T48999" s="135"/>
      <c r="U48999" s="135"/>
    </row>
    <row r="49000" spans="20:21" ht="15" customHeight="1" x14ac:dyDescent="0.25">
      <c r="T49000" s="135"/>
      <c r="U49000" s="135"/>
    </row>
    <row r="49001" spans="20:21" ht="15" customHeight="1" x14ac:dyDescent="0.25">
      <c r="T49001" s="135"/>
      <c r="U49001" s="135"/>
    </row>
    <row r="49002" spans="20:21" ht="15" customHeight="1" x14ac:dyDescent="0.25">
      <c r="T49002" s="135"/>
      <c r="U49002" s="135"/>
    </row>
    <row r="49003" spans="20:21" ht="15" customHeight="1" x14ac:dyDescent="0.25">
      <c r="T49003" s="135"/>
      <c r="U49003" s="135"/>
    </row>
    <row r="49004" spans="20:21" ht="15" customHeight="1" x14ac:dyDescent="0.25">
      <c r="T49004" s="135"/>
      <c r="U49004" s="135"/>
    </row>
    <row r="49005" spans="20:21" ht="15" customHeight="1" x14ac:dyDescent="0.25">
      <c r="T49005" s="135"/>
      <c r="U49005" s="135"/>
    </row>
    <row r="49006" spans="20:21" ht="15" customHeight="1" x14ac:dyDescent="0.25">
      <c r="T49006" s="135"/>
      <c r="U49006" s="135"/>
    </row>
    <row r="49007" spans="20:21" ht="15" customHeight="1" x14ac:dyDescent="0.25">
      <c r="T49007" s="135"/>
      <c r="U49007" s="135"/>
    </row>
    <row r="49008" spans="20:21" ht="15" customHeight="1" x14ac:dyDescent="0.25">
      <c r="T49008" s="135"/>
      <c r="U49008" s="135"/>
    </row>
    <row r="49009" spans="20:21" ht="15" customHeight="1" x14ac:dyDescent="0.25">
      <c r="T49009" s="135"/>
      <c r="U49009" s="135"/>
    </row>
    <row r="49010" spans="20:21" ht="15" customHeight="1" x14ac:dyDescent="0.25">
      <c r="T49010" s="135"/>
      <c r="U49010" s="135"/>
    </row>
    <row r="49011" spans="20:21" ht="15" customHeight="1" x14ac:dyDescent="0.25">
      <c r="T49011" s="135"/>
      <c r="U49011" s="135"/>
    </row>
    <row r="49012" spans="20:21" ht="15" customHeight="1" x14ac:dyDescent="0.25">
      <c r="T49012" s="135"/>
      <c r="U49012" s="135"/>
    </row>
    <row r="49013" spans="20:21" ht="15" customHeight="1" x14ac:dyDescent="0.25">
      <c r="T49013" s="135"/>
      <c r="U49013" s="135"/>
    </row>
    <row r="49014" spans="20:21" ht="15" customHeight="1" x14ac:dyDescent="0.25">
      <c r="T49014" s="135"/>
      <c r="U49014" s="135"/>
    </row>
    <row r="49015" spans="20:21" ht="15" customHeight="1" x14ac:dyDescent="0.25">
      <c r="T49015" s="135"/>
      <c r="U49015" s="135"/>
    </row>
    <row r="49016" spans="20:21" ht="15" customHeight="1" x14ac:dyDescent="0.25">
      <c r="T49016" s="135"/>
      <c r="U49016" s="135"/>
    </row>
    <row r="49017" spans="20:21" ht="15" customHeight="1" x14ac:dyDescent="0.25">
      <c r="T49017" s="135"/>
      <c r="U49017" s="135"/>
    </row>
    <row r="49018" spans="20:21" ht="15" customHeight="1" x14ac:dyDescent="0.25">
      <c r="T49018" s="135"/>
      <c r="U49018" s="135"/>
    </row>
    <row r="49019" spans="20:21" ht="15" customHeight="1" x14ac:dyDescent="0.25">
      <c r="T49019" s="135"/>
      <c r="U49019" s="135"/>
    </row>
    <row r="49020" spans="20:21" ht="15" customHeight="1" x14ac:dyDescent="0.25">
      <c r="T49020" s="135"/>
      <c r="U49020" s="135"/>
    </row>
    <row r="49021" spans="20:21" ht="15" customHeight="1" x14ac:dyDescent="0.25">
      <c r="T49021" s="135"/>
      <c r="U49021" s="135"/>
    </row>
    <row r="49022" spans="20:21" ht="15" customHeight="1" x14ac:dyDescent="0.25">
      <c r="T49022" s="135"/>
      <c r="U49022" s="135"/>
    </row>
    <row r="49023" spans="20:21" ht="15" customHeight="1" x14ac:dyDescent="0.25">
      <c r="T49023" s="135"/>
      <c r="U49023" s="135"/>
    </row>
    <row r="49024" spans="20:21" ht="15" customHeight="1" x14ac:dyDescent="0.25">
      <c r="T49024" s="135"/>
      <c r="U49024" s="135"/>
    </row>
    <row r="49025" spans="20:21" ht="15" customHeight="1" x14ac:dyDescent="0.25">
      <c r="T49025" s="135"/>
      <c r="U49025" s="135"/>
    </row>
    <row r="49026" spans="20:21" ht="15" customHeight="1" x14ac:dyDescent="0.25">
      <c r="T49026" s="135"/>
      <c r="U49026" s="135"/>
    </row>
    <row r="49027" spans="20:21" ht="15" customHeight="1" x14ac:dyDescent="0.25">
      <c r="T49027" s="135"/>
      <c r="U49027" s="135"/>
    </row>
    <row r="49028" spans="20:21" ht="15" customHeight="1" x14ac:dyDescent="0.25">
      <c r="T49028" s="135"/>
      <c r="U49028" s="135"/>
    </row>
    <row r="49029" spans="20:21" ht="15" customHeight="1" x14ac:dyDescent="0.25">
      <c r="T49029" s="135"/>
      <c r="U49029" s="135"/>
    </row>
    <row r="49030" spans="20:21" ht="15" customHeight="1" x14ac:dyDescent="0.25">
      <c r="T49030" s="135"/>
      <c r="U49030" s="135"/>
    </row>
    <row r="49031" spans="20:21" ht="15" customHeight="1" x14ac:dyDescent="0.25">
      <c r="T49031" s="135"/>
      <c r="U49031" s="135"/>
    </row>
    <row r="49032" spans="20:21" ht="15" customHeight="1" x14ac:dyDescent="0.25">
      <c r="T49032" s="135"/>
      <c r="U49032" s="135"/>
    </row>
    <row r="49033" spans="20:21" ht="15" customHeight="1" x14ac:dyDescent="0.25">
      <c r="T49033" s="135"/>
      <c r="U49033" s="135"/>
    </row>
    <row r="49034" spans="20:21" ht="15" customHeight="1" x14ac:dyDescent="0.25">
      <c r="T49034" s="135"/>
      <c r="U49034" s="135"/>
    </row>
    <row r="49035" spans="20:21" ht="15" customHeight="1" x14ac:dyDescent="0.25">
      <c r="T49035" s="135"/>
      <c r="U49035" s="135"/>
    </row>
    <row r="49036" spans="20:21" ht="15" customHeight="1" x14ac:dyDescent="0.25">
      <c r="T49036" s="135"/>
      <c r="U49036" s="135"/>
    </row>
    <row r="49037" spans="20:21" ht="15" customHeight="1" x14ac:dyDescent="0.25">
      <c r="T49037" s="135"/>
      <c r="U49037" s="135"/>
    </row>
    <row r="49038" spans="20:21" ht="15" customHeight="1" x14ac:dyDescent="0.25">
      <c r="T49038" s="135"/>
      <c r="U49038" s="135"/>
    </row>
    <row r="49039" spans="20:21" ht="15" customHeight="1" x14ac:dyDescent="0.25">
      <c r="T49039" s="135"/>
      <c r="U49039" s="135"/>
    </row>
    <row r="49040" spans="20:21" ht="15" customHeight="1" x14ac:dyDescent="0.25">
      <c r="T49040" s="135"/>
      <c r="U49040" s="135"/>
    </row>
    <row r="49041" spans="20:21" ht="15" customHeight="1" x14ac:dyDescent="0.25">
      <c r="T49041" s="135"/>
      <c r="U49041" s="135"/>
    </row>
    <row r="49042" spans="20:21" ht="15" customHeight="1" x14ac:dyDescent="0.25">
      <c r="T49042" s="135"/>
      <c r="U49042" s="135"/>
    </row>
    <row r="49043" spans="20:21" ht="15" customHeight="1" x14ac:dyDescent="0.25">
      <c r="T49043" s="135"/>
      <c r="U49043" s="135"/>
    </row>
    <row r="49044" spans="20:21" ht="15" customHeight="1" x14ac:dyDescent="0.25">
      <c r="T49044" s="135"/>
      <c r="U49044" s="135"/>
    </row>
    <row r="49045" spans="20:21" ht="15" customHeight="1" x14ac:dyDescent="0.25">
      <c r="T49045" s="135"/>
      <c r="U49045" s="135"/>
    </row>
    <row r="49046" spans="20:21" ht="15" customHeight="1" x14ac:dyDescent="0.25">
      <c r="T49046" s="135"/>
      <c r="U49046" s="135"/>
    </row>
    <row r="49047" spans="20:21" ht="15" customHeight="1" x14ac:dyDescent="0.25">
      <c r="T49047" s="135"/>
      <c r="U49047" s="135"/>
    </row>
    <row r="49048" spans="20:21" ht="15" customHeight="1" x14ac:dyDescent="0.25">
      <c r="T49048" s="135"/>
      <c r="U49048" s="135"/>
    </row>
    <row r="49049" spans="20:21" ht="15" customHeight="1" x14ac:dyDescent="0.25">
      <c r="T49049" s="135"/>
      <c r="U49049" s="135"/>
    </row>
    <row r="49050" spans="20:21" ht="15" customHeight="1" x14ac:dyDescent="0.25">
      <c r="T49050" s="135"/>
      <c r="U49050" s="135"/>
    </row>
    <row r="49051" spans="20:21" ht="15" customHeight="1" x14ac:dyDescent="0.25">
      <c r="T49051" s="135"/>
      <c r="U49051" s="135"/>
    </row>
    <row r="49052" spans="20:21" ht="15" customHeight="1" x14ac:dyDescent="0.25">
      <c r="T49052" s="135"/>
      <c r="U49052" s="135"/>
    </row>
    <row r="49053" spans="20:21" ht="15" customHeight="1" x14ac:dyDescent="0.25">
      <c r="T49053" s="135"/>
      <c r="U49053" s="135"/>
    </row>
    <row r="49054" spans="20:21" ht="15" customHeight="1" x14ac:dyDescent="0.25">
      <c r="T49054" s="135"/>
      <c r="U49054" s="135"/>
    </row>
    <row r="49055" spans="20:21" ht="15" customHeight="1" x14ac:dyDescent="0.25">
      <c r="T49055" s="135"/>
      <c r="U49055" s="135"/>
    </row>
    <row r="49056" spans="20:21" ht="15" customHeight="1" x14ac:dyDescent="0.25">
      <c r="T49056" s="135"/>
      <c r="U49056" s="135"/>
    </row>
    <row r="49057" spans="20:21" ht="15" customHeight="1" x14ac:dyDescent="0.25">
      <c r="T49057" s="135"/>
      <c r="U49057" s="135"/>
    </row>
    <row r="49058" spans="20:21" ht="15" customHeight="1" x14ac:dyDescent="0.25">
      <c r="T49058" s="135"/>
      <c r="U49058" s="135"/>
    </row>
    <row r="49059" spans="20:21" ht="15" customHeight="1" x14ac:dyDescent="0.25">
      <c r="T49059" s="135"/>
      <c r="U49059" s="135"/>
    </row>
    <row r="49060" spans="20:21" ht="15" customHeight="1" x14ac:dyDescent="0.25">
      <c r="T49060" s="135"/>
      <c r="U49060" s="135"/>
    </row>
    <row r="49061" spans="20:21" ht="15" customHeight="1" x14ac:dyDescent="0.25">
      <c r="T49061" s="135"/>
      <c r="U49061" s="135"/>
    </row>
    <row r="49062" spans="20:21" ht="15" customHeight="1" x14ac:dyDescent="0.25">
      <c r="T49062" s="135"/>
      <c r="U49062" s="135"/>
    </row>
    <row r="49063" spans="20:21" ht="15" customHeight="1" x14ac:dyDescent="0.25">
      <c r="T49063" s="135"/>
      <c r="U49063" s="135"/>
    </row>
    <row r="49064" spans="20:21" ht="15" customHeight="1" x14ac:dyDescent="0.25">
      <c r="T49064" s="135"/>
      <c r="U49064" s="135"/>
    </row>
    <row r="49065" spans="20:21" ht="15" customHeight="1" x14ac:dyDescent="0.25">
      <c r="T49065" s="135"/>
      <c r="U49065" s="135"/>
    </row>
    <row r="49066" spans="20:21" ht="15" customHeight="1" x14ac:dyDescent="0.25">
      <c r="T49066" s="135"/>
      <c r="U49066" s="135"/>
    </row>
    <row r="49067" spans="20:21" ht="15" customHeight="1" x14ac:dyDescent="0.25">
      <c r="T49067" s="135"/>
      <c r="U49067" s="135"/>
    </row>
    <row r="49068" spans="20:21" ht="15" customHeight="1" x14ac:dyDescent="0.25">
      <c r="T49068" s="135"/>
      <c r="U49068" s="135"/>
    </row>
    <row r="49069" spans="20:21" ht="15" customHeight="1" x14ac:dyDescent="0.25">
      <c r="T49069" s="135"/>
      <c r="U49069" s="135"/>
    </row>
    <row r="49070" spans="20:21" ht="15" customHeight="1" x14ac:dyDescent="0.25">
      <c r="T49070" s="135"/>
      <c r="U49070" s="135"/>
    </row>
    <row r="49071" spans="20:21" ht="15" customHeight="1" x14ac:dyDescent="0.25">
      <c r="T49071" s="135"/>
      <c r="U49071" s="135"/>
    </row>
    <row r="49072" spans="20:21" ht="15" customHeight="1" x14ac:dyDescent="0.25">
      <c r="T49072" s="135"/>
      <c r="U49072" s="135"/>
    </row>
    <row r="49073" spans="20:21" ht="15" customHeight="1" x14ac:dyDescent="0.25">
      <c r="T49073" s="135"/>
      <c r="U49073" s="135"/>
    </row>
    <row r="49074" spans="20:21" ht="15" customHeight="1" x14ac:dyDescent="0.25">
      <c r="T49074" s="135"/>
      <c r="U49074" s="135"/>
    </row>
    <row r="49075" spans="20:21" ht="15" customHeight="1" x14ac:dyDescent="0.25">
      <c r="T49075" s="135"/>
      <c r="U49075" s="135"/>
    </row>
    <row r="49076" spans="20:21" ht="15" customHeight="1" x14ac:dyDescent="0.25">
      <c r="T49076" s="135"/>
      <c r="U49076" s="135"/>
    </row>
    <row r="49077" spans="20:21" ht="15" customHeight="1" x14ac:dyDescent="0.25">
      <c r="T49077" s="135"/>
      <c r="U49077" s="135"/>
    </row>
    <row r="49078" spans="20:21" ht="15" customHeight="1" x14ac:dyDescent="0.25">
      <c r="T49078" s="135"/>
      <c r="U49078" s="135"/>
    </row>
    <row r="49079" spans="20:21" ht="15" customHeight="1" x14ac:dyDescent="0.25">
      <c r="T49079" s="135"/>
      <c r="U49079" s="135"/>
    </row>
    <row r="49080" spans="20:21" ht="15" customHeight="1" x14ac:dyDescent="0.25">
      <c r="T49080" s="135"/>
      <c r="U49080" s="135"/>
    </row>
    <row r="49081" spans="20:21" ht="15" customHeight="1" x14ac:dyDescent="0.25">
      <c r="T49081" s="135"/>
      <c r="U49081" s="135"/>
    </row>
    <row r="49082" spans="20:21" ht="15" customHeight="1" x14ac:dyDescent="0.25">
      <c r="T49082" s="135"/>
      <c r="U49082" s="135"/>
    </row>
    <row r="49083" spans="20:21" ht="15" customHeight="1" x14ac:dyDescent="0.25">
      <c r="T49083" s="135"/>
      <c r="U49083" s="135"/>
    </row>
    <row r="49084" spans="20:21" ht="15" customHeight="1" x14ac:dyDescent="0.25">
      <c r="T49084" s="135"/>
      <c r="U49084" s="135"/>
    </row>
    <row r="49085" spans="20:21" ht="15" customHeight="1" x14ac:dyDescent="0.25">
      <c r="T49085" s="135"/>
      <c r="U49085" s="135"/>
    </row>
    <row r="49086" spans="20:21" ht="15" customHeight="1" x14ac:dyDescent="0.25">
      <c r="T49086" s="135"/>
      <c r="U49086" s="135"/>
    </row>
    <row r="49087" spans="20:21" ht="15" customHeight="1" x14ac:dyDescent="0.25">
      <c r="T49087" s="135"/>
      <c r="U49087" s="135"/>
    </row>
    <row r="49088" spans="20:21" ht="15" customHeight="1" x14ac:dyDescent="0.25">
      <c r="T49088" s="135"/>
      <c r="U49088" s="135"/>
    </row>
    <row r="49089" spans="20:21" ht="15" customHeight="1" x14ac:dyDescent="0.25">
      <c r="T49089" s="135"/>
      <c r="U49089" s="135"/>
    </row>
    <row r="49090" spans="20:21" ht="15" customHeight="1" x14ac:dyDescent="0.25">
      <c r="T49090" s="135"/>
      <c r="U49090" s="135"/>
    </row>
    <row r="49091" spans="20:21" ht="15" customHeight="1" x14ac:dyDescent="0.25">
      <c r="T49091" s="135"/>
      <c r="U49091" s="135"/>
    </row>
    <row r="49092" spans="20:21" ht="15" customHeight="1" x14ac:dyDescent="0.25">
      <c r="T49092" s="135"/>
      <c r="U49092" s="135"/>
    </row>
    <row r="49093" spans="20:21" ht="15" customHeight="1" x14ac:dyDescent="0.25">
      <c r="T49093" s="135"/>
      <c r="U49093" s="135"/>
    </row>
    <row r="49094" spans="20:21" ht="15" customHeight="1" x14ac:dyDescent="0.25">
      <c r="T49094" s="135"/>
      <c r="U49094" s="135"/>
    </row>
    <row r="49095" spans="20:21" ht="15" customHeight="1" x14ac:dyDescent="0.25">
      <c r="T49095" s="135"/>
      <c r="U49095" s="135"/>
    </row>
    <row r="49096" spans="20:21" ht="15" customHeight="1" x14ac:dyDescent="0.25">
      <c r="T49096" s="135"/>
      <c r="U49096" s="135"/>
    </row>
    <row r="49097" spans="20:21" ht="15" customHeight="1" x14ac:dyDescent="0.25">
      <c r="T49097" s="135"/>
      <c r="U49097" s="135"/>
    </row>
    <row r="49098" spans="20:21" ht="15" customHeight="1" x14ac:dyDescent="0.25">
      <c r="T49098" s="135"/>
      <c r="U49098" s="135"/>
    </row>
    <row r="49099" spans="20:21" ht="15" customHeight="1" x14ac:dyDescent="0.25">
      <c r="T49099" s="135"/>
      <c r="U49099" s="135"/>
    </row>
    <row r="49100" spans="20:21" ht="15" customHeight="1" x14ac:dyDescent="0.25">
      <c r="T49100" s="135"/>
      <c r="U49100" s="135"/>
    </row>
    <row r="49101" spans="20:21" ht="15" customHeight="1" x14ac:dyDescent="0.25">
      <c r="T49101" s="135"/>
      <c r="U49101" s="135"/>
    </row>
    <row r="49102" spans="20:21" ht="15" customHeight="1" x14ac:dyDescent="0.25">
      <c r="T49102" s="135"/>
      <c r="U49102" s="135"/>
    </row>
    <row r="49103" spans="20:21" ht="15" customHeight="1" x14ac:dyDescent="0.25">
      <c r="T49103" s="135"/>
      <c r="U49103" s="135"/>
    </row>
    <row r="49104" spans="20:21" ht="15" customHeight="1" x14ac:dyDescent="0.25">
      <c r="T49104" s="135"/>
      <c r="U49104" s="135"/>
    </row>
    <row r="49105" spans="20:21" ht="15" customHeight="1" x14ac:dyDescent="0.25">
      <c r="T49105" s="135"/>
      <c r="U49105" s="135"/>
    </row>
    <row r="49106" spans="20:21" ht="15" customHeight="1" x14ac:dyDescent="0.25">
      <c r="T49106" s="135"/>
      <c r="U49106" s="135"/>
    </row>
    <row r="49107" spans="20:21" ht="15" customHeight="1" x14ac:dyDescent="0.25">
      <c r="T49107" s="135"/>
      <c r="U49107" s="135"/>
    </row>
    <row r="49108" spans="20:21" ht="15" customHeight="1" x14ac:dyDescent="0.25">
      <c r="T49108" s="135"/>
      <c r="U49108" s="135"/>
    </row>
    <row r="49109" spans="20:21" ht="15" customHeight="1" x14ac:dyDescent="0.25">
      <c r="T49109" s="135"/>
      <c r="U49109" s="135"/>
    </row>
    <row r="49110" spans="20:21" ht="15" customHeight="1" x14ac:dyDescent="0.25">
      <c r="T49110" s="135"/>
      <c r="U49110" s="135"/>
    </row>
    <row r="49111" spans="20:21" ht="15" customHeight="1" x14ac:dyDescent="0.25">
      <c r="T49111" s="135"/>
      <c r="U49111" s="135"/>
    </row>
    <row r="49112" spans="20:21" ht="15" customHeight="1" x14ac:dyDescent="0.25">
      <c r="T49112" s="135"/>
      <c r="U49112" s="135"/>
    </row>
    <row r="49113" spans="20:21" ht="15" customHeight="1" x14ac:dyDescent="0.25">
      <c r="T49113" s="135"/>
      <c r="U49113" s="135"/>
    </row>
    <row r="49114" spans="20:21" ht="15" customHeight="1" x14ac:dyDescent="0.25">
      <c r="T49114" s="135"/>
      <c r="U49114" s="135"/>
    </row>
    <row r="49115" spans="20:21" ht="15" customHeight="1" x14ac:dyDescent="0.25">
      <c r="T49115" s="135"/>
      <c r="U49115" s="135"/>
    </row>
    <row r="49116" spans="20:21" ht="15" customHeight="1" x14ac:dyDescent="0.25">
      <c r="T49116" s="135"/>
      <c r="U49116" s="135"/>
    </row>
    <row r="49117" spans="20:21" ht="15" customHeight="1" x14ac:dyDescent="0.25">
      <c r="T49117" s="135"/>
      <c r="U49117" s="135"/>
    </row>
    <row r="49118" spans="20:21" ht="15" customHeight="1" x14ac:dyDescent="0.25">
      <c r="T49118" s="135"/>
      <c r="U49118" s="135"/>
    </row>
    <row r="49119" spans="20:21" ht="15" customHeight="1" x14ac:dyDescent="0.25">
      <c r="T49119" s="135"/>
      <c r="U49119" s="135"/>
    </row>
    <row r="49120" spans="20:21" ht="15" customHeight="1" x14ac:dyDescent="0.25">
      <c r="T49120" s="135"/>
      <c r="U49120" s="135"/>
    </row>
    <row r="49121" spans="20:21" ht="15" customHeight="1" x14ac:dyDescent="0.25">
      <c r="T49121" s="135"/>
      <c r="U49121" s="135"/>
    </row>
    <row r="49122" spans="20:21" ht="15" customHeight="1" x14ac:dyDescent="0.25">
      <c r="T49122" s="135"/>
      <c r="U49122" s="135"/>
    </row>
    <row r="49123" spans="20:21" ht="15" customHeight="1" x14ac:dyDescent="0.25">
      <c r="T49123" s="135"/>
      <c r="U49123" s="135"/>
    </row>
    <row r="49124" spans="20:21" ht="15" customHeight="1" x14ac:dyDescent="0.25">
      <c r="T49124" s="135"/>
      <c r="U49124" s="135"/>
    </row>
    <row r="49125" spans="20:21" ht="15" customHeight="1" x14ac:dyDescent="0.25">
      <c r="T49125" s="135"/>
      <c r="U49125" s="135"/>
    </row>
    <row r="49126" spans="20:21" ht="15" customHeight="1" x14ac:dyDescent="0.25">
      <c r="T49126" s="135"/>
      <c r="U49126" s="135"/>
    </row>
    <row r="49127" spans="20:21" ht="15" customHeight="1" x14ac:dyDescent="0.25">
      <c r="T49127" s="135"/>
      <c r="U49127" s="135"/>
    </row>
    <row r="49128" spans="20:21" ht="15" customHeight="1" x14ac:dyDescent="0.25">
      <c r="T49128" s="135"/>
      <c r="U49128" s="135"/>
    </row>
    <row r="49129" spans="20:21" ht="15" customHeight="1" x14ac:dyDescent="0.25">
      <c r="T49129" s="135"/>
      <c r="U49129" s="135"/>
    </row>
    <row r="49130" spans="20:21" ht="15" customHeight="1" x14ac:dyDescent="0.25">
      <c r="T49130" s="135"/>
      <c r="U49130" s="135"/>
    </row>
    <row r="49131" spans="20:21" ht="15" customHeight="1" x14ac:dyDescent="0.25">
      <c r="T49131" s="135"/>
      <c r="U49131" s="135"/>
    </row>
    <row r="49132" spans="20:21" ht="15" customHeight="1" x14ac:dyDescent="0.25">
      <c r="T49132" s="135"/>
      <c r="U49132" s="135"/>
    </row>
    <row r="49133" spans="20:21" ht="15" customHeight="1" x14ac:dyDescent="0.25">
      <c r="T49133" s="135"/>
      <c r="U49133" s="135"/>
    </row>
    <row r="49134" spans="20:21" ht="15" customHeight="1" x14ac:dyDescent="0.25">
      <c r="T49134" s="135"/>
      <c r="U49134" s="135"/>
    </row>
    <row r="49135" spans="20:21" ht="15" customHeight="1" x14ac:dyDescent="0.25">
      <c r="T49135" s="135"/>
      <c r="U49135" s="135"/>
    </row>
    <row r="49136" spans="20:21" ht="15" customHeight="1" x14ac:dyDescent="0.25">
      <c r="T49136" s="135"/>
      <c r="U49136" s="135"/>
    </row>
    <row r="49137" spans="20:21" ht="15" customHeight="1" x14ac:dyDescent="0.25">
      <c r="T49137" s="135"/>
      <c r="U49137" s="135"/>
    </row>
    <row r="49138" spans="20:21" ht="15" customHeight="1" x14ac:dyDescent="0.25">
      <c r="T49138" s="135"/>
      <c r="U49138" s="135"/>
    </row>
    <row r="49139" spans="20:21" ht="15" customHeight="1" x14ac:dyDescent="0.25">
      <c r="T49139" s="135"/>
      <c r="U49139" s="135"/>
    </row>
    <row r="49140" spans="20:21" ht="15" customHeight="1" x14ac:dyDescent="0.25">
      <c r="T49140" s="135"/>
      <c r="U49140" s="135"/>
    </row>
    <row r="49141" spans="20:21" ht="15" customHeight="1" x14ac:dyDescent="0.25">
      <c r="T49141" s="135"/>
      <c r="U49141" s="135"/>
    </row>
    <row r="49142" spans="20:21" ht="15" customHeight="1" x14ac:dyDescent="0.25">
      <c r="T49142" s="135"/>
      <c r="U49142" s="135"/>
    </row>
    <row r="49143" spans="20:21" ht="15" customHeight="1" x14ac:dyDescent="0.25">
      <c r="T49143" s="135"/>
      <c r="U49143" s="135"/>
    </row>
    <row r="49144" spans="20:21" ht="15" customHeight="1" x14ac:dyDescent="0.25">
      <c r="T49144" s="135"/>
      <c r="U49144" s="135"/>
    </row>
    <row r="49145" spans="20:21" ht="15" customHeight="1" x14ac:dyDescent="0.25">
      <c r="T49145" s="135"/>
      <c r="U49145" s="135"/>
    </row>
    <row r="49146" spans="20:21" ht="15" customHeight="1" x14ac:dyDescent="0.25">
      <c r="T49146" s="135"/>
      <c r="U49146" s="135"/>
    </row>
    <row r="49147" spans="20:21" ht="15" customHeight="1" x14ac:dyDescent="0.25">
      <c r="T49147" s="135"/>
      <c r="U49147" s="135"/>
    </row>
    <row r="49148" spans="20:21" ht="15" customHeight="1" x14ac:dyDescent="0.25">
      <c r="T49148" s="135"/>
      <c r="U49148" s="135"/>
    </row>
    <row r="49149" spans="20:21" ht="15" customHeight="1" x14ac:dyDescent="0.25">
      <c r="T49149" s="135"/>
      <c r="U49149" s="135"/>
    </row>
    <row r="49150" spans="20:21" ht="15" customHeight="1" x14ac:dyDescent="0.25">
      <c r="T49150" s="135"/>
      <c r="U49150" s="135"/>
    </row>
    <row r="49151" spans="20:21" ht="15" customHeight="1" x14ac:dyDescent="0.25">
      <c r="T49151" s="135"/>
      <c r="U49151" s="135"/>
    </row>
    <row r="49152" spans="20:21" ht="15" customHeight="1" x14ac:dyDescent="0.25">
      <c r="T49152" s="135"/>
      <c r="U49152" s="135"/>
    </row>
    <row r="49153" spans="20:21" ht="15" customHeight="1" x14ac:dyDescent="0.25">
      <c r="T49153" s="135"/>
      <c r="U49153" s="135"/>
    </row>
    <row r="49154" spans="20:21" ht="15" customHeight="1" x14ac:dyDescent="0.25">
      <c r="T49154" s="135"/>
      <c r="U49154" s="135"/>
    </row>
    <row r="49155" spans="20:21" ht="15" customHeight="1" x14ac:dyDescent="0.25">
      <c r="T49155" s="135"/>
      <c r="U49155" s="135"/>
    </row>
    <row r="49156" spans="20:21" ht="15" customHeight="1" x14ac:dyDescent="0.25">
      <c r="T49156" s="135"/>
      <c r="U49156" s="135"/>
    </row>
    <row r="49157" spans="20:21" ht="15" customHeight="1" x14ac:dyDescent="0.25">
      <c r="T49157" s="135"/>
      <c r="U49157" s="135"/>
    </row>
    <row r="49158" spans="20:21" ht="15" customHeight="1" x14ac:dyDescent="0.25">
      <c r="T49158" s="135"/>
      <c r="U49158" s="135"/>
    </row>
    <row r="49159" spans="20:21" ht="15" customHeight="1" x14ac:dyDescent="0.25">
      <c r="T49159" s="135"/>
      <c r="U49159" s="135"/>
    </row>
    <row r="49160" spans="20:21" ht="15" customHeight="1" x14ac:dyDescent="0.25">
      <c r="T49160" s="135"/>
      <c r="U49160" s="135"/>
    </row>
    <row r="49161" spans="20:21" ht="15" customHeight="1" x14ac:dyDescent="0.25">
      <c r="T49161" s="135"/>
      <c r="U49161" s="135"/>
    </row>
    <row r="49162" spans="20:21" ht="15" customHeight="1" x14ac:dyDescent="0.25">
      <c r="T49162" s="135"/>
      <c r="U49162" s="135"/>
    </row>
    <row r="49163" spans="20:21" ht="15" customHeight="1" x14ac:dyDescent="0.25">
      <c r="T49163" s="135"/>
      <c r="U49163" s="135"/>
    </row>
    <row r="49164" spans="20:21" ht="15" customHeight="1" x14ac:dyDescent="0.25">
      <c r="T49164" s="135"/>
      <c r="U49164" s="135"/>
    </row>
    <row r="49165" spans="20:21" ht="15" customHeight="1" x14ac:dyDescent="0.25">
      <c r="T49165" s="135"/>
      <c r="U49165" s="135"/>
    </row>
    <row r="49166" spans="20:21" ht="15" customHeight="1" x14ac:dyDescent="0.25">
      <c r="T49166" s="135"/>
      <c r="U49166" s="135"/>
    </row>
    <row r="49167" spans="20:21" ht="15" customHeight="1" x14ac:dyDescent="0.25">
      <c r="T49167" s="135"/>
      <c r="U49167" s="135"/>
    </row>
    <row r="49168" spans="20:21" ht="15" customHeight="1" x14ac:dyDescent="0.25">
      <c r="T49168" s="135"/>
      <c r="U49168" s="135"/>
    </row>
    <row r="49169" spans="20:21" ht="15" customHeight="1" x14ac:dyDescent="0.25">
      <c r="T49169" s="135"/>
      <c r="U49169" s="135"/>
    </row>
    <row r="49170" spans="20:21" ht="15" customHeight="1" x14ac:dyDescent="0.25">
      <c r="T49170" s="135"/>
      <c r="U49170" s="135"/>
    </row>
    <row r="49171" spans="20:21" ht="15" customHeight="1" x14ac:dyDescent="0.25">
      <c r="T49171" s="135"/>
      <c r="U49171" s="135"/>
    </row>
    <row r="49172" spans="20:21" ht="15" customHeight="1" x14ac:dyDescent="0.25">
      <c r="T49172" s="135"/>
      <c r="U49172" s="135"/>
    </row>
    <row r="49173" spans="20:21" ht="15" customHeight="1" x14ac:dyDescent="0.25">
      <c r="T49173" s="135"/>
      <c r="U49173" s="135"/>
    </row>
    <row r="49174" spans="20:21" ht="15" customHeight="1" x14ac:dyDescent="0.25">
      <c r="T49174" s="135"/>
      <c r="U49174" s="135"/>
    </row>
    <row r="49175" spans="20:21" ht="15" customHeight="1" x14ac:dyDescent="0.25">
      <c r="T49175" s="135"/>
      <c r="U49175" s="135"/>
    </row>
    <row r="49176" spans="20:21" ht="15" customHeight="1" x14ac:dyDescent="0.25">
      <c r="T49176" s="135"/>
      <c r="U49176" s="135"/>
    </row>
    <row r="49177" spans="20:21" ht="15" customHeight="1" x14ac:dyDescent="0.25">
      <c r="T49177" s="135"/>
      <c r="U49177" s="135"/>
    </row>
    <row r="49178" spans="20:21" ht="15" customHeight="1" x14ac:dyDescent="0.25">
      <c r="T49178" s="135"/>
      <c r="U49178" s="135"/>
    </row>
    <row r="49179" spans="20:21" ht="15" customHeight="1" x14ac:dyDescent="0.25">
      <c r="T49179" s="135"/>
      <c r="U49179" s="135"/>
    </row>
    <row r="49180" spans="20:21" ht="15" customHeight="1" x14ac:dyDescent="0.25">
      <c r="T49180" s="135"/>
      <c r="U49180" s="135"/>
    </row>
    <row r="49181" spans="20:21" ht="15" customHeight="1" x14ac:dyDescent="0.25">
      <c r="T49181" s="135"/>
      <c r="U49181" s="135"/>
    </row>
    <row r="49182" spans="20:21" ht="15" customHeight="1" x14ac:dyDescent="0.25">
      <c r="T49182" s="135"/>
      <c r="U49182" s="135"/>
    </row>
    <row r="49183" spans="20:21" ht="15" customHeight="1" x14ac:dyDescent="0.25">
      <c r="T49183" s="135"/>
      <c r="U49183" s="135"/>
    </row>
    <row r="49184" spans="20:21" ht="15" customHeight="1" x14ac:dyDescent="0.25">
      <c r="T49184" s="135"/>
      <c r="U49184" s="135"/>
    </row>
    <row r="49185" spans="20:21" ht="15" customHeight="1" x14ac:dyDescent="0.25">
      <c r="T49185" s="135"/>
      <c r="U49185" s="135"/>
    </row>
    <row r="49186" spans="20:21" ht="15" customHeight="1" x14ac:dyDescent="0.25">
      <c r="T49186" s="135"/>
      <c r="U49186" s="135"/>
    </row>
    <row r="49187" spans="20:21" ht="15" customHeight="1" x14ac:dyDescent="0.25">
      <c r="T49187" s="135"/>
      <c r="U49187" s="135"/>
    </row>
    <row r="49188" spans="20:21" ht="15" customHeight="1" x14ac:dyDescent="0.25">
      <c r="T49188" s="135"/>
      <c r="U49188" s="135"/>
    </row>
    <row r="49189" spans="20:21" ht="15" customHeight="1" x14ac:dyDescent="0.25">
      <c r="T49189" s="135"/>
      <c r="U49189" s="135"/>
    </row>
    <row r="49190" spans="20:21" ht="15" customHeight="1" x14ac:dyDescent="0.25">
      <c r="T49190" s="135"/>
      <c r="U49190" s="135"/>
    </row>
    <row r="49191" spans="20:21" ht="15" customHeight="1" x14ac:dyDescent="0.25">
      <c r="T49191" s="135"/>
      <c r="U49191" s="135"/>
    </row>
    <row r="49192" spans="20:21" ht="15" customHeight="1" x14ac:dyDescent="0.25">
      <c r="T49192" s="135"/>
      <c r="U49192" s="135"/>
    </row>
    <row r="49193" spans="20:21" ht="15" customHeight="1" x14ac:dyDescent="0.25">
      <c r="T49193" s="135"/>
      <c r="U49193" s="135"/>
    </row>
    <row r="49194" spans="20:21" ht="15" customHeight="1" x14ac:dyDescent="0.25">
      <c r="T49194" s="135"/>
      <c r="U49194" s="135"/>
    </row>
    <row r="49195" spans="20:21" ht="15" customHeight="1" x14ac:dyDescent="0.25">
      <c r="T49195" s="135"/>
      <c r="U49195" s="135"/>
    </row>
    <row r="49196" spans="20:21" ht="15" customHeight="1" x14ac:dyDescent="0.25">
      <c r="T49196" s="135"/>
      <c r="U49196" s="135"/>
    </row>
    <row r="49197" spans="20:21" ht="15" customHeight="1" x14ac:dyDescent="0.25">
      <c r="T49197" s="135"/>
      <c r="U49197" s="135"/>
    </row>
    <row r="49198" spans="20:21" ht="15" customHeight="1" x14ac:dyDescent="0.25">
      <c r="T49198" s="135"/>
      <c r="U49198" s="135"/>
    </row>
    <row r="49199" spans="20:21" ht="15" customHeight="1" x14ac:dyDescent="0.25">
      <c r="T49199" s="135"/>
      <c r="U49199" s="135"/>
    </row>
    <row r="49200" spans="20:21" ht="15" customHeight="1" x14ac:dyDescent="0.25">
      <c r="T49200" s="135"/>
      <c r="U49200" s="135"/>
    </row>
    <row r="49201" spans="20:21" ht="15" customHeight="1" x14ac:dyDescent="0.25">
      <c r="T49201" s="135"/>
      <c r="U49201" s="135"/>
    </row>
    <row r="49202" spans="20:21" ht="15" customHeight="1" x14ac:dyDescent="0.25">
      <c r="T49202" s="135"/>
      <c r="U49202" s="135"/>
    </row>
    <row r="49203" spans="20:21" ht="15" customHeight="1" x14ac:dyDescent="0.25">
      <c r="T49203" s="135"/>
      <c r="U49203" s="135"/>
    </row>
    <row r="49204" spans="20:21" ht="15" customHeight="1" x14ac:dyDescent="0.25">
      <c r="T49204" s="135"/>
      <c r="U49204" s="135"/>
    </row>
    <row r="49205" spans="20:21" ht="15" customHeight="1" x14ac:dyDescent="0.25">
      <c r="T49205" s="135"/>
      <c r="U49205" s="135"/>
    </row>
    <row r="49206" spans="20:21" ht="15" customHeight="1" x14ac:dyDescent="0.25">
      <c r="T49206" s="135"/>
      <c r="U49206" s="135"/>
    </row>
    <row r="49207" spans="20:21" ht="15" customHeight="1" x14ac:dyDescent="0.25">
      <c r="T49207" s="135"/>
      <c r="U49207" s="135"/>
    </row>
    <row r="49208" spans="20:21" ht="15" customHeight="1" x14ac:dyDescent="0.25">
      <c r="T49208" s="135"/>
      <c r="U49208" s="135"/>
    </row>
    <row r="49209" spans="20:21" ht="15" customHeight="1" x14ac:dyDescent="0.25">
      <c r="T49209" s="135"/>
      <c r="U49209" s="135"/>
    </row>
    <row r="49210" spans="20:21" ht="15" customHeight="1" x14ac:dyDescent="0.25">
      <c r="T49210" s="135"/>
      <c r="U49210" s="135"/>
    </row>
    <row r="49211" spans="20:21" ht="15" customHeight="1" x14ac:dyDescent="0.25">
      <c r="T49211" s="135"/>
      <c r="U49211" s="135"/>
    </row>
    <row r="49212" spans="20:21" ht="15" customHeight="1" x14ac:dyDescent="0.25">
      <c r="T49212" s="135"/>
      <c r="U49212" s="135"/>
    </row>
    <row r="49213" spans="20:21" ht="15" customHeight="1" x14ac:dyDescent="0.25">
      <c r="T49213" s="135"/>
      <c r="U49213" s="135"/>
    </row>
    <row r="49214" spans="20:21" ht="15" customHeight="1" x14ac:dyDescent="0.25">
      <c r="T49214" s="135"/>
      <c r="U49214" s="135"/>
    </row>
    <row r="49215" spans="20:21" ht="15" customHeight="1" x14ac:dyDescent="0.25">
      <c r="T49215" s="135"/>
      <c r="U49215" s="135"/>
    </row>
    <row r="49216" spans="20:21" ht="15" customHeight="1" x14ac:dyDescent="0.25">
      <c r="T49216" s="135"/>
      <c r="U49216" s="135"/>
    </row>
    <row r="49217" spans="20:21" ht="15" customHeight="1" x14ac:dyDescent="0.25">
      <c r="T49217" s="135"/>
      <c r="U49217" s="135"/>
    </row>
    <row r="49218" spans="20:21" ht="15" customHeight="1" x14ac:dyDescent="0.25">
      <c r="T49218" s="135"/>
      <c r="U49218" s="135"/>
    </row>
    <row r="49219" spans="20:21" ht="15" customHeight="1" x14ac:dyDescent="0.25">
      <c r="T49219" s="135"/>
      <c r="U49219" s="135"/>
    </row>
    <row r="49220" spans="20:21" ht="15" customHeight="1" x14ac:dyDescent="0.25">
      <c r="T49220" s="135"/>
      <c r="U49220" s="135"/>
    </row>
    <row r="49221" spans="20:21" ht="15" customHeight="1" x14ac:dyDescent="0.25">
      <c r="T49221" s="135"/>
      <c r="U49221" s="135"/>
    </row>
    <row r="49222" spans="20:21" ht="15" customHeight="1" x14ac:dyDescent="0.25">
      <c r="T49222" s="135"/>
      <c r="U49222" s="135"/>
    </row>
    <row r="49223" spans="20:21" ht="15" customHeight="1" x14ac:dyDescent="0.25">
      <c r="T49223" s="135"/>
      <c r="U49223" s="135"/>
    </row>
    <row r="49224" spans="20:21" ht="15" customHeight="1" x14ac:dyDescent="0.25">
      <c r="T49224" s="135"/>
      <c r="U49224" s="135"/>
    </row>
    <row r="49225" spans="20:21" ht="15" customHeight="1" x14ac:dyDescent="0.25">
      <c r="T49225" s="135"/>
      <c r="U49225" s="135"/>
    </row>
    <row r="49226" spans="20:21" ht="15" customHeight="1" x14ac:dyDescent="0.25">
      <c r="T49226" s="135"/>
      <c r="U49226" s="135"/>
    </row>
    <row r="49227" spans="20:21" ht="15" customHeight="1" x14ac:dyDescent="0.25">
      <c r="T49227" s="135"/>
      <c r="U49227" s="135"/>
    </row>
    <row r="49228" spans="20:21" ht="15" customHeight="1" x14ac:dyDescent="0.25">
      <c r="T49228" s="135"/>
      <c r="U49228" s="135"/>
    </row>
    <row r="49229" spans="20:21" ht="15" customHeight="1" x14ac:dyDescent="0.25">
      <c r="T49229" s="135"/>
      <c r="U49229" s="135"/>
    </row>
    <row r="49230" spans="20:21" ht="15" customHeight="1" x14ac:dyDescent="0.25">
      <c r="T49230" s="135"/>
      <c r="U49230" s="135"/>
    </row>
    <row r="49231" spans="20:21" ht="15" customHeight="1" x14ac:dyDescent="0.25">
      <c r="T49231" s="135"/>
      <c r="U49231" s="135"/>
    </row>
    <row r="49232" spans="20:21" ht="15" customHeight="1" x14ac:dyDescent="0.25">
      <c r="T49232" s="135"/>
      <c r="U49232" s="135"/>
    </row>
    <row r="49233" spans="20:21" ht="15" customHeight="1" x14ac:dyDescent="0.25">
      <c r="T49233" s="135"/>
      <c r="U49233" s="135"/>
    </row>
    <row r="49234" spans="20:21" ht="15" customHeight="1" x14ac:dyDescent="0.25">
      <c r="T49234" s="135"/>
      <c r="U49234" s="135"/>
    </row>
    <row r="49235" spans="20:21" ht="15" customHeight="1" x14ac:dyDescent="0.25">
      <c r="T49235" s="135"/>
      <c r="U49235" s="135"/>
    </row>
    <row r="49236" spans="20:21" ht="15" customHeight="1" x14ac:dyDescent="0.25">
      <c r="T49236" s="135"/>
      <c r="U49236" s="135"/>
    </row>
    <row r="49237" spans="20:21" ht="15" customHeight="1" x14ac:dyDescent="0.25">
      <c r="T49237" s="135"/>
      <c r="U49237" s="135"/>
    </row>
    <row r="49238" spans="20:21" ht="15" customHeight="1" x14ac:dyDescent="0.25">
      <c r="T49238" s="135"/>
      <c r="U49238" s="135"/>
    </row>
    <row r="49239" spans="20:21" ht="15" customHeight="1" x14ac:dyDescent="0.25">
      <c r="T49239" s="135"/>
      <c r="U49239" s="135"/>
    </row>
    <row r="49240" spans="20:21" ht="15" customHeight="1" x14ac:dyDescent="0.25">
      <c r="T49240" s="135"/>
      <c r="U49240" s="135"/>
    </row>
    <row r="49241" spans="20:21" ht="15" customHeight="1" x14ac:dyDescent="0.25">
      <c r="T49241" s="135"/>
      <c r="U49241" s="135"/>
    </row>
    <row r="49242" spans="20:21" ht="15" customHeight="1" x14ac:dyDescent="0.25">
      <c r="T49242" s="135"/>
      <c r="U49242" s="135"/>
    </row>
    <row r="49243" spans="20:21" ht="15" customHeight="1" x14ac:dyDescent="0.25">
      <c r="T49243" s="135"/>
      <c r="U49243" s="135"/>
    </row>
    <row r="49244" spans="20:21" ht="15" customHeight="1" x14ac:dyDescent="0.25">
      <c r="T49244" s="135"/>
      <c r="U49244" s="135"/>
    </row>
    <row r="49245" spans="20:21" ht="15" customHeight="1" x14ac:dyDescent="0.25">
      <c r="T49245" s="135"/>
      <c r="U49245" s="135"/>
    </row>
    <row r="49246" spans="20:21" ht="15" customHeight="1" x14ac:dyDescent="0.25">
      <c r="T49246" s="135"/>
      <c r="U49246" s="135"/>
    </row>
    <row r="49247" spans="20:21" ht="15" customHeight="1" x14ac:dyDescent="0.25">
      <c r="T49247" s="135"/>
      <c r="U49247" s="135"/>
    </row>
    <row r="49248" spans="20:21" ht="15" customHeight="1" x14ac:dyDescent="0.25">
      <c r="T49248" s="135"/>
      <c r="U49248" s="135"/>
    </row>
    <row r="49249" spans="20:21" ht="15" customHeight="1" x14ac:dyDescent="0.25">
      <c r="T49249" s="135"/>
      <c r="U49249" s="135"/>
    </row>
    <row r="49250" spans="20:21" ht="15" customHeight="1" x14ac:dyDescent="0.25">
      <c r="T49250" s="135"/>
      <c r="U49250" s="135"/>
    </row>
    <row r="49251" spans="20:21" ht="15" customHeight="1" x14ac:dyDescent="0.25">
      <c r="T49251" s="135"/>
      <c r="U49251" s="135"/>
    </row>
    <row r="49252" spans="20:21" ht="15" customHeight="1" x14ac:dyDescent="0.25">
      <c r="T49252" s="135"/>
      <c r="U49252" s="135"/>
    </row>
    <row r="49253" spans="20:21" ht="15" customHeight="1" x14ac:dyDescent="0.25">
      <c r="T49253" s="135"/>
      <c r="U49253" s="135"/>
    </row>
    <row r="49254" spans="20:21" ht="15" customHeight="1" x14ac:dyDescent="0.25">
      <c r="T49254" s="135"/>
      <c r="U49254" s="135"/>
    </row>
    <row r="49255" spans="20:21" ht="15" customHeight="1" x14ac:dyDescent="0.25">
      <c r="T49255" s="135"/>
      <c r="U49255" s="135"/>
    </row>
    <row r="49256" spans="20:21" ht="15" customHeight="1" x14ac:dyDescent="0.25">
      <c r="T49256" s="135"/>
      <c r="U49256" s="135"/>
    </row>
    <row r="49257" spans="20:21" ht="15" customHeight="1" x14ac:dyDescent="0.25">
      <c r="T49257" s="135"/>
      <c r="U49257" s="135"/>
    </row>
    <row r="49258" spans="20:21" ht="15" customHeight="1" x14ac:dyDescent="0.25">
      <c r="T49258" s="135"/>
      <c r="U49258" s="135"/>
    </row>
    <row r="49259" spans="20:21" ht="15" customHeight="1" x14ac:dyDescent="0.25">
      <c r="T49259" s="135"/>
      <c r="U49259" s="135"/>
    </row>
    <row r="49260" spans="20:21" ht="15" customHeight="1" x14ac:dyDescent="0.25">
      <c r="T49260" s="135"/>
      <c r="U49260" s="135"/>
    </row>
    <row r="49261" spans="20:21" ht="15" customHeight="1" x14ac:dyDescent="0.25">
      <c r="T49261" s="135"/>
      <c r="U49261" s="135"/>
    </row>
    <row r="49262" spans="20:21" ht="15" customHeight="1" x14ac:dyDescent="0.25">
      <c r="T49262" s="135"/>
      <c r="U49262" s="135"/>
    </row>
    <row r="49263" spans="20:21" ht="15" customHeight="1" x14ac:dyDescent="0.25">
      <c r="T49263" s="135"/>
      <c r="U49263" s="135"/>
    </row>
    <row r="49264" spans="20:21" ht="15" customHeight="1" x14ac:dyDescent="0.25">
      <c r="T49264" s="135"/>
      <c r="U49264" s="135"/>
    </row>
    <row r="49265" spans="20:21" ht="15" customHeight="1" x14ac:dyDescent="0.25">
      <c r="T49265" s="135"/>
      <c r="U49265" s="135"/>
    </row>
    <row r="49266" spans="20:21" ht="15" customHeight="1" x14ac:dyDescent="0.25">
      <c r="T49266" s="135"/>
      <c r="U49266" s="135"/>
    </row>
    <row r="49267" spans="20:21" ht="15" customHeight="1" x14ac:dyDescent="0.25">
      <c r="T49267" s="135"/>
      <c r="U49267" s="135"/>
    </row>
    <row r="49268" spans="20:21" ht="15" customHeight="1" x14ac:dyDescent="0.25">
      <c r="T49268" s="135"/>
      <c r="U49268" s="135"/>
    </row>
    <row r="49269" spans="20:21" ht="15" customHeight="1" x14ac:dyDescent="0.25">
      <c r="T49269" s="135"/>
      <c r="U49269" s="135"/>
    </row>
    <row r="49270" spans="20:21" ht="15" customHeight="1" x14ac:dyDescent="0.25">
      <c r="T49270" s="135"/>
      <c r="U49270" s="135"/>
    </row>
    <row r="49271" spans="20:21" ht="15" customHeight="1" x14ac:dyDescent="0.25">
      <c r="T49271" s="135"/>
      <c r="U49271" s="135"/>
    </row>
    <row r="49272" spans="20:21" ht="15" customHeight="1" x14ac:dyDescent="0.25">
      <c r="T49272" s="135"/>
      <c r="U49272" s="135"/>
    </row>
    <row r="49273" spans="20:21" ht="15" customHeight="1" x14ac:dyDescent="0.25">
      <c r="T49273" s="135"/>
      <c r="U49273" s="135"/>
    </row>
    <row r="49274" spans="20:21" ht="15" customHeight="1" x14ac:dyDescent="0.25">
      <c r="T49274" s="135"/>
      <c r="U49274" s="135"/>
    </row>
    <row r="49275" spans="20:21" ht="15" customHeight="1" x14ac:dyDescent="0.25">
      <c r="T49275" s="135"/>
      <c r="U49275" s="135"/>
    </row>
    <row r="49276" spans="20:21" ht="15" customHeight="1" x14ac:dyDescent="0.25">
      <c r="T49276" s="135"/>
      <c r="U49276" s="135"/>
    </row>
    <row r="49277" spans="20:21" ht="15" customHeight="1" x14ac:dyDescent="0.25">
      <c r="T49277" s="135"/>
      <c r="U49277" s="135"/>
    </row>
    <row r="49278" spans="20:21" ht="15" customHeight="1" x14ac:dyDescent="0.25">
      <c r="T49278" s="135"/>
      <c r="U49278" s="135"/>
    </row>
    <row r="49279" spans="20:21" ht="15" customHeight="1" x14ac:dyDescent="0.25">
      <c r="T49279" s="135"/>
      <c r="U49279" s="135"/>
    </row>
    <row r="49280" spans="20:21" ht="15" customHeight="1" x14ac:dyDescent="0.25">
      <c r="T49280" s="135"/>
      <c r="U49280" s="135"/>
    </row>
    <row r="49281" spans="20:21" ht="15" customHeight="1" x14ac:dyDescent="0.25">
      <c r="T49281" s="135"/>
      <c r="U49281" s="135"/>
    </row>
    <row r="49282" spans="20:21" ht="15" customHeight="1" x14ac:dyDescent="0.25">
      <c r="T49282" s="135"/>
      <c r="U49282" s="135"/>
    </row>
    <row r="49283" spans="20:21" ht="15" customHeight="1" x14ac:dyDescent="0.25">
      <c r="T49283" s="135"/>
      <c r="U49283" s="135"/>
    </row>
    <row r="49284" spans="20:21" ht="15" customHeight="1" x14ac:dyDescent="0.25">
      <c r="T49284" s="135"/>
      <c r="U49284" s="135"/>
    </row>
    <row r="49285" spans="20:21" ht="15" customHeight="1" x14ac:dyDescent="0.25">
      <c r="T49285" s="135"/>
      <c r="U49285" s="135"/>
    </row>
    <row r="49286" spans="20:21" ht="15" customHeight="1" x14ac:dyDescent="0.25">
      <c r="T49286" s="135"/>
      <c r="U49286" s="135"/>
    </row>
    <row r="49287" spans="20:21" ht="15" customHeight="1" x14ac:dyDescent="0.25">
      <c r="T49287" s="135"/>
      <c r="U49287" s="135"/>
    </row>
    <row r="49288" spans="20:21" ht="15" customHeight="1" x14ac:dyDescent="0.25">
      <c r="T49288" s="135"/>
      <c r="U49288" s="135"/>
    </row>
    <row r="49289" spans="20:21" ht="15" customHeight="1" x14ac:dyDescent="0.25">
      <c r="T49289" s="135"/>
      <c r="U49289" s="135"/>
    </row>
    <row r="49290" spans="20:21" ht="15" customHeight="1" x14ac:dyDescent="0.25">
      <c r="T49290" s="135"/>
      <c r="U49290" s="135"/>
    </row>
    <row r="49291" spans="20:21" ht="15" customHeight="1" x14ac:dyDescent="0.25">
      <c r="T49291" s="135"/>
      <c r="U49291" s="135"/>
    </row>
    <row r="49292" spans="20:21" ht="15" customHeight="1" x14ac:dyDescent="0.25">
      <c r="T49292" s="135"/>
      <c r="U49292" s="135"/>
    </row>
    <row r="49293" spans="20:21" ht="15" customHeight="1" x14ac:dyDescent="0.25">
      <c r="T49293" s="135"/>
      <c r="U49293" s="135"/>
    </row>
    <row r="49294" spans="20:21" ht="15" customHeight="1" x14ac:dyDescent="0.25">
      <c r="T49294" s="135"/>
      <c r="U49294" s="135"/>
    </row>
    <row r="49295" spans="20:21" ht="15" customHeight="1" x14ac:dyDescent="0.25">
      <c r="T49295" s="135"/>
      <c r="U49295" s="135"/>
    </row>
    <row r="49296" spans="20:21" ht="15" customHeight="1" x14ac:dyDescent="0.25">
      <c r="T49296" s="135"/>
      <c r="U49296" s="135"/>
    </row>
    <row r="49297" spans="20:21" ht="15" customHeight="1" x14ac:dyDescent="0.25">
      <c r="T49297" s="135"/>
      <c r="U49297" s="135"/>
    </row>
    <row r="49298" spans="20:21" ht="15" customHeight="1" x14ac:dyDescent="0.25">
      <c r="T49298" s="135"/>
      <c r="U49298" s="135"/>
    </row>
    <row r="49299" spans="20:21" ht="15" customHeight="1" x14ac:dyDescent="0.25">
      <c r="T49299" s="135"/>
      <c r="U49299" s="135"/>
    </row>
    <row r="49300" spans="20:21" ht="15" customHeight="1" x14ac:dyDescent="0.25">
      <c r="T49300" s="135"/>
      <c r="U49300" s="135"/>
    </row>
    <row r="49301" spans="20:21" ht="15" customHeight="1" x14ac:dyDescent="0.25">
      <c r="T49301" s="135"/>
      <c r="U49301" s="135"/>
    </row>
    <row r="49302" spans="20:21" ht="15" customHeight="1" x14ac:dyDescent="0.25">
      <c r="T49302" s="135"/>
      <c r="U49302" s="135"/>
    </row>
    <row r="49303" spans="20:21" ht="15" customHeight="1" x14ac:dyDescent="0.25">
      <c r="T49303" s="135"/>
      <c r="U49303" s="135"/>
    </row>
    <row r="49304" spans="20:21" ht="15" customHeight="1" x14ac:dyDescent="0.25">
      <c r="T49304" s="135"/>
      <c r="U49304" s="135"/>
    </row>
    <row r="49305" spans="20:21" ht="15" customHeight="1" x14ac:dyDescent="0.25">
      <c r="T49305" s="135"/>
      <c r="U49305" s="135"/>
    </row>
    <row r="49306" spans="20:21" ht="15" customHeight="1" x14ac:dyDescent="0.25">
      <c r="T49306" s="135"/>
      <c r="U49306" s="135"/>
    </row>
    <row r="49307" spans="20:21" ht="15" customHeight="1" x14ac:dyDescent="0.25">
      <c r="T49307" s="135"/>
      <c r="U49307" s="135"/>
    </row>
    <row r="49308" spans="20:21" ht="15" customHeight="1" x14ac:dyDescent="0.25">
      <c r="T49308" s="135"/>
      <c r="U49308" s="135"/>
    </row>
    <row r="49309" spans="20:21" ht="15" customHeight="1" x14ac:dyDescent="0.25">
      <c r="T49309" s="135"/>
      <c r="U49309" s="135"/>
    </row>
    <row r="49310" spans="20:21" ht="15" customHeight="1" x14ac:dyDescent="0.25">
      <c r="T49310" s="135"/>
      <c r="U49310" s="135"/>
    </row>
    <row r="49311" spans="20:21" ht="15" customHeight="1" x14ac:dyDescent="0.25">
      <c r="T49311" s="135"/>
      <c r="U49311" s="135"/>
    </row>
    <row r="49312" spans="20:21" ht="15" customHeight="1" x14ac:dyDescent="0.25">
      <c r="T49312" s="135"/>
      <c r="U49312" s="135"/>
    </row>
    <row r="49313" spans="20:21" ht="15" customHeight="1" x14ac:dyDescent="0.25">
      <c r="T49313" s="135"/>
      <c r="U49313" s="135"/>
    </row>
    <row r="49314" spans="20:21" ht="15" customHeight="1" x14ac:dyDescent="0.25">
      <c r="T49314" s="135"/>
      <c r="U49314" s="135"/>
    </row>
    <row r="49315" spans="20:21" ht="15" customHeight="1" x14ac:dyDescent="0.25">
      <c r="T49315" s="135"/>
      <c r="U49315" s="135"/>
    </row>
    <row r="49316" spans="20:21" ht="15" customHeight="1" x14ac:dyDescent="0.25">
      <c r="T49316" s="135"/>
      <c r="U49316" s="135"/>
    </row>
    <row r="49317" spans="20:21" ht="15" customHeight="1" x14ac:dyDescent="0.25">
      <c r="T49317" s="135"/>
      <c r="U49317" s="135"/>
    </row>
    <row r="49318" spans="20:21" ht="15" customHeight="1" x14ac:dyDescent="0.25">
      <c r="T49318" s="135"/>
      <c r="U49318" s="135"/>
    </row>
    <row r="49319" spans="20:21" ht="15" customHeight="1" x14ac:dyDescent="0.25">
      <c r="T49319" s="135"/>
      <c r="U49319" s="135"/>
    </row>
    <row r="49320" spans="20:21" ht="15" customHeight="1" x14ac:dyDescent="0.25">
      <c r="T49320" s="135"/>
      <c r="U49320" s="135"/>
    </row>
    <row r="49321" spans="20:21" ht="15" customHeight="1" x14ac:dyDescent="0.25">
      <c r="T49321" s="135"/>
      <c r="U49321" s="135"/>
    </row>
    <row r="49322" spans="20:21" ht="15" customHeight="1" x14ac:dyDescent="0.25">
      <c r="T49322" s="135"/>
      <c r="U49322" s="135"/>
    </row>
    <row r="49323" spans="20:21" ht="15" customHeight="1" x14ac:dyDescent="0.25">
      <c r="T49323" s="135"/>
      <c r="U49323" s="135"/>
    </row>
    <row r="49324" spans="20:21" ht="15" customHeight="1" x14ac:dyDescent="0.25">
      <c r="T49324" s="135"/>
      <c r="U49324" s="135"/>
    </row>
    <row r="49325" spans="20:21" ht="15" customHeight="1" x14ac:dyDescent="0.25">
      <c r="T49325" s="135"/>
      <c r="U49325" s="135"/>
    </row>
    <row r="49326" spans="20:21" ht="15" customHeight="1" x14ac:dyDescent="0.25">
      <c r="T49326" s="135"/>
      <c r="U49326" s="135"/>
    </row>
    <row r="49327" spans="20:21" ht="15" customHeight="1" x14ac:dyDescent="0.25">
      <c r="T49327" s="135"/>
      <c r="U49327" s="135"/>
    </row>
    <row r="49328" spans="20:21" ht="15" customHeight="1" x14ac:dyDescent="0.25">
      <c r="T49328" s="135"/>
      <c r="U49328" s="135"/>
    </row>
    <row r="49329" spans="20:21" ht="15" customHeight="1" x14ac:dyDescent="0.25">
      <c r="T49329" s="135"/>
      <c r="U49329" s="135"/>
    </row>
    <row r="49330" spans="20:21" ht="15" customHeight="1" x14ac:dyDescent="0.25">
      <c r="T49330" s="135"/>
      <c r="U49330" s="135"/>
    </row>
    <row r="49331" spans="20:21" ht="15" customHeight="1" x14ac:dyDescent="0.25">
      <c r="T49331" s="135"/>
      <c r="U49331" s="135"/>
    </row>
    <row r="49332" spans="20:21" ht="15" customHeight="1" x14ac:dyDescent="0.25">
      <c r="T49332" s="135"/>
      <c r="U49332" s="135"/>
    </row>
    <row r="49333" spans="20:21" ht="15" customHeight="1" x14ac:dyDescent="0.25">
      <c r="T49333" s="135"/>
      <c r="U49333" s="135"/>
    </row>
    <row r="49334" spans="20:21" ht="15" customHeight="1" x14ac:dyDescent="0.25">
      <c r="T49334" s="135"/>
      <c r="U49334" s="135"/>
    </row>
    <row r="49335" spans="20:21" ht="15" customHeight="1" x14ac:dyDescent="0.25">
      <c r="T49335" s="135"/>
      <c r="U49335" s="135"/>
    </row>
    <row r="49336" spans="20:21" ht="15" customHeight="1" x14ac:dyDescent="0.25">
      <c r="T49336" s="135"/>
      <c r="U49336" s="135"/>
    </row>
    <row r="49337" spans="20:21" ht="15" customHeight="1" x14ac:dyDescent="0.25">
      <c r="T49337" s="135"/>
      <c r="U49337" s="135"/>
    </row>
    <row r="49338" spans="20:21" ht="15" customHeight="1" x14ac:dyDescent="0.25">
      <c r="T49338" s="135"/>
      <c r="U49338" s="135"/>
    </row>
    <row r="49339" spans="20:21" ht="15" customHeight="1" x14ac:dyDescent="0.25">
      <c r="T49339" s="135"/>
      <c r="U49339" s="135"/>
    </row>
    <row r="49340" spans="20:21" ht="15" customHeight="1" x14ac:dyDescent="0.25">
      <c r="T49340" s="135"/>
      <c r="U49340" s="135"/>
    </row>
    <row r="49341" spans="20:21" ht="15" customHeight="1" x14ac:dyDescent="0.25">
      <c r="T49341" s="135"/>
      <c r="U49341" s="135"/>
    </row>
    <row r="49342" spans="20:21" ht="15" customHeight="1" x14ac:dyDescent="0.25">
      <c r="T49342" s="135"/>
      <c r="U49342" s="135"/>
    </row>
    <row r="49343" spans="20:21" ht="15" customHeight="1" x14ac:dyDescent="0.25">
      <c r="T49343" s="135"/>
      <c r="U49343" s="135"/>
    </row>
    <row r="49344" spans="20:21" ht="15" customHeight="1" x14ac:dyDescent="0.25">
      <c r="T49344" s="135"/>
      <c r="U49344" s="135"/>
    </row>
    <row r="49345" spans="20:21" ht="15" customHeight="1" x14ac:dyDescent="0.25">
      <c r="T49345" s="135"/>
      <c r="U49345" s="135"/>
    </row>
    <row r="49346" spans="20:21" ht="15" customHeight="1" x14ac:dyDescent="0.25">
      <c r="T49346" s="135"/>
      <c r="U49346" s="135"/>
    </row>
    <row r="49347" spans="20:21" ht="15" customHeight="1" x14ac:dyDescent="0.25">
      <c r="T49347" s="135"/>
      <c r="U49347" s="135"/>
    </row>
    <row r="49348" spans="20:21" ht="15" customHeight="1" x14ac:dyDescent="0.25">
      <c r="T49348" s="135"/>
      <c r="U49348" s="135"/>
    </row>
    <row r="49349" spans="20:21" ht="15" customHeight="1" x14ac:dyDescent="0.25">
      <c r="T49349" s="135"/>
      <c r="U49349" s="135"/>
    </row>
    <row r="49350" spans="20:21" ht="15" customHeight="1" x14ac:dyDescent="0.25">
      <c r="T49350" s="135"/>
      <c r="U49350" s="135"/>
    </row>
    <row r="49351" spans="20:21" ht="15" customHeight="1" x14ac:dyDescent="0.25">
      <c r="T49351" s="135"/>
      <c r="U49351" s="135"/>
    </row>
    <row r="49352" spans="20:21" ht="15" customHeight="1" x14ac:dyDescent="0.25">
      <c r="T49352" s="135"/>
      <c r="U49352" s="135"/>
    </row>
    <row r="49353" spans="20:21" ht="15" customHeight="1" x14ac:dyDescent="0.25">
      <c r="T49353" s="135"/>
      <c r="U49353" s="135"/>
    </row>
    <row r="49354" spans="20:21" ht="15" customHeight="1" x14ac:dyDescent="0.25">
      <c r="T49354" s="135"/>
      <c r="U49354" s="135"/>
    </row>
    <row r="49355" spans="20:21" ht="15" customHeight="1" x14ac:dyDescent="0.25">
      <c r="T49355" s="135"/>
      <c r="U49355" s="135"/>
    </row>
    <row r="49356" spans="20:21" ht="15" customHeight="1" x14ac:dyDescent="0.25">
      <c r="T49356" s="135"/>
      <c r="U49356" s="135"/>
    </row>
    <row r="49357" spans="20:21" ht="15" customHeight="1" x14ac:dyDescent="0.25">
      <c r="T49357" s="135"/>
      <c r="U49357" s="135"/>
    </row>
    <row r="49358" spans="20:21" ht="15" customHeight="1" x14ac:dyDescent="0.25">
      <c r="T49358" s="135"/>
      <c r="U49358" s="135"/>
    </row>
    <row r="49359" spans="20:21" ht="15" customHeight="1" x14ac:dyDescent="0.25">
      <c r="T49359" s="135"/>
      <c r="U49359" s="135"/>
    </row>
    <row r="49360" spans="20:21" ht="15" customHeight="1" x14ac:dyDescent="0.25">
      <c r="T49360" s="135"/>
      <c r="U49360" s="135"/>
    </row>
    <row r="49361" spans="20:21" ht="15" customHeight="1" x14ac:dyDescent="0.25">
      <c r="T49361" s="135"/>
      <c r="U49361" s="135"/>
    </row>
    <row r="49362" spans="20:21" ht="15" customHeight="1" x14ac:dyDescent="0.25">
      <c r="T49362" s="135"/>
      <c r="U49362" s="135"/>
    </row>
    <row r="49363" spans="20:21" ht="15" customHeight="1" x14ac:dyDescent="0.25">
      <c r="T49363" s="135"/>
      <c r="U49363" s="135"/>
    </row>
    <row r="49364" spans="20:21" ht="15" customHeight="1" x14ac:dyDescent="0.25">
      <c r="T49364" s="135"/>
      <c r="U49364" s="135"/>
    </row>
    <row r="49365" spans="20:21" ht="15" customHeight="1" x14ac:dyDescent="0.25">
      <c r="T49365" s="135"/>
      <c r="U49365" s="135"/>
    </row>
    <row r="49366" spans="20:21" ht="15" customHeight="1" x14ac:dyDescent="0.25">
      <c r="T49366" s="135"/>
      <c r="U49366" s="135"/>
    </row>
    <row r="49367" spans="20:21" ht="15" customHeight="1" x14ac:dyDescent="0.25">
      <c r="T49367" s="135"/>
      <c r="U49367" s="135"/>
    </row>
    <row r="49368" spans="20:21" ht="15" customHeight="1" x14ac:dyDescent="0.25">
      <c r="T49368" s="135"/>
      <c r="U49368" s="135"/>
    </row>
    <row r="49369" spans="20:21" ht="15" customHeight="1" x14ac:dyDescent="0.25">
      <c r="T49369" s="135"/>
      <c r="U49369" s="135"/>
    </row>
    <row r="49370" spans="20:21" ht="15" customHeight="1" x14ac:dyDescent="0.25">
      <c r="T49370" s="135"/>
      <c r="U49370" s="135"/>
    </row>
    <row r="49371" spans="20:21" ht="15" customHeight="1" x14ac:dyDescent="0.25">
      <c r="T49371" s="135"/>
      <c r="U49371" s="135"/>
    </row>
    <row r="49372" spans="20:21" ht="15" customHeight="1" x14ac:dyDescent="0.25">
      <c r="T49372" s="135"/>
      <c r="U49372" s="135"/>
    </row>
    <row r="49373" spans="20:21" ht="15" customHeight="1" x14ac:dyDescent="0.25">
      <c r="T49373" s="135"/>
      <c r="U49373" s="135"/>
    </row>
    <row r="49374" spans="20:21" ht="15" customHeight="1" x14ac:dyDescent="0.25">
      <c r="T49374" s="135"/>
      <c r="U49374" s="135"/>
    </row>
    <row r="49375" spans="20:21" ht="15" customHeight="1" x14ac:dyDescent="0.25">
      <c r="T49375" s="135"/>
      <c r="U49375" s="135"/>
    </row>
    <row r="49376" spans="20:21" ht="15" customHeight="1" x14ac:dyDescent="0.25">
      <c r="T49376" s="135"/>
      <c r="U49376" s="135"/>
    </row>
    <row r="49377" spans="20:21" ht="15" customHeight="1" x14ac:dyDescent="0.25">
      <c r="T49377" s="135"/>
      <c r="U49377" s="135"/>
    </row>
    <row r="49378" spans="20:21" ht="15" customHeight="1" x14ac:dyDescent="0.25">
      <c r="T49378" s="135"/>
      <c r="U49378" s="135"/>
    </row>
    <row r="49379" spans="20:21" ht="15" customHeight="1" x14ac:dyDescent="0.25">
      <c r="T49379" s="135"/>
      <c r="U49379" s="135"/>
    </row>
    <row r="49380" spans="20:21" ht="15" customHeight="1" x14ac:dyDescent="0.25">
      <c r="T49380" s="135"/>
      <c r="U49380" s="135"/>
    </row>
    <row r="49381" spans="20:21" ht="15" customHeight="1" x14ac:dyDescent="0.25">
      <c r="T49381" s="135"/>
      <c r="U49381" s="135"/>
    </row>
    <row r="49382" spans="20:21" ht="15" customHeight="1" x14ac:dyDescent="0.25">
      <c r="T49382" s="135"/>
      <c r="U49382" s="135"/>
    </row>
    <row r="49383" spans="20:21" ht="15" customHeight="1" x14ac:dyDescent="0.25">
      <c r="T49383" s="135"/>
      <c r="U49383" s="135"/>
    </row>
    <row r="49384" spans="20:21" ht="15" customHeight="1" x14ac:dyDescent="0.25">
      <c r="T49384" s="135"/>
      <c r="U49384" s="135"/>
    </row>
    <row r="49385" spans="20:21" ht="15" customHeight="1" x14ac:dyDescent="0.25">
      <c r="T49385" s="135"/>
      <c r="U49385" s="135"/>
    </row>
    <row r="49386" spans="20:21" ht="15" customHeight="1" x14ac:dyDescent="0.25">
      <c r="T49386" s="135"/>
      <c r="U49386" s="135"/>
    </row>
    <row r="49387" spans="20:21" ht="15" customHeight="1" x14ac:dyDescent="0.25">
      <c r="T49387" s="135"/>
      <c r="U49387" s="135"/>
    </row>
    <row r="49388" spans="20:21" ht="15" customHeight="1" x14ac:dyDescent="0.25">
      <c r="T49388" s="135"/>
      <c r="U49388" s="135"/>
    </row>
    <row r="49389" spans="20:21" ht="15" customHeight="1" x14ac:dyDescent="0.25">
      <c r="T49389" s="135"/>
      <c r="U49389" s="135"/>
    </row>
    <row r="49390" spans="20:21" ht="15" customHeight="1" x14ac:dyDescent="0.25">
      <c r="T49390" s="135"/>
      <c r="U49390" s="135"/>
    </row>
    <row r="49391" spans="20:21" ht="15" customHeight="1" x14ac:dyDescent="0.25">
      <c r="T49391" s="135"/>
      <c r="U49391" s="135"/>
    </row>
    <row r="49392" spans="20:21" ht="15" customHeight="1" x14ac:dyDescent="0.25">
      <c r="T49392" s="135"/>
      <c r="U49392" s="135"/>
    </row>
    <row r="49393" spans="20:21" ht="15" customHeight="1" x14ac:dyDescent="0.25">
      <c r="T49393" s="135"/>
      <c r="U49393" s="135"/>
    </row>
    <row r="49394" spans="20:21" ht="15" customHeight="1" x14ac:dyDescent="0.25">
      <c r="T49394" s="135"/>
      <c r="U49394" s="135"/>
    </row>
    <row r="49395" spans="20:21" ht="15" customHeight="1" x14ac:dyDescent="0.25">
      <c r="T49395" s="135"/>
      <c r="U49395" s="135"/>
    </row>
    <row r="49396" spans="20:21" ht="15" customHeight="1" x14ac:dyDescent="0.25">
      <c r="T49396" s="135"/>
      <c r="U49396" s="135"/>
    </row>
    <row r="49397" spans="20:21" ht="15" customHeight="1" x14ac:dyDescent="0.25">
      <c r="T49397" s="135"/>
      <c r="U49397" s="135"/>
    </row>
    <row r="49398" spans="20:21" ht="15" customHeight="1" x14ac:dyDescent="0.25">
      <c r="T49398" s="135"/>
      <c r="U49398" s="135"/>
    </row>
    <row r="49399" spans="20:21" ht="15" customHeight="1" x14ac:dyDescent="0.25">
      <c r="T49399" s="135"/>
      <c r="U49399" s="135"/>
    </row>
    <row r="49400" spans="20:21" ht="15" customHeight="1" x14ac:dyDescent="0.25">
      <c r="T49400" s="135"/>
      <c r="U49400" s="135"/>
    </row>
    <row r="49401" spans="20:21" ht="15" customHeight="1" x14ac:dyDescent="0.25">
      <c r="T49401" s="135"/>
      <c r="U49401" s="135"/>
    </row>
    <row r="49402" spans="20:21" ht="15" customHeight="1" x14ac:dyDescent="0.25">
      <c r="T49402" s="135"/>
      <c r="U49402" s="135"/>
    </row>
    <row r="49403" spans="20:21" ht="15" customHeight="1" x14ac:dyDescent="0.25">
      <c r="T49403" s="135"/>
      <c r="U49403" s="135"/>
    </row>
    <row r="49404" spans="20:21" ht="15" customHeight="1" x14ac:dyDescent="0.25">
      <c r="T49404" s="135"/>
      <c r="U49404" s="135"/>
    </row>
    <row r="49405" spans="20:21" ht="15" customHeight="1" x14ac:dyDescent="0.25">
      <c r="T49405" s="135"/>
      <c r="U49405" s="135"/>
    </row>
    <row r="49406" spans="20:21" ht="15" customHeight="1" x14ac:dyDescent="0.25">
      <c r="T49406" s="135"/>
      <c r="U49406" s="135"/>
    </row>
    <row r="49407" spans="20:21" ht="15" customHeight="1" x14ac:dyDescent="0.25">
      <c r="T49407" s="135"/>
      <c r="U49407" s="135"/>
    </row>
    <row r="49408" spans="20:21" ht="15" customHeight="1" x14ac:dyDescent="0.25">
      <c r="T49408" s="135"/>
      <c r="U49408" s="135"/>
    </row>
    <row r="49409" spans="20:21" ht="15" customHeight="1" x14ac:dyDescent="0.25">
      <c r="T49409" s="135"/>
      <c r="U49409" s="135"/>
    </row>
    <row r="49410" spans="20:21" ht="15" customHeight="1" x14ac:dyDescent="0.25">
      <c r="T49410" s="135"/>
      <c r="U49410" s="135"/>
    </row>
    <row r="49411" spans="20:21" ht="15" customHeight="1" x14ac:dyDescent="0.25">
      <c r="T49411" s="135"/>
      <c r="U49411" s="135"/>
    </row>
    <row r="49412" spans="20:21" ht="15" customHeight="1" x14ac:dyDescent="0.25">
      <c r="T49412" s="135"/>
      <c r="U49412" s="135"/>
    </row>
    <row r="49413" spans="20:21" ht="15" customHeight="1" x14ac:dyDescent="0.25">
      <c r="T49413" s="135"/>
      <c r="U49413" s="135"/>
    </row>
    <row r="49414" spans="20:21" ht="15" customHeight="1" x14ac:dyDescent="0.25">
      <c r="T49414" s="135"/>
      <c r="U49414" s="135"/>
    </row>
    <row r="49415" spans="20:21" ht="15" customHeight="1" x14ac:dyDescent="0.25">
      <c r="T49415" s="135"/>
      <c r="U49415" s="135"/>
    </row>
    <row r="49416" spans="20:21" ht="15" customHeight="1" x14ac:dyDescent="0.25">
      <c r="T49416" s="135"/>
      <c r="U49416" s="135"/>
    </row>
    <row r="49417" spans="20:21" ht="15" customHeight="1" x14ac:dyDescent="0.25">
      <c r="T49417" s="135"/>
      <c r="U49417" s="135"/>
    </row>
    <row r="49418" spans="20:21" ht="15" customHeight="1" x14ac:dyDescent="0.25">
      <c r="T49418" s="135"/>
      <c r="U49418" s="135"/>
    </row>
    <row r="49419" spans="20:21" ht="15" customHeight="1" x14ac:dyDescent="0.25">
      <c r="T49419" s="135"/>
      <c r="U49419" s="135"/>
    </row>
    <row r="49420" spans="20:21" ht="15" customHeight="1" x14ac:dyDescent="0.25">
      <c r="T49420" s="135"/>
      <c r="U49420" s="135"/>
    </row>
    <row r="49421" spans="20:21" ht="15" customHeight="1" x14ac:dyDescent="0.25">
      <c r="T49421" s="135"/>
      <c r="U49421" s="135"/>
    </row>
    <row r="49422" spans="20:21" ht="15" customHeight="1" x14ac:dyDescent="0.25">
      <c r="T49422" s="135"/>
      <c r="U49422" s="135"/>
    </row>
    <row r="49423" spans="20:21" ht="15" customHeight="1" x14ac:dyDescent="0.25">
      <c r="T49423" s="135"/>
      <c r="U49423" s="135"/>
    </row>
    <row r="49424" spans="20:21" ht="15" customHeight="1" x14ac:dyDescent="0.25">
      <c r="T49424" s="135"/>
      <c r="U49424" s="135"/>
    </row>
    <row r="49425" spans="20:21" ht="15" customHeight="1" x14ac:dyDescent="0.25">
      <c r="T49425" s="135"/>
      <c r="U49425" s="135"/>
    </row>
    <row r="49426" spans="20:21" ht="15" customHeight="1" x14ac:dyDescent="0.25">
      <c r="T49426" s="135"/>
      <c r="U49426" s="135"/>
    </row>
    <row r="49427" spans="20:21" ht="15" customHeight="1" x14ac:dyDescent="0.25">
      <c r="T49427" s="135"/>
      <c r="U49427" s="135"/>
    </row>
    <row r="49428" spans="20:21" ht="15" customHeight="1" x14ac:dyDescent="0.25">
      <c r="T49428" s="135"/>
      <c r="U49428" s="135"/>
    </row>
    <row r="49429" spans="20:21" ht="15" customHeight="1" x14ac:dyDescent="0.25">
      <c r="T49429" s="135"/>
      <c r="U49429" s="135"/>
    </row>
    <row r="49430" spans="20:21" ht="15" customHeight="1" x14ac:dyDescent="0.25">
      <c r="T49430" s="135"/>
      <c r="U49430" s="135"/>
    </row>
    <row r="49431" spans="20:21" ht="15" customHeight="1" x14ac:dyDescent="0.25">
      <c r="T49431" s="135"/>
      <c r="U49431" s="135"/>
    </row>
    <row r="49432" spans="20:21" ht="15" customHeight="1" x14ac:dyDescent="0.25">
      <c r="T49432" s="135"/>
      <c r="U49432" s="135"/>
    </row>
    <row r="49433" spans="20:21" ht="15" customHeight="1" x14ac:dyDescent="0.25">
      <c r="T49433" s="135"/>
      <c r="U49433" s="135"/>
    </row>
    <row r="49434" spans="20:21" ht="15" customHeight="1" x14ac:dyDescent="0.25">
      <c r="T49434" s="135"/>
      <c r="U49434" s="135"/>
    </row>
    <row r="49435" spans="20:21" ht="15" customHeight="1" x14ac:dyDescent="0.25">
      <c r="T49435" s="135"/>
      <c r="U49435" s="135"/>
    </row>
    <row r="49436" spans="20:21" ht="15" customHeight="1" x14ac:dyDescent="0.25">
      <c r="T49436" s="135"/>
      <c r="U49436" s="135"/>
    </row>
    <row r="49437" spans="20:21" ht="15" customHeight="1" x14ac:dyDescent="0.25">
      <c r="T49437" s="135"/>
      <c r="U49437" s="135"/>
    </row>
    <row r="49438" spans="20:21" ht="15" customHeight="1" x14ac:dyDescent="0.25">
      <c r="T49438" s="135"/>
      <c r="U49438" s="135"/>
    </row>
    <row r="49439" spans="20:21" ht="15" customHeight="1" x14ac:dyDescent="0.25">
      <c r="T49439" s="135"/>
      <c r="U49439" s="135"/>
    </row>
    <row r="49440" spans="20:21" ht="15" customHeight="1" x14ac:dyDescent="0.25">
      <c r="T49440" s="135"/>
      <c r="U49440" s="135"/>
    </row>
    <row r="49441" spans="20:21" ht="15" customHeight="1" x14ac:dyDescent="0.25">
      <c r="T49441" s="135"/>
      <c r="U49441" s="135"/>
    </row>
    <row r="49442" spans="20:21" ht="15" customHeight="1" x14ac:dyDescent="0.25">
      <c r="T49442" s="135"/>
      <c r="U49442" s="135"/>
    </row>
    <row r="49443" spans="20:21" ht="15" customHeight="1" x14ac:dyDescent="0.25">
      <c r="T49443" s="135"/>
      <c r="U49443" s="135"/>
    </row>
    <row r="49444" spans="20:21" ht="15" customHeight="1" x14ac:dyDescent="0.25">
      <c r="T49444" s="135"/>
      <c r="U49444" s="135"/>
    </row>
    <row r="49445" spans="20:21" ht="15" customHeight="1" x14ac:dyDescent="0.25">
      <c r="T49445" s="135"/>
      <c r="U49445" s="135"/>
    </row>
    <row r="49446" spans="20:21" ht="15" customHeight="1" x14ac:dyDescent="0.25">
      <c r="T49446" s="135"/>
      <c r="U49446" s="135"/>
    </row>
    <row r="49447" spans="20:21" ht="15" customHeight="1" x14ac:dyDescent="0.25">
      <c r="T49447" s="135"/>
      <c r="U49447" s="135"/>
    </row>
    <row r="49448" spans="20:21" ht="15" customHeight="1" x14ac:dyDescent="0.25">
      <c r="T49448" s="135"/>
      <c r="U49448" s="135"/>
    </row>
    <row r="49449" spans="20:21" ht="15" customHeight="1" x14ac:dyDescent="0.25">
      <c r="T49449" s="135"/>
      <c r="U49449" s="135"/>
    </row>
    <row r="49450" spans="20:21" ht="15" customHeight="1" x14ac:dyDescent="0.25">
      <c r="T49450" s="135"/>
      <c r="U49450" s="135"/>
    </row>
    <row r="49451" spans="20:21" ht="15" customHeight="1" x14ac:dyDescent="0.25">
      <c r="T49451" s="135"/>
      <c r="U49451" s="135"/>
    </row>
    <row r="49452" spans="20:21" ht="15" customHeight="1" x14ac:dyDescent="0.25">
      <c r="T49452" s="135"/>
      <c r="U49452" s="135"/>
    </row>
    <row r="49453" spans="20:21" ht="15" customHeight="1" x14ac:dyDescent="0.25">
      <c r="T49453" s="135"/>
      <c r="U49453" s="135"/>
    </row>
    <row r="49454" spans="20:21" ht="15" customHeight="1" x14ac:dyDescent="0.25">
      <c r="T49454" s="135"/>
      <c r="U49454" s="135"/>
    </row>
    <row r="49455" spans="20:21" ht="15" customHeight="1" x14ac:dyDescent="0.25">
      <c r="T49455" s="135"/>
      <c r="U49455" s="135"/>
    </row>
    <row r="49456" spans="20:21" ht="15" customHeight="1" x14ac:dyDescent="0.25">
      <c r="T49456" s="135"/>
      <c r="U49456" s="135"/>
    </row>
    <row r="49457" spans="20:21" ht="15" customHeight="1" x14ac:dyDescent="0.25">
      <c r="T49457" s="135"/>
      <c r="U49457" s="135"/>
    </row>
    <row r="49458" spans="20:21" ht="15" customHeight="1" x14ac:dyDescent="0.25">
      <c r="T49458" s="135"/>
      <c r="U49458" s="135"/>
    </row>
    <row r="49459" spans="20:21" ht="15" customHeight="1" x14ac:dyDescent="0.25">
      <c r="T49459" s="135"/>
      <c r="U49459" s="135"/>
    </row>
    <row r="49460" spans="20:21" ht="15" customHeight="1" x14ac:dyDescent="0.25">
      <c r="T49460" s="135"/>
      <c r="U49460" s="135"/>
    </row>
    <row r="49461" spans="20:21" ht="15" customHeight="1" x14ac:dyDescent="0.25">
      <c r="T49461" s="135"/>
      <c r="U49461" s="135"/>
    </row>
    <row r="49462" spans="20:21" ht="15" customHeight="1" x14ac:dyDescent="0.25">
      <c r="T49462" s="135"/>
      <c r="U49462" s="135"/>
    </row>
    <row r="49463" spans="20:21" ht="15" customHeight="1" x14ac:dyDescent="0.25">
      <c r="T49463" s="135"/>
      <c r="U49463" s="135"/>
    </row>
    <row r="49464" spans="20:21" ht="15" customHeight="1" x14ac:dyDescent="0.25">
      <c r="T49464" s="135"/>
      <c r="U49464" s="135"/>
    </row>
    <row r="49465" spans="20:21" ht="15" customHeight="1" x14ac:dyDescent="0.25">
      <c r="T49465" s="135"/>
      <c r="U49465" s="135"/>
    </row>
    <row r="49466" spans="20:21" ht="15" customHeight="1" x14ac:dyDescent="0.25">
      <c r="T49466" s="135"/>
      <c r="U49466" s="135"/>
    </row>
    <row r="49467" spans="20:21" ht="15" customHeight="1" x14ac:dyDescent="0.25">
      <c r="T49467" s="135"/>
      <c r="U49467" s="135"/>
    </row>
    <row r="49468" spans="20:21" ht="15" customHeight="1" x14ac:dyDescent="0.25">
      <c r="T49468" s="135"/>
      <c r="U49468" s="135"/>
    </row>
    <row r="49469" spans="20:21" ht="15" customHeight="1" x14ac:dyDescent="0.25">
      <c r="T49469" s="135"/>
      <c r="U49469" s="135"/>
    </row>
    <row r="49470" spans="20:21" ht="15" customHeight="1" x14ac:dyDescent="0.25">
      <c r="T49470" s="135"/>
      <c r="U49470" s="135"/>
    </row>
    <row r="49471" spans="20:21" ht="15" customHeight="1" x14ac:dyDescent="0.25">
      <c r="T49471" s="135"/>
      <c r="U49471" s="135"/>
    </row>
    <row r="49472" spans="20:21" ht="15" customHeight="1" x14ac:dyDescent="0.25">
      <c r="T49472" s="135"/>
      <c r="U49472" s="135"/>
    </row>
    <row r="49473" spans="20:21" ht="15" customHeight="1" x14ac:dyDescent="0.25">
      <c r="T49473" s="135"/>
      <c r="U49473" s="135"/>
    </row>
    <row r="49474" spans="20:21" ht="15" customHeight="1" x14ac:dyDescent="0.25">
      <c r="T49474" s="135"/>
      <c r="U49474" s="135"/>
    </row>
    <row r="49475" spans="20:21" ht="15" customHeight="1" x14ac:dyDescent="0.25">
      <c r="T49475" s="135"/>
      <c r="U49475" s="135"/>
    </row>
    <row r="49476" spans="20:21" ht="15" customHeight="1" x14ac:dyDescent="0.25">
      <c r="T49476" s="135"/>
      <c r="U49476" s="135"/>
    </row>
    <row r="49477" spans="20:21" ht="15" customHeight="1" x14ac:dyDescent="0.25">
      <c r="T49477" s="135"/>
      <c r="U49477" s="135"/>
    </row>
    <row r="49478" spans="20:21" ht="15" customHeight="1" x14ac:dyDescent="0.25">
      <c r="T49478" s="135"/>
      <c r="U49478" s="135"/>
    </row>
    <row r="49479" spans="20:21" ht="15" customHeight="1" x14ac:dyDescent="0.25">
      <c r="T49479" s="135"/>
      <c r="U49479" s="135"/>
    </row>
    <row r="49480" spans="20:21" ht="15" customHeight="1" x14ac:dyDescent="0.25">
      <c r="T49480" s="135"/>
      <c r="U49480" s="135"/>
    </row>
    <row r="49481" spans="20:21" ht="15" customHeight="1" x14ac:dyDescent="0.25">
      <c r="T49481" s="135"/>
      <c r="U49481" s="135"/>
    </row>
    <row r="49482" spans="20:21" ht="15" customHeight="1" x14ac:dyDescent="0.25">
      <c r="T49482" s="135"/>
      <c r="U49482" s="135"/>
    </row>
    <row r="49483" spans="20:21" ht="15" customHeight="1" x14ac:dyDescent="0.25">
      <c r="T49483" s="135"/>
      <c r="U49483" s="135"/>
    </row>
    <row r="49484" spans="20:21" ht="15" customHeight="1" x14ac:dyDescent="0.25">
      <c r="T49484" s="135"/>
      <c r="U49484" s="135"/>
    </row>
    <row r="49485" spans="20:21" ht="15" customHeight="1" x14ac:dyDescent="0.25">
      <c r="T49485" s="135"/>
      <c r="U49485" s="135"/>
    </row>
    <row r="49486" spans="20:21" ht="15" customHeight="1" x14ac:dyDescent="0.25">
      <c r="T49486" s="135"/>
      <c r="U49486" s="135"/>
    </row>
    <row r="49487" spans="20:21" ht="15" customHeight="1" x14ac:dyDescent="0.25">
      <c r="T49487" s="135"/>
      <c r="U49487" s="135"/>
    </row>
    <row r="49488" spans="20:21" ht="15" customHeight="1" x14ac:dyDescent="0.25">
      <c r="T49488" s="135"/>
      <c r="U49488" s="135"/>
    </row>
    <row r="49489" spans="20:21" ht="15" customHeight="1" x14ac:dyDescent="0.25">
      <c r="T49489" s="135"/>
      <c r="U49489" s="135"/>
    </row>
    <row r="49490" spans="20:21" ht="15" customHeight="1" x14ac:dyDescent="0.25">
      <c r="T49490" s="135"/>
      <c r="U49490" s="135"/>
    </row>
    <row r="49491" spans="20:21" ht="15" customHeight="1" x14ac:dyDescent="0.25">
      <c r="T49491" s="135"/>
      <c r="U49491" s="135"/>
    </row>
    <row r="49492" spans="20:21" ht="15" customHeight="1" x14ac:dyDescent="0.25">
      <c r="T49492" s="135"/>
      <c r="U49492" s="135"/>
    </row>
    <row r="49493" spans="20:21" ht="15" customHeight="1" x14ac:dyDescent="0.25">
      <c r="T49493" s="135"/>
      <c r="U49493" s="135"/>
    </row>
    <row r="49494" spans="20:21" ht="15" customHeight="1" x14ac:dyDescent="0.25">
      <c r="T49494" s="135"/>
      <c r="U49494" s="135"/>
    </row>
    <row r="49495" spans="20:21" ht="15" customHeight="1" x14ac:dyDescent="0.25">
      <c r="T49495" s="135"/>
      <c r="U49495" s="135"/>
    </row>
    <row r="49496" spans="20:21" ht="15" customHeight="1" x14ac:dyDescent="0.25">
      <c r="T49496" s="135"/>
      <c r="U49496" s="135"/>
    </row>
    <row r="49497" spans="20:21" ht="15" customHeight="1" x14ac:dyDescent="0.25">
      <c r="T49497" s="135"/>
      <c r="U49497" s="135"/>
    </row>
    <row r="49498" spans="20:21" ht="15" customHeight="1" x14ac:dyDescent="0.25">
      <c r="T49498" s="135"/>
      <c r="U49498" s="135"/>
    </row>
    <row r="49499" spans="20:21" ht="15" customHeight="1" x14ac:dyDescent="0.25">
      <c r="T49499" s="135"/>
      <c r="U49499" s="135"/>
    </row>
    <row r="49500" spans="20:21" ht="15" customHeight="1" x14ac:dyDescent="0.25">
      <c r="T49500" s="135"/>
      <c r="U49500" s="135"/>
    </row>
    <row r="49501" spans="20:21" ht="15" customHeight="1" x14ac:dyDescent="0.25">
      <c r="T49501" s="135"/>
      <c r="U49501" s="135"/>
    </row>
    <row r="49502" spans="20:21" ht="15" customHeight="1" x14ac:dyDescent="0.25">
      <c r="T49502" s="135"/>
      <c r="U49502" s="135"/>
    </row>
    <row r="49503" spans="20:21" ht="15" customHeight="1" x14ac:dyDescent="0.25">
      <c r="T49503" s="135"/>
      <c r="U49503" s="135"/>
    </row>
    <row r="49504" spans="20:21" ht="15" customHeight="1" x14ac:dyDescent="0.25">
      <c r="T49504" s="135"/>
      <c r="U49504" s="135"/>
    </row>
    <row r="49505" spans="20:21" ht="15" customHeight="1" x14ac:dyDescent="0.25">
      <c r="T49505" s="135"/>
      <c r="U49505" s="135"/>
    </row>
    <row r="49506" spans="20:21" ht="15" customHeight="1" x14ac:dyDescent="0.25">
      <c r="T49506" s="135"/>
      <c r="U49506" s="135"/>
    </row>
    <row r="49507" spans="20:21" ht="15" customHeight="1" x14ac:dyDescent="0.25">
      <c r="T49507" s="135"/>
      <c r="U49507" s="135"/>
    </row>
    <row r="49508" spans="20:21" ht="15" customHeight="1" x14ac:dyDescent="0.25">
      <c r="T49508" s="135"/>
      <c r="U49508" s="135"/>
    </row>
    <row r="49509" spans="20:21" ht="15" customHeight="1" x14ac:dyDescent="0.25">
      <c r="T49509" s="135"/>
      <c r="U49509" s="135"/>
    </row>
    <row r="49510" spans="20:21" ht="15" customHeight="1" x14ac:dyDescent="0.25">
      <c r="T49510" s="135"/>
      <c r="U49510" s="135"/>
    </row>
    <row r="49511" spans="20:21" ht="15" customHeight="1" x14ac:dyDescent="0.25">
      <c r="T49511" s="135"/>
      <c r="U49511" s="135"/>
    </row>
    <row r="49512" spans="20:21" ht="15" customHeight="1" x14ac:dyDescent="0.25">
      <c r="T49512" s="135"/>
      <c r="U49512" s="135"/>
    </row>
    <row r="49513" spans="20:21" ht="15" customHeight="1" x14ac:dyDescent="0.25">
      <c r="T49513" s="135"/>
      <c r="U49513" s="135"/>
    </row>
    <row r="49514" spans="20:21" ht="15" customHeight="1" x14ac:dyDescent="0.25">
      <c r="T49514" s="135"/>
      <c r="U49514" s="135"/>
    </row>
    <row r="49515" spans="20:21" ht="15" customHeight="1" x14ac:dyDescent="0.25">
      <c r="T49515" s="135"/>
      <c r="U49515" s="135"/>
    </row>
    <row r="49516" spans="20:21" ht="15" customHeight="1" x14ac:dyDescent="0.25">
      <c r="T49516" s="135"/>
      <c r="U49516" s="135"/>
    </row>
    <row r="49517" spans="20:21" ht="15" customHeight="1" x14ac:dyDescent="0.25">
      <c r="T49517" s="135"/>
      <c r="U49517" s="135"/>
    </row>
    <row r="49518" spans="20:21" ht="15" customHeight="1" x14ac:dyDescent="0.25">
      <c r="T49518" s="135"/>
      <c r="U49518" s="135"/>
    </row>
    <row r="49519" spans="20:21" ht="15" customHeight="1" x14ac:dyDescent="0.25">
      <c r="T49519" s="135"/>
      <c r="U49519" s="135"/>
    </row>
    <row r="49520" spans="20:21" ht="15" customHeight="1" x14ac:dyDescent="0.25">
      <c r="T49520" s="135"/>
      <c r="U49520" s="135"/>
    </row>
    <row r="49521" spans="20:21" ht="15" customHeight="1" x14ac:dyDescent="0.25">
      <c r="T49521" s="135"/>
      <c r="U49521" s="135"/>
    </row>
    <row r="49522" spans="20:21" ht="15" customHeight="1" x14ac:dyDescent="0.25">
      <c r="T49522" s="135"/>
      <c r="U49522" s="135"/>
    </row>
    <row r="49523" spans="20:21" ht="15" customHeight="1" x14ac:dyDescent="0.25">
      <c r="T49523" s="135"/>
      <c r="U49523" s="135"/>
    </row>
    <row r="49524" spans="20:21" ht="15" customHeight="1" x14ac:dyDescent="0.25">
      <c r="T49524" s="135"/>
      <c r="U49524" s="135"/>
    </row>
    <row r="49525" spans="20:21" ht="15" customHeight="1" x14ac:dyDescent="0.25">
      <c r="T49525" s="135"/>
      <c r="U49525" s="135"/>
    </row>
    <row r="49526" spans="20:21" ht="15" customHeight="1" x14ac:dyDescent="0.25">
      <c r="T49526" s="135"/>
      <c r="U49526" s="135"/>
    </row>
    <row r="49527" spans="20:21" ht="15" customHeight="1" x14ac:dyDescent="0.25">
      <c r="T49527" s="135"/>
      <c r="U49527" s="135"/>
    </row>
    <row r="49528" spans="20:21" ht="15" customHeight="1" x14ac:dyDescent="0.25">
      <c r="T49528" s="135"/>
      <c r="U49528" s="135"/>
    </row>
    <row r="49529" spans="20:21" ht="15" customHeight="1" x14ac:dyDescent="0.25">
      <c r="T49529" s="135"/>
      <c r="U49529" s="135"/>
    </row>
    <row r="49530" spans="20:21" ht="15" customHeight="1" x14ac:dyDescent="0.25">
      <c r="T49530" s="135"/>
      <c r="U49530" s="135"/>
    </row>
    <row r="49531" spans="20:21" ht="15" customHeight="1" x14ac:dyDescent="0.25">
      <c r="T49531" s="135"/>
      <c r="U49531" s="135"/>
    </row>
    <row r="49532" spans="20:21" ht="15" customHeight="1" x14ac:dyDescent="0.25">
      <c r="T49532" s="135"/>
      <c r="U49532" s="135"/>
    </row>
    <row r="49533" spans="20:21" ht="15" customHeight="1" x14ac:dyDescent="0.25">
      <c r="T49533" s="135"/>
      <c r="U49533" s="135"/>
    </row>
    <row r="49534" spans="20:21" ht="15" customHeight="1" x14ac:dyDescent="0.25">
      <c r="T49534" s="135"/>
      <c r="U49534" s="135"/>
    </row>
    <row r="49535" spans="20:21" ht="15" customHeight="1" x14ac:dyDescent="0.25">
      <c r="T49535" s="135"/>
      <c r="U49535" s="135"/>
    </row>
    <row r="49536" spans="20:21" ht="15" customHeight="1" x14ac:dyDescent="0.25">
      <c r="T49536" s="135"/>
      <c r="U49536" s="135"/>
    </row>
    <row r="49537" spans="20:21" ht="15" customHeight="1" x14ac:dyDescent="0.25">
      <c r="T49537" s="135"/>
      <c r="U49537" s="135"/>
    </row>
    <row r="49538" spans="20:21" ht="15" customHeight="1" x14ac:dyDescent="0.25">
      <c r="T49538" s="135"/>
      <c r="U49538" s="135"/>
    </row>
    <row r="49539" spans="20:21" ht="15" customHeight="1" x14ac:dyDescent="0.25">
      <c r="T49539" s="135"/>
      <c r="U49539" s="135"/>
    </row>
    <row r="49540" spans="20:21" ht="15" customHeight="1" x14ac:dyDescent="0.25">
      <c r="T49540" s="135"/>
      <c r="U49540" s="135"/>
    </row>
    <row r="49541" spans="20:21" ht="15" customHeight="1" x14ac:dyDescent="0.25">
      <c r="T49541" s="135"/>
      <c r="U49541" s="135"/>
    </row>
    <row r="49542" spans="20:21" ht="15" customHeight="1" x14ac:dyDescent="0.25">
      <c r="T49542" s="135"/>
      <c r="U49542" s="135"/>
    </row>
    <row r="49543" spans="20:21" ht="15" customHeight="1" x14ac:dyDescent="0.25">
      <c r="T49543" s="135"/>
      <c r="U49543" s="135"/>
    </row>
    <row r="49544" spans="20:21" ht="15" customHeight="1" x14ac:dyDescent="0.25">
      <c r="T49544" s="135"/>
      <c r="U49544" s="135"/>
    </row>
    <row r="49545" spans="20:21" ht="15" customHeight="1" x14ac:dyDescent="0.25">
      <c r="T49545" s="135"/>
      <c r="U49545" s="135"/>
    </row>
    <row r="49546" spans="20:21" ht="15" customHeight="1" x14ac:dyDescent="0.25">
      <c r="T49546" s="135"/>
      <c r="U49546" s="135"/>
    </row>
    <row r="49547" spans="20:21" ht="15" customHeight="1" x14ac:dyDescent="0.25">
      <c r="T49547" s="135"/>
      <c r="U49547" s="135"/>
    </row>
    <row r="49548" spans="20:21" ht="15" customHeight="1" x14ac:dyDescent="0.25">
      <c r="T49548" s="135"/>
      <c r="U49548" s="135"/>
    </row>
    <row r="49549" spans="20:21" ht="15" customHeight="1" x14ac:dyDescent="0.25">
      <c r="T49549" s="135"/>
      <c r="U49549" s="135"/>
    </row>
    <row r="49550" spans="20:21" ht="15" customHeight="1" x14ac:dyDescent="0.25">
      <c r="T49550" s="135"/>
      <c r="U49550" s="135"/>
    </row>
    <row r="49551" spans="20:21" ht="15" customHeight="1" x14ac:dyDescent="0.25">
      <c r="T49551" s="135"/>
      <c r="U49551" s="135"/>
    </row>
    <row r="49552" spans="20:21" ht="15" customHeight="1" x14ac:dyDescent="0.25">
      <c r="T49552" s="135"/>
      <c r="U49552" s="135"/>
    </row>
    <row r="49553" spans="20:21" ht="15" customHeight="1" x14ac:dyDescent="0.25">
      <c r="T49553" s="135"/>
      <c r="U49553" s="135"/>
    </row>
    <row r="49554" spans="20:21" ht="15" customHeight="1" x14ac:dyDescent="0.25">
      <c r="T49554" s="135"/>
      <c r="U49554" s="135"/>
    </row>
    <row r="49555" spans="20:21" ht="15" customHeight="1" x14ac:dyDescent="0.25">
      <c r="T49555" s="135"/>
      <c r="U49555" s="135"/>
    </row>
    <row r="49556" spans="20:21" ht="15" customHeight="1" x14ac:dyDescent="0.25">
      <c r="T49556" s="135"/>
      <c r="U49556" s="135"/>
    </row>
    <row r="49557" spans="20:21" ht="15" customHeight="1" x14ac:dyDescent="0.25">
      <c r="T49557" s="135"/>
      <c r="U49557" s="135"/>
    </row>
    <row r="49558" spans="20:21" ht="15" customHeight="1" x14ac:dyDescent="0.25">
      <c r="T49558" s="135"/>
      <c r="U49558" s="135"/>
    </row>
    <row r="49559" spans="20:21" ht="15" customHeight="1" x14ac:dyDescent="0.25">
      <c r="T49559" s="135"/>
      <c r="U49559" s="135"/>
    </row>
    <row r="49560" spans="20:21" ht="15" customHeight="1" x14ac:dyDescent="0.25">
      <c r="T49560" s="135"/>
      <c r="U49560" s="135"/>
    </row>
    <row r="49561" spans="20:21" ht="15" customHeight="1" x14ac:dyDescent="0.25">
      <c r="T49561" s="135"/>
      <c r="U49561" s="135"/>
    </row>
    <row r="49562" spans="20:21" ht="15" customHeight="1" x14ac:dyDescent="0.25">
      <c r="T49562" s="135"/>
      <c r="U49562" s="135"/>
    </row>
    <row r="49563" spans="20:21" ht="15" customHeight="1" x14ac:dyDescent="0.25">
      <c r="T49563" s="135"/>
      <c r="U49563" s="135"/>
    </row>
    <row r="49564" spans="20:21" ht="15" customHeight="1" x14ac:dyDescent="0.25">
      <c r="T49564" s="135"/>
      <c r="U49564" s="135"/>
    </row>
    <row r="49565" spans="20:21" ht="15" customHeight="1" x14ac:dyDescent="0.25">
      <c r="T49565" s="135"/>
      <c r="U49565" s="135"/>
    </row>
    <row r="49566" spans="20:21" ht="15" customHeight="1" x14ac:dyDescent="0.25">
      <c r="T49566" s="135"/>
      <c r="U49566" s="135"/>
    </row>
    <row r="49567" spans="20:21" ht="15" customHeight="1" x14ac:dyDescent="0.25">
      <c r="T49567" s="135"/>
      <c r="U49567" s="135"/>
    </row>
    <row r="49568" spans="20:21" ht="15" customHeight="1" x14ac:dyDescent="0.25">
      <c r="T49568" s="135"/>
      <c r="U49568" s="135"/>
    </row>
    <row r="49569" spans="20:21" ht="15" customHeight="1" x14ac:dyDescent="0.25">
      <c r="T49569" s="135"/>
      <c r="U49569" s="135"/>
    </row>
    <row r="49570" spans="20:21" ht="15" customHeight="1" x14ac:dyDescent="0.25">
      <c r="T49570" s="135"/>
      <c r="U49570" s="135"/>
    </row>
    <row r="49571" spans="20:21" ht="15" customHeight="1" x14ac:dyDescent="0.25">
      <c r="T49571" s="135"/>
      <c r="U49571" s="135"/>
    </row>
    <row r="49572" spans="20:21" ht="15" customHeight="1" x14ac:dyDescent="0.25">
      <c r="T49572" s="135"/>
      <c r="U49572" s="135"/>
    </row>
    <row r="49573" spans="20:21" ht="15" customHeight="1" x14ac:dyDescent="0.25">
      <c r="T49573" s="135"/>
      <c r="U49573" s="135"/>
    </row>
    <row r="49574" spans="20:21" ht="15" customHeight="1" x14ac:dyDescent="0.25">
      <c r="T49574" s="135"/>
      <c r="U49574" s="135"/>
    </row>
    <row r="49575" spans="20:21" ht="15" customHeight="1" x14ac:dyDescent="0.25">
      <c r="T49575" s="135"/>
      <c r="U49575" s="135"/>
    </row>
    <row r="49576" spans="20:21" ht="15" customHeight="1" x14ac:dyDescent="0.25">
      <c r="T49576" s="135"/>
      <c r="U49576" s="135"/>
    </row>
    <row r="49577" spans="20:21" ht="15" customHeight="1" x14ac:dyDescent="0.25">
      <c r="T49577" s="135"/>
      <c r="U49577" s="135"/>
    </row>
    <row r="49578" spans="20:21" ht="15" customHeight="1" x14ac:dyDescent="0.25">
      <c r="T49578" s="135"/>
      <c r="U49578" s="135"/>
    </row>
    <row r="49579" spans="20:21" ht="15" customHeight="1" x14ac:dyDescent="0.25">
      <c r="T49579" s="135"/>
      <c r="U49579" s="135"/>
    </row>
    <row r="49580" spans="20:21" ht="15" customHeight="1" x14ac:dyDescent="0.25">
      <c r="T49580" s="135"/>
      <c r="U49580" s="135"/>
    </row>
    <row r="49581" spans="20:21" ht="15" customHeight="1" x14ac:dyDescent="0.25">
      <c r="T49581" s="135"/>
      <c r="U49581" s="135"/>
    </row>
    <row r="49582" spans="20:21" ht="15" customHeight="1" x14ac:dyDescent="0.25">
      <c r="T49582" s="135"/>
      <c r="U49582" s="135"/>
    </row>
    <row r="49583" spans="20:21" ht="15" customHeight="1" x14ac:dyDescent="0.25">
      <c r="T49583" s="135"/>
      <c r="U49583" s="135"/>
    </row>
    <row r="49584" spans="20:21" ht="15" customHeight="1" x14ac:dyDescent="0.25">
      <c r="T49584" s="135"/>
      <c r="U49584" s="135"/>
    </row>
    <row r="49585" spans="20:21" ht="15" customHeight="1" x14ac:dyDescent="0.25">
      <c r="T49585" s="135"/>
      <c r="U49585" s="135"/>
    </row>
    <row r="49586" spans="20:21" ht="15" customHeight="1" x14ac:dyDescent="0.25">
      <c r="T49586" s="135"/>
      <c r="U49586" s="135"/>
    </row>
    <row r="49587" spans="20:21" ht="15" customHeight="1" x14ac:dyDescent="0.25">
      <c r="T49587" s="135"/>
      <c r="U49587" s="135"/>
    </row>
    <row r="49588" spans="20:21" ht="15" customHeight="1" x14ac:dyDescent="0.25">
      <c r="T49588" s="135"/>
      <c r="U49588" s="135"/>
    </row>
    <row r="49589" spans="20:21" ht="15" customHeight="1" x14ac:dyDescent="0.25">
      <c r="T49589" s="135"/>
      <c r="U49589" s="135"/>
    </row>
    <row r="49590" spans="20:21" ht="15" customHeight="1" x14ac:dyDescent="0.25">
      <c r="T49590" s="135"/>
      <c r="U49590" s="135"/>
    </row>
    <row r="49591" spans="20:21" ht="15" customHeight="1" x14ac:dyDescent="0.25">
      <c r="T49591" s="135"/>
      <c r="U49591" s="135"/>
    </row>
    <row r="49592" spans="20:21" ht="15" customHeight="1" x14ac:dyDescent="0.25">
      <c r="T49592" s="135"/>
      <c r="U49592" s="135"/>
    </row>
    <row r="49593" spans="20:21" ht="15" customHeight="1" x14ac:dyDescent="0.25">
      <c r="T49593" s="135"/>
      <c r="U49593" s="135"/>
    </row>
    <row r="49594" spans="20:21" ht="15" customHeight="1" x14ac:dyDescent="0.25">
      <c r="T49594" s="135"/>
      <c r="U49594" s="135"/>
    </row>
    <row r="49595" spans="20:21" ht="15" customHeight="1" x14ac:dyDescent="0.25">
      <c r="T49595" s="135"/>
      <c r="U49595" s="135"/>
    </row>
    <row r="49596" spans="20:21" ht="15" customHeight="1" x14ac:dyDescent="0.25">
      <c r="T49596" s="135"/>
      <c r="U49596" s="135"/>
    </row>
    <row r="49597" spans="20:21" ht="15" customHeight="1" x14ac:dyDescent="0.25">
      <c r="T49597" s="135"/>
      <c r="U49597" s="135"/>
    </row>
    <row r="49598" spans="20:21" ht="15" customHeight="1" x14ac:dyDescent="0.25">
      <c r="T49598" s="135"/>
      <c r="U49598" s="135"/>
    </row>
    <row r="49599" spans="20:21" ht="15" customHeight="1" x14ac:dyDescent="0.25">
      <c r="T49599" s="135"/>
      <c r="U49599" s="135"/>
    </row>
    <row r="49600" spans="20:21" ht="15" customHeight="1" x14ac:dyDescent="0.25">
      <c r="T49600" s="135"/>
      <c r="U49600" s="135"/>
    </row>
    <row r="49601" spans="20:21" ht="15" customHeight="1" x14ac:dyDescent="0.25">
      <c r="T49601" s="135"/>
      <c r="U49601" s="135"/>
    </row>
    <row r="49602" spans="20:21" ht="15" customHeight="1" x14ac:dyDescent="0.25">
      <c r="T49602" s="135"/>
      <c r="U49602" s="135"/>
    </row>
    <row r="49603" spans="20:21" ht="15" customHeight="1" x14ac:dyDescent="0.25">
      <c r="T49603" s="135"/>
      <c r="U49603" s="135"/>
    </row>
    <row r="49604" spans="20:21" ht="15" customHeight="1" x14ac:dyDescent="0.25">
      <c r="T49604" s="135"/>
      <c r="U49604" s="135"/>
    </row>
    <row r="49605" spans="20:21" ht="15" customHeight="1" x14ac:dyDescent="0.25">
      <c r="T49605" s="135"/>
      <c r="U49605" s="135"/>
    </row>
    <row r="49606" spans="20:21" ht="15" customHeight="1" x14ac:dyDescent="0.25">
      <c r="T49606" s="135"/>
      <c r="U49606" s="135"/>
    </row>
    <row r="49607" spans="20:21" ht="15" customHeight="1" x14ac:dyDescent="0.25">
      <c r="T49607" s="135"/>
      <c r="U49607" s="135"/>
    </row>
    <row r="49608" spans="20:21" ht="15" customHeight="1" x14ac:dyDescent="0.25">
      <c r="T49608" s="135"/>
      <c r="U49608" s="135"/>
    </row>
    <row r="49609" spans="20:21" ht="15" customHeight="1" x14ac:dyDescent="0.25">
      <c r="T49609" s="135"/>
      <c r="U49609" s="135"/>
    </row>
    <row r="49610" spans="20:21" ht="15" customHeight="1" x14ac:dyDescent="0.25">
      <c r="T49610" s="135"/>
      <c r="U49610" s="135"/>
    </row>
    <row r="49611" spans="20:21" ht="15" customHeight="1" x14ac:dyDescent="0.25">
      <c r="T49611" s="135"/>
      <c r="U49611" s="135"/>
    </row>
    <row r="49612" spans="20:21" ht="15" customHeight="1" x14ac:dyDescent="0.25">
      <c r="T49612" s="135"/>
      <c r="U49612" s="135"/>
    </row>
    <row r="49613" spans="20:21" ht="15" customHeight="1" x14ac:dyDescent="0.25">
      <c r="T49613" s="135"/>
      <c r="U49613" s="135"/>
    </row>
    <row r="49614" spans="20:21" ht="15" customHeight="1" x14ac:dyDescent="0.25">
      <c r="T49614" s="135"/>
      <c r="U49614" s="135"/>
    </row>
    <row r="49615" spans="20:21" ht="15" customHeight="1" x14ac:dyDescent="0.25">
      <c r="T49615" s="135"/>
      <c r="U49615" s="135"/>
    </row>
    <row r="49616" spans="20:21" ht="15" customHeight="1" x14ac:dyDescent="0.25">
      <c r="T49616" s="135"/>
      <c r="U49616" s="135"/>
    </row>
    <row r="49617" spans="20:21" ht="15" customHeight="1" x14ac:dyDescent="0.25">
      <c r="T49617" s="135"/>
      <c r="U49617" s="135"/>
    </row>
    <row r="49618" spans="20:21" ht="15" customHeight="1" x14ac:dyDescent="0.25">
      <c r="T49618" s="135"/>
      <c r="U49618" s="135"/>
    </row>
    <row r="49619" spans="20:21" ht="15" customHeight="1" x14ac:dyDescent="0.25">
      <c r="T49619" s="135"/>
      <c r="U49619" s="135"/>
    </row>
    <row r="49620" spans="20:21" ht="15" customHeight="1" x14ac:dyDescent="0.25">
      <c r="T49620" s="135"/>
      <c r="U49620" s="135"/>
    </row>
    <row r="49621" spans="20:21" ht="15" customHeight="1" x14ac:dyDescent="0.25">
      <c r="T49621" s="135"/>
      <c r="U49621" s="135"/>
    </row>
    <row r="49622" spans="20:21" ht="15" customHeight="1" x14ac:dyDescent="0.25">
      <c r="T49622" s="135"/>
      <c r="U49622" s="135"/>
    </row>
    <row r="49623" spans="20:21" ht="15" customHeight="1" x14ac:dyDescent="0.25">
      <c r="T49623" s="135"/>
      <c r="U49623" s="135"/>
    </row>
    <row r="49624" spans="20:21" ht="15" customHeight="1" x14ac:dyDescent="0.25">
      <c r="T49624" s="135"/>
      <c r="U49624" s="135"/>
    </row>
    <row r="49625" spans="20:21" ht="15" customHeight="1" x14ac:dyDescent="0.25">
      <c r="T49625" s="135"/>
      <c r="U49625" s="135"/>
    </row>
    <row r="49626" spans="20:21" ht="15" customHeight="1" x14ac:dyDescent="0.25">
      <c r="T49626" s="135"/>
      <c r="U49626" s="135"/>
    </row>
    <row r="49627" spans="20:21" ht="15" customHeight="1" x14ac:dyDescent="0.25">
      <c r="T49627" s="135"/>
      <c r="U49627" s="135"/>
    </row>
    <row r="49628" spans="20:21" ht="15" customHeight="1" x14ac:dyDescent="0.25">
      <c r="T49628" s="135"/>
      <c r="U49628" s="135"/>
    </row>
    <row r="49629" spans="20:21" ht="15" customHeight="1" x14ac:dyDescent="0.25">
      <c r="T49629" s="135"/>
      <c r="U49629" s="135"/>
    </row>
    <row r="49630" spans="20:21" ht="15" customHeight="1" x14ac:dyDescent="0.25">
      <c r="T49630" s="135"/>
      <c r="U49630" s="135"/>
    </row>
    <row r="49631" spans="20:21" ht="15" customHeight="1" x14ac:dyDescent="0.25">
      <c r="T49631" s="135"/>
      <c r="U49631" s="135"/>
    </row>
    <row r="49632" spans="20:21" ht="15" customHeight="1" x14ac:dyDescent="0.25">
      <c r="T49632" s="135"/>
      <c r="U49632" s="135"/>
    </row>
    <row r="49633" spans="20:21" ht="15" customHeight="1" x14ac:dyDescent="0.25">
      <c r="T49633" s="135"/>
      <c r="U49633" s="135"/>
    </row>
    <row r="49634" spans="20:21" ht="15" customHeight="1" x14ac:dyDescent="0.25">
      <c r="T49634" s="135"/>
      <c r="U49634" s="135"/>
    </row>
    <row r="49635" spans="20:21" ht="15" customHeight="1" x14ac:dyDescent="0.25">
      <c r="T49635" s="135"/>
      <c r="U49635" s="135"/>
    </row>
    <row r="49636" spans="20:21" ht="15" customHeight="1" x14ac:dyDescent="0.25">
      <c r="T49636" s="135"/>
      <c r="U49636" s="135"/>
    </row>
    <row r="49637" spans="20:21" ht="15" customHeight="1" x14ac:dyDescent="0.25">
      <c r="T49637" s="135"/>
      <c r="U49637" s="135"/>
    </row>
    <row r="49638" spans="20:21" ht="15" customHeight="1" x14ac:dyDescent="0.25">
      <c r="T49638" s="135"/>
      <c r="U49638" s="135"/>
    </row>
    <row r="49639" spans="20:21" ht="15" customHeight="1" x14ac:dyDescent="0.25">
      <c r="T49639" s="135"/>
      <c r="U49639" s="135"/>
    </row>
    <row r="49640" spans="20:21" ht="15" customHeight="1" x14ac:dyDescent="0.25">
      <c r="T49640" s="135"/>
      <c r="U49640" s="135"/>
    </row>
    <row r="49641" spans="20:21" ht="15" customHeight="1" x14ac:dyDescent="0.25">
      <c r="T49641" s="135"/>
      <c r="U49641" s="135"/>
    </row>
    <row r="49642" spans="20:21" ht="15" customHeight="1" x14ac:dyDescent="0.25">
      <c r="T49642" s="135"/>
      <c r="U49642" s="135"/>
    </row>
    <row r="49643" spans="20:21" ht="15" customHeight="1" x14ac:dyDescent="0.25">
      <c r="T49643" s="135"/>
      <c r="U49643" s="135"/>
    </row>
    <row r="49644" spans="20:21" ht="15" customHeight="1" x14ac:dyDescent="0.25">
      <c r="T49644" s="135"/>
      <c r="U49644" s="135"/>
    </row>
    <row r="49645" spans="20:21" ht="15" customHeight="1" x14ac:dyDescent="0.25">
      <c r="T49645" s="135"/>
      <c r="U49645" s="135"/>
    </row>
    <row r="49646" spans="20:21" ht="15" customHeight="1" x14ac:dyDescent="0.25">
      <c r="T49646" s="135"/>
      <c r="U49646" s="135"/>
    </row>
    <row r="49647" spans="20:21" ht="15" customHeight="1" x14ac:dyDescent="0.25">
      <c r="T49647" s="135"/>
      <c r="U49647" s="135"/>
    </row>
    <row r="49648" spans="20:21" ht="15" customHeight="1" x14ac:dyDescent="0.25">
      <c r="T49648" s="135"/>
      <c r="U49648" s="135"/>
    </row>
    <row r="49649" spans="20:21" ht="15" customHeight="1" x14ac:dyDescent="0.25">
      <c r="T49649" s="135"/>
      <c r="U49649" s="135"/>
    </row>
    <row r="49650" spans="20:21" ht="15" customHeight="1" x14ac:dyDescent="0.25">
      <c r="T49650" s="135"/>
      <c r="U49650" s="135"/>
    </row>
    <row r="49651" spans="20:21" ht="15" customHeight="1" x14ac:dyDescent="0.25">
      <c r="T49651" s="135"/>
      <c r="U49651" s="135"/>
    </row>
    <row r="49652" spans="20:21" ht="15" customHeight="1" x14ac:dyDescent="0.25">
      <c r="T49652" s="135"/>
      <c r="U49652" s="135"/>
    </row>
    <row r="49653" spans="20:21" ht="15" customHeight="1" x14ac:dyDescent="0.25">
      <c r="T49653" s="135"/>
      <c r="U49653" s="135"/>
    </row>
    <row r="49654" spans="20:21" ht="15" customHeight="1" x14ac:dyDescent="0.25">
      <c r="T49654" s="135"/>
      <c r="U49654" s="135"/>
    </row>
    <row r="49655" spans="20:21" ht="15" customHeight="1" x14ac:dyDescent="0.25">
      <c r="T49655" s="135"/>
      <c r="U49655" s="135"/>
    </row>
    <row r="49656" spans="20:21" ht="15" customHeight="1" x14ac:dyDescent="0.25">
      <c r="T49656" s="135"/>
      <c r="U49656" s="135"/>
    </row>
    <row r="49657" spans="20:21" ht="15" customHeight="1" x14ac:dyDescent="0.25">
      <c r="T49657" s="135"/>
      <c r="U49657" s="135"/>
    </row>
    <row r="49658" spans="20:21" ht="15" customHeight="1" x14ac:dyDescent="0.25">
      <c r="T49658" s="135"/>
      <c r="U49658" s="135"/>
    </row>
    <row r="49659" spans="20:21" ht="15" customHeight="1" x14ac:dyDescent="0.25">
      <c r="T49659" s="135"/>
      <c r="U49659" s="135"/>
    </row>
    <row r="49660" spans="20:21" ht="15" customHeight="1" x14ac:dyDescent="0.25">
      <c r="T49660" s="135"/>
      <c r="U49660" s="135"/>
    </row>
    <row r="49661" spans="20:21" ht="15" customHeight="1" x14ac:dyDescent="0.25">
      <c r="T49661" s="135"/>
      <c r="U49661" s="135"/>
    </row>
    <row r="49662" spans="20:21" ht="15" customHeight="1" x14ac:dyDescent="0.25">
      <c r="T49662" s="135"/>
      <c r="U49662" s="135"/>
    </row>
    <row r="49663" spans="20:21" ht="15" customHeight="1" x14ac:dyDescent="0.25">
      <c r="T49663" s="135"/>
      <c r="U49663" s="135"/>
    </row>
    <row r="49664" spans="20:21" ht="15" customHeight="1" x14ac:dyDescent="0.25">
      <c r="T49664" s="135"/>
      <c r="U49664" s="135"/>
    </row>
    <row r="49665" spans="20:21" ht="15" customHeight="1" x14ac:dyDescent="0.25">
      <c r="T49665" s="135"/>
      <c r="U49665" s="135"/>
    </row>
    <row r="49666" spans="20:21" ht="15" customHeight="1" x14ac:dyDescent="0.25">
      <c r="T49666" s="135"/>
      <c r="U49666" s="135"/>
    </row>
    <row r="49667" spans="20:21" ht="15" customHeight="1" x14ac:dyDescent="0.25">
      <c r="T49667" s="135"/>
      <c r="U49667" s="135"/>
    </row>
    <row r="49668" spans="20:21" ht="15" customHeight="1" x14ac:dyDescent="0.25">
      <c r="T49668" s="135"/>
      <c r="U49668" s="135"/>
    </row>
    <row r="49669" spans="20:21" ht="15" customHeight="1" x14ac:dyDescent="0.25">
      <c r="T49669" s="135"/>
      <c r="U49669" s="135"/>
    </row>
    <row r="49670" spans="20:21" ht="15" customHeight="1" x14ac:dyDescent="0.25">
      <c r="T49670" s="135"/>
      <c r="U49670" s="135"/>
    </row>
    <row r="49671" spans="20:21" ht="15" customHeight="1" x14ac:dyDescent="0.25">
      <c r="T49671" s="135"/>
      <c r="U49671" s="135"/>
    </row>
    <row r="49672" spans="20:21" ht="15" customHeight="1" x14ac:dyDescent="0.25">
      <c r="T49672" s="135"/>
      <c r="U49672" s="135"/>
    </row>
    <row r="49673" spans="20:21" ht="15" customHeight="1" x14ac:dyDescent="0.25">
      <c r="T49673" s="135"/>
      <c r="U49673" s="135"/>
    </row>
    <row r="49674" spans="20:21" ht="15" customHeight="1" x14ac:dyDescent="0.25">
      <c r="T49674" s="135"/>
      <c r="U49674" s="135"/>
    </row>
    <row r="49675" spans="20:21" ht="15" customHeight="1" x14ac:dyDescent="0.25">
      <c r="T49675" s="135"/>
      <c r="U49675" s="135"/>
    </row>
    <row r="49676" spans="20:21" ht="15" customHeight="1" x14ac:dyDescent="0.25">
      <c r="T49676" s="135"/>
      <c r="U49676" s="135"/>
    </row>
    <row r="49677" spans="20:21" ht="15" customHeight="1" x14ac:dyDescent="0.25">
      <c r="T49677" s="135"/>
      <c r="U49677" s="135"/>
    </row>
    <row r="49678" spans="20:21" ht="15" customHeight="1" x14ac:dyDescent="0.25">
      <c r="T49678" s="135"/>
      <c r="U49678" s="135"/>
    </row>
    <row r="49679" spans="20:21" ht="15" customHeight="1" x14ac:dyDescent="0.25">
      <c r="T49679" s="135"/>
      <c r="U49679" s="135"/>
    </row>
    <row r="49680" spans="20:21" ht="15" customHeight="1" x14ac:dyDescent="0.25">
      <c r="T49680" s="135"/>
      <c r="U49680" s="135"/>
    </row>
    <row r="49681" spans="20:21" ht="15" customHeight="1" x14ac:dyDescent="0.25">
      <c r="T49681" s="135"/>
      <c r="U49681" s="135"/>
    </row>
    <row r="49682" spans="20:21" ht="15" customHeight="1" x14ac:dyDescent="0.25">
      <c r="T49682" s="135"/>
      <c r="U49682" s="135"/>
    </row>
    <row r="49683" spans="20:21" ht="15" customHeight="1" x14ac:dyDescent="0.25">
      <c r="T49683" s="135"/>
      <c r="U49683" s="135"/>
    </row>
    <row r="49684" spans="20:21" ht="15" customHeight="1" x14ac:dyDescent="0.25">
      <c r="T49684" s="135"/>
      <c r="U49684" s="135"/>
    </row>
    <row r="49685" spans="20:21" ht="15" customHeight="1" x14ac:dyDescent="0.25">
      <c r="T49685" s="135"/>
      <c r="U49685" s="135"/>
    </row>
    <row r="49686" spans="20:21" ht="15" customHeight="1" x14ac:dyDescent="0.25">
      <c r="T49686" s="135"/>
      <c r="U49686" s="135"/>
    </row>
    <row r="49687" spans="20:21" ht="15" customHeight="1" x14ac:dyDescent="0.25">
      <c r="T49687" s="135"/>
      <c r="U49687" s="135"/>
    </row>
    <row r="49688" spans="20:21" ht="15" customHeight="1" x14ac:dyDescent="0.25">
      <c r="T49688" s="135"/>
      <c r="U49688" s="135"/>
    </row>
    <row r="49689" spans="20:21" ht="15" customHeight="1" x14ac:dyDescent="0.25">
      <c r="T49689" s="135"/>
      <c r="U49689" s="135"/>
    </row>
    <row r="49690" spans="20:21" ht="15" customHeight="1" x14ac:dyDescent="0.25">
      <c r="T49690" s="135"/>
      <c r="U49690" s="135"/>
    </row>
    <row r="49691" spans="20:21" ht="15" customHeight="1" x14ac:dyDescent="0.25">
      <c r="T49691" s="135"/>
      <c r="U49691" s="135"/>
    </row>
    <row r="49692" spans="20:21" ht="15" customHeight="1" x14ac:dyDescent="0.25">
      <c r="T49692" s="135"/>
      <c r="U49692" s="135"/>
    </row>
    <row r="49693" spans="20:21" ht="15" customHeight="1" x14ac:dyDescent="0.25">
      <c r="T49693" s="135"/>
      <c r="U49693" s="135"/>
    </row>
    <row r="49694" spans="20:21" ht="15" customHeight="1" x14ac:dyDescent="0.25">
      <c r="T49694" s="135"/>
      <c r="U49694" s="135"/>
    </row>
    <row r="49695" spans="20:21" ht="15" customHeight="1" x14ac:dyDescent="0.25">
      <c r="T49695" s="135"/>
      <c r="U49695" s="135"/>
    </row>
    <row r="49696" spans="20:21" ht="15" customHeight="1" x14ac:dyDescent="0.25">
      <c r="T49696" s="135"/>
      <c r="U49696" s="135"/>
    </row>
    <row r="49697" spans="20:21" ht="15" customHeight="1" x14ac:dyDescent="0.25">
      <c r="T49697" s="135"/>
      <c r="U49697" s="135"/>
    </row>
    <row r="49698" spans="20:21" ht="15" customHeight="1" x14ac:dyDescent="0.25">
      <c r="T49698" s="135"/>
      <c r="U49698" s="135"/>
    </row>
    <row r="49699" spans="20:21" ht="15" customHeight="1" x14ac:dyDescent="0.25">
      <c r="T49699" s="135"/>
      <c r="U49699" s="135"/>
    </row>
    <row r="49700" spans="20:21" ht="15" customHeight="1" x14ac:dyDescent="0.25">
      <c r="T49700" s="135"/>
      <c r="U49700" s="135"/>
    </row>
    <row r="49701" spans="20:21" ht="15" customHeight="1" x14ac:dyDescent="0.25">
      <c r="T49701" s="135"/>
      <c r="U49701" s="135"/>
    </row>
    <row r="49702" spans="20:21" ht="15" customHeight="1" x14ac:dyDescent="0.25">
      <c r="T49702" s="135"/>
      <c r="U49702" s="135"/>
    </row>
    <row r="49703" spans="20:21" ht="15" customHeight="1" x14ac:dyDescent="0.25">
      <c r="T49703" s="135"/>
      <c r="U49703" s="135"/>
    </row>
    <row r="49704" spans="20:21" ht="15" customHeight="1" x14ac:dyDescent="0.25">
      <c r="T49704" s="135"/>
      <c r="U49704" s="135"/>
    </row>
    <row r="49705" spans="20:21" ht="15" customHeight="1" x14ac:dyDescent="0.25">
      <c r="T49705" s="135"/>
      <c r="U49705" s="135"/>
    </row>
    <row r="49706" spans="20:21" ht="15" customHeight="1" x14ac:dyDescent="0.25">
      <c r="T49706" s="135"/>
      <c r="U49706" s="135"/>
    </row>
    <row r="49707" spans="20:21" ht="15" customHeight="1" x14ac:dyDescent="0.25">
      <c r="T49707" s="135"/>
      <c r="U49707" s="135"/>
    </row>
    <row r="49708" spans="20:21" ht="15" customHeight="1" x14ac:dyDescent="0.25">
      <c r="T49708" s="135"/>
      <c r="U49708" s="135"/>
    </row>
    <row r="49709" spans="20:21" ht="15" customHeight="1" x14ac:dyDescent="0.25">
      <c r="T49709" s="135"/>
      <c r="U49709" s="135"/>
    </row>
    <row r="49710" spans="20:21" ht="15" customHeight="1" x14ac:dyDescent="0.25">
      <c r="T49710" s="135"/>
      <c r="U49710" s="135"/>
    </row>
    <row r="49711" spans="20:21" ht="15" customHeight="1" x14ac:dyDescent="0.25">
      <c r="T49711" s="135"/>
      <c r="U49711" s="135"/>
    </row>
    <row r="49712" spans="20:21" ht="15" customHeight="1" x14ac:dyDescent="0.25">
      <c r="T49712" s="135"/>
      <c r="U49712" s="135"/>
    </row>
    <row r="49713" spans="20:21" ht="15" customHeight="1" x14ac:dyDescent="0.25">
      <c r="T49713" s="135"/>
      <c r="U49713" s="135"/>
    </row>
    <row r="49714" spans="20:21" ht="15" customHeight="1" x14ac:dyDescent="0.25">
      <c r="T49714" s="135"/>
      <c r="U49714" s="135"/>
    </row>
    <row r="49715" spans="20:21" ht="15" customHeight="1" x14ac:dyDescent="0.25">
      <c r="T49715" s="135"/>
      <c r="U49715" s="135"/>
    </row>
    <row r="49716" spans="20:21" ht="15" customHeight="1" x14ac:dyDescent="0.25">
      <c r="T49716" s="135"/>
      <c r="U49716" s="135"/>
    </row>
    <row r="49717" spans="20:21" ht="15" customHeight="1" x14ac:dyDescent="0.25">
      <c r="T49717" s="135"/>
      <c r="U49717" s="135"/>
    </row>
    <row r="49718" spans="20:21" ht="15" customHeight="1" x14ac:dyDescent="0.25">
      <c r="T49718" s="135"/>
      <c r="U49718" s="135"/>
    </row>
    <row r="49719" spans="20:21" ht="15" customHeight="1" x14ac:dyDescent="0.25">
      <c r="T49719" s="135"/>
      <c r="U49719" s="135"/>
    </row>
    <row r="49720" spans="20:21" ht="15" customHeight="1" x14ac:dyDescent="0.25">
      <c r="T49720" s="135"/>
      <c r="U49720" s="135"/>
    </row>
    <row r="49721" spans="20:21" ht="15" customHeight="1" x14ac:dyDescent="0.25">
      <c r="T49721" s="135"/>
      <c r="U49721" s="135"/>
    </row>
    <row r="49722" spans="20:21" ht="15" customHeight="1" x14ac:dyDescent="0.25">
      <c r="T49722" s="135"/>
      <c r="U49722" s="135"/>
    </row>
    <row r="49723" spans="20:21" ht="15" customHeight="1" x14ac:dyDescent="0.25">
      <c r="T49723" s="135"/>
      <c r="U49723" s="135"/>
    </row>
    <row r="49724" spans="20:21" ht="15" customHeight="1" x14ac:dyDescent="0.25">
      <c r="T49724" s="135"/>
      <c r="U49724" s="135"/>
    </row>
    <row r="49725" spans="20:21" ht="15" customHeight="1" x14ac:dyDescent="0.25">
      <c r="T49725" s="135"/>
      <c r="U49725" s="135"/>
    </row>
    <row r="49726" spans="20:21" ht="15" customHeight="1" x14ac:dyDescent="0.25">
      <c r="T49726" s="135"/>
      <c r="U49726" s="135"/>
    </row>
    <row r="49727" spans="20:21" ht="15" customHeight="1" x14ac:dyDescent="0.25">
      <c r="T49727" s="135"/>
      <c r="U49727" s="135"/>
    </row>
    <row r="49728" spans="20:21" ht="15" customHeight="1" x14ac:dyDescent="0.25">
      <c r="T49728" s="135"/>
      <c r="U49728" s="135"/>
    </row>
    <row r="49729" spans="20:21" ht="15" customHeight="1" x14ac:dyDescent="0.25">
      <c r="T49729" s="135"/>
      <c r="U49729" s="135"/>
    </row>
    <row r="49730" spans="20:21" ht="15" customHeight="1" x14ac:dyDescent="0.25">
      <c r="T49730" s="135"/>
      <c r="U49730" s="135"/>
    </row>
    <row r="49731" spans="20:21" ht="15" customHeight="1" x14ac:dyDescent="0.25">
      <c r="T49731" s="135"/>
      <c r="U49731" s="135"/>
    </row>
    <row r="49732" spans="20:21" ht="15" customHeight="1" x14ac:dyDescent="0.25">
      <c r="T49732" s="135"/>
      <c r="U49732" s="135"/>
    </row>
    <row r="49733" spans="20:21" ht="15" customHeight="1" x14ac:dyDescent="0.25">
      <c r="T49733" s="135"/>
      <c r="U49733" s="135"/>
    </row>
    <row r="49734" spans="20:21" ht="15" customHeight="1" x14ac:dyDescent="0.25">
      <c r="T49734" s="135"/>
      <c r="U49734" s="135"/>
    </row>
    <row r="49735" spans="20:21" ht="15" customHeight="1" x14ac:dyDescent="0.25">
      <c r="T49735" s="135"/>
      <c r="U49735" s="135"/>
    </row>
    <row r="49736" spans="20:21" ht="15" customHeight="1" x14ac:dyDescent="0.25">
      <c r="T49736" s="135"/>
      <c r="U49736" s="135"/>
    </row>
    <row r="49737" spans="20:21" ht="15" customHeight="1" x14ac:dyDescent="0.25">
      <c r="T49737" s="135"/>
      <c r="U49737" s="135"/>
    </row>
    <row r="49738" spans="20:21" ht="15" customHeight="1" x14ac:dyDescent="0.25">
      <c r="T49738" s="135"/>
      <c r="U49738" s="135"/>
    </row>
    <row r="49739" spans="20:21" ht="15" customHeight="1" x14ac:dyDescent="0.25">
      <c r="T49739" s="135"/>
      <c r="U49739" s="135"/>
    </row>
    <row r="49740" spans="20:21" ht="15" customHeight="1" x14ac:dyDescent="0.25">
      <c r="T49740" s="135"/>
      <c r="U49740" s="135"/>
    </row>
    <row r="49741" spans="20:21" ht="15" customHeight="1" x14ac:dyDescent="0.25">
      <c r="T49741" s="135"/>
      <c r="U49741" s="135"/>
    </row>
    <row r="49742" spans="20:21" ht="15" customHeight="1" x14ac:dyDescent="0.25">
      <c r="T49742" s="135"/>
      <c r="U49742" s="135"/>
    </row>
    <row r="49743" spans="20:21" ht="15" customHeight="1" x14ac:dyDescent="0.25">
      <c r="T49743" s="135"/>
      <c r="U49743" s="135"/>
    </row>
    <row r="49744" spans="20:21" ht="15" customHeight="1" x14ac:dyDescent="0.25">
      <c r="T49744" s="135"/>
      <c r="U49744" s="135"/>
    </row>
    <row r="49745" spans="20:21" ht="15" customHeight="1" x14ac:dyDescent="0.25">
      <c r="T49745" s="135"/>
      <c r="U49745" s="135"/>
    </row>
    <row r="49746" spans="20:21" ht="15" customHeight="1" x14ac:dyDescent="0.25">
      <c r="T49746" s="135"/>
      <c r="U49746" s="135"/>
    </row>
    <row r="49747" spans="20:21" ht="15" customHeight="1" x14ac:dyDescent="0.25">
      <c r="T49747" s="135"/>
      <c r="U49747" s="135"/>
    </row>
    <row r="49748" spans="20:21" ht="15" customHeight="1" x14ac:dyDescent="0.25">
      <c r="T49748" s="135"/>
      <c r="U49748" s="135"/>
    </row>
    <row r="49749" spans="20:21" ht="15" customHeight="1" x14ac:dyDescent="0.25">
      <c r="T49749" s="135"/>
      <c r="U49749" s="135"/>
    </row>
    <row r="49750" spans="20:21" ht="15" customHeight="1" x14ac:dyDescent="0.25">
      <c r="T49750" s="135"/>
      <c r="U49750" s="135"/>
    </row>
    <row r="49751" spans="20:21" ht="15" customHeight="1" x14ac:dyDescent="0.25">
      <c r="T49751" s="135"/>
      <c r="U49751" s="135"/>
    </row>
    <row r="49752" spans="20:21" ht="15" customHeight="1" x14ac:dyDescent="0.25">
      <c r="T49752" s="135"/>
      <c r="U49752" s="135"/>
    </row>
    <row r="49753" spans="20:21" ht="15" customHeight="1" x14ac:dyDescent="0.25">
      <c r="T49753" s="135"/>
      <c r="U49753" s="135"/>
    </row>
    <row r="49754" spans="20:21" ht="15" customHeight="1" x14ac:dyDescent="0.25">
      <c r="T49754" s="135"/>
      <c r="U49754" s="135"/>
    </row>
    <row r="49755" spans="20:21" ht="15" customHeight="1" x14ac:dyDescent="0.25">
      <c r="T49755" s="135"/>
      <c r="U49755" s="135"/>
    </row>
    <row r="49756" spans="20:21" ht="15" customHeight="1" x14ac:dyDescent="0.25">
      <c r="T49756" s="135"/>
      <c r="U49756" s="135"/>
    </row>
    <row r="49757" spans="20:21" ht="15" customHeight="1" x14ac:dyDescent="0.25">
      <c r="T49757" s="135"/>
      <c r="U49757" s="135"/>
    </row>
    <row r="49758" spans="20:21" ht="15" customHeight="1" x14ac:dyDescent="0.25">
      <c r="T49758" s="135"/>
      <c r="U49758" s="135"/>
    </row>
    <row r="49759" spans="20:21" ht="15" customHeight="1" x14ac:dyDescent="0.25">
      <c r="T49759" s="135"/>
      <c r="U49759" s="135"/>
    </row>
    <row r="49760" spans="20:21" ht="15" customHeight="1" x14ac:dyDescent="0.25">
      <c r="T49760" s="135"/>
      <c r="U49760" s="135"/>
    </row>
    <row r="49761" spans="20:21" ht="15" customHeight="1" x14ac:dyDescent="0.25">
      <c r="T49761" s="135"/>
      <c r="U49761" s="135"/>
    </row>
    <row r="49762" spans="20:21" ht="15" customHeight="1" x14ac:dyDescent="0.25">
      <c r="T49762" s="135"/>
      <c r="U49762" s="135"/>
    </row>
    <row r="49763" spans="20:21" ht="15" customHeight="1" x14ac:dyDescent="0.25">
      <c r="T49763" s="135"/>
      <c r="U49763" s="135"/>
    </row>
    <row r="49764" spans="20:21" ht="15" customHeight="1" x14ac:dyDescent="0.25">
      <c r="T49764" s="135"/>
      <c r="U49764" s="135"/>
    </row>
    <row r="49765" spans="20:21" ht="15" customHeight="1" x14ac:dyDescent="0.25">
      <c r="T49765" s="135"/>
      <c r="U49765" s="135"/>
    </row>
    <row r="49766" spans="20:21" ht="15" customHeight="1" x14ac:dyDescent="0.25">
      <c r="T49766" s="135"/>
      <c r="U49766" s="135"/>
    </row>
    <row r="49767" spans="20:21" ht="15" customHeight="1" x14ac:dyDescent="0.25">
      <c r="T49767" s="135"/>
      <c r="U49767" s="135"/>
    </row>
    <row r="49768" spans="20:21" ht="15" customHeight="1" x14ac:dyDescent="0.25">
      <c r="T49768" s="135"/>
      <c r="U49768" s="135"/>
    </row>
    <row r="49769" spans="20:21" ht="15" customHeight="1" x14ac:dyDescent="0.25">
      <c r="T49769" s="135"/>
      <c r="U49769" s="135"/>
    </row>
    <row r="49770" spans="20:21" ht="15" customHeight="1" x14ac:dyDescent="0.25">
      <c r="T49770" s="135"/>
      <c r="U49770" s="135"/>
    </row>
    <row r="49771" spans="20:21" ht="15" customHeight="1" x14ac:dyDescent="0.25">
      <c r="T49771" s="135"/>
      <c r="U49771" s="135"/>
    </row>
    <row r="49772" spans="20:21" ht="15" customHeight="1" x14ac:dyDescent="0.25">
      <c r="T49772" s="135"/>
      <c r="U49772" s="135"/>
    </row>
    <row r="49773" spans="20:21" ht="15" customHeight="1" x14ac:dyDescent="0.25">
      <c r="T49773" s="135"/>
      <c r="U49773" s="135"/>
    </row>
    <row r="49774" spans="20:21" ht="15" customHeight="1" x14ac:dyDescent="0.25">
      <c r="T49774" s="135"/>
      <c r="U49774" s="135"/>
    </row>
    <row r="49775" spans="20:21" ht="15" customHeight="1" x14ac:dyDescent="0.25">
      <c r="T49775" s="135"/>
      <c r="U49775" s="135"/>
    </row>
    <row r="49776" spans="20:21" ht="15" customHeight="1" x14ac:dyDescent="0.25">
      <c r="T49776" s="135"/>
      <c r="U49776" s="135"/>
    </row>
    <row r="49777" spans="20:21" ht="15" customHeight="1" x14ac:dyDescent="0.25">
      <c r="T49777" s="135"/>
      <c r="U49777" s="135"/>
    </row>
    <row r="49778" spans="20:21" ht="15" customHeight="1" x14ac:dyDescent="0.25">
      <c r="T49778" s="135"/>
      <c r="U49778" s="135"/>
    </row>
    <row r="49779" spans="20:21" ht="15" customHeight="1" x14ac:dyDescent="0.25">
      <c r="T49779" s="135"/>
      <c r="U49779" s="135"/>
    </row>
    <row r="49780" spans="20:21" ht="15" customHeight="1" x14ac:dyDescent="0.25">
      <c r="T49780" s="135"/>
      <c r="U49780" s="135"/>
    </row>
    <row r="49781" spans="20:21" ht="15" customHeight="1" x14ac:dyDescent="0.25">
      <c r="T49781" s="135"/>
      <c r="U49781" s="135"/>
    </row>
    <row r="49782" spans="20:21" ht="15" customHeight="1" x14ac:dyDescent="0.25">
      <c r="T49782" s="135"/>
      <c r="U49782" s="135"/>
    </row>
    <row r="49783" spans="20:21" ht="15" customHeight="1" x14ac:dyDescent="0.25">
      <c r="T49783" s="135"/>
      <c r="U49783" s="135"/>
    </row>
    <row r="49784" spans="20:21" ht="15" customHeight="1" x14ac:dyDescent="0.25">
      <c r="T49784" s="135"/>
      <c r="U49784" s="135"/>
    </row>
    <row r="49785" spans="20:21" ht="15" customHeight="1" x14ac:dyDescent="0.25">
      <c r="T49785" s="135"/>
      <c r="U49785" s="135"/>
    </row>
    <row r="49786" spans="20:21" ht="15" customHeight="1" x14ac:dyDescent="0.25">
      <c r="T49786" s="135"/>
      <c r="U49786" s="135"/>
    </row>
    <row r="49787" spans="20:21" ht="15" customHeight="1" x14ac:dyDescent="0.25">
      <c r="T49787" s="135"/>
      <c r="U49787" s="135"/>
    </row>
    <row r="49788" spans="20:21" ht="15" customHeight="1" x14ac:dyDescent="0.25">
      <c r="T49788" s="135"/>
      <c r="U49788" s="135"/>
    </row>
    <row r="49789" spans="20:21" ht="15" customHeight="1" x14ac:dyDescent="0.25">
      <c r="T49789" s="135"/>
      <c r="U49789" s="135"/>
    </row>
    <row r="49790" spans="20:21" ht="15" customHeight="1" x14ac:dyDescent="0.25">
      <c r="T49790" s="135"/>
      <c r="U49790" s="135"/>
    </row>
    <row r="49791" spans="20:21" ht="15" customHeight="1" x14ac:dyDescent="0.25">
      <c r="T49791" s="135"/>
      <c r="U49791" s="135"/>
    </row>
    <row r="49792" spans="20:21" ht="15" customHeight="1" x14ac:dyDescent="0.25">
      <c r="T49792" s="135"/>
      <c r="U49792" s="135"/>
    </row>
    <row r="49793" spans="20:21" ht="15" customHeight="1" x14ac:dyDescent="0.25">
      <c r="T49793" s="135"/>
      <c r="U49793" s="135"/>
    </row>
    <row r="49794" spans="20:21" ht="15" customHeight="1" x14ac:dyDescent="0.25">
      <c r="T49794" s="135"/>
      <c r="U49794" s="135"/>
    </row>
    <row r="49795" spans="20:21" ht="15" customHeight="1" x14ac:dyDescent="0.25">
      <c r="T49795" s="135"/>
      <c r="U49795" s="135"/>
    </row>
    <row r="49796" spans="20:21" ht="15" customHeight="1" x14ac:dyDescent="0.25">
      <c r="T49796" s="135"/>
      <c r="U49796" s="135"/>
    </row>
    <row r="49797" spans="20:21" ht="15" customHeight="1" x14ac:dyDescent="0.25">
      <c r="T49797" s="135"/>
      <c r="U49797" s="135"/>
    </row>
    <row r="49798" spans="20:21" ht="15" customHeight="1" x14ac:dyDescent="0.25">
      <c r="T49798" s="135"/>
      <c r="U49798" s="135"/>
    </row>
    <row r="49799" spans="20:21" ht="15" customHeight="1" x14ac:dyDescent="0.25">
      <c r="T49799" s="135"/>
      <c r="U49799" s="135"/>
    </row>
    <row r="49800" spans="20:21" ht="15" customHeight="1" x14ac:dyDescent="0.25">
      <c r="T49800" s="135"/>
      <c r="U49800" s="135"/>
    </row>
    <row r="49801" spans="20:21" ht="15" customHeight="1" x14ac:dyDescent="0.25">
      <c r="T49801" s="135"/>
      <c r="U49801" s="135"/>
    </row>
    <row r="49802" spans="20:21" ht="15" customHeight="1" x14ac:dyDescent="0.25">
      <c r="T49802" s="135"/>
      <c r="U49802" s="135"/>
    </row>
    <row r="49803" spans="20:21" ht="15" customHeight="1" x14ac:dyDescent="0.25">
      <c r="T49803" s="135"/>
      <c r="U49803" s="135"/>
    </row>
    <row r="49804" spans="20:21" ht="15" customHeight="1" x14ac:dyDescent="0.25">
      <c r="T49804" s="135"/>
      <c r="U49804" s="135"/>
    </row>
    <row r="49805" spans="20:21" ht="15" customHeight="1" x14ac:dyDescent="0.25">
      <c r="T49805" s="135"/>
      <c r="U49805" s="135"/>
    </row>
    <row r="49806" spans="20:21" ht="15" customHeight="1" x14ac:dyDescent="0.25">
      <c r="T49806" s="135"/>
      <c r="U49806" s="135"/>
    </row>
    <row r="49807" spans="20:21" ht="15" customHeight="1" x14ac:dyDescent="0.25">
      <c r="T49807" s="135"/>
      <c r="U49807" s="135"/>
    </row>
    <row r="49808" spans="20:21" ht="15" customHeight="1" x14ac:dyDescent="0.25">
      <c r="T49808" s="135"/>
      <c r="U49808" s="135"/>
    </row>
    <row r="49809" spans="20:21" ht="15" customHeight="1" x14ac:dyDescent="0.25">
      <c r="T49809" s="135"/>
      <c r="U49809" s="135"/>
    </row>
    <row r="49810" spans="20:21" ht="15" customHeight="1" x14ac:dyDescent="0.25">
      <c r="T49810" s="135"/>
      <c r="U49810" s="135"/>
    </row>
    <row r="49811" spans="20:21" ht="15" customHeight="1" x14ac:dyDescent="0.25">
      <c r="T49811" s="135"/>
      <c r="U49811" s="135"/>
    </row>
    <row r="49812" spans="20:21" ht="15" customHeight="1" x14ac:dyDescent="0.25">
      <c r="T49812" s="135"/>
      <c r="U49812" s="135"/>
    </row>
    <row r="49813" spans="20:21" ht="15" customHeight="1" x14ac:dyDescent="0.25">
      <c r="T49813" s="135"/>
      <c r="U49813" s="135"/>
    </row>
    <row r="49814" spans="20:21" ht="15" customHeight="1" x14ac:dyDescent="0.25">
      <c r="T49814" s="135"/>
      <c r="U49814" s="135"/>
    </row>
    <row r="49815" spans="20:21" ht="15" customHeight="1" x14ac:dyDescent="0.25">
      <c r="T49815" s="135"/>
      <c r="U49815" s="135"/>
    </row>
    <row r="49816" spans="20:21" ht="15" customHeight="1" x14ac:dyDescent="0.25">
      <c r="T49816" s="135"/>
      <c r="U49816" s="135"/>
    </row>
    <row r="49817" spans="20:21" ht="15" customHeight="1" x14ac:dyDescent="0.25">
      <c r="T49817" s="135"/>
      <c r="U49817" s="135"/>
    </row>
    <row r="49818" spans="20:21" ht="15" customHeight="1" x14ac:dyDescent="0.25">
      <c r="T49818" s="135"/>
      <c r="U49818" s="135"/>
    </row>
    <row r="49819" spans="20:21" ht="15" customHeight="1" x14ac:dyDescent="0.25">
      <c r="T49819" s="135"/>
      <c r="U49819" s="135"/>
    </row>
    <row r="49820" spans="20:21" ht="15" customHeight="1" x14ac:dyDescent="0.25">
      <c r="T49820" s="135"/>
      <c r="U49820" s="135"/>
    </row>
    <row r="49821" spans="20:21" ht="15" customHeight="1" x14ac:dyDescent="0.25">
      <c r="T49821" s="135"/>
      <c r="U49821" s="135"/>
    </row>
    <row r="49822" spans="20:21" ht="15" customHeight="1" x14ac:dyDescent="0.25">
      <c r="T49822" s="135"/>
      <c r="U49822" s="135"/>
    </row>
    <row r="49823" spans="20:21" ht="15" customHeight="1" x14ac:dyDescent="0.25">
      <c r="T49823" s="135"/>
      <c r="U49823" s="135"/>
    </row>
    <row r="49824" spans="20:21" ht="15" customHeight="1" x14ac:dyDescent="0.25">
      <c r="T49824" s="135"/>
      <c r="U49824" s="135"/>
    </row>
    <row r="49825" spans="20:21" ht="15" customHeight="1" x14ac:dyDescent="0.25">
      <c r="T49825" s="135"/>
      <c r="U49825" s="135"/>
    </row>
    <row r="49826" spans="20:21" ht="15" customHeight="1" x14ac:dyDescent="0.25">
      <c r="T49826" s="135"/>
      <c r="U49826" s="135"/>
    </row>
    <row r="49827" spans="20:21" ht="15" customHeight="1" x14ac:dyDescent="0.25">
      <c r="T49827" s="135"/>
      <c r="U49827" s="135"/>
    </row>
    <row r="49828" spans="20:21" ht="15" customHeight="1" x14ac:dyDescent="0.25">
      <c r="T49828" s="135"/>
      <c r="U49828" s="135"/>
    </row>
    <row r="49829" spans="20:21" ht="15" customHeight="1" x14ac:dyDescent="0.25">
      <c r="T49829" s="135"/>
      <c r="U49829" s="135"/>
    </row>
    <row r="49830" spans="20:21" ht="15" customHeight="1" x14ac:dyDescent="0.25">
      <c r="T49830" s="135"/>
      <c r="U49830" s="135"/>
    </row>
    <row r="49831" spans="20:21" ht="15" customHeight="1" x14ac:dyDescent="0.25">
      <c r="T49831" s="135"/>
      <c r="U49831" s="135"/>
    </row>
    <row r="49832" spans="20:21" ht="15" customHeight="1" x14ac:dyDescent="0.25">
      <c r="T49832" s="135"/>
      <c r="U49832" s="135"/>
    </row>
    <row r="49833" spans="20:21" ht="15" customHeight="1" x14ac:dyDescent="0.25">
      <c r="T49833" s="135"/>
      <c r="U49833" s="135"/>
    </row>
    <row r="49834" spans="20:21" ht="15" customHeight="1" x14ac:dyDescent="0.25">
      <c r="T49834" s="135"/>
      <c r="U49834" s="135"/>
    </row>
    <row r="49835" spans="20:21" ht="15" customHeight="1" x14ac:dyDescent="0.25">
      <c r="T49835" s="135"/>
      <c r="U49835" s="135"/>
    </row>
    <row r="49836" spans="20:21" ht="15" customHeight="1" x14ac:dyDescent="0.25">
      <c r="T49836" s="135"/>
      <c r="U49836" s="135"/>
    </row>
    <row r="49837" spans="20:21" ht="15" customHeight="1" x14ac:dyDescent="0.25">
      <c r="T49837" s="135"/>
      <c r="U49837" s="135"/>
    </row>
    <row r="49838" spans="20:21" ht="15" customHeight="1" x14ac:dyDescent="0.25">
      <c r="T49838" s="135"/>
      <c r="U49838" s="135"/>
    </row>
    <row r="49839" spans="20:21" ht="15" customHeight="1" x14ac:dyDescent="0.25">
      <c r="T49839" s="135"/>
      <c r="U49839" s="135"/>
    </row>
    <row r="49840" spans="20:21" ht="15" customHeight="1" x14ac:dyDescent="0.25">
      <c r="T49840" s="135"/>
      <c r="U49840" s="135"/>
    </row>
    <row r="49841" spans="20:21" ht="15" customHeight="1" x14ac:dyDescent="0.25">
      <c r="T49841" s="135"/>
      <c r="U49841" s="135"/>
    </row>
    <row r="49842" spans="20:21" ht="15" customHeight="1" x14ac:dyDescent="0.25">
      <c r="T49842" s="135"/>
      <c r="U49842" s="135"/>
    </row>
    <row r="49843" spans="20:21" ht="15" customHeight="1" x14ac:dyDescent="0.25">
      <c r="T49843" s="135"/>
      <c r="U49843" s="135"/>
    </row>
    <row r="49844" spans="20:21" ht="15" customHeight="1" x14ac:dyDescent="0.25">
      <c r="T49844" s="135"/>
      <c r="U49844" s="135"/>
    </row>
    <row r="49845" spans="20:21" ht="15" customHeight="1" x14ac:dyDescent="0.25">
      <c r="T49845" s="135"/>
      <c r="U49845" s="135"/>
    </row>
    <row r="49846" spans="20:21" ht="15" customHeight="1" x14ac:dyDescent="0.25">
      <c r="T49846" s="135"/>
      <c r="U49846" s="135"/>
    </row>
    <row r="49847" spans="20:21" ht="15" customHeight="1" x14ac:dyDescent="0.25">
      <c r="T49847" s="135"/>
      <c r="U49847" s="135"/>
    </row>
    <row r="49848" spans="20:21" ht="15" customHeight="1" x14ac:dyDescent="0.25">
      <c r="T49848" s="135"/>
      <c r="U49848" s="135"/>
    </row>
    <row r="49849" spans="20:21" ht="15" customHeight="1" x14ac:dyDescent="0.25">
      <c r="T49849" s="135"/>
      <c r="U49849" s="135"/>
    </row>
    <row r="49850" spans="20:21" ht="15" customHeight="1" x14ac:dyDescent="0.25">
      <c r="T49850" s="135"/>
      <c r="U49850" s="135"/>
    </row>
    <row r="49851" spans="20:21" ht="15" customHeight="1" x14ac:dyDescent="0.25">
      <c r="T49851" s="135"/>
      <c r="U49851" s="135"/>
    </row>
    <row r="49852" spans="20:21" ht="15" customHeight="1" x14ac:dyDescent="0.25">
      <c r="T49852" s="135"/>
      <c r="U49852" s="135"/>
    </row>
    <row r="49853" spans="20:21" ht="15" customHeight="1" x14ac:dyDescent="0.25">
      <c r="T49853" s="135"/>
      <c r="U49853" s="135"/>
    </row>
    <row r="49854" spans="20:21" ht="15" customHeight="1" x14ac:dyDescent="0.25">
      <c r="T49854" s="135"/>
      <c r="U49854" s="135"/>
    </row>
    <row r="49855" spans="20:21" ht="15" customHeight="1" x14ac:dyDescent="0.25">
      <c r="T49855" s="135"/>
      <c r="U49855" s="135"/>
    </row>
    <row r="49856" spans="20:21" ht="15" customHeight="1" x14ac:dyDescent="0.25">
      <c r="T49856" s="135"/>
      <c r="U49856" s="135"/>
    </row>
    <row r="49857" spans="20:21" ht="15" customHeight="1" x14ac:dyDescent="0.25">
      <c r="T49857" s="135"/>
      <c r="U49857" s="135"/>
    </row>
    <row r="49858" spans="20:21" ht="15" customHeight="1" x14ac:dyDescent="0.25">
      <c r="T49858" s="135"/>
      <c r="U49858" s="135"/>
    </row>
    <row r="49859" spans="20:21" ht="15" customHeight="1" x14ac:dyDescent="0.25">
      <c r="T49859" s="135"/>
      <c r="U49859" s="135"/>
    </row>
    <row r="49860" spans="20:21" ht="15" customHeight="1" x14ac:dyDescent="0.25">
      <c r="T49860" s="135"/>
      <c r="U49860" s="135"/>
    </row>
    <row r="49861" spans="20:21" ht="15" customHeight="1" x14ac:dyDescent="0.25">
      <c r="T49861" s="135"/>
      <c r="U49861" s="135"/>
    </row>
    <row r="49862" spans="20:21" ht="15" customHeight="1" x14ac:dyDescent="0.25">
      <c r="T49862" s="135"/>
      <c r="U49862" s="135"/>
    </row>
    <row r="49863" spans="20:21" ht="15" customHeight="1" x14ac:dyDescent="0.25">
      <c r="T49863" s="135"/>
      <c r="U49863" s="135"/>
    </row>
    <row r="49864" spans="20:21" ht="15" customHeight="1" x14ac:dyDescent="0.25">
      <c r="T49864" s="135"/>
      <c r="U49864" s="135"/>
    </row>
    <row r="49865" spans="20:21" ht="15" customHeight="1" x14ac:dyDescent="0.25">
      <c r="T49865" s="135"/>
      <c r="U49865" s="135"/>
    </row>
    <row r="49866" spans="20:21" ht="15" customHeight="1" x14ac:dyDescent="0.25">
      <c r="T49866" s="135"/>
      <c r="U49866" s="135"/>
    </row>
    <row r="49867" spans="20:21" ht="15" customHeight="1" x14ac:dyDescent="0.25">
      <c r="T49867" s="135"/>
      <c r="U49867" s="135"/>
    </row>
    <row r="49868" spans="20:21" ht="15" customHeight="1" x14ac:dyDescent="0.25">
      <c r="T49868" s="135"/>
      <c r="U49868" s="135"/>
    </row>
    <row r="49869" spans="20:21" ht="15" customHeight="1" x14ac:dyDescent="0.25">
      <c r="T49869" s="135"/>
      <c r="U49869" s="135"/>
    </row>
    <row r="49870" spans="20:21" ht="15" customHeight="1" x14ac:dyDescent="0.25">
      <c r="T49870" s="135"/>
      <c r="U49870" s="135"/>
    </row>
    <row r="49871" spans="20:21" ht="15" customHeight="1" x14ac:dyDescent="0.25">
      <c r="T49871" s="135"/>
      <c r="U49871" s="135"/>
    </row>
    <row r="49872" spans="20:21" ht="15" customHeight="1" x14ac:dyDescent="0.25">
      <c r="T49872" s="135"/>
      <c r="U49872" s="135"/>
    </row>
    <row r="49873" spans="20:21" ht="15" customHeight="1" x14ac:dyDescent="0.25">
      <c r="T49873" s="135"/>
      <c r="U49873" s="135"/>
    </row>
    <row r="49874" spans="20:21" ht="15" customHeight="1" x14ac:dyDescent="0.25">
      <c r="T49874" s="135"/>
      <c r="U49874" s="135"/>
    </row>
    <row r="49875" spans="20:21" ht="15" customHeight="1" x14ac:dyDescent="0.25">
      <c r="T49875" s="135"/>
      <c r="U49875" s="135"/>
    </row>
    <row r="49876" spans="20:21" ht="15" customHeight="1" x14ac:dyDescent="0.25">
      <c r="T49876" s="135"/>
      <c r="U49876" s="135"/>
    </row>
    <row r="49877" spans="20:21" ht="15" customHeight="1" x14ac:dyDescent="0.25">
      <c r="T49877" s="135"/>
      <c r="U49877" s="135"/>
    </row>
    <row r="49878" spans="20:21" ht="15" customHeight="1" x14ac:dyDescent="0.25">
      <c r="T49878" s="135"/>
      <c r="U49878" s="135"/>
    </row>
    <row r="49879" spans="20:21" ht="15" customHeight="1" x14ac:dyDescent="0.25">
      <c r="T49879" s="135"/>
      <c r="U49879" s="135"/>
    </row>
    <row r="49880" spans="20:21" ht="15" customHeight="1" x14ac:dyDescent="0.25">
      <c r="T49880" s="135"/>
      <c r="U49880" s="135"/>
    </row>
    <row r="49881" spans="20:21" ht="15" customHeight="1" x14ac:dyDescent="0.25">
      <c r="T49881" s="135"/>
      <c r="U49881" s="135"/>
    </row>
    <row r="49882" spans="20:21" ht="15" customHeight="1" x14ac:dyDescent="0.25">
      <c r="T49882" s="135"/>
      <c r="U49882" s="135"/>
    </row>
    <row r="49883" spans="20:21" ht="15" customHeight="1" x14ac:dyDescent="0.25">
      <c r="T49883" s="135"/>
      <c r="U49883" s="135"/>
    </row>
    <row r="49884" spans="20:21" ht="15" customHeight="1" x14ac:dyDescent="0.25">
      <c r="T49884" s="135"/>
      <c r="U49884" s="135"/>
    </row>
    <row r="49885" spans="20:21" ht="15" customHeight="1" x14ac:dyDescent="0.25">
      <c r="T49885" s="135"/>
      <c r="U49885" s="135"/>
    </row>
    <row r="49886" spans="20:21" ht="15" customHeight="1" x14ac:dyDescent="0.25">
      <c r="T49886" s="135"/>
      <c r="U49886" s="135"/>
    </row>
    <row r="49887" spans="20:21" ht="15" customHeight="1" x14ac:dyDescent="0.25">
      <c r="T49887" s="135"/>
      <c r="U49887" s="135"/>
    </row>
    <row r="49888" spans="20:21" ht="15" customHeight="1" x14ac:dyDescent="0.25">
      <c r="T49888" s="135"/>
      <c r="U49888" s="135"/>
    </row>
    <row r="49889" spans="20:21" ht="15" customHeight="1" x14ac:dyDescent="0.25">
      <c r="T49889" s="135"/>
      <c r="U49889" s="135"/>
    </row>
    <row r="49890" spans="20:21" ht="15" customHeight="1" x14ac:dyDescent="0.25">
      <c r="T49890" s="135"/>
      <c r="U49890" s="135"/>
    </row>
    <row r="49891" spans="20:21" ht="15" customHeight="1" x14ac:dyDescent="0.25">
      <c r="T49891" s="135"/>
      <c r="U49891" s="135"/>
    </row>
    <row r="49892" spans="20:21" ht="15" customHeight="1" x14ac:dyDescent="0.25">
      <c r="T49892" s="135"/>
      <c r="U49892" s="135"/>
    </row>
    <row r="49893" spans="20:21" ht="15" customHeight="1" x14ac:dyDescent="0.25">
      <c r="T49893" s="135"/>
      <c r="U49893" s="135"/>
    </row>
    <row r="49894" spans="20:21" ht="15" customHeight="1" x14ac:dyDescent="0.25">
      <c r="T49894" s="135"/>
      <c r="U49894" s="135"/>
    </row>
    <row r="49895" spans="20:21" ht="15" customHeight="1" x14ac:dyDescent="0.25">
      <c r="T49895" s="135"/>
      <c r="U49895" s="135"/>
    </row>
    <row r="49896" spans="20:21" ht="15" customHeight="1" x14ac:dyDescent="0.25">
      <c r="T49896" s="135"/>
      <c r="U49896" s="135"/>
    </row>
    <row r="49897" spans="20:21" ht="15" customHeight="1" x14ac:dyDescent="0.25">
      <c r="T49897" s="135"/>
      <c r="U49897" s="135"/>
    </row>
    <row r="49898" spans="20:21" ht="15" customHeight="1" x14ac:dyDescent="0.25">
      <c r="T49898" s="135"/>
      <c r="U49898" s="135"/>
    </row>
    <row r="49899" spans="20:21" ht="15" customHeight="1" x14ac:dyDescent="0.25">
      <c r="T49899" s="135"/>
      <c r="U49899" s="135"/>
    </row>
    <row r="49900" spans="20:21" ht="15" customHeight="1" x14ac:dyDescent="0.25">
      <c r="T49900" s="135"/>
      <c r="U49900" s="135"/>
    </row>
    <row r="49901" spans="20:21" ht="15" customHeight="1" x14ac:dyDescent="0.25">
      <c r="T49901" s="135"/>
      <c r="U49901" s="135"/>
    </row>
    <row r="49902" spans="20:21" ht="15" customHeight="1" x14ac:dyDescent="0.25">
      <c r="T49902" s="135"/>
      <c r="U49902" s="135"/>
    </row>
    <row r="49903" spans="20:21" ht="15" customHeight="1" x14ac:dyDescent="0.25">
      <c r="T49903" s="135"/>
      <c r="U49903" s="135"/>
    </row>
    <row r="49904" spans="20:21" ht="15" customHeight="1" x14ac:dyDescent="0.25">
      <c r="T49904" s="135"/>
      <c r="U49904" s="135"/>
    </row>
    <row r="49905" spans="20:21" ht="15" customHeight="1" x14ac:dyDescent="0.25">
      <c r="T49905" s="135"/>
      <c r="U49905" s="135"/>
    </row>
    <row r="49906" spans="20:21" ht="15" customHeight="1" x14ac:dyDescent="0.25">
      <c r="T49906" s="135"/>
      <c r="U49906" s="135"/>
    </row>
    <row r="49907" spans="20:21" ht="15" customHeight="1" x14ac:dyDescent="0.25">
      <c r="T49907" s="135"/>
      <c r="U49907" s="135"/>
    </row>
    <row r="49908" spans="20:21" ht="15" customHeight="1" x14ac:dyDescent="0.25">
      <c r="T49908" s="135"/>
      <c r="U49908" s="135"/>
    </row>
    <row r="49909" spans="20:21" ht="15" customHeight="1" x14ac:dyDescent="0.25">
      <c r="T49909" s="135"/>
      <c r="U49909" s="135"/>
    </row>
    <row r="49910" spans="20:21" ht="15" customHeight="1" x14ac:dyDescent="0.25">
      <c r="T49910" s="135"/>
      <c r="U49910" s="135"/>
    </row>
    <row r="49911" spans="20:21" ht="15" customHeight="1" x14ac:dyDescent="0.25">
      <c r="T49911" s="135"/>
      <c r="U49911" s="135"/>
    </row>
    <row r="49912" spans="20:21" ht="15" customHeight="1" x14ac:dyDescent="0.25">
      <c r="T49912" s="135"/>
      <c r="U49912" s="135"/>
    </row>
    <row r="49913" spans="20:21" ht="15" customHeight="1" x14ac:dyDescent="0.25">
      <c r="T49913" s="135"/>
      <c r="U49913" s="135"/>
    </row>
    <row r="49914" spans="20:21" ht="15" customHeight="1" x14ac:dyDescent="0.25">
      <c r="T49914" s="135"/>
      <c r="U49914" s="135"/>
    </row>
    <row r="49915" spans="20:21" ht="15" customHeight="1" x14ac:dyDescent="0.25">
      <c r="T49915" s="135"/>
      <c r="U49915" s="135"/>
    </row>
    <row r="49916" spans="20:21" ht="15" customHeight="1" x14ac:dyDescent="0.25">
      <c r="T49916" s="135"/>
      <c r="U49916" s="135"/>
    </row>
    <row r="49917" spans="20:21" ht="15" customHeight="1" x14ac:dyDescent="0.25">
      <c r="T49917" s="135"/>
      <c r="U49917" s="135"/>
    </row>
    <row r="49918" spans="20:21" ht="15" customHeight="1" x14ac:dyDescent="0.25">
      <c r="T49918" s="135"/>
      <c r="U49918" s="135"/>
    </row>
    <row r="49919" spans="20:21" ht="15" customHeight="1" x14ac:dyDescent="0.25">
      <c r="T49919" s="135"/>
      <c r="U49919" s="135"/>
    </row>
    <row r="49920" spans="20:21" ht="15" customHeight="1" x14ac:dyDescent="0.25">
      <c r="T49920" s="135"/>
      <c r="U49920" s="135"/>
    </row>
    <row r="49921" spans="20:21" ht="15" customHeight="1" x14ac:dyDescent="0.25">
      <c r="T49921" s="135"/>
      <c r="U49921" s="135"/>
    </row>
    <row r="49922" spans="20:21" ht="15" customHeight="1" x14ac:dyDescent="0.25">
      <c r="T49922" s="135"/>
      <c r="U49922" s="135"/>
    </row>
    <row r="49923" spans="20:21" ht="15" customHeight="1" x14ac:dyDescent="0.25">
      <c r="T49923" s="135"/>
      <c r="U49923" s="135"/>
    </row>
    <row r="49924" spans="20:21" ht="15" customHeight="1" x14ac:dyDescent="0.25">
      <c r="T49924" s="135"/>
      <c r="U49924" s="135"/>
    </row>
    <row r="49925" spans="20:21" ht="15" customHeight="1" x14ac:dyDescent="0.25">
      <c r="T49925" s="135"/>
      <c r="U49925" s="135"/>
    </row>
    <row r="49926" spans="20:21" ht="15" customHeight="1" x14ac:dyDescent="0.25">
      <c r="T49926" s="135"/>
      <c r="U49926" s="135"/>
    </row>
    <row r="49927" spans="20:21" ht="15" customHeight="1" x14ac:dyDescent="0.25">
      <c r="T49927" s="135"/>
      <c r="U49927" s="135"/>
    </row>
    <row r="49928" spans="20:21" ht="15" customHeight="1" x14ac:dyDescent="0.25">
      <c r="T49928" s="135"/>
      <c r="U49928" s="135"/>
    </row>
    <row r="49929" spans="20:21" ht="15" customHeight="1" x14ac:dyDescent="0.25">
      <c r="T49929" s="135"/>
      <c r="U49929" s="135"/>
    </row>
    <row r="49930" spans="20:21" ht="15" customHeight="1" x14ac:dyDescent="0.25">
      <c r="T49930" s="135"/>
      <c r="U49930" s="135"/>
    </row>
    <row r="49931" spans="20:21" ht="15" customHeight="1" x14ac:dyDescent="0.25">
      <c r="T49931" s="135"/>
      <c r="U49931" s="135"/>
    </row>
    <row r="49932" spans="20:21" ht="15" customHeight="1" x14ac:dyDescent="0.25">
      <c r="T49932" s="135"/>
      <c r="U49932" s="135"/>
    </row>
    <row r="49933" spans="20:21" ht="15" customHeight="1" x14ac:dyDescent="0.25">
      <c r="T49933" s="135"/>
      <c r="U49933" s="135"/>
    </row>
    <row r="49934" spans="20:21" ht="15" customHeight="1" x14ac:dyDescent="0.25">
      <c r="T49934" s="135"/>
      <c r="U49934" s="135"/>
    </row>
    <row r="49935" spans="20:21" ht="15" customHeight="1" x14ac:dyDescent="0.25">
      <c r="T49935" s="135"/>
      <c r="U49935" s="135"/>
    </row>
    <row r="49936" spans="20:21" ht="15" customHeight="1" x14ac:dyDescent="0.25">
      <c r="T49936" s="135"/>
      <c r="U49936" s="135"/>
    </row>
    <row r="49937" spans="20:21" ht="15" customHeight="1" x14ac:dyDescent="0.25">
      <c r="T49937" s="135"/>
      <c r="U49937" s="135"/>
    </row>
    <row r="49938" spans="20:21" ht="15" customHeight="1" x14ac:dyDescent="0.25">
      <c r="T49938" s="135"/>
      <c r="U49938" s="135"/>
    </row>
    <row r="49939" spans="20:21" ht="15" customHeight="1" x14ac:dyDescent="0.25">
      <c r="T49939" s="135"/>
      <c r="U49939" s="135"/>
    </row>
    <row r="49940" spans="20:21" ht="15" customHeight="1" x14ac:dyDescent="0.25">
      <c r="T49940" s="135"/>
      <c r="U49940" s="135"/>
    </row>
    <row r="49941" spans="20:21" ht="15" customHeight="1" x14ac:dyDescent="0.25">
      <c r="T49941" s="135"/>
      <c r="U49941" s="135"/>
    </row>
    <row r="49942" spans="20:21" ht="15" customHeight="1" x14ac:dyDescent="0.25">
      <c r="T49942" s="135"/>
      <c r="U49942" s="135"/>
    </row>
    <row r="49943" spans="20:21" ht="15" customHeight="1" x14ac:dyDescent="0.25">
      <c r="T49943" s="135"/>
      <c r="U49943" s="135"/>
    </row>
    <row r="49944" spans="20:21" ht="15" customHeight="1" x14ac:dyDescent="0.25">
      <c r="T49944" s="135"/>
      <c r="U49944" s="135"/>
    </row>
    <row r="49945" spans="20:21" ht="15" customHeight="1" x14ac:dyDescent="0.25">
      <c r="T49945" s="135"/>
      <c r="U49945" s="135"/>
    </row>
    <row r="49946" spans="20:21" ht="15" customHeight="1" x14ac:dyDescent="0.25">
      <c r="T49946" s="135"/>
      <c r="U49946" s="135"/>
    </row>
    <row r="49947" spans="20:21" ht="15" customHeight="1" x14ac:dyDescent="0.25">
      <c r="T49947" s="135"/>
      <c r="U49947" s="135"/>
    </row>
    <row r="49948" spans="20:21" ht="15" customHeight="1" x14ac:dyDescent="0.25">
      <c r="T49948" s="135"/>
      <c r="U49948" s="135"/>
    </row>
    <row r="49949" spans="20:21" ht="15" customHeight="1" x14ac:dyDescent="0.25">
      <c r="T49949" s="135"/>
      <c r="U49949" s="135"/>
    </row>
    <row r="49950" spans="20:21" ht="15" customHeight="1" x14ac:dyDescent="0.25">
      <c r="T49950" s="135"/>
      <c r="U49950" s="135"/>
    </row>
    <row r="49951" spans="20:21" ht="15" customHeight="1" x14ac:dyDescent="0.25">
      <c r="T49951" s="135"/>
      <c r="U49951" s="135"/>
    </row>
    <row r="49952" spans="20:21" ht="15" customHeight="1" x14ac:dyDescent="0.25">
      <c r="T49952" s="135"/>
      <c r="U49952" s="135"/>
    </row>
    <row r="49953" spans="20:21" ht="15" customHeight="1" x14ac:dyDescent="0.25">
      <c r="T49953" s="135"/>
      <c r="U49953" s="135"/>
    </row>
    <row r="49954" spans="20:21" ht="15" customHeight="1" x14ac:dyDescent="0.25">
      <c r="T49954" s="135"/>
      <c r="U49954" s="135"/>
    </row>
    <row r="49955" spans="20:21" ht="15" customHeight="1" x14ac:dyDescent="0.25">
      <c r="T49955" s="135"/>
      <c r="U49955" s="135"/>
    </row>
    <row r="49956" spans="20:21" ht="15" customHeight="1" x14ac:dyDescent="0.25">
      <c r="T49956" s="135"/>
      <c r="U49956" s="135"/>
    </row>
    <row r="49957" spans="20:21" ht="15" customHeight="1" x14ac:dyDescent="0.25">
      <c r="T49957" s="135"/>
      <c r="U49957" s="135"/>
    </row>
    <row r="49958" spans="20:21" ht="15" customHeight="1" x14ac:dyDescent="0.25">
      <c r="T49958" s="135"/>
      <c r="U49958" s="135"/>
    </row>
    <row r="49959" spans="20:21" ht="15" customHeight="1" x14ac:dyDescent="0.25">
      <c r="T49959" s="135"/>
      <c r="U49959" s="135"/>
    </row>
    <row r="49960" spans="20:21" ht="15" customHeight="1" x14ac:dyDescent="0.25">
      <c r="T49960" s="135"/>
      <c r="U49960" s="135"/>
    </row>
    <row r="49961" spans="20:21" ht="15" customHeight="1" x14ac:dyDescent="0.25">
      <c r="T49961" s="135"/>
      <c r="U49961" s="135"/>
    </row>
    <row r="49962" spans="20:21" ht="15" customHeight="1" x14ac:dyDescent="0.25">
      <c r="T49962" s="135"/>
      <c r="U49962" s="135"/>
    </row>
    <row r="49963" spans="20:21" ht="15" customHeight="1" x14ac:dyDescent="0.25">
      <c r="T49963" s="135"/>
      <c r="U49963" s="135"/>
    </row>
    <row r="49964" spans="20:21" ht="15" customHeight="1" x14ac:dyDescent="0.25">
      <c r="T49964" s="135"/>
      <c r="U49964" s="135"/>
    </row>
    <row r="49965" spans="20:21" ht="15" customHeight="1" x14ac:dyDescent="0.25">
      <c r="T49965" s="135"/>
      <c r="U49965" s="135"/>
    </row>
    <row r="49966" spans="20:21" ht="15" customHeight="1" x14ac:dyDescent="0.25">
      <c r="T49966" s="135"/>
      <c r="U49966" s="135"/>
    </row>
    <row r="49967" spans="20:21" ht="15" customHeight="1" x14ac:dyDescent="0.25">
      <c r="T49967" s="135"/>
      <c r="U49967" s="135"/>
    </row>
    <row r="49968" spans="20:21" ht="15" customHeight="1" x14ac:dyDescent="0.25">
      <c r="T49968" s="135"/>
      <c r="U49968" s="135"/>
    </row>
    <row r="49969" spans="20:21" ht="15" customHeight="1" x14ac:dyDescent="0.25">
      <c r="T49969" s="135"/>
      <c r="U49969" s="135"/>
    </row>
    <row r="49970" spans="20:21" ht="15" customHeight="1" x14ac:dyDescent="0.25">
      <c r="T49970" s="135"/>
      <c r="U49970" s="135"/>
    </row>
    <row r="49971" spans="20:21" ht="15" customHeight="1" x14ac:dyDescent="0.25">
      <c r="T49971" s="135"/>
      <c r="U49971" s="135"/>
    </row>
    <row r="49972" spans="20:21" ht="15" customHeight="1" x14ac:dyDescent="0.25">
      <c r="T49972" s="135"/>
      <c r="U49972" s="135"/>
    </row>
    <row r="49973" spans="20:21" ht="15" customHeight="1" x14ac:dyDescent="0.25">
      <c r="T49973" s="135"/>
      <c r="U49973" s="135"/>
    </row>
    <row r="49974" spans="20:21" ht="15" customHeight="1" x14ac:dyDescent="0.25">
      <c r="T49974" s="135"/>
      <c r="U49974" s="135"/>
    </row>
    <row r="49975" spans="20:21" ht="15" customHeight="1" x14ac:dyDescent="0.25">
      <c r="T49975" s="135"/>
      <c r="U49975" s="135"/>
    </row>
    <row r="49976" spans="20:21" ht="15" customHeight="1" x14ac:dyDescent="0.25">
      <c r="T49976" s="135"/>
      <c r="U49976" s="135"/>
    </row>
    <row r="49977" spans="20:21" ht="15" customHeight="1" x14ac:dyDescent="0.25">
      <c r="T49977" s="135"/>
      <c r="U49977" s="135"/>
    </row>
    <row r="49978" spans="20:21" ht="15" customHeight="1" x14ac:dyDescent="0.25">
      <c r="T49978" s="135"/>
      <c r="U49978" s="135"/>
    </row>
    <row r="49979" spans="20:21" ht="15" customHeight="1" x14ac:dyDescent="0.25">
      <c r="T49979" s="135"/>
      <c r="U49979" s="135"/>
    </row>
    <row r="49980" spans="20:21" ht="15" customHeight="1" x14ac:dyDescent="0.25">
      <c r="T49980" s="135"/>
      <c r="U49980" s="135"/>
    </row>
    <row r="49981" spans="20:21" ht="15" customHeight="1" x14ac:dyDescent="0.25">
      <c r="T49981" s="135"/>
      <c r="U49981" s="135"/>
    </row>
    <row r="49982" spans="20:21" ht="15" customHeight="1" x14ac:dyDescent="0.25">
      <c r="T49982" s="135"/>
      <c r="U49982" s="135"/>
    </row>
    <row r="49983" spans="20:21" ht="15" customHeight="1" x14ac:dyDescent="0.25">
      <c r="T49983" s="135"/>
      <c r="U49983" s="135"/>
    </row>
    <row r="49984" spans="20:21" ht="15" customHeight="1" x14ac:dyDescent="0.25">
      <c r="T49984" s="135"/>
      <c r="U49984" s="135"/>
    </row>
    <row r="49985" spans="20:21" ht="15" customHeight="1" x14ac:dyDescent="0.25">
      <c r="T49985" s="135"/>
      <c r="U49985" s="135"/>
    </row>
    <row r="49986" spans="20:21" ht="15" customHeight="1" x14ac:dyDescent="0.25">
      <c r="T49986" s="135"/>
      <c r="U49986" s="135"/>
    </row>
    <row r="49987" spans="20:21" ht="15" customHeight="1" x14ac:dyDescent="0.25">
      <c r="T49987" s="135"/>
      <c r="U49987" s="135"/>
    </row>
    <row r="49988" spans="20:21" ht="15" customHeight="1" x14ac:dyDescent="0.25">
      <c r="T49988" s="135"/>
      <c r="U49988" s="135"/>
    </row>
    <row r="49989" spans="20:21" ht="15" customHeight="1" x14ac:dyDescent="0.25">
      <c r="T49989" s="135"/>
      <c r="U49989" s="135"/>
    </row>
    <row r="49990" spans="20:21" ht="15" customHeight="1" x14ac:dyDescent="0.25">
      <c r="T49990" s="135"/>
      <c r="U49990" s="135"/>
    </row>
    <row r="49991" spans="20:21" ht="15" customHeight="1" x14ac:dyDescent="0.25">
      <c r="T49991" s="135"/>
      <c r="U49991" s="135"/>
    </row>
    <row r="49992" spans="20:21" ht="15" customHeight="1" x14ac:dyDescent="0.25">
      <c r="T49992" s="135"/>
      <c r="U49992" s="135"/>
    </row>
    <row r="49993" spans="20:21" ht="15" customHeight="1" x14ac:dyDescent="0.25">
      <c r="T49993" s="135"/>
      <c r="U49993" s="135"/>
    </row>
    <row r="49994" spans="20:21" ht="15" customHeight="1" x14ac:dyDescent="0.25">
      <c r="T49994" s="135"/>
      <c r="U49994" s="135"/>
    </row>
    <row r="49995" spans="20:21" ht="15" customHeight="1" x14ac:dyDescent="0.25">
      <c r="T49995" s="135"/>
      <c r="U49995" s="135"/>
    </row>
    <row r="49996" spans="20:21" ht="15" customHeight="1" x14ac:dyDescent="0.25">
      <c r="T49996" s="135"/>
      <c r="U49996" s="135"/>
    </row>
    <row r="49997" spans="20:21" ht="15" customHeight="1" x14ac:dyDescent="0.25">
      <c r="T49997" s="135"/>
      <c r="U49997" s="135"/>
    </row>
    <row r="49998" spans="20:21" ht="15" customHeight="1" x14ac:dyDescent="0.25">
      <c r="T49998" s="135"/>
      <c r="U49998" s="135"/>
    </row>
    <row r="49999" spans="20:21" ht="15" customHeight="1" x14ac:dyDescent="0.25">
      <c r="T49999" s="135"/>
      <c r="U49999" s="135"/>
    </row>
    <row r="50000" spans="20:21" ht="15" customHeight="1" x14ac:dyDescent="0.25">
      <c r="T50000" s="135"/>
      <c r="U50000" s="135"/>
    </row>
    <row r="50001" spans="20:21" ht="15" customHeight="1" x14ac:dyDescent="0.25">
      <c r="T50001" s="135"/>
      <c r="U50001" s="135"/>
    </row>
    <row r="50002" spans="20:21" ht="15" customHeight="1" x14ac:dyDescent="0.25">
      <c r="T50002" s="135"/>
      <c r="U50002" s="135"/>
    </row>
    <row r="50003" spans="20:21" ht="15" customHeight="1" x14ac:dyDescent="0.25">
      <c r="T50003" s="135"/>
      <c r="U50003" s="135"/>
    </row>
    <row r="50004" spans="20:21" ht="15" customHeight="1" x14ac:dyDescent="0.25">
      <c r="T50004" s="135"/>
      <c r="U50004" s="135"/>
    </row>
    <row r="50005" spans="20:21" ht="15" customHeight="1" x14ac:dyDescent="0.25">
      <c r="T50005" s="135"/>
      <c r="U50005" s="135"/>
    </row>
    <row r="50006" spans="20:21" ht="15" customHeight="1" x14ac:dyDescent="0.25">
      <c r="T50006" s="135"/>
      <c r="U50006" s="135"/>
    </row>
    <row r="50007" spans="20:21" ht="15" customHeight="1" x14ac:dyDescent="0.25">
      <c r="T50007" s="135"/>
      <c r="U50007" s="135"/>
    </row>
    <row r="50008" spans="20:21" ht="15" customHeight="1" x14ac:dyDescent="0.25">
      <c r="T50008" s="135"/>
      <c r="U50008" s="135"/>
    </row>
    <row r="50009" spans="20:21" ht="15" customHeight="1" x14ac:dyDescent="0.25">
      <c r="T50009" s="135"/>
      <c r="U50009" s="135"/>
    </row>
    <row r="50010" spans="20:21" ht="15" customHeight="1" x14ac:dyDescent="0.25">
      <c r="T50010" s="135"/>
      <c r="U50010" s="135"/>
    </row>
    <row r="50011" spans="20:21" ht="15" customHeight="1" x14ac:dyDescent="0.25">
      <c r="T50011" s="135"/>
      <c r="U50011" s="135"/>
    </row>
    <row r="50012" spans="20:21" ht="15" customHeight="1" x14ac:dyDescent="0.25">
      <c r="T50012" s="135"/>
      <c r="U50012" s="135"/>
    </row>
    <row r="50013" spans="20:21" ht="15" customHeight="1" x14ac:dyDescent="0.25">
      <c r="T50013" s="135"/>
      <c r="U50013" s="135"/>
    </row>
    <row r="50014" spans="20:21" ht="15" customHeight="1" x14ac:dyDescent="0.25">
      <c r="T50014" s="135"/>
      <c r="U50014" s="135"/>
    </row>
    <row r="50015" spans="20:21" ht="15" customHeight="1" x14ac:dyDescent="0.25">
      <c r="T50015" s="135"/>
      <c r="U50015" s="135"/>
    </row>
    <row r="50016" spans="20:21" ht="15" customHeight="1" x14ac:dyDescent="0.25">
      <c r="T50016" s="135"/>
      <c r="U50016" s="135"/>
    </row>
    <row r="50017" spans="20:21" ht="15" customHeight="1" x14ac:dyDescent="0.25">
      <c r="T50017" s="135"/>
      <c r="U50017" s="135"/>
    </row>
    <row r="50018" spans="20:21" ht="15" customHeight="1" x14ac:dyDescent="0.25">
      <c r="T50018" s="135"/>
      <c r="U50018" s="135"/>
    </row>
    <row r="50019" spans="20:21" ht="15" customHeight="1" x14ac:dyDescent="0.25">
      <c r="T50019" s="135"/>
      <c r="U50019" s="135"/>
    </row>
    <row r="50020" spans="20:21" ht="15" customHeight="1" x14ac:dyDescent="0.25">
      <c r="T50020" s="135"/>
      <c r="U50020" s="135"/>
    </row>
    <row r="50021" spans="20:21" ht="15" customHeight="1" x14ac:dyDescent="0.25">
      <c r="T50021" s="135"/>
      <c r="U50021" s="135"/>
    </row>
    <row r="50022" spans="20:21" ht="15" customHeight="1" x14ac:dyDescent="0.25">
      <c r="T50022" s="135"/>
      <c r="U50022" s="135"/>
    </row>
    <row r="50023" spans="20:21" ht="15" customHeight="1" x14ac:dyDescent="0.25">
      <c r="T50023" s="135"/>
      <c r="U50023" s="135"/>
    </row>
    <row r="50024" spans="20:21" ht="15" customHeight="1" x14ac:dyDescent="0.25">
      <c r="T50024" s="135"/>
      <c r="U50024" s="135"/>
    </row>
    <row r="50025" spans="20:21" ht="15" customHeight="1" x14ac:dyDescent="0.25">
      <c r="T50025" s="135"/>
      <c r="U50025" s="135"/>
    </row>
    <row r="50026" spans="20:21" ht="15" customHeight="1" x14ac:dyDescent="0.25">
      <c r="T50026" s="135"/>
      <c r="U50026" s="135"/>
    </row>
    <row r="50027" spans="20:21" ht="15" customHeight="1" x14ac:dyDescent="0.25">
      <c r="T50027" s="135"/>
      <c r="U50027" s="135"/>
    </row>
    <row r="50028" spans="20:21" ht="15" customHeight="1" x14ac:dyDescent="0.25">
      <c r="T50028" s="135"/>
      <c r="U50028" s="135"/>
    </row>
    <row r="50029" spans="20:21" ht="15" customHeight="1" x14ac:dyDescent="0.25">
      <c r="T50029" s="135"/>
      <c r="U50029" s="135"/>
    </row>
    <row r="50030" spans="20:21" ht="15" customHeight="1" x14ac:dyDescent="0.25">
      <c r="T50030" s="135"/>
      <c r="U50030" s="135"/>
    </row>
    <row r="50031" spans="20:21" ht="15" customHeight="1" x14ac:dyDescent="0.25">
      <c r="T50031" s="135"/>
      <c r="U50031" s="135"/>
    </row>
    <row r="50032" spans="20:21" ht="15" customHeight="1" x14ac:dyDescent="0.25">
      <c r="T50032" s="135"/>
      <c r="U50032" s="135"/>
    </row>
    <row r="50033" spans="20:21" ht="15" customHeight="1" x14ac:dyDescent="0.25">
      <c r="T50033" s="135"/>
      <c r="U50033" s="135"/>
    </row>
    <row r="50034" spans="20:21" ht="15" customHeight="1" x14ac:dyDescent="0.25">
      <c r="T50034" s="135"/>
      <c r="U50034" s="135"/>
    </row>
    <row r="50035" spans="20:21" ht="15" customHeight="1" x14ac:dyDescent="0.25">
      <c r="T50035" s="135"/>
      <c r="U50035" s="135"/>
    </row>
    <row r="50036" spans="20:21" ht="15" customHeight="1" x14ac:dyDescent="0.25">
      <c r="T50036" s="135"/>
      <c r="U50036" s="135"/>
    </row>
    <row r="50037" spans="20:21" ht="15" customHeight="1" x14ac:dyDescent="0.25">
      <c r="T50037" s="135"/>
      <c r="U50037" s="135"/>
    </row>
    <row r="50038" spans="20:21" ht="15" customHeight="1" x14ac:dyDescent="0.25">
      <c r="T50038" s="135"/>
      <c r="U50038" s="135"/>
    </row>
    <row r="50039" spans="20:21" ht="15" customHeight="1" x14ac:dyDescent="0.25">
      <c r="T50039" s="135"/>
      <c r="U50039" s="135"/>
    </row>
    <row r="50040" spans="20:21" ht="15" customHeight="1" x14ac:dyDescent="0.25">
      <c r="T50040" s="135"/>
      <c r="U50040" s="135"/>
    </row>
    <row r="50041" spans="20:21" ht="15" customHeight="1" x14ac:dyDescent="0.25">
      <c r="T50041" s="135"/>
      <c r="U50041" s="135"/>
    </row>
    <row r="50042" spans="20:21" ht="15" customHeight="1" x14ac:dyDescent="0.25">
      <c r="T50042" s="135"/>
      <c r="U50042" s="135"/>
    </row>
    <row r="50043" spans="20:21" ht="15" customHeight="1" x14ac:dyDescent="0.25">
      <c r="T50043" s="135"/>
      <c r="U50043" s="135"/>
    </row>
    <row r="50044" spans="20:21" ht="15" customHeight="1" x14ac:dyDescent="0.25">
      <c r="T50044" s="135"/>
      <c r="U50044" s="135"/>
    </row>
    <row r="50045" spans="20:21" ht="15" customHeight="1" x14ac:dyDescent="0.25">
      <c r="T50045" s="135"/>
      <c r="U50045" s="135"/>
    </row>
    <row r="50046" spans="20:21" ht="15" customHeight="1" x14ac:dyDescent="0.25">
      <c r="T50046" s="135"/>
      <c r="U50046" s="135"/>
    </row>
    <row r="50047" spans="20:21" ht="15" customHeight="1" x14ac:dyDescent="0.25">
      <c r="T50047" s="135"/>
      <c r="U50047" s="135"/>
    </row>
    <row r="50048" spans="20:21" ht="15" customHeight="1" x14ac:dyDescent="0.25">
      <c r="T50048" s="135"/>
      <c r="U50048" s="135"/>
    </row>
    <row r="50049" spans="20:21" ht="15" customHeight="1" x14ac:dyDescent="0.25">
      <c r="T50049" s="135"/>
      <c r="U50049" s="135"/>
    </row>
    <row r="50050" spans="20:21" ht="15" customHeight="1" x14ac:dyDescent="0.25">
      <c r="T50050" s="135"/>
      <c r="U50050" s="135"/>
    </row>
    <row r="50051" spans="20:21" ht="15" customHeight="1" x14ac:dyDescent="0.25">
      <c r="T50051" s="135"/>
      <c r="U50051" s="135"/>
    </row>
    <row r="50052" spans="20:21" ht="15" customHeight="1" x14ac:dyDescent="0.25">
      <c r="T50052" s="135"/>
      <c r="U50052" s="135"/>
    </row>
    <row r="50053" spans="20:21" ht="15" customHeight="1" x14ac:dyDescent="0.25">
      <c r="T50053" s="135"/>
      <c r="U50053" s="135"/>
    </row>
    <row r="50054" spans="20:21" ht="15" customHeight="1" x14ac:dyDescent="0.25">
      <c r="T50054" s="135"/>
      <c r="U50054" s="135"/>
    </row>
    <row r="50055" spans="20:21" ht="15" customHeight="1" x14ac:dyDescent="0.25">
      <c r="T50055" s="135"/>
      <c r="U50055" s="135"/>
    </row>
    <row r="50056" spans="20:21" ht="15" customHeight="1" x14ac:dyDescent="0.25">
      <c r="T50056" s="135"/>
      <c r="U50056" s="135"/>
    </row>
    <row r="50057" spans="20:21" ht="15" customHeight="1" x14ac:dyDescent="0.25">
      <c r="T50057" s="135"/>
      <c r="U50057" s="135"/>
    </row>
    <row r="50058" spans="20:21" ht="15" customHeight="1" x14ac:dyDescent="0.25">
      <c r="T50058" s="135"/>
      <c r="U50058" s="135"/>
    </row>
    <row r="50059" spans="20:21" ht="15" customHeight="1" x14ac:dyDescent="0.25">
      <c r="T50059" s="135"/>
      <c r="U50059" s="135"/>
    </row>
    <row r="50060" spans="20:21" ht="15" customHeight="1" x14ac:dyDescent="0.25">
      <c r="T50060" s="135"/>
      <c r="U50060" s="135"/>
    </row>
    <row r="50061" spans="20:21" ht="15" customHeight="1" x14ac:dyDescent="0.25">
      <c r="T50061" s="135"/>
      <c r="U50061" s="135"/>
    </row>
    <row r="50062" spans="20:21" ht="15" customHeight="1" x14ac:dyDescent="0.25">
      <c r="T50062" s="135"/>
      <c r="U50062" s="135"/>
    </row>
    <row r="50063" spans="20:21" ht="15" customHeight="1" x14ac:dyDescent="0.25">
      <c r="T50063" s="135"/>
      <c r="U50063" s="135"/>
    </row>
    <row r="50064" spans="20:21" ht="15" customHeight="1" x14ac:dyDescent="0.25">
      <c r="T50064" s="135"/>
      <c r="U50064" s="135"/>
    </row>
    <row r="50065" spans="20:21" ht="15" customHeight="1" x14ac:dyDescent="0.25">
      <c r="T50065" s="135"/>
      <c r="U50065" s="135"/>
    </row>
    <row r="50066" spans="20:21" ht="15" customHeight="1" x14ac:dyDescent="0.25">
      <c r="T50066" s="135"/>
      <c r="U50066" s="135"/>
    </row>
    <row r="50067" spans="20:21" ht="15" customHeight="1" x14ac:dyDescent="0.25">
      <c r="T50067" s="135"/>
      <c r="U50067" s="135"/>
    </row>
    <row r="50068" spans="20:21" ht="15" customHeight="1" x14ac:dyDescent="0.25">
      <c r="T50068" s="135"/>
      <c r="U50068" s="135"/>
    </row>
    <row r="50069" spans="20:21" ht="15" customHeight="1" x14ac:dyDescent="0.25">
      <c r="T50069" s="135"/>
      <c r="U50069" s="135"/>
    </row>
    <row r="50070" spans="20:21" ht="15" customHeight="1" x14ac:dyDescent="0.25">
      <c r="T50070" s="135"/>
      <c r="U50070" s="135"/>
    </row>
    <row r="50071" spans="20:21" ht="15" customHeight="1" x14ac:dyDescent="0.25">
      <c r="T50071" s="135"/>
      <c r="U50071" s="135"/>
    </row>
    <row r="50072" spans="20:21" ht="15" customHeight="1" x14ac:dyDescent="0.25">
      <c r="T50072" s="135"/>
      <c r="U50072" s="135"/>
    </row>
    <row r="50073" spans="20:21" ht="15" customHeight="1" x14ac:dyDescent="0.25">
      <c r="T50073" s="135"/>
      <c r="U50073" s="135"/>
    </row>
    <row r="50074" spans="20:21" ht="15" customHeight="1" x14ac:dyDescent="0.25">
      <c r="T50074" s="135"/>
      <c r="U50074" s="135"/>
    </row>
    <row r="50075" spans="20:21" ht="15" customHeight="1" x14ac:dyDescent="0.25">
      <c r="T50075" s="135"/>
      <c r="U50075" s="135"/>
    </row>
    <row r="50076" spans="20:21" ht="15" customHeight="1" x14ac:dyDescent="0.25">
      <c r="T50076" s="135"/>
      <c r="U50076" s="135"/>
    </row>
    <row r="50077" spans="20:21" ht="15" customHeight="1" x14ac:dyDescent="0.25">
      <c r="T50077" s="135"/>
      <c r="U50077" s="135"/>
    </row>
    <row r="50078" spans="20:21" ht="15" customHeight="1" x14ac:dyDescent="0.25">
      <c r="T50078" s="135"/>
      <c r="U50078" s="135"/>
    </row>
    <row r="50079" spans="20:21" ht="15" customHeight="1" x14ac:dyDescent="0.25">
      <c r="T50079" s="135"/>
      <c r="U50079" s="135"/>
    </row>
    <row r="50080" spans="20:21" ht="15" customHeight="1" x14ac:dyDescent="0.25">
      <c r="T50080" s="135"/>
      <c r="U50080" s="135"/>
    </row>
    <row r="50081" spans="20:21" ht="15" customHeight="1" x14ac:dyDescent="0.25">
      <c r="T50081" s="135"/>
      <c r="U50081" s="135"/>
    </row>
    <row r="50082" spans="20:21" ht="15" customHeight="1" x14ac:dyDescent="0.25">
      <c r="T50082" s="135"/>
      <c r="U50082" s="135"/>
    </row>
    <row r="50083" spans="20:21" ht="15" customHeight="1" x14ac:dyDescent="0.25">
      <c r="T50083" s="135"/>
      <c r="U50083" s="135"/>
    </row>
    <row r="50084" spans="20:21" ht="15" customHeight="1" x14ac:dyDescent="0.25">
      <c r="T50084" s="135"/>
      <c r="U50084" s="135"/>
    </row>
    <row r="50085" spans="20:21" ht="15" customHeight="1" x14ac:dyDescent="0.25">
      <c r="T50085" s="135"/>
      <c r="U50085" s="135"/>
    </row>
    <row r="50086" spans="20:21" ht="15" customHeight="1" x14ac:dyDescent="0.25">
      <c r="T50086" s="135"/>
      <c r="U50086" s="135"/>
    </row>
    <row r="50087" spans="20:21" ht="15" customHeight="1" x14ac:dyDescent="0.25">
      <c r="T50087" s="135"/>
      <c r="U50087" s="135"/>
    </row>
    <row r="50088" spans="20:21" ht="15" customHeight="1" x14ac:dyDescent="0.25">
      <c r="T50088" s="135"/>
      <c r="U50088" s="135"/>
    </row>
    <row r="50089" spans="20:21" ht="15" customHeight="1" x14ac:dyDescent="0.25">
      <c r="T50089" s="135"/>
      <c r="U50089" s="135"/>
    </row>
    <row r="50090" spans="20:21" ht="15" customHeight="1" x14ac:dyDescent="0.25">
      <c r="T50090" s="135"/>
      <c r="U50090" s="135"/>
    </row>
    <row r="50091" spans="20:21" ht="15" customHeight="1" x14ac:dyDescent="0.25">
      <c r="T50091" s="135"/>
      <c r="U50091" s="135"/>
    </row>
    <row r="50092" spans="20:21" ht="15" customHeight="1" x14ac:dyDescent="0.25">
      <c r="T50092" s="135"/>
      <c r="U50092" s="135"/>
    </row>
    <row r="50093" spans="20:21" ht="15" customHeight="1" x14ac:dyDescent="0.25">
      <c r="T50093" s="135"/>
      <c r="U50093" s="135"/>
    </row>
    <row r="50094" spans="20:21" ht="15" customHeight="1" x14ac:dyDescent="0.25">
      <c r="T50094" s="135"/>
      <c r="U50094" s="135"/>
    </row>
    <row r="50095" spans="20:21" ht="15" customHeight="1" x14ac:dyDescent="0.25">
      <c r="T50095" s="135"/>
      <c r="U50095" s="135"/>
    </row>
    <row r="50096" spans="20:21" ht="15" customHeight="1" x14ac:dyDescent="0.25">
      <c r="T50096" s="135"/>
      <c r="U50096" s="135"/>
    </row>
    <row r="50097" spans="20:21" ht="15" customHeight="1" x14ac:dyDescent="0.25">
      <c r="T50097" s="135"/>
      <c r="U50097" s="135"/>
    </row>
    <row r="50098" spans="20:21" ht="15" customHeight="1" x14ac:dyDescent="0.25">
      <c r="T50098" s="135"/>
      <c r="U50098" s="135"/>
    </row>
    <row r="50099" spans="20:21" ht="15" customHeight="1" x14ac:dyDescent="0.25">
      <c r="T50099" s="135"/>
      <c r="U50099" s="135"/>
    </row>
    <row r="50100" spans="20:21" ht="15" customHeight="1" x14ac:dyDescent="0.25">
      <c r="T50100" s="135"/>
      <c r="U50100" s="135"/>
    </row>
    <row r="50101" spans="20:21" ht="15" customHeight="1" x14ac:dyDescent="0.25">
      <c r="T50101" s="135"/>
      <c r="U50101" s="135"/>
    </row>
    <row r="50102" spans="20:21" ht="15" customHeight="1" x14ac:dyDescent="0.25">
      <c r="T50102" s="135"/>
      <c r="U50102" s="135"/>
    </row>
    <row r="50103" spans="20:21" ht="15" customHeight="1" x14ac:dyDescent="0.25">
      <c r="T50103" s="135"/>
      <c r="U50103" s="135"/>
    </row>
    <row r="50104" spans="20:21" ht="15" customHeight="1" x14ac:dyDescent="0.25">
      <c r="T50104" s="135"/>
      <c r="U50104" s="135"/>
    </row>
    <row r="50105" spans="20:21" ht="15" customHeight="1" x14ac:dyDescent="0.25">
      <c r="T50105" s="135"/>
      <c r="U50105" s="135"/>
    </row>
    <row r="50106" spans="20:21" ht="15" customHeight="1" x14ac:dyDescent="0.25">
      <c r="T50106" s="135"/>
      <c r="U50106" s="135"/>
    </row>
    <row r="50107" spans="20:21" ht="15" customHeight="1" x14ac:dyDescent="0.25">
      <c r="T50107" s="135"/>
      <c r="U50107" s="135"/>
    </row>
    <row r="50108" spans="20:21" ht="15" customHeight="1" x14ac:dyDescent="0.25">
      <c r="T50108" s="135"/>
      <c r="U50108" s="135"/>
    </row>
    <row r="50109" spans="20:21" ht="15" customHeight="1" x14ac:dyDescent="0.25">
      <c r="T50109" s="135"/>
      <c r="U50109" s="135"/>
    </row>
    <row r="50110" spans="20:21" ht="15" customHeight="1" x14ac:dyDescent="0.25">
      <c r="T50110" s="135"/>
      <c r="U50110" s="135"/>
    </row>
    <row r="50111" spans="20:21" ht="15" customHeight="1" x14ac:dyDescent="0.25">
      <c r="T50111" s="135"/>
      <c r="U50111" s="135"/>
    </row>
    <row r="50112" spans="20:21" ht="15" customHeight="1" x14ac:dyDescent="0.25">
      <c r="T50112" s="135"/>
      <c r="U50112" s="135"/>
    </row>
    <row r="50113" spans="20:21" ht="15" customHeight="1" x14ac:dyDescent="0.25">
      <c r="T50113" s="135"/>
      <c r="U50113" s="135"/>
    </row>
    <row r="50114" spans="20:21" ht="15" customHeight="1" x14ac:dyDescent="0.25">
      <c r="T50114" s="135"/>
      <c r="U50114" s="135"/>
    </row>
    <row r="50115" spans="20:21" ht="15" customHeight="1" x14ac:dyDescent="0.25">
      <c r="T50115" s="135"/>
      <c r="U50115" s="135"/>
    </row>
    <row r="50116" spans="20:21" ht="15" customHeight="1" x14ac:dyDescent="0.25">
      <c r="T50116" s="135"/>
      <c r="U50116" s="135"/>
    </row>
    <row r="50117" spans="20:21" ht="15" customHeight="1" x14ac:dyDescent="0.25">
      <c r="T50117" s="135"/>
      <c r="U50117" s="135"/>
    </row>
    <row r="50118" spans="20:21" ht="15" customHeight="1" x14ac:dyDescent="0.25">
      <c r="T50118" s="135"/>
      <c r="U50118" s="135"/>
    </row>
    <row r="50119" spans="20:21" ht="15" customHeight="1" x14ac:dyDescent="0.25">
      <c r="T50119" s="135"/>
      <c r="U50119" s="135"/>
    </row>
    <row r="50120" spans="20:21" ht="15" customHeight="1" x14ac:dyDescent="0.25">
      <c r="T50120" s="135"/>
      <c r="U50120" s="135"/>
    </row>
    <row r="50121" spans="20:21" ht="15" customHeight="1" x14ac:dyDescent="0.25">
      <c r="T50121" s="135"/>
      <c r="U50121" s="135"/>
    </row>
    <row r="50122" spans="20:21" ht="15" customHeight="1" x14ac:dyDescent="0.25">
      <c r="T50122" s="135"/>
      <c r="U50122" s="135"/>
    </row>
    <row r="50123" spans="20:21" ht="15" customHeight="1" x14ac:dyDescent="0.25">
      <c r="T50123" s="135"/>
      <c r="U50123" s="135"/>
    </row>
    <row r="50124" spans="20:21" ht="15" customHeight="1" x14ac:dyDescent="0.25">
      <c r="T50124" s="135"/>
      <c r="U50124" s="135"/>
    </row>
    <row r="50125" spans="20:21" ht="15" customHeight="1" x14ac:dyDescent="0.25">
      <c r="T50125" s="135"/>
      <c r="U50125" s="135"/>
    </row>
    <row r="50126" spans="20:21" ht="15" customHeight="1" x14ac:dyDescent="0.25">
      <c r="T50126" s="135"/>
      <c r="U50126" s="135"/>
    </row>
    <row r="50127" spans="20:21" ht="15" customHeight="1" x14ac:dyDescent="0.25">
      <c r="T50127" s="135"/>
      <c r="U50127" s="135"/>
    </row>
    <row r="50128" spans="20:21" ht="15" customHeight="1" x14ac:dyDescent="0.25">
      <c r="T50128" s="135"/>
      <c r="U50128" s="135"/>
    </row>
    <row r="50129" spans="20:21" ht="15" customHeight="1" x14ac:dyDescent="0.25">
      <c r="T50129" s="135"/>
      <c r="U50129" s="135"/>
    </row>
    <row r="50130" spans="20:21" ht="15" customHeight="1" x14ac:dyDescent="0.25">
      <c r="T50130" s="135"/>
      <c r="U50130" s="135"/>
    </row>
    <row r="50131" spans="20:21" ht="15" customHeight="1" x14ac:dyDescent="0.25">
      <c r="T50131" s="135"/>
      <c r="U50131" s="135"/>
    </row>
    <row r="50132" spans="20:21" ht="15" customHeight="1" x14ac:dyDescent="0.25">
      <c r="T50132" s="135"/>
      <c r="U50132" s="135"/>
    </row>
    <row r="50133" spans="20:21" ht="15" customHeight="1" x14ac:dyDescent="0.25">
      <c r="T50133" s="135"/>
      <c r="U50133" s="135"/>
    </row>
    <row r="50134" spans="20:21" ht="15" customHeight="1" x14ac:dyDescent="0.25">
      <c r="T50134" s="135"/>
      <c r="U50134" s="135"/>
    </row>
    <row r="50135" spans="20:21" ht="15" customHeight="1" x14ac:dyDescent="0.25">
      <c r="T50135" s="135"/>
      <c r="U50135" s="135"/>
    </row>
    <row r="50136" spans="20:21" ht="15" customHeight="1" x14ac:dyDescent="0.25">
      <c r="T50136" s="135"/>
      <c r="U50136" s="135"/>
    </row>
    <row r="50137" spans="20:21" ht="15" customHeight="1" x14ac:dyDescent="0.25">
      <c r="T50137" s="135"/>
      <c r="U50137" s="135"/>
    </row>
    <row r="50138" spans="20:21" ht="15" customHeight="1" x14ac:dyDescent="0.25">
      <c r="T50138" s="135"/>
      <c r="U50138" s="135"/>
    </row>
    <row r="50139" spans="20:21" ht="15" customHeight="1" x14ac:dyDescent="0.25">
      <c r="T50139" s="135"/>
      <c r="U50139" s="135"/>
    </row>
    <row r="50140" spans="20:21" ht="15" customHeight="1" x14ac:dyDescent="0.25">
      <c r="T50140" s="135"/>
      <c r="U50140" s="135"/>
    </row>
    <row r="50141" spans="20:21" ht="15" customHeight="1" x14ac:dyDescent="0.25">
      <c r="T50141" s="135"/>
      <c r="U50141" s="135"/>
    </row>
    <row r="50142" spans="20:21" ht="15" customHeight="1" x14ac:dyDescent="0.25">
      <c r="T50142" s="135"/>
      <c r="U50142" s="135"/>
    </row>
    <row r="50143" spans="20:21" ht="15" customHeight="1" x14ac:dyDescent="0.25">
      <c r="T50143" s="135"/>
      <c r="U50143" s="135"/>
    </row>
    <row r="50144" spans="20:21" ht="15" customHeight="1" x14ac:dyDescent="0.25">
      <c r="T50144" s="135"/>
      <c r="U50144" s="135"/>
    </row>
    <row r="50145" spans="20:21" ht="15" customHeight="1" x14ac:dyDescent="0.25">
      <c r="T50145" s="135"/>
      <c r="U50145" s="135"/>
    </row>
    <row r="50146" spans="20:21" ht="15" customHeight="1" x14ac:dyDescent="0.25">
      <c r="T50146" s="135"/>
      <c r="U50146" s="135"/>
    </row>
    <row r="50147" spans="20:21" ht="15" customHeight="1" x14ac:dyDescent="0.25">
      <c r="T50147" s="135"/>
      <c r="U50147" s="135"/>
    </row>
    <row r="50148" spans="20:21" ht="15" customHeight="1" x14ac:dyDescent="0.25">
      <c r="T50148" s="135"/>
      <c r="U50148" s="135"/>
    </row>
    <row r="50149" spans="20:21" ht="15" customHeight="1" x14ac:dyDescent="0.25">
      <c r="T50149" s="135"/>
      <c r="U50149" s="135"/>
    </row>
    <row r="50150" spans="20:21" ht="15" customHeight="1" x14ac:dyDescent="0.25">
      <c r="T50150" s="135"/>
      <c r="U50150" s="135"/>
    </row>
    <row r="50151" spans="20:21" ht="15" customHeight="1" x14ac:dyDescent="0.25">
      <c r="T50151" s="135"/>
      <c r="U50151" s="135"/>
    </row>
    <row r="50152" spans="20:21" ht="15" customHeight="1" x14ac:dyDescent="0.25">
      <c r="T50152" s="135"/>
      <c r="U50152" s="135"/>
    </row>
    <row r="50153" spans="20:21" ht="15" customHeight="1" x14ac:dyDescent="0.25">
      <c r="T50153" s="135"/>
      <c r="U50153" s="135"/>
    </row>
    <row r="50154" spans="20:21" ht="15" customHeight="1" x14ac:dyDescent="0.25">
      <c r="T50154" s="135"/>
      <c r="U50154" s="135"/>
    </row>
    <row r="50155" spans="20:21" ht="15" customHeight="1" x14ac:dyDescent="0.25">
      <c r="T50155" s="135"/>
      <c r="U50155" s="135"/>
    </row>
    <row r="50156" spans="20:21" ht="15" customHeight="1" x14ac:dyDescent="0.25">
      <c r="T50156" s="135"/>
      <c r="U50156" s="135"/>
    </row>
    <row r="50157" spans="20:21" ht="15" customHeight="1" x14ac:dyDescent="0.25">
      <c r="T50157" s="135"/>
      <c r="U50157" s="135"/>
    </row>
    <row r="50158" spans="20:21" ht="15" customHeight="1" x14ac:dyDescent="0.25">
      <c r="T50158" s="135"/>
      <c r="U50158" s="135"/>
    </row>
    <row r="50159" spans="20:21" ht="15" customHeight="1" x14ac:dyDescent="0.25">
      <c r="T50159" s="135"/>
      <c r="U50159" s="135"/>
    </row>
    <row r="50160" spans="20:21" ht="15" customHeight="1" x14ac:dyDescent="0.25">
      <c r="T50160" s="135"/>
      <c r="U50160" s="135"/>
    </row>
    <row r="50161" spans="20:21" ht="15" customHeight="1" x14ac:dyDescent="0.25">
      <c r="T50161" s="135"/>
      <c r="U50161" s="135"/>
    </row>
    <row r="50162" spans="20:21" ht="15" customHeight="1" x14ac:dyDescent="0.25">
      <c r="T50162" s="135"/>
      <c r="U50162" s="135"/>
    </row>
    <row r="50163" spans="20:21" ht="15" customHeight="1" x14ac:dyDescent="0.25">
      <c r="T50163" s="135"/>
      <c r="U50163" s="135"/>
    </row>
    <row r="50164" spans="20:21" ht="15" customHeight="1" x14ac:dyDescent="0.25">
      <c r="T50164" s="135"/>
      <c r="U50164" s="135"/>
    </row>
    <row r="50165" spans="20:21" ht="15" customHeight="1" x14ac:dyDescent="0.25">
      <c r="T50165" s="135"/>
      <c r="U50165" s="135"/>
    </row>
    <row r="50166" spans="20:21" ht="15" customHeight="1" x14ac:dyDescent="0.25">
      <c r="T50166" s="135"/>
      <c r="U50166" s="135"/>
    </row>
    <row r="50167" spans="20:21" ht="15" customHeight="1" x14ac:dyDescent="0.25">
      <c r="T50167" s="135"/>
      <c r="U50167" s="135"/>
    </row>
    <row r="50168" spans="20:21" ht="15" customHeight="1" x14ac:dyDescent="0.25">
      <c r="T50168" s="135"/>
      <c r="U50168" s="135"/>
    </row>
    <row r="50169" spans="20:21" ht="15" customHeight="1" x14ac:dyDescent="0.25">
      <c r="T50169" s="135"/>
      <c r="U50169" s="135"/>
    </row>
    <row r="50170" spans="20:21" ht="15" customHeight="1" x14ac:dyDescent="0.25">
      <c r="T50170" s="135"/>
      <c r="U50170" s="135"/>
    </row>
    <row r="50171" spans="20:21" ht="15" customHeight="1" x14ac:dyDescent="0.25">
      <c r="T50171" s="135"/>
      <c r="U50171" s="135"/>
    </row>
    <row r="50172" spans="20:21" ht="15" customHeight="1" x14ac:dyDescent="0.25">
      <c r="T50172" s="135"/>
      <c r="U50172" s="135"/>
    </row>
    <row r="50173" spans="20:21" ht="15" customHeight="1" x14ac:dyDescent="0.25">
      <c r="T50173" s="135"/>
      <c r="U50173" s="135"/>
    </row>
    <row r="50174" spans="20:21" ht="15" customHeight="1" x14ac:dyDescent="0.25">
      <c r="T50174" s="135"/>
      <c r="U50174" s="135"/>
    </row>
    <row r="50175" spans="20:21" ht="15" customHeight="1" x14ac:dyDescent="0.25">
      <c r="T50175" s="135"/>
      <c r="U50175" s="135"/>
    </row>
    <row r="50176" spans="20:21" ht="15" customHeight="1" x14ac:dyDescent="0.25">
      <c r="T50176" s="135"/>
      <c r="U50176" s="135"/>
    </row>
    <row r="50177" spans="20:21" ht="15" customHeight="1" x14ac:dyDescent="0.25">
      <c r="T50177" s="135"/>
      <c r="U50177" s="135"/>
    </row>
    <row r="50178" spans="20:21" ht="15" customHeight="1" x14ac:dyDescent="0.25">
      <c r="T50178" s="135"/>
      <c r="U50178" s="135"/>
    </row>
    <row r="50179" spans="20:21" ht="15" customHeight="1" x14ac:dyDescent="0.25">
      <c r="T50179" s="135"/>
      <c r="U50179" s="135"/>
    </row>
    <row r="50180" spans="20:21" ht="15" customHeight="1" x14ac:dyDescent="0.25">
      <c r="T50180" s="135"/>
      <c r="U50180" s="135"/>
    </row>
    <row r="50181" spans="20:21" ht="15" customHeight="1" x14ac:dyDescent="0.25">
      <c r="T50181" s="135"/>
      <c r="U50181" s="135"/>
    </row>
    <row r="50182" spans="20:21" ht="15" customHeight="1" x14ac:dyDescent="0.25">
      <c r="T50182" s="135"/>
      <c r="U50182" s="135"/>
    </row>
    <row r="50183" spans="20:21" ht="15" customHeight="1" x14ac:dyDescent="0.25">
      <c r="T50183" s="135"/>
      <c r="U50183" s="135"/>
    </row>
    <row r="50184" spans="20:21" ht="15" customHeight="1" x14ac:dyDescent="0.25">
      <c r="T50184" s="135"/>
      <c r="U50184" s="135"/>
    </row>
    <row r="50185" spans="20:21" ht="15" customHeight="1" x14ac:dyDescent="0.25">
      <c r="T50185" s="135"/>
      <c r="U50185" s="135"/>
    </row>
    <row r="50186" spans="20:21" ht="15" customHeight="1" x14ac:dyDescent="0.25">
      <c r="T50186" s="135"/>
      <c r="U50186" s="135"/>
    </row>
    <row r="50187" spans="20:21" ht="15" customHeight="1" x14ac:dyDescent="0.25">
      <c r="T50187" s="135"/>
      <c r="U50187" s="135"/>
    </row>
    <row r="50188" spans="20:21" ht="15" customHeight="1" x14ac:dyDescent="0.25">
      <c r="T50188" s="135"/>
      <c r="U50188" s="135"/>
    </row>
    <row r="50189" spans="20:21" ht="15" customHeight="1" x14ac:dyDescent="0.25">
      <c r="T50189" s="135"/>
      <c r="U50189" s="135"/>
    </row>
    <row r="50190" spans="20:21" ht="15" customHeight="1" x14ac:dyDescent="0.25">
      <c r="T50190" s="135"/>
      <c r="U50190" s="135"/>
    </row>
    <row r="50191" spans="20:21" ht="15" customHeight="1" x14ac:dyDescent="0.25">
      <c r="T50191" s="135"/>
      <c r="U50191" s="135"/>
    </row>
    <row r="50192" spans="20:21" ht="15" customHeight="1" x14ac:dyDescent="0.25">
      <c r="T50192" s="135"/>
      <c r="U50192" s="135"/>
    </row>
    <row r="50193" spans="20:21" ht="15" customHeight="1" x14ac:dyDescent="0.25">
      <c r="T50193" s="135"/>
      <c r="U50193" s="135"/>
    </row>
    <row r="50194" spans="20:21" ht="15" customHeight="1" x14ac:dyDescent="0.25">
      <c r="T50194" s="135"/>
      <c r="U50194" s="135"/>
    </row>
    <row r="50195" spans="20:21" ht="15" customHeight="1" x14ac:dyDescent="0.25">
      <c r="T50195" s="135"/>
      <c r="U50195" s="135"/>
    </row>
    <row r="50196" spans="20:21" ht="15" customHeight="1" x14ac:dyDescent="0.25">
      <c r="T50196" s="135"/>
      <c r="U50196" s="135"/>
    </row>
    <row r="50197" spans="20:21" ht="15" customHeight="1" x14ac:dyDescent="0.25">
      <c r="T50197" s="135"/>
      <c r="U50197" s="135"/>
    </row>
    <row r="50198" spans="20:21" ht="15" customHeight="1" x14ac:dyDescent="0.25">
      <c r="T50198" s="135"/>
      <c r="U50198" s="135"/>
    </row>
    <row r="50199" spans="20:21" ht="15" customHeight="1" x14ac:dyDescent="0.25">
      <c r="T50199" s="135"/>
      <c r="U50199" s="135"/>
    </row>
    <row r="50200" spans="20:21" ht="15" customHeight="1" x14ac:dyDescent="0.25">
      <c r="T50200" s="135"/>
      <c r="U50200" s="135"/>
    </row>
    <row r="50201" spans="20:21" ht="15" customHeight="1" x14ac:dyDescent="0.25">
      <c r="T50201" s="135"/>
      <c r="U50201" s="135"/>
    </row>
    <row r="50202" spans="20:21" ht="15" customHeight="1" x14ac:dyDescent="0.25">
      <c r="T50202" s="135"/>
      <c r="U50202" s="135"/>
    </row>
    <row r="50203" spans="20:21" ht="15" customHeight="1" x14ac:dyDescent="0.25">
      <c r="T50203" s="135"/>
      <c r="U50203" s="135"/>
    </row>
    <row r="50204" spans="20:21" ht="15" customHeight="1" x14ac:dyDescent="0.25">
      <c r="T50204" s="135"/>
      <c r="U50204" s="135"/>
    </row>
    <row r="50205" spans="20:21" ht="15" customHeight="1" x14ac:dyDescent="0.25">
      <c r="T50205" s="135"/>
      <c r="U50205" s="135"/>
    </row>
    <row r="50206" spans="20:21" ht="15" customHeight="1" x14ac:dyDescent="0.25">
      <c r="T50206" s="135"/>
      <c r="U50206" s="135"/>
    </row>
    <row r="50207" spans="20:21" ht="15" customHeight="1" x14ac:dyDescent="0.25">
      <c r="T50207" s="135"/>
      <c r="U50207" s="135"/>
    </row>
    <row r="50208" spans="20:21" ht="15" customHeight="1" x14ac:dyDescent="0.25">
      <c r="T50208" s="135"/>
      <c r="U50208" s="135"/>
    </row>
    <row r="50209" spans="20:21" ht="15" customHeight="1" x14ac:dyDescent="0.25">
      <c r="T50209" s="135"/>
      <c r="U50209" s="135"/>
    </row>
    <row r="50210" spans="20:21" ht="15" customHeight="1" x14ac:dyDescent="0.25">
      <c r="T50210" s="135"/>
      <c r="U50210" s="135"/>
    </row>
    <row r="50211" spans="20:21" ht="15" customHeight="1" x14ac:dyDescent="0.25">
      <c r="T50211" s="135"/>
      <c r="U50211" s="135"/>
    </row>
    <row r="50212" spans="20:21" ht="15" customHeight="1" x14ac:dyDescent="0.25">
      <c r="T50212" s="135"/>
      <c r="U50212" s="135"/>
    </row>
    <row r="50213" spans="20:21" ht="15" customHeight="1" x14ac:dyDescent="0.25">
      <c r="T50213" s="135"/>
      <c r="U50213" s="135"/>
    </row>
    <row r="50214" spans="20:21" ht="15" customHeight="1" x14ac:dyDescent="0.25">
      <c r="T50214" s="135"/>
      <c r="U50214" s="135"/>
    </row>
    <row r="50215" spans="20:21" ht="15" customHeight="1" x14ac:dyDescent="0.25">
      <c r="T50215" s="135"/>
      <c r="U50215" s="135"/>
    </row>
    <row r="50216" spans="20:21" ht="15" customHeight="1" x14ac:dyDescent="0.25">
      <c r="T50216" s="135"/>
      <c r="U50216" s="135"/>
    </row>
    <row r="50217" spans="20:21" ht="15" customHeight="1" x14ac:dyDescent="0.25">
      <c r="T50217" s="135"/>
      <c r="U50217" s="135"/>
    </row>
    <row r="50218" spans="20:21" ht="15" customHeight="1" x14ac:dyDescent="0.25">
      <c r="T50218" s="135"/>
      <c r="U50218" s="135"/>
    </row>
    <row r="50219" spans="20:21" ht="15" customHeight="1" x14ac:dyDescent="0.25">
      <c r="T50219" s="135"/>
      <c r="U50219" s="135"/>
    </row>
    <row r="50220" spans="20:21" ht="15" customHeight="1" x14ac:dyDescent="0.25">
      <c r="T50220" s="135"/>
      <c r="U50220" s="135"/>
    </row>
    <row r="50221" spans="20:21" ht="15" customHeight="1" x14ac:dyDescent="0.25">
      <c r="T50221" s="135"/>
      <c r="U50221" s="135"/>
    </row>
    <row r="50222" spans="20:21" ht="15" customHeight="1" x14ac:dyDescent="0.25">
      <c r="T50222" s="135"/>
      <c r="U50222" s="135"/>
    </row>
    <row r="50223" spans="20:21" ht="15" customHeight="1" x14ac:dyDescent="0.25">
      <c r="T50223" s="135"/>
      <c r="U50223" s="135"/>
    </row>
    <row r="50224" spans="20:21" ht="15" customHeight="1" x14ac:dyDescent="0.25">
      <c r="T50224" s="135"/>
      <c r="U50224" s="135"/>
    </row>
    <row r="50225" spans="20:21" ht="15" customHeight="1" x14ac:dyDescent="0.25">
      <c r="T50225" s="135"/>
      <c r="U50225" s="135"/>
    </row>
    <row r="50226" spans="20:21" ht="15" customHeight="1" x14ac:dyDescent="0.25">
      <c r="T50226" s="135"/>
      <c r="U50226" s="135"/>
    </row>
    <row r="50227" spans="20:21" ht="15" customHeight="1" x14ac:dyDescent="0.25">
      <c r="T50227" s="135"/>
      <c r="U50227" s="135"/>
    </row>
    <row r="50228" spans="20:21" ht="15" customHeight="1" x14ac:dyDescent="0.25">
      <c r="T50228" s="135"/>
      <c r="U50228" s="135"/>
    </row>
    <row r="50229" spans="20:21" ht="15" customHeight="1" x14ac:dyDescent="0.25">
      <c r="T50229" s="135"/>
      <c r="U50229" s="135"/>
    </row>
    <row r="50230" spans="20:21" ht="15" customHeight="1" x14ac:dyDescent="0.25">
      <c r="T50230" s="135"/>
      <c r="U50230" s="135"/>
    </row>
    <row r="50231" spans="20:21" ht="15" customHeight="1" x14ac:dyDescent="0.25">
      <c r="T50231" s="135"/>
      <c r="U50231" s="135"/>
    </row>
    <row r="50232" spans="20:21" ht="15" customHeight="1" x14ac:dyDescent="0.25">
      <c r="T50232" s="135"/>
      <c r="U50232" s="135"/>
    </row>
    <row r="50233" spans="20:21" ht="15" customHeight="1" x14ac:dyDescent="0.25">
      <c r="T50233" s="135"/>
      <c r="U50233" s="135"/>
    </row>
    <row r="50234" spans="20:21" ht="15" customHeight="1" x14ac:dyDescent="0.25">
      <c r="T50234" s="135"/>
      <c r="U50234" s="135"/>
    </row>
    <row r="50235" spans="20:21" ht="15" customHeight="1" x14ac:dyDescent="0.25">
      <c r="T50235" s="135"/>
      <c r="U50235" s="135"/>
    </row>
    <row r="50236" spans="20:21" ht="15" customHeight="1" x14ac:dyDescent="0.25">
      <c r="T50236" s="135"/>
      <c r="U50236" s="135"/>
    </row>
    <row r="50237" spans="20:21" ht="15" customHeight="1" x14ac:dyDescent="0.25">
      <c r="T50237" s="135"/>
      <c r="U50237" s="135"/>
    </row>
    <row r="50238" spans="20:21" ht="15" customHeight="1" x14ac:dyDescent="0.25">
      <c r="T50238" s="135"/>
      <c r="U50238" s="135"/>
    </row>
    <row r="50239" spans="20:21" ht="15" customHeight="1" x14ac:dyDescent="0.25">
      <c r="T50239" s="135"/>
      <c r="U50239" s="135"/>
    </row>
    <row r="50240" spans="20:21" ht="15" customHeight="1" x14ac:dyDescent="0.25">
      <c r="T50240" s="135"/>
      <c r="U50240" s="135"/>
    </row>
    <row r="50241" spans="20:21" ht="15" customHeight="1" x14ac:dyDescent="0.25">
      <c r="T50241" s="135"/>
      <c r="U50241" s="135"/>
    </row>
    <row r="50242" spans="20:21" ht="15" customHeight="1" x14ac:dyDescent="0.25">
      <c r="T50242" s="135"/>
      <c r="U50242" s="135"/>
    </row>
    <row r="50243" spans="20:21" ht="15" customHeight="1" x14ac:dyDescent="0.25">
      <c r="T50243" s="135"/>
      <c r="U50243" s="135"/>
    </row>
    <row r="50244" spans="20:21" ht="15" customHeight="1" x14ac:dyDescent="0.25">
      <c r="T50244" s="135"/>
      <c r="U50244" s="135"/>
    </row>
    <row r="50245" spans="20:21" ht="15" customHeight="1" x14ac:dyDescent="0.25">
      <c r="T50245" s="135"/>
      <c r="U50245" s="135"/>
    </row>
    <row r="50246" spans="20:21" ht="15" customHeight="1" x14ac:dyDescent="0.25">
      <c r="T50246" s="135"/>
      <c r="U50246" s="135"/>
    </row>
    <row r="50247" spans="20:21" ht="15" customHeight="1" x14ac:dyDescent="0.25">
      <c r="T50247" s="135"/>
      <c r="U50247" s="135"/>
    </row>
    <row r="50248" spans="20:21" ht="15" customHeight="1" x14ac:dyDescent="0.25">
      <c r="T50248" s="135"/>
      <c r="U50248" s="135"/>
    </row>
    <row r="50249" spans="20:21" ht="15" customHeight="1" x14ac:dyDescent="0.25">
      <c r="T50249" s="135"/>
      <c r="U50249" s="135"/>
    </row>
    <row r="50250" spans="20:21" ht="15" customHeight="1" x14ac:dyDescent="0.25">
      <c r="T50250" s="135"/>
      <c r="U50250" s="135"/>
    </row>
    <row r="50251" spans="20:21" ht="15" customHeight="1" x14ac:dyDescent="0.25">
      <c r="T50251" s="135"/>
      <c r="U50251" s="135"/>
    </row>
    <row r="50252" spans="20:21" ht="15" customHeight="1" x14ac:dyDescent="0.25">
      <c r="T50252" s="135"/>
      <c r="U50252" s="135"/>
    </row>
    <row r="50253" spans="20:21" ht="15" customHeight="1" x14ac:dyDescent="0.25">
      <c r="T50253" s="135"/>
      <c r="U50253" s="135"/>
    </row>
    <row r="50254" spans="20:21" ht="15" customHeight="1" x14ac:dyDescent="0.25">
      <c r="T50254" s="135"/>
      <c r="U50254" s="135"/>
    </row>
    <row r="50255" spans="20:21" ht="15" customHeight="1" x14ac:dyDescent="0.25">
      <c r="T50255" s="135"/>
      <c r="U50255" s="135"/>
    </row>
    <row r="50256" spans="20:21" ht="15" customHeight="1" x14ac:dyDescent="0.25">
      <c r="T50256" s="135"/>
      <c r="U50256" s="135"/>
    </row>
    <row r="50257" spans="20:21" ht="15" customHeight="1" x14ac:dyDescent="0.25">
      <c r="T50257" s="135"/>
      <c r="U50257" s="135"/>
    </row>
    <row r="50258" spans="20:21" ht="15" customHeight="1" x14ac:dyDescent="0.25">
      <c r="T50258" s="135"/>
      <c r="U50258" s="135"/>
    </row>
    <row r="50259" spans="20:21" ht="15" customHeight="1" x14ac:dyDescent="0.25">
      <c r="T50259" s="135"/>
      <c r="U50259" s="135"/>
    </row>
    <row r="50260" spans="20:21" ht="15" customHeight="1" x14ac:dyDescent="0.25">
      <c r="T50260" s="135"/>
      <c r="U50260" s="135"/>
    </row>
    <row r="50261" spans="20:21" ht="15" customHeight="1" x14ac:dyDescent="0.25">
      <c r="T50261" s="135"/>
      <c r="U50261" s="135"/>
    </row>
    <row r="50262" spans="20:21" ht="15" customHeight="1" x14ac:dyDescent="0.25">
      <c r="T50262" s="135"/>
      <c r="U50262" s="135"/>
    </row>
    <row r="50263" spans="20:21" ht="15" customHeight="1" x14ac:dyDescent="0.25">
      <c r="T50263" s="135"/>
      <c r="U50263" s="135"/>
    </row>
    <row r="50264" spans="20:21" ht="15" customHeight="1" x14ac:dyDescent="0.25">
      <c r="T50264" s="135"/>
      <c r="U50264" s="135"/>
    </row>
    <row r="50265" spans="20:21" ht="15" customHeight="1" x14ac:dyDescent="0.25">
      <c r="T50265" s="135"/>
      <c r="U50265" s="135"/>
    </row>
    <row r="50266" spans="20:21" ht="15" customHeight="1" x14ac:dyDescent="0.25">
      <c r="T50266" s="135"/>
      <c r="U50266" s="135"/>
    </row>
    <row r="50267" spans="20:21" ht="15" customHeight="1" x14ac:dyDescent="0.25">
      <c r="T50267" s="135"/>
      <c r="U50267" s="135"/>
    </row>
    <row r="50268" spans="20:21" ht="15" customHeight="1" x14ac:dyDescent="0.25">
      <c r="T50268" s="135"/>
      <c r="U50268" s="135"/>
    </row>
    <row r="50269" spans="20:21" ht="15" customHeight="1" x14ac:dyDescent="0.25">
      <c r="T50269" s="135"/>
      <c r="U50269" s="135"/>
    </row>
    <row r="50270" spans="20:21" ht="15" customHeight="1" x14ac:dyDescent="0.25">
      <c r="T50270" s="135"/>
      <c r="U50270" s="135"/>
    </row>
    <row r="50271" spans="20:21" ht="15" customHeight="1" x14ac:dyDescent="0.25">
      <c r="T50271" s="135"/>
      <c r="U50271" s="135"/>
    </row>
    <row r="50272" spans="20:21" ht="15" customHeight="1" x14ac:dyDescent="0.25">
      <c r="T50272" s="135"/>
      <c r="U50272" s="135"/>
    </row>
    <row r="50273" spans="20:21" ht="15" customHeight="1" x14ac:dyDescent="0.25">
      <c r="T50273" s="135"/>
      <c r="U50273" s="135"/>
    </row>
    <row r="50274" spans="20:21" ht="15" customHeight="1" x14ac:dyDescent="0.25">
      <c r="T50274" s="135"/>
      <c r="U50274" s="135"/>
    </row>
    <row r="50275" spans="20:21" ht="15" customHeight="1" x14ac:dyDescent="0.25">
      <c r="T50275" s="135"/>
      <c r="U50275" s="135"/>
    </row>
    <row r="50276" spans="20:21" ht="15" customHeight="1" x14ac:dyDescent="0.25">
      <c r="T50276" s="135"/>
      <c r="U50276" s="135"/>
    </row>
    <row r="50277" spans="20:21" ht="15" customHeight="1" x14ac:dyDescent="0.25">
      <c r="T50277" s="135"/>
      <c r="U50277" s="135"/>
    </row>
    <row r="50278" spans="20:21" ht="15" customHeight="1" x14ac:dyDescent="0.25">
      <c r="T50278" s="135"/>
      <c r="U50278" s="135"/>
    </row>
    <row r="50279" spans="20:21" ht="15" customHeight="1" x14ac:dyDescent="0.25">
      <c r="T50279" s="135"/>
      <c r="U50279" s="135"/>
    </row>
    <row r="50280" spans="20:21" ht="15" customHeight="1" x14ac:dyDescent="0.25">
      <c r="T50280" s="135"/>
      <c r="U50280" s="135"/>
    </row>
    <row r="50281" spans="20:21" ht="15" customHeight="1" x14ac:dyDescent="0.25">
      <c r="T50281" s="135"/>
      <c r="U50281" s="135"/>
    </row>
    <row r="50282" spans="20:21" ht="15" customHeight="1" x14ac:dyDescent="0.25">
      <c r="T50282" s="135"/>
      <c r="U50282" s="135"/>
    </row>
    <row r="50283" spans="20:21" ht="15" customHeight="1" x14ac:dyDescent="0.25">
      <c r="T50283" s="135"/>
      <c r="U50283" s="135"/>
    </row>
    <row r="50284" spans="20:21" ht="15" customHeight="1" x14ac:dyDescent="0.25">
      <c r="T50284" s="135"/>
      <c r="U50284" s="135"/>
    </row>
    <row r="50285" spans="20:21" ht="15" customHeight="1" x14ac:dyDescent="0.25">
      <c r="T50285" s="135"/>
      <c r="U50285" s="135"/>
    </row>
    <row r="50286" spans="20:21" ht="15" customHeight="1" x14ac:dyDescent="0.25">
      <c r="T50286" s="135"/>
      <c r="U50286" s="135"/>
    </row>
    <row r="50287" spans="20:21" ht="15" customHeight="1" x14ac:dyDescent="0.25">
      <c r="T50287" s="135"/>
      <c r="U50287" s="135"/>
    </row>
    <row r="50288" spans="20:21" ht="15" customHeight="1" x14ac:dyDescent="0.25">
      <c r="T50288" s="135"/>
      <c r="U50288" s="135"/>
    </row>
    <row r="50289" spans="20:21" ht="15" customHeight="1" x14ac:dyDescent="0.25">
      <c r="T50289" s="135"/>
      <c r="U50289" s="135"/>
    </row>
    <row r="50290" spans="20:21" ht="15" customHeight="1" x14ac:dyDescent="0.25">
      <c r="T50290" s="135"/>
      <c r="U50290" s="135"/>
    </row>
    <row r="50291" spans="20:21" ht="15" customHeight="1" x14ac:dyDescent="0.25">
      <c r="T50291" s="135"/>
      <c r="U50291" s="135"/>
    </row>
    <row r="50292" spans="20:21" ht="15" customHeight="1" x14ac:dyDescent="0.25">
      <c r="T50292" s="135"/>
      <c r="U50292" s="135"/>
    </row>
    <row r="50293" spans="20:21" ht="15" customHeight="1" x14ac:dyDescent="0.25">
      <c r="T50293" s="135"/>
      <c r="U50293" s="135"/>
    </row>
    <row r="50294" spans="20:21" ht="15" customHeight="1" x14ac:dyDescent="0.25">
      <c r="T50294" s="135"/>
      <c r="U50294" s="135"/>
    </row>
    <row r="50295" spans="20:21" ht="15" customHeight="1" x14ac:dyDescent="0.25">
      <c r="T50295" s="135"/>
      <c r="U50295" s="135"/>
    </row>
    <row r="50296" spans="20:21" ht="15" customHeight="1" x14ac:dyDescent="0.25">
      <c r="T50296" s="135"/>
      <c r="U50296" s="135"/>
    </row>
    <row r="50297" spans="20:21" ht="15" customHeight="1" x14ac:dyDescent="0.25">
      <c r="T50297" s="135"/>
      <c r="U50297" s="135"/>
    </row>
    <row r="50298" spans="20:21" ht="15" customHeight="1" x14ac:dyDescent="0.25">
      <c r="T50298" s="135"/>
      <c r="U50298" s="135"/>
    </row>
    <row r="50299" spans="20:21" ht="15" customHeight="1" x14ac:dyDescent="0.25">
      <c r="T50299" s="135"/>
      <c r="U50299" s="135"/>
    </row>
    <row r="50300" spans="20:21" ht="15" customHeight="1" x14ac:dyDescent="0.25">
      <c r="T50300" s="135"/>
      <c r="U50300" s="135"/>
    </row>
    <row r="50301" spans="20:21" ht="15" customHeight="1" x14ac:dyDescent="0.25">
      <c r="T50301" s="135"/>
      <c r="U50301" s="135"/>
    </row>
    <row r="50302" spans="20:21" ht="15" customHeight="1" x14ac:dyDescent="0.25">
      <c r="T50302" s="135"/>
      <c r="U50302" s="135"/>
    </row>
    <row r="50303" spans="20:21" ht="15" customHeight="1" x14ac:dyDescent="0.25">
      <c r="T50303" s="135"/>
      <c r="U50303" s="135"/>
    </row>
    <row r="50304" spans="20:21" ht="15" customHeight="1" x14ac:dyDescent="0.25">
      <c r="T50304" s="135"/>
      <c r="U50304" s="135"/>
    </row>
    <row r="50305" spans="20:21" ht="15" customHeight="1" x14ac:dyDescent="0.25">
      <c r="T50305" s="135"/>
      <c r="U50305" s="135"/>
    </row>
    <row r="50306" spans="20:21" ht="15" customHeight="1" x14ac:dyDescent="0.25">
      <c r="T50306" s="135"/>
      <c r="U50306" s="135"/>
    </row>
    <row r="50307" spans="20:21" ht="15" customHeight="1" x14ac:dyDescent="0.25">
      <c r="T50307" s="135"/>
      <c r="U50307" s="135"/>
    </row>
    <row r="50308" spans="20:21" ht="15" customHeight="1" x14ac:dyDescent="0.25">
      <c r="T50308" s="135"/>
      <c r="U50308" s="135"/>
    </row>
    <row r="50309" spans="20:21" ht="15" customHeight="1" x14ac:dyDescent="0.25">
      <c r="T50309" s="135"/>
      <c r="U50309" s="135"/>
    </row>
    <row r="50310" spans="20:21" ht="15" customHeight="1" x14ac:dyDescent="0.25">
      <c r="T50310" s="135"/>
      <c r="U50310" s="135"/>
    </row>
    <row r="50311" spans="20:21" ht="15" customHeight="1" x14ac:dyDescent="0.25">
      <c r="T50311" s="135"/>
      <c r="U50311" s="135"/>
    </row>
    <row r="50312" spans="20:21" ht="15" customHeight="1" x14ac:dyDescent="0.25">
      <c r="T50312" s="135"/>
      <c r="U50312" s="135"/>
    </row>
    <row r="50313" spans="20:21" ht="15" customHeight="1" x14ac:dyDescent="0.25">
      <c r="T50313" s="135"/>
      <c r="U50313" s="135"/>
    </row>
    <row r="50314" spans="20:21" ht="15" customHeight="1" x14ac:dyDescent="0.25">
      <c r="T50314" s="135"/>
      <c r="U50314" s="135"/>
    </row>
    <row r="50315" spans="20:21" ht="15" customHeight="1" x14ac:dyDescent="0.25">
      <c r="T50315" s="135"/>
      <c r="U50315" s="135"/>
    </row>
    <row r="50316" spans="20:21" ht="15" customHeight="1" x14ac:dyDescent="0.25">
      <c r="T50316" s="135"/>
      <c r="U50316" s="135"/>
    </row>
    <row r="50317" spans="20:21" ht="15" customHeight="1" x14ac:dyDescent="0.25">
      <c r="T50317" s="135"/>
      <c r="U50317" s="135"/>
    </row>
    <row r="50318" spans="20:21" ht="15" customHeight="1" x14ac:dyDescent="0.25">
      <c r="T50318" s="135"/>
      <c r="U50318" s="135"/>
    </row>
    <row r="50319" spans="20:21" ht="15" customHeight="1" x14ac:dyDescent="0.25">
      <c r="T50319" s="135"/>
      <c r="U50319" s="135"/>
    </row>
    <row r="50320" spans="20:21" ht="15" customHeight="1" x14ac:dyDescent="0.25">
      <c r="T50320" s="135"/>
      <c r="U50320" s="135"/>
    </row>
    <row r="50321" spans="20:21" ht="15" customHeight="1" x14ac:dyDescent="0.25">
      <c r="T50321" s="135"/>
      <c r="U50321" s="135"/>
    </row>
    <row r="50322" spans="20:21" ht="15" customHeight="1" x14ac:dyDescent="0.25">
      <c r="T50322" s="135"/>
      <c r="U50322" s="135"/>
    </row>
    <row r="50323" spans="20:21" ht="15" customHeight="1" x14ac:dyDescent="0.25">
      <c r="T50323" s="135"/>
      <c r="U50323" s="135"/>
    </row>
    <row r="50324" spans="20:21" ht="15" customHeight="1" x14ac:dyDescent="0.25">
      <c r="T50324" s="135"/>
      <c r="U50324" s="135"/>
    </row>
    <row r="50325" spans="20:21" ht="15" customHeight="1" x14ac:dyDescent="0.25">
      <c r="T50325" s="135"/>
      <c r="U50325" s="135"/>
    </row>
    <row r="50326" spans="20:21" ht="15" customHeight="1" x14ac:dyDescent="0.25">
      <c r="T50326" s="135"/>
      <c r="U50326" s="135"/>
    </row>
    <row r="50327" spans="20:21" ht="15" customHeight="1" x14ac:dyDescent="0.25">
      <c r="T50327" s="135"/>
      <c r="U50327" s="135"/>
    </row>
    <row r="50328" spans="20:21" ht="15" customHeight="1" x14ac:dyDescent="0.25">
      <c r="T50328" s="135"/>
      <c r="U50328" s="135"/>
    </row>
    <row r="50329" spans="20:21" ht="15" customHeight="1" x14ac:dyDescent="0.25">
      <c r="T50329" s="135"/>
      <c r="U50329" s="135"/>
    </row>
    <row r="50330" spans="20:21" ht="15" customHeight="1" x14ac:dyDescent="0.25">
      <c r="T50330" s="135"/>
      <c r="U50330" s="135"/>
    </row>
    <row r="50331" spans="20:21" ht="15" customHeight="1" x14ac:dyDescent="0.25">
      <c r="T50331" s="135"/>
      <c r="U50331" s="135"/>
    </row>
    <row r="50332" spans="20:21" ht="15" customHeight="1" x14ac:dyDescent="0.25">
      <c r="T50332" s="135"/>
      <c r="U50332" s="135"/>
    </row>
    <row r="50333" spans="20:21" ht="15" customHeight="1" x14ac:dyDescent="0.25">
      <c r="T50333" s="135"/>
      <c r="U50333" s="135"/>
    </row>
    <row r="50334" spans="20:21" ht="15" customHeight="1" x14ac:dyDescent="0.25">
      <c r="T50334" s="135"/>
      <c r="U50334" s="135"/>
    </row>
    <row r="50335" spans="20:21" ht="15" customHeight="1" x14ac:dyDescent="0.25">
      <c r="T50335" s="135"/>
      <c r="U50335" s="135"/>
    </row>
    <row r="50336" spans="20:21" ht="15" customHeight="1" x14ac:dyDescent="0.25">
      <c r="T50336" s="135"/>
      <c r="U50336" s="135"/>
    </row>
    <row r="50337" spans="20:21" ht="15" customHeight="1" x14ac:dyDescent="0.25">
      <c r="T50337" s="135"/>
      <c r="U50337" s="135"/>
    </row>
    <row r="50338" spans="20:21" ht="15" customHeight="1" x14ac:dyDescent="0.25">
      <c r="T50338" s="135"/>
      <c r="U50338" s="135"/>
    </row>
    <row r="50339" spans="20:21" ht="15" customHeight="1" x14ac:dyDescent="0.25">
      <c r="T50339" s="135"/>
      <c r="U50339" s="135"/>
    </row>
    <row r="50340" spans="20:21" ht="15" customHeight="1" x14ac:dyDescent="0.25">
      <c r="T50340" s="135"/>
      <c r="U50340" s="135"/>
    </row>
    <row r="50341" spans="20:21" ht="15" customHeight="1" x14ac:dyDescent="0.25">
      <c r="T50341" s="135"/>
      <c r="U50341" s="135"/>
    </row>
    <row r="50342" spans="20:21" ht="15" customHeight="1" x14ac:dyDescent="0.25">
      <c r="T50342" s="135"/>
      <c r="U50342" s="135"/>
    </row>
    <row r="50343" spans="20:21" ht="15" customHeight="1" x14ac:dyDescent="0.25">
      <c r="T50343" s="135"/>
      <c r="U50343" s="135"/>
    </row>
    <row r="50344" spans="20:21" ht="15" customHeight="1" x14ac:dyDescent="0.25">
      <c r="T50344" s="135"/>
      <c r="U50344" s="135"/>
    </row>
    <row r="50345" spans="20:21" ht="15" customHeight="1" x14ac:dyDescent="0.25">
      <c r="T50345" s="135"/>
      <c r="U50345" s="135"/>
    </row>
    <row r="50346" spans="20:21" ht="15" customHeight="1" x14ac:dyDescent="0.25">
      <c r="T50346" s="135"/>
      <c r="U50346" s="135"/>
    </row>
    <row r="50347" spans="20:21" ht="15" customHeight="1" x14ac:dyDescent="0.25">
      <c r="T50347" s="135"/>
      <c r="U50347" s="135"/>
    </row>
    <row r="50348" spans="20:21" ht="15" customHeight="1" x14ac:dyDescent="0.25">
      <c r="T50348" s="135"/>
      <c r="U50348" s="135"/>
    </row>
    <row r="50349" spans="20:21" ht="15" customHeight="1" x14ac:dyDescent="0.25">
      <c r="T50349" s="135"/>
      <c r="U50349" s="135"/>
    </row>
    <row r="50350" spans="20:21" ht="15" customHeight="1" x14ac:dyDescent="0.25">
      <c r="T50350" s="135"/>
      <c r="U50350" s="135"/>
    </row>
    <row r="50351" spans="20:21" ht="15" customHeight="1" x14ac:dyDescent="0.25">
      <c r="T50351" s="135"/>
      <c r="U50351" s="135"/>
    </row>
    <row r="50352" spans="20:21" ht="15" customHeight="1" x14ac:dyDescent="0.25">
      <c r="T50352" s="135"/>
      <c r="U50352" s="135"/>
    </row>
    <row r="50353" spans="20:21" ht="15" customHeight="1" x14ac:dyDescent="0.25">
      <c r="T50353" s="135"/>
      <c r="U50353" s="135"/>
    </row>
    <row r="50354" spans="20:21" ht="15" customHeight="1" x14ac:dyDescent="0.25">
      <c r="T50354" s="135"/>
      <c r="U50354" s="135"/>
    </row>
    <row r="50355" spans="20:21" ht="15" customHeight="1" x14ac:dyDescent="0.25">
      <c r="T50355" s="135"/>
      <c r="U50355" s="135"/>
    </row>
    <row r="50356" spans="20:21" ht="15" customHeight="1" x14ac:dyDescent="0.25">
      <c r="T50356" s="135"/>
      <c r="U50356" s="135"/>
    </row>
    <row r="50357" spans="20:21" ht="15" customHeight="1" x14ac:dyDescent="0.25">
      <c r="T50357" s="135"/>
      <c r="U50357" s="135"/>
    </row>
    <row r="50358" spans="20:21" ht="15" customHeight="1" x14ac:dyDescent="0.25">
      <c r="T50358" s="135"/>
      <c r="U50358" s="135"/>
    </row>
    <row r="50359" spans="20:21" ht="15" customHeight="1" x14ac:dyDescent="0.25">
      <c r="T50359" s="135"/>
      <c r="U50359" s="135"/>
    </row>
    <row r="50360" spans="20:21" ht="15" customHeight="1" x14ac:dyDescent="0.25">
      <c r="T50360" s="135"/>
      <c r="U50360" s="135"/>
    </row>
    <row r="50361" spans="20:21" ht="15" customHeight="1" x14ac:dyDescent="0.25">
      <c r="T50361" s="135"/>
      <c r="U50361" s="135"/>
    </row>
    <row r="50362" spans="20:21" ht="15" customHeight="1" x14ac:dyDescent="0.25">
      <c r="T50362" s="135"/>
      <c r="U50362" s="135"/>
    </row>
    <row r="50363" spans="20:21" ht="15" customHeight="1" x14ac:dyDescent="0.25">
      <c r="T50363" s="135"/>
      <c r="U50363" s="135"/>
    </row>
    <row r="50364" spans="20:21" ht="15" customHeight="1" x14ac:dyDescent="0.25">
      <c r="T50364" s="135"/>
      <c r="U50364" s="135"/>
    </row>
    <row r="50365" spans="20:21" ht="15" customHeight="1" x14ac:dyDescent="0.25">
      <c r="T50365" s="135"/>
      <c r="U50365" s="135"/>
    </row>
    <row r="50366" spans="20:21" ht="15" customHeight="1" x14ac:dyDescent="0.25">
      <c r="T50366" s="135"/>
      <c r="U50366" s="135"/>
    </row>
    <row r="50367" spans="20:21" ht="15" customHeight="1" x14ac:dyDescent="0.25">
      <c r="T50367" s="135"/>
      <c r="U50367" s="135"/>
    </row>
    <row r="50368" spans="20:21" ht="15" customHeight="1" x14ac:dyDescent="0.25">
      <c r="T50368" s="135"/>
      <c r="U50368" s="135"/>
    </row>
    <row r="50369" spans="20:21" ht="15" customHeight="1" x14ac:dyDescent="0.25">
      <c r="T50369" s="135"/>
      <c r="U50369" s="135"/>
    </row>
    <row r="50370" spans="20:21" ht="15" customHeight="1" x14ac:dyDescent="0.25">
      <c r="T50370" s="135"/>
      <c r="U50370" s="135"/>
    </row>
    <row r="50371" spans="20:21" ht="15" customHeight="1" x14ac:dyDescent="0.25">
      <c r="T50371" s="135"/>
      <c r="U50371" s="135"/>
    </row>
    <row r="50372" spans="20:21" ht="15" customHeight="1" x14ac:dyDescent="0.25">
      <c r="T50372" s="135"/>
      <c r="U50372" s="135"/>
    </row>
    <row r="50373" spans="20:21" ht="15" customHeight="1" x14ac:dyDescent="0.25">
      <c r="T50373" s="135"/>
      <c r="U50373" s="135"/>
    </row>
    <row r="50374" spans="20:21" ht="15" customHeight="1" x14ac:dyDescent="0.25">
      <c r="T50374" s="135"/>
      <c r="U50374" s="135"/>
    </row>
    <row r="50375" spans="20:21" ht="15" customHeight="1" x14ac:dyDescent="0.25">
      <c r="T50375" s="135"/>
      <c r="U50375" s="135"/>
    </row>
    <row r="50376" spans="20:21" ht="15" customHeight="1" x14ac:dyDescent="0.25">
      <c r="T50376" s="135"/>
      <c r="U50376" s="135"/>
    </row>
    <row r="50377" spans="20:21" ht="15" customHeight="1" x14ac:dyDescent="0.25">
      <c r="T50377" s="135"/>
      <c r="U50377" s="135"/>
    </row>
    <row r="50378" spans="20:21" ht="15" customHeight="1" x14ac:dyDescent="0.25">
      <c r="T50378" s="135"/>
      <c r="U50378" s="135"/>
    </row>
    <row r="50379" spans="20:21" ht="15" customHeight="1" x14ac:dyDescent="0.25">
      <c r="T50379" s="135"/>
      <c r="U50379" s="135"/>
    </row>
    <row r="50380" spans="20:21" ht="15" customHeight="1" x14ac:dyDescent="0.25">
      <c r="T50380" s="135"/>
      <c r="U50380" s="135"/>
    </row>
    <row r="50381" spans="20:21" ht="15" customHeight="1" x14ac:dyDescent="0.25">
      <c r="T50381" s="135"/>
      <c r="U50381" s="135"/>
    </row>
    <row r="50382" spans="20:21" ht="15" customHeight="1" x14ac:dyDescent="0.25">
      <c r="T50382" s="135"/>
      <c r="U50382" s="135"/>
    </row>
    <row r="50383" spans="20:21" ht="15" customHeight="1" x14ac:dyDescent="0.25">
      <c r="T50383" s="135"/>
      <c r="U50383" s="135"/>
    </row>
    <row r="50384" spans="20:21" ht="15" customHeight="1" x14ac:dyDescent="0.25">
      <c r="T50384" s="135"/>
      <c r="U50384" s="135"/>
    </row>
    <row r="50385" spans="20:21" ht="15" customHeight="1" x14ac:dyDescent="0.25">
      <c r="T50385" s="135"/>
      <c r="U50385" s="135"/>
    </row>
    <row r="50386" spans="20:21" ht="15" customHeight="1" x14ac:dyDescent="0.25">
      <c r="T50386" s="135"/>
      <c r="U50386" s="135"/>
    </row>
    <row r="50387" spans="20:21" ht="15" customHeight="1" x14ac:dyDescent="0.25">
      <c r="T50387" s="135"/>
      <c r="U50387" s="135"/>
    </row>
    <row r="50388" spans="20:21" ht="15" customHeight="1" x14ac:dyDescent="0.25">
      <c r="T50388" s="135"/>
      <c r="U50388" s="135"/>
    </row>
    <row r="50389" spans="20:21" ht="15" customHeight="1" x14ac:dyDescent="0.25">
      <c r="T50389" s="135"/>
      <c r="U50389" s="135"/>
    </row>
    <row r="50390" spans="20:21" ht="15" customHeight="1" x14ac:dyDescent="0.25">
      <c r="T50390" s="135"/>
      <c r="U50390" s="135"/>
    </row>
    <row r="50391" spans="20:21" ht="15" customHeight="1" x14ac:dyDescent="0.25">
      <c r="T50391" s="135"/>
      <c r="U50391" s="135"/>
    </row>
    <row r="50392" spans="20:21" ht="15" customHeight="1" x14ac:dyDescent="0.25">
      <c r="T50392" s="135"/>
      <c r="U50392" s="135"/>
    </row>
    <row r="50393" spans="20:21" ht="15" customHeight="1" x14ac:dyDescent="0.25">
      <c r="T50393" s="135"/>
      <c r="U50393" s="135"/>
    </row>
    <row r="50394" spans="20:21" ht="15" customHeight="1" x14ac:dyDescent="0.25">
      <c r="T50394" s="135"/>
      <c r="U50394" s="135"/>
    </row>
    <row r="50395" spans="20:21" ht="15" customHeight="1" x14ac:dyDescent="0.25">
      <c r="T50395" s="135"/>
      <c r="U50395" s="135"/>
    </row>
    <row r="50396" spans="20:21" ht="15" customHeight="1" x14ac:dyDescent="0.25">
      <c r="T50396" s="135"/>
      <c r="U50396" s="135"/>
    </row>
    <row r="50397" spans="20:21" ht="15" customHeight="1" x14ac:dyDescent="0.25">
      <c r="T50397" s="135"/>
      <c r="U50397" s="135"/>
    </row>
    <row r="50398" spans="20:21" ht="15" customHeight="1" x14ac:dyDescent="0.25">
      <c r="T50398" s="135"/>
      <c r="U50398" s="135"/>
    </row>
    <row r="50399" spans="20:21" ht="15" customHeight="1" x14ac:dyDescent="0.25">
      <c r="T50399" s="135"/>
      <c r="U50399" s="135"/>
    </row>
    <row r="50400" spans="20:21" ht="15" customHeight="1" x14ac:dyDescent="0.25">
      <c r="T50400" s="135"/>
      <c r="U50400" s="135"/>
    </row>
    <row r="50401" spans="20:21" ht="15" customHeight="1" x14ac:dyDescent="0.25">
      <c r="T50401" s="135"/>
      <c r="U50401" s="135"/>
    </row>
    <row r="50402" spans="20:21" ht="15" customHeight="1" x14ac:dyDescent="0.25">
      <c r="T50402" s="135"/>
      <c r="U50402" s="135"/>
    </row>
    <row r="50403" spans="20:21" ht="15" customHeight="1" x14ac:dyDescent="0.25">
      <c r="T50403" s="135"/>
      <c r="U50403" s="135"/>
    </row>
    <row r="50404" spans="20:21" ht="15" customHeight="1" x14ac:dyDescent="0.25">
      <c r="T50404" s="135"/>
      <c r="U50404" s="135"/>
    </row>
    <row r="50405" spans="20:21" ht="15" customHeight="1" x14ac:dyDescent="0.25">
      <c r="T50405" s="135"/>
      <c r="U50405" s="135"/>
    </row>
    <row r="50406" spans="20:21" ht="15" customHeight="1" x14ac:dyDescent="0.25">
      <c r="T50406" s="135"/>
      <c r="U50406" s="135"/>
    </row>
    <row r="50407" spans="20:21" ht="15" customHeight="1" x14ac:dyDescent="0.25">
      <c r="T50407" s="135"/>
      <c r="U50407" s="135"/>
    </row>
    <row r="50408" spans="20:21" ht="15" customHeight="1" x14ac:dyDescent="0.25">
      <c r="T50408" s="135"/>
      <c r="U50408" s="135"/>
    </row>
    <row r="50409" spans="20:21" ht="15" customHeight="1" x14ac:dyDescent="0.25">
      <c r="T50409" s="135"/>
      <c r="U50409" s="135"/>
    </row>
    <row r="50410" spans="20:21" ht="15" customHeight="1" x14ac:dyDescent="0.25">
      <c r="T50410" s="135"/>
      <c r="U50410" s="135"/>
    </row>
    <row r="50411" spans="20:21" ht="15" customHeight="1" x14ac:dyDescent="0.25">
      <c r="T50411" s="135"/>
      <c r="U50411" s="135"/>
    </row>
    <row r="50412" spans="20:21" ht="15" customHeight="1" x14ac:dyDescent="0.25">
      <c r="T50412" s="135"/>
      <c r="U50412" s="135"/>
    </row>
    <row r="50413" spans="20:21" ht="15" customHeight="1" x14ac:dyDescent="0.25">
      <c r="T50413" s="135"/>
      <c r="U50413" s="135"/>
    </row>
    <row r="50414" spans="20:21" ht="15" customHeight="1" x14ac:dyDescent="0.25">
      <c r="T50414" s="135"/>
      <c r="U50414" s="135"/>
    </row>
    <row r="50415" spans="20:21" ht="15" customHeight="1" x14ac:dyDescent="0.25">
      <c r="T50415" s="135"/>
      <c r="U50415" s="135"/>
    </row>
    <row r="50416" spans="20:21" ht="15" customHeight="1" x14ac:dyDescent="0.25">
      <c r="T50416" s="135"/>
      <c r="U50416" s="135"/>
    </row>
    <row r="50417" spans="20:21" ht="15" customHeight="1" x14ac:dyDescent="0.25">
      <c r="T50417" s="135"/>
      <c r="U50417" s="135"/>
    </row>
    <row r="50418" spans="20:21" ht="15" customHeight="1" x14ac:dyDescent="0.25">
      <c r="T50418" s="135"/>
      <c r="U50418" s="135"/>
    </row>
    <row r="50419" spans="20:21" ht="15" customHeight="1" x14ac:dyDescent="0.25">
      <c r="T50419" s="135"/>
      <c r="U50419" s="135"/>
    </row>
    <row r="50420" spans="20:21" ht="15" customHeight="1" x14ac:dyDescent="0.25">
      <c r="T50420" s="135"/>
      <c r="U50420" s="135"/>
    </row>
    <row r="50421" spans="20:21" ht="15" customHeight="1" x14ac:dyDescent="0.25">
      <c r="T50421" s="135"/>
      <c r="U50421" s="135"/>
    </row>
    <row r="50422" spans="20:21" ht="15" customHeight="1" x14ac:dyDescent="0.25">
      <c r="T50422" s="135"/>
      <c r="U50422" s="135"/>
    </row>
    <row r="50423" spans="20:21" ht="15" customHeight="1" x14ac:dyDescent="0.25">
      <c r="T50423" s="135"/>
      <c r="U50423" s="135"/>
    </row>
    <row r="50424" spans="20:21" ht="15" customHeight="1" x14ac:dyDescent="0.25">
      <c r="T50424" s="135"/>
      <c r="U50424" s="135"/>
    </row>
    <row r="50425" spans="20:21" ht="15" customHeight="1" x14ac:dyDescent="0.25">
      <c r="T50425" s="135"/>
      <c r="U50425" s="135"/>
    </row>
    <row r="50426" spans="20:21" ht="15" customHeight="1" x14ac:dyDescent="0.25">
      <c r="T50426" s="135"/>
      <c r="U50426" s="135"/>
    </row>
    <row r="50427" spans="20:21" ht="15" customHeight="1" x14ac:dyDescent="0.25">
      <c r="T50427" s="135"/>
      <c r="U50427" s="135"/>
    </row>
    <row r="50428" spans="20:21" ht="15" customHeight="1" x14ac:dyDescent="0.25">
      <c r="T50428" s="135"/>
      <c r="U50428" s="135"/>
    </row>
    <row r="50429" spans="20:21" ht="15" customHeight="1" x14ac:dyDescent="0.25">
      <c r="T50429" s="135"/>
      <c r="U50429" s="135"/>
    </row>
    <row r="50430" spans="20:21" ht="15" customHeight="1" x14ac:dyDescent="0.25">
      <c r="T50430" s="135"/>
      <c r="U50430" s="135"/>
    </row>
    <row r="50431" spans="20:21" ht="15" customHeight="1" x14ac:dyDescent="0.25">
      <c r="T50431" s="135"/>
      <c r="U50431" s="135"/>
    </row>
    <row r="50432" spans="20:21" ht="15" customHeight="1" x14ac:dyDescent="0.25">
      <c r="T50432" s="135"/>
      <c r="U50432" s="135"/>
    </row>
    <row r="50433" spans="20:21" ht="15" customHeight="1" x14ac:dyDescent="0.25">
      <c r="T50433" s="135"/>
      <c r="U50433" s="135"/>
    </row>
    <row r="50434" spans="20:21" ht="15" customHeight="1" x14ac:dyDescent="0.25">
      <c r="T50434" s="135"/>
      <c r="U50434" s="135"/>
    </row>
    <row r="50435" spans="20:21" ht="15" customHeight="1" x14ac:dyDescent="0.25">
      <c r="T50435" s="135"/>
      <c r="U50435" s="135"/>
    </row>
    <row r="50436" spans="20:21" ht="15" customHeight="1" x14ac:dyDescent="0.25">
      <c r="T50436" s="135"/>
      <c r="U50436" s="135"/>
    </row>
    <row r="50437" spans="20:21" ht="15" customHeight="1" x14ac:dyDescent="0.25">
      <c r="T50437" s="135"/>
      <c r="U50437" s="135"/>
    </row>
    <row r="50438" spans="20:21" ht="15" customHeight="1" x14ac:dyDescent="0.25">
      <c r="T50438" s="135"/>
      <c r="U50438" s="135"/>
    </row>
    <row r="50439" spans="20:21" ht="15" customHeight="1" x14ac:dyDescent="0.25">
      <c r="T50439" s="135"/>
      <c r="U50439" s="135"/>
    </row>
    <row r="50440" spans="20:21" ht="15" customHeight="1" x14ac:dyDescent="0.25">
      <c r="T50440" s="135"/>
      <c r="U50440" s="135"/>
    </row>
    <row r="50441" spans="20:21" ht="15" customHeight="1" x14ac:dyDescent="0.25">
      <c r="T50441" s="135"/>
      <c r="U50441" s="135"/>
    </row>
    <row r="50442" spans="20:21" ht="15" customHeight="1" x14ac:dyDescent="0.25">
      <c r="T50442" s="135"/>
      <c r="U50442" s="135"/>
    </row>
    <row r="50443" spans="20:21" ht="15" customHeight="1" x14ac:dyDescent="0.25">
      <c r="T50443" s="135"/>
      <c r="U50443" s="135"/>
    </row>
    <row r="50444" spans="20:21" ht="15" customHeight="1" x14ac:dyDescent="0.25">
      <c r="T50444" s="135"/>
      <c r="U50444" s="135"/>
    </row>
    <row r="50445" spans="20:21" ht="15" customHeight="1" x14ac:dyDescent="0.25">
      <c r="T50445" s="135"/>
      <c r="U50445" s="135"/>
    </row>
    <row r="50446" spans="20:21" ht="15" customHeight="1" x14ac:dyDescent="0.25">
      <c r="T50446" s="135"/>
      <c r="U50446" s="135"/>
    </row>
    <row r="50447" spans="20:21" ht="15" customHeight="1" x14ac:dyDescent="0.25">
      <c r="T50447" s="135"/>
      <c r="U50447" s="135"/>
    </row>
    <row r="50448" spans="20:21" ht="15" customHeight="1" x14ac:dyDescent="0.25">
      <c r="T50448" s="135"/>
      <c r="U50448" s="135"/>
    </row>
    <row r="50449" spans="20:21" ht="15" customHeight="1" x14ac:dyDescent="0.25">
      <c r="T50449" s="135"/>
      <c r="U50449" s="135"/>
    </row>
    <row r="50450" spans="20:21" ht="15" customHeight="1" x14ac:dyDescent="0.25">
      <c r="T50450" s="135"/>
      <c r="U50450" s="135"/>
    </row>
    <row r="50451" spans="20:21" ht="15" customHeight="1" x14ac:dyDescent="0.25">
      <c r="T50451" s="135"/>
      <c r="U50451" s="135"/>
    </row>
    <row r="50452" spans="20:21" ht="15" customHeight="1" x14ac:dyDescent="0.25">
      <c r="T50452" s="135"/>
      <c r="U50452" s="135"/>
    </row>
    <row r="50453" spans="20:21" ht="15" customHeight="1" x14ac:dyDescent="0.25">
      <c r="T50453" s="135"/>
      <c r="U50453" s="135"/>
    </row>
    <row r="50454" spans="20:21" ht="15" customHeight="1" x14ac:dyDescent="0.25">
      <c r="T50454" s="135"/>
      <c r="U50454" s="135"/>
    </row>
    <row r="50455" spans="20:21" ht="15" customHeight="1" x14ac:dyDescent="0.25">
      <c r="T50455" s="135"/>
      <c r="U50455" s="135"/>
    </row>
    <row r="50456" spans="20:21" ht="15" customHeight="1" x14ac:dyDescent="0.25">
      <c r="T50456" s="135"/>
      <c r="U50456" s="135"/>
    </row>
    <row r="50457" spans="20:21" ht="15" customHeight="1" x14ac:dyDescent="0.25">
      <c r="T50457" s="135"/>
      <c r="U50457" s="135"/>
    </row>
    <row r="50458" spans="20:21" ht="15" customHeight="1" x14ac:dyDescent="0.25">
      <c r="T50458" s="135"/>
      <c r="U50458" s="135"/>
    </row>
    <row r="50459" spans="20:21" ht="15" customHeight="1" x14ac:dyDescent="0.25">
      <c r="T50459" s="135"/>
      <c r="U50459" s="135"/>
    </row>
    <row r="50460" spans="20:21" ht="15" customHeight="1" x14ac:dyDescent="0.25">
      <c r="T50460" s="135"/>
      <c r="U50460" s="135"/>
    </row>
    <row r="50461" spans="20:21" ht="15" customHeight="1" x14ac:dyDescent="0.25">
      <c r="T50461" s="135"/>
      <c r="U50461" s="135"/>
    </row>
    <row r="50462" spans="20:21" ht="15" customHeight="1" x14ac:dyDescent="0.25">
      <c r="T50462" s="135"/>
      <c r="U50462" s="135"/>
    </row>
    <row r="50463" spans="20:21" ht="15" customHeight="1" x14ac:dyDescent="0.25">
      <c r="T50463" s="135"/>
      <c r="U50463" s="135"/>
    </row>
    <row r="50464" spans="20:21" ht="15" customHeight="1" x14ac:dyDescent="0.25">
      <c r="T50464" s="135"/>
      <c r="U50464" s="135"/>
    </row>
    <row r="50465" spans="20:21" ht="15" customHeight="1" x14ac:dyDescent="0.25">
      <c r="T50465" s="135"/>
      <c r="U50465" s="135"/>
    </row>
    <row r="50466" spans="20:21" ht="15" customHeight="1" x14ac:dyDescent="0.25">
      <c r="T50466" s="135"/>
      <c r="U50466" s="135"/>
    </row>
    <row r="50467" spans="20:21" ht="15" customHeight="1" x14ac:dyDescent="0.25">
      <c r="T50467" s="135"/>
      <c r="U50467" s="135"/>
    </row>
    <row r="50468" spans="20:21" ht="15" customHeight="1" x14ac:dyDescent="0.25">
      <c r="T50468" s="135"/>
      <c r="U50468" s="135"/>
    </row>
    <row r="50469" spans="20:21" ht="15" customHeight="1" x14ac:dyDescent="0.25">
      <c r="T50469" s="135"/>
      <c r="U50469" s="135"/>
    </row>
    <row r="50470" spans="20:21" ht="15" customHeight="1" x14ac:dyDescent="0.25">
      <c r="T50470" s="135"/>
      <c r="U50470" s="135"/>
    </row>
    <row r="50471" spans="20:21" ht="15" customHeight="1" x14ac:dyDescent="0.25">
      <c r="T50471" s="135"/>
      <c r="U50471" s="135"/>
    </row>
    <row r="50472" spans="20:21" ht="15" customHeight="1" x14ac:dyDescent="0.25">
      <c r="T50472" s="135"/>
      <c r="U50472" s="135"/>
    </row>
    <row r="50473" spans="20:21" ht="15" customHeight="1" x14ac:dyDescent="0.25">
      <c r="T50473" s="135"/>
      <c r="U50473" s="135"/>
    </row>
    <row r="50474" spans="20:21" ht="15" customHeight="1" x14ac:dyDescent="0.25">
      <c r="T50474" s="135"/>
      <c r="U50474" s="135"/>
    </row>
    <row r="50475" spans="20:21" ht="15" customHeight="1" x14ac:dyDescent="0.25">
      <c r="T50475" s="135"/>
      <c r="U50475" s="135"/>
    </row>
    <row r="50476" spans="20:21" ht="15" customHeight="1" x14ac:dyDescent="0.25">
      <c r="T50476" s="135"/>
      <c r="U50476" s="135"/>
    </row>
    <row r="50477" spans="20:21" ht="15" customHeight="1" x14ac:dyDescent="0.25">
      <c r="T50477" s="135"/>
      <c r="U50477" s="135"/>
    </row>
    <row r="50478" spans="20:21" ht="15" customHeight="1" x14ac:dyDescent="0.25">
      <c r="T50478" s="135"/>
      <c r="U50478" s="135"/>
    </row>
    <row r="50479" spans="20:21" ht="15" customHeight="1" x14ac:dyDescent="0.25">
      <c r="T50479" s="135"/>
      <c r="U50479" s="135"/>
    </row>
    <row r="50480" spans="20:21" ht="15" customHeight="1" x14ac:dyDescent="0.25">
      <c r="T50480" s="135"/>
      <c r="U50480" s="135"/>
    </row>
    <row r="50481" spans="20:21" ht="15" customHeight="1" x14ac:dyDescent="0.25">
      <c r="T50481" s="135"/>
      <c r="U50481" s="135"/>
    </row>
    <row r="50482" spans="20:21" ht="15" customHeight="1" x14ac:dyDescent="0.25">
      <c r="T50482" s="135"/>
      <c r="U50482" s="135"/>
    </row>
    <row r="50483" spans="20:21" ht="15" customHeight="1" x14ac:dyDescent="0.25">
      <c r="T50483" s="135"/>
      <c r="U50483" s="135"/>
    </row>
    <row r="50484" spans="20:21" ht="15" customHeight="1" x14ac:dyDescent="0.25">
      <c r="T50484" s="135"/>
      <c r="U50484" s="135"/>
    </row>
    <row r="50485" spans="20:21" ht="15" customHeight="1" x14ac:dyDescent="0.25">
      <c r="T50485" s="135"/>
      <c r="U50485" s="135"/>
    </row>
    <row r="50486" spans="20:21" ht="15" customHeight="1" x14ac:dyDescent="0.25">
      <c r="T50486" s="135"/>
      <c r="U50486" s="135"/>
    </row>
    <row r="50487" spans="20:21" ht="15" customHeight="1" x14ac:dyDescent="0.25">
      <c r="T50487" s="135"/>
      <c r="U50487" s="135"/>
    </row>
    <row r="50488" spans="20:21" ht="15" customHeight="1" x14ac:dyDescent="0.25">
      <c r="T50488" s="135"/>
      <c r="U50488" s="135"/>
    </row>
    <row r="50489" spans="20:21" ht="15" customHeight="1" x14ac:dyDescent="0.25">
      <c r="T50489" s="135"/>
      <c r="U50489" s="135"/>
    </row>
    <row r="50490" spans="20:21" ht="15" customHeight="1" x14ac:dyDescent="0.25">
      <c r="T50490" s="135"/>
      <c r="U50490" s="135"/>
    </row>
    <row r="50491" spans="20:21" ht="15" customHeight="1" x14ac:dyDescent="0.25">
      <c r="T50491" s="135"/>
      <c r="U50491" s="135"/>
    </row>
    <row r="50492" spans="20:21" ht="15" customHeight="1" x14ac:dyDescent="0.25">
      <c r="T50492" s="135"/>
      <c r="U50492" s="135"/>
    </row>
    <row r="50493" spans="20:21" ht="15" customHeight="1" x14ac:dyDescent="0.25">
      <c r="T50493" s="135"/>
      <c r="U50493" s="135"/>
    </row>
    <row r="50494" spans="20:21" ht="15" customHeight="1" x14ac:dyDescent="0.25">
      <c r="T50494" s="135"/>
      <c r="U50494" s="135"/>
    </row>
    <row r="50495" spans="20:21" ht="15" customHeight="1" x14ac:dyDescent="0.25">
      <c r="T50495" s="135"/>
      <c r="U50495" s="135"/>
    </row>
    <row r="50496" spans="20:21" ht="15" customHeight="1" x14ac:dyDescent="0.25">
      <c r="T50496" s="135"/>
      <c r="U50496" s="135"/>
    </row>
    <row r="50497" spans="20:21" ht="15" customHeight="1" x14ac:dyDescent="0.25">
      <c r="T50497" s="135"/>
      <c r="U50497" s="135"/>
    </row>
    <row r="50498" spans="20:21" ht="15" customHeight="1" x14ac:dyDescent="0.25">
      <c r="T50498" s="135"/>
      <c r="U50498" s="135"/>
    </row>
    <row r="50499" spans="20:21" ht="15" customHeight="1" x14ac:dyDescent="0.25">
      <c r="T50499" s="135"/>
      <c r="U50499" s="135"/>
    </row>
    <row r="50500" spans="20:21" ht="15" customHeight="1" x14ac:dyDescent="0.25">
      <c r="T50500" s="135"/>
      <c r="U50500" s="135"/>
    </row>
    <row r="50501" spans="20:21" ht="15" customHeight="1" x14ac:dyDescent="0.25">
      <c r="T50501" s="135"/>
      <c r="U50501" s="135"/>
    </row>
    <row r="50502" spans="20:21" ht="15" customHeight="1" x14ac:dyDescent="0.25">
      <c r="T50502" s="135"/>
      <c r="U50502" s="135"/>
    </row>
    <row r="50503" spans="20:21" ht="15" customHeight="1" x14ac:dyDescent="0.25">
      <c r="T50503" s="135"/>
      <c r="U50503" s="135"/>
    </row>
    <row r="50504" spans="20:21" ht="15" customHeight="1" x14ac:dyDescent="0.25">
      <c r="T50504" s="135"/>
      <c r="U50504" s="135"/>
    </row>
    <row r="50505" spans="20:21" ht="15" customHeight="1" x14ac:dyDescent="0.25">
      <c r="T50505" s="135"/>
      <c r="U50505" s="135"/>
    </row>
    <row r="50506" spans="20:21" ht="15" customHeight="1" x14ac:dyDescent="0.25">
      <c r="T50506" s="135"/>
      <c r="U50506" s="135"/>
    </row>
    <row r="50507" spans="20:21" ht="15" customHeight="1" x14ac:dyDescent="0.25">
      <c r="T50507" s="135"/>
      <c r="U50507" s="135"/>
    </row>
    <row r="50508" spans="20:21" ht="15" customHeight="1" x14ac:dyDescent="0.25">
      <c r="T50508" s="135"/>
      <c r="U50508" s="135"/>
    </row>
    <row r="50509" spans="20:21" ht="15" customHeight="1" x14ac:dyDescent="0.25">
      <c r="T50509" s="135"/>
      <c r="U50509" s="135"/>
    </row>
    <row r="50510" spans="20:21" ht="15" customHeight="1" x14ac:dyDescent="0.25">
      <c r="T50510" s="135"/>
      <c r="U50510" s="135"/>
    </row>
    <row r="50511" spans="20:21" ht="15" customHeight="1" x14ac:dyDescent="0.25">
      <c r="T50511" s="135"/>
      <c r="U50511" s="135"/>
    </row>
    <row r="50512" spans="20:21" ht="15" customHeight="1" x14ac:dyDescent="0.25">
      <c r="T50512" s="135"/>
      <c r="U50512" s="135"/>
    </row>
    <row r="50513" spans="20:21" ht="15" customHeight="1" x14ac:dyDescent="0.25">
      <c r="T50513" s="135"/>
      <c r="U50513" s="135"/>
    </row>
    <row r="50514" spans="20:21" ht="15" customHeight="1" x14ac:dyDescent="0.25">
      <c r="T50514" s="135"/>
      <c r="U50514" s="135"/>
    </row>
    <row r="50515" spans="20:21" ht="15" customHeight="1" x14ac:dyDescent="0.25">
      <c r="T50515" s="135"/>
      <c r="U50515" s="135"/>
    </row>
    <row r="50516" spans="20:21" ht="15" customHeight="1" x14ac:dyDescent="0.25">
      <c r="T50516" s="135"/>
      <c r="U50516" s="135"/>
    </row>
    <row r="50517" spans="20:21" ht="15" customHeight="1" x14ac:dyDescent="0.25">
      <c r="T50517" s="135"/>
      <c r="U50517" s="135"/>
    </row>
    <row r="50518" spans="20:21" ht="15" customHeight="1" x14ac:dyDescent="0.25">
      <c r="T50518" s="135"/>
      <c r="U50518" s="135"/>
    </row>
    <row r="50519" spans="20:21" ht="15" customHeight="1" x14ac:dyDescent="0.25">
      <c r="T50519" s="135"/>
      <c r="U50519" s="135"/>
    </row>
    <row r="50520" spans="20:21" ht="15" customHeight="1" x14ac:dyDescent="0.25">
      <c r="T50520" s="135"/>
      <c r="U50520" s="135"/>
    </row>
    <row r="50521" spans="20:21" ht="15" customHeight="1" x14ac:dyDescent="0.25">
      <c r="T50521" s="135"/>
      <c r="U50521" s="135"/>
    </row>
    <row r="50522" spans="20:21" ht="15" customHeight="1" x14ac:dyDescent="0.25">
      <c r="T50522" s="135"/>
      <c r="U50522" s="135"/>
    </row>
    <row r="50523" spans="20:21" ht="15" customHeight="1" x14ac:dyDescent="0.25">
      <c r="T50523" s="135"/>
      <c r="U50523" s="135"/>
    </row>
    <row r="50524" spans="20:21" ht="15" customHeight="1" x14ac:dyDescent="0.25">
      <c r="T50524" s="135"/>
      <c r="U50524" s="135"/>
    </row>
    <row r="50525" spans="20:21" ht="15" customHeight="1" x14ac:dyDescent="0.25">
      <c r="T50525" s="135"/>
      <c r="U50525" s="135"/>
    </row>
    <row r="50526" spans="20:21" ht="15" customHeight="1" x14ac:dyDescent="0.25">
      <c r="T50526" s="135"/>
      <c r="U50526" s="135"/>
    </row>
    <row r="50527" spans="20:21" ht="15" customHeight="1" x14ac:dyDescent="0.25">
      <c r="T50527" s="135"/>
      <c r="U50527" s="135"/>
    </row>
    <row r="50528" spans="20:21" ht="15" customHeight="1" x14ac:dyDescent="0.25">
      <c r="T50528" s="135"/>
      <c r="U50528" s="135"/>
    </row>
    <row r="50529" spans="20:21" ht="15" customHeight="1" x14ac:dyDescent="0.25">
      <c r="T50529" s="135"/>
      <c r="U50529" s="135"/>
    </row>
    <row r="50530" spans="20:21" ht="15" customHeight="1" x14ac:dyDescent="0.25">
      <c r="T50530" s="135"/>
      <c r="U50530" s="135"/>
    </row>
    <row r="50531" spans="20:21" ht="15" customHeight="1" x14ac:dyDescent="0.25">
      <c r="T50531" s="135"/>
      <c r="U50531" s="135"/>
    </row>
    <row r="50532" spans="20:21" ht="15" customHeight="1" x14ac:dyDescent="0.25">
      <c r="T50532" s="135"/>
      <c r="U50532" s="135"/>
    </row>
    <row r="50533" spans="20:21" ht="15" customHeight="1" x14ac:dyDescent="0.25">
      <c r="T50533" s="135"/>
      <c r="U50533" s="135"/>
    </row>
    <row r="50534" spans="20:21" ht="15" customHeight="1" x14ac:dyDescent="0.25">
      <c r="T50534" s="135"/>
      <c r="U50534" s="135"/>
    </row>
    <row r="50535" spans="20:21" ht="15" customHeight="1" x14ac:dyDescent="0.25">
      <c r="T50535" s="135"/>
      <c r="U50535" s="135"/>
    </row>
    <row r="50536" spans="20:21" ht="15" customHeight="1" x14ac:dyDescent="0.25">
      <c r="T50536" s="135"/>
      <c r="U50536" s="135"/>
    </row>
    <row r="50537" spans="20:21" ht="15" customHeight="1" x14ac:dyDescent="0.25">
      <c r="T50537" s="135"/>
      <c r="U50537" s="135"/>
    </row>
    <row r="50538" spans="20:21" ht="15" customHeight="1" x14ac:dyDescent="0.25">
      <c r="T50538" s="135"/>
      <c r="U50538" s="135"/>
    </row>
    <row r="50539" spans="20:21" ht="15" customHeight="1" x14ac:dyDescent="0.25">
      <c r="T50539" s="135"/>
      <c r="U50539" s="135"/>
    </row>
    <row r="50540" spans="20:21" ht="15" customHeight="1" x14ac:dyDescent="0.25">
      <c r="T50540" s="135"/>
      <c r="U50540" s="135"/>
    </row>
    <row r="50541" spans="20:21" ht="15" customHeight="1" x14ac:dyDescent="0.25">
      <c r="T50541" s="135"/>
      <c r="U50541" s="135"/>
    </row>
    <row r="50542" spans="20:21" ht="15" customHeight="1" x14ac:dyDescent="0.25">
      <c r="T50542" s="135"/>
      <c r="U50542" s="135"/>
    </row>
    <row r="50543" spans="20:21" ht="15" customHeight="1" x14ac:dyDescent="0.25">
      <c r="T50543" s="135"/>
      <c r="U50543" s="135"/>
    </row>
    <row r="50544" spans="20:21" ht="15" customHeight="1" x14ac:dyDescent="0.25">
      <c r="T50544" s="135"/>
      <c r="U50544" s="135"/>
    </row>
    <row r="50545" spans="20:21" ht="15" customHeight="1" x14ac:dyDescent="0.25">
      <c r="T50545" s="135"/>
      <c r="U50545" s="135"/>
    </row>
    <row r="50546" spans="20:21" ht="15" customHeight="1" x14ac:dyDescent="0.25">
      <c r="T50546" s="135"/>
      <c r="U50546" s="135"/>
    </row>
    <row r="50547" spans="20:21" ht="15" customHeight="1" x14ac:dyDescent="0.25">
      <c r="T50547" s="135"/>
      <c r="U50547" s="135"/>
    </row>
    <row r="50548" spans="20:21" ht="15" customHeight="1" x14ac:dyDescent="0.25">
      <c r="T50548" s="135"/>
      <c r="U50548" s="135"/>
    </row>
    <row r="50549" spans="20:21" ht="15" customHeight="1" x14ac:dyDescent="0.25">
      <c r="T50549" s="135"/>
      <c r="U50549" s="135"/>
    </row>
    <row r="50550" spans="20:21" ht="15" customHeight="1" x14ac:dyDescent="0.25">
      <c r="T50550" s="135"/>
      <c r="U50550" s="135"/>
    </row>
    <row r="50551" spans="20:21" ht="15" customHeight="1" x14ac:dyDescent="0.25">
      <c r="T50551" s="135"/>
      <c r="U50551" s="135"/>
    </row>
    <row r="50552" spans="20:21" ht="15" customHeight="1" x14ac:dyDescent="0.25">
      <c r="T50552" s="135"/>
      <c r="U50552" s="135"/>
    </row>
    <row r="50553" spans="20:21" ht="15" customHeight="1" x14ac:dyDescent="0.25">
      <c r="T50553" s="135"/>
      <c r="U50553" s="135"/>
    </row>
    <row r="50554" spans="20:21" ht="15" customHeight="1" x14ac:dyDescent="0.25">
      <c r="T50554" s="135"/>
      <c r="U50554" s="135"/>
    </row>
    <row r="50555" spans="20:21" ht="15" customHeight="1" x14ac:dyDescent="0.25">
      <c r="T50555" s="135"/>
      <c r="U50555" s="135"/>
    </row>
    <row r="50556" spans="20:21" ht="15" customHeight="1" x14ac:dyDescent="0.25">
      <c r="T50556" s="135"/>
      <c r="U50556" s="135"/>
    </row>
    <row r="50557" spans="20:21" ht="15" customHeight="1" x14ac:dyDescent="0.25">
      <c r="T50557" s="135"/>
      <c r="U50557" s="135"/>
    </row>
    <row r="50558" spans="20:21" ht="15" customHeight="1" x14ac:dyDescent="0.25">
      <c r="T50558" s="135"/>
      <c r="U50558" s="135"/>
    </row>
    <row r="50559" spans="20:21" ht="15" customHeight="1" x14ac:dyDescent="0.25">
      <c r="T50559" s="135"/>
      <c r="U50559" s="135"/>
    </row>
    <row r="50560" spans="20:21" ht="15" customHeight="1" x14ac:dyDescent="0.25">
      <c r="T50560" s="135"/>
      <c r="U50560" s="135"/>
    </row>
    <row r="50561" spans="20:21" ht="15" customHeight="1" x14ac:dyDescent="0.25">
      <c r="T50561" s="135"/>
      <c r="U50561" s="135"/>
    </row>
    <row r="50562" spans="20:21" ht="15" customHeight="1" x14ac:dyDescent="0.25">
      <c r="T50562" s="135"/>
      <c r="U50562" s="135"/>
    </row>
    <row r="50563" spans="20:21" ht="15" customHeight="1" x14ac:dyDescent="0.25">
      <c r="T50563" s="135"/>
      <c r="U50563" s="135"/>
    </row>
    <row r="50564" spans="20:21" ht="15" customHeight="1" x14ac:dyDescent="0.25">
      <c r="T50564" s="135"/>
      <c r="U50564" s="135"/>
    </row>
    <row r="50565" spans="20:21" ht="15" customHeight="1" x14ac:dyDescent="0.25">
      <c r="T50565" s="135"/>
      <c r="U50565" s="135"/>
    </row>
    <row r="50566" spans="20:21" ht="15" customHeight="1" x14ac:dyDescent="0.25">
      <c r="T50566" s="135"/>
      <c r="U50566" s="135"/>
    </row>
    <row r="50567" spans="20:21" ht="15" customHeight="1" x14ac:dyDescent="0.25">
      <c r="T50567" s="135"/>
      <c r="U50567" s="135"/>
    </row>
    <row r="50568" spans="20:21" ht="15" customHeight="1" x14ac:dyDescent="0.25">
      <c r="T50568" s="135"/>
      <c r="U50568" s="135"/>
    </row>
    <row r="50569" spans="20:21" ht="15" customHeight="1" x14ac:dyDescent="0.25">
      <c r="T50569" s="135"/>
      <c r="U50569" s="135"/>
    </row>
    <row r="50570" spans="20:21" ht="15" customHeight="1" x14ac:dyDescent="0.25">
      <c r="T50570" s="135"/>
      <c r="U50570" s="135"/>
    </row>
    <row r="50571" spans="20:21" ht="15" customHeight="1" x14ac:dyDescent="0.25">
      <c r="T50571" s="135"/>
      <c r="U50571" s="135"/>
    </row>
    <row r="50572" spans="20:21" ht="15" customHeight="1" x14ac:dyDescent="0.25">
      <c r="T50572" s="135"/>
      <c r="U50572" s="135"/>
    </row>
    <row r="50573" spans="20:21" ht="15" customHeight="1" x14ac:dyDescent="0.25">
      <c r="T50573" s="135"/>
      <c r="U50573" s="135"/>
    </row>
    <row r="50574" spans="20:21" ht="15" customHeight="1" x14ac:dyDescent="0.25">
      <c r="T50574" s="135"/>
      <c r="U50574" s="135"/>
    </row>
    <row r="50575" spans="20:21" ht="15" customHeight="1" x14ac:dyDescent="0.25">
      <c r="T50575" s="135"/>
      <c r="U50575" s="135"/>
    </row>
    <row r="50576" spans="20:21" ht="15" customHeight="1" x14ac:dyDescent="0.25">
      <c r="T50576" s="135"/>
      <c r="U50576" s="135"/>
    </row>
    <row r="50577" spans="20:21" ht="15" customHeight="1" x14ac:dyDescent="0.25">
      <c r="T50577" s="135"/>
      <c r="U50577" s="135"/>
    </row>
    <row r="50578" spans="20:21" ht="15" customHeight="1" x14ac:dyDescent="0.25">
      <c r="T50578" s="135"/>
      <c r="U50578" s="135"/>
    </row>
    <row r="50579" spans="20:21" ht="15" customHeight="1" x14ac:dyDescent="0.25">
      <c r="T50579" s="135"/>
      <c r="U50579" s="135"/>
    </row>
    <row r="50580" spans="20:21" ht="15" customHeight="1" x14ac:dyDescent="0.25">
      <c r="T50580" s="135"/>
      <c r="U50580" s="135"/>
    </row>
    <row r="50581" spans="20:21" ht="15" customHeight="1" x14ac:dyDescent="0.25">
      <c r="T50581" s="135"/>
      <c r="U50581" s="135"/>
    </row>
    <row r="50582" spans="20:21" ht="15" customHeight="1" x14ac:dyDescent="0.25">
      <c r="T50582" s="135"/>
      <c r="U50582" s="135"/>
    </row>
    <row r="50583" spans="20:21" ht="15" customHeight="1" x14ac:dyDescent="0.25">
      <c r="T50583" s="135"/>
      <c r="U50583" s="135"/>
    </row>
    <row r="50584" spans="20:21" ht="15" customHeight="1" x14ac:dyDescent="0.25">
      <c r="T50584" s="135"/>
      <c r="U50584" s="135"/>
    </row>
    <row r="50585" spans="20:21" ht="15" customHeight="1" x14ac:dyDescent="0.25">
      <c r="T50585" s="135"/>
      <c r="U50585" s="135"/>
    </row>
    <row r="50586" spans="20:21" ht="15" customHeight="1" x14ac:dyDescent="0.25">
      <c r="T50586" s="135"/>
      <c r="U50586" s="135"/>
    </row>
    <row r="50587" spans="20:21" ht="15" customHeight="1" x14ac:dyDescent="0.25">
      <c r="T50587" s="135"/>
      <c r="U50587" s="135"/>
    </row>
    <row r="50588" spans="20:21" ht="15" customHeight="1" x14ac:dyDescent="0.25">
      <c r="T50588" s="135"/>
      <c r="U50588" s="135"/>
    </row>
    <row r="50589" spans="20:21" ht="15" customHeight="1" x14ac:dyDescent="0.25">
      <c r="T50589" s="135"/>
      <c r="U50589" s="135"/>
    </row>
    <row r="50590" spans="20:21" ht="15" customHeight="1" x14ac:dyDescent="0.25">
      <c r="T50590" s="135"/>
      <c r="U50590" s="135"/>
    </row>
    <row r="50591" spans="20:21" ht="15" customHeight="1" x14ac:dyDescent="0.25">
      <c r="T50591" s="135"/>
      <c r="U50591" s="135"/>
    </row>
    <row r="50592" spans="20:21" ht="15" customHeight="1" x14ac:dyDescent="0.25">
      <c r="T50592" s="135"/>
      <c r="U50592" s="135"/>
    </row>
    <row r="50593" spans="20:21" ht="15" customHeight="1" x14ac:dyDescent="0.25">
      <c r="T50593" s="135"/>
      <c r="U50593" s="135"/>
    </row>
    <row r="50594" spans="20:21" ht="15" customHeight="1" x14ac:dyDescent="0.25">
      <c r="T50594" s="135"/>
      <c r="U50594" s="135"/>
    </row>
    <row r="50595" spans="20:21" ht="15" customHeight="1" x14ac:dyDescent="0.25">
      <c r="T50595" s="135"/>
      <c r="U50595" s="135"/>
    </row>
    <row r="50596" spans="20:21" ht="15" customHeight="1" x14ac:dyDescent="0.25">
      <c r="T50596" s="135"/>
      <c r="U50596" s="135"/>
    </row>
    <row r="50597" spans="20:21" ht="15" customHeight="1" x14ac:dyDescent="0.25">
      <c r="T50597" s="135"/>
      <c r="U50597" s="135"/>
    </row>
    <row r="50598" spans="20:21" ht="15" customHeight="1" x14ac:dyDescent="0.25">
      <c r="T50598" s="135"/>
      <c r="U50598" s="135"/>
    </row>
    <row r="50599" spans="20:21" ht="15" customHeight="1" x14ac:dyDescent="0.25">
      <c r="T50599" s="135"/>
      <c r="U50599" s="135"/>
    </row>
    <row r="50600" spans="20:21" ht="15" customHeight="1" x14ac:dyDescent="0.25">
      <c r="T50600" s="135"/>
      <c r="U50600" s="135"/>
    </row>
    <row r="50601" spans="20:21" ht="15" customHeight="1" x14ac:dyDescent="0.25">
      <c r="T50601" s="135"/>
      <c r="U50601" s="135"/>
    </row>
    <row r="50602" spans="20:21" ht="15" customHeight="1" x14ac:dyDescent="0.25">
      <c r="T50602" s="135"/>
      <c r="U50602" s="135"/>
    </row>
    <row r="50603" spans="20:21" ht="15" customHeight="1" x14ac:dyDescent="0.25">
      <c r="T50603" s="135"/>
      <c r="U50603" s="135"/>
    </row>
    <row r="50604" spans="20:21" ht="15" customHeight="1" x14ac:dyDescent="0.25">
      <c r="T50604" s="135"/>
      <c r="U50604" s="135"/>
    </row>
    <row r="50605" spans="20:21" ht="15" customHeight="1" x14ac:dyDescent="0.25">
      <c r="T50605" s="135"/>
      <c r="U50605" s="135"/>
    </row>
    <row r="50606" spans="20:21" ht="15" customHeight="1" x14ac:dyDescent="0.25">
      <c r="T50606" s="135"/>
      <c r="U50606" s="135"/>
    </row>
    <row r="50607" spans="20:21" ht="15" customHeight="1" x14ac:dyDescent="0.25">
      <c r="T50607" s="135"/>
      <c r="U50607" s="135"/>
    </row>
    <row r="50608" spans="20:21" ht="15" customHeight="1" x14ac:dyDescent="0.25">
      <c r="T50608" s="135"/>
      <c r="U50608" s="135"/>
    </row>
    <row r="50609" spans="20:21" ht="15" customHeight="1" x14ac:dyDescent="0.25">
      <c r="T50609" s="135"/>
      <c r="U50609" s="135"/>
    </row>
    <row r="50610" spans="20:21" ht="15" customHeight="1" x14ac:dyDescent="0.25">
      <c r="T50610" s="135"/>
      <c r="U50610" s="135"/>
    </row>
    <row r="50611" spans="20:21" ht="15" customHeight="1" x14ac:dyDescent="0.25">
      <c r="T50611" s="135"/>
      <c r="U50611" s="135"/>
    </row>
    <row r="50612" spans="20:21" ht="15" customHeight="1" x14ac:dyDescent="0.25">
      <c r="T50612" s="135"/>
      <c r="U50612" s="135"/>
    </row>
    <row r="50613" spans="20:21" ht="15" customHeight="1" x14ac:dyDescent="0.25">
      <c r="T50613" s="135"/>
      <c r="U50613" s="135"/>
    </row>
    <row r="50614" spans="20:21" ht="15" customHeight="1" x14ac:dyDescent="0.25">
      <c r="T50614" s="135"/>
      <c r="U50614" s="135"/>
    </row>
    <row r="50615" spans="20:21" ht="15" customHeight="1" x14ac:dyDescent="0.25">
      <c r="T50615" s="135"/>
      <c r="U50615" s="135"/>
    </row>
    <row r="50616" spans="20:21" ht="15" customHeight="1" x14ac:dyDescent="0.25">
      <c r="T50616" s="135"/>
      <c r="U50616" s="135"/>
    </row>
    <row r="50617" spans="20:21" ht="15" customHeight="1" x14ac:dyDescent="0.25">
      <c r="T50617" s="135"/>
      <c r="U50617" s="135"/>
    </row>
    <row r="50618" spans="20:21" ht="15" customHeight="1" x14ac:dyDescent="0.25">
      <c r="T50618" s="135"/>
      <c r="U50618" s="135"/>
    </row>
    <row r="50619" spans="20:21" ht="15" customHeight="1" x14ac:dyDescent="0.25">
      <c r="T50619" s="135"/>
      <c r="U50619" s="135"/>
    </row>
    <row r="50620" spans="20:21" ht="15" customHeight="1" x14ac:dyDescent="0.25">
      <c r="T50620" s="135"/>
      <c r="U50620" s="135"/>
    </row>
    <row r="50621" spans="20:21" ht="15" customHeight="1" x14ac:dyDescent="0.25">
      <c r="T50621" s="135"/>
      <c r="U50621" s="135"/>
    </row>
    <row r="50622" spans="20:21" ht="15" customHeight="1" x14ac:dyDescent="0.25">
      <c r="T50622" s="135"/>
      <c r="U50622" s="135"/>
    </row>
    <row r="50623" spans="20:21" ht="15" customHeight="1" x14ac:dyDescent="0.25">
      <c r="T50623" s="135"/>
      <c r="U50623" s="135"/>
    </row>
    <row r="50624" spans="20:21" ht="15" customHeight="1" x14ac:dyDescent="0.25">
      <c r="T50624" s="135"/>
      <c r="U50624" s="135"/>
    </row>
    <row r="50625" spans="20:21" ht="15" customHeight="1" x14ac:dyDescent="0.25">
      <c r="T50625" s="135"/>
      <c r="U50625" s="135"/>
    </row>
    <row r="50626" spans="20:21" ht="15" customHeight="1" x14ac:dyDescent="0.25">
      <c r="T50626" s="135"/>
      <c r="U50626" s="135"/>
    </row>
    <row r="50627" spans="20:21" ht="15" customHeight="1" x14ac:dyDescent="0.25">
      <c r="T50627" s="135"/>
      <c r="U50627" s="135"/>
    </row>
    <row r="50628" spans="20:21" ht="15" customHeight="1" x14ac:dyDescent="0.25">
      <c r="T50628" s="135"/>
      <c r="U50628" s="135"/>
    </row>
    <row r="50629" spans="20:21" ht="15" customHeight="1" x14ac:dyDescent="0.25">
      <c r="T50629" s="135"/>
      <c r="U50629" s="135"/>
    </row>
    <row r="50630" spans="20:21" ht="15" customHeight="1" x14ac:dyDescent="0.25">
      <c r="T50630" s="135"/>
      <c r="U50630" s="135"/>
    </row>
    <row r="50631" spans="20:21" ht="15" customHeight="1" x14ac:dyDescent="0.25">
      <c r="T50631" s="135"/>
      <c r="U50631" s="135"/>
    </row>
    <row r="50632" spans="20:21" ht="15" customHeight="1" x14ac:dyDescent="0.25">
      <c r="T50632" s="135"/>
      <c r="U50632" s="135"/>
    </row>
    <row r="50633" spans="20:21" ht="15" customHeight="1" x14ac:dyDescent="0.25">
      <c r="T50633" s="135"/>
      <c r="U50633" s="135"/>
    </row>
    <row r="50634" spans="20:21" ht="15" customHeight="1" x14ac:dyDescent="0.25">
      <c r="T50634" s="135"/>
      <c r="U50634" s="135"/>
    </row>
    <row r="50635" spans="20:21" ht="15" customHeight="1" x14ac:dyDescent="0.25">
      <c r="T50635" s="135"/>
      <c r="U50635" s="135"/>
    </row>
    <row r="50636" spans="20:21" ht="15" customHeight="1" x14ac:dyDescent="0.25">
      <c r="T50636" s="135"/>
      <c r="U50636" s="135"/>
    </row>
    <row r="50637" spans="20:21" ht="15" customHeight="1" x14ac:dyDescent="0.25">
      <c r="T50637" s="135"/>
      <c r="U50637" s="135"/>
    </row>
    <row r="50638" spans="20:21" ht="15" customHeight="1" x14ac:dyDescent="0.25">
      <c r="T50638" s="135"/>
      <c r="U50638" s="135"/>
    </row>
    <row r="50639" spans="20:21" ht="15" customHeight="1" x14ac:dyDescent="0.25">
      <c r="T50639" s="135"/>
      <c r="U50639" s="135"/>
    </row>
    <row r="50640" spans="20:21" ht="15" customHeight="1" x14ac:dyDescent="0.25">
      <c r="T50640" s="135"/>
      <c r="U50640" s="135"/>
    </row>
    <row r="50641" spans="20:21" ht="15" customHeight="1" x14ac:dyDescent="0.25">
      <c r="T50641" s="135"/>
      <c r="U50641" s="135"/>
    </row>
    <row r="50642" spans="20:21" ht="15" customHeight="1" x14ac:dyDescent="0.25">
      <c r="T50642" s="135"/>
      <c r="U50642" s="135"/>
    </row>
    <row r="50643" spans="20:21" ht="15" customHeight="1" x14ac:dyDescent="0.25">
      <c r="T50643" s="135"/>
      <c r="U50643" s="135"/>
    </row>
    <row r="50644" spans="20:21" ht="15" customHeight="1" x14ac:dyDescent="0.25">
      <c r="T50644" s="135"/>
      <c r="U50644" s="135"/>
    </row>
    <row r="50645" spans="20:21" ht="15" customHeight="1" x14ac:dyDescent="0.25">
      <c r="T50645" s="135"/>
      <c r="U50645" s="135"/>
    </row>
    <row r="50646" spans="20:21" ht="15" customHeight="1" x14ac:dyDescent="0.25">
      <c r="T50646" s="135"/>
      <c r="U50646" s="135"/>
    </row>
    <row r="50647" spans="20:21" ht="15" customHeight="1" x14ac:dyDescent="0.25">
      <c r="T50647" s="135"/>
      <c r="U50647" s="135"/>
    </row>
    <row r="50648" spans="20:21" ht="15" customHeight="1" x14ac:dyDescent="0.25">
      <c r="T50648" s="135"/>
      <c r="U50648" s="135"/>
    </row>
    <row r="50649" spans="20:21" ht="15" customHeight="1" x14ac:dyDescent="0.25">
      <c r="T50649" s="135"/>
      <c r="U50649" s="135"/>
    </row>
    <row r="50650" spans="20:21" ht="15" customHeight="1" x14ac:dyDescent="0.25">
      <c r="T50650" s="135"/>
      <c r="U50650" s="135"/>
    </row>
    <row r="50651" spans="20:21" ht="15" customHeight="1" x14ac:dyDescent="0.25">
      <c r="T50651" s="135"/>
      <c r="U50651" s="135"/>
    </row>
    <row r="50652" spans="20:21" ht="15" customHeight="1" x14ac:dyDescent="0.25">
      <c r="T50652" s="135"/>
      <c r="U50652" s="135"/>
    </row>
    <row r="50653" spans="20:21" ht="15" customHeight="1" x14ac:dyDescent="0.25">
      <c r="T50653" s="135"/>
      <c r="U50653" s="135"/>
    </row>
    <row r="50654" spans="20:21" ht="15" customHeight="1" x14ac:dyDescent="0.25">
      <c r="T50654" s="135"/>
      <c r="U50654" s="135"/>
    </row>
    <row r="50655" spans="20:21" ht="15" customHeight="1" x14ac:dyDescent="0.25">
      <c r="T50655" s="135"/>
      <c r="U50655" s="135"/>
    </row>
    <row r="50656" spans="20:21" ht="15" customHeight="1" x14ac:dyDescent="0.25">
      <c r="T50656" s="135"/>
      <c r="U50656" s="135"/>
    </row>
    <row r="50657" spans="20:21" ht="15" customHeight="1" x14ac:dyDescent="0.25">
      <c r="T50657" s="135"/>
      <c r="U50657" s="135"/>
    </row>
    <row r="50658" spans="20:21" ht="15" customHeight="1" x14ac:dyDescent="0.25">
      <c r="T50658" s="135"/>
      <c r="U50658" s="135"/>
    </row>
    <row r="50659" spans="20:21" ht="15" customHeight="1" x14ac:dyDescent="0.25">
      <c r="T50659" s="135"/>
      <c r="U50659" s="135"/>
    </row>
    <row r="50660" spans="20:21" ht="15" customHeight="1" x14ac:dyDescent="0.25">
      <c r="T50660" s="135"/>
      <c r="U50660" s="135"/>
    </row>
    <row r="50661" spans="20:21" ht="15" customHeight="1" x14ac:dyDescent="0.25">
      <c r="T50661" s="135"/>
      <c r="U50661" s="135"/>
    </row>
    <row r="50662" spans="20:21" ht="15" customHeight="1" x14ac:dyDescent="0.25">
      <c r="T50662" s="135"/>
      <c r="U50662" s="135"/>
    </row>
    <row r="50663" spans="20:21" ht="15" customHeight="1" x14ac:dyDescent="0.25">
      <c r="T50663" s="135"/>
      <c r="U50663" s="135"/>
    </row>
    <row r="50664" spans="20:21" ht="15" customHeight="1" x14ac:dyDescent="0.25">
      <c r="T50664" s="135"/>
      <c r="U50664" s="135"/>
    </row>
    <row r="50665" spans="20:21" ht="15" customHeight="1" x14ac:dyDescent="0.25">
      <c r="T50665" s="135"/>
      <c r="U50665" s="135"/>
    </row>
    <row r="50666" spans="20:21" ht="15" customHeight="1" x14ac:dyDescent="0.25">
      <c r="T50666" s="135"/>
      <c r="U50666" s="135"/>
    </row>
    <row r="50667" spans="20:21" ht="15" customHeight="1" x14ac:dyDescent="0.25">
      <c r="T50667" s="135"/>
      <c r="U50667" s="135"/>
    </row>
    <row r="50668" spans="20:21" ht="15" customHeight="1" x14ac:dyDescent="0.25">
      <c r="T50668" s="135"/>
      <c r="U50668" s="135"/>
    </row>
    <row r="50669" spans="20:21" ht="15" customHeight="1" x14ac:dyDescent="0.25">
      <c r="T50669" s="135"/>
      <c r="U50669" s="135"/>
    </row>
    <row r="50670" spans="20:21" ht="15" customHeight="1" x14ac:dyDescent="0.25">
      <c r="T50670" s="135"/>
      <c r="U50670" s="135"/>
    </row>
    <row r="50671" spans="20:21" ht="15" customHeight="1" x14ac:dyDescent="0.25">
      <c r="T50671" s="135"/>
      <c r="U50671" s="135"/>
    </row>
    <row r="50672" spans="20:21" ht="15" customHeight="1" x14ac:dyDescent="0.25">
      <c r="T50672" s="135"/>
      <c r="U50672" s="135"/>
    </row>
    <row r="50673" spans="20:21" ht="15" customHeight="1" x14ac:dyDescent="0.25">
      <c r="T50673" s="135"/>
      <c r="U50673" s="135"/>
    </row>
    <row r="50674" spans="20:21" ht="15" customHeight="1" x14ac:dyDescent="0.25">
      <c r="T50674" s="135"/>
      <c r="U50674" s="135"/>
    </row>
    <row r="50675" spans="20:21" ht="15" customHeight="1" x14ac:dyDescent="0.25">
      <c r="T50675" s="135"/>
      <c r="U50675" s="135"/>
    </row>
    <row r="50676" spans="20:21" ht="15" customHeight="1" x14ac:dyDescent="0.25">
      <c r="T50676" s="135"/>
      <c r="U50676" s="135"/>
    </row>
    <row r="50677" spans="20:21" ht="15" customHeight="1" x14ac:dyDescent="0.25">
      <c r="T50677" s="135"/>
      <c r="U50677" s="135"/>
    </row>
    <row r="50678" spans="20:21" ht="15" customHeight="1" x14ac:dyDescent="0.25">
      <c r="T50678" s="135"/>
      <c r="U50678" s="135"/>
    </row>
    <row r="50679" spans="20:21" ht="15" customHeight="1" x14ac:dyDescent="0.25">
      <c r="T50679" s="135"/>
      <c r="U50679" s="135"/>
    </row>
    <row r="50680" spans="20:21" ht="15" customHeight="1" x14ac:dyDescent="0.25">
      <c r="T50680" s="135"/>
      <c r="U50680" s="135"/>
    </row>
    <row r="50681" spans="20:21" ht="15" customHeight="1" x14ac:dyDescent="0.25">
      <c r="T50681" s="135"/>
      <c r="U50681" s="135"/>
    </row>
    <row r="50682" spans="20:21" ht="15" customHeight="1" x14ac:dyDescent="0.25">
      <c r="T50682" s="135"/>
      <c r="U50682" s="135"/>
    </row>
    <row r="50683" spans="20:21" ht="15" customHeight="1" x14ac:dyDescent="0.25">
      <c r="T50683" s="135"/>
      <c r="U50683" s="135"/>
    </row>
    <row r="50684" spans="20:21" ht="15" customHeight="1" x14ac:dyDescent="0.25">
      <c r="T50684" s="135"/>
      <c r="U50684" s="135"/>
    </row>
    <row r="50685" spans="20:21" ht="15" customHeight="1" x14ac:dyDescent="0.25">
      <c r="T50685" s="135"/>
      <c r="U50685" s="135"/>
    </row>
    <row r="50686" spans="20:21" ht="15" customHeight="1" x14ac:dyDescent="0.25">
      <c r="T50686" s="135"/>
      <c r="U50686" s="135"/>
    </row>
    <row r="50687" spans="20:21" ht="15" customHeight="1" x14ac:dyDescent="0.25">
      <c r="T50687" s="135"/>
      <c r="U50687" s="135"/>
    </row>
    <row r="50688" spans="20:21" ht="15" customHeight="1" x14ac:dyDescent="0.25">
      <c r="T50688" s="135"/>
      <c r="U50688" s="135"/>
    </row>
    <row r="50689" spans="20:21" ht="15" customHeight="1" x14ac:dyDescent="0.25">
      <c r="T50689" s="135"/>
      <c r="U50689" s="135"/>
    </row>
    <row r="50690" spans="20:21" ht="15" customHeight="1" x14ac:dyDescent="0.25">
      <c r="T50690" s="135"/>
      <c r="U50690" s="135"/>
    </row>
    <row r="50691" spans="20:21" ht="15" customHeight="1" x14ac:dyDescent="0.25">
      <c r="T50691" s="135"/>
      <c r="U50691" s="135"/>
    </row>
    <row r="50692" spans="20:21" ht="15" customHeight="1" x14ac:dyDescent="0.25">
      <c r="T50692" s="135"/>
      <c r="U50692" s="135"/>
    </row>
    <row r="50693" spans="20:21" ht="15" customHeight="1" x14ac:dyDescent="0.25">
      <c r="T50693" s="135"/>
      <c r="U50693" s="135"/>
    </row>
    <row r="50694" spans="20:21" ht="15" customHeight="1" x14ac:dyDescent="0.25">
      <c r="T50694" s="135"/>
      <c r="U50694" s="135"/>
    </row>
    <row r="50695" spans="20:21" ht="15" customHeight="1" x14ac:dyDescent="0.25">
      <c r="T50695" s="135"/>
      <c r="U50695" s="135"/>
    </row>
    <row r="50696" spans="20:21" ht="15" customHeight="1" x14ac:dyDescent="0.25">
      <c r="T50696" s="135"/>
      <c r="U50696" s="135"/>
    </row>
    <row r="50697" spans="20:21" ht="15" customHeight="1" x14ac:dyDescent="0.25">
      <c r="T50697" s="135"/>
      <c r="U50697" s="135"/>
    </row>
    <row r="50698" spans="20:21" ht="15" customHeight="1" x14ac:dyDescent="0.25">
      <c r="T50698" s="135"/>
      <c r="U50698" s="135"/>
    </row>
    <row r="50699" spans="20:21" ht="15" customHeight="1" x14ac:dyDescent="0.25">
      <c r="T50699" s="135"/>
      <c r="U50699" s="135"/>
    </row>
    <row r="50700" spans="20:21" ht="15" customHeight="1" x14ac:dyDescent="0.25">
      <c r="T50700" s="135"/>
      <c r="U50700" s="135"/>
    </row>
    <row r="50701" spans="20:21" ht="15" customHeight="1" x14ac:dyDescent="0.25">
      <c r="T50701" s="135"/>
      <c r="U50701" s="135"/>
    </row>
    <row r="50702" spans="20:21" ht="15" customHeight="1" x14ac:dyDescent="0.25">
      <c r="T50702" s="135"/>
      <c r="U50702" s="135"/>
    </row>
    <row r="50703" spans="20:21" ht="15" customHeight="1" x14ac:dyDescent="0.25">
      <c r="T50703" s="135"/>
      <c r="U50703" s="135"/>
    </row>
    <row r="50704" spans="20:21" ht="15" customHeight="1" x14ac:dyDescent="0.25">
      <c r="T50704" s="135"/>
      <c r="U50704" s="135"/>
    </row>
    <row r="50705" spans="20:21" ht="15" customHeight="1" x14ac:dyDescent="0.25">
      <c r="T50705" s="135"/>
      <c r="U50705" s="135"/>
    </row>
    <row r="50706" spans="20:21" ht="15" customHeight="1" x14ac:dyDescent="0.25">
      <c r="T50706" s="135"/>
      <c r="U50706" s="135"/>
    </row>
    <row r="50707" spans="20:21" ht="15" customHeight="1" x14ac:dyDescent="0.25">
      <c r="T50707" s="135"/>
      <c r="U50707" s="135"/>
    </row>
    <row r="50708" spans="20:21" ht="15" customHeight="1" x14ac:dyDescent="0.25">
      <c r="T50708" s="135"/>
      <c r="U50708" s="135"/>
    </row>
    <row r="50709" spans="20:21" ht="15" customHeight="1" x14ac:dyDescent="0.25">
      <c r="T50709" s="135"/>
      <c r="U50709" s="135"/>
    </row>
    <row r="50710" spans="20:21" ht="15" customHeight="1" x14ac:dyDescent="0.25">
      <c r="T50710" s="135"/>
      <c r="U50710" s="135"/>
    </row>
    <row r="50711" spans="20:21" ht="15" customHeight="1" x14ac:dyDescent="0.25">
      <c r="T50711" s="135"/>
      <c r="U50711" s="135"/>
    </row>
    <row r="50712" spans="20:21" ht="15" customHeight="1" x14ac:dyDescent="0.25">
      <c r="T50712" s="135"/>
      <c r="U50712" s="135"/>
    </row>
    <row r="50713" spans="20:21" ht="15" customHeight="1" x14ac:dyDescent="0.25">
      <c r="T50713" s="135"/>
      <c r="U50713" s="135"/>
    </row>
    <row r="50714" spans="20:21" ht="15" customHeight="1" x14ac:dyDescent="0.25">
      <c r="T50714" s="135"/>
      <c r="U50714" s="135"/>
    </row>
    <row r="50715" spans="20:21" ht="15" customHeight="1" x14ac:dyDescent="0.25">
      <c r="T50715" s="135"/>
      <c r="U50715" s="135"/>
    </row>
    <row r="50716" spans="20:21" ht="15" customHeight="1" x14ac:dyDescent="0.25">
      <c r="T50716" s="135"/>
      <c r="U50716" s="135"/>
    </row>
    <row r="50717" spans="20:21" ht="15" customHeight="1" x14ac:dyDescent="0.25">
      <c r="T50717" s="135"/>
      <c r="U50717" s="135"/>
    </row>
    <row r="50718" spans="20:21" ht="15" customHeight="1" x14ac:dyDescent="0.25">
      <c r="T50718" s="135"/>
      <c r="U50718" s="135"/>
    </row>
    <row r="50719" spans="20:21" ht="15" customHeight="1" x14ac:dyDescent="0.25">
      <c r="T50719" s="135"/>
      <c r="U50719" s="135"/>
    </row>
    <row r="50720" spans="20:21" ht="15" customHeight="1" x14ac:dyDescent="0.25">
      <c r="T50720" s="135"/>
      <c r="U50720" s="135"/>
    </row>
    <row r="50721" spans="20:21" ht="15" customHeight="1" x14ac:dyDescent="0.25">
      <c r="T50721" s="135"/>
      <c r="U50721" s="135"/>
    </row>
    <row r="50722" spans="20:21" ht="15" customHeight="1" x14ac:dyDescent="0.25">
      <c r="T50722" s="135"/>
      <c r="U50722" s="135"/>
    </row>
    <row r="50723" spans="20:21" ht="15" customHeight="1" x14ac:dyDescent="0.25">
      <c r="T50723" s="135"/>
      <c r="U50723" s="135"/>
    </row>
    <row r="50724" spans="20:21" ht="15" customHeight="1" x14ac:dyDescent="0.25">
      <c r="T50724" s="135"/>
      <c r="U50724" s="135"/>
    </row>
    <row r="50725" spans="20:21" ht="15" customHeight="1" x14ac:dyDescent="0.25">
      <c r="T50725" s="135"/>
      <c r="U50725" s="135"/>
    </row>
    <row r="50726" spans="20:21" ht="15" customHeight="1" x14ac:dyDescent="0.25">
      <c r="T50726" s="135"/>
      <c r="U50726" s="135"/>
    </row>
    <row r="50727" spans="20:21" ht="15" customHeight="1" x14ac:dyDescent="0.25">
      <c r="T50727" s="135"/>
      <c r="U50727" s="135"/>
    </row>
    <row r="50728" spans="20:21" ht="15" customHeight="1" x14ac:dyDescent="0.25">
      <c r="T50728" s="135"/>
      <c r="U50728" s="135"/>
    </row>
    <row r="50729" spans="20:21" ht="15" customHeight="1" x14ac:dyDescent="0.25">
      <c r="T50729" s="135"/>
      <c r="U50729" s="135"/>
    </row>
    <row r="50730" spans="20:21" ht="15" customHeight="1" x14ac:dyDescent="0.25">
      <c r="T50730" s="135"/>
      <c r="U50730" s="135"/>
    </row>
    <row r="50731" spans="20:21" ht="15" customHeight="1" x14ac:dyDescent="0.25">
      <c r="T50731" s="135"/>
      <c r="U50731" s="135"/>
    </row>
    <row r="50732" spans="20:21" ht="15" customHeight="1" x14ac:dyDescent="0.25">
      <c r="T50732" s="135"/>
      <c r="U50732" s="135"/>
    </row>
    <row r="50733" spans="20:21" ht="15" customHeight="1" x14ac:dyDescent="0.25">
      <c r="T50733" s="135"/>
      <c r="U50733" s="135"/>
    </row>
    <row r="50734" spans="20:21" ht="15" customHeight="1" x14ac:dyDescent="0.25">
      <c r="T50734" s="135"/>
      <c r="U50734" s="135"/>
    </row>
    <row r="50735" spans="20:21" ht="15" customHeight="1" x14ac:dyDescent="0.25">
      <c r="T50735" s="135"/>
      <c r="U50735" s="135"/>
    </row>
    <row r="50736" spans="20:21" ht="15" customHeight="1" x14ac:dyDescent="0.25">
      <c r="T50736" s="135"/>
      <c r="U50736" s="135"/>
    </row>
    <row r="50737" spans="20:21" ht="15" customHeight="1" x14ac:dyDescent="0.25">
      <c r="T50737" s="135"/>
      <c r="U50737" s="135"/>
    </row>
    <row r="50738" spans="20:21" ht="15" customHeight="1" x14ac:dyDescent="0.25">
      <c r="T50738" s="135"/>
      <c r="U50738" s="135"/>
    </row>
    <row r="50739" spans="20:21" ht="15" customHeight="1" x14ac:dyDescent="0.25">
      <c r="T50739" s="135"/>
      <c r="U50739" s="135"/>
    </row>
    <row r="50740" spans="20:21" ht="15" customHeight="1" x14ac:dyDescent="0.25">
      <c r="T50740" s="135"/>
      <c r="U50740" s="135"/>
    </row>
    <row r="50741" spans="20:21" ht="15" customHeight="1" x14ac:dyDescent="0.25">
      <c r="T50741" s="135"/>
      <c r="U50741" s="135"/>
    </row>
    <row r="50742" spans="20:21" ht="15" customHeight="1" x14ac:dyDescent="0.25">
      <c r="T50742" s="135"/>
      <c r="U50742" s="135"/>
    </row>
    <row r="50743" spans="20:21" ht="15" customHeight="1" x14ac:dyDescent="0.25">
      <c r="T50743" s="135"/>
      <c r="U50743" s="135"/>
    </row>
    <row r="50744" spans="20:21" ht="15" customHeight="1" x14ac:dyDescent="0.25">
      <c r="T50744" s="135"/>
      <c r="U50744" s="135"/>
    </row>
    <row r="50745" spans="20:21" ht="15" customHeight="1" x14ac:dyDescent="0.25">
      <c r="T50745" s="135"/>
      <c r="U50745" s="135"/>
    </row>
    <row r="50746" spans="20:21" ht="15" customHeight="1" x14ac:dyDescent="0.25">
      <c r="T50746" s="135"/>
      <c r="U50746" s="135"/>
    </row>
    <row r="50747" spans="20:21" ht="15" customHeight="1" x14ac:dyDescent="0.25">
      <c r="T50747" s="135"/>
      <c r="U50747" s="135"/>
    </row>
    <row r="50748" spans="20:21" ht="15" customHeight="1" x14ac:dyDescent="0.25">
      <c r="T50748" s="135"/>
      <c r="U50748" s="135"/>
    </row>
    <row r="50749" spans="20:21" ht="15" customHeight="1" x14ac:dyDescent="0.25">
      <c r="T50749" s="135"/>
      <c r="U50749" s="135"/>
    </row>
    <row r="50750" spans="20:21" ht="15" customHeight="1" x14ac:dyDescent="0.25">
      <c r="T50750" s="135"/>
      <c r="U50750" s="135"/>
    </row>
    <row r="50751" spans="20:21" ht="15" customHeight="1" x14ac:dyDescent="0.25">
      <c r="T50751" s="135"/>
      <c r="U50751" s="135"/>
    </row>
    <row r="50752" spans="20:21" ht="15" customHeight="1" x14ac:dyDescent="0.25">
      <c r="T50752" s="135"/>
      <c r="U50752" s="135"/>
    </row>
    <row r="50753" spans="20:21" ht="15" customHeight="1" x14ac:dyDescent="0.25">
      <c r="T50753" s="135"/>
      <c r="U50753" s="135"/>
    </row>
    <row r="50754" spans="20:21" ht="15" customHeight="1" x14ac:dyDescent="0.25">
      <c r="T50754" s="135"/>
      <c r="U50754" s="135"/>
    </row>
    <row r="50755" spans="20:21" ht="15" customHeight="1" x14ac:dyDescent="0.25">
      <c r="T50755" s="135"/>
      <c r="U50755" s="135"/>
    </row>
    <row r="50756" spans="20:21" ht="15" customHeight="1" x14ac:dyDescent="0.25">
      <c r="T50756" s="135"/>
      <c r="U50756" s="135"/>
    </row>
    <row r="50757" spans="20:21" ht="15" customHeight="1" x14ac:dyDescent="0.25">
      <c r="T50757" s="135"/>
      <c r="U50757" s="135"/>
    </row>
    <row r="50758" spans="20:21" ht="15" customHeight="1" x14ac:dyDescent="0.25">
      <c r="T50758" s="135"/>
      <c r="U50758" s="135"/>
    </row>
    <row r="50759" spans="20:21" ht="15" customHeight="1" x14ac:dyDescent="0.25">
      <c r="T50759" s="135"/>
      <c r="U50759" s="135"/>
    </row>
    <row r="50760" spans="20:21" ht="15" customHeight="1" x14ac:dyDescent="0.25">
      <c r="T50760" s="135"/>
      <c r="U50760" s="135"/>
    </row>
    <row r="50761" spans="20:21" ht="15" customHeight="1" x14ac:dyDescent="0.25">
      <c r="T50761" s="135"/>
      <c r="U50761" s="135"/>
    </row>
    <row r="50762" spans="20:21" ht="15" customHeight="1" x14ac:dyDescent="0.25">
      <c r="T50762" s="135"/>
      <c r="U50762" s="135"/>
    </row>
    <row r="50763" spans="20:21" ht="15" customHeight="1" x14ac:dyDescent="0.25">
      <c r="T50763" s="135"/>
      <c r="U50763" s="135"/>
    </row>
    <row r="50764" spans="20:21" ht="15" customHeight="1" x14ac:dyDescent="0.25">
      <c r="T50764" s="135"/>
      <c r="U50764" s="135"/>
    </row>
    <row r="50765" spans="20:21" ht="15" customHeight="1" x14ac:dyDescent="0.25">
      <c r="T50765" s="135"/>
      <c r="U50765" s="135"/>
    </row>
    <row r="50766" spans="20:21" ht="15" customHeight="1" x14ac:dyDescent="0.25">
      <c r="T50766" s="135"/>
      <c r="U50766" s="135"/>
    </row>
    <row r="50767" spans="20:21" ht="15" customHeight="1" x14ac:dyDescent="0.25">
      <c r="T50767" s="135"/>
      <c r="U50767" s="135"/>
    </row>
    <row r="50768" spans="20:21" ht="15" customHeight="1" x14ac:dyDescent="0.25">
      <c r="T50768" s="135"/>
      <c r="U50768" s="135"/>
    </row>
    <row r="50769" spans="20:21" ht="15" customHeight="1" x14ac:dyDescent="0.25">
      <c r="T50769" s="135"/>
      <c r="U50769" s="135"/>
    </row>
    <row r="50770" spans="20:21" ht="15" customHeight="1" x14ac:dyDescent="0.25">
      <c r="T50770" s="135"/>
      <c r="U50770" s="135"/>
    </row>
    <row r="50771" spans="20:21" ht="15" customHeight="1" x14ac:dyDescent="0.25">
      <c r="T50771" s="135"/>
      <c r="U50771" s="135"/>
    </row>
    <row r="50772" spans="20:21" ht="15" customHeight="1" x14ac:dyDescent="0.25">
      <c r="T50772" s="135"/>
      <c r="U50772" s="135"/>
    </row>
    <row r="50773" spans="20:21" ht="15" customHeight="1" x14ac:dyDescent="0.25">
      <c r="T50773" s="135"/>
      <c r="U50773" s="135"/>
    </row>
    <row r="50774" spans="20:21" ht="15" customHeight="1" x14ac:dyDescent="0.25">
      <c r="T50774" s="135"/>
      <c r="U50774" s="135"/>
    </row>
    <row r="50775" spans="20:21" ht="15" customHeight="1" x14ac:dyDescent="0.25">
      <c r="T50775" s="135"/>
      <c r="U50775" s="135"/>
    </row>
    <row r="50776" spans="20:21" ht="15" customHeight="1" x14ac:dyDescent="0.25">
      <c r="T50776" s="135"/>
      <c r="U50776" s="135"/>
    </row>
    <row r="50777" spans="20:21" ht="15" customHeight="1" x14ac:dyDescent="0.25">
      <c r="T50777" s="135"/>
      <c r="U50777" s="135"/>
    </row>
    <row r="50778" spans="20:21" ht="15" customHeight="1" x14ac:dyDescent="0.25">
      <c r="T50778" s="135"/>
      <c r="U50778" s="135"/>
    </row>
    <row r="50779" spans="20:21" ht="15" customHeight="1" x14ac:dyDescent="0.25">
      <c r="T50779" s="135"/>
      <c r="U50779" s="135"/>
    </row>
    <row r="50780" spans="20:21" ht="15" customHeight="1" x14ac:dyDescent="0.25">
      <c r="T50780" s="135"/>
      <c r="U50780" s="135"/>
    </row>
    <row r="50781" spans="20:21" ht="15" customHeight="1" x14ac:dyDescent="0.25">
      <c r="T50781" s="135"/>
      <c r="U50781" s="135"/>
    </row>
    <row r="50782" spans="20:21" ht="15" customHeight="1" x14ac:dyDescent="0.25">
      <c r="T50782" s="135"/>
      <c r="U50782" s="135"/>
    </row>
    <row r="50783" spans="20:21" ht="15" customHeight="1" x14ac:dyDescent="0.25">
      <c r="T50783" s="135"/>
      <c r="U50783" s="135"/>
    </row>
    <row r="50784" spans="20:21" ht="15" customHeight="1" x14ac:dyDescent="0.25">
      <c r="T50784" s="135"/>
      <c r="U50784" s="135"/>
    </row>
    <row r="50785" spans="20:21" ht="15" customHeight="1" x14ac:dyDescent="0.25">
      <c r="T50785" s="135"/>
      <c r="U50785" s="135"/>
    </row>
    <row r="50786" spans="20:21" ht="15" customHeight="1" x14ac:dyDescent="0.25">
      <c r="T50786" s="135"/>
      <c r="U50786" s="135"/>
    </row>
    <row r="50787" spans="20:21" ht="15" customHeight="1" x14ac:dyDescent="0.25">
      <c r="T50787" s="135"/>
      <c r="U50787" s="135"/>
    </row>
    <row r="50788" spans="20:21" ht="15" customHeight="1" x14ac:dyDescent="0.25">
      <c r="T50788" s="135"/>
      <c r="U50788" s="135"/>
    </row>
    <row r="50789" spans="20:21" ht="15" customHeight="1" x14ac:dyDescent="0.25">
      <c r="T50789" s="135"/>
      <c r="U50789" s="135"/>
    </row>
    <row r="50790" spans="20:21" ht="15" customHeight="1" x14ac:dyDescent="0.25">
      <c r="T50790" s="135"/>
      <c r="U50790" s="135"/>
    </row>
    <row r="50791" spans="20:21" ht="15" customHeight="1" x14ac:dyDescent="0.25">
      <c r="T50791" s="135"/>
      <c r="U50791" s="135"/>
    </row>
    <row r="50792" spans="20:21" ht="15" customHeight="1" x14ac:dyDescent="0.25">
      <c r="T50792" s="135"/>
      <c r="U50792" s="135"/>
    </row>
    <row r="50793" spans="20:21" ht="15" customHeight="1" x14ac:dyDescent="0.25">
      <c r="T50793" s="135"/>
      <c r="U50793" s="135"/>
    </row>
    <row r="50794" spans="20:21" ht="15" customHeight="1" x14ac:dyDescent="0.25">
      <c r="T50794" s="135"/>
      <c r="U50794" s="135"/>
    </row>
    <row r="50795" spans="20:21" ht="15" customHeight="1" x14ac:dyDescent="0.25">
      <c r="T50795" s="135"/>
      <c r="U50795" s="135"/>
    </row>
    <row r="50796" spans="20:21" ht="15" customHeight="1" x14ac:dyDescent="0.25">
      <c r="T50796" s="135"/>
      <c r="U50796" s="135"/>
    </row>
    <row r="50797" spans="20:21" ht="15" customHeight="1" x14ac:dyDescent="0.25">
      <c r="T50797" s="135"/>
      <c r="U50797" s="135"/>
    </row>
    <row r="50798" spans="20:21" ht="15" customHeight="1" x14ac:dyDescent="0.25">
      <c r="T50798" s="135"/>
      <c r="U50798" s="135"/>
    </row>
    <row r="50799" spans="20:21" ht="15" customHeight="1" x14ac:dyDescent="0.25">
      <c r="T50799" s="135"/>
      <c r="U50799" s="135"/>
    </row>
    <row r="50800" spans="20:21" ht="15" customHeight="1" x14ac:dyDescent="0.25">
      <c r="T50800" s="135"/>
      <c r="U50800" s="135"/>
    </row>
    <row r="50801" spans="20:21" ht="15" customHeight="1" x14ac:dyDescent="0.25">
      <c r="T50801" s="135"/>
      <c r="U50801" s="135"/>
    </row>
    <row r="50802" spans="20:21" ht="15" customHeight="1" x14ac:dyDescent="0.25">
      <c r="T50802" s="135"/>
      <c r="U50802" s="135"/>
    </row>
    <row r="50803" spans="20:21" ht="15" customHeight="1" x14ac:dyDescent="0.25">
      <c r="T50803" s="135"/>
      <c r="U50803" s="135"/>
    </row>
    <row r="50804" spans="20:21" ht="15" customHeight="1" x14ac:dyDescent="0.25">
      <c r="T50804" s="135"/>
      <c r="U50804" s="135"/>
    </row>
    <row r="50805" spans="20:21" ht="15" customHeight="1" x14ac:dyDescent="0.25">
      <c r="T50805" s="135"/>
      <c r="U50805" s="135"/>
    </row>
    <row r="50806" spans="20:21" ht="15" customHeight="1" x14ac:dyDescent="0.25">
      <c r="T50806" s="135"/>
      <c r="U50806" s="135"/>
    </row>
    <row r="50807" spans="20:21" ht="15" customHeight="1" x14ac:dyDescent="0.25">
      <c r="T50807" s="135"/>
      <c r="U50807" s="135"/>
    </row>
    <row r="50808" spans="20:21" ht="15" customHeight="1" x14ac:dyDescent="0.25">
      <c r="T50808" s="135"/>
      <c r="U50808" s="135"/>
    </row>
    <row r="50809" spans="20:21" ht="15" customHeight="1" x14ac:dyDescent="0.25">
      <c r="T50809" s="135"/>
      <c r="U50809" s="135"/>
    </row>
    <row r="50810" spans="20:21" ht="15" customHeight="1" x14ac:dyDescent="0.25">
      <c r="T50810" s="135"/>
      <c r="U50810" s="135"/>
    </row>
    <row r="50811" spans="20:21" ht="15" customHeight="1" x14ac:dyDescent="0.25">
      <c r="T50811" s="135"/>
      <c r="U50811" s="135"/>
    </row>
    <row r="50812" spans="20:21" ht="15" customHeight="1" x14ac:dyDescent="0.25">
      <c r="T50812" s="135"/>
      <c r="U50812" s="135"/>
    </row>
    <row r="50813" spans="20:21" ht="15" customHeight="1" x14ac:dyDescent="0.25">
      <c r="T50813" s="135"/>
      <c r="U50813" s="135"/>
    </row>
    <row r="50814" spans="20:21" ht="15" customHeight="1" x14ac:dyDescent="0.25">
      <c r="T50814" s="135"/>
      <c r="U50814" s="135"/>
    </row>
    <row r="50815" spans="20:21" ht="15" customHeight="1" x14ac:dyDescent="0.25">
      <c r="T50815" s="135"/>
      <c r="U50815" s="135"/>
    </row>
    <row r="50816" spans="20:21" ht="15" customHeight="1" x14ac:dyDescent="0.25">
      <c r="T50816" s="135"/>
      <c r="U50816" s="135"/>
    </row>
    <row r="50817" spans="20:21" ht="15" customHeight="1" x14ac:dyDescent="0.25">
      <c r="T50817" s="135"/>
      <c r="U50817" s="135"/>
    </row>
    <row r="50818" spans="20:21" ht="15" customHeight="1" x14ac:dyDescent="0.25">
      <c r="T50818" s="135"/>
      <c r="U50818" s="135"/>
    </row>
    <row r="50819" spans="20:21" ht="15" customHeight="1" x14ac:dyDescent="0.25">
      <c r="T50819" s="135"/>
      <c r="U50819" s="135"/>
    </row>
    <row r="50820" spans="20:21" ht="15" customHeight="1" x14ac:dyDescent="0.25">
      <c r="T50820" s="135"/>
      <c r="U50820" s="135"/>
    </row>
    <row r="50821" spans="20:21" ht="15" customHeight="1" x14ac:dyDescent="0.25">
      <c r="T50821" s="135"/>
      <c r="U50821" s="135"/>
    </row>
    <row r="50822" spans="20:21" ht="15" customHeight="1" x14ac:dyDescent="0.25">
      <c r="T50822" s="135"/>
      <c r="U50822" s="135"/>
    </row>
    <row r="50823" spans="20:21" ht="15" customHeight="1" x14ac:dyDescent="0.25">
      <c r="T50823" s="135"/>
      <c r="U50823" s="135"/>
    </row>
    <row r="50824" spans="20:21" ht="15" customHeight="1" x14ac:dyDescent="0.25">
      <c r="T50824" s="135"/>
      <c r="U50824" s="135"/>
    </row>
    <row r="50825" spans="20:21" ht="15" customHeight="1" x14ac:dyDescent="0.25">
      <c r="T50825" s="135"/>
      <c r="U50825" s="135"/>
    </row>
    <row r="50826" spans="20:21" ht="15" customHeight="1" x14ac:dyDescent="0.25">
      <c r="T50826" s="135"/>
      <c r="U50826" s="135"/>
    </row>
    <row r="50827" spans="20:21" ht="15" customHeight="1" x14ac:dyDescent="0.25">
      <c r="T50827" s="135"/>
      <c r="U50827" s="135"/>
    </row>
    <row r="50828" spans="20:21" ht="15" customHeight="1" x14ac:dyDescent="0.25">
      <c r="T50828" s="135"/>
      <c r="U50828" s="135"/>
    </row>
    <row r="50829" spans="20:21" ht="15" customHeight="1" x14ac:dyDescent="0.25">
      <c r="T50829" s="135"/>
      <c r="U50829" s="135"/>
    </row>
    <row r="50830" spans="20:21" ht="15" customHeight="1" x14ac:dyDescent="0.25">
      <c r="T50830" s="135"/>
      <c r="U50830" s="135"/>
    </row>
    <row r="50831" spans="20:21" ht="15" customHeight="1" x14ac:dyDescent="0.25">
      <c r="T50831" s="135"/>
      <c r="U50831" s="135"/>
    </row>
    <row r="50832" spans="20:21" ht="15" customHeight="1" x14ac:dyDescent="0.25">
      <c r="T50832" s="135"/>
      <c r="U50832" s="135"/>
    </row>
    <row r="50833" spans="20:21" ht="15" customHeight="1" x14ac:dyDescent="0.25">
      <c r="T50833" s="135"/>
      <c r="U50833" s="135"/>
    </row>
    <row r="50834" spans="20:21" ht="15" customHeight="1" x14ac:dyDescent="0.25">
      <c r="T50834" s="135"/>
      <c r="U50834" s="135"/>
    </row>
    <row r="50835" spans="20:21" ht="15" customHeight="1" x14ac:dyDescent="0.25">
      <c r="T50835" s="135"/>
      <c r="U50835" s="135"/>
    </row>
    <row r="50836" spans="20:21" ht="15" customHeight="1" x14ac:dyDescent="0.25">
      <c r="T50836" s="135"/>
      <c r="U50836" s="135"/>
    </row>
    <row r="50837" spans="20:21" ht="15" customHeight="1" x14ac:dyDescent="0.25">
      <c r="T50837" s="135"/>
      <c r="U50837" s="135"/>
    </row>
    <row r="50838" spans="20:21" ht="15" customHeight="1" x14ac:dyDescent="0.25">
      <c r="T50838" s="135"/>
      <c r="U50838" s="135"/>
    </row>
    <row r="50839" spans="20:21" ht="15" customHeight="1" x14ac:dyDescent="0.25">
      <c r="T50839" s="135"/>
      <c r="U50839" s="135"/>
    </row>
    <row r="50840" spans="20:21" ht="15" customHeight="1" x14ac:dyDescent="0.25">
      <c r="T50840" s="135"/>
      <c r="U50840" s="135"/>
    </row>
    <row r="50841" spans="20:21" ht="15" customHeight="1" x14ac:dyDescent="0.25">
      <c r="T50841" s="135"/>
      <c r="U50841" s="135"/>
    </row>
    <row r="50842" spans="20:21" ht="15" customHeight="1" x14ac:dyDescent="0.25">
      <c r="T50842" s="135"/>
      <c r="U50842" s="135"/>
    </row>
    <row r="50843" spans="20:21" ht="15" customHeight="1" x14ac:dyDescent="0.25">
      <c r="T50843" s="135"/>
      <c r="U50843" s="135"/>
    </row>
    <row r="50844" spans="20:21" ht="15" customHeight="1" x14ac:dyDescent="0.25">
      <c r="T50844" s="135"/>
      <c r="U50844" s="135"/>
    </row>
    <row r="50845" spans="20:21" ht="15" customHeight="1" x14ac:dyDescent="0.25">
      <c r="T50845" s="135"/>
      <c r="U50845" s="135"/>
    </row>
    <row r="50846" spans="20:21" ht="15" customHeight="1" x14ac:dyDescent="0.25">
      <c r="T50846" s="135"/>
      <c r="U50846" s="135"/>
    </row>
    <row r="50847" spans="20:21" ht="15" customHeight="1" x14ac:dyDescent="0.25">
      <c r="T50847" s="135"/>
      <c r="U50847" s="135"/>
    </row>
    <row r="50848" spans="20:21" ht="15" customHeight="1" x14ac:dyDescent="0.25">
      <c r="T50848" s="135"/>
      <c r="U50848" s="135"/>
    </row>
    <row r="50849" spans="20:21" ht="15" customHeight="1" x14ac:dyDescent="0.25">
      <c r="T50849" s="135"/>
      <c r="U50849" s="135"/>
    </row>
    <row r="50850" spans="20:21" ht="15" customHeight="1" x14ac:dyDescent="0.25">
      <c r="T50850" s="135"/>
      <c r="U50850" s="135"/>
    </row>
    <row r="50851" spans="20:21" ht="15" customHeight="1" x14ac:dyDescent="0.25">
      <c r="T50851" s="135"/>
      <c r="U50851" s="135"/>
    </row>
    <row r="50852" spans="20:21" ht="15" customHeight="1" x14ac:dyDescent="0.25">
      <c r="T50852" s="135"/>
      <c r="U50852" s="135"/>
    </row>
    <row r="50853" spans="20:21" ht="15" customHeight="1" x14ac:dyDescent="0.25">
      <c r="T50853" s="135"/>
      <c r="U50853" s="135"/>
    </row>
    <row r="50854" spans="20:21" ht="15" customHeight="1" x14ac:dyDescent="0.25">
      <c r="T50854" s="135"/>
      <c r="U50854" s="135"/>
    </row>
    <row r="50855" spans="20:21" ht="15" customHeight="1" x14ac:dyDescent="0.25">
      <c r="T50855" s="135"/>
      <c r="U50855" s="135"/>
    </row>
    <row r="50856" spans="20:21" ht="15" customHeight="1" x14ac:dyDescent="0.25">
      <c r="T50856" s="135"/>
      <c r="U50856" s="135"/>
    </row>
    <row r="50857" spans="20:21" ht="15" customHeight="1" x14ac:dyDescent="0.25">
      <c r="T50857" s="135"/>
      <c r="U50857" s="135"/>
    </row>
    <row r="50858" spans="20:21" ht="15" customHeight="1" x14ac:dyDescent="0.25">
      <c r="T50858" s="135"/>
      <c r="U50858" s="135"/>
    </row>
    <row r="50859" spans="20:21" ht="15" customHeight="1" x14ac:dyDescent="0.25">
      <c r="T50859" s="135"/>
      <c r="U50859" s="135"/>
    </row>
    <row r="50860" spans="20:21" ht="15" customHeight="1" x14ac:dyDescent="0.25">
      <c r="T50860" s="135"/>
      <c r="U50860" s="135"/>
    </row>
    <row r="50861" spans="20:21" ht="15" customHeight="1" x14ac:dyDescent="0.25">
      <c r="T50861" s="135"/>
      <c r="U50861" s="135"/>
    </row>
    <row r="50862" spans="20:21" ht="15" customHeight="1" x14ac:dyDescent="0.25">
      <c r="T50862" s="135"/>
      <c r="U50862" s="135"/>
    </row>
    <row r="50863" spans="20:21" ht="15" customHeight="1" x14ac:dyDescent="0.25">
      <c r="T50863" s="135"/>
      <c r="U50863" s="135"/>
    </row>
    <row r="50864" spans="20:21" ht="15" customHeight="1" x14ac:dyDescent="0.25">
      <c r="T50864" s="135"/>
      <c r="U50864" s="135"/>
    </row>
    <row r="50865" spans="20:21" ht="15" customHeight="1" x14ac:dyDescent="0.25">
      <c r="T50865" s="135"/>
      <c r="U50865" s="135"/>
    </row>
    <row r="50866" spans="20:21" ht="15" customHeight="1" x14ac:dyDescent="0.25">
      <c r="T50866" s="135"/>
      <c r="U50866" s="135"/>
    </row>
    <row r="50867" spans="20:21" ht="15" customHeight="1" x14ac:dyDescent="0.25">
      <c r="T50867" s="135"/>
      <c r="U50867" s="135"/>
    </row>
    <row r="50868" spans="20:21" ht="15" customHeight="1" x14ac:dyDescent="0.25">
      <c r="T50868" s="135"/>
      <c r="U50868" s="135"/>
    </row>
    <row r="50869" spans="20:21" ht="15" customHeight="1" x14ac:dyDescent="0.25">
      <c r="T50869" s="135"/>
      <c r="U50869" s="135"/>
    </row>
    <row r="50870" spans="20:21" ht="15" customHeight="1" x14ac:dyDescent="0.25">
      <c r="T50870" s="135"/>
      <c r="U50870" s="135"/>
    </row>
    <row r="50871" spans="20:21" ht="15" customHeight="1" x14ac:dyDescent="0.25">
      <c r="T50871" s="135"/>
      <c r="U50871" s="135"/>
    </row>
    <row r="50872" spans="20:21" ht="15" customHeight="1" x14ac:dyDescent="0.25">
      <c r="T50872" s="135"/>
      <c r="U50872" s="135"/>
    </row>
    <row r="50873" spans="20:21" ht="15" customHeight="1" x14ac:dyDescent="0.25">
      <c r="T50873" s="135"/>
      <c r="U50873" s="135"/>
    </row>
    <row r="50874" spans="20:21" ht="15" customHeight="1" x14ac:dyDescent="0.25">
      <c r="T50874" s="135"/>
      <c r="U50874" s="135"/>
    </row>
    <row r="50875" spans="20:21" ht="15" customHeight="1" x14ac:dyDescent="0.25">
      <c r="T50875" s="135"/>
      <c r="U50875" s="135"/>
    </row>
    <row r="50876" spans="20:21" ht="15" customHeight="1" x14ac:dyDescent="0.25">
      <c r="T50876" s="135"/>
      <c r="U50876" s="135"/>
    </row>
    <row r="50877" spans="20:21" ht="15" customHeight="1" x14ac:dyDescent="0.25">
      <c r="T50877" s="135"/>
      <c r="U50877" s="135"/>
    </row>
    <row r="50878" spans="20:21" ht="15" customHeight="1" x14ac:dyDescent="0.25">
      <c r="T50878" s="135"/>
      <c r="U50878" s="135"/>
    </row>
    <row r="50879" spans="20:21" ht="15" customHeight="1" x14ac:dyDescent="0.25">
      <c r="T50879" s="135"/>
      <c r="U50879" s="135"/>
    </row>
    <row r="50880" spans="20:21" ht="15" customHeight="1" x14ac:dyDescent="0.25">
      <c r="T50880" s="135"/>
      <c r="U50880" s="135"/>
    </row>
    <row r="50881" spans="20:21" ht="15" customHeight="1" x14ac:dyDescent="0.25">
      <c r="T50881" s="135"/>
      <c r="U50881" s="135"/>
    </row>
    <row r="50882" spans="20:21" ht="15" customHeight="1" x14ac:dyDescent="0.25">
      <c r="T50882" s="135"/>
      <c r="U50882" s="135"/>
    </row>
    <row r="50883" spans="20:21" ht="15" customHeight="1" x14ac:dyDescent="0.25">
      <c r="T50883" s="135"/>
      <c r="U50883" s="135"/>
    </row>
    <row r="50884" spans="20:21" ht="15" customHeight="1" x14ac:dyDescent="0.25">
      <c r="T50884" s="135"/>
      <c r="U50884" s="135"/>
    </row>
    <row r="50885" spans="20:21" ht="15" customHeight="1" x14ac:dyDescent="0.25">
      <c r="T50885" s="135"/>
      <c r="U50885" s="135"/>
    </row>
    <row r="50886" spans="20:21" ht="15" customHeight="1" x14ac:dyDescent="0.25">
      <c r="T50886" s="135"/>
      <c r="U50886" s="135"/>
    </row>
    <row r="50887" spans="20:21" ht="15" customHeight="1" x14ac:dyDescent="0.25">
      <c r="T50887" s="135"/>
      <c r="U50887" s="135"/>
    </row>
    <row r="50888" spans="20:21" ht="15" customHeight="1" x14ac:dyDescent="0.25">
      <c r="T50888" s="135"/>
      <c r="U50888" s="135"/>
    </row>
    <row r="50889" spans="20:21" ht="15" customHeight="1" x14ac:dyDescent="0.25">
      <c r="T50889" s="135"/>
      <c r="U50889" s="135"/>
    </row>
    <row r="50890" spans="20:21" ht="15" customHeight="1" x14ac:dyDescent="0.25">
      <c r="T50890" s="135"/>
      <c r="U50890" s="135"/>
    </row>
    <row r="50891" spans="20:21" ht="15" customHeight="1" x14ac:dyDescent="0.25">
      <c r="T50891" s="135"/>
      <c r="U50891" s="135"/>
    </row>
    <row r="50892" spans="20:21" ht="15" customHeight="1" x14ac:dyDescent="0.25">
      <c r="T50892" s="135"/>
      <c r="U50892" s="135"/>
    </row>
    <row r="50893" spans="20:21" ht="15" customHeight="1" x14ac:dyDescent="0.25">
      <c r="T50893" s="135"/>
      <c r="U50893" s="135"/>
    </row>
    <row r="50894" spans="20:21" ht="15" customHeight="1" x14ac:dyDescent="0.25">
      <c r="T50894" s="135"/>
      <c r="U50894" s="135"/>
    </row>
    <row r="50895" spans="20:21" ht="15" customHeight="1" x14ac:dyDescent="0.25">
      <c r="T50895" s="135"/>
      <c r="U50895" s="135"/>
    </row>
    <row r="50896" spans="20:21" ht="15" customHeight="1" x14ac:dyDescent="0.25">
      <c r="T50896" s="135"/>
      <c r="U50896" s="135"/>
    </row>
    <row r="50897" spans="20:21" ht="15" customHeight="1" x14ac:dyDescent="0.25">
      <c r="T50897" s="135"/>
      <c r="U50897" s="135"/>
    </row>
    <row r="50898" spans="20:21" ht="15" customHeight="1" x14ac:dyDescent="0.25">
      <c r="T50898" s="135"/>
      <c r="U50898" s="135"/>
    </row>
    <row r="50899" spans="20:21" ht="15" customHeight="1" x14ac:dyDescent="0.25">
      <c r="T50899" s="135"/>
      <c r="U50899" s="135"/>
    </row>
    <row r="50900" spans="20:21" ht="15" customHeight="1" x14ac:dyDescent="0.25">
      <c r="T50900" s="135"/>
      <c r="U50900" s="135"/>
    </row>
    <row r="50901" spans="20:21" ht="15" customHeight="1" x14ac:dyDescent="0.25">
      <c r="T50901" s="135"/>
      <c r="U50901" s="135"/>
    </row>
    <row r="50902" spans="20:21" ht="15" customHeight="1" x14ac:dyDescent="0.25">
      <c r="T50902" s="135"/>
      <c r="U50902" s="135"/>
    </row>
    <row r="50903" spans="20:21" ht="15" customHeight="1" x14ac:dyDescent="0.25">
      <c r="T50903" s="135"/>
      <c r="U50903" s="135"/>
    </row>
    <row r="50904" spans="20:21" ht="15" customHeight="1" x14ac:dyDescent="0.25">
      <c r="T50904" s="135"/>
      <c r="U50904" s="135"/>
    </row>
    <row r="50905" spans="20:21" ht="15" customHeight="1" x14ac:dyDescent="0.25">
      <c r="T50905" s="135"/>
      <c r="U50905" s="135"/>
    </row>
    <row r="50906" spans="20:21" ht="15" customHeight="1" x14ac:dyDescent="0.25">
      <c r="T50906" s="135"/>
      <c r="U50906" s="135"/>
    </row>
    <row r="50907" spans="20:21" ht="15" customHeight="1" x14ac:dyDescent="0.25">
      <c r="T50907" s="135"/>
      <c r="U50907" s="135"/>
    </row>
    <row r="50908" spans="20:21" ht="15" customHeight="1" x14ac:dyDescent="0.25">
      <c r="T50908" s="135"/>
      <c r="U50908" s="135"/>
    </row>
    <row r="50909" spans="20:21" ht="15" customHeight="1" x14ac:dyDescent="0.25">
      <c r="T50909" s="135"/>
      <c r="U50909" s="135"/>
    </row>
    <row r="50910" spans="20:21" ht="15" customHeight="1" x14ac:dyDescent="0.25">
      <c r="T50910" s="135"/>
      <c r="U50910" s="135"/>
    </row>
    <row r="50911" spans="20:21" ht="15" customHeight="1" x14ac:dyDescent="0.25">
      <c r="T50911" s="135"/>
      <c r="U50911" s="135"/>
    </row>
    <row r="50912" spans="20:21" ht="15" customHeight="1" x14ac:dyDescent="0.25">
      <c r="T50912" s="135"/>
      <c r="U50912" s="135"/>
    </row>
    <row r="50913" spans="20:21" ht="15" customHeight="1" x14ac:dyDescent="0.25">
      <c r="T50913" s="135"/>
      <c r="U50913" s="135"/>
    </row>
    <row r="50914" spans="20:21" ht="15" customHeight="1" x14ac:dyDescent="0.25">
      <c r="T50914" s="135"/>
      <c r="U50914" s="135"/>
    </row>
    <row r="50915" spans="20:21" ht="15" customHeight="1" x14ac:dyDescent="0.25">
      <c r="T50915" s="135"/>
      <c r="U50915" s="135"/>
    </row>
    <row r="50916" spans="20:21" ht="15" customHeight="1" x14ac:dyDescent="0.25">
      <c r="T50916" s="135"/>
      <c r="U50916" s="135"/>
    </row>
    <row r="50917" spans="20:21" ht="15" customHeight="1" x14ac:dyDescent="0.25">
      <c r="T50917" s="135"/>
      <c r="U50917" s="135"/>
    </row>
    <row r="50918" spans="20:21" ht="15" customHeight="1" x14ac:dyDescent="0.25">
      <c r="T50918" s="135"/>
      <c r="U50918" s="135"/>
    </row>
    <row r="50919" spans="20:21" ht="15" customHeight="1" x14ac:dyDescent="0.25">
      <c r="T50919" s="135"/>
      <c r="U50919" s="135"/>
    </row>
    <row r="50920" spans="20:21" ht="15" customHeight="1" x14ac:dyDescent="0.25">
      <c r="T50920" s="135"/>
      <c r="U50920" s="135"/>
    </row>
    <row r="50921" spans="20:21" ht="15" customHeight="1" x14ac:dyDescent="0.25">
      <c r="T50921" s="135"/>
      <c r="U50921" s="135"/>
    </row>
    <row r="50922" spans="20:21" ht="15" customHeight="1" x14ac:dyDescent="0.25">
      <c r="T50922" s="135"/>
      <c r="U50922" s="135"/>
    </row>
    <row r="50923" spans="20:21" ht="15" customHeight="1" x14ac:dyDescent="0.25">
      <c r="T50923" s="135"/>
      <c r="U50923" s="135"/>
    </row>
    <row r="50924" spans="20:21" ht="15" customHeight="1" x14ac:dyDescent="0.25">
      <c r="T50924" s="135"/>
      <c r="U50924" s="135"/>
    </row>
    <row r="50925" spans="20:21" ht="15" customHeight="1" x14ac:dyDescent="0.25">
      <c r="T50925" s="135"/>
      <c r="U50925" s="135"/>
    </row>
    <row r="50926" spans="20:21" ht="15" customHeight="1" x14ac:dyDescent="0.25">
      <c r="T50926" s="135"/>
      <c r="U50926" s="135"/>
    </row>
    <row r="50927" spans="20:21" ht="15" customHeight="1" x14ac:dyDescent="0.25">
      <c r="T50927" s="135"/>
      <c r="U50927" s="135"/>
    </row>
    <row r="50928" spans="20:21" ht="15" customHeight="1" x14ac:dyDescent="0.25">
      <c r="T50928" s="135"/>
      <c r="U50928" s="135"/>
    </row>
    <row r="50929" spans="20:21" ht="15" customHeight="1" x14ac:dyDescent="0.25">
      <c r="T50929" s="135"/>
      <c r="U50929" s="135"/>
    </row>
    <row r="50930" spans="20:21" ht="15" customHeight="1" x14ac:dyDescent="0.25">
      <c r="T50930" s="135"/>
      <c r="U50930" s="135"/>
    </row>
    <row r="50931" spans="20:21" ht="15" customHeight="1" x14ac:dyDescent="0.25">
      <c r="T50931" s="135"/>
      <c r="U50931" s="135"/>
    </row>
    <row r="50932" spans="20:21" ht="15" customHeight="1" x14ac:dyDescent="0.25">
      <c r="T50932" s="135"/>
      <c r="U50932" s="135"/>
    </row>
    <row r="50933" spans="20:21" ht="15" customHeight="1" x14ac:dyDescent="0.25">
      <c r="T50933" s="135"/>
      <c r="U50933" s="135"/>
    </row>
    <row r="50934" spans="20:21" ht="15" customHeight="1" x14ac:dyDescent="0.25">
      <c r="T50934" s="135"/>
      <c r="U50934" s="135"/>
    </row>
    <row r="50935" spans="20:21" ht="15" customHeight="1" x14ac:dyDescent="0.25">
      <c r="T50935" s="135"/>
      <c r="U50935" s="135"/>
    </row>
    <row r="50936" spans="20:21" ht="15" customHeight="1" x14ac:dyDescent="0.25">
      <c r="T50936" s="135"/>
      <c r="U50936" s="135"/>
    </row>
    <row r="50937" spans="20:21" ht="15" customHeight="1" x14ac:dyDescent="0.25">
      <c r="T50937" s="135"/>
      <c r="U50937" s="135"/>
    </row>
    <row r="50938" spans="20:21" ht="15" customHeight="1" x14ac:dyDescent="0.25">
      <c r="T50938" s="135"/>
      <c r="U50938" s="135"/>
    </row>
    <row r="50939" spans="20:21" ht="15" customHeight="1" x14ac:dyDescent="0.25">
      <c r="T50939" s="135"/>
      <c r="U50939" s="135"/>
    </row>
    <row r="50940" spans="20:21" ht="15" customHeight="1" x14ac:dyDescent="0.25">
      <c r="T50940" s="135"/>
      <c r="U50940" s="135"/>
    </row>
    <row r="50941" spans="20:21" ht="15" customHeight="1" x14ac:dyDescent="0.25">
      <c r="T50941" s="135"/>
      <c r="U50941" s="135"/>
    </row>
    <row r="50942" spans="20:21" ht="15" customHeight="1" x14ac:dyDescent="0.25">
      <c r="T50942" s="135"/>
      <c r="U50942" s="135"/>
    </row>
    <row r="50943" spans="20:21" ht="15" customHeight="1" x14ac:dyDescent="0.25">
      <c r="T50943" s="135"/>
      <c r="U50943" s="135"/>
    </row>
    <row r="50944" spans="20:21" ht="15" customHeight="1" x14ac:dyDescent="0.25">
      <c r="T50944" s="135"/>
      <c r="U50944" s="135"/>
    </row>
    <row r="50945" spans="20:21" ht="15" customHeight="1" x14ac:dyDescent="0.25">
      <c r="T50945" s="135"/>
      <c r="U50945" s="135"/>
    </row>
    <row r="50946" spans="20:21" ht="15" customHeight="1" x14ac:dyDescent="0.25">
      <c r="T50946" s="135"/>
      <c r="U50946" s="135"/>
    </row>
    <row r="50947" spans="20:21" ht="15" customHeight="1" x14ac:dyDescent="0.25">
      <c r="T50947" s="135"/>
      <c r="U50947" s="135"/>
    </row>
    <row r="50948" spans="20:21" ht="15" customHeight="1" x14ac:dyDescent="0.25">
      <c r="T50948" s="135"/>
      <c r="U50948" s="135"/>
    </row>
    <row r="50949" spans="20:21" ht="15" customHeight="1" x14ac:dyDescent="0.25">
      <c r="T50949" s="135"/>
      <c r="U50949" s="135"/>
    </row>
    <row r="50950" spans="20:21" ht="15" customHeight="1" x14ac:dyDescent="0.25">
      <c r="T50950" s="135"/>
      <c r="U50950" s="135"/>
    </row>
    <row r="50951" spans="20:21" ht="15" customHeight="1" x14ac:dyDescent="0.25">
      <c r="T50951" s="135"/>
      <c r="U50951" s="135"/>
    </row>
    <row r="50952" spans="20:21" ht="15" customHeight="1" x14ac:dyDescent="0.25">
      <c r="T50952" s="135"/>
      <c r="U50952" s="135"/>
    </row>
    <row r="50953" spans="20:21" ht="15" customHeight="1" x14ac:dyDescent="0.25">
      <c r="T50953" s="135"/>
      <c r="U50953" s="135"/>
    </row>
    <row r="50954" spans="20:21" ht="15" customHeight="1" x14ac:dyDescent="0.25">
      <c r="T50954" s="135"/>
      <c r="U50954" s="135"/>
    </row>
    <row r="50955" spans="20:21" ht="15" customHeight="1" x14ac:dyDescent="0.25">
      <c r="T50955" s="135"/>
      <c r="U50955" s="135"/>
    </row>
    <row r="50956" spans="20:21" ht="15" customHeight="1" x14ac:dyDescent="0.25">
      <c r="T50956" s="135"/>
      <c r="U50956" s="135"/>
    </row>
    <row r="50957" spans="20:21" ht="15" customHeight="1" x14ac:dyDescent="0.25">
      <c r="T50957" s="135"/>
      <c r="U50957" s="135"/>
    </row>
    <row r="50958" spans="20:21" ht="15" customHeight="1" x14ac:dyDescent="0.25">
      <c r="T50958" s="135"/>
      <c r="U50958" s="135"/>
    </row>
    <row r="50959" spans="20:21" ht="15" customHeight="1" x14ac:dyDescent="0.25">
      <c r="T50959" s="135"/>
      <c r="U50959" s="135"/>
    </row>
    <row r="50960" spans="20:21" ht="15" customHeight="1" x14ac:dyDescent="0.25">
      <c r="T50960" s="135"/>
      <c r="U50960" s="135"/>
    </row>
    <row r="50961" spans="20:21" ht="15" customHeight="1" x14ac:dyDescent="0.25">
      <c r="T50961" s="135"/>
      <c r="U50961" s="135"/>
    </row>
    <row r="50962" spans="20:21" ht="15" customHeight="1" x14ac:dyDescent="0.25">
      <c r="T50962" s="135"/>
      <c r="U50962" s="135"/>
    </row>
    <row r="50963" spans="20:21" ht="15" customHeight="1" x14ac:dyDescent="0.25">
      <c r="T50963" s="135"/>
      <c r="U50963" s="135"/>
    </row>
    <row r="50964" spans="20:21" ht="15" customHeight="1" x14ac:dyDescent="0.25">
      <c r="T50964" s="135"/>
      <c r="U50964" s="135"/>
    </row>
    <row r="50965" spans="20:21" ht="15" customHeight="1" x14ac:dyDescent="0.25">
      <c r="T50965" s="135"/>
      <c r="U50965" s="135"/>
    </row>
    <row r="50966" spans="20:21" ht="15" customHeight="1" x14ac:dyDescent="0.25">
      <c r="T50966" s="135"/>
      <c r="U50966" s="135"/>
    </row>
    <row r="50967" spans="20:21" ht="15" customHeight="1" x14ac:dyDescent="0.25">
      <c r="T50967" s="135"/>
      <c r="U50967" s="135"/>
    </row>
    <row r="50968" spans="20:21" ht="15" customHeight="1" x14ac:dyDescent="0.25">
      <c r="T50968" s="135"/>
      <c r="U50968" s="135"/>
    </row>
    <row r="50969" spans="20:21" ht="15" customHeight="1" x14ac:dyDescent="0.25">
      <c r="T50969" s="135"/>
      <c r="U50969" s="135"/>
    </row>
    <row r="50970" spans="20:21" ht="15" customHeight="1" x14ac:dyDescent="0.25">
      <c r="T50970" s="135"/>
      <c r="U50970" s="135"/>
    </row>
    <row r="50971" spans="20:21" ht="15" customHeight="1" x14ac:dyDescent="0.25">
      <c r="T50971" s="135"/>
      <c r="U50971" s="135"/>
    </row>
    <row r="50972" spans="20:21" ht="15" customHeight="1" x14ac:dyDescent="0.25">
      <c r="T50972" s="135"/>
      <c r="U50972" s="135"/>
    </row>
    <row r="50973" spans="20:21" ht="15" customHeight="1" x14ac:dyDescent="0.25">
      <c r="T50973" s="135"/>
      <c r="U50973" s="135"/>
    </row>
    <row r="50974" spans="20:21" ht="15" customHeight="1" x14ac:dyDescent="0.25">
      <c r="T50974" s="135"/>
      <c r="U50974" s="135"/>
    </row>
    <row r="50975" spans="20:21" ht="15" customHeight="1" x14ac:dyDescent="0.25">
      <c r="T50975" s="135"/>
      <c r="U50975" s="135"/>
    </row>
    <row r="50976" spans="20:21" ht="15" customHeight="1" x14ac:dyDescent="0.25">
      <c r="T50976" s="135"/>
      <c r="U50976" s="135"/>
    </row>
    <row r="50977" spans="20:21" ht="15" customHeight="1" x14ac:dyDescent="0.25">
      <c r="T50977" s="135"/>
      <c r="U50977" s="135"/>
    </row>
    <row r="50978" spans="20:21" ht="15" customHeight="1" x14ac:dyDescent="0.25">
      <c r="T50978" s="135"/>
      <c r="U50978" s="135"/>
    </row>
    <row r="50979" spans="20:21" ht="15" customHeight="1" x14ac:dyDescent="0.25">
      <c r="T50979" s="135"/>
      <c r="U50979" s="135"/>
    </row>
    <row r="50980" spans="20:21" ht="15" customHeight="1" x14ac:dyDescent="0.25">
      <c r="T50980" s="135"/>
      <c r="U50980" s="135"/>
    </row>
    <row r="50981" spans="20:21" ht="15" customHeight="1" x14ac:dyDescent="0.25">
      <c r="T50981" s="135"/>
      <c r="U50981" s="135"/>
    </row>
    <row r="50982" spans="20:21" ht="15" customHeight="1" x14ac:dyDescent="0.25">
      <c r="T50982" s="135"/>
      <c r="U50982" s="135"/>
    </row>
    <row r="50983" spans="20:21" ht="15" customHeight="1" x14ac:dyDescent="0.25">
      <c r="T50983" s="135"/>
      <c r="U50983" s="135"/>
    </row>
    <row r="50984" spans="20:21" ht="15" customHeight="1" x14ac:dyDescent="0.25">
      <c r="T50984" s="135"/>
      <c r="U50984" s="135"/>
    </row>
    <row r="50985" spans="20:21" ht="15" customHeight="1" x14ac:dyDescent="0.25">
      <c r="T50985" s="135"/>
      <c r="U50985" s="135"/>
    </row>
    <row r="50986" spans="20:21" ht="15" customHeight="1" x14ac:dyDescent="0.25">
      <c r="T50986" s="135"/>
      <c r="U50986" s="135"/>
    </row>
    <row r="50987" spans="20:21" ht="15" customHeight="1" x14ac:dyDescent="0.25">
      <c r="T50987" s="135"/>
      <c r="U50987" s="135"/>
    </row>
    <row r="50988" spans="20:21" ht="15" customHeight="1" x14ac:dyDescent="0.25">
      <c r="T50988" s="135"/>
      <c r="U50988" s="135"/>
    </row>
    <row r="50989" spans="20:21" ht="15" customHeight="1" x14ac:dyDescent="0.25">
      <c r="T50989" s="135"/>
      <c r="U50989" s="135"/>
    </row>
    <row r="50990" spans="20:21" ht="15" customHeight="1" x14ac:dyDescent="0.25">
      <c r="T50990" s="135"/>
      <c r="U50990" s="135"/>
    </row>
    <row r="50991" spans="20:21" ht="15" customHeight="1" x14ac:dyDescent="0.25">
      <c r="T50991" s="135"/>
      <c r="U50991" s="135"/>
    </row>
    <row r="50992" spans="20:21" ht="15" customHeight="1" x14ac:dyDescent="0.25">
      <c r="T50992" s="135"/>
      <c r="U50992" s="135"/>
    </row>
    <row r="50993" spans="20:21" ht="15" customHeight="1" x14ac:dyDescent="0.25">
      <c r="T50993" s="135"/>
      <c r="U50993" s="135"/>
    </row>
    <row r="50994" spans="20:21" ht="15" customHeight="1" x14ac:dyDescent="0.25">
      <c r="T50994" s="135"/>
      <c r="U50994" s="135"/>
    </row>
    <row r="50995" spans="20:21" ht="15" customHeight="1" x14ac:dyDescent="0.25">
      <c r="T50995" s="135"/>
      <c r="U50995" s="135"/>
    </row>
    <row r="50996" spans="20:21" ht="15" customHeight="1" x14ac:dyDescent="0.25">
      <c r="T50996" s="135"/>
      <c r="U50996" s="135"/>
    </row>
    <row r="50997" spans="20:21" ht="15" customHeight="1" x14ac:dyDescent="0.25">
      <c r="T50997" s="135"/>
      <c r="U50997" s="135"/>
    </row>
    <row r="50998" spans="20:21" ht="15" customHeight="1" x14ac:dyDescent="0.25">
      <c r="T50998" s="135"/>
      <c r="U50998" s="135"/>
    </row>
    <row r="50999" spans="20:21" ht="15" customHeight="1" x14ac:dyDescent="0.25">
      <c r="T50999" s="135"/>
      <c r="U50999" s="135"/>
    </row>
    <row r="51000" spans="20:21" ht="15" customHeight="1" x14ac:dyDescent="0.25">
      <c r="T51000" s="135"/>
      <c r="U51000" s="135"/>
    </row>
    <row r="51001" spans="20:21" ht="15" customHeight="1" x14ac:dyDescent="0.25">
      <c r="T51001" s="135"/>
      <c r="U51001" s="135"/>
    </row>
    <row r="51002" spans="20:21" ht="15" customHeight="1" x14ac:dyDescent="0.25">
      <c r="T51002" s="135"/>
      <c r="U51002" s="135"/>
    </row>
    <row r="51003" spans="20:21" ht="15" customHeight="1" x14ac:dyDescent="0.25">
      <c r="T51003" s="135"/>
      <c r="U51003" s="135"/>
    </row>
    <row r="51004" spans="20:21" ht="15" customHeight="1" x14ac:dyDescent="0.25">
      <c r="T51004" s="135"/>
      <c r="U51004" s="135"/>
    </row>
    <row r="51005" spans="20:21" ht="15" customHeight="1" x14ac:dyDescent="0.25">
      <c r="T51005" s="135"/>
      <c r="U51005" s="135"/>
    </row>
    <row r="51006" spans="20:21" ht="15" customHeight="1" x14ac:dyDescent="0.25">
      <c r="T51006" s="135"/>
      <c r="U51006" s="135"/>
    </row>
    <row r="51007" spans="20:21" ht="15" customHeight="1" x14ac:dyDescent="0.25">
      <c r="T51007" s="135"/>
      <c r="U51007" s="135"/>
    </row>
    <row r="51008" spans="20:21" ht="15" customHeight="1" x14ac:dyDescent="0.25">
      <c r="T51008" s="135"/>
      <c r="U51008" s="135"/>
    </row>
    <row r="51009" spans="20:21" ht="15" customHeight="1" x14ac:dyDescent="0.25">
      <c r="T51009" s="135"/>
      <c r="U51009" s="135"/>
    </row>
    <row r="51010" spans="20:21" ht="15" customHeight="1" x14ac:dyDescent="0.25">
      <c r="T51010" s="135"/>
      <c r="U51010" s="135"/>
    </row>
    <row r="51011" spans="20:21" ht="15" customHeight="1" x14ac:dyDescent="0.25">
      <c r="T51011" s="135"/>
      <c r="U51011" s="135"/>
    </row>
    <row r="51012" spans="20:21" ht="15" customHeight="1" x14ac:dyDescent="0.25">
      <c r="T51012" s="135"/>
      <c r="U51012" s="135"/>
    </row>
    <row r="51013" spans="20:21" ht="15" customHeight="1" x14ac:dyDescent="0.25">
      <c r="T51013" s="135"/>
      <c r="U51013" s="135"/>
    </row>
    <row r="51014" spans="20:21" ht="15" customHeight="1" x14ac:dyDescent="0.25">
      <c r="T51014" s="135"/>
      <c r="U51014" s="135"/>
    </row>
    <row r="51015" spans="20:21" ht="15" customHeight="1" x14ac:dyDescent="0.25">
      <c r="T51015" s="135"/>
      <c r="U51015" s="135"/>
    </row>
    <row r="51016" spans="20:21" ht="15" customHeight="1" x14ac:dyDescent="0.25">
      <c r="T51016" s="135"/>
      <c r="U51016" s="135"/>
    </row>
    <row r="51017" spans="20:21" ht="15" customHeight="1" x14ac:dyDescent="0.25">
      <c r="T51017" s="135"/>
      <c r="U51017" s="135"/>
    </row>
    <row r="51018" spans="20:21" ht="15" customHeight="1" x14ac:dyDescent="0.25">
      <c r="T51018" s="135"/>
      <c r="U51018" s="135"/>
    </row>
    <row r="51019" spans="20:21" ht="15" customHeight="1" x14ac:dyDescent="0.25">
      <c r="T51019" s="135"/>
      <c r="U51019" s="135"/>
    </row>
    <row r="51020" spans="20:21" ht="15" customHeight="1" x14ac:dyDescent="0.25">
      <c r="T51020" s="135"/>
      <c r="U51020" s="135"/>
    </row>
    <row r="51021" spans="20:21" ht="15" customHeight="1" x14ac:dyDescent="0.25">
      <c r="T51021" s="135"/>
      <c r="U51021" s="135"/>
    </row>
    <row r="51022" spans="20:21" ht="15" customHeight="1" x14ac:dyDescent="0.25">
      <c r="T51022" s="135"/>
      <c r="U51022" s="135"/>
    </row>
    <row r="51023" spans="20:21" ht="15" customHeight="1" x14ac:dyDescent="0.25">
      <c r="T51023" s="135"/>
      <c r="U51023" s="135"/>
    </row>
    <row r="51024" spans="20:21" ht="15" customHeight="1" x14ac:dyDescent="0.25">
      <c r="T51024" s="135"/>
      <c r="U51024" s="135"/>
    </row>
    <row r="51025" spans="20:21" ht="15" customHeight="1" x14ac:dyDescent="0.25">
      <c r="T51025" s="135"/>
      <c r="U51025" s="135"/>
    </row>
    <row r="51026" spans="20:21" ht="15" customHeight="1" x14ac:dyDescent="0.25">
      <c r="T51026" s="135"/>
      <c r="U51026" s="135"/>
    </row>
    <row r="51027" spans="20:21" ht="15" customHeight="1" x14ac:dyDescent="0.25">
      <c r="T51027" s="135"/>
      <c r="U51027" s="135"/>
    </row>
    <row r="51028" spans="20:21" ht="15" customHeight="1" x14ac:dyDescent="0.25">
      <c r="T51028" s="135"/>
      <c r="U51028" s="135"/>
    </row>
    <row r="51029" spans="20:21" ht="15" customHeight="1" x14ac:dyDescent="0.25">
      <c r="T51029" s="135"/>
      <c r="U51029" s="135"/>
    </row>
    <row r="51030" spans="20:21" ht="15" customHeight="1" x14ac:dyDescent="0.25">
      <c r="T51030" s="135"/>
      <c r="U51030" s="135"/>
    </row>
    <row r="51031" spans="20:21" ht="15" customHeight="1" x14ac:dyDescent="0.25">
      <c r="T51031" s="135"/>
      <c r="U51031" s="135"/>
    </row>
    <row r="51032" spans="20:21" ht="15" customHeight="1" x14ac:dyDescent="0.25">
      <c r="T51032" s="135"/>
      <c r="U51032" s="135"/>
    </row>
    <row r="51033" spans="20:21" ht="15" customHeight="1" x14ac:dyDescent="0.25">
      <c r="T51033" s="135"/>
      <c r="U51033" s="135"/>
    </row>
    <row r="51034" spans="20:21" ht="15" customHeight="1" x14ac:dyDescent="0.25">
      <c r="T51034" s="135"/>
      <c r="U51034" s="135"/>
    </row>
    <row r="51035" spans="20:21" ht="15" customHeight="1" x14ac:dyDescent="0.25">
      <c r="T51035" s="135"/>
      <c r="U51035" s="135"/>
    </row>
    <row r="51036" spans="20:21" ht="15" customHeight="1" x14ac:dyDescent="0.25">
      <c r="T51036" s="135"/>
      <c r="U51036" s="135"/>
    </row>
    <row r="51037" spans="20:21" ht="15" customHeight="1" x14ac:dyDescent="0.25">
      <c r="T51037" s="135"/>
      <c r="U51037" s="135"/>
    </row>
    <row r="51038" spans="20:21" ht="15" customHeight="1" x14ac:dyDescent="0.25">
      <c r="T51038" s="135"/>
      <c r="U51038" s="135"/>
    </row>
    <row r="51039" spans="20:21" ht="15" customHeight="1" x14ac:dyDescent="0.25">
      <c r="T51039" s="135"/>
      <c r="U51039" s="135"/>
    </row>
    <row r="51040" spans="20:21" ht="15" customHeight="1" x14ac:dyDescent="0.25">
      <c r="T51040" s="135"/>
      <c r="U51040" s="135"/>
    </row>
    <row r="51041" spans="20:21" ht="15" customHeight="1" x14ac:dyDescent="0.25">
      <c r="T51041" s="135"/>
      <c r="U51041" s="135"/>
    </row>
    <row r="51042" spans="20:21" ht="15" customHeight="1" x14ac:dyDescent="0.25">
      <c r="T51042" s="135"/>
      <c r="U51042" s="135"/>
    </row>
    <row r="51043" spans="20:21" ht="15" customHeight="1" x14ac:dyDescent="0.25">
      <c r="T51043" s="135"/>
      <c r="U51043" s="135"/>
    </row>
    <row r="51044" spans="20:21" ht="15" customHeight="1" x14ac:dyDescent="0.25">
      <c r="T51044" s="135"/>
      <c r="U51044" s="135"/>
    </row>
    <row r="51045" spans="20:21" ht="15" customHeight="1" x14ac:dyDescent="0.25">
      <c r="T51045" s="135"/>
      <c r="U51045" s="135"/>
    </row>
    <row r="51046" spans="20:21" ht="15" customHeight="1" x14ac:dyDescent="0.25">
      <c r="T51046" s="135"/>
      <c r="U51046" s="135"/>
    </row>
    <row r="51047" spans="20:21" ht="15" customHeight="1" x14ac:dyDescent="0.25">
      <c r="T51047" s="135"/>
      <c r="U51047" s="135"/>
    </row>
    <row r="51048" spans="20:21" ht="15" customHeight="1" x14ac:dyDescent="0.25">
      <c r="T51048" s="135"/>
      <c r="U51048" s="135"/>
    </row>
    <row r="51049" spans="20:21" ht="15" customHeight="1" x14ac:dyDescent="0.25">
      <c r="T51049" s="135"/>
      <c r="U51049" s="135"/>
    </row>
    <row r="51050" spans="20:21" ht="15" customHeight="1" x14ac:dyDescent="0.25">
      <c r="T51050" s="135"/>
      <c r="U51050" s="135"/>
    </row>
    <row r="51051" spans="20:21" ht="15" customHeight="1" x14ac:dyDescent="0.25">
      <c r="T51051" s="135"/>
      <c r="U51051" s="135"/>
    </row>
    <row r="51052" spans="20:21" ht="15" customHeight="1" x14ac:dyDescent="0.25">
      <c r="T51052" s="135"/>
      <c r="U51052" s="135"/>
    </row>
    <row r="51053" spans="20:21" ht="15" customHeight="1" x14ac:dyDescent="0.25">
      <c r="T51053" s="135"/>
      <c r="U51053" s="135"/>
    </row>
    <row r="51054" spans="20:21" ht="15" customHeight="1" x14ac:dyDescent="0.25">
      <c r="T51054" s="135"/>
      <c r="U51054" s="135"/>
    </row>
    <row r="51055" spans="20:21" ht="15" customHeight="1" x14ac:dyDescent="0.25">
      <c r="T51055" s="135"/>
      <c r="U51055" s="135"/>
    </row>
    <row r="51056" spans="20:21" ht="15" customHeight="1" x14ac:dyDescent="0.25">
      <c r="T51056" s="135"/>
      <c r="U51056" s="135"/>
    </row>
    <row r="51057" spans="20:21" ht="15" customHeight="1" x14ac:dyDescent="0.25">
      <c r="T51057" s="135"/>
      <c r="U51057" s="135"/>
    </row>
    <row r="51058" spans="20:21" ht="15" customHeight="1" x14ac:dyDescent="0.25">
      <c r="T51058" s="135"/>
      <c r="U51058" s="135"/>
    </row>
    <row r="51059" spans="20:21" ht="15" customHeight="1" x14ac:dyDescent="0.25">
      <c r="T51059" s="135"/>
      <c r="U51059" s="135"/>
    </row>
    <row r="51060" spans="20:21" ht="15" customHeight="1" x14ac:dyDescent="0.25">
      <c r="T51060" s="135"/>
      <c r="U51060" s="135"/>
    </row>
    <row r="51061" spans="20:21" ht="15" customHeight="1" x14ac:dyDescent="0.25">
      <c r="T51061" s="135"/>
      <c r="U51061" s="135"/>
    </row>
    <row r="51062" spans="20:21" ht="15" customHeight="1" x14ac:dyDescent="0.25">
      <c r="T51062" s="135"/>
      <c r="U51062" s="135"/>
    </row>
    <row r="51063" spans="20:21" ht="15" customHeight="1" x14ac:dyDescent="0.25">
      <c r="T51063" s="135"/>
      <c r="U51063" s="135"/>
    </row>
    <row r="51064" spans="20:21" ht="15" customHeight="1" x14ac:dyDescent="0.25">
      <c r="T51064" s="135"/>
      <c r="U51064" s="135"/>
    </row>
    <row r="51065" spans="20:21" ht="15" customHeight="1" x14ac:dyDescent="0.25">
      <c r="T51065" s="135"/>
      <c r="U51065" s="135"/>
    </row>
    <row r="51066" spans="20:21" ht="15" customHeight="1" x14ac:dyDescent="0.25">
      <c r="T51066" s="135"/>
      <c r="U51066" s="135"/>
    </row>
    <row r="51067" spans="20:21" ht="15" customHeight="1" x14ac:dyDescent="0.25">
      <c r="T51067" s="135"/>
      <c r="U51067" s="135"/>
    </row>
    <row r="51068" spans="20:21" ht="15" customHeight="1" x14ac:dyDescent="0.25">
      <c r="T51068" s="135"/>
      <c r="U51068" s="135"/>
    </row>
    <row r="51069" spans="20:21" ht="15" customHeight="1" x14ac:dyDescent="0.25">
      <c r="T51069" s="135"/>
      <c r="U51069" s="135"/>
    </row>
    <row r="51070" spans="20:21" ht="15" customHeight="1" x14ac:dyDescent="0.25">
      <c r="T51070" s="135"/>
      <c r="U51070" s="135"/>
    </row>
    <row r="51071" spans="20:21" ht="15" customHeight="1" x14ac:dyDescent="0.25">
      <c r="T51071" s="135"/>
      <c r="U51071" s="135"/>
    </row>
    <row r="51072" spans="20:21" ht="15" customHeight="1" x14ac:dyDescent="0.25">
      <c r="T51072" s="135"/>
      <c r="U51072" s="135"/>
    </row>
    <row r="51073" spans="20:21" ht="15" customHeight="1" x14ac:dyDescent="0.25">
      <c r="T51073" s="135"/>
      <c r="U51073" s="135"/>
    </row>
    <row r="51074" spans="20:21" ht="15" customHeight="1" x14ac:dyDescent="0.25">
      <c r="T51074" s="135"/>
      <c r="U51074" s="135"/>
    </row>
    <row r="51075" spans="20:21" ht="15" customHeight="1" x14ac:dyDescent="0.25">
      <c r="T51075" s="135"/>
      <c r="U51075" s="135"/>
    </row>
    <row r="51076" spans="20:21" ht="15" customHeight="1" x14ac:dyDescent="0.25">
      <c r="T51076" s="135"/>
      <c r="U51076" s="135"/>
    </row>
    <row r="51077" spans="20:21" ht="15" customHeight="1" x14ac:dyDescent="0.25">
      <c r="T51077" s="135"/>
      <c r="U51077" s="135"/>
    </row>
    <row r="51078" spans="20:21" ht="15" customHeight="1" x14ac:dyDescent="0.25">
      <c r="T51078" s="135"/>
      <c r="U51078" s="135"/>
    </row>
    <row r="51079" spans="20:21" ht="15" customHeight="1" x14ac:dyDescent="0.25">
      <c r="T51079" s="135"/>
      <c r="U51079" s="135"/>
    </row>
    <row r="51080" spans="20:21" ht="15" customHeight="1" x14ac:dyDescent="0.25">
      <c r="T51080" s="135"/>
      <c r="U51080" s="135"/>
    </row>
    <row r="51081" spans="20:21" ht="15" customHeight="1" x14ac:dyDescent="0.25">
      <c r="T51081" s="135"/>
      <c r="U51081" s="135"/>
    </row>
    <row r="51082" spans="20:21" ht="15" customHeight="1" x14ac:dyDescent="0.25">
      <c r="T51082" s="135"/>
      <c r="U51082" s="135"/>
    </row>
    <row r="51083" spans="20:21" ht="15" customHeight="1" x14ac:dyDescent="0.25">
      <c r="T51083" s="135"/>
      <c r="U51083" s="135"/>
    </row>
    <row r="51084" spans="20:21" ht="15" customHeight="1" x14ac:dyDescent="0.25">
      <c r="T51084" s="135"/>
      <c r="U51084" s="135"/>
    </row>
    <row r="51085" spans="20:21" ht="15" customHeight="1" x14ac:dyDescent="0.25">
      <c r="T51085" s="135"/>
      <c r="U51085" s="135"/>
    </row>
    <row r="51086" spans="20:21" ht="15" customHeight="1" x14ac:dyDescent="0.25">
      <c r="T51086" s="135"/>
      <c r="U51086" s="135"/>
    </row>
    <row r="51087" spans="20:21" ht="15" customHeight="1" x14ac:dyDescent="0.25">
      <c r="T51087" s="135"/>
      <c r="U51087" s="135"/>
    </row>
    <row r="51088" spans="20:21" ht="15" customHeight="1" x14ac:dyDescent="0.25">
      <c r="T51088" s="135"/>
      <c r="U51088" s="135"/>
    </row>
    <row r="51089" spans="20:21" ht="15" customHeight="1" x14ac:dyDescent="0.25">
      <c r="T51089" s="135"/>
      <c r="U51089" s="135"/>
    </row>
    <row r="51090" spans="20:21" ht="15" customHeight="1" x14ac:dyDescent="0.25">
      <c r="T51090" s="135"/>
      <c r="U51090" s="135"/>
    </row>
    <row r="51091" spans="20:21" ht="15" customHeight="1" x14ac:dyDescent="0.25">
      <c r="T51091" s="135"/>
      <c r="U51091" s="135"/>
    </row>
    <row r="51092" spans="20:21" ht="15" customHeight="1" x14ac:dyDescent="0.25">
      <c r="T51092" s="135"/>
      <c r="U51092" s="135"/>
    </row>
    <row r="51093" spans="20:21" ht="15" customHeight="1" x14ac:dyDescent="0.25">
      <c r="T51093" s="135"/>
      <c r="U51093" s="135"/>
    </row>
    <row r="51094" spans="20:21" ht="15" customHeight="1" x14ac:dyDescent="0.25">
      <c r="T51094" s="135"/>
      <c r="U51094" s="135"/>
    </row>
    <row r="51095" spans="20:21" ht="15" customHeight="1" x14ac:dyDescent="0.25">
      <c r="T51095" s="135"/>
      <c r="U51095" s="135"/>
    </row>
    <row r="51096" spans="20:21" ht="15" customHeight="1" x14ac:dyDescent="0.25">
      <c r="T51096" s="135"/>
      <c r="U51096" s="135"/>
    </row>
    <row r="51097" spans="20:21" ht="15" customHeight="1" x14ac:dyDescent="0.25">
      <c r="T51097" s="135"/>
      <c r="U51097" s="135"/>
    </row>
    <row r="51098" spans="20:21" ht="15" customHeight="1" x14ac:dyDescent="0.25">
      <c r="T51098" s="135"/>
      <c r="U51098" s="135"/>
    </row>
    <row r="51099" spans="20:21" ht="15" customHeight="1" x14ac:dyDescent="0.25">
      <c r="T51099" s="135"/>
      <c r="U51099" s="135"/>
    </row>
    <row r="51100" spans="20:21" ht="15" customHeight="1" x14ac:dyDescent="0.25">
      <c r="T51100" s="135"/>
      <c r="U51100" s="135"/>
    </row>
    <row r="51101" spans="20:21" ht="15" customHeight="1" x14ac:dyDescent="0.25">
      <c r="T51101" s="135"/>
      <c r="U51101" s="135"/>
    </row>
    <row r="51102" spans="20:21" ht="15" customHeight="1" x14ac:dyDescent="0.25">
      <c r="T51102" s="135"/>
      <c r="U51102" s="135"/>
    </row>
    <row r="51103" spans="20:21" ht="15" customHeight="1" x14ac:dyDescent="0.25">
      <c r="T51103" s="135"/>
      <c r="U51103" s="135"/>
    </row>
    <row r="51104" spans="20:21" ht="15" customHeight="1" x14ac:dyDescent="0.25">
      <c r="T51104" s="135"/>
      <c r="U51104" s="135"/>
    </row>
    <row r="51105" spans="20:21" ht="15" customHeight="1" x14ac:dyDescent="0.25">
      <c r="T51105" s="135"/>
      <c r="U51105" s="135"/>
    </row>
    <row r="51106" spans="20:21" ht="15" customHeight="1" x14ac:dyDescent="0.25">
      <c r="T51106" s="135"/>
      <c r="U51106" s="135"/>
    </row>
    <row r="51107" spans="20:21" ht="15" customHeight="1" x14ac:dyDescent="0.25">
      <c r="T51107" s="135"/>
      <c r="U51107" s="135"/>
    </row>
    <row r="51108" spans="20:21" ht="15" customHeight="1" x14ac:dyDescent="0.25">
      <c r="T51108" s="135"/>
      <c r="U51108" s="135"/>
    </row>
    <row r="51109" spans="20:21" ht="15" customHeight="1" x14ac:dyDescent="0.25">
      <c r="T51109" s="135"/>
      <c r="U51109" s="135"/>
    </row>
    <row r="51110" spans="20:21" ht="15" customHeight="1" x14ac:dyDescent="0.25">
      <c r="T51110" s="135"/>
      <c r="U51110" s="135"/>
    </row>
    <row r="51111" spans="20:21" ht="15" customHeight="1" x14ac:dyDescent="0.25">
      <c r="T51111" s="135"/>
      <c r="U51111" s="135"/>
    </row>
    <row r="51112" spans="20:21" ht="15" customHeight="1" x14ac:dyDescent="0.25">
      <c r="T51112" s="135"/>
      <c r="U51112" s="135"/>
    </row>
    <row r="51113" spans="20:21" ht="15" customHeight="1" x14ac:dyDescent="0.25">
      <c r="T51113" s="135"/>
      <c r="U51113" s="135"/>
    </row>
    <row r="51114" spans="20:21" ht="15" customHeight="1" x14ac:dyDescent="0.25">
      <c r="T51114" s="135"/>
      <c r="U51114" s="135"/>
    </row>
    <row r="51115" spans="20:21" ht="15" customHeight="1" x14ac:dyDescent="0.25">
      <c r="T51115" s="135"/>
      <c r="U51115" s="135"/>
    </row>
    <row r="51116" spans="20:21" ht="15" customHeight="1" x14ac:dyDescent="0.25">
      <c r="T51116" s="135"/>
      <c r="U51116" s="135"/>
    </row>
    <row r="51117" spans="20:21" ht="15" customHeight="1" x14ac:dyDescent="0.25">
      <c r="T51117" s="135"/>
      <c r="U51117" s="135"/>
    </row>
    <row r="51118" spans="20:21" ht="15" customHeight="1" x14ac:dyDescent="0.25">
      <c r="T51118" s="135"/>
      <c r="U51118" s="135"/>
    </row>
    <row r="51119" spans="20:21" ht="15" customHeight="1" x14ac:dyDescent="0.25">
      <c r="T51119" s="135"/>
      <c r="U51119" s="135"/>
    </row>
    <row r="51120" spans="20:21" ht="15" customHeight="1" x14ac:dyDescent="0.25">
      <c r="T51120" s="135"/>
      <c r="U51120" s="135"/>
    </row>
    <row r="51121" spans="20:21" ht="15" customHeight="1" x14ac:dyDescent="0.25">
      <c r="T51121" s="135"/>
      <c r="U51121" s="135"/>
    </row>
    <row r="51122" spans="20:21" ht="15" customHeight="1" x14ac:dyDescent="0.25">
      <c r="T51122" s="135"/>
      <c r="U51122" s="135"/>
    </row>
    <row r="51123" spans="20:21" ht="15" customHeight="1" x14ac:dyDescent="0.25">
      <c r="T51123" s="135"/>
      <c r="U51123" s="135"/>
    </row>
    <row r="51124" spans="20:21" ht="15" customHeight="1" x14ac:dyDescent="0.25">
      <c r="T51124" s="135"/>
      <c r="U51124" s="135"/>
    </row>
    <row r="51125" spans="20:21" ht="15" customHeight="1" x14ac:dyDescent="0.25">
      <c r="T51125" s="135"/>
      <c r="U51125" s="135"/>
    </row>
    <row r="51126" spans="20:21" ht="15" customHeight="1" x14ac:dyDescent="0.25">
      <c r="T51126" s="135"/>
      <c r="U51126" s="135"/>
    </row>
    <row r="51127" spans="20:21" ht="15" customHeight="1" x14ac:dyDescent="0.25">
      <c r="T51127" s="135"/>
      <c r="U51127" s="135"/>
    </row>
    <row r="51128" spans="20:21" ht="15" customHeight="1" x14ac:dyDescent="0.25">
      <c r="T51128" s="135"/>
      <c r="U51128" s="135"/>
    </row>
    <row r="51129" spans="20:21" ht="15" customHeight="1" x14ac:dyDescent="0.25">
      <c r="T51129" s="135"/>
      <c r="U51129" s="135"/>
    </row>
    <row r="51130" spans="20:21" ht="15" customHeight="1" x14ac:dyDescent="0.25">
      <c r="T51130" s="135"/>
      <c r="U51130" s="135"/>
    </row>
    <row r="51131" spans="20:21" ht="15" customHeight="1" x14ac:dyDescent="0.25">
      <c r="T51131" s="135"/>
      <c r="U51131" s="135"/>
    </row>
    <row r="51132" spans="20:21" ht="15" customHeight="1" x14ac:dyDescent="0.25">
      <c r="T51132" s="135"/>
      <c r="U51132" s="135"/>
    </row>
    <row r="51133" spans="20:21" ht="15" customHeight="1" x14ac:dyDescent="0.25">
      <c r="T51133" s="135"/>
      <c r="U51133" s="135"/>
    </row>
    <row r="51134" spans="20:21" ht="15" customHeight="1" x14ac:dyDescent="0.25">
      <c r="T51134" s="135"/>
      <c r="U51134" s="135"/>
    </row>
    <row r="51135" spans="20:21" ht="15" customHeight="1" x14ac:dyDescent="0.25">
      <c r="T51135" s="135"/>
      <c r="U51135" s="135"/>
    </row>
    <row r="51136" spans="20:21" ht="15" customHeight="1" x14ac:dyDescent="0.25">
      <c r="T51136" s="135"/>
      <c r="U51136" s="135"/>
    </row>
    <row r="51137" spans="20:21" ht="15" customHeight="1" x14ac:dyDescent="0.25">
      <c r="T51137" s="135"/>
      <c r="U51137" s="135"/>
    </row>
    <row r="51138" spans="20:21" ht="15" customHeight="1" x14ac:dyDescent="0.25">
      <c r="T51138" s="135"/>
      <c r="U51138" s="135"/>
    </row>
    <row r="51139" spans="20:21" ht="15" customHeight="1" x14ac:dyDescent="0.25">
      <c r="T51139" s="135"/>
      <c r="U51139" s="135"/>
    </row>
    <row r="51140" spans="20:21" ht="15" customHeight="1" x14ac:dyDescent="0.25">
      <c r="T51140" s="135"/>
      <c r="U51140" s="135"/>
    </row>
    <row r="51141" spans="20:21" ht="15" customHeight="1" x14ac:dyDescent="0.25">
      <c r="T51141" s="135"/>
      <c r="U51141" s="135"/>
    </row>
    <row r="51142" spans="20:21" ht="15" customHeight="1" x14ac:dyDescent="0.25">
      <c r="T51142" s="135"/>
      <c r="U51142" s="135"/>
    </row>
    <row r="51143" spans="20:21" ht="15" customHeight="1" x14ac:dyDescent="0.25">
      <c r="T51143" s="135"/>
      <c r="U51143" s="135"/>
    </row>
    <row r="51144" spans="20:21" ht="15" customHeight="1" x14ac:dyDescent="0.25">
      <c r="T51144" s="135"/>
      <c r="U51144" s="135"/>
    </row>
    <row r="51145" spans="20:21" ht="15" customHeight="1" x14ac:dyDescent="0.25">
      <c r="T51145" s="135"/>
      <c r="U51145" s="135"/>
    </row>
    <row r="51146" spans="20:21" ht="15" customHeight="1" x14ac:dyDescent="0.25">
      <c r="T51146" s="135"/>
      <c r="U51146" s="135"/>
    </row>
    <row r="51147" spans="20:21" ht="15" customHeight="1" x14ac:dyDescent="0.25">
      <c r="T51147" s="135"/>
      <c r="U51147" s="135"/>
    </row>
    <row r="51148" spans="20:21" ht="15" customHeight="1" x14ac:dyDescent="0.25">
      <c r="T51148" s="135"/>
      <c r="U51148" s="135"/>
    </row>
    <row r="51149" spans="20:21" ht="15" customHeight="1" x14ac:dyDescent="0.25">
      <c r="T51149" s="135"/>
      <c r="U51149" s="135"/>
    </row>
    <row r="51150" spans="20:21" ht="15" customHeight="1" x14ac:dyDescent="0.25">
      <c r="T51150" s="135"/>
      <c r="U51150" s="135"/>
    </row>
    <row r="51151" spans="20:21" ht="15" customHeight="1" x14ac:dyDescent="0.25">
      <c r="T51151" s="135"/>
      <c r="U51151" s="135"/>
    </row>
    <row r="51152" spans="20:21" ht="15" customHeight="1" x14ac:dyDescent="0.25">
      <c r="T51152" s="135"/>
      <c r="U51152" s="135"/>
    </row>
    <row r="51153" spans="20:21" ht="15" customHeight="1" x14ac:dyDescent="0.25">
      <c r="T51153" s="135"/>
      <c r="U51153" s="135"/>
    </row>
    <row r="51154" spans="20:21" ht="15" customHeight="1" x14ac:dyDescent="0.25">
      <c r="T51154" s="135"/>
      <c r="U51154" s="135"/>
    </row>
    <row r="51155" spans="20:21" ht="15" customHeight="1" x14ac:dyDescent="0.25">
      <c r="T51155" s="135"/>
      <c r="U51155" s="135"/>
    </row>
    <row r="51156" spans="20:21" ht="15" customHeight="1" x14ac:dyDescent="0.25">
      <c r="T51156" s="135"/>
      <c r="U51156" s="135"/>
    </row>
    <row r="51157" spans="20:21" ht="15" customHeight="1" x14ac:dyDescent="0.25">
      <c r="T51157" s="135"/>
      <c r="U51157" s="135"/>
    </row>
    <row r="51158" spans="20:21" ht="15" customHeight="1" x14ac:dyDescent="0.25">
      <c r="T51158" s="135"/>
      <c r="U51158" s="135"/>
    </row>
    <row r="51159" spans="20:21" ht="15" customHeight="1" x14ac:dyDescent="0.25">
      <c r="T51159" s="135"/>
      <c r="U51159" s="135"/>
    </row>
    <row r="51160" spans="20:21" ht="15" customHeight="1" x14ac:dyDescent="0.25">
      <c r="T51160" s="135"/>
      <c r="U51160" s="135"/>
    </row>
    <row r="51161" spans="20:21" ht="15" customHeight="1" x14ac:dyDescent="0.25">
      <c r="T51161" s="135"/>
      <c r="U51161" s="135"/>
    </row>
    <row r="51162" spans="20:21" ht="15" customHeight="1" x14ac:dyDescent="0.25">
      <c r="T51162" s="135"/>
      <c r="U51162" s="135"/>
    </row>
    <row r="51163" spans="20:21" ht="15" customHeight="1" x14ac:dyDescent="0.25">
      <c r="T51163" s="135"/>
      <c r="U51163" s="135"/>
    </row>
    <row r="51164" spans="20:21" ht="15" customHeight="1" x14ac:dyDescent="0.25">
      <c r="T51164" s="135"/>
      <c r="U51164" s="135"/>
    </row>
    <row r="51165" spans="20:21" ht="15" customHeight="1" x14ac:dyDescent="0.25">
      <c r="T51165" s="135"/>
      <c r="U51165" s="135"/>
    </row>
    <row r="51166" spans="20:21" ht="15" customHeight="1" x14ac:dyDescent="0.25">
      <c r="T51166" s="135"/>
      <c r="U51166" s="135"/>
    </row>
    <row r="51167" spans="20:21" ht="15" customHeight="1" x14ac:dyDescent="0.25">
      <c r="T51167" s="135"/>
      <c r="U51167" s="135"/>
    </row>
    <row r="51168" spans="20:21" ht="15" customHeight="1" x14ac:dyDescent="0.25">
      <c r="T51168" s="135"/>
      <c r="U51168" s="135"/>
    </row>
    <row r="51169" spans="20:21" ht="15" customHeight="1" x14ac:dyDescent="0.25">
      <c r="T51169" s="135"/>
      <c r="U51169" s="135"/>
    </row>
    <row r="51170" spans="20:21" ht="15" customHeight="1" x14ac:dyDescent="0.25">
      <c r="T51170" s="135"/>
      <c r="U51170" s="135"/>
    </row>
    <row r="51171" spans="20:21" ht="15" customHeight="1" x14ac:dyDescent="0.25">
      <c r="T51171" s="135"/>
      <c r="U51171" s="135"/>
    </row>
    <row r="51172" spans="20:21" ht="15" customHeight="1" x14ac:dyDescent="0.25">
      <c r="T51172" s="135"/>
      <c r="U51172" s="135"/>
    </row>
    <row r="51173" spans="20:21" ht="15" customHeight="1" x14ac:dyDescent="0.25">
      <c r="T51173" s="135"/>
      <c r="U51173" s="135"/>
    </row>
    <row r="51174" spans="20:21" ht="15" customHeight="1" x14ac:dyDescent="0.25">
      <c r="T51174" s="135"/>
      <c r="U51174" s="135"/>
    </row>
    <row r="51175" spans="20:21" ht="15" customHeight="1" x14ac:dyDescent="0.25">
      <c r="T51175" s="135"/>
      <c r="U51175" s="135"/>
    </row>
    <row r="51176" spans="20:21" ht="15" customHeight="1" x14ac:dyDescent="0.25">
      <c r="T51176" s="135"/>
      <c r="U51176" s="135"/>
    </row>
    <row r="51177" spans="20:21" ht="15" customHeight="1" x14ac:dyDescent="0.25">
      <c r="T51177" s="135"/>
      <c r="U51177" s="135"/>
    </row>
    <row r="51178" spans="20:21" ht="15" customHeight="1" x14ac:dyDescent="0.25">
      <c r="T51178" s="135"/>
      <c r="U51178" s="135"/>
    </row>
    <row r="51179" spans="20:21" ht="15" customHeight="1" x14ac:dyDescent="0.25">
      <c r="T51179" s="135"/>
      <c r="U51179" s="135"/>
    </row>
    <row r="51180" spans="20:21" ht="15" customHeight="1" x14ac:dyDescent="0.25">
      <c r="T51180" s="135"/>
      <c r="U51180" s="135"/>
    </row>
    <row r="51181" spans="20:21" ht="15" customHeight="1" x14ac:dyDescent="0.25">
      <c r="T51181" s="135"/>
      <c r="U51181" s="135"/>
    </row>
    <row r="51182" spans="20:21" ht="15" customHeight="1" x14ac:dyDescent="0.25">
      <c r="T51182" s="135"/>
      <c r="U51182" s="135"/>
    </row>
    <row r="51183" spans="20:21" ht="15" customHeight="1" x14ac:dyDescent="0.25">
      <c r="T51183" s="135"/>
      <c r="U51183" s="135"/>
    </row>
    <row r="51184" spans="20:21" ht="15" customHeight="1" x14ac:dyDescent="0.25">
      <c r="T51184" s="135"/>
      <c r="U51184" s="135"/>
    </row>
    <row r="51185" spans="20:21" ht="15" customHeight="1" x14ac:dyDescent="0.25">
      <c r="T51185" s="135"/>
      <c r="U51185" s="135"/>
    </row>
    <row r="51186" spans="20:21" ht="15" customHeight="1" x14ac:dyDescent="0.25">
      <c r="T51186" s="135"/>
      <c r="U51186" s="135"/>
    </row>
    <row r="51187" spans="20:21" ht="15" customHeight="1" x14ac:dyDescent="0.25">
      <c r="T51187" s="135"/>
      <c r="U51187" s="135"/>
    </row>
    <row r="51188" spans="20:21" ht="15" customHeight="1" x14ac:dyDescent="0.25">
      <c r="T51188" s="135"/>
      <c r="U51188" s="135"/>
    </row>
    <row r="51189" spans="20:21" ht="15" customHeight="1" x14ac:dyDescent="0.25">
      <c r="T51189" s="135"/>
      <c r="U51189" s="135"/>
    </row>
    <row r="51190" spans="20:21" ht="15" customHeight="1" x14ac:dyDescent="0.25">
      <c r="T51190" s="135"/>
      <c r="U51190" s="135"/>
    </row>
    <row r="51191" spans="20:21" ht="15" customHeight="1" x14ac:dyDescent="0.25">
      <c r="T51191" s="135"/>
      <c r="U51191" s="135"/>
    </row>
    <row r="51192" spans="20:21" ht="15" customHeight="1" x14ac:dyDescent="0.25">
      <c r="T51192" s="135"/>
      <c r="U51192" s="135"/>
    </row>
    <row r="51193" spans="20:21" ht="15" customHeight="1" x14ac:dyDescent="0.25">
      <c r="T51193" s="135"/>
      <c r="U51193" s="135"/>
    </row>
    <row r="51194" spans="20:21" ht="15" customHeight="1" x14ac:dyDescent="0.25">
      <c r="T51194" s="135"/>
      <c r="U51194" s="135"/>
    </row>
    <row r="51195" spans="20:21" ht="15" customHeight="1" x14ac:dyDescent="0.25">
      <c r="T51195" s="135"/>
      <c r="U51195" s="135"/>
    </row>
    <row r="51196" spans="20:21" ht="15" customHeight="1" x14ac:dyDescent="0.25">
      <c r="T51196" s="135"/>
      <c r="U51196" s="135"/>
    </row>
    <row r="51197" spans="20:21" ht="15" customHeight="1" x14ac:dyDescent="0.25">
      <c r="T51197" s="135"/>
      <c r="U51197" s="135"/>
    </row>
    <row r="51198" spans="20:21" ht="15" customHeight="1" x14ac:dyDescent="0.25">
      <c r="T51198" s="135"/>
      <c r="U51198" s="135"/>
    </row>
    <row r="51199" spans="20:21" ht="15" customHeight="1" x14ac:dyDescent="0.25">
      <c r="T51199" s="135"/>
      <c r="U51199" s="135"/>
    </row>
    <row r="51200" spans="20:21" ht="15" customHeight="1" x14ac:dyDescent="0.25">
      <c r="T51200" s="135"/>
      <c r="U51200" s="135"/>
    </row>
    <row r="51201" spans="20:21" ht="15" customHeight="1" x14ac:dyDescent="0.25">
      <c r="T51201" s="135"/>
      <c r="U51201" s="135"/>
    </row>
    <row r="51202" spans="20:21" ht="15" customHeight="1" x14ac:dyDescent="0.25">
      <c r="T51202" s="135"/>
      <c r="U51202" s="135"/>
    </row>
    <row r="51203" spans="20:21" ht="15" customHeight="1" x14ac:dyDescent="0.25">
      <c r="T51203" s="135"/>
      <c r="U51203" s="135"/>
    </row>
    <row r="51204" spans="20:21" ht="15" customHeight="1" x14ac:dyDescent="0.25">
      <c r="T51204" s="135"/>
      <c r="U51204" s="135"/>
    </row>
    <row r="51205" spans="20:21" ht="15" customHeight="1" x14ac:dyDescent="0.25">
      <c r="T51205" s="135"/>
      <c r="U51205" s="135"/>
    </row>
    <row r="51206" spans="20:21" ht="15" customHeight="1" x14ac:dyDescent="0.25">
      <c r="T51206" s="135"/>
      <c r="U51206" s="135"/>
    </row>
    <row r="51207" spans="20:21" ht="15" customHeight="1" x14ac:dyDescent="0.25">
      <c r="T51207" s="135"/>
      <c r="U51207" s="135"/>
    </row>
    <row r="51208" spans="20:21" ht="15" customHeight="1" x14ac:dyDescent="0.25">
      <c r="T51208" s="135"/>
      <c r="U51208" s="135"/>
    </row>
    <row r="51209" spans="20:21" ht="15" customHeight="1" x14ac:dyDescent="0.25">
      <c r="T51209" s="135"/>
      <c r="U51209" s="135"/>
    </row>
    <row r="51210" spans="20:21" ht="15" customHeight="1" x14ac:dyDescent="0.25">
      <c r="T51210" s="135"/>
      <c r="U51210" s="135"/>
    </row>
    <row r="51211" spans="20:21" ht="15" customHeight="1" x14ac:dyDescent="0.25">
      <c r="T51211" s="135"/>
      <c r="U51211" s="135"/>
    </row>
    <row r="51212" spans="20:21" ht="15" customHeight="1" x14ac:dyDescent="0.25">
      <c r="T51212" s="135"/>
      <c r="U51212" s="135"/>
    </row>
    <row r="51213" spans="20:21" ht="15" customHeight="1" x14ac:dyDescent="0.25">
      <c r="T51213" s="135"/>
      <c r="U51213" s="135"/>
    </row>
    <row r="51214" spans="20:21" ht="15" customHeight="1" x14ac:dyDescent="0.25">
      <c r="T51214" s="135"/>
      <c r="U51214" s="135"/>
    </row>
    <row r="51215" spans="20:21" ht="15" customHeight="1" x14ac:dyDescent="0.25">
      <c r="T51215" s="135"/>
      <c r="U51215" s="135"/>
    </row>
    <row r="51216" spans="20:21" ht="15" customHeight="1" x14ac:dyDescent="0.25">
      <c r="T51216" s="135"/>
      <c r="U51216" s="135"/>
    </row>
    <row r="51217" spans="20:21" ht="15" customHeight="1" x14ac:dyDescent="0.25">
      <c r="T51217" s="135"/>
      <c r="U51217" s="135"/>
    </row>
    <row r="51218" spans="20:21" ht="15" customHeight="1" x14ac:dyDescent="0.25">
      <c r="T51218" s="135"/>
      <c r="U51218" s="135"/>
    </row>
    <row r="51219" spans="20:21" ht="15" customHeight="1" x14ac:dyDescent="0.25">
      <c r="T51219" s="135"/>
      <c r="U51219" s="135"/>
    </row>
    <row r="51220" spans="20:21" ht="15" customHeight="1" x14ac:dyDescent="0.25">
      <c r="T51220" s="135"/>
      <c r="U51220" s="135"/>
    </row>
    <row r="51221" spans="20:21" ht="15" customHeight="1" x14ac:dyDescent="0.25">
      <c r="T51221" s="135"/>
      <c r="U51221" s="135"/>
    </row>
    <row r="51222" spans="20:21" ht="15" customHeight="1" x14ac:dyDescent="0.25">
      <c r="T51222" s="135"/>
      <c r="U51222" s="135"/>
    </row>
    <row r="51223" spans="20:21" ht="15" customHeight="1" x14ac:dyDescent="0.25">
      <c r="T51223" s="135"/>
      <c r="U51223" s="135"/>
    </row>
    <row r="51224" spans="20:21" ht="15" customHeight="1" x14ac:dyDescent="0.25">
      <c r="T51224" s="135"/>
      <c r="U51224" s="135"/>
    </row>
    <row r="51225" spans="20:21" ht="15" customHeight="1" x14ac:dyDescent="0.25">
      <c r="T51225" s="135"/>
      <c r="U51225" s="135"/>
    </row>
    <row r="51226" spans="20:21" ht="15" customHeight="1" x14ac:dyDescent="0.25">
      <c r="T51226" s="135"/>
      <c r="U51226" s="135"/>
    </row>
    <row r="51227" spans="20:21" ht="15" customHeight="1" x14ac:dyDescent="0.25">
      <c r="T51227" s="135"/>
      <c r="U51227" s="135"/>
    </row>
    <row r="51228" spans="20:21" ht="15" customHeight="1" x14ac:dyDescent="0.25">
      <c r="T51228" s="135"/>
      <c r="U51228" s="135"/>
    </row>
    <row r="51229" spans="20:21" ht="15" customHeight="1" x14ac:dyDescent="0.25">
      <c r="T51229" s="135"/>
      <c r="U51229" s="135"/>
    </row>
    <row r="51230" spans="20:21" ht="15" customHeight="1" x14ac:dyDescent="0.25">
      <c r="T51230" s="135"/>
      <c r="U51230" s="135"/>
    </row>
    <row r="51231" spans="20:21" ht="15" customHeight="1" x14ac:dyDescent="0.25">
      <c r="T51231" s="135"/>
      <c r="U51231" s="135"/>
    </row>
    <row r="51232" spans="20:21" ht="15" customHeight="1" x14ac:dyDescent="0.25">
      <c r="T51232" s="135"/>
      <c r="U51232" s="135"/>
    </row>
    <row r="51233" spans="20:21" ht="15" customHeight="1" x14ac:dyDescent="0.25">
      <c r="T51233" s="135"/>
      <c r="U51233" s="135"/>
    </row>
    <row r="51234" spans="20:21" ht="15" customHeight="1" x14ac:dyDescent="0.25">
      <c r="T51234" s="135"/>
      <c r="U51234" s="135"/>
    </row>
    <row r="51235" spans="20:21" ht="15" customHeight="1" x14ac:dyDescent="0.25">
      <c r="T51235" s="135"/>
      <c r="U51235" s="135"/>
    </row>
    <row r="51236" spans="20:21" ht="15" customHeight="1" x14ac:dyDescent="0.25">
      <c r="T51236" s="135"/>
      <c r="U51236" s="135"/>
    </row>
    <row r="51237" spans="20:21" ht="15" customHeight="1" x14ac:dyDescent="0.25">
      <c r="T51237" s="135"/>
      <c r="U51237" s="135"/>
    </row>
    <row r="51238" spans="20:21" ht="15" customHeight="1" x14ac:dyDescent="0.25">
      <c r="T51238" s="135"/>
      <c r="U51238" s="135"/>
    </row>
    <row r="51239" spans="20:21" ht="15" customHeight="1" x14ac:dyDescent="0.25">
      <c r="T51239" s="135"/>
      <c r="U51239" s="135"/>
    </row>
    <row r="51240" spans="20:21" ht="15" customHeight="1" x14ac:dyDescent="0.25">
      <c r="T51240" s="135"/>
      <c r="U51240" s="135"/>
    </row>
    <row r="51241" spans="20:21" ht="15" customHeight="1" x14ac:dyDescent="0.25">
      <c r="T51241" s="135"/>
      <c r="U51241" s="135"/>
    </row>
    <row r="51242" spans="20:21" ht="15" customHeight="1" x14ac:dyDescent="0.25">
      <c r="T51242" s="135"/>
      <c r="U51242" s="135"/>
    </row>
    <row r="51243" spans="20:21" ht="15" customHeight="1" x14ac:dyDescent="0.25">
      <c r="T51243" s="135"/>
      <c r="U51243" s="135"/>
    </row>
    <row r="51244" spans="20:21" ht="15" customHeight="1" x14ac:dyDescent="0.25">
      <c r="T51244" s="135"/>
      <c r="U51244" s="135"/>
    </row>
    <row r="51245" spans="20:21" ht="15" customHeight="1" x14ac:dyDescent="0.25">
      <c r="T51245" s="135"/>
      <c r="U51245" s="135"/>
    </row>
    <row r="51246" spans="20:21" ht="15" customHeight="1" x14ac:dyDescent="0.25">
      <c r="T51246" s="135"/>
      <c r="U51246" s="135"/>
    </row>
    <row r="51247" spans="20:21" ht="15" customHeight="1" x14ac:dyDescent="0.25">
      <c r="T51247" s="135"/>
      <c r="U51247" s="135"/>
    </row>
    <row r="51248" spans="20:21" ht="15" customHeight="1" x14ac:dyDescent="0.25">
      <c r="T51248" s="135"/>
      <c r="U51248" s="135"/>
    </row>
    <row r="51249" spans="20:21" ht="15" customHeight="1" x14ac:dyDescent="0.25">
      <c r="T51249" s="135"/>
      <c r="U51249" s="135"/>
    </row>
    <row r="51250" spans="20:21" ht="15" customHeight="1" x14ac:dyDescent="0.25">
      <c r="T51250" s="135"/>
      <c r="U51250" s="135"/>
    </row>
    <row r="51251" spans="20:21" ht="15" customHeight="1" x14ac:dyDescent="0.25">
      <c r="T51251" s="135"/>
      <c r="U51251" s="135"/>
    </row>
    <row r="51252" spans="20:21" ht="15" customHeight="1" x14ac:dyDescent="0.25">
      <c r="T51252" s="135"/>
      <c r="U51252" s="135"/>
    </row>
    <row r="51253" spans="20:21" ht="15" customHeight="1" x14ac:dyDescent="0.25">
      <c r="T51253" s="135"/>
      <c r="U51253" s="135"/>
    </row>
    <row r="51254" spans="20:21" ht="15" customHeight="1" x14ac:dyDescent="0.25">
      <c r="T51254" s="135"/>
      <c r="U51254" s="135"/>
    </row>
    <row r="51255" spans="20:21" ht="15" customHeight="1" x14ac:dyDescent="0.25">
      <c r="T51255" s="135"/>
      <c r="U51255" s="135"/>
    </row>
    <row r="51256" spans="20:21" ht="15" customHeight="1" x14ac:dyDescent="0.25">
      <c r="T51256" s="135"/>
      <c r="U51256" s="135"/>
    </row>
    <row r="51257" spans="20:21" ht="15" customHeight="1" x14ac:dyDescent="0.25">
      <c r="T51257" s="135"/>
      <c r="U51257" s="135"/>
    </row>
    <row r="51258" spans="20:21" ht="15" customHeight="1" x14ac:dyDescent="0.25">
      <c r="T51258" s="135"/>
      <c r="U51258" s="135"/>
    </row>
    <row r="51259" spans="20:21" ht="15" customHeight="1" x14ac:dyDescent="0.25">
      <c r="T51259" s="135"/>
      <c r="U51259" s="135"/>
    </row>
    <row r="51260" spans="20:21" ht="15" customHeight="1" x14ac:dyDescent="0.25">
      <c r="T51260" s="135"/>
      <c r="U51260" s="135"/>
    </row>
    <row r="51261" spans="20:21" ht="15" customHeight="1" x14ac:dyDescent="0.25">
      <c r="T51261" s="135"/>
      <c r="U51261" s="135"/>
    </row>
    <row r="51262" spans="20:21" ht="15" customHeight="1" x14ac:dyDescent="0.25">
      <c r="T51262" s="135"/>
      <c r="U51262" s="135"/>
    </row>
    <row r="51263" spans="20:21" ht="15" customHeight="1" x14ac:dyDescent="0.25">
      <c r="T51263" s="135"/>
      <c r="U51263" s="135"/>
    </row>
    <row r="51264" spans="20:21" ht="15" customHeight="1" x14ac:dyDescent="0.25">
      <c r="T51264" s="135"/>
      <c r="U51264" s="135"/>
    </row>
    <row r="51265" spans="20:21" ht="15" customHeight="1" x14ac:dyDescent="0.25">
      <c r="T51265" s="135"/>
      <c r="U51265" s="135"/>
    </row>
    <row r="51266" spans="20:21" ht="15" customHeight="1" x14ac:dyDescent="0.25">
      <c r="T51266" s="135"/>
      <c r="U51266" s="135"/>
    </row>
    <row r="51267" spans="20:21" ht="15" customHeight="1" x14ac:dyDescent="0.25">
      <c r="T51267" s="135"/>
      <c r="U51267" s="135"/>
    </row>
    <row r="51268" spans="20:21" ht="15" customHeight="1" x14ac:dyDescent="0.25">
      <c r="T51268" s="135"/>
      <c r="U51268" s="135"/>
    </row>
    <row r="51269" spans="20:21" ht="15" customHeight="1" x14ac:dyDescent="0.25">
      <c r="T51269" s="135"/>
      <c r="U51269" s="135"/>
    </row>
    <row r="51270" spans="20:21" ht="15" customHeight="1" x14ac:dyDescent="0.25">
      <c r="T51270" s="135"/>
      <c r="U51270" s="135"/>
    </row>
    <row r="51271" spans="20:21" ht="15" customHeight="1" x14ac:dyDescent="0.25">
      <c r="T51271" s="135"/>
      <c r="U51271" s="135"/>
    </row>
    <row r="51272" spans="20:21" ht="15" customHeight="1" x14ac:dyDescent="0.25">
      <c r="T51272" s="135"/>
      <c r="U51272" s="135"/>
    </row>
    <row r="51273" spans="20:21" ht="15" customHeight="1" x14ac:dyDescent="0.25">
      <c r="T51273" s="135"/>
      <c r="U51273" s="135"/>
    </row>
    <row r="51274" spans="20:21" ht="15" customHeight="1" x14ac:dyDescent="0.25">
      <c r="T51274" s="135"/>
      <c r="U51274" s="135"/>
    </row>
    <row r="51275" spans="20:21" ht="15" customHeight="1" x14ac:dyDescent="0.25">
      <c r="T51275" s="135"/>
      <c r="U51275" s="135"/>
    </row>
    <row r="51276" spans="20:21" ht="15" customHeight="1" x14ac:dyDescent="0.25">
      <c r="T51276" s="135"/>
      <c r="U51276" s="135"/>
    </row>
    <row r="51277" spans="20:21" ht="15" customHeight="1" x14ac:dyDescent="0.25">
      <c r="T51277" s="135"/>
      <c r="U51277" s="135"/>
    </row>
    <row r="51278" spans="20:21" ht="15" customHeight="1" x14ac:dyDescent="0.25">
      <c r="T51278" s="135"/>
      <c r="U51278" s="135"/>
    </row>
    <row r="51279" spans="20:21" ht="15" customHeight="1" x14ac:dyDescent="0.25">
      <c r="T51279" s="135"/>
      <c r="U51279" s="135"/>
    </row>
    <row r="51280" spans="20:21" ht="15" customHeight="1" x14ac:dyDescent="0.25">
      <c r="T51280" s="135"/>
      <c r="U51280" s="135"/>
    </row>
    <row r="51281" spans="20:21" ht="15" customHeight="1" x14ac:dyDescent="0.25">
      <c r="T51281" s="135"/>
      <c r="U51281" s="135"/>
    </row>
    <row r="51282" spans="20:21" ht="15" customHeight="1" x14ac:dyDescent="0.25">
      <c r="T51282" s="135"/>
      <c r="U51282" s="135"/>
    </row>
    <row r="51283" spans="20:21" ht="15" customHeight="1" x14ac:dyDescent="0.25">
      <c r="T51283" s="135"/>
      <c r="U51283" s="135"/>
    </row>
    <row r="51284" spans="20:21" ht="15" customHeight="1" x14ac:dyDescent="0.25">
      <c r="T51284" s="135"/>
      <c r="U51284" s="135"/>
    </row>
    <row r="51285" spans="20:21" ht="15" customHeight="1" x14ac:dyDescent="0.25">
      <c r="T51285" s="135"/>
      <c r="U51285" s="135"/>
    </row>
    <row r="51286" spans="20:21" ht="15" customHeight="1" x14ac:dyDescent="0.25">
      <c r="T51286" s="135"/>
      <c r="U51286" s="135"/>
    </row>
    <row r="51287" spans="20:21" ht="15" customHeight="1" x14ac:dyDescent="0.25">
      <c r="T51287" s="135"/>
      <c r="U51287" s="135"/>
    </row>
    <row r="51288" spans="20:21" ht="15" customHeight="1" x14ac:dyDescent="0.25">
      <c r="T51288" s="135"/>
      <c r="U51288" s="135"/>
    </row>
    <row r="51289" spans="20:21" ht="15" customHeight="1" x14ac:dyDescent="0.25">
      <c r="T51289" s="135"/>
      <c r="U51289" s="135"/>
    </row>
    <row r="51290" spans="20:21" ht="15" customHeight="1" x14ac:dyDescent="0.25">
      <c r="T51290" s="135"/>
      <c r="U51290" s="135"/>
    </row>
    <row r="51291" spans="20:21" ht="15" customHeight="1" x14ac:dyDescent="0.25">
      <c r="T51291" s="135"/>
      <c r="U51291" s="135"/>
    </row>
    <row r="51292" spans="20:21" ht="15" customHeight="1" x14ac:dyDescent="0.25">
      <c r="T51292" s="135"/>
      <c r="U51292" s="135"/>
    </row>
    <row r="51293" spans="20:21" ht="15" customHeight="1" x14ac:dyDescent="0.25">
      <c r="T51293" s="135"/>
      <c r="U51293" s="135"/>
    </row>
    <row r="51294" spans="20:21" ht="15" customHeight="1" x14ac:dyDescent="0.25">
      <c r="T51294" s="135"/>
      <c r="U51294" s="135"/>
    </row>
    <row r="51295" spans="20:21" ht="15" customHeight="1" x14ac:dyDescent="0.25">
      <c r="T51295" s="135"/>
      <c r="U51295" s="135"/>
    </row>
    <row r="51296" spans="20:21" ht="15" customHeight="1" x14ac:dyDescent="0.25">
      <c r="T51296" s="135"/>
      <c r="U51296" s="135"/>
    </row>
    <row r="51297" spans="20:21" ht="15" customHeight="1" x14ac:dyDescent="0.25">
      <c r="T51297" s="135"/>
      <c r="U51297" s="135"/>
    </row>
    <row r="51298" spans="20:21" ht="15" customHeight="1" x14ac:dyDescent="0.25">
      <c r="T51298" s="135"/>
      <c r="U51298" s="135"/>
    </row>
    <row r="51299" spans="20:21" ht="15" customHeight="1" x14ac:dyDescent="0.25">
      <c r="T51299" s="135"/>
      <c r="U51299" s="135"/>
    </row>
    <row r="51300" spans="20:21" ht="15" customHeight="1" x14ac:dyDescent="0.25">
      <c r="T51300" s="135"/>
      <c r="U51300" s="135"/>
    </row>
    <row r="51301" spans="20:21" ht="15" customHeight="1" x14ac:dyDescent="0.25">
      <c r="T51301" s="135"/>
      <c r="U51301" s="135"/>
    </row>
    <row r="51302" spans="20:21" ht="15" customHeight="1" x14ac:dyDescent="0.25">
      <c r="T51302" s="135"/>
      <c r="U51302" s="135"/>
    </row>
    <row r="51303" spans="20:21" ht="15" customHeight="1" x14ac:dyDescent="0.25">
      <c r="T51303" s="135"/>
      <c r="U51303" s="135"/>
    </row>
    <row r="51304" spans="20:21" ht="15" customHeight="1" x14ac:dyDescent="0.25">
      <c r="T51304" s="135"/>
      <c r="U51304" s="135"/>
    </row>
    <row r="51305" spans="20:21" ht="15" customHeight="1" x14ac:dyDescent="0.25">
      <c r="T51305" s="135"/>
      <c r="U51305" s="135"/>
    </row>
    <row r="51306" spans="20:21" ht="15" customHeight="1" x14ac:dyDescent="0.25">
      <c r="T51306" s="135"/>
      <c r="U51306" s="135"/>
    </row>
    <row r="51307" spans="20:21" ht="15" customHeight="1" x14ac:dyDescent="0.25">
      <c r="T51307" s="135"/>
      <c r="U51307" s="135"/>
    </row>
    <row r="51308" spans="20:21" ht="15" customHeight="1" x14ac:dyDescent="0.25">
      <c r="T51308" s="135"/>
      <c r="U51308" s="135"/>
    </row>
    <row r="51309" spans="20:21" ht="15" customHeight="1" x14ac:dyDescent="0.25">
      <c r="T51309" s="135"/>
      <c r="U51309" s="135"/>
    </row>
    <row r="51310" spans="20:21" ht="15" customHeight="1" x14ac:dyDescent="0.25">
      <c r="T51310" s="135"/>
      <c r="U51310" s="135"/>
    </row>
    <row r="51311" spans="20:21" ht="15" customHeight="1" x14ac:dyDescent="0.25">
      <c r="T51311" s="135"/>
      <c r="U51311" s="135"/>
    </row>
    <row r="51312" spans="20:21" ht="15" customHeight="1" x14ac:dyDescent="0.25">
      <c r="T51312" s="135"/>
      <c r="U51312" s="135"/>
    </row>
    <row r="51313" spans="20:21" ht="15" customHeight="1" x14ac:dyDescent="0.25">
      <c r="T51313" s="135"/>
      <c r="U51313" s="135"/>
    </row>
    <row r="51314" spans="20:21" ht="15" customHeight="1" x14ac:dyDescent="0.25">
      <c r="T51314" s="135"/>
      <c r="U51314" s="135"/>
    </row>
    <row r="51315" spans="20:21" ht="15" customHeight="1" x14ac:dyDescent="0.25">
      <c r="T51315" s="135"/>
      <c r="U51315" s="135"/>
    </row>
    <row r="51316" spans="20:21" ht="15" customHeight="1" x14ac:dyDescent="0.25">
      <c r="T51316" s="135"/>
      <c r="U51316" s="135"/>
    </row>
    <row r="51317" spans="20:21" ht="15" customHeight="1" x14ac:dyDescent="0.25">
      <c r="T51317" s="135"/>
      <c r="U51317" s="135"/>
    </row>
    <row r="51318" spans="20:21" ht="15" customHeight="1" x14ac:dyDescent="0.25">
      <c r="T51318" s="135"/>
      <c r="U51318" s="135"/>
    </row>
    <row r="51319" spans="20:21" ht="15" customHeight="1" x14ac:dyDescent="0.25">
      <c r="T51319" s="135"/>
      <c r="U51319" s="135"/>
    </row>
    <row r="51320" spans="20:21" ht="15" customHeight="1" x14ac:dyDescent="0.25">
      <c r="T51320" s="135"/>
      <c r="U51320" s="135"/>
    </row>
    <row r="51321" spans="20:21" ht="15" customHeight="1" x14ac:dyDescent="0.25">
      <c r="T51321" s="135"/>
      <c r="U51321" s="135"/>
    </row>
    <row r="51322" spans="20:21" ht="15" customHeight="1" x14ac:dyDescent="0.25">
      <c r="T51322" s="135"/>
      <c r="U51322" s="135"/>
    </row>
    <row r="51323" spans="20:21" ht="15" customHeight="1" x14ac:dyDescent="0.25">
      <c r="T51323" s="135"/>
      <c r="U51323" s="135"/>
    </row>
    <row r="51324" spans="20:21" ht="15" customHeight="1" x14ac:dyDescent="0.25">
      <c r="T51324" s="135"/>
      <c r="U51324" s="135"/>
    </row>
    <row r="51325" spans="20:21" ht="15" customHeight="1" x14ac:dyDescent="0.25">
      <c r="T51325" s="135"/>
      <c r="U51325" s="135"/>
    </row>
    <row r="51326" spans="20:21" ht="15" customHeight="1" x14ac:dyDescent="0.25">
      <c r="T51326" s="135"/>
      <c r="U51326" s="135"/>
    </row>
    <row r="51327" spans="20:21" ht="15" customHeight="1" x14ac:dyDescent="0.25">
      <c r="T51327" s="135"/>
      <c r="U51327" s="135"/>
    </row>
    <row r="51328" spans="20:21" ht="15" customHeight="1" x14ac:dyDescent="0.25">
      <c r="T51328" s="135"/>
      <c r="U51328" s="135"/>
    </row>
    <row r="51329" spans="20:21" ht="15" customHeight="1" x14ac:dyDescent="0.25">
      <c r="T51329" s="135"/>
      <c r="U51329" s="135"/>
    </row>
    <row r="51330" spans="20:21" ht="15" customHeight="1" x14ac:dyDescent="0.25">
      <c r="T51330" s="135"/>
      <c r="U51330" s="135"/>
    </row>
    <row r="51331" spans="20:21" ht="15" customHeight="1" x14ac:dyDescent="0.25">
      <c r="T51331" s="135"/>
      <c r="U51331" s="135"/>
    </row>
    <row r="51332" spans="20:21" ht="15" customHeight="1" x14ac:dyDescent="0.25">
      <c r="T51332" s="135"/>
      <c r="U51332" s="135"/>
    </row>
    <row r="51333" spans="20:21" ht="15" customHeight="1" x14ac:dyDescent="0.25">
      <c r="T51333" s="135"/>
      <c r="U51333" s="135"/>
    </row>
    <row r="51334" spans="20:21" ht="15" customHeight="1" x14ac:dyDescent="0.25">
      <c r="T51334" s="135"/>
      <c r="U51334" s="135"/>
    </row>
    <row r="51335" spans="20:21" ht="15" customHeight="1" x14ac:dyDescent="0.25">
      <c r="T51335" s="135"/>
      <c r="U51335" s="135"/>
    </row>
    <row r="51336" spans="20:21" ht="15" customHeight="1" x14ac:dyDescent="0.25">
      <c r="T51336" s="135"/>
      <c r="U51336" s="135"/>
    </row>
    <row r="51337" spans="20:21" ht="15" customHeight="1" x14ac:dyDescent="0.25">
      <c r="T51337" s="135"/>
      <c r="U51337" s="135"/>
    </row>
    <row r="51338" spans="20:21" ht="15" customHeight="1" x14ac:dyDescent="0.25">
      <c r="T51338" s="135"/>
      <c r="U51338" s="135"/>
    </row>
    <row r="51339" spans="20:21" ht="15" customHeight="1" x14ac:dyDescent="0.25">
      <c r="T51339" s="135"/>
      <c r="U51339" s="135"/>
    </row>
    <row r="51340" spans="20:21" ht="15" customHeight="1" x14ac:dyDescent="0.25">
      <c r="T51340" s="135"/>
      <c r="U51340" s="135"/>
    </row>
    <row r="51341" spans="20:21" ht="15" customHeight="1" x14ac:dyDescent="0.25">
      <c r="T51341" s="135"/>
      <c r="U51341" s="135"/>
    </row>
    <row r="51342" spans="20:21" ht="15" customHeight="1" x14ac:dyDescent="0.25">
      <c r="T51342" s="135"/>
      <c r="U51342" s="135"/>
    </row>
    <row r="51343" spans="20:21" ht="15" customHeight="1" x14ac:dyDescent="0.25">
      <c r="T51343" s="135"/>
      <c r="U51343" s="135"/>
    </row>
    <row r="51344" spans="20:21" ht="15" customHeight="1" x14ac:dyDescent="0.25">
      <c r="T51344" s="135"/>
      <c r="U51344" s="135"/>
    </row>
    <row r="51345" spans="20:21" ht="15" customHeight="1" x14ac:dyDescent="0.25">
      <c r="T51345" s="135"/>
      <c r="U51345" s="135"/>
    </row>
    <row r="51346" spans="20:21" ht="15" customHeight="1" x14ac:dyDescent="0.25">
      <c r="T51346" s="135"/>
      <c r="U51346" s="135"/>
    </row>
    <row r="51347" spans="20:21" ht="15" customHeight="1" x14ac:dyDescent="0.25">
      <c r="T51347" s="135"/>
      <c r="U51347" s="135"/>
    </row>
    <row r="51348" spans="20:21" ht="15" customHeight="1" x14ac:dyDescent="0.25">
      <c r="T51348" s="135"/>
      <c r="U51348" s="135"/>
    </row>
    <row r="51349" spans="20:21" ht="15" customHeight="1" x14ac:dyDescent="0.25">
      <c r="T51349" s="135"/>
      <c r="U51349" s="135"/>
    </row>
    <row r="51350" spans="20:21" ht="15" customHeight="1" x14ac:dyDescent="0.25">
      <c r="T51350" s="135"/>
      <c r="U51350" s="135"/>
    </row>
    <row r="51351" spans="20:21" ht="15" customHeight="1" x14ac:dyDescent="0.25">
      <c r="T51351" s="135"/>
      <c r="U51351" s="135"/>
    </row>
    <row r="51352" spans="20:21" ht="15" customHeight="1" x14ac:dyDescent="0.25">
      <c r="T51352" s="135"/>
      <c r="U51352" s="135"/>
    </row>
    <row r="51353" spans="20:21" ht="15" customHeight="1" x14ac:dyDescent="0.25">
      <c r="T51353" s="135"/>
      <c r="U51353" s="135"/>
    </row>
    <row r="51354" spans="20:21" ht="15" customHeight="1" x14ac:dyDescent="0.25">
      <c r="T51354" s="135"/>
      <c r="U51354" s="135"/>
    </row>
    <row r="51355" spans="20:21" ht="15" customHeight="1" x14ac:dyDescent="0.25">
      <c r="T51355" s="135"/>
      <c r="U51355" s="135"/>
    </row>
    <row r="51356" spans="20:21" ht="15" customHeight="1" x14ac:dyDescent="0.25">
      <c r="T51356" s="135"/>
      <c r="U51356" s="135"/>
    </row>
    <row r="51357" spans="20:21" ht="15" customHeight="1" x14ac:dyDescent="0.25">
      <c r="T51357" s="135"/>
      <c r="U51357" s="135"/>
    </row>
    <row r="51358" spans="20:21" ht="15" customHeight="1" x14ac:dyDescent="0.25">
      <c r="T51358" s="135"/>
      <c r="U51358" s="135"/>
    </row>
    <row r="51359" spans="20:21" ht="15" customHeight="1" x14ac:dyDescent="0.25">
      <c r="T51359" s="135"/>
      <c r="U51359" s="135"/>
    </row>
    <row r="51360" spans="20:21" ht="15" customHeight="1" x14ac:dyDescent="0.25">
      <c r="T51360" s="135"/>
      <c r="U51360" s="135"/>
    </row>
    <row r="51361" spans="20:21" ht="15" customHeight="1" x14ac:dyDescent="0.25">
      <c r="T51361" s="135"/>
      <c r="U51361" s="135"/>
    </row>
    <row r="51362" spans="20:21" ht="15" customHeight="1" x14ac:dyDescent="0.25">
      <c r="T51362" s="135"/>
      <c r="U51362" s="135"/>
    </row>
    <row r="51363" spans="20:21" ht="15" customHeight="1" x14ac:dyDescent="0.25">
      <c r="T51363" s="135"/>
      <c r="U51363" s="135"/>
    </row>
    <row r="51364" spans="20:21" ht="15" customHeight="1" x14ac:dyDescent="0.25">
      <c r="T51364" s="135"/>
      <c r="U51364" s="135"/>
    </row>
    <row r="51365" spans="20:21" ht="15" customHeight="1" x14ac:dyDescent="0.25">
      <c r="T51365" s="135"/>
      <c r="U51365" s="135"/>
    </row>
    <row r="51366" spans="20:21" ht="15" customHeight="1" x14ac:dyDescent="0.25">
      <c r="T51366" s="135"/>
      <c r="U51366" s="135"/>
    </row>
    <row r="51367" spans="20:21" ht="15" customHeight="1" x14ac:dyDescent="0.25">
      <c r="T51367" s="135"/>
      <c r="U51367" s="135"/>
    </row>
    <row r="51368" spans="20:21" ht="15" customHeight="1" x14ac:dyDescent="0.25">
      <c r="T51368" s="135"/>
      <c r="U51368" s="135"/>
    </row>
    <row r="51369" spans="20:21" ht="15" customHeight="1" x14ac:dyDescent="0.25">
      <c r="T51369" s="135"/>
      <c r="U51369" s="135"/>
    </row>
    <row r="51370" spans="20:21" ht="15" customHeight="1" x14ac:dyDescent="0.25">
      <c r="T51370" s="135"/>
      <c r="U51370" s="135"/>
    </row>
    <row r="51371" spans="20:21" ht="15" customHeight="1" x14ac:dyDescent="0.25">
      <c r="T51371" s="135"/>
      <c r="U51371" s="135"/>
    </row>
    <row r="51372" spans="20:21" ht="15" customHeight="1" x14ac:dyDescent="0.25">
      <c r="T51372" s="135"/>
      <c r="U51372" s="135"/>
    </row>
    <row r="51373" spans="20:21" ht="15" customHeight="1" x14ac:dyDescent="0.25">
      <c r="T51373" s="135"/>
      <c r="U51373" s="135"/>
    </row>
    <row r="51374" spans="20:21" ht="15" customHeight="1" x14ac:dyDescent="0.25">
      <c r="T51374" s="135"/>
      <c r="U51374" s="135"/>
    </row>
    <row r="51375" spans="20:21" ht="15" customHeight="1" x14ac:dyDescent="0.25">
      <c r="T51375" s="135"/>
      <c r="U51375" s="135"/>
    </row>
    <row r="51376" spans="20:21" ht="15" customHeight="1" x14ac:dyDescent="0.25">
      <c r="T51376" s="135"/>
      <c r="U51376" s="135"/>
    </row>
    <row r="51377" spans="20:21" ht="15" customHeight="1" x14ac:dyDescent="0.25">
      <c r="T51377" s="135"/>
      <c r="U51377" s="135"/>
    </row>
    <row r="51378" spans="20:21" ht="15" customHeight="1" x14ac:dyDescent="0.25">
      <c r="T51378" s="135"/>
      <c r="U51378" s="135"/>
    </row>
    <row r="51379" spans="20:21" ht="15" customHeight="1" x14ac:dyDescent="0.25">
      <c r="T51379" s="135"/>
      <c r="U51379" s="135"/>
    </row>
    <row r="51380" spans="20:21" ht="15" customHeight="1" x14ac:dyDescent="0.25">
      <c r="T51380" s="135"/>
      <c r="U51380" s="135"/>
    </row>
    <row r="51381" spans="20:21" ht="15" customHeight="1" x14ac:dyDescent="0.25">
      <c r="T51381" s="135"/>
      <c r="U51381" s="135"/>
    </row>
    <row r="51382" spans="20:21" ht="15" customHeight="1" x14ac:dyDescent="0.25">
      <c r="T51382" s="135"/>
      <c r="U51382" s="135"/>
    </row>
    <row r="51383" spans="20:21" ht="15" customHeight="1" x14ac:dyDescent="0.25">
      <c r="T51383" s="135"/>
      <c r="U51383" s="135"/>
    </row>
    <row r="51384" spans="20:21" ht="15" customHeight="1" x14ac:dyDescent="0.25">
      <c r="T51384" s="135"/>
      <c r="U51384" s="135"/>
    </row>
    <row r="51385" spans="20:21" ht="15" customHeight="1" x14ac:dyDescent="0.25">
      <c r="T51385" s="135"/>
      <c r="U51385" s="135"/>
    </row>
    <row r="51386" spans="20:21" ht="15" customHeight="1" x14ac:dyDescent="0.25">
      <c r="T51386" s="135"/>
      <c r="U51386" s="135"/>
    </row>
    <row r="51387" spans="20:21" ht="15" customHeight="1" x14ac:dyDescent="0.25">
      <c r="T51387" s="135"/>
      <c r="U51387" s="135"/>
    </row>
    <row r="51388" spans="20:21" ht="15" customHeight="1" x14ac:dyDescent="0.25">
      <c r="T51388" s="135"/>
      <c r="U51388" s="135"/>
    </row>
    <row r="51389" spans="20:21" ht="15" customHeight="1" x14ac:dyDescent="0.25">
      <c r="T51389" s="135"/>
      <c r="U51389" s="135"/>
    </row>
    <row r="51390" spans="20:21" ht="15" customHeight="1" x14ac:dyDescent="0.25">
      <c r="T51390" s="135"/>
      <c r="U51390" s="135"/>
    </row>
    <row r="51391" spans="20:21" ht="15" customHeight="1" x14ac:dyDescent="0.25">
      <c r="T51391" s="135"/>
      <c r="U51391" s="135"/>
    </row>
    <row r="51392" spans="20:21" ht="15" customHeight="1" x14ac:dyDescent="0.25">
      <c r="T51392" s="135"/>
      <c r="U51392" s="135"/>
    </row>
    <row r="51393" spans="20:21" ht="15" customHeight="1" x14ac:dyDescent="0.25">
      <c r="T51393" s="135"/>
      <c r="U51393" s="135"/>
    </row>
    <row r="51394" spans="20:21" ht="15" customHeight="1" x14ac:dyDescent="0.25">
      <c r="T51394" s="135"/>
      <c r="U51394" s="135"/>
    </row>
    <row r="51395" spans="20:21" ht="15" customHeight="1" x14ac:dyDescent="0.25">
      <c r="T51395" s="135"/>
      <c r="U51395" s="135"/>
    </row>
    <row r="51396" spans="20:21" ht="15" customHeight="1" x14ac:dyDescent="0.25">
      <c r="T51396" s="135"/>
      <c r="U51396" s="135"/>
    </row>
    <row r="51397" spans="20:21" ht="15" customHeight="1" x14ac:dyDescent="0.25">
      <c r="T51397" s="135"/>
      <c r="U51397" s="135"/>
    </row>
    <row r="51398" spans="20:21" ht="15" customHeight="1" x14ac:dyDescent="0.25">
      <c r="T51398" s="135"/>
      <c r="U51398" s="135"/>
    </row>
    <row r="51399" spans="20:21" ht="15" customHeight="1" x14ac:dyDescent="0.25">
      <c r="T51399" s="135"/>
      <c r="U51399" s="135"/>
    </row>
    <row r="51400" spans="20:21" ht="15" customHeight="1" x14ac:dyDescent="0.25">
      <c r="T51400" s="135"/>
      <c r="U51400" s="135"/>
    </row>
    <row r="51401" spans="20:21" ht="15" customHeight="1" x14ac:dyDescent="0.25">
      <c r="T51401" s="135"/>
      <c r="U51401" s="135"/>
    </row>
    <row r="51402" spans="20:21" ht="15" customHeight="1" x14ac:dyDescent="0.25">
      <c r="T51402" s="135"/>
      <c r="U51402" s="135"/>
    </row>
    <row r="51403" spans="20:21" ht="15" customHeight="1" x14ac:dyDescent="0.25">
      <c r="T51403" s="135"/>
      <c r="U51403" s="135"/>
    </row>
    <row r="51404" spans="20:21" ht="15" customHeight="1" x14ac:dyDescent="0.25">
      <c r="T51404" s="135"/>
      <c r="U51404" s="135"/>
    </row>
    <row r="51405" spans="20:21" ht="15" customHeight="1" x14ac:dyDescent="0.25">
      <c r="T51405" s="135"/>
      <c r="U51405" s="135"/>
    </row>
    <row r="51406" spans="20:21" ht="15" customHeight="1" x14ac:dyDescent="0.25">
      <c r="T51406" s="135"/>
      <c r="U51406" s="135"/>
    </row>
    <row r="51407" spans="20:21" ht="15" customHeight="1" x14ac:dyDescent="0.25">
      <c r="T51407" s="135"/>
      <c r="U51407" s="135"/>
    </row>
    <row r="51408" spans="20:21" ht="15" customHeight="1" x14ac:dyDescent="0.25">
      <c r="T51408" s="135"/>
      <c r="U51408" s="135"/>
    </row>
    <row r="51409" spans="20:21" ht="15" customHeight="1" x14ac:dyDescent="0.25">
      <c r="T51409" s="135"/>
      <c r="U51409" s="135"/>
    </row>
    <row r="51410" spans="20:21" ht="15" customHeight="1" x14ac:dyDescent="0.25">
      <c r="T51410" s="135"/>
      <c r="U51410" s="135"/>
    </row>
    <row r="51411" spans="20:21" ht="15" customHeight="1" x14ac:dyDescent="0.25">
      <c r="T51411" s="135"/>
      <c r="U51411" s="135"/>
    </row>
    <row r="51412" spans="20:21" ht="15" customHeight="1" x14ac:dyDescent="0.25">
      <c r="T51412" s="135"/>
      <c r="U51412" s="135"/>
    </row>
    <row r="51413" spans="20:21" ht="15" customHeight="1" x14ac:dyDescent="0.25">
      <c r="T51413" s="135"/>
      <c r="U51413" s="135"/>
    </row>
    <row r="51414" spans="20:21" ht="15" customHeight="1" x14ac:dyDescent="0.25">
      <c r="T51414" s="135"/>
      <c r="U51414" s="135"/>
    </row>
    <row r="51415" spans="20:21" ht="15" customHeight="1" x14ac:dyDescent="0.25">
      <c r="T51415" s="135"/>
      <c r="U51415" s="135"/>
    </row>
    <row r="51416" spans="20:21" ht="15" customHeight="1" x14ac:dyDescent="0.25">
      <c r="T51416" s="135"/>
      <c r="U51416" s="135"/>
    </row>
    <row r="51417" spans="20:21" ht="15" customHeight="1" x14ac:dyDescent="0.25">
      <c r="T51417" s="135"/>
      <c r="U51417" s="135"/>
    </row>
    <row r="51418" spans="20:21" ht="15" customHeight="1" x14ac:dyDescent="0.25">
      <c r="T51418" s="135"/>
      <c r="U51418" s="135"/>
    </row>
    <row r="51419" spans="20:21" ht="15" customHeight="1" x14ac:dyDescent="0.25">
      <c r="T51419" s="135"/>
      <c r="U51419" s="135"/>
    </row>
    <row r="51420" spans="20:21" ht="15" customHeight="1" x14ac:dyDescent="0.25">
      <c r="T51420" s="135"/>
      <c r="U51420" s="135"/>
    </row>
    <row r="51421" spans="20:21" ht="15" customHeight="1" x14ac:dyDescent="0.25">
      <c r="T51421" s="135"/>
      <c r="U51421" s="135"/>
    </row>
    <row r="51422" spans="20:21" ht="15" customHeight="1" x14ac:dyDescent="0.25">
      <c r="T51422" s="135"/>
      <c r="U51422" s="135"/>
    </row>
    <row r="51423" spans="20:21" ht="15" customHeight="1" x14ac:dyDescent="0.25">
      <c r="T51423" s="135"/>
      <c r="U51423" s="135"/>
    </row>
    <row r="51424" spans="20:21" ht="15" customHeight="1" x14ac:dyDescent="0.25">
      <c r="T51424" s="135"/>
      <c r="U51424" s="135"/>
    </row>
    <row r="51425" spans="20:21" ht="15" customHeight="1" x14ac:dyDescent="0.25">
      <c r="T51425" s="135"/>
      <c r="U51425" s="135"/>
    </row>
    <row r="51426" spans="20:21" ht="15" customHeight="1" x14ac:dyDescent="0.25">
      <c r="T51426" s="135"/>
      <c r="U51426" s="135"/>
    </row>
    <row r="51427" spans="20:21" ht="15" customHeight="1" x14ac:dyDescent="0.25">
      <c r="T51427" s="135"/>
      <c r="U51427" s="135"/>
    </row>
    <row r="51428" spans="20:21" ht="15" customHeight="1" x14ac:dyDescent="0.25">
      <c r="T51428" s="135"/>
      <c r="U51428" s="135"/>
    </row>
    <row r="51429" spans="20:21" ht="15" customHeight="1" x14ac:dyDescent="0.25">
      <c r="T51429" s="135"/>
      <c r="U51429" s="135"/>
    </row>
    <row r="51430" spans="20:21" ht="15" customHeight="1" x14ac:dyDescent="0.25">
      <c r="T51430" s="135"/>
      <c r="U51430" s="135"/>
    </row>
    <row r="51431" spans="20:21" ht="15" customHeight="1" x14ac:dyDescent="0.25">
      <c r="T51431" s="135"/>
      <c r="U51431" s="135"/>
    </row>
    <row r="51432" spans="20:21" ht="15" customHeight="1" x14ac:dyDescent="0.25">
      <c r="T51432" s="135"/>
      <c r="U51432" s="135"/>
    </row>
    <row r="51433" spans="20:21" ht="15" customHeight="1" x14ac:dyDescent="0.25">
      <c r="T51433" s="135"/>
      <c r="U51433" s="135"/>
    </row>
    <row r="51434" spans="20:21" ht="15" customHeight="1" x14ac:dyDescent="0.25">
      <c r="T51434" s="135"/>
      <c r="U51434" s="135"/>
    </row>
    <row r="51435" spans="20:21" ht="15" customHeight="1" x14ac:dyDescent="0.25">
      <c r="T51435" s="135"/>
      <c r="U51435" s="135"/>
    </row>
    <row r="51436" spans="20:21" ht="15" customHeight="1" x14ac:dyDescent="0.25">
      <c r="T51436" s="135"/>
      <c r="U51436" s="135"/>
    </row>
    <row r="51437" spans="20:21" ht="15" customHeight="1" x14ac:dyDescent="0.25">
      <c r="T51437" s="135"/>
      <c r="U51437" s="135"/>
    </row>
    <row r="51438" spans="20:21" ht="15" customHeight="1" x14ac:dyDescent="0.25">
      <c r="T51438" s="135"/>
      <c r="U51438" s="135"/>
    </row>
    <row r="51439" spans="20:21" ht="15" customHeight="1" x14ac:dyDescent="0.25">
      <c r="T51439" s="135"/>
      <c r="U51439" s="135"/>
    </row>
    <row r="51440" spans="20:21" ht="15" customHeight="1" x14ac:dyDescent="0.25">
      <c r="T51440" s="135"/>
      <c r="U51440" s="135"/>
    </row>
    <row r="51441" spans="20:21" ht="15" customHeight="1" x14ac:dyDescent="0.25">
      <c r="T51441" s="135"/>
      <c r="U51441" s="135"/>
    </row>
    <row r="51442" spans="20:21" ht="15" customHeight="1" x14ac:dyDescent="0.25">
      <c r="T51442" s="135"/>
      <c r="U51442" s="135"/>
    </row>
    <row r="51443" spans="20:21" ht="15" customHeight="1" x14ac:dyDescent="0.25">
      <c r="T51443" s="135"/>
      <c r="U51443" s="135"/>
    </row>
    <row r="51444" spans="20:21" ht="15" customHeight="1" x14ac:dyDescent="0.25">
      <c r="T51444" s="135"/>
      <c r="U51444" s="135"/>
    </row>
    <row r="51445" spans="20:21" ht="15" customHeight="1" x14ac:dyDescent="0.25">
      <c r="T51445" s="135"/>
      <c r="U51445" s="135"/>
    </row>
    <row r="51446" spans="20:21" ht="15" customHeight="1" x14ac:dyDescent="0.25">
      <c r="T51446" s="135"/>
      <c r="U51446" s="135"/>
    </row>
    <row r="51447" spans="20:21" ht="15" customHeight="1" x14ac:dyDescent="0.25">
      <c r="T51447" s="135"/>
      <c r="U51447" s="135"/>
    </row>
    <row r="51448" spans="20:21" ht="15" customHeight="1" x14ac:dyDescent="0.25">
      <c r="T51448" s="135"/>
      <c r="U51448" s="135"/>
    </row>
    <row r="51449" spans="20:21" ht="15" customHeight="1" x14ac:dyDescent="0.25">
      <c r="T51449" s="135"/>
      <c r="U51449" s="135"/>
    </row>
    <row r="51450" spans="20:21" ht="15" customHeight="1" x14ac:dyDescent="0.25">
      <c r="T51450" s="135"/>
      <c r="U51450" s="135"/>
    </row>
    <row r="51451" spans="20:21" ht="15" customHeight="1" x14ac:dyDescent="0.25">
      <c r="T51451" s="135"/>
      <c r="U51451" s="135"/>
    </row>
    <row r="51452" spans="20:21" ht="15" customHeight="1" x14ac:dyDescent="0.25">
      <c r="T51452" s="135"/>
      <c r="U51452" s="135"/>
    </row>
    <row r="51453" spans="20:21" ht="15" customHeight="1" x14ac:dyDescent="0.25">
      <c r="T51453" s="135"/>
      <c r="U51453" s="135"/>
    </row>
    <row r="51454" spans="20:21" ht="15" customHeight="1" x14ac:dyDescent="0.25">
      <c r="T51454" s="135"/>
      <c r="U51454" s="135"/>
    </row>
    <row r="51455" spans="20:21" ht="15" customHeight="1" x14ac:dyDescent="0.25">
      <c r="T51455" s="135"/>
      <c r="U51455" s="135"/>
    </row>
    <row r="51456" spans="20:21" ht="15" customHeight="1" x14ac:dyDescent="0.25">
      <c r="T51456" s="135"/>
      <c r="U51456" s="135"/>
    </row>
    <row r="51457" spans="20:21" ht="15" customHeight="1" x14ac:dyDescent="0.25">
      <c r="T51457" s="135"/>
      <c r="U51457" s="135"/>
    </row>
    <row r="51458" spans="20:21" ht="15" customHeight="1" x14ac:dyDescent="0.25">
      <c r="T51458" s="135"/>
      <c r="U51458" s="135"/>
    </row>
    <row r="51459" spans="20:21" ht="15" customHeight="1" x14ac:dyDescent="0.25">
      <c r="T51459" s="135"/>
      <c r="U51459" s="135"/>
    </row>
    <row r="51460" spans="20:21" ht="15" customHeight="1" x14ac:dyDescent="0.25">
      <c r="T51460" s="135"/>
      <c r="U51460" s="135"/>
    </row>
    <row r="51461" spans="20:21" ht="15" customHeight="1" x14ac:dyDescent="0.25">
      <c r="T51461" s="135"/>
      <c r="U51461" s="135"/>
    </row>
    <row r="51462" spans="20:21" ht="15" customHeight="1" x14ac:dyDescent="0.25">
      <c r="T51462" s="135"/>
      <c r="U51462" s="135"/>
    </row>
    <row r="51463" spans="20:21" ht="15" customHeight="1" x14ac:dyDescent="0.25">
      <c r="T51463" s="135"/>
      <c r="U51463" s="135"/>
    </row>
    <row r="51464" spans="20:21" ht="15" customHeight="1" x14ac:dyDescent="0.25">
      <c r="T51464" s="135"/>
      <c r="U51464" s="135"/>
    </row>
    <row r="51465" spans="20:21" ht="15" customHeight="1" x14ac:dyDescent="0.25">
      <c r="T51465" s="135"/>
      <c r="U51465" s="135"/>
    </row>
    <row r="51466" spans="20:21" ht="15" customHeight="1" x14ac:dyDescent="0.25">
      <c r="T51466" s="135"/>
      <c r="U51466" s="135"/>
    </row>
    <row r="51467" spans="20:21" ht="15" customHeight="1" x14ac:dyDescent="0.25">
      <c r="T51467" s="135"/>
      <c r="U51467" s="135"/>
    </row>
    <row r="51468" spans="20:21" ht="15" customHeight="1" x14ac:dyDescent="0.25">
      <c r="T51468" s="135"/>
      <c r="U51468" s="135"/>
    </row>
    <row r="51469" spans="20:21" ht="15" customHeight="1" x14ac:dyDescent="0.25">
      <c r="T51469" s="135"/>
      <c r="U51469" s="135"/>
    </row>
    <row r="51470" spans="20:21" ht="15" customHeight="1" x14ac:dyDescent="0.25">
      <c r="T51470" s="135"/>
      <c r="U51470" s="135"/>
    </row>
    <row r="51471" spans="20:21" ht="15" customHeight="1" x14ac:dyDescent="0.25">
      <c r="T51471" s="135"/>
      <c r="U51471" s="135"/>
    </row>
    <row r="51472" spans="20:21" ht="15" customHeight="1" x14ac:dyDescent="0.25">
      <c r="T51472" s="135"/>
      <c r="U51472" s="135"/>
    </row>
    <row r="51473" spans="20:21" ht="15" customHeight="1" x14ac:dyDescent="0.25">
      <c r="T51473" s="135"/>
      <c r="U51473" s="135"/>
    </row>
    <row r="51474" spans="20:21" ht="15" customHeight="1" x14ac:dyDescent="0.25">
      <c r="T51474" s="135"/>
      <c r="U51474" s="135"/>
    </row>
    <row r="51475" spans="20:21" ht="15" customHeight="1" x14ac:dyDescent="0.25">
      <c r="T51475" s="135"/>
      <c r="U51475" s="135"/>
    </row>
    <row r="51476" spans="20:21" ht="15" customHeight="1" x14ac:dyDescent="0.25">
      <c r="T51476" s="135"/>
      <c r="U51476" s="135"/>
    </row>
    <row r="51477" spans="20:21" ht="15" customHeight="1" x14ac:dyDescent="0.25">
      <c r="T51477" s="135"/>
      <c r="U51477" s="135"/>
    </row>
    <row r="51478" spans="20:21" ht="15" customHeight="1" x14ac:dyDescent="0.25">
      <c r="T51478" s="135"/>
      <c r="U51478" s="135"/>
    </row>
    <row r="51479" spans="20:21" ht="15" customHeight="1" x14ac:dyDescent="0.25">
      <c r="T51479" s="135"/>
      <c r="U51479" s="135"/>
    </row>
    <row r="51480" spans="20:21" ht="15" customHeight="1" x14ac:dyDescent="0.25">
      <c r="T51480" s="135"/>
      <c r="U51480" s="135"/>
    </row>
    <row r="51481" spans="20:21" ht="15" customHeight="1" x14ac:dyDescent="0.25">
      <c r="T51481" s="135"/>
      <c r="U51481" s="135"/>
    </row>
    <row r="51482" spans="20:21" ht="15" customHeight="1" x14ac:dyDescent="0.25">
      <c r="T51482" s="135"/>
      <c r="U51482" s="135"/>
    </row>
    <row r="51483" spans="20:21" ht="15" customHeight="1" x14ac:dyDescent="0.25">
      <c r="T51483" s="135"/>
      <c r="U51483" s="135"/>
    </row>
    <row r="51484" spans="20:21" ht="15" customHeight="1" x14ac:dyDescent="0.25">
      <c r="T51484" s="135"/>
      <c r="U51484" s="135"/>
    </row>
    <row r="51485" spans="20:21" ht="15" customHeight="1" x14ac:dyDescent="0.25">
      <c r="T51485" s="135"/>
      <c r="U51485" s="135"/>
    </row>
    <row r="51486" spans="20:21" ht="15" customHeight="1" x14ac:dyDescent="0.25">
      <c r="T51486" s="135"/>
      <c r="U51486" s="135"/>
    </row>
    <row r="51487" spans="20:21" ht="15" customHeight="1" x14ac:dyDescent="0.25">
      <c r="T51487" s="135"/>
      <c r="U51487" s="135"/>
    </row>
    <row r="51488" spans="20:21" ht="15" customHeight="1" x14ac:dyDescent="0.25">
      <c r="T51488" s="135"/>
      <c r="U51488" s="135"/>
    </row>
    <row r="51489" spans="20:21" ht="15" customHeight="1" x14ac:dyDescent="0.25">
      <c r="T51489" s="135"/>
      <c r="U51489" s="135"/>
    </row>
    <row r="51490" spans="20:21" ht="15" customHeight="1" x14ac:dyDescent="0.25">
      <c r="T51490" s="135"/>
      <c r="U51490" s="135"/>
    </row>
    <row r="51491" spans="20:21" ht="15" customHeight="1" x14ac:dyDescent="0.25">
      <c r="T51491" s="135"/>
      <c r="U51491" s="135"/>
    </row>
    <row r="51492" spans="20:21" ht="15" customHeight="1" x14ac:dyDescent="0.25">
      <c r="T51492" s="135"/>
      <c r="U51492" s="135"/>
    </row>
    <row r="51493" spans="20:21" ht="15" customHeight="1" x14ac:dyDescent="0.25">
      <c r="T51493" s="135"/>
      <c r="U51493" s="135"/>
    </row>
    <row r="51494" spans="20:21" ht="15" customHeight="1" x14ac:dyDescent="0.25">
      <c r="T51494" s="135"/>
      <c r="U51494" s="135"/>
    </row>
    <row r="51495" spans="20:21" ht="15" customHeight="1" x14ac:dyDescent="0.25">
      <c r="T51495" s="135"/>
      <c r="U51495" s="135"/>
    </row>
    <row r="51496" spans="20:21" ht="15" customHeight="1" x14ac:dyDescent="0.25">
      <c r="T51496" s="135"/>
      <c r="U51496" s="135"/>
    </row>
    <row r="51497" spans="20:21" ht="15" customHeight="1" x14ac:dyDescent="0.25">
      <c r="T51497" s="135"/>
      <c r="U51497" s="135"/>
    </row>
    <row r="51498" spans="20:21" ht="15" customHeight="1" x14ac:dyDescent="0.25">
      <c r="T51498" s="135"/>
      <c r="U51498" s="135"/>
    </row>
    <row r="51499" spans="20:21" ht="15" customHeight="1" x14ac:dyDescent="0.25">
      <c r="T51499" s="135"/>
      <c r="U51499" s="135"/>
    </row>
    <row r="51500" spans="20:21" ht="15" customHeight="1" x14ac:dyDescent="0.25">
      <c r="T51500" s="135"/>
      <c r="U51500" s="135"/>
    </row>
    <row r="51501" spans="20:21" ht="15" customHeight="1" x14ac:dyDescent="0.25">
      <c r="T51501" s="135"/>
      <c r="U51501" s="135"/>
    </row>
    <row r="51502" spans="20:21" ht="15" customHeight="1" x14ac:dyDescent="0.25">
      <c r="T51502" s="135"/>
      <c r="U51502" s="135"/>
    </row>
    <row r="51503" spans="20:21" ht="15" customHeight="1" x14ac:dyDescent="0.25">
      <c r="T51503" s="135"/>
      <c r="U51503" s="135"/>
    </row>
    <row r="51504" spans="20:21" ht="15" customHeight="1" x14ac:dyDescent="0.25">
      <c r="T51504" s="135"/>
      <c r="U51504" s="135"/>
    </row>
    <row r="51505" spans="20:21" ht="15" customHeight="1" x14ac:dyDescent="0.25">
      <c r="T51505" s="135"/>
      <c r="U51505" s="135"/>
    </row>
    <row r="51506" spans="20:21" ht="15" customHeight="1" x14ac:dyDescent="0.25">
      <c r="T51506" s="135"/>
      <c r="U51506" s="135"/>
    </row>
    <row r="51507" spans="20:21" ht="15" customHeight="1" x14ac:dyDescent="0.25">
      <c r="T51507" s="135"/>
      <c r="U51507" s="135"/>
    </row>
    <row r="51508" spans="20:21" ht="15" customHeight="1" x14ac:dyDescent="0.25">
      <c r="T51508" s="135"/>
      <c r="U51508" s="135"/>
    </row>
    <row r="51509" spans="20:21" ht="15" customHeight="1" x14ac:dyDescent="0.25">
      <c r="T51509" s="135"/>
      <c r="U51509" s="135"/>
    </row>
    <row r="51510" spans="20:21" ht="15" customHeight="1" x14ac:dyDescent="0.25">
      <c r="T51510" s="135"/>
      <c r="U51510" s="135"/>
    </row>
    <row r="51511" spans="20:21" ht="15" customHeight="1" x14ac:dyDescent="0.25">
      <c r="T51511" s="135"/>
      <c r="U51511" s="135"/>
    </row>
    <row r="51512" spans="20:21" ht="15" customHeight="1" x14ac:dyDescent="0.25">
      <c r="T51512" s="135"/>
      <c r="U51512" s="135"/>
    </row>
    <row r="51513" spans="20:21" ht="15" customHeight="1" x14ac:dyDescent="0.25">
      <c r="T51513" s="135"/>
      <c r="U51513" s="135"/>
    </row>
    <row r="51514" spans="20:21" ht="15" customHeight="1" x14ac:dyDescent="0.25">
      <c r="T51514" s="135"/>
      <c r="U51514" s="135"/>
    </row>
    <row r="51515" spans="20:21" ht="15" customHeight="1" x14ac:dyDescent="0.25">
      <c r="T51515" s="135"/>
      <c r="U51515" s="135"/>
    </row>
    <row r="51516" spans="20:21" ht="15" customHeight="1" x14ac:dyDescent="0.25">
      <c r="T51516" s="135"/>
      <c r="U51516" s="135"/>
    </row>
    <row r="51517" spans="20:21" ht="15" customHeight="1" x14ac:dyDescent="0.25">
      <c r="T51517" s="135"/>
      <c r="U51517" s="135"/>
    </row>
    <row r="51518" spans="20:21" ht="15" customHeight="1" x14ac:dyDescent="0.25">
      <c r="T51518" s="135"/>
      <c r="U51518" s="135"/>
    </row>
    <row r="51519" spans="20:21" ht="15" customHeight="1" x14ac:dyDescent="0.25">
      <c r="T51519" s="135"/>
      <c r="U51519" s="135"/>
    </row>
    <row r="51520" spans="20:21" ht="15" customHeight="1" x14ac:dyDescent="0.25">
      <c r="T51520" s="135"/>
      <c r="U51520" s="135"/>
    </row>
    <row r="51521" spans="20:21" ht="15" customHeight="1" x14ac:dyDescent="0.25">
      <c r="T51521" s="135"/>
      <c r="U51521" s="135"/>
    </row>
    <row r="51522" spans="20:21" ht="15" customHeight="1" x14ac:dyDescent="0.25">
      <c r="T51522" s="135"/>
      <c r="U51522" s="135"/>
    </row>
    <row r="51523" spans="20:21" ht="15" customHeight="1" x14ac:dyDescent="0.25">
      <c r="T51523" s="135"/>
      <c r="U51523" s="135"/>
    </row>
    <row r="51524" spans="20:21" ht="15" customHeight="1" x14ac:dyDescent="0.25">
      <c r="T51524" s="135"/>
      <c r="U51524" s="135"/>
    </row>
    <row r="51525" spans="20:21" ht="15" customHeight="1" x14ac:dyDescent="0.25">
      <c r="T51525" s="135"/>
      <c r="U51525" s="135"/>
    </row>
    <row r="51526" spans="20:21" ht="15" customHeight="1" x14ac:dyDescent="0.25">
      <c r="T51526" s="135"/>
      <c r="U51526" s="135"/>
    </row>
    <row r="51527" spans="20:21" ht="15" customHeight="1" x14ac:dyDescent="0.25">
      <c r="T51527" s="135"/>
      <c r="U51527" s="135"/>
    </row>
    <row r="51528" spans="20:21" ht="15" customHeight="1" x14ac:dyDescent="0.25">
      <c r="T51528" s="135"/>
      <c r="U51528" s="135"/>
    </row>
    <row r="51529" spans="20:21" ht="15" customHeight="1" x14ac:dyDescent="0.25">
      <c r="T51529" s="135"/>
      <c r="U51529" s="135"/>
    </row>
    <row r="51530" spans="20:21" ht="15" customHeight="1" x14ac:dyDescent="0.25">
      <c r="T51530" s="135"/>
      <c r="U51530" s="135"/>
    </row>
    <row r="51531" spans="20:21" ht="15" customHeight="1" x14ac:dyDescent="0.25">
      <c r="T51531" s="135"/>
      <c r="U51531" s="135"/>
    </row>
    <row r="51532" spans="20:21" ht="15" customHeight="1" x14ac:dyDescent="0.25">
      <c r="T51532" s="135"/>
      <c r="U51532" s="135"/>
    </row>
    <row r="51533" spans="20:21" ht="15" customHeight="1" x14ac:dyDescent="0.25">
      <c r="T51533" s="135"/>
      <c r="U51533" s="135"/>
    </row>
    <row r="51534" spans="20:21" ht="15" customHeight="1" x14ac:dyDescent="0.25">
      <c r="T51534" s="135"/>
      <c r="U51534" s="135"/>
    </row>
    <row r="51535" spans="20:21" ht="15" customHeight="1" x14ac:dyDescent="0.25">
      <c r="T51535" s="135"/>
      <c r="U51535" s="135"/>
    </row>
    <row r="51536" spans="20:21" ht="15" customHeight="1" x14ac:dyDescent="0.25">
      <c r="T51536" s="135"/>
      <c r="U51536" s="135"/>
    </row>
    <row r="51537" spans="20:21" ht="15" customHeight="1" x14ac:dyDescent="0.25">
      <c r="T51537" s="135"/>
      <c r="U51537" s="135"/>
    </row>
    <row r="51538" spans="20:21" ht="15" customHeight="1" x14ac:dyDescent="0.25">
      <c r="T51538" s="135"/>
      <c r="U51538" s="135"/>
    </row>
    <row r="51539" spans="20:21" ht="15" customHeight="1" x14ac:dyDescent="0.25">
      <c r="T51539" s="135"/>
      <c r="U51539" s="135"/>
    </row>
    <row r="51540" spans="20:21" ht="15" customHeight="1" x14ac:dyDescent="0.25">
      <c r="T51540" s="135"/>
      <c r="U51540" s="135"/>
    </row>
    <row r="51541" spans="20:21" ht="15" customHeight="1" x14ac:dyDescent="0.25">
      <c r="T51541" s="135"/>
      <c r="U51541" s="135"/>
    </row>
    <row r="51542" spans="20:21" ht="15" customHeight="1" x14ac:dyDescent="0.25">
      <c r="T51542" s="135"/>
      <c r="U51542" s="135"/>
    </row>
    <row r="51543" spans="20:21" ht="15" customHeight="1" x14ac:dyDescent="0.25">
      <c r="T51543" s="135"/>
      <c r="U51543" s="135"/>
    </row>
    <row r="51544" spans="20:21" ht="15" customHeight="1" x14ac:dyDescent="0.25">
      <c r="T51544" s="135"/>
      <c r="U51544" s="135"/>
    </row>
    <row r="51545" spans="20:21" ht="15" customHeight="1" x14ac:dyDescent="0.25">
      <c r="T51545" s="135"/>
      <c r="U51545" s="135"/>
    </row>
    <row r="51546" spans="20:21" ht="15" customHeight="1" x14ac:dyDescent="0.25">
      <c r="T51546" s="135"/>
      <c r="U51546" s="135"/>
    </row>
    <row r="51547" spans="20:21" ht="15" customHeight="1" x14ac:dyDescent="0.25">
      <c r="T51547" s="135"/>
      <c r="U51547" s="135"/>
    </row>
    <row r="51548" spans="20:21" ht="15" customHeight="1" x14ac:dyDescent="0.25">
      <c r="T51548" s="135"/>
      <c r="U51548" s="135"/>
    </row>
    <row r="51549" spans="20:21" ht="15" customHeight="1" x14ac:dyDescent="0.25">
      <c r="T51549" s="135"/>
      <c r="U51549" s="135"/>
    </row>
    <row r="51550" spans="20:21" ht="15" customHeight="1" x14ac:dyDescent="0.25">
      <c r="T51550" s="135"/>
      <c r="U51550" s="135"/>
    </row>
    <row r="51551" spans="20:21" ht="15" customHeight="1" x14ac:dyDescent="0.25">
      <c r="T51551" s="135"/>
      <c r="U51551" s="135"/>
    </row>
    <row r="51552" spans="20:21" ht="15" customHeight="1" x14ac:dyDescent="0.25">
      <c r="T51552" s="135"/>
      <c r="U51552" s="135"/>
    </row>
    <row r="51553" spans="20:21" ht="15" customHeight="1" x14ac:dyDescent="0.25">
      <c r="T51553" s="135"/>
      <c r="U51553" s="135"/>
    </row>
    <row r="51554" spans="20:21" ht="15" customHeight="1" x14ac:dyDescent="0.25">
      <c r="T51554" s="135"/>
      <c r="U51554" s="135"/>
    </row>
    <row r="51555" spans="20:21" ht="15" customHeight="1" x14ac:dyDescent="0.25">
      <c r="T51555" s="135"/>
      <c r="U51555" s="135"/>
    </row>
    <row r="51556" spans="20:21" ht="15" customHeight="1" x14ac:dyDescent="0.25">
      <c r="T51556" s="135"/>
      <c r="U51556" s="135"/>
    </row>
    <row r="51557" spans="20:21" ht="15" customHeight="1" x14ac:dyDescent="0.25">
      <c r="T51557" s="135"/>
      <c r="U51557" s="135"/>
    </row>
    <row r="51558" spans="20:21" ht="15" customHeight="1" x14ac:dyDescent="0.25">
      <c r="T51558" s="135"/>
      <c r="U51558" s="135"/>
    </row>
    <row r="51559" spans="20:21" ht="15" customHeight="1" x14ac:dyDescent="0.25">
      <c r="T51559" s="135"/>
      <c r="U51559" s="135"/>
    </row>
    <row r="51560" spans="20:21" ht="15" customHeight="1" x14ac:dyDescent="0.25">
      <c r="T51560" s="135"/>
      <c r="U51560" s="135"/>
    </row>
    <row r="51561" spans="20:21" ht="15" customHeight="1" x14ac:dyDescent="0.25">
      <c r="T51561" s="135"/>
      <c r="U51561" s="135"/>
    </row>
    <row r="51562" spans="20:21" ht="15" customHeight="1" x14ac:dyDescent="0.25">
      <c r="T51562" s="135"/>
      <c r="U51562" s="135"/>
    </row>
    <row r="51563" spans="20:21" ht="15" customHeight="1" x14ac:dyDescent="0.25">
      <c r="T51563" s="135"/>
      <c r="U51563" s="135"/>
    </row>
    <row r="51564" spans="20:21" ht="15" customHeight="1" x14ac:dyDescent="0.25">
      <c r="T51564" s="135"/>
      <c r="U51564" s="135"/>
    </row>
    <row r="51565" spans="20:21" ht="15" customHeight="1" x14ac:dyDescent="0.25">
      <c r="T51565" s="135"/>
      <c r="U51565" s="135"/>
    </row>
    <row r="51566" spans="20:21" ht="15" customHeight="1" x14ac:dyDescent="0.25">
      <c r="T51566" s="135"/>
      <c r="U51566" s="135"/>
    </row>
    <row r="51567" spans="20:21" ht="15" customHeight="1" x14ac:dyDescent="0.25">
      <c r="T51567" s="135"/>
      <c r="U51567" s="135"/>
    </row>
    <row r="51568" spans="20:21" ht="15" customHeight="1" x14ac:dyDescent="0.25">
      <c r="T51568" s="135"/>
      <c r="U51568" s="135"/>
    </row>
    <row r="51569" spans="20:21" ht="15" customHeight="1" x14ac:dyDescent="0.25">
      <c r="T51569" s="135"/>
      <c r="U51569" s="135"/>
    </row>
    <row r="51570" spans="20:21" ht="15" customHeight="1" x14ac:dyDescent="0.25">
      <c r="T51570" s="135"/>
      <c r="U51570" s="135"/>
    </row>
    <row r="51571" spans="20:21" ht="15" customHeight="1" x14ac:dyDescent="0.25">
      <c r="T51571" s="135"/>
      <c r="U51571" s="135"/>
    </row>
    <row r="51572" spans="20:21" ht="15" customHeight="1" x14ac:dyDescent="0.25">
      <c r="T51572" s="135"/>
      <c r="U51572" s="135"/>
    </row>
    <row r="51573" spans="20:21" ht="15" customHeight="1" x14ac:dyDescent="0.25">
      <c r="T51573" s="135"/>
      <c r="U51573" s="135"/>
    </row>
    <row r="51574" spans="20:21" ht="15" customHeight="1" x14ac:dyDescent="0.25">
      <c r="T51574" s="135"/>
      <c r="U51574" s="135"/>
    </row>
    <row r="51575" spans="20:21" ht="15" customHeight="1" x14ac:dyDescent="0.25">
      <c r="T51575" s="135"/>
      <c r="U51575" s="135"/>
    </row>
    <row r="51576" spans="20:21" ht="15" customHeight="1" x14ac:dyDescent="0.25">
      <c r="T51576" s="135"/>
      <c r="U51576" s="135"/>
    </row>
    <row r="51577" spans="20:21" ht="15" customHeight="1" x14ac:dyDescent="0.25">
      <c r="T51577" s="135"/>
      <c r="U51577" s="135"/>
    </row>
    <row r="51578" spans="20:21" ht="15" customHeight="1" x14ac:dyDescent="0.25">
      <c r="T51578" s="135"/>
      <c r="U51578" s="135"/>
    </row>
    <row r="51579" spans="20:21" ht="15" customHeight="1" x14ac:dyDescent="0.25">
      <c r="T51579" s="135"/>
      <c r="U51579" s="135"/>
    </row>
    <row r="51580" spans="20:21" ht="15" customHeight="1" x14ac:dyDescent="0.25">
      <c r="T51580" s="135"/>
      <c r="U51580" s="135"/>
    </row>
    <row r="51581" spans="20:21" ht="15" customHeight="1" x14ac:dyDescent="0.25">
      <c r="T51581" s="135"/>
      <c r="U51581" s="135"/>
    </row>
    <row r="51582" spans="20:21" ht="15" customHeight="1" x14ac:dyDescent="0.25">
      <c r="T51582" s="135"/>
      <c r="U51582" s="135"/>
    </row>
    <row r="51583" spans="20:21" ht="15" customHeight="1" x14ac:dyDescent="0.25">
      <c r="T51583" s="135"/>
      <c r="U51583" s="135"/>
    </row>
    <row r="51584" spans="20:21" ht="15" customHeight="1" x14ac:dyDescent="0.25">
      <c r="T51584" s="135"/>
      <c r="U51584" s="135"/>
    </row>
    <row r="51585" spans="20:21" ht="15" customHeight="1" x14ac:dyDescent="0.25">
      <c r="T51585" s="135"/>
      <c r="U51585" s="135"/>
    </row>
    <row r="51586" spans="20:21" ht="15" customHeight="1" x14ac:dyDescent="0.25">
      <c r="T51586" s="135"/>
      <c r="U51586" s="135"/>
    </row>
    <row r="51587" spans="20:21" ht="15" customHeight="1" x14ac:dyDescent="0.25">
      <c r="T51587" s="135"/>
      <c r="U51587" s="135"/>
    </row>
    <row r="51588" spans="20:21" ht="15" customHeight="1" x14ac:dyDescent="0.25">
      <c r="T51588" s="135"/>
      <c r="U51588" s="135"/>
    </row>
    <row r="51589" spans="20:21" ht="15" customHeight="1" x14ac:dyDescent="0.25">
      <c r="T51589" s="135"/>
      <c r="U51589" s="135"/>
    </row>
    <row r="51590" spans="20:21" ht="15" customHeight="1" x14ac:dyDescent="0.25">
      <c r="T51590" s="135"/>
      <c r="U51590" s="135"/>
    </row>
    <row r="51591" spans="20:21" ht="15" customHeight="1" x14ac:dyDescent="0.25">
      <c r="T51591" s="135"/>
      <c r="U51591" s="135"/>
    </row>
    <row r="51592" spans="20:21" ht="15" customHeight="1" x14ac:dyDescent="0.25">
      <c r="T51592" s="135"/>
      <c r="U51592" s="135"/>
    </row>
    <row r="51593" spans="20:21" ht="15" customHeight="1" x14ac:dyDescent="0.25">
      <c r="T51593" s="135"/>
      <c r="U51593" s="135"/>
    </row>
    <row r="51594" spans="20:21" ht="15" customHeight="1" x14ac:dyDescent="0.25">
      <c r="T51594" s="135"/>
      <c r="U51594" s="135"/>
    </row>
    <row r="51595" spans="20:21" ht="15" customHeight="1" x14ac:dyDescent="0.25">
      <c r="T51595" s="135"/>
      <c r="U51595" s="135"/>
    </row>
    <row r="51596" spans="20:21" ht="15" customHeight="1" x14ac:dyDescent="0.25">
      <c r="T51596" s="135"/>
      <c r="U51596" s="135"/>
    </row>
    <row r="51597" spans="20:21" ht="15" customHeight="1" x14ac:dyDescent="0.25">
      <c r="T51597" s="135"/>
      <c r="U51597" s="135"/>
    </row>
    <row r="51598" spans="20:21" ht="15" customHeight="1" x14ac:dyDescent="0.25">
      <c r="T51598" s="135"/>
      <c r="U51598" s="135"/>
    </row>
    <row r="51599" spans="20:21" ht="15" customHeight="1" x14ac:dyDescent="0.25">
      <c r="T51599" s="135"/>
      <c r="U51599" s="135"/>
    </row>
    <row r="51600" spans="20:21" ht="15" customHeight="1" x14ac:dyDescent="0.25">
      <c r="T51600" s="135"/>
      <c r="U51600" s="135"/>
    </row>
    <row r="51601" spans="20:21" ht="15" customHeight="1" x14ac:dyDescent="0.25">
      <c r="T51601" s="135"/>
      <c r="U51601" s="135"/>
    </row>
    <row r="51602" spans="20:21" ht="15" customHeight="1" x14ac:dyDescent="0.25">
      <c r="T51602" s="135"/>
      <c r="U51602" s="135"/>
    </row>
    <row r="51603" spans="20:21" ht="15" customHeight="1" x14ac:dyDescent="0.25">
      <c r="T51603" s="135"/>
      <c r="U51603" s="135"/>
    </row>
    <row r="51604" spans="20:21" ht="15" customHeight="1" x14ac:dyDescent="0.25">
      <c r="T51604" s="135"/>
      <c r="U51604" s="135"/>
    </row>
    <row r="51605" spans="20:21" ht="15" customHeight="1" x14ac:dyDescent="0.25">
      <c r="T51605" s="135"/>
      <c r="U51605" s="135"/>
    </row>
    <row r="51606" spans="20:21" ht="15" customHeight="1" x14ac:dyDescent="0.25">
      <c r="T51606" s="135"/>
      <c r="U51606" s="135"/>
    </row>
    <row r="51607" spans="20:21" ht="15" customHeight="1" x14ac:dyDescent="0.25">
      <c r="T51607" s="135"/>
      <c r="U51607" s="135"/>
    </row>
    <row r="51608" spans="20:21" ht="15" customHeight="1" x14ac:dyDescent="0.25">
      <c r="T51608" s="135"/>
      <c r="U51608" s="135"/>
    </row>
    <row r="51609" spans="20:21" ht="15" customHeight="1" x14ac:dyDescent="0.25">
      <c r="T51609" s="135"/>
      <c r="U51609" s="135"/>
    </row>
    <row r="51610" spans="20:21" ht="15" customHeight="1" x14ac:dyDescent="0.25">
      <c r="T51610" s="135"/>
      <c r="U51610" s="135"/>
    </row>
    <row r="51611" spans="20:21" ht="15" customHeight="1" x14ac:dyDescent="0.25">
      <c r="T51611" s="135"/>
      <c r="U51611" s="135"/>
    </row>
    <row r="51612" spans="20:21" ht="15" customHeight="1" x14ac:dyDescent="0.25">
      <c r="T51612" s="135"/>
      <c r="U51612" s="135"/>
    </row>
    <row r="51613" spans="20:21" ht="15" customHeight="1" x14ac:dyDescent="0.25">
      <c r="T51613" s="135"/>
      <c r="U51613" s="135"/>
    </row>
    <row r="51614" spans="20:21" ht="15" customHeight="1" x14ac:dyDescent="0.25">
      <c r="T51614" s="135"/>
      <c r="U51614" s="135"/>
    </row>
    <row r="51615" spans="20:21" ht="15" customHeight="1" x14ac:dyDescent="0.25">
      <c r="T51615" s="135"/>
      <c r="U51615" s="135"/>
    </row>
    <row r="51616" spans="20:21" ht="15" customHeight="1" x14ac:dyDescent="0.25">
      <c r="T51616" s="135"/>
      <c r="U51616" s="135"/>
    </row>
    <row r="51617" spans="20:21" ht="15" customHeight="1" x14ac:dyDescent="0.25">
      <c r="T51617" s="135"/>
      <c r="U51617" s="135"/>
    </row>
    <row r="51618" spans="20:21" ht="15" customHeight="1" x14ac:dyDescent="0.25">
      <c r="T51618" s="135"/>
      <c r="U51618" s="135"/>
    </row>
    <row r="51619" spans="20:21" ht="15" customHeight="1" x14ac:dyDescent="0.25">
      <c r="T51619" s="135"/>
      <c r="U51619" s="135"/>
    </row>
    <row r="51620" spans="20:21" ht="15" customHeight="1" x14ac:dyDescent="0.25">
      <c r="T51620" s="135"/>
      <c r="U51620" s="135"/>
    </row>
    <row r="51621" spans="20:21" ht="15" customHeight="1" x14ac:dyDescent="0.25">
      <c r="T51621" s="135"/>
      <c r="U51621" s="135"/>
    </row>
    <row r="51622" spans="20:21" ht="15" customHeight="1" x14ac:dyDescent="0.25">
      <c r="T51622" s="135"/>
      <c r="U51622" s="135"/>
    </row>
    <row r="51623" spans="20:21" ht="15" customHeight="1" x14ac:dyDescent="0.25">
      <c r="T51623" s="135"/>
      <c r="U51623" s="135"/>
    </row>
    <row r="51624" spans="20:21" ht="15" customHeight="1" x14ac:dyDescent="0.25">
      <c r="T51624" s="135"/>
      <c r="U51624" s="135"/>
    </row>
    <row r="51625" spans="20:21" ht="15" customHeight="1" x14ac:dyDescent="0.25">
      <c r="T51625" s="135"/>
      <c r="U51625" s="135"/>
    </row>
    <row r="51626" spans="20:21" ht="15" customHeight="1" x14ac:dyDescent="0.25">
      <c r="T51626" s="135"/>
      <c r="U51626" s="135"/>
    </row>
    <row r="51627" spans="20:21" ht="15" customHeight="1" x14ac:dyDescent="0.25">
      <c r="T51627" s="135"/>
      <c r="U51627" s="135"/>
    </row>
    <row r="51628" spans="20:21" ht="15" customHeight="1" x14ac:dyDescent="0.25">
      <c r="T51628" s="135"/>
      <c r="U51628" s="135"/>
    </row>
    <row r="51629" spans="20:21" ht="15" customHeight="1" x14ac:dyDescent="0.25">
      <c r="T51629" s="135"/>
      <c r="U51629" s="135"/>
    </row>
    <row r="51630" spans="20:21" ht="15" customHeight="1" x14ac:dyDescent="0.25">
      <c r="T51630" s="135"/>
      <c r="U51630" s="135"/>
    </row>
    <row r="51631" spans="20:21" ht="15" customHeight="1" x14ac:dyDescent="0.25">
      <c r="T51631" s="135"/>
      <c r="U51631" s="135"/>
    </row>
    <row r="51632" spans="20:21" ht="15" customHeight="1" x14ac:dyDescent="0.25">
      <c r="T51632" s="135"/>
      <c r="U51632" s="135"/>
    </row>
    <row r="51633" spans="20:21" ht="15" customHeight="1" x14ac:dyDescent="0.25">
      <c r="T51633" s="135"/>
      <c r="U51633" s="135"/>
    </row>
    <row r="51634" spans="20:21" ht="15" customHeight="1" x14ac:dyDescent="0.25">
      <c r="T51634" s="135"/>
      <c r="U51634" s="135"/>
    </row>
    <row r="51635" spans="20:21" ht="15" customHeight="1" x14ac:dyDescent="0.25">
      <c r="T51635" s="135"/>
      <c r="U51635" s="135"/>
    </row>
    <row r="51636" spans="20:21" ht="15" customHeight="1" x14ac:dyDescent="0.25">
      <c r="T51636" s="135"/>
      <c r="U51636" s="135"/>
    </row>
    <row r="51637" spans="20:21" ht="15" customHeight="1" x14ac:dyDescent="0.25">
      <c r="T51637" s="135"/>
      <c r="U51637" s="135"/>
    </row>
    <row r="51638" spans="20:21" ht="15" customHeight="1" x14ac:dyDescent="0.25">
      <c r="T51638" s="135"/>
      <c r="U51638" s="135"/>
    </row>
    <row r="51639" spans="20:21" ht="15" customHeight="1" x14ac:dyDescent="0.25">
      <c r="T51639" s="135"/>
      <c r="U51639" s="135"/>
    </row>
    <row r="51640" spans="20:21" ht="15" customHeight="1" x14ac:dyDescent="0.25">
      <c r="T51640" s="135"/>
      <c r="U51640" s="135"/>
    </row>
    <row r="51641" spans="20:21" ht="15" customHeight="1" x14ac:dyDescent="0.25">
      <c r="T51641" s="135"/>
      <c r="U51641" s="135"/>
    </row>
    <row r="51642" spans="20:21" ht="15" customHeight="1" x14ac:dyDescent="0.25">
      <c r="T51642" s="135"/>
      <c r="U51642" s="135"/>
    </row>
    <row r="51643" spans="20:21" ht="15" customHeight="1" x14ac:dyDescent="0.25">
      <c r="T51643" s="135"/>
      <c r="U51643" s="135"/>
    </row>
    <row r="51644" spans="20:21" ht="15" customHeight="1" x14ac:dyDescent="0.25">
      <c r="T51644" s="135"/>
      <c r="U51644" s="135"/>
    </row>
    <row r="51645" spans="20:21" ht="15" customHeight="1" x14ac:dyDescent="0.25">
      <c r="T51645" s="135"/>
      <c r="U51645" s="135"/>
    </row>
    <row r="51646" spans="20:21" ht="15" customHeight="1" x14ac:dyDescent="0.25">
      <c r="T51646" s="135"/>
      <c r="U51646" s="135"/>
    </row>
    <row r="51647" spans="20:21" ht="15" customHeight="1" x14ac:dyDescent="0.25">
      <c r="T51647" s="135"/>
      <c r="U51647" s="135"/>
    </row>
    <row r="51648" spans="20:21" ht="15" customHeight="1" x14ac:dyDescent="0.25">
      <c r="T51648" s="135"/>
      <c r="U51648" s="135"/>
    </row>
    <row r="51649" spans="20:21" ht="15" customHeight="1" x14ac:dyDescent="0.25">
      <c r="T51649" s="135"/>
      <c r="U51649" s="135"/>
    </row>
    <row r="51650" spans="20:21" ht="15" customHeight="1" x14ac:dyDescent="0.25">
      <c r="T51650" s="135"/>
      <c r="U51650" s="135"/>
    </row>
    <row r="51651" spans="20:21" ht="15" customHeight="1" x14ac:dyDescent="0.25">
      <c r="T51651" s="135"/>
      <c r="U51651" s="135"/>
    </row>
    <row r="51652" spans="20:21" ht="15" customHeight="1" x14ac:dyDescent="0.25">
      <c r="T51652" s="135"/>
      <c r="U51652" s="135"/>
    </row>
    <row r="51653" spans="20:21" ht="15" customHeight="1" x14ac:dyDescent="0.25">
      <c r="T51653" s="135"/>
      <c r="U51653" s="135"/>
    </row>
    <row r="51654" spans="20:21" ht="15" customHeight="1" x14ac:dyDescent="0.25">
      <c r="T51654" s="135"/>
      <c r="U51654" s="135"/>
    </row>
    <row r="51655" spans="20:21" ht="15" customHeight="1" x14ac:dyDescent="0.25">
      <c r="T51655" s="135"/>
      <c r="U51655" s="135"/>
    </row>
    <row r="51656" spans="20:21" ht="15" customHeight="1" x14ac:dyDescent="0.25">
      <c r="T51656" s="135"/>
      <c r="U51656" s="135"/>
    </row>
    <row r="51657" spans="20:21" ht="15" customHeight="1" x14ac:dyDescent="0.25">
      <c r="T51657" s="135"/>
      <c r="U51657" s="135"/>
    </row>
    <row r="51658" spans="20:21" ht="15" customHeight="1" x14ac:dyDescent="0.25">
      <c r="T51658" s="135"/>
      <c r="U51658" s="135"/>
    </row>
    <row r="51659" spans="20:21" ht="15" customHeight="1" x14ac:dyDescent="0.25">
      <c r="T51659" s="135"/>
      <c r="U51659" s="135"/>
    </row>
    <row r="51660" spans="20:21" ht="15" customHeight="1" x14ac:dyDescent="0.25">
      <c r="T51660" s="135"/>
      <c r="U51660" s="135"/>
    </row>
    <row r="51661" spans="20:21" ht="15" customHeight="1" x14ac:dyDescent="0.25">
      <c r="T51661" s="135"/>
      <c r="U51661" s="135"/>
    </row>
    <row r="51662" spans="20:21" ht="15" customHeight="1" x14ac:dyDescent="0.25">
      <c r="T51662" s="135"/>
      <c r="U51662" s="135"/>
    </row>
    <row r="51663" spans="20:21" ht="15" customHeight="1" x14ac:dyDescent="0.25">
      <c r="T51663" s="135"/>
      <c r="U51663" s="135"/>
    </row>
    <row r="51664" spans="20:21" ht="15" customHeight="1" x14ac:dyDescent="0.25">
      <c r="T51664" s="135"/>
      <c r="U51664" s="135"/>
    </row>
    <row r="51665" spans="20:21" ht="15" customHeight="1" x14ac:dyDescent="0.25">
      <c r="T51665" s="135"/>
      <c r="U51665" s="135"/>
    </row>
    <row r="51666" spans="20:21" ht="15" customHeight="1" x14ac:dyDescent="0.25">
      <c r="T51666" s="135"/>
      <c r="U51666" s="135"/>
    </row>
    <row r="51667" spans="20:21" ht="15" customHeight="1" x14ac:dyDescent="0.25">
      <c r="T51667" s="135"/>
      <c r="U51667" s="135"/>
    </row>
    <row r="51668" spans="20:21" ht="15" customHeight="1" x14ac:dyDescent="0.25">
      <c r="T51668" s="135"/>
      <c r="U51668" s="135"/>
    </row>
    <row r="51669" spans="20:21" ht="15" customHeight="1" x14ac:dyDescent="0.25">
      <c r="T51669" s="135"/>
      <c r="U51669" s="135"/>
    </row>
    <row r="51670" spans="20:21" ht="15" customHeight="1" x14ac:dyDescent="0.25">
      <c r="T51670" s="135"/>
      <c r="U51670" s="135"/>
    </row>
    <row r="51671" spans="20:21" ht="15" customHeight="1" x14ac:dyDescent="0.25">
      <c r="T51671" s="135"/>
      <c r="U51671" s="135"/>
    </row>
    <row r="51672" spans="20:21" ht="15" customHeight="1" x14ac:dyDescent="0.25">
      <c r="T51672" s="135"/>
      <c r="U51672" s="135"/>
    </row>
    <row r="51673" spans="20:21" ht="15" customHeight="1" x14ac:dyDescent="0.25">
      <c r="T51673" s="135"/>
      <c r="U51673" s="135"/>
    </row>
    <row r="51674" spans="20:21" ht="15" customHeight="1" x14ac:dyDescent="0.25">
      <c r="T51674" s="135"/>
      <c r="U51674" s="135"/>
    </row>
    <row r="51675" spans="20:21" ht="15" customHeight="1" x14ac:dyDescent="0.25">
      <c r="T51675" s="135"/>
      <c r="U51675" s="135"/>
    </row>
    <row r="51676" spans="20:21" ht="15" customHeight="1" x14ac:dyDescent="0.25">
      <c r="T51676" s="135"/>
      <c r="U51676" s="135"/>
    </row>
    <row r="51677" spans="20:21" ht="15" customHeight="1" x14ac:dyDescent="0.25">
      <c r="T51677" s="135"/>
      <c r="U51677" s="135"/>
    </row>
    <row r="51678" spans="20:21" ht="15" customHeight="1" x14ac:dyDescent="0.25">
      <c r="T51678" s="135"/>
      <c r="U51678" s="135"/>
    </row>
    <row r="51679" spans="20:21" ht="15" customHeight="1" x14ac:dyDescent="0.25">
      <c r="T51679" s="135"/>
      <c r="U51679" s="135"/>
    </row>
    <row r="51680" spans="20:21" ht="15" customHeight="1" x14ac:dyDescent="0.25">
      <c r="T51680" s="135"/>
      <c r="U51680" s="135"/>
    </row>
    <row r="51681" spans="20:21" ht="15" customHeight="1" x14ac:dyDescent="0.25">
      <c r="T51681" s="135"/>
      <c r="U51681" s="135"/>
    </row>
    <row r="51682" spans="20:21" ht="15" customHeight="1" x14ac:dyDescent="0.25">
      <c r="T51682" s="135"/>
      <c r="U51682" s="135"/>
    </row>
    <row r="51683" spans="20:21" ht="15" customHeight="1" x14ac:dyDescent="0.25">
      <c r="T51683" s="135"/>
      <c r="U51683" s="135"/>
    </row>
    <row r="51684" spans="20:21" ht="15" customHeight="1" x14ac:dyDescent="0.25">
      <c r="T51684" s="135"/>
      <c r="U51684" s="135"/>
    </row>
    <row r="51685" spans="20:21" ht="15" customHeight="1" x14ac:dyDescent="0.25">
      <c r="T51685" s="135"/>
      <c r="U51685" s="135"/>
    </row>
    <row r="51686" spans="20:21" ht="15" customHeight="1" x14ac:dyDescent="0.25">
      <c r="T51686" s="135"/>
      <c r="U51686" s="135"/>
    </row>
    <row r="51687" spans="20:21" ht="15" customHeight="1" x14ac:dyDescent="0.25">
      <c r="T51687" s="135"/>
      <c r="U51687" s="135"/>
    </row>
    <row r="51688" spans="20:21" ht="15" customHeight="1" x14ac:dyDescent="0.25">
      <c r="T51688" s="135"/>
      <c r="U51688" s="135"/>
    </row>
    <row r="51689" spans="20:21" ht="15" customHeight="1" x14ac:dyDescent="0.25">
      <c r="T51689" s="135"/>
      <c r="U51689" s="135"/>
    </row>
    <row r="51690" spans="20:21" ht="15" customHeight="1" x14ac:dyDescent="0.25">
      <c r="T51690" s="135"/>
      <c r="U51690" s="135"/>
    </row>
    <row r="51691" spans="20:21" ht="15" customHeight="1" x14ac:dyDescent="0.25">
      <c r="T51691" s="135"/>
      <c r="U51691" s="135"/>
    </row>
    <row r="51692" spans="20:21" ht="15" customHeight="1" x14ac:dyDescent="0.25">
      <c r="T51692" s="135"/>
      <c r="U51692" s="135"/>
    </row>
    <row r="51693" spans="20:21" ht="15" customHeight="1" x14ac:dyDescent="0.25">
      <c r="T51693" s="135"/>
      <c r="U51693" s="135"/>
    </row>
    <row r="51694" spans="20:21" ht="15" customHeight="1" x14ac:dyDescent="0.25">
      <c r="T51694" s="135"/>
      <c r="U51694" s="135"/>
    </row>
    <row r="51695" spans="20:21" ht="15" customHeight="1" x14ac:dyDescent="0.25">
      <c r="T51695" s="135"/>
      <c r="U51695" s="135"/>
    </row>
    <row r="51696" spans="20:21" ht="15" customHeight="1" x14ac:dyDescent="0.25">
      <c r="T51696" s="135"/>
      <c r="U51696" s="135"/>
    </row>
    <row r="51697" spans="20:21" ht="15" customHeight="1" x14ac:dyDescent="0.25">
      <c r="T51697" s="135"/>
      <c r="U51697" s="135"/>
    </row>
    <row r="51698" spans="20:21" ht="15" customHeight="1" x14ac:dyDescent="0.25">
      <c r="T51698" s="135"/>
      <c r="U51698" s="135"/>
    </row>
    <row r="51699" spans="20:21" ht="15" customHeight="1" x14ac:dyDescent="0.25">
      <c r="T51699" s="135"/>
      <c r="U51699" s="135"/>
    </row>
    <row r="51700" spans="20:21" ht="15" customHeight="1" x14ac:dyDescent="0.25">
      <c r="T51700" s="135"/>
      <c r="U51700" s="135"/>
    </row>
    <row r="51701" spans="20:21" ht="15" customHeight="1" x14ac:dyDescent="0.25">
      <c r="T51701" s="135"/>
      <c r="U51701" s="135"/>
    </row>
    <row r="51702" spans="20:21" ht="15" customHeight="1" x14ac:dyDescent="0.25">
      <c r="T51702" s="135"/>
      <c r="U51702" s="135"/>
    </row>
    <row r="51703" spans="20:21" ht="15" customHeight="1" x14ac:dyDescent="0.25">
      <c r="T51703" s="135"/>
      <c r="U51703" s="135"/>
    </row>
    <row r="51704" spans="20:21" ht="15" customHeight="1" x14ac:dyDescent="0.25">
      <c r="T51704" s="135"/>
      <c r="U51704" s="135"/>
    </row>
    <row r="51705" spans="20:21" ht="15" customHeight="1" x14ac:dyDescent="0.25">
      <c r="T51705" s="135"/>
      <c r="U51705" s="135"/>
    </row>
    <row r="51706" spans="20:21" ht="15" customHeight="1" x14ac:dyDescent="0.25">
      <c r="T51706" s="135"/>
      <c r="U51706" s="135"/>
    </row>
    <row r="51707" spans="20:21" ht="15" customHeight="1" x14ac:dyDescent="0.25">
      <c r="T51707" s="135"/>
      <c r="U51707" s="135"/>
    </row>
    <row r="51708" spans="20:21" ht="15" customHeight="1" x14ac:dyDescent="0.25">
      <c r="T51708" s="135"/>
      <c r="U51708" s="135"/>
    </row>
    <row r="51709" spans="20:21" ht="15" customHeight="1" x14ac:dyDescent="0.25">
      <c r="T51709" s="135"/>
      <c r="U51709" s="135"/>
    </row>
    <row r="51710" spans="20:21" ht="15" customHeight="1" x14ac:dyDescent="0.25">
      <c r="T51710" s="135"/>
      <c r="U51710" s="135"/>
    </row>
    <row r="51711" spans="20:21" ht="15" customHeight="1" x14ac:dyDescent="0.25">
      <c r="T51711" s="135"/>
      <c r="U51711" s="135"/>
    </row>
    <row r="51712" spans="20:21" ht="15" customHeight="1" x14ac:dyDescent="0.25">
      <c r="T51712" s="135"/>
      <c r="U51712" s="135"/>
    </row>
    <row r="51713" spans="20:21" ht="15" customHeight="1" x14ac:dyDescent="0.25">
      <c r="T51713" s="135"/>
      <c r="U51713" s="135"/>
    </row>
    <row r="51714" spans="20:21" ht="15" customHeight="1" x14ac:dyDescent="0.25">
      <c r="T51714" s="135"/>
      <c r="U51714" s="135"/>
    </row>
    <row r="51715" spans="20:21" ht="15" customHeight="1" x14ac:dyDescent="0.25">
      <c r="T51715" s="135"/>
      <c r="U51715" s="135"/>
    </row>
    <row r="51716" spans="20:21" ht="15" customHeight="1" x14ac:dyDescent="0.25">
      <c r="T51716" s="135"/>
      <c r="U51716" s="135"/>
    </row>
    <row r="51717" spans="20:21" ht="15" customHeight="1" x14ac:dyDescent="0.25">
      <c r="T51717" s="135"/>
      <c r="U51717" s="135"/>
    </row>
    <row r="51718" spans="20:21" ht="15" customHeight="1" x14ac:dyDescent="0.25">
      <c r="T51718" s="135"/>
      <c r="U51718" s="135"/>
    </row>
    <row r="51719" spans="20:21" ht="15" customHeight="1" x14ac:dyDescent="0.25">
      <c r="T51719" s="135"/>
      <c r="U51719" s="135"/>
    </row>
    <row r="51720" spans="20:21" ht="15" customHeight="1" x14ac:dyDescent="0.25">
      <c r="T51720" s="135"/>
      <c r="U51720" s="135"/>
    </row>
    <row r="51721" spans="20:21" ht="15" customHeight="1" x14ac:dyDescent="0.25">
      <c r="T51721" s="135"/>
      <c r="U51721" s="135"/>
    </row>
    <row r="51722" spans="20:21" ht="15" customHeight="1" x14ac:dyDescent="0.25">
      <c r="T51722" s="135"/>
      <c r="U51722" s="135"/>
    </row>
    <row r="51723" spans="20:21" ht="15" customHeight="1" x14ac:dyDescent="0.25">
      <c r="T51723" s="135"/>
      <c r="U51723" s="135"/>
    </row>
    <row r="51724" spans="20:21" ht="15" customHeight="1" x14ac:dyDescent="0.25">
      <c r="T51724" s="135"/>
      <c r="U51724" s="135"/>
    </row>
    <row r="51725" spans="20:21" ht="15" customHeight="1" x14ac:dyDescent="0.25">
      <c r="T51725" s="135"/>
      <c r="U51725" s="135"/>
    </row>
    <row r="51726" spans="20:21" ht="15" customHeight="1" x14ac:dyDescent="0.25">
      <c r="T51726" s="135"/>
      <c r="U51726" s="135"/>
    </row>
    <row r="51727" spans="20:21" ht="15" customHeight="1" x14ac:dyDescent="0.25">
      <c r="T51727" s="135"/>
      <c r="U51727" s="135"/>
    </row>
    <row r="51728" spans="20:21" ht="15" customHeight="1" x14ac:dyDescent="0.25">
      <c r="T51728" s="135"/>
      <c r="U51728" s="135"/>
    </row>
    <row r="51729" spans="20:21" ht="15" customHeight="1" x14ac:dyDescent="0.25">
      <c r="T51729" s="135"/>
      <c r="U51729" s="135"/>
    </row>
    <row r="51730" spans="20:21" ht="15" customHeight="1" x14ac:dyDescent="0.25">
      <c r="T51730" s="135"/>
      <c r="U51730" s="135"/>
    </row>
    <row r="51731" spans="20:21" ht="15" customHeight="1" x14ac:dyDescent="0.25">
      <c r="T51731" s="135"/>
      <c r="U51731" s="135"/>
    </row>
    <row r="51732" spans="20:21" ht="15" customHeight="1" x14ac:dyDescent="0.25">
      <c r="T51732" s="135"/>
      <c r="U51732" s="135"/>
    </row>
    <row r="51733" spans="20:21" ht="15" customHeight="1" x14ac:dyDescent="0.25">
      <c r="T51733" s="135"/>
      <c r="U51733" s="135"/>
    </row>
    <row r="51734" spans="20:21" ht="15" customHeight="1" x14ac:dyDescent="0.25">
      <c r="T51734" s="135"/>
      <c r="U51734" s="135"/>
    </row>
    <row r="51735" spans="20:21" ht="15" customHeight="1" x14ac:dyDescent="0.25">
      <c r="T51735" s="135"/>
      <c r="U51735" s="135"/>
    </row>
    <row r="51736" spans="20:21" ht="15" customHeight="1" x14ac:dyDescent="0.25">
      <c r="T51736" s="135"/>
      <c r="U51736" s="135"/>
    </row>
    <row r="51737" spans="20:21" ht="15" customHeight="1" x14ac:dyDescent="0.25">
      <c r="T51737" s="135"/>
      <c r="U51737" s="135"/>
    </row>
    <row r="51738" spans="20:21" ht="15" customHeight="1" x14ac:dyDescent="0.25">
      <c r="T51738" s="135"/>
      <c r="U51738" s="135"/>
    </row>
    <row r="51739" spans="20:21" ht="15" customHeight="1" x14ac:dyDescent="0.25">
      <c r="T51739" s="135"/>
      <c r="U51739" s="135"/>
    </row>
    <row r="51740" spans="20:21" ht="15" customHeight="1" x14ac:dyDescent="0.25">
      <c r="T51740" s="135"/>
      <c r="U51740" s="135"/>
    </row>
    <row r="51741" spans="20:21" ht="15" customHeight="1" x14ac:dyDescent="0.25">
      <c r="T51741" s="135"/>
      <c r="U51741" s="135"/>
    </row>
    <row r="51742" spans="20:21" ht="15" customHeight="1" x14ac:dyDescent="0.25">
      <c r="T51742" s="135"/>
      <c r="U51742" s="135"/>
    </row>
    <row r="51743" spans="20:21" ht="15" customHeight="1" x14ac:dyDescent="0.25">
      <c r="T51743" s="135"/>
      <c r="U51743" s="135"/>
    </row>
    <row r="51744" spans="20:21" ht="15" customHeight="1" x14ac:dyDescent="0.25">
      <c r="T51744" s="135"/>
      <c r="U51744" s="135"/>
    </row>
    <row r="51745" spans="20:21" ht="15" customHeight="1" x14ac:dyDescent="0.25">
      <c r="T51745" s="135"/>
      <c r="U51745" s="135"/>
    </row>
    <row r="51746" spans="20:21" ht="15" customHeight="1" x14ac:dyDescent="0.25">
      <c r="T51746" s="135"/>
      <c r="U51746" s="135"/>
    </row>
    <row r="51747" spans="20:21" ht="15" customHeight="1" x14ac:dyDescent="0.25">
      <c r="T51747" s="135"/>
      <c r="U51747" s="135"/>
    </row>
    <row r="51748" spans="20:21" ht="15" customHeight="1" x14ac:dyDescent="0.25">
      <c r="T51748" s="135"/>
      <c r="U51748" s="135"/>
    </row>
    <row r="51749" spans="20:21" ht="15" customHeight="1" x14ac:dyDescent="0.25">
      <c r="T51749" s="135"/>
      <c r="U51749" s="135"/>
    </row>
    <row r="51750" spans="20:21" ht="15" customHeight="1" x14ac:dyDescent="0.25">
      <c r="T51750" s="135"/>
      <c r="U51750" s="135"/>
    </row>
    <row r="51751" spans="20:21" ht="15" customHeight="1" x14ac:dyDescent="0.25">
      <c r="T51751" s="135"/>
      <c r="U51751" s="135"/>
    </row>
    <row r="51752" spans="20:21" ht="15" customHeight="1" x14ac:dyDescent="0.25">
      <c r="T51752" s="135"/>
      <c r="U51752" s="135"/>
    </row>
    <row r="51753" spans="20:21" ht="15" customHeight="1" x14ac:dyDescent="0.25">
      <c r="T51753" s="135"/>
      <c r="U51753" s="135"/>
    </row>
    <row r="51754" spans="20:21" ht="15" customHeight="1" x14ac:dyDescent="0.25">
      <c r="T51754" s="135"/>
      <c r="U51754" s="135"/>
    </row>
    <row r="51755" spans="20:21" ht="15" customHeight="1" x14ac:dyDescent="0.25">
      <c r="T51755" s="135"/>
      <c r="U51755" s="135"/>
    </row>
    <row r="51756" spans="20:21" ht="15" customHeight="1" x14ac:dyDescent="0.25">
      <c r="T51756" s="135"/>
      <c r="U51756" s="135"/>
    </row>
    <row r="51757" spans="20:21" ht="15" customHeight="1" x14ac:dyDescent="0.25">
      <c r="T51757" s="135"/>
      <c r="U51757" s="135"/>
    </row>
    <row r="51758" spans="20:21" ht="15" customHeight="1" x14ac:dyDescent="0.25">
      <c r="T51758" s="135"/>
      <c r="U51758" s="135"/>
    </row>
    <row r="51759" spans="20:21" ht="15" customHeight="1" x14ac:dyDescent="0.25">
      <c r="T51759" s="135"/>
      <c r="U51759" s="135"/>
    </row>
    <row r="51760" spans="20:21" ht="15" customHeight="1" x14ac:dyDescent="0.25">
      <c r="T51760" s="135"/>
      <c r="U51760" s="135"/>
    </row>
    <row r="51761" spans="20:21" ht="15" customHeight="1" x14ac:dyDescent="0.25">
      <c r="T51761" s="135"/>
      <c r="U51761" s="135"/>
    </row>
    <row r="51762" spans="20:21" ht="15" customHeight="1" x14ac:dyDescent="0.25">
      <c r="T51762" s="135"/>
      <c r="U51762" s="135"/>
    </row>
    <row r="51763" spans="20:21" ht="15" customHeight="1" x14ac:dyDescent="0.25">
      <c r="T51763" s="135"/>
      <c r="U51763" s="135"/>
    </row>
    <row r="51764" spans="20:21" ht="15" customHeight="1" x14ac:dyDescent="0.25">
      <c r="T51764" s="135"/>
      <c r="U51764" s="135"/>
    </row>
    <row r="51765" spans="20:21" ht="15" customHeight="1" x14ac:dyDescent="0.25">
      <c r="T51765" s="135"/>
      <c r="U51765" s="135"/>
    </row>
    <row r="51766" spans="20:21" ht="15" customHeight="1" x14ac:dyDescent="0.25">
      <c r="T51766" s="135"/>
      <c r="U51766" s="135"/>
    </row>
    <row r="51767" spans="20:21" ht="15" customHeight="1" x14ac:dyDescent="0.25">
      <c r="T51767" s="135"/>
      <c r="U51767" s="135"/>
    </row>
    <row r="51768" spans="20:21" ht="15" customHeight="1" x14ac:dyDescent="0.25">
      <c r="T51768" s="135"/>
      <c r="U51768" s="135"/>
    </row>
    <row r="51769" spans="20:21" ht="15" customHeight="1" x14ac:dyDescent="0.25">
      <c r="T51769" s="135"/>
      <c r="U51769" s="135"/>
    </row>
    <row r="51770" spans="20:21" ht="15" customHeight="1" x14ac:dyDescent="0.25">
      <c r="T51770" s="135"/>
      <c r="U51770" s="135"/>
    </row>
    <row r="51771" spans="20:21" ht="15" customHeight="1" x14ac:dyDescent="0.25">
      <c r="T51771" s="135"/>
      <c r="U51771" s="135"/>
    </row>
    <row r="51772" spans="20:21" ht="15" customHeight="1" x14ac:dyDescent="0.25">
      <c r="T51772" s="135"/>
      <c r="U51772" s="135"/>
    </row>
    <row r="51773" spans="20:21" ht="15" customHeight="1" x14ac:dyDescent="0.25">
      <c r="T51773" s="135"/>
      <c r="U51773" s="135"/>
    </row>
    <row r="51774" spans="20:21" ht="15" customHeight="1" x14ac:dyDescent="0.25">
      <c r="T51774" s="135"/>
      <c r="U51774" s="135"/>
    </row>
    <row r="51775" spans="20:21" ht="15" customHeight="1" x14ac:dyDescent="0.25">
      <c r="T51775" s="135"/>
      <c r="U51775" s="135"/>
    </row>
    <row r="51776" spans="20:21" ht="15" customHeight="1" x14ac:dyDescent="0.25">
      <c r="T51776" s="135"/>
      <c r="U51776" s="135"/>
    </row>
    <row r="51777" spans="20:21" ht="15" customHeight="1" x14ac:dyDescent="0.25">
      <c r="T51777" s="135"/>
      <c r="U51777" s="135"/>
    </row>
    <row r="51778" spans="20:21" ht="15" customHeight="1" x14ac:dyDescent="0.25">
      <c r="T51778" s="135"/>
      <c r="U51778" s="135"/>
    </row>
    <row r="51779" spans="20:21" ht="15" customHeight="1" x14ac:dyDescent="0.25">
      <c r="T51779" s="135"/>
      <c r="U51779" s="135"/>
    </row>
    <row r="51780" spans="20:21" ht="15" customHeight="1" x14ac:dyDescent="0.25">
      <c r="T51780" s="135"/>
      <c r="U51780" s="135"/>
    </row>
    <row r="51781" spans="20:21" ht="15" customHeight="1" x14ac:dyDescent="0.25">
      <c r="T51781" s="135"/>
      <c r="U51781" s="135"/>
    </row>
    <row r="51782" spans="20:21" ht="15" customHeight="1" x14ac:dyDescent="0.25">
      <c r="T51782" s="135"/>
      <c r="U51782" s="135"/>
    </row>
    <row r="51783" spans="20:21" ht="15" customHeight="1" x14ac:dyDescent="0.25">
      <c r="T51783" s="135"/>
      <c r="U51783" s="135"/>
    </row>
    <row r="51784" spans="20:21" ht="15" customHeight="1" x14ac:dyDescent="0.25">
      <c r="T51784" s="135"/>
      <c r="U51784" s="135"/>
    </row>
    <row r="51785" spans="20:21" ht="15" customHeight="1" x14ac:dyDescent="0.25">
      <c r="T51785" s="135"/>
      <c r="U51785" s="135"/>
    </row>
    <row r="51786" spans="20:21" ht="15" customHeight="1" x14ac:dyDescent="0.25">
      <c r="T51786" s="135"/>
      <c r="U51786" s="135"/>
    </row>
    <row r="51787" spans="20:21" ht="15" customHeight="1" x14ac:dyDescent="0.25">
      <c r="T51787" s="135"/>
      <c r="U51787" s="135"/>
    </row>
    <row r="51788" spans="20:21" ht="15" customHeight="1" x14ac:dyDescent="0.25">
      <c r="T51788" s="135"/>
      <c r="U51788" s="135"/>
    </row>
    <row r="51789" spans="20:21" ht="15" customHeight="1" x14ac:dyDescent="0.25">
      <c r="T51789" s="135"/>
      <c r="U51789" s="135"/>
    </row>
    <row r="51790" spans="20:21" ht="15" customHeight="1" x14ac:dyDescent="0.25">
      <c r="T51790" s="135"/>
      <c r="U51790" s="135"/>
    </row>
    <row r="51791" spans="20:21" ht="15" customHeight="1" x14ac:dyDescent="0.25">
      <c r="T51791" s="135"/>
      <c r="U51791" s="135"/>
    </row>
    <row r="51792" spans="20:21" ht="15" customHeight="1" x14ac:dyDescent="0.25">
      <c r="T51792" s="135"/>
      <c r="U51792" s="135"/>
    </row>
    <row r="51793" spans="20:21" ht="15" customHeight="1" x14ac:dyDescent="0.25">
      <c r="T51793" s="135"/>
      <c r="U51793" s="135"/>
    </row>
    <row r="51794" spans="20:21" ht="15" customHeight="1" x14ac:dyDescent="0.25">
      <c r="T51794" s="135"/>
      <c r="U51794" s="135"/>
    </row>
    <row r="51795" spans="20:21" ht="15" customHeight="1" x14ac:dyDescent="0.25">
      <c r="T51795" s="135"/>
      <c r="U51795" s="135"/>
    </row>
    <row r="51796" spans="20:21" ht="15" customHeight="1" x14ac:dyDescent="0.25">
      <c r="T51796" s="135"/>
      <c r="U51796" s="135"/>
    </row>
    <row r="51797" spans="20:21" ht="15" customHeight="1" x14ac:dyDescent="0.25">
      <c r="T51797" s="135"/>
      <c r="U51797" s="135"/>
    </row>
    <row r="51798" spans="20:21" ht="15" customHeight="1" x14ac:dyDescent="0.25">
      <c r="T51798" s="135"/>
      <c r="U51798" s="135"/>
    </row>
    <row r="51799" spans="20:21" ht="15" customHeight="1" x14ac:dyDescent="0.25">
      <c r="T51799" s="135"/>
      <c r="U51799" s="135"/>
    </row>
    <row r="51800" spans="20:21" ht="15" customHeight="1" x14ac:dyDescent="0.25">
      <c r="T51800" s="135"/>
      <c r="U51800" s="135"/>
    </row>
    <row r="51801" spans="20:21" ht="15" customHeight="1" x14ac:dyDescent="0.25">
      <c r="T51801" s="135"/>
      <c r="U51801" s="135"/>
    </row>
    <row r="51802" spans="20:21" ht="15" customHeight="1" x14ac:dyDescent="0.25">
      <c r="T51802" s="135"/>
      <c r="U51802" s="135"/>
    </row>
    <row r="51803" spans="20:21" ht="15" customHeight="1" x14ac:dyDescent="0.25">
      <c r="T51803" s="135"/>
      <c r="U51803" s="135"/>
    </row>
    <row r="51804" spans="20:21" ht="15" customHeight="1" x14ac:dyDescent="0.25">
      <c r="T51804" s="135"/>
      <c r="U51804" s="135"/>
    </row>
    <row r="51805" spans="20:21" ht="15" customHeight="1" x14ac:dyDescent="0.25">
      <c r="T51805" s="135"/>
      <c r="U51805" s="135"/>
    </row>
    <row r="51806" spans="20:21" ht="15" customHeight="1" x14ac:dyDescent="0.25">
      <c r="T51806" s="135"/>
      <c r="U51806" s="135"/>
    </row>
    <row r="51807" spans="20:21" ht="15" customHeight="1" x14ac:dyDescent="0.25">
      <c r="T51807" s="135"/>
      <c r="U51807" s="135"/>
    </row>
    <row r="51808" spans="20:21" ht="15" customHeight="1" x14ac:dyDescent="0.25">
      <c r="T51808" s="135"/>
      <c r="U51808" s="135"/>
    </row>
    <row r="51809" spans="20:21" ht="15" customHeight="1" x14ac:dyDescent="0.25">
      <c r="T51809" s="135"/>
      <c r="U51809" s="135"/>
    </row>
    <row r="51810" spans="20:21" ht="15" customHeight="1" x14ac:dyDescent="0.25">
      <c r="T51810" s="135"/>
      <c r="U51810" s="135"/>
    </row>
    <row r="51811" spans="20:21" ht="15" customHeight="1" x14ac:dyDescent="0.25">
      <c r="T51811" s="135"/>
      <c r="U51811" s="135"/>
    </row>
    <row r="51812" spans="20:21" ht="15" customHeight="1" x14ac:dyDescent="0.25">
      <c r="T51812" s="135"/>
      <c r="U51812" s="135"/>
    </row>
    <row r="51813" spans="20:21" ht="15" customHeight="1" x14ac:dyDescent="0.25">
      <c r="T51813" s="135"/>
      <c r="U51813" s="135"/>
    </row>
    <row r="51814" spans="20:21" ht="15" customHeight="1" x14ac:dyDescent="0.25">
      <c r="T51814" s="135"/>
      <c r="U51814" s="135"/>
    </row>
    <row r="51815" spans="20:21" ht="15" customHeight="1" x14ac:dyDescent="0.25">
      <c r="T51815" s="135"/>
      <c r="U51815" s="135"/>
    </row>
    <row r="51816" spans="20:21" ht="15" customHeight="1" x14ac:dyDescent="0.25">
      <c r="T51816" s="135"/>
      <c r="U51816" s="135"/>
    </row>
    <row r="51817" spans="20:21" ht="15" customHeight="1" x14ac:dyDescent="0.25">
      <c r="T51817" s="135"/>
      <c r="U51817" s="135"/>
    </row>
    <row r="51818" spans="20:21" ht="15" customHeight="1" x14ac:dyDescent="0.25">
      <c r="T51818" s="135"/>
      <c r="U51818" s="135"/>
    </row>
    <row r="51819" spans="20:21" ht="15" customHeight="1" x14ac:dyDescent="0.25">
      <c r="T51819" s="135"/>
      <c r="U51819" s="135"/>
    </row>
    <row r="51820" spans="20:21" ht="15" customHeight="1" x14ac:dyDescent="0.25">
      <c r="T51820" s="135"/>
      <c r="U51820" s="135"/>
    </row>
    <row r="51821" spans="20:21" ht="15" customHeight="1" x14ac:dyDescent="0.25">
      <c r="T51821" s="135"/>
      <c r="U51821" s="135"/>
    </row>
    <row r="51822" spans="20:21" ht="15" customHeight="1" x14ac:dyDescent="0.25">
      <c r="T51822" s="135"/>
      <c r="U51822" s="135"/>
    </row>
    <row r="51823" spans="20:21" ht="15" customHeight="1" x14ac:dyDescent="0.25">
      <c r="T51823" s="135"/>
      <c r="U51823" s="135"/>
    </row>
    <row r="51824" spans="20:21" ht="15" customHeight="1" x14ac:dyDescent="0.25">
      <c r="T51824" s="135"/>
      <c r="U51824" s="135"/>
    </row>
    <row r="51825" spans="20:21" ht="15" customHeight="1" x14ac:dyDescent="0.25">
      <c r="T51825" s="135"/>
      <c r="U51825" s="135"/>
    </row>
    <row r="51826" spans="20:21" ht="15" customHeight="1" x14ac:dyDescent="0.25">
      <c r="T51826" s="135"/>
      <c r="U51826" s="135"/>
    </row>
    <row r="51827" spans="20:21" ht="15" customHeight="1" x14ac:dyDescent="0.25">
      <c r="T51827" s="135"/>
      <c r="U51827" s="135"/>
    </row>
    <row r="51828" spans="20:21" ht="15" customHeight="1" x14ac:dyDescent="0.25">
      <c r="T51828" s="135"/>
      <c r="U51828" s="135"/>
    </row>
    <row r="51829" spans="20:21" ht="15" customHeight="1" x14ac:dyDescent="0.25">
      <c r="T51829" s="135"/>
      <c r="U51829" s="135"/>
    </row>
    <row r="51830" spans="20:21" ht="15" customHeight="1" x14ac:dyDescent="0.25">
      <c r="T51830" s="135"/>
      <c r="U51830" s="135"/>
    </row>
    <row r="51831" spans="20:21" ht="15" customHeight="1" x14ac:dyDescent="0.25">
      <c r="T51831" s="135"/>
      <c r="U51831" s="135"/>
    </row>
    <row r="51832" spans="20:21" ht="15" customHeight="1" x14ac:dyDescent="0.25">
      <c r="T51832" s="135"/>
      <c r="U51832" s="135"/>
    </row>
    <row r="51833" spans="20:21" ht="15" customHeight="1" x14ac:dyDescent="0.25">
      <c r="T51833" s="135"/>
      <c r="U51833" s="135"/>
    </row>
    <row r="51834" spans="20:21" ht="15" customHeight="1" x14ac:dyDescent="0.25">
      <c r="T51834" s="135"/>
      <c r="U51834" s="135"/>
    </row>
    <row r="51835" spans="20:21" ht="15" customHeight="1" x14ac:dyDescent="0.25">
      <c r="T51835" s="135"/>
      <c r="U51835" s="135"/>
    </row>
    <row r="51836" spans="20:21" ht="15" customHeight="1" x14ac:dyDescent="0.25">
      <c r="T51836" s="135"/>
      <c r="U51836" s="135"/>
    </row>
    <row r="51837" spans="20:21" ht="15" customHeight="1" x14ac:dyDescent="0.25">
      <c r="T51837" s="135"/>
      <c r="U51837" s="135"/>
    </row>
    <row r="51838" spans="20:21" ht="15" customHeight="1" x14ac:dyDescent="0.25">
      <c r="T51838" s="135"/>
      <c r="U51838" s="135"/>
    </row>
    <row r="51839" spans="20:21" ht="15" customHeight="1" x14ac:dyDescent="0.25">
      <c r="T51839" s="135"/>
      <c r="U51839" s="135"/>
    </row>
    <row r="51840" spans="20:21" ht="15" customHeight="1" x14ac:dyDescent="0.25">
      <c r="T51840" s="135"/>
      <c r="U51840" s="135"/>
    </row>
    <row r="51841" spans="20:21" ht="15" customHeight="1" x14ac:dyDescent="0.25">
      <c r="T51841" s="135"/>
      <c r="U51841" s="135"/>
    </row>
    <row r="51842" spans="20:21" ht="15" customHeight="1" x14ac:dyDescent="0.25">
      <c r="T51842" s="135"/>
      <c r="U51842" s="135"/>
    </row>
    <row r="51843" spans="20:21" ht="15" customHeight="1" x14ac:dyDescent="0.25">
      <c r="T51843" s="135"/>
      <c r="U51843" s="135"/>
    </row>
    <row r="51844" spans="20:21" ht="15" customHeight="1" x14ac:dyDescent="0.25">
      <c r="T51844" s="135"/>
      <c r="U51844" s="135"/>
    </row>
    <row r="51845" spans="20:21" ht="15" customHeight="1" x14ac:dyDescent="0.25">
      <c r="T51845" s="135"/>
      <c r="U51845" s="135"/>
    </row>
    <row r="51846" spans="20:21" ht="15" customHeight="1" x14ac:dyDescent="0.25">
      <c r="T51846" s="135"/>
      <c r="U51846" s="135"/>
    </row>
    <row r="51847" spans="20:21" ht="15" customHeight="1" x14ac:dyDescent="0.25">
      <c r="T51847" s="135"/>
      <c r="U51847" s="135"/>
    </row>
    <row r="51848" spans="20:21" ht="15" customHeight="1" x14ac:dyDescent="0.25">
      <c r="T51848" s="135"/>
      <c r="U51848" s="135"/>
    </row>
    <row r="51849" spans="20:21" ht="15" customHeight="1" x14ac:dyDescent="0.25">
      <c r="T51849" s="135"/>
      <c r="U51849" s="135"/>
    </row>
    <row r="51850" spans="20:21" ht="15" customHeight="1" x14ac:dyDescent="0.25">
      <c r="T51850" s="135"/>
      <c r="U51850" s="135"/>
    </row>
    <row r="51851" spans="20:21" ht="15" customHeight="1" x14ac:dyDescent="0.25">
      <c r="T51851" s="135"/>
      <c r="U51851" s="135"/>
    </row>
    <row r="51852" spans="20:21" ht="15" customHeight="1" x14ac:dyDescent="0.25">
      <c r="T51852" s="135"/>
      <c r="U51852" s="135"/>
    </row>
    <row r="51853" spans="20:21" ht="15" customHeight="1" x14ac:dyDescent="0.25">
      <c r="T51853" s="135"/>
      <c r="U51853" s="135"/>
    </row>
    <row r="51854" spans="20:21" ht="15" customHeight="1" x14ac:dyDescent="0.25">
      <c r="T51854" s="135"/>
      <c r="U51854" s="135"/>
    </row>
    <row r="51855" spans="20:21" ht="15" customHeight="1" x14ac:dyDescent="0.25">
      <c r="T51855" s="135"/>
      <c r="U51855" s="135"/>
    </row>
    <row r="51856" spans="20:21" ht="15" customHeight="1" x14ac:dyDescent="0.25">
      <c r="T51856" s="135"/>
      <c r="U51856" s="135"/>
    </row>
    <row r="51857" spans="20:21" ht="15" customHeight="1" x14ac:dyDescent="0.25">
      <c r="T51857" s="135"/>
      <c r="U51857" s="135"/>
    </row>
    <row r="51858" spans="20:21" ht="15" customHeight="1" x14ac:dyDescent="0.25">
      <c r="T51858" s="135"/>
      <c r="U51858" s="135"/>
    </row>
    <row r="51859" spans="20:21" ht="15" customHeight="1" x14ac:dyDescent="0.25">
      <c r="T51859" s="135"/>
      <c r="U51859" s="135"/>
    </row>
    <row r="51860" spans="20:21" ht="15" customHeight="1" x14ac:dyDescent="0.25">
      <c r="T51860" s="135"/>
      <c r="U51860" s="135"/>
    </row>
    <row r="51861" spans="20:21" ht="15" customHeight="1" x14ac:dyDescent="0.25">
      <c r="T51861" s="135"/>
      <c r="U51861" s="135"/>
    </row>
    <row r="51862" spans="20:21" ht="15" customHeight="1" x14ac:dyDescent="0.25">
      <c r="T51862" s="135"/>
      <c r="U51862" s="135"/>
    </row>
    <row r="51863" spans="20:21" ht="15" customHeight="1" x14ac:dyDescent="0.25">
      <c r="T51863" s="135"/>
      <c r="U51863" s="135"/>
    </row>
    <row r="51864" spans="20:21" ht="15" customHeight="1" x14ac:dyDescent="0.25">
      <c r="T51864" s="135"/>
      <c r="U51864" s="135"/>
    </row>
    <row r="51865" spans="20:21" ht="15" customHeight="1" x14ac:dyDescent="0.25">
      <c r="T51865" s="135"/>
      <c r="U51865" s="135"/>
    </row>
    <row r="51866" spans="20:21" ht="15" customHeight="1" x14ac:dyDescent="0.25">
      <c r="T51866" s="135"/>
      <c r="U51866" s="135"/>
    </row>
    <row r="51867" spans="20:21" ht="15" customHeight="1" x14ac:dyDescent="0.25">
      <c r="T51867" s="135"/>
      <c r="U51867" s="135"/>
    </row>
    <row r="51868" spans="20:21" ht="15" customHeight="1" x14ac:dyDescent="0.25">
      <c r="T51868" s="135"/>
      <c r="U51868" s="135"/>
    </row>
    <row r="51869" spans="20:21" ht="15" customHeight="1" x14ac:dyDescent="0.25">
      <c r="T51869" s="135"/>
      <c r="U51869" s="135"/>
    </row>
    <row r="51870" spans="20:21" ht="15" customHeight="1" x14ac:dyDescent="0.25">
      <c r="T51870" s="135"/>
      <c r="U51870" s="135"/>
    </row>
    <row r="51871" spans="20:21" ht="15" customHeight="1" x14ac:dyDescent="0.25">
      <c r="T51871" s="135"/>
      <c r="U51871" s="135"/>
    </row>
    <row r="51872" spans="20:21" ht="15" customHeight="1" x14ac:dyDescent="0.25">
      <c r="T51872" s="135"/>
      <c r="U51872" s="135"/>
    </row>
    <row r="51873" spans="20:21" ht="15" customHeight="1" x14ac:dyDescent="0.25">
      <c r="T51873" s="135"/>
      <c r="U51873" s="135"/>
    </row>
    <row r="51874" spans="20:21" ht="15" customHeight="1" x14ac:dyDescent="0.25">
      <c r="T51874" s="135"/>
      <c r="U51874" s="135"/>
    </row>
    <row r="51875" spans="20:21" ht="15" customHeight="1" x14ac:dyDescent="0.25">
      <c r="T51875" s="135"/>
      <c r="U51875" s="135"/>
    </row>
    <row r="51876" spans="20:21" ht="15" customHeight="1" x14ac:dyDescent="0.25">
      <c r="T51876" s="135"/>
      <c r="U51876" s="135"/>
    </row>
    <row r="51877" spans="20:21" ht="15" customHeight="1" x14ac:dyDescent="0.25">
      <c r="T51877" s="135"/>
      <c r="U51877" s="135"/>
    </row>
    <row r="51878" spans="20:21" ht="15" customHeight="1" x14ac:dyDescent="0.25">
      <c r="T51878" s="135"/>
      <c r="U51878" s="135"/>
    </row>
    <row r="51879" spans="20:21" ht="15" customHeight="1" x14ac:dyDescent="0.25">
      <c r="T51879" s="135"/>
      <c r="U51879" s="135"/>
    </row>
    <row r="51880" spans="20:21" ht="15" customHeight="1" x14ac:dyDescent="0.25">
      <c r="T51880" s="135"/>
      <c r="U51880" s="135"/>
    </row>
    <row r="51881" spans="20:21" ht="15" customHeight="1" x14ac:dyDescent="0.25">
      <c r="T51881" s="135"/>
      <c r="U51881" s="135"/>
    </row>
    <row r="51882" spans="20:21" ht="15" customHeight="1" x14ac:dyDescent="0.25">
      <c r="T51882" s="135"/>
      <c r="U51882" s="135"/>
    </row>
    <row r="51883" spans="20:21" ht="15" customHeight="1" x14ac:dyDescent="0.25">
      <c r="T51883" s="135"/>
      <c r="U51883" s="135"/>
    </row>
    <row r="51884" spans="20:21" ht="15" customHeight="1" x14ac:dyDescent="0.25">
      <c r="T51884" s="135"/>
      <c r="U51884" s="135"/>
    </row>
    <row r="51885" spans="20:21" ht="15" customHeight="1" x14ac:dyDescent="0.25">
      <c r="T51885" s="135"/>
      <c r="U51885" s="135"/>
    </row>
    <row r="51886" spans="20:21" ht="15" customHeight="1" x14ac:dyDescent="0.25">
      <c r="T51886" s="135"/>
      <c r="U51886" s="135"/>
    </row>
    <row r="51887" spans="20:21" ht="15" customHeight="1" x14ac:dyDescent="0.25">
      <c r="T51887" s="135"/>
      <c r="U51887" s="135"/>
    </row>
    <row r="51888" spans="20:21" ht="15" customHeight="1" x14ac:dyDescent="0.25">
      <c r="T51888" s="135"/>
      <c r="U51888" s="135"/>
    </row>
    <row r="51889" spans="20:21" ht="15" customHeight="1" x14ac:dyDescent="0.25">
      <c r="T51889" s="135"/>
      <c r="U51889" s="135"/>
    </row>
    <row r="51890" spans="20:21" ht="15" customHeight="1" x14ac:dyDescent="0.25">
      <c r="T51890" s="135"/>
      <c r="U51890" s="135"/>
    </row>
    <row r="51891" spans="20:21" ht="15" customHeight="1" x14ac:dyDescent="0.25">
      <c r="T51891" s="135"/>
      <c r="U51891" s="135"/>
    </row>
    <row r="51892" spans="20:21" ht="15" customHeight="1" x14ac:dyDescent="0.25">
      <c r="T51892" s="135"/>
      <c r="U51892" s="135"/>
    </row>
    <row r="51893" spans="20:21" ht="15" customHeight="1" x14ac:dyDescent="0.25">
      <c r="T51893" s="135"/>
      <c r="U51893" s="135"/>
    </row>
    <row r="51894" spans="20:21" ht="15" customHeight="1" x14ac:dyDescent="0.25">
      <c r="T51894" s="135"/>
      <c r="U51894" s="135"/>
    </row>
    <row r="51895" spans="20:21" ht="15" customHeight="1" x14ac:dyDescent="0.25">
      <c r="T51895" s="135"/>
      <c r="U51895" s="135"/>
    </row>
    <row r="51896" spans="20:21" ht="15" customHeight="1" x14ac:dyDescent="0.25">
      <c r="T51896" s="135"/>
      <c r="U51896" s="135"/>
    </row>
    <row r="51897" spans="20:21" ht="15" customHeight="1" x14ac:dyDescent="0.25">
      <c r="T51897" s="135"/>
      <c r="U51897" s="135"/>
    </row>
    <row r="51898" spans="20:21" ht="15" customHeight="1" x14ac:dyDescent="0.25">
      <c r="T51898" s="135"/>
      <c r="U51898" s="135"/>
    </row>
    <row r="51899" spans="20:21" ht="15" customHeight="1" x14ac:dyDescent="0.25">
      <c r="T51899" s="135"/>
      <c r="U51899" s="135"/>
    </row>
    <row r="51900" spans="20:21" ht="15" customHeight="1" x14ac:dyDescent="0.25">
      <c r="T51900" s="135"/>
      <c r="U51900" s="135"/>
    </row>
    <row r="51901" spans="20:21" ht="15" customHeight="1" x14ac:dyDescent="0.25">
      <c r="T51901" s="135"/>
      <c r="U51901" s="135"/>
    </row>
    <row r="51902" spans="20:21" ht="15" customHeight="1" x14ac:dyDescent="0.25">
      <c r="T51902" s="135"/>
      <c r="U51902" s="135"/>
    </row>
    <row r="51903" spans="20:21" ht="15" customHeight="1" x14ac:dyDescent="0.25">
      <c r="T51903" s="135"/>
      <c r="U51903" s="135"/>
    </row>
    <row r="51904" spans="20:21" ht="15" customHeight="1" x14ac:dyDescent="0.25">
      <c r="T51904" s="135"/>
      <c r="U51904" s="135"/>
    </row>
    <row r="51905" spans="20:21" ht="15" customHeight="1" x14ac:dyDescent="0.25">
      <c r="T51905" s="135"/>
      <c r="U51905" s="135"/>
    </row>
    <row r="51906" spans="20:21" ht="15" customHeight="1" x14ac:dyDescent="0.25">
      <c r="T51906" s="135"/>
      <c r="U51906" s="135"/>
    </row>
    <row r="51907" spans="20:21" ht="15" customHeight="1" x14ac:dyDescent="0.25">
      <c r="T51907" s="135"/>
      <c r="U51907" s="135"/>
    </row>
    <row r="51908" spans="20:21" ht="15" customHeight="1" x14ac:dyDescent="0.25">
      <c r="T51908" s="135"/>
      <c r="U51908" s="135"/>
    </row>
    <row r="51909" spans="20:21" ht="15" customHeight="1" x14ac:dyDescent="0.25">
      <c r="T51909" s="135"/>
      <c r="U51909" s="135"/>
    </row>
    <row r="51910" spans="20:21" ht="15" customHeight="1" x14ac:dyDescent="0.25">
      <c r="T51910" s="135"/>
      <c r="U51910" s="135"/>
    </row>
    <row r="51911" spans="20:21" ht="15" customHeight="1" x14ac:dyDescent="0.25">
      <c r="T51911" s="135"/>
      <c r="U51911" s="135"/>
    </row>
    <row r="51912" spans="20:21" ht="15" customHeight="1" x14ac:dyDescent="0.25">
      <c r="T51912" s="135"/>
      <c r="U51912" s="135"/>
    </row>
    <row r="51913" spans="20:21" ht="15" customHeight="1" x14ac:dyDescent="0.25">
      <c r="T51913" s="135"/>
      <c r="U51913" s="135"/>
    </row>
    <row r="51914" spans="20:21" ht="15" customHeight="1" x14ac:dyDescent="0.25">
      <c r="T51914" s="135"/>
      <c r="U51914" s="135"/>
    </row>
    <row r="51915" spans="20:21" ht="15" customHeight="1" x14ac:dyDescent="0.25">
      <c r="T51915" s="135"/>
      <c r="U51915" s="135"/>
    </row>
    <row r="51916" spans="20:21" ht="15" customHeight="1" x14ac:dyDescent="0.25">
      <c r="T51916" s="135"/>
      <c r="U51916" s="135"/>
    </row>
    <row r="51917" spans="20:21" ht="15" customHeight="1" x14ac:dyDescent="0.25">
      <c r="T51917" s="135"/>
      <c r="U51917" s="135"/>
    </row>
    <row r="51918" spans="20:21" ht="15" customHeight="1" x14ac:dyDescent="0.25">
      <c r="T51918" s="135"/>
      <c r="U51918" s="135"/>
    </row>
    <row r="51919" spans="20:21" ht="15" customHeight="1" x14ac:dyDescent="0.25">
      <c r="T51919" s="135"/>
      <c r="U51919" s="135"/>
    </row>
    <row r="51920" spans="20:21" ht="15" customHeight="1" x14ac:dyDescent="0.25">
      <c r="T51920" s="135"/>
      <c r="U51920" s="135"/>
    </row>
    <row r="51921" spans="20:21" ht="15" customHeight="1" x14ac:dyDescent="0.25">
      <c r="T51921" s="135"/>
      <c r="U51921" s="135"/>
    </row>
    <row r="51922" spans="20:21" ht="15" customHeight="1" x14ac:dyDescent="0.25">
      <c r="T51922" s="135"/>
      <c r="U51922" s="135"/>
    </row>
    <row r="51923" spans="20:21" ht="15" customHeight="1" x14ac:dyDescent="0.25">
      <c r="T51923" s="135"/>
      <c r="U51923" s="135"/>
    </row>
    <row r="51924" spans="20:21" ht="15" customHeight="1" x14ac:dyDescent="0.25">
      <c r="T51924" s="135"/>
      <c r="U51924" s="135"/>
    </row>
    <row r="51925" spans="20:21" ht="15" customHeight="1" x14ac:dyDescent="0.25">
      <c r="T51925" s="135"/>
      <c r="U51925" s="135"/>
    </row>
    <row r="51926" spans="20:21" ht="15" customHeight="1" x14ac:dyDescent="0.25">
      <c r="T51926" s="135"/>
      <c r="U51926" s="135"/>
    </row>
    <row r="51927" spans="20:21" ht="15" customHeight="1" x14ac:dyDescent="0.25">
      <c r="T51927" s="135"/>
      <c r="U51927" s="135"/>
    </row>
    <row r="51928" spans="20:21" ht="15" customHeight="1" x14ac:dyDescent="0.25">
      <c r="T51928" s="135"/>
      <c r="U51928" s="135"/>
    </row>
    <row r="51929" spans="20:21" ht="15" customHeight="1" x14ac:dyDescent="0.25">
      <c r="T51929" s="135"/>
      <c r="U51929" s="135"/>
    </row>
    <row r="51930" spans="20:21" ht="15" customHeight="1" x14ac:dyDescent="0.25">
      <c r="T51930" s="135"/>
      <c r="U51930" s="135"/>
    </row>
    <row r="51931" spans="20:21" ht="15" customHeight="1" x14ac:dyDescent="0.25">
      <c r="T51931" s="135"/>
      <c r="U51931" s="135"/>
    </row>
    <row r="51932" spans="20:21" ht="15" customHeight="1" x14ac:dyDescent="0.25">
      <c r="T51932" s="135"/>
      <c r="U51932" s="135"/>
    </row>
    <row r="51933" spans="20:21" ht="15" customHeight="1" x14ac:dyDescent="0.25">
      <c r="T51933" s="135"/>
      <c r="U51933" s="135"/>
    </row>
    <row r="51934" spans="20:21" ht="15" customHeight="1" x14ac:dyDescent="0.25">
      <c r="T51934" s="135"/>
      <c r="U51934" s="135"/>
    </row>
    <row r="51935" spans="20:21" ht="15" customHeight="1" x14ac:dyDescent="0.25">
      <c r="T51935" s="135"/>
      <c r="U51935" s="135"/>
    </row>
    <row r="51936" spans="20:21" ht="15" customHeight="1" x14ac:dyDescent="0.25">
      <c r="T51936" s="135"/>
      <c r="U51936" s="135"/>
    </row>
    <row r="51937" spans="20:21" ht="15" customHeight="1" x14ac:dyDescent="0.25">
      <c r="T51937" s="135"/>
      <c r="U51937" s="135"/>
    </row>
    <row r="51938" spans="20:21" ht="15" customHeight="1" x14ac:dyDescent="0.25">
      <c r="T51938" s="135"/>
      <c r="U51938" s="135"/>
    </row>
    <row r="51939" spans="20:21" ht="15" customHeight="1" x14ac:dyDescent="0.25">
      <c r="T51939" s="135"/>
      <c r="U51939" s="135"/>
    </row>
    <row r="51940" spans="20:21" ht="15" customHeight="1" x14ac:dyDescent="0.25">
      <c r="T51940" s="135"/>
      <c r="U51940" s="135"/>
    </row>
    <row r="51941" spans="20:21" ht="15" customHeight="1" x14ac:dyDescent="0.25">
      <c r="T51941" s="135"/>
      <c r="U51941" s="135"/>
    </row>
    <row r="51942" spans="20:21" ht="15" customHeight="1" x14ac:dyDescent="0.25">
      <c r="T51942" s="135"/>
      <c r="U51942" s="135"/>
    </row>
    <row r="51943" spans="20:21" ht="15" customHeight="1" x14ac:dyDescent="0.25">
      <c r="T51943" s="135"/>
      <c r="U51943" s="135"/>
    </row>
    <row r="51944" spans="20:21" ht="15" customHeight="1" x14ac:dyDescent="0.25">
      <c r="T51944" s="135"/>
      <c r="U51944" s="135"/>
    </row>
    <row r="51945" spans="20:21" ht="15" customHeight="1" x14ac:dyDescent="0.25">
      <c r="T51945" s="135"/>
      <c r="U51945" s="135"/>
    </row>
    <row r="51946" spans="20:21" ht="15" customHeight="1" x14ac:dyDescent="0.25">
      <c r="T51946" s="135"/>
      <c r="U51946" s="135"/>
    </row>
    <row r="51947" spans="20:21" ht="15" customHeight="1" x14ac:dyDescent="0.25">
      <c r="T51947" s="135"/>
      <c r="U51947" s="135"/>
    </row>
    <row r="51948" spans="20:21" ht="15" customHeight="1" x14ac:dyDescent="0.25">
      <c r="T51948" s="135"/>
      <c r="U51948" s="135"/>
    </row>
    <row r="51949" spans="20:21" ht="15" customHeight="1" x14ac:dyDescent="0.25">
      <c r="T51949" s="135"/>
      <c r="U51949" s="135"/>
    </row>
    <row r="51950" spans="20:21" ht="15" customHeight="1" x14ac:dyDescent="0.25">
      <c r="T51950" s="135"/>
      <c r="U51950" s="135"/>
    </row>
    <row r="51951" spans="20:21" ht="15" customHeight="1" x14ac:dyDescent="0.25">
      <c r="T51951" s="135"/>
      <c r="U51951" s="135"/>
    </row>
    <row r="51952" spans="20:21" ht="15" customHeight="1" x14ac:dyDescent="0.25">
      <c r="T51952" s="135"/>
      <c r="U51952" s="135"/>
    </row>
    <row r="51953" spans="20:21" ht="15" customHeight="1" x14ac:dyDescent="0.25">
      <c r="T51953" s="135"/>
      <c r="U51953" s="135"/>
    </row>
    <row r="51954" spans="20:21" ht="15" customHeight="1" x14ac:dyDescent="0.25">
      <c r="T51954" s="135"/>
      <c r="U51954" s="135"/>
    </row>
    <row r="51955" spans="20:21" ht="15" customHeight="1" x14ac:dyDescent="0.25">
      <c r="T51955" s="135"/>
      <c r="U51955" s="135"/>
    </row>
    <row r="51956" spans="20:21" ht="15" customHeight="1" x14ac:dyDescent="0.25">
      <c r="T51956" s="135"/>
      <c r="U51956" s="135"/>
    </row>
    <row r="51957" spans="20:21" ht="15" customHeight="1" x14ac:dyDescent="0.25">
      <c r="T51957" s="135"/>
      <c r="U51957" s="135"/>
    </row>
    <row r="51958" spans="20:21" ht="15" customHeight="1" x14ac:dyDescent="0.25">
      <c r="T51958" s="135"/>
      <c r="U51958" s="135"/>
    </row>
    <row r="51959" spans="20:21" ht="15" customHeight="1" x14ac:dyDescent="0.25">
      <c r="T51959" s="135"/>
      <c r="U51959" s="135"/>
    </row>
    <row r="51960" spans="20:21" ht="15" customHeight="1" x14ac:dyDescent="0.25">
      <c r="T51960" s="135"/>
      <c r="U51960" s="135"/>
    </row>
    <row r="51961" spans="20:21" ht="15" customHeight="1" x14ac:dyDescent="0.25">
      <c r="T51961" s="135"/>
      <c r="U51961" s="135"/>
    </row>
    <row r="51962" spans="20:21" ht="15" customHeight="1" x14ac:dyDescent="0.25">
      <c r="T51962" s="135"/>
      <c r="U51962" s="135"/>
    </row>
    <row r="51963" spans="20:21" ht="15" customHeight="1" x14ac:dyDescent="0.25">
      <c r="T51963" s="135"/>
      <c r="U51963" s="135"/>
    </row>
    <row r="51964" spans="20:21" ht="15" customHeight="1" x14ac:dyDescent="0.25">
      <c r="T51964" s="135"/>
      <c r="U51964" s="135"/>
    </row>
    <row r="51965" spans="20:21" ht="15" customHeight="1" x14ac:dyDescent="0.25">
      <c r="T51965" s="135"/>
      <c r="U51965" s="135"/>
    </row>
    <row r="51966" spans="20:21" ht="15" customHeight="1" x14ac:dyDescent="0.25">
      <c r="T51966" s="135"/>
      <c r="U51966" s="135"/>
    </row>
    <row r="51967" spans="20:21" ht="15" customHeight="1" x14ac:dyDescent="0.25">
      <c r="T51967" s="135"/>
      <c r="U51967" s="135"/>
    </row>
    <row r="51968" spans="20:21" ht="15" customHeight="1" x14ac:dyDescent="0.25">
      <c r="T51968" s="135"/>
      <c r="U51968" s="135"/>
    </row>
    <row r="51969" spans="20:21" ht="15" customHeight="1" x14ac:dyDescent="0.25">
      <c r="T51969" s="135"/>
      <c r="U51969" s="135"/>
    </row>
    <row r="51970" spans="20:21" ht="15" customHeight="1" x14ac:dyDescent="0.25">
      <c r="T51970" s="135"/>
      <c r="U51970" s="135"/>
    </row>
    <row r="51971" spans="20:21" ht="15" customHeight="1" x14ac:dyDescent="0.25">
      <c r="T51971" s="135"/>
      <c r="U51971" s="135"/>
    </row>
    <row r="51972" spans="20:21" ht="15" customHeight="1" x14ac:dyDescent="0.25">
      <c r="T51972" s="135"/>
      <c r="U51972" s="135"/>
    </row>
    <row r="51973" spans="20:21" ht="15" customHeight="1" x14ac:dyDescent="0.25">
      <c r="T51973" s="135"/>
      <c r="U51973" s="135"/>
    </row>
    <row r="51974" spans="20:21" ht="15" customHeight="1" x14ac:dyDescent="0.25">
      <c r="T51974" s="135"/>
      <c r="U51974" s="135"/>
    </row>
    <row r="51975" spans="20:21" ht="15" customHeight="1" x14ac:dyDescent="0.25">
      <c r="T51975" s="135"/>
      <c r="U51975" s="135"/>
    </row>
    <row r="51976" spans="20:21" ht="15" customHeight="1" x14ac:dyDescent="0.25">
      <c r="T51976" s="135"/>
      <c r="U51976" s="135"/>
    </row>
    <row r="51977" spans="20:21" ht="15" customHeight="1" x14ac:dyDescent="0.25">
      <c r="T51977" s="135"/>
      <c r="U51977" s="135"/>
    </row>
    <row r="51978" spans="20:21" ht="15" customHeight="1" x14ac:dyDescent="0.25">
      <c r="T51978" s="135"/>
      <c r="U51978" s="135"/>
    </row>
    <row r="51979" spans="20:21" ht="15" customHeight="1" x14ac:dyDescent="0.25">
      <c r="T51979" s="135"/>
      <c r="U51979" s="135"/>
    </row>
    <row r="51980" spans="20:21" ht="15" customHeight="1" x14ac:dyDescent="0.25">
      <c r="T51980" s="135"/>
      <c r="U51980" s="135"/>
    </row>
    <row r="51981" spans="20:21" ht="15" customHeight="1" x14ac:dyDescent="0.25">
      <c r="T51981" s="135"/>
      <c r="U51981" s="135"/>
    </row>
    <row r="51982" spans="20:21" ht="15" customHeight="1" x14ac:dyDescent="0.25">
      <c r="T51982" s="135"/>
      <c r="U51982" s="135"/>
    </row>
    <row r="51983" spans="20:21" ht="15" customHeight="1" x14ac:dyDescent="0.25">
      <c r="T51983" s="135"/>
      <c r="U51983" s="135"/>
    </row>
    <row r="51984" spans="20:21" ht="15" customHeight="1" x14ac:dyDescent="0.25">
      <c r="T51984" s="135"/>
      <c r="U51984" s="135"/>
    </row>
    <row r="51985" spans="20:21" ht="15" customHeight="1" x14ac:dyDescent="0.25">
      <c r="T51985" s="135"/>
      <c r="U51985" s="135"/>
    </row>
    <row r="51986" spans="20:21" ht="15" customHeight="1" x14ac:dyDescent="0.25">
      <c r="T51986" s="135"/>
      <c r="U51986" s="135"/>
    </row>
    <row r="51987" spans="20:21" ht="15" customHeight="1" x14ac:dyDescent="0.25">
      <c r="T51987" s="135"/>
      <c r="U51987" s="135"/>
    </row>
    <row r="51988" spans="20:21" ht="15" customHeight="1" x14ac:dyDescent="0.25">
      <c r="T51988" s="135"/>
      <c r="U51988" s="135"/>
    </row>
    <row r="51989" spans="20:21" ht="15" customHeight="1" x14ac:dyDescent="0.25">
      <c r="T51989" s="135"/>
      <c r="U51989" s="135"/>
    </row>
    <row r="51990" spans="20:21" ht="15" customHeight="1" x14ac:dyDescent="0.25">
      <c r="T51990" s="135"/>
      <c r="U51990" s="135"/>
    </row>
    <row r="51991" spans="20:21" ht="15" customHeight="1" x14ac:dyDescent="0.25">
      <c r="T51991" s="135"/>
      <c r="U51991" s="135"/>
    </row>
    <row r="51992" spans="20:21" ht="15" customHeight="1" x14ac:dyDescent="0.25">
      <c r="T51992" s="135"/>
      <c r="U51992" s="135"/>
    </row>
    <row r="51993" spans="20:21" ht="15" customHeight="1" x14ac:dyDescent="0.25">
      <c r="T51993" s="135"/>
      <c r="U51993" s="135"/>
    </row>
    <row r="51994" spans="20:21" ht="15" customHeight="1" x14ac:dyDescent="0.25">
      <c r="T51994" s="135"/>
      <c r="U51994" s="135"/>
    </row>
    <row r="51995" spans="20:21" ht="15" customHeight="1" x14ac:dyDescent="0.25">
      <c r="T51995" s="135"/>
      <c r="U51995" s="135"/>
    </row>
    <row r="51996" spans="20:21" ht="15" customHeight="1" x14ac:dyDescent="0.25">
      <c r="T51996" s="135"/>
      <c r="U51996" s="135"/>
    </row>
    <row r="51997" spans="20:21" ht="15" customHeight="1" x14ac:dyDescent="0.25">
      <c r="T51997" s="135"/>
      <c r="U51997" s="135"/>
    </row>
    <row r="51998" spans="20:21" ht="15" customHeight="1" x14ac:dyDescent="0.25">
      <c r="T51998" s="135"/>
      <c r="U51998" s="135"/>
    </row>
    <row r="51999" spans="20:21" ht="15" customHeight="1" x14ac:dyDescent="0.25">
      <c r="T51999" s="135"/>
      <c r="U51999" s="135"/>
    </row>
    <row r="52000" spans="20:21" ht="15" customHeight="1" x14ac:dyDescent="0.25">
      <c r="T52000" s="135"/>
      <c r="U52000" s="135"/>
    </row>
    <row r="52001" spans="20:21" ht="15" customHeight="1" x14ac:dyDescent="0.25">
      <c r="T52001" s="135"/>
      <c r="U52001" s="135"/>
    </row>
    <row r="52002" spans="20:21" ht="15" customHeight="1" x14ac:dyDescent="0.25">
      <c r="T52002" s="135"/>
      <c r="U52002" s="135"/>
    </row>
    <row r="52003" spans="20:21" ht="15" customHeight="1" x14ac:dyDescent="0.25">
      <c r="T52003" s="135"/>
      <c r="U52003" s="135"/>
    </row>
    <row r="52004" spans="20:21" ht="15" customHeight="1" x14ac:dyDescent="0.25">
      <c r="T52004" s="135"/>
      <c r="U52004" s="135"/>
    </row>
    <row r="52005" spans="20:21" ht="15" customHeight="1" x14ac:dyDescent="0.25">
      <c r="T52005" s="135"/>
      <c r="U52005" s="135"/>
    </row>
    <row r="52006" spans="20:21" ht="15" customHeight="1" x14ac:dyDescent="0.25">
      <c r="T52006" s="135"/>
      <c r="U52006" s="135"/>
    </row>
    <row r="52007" spans="20:21" ht="15" customHeight="1" x14ac:dyDescent="0.25">
      <c r="T52007" s="135"/>
      <c r="U52007" s="135"/>
    </row>
    <row r="52008" spans="20:21" ht="15" customHeight="1" x14ac:dyDescent="0.25">
      <c r="T52008" s="135"/>
      <c r="U52008" s="135"/>
    </row>
    <row r="52009" spans="20:21" ht="15" customHeight="1" x14ac:dyDescent="0.25">
      <c r="T52009" s="135"/>
      <c r="U52009" s="135"/>
    </row>
    <row r="52010" spans="20:21" ht="15" customHeight="1" x14ac:dyDescent="0.25">
      <c r="T52010" s="135"/>
      <c r="U52010" s="135"/>
    </row>
    <row r="52011" spans="20:21" ht="15" customHeight="1" x14ac:dyDescent="0.25">
      <c r="T52011" s="135"/>
      <c r="U52011" s="135"/>
    </row>
    <row r="52012" spans="20:21" ht="15" customHeight="1" x14ac:dyDescent="0.25">
      <c r="T52012" s="135"/>
      <c r="U52012" s="135"/>
    </row>
    <row r="52013" spans="20:21" ht="15" customHeight="1" x14ac:dyDescent="0.25">
      <c r="T52013" s="135"/>
      <c r="U52013" s="135"/>
    </row>
    <row r="52014" spans="20:21" ht="15" customHeight="1" x14ac:dyDescent="0.25">
      <c r="T52014" s="135"/>
      <c r="U52014" s="135"/>
    </row>
    <row r="52015" spans="20:21" ht="15" customHeight="1" x14ac:dyDescent="0.25">
      <c r="T52015" s="135"/>
      <c r="U52015" s="135"/>
    </row>
    <row r="52016" spans="20:21" ht="15" customHeight="1" x14ac:dyDescent="0.25">
      <c r="T52016" s="135"/>
      <c r="U52016" s="135"/>
    </row>
    <row r="52017" spans="20:21" ht="15" customHeight="1" x14ac:dyDescent="0.25">
      <c r="T52017" s="135"/>
      <c r="U52017" s="135"/>
    </row>
    <row r="52018" spans="20:21" ht="15" customHeight="1" x14ac:dyDescent="0.25">
      <c r="T52018" s="135"/>
      <c r="U52018" s="135"/>
    </row>
    <row r="52019" spans="20:21" ht="15" customHeight="1" x14ac:dyDescent="0.25">
      <c r="T52019" s="135"/>
      <c r="U52019" s="135"/>
    </row>
    <row r="52020" spans="20:21" ht="15" customHeight="1" x14ac:dyDescent="0.25">
      <c r="T52020" s="135"/>
      <c r="U52020" s="135"/>
    </row>
    <row r="52021" spans="20:21" ht="15" customHeight="1" x14ac:dyDescent="0.25">
      <c r="T52021" s="135"/>
      <c r="U52021" s="135"/>
    </row>
    <row r="52022" spans="20:21" ht="15" customHeight="1" x14ac:dyDescent="0.25">
      <c r="T52022" s="135"/>
      <c r="U52022" s="135"/>
    </row>
    <row r="52023" spans="20:21" ht="15" customHeight="1" x14ac:dyDescent="0.25">
      <c r="T52023" s="135"/>
      <c r="U52023" s="135"/>
    </row>
    <row r="52024" spans="20:21" ht="15" customHeight="1" x14ac:dyDescent="0.25">
      <c r="T52024" s="135"/>
      <c r="U52024" s="135"/>
    </row>
    <row r="52025" spans="20:21" ht="15" customHeight="1" x14ac:dyDescent="0.25">
      <c r="T52025" s="135"/>
      <c r="U52025" s="135"/>
    </row>
    <row r="52026" spans="20:21" ht="15" customHeight="1" x14ac:dyDescent="0.25">
      <c r="T52026" s="135"/>
      <c r="U52026" s="135"/>
    </row>
    <row r="52027" spans="20:21" ht="15" customHeight="1" x14ac:dyDescent="0.25">
      <c r="T52027" s="135"/>
      <c r="U52027" s="135"/>
    </row>
    <row r="52028" spans="20:21" ht="15" customHeight="1" x14ac:dyDescent="0.25">
      <c r="T52028" s="135"/>
      <c r="U52028" s="135"/>
    </row>
    <row r="52029" spans="20:21" ht="15" customHeight="1" x14ac:dyDescent="0.25">
      <c r="T52029" s="135"/>
      <c r="U52029" s="135"/>
    </row>
    <row r="52030" spans="20:21" ht="15" customHeight="1" x14ac:dyDescent="0.25">
      <c r="T52030" s="135"/>
      <c r="U52030" s="135"/>
    </row>
    <row r="52031" spans="20:21" ht="15" customHeight="1" x14ac:dyDescent="0.25">
      <c r="T52031" s="135"/>
      <c r="U52031" s="135"/>
    </row>
    <row r="52032" spans="20:21" ht="15" customHeight="1" x14ac:dyDescent="0.25">
      <c r="T52032" s="135"/>
      <c r="U52032" s="135"/>
    </row>
    <row r="52033" spans="20:21" ht="15" customHeight="1" x14ac:dyDescent="0.25">
      <c r="T52033" s="135"/>
      <c r="U52033" s="135"/>
    </row>
    <row r="52034" spans="20:21" ht="15" customHeight="1" x14ac:dyDescent="0.25">
      <c r="T52034" s="135"/>
      <c r="U52034" s="135"/>
    </row>
    <row r="52035" spans="20:21" ht="15" customHeight="1" x14ac:dyDescent="0.25">
      <c r="T52035" s="135"/>
      <c r="U52035" s="135"/>
    </row>
    <row r="52036" spans="20:21" ht="15" customHeight="1" x14ac:dyDescent="0.25">
      <c r="T52036" s="135"/>
      <c r="U52036" s="135"/>
    </row>
    <row r="52037" spans="20:21" ht="15" customHeight="1" x14ac:dyDescent="0.25">
      <c r="T52037" s="135"/>
      <c r="U52037" s="135"/>
    </row>
    <row r="52038" spans="20:21" ht="15" customHeight="1" x14ac:dyDescent="0.25">
      <c r="T52038" s="135"/>
      <c r="U52038" s="135"/>
    </row>
    <row r="52039" spans="20:21" ht="15" customHeight="1" x14ac:dyDescent="0.25">
      <c r="T52039" s="135"/>
      <c r="U52039" s="135"/>
    </row>
    <row r="52040" spans="20:21" ht="15" customHeight="1" x14ac:dyDescent="0.25">
      <c r="T52040" s="135"/>
      <c r="U52040" s="135"/>
    </row>
    <row r="52041" spans="20:21" ht="15" customHeight="1" x14ac:dyDescent="0.25">
      <c r="T52041" s="135"/>
      <c r="U52041" s="135"/>
    </row>
    <row r="52042" spans="20:21" ht="15" customHeight="1" x14ac:dyDescent="0.25">
      <c r="T52042" s="135"/>
      <c r="U52042" s="135"/>
    </row>
    <row r="52043" spans="20:21" ht="15" customHeight="1" x14ac:dyDescent="0.25">
      <c r="T52043" s="135"/>
      <c r="U52043" s="135"/>
    </row>
    <row r="52044" spans="20:21" ht="15" customHeight="1" x14ac:dyDescent="0.25">
      <c r="T52044" s="135"/>
      <c r="U52044" s="135"/>
    </row>
    <row r="52045" spans="20:21" ht="15" customHeight="1" x14ac:dyDescent="0.25">
      <c r="T52045" s="135"/>
      <c r="U52045" s="135"/>
    </row>
    <row r="52046" spans="20:21" ht="15" customHeight="1" x14ac:dyDescent="0.25">
      <c r="T52046" s="135"/>
      <c r="U52046" s="135"/>
    </row>
    <row r="52047" spans="20:21" ht="15" customHeight="1" x14ac:dyDescent="0.25">
      <c r="T52047" s="135"/>
      <c r="U52047" s="135"/>
    </row>
    <row r="52048" spans="20:21" ht="15" customHeight="1" x14ac:dyDescent="0.25">
      <c r="T52048" s="135"/>
      <c r="U52048" s="135"/>
    </row>
    <row r="52049" spans="20:21" ht="15" customHeight="1" x14ac:dyDescent="0.25">
      <c r="T52049" s="135"/>
      <c r="U52049" s="135"/>
    </row>
    <row r="52050" spans="20:21" ht="15" customHeight="1" x14ac:dyDescent="0.25">
      <c r="T52050" s="135"/>
      <c r="U52050" s="135"/>
    </row>
    <row r="52051" spans="20:21" ht="15" customHeight="1" x14ac:dyDescent="0.25">
      <c r="T52051" s="135"/>
      <c r="U52051" s="135"/>
    </row>
    <row r="52052" spans="20:21" ht="15" customHeight="1" x14ac:dyDescent="0.25">
      <c r="T52052" s="135"/>
      <c r="U52052" s="135"/>
    </row>
    <row r="52053" spans="20:21" ht="15" customHeight="1" x14ac:dyDescent="0.25">
      <c r="T52053" s="135"/>
      <c r="U52053" s="135"/>
    </row>
    <row r="52054" spans="20:21" ht="15" customHeight="1" x14ac:dyDescent="0.25">
      <c r="T52054" s="135"/>
      <c r="U52054" s="135"/>
    </row>
    <row r="52055" spans="20:21" ht="15" customHeight="1" x14ac:dyDescent="0.25">
      <c r="T52055" s="135"/>
      <c r="U52055" s="135"/>
    </row>
    <row r="52056" spans="20:21" ht="15" customHeight="1" x14ac:dyDescent="0.25">
      <c r="T52056" s="135"/>
      <c r="U52056" s="135"/>
    </row>
    <row r="52057" spans="20:21" ht="15" customHeight="1" x14ac:dyDescent="0.25">
      <c r="T52057" s="135"/>
      <c r="U52057" s="135"/>
    </row>
    <row r="52058" spans="20:21" ht="15" customHeight="1" x14ac:dyDescent="0.25">
      <c r="T52058" s="135"/>
      <c r="U52058" s="135"/>
    </row>
    <row r="52059" spans="20:21" ht="15" customHeight="1" x14ac:dyDescent="0.25">
      <c r="T52059" s="135"/>
      <c r="U52059" s="135"/>
    </row>
    <row r="52060" spans="20:21" ht="15" customHeight="1" x14ac:dyDescent="0.25">
      <c r="T52060" s="135"/>
      <c r="U52060" s="135"/>
    </row>
    <row r="52061" spans="20:21" ht="15" customHeight="1" x14ac:dyDescent="0.25">
      <c r="T52061" s="135"/>
      <c r="U52061" s="135"/>
    </row>
    <row r="52062" spans="20:21" ht="15" customHeight="1" x14ac:dyDescent="0.25">
      <c r="T52062" s="135"/>
      <c r="U52062" s="135"/>
    </row>
    <row r="52063" spans="20:21" ht="15" customHeight="1" x14ac:dyDescent="0.25">
      <c r="T52063" s="135"/>
      <c r="U52063" s="135"/>
    </row>
    <row r="52064" spans="20:21" ht="15" customHeight="1" x14ac:dyDescent="0.25">
      <c r="T52064" s="135"/>
      <c r="U52064" s="135"/>
    </row>
    <row r="52065" spans="20:21" ht="15" customHeight="1" x14ac:dyDescent="0.25">
      <c r="T52065" s="135"/>
      <c r="U52065" s="135"/>
    </row>
    <row r="52066" spans="20:21" ht="15" customHeight="1" x14ac:dyDescent="0.25">
      <c r="T52066" s="135"/>
      <c r="U52066" s="135"/>
    </row>
    <row r="52067" spans="20:21" ht="15" customHeight="1" x14ac:dyDescent="0.25">
      <c r="T52067" s="135"/>
      <c r="U52067" s="135"/>
    </row>
    <row r="52068" spans="20:21" ht="15" customHeight="1" x14ac:dyDescent="0.25">
      <c r="T52068" s="135"/>
      <c r="U52068" s="135"/>
    </row>
    <row r="52069" spans="20:21" ht="15" customHeight="1" x14ac:dyDescent="0.25">
      <c r="T52069" s="135"/>
      <c r="U52069" s="135"/>
    </row>
    <row r="52070" spans="20:21" ht="15" customHeight="1" x14ac:dyDescent="0.25">
      <c r="T52070" s="135"/>
      <c r="U52070" s="135"/>
    </row>
    <row r="52071" spans="20:21" ht="15" customHeight="1" x14ac:dyDescent="0.25">
      <c r="T52071" s="135"/>
      <c r="U52071" s="135"/>
    </row>
    <row r="52072" spans="20:21" ht="15" customHeight="1" x14ac:dyDescent="0.25">
      <c r="T52072" s="135"/>
      <c r="U52072" s="135"/>
    </row>
    <row r="52073" spans="20:21" ht="15" customHeight="1" x14ac:dyDescent="0.25">
      <c r="T52073" s="135"/>
      <c r="U52073" s="135"/>
    </row>
    <row r="52074" spans="20:21" ht="15" customHeight="1" x14ac:dyDescent="0.25">
      <c r="T52074" s="135"/>
      <c r="U52074" s="135"/>
    </row>
    <row r="52075" spans="20:21" ht="15" customHeight="1" x14ac:dyDescent="0.25">
      <c r="T52075" s="135"/>
      <c r="U52075" s="135"/>
    </row>
    <row r="52076" spans="20:21" ht="15" customHeight="1" x14ac:dyDescent="0.25">
      <c r="T52076" s="135"/>
      <c r="U52076" s="135"/>
    </row>
    <row r="52077" spans="20:21" ht="15" customHeight="1" x14ac:dyDescent="0.25">
      <c r="T52077" s="135"/>
      <c r="U52077" s="135"/>
    </row>
    <row r="52078" spans="20:21" ht="15" customHeight="1" x14ac:dyDescent="0.25">
      <c r="T52078" s="135"/>
      <c r="U52078" s="135"/>
    </row>
    <row r="52079" spans="20:21" ht="15" customHeight="1" x14ac:dyDescent="0.25">
      <c r="T52079" s="135"/>
      <c r="U52079" s="135"/>
    </row>
    <row r="52080" spans="20:21" ht="15" customHeight="1" x14ac:dyDescent="0.25">
      <c r="T52080" s="135"/>
      <c r="U52080" s="135"/>
    </row>
    <row r="52081" spans="20:21" ht="15" customHeight="1" x14ac:dyDescent="0.25">
      <c r="T52081" s="135"/>
      <c r="U52081" s="135"/>
    </row>
    <row r="52082" spans="20:21" ht="15" customHeight="1" x14ac:dyDescent="0.25">
      <c r="T52082" s="135"/>
      <c r="U52082" s="135"/>
    </row>
    <row r="52083" spans="20:21" ht="15" customHeight="1" x14ac:dyDescent="0.25">
      <c r="T52083" s="135"/>
      <c r="U52083" s="135"/>
    </row>
    <row r="52084" spans="20:21" ht="15" customHeight="1" x14ac:dyDescent="0.25">
      <c r="T52084" s="135"/>
      <c r="U52084" s="135"/>
    </row>
    <row r="52085" spans="20:21" ht="15" customHeight="1" x14ac:dyDescent="0.25">
      <c r="T52085" s="135"/>
      <c r="U52085" s="135"/>
    </row>
    <row r="52086" spans="20:21" ht="15" customHeight="1" x14ac:dyDescent="0.25">
      <c r="T52086" s="135"/>
      <c r="U52086" s="135"/>
    </row>
    <row r="52087" spans="20:21" ht="15" customHeight="1" x14ac:dyDescent="0.25">
      <c r="T52087" s="135"/>
      <c r="U52087" s="135"/>
    </row>
    <row r="52088" spans="20:21" ht="15" customHeight="1" x14ac:dyDescent="0.25">
      <c r="T52088" s="135"/>
      <c r="U52088" s="135"/>
    </row>
    <row r="52089" spans="20:21" ht="15" customHeight="1" x14ac:dyDescent="0.25">
      <c r="T52089" s="135"/>
      <c r="U52089" s="135"/>
    </row>
    <row r="52090" spans="20:21" ht="15" customHeight="1" x14ac:dyDescent="0.25">
      <c r="T52090" s="135"/>
      <c r="U52090" s="135"/>
    </row>
    <row r="52091" spans="20:21" ht="15" customHeight="1" x14ac:dyDescent="0.25">
      <c r="T52091" s="135"/>
      <c r="U52091" s="135"/>
    </row>
    <row r="52092" spans="20:21" ht="15" customHeight="1" x14ac:dyDescent="0.25">
      <c r="T52092" s="135"/>
      <c r="U52092" s="135"/>
    </row>
    <row r="52093" spans="20:21" ht="15" customHeight="1" x14ac:dyDescent="0.25">
      <c r="T52093" s="135"/>
      <c r="U52093" s="135"/>
    </row>
    <row r="52094" spans="20:21" ht="15" customHeight="1" x14ac:dyDescent="0.25">
      <c r="T52094" s="135"/>
      <c r="U52094" s="135"/>
    </row>
    <row r="52095" spans="20:21" ht="15" customHeight="1" x14ac:dyDescent="0.25">
      <c r="T52095" s="135"/>
      <c r="U52095" s="135"/>
    </row>
    <row r="52096" spans="20:21" ht="15" customHeight="1" x14ac:dyDescent="0.25">
      <c r="T52096" s="135"/>
      <c r="U52096" s="135"/>
    </row>
    <row r="52097" spans="20:21" ht="15" customHeight="1" x14ac:dyDescent="0.25">
      <c r="T52097" s="135"/>
      <c r="U52097" s="135"/>
    </row>
    <row r="52098" spans="20:21" ht="15" customHeight="1" x14ac:dyDescent="0.25">
      <c r="T52098" s="135"/>
      <c r="U52098" s="135"/>
    </row>
    <row r="52099" spans="20:21" ht="15" customHeight="1" x14ac:dyDescent="0.25">
      <c r="T52099" s="135"/>
      <c r="U52099" s="135"/>
    </row>
    <row r="52100" spans="20:21" ht="15" customHeight="1" x14ac:dyDescent="0.25">
      <c r="T52100" s="135"/>
      <c r="U52100" s="135"/>
    </row>
    <row r="52101" spans="20:21" ht="15" customHeight="1" x14ac:dyDescent="0.25">
      <c r="T52101" s="135"/>
      <c r="U52101" s="135"/>
    </row>
    <row r="52102" spans="20:21" ht="15" customHeight="1" x14ac:dyDescent="0.25">
      <c r="T52102" s="135"/>
      <c r="U52102" s="135"/>
    </row>
    <row r="52103" spans="20:21" ht="15" customHeight="1" x14ac:dyDescent="0.25">
      <c r="T52103" s="135"/>
      <c r="U52103" s="135"/>
    </row>
    <row r="52104" spans="20:21" ht="15" customHeight="1" x14ac:dyDescent="0.25">
      <c r="T52104" s="135"/>
      <c r="U52104" s="135"/>
    </row>
    <row r="52105" spans="20:21" ht="15" customHeight="1" x14ac:dyDescent="0.25">
      <c r="T52105" s="135"/>
      <c r="U52105" s="135"/>
    </row>
    <row r="52106" spans="20:21" ht="15" customHeight="1" x14ac:dyDescent="0.25">
      <c r="T52106" s="135"/>
      <c r="U52106" s="135"/>
    </row>
    <row r="52107" spans="20:21" ht="15" customHeight="1" x14ac:dyDescent="0.25">
      <c r="T52107" s="135"/>
      <c r="U52107" s="135"/>
    </row>
    <row r="52108" spans="20:21" ht="15" customHeight="1" x14ac:dyDescent="0.25">
      <c r="T52108" s="135"/>
      <c r="U52108" s="135"/>
    </row>
    <row r="52109" spans="20:21" ht="15" customHeight="1" x14ac:dyDescent="0.25">
      <c r="T52109" s="135"/>
      <c r="U52109" s="135"/>
    </row>
    <row r="52110" spans="20:21" ht="15" customHeight="1" x14ac:dyDescent="0.25">
      <c r="T52110" s="135"/>
      <c r="U52110" s="135"/>
    </row>
    <row r="52111" spans="20:21" ht="15" customHeight="1" x14ac:dyDescent="0.25">
      <c r="T52111" s="135"/>
      <c r="U52111" s="135"/>
    </row>
    <row r="52112" spans="20:21" ht="15" customHeight="1" x14ac:dyDescent="0.25">
      <c r="T52112" s="135"/>
      <c r="U52112" s="135"/>
    </row>
    <row r="52113" spans="20:21" ht="15" customHeight="1" x14ac:dyDescent="0.25">
      <c r="T52113" s="135"/>
      <c r="U52113" s="135"/>
    </row>
    <row r="52114" spans="20:21" ht="15" customHeight="1" x14ac:dyDescent="0.25">
      <c r="T52114" s="135"/>
      <c r="U52114" s="135"/>
    </row>
    <row r="52115" spans="20:21" ht="15" customHeight="1" x14ac:dyDescent="0.25">
      <c r="T52115" s="135"/>
      <c r="U52115" s="135"/>
    </row>
    <row r="52116" spans="20:21" ht="15" customHeight="1" x14ac:dyDescent="0.25">
      <c r="T52116" s="135"/>
      <c r="U52116" s="135"/>
    </row>
    <row r="52117" spans="20:21" ht="15" customHeight="1" x14ac:dyDescent="0.25">
      <c r="T52117" s="135"/>
      <c r="U52117" s="135"/>
    </row>
    <row r="52118" spans="20:21" ht="15" customHeight="1" x14ac:dyDescent="0.25">
      <c r="T52118" s="135"/>
      <c r="U52118" s="135"/>
    </row>
    <row r="52119" spans="20:21" ht="15" customHeight="1" x14ac:dyDescent="0.25">
      <c r="T52119" s="135"/>
      <c r="U52119" s="135"/>
    </row>
    <row r="52120" spans="20:21" ht="15" customHeight="1" x14ac:dyDescent="0.25">
      <c r="T52120" s="135"/>
      <c r="U52120" s="135"/>
    </row>
    <row r="52121" spans="20:21" ht="15" customHeight="1" x14ac:dyDescent="0.25">
      <c r="T52121" s="135"/>
      <c r="U52121" s="135"/>
    </row>
    <row r="52122" spans="20:21" ht="15" customHeight="1" x14ac:dyDescent="0.25">
      <c r="T52122" s="135"/>
      <c r="U52122" s="135"/>
    </row>
    <row r="52123" spans="20:21" ht="15" customHeight="1" x14ac:dyDescent="0.25">
      <c r="T52123" s="135"/>
      <c r="U52123" s="135"/>
    </row>
    <row r="52124" spans="20:21" ht="15" customHeight="1" x14ac:dyDescent="0.25">
      <c r="T52124" s="135"/>
      <c r="U52124" s="135"/>
    </row>
    <row r="52125" spans="20:21" ht="15" customHeight="1" x14ac:dyDescent="0.25">
      <c r="T52125" s="135"/>
      <c r="U52125" s="135"/>
    </row>
    <row r="52126" spans="20:21" ht="15" customHeight="1" x14ac:dyDescent="0.25">
      <c r="T52126" s="135"/>
      <c r="U52126" s="135"/>
    </row>
    <row r="52127" spans="20:21" ht="15" customHeight="1" x14ac:dyDescent="0.25">
      <c r="T52127" s="135"/>
      <c r="U52127" s="135"/>
    </row>
    <row r="52128" spans="20:21" ht="15" customHeight="1" x14ac:dyDescent="0.25">
      <c r="T52128" s="135"/>
      <c r="U52128" s="135"/>
    </row>
    <row r="52129" spans="20:21" ht="15" customHeight="1" x14ac:dyDescent="0.25">
      <c r="T52129" s="135"/>
      <c r="U52129" s="135"/>
    </row>
    <row r="52130" spans="20:21" ht="15" customHeight="1" x14ac:dyDescent="0.25">
      <c r="T52130" s="135"/>
      <c r="U52130" s="135"/>
    </row>
    <row r="52131" spans="20:21" ht="15" customHeight="1" x14ac:dyDescent="0.25">
      <c r="T52131" s="135"/>
      <c r="U52131" s="135"/>
    </row>
    <row r="52132" spans="20:21" ht="15" customHeight="1" x14ac:dyDescent="0.25">
      <c r="T52132" s="135"/>
      <c r="U52132" s="135"/>
    </row>
    <row r="52133" spans="20:21" ht="15" customHeight="1" x14ac:dyDescent="0.25">
      <c r="T52133" s="135"/>
      <c r="U52133" s="135"/>
    </row>
    <row r="52134" spans="20:21" ht="15" customHeight="1" x14ac:dyDescent="0.25">
      <c r="T52134" s="135"/>
      <c r="U52134" s="135"/>
    </row>
    <row r="52135" spans="20:21" ht="15" customHeight="1" x14ac:dyDescent="0.25">
      <c r="T52135" s="135"/>
      <c r="U52135" s="135"/>
    </row>
    <row r="52136" spans="20:21" ht="15" customHeight="1" x14ac:dyDescent="0.25">
      <c r="T52136" s="135"/>
      <c r="U52136" s="135"/>
    </row>
    <row r="52137" spans="20:21" ht="15" customHeight="1" x14ac:dyDescent="0.25">
      <c r="T52137" s="135"/>
      <c r="U52137" s="135"/>
    </row>
    <row r="52138" spans="20:21" ht="15" customHeight="1" x14ac:dyDescent="0.25">
      <c r="T52138" s="135"/>
      <c r="U52138" s="135"/>
    </row>
    <row r="52139" spans="20:21" ht="15" customHeight="1" x14ac:dyDescent="0.25">
      <c r="T52139" s="135"/>
      <c r="U52139" s="135"/>
    </row>
    <row r="52140" spans="20:21" ht="15" customHeight="1" x14ac:dyDescent="0.25">
      <c r="T52140" s="135"/>
      <c r="U52140" s="135"/>
    </row>
    <row r="52141" spans="20:21" ht="15" customHeight="1" x14ac:dyDescent="0.25">
      <c r="T52141" s="135"/>
      <c r="U52141" s="135"/>
    </row>
    <row r="52142" spans="20:21" ht="15" customHeight="1" x14ac:dyDescent="0.25">
      <c r="T52142" s="135"/>
      <c r="U52142" s="135"/>
    </row>
    <row r="52143" spans="20:21" ht="15" customHeight="1" x14ac:dyDescent="0.25">
      <c r="T52143" s="135"/>
      <c r="U52143" s="135"/>
    </row>
    <row r="52144" spans="20:21" ht="15" customHeight="1" x14ac:dyDescent="0.25">
      <c r="T52144" s="135"/>
      <c r="U52144" s="135"/>
    </row>
    <row r="52145" spans="20:21" ht="15" customHeight="1" x14ac:dyDescent="0.25">
      <c r="T52145" s="135"/>
      <c r="U52145" s="135"/>
    </row>
    <row r="52146" spans="20:21" ht="15" customHeight="1" x14ac:dyDescent="0.25">
      <c r="T52146" s="135"/>
      <c r="U52146" s="135"/>
    </row>
    <row r="52147" spans="20:21" ht="15" customHeight="1" x14ac:dyDescent="0.25">
      <c r="T52147" s="135"/>
      <c r="U52147" s="135"/>
    </row>
    <row r="52148" spans="20:21" ht="15" customHeight="1" x14ac:dyDescent="0.25">
      <c r="T52148" s="135"/>
      <c r="U52148" s="135"/>
    </row>
    <row r="52149" spans="20:21" ht="15" customHeight="1" x14ac:dyDescent="0.25">
      <c r="T52149" s="135"/>
      <c r="U52149" s="135"/>
    </row>
    <row r="52150" spans="20:21" ht="15" customHeight="1" x14ac:dyDescent="0.25">
      <c r="T52150" s="135"/>
      <c r="U52150" s="135"/>
    </row>
    <row r="52151" spans="20:21" ht="15" customHeight="1" x14ac:dyDescent="0.25">
      <c r="T52151" s="135"/>
      <c r="U52151" s="135"/>
    </row>
    <row r="52152" spans="20:21" ht="15" customHeight="1" x14ac:dyDescent="0.25">
      <c r="T52152" s="135"/>
      <c r="U52152" s="135"/>
    </row>
    <row r="52153" spans="20:21" ht="15" customHeight="1" x14ac:dyDescent="0.25">
      <c r="T52153" s="135"/>
      <c r="U52153" s="135"/>
    </row>
    <row r="52154" spans="20:21" ht="15" customHeight="1" x14ac:dyDescent="0.25">
      <c r="T52154" s="135"/>
      <c r="U52154" s="135"/>
    </row>
    <row r="52155" spans="20:21" ht="15" customHeight="1" x14ac:dyDescent="0.25">
      <c r="T52155" s="135"/>
      <c r="U52155" s="135"/>
    </row>
    <row r="52156" spans="20:21" ht="15" customHeight="1" x14ac:dyDescent="0.25">
      <c r="T52156" s="135"/>
      <c r="U52156" s="135"/>
    </row>
    <row r="52157" spans="20:21" ht="15" customHeight="1" x14ac:dyDescent="0.25">
      <c r="T52157" s="135"/>
      <c r="U52157" s="135"/>
    </row>
    <row r="52158" spans="20:21" ht="15" customHeight="1" x14ac:dyDescent="0.25">
      <c r="T52158" s="135"/>
      <c r="U52158" s="135"/>
    </row>
    <row r="52159" spans="20:21" ht="15" customHeight="1" x14ac:dyDescent="0.25">
      <c r="T52159" s="135"/>
      <c r="U52159" s="135"/>
    </row>
    <row r="52160" spans="20:21" ht="15" customHeight="1" x14ac:dyDescent="0.25">
      <c r="T52160" s="135"/>
      <c r="U52160" s="135"/>
    </row>
    <row r="52161" spans="20:21" ht="15" customHeight="1" x14ac:dyDescent="0.25">
      <c r="T52161" s="135"/>
      <c r="U52161" s="135"/>
    </row>
    <row r="52162" spans="20:21" ht="15" customHeight="1" x14ac:dyDescent="0.25">
      <c r="T52162" s="135"/>
      <c r="U52162" s="135"/>
    </row>
    <row r="52163" spans="20:21" ht="15" customHeight="1" x14ac:dyDescent="0.25">
      <c r="T52163" s="135"/>
      <c r="U52163" s="135"/>
    </row>
    <row r="52164" spans="20:21" ht="15" customHeight="1" x14ac:dyDescent="0.25">
      <c r="T52164" s="135"/>
      <c r="U52164" s="135"/>
    </row>
    <row r="52165" spans="20:21" ht="15" customHeight="1" x14ac:dyDescent="0.25">
      <c r="T52165" s="135"/>
      <c r="U52165" s="135"/>
    </row>
    <row r="52166" spans="20:21" ht="15" customHeight="1" x14ac:dyDescent="0.25">
      <c r="T52166" s="135"/>
      <c r="U52166" s="135"/>
    </row>
    <row r="52167" spans="20:21" ht="15" customHeight="1" x14ac:dyDescent="0.25">
      <c r="T52167" s="135"/>
      <c r="U52167" s="135"/>
    </row>
    <row r="52168" spans="20:21" ht="15" customHeight="1" x14ac:dyDescent="0.25">
      <c r="T52168" s="135"/>
      <c r="U52168" s="135"/>
    </row>
    <row r="52169" spans="20:21" ht="15" customHeight="1" x14ac:dyDescent="0.25">
      <c r="T52169" s="135"/>
      <c r="U52169" s="135"/>
    </row>
    <row r="52170" spans="20:21" ht="15" customHeight="1" x14ac:dyDescent="0.25">
      <c r="T52170" s="135"/>
      <c r="U52170" s="135"/>
    </row>
    <row r="52171" spans="20:21" ht="15" customHeight="1" x14ac:dyDescent="0.25">
      <c r="T52171" s="135"/>
      <c r="U52171" s="135"/>
    </row>
    <row r="52172" spans="20:21" ht="15" customHeight="1" x14ac:dyDescent="0.25">
      <c r="T52172" s="135"/>
      <c r="U52172" s="135"/>
    </row>
    <row r="52173" spans="20:21" ht="15" customHeight="1" x14ac:dyDescent="0.25">
      <c r="T52173" s="135"/>
      <c r="U52173" s="135"/>
    </row>
    <row r="52174" spans="20:21" ht="15" customHeight="1" x14ac:dyDescent="0.25">
      <c r="T52174" s="135"/>
      <c r="U52174" s="135"/>
    </row>
    <row r="52175" spans="20:21" ht="15" customHeight="1" x14ac:dyDescent="0.25">
      <c r="T52175" s="135"/>
      <c r="U52175" s="135"/>
    </row>
    <row r="52176" spans="20:21" ht="15" customHeight="1" x14ac:dyDescent="0.25">
      <c r="T52176" s="135"/>
      <c r="U52176" s="135"/>
    </row>
    <row r="52177" spans="20:21" ht="15" customHeight="1" x14ac:dyDescent="0.25">
      <c r="T52177" s="135"/>
      <c r="U52177" s="135"/>
    </row>
    <row r="52178" spans="20:21" ht="15" customHeight="1" x14ac:dyDescent="0.25">
      <c r="T52178" s="135"/>
      <c r="U52178" s="135"/>
    </row>
    <row r="52179" spans="20:21" ht="15" customHeight="1" x14ac:dyDescent="0.25">
      <c r="T52179" s="135"/>
      <c r="U52179" s="135"/>
    </row>
    <row r="52180" spans="20:21" ht="15" customHeight="1" x14ac:dyDescent="0.25">
      <c r="T52180" s="135"/>
      <c r="U52180" s="135"/>
    </row>
    <row r="52181" spans="20:21" ht="15" customHeight="1" x14ac:dyDescent="0.25">
      <c r="T52181" s="135"/>
      <c r="U52181" s="135"/>
    </row>
    <row r="52182" spans="20:21" ht="15" customHeight="1" x14ac:dyDescent="0.25">
      <c r="T52182" s="135"/>
      <c r="U52182" s="135"/>
    </row>
    <row r="52183" spans="20:21" ht="15" customHeight="1" x14ac:dyDescent="0.25">
      <c r="T52183" s="135"/>
      <c r="U52183" s="135"/>
    </row>
    <row r="52184" spans="20:21" ht="15" customHeight="1" x14ac:dyDescent="0.25">
      <c r="T52184" s="135"/>
      <c r="U52184" s="135"/>
    </row>
    <row r="52185" spans="20:21" ht="15" customHeight="1" x14ac:dyDescent="0.25">
      <c r="T52185" s="135"/>
      <c r="U52185" s="135"/>
    </row>
    <row r="52186" spans="20:21" ht="15" customHeight="1" x14ac:dyDescent="0.25">
      <c r="T52186" s="135"/>
      <c r="U52186" s="135"/>
    </row>
    <row r="52187" spans="20:21" ht="15" customHeight="1" x14ac:dyDescent="0.25">
      <c r="T52187" s="135"/>
      <c r="U52187" s="135"/>
    </row>
    <row r="52188" spans="20:21" ht="15" customHeight="1" x14ac:dyDescent="0.25">
      <c r="T52188" s="135"/>
      <c r="U52188" s="135"/>
    </row>
    <row r="52189" spans="20:21" ht="15" customHeight="1" x14ac:dyDescent="0.25">
      <c r="T52189" s="135"/>
      <c r="U52189" s="135"/>
    </row>
    <row r="52190" spans="20:21" ht="15" customHeight="1" x14ac:dyDescent="0.25">
      <c r="T52190" s="135"/>
      <c r="U52190" s="135"/>
    </row>
    <row r="52191" spans="20:21" ht="15" customHeight="1" x14ac:dyDescent="0.25">
      <c r="T52191" s="135"/>
      <c r="U52191" s="135"/>
    </row>
    <row r="52192" spans="20:21" ht="15" customHeight="1" x14ac:dyDescent="0.25">
      <c r="T52192" s="135"/>
      <c r="U52192" s="135"/>
    </row>
    <row r="52193" spans="20:21" ht="15" customHeight="1" x14ac:dyDescent="0.25">
      <c r="T52193" s="135"/>
      <c r="U52193" s="135"/>
    </row>
    <row r="52194" spans="20:21" ht="15" customHeight="1" x14ac:dyDescent="0.25">
      <c r="T52194" s="135"/>
      <c r="U52194" s="135"/>
    </row>
    <row r="52195" spans="20:21" ht="15" customHeight="1" x14ac:dyDescent="0.25">
      <c r="T52195" s="135"/>
      <c r="U52195" s="135"/>
    </row>
    <row r="52196" spans="20:21" ht="15" customHeight="1" x14ac:dyDescent="0.25">
      <c r="T52196" s="135"/>
      <c r="U52196" s="135"/>
    </row>
    <row r="52197" spans="20:21" ht="15" customHeight="1" x14ac:dyDescent="0.25">
      <c r="T52197" s="135"/>
      <c r="U52197" s="135"/>
    </row>
    <row r="52198" spans="20:21" ht="15" customHeight="1" x14ac:dyDescent="0.25">
      <c r="T52198" s="135"/>
      <c r="U52198" s="135"/>
    </row>
    <row r="52199" spans="20:21" ht="15" customHeight="1" x14ac:dyDescent="0.25">
      <c r="T52199" s="135"/>
      <c r="U52199" s="135"/>
    </row>
    <row r="52200" spans="20:21" ht="15" customHeight="1" x14ac:dyDescent="0.25">
      <c r="T52200" s="135"/>
      <c r="U52200" s="135"/>
    </row>
    <row r="52201" spans="20:21" ht="15" customHeight="1" x14ac:dyDescent="0.25">
      <c r="T52201" s="135"/>
      <c r="U52201" s="135"/>
    </row>
    <row r="52202" spans="20:21" ht="15" customHeight="1" x14ac:dyDescent="0.25">
      <c r="T52202" s="135"/>
      <c r="U52202" s="135"/>
    </row>
    <row r="52203" spans="20:21" ht="15" customHeight="1" x14ac:dyDescent="0.25">
      <c r="T52203" s="135"/>
      <c r="U52203" s="135"/>
    </row>
    <row r="52204" spans="20:21" ht="15" customHeight="1" x14ac:dyDescent="0.25">
      <c r="T52204" s="135"/>
      <c r="U52204" s="135"/>
    </row>
    <row r="52205" spans="20:21" ht="15" customHeight="1" x14ac:dyDescent="0.25">
      <c r="T52205" s="135"/>
      <c r="U52205" s="135"/>
    </row>
    <row r="52206" spans="20:21" ht="15" customHeight="1" x14ac:dyDescent="0.25">
      <c r="T52206" s="135"/>
      <c r="U52206" s="135"/>
    </row>
    <row r="52207" spans="20:21" ht="15" customHeight="1" x14ac:dyDescent="0.25">
      <c r="T52207" s="135"/>
      <c r="U52207" s="135"/>
    </row>
    <row r="52208" spans="20:21" ht="15" customHeight="1" x14ac:dyDescent="0.25">
      <c r="T52208" s="135"/>
      <c r="U52208" s="135"/>
    </row>
    <row r="52209" spans="20:21" ht="15" customHeight="1" x14ac:dyDescent="0.25">
      <c r="T52209" s="135"/>
      <c r="U52209" s="135"/>
    </row>
    <row r="52210" spans="20:21" ht="15" customHeight="1" x14ac:dyDescent="0.25">
      <c r="T52210" s="135"/>
      <c r="U52210" s="135"/>
    </row>
    <row r="52211" spans="20:21" ht="15" customHeight="1" x14ac:dyDescent="0.25">
      <c r="T52211" s="135"/>
      <c r="U52211" s="135"/>
    </row>
    <row r="52212" spans="20:21" ht="15" customHeight="1" x14ac:dyDescent="0.25">
      <c r="T52212" s="135"/>
      <c r="U52212" s="135"/>
    </row>
    <row r="52213" spans="20:21" ht="15" customHeight="1" x14ac:dyDescent="0.25">
      <c r="T52213" s="135"/>
      <c r="U52213" s="135"/>
    </row>
    <row r="52214" spans="20:21" ht="15" customHeight="1" x14ac:dyDescent="0.25">
      <c r="T52214" s="135"/>
      <c r="U52214" s="135"/>
    </row>
    <row r="52215" spans="20:21" ht="15" customHeight="1" x14ac:dyDescent="0.25">
      <c r="T52215" s="135"/>
      <c r="U52215" s="135"/>
    </row>
    <row r="52216" spans="20:21" ht="15" customHeight="1" x14ac:dyDescent="0.25">
      <c r="T52216" s="135"/>
      <c r="U52216" s="135"/>
    </row>
    <row r="52217" spans="20:21" ht="15" customHeight="1" x14ac:dyDescent="0.25">
      <c r="T52217" s="135"/>
      <c r="U52217" s="135"/>
    </row>
    <row r="52218" spans="20:21" ht="15" customHeight="1" x14ac:dyDescent="0.25">
      <c r="T52218" s="135"/>
      <c r="U52218" s="135"/>
    </row>
    <row r="52219" spans="20:21" ht="15" customHeight="1" x14ac:dyDescent="0.25">
      <c r="T52219" s="135"/>
      <c r="U52219" s="135"/>
    </row>
    <row r="52220" spans="20:21" ht="15" customHeight="1" x14ac:dyDescent="0.25">
      <c r="T52220" s="135"/>
      <c r="U52220" s="135"/>
    </row>
    <row r="52221" spans="20:21" ht="15" customHeight="1" x14ac:dyDescent="0.25">
      <c r="T52221" s="135"/>
      <c r="U52221" s="135"/>
    </row>
    <row r="52222" spans="20:21" ht="15" customHeight="1" x14ac:dyDescent="0.25">
      <c r="T52222" s="135"/>
      <c r="U52222" s="135"/>
    </row>
    <row r="52223" spans="20:21" ht="15" customHeight="1" x14ac:dyDescent="0.25">
      <c r="T52223" s="135"/>
      <c r="U52223" s="135"/>
    </row>
    <row r="52224" spans="20:21" ht="15" customHeight="1" x14ac:dyDescent="0.25">
      <c r="T52224" s="135"/>
      <c r="U52224" s="135"/>
    </row>
    <row r="52225" spans="20:21" ht="15" customHeight="1" x14ac:dyDescent="0.25">
      <c r="T52225" s="135"/>
      <c r="U52225" s="135"/>
    </row>
    <row r="52226" spans="20:21" ht="15" customHeight="1" x14ac:dyDescent="0.25">
      <c r="T52226" s="135"/>
      <c r="U52226" s="135"/>
    </row>
    <row r="52227" spans="20:21" ht="15" customHeight="1" x14ac:dyDescent="0.25">
      <c r="T52227" s="135"/>
      <c r="U52227" s="135"/>
    </row>
    <row r="52228" spans="20:21" ht="15" customHeight="1" x14ac:dyDescent="0.25">
      <c r="T52228" s="135"/>
      <c r="U52228" s="135"/>
    </row>
    <row r="52229" spans="20:21" ht="15" customHeight="1" x14ac:dyDescent="0.25">
      <c r="T52229" s="135"/>
      <c r="U52229" s="135"/>
    </row>
    <row r="52230" spans="20:21" ht="15" customHeight="1" x14ac:dyDescent="0.25">
      <c r="T52230" s="135"/>
      <c r="U52230" s="135"/>
    </row>
    <row r="52231" spans="20:21" ht="15" customHeight="1" x14ac:dyDescent="0.25">
      <c r="T52231" s="135"/>
      <c r="U52231" s="135"/>
    </row>
    <row r="52232" spans="20:21" ht="15" customHeight="1" x14ac:dyDescent="0.25">
      <c r="T52232" s="135"/>
      <c r="U52232" s="135"/>
    </row>
    <row r="52233" spans="20:21" ht="15" customHeight="1" x14ac:dyDescent="0.25">
      <c r="T52233" s="135"/>
      <c r="U52233" s="135"/>
    </row>
    <row r="52234" spans="20:21" ht="15" customHeight="1" x14ac:dyDescent="0.25">
      <c r="T52234" s="135"/>
      <c r="U52234" s="135"/>
    </row>
    <row r="52235" spans="20:21" ht="15" customHeight="1" x14ac:dyDescent="0.25">
      <c r="T52235" s="135"/>
      <c r="U52235" s="135"/>
    </row>
    <row r="52236" spans="20:21" ht="15" customHeight="1" x14ac:dyDescent="0.25">
      <c r="T52236" s="135"/>
      <c r="U52236" s="135"/>
    </row>
    <row r="52237" spans="20:21" ht="15" customHeight="1" x14ac:dyDescent="0.25">
      <c r="T52237" s="135"/>
      <c r="U52237" s="135"/>
    </row>
    <row r="52238" spans="20:21" ht="15" customHeight="1" x14ac:dyDescent="0.25">
      <c r="T52238" s="135"/>
      <c r="U52238" s="135"/>
    </row>
    <row r="52239" spans="20:21" ht="15" customHeight="1" x14ac:dyDescent="0.25">
      <c r="T52239" s="135"/>
      <c r="U52239" s="135"/>
    </row>
    <row r="52240" spans="20:21" ht="15" customHeight="1" x14ac:dyDescent="0.25">
      <c r="T52240" s="135"/>
      <c r="U52240" s="135"/>
    </row>
    <row r="52241" spans="20:21" ht="15" customHeight="1" x14ac:dyDescent="0.25">
      <c r="T52241" s="135"/>
      <c r="U52241" s="135"/>
    </row>
    <row r="52242" spans="20:21" ht="15" customHeight="1" x14ac:dyDescent="0.25">
      <c r="T52242" s="135"/>
      <c r="U52242" s="135"/>
    </row>
    <row r="52243" spans="20:21" ht="15" customHeight="1" x14ac:dyDescent="0.25">
      <c r="T52243" s="135"/>
      <c r="U52243" s="135"/>
    </row>
    <row r="52244" spans="20:21" ht="15" customHeight="1" x14ac:dyDescent="0.25">
      <c r="T52244" s="135"/>
      <c r="U52244" s="135"/>
    </row>
    <row r="52245" spans="20:21" ht="15" customHeight="1" x14ac:dyDescent="0.25">
      <c r="T52245" s="135"/>
      <c r="U52245" s="135"/>
    </row>
    <row r="52246" spans="20:21" ht="15" customHeight="1" x14ac:dyDescent="0.25">
      <c r="T52246" s="135"/>
      <c r="U52246" s="135"/>
    </row>
    <row r="52247" spans="20:21" ht="15" customHeight="1" x14ac:dyDescent="0.25">
      <c r="T52247" s="135"/>
      <c r="U52247" s="135"/>
    </row>
    <row r="52248" spans="20:21" ht="15" customHeight="1" x14ac:dyDescent="0.25">
      <c r="T52248" s="135"/>
      <c r="U52248" s="135"/>
    </row>
    <row r="52249" spans="20:21" ht="15" customHeight="1" x14ac:dyDescent="0.25">
      <c r="T52249" s="135"/>
      <c r="U52249" s="135"/>
    </row>
    <row r="52250" spans="20:21" ht="15" customHeight="1" x14ac:dyDescent="0.25">
      <c r="T52250" s="135"/>
      <c r="U52250" s="135"/>
    </row>
    <row r="52251" spans="20:21" ht="15" customHeight="1" x14ac:dyDescent="0.25">
      <c r="T52251" s="135"/>
      <c r="U52251" s="135"/>
    </row>
    <row r="52252" spans="20:21" ht="15" customHeight="1" x14ac:dyDescent="0.25">
      <c r="T52252" s="135"/>
      <c r="U52252" s="135"/>
    </row>
    <row r="52253" spans="20:21" ht="15" customHeight="1" x14ac:dyDescent="0.25">
      <c r="T52253" s="135"/>
      <c r="U52253" s="135"/>
    </row>
    <row r="52254" spans="20:21" ht="15" customHeight="1" x14ac:dyDescent="0.25">
      <c r="T52254" s="135"/>
      <c r="U52254" s="135"/>
    </row>
    <row r="52255" spans="20:21" ht="15" customHeight="1" x14ac:dyDescent="0.25">
      <c r="T52255" s="135"/>
      <c r="U52255" s="135"/>
    </row>
    <row r="52256" spans="20:21" ht="15" customHeight="1" x14ac:dyDescent="0.25">
      <c r="T52256" s="135"/>
      <c r="U52256" s="135"/>
    </row>
    <row r="52257" spans="20:21" ht="15" customHeight="1" x14ac:dyDescent="0.25">
      <c r="T52257" s="135"/>
      <c r="U52257" s="135"/>
    </row>
    <row r="52258" spans="20:21" ht="15" customHeight="1" x14ac:dyDescent="0.25">
      <c r="T52258" s="135"/>
      <c r="U52258" s="135"/>
    </row>
    <row r="52259" spans="20:21" ht="15" customHeight="1" x14ac:dyDescent="0.25">
      <c r="T52259" s="135"/>
      <c r="U52259" s="135"/>
    </row>
    <row r="52260" spans="20:21" ht="15" customHeight="1" x14ac:dyDescent="0.25">
      <c r="T52260" s="135"/>
      <c r="U52260" s="135"/>
    </row>
    <row r="52261" spans="20:21" ht="15" customHeight="1" x14ac:dyDescent="0.25">
      <c r="T52261" s="135"/>
      <c r="U52261" s="135"/>
    </row>
    <row r="52262" spans="20:21" ht="15" customHeight="1" x14ac:dyDescent="0.25">
      <c r="T52262" s="135"/>
      <c r="U52262" s="135"/>
    </row>
    <row r="52263" spans="20:21" ht="15" customHeight="1" x14ac:dyDescent="0.25">
      <c r="T52263" s="135"/>
      <c r="U52263" s="135"/>
    </row>
    <row r="52264" spans="20:21" ht="15" customHeight="1" x14ac:dyDescent="0.25">
      <c r="T52264" s="135"/>
      <c r="U52264" s="135"/>
    </row>
    <row r="52265" spans="20:21" ht="15" customHeight="1" x14ac:dyDescent="0.25">
      <c r="T52265" s="135"/>
      <c r="U52265" s="135"/>
    </row>
    <row r="52266" spans="20:21" ht="15" customHeight="1" x14ac:dyDescent="0.25">
      <c r="T52266" s="135"/>
      <c r="U52266" s="135"/>
    </row>
    <row r="52267" spans="20:21" ht="15" customHeight="1" x14ac:dyDescent="0.25">
      <c r="T52267" s="135"/>
      <c r="U52267" s="135"/>
    </row>
    <row r="52268" spans="20:21" ht="15" customHeight="1" x14ac:dyDescent="0.25">
      <c r="T52268" s="135"/>
      <c r="U52268" s="135"/>
    </row>
    <row r="52269" spans="20:21" ht="15" customHeight="1" x14ac:dyDescent="0.25">
      <c r="T52269" s="135"/>
      <c r="U52269" s="135"/>
    </row>
    <row r="52270" spans="20:21" ht="15" customHeight="1" x14ac:dyDescent="0.25">
      <c r="T52270" s="135"/>
      <c r="U52270" s="135"/>
    </row>
    <row r="52271" spans="20:21" ht="15" customHeight="1" x14ac:dyDescent="0.25">
      <c r="T52271" s="135"/>
      <c r="U52271" s="135"/>
    </row>
    <row r="52272" spans="20:21" ht="15" customHeight="1" x14ac:dyDescent="0.25">
      <c r="T52272" s="135"/>
      <c r="U52272" s="135"/>
    </row>
    <row r="52273" spans="20:21" ht="15" customHeight="1" x14ac:dyDescent="0.25">
      <c r="T52273" s="135"/>
      <c r="U52273" s="135"/>
    </row>
    <row r="52274" spans="20:21" ht="15" customHeight="1" x14ac:dyDescent="0.25">
      <c r="T52274" s="135"/>
      <c r="U52274" s="135"/>
    </row>
    <row r="52275" spans="20:21" ht="15" customHeight="1" x14ac:dyDescent="0.25">
      <c r="T52275" s="135"/>
      <c r="U52275" s="135"/>
    </row>
    <row r="52276" spans="20:21" ht="15" customHeight="1" x14ac:dyDescent="0.25">
      <c r="T52276" s="135"/>
      <c r="U52276" s="135"/>
    </row>
    <row r="52277" spans="20:21" ht="15" customHeight="1" x14ac:dyDescent="0.25">
      <c r="T52277" s="135"/>
      <c r="U52277" s="135"/>
    </row>
    <row r="52278" spans="20:21" ht="15" customHeight="1" x14ac:dyDescent="0.25">
      <c r="T52278" s="135"/>
      <c r="U52278" s="135"/>
    </row>
    <row r="52279" spans="20:21" ht="15" customHeight="1" x14ac:dyDescent="0.25">
      <c r="T52279" s="135"/>
      <c r="U52279" s="135"/>
    </row>
    <row r="52280" spans="20:21" ht="15" customHeight="1" x14ac:dyDescent="0.25">
      <c r="T52280" s="135"/>
      <c r="U52280" s="135"/>
    </row>
    <row r="52281" spans="20:21" ht="15" customHeight="1" x14ac:dyDescent="0.25">
      <c r="T52281" s="135"/>
      <c r="U52281" s="135"/>
    </row>
    <row r="52282" spans="20:21" ht="15" customHeight="1" x14ac:dyDescent="0.25">
      <c r="T52282" s="135"/>
      <c r="U52282" s="135"/>
    </row>
    <row r="52283" spans="20:21" ht="15" customHeight="1" x14ac:dyDescent="0.25">
      <c r="T52283" s="135"/>
      <c r="U52283" s="135"/>
    </row>
    <row r="52284" spans="20:21" ht="15" customHeight="1" x14ac:dyDescent="0.25">
      <c r="T52284" s="135"/>
      <c r="U52284" s="135"/>
    </row>
    <row r="52285" spans="20:21" ht="15" customHeight="1" x14ac:dyDescent="0.25">
      <c r="T52285" s="135"/>
      <c r="U52285" s="135"/>
    </row>
    <row r="52286" spans="20:21" ht="15" customHeight="1" x14ac:dyDescent="0.25">
      <c r="T52286" s="135"/>
      <c r="U52286" s="135"/>
    </row>
    <row r="52287" spans="20:21" ht="15" customHeight="1" x14ac:dyDescent="0.25">
      <c r="T52287" s="135"/>
      <c r="U52287" s="135"/>
    </row>
    <row r="52288" spans="20:21" ht="15" customHeight="1" x14ac:dyDescent="0.25">
      <c r="T52288" s="135"/>
      <c r="U52288" s="135"/>
    </row>
    <row r="52289" spans="20:21" ht="15" customHeight="1" x14ac:dyDescent="0.25">
      <c r="T52289" s="135"/>
      <c r="U52289" s="135"/>
    </row>
    <row r="52290" spans="20:21" ht="15" customHeight="1" x14ac:dyDescent="0.25">
      <c r="T52290" s="135"/>
      <c r="U52290" s="135"/>
    </row>
    <row r="52291" spans="20:21" ht="15" customHeight="1" x14ac:dyDescent="0.25">
      <c r="T52291" s="135"/>
      <c r="U52291" s="135"/>
    </row>
    <row r="52292" spans="20:21" ht="15" customHeight="1" x14ac:dyDescent="0.25">
      <c r="T52292" s="135"/>
      <c r="U52292" s="135"/>
    </row>
    <row r="52293" spans="20:21" ht="15" customHeight="1" x14ac:dyDescent="0.25">
      <c r="T52293" s="135"/>
      <c r="U52293" s="135"/>
    </row>
    <row r="52294" spans="20:21" ht="15" customHeight="1" x14ac:dyDescent="0.25">
      <c r="T52294" s="135"/>
      <c r="U52294" s="135"/>
    </row>
    <row r="52295" spans="20:21" ht="15" customHeight="1" x14ac:dyDescent="0.25">
      <c r="T52295" s="135"/>
      <c r="U52295" s="135"/>
    </row>
    <row r="52296" spans="20:21" ht="15" customHeight="1" x14ac:dyDescent="0.25">
      <c r="T52296" s="135"/>
      <c r="U52296" s="135"/>
    </row>
    <row r="52297" spans="20:21" ht="15" customHeight="1" x14ac:dyDescent="0.25">
      <c r="T52297" s="135"/>
      <c r="U52297" s="135"/>
    </row>
    <row r="52298" spans="20:21" ht="15" customHeight="1" x14ac:dyDescent="0.25">
      <c r="T52298" s="135"/>
      <c r="U52298" s="135"/>
    </row>
    <row r="52299" spans="20:21" ht="15" customHeight="1" x14ac:dyDescent="0.25">
      <c r="T52299" s="135"/>
      <c r="U52299" s="135"/>
    </row>
    <row r="52300" spans="20:21" ht="15" customHeight="1" x14ac:dyDescent="0.25">
      <c r="T52300" s="135"/>
      <c r="U52300" s="135"/>
    </row>
    <row r="52301" spans="20:21" ht="15" customHeight="1" x14ac:dyDescent="0.25">
      <c r="T52301" s="135"/>
      <c r="U52301" s="135"/>
    </row>
    <row r="52302" spans="20:21" ht="15" customHeight="1" x14ac:dyDescent="0.25">
      <c r="T52302" s="135"/>
      <c r="U52302" s="135"/>
    </row>
    <row r="52303" spans="20:21" ht="15" customHeight="1" x14ac:dyDescent="0.25">
      <c r="T52303" s="135"/>
      <c r="U52303" s="135"/>
    </row>
    <row r="52304" spans="20:21" ht="15" customHeight="1" x14ac:dyDescent="0.25">
      <c r="T52304" s="135"/>
      <c r="U52304" s="135"/>
    </row>
    <row r="52305" spans="20:21" ht="15" customHeight="1" x14ac:dyDescent="0.25">
      <c r="T52305" s="135"/>
      <c r="U52305" s="135"/>
    </row>
    <row r="52306" spans="20:21" ht="15" customHeight="1" x14ac:dyDescent="0.25">
      <c r="T52306" s="135"/>
      <c r="U52306" s="135"/>
    </row>
    <row r="52307" spans="20:21" ht="15" customHeight="1" x14ac:dyDescent="0.25">
      <c r="T52307" s="135"/>
      <c r="U52307" s="135"/>
    </row>
    <row r="52308" spans="20:21" ht="15" customHeight="1" x14ac:dyDescent="0.25">
      <c r="T52308" s="135"/>
      <c r="U52308" s="135"/>
    </row>
    <row r="52309" spans="20:21" ht="15" customHeight="1" x14ac:dyDescent="0.25">
      <c r="T52309" s="135"/>
      <c r="U52309" s="135"/>
    </row>
    <row r="52310" spans="20:21" ht="15" customHeight="1" x14ac:dyDescent="0.25">
      <c r="T52310" s="135"/>
      <c r="U52310" s="135"/>
    </row>
    <row r="52311" spans="20:21" ht="15" customHeight="1" x14ac:dyDescent="0.25">
      <c r="T52311" s="135"/>
      <c r="U52311" s="135"/>
    </row>
    <row r="52312" spans="20:21" ht="15" customHeight="1" x14ac:dyDescent="0.25">
      <c r="T52312" s="135"/>
      <c r="U52312" s="135"/>
    </row>
    <row r="52313" spans="20:21" ht="15" customHeight="1" x14ac:dyDescent="0.25">
      <c r="T52313" s="135"/>
      <c r="U52313" s="135"/>
    </row>
    <row r="52314" spans="20:21" ht="15" customHeight="1" x14ac:dyDescent="0.25">
      <c r="T52314" s="135"/>
      <c r="U52314" s="135"/>
    </row>
    <row r="52315" spans="20:21" ht="15" customHeight="1" x14ac:dyDescent="0.25">
      <c r="T52315" s="135"/>
      <c r="U52315" s="135"/>
    </row>
    <row r="52316" spans="20:21" ht="15" customHeight="1" x14ac:dyDescent="0.25">
      <c r="T52316" s="135"/>
      <c r="U52316" s="135"/>
    </row>
    <row r="52317" spans="20:21" ht="15" customHeight="1" x14ac:dyDescent="0.25">
      <c r="T52317" s="135"/>
      <c r="U52317" s="135"/>
    </row>
    <row r="52318" spans="20:21" ht="15" customHeight="1" x14ac:dyDescent="0.25">
      <c r="T52318" s="135"/>
      <c r="U52318" s="135"/>
    </row>
    <row r="52319" spans="20:21" ht="15" customHeight="1" x14ac:dyDescent="0.25">
      <c r="T52319" s="135"/>
      <c r="U52319" s="135"/>
    </row>
    <row r="52320" spans="20:21" ht="15" customHeight="1" x14ac:dyDescent="0.25">
      <c r="T52320" s="135"/>
      <c r="U52320" s="135"/>
    </row>
    <row r="52321" spans="20:21" ht="15" customHeight="1" x14ac:dyDescent="0.25">
      <c r="T52321" s="135"/>
      <c r="U52321" s="135"/>
    </row>
    <row r="52322" spans="20:21" ht="15" customHeight="1" x14ac:dyDescent="0.25">
      <c r="T52322" s="135"/>
      <c r="U52322" s="135"/>
    </row>
    <row r="52323" spans="20:21" ht="15" customHeight="1" x14ac:dyDescent="0.25">
      <c r="T52323" s="135"/>
      <c r="U52323" s="135"/>
    </row>
    <row r="52324" spans="20:21" ht="15" customHeight="1" x14ac:dyDescent="0.25">
      <c r="T52324" s="135"/>
      <c r="U52324" s="135"/>
    </row>
    <row r="52325" spans="20:21" ht="15" customHeight="1" x14ac:dyDescent="0.25">
      <c r="T52325" s="135"/>
      <c r="U52325" s="135"/>
    </row>
    <row r="52326" spans="20:21" ht="15" customHeight="1" x14ac:dyDescent="0.25">
      <c r="T52326" s="135"/>
      <c r="U52326" s="135"/>
    </row>
    <row r="52327" spans="20:21" ht="15" customHeight="1" x14ac:dyDescent="0.25">
      <c r="T52327" s="135"/>
      <c r="U52327" s="135"/>
    </row>
    <row r="52328" spans="20:21" ht="15" customHeight="1" x14ac:dyDescent="0.25">
      <c r="T52328" s="135"/>
      <c r="U52328" s="135"/>
    </row>
    <row r="52329" spans="20:21" ht="15" customHeight="1" x14ac:dyDescent="0.25">
      <c r="T52329" s="135"/>
      <c r="U52329" s="135"/>
    </row>
    <row r="52330" spans="20:21" ht="15" customHeight="1" x14ac:dyDescent="0.25">
      <c r="T52330" s="135"/>
      <c r="U52330" s="135"/>
    </row>
    <row r="52331" spans="20:21" ht="15" customHeight="1" x14ac:dyDescent="0.25">
      <c r="T52331" s="135"/>
      <c r="U52331" s="135"/>
    </row>
    <row r="52332" spans="20:21" ht="15" customHeight="1" x14ac:dyDescent="0.25">
      <c r="T52332" s="135"/>
      <c r="U52332" s="135"/>
    </row>
    <row r="52333" spans="20:21" ht="15" customHeight="1" x14ac:dyDescent="0.25">
      <c r="T52333" s="135"/>
      <c r="U52333" s="135"/>
    </row>
    <row r="52334" spans="20:21" ht="15" customHeight="1" x14ac:dyDescent="0.25">
      <c r="T52334" s="135"/>
      <c r="U52334" s="135"/>
    </row>
    <row r="52335" spans="20:21" ht="15" customHeight="1" x14ac:dyDescent="0.25">
      <c r="T52335" s="135"/>
      <c r="U52335" s="135"/>
    </row>
    <row r="52336" spans="20:21" ht="15" customHeight="1" x14ac:dyDescent="0.25">
      <c r="T52336" s="135"/>
      <c r="U52336" s="135"/>
    </row>
    <row r="52337" spans="20:21" ht="15" customHeight="1" x14ac:dyDescent="0.25">
      <c r="T52337" s="135"/>
      <c r="U52337" s="135"/>
    </row>
    <row r="52338" spans="20:21" ht="15" customHeight="1" x14ac:dyDescent="0.25">
      <c r="T52338" s="135"/>
      <c r="U52338" s="135"/>
    </row>
    <row r="52339" spans="20:21" ht="15" customHeight="1" x14ac:dyDescent="0.25">
      <c r="T52339" s="135"/>
      <c r="U52339" s="135"/>
    </row>
    <row r="52340" spans="20:21" ht="15" customHeight="1" x14ac:dyDescent="0.25">
      <c r="T52340" s="135"/>
      <c r="U52340" s="135"/>
    </row>
    <row r="52341" spans="20:21" ht="15" customHeight="1" x14ac:dyDescent="0.25">
      <c r="T52341" s="135"/>
      <c r="U52341" s="135"/>
    </row>
    <row r="52342" spans="20:21" ht="15" customHeight="1" x14ac:dyDescent="0.25">
      <c r="T52342" s="135"/>
      <c r="U52342" s="135"/>
    </row>
    <row r="52343" spans="20:21" ht="15" customHeight="1" x14ac:dyDescent="0.25">
      <c r="T52343" s="135"/>
      <c r="U52343" s="135"/>
    </row>
    <row r="52344" spans="20:21" ht="15" customHeight="1" x14ac:dyDescent="0.25">
      <c r="T52344" s="135"/>
      <c r="U52344" s="135"/>
    </row>
    <row r="52345" spans="20:21" ht="15" customHeight="1" x14ac:dyDescent="0.25">
      <c r="T52345" s="135"/>
      <c r="U52345" s="135"/>
    </row>
    <row r="52346" spans="20:21" ht="15" customHeight="1" x14ac:dyDescent="0.25">
      <c r="T52346" s="135"/>
      <c r="U52346" s="135"/>
    </row>
    <row r="52347" spans="20:21" ht="15" customHeight="1" x14ac:dyDescent="0.25">
      <c r="T52347" s="135"/>
      <c r="U52347" s="135"/>
    </row>
    <row r="52348" spans="20:21" ht="15" customHeight="1" x14ac:dyDescent="0.25">
      <c r="T52348" s="135"/>
      <c r="U52348" s="135"/>
    </row>
    <row r="52349" spans="20:21" ht="15" customHeight="1" x14ac:dyDescent="0.25">
      <c r="T52349" s="135"/>
      <c r="U52349" s="135"/>
    </row>
    <row r="52350" spans="20:21" ht="15" customHeight="1" x14ac:dyDescent="0.25">
      <c r="T52350" s="135"/>
      <c r="U52350" s="135"/>
    </row>
    <row r="52351" spans="20:21" ht="15" customHeight="1" x14ac:dyDescent="0.25">
      <c r="T52351" s="135"/>
      <c r="U52351" s="135"/>
    </row>
    <row r="52352" spans="20:21" ht="15" customHeight="1" x14ac:dyDescent="0.25">
      <c r="T52352" s="135"/>
      <c r="U52352" s="135"/>
    </row>
    <row r="52353" spans="20:21" ht="15" customHeight="1" x14ac:dyDescent="0.25">
      <c r="T52353" s="135"/>
      <c r="U52353" s="135"/>
    </row>
    <row r="52354" spans="20:21" ht="15" customHeight="1" x14ac:dyDescent="0.25">
      <c r="T52354" s="135"/>
      <c r="U52354" s="135"/>
    </row>
    <row r="52355" spans="20:21" ht="15" customHeight="1" x14ac:dyDescent="0.25">
      <c r="T52355" s="135"/>
      <c r="U52355" s="135"/>
    </row>
    <row r="52356" spans="20:21" ht="15" customHeight="1" x14ac:dyDescent="0.25">
      <c r="T52356" s="135"/>
      <c r="U52356" s="135"/>
    </row>
    <row r="52357" spans="20:21" ht="15" customHeight="1" x14ac:dyDescent="0.25">
      <c r="T52357" s="135"/>
      <c r="U52357" s="135"/>
    </row>
    <row r="52358" spans="20:21" ht="15" customHeight="1" x14ac:dyDescent="0.25">
      <c r="T52358" s="135"/>
      <c r="U52358" s="135"/>
    </row>
    <row r="52359" spans="20:21" ht="15" customHeight="1" x14ac:dyDescent="0.25">
      <c r="T52359" s="135"/>
      <c r="U52359" s="135"/>
    </row>
    <row r="52360" spans="20:21" ht="15" customHeight="1" x14ac:dyDescent="0.25">
      <c r="T52360" s="135"/>
      <c r="U52360" s="135"/>
    </row>
    <row r="52361" spans="20:21" ht="15" customHeight="1" x14ac:dyDescent="0.25">
      <c r="T52361" s="135"/>
      <c r="U52361" s="135"/>
    </row>
    <row r="52362" spans="20:21" ht="15" customHeight="1" x14ac:dyDescent="0.25">
      <c r="T52362" s="135"/>
      <c r="U52362" s="135"/>
    </row>
    <row r="52363" spans="20:21" ht="15" customHeight="1" x14ac:dyDescent="0.25">
      <c r="T52363" s="135"/>
      <c r="U52363" s="135"/>
    </row>
    <row r="52364" spans="20:21" ht="15" customHeight="1" x14ac:dyDescent="0.25">
      <c r="T52364" s="135"/>
      <c r="U52364" s="135"/>
    </row>
    <row r="52365" spans="20:21" ht="15" customHeight="1" x14ac:dyDescent="0.25">
      <c r="T52365" s="135"/>
      <c r="U52365" s="135"/>
    </row>
    <row r="52366" spans="20:21" ht="15" customHeight="1" x14ac:dyDescent="0.25">
      <c r="T52366" s="135"/>
      <c r="U52366" s="135"/>
    </row>
    <row r="52367" spans="20:21" ht="15" customHeight="1" x14ac:dyDescent="0.25">
      <c r="T52367" s="135"/>
      <c r="U52367" s="135"/>
    </row>
    <row r="52368" spans="20:21" ht="15" customHeight="1" x14ac:dyDescent="0.25">
      <c r="T52368" s="135"/>
      <c r="U52368" s="135"/>
    </row>
    <row r="52369" spans="20:21" ht="15" customHeight="1" x14ac:dyDescent="0.25">
      <c r="T52369" s="135"/>
      <c r="U52369" s="135"/>
    </row>
    <row r="52370" spans="20:21" ht="15" customHeight="1" x14ac:dyDescent="0.25">
      <c r="T52370" s="135"/>
      <c r="U52370" s="135"/>
    </row>
    <row r="52371" spans="20:21" ht="15" customHeight="1" x14ac:dyDescent="0.25">
      <c r="T52371" s="135"/>
      <c r="U52371" s="135"/>
    </row>
    <row r="52372" spans="20:21" ht="15" customHeight="1" x14ac:dyDescent="0.25">
      <c r="T52372" s="135"/>
      <c r="U52372" s="135"/>
    </row>
    <row r="52373" spans="20:21" ht="15" customHeight="1" x14ac:dyDescent="0.25">
      <c r="T52373" s="135"/>
      <c r="U52373" s="135"/>
    </row>
    <row r="52374" spans="20:21" ht="15" customHeight="1" x14ac:dyDescent="0.25">
      <c r="T52374" s="135"/>
      <c r="U52374" s="135"/>
    </row>
    <row r="52375" spans="20:21" ht="15" customHeight="1" x14ac:dyDescent="0.25">
      <c r="T52375" s="135"/>
      <c r="U52375" s="135"/>
    </row>
    <row r="52376" spans="20:21" ht="15" customHeight="1" x14ac:dyDescent="0.25">
      <c r="T52376" s="135"/>
      <c r="U52376" s="135"/>
    </row>
    <row r="52377" spans="20:21" ht="15" customHeight="1" x14ac:dyDescent="0.25">
      <c r="T52377" s="135"/>
      <c r="U52377" s="135"/>
    </row>
    <row r="52378" spans="20:21" ht="15" customHeight="1" x14ac:dyDescent="0.25">
      <c r="T52378" s="135"/>
      <c r="U52378" s="135"/>
    </row>
    <row r="52379" spans="20:21" ht="15" customHeight="1" x14ac:dyDescent="0.25">
      <c r="T52379" s="135"/>
      <c r="U52379" s="135"/>
    </row>
    <row r="52380" spans="20:21" ht="15" customHeight="1" x14ac:dyDescent="0.25">
      <c r="T52380" s="135"/>
      <c r="U52380" s="135"/>
    </row>
    <row r="52381" spans="20:21" ht="15" customHeight="1" x14ac:dyDescent="0.25">
      <c r="T52381" s="135"/>
      <c r="U52381" s="135"/>
    </row>
    <row r="52382" spans="20:21" ht="15" customHeight="1" x14ac:dyDescent="0.25">
      <c r="T52382" s="135"/>
      <c r="U52382" s="135"/>
    </row>
    <row r="52383" spans="20:21" ht="15" customHeight="1" x14ac:dyDescent="0.25">
      <c r="T52383" s="135"/>
      <c r="U52383" s="135"/>
    </row>
    <row r="52384" spans="20:21" ht="15" customHeight="1" x14ac:dyDescent="0.25">
      <c r="T52384" s="135"/>
      <c r="U52384" s="135"/>
    </row>
    <row r="52385" spans="20:21" ht="15" customHeight="1" x14ac:dyDescent="0.25">
      <c r="T52385" s="135"/>
      <c r="U52385" s="135"/>
    </row>
    <row r="52386" spans="20:21" ht="15" customHeight="1" x14ac:dyDescent="0.25">
      <c r="T52386" s="135"/>
      <c r="U52386" s="135"/>
    </row>
    <row r="52387" spans="20:21" ht="15" customHeight="1" x14ac:dyDescent="0.25">
      <c r="T52387" s="135"/>
      <c r="U52387" s="135"/>
    </row>
    <row r="52388" spans="20:21" ht="15" customHeight="1" x14ac:dyDescent="0.25">
      <c r="T52388" s="135"/>
      <c r="U52388" s="135"/>
    </row>
    <row r="52389" spans="20:21" ht="15" customHeight="1" x14ac:dyDescent="0.25">
      <c r="T52389" s="135"/>
      <c r="U52389" s="135"/>
    </row>
    <row r="52390" spans="20:21" ht="15" customHeight="1" x14ac:dyDescent="0.25">
      <c r="T52390" s="135"/>
      <c r="U52390" s="135"/>
    </row>
    <row r="52391" spans="20:21" ht="15" customHeight="1" x14ac:dyDescent="0.25">
      <c r="T52391" s="135"/>
      <c r="U52391" s="135"/>
    </row>
    <row r="52392" spans="20:21" ht="15" customHeight="1" x14ac:dyDescent="0.25">
      <c r="T52392" s="135"/>
      <c r="U52392" s="135"/>
    </row>
    <row r="52393" spans="20:21" ht="15" customHeight="1" x14ac:dyDescent="0.25">
      <c r="T52393" s="135"/>
      <c r="U52393" s="135"/>
    </row>
    <row r="52394" spans="20:21" ht="15" customHeight="1" x14ac:dyDescent="0.25">
      <c r="T52394" s="135"/>
      <c r="U52394" s="135"/>
    </row>
    <row r="52395" spans="20:21" ht="15" customHeight="1" x14ac:dyDescent="0.25">
      <c r="T52395" s="135"/>
      <c r="U52395" s="135"/>
    </row>
    <row r="52396" spans="20:21" ht="15" customHeight="1" x14ac:dyDescent="0.25">
      <c r="T52396" s="135"/>
      <c r="U52396" s="135"/>
    </row>
    <row r="52397" spans="20:21" ht="15" customHeight="1" x14ac:dyDescent="0.25">
      <c r="T52397" s="135"/>
      <c r="U52397" s="135"/>
    </row>
    <row r="52398" spans="20:21" ht="15" customHeight="1" x14ac:dyDescent="0.25">
      <c r="T52398" s="135"/>
      <c r="U52398" s="135"/>
    </row>
    <row r="52399" spans="20:21" ht="15" customHeight="1" x14ac:dyDescent="0.25">
      <c r="T52399" s="135"/>
      <c r="U52399" s="135"/>
    </row>
    <row r="52400" spans="20:21" ht="15" customHeight="1" x14ac:dyDescent="0.25">
      <c r="T52400" s="135"/>
      <c r="U52400" s="135"/>
    </row>
    <row r="52401" spans="20:21" ht="15" customHeight="1" x14ac:dyDescent="0.25">
      <c r="T52401" s="135"/>
      <c r="U52401" s="135"/>
    </row>
    <row r="52402" spans="20:21" ht="15" customHeight="1" x14ac:dyDescent="0.25">
      <c r="T52402" s="135"/>
      <c r="U52402" s="135"/>
    </row>
    <row r="52403" spans="20:21" ht="15" customHeight="1" x14ac:dyDescent="0.25">
      <c r="T52403" s="135"/>
      <c r="U52403" s="135"/>
    </row>
    <row r="52404" spans="20:21" ht="15" customHeight="1" x14ac:dyDescent="0.25">
      <c r="T52404" s="135"/>
      <c r="U52404" s="135"/>
    </row>
    <row r="52405" spans="20:21" ht="15" customHeight="1" x14ac:dyDescent="0.25">
      <c r="T52405" s="135"/>
      <c r="U52405" s="135"/>
    </row>
    <row r="52406" spans="20:21" ht="15" customHeight="1" x14ac:dyDescent="0.25">
      <c r="T52406" s="135"/>
      <c r="U52406" s="135"/>
    </row>
    <row r="52407" spans="20:21" ht="15" customHeight="1" x14ac:dyDescent="0.25">
      <c r="T52407" s="135"/>
      <c r="U52407" s="135"/>
    </row>
    <row r="52408" spans="20:21" ht="15" customHeight="1" x14ac:dyDescent="0.25">
      <c r="T52408" s="135"/>
      <c r="U52408" s="135"/>
    </row>
    <row r="52409" spans="20:21" ht="15" customHeight="1" x14ac:dyDescent="0.25">
      <c r="T52409" s="135"/>
      <c r="U52409" s="135"/>
    </row>
    <row r="52410" spans="20:21" ht="15" customHeight="1" x14ac:dyDescent="0.25">
      <c r="T52410" s="135"/>
      <c r="U52410" s="135"/>
    </row>
    <row r="52411" spans="20:21" ht="15" customHeight="1" x14ac:dyDescent="0.25">
      <c r="T52411" s="135"/>
      <c r="U52411" s="135"/>
    </row>
    <row r="52412" spans="20:21" ht="15" customHeight="1" x14ac:dyDescent="0.25">
      <c r="T52412" s="135"/>
      <c r="U52412" s="135"/>
    </row>
    <row r="52413" spans="20:21" ht="15" customHeight="1" x14ac:dyDescent="0.25">
      <c r="T52413" s="135"/>
      <c r="U52413" s="135"/>
    </row>
    <row r="52414" spans="20:21" ht="15" customHeight="1" x14ac:dyDescent="0.25">
      <c r="T52414" s="135"/>
      <c r="U52414" s="135"/>
    </row>
    <row r="52415" spans="20:21" ht="15" customHeight="1" x14ac:dyDescent="0.25">
      <c r="T52415" s="135"/>
      <c r="U52415" s="135"/>
    </row>
    <row r="52416" spans="20:21" ht="15" customHeight="1" x14ac:dyDescent="0.25">
      <c r="T52416" s="135"/>
      <c r="U52416" s="135"/>
    </row>
    <row r="52417" spans="20:21" ht="15" customHeight="1" x14ac:dyDescent="0.25">
      <c r="T52417" s="135"/>
      <c r="U52417" s="135"/>
    </row>
    <row r="52418" spans="20:21" ht="15" customHeight="1" x14ac:dyDescent="0.25">
      <c r="T52418" s="135"/>
      <c r="U52418" s="135"/>
    </row>
    <row r="52419" spans="20:21" ht="15" customHeight="1" x14ac:dyDescent="0.25">
      <c r="T52419" s="135"/>
      <c r="U52419" s="135"/>
    </row>
    <row r="52420" spans="20:21" ht="15" customHeight="1" x14ac:dyDescent="0.25">
      <c r="T52420" s="135"/>
      <c r="U52420" s="135"/>
    </row>
    <row r="52421" spans="20:21" ht="15" customHeight="1" x14ac:dyDescent="0.25">
      <c r="T52421" s="135"/>
      <c r="U52421" s="135"/>
    </row>
    <row r="52422" spans="20:21" ht="15" customHeight="1" x14ac:dyDescent="0.25">
      <c r="T52422" s="135"/>
      <c r="U52422" s="135"/>
    </row>
    <row r="52423" spans="20:21" ht="15" customHeight="1" x14ac:dyDescent="0.25">
      <c r="T52423" s="135"/>
      <c r="U52423" s="135"/>
    </row>
    <row r="52424" spans="20:21" ht="15" customHeight="1" x14ac:dyDescent="0.25">
      <c r="T52424" s="135"/>
      <c r="U52424" s="135"/>
    </row>
    <row r="52425" spans="20:21" ht="15" customHeight="1" x14ac:dyDescent="0.25">
      <c r="T52425" s="135"/>
      <c r="U52425" s="135"/>
    </row>
    <row r="52426" spans="20:21" ht="15" customHeight="1" x14ac:dyDescent="0.25">
      <c r="T52426" s="135"/>
      <c r="U52426" s="135"/>
    </row>
    <row r="52427" spans="20:21" ht="15" customHeight="1" x14ac:dyDescent="0.25">
      <c r="T52427" s="135"/>
      <c r="U52427" s="135"/>
    </row>
    <row r="52428" spans="20:21" ht="15" customHeight="1" x14ac:dyDescent="0.25">
      <c r="T52428" s="135"/>
      <c r="U52428" s="135"/>
    </row>
    <row r="52429" spans="20:21" ht="15" customHeight="1" x14ac:dyDescent="0.25">
      <c r="T52429" s="135"/>
      <c r="U52429" s="135"/>
    </row>
    <row r="52430" spans="20:21" ht="15" customHeight="1" x14ac:dyDescent="0.25">
      <c r="T52430" s="135"/>
      <c r="U52430" s="135"/>
    </row>
    <row r="52431" spans="20:21" ht="15" customHeight="1" x14ac:dyDescent="0.25">
      <c r="T52431" s="135"/>
      <c r="U52431" s="135"/>
    </row>
    <row r="52432" spans="20:21" ht="15" customHeight="1" x14ac:dyDescent="0.25">
      <c r="T52432" s="135"/>
      <c r="U52432" s="135"/>
    </row>
    <row r="52433" spans="20:21" ht="15" customHeight="1" x14ac:dyDescent="0.25">
      <c r="T52433" s="135"/>
      <c r="U52433" s="135"/>
    </row>
    <row r="52434" spans="20:21" ht="15" customHeight="1" x14ac:dyDescent="0.25">
      <c r="T52434" s="135"/>
      <c r="U52434" s="135"/>
    </row>
    <row r="52435" spans="20:21" ht="15" customHeight="1" x14ac:dyDescent="0.25">
      <c r="T52435" s="135"/>
      <c r="U52435" s="135"/>
    </row>
    <row r="52436" spans="20:21" ht="15" customHeight="1" x14ac:dyDescent="0.25">
      <c r="T52436" s="135"/>
      <c r="U52436" s="135"/>
    </row>
    <row r="52437" spans="20:21" ht="15" customHeight="1" x14ac:dyDescent="0.25">
      <c r="T52437" s="135"/>
      <c r="U52437" s="135"/>
    </row>
    <row r="52438" spans="20:21" ht="15" customHeight="1" x14ac:dyDescent="0.25">
      <c r="T52438" s="135"/>
      <c r="U52438" s="135"/>
    </row>
    <row r="52439" spans="20:21" ht="15" customHeight="1" x14ac:dyDescent="0.25">
      <c r="T52439" s="135"/>
      <c r="U52439" s="135"/>
    </row>
    <row r="52440" spans="20:21" ht="15" customHeight="1" x14ac:dyDescent="0.25">
      <c r="T52440" s="135"/>
      <c r="U52440" s="135"/>
    </row>
    <row r="52441" spans="20:21" ht="15" customHeight="1" x14ac:dyDescent="0.25">
      <c r="T52441" s="135"/>
      <c r="U52441" s="135"/>
    </row>
    <row r="52442" spans="20:21" ht="15" customHeight="1" x14ac:dyDescent="0.25">
      <c r="T52442" s="135"/>
      <c r="U52442" s="135"/>
    </row>
    <row r="52443" spans="20:21" ht="15" customHeight="1" x14ac:dyDescent="0.25">
      <c r="T52443" s="135"/>
      <c r="U52443" s="135"/>
    </row>
    <row r="52444" spans="20:21" ht="15" customHeight="1" x14ac:dyDescent="0.25">
      <c r="T52444" s="135"/>
      <c r="U52444" s="135"/>
    </row>
    <row r="52445" spans="20:21" ht="15" customHeight="1" x14ac:dyDescent="0.25">
      <c r="T52445" s="135"/>
      <c r="U52445" s="135"/>
    </row>
    <row r="52446" spans="20:21" ht="15" customHeight="1" x14ac:dyDescent="0.25">
      <c r="T52446" s="135"/>
      <c r="U52446" s="135"/>
    </row>
    <row r="52447" spans="20:21" ht="15" customHeight="1" x14ac:dyDescent="0.25">
      <c r="T52447" s="135"/>
      <c r="U52447" s="135"/>
    </row>
    <row r="52448" spans="20:21" ht="15" customHeight="1" x14ac:dyDescent="0.25">
      <c r="T52448" s="135"/>
      <c r="U52448" s="135"/>
    </row>
    <row r="52449" spans="20:21" ht="15" customHeight="1" x14ac:dyDescent="0.25">
      <c r="T52449" s="135"/>
      <c r="U52449" s="135"/>
    </row>
    <row r="52450" spans="20:21" ht="15" customHeight="1" x14ac:dyDescent="0.25">
      <c r="T52450" s="135"/>
      <c r="U52450" s="135"/>
    </row>
    <row r="52451" spans="20:21" ht="15" customHeight="1" x14ac:dyDescent="0.25">
      <c r="T52451" s="135"/>
      <c r="U52451" s="135"/>
    </row>
    <row r="52452" spans="20:21" ht="15" customHeight="1" x14ac:dyDescent="0.25">
      <c r="T52452" s="135"/>
      <c r="U52452" s="135"/>
    </row>
    <row r="52453" spans="20:21" ht="15" customHeight="1" x14ac:dyDescent="0.25">
      <c r="T52453" s="135"/>
      <c r="U52453" s="135"/>
    </row>
    <row r="52454" spans="20:21" ht="15" customHeight="1" x14ac:dyDescent="0.25">
      <c r="T52454" s="135"/>
      <c r="U52454" s="135"/>
    </row>
    <row r="52455" spans="20:21" ht="15" customHeight="1" x14ac:dyDescent="0.25">
      <c r="T52455" s="135"/>
      <c r="U52455" s="135"/>
    </row>
    <row r="52456" spans="20:21" ht="15" customHeight="1" x14ac:dyDescent="0.25">
      <c r="T52456" s="135"/>
      <c r="U52456" s="135"/>
    </row>
    <row r="52457" spans="20:21" ht="15" customHeight="1" x14ac:dyDescent="0.25">
      <c r="T52457" s="135"/>
      <c r="U52457" s="135"/>
    </row>
    <row r="52458" spans="20:21" ht="15" customHeight="1" x14ac:dyDescent="0.25">
      <c r="T52458" s="135"/>
      <c r="U52458" s="135"/>
    </row>
    <row r="52459" spans="20:21" ht="15" customHeight="1" x14ac:dyDescent="0.25">
      <c r="T52459" s="135"/>
      <c r="U52459" s="135"/>
    </row>
    <row r="52460" spans="20:21" ht="15" customHeight="1" x14ac:dyDescent="0.25">
      <c r="T52460" s="135"/>
      <c r="U52460" s="135"/>
    </row>
    <row r="52461" spans="20:21" ht="15" customHeight="1" x14ac:dyDescent="0.25">
      <c r="T52461" s="135"/>
      <c r="U52461" s="135"/>
    </row>
    <row r="52462" spans="20:21" ht="15" customHeight="1" x14ac:dyDescent="0.25">
      <c r="T52462" s="135"/>
      <c r="U52462" s="135"/>
    </row>
    <row r="52463" spans="20:21" ht="15" customHeight="1" x14ac:dyDescent="0.25">
      <c r="T52463" s="135"/>
      <c r="U52463" s="135"/>
    </row>
    <row r="52464" spans="20:21" ht="15" customHeight="1" x14ac:dyDescent="0.25">
      <c r="T52464" s="135"/>
      <c r="U52464" s="135"/>
    </row>
    <row r="52465" spans="20:21" ht="15" customHeight="1" x14ac:dyDescent="0.25">
      <c r="T52465" s="135"/>
      <c r="U52465" s="135"/>
    </row>
    <row r="52466" spans="20:21" ht="15" customHeight="1" x14ac:dyDescent="0.25">
      <c r="T52466" s="135"/>
      <c r="U52466" s="135"/>
    </row>
    <row r="52467" spans="20:21" ht="15" customHeight="1" x14ac:dyDescent="0.25">
      <c r="T52467" s="135"/>
      <c r="U52467" s="135"/>
    </row>
    <row r="52468" spans="20:21" ht="15" customHeight="1" x14ac:dyDescent="0.25">
      <c r="T52468" s="135"/>
      <c r="U52468" s="135"/>
    </row>
    <row r="52469" spans="20:21" ht="15" customHeight="1" x14ac:dyDescent="0.25">
      <c r="T52469" s="135"/>
      <c r="U52469" s="135"/>
    </row>
    <row r="52470" spans="20:21" ht="15" customHeight="1" x14ac:dyDescent="0.25">
      <c r="T52470" s="135"/>
      <c r="U52470" s="135"/>
    </row>
    <row r="52471" spans="20:21" ht="15" customHeight="1" x14ac:dyDescent="0.25">
      <c r="T52471" s="135"/>
      <c r="U52471" s="135"/>
    </row>
    <row r="52472" spans="20:21" ht="15" customHeight="1" x14ac:dyDescent="0.25">
      <c r="T52472" s="135"/>
      <c r="U52472" s="135"/>
    </row>
    <row r="52473" spans="20:21" ht="15" customHeight="1" x14ac:dyDescent="0.25">
      <c r="T52473" s="135"/>
      <c r="U52473" s="135"/>
    </row>
    <row r="52474" spans="20:21" ht="15" customHeight="1" x14ac:dyDescent="0.25">
      <c r="T52474" s="135"/>
      <c r="U52474" s="135"/>
    </row>
    <row r="52475" spans="20:21" ht="15" customHeight="1" x14ac:dyDescent="0.25">
      <c r="T52475" s="135"/>
      <c r="U52475" s="135"/>
    </row>
    <row r="52476" spans="20:21" ht="15" customHeight="1" x14ac:dyDescent="0.25">
      <c r="T52476" s="135"/>
      <c r="U52476" s="135"/>
    </row>
    <row r="52477" spans="20:21" ht="15" customHeight="1" x14ac:dyDescent="0.25">
      <c r="T52477" s="135"/>
      <c r="U52477" s="135"/>
    </row>
    <row r="52478" spans="20:21" ht="15" customHeight="1" x14ac:dyDescent="0.25">
      <c r="T52478" s="135"/>
      <c r="U52478" s="135"/>
    </row>
    <row r="52479" spans="20:21" ht="15" customHeight="1" x14ac:dyDescent="0.25">
      <c r="T52479" s="135"/>
      <c r="U52479" s="135"/>
    </row>
    <row r="52480" spans="20:21" ht="15" customHeight="1" x14ac:dyDescent="0.25">
      <c r="T52480" s="135"/>
      <c r="U52480" s="135"/>
    </row>
    <row r="52481" spans="20:21" ht="15" customHeight="1" x14ac:dyDescent="0.25">
      <c r="T52481" s="135"/>
      <c r="U52481" s="135"/>
    </row>
    <row r="52482" spans="20:21" ht="15" customHeight="1" x14ac:dyDescent="0.25">
      <c r="T52482" s="135"/>
      <c r="U52482" s="135"/>
    </row>
    <row r="52483" spans="20:21" ht="15" customHeight="1" x14ac:dyDescent="0.25">
      <c r="T52483" s="135"/>
      <c r="U52483" s="135"/>
    </row>
    <row r="52484" spans="20:21" ht="15" customHeight="1" x14ac:dyDescent="0.25">
      <c r="T52484" s="135"/>
      <c r="U52484" s="135"/>
    </row>
    <row r="52485" spans="20:21" ht="15" customHeight="1" x14ac:dyDescent="0.25">
      <c r="T52485" s="135"/>
      <c r="U52485" s="135"/>
    </row>
    <row r="52486" spans="20:21" ht="15" customHeight="1" x14ac:dyDescent="0.25">
      <c r="T52486" s="135"/>
      <c r="U52486" s="135"/>
    </row>
    <row r="52487" spans="20:21" ht="15" customHeight="1" x14ac:dyDescent="0.25">
      <c r="T52487" s="135"/>
      <c r="U52487" s="135"/>
    </row>
    <row r="52488" spans="20:21" ht="15" customHeight="1" x14ac:dyDescent="0.25">
      <c r="T52488" s="135"/>
      <c r="U52488" s="135"/>
    </row>
    <row r="52489" spans="20:21" ht="15" customHeight="1" x14ac:dyDescent="0.25">
      <c r="T52489" s="135"/>
      <c r="U52489" s="135"/>
    </row>
    <row r="52490" spans="20:21" ht="15" customHeight="1" x14ac:dyDescent="0.25">
      <c r="T52490" s="135"/>
      <c r="U52490" s="135"/>
    </row>
    <row r="52491" spans="20:21" ht="15" customHeight="1" x14ac:dyDescent="0.25">
      <c r="T52491" s="135"/>
      <c r="U52491" s="135"/>
    </row>
    <row r="52492" spans="20:21" ht="15" customHeight="1" x14ac:dyDescent="0.25">
      <c r="T52492" s="135"/>
      <c r="U52492" s="135"/>
    </row>
    <row r="52493" spans="20:21" ht="15" customHeight="1" x14ac:dyDescent="0.25">
      <c r="T52493" s="135"/>
      <c r="U52493" s="135"/>
    </row>
    <row r="52494" spans="20:21" ht="15" customHeight="1" x14ac:dyDescent="0.25">
      <c r="T52494" s="135"/>
      <c r="U52494" s="135"/>
    </row>
    <row r="52495" spans="20:21" ht="15" customHeight="1" x14ac:dyDescent="0.25">
      <c r="T52495" s="135"/>
      <c r="U52495" s="135"/>
    </row>
    <row r="52496" spans="20:21" ht="15" customHeight="1" x14ac:dyDescent="0.25">
      <c r="T52496" s="135"/>
      <c r="U52496" s="135"/>
    </row>
    <row r="52497" spans="20:21" ht="15" customHeight="1" x14ac:dyDescent="0.25">
      <c r="T52497" s="135"/>
      <c r="U52497" s="135"/>
    </row>
    <row r="52498" spans="20:21" ht="15" customHeight="1" x14ac:dyDescent="0.25">
      <c r="T52498" s="135"/>
      <c r="U52498" s="135"/>
    </row>
    <row r="52499" spans="20:21" ht="15" customHeight="1" x14ac:dyDescent="0.25">
      <c r="T52499" s="135"/>
      <c r="U52499" s="135"/>
    </row>
    <row r="52500" spans="20:21" ht="15" customHeight="1" x14ac:dyDescent="0.25">
      <c r="T52500" s="135"/>
      <c r="U52500" s="135"/>
    </row>
    <row r="52501" spans="20:21" ht="15" customHeight="1" x14ac:dyDescent="0.25">
      <c r="T52501" s="135"/>
      <c r="U52501" s="135"/>
    </row>
    <row r="52502" spans="20:21" ht="15" customHeight="1" x14ac:dyDescent="0.25">
      <c r="T52502" s="135"/>
      <c r="U52502" s="135"/>
    </row>
    <row r="52503" spans="20:21" ht="15" customHeight="1" x14ac:dyDescent="0.25">
      <c r="T52503" s="135"/>
      <c r="U52503" s="135"/>
    </row>
    <row r="52504" spans="20:21" ht="15" customHeight="1" x14ac:dyDescent="0.25">
      <c r="T52504" s="135"/>
      <c r="U52504" s="135"/>
    </row>
    <row r="52505" spans="20:21" ht="15" customHeight="1" x14ac:dyDescent="0.25">
      <c r="T52505" s="135"/>
      <c r="U52505" s="135"/>
    </row>
    <row r="52506" spans="20:21" ht="15" customHeight="1" x14ac:dyDescent="0.25">
      <c r="T52506" s="135"/>
      <c r="U52506" s="135"/>
    </row>
    <row r="52507" spans="20:21" ht="15" customHeight="1" x14ac:dyDescent="0.25">
      <c r="T52507" s="135"/>
      <c r="U52507" s="135"/>
    </row>
    <row r="52508" spans="20:21" ht="15" customHeight="1" x14ac:dyDescent="0.25">
      <c r="T52508" s="135"/>
      <c r="U52508" s="135"/>
    </row>
    <row r="52509" spans="20:21" ht="15" customHeight="1" x14ac:dyDescent="0.25">
      <c r="T52509" s="135"/>
      <c r="U52509" s="135"/>
    </row>
    <row r="52510" spans="20:21" ht="15" customHeight="1" x14ac:dyDescent="0.25">
      <c r="T52510" s="135"/>
      <c r="U52510" s="135"/>
    </row>
    <row r="52511" spans="20:21" ht="15" customHeight="1" x14ac:dyDescent="0.25">
      <c r="T52511" s="135"/>
      <c r="U52511" s="135"/>
    </row>
    <row r="52512" spans="20:21" ht="15" customHeight="1" x14ac:dyDescent="0.25">
      <c r="T52512" s="135"/>
      <c r="U52512" s="135"/>
    </row>
    <row r="52513" spans="20:21" ht="15" customHeight="1" x14ac:dyDescent="0.25">
      <c r="T52513" s="135"/>
      <c r="U52513" s="135"/>
    </row>
    <row r="52514" spans="20:21" ht="15" customHeight="1" x14ac:dyDescent="0.25">
      <c r="T52514" s="135"/>
      <c r="U52514" s="135"/>
    </row>
    <row r="52515" spans="20:21" ht="15" customHeight="1" x14ac:dyDescent="0.25">
      <c r="T52515" s="135"/>
      <c r="U52515" s="135"/>
    </row>
    <row r="52516" spans="20:21" ht="15" customHeight="1" x14ac:dyDescent="0.25">
      <c r="T52516" s="135"/>
      <c r="U52516" s="135"/>
    </row>
    <row r="52517" spans="20:21" ht="15" customHeight="1" x14ac:dyDescent="0.25">
      <c r="T52517" s="135"/>
      <c r="U52517" s="135"/>
    </row>
    <row r="52518" spans="20:21" ht="15" customHeight="1" x14ac:dyDescent="0.25">
      <c r="T52518" s="135"/>
      <c r="U52518" s="135"/>
    </row>
    <row r="52519" spans="20:21" ht="15" customHeight="1" x14ac:dyDescent="0.25">
      <c r="T52519" s="135"/>
      <c r="U52519" s="135"/>
    </row>
    <row r="52520" spans="20:21" ht="15" customHeight="1" x14ac:dyDescent="0.25">
      <c r="T52520" s="135"/>
      <c r="U52520" s="135"/>
    </row>
    <row r="52521" spans="20:21" ht="15" customHeight="1" x14ac:dyDescent="0.25">
      <c r="T52521" s="135"/>
      <c r="U52521" s="135"/>
    </row>
    <row r="52522" spans="20:21" ht="15" customHeight="1" x14ac:dyDescent="0.25">
      <c r="T52522" s="135"/>
      <c r="U52522" s="135"/>
    </row>
    <row r="52523" spans="20:21" ht="15" customHeight="1" x14ac:dyDescent="0.25">
      <c r="T52523" s="135"/>
      <c r="U52523" s="135"/>
    </row>
    <row r="52524" spans="20:21" ht="15" customHeight="1" x14ac:dyDescent="0.25">
      <c r="T52524" s="135"/>
      <c r="U52524" s="135"/>
    </row>
    <row r="52525" spans="20:21" ht="15" customHeight="1" x14ac:dyDescent="0.25">
      <c r="T52525" s="135"/>
      <c r="U52525" s="135"/>
    </row>
    <row r="52526" spans="20:21" ht="15" customHeight="1" x14ac:dyDescent="0.25">
      <c r="T52526" s="135"/>
      <c r="U52526" s="135"/>
    </row>
    <row r="52527" spans="20:21" ht="15" customHeight="1" x14ac:dyDescent="0.25">
      <c r="T52527" s="135"/>
      <c r="U52527" s="135"/>
    </row>
    <row r="52528" spans="20:21" ht="15" customHeight="1" x14ac:dyDescent="0.25">
      <c r="T52528" s="135"/>
      <c r="U52528" s="135"/>
    </row>
    <row r="52529" spans="20:21" ht="15" customHeight="1" x14ac:dyDescent="0.25">
      <c r="T52529" s="135"/>
      <c r="U52529" s="135"/>
    </row>
    <row r="52530" spans="20:21" ht="15" customHeight="1" x14ac:dyDescent="0.25">
      <c r="T52530" s="135"/>
      <c r="U52530" s="135"/>
    </row>
    <row r="52531" spans="20:21" ht="15" customHeight="1" x14ac:dyDescent="0.25">
      <c r="T52531" s="135"/>
      <c r="U52531" s="135"/>
    </row>
    <row r="52532" spans="20:21" ht="15" customHeight="1" x14ac:dyDescent="0.25">
      <c r="T52532" s="135"/>
      <c r="U52532" s="135"/>
    </row>
    <row r="52533" spans="20:21" ht="15" customHeight="1" x14ac:dyDescent="0.25">
      <c r="T52533" s="135"/>
      <c r="U52533" s="135"/>
    </row>
    <row r="52534" spans="20:21" ht="15" customHeight="1" x14ac:dyDescent="0.25">
      <c r="T52534" s="135"/>
      <c r="U52534" s="135"/>
    </row>
    <row r="52535" spans="20:21" ht="15" customHeight="1" x14ac:dyDescent="0.25">
      <c r="T52535" s="135"/>
      <c r="U52535" s="135"/>
    </row>
    <row r="52536" spans="20:21" ht="15" customHeight="1" x14ac:dyDescent="0.25">
      <c r="T52536" s="135"/>
      <c r="U52536" s="135"/>
    </row>
    <row r="52537" spans="20:21" ht="15" customHeight="1" x14ac:dyDescent="0.25">
      <c r="T52537" s="135"/>
      <c r="U52537" s="135"/>
    </row>
    <row r="52538" spans="20:21" ht="15" customHeight="1" x14ac:dyDescent="0.25">
      <c r="T52538" s="135"/>
      <c r="U52538" s="135"/>
    </row>
    <row r="52539" spans="20:21" ht="15" customHeight="1" x14ac:dyDescent="0.25">
      <c r="T52539" s="135"/>
      <c r="U52539" s="135"/>
    </row>
    <row r="52540" spans="20:21" ht="15" customHeight="1" x14ac:dyDescent="0.25">
      <c r="T52540" s="135"/>
      <c r="U52540" s="135"/>
    </row>
    <row r="52541" spans="20:21" ht="15" customHeight="1" x14ac:dyDescent="0.25">
      <c r="T52541" s="135"/>
      <c r="U52541" s="135"/>
    </row>
    <row r="52542" spans="20:21" ht="15" customHeight="1" x14ac:dyDescent="0.25">
      <c r="T52542" s="135"/>
      <c r="U52542" s="135"/>
    </row>
    <row r="52543" spans="20:21" ht="15" customHeight="1" x14ac:dyDescent="0.25">
      <c r="T52543" s="135"/>
      <c r="U52543" s="135"/>
    </row>
    <row r="52544" spans="20:21" ht="15" customHeight="1" x14ac:dyDescent="0.25">
      <c r="T52544" s="135"/>
      <c r="U52544" s="135"/>
    </row>
    <row r="52545" spans="20:21" ht="15" customHeight="1" x14ac:dyDescent="0.25">
      <c r="T52545" s="135"/>
      <c r="U52545" s="135"/>
    </row>
    <row r="52546" spans="20:21" ht="15" customHeight="1" x14ac:dyDescent="0.25">
      <c r="T52546" s="135"/>
      <c r="U52546" s="135"/>
    </row>
    <row r="52547" spans="20:21" ht="15" customHeight="1" x14ac:dyDescent="0.25">
      <c r="T52547" s="135"/>
      <c r="U52547" s="135"/>
    </row>
    <row r="52548" spans="20:21" ht="15" customHeight="1" x14ac:dyDescent="0.25">
      <c r="T52548" s="135"/>
      <c r="U52548" s="135"/>
    </row>
    <row r="52549" spans="20:21" ht="15" customHeight="1" x14ac:dyDescent="0.25">
      <c r="T52549" s="135"/>
      <c r="U52549" s="135"/>
    </row>
    <row r="52550" spans="20:21" ht="15" customHeight="1" x14ac:dyDescent="0.25">
      <c r="T52550" s="135"/>
      <c r="U52550" s="135"/>
    </row>
    <row r="52551" spans="20:21" ht="15" customHeight="1" x14ac:dyDescent="0.25">
      <c r="T52551" s="135"/>
      <c r="U52551" s="135"/>
    </row>
    <row r="52552" spans="20:21" ht="15" customHeight="1" x14ac:dyDescent="0.25">
      <c r="T52552" s="135"/>
      <c r="U52552" s="135"/>
    </row>
    <row r="52553" spans="20:21" ht="15" customHeight="1" x14ac:dyDescent="0.25">
      <c r="T52553" s="135"/>
      <c r="U52553" s="135"/>
    </row>
    <row r="52554" spans="20:21" ht="15" customHeight="1" x14ac:dyDescent="0.25">
      <c r="T52554" s="135"/>
      <c r="U52554" s="135"/>
    </row>
    <row r="52555" spans="20:21" ht="15" customHeight="1" x14ac:dyDescent="0.25">
      <c r="T52555" s="135"/>
      <c r="U52555" s="135"/>
    </row>
    <row r="52556" spans="20:21" ht="15" customHeight="1" x14ac:dyDescent="0.25">
      <c r="T52556" s="135"/>
      <c r="U52556" s="135"/>
    </row>
    <row r="52557" spans="20:21" ht="15" customHeight="1" x14ac:dyDescent="0.25">
      <c r="T52557" s="135"/>
      <c r="U52557" s="135"/>
    </row>
    <row r="52558" spans="20:21" ht="15" customHeight="1" x14ac:dyDescent="0.25">
      <c r="T52558" s="135"/>
      <c r="U52558" s="135"/>
    </row>
    <row r="52559" spans="20:21" ht="15" customHeight="1" x14ac:dyDescent="0.25">
      <c r="T52559" s="135"/>
      <c r="U52559" s="135"/>
    </row>
    <row r="52560" spans="20:21" ht="15" customHeight="1" x14ac:dyDescent="0.25">
      <c r="T52560" s="135"/>
      <c r="U52560" s="135"/>
    </row>
    <row r="52561" spans="20:21" ht="15" customHeight="1" x14ac:dyDescent="0.25">
      <c r="T52561" s="135"/>
      <c r="U52561" s="135"/>
    </row>
    <row r="52562" spans="20:21" ht="15" customHeight="1" x14ac:dyDescent="0.25">
      <c r="T52562" s="135"/>
      <c r="U52562" s="135"/>
    </row>
    <row r="52563" spans="20:21" ht="15" customHeight="1" x14ac:dyDescent="0.25">
      <c r="T52563" s="135"/>
      <c r="U52563" s="135"/>
    </row>
    <row r="52564" spans="20:21" ht="15" customHeight="1" x14ac:dyDescent="0.25">
      <c r="T52564" s="135"/>
      <c r="U52564" s="135"/>
    </row>
    <row r="52565" spans="20:21" ht="15" customHeight="1" x14ac:dyDescent="0.25">
      <c r="T52565" s="135"/>
      <c r="U52565" s="135"/>
    </row>
    <row r="52566" spans="20:21" ht="15" customHeight="1" x14ac:dyDescent="0.25">
      <c r="T52566" s="135"/>
      <c r="U52566" s="135"/>
    </row>
    <row r="52567" spans="20:21" ht="15" customHeight="1" x14ac:dyDescent="0.25">
      <c r="T52567" s="135"/>
      <c r="U52567" s="135"/>
    </row>
    <row r="52568" spans="20:21" ht="15" customHeight="1" x14ac:dyDescent="0.25">
      <c r="T52568" s="135"/>
      <c r="U52568" s="135"/>
    </row>
    <row r="52569" spans="20:21" ht="15" customHeight="1" x14ac:dyDescent="0.25">
      <c r="T52569" s="135"/>
      <c r="U52569" s="135"/>
    </row>
    <row r="52570" spans="20:21" ht="15" customHeight="1" x14ac:dyDescent="0.25">
      <c r="T52570" s="135"/>
      <c r="U52570" s="135"/>
    </row>
    <row r="52571" spans="20:21" ht="15" customHeight="1" x14ac:dyDescent="0.25">
      <c r="T52571" s="135"/>
      <c r="U52571" s="135"/>
    </row>
    <row r="52572" spans="20:21" ht="15" customHeight="1" x14ac:dyDescent="0.25">
      <c r="T52572" s="135"/>
      <c r="U52572" s="135"/>
    </row>
    <row r="52573" spans="20:21" ht="15" customHeight="1" x14ac:dyDescent="0.25">
      <c r="T52573" s="135"/>
      <c r="U52573" s="135"/>
    </row>
    <row r="52574" spans="20:21" ht="15" customHeight="1" x14ac:dyDescent="0.25">
      <c r="T52574" s="135"/>
      <c r="U52574" s="135"/>
    </row>
    <row r="52575" spans="20:21" ht="15" customHeight="1" x14ac:dyDescent="0.25">
      <c r="T52575" s="135"/>
      <c r="U52575" s="135"/>
    </row>
    <row r="52576" spans="20:21" ht="15" customHeight="1" x14ac:dyDescent="0.25">
      <c r="T52576" s="135"/>
      <c r="U52576" s="135"/>
    </row>
    <row r="52577" spans="20:21" ht="15" customHeight="1" x14ac:dyDescent="0.25">
      <c r="T52577" s="135"/>
      <c r="U52577" s="135"/>
    </row>
    <row r="52578" spans="20:21" ht="15" customHeight="1" x14ac:dyDescent="0.25">
      <c r="T52578" s="135"/>
      <c r="U52578" s="135"/>
    </row>
    <row r="52579" spans="20:21" ht="15" customHeight="1" x14ac:dyDescent="0.25">
      <c r="T52579" s="135"/>
      <c r="U52579" s="135"/>
    </row>
    <row r="52580" spans="20:21" ht="15" customHeight="1" x14ac:dyDescent="0.25">
      <c r="T52580" s="135"/>
      <c r="U52580" s="135"/>
    </row>
    <row r="52581" spans="20:21" ht="15" customHeight="1" x14ac:dyDescent="0.25">
      <c r="T52581" s="135"/>
      <c r="U52581" s="135"/>
    </row>
    <row r="52582" spans="20:21" ht="15" customHeight="1" x14ac:dyDescent="0.25">
      <c r="T52582" s="135"/>
      <c r="U52582" s="135"/>
    </row>
    <row r="52583" spans="20:21" ht="15" customHeight="1" x14ac:dyDescent="0.25">
      <c r="T52583" s="135"/>
      <c r="U52583" s="135"/>
    </row>
    <row r="52584" spans="20:21" ht="15" customHeight="1" x14ac:dyDescent="0.25">
      <c r="T52584" s="135"/>
      <c r="U52584" s="135"/>
    </row>
    <row r="52585" spans="20:21" ht="15" customHeight="1" x14ac:dyDescent="0.25">
      <c r="T52585" s="135"/>
      <c r="U52585" s="135"/>
    </row>
    <row r="52586" spans="20:21" ht="15" customHeight="1" x14ac:dyDescent="0.25">
      <c r="T52586" s="135"/>
      <c r="U52586" s="135"/>
    </row>
    <row r="52587" spans="20:21" ht="15" customHeight="1" x14ac:dyDescent="0.25">
      <c r="T52587" s="135"/>
      <c r="U52587" s="135"/>
    </row>
    <row r="52588" spans="20:21" ht="15" customHeight="1" x14ac:dyDescent="0.25">
      <c r="T52588" s="135"/>
      <c r="U52588" s="135"/>
    </row>
    <row r="52589" spans="20:21" ht="15" customHeight="1" x14ac:dyDescent="0.25">
      <c r="T52589" s="135"/>
      <c r="U52589" s="135"/>
    </row>
    <row r="52590" spans="20:21" ht="15" customHeight="1" x14ac:dyDescent="0.25">
      <c r="T52590" s="135"/>
      <c r="U52590" s="135"/>
    </row>
    <row r="52591" spans="20:21" ht="15" customHeight="1" x14ac:dyDescent="0.25">
      <c r="T52591" s="135"/>
      <c r="U52591" s="135"/>
    </row>
    <row r="52592" spans="20:21" ht="15" customHeight="1" x14ac:dyDescent="0.25">
      <c r="T52592" s="135"/>
      <c r="U52592" s="135"/>
    </row>
    <row r="52593" spans="20:21" ht="15" customHeight="1" x14ac:dyDescent="0.25">
      <c r="T52593" s="135"/>
      <c r="U52593" s="135"/>
    </row>
    <row r="52594" spans="20:21" ht="15" customHeight="1" x14ac:dyDescent="0.25">
      <c r="T52594" s="135"/>
      <c r="U52594" s="135"/>
    </row>
    <row r="52595" spans="20:21" ht="15" customHeight="1" x14ac:dyDescent="0.25">
      <c r="T52595" s="135"/>
      <c r="U52595" s="135"/>
    </row>
    <row r="52596" spans="20:21" ht="15" customHeight="1" x14ac:dyDescent="0.25">
      <c r="T52596" s="135"/>
      <c r="U52596" s="135"/>
    </row>
    <row r="52597" spans="20:21" ht="15" customHeight="1" x14ac:dyDescent="0.25">
      <c r="T52597" s="135"/>
      <c r="U52597" s="135"/>
    </row>
    <row r="52598" spans="20:21" ht="15" customHeight="1" x14ac:dyDescent="0.25">
      <c r="T52598" s="135"/>
      <c r="U52598" s="135"/>
    </row>
    <row r="52599" spans="20:21" ht="15" customHeight="1" x14ac:dyDescent="0.25">
      <c r="T52599" s="135"/>
      <c r="U52599" s="135"/>
    </row>
    <row r="52600" spans="20:21" ht="15" customHeight="1" x14ac:dyDescent="0.25">
      <c r="T52600" s="135"/>
      <c r="U52600" s="135"/>
    </row>
    <row r="52601" spans="20:21" ht="15" customHeight="1" x14ac:dyDescent="0.25">
      <c r="T52601" s="135"/>
      <c r="U52601" s="135"/>
    </row>
    <row r="52602" spans="20:21" ht="15" customHeight="1" x14ac:dyDescent="0.25">
      <c r="T52602" s="135"/>
      <c r="U52602" s="135"/>
    </row>
    <row r="52603" spans="20:21" ht="15" customHeight="1" x14ac:dyDescent="0.25">
      <c r="T52603" s="135"/>
      <c r="U52603" s="135"/>
    </row>
    <row r="52604" spans="20:21" ht="15" customHeight="1" x14ac:dyDescent="0.25">
      <c r="T52604" s="135"/>
      <c r="U52604" s="135"/>
    </row>
    <row r="52605" spans="20:21" ht="15" customHeight="1" x14ac:dyDescent="0.25">
      <c r="T52605" s="135"/>
      <c r="U52605" s="135"/>
    </row>
    <row r="52606" spans="20:21" ht="15" customHeight="1" x14ac:dyDescent="0.25">
      <c r="T52606" s="135"/>
      <c r="U52606" s="135"/>
    </row>
    <row r="52607" spans="20:21" ht="15" customHeight="1" x14ac:dyDescent="0.25">
      <c r="T52607" s="135"/>
      <c r="U52607" s="135"/>
    </row>
    <row r="52608" spans="20:21" ht="15" customHeight="1" x14ac:dyDescent="0.25">
      <c r="T52608" s="135"/>
      <c r="U52608" s="135"/>
    </row>
    <row r="52609" spans="20:21" ht="15" customHeight="1" x14ac:dyDescent="0.25">
      <c r="T52609" s="135"/>
      <c r="U52609" s="135"/>
    </row>
    <row r="52610" spans="20:21" ht="15" customHeight="1" x14ac:dyDescent="0.25">
      <c r="T52610" s="135"/>
      <c r="U52610" s="135"/>
    </row>
    <row r="52611" spans="20:21" ht="15" customHeight="1" x14ac:dyDescent="0.25">
      <c r="T52611" s="135"/>
      <c r="U52611" s="135"/>
    </row>
    <row r="52612" spans="20:21" ht="15" customHeight="1" x14ac:dyDescent="0.25">
      <c r="T52612" s="135"/>
      <c r="U52612" s="135"/>
    </row>
    <row r="52613" spans="20:21" ht="15" customHeight="1" x14ac:dyDescent="0.25">
      <c r="T52613" s="135"/>
      <c r="U52613" s="135"/>
    </row>
    <row r="52614" spans="20:21" ht="15" customHeight="1" x14ac:dyDescent="0.25">
      <c r="T52614" s="135"/>
      <c r="U52614" s="135"/>
    </row>
    <row r="52615" spans="20:21" ht="15" customHeight="1" x14ac:dyDescent="0.25">
      <c r="T52615" s="135"/>
      <c r="U52615" s="135"/>
    </row>
    <row r="52616" spans="20:21" ht="15" customHeight="1" x14ac:dyDescent="0.25">
      <c r="T52616" s="135"/>
      <c r="U52616" s="135"/>
    </row>
    <row r="52617" spans="20:21" ht="15" customHeight="1" x14ac:dyDescent="0.25">
      <c r="T52617" s="135"/>
      <c r="U52617" s="135"/>
    </row>
    <row r="52618" spans="20:21" ht="15" customHeight="1" x14ac:dyDescent="0.25">
      <c r="T52618" s="135"/>
      <c r="U52618" s="135"/>
    </row>
    <row r="52619" spans="20:21" ht="15" customHeight="1" x14ac:dyDescent="0.25">
      <c r="T52619" s="135"/>
      <c r="U52619" s="135"/>
    </row>
    <row r="52620" spans="20:21" ht="15" customHeight="1" x14ac:dyDescent="0.25">
      <c r="T52620" s="135"/>
      <c r="U52620" s="135"/>
    </row>
    <row r="52621" spans="20:21" ht="15" customHeight="1" x14ac:dyDescent="0.25">
      <c r="T52621" s="135"/>
      <c r="U52621" s="135"/>
    </row>
    <row r="52622" spans="20:21" ht="15" customHeight="1" x14ac:dyDescent="0.25">
      <c r="T52622" s="135"/>
      <c r="U52622" s="135"/>
    </row>
    <row r="52623" spans="20:21" ht="15" customHeight="1" x14ac:dyDescent="0.25">
      <c r="T52623" s="135"/>
      <c r="U52623" s="135"/>
    </row>
    <row r="52624" spans="20:21" ht="15" customHeight="1" x14ac:dyDescent="0.25">
      <c r="T52624" s="135"/>
      <c r="U52624" s="135"/>
    </row>
    <row r="52625" spans="20:21" ht="15" customHeight="1" x14ac:dyDescent="0.25">
      <c r="T52625" s="135"/>
      <c r="U52625" s="135"/>
    </row>
    <row r="52626" spans="20:21" ht="15" customHeight="1" x14ac:dyDescent="0.25">
      <c r="T52626" s="135"/>
      <c r="U52626" s="135"/>
    </row>
    <row r="52627" spans="20:21" ht="15" customHeight="1" x14ac:dyDescent="0.25">
      <c r="T52627" s="135"/>
      <c r="U52627" s="135"/>
    </row>
    <row r="52628" spans="20:21" ht="15" customHeight="1" x14ac:dyDescent="0.25">
      <c r="T52628" s="135"/>
      <c r="U52628" s="135"/>
    </row>
    <row r="52629" spans="20:21" ht="15" customHeight="1" x14ac:dyDescent="0.25">
      <c r="T52629" s="135"/>
      <c r="U52629" s="135"/>
    </row>
    <row r="52630" spans="20:21" ht="15" customHeight="1" x14ac:dyDescent="0.25">
      <c r="T52630" s="135"/>
      <c r="U52630" s="135"/>
    </row>
    <row r="52631" spans="20:21" ht="15" customHeight="1" x14ac:dyDescent="0.25">
      <c r="T52631" s="135"/>
      <c r="U52631" s="135"/>
    </row>
    <row r="52632" spans="20:21" ht="15" customHeight="1" x14ac:dyDescent="0.25">
      <c r="T52632" s="135"/>
      <c r="U52632" s="135"/>
    </row>
    <row r="52633" spans="20:21" ht="15" customHeight="1" x14ac:dyDescent="0.25">
      <c r="T52633" s="135"/>
      <c r="U52633" s="135"/>
    </row>
    <row r="52634" spans="20:21" ht="15" customHeight="1" x14ac:dyDescent="0.25">
      <c r="T52634" s="135"/>
      <c r="U52634" s="135"/>
    </row>
    <row r="52635" spans="20:21" ht="15" customHeight="1" x14ac:dyDescent="0.25">
      <c r="T52635" s="135"/>
      <c r="U52635" s="135"/>
    </row>
    <row r="52636" spans="20:21" ht="15" customHeight="1" x14ac:dyDescent="0.25">
      <c r="T52636" s="135"/>
      <c r="U52636" s="135"/>
    </row>
    <row r="52637" spans="20:21" ht="15" customHeight="1" x14ac:dyDescent="0.25">
      <c r="T52637" s="135"/>
      <c r="U52637" s="135"/>
    </row>
    <row r="52638" spans="20:21" ht="15" customHeight="1" x14ac:dyDescent="0.25">
      <c r="T52638" s="135"/>
      <c r="U52638" s="135"/>
    </row>
    <row r="52639" spans="20:21" ht="15" customHeight="1" x14ac:dyDescent="0.25">
      <c r="T52639" s="135"/>
      <c r="U52639" s="135"/>
    </row>
    <row r="52640" spans="20:21" ht="15" customHeight="1" x14ac:dyDescent="0.25">
      <c r="T52640" s="135"/>
      <c r="U52640" s="135"/>
    </row>
    <row r="52641" spans="20:21" ht="15" customHeight="1" x14ac:dyDescent="0.25">
      <c r="T52641" s="135"/>
      <c r="U52641" s="135"/>
    </row>
    <row r="52642" spans="20:21" ht="15" customHeight="1" x14ac:dyDescent="0.25">
      <c r="T52642" s="135"/>
      <c r="U52642" s="135"/>
    </row>
    <row r="52643" spans="20:21" ht="15" customHeight="1" x14ac:dyDescent="0.25">
      <c r="T52643" s="135"/>
      <c r="U52643" s="135"/>
    </row>
    <row r="52644" spans="20:21" ht="15" customHeight="1" x14ac:dyDescent="0.25">
      <c r="T52644" s="135"/>
      <c r="U52644" s="135"/>
    </row>
    <row r="52645" spans="20:21" ht="15" customHeight="1" x14ac:dyDescent="0.25">
      <c r="T52645" s="135"/>
      <c r="U52645" s="135"/>
    </row>
    <row r="52646" spans="20:21" ht="15" customHeight="1" x14ac:dyDescent="0.25">
      <c r="T52646" s="135"/>
      <c r="U52646" s="135"/>
    </row>
    <row r="52647" spans="20:21" ht="15" customHeight="1" x14ac:dyDescent="0.25">
      <c r="T52647" s="135"/>
      <c r="U52647" s="135"/>
    </row>
    <row r="52648" spans="20:21" ht="15" customHeight="1" x14ac:dyDescent="0.25">
      <c r="T52648" s="135"/>
      <c r="U52648" s="135"/>
    </row>
    <row r="52649" spans="20:21" ht="15" customHeight="1" x14ac:dyDescent="0.25">
      <c r="T52649" s="135"/>
      <c r="U52649" s="135"/>
    </row>
    <row r="52650" spans="20:21" ht="15" customHeight="1" x14ac:dyDescent="0.25">
      <c r="T52650" s="135"/>
      <c r="U52650" s="135"/>
    </row>
    <row r="52651" spans="20:21" ht="15" customHeight="1" x14ac:dyDescent="0.25">
      <c r="T52651" s="135"/>
      <c r="U52651" s="135"/>
    </row>
    <row r="52652" spans="20:21" ht="15" customHeight="1" x14ac:dyDescent="0.25">
      <c r="T52652" s="135"/>
      <c r="U52652" s="135"/>
    </row>
    <row r="52653" spans="20:21" ht="15" customHeight="1" x14ac:dyDescent="0.25">
      <c r="T52653" s="135"/>
      <c r="U52653" s="135"/>
    </row>
    <row r="52654" spans="20:21" ht="15" customHeight="1" x14ac:dyDescent="0.25">
      <c r="T52654" s="135"/>
      <c r="U52654" s="135"/>
    </row>
    <row r="52655" spans="20:21" ht="15" customHeight="1" x14ac:dyDescent="0.25">
      <c r="T52655" s="135"/>
      <c r="U52655" s="135"/>
    </row>
    <row r="52656" spans="20:21" ht="15" customHeight="1" x14ac:dyDescent="0.25">
      <c r="T52656" s="135"/>
      <c r="U52656" s="135"/>
    </row>
    <row r="52657" spans="20:21" ht="15" customHeight="1" x14ac:dyDescent="0.25">
      <c r="T52657" s="135"/>
      <c r="U52657" s="135"/>
    </row>
    <row r="52658" spans="20:21" ht="15" customHeight="1" x14ac:dyDescent="0.25">
      <c r="T52658" s="135"/>
      <c r="U52658" s="135"/>
    </row>
    <row r="52659" spans="20:21" ht="15" customHeight="1" x14ac:dyDescent="0.25">
      <c r="T52659" s="135"/>
      <c r="U52659" s="135"/>
    </row>
    <row r="52660" spans="20:21" ht="15" customHeight="1" x14ac:dyDescent="0.25">
      <c r="T52660" s="135"/>
      <c r="U52660" s="135"/>
    </row>
    <row r="52661" spans="20:21" ht="15" customHeight="1" x14ac:dyDescent="0.25">
      <c r="T52661" s="135"/>
      <c r="U52661" s="135"/>
    </row>
    <row r="52662" spans="20:21" ht="15" customHeight="1" x14ac:dyDescent="0.25">
      <c r="T52662" s="135"/>
      <c r="U52662" s="135"/>
    </row>
    <row r="52663" spans="20:21" ht="15" customHeight="1" x14ac:dyDescent="0.25">
      <c r="T52663" s="135"/>
      <c r="U52663" s="135"/>
    </row>
    <row r="52664" spans="20:21" ht="15" customHeight="1" x14ac:dyDescent="0.25">
      <c r="T52664" s="135"/>
      <c r="U52664" s="135"/>
    </row>
    <row r="52665" spans="20:21" ht="15" customHeight="1" x14ac:dyDescent="0.25">
      <c r="T52665" s="135"/>
      <c r="U52665" s="135"/>
    </row>
    <row r="52666" spans="20:21" ht="15" customHeight="1" x14ac:dyDescent="0.25">
      <c r="T52666" s="135"/>
      <c r="U52666" s="135"/>
    </row>
    <row r="52667" spans="20:21" ht="15" customHeight="1" x14ac:dyDescent="0.25">
      <c r="T52667" s="135"/>
      <c r="U52667" s="135"/>
    </row>
    <row r="52668" spans="20:21" ht="15" customHeight="1" x14ac:dyDescent="0.25">
      <c r="T52668" s="135"/>
      <c r="U52668" s="135"/>
    </row>
    <row r="52669" spans="20:21" ht="15" customHeight="1" x14ac:dyDescent="0.25">
      <c r="T52669" s="135"/>
      <c r="U52669" s="135"/>
    </row>
    <row r="52670" spans="20:21" ht="15" customHeight="1" x14ac:dyDescent="0.25">
      <c r="T52670" s="135"/>
      <c r="U52670" s="135"/>
    </row>
    <row r="52671" spans="20:21" ht="15" customHeight="1" x14ac:dyDescent="0.25">
      <c r="T52671" s="135"/>
      <c r="U52671" s="135"/>
    </row>
    <row r="52672" spans="20:21" ht="15" customHeight="1" x14ac:dyDescent="0.25">
      <c r="T52672" s="135"/>
      <c r="U52672" s="135"/>
    </row>
    <row r="52673" spans="20:21" ht="15" customHeight="1" x14ac:dyDescent="0.25">
      <c r="T52673" s="135"/>
      <c r="U52673" s="135"/>
    </row>
    <row r="52674" spans="20:21" ht="15" customHeight="1" x14ac:dyDescent="0.25">
      <c r="T52674" s="135"/>
      <c r="U52674" s="135"/>
    </row>
    <row r="52675" spans="20:21" ht="15" customHeight="1" x14ac:dyDescent="0.25">
      <c r="T52675" s="135"/>
      <c r="U52675" s="135"/>
    </row>
    <row r="52676" spans="20:21" ht="15" customHeight="1" x14ac:dyDescent="0.25">
      <c r="T52676" s="135"/>
      <c r="U52676" s="135"/>
    </row>
    <row r="52677" spans="20:21" ht="15" customHeight="1" x14ac:dyDescent="0.25">
      <c r="T52677" s="135"/>
      <c r="U52677" s="135"/>
    </row>
    <row r="52678" spans="20:21" ht="15" customHeight="1" x14ac:dyDescent="0.25">
      <c r="T52678" s="135"/>
      <c r="U52678" s="135"/>
    </row>
    <row r="52679" spans="20:21" ht="15" customHeight="1" x14ac:dyDescent="0.25">
      <c r="T52679" s="135"/>
      <c r="U52679" s="135"/>
    </row>
    <row r="52680" spans="20:21" ht="15" customHeight="1" x14ac:dyDescent="0.25">
      <c r="T52680" s="135"/>
      <c r="U52680" s="135"/>
    </row>
    <row r="52681" spans="20:21" ht="15" customHeight="1" x14ac:dyDescent="0.25">
      <c r="T52681" s="135"/>
      <c r="U52681" s="135"/>
    </row>
    <row r="52682" spans="20:21" ht="15" customHeight="1" x14ac:dyDescent="0.25">
      <c r="T52682" s="135"/>
      <c r="U52682" s="135"/>
    </row>
    <row r="52683" spans="20:21" ht="15" customHeight="1" x14ac:dyDescent="0.25">
      <c r="T52683" s="135"/>
      <c r="U52683" s="135"/>
    </row>
    <row r="52684" spans="20:21" ht="15" customHeight="1" x14ac:dyDescent="0.25">
      <c r="T52684" s="135"/>
      <c r="U52684" s="135"/>
    </row>
    <row r="52685" spans="20:21" ht="15" customHeight="1" x14ac:dyDescent="0.25">
      <c r="T52685" s="135"/>
      <c r="U52685" s="135"/>
    </row>
    <row r="52686" spans="20:21" ht="15" customHeight="1" x14ac:dyDescent="0.25">
      <c r="T52686" s="135"/>
      <c r="U52686" s="135"/>
    </row>
    <row r="52687" spans="20:21" ht="15" customHeight="1" x14ac:dyDescent="0.25">
      <c r="T52687" s="135"/>
      <c r="U52687" s="135"/>
    </row>
    <row r="52688" spans="20:21" ht="15" customHeight="1" x14ac:dyDescent="0.25">
      <c r="T52688" s="135"/>
      <c r="U52688" s="135"/>
    </row>
    <row r="52689" spans="20:21" ht="15" customHeight="1" x14ac:dyDescent="0.25">
      <c r="T52689" s="135"/>
      <c r="U52689" s="135"/>
    </row>
    <row r="52690" spans="20:21" ht="15" customHeight="1" x14ac:dyDescent="0.25">
      <c r="T52690" s="135"/>
      <c r="U52690" s="135"/>
    </row>
    <row r="52691" spans="20:21" ht="15" customHeight="1" x14ac:dyDescent="0.25">
      <c r="T52691" s="135"/>
      <c r="U52691" s="135"/>
    </row>
    <row r="52692" spans="20:21" ht="15" customHeight="1" x14ac:dyDescent="0.25">
      <c r="T52692" s="135"/>
      <c r="U52692" s="135"/>
    </row>
    <row r="52693" spans="20:21" ht="15" customHeight="1" x14ac:dyDescent="0.25">
      <c r="T52693" s="135"/>
      <c r="U52693" s="135"/>
    </row>
    <row r="52694" spans="20:21" ht="15" customHeight="1" x14ac:dyDescent="0.25">
      <c r="T52694" s="135"/>
      <c r="U52694" s="135"/>
    </row>
    <row r="52695" spans="20:21" ht="15" customHeight="1" x14ac:dyDescent="0.25">
      <c r="T52695" s="135"/>
      <c r="U52695" s="135"/>
    </row>
    <row r="52696" spans="20:21" ht="15" customHeight="1" x14ac:dyDescent="0.25">
      <c r="T52696" s="135"/>
      <c r="U52696" s="135"/>
    </row>
    <row r="52697" spans="20:21" ht="15" customHeight="1" x14ac:dyDescent="0.25">
      <c r="T52697" s="135"/>
      <c r="U52697" s="135"/>
    </row>
    <row r="52698" spans="20:21" ht="15" customHeight="1" x14ac:dyDescent="0.25">
      <c r="T52698" s="135"/>
      <c r="U52698" s="135"/>
    </row>
    <row r="52699" spans="20:21" ht="15" customHeight="1" x14ac:dyDescent="0.25">
      <c r="T52699" s="135"/>
      <c r="U52699" s="135"/>
    </row>
    <row r="52700" spans="20:21" ht="15" customHeight="1" x14ac:dyDescent="0.25">
      <c r="T52700" s="135"/>
      <c r="U52700" s="135"/>
    </row>
    <row r="52701" spans="20:21" ht="15" customHeight="1" x14ac:dyDescent="0.25">
      <c r="T52701" s="135"/>
      <c r="U52701" s="135"/>
    </row>
    <row r="52702" spans="20:21" ht="15" customHeight="1" x14ac:dyDescent="0.25">
      <c r="T52702" s="135"/>
      <c r="U52702" s="135"/>
    </row>
    <row r="52703" spans="20:21" ht="15" customHeight="1" x14ac:dyDescent="0.25">
      <c r="T52703" s="135"/>
      <c r="U52703" s="135"/>
    </row>
    <row r="52704" spans="20:21" ht="15" customHeight="1" x14ac:dyDescent="0.25">
      <c r="T52704" s="135"/>
      <c r="U52704" s="135"/>
    </row>
    <row r="52705" spans="20:21" ht="15" customHeight="1" x14ac:dyDescent="0.25">
      <c r="T52705" s="135"/>
      <c r="U52705" s="135"/>
    </row>
    <row r="52706" spans="20:21" ht="15" customHeight="1" x14ac:dyDescent="0.25">
      <c r="T52706" s="135"/>
      <c r="U52706" s="135"/>
    </row>
    <row r="52707" spans="20:21" ht="15" customHeight="1" x14ac:dyDescent="0.25">
      <c r="T52707" s="135"/>
      <c r="U52707" s="135"/>
    </row>
    <row r="52708" spans="20:21" ht="15" customHeight="1" x14ac:dyDescent="0.25">
      <c r="T52708" s="135"/>
      <c r="U52708" s="135"/>
    </row>
    <row r="52709" spans="20:21" ht="15" customHeight="1" x14ac:dyDescent="0.25">
      <c r="T52709" s="135"/>
      <c r="U52709" s="135"/>
    </row>
    <row r="52710" spans="20:21" ht="15" customHeight="1" x14ac:dyDescent="0.25">
      <c r="T52710" s="135"/>
      <c r="U52710" s="135"/>
    </row>
    <row r="52711" spans="20:21" ht="15" customHeight="1" x14ac:dyDescent="0.25">
      <c r="T52711" s="135"/>
      <c r="U52711" s="135"/>
    </row>
    <row r="52712" spans="20:21" ht="15" customHeight="1" x14ac:dyDescent="0.25">
      <c r="T52712" s="135"/>
      <c r="U52712" s="135"/>
    </row>
    <row r="52713" spans="20:21" ht="15" customHeight="1" x14ac:dyDescent="0.25">
      <c r="T52713" s="135"/>
      <c r="U52713" s="135"/>
    </row>
    <row r="52714" spans="20:21" ht="15" customHeight="1" x14ac:dyDescent="0.25">
      <c r="T52714" s="135"/>
      <c r="U52714" s="135"/>
    </row>
    <row r="52715" spans="20:21" ht="15" customHeight="1" x14ac:dyDescent="0.25">
      <c r="T52715" s="135"/>
      <c r="U52715" s="135"/>
    </row>
    <row r="52716" spans="20:21" ht="15" customHeight="1" x14ac:dyDescent="0.25">
      <c r="T52716" s="135"/>
      <c r="U52716" s="135"/>
    </row>
    <row r="52717" spans="20:21" ht="15" customHeight="1" x14ac:dyDescent="0.25">
      <c r="T52717" s="135"/>
      <c r="U52717" s="135"/>
    </row>
    <row r="52718" spans="20:21" ht="15" customHeight="1" x14ac:dyDescent="0.25">
      <c r="T52718" s="135"/>
      <c r="U52718" s="135"/>
    </row>
    <row r="52719" spans="20:21" ht="15" customHeight="1" x14ac:dyDescent="0.25">
      <c r="T52719" s="135"/>
      <c r="U52719" s="135"/>
    </row>
    <row r="52720" spans="20:21" ht="15" customHeight="1" x14ac:dyDescent="0.25">
      <c r="T52720" s="135"/>
      <c r="U52720" s="135"/>
    </row>
    <row r="52721" spans="20:21" ht="15" customHeight="1" x14ac:dyDescent="0.25">
      <c r="T52721" s="135"/>
      <c r="U52721" s="135"/>
    </row>
    <row r="52722" spans="20:21" ht="15" customHeight="1" x14ac:dyDescent="0.25">
      <c r="T52722" s="135"/>
      <c r="U52722" s="135"/>
    </row>
    <row r="52723" spans="20:21" ht="15" customHeight="1" x14ac:dyDescent="0.25">
      <c r="T52723" s="135"/>
      <c r="U52723" s="135"/>
    </row>
    <row r="52724" spans="20:21" ht="15" customHeight="1" x14ac:dyDescent="0.25">
      <c r="T52724" s="135"/>
      <c r="U52724" s="135"/>
    </row>
    <row r="52725" spans="20:21" ht="15" customHeight="1" x14ac:dyDescent="0.25">
      <c r="T52725" s="135"/>
      <c r="U52725" s="135"/>
    </row>
    <row r="52726" spans="20:21" ht="15" customHeight="1" x14ac:dyDescent="0.25">
      <c r="T52726" s="135"/>
      <c r="U52726" s="135"/>
    </row>
    <row r="52727" spans="20:21" ht="15" customHeight="1" x14ac:dyDescent="0.25">
      <c r="T52727" s="135"/>
      <c r="U52727" s="135"/>
    </row>
    <row r="52728" spans="20:21" ht="15" customHeight="1" x14ac:dyDescent="0.25">
      <c r="T52728" s="135"/>
      <c r="U52728" s="135"/>
    </row>
    <row r="52729" spans="20:21" ht="15" customHeight="1" x14ac:dyDescent="0.25">
      <c r="T52729" s="135"/>
      <c r="U52729" s="135"/>
    </row>
    <row r="52730" spans="20:21" ht="15" customHeight="1" x14ac:dyDescent="0.25">
      <c r="T52730" s="135"/>
      <c r="U52730" s="135"/>
    </row>
    <row r="52731" spans="20:21" ht="15" customHeight="1" x14ac:dyDescent="0.25">
      <c r="T52731" s="135"/>
      <c r="U52731" s="135"/>
    </row>
    <row r="52732" spans="20:21" ht="15" customHeight="1" x14ac:dyDescent="0.25">
      <c r="T52732" s="135"/>
      <c r="U52732" s="135"/>
    </row>
    <row r="52733" spans="20:21" ht="15" customHeight="1" x14ac:dyDescent="0.25">
      <c r="T52733" s="135"/>
      <c r="U52733" s="135"/>
    </row>
    <row r="52734" spans="20:21" ht="15" customHeight="1" x14ac:dyDescent="0.25">
      <c r="T52734" s="135"/>
      <c r="U52734" s="135"/>
    </row>
    <row r="52735" spans="20:21" ht="15" customHeight="1" x14ac:dyDescent="0.25">
      <c r="T52735" s="135"/>
      <c r="U52735" s="135"/>
    </row>
    <row r="52736" spans="20:21" ht="15" customHeight="1" x14ac:dyDescent="0.25">
      <c r="T52736" s="135"/>
      <c r="U52736" s="135"/>
    </row>
    <row r="52737" spans="20:21" ht="15" customHeight="1" x14ac:dyDescent="0.25">
      <c r="T52737" s="135"/>
      <c r="U52737" s="135"/>
    </row>
    <row r="52738" spans="20:21" ht="15" customHeight="1" x14ac:dyDescent="0.25">
      <c r="T52738" s="135"/>
      <c r="U52738" s="135"/>
    </row>
    <row r="52739" spans="20:21" ht="15" customHeight="1" x14ac:dyDescent="0.25">
      <c r="T52739" s="135"/>
      <c r="U52739" s="135"/>
    </row>
    <row r="52740" spans="20:21" ht="15" customHeight="1" x14ac:dyDescent="0.25">
      <c r="T52740" s="135"/>
      <c r="U52740" s="135"/>
    </row>
    <row r="52741" spans="20:21" ht="15" customHeight="1" x14ac:dyDescent="0.25">
      <c r="T52741" s="135"/>
      <c r="U52741" s="135"/>
    </row>
    <row r="52742" spans="20:21" ht="15" customHeight="1" x14ac:dyDescent="0.25">
      <c r="T52742" s="135"/>
      <c r="U52742" s="135"/>
    </row>
    <row r="52743" spans="20:21" ht="15" customHeight="1" x14ac:dyDescent="0.25">
      <c r="T52743" s="135"/>
      <c r="U52743" s="135"/>
    </row>
    <row r="52744" spans="20:21" ht="15" customHeight="1" x14ac:dyDescent="0.25">
      <c r="T52744" s="135"/>
      <c r="U52744" s="135"/>
    </row>
    <row r="52745" spans="20:21" ht="15" customHeight="1" x14ac:dyDescent="0.25">
      <c r="T52745" s="135"/>
      <c r="U52745" s="135"/>
    </row>
    <row r="52746" spans="20:21" ht="15" customHeight="1" x14ac:dyDescent="0.25">
      <c r="T52746" s="135"/>
      <c r="U52746" s="135"/>
    </row>
    <row r="52747" spans="20:21" ht="15" customHeight="1" x14ac:dyDescent="0.25">
      <c r="T52747" s="135"/>
      <c r="U52747" s="135"/>
    </row>
    <row r="52748" spans="20:21" ht="15" customHeight="1" x14ac:dyDescent="0.25">
      <c r="T52748" s="135"/>
      <c r="U52748" s="135"/>
    </row>
    <row r="52749" spans="20:21" ht="15" customHeight="1" x14ac:dyDescent="0.25">
      <c r="T52749" s="135"/>
      <c r="U52749" s="135"/>
    </row>
    <row r="52750" spans="20:21" ht="15" customHeight="1" x14ac:dyDescent="0.25">
      <c r="T52750" s="135"/>
      <c r="U52750" s="135"/>
    </row>
    <row r="52751" spans="20:21" ht="15" customHeight="1" x14ac:dyDescent="0.25">
      <c r="T52751" s="135"/>
      <c r="U52751" s="135"/>
    </row>
    <row r="52752" spans="20:21" ht="15" customHeight="1" x14ac:dyDescent="0.25">
      <c r="T52752" s="135"/>
      <c r="U52752" s="135"/>
    </row>
    <row r="52753" spans="20:21" ht="15" customHeight="1" x14ac:dyDescent="0.25">
      <c r="T52753" s="135"/>
      <c r="U52753" s="135"/>
    </row>
    <row r="52754" spans="20:21" ht="15" customHeight="1" x14ac:dyDescent="0.25">
      <c r="T52754" s="135"/>
      <c r="U52754" s="135"/>
    </row>
    <row r="52755" spans="20:21" ht="15" customHeight="1" x14ac:dyDescent="0.25">
      <c r="T52755" s="135"/>
      <c r="U52755" s="135"/>
    </row>
    <row r="52756" spans="20:21" ht="15" customHeight="1" x14ac:dyDescent="0.25">
      <c r="T52756" s="135"/>
      <c r="U52756" s="135"/>
    </row>
    <row r="52757" spans="20:21" ht="15" customHeight="1" x14ac:dyDescent="0.25">
      <c r="T52757" s="135"/>
      <c r="U52757" s="135"/>
    </row>
    <row r="52758" spans="20:21" ht="15" customHeight="1" x14ac:dyDescent="0.25">
      <c r="T52758" s="135"/>
      <c r="U52758" s="135"/>
    </row>
    <row r="52759" spans="20:21" ht="15" customHeight="1" x14ac:dyDescent="0.25">
      <c r="T52759" s="135"/>
      <c r="U52759" s="135"/>
    </row>
    <row r="52760" spans="20:21" ht="15" customHeight="1" x14ac:dyDescent="0.25">
      <c r="T52760" s="135"/>
      <c r="U52760" s="135"/>
    </row>
    <row r="52761" spans="20:21" ht="15" customHeight="1" x14ac:dyDescent="0.25">
      <c r="T52761" s="135"/>
      <c r="U52761" s="135"/>
    </row>
    <row r="52762" spans="20:21" ht="15" customHeight="1" x14ac:dyDescent="0.25">
      <c r="T52762" s="135"/>
      <c r="U52762" s="135"/>
    </row>
    <row r="52763" spans="20:21" ht="15" customHeight="1" x14ac:dyDescent="0.25">
      <c r="T52763" s="135"/>
      <c r="U52763" s="135"/>
    </row>
    <row r="52764" spans="20:21" ht="15" customHeight="1" x14ac:dyDescent="0.25">
      <c r="T52764" s="135"/>
      <c r="U52764" s="135"/>
    </row>
    <row r="52765" spans="20:21" ht="15" customHeight="1" x14ac:dyDescent="0.25">
      <c r="T52765" s="135"/>
      <c r="U52765" s="135"/>
    </row>
    <row r="52766" spans="20:21" ht="15" customHeight="1" x14ac:dyDescent="0.25">
      <c r="T52766" s="135"/>
      <c r="U52766" s="135"/>
    </row>
    <row r="52767" spans="20:21" ht="15" customHeight="1" x14ac:dyDescent="0.25">
      <c r="T52767" s="135"/>
      <c r="U52767" s="135"/>
    </row>
    <row r="52768" spans="20:21" ht="15" customHeight="1" x14ac:dyDescent="0.25">
      <c r="T52768" s="135"/>
      <c r="U52768" s="135"/>
    </row>
    <row r="52769" spans="20:21" ht="15" customHeight="1" x14ac:dyDescent="0.25">
      <c r="T52769" s="135"/>
      <c r="U52769" s="135"/>
    </row>
    <row r="52770" spans="20:21" ht="15" customHeight="1" x14ac:dyDescent="0.25">
      <c r="T52770" s="135"/>
      <c r="U52770" s="135"/>
    </row>
    <row r="52771" spans="20:21" ht="15" customHeight="1" x14ac:dyDescent="0.25">
      <c r="T52771" s="135"/>
      <c r="U52771" s="135"/>
    </row>
    <row r="52772" spans="20:21" ht="15" customHeight="1" x14ac:dyDescent="0.25">
      <c r="T52772" s="135"/>
      <c r="U52772" s="135"/>
    </row>
    <row r="52773" spans="20:21" ht="15" customHeight="1" x14ac:dyDescent="0.25">
      <c r="T52773" s="135"/>
      <c r="U52773" s="135"/>
    </row>
    <row r="52774" spans="20:21" ht="15" customHeight="1" x14ac:dyDescent="0.25">
      <c r="T52774" s="135"/>
      <c r="U52774" s="135"/>
    </row>
    <row r="52775" spans="20:21" ht="15" customHeight="1" x14ac:dyDescent="0.25">
      <c r="T52775" s="135"/>
      <c r="U52775" s="135"/>
    </row>
    <row r="52776" spans="20:21" ht="15" customHeight="1" x14ac:dyDescent="0.25">
      <c r="T52776" s="135"/>
      <c r="U52776" s="135"/>
    </row>
    <row r="52777" spans="20:21" ht="15" customHeight="1" x14ac:dyDescent="0.25">
      <c r="T52777" s="135"/>
      <c r="U52777" s="135"/>
    </row>
    <row r="52778" spans="20:21" ht="15" customHeight="1" x14ac:dyDescent="0.25">
      <c r="T52778" s="135"/>
      <c r="U52778" s="135"/>
    </row>
    <row r="52779" spans="20:21" ht="15" customHeight="1" x14ac:dyDescent="0.25">
      <c r="T52779" s="135"/>
      <c r="U52779" s="135"/>
    </row>
    <row r="52780" spans="20:21" ht="15" customHeight="1" x14ac:dyDescent="0.25">
      <c r="T52780" s="135"/>
      <c r="U52780" s="135"/>
    </row>
    <row r="52781" spans="20:21" ht="15" customHeight="1" x14ac:dyDescent="0.25">
      <c r="T52781" s="135"/>
      <c r="U52781" s="135"/>
    </row>
    <row r="52782" spans="20:21" ht="15" customHeight="1" x14ac:dyDescent="0.25">
      <c r="T52782" s="135"/>
      <c r="U52782" s="135"/>
    </row>
    <row r="52783" spans="20:21" ht="15" customHeight="1" x14ac:dyDescent="0.25">
      <c r="T52783" s="135"/>
      <c r="U52783" s="135"/>
    </row>
    <row r="52784" spans="20:21" ht="15" customHeight="1" x14ac:dyDescent="0.25">
      <c r="T52784" s="135"/>
      <c r="U52784" s="135"/>
    </row>
    <row r="52785" spans="20:21" ht="15" customHeight="1" x14ac:dyDescent="0.25">
      <c r="T52785" s="135"/>
      <c r="U52785" s="135"/>
    </row>
    <row r="52786" spans="20:21" ht="15" customHeight="1" x14ac:dyDescent="0.25">
      <c r="T52786" s="135"/>
      <c r="U52786" s="135"/>
    </row>
    <row r="52787" spans="20:21" ht="15" customHeight="1" x14ac:dyDescent="0.25">
      <c r="T52787" s="135"/>
      <c r="U52787" s="135"/>
    </row>
    <row r="52788" spans="20:21" ht="15" customHeight="1" x14ac:dyDescent="0.25">
      <c r="T52788" s="135"/>
      <c r="U52788" s="135"/>
    </row>
    <row r="52789" spans="20:21" ht="15" customHeight="1" x14ac:dyDescent="0.25">
      <c r="T52789" s="135"/>
      <c r="U52789" s="135"/>
    </row>
    <row r="52790" spans="20:21" ht="15" customHeight="1" x14ac:dyDescent="0.25">
      <c r="T52790" s="135"/>
      <c r="U52790" s="135"/>
    </row>
    <row r="52791" spans="20:21" ht="15" customHeight="1" x14ac:dyDescent="0.25">
      <c r="T52791" s="135"/>
      <c r="U52791" s="135"/>
    </row>
    <row r="52792" spans="20:21" ht="15" customHeight="1" x14ac:dyDescent="0.25">
      <c r="T52792" s="135"/>
      <c r="U52792" s="135"/>
    </row>
    <row r="52793" spans="20:21" ht="15" customHeight="1" x14ac:dyDescent="0.25">
      <c r="T52793" s="135"/>
      <c r="U52793" s="135"/>
    </row>
    <row r="52794" spans="20:21" ht="15" customHeight="1" x14ac:dyDescent="0.25">
      <c r="T52794" s="135"/>
      <c r="U52794" s="135"/>
    </row>
    <row r="52795" spans="20:21" ht="15" customHeight="1" x14ac:dyDescent="0.25">
      <c r="T52795" s="135"/>
      <c r="U52795" s="135"/>
    </row>
    <row r="52796" spans="20:21" ht="15" customHeight="1" x14ac:dyDescent="0.25">
      <c r="T52796" s="135"/>
      <c r="U52796" s="135"/>
    </row>
    <row r="52797" spans="20:21" ht="15" customHeight="1" x14ac:dyDescent="0.25">
      <c r="T52797" s="135"/>
      <c r="U52797" s="135"/>
    </row>
    <row r="52798" spans="20:21" ht="15" customHeight="1" x14ac:dyDescent="0.25">
      <c r="T52798" s="135"/>
      <c r="U52798" s="135"/>
    </row>
    <row r="52799" spans="20:21" ht="15" customHeight="1" x14ac:dyDescent="0.25">
      <c r="T52799" s="135"/>
      <c r="U52799" s="135"/>
    </row>
    <row r="52800" spans="20:21" ht="15" customHeight="1" x14ac:dyDescent="0.25">
      <c r="T52800" s="135"/>
      <c r="U52800" s="135"/>
    </row>
    <row r="52801" spans="20:21" ht="15" customHeight="1" x14ac:dyDescent="0.25">
      <c r="T52801" s="135"/>
      <c r="U52801" s="135"/>
    </row>
    <row r="52802" spans="20:21" ht="15" customHeight="1" x14ac:dyDescent="0.25">
      <c r="T52802" s="135"/>
      <c r="U52802" s="135"/>
    </row>
    <row r="52803" spans="20:21" ht="15" customHeight="1" x14ac:dyDescent="0.25">
      <c r="T52803" s="135"/>
      <c r="U52803" s="135"/>
    </row>
    <row r="52804" spans="20:21" ht="15" customHeight="1" x14ac:dyDescent="0.25">
      <c r="T52804" s="135"/>
      <c r="U52804" s="135"/>
    </row>
    <row r="52805" spans="20:21" ht="15" customHeight="1" x14ac:dyDescent="0.25">
      <c r="T52805" s="135"/>
      <c r="U52805" s="135"/>
    </row>
    <row r="52806" spans="20:21" ht="15" customHeight="1" x14ac:dyDescent="0.25">
      <c r="T52806" s="135"/>
      <c r="U52806" s="135"/>
    </row>
    <row r="52807" spans="20:21" ht="15" customHeight="1" x14ac:dyDescent="0.25">
      <c r="T52807" s="135"/>
      <c r="U52807" s="135"/>
    </row>
    <row r="52808" spans="20:21" ht="15" customHeight="1" x14ac:dyDescent="0.25">
      <c r="T52808" s="135"/>
      <c r="U52808" s="135"/>
    </row>
    <row r="52809" spans="20:21" ht="15" customHeight="1" x14ac:dyDescent="0.25">
      <c r="T52809" s="135"/>
      <c r="U52809" s="135"/>
    </row>
    <row r="52810" spans="20:21" ht="15" customHeight="1" x14ac:dyDescent="0.25">
      <c r="T52810" s="135"/>
      <c r="U52810" s="135"/>
    </row>
    <row r="52811" spans="20:21" ht="15" customHeight="1" x14ac:dyDescent="0.25">
      <c r="T52811" s="135"/>
      <c r="U52811" s="135"/>
    </row>
    <row r="52812" spans="20:21" ht="15" customHeight="1" x14ac:dyDescent="0.25">
      <c r="T52812" s="135"/>
      <c r="U52812" s="135"/>
    </row>
    <row r="52813" spans="20:21" ht="15" customHeight="1" x14ac:dyDescent="0.25">
      <c r="T52813" s="135"/>
      <c r="U52813" s="135"/>
    </row>
    <row r="52814" spans="20:21" ht="15" customHeight="1" x14ac:dyDescent="0.25">
      <c r="T52814" s="135"/>
      <c r="U52814" s="135"/>
    </row>
    <row r="52815" spans="20:21" ht="15" customHeight="1" x14ac:dyDescent="0.25">
      <c r="T52815" s="135"/>
      <c r="U52815" s="135"/>
    </row>
    <row r="52816" spans="20:21" ht="15" customHeight="1" x14ac:dyDescent="0.25">
      <c r="T52816" s="135"/>
      <c r="U52816" s="135"/>
    </row>
    <row r="52817" spans="20:21" ht="15" customHeight="1" x14ac:dyDescent="0.25">
      <c r="T52817" s="135"/>
      <c r="U52817" s="135"/>
    </row>
    <row r="52818" spans="20:21" ht="15" customHeight="1" x14ac:dyDescent="0.25">
      <c r="T52818" s="135"/>
      <c r="U52818" s="135"/>
    </row>
    <row r="52819" spans="20:21" ht="15" customHeight="1" x14ac:dyDescent="0.25">
      <c r="T52819" s="135"/>
      <c r="U52819" s="135"/>
    </row>
    <row r="52820" spans="20:21" ht="15" customHeight="1" x14ac:dyDescent="0.25">
      <c r="T52820" s="135"/>
      <c r="U52820" s="135"/>
    </row>
    <row r="52821" spans="20:21" ht="15" customHeight="1" x14ac:dyDescent="0.25">
      <c r="T52821" s="135"/>
      <c r="U52821" s="135"/>
    </row>
    <row r="52822" spans="20:21" ht="15" customHeight="1" x14ac:dyDescent="0.25">
      <c r="T52822" s="135"/>
      <c r="U52822" s="135"/>
    </row>
    <row r="52823" spans="20:21" ht="15" customHeight="1" x14ac:dyDescent="0.25">
      <c r="T52823" s="135"/>
      <c r="U52823" s="135"/>
    </row>
    <row r="52824" spans="20:21" ht="15" customHeight="1" x14ac:dyDescent="0.25">
      <c r="T52824" s="135"/>
      <c r="U52824" s="135"/>
    </row>
    <row r="52825" spans="20:21" ht="15" customHeight="1" x14ac:dyDescent="0.25">
      <c r="T52825" s="135"/>
      <c r="U52825" s="135"/>
    </row>
    <row r="52826" spans="20:21" ht="15" customHeight="1" x14ac:dyDescent="0.25">
      <c r="T52826" s="135"/>
      <c r="U52826" s="135"/>
    </row>
    <row r="52827" spans="20:21" ht="15" customHeight="1" x14ac:dyDescent="0.25">
      <c r="T52827" s="135"/>
      <c r="U52827" s="135"/>
    </row>
    <row r="52828" spans="20:21" ht="15" customHeight="1" x14ac:dyDescent="0.25">
      <c r="T52828" s="135"/>
      <c r="U52828" s="135"/>
    </row>
    <row r="52829" spans="20:21" ht="15" customHeight="1" x14ac:dyDescent="0.25">
      <c r="T52829" s="135"/>
      <c r="U52829" s="135"/>
    </row>
    <row r="52830" spans="20:21" ht="15" customHeight="1" x14ac:dyDescent="0.25">
      <c r="T52830" s="135"/>
      <c r="U52830" s="135"/>
    </row>
    <row r="52831" spans="20:21" ht="15" customHeight="1" x14ac:dyDescent="0.25">
      <c r="T52831" s="135"/>
      <c r="U52831" s="135"/>
    </row>
    <row r="52832" spans="20:21" ht="15" customHeight="1" x14ac:dyDescent="0.25">
      <c r="T52832" s="135"/>
      <c r="U52832" s="135"/>
    </row>
    <row r="52833" spans="20:21" ht="15" customHeight="1" x14ac:dyDescent="0.25">
      <c r="T52833" s="135"/>
      <c r="U52833" s="135"/>
    </row>
    <row r="52834" spans="20:21" ht="15" customHeight="1" x14ac:dyDescent="0.25">
      <c r="T52834" s="135"/>
      <c r="U52834" s="135"/>
    </row>
    <row r="52835" spans="20:21" ht="15" customHeight="1" x14ac:dyDescent="0.25">
      <c r="T52835" s="135"/>
      <c r="U52835" s="135"/>
    </row>
    <row r="52836" spans="20:21" ht="15" customHeight="1" x14ac:dyDescent="0.25">
      <c r="T52836" s="135"/>
      <c r="U52836" s="135"/>
    </row>
    <row r="52837" spans="20:21" ht="15" customHeight="1" x14ac:dyDescent="0.25">
      <c r="T52837" s="135"/>
      <c r="U52837" s="135"/>
    </row>
    <row r="52838" spans="20:21" ht="15" customHeight="1" x14ac:dyDescent="0.25">
      <c r="T52838" s="135"/>
      <c r="U52838" s="135"/>
    </row>
    <row r="52839" spans="20:21" ht="15" customHeight="1" x14ac:dyDescent="0.25">
      <c r="T52839" s="135"/>
      <c r="U52839" s="135"/>
    </row>
    <row r="52840" spans="20:21" ht="15" customHeight="1" x14ac:dyDescent="0.25">
      <c r="T52840" s="135"/>
      <c r="U52840" s="135"/>
    </row>
    <row r="52841" spans="20:21" ht="15" customHeight="1" x14ac:dyDescent="0.25">
      <c r="T52841" s="135"/>
      <c r="U52841" s="135"/>
    </row>
    <row r="52842" spans="20:21" ht="15" customHeight="1" x14ac:dyDescent="0.25">
      <c r="T52842" s="135"/>
      <c r="U52842" s="135"/>
    </row>
    <row r="52843" spans="20:21" ht="15" customHeight="1" x14ac:dyDescent="0.25">
      <c r="T52843" s="135"/>
      <c r="U52843" s="135"/>
    </row>
    <row r="52844" spans="20:21" ht="15" customHeight="1" x14ac:dyDescent="0.25">
      <c r="T52844" s="135"/>
      <c r="U52844" s="135"/>
    </row>
    <row r="52845" spans="20:21" ht="15" customHeight="1" x14ac:dyDescent="0.25">
      <c r="T52845" s="135"/>
      <c r="U52845" s="135"/>
    </row>
    <row r="52846" spans="20:21" ht="15" customHeight="1" x14ac:dyDescent="0.25">
      <c r="T52846" s="135"/>
      <c r="U52846" s="135"/>
    </row>
    <row r="52847" spans="20:21" ht="15" customHeight="1" x14ac:dyDescent="0.25">
      <c r="T52847" s="135"/>
      <c r="U52847" s="135"/>
    </row>
    <row r="52848" spans="20:21" ht="15" customHeight="1" x14ac:dyDescent="0.25">
      <c r="T52848" s="135"/>
      <c r="U52848" s="135"/>
    </row>
    <row r="52849" spans="20:21" ht="15" customHeight="1" x14ac:dyDescent="0.25">
      <c r="T52849" s="135"/>
      <c r="U52849" s="135"/>
    </row>
    <row r="52850" spans="20:21" ht="15" customHeight="1" x14ac:dyDescent="0.25">
      <c r="T52850" s="135"/>
      <c r="U52850" s="135"/>
    </row>
    <row r="52851" spans="20:21" ht="15" customHeight="1" x14ac:dyDescent="0.25">
      <c r="T52851" s="135"/>
      <c r="U52851" s="135"/>
    </row>
    <row r="52852" spans="20:21" ht="15" customHeight="1" x14ac:dyDescent="0.25">
      <c r="T52852" s="135"/>
      <c r="U52852" s="135"/>
    </row>
    <row r="52853" spans="20:21" ht="15" customHeight="1" x14ac:dyDescent="0.25">
      <c r="T52853" s="135"/>
      <c r="U52853" s="135"/>
    </row>
    <row r="52854" spans="20:21" ht="15" customHeight="1" x14ac:dyDescent="0.25">
      <c r="T52854" s="135"/>
      <c r="U52854" s="135"/>
    </row>
    <row r="52855" spans="20:21" ht="15" customHeight="1" x14ac:dyDescent="0.25">
      <c r="T52855" s="135"/>
      <c r="U52855" s="135"/>
    </row>
    <row r="52856" spans="20:21" ht="15" customHeight="1" x14ac:dyDescent="0.25">
      <c r="T52856" s="135"/>
      <c r="U52856" s="135"/>
    </row>
    <row r="52857" spans="20:21" ht="15" customHeight="1" x14ac:dyDescent="0.25">
      <c r="T52857" s="135"/>
      <c r="U52857" s="135"/>
    </row>
    <row r="52858" spans="20:21" ht="15" customHeight="1" x14ac:dyDescent="0.25">
      <c r="T52858" s="135"/>
      <c r="U52858" s="135"/>
    </row>
    <row r="52859" spans="20:21" ht="15" customHeight="1" x14ac:dyDescent="0.25">
      <c r="T52859" s="135"/>
      <c r="U52859" s="135"/>
    </row>
    <row r="52860" spans="20:21" ht="15" customHeight="1" x14ac:dyDescent="0.25">
      <c r="T52860" s="135"/>
      <c r="U52860" s="135"/>
    </row>
    <row r="52861" spans="20:21" ht="15" customHeight="1" x14ac:dyDescent="0.25">
      <c r="T52861" s="135"/>
      <c r="U52861" s="135"/>
    </row>
    <row r="52862" spans="20:21" ht="15" customHeight="1" x14ac:dyDescent="0.25">
      <c r="T52862" s="135"/>
      <c r="U52862" s="135"/>
    </row>
    <row r="52863" spans="20:21" ht="15" customHeight="1" x14ac:dyDescent="0.25">
      <c r="T52863" s="135"/>
      <c r="U52863" s="135"/>
    </row>
    <row r="52864" spans="20:21" ht="15" customHeight="1" x14ac:dyDescent="0.25">
      <c r="T52864" s="135"/>
      <c r="U52864" s="135"/>
    </row>
    <row r="52865" spans="20:21" ht="15" customHeight="1" x14ac:dyDescent="0.25">
      <c r="T52865" s="135"/>
      <c r="U52865" s="135"/>
    </row>
    <row r="52866" spans="20:21" ht="15" customHeight="1" x14ac:dyDescent="0.25">
      <c r="T52866" s="135"/>
      <c r="U52866" s="135"/>
    </row>
    <row r="52867" spans="20:21" ht="15" customHeight="1" x14ac:dyDescent="0.25">
      <c r="T52867" s="135"/>
      <c r="U52867" s="135"/>
    </row>
    <row r="52868" spans="20:21" ht="15" customHeight="1" x14ac:dyDescent="0.25">
      <c r="T52868" s="135"/>
      <c r="U52868" s="135"/>
    </row>
    <row r="52869" spans="20:21" ht="15" customHeight="1" x14ac:dyDescent="0.25">
      <c r="T52869" s="135"/>
      <c r="U52869" s="135"/>
    </row>
    <row r="52870" spans="20:21" ht="15" customHeight="1" x14ac:dyDescent="0.25">
      <c r="T52870" s="135"/>
      <c r="U52870" s="135"/>
    </row>
    <row r="52871" spans="20:21" ht="15" customHeight="1" x14ac:dyDescent="0.25">
      <c r="T52871" s="135"/>
      <c r="U52871" s="135"/>
    </row>
    <row r="52872" spans="20:21" ht="15" customHeight="1" x14ac:dyDescent="0.25">
      <c r="T52872" s="135"/>
      <c r="U52872" s="135"/>
    </row>
    <row r="52873" spans="20:21" ht="15" customHeight="1" x14ac:dyDescent="0.25">
      <c r="T52873" s="135"/>
      <c r="U52873" s="135"/>
    </row>
    <row r="52874" spans="20:21" ht="15" customHeight="1" x14ac:dyDescent="0.25">
      <c r="T52874" s="135"/>
      <c r="U52874" s="135"/>
    </row>
    <row r="52875" spans="20:21" ht="15" customHeight="1" x14ac:dyDescent="0.25">
      <c r="T52875" s="135"/>
      <c r="U52875" s="135"/>
    </row>
    <row r="52876" spans="20:21" ht="15" customHeight="1" x14ac:dyDescent="0.25">
      <c r="T52876" s="135"/>
      <c r="U52876" s="135"/>
    </row>
    <row r="52877" spans="20:21" ht="15" customHeight="1" x14ac:dyDescent="0.25">
      <c r="T52877" s="135"/>
      <c r="U52877" s="135"/>
    </row>
    <row r="52878" spans="20:21" ht="15" customHeight="1" x14ac:dyDescent="0.25">
      <c r="T52878" s="135"/>
      <c r="U52878" s="135"/>
    </row>
    <row r="52879" spans="20:21" ht="15" customHeight="1" x14ac:dyDescent="0.25">
      <c r="T52879" s="135"/>
      <c r="U52879" s="135"/>
    </row>
    <row r="52880" spans="20:21" ht="15" customHeight="1" x14ac:dyDescent="0.25">
      <c r="T52880" s="135"/>
      <c r="U52880" s="135"/>
    </row>
    <row r="52881" spans="20:21" ht="15" customHeight="1" x14ac:dyDescent="0.25">
      <c r="T52881" s="135"/>
      <c r="U52881" s="135"/>
    </row>
    <row r="52882" spans="20:21" ht="15" customHeight="1" x14ac:dyDescent="0.25">
      <c r="T52882" s="135"/>
      <c r="U52882" s="135"/>
    </row>
    <row r="52883" spans="20:21" ht="15" customHeight="1" x14ac:dyDescent="0.25">
      <c r="T52883" s="135"/>
      <c r="U52883" s="135"/>
    </row>
    <row r="52884" spans="20:21" ht="15" customHeight="1" x14ac:dyDescent="0.25">
      <c r="T52884" s="135"/>
      <c r="U52884" s="135"/>
    </row>
    <row r="52885" spans="20:21" ht="15" customHeight="1" x14ac:dyDescent="0.25">
      <c r="T52885" s="135"/>
      <c r="U52885" s="135"/>
    </row>
    <row r="52886" spans="20:21" ht="15" customHeight="1" x14ac:dyDescent="0.25">
      <c r="T52886" s="135"/>
      <c r="U52886" s="135"/>
    </row>
    <row r="52887" spans="20:21" ht="15" customHeight="1" x14ac:dyDescent="0.25">
      <c r="T52887" s="135"/>
      <c r="U52887" s="135"/>
    </row>
    <row r="52888" spans="20:21" ht="15" customHeight="1" x14ac:dyDescent="0.25">
      <c r="T52888" s="135"/>
      <c r="U52888" s="135"/>
    </row>
    <row r="52889" spans="20:21" ht="15" customHeight="1" x14ac:dyDescent="0.25">
      <c r="T52889" s="135"/>
      <c r="U52889" s="135"/>
    </row>
    <row r="52890" spans="20:21" ht="15" customHeight="1" x14ac:dyDescent="0.25">
      <c r="T52890" s="135"/>
      <c r="U52890" s="135"/>
    </row>
    <row r="52891" spans="20:21" ht="15" customHeight="1" x14ac:dyDescent="0.25">
      <c r="T52891" s="135"/>
      <c r="U52891" s="135"/>
    </row>
    <row r="52892" spans="20:21" ht="15" customHeight="1" x14ac:dyDescent="0.25">
      <c r="T52892" s="135"/>
      <c r="U52892" s="135"/>
    </row>
    <row r="52893" spans="20:21" ht="15" customHeight="1" x14ac:dyDescent="0.25">
      <c r="T52893" s="135"/>
      <c r="U52893" s="135"/>
    </row>
    <row r="52894" spans="20:21" ht="15" customHeight="1" x14ac:dyDescent="0.25">
      <c r="T52894" s="135"/>
      <c r="U52894" s="135"/>
    </row>
    <row r="52895" spans="20:21" ht="15" customHeight="1" x14ac:dyDescent="0.25">
      <c r="T52895" s="135"/>
      <c r="U52895" s="135"/>
    </row>
    <row r="52896" spans="20:21" ht="15" customHeight="1" x14ac:dyDescent="0.25">
      <c r="T52896" s="135"/>
      <c r="U52896" s="135"/>
    </row>
    <row r="52897" spans="20:21" ht="15" customHeight="1" x14ac:dyDescent="0.25">
      <c r="T52897" s="135"/>
      <c r="U52897" s="135"/>
    </row>
    <row r="52898" spans="20:21" ht="15" customHeight="1" x14ac:dyDescent="0.25">
      <c r="T52898" s="135"/>
      <c r="U52898" s="135"/>
    </row>
    <row r="52899" spans="20:21" ht="15" customHeight="1" x14ac:dyDescent="0.25">
      <c r="T52899" s="135"/>
      <c r="U52899" s="135"/>
    </row>
    <row r="52900" spans="20:21" ht="15" customHeight="1" x14ac:dyDescent="0.25">
      <c r="T52900" s="135"/>
      <c r="U52900" s="135"/>
    </row>
    <row r="52901" spans="20:21" ht="15" customHeight="1" x14ac:dyDescent="0.25">
      <c r="T52901" s="135"/>
      <c r="U52901" s="135"/>
    </row>
    <row r="52902" spans="20:21" ht="15" customHeight="1" x14ac:dyDescent="0.25">
      <c r="T52902" s="135"/>
      <c r="U52902" s="135"/>
    </row>
    <row r="52903" spans="20:21" ht="15" customHeight="1" x14ac:dyDescent="0.25">
      <c r="T52903" s="135"/>
      <c r="U52903" s="135"/>
    </row>
    <row r="52904" spans="20:21" ht="15" customHeight="1" x14ac:dyDescent="0.25">
      <c r="T52904" s="135"/>
      <c r="U52904" s="135"/>
    </row>
    <row r="52905" spans="20:21" ht="15" customHeight="1" x14ac:dyDescent="0.25">
      <c r="T52905" s="135"/>
      <c r="U52905" s="135"/>
    </row>
    <row r="52906" spans="20:21" ht="15" customHeight="1" x14ac:dyDescent="0.25">
      <c r="T52906" s="135"/>
      <c r="U52906" s="135"/>
    </row>
    <row r="52907" spans="20:21" ht="15" customHeight="1" x14ac:dyDescent="0.25">
      <c r="T52907" s="135"/>
      <c r="U52907" s="135"/>
    </row>
    <row r="52908" spans="20:21" ht="15" customHeight="1" x14ac:dyDescent="0.25">
      <c r="T52908" s="135"/>
      <c r="U52908" s="135"/>
    </row>
    <row r="52909" spans="20:21" ht="15" customHeight="1" x14ac:dyDescent="0.25">
      <c r="T52909" s="135"/>
      <c r="U52909" s="135"/>
    </row>
    <row r="52910" spans="20:21" ht="15" customHeight="1" x14ac:dyDescent="0.25">
      <c r="T52910" s="135"/>
      <c r="U52910" s="135"/>
    </row>
    <row r="52911" spans="20:21" ht="15" customHeight="1" x14ac:dyDescent="0.25">
      <c r="T52911" s="135"/>
      <c r="U52911" s="135"/>
    </row>
    <row r="52912" spans="20:21" ht="15" customHeight="1" x14ac:dyDescent="0.25">
      <c r="T52912" s="135"/>
      <c r="U52912" s="135"/>
    </row>
    <row r="52913" spans="20:21" ht="15" customHeight="1" x14ac:dyDescent="0.25">
      <c r="T52913" s="135"/>
      <c r="U52913" s="135"/>
    </row>
    <row r="52914" spans="20:21" ht="15" customHeight="1" x14ac:dyDescent="0.25">
      <c r="T52914" s="135"/>
      <c r="U52914" s="135"/>
    </row>
    <row r="52915" spans="20:21" ht="15" customHeight="1" x14ac:dyDescent="0.25">
      <c r="T52915" s="135"/>
      <c r="U52915" s="135"/>
    </row>
    <row r="52916" spans="20:21" ht="15" customHeight="1" x14ac:dyDescent="0.25">
      <c r="T52916" s="135"/>
      <c r="U52916" s="135"/>
    </row>
    <row r="52917" spans="20:21" ht="15" customHeight="1" x14ac:dyDescent="0.25">
      <c r="T52917" s="135"/>
      <c r="U52917" s="135"/>
    </row>
    <row r="52918" spans="20:21" ht="15" customHeight="1" x14ac:dyDescent="0.25">
      <c r="T52918" s="135"/>
      <c r="U52918" s="135"/>
    </row>
    <row r="52919" spans="20:21" ht="15" customHeight="1" x14ac:dyDescent="0.25">
      <c r="T52919" s="135"/>
      <c r="U52919" s="135"/>
    </row>
    <row r="52920" spans="20:21" ht="15" customHeight="1" x14ac:dyDescent="0.25">
      <c r="T52920" s="135"/>
      <c r="U52920" s="135"/>
    </row>
    <row r="52921" spans="20:21" ht="15" customHeight="1" x14ac:dyDescent="0.25">
      <c r="T52921" s="135"/>
      <c r="U52921" s="135"/>
    </row>
    <row r="52922" spans="20:21" ht="15" customHeight="1" x14ac:dyDescent="0.25">
      <c r="T52922" s="135"/>
      <c r="U52922" s="135"/>
    </row>
    <row r="52923" spans="20:21" ht="15" customHeight="1" x14ac:dyDescent="0.25">
      <c r="T52923" s="135"/>
      <c r="U52923" s="135"/>
    </row>
    <row r="52924" spans="20:21" ht="15" customHeight="1" x14ac:dyDescent="0.25">
      <c r="T52924" s="135"/>
      <c r="U52924" s="135"/>
    </row>
    <row r="52925" spans="20:21" ht="15" customHeight="1" x14ac:dyDescent="0.25">
      <c r="T52925" s="135"/>
      <c r="U52925" s="135"/>
    </row>
    <row r="52926" spans="20:21" ht="15" customHeight="1" x14ac:dyDescent="0.25">
      <c r="T52926" s="135"/>
      <c r="U52926" s="135"/>
    </row>
    <row r="52927" spans="20:21" ht="15" customHeight="1" x14ac:dyDescent="0.25">
      <c r="T52927" s="135"/>
      <c r="U52927" s="135"/>
    </row>
    <row r="52928" spans="20:21" ht="15" customHeight="1" x14ac:dyDescent="0.25">
      <c r="T52928" s="135"/>
      <c r="U52928" s="135"/>
    </row>
    <row r="52929" spans="20:21" ht="15" customHeight="1" x14ac:dyDescent="0.25">
      <c r="T52929" s="135"/>
      <c r="U52929" s="135"/>
    </row>
    <row r="52930" spans="20:21" ht="15" customHeight="1" x14ac:dyDescent="0.25">
      <c r="T52930" s="135"/>
      <c r="U52930" s="135"/>
    </row>
    <row r="52931" spans="20:21" ht="15" customHeight="1" x14ac:dyDescent="0.25">
      <c r="T52931" s="135"/>
      <c r="U52931" s="135"/>
    </row>
    <row r="52932" spans="20:21" ht="15" customHeight="1" x14ac:dyDescent="0.25">
      <c r="T52932" s="135"/>
      <c r="U52932" s="135"/>
    </row>
    <row r="52933" spans="20:21" ht="15" customHeight="1" x14ac:dyDescent="0.25">
      <c r="T52933" s="135"/>
      <c r="U52933" s="135"/>
    </row>
    <row r="52934" spans="20:21" ht="15" customHeight="1" x14ac:dyDescent="0.25">
      <c r="T52934" s="135"/>
      <c r="U52934" s="135"/>
    </row>
    <row r="52935" spans="20:21" ht="15" customHeight="1" x14ac:dyDescent="0.25">
      <c r="T52935" s="135"/>
      <c r="U52935" s="135"/>
    </row>
    <row r="52936" spans="20:21" ht="15" customHeight="1" x14ac:dyDescent="0.25">
      <c r="T52936" s="135"/>
      <c r="U52936" s="135"/>
    </row>
    <row r="52937" spans="20:21" ht="15" customHeight="1" x14ac:dyDescent="0.25">
      <c r="T52937" s="135"/>
      <c r="U52937" s="135"/>
    </row>
    <row r="52938" spans="20:21" ht="15" customHeight="1" x14ac:dyDescent="0.25">
      <c r="T52938" s="135"/>
      <c r="U52938" s="135"/>
    </row>
    <row r="52939" spans="20:21" ht="15" customHeight="1" x14ac:dyDescent="0.25">
      <c r="T52939" s="135"/>
      <c r="U52939" s="135"/>
    </row>
    <row r="52940" spans="20:21" ht="15" customHeight="1" x14ac:dyDescent="0.25">
      <c r="T52940" s="135"/>
      <c r="U52940" s="135"/>
    </row>
    <row r="52941" spans="20:21" ht="15" customHeight="1" x14ac:dyDescent="0.25">
      <c r="T52941" s="135"/>
      <c r="U52941" s="135"/>
    </row>
    <row r="52942" spans="20:21" ht="15" customHeight="1" x14ac:dyDescent="0.25">
      <c r="T52942" s="135"/>
      <c r="U52942" s="135"/>
    </row>
    <row r="52943" spans="20:21" ht="15" customHeight="1" x14ac:dyDescent="0.25">
      <c r="T52943" s="135"/>
      <c r="U52943" s="135"/>
    </row>
    <row r="52944" spans="20:21" ht="15" customHeight="1" x14ac:dyDescent="0.25">
      <c r="T52944" s="135"/>
      <c r="U52944" s="135"/>
    </row>
    <row r="52945" spans="20:21" ht="15" customHeight="1" x14ac:dyDescent="0.25">
      <c r="T52945" s="135"/>
      <c r="U52945" s="135"/>
    </row>
    <row r="52946" spans="20:21" ht="15" customHeight="1" x14ac:dyDescent="0.25">
      <c r="T52946" s="135"/>
      <c r="U52946" s="135"/>
    </row>
    <row r="52947" spans="20:21" ht="15" customHeight="1" x14ac:dyDescent="0.25">
      <c r="T52947" s="135"/>
      <c r="U52947" s="135"/>
    </row>
    <row r="52948" spans="20:21" ht="15" customHeight="1" x14ac:dyDescent="0.25">
      <c r="T52948" s="135"/>
      <c r="U52948" s="135"/>
    </row>
    <row r="52949" spans="20:21" ht="15" customHeight="1" x14ac:dyDescent="0.25">
      <c r="T52949" s="135"/>
      <c r="U52949" s="135"/>
    </row>
    <row r="52950" spans="20:21" ht="15" customHeight="1" x14ac:dyDescent="0.25">
      <c r="T52950" s="135"/>
      <c r="U52950" s="135"/>
    </row>
    <row r="52951" spans="20:21" ht="15" customHeight="1" x14ac:dyDescent="0.25">
      <c r="T52951" s="135"/>
      <c r="U52951" s="135"/>
    </row>
    <row r="52952" spans="20:21" ht="15" customHeight="1" x14ac:dyDescent="0.25">
      <c r="T52952" s="135"/>
      <c r="U52952" s="135"/>
    </row>
    <row r="52953" spans="20:21" ht="15" customHeight="1" x14ac:dyDescent="0.25">
      <c r="T52953" s="135"/>
      <c r="U52953" s="135"/>
    </row>
    <row r="52954" spans="20:21" ht="15" customHeight="1" x14ac:dyDescent="0.25">
      <c r="T52954" s="135"/>
      <c r="U52954" s="135"/>
    </row>
    <row r="52955" spans="20:21" ht="15" customHeight="1" x14ac:dyDescent="0.25">
      <c r="T52955" s="135"/>
      <c r="U52955" s="135"/>
    </row>
    <row r="52956" spans="20:21" ht="15" customHeight="1" x14ac:dyDescent="0.25">
      <c r="T52956" s="135"/>
      <c r="U52956" s="135"/>
    </row>
    <row r="52957" spans="20:21" ht="15" customHeight="1" x14ac:dyDescent="0.25">
      <c r="T52957" s="135"/>
      <c r="U52957" s="135"/>
    </row>
    <row r="52958" spans="20:21" ht="15" customHeight="1" x14ac:dyDescent="0.25">
      <c r="T52958" s="135"/>
      <c r="U52958" s="135"/>
    </row>
    <row r="52959" spans="20:21" ht="15" customHeight="1" x14ac:dyDescent="0.25">
      <c r="T52959" s="135"/>
      <c r="U52959" s="135"/>
    </row>
    <row r="52960" spans="20:21" ht="15" customHeight="1" x14ac:dyDescent="0.25">
      <c r="T52960" s="135"/>
      <c r="U52960" s="135"/>
    </row>
    <row r="52961" spans="20:21" ht="15" customHeight="1" x14ac:dyDescent="0.25">
      <c r="T52961" s="135"/>
      <c r="U52961" s="135"/>
    </row>
    <row r="52962" spans="20:21" ht="15" customHeight="1" x14ac:dyDescent="0.25">
      <c r="T52962" s="135"/>
      <c r="U52962" s="135"/>
    </row>
    <row r="52963" spans="20:21" ht="15" customHeight="1" x14ac:dyDescent="0.25">
      <c r="T52963" s="135"/>
      <c r="U52963" s="135"/>
    </row>
    <row r="52964" spans="20:21" ht="15" customHeight="1" x14ac:dyDescent="0.25">
      <c r="T52964" s="135"/>
      <c r="U52964" s="135"/>
    </row>
    <row r="52965" spans="20:21" ht="15" customHeight="1" x14ac:dyDescent="0.25">
      <c r="T52965" s="135"/>
      <c r="U52965" s="135"/>
    </row>
    <row r="52966" spans="20:21" ht="15" customHeight="1" x14ac:dyDescent="0.25">
      <c r="T52966" s="135"/>
      <c r="U52966" s="135"/>
    </row>
    <row r="52967" spans="20:21" ht="15" customHeight="1" x14ac:dyDescent="0.25">
      <c r="T52967" s="135"/>
      <c r="U52967" s="135"/>
    </row>
    <row r="52968" spans="20:21" ht="15" customHeight="1" x14ac:dyDescent="0.25">
      <c r="T52968" s="135"/>
      <c r="U52968" s="135"/>
    </row>
    <row r="52969" spans="20:21" ht="15" customHeight="1" x14ac:dyDescent="0.25">
      <c r="T52969" s="135"/>
      <c r="U52969" s="135"/>
    </row>
    <row r="52970" spans="20:21" ht="15" customHeight="1" x14ac:dyDescent="0.25">
      <c r="T52970" s="135"/>
      <c r="U52970" s="135"/>
    </row>
    <row r="52971" spans="20:21" ht="15" customHeight="1" x14ac:dyDescent="0.25">
      <c r="T52971" s="135"/>
      <c r="U52971" s="135"/>
    </row>
    <row r="52972" spans="20:21" ht="15" customHeight="1" x14ac:dyDescent="0.25">
      <c r="T52972" s="135"/>
      <c r="U52972" s="135"/>
    </row>
    <row r="52973" spans="20:21" ht="15" customHeight="1" x14ac:dyDescent="0.25">
      <c r="T52973" s="135"/>
      <c r="U52973" s="135"/>
    </row>
    <row r="52974" spans="20:21" ht="15" customHeight="1" x14ac:dyDescent="0.25">
      <c r="T52974" s="135"/>
      <c r="U52974" s="135"/>
    </row>
    <row r="52975" spans="20:21" ht="15" customHeight="1" x14ac:dyDescent="0.25">
      <c r="T52975" s="135"/>
      <c r="U52975" s="135"/>
    </row>
    <row r="52976" spans="20:21" ht="15" customHeight="1" x14ac:dyDescent="0.25">
      <c r="T52976" s="135"/>
      <c r="U52976" s="135"/>
    </row>
    <row r="52977" spans="20:21" ht="15" customHeight="1" x14ac:dyDescent="0.25">
      <c r="T52977" s="135"/>
      <c r="U52977" s="135"/>
    </row>
    <row r="52978" spans="20:21" ht="15" customHeight="1" x14ac:dyDescent="0.25">
      <c r="T52978" s="135"/>
      <c r="U52978" s="135"/>
    </row>
    <row r="52979" spans="20:21" ht="15" customHeight="1" x14ac:dyDescent="0.25">
      <c r="T52979" s="135"/>
      <c r="U52979" s="135"/>
    </row>
    <row r="52980" spans="20:21" ht="15" customHeight="1" x14ac:dyDescent="0.25">
      <c r="T52980" s="135"/>
      <c r="U52980" s="135"/>
    </row>
    <row r="52981" spans="20:21" ht="15" customHeight="1" x14ac:dyDescent="0.25">
      <c r="T52981" s="135"/>
      <c r="U52981" s="135"/>
    </row>
    <row r="52982" spans="20:21" ht="15" customHeight="1" x14ac:dyDescent="0.25">
      <c r="T52982" s="135"/>
      <c r="U52982" s="135"/>
    </row>
    <row r="52983" spans="20:21" ht="15" customHeight="1" x14ac:dyDescent="0.25">
      <c r="T52983" s="135"/>
      <c r="U52983" s="135"/>
    </row>
    <row r="52984" spans="20:21" ht="15" customHeight="1" x14ac:dyDescent="0.25">
      <c r="T52984" s="135"/>
      <c r="U52984" s="135"/>
    </row>
    <row r="52985" spans="20:21" ht="15" customHeight="1" x14ac:dyDescent="0.25">
      <c r="T52985" s="135"/>
      <c r="U52985" s="135"/>
    </row>
    <row r="52986" spans="20:21" ht="15" customHeight="1" x14ac:dyDescent="0.25">
      <c r="T52986" s="135"/>
      <c r="U52986" s="135"/>
    </row>
    <row r="52987" spans="20:21" ht="15" customHeight="1" x14ac:dyDescent="0.25">
      <c r="T52987" s="135"/>
      <c r="U52987" s="135"/>
    </row>
    <row r="52988" spans="20:21" ht="15" customHeight="1" x14ac:dyDescent="0.25">
      <c r="T52988" s="135"/>
      <c r="U52988" s="135"/>
    </row>
    <row r="52989" spans="20:21" ht="15" customHeight="1" x14ac:dyDescent="0.25">
      <c r="T52989" s="135"/>
      <c r="U52989" s="135"/>
    </row>
    <row r="52990" spans="20:21" ht="15" customHeight="1" x14ac:dyDescent="0.25">
      <c r="T52990" s="135"/>
      <c r="U52990" s="135"/>
    </row>
    <row r="52991" spans="20:21" ht="15" customHeight="1" x14ac:dyDescent="0.25">
      <c r="T52991" s="135"/>
      <c r="U52991" s="135"/>
    </row>
    <row r="52992" spans="20:21" ht="15" customHeight="1" x14ac:dyDescent="0.25">
      <c r="T52992" s="135"/>
      <c r="U52992" s="135"/>
    </row>
    <row r="52993" spans="20:21" ht="15" customHeight="1" x14ac:dyDescent="0.25">
      <c r="T52993" s="135"/>
      <c r="U52993" s="135"/>
    </row>
    <row r="52994" spans="20:21" ht="15" customHeight="1" x14ac:dyDescent="0.25">
      <c r="T52994" s="135"/>
      <c r="U52994" s="135"/>
    </row>
    <row r="52995" spans="20:21" ht="15" customHeight="1" x14ac:dyDescent="0.25">
      <c r="T52995" s="135"/>
      <c r="U52995" s="135"/>
    </row>
    <row r="52996" spans="20:21" ht="15" customHeight="1" x14ac:dyDescent="0.25">
      <c r="T52996" s="135"/>
      <c r="U52996" s="135"/>
    </row>
    <row r="52997" spans="20:21" ht="15" customHeight="1" x14ac:dyDescent="0.25">
      <c r="T52997" s="135"/>
      <c r="U52997" s="135"/>
    </row>
    <row r="52998" spans="20:21" ht="15" customHeight="1" x14ac:dyDescent="0.25">
      <c r="T52998" s="135"/>
      <c r="U52998" s="135"/>
    </row>
    <row r="52999" spans="20:21" ht="15" customHeight="1" x14ac:dyDescent="0.25">
      <c r="T52999" s="135"/>
      <c r="U52999" s="135"/>
    </row>
    <row r="53000" spans="20:21" ht="15" customHeight="1" x14ac:dyDescent="0.25">
      <c r="T53000" s="135"/>
      <c r="U53000" s="135"/>
    </row>
    <row r="53001" spans="20:21" ht="15" customHeight="1" x14ac:dyDescent="0.25">
      <c r="T53001" s="135"/>
      <c r="U53001" s="135"/>
    </row>
    <row r="53002" spans="20:21" ht="15" customHeight="1" x14ac:dyDescent="0.25">
      <c r="T53002" s="135"/>
      <c r="U53002" s="135"/>
    </row>
    <row r="53003" spans="20:21" ht="15" customHeight="1" x14ac:dyDescent="0.25">
      <c r="T53003" s="135"/>
      <c r="U53003" s="135"/>
    </row>
    <row r="53004" spans="20:21" ht="15" customHeight="1" x14ac:dyDescent="0.25">
      <c r="T53004" s="135"/>
      <c r="U53004" s="135"/>
    </row>
    <row r="53005" spans="20:21" ht="15" customHeight="1" x14ac:dyDescent="0.25">
      <c r="T53005" s="135"/>
      <c r="U53005" s="135"/>
    </row>
    <row r="53006" spans="20:21" ht="15" customHeight="1" x14ac:dyDescent="0.25">
      <c r="T53006" s="135"/>
      <c r="U53006" s="135"/>
    </row>
    <row r="53007" spans="20:21" ht="15" customHeight="1" x14ac:dyDescent="0.25">
      <c r="T53007" s="135"/>
      <c r="U53007" s="135"/>
    </row>
    <row r="53008" spans="20:21" ht="15" customHeight="1" x14ac:dyDescent="0.25">
      <c r="T53008" s="135"/>
      <c r="U53008" s="135"/>
    </row>
    <row r="53009" spans="20:21" ht="15" customHeight="1" x14ac:dyDescent="0.25">
      <c r="T53009" s="135"/>
      <c r="U53009" s="135"/>
    </row>
    <row r="53010" spans="20:21" ht="15" customHeight="1" x14ac:dyDescent="0.25">
      <c r="T53010" s="135"/>
      <c r="U53010" s="135"/>
    </row>
    <row r="53011" spans="20:21" ht="15" customHeight="1" x14ac:dyDescent="0.25">
      <c r="T53011" s="135"/>
      <c r="U53011" s="135"/>
    </row>
    <row r="53012" spans="20:21" ht="15" customHeight="1" x14ac:dyDescent="0.25">
      <c r="T53012" s="135"/>
      <c r="U53012" s="135"/>
    </row>
    <row r="53013" spans="20:21" ht="15" customHeight="1" x14ac:dyDescent="0.25">
      <c r="T53013" s="135"/>
      <c r="U53013" s="135"/>
    </row>
    <row r="53014" spans="20:21" ht="15" customHeight="1" x14ac:dyDescent="0.25">
      <c r="T53014" s="135"/>
      <c r="U53014" s="135"/>
    </row>
    <row r="53015" spans="20:21" ht="15" customHeight="1" x14ac:dyDescent="0.25">
      <c r="T53015" s="135"/>
      <c r="U53015" s="135"/>
    </row>
    <row r="53016" spans="20:21" ht="15" customHeight="1" x14ac:dyDescent="0.25">
      <c r="T53016" s="135"/>
      <c r="U53016" s="135"/>
    </row>
    <row r="53017" spans="20:21" ht="15" customHeight="1" x14ac:dyDescent="0.25">
      <c r="T53017" s="135"/>
      <c r="U53017" s="135"/>
    </row>
    <row r="53018" spans="20:21" ht="15" customHeight="1" x14ac:dyDescent="0.25">
      <c r="T53018" s="135"/>
      <c r="U53018" s="135"/>
    </row>
    <row r="53019" spans="20:21" ht="15" customHeight="1" x14ac:dyDescent="0.25">
      <c r="T53019" s="135"/>
      <c r="U53019" s="135"/>
    </row>
    <row r="53020" spans="20:21" ht="15" customHeight="1" x14ac:dyDescent="0.25">
      <c r="T53020" s="135"/>
      <c r="U53020" s="135"/>
    </row>
    <row r="53021" spans="20:21" ht="15" customHeight="1" x14ac:dyDescent="0.25">
      <c r="T53021" s="135"/>
      <c r="U53021" s="135"/>
    </row>
    <row r="53022" spans="20:21" ht="15" customHeight="1" x14ac:dyDescent="0.25">
      <c r="T53022" s="135"/>
      <c r="U53022" s="135"/>
    </row>
    <row r="53023" spans="20:21" ht="15" customHeight="1" x14ac:dyDescent="0.25">
      <c r="T53023" s="135"/>
      <c r="U53023" s="135"/>
    </row>
    <row r="53024" spans="20:21" ht="15" customHeight="1" x14ac:dyDescent="0.25">
      <c r="T53024" s="135"/>
      <c r="U53024" s="135"/>
    </row>
    <row r="53025" spans="20:21" ht="15" customHeight="1" x14ac:dyDescent="0.25">
      <c r="T53025" s="135"/>
      <c r="U53025" s="135"/>
    </row>
    <row r="53026" spans="20:21" ht="15" customHeight="1" x14ac:dyDescent="0.25">
      <c r="T53026" s="135"/>
      <c r="U53026" s="135"/>
    </row>
    <row r="53027" spans="20:21" ht="15" customHeight="1" x14ac:dyDescent="0.25">
      <c r="T53027" s="135"/>
      <c r="U53027" s="135"/>
    </row>
    <row r="53028" spans="20:21" ht="15" customHeight="1" x14ac:dyDescent="0.25">
      <c r="T53028" s="135"/>
      <c r="U53028" s="135"/>
    </row>
    <row r="53029" spans="20:21" ht="15" customHeight="1" x14ac:dyDescent="0.25">
      <c r="T53029" s="135"/>
      <c r="U53029" s="135"/>
    </row>
    <row r="53030" spans="20:21" ht="15" customHeight="1" x14ac:dyDescent="0.25">
      <c r="T53030" s="135"/>
      <c r="U53030" s="135"/>
    </row>
    <row r="53031" spans="20:21" ht="15" customHeight="1" x14ac:dyDescent="0.25">
      <c r="T53031" s="135"/>
      <c r="U53031" s="135"/>
    </row>
    <row r="53032" spans="20:21" ht="15" customHeight="1" x14ac:dyDescent="0.25">
      <c r="T53032" s="135"/>
      <c r="U53032" s="135"/>
    </row>
    <row r="53033" spans="20:21" ht="15" customHeight="1" x14ac:dyDescent="0.25">
      <c r="T53033" s="135"/>
      <c r="U53033" s="135"/>
    </row>
    <row r="53034" spans="20:21" ht="15" customHeight="1" x14ac:dyDescent="0.25">
      <c r="T53034" s="135"/>
      <c r="U53034" s="135"/>
    </row>
    <row r="53035" spans="20:21" ht="15" customHeight="1" x14ac:dyDescent="0.25">
      <c r="T53035" s="135"/>
      <c r="U53035" s="135"/>
    </row>
    <row r="53036" spans="20:21" ht="15" customHeight="1" x14ac:dyDescent="0.25">
      <c r="T53036" s="135"/>
      <c r="U53036" s="135"/>
    </row>
    <row r="53037" spans="20:21" ht="15" customHeight="1" x14ac:dyDescent="0.25">
      <c r="T53037" s="135"/>
      <c r="U53037" s="135"/>
    </row>
    <row r="53038" spans="20:21" ht="15" customHeight="1" x14ac:dyDescent="0.25">
      <c r="T53038" s="135"/>
      <c r="U53038" s="135"/>
    </row>
    <row r="53039" spans="20:21" ht="15" customHeight="1" x14ac:dyDescent="0.25">
      <c r="T53039" s="135"/>
      <c r="U53039" s="135"/>
    </row>
    <row r="53040" spans="20:21" ht="15" customHeight="1" x14ac:dyDescent="0.25">
      <c r="T53040" s="135"/>
      <c r="U53040" s="135"/>
    </row>
    <row r="53041" spans="20:21" ht="15" customHeight="1" x14ac:dyDescent="0.25">
      <c r="T53041" s="135"/>
      <c r="U53041" s="135"/>
    </row>
    <row r="53042" spans="20:21" ht="15" customHeight="1" x14ac:dyDescent="0.25">
      <c r="T53042" s="135"/>
      <c r="U53042" s="135"/>
    </row>
    <row r="53043" spans="20:21" ht="15" customHeight="1" x14ac:dyDescent="0.25">
      <c r="T53043" s="135"/>
      <c r="U53043" s="135"/>
    </row>
    <row r="53044" spans="20:21" ht="15" customHeight="1" x14ac:dyDescent="0.25">
      <c r="T53044" s="135"/>
      <c r="U53044" s="135"/>
    </row>
    <row r="53045" spans="20:21" ht="15" customHeight="1" x14ac:dyDescent="0.25">
      <c r="T53045" s="135"/>
      <c r="U53045" s="135"/>
    </row>
    <row r="53046" spans="20:21" ht="15" customHeight="1" x14ac:dyDescent="0.25">
      <c r="T53046" s="135"/>
      <c r="U53046" s="135"/>
    </row>
    <row r="53047" spans="20:21" ht="15" customHeight="1" x14ac:dyDescent="0.25">
      <c r="T53047" s="135"/>
      <c r="U53047" s="135"/>
    </row>
    <row r="53048" spans="20:21" ht="15" customHeight="1" x14ac:dyDescent="0.25">
      <c r="T53048" s="135"/>
      <c r="U53048" s="135"/>
    </row>
    <row r="53049" spans="20:21" ht="15" customHeight="1" x14ac:dyDescent="0.25">
      <c r="T53049" s="135"/>
      <c r="U53049" s="135"/>
    </row>
    <row r="53050" spans="20:21" ht="15" customHeight="1" x14ac:dyDescent="0.25">
      <c r="T53050" s="135"/>
      <c r="U53050" s="135"/>
    </row>
    <row r="53051" spans="20:21" ht="15" customHeight="1" x14ac:dyDescent="0.25">
      <c r="T53051" s="135"/>
      <c r="U53051" s="135"/>
    </row>
    <row r="53052" spans="20:21" ht="15" customHeight="1" x14ac:dyDescent="0.25">
      <c r="T53052" s="135"/>
      <c r="U53052" s="135"/>
    </row>
    <row r="53053" spans="20:21" ht="15" customHeight="1" x14ac:dyDescent="0.25">
      <c r="T53053" s="135"/>
      <c r="U53053" s="135"/>
    </row>
    <row r="53054" spans="20:21" ht="15" customHeight="1" x14ac:dyDescent="0.25">
      <c r="T53054" s="135"/>
      <c r="U53054" s="135"/>
    </row>
    <row r="53055" spans="20:21" ht="15" customHeight="1" x14ac:dyDescent="0.25">
      <c r="T53055" s="135"/>
      <c r="U53055" s="135"/>
    </row>
    <row r="53056" spans="20:21" ht="15" customHeight="1" x14ac:dyDescent="0.25">
      <c r="T53056" s="135"/>
      <c r="U53056" s="135"/>
    </row>
    <row r="53057" spans="20:21" ht="15" customHeight="1" x14ac:dyDescent="0.25">
      <c r="T53057" s="135"/>
      <c r="U53057" s="135"/>
    </row>
    <row r="53058" spans="20:21" ht="15" customHeight="1" x14ac:dyDescent="0.25">
      <c r="T53058" s="135"/>
      <c r="U53058" s="135"/>
    </row>
    <row r="53059" spans="20:21" ht="15" customHeight="1" x14ac:dyDescent="0.25">
      <c r="T53059" s="135"/>
      <c r="U53059" s="135"/>
    </row>
    <row r="53060" spans="20:21" ht="15" customHeight="1" x14ac:dyDescent="0.25">
      <c r="T53060" s="135"/>
      <c r="U53060" s="135"/>
    </row>
    <row r="53061" spans="20:21" ht="15" customHeight="1" x14ac:dyDescent="0.25">
      <c r="T53061" s="135"/>
      <c r="U53061" s="135"/>
    </row>
    <row r="53062" spans="20:21" ht="15" customHeight="1" x14ac:dyDescent="0.25">
      <c r="T53062" s="135"/>
      <c r="U53062" s="135"/>
    </row>
    <row r="53063" spans="20:21" ht="15" customHeight="1" x14ac:dyDescent="0.25">
      <c r="T53063" s="135"/>
      <c r="U53063" s="135"/>
    </row>
    <row r="53064" spans="20:21" ht="15" customHeight="1" x14ac:dyDescent="0.25">
      <c r="T53064" s="135"/>
      <c r="U53064" s="135"/>
    </row>
    <row r="53065" spans="20:21" ht="15" customHeight="1" x14ac:dyDescent="0.25">
      <c r="T53065" s="135"/>
      <c r="U53065" s="135"/>
    </row>
    <row r="53066" spans="20:21" ht="15" customHeight="1" x14ac:dyDescent="0.25">
      <c r="T53066" s="135"/>
      <c r="U53066" s="135"/>
    </row>
    <row r="53067" spans="20:21" ht="15" customHeight="1" x14ac:dyDescent="0.25">
      <c r="T53067" s="135"/>
      <c r="U53067" s="135"/>
    </row>
    <row r="53068" spans="20:21" ht="15" customHeight="1" x14ac:dyDescent="0.25">
      <c r="T53068" s="135"/>
      <c r="U53068" s="135"/>
    </row>
    <row r="53069" spans="20:21" ht="15" customHeight="1" x14ac:dyDescent="0.25">
      <c r="T53069" s="135"/>
      <c r="U53069" s="135"/>
    </row>
    <row r="53070" spans="20:21" ht="15" customHeight="1" x14ac:dyDescent="0.25">
      <c r="T53070" s="135"/>
      <c r="U53070" s="135"/>
    </row>
    <row r="53071" spans="20:21" ht="15" customHeight="1" x14ac:dyDescent="0.25">
      <c r="T53071" s="135"/>
      <c r="U53071" s="135"/>
    </row>
    <row r="53072" spans="20:21" ht="15" customHeight="1" x14ac:dyDescent="0.25">
      <c r="T53072" s="135"/>
      <c r="U53072" s="135"/>
    </row>
    <row r="53073" spans="20:21" ht="15" customHeight="1" x14ac:dyDescent="0.25">
      <c r="T53073" s="135"/>
      <c r="U53073" s="135"/>
    </row>
    <row r="53074" spans="20:21" ht="15" customHeight="1" x14ac:dyDescent="0.25">
      <c r="T53074" s="135"/>
      <c r="U53074" s="135"/>
    </row>
    <row r="53075" spans="20:21" ht="15" customHeight="1" x14ac:dyDescent="0.25">
      <c r="T53075" s="135"/>
      <c r="U53075" s="135"/>
    </row>
    <row r="53076" spans="20:21" ht="15" customHeight="1" x14ac:dyDescent="0.25">
      <c r="T53076" s="135"/>
      <c r="U53076" s="135"/>
    </row>
    <row r="53077" spans="20:21" ht="15" customHeight="1" x14ac:dyDescent="0.25">
      <c r="T53077" s="135"/>
      <c r="U53077" s="135"/>
    </row>
    <row r="53078" spans="20:21" ht="15" customHeight="1" x14ac:dyDescent="0.25">
      <c r="T53078" s="135"/>
      <c r="U53078" s="135"/>
    </row>
    <row r="53079" spans="20:21" ht="15" customHeight="1" x14ac:dyDescent="0.25">
      <c r="T53079" s="135"/>
      <c r="U53079" s="135"/>
    </row>
    <row r="53080" spans="20:21" ht="15" customHeight="1" x14ac:dyDescent="0.25">
      <c r="T53080" s="135"/>
      <c r="U53080" s="135"/>
    </row>
    <row r="53081" spans="20:21" ht="15" customHeight="1" x14ac:dyDescent="0.25">
      <c r="T53081" s="135"/>
      <c r="U53081" s="135"/>
    </row>
    <row r="53082" spans="20:21" ht="15" customHeight="1" x14ac:dyDescent="0.25">
      <c r="T53082" s="135"/>
      <c r="U53082" s="135"/>
    </row>
    <row r="53083" spans="20:21" ht="15" customHeight="1" x14ac:dyDescent="0.25">
      <c r="T53083" s="135"/>
      <c r="U53083" s="135"/>
    </row>
    <row r="53084" spans="20:21" ht="15" customHeight="1" x14ac:dyDescent="0.25">
      <c r="T53084" s="135"/>
      <c r="U53084" s="135"/>
    </row>
    <row r="53085" spans="20:21" ht="15" customHeight="1" x14ac:dyDescent="0.25">
      <c r="T53085" s="135"/>
      <c r="U53085" s="135"/>
    </row>
    <row r="53086" spans="20:21" ht="15" customHeight="1" x14ac:dyDescent="0.25">
      <c r="T53086" s="135"/>
      <c r="U53086" s="135"/>
    </row>
    <row r="53087" spans="20:21" ht="15" customHeight="1" x14ac:dyDescent="0.25">
      <c r="T53087" s="135"/>
      <c r="U53087" s="135"/>
    </row>
    <row r="53088" spans="20:21" ht="15" customHeight="1" x14ac:dyDescent="0.25">
      <c r="T53088" s="135"/>
      <c r="U53088" s="135"/>
    </row>
    <row r="53089" spans="20:21" ht="15" customHeight="1" x14ac:dyDescent="0.25">
      <c r="T53089" s="135"/>
      <c r="U53089" s="135"/>
    </row>
    <row r="53090" spans="20:21" ht="15" customHeight="1" x14ac:dyDescent="0.25">
      <c r="T53090" s="135"/>
      <c r="U53090" s="135"/>
    </row>
    <row r="53091" spans="20:21" ht="15" customHeight="1" x14ac:dyDescent="0.25">
      <c r="T53091" s="135"/>
      <c r="U53091" s="135"/>
    </row>
    <row r="53092" spans="20:21" ht="15" customHeight="1" x14ac:dyDescent="0.25">
      <c r="T53092" s="135"/>
      <c r="U53092" s="135"/>
    </row>
    <row r="53093" spans="20:21" ht="15" customHeight="1" x14ac:dyDescent="0.25">
      <c r="T53093" s="135"/>
      <c r="U53093" s="135"/>
    </row>
    <row r="53094" spans="20:21" ht="15" customHeight="1" x14ac:dyDescent="0.25">
      <c r="T53094" s="135"/>
      <c r="U53094" s="135"/>
    </row>
    <row r="53095" spans="20:21" ht="15" customHeight="1" x14ac:dyDescent="0.25">
      <c r="T53095" s="135"/>
      <c r="U53095" s="135"/>
    </row>
    <row r="53096" spans="20:21" ht="15" customHeight="1" x14ac:dyDescent="0.25">
      <c r="T53096" s="135"/>
      <c r="U53096" s="135"/>
    </row>
    <row r="53097" spans="20:21" ht="15" customHeight="1" x14ac:dyDescent="0.25">
      <c r="T53097" s="135"/>
      <c r="U53097" s="135"/>
    </row>
    <row r="53098" spans="20:21" ht="15" customHeight="1" x14ac:dyDescent="0.25">
      <c r="T53098" s="135"/>
      <c r="U53098" s="135"/>
    </row>
    <row r="53099" spans="20:21" ht="15" customHeight="1" x14ac:dyDescent="0.25">
      <c r="T53099" s="135"/>
      <c r="U53099" s="135"/>
    </row>
    <row r="53100" spans="20:21" ht="15" customHeight="1" x14ac:dyDescent="0.25">
      <c r="T53100" s="135"/>
      <c r="U53100" s="135"/>
    </row>
    <row r="53101" spans="20:21" ht="15" customHeight="1" x14ac:dyDescent="0.25">
      <c r="T53101" s="135"/>
      <c r="U53101" s="135"/>
    </row>
    <row r="53102" spans="20:21" ht="15" customHeight="1" x14ac:dyDescent="0.25">
      <c r="T53102" s="135"/>
      <c r="U53102" s="135"/>
    </row>
    <row r="53103" spans="20:21" ht="15" customHeight="1" x14ac:dyDescent="0.25">
      <c r="T53103" s="135"/>
      <c r="U53103" s="135"/>
    </row>
    <row r="53104" spans="20:21" ht="15" customHeight="1" x14ac:dyDescent="0.25">
      <c r="T53104" s="135"/>
      <c r="U53104" s="135"/>
    </row>
    <row r="53105" spans="20:21" ht="15" customHeight="1" x14ac:dyDescent="0.25">
      <c r="T53105" s="135"/>
      <c r="U53105" s="135"/>
    </row>
    <row r="53106" spans="20:21" ht="15" customHeight="1" x14ac:dyDescent="0.25">
      <c r="T53106" s="135"/>
      <c r="U53106" s="135"/>
    </row>
    <row r="53107" spans="20:21" ht="15" customHeight="1" x14ac:dyDescent="0.25">
      <c r="T53107" s="135"/>
      <c r="U53107" s="135"/>
    </row>
    <row r="53108" spans="20:21" ht="15" customHeight="1" x14ac:dyDescent="0.25">
      <c r="T53108" s="135"/>
      <c r="U53108" s="135"/>
    </row>
    <row r="53109" spans="20:21" ht="15" customHeight="1" x14ac:dyDescent="0.25">
      <c r="T53109" s="135"/>
      <c r="U53109" s="135"/>
    </row>
    <row r="53110" spans="20:21" ht="15" customHeight="1" x14ac:dyDescent="0.25">
      <c r="T53110" s="135"/>
      <c r="U53110" s="135"/>
    </row>
    <row r="53111" spans="20:21" ht="15" customHeight="1" x14ac:dyDescent="0.25">
      <c r="T53111" s="135"/>
      <c r="U53111" s="135"/>
    </row>
    <row r="53112" spans="20:21" ht="15" customHeight="1" x14ac:dyDescent="0.25">
      <c r="T53112" s="135"/>
      <c r="U53112" s="135"/>
    </row>
    <row r="53113" spans="20:21" ht="15" customHeight="1" x14ac:dyDescent="0.25">
      <c r="T53113" s="135"/>
      <c r="U53113" s="135"/>
    </row>
    <row r="53114" spans="20:21" ht="15" customHeight="1" x14ac:dyDescent="0.25">
      <c r="T53114" s="135"/>
      <c r="U53114" s="135"/>
    </row>
    <row r="53115" spans="20:21" ht="15" customHeight="1" x14ac:dyDescent="0.25">
      <c r="T53115" s="135"/>
      <c r="U53115" s="135"/>
    </row>
    <row r="53116" spans="20:21" ht="15" customHeight="1" x14ac:dyDescent="0.25">
      <c r="T53116" s="135"/>
      <c r="U53116" s="135"/>
    </row>
    <row r="53117" spans="20:21" ht="15" customHeight="1" x14ac:dyDescent="0.25">
      <c r="T53117" s="135"/>
      <c r="U53117" s="135"/>
    </row>
    <row r="53118" spans="20:21" ht="15" customHeight="1" x14ac:dyDescent="0.25">
      <c r="T53118" s="135"/>
      <c r="U53118" s="135"/>
    </row>
    <row r="53119" spans="20:21" ht="15" customHeight="1" x14ac:dyDescent="0.25">
      <c r="T53119" s="135"/>
      <c r="U53119" s="135"/>
    </row>
    <row r="53120" spans="20:21" ht="15" customHeight="1" x14ac:dyDescent="0.25">
      <c r="T53120" s="135"/>
      <c r="U53120" s="135"/>
    </row>
    <row r="53121" spans="20:21" ht="15" customHeight="1" x14ac:dyDescent="0.25">
      <c r="T53121" s="135"/>
      <c r="U53121" s="135"/>
    </row>
    <row r="53122" spans="20:21" ht="15" customHeight="1" x14ac:dyDescent="0.25">
      <c r="T53122" s="135"/>
      <c r="U53122" s="135"/>
    </row>
    <row r="53123" spans="20:21" ht="15" customHeight="1" x14ac:dyDescent="0.25">
      <c r="T53123" s="135"/>
      <c r="U53123" s="135"/>
    </row>
    <row r="53124" spans="20:21" ht="15" customHeight="1" x14ac:dyDescent="0.25">
      <c r="T53124" s="135"/>
      <c r="U53124" s="135"/>
    </row>
    <row r="53125" spans="20:21" ht="15" customHeight="1" x14ac:dyDescent="0.25">
      <c r="T53125" s="135"/>
      <c r="U53125" s="135"/>
    </row>
    <row r="53126" spans="20:21" ht="15" customHeight="1" x14ac:dyDescent="0.25">
      <c r="T53126" s="135"/>
      <c r="U53126" s="135"/>
    </row>
    <row r="53127" spans="20:21" ht="15" customHeight="1" x14ac:dyDescent="0.25">
      <c r="T53127" s="135"/>
      <c r="U53127" s="135"/>
    </row>
    <row r="53128" spans="20:21" ht="15" customHeight="1" x14ac:dyDescent="0.25">
      <c r="T53128" s="135"/>
      <c r="U53128" s="135"/>
    </row>
    <row r="53129" spans="20:21" ht="15" customHeight="1" x14ac:dyDescent="0.25">
      <c r="T53129" s="135"/>
      <c r="U53129" s="135"/>
    </row>
    <row r="53130" spans="20:21" ht="15" customHeight="1" x14ac:dyDescent="0.25">
      <c r="T53130" s="135"/>
      <c r="U53130" s="135"/>
    </row>
    <row r="53131" spans="20:21" ht="15" customHeight="1" x14ac:dyDescent="0.25">
      <c r="T53131" s="135"/>
      <c r="U53131" s="135"/>
    </row>
    <row r="53132" spans="20:21" ht="15" customHeight="1" x14ac:dyDescent="0.25">
      <c r="T53132" s="135"/>
      <c r="U53132" s="135"/>
    </row>
    <row r="53133" spans="20:21" ht="15" customHeight="1" x14ac:dyDescent="0.25">
      <c r="T53133" s="135"/>
      <c r="U53133" s="135"/>
    </row>
    <row r="53134" spans="20:21" ht="15" customHeight="1" x14ac:dyDescent="0.25">
      <c r="T53134" s="135"/>
      <c r="U53134" s="135"/>
    </row>
    <row r="53135" spans="20:21" ht="15" customHeight="1" x14ac:dyDescent="0.25">
      <c r="T53135" s="135"/>
      <c r="U53135" s="135"/>
    </row>
    <row r="53136" spans="20:21" ht="15" customHeight="1" x14ac:dyDescent="0.25">
      <c r="T53136" s="135"/>
      <c r="U53136" s="135"/>
    </row>
    <row r="53137" spans="20:21" ht="15" customHeight="1" x14ac:dyDescent="0.25">
      <c r="T53137" s="135"/>
      <c r="U53137" s="135"/>
    </row>
    <row r="53138" spans="20:21" ht="15" customHeight="1" x14ac:dyDescent="0.25">
      <c r="T53138" s="135"/>
      <c r="U53138" s="135"/>
    </row>
    <row r="53139" spans="20:21" ht="15" customHeight="1" x14ac:dyDescent="0.25">
      <c r="T53139" s="135"/>
      <c r="U53139" s="135"/>
    </row>
    <row r="53140" spans="20:21" ht="15" customHeight="1" x14ac:dyDescent="0.25">
      <c r="T53140" s="135"/>
      <c r="U53140" s="135"/>
    </row>
    <row r="53141" spans="20:21" ht="15" customHeight="1" x14ac:dyDescent="0.25">
      <c r="T53141" s="135"/>
      <c r="U53141" s="135"/>
    </row>
    <row r="53142" spans="20:21" ht="15" customHeight="1" x14ac:dyDescent="0.25">
      <c r="T53142" s="135"/>
      <c r="U53142" s="135"/>
    </row>
    <row r="53143" spans="20:21" ht="15" customHeight="1" x14ac:dyDescent="0.25">
      <c r="T53143" s="135"/>
      <c r="U53143" s="135"/>
    </row>
    <row r="53144" spans="20:21" ht="15" customHeight="1" x14ac:dyDescent="0.25">
      <c r="T53144" s="135"/>
      <c r="U53144" s="135"/>
    </row>
    <row r="53145" spans="20:21" ht="15" customHeight="1" x14ac:dyDescent="0.25">
      <c r="T53145" s="135"/>
      <c r="U53145" s="135"/>
    </row>
    <row r="53146" spans="20:21" ht="15" customHeight="1" x14ac:dyDescent="0.25">
      <c r="T53146" s="135"/>
      <c r="U53146" s="135"/>
    </row>
    <row r="53147" spans="20:21" ht="15" customHeight="1" x14ac:dyDescent="0.25">
      <c r="T53147" s="135"/>
      <c r="U53147" s="135"/>
    </row>
    <row r="53148" spans="20:21" ht="15" customHeight="1" x14ac:dyDescent="0.25">
      <c r="T53148" s="135"/>
      <c r="U53148" s="135"/>
    </row>
    <row r="53149" spans="20:21" ht="15" customHeight="1" x14ac:dyDescent="0.25">
      <c r="T53149" s="135"/>
      <c r="U53149" s="135"/>
    </row>
    <row r="53150" spans="20:21" ht="15" customHeight="1" x14ac:dyDescent="0.25">
      <c r="T53150" s="135"/>
      <c r="U53150" s="135"/>
    </row>
    <row r="53151" spans="20:21" ht="15" customHeight="1" x14ac:dyDescent="0.25">
      <c r="T53151" s="135"/>
      <c r="U53151" s="135"/>
    </row>
    <row r="53152" spans="20:21" ht="15" customHeight="1" x14ac:dyDescent="0.25">
      <c r="T53152" s="135"/>
      <c r="U53152" s="135"/>
    </row>
    <row r="53153" spans="20:21" ht="15" customHeight="1" x14ac:dyDescent="0.25">
      <c r="T53153" s="135"/>
      <c r="U53153" s="135"/>
    </row>
    <row r="53154" spans="20:21" ht="15" customHeight="1" x14ac:dyDescent="0.25">
      <c r="T53154" s="135"/>
      <c r="U53154" s="135"/>
    </row>
    <row r="53155" spans="20:21" ht="15" customHeight="1" x14ac:dyDescent="0.25">
      <c r="T53155" s="135"/>
      <c r="U53155" s="135"/>
    </row>
    <row r="53156" spans="20:21" ht="15" customHeight="1" x14ac:dyDescent="0.25">
      <c r="T53156" s="135"/>
      <c r="U53156" s="135"/>
    </row>
    <row r="53157" spans="20:21" ht="15" customHeight="1" x14ac:dyDescent="0.25">
      <c r="T53157" s="135"/>
      <c r="U53157" s="135"/>
    </row>
    <row r="53158" spans="20:21" ht="15" customHeight="1" x14ac:dyDescent="0.25">
      <c r="T53158" s="135"/>
      <c r="U53158" s="135"/>
    </row>
    <row r="53159" spans="20:21" ht="15" customHeight="1" x14ac:dyDescent="0.25">
      <c r="T53159" s="135"/>
      <c r="U53159" s="135"/>
    </row>
    <row r="53160" spans="20:21" ht="15" customHeight="1" x14ac:dyDescent="0.25">
      <c r="T53160" s="135"/>
      <c r="U53160" s="135"/>
    </row>
    <row r="53161" spans="20:21" ht="15" customHeight="1" x14ac:dyDescent="0.25">
      <c r="T53161" s="135"/>
      <c r="U53161" s="135"/>
    </row>
    <row r="53162" spans="20:21" ht="15" customHeight="1" x14ac:dyDescent="0.25">
      <c r="T53162" s="135"/>
      <c r="U53162" s="135"/>
    </row>
    <row r="53163" spans="20:21" ht="15" customHeight="1" x14ac:dyDescent="0.25">
      <c r="T53163" s="135"/>
      <c r="U53163" s="135"/>
    </row>
    <row r="53164" spans="20:21" ht="15" customHeight="1" x14ac:dyDescent="0.25">
      <c r="T53164" s="135"/>
      <c r="U53164" s="135"/>
    </row>
    <row r="53165" spans="20:21" ht="15" customHeight="1" x14ac:dyDescent="0.25">
      <c r="T53165" s="135"/>
      <c r="U53165" s="135"/>
    </row>
    <row r="53166" spans="20:21" ht="15" customHeight="1" x14ac:dyDescent="0.25">
      <c r="T53166" s="135"/>
      <c r="U53166" s="135"/>
    </row>
    <row r="53167" spans="20:21" ht="15" customHeight="1" x14ac:dyDescent="0.25">
      <c r="T53167" s="135"/>
      <c r="U53167" s="135"/>
    </row>
    <row r="53168" spans="20:21" ht="15" customHeight="1" x14ac:dyDescent="0.25">
      <c r="T53168" s="135"/>
      <c r="U53168" s="135"/>
    </row>
    <row r="53169" spans="20:21" ht="15" customHeight="1" x14ac:dyDescent="0.25">
      <c r="T53169" s="135"/>
      <c r="U53169" s="135"/>
    </row>
    <row r="53170" spans="20:21" ht="15" customHeight="1" x14ac:dyDescent="0.25">
      <c r="T53170" s="135"/>
      <c r="U53170" s="135"/>
    </row>
    <row r="53171" spans="20:21" ht="15" customHeight="1" x14ac:dyDescent="0.25">
      <c r="T53171" s="135"/>
      <c r="U53171" s="135"/>
    </row>
    <row r="53172" spans="20:21" ht="15" customHeight="1" x14ac:dyDescent="0.25">
      <c r="T53172" s="135"/>
      <c r="U53172" s="135"/>
    </row>
    <row r="53173" spans="20:21" ht="15" customHeight="1" x14ac:dyDescent="0.25">
      <c r="T53173" s="135"/>
      <c r="U53173" s="135"/>
    </row>
    <row r="53174" spans="20:21" ht="15" customHeight="1" x14ac:dyDescent="0.25">
      <c r="T53174" s="135"/>
      <c r="U53174" s="135"/>
    </row>
    <row r="53175" spans="20:21" ht="15" customHeight="1" x14ac:dyDescent="0.25">
      <c r="T53175" s="135"/>
      <c r="U53175" s="135"/>
    </row>
    <row r="53176" spans="20:21" ht="15" customHeight="1" x14ac:dyDescent="0.25">
      <c r="T53176" s="135"/>
      <c r="U53176" s="135"/>
    </row>
    <row r="53177" spans="20:21" ht="15" customHeight="1" x14ac:dyDescent="0.25">
      <c r="T53177" s="135"/>
      <c r="U53177" s="135"/>
    </row>
    <row r="53178" spans="20:21" ht="15" customHeight="1" x14ac:dyDescent="0.25">
      <c r="T53178" s="135"/>
      <c r="U53178" s="135"/>
    </row>
    <row r="53179" spans="20:21" ht="15" customHeight="1" x14ac:dyDescent="0.25">
      <c r="T53179" s="135"/>
      <c r="U53179" s="135"/>
    </row>
    <row r="53180" spans="20:21" ht="15" customHeight="1" x14ac:dyDescent="0.25">
      <c r="T53180" s="135"/>
      <c r="U53180" s="135"/>
    </row>
    <row r="53181" spans="20:21" ht="15" customHeight="1" x14ac:dyDescent="0.25">
      <c r="T53181" s="135"/>
      <c r="U53181" s="135"/>
    </row>
    <row r="53182" spans="20:21" ht="15" customHeight="1" x14ac:dyDescent="0.25">
      <c r="T53182" s="135"/>
      <c r="U53182" s="135"/>
    </row>
    <row r="53183" spans="20:21" ht="15" customHeight="1" x14ac:dyDescent="0.25">
      <c r="T53183" s="135"/>
      <c r="U53183" s="135"/>
    </row>
    <row r="53184" spans="20:21" ht="15" customHeight="1" x14ac:dyDescent="0.25">
      <c r="T53184" s="135"/>
      <c r="U53184" s="135"/>
    </row>
    <row r="53185" spans="20:21" ht="15" customHeight="1" x14ac:dyDescent="0.25">
      <c r="T53185" s="135"/>
      <c r="U53185" s="135"/>
    </row>
    <row r="53186" spans="20:21" ht="15" customHeight="1" x14ac:dyDescent="0.25">
      <c r="T53186" s="135"/>
      <c r="U53186" s="135"/>
    </row>
    <row r="53187" spans="20:21" ht="15" customHeight="1" x14ac:dyDescent="0.25">
      <c r="T53187" s="135"/>
      <c r="U53187" s="135"/>
    </row>
    <row r="53188" spans="20:21" ht="15" customHeight="1" x14ac:dyDescent="0.25">
      <c r="T53188" s="135"/>
      <c r="U53188" s="135"/>
    </row>
    <row r="53189" spans="20:21" ht="15" customHeight="1" x14ac:dyDescent="0.25">
      <c r="T53189" s="135"/>
      <c r="U53189" s="135"/>
    </row>
    <row r="53190" spans="20:21" ht="15" customHeight="1" x14ac:dyDescent="0.25">
      <c r="T53190" s="135"/>
      <c r="U53190" s="135"/>
    </row>
    <row r="53191" spans="20:21" ht="15" customHeight="1" x14ac:dyDescent="0.25">
      <c r="T53191" s="135"/>
      <c r="U53191" s="135"/>
    </row>
    <row r="53192" spans="20:21" ht="15" customHeight="1" x14ac:dyDescent="0.25">
      <c r="T53192" s="135"/>
      <c r="U53192" s="135"/>
    </row>
    <row r="53193" spans="20:21" ht="15" customHeight="1" x14ac:dyDescent="0.25">
      <c r="T53193" s="135"/>
      <c r="U53193" s="135"/>
    </row>
    <row r="53194" spans="20:21" ht="15" customHeight="1" x14ac:dyDescent="0.25">
      <c r="T53194" s="135"/>
      <c r="U53194" s="135"/>
    </row>
    <row r="53195" spans="20:21" ht="15" customHeight="1" x14ac:dyDescent="0.25">
      <c r="T53195" s="135"/>
      <c r="U53195" s="135"/>
    </row>
    <row r="53196" spans="20:21" ht="15" customHeight="1" x14ac:dyDescent="0.25">
      <c r="T53196" s="135"/>
      <c r="U53196" s="135"/>
    </row>
    <row r="53197" spans="20:21" ht="15" customHeight="1" x14ac:dyDescent="0.25">
      <c r="T53197" s="135"/>
      <c r="U53197" s="135"/>
    </row>
    <row r="53198" spans="20:21" ht="15" customHeight="1" x14ac:dyDescent="0.25">
      <c r="T53198" s="135"/>
      <c r="U53198" s="135"/>
    </row>
    <row r="53199" spans="20:21" ht="15" customHeight="1" x14ac:dyDescent="0.25">
      <c r="T53199" s="135"/>
      <c r="U53199" s="135"/>
    </row>
    <row r="53200" spans="20:21" ht="15" customHeight="1" x14ac:dyDescent="0.25">
      <c r="T53200" s="135"/>
      <c r="U53200" s="135"/>
    </row>
    <row r="53201" spans="20:21" ht="15" customHeight="1" x14ac:dyDescent="0.25">
      <c r="T53201" s="135"/>
      <c r="U53201" s="135"/>
    </row>
    <row r="53202" spans="20:21" ht="15" customHeight="1" x14ac:dyDescent="0.25">
      <c r="T53202" s="135"/>
      <c r="U53202" s="135"/>
    </row>
    <row r="53203" spans="20:21" ht="15" customHeight="1" x14ac:dyDescent="0.25">
      <c r="T53203" s="135"/>
      <c r="U53203" s="135"/>
    </row>
    <row r="53204" spans="20:21" ht="15" customHeight="1" x14ac:dyDescent="0.25">
      <c r="T53204" s="135"/>
      <c r="U53204" s="135"/>
    </row>
    <row r="53205" spans="20:21" ht="15" customHeight="1" x14ac:dyDescent="0.25">
      <c r="T53205" s="135"/>
      <c r="U53205" s="135"/>
    </row>
    <row r="53206" spans="20:21" ht="15" customHeight="1" x14ac:dyDescent="0.25">
      <c r="T53206" s="135"/>
      <c r="U53206" s="135"/>
    </row>
    <row r="53207" spans="20:21" ht="15" customHeight="1" x14ac:dyDescent="0.25">
      <c r="T53207" s="135"/>
      <c r="U53207" s="135"/>
    </row>
    <row r="53208" spans="20:21" ht="15" customHeight="1" x14ac:dyDescent="0.25">
      <c r="T53208" s="135"/>
      <c r="U53208" s="135"/>
    </row>
    <row r="53209" spans="20:21" ht="15" customHeight="1" x14ac:dyDescent="0.25">
      <c r="T53209" s="135"/>
      <c r="U53209" s="135"/>
    </row>
    <row r="53210" spans="20:21" ht="15" customHeight="1" x14ac:dyDescent="0.25">
      <c r="T53210" s="135"/>
      <c r="U53210" s="135"/>
    </row>
    <row r="53211" spans="20:21" ht="15" customHeight="1" x14ac:dyDescent="0.25">
      <c r="T53211" s="135"/>
      <c r="U53211" s="135"/>
    </row>
    <row r="53212" spans="20:21" ht="15" customHeight="1" x14ac:dyDescent="0.25">
      <c r="T53212" s="135"/>
      <c r="U53212" s="135"/>
    </row>
    <row r="53213" spans="20:21" ht="15" customHeight="1" x14ac:dyDescent="0.25">
      <c r="T53213" s="135"/>
      <c r="U53213" s="135"/>
    </row>
    <row r="53214" spans="20:21" ht="15" customHeight="1" x14ac:dyDescent="0.25">
      <c r="T53214" s="135"/>
      <c r="U53214" s="135"/>
    </row>
    <row r="53215" spans="20:21" ht="15" customHeight="1" x14ac:dyDescent="0.25">
      <c r="T53215" s="135"/>
      <c r="U53215" s="135"/>
    </row>
    <row r="53216" spans="20:21" ht="15" customHeight="1" x14ac:dyDescent="0.25">
      <c r="T53216" s="135"/>
      <c r="U53216" s="135"/>
    </row>
    <row r="53217" spans="20:21" ht="15" customHeight="1" x14ac:dyDescent="0.25">
      <c r="T53217" s="135"/>
      <c r="U53217" s="135"/>
    </row>
    <row r="53218" spans="20:21" ht="15" customHeight="1" x14ac:dyDescent="0.25">
      <c r="T53218" s="135"/>
      <c r="U53218" s="135"/>
    </row>
    <row r="53219" spans="20:21" ht="15" customHeight="1" x14ac:dyDescent="0.25">
      <c r="T53219" s="135"/>
      <c r="U53219" s="135"/>
    </row>
    <row r="53220" spans="20:21" ht="15" customHeight="1" x14ac:dyDescent="0.25">
      <c r="T53220" s="135"/>
      <c r="U53220" s="135"/>
    </row>
    <row r="53221" spans="20:21" ht="15" customHeight="1" x14ac:dyDescent="0.25">
      <c r="T53221" s="135"/>
      <c r="U53221" s="135"/>
    </row>
    <row r="53222" spans="20:21" ht="15" customHeight="1" x14ac:dyDescent="0.25">
      <c r="T53222" s="135"/>
      <c r="U53222" s="135"/>
    </row>
    <row r="53223" spans="20:21" ht="15" customHeight="1" x14ac:dyDescent="0.25">
      <c r="T53223" s="135"/>
      <c r="U53223" s="135"/>
    </row>
    <row r="53224" spans="20:21" ht="15" customHeight="1" x14ac:dyDescent="0.25">
      <c r="T53224" s="135"/>
      <c r="U53224" s="135"/>
    </row>
    <row r="53225" spans="20:21" ht="15" customHeight="1" x14ac:dyDescent="0.25">
      <c r="T53225" s="135"/>
      <c r="U53225" s="135"/>
    </row>
    <row r="53226" spans="20:21" ht="15" customHeight="1" x14ac:dyDescent="0.25">
      <c r="T53226" s="135"/>
      <c r="U53226" s="135"/>
    </row>
    <row r="53227" spans="20:21" ht="15" customHeight="1" x14ac:dyDescent="0.25">
      <c r="T53227" s="135"/>
      <c r="U53227" s="135"/>
    </row>
    <row r="53228" spans="20:21" ht="15" customHeight="1" x14ac:dyDescent="0.25">
      <c r="T53228" s="135"/>
      <c r="U53228" s="135"/>
    </row>
    <row r="53229" spans="20:21" ht="15" customHeight="1" x14ac:dyDescent="0.25">
      <c r="T53229" s="135"/>
      <c r="U53229" s="135"/>
    </row>
    <row r="53230" spans="20:21" ht="15" customHeight="1" x14ac:dyDescent="0.25">
      <c r="T53230" s="135"/>
      <c r="U53230" s="135"/>
    </row>
    <row r="53231" spans="20:21" ht="15" customHeight="1" x14ac:dyDescent="0.25">
      <c r="T53231" s="135"/>
      <c r="U53231" s="135"/>
    </row>
    <row r="53232" spans="20:21" ht="15" customHeight="1" x14ac:dyDescent="0.25">
      <c r="T53232" s="135"/>
      <c r="U53232" s="135"/>
    </row>
    <row r="53233" spans="20:21" ht="15" customHeight="1" x14ac:dyDescent="0.25">
      <c r="T53233" s="135"/>
      <c r="U53233" s="135"/>
    </row>
    <row r="53234" spans="20:21" ht="15" customHeight="1" x14ac:dyDescent="0.25">
      <c r="T53234" s="135"/>
      <c r="U53234" s="135"/>
    </row>
    <row r="53235" spans="20:21" ht="15" customHeight="1" x14ac:dyDescent="0.25">
      <c r="T53235" s="135"/>
      <c r="U53235" s="135"/>
    </row>
    <row r="53236" spans="20:21" ht="15" customHeight="1" x14ac:dyDescent="0.25">
      <c r="T53236" s="135"/>
      <c r="U53236" s="135"/>
    </row>
    <row r="53237" spans="20:21" ht="15" customHeight="1" x14ac:dyDescent="0.25">
      <c r="T53237" s="135"/>
      <c r="U53237" s="135"/>
    </row>
    <row r="53238" spans="20:21" ht="15" customHeight="1" x14ac:dyDescent="0.25">
      <c r="T53238" s="135"/>
      <c r="U53238" s="135"/>
    </row>
    <row r="53239" spans="20:21" ht="15" customHeight="1" x14ac:dyDescent="0.25">
      <c r="T53239" s="135"/>
      <c r="U53239" s="135"/>
    </row>
    <row r="53240" spans="20:21" ht="15" customHeight="1" x14ac:dyDescent="0.25">
      <c r="T53240" s="135"/>
      <c r="U53240" s="135"/>
    </row>
    <row r="53241" spans="20:21" ht="15" customHeight="1" x14ac:dyDescent="0.25">
      <c r="T53241" s="135"/>
      <c r="U53241" s="135"/>
    </row>
    <row r="53242" spans="20:21" ht="15" customHeight="1" x14ac:dyDescent="0.25">
      <c r="T53242" s="135"/>
      <c r="U53242" s="135"/>
    </row>
    <row r="53243" spans="20:21" ht="15" customHeight="1" x14ac:dyDescent="0.25">
      <c r="T53243" s="135"/>
      <c r="U53243" s="135"/>
    </row>
    <row r="53244" spans="20:21" ht="15" customHeight="1" x14ac:dyDescent="0.25">
      <c r="T53244" s="135"/>
      <c r="U53244" s="135"/>
    </row>
    <row r="53245" spans="20:21" ht="15" customHeight="1" x14ac:dyDescent="0.25">
      <c r="T53245" s="135"/>
      <c r="U53245" s="135"/>
    </row>
    <row r="53246" spans="20:21" ht="15" customHeight="1" x14ac:dyDescent="0.25">
      <c r="T53246" s="135"/>
      <c r="U53246" s="135"/>
    </row>
    <row r="53247" spans="20:21" ht="15" customHeight="1" x14ac:dyDescent="0.25">
      <c r="T53247" s="135"/>
      <c r="U53247" s="135"/>
    </row>
    <row r="53248" spans="20:21" ht="15" customHeight="1" x14ac:dyDescent="0.25">
      <c r="T53248" s="135"/>
      <c r="U53248" s="135"/>
    </row>
    <row r="53249" spans="20:21" ht="15" customHeight="1" x14ac:dyDescent="0.25">
      <c r="T53249" s="135"/>
      <c r="U53249" s="135"/>
    </row>
    <row r="53250" spans="20:21" ht="15" customHeight="1" x14ac:dyDescent="0.25">
      <c r="T53250" s="135"/>
      <c r="U53250" s="135"/>
    </row>
    <row r="53251" spans="20:21" ht="15" customHeight="1" x14ac:dyDescent="0.25">
      <c r="T53251" s="135"/>
      <c r="U53251" s="135"/>
    </row>
    <row r="53252" spans="20:21" ht="15" customHeight="1" x14ac:dyDescent="0.25">
      <c r="T53252" s="135"/>
      <c r="U53252" s="135"/>
    </row>
    <row r="53253" spans="20:21" ht="15" customHeight="1" x14ac:dyDescent="0.25">
      <c r="T53253" s="135"/>
      <c r="U53253" s="135"/>
    </row>
    <row r="53254" spans="20:21" ht="15" customHeight="1" x14ac:dyDescent="0.25">
      <c r="T53254" s="135"/>
      <c r="U53254" s="135"/>
    </row>
    <row r="53255" spans="20:21" ht="15" customHeight="1" x14ac:dyDescent="0.25">
      <c r="T53255" s="135"/>
      <c r="U53255" s="135"/>
    </row>
    <row r="53256" spans="20:21" ht="15" customHeight="1" x14ac:dyDescent="0.25">
      <c r="T53256" s="135"/>
      <c r="U53256" s="135"/>
    </row>
    <row r="53257" spans="20:21" ht="15" customHeight="1" x14ac:dyDescent="0.25">
      <c r="T53257" s="135"/>
      <c r="U53257" s="135"/>
    </row>
    <row r="53258" spans="20:21" ht="15" customHeight="1" x14ac:dyDescent="0.25">
      <c r="T53258" s="135"/>
      <c r="U53258" s="135"/>
    </row>
    <row r="53259" spans="20:21" ht="15" customHeight="1" x14ac:dyDescent="0.25">
      <c r="T53259" s="135"/>
      <c r="U53259" s="135"/>
    </row>
    <row r="53260" spans="20:21" ht="15" customHeight="1" x14ac:dyDescent="0.25">
      <c r="T53260" s="135"/>
      <c r="U53260" s="135"/>
    </row>
    <row r="53261" spans="20:21" ht="15" customHeight="1" x14ac:dyDescent="0.25">
      <c r="T53261" s="135"/>
      <c r="U53261" s="135"/>
    </row>
    <row r="53262" spans="20:21" ht="15" customHeight="1" x14ac:dyDescent="0.25">
      <c r="T53262" s="135"/>
      <c r="U53262" s="135"/>
    </row>
    <row r="53263" spans="20:21" ht="15" customHeight="1" x14ac:dyDescent="0.25">
      <c r="T53263" s="135"/>
      <c r="U53263" s="135"/>
    </row>
    <row r="53264" spans="20:21" ht="15" customHeight="1" x14ac:dyDescent="0.25">
      <c r="T53264" s="135"/>
      <c r="U53264" s="135"/>
    </row>
    <row r="53265" spans="20:21" ht="15" customHeight="1" x14ac:dyDescent="0.25">
      <c r="T53265" s="135"/>
      <c r="U53265" s="135"/>
    </row>
    <row r="53266" spans="20:21" ht="15" customHeight="1" x14ac:dyDescent="0.25">
      <c r="T53266" s="135"/>
      <c r="U53266" s="135"/>
    </row>
    <row r="53267" spans="20:21" ht="15" customHeight="1" x14ac:dyDescent="0.25">
      <c r="T53267" s="135"/>
      <c r="U53267" s="135"/>
    </row>
    <row r="53268" spans="20:21" ht="15" customHeight="1" x14ac:dyDescent="0.25">
      <c r="T53268" s="135"/>
      <c r="U53268" s="135"/>
    </row>
    <row r="53269" spans="20:21" ht="15" customHeight="1" x14ac:dyDescent="0.25">
      <c r="T53269" s="135"/>
      <c r="U53269" s="135"/>
    </row>
    <row r="53270" spans="20:21" ht="15" customHeight="1" x14ac:dyDescent="0.25">
      <c r="T53270" s="135"/>
      <c r="U53270" s="135"/>
    </row>
    <row r="53271" spans="20:21" ht="15" customHeight="1" x14ac:dyDescent="0.25">
      <c r="T53271" s="135"/>
      <c r="U53271" s="135"/>
    </row>
    <row r="53272" spans="20:21" ht="15" customHeight="1" x14ac:dyDescent="0.25">
      <c r="T53272" s="135"/>
      <c r="U53272" s="135"/>
    </row>
    <row r="53273" spans="20:21" ht="15" customHeight="1" x14ac:dyDescent="0.25">
      <c r="T53273" s="135"/>
      <c r="U53273" s="135"/>
    </row>
    <row r="53274" spans="20:21" ht="15" customHeight="1" x14ac:dyDescent="0.25">
      <c r="T53274" s="135"/>
      <c r="U53274" s="135"/>
    </row>
    <row r="53275" spans="20:21" ht="15" customHeight="1" x14ac:dyDescent="0.25">
      <c r="T53275" s="135"/>
      <c r="U53275" s="135"/>
    </row>
    <row r="53276" spans="20:21" ht="15" customHeight="1" x14ac:dyDescent="0.25">
      <c r="T53276" s="135"/>
      <c r="U53276" s="135"/>
    </row>
    <row r="53277" spans="20:21" ht="15" customHeight="1" x14ac:dyDescent="0.25">
      <c r="T53277" s="135"/>
      <c r="U53277" s="135"/>
    </row>
    <row r="53278" spans="20:21" ht="15" customHeight="1" x14ac:dyDescent="0.25">
      <c r="T53278" s="135"/>
      <c r="U53278" s="135"/>
    </row>
    <row r="53279" spans="20:21" ht="15" customHeight="1" x14ac:dyDescent="0.25">
      <c r="T53279" s="135"/>
      <c r="U53279" s="135"/>
    </row>
    <row r="53280" spans="20:21" ht="15" customHeight="1" x14ac:dyDescent="0.25">
      <c r="T53280" s="135"/>
      <c r="U53280" s="135"/>
    </row>
    <row r="53281" spans="20:21" ht="15" customHeight="1" x14ac:dyDescent="0.25">
      <c r="T53281" s="135"/>
      <c r="U53281" s="135"/>
    </row>
    <row r="53282" spans="20:21" ht="15" customHeight="1" x14ac:dyDescent="0.25">
      <c r="T53282" s="135"/>
      <c r="U53282" s="135"/>
    </row>
    <row r="53283" spans="20:21" ht="15" customHeight="1" x14ac:dyDescent="0.25">
      <c r="T53283" s="135"/>
      <c r="U53283" s="135"/>
    </row>
    <row r="53284" spans="20:21" ht="15" customHeight="1" x14ac:dyDescent="0.25">
      <c r="T53284" s="135"/>
      <c r="U53284" s="135"/>
    </row>
    <row r="53285" spans="20:21" ht="15" customHeight="1" x14ac:dyDescent="0.25">
      <c r="T53285" s="135"/>
      <c r="U53285" s="135"/>
    </row>
    <row r="53286" spans="20:21" ht="15" customHeight="1" x14ac:dyDescent="0.25">
      <c r="T53286" s="135"/>
      <c r="U53286" s="135"/>
    </row>
    <row r="53287" spans="20:21" ht="15" customHeight="1" x14ac:dyDescent="0.25">
      <c r="T53287" s="135"/>
      <c r="U53287" s="135"/>
    </row>
    <row r="53288" spans="20:21" ht="15" customHeight="1" x14ac:dyDescent="0.25">
      <c r="T53288" s="135"/>
      <c r="U53288" s="135"/>
    </row>
    <row r="53289" spans="20:21" ht="15" customHeight="1" x14ac:dyDescent="0.25">
      <c r="T53289" s="135"/>
      <c r="U53289" s="135"/>
    </row>
    <row r="53290" spans="20:21" ht="15" customHeight="1" x14ac:dyDescent="0.25">
      <c r="T53290" s="135"/>
      <c r="U53290" s="135"/>
    </row>
    <row r="53291" spans="20:21" ht="15" customHeight="1" x14ac:dyDescent="0.25">
      <c r="T53291" s="135"/>
      <c r="U53291" s="135"/>
    </row>
    <row r="53292" spans="20:21" ht="15" customHeight="1" x14ac:dyDescent="0.25">
      <c r="T53292" s="135"/>
      <c r="U53292" s="135"/>
    </row>
    <row r="53293" spans="20:21" ht="15" customHeight="1" x14ac:dyDescent="0.25">
      <c r="T53293" s="135"/>
      <c r="U53293" s="135"/>
    </row>
    <row r="53294" spans="20:21" ht="15" customHeight="1" x14ac:dyDescent="0.25">
      <c r="T53294" s="135"/>
      <c r="U53294" s="135"/>
    </row>
    <row r="53295" spans="20:21" ht="15" customHeight="1" x14ac:dyDescent="0.25">
      <c r="T53295" s="135"/>
      <c r="U53295" s="135"/>
    </row>
    <row r="53296" spans="20:21" ht="15" customHeight="1" x14ac:dyDescent="0.25">
      <c r="T53296" s="135"/>
      <c r="U53296" s="135"/>
    </row>
    <row r="53297" spans="20:21" ht="15" customHeight="1" x14ac:dyDescent="0.25">
      <c r="T53297" s="135"/>
      <c r="U53297" s="135"/>
    </row>
    <row r="53298" spans="20:21" ht="15" customHeight="1" x14ac:dyDescent="0.25">
      <c r="T53298" s="135"/>
      <c r="U53298" s="135"/>
    </row>
    <row r="53299" spans="20:21" ht="15" customHeight="1" x14ac:dyDescent="0.25">
      <c r="T53299" s="135"/>
      <c r="U53299" s="135"/>
    </row>
    <row r="53300" spans="20:21" ht="15" customHeight="1" x14ac:dyDescent="0.25">
      <c r="T53300" s="135"/>
      <c r="U53300" s="135"/>
    </row>
    <row r="53301" spans="20:21" ht="15" customHeight="1" x14ac:dyDescent="0.25">
      <c r="T53301" s="135"/>
      <c r="U53301" s="135"/>
    </row>
    <row r="53302" spans="20:21" ht="15" customHeight="1" x14ac:dyDescent="0.25">
      <c r="T53302" s="135"/>
      <c r="U53302" s="135"/>
    </row>
    <row r="53303" spans="20:21" ht="15" customHeight="1" x14ac:dyDescent="0.25">
      <c r="T53303" s="135"/>
      <c r="U53303" s="135"/>
    </row>
    <row r="53304" spans="20:21" ht="15" customHeight="1" x14ac:dyDescent="0.25">
      <c r="T53304" s="135"/>
      <c r="U53304" s="135"/>
    </row>
    <row r="53305" spans="20:21" ht="15" customHeight="1" x14ac:dyDescent="0.25">
      <c r="T53305" s="135"/>
      <c r="U53305" s="135"/>
    </row>
    <row r="53306" spans="20:21" ht="15" customHeight="1" x14ac:dyDescent="0.25">
      <c r="T53306" s="135"/>
      <c r="U53306" s="135"/>
    </row>
    <row r="53307" spans="20:21" ht="15" customHeight="1" x14ac:dyDescent="0.25">
      <c r="T53307" s="135"/>
      <c r="U53307" s="135"/>
    </row>
    <row r="53308" spans="20:21" ht="15" customHeight="1" x14ac:dyDescent="0.25">
      <c r="T53308" s="135"/>
      <c r="U53308" s="135"/>
    </row>
    <row r="53309" spans="20:21" ht="15" customHeight="1" x14ac:dyDescent="0.25">
      <c r="T53309" s="135"/>
      <c r="U53309" s="135"/>
    </row>
    <row r="53310" spans="20:21" ht="15" customHeight="1" x14ac:dyDescent="0.25">
      <c r="T53310" s="135"/>
      <c r="U53310" s="135"/>
    </row>
    <row r="53311" spans="20:21" ht="15" customHeight="1" x14ac:dyDescent="0.25">
      <c r="T53311" s="135"/>
      <c r="U53311" s="135"/>
    </row>
    <row r="53312" spans="20:21" ht="15" customHeight="1" x14ac:dyDescent="0.25">
      <c r="T53312" s="135"/>
      <c r="U53312" s="135"/>
    </row>
    <row r="53313" spans="20:21" ht="15" customHeight="1" x14ac:dyDescent="0.25">
      <c r="T53313" s="135"/>
      <c r="U53313" s="135"/>
    </row>
    <row r="53314" spans="20:21" ht="15" customHeight="1" x14ac:dyDescent="0.25">
      <c r="T53314" s="135"/>
      <c r="U53314" s="135"/>
    </row>
    <row r="53315" spans="20:21" ht="15" customHeight="1" x14ac:dyDescent="0.25">
      <c r="T53315" s="135"/>
      <c r="U53315" s="135"/>
    </row>
    <row r="53316" spans="20:21" ht="15" customHeight="1" x14ac:dyDescent="0.25">
      <c r="T53316" s="135"/>
      <c r="U53316" s="135"/>
    </row>
    <row r="53317" spans="20:21" ht="15" customHeight="1" x14ac:dyDescent="0.25">
      <c r="T53317" s="135"/>
      <c r="U53317" s="135"/>
    </row>
    <row r="53318" spans="20:21" ht="15" customHeight="1" x14ac:dyDescent="0.25">
      <c r="T53318" s="135"/>
      <c r="U53318" s="135"/>
    </row>
    <row r="53319" spans="20:21" ht="15" customHeight="1" x14ac:dyDescent="0.25">
      <c r="T53319" s="135"/>
      <c r="U53319" s="135"/>
    </row>
    <row r="53320" spans="20:21" ht="15" customHeight="1" x14ac:dyDescent="0.25">
      <c r="T53320" s="135"/>
      <c r="U53320" s="135"/>
    </row>
    <row r="53321" spans="20:21" ht="15" customHeight="1" x14ac:dyDescent="0.25">
      <c r="T53321" s="135"/>
      <c r="U53321" s="135"/>
    </row>
    <row r="53322" spans="20:21" ht="15" customHeight="1" x14ac:dyDescent="0.25">
      <c r="T53322" s="135"/>
      <c r="U53322" s="135"/>
    </row>
    <row r="53323" spans="20:21" ht="15" customHeight="1" x14ac:dyDescent="0.25">
      <c r="T53323" s="135"/>
      <c r="U53323" s="135"/>
    </row>
    <row r="53324" spans="20:21" ht="15" customHeight="1" x14ac:dyDescent="0.25">
      <c r="T53324" s="135"/>
      <c r="U53324" s="135"/>
    </row>
    <row r="53325" spans="20:21" ht="15" customHeight="1" x14ac:dyDescent="0.25">
      <c r="T53325" s="135"/>
      <c r="U53325" s="135"/>
    </row>
    <row r="53326" spans="20:21" ht="15" customHeight="1" x14ac:dyDescent="0.25">
      <c r="T53326" s="135"/>
      <c r="U53326" s="135"/>
    </row>
    <row r="53327" spans="20:21" ht="15" customHeight="1" x14ac:dyDescent="0.25">
      <c r="T53327" s="135"/>
      <c r="U53327" s="135"/>
    </row>
    <row r="53328" spans="20:21" ht="15" customHeight="1" x14ac:dyDescent="0.25">
      <c r="T53328" s="135"/>
      <c r="U53328" s="135"/>
    </row>
    <row r="53329" spans="20:21" ht="15" customHeight="1" x14ac:dyDescent="0.25">
      <c r="T53329" s="135"/>
      <c r="U53329" s="135"/>
    </row>
    <row r="53330" spans="20:21" ht="15" customHeight="1" x14ac:dyDescent="0.25">
      <c r="T53330" s="135"/>
      <c r="U53330" s="135"/>
    </row>
    <row r="53331" spans="20:21" ht="15" customHeight="1" x14ac:dyDescent="0.25">
      <c r="T53331" s="135"/>
      <c r="U53331" s="135"/>
    </row>
    <row r="53332" spans="20:21" ht="15" customHeight="1" x14ac:dyDescent="0.25">
      <c r="T53332" s="135"/>
      <c r="U53332" s="135"/>
    </row>
    <row r="53333" spans="20:21" ht="15" customHeight="1" x14ac:dyDescent="0.25">
      <c r="T53333" s="135"/>
      <c r="U53333" s="135"/>
    </row>
    <row r="53334" spans="20:21" ht="15" customHeight="1" x14ac:dyDescent="0.25">
      <c r="T53334" s="135"/>
      <c r="U53334" s="135"/>
    </row>
    <row r="53335" spans="20:21" ht="15" customHeight="1" x14ac:dyDescent="0.25">
      <c r="T53335" s="135"/>
      <c r="U53335" s="135"/>
    </row>
    <row r="53336" spans="20:21" ht="15" customHeight="1" x14ac:dyDescent="0.25">
      <c r="T53336" s="135"/>
      <c r="U53336" s="135"/>
    </row>
    <row r="53337" spans="20:21" ht="15" customHeight="1" x14ac:dyDescent="0.25">
      <c r="T53337" s="135"/>
      <c r="U53337" s="135"/>
    </row>
    <row r="53338" spans="20:21" ht="15" customHeight="1" x14ac:dyDescent="0.25">
      <c r="T53338" s="135"/>
      <c r="U53338" s="135"/>
    </row>
    <row r="53339" spans="20:21" ht="15" customHeight="1" x14ac:dyDescent="0.25">
      <c r="T53339" s="135"/>
      <c r="U53339" s="135"/>
    </row>
    <row r="53340" spans="20:21" ht="15" customHeight="1" x14ac:dyDescent="0.25">
      <c r="T53340" s="135"/>
      <c r="U53340" s="135"/>
    </row>
    <row r="53341" spans="20:21" ht="15" customHeight="1" x14ac:dyDescent="0.25">
      <c r="T53341" s="135"/>
      <c r="U53341" s="135"/>
    </row>
    <row r="53342" spans="20:21" ht="15" customHeight="1" x14ac:dyDescent="0.25">
      <c r="T53342" s="135"/>
      <c r="U53342" s="135"/>
    </row>
    <row r="53343" spans="20:21" ht="15" customHeight="1" x14ac:dyDescent="0.25">
      <c r="T53343" s="135"/>
      <c r="U53343" s="135"/>
    </row>
    <row r="53344" spans="20:21" ht="15" customHeight="1" x14ac:dyDescent="0.25">
      <c r="T53344" s="135"/>
      <c r="U53344" s="135"/>
    </row>
    <row r="53345" spans="20:21" ht="15" customHeight="1" x14ac:dyDescent="0.25">
      <c r="T53345" s="135"/>
      <c r="U53345" s="135"/>
    </row>
    <row r="53346" spans="20:21" ht="15" customHeight="1" x14ac:dyDescent="0.25">
      <c r="T53346" s="135"/>
      <c r="U53346" s="135"/>
    </row>
    <row r="53347" spans="20:21" ht="15" customHeight="1" x14ac:dyDescent="0.25">
      <c r="T53347" s="135"/>
      <c r="U53347" s="135"/>
    </row>
    <row r="53348" spans="20:21" ht="15" customHeight="1" x14ac:dyDescent="0.25">
      <c r="T53348" s="135"/>
      <c r="U53348" s="135"/>
    </row>
    <row r="53349" spans="20:21" ht="15" customHeight="1" x14ac:dyDescent="0.25">
      <c r="T53349" s="135"/>
      <c r="U53349" s="135"/>
    </row>
    <row r="53350" spans="20:21" ht="15" customHeight="1" x14ac:dyDescent="0.25">
      <c r="T53350" s="135"/>
      <c r="U53350" s="135"/>
    </row>
    <row r="53351" spans="20:21" ht="15" customHeight="1" x14ac:dyDescent="0.25">
      <c r="T53351" s="135"/>
      <c r="U53351" s="135"/>
    </row>
    <row r="53352" spans="20:21" ht="15" customHeight="1" x14ac:dyDescent="0.25">
      <c r="T53352" s="135"/>
      <c r="U53352" s="135"/>
    </row>
    <row r="53353" spans="20:21" ht="15" customHeight="1" x14ac:dyDescent="0.25">
      <c r="T53353" s="135"/>
      <c r="U53353" s="135"/>
    </row>
    <row r="53354" spans="20:21" ht="15" customHeight="1" x14ac:dyDescent="0.25">
      <c r="T53354" s="135"/>
      <c r="U53354" s="135"/>
    </row>
    <row r="53355" spans="20:21" ht="15" customHeight="1" x14ac:dyDescent="0.25">
      <c r="T53355" s="135"/>
      <c r="U53355" s="135"/>
    </row>
    <row r="53356" spans="20:21" ht="15" customHeight="1" x14ac:dyDescent="0.25">
      <c r="T53356" s="135"/>
      <c r="U53356" s="135"/>
    </row>
    <row r="53357" spans="20:21" ht="15" customHeight="1" x14ac:dyDescent="0.25">
      <c r="T53357" s="135"/>
      <c r="U53357" s="135"/>
    </row>
    <row r="53358" spans="20:21" ht="15" customHeight="1" x14ac:dyDescent="0.25">
      <c r="T53358" s="135"/>
      <c r="U53358" s="135"/>
    </row>
    <row r="53359" spans="20:21" ht="15" customHeight="1" x14ac:dyDescent="0.25">
      <c r="T53359" s="135"/>
      <c r="U53359" s="135"/>
    </row>
    <row r="53360" spans="20:21" ht="15" customHeight="1" x14ac:dyDescent="0.25">
      <c r="T53360" s="135"/>
      <c r="U53360" s="135"/>
    </row>
    <row r="53361" spans="20:21" ht="15" customHeight="1" x14ac:dyDescent="0.25">
      <c r="T53361" s="135"/>
      <c r="U53361" s="135"/>
    </row>
    <row r="53362" spans="20:21" ht="15" customHeight="1" x14ac:dyDescent="0.25">
      <c r="T53362" s="135"/>
      <c r="U53362" s="135"/>
    </row>
    <row r="53363" spans="20:21" ht="15" customHeight="1" x14ac:dyDescent="0.25">
      <c r="T53363" s="135"/>
      <c r="U53363" s="135"/>
    </row>
    <row r="53364" spans="20:21" ht="15" customHeight="1" x14ac:dyDescent="0.25">
      <c r="T53364" s="135"/>
      <c r="U53364" s="135"/>
    </row>
    <row r="53365" spans="20:21" ht="15" customHeight="1" x14ac:dyDescent="0.25">
      <c r="T53365" s="135"/>
      <c r="U53365" s="135"/>
    </row>
    <row r="53366" spans="20:21" ht="15" customHeight="1" x14ac:dyDescent="0.25">
      <c r="T53366" s="135"/>
      <c r="U53366" s="135"/>
    </row>
    <row r="53367" spans="20:21" ht="15" customHeight="1" x14ac:dyDescent="0.25">
      <c r="T53367" s="135"/>
      <c r="U53367" s="135"/>
    </row>
    <row r="53368" spans="20:21" ht="15" customHeight="1" x14ac:dyDescent="0.25">
      <c r="T53368" s="135"/>
      <c r="U53368" s="135"/>
    </row>
    <row r="53369" spans="20:21" ht="15" customHeight="1" x14ac:dyDescent="0.25">
      <c r="T53369" s="135"/>
      <c r="U53369" s="135"/>
    </row>
    <row r="53370" spans="20:21" ht="15" customHeight="1" x14ac:dyDescent="0.25">
      <c r="T53370" s="135"/>
      <c r="U53370" s="135"/>
    </row>
    <row r="53371" spans="20:21" ht="15" customHeight="1" x14ac:dyDescent="0.25">
      <c r="T53371" s="135"/>
      <c r="U53371" s="135"/>
    </row>
    <row r="53372" spans="20:21" ht="15" customHeight="1" x14ac:dyDescent="0.25">
      <c r="T53372" s="135"/>
      <c r="U53372" s="135"/>
    </row>
    <row r="53373" spans="20:21" ht="15" customHeight="1" x14ac:dyDescent="0.25">
      <c r="T53373" s="135"/>
      <c r="U53373" s="135"/>
    </row>
    <row r="53374" spans="20:21" ht="15" customHeight="1" x14ac:dyDescent="0.25">
      <c r="T53374" s="135"/>
      <c r="U53374" s="135"/>
    </row>
    <row r="53375" spans="20:21" ht="15" customHeight="1" x14ac:dyDescent="0.25">
      <c r="T53375" s="135"/>
      <c r="U53375" s="135"/>
    </row>
    <row r="53376" spans="20:21" ht="15" customHeight="1" x14ac:dyDescent="0.25">
      <c r="T53376" s="135"/>
      <c r="U53376" s="135"/>
    </row>
    <row r="53377" spans="20:21" ht="15" customHeight="1" x14ac:dyDescent="0.25">
      <c r="T53377" s="135"/>
      <c r="U53377" s="135"/>
    </row>
    <row r="53378" spans="20:21" ht="15" customHeight="1" x14ac:dyDescent="0.25">
      <c r="T53378" s="135"/>
      <c r="U53378" s="135"/>
    </row>
    <row r="53379" spans="20:21" ht="15" customHeight="1" x14ac:dyDescent="0.25">
      <c r="T53379" s="135"/>
      <c r="U53379" s="135"/>
    </row>
    <row r="53380" spans="20:21" ht="15" customHeight="1" x14ac:dyDescent="0.25">
      <c r="T53380" s="135"/>
      <c r="U53380" s="135"/>
    </row>
    <row r="53381" spans="20:21" ht="15" customHeight="1" x14ac:dyDescent="0.25">
      <c r="T53381" s="135"/>
      <c r="U53381" s="135"/>
    </row>
    <row r="53382" spans="20:21" ht="15" customHeight="1" x14ac:dyDescent="0.25">
      <c r="T53382" s="135"/>
      <c r="U53382" s="135"/>
    </row>
    <row r="53383" spans="20:21" ht="15" customHeight="1" x14ac:dyDescent="0.25">
      <c r="T53383" s="135"/>
      <c r="U53383" s="135"/>
    </row>
    <row r="53384" spans="20:21" ht="15" customHeight="1" x14ac:dyDescent="0.25">
      <c r="T53384" s="135"/>
      <c r="U53384" s="135"/>
    </row>
    <row r="53385" spans="20:21" ht="15" customHeight="1" x14ac:dyDescent="0.25">
      <c r="T53385" s="135"/>
      <c r="U53385" s="135"/>
    </row>
    <row r="53386" spans="20:21" ht="15" customHeight="1" x14ac:dyDescent="0.25">
      <c r="T53386" s="135"/>
      <c r="U53386" s="135"/>
    </row>
    <row r="53387" spans="20:21" ht="15" customHeight="1" x14ac:dyDescent="0.25">
      <c r="T53387" s="135"/>
      <c r="U53387" s="135"/>
    </row>
    <row r="53388" spans="20:21" ht="15" customHeight="1" x14ac:dyDescent="0.25">
      <c r="T53388" s="135"/>
      <c r="U53388" s="135"/>
    </row>
    <row r="53389" spans="20:21" ht="15" customHeight="1" x14ac:dyDescent="0.25">
      <c r="T53389" s="135"/>
      <c r="U53389" s="135"/>
    </row>
    <row r="53390" spans="20:21" ht="15" customHeight="1" x14ac:dyDescent="0.25">
      <c r="T53390" s="135"/>
      <c r="U53390" s="135"/>
    </row>
    <row r="53391" spans="20:21" ht="15" customHeight="1" x14ac:dyDescent="0.25">
      <c r="T53391" s="135"/>
      <c r="U53391" s="135"/>
    </row>
    <row r="53392" spans="20:21" ht="15" customHeight="1" x14ac:dyDescent="0.25">
      <c r="T53392" s="135"/>
      <c r="U53392" s="135"/>
    </row>
    <row r="53393" spans="20:21" ht="15" customHeight="1" x14ac:dyDescent="0.25">
      <c r="T53393" s="135"/>
      <c r="U53393" s="135"/>
    </row>
    <row r="53394" spans="20:21" ht="15" customHeight="1" x14ac:dyDescent="0.25">
      <c r="T53394" s="135"/>
      <c r="U53394" s="135"/>
    </row>
    <row r="53395" spans="20:21" ht="15" customHeight="1" x14ac:dyDescent="0.25">
      <c r="T53395" s="135"/>
      <c r="U53395" s="135"/>
    </row>
    <row r="53396" spans="20:21" ht="15" customHeight="1" x14ac:dyDescent="0.25">
      <c r="T53396" s="135"/>
      <c r="U53396" s="135"/>
    </row>
    <row r="53397" spans="20:21" ht="15" customHeight="1" x14ac:dyDescent="0.25">
      <c r="T53397" s="135"/>
      <c r="U53397" s="135"/>
    </row>
    <row r="53398" spans="20:21" ht="15" customHeight="1" x14ac:dyDescent="0.25">
      <c r="T53398" s="135"/>
      <c r="U53398" s="135"/>
    </row>
    <row r="53399" spans="20:21" ht="15" customHeight="1" x14ac:dyDescent="0.25">
      <c r="T53399" s="135"/>
      <c r="U53399" s="135"/>
    </row>
    <row r="53400" spans="20:21" ht="15" customHeight="1" x14ac:dyDescent="0.25">
      <c r="T53400" s="135"/>
      <c r="U53400" s="135"/>
    </row>
    <row r="53401" spans="20:21" ht="15" customHeight="1" x14ac:dyDescent="0.25">
      <c r="T53401" s="135"/>
      <c r="U53401" s="135"/>
    </row>
    <row r="53402" spans="20:21" ht="15" customHeight="1" x14ac:dyDescent="0.25">
      <c r="T53402" s="135"/>
      <c r="U53402" s="135"/>
    </row>
    <row r="53403" spans="20:21" ht="15" customHeight="1" x14ac:dyDescent="0.25">
      <c r="T53403" s="135"/>
      <c r="U53403" s="135"/>
    </row>
    <row r="53404" spans="20:21" ht="15" customHeight="1" x14ac:dyDescent="0.25">
      <c r="T53404" s="135"/>
      <c r="U53404" s="135"/>
    </row>
    <row r="53405" spans="20:21" ht="15" customHeight="1" x14ac:dyDescent="0.25">
      <c r="T53405" s="135"/>
      <c r="U53405" s="135"/>
    </row>
    <row r="53406" spans="20:21" ht="15" customHeight="1" x14ac:dyDescent="0.25">
      <c r="T53406" s="135"/>
      <c r="U53406" s="135"/>
    </row>
    <row r="53407" spans="20:21" ht="15" customHeight="1" x14ac:dyDescent="0.25">
      <c r="T53407" s="135"/>
      <c r="U53407" s="135"/>
    </row>
    <row r="53408" spans="20:21" ht="15" customHeight="1" x14ac:dyDescent="0.25">
      <c r="T53408" s="135"/>
      <c r="U53408" s="135"/>
    </row>
    <row r="53409" spans="20:21" ht="15" customHeight="1" x14ac:dyDescent="0.25">
      <c r="T53409" s="135"/>
      <c r="U53409" s="135"/>
    </row>
    <row r="53410" spans="20:21" ht="15" customHeight="1" x14ac:dyDescent="0.25">
      <c r="T53410" s="135"/>
      <c r="U53410" s="135"/>
    </row>
    <row r="53411" spans="20:21" ht="15" customHeight="1" x14ac:dyDescent="0.25">
      <c r="T53411" s="135"/>
      <c r="U53411" s="135"/>
    </row>
    <row r="53412" spans="20:21" ht="15" customHeight="1" x14ac:dyDescent="0.25">
      <c r="T53412" s="135"/>
      <c r="U53412" s="135"/>
    </row>
    <row r="53413" spans="20:21" ht="15" customHeight="1" x14ac:dyDescent="0.25">
      <c r="T53413" s="135"/>
      <c r="U53413" s="135"/>
    </row>
    <row r="53414" spans="20:21" ht="15" customHeight="1" x14ac:dyDescent="0.25">
      <c r="T53414" s="135"/>
      <c r="U53414" s="135"/>
    </row>
    <row r="53415" spans="20:21" ht="15" customHeight="1" x14ac:dyDescent="0.25">
      <c r="T53415" s="135"/>
      <c r="U53415" s="135"/>
    </row>
    <row r="53416" spans="20:21" ht="15" customHeight="1" x14ac:dyDescent="0.25">
      <c r="T53416" s="135"/>
      <c r="U53416" s="135"/>
    </row>
    <row r="53417" spans="20:21" ht="15" customHeight="1" x14ac:dyDescent="0.25">
      <c r="T53417" s="135"/>
      <c r="U53417" s="135"/>
    </row>
    <row r="53418" spans="20:21" ht="15" customHeight="1" x14ac:dyDescent="0.25">
      <c r="T53418" s="135"/>
      <c r="U53418" s="135"/>
    </row>
    <row r="53419" spans="20:21" ht="15" customHeight="1" x14ac:dyDescent="0.25">
      <c r="T53419" s="135"/>
      <c r="U53419" s="135"/>
    </row>
    <row r="53420" spans="20:21" ht="15" customHeight="1" x14ac:dyDescent="0.25">
      <c r="T53420" s="135"/>
      <c r="U53420" s="135"/>
    </row>
    <row r="53421" spans="20:21" ht="15" customHeight="1" x14ac:dyDescent="0.25">
      <c r="T53421" s="135"/>
      <c r="U53421" s="135"/>
    </row>
    <row r="53422" spans="20:21" ht="15" customHeight="1" x14ac:dyDescent="0.25">
      <c r="T53422" s="135"/>
      <c r="U53422" s="135"/>
    </row>
    <row r="53423" spans="20:21" ht="15" customHeight="1" x14ac:dyDescent="0.25">
      <c r="T53423" s="135"/>
      <c r="U53423" s="135"/>
    </row>
    <row r="53424" spans="20:21" ht="15" customHeight="1" x14ac:dyDescent="0.25">
      <c r="T53424" s="135"/>
      <c r="U53424" s="135"/>
    </row>
    <row r="53425" spans="20:21" ht="15" customHeight="1" x14ac:dyDescent="0.25">
      <c r="T53425" s="135"/>
      <c r="U53425" s="135"/>
    </row>
    <row r="53426" spans="20:21" ht="15" customHeight="1" x14ac:dyDescent="0.25">
      <c r="T53426" s="135"/>
      <c r="U53426" s="135"/>
    </row>
    <row r="53427" spans="20:21" ht="15" customHeight="1" x14ac:dyDescent="0.25">
      <c r="T53427" s="135"/>
      <c r="U53427" s="135"/>
    </row>
    <row r="53428" spans="20:21" ht="15" customHeight="1" x14ac:dyDescent="0.25">
      <c r="T53428" s="135"/>
      <c r="U53428" s="135"/>
    </row>
    <row r="53429" spans="20:21" ht="15" customHeight="1" x14ac:dyDescent="0.25">
      <c r="T53429" s="135"/>
      <c r="U53429" s="135"/>
    </row>
    <row r="53430" spans="20:21" ht="15" customHeight="1" x14ac:dyDescent="0.25">
      <c r="T53430" s="135"/>
      <c r="U53430" s="135"/>
    </row>
    <row r="53431" spans="20:21" ht="15" customHeight="1" x14ac:dyDescent="0.25">
      <c r="T53431" s="135"/>
      <c r="U53431" s="135"/>
    </row>
    <row r="53432" spans="20:21" ht="15" customHeight="1" x14ac:dyDescent="0.25">
      <c r="T53432" s="135"/>
      <c r="U53432" s="135"/>
    </row>
    <row r="53433" spans="20:21" ht="15" customHeight="1" x14ac:dyDescent="0.25">
      <c r="T53433" s="135"/>
      <c r="U53433" s="135"/>
    </row>
    <row r="53434" spans="20:21" ht="15" customHeight="1" x14ac:dyDescent="0.25">
      <c r="T53434" s="135"/>
      <c r="U53434" s="135"/>
    </row>
    <row r="53435" spans="20:21" ht="15" customHeight="1" x14ac:dyDescent="0.25">
      <c r="T53435" s="135"/>
      <c r="U53435" s="135"/>
    </row>
    <row r="53436" spans="20:21" ht="15" customHeight="1" x14ac:dyDescent="0.25">
      <c r="T53436" s="135"/>
      <c r="U53436" s="135"/>
    </row>
    <row r="53437" spans="20:21" ht="15" customHeight="1" x14ac:dyDescent="0.25">
      <c r="T53437" s="135"/>
      <c r="U53437" s="135"/>
    </row>
    <row r="53438" spans="20:21" ht="15" customHeight="1" x14ac:dyDescent="0.25">
      <c r="T53438" s="135"/>
      <c r="U53438" s="135"/>
    </row>
    <row r="53439" spans="20:21" ht="15" customHeight="1" x14ac:dyDescent="0.25">
      <c r="T53439" s="135"/>
      <c r="U53439" s="135"/>
    </row>
    <row r="53440" spans="20:21" ht="15" customHeight="1" x14ac:dyDescent="0.25">
      <c r="T53440" s="135"/>
      <c r="U53440" s="135"/>
    </row>
    <row r="53441" spans="20:21" ht="15" customHeight="1" x14ac:dyDescent="0.25">
      <c r="T53441" s="135"/>
      <c r="U53441" s="135"/>
    </row>
    <row r="53442" spans="20:21" ht="15" customHeight="1" x14ac:dyDescent="0.25">
      <c r="T53442" s="135"/>
      <c r="U53442" s="135"/>
    </row>
    <row r="53443" spans="20:21" ht="15" customHeight="1" x14ac:dyDescent="0.25">
      <c r="T53443" s="135"/>
      <c r="U53443" s="135"/>
    </row>
    <row r="53444" spans="20:21" ht="15" customHeight="1" x14ac:dyDescent="0.25">
      <c r="T53444" s="135"/>
      <c r="U53444" s="135"/>
    </row>
    <row r="53445" spans="20:21" ht="15" customHeight="1" x14ac:dyDescent="0.25">
      <c r="T53445" s="135"/>
      <c r="U53445" s="135"/>
    </row>
    <row r="53446" spans="20:21" ht="15" customHeight="1" x14ac:dyDescent="0.25">
      <c r="T53446" s="135"/>
      <c r="U53446" s="135"/>
    </row>
    <row r="53447" spans="20:21" ht="15" customHeight="1" x14ac:dyDescent="0.25">
      <c r="T53447" s="135"/>
      <c r="U53447" s="135"/>
    </row>
    <row r="53448" spans="20:21" ht="15" customHeight="1" x14ac:dyDescent="0.25">
      <c r="T53448" s="135"/>
      <c r="U53448" s="135"/>
    </row>
    <row r="53449" spans="20:21" ht="15" customHeight="1" x14ac:dyDescent="0.25">
      <c r="T53449" s="135"/>
      <c r="U53449" s="135"/>
    </row>
    <row r="53450" spans="20:21" ht="15" customHeight="1" x14ac:dyDescent="0.25">
      <c r="T53450" s="135"/>
      <c r="U53450" s="135"/>
    </row>
    <row r="53451" spans="20:21" ht="15" customHeight="1" x14ac:dyDescent="0.25">
      <c r="T53451" s="135"/>
      <c r="U53451" s="135"/>
    </row>
    <row r="53452" spans="20:21" ht="15" customHeight="1" x14ac:dyDescent="0.25">
      <c r="T53452" s="135"/>
      <c r="U53452" s="135"/>
    </row>
    <row r="53453" spans="20:21" ht="15" customHeight="1" x14ac:dyDescent="0.25">
      <c r="T53453" s="135"/>
      <c r="U53453" s="135"/>
    </row>
    <row r="53454" spans="20:21" ht="15" customHeight="1" x14ac:dyDescent="0.25">
      <c r="T53454" s="135"/>
      <c r="U53454" s="135"/>
    </row>
    <row r="53455" spans="20:21" ht="15" customHeight="1" x14ac:dyDescent="0.25">
      <c r="T53455" s="135"/>
      <c r="U53455" s="135"/>
    </row>
    <row r="53456" spans="20:21" ht="15" customHeight="1" x14ac:dyDescent="0.25">
      <c r="T53456" s="135"/>
      <c r="U53456" s="135"/>
    </row>
    <row r="53457" spans="20:21" ht="15" customHeight="1" x14ac:dyDescent="0.25">
      <c r="T53457" s="135"/>
      <c r="U53457" s="135"/>
    </row>
    <row r="53458" spans="20:21" ht="15" customHeight="1" x14ac:dyDescent="0.25">
      <c r="T53458" s="135"/>
      <c r="U53458" s="135"/>
    </row>
    <row r="53459" spans="20:21" ht="15" customHeight="1" x14ac:dyDescent="0.25">
      <c r="T53459" s="135"/>
      <c r="U53459" s="135"/>
    </row>
    <row r="53460" spans="20:21" ht="15" customHeight="1" x14ac:dyDescent="0.25">
      <c r="T53460" s="135"/>
      <c r="U53460" s="135"/>
    </row>
    <row r="53461" spans="20:21" ht="15" customHeight="1" x14ac:dyDescent="0.25">
      <c r="T53461" s="135"/>
      <c r="U53461" s="135"/>
    </row>
    <row r="53462" spans="20:21" ht="15" customHeight="1" x14ac:dyDescent="0.25">
      <c r="T53462" s="135"/>
      <c r="U53462" s="135"/>
    </row>
    <row r="53463" spans="20:21" ht="15" customHeight="1" x14ac:dyDescent="0.25">
      <c r="T53463" s="135"/>
      <c r="U53463" s="135"/>
    </row>
    <row r="53464" spans="20:21" ht="15" customHeight="1" x14ac:dyDescent="0.25">
      <c r="T53464" s="135"/>
      <c r="U53464" s="135"/>
    </row>
    <row r="53465" spans="20:21" ht="15" customHeight="1" x14ac:dyDescent="0.25">
      <c r="T53465" s="135"/>
      <c r="U53465" s="135"/>
    </row>
    <row r="53466" spans="20:21" ht="15" customHeight="1" x14ac:dyDescent="0.25">
      <c r="T53466" s="135"/>
      <c r="U53466" s="135"/>
    </row>
    <row r="53467" spans="20:21" ht="15" customHeight="1" x14ac:dyDescent="0.25">
      <c r="T53467" s="135"/>
      <c r="U53467" s="135"/>
    </row>
    <row r="53468" spans="20:21" ht="15" customHeight="1" x14ac:dyDescent="0.25">
      <c r="T53468" s="135"/>
      <c r="U53468" s="135"/>
    </row>
    <row r="53469" spans="20:21" ht="15" customHeight="1" x14ac:dyDescent="0.25">
      <c r="T53469" s="135"/>
      <c r="U53469" s="135"/>
    </row>
    <row r="53470" spans="20:21" ht="15" customHeight="1" x14ac:dyDescent="0.25">
      <c r="T53470" s="135"/>
      <c r="U53470" s="135"/>
    </row>
    <row r="53471" spans="20:21" ht="15" customHeight="1" x14ac:dyDescent="0.25">
      <c r="T53471" s="135"/>
      <c r="U53471" s="135"/>
    </row>
    <row r="53472" spans="20:21" ht="15" customHeight="1" x14ac:dyDescent="0.25">
      <c r="T53472" s="135"/>
      <c r="U53472" s="135"/>
    </row>
    <row r="53473" spans="20:21" ht="15" customHeight="1" x14ac:dyDescent="0.25">
      <c r="T53473" s="135"/>
      <c r="U53473" s="135"/>
    </row>
    <row r="53474" spans="20:21" ht="15" customHeight="1" x14ac:dyDescent="0.25">
      <c r="T53474" s="135"/>
      <c r="U53474" s="135"/>
    </row>
    <row r="53475" spans="20:21" ht="15" customHeight="1" x14ac:dyDescent="0.25">
      <c r="T53475" s="135"/>
      <c r="U53475" s="135"/>
    </row>
    <row r="53476" spans="20:21" ht="15" customHeight="1" x14ac:dyDescent="0.25">
      <c r="T53476" s="135"/>
      <c r="U53476" s="135"/>
    </row>
    <row r="53477" spans="20:21" ht="15" customHeight="1" x14ac:dyDescent="0.25">
      <c r="T53477" s="135"/>
      <c r="U53477" s="135"/>
    </row>
    <row r="53478" spans="20:21" ht="15" customHeight="1" x14ac:dyDescent="0.25">
      <c r="T53478" s="135"/>
      <c r="U53478" s="135"/>
    </row>
    <row r="53479" spans="20:21" ht="15" customHeight="1" x14ac:dyDescent="0.25">
      <c r="T53479" s="135"/>
      <c r="U53479" s="135"/>
    </row>
    <row r="53480" spans="20:21" ht="15" customHeight="1" x14ac:dyDescent="0.25">
      <c r="T53480" s="135"/>
      <c r="U53480" s="135"/>
    </row>
    <row r="53481" spans="20:21" ht="15" customHeight="1" x14ac:dyDescent="0.25">
      <c r="T53481" s="135"/>
      <c r="U53481" s="135"/>
    </row>
    <row r="53482" spans="20:21" ht="15" customHeight="1" x14ac:dyDescent="0.25">
      <c r="T53482" s="135"/>
      <c r="U53482" s="135"/>
    </row>
    <row r="53483" spans="20:21" ht="15" customHeight="1" x14ac:dyDescent="0.25">
      <c r="T53483" s="135"/>
      <c r="U53483" s="135"/>
    </row>
    <row r="53484" spans="20:21" ht="15" customHeight="1" x14ac:dyDescent="0.25">
      <c r="T53484" s="135"/>
      <c r="U53484" s="135"/>
    </row>
    <row r="53485" spans="20:21" ht="15" customHeight="1" x14ac:dyDescent="0.25">
      <c r="T53485" s="135"/>
      <c r="U53485" s="135"/>
    </row>
    <row r="53486" spans="20:21" ht="15" customHeight="1" x14ac:dyDescent="0.25">
      <c r="T53486" s="135"/>
      <c r="U53486" s="135"/>
    </row>
    <row r="53487" spans="20:21" ht="15" customHeight="1" x14ac:dyDescent="0.25">
      <c r="T53487" s="135"/>
      <c r="U53487" s="135"/>
    </row>
    <row r="53488" spans="20:21" ht="15" customHeight="1" x14ac:dyDescent="0.25">
      <c r="T53488" s="135"/>
      <c r="U53488" s="135"/>
    </row>
    <row r="53489" spans="20:21" ht="15" customHeight="1" x14ac:dyDescent="0.25">
      <c r="T53489" s="135"/>
      <c r="U53489" s="135"/>
    </row>
    <row r="53490" spans="20:21" ht="15" customHeight="1" x14ac:dyDescent="0.25">
      <c r="T53490" s="135"/>
      <c r="U53490" s="135"/>
    </row>
    <row r="53491" spans="20:21" ht="15" customHeight="1" x14ac:dyDescent="0.25">
      <c r="T53491" s="135"/>
      <c r="U53491" s="135"/>
    </row>
    <row r="53492" spans="20:21" ht="15" customHeight="1" x14ac:dyDescent="0.25">
      <c r="T53492" s="135"/>
      <c r="U53492" s="135"/>
    </row>
    <row r="53493" spans="20:21" ht="15" customHeight="1" x14ac:dyDescent="0.25">
      <c r="T53493" s="135"/>
      <c r="U53493" s="135"/>
    </row>
    <row r="53494" spans="20:21" ht="15" customHeight="1" x14ac:dyDescent="0.25">
      <c r="T53494" s="135"/>
      <c r="U53494" s="135"/>
    </row>
    <row r="53495" spans="20:21" ht="15" customHeight="1" x14ac:dyDescent="0.25">
      <c r="T53495" s="135"/>
      <c r="U53495" s="135"/>
    </row>
    <row r="53496" spans="20:21" ht="15" customHeight="1" x14ac:dyDescent="0.25">
      <c r="T53496" s="135"/>
      <c r="U53496" s="135"/>
    </row>
    <row r="53497" spans="20:21" ht="15" customHeight="1" x14ac:dyDescent="0.25">
      <c r="T53497" s="135"/>
      <c r="U53497" s="135"/>
    </row>
    <row r="53498" spans="20:21" ht="15" customHeight="1" x14ac:dyDescent="0.25">
      <c r="T53498" s="135"/>
      <c r="U53498" s="135"/>
    </row>
    <row r="53499" spans="20:21" ht="15" customHeight="1" x14ac:dyDescent="0.25">
      <c r="T53499" s="135"/>
      <c r="U53499" s="135"/>
    </row>
    <row r="53500" spans="20:21" ht="15" customHeight="1" x14ac:dyDescent="0.25">
      <c r="T53500" s="135"/>
      <c r="U53500" s="135"/>
    </row>
    <row r="53501" spans="20:21" ht="15" customHeight="1" x14ac:dyDescent="0.25">
      <c r="T53501" s="135"/>
      <c r="U53501" s="135"/>
    </row>
    <row r="53502" spans="20:21" ht="15" customHeight="1" x14ac:dyDescent="0.25">
      <c r="T53502" s="135"/>
      <c r="U53502" s="135"/>
    </row>
    <row r="53503" spans="20:21" ht="15" customHeight="1" x14ac:dyDescent="0.25">
      <c r="T53503" s="135"/>
      <c r="U53503" s="135"/>
    </row>
    <row r="53504" spans="20:21" ht="15" customHeight="1" x14ac:dyDescent="0.25">
      <c r="T53504" s="135"/>
      <c r="U53504" s="135"/>
    </row>
    <row r="53505" spans="20:21" ht="15" customHeight="1" x14ac:dyDescent="0.25">
      <c r="T53505" s="135"/>
      <c r="U53505" s="135"/>
    </row>
    <row r="53506" spans="20:21" ht="15" customHeight="1" x14ac:dyDescent="0.25">
      <c r="T53506" s="135"/>
      <c r="U53506" s="135"/>
    </row>
    <row r="53507" spans="20:21" ht="15" customHeight="1" x14ac:dyDescent="0.25">
      <c r="T53507" s="135"/>
      <c r="U53507" s="135"/>
    </row>
    <row r="53508" spans="20:21" ht="15" customHeight="1" x14ac:dyDescent="0.25">
      <c r="T53508" s="135"/>
      <c r="U53508" s="135"/>
    </row>
    <row r="53509" spans="20:21" ht="15" customHeight="1" x14ac:dyDescent="0.25">
      <c r="T53509" s="135"/>
      <c r="U53509" s="135"/>
    </row>
    <row r="53510" spans="20:21" ht="15" customHeight="1" x14ac:dyDescent="0.25">
      <c r="T53510" s="135"/>
      <c r="U53510" s="135"/>
    </row>
    <row r="53511" spans="20:21" ht="15" customHeight="1" x14ac:dyDescent="0.25">
      <c r="T53511" s="135"/>
      <c r="U53511" s="135"/>
    </row>
    <row r="53512" spans="20:21" ht="15" customHeight="1" x14ac:dyDescent="0.25">
      <c r="T53512" s="135"/>
      <c r="U53512" s="135"/>
    </row>
    <row r="53513" spans="20:21" ht="15" customHeight="1" x14ac:dyDescent="0.25">
      <c r="T53513" s="135"/>
      <c r="U53513" s="135"/>
    </row>
    <row r="53514" spans="20:21" ht="15" customHeight="1" x14ac:dyDescent="0.25">
      <c r="T53514" s="135"/>
      <c r="U53514" s="135"/>
    </row>
    <row r="53515" spans="20:21" ht="15" customHeight="1" x14ac:dyDescent="0.25">
      <c r="T53515" s="135"/>
      <c r="U53515" s="135"/>
    </row>
    <row r="53516" spans="20:21" ht="15" customHeight="1" x14ac:dyDescent="0.25">
      <c r="T53516" s="135"/>
      <c r="U53516" s="135"/>
    </row>
    <row r="53517" spans="20:21" ht="15" customHeight="1" x14ac:dyDescent="0.25">
      <c r="T53517" s="135"/>
      <c r="U53517" s="135"/>
    </row>
    <row r="53518" spans="20:21" ht="15" customHeight="1" x14ac:dyDescent="0.25">
      <c r="T53518" s="135"/>
      <c r="U53518" s="135"/>
    </row>
    <row r="53519" spans="20:21" ht="15" customHeight="1" x14ac:dyDescent="0.25">
      <c r="T53519" s="135"/>
      <c r="U53519" s="135"/>
    </row>
    <row r="53520" spans="20:21" ht="15" customHeight="1" x14ac:dyDescent="0.25">
      <c r="T53520" s="135"/>
      <c r="U53520" s="135"/>
    </row>
    <row r="53521" spans="20:21" ht="15" customHeight="1" x14ac:dyDescent="0.25">
      <c r="T53521" s="135"/>
      <c r="U53521" s="135"/>
    </row>
    <row r="53522" spans="20:21" ht="15" customHeight="1" x14ac:dyDescent="0.25">
      <c r="T53522" s="135"/>
      <c r="U53522" s="135"/>
    </row>
    <row r="53523" spans="20:21" ht="15" customHeight="1" x14ac:dyDescent="0.25">
      <c r="T53523" s="135"/>
      <c r="U53523" s="135"/>
    </row>
    <row r="53524" spans="20:21" ht="15" customHeight="1" x14ac:dyDescent="0.25">
      <c r="T53524" s="135"/>
      <c r="U53524" s="135"/>
    </row>
    <row r="53525" spans="20:21" ht="15" customHeight="1" x14ac:dyDescent="0.25">
      <c r="T53525" s="135"/>
      <c r="U53525" s="135"/>
    </row>
    <row r="53526" spans="20:21" ht="15" customHeight="1" x14ac:dyDescent="0.25">
      <c r="T53526" s="135"/>
      <c r="U53526" s="135"/>
    </row>
    <row r="53527" spans="20:21" ht="15" customHeight="1" x14ac:dyDescent="0.25">
      <c r="T53527" s="135"/>
      <c r="U53527" s="135"/>
    </row>
    <row r="53528" spans="20:21" ht="15" customHeight="1" x14ac:dyDescent="0.25">
      <c r="T53528" s="135"/>
      <c r="U53528" s="135"/>
    </row>
    <row r="53529" spans="20:21" ht="15" customHeight="1" x14ac:dyDescent="0.25">
      <c r="T53529" s="135"/>
      <c r="U53529" s="135"/>
    </row>
    <row r="53530" spans="20:21" ht="15" customHeight="1" x14ac:dyDescent="0.25">
      <c r="T53530" s="135"/>
      <c r="U53530" s="135"/>
    </row>
    <row r="53531" spans="20:21" ht="15" customHeight="1" x14ac:dyDescent="0.25">
      <c r="T53531" s="135"/>
      <c r="U53531" s="135"/>
    </row>
    <row r="53532" spans="20:21" ht="15" customHeight="1" x14ac:dyDescent="0.25">
      <c r="T53532" s="135"/>
      <c r="U53532" s="135"/>
    </row>
    <row r="53533" spans="20:21" ht="15" customHeight="1" x14ac:dyDescent="0.25">
      <c r="T53533" s="135"/>
      <c r="U53533" s="135"/>
    </row>
    <row r="53534" spans="20:21" ht="15" customHeight="1" x14ac:dyDescent="0.25">
      <c r="T53534" s="135"/>
      <c r="U53534" s="135"/>
    </row>
    <row r="53535" spans="20:21" ht="15" customHeight="1" x14ac:dyDescent="0.25">
      <c r="T53535" s="135"/>
      <c r="U53535" s="135"/>
    </row>
    <row r="53536" spans="20:21" ht="15" customHeight="1" x14ac:dyDescent="0.25">
      <c r="T53536" s="135"/>
      <c r="U53536" s="135"/>
    </row>
    <row r="53537" spans="20:21" ht="15" customHeight="1" x14ac:dyDescent="0.25">
      <c r="T53537" s="135"/>
      <c r="U53537" s="135"/>
    </row>
    <row r="53538" spans="20:21" ht="15" customHeight="1" x14ac:dyDescent="0.25">
      <c r="T53538" s="135"/>
      <c r="U53538" s="135"/>
    </row>
    <row r="53539" spans="20:21" ht="15" customHeight="1" x14ac:dyDescent="0.25">
      <c r="T53539" s="135"/>
      <c r="U53539" s="135"/>
    </row>
    <row r="53540" spans="20:21" ht="15" customHeight="1" x14ac:dyDescent="0.25">
      <c r="T53540" s="135"/>
      <c r="U53540" s="135"/>
    </row>
    <row r="53541" spans="20:21" ht="15" customHeight="1" x14ac:dyDescent="0.25">
      <c r="T53541" s="135"/>
      <c r="U53541" s="135"/>
    </row>
    <row r="53542" spans="20:21" ht="15" customHeight="1" x14ac:dyDescent="0.25">
      <c r="T53542" s="135"/>
      <c r="U53542" s="135"/>
    </row>
    <row r="53543" spans="20:21" ht="15" customHeight="1" x14ac:dyDescent="0.25">
      <c r="T53543" s="135"/>
      <c r="U53543" s="135"/>
    </row>
    <row r="53544" spans="20:21" ht="15" customHeight="1" x14ac:dyDescent="0.25">
      <c r="T53544" s="135"/>
      <c r="U53544" s="135"/>
    </row>
    <row r="53545" spans="20:21" ht="15" customHeight="1" x14ac:dyDescent="0.25">
      <c r="T53545" s="135"/>
      <c r="U53545" s="135"/>
    </row>
    <row r="53546" spans="20:21" ht="15" customHeight="1" x14ac:dyDescent="0.25">
      <c r="T53546" s="135"/>
      <c r="U53546" s="135"/>
    </row>
    <row r="53547" spans="20:21" ht="15" customHeight="1" x14ac:dyDescent="0.25">
      <c r="T53547" s="135"/>
      <c r="U53547" s="135"/>
    </row>
    <row r="53548" spans="20:21" ht="15" customHeight="1" x14ac:dyDescent="0.25">
      <c r="T53548" s="135"/>
      <c r="U53548" s="135"/>
    </row>
    <row r="53549" spans="20:21" ht="15" customHeight="1" x14ac:dyDescent="0.25">
      <c r="T53549" s="135"/>
      <c r="U53549" s="135"/>
    </row>
    <row r="53550" spans="20:21" ht="15" customHeight="1" x14ac:dyDescent="0.25">
      <c r="T53550" s="135"/>
      <c r="U53550" s="135"/>
    </row>
    <row r="53551" spans="20:21" ht="15" customHeight="1" x14ac:dyDescent="0.25">
      <c r="T53551" s="135"/>
      <c r="U53551" s="135"/>
    </row>
    <row r="53552" spans="20:21" ht="15" customHeight="1" x14ac:dyDescent="0.25">
      <c r="T53552" s="135"/>
      <c r="U53552" s="135"/>
    </row>
    <row r="53553" spans="20:21" ht="15" customHeight="1" x14ac:dyDescent="0.25">
      <c r="T53553" s="135"/>
      <c r="U53553" s="135"/>
    </row>
    <row r="53554" spans="20:21" ht="15" customHeight="1" x14ac:dyDescent="0.25">
      <c r="T53554" s="135"/>
      <c r="U53554" s="135"/>
    </row>
    <row r="53555" spans="20:21" ht="15" customHeight="1" x14ac:dyDescent="0.25">
      <c r="T53555" s="135"/>
      <c r="U53555" s="135"/>
    </row>
    <row r="53556" spans="20:21" ht="15" customHeight="1" x14ac:dyDescent="0.25">
      <c r="T53556" s="135"/>
      <c r="U53556" s="135"/>
    </row>
    <row r="53557" spans="20:21" ht="15" customHeight="1" x14ac:dyDescent="0.25">
      <c r="T53557" s="135"/>
      <c r="U53557" s="135"/>
    </row>
    <row r="53558" spans="20:21" ht="15" customHeight="1" x14ac:dyDescent="0.25">
      <c r="T53558" s="135"/>
      <c r="U53558" s="135"/>
    </row>
    <row r="53559" spans="20:21" ht="15" customHeight="1" x14ac:dyDescent="0.25">
      <c r="T53559" s="135"/>
      <c r="U53559" s="135"/>
    </row>
    <row r="53560" spans="20:21" ht="15" customHeight="1" x14ac:dyDescent="0.25">
      <c r="T53560" s="135"/>
      <c r="U53560" s="135"/>
    </row>
    <row r="53561" spans="20:21" ht="15" customHeight="1" x14ac:dyDescent="0.25">
      <c r="T53561" s="135"/>
      <c r="U53561" s="135"/>
    </row>
    <row r="53562" spans="20:21" ht="15" customHeight="1" x14ac:dyDescent="0.25">
      <c r="T53562" s="135"/>
      <c r="U53562" s="135"/>
    </row>
    <row r="53563" spans="20:21" ht="15" customHeight="1" x14ac:dyDescent="0.25">
      <c r="T53563" s="135"/>
      <c r="U53563" s="135"/>
    </row>
    <row r="53564" spans="20:21" ht="15" customHeight="1" x14ac:dyDescent="0.25">
      <c r="T53564" s="135"/>
      <c r="U53564" s="135"/>
    </row>
    <row r="53565" spans="20:21" ht="15" customHeight="1" x14ac:dyDescent="0.25">
      <c r="T53565" s="135"/>
      <c r="U53565" s="135"/>
    </row>
    <row r="53566" spans="20:21" ht="15" customHeight="1" x14ac:dyDescent="0.25">
      <c r="T53566" s="135"/>
      <c r="U53566" s="135"/>
    </row>
    <row r="53567" spans="20:21" ht="15" customHeight="1" x14ac:dyDescent="0.25">
      <c r="T53567" s="135"/>
      <c r="U53567" s="135"/>
    </row>
    <row r="53568" spans="20:21" ht="15" customHeight="1" x14ac:dyDescent="0.25">
      <c r="T53568" s="135"/>
      <c r="U53568" s="135"/>
    </row>
    <row r="53569" spans="20:21" ht="15" customHeight="1" x14ac:dyDescent="0.25">
      <c r="T53569" s="135"/>
      <c r="U53569" s="135"/>
    </row>
    <row r="53570" spans="20:21" ht="15" customHeight="1" x14ac:dyDescent="0.25">
      <c r="T53570" s="135"/>
      <c r="U53570" s="135"/>
    </row>
    <row r="53571" spans="20:21" ht="15" customHeight="1" x14ac:dyDescent="0.25">
      <c r="T53571" s="135"/>
      <c r="U53571" s="135"/>
    </row>
    <row r="53572" spans="20:21" ht="15" customHeight="1" x14ac:dyDescent="0.25">
      <c r="T53572" s="135"/>
      <c r="U53572" s="135"/>
    </row>
    <row r="53573" spans="20:21" ht="15" customHeight="1" x14ac:dyDescent="0.25">
      <c r="T53573" s="135"/>
      <c r="U53573" s="135"/>
    </row>
    <row r="53574" spans="20:21" ht="15" customHeight="1" x14ac:dyDescent="0.25">
      <c r="T53574" s="135"/>
      <c r="U53574" s="135"/>
    </row>
    <row r="53575" spans="20:21" ht="15" customHeight="1" x14ac:dyDescent="0.25">
      <c r="T53575" s="135"/>
      <c r="U53575" s="135"/>
    </row>
    <row r="53576" spans="20:21" ht="15" customHeight="1" x14ac:dyDescent="0.25">
      <c r="T53576" s="135"/>
      <c r="U53576" s="135"/>
    </row>
    <row r="53577" spans="20:21" ht="15" customHeight="1" x14ac:dyDescent="0.25">
      <c r="T53577" s="135"/>
      <c r="U53577" s="135"/>
    </row>
    <row r="53578" spans="20:21" ht="15" customHeight="1" x14ac:dyDescent="0.25">
      <c r="T53578" s="135"/>
      <c r="U53578" s="135"/>
    </row>
    <row r="53579" spans="20:21" ht="15" customHeight="1" x14ac:dyDescent="0.25">
      <c r="T53579" s="135"/>
      <c r="U53579" s="135"/>
    </row>
    <row r="53580" spans="20:21" ht="15" customHeight="1" x14ac:dyDescent="0.25">
      <c r="T53580" s="135"/>
      <c r="U53580" s="135"/>
    </row>
    <row r="53581" spans="20:21" ht="15" customHeight="1" x14ac:dyDescent="0.25">
      <c r="T53581" s="135"/>
      <c r="U53581" s="135"/>
    </row>
    <row r="53582" spans="20:21" ht="15" customHeight="1" x14ac:dyDescent="0.25">
      <c r="T53582" s="135"/>
      <c r="U53582" s="135"/>
    </row>
    <row r="53583" spans="20:21" ht="15" customHeight="1" x14ac:dyDescent="0.25">
      <c r="T53583" s="135"/>
      <c r="U53583" s="135"/>
    </row>
    <row r="53584" spans="20:21" ht="15" customHeight="1" x14ac:dyDescent="0.25">
      <c r="T53584" s="135"/>
      <c r="U53584" s="135"/>
    </row>
    <row r="53585" spans="20:21" ht="15" customHeight="1" x14ac:dyDescent="0.25">
      <c r="T53585" s="135"/>
      <c r="U53585" s="135"/>
    </row>
    <row r="53586" spans="20:21" ht="15" customHeight="1" x14ac:dyDescent="0.25">
      <c r="T53586" s="135"/>
      <c r="U53586" s="135"/>
    </row>
    <row r="53587" spans="20:21" ht="15" customHeight="1" x14ac:dyDescent="0.25">
      <c r="T53587" s="135"/>
      <c r="U53587" s="135"/>
    </row>
    <row r="53588" spans="20:21" ht="15" customHeight="1" x14ac:dyDescent="0.25">
      <c r="T53588" s="135"/>
      <c r="U53588" s="135"/>
    </row>
    <row r="53589" spans="20:21" ht="15" customHeight="1" x14ac:dyDescent="0.25">
      <c r="T53589" s="135"/>
      <c r="U53589" s="135"/>
    </row>
    <row r="53590" spans="20:21" ht="15" customHeight="1" x14ac:dyDescent="0.25">
      <c r="T53590" s="135"/>
      <c r="U53590" s="135"/>
    </row>
    <row r="53591" spans="20:21" ht="15" customHeight="1" x14ac:dyDescent="0.25">
      <c r="T53591" s="135"/>
      <c r="U53591" s="135"/>
    </row>
    <row r="53592" spans="20:21" ht="15" customHeight="1" x14ac:dyDescent="0.25">
      <c r="T53592" s="135"/>
      <c r="U53592" s="135"/>
    </row>
    <row r="53593" spans="20:21" ht="15" customHeight="1" x14ac:dyDescent="0.25">
      <c r="T53593" s="135"/>
      <c r="U53593" s="135"/>
    </row>
    <row r="53594" spans="20:21" ht="15" customHeight="1" x14ac:dyDescent="0.25">
      <c r="T53594" s="135"/>
      <c r="U53594" s="135"/>
    </row>
    <row r="53595" spans="20:21" ht="15" customHeight="1" x14ac:dyDescent="0.25">
      <c r="T53595" s="135"/>
      <c r="U53595" s="135"/>
    </row>
    <row r="53596" spans="20:21" ht="15" customHeight="1" x14ac:dyDescent="0.25">
      <c r="T53596" s="135"/>
      <c r="U53596" s="135"/>
    </row>
    <row r="53597" spans="20:21" ht="15" customHeight="1" x14ac:dyDescent="0.25">
      <c r="T53597" s="135"/>
      <c r="U53597" s="135"/>
    </row>
    <row r="53598" spans="20:21" ht="15" customHeight="1" x14ac:dyDescent="0.25">
      <c r="T53598" s="135"/>
      <c r="U53598" s="135"/>
    </row>
    <row r="53599" spans="20:21" ht="15" customHeight="1" x14ac:dyDescent="0.25">
      <c r="T53599" s="135"/>
      <c r="U53599" s="135"/>
    </row>
    <row r="53600" spans="20:21" ht="15" customHeight="1" x14ac:dyDescent="0.25">
      <c r="T53600" s="135"/>
      <c r="U53600" s="135"/>
    </row>
    <row r="53601" spans="20:21" ht="15" customHeight="1" x14ac:dyDescent="0.25">
      <c r="T53601" s="135"/>
      <c r="U53601" s="135"/>
    </row>
    <row r="53602" spans="20:21" ht="15" customHeight="1" x14ac:dyDescent="0.25">
      <c r="T53602" s="135"/>
      <c r="U53602" s="135"/>
    </row>
    <row r="53603" spans="20:21" ht="15" customHeight="1" x14ac:dyDescent="0.25">
      <c r="T53603" s="135"/>
      <c r="U53603" s="135"/>
    </row>
    <row r="53604" spans="20:21" ht="15" customHeight="1" x14ac:dyDescent="0.25">
      <c r="T53604" s="135"/>
      <c r="U53604" s="135"/>
    </row>
    <row r="53605" spans="20:21" ht="15" customHeight="1" x14ac:dyDescent="0.25">
      <c r="T53605" s="135"/>
      <c r="U53605" s="135"/>
    </row>
    <row r="53606" spans="20:21" ht="15" customHeight="1" x14ac:dyDescent="0.25">
      <c r="T53606" s="135"/>
      <c r="U53606" s="135"/>
    </row>
    <row r="53607" spans="20:21" ht="15" customHeight="1" x14ac:dyDescent="0.25">
      <c r="T53607" s="135"/>
      <c r="U53607" s="135"/>
    </row>
    <row r="53608" spans="20:21" ht="15" customHeight="1" x14ac:dyDescent="0.25">
      <c r="T53608" s="135"/>
      <c r="U53608" s="135"/>
    </row>
    <row r="53609" spans="20:21" ht="15" customHeight="1" x14ac:dyDescent="0.25">
      <c r="T53609" s="135"/>
      <c r="U53609" s="135"/>
    </row>
    <row r="53610" spans="20:21" ht="15" customHeight="1" x14ac:dyDescent="0.25">
      <c r="T53610" s="135"/>
      <c r="U53610" s="135"/>
    </row>
    <row r="53611" spans="20:21" ht="15" customHeight="1" x14ac:dyDescent="0.25">
      <c r="T53611" s="135"/>
      <c r="U53611" s="135"/>
    </row>
    <row r="53612" spans="20:21" ht="15" customHeight="1" x14ac:dyDescent="0.25">
      <c r="T53612" s="135"/>
      <c r="U53612" s="135"/>
    </row>
    <row r="53613" spans="20:21" ht="15" customHeight="1" x14ac:dyDescent="0.25">
      <c r="T53613" s="135"/>
      <c r="U53613" s="135"/>
    </row>
    <row r="53614" spans="20:21" ht="15" customHeight="1" x14ac:dyDescent="0.25">
      <c r="T53614" s="135"/>
      <c r="U53614" s="135"/>
    </row>
    <row r="53615" spans="20:21" ht="15" customHeight="1" x14ac:dyDescent="0.25">
      <c r="T53615" s="135"/>
      <c r="U53615" s="135"/>
    </row>
    <row r="53616" spans="20:21" ht="15" customHeight="1" x14ac:dyDescent="0.25">
      <c r="T53616" s="135"/>
      <c r="U53616" s="135"/>
    </row>
    <row r="53617" spans="20:21" ht="15" customHeight="1" x14ac:dyDescent="0.25">
      <c r="T53617" s="135"/>
      <c r="U53617" s="135"/>
    </row>
    <row r="53618" spans="20:21" ht="15" customHeight="1" x14ac:dyDescent="0.25">
      <c r="T53618" s="135"/>
      <c r="U53618" s="135"/>
    </row>
    <row r="53619" spans="20:21" ht="15" customHeight="1" x14ac:dyDescent="0.25">
      <c r="T53619" s="135"/>
      <c r="U53619" s="135"/>
    </row>
    <row r="53620" spans="20:21" ht="15" customHeight="1" x14ac:dyDescent="0.25">
      <c r="T53620" s="135"/>
      <c r="U53620" s="135"/>
    </row>
    <row r="53621" spans="20:21" ht="15" customHeight="1" x14ac:dyDescent="0.25">
      <c r="T53621" s="135"/>
      <c r="U53621" s="135"/>
    </row>
    <row r="53622" spans="20:21" ht="15" customHeight="1" x14ac:dyDescent="0.25">
      <c r="T53622" s="135"/>
      <c r="U53622" s="135"/>
    </row>
    <row r="53623" spans="20:21" ht="15" customHeight="1" x14ac:dyDescent="0.25">
      <c r="T53623" s="135"/>
      <c r="U53623" s="135"/>
    </row>
    <row r="53624" spans="20:21" ht="15" customHeight="1" x14ac:dyDescent="0.25">
      <c r="T53624" s="135"/>
      <c r="U53624" s="135"/>
    </row>
    <row r="53625" spans="20:21" ht="15" customHeight="1" x14ac:dyDescent="0.25">
      <c r="T53625" s="135"/>
      <c r="U53625" s="135"/>
    </row>
    <row r="53626" spans="20:21" ht="15" customHeight="1" x14ac:dyDescent="0.25">
      <c r="T53626" s="135"/>
      <c r="U53626" s="135"/>
    </row>
    <row r="53627" spans="20:21" ht="15" customHeight="1" x14ac:dyDescent="0.25">
      <c r="T53627" s="135"/>
      <c r="U53627" s="135"/>
    </row>
    <row r="53628" spans="20:21" ht="15" customHeight="1" x14ac:dyDescent="0.25">
      <c r="T53628" s="135"/>
      <c r="U53628" s="135"/>
    </row>
    <row r="53629" spans="20:21" ht="15" customHeight="1" x14ac:dyDescent="0.25">
      <c r="T53629" s="135"/>
      <c r="U53629" s="135"/>
    </row>
    <row r="53630" spans="20:21" ht="15" customHeight="1" x14ac:dyDescent="0.25">
      <c r="T53630" s="135"/>
      <c r="U53630" s="135"/>
    </row>
    <row r="53631" spans="20:21" ht="15" customHeight="1" x14ac:dyDescent="0.25">
      <c r="T53631" s="135"/>
      <c r="U53631" s="135"/>
    </row>
    <row r="53632" spans="20:21" ht="15" customHeight="1" x14ac:dyDescent="0.25">
      <c r="T53632" s="135"/>
      <c r="U53632" s="135"/>
    </row>
    <row r="53633" spans="20:21" ht="15" customHeight="1" x14ac:dyDescent="0.25">
      <c r="T53633" s="135"/>
      <c r="U53633" s="135"/>
    </row>
    <row r="53634" spans="20:21" ht="15" customHeight="1" x14ac:dyDescent="0.25">
      <c r="T53634" s="135"/>
      <c r="U53634" s="135"/>
    </row>
    <row r="53635" spans="20:21" ht="15" customHeight="1" x14ac:dyDescent="0.25">
      <c r="T53635" s="135"/>
      <c r="U53635" s="135"/>
    </row>
    <row r="53636" spans="20:21" ht="15" customHeight="1" x14ac:dyDescent="0.25">
      <c r="T53636" s="135"/>
      <c r="U53636" s="135"/>
    </row>
    <row r="53637" spans="20:21" ht="15" customHeight="1" x14ac:dyDescent="0.25">
      <c r="T53637" s="135"/>
      <c r="U53637" s="135"/>
    </row>
    <row r="53638" spans="20:21" ht="15" customHeight="1" x14ac:dyDescent="0.25">
      <c r="T53638" s="135"/>
      <c r="U53638" s="135"/>
    </row>
    <row r="53639" spans="20:21" ht="15" customHeight="1" x14ac:dyDescent="0.25">
      <c r="T53639" s="135"/>
      <c r="U53639" s="135"/>
    </row>
    <row r="53640" spans="20:21" ht="15" customHeight="1" x14ac:dyDescent="0.25">
      <c r="T53640" s="135"/>
      <c r="U53640" s="135"/>
    </row>
    <row r="53641" spans="20:21" ht="15" customHeight="1" x14ac:dyDescent="0.25">
      <c r="T53641" s="135"/>
      <c r="U53641" s="135"/>
    </row>
    <row r="53642" spans="20:21" ht="15" customHeight="1" x14ac:dyDescent="0.25">
      <c r="T53642" s="135"/>
      <c r="U53642" s="135"/>
    </row>
    <row r="53643" spans="20:21" ht="15" customHeight="1" x14ac:dyDescent="0.25">
      <c r="T53643" s="135"/>
      <c r="U53643" s="135"/>
    </row>
    <row r="53644" spans="20:21" ht="15" customHeight="1" x14ac:dyDescent="0.25">
      <c r="T53644" s="135"/>
      <c r="U53644" s="135"/>
    </row>
    <row r="53645" spans="20:21" ht="15" customHeight="1" x14ac:dyDescent="0.25">
      <c r="T53645" s="135"/>
      <c r="U53645" s="135"/>
    </row>
    <row r="53646" spans="20:21" ht="15" customHeight="1" x14ac:dyDescent="0.25">
      <c r="T53646" s="135"/>
      <c r="U53646" s="135"/>
    </row>
    <row r="53647" spans="20:21" ht="15" customHeight="1" x14ac:dyDescent="0.25">
      <c r="T53647" s="135"/>
      <c r="U53647" s="135"/>
    </row>
    <row r="53648" spans="20:21" ht="15" customHeight="1" x14ac:dyDescent="0.25">
      <c r="T53648" s="135"/>
      <c r="U53648" s="135"/>
    </row>
    <row r="53649" spans="20:21" ht="15" customHeight="1" x14ac:dyDescent="0.25">
      <c r="T53649" s="135"/>
      <c r="U53649" s="135"/>
    </row>
    <row r="53650" spans="20:21" ht="15" customHeight="1" x14ac:dyDescent="0.25">
      <c r="T53650" s="135"/>
      <c r="U53650" s="135"/>
    </row>
    <row r="53651" spans="20:21" ht="15" customHeight="1" x14ac:dyDescent="0.25">
      <c r="T53651" s="135"/>
      <c r="U53651" s="135"/>
    </row>
    <row r="53652" spans="20:21" ht="15" customHeight="1" x14ac:dyDescent="0.25">
      <c r="T53652" s="135"/>
      <c r="U53652" s="135"/>
    </row>
    <row r="53653" spans="20:21" ht="15" customHeight="1" x14ac:dyDescent="0.25">
      <c r="T53653" s="135"/>
      <c r="U53653" s="135"/>
    </row>
    <row r="53654" spans="20:21" ht="15" customHeight="1" x14ac:dyDescent="0.25">
      <c r="T53654" s="135"/>
      <c r="U53654" s="135"/>
    </row>
    <row r="53655" spans="20:21" ht="15" customHeight="1" x14ac:dyDescent="0.25">
      <c r="T53655" s="135"/>
      <c r="U53655" s="135"/>
    </row>
    <row r="53656" spans="20:21" ht="15" customHeight="1" x14ac:dyDescent="0.25">
      <c r="T53656" s="135"/>
      <c r="U53656" s="135"/>
    </row>
    <row r="53657" spans="20:21" ht="15" customHeight="1" x14ac:dyDescent="0.25">
      <c r="T53657" s="135"/>
      <c r="U53657" s="135"/>
    </row>
    <row r="53658" spans="20:21" ht="15" customHeight="1" x14ac:dyDescent="0.25">
      <c r="T53658" s="135"/>
      <c r="U53658" s="135"/>
    </row>
    <row r="53659" spans="20:21" ht="15" customHeight="1" x14ac:dyDescent="0.25">
      <c r="T53659" s="135"/>
      <c r="U53659" s="135"/>
    </row>
    <row r="53660" spans="20:21" ht="15" customHeight="1" x14ac:dyDescent="0.25">
      <c r="T53660" s="135"/>
      <c r="U53660" s="135"/>
    </row>
    <row r="53661" spans="20:21" ht="15" customHeight="1" x14ac:dyDescent="0.25">
      <c r="T53661" s="135"/>
      <c r="U53661" s="135"/>
    </row>
    <row r="53662" spans="20:21" ht="15" customHeight="1" x14ac:dyDescent="0.25">
      <c r="T53662" s="135"/>
      <c r="U53662" s="135"/>
    </row>
    <row r="53663" spans="20:21" ht="15" customHeight="1" x14ac:dyDescent="0.25">
      <c r="T53663" s="135"/>
      <c r="U53663" s="135"/>
    </row>
    <row r="53664" spans="20:21" ht="15" customHeight="1" x14ac:dyDescent="0.25">
      <c r="T53664" s="135"/>
      <c r="U53664" s="135"/>
    </row>
    <row r="53665" spans="20:21" ht="15" customHeight="1" x14ac:dyDescent="0.25">
      <c r="T53665" s="135"/>
      <c r="U53665" s="135"/>
    </row>
    <row r="53666" spans="20:21" ht="15" customHeight="1" x14ac:dyDescent="0.25">
      <c r="T53666" s="135"/>
      <c r="U53666" s="135"/>
    </row>
    <row r="53667" spans="20:21" ht="15" customHeight="1" x14ac:dyDescent="0.25">
      <c r="T53667" s="135"/>
      <c r="U53667" s="135"/>
    </row>
    <row r="53668" spans="20:21" ht="15" customHeight="1" x14ac:dyDescent="0.25">
      <c r="T53668" s="135"/>
      <c r="U53668" s="135"/>
    </row>
    <row r="53669" spans="20:21" ht="15" customHeight="1" x14ac:dyDescent="0.25">
      <c r="T53669" s="135"/>
      <c r="U53669" s="135"/>
    </row>
    <row r="53670" spans="20:21" ht="15" customHeight="1" x14ac:dyDescent="0.25">
      <c r="T53670" s="135"/>
      <c r="U53670" s="135"/>
    </row>
    <row r="53671" spans="20:21" ht="15" customHeight="1" x14ac:dyDescent="0.25">
      <c r="T53671" s="135"/>
      <c r="U53671" s="135"/>
    </row>
    <row r="53672" spans="20:21" ht="15" customHeight="1" x14ac:dyDescent="0.25">
      <c r="T53672" s="135"/>
      <c r="U53672" s="135"/>
    </row>
    <row r="53673" spans="20:21" ht="15" customHeight="1" x14ac:dyDescent="0.25">
      <c r="T53673" s="135"/>
      <c r="U53673" s="135"/>
    </row>
    <row r="53674" spans="20:21" ht="15" customHeight="1" x14ac:dyDescent="0.25">
      <c r="T53674" s="135"/>
      <c r="U53674" s="135"/>
    </row>
    <row r="53675" spans="20:21" ht="15" customHeight="1" x14ac:dyDescent="0.25">
      <c r="T53675" s="135"/>
      <c r="U53675" s="135"/>
    </row>
    <row r="53676" spans="20:21" ht="15" customHeight="1" x14ac:dyDescent="0.25">
      <c r="T53676" s="135"/>
      <c r="U53676" s="135"/>
    </row>
    <row r="53677" spans="20:21" ht="15" customHeight="1" x14ac:dyDescent="0.25">
      <c r="T53677" s="135"/>
      <c r="U53677" s="135"/>
    </row>
    <row r="53678" spans="20:21" ht="15" customHeight="1" x14ac:dyDescent="0.25">
      <c r="T53678" s="135"/>
      <c r="U53678" s="135"/>
    </row>
    <row r="53679" spans="20:21" ht="15" customHeight="1" x14ac:dyDescent="0.25">
      <c r="T53679" s="135"/>
      <c r="U53679" s="135"/>
    </row>
    <row r="53680" spans="20:21" ht="15" customHeight="1" x14ac:dyDescent="0.25">
      <c r="T53680" s="135"/>
      <c r="U53680" s="135"/>
    </row>
    <row r="53681" spans="20:21" ht="15" customHeight="1" x14ac:dyDescent="0.25">
      <c r="T53681" s="135"/>
      <c r="U53681" s="135"/>
    </row>
    <row r="53682" spans="20:21" ht="15" customHeight="1" x14ac:dyDescent="0.25">
      <c r="T53682" s="135"/>
      <c r="U53682" s="135"/>
    </row>
    <row r="53683" spans="20:21" ht="15" customHeight="1" x14ac:dyDescent="0.25">
      <c r="T53683" s="135"/>
      <c r="U53683" s="135"/>
    </row>
    <row r="53684" spans="20:21" ht="15" customHeight="1" x14ac:dyDescent="0.25">
      <c r="T53684" s="135"/>
      <c r="U53684" s="135"/>
    </row>
    <row r="53685" spans="20:21" ht="15" customHeight="1" x14ac:dyDescent="0.25">
      <c r="T53685" s="135"/>
      <c r="U53685" s="135"/>
    </row>
    <row r="53686" spans="20:21" ht="15" customHeight="1" x14ac:dyDescent="0.25">
      <c r="T53686" s="135"/>
      <c r="U53686" s="135"/>
    </row>
    <row r="53687" spans="20:21" ht="15" customHeight="1" x14ac:dyDescent="0.25">
      <c r="T53687" s="135"/>
      <c r="U53687" s="135"/>
    </row>
    <row r="53688" spans="20:21" ht="15" customHeight="1" x14ac:dyDescent="0.25">
      <c r="T53688" s="135"/>
      <c r="U53688" s="135"/>
    </row>
    <row r="53689" spans="20:21" ht="15" customHeight="1" x14ac:dyDescent="0.25">
      <c r="T53689" s="135"/>
      <c r="U53689" s="135"/>
    </row>
    <row r="53690" spans="20:21" ht="15" customHeight="1" x14ac:dyDescent="0.25">
      <c r="T53690" s="135"/>
      <c r="U53690" s="135"/>
    </row>
    <row r="53691" spans="20:21" ht="15" customHeight="1" x14ac:dyDescent="0.25">
      <c r="T53691" s="135"/>
      <c r="U53691" s="135"/>
    </row>
    <row r="53692" spans="20:21" ht="15" customHeight="1" x14ac:dyDescent="0.25">
      <c r="T53692" s="135"/>
      <c r="U53692" s="135"/>
    </row>
    <row r="53693" spans="20:21" ht="15" customHeight="1" x14ac:dyDescent="0.25">
      <c r="T53693" s="135"/>
      <c r="U53693" s="135"/>
    </row>
    <row r="53694" spans="20:21" ht="15" customHeight="1" x14ac:dyDescent="0.25">
      <c r="T53694" s="135"/>
      <c r="U53694" s="135"/>
    </row>
    <row r="53695" spans="20:21" ht="15" customHeight="1" x14ac:dyDescent="0.25">
      <c r="T53695" s="135"/>
      <c r="U53695" s="135"/>
    </row>
    <row r="53696" spans="20:21" ht="15" customHeight="1" x14ac:dyDescent="0.25">
      <c r="T53696" s="135"/>
      <c r="U53696" s="135"/>
    </row>
    <row r="53697" spans="20:21" ht="15" customHeight="1" x14ac:dyDescent="0.25">
      <c r="T53697" s="135"/>
      <c r="U53697" s="135"/>
    </row>
    <row r="53698" spans="20:21" ht="15" customHeight="1" x14ac:dyDescent="0.25">
      <c r="T53698" s="135"/>
      <c r="U53698" s="135"/>
    </row>
    <row r="53699" spans="20:21" ht="15" customHeight="1" x14ac:dyDescent="0.25">
      <c r="T53699" s="135"/>
      <c r="U53699" s="135"/>
    </row>
    <row r="53700" spans="20:21" ht="15" customHeight="1" x14ac:dyDescent="0.25">
      <c r="T53700" s="135"/>
      <c r="U53700" s="135"/>
    </row>
    <row r="53701" spans="20:21" ht="15" customHeight="1" x14ac:dyDescent="0.25">
      <c r="T53701" s="135"/>
      <c r="U53701" s="135"/>
    </row>
    <row r="53702" spans="20:21" ht="15" customHeight="1" x14ac:dyDescent="0.25">
      <c r="T53702" s="135"/>
      <c r="U53702" s="135"/>
    </row>
    <row r="53703" spans="20:21" ht="15" customHeight="1" x14ac:dyDescent="0.25">
      <c r="T53703" s="135"/>
      <c r="U53703" s="135"/>
    </row>
    <row r="53704" spans="20:21" ht="15" customHeight="1" x14ac:dyDescent="0.25">
      <c r="T53704" s="135"/>
      <c r="U53704" s="135"/>
    </row>
    <row r="53705" spans="20:21" ht="15" customHeight="1" x14ac:dyDescent="0.25">
      <c r="T53705" s="135"/>
      <c r="U53705" s="135"/>
    </row>
    <row r="53706" spans="20:21" ht="15" customHeight="1" x14ac:dyDescent="0.25">
      <c r="T53706" s="135"/>
      <c r="U53706" s="135"/>
    </row>
    <row r="53707" spans="20:21" ht="15" customHeight="1" x14ac:dyDescent="0.25">
      <c r="T53707" s="135"/>
      <c r="U53707" s="135"/>
    </row>
    <row r="53708" spans="20:21" ht="15" customHeight="1" x14ac:dyDescent="0.25">
      <c r="T53708" s="135"/>
      <c r="U53708" s="135"/>
    </row>
    <row r="53709" spans="20:21" ht="15" customHeight="1" x14ac:dyDescent="0.25">
      <c r="T53709" s="135"/>
      <c r="U53709" s="135"/>
    </row>
    <row r="53710" spans="20:21" ht="15" customHeight="1" x14ac:dyDescent="0.25">
      <c r="T53710" s="135"/>
      <c r="U53710" s="135"/>
    </row>
    <row r="53711" spans="20:21" ht="15" customHeight="1" x14ac:dyDescent="0.25">
      <c r="T53711" s="135"/>
      <c r="U53711" s="135"/>
    </row>
    <row r="53712" spans="20:21" ht="15" customHeight="1" x14ac:dyDescent="0.25">
      <c r="T53712" s="135"/>
      <c r="U53712" s="135"/>
    </row>
    <row r="53713" spans="20:21" ht="15" customHeight="1" x14ac:dyDescent="0.25">
      <c r="T53713" s="135"/>
      <c r="U53713" s="135"/>
    </row>
    <row r="53714" spans="20:21" ht="15" customHeight="1" x14ac:dyDescent="0.25">
      <c r="T53714" s="135"/>
      <c r="U53714" s="135"/>
    </row>
    <row r="53715" spans="20:21" ht="15" customHeight="1" x14ac:dyDescent="0.25">
      <c r="T53715" s="135"/>
      <c r="U53715" s="135"/>
    </row>
    <row r="53716" spans="20:21" ht="15" customHeight="1" x14ac:dyDescent="0.25">
      <c r="T53716" s="135"/>
      <c r="U53716" s="135"/>
    </row>
    <row r="53717" spans="20:21" ht="15" customHeight="1" x14ac:dyDescent="0.25">
      <c r="T53717" s="135"/>
      <c r="U53717" s="135"/>
    </row>
    <row r="53718" spans="20:21" ht="15" customHeight="1" x14ac:dyDescent="0.25">
      <c r="T53718" s="135"/>
      <c r="U53718" s="135"/>
    </row>
    <row r="53719" spans="20:21" ht="15" customHeight="1" x14ac:dyDescent="0.25">
      <c r="T53719" s="135"/>
      <c r="U53719" s="135"/>
    </row>
    <row r="53720" spans="20:21" ht="15" customHeight="1" x14ac:dyDescent="0.25">
      <c r="T53720" s="135"/>
      <c r="U53720" s="135"/>
    </row>
    <row r="53721" spans="20:21" ht="15" customHeight="1" x14ac:dyDescent="0.25">
      <c r="T53721" s="135"/>
      <c r="U53721" s="135"/>
    </row>
    <row r="53722" spans="20:21" ht="15" customHeight="1" x14ac:dyDescent="0.25">
      <c r="T53722" s="135"/>
      <c r="U53722" s="135"/>
    </row>
    <row r="53723" spans="20:21" ht="15" customHeight="1" x14ac:dyDescent="0.25">
      <c r="T53723" s="135"/>
      <c r="U53723" s="135"/>
    </row>
    <row r="53724" spans="20:21" ht="15" customHeight="1" x14ac:dyDescent="0.25">
      <c r="T53724" s="135"/>
      <c r="U53724" s="135"/>
    </row>
    <row r="53725" spans="20:21" ht="15" customHeight="1" x14ac:dyDescent="0.25">
      <c r="T53725" s="135"/>
      <c r="U53725" s="135"/>
    </row>
    <row r="53726" spans="20:21" ht="15" customHeight="1" x14ac:dyDescent="0.25">
      <c r="T53726" s="135"/>
      <c r="U53726" s="135"/>
    </row>
    <row r="53727" spans="20:21" ht="15" customHeight="1" x14ac:dyDescent="0.25">
      <c r="T53727" s="135"/>
      <c r="U53727" s="135"/>
    </row>
    <row r="53728" spans="20:21" ht="15" customHeight="1" x14ac:dyDescent="0.25">
      <c r="T53728" s="135"/>
      <c r="U53728" s="135"/>
    </row>
    <row r="53729" spans="20:21" ht="15" customHeight="1" x14ac:dyDescent="0.25">
      <c r="T53729" s="135"/>
      <c r="U53729" s="135"/>
    </row>
    <row r="53730" spans="20:21" ht="15" customHeight="1" x14ac:dyDescent="0.25">
      <c r="T53730" s="135"/>
      <c r="U53730" s="135"/>
    </row>
    <row r="53731" spans="20:21" ht="15" customHeight="1" x14ac:dyDescent="0.25">
      <c r="T53731" s="135"/>
      <c r="U53731" s="135"/>
    </row>
    <row r="53732" spans="20:21" ht="15" customHeight="1" x14ac:dyDescent="0.25">
      <c r="T53732" s="135"/>
      <c r="U53732" s="135"/>
    </row>
    <row r="53733" spans="20:21" ht="15" customHeight="1" x14ac:dyDescent="0.25">
      <c r="T53733" s="135"/>
      <c r="U53733" s="135"/>
    </row>
    <row r="53734" spans="20:21" ht="15" customHeight="1" x14ac:dyDescent="0.25">
      <c r="T53734" s="135"/>
      <c r="U53734" s="135"/>
    </row>
    <row r="53735" spans="20:21" ht="15" customHeight="1" x14ac:dyDescent="0.25">
      <c r="T53735" s="135"/>
      <c r="U53735" s="135"/>
    </row>
    <row r="53736" spans="20:21" ht="15" customHeight="1" x14ac:dyDescent="0.25">
      <c r="T53736" s="135"/>
      <c r="U53736" s="135"/>
    </row>
    <row r="53737" spans="20:21" ht="15" customHeight="1" x14ac:dyDescent="0.25">
      <c r="T53737" s="135"/>
      <c r="U53737" s="135"/>
    </row>
    <row r="53738" spans="20:21" ht="15" customHeight="1" x14ac:dyDescent="0.25">
      <c r="T53738" s="135"/>
      <c r="U53738" s="135"/>
    </row>
    <row r="53739" spans="20:21" ht="15" customHeight="1" x14ac:dyDescent="0.25">
      <c r="T53739" s="135"/>
      <c r="U53739" s="135"/>
    </row>
    <row r="53740" spans="20:21" ht="15" customHeight="1" x14ac:dyDescent="0.25">
      <c r="T53740" s="135"/>
      <c r="U53740" s="135"/>
    </row>
    <row r="53741" spans="20:21" ht="15" customHeight="1" x14ac:dyDescent="0.25">
      <c r="T53741" s="135"/>
      <c r="U53741" s="135"/>
    </row>
    <row r="53742" spans="20:21" ht="15" customHeight="1" x14ac:dyDescent="0.25">
      <c r="T53742" s="135"/>
      <c r="U53742" s="135"/>
    </row>
    <row r="53743" spans="20:21" ht="15" customHeight="1" x14ac:dyDescent="0.25">
      <c r="T53743" s="135"/>
      <c r="U53743" s="135"/>
    </row>
    <row r="53744" spans="20:21" ht="15" customHeight="1" x14ac:dyDescent="0.25">
      <c r="T53744" s="135"/>
      <c r="U53744" s="135"/>
    </row>
    <row r="53745" spans="20:21" ht="15" customHeight="1" x14ac:dyDescent="0.25">
      <c r="T53745" s="135"/>
      <c r="U53745" s="135"/>
    </row>
    <row r="53746" spans="20:21" ht="15" customHeight="1" x14ac:dyDescent="0.25">
      <c r="T53746" s="135"/>
      <c r="U53746" s="135"/>
    </row>
    <row r="53747" spans="20:21" ht="15" customHeight="1" x14ac:dyDescent="0.25">
      <c r="T53747" s="135"/>
      <c r="U53747" s="135"/>
    </row>
    <row r="53748" spans="20:21" ht="15" customHeight="1" x14ac:dyDescent="0.25">
      <c r="T53748" s="135"/>
      <c r="U53748" s="135"/>
    </row>
    <row r="53749" spans="20:21" ht="15" customHeight="1" x14ac:dyDescent="0.25">
      <c r="T53749" s="135"/>
      <c r="U53749" s="135"/>
    </row>
    <row r="53750" spans="20:21" ht="15" customHeight="1" x14ac:dyDescent="0.25">
      <c r="T53750" s="135"/>
      <c r="U53750" s="135"/>
    </row>
    <row r="53751" spans="20:21" ht="15" customHeight="1" x14ac:dyDescent="0.25">
      <c r="T53751" s="135"/>
      <c r="U53751" s="135"/>
    </row>
    <row r="53752" spans="20:21" ht="15" customHeight="1" x14ac:dyDescent="0.25">
      <c r="T53752" s="135"/>
      <c r="U53752" s="135"/>
    </row>
    <row r="53753" spans="20:21" ht="15" customHeight="1" x14ac:dyDescent="0.25">
      <c r="T53753" s="135"/>
      <c r="U53753" s="135"/>
    </row>
    <row r="53754" spans="20:21" ht="15" customHeight="1" x14ac:dyDescent="0.25">
      <c r="T53754" s="135"/>
      <c r="U53754" s="135"/>
    </row>
    <row r="53755" spans="20:21" ht="15" customHeight="1" x14ac:dyDescent="0.25">
      <c r="T53755" s="135"/>
      <c r="U53755" s="135"/>
    </row>
    <row r="53756" spans="20:21" ht="15" customHeight="1" x14ac:dyDescent="0.25">
      <c r="T53756" s="135"/>
      <c r="U53756" s="135"/>
    </row>
    <row r="53757" spans="20:21" ht="15" customHeight="1" x14ac:dyDescent="0.25">
      <c r="T53757" s="135"/>
      <c r="U53757" s="135"/>
    </row>
    <row r="53758" spans="20:21" ht="15" customHeight="1" x14ac:dyDescent="0.25">
      <c r="T53758" s="135"/>
      <c r="U53758" s="135"/>
    </row>
    <row r="53759" spans="20:21" ht="15" customHeight="1" x14ac:dyDescent="0.25">
      <c r="T53759" s="135"/>
      <c r="U53759" s="135"/>
    </row>
    <row r="53760" spans="20:21" ht="15" customHeight="1" x14ac:dyDescent="0.25">
      <c r="T53760" s="135"/>
      <c r="U53760" s="135"/>
    </row>
    <row r="53761" spans="20:21" ht="15" customHeight="1" x14ac:dyDescent="0.25">
      <c r="T53761" s="135"/>
      <c r="U53761" s="135"/>
    </row>
    <row r="53762" spans="20:21" ht="15" customHeight="1" x14ac:dyDescent="0.25">
      <c r="T53762" s="135"/>
      <c r="U53762" s="135"/>
    </row>
    <row r="53763" spans="20:21" ht="15" customHeight="1" x14ac:dyDescent="0.25">
      <c r="T53763" s="135"/>
      <c r="U53763" s="135"/>
    </row>
    <row r="53764" spans="20:21" ht="15" customHeight="1" x14ac:dyDescent="0.25">
      <c r="T53764" s="135"/>
      <c r="U53764" s="135"/>
    </row>
    <row r="53765" spans="20:21" ht="15" customHeight="1" x14ac:dyDescent="0.25">
      <c r="T53765" s="135"/>
      <c r="U53765" s="135"/>
    </row>
    <row r="53766" spans="20:21" ht="15" customHeight="1" x14ac:dyDescent="0.25">
      <c r="T53766" s="135"/>
      <c r="U53766" s="135"/>
    </row>
    <row r="53767" spans="20:21" ht="15" customHeight="1" x14ac:dyDescent="0.25">
      <c r="T53767" s="135"/>
      <c r="U53767" s="135"/>
    </row>
    <row r="53768" spans="20:21" ht="15" customHeight="1" x14ac:dyDescent="0.25">
      <c r="T53768" s="135"/>
      <c r="U53768" s="135"/>
    </row>
    <row r="53769" spans="20:21" ht="15" customHeight="1" x14ac:dyDescent="0.25">
      <c r="T53769" s="135"/>
      <c r="U53769" s="135"/>
    </row>
    <row r="53770" spans="20:21" ht="15" customHeight="1" x14ac:dyDescent="0.25">
      <c r="T53770" s="135"/>
      <c r="U53770" s="135"/>
    </row>
    <row r="53771" spans="20:21" ht="15" customHeight="1" x14ac:dyDescent="0.25">
      <c r="T53771" s="135"/>
      <c r="U53771" s="135"/>
    </row>
    <row r="53772" spans="20:21" ht="15" customHeight="1" x14ac:dyDescent="0.25">
      <c r="T53772" s="135"/>
      <c r="U53772" s="135"/>
    </row>
    <row r="53773" spans="20:21" ht="15" customHeight="1" x14ac:dyDescent="0.25">
      <c r="T53773" s="135"/>
      <c r="U53773" s="135"/>
    </row>
    <row r="53774" spans="20:21" ht="15" customHeight="1" x14ac:dyDescent="0.25">
      <c r="T53774" s="135"/>
      <c r="U53774" s="135"/>
    </row>
    <row r="53775" spans="20:21" ht="15" customHeight="1" x14ac:dyDescent="0.25">
      <c r="T53775" s="135"/>
      <c r="U53775" s="135"/>
    </row>
    <row r="53776" spans="20:21" ht="15" customHeight="1" x14ac:dyDescent="0.25">
      <c r="T53776" s="135"/>
      <c r="U53776" s="135"/>
    </row>
    <row r="53777" spans="20:21" ht="15" customHeight="1" x14ac:dyDescent="0.25">
      <c r="T53777" s="135"/>
      <c r="U53777" s="135"/>
    </row>
    <row r="53778" spans="20:21" ht="15" customHeight="1" x14ac:dyDescent="0.25">
      <c r="T53778" s="135"/>
      <c r="U53778" s="135"/>
    </row>
    <row r="53779" spans="20:21" ht="15" customHeight="1" x14ac:dyDescent="0.25">
      <c r="T53779" s="135"/>
      <c r="U53779" s="135"/>
    </row>
    <row r="53780" spans="20:21" ht="15" customHeight="1" x14ac:dyDescent="0.25">
      <c r="T53780" s="135"/>
      <c r="U53780" s="135"/>
    </row>
    <row r="53781" spans="20:21" ht="15" customHeight="1" x14ac:dyDescent="0.25">
      <c r="T53781" s="135"/>
      <c r="U53781" s="135"/>
    </row>
    <row r="53782" spans="20:21" ht="15" customHeight="1" x14ac:dyDescent="0.25">
      <c r="T53782" s="135"/>
      <c r="U53782" s="135"/>
    </row>
    <row r="53783" spans="20:21" ht="15" customHeight="1" x14ac:dyDescent="0.25">
      <c r="T53783" s="135"/>
      <c r="U53783" s="135"/>
    </row>
    <row r="53784" spans="20:21" ht="15" customHeight="1" x14ac:dyDescent="0.25">
      <c r="T53784" s="135"/>
      <c r="U53784" s="135"/>
    </row>
    <row r="53785" spans="20:21" ht="15" customHeight="1" x14ac:dyDescent="0.25">
      <c r="T53785" s="135"/>
      <c r="U53785" s="135"/>
    </row>
    <row r="53786" spans="20:21" ht="15" customHeight="1" x14ac:dyDescent="0.25">
      <c r="T53786" s="135"/>
      <c r="U53786" s="135"/>
    </row>
    <row r="53787" spans="20:21" ht="15" customHeight="1" x14ac:dyDescent="0.25">
      <c r="T53787" s="135"/>
      <c r="U53787" s="135"/>
    </row>
    <row r="53788" spans="20:21" ht="15" customHeight="1" x14ac:dyDescent="0.25">
      <c r="T53788" s="135"/>
      <c r="U53788" s="135"/>
    </row>
    <row r="53789" spans="20:21" ht="15" customHeight="1" x14ac:dyDescent="0.25">
      <c r="T53789" s="135"/>
      <c r="U53789" s="135"/>
    </row>
    <row r="53790" spans="20:21" ht="15" customHeight="1" x14ac:dyDescent="0.25">
      <c r="T53790" s="135"/>
      <c r="U53790" s="135"/>
    </row>
    <row r="53791" spans="20:21" ht="15" customHeight="1" x14ac:dyDescent="0.25">
      <c r="T53791" s="135"/>
      <c r="U53791" s="135"/>
    </row>
    <row r="53792" spans="20:21" ht="15" customHeight="1" x14ac:dyDescent="0.25">
      <c r="T53792" s="135"/>
      <c r="U53792" s="135"/>
    </row>
    <row r="53793" spans="20:21" ht="15" customHeight="1" x14ac:dyDescent="0.25">
      <c r="T53793" s="135"/>
      <c r="U53793" s="135"/>
    </row>
    <row r="53794" spans="20:21" ht="15" customHeight="1" x14ac:dyDescent="0.25">
      <c r="T53794" s="135"/>
      <c r="U53794" s="135"/>
    </row>
    <row r="53795" spans="20:21" ht="15" customHeight="1" x14ac:dyDescent="0.25">
      <c r="T53795" s="135"/>
      <c r="U53795" s="135"/>
    </row>
    <row r="53796" spans="20:21" ht="15" customHeight="1" x14ac:dyDescent="0.25">
      <c r="T53796" s="135"/>
      <c r="U53796" s="135"/>
    </row>
    <row r="53797" spans="20:21" ht="15" customHeight="1" x14ac:dyDescent="0.25">
      <c r="T53797" s="135"/>
      <c r="U53797" s="135"/>
    </row>
    <row r="53798" spans="20:21" ht="15" customHeight="1" x14ac:dyDescent="0.25">
      <c r="T53798" s="135"/>
      <c r="U53798" s="135"/>
    </row>
    <row r="53799" spans="20:21" ht="15" customHeight="1" x14ac:dyDescent="0.25">
      <c r="T53799" s="135"/>
      <c r="U53799" s="135"/>
    </row>
    <row r="53800" spans="20:21" ht="15" customHeight="1" x14ac:dyDescent="0.25">
      <c r="T53800" s="135"/>
      <c r="U53800" s="135"/>
    </row>
    <row r="53801" spans="20:21" ht="15" customHeight="1" x14ac:dyDescent="0.25">
      <c r="T53801" s="135"/>
      <c r="U53801" s="135"/>
    </row>
    <row r="53802" spans="20:21" ht="15" customHeight="1" x14ac:dyDescent="0.25">
      <c r="T53802" s="135"/>
      <c r="U53802" s="135"/>
    </row>
    <row r="53803" spans="20:21" ht="15" customHeight="1" x14ac:dyDescent="0.25">
      <c r="T53803" s="135"/>
      <c r="U53803" s="135"/>
    </row>
    <row r="53804" spans="20:21" ht="15" customHeight="1" x14ac:dyDescent="0.25">
      <c r="T53804" s="135"/>
      <c r="U53804" s="135"/>
    </row>
    <row r="53805" spans="20:21" ht="15" customHeight="1" x14ac:dyDescent="0.25">
      <c r="T53805" s="135"/>
      <c r="U53805" s="135"/>
    </row>
    <row r="53806" spans="20:21" ht="15" customHeight="1" x14ac:dyDescent="0.25">
      <c r="T53806" s="135"/>
      <c r="U53806" s="135"/>
    </row>
    <row r="53807" spans="20:21" ht="15" customHeight="1" x14ac:dyDescent="0.25">
      <c r="T53807" s="135"/>
      <c r="U53807" s="135"/>
    </row>
    <row r="53808" spans="20:21" ht="15" customHeight="1" x14ac:dyDescent="0.25">
      <c r="T53808" s="135"/>
      <c r="U53808" s="135"/>
    </row>
    <row r="53809" spans="20:21" ht="15" customHeight="1" x14ac:dyDescent="0.25">
      <c r="T53809" s="135"/>
      <c r="U53809" s="135"/>
    </row>
    <row r="53810" spans="20:21" ht="15" customHeight="1" x14ac:dyDescent="0.25">
      <c r="T53810" s="135"/>
      <c r="U53810" s="135"/>
    </row>
    <row r="53811" spans="20:21" ht="15" customHeight="1" x14ac:dyDescent="0.25">
      <c r="T53811" s="135"/>
      <c r="U53811" s="135"/>
    </row>
    <row r="53812" spans="20:21" ht="15" customHeight="1" x14ac:dyDescent="0.25">
      <c r="T53812" s="135"/>
      <c r="U53812" s="135"/>
    </row>
    <row r="53813" spans="20:21" ht="15" customHeight="1" x14ac:dyDescent="0.25">
      <c r="T53813" s="135"/>
      <c r="U53813" s="135"/>
    </row>
    <row r="53814" spans="20:21" ht="15" customHeight="1" x14ac:dyDescent="0.25">
      <c r="T53814" s="135"/>
      <c r="U53814" s="135"/>
    </row>
    <row r="53815" spans="20:21" ht="15" customHeight="1" x14ac:dyDescent="0.25">
      <c r="T53815" s="135"/>
      <c r="U53815" s="135"/>
    </row>
    <row r="53816" spans="20:21" ht="15" customHeight="1" x14ac:dyDescent="0.25">
      <c r="T53816" s="135"/>
      <c r="U53816" s="135"/>
    </row>
    <row r="53817" spans="20:21" ht="15" customHeight="1" x14ac:dyDescent="0.25">
      <c r="T53817" s="135"/>
      <c r="U53817" s="135"/>
    </row>
    <row r="53818" spans="20:21" ht="15" customHeight="1" x14ac:dyDescent="0.25">
      <c r="T53818" s="135"/>
      <c r="U53818" s="135"/>
    </row>
    <row r="53819" spans="20:21" ht="15" customHeight="1" x14ac:dyDescent="0.25">
      <c r="T53819" s="135"/>
      <c r="U53819" s="135"/>
    </row>
    <row r="53820" spans="20:21" ht="15" customHeight="1" x14ac:dyDescent="0.25">
      <c r="T53820" s="135"/>
      <c r="U53820" s="135"/>
    </row>
    <row r="53821" spans="20:21" ht="15" customHeight="1" x14ac:dyDescent="0.25">
      <c r="T53821" s="135"/>
      <c r="U53821" s="135"/>
    </row>
    <row r="53822" spans="20:21" ht="15" customHeight="1" x14ac:dyDescent="0.25">
      <c r="T53822" s="135"/>
      <c r="U53822" s="135"/>
    </row>
    <row r="53823" spans="20:21" ht="15" customHeight="1" x14ac:dyDescent="0.25">
      <c r="T53823" s="135"/>
      <c r="U53823" s="135"/>
    </row>
    <row r="53824" spans="20:21" ht="15" customHeight="1" x14ac:dyDescent="0.25">
      <c r="T53824" s="135"/>
      <c r="U53824" s="135"/>
    </row>
    <row r="53825" spans="20:21" ht="15" customHeight="1" x14ac:dyDescent="0.25">
      <c r="T53825" s="135"/>
      <c r="U53825" s="135"/>
    </row>
    <row r="53826" spans="20:21" ht="15" customHeight="1" x14ac:dyDescent="0.25">
      <c r="T53826" s="135"/>
      <c r="U53826" s="135"/>
    </row>
    <row r="53827" spans="20:21" ht="15" customHeight="1" x14ac:dyDescent="0.25">
      <c r="T53827" s="135"/>
      <c r="U53827" s="135"/>
    </row>
    <row r="53828" spans="20:21" ht="15" customHeight="1" x14ac:dyDescent="0.25">
      <c r="T53828" s="135"/>
      <c r="U53828" s="135"/>
    </row>
    <row r="53829" spans="20:21" ht="15" customHeight="1" x14ac:dyDescent="0.25">
      <c r="T53829" s="135"/>
      <c r="U53829" s="135"/>
    </row>
    <row r="53830" spans="20:21" ht="15" customHeight="1" x14ac:dyDescent="0.25">
      <c r="T53830" s="135"/>
      <c r="U53830" s="135"/>
    </row>
    <row r="53831" spans="20:21" ht="15" customHeight="1" x14ac:dyDescent="0.25">
      <c r="T53831" s="135"/>
      <c r="U53831" s="135"/>
    </row>
    <row r="53832" spans="20:21" ht="15" customHeight="1" x14ac:dyDescent="0.25">
      <c r="T53832" s="135"/>
      <c r="U53832" s="135"/>
    </row>
    <row r="53833" spans="20:21" ht="15" customHeight="1" x14ac:dyDescent="0.25">
      <c r="T53833" s="135"/>
      <c r="U53833" s="135"/>
    </row>
    <row r="53834" spans="20:21" ht="15" customHeight="1" x14ac:dyDescent="0.25">
      <c r="T53834" s="135"/>
      <c r="U53834" s="135"/>
    </row>
    <row r="53835" spans="20:21" ht="15" customHeight="1" x14ac:dyDescent="0.25">
      <c r="T53835" s="135"/>
      <c r="U53835" s="135"/>
    </row>
    <row r="53836" spans="20:21" ht="15" customHeight="1" x14ac:dyDescent="0.25">
      <c r="T53836" s="135"/>
      <c r="U53836" s="135"/>
    </row>
    <row r="53837" spans="20:21" ht="15" customHeight="1" x14ac:dyDescent="0.25">
      <c r="T53837" s="135"/>
      <c r="U53837" s="135"/>
    </row>
    <row r="53838" spans="20:21" ht="15" customHeight="1" x14ac:dyDescent="0.25">
      <c r="T53838" s="135"/>
      <c r="U53838" s="135"/>
    </row>
    <row r="53839" spans="20:21" ht="15" customHeight="1" x14ac:dyDescent="0.25">
      <c r="T53839" s="135"/>
      <c r="U53839" s="135"/>
    </row>
    <row r="53840" spans="20:21" ht="15" customHeight="1" x14ac:dyDescent="0.25">
      <c r="T53840" s="135"/>
      <c r="U53840" s="135"/>
    </row>
    <row r="53841" spans="20:21" ht="15" customHeight="1" x14ac:dyDescent="0.25">
      <c r="T53841" s="135"/>
      <c r="U53841" s="135"/>
    </row>
    <row r="53842" spans="20:21" ht="15" customHeight="1" x14ac:dyDescent="0.25">
      <c r="T53842" s="135"/>
      <c r="U53842" s="135"/>
    </row>
    <row r="53843" spans="20:21" ht="15" customHeight="1" x14ac:dyDescent="0.25">
      <c r="T53843" s="135"/>
      <c r="U53843" s="135"/>
    </row>
    <row r="53844" spans="20:21" ht="15" customHeight="1" x14ac:dyDescent="0.25">
      <c r="T53844" s="135"/>
      <c r="U53844" s="135"/>
    </row>
    <row r="53845" spans="20:21" ht="15" customHeight="1" x14ac:dyDescent="0.25">
      <c r="T53845" s="135"/>
      <c r="U53845" s="135"/>
    </row>
    <row r="53846" spans="20:21" ht="15" customHeight="1" x14ac:dyDescent="0.25">
      <c r="T53846" s="135"/>
      <c r="U53846" s="135"/>
    </row>
    <row r="53847" spans="20:21" ht="15" customHeight="1" x14ac:dyDescent="0.25">
      <c r="T53847" s="135"/>
      <c r="U53847" s="135"/>
    </row>
    <row r="53848" spans="20:21" ht="15" customHeight="1" x14ac:dyDescent="0.25">
      <c r="T53848" s="135"/>
      <c r="U53848" s="135"/>
    </row>
    <row r="53849" spans="20:21" ht="15" customHeight="1" x14ac:dyDescent="0.25">
      <c r="T53849" s="135"/>
      <c r="U53849" s="135"/>
    </row>
    <row r="53850" spans="20:21" ht="15" customHeight="1" x14ac:dyDescent="0.25">
      <c r="T53850" s="135"/>
      <c r="U53850" s="135"/>
    </row>
    <row r="53851" spans="20:21" ht="15" customHeight="1" x14ac:dyDescent="0.25">
      <c r="T53851" s="135"/>
      <c r="U53851" s="135"/>
    </row>
    <row r="53852" spans="20:21" ht="15" customHeight="1" x14ac:dyDescent="0.25">
      <c r="T53852" s="135"/>
      <c r="U53852" s="135"/>
    </row>
    <row r="53853" spans="20:21" ht="15" customHeight="1" x14ac:dyDescent="0.25">
      <c r="T53853" s="135"/>
      <c r="U53853" s="135"/>
    </row>
    <row r="53854" spans="20:21" ht="15" customHeight="1" x14ac:dyDescent="0.25">
      <c r="T53854" s="135"/>
      <c r="U53854" s="135"/>
    </row>
    <row r="53855" spans="20:21" ht="15" customHeight="1" x14ac:dyDescent="0.25">
      <c r="T53855" s="135"/>
      <c r="U53855" s="135"/>
    </row>
    <row r="53856" spans="20:21" ht="15" customHeight="1" x14ac:dyDescent="0.25">
      <c r="T53856" s="135"/>
      <c r="U53856" s="135"/>
    </row>
    <row r="53857" spans="20:21" ht="15" customHeight="1" x14ac:dyDescent="0.25">
      <c r="T53857" s="135"/>
      <c r="U53857" s="135"/>
    </row>
    <row r="53858" spans="20:21" ht="15" customHeight="1" x14ac:dyDescent="0.25">
      <c r="T53858" s="135"/>
      <c r="U53858" s="135"/>
    </row>
    <row r="53859" spans="20:21" ht="15" customHeight="1" x14ac:dyDescent="0.25">
      <c r="T53859" s="135"/>
      <c r="U53859" s="135"/>
    </row>
    <row r="53860" spans="20:21" ht="15" customHeight="1" x14ac:dyDescent="0.25">
      <c r="T53860" s="135"/>
      <c r="U53860" s="135"/>
    </row>
    <row r="53861" spans="20:21" ht="15" customHeight="1" x14ac:dyDescent="0.25">
      <c r="T53861" s="135"/>
      <c r="U53861" s="135"/>
    </row>
    <row r="53862" spans="20:21" ht="15" customHeight="1" x14ac:dyDescent="0.25">
      <c r="T53862" s="135"/>
      <c r="U53862" s="135"/>
    </row>
    <row r="53863" spans="20:21" ht="15" customHeight="1" x14ac:dyDescent="0.25">
      <c r="T53863" s="135"/>
      <c r="U53863" s="135"/>
    </row>
    <row r="53864" spans="20:21" ht="15" customHeight="1" x14ac:dyDescent="0.25">
      <c r="T53864" s="135"/>
      <c r="U53864" s="135"/>
    </row>
    <row r="53865" spans="20:21" ht="15" customHeight="1" x14ac:dyDescent="0.25">
      <c r="T53865" s="135"/>
      <c r="U53865" s="135"/>
    </row>
    <row r="53866" spans="20:21" ht="15" customHeight="1" x14ac:dyDescent="0.25">
      <c r="T53866" s="135"/>
      <c r="U53866" s="135"/>
    </row>
    <row r="53867" spans="20:21" ht="15" customHeight="1" x14ac:dyDescent="0.25">
      <c r="T53867" s="135"/>
      <c r="U53867" s="135"/>
    </row>
    <row r="53868" spans="20:21" ht="15" customHeight="1" x14ac:dyDescent="0.25">
      <c r="T53868" s="135"/>
      <c r="U53868" s="135"/>
    </row>
    <row r="53869" spans="20:21" ht="15" customHeight="1" x14ac:dyDescent="0.25">
      <c r="T53869" s="135"/>
      <c r="U53869" s="135"/>
    </row>
    <row r="53870" spans="20:21" ht="15" customHeight="1" x14ac:dyDescent="0.25">
      <c r="T53870" s="135"/>
      <c r="U53870" s="135"/>
    </row>
    <row r="53871" spans="20:21" ht="15" customHeight="1" x14ac:dyDescent="0.25">
      <c r="T53871" s="135"/>
      <c r="U53871" s="135"/>
    </row>
    <row r="53872" spans="20:21" ht="15" customHeight="1" x14ac:dyDescent="0.25">
      <c r="T53872" s="135"/>
      <c r="U53872" s="135"/>
    </row>
    <row r="53873" spans="20:21" ht="15" customHeight="1" x14ac:dyDescent="0.25">
      <c r="T53873" s="135"/>
      <c r="U53873" s="135"/>
    </row>
    <row r="53874" spans="20:21" ht="15" customHeight="1" x14ac:dyDescent="0.25">
      <c r="T53874" s="135"/>
      <c r="U53874" s="135"/>
    </row>
    <row r="53875" spans="20:21" ht="15" customHeight="1" x14ac:dyDescent="0.25">
      <c r="T53875" s="135"/>
      <c r="U53875" s="135"/>
    </row>
    <row r="53876" spans="20:21" ht="15" customHeight="1" x14ac:dyDescent="0.25">
      <c r="T53876" s="135"/>
      <c r="U53876" s="135"/>
    </row>
    <row r="53877" spans="20:21" ht="15" customHeight="1" x14ac:dyDescent="0.25">
      <c r="T53877" s="135"/>
      <c r="U53877" s="135"/>
    </row>
    <row r="53878" spans="20:21" ht="15" customHeight="1" x14ac:dyDescent="0.25">
      <c r="T53878" s="135"/>
      <c r="U53878" s="135"/>
    </row>
    <row r="53879" spans="20:21" ht="15" customHeight="1" x14ac:dyDescent="0.25">
      <c r="T53879" s="135"/>
      <c r="U53879" s="135"/>
    </row>
    <row r="53880" spans="20:21" ht="15" customHeight="1" x14ac:dyDescent="0.25">
      <c r="T53880" s="135"/>
      <c r="U53880" s="135"/>
    </row>
    <row r="53881" spans="20:21" ht="15" customHeight="1" x14ac:dyDescent="0.25">
      <c r="T53881" s="135"/>
      <c r="U53881" s="135"/>
    </row>
    <row r="53882" spans="20:21" ht="15" customHeight="1" x14ac:dyDescent="0.25">
      <c r="T53882" s="135"/>
      <c r="U53882" s="135"/>
    </row>
    <row r="53883" spans="20:21" ht="15" customHeight="1" x14ac:dyDescent="0.25">
      <c r="T53883" s="135"/>
      <c r="U53883" s="135"/>
    </row>
    <row r="53884" spans="20:21" ht="15" customHeight="1" x14ac:dyDescent="0.25">
      <c r="T53884" s="135"/>
      <c r="U53884" s="135"/>
    </row>
    <row r="53885" spans="20:21" ht="15" customHeight="1" x14ac:dyDescent="0.25">
      <c r="T53885" s="135"/>
      <c r="U53885" s="135"/>
    </row>
    <row r="53886" spans="20:21" ht="15" customHeight="1" x14ac:dyDescent="0.25">
      <c r="T53886" s="135"/>
      <c r="U53886" s="135"/>
    </row>
    <row r="53887" spans="20:21" ht="15" customHeight="1" x14ac:dyDescent="0.25">
      <c r="T53887" s="135"/>
      <c r="U53887" s="135"/>
    </row>
    <row r="53888" spans="20:21" ht="15" customHeight="1" x14ac:dyDescent="0.25">
      <c r="T53888" s="135"/>
      <c r="U53888" s="135"/>
    </row>
    <row r="53889" spans="20:21" ht="15" customHeight="1" x14ac:dyDescent="0.25">
      <c r="T53889" s="135"/>
      <c r="U53889" s="135"/>
    </row>
    <row r="53890" spans="20:21" ht="15" customHeight="1" x14ac:dyDescent="0.25">
      <c r="T53890" s="135"/>
      <c r="U53890" s="135"/>
    </row>
    <row r="53891" spans="20:21" ht="15" customHeight="1" x14ac:dyDescent="0.25">
      <c r="T53891" s="135"/>
      <c r="U53891" s="135"/>
    </row>
    <row r="53892" spans="20:21" ht="15" customHeight="1" x14ac:dyDescent="0.25">
      <c r="T53892" s="135"/>
      <c r="U53892" s="135"/>
    </row>
    <row r="53893" spans="20:21" ht="15" customHeight="1" x14ac:dyDescent="0.25">
      <c r="T53893" s="135"/>
      <c r="U53893" s="135"/>
    </row>
    <row r="53894" spans="20:21" ht="15" customHeight="1" x14ac:dyDescent="0.25">
      <c r="T53894" s="135"/>
      <c r="U53894" s="135"/>
    </row>
    <row r="53895" spans="20:21" ht="15" customHeight="1" x14ac:dyDescent="0.25">
      <c r="T53895" s="135"/>
      <c r="U53895" s="135"/>
    </row>
    <row r="53896" spans="20:21" ht="15" customHeight="1" x14ac:dyDescent="0.25">
      <c r="T53896" s="135"/>
      <c r="U53896" s="135"/>
    </row>
    <row r="53897" spans="20:21" ht="15" customHeight="1" x14ac:dyDescent="0.25">
      <c r="T53897" s="135"/>
      <c r="U53897" s="135"/>
    </row>
    <row r="53898" spans="20:21" ht="15" customHeight="1" x14ac:dyDescent="0.25">
      <c r="T53898" s="135"/>
      <c r="U53898" s="135"/>
    </row>
    <row r="53899" spans="20:21" ht="15" customHeight="1" x14ac:dyDescent="0.25">
      <c r="T53899" s="135"/>
      <c r="U53899" s="135"/>
    </row>
    <row r="53900" spans="20:21" ht="15" customHeight="1" x14ac:dyDescent="0.25">
      <c r="T53900" s="135"/>
      <c r="U53900" s="135"/>
    </row>
    <row r="53901" spans="20:21" ht="15" customHeight="1" x14ac:dyDescent="0.25">
      <c r="T53901" s="135"/>
      <c r="U53901" s="135"/>
    </row>
    <row r="53902" spans="20:21" ht="15" customHeight="1" x14ac:dyDescent="0.25">
      <c r="T53902" s="135"/>
      <c r="U53902" s="135"/>
    </row>
    <row r="53903" spans="20:21" ht="15" customHeight="1" x14ac:dyDescent="0.25">
      <c r="T53903" s="135"/>
      <c r="U53903" s="135"/>
    </row>
    <row r="53904" spans="20:21" ht="15" customHeight="1" x14ac:dyDescent="0.25">
      <c r="T53904" s="135"/>
      <c r="U53904" s="135"/>
    </row>
    <row r="53905" spans="20:21" ht="15" customHeight="1" x14ac:dyDescent="0.25">
      <c r="T53905" s="135"/>
      <c r="U53905" s="135"/>
    </row>
    <row r="53906" spans="20:21" ht="15" customHeight="1" x14ac:dyDescent="0.25">
      <c r="T53906" s="135"/>
      <c r="U53906" s="135"/>
    </row>
    <row r="53907" spans="20:21" ht="15" customHeight="1" x14ac:dyDescent="0.25">
      <c r="T53907" s="135"/>
      <c r="U53907" s="135"/>
    </row>
    <row r="53908" spans="20:21" ht="15" customHeight="1" x14ac:dyDescent="0.25">
      <c r="T53908" s="135"/>
      <c r="U53908" s="135"/>
    </row>
    <row r="53909" spans="20:21" ht="15" customHeight="1" x14ac:dyDescent="0.25">
      <c r="T53909" s="135"/>
      <c r="U53909" s="135"/>
    </row>
    <row r="53910" spans="20:21" ht="15" customHeight="1" x14ac:dyDescent="0.25">
      <c r="T53910" s="135"/>
      <c r="U53910" s="135"/>
    </row>
    <row r="53911" spans="20:21" ht="15" customHeight="1" x14ac:dyDescent="0.25">
      <c r="T53911" s="135"/>
      <c r="U53911" s="135"/>
    </row>
    <row r="53912" spans="20:21" ht="15" customHeight="1" x14ac:dyDescent="0.25">
      <c r="T53912" s="135"/>
      <c r="U53912" s="135"/>
    </row>
    <row r="53913" spans="20:21" ht="15" customHeight="1" x14ac:dyDescent="0.25">
      <c r="T53913" s="135"/>
      <c r="U53913" s="135"/>
    </row>
    <row r="53914" spans="20:21" ht="15" customHeight="1" x14ac:dyDescent="0.25">
      <c r="T53914" s="135"/>
      <c r="U53914" s="135"/>
    </row>
    <row r="53915" spans="20:21" ht="15" customHeight="1" x14ac:dyDescent="0.25">
      <c r="T53915" s="135"/>
      <c r="U53915" s="135"/>
    </row>
    <row r="53916" spans="20:21" ht="15" customHeight="1" x14ac:dyDescent="0.25">
      <c r="T53916" s="135"/>
      <c r="U53916" s="135"/>
    </row>
    <row r="53917" spans="20:21" ht="15" customHeight="1" x14ac:dyDescent="0.25">
      <c r="T53917" s="135"/>
      <c r="U53917" s="135"/>
    </row>
    <row r="53918" spans="20:21" ht="15" customHeight="1" x14ac:dyDescent="0.25">
      <c r="T53918" s="135"/>
      <c r="U53918" s="135"/>
    </row>
    <row r="53919" spans="20:21" ht="15" customHeight="1" x14ac:dyDescent="0.25">
      <c r="T53919" s="135"/>
      <c r="U53919" s="135"/>
    </row>
    <row r="53920" spans="20:21" ht="15" customHeight="1" x14ac:dyDescent="0.25">
      <c r="T53920" s="135"/>
      <c r="U53920" s="135"/>
    </row>
    <row r="53921" spans="20:21" ht="15" customHeight="1" x14ac:dyDescent="0.25">
      <c r="T53921" s="135"/>
      <c r="U53921" s="135"/>
    </row>
    <row r="53922" spans="20:21" ht="15" customHeight="1" x14ac:dyDescent="0.25">
      <c r="T53922" s="135"/>
      <c r="U53922" s="135"/>
    </row>
    <row r="53923" spans="20:21" ht="15" customHeight="1" x14ac:dyDescent="0.25">
      <c r="T53923" s="135"/>
      <c r="U53923" s="135"/>
    </row>
    <row r="53924" spans="20:21" ht="15" customHeight="1" x14ac:dyDescent="0.25">
      <c r="T53924" s="135"/>
      <c r="U53924" s="135"/>
    </row>
    <row r="53925" spans="20:21" ht="15" customHeight="1" x14ac:dyDescent="0.25">
      <c r="T53925" s="135"/>
      <c r="U53925" s="135"/>
    </row>
    <row r="53926" spans="20:21" ht="15" customHeight="1" x14ac:dyDescent="0.25">
      <c r="T53926" s="135"/>
      <c r="U53926" s="135"/>
    </row>
    <row r="53927" spans="20:21" ht="15" customHeight="1" x14ac:dyDescent="0.25">
      <c r="T53927" s="135"/>
      <c r="U53927" s="135"/>
    </row>
    <row r="53928" spans="20:21" ht="15" customHeight="1" x14ac:dyDescent="0.25">
      <c r="T53928" s="135"/>
      <c r="U53928" s="135"/>
    </row>
    <row r="53929" spans="20:21" ht="15" customHeight="1" x14ac:dyDescent="0.25">
      <c r="T53929" s="135"/>
      <c r="U53929" s="135"/>
    </row>
    <row r="53930" spans="20:21" ht="15" customHeight="1" x14ac:dyDescent="0.25">
      <c r="T53930" s="135"/>
      <c r="U53930" s="135"/>
    </row>
    <row r="53931" spans="20:21" ht="15" customHeight="1" x14ac:dyDescent="0.25">
      <c r="T53931" s="135"/>
      <c r="U53931" s="135"/>
    </row>
    <row r="53932" spans="20:21" ht="15" customHeight="1" x14ac:dyDescent="0.25">
      <c r="T53932" s="135"/>
      <c r="U53932" s="135"/>
    </row>
    <row r="53933" spans="20:21" ht="15" customHeight="1" x14ac:dyDescent="0.25">
      <c r="T53933" s="135"/>
      <c r="U53933" s="135"/>
    </row>
    <row r="53934" spans="20:21" ht="15" customHeight="1" x14ac:dyDescent="0.25">
      <c r="T53934" s="135"/>
      <c r="U53934" s="135"/>
    </row>
    <row r="53935" spans="20:21" ht="15" customHeight="1" x14ac:dyDescent="0.25">
      <c r="T53935" s="135"/>
      <c r="U53935" s="135"/>
    </row>
    <row r="53936" spans="20:21" ht="15" customHeight="1" x14ac:dyDescent="0.25">
      <c r="T53936" s="135"/>
      <c r="U53936" s="135"/>
    </row>
    <row r="53937" spans="20:21" ht="15" customHeight="1" x14ac:dyDescent="0.25">
      <c r="T53937" s="135"/>
      <c r="U53937" s="135"/>
    </row>
    <row r="53938" spans="20:21" ht="15" customHeight="1" x14ac:dyDescent="0.25">
      <c r="T53938" s="135"/>
      <c r="U53938" s="135"/>
    </row>
    <row r="53939" spans="20:21" ht="15" customHeight="1" x14ac:dyDescent="0.25">
      <c r="T53939" s="135"/>
      <c r="U53939" s="135"/>
    </row>
    <row r="53940" spans="20:21" ht="15" customHeight="1" x14ac:dyDescent="0.25">
      <c r="T53940" s="135"/>
      <c r="U53940" s="135"/>
    </row>
    <row r="53941" spans="20:21" ht="15" customHeight="1" x14ac:dyDescent="0.25">
      <c r="T53941" s="135"/>
      <c r="U53941" s="135"/>
    </row>
    <row r="53942" spans="20:21" ht="15" customHeight="1" x14ac:dyDescent="0.25">
      <c r="T53942" s="135"/>
      <c r="U53942" s="135"/>
    </row>
    <row r="53943" spans="20:21" ht="15" customHeight="1" x14ac:dyDescent="0.25">
      <c r="T53943" s="135"/>
      <c r="U53943" s="135"/>
    </row>
    <row r="53944" spans="20:21" ht="15" customHeight="1" x14ac:dyDescent="0.25">
      <c r="T53944" s="135"/>
      <c r="U53944" s="135"/>
    </row>
    <row r="53945" spans="20:21" ht="15" customHeight="1" x14ac:dyDescent="0.25">
      <c r="T53945" s="135"/>
      <c r="U53945" s="135"/>
    </row>
    <row r="53946" spans="20:21" ht="15" customHeight="1" x14ac:dyDescent="0.25">
      <c r="T53946" s="135"/>
      <c r="U53946" s="135"/>
    </row>
    <row r="53947" spans="20:21" ht="15" customHeight="1" x14ac:dyDescent="0.25">
      <c r="T53947" s="135"/>
      <c r="U53947" s="135"/>
    </row>
    <row r="53948" spans="20:21" ht="15" customHeight="1" x14ac:dyDescent="0.25">
      <c r="T53948" s="135"/>
      <c r="U53948" s="135"/>
    </row>
    <row r="53949" spans="20:21" ht="15" customHeight="1" x14ac:dyDescent="0.25">
      <c r="T53949" s="135"/>
      <c r="U53949" s="135"/>
    </row>
    <row r="53950" spans="20:21" ht="15" customHeight="1" x14ac:dyDescent="0.25">
      <c r="T53950" s="135"/>
      <c r="U53950" s="135"/>
    </row>
    <row r="53951" spans="20:21" ht="15" customHeight="1" x14ac:dyDescent="0.25">
      <c r="T53951" s="135"/>
      <c r="U53951" s="135"/>
    </row>
    <row r="53952" spans="20:21" ht="15" customHeight="1" x14ac:dyDescent="0.25">
      <c r="T53952" s="135"/>
      <c r="U53952" s="135"/>
    </row>
    <row r="53953" spans="20:21" ht="15" customHeight="1" x14ac:dyDescent="0.25">
      <c r="T53953" s="135"/>
      <c r="U53953" s="135"/>
    </row>
    <row r="53954" spans="20:21" ht="15" customHeight="1" x14ac:dyDescent="0.25">
      <c r="T53954" s="135"/>
      <c r="U53954" s="135"/>
    </row>
    <row r="53955" spans="20:21" ht="15" customHeight="1" x14ac:dyDescent="0.25">
      <c r="T53955" s="135"/>
      <c r="U53955" s="135"/>
    </row>
    <row r="53956" spans="20:21" ht="15" customHeight="1" x14ac:dyDescent="0.25">
      <c r="T53956" s="135"/>
      <c r="U53956" s="135"/>
    </row>
    <row r="53957" spans="20:21" ht="15" customHeight="1" x14ac:dyDescent="0.25">
      <c r="T53957" s="135"/>
      <c r="U53957" s="135"/>
    </row>
    <row r="53958" spans="20:21" ht="15" customHeight="1" x14ac:dyDescent="0.25">
      <c r="T53958" s="135"/>
      <c r="U53958" s="135"/>
    </row>
    <row r="53959" spans="20:21" ht="15" customHeight="1" x14ac:dyDescent="0.25">
      <c r="T53959" s="135"/>
      <c r="U53959" s="135"/>
    </row>
    <row r="53960" spans="20:21" ht="15" customHeight="1" x14ac:dyDescent="0.25">
      <c r="T53960" s="135"/>
      <c r="U53960" s="135"/>
    </row>
    <row r="53961" spans="20:21" ht="15" customHeight="1" x14ac:dyDescent="0.25">
      <c r="T53961" s="135"/>
      <c r="U53961" s="135"/>
    </row>
    <row r="53962" spans="20:21" ht="15" customHeight="1" x14ac:dyDescent="0.25">
      <c r="T53962" s="135"/>
      <c r="U53962" s="135"/>
    </row>
    <row r="53963" spans="20:21" ht="15" customHeight="1" x14ac:dyDescent="0.25">
      <c r="T53963" s="135"/>
      <c r="U53963" s="135"/>
    </row>
    <row r="53964" spans="20:21" ht="15" customHeight="1" x14ac:dyDescent="0.25">
      <c r="T53964" s="135"/>
      <c r="U53964" s="135"/>
    </row>
    <row r="53965" spans="20:21" ht="15" customHeight="1" x14ac:dyDescent="0.25">
      <c r="T53965" s="135"/>
      <c r="U53965" s="135"/>
    </row>
    <row r="53966" spans="20:21" ht="15" customHeight="1" x14ac:dyDescent="0.25">
      <c r="T53966" s="135"/>
      <c r="U53966" s="135"/>
    </row>
    <row r="53967" spans="20:21" ht="15" customHeight="1" x14ac:dyDescent="0.25">
      <c r="T53967" s="135"/>
      <c r="U53967" s="135"/>
    </row>
    <row r="53968" spans="20:21" ht="15" customHeight="1" x14ac:dyDescent="0.25">
      <c r="T53968" s="135"/>
      <c r="U53968" s="135"/>
    </row>
    <row r="53969" spans="20:21" ht="15" customHeight="1" x14ac:dyDescent="0.25">
      <c r="T53969" s="135"/>
      <c r="U53969" s="135"/>
    </row>
    <row r="53970" spans="20:21" ht="15" customHeight="1" x14ac:dyDescent="0.25">
      <c r="T53970" s="135"/>
      <c r="U53970" s="135"/>
    </row>
    <row r="53971" spans="20:21" ht="15" customHeight="1" x14ac:dyDescent="0.25">
      <c r="T53971" s="135"/>
      <c r="U53971" s="135"/>
    </row>
    <row r="53972" spans="20:21" ht="15" customHeight="1" x14ac:dyDescent="0.25">
      <c r="T53972" s="135"/>
      <c r="U53972" s="135"/>
    </row>
    <row r="53973" spans="20:21" ht="15" customHeight="1" x14ac:dyDescent="0.25">
      <c r="T53973" s="135"/>
      <c r="U53973" s="135"/>
    </row>
    <row r="53974" spans="20:21" ht="15" customHeight="1" x14ac:dyDescent="0.25">
      <c r="T53974" s="135"/>
      <c r="U53974" s="135"/>
    </row>
    <row r="53975" spans="20:21" ht="15" customHeight="1" x14ac:dyDescent="0.25">
      <c r="T53975" s="135"/>
      <c r="U53975" s="135"/>
    </row>
    <row r="53976" spans="20:21" ht="15" customHeight="1" x14ac:dyDescent="0.25">
      <c r="T53976" s="135"/>
      <c r="U53976" s="135"/>
    </row>
    <row r="53977" spans="20:21" ht="15" customHeight="1" x14ac:dyDescent="0.25">
      <c r="T53977" s="135"/>
      <c r="U53977" s="135"/>
    </row>
    <row r="53978" spans="20:21" ht="15" customHeight="1" x14ac:dyDescent="0.25">
      <c r="T53978" s="135"/>
      <c r="U53978" s="135"/>
    </row>
    <row r="53979" spans="20:21" ht="15" customHeight="1" x14ac:dyDescent="0.25">
      <c r="T53979" s="135"/>
      <c r="U53979" s="135"/>
    </row>
    <row r="53980" spans="20:21" ht="15" customHeight="1" x14ac:dyDescent="0.25">
      <c r="T53980" s="135"/>
      <c r="U53980" s="135"/>
    </row>
    <row r="53981" spans="20:21" ht="15" customHeight="1" x14ac:dyDescent="0.25">
      <c r="T53981" s="135"/>
      <c r="U53981" s="135"/>
    </row>
    <row r="53982" spans="20:21" ht="15" customHeight="1" x14ac:dyDescent="0.25">
      <c r="T53982" s="135"/>
      <c r="U53982" s="135"/>
    </row>
    <row r="53983" spans="20:21" ht="15" customHeight="1" x14ac:dyDescent="0.25">
      <c r="T53983" s="135"/>
      <c r="U53983" s="135"/>
    </row>
    <row r="53984" spans="20:21" ht="15" customHeight="1" x14ac:dyDescent="0.25">
      <c r="T53984" s="135"/>
      <c r="U53984" s="135"/>
    </row>
    <row r="53985" spans="20:21" ht="15" customHeight="1" x14ac:dyDescent="0.25">
      <c r="T53985" s="135"/>
      <c r="U53985" s="135"/>
    </row>
    <row r="53986" spans="20:21" ht="15" customHeight="1" x14ac:dyDescent="0.25">
      <c r="T53986" s="135"/>
      <c r="U53986" s="135"/>
    </row>
    <row r="53987" spans="20:21" ht="15" customHeight="1" x14ac:dyDescent="0.25">
      <c r="T53987" s="135"/>
      <c r="U53987" s="135"/>
    </row>
    <row r="53988" spans="20:21" ht="15" customHeight="1" x14ac:dyDescent="0.25">
      <c r="T53988" s="135"/>
      <c r="U53988" s="135"/>
    </row>
    <row r="53989" spans="20:21" ht="15" customHeight="1" x14ac:dyDescent="0.25">
      <c r="T53989" s="135"/>
      <c r="U53989" s="135"/>
    </row>
    <row r="53990" spans="20:21" ht="15" customHeight="1" x14ac:dyDescent="0.25">
      <c r="T53990" s="135"/>
      <c r="U53990" s="135"/>
    </row>
    <row r="53991" spans="20:21" ht="15" customHeight="1" x14ac:dyDescent="0.25">
      <c r="T53991" s="135"/>
      <c r="U53991" s="135"/>
    </row>
    <row r="53992" spans="20:21" ht="15" customHeight="1" x14ac:dyDescent="0.25">
      <c r="T53992" s="135"/>
      <c r="U53992" s="135"/>
    </row>
    <row r="53993" spans="20:21" ht="15" customHeight="1" x14ac:dyDescent="0.25">
      <c r="T53993" s="135"/>
      <c r="U53993" s="135"/>
    </row>
    <row r="53994" spans="20:21" ht="15" customHeight="1" x14ac:dyDescent="0.25">
      <c r="T53994" s="135"/>
      <c r="U53994" s="135"/>
    </row>
    <row r="53995" spans="20:21" ht="15" customHeight="1" x14ac:dyDescent="0.25">
      <c r="T53995" s="135"/>
      <c r="U53995" s="135"/>
    </row>
    <row r="53996" spans="20:21" ht="15" customHeight="1" x14ac:dyDescent="0.25">
      <c r="T53996" s="135"/>
      <c r="U53996" s="135"/>
    </row>
    <row r="53997" spans="20:21" ht="15" customHeight="1" x14ac:dyDescent="0.25">
      <c r="T53997" s="135"/>
      <c r="U53997" s="135"/>
    </row>
    <row r="53998" spans="20:21" ht="15" customHeight="1" x14ac:dyDescent="0.25">
      <c r="T53998" s="135"/>
      <c r="U53998" s="135"/>
    </row>
    <row r="53999" spans="20:21" ht="15" customHeight="1" x14ac:dyDescent="0.25">
      <c r="T53999" s="135"/>
      <c r="U53999" s="135"/>
    </row>
    <row r="54000" spans="20:21" ht="15" customHeight="1" x14ac:dyDescent="0.25">
      <c r="T54000" s="135"/>
      <c r="U54000" s="135"/>
    </row>
    <row r="54001" spans="20:21" ht="15" customHeight="1" x14ac:dyDescent="0.25">
      <c r="T54001" s="135"/>
      <c r="U54001" s="135"/>
    </row>
    <row r="54002" spans="20:21" ht="15" customHeight="1" x14ac:dyDescent="0.25">
      <c r="T54002" s="135"/>
      <c r="U54002" s="135"/>
    </row>
    <row r="54003" spans="20:21" ht="15" customHeight="1" x14ac:dyDescent="0.25">
      <c r="T54003" s="135"/>
      <c r="U54003" s="135"/>
    </row>
    <row r="54004" spans="20:21" ht="15" customHeight="1" x14ac:dyDescent="0.25">
      <c r="T54004" s="135"/>
      <c r="U54004" s="135"/>
    </row>
    <row r="54005" spans="20:21" ht="15" customHeight="1" x14ac:dyDescent="0.25">
      <c r="T54005" s="135"/>
      <c r="U54005" s="135"/>
    </row>
    <row r="54006" spans="20:21" ht="15" customHeight="1" x14ac:dyDescent="0.25">
      <c r="T54006" s="135"/>
      <c r="U54006" s="135"/>
    </row>
    <row r="54007" spans="20:21" ht="15" customHeight="1" x14ac:dyDescent="0.25">
      <c r="T54007" s="135"/>
      <c r="U54007" s="135"/>
    </row>
    <row r="54008" spans="20:21" ht="15" customHeight="1" x14ac:dyDescent="0.25">
      <c r="T54008" s="135"/>
      <c r="U54008" s="135"/>
    </row>
    <row r="54009" spans="20:21" ht="15" customHeight="1" x14ac:dyDescent="0.25">
      <c r="T54009" s="135"/>
      <c r="U54009" s="135"/>
    </row>
    <row r="54010" spans="20:21" ht="15" customHeight="1" x14ac:dyDescent="0.25">
      <c r="T54010" s="135"/>
      <c r="U54010" s="135"/>
    </row>
    <row r="54011" spans="20:21" ht="15" customHeight="1" x14ac:dyDescent="0.25">
      <c r="T54011" s="135"/>
      <c r="U54011" s="135"/>
    </row>
    <row r="54012" spans="20:21" ht="15" customHeight="1" x14ac:dyDescent="0.25">
      <c r="T54012" s="135"/>
      <c r="U54012" s="135"/>
    </row>
    <row r="54013" spans="20:21" ht="15" customHeight="1" x14ac:dyDescent="0.25">
      <c r="T54013" s="135"/>
      <c r="U54013" s="135"/>
    </row>
    <row r="54014" spans="20:21" ht="15" customHeight="1" x14ac:dyDescent="0.25">
      <c r="T54014" s="135"/>
      <c r="U54014" s="135"/>
    </row>
    <row r="54015" spans="20:21" ht="15" customHeight="1" x14ac:dyDescent="0.25">
      <c r="T54015" s="135"/>
      <c r="U54015" s="135"/>
    </row>
    <row r="54016" spans="20:21" ht="15" customHeight="1" x14ac:dyDescent="0.25">
      <c r="T54016" s="135"/>
      <c r="U54016" s="135"/>
    </row>
    <row r="54017" spans="20:21" ht="15" customHeight="1" x14ac:dyDescent="0.25">
      <c r="T54017" s="135"/>
      <c r="U54017" s="135"/>
    </row>
    <row r="54018" spans="20:21" ht="15" customHeight="1" x14ac:dyDescent="0.25">
      <c r="T54018" s="135"/>
      <c r="U54018" s="135"/>
    </row>
    <row r="54019" spans="20:21" ht="15" customHeight="1" x14ac:dyDescent="0.25">
      <c r="T54019" s="135"/>
      <c r="U54019" s="135"/>
    </row>
    <row r="54020" spans="20:21" ht="15" customHeight="1" x14ac:dyDescent="0.25">
      <c r="T54020" s="135"/>
      <c r="U54020" s="135"/>
    </row>
    <row r="54021" spans="20:21" ht="15" customHeight="1" x14ac:dyDescent="0.25">
      <c r="T54021" s="135"/>
      <c r="U54021" s="135"/>
    </row>
    <row r="54022" spans="20:21" ht="15" customHeight="1" x14ac:dyDescent="0.25">
      <c r="T54022" s="135"/>
      <c r="U54022" s="135"/>
    </row>
    <row r="54023" spans="20:21" ht="15" customHeight="1" x14ac:dyDescent="0.25">
      <c r="T54023" s="135"/>
      <c r="U54023" s="135"/>
    </row>
    <row r="54024" spans="20:21" ht="15" customHeight="1" x14ac:dyDescent="0.25">
      <c r="T54024" s="135"/>
      <c r="U54024" s="135"/>
    </row>
    <row r="54025" spans="20:21" ht="15" customHeight="1" x14ac:dyDescent="0.25">
      <c r="T54025" s="135"/>
      <c r="U54025" s="135"/>
    </row>
    <row r="54026" spans="20:21" ht="15" customHeight="1" x14ac:dyDescent="0.25">
      <c r="T54026" s="135"/>
      <c r="U54026" s="135"/>
    </row>
    <row r="54027" spans="20:21" ht="15" customHeight="1" x14ac:dyDescent="0.25">
      <c r="T54027" s="135"/>
      <c r="U54027" s="135"/>
    </row>
    <row r="54028" spans="20:21" ht="15" customHeight="1" x14ac:dyDescent="0.25">
      <c r="T54028" s="135"/>
      <c r="U54028" s="135"/>
    </row>
    <row r="54029" spans="20:21" ht="15" customHeight="1" x14ac:dyDescent="0.25">
      <c r="T54029" s="135"/>
      <c r="U54029" s="135"/>
    </row>
    <row r="54030" spans="20:21" ht="15" customHeight="1" x14ac:dyDescent="0.25">
      <c r="T54030" s="135"/>
      <c r="U54030" s="135"/>
    </row>
    <row r="54031" spans="20:21" ht="15" customHeight="1" x14ac:dyDescent="0.25">
      <c r="T54031" s="135"/>
      <c r="U54031" s="135"/>
    </row>
    <row r="54032" spans="20:21" ht="15" customHeight="1" x14ac:dyDescent="0.25">
      <c r="T54032" s="135"/>
      <c r="U54032" s="135"/>
    </row>
    <row r="54033" spans="20:21" ht="15" customHeight="1" x14ac:dyDescent="0.25">
      <c r="T54033" s="135"/>
      <c r="U54033" s="135"/>
    </row>
    <row r="54034" spans="20:21" ht="15" customHeight="1" x14ac:dyDescent="0.25">
      <c r="T54034" s="135"/>
      <c r="U54034" s="135"/>
    </row>
    <row r="54035" spans="20:21" ht="15" customHeight="1" x14ac:dyDescent="0.25">
      <c r="T54035" s="135"/>
      <c r="U54035" s="135"/>
    </row>
    <row r="54036" spans="20:21" ht="15" customHeight="1" x14ac:dyDescent="0.25">
      <c r="T54036" s="135"/>
      <c r="U54036" s="135"/>
    </row>
    <row r="54037" spans="20:21" ht="15" customHeight="1" x14ac:dyDescent="0.25">
      <c r="T54037" s="135"/>
      <c r="U54037" s="135"/>
    </row>
    <row r="54038" spans="20:21" ht="15" customHeight="1" x14ac:dyDescent="0.25">
      <c r="T54038" s="135"/>
      <c r="U54038" s="135"/>
    </row>
    <row r="54039" spans="20:21" ht="15" customHeight="1" x14ac:dyDescent="0.25">
      <c r="T54039" s="135"/>
      <c r="U54039" s="135"/>
    </row>
    <row r="54040" spans="20:21" ht="15" customHeight="1" x14ac:dyDescent="0.25">
      <c r="T54040" s="135"/>
      <c r="U54040" s="135"/>
    </row>
    <row r="54041" spans="20:21" ht="15" customHeight="1" x14ac:dyDescent="0.25">
      <c r="T54041" s="135"/>
      <c r="U54041" s="135"/>
    </row>
    <row r="54042" spans="20:21" ht="15" customHeight="1" x14ac:dyDescent="0.25">
      <c r="T54042" s="135"/>
      <c r="U54042" s="135"/>
    </row>
    <row r="54043" spans="20:21" ht="15" customHeight="1" x14ac:dyDescent="0.25">
      <c r="T54043" s="135"/>
      <c r="U54043" s="135"/>
    </row>
    <row r="54044" spans="20:21" ht="15" customHeight="1" x14ac:dyDescent="0.25">
      <c r="T54044" s="135"/>
      <c r="U54044" s="135"/>
    </row>
    <row r="54045" spans="20:21" ht="15" customHeight="1" x14ac:dyDescent="0.25">
      <c r="T54045" s="135"/>
      <c r="U54045" s="135"/>
    </row>
    <row r="54046" spans="20:21" ht="15" customHeight="1" x14ac:dyDescent="0.25">
      <c r="T54046" s="135"/>
      <c r="U54046" s="135"/>
    </row>
    <row r="54047" spans="20:21" ht="15" customHeight="1" x14ac:dyDescent="0.25">
      <c r="T54047" s="135"/>
      <c r="U54047" s="135"/>
    </row>
    <row r="54048" spans="20:21" ht="15" customHeight="1" x14ac:dyDescent="0.25">
      <c r="T54048" s="135"/>
      <c r="U54048" s="135"/>
    </row>
    <row r="54049" spans="20:21" ht="15" customHeight="1" x14ac:dyDescent="0.25">
      <c r="T54049" s="135"/>
      <c r="U54049" s="135"/>
    </row>
    <row r="54050" spans="20:21" ht="15" customHeight="1" x14ac:dyDescent="0.25">
      <c r="T54050" s="135"/>
      <c r="U54050" s="135"/>
    </row>
    <row r="54051" spans="20:21" ht="15" customHeight="1" x14ac:dyDescent="0.25">
      <c r="T54051" s="135"/>
      <c r="U54051" s="135"/>
    </row>
    <row r="54052" spans="20:21" ht="15" customHeight="1" x14ac:dyDescent="0.25">
      <c r="T54052" s="135"/>
      <c r="U54052" s="135"/>
    </row>
    <row r="54053" spans="20:21" ht="15" customHeight="1" x14ac:dyDescent="0.25">
      <c r="T54053" s="135"/>
      <c r="U54053" s="135"/>
    </row>
    <row r="54054" spans="20:21" ht="15" customHeight="1" x14ac:dyDescent="0.25">
      <c r="T54054" s="135"/>
      <c r="U54054" s="135"/>
    </row>
    <row r="54055" spans="20:21" ht="15" customHeight="1" x14ac:dyDescent="0.25">
      <c r="T54055" s="135"/>
      <c r="U54055" s="135"/>
    </row>
    <row r="54056" spans="20:21" ht="15" customHeight="1" x14ac:dyDescent="0.25">
      <c r="T54056" s="135"/>
      <c r="U54056" s="135"/>
    </row>
    <row r="54057" spans="20:21" ht="15" customHeight="1" x14ac:dyDescent="0.25">
      <c r="T54057" s="135"/>
      <c r="U54057" s="135"/>
    </row>
    <row r="54058" spans="20:21" ht="15" customHeight="1" x14ac:dyDescent="0.25">
      <c r="T54058" s="135"/>
      <c r="U54058" s="135"/>
    </row>
    <row r="54059" spans="20:21" ht="15" customHeight="1" x14ac:dyDescent="0.25">
      <c r="T54059" s="135"/>
      <c r="U54059" s="135"/>
    </row>
    <row r="54060" spans="20:21" ht="15" customHeight="1" x14ac:dyDescent="0.25">
      <c r="T54060" s="135"/>
      <c r="U54060" s="135"/>
    </row>
    <row r="54061" spans="20:21" ht="15" customHeight="1" x14ac:dyDescent="0.25">
      <c r="T54061" s="135"/>
      <c r="U54061" s="135"/>
    </row>
    <row r="54062" spans="20:21" ht="15" customHeight="1" x14ac:dyDescent="0.25">
      <c r="T54062" s="135"/>
      <c r="U54062" s="135"/>
    </row>
    <row r="54063" spans="20:21" ht="15" customHeight="1" x14ac:dyDescent="0.25">
      <c r="T54063" s="135"/>
      <c r="U54063" s="135"/>
    </row>
    <row r="54064" spans="20:21" ht="15" customHeight="1" x14ac:dyDescent="0.25">
      <c r="T54064" s="135"/>
      <c r="U54064" s="135"/>
    </row>
    <row r="54065" spans="20:21" ht="15" customHeight="1" x14ac:dyDescent="0.25">
      <c r="T54065" s="135"/>
      <c r="U54065" s="135"/>
    </row>
    <row r="54066" spans="20:21" ht="15" customHeight="1" x14ac:dyDescent="0.25">
      <c r="T54066" s="135"/>
      <c r="U54066" s="135"/>
    </row>
    <row r="54067" spans="20:21" ht="15" customHeight="1" x14ac:dyDescent="0.25">
      <c r="T54067" s="135"/>
      <c r="U54067" s="135"/>
    </row>
    <row r="54068" spans="20:21" ht="15" customHeight="1" x14ac:dyDescent="0.25">
      <c r="T54068" s="135"/>
      <c r="U54068" s="135"/>
    </row>
    <row r="54069" spans="20:21" ht="15" customHeight="1" x14ac:dyDescent="0.25">
      <c r="T54069" s="135"/>
      <c r="U54069" s="135"/>
    </row>
    <row r="54070" spans="20:21" ht="15" customHeight="1" x14ac:dyDescent="0.25">
      <c r="T54070" s="135"/>
      <c r="U54070" s="135"/>
    </row>
    <row r="54071" spans="20:21" ht="15" customHeight="1" x14ac:dyDescent="0.25">
      <c r="T54071" s="135"/>
      <c r="U54071" s="135"/>
    </row>
    <row r="54072" spans="20:21" ht="15" customHeight="1" x14ac:dyDescent="0.25">
      <c r="T54072" s="135"/>
      <c r="U54072" s="135"/>
    </row>
    <row r="54073" spans="20:21" ht="15" customHeight="1" x14ac:dyDescent="0.25">
      <c r="T54073" s="135"/>
      <c r="U54073" s="135"/>
    </row>
    <row r="54074" spans="20:21" ht="15" customHeight="1" x14ac:dyDescent="0.25">
      <c r="T54074" s="135"/>
      <c r="U54074" s="135"/>
    </row>
    <row r="54075" spans="20:21" ht="15" customHeight="1" x14ac:dyDescent="0.25">
      <c r="T54075" s="135"/>
      <c r="U54075" s="135"/>
    </row>
    <row r="54076" spans="20:21" ht="15" customHeight="1" x14ac:dyDescent="0.25">
      <c r="T54076" s="135"/>
      <c r="U54076" s="135"/>
    </row>
    <row r="54077" spans="20:21" ht="15" customHeight="1" x14ac:dyDescent="0.25">
      <c r="T54077" s="135"/>
      <c r="U54077" s="135"/>
    </row>
    <row r="54078" spans="20:21" ht="15" customHeight="1" x14ac:dyDescent="0.25">
      <c r="T54078" s="135"/>
      <c r="U54078" s="135"/>
    </row>
    <row r="54079" spans="20:21" ht="15" customHeight="1" x14ac:dyDescent="0.25">
      <c r="T54079" s="135"/>
      <c r="U54079" s="135"/>
    </row>
    <row r="54080" spans="20:21" ht="15" customHeight="1" x14ac:dyDescent="0.25">
      <c r="T54080" s="135"/>
      <c r="U54080" s="135"/>
    </row>
    <row r="54081" spans="20:21" ht="15" customHeight="1" x14ac:dyDescent="0.25">
      <c r="T54081" s="135"/>
      <c r="U54081" s="135"/>
    </row>
    <row r="54082" spans="20:21" ht="15" customHeight="1" x14ac:dyDescent="0.25">
      <c r="T54082" s="135"/>
      <c r="U54082" s="135"/>
    </row>
    <row r="54083" spans="20:21" ht="15" customHeight="1" x14ac:dyDescent="0.25">
      <c r="T54083" s="135"/>
      <c r="U54083" s="135"/>
    </row>
    <row r="54084" spans="20:21" ht="15" customHeight="1" x14ac:dyDescent="0.25">
      <c r="T54084" s="135"/>
      <c r="U54084" s="135"/>
    </row>
    <row r="54085" spans="20:21" ht="15" customHeight="1" x14ac:dyDescent="0.25">
      <c r="T54085" s="135"/>
      <c r="U54085" s="135"/>
    </row>
    <row r="54086" spans="20:21" ht="15" customHeight="1" x14ac:dyDescent="0.25">
      <c r="T54086" s="135"/>
      <c r="U54086" s="135"/>
    </row>
    <row r="54087" spans="20:21" ht="15" customHeight="1" x14ac:dyDescent="0.25">
      <c r="T54087" s="135"/>
      <c r="U54087" s="135"/>
    </row>
    <row r="54088" spans="20:21" ht="15" customHeight="1" x14ac:dyDescent="0.25">
      <c r="T54088" s="135"/>
      <c r="U54088" s="135"/>
    </row>
    <row r="54089" spans="20:21" ht="15" customHeight="1" x14ac:dyDescent="0.25">
      <c r="T54089" s="135"/>
      <c r="U54089" s="135"/>
    </row>
    <row r="54090" spans="20:21" ht="15" customHeight="1" x14ac:dyDescent="0.25">
      <c r="T54090" s="135"/>
      <c r="U54090" s="135"/>
    </row>
    <row r="54091" spans="20:21" ht="15" customHeight="1" x14ac:dyDescent="0.25">
      <c r="T54091" s="135"/>
      <c r="U54091" s="135"/>
    </row>
    <row r="54092" spans="20:21" ht="15" customHeight="1" x14ac:dyDescent="0.25">
      <c r="T54092" s="135"/>
      <c r="U54092" s="135"/>
    </row>
    <row r="54093" spans="20:21" ht="15" customHeight="1" x14ac:dyDescent="0.25">
      <c r="T54093" s="135"/>
      <c r="U54093" s="135"/>
    </row>
    <row r="54094" spans="20:21" ht="15" customHeight="1" x14ac:dyDescent="0.25">
      <c r="T54094" s="135"/>
      <c r="U54094" s="135"/>
    </row>
    <row r="54095" spans="20:21" ht="15" customHeight="1" x14ac:dyDescent="0.25">
      <c r="T54095" s="135"/>
      <c r="U54095" s="135"/>
    </row>
    <row r="54096" spans="20:21" ht="15" customHeight="1" x14ac:dyDescent="0.25">
      <c r="T54096" s="135"/>
      <c r="U54096" s="135"/>
    </row>
    <row r="54097" spans="20:21" ht="15" customHeight="1" x14ac:dyDescent="0.25">
      <c r="T54097" s="135"/>
      <c r="U54097" s="135"/>
    </row>
    <row r="54098" spans="20:21" ht="15" customHeight="1" x14ac:dyDescent="0.25">
      <c r="T54098" s="135"/>
      <c r="U54098" s="135"/>
    </row>
    <row r="54099" spans="20:21" ht="15" customHeight="1" x14ac:dyDescent="0.25">
      <c r="T54099" s="135"/>
      <c r="U54099" s="135"/>
    </row>
    <row r="54100" spans="20:21" ht="15" customHeight="1" x14ac:dyDescent="0.25">
      <c r="T54100" s="135"/>
      <c r="U54100" s="135"/>
    </row>
    <row r="54101" spans="20:21" ht="15" customHeight="1" x14ac:dyDescent="0.25">
      <c r="T54101" s="135"/>
      <c r="U54101" s="135"/>
    </row>
    <row r="54102" spans="20:21" ht="15" customHeight="1" x14ac:dyDescent="0.25">
      <c r="T54102" s="135"/>
      <c r="U54102" s="135"/>
    </row>
    <row r="54103" spans="20:21" ht="15" customHeight="1" x14ac:dyDescent="0.25">
      <c r="T54103" s="135"/>
      <c r="U54103" s="135"/>
    </row>
    <row r="54104" spans="20:21" ht="15" customHeight="1" x14ac:dyDescent="0.25">
      <c r="T54104" s="135"/>
      <c r="U54104" s="135"/>
    </row>
    <row r="54105" spans="20:21" ht="15" customHeight="1" x14ac:dyDescent="0.25">
      <c r="T54105" s="135"/>
      <c r="U54105" s="135"/>
    </row>
    <row r="54106" spans="20:21" ht="15" customHeight="1" x14ac:dyDescent="0.25">
      <c r="T54106" s="135"/>
      <c r="U54106" s="135"/>
    </row>
    <row r="54107" spans="20:21" ht="15" customHeight="1" x14ac:dyDescent="0.25">
      <c r="T54107" s="135"/>
      <c r="U54107" s="135"/>
    </row>
    <row r="54108" spans="20:21" ht="15" customHeight="1" x14ac:dyDescent="0.25">
      <c r="T54108" s="135"/>
      <c r="U54108" s="135"/>
    </row>
    <row r="54109" spans="20:21" ht="15" customHeight="1" x14ac:dyDescent="0.25">
      <c r="T54109" s="135"/>
      <c r="U54109" s="135"/>
    </row>
    <row r="54110" spans="20:21" ht="15" customHeight="1" x14ac:dyDescent="0.25">
      <c r="T54110" s="135"/>
      <c r="U54110" s="135"/>
    </row>
    <row r="54111" spans="20:21" ht="15" customHeight="1" x14ac:dyDescent="0.25">
      <c r="T54111" s="135"/>
      <c r="U54111" s="135"/>
    </row>
    <row r="54112" spans="20:21" ht="15" customHeight="1" x14ac:dyDescent="0.25">
      <c r="T54112" s="135"/>
      <c r="U54112" s="135"/>
    </row>
    <row r="54113" spans="20:21" ht="15" customHeight="1" x14ac:dyDescent="0.25">
      <c r="T54113" s="135"/>
      <c r="U54113" s="135"/>
    </row>
    <row r="54114" spans="20:21" ht="15" customHeight="1" x14ac:dyDescent="0.25">
      <c r="T54114" s="135"/>
      <c r="U54114" s="135"/>
    </row>
    <row r="54115" spans="20:21" ht="15" customHeight="1" x14ac:dyDescent="0.25">
      <c r="T54115" s="135"/>
      <c r="U54115" s="135"/>
    </row>
    <row r="54116" spans="20:21" ht="15" customHeight="1" x14ac:dyDescent="0.25">
      <c r="T54116" s="135"/>
      <c r="U54116" s="135"/>
    </row>
    <row r="54117" spans="20:21" ht="15" customHeight="1" x14ac:dyDescent="0.25">
      <c r="T54117" s="135"/>
      <c r="U54117" s="135"/>
    </row>
    <row r="54118" spans="20:21" ht="15" customHeight="1" x14ac:dyDescent="0.25">
      <c r="T54118" s="135"/>
      <c r="U54118" s="135"/>
    </row>
    <row r="54119" spans="20:21" ht="15" customHeight="1" x14ac:dyDescent="0.25">
      <c r="T54119" s="135"/>
      <c r="U54119" s="135"/>
    </row>
    <row r="54120" spans="20:21" ht="15" customHeight="1" x14ac:dyDescent="0.25">
      <c r="T54120" s="135"/>
      <c r="U54120" s="135"/>
    </row>
    <row r="54121" spans="20:21" ht="15" customHeight="1" x14ac:dyDescent="0.25">
      <c r="T54121" s="135"/>
      <c r="U54121" s="135"/>
    </row>
    <row r="54122" spans="20:21" ht="15" customHeight="1" x14ac:dyDescent="0.25">
      <c r="T54122" s="135"/>
      <c r="U54122" s="135"/>
    </row>
    <row r="54123" spans="20:21" ht="15" customHeight="1" x14ac:dyDescent="0.25">
      <c r="T54123" s="135"/>
      <c r="U54123" s="135"/>
    </row>
    <row r="54124" spans="20:21" ht="15" customHeight="1" x14ac:dyDescent="0.25">
      <c r="T54124" s="135"/>
      <c r="U54124" s="135"/>
    </row>
    <row r="54125" spans="20:21" ht="15" customHeight="1" x14ac:dyDescent="0.25">
      <c r="T54125" s="135"/>
      <c r="U54125" s="135"/>
    </row>
    <row r="54126" spans="20:21" ht="15" customHeight="1" x14ac:dyDescent="0.25">
      <c r="T54126" s="135"/>
      <c r="U54126" s="135"/>
    </row>
    <row r="54127" spans="20:21" ht="15" customHeight="1" x14ac:dyDescent="0.25">
      <c r="T54127" s="135"/>
      <c r="U54127" s="135"/>
    </row>
    <row r="54128" spans="20:21" ht="15" customHeight="1" x14ac:dyDescent="0.25">
      <c r="T54128" s="135"/>
      <c r="U54128" s="135"/>
    </row>
    <row r="54129" spans="20:21" ht="15" customHeight="1" x14ac:dyDescent="0.25">
      <c r="T54129" s="135"/>
      <c r="U54129" s="135"/>
    </row>
    <row r="54130" spans="20:21" ht="15" customHeight="1" x14ac:dyDescent="0.25">
      <c r="T54130" s="135"/>
      <c r="U54130" s="135"/>
    </row>
    <row r="54131" spans="20:21" ht="15" customHeight="1" x14ac:dyDescent="0.25">
      <c r="T54131" s="135"/>
      <c r="U54131" s="135"/>
    </row>
    <row r="54132" spans="20:21" ht="15" customHeight="1" x14ac:dyDescent="0.25">
      <c r="T54132" s="135"/>
      <c r="U54132" s="135"/>
    </row>
    <row r="54133" spans="20:21" ht="15" customHeight="1" x14ac:dyDescent="0.25">
      <c r="T54133" s="135"/>
      <c r="U54133" s="135"/>
    </row>
    <row r="54134" spans="20:21" ht="15" customHeight="1" x14ac:dyDescent="0.25">
      <c r="T54134" s="135"/>
      <c r="U54134" s="135"/>
    </row>
    <row r="54135" spans="20:21" ht="15" customHeight="1" x14ac:dyDescent="0.25">
      <c r="T54135" s="135"/>
      <c r="U54135" s="135"/>
    </row>
    <row r="54136" spans="20:21" ht="15" customHeight="1" x14ac:dyDescent="0.25">
      <c r="T54136" s="135"/>
      <c r="U54136" s="135"/>
    </row>
    <row r="54137" spans="20:21" ht="15" customHeight="1" x14ac:dyDescent="0.25">
      <c r="T54137" s="135"/>
      <c r="U54137" s="135"/>
    </row>
    <row r="54138" spans="20:21" ht="15" customHeight="1" x14ac:dyDescent="0.25">
      <c r="T54138" s="135"/>
      <c r="U54138" s="135"/>
    </row>
    <row r="54139" spans="20:21" ht="15" customHeight="1" x14ac:dyDescent="0.25">
      <c r="T54139" s="135"/>
      <c r="U54139" s="135"/>
    </row>
    <row r="54140" spans="20:21" ht="15" customHeight="1" x14ac:dyDescent="0.25">
      <c r="T54140" s="135"/>
      <c r="U54140" s="135"/>
    </row>
    <row r="54141" spans="20:21" ht="15" customHeight="1" x14ac:dyDescent="0.25">
      <c r="T54141" s="135"/>
      <c r="U54141" s="135"/>
    </row>
    <row r="54142" spans="20:21" ht="15" customHeight="1" x14ac:dyDescent="0.25">
      <c r="T54142" s="135"/>
      <c r="U54142" s="135"/>
    </row>
    <row r="54143" spans="20:21" ht="15" customHeight="1" x14ac:dyDescent="0.25">
      <c r="T54143" s="135"/>
      <c r="U54143" s="135"/>
    </row>
    <row r="54144" spans="20:21" ht="15" customHeight="1" x14ac:dyDescent="0.25">
      <c r="T54144" s="135"/>
      <c r="U54144" s="135"/>
    </row>
    <row r="54145" spans="20:21" ht="15" customHeight="1" x14ac:dyDescent="0.25">
      <c r="T54145" s="135"/>
      <c r="U54145" s="135"/>
    </row>
    <row r="54146" spans="20:21" ht="15" customHeight="1" x14ac:dyDescent="0.25">
      <c r="T54146" s="135"/>
      <c r="U54146" s="135"/>
    </row>
    <row r="54147" spans="20:21" ht="15" customHeight="1" x14ac:dyDescent="0.25">
      <c r="T54147" s="135"/>
      <c r="U54147" s="135"/>
    </row>
    <row r="54148" spans="20:21" ht="15" customHeight="1" x14ac:dyDescent="0.25">
      <c r="T54148" s="135"/>
      <c r="U54148" s="135"/>
    </row>
    <row r="54149" spans="20:21" ht="15" customHeight="1" x14ac:dyDescent="0.25">
      <c r="T54149" s="135"/>
      <c r="U54149" s="135"/>
    </row>
    <row r="54150" spans="20:21" ht="15" customHeight="1" x14ac:dyDescent="0.25">
      <c r="T54150" s="135"/>
      <c r="U54150" s="135"/>
    </row>
    <row r="54151" spans="20:21" ht="15" customHeight="1" x14ac:dyDescent="0.25">
      <c r="T54151" s="135"/>
      <c r="U54151" s="135"/>
    </row>
    <row r="54152" spans="20:21" ht="15" customHeight="1" x14ac:dyDescent="0.25">
      <c r="T54152" s="135"/>
      <c r="U54152" s="135"/>
    </row>
    <row r="54153" spans="20:21" ht="15" customHeight="1" x14ac:dyDescent="0.25">
      <c r="T54153" s="135"/>
      <c r="U54153" s="135"/>
    </row>
    <row r="54154" spans="20:21" ht="15" customHeight="1" x14ac:dyDescent="0.25">
      <c r="T54154" s="135"/>
      <c r="U54154" s="135"/>
    </row>
    <row r="54155" spans="20:21" ht="15" customHeight="1" x14ac:dyDescent="0.25">
      <c r="T54155" s="135"/>
      <c r="U54155" s="135"/>
    </row>
    <row r="54156" spans="20:21" ht="15" customHeight="1" x14ac:dyDescent="0.25">
      <c r="T54156" s="135"/>
      <c r="U54156" s="135"/>
    </row>
    <row r="54157" spans="20:21" ht="15" customHeight="1" x14ac:dyDescent="0.25">
      <c r="T54157" s="135"/>
      <c r="U54157" s="135"/>
    </row>
    <row r="54158" spans="20:21" ht="15" customHeight="1" x14ac:dyDescent="0.25">
      <c r="T54158" s="135"/>
      <c r="U54158" s="135"/>
    </row>
    <row r="54159" spans="20:21" ht="15" customHeight="1" x14ac:dyDescent="0.25">
      <c r="T54159" s="135"/>
      <c r="U54159" s="135"/>
    </row>
    <row r="54160" spans="20:21" ht="15" customHeight="1" x14ac:dyDescent="0.25">
      <c r="T54160" s="135"/>
      <c r="U54160" s="135"/>
    </row>
    <row r="54161" spans="20:21" ht="15" customHeight="1" x14ac:dyDescent="0.25">
      <c r="T54161" s="135"/>
      <c r="U54161" s="135"/>
    </row>
    <row r="54162" spans="20:21" ht="15" customHeight="1" x14ac:dyDescent="0.25">
      <c r="T54162" s="135"/>
      <c r="U54162" s="135"/>
    </row>
    <row r="54163" spans="20:21" ht="15" customHeight="1" x14ac:dyDescent="0.25">
      <c r="T54163" s="135"/>
      <c r="U54163" s="135"/>
    </row>
    <row r="54164" spans="20:21" ht="15" customHeight="1" x14ac:dyDescent="0.25">
      <c r="T54164" s="135"/>
      <c r="U54164" s="135"/>
    </row>
    <row r="54165" spans="20:21" ht="15" customHeight="1" x14ac:dyDescent="0.25">
      <c r="T54165" s="135"/>
      <c r="U54165" s="135"/>
    </row>
    <row r="54166" spans="20:21" ht="15" customHeight="1" x14ac:dyDescent="0.25">
      <c r="T54166" s="135"/>
      <c r="U54166" s="135"/>
    </row>
    <row r="54167" spans="20:21" ht="15" customHeight="1" x14ac:dyDescent="0.25">
      <c r="T54167" s="135"/>
      <c r="U54167" s="135"/>
    </row>
    <row r="54168" spans="20:21" ht="15" customHeight="1" x14ac:dyDescent="0.25">
      <c r="T54168" s="135"/>
      <c r="U54168" s="135"/>
    </row>
    <row r="54169" spans="20:21" ht="15" customHeight="1" x14ac:dyDescent="0.25">
      <c r="T54169" s="135"/>
      <c r="U54169" s="135"/>
    </row>
    <row r="54170" spans="20:21" ht="15" customHeight="1" x14ac:dyDescent="0.25">
      <c r="T54170" s="135"/>
      <c r="U54170" s="135"/>
    </row>
    <row r="54171" spans="20:21" ht="15" customHeight="1" x14ac:dyDescent="0.25">
      <c r="T54171" s="135"/>
      <c r="U54171" s="135"/>
    </row>
    <row r="54172" spans="20:21" ht="15" customHeight="1" x14ac:dyDescent="0.25">
      <c r="T54172" s="135"/>
      <c r="U54172" s="135"/>
    </row>
    <row r="54173" spans="20:21" ht="15" customHeight="1" x14ac:dyDescent="0.25">
      <c r="T54173" s="135"/>
      <c r="U54173" s="135"/>
    </row>
    <row r="54174" spans="20:21" ht="15" customHeight="1" x14ac:dyDescent="0.25">
      <c r="T54174" s="135"/>
      <c r="U54174" s="135"/>
    </row>
    <row r="54175" spans="20:21" ht="15" customHeight="1" x14ac:dyDescent="0.25">
      <c r="T54175" s="135"/>
      <c r="U54175" s="135"/>
    </row>
    <row r="54176" spans="20:21" ht="15" customHeight="1" x14ac:dyDescent="0.25">
      <c r="T54176" s="135"/>
      <c r="U54176" s="135"/>
    </row>
    <row r="54177" spans="20:21" ht="15" customHeight="1" x14ac:dyDescent="0.25">
      <c r="T54177" s="135"/>
      <c r="U54177" s="135"/>
    </row>
    <row r="54178" spans="20:21" ht="15" customHeight="1" x14ac:dyDescent="0.25">
      <c r="T54178" s="135"/>
      <c r="U54178" s="135"/>
    </row>
    <row r="54179" spans="20:21" ht="15" customHeight="1" x14ac:dyDescent="0.25">
      <c r="T54179" s="135"/>
      <c r="U54179" s="135"/>
    </row>
    <row r="54180" spans="20:21" ht="15" customHeight="1" x14ac:dyDescent="0.25">
      <c r="T54180" s="135"/>
      <c r="U54180" s="135"/>
    </row>
    <row r="54181" spans="20:21" ht="15" customHeight="1" x14ac:dyDescent="0.25">
      <c r="T54181" s="135"/>
      <c r="U54181" s="135"/>
    </row>
    <row r="54182" spans="20:21" ht="15" customHeight="1" x14ac:dyDescent="0.25">
      <c r="T54182" s="135"/>
      <c r="U54182" s="135"/>
    </row>
    <row r="54183" spans="20:21" ht="15" customHeight="1" x14ac:dyDescent="0.25">
      <c r="T54183" s="135"/>
      <c r="U54183" s="135"/>
    </row>
    <row r="54184" spans="20:21" ht="15" customHeight="1" x14ac:dyDescent="0.25">
      <c r="T54184" s="135"/>
      <c r="U54184" s="135"/>
    </row>
    <row r="54185" spans="20:21" ht="15" customHeight="1" x14ac:dyDescent="0.25">
      <c r="T54185" s="135"/>
      <c r="U54185" s="135"/>
    </row>
    <row r="54186" spans="20:21" ht="15" customHeight="1" x14ac:dyDescent="0.25">
      <c r="T54186" s="135"/>
      <c r="U54186" s="135"/>
    </row>
    <row r="54187" spans="20:21" ht="15" customHeight="1" x14ac:dyDescent="0.25">
      <c r="T54187" s="135"/>
      <c r="U54187" s="135"/>
    </row>
    <row r="54188" spans="20:21" ht="15" customHeight="1" x14ac:dyDescent="0.25">
      <c r="T54188" s="135"/>
      <c r="U54188" s="135"/>
    </row>
    <row r="54189" spans="20:21" ht="15" customHeight="1" x14ac:dyDescent="0.25">
      <c r="T54189" s="135"/>
      <c r="U54189" s="135"/>
    </row>
    <row r="54190" spans="20:21" ht="15" customHeight="1" x14ac:dyDescent="0.25">
      <c r="T54190" s="135"/>
      <c r="U54190" s="135"/>
    </row>
    <row r="54191" spans="20:21" ht="15" customHeight="1" x14ac:dyDescent="0.25">
      <c r="T54191" s="135"/>
      <c r="U54191" s="135"/>
    </row>
    <row r="54192" spans="20:21" ht="15" customHeight="1" x14ac:dyDescent="0.25">
      <c r="T54192" s="135"/>
      <c r="U54192" s="135"/>
    </row>
    <row r="54193" spans="20:21" ht="15" customHeight="1" x14ac:dyDescent="0.25">
      <c r="T54193" s="135"/>
      <c r="U54193" s="135"/>
    </row>
    <row r="54194" spans="20:21" ht="15" customHeight="1" x14ac:dyDescent="0.25">
      <c r="T54194" s="135"/>
      <c r="U54194" s="135"/>
    </row>
    <row r="54195" spans="20:21" ht="15" customHeight="1" x14ac:dyDescent="0.25">
      <c r="T54195" s="135"/>
      <c r="U54195" s="135"/>
    </row>
    <row r="54196" spans="20:21" ht="15" customHeight="1" x14ac:dyDescent="0.25">
      <c r="T54196" s="135"/>
      <c r="U54196" s="135"/>
    </row>
    <row r="54197" spans="20:21" ht="15" customHeight="1" x14ac:dyDescent="0.25">
      <c r="T54197" s="135"/>
      <c r="U54197" s="135"/>
    </row>
    <row r="54198" spans="20:21" ht="15" customHeight="1" x14ac:dyDescent="0.25">
      <c r="T54198" s="135"/>
      <c r="U54198" s="135"/>
    </row>
    <row r="54199" spans="20:21" ht="15" customHeight="1" x14ac:dyDescent="0.25">
      <c r="T54199" s="135"/>
      <c r="U54199" s="135"/>
    </row>
    <row r="54200" spans="20:21" ht="15" customHeight="1" x14ac:dyDescent="0.25">
      <c r="T54200" s="135"/>
      <c r="U54200" s="135"/>
    </row>
    <row r="54201" spans="20:21" ht="15" customHeight="1" x14ac:dyDescent="0.25">
      <c r="T54201" s="135"/>
      <c r="U54201" s="135"/>
    </row>
    <row r="54202" spans="20:21" ht="15" customHeight="1" x14ac:dyDescent="0.25">
      <c r="T54202" s="135"/>
      <c r="U54202" s="135"/>
    </row>
    <row r="54203" spans="20:21" ht="15" customHeight="1" x14ac:dyDescent="0.25">
      <c r="T54203" s="135"/>
      <c r="U54203" s="135"/>
    </row>
    <row r="54204" spans="20:21" ht="15" customHeight="1" x14ac:dyDescent="0.25">
      <c r="T54204" s="135"/>
      <c r="U54204" s="135"/>
    </row>
    <row r="54205" spans="20:21" ht="15" customHeight="1" x14ac:dyDescent="0.25">
      <c r="T54205" s="135"/>
      <c r="U54205" s="135"/>
    </row>
    <row r="54206" spans="20:21" ht="15" customHeight="1" x14ac:dyDescent="0.25">
      <c r="T54206" s="135"/>
      <c r="U54206" s="135"/>
    </row>
    <row r="54207" spans="20:21" ht="15" customHeight="1" x14ac:dyDescent="0.25">
      <c r="T54207" s="135"/>
      <c r="U54207" s="135"/>
    </row>
    <row r="54208" spans="20:21" ht="15" customHeight="1" x14ac:dyDescent="0.25">
      <c r="T54208" s="135"/>
      <c r="U54208" s="135"/>
    </row>
    <row r="54209" spans="20:21" ht="15" customHeight="1" x14ac:dyDescent="0.25">
      <c r="T54209" s="135"/>
      <c r="U54209" s="135"/>
    </row>
    <row r="54210" spans="20:21" ht="15" customHeight="1" x14ac:dyDescent="0.25">
      <c r="T54210" s="135"/>
      <c r="U54210" s="135"/>
    </row>
    <row r="54211" spans="20:21" ht="15" customHeight="1" x14ac:dyDescent="0.25">
      <c r="T54211" s="135"/>
      <c r="U54211" s="135"/>
    </row>
    <row r="54212" spans="20:21" ht="15" customHeight="1" x14ac:dyDescent="0.25">
      <c r="T54212" s="135"/>
      <c r="U54212" s="135"/>
    </row>
    <row r="54213" spans="20:21" ht="15" customHeight="1" x14ac:dyDescent="0.25">
      <c r="T54213" s="135"/>
      <c r="U54213" s="135"/>
    </row>
    <row r="54214" spans="20:21" ht="15" customHeight="1" x14ac:dyDescent="0.25">
      <c r="T54214" s="135"/>
      <c r="U54214" s="135"/>
    </row>
    <row r="54215" spans="20:21" ht="15" customHeight="1" x14ac:dyDescent="0.25">
      <c r="T54215" s="135"/>
      <c r="U54215" s="135"/>
    </row>
    <row r="54216" spans="20:21" ht="15" customHeight="1" x14ac:dyDescent="0.25">
      <c r="T54216" s="135"/>
      <c r="U54216" s="135"/>
    </row>
    <row r="54217" spans="20:21" ht="15" customHeight="1" x14ac:dyDescent="0.25">
      <c r="T54217" s="135"/>
      <c r="U54217" s="135"/>
    </row>
    <row r="54218" spans="20:21" ht="15" customHeight="1" x14ac:dyDescent="0.25">
      <c r="T54218" s="135"/>
      <c r="U54218" s="135"/>
    </row>
    <row r="54219" spans="20:21" ht="15" customHeight="1" x14ac:dyDescent="0.25">
      <c r="T54219" s="135"/>
      <c r="U54219" s="135"/>
    </row>
    <row r="54220" spans="20:21" ht="15" customHeight="1" x14ac:dyDescent="0.25">
      <c r="T54220" s="135"/>
      <c r="U54220" s="135"/>
    </row>
    <row r="54221" spans="20:21" ht="15" customHeight="1" x14ac:dyDescent="0.25">
      <c r="T54221" s="135"/>
      <c r="U54221" s="135"/>
    </row>
    <row r="54222" spans="20:21" ht="15" customHeight="1" x14ac:dyDescent="0.25">
      <c r="T54222" s="135"/>
      <c r="U54222" s="135"/>
    </row>
    <row r="54223" spans="20:21" ht="15" customHeight="1" x14ac:dyDescent="0.25">
      <c r="T54223" s="135"/>
      <c r="U54223" s="135"/>
    </row>
    <row r="54224" spans="20:21" ht="15" customHeight="1" x14ac:dyDescent="0.25">
      <c r="T54224" s="135"/>
      <c r="U54224" s="135"/>
    </row>
    <row r="54225" spans="20:21" ht="15" customHeight="1" x14ac:dyDescent="0.25">
      <c r="T54225" s="135"/>
      <c r="U54225" s="135"/>
    </row>
    <row r="54226" spans="20:21" ht="15" customHeight="1" x14ac:dyDescent="0.25">
      <c r="T54226" s="135"/>
      <c r="U54226" s="135"/>
    </row>
    <row r="54227" spans="20:21" ht="15" customHeight="1" x14ac:dyDescent="0.25">
      <c r="T54227" s="135"/>
      <c r="U54227" s="135"/>
    </row>
    <row r="54228" spans="20:21" ht="15" customHeight="1" x14ac:dyDescent="0.25">
      <c r="T54228" s="135"/>
      <c r="U54228" s="135"/>
    </row>
    <row r="54229" spans="20:21" ht="15" customHeight="1" x14ac:dyDescent="0.25">
      <c r="T54229" s="135"/>
      <c r="U54229" s="135"/>
    </row>
    <row r="54230" spans="20:21" ht="15" customHeight="1" x14ac:dyDescent="0.25">
      <c r="T54230" s="135"/>
      <c r="U54230" s="135"/>
    </row>
    <row r="54231" spans="20:21" ht="15" customHeight="1" x14ac:dyDescent="0.25">
      <c r="T54231" s="135"/>
      <c r="U54231" s="135"/>
    </row>
    <row r="54232" spans="20:21" ht="15" customHeight="1" x14ac:dyDescent="0.25">
      <c r="T54232" s="135"/>
      <c r="U54232" s="135"/>
    </row>
    <row r="54233" spans="20:21" ht="15" customHeight="1" x14ac:dyDescent="0.25">
      <c r="T54233" s="135"/>
      <c r="U54233" s="135"/>
    </row>
    <row r="54234" spans="20:21" ht="15" customHeight="1" x14ac:dyDescent="0.25">
      <c r="T54234" s="135"/>
      <c r="U54234" s="135"/>
    </row>
    <row r="54235" spans="20:21" ht="15" customHeight="1" x14ac:dyDescent="0.25">
      <c r="T54235" s="135"/>
      <c r="U54235" s="135"/>
    </row>
    <row r="54236" spans="20:21" ht="15" customHeight="1" x14ac:dyDescent="0.25">
      <c r="T54236" s="135"/>
      <c r="U54236" s="135"/>
    </row>
    <row r="54237" spans="20:21" ht="15" customHeight="1" x14ac:dyDescent="0.25">
      <c r="T54237" s="135"/>
      <c r="U54237" s="135"/>
    </row>
    <row r="54238" spans="20:21" ht="15" customHeight="1" x14ac:dyDescent="0.25">
      <c r="T54238" s="135"/>
      <c r="U54238" s="135"/>
    </row>
    <row r="54239" spans="20:21" ht="15" customHeight="1" x14ac:dyDescent="0.25">
      <c r="T54239" s="135"/>
      <c r="U54239" s="135"/>
    </row>
    <row r="54240" spans="20:21" ht="15" customHeight="1" x14ac:dyDescent="0.25">
      <c r="T54240" s="135"/>
      <c r="U54240" s="135"/>
    </row>
    <row r="54241" spans="20:21" ht="15" customHeight="1" x14ac:dyDescent="0.25">
      <c r="T54241" s="135"/>
      <c r="U54241" s="135"/>
    </row>
    <row r="54242" spans="20:21" ht="15" customHeight="1" x14ac:dyDescent="0.25">
      <c r="T54242" s="135"/>
      <c r="U54242" s="135"/>
    </row>
    <row r="54243" spans="20:21" ht="15" customHeight="1" x14ac:dyDescent="0.25">
      <c r="T54243" s="135"/>
      <c r="U54243" s="135"/>
    </row>
    <row r="54244" spans="20:21" ht="15" customHeight="1" x14ac:dyDescent="0.25">
      <c r="T54244" s="135"/>
      <c r="U54244" s="135"/>
    </row>
    <row r="54245" spans="20:21" ht="15" customHeight="1" x14ac:dyDescent="0.25">
      <c r="T54245" s="135"/>
      <c r="U54245" s="135"/>
    </row>
    <row r="54246" spans="20:21" ht="15" customHeight="1" x14ac:dyDescent="0.25">
      <c r="T54246" s="135"/>
      <c r="U54246" s="135"/>
    </row>
    <row r="54247" spans="20:21" ht="15" customHeight="1" x14ac:dyDescent="0.25">
      <c r="T54247" s="135"/>
      <c r="U54247" s="135"/>
    </row>
    <row r="54248" spans="20:21" ht="15" customHeight="1" x14ac:dyDescent="0.25">
      <c r="T54248" s="135"/>
      <c r="U54248" s="135"/>
    </row>
    <row r="54249" spans="20:21" ht="15" customHeight="1" x14ac:dyDescent="0.25">
      <c r="T54249" s="135"/>
      <c r="U54249" s="135"/>
    </row>
    <row r="54250" spans="20:21" ht="15" customHeight="1" x14ac:dyDescent="0.25">
      <c r="T54250" s="135"/>
      <c r="U54250" s="135"/>
    </row>
    <row r="54251" spans="20:21" ht="15" customHeight="1" x14ac:dyDescent="0.25">
      <c r="T54251" s="135"/>
      <c r="U54251" s="135"/>
    </row>
    <row r="54252" spans="20:21" ht="15" customHeight="1" x14ac:dyDescent="0.25">
      <c r="T54252" s="135"/>
      <c r="U54252" s="135"/>
    </row>
    <row r="54253" spans="20:21" ht="15" customHeight="1" x14ac:dyDescent="0.25">
      <c r="T54253" s="135"/>
      <c r="U54253" s="135"/>
    </row>
    <row r="54254" spans="20:21" ht="15" customHeight="1" x14ac:dyDescent="0.25">
      <c r="T54254" s="135"/>
      <c r="U54254" s="135"/>
    </row>
    <row r="54255" spans="20:21" ht="15" customHeight="1" x14ac:dyDescent="0.25">
      <c r="T54255" s="135"/>
      <c r="U54255" s="135"/>
    </row>
    <row r="54256" spans="20:21" ht="15" customHeight="1" x14ac:dyDescent="0.25">
      <c r="T54256" s="135"/>
      <c r="U54256" s="135"/>
    </row>
    <row r="54257" spans="20:21" ht="15" customHeight="1" x14ac:dyDescent="0.25">
      <c r="T54257" s="135"/>
      <c r="U54257" s="135"/>
    </row>
    <row r="54258" spans="20:21" ht="15" customHeight="1" x14ac:dyDescent="0.25">
      <c r="T54258" s="135"/>
      <c r="U54258" s="135"/>
    </row>
    <row r="54259" spans="20:21" ht="15" customHeight="1" x14ac:dyDescent="0.25">
      <c r="T54259" s="135"/>
      <c r="U54259" s="135"/>
    </row>
    <row r="54260" spans="20:21" ht="15" customHeight="1" x14ac:dyDescent="0.25">
      <c r="T54260" s="135"/>
      <c r="U54260" s="135"/>
    </row>
    <row r="54261" spans="20:21" ht="15" customHeight="1" x14ac:dyDescent="0.25">
      <c r="T54261" s="135"/>
      <c r="U54261" s="135"/>
    </row>
    <row r="54262" spans="20:21" ht="15" customHeight="1" x14ac:dyDescent="0.25">
      <c r="T54262" s="135"/>
      <c r="U54262" s="135"/>
    </row>
    <row r="54263" spans="20:21" ht="15" customHeight="1" x14ac:dyDescent="0.25">
      <c r="T54263" s="135"/>
      <c r="U54263" s="135"/>
    </row>
    <row r="54264" spans="20:21" ht="15" customHeight="1" x14ac:dyDescent="0.25">
      <c r="T54264" s="135"/>
      <c r="U54264" s="135"/>
    </row>
    <row r="54265" spans="20:21" ht="15" customHeight="1" x14ac:dyDescent="0.25">
      <c r="T54265" s="135"/>
      <c r="U54265" s="135"/>
    </row>
    <row r="54266" spans="20:21" ht="15" customHeight="1" x14ac:dyDescent="0.25">
      <c r="T54266" s="135"/>
      <c r="U54266" s="135"/>
    </row>
    <row r="54267" spans="20:21" ht="15" customHeight="1" x14ac:dyDescent="0.25">
      <c r="T54267" s="135"/>
      <c r="U54267" s="135"/>
    </row>
    <row r="54268" spans="20:21" ht="15" customHeight="1" x14ac:dyDescent="0.25">
      <c r="T54268" s="135"/>
      <c r="U54268" s="135"/>
    </row>
    <row r="54269" spans="20:21" ht="15" customHeight="1" x14ac:dyDescent="0.25">
      <c r="T54269" s="135"/>
      <c r="U54269" s="135"/>
    </row>
    <row r="54270" spans="20:21" ht="15" customHeight="1" x14ac:dyDescent="0.25">
      <c r="T54270" s="135"/>
      <c r="U54270" s="135"/>
    </row>
    <row r="54271" spans="20:21" ht="15" customHeight="1" x14ac:dyDescent="0.25">
      <c r="T54271" s="135"/>
      <c r="U54271" s="135"/>
    </row>
    <row r="54272" spans="20:21" ht="15" customHeight="1" x14ac:dyDescent="0.25">
      <c r="T54272" s="135"/>
      <c r="U54272" s="135"/>
    </row>
    <row r="54273" spans="20:21" ht="15" customHeight="1" x14ac:dyDescent="0.25">
      <c r="T54273" s="135"/>
      <c r="U54273" s="135"/>
    </row>
    <row r="54274" spans="20:21" ht="15" customHeight="1" x14ac:dyDescent="0.25">
      <c r="T54274" s="135"/>
      <c r="U54274" s="135"/>
    </row>
    <row r="54275" spans="20:21" ht="15" customHeight="1" x14ac:dyDescent="0.25">
      <c r="T54275" s="135"/>
      <c r="U54275" s="135"/>
    </row>
    <row r="54276" spans="20:21" ht="15" customHeight="1" x14ac:dyDescent="0.25">
      <c r="T54276" s="135"/>
      <c r="U54276" s="135"/>
    </row>
    <row r="54277" spans="20:21" ht="15" customHeight="1" x14ac:dyDescent="0.25">
      <c r="T54277" s="135"/>
      <c r="U54277" s="135"/>
    </row>
    <row r="54278" spans="20:21" ht="15" customHeight="1" x14ac:dyDescent="0.25">
      <c r="T54278" s="135"/>
      <c r="U54278" s="135"/>
    </row>
    <row r="54279" spans="20:21" ht="15" customHeight="1" x14ac:dyDescent="0.25">
      <c r="T54279" s="135"/>
      <c r="U54279" s="135"/>
    </row>
    <row r="54280" spans="20:21" ht="15" customHeight="1" x14ac:dyDescent="0.25">
      <c r="T54280" s="135"/>
      <c r="U54280" s="135"/>
    </row>
    <row r="54281" spans="20:21" ht="15" customHeight="1" x14ac:dyDescent="0.25">
      <c r="T54281" s="135"/>
      <c r="U54281" s="135"/>
    </row>
    <row r="54282" spans="20:21" ht="15" customHeight="1" x14ac:dyDescent="0.25">
      <c r="T54282" s="135"/>
      <c r="U54282" s="135"/>
    </row>
    <row r="54283" spans="20:21" ht="15" customHeight="1" x14ac:dyDescent="0.25">
      <c r="T54283" s="135"/>
      <c r="U54283" s="135"/>
    </row>
    <row r="54284" spans="20:21" ht="15" customHeight="1" x14ac:dyDescent="0.25">
      <c r="T54284" s="135"/>
      <c r="U54284" s="135"/>
    </row>
    <row r="54285" spans="20:21" ht="15" customHeight="1" x14ac:dyDescent="0.25">
      <c r="T54285" s="135"/>
      <c r="U54285" s="135"/>
    </row>
    <row r="54286" spans="20:21" ht="15" customHeight="1" x14ac:dyDescent="0.25">
      <c r="T54286" s="135"/>
      <c r="U54286" s="135"/>
    </row>
    <row r="54287" spans="20:21" ht="15" customHeight="1" x14ac:dyDescent="0.25">
      <c r="T54287" s="135"/>
      <c r="U54287" s="135"/>
    </row>
    <row r="54288" spans="20:21" ht="15" customHeight="1" x14ac:dyDescent="0.25">
      <c r="T54288" s="135"/>
      <c r="U54288" s="135"/>
    </row>
    <row r="54289" spans="20:21" ht="15" customHeight="1" x14ac:dyDescent="0.25">
      <c r="T54289" s="135"/>
      <c r="U54289" s="135"/>
    </row>
    <row r="54290" spans="20:21" ht="15" customHeight="1" x14ac:dyDescent="0.25">
      <c r="T54290" s="135"/>
      <c r="U54290" s="135"/>
    </row>
    <row r="54291" spans="20:21" ht="15" customHeight="1" x14ac:dyDescent="0.25">
      <c r="T54291" s="135"/>
      <c r="U54291" s="135"/>
    </row>
    <row r="54292" spans="20:21" ht="15" customHeight="1" x14ac:dyDescent="0.25">
      <c r="T54292" s="135"/>
      <c r="U54292" s="135"/>
    </row>
    <row r="54293" spans="20:21" ht="15" customHeight="1" x14ac:dyDescent="0.25">
      <c r="T54293" s="135"/>
      <c r="U54293" s="135"/>
    </row>
    <row r="54294" spans="20:21" ht="15" customHeight="1" x14ac:dyDescent="0.25">
      <c r="T54294" s="135"/>
      <c r="U54294" s="135"/>
    </row>
    <row r="54295" spans="20:21" ht="15" customHeight="1" x14ac:dyDescent="0.25">
      <c r="T54295" s="135"/>
      <c r="U54295" s="135"/>
    </row>
    <row r="54296" spans="20:21" ht="15" customHeight="1" x14ac:dyDescent="0.25">
      <c r="T54296" s="135"/>
      <c r="U54296" s="135"/>
    </row>
    <row r="54297" spans="20:21" ht="15" customHeight="1" x14ac:dyDescent="0.25">
      <c r="T54297" s="135"/>
      <c r="U54297" s="135"/>
    </row>
    <row r="54298" spans="20:21" ht="15" customHeight="1" x14ac:dyDescent="0.25">
      <c r="T54298" s="135"/>
      <c r="U54298" s="135"/>
    </row>
    <row r="54299" spans="20:21" ht="15" customHeight="1" x14ac:dyDescent="0.25">
      <c r="T54299" s="135"/>
      <c r="U54299" s="135"/>
    </row>
    <row r="54300" spans="20:21" ht="15" customHeight="1" x14ac:dyDescent="0.25">
      <c r="T54300" s="135"/>
      <c r="U54300" s="135"/>
    </row>
    <row r="54301" spans="20:21" ht="15" customHeight="1" x14ac:dyDescent="0.25">
      <c r="T54301" s="135"/>
      <c r="U54301" s="135"/>
    </row>
    <row r="54302" spans="20:21" ht="15" customHeight="1" x14ac:dyDescent="0.25">
      <c r="T54302" s="135"/>
      <c r="U54302" s="135"/>
    </row>
    <row r="54303" spans="20:21" ht="15" customHeight="1" x14ac:dyDescent="0.25">
      <c r="T54303" s="135"/>
      <c r="U54303" s="135"/>
    </row>
    <row r="54304" spans="20:21" ht="15" customHeight="1" x14ac:dyDescent="0.25">
      <c r="T54304" s="135"/>
      <c r="U54304" s="135"/>
    </row>
    <row r="54305" spans="20:21" ht="15" customHeight="1" x14ac:dyDescent="0.25">
      <c r="T54305" s="135"/>
      <c r="U54305" s="135"/>
    </row>
    <row r="54306" spans="20:21" ht="15" customHeight="1" x14ac:dyDescent="0.25">
      <c r="T54306" s="135"/>
      <c r="U54306" s="135"/>
    </row>
    <row r="54307" spans="20:21" ht="15" customHeight="1" x14ac:dyDescent="0.25">
      <c r="T54307" s="135"/>
      <c r="U54307" s="135"/>
    </row>
    <row r="54308" spans="20:21" ht="15" customHeight="1" x14ac:dyDescent="0.25">
      <c r="T54308" s="135"/>
      <c r="U54308" s="135"/>
    </row>
    <row r="54309" spans="20:21" ht="15" customHeight="1" x14ac:dyDescent="0.25">
      <c r="T54309" s="135"/>
      <c r="U54309" s="135"/>
    </row>
    <row r="54310" spans="20:21" ht="15" customHeight="1" x14ac:dyDescent="0.25">
      <c r="T54310" s="135"/>
      <c r="U54310" s="135"/>
    </row>
    <row r="54311" spans="20:21" ht="15" customHeight="1" x14ac:dyDescent="0.25">
      <c r="T54311" s="135"/>
      <c r="U54311" s="135"/>
    </row>
    <row r="54312" spans="20:21" ht="15" customHeight="1" x14ac:dyDescent="0.25">
      <c r="T54312" s="135"/>
      <c r="U54312" s="135"/>
    </row>
    <row r="54313" spans="20:21" ht="15" customHeight="1" x14ac:dyDescent="0.25">
      <c r="T54313" s="135"/>
      <c r="U54313" s="135"/>
    </row>
    <row r="54314" spans="20:21" ht="15" customHeight="1" x14ac:dyDescent="0.25">
      <c r="T54314" s="135"/>
      <c r="U54314" s="135"/>
    </row>
    <row r="54315" spans="20:21" ht="15" customHeight="1" x14ac:dyDescent="0.25">
      <c r="T54315" s="135"/>
      <c r="U54315" s="135"/>
    </row>
    <row r="54316" spans="20:21" ht="15" customHeight="1" x14ac:dyDescent="0.25">
      <c r="T54316" s="135"/>
      <c r="U54316" s="135"/>
    </row>
    <row r="54317" spans="20:21" ht="15" customHeight="1" x14ac:dyDescent="0.25">
      <c r="T54317" s="135"/>
      <c r="U54317" s="135"/>
    </row>
    <row r="54318" spans="20:21" ht="15" customHeight="1" x14ac:dyDescent="0.25">
      <c r="T54318" s="135"/>
      <c r="U54318" s="135"/>
    </row>
    <row r="54319" spans="20:21" ht="15" customHeight="1" x14ac:dyDescent="0.25">
      <c r="T54319" s="135"/>
      <c r="U54319" s="135"/>
    </row>
    <row r="54320" spans="20:21" ht="15" customHeight="1" x14ac:dyDescent="0.25">
      <c r="T54320" s="135"/>
      <c r="U54320" s="135"/>
    </row>
    <row r="54321" spans="20:21" ht="15" customHeight="1" x14ac:dyDescent="0.25">
      <c r="T54321" s="135"/>
      <c r="U54321" s="135"/>
    </row>
    <row r="54322" spans="20:21" ht="15" customHeight="1" x14ac:dyDescent="0.25">
      <c r="T54322" s="135"/>
      <c r="U54322" s="135"/>
    </row>
    <row r="54323" spans="20:21" ht="15" customHeight="1" x14ac:dyDescent="0.25">
      <c r="T54323" s="135"/>
      <c r="U54323" s="135"/>
    </row>
    <row r="54324" spans="20:21" ht="15" customHeight="1" x14ac:dyDescent="0.25">
      <c r="T54324" s="135"/>
      <c r="U54324" s="135"/>
    </row>
    <row r="54325" spans="20:21" ht="15" customHeight="1" x14ac:dyDescent="0.25">
      <c r="T54325" s="135"/>
      <c r="U54325" s="135"/>
    </row>
    <row r="54326" spans="20:21" ht="15" customHeight="1" x14ac:dyDescent="0.25">
      <c r="T54326" s="135"/>
      <c r="U54326" s="135"/>
    </row>
    <row r="54327" spans="20:21" ht="15" customHeight="1" x14ac:dyDescent="0.25">
      <c r="T54327" s="135"/>
      <c r="U54327" s="135"/>
    </row>
    <row r="54328" spans="20:21" ht="15" customHeight="1" x14ac:dyDescent="0.25">
      <c r="T54328" s="135"/>
      <c r="U54328" s="135"/>
    </row>
    <row r="54329" spans="20:21" ht="15" customHeight="1" x14ac:dyDescent="0.25">
      <c r="T54329" s="135"/>
      <c r="U54329" s="135"/>
    </row>
    <row r="54330" spans="20:21" ht="15" customHeight="1" x14ac:dyDescent="0.25">
      <c r="T54330" s="135"/>
      <c r="U54330" s="135"/>
    </row>
    <row r="54331" spans="20:21" ht="15" customHeight="1" x14ac:dyDescent="0.25">
      <c r="T54331" s="135"/>
      <c r="U54331" s="135"/>
    </row>
    <row r="54332" spans="20:21" ht="15" customHeight="1" x14ac:dyDescent="0.25">
      <c r="T54332" s="135"/>
      <c r="U54332" s="135"/>
    </row>
    <row r="54333" spans="20:21" ht="15" customHeight="1" x14ac:dyDescent="0.25">
      <c r="T54333" s="135"/>
      <c r="U54333" s="135"/>
    </row>
    <row r="54334" spans="20:21" ht="15" customHeight="1" x14ac:dyDescent="0.25">
      <c r="T54334" s="135"/>
      <c r="U54334" s="135"/>
    </row>
    <row r="54335" spans="20:21" ht="15" customHeight="1" x14ac:dyDescent="0.25">
      <c r="T54335" s="135"/>
      <c r="U54335" s="135"/>
    </row>
    <row r="54336" spans="20:21" ht="15" customHeight="1" x14ac:dyDescent="0.25">
      <c r="T54336" s="135"/>
      <c r="U54336" s="135"/>
    </row>
    <row r="54337" spans="20:21" ht="15" customHeight="1" x14ac:dyDescent="0.25">
      <c r="T54337" s="135"/>
      <c r="U54337" s="135"/>
    </row>
    <row r="54338" spans="20:21" ht="15" customHeight="1" x14ac:dyDescent="0.25">
      <c r="T54338" s="135"/>
      <c r="U54338" s="135"/>
    </row>
    <row r="54339" spans="20:21" ht="15" customHeight="1" x14ac:dyDescent="0.25">
      <c r="T54339" s="135"/>
      <c r="U54339" s="135"/>
    </row>
    <row r="54340" spans="20:21" ht="15" customHeight="1" x14ac:dyDescent="0.25">
      <c r="T54340" s="135"/>
      <c r="U54340" s="135"/>
    </row>
    <row r="54341" spans="20:21" ht="15" customHeight="1" x14ac:dyDescent="0.25">
      <c r="T54341" s="135"/>
      <c r="U54341" s="135"/>
    </row>
    <row r="54342" spans="20:21" ht="15" customHeight="1" x14ac:dyDescent="0.25">
      <c r="T54342" s="135"/>
      <c r="U54342" s="135"/>
    </row>
    <row r="54343" spans="20:21" ht="15" customHeight="1" x14ac:dyDescent="0.25">
      <c r="T54343" s="135"/>
      <c r="U54343" s="135"/>
    </row>
    <row r="54344" spans="20:21" ht="15" customHeight="1" x14ac:dyDescent="0.25">
      <c r="T54344" s="135"/>
      <c r="U54344" s="135"/>
    </row>
    <row r="54345" spans="20:21" ht="15" customHeight="1" x14ac:dyDescent="0.25">
      <c r="T54345" s="135"/>
      <c r="U54345" s="135"/>
    </row>
    <row r="54346" spans="20:21" ht="15" customHeight="1" x14ac:dyDescent="0.25">
      <c r="T54346" s="135"/>
      <c r="U54346" s="135"/>
    </row>
    <row r="54347" spans="20:21" ht="15" customHeight="1" x14ac:dyDescent="0.25">
      <c r="T54347" s="135"/>
      <c r="U54347" s="135"/>
    </row>
    <row r="54348" spans="20:21" ht="15" customHeight="1" x14ac:dyDescent="0.25">
      <c r="T54348" s="135"/>
      <c r="U54348" s="135"/>
    </row>
    <row r="54349" spans="20:21" ht="15" customHeight="1" x14ac:dyDescent="0.25">
      <c r="T54349" s="135"/>
      <c r="U54349" s="135"/>
    </row>
    <row r="54350" spans="20:21" ht="15" customHeight="1" x14ac:dyDescent="0.25">
      <c r="T54350" s="135"/>
      <c r="U54350" s="135"/>
    </row>
    <row r="54351" spans="20:21" ht="15" customHeight="1" x14ac:dyDescent="0.25">
      <c r="T54351" s="135"/>
      <c r="U54351" s="135"/>
    </row>
    <row r="54352" spans="20:21" ht="15" customHeight="1" x14ac:dyDescent="0.25">
      <c r="T54352" s="135"/>
      <c r="U54352" s="135"/>
    </row>
    <row r="54353" spans="20:21" ht="15" customHeight="1" x14ac:dyDescent="0.25">
      <c r="T54353" s="135"/>
      <c r="U54353" s="135"/>
    </row>
    <row r="54354" spans="20:21" ht="15" customHeight="1" x14ac:dyDescent="0.25">
      <c r="T54354" s="135"/>
      <c r="U54354" s="135"/>
    </row>
    <row r="54355" spans="20:21" ht="15" customHeight="1" x14ac:dyDescent="0.25">
      <c r="T54355" s="135"/>
      <c r="U54355" s="135"/>
    </row>
    <row r="54356" spans="20:21" ht="15" customHeight="1" x14ac:dyDescent="0.25">
      <c r="T54356" s="135"/>
      <c r="U54356" s="135"/>
    </row>
    <row r="54357" spans="20:21" ht="15" customHeight="1" x14ac:dyDescent="0.25">
      <c r="T54357" s="135"/>
      <c r="U54357" s="135"/>
    </row>
    <row r="54358" spans="20:21" ht="15" customHeight="1" x14ac:dyDescent="0.25">
      <c r="T54358" s="135"/>
      <c r="U54358" s="135"/>
    </row>
    <row r="54359" spans="20:21" ht="15" customHeight="1" x14ac:dyDescent="0.25">
      <c r="T54359" s="135"/>
      <c r="U54359" s="135"/>
    </row>
    <row r="54360" spans="20:21" ht="15" customHeight="1" x14ac:dyDescent="0.25">
      <c r="T54360" s="135"/>
      <c r="U54360" s="135"/>
    </row>
    <row r="54361" spans="20:21" ht="15" customHeight="1" x14ac:dyDescent="0.25">
      <c r="T54361" s="135"/>
      <c r="U54361" s="135"/>
    </row>
    <row r="54362" spans="20:21" ht="15" customHeight="1" x14ac:dyDescent="0.25">
      <c r="T54362" s="135"/>
      <c r="U54362" s="135"/>
    </row>
    <row r="54363" spans="20:21" ht="15" customHeight="1" x14ac:dyDescent="0.25">
      <c r="T54363" s="135"/>
      <c r="U54363" s="135"/>
    </row>
    <row r="54364" spans="20:21" ht="15" customHeight="1" x14ac:dyDescent="0.25">
      <c r="T54364" s="135"/>
      <c r="U54364" s="135"/>
    </row>
    <row r="54365" spans="20:21" ht="15" customHeight="1" x14ac:dyDescent="0.25">
      <c r="T54365" s="135"/>
      <c r="U54365" s="135"/>
    </row>
    <row r="54366" spans="20:21" ht="15" customHeight="1" x14ac:dyDescent="0.25">
      <c r="T54366" s="135"/>
      <c r="U54366" s="135"/>
    </row>
    <row r="54367" spans="20:21" ht="15" customHeight="1" x14ac:dyDescent="0.25">
      <c r="T54367" s="135"/>
      <c r="U54367" s="135"/>
    </row>
    <row r="54368" spans="20:21" ht="15" customHeight="1" x14ac:dyDescent="0.25">
      <c r="T54368" s="135"/>
      <c r="U54368" s="135"/>
    </row>
    <row r="54369" spans="20:21" ht="15" customHeight="1" x14ac:dyDescent="0.25">
      <c r="T54369" s="135"/>
      <c r="U54369" s="135"/>
    </row>
    <row r="54370" spans="20:21" ht="15" customHeight="1" x14ac:dyDescent="0.25">
      <c r="T54370" s="135"/>
      <c r="U54370" s="135"/>
    </row>
    <row r="54371" spans="20:21" ht="15" customHeight="1" x14ac:dyDescent="0.25">
      <c r="T54371" s="135"/>
      <c r="U54371" s="135"/>
    </row>
    <row r="54372" spans="20:21" ht="15" customHeight="1" x14ac:dyDescent="0.25">
      <c r="T54372" s="135"/>
      <c r="U54372" s="135"/>
    </row>
    <row r="54373" spans="20:21" ht="15" customHeight="1" x14ac:dyDescent="0.25">
      <c r="T54373" s="135"/>
      <c r="U54373" s="135"/>
    </row>
    <row r="54374" spans="20:21" ht="15" customHeight="1" x14ac:dyDescent="0.25">
      <c r="T54374" s="135"/>
      <c r="U54374" s="135"/>
    </row>
    <row r="54375" spans="20:21" ht="15" customHeight="1" x14ac:dyDescent="0.25">
      <c r="T54375" s="135"/>
      <c r="U54375" s="135"/>
    </row>
    <row r="54376" spans="20:21" ht="15" customHeight="1" x14ac:dyDescent="0.25">
      <c r="T54376" s="135"/>
      <c r="U54376" s="135"/>
    </row>
    <row r="54377" spans="20:21" ht="15" customHeight="1" x14ac:dyDescent="0.25">
      <c r="T54377" s="135"/>
      <c r="U54377" s="135"/>
    </row>
    <row r="54378" spans="20:21" ht="15" customHeight="1" x14ac:dyDescent="0.25">
      <c r="T54378" s="135"/>
      <c r="U54378" s="135"/>
    </row>
    <row r="54379" spans="20:21" ht="15" customHeight="1" x14ac:dyDescent="0.25">
      <c r="T54379" s="135"/>
      <c r="U54379" s="135"/>
    </row>
    <row r="54380" spans="20:21" ht="15" customHeight="1" x14ac:dyDescent="0.25">
      <c r="T54380" s="135"/>
      <c r="U54380" s="135"/>
    </row>
    <row r="54381" spans="20:21" ht="15" customHeight="1" x14ac:dyDescent="0.25">
      <c r="T54381" s="135"/>
      <c r="U54381" s="135"/>
    </row>
    <row r="54382" spans="20:21" ht="15" customHeight="1" x14ac:dyDescent="0.25">
      <c r="T54382" s="135"/>
      <c r="U54382" s="135"/>
    </row>
    <row r="54383" spans="20:21" ht="15" customHeight="1" x14ac:dyDescent="0.25">
      <c r="T54383" s="135"/>
      <c r="U54383" s="135"/>
    </row>
    <row r="54384" spans="20:21" ht="15" customHeight="1" x14ac:dyDescent="0.25">
      <c r="T54384" s="135"/>
      <c r="U54384" s="135"/>
    </row>
    <row r="54385" spans="20:21" ht="15" customHeight="1" x14ac:dyDescent="0.25">
      <c r="T54385" s="135"/>
      <c r="U54385" s="135"/>
    </row>
    <row r="54386" spans="20:21" ht="15" customHeight="1" x14ac:dyDescent="0.25">
      <c r="T54386" s="135"/>
      <c r="U54386" s="135"/>
    </row>
    <row r="54387" spans="20:21" ht="15" customHeight="1" x14ac:dyDescent="0.25">
      <c r="T54387" s="135"/>
      <c r="U54387" s="135"/>
    </row>
    <row r="54388" spans="20:21" ht="15" customHeight="1" x14ac:dyDescent="0.25">
      <c r="T54388" s="135"/>
      <c r="U54388" s="135"/>
    </row>
    <row r="54389" spans="20:21" ht="15" customHeight="1" x14ac:dyDescent="0.25">
      <c r="T54389" s="135"/>
      <c r="U54389" s="135"/>
    </row>
    <row r="54390" spans="20:21" ht="15" customHeight="1" x14ac:dyDescent="0.25">
      <c r="T54390" s="135"/>
      <c r="U54390" s="135"/>
    </row>
    <row r="54391" spans="20:21" ht="15" customHeight="1" x14ac:dyDescent="0.25">
      <c r="T54391" s="135"/>
      <c r="U54391" s="135"/>
    </row>
    <row r="54392" spans="20:21" ht="15" customHeight="1" x14ac:dyDescent="0.25">
      <c r="T54392" s="135"/>
      <c r="U54392" s="135"/>
    </row>
    <row r="54393" spans="20:21" ht="15" customHeight="1" x14ac:dyDescent="0.25">
      <c r="T54393" s="135"/>
      <c r="U54393" s="135"/>
    </row>
    <row r="54394" spans="20:21" ht="15" customHeight="1" x14ac:dyDescent="0.25">
      <c r="T54394" s="135"/>
      <c r="U54394" s="135"/>
    </row>
    <row r="54395" spans="20:21" ht="15" customHeight="1" x14ac:dyDescent="0.25">
      <c r="T54395" s="135"/>
      <c r="U54395" s="135"/>
    </row>
    <row r="54396" spans="20:21" ht="15" customHeight="1" x14ac:dyDescent="0.25">
      <c r="T54396" s="135"/>
      <c r="U54396" s="135"/>
    </row>
    <row r="54397" spans="20:21" ht="15" customHeight="1" x14ac:dyDescent="0.25">
      <c r="T54397" s="135"/>
      <c r="U54397" s="135"/>
    </row>
    <row r="54398" spans="20:21" ht="15" customHeight="1" x14ac:dyDescent="0.25">
      <c r="T54398" s="135"/>
      <c r="U54398" s="135"/>
    </row>
    <row r="54399" spans="20:21" ht="15" customHeight="1" x14ac:dyDescent="0.25">
      <c r="T54399" s="135"/>
      <c r="U54399" s="135"/>
    </row>
    <row r="54400" spans="20:21" ht="15" customHeight="1" x14ac:dyDescent="0.25">
      <c r="T54400" s="135"/>
      <c r="U54400" s="135"/>
    </row>
    <row r="54401" spans="20:21" ht="15" customHeight="1" x14ac:dyDescent="0.25">
      <c r="T54401" s="135"/>
      <c r="U54401" s="135"/>
    </row>
    <row r="54402" spans="20:21" ht="15" customHeight="1" x14ac:dyDescent="0.25">
      <c r="T54402" s="135"/>
      <c r="U54402" s="135"/>
    </row>
    <row r="54403" spans="20:21" ht="15" customHeight="1" x14ac:dyDescent="0.25">
      <c r="T54403" s="135"/>
      <c r="U54403" s="135"/>
    </row>
    <row r="54404" spans="20:21" ht="15" customHeight="1" x14ac:dyDescent="0.25">
      <c r="T54404" s="135"/>
      <c r="U54404" s="135"/>
    </row>
    <row r="54405" spans="20:21" ht="15" customHeight="1" x14ac:dyDescent="0.25">
      <c r="T54405" s="135"/>
      <c r="U54405" s="135"/>
    </row>
    <row r="54406" spans="20:21" ht="15" customHeight="1" x14ac:dyDescent="0.25">
      <c r="T54406" s="135"/>
      <c r="U54406" s="135"/>
    </row>
    <row r="54407" spans="20:21" ht="15" customHeight="1" x14ac:dyDescent="0.25">
      <c r="T54407" s="135"/>
      <c r="U54407" s="135"/>
    </row>
    <row r="54408" spans="20:21" ht="15" customHeight="1" x14ac:dyDescent="0.25">
      <c r="T54408" s="135"/>
      <c r="U54408" s="135"/>
    </row>
    <row r="54409" spans="20:21" ht="15" customHeight="1" x14ac:dyDescent="0.25">
      <c r="T54409" s="135"/>
      <c r="U54409" s="135"/>
    </row>
    <row r="54410" spans="20:21" ht="15" customHeight="1" x14ac:dyDescent="0.25">
      <c r="T54410" s="135"/>
      <c r="U54410" s="135"/>
    </row>
    <row r="54411" spans="20:21" ht="15" customHeight="1" x14ac:dyDescent="0.25">
      <c r="T54411" s="135"/>
      <c r="U54411" s="135"/>
    </row>
    <row r="54412" spans="20:21" ht="15" customHeight="1" x14ac:dyDescent="0.25">
      <c r="T54412" s="135"/>
      <c r="U54412" s="135"/>
    </row>
    <row r="54413" spans="20:21" ht="15" customHeight="1" x14ac:dyDescent="0.25">
      <c r="T54413" s="135"/>
      <c r="U54413" s="135"/>
    </row>
    <row r="54414" spans="20:21" ht="15" customHeight="1" x14ac:dyDescent="0.25">
      <c r="T54414" s="135"/>
      <c r="U54414" s="135"/>
    </row>
    <row r="54415" spans="20:21" ht="15" customHeight="1" x14ac:dyDescent="0.25">
      <c r="T54415" s="135"/>
      <c r="U54415" s="135"/>
    </row>
    <row r="54416" spans="20:21" ht="15" customHeight="1" x14ac:dyDescent="0.25">
      <c r="T54416" s="135"/>
      <c r="U54416" s="135"/>
    </row>
    <row r="54417" spans="20:21" ht="15" customHeight="1" x14ac:dyDescent="0.25">
      <c r="T54417" s="135"/>
      <c r="U54417" s="135"/>
    </row>
    <row r="54418" spans="20:21" ht="15" customHeight="1" x14ac:dyDescent="0.25">
      <c r="T54418" s="135"/>
      <c r="U54418" s="135"/>
    </row>
    <row r="54419" spans="20:21" ht="15" customHeight="1" x14ac:dyDescent="0.25">
      <c r="T54419" s="135"/>
      <c r="U54419" s="135"/>
    </row>
    <row r="54420" spans="20:21" ht="15" customHeight="1" x14ac:dyDescent="0.25">
      <c r="T54420" s="135"/>
      <c r="U54420" s="135"/>
    </row>
    <row r="54421" spans="20:21" ht="15" customHeight="1" x14ac:dyDescent="0.25">
      <c r="T54421" s="135"/>
      <c r="U54421" s="135"/>
    </row>
    <row r="54422" spans="20:21" ht="15" customHeight="1" x14ac:dyDescent="0.25">
      <c r="T54422" s="135"/>
      <c r="U54422" s="135"/>
    </row>
    <row r="54423" spans="20:21" ht="15" customHeight="1" x14ac:dyDescent="0.25">
      <c r="T54423" s="135"/>
      <c r="U54423" s="135"/>
    </row>
    <row r="54424" spans="20:21" ht="15" customHeight="1" x14ac:dyDescent="0.25">
      <c r="T54424" s="135"/>
      <c r="U54424" s="135"/>
    </row>
    <row r="54425" spans="20:21" ht="15" customHeight="1" x14ac:dyDescent="0.25">
      <c r="T54425" s="135"/>
      <c r="U54425" s="135"/>
    </row>
    <row r="54426" spans="20:21" ht="15" customHeight="1" x14ac:dyDescent="0.25">
      <c r="T54426" s="135"/>
      <c r="U54426" s="135"/>
    </row>
    <row r="54427" spans="20:21" ht="15" customHeight="1" x14ac:dyDescent="0.25">
      <c r="T54427" s="135"/>
      <c r="U54427" s="135"/>
    </row>
    <row r="54428" spans="20:21" ht="15" customHeight="1" x14ac:dyDescent="0.25">
      <c r="T54428" s="135"/>
      <c r="U54428" s="135"/>
    </row>
    <row r="54429" spans="20:21" ht="15" customHeight="1" x14ac:dyDescent="0.25">
      <c r="T54429" s="135"/>
      <c r="U54429" s="135"/>
    </row>
    <row r="54430" spans="20:21" ht="15" customHeight="1" x14ac:dyDescent="0.25">
      <c r="T54430" s="135"/>
      <c r="U54430" s="135"/>
    </row>
    <row r="54431" spans="20:21" ht="15" customHeight="1" x14ac:dyDescent="0.25">
      <c r="T54431" s="135"/>
      <c r="U54431" s="135"/>
    </row>
    <row r="54432" spans="20:21" ht="15" customHeight="1" x14ac:dyDescent="0.25">
      <c r="T54432" s="135"/>
      <c r="U54432" s="135"/>
    </row>
    <row r="54433" spans="20:21" ht="15" customHeight="1" x14ac:dyDescent="0.25">
      <c r="T54433" s="135"/>
      <c r="U54433" s="135"/>
    </row>
    <row r="54434" spans="20:21" ht="15" customHeight="1" x14ac:dyDescent="0.25">
      <c r="T54434" s="135"/>
      <c r="U54434" s="135"/>
    </row>
    <row r="54435" spans="20:21" ht="15" customHeight="1" x14ac:dyDescent="0.25">
      <c r="T54435" s="135"/>
      <c r="U54435" s="135"/>
    </row>
    <row r="54436" spans="20:21" ht="15" customHeight="1" x14ac:dyDescent="0.25">
      <c r="T54436" s="135"/>
      <c r="U54436" s="135"/>
    </row>
    <row r="54437" spans="20:21" ht="15" customHeight="1" x14ac:dyDescent="0.25">
      <c r="T54437" s="135"/>
      <c r="U54437" s="135"/>
    </row>
    <row r="54438" spans="20:21" ht="15" customHeight="1" x14ac:dyDescent="0.25">
      <c r="T54438" s="135"/>
      <c r="U54438" s="135"/>
    </row>
    <row r="54439" spans="20:21" ht="15" customHeight="1" x14ac:dyDescent="0.25">
      <c r="T54439" s="135"/>
      <c r="U54439" s="135"/>
    </row>
    <row r="54440" spans="20:21" ht="15" customHeight="1" x14ac:dyDescent="0.25">
      <c r="T54440" s="135"/>
      <c r="U54440" s="135"/>
    </row>
    <row r="54441" spans="20:21" ht="15" customHeight="1" x14ac:dyDescent="0.25">
      <c r="T54441" s="135"/>
      <c r="U54441" s="135"/>
    </row>
    <row r="54442" spans="20:21" ht="15" customHeight="1" x14ac:dyDescent="0.25">
      <c r="T54442" s="135"/>
      <c r="U54442" s="135"/>
    </row>
    <row r="54443" spans="20:21" ht="15" customHeight="1" x14ac:dyDescent="0.25">
      <c r="T54443" s="135"/>
      <c r="U54443" s="135"/>
    </row>
    <row r="54444" spans="20:21" ht="15" customHeight="1" x14ac:dyDescent="0.25">
      <c r="T54444" s="135"/>
      <c r="U54444" s="135"/>
    </row>
    <row r="54445" spans="20:21" ht="15" customHeight="1" x14ac:dyDescent="0.25">
      <c r="T54445" s="135"/>
      <c r="U54445" s="135"/>
    </row>
    <row r="54446" spans="20:21" ht="15" customHeight="1" x14ac:dyDescent="0.25">
      <c r="T54446" s="135"/>
      <c r="U54446" s="135"/>
    </row>
    <row r="54447" spans="20:21" ht="15" customHeight="1" x14ac:dyDescent="0.25">
      <c r="T54447" s="135"/>
      <c r="U54447" s="135"/>
    </row>
    <row r="54448" spans="20:21" ht="15" customHeight="1" x14ac:dyDescent="0.25">
      <c r="T54448" s="135"/>
      <c r="U54448" s="135"/>
    </row>
    <row r="54449" spans="20:21" ht="15" customHeight="1" x14ac:dyDescent="0.25">
      <c r="T54449" s="135"/>
      <c r="U54449" s="135"/>
    </row>
    <row r="54450" spans="20:21" ht="15" customHeight="1" x14ac:dyDescent="0.25">
      <c r="T54450" s="135"/>
      <c r="U54450" s="135"/>
    </row>
    <row r="54451" spans="20:21" ht="15" customHeight="1" x14ac:dyDescent="0.25">
      <c r="T54451" s="135"/>
      <c r="U54451" s="135"/>
    </row>
    <row r="54452" spans="20:21" ht="15" customHeight="1" x14ac:dyDescent="0.25">
      <c r="T54452" s="135"/>
      <c r="U54452" s="135"/>
    </row>
    <row r="54453" spans="20:21" ht="15" customHeight="1" x14ac:dyDescent="0.25">
      <c r="T54453" s="135"/>
      <c r="U54453" s="135"/>
    </row>
    <row r="54454" spans="20:21" ht="15" customHeight="1" x14ac:dyDescent="0.25">
      <c r="T54454" s="135"/>
      <c r="U54454" s="135"/>
    </row>
    <row r="54455" spans="20:21" ht="15" customHeight="1" x14ac:dyDescent="0.25">
      <c r="T54455" s="135"/>
      <c r="U54455" s="135"/>
    </row>
    <row r="54456" spans="20:21" ht="15" customHeight="1" x14ac:dyDescent="0.25">
      <c r="T54456" s="135"/>
      <c r="U54456" s="135"/>
    </row>
    <row r="54457" spans="20:21" ht="15" customHeight="1" x14ac:dyDescent="0.25">
      <c r="T54457" s="135"/>
      <c r="U54457" s="135"/>
    </row>
    <row r="54458" spans="20:21" ht="15" customHeight="1" x14ac:dyDescent="0.25">
      <c r="T54458" s="135"/>
      <c r="U54458" s="135"/>
    </row>
    <row r="54459" spans="20:21" ht="15" customHeight="1" x14ac:dyDescent="0.25">
      <c r="T54459" s="135"/>
      <c r="U54459" s="135"/>
    </row>
    <row r="54460" spans="20:21" ht="15" customHeight="1" x14ac:dyDescent="0.25">
      <c r="T54460" s="135"/>
      <c r="U54460" s="135"/>
    </row>
    <row r="54461" spans="20:21" ht="15" customHeight="1" x14ac:dyDescent="0.25">
      <c r="T54461" s="135"/>
      <c r="U54461" s="135"/>
    </row>
    <row r="54462" spans="20:21" ht="15" customHeight="1" x14ac:dyDescent="0.25">
      <c r="T54462" s="135"/>
      <c r="U54462" s="135"/>
    </row>
    <row r="54463" spans="20:21" ht="15" customHeight="1" x14ac:dyDescent="0.25">
      <c r="T54463" s="135"/>
      <c r="U54463" s="135"/>
    </row>
    <row r="54464" spans="20:21" ht="15" customHeight="1" x14ac:dyDescent="0.25">
      <c r="T54464" s="135"/>
      <c r="U54464" s="135"/>
    </row>
    <row r="54465" spans="20:21" ht="15" customHeight="1" x14ac:dyDescent="0.25">
      <c r="T54465" s="135"/>
      <c r="U54465" s="135"/>
    </row>
    <row r="54466" spans="20:21" ht="15" customHeight="1" x14ac:dyDescent="0.25">
      <c r="T54466" s="135"/>
      <c r="U54466" s="135"/>
    </row>
    <row r="54467" spans="20:21" ht="15" customHeight="1" x14ac:dyDescent="0.25">
      <c r="T54467" s="135"/>
      <c r="U54467" s="135"/>
    </row>
    <row r="54468" spans="20:21" ht="15" customHeight="1" x14ac:dyDescent="0.25">
      <c r="T54468" s="135"/>
      <c r="U54468" s="135"/>
    </row>
    <row r="54469" spans="20:21" ht="15" customHeight="1" x14ac:dyDescent="0.25">
      <c r="T54469" s="135"/>
      <c r="U54469" s="135"/>
    </row>
    <row r="54470" spans="20:21" ht="15" customHeight="1" x14ac:dyDescent="0.25">
      <c r="T54470" s="135"/>
      <c r="U54470" s="135"/>
    </row>
    <row r="54471" spans="20:21" ht="15" customHeight="1" x14ac:dyDescent="0.25">
      <c r="T54471" s="135"/>
      <c r="U54471" s="135"/>
    </row>
    <row r="54472" spans="20:21" ht="15" customHeight="1" x14ac:dyDescent="0.25">
      <c r="T54472" s="135"/>
      <c r="U54472" s="135"/>
    </row>
    <row r="54473" spans="20:21" ht="15" customHeight="1" x14ac:dyDescent="0.25">
      <c r="T54473" s="135"/>
      <c r="U54473" s="135"/>
    </row>
    <row r="54474" spans="20:21" ht="15" customHeight="1" x14ac:dyDescent="0.25">
      <c r="T54474" s="135"/>
      <c r="U54474" s="135"/>
    </row>
    <row r="54475" spans="20:21" ht="15" customHeight="1" x14ac:dyDescent="0.25">
      <c r="T54475" s="135"/>
      <c r="U54475" s="135"/>
    </row>
    <row r="54476" spans="20:21" ht="15" customHeight="1" x14ac:dyDescent="0.25">
      <c r="T54476" s="135"/>
      <c r="U54476" s="135"/>
    </row>
    <row r="54477" spans="20:21" ht="15" customHeight="1" x14ac:dyDescent="0.25">
      <c r="T54477" s="135"/>
      <c r="U54477" s="135"/>
    </row>
    <row r="54478" spans="20:21" ht="15" customHeight="1" x14ac:dyDescent="0.25">
      <c r="T54478" s="135"/>
      <c r="U54478" s="135"/>
    </row>
    <row r="54479" spans="20:21" ht="15" customHeight="1" x14ac:dyDescent="0.25">
      <c r="T54479" s="135"/>
      <c r="U54479" s="135"/>
    </row>
    <row r="54480" spans="20:21" ht="15" customHeight="1" x14ac:dyDescent="0.25">
      <c r="T54480" s="135"/>
      <c r="U54480" s="135"/>
    </row>
    <row r="54481" spans="20:21" ht="15" customHeight="1" x14ac:dyDescent="0.25">
      <c r="T54481" s="135"/>
      <c r="U54481" s="135"/>
    </row>
    <row r="54482" spans="20:21" ht="15" customHeight="1" x14ac:dyDescent="0.25">
      <c r="T54482" s="135"/>
      <c r="U54482" s="135"/>
    </row>
    <row r="54483" spans="20:21" ht="15" customHeight="1" x14ac:dyDescent="0.25">
      <c r="T54483" s="135"/>
      <c r="U54483" s="135"/>
    </row>
    <row r="54484" spans="20:21" ht="15" customHeight="1" x14ac:dyDescent="0.25">
      <c r="T54484" s="135"/>
      <c r="U54484" s="135"/>
    </row>
    <row r="54485" spans="20:21" ht="15" customHeight="1" x14ac:dyDescent="0.25">
      <c r="T54485" s="135"/>
      <c r="U54485" s="135"/>
    </row>
    <row r="54486" spans="20:21" ht="15" customHeight="1" x14ac:dyDescent="0.25">
      <c r="T54486" s="135"/>
      <c r="U54486" s="135"/>
    </row>
    <row r="54487" spans="20:21" ht="15" customHeight="1" x14ac:dyDescent="0.25">
      <c r="T54487" s="135"/>
      <c r="U54487" s="135"/>
    </row>
    <row r="54488" spans="20:21" ht="15" customHeight="1" x14ac:dyDescent="0.25">
      <c r="T54488" s="135"/>
      <c r="U54488" s="135"/>
    </row>
    <row r="54489" spans="20:21" ht="15" customHeight="1" x14ac:dyDescent="0.25">
      <c r="T54489" s="135"/>
      <c r="U54489" s="135"/>
    </row>
    <row r="54490" spans="20:21" ht="15" customHeight="1" x14ac:dyDescent="0.25">
      <c r="T54490" s="135"/>
      <c r="U54490" s="135"/>
    </row>
    <row r="54491" spans="20:21" ht="15" customHeight="1" x14ac:dyDescent="0.25">
      <c r="T54491" s="135"/>
      <c r="U54491" s="135"/>
    </row>
    <row r="54492" spans="20:21" ht="15" customHeight="1" x14ac:dyDescent="0.25">
      <c r="T54492" s="135"/>
      <c r="U54492" s="135"/>
    </row>
    <row r="54493" spans="20:21" ht="15" customHeight="1" x14ac:dyDescent="0.25">
      <c r="T54493" s="135"/>
      <c r="U54493" s="135"/>
    </row>
    <row r="54494" spans="20:21" ht="15" customHeight="1" x14ac:dyDescent="0.25">
      <c r="T54494" s="135"/>
      <c r="U54494" s="135"/>
    </row>
    <row r="54495" spans="20:21" ht="15" customHeight="1" x14ac:dyDescent="0.25">
      <c r="T54495" s="135"/>
      <c r="U54495" s="135"/>
    </row>
    <row r="54496" spans="20:21" ht="15" customHeight="1" x14ac:dyDescent="0.25">
      <c r="T54496" s="135"/>
      <c r="U54496" s="135"/>
    </row>
    <row r="54497" spans="20:21" ht="15" customHeight="1" x14ac:dyDescent="0.25">
      <c r="T54497" s="135"/>
      <c r="U54497" s="135"/>
    </row>
    <row r="54498" spans="20:21" ht="15" customHeight="1" x14ac:dyDescent="0.25">
      <c r="T54498" s="135"/>
      <c r="U54498" s="135"/>
    </row>
    <row r="54499" spans="20:21" ht="15" customHeight="1" x14ac:dyDescent="0.25">
      <c r="T54499" s="135"/>
      <c r="U54499" s="135"/>
    </row>
    <row r="54500" spans="20:21" ht="15" customHeight="1" x14ac:dyDescent="0.25">
      <c r="T54500" s="135"/>
      <c r="U54500" s="135"/>
    </row>
    <row r="54501" spans="20:21" ht="15" customHeight="1" x14ac:dyDescent="0.25">
      <c r="T54501" s="135"/>
      <c r="U54501" s="135"/>
    </row>
    <row r="54502" spans="20:21" ht="15" customHeight="1" x14ac:dyDescent="0.25">
      <c r="T54502" s="135"/>
      <c r="U54502" s="135"/>
    </row>
    <row r="54503" spans="20:21" ht="15" customHeight="1" x14ac:dyDescent="0.25">
      <c r="T54503" s="135"/>
      <c r="U54503" s="135"/>
    </row>
    <row r="54504" spans="20:21" ht="15" customHeight="1" x14ac:dyDescent="0.25">
      <c r="T54504" s="135"/>
      <c r="U54504" s="135"/>
    </row>
    <row r="54505" spans="20:21" ht="15" customHeight="1" x14ac:dyDescent="0.25">
      <c r="T54505" s="135"/>
      <c r="U54505" s="135"/>
    </row>
    <row r="54506" spans="20:21" ht="15" customHeight="1" x14ac:dyDescent="0.25">
      <c r="T54506" s="135"/>
      <c r="U54506" s="135"/>
    </row>
    <row r="54507" spans="20:21" ht="15" customHeight="1" x14ac:dyDescent="0.25">
      <c r="T54507" s="135"/>
      <c r="U54507" s="135"/>
    </row>
    <row r="54508" spans="20:21" ht="15" customHeight="1" x14ac:dyDescent="0.25">
      <c r="T54508" s="135"/>
      <c r="U54508" s="135"/>
    </row>
    <row r="54509" spans="20:21" ht="15" customHeight="1" x14ac:dyDescent="0.25">
      <c r="T54509" s="135"/>
      <c r="U54509" s="135"/>
    </row>
    <row r="54510" spans="20:21" ht="15" customHeight="1" x14ac:dyDescent="0.25">
      <c r="T54510" s="135"/>
      <c r="U54510" s="135"/>
    </row>
    <row r="54511" spans="20:21" ht="15" customHeight="1" x14ac:dyDescent="0.25">
      <c r="T54511" s="135"/>
      <c r="U54511" s="135"/>
    </row>
    <row r="54512" spans="20:21" ht="15" customHeight="1" x14ac:dyDescent="0.25">
      <c r="T54512" s="135"/>
      <c r="U54512" s="135"/>
    </row>
    <row r="54513" spans="20:21" ht="15" customHeight="1" x14ac:dyDescent="0.25">
      <c r="T54513" s="135"/>
      <c r="U54513" s="135"/>
    </row>
    <row r="54514" spans="20:21" ht="15" customHeight="1" x14ac:dyDescent="0.25">
      <c r="T54514" s="135"/>
      <c r="U54514" s="135"/>
    </row>
    <row r="54515" spans="20:21" ht="15" customHeight="1" x14ac:dyDescent="0.25">
      <c r="T54515" s="135"/>
      <c r="U54515" s="135"/>
    </row>
    <row r="54516" spans="20:21" ht="15" customHeight="1" x14ac:dyDescent="0.25">
      <c r="T54516" s="135"/>
      <c r="U54516" s="135"/>
    </row>
    <row r="54517" spans="20:21" ht="15" customHeight="1" x14ac:dyDescent="0.25">
      <c r="T54517" s="135"/>
      <c r="U54517" s="135"/>
    </row>
    <row r="54518" spans="20:21" ht="15" customHeight="1" x14ac:dyDescent="0.25">
      <c r="T54518" s="135"/>
      <c r="U54518" s="135"/>
    </row>
    <row r="54519" spans="20:21" ht="15" customHeight="1" x14ac:dyDescent="0.25">
      <c r="T54519" s="135"/>
      <c r="U54519" s="135"/>
    </row>
    <row r="54520" spans="20:21" ht="15" customHeight="1" x14ac:dyDescent="0.25">
      <c r="T54520" s="135"/>
      <c r="U54520" s="135"/>
    </row>
    <row r="54521" spans="20:21" ht="15" customHeight="1" x14ac:dyDescent="0.25">
      <c r="T54521" s="135"/>
      <c r="U54521" s="135"/>
    </row>
    <row r="54522" spans="20:21" ht="15" customHeight="1" x14ac:dyDescent="0.25">
      <c r="T54522" s="135"/>
      <c r="U54522" s="135"/>
    </row>
    <row r="54523" spans="20:21" ht="15" customHeight="1" x14ac:dyDescent="0.25">
      <c r="T54523" s="135"/>
      <c r="U54523" s="135"/>
    </row>
    <row r="54524" spans="20:21" ht="15" customHeight="1" x14ac:dyDescent="0.25">
      <c r="T54524" s="135"/>
      <c r="U54524" s="135"/>
    </row>
    <row r="54525" spans="20:21" ht="15" customHeight="1" x14ac:dyDescent="0.25">
      <c r="T54525" s="135"/>
      <c r="U54525" s="135"/>
    </row>
    <row r="54526" spans="20:21" ht="15" customHeight="1" x14ac:dyDescent="0.25">
      <c r="T54526" s="135"/>
      <c r="U54526" s="135"/>
    </row>
    <row r="54527" spans="20:21" ht="15" customHeight="1" x14ac:dyDescent="0.25">
      <c r="T54527" s="135"/>
      <c r="U54527" s="135"/>
    </row>
    <row r="54528" spans="20:21" ht="15" customHeight="1" x14ac:dyDescent="0.25">
      <c r="T54528" s="135"/>
      <c r="U54528" s="135"/>
    </row>
    <row r="54529" spans="20:21" ht="15" customHeight="1" x14ac:dyDescent="0.25">
      <c r="T54529" s="135"/>
      <c r="U54529" s="135"/>
    </row>
    <row r="54530" spans="20:21" ht="15" customHeight="1" x14ac:dyDescent="0.25">
      <c r="T54530" s="135"/>
      <c r="U54530" s="135"/>
    </row>
    <row r="54531" spans="20:21" ht="15" customHeight="1" x14ac:dyDescent="0.25">
      <c r="T54531" s="135"/>
      <c r="U54531" s="135"/>
    </row>
    <row r="54532" spans="20:21" ht="15" customHeight="1" x14ac:dyDescent="0.25">
      <c r="T54532" s="135"/>
      <c r="U54532" s="135"/>
    </row>
    <row r="54533" spans="20:21" ht="15" customHeight="1" x14ac:dyDescent="0.25">
      <c r="T54533" s="135"/>
      <c r="U54533" s="135"/>
    </row>
    <row r="54534" spans="20:21" ht="15" customHeight="1" x14ac:dyDescent="0.25">
      <c r="T54534" s="135"/>
      <c r="U54534" s="135"/>
    </row>
    <row r="54535" spans="20:21" ht="15" customHeight="1" x14ac:dyDescent="0.25">
      <c r="T54535" s="135"/>
      <c r="U54535" s="135"/>
    </row>
    <row r="54536" spans="20:21" ht="15" customHeight="1" x14ac:dyDescent="0.25">
      <c r="T54536" s="135"/>
      <c r="U54536" s="135"/>
    </row>
    <row r="54537" spans="20:21" ht="15" customHeight="1" x14ac:dyDescent="0.25">
      <c r="T54537" s="135"/>
      <c r="U54537" s="135"/>
    </row>
    <row r="54538" spans="20:21" ht="15" customHeight="1" x14ac:dyDescent="0.25">
      <c r="T54538" s="135"/>
      <c r="U54538" s="135"/>
    </row>
    <row r="54539" spans="20:21" ht="15" customHeight="1" x14ac:dyDescent="0.25">
      <c r="T54539" s="135"/>
      <c r="U54539" s="135"/>
    </row>
    <row r="54540" spans="20:21" ht="15" customHeight="1" x14ac:dyDescent="0.25">
      <c r="T54540" s="135"/>
      <c r="U54540" s="135"/>
    </row>
    <row r="54541" spans="20:21" ht="15" customHeight="1" x14ac:dyDescent="0.25">
      <c r="T54541" s="135"/>
      <c r="U54541" s="135"/>
    </row>
    <row r="54542" spans="20:21" ht="15" customHeight="1" x14ac:dyDescent="0.25">
      <c r="T54542" s="135"/>
      <c r="U54542" s="135"/>
    </row>
    <row r="54543" spans="20:21" ht="15" customHeight="1" x14ac:dyDescent="0.25">
      <c r="T54543" s="135"/>
      <c r="U54543" s="135"/>
    </row>
    <row r="54544" spans="20:21" ht="15" customHeight="1" x14ac:dyDescent="0.25">
      <c r="T54544" s="135"/>
      <c r="U54544" s="135"/>
    </row>
    <row r="54545" spans="20:21" ht="15" customHeight="1" x14ac:dyDescent="0.25">
      <c r="T54545" s="135"/>
      <c r="U54545" s="135"/>
    </row>
    <row r="54546" spans="20:21" ht="15" customHeight="1" x14ac:dyDescent="0.25">
      <c r="T54546" s="135"/>
      <c r="U54546" s="135"/>
    </row>
    <row r="54547" spans="20:21" ht="15" customHeight="1" x14ac:dyDescent="0.25">
      <c r="T54547" s="135"/>
      <c r="U54547" s="135"/>
    </row>
    <row r="54548" spans="20:21" ht="15" customHeight="1" x14ac:dyDescent="0.25">
      <c r="T54548" s="135"/>
      <c r="U54548" s="135"/>
    </row>
    <row r="54549" spans="20:21" ht="15" customHeight="1" x14ac:dyDescent="0.25">
      <c r="T54549" s="135"/>
      <c r="U54549" s="135"/>
    </row>
    <row r="54550" spans="20:21" ht="15" customHeight="1" x14ac:dyDescent="0.25">
      <c r="T54550" s="135"/>
      <c r="U54550" s="135"/>
    </row>
    <row r="54551" spans="20:21" ht="15" customHeight="1" x14ac:dyDescent="0.25">
      <c r="T54551" s="135"/>
      <c r="U54551" s="135"/>
    </row>
    <row r="54552" spans="20:21" ht="15" customHeight="1" x14ac:dyDescent="0.25">
      <c r="T54552" s="135"/>
      <c r="U54552" s="135"/>
    </row>
    <row r="54553" spans="20:21" ht="15" customHeight="1" x14ac:dyDescent="0.25">
      <c r="T54553" s="135"/>
      <c r="U54553" s="135"/>
    </row>
    <row r="54554" spans="20:21" ht="15" customHeight="1" x14ac:dyDescent="0.25">
      <c r="T54554" s="135"/>
      <c r="U54554" s="135"/>
    </row>
    <row r="54555" spans="20:21" ht="15" customHeight="1" x14ac:dyDescent="0.25">
      <c r="T54555" s="135"/>
      <c r="U54555" s="135"/>
    </row>
    <row r="54556" spans="20:21" ht="15" customHeight="1" x14ac:dyDescent="0.25">
      <c r="T54556" s="135"/>
      <c r="U54556" s="135"/>
    </row>
    <row r="54557" spans="20:21" ht="15" customHeight="1" x14ac:dyDescent="0.25">
      <c r="T54557" s="135"/>
      <c r="U54557" s="135"/>
    </row>
    <row r="54558" spans="20:21" ht="15" customHeight="1" x14ac:dyDescent="0.25">
      <c r="T54558" s="135"/>
      <c r="U54558" s="135"/>
    </row>
    <row r="54559" spans="20:21" ht="15" customHeight="1" x14ac:dyDescent="0.25">
      <c r="T54559" s="135"/>
      <c r="U54559" s="135"/>
    </row>
    <row r="54560" spans="20:21" ht="15" customHeight="1" x14ac:dyDescent="0.25">
      <c r="T54560" s="135"/>
      <c r="U54560" s="135"/>
    </row>
    <row r="54561" spans="20:21" ht="15" customHeight="1" x14ac:dyDescent="0.25">
      <c r="T54561" s="135"/>
      <c r="U54561" s="135"/>
    </row>
    <row r="54562" spans="20:21" ht="15" customHeight="1" x14ac:dyDescent="0.25">
      <c r="T54562" s="135"/>
      <c r="U54562" s="135"/>
    </row>
    <row r="54563" spans="20:21" ht="15" customHeight="1" x14ac:dyDescent="0.25">
      <c r="T54563" s="135"/>
      <c r="U54563" s="135"/>
    </row>
    <row r="54564" spans="20:21" ht="15" customHeight="1" x14ac:dyDescent="0.25">
      <c r="T54564" s="135"/>
      <c r="U54564" s="135"/>
    </row>
    <row r="54565" spans="20:21" ht="15" customHeight="1" x14ac:dyDescent="0.25">
      <c r="T54565" s="135"/>
      <c r="U54565" s="135"/>
    </row>
    <row r="54566" spans="20:21" ht="15" customHeight="1" x14ac:dyDescent="0.25">
      <c r="T54566" s="135"/>
      <c r="U54566" s="135"/>
    </row>
    <row r="54567" spans="20:21" ht="15" customHeight="1" x14ac:dyDescent="0.25">
      <c r="T54567" s="135"/>
      <c r="U54567" s="135"/>
    </row>
    <row r="54568" spans="20:21" ht="15" customHeight="1" x14ac:dyDescent="0.25">
      <c r="T54568" s="135"/>
      <c r="U54568" s="135"/>
    </row>
    <row r="54569" spans="20:21" ht="15" customHeight="1" x14ac:dyDescent="0.25">
      <c r="T54569" s="135"/>
      <c r="U54569" s="135"/>
    </row>
    <row r="54570" spans="20:21" ht="15" customHeight="1" x14ac:dyDescent="0.25">
      <c r="T54570" s="135"/>
      <c r="U54570" s="135"/>
    </row>
    <row r="54571" spans="20:21" ht="15" customHeight="1" x14ac:dyDescent="0.25">
      <c r="T54571" s="135"/>
      <c r="U54571" s="135"/>
    </row>
    <row r="54572" spans="20:21" ht="15" customHeight="1" x14ac:dyDescent="0.25">
      <c r="T54572" s="135"/>
      <c r="U54572" s="135"/>
    </row>
    <row r="54573" spans="20:21" ht="15" customHeight="1" x14ac:dyDescent="0.25">
      <c r="T54573" s="135"/>
      <c r="U54573" s="135"/>
    </row>
    <row r="54574" spans="20:21" ht="15" customHeight="1" x14ac:dyDescent="0.25">
      <c r="T54574" s="135"/>
      <c r="U54574" s="135"/>
    </row>
    <row r="54575" spans="20:21" ht="15" customHeight="1" x14ac:dyDescent="0.25">
      <c r="T54575" s="135"/>
      <c r="U54575" s="135"/>
    </row>
    <row r="54576" spans="20:21" ht="15" customHeight="1" x14ac:dyDescent="0.25">
      <c r="T54576" s="135"/>
      <c r="U54576" s="135"/>
    </row>
    <row r="54577" spans="20:21" ht="15" customHeight="1" x14ac:dyDescent="0.25">
      <c r="T54577" s="135"/>
      <c r="U54577" s="135"/>
    </row>
    <row r="54578" spans="20:21" ht="15" customHeight="1" x14ac:dyDescent="0.25">
      <c r="T54578" s="135"/>
      <c r="U54578" s="135"/>
    </row>
    <row r="54579" spans="20:21" ht="15" customHeight="1" x14ac:dyDescent="0.25">
      <c r="T54579" s="135"/>
      <c r="U54579" s="135"/>
    </row>
    <row r="54580" spans="20:21" ht="15" customHeight="1" x14ac:dyDescent="0.25">
      <c r="T54580" s="135"/>
      <c r="U54580" s="135"/>
    </row>
    <row r="54581" spans="20:21" ht="15" customHeight="1" x14ac:dyDescent="0.25">
      <c r="T54581" s="135"/>
      <c r="U54581" s="135"/>
    </row>
    <row r="54582" spans="20:21" ht="15" customHeight="1" x14ac:dyDescent="0.25">
      <c r="T54582" s="135"/>
      <c r="U54582" s="135"/>
    </row>
    <row r="54583" spans="20:21" ht="15" customHeight="1" x14ac:dyDescent="0.25">
      <c r="T54583" s="135"/>
      <c r="U54583" s="135"/>
    </row>
    <row r="54584" spans="20:21" ht="15" customHeight="1" x14ac:dyDescent="0.25">
      <c r="T54584" s="135"/>
      <c r="U54584" s="135"/>
    </row>
    <row r="54585" spans="20:21" ht="15" customHeight="1" x14ac:dyDescent="0.25">
      <c r="T54585" s="135"/>
      <c r="U54585" s="135"/>
    </row>
    <row r="54586" spans="20:21" ht="15" customHeight="1" x14ac:dyDescent="0.25">
      <c r="T54586" s="135"/>
      <c r="U54586" s="135"/>
    </row>
    <row r="54587" spans="20:21" ht="15" customHeight="1" x14ac:dyDescent="0.25">
      <c r="T54587" s="135"/>
      <c r="U54587" s="135"/>
    </row>
    <row r="54588" spans="20:21" ht="15" customHeight="1" x14ac:dyDescent="0.25">
      <c r="T54588" s="135"/>
      <c r="U54588" s="135"/>
    </row>
    <row r="54589" spans="20:21" ht="15" customHeight="1" x14ac:dyDescent="0.25">
      <c r="T54589" s="135"/>
      <c r="U54589" s="135"/>
    </row>
    <row r="54590" spans="20:21" ht="15" customHeight="1" x14ac:dyDescent="0.25">
      <c r="T54590" s="135"/>
      <c r="U54590" s="135"/>
    </row>
    <row r="54591" spans="20:21" ht="15" customHeight="1" x14ac:dyDescent="0.25">
      <c r="T54591" s="135"/>
      <c r="U54591" s="135"/>
    </row>
    <row r="54592" spans="20:21" ht="15" customHeight="1" x14ac:dyDescent="0.25">
      <c r="T54592" s="135"/>
      <c r="U54592" s="135"/>
    </row>
    <row r="54593" spans="20:21" ht="15" customHeight="1" x14ac:dyDescent="0.25">
      <c r="T54593" s="135"/>
      <c r="U54593" s="135"/>
    </row>
    <row r="54594" spans="20:21" ht="15" customHeight="1" x14ac:dyDescent="0.25">
      <c r="T54594" s="135"/>
      <c r="U54594" s="135"/>
    </row>
    <row r="54595" spans="20:21" ht="15" customHeight="1" x14ac:dyDescent="0.25">
      <c r="T54595" s="135"/>
      <c r="U54595" s="135"/>
    </row>
    <row r="54596" spans="20:21" ht="15" customHeight="1" x14ac:dyDescent="0.25">
      <c r="T54596" s="135"/>
      <c r="U54596" s="135"/>
    </row>
    <row r="54597" spans="20:21" ht="15" customHeight="1" x14ac:dyDescent="0.25">
      <c r="T54597" s="135"/>
      <c r="U54597" s="135"/>
    </row>
    <row r="54598" spans="20:21" ht="15" customHeight="1" x14ac:dyDescent="0.25">
      <c r="T54598" s="135"/>
      <c r="U54598" s="135"/>
    </row>
    <row r="54599" spans="20:21" ht="15" customHeight="1" x14ac:dyDescent="0.25">
      <c r="T54599" s="135"/>
      <c r="U54599" s="135"/>
    </row>
    <row r="54600" spans="20:21" ht="15" customHeight="1" x14ac:dyDescent="0.25">
      <c r="T54600" s="135"/>
      <c r="U54600" s="135"/>
    </row>
    <row r="54601" spans="20:21" ht="15" customHeight="1" x14ac:dyDescent="0.25">
      <c r="T54601" s="135"/>
      <c r="U54601" s="135"/>
    </row>
    <row r="54602" spans="20:21" ht="15" customHeight="1" x14ac:dyDescent="0.25">
      <c r="T54602" s="135"/>
      <c r="U54602" s="135"/>
    </row>
    <row r="54603" spans="20:21" ht="15" customHeight="1" x14ac:dyDescent="0.25">
      <c r="T54603" s="135"/>
      <c r="U54603" s="135"/>
    </row>
    <row r="54604" spans="20:21" ht="15" customHeight="1" x14ac:dyDescent="0.25">
      <c r="T54604" s="135"/>
      <c r="U54604" s="135"/>
    </row>
    <row r="54605" spans="20:21" ht="15" customHeight="1" x14ac:dyDescent="0.25">
      <c r="T54605" s="135"/>
      <c r="U54605" s="135"/>
    </row>
    <row r="54606" spans="20:21" ht="15" customHeight="1" x14ac:dyDescent="0.25">
      <c r="T54606" s="135"/>
      <c r="U54606" s="135"/>
    </row>
    <row r="54607" spans="20:21" ht="15" customHeight="1" x14ac:dyDescent="0.25">
      <c r="T54607" s="135"/>
      <c r="U54607" s="135"/>
    </row>
    <row r="54608" spans="20:21" ht="15" customHeight="1" x14ac:dyDescent="0.25">
      <c r="T54608" s="135"/>
      <c r="U54608" s="135"/>
    </row>
    <row r="54609" spans="20:21" ht="15" customHeight="1" x14ac:dyDescent="0.25">
      <c r="T54609" s="135"/>
      <c r="U54609" s="135"/>
    </row>
    <row r="54610" spans="20:21" ht="15" customHeight="1" x14ac:dyDescent="0.25">
      <c r="T54610" s="135"/>
      <c r="U54610" s="135"/>
    </row>
    <row r="54611" spans="20:21" ht="15" customHeight="1" x14ac:dyDescent="0.25">
      <c r="T54611" s="135"/>
      <c r="U54611" s="135"/>
    </row>
    <row r="54612" spans="20:21" ht="15" customHeight="1" x14ac:dyDescent="0.25">
      <c r="T54612" s="135"/>
      <c r="U54612" s="135"/>
    </row>
    <row r="54613" spans="20:21" ht="15" customHeight="1" x14ac:dyDescent="0.25">
      <c r="T54613" s="135"/>
      <c r="U54613" s="135"/>
    </row>
    <row r="54614" spans="20:21" ht="15" customHeight="1" x14ac:dyDescent="0.25">
      <c r="T54614" s="135"/>
      <c r="U54614" s="135"/>
    </row>
    <row r="54615" spans="20:21" ht="15" customHeight="1" x14ac:dyDescent="0.25">
      <c r="T54615" s="135"/>
      <c r="U54615" s="135"/>
    </row>
    <row r="54616" spans="20:21" ht="15" customHeight="1" x14ac:dyDescent="0.25">
      <c r="T54616" s="135"/>
      <c r="U54616" s="135"/>
    </row>
    <row r="54617" spans="20:21" ht="15" customHeight="1" x14ac:dyDescent="0.25">
      <c r="T54617" s="135"/>
      <c r="U54617" s="135"/>
    </row>
    <row r="54618" spans="20:21" ht="15" customHeight="1" x14ac:dyDescent="0.25">
      <c r="T54618" s="135"/>
      <c r="U54618" s="135"/>
    </row>
    <row r="54619" spans="20:21" ht="15" customHeight="1" x14ac:dyDescent="0.25">
      <c r="T54619" s="135"/>
      <c r="U54619" s="135"/>
    </row>
    <row r="54620" spans="20:21" ht="15" customHeight="1" x14ac:dyDescent="0.25">
      <c r="T54620" s="135"/>
      <c r="U54620" s="135"/>
    </row>
    <row r="54621" spans="20:21" ht="15" customHeight="1" x14ac:dyDescent="0.25">
      <c r="T54621" s="135"/>
      <c r="U54621" s="135"/>
    </row>
    <row r="54622" spans="20:21" ht="15" customHeight="1" x14ac:dyDescent="0.25">
      <c r="T54622" s="135"/>
      <c r="U54622" s="135"/>
    </row>
    <row r="54623" spans="20:21" ht="15" customHeight="1" x14ac:dyDescent="0.25">
      <c r="T54623" s="135"/>
      <c r="U54623" s="135"/>
    </row>
    <row r="54624" spans="20:21" ht="15" customHeight="1" x14ac:dyDescent="0.25">
      <c r="T54624" s="135"/>
      <c r="U54624" s="135"/>
    </row>
    <row r="54625" spans="20:21" ht="15" customHeight="1" x14ac:dyDescent="0.25">
      <c r="T54625" s="135"/>
      <c r="U54625" s="135"/>
    </row>
    <row r="54626" spans="20:21" ht="15" customHeight="1" x14ac:dyDescent="0.25">
      <c r="T54626" s="135"/>
      <c r="U54626" s="135"/>
    </row>
    <row r="54627" spans="20:21" ht="15" customHeight="1" x14ac:dyDescent="0.25">
      <c r="T54627" s="135"/>
      <c r="U54627" s="135"/>
    </row>
    <row r="54628" spans="20:21" ht="15" customHeight="1" x14ac:dyDescent="0.25">
      <c r="T54628" s="135"/>
      <c r="U54628" s="135"/>
    </row>
    <row r="54629" spans="20:21" ht="15" customHeight="1" x14ac:dyDescent="0.25">
      <c r="T54629" s="135"/>
      <c r="U54629" s="135"/>
    </row>
    <row r="54630" spans="20:21" ht="15" customHeight="1" x14ac:dyDescent="0.25">
      <c r="T54630" s="135"/>
      <c r="U54630" s="135"/>
    </row>
    <row r="54631" spans="20:21" ht="15" customHeight="1" x14ac:dyDescent="0.25">
      <c r="T54631" s="135"/>
      <c r="U54631" s="135"/>
    </row>
    <row r="54632" spans="20:21" ht="15" customHeight="1" x14ac:dyDescent="0.25">
      <c r="T54632" s="135"/>
      <c r="U54632" s="135"/>
    </row>
    <row r="54633" spans="20:21" ht="15" customHeight="1" x14ac:dyDescent="0.25">
      <c r="T54633" s="135"/>
      <c r="U54633" s="135"/>
    </row>
    <row r="54634" spans="20:21" ht="15" customHeight="1" x14ac:dyDescent="0.25">
      <c r="T54634" s="135"/>
      <c r="U54634" s="135"/>
    </row>
    <row r="54635" spans="20:21" ht="15" customHeight="1" x14ac:dyDescent="0.25">
      <c r="T54635" s="135"/>
      <c r="U54635" s="135"/>
    </row>
    <row r="54636" spans="20:21" ht="15" customHeight="1" x14ac:dyDescent="0.25">
      <c r="T54636" s="135"/>
      <c r="U54636" s="135"/>
    </row>
    <row r="54637" spans="20:21" ht="15" customHeight="1" x14ac:dyDescent="0.25">
      <c r="T54637" s="135"/>
      <c r="U54637" s="135"/>
    </row>
    <row r="54638" spans="20:21" ht="15" customHeight="1" x14ac:dyDescent="0.25">
      <c r="T54638" s="135"/>
      <c r="U54638" s="135"/>
    </row>
    <row r="54639" spans="20:21" ht="15" customHeight="1" x14ac:dyDescent="0.25">
      <c r="T54639" s="135"/>
      <c r="U54639" s="135"/>
    </row>
    <row r="54640" spans="20:21" ht="15" customHeight="1" x14ac:dyDescent="0.25">
      <c r="T54640" s="135"/>
      <c r="U54640" s="135"/>
    </row>
    <row r="54641" spans="20:21" ht="15" customHeight="1" x14ac:dyDescent="0.25">
      <c r="T54641" s="135"/>
      <c r="U54641" s="135"/>
    </row>
    <row r="54642" spans="20:21" ht="15" customHeight="1" x14ac:dyDescent="0.25">
      <c r="T54642" s="135"/>
      <c r="U54642" s="135"/>
    </row>
    <row r="54643" spans="20:21" ht="15" customHeight="1" x14ac:dyDescent="0.25">
      <c r="T54643" s="135"/>
      <c r="U54643" s="135"/>
    </row>
    <row r="54644" spans="20:21" ht="15" customHeight="1" x14ac:dyDescent="0.25">
      <c r="T54644" s="135"/>
      <c r="U54644" s="135"/>
    </row>
    <row r="54645" spans="20:21" ht="15" customHeight="1" x14ac:dyDescent="0.25">
      <c r="T54645" s="135"/>
      <c r="U54645" s="135"/>
    </row>
    <row r="54646" spans="20:21" ht="15" customHeight="1" x14ac:dyDescent="0.25">
      <c r="T54646" s="135"/>
      <c r="U54646" s="135"/>
    </row>
    <row r="54647" spans="20:21" ht="15" customHeight="1" x14ac:dyDescent="0.25">
      <c r="T54647" s="135"/>
      <c r="U54647" s="135"/>
    </row>
    <row r="54648" spans="20:21" ht="15" customHeight="1" x14ac:dyDescent="0.25">
      <c r="T54648" s="135"/>
      <c r="U54648" s="135"/>
    </row>
    <row r="54649" spans="20:21" ht="15" customHeight="1" x14ac:dyDescent="0.25">
      <c r="T54649" s="135"/>
      <c r="U54649" s="135"/>
    </row>
    <row r="54650" spans="20:21" ht="15" customHeight="1" x14ac:dyDescent="0.25">
      <c r="T54650" s="135"/>
      <c r="U54650" s="135"/>
    </row>
    <row r="54651" spans="20:21" ht="15" customHeight="1" x14ac:dyDescent="0.25">
      <c r="T54651" s="135"/>
      <c r="U54651" s="135"/>
    </row>
    <row r="54652" spans="20:21" ht="15" customHeight="1" x14ac:dyDescent="0.25">
      <c r="T54652" s="135"/>
      <c r="U54652" s="135"/>
    </row>
    <row r="54653" spans="20:21" ht="15" customHeight="1" x14ac:dyDescent="0.25">
      <c r="T54653" s="135"/>
      <c r="U54653" s="135"/>
    </row>
    <row r="54654" spans="20:21" ht="15" customHeight="1" x14ac:dyDescent="0.25">
      <c r="T54654" s="135"/>
      <c r="U54654" s="135"/>
    </row>
    <row r="54655" spans="20:21" ht="15" customHeight="1" x14ac:dyDescent="0.25">
      <c r="T54655" s="135"/>
      <c r="U54655" s="135"/>
    </row>
    <row r="54656" spans="20:21" ht="15" customHeight="1" x14ac:dyDescent="0.25">
      <c r="T54656" s="135"/>
      <c r="U54656" s="135"/>
    </row>
    <row r="54657" spans="20:21" ht="15" customHeight="1" x14ac:dyDescent="0.25">
      <c r="T54657" s="135"/>
      <c r="U54657" s="135"/>
    </row>
    <row r="54658" spans="20:21" ht="15" customHeight="1" x14ac:dyDescent="0.25">
      <c r="T54658" s="135"/>
      <c r="U54658" s="135"/>
    </row>
    <row r="54659" spans="20:21" ht="15" customHeight="1" x14ac:dyDescent="0.25">
      <c r="T54659" s="135"/>
      <c r="U54659" s="135"/>
    </row>
    <row r="54660" spans="20:21" ht="15" customHeight="1" x14ac:dyDescent="0.25">
      <c r="T54660" s="135"/>
      <c r="U54660" s="135"/>
    </row>
    <row r="54661" spans="20:21" ht="15" customHeight="1" x14ac:dyDescent="0.25">
      <c r="T54661" s="135"/>
      <c r="U54661" s="135"/>
    </row>
    <row r="54662" spans="20:21" ht="15" customHeight="1" x14ac:dyDescent="0.25">
      <c r="T54662" s="135"/>
      <c r="U54662" s="135"/>
    </row>
    <row r="54663" spans="20:21" ht="15" customHeight="1" x14ac:dyDescent="0.25">
      <c r="T54663" s="135"/>
      <c r="U54663" s="135"/>
    </row>
    <row r="54664" spans="20:21" ht="15" customHeight="1" x14ac:dyDescent="0.25">
      <c r="T54664" s="135"/>
      <c r="U54664" s="135"/>
    </row>
    <row r="54665" spans="20:21" ht="15" customHeight="1" x14ac:dyDescent="0.25">
      <c r="T54665" s="135"/>
      <c r="U54665" s="135"/>
    </row>
    <row r="54666" spans="20:21" ht="15" customHeight="1" x14ac:dyDescent="0.25">
      <c r="T54666" s="135"/>
      <c r="U54666" s="135"/>
    </row>
    <row r="54667" spans="20:21" ht="15" customHeight="1" x14ac:dyDescent="0.25">
      <c r="T54667" s="135"/>
      <c r="U54667" s="135"/>
    </row>
    <row r="54668" spans="20:21" ht="15" customHeight="1" x14ac:dyDescent="0.25">
      <c r="T54668" s="135"/>
      <c r="U54668" s="135"/>
    </row>
    <row r="54669" spans="20:21" ht="15" customHeight="1" x14ac:dyDescent="0.25">
      <c r="T54669" s="135"/>
      <c r="U54669" s="135"/>
    </row>
    <row r="54670" spans="20:21" ht="15" customHeight="1" x14ac:dyDescent="0.25">
      <c r="T54670" s="135"/>
      <c r="U54670" s="135"/>
    </row>
    <row r="54671" spans="20:21" ht="15" customHeight="1" x14ac:dyDescent="0.25">
      <c r="T54671" s="135"/>
      <c r="U54671" s="135"/>
    </row>
    <row r="54672" spans="20:21" ht="15" customHeight="1" x14ac:dyDescent="0.25">
      <c r="T54672" s="135"/>
      <c r="U54672" s="135"/>
    </row>
    <row r="54673" spans="20:21" ht="15" customHeight="1" x14ac:dyDescent="0.25">
      <c r="T54673" s="135"/>
      <c r="U54673" s="135"/>
    </row>
    <row r="54674" spans="20:21" ht="15" customHeight="1" x14ac:dyDescent="0.25">
      <c r="T54674" s="135"/>
      <c r="U54674" s="135"/>
    </row>
    <row r="54675" spans="20:21" ht="15" customHeight="1" x14ac:dyDescent="0.25">
      <c r="T54675" s="135"/>
      <c r="U54675" s="135"/>
    </row>
    <row r="54676" spans="20:21" ht="15" customHeight="1" x14ac:dyDescent="0.25">
      <c r="T54676" s="135"/>
      <c r="U54676" s="135"/>
    </row>
    <row r="54677" spans="20:21" ht="15" customHeight="1" x14ac:dyDescent="0.25">
      <c r="T54677" s="135"/>
      <c r="U54677" s="135"/>
    </row>
    <row r="54678" spans="20:21" ht="15" customHeight="1" x14ac:dyDescent="0.25">
      <c r="T54678" s="135"/>
      <c r="U54678" s="135"/>
    </row>
    <row r="54679" spans="20:21" ht="15" customHeight="1" x14ac:dyDescent="0.25">
      <c r="T54679" s="135"/>
      <c r="U54679" s="135"/>
    </row>
    <row r="54680" spans="20:21" ht="15" customHeight="1" x14ac:dyDescent="0.25">
      <c r="T54680" s="135"/>
      <c r="U54680" s="135"/>
    </row>
    <row r="54681" spans="20:21" ht="15" customHeight="1" x14ac:dyDescent="0.25">
      <c r="T54681" s="135"/>
      <c r="U54681" s="135"/>
    </row>
    <row r="54682" spans="20:21" ht="15" customHeight="1" x14ac:dyDescent="0.25">
      <c r="T54682" s="135"/>
      <c r="U54682" s="135"/>
    </row>
    <row r="54683" spans="20:21" ht="15" customHeight="1" x14ac:dyDescent="0.25">
      <c r="T54683" s="135"/>
      <c r="U54683" s="135"/>
    </row>
    <row r="54684" spans="20:21" ht="15" customHeight="1" x14ac:dyDescent="0.25">
      <c r="T54684" s="135"/>
      <c r="U54684" s="135"/>
    </row>
    <row r="54685" spans="20:21" ht="15" customHeight="1" x14ac:dyDescent="0.25">
      <c r="T54685" s="135"/>
      <c r="U54685" s="135"/>
    </row>
    <row r="54686" spans="20:21" ht="15" customHeight="1" x14ac:dyDescent="0.25">
      <c r="T54686" s="135"/>
      <c r="U54686" s="135"/>
    </row>
    <row r="54687" spans="20:21" ht="15" customHeight="1" x14ac:dyDescent="0.25">
      <c r="T54687" s="135"/>
      <c r="U54687" s="135"/>
    </row>
    <row r="54688" spans="20:21" ht="15" customHeight="1" x14ac:dyDescent="0.25">
      <c r="T54688" s="135"/>
      <c r="U54688" s="135"/>
    </row>
    <row r="54689" spans="20:21" ht="15" customHeight="1" x14ac:dyDescent="0.25">
      <c r="T54689" s="135"/>
      <c r="U54689" s="135"/>
    </row>
    <row r="54690" spans="20:21" ht="15" customHeight="1" x14ac:dyDescent="0.25">
      <c r="T54690" s="135"/>
      <c r="U54690" s="135"/>
    </row>
    <row r="54691" spans="20:21" ht="15" customHeight="1" x14ac:dyDescent="0.25">
      <c r="T54691" s="135"/>
      <c r="U54691" s="135"/>
    </row>
    <row r="54692" spans="20:21" ht="15" customHeight="1" x14ac:dyDescent="0.25">
      <c r="T54692" s="135"/>
      <c r="U54692" s="135"/>
    </row>
    <row r="54693" spans="20:21" ht="15" customHeight="1" x14ac:dyDescent="0.25">
      <c r="T54693" s="135"/>
      <c r="U54693" s="135"/>
    </row>
    <row r="54694" spans="20:21" ht="15" customHeight="1" x14ac:dyDescent="0.25">
      <c r="T54694" s="135"/>
      <c r="U54694" s="135"/>
    </row>
    <row r="54695" spans="20:21" ht="15" customHeight="1" x14ac:dyDescent="0.25">
      <c r="T54695" s="135"/>
      <c r="U54695" s="135"/>
    </row>
    <row r="54696" spans="20:21" ht="15" customHeight="1" x14ac:dyDescent="0.25">
      <c r="T54696" s="135"/>
      <c r="U54696" s="135"/>
    </row>
    <row r="54697" spans="20:21" ht="15" customHeight="1" x14ac:dyDescent="0.25">
      <c r="T54697" s="135"/>
      <c r="U54697" s="135"/>
    </row>
    <row r="54698" spans="20:21" ht="15" customHeight="1" x14ac:dyDescent="0.25">
      <c r="T54698" s="135"/>
      <c r="U54698" s="135"/>
    </row>
    <row r="54699" spans="20:21" ht="15" customHeight="1" x14ac:dyDescent="0.25">
      <c r="T54699" s="135"/>
      <c r="U54699" s="135"/>
    </row>
    <row r="54700" spans="20:21" ht="15" customHeight="1" x14ac:dyDescent="0.25">
      <c r="T54700" s="135"/>
      <c r="U54700" s="135"/>
    </row>
    <row r="54701" spans="20:21" ht="15" customHeight="1" x14ac:dyDescent="0.25">
      <c r="T54701" s="135"/>
      <c r="U54701" s="135"/>
    </row>
    <row r="54702" spans="20:21" ht="15" customHeight="1" x14ac:dyDescent="0.25">
      <c r="T54702" s="135"/>
      <c r="U54702" s="135"/>
    </row>
    <row r="54703" spans="20:21" ht="15" customHeight="1" x14ac:dyDescent="0.25">
      <c r="T54703" s="135"/>
      <c r="U54703" s="135"/>
    </row>
    <row r="54704" spans="20:21" ht="15" customHeight="1" x14ac:dyDescent="0.25">
      <c r="T54704" s="135"/>
      <c r="U54704" s="135"/>
    </row>
    <row r="54705" spans="20:21" ht="15" customHeight="1" x14ac:dyDescent="0.25">
      <c r="T54705" s="135"/>
      <c r="U54705" s="135"/>
    </row>
    <row r="54706" spans="20:21" ht="15" customHeight="1" x14ac:dyDescent="0.25">
      <c r="T54706" s="135"/>
      <c r="U54706" s="135"/>
    </row>
    <row r="54707" spans="20:21" ht="15" customHeight="1" x14ac:dyDescent="0.25">
      <c r="T54707" s="135"/>
      <c r="U54707" s="135"/>
    </row>
    <row r="54708" spans="20:21" ht="15" customHeight="1" x14ac:dyDescent="0.25">
      <c r="T54708" s="135"/>
      <c r="U54708" s="135"/>
    </row>
    <row r="54709" spans="20:21" ht="15" customHeight="1" x14ac:dyDescent="0.25">
      <c r="T54709" s="135"/>
      <c r="U54709" s="135"/>
    </row>
    <row r="54710" spans="20:21" ht="15" customHeight="1" x14ac:dyDescent="0.25">
      <c r="T54710" s="135"/>
      <c r="U54710" s="135"/>
    </row>
    <row r="54711" spans="20:21" ht="15" customHeight="1" x14ac:dyDescent="0.25">
      <c r="T54711" s="135"/>
      <c r="U54711" s="135"/>
    </row>
    <row r="54712" spans="20:21" ht="15" customHeight="1" x14ac:dyDescent="0.25">
      <c r="T54712" s="135"/>
      <c r="U54712" s="135"/>
    </row>
    <row r="54713" spans="20:21" ht="15" customHeight="1" x14ac:dyDescent="0.25">
      <c r="T54713" s="135"/>
      <c r="U54713" s="135"/>
    </row>
    <row r="54714" spans="20:21" ht="15" customHeight="1" x14ac:dyDescent="0.25">
      <c r="T54714" s="135"/>
      <c r="U54714" s="135"/>
    </row>
    <row r="54715" spans="20:21" ht="15" customHeight="1" x14ac:dyDescent="0.25">
      <c r="T54715" s="135"/>
      <c r="U54715" s="135"/>
    </row>
    <row r="54716" spans="20:21" ht="15" customHeight="1" x14ac:dyDescent="0.25">
      <c r="T54716" s="135"/>
      <c r="U54716" s="135"/>
    </row>
    <row r="54717" spans="20:21" ht="15" customHeight="1" x14ac:dyDescent="0.25">
      <c r="T54717" s="135"/>
      <c r="U54717" s="135"/>
    </row>
    <row r="54718" spans="20:21" ht="15" customHeight="1" x14ac:dyDescent="0.25">
      <c r="T54718" s="135"/>
      <c r="U54718" s="135"/>
    </row>
    <row r="54719" spans="20:21" ht="15" customHeight="1" x14ac:dyDescent="0.25">
      <c r="T54719" s="135"/>
      <c r="U54719" s="135"/>
    </row>
    <row r="54720" spans="20:21" ht="15" customHeight="1" x14ac:dyDescent="0.25">
      <c r="T54720" s="135"/>
      <c r="U54720" s="135"/>
    </row>
    <row r="54721" spans="20:21" ht="15" customHeight="1" x14ac:dyDescent="0.25">
      <c r="T54721" s="135"/>
      <c r="U54721" s="135"/>
    </row>
    <row r="54722" spans="20:21" ht="15" customHeight="1" x14ac:dyDescent="0.25">
      <c r="T54722" s="135"/>
      <c r="U54722" s="135"/>
    </row>
    <row r="54723" spans="20:21" ht="15" customHeight="1" x14ac:dyDescent="0.25">
      <c r="T54723" s="135"/>
      <c r="U54723" s="135"/>
    </row>
    <row r="54724" spans="20:21" ht="15" customHeight="1" x14ac:dyDescent="0.25">
      <c r="T54724" s="135"/>
      <c r="U54724" s="135"/>
    </row>
    <row r="54725" spans="20:21" ht="15" customHeight="1" x14ac:dyDescent="0.25">
      <c r="T54725" s="135"/>
      <c r="U54725" s="135"/>
    </row>
    <row r="54726" spans="20:21" ht="15" customHeight="1" x14ac:dyDescent="0.25">
      <c r="T54726" s="135"/>
      <c r="U54726" s="135"/>
    </row>
    <row r="54727" spans="20:21" ht="15" customHeight="1" x14ac:dyDescent="0.25">
      <c r="T54727" s="135"/>
      <c r="U54727" s="135"/>
    </row>
    <row r="54728" spans="20:21" ht="15" customHeight="1" x14ac:dyDescent="0.25">
      <c r="T54728" s="135"/>
      <c r="U54728" s="135"/>
    </row>
    <row r="54729" spans="20:21" ht="15" customHeight="1" x14ac:dyDescent="0.25">
      <c r="T54729" s="135"/>
      <c r="U54729" s="135"/>
    </row>
    <row r="54730" spans="20:21" ht="15" customHeight="1" x14ac:dyDescent="0.25">
      <c r="T54730" s="135"/>
      <c r="U54730" s="135"/>
    </row>
    <row r="54731" spans="20:21" ht="15" customHeight="1" x14ac:dyDescent="0.25">
      <c r="T54731" s="135"/>
      <c r="U54731" s="135"/>
    </row>
    <row r="54732" spans="20:21" ht="15" customHeight="1" x14ac:dyDescent="0.25">
      <c r="T54732" s="135"/>
      <c r="U54732" s="135"/>
    </row>
    <row r="54733" spans="20:21" ht="15" customHeight="1" x14ac:dyDescent="0.25">
      <c r="T54733" s="135"/>
      <c r="U54733" s="135"/>
    </row>
    <row r="54734" spans="20:21" ht="15" customHeight="1" x14ac:dyDescent="0.25">
      <c r="T54734" s="135"/>
      <c r="U54734" s="135"/>
    </row>
    <row r="54735" spans="20:21" ht="15" customHeight="1" x14ac:dyDescent="0.25">
      <c r="T54735" s="135"/>
      <c r="U54735" s="135"/>
    </row>
    <row r="54736" spans="20:21" ht="15" customHeight="1" x14ac:dyDescent="0.25">
      <c r="T54736" s="135"/>
      <c r="U54736" s="135"/>
    </row>
    <row r="54737" spans="20:21" ht="15" customHeight="1" x14ac:dyDescent="0.25">
      <c r="T54737" s="135"/>
      <c r="U54737" s="135"/>
    </row>
    <row r="54738" spans="20:21" ht="15" customHeight="1" x14ac:dyDescent="0.25">
      <c r="T54738" s="135"/>
      <c r="U54738" s="135"/>
    </row>
    <row r="54739" spans="20:21" ht="15" customHeight="1" x14ac:dyDescent="0.25">
      <c r="T54739" s="135"/>
      <c r="U54739" s="135"/>
    </row>
    <row r="54740" spans="20:21" ht="15" customHeight="1" x14ac:dyDescent="0.25">
      <c r="T54740" s="135"/>
      <c r="U54740" s="135"/>
    </row>
    <row r="54741" spans="20:21" ht="15" customHeight="1" x14ac:dyDescent="0.25">
      <c r="T54741" s="135"/>
      <c r="U54741" s="135"/>
    </row>
    <row r="54742" spans="20:21" ht="15" customHeight="1" x14ac:dyDescent="0.25">
      <c r="T54742" s="135"/>
      <c r="U54742" s="135"/>
    </row>
    <row r="54743" spans="20:21" ht="15" customHeight="1" x14ac:dyDescent="0.25">
      <c r="T54743" s="135"/>
      <c r="U54743" s="135"/>
    </row>
    <row r="54744" spans="20:21" ht="15" customHeight="1" x14ac:dyDescent="0.25">
      <c r="T54744" s="135"/>
      <c r="U54744" s="135"/>
    </row>
    <row r="54745" spans="20:21" ht="15" customHeight="1" x14ac:dyDescent="0.25">
      <c r="T54745" s="135"/>
      <c r="U54745" s="135"/>
    </row>
    <row r="54746" spans="20:21" ht="15" customHeight="1" x14ac:dyDescent="0.25">
      <c r="T54746" s="135"/>
      <c r="U54746" s="135"/>
    </row>
    <row r="54747" spans="20:21" ht="15" customHeight="1" x14ac:dyDescent="0.25">
      <c r="T54747" s="135"/>
      <c r="U54747" s="135"/>
    </row>
    <row r="54748" spans="20:21" ht="15" customHeight="1" x14ac:dyDescent="0.25">
      <c r="T54748" s="135"/>
      <c r="U54748" s="135"/>
    </row>
    <row r="54749" spans="20:21" ht="15" customHeight="1" x14ac:dyDescent="0.25">
      <c r="T54749" s="135"/>
      <c r="U54749" s="135"/>
    </row>
    <row r="54750" spans="20:21" ht="15" customHeight="1" x14ac:dyDescent="0.25">
      <c r="T54750" s="135"/>
      <c r="U54750" s="135"/>
    </row>
    <row r="54751" spans="20:21" ht="15" customHeight="1" x14ac:dyDescent="0.25">
      <c r="T54751" s="135"/>
      <c r="U54751" s="135"/>
    </row>
    <row r="54752" spans="20:21" ht="15" customHeight="1" x14ac:dyDescent="0.25">
      <c r="T54752" s="135"/>
      <c r="U54752" s="135"/>
    </row>
    <row r="54753" spans="20:21" ht="15" customHeight="1" x14ac:dyDescent="0.25">
      <c r="T54753" s="135"/>
      <c r="U54753" s="135"/>
    </row>
    <row r="54754" spans="20:21" ht="15" customHeight="1" x14ac:dyDescent="0.25">
      <c r="T54754" s="135"/>
      <c r="U54754" s="135"/>
    </row>
    <row r="54755" spans="20:21" ht="15" customHeight="1" x14ac:dyDescent="0.25">
      <c r="T54755" s="135"/>
      <c r="U54755" s="135"/>
    </row>
    <row r="54756" spans="20:21" ht="15" customHeight="1" x14ac:dyDescent="0.25">
      <c r="T54756" s="135"/>
      <c r="U54756" s="135"/>
    </row>
    <row r="54757" spans="20:21" ht="15" customHeight="1" x14ac:dyDescent="0.25">
      <c r="T54757" s="135"/>
      <c r="U54757" s="135"/>
    </row>
    <row r="54758" spans="20:21" ht="15" customHeight="1" x14ac:dyDescent="0.25">
      <c r="T54758" s="135"/>
      <c r="U54758" s="135"/>
    </row>
    <row r="54759" spans="20:21" ht="15" customHeight="1" x14ac:dyDescent="0.25">
      <c r="T54759" s="135"/>
      <c r="U54759" s="135"/>
    </row>
    <row r="54760" spans="20:21" ht="15" customHeight="1" x14ac:dyDescent="0.25">
      <c r="T54760" s="135"/>
      <c r="U54760" s="135"/>
    </row>
    <row r="54761" spans="20:21" ht="15" customHeight="1" x14ac:dyDescent="0.25">
      <c r="T54761" s="135"/>
      <c r="U54761" s="135"/>
    </row>
    <row r="54762" spans="20:21" ht="15" customHeight="1" x14ac:dyDescent="0.25">
      <c r="T54762" s="135"/>
      <c r="U54762" s="135"/>
    </row>
    <row r="54763" spans="20:21" ht="15" customHeight="1" x14ac:dyDescent="0.25">
      <c r="T54763" s="135"/>
      <c r="U54763" s="135"/>
    </row>
    <row r="54764" spans="20:21" ht="15" customHeight="1" x14ac:dyDescent="0.25">
      <c r="T54764" s="135"/>
      <c r="U54764" s="135"/>
    </row>
    <row r="54765" spans="20:21" ht="15" customHeight="1" x14ac:dyDescent="0.25">
      <c r="T54765" s="135"/>
      <c r="U54765" s="135"/>
    </row>
    <row r="54766" spans="20:21" ht="15" customHeight="1" x14ac:dyDescent="0.25">
      <c r="T54766" s="135"/>
      <c r="U54766" s="135"/>
    </row>
    <row r="54767" spans="20:21" ht="15" customHeight="1" x14ac:dyDescent="0.25">
      <c r="T54767" s="135"/>
      <c r="U54767" s="135"/>
    </row>
    <row r="54768" spans="20:21" ht="15" customHeight="1" x14ac:dyDescent="0.25">
      <c r="T54768" s="135"/>
      <c r="U54768" s="135"/>
    </row>
    <row r="54769" spans="20:21" ht="15" customHeight="1" x14ac:dyDescent="0.25">
      <c r="T54769" s="135"/>
      <c r="U54769" s="135"/>
    </row>
    <row r="54770" spans="20:21" ht="15" customHeight="1" x14ac:dyDescent="0.25">
      <c r="T54770" s="135"/>
      <c r="U54770" s="135"/>
    </row>
    <row r="54771" spans="20:21" ht="15" customHeight="1" x14ac:dyDescent="0.25">
      <c r="T54771" s="135"/>
      <c r="U54771" s="135"/>
    </row>
    <row r="54772" spans="20:21" ht="15" customHeight="1" x14ac:dyDescent="0.25">
      <c r="T54772" s="135"/>
      <c r="U54772" s="135"/>
    </row>
    <row r="54773" spans="20:21" ht="15" customHeight="1" x14ac:dyDescent="0.25">
      <c r="T54773" s="135"/>
      <c r="U54773" s="135"/>
    </row>
    <row r="54774" spans="20:21" ht="15" customHeight="1" x14ac:dyDescent="0.25">
      <c r="T54774" s="135"/>
      <c r="U54774" s="135"/>
    </row>
    <row r="54775" spans="20:21" ht="15" customHeight="1" x14ac:dyDescent="0.25">
      <c r="T54775" s="135"/>
      <c r="U54775" s="135"/>
    </row>
    <row r="54776" spans="20:21" ht="15" customHeight="1" x14ac:dyDescent="0.25">
      <c r="T54776" s="135"/>
      <c r="U54776" s="135"/>
    </row>
    <row r="54777" spans="20:21" ht="15" customHeight="1" x14ac:dyDescent="0.25">
      <c r="T54777" s="135"/>
      <c r="U54777" s="135"/>
    </row>
    <row r="54778" spans="20:21" ht="15" customHeight="1" x14ac:dyDescent="0.25">
      <c r="T54778" s="135"/>
      <c r="U54778" s="135"/>
    </row>
    <row r="54779" spans="20:21" ht="15" customHeight="1" x14ac:dyDescent="0.25">
      <c r="T54779" s="135"/>
      <c r="U54779" s="135"/>
    </row>
    <row r="54780" spans="20:21" ht="15" customHeight="1" x14ac:dyDescent="0.25">
      <c r="T54780" s="135"/>
      <c r="U54780" s="135"/>
    </row>
    <row r="54781" spans="20:21" ht="15" customHeight="1" x14ac:dyDescent="0.25">
      <c r="T54781" s="135"/>
      <c r="U54781" s="135"/>
    </row>
    <row r="54782" spans="20:21" ht="15" customHeight="1" x14ac:dyDescent="0.25">
      <c r="T54782" s="135"/>
      <c r="U54782" s="135"/>
    </row>
    <row r="54783" spans="20:21" ht="15" customHeight="1" x14ac:dyDescent="0.25">
      <c r="T54783" s="135"/>
      <c r="U54783" s="135"/>
    </row>
    <row r="54784" spans="20:21" ht="15" customHeight="1" x14ac:dyDescent="0.25">
      <c r="T54784" s="135"/>
      <c r="U54784" s="135"/>
    </row>
    <row r="54785" spans="20:21" ht="15" customHeight="1" x14ac:dyDescent="0.25">
      <c r="T54785" s="135"/>
      <c r="U54785" s="135"/>
    </row>
    <row r="54786" spans="20:21" ht="15" customHeight="1" x14ac:dyDescent="0.25">
      <c r="T54786" s="135"/>
      <c r="U54786" s="135"/>
    </row>
    <row r="54787" spans="20:21" ht="15" customHeight="1" x14ac:dyDescent="0.25">
      <c r="T54787" s="135"/>
      <c r="U54787" s="135"/>
    </row>
    <row r="54788" spans="20:21" ht="15" customHeight="1" x14ac:dyDescent="0.25">
      <c r="T54788" s="135"/>
      <c r="U54788" s="135"/>
    </row>
    <row r="54789" spans="20:21" ht="15" customHeight="1" x14ac:dyDescent="0.25">
      <c r="T54789" s="135"/>
      <c r="U54789" s="135"/>
    </row>
    <row r="54790" spans="20:21" ht="15" customHeight="1" x14ac:dyDescent="0.25">
      <c r="T54790" s="135"/>
      <c r="U54790" s="135"/>
    </row>
    <row r="54791" spans="20:21" ht="15" customHeight="1" x14ac:dyDescent="0.25">
      <c r="T54791" s="135"/>
      <c r="U54791" s="135"/>
    </row>
    <row r="54792" spans="20:21" ht="15" customHeight="1" x14ac:dyDescent="0.25">
      <c r="T54792" s="135"/>
      <c r="U54792" s="135"/>
    </row>
    <row r="54793" spans="20:21" ht="15" customHeight="1" x14ac:dyDescent="0.25">
      <c r="T54793" s="135"/>
      <c r="U54793" s="135"/>
    </row>
    <row r="54794" spans="20:21" ht="15" customHeight="1" x14ac:dyDescent="0.25">
      <c r="T54794" s="135"/>
      <c r="U54794" s="135"/>
    </row>
    <row r="54795" spans="20:21" ht="15" customHeight="1" x14ac:dyDescent="0.25">
      <c r="T54795" s="135"/>
      <c r="U54795" s="135"/>
    </row>
    <row r="54796" spans="20:21" ht="15" customHeight="1" x14ac:dyDescent="0.25">
      <c r="T54796" s="135"/>
      <c r="U54796" s="135"/>
    </row>
    <row r="54797" spans="20:21" ht="15" customHeight="1" x14ac:dyDescent="0.25">
      <c r="T54797" s="135"/>
      <c r="U54797" s="135"/>
    </row>
    <row r="54798" spans="20:21" ht="15" customHeight="1" x14ac:dyDescent="0.25">
      <c r="T54798" s="135"/>
      <c r="U54798" s="135"/>
    </row>
    <row r="54799" spans="20:21" ht="15" customHeight="1" x14ac:dyDescent="0.25">
      <c r="T54799" s="135"/>
      <c r="U54799" s="135"/>
    </row>
    <row r="54800" spans="20:21" ht="15" customHeight="1" x14ac:dyDescent="0.25">
      <c r="T54800" s="135"/>
      <c r="U54800" s="135"/>
    </row>
    <row r="54801" spans="20:21" ht="15" customHeight="1" x14ac:dyDescent="0.25">
      <c r="T54801" s="135"/>
      <c r="U54801" s="135"/>
    </row>
    <row r="54802" spans="20:21" ht="15" customHeight="1" x14ac:dyDescent="0.25">
      <c r="T54802" s="135"/>
      <c r="U54802" s="135"/>
    </row>
    <row r="54803" spans="20:21" ht="15" customHeight="1" x14ac:dyDescent="0.25">
      <c r="T54803" s="135"/>
      <c r="U54803" s="135"/>
    </row>
    <row r="54804" spans="20:21" ht="15" customHeight="1" x14ac:dyDescent="0.25">
      <c r="T54804" s="135"/>
      <c r="U54804" s="135"/>
    </row>
    <row r="54805" spans="20:21" ht="15" customHeight="1" x14ac:dyDescent="0.25">
      <c r="T54805" s="135"/>
      <c r="U54805" s="135"/>
    </row>
    <row r="54806" spans="20:21" ht="15" customHeight="1" x14ac:dyDescent="0.25">
      <c r="T54806" s="135"/>
      <c r="U54806" s="135"/>
    </row>
    <row r="54807" spans="20:21" ht="15" customHeight="1" x14ac:dyDescent="0.25">
      <c r="T54807" s="135"/>
      <c r="U54807" s="135"/>
    </row>
    <row r="54808" spans="20:21" ht="15" customHeight="1" x14ac:dyDescent="0.25">
      <c r="T54808" s="135"/>
      <c r="U54808" s="135"/>
    </row>
    <row r="54809" spans="20:21" ht="15" customHeight="1" x14ac:dyDescent="0.25">
      <c r="T54809" s="135"/>
      <c r="U54809" s="135"/>
    </row>
    <row r="54810" spans="20:21" ht="15" customHeight="1" x14ac:dyDescent="0.25">
      <c r="T54810" s="135"/>
      <c r="U54810" s="135"/>
    </row>
    <row r="54811" spans="20:21" ht="15" customHeight="1" x14ac:dyDescent="0.25">
      <c r="T54811" s="135"/>
      <c r="U54811" s="135"/>
    </row>
    <row r="54812" spans="20:21" ht="15" customHeight="1" x14ac:dyDescent="0.25">
      <c r="T54812" s="135"/>
      <c r="U54812" s="135"/>
    </row>
    <row r="54813" spans="20:21" ht="15" customHeight="1" x14ac:dyDescent="0.25">
      <c r="T54813" s="135"/>
      <c r="U54813" s="135"/>
    </row>
    <row r="54814" spans="20:21" ht="15" customHeight="1" x14ac:dyDescent="0.25">
      <c r="T54814" s="135"/>
      <c r="U54814" s="135"/>
    </row>
    <row r="54815" spans="20:21" ht="15" customHeight="1" x14ac:dyDescent="0.25">
      <c r="T54815" s="135"/>
      <c r="U54815" s="135"/>
    </row>
    <row r="54816" spans="20:21" ht="15" customHeight="1" x14ac:dyDescent="0.25">
      <c r="T54816" s="135"/>
      <c r="U54816" s="135"/>
    </row>
    <row r="54817" spans="20:21" ht="15" customHeight="1" x14ac:dyDescent="0.25">
      <c r="T54817" s="135"/>
      <c r="U54817" s="135"/>
    </row>
    <row r="54818" spans="20:21" ht="15" customHeight="1" x14ac:dyDescent="0.25">
      <c r="T54818" s="135"/>
      <c r="U54818" s="135"/>
    </row>
    <row r="54819" spans="20:21" ht="15" customHeight="1" x14ac:dyDescent="0.25">
      <c r="T54819" s="135"/>
      <c r="U54819" s="135"/>
    </row>
    <row r="54820" spans="20:21" ht="15" customHeight="1" x14ac:dyDescent="0.25">
      <c r="T54820" s="135"/>
      <c r="U54820" s="135"/>
    </row>
    <row r="54821" spans="20:21" ht="15" customHeight="1" x14ac:dyDescent="0.25">
      <c r="T54821" s="135"/>
      <c r="U54821" s="135"/>
    </row>
    <row r="54822" spans="20:21" ht="15" customHeight="1" x14ac:dyDescent="0.25">
      <c r="T54822" s="135"/>
      <c r="U54822" s="135"/>
    </row>
    <row r="54823" spans="20:21" ht="15" customHeight="1" x14ac:dyDescent="0.25">
      <c r="T54823" s="135"/>
      <c r="U54823" s="135"/>
    </row>
    <row r="54824" spans="20:21" ht="15" customHeight="1" x14ac:dyDescent="0.25">
      <c r="T54824" s="135"/>
      <c r="U54824" s="135"/>
    </row>
    <row r="54825" spans="20:21" ht="15" customHeight="1" x14ac:dyDescent="0.25">
      <c r="T54825" s="135"/>
      <c r="U54825" s="135"/>
    </row>
    <row r="54826" spans="20:21" ht="15" customHeight="1" x14ac:dyDescent="0.25">
      <c r="T54826" s="135"/>
      <c r="U54826" s="135"/>
    </row>
    <row r="54827" spans="20:21" ht="15" customHeight="1" x14ac:dyDescent="0.25">
      <c r="T54827" s="135"/>
      <c r="U54827" s="135"/>
    </row>
    <row r="54828" spans="20:21" ht="15" customHeight="1" x14ac:dyDescent="0.25">
      <c r="T54828" s="135"/>
      <c r="U54828" s="135"/>
    </row>
    <row r="54829" spans="20:21" ht="15" customHeight="1" x14ac:dyDescent="0.25">
      <c r="T54829" s="135"/>
      <c r="U54829" s="135"/>
    </row>
    <row r="54830" spans="20:21" ht="15" customHeight="1" x14ac:dyDescent="0.25">
      <c r="T54830" s="135"/>
      <c r="U54830" s="135"/>
    </row>
    <row r="54831" spans="20:21" ht="15" customHeight="1" x14ac:dyDescent="0.25">
      <c r="T54831" s="135"/>
      <c r="U54831" s="135"/>
    </row>
    <row r="54832" spans="20:21" ht="15" customHeight="1" x14ac:dyDescent="0.25">
      <c r="T54832" s="135"/>
      <c r="U54832" s="135"/>
    </row>
    <row r="54833" spans="20:21" ht="15" customHeight="1" x14ac:dyDescent="0.25">
      <c r="T54833" s="135"/>
      <c r="U54833" s="135"/>
    </row>
    <row r="54834" spans="20:21" ht="15" customHeight="1" x14ac:dyDescent="0.25">
      <c r="T54834" s="135"/>
      <c r="U54834" s="135"/>
    </row>
    <row r="54835" spans="20:21" ht="15" customHeight="1" x14ac:dyDescent="0.25">
      <c r="T54835" s="135"/>
      <c r="U54835" s="135"/>
    </row>
    <row r="54836" spans="20:21" ht="15" customHeight="1" x14ac:dyDescent="0.25">
      <c r="T54836" s="135"/>
      <c r="U54836" s="135"/>
    </row>
    <row r="54837" spans="20:21" ht="15" customHeight="1" x14ac:dyDescent="0.25">
      <c r="T54837" s="135"/>
      <c r="U54837" s="135"/>
    </row>
    <row r="54838" spans="20:21" ht="15" customHeight="1" x14ac:dyDescent="0.25">
      <c r="T54838" s="135"/>
      <c r="U54838" s="135"/>
    </row>
    <row r="54839" spans="20:21" ht="15" customHeight="1" x14ac:dyDescent="0.25">
      <c r="T54839" s="135"/>
      <c r="U54839" s="135"/>
    </row>
    <row r="54840" spans="20:21" ht="15" customHeight="1" x14ac:dyDescent="0.25">
      <c r="T54840" s="135"/>
      <c r="U54840" s="135"/>
    </row>
    <row r="54841" spans="20:21" ht="15" customHeight="1" x14ac:dyDescent="0.25">
      <c r="T54841" s="135"/>
      <c r="U54841" s="135"/>
    </row>
    <row r="54842" spans="20:21" ht="15" customHeight="1" x14ac:dyDescent="0.25">
      <c r="T54842" s="135"/>
      <c r="U54842" s="135"/>
    </row>
    <row r="54843" spans="20:21" ht="15" customHeight="1" x14ac:dyDescent="0.25">
      <c r="T54843" s="135"/>
      <c r="U54843" s="135"/>
    </row>
    <row r="54844" spans="20:21" ht="15" customHeight="1" x14ac:dyDescent="0.25">
      <c r="T54844" s="135"/>
      <c r="U54844" s="135"/>
    </row>
    <row r="54845" spans="20:21" ht="15" customHeight="1" x14ac:dyDescent="0.25">
      <c r="T54845" s="135"/>
      <c r="U54845" s="135"/>
    </row>
    <row r="54846" spans="20:21" ht="15" customHeight="1" x14ac:dyDescent="0.25">
      <c r="T54846" s="135"/>
      <c r="U54846" s="135"/>
    </row>
    <row r="54847" spans="20:21" ht="15" customHeight="1" x14ac:dyDescent="0.25">
      <c r="T54847" s="135"/>
      <c r="U54847" s="135"/>
    </row>
    <row r="54848" spans="20:21" ht="15" customHeight="1" x14ac:dyDescent="0.25">
      <c r="T54848" s="135"/>
      <c r="U54848" s="135"/>
    </row>
    <row r="54849" spans="20:21" ht="15" customHeight="1" x14ac:dyDescent="0.25">
      <c r="T54849" s="135"/>
      <c r="U54849" s="135"/>
    </row>
    <row r="54850" spans="20:21" ht="15" customHeight="1" x14ac:dyDescent="0.25">
      <c r="T54850" s="135"/>
      <c r="U54850" s="135"/>
    </row>
    <row r="54851" spans="20:21" ht="15" customHeight="1" x14ac:dyDescent="0.25">
      <c r="T54851" s="135"/>
      <c r="U54851" s="135"/>
    </row>
    <row r="54852" spans="20:21" ht="15" customHeight="1" x14ac:dyDescent="0.25">
      <c r="T54852" s="135"/>
      <c r="U54852" s="135"/>
    </row>
    <row r="54853" spans="20:21" ht="15" customHeight="1" x14ac:dyDescent="0.25">
      <c r="T54853" s="135"/>
      <c r="U54853" s="135"/>
    </row>
    <row r="54854" spans="20:21" ht="15" customHeight="1" x14ac:dyDescent="0.25">
      <c r="T54854" s="135"/>
      <c r="U54854" s="135"/>
    </row>
    <row r="54855" spans="20:21" ht="15" customHeight="1" x14ac:dyDescent="0.25">
      <c r="T54855" s="135"/>
      <c r="U54855" s="135"/>
    </row>
    <row r="54856" spans="20:21" ht="15" customHeight="1" x14ac:dyDescent="0.25">
      <c r="T54856" s="135"/>
      <c r="U54856" s="135"/>
    </row>
    <row r="54857" spans="20:21" ht="15" customHeight="1" x14ac:dyDescent="0.25">
      <c r="T54857" s="135"/>
      <c r="U54857" s="135"/>
    </row>
    <row r="54858" spans="20:21" ht="15" customHeight="1" x14ac:dyDescent="0.25">
      <c r="T54858" s="135"/>
      <c r="U54858" s="135"/>
    </row>
    <row r="54859" spans="20:21" ht="15" customHeight="1" x14ac:dyDescent="0.25">
      <c r="T54859" s="135"/>
      <c r="U54859" s="135"/>
    </row>
    <row r="54860" spans="20:21" ht="15" customHeight="1" x14ac:dyDescent="0.25">
      <c r="T54860" s="135"/>
      <c r="U54860" s="135"/>
    </row>
    <row r="54861" spans="20:21" ht="15" customHeight="1" x14ac:dyDescent="0.25">
      <c r="T54861" s="135"/>
      <c r="U54861" s="135"/>
    </row>
    <row r="54862" spans="20:21" ht="15" customHeight="1" x14ac:dyDescent="0.25">
      <c r="T54862" s="135"/>
      <c r="U54862" s="135"/>
    </row>
    <row r="54863" spans="20:21" ht="15" customHeight="1" x14ac:dyDescent="0.25">
      <c r="T54863" s="135"/>
      <c r="U54863" s="135"/>
    </row>
    <row r="54864" spans="20:21" ht="15" customHeight="1" x14ac:dyDescent="0.25">
      <c r="T54864" s="135"/>
      <c r="U54864" s="135"/>
    </row>
    <row r="54865" spans="20:21" ht="15" customHeight="1" x14ac:dyDescent="0.25">
      <c r="T54865" s="135"/>
      <c r="U54865" s="135"/>
    </row>
    <row r="54866" spans="20:21" ht="15" customHeight="1" x14ac:dyDescent="0.25">
      <c r="T54866" s="135"/>
      <c r="U54866" s="135"/>
    </row>
    <row r="54867" spans="20:21" ht="15" customHeight="1" x14ac:dyDescent="0.25">
      <c r="T54867" s="135"/>
      <c r="U54867" s="135"/>
    </row>
    <row r="54868" spans="20:21" ht="15" customHeight="1" x14ac:dyDescent="0.25">
      <c r="T54868" s="135"/>
      <c r="U54868" s="135"/>
    </row>
    <row r="54869" spans="20:21" ht="15" customHeight="1" x14ac:dyDescent="0.25">
      <c r="T54869" s="135"/>
      <c r="U54869" s="135"/>
    </row>
    <row r="54870" spans="20:21" ht="15" customHeight="1" x14ac:dyDescent="0.25">
      <c r="T54870" s="135"/>
      <c r="U54870" s="135"/>
    </row>
    <row r="54871" spans="20:21" ht="15" customHeight="1" x14ac:dyDescent="0.25">
      <c r="T54871" s="135"/>
      <c r="U54871" s="135"/>
    </row>
    <row r="54872" spans="20:21" ht="15" customHeight="1" x14ac:dyDescent="0.25">
      <c r="T54872" s="135"/>
      <c r="U54872" s="135"/>
    </row>
    <row r="54873" spans="20:21" ht="15" customHeight="1" x14ac:dyDescent="0.25">
      <c r="T54873" s="135"/>
      <c r="U54873" s="135"/>
    </row>
    <row r="54874" spans="20:21" ht="15" customHeight="1" x14ac:dyDescent="0.25">
      <c r="T54874" s="135"/>
      <c r="U54874" s="135"/>
    </row>
    <row r="54875" spans="20:21" ht="15" customHeight="1" x14ac:dyDescent="0.25">
      <c r="T54875" s="135"/>
      <c r="U54875" s="135"/>
    </row>
    <row r="54876" spans="20:21" ht="15" customHeight="1" x14ac:dyDescent="0.25">
      <c r="T54876" s="135"/>
      <c r="U54876" s="135"/>
    </row>
    <row r="54877" spans="20:21" ht="15" customHeight="1" x14ac:dyDescent="0.25">
      <c r="T54877" s="135"/>
      <c r="U54877" s="135"/>
    </row>
    <row r="54878" spans="20:21" ht="15" customHeight="1" x14ac:dyDescent="0.25">
      <c r="T54878" s="135"/>
      <c r="U54878" s="135"/>
    </row>
    <row r="54879" spans="20:21" ht="15" customHeight="1" x14ac:dyDescent="0.25">
      <c r="T54879" s="135"/>
      <c r="U54879" s="135"/>
    </row>
    <row r="54880" spans="20:21" ht="15" customHeight="1" x14ac:dyDescent="0.25">
      <c r="T54880" s="135"/>
      <c r="U54880" s="135"/>
    </row>
    <row r="54881" spans="20:21" ht="15" customHeight="1" x14ac:dyDescent="0.25">
      <c r="T54881" s="135"/>
      <c r="U54881" s="135"/>
    </row>
    <row r="54882" spans="20:21" ht="15" customHeight="1" x14ac:dyDescent="0.25">
      <c r="T54882" s="135"/>
      <c r="U54882" s="135"/>
    </row>
    <row r="54883" spans="20:21" ht="15" customHeight="1" x14ac:dyDescent="0.25">
      <c r="T54883" s="135"/>
      <c r="U54883" s="135"/>
    </row>
    <row r="54884" spans="20:21" ht="15" customHeight="1" x14ac:dyDescent="0.25">
      <c r="T54884" s="135"/>
      <c r="U54884" s="135"/>
    </row>
    <row r="54885" spans="20:21" ht="15" customHeight="1" x14ac:dyDescent="0.25">
      <c r="T54885" s="135"/>
      <c r="U54885" s="135"/>
    </row>
    <row r="54886" spans="20:21" ht="15" customHeight="1" x14ac:dyDescent="0.25">
      <c r="T54886" s="135"/>
      <c r="U54886" s="135"/>
    </row>
    <row r="54887" spans="20:21" ht="15" customHeight="1" x14ac:dyDescent="0.25">
      <c r="T54887" s="135"/>
      <c r="U54887" s="135"/>
    </row>
    <row r="54888" spans="20:21" ht="15" customHeight="1" x14ac:dyDescent="0.25">
      <c r="T54888" s="135"/>
      <c r="U54888" s="135"/>
    </row>
    <row r="54889" spans="20:21" ht="15" customHeight="1" x14ac:dyDescent="0.25">
      <c r="T54889" s="135"/>
      <c r="U54889" s="135"/>
    </row>
    <row r="54890" spans="20:21" ht="15" customHeight="1" x14ac:dyDescent="0.25">
      <c r="T54890" s="135"/>
      <c r="U54890" s="135"/>
    </row>
    <row r="54891" spans="20:21" ht="15" customHeight="1" x14ac:dyDescent="0.25">
      <c r="T54891" s="135"/>
      <c r="U54891" s="135"/>
    </row>
    <row r="54892" spans="20:21" ht="15" customHeight="1" x14ac:dyDescent="0.25">
      <c r="T54892" s="135"/>
      <c r="U54892" s="135"/>
    </row>
    <row r="54893" spans="20:21" ht="15" customHeight="1" x14ac:dyDescent="0.25">
      <c r="T54893" s="135"/>
      <c r="U54893" s="135"/>
    </row>
    <row r="54894" spans="20:21" ht="15" customHeight="1" x14ac:dyDescent="0.25">
      <c r="T54894" s="135"/>
      <c r="U54894" s="135"/>
    </row>
    <row r="54895" spans="20:21" ht="15" customHeight="1" x14ac:dyDescent="0.25">
      <c r="T54895" s="135"/>
      <c r="U54895" s="135"/>
    </row>
    <row r="54896" spans="20:21" ht="15" customHeight="1" x14ac:dyDescent="0.25">
      <c r="T54896" s="135"/>
      <c r="U54896" s="135"/>
    </row>
    <row r="54897" spans="20:21" ht="15" customHeight="1" x14ac:dyDescent="0.25">
      <c r="T54897" s="135"/>
      <c r="U54897" s="135"/>
    </row>
    <row r="54898" spans="20:21" ht="15" customHeight="1" x14ac:dyDescent="0.25">
      <c r="T54898" s="135"/>
      <c r="U54898" s="135"/>
    </row>
    <row r="54899" spans="20:21" ht="15" customHeight="1" x14ac:dyDescent="0.25">
      <c r="T54899" s="135"/>
      <c r="U54899" s="135"/>
    </row>
    <row r="54900" spans="20:21" ht="15" customHeight="1" x14ac:dyDescent="0.25">
      <c r="T54900" s="135"/>
      <c r="U54900" s="135"/>
    </row>
    <row r="54901" spans="20:21" ht="15" customHeight="1" x14ac:dyDescent="0.25">
      <c r="T54901" s="135"/>
      <c r="U54901" s="135"/>
    </row>
    <row r="54902" spans="20:21" ht="15" customHeight="1" x14ac:dyDescent="0.25">
      <c r="T54902" s="135"/>
      <c r="U54902" s="135"/>
    </row>
    <row r="54903" spans="20:21" ht="15" customHeight="1" x14ac:dyDescent="0.25">
      <c r="T54903" s="135"/>
      <c r="U54903" s="135"/>
    </row>
    <row r="54904" spans="20:21" ht="15" customHeight="1" x14ac:dyDescent="0.25">
      <c r="T54904" s="135"/>
      <c r="U54904" s="135"/>
    </row>
    <row r="54905" spans="20:21" ht="15" customHeight="1" x14ac:dyDescent="0.25">
      <c r="T54905" s="135"/>
      <c r="U54905" s="135"/>
    </row>
    <row r="54906" spans="20:21" ht="15" customHeight="1" x14ac:dyDescent="0.25">
      <c r="T54906" s="135"/>
      <c r="U54906" s="135"/>
    </row>
    <row r="54907" spans="20:21" ht="15" customHeight="1" x14ac:dyDescent="0.25">
      <c r="T54907" s="135"/>
      <c r="U54907" s="135"/>
    </row>
    <row r="54908" spans="20:21" ht="15" customHeight="1" x14ac:dyDescent="0.25">
      <c r="T54908" s="135"/>
      <c r="U54908" s="135"/>
    </row>
    <row r="54909" spans="20:21" ht="15" customHeight="1" x14ac:dyDescent="0.25">
      <c r="T54909" s="135"/>
      <c r="U54909" s="135"/>
    </row>
    <row r="54910" spans="20:21" ht="15" customHeight="1" x14ac:dyDescent="0.25">
      <c r="T54910" s="135"/>
      <c r="U54910" s="135"/>
    </row>
    <row r="54911" spans="20:21" ht="15" customHeight="1" x14ac:dyDescent="0.25">
      <c r="T54911" s="135"/>
      <c r="U54911" s="135"/>
    </row>
    <row r="54912" spans="20:21" ht="15" customHeight="1" x14ac:dyDescent="0.25">
      <c r="T54912" s="135"/>
      <c r="U54912" s="135"/>
    </row>
    <row r="54913" spans="20:21" ht="15" customHeight="1" x14ac:dyDescent="0.25">
      <c r="T54913" s="135"/>
      <c r="U54913" s="135"/>
    </row>
    <row r="54914" spans="20:21" ht="15" customHeight="1" x14ac:dyDescent="0.25">
      <c r="T54914" s="135"/>
      <c r="U54914" s="135"/>
    </row>
    <row r="54915" spans="20:21" ht="15" customHeight="1" x14ac:dyDescent="0.25">
      <c r="T54915" s="135"/>
      <c r="U54915" s="135"/>
    </row>
    <row r="54916" spans="20:21" ht="15" customHeight="1" x14ac:dyDescent="0.25">
      <c r="T54916" s="135"/>
      <c r="U54916" s="135"/>
    </row>
    <row r="54917" spans="20:21" ht="15" customHeight="1" x14ac:dyDescent="0.25">
      <c r="T54917" s="135"/>
      <c r="U54917" s="135"/>
    </row>
    <row r="54918" spans="20:21" ht="15" customHeight="1" x14ac:dyDescent="0.25">
      <c r="T54918" s="135"/>
      <c r="U54918" s="135"/>
    </row>
    <row r="54919" spans="20:21" ht="15" customHeight="1" x14ac:dyDescent="0.25">
      <c r="T54919" s="135"/>
      <c r="U54919" s="135"/>
    </row>
    <row r="54920" spans="20:21" ht="15" customHeight="1" x14ac:dyDescent="0.25">
      <c r="T54920" s="135"/>
      <c r="U54920" s="135"/>
    </row>
    <row r="54921" spans="20:21" ht="15" customHeight="1" x14ac:dyDescent="0.25">
      <c r="T54921" s="135"/>
      <c r="U54921" s="135"/>
    </row>
    <row r="54922" spans="20:21" ht="15" customHeight="1" x14ac:dyDescent="0.25">
      <c r="T54922" s="135"/>
      <c r="U54922" s="135"/>
    </row>
    <row r="54923" spans="20:21" ht="15" customHeight="1" x14ac:dyDescent="0.25">
      <c r="T54923" s="135"/>
      <c r="U54923" s="135"/>
    </row>
    <row r="54924" spans="20:21" ht="15" customHeight="1" x14ac:dyDescent="0.25">
      <c r="T54924" s="135"/>
      <c r="U54924" s="135"/>
    </row>
    <row r="54925" spans="20:21" ht="15" customHeight="1" x14ac:dyDescent="0.25">
      <c r="T54925" s="135"/>
      <c r="U54925" s="135"/>
    </row>
    <row r="54926" spans="20:21" ht="15" customHeight="1" x14ac:dyDescent="0.25">
      <c r="T54926" s="135"/>
      <c r="U54926" s="135"/>
    </row>
    <row r="54927" spans="20:21" ht="15" customHeight="1" x14ac:dyDescent="0.25">
      <c r="T54927" s="135"/>
      <c r="U54927" s="135"/>
    </row>
    <row r="54928" spans="20:21" ht="15" customHeight="1" x14ac:dyDescent="0.25">
      <c r="T54928" s="135"/>
      <c r="U54928" s="135"/>
    </row>
    <row r="54929" spans="20:21" ht="15" customHeight="1" x14ac:dyDescent="0.25">
      <c r="T54929" s="135"/>
      <c r="U54929" s="135"/>
    </row>
    <row r="54930" spans="20:21" ht="15" customHeight="1" x14ac:dyDescent="0.25">
      <c r="T54930" s="135"/>
      <c r="U54930" s="135"/>
    </row>
    <row r="54931" spans="20:21" ht="15" customHeight="1" x14ac:dyDescent="0.25">
      <c r="T54931" s="135"/>
      <c r="U54931" s="135"/>
    </row>
    <row r="54932" spans="20:21" ht="15" customHeight="1" x14ac:dyDescent="0.25">
      <c r="T54932" s="135"/>
      <c r="U54932" s="135"/>
    </row>
    <row r="54933" spans="20:21" ht="15" customHeight="1" x14ac:dyDescent="0.25">
      <c r="T54933" s="135"/>
      <c r="U54933" s="135"/>
    </row>
    <row r="54934" spans="20:21" ht="15" customHeight="1" x14ac:dyDescent="0.25">
      <c r="T54934" s="135"/>
      <c r="U54934" s="135"/>
    </row>
    <row r="54935" spans="20:21" ht="15" customHeight="1" x14ac:dyDescent="0.25">
      <c r="T54935" s="135"/>
      <c r="U54935" s="135"/>
    </row>
    <row r="54936" spans="20:21" ht="15" customHeight="1" x14ac:dyDescent="0.25">
      <c r="T54936" s="135"/>
      <c r="U54936" s="135"/>
    </row>
    <row r="54937" spans="20:21" ht="15" customHeight="1" x14ac:dyDescent="0.25">
      <c r="T54937" s="135"/>
      <c r="U54937" s="135"/>
    </row>
    <row r="54938" spans="20:21" ht="15" customHeight="1" x14ac:dyDescent="0.25">
      <c r="T54938" s="135"/>
      <c r="U54938" s="135"/>
    </row>
    <row r="54939" spans="20:21" ht="15" customHeight="1" x14ac:dyDescent="0.25">
      <c r="T54939" s="135"/>
      <c r="U54939" s="135"/>
    </row>
    <row r="54940" spans="20:21" ht="15" customHeight="1" x14ac:dyDescent="0.25">
      <c r="T54940" s="135"/>
      <c r="U54940" s="135"/>
    </row>
    <row r="54941" spans="20:21" ht="15" customHeight="1" x14ac:dyDescent="0.25">
      <c r="T54941" s="135"/>
      <c r="U54941" s="135"/>
    </row>
    <row r="54942" spans="20:21" ht="15" customHeight="1" x14ac:dyDescent="0.25">
      <c r="T54942" s="135"/>
      <c r="U54942" s="135"/>
    </row>
    <row r="54943" spans="20:21" ht="15" customHeight="1" x14ac:dyDescent="0.25">
      <c r="T54943" s="135"/>
      <c r="U54943" s="135"/>
    </row>
    <row r="54944" spans="20:21" ht="15" customHeight="1" x14ac:dyDescent="0.25">
      <c r="T54944" s="135"/>
      <c r="U54944" s="135"/>
    </row>
    <row r="54945" spans="20:21" ht="15" customHeight="1" x14ac:dyDescent="0.25">
      <c r="T54945" s="135"/>
      <c r="U54945" s="135"/>
    </row>
    <row r="54946" spans="20:21" ht="15" customHeight="1" x14ac:dyDescent="0.25">
      <c r="T54946" s="135"/>
      <c r="U54946" s="135"/>
    </row>
    <row r="54947" spans="20:21" ht="15" customHeight="1" x14ac:dyDescent="0.25">
      <c r="T54947" s="135"/>
      <c r="U54947" s="135"/>
    </row>
    <row r="54948" spans="20:21" ht="15" customHeight="1" x14ac:dyDescent="0.25">
      <c r="T54948" s="135"/>
      <c r="U54948" s="135"/>
    </row>
    <row r="54949" spans="20:21" ht="15" customHeight="1" x14ac:dyDescent="0.25">
      <c r="T54949" s="135"/>
      <c r="U54949" s="135"/>
    </row>
    <row r="54950" spans="20:21" ht="15" customHeight="1" x14ac:dyDescent="0.25">
      <c r="T54950" s="135"/>
      <c r="U54950" s="135"/>
    </row>
    <row r="54951" spans="20:21" ht="15" customHeight="1" x14ac:dyDescent="0.25">
      <c r="T54951" s="135"/>
      <c r="U54951" s="135"/>
    </row>
    <row r="54952" spans="20:21" ht="15" customHeight="1" x14ac:dyDescent="0.25">
      <c r="T54952" s="135"/>
      <c r="U54952" s="135"/>
    </row>
    <row r="54953" spans="20:21" ht="15" customHeight="1" x14ac:dyDescent="0.25">
      <c r="T54953" s="135"/>
      <c r="U54953" s="135"/>
    </row>
    <row r="54954" spans="20:21" ht="15" customHeight="1" x14ac:dyDescent="0.25">
      <c r="T54954" s="135"/>
      <c r="U54954" s="135"/>
    </row>
    <row r="54955" spans="20:21" ht="15" customHeight="1" x14ac:dyDescent="0.25">
      <c r="T54955" s="135"/>
      <c r="U54955" s="135"/>
    </row>
    <row r="54956" spans="20:21" ht="15" customHeight="1" x14ac:dyDescent="0.25">
      <c r="T54956" s="135"/>
      <c r="U54956" s="135"/>
    </row>
    <row r="54957" spans="20:21" ht="15" customHeight="1" x14ac:dyDescent="0.25">
      <c r="T54957" s="135"/>
      <c r="U54957" s="135"/>
    </row>
    <row r="54958" spans="20:21" ht="15" customHeight="1" x14ac:dyDescent="0.25">
      <c r="T54958" s="135"/>
      <c r="U54958" s="135"/>
    </row>
    <row r="54959" spans="20:21" ht="15" customHeight="1" x14ac:dyDescent="0.25">
      <c r="T54959" s="135"/>
      <c r="U54959" s="135"/>
    </row>
    <row r="54960" spans="20:21" ht="15" customHeight="1" x14ac:dyDescent="0.25">
      <c r="T54960" s="135"/>
      <c r="U54960" s="135"/>
    </row>
    <row r="54961" spans="20:21" ht="15" customHeight="1" x14ac:dyDescent="0.25">
      <c r="T54961" s="135"/>
      <c r="U54961" s="135"/>
    </row>
    <row r="54962" spans="20:21" ht="15" customHeight="1" x14ac:dyDescent="0.25">
      <c r="T54962" s="135"/>
      <c r="U54962" s="135"/>
    </row>
    <row r="54963" spans="20:21" ht="15" customHeight="1" x14ac:dyDescent="0.25">
      <c r="T54963" s="135"/>
      <c r="U54963" s="135"/>
    </row>
    <row r="54964" spans="20:21" ht="15" customHeight="1" x14ac:dyDescent="0.25">
      <c r="T54964" s="135"/>
      <c r="U54964" s="135"/>
    </row>
    <row r="54965" spans="20:21" ht="15" customHeight="1" x14ac:dyDescent="0.25">
      <c r="T54965" s="135"/>
      <c r="U54965" s="135"/>
    </row>
    <row r="54966" spans="20:21" ht="15" customHeight="1" x14ac:dyDescent="0.25">
      <c r="T54966" s="135"/>
      <c r="U54966" s="135"/>
    </row>
    <row r="54967" spans="20:21" ht="15" customHeight="1" x14ac:dyDescent="0.25">
      <c r="T54967" s="135"/>
      <c r="U54967" s="135"/>
    </row>
    <row r="54968" spans="20:21" ht="15" customHeight="1" x14ac:dyDescent="0.25">
      <c r="T54968" s="135"/>
      <c r="U54968" s="135"/>
    </row>
    <row r="54969" spans="20:21" ht="15" customHeight="1" x14ac:dyDescent="0.25">
      <c r="T54969" s="135"/>
      <c r="U54969" s="135"/>
    </row>
    <row r="54970" spans="20:21" ht="15" customHeight="1" x14ac:dyDescent="0.25">
      <c r="T54970" s="135"/>
      <c r="U54970" s="135"/>
    </row>
    <row r="54971" spans="20:21" ht="15" customHeight="1" x14ac:dyDescent="0.25">
      <c r="T54971" s="135"/>
      <c r="U54971" s="135"/>
    </row>
    <row r="54972" spans="20:21" ht="15" customHeight="1" x14ac:dyDescent="0.25">
      <c r="T54972" s="135"/>
      <c r="U54972" s="135"/>
    </row>
    <row r="54973" spans="20:21" ht="15" customHeight="1" x14ac:dyDescent="0.25">
      <c r="T54973" s="135"/>
      <c r="U54973" s="135"/>
    </row>
    <row r="54974" spans="20:21" ht="15" customHeight="1" x14ac:dyDescent="0.25">
      <c r="T54974" s="135"/>
      <c r="U54974" s="135"/>
    </row>
    <row r="54975" spans="20:21" ht="15" customHeight="1" x14ac:dyDescent="0.25">
      <c r="T54975" s="135"/>
      <c r="U54975" s="135"/>
    </row>
    <row r="54976" spans="20:21" ht="15" customHeight="1" x14ac:dyDescent="0.25">
      <c r="T54976" s="135"/>
      <c r="U54976" s="135"/>
    </row>
    <row r="54977" spans="20:21" ht="15" customHeight="1" x14ac:dyDescent="0.25">
      <c r="T54977" s="135"/>
      <c r="U54977" s="135"/>
    </row>
    <row r="54978" spans="20:21" ht="15" customHeight="1" x14ac:dyDescent="0.25">
      <c r="T54978" s="135"/>
      <c r="U54978" s="135"/>
    </row>
    <row r="54979" spans="20:21" ht="15" customHeight="1" x14ac:dyDescent="0.25">
      <c r="T54979" s="135"/>
      <c r="U54979" s="135"/>
    </row>
    <row r="54980" spans="20:21" ht="15" customHeight="1" x14ac:dyDescent="0.25">
      <c r="T54980" s="135"/>
      <c r="U54980" s="135"/>
    </row>
    <row r="54981" spans="20:21" ht="15" customHeight="1" x14ac:dyDescent="0.25">
      <c r="T54981" s="135"/>
      <c r="U54981" s="135"/>
    </row>
    <row r="54982" spans="20:21" ht="15" customHeight="1" x14ac:dyDescent="0.25">
      <c r="T54982" s="135"/>
      <c r="U54982" s="135"/>
    </row>
    <row r="54983" spans="20:21" ht="15" customHeight="1" x14ac:dyDescent="0.25">
      <c r="T54983" s="135"/>
      <c r="U54983" s="135"/>
    </row>
    <row r="54984" spans="20:21" ht="15" customHeight="1" x14ac:dyDescent="0.25">
      <c r="T54984" s="135"/>
      <c r="U54984" s="135"/>
    </row>
    <row r="54985" spans="20:21" ht="15" customHeight="1" x14ac:dyDescent="0.25">
      <c r="T54985" s="135"/>
      <c r="U54985" s="135"/>
    </row>
    <row r="54986" spans="20:21" ht="15" customHeight="1" x14ac:dyDescent="0.25">
      <c r="T54986" s="135"/>
      <c r="U54986" s="135"/>
    </row>
    <row r="54987" spans="20:21" ht="15" customHeight="1" x14ac:dyDescent="0.25">
      <c r="T54987" s="135"/>
      <c r="U54987" s="135"/>
    </row>
    <row r="54988" spans="20:21" ht="15" customHeight="1" x14ac:dyDescent="0.25">
      <c r="T54988" s="135"/>
      <c r="U54988" s="135"/>
    </row>
    <row r="54989" spans="20:21" ht="15" customHeight="1" x14ac:dyDescent="0.25">
      <c r="T54989" s="135"/>
      <c r="U54989" s="135"/>
    </row>
    <row r="54990" spans="20:21" ht="15" customHeight="1" x14ac:dyDescent="0.25">
      <c r="T54990" s="135"/>
      <c r="U54990" s="135"/>
    </row>
    <row r="54991" spans="20:21" ht="15" customHeight="1" x14ac:dyDescent="0.25">
      <c r="T54991" s="135"/>
      <c r="U54991" s="135"/>
    </row>
    <row r="54992" spans="20:21" ht="15" customHeight="1" x14ac:dyDescent="0.25">
      <c r="T54992" s="135"/>
      <c r="U54992" s="135"/>
    </row>
    <row r="54993" spans="20:21" ht="15" customHeight="1" x14ac:dyDescent="0.25">
      <c r="T54993" s="135"/>
      <c r="U54993" s="135"/>
    </row>
    <row r="54994" spans="20:21" ht="15" customHeight="1" x14ac:dyDescent="0.25">
      <c r="T54994" s="135"/>
      <c r="U54994" s="135"/>
    </row>
    <row r="54995" spans="20:21" ht="15" customHeight="1" x14ac:dyDescent="0.25">
      <c r="T54995" s="135"/>
      <c r="U54995" s="135"/>
    </row>
    <row r="54996" spans="20:21" ht="15" customHeight="1" x14ac:dyDescent="0.25">
      <c r="T54996" s="135"/>
      <c r="U54996" s="135"/>
    </row>
    <row r="54997" spans="20:21" ht="15" customHeight="1" x14ac:dyDescent="0.25">
      <c r="T54997" s="135"/>
      <c r="U54997" s="135"/>
    </row>
    <row r="54998" spans="20:21" ht="15" customHeight="1" x14ac:dyDescent="0.25">
      <c r="T54998" s="135"/>
      <c r="U54998" s="135"/>
    </row>
    <row r="54999" spans="20:21" ht="15" customHeight="1" x14ac:dyDescent="0.25">
      <c r="T54999" s="135"/>
      <c r="U54999" s="135"/>
    </row>
    <row r="55000" spans="20:21" ht="15" customHeight="1" x14ac:dyDescent="0.25">
      <c r="T55000" s="135"/>
      <c r="U55000" s="135"/>
    </row>
    <row r="55001" spans="20:21" ht="15" customHeight="1" x14ac:dyDescent="0.25">
      <c r="T55001" s="135"/>
      <c r="U55001" s="135"/>
    </row>
    <row r="55002" spans="20:21" ht="15" customHeight="1" x14ac:dyDescent="0.25">
      <c r="T55002" s="135"/>
      <c r="U55002" s="135"/>
    </row>
    <row r="55003" spans="20:21" ht="15" customHeight="1" x14ac:dyDescent="0.25">
      <c r="T55003" s="135"/>
      <c r="U55003" s="135"/>
    </row>
    <row r="55004" spans="20:21" ht="15" customHeight="1" x14ac:dyDescent="0.25">
      <c r="T55004" s="135"/>
      <c r="U55004" s="135"/>
    </row>
    <row r="55005" spans="20:21" ht="15" customHeight="1" x14ac:dyDescent="0.25">
      <c r="T55005" s="135"/>
      <c r="U55005" s="135"/>
    </row>
    <row r="55006" spans="20:21" ht="15" customHeight="1" x14ac:dyDescent="0.25">
      <c r="T55006" s="135"/>
      <c r="U55006" s="135"/>
    </row>
    <row r="55007" spans="20:21" ht="15" customHeight="1" x14ac:dyDescent="0.25">
      <c r="T55007" s="135"/>
      <c r="U55007" s="135"/>
    </row>
    <row r="55008" spans="20:21" ht="15" customHeight="1" x14ac:dyDescent="0.25">
      <c r="T55008" s="135"/>
      <c r="U55008" s="135"/>
    </row>
    <row r="55009" spans="20:21" ht="15" customHeight="1" x14ac:dyDescent="0.25">
      <c r="T55009" s="135"/>
      <c r="U55009" s="135"/>
    </row>
    <row r="55010" spans="20:21" ht="15" customHeight="1" x14ac:dyDescent="0.25">
      <c r="T55010" s="135"/>
      <c r="U55010" s="135"/>
    </row>
    <row r="55011" spans="20:21" ht="15" customHeight="1" x14ac:dyDescent="0.25">
      <c r="T55011" s="135"/>
      <c r="U55011" s="135"/>
    </row>
    <row r="55012" spans="20:21" ht="15" customHeight="1" x14ac:dyDescent="0.25">
      <c r="T55012" s="135"/>
      <c r="U55012" s="135"/>
    </row>
    <row r="55013" spans="20:21" ht="15" customHeight="1" x14ac:dyDescent="0.25">
      <c r="T55013" s="135"/>
      <c r="U55013" s="135"/>
    </row>
    <row r="55014" spans="20:21" ht="15" customHeight="1" x14ac:dyDescent="0.25">
      <c r="T55014" s="135"/>
      <c r="U55014" s="135"/>
    </row>
    <row r="55015" spans="20:21" ht="15" customHeight="1" x14ac:dyDescent="0.25">
      <c r="T55015" s="135"/>
      <c r="U55015" s="135"/>
    </row>
    <row r="55016" spans="20:21" ht="15" customHeight="1" x14ac:dyDescent="0.25">
      <c r="T55016" s="135"/>
      <c r="U55016" s="135"/>
    </row>
    <row r="55017" spans="20:21" ht="15" customHeight="1" x14ac:dyDescent="0.25">
      <c r="T55017" s="135"/>
      <c r="U55017" s="135"/>
    </row>
    <row r="55018" spans="20:21" ht="15" customHeight="1" x14ac:dyDescent="0.25">
      <c r="T55018" s="135"/>
      <c r="U55018" s="135"/>
    </row>
    <row r="55019" spans="20:21" ht="15" customHeight="1" x14ac:dyDescent="0.25">
      <c r="T55019" s="135"/>
      <c r="U55019" s="135"/>
    </row>
    <row r="55020" spans="20:21" ht="15" customHeight="1" x14ac:dyDescent="0.25">
      <c r="T55020" s="135"/>
      <c r="U55020" s="135"/>
    </row>
    <row r="55021" spans="20:21" ht="15" customHeight="1" x14ac:dyDescent="0.25">
      <c r="T55021" s="135"/>
      <c r="U55021" s="135"/>
    </row>
    <row r="55022" spans="20:21" ht="15" customHeight="1" x14ac:dyDescent="0.25">
      <c r="T55022" s="135"/>
      <c r="U55022" s="135"/>
    </row>
    <row r="55023" spans="20:21" ht="15" customHeight="1" x14ac:dyDescent="0.25">
      <c r="T55023" s="135"/>
      <c r="U55023" s="135"/>
    </row>
    <row r="55024" spans="20:21" ht="15" customHeight="1" x14ac:dyDescent="0.25">
      <c r="T55024" s="135"/>
      <c r="U55024" s="135"/>
    </row>
    <row r="55025" spans="20:21" ht="15" customHeight="1" x14ac:dyDescent="0.25">
      <c r="T55025" s="135"/>
      <c r="U55025" s="135"/>
    </row>
    <row r="55026" spans="20:21" ht="15" customHeight="1" x14ac:dyDescent="0.25">
      <c r="T55026" s="135"/>
      <c r="U55026" s="135"/>
    </row>
    <row r="55027" spans="20:21" ht="15" customHeight="1" x14ac:dyDescent="0.25">
      <c r="T55027" s="135"/>
      <c r="U55027" s="135"/>
    </row>
    <row r="55028" spans="20:21" ht="15" customHeight="1" x14ac:dyDescent="0.25">
      <c r="T55028" s="135"/>
      <c r="U55028" s="135"/>
    </row>
    <row r="55029" spans="20:21" ht="15" customHeight="1" x14ac:dyDescent="0.25">
      <c r="T55029" s="135"/>
      <c r="U55029" s="135"/>
    </row>
    <row r="55030" spans="20:21" ht="15" customHeight="1" x14ac:dyDescent="0.25">
      <c r="T55030" s="135"/>
      <c r="U55030" s="135"/>
    </row>
    <row r="55031" spans="20:21" ht="15" customHeight="1" x14ac:dyDescent="0.25">
      <c r="T55031" s="135"/>
      <c r="U55031" s="135"/>
    </row>
    <row r="55032" spans="20:21" ht="15" customHeight="1" x14ac:dyDescent="0.25">
      <c r="T55032" s="135"/>
      <c r="U55032" s="135"/>
    </row>
    <row r="55033" spans="20:21" ht="15" customHeight="1" x14ac:dyDescent="0.25">
      <c r="T55033" s="135"/>
      <c r="U55033" s="135"/>
    </row>
    <row r="55034" spans="20:21" ht="15" customHeight="1" x14ac:dyDescent="0.25">
      <c r="T55034" s="135"/>
      <c r="U55034" s="135"/>
    </row>
    <row r="55035" spans="20:21" ht="15" customHeight="1" x14ac:dyDescent="0.25">
      <c r="T55035" s="135"/>
      <c r="U55035" s="135"/>
    </row>
    <row r="55036" spans="20:21" ht="15" customHeight="1" x14ac:dyDescent="0.25">
      <c r="T55036" s="135"/>
      <c r="U55036" s="135"/>
    </row>
    <row r="55037" spans="20:21" ht="15" customHeight="1" x14ac:dyDescent="0.25">
      <c r="T55037" s="135"/>
      <c r="U55037" s="135"/>
    </row>
    <row r="55038" spans="20:21" ht="15" customHeight="1" x14ac:dyDescent="0.25">
      <c r="T55038" s="135"/>
      <c r="U55038" s="135"/>
    </row>
    <row r="55039" spans="20:21" ht="15" customHeight="1" x14ac:dyDescent="0.25">
      <c r="T55039" s="135"/>
      <c r="U55039" s="135"/>
    </row>
    <row r="55040" spans="20:21" ht="15" customHeight="1" x14ac:dyDescent="0.25">
      <c r="T55040" s="135"/>
      <c r="U55040" s="135"/>
    </row>
    <row r="55041" spans="20:21" ht="15" customHeight="1" x14ac:dyDescent="0.25">
      <c r="T55041" s="135"/>
      <c r="U55041" s="135"/>
    </row>
    <row r="55042" spans="20:21" ht="15" customHeight="1" x14ac:dyDescent="0.25">
      <c r="T55042" s="135"/>
      <c r="U55042" s="135"/>
    </row>
    <row r="55043" spans="20:21" ht="15" customHeight="1" x14ac:dyDescent="0.25">
      <c r="T55043" s="135"/>
      <c r="U55043" s="135"/>
    </row>
    <row r="55044" spans="20:21" ht="15" customHeight="1" x14ac:dyDescent="0.25">
      <c r="T55044" s="135"/>
      <c r="U55044" s="135"/>
    </row>
    <row r="55045" spans="20:21" ht="15" customHeight="1" x14ac:dyDescent="0.25">
      <c r="T55045" s="135"/>
      <c r="U55045" s="135"/>
    </row>
    <row r="55046" spans="20:21" ht="15" customHeight="1" x14ac:dyDescent="0.25">
      <c r="T55046" s="135"/>
      <c r="U55046" s="135"/>
    </row>
    <row r="55047" spans="20:21" ht="15" customHeight="1" x14ac:dyDescent="0.25">
      <c r="T55047" s="135"/>
      <c r="U55047" s="135"/>
    </row>
    <row r="55048" spans="20:21" ht="15" customHeight="1" x14ac:dyDescent="0.25">
      <c r="T55048" s="135"/>
      <c r="U55048" s="135"/>
    </row>
    <row r="55049" spans="20:21" ht="15" customHeight="1" x14ac:dyDescent="0.25">
      <c r="T55049" s="135"/>
      <c r="U55049" s="135"/>
    </row>
    <row r="55050" spans="20:21" ht="15" customHeight="1" x14ac:dyDescent="0.25">
      <c r="T55050" s="135"/>
      <c r="U55050" s="135"/>
    </row>
    <row r="55051" spans="20:21" ht="15" customHeight="1" x14ac:dyDescent="0.25">
      <c r="T55051" s="135"/>
      <c r="U55051" s="135"/>
    </row>
    <row r="55052" spans="20:21" ht="15" customHeight="1" x14ac:dyDescent="0.25">
      <c r="T55052" s="135"/>
      <c r="U55052" s="135"/>
    </row>
    <row r="55053" spans="20:21" ht="15" customHeight="1" x14ac:dyDescent="0.25">
      <c r="T55053" s="135"/>
      <c r="U55053" s="135"/>
    </row>
    <row r="55054" spans="20:21" ht="15" customHeight="1" x14ac:dyDescent="0.25">
      <c r="T55054" s="135"/>
      <c r="U55054" s="135"/>
    </row>
    <row r="55055" spans="20:21" ht="15" customHeight="1" x14ac:dyDescent="0.25">
      <c r="T55055" s="135"/>
      <c r="U55055" s="135"/>
    </row>
    <row r="55056" spans="20:21" ht="15" customHeight="1" x14ac:dyDescent="0.25">
      <c r="T55056" s="135"/>
      <c r="U55056" s="135"/>
    </row>
    <row r="55057" spans="20:21" ht="15" customHeight="1" x14ac:dyDescent="0.25">
      <c r="T55057" s="135"/>
      <c r="U55057" s="135"/>
    </row>
    <row r="55058" spans="20:21" ht="15" customHeight="1" x14ac:dyDescent="0.25">
      <c r="T55058" s="135"/>
      <c r="U55058" s="135"/>
    </row>
    <row r="55059" spans="20:21" ht="15" customHeight="1" x14ac:dyDescent="0.25">
      <c r="T55059" s="135"/>
      <c r="U55059" s="135"/>
    </row>
    <row r="55060" spans="20:21" ht="15" customHeight="1" x14ac:dyDescent="0.25">
      <c r="T55060" s="135"/>
      <c r="U55060" s="135"/>
    </row>
    <row r="55061" spans="20:21" ht="15" customHeight="1" x14ac:dyDescent="0.25">
      <c r="T55061" s="135"/>
      <c r="U55061" s="135"/>
    </row>
    <row r="55062" spans="20:21" ht="15" customHeight="1" x14ac:dyDescent="0.25">
      <c r="T55062" s="135"/>
      <c r="U55062" s="135"/>
    </row>
    <row r="55063" spans="20:21" ht="15" customHeight="1" x14ac:dyDescent="0.25">
      <c r="T55063" s="135"/>
      <c r="U55063" s="135"/>
    </row>
    <row r="55064" spans="20:21" ht="15" customHeight="1" x14ac:dyDescent="0.25">
      <c r="T55064" s="135"/>
      <c r="U55064" s="135"/>
    </row>
    <row r="55065" spans="20:21" ht="15" customHeight="1" x14ac:dyDescent="0.25">
      <c r="T55065" s="135"/>
      <c r="U55065" s="135"/>
    </row>
    <row r="55066" spans="20:21" ht="15" customHeight="1" x14ac:dyDescent="0.25">
      <c r="T55066" s="135"/>
      <c r="U55066" s="135"/>
    </row>
    <row r="55067" spans="20:21" ht="15" customHeight="1" x14ac:dyDescent="0.25">
      <c r="T55067" s="135"/>
      <c r="U55067" s="135"/>
    </row>
    <row r="55068" spans="20:21" ht="15" customHeight="1" x14ac:dyDescent="0.25">
      <c r="T55068" s="135"/>
      <c r="U55068" s="135"/>
    </row>
    <row r="55069" spans="20:21" ht="15" customHeight="1" x14ac:dyDescent="0.25">
      <c r="T55069" s="135"/>
      <c r="U55069" s="135"/>
    </row>
    <row r="55070" spans="20:21" ht="15" customHeight="1" x14ac:dyDescent="0.25">
      <c r="T55070" s="135"/>
      <c r="U55070" s="135"/>
    </row>
    <row r="55071" spans="20:21" ht="15" customHeight="1" x14ac:dyDescent="0.25">
      <c r="T55071" s="135"/>
      <c r="U55071" s="135"/>
    </row>
    <row r="55072" spans="20:21" ht="15" customHeight="1" x14ac:dyDescent="0.25">
      <c r="T55072" s="135"/>
      <c r="U55072" s="135"/>
    </row>
    <row r="55073" spans="20:21" ht="15" customHeight="1" x14ac:dyDescent="0.25">
      <c r="T55073" s="135"/>
      <c r="U55073" s="135"/>
    </row>
    <row r="55074" spans="20:21" ht="15" customHeight="1" x14ac:dyDescent="0.25">
      <c r="T55074" s="135"/>
      <c r="U55074" s="135"/>
    </row>
    <row r="55075" spans="20:21" ht="15" customHeight="1" x14ac:dyDescent="0.25">
      <c r="T55075" s="135"/>
      <c r="U55075" s="135"/>
    </row>
    <row r="55076" spans="20:21" ht="15" customHeight="1" x14ac:dyDescent="0.25">
      <c r="T55076" s="135"/>
      <c r="U55076" s="135"/>
    </row>
    <row r="55077" spans="20:21" ht="15" customHeight="1" x14ac:dyDescent="0.25">
      <c r="T55077" s="135"/>
      <c r="U55077" s="135"/>
    </row>
    <row r="55078" spans="20:21" ht="15" customHeight="1" x14ac:dyDescent="0.25">
      <c r="T55078" s="135"/>
      <c r="U55078" s="135"/>
    </row>
    <row r="55079" spans="20:21" ht="15" customHeight="1" x14ac:dyDescent="0.25">
      <c r="T55079" s="135"/>
      <c r="U55079" s="135"/>
    </row>
    <row r="55080" spans="20:21" ht="15" customHeight="1" x14ac:dyDescent="0.25">
      <c r="T55080" s="135"/>
      <c r="U55080" s="135"/>
    </row>
    <row r="55081" spans="20:21" ht="15" customHeight="1" x14ac:dyDescent="0.25">
      <c r="T55081" s="135"/>
      <c r="U55081" s="135"/>
    </row>
    <row r="55082" spans="20:21" ht="15" customHeight="1" x14ac:dyDescent="0.25">
      <c r="T55082" s="135"/>
      <c r="U55082" s="135"/>
    </row>
    <row r="55083" spans="20:21" ht="15" customHeight="1" x14ac:dyDescent="0.25">
      <c r="T55083" s="135"/>
      <c r="U55083" s="135"/>
    </row>
    <row r="55084" spans="20:21" ht="15" customHeight="1" x14ac:dyDescent="0.25">
      <c r="T55084" s="135"/>
      <c r="U55084" s="135"/>
    </row>
    <row r="55085" spans="20:21" ht="15" customHeight="1" x14ac:dyDescent="0.25">
      <c r="T55085" s="135"/>
      <c r="U55085" s="135"/>
    </row>
    <row r="55086" spans="20:21" ht="15" customHeight="1" x14ac:dyDescent="0.25">
      <c r="T55086" s="135"/>
      <c r="U55086" s="135"/>
    </row>
    <row r="55087" spans="20:21" ht="15" customHeight="1" x14ac:dyDescent="0.25">
      <c r="T55087" s="135"/>
      <c r="U55087" s="135"/>
    </row>
    <row r="55088" spans="20:21" ht="15" customHeight="1" x14ac:dyDescent="0.25">
      <c r="T55088" s="135"/>
      <c r="U55088" s="135"/>
    </row>
    <row r="55089" spans="20:21" ht="15" customHeight="1" x14ac:dyDescent="0.25">
      <c r="T55089" s="135"/>
      <c r="U55089" s="135"/>
    </row>
    <row r="55090" spans="20:21" ht="15" customHeight="1" x14ac:dyDescent="0.25">
      <c r="T55090" s="135"/>
      <c r="U55090" s="135"/>
    </row>
    <row r="55091" spans="20:21" ht="15" customHeight="1" x14ac:dyDescent="0.25">
      <c r="T55091" s="135"/>
      <c r="U55091" s="135"/>
    </row>
    <row r="55092" spans="20:21" ht="15" customHeight="1" x14ac:dyDescent="0.25">
      <c r="T55092" s="135"/>
      <c r="U55092" s="135"/>
    </row>
    <row r="55093" spans="20:21" ht="15" customHeight="1" x14ac:dyDescent="0.25">
      <c r="T55093" s="135"/>
      <c r="U55093" s="135"/>
    </row>
    <row r="55094" spans="20:21" ht="15" customHeight="1" x14ac:dyDescent="0.25">
      <c r="T55094" s="135"/>
      <c r="U55094" s="135"/>
    </row>
    <row r="55095" spans="20:21" ht="15" customHeight="1" x14ac:dyDescent="0.25">
      <c r="T55095" s="135"/>
      <c r="U55095" s="135"/>
    </row>
    <row r="55096" spans="20:21" ht="15" customHeight="1" x14ac:dyDescent="0.25">
      <c r="T55096" s="135"/>
      <c r="U55096" s="135"/>
    </row>
    <row r="55097" spans="20:21" ht="15" customHeight="1" x14ac:dyDescent="0.25">
      <c r="T55097" s="135"/>
      <c r="U55097" s="135"/>
    </row>
    <row r="55098" spans="20:21" ht="15" customHeight="1" x14ac:dyDescent="0.25">
      <c r="T55098" s="135"/>
      <c r="U55098" s="135"/>
    </row>
    <row r="55099" spans="20:21" ht="15" customHeight="1" x14ac:dyDescent="0.25">
      <c r="T55099" s="135"/>
      <c r="U55099" s="135"/>
    </row>
    <row r="55100" spans="20:21" ht="15" customHeight="1" x14ac:dyDescent="0.25">
      <c r="T55100" s="135"/>
      <c r="U55100" s="135"/>
    </row>
    <row r="55101" spans="20:21" ht="15" customHeight="1" x14ac:dyDescent="0.25">
      <c r="T55101" s="135"/>
      <c r="U55101" s="135"/>
    </row>
    <row r="55102" spans="20:21" ht="15" customHeight="1" x14ac:dyDescent="0.25">
      <c r="T55102" s="135"/>
      <c r="U55102" s="135"/>
    </row>
    <row r="55103" spans="20:21" ht="15" customHeight="1" x14ac:dyDescent="0.25">
      <c r="T55103" s="135"/>
      <c r="U55103" s="135"/>
    </row>
    <row r="55104" spans="20:21" ht="15" customHeight="1" x14ac:dyDescent="0.25">
      <c r="T55104" s="135"/>
      <c r="U55104" s="135"/>
    </row>
    <row r="55105" spans="20:21" ht="15" customHeight="1" x14ac:dyDescent="0.25">
      <c r="T55105" s="135"/>
      <c r="U55105" s="135"/>
    </row>
    <row r="55106" spans="20:21" ht="15" customHeight="1" x14ac:dyDescent="0.25">
      <c r="T55106" s="135"/>
      <c r="U55106" s="135"/>
    </row>
    <row r="55107" spans="20:21" ht="15" customHeight="1" x14ac:dyDescent="0.25">
      <c r="T55107" s="135"/>
      <c r="U55107" s="135"/>
    </row>
    <row r="55108" spans="20:21" ht="15" customHeight="1" x14ac:dyDescent="0.25">
      <c r="T55108" s="135"/>
      <c r="U55108" s="135"/>
    </row>
    <row r="55109" spans="20:21" ht="15" customHeight="1" x14ac:dyDescent="0.25">
      <c r="T55109" s="135"/>
      <c r="U55109" s="135"/>
    </row>
    <row r="55110" spans="20:21" ht="15" customHeight="1" x14ac:dyDescent="0.25">
      <c r="T55110" s="135"/>
      <c r="U55110" s="135"/>
    </row>
    <row r="55111" spans="20:21" ht="15" customHeight="1" x14ac:dyDescent="0.25">
      <c r="T55111" s="135"/>
      <c r="U55111" s="135"/>
    </row>
    <row r="55112" spans="20:21" ht="15" customHeight="1" x14ac:dyDescent="0.25">
      <c r="T55112" s="135"/>
      <c r="U55112" s="135"/>
    </row>
    <row r="55113" spans="20:21" ht="15" customHeight="1" x14ac:dyDescent="0.25">
      <c r="T55113" s="135"/>
      <c r="U55113" s="135"/>
    </row>
    <row r="55114" spans="20:21" ht="15" customHeight="1" x14ac:dyDescent="0.25">
      <c r="T55114" s="135"/>
      <c r="U55114" s="135"/>
    </row>
    <row r="55115" spans="20:21" ht="15" customHeight="1" x14ac:dyDescent="0.25">
      <c r="T55115" s="135"/>
      <c r="U55115" s="135"/>
    </row>
    <row r="55116" spans="20:21" ht="15" customHeight="1" x14ac:dyDescent="0.25">
      <c r="T55116" s="135"/>
      <c r="U55116" s="135"/>
    </row>
    <row r="55117" spans="20:21" ht="15" customHeight="1" x14ac:dyDescent="0.25">
      <c r="T55117" s="135"/>
      <c r="U55117" s="135"/>
    </row>
    <row r="55118" spans="20:21" ht="15" customHeight="1" x14ac:dyDescent="0.25">
      <c r="T55118" s="135"/>
      <c r="U55118" s="135"/>
    </row>
    <row r="55119" spans="20:21" ht="15" customHeight="1" x14ac:dyDescent="0.25">
      <c r="T55119" s="135"/>
      <c r="U55119" s="135"/>
    </row>
    <row r="55120" spans="20:21" ht="15" customHeight="1" x14ac:dyDescent="0.25">
      <c r="T55120" s="135"/>
      <c r="U55120" s="135"/>
    </row>
    <row r="55121" spans="20:21" ht="15" customHeight="1" x14ac:dyDescent="0.25">
      <c r="T55121" s="135"/>
      <c r="U55121" s="135"/>
    </row>
    <row r="55122" spans="20:21" ht="15" customHeight="1" x14ac:dyDescent="0.25">
      <c r="T55122" s="135"/>
      <c r="U55122" s="135"/>
    </row>
    <row r="55123" spans="20:21" ht="15" customHeight="1" x14ac:dyDescent="0.25">
      <c r="T55123" s="135"/>
      <c r="U55123" s="135"/>
    </row>
    <row r="55124" spans="20:21" ht="15" customHeight="1" x14ac:dyDescent="0.25">
      <c r="T55124" s="135"/>
      <c r="U55124" s="135"/>
    </row>
    <row r="55125" spans="20:21" ht="15" customHeight="1" x14ac:dyDescent="0.25">
      <c r="T55125" s="135"/>
      <c r="U55125" s="135"/>
    </row>
    <row r="55126" spans="20:21" ht="15" customHeight="1" x14ac:dyDescent="0.25">
      <c r="T55126" s="135"/>
      <c r="U55126" s="135"/>
    </row>
    <row r="55127" spans="20:21" ht="15" customHeight="1" x14ac:dyDescent="0.25">
      <c r="T55127" s="135"/>
      <c r="U55127" s="135"/>
    </row>
    <row r="55128" spans="20:21" ht="15" customHeight="1" x14ac:dyDescent="0.25">
      <c r="T55128" s="135"/>
      <c r="U55128" s="135"/>
    </row>
    <row r="55129" spans="20:21" ht="15" customHeight="1" x14ac:dyDescent="0.25">
      <c r="T55129" s="135"/>
      <c r="U55129" s="135"/>
    </row>
    <row r="55130" spans="20:21" ht="15" customHeight="1" x14ac:dyDescent="0.25">
      <c r="T55130" s="135"/>
      <c r="U55130" s="135"/>
    </row>
    <row r="55131" spans="20:21" ht="15" customHeight="1" x14ac:dyDescent="0.25">
      <c r="T55131" s="135"/>
      <c r="U55131" s="135"/>
    </row>
    <row r="55132" spans="20:21" ht="15" customHeight="1" x14ac:dyDescent="0.25">
      <c r="T55132" s="135"/>
      <c r="U55132" s="135"/>
    </row>
    <row r="55133" spans="20:21" ht="15" customHeight="1" x14ac:dyDescent="0.25">
      <c r="T55133" s="135"/>
      <c r="U55133" s="135"/>
    </row>
    <row r="55134" spans="20:21" ht="15" customHeight="1" x14ac:dyDescent="0.25">
      <c r="T55134" s="135"/>
      <c r="U55134" s="135"/>
    </row>
    <row r="55135" spans="20:21" ht="15" customHeight="1" x14ac:dyDescent="0.25">
      <c r="T55135" s="135"/>
      <c r="U55135" s="135"/>
    </row>
    <row r="55136" spans="20:21" ht="15" customHeight="1" x14ac:dyDescent="0.25">
      <c r="T55136" s="135"/>
      <c r="U55136" s="135"/>
    </row>
    <row r="55137" spans="20:21" ht="15" customHeight="1" x14ac:dyDescent="0.25">
      <c r="T55137" s="135"/>
      <c r="U55137" s="135"/>
    </row>
    <row r="55138" spans="20:21" ht="15" customHeight="1" x14ac:dyDescent="0.25">
      <c r="T55138" s="135"/>
      <c r="U55138" s="135"/>
    </row>
    <row r="55139" spans="20:21" ht="15" customHeight="1" x14ac:dyDescent="0.25">
      <c r="T55139" s="135"/>
      <c r="U55139" s="135"/>
    </row>
    <row r="55140" spans="20:21" ht="15" customHeight="1" x14ac:dyDescent="0.25">
      <c r="T55140" s="135"/>
      <c r="U55140" s="135"/>
    </row>
    <row r="55141" spans="20:21" ht="15" customHeight="1" x14ac:dyDescent="0.25">
      <c r="T55141" s="135"/>
      <c r="U55141" s="135"/>
    </row>
    <row r="55142" spans="20:21" ht="15" customHeight="1" x14ac:dyDescent="0.25">
      <c r="T55142" s="135"/>
      <c r="U55142" s="135"/>
    </row>
    <row r="55143" spans="20:21" ht="15" customHeight="1" x14ac:dyDescent="0.25">
      <c r="T55143" s="135"/>
      <c r="U55143" s="135"/>
    </row>
    <row r="55144" spans="20:21" ht="15" customHeight="1" x14ac:dyDescent="0.25">
      <c r="T55144" s="135"/>
      <c r="U55144" s="135"/>
    </row>
    <row r="55145" spans="20:21" ht="15" customHeight="1" x14ac:dyDescent="0.25">
      <c r="T55145" s="135"/>
      <c r="U55145" s="135"/>
    </row>
    <row r="55146" spans="20:21" ht="15" customHeight="1" x14ac:dyDescent="0.25">
      <c r="T55146" s="135"/>
      <c r="U55146" s="135"/>
    </row>
    <row r="55147" spans="20:21" ht="15" customHeight="1" x14ac:dyDescent="0.25">
      <c r="T55147" s="135"/>
      <c r="U55147" s="135"/>
    </row>
    <row r="55148" spans="20:21" ht="15" customHeight="1" x14ac:dyDescent="0.25">
      <c r="T55148" s="135"/>
      <c r="U55148" s="135"/>
    </row>
    <row r="55149" spans="20:21" ht="15" customHeight="1" x14ac:dyDescent="0.25">
      <c r="T55149" s="135"/>
      <c r="U55149" s="135"/>
    </row>
    <row r="55150" spans="20:21" ht="15" customHeight="1" x14ac:dyDescent="0.25">
      <c r="T55150" s="135"/>
      <c r="U55150" s="135"/>
    </row>
    <row r="55151" spans="20:21" ht="15" customHeight="1" x14ac:dyDescent="0.25">
      <c r="T55151" s="135"/>
      <c r="U55151" s="135"/>
    </row>
    <row r="55152" spans="20:21" ht="15" customHeight="1" x14ac:dyDescent="0.25">
      <c r="T55152" s="135"/>
      <c r="U55152" s="135"/>
    </row>
    <row r="55153" spans="20:21" ht="15" customHeight="1" x14ac:dyDescent="0.25">
      <c r="T55153" s="135"/>
      <c r="U55153" s="135"/>
    </row>
    <row r="55154" spans="20:21" ht="15" customHeight="1" x14ac:dyDescent="0.25">
      <c r="T55154" s="135"/>
      <c r="U55154" s="135"/>
    </row>
    <row r="55155" spans="20:21" ht="15" customHeight="1" x14ac:dyDescent="0.25">
      <c r="T55155" s="135"/>
      <c r="U55155" s="135"/>
    </row>
    <row r="55156" spans="20:21" ht="15" customHeight="1" x14ac:dyDescent="0.25">
      <c r="T55156" s="135"/>
      <c r="U55156" s="135"/>
    </row>
    <row r="55157" spans="20:21" ht="15" customHeight="1" x14ac:dyDescent="0.25">
      <c r="T55157" s="135"/>
      <c r="U55157" s="135"/>
    </row>
    <row r="55158" spans="20:21" ht="15" customHeight="1" x14ac:dyDescent="0.25">
      <c r="T55158" s="135"/>
      <c r="U55158" s="135"/>
    </row>
    <row r="55159" spans="20:21" ht="15" customHeight="1" x14ac:dyDescent="0.25">
      <c r="T55159" s="135"/>
      <c r="U55159" s="135"/>
    </row>
    <row r="55160" spans="20:21" ht="15" customHeight="1" x14ac:dyDescent="0.25">
      <c r="T55160" s="135"/>
      <c r="U55160" s="135"/>
    </row>
    <row r="55161" spans="20:21" ht="15" customHeight="1" x14ac:dyDescent="0.25">
      <c r="T55161" s="135"/>
      <c r="U55161" s="135"/>
    </row>
    <row r="55162" spans="20:21" ht="15" customHeight="1" x14ac:dyDescent="0.25">
      <c r="T55162" s="135"/>
      <c r="U55162" s="135"/>
    </row>
    <row r="55163" spans="20:21" ht="15" customHeight="1" x14ac:dyDescent="0.25">
      <c r="T55163" s="135"/>
      <c r="U55163" s="135"/>
    </row>
    <row r="55164" spans="20:21" ht="15" customHeight="1" x14ac:dyDescent="0.25">
      <c r="T55164" s="135"/>
      <c r="U55164" s="135"/>
    </row>
    <row r="55165" spans="20:21" ht="15" customHeight="1" x14ac:dyDescent="0.25">
      <c r="T55165" s="135"/>
      <c r="U55165" s="135"/>
    </row>
    <row r="55166" spans="20:21" ht="15" customHeight="1" x14ac:dyDescent="0.25">
      <c r="T55166" s="135"/>
      <c r="U55166" s="135"/>
    </row>
    <row r="55167" spans="20:21" ht="15" customHeight="1" x14ac:dyDescent="0.25">
      <c r="T55167" s="135"/>
      <c r="U55167" s="135"/>
    </row>
    <row r="55168" spans="20:21" ht="15" customHeight="1" x14ac:dyDescent="0.25">
      <c r="T55168" s="135"/>
      <c r="U55168" s="135"/>
    </row>
    <row r="55169" spans="20:21" ht="15" customHeight="1" x14ac:dyDescent="0.25">
      <c r="T55169" s="135"/>
      <c r="U55169" s="135"/>
    </row>
    <row r="55170" spans="20:21" ht="15" customHeight="1" x14ac:dyDescent="0.25">
      <c r="T55170" s="135"/>
      <c r="U55170" s="135"/>
    </row>
    <row r="55171" spans="20:21" ht="15" customHeight="1" x14ac:dyDescent="0.25">
      <c r="T55171" s="135"/>
      <c r="U55171" s="135"/>
    </row>
    <row r="55172" spans="20:21" ht="15" customHeight="1" x14ac:dyDescent="0.25">
      <c r="T55172" s="135"/>
      <c r="U55172" s="135"/>
    </row>
    <row r="55173" spans="20:21" ht="15" customHeight="1" x14ac:dyDescent="0.25">
      <c r="T55173" s="135"/>
      <c r="U55173" s="135"/>
    </row>
    <row r="55174" spans="20:21" ht="15" customHeight="1" x14ac:dyDescent="0.25">
      <c r="T55174" s="135"/>
      <c r="U55174" s="135"/>
    </row>
    <row r="55175" spans="20:21" ht="15" customHeight="1" x14ac:dyDescent="0.25">
      <c r="T55175" s="135"/>
      <c r="U55175" s="135"/>
    </row>
    <row r="55176" spans="20:21" ht="15" customHeight="1" x14ac:dyDescent="0.25">
      <c r="T55176" s="135"/>
      <c r="U55176" s="135"/>
    </row>
    <row r="55177" spans="20:21" ht="15" customHeight="1" x14ac:dyDescent="0.25">
      <c r="T55177" s="135"/>
      <c r="U55177" s="135"/>
    </row>
    <row r="55178" spans="20:21" ht="15" customHeight="1" x14ac:dyDescent="0.25">
      <c r="T55178" s="135"/>
      <c r="U55178" s="135"/>
    </row>
    <row r="55179" spans="20:21" ht="15" customHeight="1" x14ac:dyDescent="0.25">
      <c r="T55179" s="135"/>
      <c r="U55179" s="135"/>
    </row>
    <row r="55180" spans="20:21" ht="15" customHeight="1" x14ac:dyDescent="0.25">
      <c r="T55180" s="135"/>
      <c r="U55180" s="135"/>
    </row>
    <row r="55181" spans="20:21" ht="15" customHeight="1" x14ac:dyDescent="0.25">
      <c r="T55181" s="135"/>
      <c r="U55181" s="135"/>
    </row>
    <row r="55182" spans="20:21" ht="15" customHeight="1" x14ac:dyDescent="0.25">
      <c r="T55182" s="135"/>
      <c r="U55182" s="135"/>
    </row>
    <row r="55183" spans="20:21" ht="15" customHeight="1" x14ac:dyDescent="0.25">
      <c r="T55183" s="135"/>
      <c r="U55183" s="135"/>
    </row>
    <row r="55184" spans="20:21" ht="15" customHeight="1" x14ac:dyDescent="0.25">
      <c r="T55184" s="135"/>
      <c r="U55184" s="135"/>
    </row>
    <row r="55185" spans="20:21" ht="15" customHeight="1" x14ac:dyDescent="0.25">
      <c r="T55185" s="135"/>
      <c r="U55185" s="135"/>
    </row>
    <row r="55186" spans="20:21" ht="15" customHeight="1" x14ac:dyDescent="0.25">
      <c r="T55186" s="135"/>
      <c r="U55186" s="135"/>
    </row>
    <row r="55187" spans="20:21" ht="15" customHeight="1" x14ac:dyDescent="0.25">
      <c r="T55187" s="135"/>
      <c r="U55187" s="135"/>
    </row>
    <row r="55188" spans="20:21" ht="15" customHeight="1" x14ac:dyDescent="0.25">
      <c r="T55188" s="135"/>
      <c r="U55188" s="135"/>
    </row>
    <row r="55189" spans="20:21" ht="15" customHeight="1" x14ac:dyDescent="0.25">
      <c r="T55189" s="135"/>
      <c r="U55189" s="135"/>
    </row>
    <row r="55190" spans="20:21" ht="15" customHeight="1" x14ac:dyDescent="0.25">
      <c r="T55190" s="135"/>
      <c r="U55190" s="135"/>
    </row>
    <row r="55191" spans="20:21" ht="15" customHeight="1" x14ac:dyDescent="0.25">
      <c r="T55191" s="135"/>
      <c r="U55191" s="135"/>
    </row>
    <row r="55192" spans="20:21" ht="15" customHeight="1" x14ac:dyDescent="0.25">
      <c r="T55192" s="135"/>
      <c r="U55192" s="135"/>
    </row>
    <row r="55193" spans="20:21" ht="15" customHeight="1" x14ac:dyDescent="0.25">
      <c r="T55193" s="135"/>
      <c r="U55193" s="135"/>
    </row>
    <row r="55194" spans="20:21" ht="15" customHeight="1" x14ac:dyDescent="0.25">
      <c r="T55194" s="135"/>
      <c r="U55194" s="135"/>
    </row>
    <row r="55195" spans="20:21" ht="15" customHeight="1" x14ac:dyDescent="0.25">
      <c r="T55195" s="135"/>
      <c r="U55195" s="135"/>
    </row>
    <row r="55196" spans="20:21" ht="15" customHeight="1" x14ac:dyDescent="0.25">
      <c r="T55196" s="135"/>
      <c r="U55196" s="135"/>
    </row>
    <row r="55197" spans="20:21" ht="15" customHeight="1" x14ac:dyDescent="0.25">
      <c r="T55197" s="135"/>
      <c r="U55197" s="135"/>
    </row>
    <row r="55198" spans="20:21" ht="15" customHeight="1" x14ac:dyDescent="0.25">
      <c r="T55198" s="135"/>
      <c r="U55198" s="135"/>
    </row>
    <row r="55199" spans="20:21" ht="15" customHeight="1" x14ac:dyDescent="0.25">
      <c r="T55199" s="135"/>
      <c r="U55199" s="135"/>
    </row>
    <row r="55200" spans="20:21" ht="15" customHeight="1" x14ac:dyDescent="0.25">
      <c r="T55200" s="135"/>
      <c r="U55200" s="135"/>
    </row>
    <row r="55201" spans="20:21" ht="15" customHeight="1" x14ac:dyDescent="0.25">
      <c r="T55201" s="135"/>
      <c r="U55201" s="135"/>
    </row>
    <row r="55202" spans="20:21" ht="15" customHeight="1" x14ac:dyDescent="0.25">
      <c r="T55202" s="135"/>
      <c r="U55202" s="135"/>
    </row>
    <row r="55203" spans="20:21" ht="15" customHeight="1" x14ac:dyDescent="0.25">
      <c r="T55203" s="135"/>
      <c r="U55203" s="135"/>
    </row>
    <row r="55204" spans="20:21" ht="15" customHeight="1" x14ac:dyDescent="0.25">
      <c r="T55204" s="135"/>
      <c r="U55204" s="135"/>
    </row>
    <row r="55205" spans="20:21" ht="15" customHeight="1" x14ac:dyDescent="0.25">
      <c r="T55205" s="135"/>
      <c r="U55205" s="135"/>
    </row>
    <row r="55206" spans="20:21" ht="15" customHeight="1" x14ac:dyDescent="0.25">
      <c r="T55206" s="135"/>
      <c r="U55206" s="135"/>
    </row>
    <row r="55207" spans="20:21" ht="15" customHeight="1" x14ac:dyDescent="0.25">
      <c r="T55207" s="135"/>
      <c r="U55207" s="135"/>
    </row>
    <row r="55208" spans="20:21" ht="15" customHeight="1" x14ac:dyDescent="0.25">
      <c r="T55208" s="135"/>
      <c r="U55208" s="135"/>
    </row>
    <row r="55209" spans="20:21" ht="15" customHeight="1" x14ac:dyDescent="0.25">
      <c r="T55209" s="135"/>
      <c r="U55209" s="135"/>
    </row>
    <row r="55210" spans="20:21" ht="15" customHeight="1" x14ac:dyDescent="0.25">
      <c r="T55210" s="135"/>
      <c r="U55210" s="135"/>
    </row>
    <row r="55211" spans="20:21" ht="15" customHeight="1" x14ac:dyDescent="0.25">
      <c r="T55211" s="135"/>
      <c r="U55211" s="135"/>
    </row>
    <row r="55212" spans="20:21" ht="15" customHeight="1" x14ac:dyDescent="0.25">
      <c r="T55212" s="135"/>
      <c r="U55212" s="135"/>
    </row>
    <row r="55213" spans="20:21" ht="15" customHeight="1" x14ac:dyDescent="0.25">
      <c r="T55213" s="135"/>
      <c r="U55213" s="135"/>
    </row>
    <row r="55214" spans="20:21" ht="15" customHeight="1" x14ac:dyDescent="0.25">
      <c r="T55214" s="135"/>
      <c r="U55214" s="135"/>
    </row>
    <row r="55215" spans="20:21" ht="15" customHeight="1" x14ac:dyDescent="0.25">
      <c r="T55215" s="135"/>
      <c r="U55215" s="135"/>
    </row>
    <row r="55216" spans="20:21" ht="15" customHeight="1" x14ac:dyDescent="0.25">
      <c r="T55216" s="135"/>
      <c r="U55216" s="135"/>
    </row>
    <row r="55217" spans="20:21" ht="15" customHeight="1" x14ac:dyDescent="0.25">
      <c r="T55217" s="135"/>
      <c r="U55217" s="135"/>
    </row>
    <row r="55218" spans="20:21" ht="15" customHeight="1" x14ac:dyDescent="0.25">
      <c r="T55218" s="135"/>
      <c r="U55218" s="135"/>
    </row>
    <row r="55219" spans="20:21" ht="15" customHeight="1" x14ac:dyDescent="0.25">
      <c r="T55219" s="135"/>
      <c r="U55219" s="135"/>
    </row>
    <row r="55220" spans="20:21" ht="15" customHeight="1" x14ac:dyDescent="0.25">
      <c r="T55220" s="135"/>
      <c r="U55220" s="135"/>
    </row>
    <row r="55221" spans="20:21" ht="15" customHeight="1" x14ac:dyDescent="0.25">
      <c r="T55221" s="135"/>
      <c r="U55221" s="135"/>
    </row>
    <row r="55222" spans="20:21" ht="15" customHeight="1" x14ac:dyDescent="0.25">
      <c r="T55222" s="135"/>
      <c r="U55222" s="135"/>
    </row>
    <row r="55223" spans="20:21" ht="15" customHeight="1" x14ac:dyDescent="0.25">
      <c r="T55223" s="135"/>
      <c r="U55223" s="135"/>
    </row>
    <row r="55224" spans="20:21" ht="15" customHeight="1" x14ac:dyDescent="0.25">
      <c r="T55224" s="135"/>
      <c r="U55224" s="135"/>
    </row>
    <row r="55225" spans="20:21" ht="15" customHeight="1" x14ac:dyDescent="0.25">
      <c r="T55225" s="135"/>
      <c r="U55225" s="135"/>
    </row>
    <row r="55226" spans="20:21" ht="15" customHeight="1" x14ac:dyDescent="0.25">
      <c r="T55226" s="135"/>
      <c r="U55226" s="135"/>
    </row>
    <row r="55227" spans="20:21" ht="15" customHeight="1" x14ac:dyDescent="0.25">
      <c r="T55227" s="135"/>
      <c r="U55227" s="135"/>
    </row>
    <row r="55228" spans="20:21" ht="15" customHeight="1" x14ac:dyDescent="0.25">
      <c r="T55228" s="135"/>
      <c r="U55228" s="135"/>
    </row>
    <row r="55229" spans="20:21" ht="15" customHeight="1" x14ac:dyDescent="0.25">
      <c r="T55229" s="135"/>
      <c r="U55229" s="135"/>
    </row>
    <row r="55230" spans="20:21" ht="15" customHeight="1" x14ac:dyDescent="0.25">
      <c r="T55230" s="135"/>
      <c r="U55230" s="135"/>
    </row>
    <row r="55231" spans="20:21" ht="15" customHeight="1" x14ac:dyDescent="0.25">
      <c r="T55231" s="135"/>
      <c r="U55231" s="135"/>
    </row>
    <row r="55232" spans="20:21" ht="15" customHeight="1" x14ac:dyDescent="0.25">
      <c r="T55232" s="135"/>
      <c r="U55232" s="135"/>
    </row>
    <row r="55233" spans="20:21" ht="15" customHeight="1" x14ac:dyDescent="0.25">
      <c r="T55233" s="135"/>
      <c r="U55233" s="135"/>
    </row>
    <row r="55234" spans="20:21" ht="15" customHeight="1" x14ac:dyDescent="0.25">
      <c r="T55234" s="135"/>
      <c r="U55234" s="135"/>
    </row>
    <row r="55235" spans="20:21" ht="15" customHeight="1" x14ac:dyDescent="0.25">
      <c r="T55235" s="135"/>
      <c r="U55235" s="135"/>
    </row>
    <row r="55236" spans="20:21" ht="15" customHeight="1" x14ac:dyDescent="0.25">
      <c r="T55236" s="135"/>
      <c r="U55236" s="135"/>
    </row>
    <row r="55237" spans="20:21" ht="15" customHeight="1" x14ac:dyDescent="0.25">
      <c r="T55237" s="135"/>
      <c r="U55237" s="135"/>
    </row>
    <row r="55238" spans="20:21" ht="15" customHeight="1" x14ac:dyDescent="0.25">
      <c r="T55238" s="135"/>
      <c r="U55238" s="135"/>
    </row>
    <row r="55239" spans="20:21" ht="15" customHeight="1" x14ac:dyDescent="0.25">
      <c r="T55239" s="135"/>
      <c r="U55239" s="135"/>
    </row>
    <row r="55240" spans="20:21" ht="15" customHeight="1" x14ac:dyDescent="0.25">
      <c r="T55240" s="135"/>
      <c r="U55240" s="135"/>
    </row>
    <row r="55241" spans="20:21" ht="15" customHeight="1" x14ac:dyDescent="0.25">
      <c r="T55241" s="135"/>
      <c r="U55241" s="135"/>
    </row>
    <row r="55242" spans="20:21" ht="15" customHeight="1" x14ac:dyDescent="0.25">
      <c r="T55242" s="135"/>
      <c r="U55242" s="135"/>
    </row>
    <row r="55243" spans="20:21" ht="15" customHeight="1" x14ac:dyDescent="0.25">
      <c r="T55243" s="135"/>
      <c r="U55243" s="135"/>
    </row>
    <row r="55244" spans="20:21" ht="15" customHeight="1" x14ac:dyDescent="0.25">
      <c r="T55244" s="135"/>
      <c r="U55244" s="135"/>
    </row>
    <row r="55245" spans="20:21" ht="15" customHeight="1" x14ac:dyDescent="0.25">
      <c r="T55245" s="135"/>
      <c r="U55245" s="135"/>
    </row>
    <row r="55246" spans="20:21" ht="15" customHeight="1" x14ac:dyDescent="0.25">
      <c r="T55246" s="135"/>
      <c r="U55246" s="135"/>
    </row>
    <row r="55247" spans="20:21" ht="15" customHeight="1" x14ac:dyDescent="0.25">
      <c r="T55247" s="135"/>
      <c r="U55247" s="135"/>
    </row>
    <row r="55248" spans="20:21" ht="15" customHeight="1" x14ac:dyDescent="0.25">
      <c r="T55248" s="135"/>
      <c r="U55248" s="135"/>
    </row>
    <row r="55249" spans="20:21" ht="15" customHeight="1" x14ac:dyDescent="0.25">
      <c r="T55249" s="135"/>
      <c r="U55249" s="135"/>
    </row>
    <row r="55250" spans="20:21" ht="15" customHeight="1" x14ac:dyDescent="0.25">
      <c r="T55250" s="135"/>
      <c r="U55250" s="135"/>
    </row>
    <row r="55251" spans="20:21" ht="15" customHeight="1" x14ac:dyDescent="0.25">
      <c r="T55251" s="135"/>
      <c r="U55251" s="135"/>
    </row>
    <row r="55252" spans="20:21" ht="15" customHeight="1" x14ac:dyDescent="0.25">
      <c r="T55252" s="135"/>
      <c r="U55252" s="135"/>
    </row>
    <row r="55253" spans="20:21" ht="15" customHeight="1" x14ac:dyDescent="0.25">
      <c r="T55253" s="135"/>
      <c r="U55253" s="135"/>
    </row>
    <row r="55254" spans="20:21" ht="15" customHeight="1" x14ac:dyDescent="0.25">
      <c r="T55254" s="135"/>
      <c r="U55254" s="135"/>
    </row>
    <row r="55255" spans="20:21" ht="15" customHeight="1" x14ac:dyDescent="0.25">
      <c r="T55255" s="135"/>
      <c r="U55255" s="135"/>
    </row>
    <row r="55256" spans="20:21" ht="15" customHeight="1" x14ac:dyDescent="0.25">
      <c r="T55256" s="135"/>
      <c r="U55256" s="135"/>
    </row>
    <row r="55257" spans="20:21" ht="15" customHeight="1" x14ac:dyDescent="0.25">
      <c r="T55257" s="135"/>
      <c r="U55257" s="135"/>
    </row>
    <row r="55258" spans="20:21" ht="15" customHeight="1" x14ac:dyDescent="0.25">
      <c r="T55258" s="135"/>
      <c r="U55258" s="135"/>
    </row>
    <row r="55259" spans="20:21" ht="15" customHeight="1" x14ac:dyDescent="0.25">
      <c r="T55259" s="135"/>
      <c r="U55259" s="135"/>
    </row>
    <row r="55260" spans="20:21" ht="15" customHeight="1" x14ac:dyDescent="0.25">
      <c r="T55260" s="135"/>
      <c r="U55260" s="135"/>
    </row>
    <row r="55261" spans="20:21" ht="15" customHeight="1" x14ac:dyDescent="0.25">
      <c r="T55261" s="135"/>
      <c r="U55261" s="135"/>
    </row>
    <row r="55262" spans="20:21" ht="15" customHeight="1" x14ac:dyDescent="0.25">
      <c r="T55262" s="135"/>
      <c r="U55262" s="135"/>
    </row>
    <row r="55263" spans="20:21" ht="15" customHeight="1" x14ac:dyDescent="0.25">
      <c r="T55263" s="135"/>
      <c r="U55263" s="135"/>
    </row>
    <row r="55264" spans="20:21" ht="15" customHeight="1" x14ac:dyDescent="0.25">
      <c r="T55264" s="135"/>
      <c r="U55264" s="135"/>
    </row>
    <row r="55265" spans="20:21" ht="15" customHeight="1" x14ac:dyDescent="0.25">
      <c r="T55265" s="135"/>
      <c r="U55265" s="135"/>
    </row>
    <row r="55266" spans="20:21" ht="15" customHeight="1" x14ac:dyDescent="0.25">
      <c r="T55266" s="135"/>
      <c r="U55266" s="135"/>
    </row>
    <row r="55267" spans="20:21" ht="15" customHeight="1" x14ac:dyDescent="0.25">
      <c r="T55267" s="135"/>
      <c r="U55267" s="135"/>
    </row>
    <row r="55268" spans="20:21" ht="15" customHeight="1" x14ac:dyDescent="0.25">
      <c r="T55268" s="135"/>
      <c r="U55268" s="135"/>
    </row>
    <row r="55269" spans="20:21" ht="15" customHeight="1" x14ac:dyDescent="0.25">
      <c r="T55269" s="135"/>
      <c r="U55269" s="135"/>
    </row>
    <row r="55270" spans="20:21" ht="15" customHeight="1" x14ac:dyDescent="0.25">
      <c r="T55270" s="135"/>
      <c r="U55270" s="135"/>
    </row>
    <row r="55271" spans="20:21" ht="15" customHeight="1" x14ac:dyDescent="0.25">
      <c r="T55271" s="135"/>
      <c r="U55271" s="135"/>
    </row>
    <row r="55272" spans="20:21" ht="15" customHeight="1" x14ac:dyDescent="0.25">
      <c r="T55272" s="135"/>
      <c r="U55272" s="135"/>
    </row>
    <row r="55273" spans="20:21" ht="15" customHeight="1" x14ac:dyDescent="0.25">
      <c r="T55273" s="135"/>
      <c r="U55273" s="135"/>
    </row>
    <row r="55274" spans="20:21" ht="15" customHeight="1" x14ac:dyDescent="0.25">
      <c r="T55274" s="135"/>
      <c r="U55274" s="135"/>
    </row>
    <row r="55275" spans="20:21" ht="15" customHeight="1" x14ac:dyDescent="0.25">
      <c r="T55275" s="135"/>
      <c r="U55275" s="135"/>
    </row>
    <row r="55276" spans="20:21" ht="15" customHeight="1" x14ac:dyDescent="0.25">
      <c r="T55276" s="135"/>
      <c r="U55276" s="135"/>
    </row>
    <row r="55277" spans="20:21" ht="15" customHeight="1" x14ac:dyDescent="0.25">
      <c r="T55277" s="135"/>
      <c r="U55277" s="135"/>
    </row>
    <row r="55278" spans="20:21" ht="15" customHeight="1" x14ac:dyDescent="0.25">
      <c r="T55278" s="135"/>
      <c r="U55278" s="135"/>
    </row>
    <row r="55279" spans="20:21" ht="15" customHeight="1" x14ac:dyDescent="0.25">
      <c r="T55279" s="135"/>
      <c r="U55279" s="135"/>
    </row>
    <row r="55280" spans="20:21" ht="15" customHeight="1" x14ac:dyDescent="0.25">
      <c r="T55280" s="135"/>
      <c r="U55280" s="135"/>
    </row>
    <row r="55281" spans="20:21" ht="15" customHeight="1" x14ac:dyDescent="0.25">
      <c r="T55281" s="135"/>
      <c r="U55281" s="135"/>
    </row>
    <row r="55282" spans="20:21" ht="15" customHeight="1" x14ac:dyDescent="0.25">
      <c r="T55282" s="135"/>
      <c r="U55282" s="135"/>
    </row>
    <row r="55283" spans="20:21" ht="15" customHeight="1" x14ac:dyDescent="0.25">
      <c r="T55283" s="135"/>
      <c r="U55283" s="135"/>
    </row>
    <row r="55284" spans="20:21" ht="15" customHeight="1" x14ac:dyDescent="0.25">
      <c r="T55284" s="135"/>
      <c r="U55284" s="135"/>
    </row>
    <row r="55285" spans="20:21" ht="15" customHeight="1" x14ac:dyDescent="0.25">
      <c r="T55285" s="135"/>
      <c r="U55285" s="135"/>
    </row>
    <row r="55286" spans="20:21" ht="15" customHeight="1" x14ac:dyDescent="0.25">
      <c r="T55286" s="135"/>
      <c r="U55286" s="135"/>
    </row>
    <row r="55287" spans="20:21" ht="15" customHeight="1" x14ac:dyDescent="0.25">
      <c r="T55287" s="135"/>
      <c r="U55287" s="135"/>
    </row>
    <row r="55288" spans="20:21" ht="15" customHeight="1" x14ac:dyDescent="0.25">
      <c r="T55288" s="135"/>
      <c r="U55288" s="135"/>
    </row>
    <row r="55289" spans="20:21" ht="15" customHeight="1" x14ac:dyDescent="0.25">
      <c r="T55289" s="135"/>
      <c r="U55289" s="135"/>
    </row>
    <row r="55290" spans="20:21" ht="15" customHeight="1" x14ac:dyDescent="0.25">
      <c r="T55290" s="135"/>
      <c r="U55290" s="135"/>
    </row>
    <row r="55291" spans="20:21" ht="15" customHeight="1" x14ac:dyDescent="0.25">
      <c r="T55291" s="135"/>
      <c r="U55291" s="135"/>
    </row>
    <row r="55292" spans="20:21" ht="15" customHeight="1" x14ac:dyDescent="0.25">
      <c r="T55292" s="135"/>
      <c r="U55292" s="135"/>
    </row>
    <row r="55293" spans="20:21" ht="15" customHeight="1" x14ac:dyDescent="0.25">
      <c r="T55293" s="135"/>
      <c r="U55293" s="135"/>
    </row>
    <row r="55294" spans="20:21" ht="15" customHeight="1" x14ac:dyDescent="0.25">
      <c r="T55294" s="135"/>
      <c r="U55294" s="135"/>
    </row>
    <row r="55295" spans="20:21" ht="15" customHeight="1" x14ac:dyDescent="0.25">
      <c r="T55295" s="135"/>
      <c r="U55295" s="135"/>
    </row>
    <row r="55296" spans="20:21" ht="15" customHeight="1" x14ac:dyDescent="0.25">
      <c r="T55296" s="135"/>
      <c r="U55296" s="135"/>
    </row>
    <row r="55297" spans="20:21" ht="15" customHeight="1" x14ac:dyDescent="0.25">
      <c r="T55297" s="135"/>
      <c r="U55297" s="135"/>
    </row>
    <row r="55298" spans="20:21" ht="15" customHeight="1" x14ac:dyDescent="0.25">
      <c r="T55298" s="135"/>
      <c r="U55298" s="135"/>
    </row>
    <row r="55299" spans="20:21" ht="15" customHeight="1" x14ac:dyDescent="0.25">
      <c r="T55299" s="135"/>
      <c r="U55299" s="135"/>
    </row>
    <row r="55300" spans="20:21" ht="15" customHeight="1" x14ac:dyDescent="0.25">
      <c r="T55300" s="135"/>
      <c r="U55300" s="135"/>
    </row>
    <row r="55301" spans="20:21" ht="15" customHeight="1" x14ac:dyDescent="0.25">
      <c r="T55301" s="135"/>
      <c r="U55301" s="135"/>
    </row>
    <row r="55302" spans="20:21" ht="15" customHeight="1" x14ac:dyDescent="0.25">
      <c r="T55302" s="135"/>
      <c r="U55302" s="135"/>
    </row>
    <row r="55303" spans="20:21" ht="15" customHeight="1" x14ac:dyDescent="0.25">
      <c r="T55303" s="135"/>
      <c r="U55303" s="135"/>
    </row>
    <row r="55304" spans="20:21" ht="15" customHeight="1" x14ac:dyDescent="0.25">
      <c r="T55304" s="135"/>
      <c r="U55304" s="135"/>
    </row>
    <row r="55305" spans="20:21" ht="15" customHeight="1" x14ac:dyDescent="0.25">
      <c r="T55305" s="135"/>
      <c r="U55305" s="135"/>
    </row>
    <row r="55306" spans="20:21" ht="15" customHeight="1" x14ac:dyDescent="0.25">
      <c r="T55306" s="135"/>
      <c r="U55306" s="135"/>
    </row>
    <row r="55307" spans="20:21" ht="15" customHeight="1" x14ac:dyDescent="0.25">
      <c r="T55307" s="135"/>
      <c r="U55307" s="135"/>
    </row>
    <row r="55308" spans="20:21" ht="15" customHeight="1" x14ac:dyDescent="0.25">
      <c r="T55308" s="135"/>
      <c r="U55308" s="135"/>
    </row>
    <row r="55309" spans="20:21" ht="15" customHeight="1" x14ac:dyDescent="0.25">
      <c r="T55309" s="135"/>
      <c r="U55309" s="135"/>
    </row>
    <row r="55310" spans="20:21" ht="15" customHeight="1" x14ac:dyDescent="0.25">
      <c r="T55310" s="135"/>
      <c r="U55310" s="135"/>
    </row>
    <row r="55311" spans="20:21" ht="15" customHeight="1" x14ac:dyDescent="0.25">
      <c r="T55311" s="135"/>
      <c r="U55311" s="135"/>
    </row>
    <row r="55312" spans="20:21" ht="15" customHeight="1" x14ac:dyDescent="0.25">
      <c r="T55312" s="135"/>
      <c r="U55312" s="135"/>
    </row>
    <row r="55313" spans="20:21" ht="15" customHeight="1" x14ac:dyDescent="0.25">
      <c r="T55313" s="135"/>
      <c r="U55313" s="135"/>
    </row>
    <row r="55314" spans="20:21" ht="15" customHeight="1" x14ac:dyDescent="0.25">
      <c r="T55314" s="135"/>
      <c r="U55314" s="135"/>
    </row>
    <row r="55315" spans="20:21" ht="15" customHeight="1" x14ac:dyDescent="0.25">
      <c r="T55315" s="135"/>
      <c r="U55315" s="135"/>
    </row>
    <row r="55316" spans="20:21" ht="15" customHeight="1" x14ac:dyDescent="0.25">
      <c r="T55316" s="135"/>
      <c r="U55316" s="135"/>
    </row>
    <row r="55317" spans="20:21" ht="15" customHeight="1" x14ac:dyDescent="0.25">
      <c r="T55317" s="135"/>
      <c r="U55317" s="135"/>
    </row>
    <row r="55318" spans="20:21" ht="15" customHeight="1" x14ac:dyDescent="0.25">
      <c r="T55318" s="135"/>
      <c r="U55318" s="135"/>
    </row>
    <row r="55319" spans="20:21" ht="15" customHeight="1" x14ac:dyDescent="0.25">
      <c r="T55319" s="135"/>
      <c r="U55319" s="135"/>
    </row>
    <row r="55320" spans="20:21" ht="15" customHeight="1" x14ac:dyDescent="0.25">
      <c r="T55320" s="135"/>
      <c r="U55320" s="135"/>
    </row>
    <row r="55321" spans="20:21" ht="15" customHeight="1" x14ac:dyDescent="0.25">
      <c r="T55321" s="135"/>
      <c r="U55321" s="135"/>
    </row>
    <row r="55322" spans="20:21" ht="15" customHeight="1" x14ac:dyDescent="0.25">
      <c r="T55322" s="135"/>
      <c r="U55322" s="135"/>
    </row>
    <row r="55323" spans="20:21" ht="15" customHeight="1" x14ac:dyDescent="0.25">
      <c r="T55323" s="135"/>
      <c r="U55323" s="135"/>
    </row>
    <row r="55324" spans="20:21" ht="15" customHeight="1" x14ac:dyDescent="0.25">
      <c r="T55324" s="135"/>
      <c r="U55324" s="135"/>
    </row>
    <row r="55325" spans="20:21" ht="15" customHeight="1" x14ac:dyDescent="0.25">
      <c r="T55325" s="135"/>
      <c r="U55325" s="135"/>
    </row>
    <row r="55326" spans="20:21" ht="15" customHeight="1" x14ac:dyDescent="0.25">
      <c r="T55326" s="135"/>
      <c r="U55326" s="135"/>
    </row>
    <row r="55327" spans="20:21" ht="15" customHeight="1" x14ac:dyDescent="0.25">
      <c r="T55327" s="135"/>
      <c r="U55327" s="135"/>
    </row>
    <row r="55328" spans="20:21" ht="15" customHeight="1" x14ac:dyDescent="0.25">
      <c r="T55328" s="135"/>
      <c r="U55328" s="135"/>
    </row>
    <row r="55329" spans="20:21" ht="15" customHeight="1" x14ac:dyDescent="0.25">
      <c r="T55329" s="135"/>
      <c r="U55329" s="135"/>
    </row>
    <row r="55330" spans="20:21" ht="15" customHeight="1" x14ac:dyDescent="0.25">
      <c r="T55330" s="135"/>
      <c r="U55330" s="135"/>
    </row>
    <row r="55331" spans="20:21" ht="15" customHeight="1" x14ac:dyDescent="0.25">
      <c r="T55331" s="135"/>
      <c r="U55331" s="135"/>
    </row>
    <row r="55332" spans="20:21" ht="15" customHeight="1" x14ac:dyDescent="0.25">
      <c r="T55332" s="135"/>
      <c r="U55332" s="135"/>
    </row>
    <row r="55333" spans="20:21" ht="15" customHeight="1" x14ac:dyDescent="0.25">
      <c r="T55333" s="135"/>
      <c r="U55333" s="135"/>
    </row>
    <row r="55334" spans="20:21" ht="15" customHeight="1" x14ac:dyDescent="0.25">
      <c r="T55334" s="135"/>
      <c r="U55334" s="135"/>
    </row>
    <row r="55335" spans="20:21" ht="15" customHeight="1" x14ac:dyDescent="0.25">
      <c r="T55335" s="135"/>
      <c r="U55335" s="135"/>
    </row>
    <row r="55336" spans="20:21" ht="15" customHeight="1" x14ac:dyDescent="0.25">
      <c r="T55336" s="135"/>
      <c r="U55336" s="135"/>
    </row>
    <row r="55337" spans="20:21" ht="15" customHeight="1" x14ac:dyDescent="0.25">
      <c r="T55337" s="135"/>
      <c r="U55337" s="135"/>
    </row>
    <row r="55338" spans="20:21" ht="15" customHeight="1" x14ac:dyDescent="0.25">
      <c r="T55338" s="135"/>
      <c r="U55338" s="135"/>
    </row>
    <row r="55339" spans="20:21" ht="15" customHeight="1" x14ac:dyDescent="0.25">
      <c r="T55339" s="135"/>
      <c r="U55339" s="135"/>
    </row>
    <row r="55340" spans="20:21" ht="15" customHeight="1" x14ac:dyDescent="0.25">
      <c r="T55340" s="135"/>
      <c r="U55340" s="135"/>
    </row>
    <row r="55341" spans="20:21" ht="15" customHeight="1" x14ac:dyDescent="0.25">
      <c r="T55341" s="135"/>
      <c r="U55341" s="135"/>
    </row>
    <row r="55342" spans="20:21" ht="15" customHeight="1" x14ac:dyDescent="0.25">
      <c r="T55342" s="135"/>
      <c r="U55342" s="135"/>
    </row>
    <row r="55343" spans="20:21" ht="15" customHeight="1" x14ac:dyDescent="0.25">
      <c r="T55343" s="135"/>
      <c r="U55343" s="135"/>
    </row>
    <row r="55344" spans="20:21" ht="15" customHeight="1" x14ac:dyDescent="0.25">
      <c r="T55344" s="135"/>
      <c r="U55344" s="135"/>
    </row>
    <row r="55345" spans="20:21" ht="15" customHeight="1" x14ac:dyDescent="0.25">
      <c r="T55345" s="135"/>
      <c r="U55345" s="135"/>
    </row>
    <row r="55346" spans="20:21" ht="15" customHeight="1" x14ac:dyDescent="0.25">
      <c r="T55346" s="135"/>
      <c r="U55346" s="135"/>
    </row>
    <row r="55347" spans="20:21" ht="15" customHeight="1" x14ac:dyDescent="0.25">
      <c r="T55347" s="135"/>
      <c r="U55347" s="135"/>
    </row>
    <row r="55348" spans="20:21" ht="15" customHeight="1" x14ac:dyDescent="0.25">
      <c r="T55348" s="135"/>
      <c r="U55348" s="135"/>
    </row>
    <row r="55349" spans="20:21" ht="15" customHeight="1" x14ac:dyDescent="0.25">
      <c r="T55349" s="135"/>
      <c r="U55349" s="135"/>
    </row>
    <row r="55350" spans="20:21" ht="15" customHeight="1" x14ac:dyDescent="0.25">
      <c r="T55350" s="135"/>
      <c r="U55350" s="135"/>
    </row>
    <row r="55351" spans="20:21" ht="15" customHeight="1" x14ac:dyDescent="0.25">
      <c r="T55351" s="135"/>
      <c r="U55351" s="135"/>
    </row>
    <row r="55352" spans="20:21" ht="15" customHeight="1" x14ac:dyDescent="0.25">
      <c r="T55352" s="135"/>
      <c r="U55352" s="135"/>
    </row>
    <row r="55353" spans="20:21" ht="15" customHeight="1" x14ac:dyDescent="0.25">
      <c r="T55353" s="135"/>
      <c r="U55353" s="135"/>
    </row>
    <row r="55354" spans="20:21" ht="15" customHeight="1" x14ac:dyDescent="0.25">
      <c r="T55354" s="135"/>
      <c r="U55354" s="135"/>
    </row>
    <row r="55355" spans="20:21" ht="15" customHeight="1" x14ac:dyDescent="0.25">
      <c r="T55355" s="135"/>
      <c r="U55355" s="135"/>
    </row>
    <row r="55356" spans="20:21" ht="15" customHeight="1" x14ac:dyDescent="0.25">
      <c r="T55356" s="135"/>
      <c r="U55356" s="135"/>
    </row>
    <row r="55357" spans="20:21" ht="15" customHeight="1" x14ac:dyDescent="0.25">
      <c r="T55357" s="135"/>
      <c r="U55357" s="135"/>
    </row>
    <row r="55358" spans="20:21" ht="15" customHeight="1" x14ac:dyDescent="0.25">
      <c r="T55358" s="135"/>
      <c r="U55358" s="135"/>
    </row>
    <row r="55359" spans="20:21" ht="15" customHeight="1" x14ac:dyDescent="0.25">
      <c r="T55359" s="135"/>
      <c r="U55359" s="135"/>
    </row>
    <row r="55360" spans="20:21" ht="15" customHeight="1" x14ac:dyDescent="0.25">
      <c r="T55360" s="135"/>
      <c r="U55360" s="135"/>
    </row>
    <row r="55361" spans="20:21" ht="15" customHeight="1" x14ac:dyDescent="0.25">
      <c r="T55361" s="135"/>
      <c r="U55361" s="135"/>
    </row>
    <row r="55362" spans="20:21" ht="15" customHeight="1" x14ac:dyDescent="0.25">
      <c r="T55362" s="135"/>
      <c r="U55362" s="135"/>
    </row>
    <row r="55363" spans="20:21" ht="15" customHeight="1" x14ac:dyDescent="0.25">
      <c r="T55363" s="135"/>
      <c r="U55363" s="135"/>
    </row>
    <row r="55364" spans="20:21" ht="15" customHeight="1" x14ac:dyDescent="0.25">
      <c r="T55364" s="135"/>
      <c r="U55364" s="135"/>
    </row>
    <row r="55365" spans="20:21" ht="15" customHeight="1" x14ac:dyDescent="0.25">
      <c r="T55365" s="135"/>
      <c r="U55365" s="135"/>
    </row>
    <row r="55366" spans="20:21" ht="15" customHeight="1" x14ac:dyDescent="0.25">
      <c r="T55366" s="135"/>
      <c r="U55366" s="135"/>
    </row>
    <row r="55367" spans="20:21" ht="15" customHeight="1" x14ac:dyDescent="0.25">
      <c r="T55367" s="135"/>
      <c r="U55367" s="135"/>
    </row>
    <row r="55368" spans="20:21" ht="15" customHeight="1" x14ac:dyDescent="0.25">
      <c r="T55368" s="135"/>
      <c r="U55368" s="135"/>
    </row>
    <row r="55369" spans="20:21" ht="15" customHeight="1" x14ac:dyDescent="0.25">
      <c r="T55369" s="135"/>
      <c r="U55369" s="135"/>
    </row>
    <row r="55370" spans="20:21" ht="15" customHeight="1" x14ac:dyDescent="0.25">
      <c r="T55370" s="135"/>
      <c r="U55370" s="135"/>
    </row>
    <row r="55371" spans="20:21" ht="15" customHeight="1" x14ac:dyDescent="0.25">
      <c r="T55371" s="135"/>
      <c r="U55371" s="135"/>
    </row>
    <row r="55372" spans="20:21" ht="15" customHeight="1" x14ac:dyDescent="0.25">
      <c r="T55372" s="135"/>
      <c r="U55372" s="135"/>
    </row>
    <row r="55373" spans="20:21" ht="15" customHeight="1" x14ac:dyDescent="0.25">
      <c r="T55373" s="135"/>
      <c r="U55373" s="135"/>
    </row>
    <row r="55374" spans="20:21" ht="15" customHeight="1" x14ac:dyDescent="0.25">
      <c r="T55374" s="135"/>
      <c r="U55374" s="135"/>
    </row>
    <row r="55375" spans="20:21" ht="15" customHeight="1" x14ac:dyDescent="0.25">
      <c r="T55375" s="135"/>
      <c r="U55375" s="135"/>
    </row>
    <row r="55376" spans="20:21" ht="15" customHeight="1" x14ac:dyDescent="0.25">
      <c r="T55376" s="135"/>
      <c r="U55376" s="135"/>
    </row>
    <row r="55377" spans="20:21" ht="15" customHeight="1" x14ac:dyDescent="0.25">
      <c r="T55377" s="135"/>
      <c r="U55377" s="135"/>
    </row>
    <row r="55378" spans="20:21" ht="15" customHeight="1" x14ac:dyDescent="0.25">
      <c r="T55378" s="135"/>
      <c r="U55378" s="135"/>
    </row>
    <row r="55379" spans="20:21" ht="15" customHeight="1" x14ac:dyDescent="0.25">
      <c r="T55379" s="135"/>
      <c r="U55379" s="135"/>
    </row>
    <row r="55380" spans="20:21" ht="15" customHeight="1" x14ac:dyDescent="0.25">
      <c r="T55380" s="135"/>
      <c r="U55380" s="135"/>
    </row>
    <row r="55381" spans="20:21" ht="15" customHeight="1" x14ac:dyDescent="0.25">
      <c r="T55381" s="135"/>
      <c r="U55381" s="135"/>
    </row>
    <row r="55382" spans="20:21" ht="15" customHeight="1" x14ac:dyDescent="0.25">
      <c r="T55382" s="135"/>
      <c r="U55382" s="135"/>
    </row>
    <row r="55383" spans="20:21" ht="15" customHeight="1" x14ac:dyDescent="0.25">
      <c r="T55383" s="135"/>
      <c r="U55383" s="135"/>
    </row>
    <row r="55384" spans="20:21" ht="15" customHeight="1" x14ac:dyDescent="0.25">
      <c r="T55384" s="135"/>
      <c r="U55384" s="135"/>
    </row>
    <row r="55385" spans="20:21" ht="15" customHeight="1" x14ac:dyDescent="0.25">
      <c r="T55385" s="135"/>
      <c r="U55385" s="135"/>
    </row>
    <row r="55386" spans="20:21" ht="15" customHeight="1" x14ac:dyDescent="0.25">
      <c r="T55386" s="135"/>
      <c r="U55386" s="135"/>
    </row>
    <row r="55387" spans="20:21" ht="15" customHeight="1" x14ac:dyDescent="0.25">
      <c r="T55387" s="135"/>
      <c r="U55387" s="135"/>
    </row>
    <row r="55388" spans="20:21" ht="15" customHeight="1" x14ac:dyDescent="0.25">
      <c r="T55388" s="135"/>
      <c r="U55388" s="135"/>
    </row>
    <row r="55389" spans="20:21" ht="15" customHeight="1" x14ac:dyDescent="0.25">
      <c r="T55389" s="135"/>
      <c r="U55389" s="135"/>
    </row>
    <row r="55390" spans="20:21" ht="15" customHeight="1" x14ac:dyDescent="0.25">
      <c r="T55390" s="135"/>
      <c r="U55390" s="135"/>
    </row>
    <row r="55391" spans="20:21" ht="15" customHeight="1" x14ac:dyDescent="0.25">
      <c r="T55391" s="135"/>
      <c r="U55391" s="135"/>
    </row>
    <row r="55392" spans="20:21" ht="15" customHeight="1" x14ac:dyDescent="0.25">
      <c r="T55392" s="135"/>
      <c r="U55392" s="135"/>
    </row>
    <row r="55393" spans="20:21" ht="15" customHeight="1" x14ac:dyDescent="0.25">
      <c r="T55393" s="135"/>
      <c r="U55393" s="135"/>
    </row>
    <row r="55394" spans="20:21" ht="15" customHeight="1" x14ac:dyDescent="0.25">
      <c r="T55394" s="135"/>
      <c r="U55394" s="135"/>
    </row>
    <row r="55395" spans="20:21" ht="15" customHeight="1" x14ac:dyDescent="0.25">
      <c r="T55395" s="135"/>
      <c r="U55395" s="135"/>
    </row>
    <row r="55396" spans="20:21" ht="15" customHeight="1" x14ac:dyDescent="0.25">
      <c r="T55396" s="135"/>
      <c r="U55396" s="135"/>
    </row>
    <row r="55397" spans="20:21" ht="15" customHeight="1" x14ac:dyDescent="0.25">
      <c r="T55397" s="135"/>
      <c r="U55397" s="135"/>
    </row>
    <row r="55398" spans="20:21" ht="15" customHeight="1" x14ac:dyDescent="0.25">
      <c r="T55398" s="135"/>
      <c r="U55398" s="135"/>
    </row>
    <row r="55399" spans="20:21" ht="15" customHeight="1" x14ac:dyDescent="0.25">
      <c r="T55399" s="135"/>
      <c r="U55399" s="135"/>
    </row>
    <row r="55400" spans="20:21" ht="15" customHeight="1" x14ac:dyDescent="0.25">
      <c r="T55400" s="135"/>
      <c r="U55400" s="135"/>
    </row>
    <row r="55401" spans="20:21" ht="15" customHeight="1" x14ac:dyDescent="0.25">
      <c r="T55401" s="135"/>
      <c r="U55401" s="135"/>
    </row>
    <row r="55402" spans="20:21" ht="15" customHeight="1" x14ac:dyDescent="0.25">
      <c r="T55402" s="135"/>
      <c r="U55402" s="135"/>
    </row>
    <row r="55403" spans="20:21" ht="15" customHeight="1" x14ac:dyDescent="0.25">
      <c r="T55403" s="135"/>
      <c r="U55403" s="135"/>
    </row>
    <row r="55404" spans="20:21" ht="15" customHeight="1" x14ac:dyDescent="0.25">
      <c r="T55404" s="135"/>
      <c r="U55404" s="135"/>
    </row>
    <row r="55405" spans="20:21" ht="15" customHeight="1" x14ac:dyDescent="0.25">
      <c r="T55405" s="135"/>
      <c r="U55405" s="135"/>
    </row>
    <row r="55406" spans="20:21" ht="15" customHeight="1" x14ac:dyDescent="0.25">
      <c r="T55406" s="135"/>
      <c r="U55406" s="135"/>
    </row>
    <row r="55407" spans="20:21" ht="15" customHeight="1" x14ac:dyDescent="0.25">
      <c r="T55407" s="135"/>
      <c r="U55407" s="135"/>
    </row>
    <row r="55408" spans="20:21" ht="15" customHeight="1" x14ac:dyDescent="0.25">
      <c r="T55408" s="135"/>
      <c r="U55408" s="135"/>
    </row>
    <row r="55409" spans="20:21" ht="15" customHeight="1" x14ac:dyDescent="0.25">
      <c r="T55409" s="135"/>
      <c r="U55409" s="135"/>
    </row>
    <row r="55410" spans="20:21" ht="15" customHeight="1" x14ac:dyDescent="0.25">
      <c r="T55410" s="135"/>
      <c r="U55410" s="135"/>
    </row>
    <row r="55411" spans="20:21" ht="15" customHeight="1" x14ac:dyDescent="0.25">
      <c r="T55411" s="135"/>
      <c r="U55411" s="135"/>
    </row>
    <row r="55412" spans="20:21" ht="15" customHeight="1" x14ac:dyDescent="0.25">
      <c r="T55412" s="135"/>
      <c r="U55412" s="135"/>
    </row>
    <row r="55413" spans="20:21" ht="15" customHeight="1" x14ac:dyDescent="0.25">
      <c r="T55413" s="135"/>
      <c r="U55413" s="135"/>
    </row>
    <row r="55414" spans="20:21" ht="15" customHeight="1" x14ac:dyDescent="0.25">
      <c r="T55414" s="135"/>
      <c r="U55414" s="135"/>
    </row>
    <row r="55415" spans="20:21" ht="15" customHeight="1" x14ac:dyDescent="0.25">
      <c r="T55415" s="135"/>
      <c r="U55415" s="135"/>
    </row>
    <row r="55416" spans="20:21" ht="15" customHeight="1" x14ac:dyDescent="0.25">
      <c r="T55416" s="135"/>
      <c r="U55416" s="135"/>
    </row>
    <row r="55417" spans="20:21" ht="15" customHeight="1" x14ac:dyDescent="0.25">
      <c r="T55417" s="135"/>
      <c r="U55417" s="135"/>
    </row>
    <row r="55418" spans="20:21" ht="15" customHeight="1" x14ac:dyDescent="0.25">
      <c r="T55418" s="135"/>
      <c r="U55418" s="135"/>
    </row>
    <row r="55419" spans="20:21" ht="15" customHeight="1" x14ac:dyDescent="0.25">
      <c r="T55419" s="135"/>
      <c r="U55419" s="135"/>
    </row>
    <row r="55420" spans="20:21" ht="15" customHeight="1" x14ac:dyDescent="0.25">
      <c r="T55420" s="135"/>
      <c r="U55420" s="135"/>
    </row>
    <row r="55421" spans="20:21" ht="15" customHeight="1" x14ac:dyDescent="0.25">
      <c r="T55421" s="135"/>
      <c r="U55421" s="135"/>
    </row>
    <row r="55422" spans="20:21" ht="15" customHeight="1" x14ac:dyDescent="0.25">
      <c r="T55422" s="135"/>
      <c r="U55422" s="135"/>
    </row>
    <row r="55423" spans="20:21" ht="15" customHeight="1" x14ac:dyDescent="0.25">
      <c r="T55423" s="135"/>
      <c r="U55423" s="135"/>
    </row>
    <row r="55424" spans="20:21" ht="15" customHeight="1" x14ac:dyDescent="0.25">
      <c r="T55424" s="135"/>
      <c r="U55424" s="135"/>
    </row>
    <row r="55425" spans="20:21" ht="15" customHeight="1" x14ac:dyDescent="0.25">
      <c r="T55425" s="135"/>
      <c r="U55425" s="135"/>
    </row>
    <row r="55426" spans="20:21" ht="15" customHeight="1" x14ac:dyDescent="0.25">
      <c r="T55426" s="135"/>
      <c r="U55426" s="135"/>
    </row>
    <row r="55427" spans="20:21" ht="15" customHeight="1" x14ac:dyDescent="0.25">
      <c r="T55427" s="135"/>
      <c r="U55427" s="135"/>
    </row>
    <row r="55428" spans="20:21" ht="15" customHeight="1" x14ac:dyDescent="0.25">
      <c r="T55428" s="135"/>
      <c r="U55428" s="135"/>
    </row>
    <row r="55429" spans="20:21" ht="15" customHeight="1" x14ac:dyDescent="0.25">
      <c r="T55429" s="135"/>
      <c r="U55429" s="135"/>
    </row>
    <row r="55430" spans="20:21" ht="15" customHeight="1" x14ac:dyDescent="0.25">
      <c r="T55430" s="135"/>
      <c r="U55430" s="135"/>
    </row>
    <row r="55431" spans="20:21" ht="15" customHeight="1" x14ac:dyDescent="0.25">
      <c r="T55431" s="135"/>
      <c r="U55431" s="135"/>
    </row>
    <row r="55432" spans="20:21" ht="15" customHeight="1" x14ac:dyDescent="0.25">
      <c r="T55432" s="135"/>
      <c r="U55432" s="135"/>
    </row>
    <row r="55433" spans="20:21" ht="15" customHeight="1" x14ac:dyDescent="0.25">
      <c r="T55433" s="135"/>
      <c r="U55433" s="135"/>
    </row>
    <row r="55434" spans="20:21" ht="15" customHeight="1" x14ac:dyDescent="0.25">
      <c r="T55434" s="135"/>
      <c r="U55434" s="135"/>
    </row>
    <row r="55435" spans="20:21" ht="15" customHeight="1" x14ac:dyDescent="0.25">
      <c r="T55435" s="135"/>
      <c r="U55435" s="135"/>
    </row>
    <row r="55436" spans="20:21" ht="15" customHeight="1" x14ac:dyDescent="0.25">
      <c r="T55436" s="135"/>
      <c r="U55436" s="135"/>
    </row>
    <row r="55437" spans="20:21" ht="15" customHeight="1" x14ac:dyDescent="0.25">
      <c r="T55437" s="135"/>
      <c r="U55437" s="135"/>
    </row>
    <row r="55438" spans="20:21" ht="15" customHeight="1" x14ac:dyDescent="0.25">
      <c r="T55438" s="135"/>
      <c r="U55438" s="135"/>
    </row>
    <row r="55439" spans="20:21" ht="15" customHeight="1" x14ac:dyDescent="0.25">
      <c r="T55439" s="135"/>
      <c r="U55439" s="135"/>
    </row>
    <row r="55440" spans="20:21" ht="15" customHeight="1" x14ac:dyDescent="0.25">
      <c r="T55440" s="135"/>
      <c r="U55440" s="135"/>
    </row>
    <row r="55441" spans="20:21" ht="15" customHeight="1" x14ac:dyDescent="0.25">
      <c r="T55441" s="135"/>
      <c r="U55441" s="135"/>
    </row>
    <row r="55442" spans="20:21" ht="15" customHeight="1" x14ac:dyDescent="0.25">
      <c r="T55442" s="135"/>
      <c r="U55442" s="135"/>
    </row>
    <row r="55443" spans="20:21" ht="15" customHeight="1" x14ac:dyDescent="0.25">
      <c r="T55443" s="135"/>
      <c r="U55443" s="135"/>
    </row>
    <row r="55444" spans="20:21" ht="15" customHeight="1" x14ac:dyDescent="0.25">
      <c r="T55444" s="135"/>
      <c r="U55444" s="135"/>
    </row>
    <row r="55445" spans="20:21" ht="15" customHeight="1" x14ac:dyDescent="0.25">
      <c r="T55445" s="135"/>
      <c r="U55445" s="135"/>
    </row>
    <row r="55446" spans="20:21" ht="15" customHeight="1" x14ac:dyDescent="0.25">
      <c r="T55446" s="135"/>
      <c r="U55446" s="135"/>
    </row>
    <row r="55447" spans="20:21" ht="15" customHeight="1" x14ac:dyDescent="0.25">
      <c r="T55447" s="135"/>
      <c r="U55447" s="135"/>
    </row>
    <row r="55448" spans="20:21" ht="15" customHeight="1" x14ac:dyDescent="0.25">
      <c r="T55448" s="135"/>
      <c r="U55448" s="135"/>
    </row>
    <row r="55449" spans="20:21" ht="15" customHeight="1" x14ac:dyDescent="0.25">
      <c r="T55449" s="135"/>
      <c r="U55449" s="135"/>
    </row>
    <row r="55450" spans="20:21" ht="15" customHeight="1" x14ac:dyDescent="0.25">
      <c r="T55450" s="135"/>
      <c r="U55450" s="135"/>
    </row>
    <row r="55451" spans="20:21" ht="15" customHeight="1" x14ac:dyDescent="0.25">
      <c r="T55451" s="135"/>
      <c r="U55451" s="135"/>
    </row>
    <row r="55452" spans="20:21" ht="15" customHeight="1" x14ac:dyDescent="0.25">
      <c r="T55452" s="135"/>
      <c r="U55452" s="135"/>
    </row>
    <row r="55453" spans="20:21" ht="15" customHeight="1" x14ac:dyDescent="0.25">
      <c r="T55453" s="135"/>
      <c r="U55453" s="135"/>
    </row>
    <row r="55454" spans="20:21" ht="15" customHeight="1" x14ac:dyDescent="0.25">
      <c r="T55454" s="135"/>
      <c r="U55454" s="135"/>
    </row>
    <row r="55455" spans="20:21" ht="15" customHeight="1" x14ac:dyDescent="0.25">
      <c r="T55455" s="135"/>
      <c r="U55455" s="135"/>
    </row>
    <row r="55456" spans="20:21" ht="15" customHeight="1" x14ac:dyDescent="0.25">
      <c r="T55456" s="135"/>
      <c r="U55456" s="135"/>
    </row>
    <row r="55457" spans="20:21" ht="15" customHeight="1" x14ac:dyDescent="0.25">
      <c r="T55457" s="135"/>
      <c r="U55457" s="135"/>
    </row>
    <row r="55458" spans="20:21" ht="15" customHeight="1" x14ac:dyDescent="0.25">
      <c r="T55458" s="135"/>
      <c r="U55458" s="135"/>
    </row>
    <row r="55459" spans="20:21" ht="15" customHeight="1" x14ac:dyDescent="0.25">
      <c r="T55459" s="135"/>
      <c r="U55459" s="135"/>
    </row>
    <row r="55460" spans="20:21" ht="15" customHeight="1" x14ac:dyDescent="0.25">
      <c r="T55460" s="135"/>
      <c r="U55460" s="135"/>
    </row>
    <row r="55461" spans="20:21" ht="15" customHeight="1" x14ac:dyDescent="0.25">
      <c r="T55461" s="135"/>
      <c r="U55461" s="135"/>
    </row>
    <row r="55462" spans="20:21" ht="15" customHeight="1" x14ac:dyDescent="0.25">
      <c r="T55462" s="135"/>
      <c r="U55462" s="135"/>
    </row>
    <row r="55463" spans="20:21" ht="15" customHeight="1" x14ac:dyDescent="0.25">
      <c r="T55463" s="135"/>
      <c r="U55463" s="135"/>
    </row>
    <row r="55464" spans="20:21" ht="15" customHeight="1" x14ac:dyDescent="0.25">
      <c r="T55464" s="135"/>
      <c r="U55464" s="135"/>
    </row>
    <row r="55465" spans="20:21" ht="15" customHeight="1" x14ac:dyDescent="0.25">
      <c r="T55465" s="135"/>
      <c r="U55465" s="135"/>
    </row>
    <row r="55466" spans="20:21" ht="15" customHeight="1" x14ac:dyDescent="0.25">
      <c r="T55466" s="135"/>
      <c r="U55466" s="135"/>
    </row>
    <row r="55467" spans="20:21" ht="15" customHeight="1" x14ac:dyDescent="0.25">
      <c r="T55467" s="135"/>
      <c r="U55467" s="135"/>
    </row>
    <row r="55468" spans="20:21" ht="15" customHeight="1" x14ac:dyDescent="0.25">
      <c r="T55468" s="135"/>
      <c r="U55468" s="135"/>
    </row>
    <row r="55469" spans="20:21" ht="15" customHeight="1" x14ac:dyDescent="0.25">
      <c r="T55469" s="135"/>
      <c r="U55469" s="135"/>
    </row>
    <row r="55470" spans="20:21" ht="15" customHeight="1" x14ac:dyDescent="0.25">
      <c r="T55470" s="135"/>
      <c r="U55470" s="135"/>
    </row>
    <row r="55471" spans="20:21" ht="15" customHeight="1" x14ac:dyDescent="0.25">
      <c r="T55471" s="135"/>
      <c r="U55471" s="135"/>
    </row>
    <row r="55472" spans="20:21" ht="15" customHeight="1" x14ac:dyDescent="0.25">
      <c r="T55472" s="135"/>
      <c r="U55472" s="135"/>
    </row>
    <row r="55473" spans="20:21" ht="15" customHeight="1" x14ac:dyDescent="0.25">
      <c r="T55473" s="135"/>
      <c r="U55473" s="135"/>
    </row>
    <row r="55474" spans="20:21" ht="15" customHeight="1" x14ac:dyDescent="0.25">
      <c r="T55474" s="135"/>
      <c r="U55474" s="135"/>
    </row>
    <row r="55475" spans="20:21" ht="15" customHeight="1" x14ac:dyDescent="0.25">
      <c r="T55475" s="135"/>
      <c r="U55475" s="135"/>
    </row>
    <row r="55476" spans="20:21" ht="15" customHeight="1" x14ac:dyDescent="0.25">
      <c r="T55476" s="135"/>
      <c r="U55476" s="135"/>
    </row>
    <row r="55477" spans="20:21" ht="15" customHeight="1" x14ac:dyDescent="0.25">
      <c r="T55477" s="135"/>
      <c r="U55477" s="135"/>
    </row>
    <row r="55478" spans="20:21" ht="15" customHeight="1" x14ac:dyDescent="0.25">
      <c r="T55478" s="135"/>
      <c r="U55478" s="135"/>
    </row>
    <row r="55479" spans="20:21" ht="15" customHeight="1" x14ac:dyDescent="0.25">
      <c r="T55479" s="135"/>
      <c r="U55479" s="135"/>
    </row>
    <row r="55480" spans="20:21" ht="15" customHeight="1" x14ac:dyDescent="0.25">
      <c r="T55480" s="135"/>
      <c r="U55480" s="135"/>
    </row>
    <row r="55481" spans="20:21" ht="15" customHeight="1" x14ac:dyDescent="0.25">
      <c r="T55481" s="135"/>
      <c r="U55481" s="135"/>
    </row>
    <row r="55482" spans="20:21" ht="15" customHeight="1" x14ac:dyDescent="0.25">
      <c r="T55482" s="135"/>
      <c r="U55482" s="135"/>
    </row>
    <row r="55483" spans="20:21" ht="15" customHeight="1" x14ac:dyDescent="0.25">
      <c r="T55483" s="135"/>
      <c r="U55483" s="135"/>
    </row>
    <row r="55484" spans="20:21" ht="15" customHeight="1" x14ac:dyDescent="0.25">
      <c r="T55484" s="135"/>
      <c r="U55484" s="135"/>
    </row>
    <row r="55485" spans="20:21" ht="15" customHeight="1" x14ac:dyDescent="0.25">
      <c r="T55485" s="135"/>
      <c r="U55485" s="135"/>
    </row>
    <row r="55486" spans="20:21" ht="15" customHeight="1" x14ac:dyDescent="0.25">
      <c r="T55486" s="135"/>
      <c r="U55486" s="135"/>
    </row>
    <row r="55487" spans="20:21" ht="15" customHeight="1" x14ac:dyDescent="0.25">
      <c r="T55487" s="135"/>
      <c r="U55487" s="135"/>
    </row>
    <row r="55488" spans="20:21" ht="15" customHeight="1" x14ac:dyDescent="0.25">
      <c r="T55488" s="135"/>
      <c r="U55488" s="135"/>
    </row>
    <row r="55489" spans="20:21" ht="15" customHeight="1" x14ac:dyDescent="0.25">
      <c r="T55489" s="135"/>
      <c r="U55489" s="135"/>
    </row>
    <row r="55490" spans="20:21" ht="15" customHeight="1" x14ac:dyDescent="0.25">
      <c r="T55490" s="135"/>
      <c r="U55490" s="135"/>
    </row>
    <row r="55491" spans="20:21" ht="15" customHeight="1" x14ac:dyDescent="0.25">
      <c r="T55491" s="135"/>
      <c r="U55491" s="135"/>
    </row>
    <row r="55492" spans="20:21" ht="15" customHeight="1" x14ac:dyDescent="0.25">
      <c r="T55492" s="135"/>
      <c r="U55492" s="135"/>
    </row>
    <row r="55493" spans="20:21" ht="15" customHeight="1" x14ac:dyDescent="0.25">
      <c r="T55493" s="135"/>
      <c r="U55493" s="135"/>
    </row>
    <row r="55494" spans="20:21" ht="15" customHeight="1" x14ac:dyDescent="0.25">
      <c r="T55494" s="135"/>
      <c r="U55494" s="135"/>
    </row>
    <row r="55495" spans="20:21" ht="15" customHeight="1" x14ac:dyDescent="0.25">
      <c r="T55495" s="135"/>
      <c r="U55495" s="135"/>
    </row>
    <row r="55496" spans="20:21" ht="15" customHeight="1" x14ac:dyDescent="0.25">
      <c r="T55496" s="135"/>
      <c r="U55496" s="135"/>
    </row>
    <row r="55497" spans="20:21" ht="15" customHeight="1" x14ac:dyDescent="0.25">
      <c r="T55497" s="135"/>
      <c r="U55497" s="135"/>
    </row>
    <row r="55498" spans="20:21" ht="15" customHeight="1" x14ac:dyDescent="0.25">
      <c r="T55498" s="135"/>
      <c r="U55498" s="135"/>
    </row>
    <row r="55499" spans="20:21" ht="15" customHeight="1" x14ac:dyDescent="0.25">
      <c r="T55499" s="135"/>
      <c r="U55499" s="135"/>
    </row>
    <row r="55500" spans="20:21" ht="15" customHeight="1" x14ac:dyDescent="0.25">
      <c r="T55500" s="135"/>
      <c r="U55500" s="135"/>
    </row>
    <row r="55501" spans="20:21" ht="15" customHeight="1" x14ac:dyDescent="0.25">
      <c r="T55501" s="135"/>
      <c r="U55501" s="135"/>
    </row>
    <row r="55502" spans="20:21" ht="15" customHeight="1" x14ac:dyDescent="0.25">
      <c r="T55502" s="135"/>
      <c r="U55502" s="135"/>
    </row>
    <row r="55503" spans="20:21" ht="15" customHeight="1" x14ac:dyDescent="0.25">
      <c r="T55503" s="135"/>
      <c r="U55503" s="135"/>
    </row>
    <row r="55504" spans="20:21" ht="15" customHeight="1" x14ac:dyDescent="0.25">
      <c r="T55504" s="135"/>
      <c r="U55504" s="135"/>
    </row>
    <row r="55505" spans="20:21" ht="15" customHeight="1" x14ac:dyDescent="0.25">
      <c r="T55505" s="135"/>
      <c r="U55505" s="135"/>
    </row>
    <row r="55506" spans="20:21" ht="15" customHeight="1" x14ac:dyDescent="0.25">
      <c r="T55506" s="135"/>
      <c r="U55506" s="135"/>
    </row>
    <row r="55507" spans="20:21" ht="15" customHeight="1" x14ac:dyDescent="0.25">
      <c r="T55507" s="135"/>
      <c r="U55507" s="135"/>
    </row>
    <row r="55508" spans="20:21" ht="15" customHeight="1" x14ac:dyDescent="0.25">
      <c r="T55508" s="135"/>
      <c r="U55508" s="135"/>
    </row>
    <row r="55509" spans="20:21" ht="15" customHeight="1" x14ac:dyDescent="0.25">
      <c r="T55509" s="135"/>
      <c r="U55509" s="135"/>
    </row>
    <row r="55510" spans="20:21" ht="15" customHeight="1" x14ac:dyDescent="0.25">
      <c r="T55510" s="135"/>
      <c r="U55510" s="135"/>
    </row>
    <row r="55511" spans="20:21" ht="15" customHeight="1" x14ac:dyDescent="0.25">
      <c r="T55511" s="135"/>
      <c r="U55511" s="135"/>
    </row>
    <row r="55512" spans="20:21" ht="15" customHeight="1" x14ac:dyDescent="0.25">
      <c r="T55512" s="135"/>
      <c r="U55512" s="135"/>
    </row>
    <row r="55513" spans="20:21" ht="15" customHeight="1" x14ac:dyDescent="0.25">
      <c r="T55513" s="135"/>
      <c r="U55513" s="135"/>
    </row>
    <row r="55514" spans="20:21" ht="15" customHeight="1" x14ac:dyDescent="0.25">
      <c r="T55514" s="135"/>
      <c r="U55514" s="135"/>
    </row>
    <row r="55515" spans="20:21" ht="15" customHeight="1" x14ac:dyDescent="0.25">
      <c r="T55515" s="135"/>
      <c r="U55515" s="135"/>
    </row>
    <row r="55516" spans="20:21" ht="15" customHeight="1" x14ac:dyDescent="0.25">
      <c r="T55516" s="135"/>
      <c r="U55516" s="135"/>
    </row>
    <row r="55517" spans="20:21" ht="15" customHeight="1" x14ac:dyDescent="0.25">
      <c r="T55517" s="135"/>
      <c r="U55517" s="135"/>
    </row>
    <row r="55518" spans="20:21" ht="15" customHeight="1" x14ac:dyDescent="0.25">
      <c r="T55518" s="135"/>
      <c r="U55518" s="135"/>
    </row>
    <row r="55519" spans="20:21" ht="15" customHeight="1" x14ac:dyDescent="0.25">
      <c r="T55519" s="135"/>
      <c r="U55519" s="135"/>
    </row>
    <row r="55520" spans="20:21" ht="15" customHeight="1" x14ac:dyDescent="0.25">
      <c r="T55520" s="135"/>
      <c r="U55520" s="135"/>
    </row>
    <row r="55521" spans="20:21" ht="15" customHeight="1" x14ac:dyDescent="0.25">
      <c r="T55521" s="135"/>
      <c r="U55521" s="135"/>
    </row>
    <row r="55522" spans="20:21" ht="15" customHeight="1" x14ac:dyDescent="0.25">
      <c r="T55522" s="135"/>
      <c r="U55522" s="135"/>
    </row>
    <row r="55523" spans="20:21" ht="15" customHeight="1" x14ac:dyDescent="0.25">
      <c r="T55523" s="135"/>
      <c r="U55523" s="135"/>
    </row>
    <row r="55524" spans="20:21" ht="15" customHeight="1" x14ac:dyDescent="0.25">
      <c r="T55524" s="135"/>
      <c r="U55524" s="135"/>
    </row>
    <row r="55525" spans="20:21" ht="15" customHeight="1" x14ac:dyDescent="0.25">
      <c r="T55525" s="135"/>
      <c r="U55525" s="135"/>
    </row>
    <row r="55526" spans="20:21" ht="15" customHeight="1" x14ac:dyDescent="0.25">
      <c r="T55526" s="135"/>
      <c r="U55526" s="135"/>
    </row>
    <row r="55527" spans="20:21" ht="15" customHeight="1" x14ac:dyDescent="0.25">
      <c r="T55527" s="135"/>
      <c r="U55527" s="135"/>
    </row>
    <row r="55528" spans="20:21" ht="15" customHeight="1" x14ac:dyDescent="0.25">
      <c r="T55528" s="135"/>
      <c r="U55528" s="135"/>
    </row>
    <row r="55529" spans="20:21" ht="15" customHeight="1" x14ac:dyDescent="0.25">
      <c r="T55529" s="135"/>
      <c r="U55529" s="135"/>
    </row>
    <row r="55530" spans="20:21" ht="15" customHeight="1" x14ac:dyDescent="0.25">
      <c r="T55530" s="135"/>
      <c r="U55530" s="135"/>
    </row>
    <row r="55531" spans="20:21" ht="15" customHeight="1" x14ac:dyDescent="0.25">
      <c r="T55531" s="135"/>
      <c r="U55531" s="135"/>
    </row>
    <row r="55532" spans="20:21" ht="15" customHeight="1" x14ac:dyDescent="0.25">
      <c r="T55532" s="135"/>
      <c r="U55532" s="135"/>
    </row>
    <row r="55533" spans="20:21" ht="15" customHeight="1" x14ac:dyDescent="0.25">
      <c r="T55533" s="135"/>
      <c r="U55533" s="135"/>
    </row>
    <row r="55534" spans="20:21" ht="15" customHeight="1" x14ac:dyDescent="0.25">
      <c r="T55534" s="135"/>
      <c r="U55534" s="135"/>
    </row>
    <row r="55535" spans="20:21" ht="15" customHeight="1" x14ac:dyDescent="0.25">
      <c r="T55535" s="135"/>
      <c r="U55535" s="135"/>
    </row>
    <row r="55536" spans="20:21" ht="15" customHeight="1" x14ac:dyDescent="0.25">
      <c r="T55536" s="135"/>
      <c r="U55536" s="135"/>
    </row>
    <row r="55537" spans="20:21" ht="15" customHeight="1" x14ac:dyDescent="0.25">
      <c r="T55537" s="135"/>
      <c r="U55537" s="135"/>
    </row>
    <row r="55538" spans="20:21" ht="15" customHeight="1" x14ac:dyDescent="0.25">
      <c r="T55538" s="135"/>
      <c r="U55538" s="135"/>
    </row>
    <row r="55539" spans="20:21" ht="15" customHeight="1" x14ac:dyDescent="0.25">
      <c r="T55539" s="135"/>
      <c r="U55539" s="135"/>
    </row>
    <row r="55540" spans="20:21" ht="15" customHeight="1" x14ac:dyDescent="0.25">
      <c r="T55540" s="135"/>
      <c r="U55540" s="135"/>
    </row>
    <row r="55541" spans="20:21" ht="15" customHeight="1" x14ac:dyDescent="0.25">
      <c r="T55541" s="135"/>
      <c r="U55541" s="135"/>
    </row>
    <row r="55542" spans="20:21" ht="15" customHeight="1" x14ac:dyDescent="0.25">
      <c r="T55542" s="135"/>
      <c r="U55542" s="135"/>
    </row>
    <row r="55543" spans="20:21" ht="15" customHeight="1" x14ac:dyDescent="0.25">
      <c r="T55543" s="135"/>
      <c r="U55543" s="135"/>
    </row>
    <row r="55544" spans="20:21" ht="15" customHeight="1" x14ac:dyDescent="0.25">
      <c r="T55544" s="135"/>
      <c r="U55544" s="135"/>
    </row>
    <row r="55545" spans="20:21" ht="15" customHeight="1" x14ac:dyDescent="0.25">
      <c r="T55545" s="135"/>
      <c r="U55545" s="135"/>
    </row>
    <row r="55546" spans="20:21" ht="15" customHeight="1" x14ac:dyDescent="0.25">
      <c r="T55546" s="135"/>
      <c r="U55546" s="135"/>
    </row>
    <row r="55547" spans="20:21" ht="15" customHeight="1" x14ac:dyDescent="0.25">
      <c r="T55547" s="135"/>
      <c r="U55547" s="135"/>
    </row>
    <row r="55548" spans="20:21" ht="15" customHeight="1" x14ac:dyDescent="0.25">
      <c r="T55548" s="135"/>
      <c r="U55548" s="135"/>
    </row>
    <row r="55549" spans="20:21" ht="15" customHeight="1" x14ac:dyDescent="0.25">
      <c r="T55549" s="135"/>
      <c r="U55549" s="135"/>
    </row>
    <row r="55550" spans="20:21" ht="15" customHeight="1" x14ac:dyDescent="0.25">
      <c r="T55550" s="135"/>
      <c r="U55550" s="135"/>
    </row>
    <row r="55551" spans="20:21" ht="15" customHeight="1" x14ac:dyDescent="0.25">
      <c r="T55551" s="135"/>
      <c r="U55551" s="135"/>
    </row>
    <row r="55552" spans="20:21" ht="15" customHeight="1" x14ac:dyDescent="0.25">
      <c r="T55552" s="135"/>
      <c r="U55552" s="135"/>
    </row>
    <row r="55553" spans="20:21" ht="15" customHeight="1" x14ac:dyDescent="0.25">
      <c r="T55553" s="135"/>
      <c r="U55553" s="135"/>
    </row>
    <row r="55554" spans="20:21" ht="15" customHeight="1" x14ac:dyDescent="0.25">
      <c r="T55554" s="135"/>
      <c r="U55554" s="135"/>
    </row>
    <row r="55555" spans="20:21" ht="15" customHeight="1" x14ac:dyDescent="0.25">
      <c r="T55555" s="135"/>
      <c r="U55555" s="135"/>
    </row>
    <row r="55556" spans="20:21" ht="15" customHeight="1" x14ac:dyDescent="0.25">
      <c r="T55556" s="135"/>
      <c r="U55556" s="135"/>
    </row>
    <row r="55557" spans="20:21" ht="15" customHeight="1" x14ac:dyDescent="0.25">
      <c r="T55557" s="135"/>
      <c r="U55557" s="135"/>
    </row>
    <row r="55558" spans="20:21" ht="15" customHeight="1" x14ac:dyDescent="0.25">
      <c r="T55558" s="135"/>
      <c r="U55558" s="135"/>
    </row>
    <row r="55559" spans="20:21" ht="15" customHeight="1" x14ac:dyDescent="0.25">
      <c r="T55559" s="135"/>
      <c r="U55559" s="135"/>
    </row>
    <row r="55560" spans="20:21" ht="15" customHeight="1" x14ac:dyDescent="0.25">
      <c r="T55560" s="135"/>
      <c r="U55560" s="135"/>
    </row>
    <row r="55561" spans="20:21" ht="15" customHeight="1" x14ac:dyDescent="0.25">
      <c r="T55561" s="135"/>
      <c r="U55561" s="135"/>
    </row>
    <row r="55562" spans="20:21" ht="15" customHeight="1" x14ac:dyDescent="0.25">
      <c r="T55562" s="135"/>
      <c r="U55562" s="135"/>
    </row>
    <row r="55563" spans="20:21" ht="15" customHeight="1" x14ac:dyDescent="0.25">
      <c r="T55563" s="135"/>
      <c r="U55563" s="135"/>
    </row>
    <row r="55564" spans="20:21" ht="15" customHeight="1" x14ac:dyDescent="0.25">
      <c r="T55564" s="135"/>
      <c r="U55564" s="135"/>
    </row>
    <row r="55565" spans="20:21" ht="15" customHeight="1" x14ac:dyDescent="0.25">
      <c r="T55565" s="135"/>
      <c r="U55565" s="135"/>
    </row>
    <row r="55566" spans="20:21" ht="15" customHeight="1" x14ac:dyDescent="0.25">
      <c r="T55566" s="135"/>
      <c r="U55566" s="135"/>
    </row>
    <row r="55567" spans="20:21" ht="15" customHeight="1" x14ac:dyDescent="0.25">
      <c r="T55567" s="135"/>
      <c r="U55567" s="135"/>
    </row>
    <row r="55568" spans="20:21" ht="15" customHeight="1" x14ac:dyDescent="0.25">
      <c r="T55568" s="135"/>
      <c r="U55568" s="135"/>
    </row>
    <row r="55569" spans="20:21" ht="15" customHeight="1" x14ac:dyDescent="0.25">
      <c r="T55569" s="135"/>
      <c r="U55569" s="135"/>
    </row>
    <row r="55570" spans="20:21" ht="15" customHeight="1" x14ac:dyDescent="0.25">
      <c r="T55570" s="135"/>
      <c r="U55570" s="135"/>
    </row>
    <row r="55571" spans="20:21" ht="15" customHeight="1" x14ac:dyDescent="0.25">
      <c r="T55571" s="135"/>
      <c r="U55571" s="135"/>
    </row>
    <row r="55572" spans="20:21" ht="15" customHeight="1" x14ac:dyDescent="0.25">
      <c r="T55572" s="135"/>
      <c r="U55572" s="135"/>
    </row>
    <row r="55573" spans="20:21" ht="15" customHeight="1" x14ac:dyDescent="0.25">
      <c r="T55573" s="135"/>
      <c r="U55573" s="135"/>
    </row>
    <row r="55574" spans="20:21" ht="15" customHeight="1" x14ac:dyDescent="0.25">
      <c r="T55574" s="135"/>
      <c r="U55574" s="135"/>
    </row>
    <row r="55575" spans="20:21" ht="15" customHeight="1" x14ac:dyDescent="0.25">
      <c r="T55575" s="135"/>
      <c r="U55575" s="135"/>
    </row>
    <row r="55576" spans="20:21" ht="15" customHeight="1" x14ac:dyDescent="0.25">
      <c r="T55576" s="135"/>
      <c r="U55576" s="135"/>
    </row>
    <row r="55577" spans="20:21" ht="15" customHeight="1" x14ac:dyDescent="0.25">
      <c r="T55577" s="135"/>
      <c r="U55577" s="135"/>
    </row>
    <row r="55578" spans="20:21" ht="15" customHeight="1" x14ac:dyDescent="0.25">
      <c r="T55578" s="135"/>
      <c r="U55578" s="135"/>
    </row>
    <row r="55579" spans="20:21" ht="15" customHeight="1" x14ac:dyDescent="0.25">
      <c r="T55579" s="135"/>
      <c r="U55579" s="135"/>
    </row>
    <row r="55580" spans="20:21" ht="15" customHeight="1" x14ac:dyDescent="0.25">
      <c r="T55580" s="135"/>
      <c r="U55580" s="135"/>
    </row>
    <row r="55581" spans="20:21" ht="15" customHeight="1" x14ac:dyDescent="0.25">
      <c r="T55581" s="135"/>
      <c r="U55581" s="135"/>
    </row>
    <row r="55582" spans="20:21" ht="15" customHeight="1" x14ac:dyDescent="0.25">
      <c r="T55582" s="135"/>
      <c r="U55582" s="135"/>
    </row>
    <row r="55583" spans="20:21" ht="15" customHeight="1" x14ac:dyDescent="0.25">
      <c r="T55583" s="135"/>
      <c r="U55583" s="135"/>
    </row>
    <row r="55584" spans="20:21" ht="15" customHeight="1" x14ac:dyDescent="0.25">
      <c r="T55584" s="135"/>
      <c r="U55584" s="135"/>
    </row>
    <row r="55585" spans="20:21" ht="15" customHeight="1" x14ac:dyDescent="0.25">
      <c r="T55585" s="135"/>
      <c r="U55585" s="135"/>
    </row>
    <row r="55586" spans="20:21" ht="15" customHeight="1" x14ac:dyDescent="0.25">
      <c r="T55586" s="135"/>
      <c r="U55586" s="135"/>
    </row>
    <row r="55587" spans="20:21" ht="15" customHeight="1" x14ac:dyDescent="0.25">
      <c r="T55587" s="135"/>
      <c r="U55587" s="135"/>
    </row>
    <row r="55588" spans="20:21" ht="15" customHeight="1" x14ac:dyDescent="0.25">
      <c r="T55588" s="135"/>
      <c r="U55588" s="135"/>
    </row>
    <row r="55589" spans="20:21" ht="15" customHeight="1" x14ac:dyDescent="0.25">
      <c r="T55589" s="135"/>
      <c r="U55589" s="135"/>
    </row>
    <row r="55590" spans="20:21" ht="15" customHeight="1" x14ac:dyDescent="0.25">
      <c r="T55590" s="135"/>
      <c r="U55590" s="135"/>
    </row>
    <row r="55591" spans="20:21" ht="15" customHeight="1" x14ac:dyDescent="0.25">
      <c r="T55591" s="135"/>
      <c r="U55591" s="135"/>
    </row>
    <row r="55592" spans="20:21" ht="15" customHeight="1" x14ac:dyDescent="0.25">
      <c r="T55592" s="135"/>
      <c r="U55592" s="135"/>
    </row>
    <row r="55593" spans="20:21" ht="15" customHeight="1" x14ac:dyDescent="0.25">
      <c r="T55593" s="135"/>
      <c r="U55593" s="135"/>
    </row>
    <row r="55594" spans="20:21" ht="15" customHeight="1" x14ac:dyDescent="0.25">
      <c r="T55594" s="135"/>
      <c r="U55594" s="135"/>
    </row>
    <row r="55595" spans="20:21" ht="15" customHeight="1" x14ac:dyDescent="0.25">
      <c r="T55595" s="135"/>
      <c r="U55595" s="135"/>
    </row>
    <row r="55596" spans="20:21" ht="15" customHeight="1" x14ac:dyDescent="0.25">
      <c r="T55596" s="135"/>
      <c r="U55596" s="135"/>
    </row>
    <row r="55597" spans="20:21" ht="15" customHeight="1" x14ac:dyDescent="0.25">
      <c r="T55597" s="135"/>
      <c r="U55597" s="135"/>
    </row>
    <row r="55598" spans="20:21" ht="15" customHeight="1" x14ac:dyDescent="0.25">
      <c r="T55598" s="135"/>
      <c r="U55598" s="135"/>
    </row>
    <row r="55599" spans="20:21" ht="15" customHeight="1" x14ac:dyDescent="0.25">
      <c r="T55599" s="135"/>
      <c r="U55599" s="135"/>
    </row>
    <row r="55600" spans="20:21" ht="15" customHeight="1" x14ac:dyDescent="0.25">
      <c r="T55600" s="135"/>
      <c r="U55600" s="135"/>
    </row>
    <row r="55601" spans="20:21" ht="15" customHeight="1" x14ac:dyDescent="0.25">
      <c r="T55601" s="135"/>
      <c r="U55601" s="135"/>
    </row>
    <row r="55602" spans="20:21" ht="15" customHeight="1" x14ac:dyDescent="0.25">
      <c r="T55602" s="135"/>
      <c r="U55602" s="135"/>
    </row>
    <row r="55603" spans="20:21" ht="15" customHeight="1" x14ac:dyDescent="0.25">
      <c r="T55603" s="135"/>
      <c r="U55603" s="135"/>
    </row>
    <row r="55604" spans="20:21" ht="15" customHeight="1" x14ac:dyDescent="0.25">
      <c r="T55604" s="135"/>
      <c r="U55604" s="135"/>
    </row>
    <row r="55605" spans="20:21" ht="15" customHeight="1" x14ac:dyDescent="0.25">
      <c r="T55605" s="135"/>
      <c r="U55605" s="135"/>
    </row>
    <row r="55606" spans="20:21" ht="15" customHeight="1" x14ac:dyDescent="0.25">
      <c r="T55606" s="135"/>
      <c r="U55606" s="135"/>
    </row>
    <row r="55607" spans="20:21" ht="15" customHeight="1" x14ac:dyDescent="0.25">
      <c r="T55607" s="135"/>
      <c r="U55607" s="135"/>
    </row>
    <row r="55608" spans="20:21" ht="15" customHeight="1" x14ac:dyDescent="0.25">
      <c r="T55608" s="135"/>
      <c r="U55608" s="135"/>
    </row>
    <row r="55609" spans="20:21" ht="15" customHeight="1" x14ac:dyDescent="0.25">
      <c r="T55609" s="135"/>
      <c r="U55609" s="135"/>
    </row>
    <row r="55610" spans="20:21" ht="15" customHeight="1" x14ac:dyDescent="0.25">
      <c r="T55610" s="135"/>
      <c r="U55610" s="135"/>
    </row>
    <row r="55611" spans="20:21" ht="15" customHeight="1" x14ac:dyDescent="0.25">
      <c r="T55611" s="135"/>
      <c r="U55611" s="135"/>
    </row>
    <row r="55612" spans="20:21" ht="15" customHeight="1" x14ac:dyDescent="0.25">
      <c r="T55612" s="135"/>
      <c r="U55612" s="135"/>
    </row>
    <row r="55613" spans="20:21" ht="15" customHeight="1" x14ac:dyDescent="0.25">
      <c r="T55613" s="135"/>
      <c r="U55613" s="135"/>
    </row>
    <row r="55614" spans="20:21" ht="15" customHeight="1" x14ac:dyDescent="0.25">
      <c r="T55614" s="135"/>
      <c r="U55614" s="135"/>
    </row>
    <row r="55615" spans="20:21" ht="15" customHeight="1" x14ac:dyDescent="0.25">
      <c r="T55615" s="135"/>
      <c r="U55615" s="135"/>
    </row>
    <row r="55616" spans="20:21" ht="15" customHeight="1" x14ac:dyDescent="0.25">
      <c r="T55616" s="135"/>
      <c r="U55616" s="135"/>
    </row>
    <row r="55617" spans="20:21" ht="15" customHeight="1" x14ac:dyDescent="0.25">
      <c r="T55617" s="135"/>
      <c r="U55617" s="135"/>
    </row>
    <row r="55618" spans="20:21" ht="15" customHeight="1" x14ac:dyDescent="0.25">
      <c r="T55618" s="135"/>
      <c r="U55618" s="135"/>
    </row>
    <row r="55619" spans="20:21" ht="15" customHeight="1" x14ac:dyDescent="0.25">
      <c r="T55619" s="135"/>
      <c r="U55619" s="135"/>
    </row>
    <row r="55620" spans="20:21" ht="15" customHeight="1" x14ac:dyDescent="0.25">
      <c r="T55620" s="135"/>
      <c r="U55620" s="135"/>
    </row>
    <row r="55621" spans="20:21" ht="15" customHeight="1" x14ac:dyDescent="0.25">
      <c r="T55621" s="135"/>
      <c r="U55621" s="135"/>
    </row>
    <row r="55622" spans="20:21" ht="15" customHeight="1" x14ac:dyDescent="0.25">
      <c r="T55622" s="135"/>
      <c r="U55622" s="135"/>
    </row>
    <row r="55623" spans="20:21" ht="15" customHeight="1" x14ac:dyDescent="0.25">
      <c r="T55623" s="135"/>
      <c r="U55623" s="135"/>
    </row>
    <row r="55624" spans="20:21" ht="15" customHeight="1" x14ac:dyDescent="0.25">
      <c r="T55624" s="135"/>
      <c r="U55624" s="135"/>
    </row>
    <row r="55625" spans="20:21" ht="15" customHeight="1" x14ac:dyDescent="0.25">
      <c r="T55625" s="135"/>
      <c r="U55625" s="135"/>
    </row>
    <row r="55626" spans="20:21" ht="15" customHeight="1" x14ac:dyDescent="0.25">
      <c r="T55626" s="135"/>
      <c r="U55626" s="135"/>
    </row>
    <row r="55627" spans="20:21" ht="15" customHeight="1" x14ac:dyDescent="0.25">
      <c r="T55627" s="135"/>
      <c r="U55627" s="135"/>
    </row>
    <row r="55628" spans="20:21" ht="15" customHeight="1" x14ac:dyDescent="0.25">
      <c r="T55628" s="135"/>
      <c r="U55628" s="135"/>
    </row>
    <row r="55629" spans="20:21" ht="15" customHeight="1" x14ac:dyDescent="0.25">
      <c r="T55629" s="135"/>
      <c r="U55629" s="135"/>
    </row>
    <row r="55630" spans="20:21" ht="15" customHeight="1" x14ac:dyDescent="0.25">
      <c r="T55630" s="135"/>
      <c r="U55630" s="135"/>
    </row>
    <row r="55631" spans="20:21" ht="15" customHeight="1" x14ac:dyDescent="0.25">
      <c r="T55631" s="135"/>
      <c r="U55631" s="135"/>
    </row>
    <row r="55632" spans="20:21" ht="15" customHeight="1" x14ac:dyDescent="0.25">
      <c r="T55632" s="135"/>
      <c r="U55632" s="135"/>
    </row>
    <row r="55633" spans="20:21" ht="15" customHeight="1" x14ac:dyDescent="0.25">
      <c r="T55633" s="135"/>
      <c r="U55633" s="135"/>
    </row>
    <row r="55634" spans="20:21" ht="15" customHeight="1" x14ac:dyDescent="0.25">
      <c r="T55634" s="135"/>
      <c r="U55634" s="135"/>
    </row>
    <row r="55635" spans="20:21" ht="15" customHeight="1" x14ac:dyDescent="0.25">
      <c r="T55635" s="135"/>
      <c r="U55635" s="135"/>
    </row>
    <row r="55636" spans="20:21" ht="15" customHeight="1" x14ac:dyDescent="0.25">
      <c r="T55636" s="135"/>
      <c r="U55636" s="135"/>
    </row>
    <row r="55637" spans="20:21" ht="15" customHeight="1" x14ac:dyDescent="0.25">
      <c r="T55637" s="135"/>
      <c r="U55637" s="135"/>
    </row>
    <row r="55638" spans="20:21" ht="15" customHeight="1" x14ac:dyDescent="0.25">
      <c r="T55638" s="135"/>
      <c r="U55638" s="135"/>
    </row>
    <row r="55639" spans="20:21" ht="15" customHeight="1" x14ac:dyDescent="0.25">
      <c r="T55639" s="135"/>
      <c r="U55639" s="135"/>
    </row>
    <row r="55640" spans="20:21" ht="15" customHeight="1" x14ac:dyDescent="0.25">
      <c r="T55640" s="135"/>
      <c r="U55640" s="135"/>
    </row>
    <row r="55641" spans="20:21" ht="15" customHeight="1" x14ac:dyDescent="0.25">
      <c r="T55641" s="135"/>
      <c r="U55641" s="135"/>
    </row>
    <row r="55642" spans="20:21" ht="15" customHeight="1" x14ac:dyDescent="0.25">
      <c r="T55642" s="135"/>
      <c r="U55642" s="135"/>
    </row>
    <row r="55643" spans="20:21" ht="15" customHeight="1" x14ac:dyDescent="0.25">
      <c r="T55643" s="135"/>
      <c r="U55643" s="135"/>
    </row>
    <row r="55644" spans="20:21" ht="15" customHeight="1" x14ac:dyDescent="0.25">
      <c r="T55644" s="135"/>
      <c r="U55644" s="135"/>
    </row>
    <row r="55645" spans="20:21" ht="15" customHeight="1" x14ac:dyDescent="0.25">
      <c r="T55645" s="135"/>
      <c r="U55645" s="135"/>
    </row>
    <row r="55646" spans="20:21" ht="15" customHeight="1" x14ac:dyDescent="0.25">
      <c r="T55646" s="135"/>
      <c r="U55646" s="135"/>
    </row>
    <row r="55647" spans="20:21" ht="15" customHeight="1" x14ac:dyDescent="0.25">
      <c r="T55647" s="135"/>
      <c r="U55647" s="135"/>
    </row>
    <row r="55648" spans="20:21" ht="15" customHeight="1" x14ac:dyDescent="0.25">
      <c r="T55648" s="135"/>
      <c r="U55648" s="135"/>
    </row>
    <row r="55649" spans="20:21" ht="15" customHeight="1" x14ac:dyDescent="0.25">
      <c r="T55649" s="135"/>
      <c r="U55649" s="135"/>
    </row>
    <row r="55650" spans="20:21" ht="15" customHeight="1" x14ac:dyDescent="0.25">
      <c r="T55650" s="135"/>
      <c r="U55650" s="135"/>
    </row>
    <row r="55651" spans="20:21" ht="15" customHeight="1" x14ac:dyDescent="0.25">
      <c r="T55651" s="135"/>
      <c r="U55651" s="135"/>
    </row>
    <row r="55652" spans="20:21" ht="15" customHeight="1" x14ac:dyDescent="0.25">
      <c r="T55652" s="135"/>
      <c r="U55652" s="135"/>
    </row>
    <row r="55653" spans="20:21" ht="15" customHeight="1" x14ac:dyDescent="0.25">
      <c r="T55653" s="135"/>
      <c r="U55653" s="135"/>
    </row>
    <row r="55654" spans="20:21" ht="15" customHeight="1" x14ac:dyDescent="0.25">
      <c r="T55654" s="135"/>
      <c r="U55654" s="135"/>
    </row>
    <row r="55655" spans="20:21" ht="15" customHeight="1" x14ac:dyDescent="0.25">
      <c r="T55655" s="135"/>
      <c r="U55655" s="135"/>
    </row>
    <row r="55656" spans="20:21" ht="15" customHeight="1" x14ac:dyDescent="0.25">
      <c r="T55656" s="135"/>
      <c r="U55656" s="135"/>
    </row>
    <row r="55657" spans="20:21" ht="15" customHeight="1" x14ac:dyDescent="0.25">
      <c r="T55657" s="135"/>
      <c r="U55657" s="135"/>
    </row>
    <row r="55658" spans="20:21" ht="15" customHeight="1" x14ac:dyDescent="0.25">
      <c r="T55658" s="135"/>
      <c r="U55658" s="135"/>
    </row>
    <row r="55659" spans="20:21" ht="15" customHeight="1" x14ac:dyDescent="0.25">
      <c r="T55659" s="135"/>
      <c r="U55659" s="135"/>
    </row>
    <row r="55660" spans="20:21" ht="15" customHeight="1" x14ac:dyDescent="0.25">
      <c r="T55660" s="135"/>
      <c r="U55660" s="135"/>
    </row>
    <row r="55661" spans="20:21" ht="15" customHeight="1" x14ac:dyDescent="0.25">
      <c r="T55661" s="135"/>
      <c r="U55661" s="135"/>
    </row>
    <row r="55662" spans="20:21" ht="15" customHeight="1" x14ac:dyDescent="0.25">
      <c r="T55662" s="135"/>
      <c r="U55662" s="135"/>
    </row>
    <row r="55663" spans="20:21" ht="15" customHeight="1" x14ac:dyDescent="0.25">
      <c r="T55663" s="135"/>
      <c r="U55663" s="135"/>
    </row>
    <row r="55664" spans="20:21" ht="15" customHeight="1" x14ac:dyDescent="0.25">
      <c r="T55664" s="135"/>
      <c r="U55664" s="135"/>
    </row>
    <row r="55665" spans="20:21" ht="15" customHeight="1" x14ac:dyDescent="0.25">
      <c r="T55665" s="135"/>
      <c r="U55665" s="135"/>
    </row>
    <row r="55666" spans="20:21" ht="15" customHeight="1" x14ac:dyDescent="0.25">
      <c r="T55666" s="135"/>
      <c r="U55666" s="135"/>
    </row>
    <row r="55667" spans="20:21" ht="15" customHeight="1" x14ac:dyDescent="0.25">
      <c r="T55667" s="135"/>
      <c r="U55667" s="135"/>
    </row>
    <row r="55668" spans="20:21" ht="15" customHeight="1" x14ac:dyDescent="0.25">
      <c r="T55668" s="135"/>
      <c r="U55668" s="135"/>
    </row>
    <row r="55669" spans="20:21" ht="15" customHeight="1" x14ac:dyDescent="0.25">
      <c r="T55669" s="135"/>
      <c r="U55669" s="135"/>
    </row>
    <row r="55670" spans="20:21" ht="15" customHeight="1" x14ac:dyDescent="0.25">
      <c r="T55670" s="135"/>
      <c r="U55670" s="135"/>
    </row>
    <row r="55671" spans="20:21" ht="15" customHeight="1" x14ac:dyDescent="0.25">
      <c r="T55671" s="135"/>
      <c r="U55671" s="135"/>
    </row>
    <row r="55672" spans="20:21" ht="15" customHeight="1" x14ac:dyDescent="0.25">
      <c r="T55672" s="135"/>
      <c r="U55672" s="135"/>
    </row>
    <row r="55673" spans="20:21" ht="15" customHeight="1" x14ac:dyDescent="0.25">
      <c r="T55673" s="135"/>
      <c r="U55673" s="135"/>
    </row>
    <row r="55674" spans="20:21" ht="15" customHeight="1" x14ac:dyDescent="0.25">
      <c r="T55674" s="135"/>
      <c r="U55674" s="135"/>
    </row>
    <row r="55675" spans="20:21" ht="15" customHeight="1" x14ac:dyDescent="0.25">
      <c r="T55675" s="135"/>
      <c r="U55675" s="135"/>
    </row>
    <row r="55676" spans="20:21" ht="15" customHeight="1" x14ac:dyDescent="0.25">
      <c r="T55676" s="135"/>
      <c r="U55676" s="135"/>
    </row>
    <row r="55677" spans="20:21" ht="15" customHeight="1" x14ac:dyDescent="0.25">
      <c r="T55677" s="135"/>
      <c r="U55677" s="135"/>
    </row>
    <row r="55678" spans="20:21" ht="15" customHeight="1" x14ac:dyDescent="0.25">
      <c r="T55678" s="135"/>
      <c r="U55678" s="135"/>
    </row>
    <row r="55679" spans="20:21" ht="15" customHeight="1" x14ac:dyDescent="0.25">
      <c r="T55679" s="135"/>
      <c r="U55679" s="135"/>
    </row>
    <row r="55680" spans="20:21" ht="15" customHeight="1" x14ac:dyDescent="0.25">
      <c r="T55680" s="135"/>
      <c r="U55680" s="135"/>
    </row>
    <row r="55681" spans="20:21" ht="15" customHeight="1" x14ac:dyDescent="0.25">
      <c r="T55681" s="135"/>
      <c r="U55681" s="135"/>
    </row>
    <row r="55682" spans="20:21" ht="15" customHeight="1" x14ac:dyDescent="0.25">
      <c r="T55682" s="135"/>
      <c r="U55682" s="135"/>
    </row>
    <row r="55683" spans="20:21" ht="15" customHeight="1" x14ac:dyDescent="0.25">
      <c r="T55683" s="135"/>
      <c r="U55683" s="135"/>
    </row>
    <row r="55684" spans="20:21" ht="15" customHeight="1" x14ac:dyDescent="0.25">
      <c r="T55684" s="135"/>
      <c r="U55684" s="135"/>
    </row>
    <row r="55685" spans="20:21" ht="15" customHeight="1" x14ac:dyDescent="0.25">
      <c r="T55685" s="135"/>
      <c r="U55685" s="135"/>
    </row>
    <row r="55686" spans="20:21" ht="15" customHeight="1" x14ac:dyDescent="0.25">
      <c r="T55686" s="135"/>
      <c r="U55686" s="135"/>
    </row>
    <row r="55687" spans="20:21" ht="15" customHeight="1" x14ac:dyDescent="0.25">
      <c r="T55687" s="135"/>
      <c r="U55687" s="135"/>
    </row>
    <row r="55688" spans="20:21" ht="15" customHeight="1" x14ac:dyDescent="0.25">
      <c r="T55688" s="135"/>
      <c r="U55688" s="135"/>
    </row>
    <row r="55689" spans="20:21" ht="15" customHeight="1" x14ac:dyDescent="0.25">
      <c r="T55689" s="135"/>
      <c r="U55689" s="135"/>
    </row>
    <row r="55690" spans="20:21" ht="15" customHeight="1" x14ac:dyDescent="0.25">
      <c r="T55690" s="135"/>
      <c r="U55690" s="135"/>
    </row>
    <row r="55691" spans="20:21" ht="15" customHeight="1" x14ac:dyDescent="0.25">
      <c r="T55691" s="135"/>
      <c r="U55691" s="135"/>
    </row>
    <row r="55692" spans="20:21" ht="15" customHeight="1" x14ac:dyDescent="0.25">
      <c r="T55692" s="135"/>
      <c r="U55692" s="135"/>
    </row>
    <row r="55693" spans="20:21" ht="15" customHeight="1" x14ac:dyDescent="0.25">
      <c r="T55693" s="135"/>
      <c r="U55693" s="135"/>
    </row>
    <row r="55694" spans="20:21" ht="15" customHeight="1" x14ac:dyDescent="0.25">
      <c r="T55694" s="135"/>
      <c r="U55694" s="135"/>
    </row>
    <row r="55695" spans="20:21" ht="15" customHeight="1" x14ac:dyDescent="0.25">
      <c r="T55695" s="135"/>
      <c r="U55695" s="135"/>
    </row>
    <row r="55696" spans="20:21" ht="15" customHeight="1" x14ac:dyDescent="0.25">
      <c r="T55696" s="135"/>
      <c r="U55696" s="135"/>
    </row>
    <row r="55697" spans="20:21" ht="15" customHeight="1" x14ac:dyDescent="0.25">
      <c r="T55697" s="135"/>
      <c r="U55697" s="135"/>
    </row>
    <row r="55698" spans="20:21" ht="15" customHeight="1" x14ac:dyDescent="0.25">
      <c r="T55698" s="135"/>
      <c r="U55698" s="135"/>
    </row>
    <row r="55699" spans="20:21" ht="15" customHeight="1" x14ac:dyDescent="0.25">
      <c r="T55699" s="135"/>
      <c r="U55699" s="135"/>
    </row>
    <row r="55700" spans="20:21" ht="15" customHeight="1" x14ac:dyDescent="0.25">
      <c r="T55700" s="135"/>
      <c r="U55700" s="135"/>
    </row>
    <row r="55701" spans="20:21" ht="15" customHeight="1" x14ac:dyDescent="0.25">
      <c r="T55701" s="135"/>
      <c r="U55701" s="135"/>
    </row>
    <row r="55702" spans="20:21" ht="15" customHeight="1" x14ac:dyDescent="0.25">
      <c r="T55702" s="135"/>
      <c r="U55702" s="135"/>
    </row>
    <row r="55703" spans="20:21" ht="15" customHeight="1" x14ac:dyDescent="0.25">
      <c r="T55703" s="135"/>
      <c r="U55703" s="135"/>
    </row>
    <row r="55704" spans="20:21" ht="15" customHeight="1" x14ac:dyDescent="0.25">
      <c r="T55704" s="135"/>
      <c r="U55704" s="135"/>
    </row>
    <row r="55705" spans="20:21" ht="15" customHeight="1" x14ac:dyDescent="0.25">
      <c r="T55705" s="135"/>
      <c r="U55705" s="135"/>
    </row>
    <row r="55706" spans="20:21" ht="15" customHeight="1" x14ac:dyDescent="0.25">
      <c r="T55706" s="135"/>
      <c r="U55706" s="135"/>
    </row>
    <row r="55707" spans="20:21" ht="15" customHeight="1" x14ac:dyDescent="0.25">
      <c r="T55707" s="135"/>
      <c r="U55707" s="135"/>
    </row>
    <row r="55708" spans="20:21" ht="15" customHeight="1" x14ac:dyDescent="0.25">
      <c r="T55708" s="135"/>
      <c r="U55708" s="135"/>
    </row>
    <row r="55709" spans="20:21" ht="15" customHeight="1" x14ac:dyDescent="0.25">
      <c r="T55709" s="135"/>
      <c r="U55709" s="135"/>
    </row>
    <row r="55710" spans="20:21" ht="15" customHeight="1" x14ac:dyDescent="0.25">
      <c r="T55710" s="135"/>
      <c r="U55710" s="135"/>
    </row>
    <row r="55711" spans="20:21" ht="15" customHeight="1" x14ac:dyDescent="0.25">
      <c r="T55711" s="135"/>
      <c r="U55711" s="135"/>
    </row>
    <row r="55712" spans="20:21" ht="15" customHeight="1" x14ac:dyDescent="0.25">
      <c r="T55712" s="135"/>
      <c r="U55712" s="135"/>
    </row>
    <row r="55713" spans="20:21" ht="15" customHeight="1" x14ac:dyDescent="0.25">
      <c r="T55713" s="135"/>
      <c r="U55713" s="135"/>
    </row>
    <row r="55714" spans="20:21" ht="15" customHeight="1" x14ac:dyDescent="0.25">
      <c r="T55714" s="135"/>
      <c r="U55714" s="135"/>
    </row>
    <row r="55715" spans="20:21" ht="15" customHeight="1" x14ac:dyDescent="0.25">
      <c r="T55715" s="135"/>
      <c r="U55715" s="135"/>
    </row>
    <row r="55716" spans="20:21" ht="15" customHeight="1" x14ac:dyDescent="0.25">
      <c r="T55716" s="135"/>
      <c r="U55716" s="135"/>
    </row>
    <row r="55717" spans="20:21" ht="15" customHeight="1" x14ac:dyDescent="0.25">
      <c r="T55717" s="135"/>
      <c r="U55717" s="135"/>
    </row>
    <row r="55718" spans="20:21" ht="15" customHeight="1" x14ac:dyDescent="0.25">
      <c r="T55718" s="135"/>
      <c r="U55718" s="135"/>
    </row>
    <row r="55719" spans="20:21" ht="15" customHeight="1" x14ac:dyDescent="0.25">
      <c r="T55719" s="135"/>
      <c r="U55719" s="135"/>
    </row>
    <row r="55720" spans="20:21" ht="15" customHeight="1" x14ac:dyDescent="0.25">
      <c r="T55720" s="135"/>
      <c r="U55720" s="135"/>
    </row>
    <row r="55721" spans="20:21" ht="15" customHeight="1" x14ac:dyDescent="0.25">
      <c r="T55721" s="135"/>
      <c r="U55721" s="135"/>
    </row>
    <row r="55722" spans="20:21" ht="15" customHeight="1" x14ac:dyDescent="0.25">
      <c r="T55722" s="135"/>
      <c r="U55722" s="135"/>
    </row>
    <row r="55723" spans="20:21" ht="15" customHeight="1" x14ac:dyDescent="0.25">
      <c r="T55723" s="135"/>
      <c r="U55723" s="135"/>
    </row>
    <row r="55724" spans="20:21" ht="15" customHeight="1" x14ac:dyDescent="0.25">
      <c r="T55724" s="135"/>
      <c r="U55724" s="135"/>
    </row>
    <row r="55725" spans="20:21" ht="15" customHeight="1" x14ac:dyDescent="0.25">
      <c r="T55725" s="135"/>
      <c r="U55725" s="135"/>
    </row>
    <row r="55726" spans="20:21" ht="15" customHeight="1" x14ac:dyDescent="0.25">
      <c r="T55726" s="135"/>
      <c r="U55726" s="135"/>
    </row>
    <row r="55727" spans="20:21" ht="15" customHeight="1" x14ac:dyDescent="0.25">
      <c r="T55727" s="135"/>
      <c r="U55727" s="135"/>
    </row>
    <row r="55728" spans="20:21" ht="15" customHeight="1" x14ac:dyDescent="0.25">
      <c r="T55728" s="135"/>
      <c r="U55728" s="135"/>
    </row>
    <row r="55729" spans="20:21" ht="15" customHeight="1" x14ac:dyDescent="0.25">
      <c r="T55729" s="135"/>
      <c r="U55729" s="135"/>
    </row>
    <row r="55730" spans="20:21" ht="15" customHeight="1" x14ac:dyDescent="0.25">
      <c r="T55730" s="135"/>
      <c r="U55730" s="135"/>
    </row>
    <row r="55731" spans="20:21" ht="15" customHeight="1" x14ac:dyDescent="0.25">
      <c r="T55731" s="135"/>
      <c r="U55731" s="135"/>
    </row>
    <row r="55732" spans="20:21" ht="15" customHeight="1" x14ac:dyDescent="0.25">
      <c r="T55732" s="135"/>
      <c r="U55732" s="135"/>
    </row>
    <row r="55733" spans="20:21" ht="15" customHeight="1" x14ac:dyDescent="0.25">
      <c r="T55733" s="135"/>
      <c r="U55733" s="135"/>
    </row>
    <row r="55734" spans="20:21" ht="15" customHeight="1" x14ac:dyDescent="0.25">
      <c r="T55734" s="135"/>
      <c r="U55734" s="135"/>
    </row>
    <row r="55735" spans="20:21" ht="15" customHeight="1" x14ac:dyDescent="0.25">
      <c r="T55735" s="135"/>
      <c r="U55735" s="135"/>
    </row>
    <row r="55736" spans="20:21" ht="15" customHeight="1" x14ac:dyDescent="0.25">
      <c r="T55736" s="135"/>
      <c r="U55736" s="135"/>
    </row>
    <row r="55737" spans="20:21" ht="15" customHeight="1" x14ac:dyDescent="0.25">
      <c r="T55737" s="135"/>
      <c r="U55737" s="135"/>
    </row>
    <row r="55738" spans="20:21" ht="15" customHeight="1" x14ac:dyDescent="0.25">
      <c r="T55738" s="135"/>
      <c r="U55738" s="135"/>
    </row>
    <row r="55739" spans="20:21" ht="15" customHeight="1" x14ac:dyDescent="0.25">
      <c r="T55739" s="135"/>
      <c r="U55739" s="135"/>
    </row>
    <row r="55740" spans="20:21" ht="15" customHeight="1" x14ac:dyDescent="0.25">
      <c r="T55740" s="135"/>
      <c r="U55740" s="135"/>
    </row>
    <row r="55741" spans="20:21" ht="15" customHeight="1" x14ac:dyDescent="0.25">
      <c r="T55741" s="135"/>
      <c r="U55741" s="135"/>
    </row>
    <row r="55742" spans="20:21" ht="15" customHeight="1" x14ac:dyDescent="0.25">
      <c r="T55742" s="135"/>
      <c r="U55742" s="135"/>
    </row>
    <row r="55743" spans="20:21" ht="15" customHeight="1" x14ac:dyDescent="0.25">
      <c r="T55743" s="135"/>
      <c r="U55743" s="135"/>
    </row>
    <row r="55744" spans="20:21" ht="15" customHeight="1" x14ac:dyDescent="0.25">
      <c r="T55744" s="135"/>
      <c r="U55744" s="135"/>
    </row>
    <row r="55745" spans="20:21" ht="15" customHeight="1" x14ac:dyDescent="0.25">
      <c r="T55745" s="135"/>
      <c r="U55745" s="135"/>
    </row>
    <row r="55746" spans="20:21" ht="15" customHeight="1" x14ac:dyDescent="0.25">
      <c r="T55746" s="135"/>
      <c r="U55746" s="135"/>
    </row>
    <row r="55747" spans="20:21" ht="15" customHeight="1" x14ac:dyDescent="0.25">
      <c r="T55747" s="135"/>
      <c r="U55747" s="135"/>
    </row>
    <row r="55748" spans="20:21" ht="15" customHeight="1" x14ac:dyDescent="0.25">
      <c r="T55748" s="135"/>
      <c r="U55748" s="135"/>
    </row>
    <row r="55749" spans="20:21" ht="15" customHeight="1" x14ac:dyDescent="0.25">
      <c r="T55749" s="135"/>
      <c r="U55749" s="135"/>
    </row>
    <row r="55750" spans="20:21" ht="15" customHeight="1" x14ac:dyDescent="0.25">
      <c r="T55750" s="135"/>
      <c r="U55750" s="135"/>
    </row>
    <row r="55751" spans="20:21" ht="15" customHeight="1" x14ac:dyDescent="0.25">
      <c r="T55751" s="135"/>
      <c r="U55751" s="135"/>
    </row>
    <row r="55752" spans="20:21" ht="15" customHeight="1" x14ac:dyDescent="0.25">
      <c r="T55752" s="135"/>
      <c r="U55752" s="135"/>
    </row>
    <row r="55753" spans="20:21" ht="15" customHeight="1" x14ac:dyDescent="0.25">
      <c r="T55753" s="135"/>
      <c r="U55753" s="135"/>
    </row>
    <row r="55754" spans="20:21" ht="15" customHeight="1" x14ac:dyDescent="0.25">
      <c r="T55754" s="135"/>
      <c r="U55754" s="135"/>
    </row>
    <row r="55755" spans="20:21" ht="15" customHeight="1" x14ac:dyDescent="0.25">
      <c r="T55755" s="135"/>
      <c r="U55755" s="135"/>
    </row>
    <row r="55756" spans="20:21" ht="15" customHeight="1" x14ac:dyDescent="0.25">
      <c r="T55756" s="135"/>
      <c r="U55756" s="135"/>
    </row>
    <row r="55757" spans="20:21" ht="15" customHeight="1" x14ac:dyDescent="0.25">
      <c r="T55757" s="135"/>
      <c r="U55757" s="135"/>
    </row>
    <row r="55758" spans="20:21" ht="15" customHeight="1" x14ac:dyDescent="0.25">
      <c r="T55758" s="135"/>
      <c r="U55758" s="135"/>
    </row>
    <row r="55759" spans="20:21" ht="15" customHeight="1" x14ac:dyDescent="0.25">
      <c r="T55759" s="135"/>
      <c r="U55759" s="135"/>
    </row>
    <row r="55760" spans="20:21" ht="15" customHeight="1" x14ac:dyDescent="0.25">
      <c r="T55760" s="135"/>
      <c r="U55760" s="135"/>
    </row>
    <row r="55761" spans="20:21" ht="15" customHeight="1" x14ac:dyDescent="0.25">
      <c r="T55761" s="135"/>
      <c r="U55761" s="135"/>
    </row>
    <row r="55762" spans="20:21" ht="15" customHeight="1" x14ac:dyDescent="0.25">
      <c r="T55762" s="135"/>
      <c r="U55762" s="135"/>
    </row>
    <row r="55763" spans="20:21" ht="15" customHeight="1" x14ac:dyDescent="0.25">
      <c r="T55763" s="135"/>
      <c r="U55763" s="135"/>
    </row>
    <row r="55764" spans="20:21" ht="15" customHeight="1" x14ac:dyDescent="0.25">
      <c r="T55764" s="135"/>
      <c r="U55764" s="135"/>
    </row>
    <row r="55765" spans="20:21" ht="15" customHeight="1" x14ac:dyDescent="0.25">
      <c r="T55765" s="135"/>
      <c r="U55765" s="135"/>
    </row>
    <row r="55766" spans="20:21" ht="15" customHeight="1" x14ac:dyDescent="0.25">
      <c r="T55766" s="135"/>
      <c r="U55766" s="135"/>
    </row>
    <row r="55767" spans="20:21" ht="15" customHeight="1" x14ac:dyDescent="0.25">
      <c r="T55767" s="135"/>
      <c r="U55767" s="135"/>
    </row>
    <row r="55768" spans="20:21" ht="15" customHeight="1" x14ac:dyDescent="0.25">
      <c r="T55768" s="135"/>
      <c r="U55768" s="135"/>
    </row>
    <row r="55769" spans="20:21" ht="15" customHeight="1" x14ac:dyDescent="0.25">
      <c r="T55769" s="135"/>
      <c r="U55769" s="135"/>
    </row>
    <row r="55770" spans="20:21" ht="15" customHeight="1" x14ac:dyDescent="0.25">
      <c r="T55770" s="135"/>
      <c r="U55770" s="135"/>
    </row>
    <row r="55771" spans="20:21" ht="15" customHeight="1" x14ac:dyDescent="0.25">
      <c r="T55771" s="135"/>
      <c r="U55771" s="135"/>
    </row>
    <row r="55772" spans="20:21" ht="15" customHeight="1" x14ac:dyDescent="0.25">
      <c r="T55772" s="135"/>
      <c r="U55772" s="135"/>
    </row>
    <row r="55773" spans="20:21" ht="15" customHeight="1" x14ac:dyDescent="0.25">
      <c r="T55773" s="135"/>
      <c r="U55773" s="135"/>
    </row>
    <row r="55774" spans="20:21" ht="15" customHeight="1" x14ac:dyDescent="0.25">
      <c r="T55774" s="135"/>
      <c r="U55774" s="135"/>
    </row>
    <row r="55775" spans="20:21" ht="15" customHeight="1" x14ac:dyDescent="0.25">
      <c r="T55775" s="135"/>
      <c r="U55775" s="135"/>
    </row>
    <row r="55776" spans="20:21" ht="15" customHeight="1" x14ac:dyDescent="0.25">
      <c r="T55776" s="135"/>
      <c r="U55776" s="135"/>
    </row>
    <row r="55777" spans="20:21" ht="15" customHeight="1" x14ac:dyDescent="0.25">
      <c r="T55777" s="135"/>
      <c r="U55777" s="135"/>
    </row>
    <row r="55778" spans="20:21" ht="15" customHeight="1" x14ac:dyDescent="0.25">
      <c r="T55778" s="135"/>
      <c r="U55778" s="135"/>
    </row>
    <row r="55779" spans="20:21" ht="15" customHeight="1" x14ac:dyDescent="0.25">
      <c r="T55779" s="135"/>
      <c r="U55779" s="135"/>
    </row>
    <row r="55780" spans="20:21" ht="15" customHeight="1" x14ac:dyDescent="0.25">
      <c r="T55780" s="135"/>
      <c r="U55780" s="135"/>
    </row>
    <row r="55781" spans="20:21" ht="15" customHeight="1" x14ac:dyDescent="0.25">
      <c r="T55781" s="135"/>
      <c r="U55781" s="135"/>
    </row>
    <row r="55782" spans="20:21" ht="15" customHeight="1" x14ac:dyDescent="0.25">
      <c r="T55782" s="135"/>
      <c r="U55782" s="135"/>
    </row>
    <row r="55783" spans="20:21" ht="15" customHeight="1" x14ac:dyDescent="0.25">
      <c r="T55783" s="135"/>
      <c r="U55783" s="135"/>
    </row>
    <row r="55784" spans="20:21" ht="15" customHeight="1" x14ac:dyDescent="0.25">
      <c r="T55784" s="135"/>
      <c r="U55784" s="135"/>
    </row>
    <row r="55785" spans="20:21" ht="15" customHeight="1" x14ac:dyDescent="0.25">
      <c r="T55785" s="135"/>
      <c r="U55785" s="135"/>
    </row>
    <row r="55786" spans="20:21" ht="15" customHeight="1" x14ac:dyDescent="0.25">
      <c r="T55786" s="135"/>
      <c r="U55786" s="135"/>
    </row>
    <row r="55787" spans="20:21" ht="15" customHeight="1" x14ac:dyDescent="0.25">
      <c r="T55787" s="135"/>
      <c r="U55787" s="135"/>
    </row>
    <row r="55788" spans="20:21" ht="15" customHeight="1" x14ac:dyDescent="0.25">
      <c r="T55788" s="135"/>
      <c r="U55788" s="135"/>
    </row>
    <row r="55789" spans="20:21" ht="15" customHeight="1" x14ac:dyDescent="0.25">
      <c r="T55789" s="135"/>
      <c r="U55789" s="135"/>
    </row>
    <row r="55790" spans="20:21" ht="15" customHeight="1" x14ac:dyDescent="0.25">
      <c r="T55790" s="135"/>
      <c r="U55790" s="135"/>
    </row>
    <row r="55791" spans="20:21" ht="15" customHeight="1" x14ac:dyDescent="0.25">
      <c r="T55791" s="135"/>
      <c r="U55791" s="135"/>
    </row>
    <row r="55792" spans="20:21" ht="15" customHeight="1" x14ac:dyDescent="0.25">
      <c r="T55792" s="135"/>
      <c r="U55792" s="135"/>
    </row>
    <row r="55793" spans="20:21" ht="15" customHeight="1" x14ac:dyDescent="0.25">
      <c r="T55793" s="135"/>
      <c r="U55793" s="135"/>
    </row>
    <row r="55794" spans="20:21" ht="15" customHeight="1" x14ac:dyDescent="0.25">
      <c r="T55794" s="135"/>
      <c r="U55794" s="135"/>
    </row>
    <row r="55795" spans="20:21" ht="15" customHeight="1" x14ac:dyDescent="0.25">
      <c r="T55795" s="135"/>
      <c r="U55795" s="135"/>
    </row>
    <row r="55796" spans="20:21" ht="15" customHeight="1" x14ac:dyDescent="0.25">
      <c r="T55796" s="135"/>
      <c r="U55796" s="135"/>
    </row>
    <row r="55797" spans="20:21" ht="15" customHeight="1" x14ac:dyDescent="0.25">
      <c r="T55797" s="135"/>
      <c r="U55797" s="135"/>
    </row>
    <row r="55798" spans="20:21" ht="15" customHeight="1" x14ac:dyDescent="0.25">
      <c r="T55798" s="135"/>
      <c r="U55798" s="135"/>
    </row>
    <row r="55799" spans="20:21" ht="15" customHeight="1" x14ac:dyDescent="0.25">
      <c r="T55799" s="135"/>
      <c r="U55799" s="135"/>
    </row>
    <row r="55800" spans="20:21" ht="15" customHeight="1" x14ac:dyDescent="0.25">
      <c r="T55800" s="135"/>
      <c r="U55800" s="135"/>
    </row>
    <row r="55801" spans="20:21" ht="15" customHeight="1" x14ac:dyDescent="0.25">
      <c r="T55801" s="135"/>
      <c r="U55801" s="135"/>
    </row>
    <row r="55802" spans="20:21" ht="15" customHeight="1" x14ac:dyDescent="0.25">
      <c r="T55802" s="135"/>
      <c r="U55802" s="135"/>
    </row>
    <row r="55803" spans="20:21" ht="15" customHeight="1" x14ac:dyDescent="0.25">
      <c r="T55803" s="135"/>
      <c r="U55803" s="135"/>
    </row>
    <row r="55804" spans="20:21" ht="15" customHeight="1" x14ac:dyDescent="0.25">
      <c r="T55804" s="135"/>
      <c r="U55804" s="135"/>
    </row>
    <row r="55805" spans="20:21" ht="15" customHeight="1" x14ac:dyDescent="0.25">
      <c r="T55805" s="135"/>
      <c r="U55805" s="135"/>
    </row>
    <row r="55806" spans="20:21" ht="15" customHeight="1" x14ac:dyDescent="0.25">
      <c r="T55806" s="135"/>
      <c r="U55806" s="135"/>
    </row>
    <row r="55807" spans="20:21" ht="15" customHeight="1" x14ac:dyDescent="0.25">
      <c r="T55807" s="135"/>
      <c r="U55807" s="135"/>
    </row>
    <row r="55808" spans="20:21" ht="15" customHeight="1" x14ac:dyDescent="0.25">
      <c r="T55808" s="135"/>
      <c r="U55808" s="135"/>
    </row>
    <row r="55809" spans="20:21" ht="15" customHeight="1" x14ac:dyDescent="0.25">
      <c r="T55809" s="135"/>
      <c r="U55809" s="135"/>
    </row>
    <row r="55810" spans="20:21" ht="15" customHeight="1" x14ac:dyDescent="0.25">
      <c r="T55810" s="135"/>
      <c r="U55810" s="135"/>
    </row>
    <row r="55811" spans="20:21" ht="15" customHeight="1" x14ac:dyDescent="0.25">
      <c r="T55811" s="135"/>
      <c r="U55811" s="135"/>
    </row>
    <row r="55812" spans="20:21" ht="15" customHeight="1" x14ac:dyDescent="0.25">
      <c r="T55812" s="135"/>
      <c r="U55812" s="135"/>
    </row>
    <row r="55813" spans="20:21" ht="15" customHeight="1" x14ac:dyDescent="0.25">
      <c r="T55813" s="135"/>
      <c r="U55813" s="135"/>
    </row>
    <row r="55814" spans="20:21" ht="15" customHeight="1" x14ac:dyDescent="0.25">
      <c r="T55814" s="135"/>
      <c r="U55814" s="135"/>
    </row>
    <row r="55815" spans="20:21" ht="15" customHeight="1" x14ac:dyDescent="0.25">
      <c r="T55815" s="135"/>
      <c r="U55815" s="135"/>
    </row>
    <row r="55816" spans="20:21" ht="15" customHeight="1" x14ac:dyDescent="0.25">
      <c r="T55816" s="135"/>
      <c r="U55816" s="135"/>
    </row>
    <row r="55817" spans="20:21" ht="15" customHeight="1" x14ac:dyDescent="0.25">
      <c r="T55817" s="135"/>
      <c r="U55817" s="135"/>
    </row>
    <row r="55818" spans="20:21" ht="15" customHeight="1" x14ac:dyDescent="0.25">
      <c r="T55818" s="135"/>
      <c r="U55818" s="135"/>
    </row>
    <row r="55819" spans="20:21" ht="15" customHeight="1" x14ac:dyDescent="0.25">
      <c r="T55819" s="135"/>
      <c r="U55819" s="135"/>
    </row>
    <row r="55820" spans="20:21" ht="15" customHeight="1" x14ac:dyDescent="0.25">
      <c r="T55820" s="135"/>
      <c r="U55820" s="135"/>
    </row>
    <row r="55821" spans="20:21" ht="15" customHeight="1" x14ac:dyDescent="0.25">
      <c r="T55821" s="135"/>
      <c r="U55821" s="135"/>
    </row>
    <row r="55822" spans="20:21" ht="15" customHeight="1" x14ac:dyDescent="0.25">
      <c r="T55822" s="135"/>
      <c r="U55822" s="135"/>
    </row>
    <row r="55823" spans="20:21" ht="15" customHeight="1" x14ac:dyDescent="0.25">
      <c r="T55823" s="135"/>
      <c r="U55823" s="135"/>
    </row>
    <row r="55824" spans="20:21" ht="15" customHeight="1" x14ac:dyDescent="0.25">
      <c r="T55824" s="135"/>
      <c r="U55824" s="135"/>
    </row>
    <row r="55825" spans="20:21" ht="15" customHeight="1" x14ac:dyDescent="0.25">
      <c r="T55825" s="135"/>
      <c r="U55825" s="135"/>
    </row>
    <row r="55826" spans="20:21" ht="15" customHeight="1" x14ac:dyDescent="0.25">
      <c r="T55826" s="135"/>
      <c r="U55826" s="135"/>
    </row>
    <row r="55827" spans="20:21" ht="15" customHeight="1" x14ac:dyDescent="0.25">
      <c r="T55827" s="135"/>
      <c r="U55827" s="135"/>
    </row>
    <row r="55828" spans="20:21" ht="15" customHeight="1" x14ac:dyDescent="0.25">
      <c r="T55828" s="135"/>
      <c r="U55828" s="135"/>
    </row>
    <row r="55829" spans="20:21" ht="15" customHeight="1" x14ac:dyDescent="0.25">
      <c r="T55829" s="135"/>
      <c r="U55829" s="135"/>
    </row>
    <row r="55830" spans="20:21" ht="15" customHeight="1" x14ac:dyDescent="0.25">
      <c r="T55830" s="135"/>
      <c r="U55830" s="135"/>
    </row>
    <row r="55831" spans="20:21" ht="15" customHeight="1" x14ac:dyDescent="0.25">
      <c r="T55831" s="135"/>
      <c r="U55831" s="135"/>
    </row>
    <row r="55832" spans="20:21" ht="15" customHeight="1" x14ac:dyDescent="0.25">
      <c r="T55832" s="135"/>
      <c r="U55832" s="135"/>
    </row>
    <row r="55833" spans="20:21" ht="15" customHeight="1" x14ac:dyDescent="0.25">
      <c r="T55833" s="135"/>
      <c r="U55833" s="135"/>
    </row>
    <row r="55834" spans="20:21" ht="15" customHeight="1" x14ac:dyDescent="0.25">
      <c r="T55834" s="135"/>
      <c r="U55834" s="135"/>
    </row>
    <row r="55835" spans="20:21" ht="15" customHeight="1" x14ac:dyDescent="0.25">
      <c r="T55835" s="135"/>
      <c r="U55835" s="135"/>
    </row>
    <row r="55836" spans="20:21" ht="15" customHeight="1" x14ac:dyDescent="0.25">
      <c r="T55836" s="135"/>
      <c r="U55836" s="135"/>
    </row>
    <row r="55837" spans="20:21" ht="15" customHeight="1" x14ac:dyDescent="0.25">
      <c r="T55837" s="135"/>
      <c r="U55837" s="135"/>
    </row>
    <row r="55838" spans="20:21" ht="15" customHeight="1" x14ac:dyDescent="0.25">
      <c r="T55838" s="135"/>
      <c r="U55838" s="135"/>
    </row>
    <row r="55839" spans="20:21" ht="15" customHeight="1" x14ac:dyDescent="0.25">
      <c r="T55839" s="135"/>
      <c r="U55839" s="135"/>
    </row>
    <row r="55840" spans="20:21" ht="15" customHeight="1" x14ac:dyDescent="0.25">
      <c r="T55840" s="135"/>
      <c r="U55840" s="135"/>
    </row>
    <row r="55841" spans="20:21" ht="15" customHeight="1" x14ac:dyDescent="0.25">
      <c r="T55841" s="135"/>
      <c r="U55841" s="135"/>
    </row>
    <row r="55842" spans="20:21" ht="15" customHeight="1" x14ac:dyDescent="0.25">
      <c r="T55842" s="135"/>
      <c r="U55842" s="135"/>
    </row>
    <row r="55843" spans="20:21" ht="15" customHeight="1" x14ac:dyDescent="0.25">
      <c r="T55843" s="135"/>
      <c r="U55843" s="135"/>
    </row>
    <row r="55844" spans="20:21" ht="15" customHeight="1" x14ac:dyDescent="0.25">
      <c r="T55844" s="135"/>
      <c r="U55844" s="135"/>
    </row>
    <row r="55845" spans="20:21" ht="15" customHeight="1" x14ac:dyDescent="0.25">
      <c r="T55845" s="135"/>
      <c r="U55845" s="135"/>
    </row>
    <row r="55846" spans="20:21" ht="15" customHeight="1" x14ac:dyDescent="0.25">
      <c r="T55846" s="135"/>
      <c r="U55846" s="135"/>
    </row>
    <row r="55847" spans="20:21" ht="15" customHeight="1" x14ac:dyDescent="0.25">
      <c r="T55847" s="135"/>
      <c r="U55847" s="135"/>
    </row>
    <row r="55848" spans="20:21" ht="15" customHeight="1" x14ac:dyDescent="0.25">
      <c r="T55848" s="135"/>
      <c r="U55848" s="135"/>
    </row>
    <row r="55849" spans="20:21" ht="15" customHeight="1" x14ac:dyDescent="0.25">
      <c r="T55849" s="135"/>
      <c r="U55849" s="135"/>
    </row>
    <row r="55850" spans="20:21" ht="15" customHeight="1" x14ac:dyDescent="0.25">
      <c r="T55850" s="135"/>
      <c r="U55850" s="135"/>
    </row>
    <row r="55851" spans="20:21" ht="15" customHeight="1" x14ac:dyDescent="0.25">
      <c r="T55851" s="135"/>
      <c r="U55851" s="135"/>
    </row>
    <row r="55852" spans="20:21" ht="15" customHeight="1" x14ac:dyDescent="0.25">
      <c r="T55852" s="135"/>
      <c r="U55852" s="135"/>
    </row>
    <row r="55853" spans="20:21" ht="15" customHeight="1" x14ac:dyDescent="0.25">
      <c r="T55853" s="135"/>
      <c r="U55853" s="135"/>
    </row>
    <row r="55854" spans="20:21" ht="15" customHeight="1" x14ac:dyDescent="0.25">
      <c r="T55854" s="135"/>
      <c r="U55854" s="135"/>
    </row>
    <row r="55855" spans="20:21" ht="15" customHeight="1" x14ac:dyDescent="0.25">
      <c r="T55855" s="135"/>
      <c r="U55855" s="135"/>
    </row>
    <row r="55856" spans="20:21" ht="15" customHeight="1" x14ac:dyDescent="0.25">
      <c r="T55856" s="135"/>
      <c r="U55856" s="135"/>
    </row>
    <row r="55857" spans="20:21" ht="15" customHeight="1" x14ac:dyDescent="0.25">
      <c r="T55857" s="135"/>
      <c r="U55857" s="135"/>
    </row>
    <row r="55858" spans="20:21" ht="15" customHeight="1" x14ac:dyDescent="0.25">
      <c r="T55858" s="135"/>
      <c r="U55858" s="135"/>
    </row>
    <row r="55859" spans="20:21" ht="15" customHeight="1" x14ac:dyDescent="0.25">
      <c r="T55859" s="135"/>
      <c r="U55859" s="135"/>
    </row>
    <row r="55860" spans="20:21" ht="15" customHeight="1" x14ac:dyDescent="0.25">
      <c r="T55860" s="135"/>
      <c r="U55860" s="135"/>
    </row>
    <row r="55861" spans="20:21" ht="15" customHeight="1" x14ac:dyDescent="0.25">
      <c r="T55861" s="135"/>
      <c r="U55861" s="135"/>
    </row>
    <row r="55862" spans="20:21" ht="15" customHeight="1" x14ac:dyDescent="0.25">
      <c r="T55862" s="135"/>
      <c r="U55862" s="135"/>
    </row>
    <row r="55863" spans="20:21" ht="15" customHeight="1" x14ac:dyDescent="0.25">
      <c r="T55863" s="135"/>
      <c r="U55863" s="135"/>
    </row>
    <row r="55864" spans="20:21" ht="15" customHeight="1" x14ac:dyDescent="0.25">
      <c r="T55864" s="135"/>
      <c r="U55864" s="135"/>
    </row>
    <row r="55865" spans="20:21" ht="15" customHeight="1" x14ac:dyDescent="0.25">
      <c r="T55865" s="135"/>
      <c r="U55865" s="135"/>
    </row>
    <row r="55866" spans="20:21" ht="15" customHeight="1" x14ac:dyDescent="0.25">
      <c r="T55866" s="135"/>
      <c r="U55866" s="135"/>
    </row>
    <row r="55867" spans="20:21" ht="15" customHeight="1" x14ac:dyDescent="0.25">
      <c r="T55867" s="135"/>
      <c r="U55867" s="135"/>
    </row>
    <row r="55868" spans="20:21" ht="15" customHeight="1" x14ac:dyDescent="0.25">
      <c r="T55868" s="135"/>
      <c r="U55868" s="135"/>
    </row>
    <row r="55869" spans="20:21" ht="15" customHeight="1" x14ac:dyDescent="0.25">
      <c r="T55869" s="135"/>
      <c r="U55869" s="135"/>
    </row>
    <row r="55870" spans="20:21" ht="15" customHeight="1" x14ac:dyDescent="0.25">
      <c r="T55870" s="135"/>
      <c r="U55870" s="135"/>
    </row>
    <row r="55871" spans="20:21" ht="15" customHeight="1" x14ac:dyDescent="0.25">
      <c r="T55871" s="135"/>
      <c r="U55871" s="135"/>
    </row>
    <row r="55872" spans="20:21" ht="15" customHeight="1" x14ac:dyDescent="0.25">
      <c r="T55872" s="135"/>
      <c r="U55872" s="135"/>
    </row>
    <row r="55873" spans="20:21" ht="15" customHeight="1" x14ac:dyDescent="0.25">
      <c r="T55873" s="135"/>
      <c r="U55873" s="135"/>
    </row>
    <row r="55874" spans="20:21" ht="15" customHeight="1" x14ac:dyDescent="0.25">
      <c r="T55874" s="135"/>
      <c r="U55874" s="135"/>
    </row>
    <row r="55875" spans="20:21" ht="15" customHeight="1" x14ac:dyDescent="0.25">
      <c r="T55875" s="135"/>
      <c r="U55875" s="135"/>
    </row>
    <row r="55876" spans="20:21" ht="15" customHeight="1" x14ac:dyDescent="0.25">
      <c r="T55876" s="135"/>
      <c r="U55876" s="135"/>
    </row>
    <row r="55877" spans="20:21" ht="15" customHeight="1" x14ac:dyDescent="0.25">
      <c r="T55877" s="135"/>
      <c r="U55877" s="135"/>
    </row>
    <row r="55878" spans="20:21" ht="15" customHeight="1" x14ac:dyDescent="0.25">
      <c r="T55878" s="135"/>
      <c r="U55878" s="135"/>
    </row>
    <row r="55879" spans="20:21" ht="15" customHeight="1" x14ac:dyDescent="0.25">
      <c r="T55879" s="135"/>
      <c r="U55879" s="135"/>
    </row>
    <row r="55880" spans="20:21" ht="15" customHeight="1" x14ac:dyDescent="0.25">
      <c r="T55880" s="135"/>
      <c r="U55880" s="135"/>
    </row>
    <row r="55881" spans="20:21" ht="15" customHeight="1" x14ac:dyDescent="0.25">
      <c r="T55881" s="135"/>
      <c r="U55881" s="135"/>
    </row>
    <row r="55882" spans="20:21" ht="15" customHeight="1" x14ac:dyDescent="0.25">
      <c r="T55882" s="135"/>
      <c r="U55882" s="135"/>
    </row>
    <row r="55883" spans="20:21" ht="15" customHeight="1" x14ac:dyDescent="0.25">
      <c r="T55883" s="135"/>
      <c r="U55883" s="135"/>
    </row>
    <row r="55884" spans="20:21" ht="15" customHeight="1" x14ac:dyDescent="0.25">
      <c r="T55884" s="135"/>
      <c r="U55884" s="135"/>
    </row>
    <row r="55885" spans="20:21" ht="15" customHeight="1" x14ac:dyDescent="0.25">
      <c r="T55885" s="135"/>
      <c r="U55885" s="135"/>
    </row>
    <row r="55886" spans="20:21" ht="15" customHeight="1" x14ac:dyDescent="0.25">
      <c r="T55886" s="135"/>
      <c r="U55886" s="135"/>
    </row>
    <row r="55887" spans="20:21" ht="15" customHeight="1" x14ac:dyDescent="0.25">
      <c r="T55887" s="135"/>
      <c r="U55887" s="135"/>
    </row>
    <row r="55888" spans="20:21" ht="15" customHeight="1" x14ac:dyDescent="0.25">
      <c r="T55888" s="135"/>
      <c r="U55888" s="135"/>
    </row>
    <row r="55889" spans="20:21" ht="15" customHeight="1" x14ac:dyDescent="0.25">
      <c r="T55889" s="135"/>
      <c r="U55889" s="135"/>
    </row>
    <row r="55890" spans="20:21" ht="15" customHeight="1" x14ac:dyDescent="0.25">
      <c r="T55890" s="135"/>
      <c r="U55890" s="135"/>
    </row>
    <row r="55891" spans="20:21" ht="15" customHeight="1" x14ac:dyDescent="0.25">
      <c r="T55891" s="135"/>
      <c r="U55891" s="135"/>
    </row>
    <row r="55892" spans="20:21" ht="15" customHeight="1" x14ac:dyDescent="0.25">
      <c r="T55892" s="135"/>
      <c r="U55892" s="135"/>
    </row>
    <row r="55893" spans="20:21" ht="15" customHeight="1" x14ac:dyDescent="0.25">
      <c r="T55893" s="135"/>
      <c r="U55893" s="135"/>
    </row>
    <row r="55894" spans="20:21" ht="15" customHeight="1" x14ac:dyDescent="0.25">
      <c r="T55894" s="135"/>
      <c r="U55894" s="135"/>
    </row>
    <row r="55895" spans="20:21" ht="15" customHeight="1" x14ac:dyDescent="0.25">
      <c r="T55895" s="135"/>
      <c r="U55895" s="135"/>
    </row>
    <row r="55896" spans="20:21" ht="15" customHeight="1" x14ac:dyDescent="0.25">
      <c r="T55896" s="135"/>
      <c r="U55896" s="135"/>
    </row>
    <row r="55897" spans="20:21" ht="15" customHeight="1" x14ac:dyDescent="0.25">
      <c r="T55897" s="135"/>
      <c r="U55897" s="135"/>
    </row>
    <row r="55898" spans="20:21" ht="15" customHeight="1" x14ac:dyDescent="0.25">
      <c r="T55898" s="135"/>
      <c r="U55898" s="135"/>
    </row>
    <row r="55899" spans="20:21" ht="15" customHeight="1" x14ac:dyDescent="0.25">
      <c r="T55899" s="135"/>
      <c r="U55899" s="135"/>
    </row>
    <row r="55900" spans="20:21" ht="15" customHeight="1" x14ac:dyDescent="0.25">
      <c r="T55900" s="135"/>
      <c r="U55900" s="135"/>
    </row>
    <row r="55901" spans="20:21" ht="15" customHeight="1" x14ac:dyDescent="0.25">
      <c r="T55901" s="135"/>
      <c r="U55901" s="135"/>
    </row>
    <row r="55902" spans="20:21" ht="15" customHeight="1" x14ac:dyDescent="0.25">
      <c r="T55902" s="135"/>
      <c r="U55902" s="135"/>
    </row>
    <row r="55903" spans="20:21" ht="15" customHeight="1" x14ac:dyDescent="0.25">
      <c r="T55903" s="135"/>
      <c r="U55903" s="135"/>
    </row>
    <row r="55904" spans="20:21" ht="15" customHeight="1" x14ac:dyDescent="0.25">
      <c r="T55904" s="135"/>
      <c r="U55904" s="135"/>
    </row>
    <row r="55905" spans="20:21" ht="15" customHeight="1" x14ac:dyDescent="0.25">
      <c r="T55905" s="135"/>
      <c r="U55905" s="135"/>
    </row>
    <row r="55906" spans="20:21" ht="15" customHeight="1" x14ac:dyDescent="0.25">
      <c r="T55906" s="135"/>
      <c r="U55906" s="135"/>
    </row>
    <row r="55907" spans="20:21" ht="15" customHeight="1" x14ac:dyDescent="0.25">
      <c r="T55907" s="135"/>
      <c r="U55907" s="135"/>
    </row>
    <row r="55908" spans="20:21" ht="15" customHeight="1" x14ac:dyDescent="0.25">
      <c r="T55908" s="135"/>
      <c r="U55908" s="135"/>
    </row>
    <row r="55909" spans="20:21" ht="15" customHeight="1" x14ac:dyDescent="0.25">
      <c r="T55909" s="135"/>
      <c r="U55909" s="135"/>
    </row>
    <row r="55910" spans="20:21" ht="15" customHeight="1" x14ac:dyDescent="0.25">
      <c r="T55910" s="135"/>
      <c r="U55910" s="135"/>
    </row>
    <row r="55911" spans="20:21" ht="15" customHeight="1" x14ac:dyDescent="0.25">
      <c r="T55911" s="135"/>
      <c r="U55911" s="135"/>
    </row>
    <row r="55912" spans="20:21" ht="15" customHeight="1" x14ac:dyDescent="0.25">
      <c r="T55912" s="135"/>
      <c r="U55912" s="135"/>
    </row>
    <row r="55913" spans="20:21" ht="15" customHeight="1" x14ac:dyDescent="0.25">
      <c r="T55913" s="135"/>
      <c r="U55913" s="135"/>
    </row>
    <row r="55914" spans="20:21" ht="15" customHeight="1" x14ac:dyDescent="0.25">
      <c r="T55914" s="135"/>
      <c r="U55914" s="135"/>
    </row>
    <row r="55915" spans="20:21" ht="15" customHeight="1" x14ac:dyDescent="0.25">
      <c r="T55915" s="135"/>
      <c r="U55915" s="135"/>
    </row>
    <row r="55916" spans="20:21" ht="15" customHeight="1" x14ac:dyDescent="0.25">
      <c r="T55916" s="135"/>
      <c r="U55916" s="135"/>
    </row>
    <row r="55917" spans="20:21" ht="15" customHeight="1" x14ac:dyDescent="0.25">
      <c r="T55917" s="135"/>
      <c r="U55917" s="135"/>
    </row>
    <row r="55918" spans="20:21" ht="15" customHeight="1" x14ac:dyDescent="0.25">
      <c r="T55918" s="135"/>
      <c r="U55918" s="135"/>
    </row>
    <row r="55919" spans="20:21" ht="15" customHeight="1" x14ac:dyDescent="0.25">
      <c r="T55919" s="135"/>
      <c r="U55919" s="135"/>
    </row>
    <row r="55920" spans="20:21" ht="15" customHeight="1" x14ac:dyDescent="0.25">
      <c r="T55920" s="135"/>
      <c r="U55920" s="135"/>
    </row>
    <row r="55921" spans="20:21" ht="15" customHeight="1" x14ac:dyDescent="0.25">
      <c r="T55921" s="135"/>
      <c r="U55921" s="135"/>
    </row>
    <row r="55922" spans="20:21" ht="15" customHeight="1" x14ac:dyDescent="0.25">
      <c r="T55922" s="135"/>
      <c r="U55922" s="135"/>
    </row>
    <row r="55923" spans="20:21" ht="15" customHeight="1" x14ac:dyDescent="0.25">
      <c r="T55923" s="135"/>
      <c r="U55923" s="135"/>
    </row>
    <row r="55924" spans="20:21" ht="15" customHeight="1" x14ac:dyDescent="0.25">
      <c r="T55924" s="135"/>
      <c r="U55924" s="135"/>
    </row>
    <row r="55925" spans="20:21" ht="15" customHeight="1" x14ac:dyDescent="0.25">
      <c r="T55925" s="135"/>
      <c r="U55925" s="135"/>
    </row>
    <row r="55926" spans="20:21" ht="15" customHeight="1" x14ac:dyDescent="0.25">
      <c r="T55926" s="135"/>
      <c r="U55926" s="135"/>
    </row>
    <row r="55927" spans="20:21" ht="15" customHeight="1" x14ac:dyDescent="0.25">
      <c r="T55927" s="135"/>
      <c r="U55927" s="135"/>
    </row>
    <row r="55928" spans="20:21" ht="15" customHeight="1" x14ac:dyDescent="0.25">
      <c r="T55928" s="135"/>
      <c r="U55928" s="135"/>
    </row>
    <row r="55929" spans="20:21" ht="15" customHeight="1" x14ac:dyDescent="0.25">
      <c r="T55929" s="135"/>
      <c r="U55929" s="135"/>
    </row>
    <row r="55930" spans="20:21" ht="15" customHeight="1" x14ac:dyDescent="0.25">
      <c r="T55930" s="135"/>
      <c r="U55930" s="135"/>
    </row>
    <row r="55931" spans="20:21" ht="15" customHeight="1" x14ac:dyDescent="0.25">
      <c r="T55931" s="135"/>
      <c r="U55931" s="135"/>
    </row>
    <row r="55932" spans="20:21" ht="15" customHeight="1" x14ac:dyDescent="0.25">
      <c r="T55932" s="135"/>
      <c r="U55932" s="135"/>
    </row>
    <row r="55933" spans="20:21" ht="15" customHeight="1" x14ac:dyDescent="0.25">
      <c r="T55933" s="135"/>
      <c r="U55933" s="135"/>
    </row>
    <row r="55934" spans="20:21" ht="15" customHeight="1" x14ac:dyDescent="0.25">
      <c r="T55934" s="135"/>
      <c r="U55934" s="135"/>
    </row>
    <row r="55935" spans="20:21" ht="15" customHeight="1" x14ac:dyDescent="0.25">
      <c r="T55935" s="135"/>
      <c r="U55935" s="135"/>
    </row>
    <row r="55936" spans="20:21" ht="15" customHeight="1" x14ac:dyDescent="0.25">
      <c r="T55936" s="135"/>
      <c r="U55936" s="135"/>
    </row>
    <row r="55937" spans="20:21" ht="15" customHeight="1" x14ac:dyDescent="0.25">
      <c r="T55937" s="135"/>
      <c r="U55937" s="135"/>
    </row>
    <row r="55938" spans="20:21" ht="15" customHeight="1" x14ac:dyDescent="0.25">
      <c r="T55938" s="135"/>
      <c r="U55938" s="135"/>
    </row>
    <row r="55939" spans="20:21" ht="15" customHeight="1" x14ac:dyDescent="0.25">
      <c r="T55939" s="135"/>
      <c r="U55939" s="135"/>
    </row>
    <row r="55940" spans="20:21" ht="15" customHeight="1" x14ac:dyDescent="0.25">
      <c r="T55940" s="135"/>
      <c r="U55940" s="135"/>
    </row>
    <row r="55941" spans="20:21" ht="15" customHeight="1" x14ac:dyDescent="0.25">
      <c r="T55941" s="135"/>
      <c r="U55941" s="135"/>
    </row>
    <row r="55942" spans="20:21" ht="15" customHeight="1" x14ac:dyDescent="0.25">
      <c r="T55942" s="135"/>
      <c r="U55942" s="135"/>
    </row>
    <row r="55943" spans="20:21" ht="15" customHeight="1" x14ac:dyDescent="0.25">
      <c r="T55943" s="135"/>
      <c r="U55943" s="135"/>
    </row>
    <row r="55944" spans="20:21" ht="15" customHeight="1" x14ac:dyDescent="0.25">
      <c r="T55944" s="135"/>
      <c r="U55944" s="135"/>
    </row>
    <row r="55945" spans="20:21" ht="15" customHeight="1" x14ac:dyDescent="0.25">
      <c r="T55945" s="135"/>
      <c r="U55945" s="135"/>
    </row>
    <row r="55946" spans="20:21" ht="15" customHeight="1" x14ac:dyDescent="0.25">
      <c r="T55946" s="135"/>
      <c r="U55946" s="135"/>
    </row>
    <row r="55947" spans="20:21" ht="15" customHeight="1" x14ac:dyDescent="0.25">
      <c r="T55947" s="135"/>
      <c r="U55947" s="135"/>
    </row>
    <row r="55948" spans="20:21" ht="15" customHeight="1" x14ac:dyDescent="0.25">
      <c r="T55948" s="135"/>
      <c r="U55948" s="135"/>
    </row>
    <row r="55949" spans="20:21" ht="15" customHeight="1" x14ac:dyDescent="0.25">
      <c r="T55949" s="135"/>
      <c r="U55949" s="135"/>
    </row>
    <row r="55950" spans="20:21" ht="15" customHeight="1" x14ac:dyDescent="0.25">
      <c r="T55950" s="135"/>
      <c r="U55950" s="135"/>
    </row>
    <row r="55951" spans="20:21" ht="15" customHeight="1" x14ac:dyDescent="0.25">
      <c r="T55951" s="135"/>
      <c r="U55951" s="135"/>
    </row>
    <row r="55952" spans="20:21" ht="15" customHeight="1" x14ac:dyDescent="0.25">
      <c r="T55952" s="135"/>
      <c r="U55952" s="135"/>
    </row>
    <row r="55953" spans="20:21" ht="15" customHeight="1" x14ac:dyDescent="0.25">
      <c r="T55953" s="135"/>
      <c r="U55953" s="135"/>
    </row>
    <row r="55954" spans="20:21" ht="15" customHeight="1" x14ac:dyDescent="0.25">
      <c r="T55954" s="135"/>
      <c r="U55954" s="135"/>
    </row>
    <row r="55955" spans="20:21" ht="15" customHeight="1" x14ac:dyDescent="0.25">
      <c r="T55955" s="135"/>
      <c r="U55955" s="135"/>
    </row>
    <row r="55956" spans="20:21" ht="15" customHeight="1" x14ac:dyDescent="0.25">
      <c r="T55956" s="135"/>
      <c r="U55956" s="135"/>
    </row>
    <row r="55957" spans="20:21" ht="15" customHeight="1" x14ac:dyDescent="0.25">
      <c r="T55957" s="135"/>
      <c r="U55957" s="135"/>
    </row>
    <row r="55958" spans="20:21" ht="15" customHeight="1" x14ac:dyDescent="0.25">
      <c r="T55958" s="135"/>
      <c r="U55958" s="135"/>
    </row>
    <row r="55959" spans="20:21" ht="15" customHeight="1" x14ac:dyDescent="0.25">
      <c r="T55959" s="135"/>
      <c r="U55959" s="135"/>
    </row>
    <row r="55960" spans="20:21" ht="15" customHeight="1" x14ac:dyDescent="0.25">
      <c r="T55960" s="135"/>
      <c r="U55960" s="135"/>
    </row>
    <row r="55961" spans="20:21" ht="15" customHeight="1" x14ac:dyDescent="0.25">
      <c r="T55961" s="135"/>
      <c r="U55961" s="135"/>
    </row>
    <row r="55962" spans="20:21" ht="15" customHeight="1" x14ac:dyDescent="0.25">
      <c r="T55962" s="135"/>
      <c r="U55962" s="135"/>
    </row>
    <row r="55963" spans="20:21" ht="15" customHeight="1" x14ac:dyDescent="0.25">
      <c r="T55963" s="135"/>
      <c r="U55963" s="135"/>
    </row>
    <row r="55964" spans="20:21" ht="15" customHeight="1" x14ac:dyDescent="0.25">
      <c r="T55964" s="135"/>
      <c r="U55964" s="135"/>
    </row>
    <row r="55965" spans="20:21" ht="15" customHeight="1" x14ac:dyDescent="0.25">
      <c r="T55965" s="135"/>
      <c r="U55965" s="135"/>
    </row>
    <row r="55966" spans="20:21" ht="15" customHeight="1" x14ac:dyDescent="0.25">
      <c r="T55966" s="135"/>
      <c r="U55966" s="135"/>
    </row>
    <row r="55967" spans="20:21" ht="15" customHeight="1" x14ac:dyDescent="0.25">
      <c r="T55967" s="135"/>
      <c r="U55967" s="135"/>
    </row>
    <row r="55968" spans="20:21" ht="15" customHeight="1" x14ac:dyDescent="0.25">
      <c r="T55968" s="135"/>
      <c r="U55968" s="135"/>
    </row>
    <row r="55969" spans="20:21" ht="15" customHeight="1" x14ac:dyDescent="0.25">
      <c r="T55969" s="135"/>
      <c r="U55969" s="135"/>
    </row>
    <row r="55970" spans="20:21" ht="15" customHeight="1" x14ac:dyDescent="0.25">
      <c r="T55970" s="135"/>
      <c r="U55970" s="135"/>
    </row>
    <row r="55971" spans="20:21" ht="15" customHeight="1" x14ac:dyDescent="0.25">
      <c r="T55971" s="135"/>
      <c r="U55971" s="135"/>
    </row>
    <row r="55972" spans="20:21" ht="15" customHeight="1" x14ac:dyDescent="0.25">
      <c r="T55972" s="135"/>
      <c r="U55972" s="135"/>
    </row>
    <row r="55973" spans="20:21" ht="15" customHeight="1" x14ac:dyDescent="0.25">
      <c r="T55973" s="135"/>
      <c r="U55973" s="135"/>
    </row>
    <row r="55974" spans="20:21" ht="15" customHeight="1" x14ac:dyDescent="0.25">
      <c r="T55974" s="135"/>
      <c r="U55974" s="135"/>
    </row>
    <row r="55975" spans="20:21" ht="15" customHeight="1" x14ac:dyDescent="0.25">
      <c r="T55975" s="135"/>
      <c r="U55975" s="135"/>
    </row>
    <row r="55976" spans="20:21" ht="15" customHeight="1" x14ac:dyDescent="0.25">
      <c r="T55976" s="135"/>
      <c r="U55976" s="135"/>
    </row>
    <row r="55977" spans="20:21" ht="15" customHeight="1" x14ac:dyDescent="0.25">
      <c r="T55977" s="135"/>
      <c r="U55977" s="135"/>
    </row>
    <row r="55978" spans="20:21" ht="15" customHeight="1" x14ac:dyDescent="0.25">
      <c r="T55978" s="135"/>
      <c r="U55978" s="135"/>
    </row>
    <row r="55979" spans="20:21" ht="15" customHeight="1" x14ac:dyDescent="0.25">
      <c r="T55979" s="135"/>
      <c r="U55979" s="135"/>
    </row>
    <row r="55980" spans="20:21" ht="15" customHeight="1" x14ac:dyDescent="0.25">
      <c r="T55980" s="135"/>
      <c r="U55980" s="135"/>
    </row>
    <row r="55981" spans="20:21" ht="15" customHeight="1" x14ac:dyDescent="0.25">
      <c r="T55981" s="135"/>
      <c r="U55981" s="135"/>
    </row>
    <row r="55982" spans="20:21" ht="15" customHeight="1" x14ac:dyDescent="0.25">
      <c r="T55982" s="135"/>
      <c r="U55982" s="135"/>
    </row>
    <row r="55983" spans="20:21" ht="15" customHeight="1" x14ac:dyDescent="0.25">
      <c r="T55983" s="135"/>
      <c r="U55983" s="135"/>
    </row>
    <row r="55984" spans="20:21" ht="15" customHeight="1" x14ac:dyDescent="0.25">
      <c r="T55984" s="135"/>
      <c r="U55984" s="135"/>
    </row>
    <row r="55985" spans="20:21" ht="15" customHeight="1" x14ac:dyDescent="0.25">
      <c r="T55985" s="135"/>
      <c r="U55985" s="135"/>
    </row>
    <row r="55986" spans="20:21" ht="15" customHeight="1" x14ac:dyDescent="0.25">
      <c r="T55986" s="135"/>
      <c r="U55986" s="135"/>
    </row>
    <row r="55987" spans="20:21" ht="15" customHeight="1" x14ac:dyDescent="0.25">
      <c r="T55987" s="135"/>
      <c r="U55987" s="135"/>
    </row>
    <row r="55988" spans="20:21" ht="15" customHeight="1" x14ac:dyDescent="0.25">
      <c r="T55988" s="135"/>
      <c r="U55988" s="135"/>
    </row>
    <row r="55989" spans="20:21" ht="15" customHeight="1" x14ac:dyDescent="0.25">
      <c r="T55989" s="135"/>
      <c r="U55989" s="135"/>
    </row>
    <row r="55990" spans="20:21" ht="15" customHeight="1" x14ac:dyDescent="0.25">
      <c r="T55990" s="135"/>
      <c r="U55990" s="135"/>
    </row>
    <row r="55991" spans="20:21" ht="15" customHeight="1" x14ac:dyDescent="0.25">
      <c r="T55991" s="135"/>
      <c r="U55991" s="135"/>
    </row>
    <row r="55992" spans="20:21" ht="15" customHeight="1" x14ac:dyDescent="0.25">
      <c r="T55992" s="135"/>
      <c r="U55992" s="135"/>
    </row>
    <row r="55993" spans="20:21" ht="15" customHeight="1" x14ac:dyDescent="0.25">
      <c r="T55993" s="135"/>
      <c r="U55993" s="135"/>
    </row>
    <row r="55994" spans="20:21" ht="15" customHeight="1" x14ac:dyDescent="0.25">
      <c r="T55994" s="135"/>
      <c r="U55994" s="135"/>
    </row>
    <row r="55995" spans="20:21" ht="15" customHeight="1" x14ac:dyDescent="0.25">
      <c r="T55995" s="135"/>
      <c r="U55995" s="135"/>
    </row>
    <row r="55996" spans="20:21" ht="15" customHeight="1" x14ac:dyDescent="0.25">
      <c r="T55996" s="135"/>
      <c r="U55996" s="135"/>
    </row>
    <row r="55997" spans="20:21" ht="15" customHeight="1" x14ac:dyDescent="0.25">
      <c r="T55997" s="135"/>
      <c r="U55997" s="135"/>
    </row>
    <row r="55998" spans="20:21" ht="15" customHeight="1" x14ac:dyDescent="0.25">
      <c r="T55998" s="135"/>
      <c r="U55998" s="135"/>
    </row>
    <row r="55999" spans="20:21" ht="15" customHeight="1" x14ac:dyDescent="0.25">
      <c r="T55999" s="135"/>
      <c r="U55999" s="135"/>
    </row>
    <row r="56000" spans="20:21" ht="15" customHeight="1" x14ac:dyDescent="0.25">
      <c r="T56000" s="135"/>
      <c r="U56000" s="135"/>
    </row>
    <row r="56001" spans="20:21" ht="15" customHeight="1" x14ac:dyDescent="0.25">
      <c r="T56001" s="135"/>
      <c r="U56001" s="135"/>
    </row>
    <row r="56002" spans="20:21" ht="15" customHeight="1" x14ac:dyDescent="0.25">
      <c r="T56002" s="135"/>
      <c r="U56002" s="135"/>
    </row>
    <row r="56003" spans="20:21" ht="15" customHeight="1" x14ac:dyDescent="0.25">
      <c r="T56003" s="135"/>
      <c r="U56003" s="135"/>
    </row>
    <row r="56004" spans="20:21" ht="15" customHeight="1" x14ac:dyDescent="0.25">
      <c r="T56004" s="135"/>
      <c r="U56004" s="135"/>
    </row>
    <row r="56005" spans="20:21" ht="15" customHeight="1" x14ac:dyDescent="0.25">
      <c r="T56005" s="135"/>
      <c r="U56005" s="135"/>
    </row>
    <row r="56006" spans="20:21" ht="15" customHeight="1" x14ac:dyDescent="0.25">
      <c r="T56006" s="135"/>
      <c r="U56006" s="135"/>
    </row>
    <row r="56007" spans="20:21" ht="15" customHeight="1" x14ac:dyDescent="0.25">
      <c r="T56007" s="135"/>
      <c r="U56007" s="135"/>
    </row>
    <row r="56008" spans="20:21" ht="15" customHeight="1" x14ac:dyDescent="0.25">
      <c r="T56008" s="135"/>
      <c r="U56008" s="135"/>
    </row>
    <row r="56009" spans="20:21" ht="15" customHeight="1" x14ac:dyDescent="0.25">
      <c r="T56009" s="135"/>
      <c r="U56009" s="135"/>
    </row>
    <row r="56010" spans="20:21" ht="15" customHeight="1" x14ac:dyDescent="0.25">
      <c r="T56010" s="135"/>
      <c r="U56010" s="135"/>
    </row>
    <row r="56011" spans="20:21" ht="15" customHeight="1" x14ac:dyDescent="0.25">
      <c r="T56011" s="135"/>
      <c r="U56011" s="135"/>
    </row>
    <row r="56012" spans="20:21" ht="15" customHeight="1" x14ac:dyDescent="0.25">
      <c r="T56012" s="135"/>
      <c r="U56012" s="135"/>
    </row>
    <row r="56013" spans="20:21" ht="15" customHeight="1" x14ac:dyDescent="0.25">
      <c r="T56013" s="135"/>
      <c r="U56013" s="135"/>
    </row>
    <row r="56014" spans="20:21" ht="15" customHeight="1" x14ac:dyDescent="0.25">
      <c r="T56014" s="135"/>
      <c r="U56014" s="135"/>
    </row>
    <row r="56015" spans="20:21" ht="15" customHeight="1" x14ac:dyDescent="0.25">
      <c r="T56015" s="135"/>
      <c r="U56015" s="135"/>
    </row>
    <row r="56016" spans="20:21" ht="15" customHeight="1" x14ac:dyDescent="0.25">
      <c r="T56016" s="135"/>
      <c r="U56016" s="135"/>
    </row>
    <row r="56017" spans="20:21" ht="15" customHeight="1" x14ac:dyDescent="0.25">
      <c r="T56017" s="135"/>
      <c r="U56017" s="135"/>
    </row>
    <row r="56018" spans="20:21" ht="15" customHeight="1" x14ac:dyDescent="0.25">
      <c r="T56018" s="135"/>
      <c r="U56018" s="135"/>
    </row>
    <row r="56019" spans="20:21" ht="15" customHeight="1" x14ac:dyDescent="0.25">
      <c r="T56019" s="135"/>
      <c r="U56019" s="135"/>
    </row>
    <row r="56020" spans="20:21" ht="15" customHeight="1" x14ac:dyDescent="0.25">
      <c r="T56020" s="135"/>
      <c r="U56020" s="135"/>
    </row>
    <row r="56021" spans="20:21" ht="15" customHeight="1" x14ac:dyDescent="0.25">
      <c r="T56021" s="135"/>
      <c r="U56021" s="135"/>
    </row>
    <row r="56022" spans="20:21" ht="15" customHeight="1" x14ac:dyDescent="0.25">
      <c r="T56022" s="135"/>
      <c r="U56022" s="135"/>
    </row>
    <row r="56023" spans="20:21" ht="15" customHeight="1" x14ac:dyDescent="0.25">
      <c r="T56023" s="135"/>
      <c r="U56023" s="135"/>
    </row>
    <row r="56024" spans="20:21" ht="15" customHeight="1" x14ac:dyDescent="0.25">
      <c r="T56024" s="135"/>
      <c r="U56024" s="135"/>
    </row>
    <row r="56025" spans="20:21" ht="15" customHeight="1" x14ac:dyDescent="0.25">
      <c r="T56025" s="135"/>
      <c r="U56025" s="135"/>
    </row>
    <row r="56026" spans="20:21" ht="15" customHeight="1" x14ac:dyDescent="0.25">
      <c r="T56026" s="135"/>
      <c r="U56026" s="135"/>
    </row>
    <row r="56027" spans="20:21" ht="15" customHeight="1" x14ac:dyDescent="0.25">
      <c r="T56027" s="135"/>
      <c r="U56027" s="135"/>
    </row>
    <row r="56028" spans="20:21" ht="15" customHeight="1" x14ac:dyDescent="0.25">
      <c r="T56028" s="135"/>
      <c r="U56028" s="135"/>
    </row>
    <row r="56029" spans="20:21" ht="15" customHeight="1" x14ac:dyDescent="0.25">
      <c r="T56029" s="135"/>
      <c r="U56029" s="135"/>
    </row>
    <row r="56030" spans="20:21" ht="15" customHeight="1" x14ac:dyDescent="0.25">
      <c r="T56030" s="135"/>
      <c r="U56030" s="135"/>
    </row>
    <row r="56031" spans="20:21" ht="15" customHeight="1" x14ac:dyDescent="0.25">
      <c r="T56031" s="135"/>
      <c r="U56031" s="135"/>
    </row>
    <row r="56032" spans="20:21" ht="15" customHeight="1" x14ac:dyDescent="0.25">
      <c r="T56032" s="135"/>
      <c r="U56032" s="135"/>
    </row>
    <row r="56033" spans="20:21" ht="15" customHeight="1" x14ac:dyDescent="0.25">
      <c r="T56033" s="135"/>
      <c r="U56033" s="135"/>
    </row>
    <row r="56034" spans="20:21" ht="15" customHeight="1" x14ac:dyDescent="0.25">
      <c r="T56034" s="135"/>
      <c r="U56034" s="135"/>
    </row>
    <row r="56035" spans="20:21" ht="15" customHeight="1" x14ac:dyDescent="0.25">
      <c r="T56035" s="135"/>
      <c r="U56035" s="135"/>
    </row>
    <row r="56036" spans="20:21" ht="15" customHeight="1" x14ac:dyDescent="0.25">
      <c r="T56036" s="135"/>
      <c r="U56036" s="135"/>
    </row>
    <row r="56037" spans="20:21" ht="15" customHeight="1" x14ac:dyDescent="0.25">
      <c r="T56037" s="135"/>
      <c r="U56037" s="135"/>
    </row>
    <row r="56038" spans="20:21" ht="15" customHeight="1" x14ac:dyDescent="0.25">
      <c r="T56038" s="135"/>
      <c r="U56038" s="135"/>
    </row>
    <row r="56039" spans="20:21" ht="15" customHeight="1" x14ac:dyDescent="0.25">
      <c r="T56039" s="135"/>
      <c r="U56039" s="135"/>
    </row>
    <row r="56040" spans="20:21" ht="15" customHeight="1" x14ac:dyDescent="0.25">
      <c r="T56040" s="135"/>
      <c r="U56040" s="135"/>
    </row>
    <row r="56041" spans="20:21" ht="15" customHeight="1" x14ac:dyDescent="0.25">
      <c r="T56041" s="135"/>
      <c r="U56041" s="135"/>
    </row>
    <row r="56042" spans="20:21" ht="15" customHeight="1" x14ac:dyDescent="0.25">
      <c r="T56042" s="135"/>
      <c r="U56042" s="135"/>
    </row>
    <row r="56043" spans="20:21" ht="15" customHeight="1" x14ac:dyDescent="0.25">
      <c r="T56043" s="135"/>
      <c r="U56043" s="135"/>
    </row>
    <row r="56044" spans="20:21" ht="15" customHeight="1" x14ac:dyDescent="0.25">
      <c r="T56044" s="135"/>
      <c r="U56044" s="135"/>
    </row>
    <row r="56045" spans="20:21" ht="15" customHeight="1" x14ac:dyDescent="0.25">
      <c r="T56045" s="135"/>
      <c r="U56045" s="135"/>
    </row>
    <row r="56046" spans="20:21" ht="15" customHeight="1" x14ac:dyDescent="0.25">
      <c r="T56046" s="135"/>
      <c r="U56046" s="135"/>
    </row>
    <row r="56047" spans="20:21" ht="15" customHeight="1" x14ac:dyDescent="0.25">
      <c r="T56047" s="135"/>
      <c r="U56047" s="135"/>
    </row>
    <row r="56048" spans="20:21" ht="15" customHeight="1" x14ac:dyDescent="0.25">
      <c r="T56048" s="135"/>
      <c r="U56048" s="135"/>
    </row>
    <row r="56049" spans="20:21" ht="15" customHeight="1" x14ac:dyDescent="0.25">
      <c r="T56049" s="135"/>
      <c r="U56049" s="135"/>
    </row>
    <row r="56050" spans="20:21" ht="15" customHeight="1" x14ac:dyDescent="0.25">
      <c r="T56050" s="135"/>
      <c r="U56050" s="135"/>
    </row>
    <row r="56051" spans="20:21" ht="15" customHeight="1" x14ac:dyDescent="0.25">
      <c r="T56051" s="135"/>
      <c r="U56051" s="135"/>
    </row>
    <row r="56052" spans="20:21" ht="15" customHeight="1" x14ac:dyDescent="0.25">
      <c r="T56052" s="135"/>
      <c r="U56052" s="135"/>
    </row>
    <row r="56053" spans="20:21" ht="15" customHeight="1" x14ac:dyDescent="0.25">
      <c r="T56053" s="135"/>
      <c r="U56053" s="135"/>
    </row>
    <row r="56054" spans="20:21" ht="15" customHeight="1" x14ac:dyDescent="0.25">
      <c r="T56054" s="135"/>
      <c r="U56054" s="135"/>
    </row>
    <row r="56055" spans="20:21" ht="15" customHeight="1" x14ac:dyDescent="0.25">
      <c r="T56055" s="135"/>
      <c r="U56055" s="135"/>
    </row>
    <row r="56056" spans="20:21" ht="15" customHeight="1" x14ac:dyDescent="0.25">
      <c r="T56056" s="135"/>
      <c r="U56056" s="135"/>
    </row>
    <row r="56057" spans="20:21" ht="15" customHeight="1" x14ac:dyDescent="0.25">
      <c r="T56057" s="135"/>
      <c r="U56057" s="135"/>
    </row>
    <row r="56058" spans="20:21" ht="15" customHeight="1" x14ac:dyDescent="0.25">
      <c r="T56058" s="135"/>
      <c r="U56058" s="135"/>
    </row>
    <row r="56059" spans="20:21" ht="15" customHeight="1" x14ac:dyDescent="0.25">
      <c r="T56059" s="135"/>
      <c r="U56059" s="135"/>
    </row>
    <row r="56060" spans="20:21" ht="15" customHeight="1" x14ac:dyDescent="0.25">
      <c r="T56060" s="135"/>
      <c r="U56060" s="135"/>
    </row>
    <row r="56061" spans="20:21" ht="15" customHeight="1" x14ac:dyDescent="0.25">
      <c r="T56061" s="135"/>
      <c r="U56061" s="135"/>
    </row>
    <row r="56062" spans="20:21" ht="15" customHeight="1" x14ac:dyDescent="0.25">
      <c r="T56062" s="135"/>
      <c r="U56062" s="135"/>
    </row>
    <row r="56063" spans="20:21" ht="15" customHeight="1" x14ac:dyDescent="0.25">
      <c r="T56063" s="135"/>
      <c r="U56063" s="135"/>
    </row>
    <row r="56064" spans="20:21" ht="15" customHeight="1" x14ac:dyDescent="0.25">
      <c r="T56064" s="135"/>
      <c r="U56064" s="135"/>
    </row>
    <row r="56065" spans="20:21" ht="15" customHeight="1" x14ac:dyDescent="0.25">
      <c r="T56065" s="135"/>
      <c r="U56065" s="135"/>
    </row>
    <row r="56066" spans="20:21" ht="15" customHeight="1" x14ac:dyDescent="0.25">
      <c r="T56066" s="135"/>
      <c r="U56066" s="135"/>
    </row>
    <row r="56067" spans="20:21" ht="15" customHeight="1" x14ac:dyDescent="0.25">
      <c r="T56067" s="135"/>
      <c r="U56067" s="135"/>
    </row>
    <row r="56068" spans="20:21" ht="15" customHeight="1" x14ac:dyDescent="0.25">
      <c r="T56068" s="135"/>
      <c r="U56068" s="135"/>
    </row>
    <row r="56069" spans="20:21" ht="15" customHeight="1" x14ac:dyDescent="0.25">
      <c r="T56069" s="135"/>
      <c r="U56069" s="135"/>
    </row>
    <row r="56070" spans="20:21" ht="15" customHeight="1" x14ac:dyDescent="0.25">
      <c r="T56070" s="135"/>
      <c r="U56070" s="135"/>
    </row>
    <row r="56071" spans="20:21" ht="15" customHeight="1" x14ac:dyDescent="0.25">
      <c r="T56071" s="135"/>
      <c r="U56071" s="135"/>
    </row>
    <row r="56072" spans="20:21" ht="15" customHeight="1" x14ac:dyDescent="0.25">
      <c r="T56072" s="135"/>
      <c r="U56072" s="135"/>
    </row>
    <row r="56073" spans="20:21" ht="15" customHeight="1" x14ac:dyDescent="0.25">
      <c r="T56073" s="135"/>
      <c r="U56073" s="135"/>
    </row>
    <row r="56074" spans="20:21" ht="15" customHeight="1" x14ac:dyDescent="0.25">
      <c r="T56074" s="135"/>
      <c r="U56074" s="135"/>
    </row>
    <row r="56075" spans="20:21" ht="15" customHeight="1" x14ac:dyDescent="0.25">
      <c r="T56075" s="135"/>
      <c r="U56075" s="135"/>
    </row>
    <row r="56076" spans="20:21" ht="15" customHeight="1" x14ac:dyDescent="0.25">
      <c r="T56076" s="135"/>
      <c r="U56076" s="135"/>
    </row>
    <row r="56077" spans="20:21" ht="15" customHeight="1" x14ac:dyDescent="0.25">
      <c r="T56077" s="135"/>
      <c r="U56077" s="135"/>
    </row>
    <row r="56078" spans="20:21" ht="15" customHeight="1" x14ac:dyDescent="0.25">
      <c r="T56078" s="135"/>
      <c r="U56078" s="135"/>
    </row>
    <row r="56079" spans="20:21" ht="15" customHeight="1" x14ac:dyDescent="0.25">
      <c r="T56079" s="135"/>
      <c r="U56079" s="135"/>
    </row>
    <row r="56080" spans="20:21" ht="15" customHeight="1" x14ac:dyDescent="0.25">
      <c r="T56080" s="135"/>
      <c r="U56080" s="135"/>
    </row>
    <row r="56081" spans="20:21" ht="15" customHeight="1" x14ac:dyDescent="0.25">
      <c r="T56081" s="135"/>
      <c r="U56081" s="135"/>
    </row>
    <row r="56082" spans="20:21" ht="15" customHeight="1" x14ac:dyDescent="0.25">
      <c r="T56082" s="135"/>
      <c r="U56082" s="135"/>
    </row>
    <row r="56083" spans="20:21" ht="15" customHeight="1" x14ac:dyDescent="0.25">
      <c r="T56083" s="135"/>
      <c r="U56083" s="135"/>
    </row>
    <row r="56084" spans="20:21" ht="15" customHeight="1" x14ac:dyDescent="0.25">
      <c r="T56084" s="135"/>
      <c r="U56084" s="135"/>
    </row>
    <row r="56085" spans="20:21" ht="15" customHeight="1" x14ac:dyDescent="0.25">
      <c r="T56085" s="135"/>
      <c r="U56085" s="135"/>
    </row>
    <row r="56086" spans="20:21" ht="15" customHeight="1" x14ac:dyDescent="0.25">
      <c r="T56086" s="135"/>
      <c r="U56086" s="135"/>
    </row>
    <row r="56087" spans="20:21" ht="15" customHeight="1" x14ac:dyDescent="0.25">
      <c r="T56087" s="135"/>
      <c r="U56087" s="135"/>
    </row>
    <row r="56088" spans="20:21" ht="15" customHeight="1" x14ac:dyDescent="0.25">
      <c r="T56088" s="135"/>
      <c r="U56088" s="135"/>
    </row>
    <row r="56089" spans="20:21" ht="15" customHeight="1" x14ac:dyDescent="0.25">
      <c r="T56089" s="135"/>
      <c r="U56089" s="135"/>
    </row>
    <row r="56090" spans="20:21" ht="15" customHeight="1" x14ac:dyDescent="0.25">
      <c r="T56090" s="135"/>
      <c r="U56090" s="135"/>
    </row>
    <row r="56091" spans="20:21" ht="15" customHeight="1" x14ac:dyDescent="0.25">
      <c r="T56091" s="135"/>
      <c r="U56091" s="135"/>
    </row>
    <row r="56092" spans="20:21" ht="15" customHeight="1" x14ac:dyDescent="0.25">
      <c r="T56092" s="135"/>
      <c r="U56092" s="135"/>
    </row>
    <row r="56093" spans="20:21" ht="15" customHeight="1" x14ac:dyDescent="0.25">
      <c r="T56093" s="135"/>
      <c r="U56093" s="135"/>
    </row>
    <row r="56094" spans="20:21" ht="15" customHeight="1" x14ac:dyDescent="0.25">
      <c r="T56094" s="135"/>
      <c r="U56094" s="135"/>
    </row>
    <row r="56095" spans="20:21" ht="15" customHeight="1" x14ac:dyDescent="0.25">
      <c r="T56095" s="135"/>
      <c r="U56095" s="135"/>
    </row>
    <row r="56096" spans="20:21" ht="15" customHeight="1" x14ac:dyDescent="0.25">
      <c r="T56096" s="135"/>
      <c r="U56096" s="135"/>
    </row>
    <row r="56097" spans="20:21" ht="15" customHeight="1" x14ac:dyDescent="0.25">
      <c r="T56097" s="135"/>
      <c r="U56097" s="135"/>
    </row>
    <row r="56098" spans="20:21" ht="15" customHeight="1" x14ac:dyDescent="0.25">
      <c r="T56098" s="135"/>
      <c r="U56098" s="135"/>
    </row>
    <row r="56099" spans="20:21" ht="15" customHeight="1" x14ac:dyDescent="0.25">
      <c r="T56099" s="135"/>
      <c r="U56099" s="135"/>
    </row>
    <row r="56100" spans="20:21" ht="15" customHeight="1" x14ac:dyDescent="0.25">
      <c r="T56100" s="135"/>
      <c r="U56100" s="135"/>
    </row>
    <row r="56101" spans="20:21" ht="15" customHeight="1" x14ac:dyDescent="0.25">
      <c r="T56101" s="135"/>
      <c r="U56101" s="135"/>
    </row>
    <row r="56102" spans="20:21" ht="15" customHeight="1" x14ac:dyDescent="0.25">
      <c r="T56102" s="135"/>
      <c r="U56102" s="135"/>
    </row>
    <row r="56103" spans="20:21" ht="15" customHeight="1" x14ac:dyDescent="0.25">
      <c r="T56103" s="135"/>
      <c r="U56103" s="135"/>
    </row>
    <row r="56104" spans="20:21" ht="15" customHeight="1" x14ac:dyDescent="0.25">
      <c r="T56104" s="135"/>
      <c r="U56104" s="135"/>
    </row>
    <row r="56105" spans="20:21" ht="15" customHeight="1" x14ac:dyDescent="0.25">
      <c r="T56105" s="135"/>
      <c r="U56105" s="135"/>
    </row>
    <row r="56106" spans="20:21" ht="15" customHeight="1" x14ac:dyDescent="0.25">
      <c r="T56106" s="135"/>
      <c r="U56106" s="135"/>
    </row>
    <row r="56107" spans="20:21" ht="15" customHeight="1" x14ac:dyDescent="0.25">
      <c r="T56107" s="135"/>
      <c r="U56107" s="135"/>
    </row>
    <row r="56108" spans="20:21" ht="15" customHeight="1" x14ac:dyDescent="0.25">
      <c r="T56108" s="135"/>
      <c r="U56108" s="135"/>
    </row>
    <row r="56109" spans="20:21" ht="15" customHeight="1" x14ac:dyDescent="0.25">
      <c r="T56109" s="135"/>
      <c r="U56109" s="135"/>
    </row>
    <row r="56110" spans="20:21" ht="15" customHeight="1" x14ac:dyDescent="0.25">
      <c r="T56110" s="135"/>
      <c r="U56110" s="135"/>
    </row>
    <row r="56111" spans="20:21" ht="15" customHeight="1" x14ac:dyDescent="0.25">
      <c r="T56111" s="135"/>
      <c r="U56111" s="135"/>
    </row>
    <row r="56112" spans="20:21" ht="15" customHeight="1" x14ac:dyDescent="0.25">
      <c r="T56112" s="135"/>
      <c r="U56112" s="135"/>
    </row>
    <row r="56113" spans="20:21" ht="15" customHeight="1" x14ac:dyDescent="0.25">
      <c r="T56113" s="135"/>
      <c r="U56113" s="135"/>
    </row>
    <row r="56114" spans="20:21" ht="15" customHeight="1" x14ac:dyDescent="0.25">
      <c r="T56114" s="135"/>
      <c r="U56114" s="135"/>
    </row>
    <row r="56115" spans="20:21" ht="15" customHeight="1" x14ac:dyDescent="0.25">
      <c r="T56115" s="135"/>
      <c r="U56115" s="135"/>
    </row>
    <row r="56116" spans="20:21" ht="15" customHeight="1" x14ac:dyDescent="0.25">
      <c r="T56116" s="135"/>
      <c r="U56116" s="135"/>
    </row>
    <row r="56117" spans="20:21" ht="15" customHeight="1" x14ac:dyDescent="0.25">
      <c r="T56117" s="135"/>
      <c r="U56117" s="135"/>
    </row>
    <row r="56118" spans="20:21" ht="15" customHeight="1" x14ac:dyDescent="0.25">
      <c r="T56118" s="135"/>
      <c r="U56118" s="135"/>
    </row>
    <row r="56119" spans="20:21" ht="15" customHeight="1" x14ac:dyDescent="0.25">
      <c r="T56119" s="135"/>
      <c r="U56119" s="135"/>
    </row>
    <row r="56120" spans="20:21" ht="15" customHeight="1" x14ac:dyDescent="0.25">
      <c r="T56120" s="135"/>
      <c r="U56120" s="135"/>
    </row>
    <row r="56121" spans="20:21" ht="15" customHeight="1" x14ac:dyDescent="0.25">
      <c r="T56121" s="135"/>
      <c r="U56121" s="135"/>
    </row>
    <row r="56122" spans="20:21" ht="15" customHeight="1" x14ac:dyDescent="0.25">
      <c r="T56122" s="135"/>
      <c r="U56122" s="135"/>
    </row>
    <row r="56123" spans="20:21" ht="15" customHeight="1" x14ac:dyDescent="0.25">
      <c r="T56123" s="135"/>
      <c r="U56123" s="135"/>
    </row>
    <row r="56124" spans="20:21" ht="15" customHeight="1" x14ac:dyDescent="0.25">
      <c r="T56124" s="135"/>
      <c r="U56124" s="135"/>
    </row>
    <row r="56125" spans="20:21" ht="15" customHeight="1" x14ac:dyDescent="0.25">
      <c r="T56125" s="135"/>
      <c r="U56125" s="135"/>
    </row>
    <row r="56126" spans="20:21" ht="15" customHeight="1" x14ac:dyDescent="0.25">
      <c r="T56126" s="135"/>
      <c r="U56126" s="135"/>
    </row>
    <row r="56127" spans="20:21" ht="15" customHeight="1" x14ac:dyDescent="0.25">
      <c r="T56127" s="135"/>
      <c r="U56127" s="135"/>
    </row>
    <row r="56128" spans="20:21" ht="15" customHeight="1" x14ac:dyDescent="0.25">
      <c r="T56128" s="135"/>
      <c r="U56128" s="135"/>
    </row>
    <row r="56129" spans="20:21" ht="15" customHeight="1" x14ac:dyDescent="0.25">
      <c r="T56129" s="135"/>
      <c r="U56129" s="135"/>
    </row>
    <row r="56130" spans="20:21" ht="15" customHeight="1" x14ac:dyDescent="0.25">
      <c r="T56130" s="135"/>
      <c r="U56130" s="135"/>
    </row>
    <row r="56131" spans="20:21" ht="15" customHeight="1" x14ac:dyDescent="0.25">
      <c r="T56131" s="135"/>
      <c r="U56131" s="135"/>
    </row>
    <row r="56132" spans="20:21" ht="15" customHeight="1" x14ac:dyDescent="0.25">
      <c r="T56132" s="135"/>
      <c r="U56132" s="135"/>
    </row>
    <row r="56133" spans="20:21" ht="15" customHeight="1" x14ac:dyDescent="0.25">
      <c r="T56133" s="135"/>
      <c r="U56133" s="135"/>
    </row>
    <row r="56134" spans="20:21" ht="15" customHeight="1" x14ac:dyDescent="0.25">
      <c r="T56134" s="135"/>
      <c r="U56134" s="135"/>
    </row>
    <row r="56135" spans="20:21" ht="15" customHeight="1" x14ac:dyDescent="0.25">
      <c r="T56135" s="135"/>
      <c r="U56135" s="135"/>
    </row>
    <row r="56136" spans="20:21" ht="15" customHeight="1" x14ac:dyDescent="0.25">
      <c r="T56136" s="135"/>
      <c r="U56136" s="135"/>
    </row>
    <row r="56137" spans="20:21" ht="15" customHeight="1" x14ac:dyDescent="0.25">
      <c r="T56137" s="135"/>
      <c r="U56137" s="135"/>
    </row>
    <row r="56138" spans="20:21" ht="15" customHeight="1" x14ac:dyDescent="0.25">
      <c r="T56138" s="135"/>
      <c r="U56138" s="135"/>
    </row>
    <row r="56139" spans="20:21" ht="15" customHeight="1" x14ac:dyDescent="0.25">
      <c r="T56139" s="135"/>
      <c r="U56139" s="135"/>
    </row>
    <row r="56140" spans="20:21" ht="15" customHeight="1" x14ac:dyDescent="0.25">
      <c r="T56140" s="135"/>
      <c r="U56140" s="135"/>
    </row>
    <row r="56141" spans="20:21" ht="15" customHeight="1" x14ac:dyDescent="0.25">
      <c r="T56141" s="135"/>
      <c r="U56141" s="135"/>
    </row>
    <row r="56142" spans="20:21" ht="15" customHeight="1" x14ac:dyDescent="0.25">
      <c r="T56142" s="135"/>
      <c r="U56142" s="135"/>
    </row>
    <row r="56143" spans="20:21" ht="15" customHeight="1" x14ac:dyDescent="0.25">
      <c r="T56143" s="135"/>
      <c r="U56143" s="135"/>
    </row>
    <row r="56144" spans="20:21" ht="15" customHeight="1" x14ac:dyDescent="0.25">
      <c r="T56144" s="135"/>
      <c r="U56144" s="135"/>
    </row>
    <row r="56145" spans="20:21" ht="15" customHeight="1" x14ac:dyDescent="0.25">
      <c r="T56145" s="135"/>
      <c r="U56145" s="135"/>
    </row>
    <row r="56146" spans="20:21" ht="15" customHeight="1" x14ac:dyDescent="0.25">
      <c r="T56146" s="135"/>
      <c r="U56146" s="135"/>
    </row>
    <row r="56147" spans="20:21" ht="15" customHeight="1" x14ac:dyDescent="0.25">
      <c r="T56147" s="135"/>
      <c r="U56147" s="135"/>
    </row>
    <row r="56148" spans="20:21" ht="15" customHeight="1" x14ac:dyDescent="0.25">
      <c r="T56148" s="135"/>
      <c r="U56148" s="135"/>
    </row>
    <row r="56149" spans="20:21" ht="15" customHeight="1" x14ac:dyDescent="0.25">
      <c r="T56149" s="135"/>
      <c r="U56149" s="135"/>
    </row>
    <row r="56150" spans="20:21" ht="15" customHeight="1" x14ac:dyDescent="0.25">
      <c r="T56150" s="135"/>
      <c r="U56150" s="135"/>
    </row>
    <row r="56151" spans="20:21" ht="15" customHeight="1" x14ac:dyDescent="0.25">
      <c r="T56151" s="135"/>
      <c r="U56151" s="135"/>
    </row>
    <row r="56152" spans="20:21" ht="15" customHeight="1" x14ac:dyDescent="0.25">
      <c r="T56152" s="135"/>
      <c r="U56152" s="135"/>
    </row>
    <row r="56153" spans="20:21" ht="15" customHeight="1" x14ac:dyDescent="0.25">
      <c r="T56153" s="135"/>
      <c r="U56153" s="135"/>
    </row>
    <row r="56154" spans="20:21" ht="15" customHeight="1" x14ac:dyDescent="0.25">
      <c r="T56154" s="135"/>
      <c r="U56154" s="135"/>
    </row>
    <row r="56155" spans="20:21" ht="15" customHeight="1" x14ac:dyDescent="0.25">
      <c r="T56155" s="135"/>
      <c r="U56155" s="135"/>
    </row>
    <row r="56156" spans="20:21" ht="15" customHeight="1" x14ac:dyDescent="0.25">
      <c r="T56156" s="135"/>
      <c r="U56156" s="135"/>
    </row>
    <row r="56157" spans="20:21" ht="15" customHeight="1" x14ac:dyDescent="0.25">
      <c r="T56157" s="135"/>
      <c r="U56157" s="135"/>
    </row>
    <row r="56158" spans="20:21" ht="15" customHeight="1" x14ac:dyDescent="0.25">
      <c r="T56158" s="135"/>
      <c r="U56158" s="135"/>
    </row>
    <row r="56159" spans="20:21" ht="15" customHeight="1" x14ac:dyDescent="0.25">
      <c r="T56159" s="135"/>
      <c r="U56159" s="135"/>
    </row>
    <row r="56160" spans="20:21" ht="15" customHeight="1" x14ac:dyDescent="0.25">
      <c r="T56160" s="135"/>
      <c r="U56160" s="135"/>
    </row>
    <row r="56161" spans="20:21" ht="15" customHeight="1" x14ac:dyDescent="0.25">
      <c r="T56161" s="135"/>
      <c r="U56161" s="135"/>
    </row>
    <row r="56162" spans="20:21" ht="15" customHeight="1" x14ac:dyDescent="0.25">
      <c r="T56162" s="135"/>
      <c r="U56162" s="135"/>
    </row>
    <row r="56163" spans="20:21" ht="15" customHeight="1" x14ac:dyDescent="0.25">
      <c r="T56163" s="135"/>
      <c r="U56163" s="135"/>
    </row>
    <row r="56164" spans="20:21" ht="15" customHeight="1" x14ac:dyDescent="0.25">
      <c r="T56164" s="135"/>
      <c r="U56164" s="135"/>
    </row>
    <row r="56165" spans="20:21" ht="15" customHeight="1" x14ac:dyDescent="0.25">
      <c r="T56165" s="135"/>
      <c r="U56165" s="135"/>
    </row>
    <row r="56166" spans="20:21" ht="15" customHeight="1" x14ac:dyDescent="0.25">
      <c r="T56166" s="135"/>
      <c r="U56166" s="135"/>
    </row>
    <row r="56167" spans="20:21" ht="15" customHeight="1" x14ac:dyDescent="0.25">
      <c r="T56167" s="135"/>
      <c r="U56167" s="135"/>
    </row>
    <row r="56168" spans="20:21" ht="15" customHeight="1" x14ac:dyDescent="0.25">
      <c r="T56168" s="135"/>
      <c r="U56168" s="135"/>
    </row>
    <row r="56169" spans="20:21" ht="15" customHeight="1" x14ac:dyDescent="0.25">
      <c r="T56169" s="135"/>
      <c r="U56169" s="135"/>
    </row>
    <row r="56170" spans="20:21" ht="15" customHeight="1" x14ac:dyDescent="0.25">
      <c r="T56170" s="135"/>
      <c r="U56170" s="135"/>
    </row>
    <row r="56171" spans="20:21" ht="15" customHeight="1" x14ac:dyDescent="0.25">
      <c r="T56171" s="135"/>
      <c r="U56171" s="135"/>
    </row>
    <row r="56172" spans="20:21" ht="15" customHeight="1" x14ac:dyDescent="0.25">
      <c r="T56172" s="135"/>
      <c r="U56172" s="135"/>
    </row>
    <row r="56173" spans="20:21" ht="15" customHeight="1" x14ac:dyDescent="0.25">
      <c r="T56173" s="135"/>
      <c r="U56173" s="135"/>
    </row>
    <row r="56174" spans="20:21" ht="15" customHeight="1" x14ac:dyDescent="0.25">
      <c r="T56174" s="135"/>
      <c r="U56174" s="135"/>
    </row>
    <row r="56175" spans="20:21" ht="15" customHeight="1" x14ac:dyDescent="0.25">
      <c r="T56175" s="135"/>
      <c r="U56175" s="135"/>
    </row>
    <row r="56176" spans="20:21" ht="15" customHeight="1" x14ac:dyDescent="0.25">
      <c r="T56176" s="135"/>
      <c r="U56176" s="135"/>
    </row>
    <row r="56177" spans="20:21" ht="15" customHeight="1" x14ac:dyDescent="0.25">
      <c r="T56177" s="135"/>
      <c r="U56177" s="135"/>
    </row>
    <row r="56178" spans="20:21" ht="15" customHeight="1" x14ac:dyDescent="0.25">
      <c r="T56178" s="135"/>
      <c r="U56178" s="135"/>
    </row>
    <row r="56179" spans="20:21" ht="15" customHeight="1" x14ac:dyDescent="0.25">
      <c r="T56179" s="135"/>
      <c r="U56179" s="135"/>
    </row>
    <row r="56180" spans="20:21" ht="15" customHeight="1" x14ac:dyDescent="0.25">
      <c r="T56180" s="135"/>
      <c r="U56180" s="135"/>
    </row>
    <row r="56181" spans="20:21" ht="15" customHeight="1" x14ac:dyDescent="0.25">
      <c r="T56181" s="135"/>
      <c r="U56181" s="135"/>
    </row>
    <row r="56182" spans="20:21" ht="15" customHeight="1" x14ac:dyDescent="0.25">
      <c r="T56182" s="135"/>
      <c r="U56182" s="135"/>
    </row>
    <row r="56183" spans="20:21" ht="15" customHeight="1" x14ac:dyDescent="0.25">
      <c r="T56183" s="135"/>
      <c r="U56183" s="135"/>
    </row>
    <row r="56184" spans="20:21" ht="15" customHeight="1" x14ac:dyDescent="0.25">
      <c r="T56184" s="135"/>
      <c r="U56184" s="135"/>
    </row>
    <row r="56185" spans="20:21" ht="15" customHeight="1" x14ac:dyDescent="0.25">
      <c r="T56185" s="135"/>
      <c r="U56185" s="135"/>
    </row>
    <row r="56186" spans="20:21" ht="15" customHeight="1" x14ac:dyDescent="0.25">
      <c r="T56186" s="135"/>
      <c r="U56186" s="135"/>
    </row>
    <row r="56187" spans="20:21" ht="15" customHeight="1" x14ac:dyDescent="0.25">
      <c r="T56187" s="135"/>
      <c r="U56187" s="135"/>
    </row>
    <row r="56188" spans="20:21" ht="15" customHeight="1" x14ac:dyDescent="0.25">
      <c r="T56188" s="135"/>
      <c r="U56188" s="135"/>
    </row>
    <row r="56189" spans="20:21" ht="15" customHeight="1" x14ac:dyDescent="0.25">
      <c r="T56189" s="135"/>
      <c r="U56189" s="135"/>
    </row>
    <row r="56190" spans="20:21" ht="15" customHeight="1" x14ac:dyDescent="0.25">
      <c r="T56190" s="135"/>
      <c r="U56190" s="135"/>
    </row>
    <row r="56191" spans="20:21" ht="15" customHeight="1" x14ac:dyDescent="0.25">
      <c r="T56191" s="135"/>
      <c r="U56191" s="135"/>
    </row>
    <row r="56192" spans="20:21" ht="15" customHeight="1" x14ac:dyDescent="0.25">
      <c r="T56192" s="135"/>
      <c r="U56192" s="135"/>
    </row>
    <row r="56193" spans="20:21" ht="15" customHeight="1" x14ac:dyDescent="0.25">
      <c r="T56193" s="135"/>
      <c r="U56193" s="135"/>
    </row>
    <row r="56194" spans="20:21" ht="15" customHeight="1" x14ac:dyDescent="0.25">
      <c r="T56194" s="135"/>
      <c r="U56194" s="135"/>
    </row>
    <row r="56195" spans="20:21" ht="15" customHeight="1" x14ac:dyDescent="0.25">
      <c r="T56195" s="135"/>
      <c r="U56195" s="135"/>
    </row>
    <row r="56196" spans="20:21" ht="15" customHeight="1" x14ac:dyDescent="0.25">
      <c r="T56196" s="135"/>
      <c r="U56196" s="135"/>
    </row>
    <row r="56197" spans="20:21" ht="15" customHeight="1" x14ac:dyDescent="0.25">
      <c r="T56197" s="135"/>
      <c r="U56197" s="135"/>
    </row>
    <row r="56198" spans="20:21" ht="15" customHeight="1" x14ac:dyDescent="0.25">
      <c r="T56198" s="135"/>
      <c r="U56198" s="135"/>
    </row>
    <row r="56199" spans="20:21" ht="15" customHeight="1" x14ac:dyDescent="0.25">
      <c r="T56199" s="135"/>
      <c r="U56199" s="135"/>
    </row>
    <row r="56200" spans="20:21" ht="15" customHeight="1" x14ac:dyDescent="0.25">
      <c r="T56200" s="135"/>
      <c r="U56200" s="135"/>
    </row>
    <row r="56201" spans="20:21" ht="15" customHeight="1" x14ac:dyDescent="0.25">
      <c r="T56201" s="135"/>
      <c r="U56201" s="135"/>
    </row>
    <row r="56202" spans="20:21" ht="15" customHeight="1" x14ac:dyDescent="0.25">
      <c r="T56202" s="135"/>
      <c r="U56202" s="135"/>
    </row>
    <row r="56203" spans="20:21" ht="15" customHeight="1" x14ac:dyDescent="0.25">
      <c r="T56203" s="135"/>
      <c r="U56203" s="135"/>
    </row>
    <row r="56204" spans="20:21" ht="15" customHeight="1" x14ac:dyDescent="0.25">
      <c r="T56204" s="135"/>
      <c r="U56204" s="135"/>
    </row>
    <row r="56205" spans="20:21" ht="15" customHeight="1" x14ac:dyDescent="0.25">
      <c r="T56205" s="135"/>
      <c r="U56205" s="135"/>
    </row>
    <row r="56206" spans="20:21" ht="15" customHeight="1" x14ac:dyDescent="0.25">
      <c r="T56206" s="135"/>
      <c r="U56206" s="135"/>
    </row>
    <row r="56207" spans="20:21" ht="15" customHeight="1" x14ac:dyDescent="0.25">
      <c r="T56207" s="135"/>
      <c r="U56207" s="135"/>
    </row>
    <row r="56208" spans="20:21" ht="15" customHeight="1" x14ac:dyDescent="0.25">
      <c r="T56208" s="135"/>
      <c r="U56208" s="135"/>
    </row>
    <row r="56209" spans="20:21" ht="15" customHeight="1" x14ac:dyDescent="0.25">
      <c r="T56209" s="135"/>
      <c r="U56209" s="135"/>
    </row>
    <row r="56210" spans="20:21" ht="15" customHeight="1" x14ac:dyDescent="0.25">
      <c r="T56210" s="135"/>
      <c r="U56210" s="135"/>
    </row>
    <row r="56211" spans="20:21" ht="15" customHeight="1" x14ac:dyDescent="0.25">
      <c r="T56211" s="135"/>
      <c r="U56211" s="135"/>
    </row>
    <row r="56212" spans="20:21" ht="15" customHeight="1" x14ac:dyDescent="0.25">
      <c r="T56212" s="135"/>
      <c r="U56212" s="135"/>
    </row>
    <row r="56213" spans="20:21" ht="15" customHeight="1" x14ac:dyDescent="0.25">
      <c r="T56213" s="135"/>
      <c r="U56213" s="135"/>
    </row>
    <row r="56214" spans="20:21" ht="15" customHeight="1" x14ac:dyDescent="0.25">
      <c r="T56214" s="135"/>
      <c r="U56214" s="135"/>
    </row>
    <row r="56215" spans="20:21" ht="15" customHeight="1" x14ac:dyDescent="0.25">
      <c r="T56215" s="135"/>
      <c r="U56215" s="135"/>
    </row>
    <row r="56216" spans="20:21" ht="15" customHeight="1" x14ac:dyDescent="0.25">
      <c r="T56216" s="135"/>
      <c r="U56216" s="135"/>
    </row>
    <row r="56217" spans="20:21" ht="15" customHeight="1" x14ac:dyDescent="0.25">
      <c r="T56217" s="135"/>
      <c r="U56217" s="135"/>
    </row>
    <row r="56218" spans="20:21" ht="15" customHeight="1" x14ac:dyDescent="0.25">
      <c r="T56218" s="135"/>
      <c r="U56218" s="135"/>
    </row>
    <row r="56219" spans="20:21" ht="15" customHeight="1" x14ac:dyDescent="0.25">
      <c r="T56219" s="135"/>
      <c r="U56219" s="135"/>
    </row>
    <row r="56220" spans="20:21" ht="15" customHeight="1" x14ac:dyDescent="0.25">
      <c r="T56220" s="135"/>
      <c r="U56220" s="135"/>
    </row>
    <row r="56221" spans="20:21" ht="15" customHeight="1" x14ac:dyDescent="0.25">
      <c r="T56221" s="135"/>
      <c r="U56221" s="135"/>
    </row>
    <row r="56222" spans="20:21" ht="15" customHeight="1" x14ac:dyDescent="0.25">
      <c r="T56222" s="135"/>
      <c r="U56222" s="135"/>
    </row>
    <row r="56223" spans="20:21" ht="15" customHeight="1" x14ac:dyDescent="0.25">
      <c r="T56223" s="135"/>
      <c r="U56223" s="135"/>
    </row>
    <row r="56224" spans="20:21" ht="15" customHeight="1" x14ac:dyDescent="0.25">
      <c r="T56224" s="135"/>
      <c r="U56224" s="135"/>
    </row>
    <row r="56225" spans="20:21" ht="15" customHeight="1" x14ac:dyDescent="0.25">
      <c r="T56225" s="135"/>
      <c r="U56225" s="135"/>
    </row>
    <row r="56226" spans="20:21" ht="15" customHeight="1" x14ac:dyDescent="0.25">
      <c r="T56226" s="135"/>
      <c r="U56226" s="135"/>
    </row>
    <row r="56227" spans="20:21" ht="15" customHeight="1" x14ac:dyDescent="0.25">
      <c r="T56227" s="135"/>
      <c r="U56227" s="135"/>
    </row>
    <row r="56228" spans="20:21" ht="15" customHeight="1" x14ac:dyDescent="0.25">
      <c r="T56228" s="135"/>
      <c r="U56228" s="135"/>
    </row>
    <row r="56229" spans="20:21" ht="15" customHeight="1" x14ac:dyDescent="0.25">
      <c r="T56229" s="135"/>
      <c r="U56229" s="135"/>
    </row>
    <row r="56230" spans="20:21" ht="15" customHeight="1" x14ac:dyDescent="0.25">
      <c r="T56230" s="135"/>
      <c r="U56230" s="135"/>
    </row>
    <row r="56231" spans="20:21" ht="15" customHeight="1" x14ac:dyDescent="0.25">
      <c r="T56231" s="135"/>
      <c r="U56231" s="135"/>
    </row>
    <row r="56232" spans="20:21" ht="15" customHeight="1" x14ac:dyDescent="0.25">
      <c r="T56232" s="135"/>
      <c r="U56232" s="135"/>
    </row>
    <row r="56233" spans="20:21" ht="15" customHeight="1" x14ac:dyDescent="0.25">
      <c r="T56233" s="135"/>
      <c r="U56233" s="135"/>
    </row>
    <row r="56234" spans="20:21" ht="15" customHeight="1" x14ac:dyDescent="0.25">
      <c r="T56234" s="135"/>
      <c r="U56234" s="135"/>
    </row>
    <row r="56235" spans="20:21" ht="15" customHeight="1" x14ac:dyDescent="0.25">
      <c r="T56235" s="135"/>
      <c r="U56235" s="135"/>
    </row>
    <row r="56236" spans="20:21" ht="15" customHeight="1" x14ac:dyDescent="0.25">
      <c r="T56236" s="135"/>
      <c r="U56236" s="135"/>
    </row>
    <row r="56237" spans="20:21" ht="15" customHeight="1" x14ac:dyDescent="0.25">
      <c r="T56237" s="135"/>
      <c r="U56237" s="135"/>
    </row>
    <row r="56238" spans="20:21" ht="15" customHeight="1" x14ac:dyDescent="0.25">
      <c r="T56238" s="135"/>
      <c r="U56238" s="135"/>
    </row>
    <row r="56239" spans="20:21" ht="15" customHeight="1" x14ac:dyDescent="0.25">
      <c r="T56239" s="135"/>
      <c r="U56239" s="135"/>
    </row>
    <row r="56240" spans="20:21" ht="15" customHeight="1" x14ac:dyDescent="0.25">
      <c r="T56240" s="135"/>
      <c r="U56240" s="135"/>
    </row>
    <row r="56241" spans="20:21" ht="15" customHeight="1" x14ac:dyDescent="0.25">
      <c r="T56241" s="135"/>
      <c r="U56241" s="135"/>
    </row>
    <row r="56242" spans="20:21" ht="15" customHeight="1" x14ac:dyDescent="0.25">
      <c r="T56242" s="135"/>
      <c r="U56242" s="135"/>
    </row>
    <row r="56243" spans="20:21" ht="15" customHeight="1" x14ac:dyDescent="0.25">
      <c r="T56243" s="135"/>
      <c r="U56243" s="135"/>
    </row>
    <row r="56244" spans="20:21" ht="15" customHeight="1" x14ac:dyDescent="0.25">
      <c r="T56244" s="135"/>
      <c r="U56244" s="135"/>
    </row>
    <row r="56245" spans="20:21" ht="15" customHeight="1" x14ac:dyDescent="0.25">
      <c r="T56245" s="135"/>
      <c r="U56245" s="135"/>
    </row>
    <row r="56246" spans="20:21" ht="15" customHeight="1" x14ac:dyDescent="0.25">
      <c r="T56246" s="135"/>
      <c r="U56246" s="135"/>
    </row>
    <row r="56247" spans="20:21" ht="15" customHeight="1" x14ac:dyDescent="0.25">
      <c r="T56247" s="135"/>
      <c r="U56247" s="135"/>
    </row>
    <row r="56248" spans="20:21" ht="15" customHeight="1" x14ac:dyDescent="0.25">
      <c r="T56248" s="135"/>
      <c r="U56248" s="135"/>
    </row>
    <row r="56249" spans="20:21" ht="15" customHeight="1" x14ac:dyDescent="0.25">
      <c r="T56249" s="135"/>
      <c r="U56249" s="135"/>
    </row>
    <row r="56250" spans="20:21" ht="15" customHeight="1" x14ac:dyDescent="0.25">
      <c r="T56250" s="135"/>
      <c r="U56250" s="135"/>
    </row>
    <row r="56251" spans="20:21" ht="15" customHeight="1" x14ac:dyDescent="0.25">
      <c r="T56251" s="135"/>
      <c r="U56251" s="135"/>
    </row>
    <row r="56252" spans="20:21" ht="15" customHeight="1" x14ac:dyDescent="0.25">
      <c r="T56252" s="135"/>
      <c r="U56252" s="135"/>
    </row>
    <row r="56253" spans="20:21" ht="15" customHeight="1" x14ac:dyDescent="0.25">
      <c r="T56253" s="135"/>
      <c r="U56253" s="135"/>
    </row>
    <row r="56254" spans="20:21" ht="15" customHeight="1" x14ac:dyDescent="0.25">
      <c r="T56254" s="135"/>
      <c r="U56254" s="135"/>
    </row>
    <row r="56255" spans="20:21" ht="15" customHeight="1" x14ac:dyDescent="0.25">
      <c r="T56255" s="135"/>
      <c r="U56255" s="135"/>
    </row>
    <row r="56256" spans="20:21" ht="15" customHeight="1" x14ac:dyDescent="0.25">
      <c r="T56256" s="135"/>
      <c r="U56256" s="135"/>
    </row>
    <row r="56257" spans="20:21" ht="15" customHeight="1" x14ac:dyDescent="0.25">
      <c r="T56257" s="135"/>
      <c r="U56257" s="135"/>
    </row>
    <row r="56258" spans="20:21" ht="15" customHeight="1" x14ac:dyDescent="0.25">
      <c r="T56258" s="135"/>
      <c r="U56258" s="135"/>
    </row>
    <row r="56259" spans="20:21" ht="15" customHeight="1" x14ac:dyDescent="0.25">
      <c r="T56259" s="135"/>
      <c r="U56259" s="135"/>
    </row>
    <row r="56260" spans="20:21" ht="15" customHeight="1" x14ac:dyDescent="0.25">
      <c r="T56260" s="135"/>
      <c r="U56260" s="135"/>
    </row>
    <row r="56261" spans="20:21" ht="15" customHeight="1" x14ac:dyDescent="0.25">
      <c r="T56261" s="135"/>
      <c r="U56261" s="135"/>
    </row>
    <row r="56262" spans="20:21" ht="15" customHeight="1" x14ac:dyDescent="0.25">
      <c r="T56262" s="135"/>
      <c r="U56262" s="135"/>
    </row>
    <row r="56263" spans="20:21" ht="15" customHeight="1" x14ac:dyDescent="0.25">
      <c r="T56263" s="135"/>
      <c r="U56263" s="135"/>
    </row>
    <row r="56264" spans="20:21" ht="15" customHeight="1" x14ac:dyDescent="0.25">
      <c r="T56264" s="135"/>
      <c r="U56264" s="135"/>
    </row>
    <row r="56265" spans="20:21" ht="15" customHeight="1" x14ac:dyDescent="0.25">
      <c r="T56265" s="135"/>
      <c r="U56265" s="135"/>
    </row>
    <row r="56266" spans="20:21" ht="15" customHeight="1" x14ac:dyDescent="0.25">
      <c r="T56266" s="135"/>
      <c r="U56266" s="135"/>
    </row>
    <row r="56267" spans="20:21" ht="15" customHeight="1" x14ac:dyDescent="0.25">
      <c r="T56267" s="135"/>
      <c r="U56267" s="135"/>
    </row>
    <row r="56268" spans="20:21" ht="15" customHeight="1" x14ac:dyDescent="0.25">
      <c r="T56268" s="135"/>
      <c r="U56268" s="135"/>
    </row>
    <row r="56269" spans="20:21" ht="15" customHeight="1" x14ac:dyDescent="0.25">
      <c r="T56269" s="135"/>
      <c r="U56269" s="135"/>
    </row>
    <row r="56270" spans="20:21" ht="15" customHeight="1" x14ac:dyDescent="0.25">
      <c r="T56270" s="135"/>
      <c r="U56270" s="135"/>
    </row>
    <row r="56271" spans="20:21" ht="15" customHeight="1" x14ac:dyDescent="0.25">
      <c r="T56271" s="135"/>
      <c r="U56271" s="135"/>
    </row>
    <row r="56272" spans="20:21" ht="15" customHeight="1" x14ac:dyDescent="0.25">
      <c r="T56272" s="135"/>
      <c r="U56272" s="135"/>
    </row>
    <row r="56273" spans="20:21" ht="15" customHeight="1" x14ac:dyDescent="0.25">
      <c r="T56273" s="135"/>
      <c r="U56273" s="135"/>
    </row>
    <row r="56274" spans="20:21" ht="15" customHeight="1" x14ac:dyDescent="0.25">
      <c r="T56274" s="135"/>
      <c r="U56274" s="135"/>
    </row>
    <row r="56275" spans="20:21" ht="15" customHeight="1" x14ac:dyDescent="0.25">
      <c r="T56275" s="135"/>
      <c r="U56275" s="135"/>
    </row>
    <row r="56276" spans="20:21" ht="15" customHeight="1" x14ac:dyDescent="0.25">
      <c r="T56276" s="135"/>
      <c r="U56276" s="135"/>
    </row>
    <row r="56277" spans="20:21" ht="15" customHeight="1" x14ac:dyDescent="0.25">
      <c r="T56277" s="135"/>
      <c r="U56277" s="135"/>
    </row>
    <row r="56278" spans="20:21" ht="15" customHeight="1" x14ac:dyDescent="0.25">
      <c r="T56278" s="135"/>
      <c r="U56278" s="135"/>
    </row>
    <row r="56279" spans="20:21" ht="15" customHeight="1" x14ac:dyDescent="0.25">
      <c r="T56279" s="135"/>
      <c r="U56279" s="135"/>
    </row>
    <row r="56280" spans="20:21" ht="15" customHeight="1" x14ac:dyDescent="0.25">
      <c r="T56280" s="135"/>
      <c r="U56280" s="135"/>
    </row>
    <row r="56281" spans="20:21" ht="15" customHeight="1" x14ac:dyDescent="0.25">
      <c r="T56281" s="135"/>
      <c r="U56281" s="135"/>
    </row>
    <row r="56282" spans="20:21" ht="15" customHeight="1" x14ac:dyDescent="0.25">
      <c r="T56282" s="135"/>
      <c r="U56282" s="135"/>
    </row>
    <row r="56283" spans="20:21" ht="15" customHeight="1" x14ac:dyDescent="0.25">
      <c r="T56283" s="135"/>
      <c r="U56283" s="135"/>
    </row>
    <row r="56284" spans="20:21" ht="15" customHeight="1" x14ac:dyDescent="0.25">
      <c r="T56284" s="135"/>
      <c r="U56284" s="135"/>
    </row>
    <row r="56285" spans="20:21" ht="15" customHeight="1" x14ac:dyDescent="0.25">
      <c r="T56285" s="135"/>
      <c r="U56285" s="135"/>
    </row>
    <row r="56286" spans="20:21" ht="15" customHeight="1" x14ac:dyDescent="0.25">
      <c r="T56286" s="135"/>
      <c r="U56286" s="135"/>
    </row>
    <row r="56287" spans="20:21" ht="15" customHeight="1" x14ac:dyDescent="0.25">
      <c r="T56287" s="135"/>
      <c r="U56287" s="135"/>
    </row>
    <row r="56288" spans="20:21" ht="15" customHeight="1" x14ac:dyDescent="0.25">
      <c r="T56288" s="135"/>
      <c r="U56288" s="135"/>
    </row>
    <row r="56289" spans="20:21" ht="15" customHeight="1" x14ac:dyDescent="0.25">
      <c r="T56289" s="135"/>
      <c r="U56289" s="135"/>
    </row>
    <row r="56290" spans="20:21" ht="15" customHeight="1" x14ac:dyDescent="0.25">
      <c r="T56290" s="135"/>
      <c r="U56290" s="135"/>
    </row>
    <row r="56291" spans="20:21" ht="15" customHeight="1" x14ac:dyDescent="0.25">
      <c r="T56291" s="135"/>
      <c r="U56291" s="135"/>
    </row>
    <row r="56292" spans="20:21" ht="15" customHeight="1" x14ac:dyDescent="0.25">
      <c r="T56292" s="135"/>
      <c r="U56292" s="135"/>
    </row>
    <row r="56293" spans="20:21" ht="15" customHeight="1" x14ac:dyDescent="0.25">
      <c r="T56293" s="135"/>
      <c r="U56293" s="135"/>
    </row>
    <row r="56294" spans="20:21" ht="15" customHeight="1" x14ac:dyDescent="0.25">
      <c r="T56294" s="135"/>
      <c r="U56294" s="135"/>
    </row>
    <row r="56295" spans="20:21" ht="15" customHeight="1" x14ac:dyDescent="0.25">
      <c r="T56295" s="135"/>
      <c r="U56295" s="135"/>
    </row>
    <row r="56296" spans="20:21" ht="15" customHeight="1" x14ac:dyDescent="0.25">
      <c r="T56296" s="135"/>
      <c r="U56296" s="135"/>
    </row>
    <row r="56297" spans="20:21" ht="15" customHeight="1" x14ac:dyDescent="0.25">
      <c r="T56297" s="135"/>
      <c r="U56297" s="135"/>
    </row>
    <row r="56298" spans="20:21" ht="15" customHeight="1" x14ac:dyDescent="0.25">
      <c r="T56298" s="135"/>
      <c r="U56298" s="135"/>
    </row>
    <row r="56299" spans="20:21" ht="15" customHeight="1" x14ac:dyDescent="0.25">
      <c r="T56299" s="135"/>
      <c r="U56299" s="135"/>
    </row>
    <row r="56300" spans="20:21" ht="15" customHeight="1" x14ac:dyDescent="0.25">
      <c r="T56300" s="135"/>
      <c r="U56300" s="135"/>
    </row>
    <row r="56301" spans="20:21" ht="15" customHeight="1" x14ac:dyDescent="0.25">
      <c r="T56301" s="135"/>
      <c r="U56301" s="135"/>
    </row>
    <row r="56302" spans="20:21" ht="15" customHeight="1" x14ac:dyDescent="0.25">
      <c r="T56302" s="135"/>
      <c r="U56302" s="135"/>
    </row>
    <row r="56303" spans="20:21" ht="15" customHeight="1" x14ac:dyDescent="0.25">
      <c r="T56303" s="135"/>
      <c r="U56303" s="135"/>
    </row>
    <row r="56304" spans="20:21" ht="15" customHeight="1" x14ac:dyDescent="0.25">
      <c r="T56304" s="135"/>
      <c r="U56304" s="135"/>
    </row>
    <row r="56305" spans="20:21" ht="15" customHeight="1" x14ac:dyDescent="0.25">
      <c r="T56305" s="135"/>
      <c r="U56305" s="135"/>
    </row>
    <row r="56306" spans="20:21" ht="15" customHeight="1" x14ac:dyDescent="0.25">
      <c r="T56306" s="135"/>
      <c r="U56306" s="135"/>
    </row>
    <row r="56307" spans="20:21" ht="15" customHeight="1" x14ac:dyDescent="0.25">
      <c r="T56307" s="135"/>
      <c r="U56307" s="135"/>
    </row>
    <row r="56308" spans="20:21" ht="15" customHeight="1" x14ac:dyDescent="0.25">
      <c r="T56308" s="135"/>
      <c r="U56308" s="135"/>
    </row>
    <row r="56309" spans="20:21" ht="15" customHeight="1" x14ac:dyDescent="0.25">
      <c r="T56309" s="135"/>
      <c r="U56309" s="135"/>
    </row>
    <row r="56310" spans="20:21" ht="15" customHeight="1" x14ac:dyDescent="0.25">
      <c r="T56310" s="135"/>
      <c r="U56310" s="135"/>
    </row>
    <row r="56311" spans="20:21" ht="15" customHeight="1" x14ac:dyDescent="0.25">
      <c r="T56311" s="135"/>
      <c r="U56311" s="135"/>
    </row>
    <row r="56312" spans="20:21" ht="15" customHeight="1" x14ac:dyDescent="0.25">
      <c r="T56312" s="135"/>
      <c r="U56312" s="135"/>
    </row>
    <row r="56313" spans="20:21" ht="15" customHeight="1" x14ac:dyDescent="0.25">
      <c r="T56313" s="135"/>
      <c r="U56313" s="135"/>
    </row>
    <row r="56314" spans="20:21" ht="15" customHeight="1" x14ac:dyDescent="0.25">
      <c r="T56314" s="135"/>
      <c r="U56314" s="135"/>
    </row>
    <row r="56315" spans="20:21" ht="15" customHeight="1" x14ac:dyDescent="0.25">
      <c r="T56315" s="135"/>
      <c r="U56315" s="135"/>
    </row>
    <row r="56316" spans="20:21" ht="15" customHeight="1" x14ac:dyDescent="0.25">
      <c r="T56316" s="135"/>
      <c r="U56316" s="135"/>
    </row>
    <row r="56317" spans="20:21" ht="15" customHeight="1" x14ac:dyDescent="0.25">
      <c r="T56317" s="135"/>
      <c r="U56317" s="135"/>
    </row>
    <row r="56318" spans="20:21" ht="15" customHeight="1" x14ac:dyDescent="0.25">
      <c r="T56318" s="135"/>
      <c r="U56318" s="135"/>
    </row>
    <row r="56319" spans="20:21" ht="15" customHeight="1" x14ac:dyDescent="0.25">
      <c r="T56319" s="135"/>
      <c r="U56319" s="135"/>
    </row>
    <row r="56320" spans="20:21" ht="15" customHeight="1" x14ac:dyDescent="0.25">
      <c r="T56320" s="135"/>
      <c r="U56320" s="135"/>
    </row>
    <row r="56321" spans="20:21" ht="15" customHeight="1" x14ac:dyDescent="0.25">
      <c r="T56321" s="135"/>
      <c r="U56321" s="135"/>
    </row>
    <row r="56322" spans="20:21" ht="15" customHeight="1" x14ac:dyDescent="0.25">
      <c r="T56322" s="135"/>
      <c r="U56322" s="135"/>
    </row>
    <row r="56323" spans="20:21" ht="15" customHeight="1" x14ac:dyDescent="0.25">
      <c r="T56323" s="135"/>
      <c r="U56323" s="135"/>
    </row>
    <row r="56324" spans="20:21" ht="15" customHeight="1" x14ac:dyDescent="0.25">
      <c r="T56324" s="135"/>
      <c r="U56324" s="135"/>
    </row>
    <row r="56325" spans="20:21" ht="15" customHeight="1" x14ac:dyDescent="0.25">
      <c r="T56325" s="135"/>
      <c r="U56325" s="135"/>
    </row>
    <row r="56326" spans="20:21" ht="15" customHeight="1" x14ac:dyDescent="0.25">
      <c r="T56326" s="135"/>
      <c r="U56326" s="135"/>
    </row>
    <row r="56327" spans="20:21" ht="15" customHeight="1" x14ac:dyDescent="0.25">
      <c r="T56327" s="135"/>
      <c r="U56327" s="135"/>
    </row>
    <row r="56328" spans="20:21" ht="15" customHeight="1" x14ac:dyDescent="0.25">
      <c r="T56328" s="135"/>
      <c r="U56328" s="135"/>
    </row>
    <row r="56329" spans="20:21" ht="15" customHeight="1" x14ac:dyDescent="0.25">
      <c r="T56329" s="135"/>
      <c r="U56329" s="135"/>
    </row>
    <row r="56330" spans="20:21" ht="15" customHeight="1" x14ac:dyDescent="0.25">
      <c r="T56330" s="135"/>
      <c r="U56330" s="135"/>
    </row>
    <row r="56331" spans="20:21" ht="15" customHeight="1" x14ac:dyDescent="0.25">
      <c r="T56331" s="135"/>
      <c r="U56331" s="135"/>
    </row>
    <row r="56332" spans="20:21" ht="15" customHeight="1" x14ac:dyDescent="0.25">
      <c r="T56332" s="135"/>
      <c r="U56332" s="135"/>
    </row>
    <row r="56333" spans="20:21" ht="15" customHeight="1" x14ac:dyDescent="0.25">
      <c r="T56333" s="135"/>
      <c r="U56333" s="135"/>
    </row>
    <row r="56334" spans="20:21" ht="15" customHeight="1" x14ac:dyDescent="0.25">
      <c r="T56334" s="135"/>
      <c r="U56334" s="135"/>
    </row>
    <row r="56335" spans="20:21" ht="15" customHeight="1" x14ac:dyDescent="0.25">
      <c r="T56335" s="135"/>
      <c r="U56335" s="135"/>
    </row>
    <row r="56336" spans="20:21" ht="15" customHeight="1" x14ac:dyDescent="0.25">
      <c r="T56336" s="135"/>
      <c r="U56336" s="135"/>
    </row>
    <row r="56337" spans="20:21" ht="15" customHeight="1" x14ac:dyDescent="0.25">
      <c r="T56337" s="135"/>
      <c r="U56337" s="135"/>
    </row>
    <row r="56338" spans="20:21" ht="15" customHeight="1" x14ac:dyDescent="0.25">
      <c r="T56338" s="135"/>
      <c r="U56338" s="135"/>
    </row>
    <row r="56339" spans="20:21" ht="15" customHeight="1" x14ac:dyDescent="0.25">
      <c r="T56339" s="135"/>
      <c r="U56339" s="135"/>
    </row>
    <row r="56340" spans="20:21" ht="15" customHeight="1" x14ac:dyDescent="0.25">
      <c r="T56340" s="135"/>
      <c r="U56340" s="135"/>
    </row>
    <row r="56341" spans="20:21" ht="15" customHeight="1" x14ac:dyDescent="0.25">
      <c r="T56341" s="135"/>
      <c r="U56341" s="135"/>
    </row>
    <row r="56342" spans="20:21" ht="15" customHeight="1" x14ac:dyDescent="0.25">
      <c r="T56342" s="135"/>
      <c r="U56342" s="135"/>
    </row>
    <row r="56343" spans="20:21" ht="15" customHeight="1" x14ac:dyDescent="0.25">
      <c r="T56343" s="135"/>
      <c r="U56343" s="135"/>
    </row>
    <row r="56344" spans="20:21" ht="15" customHeight="1" x14ac:dyDescent="0.25">
      <c r="T56344" s="135"/>
      <c r="U56344" s="135"/>
    </row>
    <row r="56345" spans="20:21" ht="15" customHeight="1" x14ac:dyDescent="0.25">
      <c r="T56345" s="135"/>
      <c r="U56345" s="135"/>
    </row>
    <row r="56346" spans="20:21" ht="15" customHeight="1" x14ac:dyDescent="0.25">
      <c r="T56346" s="135"/>
      <c r="U56346" s="135"/>
    </row>
    <row r="56347" spans="20:21" ht="15" customHeight="1" x14ac:dyDescent="0.25">
      <c r="T56347" s="135"/>
      <c r="U56347" s="135"/>
    </row>
    <row r="56348" spans="20:21" ht="15" customHeight="1" x14ac:dyDescent="0.25">
      <c r="T56348" s="135"/>
      <c r="U56348" s="135"/>
    </row>
    <row r="56349" spans="20:21" ht="15" customHeight="1" x14ac:dyDescent="0.25">
      <c r="T56349" s="135"/>
      <c r="U56349" s="135"/>
    </row>
    <row r="56350" spans="20:21" ht="15" customHeight="1" x14ac:dyDescent="0.25">
      <c r="T56350" s="135"/>
      <c r="U56350" s="135"/>
    </row>
    <row r="56351" spans="20:21" ht="15" customHeight="1" x14ac:dyDescent="0.25">
      <c r="T56351" s="135"/>
      <c r="U56351" s="135"/>
    </row>
    <row r="56352" spans="20:21" ht="15" customHeight="1" x14ac:dyDescent="0.25">
      <c r="T56352" s="135"/>
      <c r="U56352" s="135"/>
    </row>
    <row r="56353" spans="20:21" ht="15" customHeight="1" x14ac:dyDescent="0.25">
      <c r="T56353" s="135"/>
      <c r="U56353" s="135"/>
    </row>
    <row r="56354" spans="20:21" ht="15" customHeight="1" x14ac:dyDescent="0.25">
      <c r="T56354" s="135"/>
      <c r="U56354" s="135"/>
    </row>
    <row r="56355" spans="20:21" ht="15" customHeight="1" x14ac:dyDescent="0.25">
      <c r="T56355" s="135"/>
      <c r="U56355" s="135"/>
    </row>
    <row r="56356" spans="20:21" ht="15" customHeight="1" x14ac:dyDescent="0.25">
      <c r="T56356" s="135"/>
      <c r="U56356" s="135"/>
    </row>
    <row r="56357" spans="20:21" ht="15" customHeight="1" x14ac:dyDescent="0.25">
      <c r="T56357" s="135"/>
      <c r="U56357" s="135"/>
    </row>
    <row r="56358" spans="20:21" ht="15" customHeight="1" x14ac:dyDescent="0.25">
      <c r="T56358" s="135"/>
      <c r="U56358" s="135"/>
    </row>
    <row r="56359" spans="20:21" ht="15" customHeight="1" x14ac:dyDescent="0.25">
      <c r="T56359" s="135"/>
      <c r="U56359" s="135"/>
    </row>
    <row r="56360" spans="20:21" ht="15" customHeight="1" x14ac:dyDescent="0.25">
      <c r="T56360" s="135"/>
      <c r="U56360" s="135"/>
    </row>
    <row r="56361" spans="20:21" ht="15" customHeight="1" x14ac:dyDescent="0.25">
      <c r="T56361" s="135"/>
      <c r="U56361" s="135"/>
    </row>
    <row r="56362" spans="20:21" ht="15" customHeight="1" x14ac:dyDescent="0.25">
      <c r="T56362" s="135"/>
      <c r="U56362" s="135"/>
    </row>
    <row r="56363" spans="20:21" ht="15" customHeight="1" x14ac:dyDescent="0.25">
      <c r="T56363" s="135"/>
      <c r="U56363" s="135"/>
    </row>
    <row r="56364" spans="20:21" ht="15" customHeight="1" x14ac:dyDescent="0.25">
      <c r="T56364" s="135"/>
      <c r="U56364" s="135"/>
    </row>
    <row r="56365" spans="20:21" ht="15" customHeight="1" x14ac:dyDescent="0.25">
      <c r="T56365" s="135"/>
      <c r="U56365" s="135"/>
    </row>
    <row r="56366" spans="20:21" ht="15" customHeight="1" x14ac:dyDescent="0.25">
      <c r="T56366" s="135"/>
      <c r="U56366" s="135"/>
    </row>
    <row r="56367" spans="20:21" ht="15" customHeight="1" x14ac:dyDescent="0.25">
      <c r="T56367" s="135"/>
      <c r="U56367" s="135"/>
    </row>
    <row r="56368" spans="20:21" ht="15" customHeight="1" x14ac:dyDescent="0.25">
      <c r="T56368" s="135"/>
      <c r="U56368" s="135"/>
    </row>
    <row r="56369" spans="20:21" ht="15" customHeight="1" x14ac:dyDescent="0.25">
      <c r="T56369" s="135"/>
      <c r="U56369" s="135"/>
    </row>
    <row r="56370" spans="20:21" ht="15" customHeight="1" x14ac:dyDescent="0.25">
      <c r="T56370" s="135"/>
      <c r="U56370" s="135"/>
    </row>
    <row r="56371" spans="20:21" ht="15" customHeight="1" x14ac:dyDescent="0.25">
      <c r="T56371" s="135"/>
      <c r="U56371" s="135"/>
    </row>
    <row r="56372" spans="20:21" ht="15" customHeight="1" x14ac:dyDescent="0.25">
      <c r="T56372" s="135"/>
      <c r="U56372" s="135"/>
    </row>
    <row r="56373" spans="20:21" ht="15" customHeight="1" x14ac:dyDescent="0.25">
      <c r="T56373" s="135"/>
      <c r="U56373" s="135"/>
    </row>
    <row r="56374" spans="20:21" ht="15" customHeight="1" x14ac:dyDescent="0.25">
      <c r="T56374" s="135"/>
      <c r="U56374" s="135"/>
    </row>
    <row r="56375" spans="20:21" ht="15" customHeight="1" x14ac:dyDescent="0.25">
      <c r="T56375" s="135"/>
      <c r="U56375" s="135"/>
    </row>
    <row r="56376" spans="20:21" ht="15" customHeight="1" x14ac:dyDescent="0.25">
      <c r="T56376" s="135"/>
      <c r="U56376" s="135"/>
    </row>
    <row r="56377" spans="20:21" ht="15" customHeight="1" x14ac:dyDescent="0.25">
      <c r="T56377" s="135"/>
      <c r="U56377" s="135"/>
    </row>
    <row r="56378" spans="20:21" ht="15" customHeight="1" x14ac:dyDescent="0.25">
      <c r="T56378" s="135"/>
      <c r="U56378" s="135"/>
    </row>
    <row r="56379" spans="20:21" ht="15" customHeight="1" x14ac:dyDescent="0.25">
      <c r="T56379" s="135"/>
      <c r="U56379" s="135"/>
    </row>
    <row r="56380" spans="20:21" ht="15" customHeight="1" x14ac:dyDescent="0.25">
      <c r="T56380" s="135"/>
      <c r="U56380" s="135"/>
    </row>
    <row r="56381" spans="20:21" ht="15" customHeight="1" x14ac:dyDescent="0.25">
      <c r="T56381" s="135"/>
      <c r="U56381" s="135"/>
    </row>
    <row r="56382" spans="20:21" ht="15" customHeight="1" x14ac:dyDescent="0.25">
      <c r="T56382" s="135"/>
      <c r="U56382" s="135"/>
    </row>
    <row r="56383" spans="20:21" ht="15" customHeight="1" x14ac:dyDescent="0.25">
      <c r="T56383" s="135"/>
      <c r="U56383" s="135"/>
    </row>
    <row r="56384" spans="20:21" ht="15" customHeight="1" x14ac:dyDescent="0.25">
      <c r="T56384" s="135"/>
      <c r="U56384" s="135"/>
    </row>
    <row r="56385" spans="20:21" ht="15" customHeight="1" x14ac:dyDescent="0.25">
      <c r="T56385" s="135"/>
      <c r="U56385" s="135"/>
    </row>
    <row r="56386" spans="20:21" ht="15" customHeight="1" x14ac:dyDescent="0.25">
      <c r="T56386" s="135"/>
      <c r="U56386" s="135"/>
    </row>
    <row r="56387" spans="20:21" ht="15" customHeight="1" x14ac:dyDescent="0.25">
      <c r="T56387" s="135"/>
      <c r="U56387" s="135"/>
    </row>
    <row r="56388" spans="20:21" ht="15" customHeight="1" x14ac:dyDescent="0.25">
      <c r="T56388" s="135"/>
      <c r="U56388" s="135"/>
    </row>
    <row r="56389" spans="20:21" ht="15" customHeight="1" x14ac:dyDescent="0.25">
      <c r="T56389" s="135"/>
      <c r="U56389" s="135"/>
    </row>
    <row r="56390" spans="20:21" ht="15" customHeight="1" x14ac:dyDescent="0.25">
      <c r="T56390" s="135"/>
      <c r="U56390" s="135"/>
    </row>
    <row r="56391" spans="20:21" ht="15" customHeight="1" x14ac:dyDescent="0.25">
      <c r="T56391" s="135"/>
      <c r="U56391" s="135"/>
    </row>
    <row r="56392" spans="20:21" ht="15" customHeight="1" x14ac:dyDescent="0.25">
      <c r="T56392" s="135"/>
      <c r="U56392" s="135"/>
    </row>
    <row r="56393" spans="20:21" ht="15" customHeight="1" x14ac:dyDescent="0.25">
      <c r="T56393" s="135"/>
      <c r="U56393" s="135"/>
    </row>
    <row r="56394" spans="20:21" ht="15" customHeight="1" x14ac:dyDescent="0.25">
      <c r="T56394" s="135"/>
      <c r="U56394" s="135"/>
    </row>
    <row r="56395" spans="20:21" ht="15" customHeight="1" x14ac:dyDescent="0.25">
      <c r="T56395" s="135"/>
      <c r="U56395" s="135"/>
    </row>
    <row r="56396" spans="20:21" ht="15" customHeight="1" x14ac:dyDescent="0.25">
      <c r="T56396" s="135"/>
      <c r="U56396" s="135"/>
    </row>
    <row r="56397" spans="20:21" ht="15" customHeight="1" x14ac:dyDescent="0.25">
      <c r="T56397" s="135"/>
      <c r="U56397" s="135"/>
    </row>
    <row r="56398" spans="20:21" ht="15" customHeight="1" x14ac:dyDescent="0.25">
      <c r="T56398" s="135"/>
      <c r="U56398" s="135"/>
    </row>
    <row r="56399" spans="20:21" ht="15" customHeight="1" x14ac:dyDescent="0.25">
      <c r="T56399" s="135"/>
      <c r="U56399" s="135"/>
    </row>
    <row r="56400" spans="20:21" ht="15" customHeight="1" x14ac:dyDescent="0.25">
      <c r="T56400" s="135"/>
      <c r="U56400" s="135"/>
    </row>
    <row r="56401" spans="20:21" ht="15" customHeight="1" x14ac:dyDescent="0.25">
      <c r="T56401" s="135"/>
      <c r="U56401" s="135"/>
    </row>
    <row r="56402" spans="20:21" ht="15" customHeight="1" x14ac:dyDescent="0.25">
      <c r="T56402" s="135"/>
      <c r="U56402" s="135"/>
    </row>
    <row r="56403" spans="20:21" ht="15" customHeight="1" x14ac:dyDescent="0.25">
      <c r="T56403" s="135"/>
      <c r="U56403" s="135"/>
    </row>
    <row r="56404" spans="20:21" ht="15" customHeight="1" x14ac:dyDescent="0.25">
      <c r="T56404" s="135"/>
      <c r="U56404" s="135"/>
    </row>
    <row r="56405" spans="20:21" ht="15" customHeight="1" x14ac:dyDescent="0.25">
      <c r="T56405" s="135"/>
      <c r="U56405" s="135"/>
    </row>
    <row r="56406" spans="20:21" ht="15" customHeight="1" x14ac:dyDescent="0.25">
      <c r="T56406" s="135"/>
      <c r="U56406" s="135"/>
    </row>
    <row r="56407" spans="20:21" ht="15" customHeight="1" x14ac:dyDescent="0.25">
      <c r="T56407" s="135"/>
      <c r="U56407" s="135"/>
    </row>
    <row r="56408" spans="20:21" ht="15" customHeight="1" x14ac:dyDescent="0.25">
      <c r="T56408" s="135"/>
      <c r="U56408" s="135"/>
    </row>
    <row r="56409" spans="20:21" ht="15" customHeight="1" x14ac:dyDescent="0.25">
      <c r="T56409" s="135"/>
      <c r="U56409" s="135"/>
    </row>
    <row r="56410" spans="20:21" ht="15" customHeight="1" x14ac:dyDescent="0.25">
      <c r="T56410" s="135"/>
      <c r="U56410" s="135"/>
    </row>
    <row r="56411" spans="20:21" ht="15" customHeight="1" x14ac:dyDescent="0.25">
      <c r="T56411" s="135"/>
      <c r="U56411" s="135"/>
    </row>
    <row r="56412" spans="20:21" ht="15" customHeight="1" x14ac:dyDescent="0.25">
      <c r="T56412" s="135"/>
      <c r="U56412" s="135"/>
    </row>
    <row r="56413" spans="20:21" ht="15" customHeight="1" x14ac:dyDescent="0.25">
      <c r="T56413" s="135"/>
      <c r="U56413" s="135"/>
    </row>
    <row r="56414" spans="20:21" ht="15" customHeight="1" x14ac:dyDescent="0.25">
      <c r="T56414" s="135"/>
      <c r="U56414" s="135"/>
    </row>
    <row r="56415" spans="20:21" ht="15" customHeight="1" x14ac:dyDescent="0.25">
      <c r="T56415" s="135"/>
      <c r="U56415" s="135"/>
    </row>
    <row r="56416" spans="20:21" ht="15" customHeight="1" x14ac:dyDescent="0.25">
      <c r="T56416" s="135"/>
      <c r="U56416" s="135"/>
    </row>
    <row r="56417" spans="20:21" ht="15" customHeight="1" x14ac:dyDescent="0.25">
      <c r="T56417" s="135"/>
      <c r="U56417" s="135"/>
    </row>
    <row r="56418" spans="20:21" ht="15" customHeight="1" x14ac:dyDescent="0.25">
      <c r="T56418" s="135"/>
      <c r="U56418" s="135"/>
    </row>
    <row r="56419" spans="20:21" ht="15" customHeight="1" x14ac:dyDescent="0.25">
      <c r="T56419" s="135"/>
      <c r="U56419" s="135"/>
    </row>
    <row r="56420" spans="20:21" ht="15" customHeight="1" x14ac:dyDescent="0.25">
      <c r="T56420" s="135"/>
      <c r="U56420" s="135"/>
    </row>
    <row r="56421" spans="20:21" ht="15" customHeight="1" x14ac:dyDescent="0.25">
      <c r="T56421" s="135"/>
      <c r="U56421" s="135"/>
    </row>
    <row r="56422" spans="20:21" ht="15" customHeight="1" x14ac:dyDescent="0.25">
      <c r="T56422" s="135"/>
      <c r="U56422" s="135"/>
    </row>
    <row r="56423" spans="20:21" ht="15" customHeight="1" x14ac:dyDescent="0.25">
      <c r="T56423" s="135"/>
      <c r="U56423" s="135"/>
    </row>
    <row r="56424" spans="20:21" ht="15" customHeight="1" x14ac:dyDescent="0.25">
      <c r="T56424" s="135"/>
      <c r="U56424" s="135"/>
    </row>
    <row r="56425" spans="20:21" ht="15" customHeight="1" x14ac:dyDescent="0.25">
      <c r="T56425" s="135"/>
      <c r="U56425" s="135"/>
    </row>
    <row r="56426" spans="20:21" ht="15" customHeight="1" x14ac:dyDescent="0.25">
      <c r="T56426" s="135"/>
      <c r="U56426" s="135"/>
    </row>
    <row r="56427" spans="20:21" ht="15" customHeight="1" x14ac:dyDescent="0.25">
      <c r="T56427" s="135"/>
      <c r="U56427" s="135"/>
    </row>
    <row r="56428" spans="20:21" ht="15" customHeight="1" x14ac:dyDescent="0.25">
      <c r="T56428" s="135"/>
      <c r="U56428" s="135"/>
    </row>
    <row r="56429" spans="20:21" ht="15" customHeight="1" x14ac:dyDescent="0.25">
      <c r="T56429" s="135"/>
      <c r="U56429" s="135"/>
    </row>
    <row r="56430" spans="20:21" ht="15" customHeight="1" x14ac:dyDescent="0.25">
      <c r="T56430" s="135"/>
      <c r="U56430" s="135"/>
    </row>
    <row r="56431" spans="20:21" ht="15" customHeight="1" x14ac:dyDescent="0.25">
      <c r="T56431" s="135"/>
      <c r="U56431" s="135"/>
    </row>
    <row r="56432" spans="20:21" ht="15" customHeight="1" x14ac:dyDescent="0.25">
      <c r="T56432" s="135"/>
      <c r="U56432" s="135"/>
    </row>
    <row r="56433" spans="20:21" ht="15" customHeight="1" x14ac:dyDescent="0.25">
      <c r="T56433" s="135"/>
      <c r="U56433" s="135"/>
    </row>
    <row r="56434" spans="20:21" ht="15" customHeight="1" x14ac:dyDescent="0.25">
      <c r="T56434" s="135"/>
      <c r="U56434" s="135"/>
    </row>
    <row r="56435" spans="20:21" ht="15" customHeight="1" x14ac:dyDescent="0.25">
      <c r="T56435" s="135"/>
      <c r="U56435" s="135"/>
    </row>
    <row r="56436" spans="20:21" ht="15" customHeight="1" x14ac:dyDescent="0.25">
      <c r="T56436" s="135"/>
      <c r="U56436" s="135"/>
    </row>
    <row r="56437" spans="20:21" ht="15" customHeight="1" x14ac:dyDescent="0.25">
      <c r="T56437" s="135"/>
      <c r="U56437" s="135"/>
    </row>
    <row r="56438" spans="20:21" ht="15" customHeight="1" x14ac:dyDescent="0.25">
      <c r="T56438" s="135"/>
      <c r="U56438" s="135"/>
    </row>
    <row r="56439" spans="20:21" ht="15" customHeight="1" x14ac:dyDescent="0.25">
      <c r="T56439" s="135"/>
      <c r="U56439" s="135"/>
    </row>
    <row r="56440" spans="20:21" ht="15" customHeight="1" x14ac:dyDescent="0.25">
      <c r="T56440" s="135"/>
      <c r="U56440" s="135"/>
    </row>
    <row r="56441" spans="20:21" ht="15" customHeight="1" x14ac:dyDescent="0.25">
      <c r="T56441" s="135"/>
      <c r="U56441" s="135"/>
    </row>
    <row r="56442" spans="20:21" ht="15" customHeight="1" x14ac:dyDescent="0.25">
      <c r="T56442" s="135"/>
      <c r="U56442" s="135"/>
    </row>
    <row r="56443" spans="20:21" ht="15" customHeight="1" x14ac:dyDescent="0.25">
      <c r="T56443" s="135"/>
      <c r="U56443" s="135"/>
    </row>
    <row r="56444" spans="20:21" ht="15" customHeight="1" x14ac:dyDescent="0.25">
      <c r="T56444" s="135"/>
      <c r="U56444" s="135"/>
    </row>
    <row r="56445" spans="20:21" ht="15" customHeight="1" x14ac:dyDescent="0.25">
      <c r="T56445" s="135"/>
      <c r="U56445" s="135"/>
    </row>
    <row r="56446" spans="20:21" ht="15" customHeight="1" x14ac:dyDescent="0.25">
      <c r="T56446" s="135"/>
      <c r="U56446" s="135"/>
    </row>
    <row r="56447" spans="20:21" ht="15" customHeight="1" x14ac:dyDescent="0.25">
      <c r="T56447" s="135"/>
      <c r="U56447" s="135"/>
    </row>
    <row r="56448" spans="20:21" ht="15" customHeight="1" x14ac:dyDescent="0.25">
      <c r="T56448" s="135"/>
      <c r="U56448" s="135"/>
    </row>
    <row r="56449" spans="20:21" ht="15" customHeight="1" x14ac:dyDescent="0.25">
      <c r="T56449" s="135"/>
      <c r="U56449" s="135"/>
    </row>
    <row r="56450" spans="20:21" ht="15" customHeight="1" x14ac:dyDescent="0.25">
      <c r="T56450" s="135"/>
      <c r="U56450" s="135"/>
    </row>
    <row r="56451" spans="20:21" ht="15" customHeight="1" x14ac:dyDescent="0.25">
      <c r="T56451" s="135"/>
      <c r="U56451" s="135"/>
    </row>
    <row r="56452" spans="20:21" ht="15" customHeight="1" x14ac:dyDescent="0.25">
      <c r="T56452" s="135"/>
      <c r="U56452" s="135"/>
    </row>
    <row r="56453" spans="20:21" ht="15" customHeight="1" x14ac:dyDescent="0.25">
      <c r="T56453" s="135"/>
      <c r="U56453" s="135"/>
    </row>
    <row r="56454" spans="20:21" ht="15" customHeight="1" x14ac:dyDescent="0.25">
      <c r="T56454" s="135"/>
      <c r="U56454" s="135"/>
    </row>
    <row r="56455" spans="20:21" ht="15" customHeight="1" x14ac:dyDescent="0.25">
      <c r="T56455" s="135"/>
      <c r="U56455" s="135"/>
    </row>
    <row r="56456" spans="20:21" ht="15" customHeight="1" x14ac:dyDescent="0.25">
      <c r="T56456" s="135"/>
      <c r="U56456" s="135"/>
    </row>
    <row r="56457" spans="20:21" ht="15" customHeight="1" x14ac:dyDescent="0.25">
      <c r="T56457" s="135"/>
      <c r="U56457" s="135"/>
    </row>
    <row r="56458" spans="20:21" ht="15" customHeight="1" x14ac:dyDescent="0.25">
      <c r="T56458" s="135"/>
      <c r="U56458" s="135"/>
    </row>
    <row r="56459" spans="20:21" ht="15" customHeight="1" x14ac:dyDescent="0.25">
      <c r="T56459" s="135"/>
      <c r="U56459" s="135"/>
    </row>
    <row r="56460" spans="20:21" ht="15" customHeight="1" x14ac:dyDescent="0.25">
      <c r="T56460" s="135"/>
      <c r="U56460" s="135"/>
    </row>
    <row r="56461" spans="20:21" ht="15" customHeight="1" x14ac:dyDescent="0.25">
      <c r="T56461" s="135"/>
      <c r="U56461" s="135"/>
    </row>
    <row r="56462" spans="20:21" ht="15" customHeight="1" x14ac:dyDescent="0.25">
      <c r="T56462" s="135"/>
      <c r="U56462" s="135"/>
    </row>
    <row r="56463" spans="20:21" ht="15" customHeight="1" x14ac:dyDescent="0.25">
      <c r="T56463" s="135"/>
      <c r="U56463" s="135"/>
    </row>
    <row r="56464" spans="20:21" ht="15" customHeight="1" x14ac:dyDescent="0.25">
      <c r="T56464" s="135"/>
      <c r="U56464" s="135"/>
    </row>
    <row r="56465" spans="20:21" ht="15" customHeight="1" x14ac:dyDescent="0.25">
      <c r="T56465" s="135"/>
      <c r="U56465" s="135"/>
    </row>
    <row r="56466" spans="20:21" ht="15" customHeight="1" x14ac:dyDescent="0.25">
      <c r="T56466" s="135"/>
      <c r="U56466" s="135"/>
    </row>
    <row r="56467" spans="20:21" ht="15" customHeight="1" x14ac:dyDescent="0.25">
      <c r="T56467" s="135"/>
      <c r="U56467" s="135"/>
    </row>
    <row r="56468" spans="20:21" ht="15" customHeight="1" x14ac:dyDescent="0.25">
      <c r="T56468" s="135"/>
      <c r="U56468" s="135"/>
    </row>
    <row r="56469" spans="20:21" ht="15" customHeight="1" x14ac:dyDescent="0.25">
      <c r="T56469" s="135"/>
      <c r="U56469" s="135"/>
    </row>
    <row r="56470" spans="20:21" ht="15" customHeight="1" x14ac:dyDescent="0.25">
      <c r="T56470" s="135"/>
      <c r="U56470" s="135"/>
    </row>
    <row r="56471" spans="20:21" ht="15" customHeight="1" x14ac:dyDescent="0.25">
      <c r="T56471" s="135"/>
      <c r="U56471" s="135"/>
    </row>
    <row r="56472" spans="20:21" ht="15" customHeight="1" x14ac:dyDescent="0.25">
      <c r="T56472" s="135"/>
      <c r="U56472" s="135"/>
    </row>
    <row r="56473" spans="20:21" ht="15" customHeight="1" x14ac:dyDescent="0.25">
      <c r="T56473" s="135"/>
      <c r="U56473" s="135"/>
    </row>
    <row r="56474" spans="20:21" ht="15" customHeight="1" x14ac:dyDescent="0.25">
      <c r="T56474" s="135"/>
      <c r="U56474" s="135"/>
    </row>
    <row r="56475" spans="20:21" ht="15" customHeight="1" x14ac:dyDescent="0.25">
      <c r="T56475" s="135"/>
      <c r="U56475" s="135"/>
    </row>
    <row r="56476" spans="20:21" ht="15" customHeight="1" x14ac:dyDescent="0.25">
      <c r="T56476" s="135"/>
      <c r="U56476" s="135"/>
    </row>
    <row r="56477" spans="20:21" ht="15" customHeight="1" x14ac:dyDescent="0.25">
      <c r="T56477" s="135"/>
      <c r="U56477" s="135"/>
    </row>
    <row r="56478" spans="20:21" ht="15" customHeight="1" x14ac:dyDescent="0.25">
      <c r="T56478" s="135"/>
      <c r="U56478" s="135"/>
    </row>
    <row r="56479" spans="20:21" ht="15" customHeight="1" x14ac:dyDescent="0.25">
      <c r="T56479" s="135"/>
      <c r="U56479" s="135"/>
    </row>
    <row r="56480" spans="20:21" ht="15" customHeight="1" x14ac:dyDescent="0.25">
      <c r="T56480" s="135"/>
      <c r="U56480" s="135"/>
    </row>
    <row r="56481" spans="20:21" ht="15" customHeight="1" x14ac:dyDescent="0.25">
      <c r="T56481" s="135"/>
      <c r="U56481" s="135"/>
    </row>
    <row r="56482" spans="20:21" ht="15" customHeight="1" x14ac:dyDescent="0.25">
      <c r="T56482" s="135"/>
      <c r="U56482" s="135"/>
    </row>
    <row r="56483" spans="20:21" ht="15" customHeight="1" x14ac:dyDescent="0.25">
      <c r="T56483" s="135"/>
      <c r="U56483" s="135"/>
    </row>
    <row r="56484" spans="20:21" ht="15" customHeight="1" x14ac:dyDescent="0.25">
      <c r="T56484" s="135"/>
      <c r="U56484" s="135"/>
    </row>
    <row r="56485" spans="20:21" ht="15" customHeight="1" x14ac:dyDescent="0.25">
      <c r="T56485" s="135"/>
      <c r="U56485" s="135"/>
    </row>
    <row r="56486" spans="20:21" ht="15" customHeight="1" x14ac:dyDescent="0.25">
      <c r="T56486" s="135"/>
      <c r="U56486" s="135"/>
    </row>
    <row r="56487" spans="20:21" ht="15" customHeight="1" x14ac:dyDescent="0.25">
      <c r="T56487" s="135"/>
      <c r="U56487" s="135"/>
    </row>
    <row r="56488" spans="20:21" ht="15" customHeight="1" x14ac:dyDescent="0.25">
      <c r="T56488" s="135"/>
      <c r="U56488" s="135"/>
    </row>
    <row r="56489" spans="20:21" ht="15" customHeight="1" x14ac:dyDescent="0.25">
      <c r="T56489" s="135"/>
      <c r="U56489" s="135"/>
    </row>
    <row r="56490" spans="20:21" ht="15" customHeight="1" x14ac:dyDescent="0.25">
      <c r="T56490" s="135"/>
      <c r="U56490" s="135"/>
    </row>
    <row r="56491" spans="20:21" ht="15" customHeight="1" x14ac:dyDescent="0.25">
      <c r="T56491" s="135"/>
      <c r="U56491" s="135"/>
    </row>
    <row r="56492" spans="20:21" ht="15" customHeight="1" x14ac:dyDescent="0.25">
      <c r="T56492" s="135"/>
      <c r="U56492" s="135"/>
    </row>
    <row r="56493" spans="20:21" ht="15" customHeight="1" x14ac:dyDescent="0.25">
      <c r="T56493" s="135"/>
      <c r="U56493" s="135"/>
    </row>
    <row r="56494" spans="20:21" ht="15" customHeight="1" x14ac:dyDescent="0.25">
      <c r="T56494" s="135"/>
      <c r="U56494" s="135"/>
    </row>
    <row r="56495" spans="20:21" ht="15" customHeight="1" x14ac:dyDescent="0.25">
      <c r="T56495" s="135"/>
      <c r="U56495" s="135"/>
    </row>
    <row r="56496" spans="20:21" ht="15" customHeight="1" x14ac:dyDescent="0.25">
      <c r="T56496" s="135"/>
      <c r="U56496" s="135"/>
    </row>
    <row r="56497" spans="20:21" ht="15" customHeight="1" x14ac:dyDescent="0.25">
      <c r="T56497" s="135"/>
      <c r="U56497" s="135"/>
    </row>
    <row r="56498" spans="20:21" ht="15" customHeight="1" x14ac:dyDescent="0.25">
      <c r="T56498" s="135"/>
      <c r="U56498" s="135"/>
    </row>
    <row r="56499" spans="20:21" ht="15" customHeight="1" x14ac:dyDescent="0.25">
      <c r="T56499" s="135"/>
      <c r="U56499" s="135"/>
    </row>
    <row r="56500" spans="20:21" ht="15" customHeight="1" x14ac:dyDescent="0.25">
      <c r="T56500" s="135"/>
      <c r="U56500" s="135"/>
    </row>
    <row r="56501" spans="20:21" ht="15" customHeight="1" x14ac:dyDescent="0.25">
      <c r="T56501" s="135"/>
      <c r="U56501" s="135"/>
    </row>
    <row r="56502" spans="20:21" ht="15" customHeight="1" x14ac:dyDescent="0.25">
      <c r="T56502" s="135"/>
      <c r="U56502" s="135"/>
    </row>
    <row r="56503" spans="20:21" ht="15" customHeight="1" x14ac:dyDescent="0.25">
      <c r="T56503" s="135"/>
      <c r="U56503" s="135"/>
    </row>
    <row r="56504" spans="20:21" ht="15" customHeight="1" x14ac:dyDescent="0.25">
      <c r="T56504" s="135"/>
      <c r="U56504" s="135"/>
    </row>
    <row r="56505" spans="20:21" ht="15" customHeight="1" x14ac:dyDescent="0.25">
      <c r="T56505" s="135"/>
      <c r="U56505" s="135"/>
    </row>
    <row r="56506" spans="20:21" ht="15" customHeight="1" x14ac:dyDescent="0.25">
      <c r="T56506" s="135"/>
      <c r="U56506" s="135"/>
    </row>
    <row r="56507" spans="20:21" ht="15" customHeight="1" x14ac:dyDescent="0.25">
      <c r="T56507" s="135"/>
      <c r="U56507" s="135"/>
    </row>
    <row r="56508" spans="20:21" ht="15" customHeight="1" x14ac:dyDescent="0.25">
      <c r="T56508" s="135"/>
      <c r="U56508" s="135"/>
    </row>
    <row r="56509" spans="20:21" ht="15" customHeight="1" x14ac:dyDescent="0.25">
      <c r="T56509" s="135"/>
      <c r="U56509" s="135"/>
    </row>
    <row r="56510" spans="20:21" ht="15" customHeight="1" x14ac:dyDescent="0.25">
      <c r="T56510" s="135"/>
      <c r="U56510" s="135"/>
    </row>
    <row r="56511" spans="20:21" ht="15" customHeight="1" x14ac:dyDescent="0.25">
      <c r="T56511" s="135"/>
      <c r="U56511" s="135"/>
    </row>
    <row r="56512" spans="20:21" ht="15" customHeight="1" x14ac:dyDescent="0.25">
      <c r="T56512" s="135"/>
      <c r="U56512" s="135"/>
    </row>
    <row r="56513" spans="20:21" ht="15" customHeight="1" x14ac:dyDescent="0.25">
      <c r="T56513" s="135"/>
      <c r="U56513" s="135"/>
    </row>
    <row r="56514" spans="20:21" ht="15" customHeight="1" x14ac:dyDescent="0.25">
      <c r="T56514" s="135"/>
      <c r="U56514" s="135"/>
    </row>
    <row r="56515" spans="20:21" ht="15" customHeight="1" x14ac:dyDescent="0.25">
      <c r="T56515" s="135"/>
      <c r="U56515" s="135"/>
    </row>
    <row r="56516" spans="20:21" ht="15" customHeight="1" x14ac:dyDescent="0.25">
      <c r="T56516" s="135"/>
      <c r="U56516" s="135"/>
    </row>
    <row r="56517" spans="20:21" ht="15" customHeight="1" x14ac:dyDescent="0.25">
      <c r="T56517" s="135"/>
      <c r="U56517" s="135"/>
    </row>
    <row r="56518" spans="20:21" ht="15" customHeight="1" x14ac:dyDescent="0.25">
      <c r="T56518" s="135"/>
      <c r="U56518" s="135"/>
    </row>
    <row r="56519" spans="20:21" ht="15" customHeight="1" x14ac:dyDescent="0.25">
      <c r="T56519" s="135"/>
      <c r="U56519" s="135"/>
    </row>
    <row r="56520" spans="20:21" ht="15" customHeight="1" x14ac:dyDescent="0.25">
      <c r="T56520" s="135"/>
      <c r="U56520" s="135"/>
    </row>
    <row r="56521" spans="20:21" ht="15" customHeight="1" x14ac:dyDescent="0.25">
      <c r="T56521" s="135"/>
      <c r="U56521" s="135"/>
    </row>
    <row r="56522" spans="20:21" ht="15" customHeight="1" x14ac:dyDescent="0.25">
      <c r="T56522" s="135"/>
      <c r="U56522" s="135"/>
    </row>
    <row r="56523" spans="20:21" ht="15" customHeight="1" x14ac:dyDescent="0.25">
      <c r="T56523" s="135"/>
      <c r="U56523" s="135"/>
    </row>
    <row r="56524" spans="20:21" ht="15" customHeight="1" x14ac:dyDescent="0.25">
      <c r="T56524" s="135"/>
      <c r="U56524" s="135"/>
    </row>
    <row r="56525" spans="20:21" ht="15" customHeight="1" x14ac:dyDescent="0.25">
      <c r="T56525" s="135"/>
      <c r="U56525" s="135"/>
    </row>
    <row r="56526" spans="20:21" ht="15" customHeight="1" x14ac:dyDescent="0.25">
      <c r="T56526" s="135"/>
      <c r="U56526" s="135"/>
    </row>
    <row r="56527" spans="20:21" ht="15" customHeight="1" x14ac:dyDescent="0.25">
      <c r="T56527" s="135"/>
      <c r="U56527" s="135"/>
    </row>
    <row r="56528" spans="20:21" ht="15" customHeight="1" x14ac:dyDescent="0.25">
      <c r="T56528" s="135"/>
      <c r="U56528" s="135"/>
    </row>
    <row r="56529" spans="20:21" ht="15" customHeight="1" x14ac:dyDescent="0.25">
      <c r="T56529" s="135"/>
      <c r="U56529" s="135"/>
    </row>
    <row r="56530" spans="20:21" ht="15" customHeight="1" x14ac:dyDescent="0.25">
      <c r="T56530" s="135"/>
      <c r="U56530" s="135"/>
    </row>
    <row r="56531" spans="20:21" ht="15" customHeight="1" x14ac:dyDescent="0.25">
      <c r="T56531" s="135"/>
      <c r="U56531" s="135"/>
    </row>
    <row r="56532" spans="20:21" ht="15" customHeight="1" x14ac:dyDescent="0.25">
      <c r="T56532" s="135"/>
      <c r="U56532" s="135"/>
    </row>
    <row r="56533" spans="20:21" ht="15" customHeight="1" x14ac:dyDescent="0.25">
      <c r="T56533" s="135"/>
      <c r="U56533" s="135"/>
    </row>
    <row r="56534" spans="20:21" ht="15" customHeight="1" x14ac:dyDescent="0.25">
      <c r="T56534" s="135"/>
      <c r="U56534" s="135"/>
    </row>
    <row r="56535" spans="20:21" ht="15" customHeight="1" x14ac:dyDescent="0.25">
      <c r="T56535" s="135"/>
      <c r="U56535" s="135"/>
    </row>
    <row r="56536" spans="20:21" ht="15" customHeight="1" x14ac:dyDescent="0.25">
      <c r="T56536" s="135"/>
      <c r="U56536" s="135"/>
    </row>
    <row r="56537" spans="20:21" ht="15" customHeight="1" x14ac:dyDescent="0.25">
      <c r="T56537" s="135"/>
      <c r="U56537" s="135"/>
    </row>
    <row r="56538" spans="20:21" ht="15" customHeight="1" x14ac:dyDescent="0.25">
      <c r="T56538" s="135"/>
      <c r="U56538" s="135"/>
    </row>
    <row r="56539" spans="20:21" ht="15" customHeight="1" x14ac:dyDescent="0.25">
      <c r="T56539" s="135"/>
      <c r="U56539" s="135"/>
    </row>
    <row r="56540" spans="20:21" ht="15" customHeight="1" x14ac:dyDescent="0.25">
      <c r="T56540" s="135"/>
      <c r="U56540" s="135"/>
    </row>
    <row r="56541" spans="20:21" ht="15" customHeight="1" x14ac:dyDescent="0.25">
      <c r="T56541" s="135"/>
      <c r="U56541" s="135"/>
    </row>
    <row r="56542" spans="20:21" ht="15" customHeight="1" x14ac:dyDescent="0.25">
      <c r="T56542" s="135"/>
      <c r="U56542" s="135"/>
    </row>
    <row r="56543" spans="20:21" ht="15" customHeight="1" x14ac:dyDescent="0.25">
      <c r="T56543" s="135"/>
      <c r="U56543" s="135"/>
    </row>
    <row r="56544" spans="20:21" ht="15" customHeight="1" x14ac:dyDescent="0.25">
      <c r="T56544" s="135"/>
      <c r="U56544" s="135"/>
    </row>
    <row r="56545" spans="20:21" ht="15" customHeight="1" x14ac:dyDescent="0.25">
      <c r="T56545" s="135"/>
      <c r="U56545" s="135"/>
    </row>
    <row r="56546" spans="20:21" ht="15" customHeight="1" x14ac:dyDescent="0.25">
      <c r="T56546" s="135"/>
      <c r="U56546" s="135"/>
    </row>
    <row r="56547" spans="20:21" ht="15" customHeight="1" x14ac:dyDescent="0.25">
      <c r="T56547" s="135"/>
      <c r="U56547" s="135"/>
    </row>
    <row r="56548" spans="20:21" ht="15" customHeight="1" x14ac:dyDescent="0.25">
      <c r="T56548" s="135"/>
      <c r="U56548" s="135"/>
    </row>
    <row r="56549" spans="20:21" ht="15" customHeight="1" x14ac:dyDescent="0.25">
      <c r="T56549" s="135"/>
      <c r="U56549" s="135"/>
    </row>
    <row r="56550" spans="20:21" ht="15" customHeight="1" x14ac:dyDescent="0.25">
      <c r="T56550" s="135"/>
      <c r="U56550" s="135"/>
    </row>
    <row r="56551" spans="20:21" ht="15" customHeight="1" x14ac:dyDescent="0.25">
      <c r="T56551" s="135"/>
      <c r="U56551" s="135"/>
    </row>
    <row r="56552" spans="20:21" ht="15" customHeight="1" x14ac:dyDescent="0.25">
      <c r="T56552" s="135"/>
      <c r="U56552" s="135"/>
    </row>
    <row r="56553" spans="20:21" ht="15" customHeight="1" x14ac:dyDescent="0.25">
      <c r="T56553" s="135"/>
      <c r="U56553" s="135"/>
    </row>
    <row r="56554" spans="20:21" ht="15" customHeight="1" x14ac:dyDescent="0.25">
      <c r="T56554" s="135"/>
      <c r="U56554" s="135"/>
    </row>
    <row r="56555" spans="20:21" ht="15" customHeight="1" x14ac:dyDescent="0.25">
      <c r="T56555" s="135"/>
      <c r="U56555" s="135"/>
    </row>
    <row r="56556" spans="20:21" ht="15" customHeight="1" x14ac:dyDescent="0.25">
      <c r="T56556" s="135"/>
      <c r="U56556" s="135"/>
    </row>
    <row r="56557" spans="20:21" ht="15" customHeight="1" x14ac:dyDescent="0.25">
      <c r="T56557" s="135"/>
      <c r="U56557" s="135"/>
    </row>
    <row r="56558" spans="20:21" ht="15" customHeight="1" x14ac:dyDescent="0.25">
      <c r="T56558" s="135"/>
      <c r="U56558" s="135"/>
    </row>
    <row r="56559" spans="20:21" ht="15" customHeight="1" x14ac:dyDescent="0.25">
      <c r="T56559" s="135"/>
      <c r="U56559" s="135"/>
    </row>
    <row r="56560" spans="20:21" ht="15" customHeight="1" x14ac:dyDescent="0.25">
      <c r="T56560" s="135"/>
      <c r="U56560" s="135"/>
    </row>
    <row r="56561" spans="20:21" ht="15" customHeight="1" x14ac:dyDescent="0.25">
      <c r="T56561" s="135"/>
      <c r="U56561" s="135"/>
    </row>
    <row r="56562" spans="20:21" ht="15" customHeight="1" x14ac:dyDescent="0.25">
      <c r="T56562" s="135"/>
      <c r="U56562" s="135"/>
    </row>
    <row r="56563" spans="20:21" ht="15" customHeight="1" x14ac:dyDescent="0.25">
      <c r="T56563" s="135"/>
      <c r="U56563" s="135"/>
    </row>
    <row r="56564" spans="20:21" ht="15" customHeight="1" x14ac:dyDescent="0.25">
      <c r="T56564" s="135"/>
      <c r="U56564" s="135"/>
    </row>
    <row r="56565" spans="20:21" ht="15" customHeight="1" x14ac:dyDescent="0.25">
      <c r="T56565" s="135"/>
      <c r="U56565" s="135"/>
    </row>
    <row r="56566" spans="20:21" ht="15" customHeight="1" x14ac:dyDescent="0.25">
      <c r="T56566" s="135"/>
      <c r="U56566" s="135"/>
    </row>
    <row r="56567" spans="20:21" ht="15" customHeight="1" x14ac:dyDescent="0.25">
      <c r="T56567" s="135"/>
      <c r="U56567" s="135"/>
    </row>
    <row r="56568" spans="20:21" ht="15" customHeight="1" x14ac:dyDescent="0.25">
      <c r="T56568" s="135"/>
      <c r="U56568" s="135"/>
    </row>
    <row r="56569" spans="20:21" ht="15" customHeight="1" x14ac:dyDescent="0.25">
      <c r="T56569" s="135"/>
      <c r="U56569" s="135"/>
    </row>
    <row r="56570" spans="20:21" ht="15" customHeight="1" x14ac:dyDescent="0.25">
      <c r="T56570" s="135"/>
      <c r="U56570" s="135"/>
    </row>
    <row r="56571" spans="20:21" ht="15" customHeight="1" x14ac:dyDescent="0.25">
      <c r="T56571" s="135"/>
      <c r="U56571" s="135"/>
    </row>
    <row r="56572" spans="20:21" ht="15" customHeight="1" x14ac:dyDescent="0.25">
      <c r="T56572" s="135"/>
      <c r="U56572" s="135"/>
    </row>
    <row r="56573" spans="20:21" ht="15" customHeight="1" x14ac:dyDescent="0.25">
      <c r="T56573" s="135"/>
      <c r="U56573" s="135"/>
    </row>
    <row r="56574" spans="20:21" ht="15" customHeight="1" x14ac:dyDescent="0.25">
      <c r="T56574" s="135"/>
      <c r="U56574" s="135"/>
    </row>
    <row r="56575" spans="20:21" ht="15" customHeight="1" x14ac:dyDescent="0.25">
      <c r="T56575" s="135"/>
      <c r="U56575" s="135"/>
    </row>
    <row r="56576" spans="20:21" ht="15" customHeight="1" x14ac:dyDescent="0.25">
      <c r="T56576" s="135"/>
      <c r="U56576" s="135"/>
    </row>
    <row r="56577" spans="20:21" ht="15" customHeight="1" x14ac:dyDescent="0.25">
      <c r="T56577" s="135"/>
      <c r="U56577" s="135"/>
    </row>
    <row r="56578" spans="20:21" ht="15" customHeight="1" x14ac:dyDescent="0.25">
      <c r="T56578" s="135"/>
      <c r="U56578" s="135"/>
    </row>
    <row r="56579" spans="20:21" ht="15" customHeight="1" x14ac:dyDescent="0.25">
      <c r="T56579" s="135"/>
      <c r="U56579" s="135"/>
    </row>
    <row r="56580" spans="20:21" ht="15" customHeight="1" x14ac:dyDescent="0.25">
      <c r="T56580" s="135"/>
      <c r="U56580" s="135"/>
    </row>
    <row r="56581" spans="20:21" ht="15" customHeight="1" x14ac:dyDescent="0.25">
      <c r="T56581" s="135"/>
      <c r="U56581" s="135"/>
    </row>
    <row r="56582" spans="20:21" ht="15" customHeight="1" x14ac:dyDescent="0.25">
      <c r="T56582" s="135"/>
      <c r="U56582" s="135"/>
    </row>
    <row r="56583" spans="20:21" ht="15" customHeight="1" x14ac:dyDescent="0.25">
      <c r="T56583" s="135"/>
      <c r="U56583" s="135"/>
    </row>
    <row r="56584" spans="20:21" ht="15" customHeight="1" x14ac:dyDescent="0.25">
      <c r="T56584" s="135"/>
      <c r="U56584" s="135"/>
    </row>
    <row r="56585" spans="20:21" ht="15" customHeight="1" x14ac:dyDescent="0.25">
      <c r="T56585" s="135"/>
      <c r="U56585" s="135"/>
    </row>
    <row r="56586" spans="20:21" ht="15" customHeight="1" x14ac:dyDescent="0.25">
      <c r="T56586" s="135"/>
      <c r="U56586" s="135"/>
    </row>
    <row r="56587" spans="20:21" ht="15" customHeight="1" x14ac:dyDescent="0.25">
      <c r="T56587" s="135"/>
      <c r="U56587" s="135"/>
    </row>
    <row r="56588" spans="20:21" ht="15" customHeight="1" x14ac:dyDescent="0.25">
      <c r="T56588" s="135"/>
      <c r="U56588" s="135"/>
    </row>
    <row r="56589" spans="20:21" ht="15" customHeight="1" x14ac:dyDescent="0.25">
      <c r="T56589" s="135"/>
      <c r="U56589" s="135"/>
    </row>
    <row r="56590" spans="20:21" ht="15" customHeight="1" x14ac:dyDescent="0.25">
      <c r="T56590" s="135"/>
      <c r="U56590" s="135"/>
    </row>
    <row r="56591" spans="20:21" ht="15" customHeight="1" x14ac:dyDescent="0.25">
      <c r="T56591" s="135"/>
      <c r="U56591" s="135"/>
    </row>
    <row r="56592" spans="20:21" ht="15" customHeight="1" x14ac:dyDescent="0.25">
      <c r="T56592" s="135"/>
      <c r="U56592" s="135"/>
    </row>
    <row r="56593" spans="20:21" ht="15" customHeight="1" x14ac:dyDescent="0.25">
      <c r="T56593" s="135"/>
      <c r="U56593" s="135"/>
    </row>
    <row r="56594" spans="20:21" ht="15" customHeight="1" x14ac:dyDescent="0.25">
      <c r="T56594" s="135"/>
      <c r="U56594" s="135"/>
    </row>
    <row r="56595" spans="20:21" ht="15" customHeight="1" x14ac:dyDescent="0.25">
      <c r="T56595" s="135"/>
      <c r="U56595" s="135"/>
    </row>
    <row r="56596" spans="20:21" ht="15" customHeight="1" x14ac:dyDescent="0.25">
      <c r="T56596" s="135"/>
      <c r="U56596" s="135"/>
    </row>
    <row r="56597" spans="20:21" ht="15" customHeight="1" x14ac:dyDescent="0.25">
      <c r="T56597" s="135"/>
      <c r="U56597" s="135"/>
    </row>
    <row r="56598" spans="20:21" ht="15" customHeight="1" x14ac:dyDescent="0.25">
      <c r="T56598" s="135"/>
      <c r="U56598" s="135"/>
    </row>
    <row r="56599" spans="20:21" ht="15" customHeight="1" x14ac:dyDescent="0.25">
      <c r="T56599" s="135"/>
      <c r="U56599" s="135"/>
    </row>
    <row r="56600" spans="20:21" ht="15" customHeight="1" x14ac:dyDescent="0.25">
      <c r="T56600" s="135"/>
      <c r="U56600" s="135"/>
    </row>
    <row r="56601" spans="20:21" ht="15" customHeight="1" x14ac:dyDescent="0.25">
      <c r="T56601" s="135"/>
      <c r="U56601" s="135"/>
    </row>
    <row r="56602" spans="20:21" ht="15" customHeight="1" x14ac:dyDescent="0.25">
      <c r="T56602" s="135"/>
      <c r="U56602" s="135"/>
    </row>
    <row r="56603" spans="20:21" ht="15" customHeight="1" x14ac:dyDescent="0.25">
      <c r="T56603" s="135"/>
      <c r="U56603" s="135"/>
    </row>
    <row r="56604" spans="20:21" ht="15" customHeight="1" x14ac:dyDescent="0.25">
      <c r="T56604" s="135"/>
      <c r="U56604" s="135"/>
    </row>
    <row r="56605" spans="20:21" ht="15" customHeight="1" x14ac:dyDescent="0.25">
      <c r="T56605" s="135"/>
      <c r="U56605" s="135"/>
    </row>
    <row r="56606" spans="20:21" ht="15" customHeight="1" x14ac:dyDescent="0.25">
      <c r="T56606" s="135"/>
      <c r="U56606" s="135"/>
    </row>
    <row r="56607" spans="20:21" ht="15" customHeight="1" x14ac:dyDescent="0.25">
      <c r="T56607" s="135"/>
      <c r="U56607" s="135"/>
    </row>
    <row r="56608" spans="20:21" ht="15" customHeight="1" x14ac:dyDescent="0.25">
      <c r="T56608" s="135"/>
      <c r="U56608" s="135"/>
    </row>
    <row r="56609" spans="20:21" ht="15" customHeight="1" x14ac:dyDescent="0.25">
      <c r="T56609" s="135"/>
      <c r="U56609" s="135"/>
    </row>
    <row r="56610" spans="20:21" ht="15" customHeight="1" x14ac:dyDescent="0.25">
      <c r="T56610" s="135"/>
      <c r="U56610" s="135"/>
    </row>
    <row r="56611" spans="20:21" ht="15" customHeight="1" x14ac:dyDescent="0.25">
      <c r="T56611" s="135"/>
      <c r="U56611" s="135"/>
    </row>
    <row r="56612" spans="20:21" ht="15" customHeight="1" x14ac:dyDescent="0.25">
      <c r="T56612" s="135"/>
      <c r="U56612" s="135"/>
    </row>
    <row r="56613" spans="20:21" ht="15" customHeight="1" x14ac:dyDescent="0.25">
      <c r="T56613" s="135"/>
      <c r="U56613" s="135"/>
    </row>
    <row r="56614" spans="20:21" ht="15" customHeight="1" x14ac:dyDescent="0.25">
      <c r="T56614" s="135"/>
      <c r="U56614" s="135"/>
    </row>
    <row r="56615" spans="20:21" ht="15" customHeight="1" x14ac:dyDescent="0.25">
      <c r="T56615" s="135"/>
      <c r="U56615" s="135"/>
    </row>
    <row r="56616" spans="20:21" ht="15" customHeight="1" x14ac:dyDescent="0.25">
      <c r="T56616" s="135"/>
      <c r="U56616" s="135"/>
    </row>
    <row r="56617" spans="20:21" ht="15" customHeight="1" x14ac:dyDescent="0.25">
      <c r="T56617" s="135"/>
      <c r="U56617" s="135"/>
    </row>
    <row r="56618" spans="20:21" ht="15" customHeight="1" x14ac:dyDescent="0.25">
      <c r="T56618" s="135"/>
      <c r="U56618" s="135"/>
    </row>
    <row r="56619" spans="20:21" ht="15" customHeight="1" x14ac:dyDescent="0.25">
      <c r="T56619" s="135"/>
      <c r="U56619" s="135"/>
    </row>
    <row r="56620" spans="20:21" ht="15" customHeight="1" x14ac:dyDescent="0.25">
      <c r="T56620" s="135"/>
      <c r="U56620" s="135"/>
    </row>
    <row r="56621" spans="20:21" ht="15" customHeight="1" x14ac:dyDescent="0.25">
      <c r="T56621" s="135"/>
      <c r="U56621" s="135"/>
    </row>
    <row r="56622" spans="20:21" ht="15" customHeight="1" x14ac:dyDescent="0.25">
      <c r="T56622" s="135"/>
      <c r="U56622" s="135"/>
    </row>
    <row r="56623" spans="20:21" ht="15" customHeight="1" x14ac:dyDescent="0.25">
      <c r="T56623" s="135"/>
      <c r="U56623" s="135"/>
    </row>
    <row r="56624" spans="20:21" ht="15" customHeight="1" x14ac:dyDescent="0.25">
      <c r="T56624" s="135"/>
      <c r="U56624" s="135"/>
    </row>
    <row r="56625" spans="20:21" ht="15" customHeight="1" x14ac:dyDescent="0.25">
      <c r="T56625" s="135"/>
      <c r="U56625" s="135"/>
    </row>
    <row r="56626" spans="20:21" ht="15" customHeight="1" x14ac:dyDescent="0.25">
      <c r="T56626" s="135"/>
      <c r="U56626" s="135"/>
    </row>
    <row r="56627" spans="20:21" ht="15" customHeight="1" x14ac:dyDescent="0.25">
      <c r="T56627" s="135"/>
      <c r="U56627" s="135"/>
    </row>
    <row r="56628" spans="20:21" ht="15" customHeight="1" x14ac:dyDescent="0.25">
      <c r="T56628" s="135"/>
      <c r="U56628" s="135"/>
    </row>
    <row r="56629" spans="20:21" ht="15" customHeight="1" x14ac:dyDescent="0.25">
      <c r="T56629" s="135"/>
      <c r="U56629" s="135"/>
    </row>
    <row r="56630" spans="20:21" ht="15" customHeight="1" x14ac:dyDescent="0.25">
      <c r="T56630" s="135"/>
      <c r="U56630" s="135"/>
    </row>
    <row r="56631" spans="20:21" ht="15" customHeight="1" x14ac:dyDescent="0.25">
      <c r="T56631" s="135"/>
      <c r="U56631" s="135"/>
    </row>
    <row r="56632" spans="20:21" ht="15" customHeight="1" x14ac:dyDescent="0.25">
      <c r="T56632" s="135"/>
      <c r="U56632" s="135"/>
    </row>
    <row r="56633" spans="20:21" ht="15" customHeight="1" x14ac:dyDescent="0.25">
      <c r="T56633" s="135"/>
      <c r="U56633" s="135"/>
    </row>
    <row r="56634" spans="20:21" ht="15" customHeight="1" x14ac:dyDescent="0.25">
      <c r="T56634" s="135"/>
      <c r="U56634" s="135"/>
    </row>
    <row r="56635" spans="20:21" ht="15" customHeight="1" x14ac:dyDescent="0.25">
      <c r="T56635" s="135"/>
      <c r="U56635" s="135"/>
    </row>
    <row r="56636" spans="20:21" ht="15" customHeight="1" x14ac:dyDescent="0.25">
      <c r="T56636" s="135"/>
      <c r="U56636" s="135"/>
    </row>
    <row r="56637" spans="20:21" ht="15" customHeight="1" x14ac:dyDescent="0.25">
      <c r="T56637" s="135"/>
      <c r="U56637" s="135"/>
    </row>
    <row r="56638" spans="20:21" ht="15" customHeight="1" x14ac:dyDescent="0.25">
      <c r="T56638" s="135"/>
      <c r="U56638" s="135"/>
    </row>
    <row r="56639" spans="20:21" ht="15" customHeight="1" x14ac:dyDescent="0.25">
      <c r="T56639" s="135"/>
      <c r="U56639" s="135"/>
    </row>
    <row r="56640" spans="20:21" ht="15" customHeight="1" x14ac:dyDescent="0.25">
      <c r="T56640" s="135"/>
      <c r="U56640" s="135"/>
    </row>
    <row r="56641" spans="20:21" ht="15" customHeight="1" x14ac:dyDescent="0.25">
      <c r="T56641" s="135"/>
      <c r="U56641" s="135"/>
    </row>
    <row r="56642" spans="20:21" ht="15" customHeight="1" x14ac:dyDescent="0.25">
      <c r="T56642" s="135"/>
      <c r="U56642" s="135"/>
    </row>
    <row r="56643" spans="20:21" ht="15" customHeight="1" x14ac:dyDescent="0.25">
      <c r="T56643" s="135"/>
      <c r="U56643" s="135"/>
    </row>
    <row r="56644" spans="20:21" ht="15" customHeight="1" x14ac:dyDescent="0.25">
      <c r="T56644" s="135"/>
      <c r="U56644" s="135"/>
    </row>
    <row r="56645" spans="20:21" ht="15" customHeight="1" x14ac:dyDescent="0.25">
      <c r="T56645" s="135"/>
      <c r="U56645" s="135"/>
    </row>
    <row r="56646" spans="20:21" ht="15" customHeight="1" x14ac:dyDescent="0.25">
      <c r="T56646" s="135"/>
      <c r="U56646" s="135"/>
    </row>
    <row r="56647" spans="20:21" ht="15" customHeight="1" x14ac:dyDescent="0.25">
      <c r="T56647" s="135"/>
      <c r="U56647" s="135"/>
    </row>
    <row r="56648" spans="20:21" ht="15" customHeight="1" x14ac:dyDescent="0.25">
      <c r="T56648" s="135"/>
      <c r="U56648" s="135"/>
    </row>
    <row r="56649" spans="20:21" ht="15" customHeight="1" x14ac:dyDescent="0.25">
      <c r="T56649" s="135"/>
      <c r="U56649" s="135"/>
    </row>
    <row r="56650" spans="20:21" ht="15" customHeight="1" x14ac:dyDescent="0.25">
      <c r="T56650" s="135"/>
      <c r="U56650" s="135"/>
    </row>
    <row r="56651" spans="20:21" ht="15" customHeight="1" x14ac:dyDescent="0.25">
      <c r="T56651" s="135"/>
      <c r="U56651" s="135"/>
    </row>
    <row r="56652" spans="20:21" ht="15" customHeight="1" x14ac:dyDescent="0.25">
      <c r="T56652" s="135"/>
      <c r="U56652" s="135"/>
    </row>
    <row r="56653" spans="20:21" ht="15" customHeight="1" x14ac:dyDescent="0.25">
      <c r="T56653" s="135"/>
      <c r="U56653" s="135"/>
    </row>
    <row r="56654" spans="20:21" ht="15" customHeight="1" x14ac:dyDescent="0.25">
      <c r="T56654" s="135"/>
      <c r="U56654" s="135"/>
    </row>
    <row r="56655" spans="20:21" ht="15" customHeight="1" x14ac:dyDescent="0.25">
      <c r="T56655" s="135"/>
      <c r="U56655" s="135"/>
    </row>
    <row r="56656" spans="20:21" ht="15" customHeight="1" x14ac:dyDescent="0.25">
      <c r="T56656" s="135"/>
      <c r="U56656" s="135"/>
    </row>
    <row r="56657" spans="20:21" ht="15" customHeight="1" x14ac:dyDescent="0.25">
      <c r="T56657" s="135"/>
      <c r="U56657" s="135"/>
    </row>
    <row r="56658" spans="20:21" ht="15" customHeight="1" x14ac:dyDescent="0.25">
      <c r="T56658" s="135"/>
      <c r="U56658" s="135"/>
    </row>
    <row r="56659" spans="20:21" ht="15" customHeight="1" x14ac:dyDescent="0.25">
      <c r="T56659" s="135"/>
      <c r="U56659" s="135"/>
    </row>
    <row r="56660" spans="20:21" ht="15" customHeight="1" x14ac:dyDescent="0.25">
      <c r="T56660" s="135"/>
      <c r="U56660" s="135"/>
    </row>
    <row r="56661" spans="20:21" ht="15" customHeight="1" x14ac:dyDescent="0.25">
      <c r="T56661" s="135"/>
      <c r="U56661" s="135"/>
    </row>
    <row r="56662" spans="20:21" ht="15" customHeight="1" x14ac:dyDescent="0.25">
      <c r="T56662" s="135"/>
      <c r="U56662" s="135"/>
    </row>
    <row r="56663" spans="20:21" ht="15" customHeight="1" x14ac:dyDescent="0.25">
      <c r="T56663" s="135"/>
      <c r="U56663" s="135"/>
    </row>
    <row r="56664" spans="20:21" ht="15" customHeight="1" x14ac:dyDescent="0.25">
      <c r="T56664" s="135"/>
      <c r="U56664" s="135"/>
    </row>
    <row r="56665" spans="20:21" ht="15" customHeight="1" x14ac:dyDescent="0.25">
      <c r="T56665" s="135"/>
      <c r="U56665" s="135"/>
    </row>
    <row r="56666" spans="20:21" ht="15" customHeight="1" x14ac:dyDescent="0.25">
      <c r="T56666" s="135"/>
      <c r="U56666" s="135"/>
    </row>
    <row r="56667" spans="20:21" ht="15" customHeight="1" x14ac:dyDescent="0.25">
      <c r="T56667" s="135"/>
      <c r="U56667" s="135"/>
    </row>
    <row r="56668" spans="20:21" ht="15" customHeight="1" x14ac:dyDescent="0.25">
      <c r="T56668" s="135"/>
      <c r="U56668" s="135"/>
    </row>
    <row r="56669" spans="20:21" ht="15" customHeight="1" x14ac:dyDescent="0.25">
      <c r="T56669" s="135"/>
      <c r="U56669" s="135"/>
    </row>
    <row r="56670" spans="20:21" ht="15" customHeight="1" x14ac:dyDescent="0.25">
      <c r="T56670" s="135"/>
      <c r="U56670" s="135"/>
    </row>
    <row r="56671" spans="20:21" ht="15" customHeight="1" x14ac:dyDescent="0.25">
      <c r="T56671" s="135"/>
      <c r="U56671" s="135"/>
    </row>
    <row r="56672" spans="20:21" ht="15" customHeight="1" x14ac:dyDescent="0.25">
      <c r="T56672" s="135"/>
      <c r="U56672" s="135"/>
    </row>
    <row r="56673" spans="20:21" ht="15" customHeight="1" x14ac:dyDescent="0.25">
      <c r="T56673" s="135"/>
      <c r="U56673" s="135"/>
    </row>
    <row r="56674" spans="20:21" ht="15" customHeight="1" x14ac:dyDescent="0.25">
      <c r="T56674" s="135"/>
      <c r="U56674" s="135"/>
    </row>
    <row r="56675" spans="20:21" ht="15" customHeight="1" x14ac:dyDescent="0.25">
      <c r="T56675" s="135"/>
      <c r="U56675" s="135"/>
    </row>
    <row r="56676" spans="20:21" ht="15" customHeight="1" x14ac:dyDescent="0.25">
      <c r="T56676" s="135"/>
      <c r="U56676" s="135"/>
    </row>
    <row r="56677" spans="20:21" ht="15" customHeight="1" x14ac:dyDescent="0.25">
      <c r="T56677" s="135"/>
      <c r="U56677" s="135"/>
    </row>
    <row r="56678" spans="20:21" ht="15" customHeight="1" x14ac:dyDescent="0.25">
      <c r="T56678" s="135"/>
      <c r="U56678" s="135"/>
    </row>
    <row r="56679" spans="20:21" ht="15" customHeight="1" x14ac:dyDescent="0.25">
      <c r="T56679" s="135"/>
      <c r="U56679" s="135"/>
    </row>
    <row r="56680" spans="20:21" ht="15" customHeight="1" x14ac:dyDescent="0.25">
      <c r="T56680" s="135"/>
      <c r="U56680" s="135"/>
    </row>
    <row r="56681" spans="20:21" ht="15" customHeight="1" x14ac:dyDescent="0.25">
      <c r="T56681" s="135"/>
      <c r="U56681" s="135"/>
    </row>
    <row r="56682" spans="20:21" ht="15" customHeight="1" x14ac:dyDescent="0.25">
      <c r="T56682" s="135"/>
      <c r="U56682" s="135"/>
    </row>
    <row r="56683" spans="20:21" ht="15" customHeight="1" x14ac:dyDescent="0.25">
      <c r="T56683" s="135"/>
      <c r="U56683" s="135"/>
    </row>
    <row r="56684" spans="20:21" ht="15" customHeight="1" x14ac:dyDescent="0.25">
      <c r="T56684" s="135"/>
      <c r="U56684" s="135"/>
    </row>
    <row r="56685" spans="20:21" ht="15" customHeight="1" x14ac:dyDescent="0.25">
      <c r="T56685" s="135"/>
      <c r="U56685" s="135"/>
    </row>
    <row r="56686" spans="20:21" ht="15" customHeight="1" x14ac:dyDescent="0.25">
      <c r="T56686" s="135"/>
      <c r="U56686" s="135"/>
    </row>
    <row r="56687" spans="20:21" ht="15" customHeight="1" x14ac:dyDescent="0.25">
      <c r="T56687" s="135"/>
      <c r="U56687" s="135"/>
    </row>
    <row r="56688" spans="20:21" ht="15" customHeight="1" x14ac:dyDescent="0.25">
      <c r="T56688" s="135"/>
      <c r="U56688" s="135"/>
    </row>
    <row r="56689" spans="20:21" ht="15" customHeight="1" x14ac:dyDescent="0.25">
      <c r="T56689" s="135"/>
      <c r="U56689" s="135"/>
    </row>
    <row r="56690" spans="20:21" ht="15" customHeight="1" x14ac:dyDescent="0.25">
      <c r="T56690" s="135"/>
      <c r="U56690" s="135"/>
    </row>
    <row r="56691" spans="20:21" ht="15" customHeight="1" x14ac:dyDescent="0.25">
      <c r="T56691" s="135"/>
      <c r="U56691" s="135"/>
    </row>
    <row r="56692" spans="20:21" ht="15" customHeight="1" x14ac:dyDescent="0.25">
      <c r="T56692" s="135"/>
      <c r="U56692" s="135"/>
    </row>
    <row r="56693" spans="20:21" ht="15" customHeight="1" x14ac:dyDescent="0.25">
      <c r="T56693" s="135"/>
      <c r="U56693" s="135"/>
    </row>
    <row r="56694" spans="20:21" ht="15" customHeight="1" x14ac:dyDescent="0.25">
      <c r="T56694" s="135"/>
      <c r="U56694" s="135"/>
    </row>
    <row r="56695" spans="20:21" ht="15" customHeight="1" x14ac:dyDescent="0.25">
      <c r="T56695" s="135"/>
      <c r="U56695" s="135"/>
    </row>
    <row r="56696" spans="20:21" ht="15" customHeight="1" x14ac:dyDescent="0.25">
      <c r="T56696" s="135"/>
      <c r="U56696" s="135"/>
    </row>
    <row r="56697" spans="20:21" ht="15" customHeight="1" x14ac:dyDescent="0.25">
      <c r="T56697" s="135"/>
      <c r="U56697" s="135"/>
    </row>
    <row r="56698" spans="20:21" ht="15" customHeight="1" x14ac:dyDescent="0.25">
      <c r="T56698" s="135"/>
      <c r="U56698" s="135"/>
    </row>
    <row r="56699" spans="20:21" ht="15" customHeight="1" x14ac:dyDescent="0.25">
      <c r="T56699" s="135"/>
      <c r="U56699" s="135"/>
    </row>
    <row r="56700" spans="20:21" ht="15" customHeight="1" x14ac:dyDescent="0.25">
      <c r="T56700" s="135"/>
      <c r="U56700" s="135"/>
    </row>
    <row r="56701" spans="20:21" ht="15" customHeight="1" x14ac:dyDescent="0.25">
      <c r="T56701" s="135"/>
      <c r="U56701" s="135"/>
    </row>
    <row r="56702" spans="20:21" ht="15" customHeight="1" x14ac:dyDescent="0.25">
      <c r="T56702" s="135"/>
      <c r="U56702" s="135"/>
    </row>
    <row r="56703" spans="20:21" ht="15" customHeight="1" x14ac:dyDescent="0.25">
      <c r="T56703" s="135"/>
      <c r="U56703" s="135"/>
    </row>
    <row r="56704" spans="20:21" ht="15" customHeight="1" x14ac:dyDescent="0.25">
      <c r="T56704" s="135"/>
      <c r="U56704" s="135"/>
    </row>
    <row r="56705" spans="20:21" ht="15" customHeight="1" x14ac:dyDescent="0.25">
      <c r="T56705" s="135"/>
      <c r="U56705" s="135"/>
    </row>
    <row r="56706" spans="20:21" ht="15" customHeight="1" x14ac:dyDescent="0.25">
      <c r="T56706" s="135"/>
      <c r="U56706" s="135"/>
    </row>
    <row r="56707" spans="20:21" ht="15" customHeight="1" x14ac:dyDescent="0.25">
      <c r="T56707" s="135"/>
      <c r="U56707" s="135"/>
    </row>
    <row r="56708" spans="20:21" ht="15" customHeight="1" x14ac:dyDescent="0.25">
      <c r="T56708" s="135"/>
      <c r="U56708" s="135"/>
    </row>
    <row r="56709" spans="20:21" ht="15" customHeight="1" x14ac:dyDescent="0.25">
      <c r="T56709" s="135"/>
      <c r="U56709" s="135"/>
    </row>
    <row r="56710" spans="20:21" ht="15" customHeight="1" x14ac:dyDescent="0.25">
      <c r="T56710" s="135"/>
      <c r="U56710" s="135"/>
    </row>
    <row r="56711" spans="20:21" ht="15" customHeight="1" x14ac:dyDescent="0.25">
      <c r="T56711" s="135"/>
      <c r="U56711" s="135"/>
    </row>
    <row r="56712" spans="20:21" ht="15" customHeight="1" x14ac:dyDescent="0.25">
      <c r="T56712" s="135"/>
      <c r="U56712" s="135"/>
    </row>
    <row r="56713" spans="20:21" ht="15" customHeight="1" x14ac:dyDescent="0.25">
      <c r="T56713" s="135"/>
      <c r="U56713" s="135"/>
    </row>
    <row r="56714" spans="20:21" ht="15" customHeight="1" x14ac:dyDescent="0.25">
      <c r="T56714" s="135"/>
      <c r="U56714" s="135"/>
    </row>
    <row r="56715" spans="20:21" ht="15" customHeight="1" x14ac:dyDescent="0.25">
      <c r="T56715" s="135"/>
      <c r="U56715" s="135"/>
    </row>
    <row r="56716" spans="20:21" ht="15" customHeight="1" x14ac:dyDescent="0.25">
      <c r="T56716" s="135"/>
      <c r="U56716" s="135"/>
    </row>
    <row r="56717" spans="20:21" ht="15" customHeight="1" x14ac:dyDescent="0.25">
      <c r="T56717" s="135"/>
      <c r="U56717" s="135"/>
    </row>
    <row r="56718" spans="20:21" ht="15" customHeight="1" x14ac:dyDescent="0.25">
      <c r="T56718" s="135"/>
      <c r="U56718" s="135"/>
    </row>
    <row r="56719" spans="20:21" ht="15" customHeight="1" x14ac:dyDescent="0.25">
      <c r="T56719" s="135"/>
      <c r="U56719" s="135"/>
    </row>
    <row r="56720" spans="20:21" ht="15" customHeight="1" x14ac:dyDescent="0.25">
      <c r="T56720" s="135"/>
      <c r="U56720" s="135"/>
    </row>
    <row r="56721" spans="20:21" ht="15" customHeight="1" x14ac:dyDescent="0.25">
      <c r="T56721" s="135"/>
      <c r="U56721" s="135"/>
    </row>
    <row r="56722" spans="20:21" ht="15" customHeight="1" x14ac:dyDescent="0.25">
      <c r="T56722" s="135"/>
      <c r="U56722" s="135"/>
    </row>
    <row r="56723" spans="20:21" ht="15" customHeight="1" x14ac:dyDescent="0.25">
      <c r="T56723" s="135"/>
      <c r="U56723" s="135"/>
    </row>
    <row r="56724" spans="20:21" ht="15" customHeight="1" x14ac:dyDescent="0.25">
      <c r="T56724" s="135"/>
      <c r="U56724" s="135"/>
    </row>
    <row r="56725" spans="20:21" ht="15" customHeight="1" x14ac:dyDescent="0.25">
      <c r="T56725" s="135"/>
      <c r="U56725" s="135"/>
    </row>
    <row r="56726" spans="20:21" ht="15" customHeight="1" x14ac:dyDescent="0.25">
      <c r="T56726" s="135"/>
      <c r="U56726" s="135"/>
    </row>
    <row r="56727" spans="20:21" ht="15" customHeight="1" x14ac:dyDescent="0.25">
      <c r="T56727" s="135"/>
      <c r="U56727" s="135"/>
    </row>
    <row r="56728" spans="20:21" ht="15" customHeight="1" x14ac:dyDescent="0.25">
      <c r="T56728" s="135"/>
      <c r="U56728" s="135"/>
    </row>
    <row r="56729" spans="20:21" ht="15" customHeight="1" x14ac:dyDescent="0.25">
      <c r="T56729" s="135"/>
      <c r="U56729" s="135"/>
    </row>
    <row r="56730" spans="20:21" ht="15" customHeight="1" x14ac:dyDescent="0.25">
      <c r="T56730" s="135"/>
      <c r="U56730" s="135"/>
    </row>
    <row r="56731" spans="20:21" ht="15" customHeight="1" x14ac:dyDescent="0.25">
      <c r="T56731" s="135"/>
      <c r="U56731" s="135"/>
    </row>
    <row r="56732" spans="20:21" ht="15" customHeight="1" x14ac:dyDescent="0.25">
      <c r="T56732" s="135"/>
      <c r="U56732" s="135"/>
    </row>
    <row r="56733" spans="20:21" ht="15" customHeight="1" x14ac:dyDescent="0.25">
      <c r="T56733" s="135"/>
      <c r="U56733" s="135"/>
    </row>
    <row r="56734" spans="20:21" ht="15" customHeight="1" x14ac:dyDescent="0.25">
      <c r="T56734" s="135"/>
      <c r="U56734" s="135"/>
    </row>
    <row r="56735" spans="20:21" ht="15" customHeight="1" x14ac:dyDescent="0.25">
      <c r="T56735" s="135"/>
      <c r="U56735" s="135"/>
    </row>
    <row r="56736" spans="20:21" ht="15" customHeight="1" x14ac:dyDescent="0.25">
      <c r="T56736" s="135"/>
      <c r="U56736" s="135"/>
    </row>
    <row r="56737" spans="20:21" ht="15" customHeight="1" x14ac:dyDescent="0.25">
      <c r="T56737" s="135"/>
      <c r="U56737" s="135"/>
    </row>
    <row r="56738" spans="20:21" ht="15" customHeight="1" x14ac:dyDescent="0.25">
      <c r="T56738" s="135"/>
      <c r="U56738" s="135"/>
    </row>
    <row r="56739" spans="20:21" ht="15" customHeight="1" x14ac:dyDescent="0.25">
      <c r="T56739" s="135"/>
      <c r="U56739" s="135"/>
    </row>
    <row r="56740" spans="20:21" ht="15" customHeight="1" x14ac:dyDescent="0.25">
      <c r="T56740" s="135"/>
      <c r="U56740" s="135"/>
    </row>
    <row r="56741" spans="20:21" ht="15" customHeight="1" x14ac:dyDescent="0.25">
      <c r="T56741" s="135"/>
      <c r="U56741" s="135"/>
    </row>
    <row r="56742" spans="20:21" ht="15" customHeight="1" x14ac:dyDescent="0.25">
      <c r="T56742" s="135"/>
      <c r="U56742" s="135"/>
    </row>
    <row r="56743" spans="20:21" ht="15" customHeight="1" x14ac:dyDescent="0.25">
      <c r="T56743" s="135"/>
      <c r="U56743" s="135"/>
    </row>
    <row r="56744" spans="20:21" ht="15" customHeight="1" x14ac:dyDescent="0.25">
      <c r="T56744" s="135"/>
      <c r="U56744" s="135"/>
    </row>
    <row r="56745" spans="20:21" ht="15" customHeight="1" x14ac:dyDescent="0.25">
      <c r="T56745" s="135"/>
      <c r="U56745" s="135"/>
    </row>
    <row r="56746" spans="20:21" ht="15" customHeight="1" x14ac:dyDescent="0.25">
      <c r="T56746" s="135"/>
      <c r="U56746" s="135"/>
    </row>
    <row r="56747" spans="20:21" ht="15" customHeight="1" x14ac:dyDescent="0.25">
      <c r="T56747" s="135"/>
      <c r="U56747" s="135"/>
    </row>
    <row r="56748" spans="20:21" ht="15" customHeight="1" x14ac:dyDescent="0.25">
      <c r="T56748" s="135"/>
      <c r="U56748" s="135"/>
    </row>
    <row r="56749" spans="20:21" ht="15" customHeight="1" x14ac:dyDescent="0.25">
      <c r="T56749" s="135"/>
      <c r="U56749" s="135"/>
    </row>
    <row r="56750" spans="20:21" ht="15" customHeight="1" x14ac:dyDescent="0.25">
      <c r="T56750" s="135"/>
      <c r="U56750" s="135"/>
    </row>
    <row r="56751" spans="20:21" ht="15" customHeight="1" x14ac:dyDescent="0.25">
      <c r="T56751" s="135"/>
      <c r="U56751" s="135"/>
    </row>
    <row r="56752" spans="20:21" ht="15" customHeight="1" x14ac:dyDescent="0.25">
      <c r="T56752" s="135"/>
      <c r="U56752" s="135"/>
    </row>
    <row r="56753" spans="20:21" ht="15" customHeight="1" x14ac:dyDescent="0.25">
      <c r="T56753" s="135"/>
      <c r="U56753" s="135"/>
    </row>
    <row r="56754" spans="20:21" ht="15" customHeight="1" x14ac:dyDescent="0.25">
      <c r="T56754" s="135"/>
      <c r="U56754" s="135"/>
    </row>
    <row r="56755" spans="20:21" ht="15" customHeight="1" x14ac:dyDescent="0.25">
      <c r="T56755" s="135"/>
      <c r="U56755" s="135"/>
    </row>
    <row r="56756" spans="20:21" ht="15" customHeight="1" x14ac:dyDescent="0.25">
      <c r="T56756" s="135"/>
      <c r="U56756" s="135"/>
    </row>
    <row r="56757" spans="20:21" ht="15" customHeight="1" x14ac:dyDescent="0.25">
      <c r="T56757" s="135"/>
      <c r="U56757" s="135"/>
    </row>
    <row r="56758" spans="20:21" ht="15" customHeight="1" x14ac:dyDescent="0.25">
      <c r="T56758" s="135"/>
      <c r="U56758" s="135"/>
    </row>
    <row r="56759" spans="20:21" ht="15" customHeight="1" x14ac:dyDescent="0.25">
      <c r="T56759" s="135"/>
      <c r="U56759" s="135"/>
    </row>
    <row r="56760" spans="20:21" ht="15" customHeight="1" x14ac:dyDescent="0.25">
      <c r="T56760" s="135"/>
      <c r="U56760" s="135"/>
    </row>
    <row r="56761" spans="20:21" ht="15" customHeight="1" x14ac:dyDescent="0.25">
      <c r="T56761" s="135"/>
      <c r="U56761" s="135"/>
    </row>
    <row r="56762" spans="20:21" ht="15" customHeight="1" x14ac:dyDescent="0.25">
      <c r="T56762" s="135"/>
      <c r="U56762" s="135"/>
    </row>
    <row r="56763" spans="20:21" ht="15" customHeight="1" x14ac:dyDescent="0.25">
      <c r="T56763" s="135"/>
      <c r="U56763" s="135"/>
    </row>
    <row r="56764" spans="20:21" ht="15" customHeight="1" x14ac:dyDescent="0.25">
      <c r="T56764" s="135"/>
      <c r="U56764" s="135"/>
    </row>
    <row r="56765" spans="20:21" ht="15" customHeight="1" x14ac:dyDescent="0.25">
      <c r="T56765" s="135"/>
      <c r="U56765" s="135"/>
    </row>
    <row r="56766" spans="20:21" ht="15" customHeight="1" x14ac:dyDescent="0.25">
      <c r="T56766" s="135"/>
      <c r="U56766" s="135"/>
    </row>
    <row r="56767" spans="20:21" ht="15" customHeight="1" x14ac:dyDescent="0.25">
      <c r="T56767" s="135"/>
      <c r="U56767" s="135"/>
    </row>
    <row r="56768" spans="20:21" ht="15" customHeight="1" x14ac:dyDescent="0.25">
      <c r="T56768" s="135"/>
      <c r="U56768" s="135"/>
    </row>
    <row r="56769" spans="20:21" ht="15" customHeight="1" x14ac:dyDescent="0.25">
      <c r="T56769" s="135"/>
      <c r="U56769" s="135"/>
    </row>
    <row r="56770" spans="20:21" ht="15" customHeight="1" x14ac:dyDescent="0.25">
      <c r="T56770" s="135"/>
      <c r="U56770" s="135"/>
    </row>
    <row r="56771" spans="20:21" ht="15" customHeight="1" x14ac:dyDescent="0.25">
      <c r="T56771" s="135"/>
      <c r="U56771" s="135"/>
    </row>
    <row r="56772" spans="20:21" ht="15" customHeight="1" x14ac:dyDescent="0.25">
      <c r="T56772" s="135"/>
      <c r="U56772" s="135"/>
    </row>
    <row r="56773" spans="20:21" ht="15" customHeight="1" x14ac:dyDescent="0.25">
      <c r="T56773" s="135"/>
      <c r="U56773" s="135"/>
    </row>
    <row r="56774" spans="20:21" ht="15" customHeight="1" x14ac:dyDescent="0.25">
      <c r="T56774" s="135"/>
      <c r="U56774" s="135"/>
    </row>
    <row r="56775" spans="20:21" ht="15" customHeight="1" x14ac:dyDescent="0.25">
      <c r="T56775" s="135"/>
      <c r="U56775" s="135"/>
    </row>
    <row r="56776" spans="20:21" ht="15" customHeight="1" x14ac:dyDescent="0.25">
      <c r="T56776" s="135"/>
      <c r="U56776" s="135"/>
    </row>
    <row r="56777" spans="20:21" ht="15" customHeight="1" x14ac:dyDescent="0.25">
      <c r="T56777" s="135"/>
      <c r="U56777" s="135"/>
    </row>
    <row r="56778" spans="20:21" ht="15" customHeight="1" x14ac:dyDescent="0.25">
      <c r="T56778" s="135"/>
      <c r="U56778" s="135"/>
    </row>
    <row r="56779" spans="20:21" ht="15" customHeight="1" x14ac:dyDescent="0.25">
      <c r="T56779" s="135"/>
      <c r="U56779" s="135"/>
    </row>
    <row r="56780" spans="20:21" ht="15" customHeight="1" x14ac:dyDescent="0.25">
      <c r="T56780" s="135"/>
      <c r="U56780" s="135"/>
    </row>
    <row r="56781" spans="20:21" ht="15" customHeight="1" x14ac:dyDescent="0.25">
      <c r="T56781" s="135"/>
      <c r="U56781" s="135"/>
    </row>
    <row r="56782" spans="20:21" ht="15" customHeight="1" x14ac:dyDescent="0.25">
      <c r="T56782" s="135"/>
      <c r="U56782" s="135"/>
    </row>
    <row r="56783" spans="20:21" ht="15" customHeight="1" x14ac:dyDescent="0.25">
      <c r="T56783" s="135"/>
      <c r="U56783" s="135"/>
    </row>
    <row r="56784" spans="20:21" ht="15" customHeight="1" x14ac:dyDescent="0.25">
      <c r="T56784" s="135"/>
      <c r="U56784" s="135"/>
    </row>
    <row r="56785" spans="20:21" ht="15" customHeight="1" x14ac:dyDescent="0.25">
      <c r="T56785" s="135"/>
      <c r="U56785" s="135"/>
    </row>
    <row r="56786" spans="20:21" ht="15" customHeight="1" x14ac:dyDescent="0.25">
      <c r="T56786" s="135"/>
      <c r="U56786" s="135"/>
    </row>
    <row r="56787" spans="20:21" ht="15" customHeight="1" x14ac:dyDescent="0.25">
      <c r="T56787" s="135"/>
      <c r="U56787" s="135"/>
    </row>
    <row r="56788" spans="20:21" ht="15" customHeight="1" x14ac:dyDescent="0.25">
      <c r="T56788" s="135"/>
      <c r="U56788" s="135"/>
    </row>
    <row r="56789" spans="20:21" ht="15" customHeight="1" x14ac:dyDescent="0.25">
      <c r="T56789" s="135"/>
      <c r="U56789" s="135"/>
    </row>
    <row r="56790" spans="20:21" ht="15" customHeight="1" x14ac:dyDescent="0.25">
      <c r="T56790" s="135"/>
      <c r="U56790" s="135"/>
    </row>
    <row r="56791" spans="20:21" ht="15" customHeight="1" x14ac:dyDescent="0.25">
      <c r="T56791" s="135"/>
      <c r="U56791" s="135"/>
    </row>
    <row r="56792" spans="20:21" ht="15" customHeight="1" x14ac:dyDescent="0.25">
      <c r="T56792" s="135"/>
      <c r="U56792" s="135"/>
    </row>
    <row r="56793" spans="20:21" ht="15" customHeight="1" x14ac:dyDescent="0.25">
      <c r="T56793" s="135"/>
      <c r="U56793" s="135"/>
    </row>
    <row r="56794" spans="20:21" ht="15" customHeight="1" x14ac:dyDescent="0.25">
      <c r="T56794" s="135"/>
      <c r="U56794" s="135"/>
    </row>
    <row r="56795" spans="20:21" ht="15" customHeight="1" x14ac:dyDescent="0.25">
      <c r="T56795" s="135"/>
      <c r="U56795" s="135"/>
    </row>
    <row r="56796" spans="20:21" ht="15" customHeight="1" x14ac:dyDescent="0.25">
      <c r="T56796" s="135"/>
      <c r="U56796" s="135"/>
    </row>
    <row r="56797" spans="20:21" ht="15" customHeight="1" x14ac:dyDescent="0.25">
      <c r="T56797" s="135"/>
      <c r="U56797" s="135"/>
    </row>
    <row r="56798" spans="20:21" ht="15" customHeight="1" x14ac:dyDescent="0.25">
      <c r="T56798" s="135"/>
      <c r="U56798" s="135"/>
    </row>
    <row r="56799" spans="20:21" ht="15" customHeight="1" x14ac:dyDescent="0.25">
      <c r="T56799" s="135"/>
      <c r="U56799" s="135"/>
    </row>
    <row r="56800" spans="20:21" ht="15" customHeight="1" x14ac:dyDescent="0.25">
      <c r="T56800" s="135"/>
      <c r="U56800" s="135"/>
    </row>
    <row r="56801" spans="20:21" ht="15" customHeight="1" x14ac:dyDescent="0.25">
      <c r="T56801" s="135"/>
      <c r="U56801" s="135"/>
    </row>
    <row r="56802" spans="20:21" ht="15" customHeight="1" x14ac:dyDescent="0.25">
      <c r="T56802" s="135"/>
      <c r="U56802" s="135"/>
    </row>
    <row r="56803" spans="20:21" ht="15" customHeight="1" x14ac:dyDescent="0.25">
      <c r="T56803" s="135"/>
      <c r="U56803" s="135"/>
    </row>
    <row r="56804" spans="20:21" ht="15" customHeight="1" x14ac:dyDescent="0.25">
      <c r="T56804" s="135"/>
      <c r="U56804" s="135"/>
    </row>
    <row r="56805" spans="20:21" ht="15" customHeight="1" x14ac:dyDescent="0.25">
      <c r="T56805" s="135"/>
      <c r="U56805" s="135"/>
    </row>
    <row r="56806" spans="20:21" ht="15" customHeight="1" x14ac:dyDescent="0.25">
      <c r="T56806" s="135"/>
      <c r="U56806" s="135"/>
    </row>
    <row r="56807" spans="20:21" ht="15" customHeight="1" x14ac:dyDescent="0.25">
      <c r="T56807" s="135"/>
      <c r="U56807" s="135"/>
    </row>
    <row r="56808" spans="20:21" ht="15" customHeight="1" x14ac:dyDescent="0.25">
      <c r="T56808" s="135"/>
      <c r="U56808" s="135"/>
    </row>
    <row r="56809" spans="20:21" ht="15" customHeight="1" x14ac:dyDescent="0.25">
      <c r="T56809" s="135"/>
      <c r="U56809" s="135"/>
    </row>
    <row r="56810" spans="20:21" ht="15" customHeight="1" x14ac:dyDescent="0.25">
      <c r="T56810" s="135"/>
      <c r="U56810" s="135"/>
    </row>
    <row r="56811" spans="20:21" ht="15" customHeight="1" x14ac:dyDescent="0.25">
      <c r="T56811" s="135"/>
      <c r="U56811" s="135"/>
    </row>
    <row r="56812" spans="20:21" ht="15" customHeight="1" x14ac:dyDescent="0.25">
      <c r="T56812" s="135"/>
      <c r="U56812" s="135"/>
    </row>
    <row r="56813" spans="20:21" ht="15" customHeight="1" x14ac:dyDescent="0.25">
      <c r="T56813" s="135"/>
      <c r="U56813" s="135"/>
    </row>
    <row r="56814" spans="20:21" ht="15" customHeight="1" x14ac:dyDescent="0.25">
      <c r="T56814" s="135"/>
      <c r="U56814" s="135"/>
    </row>
    <row r="56815" spans="20:21" ht="15" customHeight="1" x14ac:dyDescent="0.25">
      <c r="T56815" s="135"/>
      <c r="U56815" s="135"/>
    </row>
    <row r="56816" spans="20:21" ht="15" customHeight="1" x14ac:dyDescent="0.25">
      <c r="T56816" s="135"/>
      <c r="U56816" s="135"/>
    </row>
    <row r="56817" spans="20:21" ht="15" customHeight="1" x14ac:dyDescent="0.25">
      <c r="T56817" s="135"/>
      <c r="U56817" s="135"/>
    </row>
    <row r="56818" spans="20:21" ht="15" customHeight="1" x14ac:dyDescent="0.25">
      <c r="T56818" s="135"/>
      <c r="U56818" s="135"/>
    </row>
    <row r="56819" spans="20:21" ht="15" customHeight="1" x14ac:dyDescent="0.25">
      <c r="T56819" s="135"/>
      <c r="U56819" s="135"/>
    </row>
    <row r="56820" spans="20:21" ht="15" customHeight="1" x14ac:dyDescent="0.25">
      <c r="T56820" s="135"/>
      <c r="U56820" s="135"/>
    </row>
    <row r="56821" spans="20:21" ht="15" customHeight="1" x14ac:dyDescent="0.25">
      <c r="T56821" s="135"/>
      <c r="U56821" s="135"/>
    </row>
    <row r="56822" spans="20:21" ht="15" customHeight="1" x14ac:dyDescent="0.25">
      <c r="T56822" s="135"/>
      <c r="U56822" s="135"/>
    </row>
    <row r="56823" spans="20:21" ht="15" customHeight="1" x14ac:dyDescent="0.25">
      <c r="T56823" s="135"/>
      <c r="U56823" s="135"/>
    </row>
    <row r="56824" spans="20:21" ht="15" customHeight="1" x14ac:dyDescent="0.25">
      <c r="T56824" s="135"/>
      <c r="U56824" s="135"/>
    </row>
    <row r="56825" spans="20:21" ht="15" customHeight="1" x14ac:dyDescent="0.25">
      <c r="T56825" s="135"/>
      <c r="U56825" s="135"/>
    </row>
    <row r="56826" spans="20:21" ht="15" customHeight="1" x14ac:dyDescent="0.25">
      <c r="T56826" s="135"/>
      <c r="U56826" s="135"/>
    </row>
    <row r="56827" spans="20:21" ht="15" customHeight="1" x14ac:dyDescent="0.25">
      <c r="T56827" s="135"/>
      <c r="U56827" s="135"/>
    </row>
    <row r="56828" spans="20:21" ht="15" customHeight="1" x14ac:dyDescent="0.25">
      <c r="T56828" s="135"/>
      <c r="U56828" s="135"/>
    </row>
    <row r="56829" spans="20:21" ht="15" customHeight="1" x14ac:dyDescent="0.25">
      <c r="T56829" s="135"/>
      <c r="U56829" s="135"/>
    </row>
    <row r="56830" spans="20:21" ht="15" customHeight="1" x14ac:dyDescent="0.25">
      <c r="T56830" s="135"/>
      <c r="U56830" s="135"/>
    </row>
    <row r="56831" spans="20:21" ht="15" customHeight="1" x14ac:dyDescent="0.25">
      <c r="T56831" s="135"/>
      <c r="U56831" s="135"/>
    </row>
    <row r="56832" spans="20:21" ht="15" customHeight="1" x14ac:dyDescent="0.25">
      <c r="T56832" s="135"/>
      <c r="U56832" s="135"/>
    </row>
    <row r="56833" spans="20:21" ht="15" customHeight="1" x14ac:dyDescent="0.25">
      <c r="T56833" s="135"/>
      <c r="U56833" s="135"/>
    </row>
    <row r="56834" spans="20:21" ht="15" customHeight="1" x14ac:dyDescent="0.25">
      <c r="T56834" s="135"/>
      <c r="U56834" s="135"/>
    </row>
    <row r="56835" spans="20:21" ht="15" customHeight="1" x14ac:dyDescent="0.25">
      <c r="T56835" s="135"/>
      <c r="U56835" s="135"/>
    </row>
    <row r="56836" spans="20:21" ht="15" customHeight="1" x14ac:dyDescent="0.25">
      <c r="T56836" s="135"/>
      <c r="U56836" s="135"/>
    </row>
    <row r="56837" spans="20:21" ht="15" customHeight="1" x14ac:dyDescent="0.25">
      <c r="T56837" s="135"/>
      <c r="U56837" s="135"/>
    </row>
    <row r="56838" spans="20:21" ht="15" customHeight="1" x14ac:dyDescent="0.25">
      <c r="T56838" s="135"/>
      <c r="U56838" s="135"/>
    </row>
    <row r="56839" spans="20:21" ht="15" customHeight="1" x14ac:dyDescent="0.25">
      <c r="T56839" s="135"/>
      <c r="U56839" s="135"/>
    </row>
    <row r="56840" spans="20:21" ht="15" customHeight="1" x14ac:dyDescent="0.25">
      <c r="T56840" s="135"/>
      <c r="U56840" s="135"/>
    </row>
    <row r="56841" spans="20:21" ht="15" customHeight="1" x14ac:dyDescent="0.25">
      <c r="T56841" s="135"/>
      <c r="U56841" s="135"/>
    </row>
    <row r="56842" spans="20:21" ht="15" customHeight="1" x14ac:dyDescent="0.25">
      <c r="T56842" s="135"/>
      <c r="U56842" s="135"/>
    </row>
    <row r="56843" spans="20:21" ht="15" customHeight="1" x14ac:dyDescent="0.25">
      <c r="T56843" s="135"/>
      <c r="U56843" s="135"/>
    </row>
    <row r="56844" spans="20:21" ht="15" customHeight="1" x14ac:dyDescent="0.25">
      <c r="T56844" s="135"/>
      <c r="U56844" s="135"/>
    </row>
    <row r="56845" spans="20:21" ht="15" customHeight="1" x14ac:dyDescent="0.25">
      <c r="T56845" s="135"/>
      <c r="U56845" s="135"/>
    </row>
    <row r="56846" spans="20:21" ht="15" customHeight="1" x14ac:dyDescent="0.25">
      <c r="T56846" s="135"/>
      <c r="U56846" s="135"/>
    </row>
    <row r="56847" spans="20:21" ht="15" customHeight="1" x14ac:dyDescent="0.25">
      <c r="T56847" s="135"/>
      <c r="U56847" s="135"/>
    </row>
    <row r="56848" spans="20:21" ht="15" customHeight="1" x14ac:dyDescent="0.25">
      <c r="T56848" s="135"/>
      <c r="U56848" s="135"/>
    </row>
    <row r="56849" spans="20:21" ht="15" customHeight="1" x14ac:dyDescent="0.25">
      <c r="T56849" s="135"/>
      <c r="U56849" s="135"/>
    </row>
    <row r="56850" spans="20:21" ht="15" customHeight="1" x14ac:dyDescent="0.25">
      <c r="T56850" s="135"/>
      <c r="U56850" s="135"/>
    </row>
    <row r="56851" spans="20:21" ht="15" customHeight="1" x14ac:dyDescent="0.25">
      <c r="T56851" s="135"/>
      <c r="U56851" s="135"/>
    </row>
    <row r="56852" spans="20:21" ht="15" customHeight="1" x14ac:dyDescent="0.25">
      <c r="T56852" s="135"/>
      <c r="U56852" s="135"/>
    </row>
    <row r="56853" spans="20:21" ht="15" customHeight="1" x14ac:dyDescent="0.25">
      <c r="T56853" s="135"/>
      <c r="U56853" s="135"/>
    </row>
    <row r="56854" spans="20:21" ht="15" customHeight="1" x14ac:dyDescent="0.25">
      <c r="T56854" s="135"/>
      <c r="U56854" s="135"/>
    </row>
    <row r="56855" spans="20:21" ht="15" customHeight="1" x14ac:dyDescent="0.25">
      <c r="T56855" s="135"/>
      <c r="U56855" s="135"/>
    </row>
    <row r="56856" spans="20:21" ht="15" customHeight="1" x14ac:dyDescent="0.25">
      <c r="T56856" s="135"/>
      <c r="U56856" s="135"/>
    </row>
    <row r="56857" spans="20:21" ht="15" customHeight="1" x14ac:dyDescent="0.25">
      <c r="T56857" s="135"/>
      <c r="U56857" s="135"/>
    </row>
    <row r="56858" spans="20:21" ht="15" customHeight="1" x14ac:dyDescent="0.25">
      <c r="T56858" s="135"/>
      <c r="U56858" s="135"/>
    </row>
    <row r="56859" spans="20:21" ht="15" customHeight="1" x14ac:dyDescent="0.25">
      <c r="T56859" s="135"/>
      <c r="U56859" s="135"/>
    </row>
    <row r="56860" spans="20:21" ht="15" customHeight="1" x14ac:dyDescent="0.25">
      <c r="T56860" s="135"/>
      <c r="U56860" s="135"/>
    </row>
    <row r="56861" spans="20:21" ht="15" customHeight="1" x14ac:dyDescent="0.25">
      <c r="T56861" s="135"/>
      <c r="U56861" s="135"/>
    </row>
    <row r="56862" spans="20:21" ht="15" customHeight="1" x14ac:dyDescent="0.25">
      <c r="T56862" s="135"/>
      <c r="U56862" s="135"/>
    </row>
    <row r="56863" spans="20:21" ht="15" customHeight="1" x14ac:dyDescent="0.25">
      <c r="T56863" s="135"/>
      <c r="U56863" s="135"/>
    </row>
    <row r="56864" spans="20:21" ht="15" customHeight="1" x14ac:dyDescent="0.25">
      <c r="T56864" s="135"/>
      <c r="U56864" s="135"/>
    </row>
    <row r="56865" spans="20:21" ht="15" customHeight="1" x14ac:dyDescent="0.25">
      <c r="T56865" s="135"/>
      <c r="U56865" s="135"/>
    </row>
    <row r="56866" spans="20:21" ht="15" customHeight="1" x14ac:dyDescent="0.25">
      <c r="T56866" s="135"/>
      <c r="U56866" s="135"/>
    </row>
    <row r="56867" spans="20:21" ht="15" customHeight="1" x14ac:dyDescent="0.25">
      <c r="T56867" s="135"/>
      <c r="U56867" s="135"/>
    </row>
    <row r="56868" spans="20:21" ht="15" customHeight="1" x14ac:dyDescent="0.25">
      <c r="T56868" s="135"/>
      <c r="U56868" s="135"/>
    </row>
    <row r="56869" spans="20:21" ht="15" customHeight="1" x14ac:dyDescent="0.25">
      <c r="T56869" s="135"/>
      <c r="U56869" s="135"/>
    </row>
    <row r="56870" spans="20:21" ht="15" customHeight="1" x14ac:dyDescent="0.25">
      <c r="T56870" s="135"/>
      <c r="U56870" s="135"/>
    </row>
    <row r="56871" spans="20:21" ht="15" customHeight="1" x14ac:dyDescent="0.25">
      <c r="T56871" s="135"/>
      <c r="U56871" s="135"/>
    </row>
    <row r="56872" spans="20:21" ht="15" customHeight="1" x14ac:dyDescent="0.25">
      <c r="T56872" s="135"/>
      <c r="U56872" s="135"/>
    </row>
    <row r="56873" spans="20:21" ht="15" customHeight="1" x14ac:dyDescent="0.25">
      <c r="T56873" s="135"/>
      <c r="U56873" s="135"/>
    </row>
    <row r="56874" spans="20:21" ht="15" customHeight="1" x14ac:dyDescent="0.25">
      <c r="T56874" s="135"/>
      <c r="U56874" s="135"/>
    </row>
    <row r="56875" spans="20:21" ht="15" customHeight="1" x14ac:dyDescent="0.25">
      <c r="T56875" s="135"/>
      <c r="U56875" s="135"/>
    </row>
    <row r="56876" spans="20:21" ht="15" customHeight="1" x14ac:dyDescent="0.25">
      <c r="T56876" s="135"/>
      <c r="U56876" s="135"/>
    </row>
    <row r="56877" spans="20:21" ht="15" customHeight="1" x14ac:dyDescent="0.25">
      <c r="T56877" s="135"/>
      <c r="U56877" s="135"/>
    </row>
    <row r="56878" spans="20:21" ht="15" customHeight="1" x14ac:dyDescent="0.25">
      <c r="T56878" s="135"/>
      <c r="U56878" s="135"/>
    </row>
    <row r="56879" spans="20:21" ht="15" customHeight="1" x14ac:dyDescent="0.25">
      <c r="T56879" s="135"/>
      <c r="U56879" s="135"/>
    </row>
    <row r="56880" spans="20:21" ht="15" customHeight="1" x14ac:dyDescent="0.25">
      <c r="T56880" s="135"/>
      <c r="U56880" s="135"/>
    </row>
    <row r="56881" spans="20:21" ht="15" customHeight="1" x14ac:dyDescent="0.25">
      <c r="T56881" s="135"/>
      <c r="U56881" s="135"/>
    </row>
    <row r="56882" spans="20:21" ht="15" customHeight="1" x14ac:dyDescent="0.25">
      <c r="T56882" s="135"/>
      <c r="U56882" s="135"/>
    </row>
    <row r="56883" spans="20:21" ht="15" customHeight="1" x14ac:dyDescent="0.25">
      <c r="T56883" s="135"/>
      <c r="U56883" s="135"/>
    </row>
    <row r="56884" spans="20:21" ht="15" customHeight="1" x14ac:dyDescent="0.25">
      <c r="T56884" s="135"/>
      <c r="U56884" s="135"/>
    </row>
    <row r="56885" spans="20:21" ht="15" customHeight="1" x14ac:dyDescent="0.25">
      <c r="T56885" s="135"/>
      <c r="U56885" s="135"/>
    </row>
    <row r="56886" spans="20:21" ht="15" customHeight="1" x14ac:dyDescent="0.25">
      <c r="T56886" s="135"/>
      <c r="U56886" s="135"/>
    </row>
    <row r="56887" spans="20:21" ht="15" customHeight="1" x14ac:dyDescent="0.25">
      <c r="T56887" s="135"/>
      <c r="U56887" s="135"/>
    </row>
    <row r="56888" spans="20:21" ht="15" customHeight="1" x14ac:dyDescent="0.25">
      <c r="T56888" s="135"/>
      <c r="U56888" s="135"/>
    </row>
    <row r="56889" spans="20:21" ht="15" customHeight="1" x14ac:dyDescent="0.25">
      <c r="T56889" s="135"/>
      <c r="U56889" s="135"/>
    </row>
    <row r="56890" spans="20:21" ht="15" customHeight="1" x14ac:dyDescent="0.25">
      <c r="T56890" s="135"/>
      <c r="U56890" s="135"/>
    </row>
    <row r="56891" spans="20:21" ht="15" customHeight="1" x14ac:dyDescent="0.25">
      <c r="T56891" s="135"/>
      <c r="U56891" s="135"/>
    </row>
    <row r="56892" spans="20:21" ht="15" customHeight="1" x14ac:dyDescent="0.25">
      <c r="T56892" s="135"/>
      <c r="U56892" s="135"/>
    </row>
    <row r="56893" spans="20:21" ht="15" customHeight="1" x14ac:dyDescent="0.25">
      <c r="T56893" s="135"/>
      <c r="U56893" s="135"/>
    </row>
    <row r="56894" spans="20:21" ht="15" customHeight="1" x14ac:dyDescent="0.25">
      <c r="T56894" s="135"/>
      <c r="U56894" s="135"/>
    </row>
    <row r="56895" spans="20:21" ht="15" customHeight="1" x14ac:dyDescent="0.25">
      <c r="T56895" s="135"/>
      <c r="U56895" s="135"/>
    </row>
    <row r="56896" spans="20:21" ht="15" customHeight="1" x14ac:dyDescent="0.25">
      <c r="T56896" s="135"/>
      <c r="U56896" s="135"/>
    </row>
    <row r="56897" spans="20:21" ht="15" customHeight="1" x14ac:dyDescent="0.25">
      <c r="T56897" s="135"/>
      <c r="U56897" s="135"/>
    </row>
    <row r="56898" spans="20:21" ht="15" customHeight="1" x14ac:dyDescent="0.25">
      <c r="T56898" s="135"/>
      <c r="U56898" s="135"/>
    </row>
    <row r="56899" spans="20:21" ht="15" customHeight="1" x14ac:dyDescent="0.25">
      <c r="T56899" s="135"/>
      <c r="U56899" s="135"/>
    </row>
    <row r="56900" spans="20:21" ht="15" customHeight="1" x14ac:dyDescent="0.25">
      <c r="T56900" s="135"/>
      <c r="U56900" s="135"/>
    </row>
    <row r="56901" spans="20:21" ht="15" customHeight="1" x14ac:dyDescent="0.25">
      <c r="T56901" s="135"/>
      <c r="U56901" s="135"/>
    </row>
    <row r="56902" spans="20:21" ht="15" customHeight="1" x14ac:dyDescent="0.25">
      <c r="T56902" s="135"/>
      <c r="U56902" s="135"/>
    </row>
    <row r="56903" spans="20:21" ht="15" customHeight="1" x14ac:dyDescent="0.25">
      <c r="T56903" s="135"/>
      <c r="U56903" s="135"/>
    </row>
    <row r="56904" spans="20:21" ht="15" customHeight="1" x14ac:dyDescent="0.25">
      <c r="T56904" s="135"/>
      <c r="U56904" s="135"/>
    </row>
    <row r="56905" spans="20:21" ht="15" customHeight="1" x14ac:dyDescent="0.25">
      <c r="T56905" s="135"/>
      <c r="U56905" s="135"/>
    </row>
    <row r="56906" spans="20:21" ht="15" customHeight="1" x14ac:dyDescent="0.25">
      <c r="T56906" s="135"/>
      <c r="U56906" s="135"/>
    </row>
    <row r="56907" spans="20:21" ht="15" customHeight="1" x14ac:dyDescent="0.25">
      <c r="T56907" s="135"/>
      <c r="U56907" s="135"/>
    </row>
    <row r="56908" spans="20:21" ht="15" customHeight="1" x14ac:dyDescent="0.25">
      <c r="T56908" s="135"/>
      <c r="U56908" s="135"/>
    </row>
    <row r="56909" spans="20:21" ht="15" customHeight="1" x14ac:dyDescent="0.25">
      <c r="T56909" s="135"/>
      <c r="U56909" s="135"/>
    </row>
    <row r="56910" spans="20:21" ht="15" customHeight="1" x14ac:dyDescent="0.25">
      <c r="T56910" s="135"/>
      <c r="U56910" s="135"/>
    </row>
    <row r="56911" spans="20:21" ht="15" customHeight="1" x14ac:dyDescent="0.25">
      <c r="T56911" s="135"/>
      <c r="U56911" s="135"/>
    </row>
    <row r="56912" spans="20:21" ht="15" customHeight="1" x14ac:dyDescent="0.25">
      <c r="T56912" s="135"/>
      <c r="U56912" s="135"/>
    </row>
    <row r="56913" spans="20:21" ht="15" customHeight="1" x14ac:dyDescent="0.25">
      <c r="T56913" s="135"/>
      <c r="U56913" s="135"/>
    </row>
    <row r="56914" spans="20:21" ht="15" customHeight="1" x14ac:dyDescent="0.25">
      <c r="T56914" s="135"/>
      <c r="U56914" s="135"/>
    </row>
    <row r="56915" spans="20:21" ht="15" customHeight="1" x14ac:dyDescent="0.25">
      <c r="T56915" s="135"/>
      <c r="U56915" s="135"/>
    </row>
    <row r="56916" spans="20:21" ht="15" customHeight="1" x14ac:dyDescent="0.25">
      <c r="T56916" s="135"/>
      <c r="U56916" s="135"/>
    </row>
    <row r="56917" spans="20:21" ht="15" customHeight="1" x14ac:dyDescent="0.25">
      <c r="T56917" s="135"/>
      <c r="U56917" s="135"/>
    </row>
    <row r="56918" spans="20:21" ht="15" customHeight="1" x14ac:dyDescent="0.25">
      <c r="T56918" s="135"/>
      <c r="U56918" s="135"/>
    </row>
    <row r="56919" spans="20:21" ht="15" customHeight="1" x14ac:dyDescent="0.25">
      <c r="T56919" s="135"/>
      <c r="U56919" s="135"/>
    </row>
    <row r="56920" spans="20:21" ht="15" customHeight="1" x14ac:dyDescent="0.25">
      <c r="T56920" s="135"/>
      <c r="U56920" s="135"/>
    </row>
    <row r="56921" spans="20:21" ht="15" customHeight="1" x14ac:dyDescent="0.25">
      <c r="T56921" s="135"/>
      <c r="U56921" s="135"/>
    </row>
    <row r="56922" spans="20:21" ht="15" customHeight="1" x14ac:dyDescent="0.25">
      <c r="T56922" s="135"/>
      <c r="U56922" s="135"/>
    </row>
    <row r="56923" spans="20:21" ht="15" customHeight="1" x14ac:dyDescent="0.25">
      <c r="T56923" s="135"/>
      <c r="U56923" s="135"/>
    </row>
    <row r="56924" spans="20:21" ht="15" customHeight="1" x14ac:dyDescent="0.25">
      <c r="T56924" s="135"/>
      <c r="U56924" s="135"/>
    </row>
    <row r="56925" spans="20:21" ht="15" customHeight="1" x14ac:dyDescent="0.25">
      <c r="T56925" s="135"/>
      <c r="U56925" s="135"/>
    </row>
    <row r="56926" spans="20:21" ht="15" customHeight="1" x14ac:dyDescent="0.25">
      <c r="T56926" s="135"/>
      <c r="U56926" s="135"/>
    </row>
    <row r="56927" spans="20:21" ht="15" customHeight="1" x14ac:dyDescent="0.25">
      <c r="T56927" s="135"/>
      <c r="U56927" s="135"/>
    </row>
    <row r="56928" spans="20:21" ht="15" customHeight="1" x14ac:dyDescent="0.25">
      <c r="T56928" s="135"/>
      <c r="U56928" s="135"/>
    </row>
    <row r="56929" spans="20:21" ht="15" customHeight="1" x14ac:dyDescent="0.25">
      <c r="T56929" s="135"/>
      <c r="U56929" s="135"/>
    </row>
    <row r="56930" spans="20:21" ht="15" customHeight="1" x14ac:dyDescent="0.25">
      <c r="T56930" s="135"/>
      <c r="U56930" s="135"/>
    </row>
    <row r="56931" spans="20:21" ht="15" customHeight="1" x14ac:dyDescent="0.25">
      <c r="T56931" s="135"/>
      <c r="U56931" s="135"/>
    </row>
    <row r="56932" spans="20:21" ht="15" customHeight="1" x14ac:dyDescent="0.25">
      <c r="T56932" s="135"/>
      <c r="U56932" s="135"/>
    </row>
    <row r="56933" spans="20:21" ht="15" customHeight="1" x14ac:dyDescent="0.25">
      <c r="T56933" s="135"/>
      <c r="U56933" s="135"/>
    </row>
    <row r="56934" spans="20:21" ht="15" customHeight="1" x14ac:dyDescent="0.25">
      <c r="T56934" s="135"/>
      <c r="U56934" s="135"/>
    </row>
    <row r="56935" spans="20:21" ht="15" customHeight="1" x14ac:dyDescent="0.25">
      <c r="T56935" s="135"/>
      <c r="U56935" s="135"/>
    </row>
    <row r="56936" spans="20:21" ht="15" customHeight="1" x14ac:dyDescent="0.25">
      <c r="T56936" s="135"/>
      <c r="U56936" s="135"/>
    </row>
    <row r="56937" spans="20:21" ht="15" customHeight="1" x14ac:dyDescent="0.25">
      <c r="T56937" s="135"/>
      <c r="U56937" s="135"/>
    </row>
    <row r="56938" spans="20:21" ht="15" customHeight="1" x14ac:dyDescent="0.25">
      <c r="T56938" s="135"/>
      <c r="U56938" s="135"/>
    </row>
    <row r="56939" spans="20:21" ht="15" customHeight="1" x14ac:dyDescent="0.25">
      <c r="T56939" s="135"/>
      <c r="U56939" s="135"/>
    </row>
    <row r="56940" spans="20:21" ht="15" customHeight="1" x14ac:dyDescent="0.25">
      <c r="T56940" s="135"/>
      <c r="U56940" s="135"/>
    </row>
    <row r="56941" spans="20:21" ht="15" customHeight="1" x14ac:dyDescent="0.25">
      <c r="T56941" s="135"/>
      <c r="U56941" s="135"/>
    </row>
    <row r="56942" spans="20:21" ht="15" customHeight="1" x14ac:dyDescent="0.25">
      <c r="T56942" s="135"/>
      <c r="U56942" s="135"/>
    </row>
    <row r="56943" spans="20:21" ht="15" customHeight="1" x14ac:dyDescent="0.25">
      <c r="T56943" s="135"/>
      <c r="U56943" s="135"/>
    </row>
    <row r="56944" spans="20:21" ht="15" customHeight="1" x14ac:dyDescent="0.25">
      <c r="T56944" s="135"/>
      <c r="U56944" s="135"/>
    </row>
    <row r="56945" spans="20:21" ht="15" customHeight="1" x14ac:dyDescent="0.25">
      <c r="T56945" s="135"/>
      <c r="U56945" s="135"/>
    </row>
    <row r="56946" spans="20:21" ht="15" customHeight="1" x14ac:dyDescent="0.25">
      <c r="T56946" s="135"/>
      <c r="U56946" s="135"/>
    </row>
    <row r="56947" spans="20:21" ht="15" customHeight="1" x14ac:dyDescent="0.25">
      <c r="T56947" s="135"/>
      <c r="U56947" s="135"/>
    </row>
    <row r="56948" spans="20:21" ht="15" customHeight="1" x14ac:dyDescent="0.25">
      <c r="T56948" s="135"/>
      <c r="U56948" s="135"/>
    </row>
    <row r="56949" spans="20:21" ht="15" customHeight="1" x14ac:dyDescent="0.25">
      <c r="T56949" s="135"/>
      <c r="U56949" s="135"/>
    </row>
    <row r="56950" spans="20:21" ht="15" customHeight="1" x14ac:dyDescent="0.25">
      <c r="T56950" s="135"/>
      <c r="U56950" s="135"/>
    </row>
    <row r="56951" spans="20:21" ht="15" customHeight="1" x14ac:dyDescent="0.25">
      <c r="T56951" s="135"/>
      <c r="U56951" s="135"/>
    </row>
    <row r="56952" spans="20:21" ht="15" customHeight="1" x14ac:dyDescent="0.25">
      <c r="T56952" s="135"/>
      <c r="U56952" s="135"/>
    </row>
    <row r="56953" spans="20:21" ht="15" customHeight="1" x14ac:dyDescent="0.25">
      <c r="T56953" s="135"/>
      <c r="U56953" s="135"/>
    </row>
    <row r="56954" spans="20:21" ht="15" customHeight="1" x14ac:dyDescent="0.25">
      <c r="T56954" s="135"/>
      <c r="U56954" s="135"/>
    </row>
    <row r="56955" spans="20:21" ht="15" customHeight="1" x14ac:dyDescent="0.25">
      <c r="T56955" s="135"/>
      <c r="U56955" s="135"/>
    </row>
    <row r="56956" spans="20:21" ht="15" customHeight="1" x14ac:dyDescent="0.25">
      <c r="T56956" s="135"/>
      <c r="U56956" s="135"/>
    </row>
    <row r="56957" spans="20:21" ht="15" customHeight="1" x14ac:dyDescent="0.25">
      <c r="T56957" s="135"/>
      <c r="U56957" s="135"/>
    </row>
    <row r="56958" spans="20:21" ht="15" customHeight="1" x14ac:dyDescent="0.25">
      <c r="T56958" s="135"/>
      <c r="U56958" s="135"/>
    </row>
    <row r="56959" spans="20:21" ht="15" customHeight="1" x14ac:dyDescent="0.25">
      <c r="T56959" s="135"/>
      <c r="U56959" s="135"/>
    </row>
    <row r="56960" spans="20:21" ht="15" customHeight="1" x14ac:dyDescent="0.25">
      <c r="T56960" s="135"/>
      <c r="U56960" s="135"/>
    </row>
    <row r="56961" spans="20:21" ht="15" customHeight="1" x14ac:dyDescent="0.25">
      <c r="T56961" s="135"/>
      <c r="U56961" s="135"/>
    </row>
    <row r="56962" spans="20:21" ht="15" customHeight="1" x14ac:dyDescent="0.25">
      <c r="T56962" s="135"/>
      <c r="U56962" s="135"/>
    </row>
    <row r="56963" spans="20:21" ht="15" customHeight="1" x14ac:dyDescent="0.25">
      <c r="T56963" s="135"/>
      <c r="U56963" s="135"/>
    </row>
    <row r="56964" spans="20:21" ht="15" customHeight="1" x14ac:dyDescent="0.25">
      <c r="T56964" s="135"/>
      <c r="U56964" s="135"/>
    </row>
    <row r="56965" spans="20:21" ht="15" customHeight="1" x14ac:dyDescent="0.25">
      <c r="T56965" s="135"/>
      <c r="U56965" s="135"/>
    </row>
    <row r="56966" spans="20:21" ht="15" customHeight="1" x14ac:dyDescent="0.25">
      <c r="T56966" s="135"/>
      <c r="U56966" s="135"/>
    </row>
    <row r="56967" spans="20:21" ht="15" customHeight="1" x14ac:dyDescent="0.25">
      <c r="T56967" s="135"/>
      <c r="U56967" s="135"/>
    </row>
    <row r="56968" spans="20:21" ht="15" customHeight="1" x14ac:dyDescent="0.25">
      <c r="T56968" s="135"/>
      <c r="U56968" s="135"/>
    </row>
    <row r="56969" spans="20:21" ht="15" customHeight="1" x14ac:dyDescent="0.25">
      <c r="T56969" s="135"/>
      <c r="U56969" s="135"/>
    </row>
    <row r="56970" spans="20:21" ht="15" customHeight="1" x14ac:dyDescent="0.25">
      <c r="T56970" s="135"/>
      <c r="U56970" s="135"/>
    </row>
    <row r="56971" spans="20:21" ht="15" customHeight="1" x14ac:dyDescent="0.25">
      <c r="T56971" s="135"/>
      <c r="U56971" s="135"/>
    </row>
    <row r="56972" spans="20:21" ht="15" customHeight="1" x14ac:dyDescent="0.25">
      <c r="T56972" s="135"/>
      <c r="U56972" s="135"/>
    </row>
    <row r="56973" spans="20:21" ht="15" customHeight="1" x14ac:dyDescent="0.25">
      <c r="T56973" s="135"/>
      <c r="U56973" s="135"/>
    </row>
    <row r="56974" spans="20:21" ht="15" customHeight="1" x14ac:dyDescent="0.25">
      <c r="T56974" s="135"/>
      <c r="U56974" s="135"/>
    </row>
    <row r="56975" spans="20:21" ht="15" customHeight="1" x14ac:dyDescent="0.25">
      <c r="T56975" s="135"/>
      <c r="U56975" s="135"/>
    </row>
    <row r="56976" spans="20:21" ht="15" customHeight="1" x14ac:dyDescent="0.25">
      <c r="T56976" s="135"/>
      <c r="U56976" s="135"/>
    </row>
    <row r="56977" spans="20:21" ht="15" customHeight="1" x14ac:dyDescent="0.25">
      <c r="T56977" s="135"/>
      <c r="U56977" s="135"/>
    </row>
    <row r="56978" spans="20:21" ht="15" customHeight="1" x14ac:dyDescent="0.25">
      <c r="T56978" s="135"/>
      <c r="U56978" s="135"/>
    </row>
    <row r="56979" spans="20:21" ht="15" customHeight="1" x14ac:dyDescent="0.25">
      <c r="T56979" s="135"/>
      <c r="U56979" s="135"/>
    </row>
    <row r="56980" spans="20:21" ht="15" customHeight="1" x14ac:dyDescent="0.25">
      <c r="T56980" s="135"/>
      <c r="U56980" s="135"/>
    </row>
    <row r="56981" spans="20:21" ht="15" customHeight="1" x14ac:dyDescent="0.25">
      <c r="T56981" s="135"/>
      <c r="U56981" s="135"/>
    </row>
    <row r="56982" spans="20:21" ht="15" customHeight="1" x14ac:dyDescent="0.25">
      <c r="T56982" s="135"/>
      <c r="U56982" s="135"/>
    </row>
    <row r="56983" spans="20:21" ht="15" customHeight="1" x14ac:dyDescent="0.25">
      <c r="T56983" s="135"/>
      <c r="U56983" s="135"/>
    </row>
    <row r="56984" spans="20:21" ht="15" customHeight="1" x14ac:dyDescent="0.25">
      <c r="T56984" s="135"/>
      <c r="U56984" s="135"/>
    </row>
    <row r="56985" spans="20:21" ht="15" customHeight="1" x14ac:dyDescent="0.25">
      <c r="T56985" s="135"/>
      <c r="U56985" s="135"/>
    </row>
    <row r="56986" spans="20:21" ht="15" customHeight="1" x14ac:dyDescent="0.25">
      <c r="T56986" s="135"/>
      <c r="U56986" s="135"/>
    </row>
    <row r="56987" spans="20:21" ht="15" customHeight="1" x14ac:dyDescent="0.25">
      <c r="T56987" s="135"/>
      <c r="U56987" s="135"/>
    </row>
    <row r="56988" spans="20:21" ht="15" customHeight="1" x14ac:dyDescent="0.25">
      <c r="T56988" s="135"/>
      <c r="U56988" s="135"/>
    </row>
    <row r="56989" spans="20:21" ht="15" customHeight="1" x14ac:dyDescent="0.25">
      <c r="T56989" s="135"/>
      <c r="U56989" s="135"/>
    </row>
    <row r="56990" spans="20:21" ht="15" customHeight="1" x14ac:dyDescent="0.25">
      <c r="T56990" s="135"/>
      <c r="U56990" s="135"/>
    </row>
    <row r="56991" spans="20:21" ht="15" customHeight="1" x14ac:dyDescent="0.25">
      <c r="T56991" s="135"/>
      <c r="U56991" s="135"/>
    </row>
    <row r="56992" spans="20:21" ht="15" customHeight="1" x14ac:dyDescent="0.25">
      <c r="T56992" s="135"/>
      <c r="U56992" s="135"/>
    </row>
    <row r="56993" spans="20:21" ht="15" customHeight="1" x14ac:dyDescent="0.25">
      <c r="T56993" s="135"/>
      <c r="U56993" s="135"/>
    </row>
    <row r="56994" spans="20:21" ht="15" customHeight="1" x14ac:dyDescent="0.25">
      <c r="T56994" s="135"/>
      <c r="U56994" s="135"/>
    </row>
    <row r="56995" spans="20:21" ht="15" customHeight="1" x14ac:dyDescent="0.25">
      <c r="T56995" s="135"/>
      <c r="U56995" s="135"/>
    </row>
    <row r="56996" spans="20:21" ht="15" customHeight="1" x14ac:dyDescent="0.25">
      <c r="T56996" s="135"/>
      <c r="U56996" s="135"/>
    </row>
    <row r="56997" spans="20:21" ht="15" customHeight="1" x14ac:dyDescent="0.25">
      <c r="T56997" s="135"/>
      <c r="U56997" s="135"/>
    </row>
    <row r="56998" spans="20:21" ht="15" customHeight="1" x14ac:dyDescent="0.25">
      <c r="T56998" s="135"/>
      <c r="U56998" s="135"/>
    </row>
    <row r="56999" spans="20:21" ht="15" customHeight="1" x14ac:dyDescent="0.25">
      <c r="T56999" s="135"/>
      <c r="U56999" s="135"/>
    </row>
    <row r="57000" spans="20:21" ht="15" customHeight="1" x14ac:dyDescent="0.25">
      <c r="T57000" s="135"/>
      <c r="U57000" s="135"/>
    </row>
    <row r="57001" spans="20:21" ht="15" customHeight="1" x14ac:dyDescent="0.25">
      <c r="T57001" s="135"/>
      <c r="U57001" s="135"/>
    </row>
    <row r="57002" spans="20:21" ht="15" customHeight="1" x14ac:dyDescent="0.25">
      <c r="T57002" s="135"/>
      <c r="U57002" s="135"/>
    </row>
    <row r="57003" spans="20:21" ht="15" customHeight="1" x14ac:dyDescent="0.25">
      <c r="T57003" s="135"/>
      <c r="U57003" s="135"/>
    </row>
    <row r="57004" spans="20:21" ht="15" customHeight="1" x14ac:dyDescent="0.25">
      <c r="T57004" s="135"/>
      <c r="U57004" s="135"/>
    </row>
    <row r="57005" spans="20:21" ht="15" customHeight="1" x14ac:dyDescent="0.25">
      <c r="T57005" s="135"/>
      <c r="U57005" s="135"/>
    </row>
    <row r="57006" spans="20:21" ht="15" customHeight="1" x14ac:dyDescent="0.25">
      <c r="T57006" s="135"/>
      <c r="U57006" s="135"/>
    </row>
    <row r="57007" spans="20:21" ht="15" customHeight="1" x14ac:dyDescent="0.25">
      <c r="T57007" s="135"/>
      <c r="U57007" s="135"/>
    </row>
    <row r="57008" spans="20:21" ht="15" customHeight="1" x14ac:dyDescent="0.25">
      <c r="T57008" s="135"/>
      <c r="U57008" s="135"/>
    </row>
    <row r="57009" spans="20:21" ht="15" customHeight="1" x14ac:dyDescent="0.25">
      <c r="T57009" s="135"/>
      <c r="U57009" s="135"/>
    </row>
    <row r="57010" spans="20:21" ht="15" customHeight="1" x14ac:dyDescent="0.25">
      <c r="T57010" s="135"/>
      <c r="U57010" s="135"/>
    </row>
    <row r="57011" spans="20:21" ht="15" customHeight="1" x14ac:dyDescent="0.25">
      <c r="T57011" s="135"/>
      <c r="U57011" s="135"/>
    </row>
    <row r="57012" spans="20:21" ht="15" customHeight="1" x14ac:dyDescent="0.25">
      <c r="T57012" s="135"/>
      <c r="U57012" s="135"/>
    </row>
    <row r="57013" spans="20:21" ht="15" customHeight="1" x14ac:dyDescent="0.25">
      <c r="T57013" s="135"/>
      <c r="U57013" s="135"/>
    </row>
    <row r="57014" spans="20:21" ht="15" customHeight="1" x14ac:dyDescent="0.25">
      <c r="T57014" s="135"/>
      <c r="U57014" s="135"/>
    </row>
    <row r="57015" spans="20:21" ht="15" customHeight="1" x14ac:dyDescent="0.25">
      <c r="T57015" s="135"/>
      <c r="U57015" s="135"/>
    </row>
    <row r="57016" spans="20:21" ht="15" customHeight="1" x14ac:dyDescent="0.25">
      <c r="T57016" s="135"/>
      <c r="U57016" s="135"/>
    </row>
    <row r="57017" spans="20:21" ht="15" customHeight="1" x14ac:dyDescent="0.25">
      <c r="T57017" s="135"/>
      <c r="U57017" s="135"/>
    </row>
    <row r="57018" spans="20:21" ht="15" customHeight="1" x14ac:dyDescent="0.25">
      <c r="T57018" s="135"/>
      <c r="U57018" s="135"/>
    </row>
    <row r="57019" spans="20:21" ht="15" customHeight="1" x14ac:dyDescent="0.25">
      <c r="T57019" s="135"/>
      <c r="U57019" s="135"/>
    </row>
    <row r="57020" spans="20:21" ht="15" customHeight="1" x14ac:dyDescent="0.25">
      <c r="T57020" s="135"/>
      <c r="U57020" s="135"/>
    </row>
    <row r="57021" spans="20:21" ht="15" customHeight="1" x14ac:dyDescent="0.25">
      <c r="T57021" s="135"/>
      <c r="U57021" s="135"/>
    </row>
    <row r="57022" spans="20:21" ht="15" customHeight="1" x14ac:dyDescent="0.25">
      <c r="T57022" s="135"/>
      <c r="U57022" s="135"/>
    </row>
    <row r="57023" spans="20:21" ht="15" customHeight="1" x14ac:dyDescent="0.25">
      <c r="T57023" s="135"/>
      <c r="U57023" s="135"/>
    </row>
    <row r="57024" spans="20:21" ht="15" customHeight="1" x14ac:dyDescent="0.25">
      <c r="T57024" s="135"/>
      <c r="U57024" s="135"/>
    </row>
    <row r="57025" spans="20:21" ht="15" customHeight="1" x14ac:dyDescent="0.25">
      <c r="T57025" s="135"/>
      <c r="U57025" s="135"/>
    </row>
    <row r="57026" spans="20:21" ht="15" customHeight="1" x14ac:dyDescent="0.25">
      <c r="T57026" s="135"/>
      <c r="U57026" s="135"/>
    </row>
    <row r="57027" spans="20:21" ht="15" customHeight="1" x14ac:dyDescent="0.25">
      <c r="T57027" s="135"/>
      <c r="U57027" s="135"/>
    </row>
    <row r="57028" spans="20:21" ht="15" customHeight="1" x14ac:dyDescent="0.25">
      <c r="T57028" s="135"/>
      <c r="U57028" s="135"/>
    </row>
    <row r="57029" spans="20:21" ht="15" customHeight="1" x14ac:dyDescent="0.25">
      <c r="T57029" s="135"/>
      <c r="U57029" s="135"/>
    </row>
    <row r="57030" spans="20:21" ht="15" customHeight="1" x14ac:dyDescent="0.25">
      <c r="T57030" s="135"/>
      <c r="U57030" s="135"/>
    </row>
    <row r="57031" spans="20:21" ht="15" customHeight="1" x14ac:dyDescent="0.25">
      <c r="T57031" s="135"/>
      <c r="U57031" s="135"/>
    </row>
    <row r="57032" spans="20:21" ht="15" customHeight="1" x14ac:dyDescent="0.25">
      <c r="T57032" s="135"/>
      <c r="U57032" s="135"/>
    </row>
    <row r="57033" spans="20:21" ht="15" customHeight="1" x14ac:dyDescent="0.25">
      <c r="T57033" s="135"/>
      <c r="U57033" s="135"/>
    </row>
    <row r="57034" spans="20:21" ht="15" customHeight="1" x14ac:dyDescent="0.25">
      <c r="T57034" s="135"/>
      <c r="U57034" s="135"/>
    </row>
    <row r="57035" spans="20:21" ht="15" customHeight="1" x14ac:dyDescent="0.25">
      <c r="T57035" s="135"/>
      <c r="U57035" s="135"/>
    </row>
    <row r="57036" spans="20:21" ht="15" customHeight="1" x14ac:dyDescent="0.25">
      <c r="T57036" s="135"/>
      <c r="U57036" s="135"/>
    </row>
    <row r="57037" spans="20:21" ht="15" customHeight="1" x14ac:dyDescent="0.25">
      <c r="T57037" s="135"/>
      <c r="U57037" s="135"/>
    </row>
    <row r="57038" spans="20:21" ht="15" customHeight="1" x14ac:dyDescent="0.25">
      <c r="T57038" s="135"/>
      <c r="U57038" s="135"/>
    </row>
    <row r="57039" spans="20:21" ht="15" customHeight="1" x14ac:dyDescent="0.25">
      <c r="T57039" s="135"/>
      <c r="U57039" s="135"/>
    </row>
    <row r="57040" spans="20:21" ht="15" customHeight="1" x14ac:dyDescent="0.25">
      <c r="T57040" s="135"/>
      <c r="U57040" s="135"/>
    </row>
    <row r="57041" spans="20:21" ht="15" customHeight="1" x14ac:dyDescent="0.25">
      <c r="T57041" s="135"/>
      <c r="U57041" s="135"/>
    </row>
    <row r="57042" spans="20:21" ht="15" customHeight="1" x14ac:dyDescent="0.25">
      <c r="T57042" s="135"/>
      <c r="U57042" s="135"/>
    </row>
    <row r="57043" spans="20:21" ht="15" customHeight="1" x14ac:dyDescent="0.25">
      <c r="T57043" s="135"/>
      <c r="U57043" s="135"/>
    </row>
    <row r="57044" spans="20:21" ht="15" customHeight="1" x14ac:dyDescent="0.25">
      <c r="T57044" s="135"/>
      <c r="U57044" s="135"/>
    </row>
    <row r="57045" spans="20:21" ht="15" customHeight="1" x14ac:dyDescent="0.25">
      <c r="T57045" s="135"/>
      <c r="U57045" s="135"/>
    </row>
    <row r="57046" spans="20:21" ht="15" customHeight="1" x14ac:dyDescent="0.25">
      <c r="T57046" s="135"/>
      <c r="U57046" s="135"/>
    </row>
    <row r="57047" spans="20:21" ht="15" customHeight="1" x14ac:dyDescent="0.25">
      <c r="T57047" s="135"/>
      <c r="U57047" s="135"/>
    </row>
    <row r="57048" spans="20:21" ht="15" customHeight="1" x14ac:dyDescent="0.25">
      <c r="T57048" s="135"/>
      <c r="U57048" s="135"/>
    </row>
    <row r="57049" spans="20:21" ht="15" customHeight="1" x14ac:dyDescent="0.25">
      <c r="T57049" s="135"/>
      <c r="U57049" s="135"/>
    </row>
    <row r="57050" spans="20:21" ht="15" customHeight="1" x14ac:dyDescent="0.25">
      <c r="T57050" s="135"/>
      <c r="U57050" s="135"/>
    </row>
    <row r="57051" spans="20:21" ht="15" customHeight="1" x14ac:dyDescent="0.25">
      <c r="T57051" s="135"/>
      <c r="U57051" s="135"/>
    </row>
    <row r="57052" spans="20:21" ht="15" customHeight="1" x14ac:dyDescent="0.25">
      <c r="T57052" s="135"/>
      <c r="U57052" s="135"/>
    </row>
    <row r="57053" spans="20:21" ht="15" customHeight="1" x14ac:dyDescent="0.25">
      <c r="T57053" s="135"/>
      <c r="U57053" s="135"/>
    </row>
    <row r="57054" spans="20:21" ht="15" customHeight="1" x14ac:dyDescent="0.25">
      <c r="T57054" s="135"/>
      <c r="U57054" s="135"/>
    </row>
    <row r="57055" spans="20:21" ht="15" customHeight="1" x14ac:dyDescent="0.25">
      <c r="T57055" s="135"/>
      <c r="U57055" s="135"/>
    </row>
    <row r="57056" spans="20:21" ht="15" customHeight="1" x14ac:dyDescent="0.25">
      <c r="T57056" s="135"/>
      <c r="U57056" s="135"/>
    </row>
    <row r="57057" spans="20:21" ht="15" customHeight="1" x14ac:dyDescent="0.25">
      <c r="T57057" s="135"/>
      <c r="U57057" s="135"/>
    </row>
    <row r="57058" spans="20:21" ht="15" customHeight="1" x14ac:dyDescent="0.25">
      <c r="T57058" s="135"/>
      <c r="U57058" s="135"/>
    </row>
    <row r="57059" spans="20:21" ht="15" customHeight="1" x14ac:dyDescent="0.25">
      <c r="T57059" s="135"/>
      <c r="U57059" s="135"/>
    </row>
    <row r="57060" spans="20:21" ht="15" customHeight="1" x14ac:dyDescent="0.25">
      <c r="T57060" s="135"/>
      <c r="U57060" s="135"/>
    </row>
    <row r="57061" spans="20:21" ht="15" customHeight="1" x14ac:dyDescent="0.25">
      <c r="T57061" s="135"/>
      <c r="U57061" s="135"/>
    </row>
    <row r="57062" spans="20:21" ht="15" customHeight="1" x14ac:dyDescent="0.25">
      <c r="T57062" s="135"/>
      <c r="U57062" s="135"/>
    </row>
    <row r="57063" spans="20:21" ht="15" customHeight="1" x14ac:dyDescent="0.25">
      <c r="T57063" s="135"/>
      <c r="U57063" s="135"/>
    </row>
    <row r="57064" spans="20:21" ht="15" customHeight="1" x14ac:dyDescent="0.25">
      <c r="T57064" s="135"/>
      <c r="U57064" s="135"/>
    </row>
    <row r="57065" spans="20:21" ht="15" customHeight="1" x14ac:dyDescent="0.25">
      <c r="T57065" s="135"/>
      <c r="U57065" s="135"/>
    </row>
    <row r="57066" spans="20:21" ht="15" customHeight="1" x14ac:dyDescent="0.25">
      <c r="T57066" s="135"/>
      <c r="U57066" s="135"/>
    </row>
    <row r="57067" spans="20:21" ht="15" customHeight="1" x14ac:dyDescent="0.25">
      <c r="T57067" s="135"/>
      <c r="U57067" s="135"/>
    </row>
    <row r="57068" spans="20:21" ht="15" customHeight="1" x14ac:dyDescent="0.25">
      <c r="T57068" s="135"/>
      <c r="U57068" s="135"/>
    </row>
    <row r="57069" spans="20:21" ht="15" customHeight="1" x14ac:dyDescent="0.25">
      <c r="T57069" s="135"/>
      <c r="U57069" s="135"/>
    </row>
    <row r="57070" spans="20:21" ht="15" customHeight="1" x14ac:dyDescent="0.25">
      <c r="T57070" s="135"/>
      <c r="U57070" s="135"/>
    </row>
    <row r="57071" spans="20:21" ht="15" customHeight="1" x14ac:dyDescent="0.25">
      <c r="T57071" s="135"/>
      <c r="U57071" s="135"/>
    </row>
    <row r="57072" spans="20:21" ht="15" customHeight="1" x14ac:dyDescent="0.25">
      <c r="T57072" s="135"/>
      <c r="U57072" s="135"/>
    </row>
    <row r="57073" spans="20:21" ht="15" customHeight="1" x14ac:dyDescent="0.25">
      <c r="T57073" s="135"/>
      <c r="U57073" s="135"/>
    </row>
    <row r="57074" spans="20:21" ht="15" customHeight="1" x14ac:dyDescent="0.25">
      <c r="T57074" s="135"/>
      <c r="U57074" s="135"/>
    </row>
    <row r="57075" spans="20:21" ht="15" customHeight="1" x14ac:dyDescent="0.25">
      <c r="T57075" s="135"/>
      <c r="U57075" s="135"/>
    </row>
    <row r="57076" spans="20:21" ht="15" customHeight="1" x14ac:dyDescent="0.25">
      <c r="T57076" s="135"/>
      <c r="U57076" s="135"/>
    </row>
    <row r="57077" spans="20:21" ht="15" customHeight="1" x14ac:dyDescent="0.25">
      <c r="T57077" s="135"/>
      <c r="U57077" s="135"/>
    </row>
    <row r="57078" spans="20:21" ht="15" customHeight="1" x14ac:dyDescent="0.25">
      <c r="T57078" s="135"/>
      <c r="U57078" s="135"/>
    </row>
    <row r="57079" spans="20:21" ht="15" customHeight="1" x14ac:dyDescent="0.25">
      <c r="T57079" s="135"/>
      <c r="U57079" s="135"/>
    </row>
    <row r="57080" spans="20:21" ht="15" customHeight="1" x14ac:dyDescent="0.25">
      <c r="T57080" s="135"/>
      <c r="U57080" s="135"/>
    </row>
    <row r="57081" spans="20:21" ht="15" customHeight="1" x14ac:dyDescent="0.25">
      <c r="T57081" s="135"/>
      <c r="U57081" s="135"/>
    </row>
    <row r="57082" spans="20:21" ht="15" customHeight="1" x14ac:dyDescent="0.25">
      <c r="T57082" s="135"/>
      <c r="U57082" s="135"/>
    </row>
    <row r="57083" spans="20:21" ht="15" customHeight="1" x14ac:dyDescent="0.25">
      <c r="T57083" s="135"/>
      <c r="U57083" s="135"/>
    </row>
    <row r="57084" spans="20:21" ht="15" customHeight="1" x14ac:dyDescent="0.25">
      <c r="T57084" s="135"/>
      <c r="U57084" s="135"/>
    </row>
    <row r="57085" spans="20:21" ht="15" customHeight="1" x14ac:dyDescent="0.25">
      <c r="T57085" s="135"/>
      <c r="U57085" s="135"/>
    </row>
    <row r="57086" spans="20:21" ht="15" customHeight="1" x14ac:dyDescent="0.25">
      <c r="T57086" s="135"/>
      <c r="U57086" s="135"/>
    </row>
    <row r="57087" spans="20:21" ht="15" customHeight="1" x14ac:dyDescent="0.25">
      <c r="T57087" s="135"/>
      <c r="U57087" s="135"/>
    </row>
    <row r="57088" spans="20:21" ht="15" customHeight="1" x14ac:dyDescent="0.25">
      <c r="T57088" s="135"/>
      <c r="U57088" s="135"/>
    </row>
    <row r="57089" spans="20:21" ht="15" customHeight="1" x14ac:dyDescent="0.25">
      <c r="T57089" s="135"/>
      <c r="U57089" s="135"/>
    </row>
    <row r="57090" spans="20:21" ht="15" customHeight="1" x14ac:dyDescent="0.25">
      <c r="T57090" s="135"/>
      <c r="U57090" s="135"/>
    </row>
    <row r="57091" spans="20:21" ht="15" customHeight="1" x14ac:dyDescent="0.25">
      <c r="T57091" s="135"/>
      <c r="U57091" s="135"/>
    </row>
    <row r="57092" spans="20:21" ht="15" customHeight="1" x14ac:dyDescent="0.25">
      <c r="T57092" s="135"/>
      <c r="U57092" s="135"/>
    </row>
    <row r="57093" spans="20:21" ht="15" customHeight="1" x14ac:dyDescent="0.25">
      <c r="T57093" s="135"/>
      <c r="U57093" s="135"/>
    </row>
    <row r="57094" spans="20:21" ht="15" customHeight="1" x14ac:dyDescent="0.25">
      <c r="T57094" s="135"/>
      <c r="U57094" s="135"/>
    </row>
    <row r="57095" spans="20:21" ht="15" customHeight="1" x14ac:dyDescent="0.25">
      <c r="T57095" s="135"/>
      <c r="U57095" s="135"/>
    </row>
    <row r="57096" spans="20:21" ht="15" customHeight="1" x14ac:dyDescent="0.25">
      <c r="T57096" s="135"/>
      <c r="U57096" s="135"/>
    </row>
    <row r="57097" spans="20:21" ht="15" customHeight="1" x14ac:dyDescent="0.25">
      <c r="T57097" s="135"/>
      <c r="U57097" s="135"/>
    </row>
    <row r="57098" spans="20:21" ht="15" customHeight="1" x14ac:dyDescent="0.25">
      <c r="T57098" s="135"/>
      <c r="U57098" s="135"/>
    </row>
    <row r="57099" spans="20:21" ht="15" customHeight="1" x14ac:dyDescent="0.25">
      <c r="T57099" s="135"/>
      <c r="U57099" s="135"/>
    </row>
    <row r="57100" spans="20:21" ht="15" customHeight="1" x14ac:dyDescent="0.25">
      <c r="T57100" s="135"/>
      <c r="U57100" s="135"/>
    </row>
    <row r="57101" spans="20:21" ht="15" customHeight="1" x14ac:dyDescent="0.25">
      <c r="T57101" s="135"/>
      <c r="U57101" s="135"/>
    </row>
    <row r="57102" spans="20:21" ht="15" customHeight="1" x14ac:dyDescent="0.25">
      <c r="T57102" s="135"/>
      <c r="U57102" s="135"/>
    </row>
    <row r="57103" spans="20:21" ht="15" customHeight="1" x14ac:dyDescent="0.25">
      <c r="T57103" s="135"/>
      <c r="U57103" s="135"/>
    </row>
    <row r="57104" spans="20:21" ht="15" customHeight="1" x14ac:dyDescent="0.25">
      <c r="T57104" s="135"/>
      <c r="U57104" s="135"/>
    </row>
    <row r="57105" spans="20:21" ht="15" customHeight="1" x14ac:dyDescent="0.25">
      <c r="T57105" s="135"/>
      <c r="U57105" s="135"/>
    </row>
    <row r="57106" spans="20:21" ht="15" customHeight="1" x14ac:dyDescent="0.25">
      <c r="T57106" s="135"/>
      <c r="U57106" s="135"/>
    </row>
    <row r="57107" spans="20:21" ht="15" customHeight="1" x14ac:dyDescent="0.25">
      <c r="T57107" s="135"/>
      <c r="U57107" s="135"/>
    </row>
    <row r="57108" spans="20:21" ht="15" customHeight="1" x14ac:dyDescent="0.25">
      <c r="T57108" s="135"/>
      <c r="U57108" s="135"/>
    </row>
    <row r="57109" spans="20:21" ht="15" customHeight="1" x14ac:dyDescent="0.25">
      <c r="T57109" s="135"/>
      <c r="U57109" s="135"/>
    </row>
    <row r="57110" spans="20:21" ht="15" customHeight="1" x14ac:dyDescent="0.25">
      <c r="T57110" s="135"/>
      <c r="U57110" s="135"/>
    </row>
    <row r="57111" spans="20:21" ht="15" customHeight="1" x14ac:dyDescent="0.25">
      <c r="T57111" s="135"/>
      <c r="U57111" s="135"/>
    </row>
    <row r="57112" spans="20:21" ht="15" customHeight="1" x14ac:dyDescent="0.25">
      <c r="T57112" s="135"/>
      <c r="U57112" s="135"/>
    </row>
    <row r="57113" spans="20:21" ht="15" customHeight="1" x14ac:dyDescent="0.25">
      <c r="T57113" s="135"/>
      <c r="U57113" s="135"/>
    </row>
    <row r="57114" spans="20:21" ht="15" customHeight="1" x14ac:dyDescent="0.25">
      <c r="T57114" s="135"/>
      <c r="U57114" s="135"/>
    </row>
    <row r="57115" spans="20:21" ht="15" customHeight="1" x14ac:dyDescent="0.25">
      <c r="T57115" s="135"/>
      <c r="U57115" s="135"/>
    </row>
    <row r="57116" spans="20:21" ht="15" customHeight="1" x14ac:dyDescent="0.25">
      <c r="T57116" s="135"/>
      <c r="U57116" s="135"/>
    </row>
    <row r="57117" spans="20:21" ht="15" customHeight="1" x14ac:dyDescent="0.25">
      <c r="T57117" s="135"/>
      <c r="U57117" s="135"/>
    </row>
    <row r="57118" spans="20:21" ht="15" customHeight="1" x14ac:dyDescent="0.25">
      <c r="T57118" s="135"/>
      <c r="U57118" s="135"/>
    </row>
    <row r="57119" spans="20:21" ht="15" customHeight="1" x14ac:dyDescent="0.25">
      <c r="T57119" s="135"/>
      <c r="U57119" s="135"/>
    </row>
    <row r="57120" spans="20:21" ht="15" customHeight="1" x14ac:dyDescent="0.25">
      <c r="T57120" s="135"/>
      <c r="U57120" s="135"/>
    </row>
    <row r="57121" spans="20:21" ht="15" customHeight="1" x14ac:dyDescent="0.25">
      <c r="T57121" s="135"/>
      <c r="U57121" s="135"/>
    </row>
    <row r="57122" spans="20:21" ht="15" customHeight="1" x14ac:dyDescent="0.25">
      <c r="T57122" s="135"/>
      <c r="U57122" s="135"/>
    </row>
    <row r="57123" spans="20:21" ht="15" customHeight="1" x14ac:dyDescent="0.25">
      <c r="T57123" s="135"/>
      <c r="U57123" s="135"/>
    </row>
    <row r="57124" spans="20:21" ht="15" customHeight="1" x14ac:dyDescent="0.25">
      <c r="T57124" s="135"/>
      <c r="U57124" s="135"/>
    </row>
    <row r="57125" spans="20:21" ht="15" customHeight="1" x14ac:dyDescent="0.25">
      <c r="T57125" s="135"/>
      <c r="U57125" s="135"/>
    </row>
    <row r="57126" spans="20:21" ht="15" customHeight="1" x14ac:dyDescent="0.25">
      <c r="T57126" s="135"/>
      <c r="U57126" s="135"/>
    </row>
    <row r="57127" spans="20:21" ht="15" customHeight="1" x14ac:dyDescent="0.25">
      <c r="T57127" s="135"/>
      <c r="U57127" s="135"/>
    </row>
    <row r="57128" spans="20:21" ht="15" customHeight="1" x14ac:dyDescent="0.25">
      <c r="T57128" s="135"/>
      <c r="U57128" s="135"/>
    </row>
    <row r="57129" spans="20:21" ht="15" customHeight="1" x14ac:dyDescent="0.25">
      <c r="T57129" s="135"/>
      <c r="U57129" s="135"/>
    </row>
    <row r="57130" spans="20:21" ht="15" customHeight="1" x14ac:dyDescent="0.25">
      <c r="T57130" s="135"/>
      <c r="U57130" s="135"/>
    </row>
    <row r="57131" spans="20:21" ht="15" customHeight="1" x14ac:dyDescent="0.25">
      <c r="T57131" s="135"/>
      <c r="U57131" s="135"/>
    </row>
    <row r="57132" spans="20:21" ht="15" customHeight="1" x14ac:dyDescent="0.25">
      <c r="T57132" s="135"/>
      <c r="U57132" s="135"/>
    </row>
    <row r="57133" spans="20:21" ht="15" customHeight="1" x14ac:dyDescent="0.25">
      <c r="T57133" s="135"/>
      <c r="U57133" s="135"/>
    </row>
    <row r="57134" spans="20:21" ht="15" customHeight="1" x14ac:dyDescent="0.25">
      <c r="T57134" s="135"/>
      <c r="U57134" s="135"/>
    </row>
    <row r="57135" spans="20:21" ht="15" customHeight="1" x14ac:dyDescent="0.25">
      <c r="T57135" s="135"/>
      <c r="U57135" s="135"/>
    </row>
    <row r="57136" spans="20:21" ht="15" customHeight="1" x14ac:dyDescent="0.25">
      <c r="T57136" s="135"/>
      <c r="U57136" s="135"/>
    </row>
    <row r="57137" spans="20:21" ht="15" customHeight="1" x14ac:dyDescent="0.25">
      <c r="T57137" s="135"/>
      <c r="U57137" s="135"/>
    </row>
    <row r="57138" spans="20:21" ht="15" customHeight="1" x14ac:dyDescent="0.25">
      <c r="T57138" s="135"/>
      <c r="U57138" s="135"/>
    </row>
    <row r="57139" spans="20:21" ht="15" customHeight="1" x14ac:dyDescent="0.25">
      <c r="T57139" s="135"/>
      <c r="U57139" s="135"/>
    </row>
    <row r="57140" spans="20:21" ht="15" customHeight="1" x14ac:dyDescent="0.25">
      <c r="T57140" s="135"/>
      <c r="U57140" s="135"/>
    </row>
    <row r="57141" spans="20:21" ht="15" customHeight="1" x14ac:dyDescent="0.25">
      <c r="T57141" s="135"/>
      <c r="U57141" s="135"/>
    </row>
    <row r="57142" spans="20:21" ht="15" customHeight="1" x14ac:dyDescent="0.25">
      <c r="T57142" s="135"/>
      <c r="U57142" s="135"/>
    </row>
    <row r="57143" spans="20:21" ht="15" customHeight="1" x14ac:dyDescent="0.25">
      <c r="T57143" s="135"/>
      <c r="U57143" s="135"/>
    </row>
    <row r="57144" spans="20:21" ht="15" customHeight="1" x14ac:dyDescent="0.25">
      <c r="T57144" s="135"/>
      <c r="U57144" s="135"/>
    </row>
    <row r="57145" spans="20:21" ht="15" customHeight="1" x14ac:dyDescent="0.25">
      <c r="T57145" s="135"/>
      <c r="U57145" s="135"/>
    </row>
    <row r="57146" spans="20:21" ht="15" customHeight="1" x14ac:dyDescent="0.25">
      <c r="T57146" s="135"/>
      <c r="U57146" s="135"/>
    </row>
    <row r="57147" spans="20:21" ht="15" customHeight="1" x14ac:dyDescent="0.25">
      <c r="T57147" s="135"/>
      <c r="U57147" s="135"/>
    </row>
    <row r="57148" spans="20:21" ht="15" customHeight="1" x14ac:dyDescent="0.25">
      <c r="T57148" s="135"/>
      <c r="U57148" s="135"/>
    </row>
    <row r="57149" spans="20:21" ht="15" customHeight="1" x14ac:dyDescent="0.25">
      <c r="T57149" s="135"/>
      <c r="U57149" s="135"/>
    </row>
    <row r="57150" spans="20:21" ht="15" customHeight="1" x14ac:dyDescent="0.25">
      <c r="T57150" s="135"/>
      <c r="U57150" s="135"/>
    </row>
    <row r="57151" spans="20:21" ht="15" customHeight="1" x14ac:dyDescent="0.25">
      <c r="T57151" s="135"/>
      <c r="U57151" s="135"/>
    </row>
    <row r="57152" spans="20:21" ht="15" customHeight="1" x14ac:dyDescent="0.25">
      <c r="T57152" s="135"/>
      <c r="U57152" s="135"/>
    </row>
    <row r="57153" spans="20:21" ht="15" customHeight="1" x14ac:dyDescent="0.25">
      <c r="T57153" s="135"/>
      <c r="U57153" s="135"/>
    </row>
    <row r="57154" spans="20:21" ht="15" customHeight="1" x14ac:dyDescent="0.25">
      <c r="T57154" s="135"/>
      <c r="U57154" s="135"/>
    </row>
    <row r="57155" spans="20:21" ht="15" customHeight="1" x14ac:dyDescent="0.25">
      <c r="T57155" s="135"/>
      <c r="U57155" s="135"/>
    </row>
    <row r="57156" spans="20:21" ht="15" customHeight="1" x14ac:dyDescent="0.25">
      <c r="T57156" s="135"/>
      <c r="U57156" s="135"/>
    </row>
    <row r="57157" spans="20:21" ht="15" customHeight="1" x14ac:dyDescent="0.25">
      <c r="T57157" s="135"/>
      <c r="U57157" s="135"/>
    </row>
    <row r="57158" spans="20:21" ht="15" customHeight="1" x14ac:dyDescent="0.25">
      <c r="T57158" s="135"/>
      <c r="U57158" s="135"/>
    </row>
    <row r="57159" spans="20:21" ht="15" customHeight="1" x14ac:dyDescent="0.25">
      <c r="T57159" s="135"/>
      <c r="U57159" s="135"/>
    </row>
    <row r="57160" spans="20:21" ht="15" customHeight="1" x14ac:dyDescent="0.25">
      <c r="T57160" s="135"/>
      <c r="U57160" s="135"/>
    </row>
    <row r="57161" spans="20:21" ht="15" customHeight="1" x14ac:dyDescent="0.25">
      <c r="T57161" s="135"/>
      <c r="U57161" s="135"/>
    </row>
    <row r="57162" spans="20:21" ht="15" customHeight="1" x14ac:dyDescent="0.25">
      <c r="T57162" s="135"/>
      <c r="U57162" s="135"/>
    </row>
    <row r="57163" spans="20:21" ht="15" customHeight="1" x14ac:dyDescent="0.25">
      <c r="T57163" s="135"/>
      <c r="U57163" s="135"/>
    </row>
    <row r="57164" spans="20:21" ht="15" customHeight="1" x14ac:dyDescent="0.25">
      <c r="T57164" s="135"/>
      <c r="U57164" s="135"/>
    </row>
    <row r="57165" spans="20:21" ht="15" customHeight="1" x14ac:dyDescent="0.25">
      <c r="T57165" s="135"/>
      <c r="U57165" s="135"/>
    </row>
    <row r="57166" spans="20:21" ht="15" customHeight="1" x14ac:dyDescent="0.25">
      <c r="T57166" s="135"/>
      <c r="U57166" s="135"/>
    </row>
    <row r="57167" spans="20:21" ht="15" customHeight="1" x14ac:dyDescent="0.25">
      <c r="T57167" s="135"/>
      <c r="U57167" s="135"/>
    </row>
    <row r="57168" spans="20:21" ht="15" customHeight="1" x14ac:dyDescent="0.25">
      <c r="T57168" s="135"/>
      <c r="U57168" s="135"/>
    </row>
    <row r="57169" spans="20:21" ht="15" customHeight="1" x14ac:dyDescent="0.25">
      <c r="T57169" s="135"/>
      <c r="U57169" s="135"/>
    </row>
    <row r="57170" spans="20:21" ht="15" customHeight="1" x14ac:dyDescent="0.25">
      <c r="T57170" s="135"/>
      <c r="U57170" s="135"/>
    </row>
    <row r="57171" spans="20:21" ht="15" customHeight="1" x14ac:dyDescent="0.25">
      <c r="T57171" s="135"/>
      <c r="U57171" s="135"/>
    </row>
    <row r="57172" spans="20:21" ht="15" customHeight="1" x14ac:dyDescent="0.25">
      <c r="T57172" s="135"/>
      <c r="U57172" s="135"/>
    </row>
    <row r="57173" spans="20:21" ht="15" customHeight="1" x14ac:dyDescent="0.25">
      <c r="T57173" s="135"/>
      <c r="U57173" s="135"/>
    </row>
    <row r="57174" spans="20:21" ht="15" customHeight="1" x14ac:dyDescent="0.25">
      <c r="T57174" s="135"/>
      <c r="U57174" s="135"/>
    </row>
    <row r="57175" spans="20:21" ht="15" customHeight="1" x14ac:dyDescent="0.25">
      <c r="T57175" s="135"/>
      <c r="U57175" s="135"/>
    </row>
    <row r="57176" spans="20:21" ht="15" customHeight="1" x14ac:dyDescent="0.25">
      <c r="T57176" s="135"/>
      <c r="U57176" s="135"/>
    </row>
    <row r="57177" spans="20:21" ht="15" customHeight="1" x14ac:dyDescent="0.25">
      <c r="T57177" s="135"/>
      <c r="U57177" s="135"/>
    </row>
    <row r="57178" spans="20:21" ht="15" customHeight="1" x14ac:dyDescent="0.25">
      <c r="T57178" s="135"/>
      <c r="U57178" s="135"/>
    </row>
    <row r="57179" spans="20:21" ht="15" customHeight="1" x14ac:dyDescent="0.25">
      <c r="T57179" s="135"/>
      <c r="U57179" s="135"/>
    </row>
    <row r="57180" spans="20:21" ht="15" customHeight="1" x14ac:dyDescent="0.25">
      <c r="T57180" s="135"/>
      <c r="U57180" s="135"/>
    </row>
    <row r="57181" spans="20:21" ht="15" customHeight="1" x14ac:dyDescent="0.25">
      <c r="T57181" s="135"/>
      <c r="U57181" s="135"/>
    </row>
    <row r="57182" spans="20:21" ht="15" customHeight="1" x14ac:dyDescent="0.25">
      <c r="T57182" s="135"/>
      <c r="U57182" s="135"/>
    </row>
    <row r="57183" spans="20:21" ht="15" customHeight="1" x14ac:dyDescent="0.25">
      <c r="T57183" s="135"/>
      <c r="U57183" s="135"/>
    </row>
    <row r="57184" spans="20:21" ht="15" customHeight="1" x14ac:dyDescent="0.25">
      <c r="T57184" s="135"/>
      <c r="U57184" s="135"/>
    </row>
    <row r="57185" spans="20:21" ht="15" customHeight="1" x14ac:dyDescent="0.25">
      <c r="T57185" s="135"/>
      <c r="U57185" s="135"/>
    </row>
    <row r="57186" spans="20:21" ht="15" customHeight="1" x14ac:dyDescent="0.25">
      <c r="T57186" s="135"/>
      <c r="U57186" s="135"/>
    </row>
    <row r="57187" spans="20:21" ht="15" customHeight="1" x14ac:dyDescent="0.25">
      <c r="T57187" s="135"/>
      <c r="U57187" s="135"/>
    </row>
    <row r="57188" spans="20:21" ht="15" customHeight="1" x14ac:dyDescent="0.25">
      <c r="T57188" s="135"/>
      <c r="U57188" s="135"/>
    </row>
    <row r="57189" spans="20:21" ht="15" customHeight="1" x14ac:dyDescent="0.25">
      <c r="T57189" s="135"/>
      <c r="U57189" s="135"/>
    </row>
    <row r="57190" spans="20:21" ht="15" customHeight="1" x14ac:dyDescent="0.25">
      <c r="T57190" s="135"/>
      <c r="U57190" s="135"/>
    </row>
    <row r="57191" spans="20:21" ht="15" customHeight="1" x14ac:dyDescent="0.25">
      <c r="T57191" s="135"/>
      <c r="U57191" s="135"/>
    </row>
    <row r="57192" spans="20:21" ht="15" customHeight="1" x14ac:dyDescent="0.25">
      <c r="T57192" s="135"/>
      <c r="U57192" s="135"/>
    </row>
    <row r="57193" spans="20:21" ht="15" customHeight="1" x14ac:dyDescent="0.25">
      <c r="T57193" s="135"/>
      <c r="U57193" s="135"/>
    </row>
    <row r="57194" spans="20:21" ht="15" customHeight="1" x14ac:dyDescent="0.25">
      <c r="T57194" s="135"/>
      <c r="U57194" s="135"/>
    </row>
    <row r="57195" spans="20:21" ht="15" customHeight="1" x14ac:dyDescent="0.25">
      <c r="T57195" s="135"/>
      <c r="U57195" s="135"/>
    </row>
    <row r="57196" spans="20:21" ht="15" customHeight="1" x14ac:dyDescent="0.25">
      <c r="T57196" s="135"/>
      <c r="U57196" s="135"/>
    </row>
    <row r="57197" spans="20:21" ht="15" customHeight="1" x14ac:dyDescent="0.25">
      <c r="T57197" s="135"/>
      <c r="U57197" s="135"/>
    </row>
    <row r="57198" spans="20:21" ht="15" customHeight="1" x14ac:dyDescent="0.25">
      <c r="T57198" s="135"/>
      <c r="U57198" s="135"/>
    </row>
    <row r="57199" spans="20:21" ht="15" customHeight="1" x14ac:dyDescent="0.25">
      <c r="T57199" s="135"/>
      <c r="U57199" s="135"/>
    </row>
    <row r="57200" spans="20:21" ht="15" customHeight="1" x14ac:dyDescent="0.25">
      <c r="T57200" s="135"/>
      <c r="U57200" s="135"/>
    </row>
    <row r="57201" spans="20:21" ht="15" customHeight="1" x14ac:dyDescent="0.25">
      <c r="T57201" s="135"/>
      <c r="U57201" s="135"/>
    </row>
    <row r="57202" spans="20:21" ht="15" customHeight="1" x14ac:dyDescent="0.25">
      <c r="T57202" s="135"/>
      <c r="U57202" s="135"/>
    </row>
    <row r="57203" spans="20:21" ht="15" customHeight="1" x14ac:dyDescent="0.25">
      <c r="T57203" s="135"/>
      <c r="U57203" s="135"/>
    </row>
    <row r="57204" spans="20:21" ht="15" customHeight="1" x14ac:dyDescent="0.25">
      <c r="T57204" s="135"/>
      <c r="U57204" s="135"/>
    </row>
    <row r="57205" spans="20:21" ht="15" customHeight="1" x14ac:dyDescent="0.25">
      <c r="T57205" s="135"/>
      <c r="U57205" s="135"/>
    </row>
    <row r="57206" spans="20:21" ht="15" customHeight="1" x14ac:dyDescent="0.25">
      <c r="T57206" s="135"/>
      <c r="U57206" s="135"/>
    </row>
    <row r="57207" spans="20:21" ht="15" customHeight="1" x14ac:dyDescent="0.25">
      <c r="T57207" s="135"/>
      <c r="U57207" s="135"/>
    </row>
    <row r="57208" spans="20:21" ht="15" customHeight="1" x14ac:dyDescent="0.25">
      <c r="T57208" s="135"/>
      <c r="U57208" s="135"/>
    </row>
    <row r="57209" spans="20:21" ht="15" customHeight="1" x14ac:dyDescent="0.25">
      <c r="T57209" s="135"/>
      <c r="U57209" s="135"/>
    </row>
    <row r="57210" spans="20:21" ht="15" customHeight="1" x14ac:dyDescent="0.25">
      <c r="T57210" s="135"/>
      <c r="U57210" s="135"/>
    </row>
    <row r="57211" spans="20:21" ht="15" customHeight="1" x14ac:dyDescent="0.25">
      <c r="T57211" s="135"/>
      <c r="U57211" s="135"/>
    </row>
    <row r="57212" spans="20:21" ht="15" customHeight="1" x14ac:dyDescent="0.25">
      <c r="T57212" s="135"/>
      <c r="U57212" s="135"/>
    </row>
    <row r="57213" spans="20:21" ht="15" customHeight="1" x14ac:dyDescent="0.25">
      <c r="T57213" s="135"/>
      <c r="U57213" s="135"/>
    </row>
    <row r="57214" spans="20:21" ht="15" customHeight="1" x14ac:dyDescent="0.25">
      <c r="T57214" s="135"/>
      <c r="U57214" s="135"/>
    </row>
    <row r="57215" spans="20:21" ht="15" customHeight="1" x14ac:dyDescent="0.25">
      <c r="T57215" s="135"/>
      <c r="U57215" s="135"/>
    </row>
    <row r="57216" spans="20:21" ht="15" customHeight="1" x14ac:dyDescent="0.25">
      <c r="T57216" s="135"/>
      <c r="U57216" s="135"/>
    </row>
    <row r="57217" spans="20:21" ht="15" customHeight="1" x14ac:dyDescent="0.25">
      <c r="T57217" s="135"/>
      <c r="U57217" s="135"/>
    </row>
    <row r="57218" spans="20:21" ht="15" customHeight="1" x14ac:dyDescent="0.25">
      <c r="T57218" s="135"/>
      <c r="U57218" s="135"/>
    </row>
    <row r="57219" spans="20:21" ht="15" customHeight="1" x14ac:dyDescent="0.25">
      <c r="T57219" s="135"/>
      <c r="U57219" s="135"/>
    </row>
    <row r="57220" spans="20:21" ht="15" customHeight="1" x14ac:dyDescent="0.25">
      <c r="T57220" s="135"/>
      <c r="U57220" s="135"/>
    </row>
    <row r="57221" spans="20:21" ht="15" customHeight="1" x14ac:dyDescent="0.25">
      <c r="T57221" s="135"/>
      <c r="U57221" s="135"/>
    </row>
    <row r="57222" spans="20:21" ht="15" customHeight="1" x14ac:dyDescent="0.25">
      <c r="T57222" s="135"/>
      <c r="U57222" s="135"/>
    </row>
    <row r="57223" spans="20:21" ht="15" customHeight="1" x14ac:dyDescent="0.25">
      <c r="T57223" s="135"/>
      <c r="U57223" s="135"/>
    </row>
    <row r="57224" spans="20:21" ht="15" customHeight="1" x14ac:dyDescent="0.25">
      <c r="T57224" s="135"/>
      <c r="U57224" s="135"/>
    </row>
    <row r="57225" spans="20:21" ht="15" customHeight="1" x14ac:dyDescent="0.25">
      <c r="T57225" s="135"/>
      <c r="U57225" s="135"/>
    </row>
    <row r="57226" spans="20:21" ht="15" customHeight="1" x14ac:dyDescent="0.25">
      <c r="T57226" s="135"/>
      <c r="U57226" s="135"/>
    </row>
    <row r="57227" spans="20:21" ht="15" customHeight="1" x14ac:dyDescent="0.25">
      <c r="T57227" s="135"/>
      <c r="U57227" s="135"/>
    </row>
    <row r="57228" spans="20:21" ht="15" customHeight="1" x14ac:dyDescent="0.25">
      <c r="T57228" s="135"/>
      <c r="U57228" s="135"/>
    </row>
    <row r="57229" spans="20:21" ht="15" customHeight="1" x14ac:dyDescent="0.25">
      <c r="T57229" s="135"/>
      <c r="U57229" s="135"/>
    </row>
    <row r="57230" spans="20:21" ht="15" customHeight="1" x14ac:dyDescent="0.25">
      <c r="T57230" s="135"/>
      <c r="U57230" s="135"/>
    </row>
    <row r="57231" spans="20:21" ht="15" customHeight="1" x14ac:dyDescent="0.25">
      <c r="T57231" s="135"/>
      <c r="U57231" s="135"/>
    </row>
    <row r="57232" spans="20:21" ht="15" customHeight="1" x14ac:dyDescent="0.25">
      <c r="T57232" s="135"/>
      <c r="U57232" s="135"/>
    </row>
    <row r="57233" spans="20:21" ht="15" customHeight="1" x14ac:dyDescent="0.25">
      <c r="T57233" s="135"/>
      <c r="U57233" s="135"/>
    </row>
    <row r="57234" spans="20:21" ht="15" customHeight="1" x14ac:dyDescent="0.25">
      <c r="T57234" s="135"/>
      <c r="U57234" s="135"/>
    </row>
    <row r="57235" spans="20:21" ht="15" customHeight="1" x14ac:dyDescent="0.25">
      <c r="T57235" s="135"/>
      <c r="U57235" s="135"/>
    </row>
    <row r="57236" spans="20:21" ht="15" customHeight="1" x14ac:dyDescent="0.25">
      <c r="T57236" s="135"/>
      <c r="U57236" s="135"/>
    </row>
    <row r="57237" spans="20:21" ht="15" customHeight="1" x14ac:dyDescent="0.25">
      <c r="T57237" s="135"/>
      <c r="U57237" s="135"/>
    </row>
    <row r="57238" spans="20:21" ht="15" customHeight="1" x14ac:dyDescent="0.25">
      <c r="T57238" s="135"/>
      <c r="U57238" s="135"/>
    </row>
    <row r="57239" spans="20:21" ht="15" customHeight="1" x14ac:dyDescent="0.25">
      <c r="T57239" s="135"/>
      <c r="U57239" s="135"/>
    </row>
    <row r="57240" spans="20:21" ht="15" customHeight="1" x14ac:dyDescent="0.25">
      <c r="T57240" s="135"/>
      <c r="U57240" s="135"/>
    </row>
    <row r="57241" spans="20:21" ht="15" customHeight="1" x14ac:dyDescent="0.25">
      <c r="T57241" s="135"/>
      <c r="U57241" s="135"/>
    </row>
    <row r="57242" spans="20:21" ht="15" customHeight="1" x14ac:dyDescent="0.25">
      <c r="T57242" s="135"/>
      <c r="U57242" s="135"/>
    </row>
    <row r="57243" spans="20:21" ht="15" customHeight="1" x14ac:dyDescent="0.25">
      <c r="T57243" s="135"/>
      <c r="U57243" s="135"/>
    </row>
    <row r="57244" spans="20:21" ht="15" customHeight="1" x14ac:dyDescent="0.25">
      <c r="T57244" s="135"/>
      <c r="U57244" s="135"/>
    </row>
    <row r="57245" spans="20:21" ht="15" customHeight="1" x14ac:dyDescent="0.25">
      <c r="T57245" s="135"/>
      <c r="U57245" s="135"/>
    </row>
    <row r="57246" spans="20:21" ht="15" customHeight="1" x14ac:dyDescent="0.25">
      <c r="T57246" s="135"/>
      <c r="U57246" s="135"/>
    </row>
    <row r="57247" spans="20:21" ht="15" customHeight="1" x14ac:dyDescent="0.25">
      <c r="T57247" s="135"/>
      <c r="U57247" s="135"/>
    </row>
    <row r="57248" spans="20:21" ht="15" customHeight="1" x14ac:dyDescent="0.25">
      <c r="T57248" s="135"/>
      <c r="U57248" s="135"/>
    </row>
    <row r="57249" spans="20:21" ht="15" customHeight="1" x14ac:dyDescent="0.25">
      <c r="T57249" s="135"/>
      <c r="U57249" s="135"/>
    </row>
    <row r="57250" spans="20:21" ht="15" customHeight="1" x14ac:dyDescent="0.25">
      <c r="T57250" s="135"/>
      <c r="U57250" s="135"/>
    </row>
    <row r="57251" spans="20:21" ht="15" customHeight="1" x14ac:dyDescent="0.25">
      <c r="T57251" s="135"/>
      <c r="U57251" s="135"/>
    </row>
    <row r="57252" spans="20:21" ht="15" customHeight="1" x14ac:dyDescent="0.25">
      <c r="T57252" s="135"/>
      <c r="U57252" s="135"/>
    </row>
    <row r="57253" spans="20:21" ht="15" customHeight="1" x14ac:dyDescent="0.25">
      <c r="T57253" s="135"/>
      <c r="U57253" s="135"/>
    </row>
    <row r="57254" spans="20:21" ht="15" customHeight="1" x14ac:dyDescent="0.25">
      <c r="T57254" s="135"/>
      <c r="U57254" s="135"/>
    </row>
    <row r="57255" spans="20:21" ht="15" customHeight="1" x14ac:dyDescent="0.25">
      <c r="T57255" s="135"/>
      <c r="U57255" s="135"/>
    </row>
    <row r="57256" spans="20:21" ht="15" customHeight="1" x14ac:dyDescent="0.25">
      <c r="T57256" s="135"/>
      <c r="U57256" s="135"/>
    </row>
    <row r="57257" spans="20:21" ht="15" customHeight="1" x14ac:dyDescent="0.25">
      <c r="T57257" s="135"/>
      <c r="U57257" s="135"/>
    </row>
    <row r="57258" spans="20:21" ht="15" customHeight="1" x14ac:dyDescent="0.25">
      <c r="T57258" s="135"/>
      <c r="U57258" s="135"/>
    </row>
    <row r="57259" spans="20:21" ht="15" customHeight="1" x14ac:dyDescent="0.25">
      <c r="T57259" s="135"/>
      <c r="U57259" s="135"/>
    </row>
    <row r="57260" spans="20:21" ht="15" customHeight="1" x14ac:dyDescent="0.25">
      <c r="T57260" s="135"/>
      <c r="U57260" s="135"/>
    </row>
    <row r="57261" spans="20:21" ht="15" customHeight="1" x14ac:dyDescent="0.25">
      <c r="T57261" s="135"/>
      <c r="U57261" s="135"/>
    </row>
    <row r="57262" spans="20:21" ht="15" customHeight="1" x14ac:dyDescent="0.25">
      <c r="T57262" s="135"/>
      <c r="U57262" s="135"/>
    </row>
    <row r="57263" spans="20:21" ht="15" customHeight="1" x14ac:dyDescent="0.25">
      <c r="T57263" s="135"/>
      <c r="U57263" s="135"/>
    </row>
    <row r="57264" spans="20:21" ht="15" customHeight="1" x14ac:dyDescent="0.25">
      <c r="T57264" s="135"/>
      <c r="U57264" s="135"/>
    </row>
    <row r="57265" spans="20:21" ht="15" customHeight="1" x14ac:dyDescent="0.25">
      <c r="T57265" s="135"/>
      <c r="U57265" s="135"/>
    </row>
    <row r="57266" spans="20:21" ht="15" customHeight="1" x14ac:dyDescent="0.25">
      <c r="T57266" s="135"/>
      <c r="U57266" s="135"/>
    </row>
    <row r="57267" spans="20:21" ht="15" customHeight="1" x14ac:dyDescent="0.25">
      <c r="T57267" s="135"/>
      <c r="U57267" s="135"/>
    </row>
    <row r="57268" spans="20:21" ht="15" customHeight="1" x14ac:dyDescent="0.25">
      <c r="T57268" s="135"/>
      <c r="U57268" s="135"/>
    </row>
    <row r="57269" spans="20:21" ht="15" customHeight="1" x14ac:dyDescent="0.25">
      <c r="T57269" s="135"/>
      <c r="U57269" s="135"/>
    </row>
    <row r="57270" spans="20:21" ht="15" customHeight="1" x14ac:dyDescent="0.25">
      <c r="T57270" s="135"/>
      <c r="U57270" s="135"/>
    </row>
    <row r="57271" spans="20:21" ht="15" customHeight="1" x14ac:dyDescent="0.25">
      <c r="T57271" s="135"/>
      <c r="U57271" s="135"/>
    </row>
    <row r="57272" spans="20:21" ht="15" customHeight="1" x14ac:dyDescent="0.25">
      <c r="T57272" s="135"/>
      <c r="U57272" s="135"/>
    </row>
    <row r="57273" spans="20:21" ht="15" customHeight="1" x14ac:dyDescent="0.25">
      <c r="T57273" s="135"/>
      <c r="U57273" s="135"/>
    </row>
    <row r="57274" spans="20:21" ht="15" customHeight="1" x14ac:dyDescent="0.25">
      <c r="T57274" s="135"/>
      <c r="U57274" s="135"/>
    </row>
    <row r="57275" spans="20:21" ht="15" customHeight="1" x14ac:dyDescent="0.25">
      <c r="T57275" s="135"/>
      <c r="U57275" s="135"/>
    </row>
    <row r="57276" spans="20:21" ht="15" customHeight="1" x14ac:dyDescent="0.25">
      <c r="T57276" s="135"/>
      <c r="U57276" s="135"/>
    </row>
    <row r="57277" spans="20:21" ht="15" customHeight="1" x14ac:dyDescent="0.25">
      <c r="T57277" s="135"/>
      <c r="U57277" s="135"/>
    </row>
    <row r="57278" spans="20:21" ht="15" customHeight="1" x14ac:dyDescent="0.25">
      <c r="T57278" s="135"/>
      <c r="U57278" s="135"/>
    </row>
    <row r="57279" spans="20:21" ht="15" customHeight="1" x14ac:dyDescent="0.25">
      <c r="T57279" s="135"/>
      <c r="U57279" s="135"/>
    </row>
    <row r="57280" spans="20:21" ht="15" customHeight="1" x14ac:dyDescent="0.25">
      <c r="T57280" s="135"/>
      <c r="U57280" s="135"/>
    </row>
    <row r="57281" spans="20:21" ht="15" customHeight="1" x14ac:dyDescent="0.25">
      <c r="T57281" s="135"/>
      <c r="U57281" s="135"/>
    </row>
    <row r="57282" spans="20:21" ht="15" customHeight="1" x14ac:dyDescent="0.25">
      <c r="T57282" s="135"/>
      <c r="U57282" s="135"/>
    </row>
    <row r="57283" spans="20:21" ht="15" customHeight="1" x14ac:dyDescent="0.25">
      <c r="T57283" s="135"/>
      <c r="U57283" s="135"/>
    </row>
    <row r="57284" spans="20:21" ht="15" customHeight="1" x14ac:dyDescent="0.25">
      <c r="T57284" s="135"/>
      <c r="U57284" s="135"/>
    </row>
    <row r="57285" spans="20:21" ht="15" customHeight="1" x14ac:dyDescent="0.25">
      <c r="T57285" s="135"/>
      <c r="U57285" s="135"/>
    </row>
    <row r="57286" spans="20:21" ht="15" customHeight="1" x14ac:dyDescent="0.25">
      <c r="T57286" s="135"/>
      <c r="U57286" s="135"/>
    </row>
    <row r="57287" spans="20:21" ht="15" customHeight="1" x14ac:dyDescent="0.25">
      <c r="T57287" s="135"/>
      <c r="U57287" s="135"/>
    </row>
    <row r="57288" spans="20:21" ht="15" customHeight="1" x14ac:dyDescent="0.25">
      <c r="T57288" s="135"/>
      <c r="U57288" s="135"/>
    </row>
    <row r="57289" spans="20:21" ht="15" customHeight="1" x14ac:dyDescent="0.25">
      <c r="T57289" s="135"/>
      <c r="U57289" s="135"/>
    </row>
    <row r="57290" spans="20:21" ht="15" customHeight="1" x14ac:dyDescent="0.25">
      <c r="T57290" s="135"/>
      <c r="U57290" s="135"/>
    </row>
    <row r="57291" spans="20:21" ht="15" customHeight="1" x14ac:dyDescent="0.25">
      <c r="T57291" s="135"/>
      <c r="U57291" s="135"/>
    </row>
    <row r="57292" spans="20:21" ht="15" customHeight="1" x14ac:dyDescent="0.25">
      <c r="T57292" s="135"/>
      <c r="U57292" s="135"/>
    </row>
    <row r="57293" spans="20:21" ht="15" customHeight="1" x14ac:dyDescent="0.25">
      <c r="T57293" s="135"/>
      <c r="U57293" s="135"/>
    </row>
    <row r="57294" spans="20:21" ht="15" customHeight="1" x14ac:dyDescent="0.25">
      <c r="T57294" s="135"/>
      <c r="U57294" s="135"/>
    </row>
    <row r="57295" spans="20:21" ht="15" customHeight="1" x14ac:dyDescent="0.25">
      <c r="T57295" s="135"/>
      <c r="U57295" s="135"/>
    </row>
    <row r="57296" spans="20:21" ht="15" customHeight="1" x14ac:dyDescent="0.25">
      <c r="T57296" s="135"/>
      <c r="U57296" s="135"/>
    </row>
    <row r="57297" spans="20:21" ht="15" customHeight="1" x14ac:dyDescent="0.25">
      <c r="T57297" s="135"/>
      <c r="U57297" s="135"/>
    </row>
    <row r="57298" spans="20:21" ht="15" customHeight="1" x14ac:dyDescent="0.25">
      <c r="T57298" s="135"/>
      <c r="U57298" s="135"/>
    </row>
    <row r="57299" spans="20:21" ht="15" customHeight="1" x14ac:dyDescent="0.25">
      <c r="T57299" s="135"/>
      <c r="U57299" s="135"/>
    </row>
    <row r="57300" spans="20:21" ht="15" customHeight="1" x14ac:dyDescent="0.25">
      <c r="T57300" s="135"/>
      <c r="U57300" s="135"/>
    </row>
    <row r="57301" spans="20:21" ht="15" customHeight="1" x14ac:dyDescent="0.25">
      <c r="T57301" s="135"/>
      <c r="U57301" s="135"/>
    </row>
    <row r="57302" spans="20:21" ht="15" customHeight="1" x14ac:dyDescent="0.25">
      <c r="T57302" s="135"/>
      <c r="U57302" s="135"/>
    </row>
    <row r="57303" spans="20:21" ht="15" customHeight="1" x14ac:dyDescent="0.25">
      <c r="T57303" s="135"/>
      <c r="U57303" s="135"/>
    </row>
    <row r="57304" spans="20:21" ht="15" customHeight="1" x14ac:dyDescent="0.25">
      <c r="T57304" s="135"/>
      <c r="U57304" s="135"/>
    </row>
    <row r="57305" spans="20:21" ht="15" customHeight="1" x14ac:dyDescent="0.25">
      <c r="T57305" s="135"/>
      <c r="U57305" s="135"/>
    </row>
    <row r="57306" spans="20:21" ht="15" customHeight="1" x14ac:dyDescent="0.25">
      <c r="T57306" s="135"/>
      <c r="U57306" s="135"/>
    </row>
    <row r="57307" spans="20:21" ht="15" customHeight="1" x14ac:dyDescent="0.25">
      <c r="T57307" s="135"/>
      <c r="U57307" s="135"/>
    </row>
    <row r="57308" spans="20:21" ht="15" customHeight="1" x14ac:dyDescent="0.25">
      <c r="T57308" s="135"/>
      <c r="U57308" s="135"/>
    </row>
    <row r="57309" spans="20:21" ht="15" customHeight="1" x14ac:dyDescent="0.25">
      <c r="T57309" s="135"/>
      <c r="U57309" s="135"/>
    </row>
    <row r="57310" spans="20:21" ht="15" customHeight="1" x14ac:dyDescent="0.25">
      <c r="T57310" s="135"/>
      <c r="U57310" s="135"/>
    </row>
    <row r="57311" spans="20:21" ht="15" customHeight="1" x14ac:dyDescent="0.25">
      <c r="T57311" s="135"/>
      <c r="U57311" s="135"/>
    </row>
    <row r="57312" spans="20:21" ht="15" customHeight="1" x14ac:dyDescent="0.25">
      <c r="T57312" s="135"/>
      <c r="U57312" s="135"/>
    </row>
    <row r="57313" spans="20:21" ht="15" customHeight="1" x14ac:dyDescent="0.25">
      <c r="T57313" s="135"/>
      <c r="U57313" s="135"/>
    </row>
    <row r="57314" spans="20:21" ht="15" customHeight="1" x14ac:dyDescent="0.25">
      <c r="T57314" s="135"/>
      <c r="U57314" s="135"/>
    </row>
    <row r="57315" spans="20:21" ht="15" customHeight="1" x14ac:dyDescent="0.25">
      <c r="T57315" s="135"/>
      <c r="U57315" s="135"/>
    </row>
    <row r="57316" spans="20:21" ht="15" customHeight="1" x14ac:dyDescent="0.25">
      <c r="T57316" s="135"/>
      <c r="U57316" s="135"/>
    </row>
    <row r="57317" spans="20:21" ht="15" customHeight="1" x14ac:dyDescent="0.25">
      <c r="T57317" s="135"/>
      <c r="U57317" s="135"/>
    </row>
    <row r="57318" spans="20:21" ht="15" customHeight="1" x14ac:dyDescent="0.25">
      <c r="T57318" s="135"/>
      <c r="U57318" s="135"/>
    </row>
    <row r="57319" spans="20:21" ht="15" customHeight="1" x14ac:dyDescent="0.25">
      <c r="T57319" s="135"/>
      <c r="U57319" s="135"/>
    </row>
    <row r="57320" spans="20:21" ht="15" customHeight="1" x14ac:dyDescent="0.25">
      <c r="T57320" s="135"/>
      <c r="U57320" s="135"/>
    </row>
    <row r="57321" spans="20:21" ht="15" customHeight="1" x14ac:dyDescent="0.25">
      <c r="T57321" s="135"/>
      <c r="U57321" s="135"/>
    </row>
    <row r="57322" spans="20:21" ht="15" customHeight="1" x14ac:dyDescent="0.25">
      <c r="T57322" s="135"/>
      <c r="U57322" s="135"/>
    </row>
    <row r="57323" spans="20:21" ht="15" customHeight="1" x14ac:dyDescent="0.25">
      <c r="T57323" s="135"/>
      <c r="U57323" s="135"/>
    </row>
    <row r="57324" spans="20:21" ht="15" customHeight="1" x14ac:dyDescent="0.25">
      <c r="T57324" s="135"/>
      <c r="U57324" s="135"/>
    </row>
    <row r="57325" spans="20:21" ht="15" customHeight="1" x14ac:dyDescent="0.25">
      <c r="T57325" s="135"/>
      <c r="U57325" s="135"/>
    </row>
    <row r="57326" spans="20:21" ht="15" customHeight="1" x14ac:dyDescent="0.25">
      <c r="T57326" s="135"/>
      <c r="U57326" s="135"/>
    </row>
    <row r="57327" spans="20:21" ht="15" customHeight="1" x14ac:dyDescent="0.25">
      <c r="T57327" s="135"/>
      <c r="U57327" s="135"/>
    </row>
    <row r="57328" spans="20:21" ht="15" customHeight="1" x14ac:dyDescent="0.25">
      <c r="T57328" s="135"/>
      <c r="U57328" s="135"/>
    </row>
    <row r="57329" spans="20:21" ht="15" customHeight="1" x14ac:dyDescent="0.25">
      <c r="T57329" s="135"/>
      <c r="U57329" s="135"/>
    </row>
    <row r="57330" spans="20:21" ht="15" customHeight="1" x14ac:dyDescent="0.25">
      <c r="T57330" s="135"/>
      <c r="U57330" s="135"/>
    </row>
    <row r="57331" spans="20:21" ht="15" customHeight="1" x14ac:dyDescent="0.25">
      <c r="T57331" s="135"/>
      <c r="U57331" s="135"/>
    </row>
    <row r="57332" spans="20:21" ht="15" customHeight="1" x14ac:dyDescent="0.25">
      <c r="T57332" s="135"/>
      <c r="U57332" s="135"/>
    </row>
    <row r="57333" spans="20:21" ht="15" customHeight="1" x14ac:dyDescent="0.25">
      <c r="T57333" s="135"/>
      <c r="U57333" s="135"/>
    </row>
    <row r="57334" spans="20:21" ht="15" customHeight="1" x14ac:dyDescent="0.25">
      <c r="T57334" s="135"/>
      <c r="U57334" s="135"/>
    </row>
    <row r="57335" spans="20:21" ht="15" customHeight="1" x14ac:dyDescent="0.25">
      <c r="T57335" s="135"/>
      <c r="U57335" s="135"/>
    </row>
    <row r="57336" spans="20:21" ht="15" customHeight="1" x14ac:dyDescent="0.25">
      <c r="T57336" s="135"/>
      <c r="U57336" s="135"/>
    </row>
    <row r="57337" spans="20:21" ht="15" customHeight="1" x14ac:dyDescent="0.25">
      <c r="T57337" s="135"/>
      <c r="U57337" s="135"/>
    </row>
    <row r="57338" spans="20:21" ht="15" customHeight="1" x14ac:dyDescent="0.25">
      <c r="T57338" s="135"/>
      <c r="U57338" s="135"/>
    </row>
    <row r="57339" spans="20:21" ht="15" customHeight="1" x14ac:dyDescent="0.25">
      <c r="T57339" s="135"/>
      <c r="U57339" s="135"/>
    </row>
    <row r="57340" spans="20:21" ht="15" customHeight="1" x14ac:dyDescent="0.25">
      <c r="T57340" s="135"/>
      <c r="U57340" s="135"/>
    </row>
    <row r="57341" spans="20:21" ht="15" customHeight="1" x14ac:dyDescent="0.25">
      <c r="T57341" s="135"/>
      <c r="U57341" s="135"/>
    </row>
    <row r="57342" spans="20:21" ht="15" customHeight="1" x14ac:dyDescent="0.25">
      <c r="T57342" s="135"/>
      <c r="U57342" s="135"/>
    </row>
    <row r="57343" spans="20:21" ht="15" customHeight="1" x14ac:dyDescent="0.25">
      <c r="T57343" s="135"/>
      <c r="U57343" s="135"/>
    </row>
    <row r="57344" spans="20:21" ht="15" customHeight="1" x14ac:dyDescent="0.25">
      <c r="T57344" s="135"/>
      <c r="U57344" s="135"/>
    </row>
    <row r="57345" spans="20:21" ht="15" customHeight="1" x14ac:dyDescent="0.25">
      <c r="T57345" s="135"/>
      <c r="U57345" s="135"/>
    </row>
    <row r="57346" spans="20:21" ht="15" customHeight="1" x14ac:dyDescent="0.25">
      <c r="T57346" s="135"/>
      <c r="U57346" s="135"/>
    </row>
    <row r="57347" spans="20:21" ht="15" customHeight="1" x14ac:dyDescent="0.25">
      <c r="T57347" s="135"/>
      <c r="U57347" s="135"/>
    </row>
    <row r="57348" spans="20:21" ht="15" customHeight="1" x14ac:dyDescent="0.25">
      <c r="T57348" s="135"/>
      <c r="U57348" s="135"/>
    </row>
    <row r="57349" spans="20:21" ht="15" customHeight="1" x14ac:dyDescent="0.25">
      <c r="T57349" s="135"/>
      <c r="U57349" s="135"/>
    </row>
    <row r="57350" spans="20:21" ht="15" customHeight="1" x14ac:dyDescent="0.25">
      <c r="T57350" s="135"/>
      <c r="U57350" s="135"/>
    </row>
    <row r="57351" spans="20:21" ht="15" customHeight="1" x14ac:dyDescent="0.25">
      <c r="T57351" s="135"/>
      <c r="U57351" s="135"/>
    </row>
    <row r="57352" spans="20:21" ht="15" customHeight="1" x14ac:dyDescent="0.25">
      <c r="T57352" s="135"/>
      <c r="U57352" s="135"/>
    </row>
    <row r="57353" spans="20:21" ht="15" customHeight="1" x14ac:dyDescent="0.25">
      <c r="T57353" s="135"/>
      <c r="U57353" s="135"/>
    </row>
    <row r="57354" spans="20:21" ht="15" customHeight="1" x14ac:dyDescent="0.25">
      <c r="T57354" s="135"/>
      <c r="U57354" s="135"/>
    </row>
    <row r="57355" spans="20:21" ht="15" customHeight="1" x14ac:dyDescent="0.25">
      <c r="T57355" s="135"/>
      <c r="U57355" s="135"/>
    </row>
    <row r="57356" spans="20:21" ht="15" customHeight="1" x14ac:dyDescent="0.25">
      <c r="T57356" s="135"/>
      <c r="U57356" s="135"/>
    </row>
    <row r="57357" spans="20:21" ht="15" customHeight="1" x14ac:dyDescent="0.25">
      <c r="T57357" s="135"/>
      <c r="U57357" s="135"/>
    </row>
    <row r="57358" spans="20:21" ht="15" customHeight="1" x14ac:dyDescent="0.25">
      <c r="T57358" s="135"/>
      <c r="U57358" s="135"/>
    </row>
    <row r="57359" spans="20:21" ht="15" customHeight="1" x14ac:dyDescent="0.25">
      <c r="T57359" s="135"/>
      <c r="U57359" s="135"/>
    </row>
    <row r="57360" spans="20:21" ht="15" customHeight="1" x14ac:dyDescent="0.25">
      <c r="T57360" s="135"/>
      <c r="U57360" s="135"/>
    </row>
    <row r="57361" spans="20:21" ht="15" customHeight="1" x14ac:dyDescent="0.25">
      <c r="T57361" s="135"/>
      <c r="U57361" s="135"/>
    </row>
    <row r="57362" spans="20:21" ht="15" customHeight="1" x14ac:dyDescent="0.25">
      <c r="T57362" s="135"/>
      <c r="U57362" s="135"/>
    </row>
    <row r="57363" spans="20:21" ht="15" customHeight="1" x14ac:dyDescent="0.25">
      <c r="T57363" s="135"/>
      <c r="U57363" s="135"/>
    </row>
    <row r="57364" spans="20:21" ht="15" customHeight="1" x14ac:dyDescent="0.25">
      <c r="T57364" s="135"/>
      <c r="U57364" s="135"/>
    </row>
    <row r="57365" spans="20:21" ht="15" customHeight="1" x14ac:dyDescent="0.25">
      <c r="T57365" s="135"/>
      <c r="U57365" s="135"/>
    </row>
    <row r="57366" spans="20:21" ht="15" customHeight="1" x14ac:dyDescent="0.25">
      <c r="T57366" s="135"/>
      <c r="U57366" s="135"/>
    </row>
    <row r="57367" spans="20:21" ht="15" customHeight="1" x14ac:dyDescent="0.25">
      <c r="T57367" s="135"/>
      <c r="U57367" s="135"/>
    </row>
    <row r="57368" spans="20:21" ht="15" customHeight="1" x14ac:dyDescent="0.25">
      <c r="T57368" s="135"/>
      <c r="U57368" s="135"/>
    </row>
    <row r="57369" spans="20:21" ht="15" customHeight="1" x14ac:dyDescent="0.25">
      <c r="T57369" s="135"/>
      <c r="U57369" s="135"/>
    </row>
    <row r="57370" spans="20:21" ht="15" customHeight="1" x14ac:dyDescent="0.25">
      <c r="T57370" s="135"/>
      <c r="U57370" s="135"/>
    </row>
    <row r="57371" spans="20:21" ht="15" customHeight="1" x14ac:dyDescent="0.25">
      <c r="T57371" s="135"/>
      <c r="U57371" s="135"/>
    </row>
    <row r="57372" spans="20:21" ht="15" customHeight="1" x14ac:dyDescent="0.25">
      <c r="T57372" s="135"/>
      <c r="U57372" s="135"/>
    </row>
    <row r="57373" spans="20:21" ht="15" customHeight="1" x14ac:dyDescent="0.25">
      <c r="T57373" s="135"/>
      <c r="U57373" s="135"/>
    </row>
    <row r="57374" spans="20:21" ht="15" customHeight="1" x14ac:dyDescent="0.25">
      <c r="T57374" s="135"/>
      <c r="U57374" s="135"/>
    </row>
    <row r="57375" spans="20:21" ht="15" customHeight="1" x14ac:dyDescent="0.25">
      <c r="T57375" s="135"/>
      <c r="U57375" s="135"/>
    </row>
    <row r="57376" spans="20:21" ht="15" customHeight="1" x14ac:dyDescent="0.25">
      <c r="T57376" s="135"/>
      <c r="U57376" s="135"/>
    </row>
    <row r="57377" spans="20:21" ht="15" customHeight="1" x14ac:dyDescent="0.25">
      <c r="T57377" s="135"/>
      <c r="U57377" s="135"/>
    </row>
    <row r="57378" spans="20:21" ht="15" customHeight="1" x14ac:dyDescent="0.25">
      <c r="T57378" s="135"/>
      <c r="U57378" s="135"/>
    </row>
    <row r="57379" spans="20:21" ht="15" customHeight="1" x14ac:dyDescent="0.25">
      <c r="T57379" s="135"/>
      <c r="U57379" s="135"/>
    </row>
    <row r="57380" spans="20:21" ht="15" customHeight="1" x14ac:dyDescent="0.25">
      <c r="T57380" s="135"/>
      <c r="U57380" s="135"/>
    </row>
    <row r="57381" spans="20:21" ht="15" customHeight="1" x14ac:dyDescent="0.25">
      <c r="T57381" s="135"/>
      <c r="U57381" s="135"/>
    </row>
    <row r="57382" spans="20:21" ht="15" customHeight="1" x14ac:dyDescent="0.25">
      <c r="T57382" s="135"/>
      <c r="U57382" s="135"/>
    </row>
    <row r="57383" spans="20:21" ht="15" customHeight="1" x14ac:dyDescent="0.25">
      <c r="T57383" s="135"/>
      <c r="U57383" s="135"/>
    </row>
    <row r="57384" spans="20:21" ht="15" customHeight="1" x14ac:dyDescent="0.25">
      <c r="T57384" s="135"/>
      <c r="U57384" s="135"/>
    </row>
    <row r="57385" spans="20:21" ht="15" customHeight="1" x14ac:dyDescent="0.25">
      <c r="T57385" s="135"/>
      <c r="U57385" s="135"/>
    </row>
    <row r="57386" spans="20:21" ht="15" customHeight="1" x14ac:dyDescent="0.25">
      <c r="T57386" s="135"/>
      <c r="U57386" s="135"/>
    </row>
    <row r="57387" spans="20:21" ht="15" customHeight="1" x14ac:dyDescent="0.25">
      <c r="T57387" s="135"/>
      <c r="U57387" s="135"/>
    </row>
    <row r="57388" spans="20:21" ht="15" customHeight="1" x14ac:dyDescent="0.25">
      <c r="T57388" s="135"/>
      <c r="U57388" s="135"/>
    </row>
    <row r="57389" spans="20:21" ht="15" customHeight="1" x14ac:dyDescent="0.25">
      <c r="T57389" s="135"/>
      <c r="U57389" s="135"/>
    </row>
    <row r="57390" spans="20:21" ht="15" customHeight="1" x14ac:dyDescent="0.25">
      <c r="T57390" s="135"/>
      <c r="U57390" s="135"/>
    </row>
    <row r="57391" spans="20:21" ht="15" customHeight="1" x14ac:dyDescent="0.25">
      <c r="T57391" s="135"/>
      <c r="U57391" s="135"/>
    </row>
    <row r="57392" spans="20:21" ht="15" customHeight="1" x14ac:dyDescent="0.25">
      <c r="T57392" s="135"/>
      <c r="U57392" s="135"/>
    </row>
    <row r="57393" spans="20:21" ht="15" customHeight="1" x14ac:dyDescent="0.25">
      <c r="T57393" s="135"/>
      <c r="U57393" s="135"/>
    </row>
    <row r="57394" spans="20:21" ht="15" customHeight="1" x14ac:dyDescent="0.25">
      <c r="T57394" s="135"/>
      <c r="U57394" s="135"/>
    </row>
    <row r="57395" spans="20:21" ht="15" customHeight="1" x14ac:dyDescent="0.25">
      <c r="T57395" s="135"/>
      <c r="U57395" s="135"/>
    </row>
    <row r="57396" spans="20:21" ht="15" customHeight="1" x14ac:dyDescent="0.25">
      <c r="T57396" s="135"/>
      <c r="U57396" s="135"/>
    </row>
    <row r="57397" spans="20:21" ht="15" customHeight="1" x14ac:dyDescent="0.25">
      <c r="T57397" s="135"/>
      <c r="U57397" s="135"/>
    </row>
    <row r="57398" spans="20:21" ht="15" customHeight="1" x14ac:dyDescent="0.25">
      <c r="T57398" s="135"/>
      <c r="U57398" s="135"/>
    </row>
    <row r="57399" spans="20:21" ht="15" customHeight="1" x14ac:dyDescent="0.25">
      <c r="T57399" s="135"/>
      <c r="U57399" s="135"/>
    </row>
    <row r="57400" spans="20:21" ht="15" customHeight="1" x14ac:dyDescent="0.25">
      <c r="T57400" s="135"/>
      <c r="U57400" s="135"/>
    </row>
    <row r="57401" spans="20:21" ht="15" customHeight="1" x14ac:dyDescent="0.25">
      <c r="T57401" s="135"/>
      <c r="U57401" s="135"/>
    </row>
    <row r="57402" spans="20:21" ht="15" customHeight="1" x14ac:dyDescent="0.25">
      <c r="T57402" s="135"/>
      <c r="U57402" s="135"/>
    </row>
    <row r="57403" spans="20:21" ht="15" customHeight="1" x14ac:dyDescent="0.25">
      <c r="T57403" s="135"/>
      <c r="U57403" s="135"/>
    </row>
    <row r="57404" spans="20:21" ht="15" customHeight="1" x14ac:dyDescent="0.25">
      <c r="T57404" s="135"/>
      <c r="U57404" s="135"/>
    </row>
    <row r="57405" spans="20:21" ht="15" customHeight="1" x14ac:dyDescent="0.25">
      <c r="T57405" s="135"/>
      <c r="U57405" s="135"/>
    </row>
    <row r="57406" spans="20:21" ht="15" customHeight="1" x14ac:dyDescent="0.25">
      <c r="T57406" s="135"/>
      <c r="U57406" s="135"/>
    </row>
    <row r="57407" spans="20:21" ht="15" customHeight="1" x14ac:dyDescent="0.25">
      <c r="T57407" s="135"/>
      <c r="U57407" s="135"/>
    </row>
    <row r="57408" spans="20:21" ht="15" customHeight="1" x14ac:dyDescent="0.25">
      <c r="T57408" s="135"/>
      <c r="U57408" s="135"/>
    </row>
    <row r="57409" spans="20:21" ht="15" customHeight="1" x14ac:dyDescent="0.25">
      <c r="T57409" s="135"/>
      <c r="U57409" s="135"/>
    </row>
    <row r="57410" spans="20:21" ht="15" customHeight="1" x14ac:dyDescent="0.25">
      <c r="T57410" s="135"/>
      <c r="U57410" s="135"/>
    </row>
    <row r="57411" spans="20:21" ht="15" customHeight="1" x14ac:dyDescent="0.25">
      <c r="T57411" s="135"/>
      <c r="U57411" s="135"/>
    </row>
    <row r="57412" spans="20:21" ht="15" customHeight="1" x14ac:dyDescent="0.25">
      <c r="T57412" s="135"/>
      <c r="U57412" s="135"/>
    </row>
    <row r="57413" spans="20:21" ht="15" customHeight="1" x14ac:dyDescent="0.25">
      <c r="T57413" s="135"/>
      <c r="U57413" s="135"/>
    </row>
    <row r="57414" spans="20:21" ht="15" customHeight="1" x14ac:dyDescent="0.25">
      <c r="T57414" s="135"/>
      <c r="U57414" s="135"/>
    </row>
    <row r="57415" spans="20:21" ht="15" customHeight="1" x14ac:dyDescent="0.25">
      <c r="T57415" s="135"/>
      <c r="U57415" s="135"/>
    </row>
    <row r="57416" spans="20:21" ht="15" customHeight="1" x14ac:dyDescent="0.25">
      <c r="T57416" s="135"/>
      <c r="U57416" s="135"/>
    </row>
    <row r="57417" spans="20:21" ht="15" customHeight="1" x14ac:dyDescent="0.25">
      <c r="T57417" s="135"/>
      <c r="U57417" s="135"/>
    </row>
    <row r="57418" spans="20:21" ht="15" customHeight="1" x14ac:dyDescent="0.25">
      <c r="T57418" s="135"/>
      <c r="U57418" s="135"/>
    </row>
    <row r="57419" spans="20:21" ht="15" customHeight="1" x14ac:dyDescent="0.25">
      <c r="T57419" s="135"/>
      <c r="U57419" s="135"/>
    </row>
    <row r="57420" spans="20:21" ht="15" customHeight="1" x14ac:dyDescent="0.25">
      <c r="T57420" s="135"/>
      <c r="U57420" s="135"/>
    </row>
    <row r="57421" spans="20:21" ht="15" customHeight="1" x14ac:dyDescent="0.25">
      <c r="T57421" s="135"/>
      <c r="U57421" s="135"/>
    </row>
    <row r="57422" spans="20:21" ht="15" customHeight="1" x14ac:dyDescent="0.25">
      <c r="T57422" s="135"/>
      <c r="U57422" s="135"/>
    </row>
    <row r="57423" spans="20:21" ht="15" customHeight="1" x14ac:dyDescent="0.25">
      <c r="T57423" s="135"/>
      <c r="U57423" s="135"/>
    </row>
    <row r="57424" spans="20:21" ht="15" customHeight="1" x14ac:dyDescent="0.25">
      <c r="T57424" s="135"/>
      <c r="U57424" s="135"/>
    </row>
    <row r="57425" spans="20:21" ht="15" customHeight="1" x14ac:dyDescent="0.25">
      <c r="T57425" s="135"/>
      <c r="U57425" s="135"/>
    </row>
    <row r="57426" spans="20:21" ht="15" customHeight="1" x14ac:dyDescent="0.25">
      <c r="T57426" s="135"/>
      <c r="U57426" s="135"/>
    </row>
    <row r="57427" spans="20:21" ht="15" customHeight="1" x14ac:dyDescent="0.25">
      <c r="T57427" s="135"/>
      <c r="U57427" s="135"/>
    </row>
    <row r="57428" spans="20:21" ht="15" customHeight="1" x14ac:dyDescent="0.25">
      <c r="T57428" s="135"/>
      <c r="U57428" s="135"/>
    </row>
    <row r="57429" spans="20:21" ht="15" customHeight="1" x14ac:dyDescent="0.25">
      <c r="T57429" s="135"/>
      <c r="U57429" s="135"/>
    </row>
    <row r="57430" spans="20:21" ht="15" customHeight="1" x14ac:dyDescent="0.25">
      <c r="T57430" s="135"/>
      <c r="U57430" s="135"/>
    </row>
    <row r="57431" spans="20:21" ht="15" customHeight="1" x14ac:dyDescent="0.25">
      <c r="T57431" s="135"/>
      <c r="U57431" s="135"/>
    </row>
    <row r="57432" spans="20:21" ht="15" customHeight="1" x14ac:dyDescent="0.25">
      <c r="T57432" s="135"/>
      <c r="U57432" s="135"/>
    </row>
    <row r="57433" spans="20:21" ht="15" customHeight="1" x14ac:dyDescent="0.25">
      <c r="T57433" s="135"/>
      <c r="U57433" s="135"/>
    </row>
    <row r="57434" spans="20:21" ht="15" customHeight="1" x14ac:dyDescent="0.25">
      <c r="T57434" s="135"/>
      <c r="U57434" s="135"/>
    </row>
    <row r="57435" spans="20:21" ht="15" customHeight="1" x14ac:dyDescent="0.25">
      <c r="T57435" s="135"/>
      <c r="U57435" s="135"/>
    </row>
    <row r="57436" spans="20:21" ht="15" customHeight="1" x14ac:dyDescent="0.25">
      <c r="T57436" s="135"/>
      <c r="U57436" s="135"/>
    </row>
    <row r="57437" spans="20:21" ht="15" customHeight="1" x14ac:dyDescent="0.25">
      <c r="T57437" s="135"/>
      <c r="U57437" s="135"/>
    </row>
    <row r="57438" spans="20:21" ht="15" customHeight="1" x14ac:dyDescent="0.25">
      <c r="T57438" s="135"/>
      <c r="U57438" s="135"/>
    </row>
    <row r="57439" spans="20:21" ht="15" customHeight="1" x14ac:dyDescent="0.25">
      <c r="T57439" s="135"/>
      <c r="U57439" s="135"/>
    </row>
    <row r="57440" spans="20:21" ht="15" customHeight="1" x14ac:dyDescent="0.25">
      <c r="T57440" s="135"/>
      <c r="U57440" s="135"/>
    </row>
    <row r="57441" spans="20:21" ht="15" customHeight="1" x14ac:dyDescent="0.25">
      <c r="T57441" s="135"/>
      <c r="U57441" s="135"/>
    </row>
    <row r="57442" spans="20:21" ht="15" customHeight="1" x14ac:dyDescent="0.25">
      <c r="T57442" s="135"/>
      <c r="U57442" s="135"/>
    </row>
    <row r="57443" spans="20:21" ht="15" customHeight="1" x14ac:dyDescent="0.25">
      <c r="T57443" s="135"/>
      <c r="U57443" s="135"/>
    </row>
    <row r="57444" spans="20:21" ht="15" customHeight="1" x14ac:dyDescent="0.25">
      <c r="T57444" s="135"/>
      <c r="U57444" s="135"/>
    </row>
    <row r="57445" spans="20:21" ht="15" customHeight="1" x14ac:dyDescent="0.25">
      <c r="T57445" s="135"/>
      <c r="U57445" s="135"/>
    </row>
    <row r="57446" spans="20:21" ht="15" customHeight="1" x14ac:dyDescent="0.25">
      <c r="T57446" s="135"/>
      <c r="U57446" s="135"/>
    </row>
    <row r="57447" spans="20:21" ht="15" customHeight="1" x14ac:dyDescent="0.25">
      <c r="T57447" s="135"/>
      <c r="U57447" s="135"/>
    </row>
    <row r="57448" spans="20:21" ht="15" customHeight="1" x14ac:dyDescent="0.25">
      <c r="T57448" s="135"/>
      <c r="U57448" s="135"/>
    </row>
    <row r="57449" spans="20:21" ht="15" customHeight="1" x14ac:dyDescent="0.25">
      <c r="T57449" s="135"/>
      <c r="U57449" s="135"/>
    </row>
    <row r="57450" spans="20:21" ht="15" customHeight="1" x14ac:dyDescent="0.25">
      <c r="T57450" s="135"/>
      <c r="U57450" s="135"/>
    </row>
    <row r="57451" spans="20:21" ht="15" customHeight="1" x14ac:dyDescent="0.25">
      <c r="T57451" s="135"/>
      <c r="U57451" s="135"/>
    </row>
    <row r="57452" spans="20:21" ht="15" customHeight="1" x14ac:dyDescent="0.25">
      <c r="T57452" s="135"/>
      <c r="U57452" s="135"/>
    </row>
    <row r="57453" spans="20:21" ht="15" customHeight="1" x14ac:dyDescent="0.25">
      <c r="T57453" s="135"/>
      <c r="U57453" s="135"/>
    </row>
    <row r="57454" spans="20:21" ht="15" customHeight="1" x14ac:dyDescent="0.25">
      <c r="T57454" s="135"/>
      <c r="U57454" s="135"/>
    </row>
    <row r="57455" spans="20:21" ht="15" customHeight="1" x14ac:dyDescent="0.25">
      <c r="T57455" s="135"/>
      <c r="U57455" s="135"/>
    </row>
    <row r="57456" spans="20:21" ht="15" customHeight="1" x14ac:dyDescent="0.25">
      <c r="T57456" s="135"/>
      <c r="U57456" s="135"/>
    </row>
    <row r="57457" spans="20:21" ht="15" customHeight="1" x14ac:dyDescent="0.25">
      <c r="T57457" s="135"/>
      <c r="U57457" s="135"/>
    </row>
    <row r="57458" spans="20:21" ht="15" customHeight="1" x14ac:dyDescent="0.25">
      <c r="T57458" s="135"/>
      <c r="U57458" s="135"/>
    </row>
    <row r="57459" spans="20:21" ht="15" customHeight="1" x14ac:dyDescent="0.25">
      <c r="T57459" s="135"/>
      <c r="U57459" s="135"/>
    </row>
    <row r="57460" spans="20:21" ht="15" customHeight="1" x14ac:dyDescent="0.25">
      <c r="T57460" s="135"/>
      <c r="U57460" s="135"/>
    </row>
    <row r="57461" spans="20:21" ht="15" customHeight="1" x14ac:dyDescent="0.25">
      <c r="T57461" s="135"/>
      <c r="U57461" s="135"/>
    </row>
    <row r="57462" spans="20:21" ht="15" customHeight="1" x14ac:dyDescent="0.25">
      <c r="T57462" s="135"/>
      <c r="U57462" s="135"/>
    </row>
    <row r="57463" spans="20:21" ht="15" customHeight="1" x14ac:dyDescent="0.25">
      <c r="T57463" s="135"/>
      <c r="U57463" s="135"/>
    </row>
    <row r="57464" spans="20:21" ht="15" customHeight="1" x14ac:dyDescent="0.25">
      <c r="T57464" s="135"/>
      <c r="U57464" s="135"/>
    </row>
    <row r="57465" spans="20:21" ht="15" customHeight="1" x14ac:dyDescent="0.25">
      <c r="T57465" s="135"/>
      <c r="U57465" s="135"/>
    </row>
    <row r="57466" spans="20:21" ht="15" customHeight="1" x14ac:dyDescent="0.25">
      <c r="T57466" s="135"/>
      <c r="U57466" s="135"/>
    </row>
    <row r="57467" spans="20:21" ht="15" customHeight="1" x14ac:dyDescent="0.25">
      <c r="T57467" s="135"/>
      <c r="U57467" s="135"/>
    </row>
    <row r="57468" spans="20:21" ht="15" customHeight="1" x14ac:dyDescent="0.25">
      <c r="T57468" s="135"/>
      <c r="U57468" s="135"/>
    </row>
    <row r="57469" spans="20:21" ht="15" customHeight="1" x14ac:dyDescent="0.25">
      <c r="T57469" s="135"/>
      <c r="U57469" s="135"/>
    </row>
    <row r="57470" spans="20:21" ht="15" customHeight="1" x14ac:dyDescent="0.25">
      <c r="T57470" s="135"/>
      <c r="U57470" s="135"/>
    </row>
    <row r="57471" spans="20:21" ht="15" customHeight="1" x14ac:dyDescent="0.25">
      <c r="T57471" s="135"/>
      <c r="U57471" s="135"/>
    </row>
    <row r="57472" spans="20:21" ht="15" customHeight="1" x14ac:dyDescent="0.25">
      <c r="T57472" s="135"/>
      <c r="U57472" s="135"/>
    </row>
    <row r="57473" spans="20:21" ht="15" customHeight="1" x14ac:dyDescent="0.25">
      <c r="T57473" s="135"/>
      <c r="U57473" s="135"/>
    </row>
    <row r="57474" spans="20:21" ht="15" customHeight="1" x14ac:dyDescent="0.25">
      <c r="T57474" s="135"/>
      <c r="U57474" s="135"/>
    </row>
    <row r="57475" spans="20:21" ht="15" customHeight="1" x14ac:dyDescent="0.25">
      <c r="T57475" s="135"/>
      <c r="U57475" s="135"/>
    </row>
    <row r="57476" spans="20:21" ht="15" customHeight="1" x14ac:dyDescent="0.25">
      <c r="T57476" s="135"/>
      <c r="U57476" s="135"/>
    </row>
    <row r="57477" spans="20:21" ht="15" customHeight="1" x14ac:dyDescent="0.25">
      <c r="T57477" s="135"/>
      <c r="U57477" s="135"/>
    </row>
    <row r="57478" spans="20:21" ht="15" customHeight="1" x14ac:dyDescent="0.25">
      <c r="T57478" s="135"/>
      <c r="U57478" s="135"/>
    </row>
    <row r="57479" spans="20:21" ht="15" customHeight="1" x14ac:dyDescent="0.25">
      <c r="T57479" s="135"/>
      <c r="U57479" s="135"/>
    </row>
    <row r="57480" spans="20:21" ht="15" customHeight="1" x14ac:dyDescent="0.25">
      <c r="T57480" s="135"/>
      <c r="U57480" s="135"/>
    </row>
    <row r="57481" spans="20:21" ht="15" customHeight="1" x14ac:dyDescent="0.25">
      <c r="T57481" s="135"/>
      <c r="U57481" s="135"/>
    </row>
    <row r="57482" spans="20:21" ht="15" customHeight="1" x14ac:dyDescent="0.25">
      <c r="T57482" s="135"/>
      <c r="U57482" s="135"/>
    </row>
    <row r="57483" spans="20:21" ht="15" customHeight="1" x14ac:dyDescent="0.25">
      <c r="T57483" s="135"/>
      <c r="U57483" s="135"/>
    </row>
    <row r="57484" spans="20:21" ht="15" customHeight="1" x14ac:dyDescent="0.25">
      <c r="T57484" s="135"/>
      <c r="U57484" s="135"/>
    </row>
    <row r="57485" spans="20:21" ht="15" customHeight="1" x14ac:dyDescent="0.25">
      <c r="T57485" s="135"/>
      <c r="U57485" s="135"/>
    </row>
    <row r="57486" spans="20:21" ht="15" customHeight="1" x14ac:dyDescent="0.25">
      <c r="T57486" s="135"/>
      <c r="U57486" s="135"/>
    </row>
    <row r="57487" spans="20:21" ht="15" customHeight="1" x14ac:dyDescent="0.25">
      <c r="T57487" s="135"/>
      <c r="U57487" s="135"/>
    </row>
    <row r="57488" spans="20:21" ht="15" customHeight="1" x14ac:dyDescent="0.25">
      <c r="T57488" s="135"/>
      <c r="U57488" s="135"/>
    </row>
    <row r="57489" spans="20:21" ht="15" customHeight="1" x14ac:dyDescent="0.25">
      <c r="T57489" s="135"/>
      <c r="U57489" s="135"/>
    </row>
    <row r="57490" spans="20:21" ht="15" customHeight="1" x14ac:dyDescent="0.25">
      <c r="T57490" s="135"/>
      <c r="U57490" s="135"/>
    </row>
    <row r="57491" spans="20:21" ht="15" customHeight="1" x14ac:dyDescent="0.25">
      <c r="T57491" s="135"/>
      <c r="U57491" s="135"/>
    </row>
    <row r="57492" spans="20:21" ht="15" customHeight="1" x14ac:dyDescent="0.25">
      <c r="T57492" s="135"/>
      <c r="U57492" s="135"/>
    </row>
    <row r="57493" spans="20:21" ht="15" customHeight="1" x14ac:dyDescent="0.25">
      <c r="T57493" s="135"/>
      <c r="U57493" s="135"/>
    </row>
    <row r="57494" spans="20:21" ht="15" customHeight="1" x14ac:dyDescent="0.25">
      <c r="T57494" s="135"/>
      <c r="U57494" s="135"/>
    </row>
    <row r="57495" spans="20:21" ht="15" customHeight="1" x14ac:dyDescent="0.25">
      <c r="T57495" s="135"/>
      <c r="U57495" s="135"/>
    </row>
    <row r="57496" spans="20:21" ht="15" customHeight="1" x14ac:dyDescent="0.25">
      <c r="T57496" s="135"/>
      <c r="U57496" s="135"/>
    </row>
    <row r="57497" spans="20:21" ht="15" customHeight="1" x14ac:dyDescent="0.25">
      <c r="T57497" s="135"/>
      <c r="U57497" s="135"/>
    </row>
    <row r="57498" spans="20:21" ht="15" customHeight="1" x14ac:dyDescent="0.25">
      <c r="T57498" s="135"/>
      <c r="U57498" s="135"/>
    </row>
    <row r="57499" spans="20:21" ht="15" customHeight="1" x14ac:dyDescent="0.25">
      <c r="T57499" s="135"/>
      <c r="U57499" s="135"/>
    </row>
    <row r="57500" spans="20:21" ht="15" customHeight="1" x14ac:dyDescent="0.25">
      <c r="T57500" s="135"/>
      <c r="U57500" s="135"/>
    </row>
    <row r="57501" spans="20:21" ht="15" customHeight="1" x14ac:dyDescent="0.25">
      <c r="T57501" s="135"/>
      <c r="U57501" s="135"/>
    </row>
    <row r="57502" spans="20:21" ht="15" customHeight="1" x14ac:dyDescent="0.25">
      <c r="T57502" s="135"/>
      <c r="U57502" s="135"/>
    </row>
    <row r="57503" spans="20:21" ht="15" customHeight="1" x14ac:dyDescent="0.25">
      <c r="T57503" s="135"/>
      <c r="U57503" s="135"/>
    </row>
    <row r="57504" spans="20:21" ht="15" customHeight="1" x14ac:dyDescent="0.25">
      <c r="T57504" s="135"/>
      <c r="U57504" s="135"/>
    </row>
    <row r="57505" spans="20:21" ht="15" customHeight="1" x14ac:dyDescent="0.25">
      <c r="T57505" s="135"/>
      <c r="U57505" s="135"/>
    </row>
    <row r="57506" spans="20:21" ht="15" customHeight="1" x14ac:dyDescent="0.25">
      <c r="T57506" s="135"/>
      <c r="U57506" s="135"/>
    </row>
    <row r="57507" spans="20:21" ht="15" customHeight="1" x14ac:dyDescent="0.25">
      <c r="T57507" s="135"/>
      <c r="U57507" s="135"/>
    </row>
    <row r="57508" spans="20:21" ht="15" customHeight="1" x14ac:dyDescent="0.25">
      <c r="T57508" s="135"/>
      <c r="U57508" s="135"/>
    </row>
    <row r="57509" spans="20:21" ht="15" customHeight="1" x14ac:dyDescent="0.25">
      <c r="T57509" s="135"/>
      <c r="U57509" s="135"/>
    </row>
    <row r="57510" spans="20:21" ht="15" customHeight="1" x14ac:dyDescent="0.25">
      <c r="T57510" s="135"/>
      <c r="U57510" s="135"/>
    </row>
    <row r="57511" spans="20:21" ht="15" customHeight="1" x14ac:dyDescent="0.25">
      <c r="T57511" s="135"/>
      <c r="U57511" s="135"/>
    </row>
    <row r="57512" spans="20:21" ht="15" customHeight="1" x14ac:dyDescent="0.25">
      <c r="T57512" s="135"/>
      <c r="U57512" s="135"/>
    </row>
    <row r="57513" spans="20:21" ht="15" customHeight="1" x14ac:dyDescent="0.25">
      <c r="T57513" s="135"/>
      <c r="U57513" s="135"/>
    </row>
    <row r="57514" spans="20:21" ht="15" customHeight="1" x14ac:dyDescent="0.25">
      <c r="T57514" s="135"/>
      <c r="U57514" s="135"/>
    </row>
    <row r="57515" spans="20:21" ht="15" customHeight="1" x14ac:dyDescent="0.25">
      <c r="T57515" s="135"/>
      <c r="U57515" s="135"/>
    </row>
    <row r="57516" spans="20:21" ht="15" customHeight="1" x14ac:dyDescent="0.25">
      <c r="T57516" s="135"/>
      <c r="U57516" s="135"/>
    </row>
    <row r="57517" spans="20:21" ht="15" customHeight="1" x14ac:dyDescent="0.25">
      <c r="T57517" s="135"/>
      <c r="U57517" s="135"/>
    </row>
    <row r="57518" spans="20:21" ht="15" customHeight="1" x14ac:dyDescent="0.25">
      <c r="T57518" s="135"/>
      <c r="U57518" s="135"/>
    </row>
    <row r="57519" spans="20:21" ht="15" customHeight="1" x14ac:dyDescent="0.25">
      <c r="T57519" s="135"/>
      <c r="U57519" s="135"/>
    </row>
    <row r="57520" spans="20:21" ht="15" customHeight="1" x14ac:dyDescent="0.25">
      <c r="T57520" s="135"/>
      <c r="U57520" s="135"/>
    </row>
    <row r="57521" spans="20:21" ht="15" customHeight="1" x14ac:dyDescent="0.25">
      <c r="T57521" s="135"/>
      <c r="U57521" s="135"/>
    </row>
    <row r="57522" spans="20:21" ht="15" customHeight="1" x14ac:dyDescent="0.25">
      <c r="T57522" s="135"/>
      <c r="U57522" s="135"/>
    </row>
    <row r="57523" spans="20:21" ht="15" customHeight="1" x14ac:dyDescent="0.25">
      <c r="T57523" s="135"/>
      <c r="U57523" s="135"/>
    </row>
    <row r="57524" spans="20:21" ht="15" customHeight="1" x14ac:dyDescent="0.25">
      <c r="T57524" s="135"/>
      <c r="U57524" s="135"/>
    </row>
    <row r="57525" spans="20:21" ht="15" customHeight="1" x14ac:dyDescent="0.25">
      <c r="T57525" s="135"/>
      <c r="U57525" s="135"/>
    </row>
    <row r="57526" spans="20:21" ht="15" customHeight="1" x14ac:dyDescent="0.25">
      <c r="T57526" s="135"/>
      <c r="U57526" s="135"/>
    </row>
    <row r="57527" spans="20:21" ht="15" customHeight="1" x14ac:dyDescent="0.25">
      <c r="T57527" s="135"/>
      <c r="U57527" s="135"/>
    </row>
    <row r="57528" spans="20:21" ht="15" customHeight="1" x14ac:dyDescent="0.25">
      <c r="T57528" s="135"/>
      <c r="U57528" s="135"/>
    </row>
    <row r="57529" spans="20:21" ht="15" customHeight="1" x14ac:dyDescent="0.25">
      <c r="T57529" s="135"/>
      <c r="U57529" s="135"/>
    </row>
    <row r="57530" spans="20:21" ht="15" customHeight="1" x14ac:dyDescent="0.25">
      <c r="T57530" s="135"/>
      <c r="U57530" s="135"/>
    </row>
    <row r="57531" spans="20:21" ht="15" customHeight="1" x14ac:dyDescent="0.25">
      <c r="T57531" s="135"/>
      <c r="U57531" s="135"/>
    </row>
    <row r="57532" spans="20:21" ht="15" customHeight="1" x14ac:dyDescent="0.25">
      <c r="T57532" s="135"/>
      <c r="U57532" s="135"/>
    </row>
    <row r="57533" spans="20:21" ht="15" customHeight="1" x14ac:dyDescent="0.25">
      <c r="T57533" s="135"/>
      <c r="U57533" s="135"/>
    </row>
    <row r="57534" spans="20:21" ht="15" customHeight="1" x14ac:dyDescent="0.25">
      <c r="T57534" s="135"/>
      <c r="U57534" s="135"/>
    </row>
    <row r="57535" spans="20:21" ht="15" customHeight="1" x14ac:dyDescent="0.25">
      <c r="T57535" s="135"/>
      <c r="U57535" s="135"/>
    </row>
    <row r="57536" spans="20:21" ht="15" customHeight="1" x14ac:dyDescent="0.25">
      <c r="T57536" s="135"/>
      <c r="U57536" s="135"/>
    </row>
    <row r="57537" spans="20:21" ht="15" customHeight="1" x14ac:dyDescent="0.25">
      <c r="T57537" s="135"/>
      <c r="U57537" s="135"/>
    </row>
    <row r="57538" spans="20:21" ht="15" customHeight="1" x14ac:dyDescent="0.25">
      <c r="T57538" s="135"/>
      <c r="U57538" s="135"/>
    </row>
    <row r="57539" spans="20:21" ht="15" customHeight="1" x14ac:dyDescent="0.25">
      <c r="T57539" s="135"/>
      <c r="U57539" s="135"/>
    </row>
    <row r="57540" spans="20:21" ht="15" customHeight="1" x14ac:dyDescent="0.25">
      <c r="T57540" s="135"/>
      <c r="U57540" s="135"/>
    </row>
    <row r="57541" spans="20:21" ht="15" customHeight="1" x14ac:dyDescent="0.25">
      <c r="T57541" s="135"/>
      <c r="U57541" s="135"/>
    </row>
    <row r="57542" spans="20:21" ht="15" customHeight="1" x14ac:dyDescent="0.25">
      <c r="T57542" s="135"/>
      <c r="U57542" s="135"/>
    </row>
    <row r="57543" spans="20:21" ht="15" customHeight="1" x14ac:dyDescent="0.25">
      <c r="T57543" s="135"/>
      <c r="U57543" s="135"/>
    </row>
    <row r="57544" spans="20:21" ht="15" customHeight="1" x14ac:dyDescent="0.25">
      <c r="T57544" s="135"/>
      <c r="U57544" s="135"/>
    </row>
    <row r="57545" spans="20:21" ht="15" customHeight="1" x14ac:dyDescent="0.25">
      <c r="T57545" s="135"/>
      <c r="U57545" s="135"/>
    </row>
    <row r="57546" spans="20:21" ht="15" customHeight="1" x14ac:dyDescent="0.25">
      <c r="T57546" s="135"/>
      <c r="U57546" s="135"/>
    </row>
    <row r="57547" spans="20:21" ht="15" customHeight="1" x14ac:dyDescent="0.25">
      <c r="T57547" s="135"/>
      <c r="U57547" s="135"/>
    </row>
    <row r="57548" spans="20:21" ht="15" customHeight="1" x14ac:dyDescent="0.25">
      <c r="T57548" s="135"/>
      <c r="U57548" s="135"/>
    </row>
    <row r="57549" spans="20:21" ht="15" customHeight="1" x14ac:dyDescent="0.25">
      <c r="T57549" s="135"/>
      <c r="U57549" s="135"/>
    </row>
    <row r="57550" spans="20:21" ht="15" customHeight="1" x14ac:dyDescent="0.25">
      <c r="T57550" s="135"/>
      <c r="U57550" s="135"/>
    </row>
    <row r="57551" spans="20:21" ht="15" customHeight="1" x14ac:dyDescent="0.25">
      <c r="T57551" s="135"/>
      <c r="U57551" s="135"/>
    </row>
    <row r="57552" spans="20:21" ht="15" customHeight="1" x14ac:dyDescent="0.25">
      <c r="T57552" s="135"/>
      <c r="U57552" s="135"/>
    </row>
    <row r="57553" spans="20:21" ht="15" customHeight="1" x14ac:dyDescent="0.25">
      <c r="T57553" s="135"/>
      <c r="U57553" s="135"/>
    </row>
    <row r="57554" spans="20:21" ht="15" customHeight="1" x14ac:dyDescent="0.25">
      <c r="T57554" s="135"/>
      <c r="U57554" s="135"/>
    </row>
    <row r="57555" spans="20:21" ht="15" customHeight="1" x14ac:dyDescent="0.25">
      <c r="T57555" s="135"/>
      <c r="U57555" s="135"/>
    </row>
    <row r="57556" spans="20:21" ht="15" customHeight="1" x14ac:dyDescent="0.25">
      <c r="T57556" s="135"/>
      <c r="U57556" s="135"/>
    </row>
    <row r="57557" spans="20:21" ht="15" customHeight="1" x14ac:dyDescent="0.25">
      <c r="T57557" s="135"/>
      <c r="U57557" s="135"/>
    </row>
    <row r="57558" spans="20:21" ht="15" customHeight="1" x14ac:dyDescent="0.25">
      <c r="T57558" s="135"/>
      <c r="U57558" s="135"/>
    </row>
    <row r="57559" spans="20:21" ht="15" customHeight="1" x14ac:dyDescent="0.25">
      <c r="T57559" s="135"/>
      <c r="U57559" s="135"/>
    </row>
    <row r="57560" spans="20:21" ht="15" customHeight="1" x14ac:dyDescent="0.25">
      <c r="T57560" s="135"/>
      <c r="U57560" s="135"/>
    </row>
    <row r="57561" spans="20:21" ht="15" customHeight="1" x14ac:dyDescent="0.25">
      <c r="T57561" s="135"/>
      <c r="U57561" s="135"/>
    </row>
    <row r="57562" spans="20:21" ht="15" customHeight="1" x14ac:dyDescent="0.25">
      <c r="T57562" s="135"/>
      <c r="U57562" s="135"/>
    </row>
    <row r="57563" spans="20:21" ht="15" customHeight="1" x14ac:dyDescent="0.25">
      <c r="T57563" s="135"/>
      <c r="U57563" s="135"/>
    </row>
    <row r="57564" spans="20:21" ht="15" customHeight="1" x14ac:dyDescent="0.25">
      <c r="T57564" s="135"/>
      <c r="U57564" s="135"/>
    </row>
    <row r="57565" spans="20:21" ht="15" customHeight="1" x14ac:dyDescent="0.25">
      <c r="T57565" s="135"/>
      <c r="U57565" s="135"/>
    </row>
    <row r="57566" spans="20:21" ht="15" customHeight="1" x14ac:dyDescent="0.25">
      <c r="T57566" s="135"/>
      <c r="U57566" s="135"/>
    </row>
    <row r="57567" spans="20:21" ht="15" customHeight="1" x14ac:dyDescent="0.25">
      <c r="T57567" s="135"/>
      <c r="U57567" s="135"/>
    </row>
    <row r="57568" spans="20:21" ht="15" customHeight="1" x14ac:dyDescent="0.25">
      <c r="T57568" s="135"/>
      <c r="U57568" s="135"/>
    </row>
    <row r="57569" spans="20:21" ht="15" customHeight="1" x14ac:dyDescent="0.25">
      <c r="T57569" s="135"/>
      <c r="U57569" s="135"/>
    </row>
    <row r="57570" spans="20:21" ht="15" customHeight="1" x14ac:dyDescent="0.25">
      <c r="T57570" s="135"/>
      <c r="U57570" s="135"/>
    </row>
    <row r="57571" spans="20:21" ht="15" customHeight="1" x14ac:dyDescent="0.25">
      <c r="T57571" s="135"/>
      <c r="U57571" s="135"/>
    </row>
    <row r="57572" spans="20:21" ht="15" customHeight="1" x14ac:dyDescent="0.25">
      <c r="T57572" s="135"/>
      <c r="U57572" s="135"/>
    </row>
    <row r="57573" spans="20:21" ht="15" customHeight="1" x14ac:dyDescent="0.25">
      <c r="T57573" s="135"/>
      <c r="U57573" s="135"/>
    </row>
    <row r="57574" spans="20:21" ht="15" customHeight="1" x14ac:dyDescent="0.25">
      <c r="T57574" s="135"/>
      <c r="U57574" s="135"/>
    </row>
    <row r="57575" spans="20:21" ht="15" customHeight="1" x14ac:dyDescent="0.25">
      <c r="T57575" s="135"/>
      <c r="U57575" s="135"/>
    </row>
    <row r="57576" spans="20:21" ht="15" customHeight="1" x14ac:dyDescent="0.25">
      <c r="T57576" s="135"/>
      <c r="U57576" s="135"/>
    </row>
    <row r="57577" spans="20:21" ht="15" customHeight="1" x14ac:dyDescent="0.25">
      <c r="T57577" s="135"/>
      <c r="U57577" s="135"/>
    </row>
    <row r="57578" spans="20:21" ht="15" customHeight="1" x14ac:dyDescent="0.25">
      <c r="T57578" s="135"/>
      <c r="U57578" s="135"/>
    </row>
    <row r="57579" spans="20:21" ht="15" customHeight="1" x14ac:dyDescent="0.25">
      <c r="T57579" s="135"/>
      <c r="U57579" s="135"/>
    </row>
    <row r="57580" spans="20:21" ht="15" customHeight="1" x14ac:dyDescent="0.25">
      <c r="T57580" s="135"/>
      <c r="U57580" s="135"/>
    </row>
    <row r="57581" spans="20:21" ht="15" customHeight="1" x14ac:dyDescent="0.25">
      <c r="T57581" s="135"/>
      <c r="U57581" s="135"/>
    </row>
    <row r="57582" spans="20:21" ht="15" customHeight="1" x14ac:dyDescent="0.25">
      <c r="T57582" s="135"/>
      <c r="U57582" s="135"/>
    </row>
    <row r="57583" spans="20:21" ht="15" customHeight="1" x14ac:dyDescent="0.25">
      <c r="T57583" s="135"/>
      <c r="U57583" s="135"/>
    </row>
    <row r="57584" spans="20:21" ht="15" customHeight="1" x14ac:dyDescent="0.25">
      <c r="T57584" s="135"/>
      <c r="U57584" s="135"/>
    </row>
    <row r="57585" spans="20:21" ht="15" customHeight="1" x14ac:dyDescent="0.25">
      <c r="T57585" s="135"/>
      <c r="U57585" s="135"/>
    </row>
    <row r="57586" spans="20:21" ht="15" customHeight="1" x14ac:dyDescent="0.25">
      <c r="T57586" s="135"/>
      <c r="U57586" s="135"/>
    </row>
    <row r="57587" spans="20:21" ht="15" customHeight="1" x14ac:dyDescent="0.25">
      <c r="T57587" s="135"/>
      <c r="U57587" s="135"/>
    </row>
    <row r="57588" spans="20:21" ht="15" customHeight="1" x14ac:dyDescent="0.25">
      <c r="T57588" s="135"/>
      <c r="U57588" s="135"/>
    </row>
    <row r="57589" spans="20:21" ht="15" customHeight="1" x14ac:dyDescent="0.25">
      <c r="T57589" s="135"/>
      <c r="U57589" s="135"/>
    </row>
    <row r="57590" spans="20:21" ht="15" customHeight="1" x14ac:dyDescent="0.25">
      <c r="T57590" s="135"/>
      <c r="U57590" s="135"/>
    </row>
    <row r="57591" spans="20:21" ht="15" customHeight="1" x14ac:dyDescent="0.25">
      <c r="T57591" s="135"/>
      <c r="U57591" s="135"/>
    </row>
    <row r="57592" spans="20:21" ht="15" customHeight="1" x14ac:dyDescent="0.25">
      <c r="T57592" s="135"/>
      <c r="U57592" s="135"/>
    </row>
    <row r="57593" spans="20:21" ht="15" customHeight="1" x14ac:dyDescent="0.25">
      <c r="T57593" s="135"/>
      <c r="U57593" s="135"/>
    </row>
    <row r="57594" spans="20:21" ht="15" customHeight="1" x14ac:dyDescent="0.25">
      <c r="T57594" s="135"/>
      <c r="U57594" s="135"/>
    </row>
    <row r="57595" spans="20:21" ht="15" customHeight="1" x14ac:dyDescent="0.25">
      <c r="T57595" s="135"/>
      <c r="U57595" s="135"/>
    </row>
    <row r="57596" spans="20:21" ht="15" customHeight="1" x14ac:dyDescent="0.25">
      <c r="T57596" s="135"/>
      <c r="U57596" s="135"/>
    </row>
    <row r="57597" spans="20:21" ht="15" customHeight="1" x14ac:dyDescent="0.25">
      <c r="T57597" s="135"/>
      <c r="U57597" s="135"/>
    </row>
    <row r="57598" spans="20:21" ht="15" customHeight="1" x14ac:dyDescent="0.25">
      <c r="T57598" s="135"/>
      <c r="U57598" s="135"/>
    </row>
    <row r="57599" spans="20:21" ht="15" customHeight="1" x14ac:dyDescent="0.25">
      <c r="T57599" s="135"/>
      <c r="U57599" s="135"/>
    </row>
    <row r="57600" spans="20:21" ht="15" customHeight="1" x14ac:dyDescent="0.25">
      <c r="T57600" s="135"/>
      <c r="U57600" s="135"/>
    </row>
    <row r="57601" spans="20:21" ht="15" customHeight="1" x14ac:dyDescent="0.25">
      <c r="T57601" s="135"/>
      <c r="U57601" s="135"/>
    </row>
    <row r="57602" spans="20:21" ht="15" customHeight="1" x14ac:dyDescent="0.25">
      <c r="T57602" s="135"/>
      <c r="U57602" s="135"/>
    </row>
    <row r="57603" spans="20:21" ht="15" customHeight="1" x14ac:dyDescent="0.25">
      <c r="T57603" s="135"/>
      <c r="U57603" s="135"/>
    </row>
    <row r="57604" spans="20:21" ht="15" customHeight="1" x14ac:dyDescent="0.25">
      <c r="T57604" s="135"/>
      <c r="U57604" s="135"/>
    </row>
    <row r="57605" spans="20:21" ht="15" customHeight="1" x14ac:dyDescent="0.25">
      <c r="T57605" s="135"/>
      <c r="U57605" s="135"/>
    </row>
    <row r="57606" spans="20:21" ht="15" customHeight="1" x14ac:dyDescent="0.25">
      <c r="T57606" s="135"/>
      <c r="U57606" s="135"/>
    </row>
    <row r="57607" spans="20:21" ht="15" customHeight="1" x14ac:dyDescent="0.25">
      <c r="T57607" s="135"/>
      <c r="U57607" s="135"/>
    </row>
    <row r="57608" spans="20:21" ht="15" customHeight="1" x14ac:dyDescent="0.25">
      <c r="T57608" s="135"/>
      <c r="U57608" s="135"/>
    </row>
    <row r="57609" spans="20:21" ht="15" customHeight="1" x14ac:dyDescent="0.25">
      <c r="T57609" s="135"/>
      <c r="U57609" s="135"/>
    </row>
    <row r="57610" spans="20:21" ht="15" customHeight="1" x14ac:dyDescent="0.25">
      <c r="T57610" s="135"/>
      <c r="U57610" s="135"/>
    </row>
    <row r="57611" spans="20:21" ht="15" customHeight="1" x14ac:dyDescent="0.25">
      <c r="T57611" s="135"/>
      <c r="U57611" s="135"/>
    </row>
    <row r="57612" spans="20:21" ht="15" customHeight="1" x14ac:dyDescent="0.25">
      <c r="T57612" s="135"/>
      <c r="U57612" s="135"/>
    </row>
    <row r="57613" spans="20:21" ht="15" customHeight="1" x14ac:dyDescent="0.25">
      <c r="T57613" s="135"/>
      <c r="U57613" s="135"/>
    </row>
    <row r="57614" spans="20:21" ht="15" customHeight="1" x14ac:dyDescent="0.25">
      <c r="T57614" s="135"/>
      <c r="U57614" s="135"/>
    </row>
    <row r="57615" spans="20:21" ht="15" customHeight="1" x14ac:dyDescent="0.25">
      <c r="T57615" s="135"/>
      <c r="U57615" s="135"/>
    </row>
    <row r="57616" spans="20:21" ht="15" customHeight="1" x14ac:dyDescent="0.25">
      <c r="T57616" s="135"/>
      <c r="U57616" s="135"/>
    </row>
    <row r="57617" spans="20:21" ht="15" customHeight="1" x14ac:dyDescent="0.25">
      <c r="T57617" s="135"/>
      <c r="U57617" s="135"/>
    </row>
    <row r="57618" spans="20:21" ht="15" customHeight="1" x14ac:dyDescent="0.25">
      <c r="T57618" s="135"/>
      <c r="U57618" s="135"/>
    </row>
    <row r="57619" spans="20:21" ht="15" customHeight="1" x14ac:dyDescent="0.25">
      <c r="T57619" s="135"/>
      <c r="U57619" s="135"/>
    </row>
    <row r="57620" spans="20:21" ht="15" customHeight="1" x14ac:dyDescent="0.25">
      <c r="T57620" s="135"/>
      <c r="U57620" s="135"/>
    </row>
    <row r="57621" spans="20:21" ht="15" customHeight="1" x14ac:dyDescent="0.25">
      <c r="T57621" s="135"/>
      <c r="U57621" s="135"/>
    </row>
    <row r="57622" spans="20:21" ht="15" customHeight="1" x14ac:dyDescent="0.25">
      <c r="T57622" s="135"/>
      <c r="U57622" s="135"/>
    </row>
    <row r="57623" spans="20:21" ht="15" customHeight="1" x14ac:dyDescent="0.25">
      <c r="T57623" s="135"/>
      <c r="U57623" s="135"/>
    </row>
    <row r="57624" spans="20:21" ht="15" customHeight="1" x14ac:dyDescent="0.25">
      <c r="T57624" s="135"/>
      <c r="U57624" s="135"/>
    </row>
    <row r="57625" spans="20:21" ht="15" customHeight="1" x14ac:dyDescent="0.25">
      <c r="T57625" s="135"/>
      <c r="U57625" s="135"/>
    </row>
    <row r="57626" spans="20:21" ht="15" customHeight="1" x14ac:dyDescent="0.25">
      <c r="T57626" s="135"/>
      <c r="U57626" s="135"/>
    </row>
    <row r="57627" spans="20:21" ht="15" customHeight="1" x14ac:dyDescent="0.25">
      <c r="T57627" s="135"/>
      <c r="U57627" s="135"/>
    </row>
    <row r="57628" spans="20:21" ht="15" customHeight="1" x14ac:dyDescent="0.25">
      <c r="T57628" s="135"/>
      <c r="U57628" s="135"/>
    </row>
    <row r="57629" spans="20:21" ht="15" customHeight="1" x14ac:dyDescent="0.25">
      <c r="T57629" s="135"/>
      <c r="U57629" s="135"/>
    </row>
    <row r="57630" spans="20:21" ht="15" customHeight="1" x14ac:dyDescent="0.25">
      <c r="T57630" s="135"/>
      <c r="U57630" s="135"/>
    </row>
    <row r="57631" spans="20:21" ht="15" customHeight="1" x14ac:dyDescent="0.25">
      <c r="T57631" s="135"/>
      <c r="U57631" s="135"/>
    </row>
    <row r="57632" spans="20:21" ht="15" customHeight="1" x14ac:dyDescent="0.25">
      <c r="T57632" s="135"/>
      <c r="U57632" s="135"/>
    </row>
    <row r="57633" spans="20:21" ht="15" customHeight="1" x14ac:dyDescent="0.25">
      <c r="T57633" s="135"/>
      <c r="U57633" s="135"/>
    </row>
    <row r="57634" spans="20:21" ht="15" customHeight="1" x14ac:dyDescent="0.25">
      <c r="T57634" s="135"/>
      <c r="U57634" s="135"/>
    </row>
    <row r="57635" spans="20:21" ht="15" customHeight="1" x14ac:dyDescent="0.25">
      <c r="T57635" s="135"/>
      <c r="U57635" s="135"/>
    </row>
    <row r="57636" spans="20:21" ht="15" customHeight="1" x14ac:dyDescent="0.25">
      <c r="T57636" s="135"/>
      <c r="U57636" s="135"/>
    </row>
    <row r="57637" spans="20:21" ht="15" customHeight="1" x14ac:dyDescent="0.25">
      <c r="T57637" s="135"/>
      <c r="U57637" s="135"/>
    </row>
    <row r="57638" spans="20:21" ht="15" customHeight="1" x14ac:dyDescent="0.25">
      <c r="T57638" s="135"/>
      <c r="U57638" s="135"/>
    </row>
    <row r="57639" spans="20:21" ht="15" customHeight="1" x14ac:dyDescent="0.25">
      <c r="T57639" s="135"/>
      <c r="U57639" s="135"/>
    </row>
    <row r="57640" spans="20:21" ht="15" customHeight="1" x14ac:dyDescent="0.25">
      <c r="T57640" s="135"/>
      <c r="U57640" s="135"/>
    </row>
    <row r="57641" spans="20:21" ht="15" customHeight="1" x14ac:dyDescent="0.25">
      <c r="T57641" s="135"/>
      <c r="U57641" s="135"/>
    </row>
    <row r="57642" spans="20:21" ht="15" customHeight="1" x14ac:dyDescent="0.25">
      <c r="T57642" s="135"/>
      <c r="U57642" s="135"/>
    </row>
    <row r="57643" spans="20:21" ht="15" customHeight="1" x14ac:dyDescent="0.25">
      <c r="T57643" s="135"/>
      <c r="U57643" s="135"/>
    </row>
    <row r="57644" spans="20:21" ht="15" customHeight="1" x14ac:dyDescent="0.25">
      <c r="T57644" s="135"/>
      <c r="U57644" s="135"/>
    </row>
    <row r="57645" spans="20:21" ht="15" customHeight="1" x14ac:dyDescent="0.25">
      <c r="T57645" s="135"/>
      <c r="U57645" s="135"/>
    </row>
    <row r="57646" spans="20:21" ht="15" customHeight="1" x14ac:dyDescent="0.25">
      <c r="T57646" s="135"/>
      <c r="U57646" s="135"/>
    </row>
    <row r="57647" spans="20:21" ht="15" customHeight="1" x14ac:dyDescent="0.25">
      <c r="T57647" s="135"/>
      <c r="U57647" s="135"/>
    </row>
    <row r="57648" spans="20:21" ht="15" customHeight="1" x14ac:dyDescent="0.25">
      <c r="T57648" s="135"/>
      <c r="U57648" s="135"/>
    </row>
    <row r="57649" spans="20:21" ht="15" customHeight="1" x14ac:dyDescent="0.25">
      <c r="T57649" s="135"/>
      <c r="U57649" s="135"/>
    </row>
    <row r="57650" spans="20:21" ht="15" customHeight="1" x14ac:dyDescent="0.25">
      <c r="T57650" s="135"/>
      <c r="U57650" s="135"/>
    </row>
    <row r="57651" spans="20:21" ht="15" customHeight="1" x14ac:dyDescent="0.25">
      <c r="T57651" s="135"/>
      <c r="U57651" s="135"/>
    </row>
    <row r="57652" spans="20:21" ht="15" customHeight="1" x14ac:dyDescent="0.25">
      <c r="T57652" s="135"/>
      <c r="U57652" s="135"/>
    </row>
    <row r="57653" spans="20:21" ht="15" customHeight="1" x14ac:dyDescent="0.25">
      <c r="T57653" s="135"/>
      <c r="U57653" s="135"/>
    </row>
    <row r="57654" spans="20:21" ht="15" customHeight="1" x14ac:dyDescent="0.25">
      <c r="T57654" s="135"/>
      <c r="U57654" s="135"/>
    </row>
    <row r="57655" spans="20:21" ht="15" customHeight="1" x14ac:dyDescent="0.25">
      <c r="T57655" s="135"/>
      <c r="U57655" s="135"/>
    </row>
    <row r="57656" spans="20:21" ht="15" customHeight="1" x14ac:dyDescent="0.25">
      <c r="T57656" s="135"/>
      <c r="U57656" s="135"/>
    </row>
    <row r="57657" spans="20:21" ht="15" customHeight="1" x14ac:dyDescent="0.25">
      <c r="T57657" s="135"/>
      <c r="U57657" s="135"/>
    </row>
    <row r="57658" spans="20:21" ht="15" customHeight="1" x14ac:dyDescent="0.25">
      <c r="T57658" s="135"/>
      <c r="U57658" s="135"/>
    </row>
    <row r="57659" spans="20:21" ht="15" customHeight="1" x14ac:dyDescent="0.25">
      <c r="T57659" s="135"/>
      <c r="U57659" s="135"/>
    </row>
    <row r="57660" spans="20:21" ht="15" customHeight="1" x14ac:dyDescent="0.25">
      <c r="T57660" s="135"/>
      <c r="U57660" s="135"/>
    </row>
    <row r="57661" spans="20:21" ht="15" customHeight="1" x14ac:dyDescent="0.25">
      <c r="T57661" s="135"/>
      <c r="U57661" s="135"/>
    </row>
    <row r="57662" spans="20:21" ht="15" customHeight="1" x14ac:dyDescent="0.25">
      <c r="T57662" s="135"/>
      <c r="U57662" s="135"/>
    </row>
    <row r="57663" spans="20:21" ht="15" customHeight="1" x14ac:dyDescent="0.25">
      <c r="T57663" s="135"/>
      <c r="U57663" s="135"/>
    </row>
    <row r="57664" spans="20:21" ht="15" customHeight="1" x14ac:dyDescent="0.25">
      <c r="T57664" s="135"/>
      <c r="U57664" s="135"/>
    </row>
    <row r="57665" spans="20:21" ht="15" customHeight="1" x14ac:dyDescent="0.25">
      <c r="T57665" s="135"/>
      <c r="U57665" s="135"/>
    </row>
    <row r="57666" spans="20:21" ht="15" customHeight="1" x14ac:dyDescent="0.25">
      <c r="T57666" s="135"/>
      <c r="U57666" s="135"/>
    </row>
    <row r="57667" spans="20:21" ht="15" customHeight="1" x14ac:dyDescent="0.25">
      <c r="T57667" s="135"/>
      <c r="U57667" s="135"/>
    </row>
    <row r="57668" spans="20:21" ht="15" customHeight="1" x14ac:dyDescent="0.25">
      <c r="T57668" s="135"/>
      <c r="U57668" s="135"/>
    </row>
    <row r="57669" spans="20:21" ht="15" customHeight="1" x14ac:dyDescent="0.25">
      <c r="T57669" s="135"/>
      <c r="U57669" s="135"/>
    </row>
    <row r="57670" spans="20:21" ht="15" customHeight="1" x14ac:dyDescent="0.25">
      <c r="T57670" s="135"/>
      <c r="U57670" s="135"/>
    </row>
    <row r="57671" spans="20:21" ht="15" customHeight="1" x14ac:dyDescent="0.25">
      <c r="T57671" s="135"/>
      <c r="U57671" s="135"/>
    </row>
    <row r="57672" spans="20:21" ht="15" customHeight="1" x14ac:dyDescent="0.25">
      <c r="T57672" s="135"/>
      <c r="U57672" s="135"/>
    </row>
    <row r="57673" spans="20:21" ht="15" customHeight="1" x14ac:dyDescent="0.25">
      <c r="T57673" s="135"/>
      <c r="U57673" s="135"/>
    </row>
    <row r="57674" spans="20:21" ht="15" customHeight="1" x14ac:dyDescent="0.25">
      <c r="T57674" s="135"/>
      <c r="U57674" s="135"/>
    </row>
    <row r="57675" spans="20:21" ht="15" customHeight="1" x14ac:dyDescent="0.25">
      <c r="T57675" s="135"/>
      <c r="U57675" s="135"/>
    </row>
    <row r="57676" spans="20:21" ht="15" customHeight="1" x14ac:dyDescent="0.25">
      <c r="T57676" s="135"/>
      <c r="U57676" s="135"/>
    </row>
    <row r="57677" spans="20:21" ht="15" customHeight="1" x14ac:dyDescent="0.25">
      <c r="T57677" s="135"/>
      <c r="U57677" s="135"/>
    </row>
    <row r="57678" spans="20:21" ht="15" customHeight="1" x14ac:dyDescent="0.25">
      <c r="T57678" s="135"/>
      <c r="U57678" s="135"/>
    </row>
    <row r="57679" spans="20:21" ht="15" customHeight="1" x14ac:dyDescent="0.25">
      <c r="T57679" s="135"/>
      <c r="U57679" s="135"/>
    </row>
    <row r="57680" spans="20:21" ht="15" customHeight="1" x14ac:dyDescent="0.25">
      <c r="T57680" s="135"/>
      <c r="U57680" s="135"/>
    </row>
    <row r="57681" spans="20:21" ht="15" customHeight="1" x14ac:dyDescent="0.25">
      <c r="T57681" s="135"/>
      <c r="U57681" s="135"/>
    </row>
    <row r="57682" spans="20:21" ht="15" customHeight="1" x14ac:dyDescent="0.25">
      <c r="T57682" s="135"/>
      <c r="U57682" s="135"/>
    </row>
    <row r="57683" spans="20:21" ht="15" customHeight="1" x14ac:dyDescent="0.25">
      <c r="T57683" s="135"/>
      <c r="U57683" s="135"/>
    </row>
    <row r="57684" spans="20:21" ht="15" customHeight="1" x14ac:dyDescent="0.25">
      <c r="T57684" s="135"/>
      <c r="U57684" s="135"/>
    </row>
    <row r="57685" spans="20:21" ht="15" customHeight="1" x14ac:dyDescent="0.25">
      <c r="T57685" s="135"/>
      <c r="U57685" s="135"/>
    </row>
    <row r="57686" spans="20:21" ht="15" customHeight="1" x14ac:dyDescent="0.25">
      <c r="T57686" s="135"/>
      <c r="U57686" s="135"/>
    </row>
    <row r="57687" spans="20:21" ht="15" customHeight="1" x14ac:dyDescent="0.25">
      <c r="T57687" s="135"/>
      <c r="U57687" s="135"/>
    </row>
    <row r="57688" spans="20:21" ht="15" customHeight="1" x14ac:dyDescent="0.25">
      <c r="T57688" s="135"/>
      <c r="U57688" s="135"/>
    </row>
    <row r="57689" spans="20:21" ht="15" customHeight="1" x14ac:dyDescent="0.25">
      <c r="T57689" s="135"/>
      <c r="U57689" s="135"/>
    </row>
    <row r="57690" spans="20:21" ht="15" customHeight="1" x14ac:dyDescent="0.25">
      <c r="T57690" s="135"/>
      <c r="U57690" s="135"/>
    </row>
    <row r="57691" spans="20:21" ht="15" customHeight="1" x14ac:dyDescent="0.25">
      <c r="T57691" s="135"/>
      <c r="U57691" s="135"/>
    </row>
    <row r="57692" spans="20:21" ht="15" customHeight="1" x14ac:dyDescent="0.25">
      <c r="T57692" s="135"/>
      <c r="U57692" s="135"/>
    </row>
    <row r="57693" spans="20:21" ht="15" customHeight="1" x14ac:dyDescent="0.25">
      <c r="T57693" s="135"/>
      <c r="U57693" s="135"/>
    </row>
    <row r="57694" spans="20:21" ht="15" customHeight="1" x14ac:dyDescent="0.25">
      <c r="T57694" s="135"/>
      <c r="U57694" s="135"/>
    </row>
    <row r="57695" spans="20:21" ht="15" customHeight="1" x14ac:dyDescent="0.25">
      <c r="T57695" s="135"/>
      <c r="U57695" s="135"/>
    </row>
    <row r="57696" spans="20:21" ht="15" customHeight="1" x14ac:dyDescent="0.25">
      <c r="T57696" s="135"/>
      <c r="U57696" s="135"/>
    </row>
    <row r="57697" spans="20:21" ht="15" customHeight="1" x14ac:dyDescent="0.25">
      <c r="T57697" s="135"/>
      <c r="U57697" s="135"/>
    </row>
    <row r="57698" spans="20:21" ht="15" customHeight="1" x14ac:dyDescent="0.25">
      <c r="T57698" s="135"/>
      <c r="U57698" s="135"/>
    </row>
    <row r="57699" spans="20:21" ht="15" customHeight="1" x14ac:dyDescent="0.25">
      <c r="T57699" s="135"/>
      <c r="U57699" s="135"/>
    </row>
    <row r="57700" spans="20:21" ht="15" customHeight="1" x14ac:dyDescent="0.25">
      <c r="T57700" s="135"/>
      <c r="U57700" s="135"/>
    </row>
    <row r="57701" spans="20:21" ht="15" customHeight="1" x14ac:dyDescent="0.25">
      <c r="T57701" s="135"/>
      <c r="U57701" s="135"/>
    </row>
    <row r="57702" spans="20:21" ht="15" customHeight="1" x14ac:dyDescent="0.25">
      <c r="T57702" s="135"/>
      <c r="U57702" s="135"/>
    </row>
    <row r="57703" spans="20:21" ht="15" customHeight="1" x14ac:dyDescent="0.25">
      <c r="T57703" s="135"/>
      <c r="U57703" s="135"/>
    </row>
    <row r="57704" spans="20:21" ht="15" customHeight="1" x14ac:dyDescent="0.25">
      <c r="T57704" s="135"/>
      <c r="U57704" s="135"/>
    </row>
    <row r="57705" spans="20:21" ht="15" customHeight="1" x14ac:dyDescent="0.25">
      <c r="T57705" s="135"/>
      <c r="U57705" s="135"/>
    </row>
    <row r="57706" spans="20:21" ht="15" customHeight="1" x14ac:dyDescent="0.25">
      <c r="T57706" s="135"/>
      <c r="U57706" s="135"/>
    </row>
    <row r="57707" spans="20:21" ht="15" customHeight="1" x14ac:dyDescent="0.25">
      <c r="T57707" s="135"/>
      <c r="U57707" s="135"/>
    </row>
    <row r="57708" spans="20:21" ht="15" customHeight="1" x14ac:dyDescent="0.25">
      <c r="T57708" s="135"/>
      <c r="U57708" s="135"/>
    </row>
    <row r="57709" spans="20:21" ht="15" customHeight="1" x14ac:dyDescent="0.25">
      <c r="T57709" s="135"/>
      <c r="U57709" s="135"/>
    </row>
    <row r="57710" spans="20:21" ht="15" customHeight="1" x14ac:dyDescent="0.25">
      <c r="T57710" s="135"/>
      <c r="U57710" s="135"/>
    </row>
    <row r="57711" spans="20:21" ht="15" customHeight="1" x14ac:dyDescent="0.25">
      <c r="T57711" s="135"/>
      <c r="U57711" s="135"/>
    </row>
    <row r="57712" spans="20:21" ht="15" customHeight="1" x14ac:dyDescent="0.25">
      <c r="T57712" s="135"/>
      <c r="U57712" s="135"/>
    </row>
    <row r="57713" spans="20:21" ht="15" customHeight="1" x14ac:dyDescent="0.25">
      <c r="T57713" s="135"/>
      <c r="U57713" s="135"/>
    </row>
    <row r="57714" spans="20:21" ht="15" customHeight="1" x14ac:dyDescent="0.25">
      <c r="T57714" s="135"/>
      <c r="U57714" s="135"/>
    </row>
    <row r="57715" spans="20:21" ht="15" customHeight="1" x14ac:dyDescent="0.25">
      <c r="T57715" s="135"/>
      <c r="U57715" s="135"/>
    </row>
    <row r="57716" spans="20:21" ht="15" customHeight="1" x14ac:dyDescent="0.25">
      <c r="T57716" s="135"/>
      <c r="U57716" s="135"/>
    </row>
    <row r="57717" spans="20:21" ht="15" customHeight="1" x14ac:dyDescent="0.25">
      <c r="T57717" s="135"/>
      <c r="U57717" s="135"/>
    </row>
    <row r="57718" spans="20:21" ht="15" customHeight="1" x14ac:dyDescent="0.25">
      <c r="T57718" s="135"/>
      <c r="U57718" s="135"/>
    </row>
    <row r="57719" spans="20:21" ht="15" customHeight="1" x14ac:dyDescent="0.25">
      <c r="T57719" s="135"/>
      <c r="U57719" s="135"/>
    </row>
    <row r="57720" spans="20:21" ht="15" customHeight="1" x14ac:dyDescent="0.25">
      <c r="T57720" s="135"/>
      <c r="U57720" s="135"/>
    </row>
    <row r="57721" spans="20:21" ht="15" customHeight="1" x14ac:dyDescent="0.25">
      <c r="T57721" s="135"/>
      <c r="U57721" s="135"/>
    </row>
    <row r="57722" spans="20:21" ht="15" customHeight="1" x14ac:dyDescent="0.25">
      <c r="T57722" s="135"/>
      <c r="U57722" s="135"/>
    </row>
    <row r="57723" spans="20:21" ht="15" customHeight="1" x14ac:dyDescent="0.25">
      <c r="T57723" s="135"/>
      <c r="U57723" s="135"/>
    </row>
    <row r="57724" spans="20:21" ht="15" customHeight="1" x14ac:dyDescent="0.25">
      <c r="T57724" s="135"/>
      <c r="U57724" s="135"/>
    </row>
    <row r="57725" spans="20:21" ht="15" customHeight="1" x14ac:dyDescent="0.25">
      <c r="T57725" s="135"/>
      <c r="U57725" s="135"/>
    </row>
    <row r="57726" spans="20:21" ht="15" customHeight="1" x14ac:dyDescent="0.25">
      <c r="T57726" s="135"/>
      <c r="U57726" s="135"/>
    </row>
    <row r="57727" spans="20:21" ht="15" customHeight="1" x14ac:dyDescent="0.25">
      <c r="T57727" s="135"/>
      <c r="U57727" s="135"/>
    </row>
    <row r="57728" spans="20:21" ht="15" customHeight="1" x14ac:dyDescent="0.25">
      <c r="T57728" s="135"/>
      <c r="U57728" s="135"/>
    </row>
    <row r="57729" spans="20:21" ht="15" customHeight="1" x14ac:dyDescent="0.25">
      <c r="T57729" s="135"/>
      <c r="U57729" s="135"/>
    </row>
    <row r="57730" spans="20:21" ht="15" customHeight="1" x14ac:dyDescent="0.25">
      <c r="T57730" s="135"/>
      <c r="U57730" s="135"/>
    </row>
    <row r="57731" spans="20:21" ht="15" customHeight="1" x14ac:dyDescent="0.25">
      <c r="T57731" s="135"/>
      <c r="U57731" s="135"/>
    </row>
    <row r="57732" spans="20:21" ht="15" customHeight="1" x14ac:dyDescent="0.25">
      <c r="T57732" s="135"/>
      <c r="U57732" s="135"/>
    </row>
    <row r="57733" spans="20:21" ht="15" customHeight="1" x14ac:dyDescent="0.25">
      <c r="T57733" s="135"/>
      <c r="U57733" s="135"/>
    </row>
    <row r="57734" spans="20:21" ht="15" customHeight="1" x14ac:dyDescent="0.25">
      <c r="T57734" s="135"/>
      <c r="U57734" s="135"/>
    </row>
    <row r="57735" spans="20:21" ht="15" customHeight="1" x14ac:dyDescent="0.25">
      <c r="T57735" s="135"/>
      <c r="U57735" s="135"/>
    </row>
    <row r="57736" spans="20:21" ht="15" customHeight="1" x14ac:dyDescent="0.25">
      <c r="T57736" s="135"/>
      <c r="U57736" s="135"/>
    </row>
    <row r="57737" spans="20:21" ht="15" customHeight="1" x14ac:dyDescent="0.25">
      <c r="T57737" s="135"/>
      <c r="U57737" s="135"/>
    </row>
    <row r="57738" spans="20:21" ht="15" customHeight="1" x14ac:dyDescent="0.25">
      <c r="T57738" s="135"/>
      <c r="U57738" s="135"/>
    </row>
    <row r="57739" spans="20:21" ht="15" customHeight="1" x14ac:dyDescent="0.25">
      <c r="T57739" s="135"/>
      <c r="U57739" s="135"/>
    </row>
    <row r="57740" spans="20:21" ht="15" customHeight="1" x14ac:dyDescent="0.25">
      <c r="T57740" s="135"/>
      <c r="U57740" s="135"/>
    </row>
    <row r="57741" spans="20:21" ht="15" customHeight="1" x14ac:dyDescent="0.25">
      <c r="T57741" s="135"/>
      <c r="U57741" s="135"/>
    </row>
    <row r="57742" spans="20:21" ht="15" customHeight="1" x14ac:dyDescent="0.25">
      <c r="T57742" s="135"/>
      <c r="U57742" s="135"/>
    </row>
    <row r="57743" spans="20:21" ht="15" customHeight="1" x14ac:dyDescent="0.25">
      <c r="T57743" s="135"/>
      <c r="U57743" s="135"/>
    </row>
    <row r="57744" spans="20:21" ht="15" customHeight="1" x14ac:dyDescent="0.25">
      <c r="T57744" s="135"/>
      <c r="U57744" s="135"/>
    </row>
    <row r="57745" spans="20:21" ht="15" customHeight="1" x14ac:dyDescent="0.25">
      <c r="T57745" s="135"/>
      <c r="U57745" s="135"/>
    </row>
    <row r="57746" spans="20:21" ht="15" customHeight="1" x14ac:dyDescent="0.25">
      <c r="T57746" s="135"/>
      <c r="U57746" s="135"/>
    </row>
    <row r="57747" spans="20:21" ht="15" customHeight="1" x14ac:dyDescent="0.25">
      <c r="T57747" s="135"/>
      <c r="U57747" s="135"/>
    </row>
    <row r="57748" spans="20:21" ht="15" customHeight="1" x14ac:dyDescent="0.25">
      <c r="T57748" s="135"/>
      <c r="U57748" s="135"/>
    </row>
    <row r="57749" spans="20:21" ht="15" customHeight="1" x14ac:dyDescent="0.25">
      <c r="T57749" s="135"/>
      <c r="U57749" s="135"/>
    </row>
    <row r="57750" spans="20:21" ht="15" customHeight="1" x14ac:dyDescent="0.25">
      <c r="T57750" s="135"/>
      <c r="U57750" s="135"/>
    </row>
    <row r="57751" spans="20:21" ht="15" customHeight="1" x14ac:dyDescent="0.25">
      <c r="T57751" s="135"/>
      <c r="U57751" s="135"/>
    </row>
    <row r="57752" spans="20:21" ht="15" customHeight="1" x14ac:dyDescent="0.25">
      <c r="T57752" s="135"/>
      <c r="U57752" s="135"/>
    </row>
    <row r="57753" spans="20:21" ht="15" customHeight="1" x14ac:dyDescent="0.25">
      <c r="T57753" s="135"/>
      <c r="U57753" s="135"/>
    </row>
    <row r="57754" spans="20:21" ht="15" customHeight="1" x14ac:dyDescent="0.25">
      <c r="T57754" s="135"/>
      <c r="U57754" s="135"/>
    </row>
    <row r="57755" spans="20:21" ht="15" customHeight="1" x14ac:dyDescent="0.25">
      <c r="T57755" s="135"/>
      <c r="U57755" s="135"/>
    </row>
    <row r="57756" spans="20:21" ht="15" customHeight="1" x14ac:dyDescent="0.25">
      <c r="T57756" s="135"/>
      <c r="U57756" s="135"/>
    </row>
    <row r="57757" spans="20:21" ht="15" customHeight="1" x14ac:dyDescent="0.25">
      <c r="T57757" s="135"/>
      <c r="U57757" s="135"/>
    </row>
    <row r="57758" spans="20:21" ht="15" customHeight="1" x14ac:dyDescent="0.25">
      <c r="T57758" s="135"/>
      <c r="U57758" s="135"/>
    </row>
    <row r="57759" spans="20:21" ht="15" customHeight="1" x14ac:dyDescent="0.25">
      <c r="T57759" s="135"/>
      <c r="U57759" s="135"/>
    </row>
    <row r="57760" spans="20:21" ht="15" customHeight="1" x14ac:dyDescent="0.25">
      <c r="T57760" s="135"/>
      <c r="U57760" s="135"/>
    </row>
    <row r="57761" spans="20:21" ht="15" customHeight="1" x14ac:dyDescent="0.25">
      <c r="T57761" s="135"/>
      <c r="U57761" s="135"/>
    </row>
    <row r="57762" spans="20:21" ht="15" customHeight="1" x14ac:dyDescent="0.25">
      <c r="T57762" s="135"/>
      <c r="U57762" s="135"/>
    </row>
    <row r="57763" spans="20:21" ht="15" customHeight="1" x14ac:dyDescent="0.25">
      <c r="T57763" s="135"/>
      <c r="U57763" s="135"/>
    </row>
    <row r="57764" spans="20:21" ht="15" customHeight="1" x14ac:dyDescent="0.25">
      <c r="T57764" s="135"/>
      <c r="U57764" s="135"/>
    </row>
    <row r="57765" spans="20:21" ht="15" customHeight="1" x14ac:dyDescent="0.25">
      <c r="T57765" s="135"/>
      <c r="U57765" s="135"/>
    </row>
    <row r="57766" spans="20:21" ht="15" customHeight="1" x14ac:dyDescent="0.25">
      <c r="T57766" s="135"/>
      <c r="U57766" s="135"/>
    </row>
    <row r="57767" spans="20:21" ht="15" customHeight="1" x14ac:dyDescent="0.25">
      <c r="T57767" s="135"/>
      <c r="U57767" s="135"/>
    </row>
    <row r="57768" spans="20:21" ht="15" customHeight="1" x14ac:dyDescent="0.25">
      <c r="T57768" s="135"/>
      <c r="U57768" s="135"/>
    </row>
    <row r="57769" spans="20:21" ht="15" customHeight="1" x14ac:dyDescent="0.25">
      <c r="T57769" s="135"/>
      <c r="U57769" s="135"/>
    </row>
    <row r="57770" spans="20:21" ht="15" customHeight="1" x14ac:dyDescent="0.25">
      <c r="T57770" s="135"/>
      <c r="U57770" s="135"/>
    </row>
    <row r="57771" spans="20:21" ht="15" customHeight="1" x14ac:dyDescent="0.25">
      <c r="T57771" s="135"/>
      <c r="U57771" s="135"/>
    </row>
    <row r="57772" spans="20:21" ht="15" customHeight="1" x14ac:dyDescent="0.25">
      <c r="T57772" s="135"/>
      <c r="U57772" s="135"/>
    </row>
    <row r="57773" spans="20:21" ht="15" customHeight="1" x14ac:dyDescent="0.25">
      <c r="T57773" s="135"/>
      <c r="U57773" s="135"/>
    </row>
    <row r="57774" spans="20:21" ht="15" customHeight="1" x14ac:dyDescent="0.25">
      <c r="T57774" s="135"/>
      <c r="U57774" s="135"/>
    </row>
    <row r="57775" spans="20:21" ht="15" customHeight="1" x14ac:dyDescent="0.25">
      <c r="T57775" s="135"/>
      <c r="U57775" s="135"/>
    </row>
    <row r="57776" spans="20:21" ht="15" customHeight="1" x14ac:dyDescent="0.25">
      <c r="T57776" s="135"/>
      <c r="U57776" s="135"/>
    </row>
    <row r="57777" spans="20:21" ht="15" customHeight="1" x14ac:dyDescent="0.25">
      <c r="T57777" s="135"/>
      <c r="U57777" s="135"/>
    </row>
    <row r="57778" spans="20:21" ht="15" customHeight="1" x14ac:dyDescent="0.25">
      <c r="T57778" s="135"/>
      <c r="U57778" s="135"/>
    </row>
    <row r="57779" spans="20:21" ht="15" customHeight="1" x14ac:dyDescent="0.25">
      <c r="T57779" s="135"/>
      <c r="U57779" s="135"/>
    </row>
    <row r="57780" spans="20:21" ht="15" customHeight="1" x14ac:dyDescent="0.25">
      <c r="T57780" s="135"/>
      <c r="U57780" s="135"/>
    </row>
    <row r="57781" spans="20:21" ht="15" customHeight="1" x14ac:dyDescent="0.25">
      <c r="T57781" s="135"/>
      <c r="U57781" s="135"/>
    </row>
    <row r="57782" spans="20:21" ht="15" customHeight="1" x14ac:dyDescent="0.25">
      <c r="T57782" s="135"/>
      <c r="U57782" s="135"/>
    </row>
    <row r="57783" spans="20:21" ht="15" customHeight="1" x14ac:dyDescent="0.25">
      <c r="T57783" s="135"/>
      <c r="U57783" s="135"/>
    </row>
    <row r="57784" spans="20:21" ht="15" customHeight="1" x14ac:dyDescent="0.25">
      <c r="T57784" s="135"/>
      <c r="U57784" s="135"/>
    </row>
    <row r="57785" spans="20:21" ht="15" customHeight="1" x14ac:dyDescent="0.25">
      <c r="T57785" s="135"/>
      <c r="U57785" s="135"/>
    </row>
    <row r="57786" spans="20:21" ht="15" customHeight="1" x14ac:dyDescent="0.25">
      <c r="T57786" s="135"/>
      <c r="U57786" s="135"/>
    </row>
    <row r="57787" spans="20:21" ht="15" customHeight="1" x14ac:dyDescent="0.25">
      <c r="T57787" s="135"/>
      <c r="U57787" s="135"/>
    </row>
    <row r="57788" spans="20:21" ht="15" customHeight="1" x14ac:dyDescent="0.25">
      <c r="T57788" s="135"/>
      <c r="U57788" s="135"/>
    </row>
    <row r="57789" spans="20:21" ht="15" customHeight="1" x14ac:dyDescent="0.25">
      <c r="T57789" s="135"/>
      <c r="U57789" s="135"/>
    </row>
    <row r="57790" spans="20:21" ht="15" customHeight="1" x14ac:dyDescent="0.25">
      <c r="T57790" s="135"/>
      <c r="U57790" s="135"/>
    </row>
    <row r="57791" spans="20:21" ht="15" customHeight="1" x14ac:dyDescent="0.25">
      <c r="T57791" s="135"/>
      <c r="U57791" s="135"/>
    </row>
    <row r="57792" spans="20:21" ht="15" customHeight="1" x14ac:dyDescent="0.25">
      <c r="T57792" s="135"/>
      <c r="U57792" s="135"/>
    </row>
    <row r="57793" spans="20:21" ht="15" customHeight="1" x14ac:dyDescent="0.25">
      <c r="T57793" s="135"/>
      <c r="U57793" s="135"/>
    </row>
    <row r="57794" spans="20:21" ht="15" customHeight="1" x14ac:dyDescent="0.25">
      <c r="T57794" s="135"/>
      <c r="U57794" s="135"/>
    </row>
    <row r="57795" spans="20:21" ht="15" customHeight="1" x14ac:dyDescent="0.25">
      <c r="T57795" s="135"/>
      <c r="U57795" s="135"/>
    </row>
    <row r="57796" spans="20:21" ht="15" customHeight="1" x14ac:dyDescent="0.25">
      <c r="T57796" s="135"/>
      <c r="U57796" s="135"/>
    </row>
    <row r="57797" spans="20:21" ht="15" customHeight="1" x14ac:dyDescent="0.25">
      <c r="T57797" s="135"/>
      <c r="U57797" s="135"/>
    </row>
    <row r="57798" spans="20:21" ht="15" customHeight="1" x14ac:dyDescent="0.25">
      <c r="T57798" s="135"/>
      <c r="U57798" s="135"/>
    </row>
    <row r="57799" spans="20:21" ht="15" customHeight="1" x14ac:dyDescent="0.25">
      <c r="T57799" s="135"/>
      <c r="U57799" s="135"/>
    </row>
    <row r="57800" spans="20:21" ht="15" customHeight="1" x14ac:dyDescent="0.25">
      <c r="T57800" s="135"/>
      <c r="U57800" s="135"/>
    </row>
    <row r="57801" spans="20:21" ht="15" customHeight="1" x14ac:dyDescent="0.25">
      <c r="T57801" s="135"/>
      <c r="U57801" s="135"/>
    </row>
    <row r="57802" spans="20:21" ht="15" customHeight="1" x14ac:dyDescent="0.25">
      <c r="T57802" s="135"/>
      <c r="U57802" s="135"/>
    </row>
    <row r="57803" spans="20:21" ht="15" customHeight="1" x14ac:dyDescent="0.25">
      <c r="T57803" s="135"/>
      <c r="U57803" s="135"/>
    </row>
    <row r="57804" spans="20:21" ht="15" customHeight="1" x14ac:dyDescent="0.25">
      <c r="T57804" s="135"/>
      <c r="U57804" s="135"/>
    </row>
    <row r="57805" spans="20:21" ht="15" customHeight="1" x14ac:dyDescent="0.25">
      <c r="T57805" s="135"/>
      <c r="U57805" s="135"/>
    </row>
    <row r="57806" spans="20:21" ht="15" customHeight="1" x14ac:dyDescent="0.25">
      <c r="T57806" s="135"/>
      <c r="U57806" s="135"/>
    </row>
    <row r="57807" spans="20:21" ht="15" customHeight="1" x14ac:dyDescent="0.25">
      <c r="T57807" s="135"/>
      <c r="U57807" s="135"/>
    </row>
    <row r="57808" spans="20:21" ht="15" customHeight="1" x14ac:dyDescent="0.25">
      <c r="T57808" s="135"/>
      <c r="U57808" s="135"/>
    </row>
    <row r="57809" spans="20:21" ht="15" customHeight="1" x14ac:dyDescent="0.25">
      <c r="T57809" s="135"/>
      <c r="U57809" s="135"/>
    </row>
    <row r="57810" spans="20:21" ht="15" customHeight="1" x14ac:dyDescent="0.25">
      <c r="T57810" s="135"/>
      <c r="U57810" s="135"/>
    </row>
    <row r="57811" spans="20:21" ht="15" customHeight="1" x14ac:dyDescent="0.25">
      <c r="T57811" s="135"/>
      <c r="U57811" s="135"/>
    </row>
    <row r="57812" spans="20:21" ht="15" customHeight="1" x14ac:dyDescent="0.25">
      <c r="T57812" s="135"/>
      <c r="U57812" s="135"/>
    </row>
    <row r="57813" spans="20:21" ht="15" customHeight="1" x14ac:dyDescent="0.25">
      <c r="T57813" s="135"/>
      <c r="U57813" s="135"/>
    </row>
    <row r="57814" spans="20:21" ht="15" customHeight="1" x14ac:dyDescent="0.25">
      <c r="T57814" s="135"/>
      <c r="U57814" s="135"/>
    </row>
    <row r="57815" spans="20:21" ht="15" customHeight="1" x14ac:dyDescent="0.25">
      <c r="T57815" s="135"/>
      <c r="U57815" s="135"/>
    </row>
    <row r="57816" spans="20:21" ht="15" customHeight="1" x14ac:dyDescent="0.25">
      <c r="T57816" s="135"/>
      <c r="U57816" s="135"/>
    </row>
    <row r="57817" spans="20:21" ht="15" customHeight="1" x14ac:dyDescent="0.25">
      <c r="T57817" s="135"/>
      <c r="U57817" s="135"/>
    </row>
    <row r="57818" spans="20:21" ht="15" customHeight="1" x14ac:dyDescent="0.25">
      <c r="T57818" s="135"/>
      <c r="U57818" s="135"/>
    </row>
    <row r="57819" spans="20:21" ht="15" customHeight="1" x14ac:dyDescent="0.25">
      <c r="T57819" s="135"/>
      <c r="U57819" s="135"/>
    </row>
    <row r="57820" spans="20:21" ht="15" customHeight="1" x14ac:dyDescent="0.25">
      <c r="T57820" s="135"/>
      <c r="U57820" s="135"/>
    </row>
    <row r="57821" spans="20:21" ht="15" customHeight="1" x14ac:dyDescent="0.25">
      <c r="T57821" s="135"/>
      <c r="U57821" s="135"/>
    </row>
    <row r="57822" spans="20:21" ht="15" customHeight="1" x14ac:dyDescent="0.25">
      <c r="T57822" s="135"/>
      <c r="U57822" s="135"/>
    </row>
    <row r="57823" spans="20:21" ht="15" customHeight="1" x14ac:dyDescent="0.25">
      <c r="T57823" s="135"/>
      <c r="U57823" s="135"/>
    </row>
    <row r="57824" spans="20:21" ht="15" customHeight="1" x14ac:dyDescent="0.25">
      <c r="T57824" s="135"/>
      <c r="U57824" s="135"/>
    </row>
    <row r="57825" spans="20:21" ht="15" customHeight="1" x14ac:dyDescent="0.25">
      <c r="T57825" s="135"/>
      <c r="U57825" s="135"/>
    </row>
    <row r="57826" spans="20:21" ht="15" customHeight="1" x14ac:dyDescent="0.25">
      <c r="T57826" s="135"/>
      <c r="U57826" s="135"/>
    </row>
    <row r="57827" spans="20:21" ht="15" customHeight="1" x14ac:dyDescent="0.25">
      <c r="T57827" s="135"/>
      <c r="U57827" s="135"/>
    </row>
    <row r="57828" spans="20:21" ht="15" customHeight="1" x14ac:dyDescent="0.25">
      <c r="T57828" s="135"/>
      <c r="U57828" s="135"/>
    </row>
    <row r="57829" spans="20:21" ht="15" customHeight="1" x14ac:dyDescent="0.25">
      <c r="T57829" s="135"/>
      <c r="U57829" s="135"/>
    </row>
    <row r="57830" spans="20:21" ht="15" customHeight="1" x14ac:dyDescent="0.25">
      <c r="T57830" s="135"/>
      <c r="U57830" s="135"/>
    </row>
    <row r="57831" spans="20:21" ht="15" customHeight="1" x14ac:dyDescent="0.25">
      <c r="T57831" s="135"/>
      <c r="U57831" s="135"/>
    </row>
    <row r="57832" spans="20:21" ht="15" customHeight="1" x14ac:dyDescent="0.25">
      <c r="T57832" s="135"/>
      <c r="U57832" s="135"/>
    </row>
    <row r="57833" spans="20:21" ht="15" customHeight="1" x14ac:dyDescent="0.25">
      <c r="T57833" s="135"/>
      <c r="U57833" s="135"/>
    </row>
    <row r="57834" spans="20:21" ht="15" customHeight="1" x14ac:dyDescent="0.25">
      <c r="T57834" s="135"/>
      <c r="U57834" s="135"/>
    </row>
    <row r="57835" spans="20:21" ht="15" customHeight="1" x14ac:dyDescent="0.25">
      <c r="T57835" s="135"/>
      <c r="U57835" s="135"/>
    </row>
    <row r="57836" spans="20:21" ht="15" customHeight="1" x14ac:dyDescent="0.25">
      <c r="T57836" s="135"/>
      <c r="U57836" s="135"/>
    </row>
    <row r="57837" spans="20:21" ht="15" customHeight="1" x14ac:dyDescent="0.25">
      <c r="T57837" s="135"/>
      <c r="U57837" s="135"/>
    </row>
    <row r="57838" spans="20:21" ht="15" customHeight="1" x14ac:dyDescent="0.25">
      <c r="T57838" s="135"/>
      <c r="U57838" s="135"/>
    </row>
    <row r="57839" spans="20:21" ht="15" customHeight="1" x14ac:dyDescent="0.25">
      <c r="T57839" s="135"/>
      <c r="U57839" s="135"/>
    </row>
    <row r="57840" spans="20:21" ht="15" customHeight="1" x14ac:dyDescent="0.25">
      <c r="T57840" s="135"/>
      <c r="U57840" s="135"/>
    </row>
    <row r="57841" spans="20:21" ht="15" customHeight="1" x14ac:dyDescent="0.25">
      <c r="T57841" s="135"/>
      <c r="U57841" s="135"/>
    </row>
    <row r="57842" spans="20:21" ht="15" customHeight="1" x14ac:dyDescent="0.25">
      <c r="T57842" s="135"/>
      <c r="U57842" s="135"/>
    </row>
    <row r="57843" spans="20:21" ht="15" customHeight="1" x14ac:dyDescent="0.25">
      <c r="T57843" s="135"/>
      <c r="U57843" s="135"/>
    </row>
    <row r="57844" spans="20:21" ht="15" customHeight="1" x14ac:dyDescent="0.25">
      <c r="T57844" s="135"/>
      <c r="U57844" s="135"/>
    </row>
    <row r="57845" spans="20:21" ht="15" customHeight="1" x14ac:dyDescent="0.25">
      <c r="T57845" s="135"/>
      <c r="U57845" s="135"/>
    </row>
    <row r="57846" spans="20:21" ht="15" customHeight="1" x14ac:dyDescent="0.25">
      <c r="T57846" s="135"/>
      <c r="U57846" s="135"/>
    </row>
    <row r="57847" spans="20:21" ht="15" customHeight="1" x14ac:dyDescent="0.25">
      <c r="T57847" s="135"/>
      <c r="U57847" s="135"/>
    </row>
    <row r="57848" spans="20:21" ht="15" customHeight="1" x14ac:dyDescent="0.25">
      <c r="T57848" s="135"/>
      <c r="U57848" s="135"/>
    </row>
    <row r="57849" spans="20:21" ht="15" customHeight="1" x14ac:dyDescent="0.25">
      <c r="T57849" s="135"/>
      <c r="U57849" s="135"/>
    </row>
    <row r="57850" spans="20:21" ht="15" customHeight="1" x14ac:dyDescent="0.25">
      <c r="T57850" s="135"/>
      <c r="U57850" s="135"/>
    </row>
    <row r="57851" spans="20:21" ht="15" customHeight="1" x14ac:dyDescent="0.25">
      <c r="T57851" s="135"/>
      <c r="U57851" s="135"/>
    </row>
    <row r="57852" spans="20:21" ht="15" customHeight="1" x14ac:dyDescent="0.25">
      <c r="T57852" s="135"/>
      <c r="U57852" s="135"/>
    </row>
    <row r="57853" spans="20:21" ht="15" customHeight="1" x14ac:dyDescent="0.25">
      <c r="T57853" s="135"/>
      <c r="U57853" s="135"/>
    </row>
    <row r="57854" spans="20:21" ht="15" customHeight="1" x14ac:dyDescent="0.25">
      <c r="T57854" s="135"/>
      <c r="U57854" s="135"/>
    </row>
    <row r="57855" spans="20:21" ht="15" customHeight="1" x14ac:dyDescent="0.25">
      <c r="T57855" s="135"/>
      <c r="U57855" s="135"/>
    </row>
    <row r="57856" spans="20:21" ht="15" customHeight="1" x14ac:dyDescent="0.25">
      <c r="T57856" s="135"/>
      <c r="U57856" s="135"/>
    </row>
    <row r="57857" spans="20:21" ht="15" customHeight="1" x14ac:dyDescent="0.25">
      <c r="T57857" s="135"/>
      <c r="U57857" s="135"/>
    </row>
    <row r="57858" spans="20:21" ht="15" customHeight="1" x14ac:dyDescent="0.25">
      <c r="T57858" s="135"/>
      <c r="U57858" s="135"/>
    </row>
    <row r="57859" spans="20:21" ht="15" customHeight="1" x14ac:dyDescent="0.25">
      <c r="T57859" s="135"/>
      <c r="U57859" s="135"/>
    </row>
    <row r="57860" spans="20:21" ht="15" customHeight="1" x14ac:dyDescent="0.25">
      <c r="T57860" s="135"/>
      <c r="U57860" s="135"/>
    </row>
    <row r="57861" spans="20:21" ht="15" customHeight="1" x14ac:dyDescent="0.25">
      <c r="T57861" s="135"/>
      <c r="U57861" s="135"/>
    </row>
    <row r="57862" spans="20:21" ht="15" customHeight="1" x14ac:dyDescent="0.25">
      <c r="T57862" s="135"/>
      <c r="U57862" s="135"/>
    </row>
    <row r="57863" spans="20:21" ht="15" customHeight="1" x14ac:dyDescent="0.25">
      <c r="T57863" s="135"/>
      <c r="U57863" s="135"/>
    </row>
    <row r="57864" spans="20:21" ht="15" customHeight="1" x14ac:dyDescent="0.25">
      <c r="T57864" s="135"/>
      <c r="U57864" s="135"/>
    </row>
    <row r="57865" spans="20:21" ht="15" customHeight="1" x14ac:dyDescent="0.25">
      <c r="T57865" s="135"/>
      <c r="U57865" s="135"/>
    </row>
    <row r="57866" spans="20:21" ht="15" customHeight="1" x14ac:dyDescent="0.25">
      <c r="T57866" s="135"/>
      <c r="U57866" s="135"/>
    </row>
    <row r="57867" spans="20:21" ht="15" customHeight="1" x14ac:dyDescent="0.25">
      <c r="T57867" s="135"/>
      <c r="U57867" s="135"/>
    </row>
    <row r="57868" spans="20:21" ht="15" customHeight="1" x14ac:dyDescent="0.25">
      <c r="T57868" s="135"/>
      <c r="U57868" s="135"/>
    </row>
    <row r="57869" spans="20:21" ht="15" customHeight="1" x14ac:dyDescent="0.25">
      <c r="T57869" s="135"/>
      <c r="U57869" s="135"/>
    </row>
    <row r="57870" spans="20:21" ht="15" customHeight="1" x14ac:dyDescent="0.25">
      <c r="T57870" s="135"/>
      <c r="U57870" s="135"/>
    </row>
    <row r="57871" spans="20:21" ht="15" customHeight="1" x14ac:dyDescent="0.25">
      <c r="T57871" s="135"/>
      <c r="U57871" s="135"/>
    </row>
    <row r="57872" spans="20:21" ht="15" customHeight="1" x14ac:dyDescent="0.25">
      <c r="T57872" s="135"/>
      <c r="U57872" s="135"/>
    </row>
    <row r="57873" spans="20:21" ht="15" customHeight="1" x14ac:dyDescent="0.25">
      <c r="T57873" s="135"/>
      <c r="U57873" s="135"/>
    </row>
    <row r="57874" spans="20:21" ht="15" customHeight="1" x14ac:dyDescent="0.25">
      <c r="T57874" s="135"/>
      <c r="U57874" s="135"/>
    </row>
    <row r="57875" spans="20:21" ht="15" customHeight="1" x14ac:dyDescent="0.25">
      <c r="T57875" s="135"/>
      <c r="U57875" s="135"/>
    </row>
    <row r="57876" spans="20:21" ht="15" customHeight="1" x14ac:dyDescent="0.25">
      <c r="T57876" s="135"/>
      <c r="U57876" s="135"/>
    </row>
    <row r="57877" spans="20:21" ht="15" customHeight="1" x14ac:dyDescent="0.25">
      <c r="T57877" s="135"/>
      <c r="U57877" s="135"/>
    </row>
    <row r="57878" spans="20:21" ht="15" customHeight="1" x14ac:dyDescent="0.25">
      <c r="T57878" s="135"/>
      <c r="U57878" s="135"/>
    </row>
    <row r="57879" spans="20:21" ht="15" customHeight="1" x14ac:dyDescent="0.25">
      <c r="T57879" s="135"/>
      <c r="U57879" s="135"/>
    </row>
    <row r="57880" spans="20:21" ht="15" customHeight="1" x14ac:dyDescent="0.25">
      <c r="T57880" s="135"/>
      <c r="U57880" s="135"/>
    </row>
    <row r="57881" spans="20:21" ht="15" customHeight="1" x14ac:dyDescent="0.25">
      <c r="T57881" s="135"/>
      <c r="U57881" s="135"/>
    </row>
    <row r="57882" spans="20:21" ht="15" customHeight="1" x14ac:dyDescent="0.25">
      <c r="T57882" s="135"/>
      <c r="U57882" s="135"/>
    </row>
    <row r="57883" spans="20:21" ht="15" customHeight="1" x14ac:dyDescent="0.25">
      <c r="T57883" s="135"/>
      <c r="U57883" s="135"/>
    </row>
    <row r="57884" spans="20:21" ht="15" customHeight="1" x14ac:dyDescent="0.25">
      <c r="T57884" s="135"/>
      <c r="U57884" s="135"/>
    </row>
    <row r="57885" spans="20:21" ht="15" customHeight="1" x14ac:dyDescent="0.25">
      <c r="T57885" s="135"/>
      <c r="U57885" s="135"/>
    </row>
    <row r="57886" spans="20:21" ht="15" customHeight="1" x14ac:dyDescent="0.25">
      <c r="T57886" s="135"/>
      <c r="U57886" s="135"/>
    </row>
    <row r="57887" spans="20:21" ht="15" customHeight="1" x14ac:dyDescent="0.25">
      <c r="T57887" s="135"/>
      <c r="U57887" s="135"/>
    </row>
    <row r="57888" spans="20:21" ht="15" customHeight="1" x14ac:dyDescent="0.25">
      <c r="T57888" s="135"/>
      <c r="U57888" s="135"/>
    </row>
    <row r="57889" spans="20:21" ht="15" customHeight="1" x14ac:dyDescent="0.25">
      <c r="T57889" s="135"/>
      <c r="U57889" s="135"/>
    </row>
    <row r="57890" spans="20:21" ht="15" customHeight="1" x14ac:dyDescent="0.25">
      <c r="T57890" s="135"/>
      <c r="U57890" s="135"/>
    </row>
    <row r="57891" spans="20:21" ht="15" customHeight="1" x14ac:dyDescent="0.25">
      <c r="T57891" s="135"/>
      <c r="U57891" s="135"/>
    </row>
    <row r="57892" spans="20:21" ht="15" customHeight="1" x14ac:dyDescent="0.25">
      <c r="T57892" s="135"/>
      <c r="U57892" s="135"/>
    </row>
    <row r="57893" spans="20:21" ht="15" customHeight="1" x14ac:dyDescent="0.25">
      <c r="T57893" s="135"/>
      <c r="U57893" s="135"/>
    </row>
    <row r="57894" spans="20:21" ht="15" customHeight="1" x14ac:dyDescent="0.25">
      <c r="T57894" s="135"/>
      <c r="U57894" s="135"/>
    </row>
    <row r="57895" spans="20:21" ht="15" customHeight="1" x14ac:dyDescent="0.25">
      <c r="T57895" s="135"/>
      <c r="U57895" s="135"/>
    </row>
    <row r="57896" spans="20:21" ht="15" customHeight="1" x14ac:dyDescent="0.25">
      <c r="T57896" s="135"/>
      <c r="U57896" s="135"/>
    </row>
    <row r="57897" spans="20:21" ht="15" customHeight="1" x14ac:dyDescent="0.25">
      <c r="T57897" s="135"/>
      <c r="U57897" s="135"/>
    </row>
    <row r="57898" spans="20:21" ht="15" customHeight="1" x14ac:dyDescent="0.25">
      <c r="T57898" s="135"/>
      <c r="U57898" s="135"/>
    </row>
    <row r="57899" spans="20:21" ht="15" customHeight="1" x14ac:dyDescent="0.25">
      <c r="T57899" s="135"/>
      <c r="U57899" s="135"/>
    </row>
    <row r="57900" spans="20:21" ht="15" customHeight="1" x14ac:dyDescent="0.25">
      <c r="T57900" s="135"/>
      <c r="U57900" s="135"/>
    </row>
    <row r="57901" spans="20:21" ht="15" customHeight="1" x14ac:dyDescent="0.25">
      <c r="T57901" s="135"/>
      <c r="U57901" s="135"/>
    </row>
    <row r="57902" spans="20:21" ht="15" customHeight="1" x14ac:dyDescent="0.25">
      <c r="T57902" s="135"/>
      <c r="U57902" s="135"/>
    </row>
    <row r="57903" spans="20:21" ht="15" customHeight="1" x14ac:dyDescent="0.25">
      <c r="T57903" s="135"/>
      <c r="U57903" s="135"/>
    </row>
    <row r="57904" spans="20:21" ht="15" customHeight="1" x14ac:dyDescent="0.25">
      <c r="T57904" s="135"/>
      <c r="U57904" s="135"/>
    </row>
    <row r="57905" spans="20:21" ht="15" customHeight="1" x14ac:dyDescent="0.25">
      <c r="T57905" s="135"/>
      <c r="U57905" s="135"/>
    </row>
    <row r="57906" spans="20:21" ht="15" customHeight="1" x14ac:dyDescent="0.25">
      <c r="T57906" s="135"/>
      <c r="U57906" s="135"/>
    </row>
    <row r="57907" spans="20:21" ht="15" customHeight="1" x14ac:dyDescent="0.25">
      <c r="T57907" s="135"/>
      <c r="U57907" s="135"/>
    </row>
    <row r="57908" spans="20:21" ht="15" customHeight="1" x14ac:dyDescent="0.25">
      <c r="T57908" s="135"/>
      <c r="U57908" s="135"/>
    </row>
    <row r="57909" spans="20:21" ht="15" customHeight="1" x14ac:dyDescent="0.25">
      <c r="T57909" s="135"/>
      <c r="U57909" s="135"/>
    </row>
    <row r="57910" spans="20:21" ht="15" customHeight="1" x14ac:dyDescent="0.25">
      <c r="T57910" s="135"/>
      <c r="U57910" s="135"/>
    </row>
    <row r="57911" spans="20:21" ht="15" customHeight="1" x14ac:dyDescent="0.25">
      <c r="T57911" s="135"/>
      <c r="U57911" s="135"/>
    </row>
    <row r="57912" spans="20:21" ht="15" customHeight="1" x14ac:dyDescent="0.25">
      <c r="T57912" s="135"/>
      <c r="U57912" s="135"/>
    </row>
    <row r="57913" spans="20:21" ht="15" customHeight="1" x14ac:dyDescent="0.25">
      <c r="T57913" s="135"/>
      <c r="U57913" s="135"/>
    </row>
    <row r="57914" spans="20:21" ht="15" customHeight="1" x14ac:dyDescent="0.25">
      <c r="T57914" s="135"/>
      <c r="U57914" s="135"/>
    </row>
    <row r="57915" spans="20:21" ht="15" customHeight="1" x14ac:dyDescent="0.25">
      <c r="T57915" s="135"/>
      <c r="U57915" s="135"/>
    </row>
    <row r="57916" spans="20:21" ht="15" customHeight="1" x14ac:dyDescent="0.25">
      <c r="T57916" s="135"/>
      <c r="U57916" s="135"/>
    </row>
    <row r="57917" spans="20:21" ht="15" customHeight="1" x14ac:dyDescent="0.25">
      <c r="T57917" s="135"/>
      <c r="U57917" s="135"/>
    </row>
    <row r="57918" spans="20:21" ht="15" customHeight="1" x14ac:dyDescent="0.25">
      <c r="T57918" s="135"/>
      <c r="U57918" s="135"/>
    </row>
    <row r="57919" spans="20:21" ht="15" customHeight="1" x14ac:dyDescent="0.25">
      <c r="T57919" s="135"/>
      <c r="U57919" s="135"/>
    </row>
    <row r="57920" spans="20:21" ht="15" customHeight="1" x14ac:dyDescent="0.25">
      <c r="T57920" s="135"/>
      <c r="U57920" s="135"/>
    </row>
    <row r="57921" spans="20:21" ht="15" customHeight="1" x14ac:dyDescent="0.25">
      <c r="T57921" s="135"/>
      <c r="U57921" s="135"/>
    </row>
    <row r="57922" spans="20:21" ht="15" customHeight="1" x14ac:dyDescent="0.25">
      <c r="T57922" s="135"/>
      <c r="U57922" s="135"/>
    </row>
    <row r="57923" spans="20:21" ht="15" customHeight="1" x14ac:dyDescent="0.25">
      <c r="T57923" s="135"/>
      <c r="U57923" s="135"/>
    </row>
    <row r="57924" spans="20:21" ht="15" customHeight="1" x14ac:dyDescent="0.25">
      <c r="T57924" s="135"/>
      <c r="U57924" s="135"/>
    </row>
    <row r="57925" spans="20:21" ht="15" customHeight="1" x14ac:dyDescent="0.25">
      <c r="T57925" s="135"/>
      <c r="U57925" s="135"/>
    </row>
    <row r="57926" spans="20:21" ht="15" customHeight="1" x14ac:dyDescent="0.25">
      <c r="T57926" s="135"/>
      <c r="U57926" s="135"/>
    </row>
    <row r="57927" spans="20:21" ht="15" customHeight="1" x14ac:dyDescent="0.25">
      <c r="T57927" s="135"/>
      <c r="U57927" s="135"/>
    </row>
    <row r="57928" spans="20:21" ht="15" customHeight="1" x14ac:dyDescent="0.25">
      <c r="T57928" s="135"/>
      <c r="U57928" s="135"/>
    </row>
    <row r="57929" spans="20:21" ht="15" customHeight="1" x14ac:dyDescent="0.25">
      <c r="T57929" s="135"/>
      <c r="U57929" s="135"/>
    </row>
    <row r="57930" spans="20:21" ht="15" customHeight="1" x14ac:dyDescent="0.25">
      <c r="T57930" s="135"/>
      <c r="U57930" s="135"/>
    </row>
    <row r="57931" spans="20:21" ht="15" customHeight="1" x14ac:dyDescent="0.25">
      <c r="T57931" s="135"/>
      <c r="U57931" s="135"/>
    </row>
    <row r="57932" spans="20:21" ht="15" customHeight="1" x14ac:dyDescent="0.25">
      <c r="T57932" s="135"/>
      <c r="U57932" s="135"/>
    </row>
    <row r="57933" spans="20:21" ht="15" customHeight="1" x14ac:dyDescent="0.25">
      <c r="T57933" s="135"/>
      <c r="U57933" s="135"/>
    </row>
    <row r="57934" spans="20:21" ht="15" customHeight="1" x14ac:dyDescent="0.25">
      <c r="T57934" s="135"/>
      <c r="U57934" s="135"/>
    </row>
    <row r="57935" spans="20:21" ht="15" customHeight="1" x14ac:dyDescent="0.25">
      <c r="T57935" s="135"/>
      <c r="U57935" s="135"/>
    </row>
    <row r="57936" spans="20:21" ht="15" customHeight="1" x14ac:dyDescent="0.25">
      <c r="T57936" s="135"/>
      <c r="U57936" s="135"/>
    </row>
    <row r="57937" spans="20:21" ht="15" customHeight="1" x14ac:dyDescent="0.25">
      <c r="T57937" s="135"/>
      <c r="U57937" s="135"/>
    </row>
    <row r="57938" spans="20:21" ht="15" customHeight="1" x14ac:dyDescent="0.25">
      <c r="T57938" s="135"/>
      <c r="U57938" s="135"/>
    </row>
    <row r="57939" spans="20:21" ht="15" customHeight="1" x14ac:dyDescent="0.25">
      <c r="T57939" s="135"/>
      <c r="U57939" s="135"/>
    </row>
    <row r="57940" spans="20:21" ht="15" customHeight="1" x14ac:dyDescent="0.25">
      <c r="T57940" s="135"/>
      <c r="U57940" s="135"/>
    </row>
    <row r="57941" spans="20:21" ht="15" customHeight="1" x14ac:dyDescent="0.25">
      <c r="T57941" s="135"/>
      <c r="U57941" s="135"/>
    </row>
    <row r="57942" spans="20:21" ht="15" customHeight="1" x14ac:dyDescent="0.25">
      <c r="T57942" s="135"/>
      <c r="U57942" s="135"/>
    </row>
    <row r="57943" spans="20:21" ht="15" customHeight="1" x14ac:dyDescent="0.25">
      <c r="T57943" s="135"/>
      <c r="U57943" s="135"/>
    </row>
    <row r="57944" spans="20:21" ht="15" customHeight="1" x14ac:dyDescent="0.25">
      <c r="T57944" s="135"/>
      <c r="U57944" s="135"/>
    </row>
    <row r="57945" spans="20:21" ht="15" customHeight="1" x14ac:dyDescent="0.25">
      <c r="T57945" s="135"/>
      <c r="U57945" s="135"/>
    </row>
    <row r="57946" spans="20:21" ht="15" customHeight="1" x14ac:dyDescent="0.25">
      <c r="T57946" s="135"/>
      <c r="U57946" s="135"/>
    </row>
    <row r="57947" spans="20:21" ht="15" customHeight="1" x14ac:dyDescent="0.25">
      <c r="T57947" s="135"/>
      <c r="U57947" s="135"/>
    </row>
    <row r="57948" spans="20:21" ht="15" customHeight="1" x14ac:dyDescent="0.25">
      <c r="T57948" s="135"/>
      <c r="U57948" s="135"/>
    </row>
    <row r="57949" spans="20:21" ht="15" customHeight="1" x14ac:dyDescent="0.25">
      <c r="T57949" s="135"/>
      <c r="U57949" s="135"/>
    </row>
    <row r="57950" spans="20:21" ht="15" customHeight="1" x14ac:dyDescent="0.25">
      <c r="T57950" s="135"/>
      <c r="U57950" s="135"/>
    </row>
    <row r="57951" spans="20:21" ht="15" customHeight="1" x14ac:dyDescent="0.25">
      <c r="T57951" s="135"/>
      <c r="U57951" s="135"/>
    </row>
    <row r="57952" spans="20:21" ht="15" customHeight="1" x14ac:dyDescent="0.25">
      <c r="T57952" s="135"/>
      <c r="U57952" s="135"/>
    </row>
    <row r="57953" spans="20:21" ht="15" customHeight="1" x14ac:dyDescent="0.25">
      <c r="T57953" s="135"/>
      <c r="U57953" s="135"/>
    </row>
    <row r="57954" spans="20:21" ht="15" customHeight="1" x14ac:dyDescent="0.25">
      <c r="T57954" s="135"/>
      <c r="U57954" s="135"/>
    </row>
    <row r="57955" spans="20:21" ht="15" customHeight="1" x14ac:dyDescent="0.25">
      <c r="T57955" s="135"/>
      <c r="U57955" s="135"/>
    </row>
    <row r="57956" spans="20:21" ht="15" customHeight="1" x14ac:dyDescent="0.25">
      <c r="T57956" s="135"/>
      <c r="U57956" s="135"/>
    </row>
    <row r="57957" spans="20:21" ht="15" customHeight="1" x14ac:dyDescent="0.25">
      <c r="T57957" s="135"/>
      <c r="U57957" s="135"/>
    </row>
    <row r="57958" spans="20:21" ht="15" customHeight="1" x14ac:dyDescent="0.25">
      <c r="T57958" s="135"/>
      <c r="U57958" s="135"/>
    </row>
    <row r="57959" spans="20:21" ht="15" customHeight="1" x14ac:dyDescent="0.25">
      <c r="T57959" s="135"/>
      <c r="U57959" s="135"/>
    </row>
    <row r="57960" spans="20:21" ht="15" customHeight="1" x14ac:dyDescent="0.25">
      <c r="T57960" s="135"/>
      <c r="U57960" s="135"/>
    </row>
    <row r="57961" spans="20:21" ht="15" customHeight="1" x14ac:dyDescent="0.25">
      <c r="T57961" s="135"/>
      <c r="U57961" s="135"/>
    </row>
    <row r="57962" spans="20:21" ht="15" customHeight="1" x14ac:dyDescent="0.25">
      <c r="T57962" s="135"/>
      <c r="U57962" s="135"/>
    </row>
    <row r="57963" spans="20:21" ht="15" customHeight="1" x14ac:dyDescent="0.25">
      <c r="T57963" s="135"/>
      <c r="U57963" s="135"/>
    </row>
    <row r="57964" spans="20:21" ht="15" customHeight="1" x14ac:dyDescent="0.25">
      <c r="T57964" s="135"/>
      <c r="U57964" s="135"/>
    </row>
    <row r="57965" spans="20:21" ht="15" customHeight="1" x14ac:dyDescent="0.25">
      <c r="T57965" s="135"/>
      <c r="U57965" s="135"/>
    </row>
    <row r="57966" spans="20:21" ht="15" customHeight="1" x14ac:dyDescent="0.25">
      <c r="T57966" s="135"/>
      <c r="U57966" s="135"/>
    </row>
    <row r="57967" spans="20:21" ht="15" customHeight="1" x14ac:dyDescent="0.25">
      <c r="T57967" s="135"/>
      <c r="U57967" s="135"/>
    </row>
    <row r="57968" spans="20:21" ht="15" customHeight="1" x14ac:dyDescent="0.25">
      <c r="T57968" s="135"/>
      <c r="U57968" s="135"/>
    </row>
    <row r="57969" spans="20:21" ht="15" customHeight="1" x14ac:dyDescent="0.25">
      <c r="T57969" s="135"/>
      <c r="U57969" s="135"/>
    </row>
    <row r="57970" spans="20:21" ht="15" customHeight="1" x14ac:dyDescent="0.25">
      <c r="T57970" s="135"/>
      <c r="U57970" s="135"/>
    </row>
    <row r="57971" spans="20:21" ht="15" customHeight="1" x14ac:dyDescent="0.25">
      <c r="T57971" s="135"/>
      <c r="U57971" s="135"/>
    </row>
    <row r="57972" spans="20:21" ht="15" customHeight="1" x14ac:dyDescent="0.25">
      <c r="T57972" s="135"/>
      <c r="U57972" s="135"/>
    </row>
    <row r="57973" spans="20:21" ht="15" customHeight="1" x14ac:dyDescent="0.25">
      <c r="T57973" s="135"/>
      <c r="U57973" s="135"/>
    </row>
    <row r="57974" spans="20:21" ht="15" customHeight="1" x14ac:dyDescent="0.25">
      <c r="T57974" s="135"/>
      <c r="U57974" s="135"/>
    </row>
    <row r="57975" spans="20:21" ht="15" customHeight="1" x14ac:dyDescent="0.25">
      <c r="T57975" s="135"/>
      <c r="U57975" s="135"/>
    </row>
    <row r="57976" spans="20:21" ht="15" customHeight="1" x14ac:dyDescent="0.25">
      <c r="T57976" s="135"/>
      <c r="U57976" s="135"/>
    </row>
    <row r="57977" spans="20:21" ht="15" customHeight="1" x14ac:dyDescent="0.25">
      <c r="T57977" s="135"/>
      <c r="U57977" s="135"/>
    </row>
    <row r="57978" spans="20:21" ht="15" customHeight="1" x14ac:dyDescent="0.25">
      <c r="T57978" s="135"/>
      <c r="U57978" s="135"/>
    </row>
    <row r="57979" spans="20:21" ht="15" customHeight="1" x14ac:dyDescent="0.25">
      <c r="T57979" s="135"/>
      <c r="U57979" s="135"/>
    </row>
    <row r="57980" spans="20:21" ht="15" customHeight="1" x14ac:dyDescent="0.25">
      <c r="T57980" s="135"/>
      <c r="U57980" s="135"/>
    </row>
    <row r="57981" spans="20:21" ht="15" customHeight="1" x14ac:dyDescent="0.25">
      <c r="T57981" s="135"/>
      <c r="U57981" s="135"/>
    </row>
    <row r="57982" spans="20:21" ht="15" customHeight="1" x14ac:dyDescent="0.25">
      <c r="T57982" s="135"/>
      <c r="U57982" s="135"/>
    </row>
    <row r="57983" spans="20:21" ht="15" customHeight="1" x14ac:dyDescent="0.25">
      <c r="T57983" s="135"/>
      <c r="U57983" s="135"/>
    </row>
    <row r="57984" spans="20:21" ht="15" customHeight="1" x14ac:dyDescent="0.25">
      <c r="T57984" s="135"/>
      <c r="U57984" s="135"/>
    </row>
    <row r="57985" spans="20:21" ht="15" customHeight="1" x14ac:dyDescent="0.25">
      <c r="T57985" s="135"/>
      <c r="U57985" s="135"/>
    </row>
    <row r="57986" spans="20:21" ht="15" customHeight="1" x14ac:dyDescent="0.25">
      <c r="T57986" s="135"/>
      <c r="U57986" s="135"/>
    </row>
    <row r="57987" spans="20:21" ht="15" customHeight="1" x14ac:dyDescent="0.25">
      <c r="T57987" s="135"/>
      <c r="U57987" s="135"/>
    </row>
    <row r="57988" spans="20:21" ht="15" customHeight="1" x14ac:dyDescent="0.25">
      <c r="T57988" s="135"/>
      <c r="U57988" s="135"/>
    </row>
    <row r="57989" spans="20:21" ht="15" customHeight="1" x14ac:dyDescent="0.25">
      <c r="T57989" s="135"/>
      <c r="U57989" s="135"/>
    </row>
    <row r="57990" spans="20:21" ht="15" customHeight="1" x14ac:dyDescent="0.25">
      <c r="T57990" s="135"/>
      <c r="U57990" s="135"/>
    </row>
    <row r="57991" spans="20:21" ht="15" customHeight="1" x14ac:dyDescent="0.25">
      <c r="T57991" s="135"/>
      <c r="U57991" s="135"/>
    </row>
    <row r="57992" spans="20:21" ht="15" customHeight="1" x14ac:dyDescent="0.25">
      <c r="T57992" s="135"/>
      <c r="U57992" s="135"/>
    </row>
    <row r="57993" spans="20:21" ht="15" customHeight="1" x14ac:dyDescent="0.25">
      <c r="T57993" s="135"/>
      <c r="U57993" s="135"/>
    </row>
    <row r="57994" spans="20:21" ht="15" customHeight="1" x14ac:dyDescent="0.25">
      <c r="T57994" s="135"/>
      <c r="U57994" s="135"/>
    </row>
    <row r="57995" spans="20:21" ht="15" customHeight="1" x14ac:dyDescent="0.25">
      <c r="T57995" s="135"/>
      <c r="U57995" s="135"/>
    </row>
    <row r="57996" spans="20:21" ht="15" customHeight="1" x14ac:dyDescent="0.25">
      <c r="T57996" s="135"/>
      <c r="U57996" s="135"/>
    </row>
    <row r="57997" spans="20:21" ht="15" customHeight="1" x14ac:dyDescent="0.25">
      <c r="T57997" s="135"/>
      <c r="U57997" s="135"/>
    </row>
    <row r="57998" spans="20:21" ht="15" customHeight="1" x14ac:dyDescent="0.25">
      <c r="T57998" s="135"/>
      <c r="U57998" s="135"/>
    </row>
    <row r="57999" spans="20:21" ht="15" customHeight="1" x14ac:dyDescent="0.25">
      <c r="T57999" s="135"/>
      <c r="U57999" s="135"/>
    </row>
    <row r="58000" spans="20:21" ht="15" customHeight="1" x14ac:dyDescent="0.25">
      <c r="T58000" s="135"/>
      <c r="U58000" s="135"/>
    </row>
    <row r="58001" spans="20:21" ht="15" customHeight="1" x14ac:dyDescent="0.25">
      <c r="T58001" s="135"/>
      <c r="U58001" s="135"/>
    </row>
    <row r="58002" spans="20:21" ht="15" customHeight="1" x14ac:dyDescent="0.25">
      <c r="T58002" s="135"/>
      <c r="U58002" s="135"/>
    </row>
    <row r="58003" spans="20:21" ht="15" customHeight="1" x14ac:dyDescent="0.25">
      <c r="T58003" s="135"/>
      <c r="U58003" s="135"/>
    </row>
    <row r="58004" spans="20:21" ht="15" customHeight="1" x14ac:dyDescent="0.25">
      <c r="T58004" s="135"/>
      <c r="U58004" s="135"/>
    </row>
    <row r="58005" spans="20:21" ht="15" customHeight="1" x14ac:dyDescent="0.25">
      <c r="T58005" s="135"/>
      <c r="U58005" s="135"/>
    </row>
    <row r="58006" spans="20:21" ht="15" customHeight="1" x14ac:dyDescent="0.25">
      <c r="T58006" s="135"/>
      <c r="U58006" s="135"/>
    </row>
    <row r="58007" spans="20:21" ht="15" customHeight="1" x14ac:dyDescent="0.25">
      <c r="T58007" s="135"/>
      <c r="U58007" s="135"/>
    </row>
    <row r="58008" spans="20:21" ht="15" customHeight="1" x14ac:dyDescent="0.25">
      <c r="T58008" s="135"/>
      <c r="U58008" s="135"/>
    </row>
    <row r="58009" spans="20:21" ht="15" customHeight="1" x14ac:dyDescent="0.25">
      <c r="T58009" s="135"/>
      <c r="U58009" s="135"/>
    </row>
    <row r="58010" spans="20:21" ht="15" customHeight="1" x14ac:dyDescent="0.25">
      <c r="T58010" s="135"/>
      <c r="U58010" s="135"/>
    </row>
    <row r="58011" spans="20:21" ht="15" customHeight="1" x14ac:dyDescent="0.25">
      <c r="T58011" s="135"/>
      <c r="U58011" s="135"/>
    </row>
    <row r="58012" spans="20:21" ht="15" customHeight="1" x14ac:dyDescent="0.25">
      <c r="T58012" s="135"/>
      <c r="U58012" s="135"/>
    </row>
    <row r="58013" spans="20:21" ht="15" customHeight="1" x14ac:dyDescent="0.25">
      <c r="T58013" s="135"/>
      <c r="U58013" s="135"/>
    </row>
    <row r="58014" spans="20:21" ht="15" customHeight="1" x14ac:dyDescent="0.25">
      <c r="T58014" s="135"/>
      <c r="U58014" s="135"/>
    </row>
    <row r="58015" spans="20:21" ht="15" customHeight="1" x14ac:dyDescent="0.25">
      <c r="T58015" s="135"/>
      <c r="U58015" s="135"/>
    </row>
    <row r="58016" spans="20:21" ht="15" customHeight="1" x14ac:dyDescent="0.25">
      <c r="T58016" s="135"/>
      <c r="U58016" s="135"/>
    </row>
    <row r="58017" spans="20:21" ht="15" customHeight="1" x14ac:dyDescent="0.25">
      <c r="T58017" s="135"/>
      <c r="U58017" s="135"/>
    </row>
    <row r="58018" spans="20:21" ht="15" customHeight="1" x14ac:dyDescent="0.25">
      <c r="T58018" s="135"/>
      <c r="U58018" s="135"/>
    </row>
    <row r="58019" spans="20:21" ht="15" customHeight="1" x14ac:dyDescent="0.25">
      <c r="T58019" s="135"/>
      <c r="U58019" s="135"/>
    </row>
    <row r="58020" spans="20:21" ht="15" customHeight="1" x14ac:dyDescent="0.25">
      <c r="T58020" s="135"/>
      <c r="U58020" s="135"/>
    </row>
    <row r="58021" spans="20:21" ht="15" customHeight="1" x14ac:dyDescent="0.25">
      <c r="T58021" s="135"/>
      <c r="U58021" s="135"/>
    </row>
    <row r="58022" spans="20:21" ht="15" customHeight="1" x14ac:dyDescent="0.25">
      <c r="T58022" s="135"/>
      <c r="U58022" s="135"/>
    </row>
    <row r="58023" spans="20:21" ht="15" customHeight="1" x14ac:dyDescent="0.25">
      <c r="T58023" s="135"/>
      <c r="U58023" s="135"/>
    </row>
    <row r="58024" spans="20:21" ht="15" customHeight="1" x14ac:dyDescent="0.25">
      <c r="T58024" s="135"/>
      <c r="U58024" s="135"/>
    </row>
    <row r="58025" spans="20:21" ht="15" customHeight="1" x14ac:dyDescent="0.25">
      <c r="T58025" s="135"/>
      <c r="U58025" s="135"/>
    </row>
    <row r="58026" spans="20:21" ht="15" customHeight="1" x14ac:dyDescent="0.25">
      <c r="T58026" s="135"/>
      <c r="U58026" s="135"/>
    </row>
    <row r="58027" spans="20:21" ht="15" customHeight="1" x14ac:dyDescent="0.25">
      <c r="T58027" s="135"/>
      <c r="U58027" s="135"/>
    </row>
    <row r="58028" spans="20:21" ht="15" customHeight="1" x14ac:dyDescent="0.25">
      <c r="T58028" s="135"/>
      <c r="U58028" s="135"/>
    </row>
    <row r="58029" spans="20:21" ht="15" customHeight="1" x14ac:dyDescent="0.25">
      <c r="T58029" s="135"/>
      <c r="U58029" s="135"/>
    </row>
    <row r="58030" spans="20:21" ht="15" customHeight="1" x14ac:dyDescent="0.25">
      <c r="T58030" s="135"/>
      <c r="U58030" s="135"/>
    </row>
    <row r="58031" spans="20:21" ht="15" customHeight="1" x14ac:dyDescent="0.25">
      <c r="T58031" s="135"/>
      <c r="U58031" s="135"/>
    </row>
    <row r="58032" spans="20:21" ht="15" customHeight="1" x14ac:dyDescent="0.25">
      <c r="T58032" s="135"/>
      <c r="U58032" s="135"/>
    </row>
    <row r="58033" spans="20:21" ht="15" customHeight="1" x14ac:dyDescent="0.25">
      <c r="T58033" s="135"/>
      <c r="U58033" s="135"/>
    </row>
    <row r="58034" spans="20:21" ht="15" customHeight="1" x14ac:dyDescent="0.25">
      <c r="T58034" s="135"/>
      <c r="U58034" s="135"/>
    </row>
    <row r="58035" spans="20:21" ht="15" customHeight="1" x14ac:dyDescent="0.25">
      <c r="T58035" s="135"/>
      <c r="U58035" s="135"/>
    </row>
    <row r="58036" spans="20:21" ht="15" customHeight="1" x14ac:dyDescent="0.25">
      <c r="T58036" s="135"/>
      <c r="U58036" s="135"/>
    </row>
    <row r="58037" spans="20:21" ht="15" customHeight="1" x14ac:dyDescent="0.25">
      <c r="T58037" s="135"/>
      <c r="U58037" s="135"/>
    </row>
    <row r="58038" spans="20:21" ht="15" customHeight="1" x14ac:dyDescent="0.25">
      <c r="T58038" s="135"/>
      <c r="U58038" s="135"/>
    </row>
    <row r="58039" spans="20:21" ht="15" customHeight="1" x14ac:dyDescent="0.25">
      <c r="T58039" s="135"/>
      <c r="U58039" s="135"/>
    </row>
    <row r="58040" spans="20:21" ht="15" customHeight="1" x14ac:dyDescent="0.25">
      <c r="T58040" s="135"/>
      <c r="U58040" s="135"/>
    </row>
    <row r="58041" spans="20:21" ht="15" customHeight="1" x14ac:dyDescent="0.25">
      <c r="T58041" s="135"/>
      <c r="U58041" s="135"/>
    </row>
    <row r="58042" spans="20:21" ht="15" customHeight="1" x14ac:dyDescent="0.25">
      <c r="T58042" s="135"/>
      <c r="U58042" s="135"/>
    </row>
    <row r="58043" spans="20:21" ht="15" customHeight="1" x14ac:dyDescent="0.25">
      <c r="T58043" s="135"/>
      <c r="U58043" s="135"/>
    </row>
    <row r="58044" spans="20:21" ht="15" customHeight="1" x14ac:dyDescent="0.25">
      <c r="T58044" s="135"/>
      <c r="U58044" s="135"/>
    </row>
    <row r="58045" spans="20:21" ht="15" customHeight="1" x14ac:dyDescent="0.25">
      <c r="T58045" s="135"/>
      <c r="U58045" s="135"/>
    </row>
    <row r="58046" spans="20:21" ht="15" customHeight="1" x14ac:dyDescent="0.25">
      <c r="T58046" s="135"/>
      <c r="U58046" s="135"/>
    </row>
    <row r="58047" spans="20:21" ht="15" customHeight="1" x14ac:dyDescent="0.25">
      <c r="T58047" s="135"/>
      <c r="U58047" s="135"/>
    </row>
    <row r="58048" spans="20:21" ht="15" customHeight="1" x14ac:dyDescent="0.25">
      <c r="T58048" s="135"/>
      <c r="U58048" s="135"/>
    </row>
    <row r="58049" spans="20:21" ht="15" customHeight="1" x14ac:dyDescent="0.25">
      <c r="T58049" s="135"/>
      <c r="U58049" s="135"/>
    </row>
    <row r="58050" spans="20:21" ht="15" customHeight="1" x14ac:dyDescent="0.25">
      <c r="T58050" s="135"/>
      <c r="U58050" s="135"/>
    </row>
    <row r="58051" spans="20:21" ht="15" customHeight="1" x14ac:dyDescent="0.25">
      <c r="T58051" s="135"/>
      <c r="U58051" s="135"/>
    </row>
    <row r="58052" spans="20:21" ht="15" customHeight="1" x14ac:dyDescent="0.25">
      <c r="T58052" s="135"/>
      <c r="U58052" s="135"/>
    </row>
    <row r="58053" spans="20:21" ht="15" customHeight="1" x14ac:dyDescent="0.25">
      <c r="T58053" s="135"/>
      <c r="U58053" s="135"/>
    </row>
    <row r="58054" spans="20:21" ht="15" customHeight="1" x14ac:dyDescent="0.25">
      <c r="T58054" s="135"/>
      <c r="U58054" s="135"/>
    </row>
    <row r="58055" spans="20:21" ht="15" customHeight="1" x14ac:dyDescent="0.25">
      <c r="T58055" s="135"/>
      <c r="U58055" s="135"/>
    </row>
    <row r="58056" spans="20:21" ht="15" customHeight="1" x14ac:dyDescent="0.25">
      <c r="T58056" s="135"/>
      <c r="U58056" s="135"/>
    </row>
    <row r="58057" spans="20:21" ht="15" customHeight="1" x14ac:dyDescent="0.25">
      <c r="T58057" s="135"/>
      <c r="U58057" s="135"/>
    </row>
    <row r="58058" spans="20:21" ht="15" customHeight="1" x14ac:dyDescent="0.25">
      <c r="T58058" s="135"/>
      <c r="U58058" s="135"/>
    </row>
    <row r="58059" spans="20:21" ht="15" customHeight="1" x14ac:dyDescent="0.25">
      <c r="T58059" s="135"/>
      <c r="U58059" s="135"/>
    </row>
    <row r="58060" spans="20:21" ht="15" customHeight="1" x14ac:dyDescent="0.25">
      <c r="T58060" s="135"/>
      <c r="U58060" s="135"/>
    </row>
    <row r="58061" spans="20:21" ht="15" customHeight="1" x14ac:dyDescent="0.25">
      <c r="T58061" s="135"/>
      <c r="U58061" s="135"/>
    </row>
    <row r="58062" spans="20:21" ht="15" customHeight="1" x14ac:dyDescent="0.25">
      <c r="T58062" s="135"/>
      <c r="U58062" s="135"/>
    </row>
    <row r="58063" spans="20:21" ht="15" customHeight="1" x14ac:dyDescent="0.25">
      <c r="T58063" s="135"/>
      <c r="U58063" s="135"/>
    </row>
    <row r="58064" spans="20:21" ht="15" customHeight="1" x14ac:dyDescent="0.25">
      <c r="T58064" s="135"/>
      <c r="U58064" s="135"/>
    </row>
    <row r="58065" spans="20:21" ht="15" customHeight="1" x14ac:dyDescent="0.25">
      <c r="T58065" s="135"/>
      <c r="U58065" s="135"/>
    </row>
    <row r="58066" spans="20:21" ht="15" customHeight="1" x14ac:dyDescent="0.25">
      <c r="T58066" s="135"/>
      <c r="U58066" s="135"/>
    </row>
    <row r="58067" spans="20:21" ht="15" customHeight="1" x14ac:dyDescent="0.25">
      <c r="T58067" s="135"/>
      <c r="U58067" s="135"/>
    </row>
    <row r="58068" spans="20:21" ht="15" customHeight="1" x14ac:dyDescent="0.25">
      <c r="T58068" s="135"/>
      <c r="U58068" s="135"/>
    </row>
    <row r="58069" spans="20:21" ht="15" customHeight="1" x14ac:dyDescent="0.25">
      <c r="T58069" s="135"/>
      <c r="U58069" s="135"/>
    </row>
    <row r="58070" spans="20:21" ht="15" customHeight="1" x14ac:dyDescent="0.25">
      <c r="T58070" s="135"/>
      <c r="U58070" s="135"/>
    </row>
    <row r="58071" spans="20:21" ht="15" customHeight="1" x14ac:dyDescent="0.25">
      <c r="T58071" s="135"/>
      <c r="U58071" s="135"/>
    </row>
    <row r="58072" spans="20:21" ht="15" customHeight="1" x14ac:dyDescent="0.25">
      <c r="T58072" s="135"/>
      <c r="U58072" s="135"/>
    </row>
    <row r="58073" spans="20:21" ht="15" customHeight="1" x14ac:dyDescent="0.25">
      <c r="T58073" s="135"/>
      <c r="U58073" s="135"/>
    </row>
    <row r="58074" spans="20:21" ht="15" customHeight="1" x14ac:dyDescent="0.25">
      <c r="T58074" s="135"/>
      <c r="U58074" s="135"/>
    </row>
    <row r="58075" spans="20:21" ht="15" customHeight="1" x14ac:dyDescent="0.25">
      <c r="T58075" s="135"/>
      <c r="U58075" s="135"/>
    </row>
    <row r="58076" spans="20:21" ht="15" customHeight="1" x14ac:dyDescent="0.25">
      <c r="T58076" s="135"/>
      <c r="U58076" s="135"/>
    </row>
    <row r="58077" spans="20:21" ht="15" customHeight="1" x14ac:dyDescent="0.25">
      <c r="T58077" s="135"/>
      <c r="U58077" s="135"/>
    </row>
    <row r="58078" spans="20:21" ht="15" customHeight="1" x14ac:dyDescent="0.25">
      <c r="T58078" s="135"/>
      <c r="U58078" s="135"/>
    </row>
    <row r="58079" spans="20:21" ht="15" customHeight="1" x14ac:dyDescent="0.25">
      <c r="T58079" s="135"/>
      <c r="U58079" s="135"/>
    </row>
    <row r="58080" spans="20:21" ht="15" customHeight="1" x14ac:dyDescent="0.25">
      <c r="T58080" s="135"/>
      <c r="U58080" s="135"/>
    </row>
    <row r="58081" spans="20:21" ht="15" customHeight="1" x14ac:dyDescent="0.25">
      <c r="T58081" s="135"/>
      <c r="U58081" s="135"/>
    </row>
    <row r="58082" spans="20:21" ht="15" customHeight="1" x14ac:dyDescent="0.25">
      <c r="T58082" s="135"/>
      <c r="U58082" s="135"/>
    </row>
    <row r="58083" spans="20:21" ht="15" customHeight="1" x14ac:dyDescent="0.25">
      <c r="T58083" s="135"/>
      <c r="U58083" s="135"/>
    </row>
    <row r="58084" spans="20:21" ht="15" customHeight="1" x14ac:dyDescent="0.25">
      <c r="T58084" s="135"/>
      <c r="U58084" s="135"/>
    </row>
    <row r="58085" spans="20:21" ht="15" customHeight="1" x14ac:dyDescent="0.25">
      <c r="T58085" s="135"/>
      <c r="U58085" s="135"/>
    </row>
    <row r="58086" spans="20:21" ht="15" customHeight="1" x14ac:dyDescent="0.25">
      <c r="T58086" s="135"/>
      <c r="U58086" s="135"/>
    </row>
    <row r="58087" spans="20:21" ht="15" customHeight="1" x14ac:dyDescent="0.25">
      <c r="T58087" s="135"/>
      <c r="U58087" s="135"/>
    </row>
    <row r="58088" spans="20:21" ht="15" customHeight="1" x14ac:dyDescent="0.25">
      <c r="T58088" s="135"/>
      <c r="U58088" s="135"/>
    </row>
    <row r="58089" spans="20:21" ht="15" customHeight="1" x14ac:dyDescent="0.25">
      <c r="T58089" s="135"/>
      <c r="U58089" s="135"/>
    </row>
    <row r="58090" spans="20:21" ht="15" customHeight="1" x14ac:dyDescent="0.25">
      <c r="T58090" s="135"/>
      <c r="U58090" s="135"/>
    </row>
    <row r="58091" spans="20:21" ht="15" customHeight="1" x14ac:dyDescent="0.25">
      <c r="T58091" s="135"/>
      <c r="U58091" s="135"/>
    </row>
    <row r="58092" spans="20:21" ht="15" customHeight="1" x14ac:dyDescent="0.25">
      <c r="T58092" s="135"/>
      <c r="U58092" s="135"/>
    </row>
    <row r="58093" spans="20:21" ht="15" customHeight="1" x14ac:dyDescent="0.25">
      <c r="T58093" s="135"/>
      <c r="U58093" s="135"/>
    </row>
    <row r="58094" spans="20:21" ht="15" customHeight="1" x14ac:dyDescent="0.25">
      <c r="T58094" s="135"/>
      <c r="U58094" s="135"/>
    </row>
    <row r="58095" spans="20:21" ht="15" customHeight="1" x14ac:dyDescent="0.25">
      <c r="T58095" s="135"/>
      <c r="U58095" s="135"/>
    </row>
    <row r="58096" spans="20:21" ht="15" customHeight="1" x14ac:dyDescent="0.25">
      <c r="T58096" s="135"/>
      <c r="U58096" s="135"/>
    </row>
    <row r="58097" spans="20:21" ht="15" customHeight="1" x14ac:dyDescent="0.25">
      <c r="T58097" s="135"/>
      <c r="U58097" s="135"/>
    </row>
    <row r="58098" spans="20:21" ht="15" customHeight="1" x14ac:dyDescent="0.25">
      <c r="T58098" s="135"/>
      <c r="U58098" s="135"/>
    </row>
    <row r="58099" spans="20:21" ht="15" customHeight="1" x14ac:dyDescent="0.25">
      <c r="T58099" s="135"/>
      <c r="U58099" s="135"/>
    </row>
    <row r="58100" spans="20:21" ht="15" customHeight="1" x14ac:dyDescent="0.25">
      <c r="T58100" s="135"/>
      <c r="U58100" s="135"/>
    </row>
    <row r="58101" spans="20:21" ht="15" customHeight="1" x14ac:dyDescent="0.25">
      <c r="T58101" s="135"/>
      <c r="U58101" s="135"/>
    </row>
    <row r="58102" spans="20:21" ht="15" customHeight="1" x14ac:dyDescent="0.25">
      <c r="T58102" s="135"/>
      <c r="U58102" s="135"/>
    </row>
    <row r="58103" spans="20:21" ht="15" customHeight="1" x14ac:dyDescent="0.25">
      <c r="T58103" s="135"/>
      <c r="U58103" s="135"/>
    </row>
    <row r="58104" spans="20:21" ht="15" customHeight="1" x14ac:dyDescent="0.25">
      <c r="T58104" s="135"/>
      <c r="U58104" s="135"/>
    </row>
    <row r="58105" spans="20:21" ht="15" customHeight="1" x14ac:dyDescent="0.25">
      <c r="T58105" s="135"/>
      <c r="U58105" s="135"/>
    </row>
    <row r="58106" spans="20:21" ht="15" customHeight="1" x14ac:dyDescent="0.25">
      <c r="T58106" s="135"/>
      <c r="U58106" s="135"/>
    </row>
    <row r="58107" spans="20:21" ht="15" customHeight="1" x14ac:dyDescent="0.25">
      <c r="T58107" s="135"/>
      <c r="U58107" s="135"/>
    </row>
    <row r="58108" spans="20:21" ht="15" customHeight="1" x14ac:dyDescent="0.25">
      <c r="T58108" s="135"/>
      <c r="U58108" s="135"/>
    </row>
    <row r="58109" spans="20:21" ht="15" customHeight="1" x14ac:dyDescent="0.25">
      <c r="T58109" s="135"/>
      <c r="U58109" s="135"/>
    </row>
    <row r="58110" spans="20:21" ht="15" customHeight="1" x14ac:dyDescent="0.25">
      <c r="T58110" s="135"/>
      <c r="U58110" s="135"/>
    </row>
    <row r="58111" spans="20:21" ht="15" customHeight="1" x14ac:dyDescent="0.25">
      <c r="T58111" s="135"/>
      <c r="U58111" s="135"/>
    </row>
    <row r="58112" spans="20:21" ht="15" customHeight="1" x14ac:dyDescent="0.25">
      <c r="T58112" s="135"/>
      <c r="U58112" s="135"/>
    </row>
    <row r="58113" spans="20:21" ht="15" customHeight="1" x14ac:dyDescent="0.25">
      <c r="T58113" s="135"/>
      <c r="U58113" s="135"/>
    </row>
    <row r="58114" spans="20:21" ht="15" customHeight="1" x14ac:dyDescent="0.25">
      <c r="T58114" s="135"/>
      <c r="U58114" s="135"/>
    </row>
    <row r="58115" spans="20:21" ht="15" customHeight="1" x14ac:dyDescent="0.25">
      <c r="T58115" s="135"/>
      <c r="U58115" s="135"/>
    </row>
    <row r="58116" spans="20:21" ht="15" customHeight="1" x14ac:dyDescent="0.25">
      <c r="T58116" s="135"/>
      <c r="U58116" s="135"/>
    </row>
    <row r="58117" spans="20:21" ht="15" customHeight="1" x14ac:dyDescent="0.25">
      <c r="T58117" s="135"/>
      <c r="U58117" s="135"/>
    </row>
    <row r="58118" spans="20:21" ht="15" customHeight="1" x14ac:dyDescent="0.25">
      <c r="T58118" s="135"/>
      <c r="U58118" s="135"/>
    </row>
    <row r="58119" spans="20:21" ht="15" customHeight="1" x14ac:dyDescent="0.25">
      <c r="T58119" s="135"/>
      <c r="U58119" s="135"/>
    </row>
    <row r="58120" spans="20:21" ht="15" customHeight="1" x14ac:dyDescent="0.25">
      <c r="T58120" s="135"/>
      <c r="U58120" s="135"/>
    </row>
    <row r="58121" spans="20:21" ht="15" customHeight="1" x14ac:dyDescent="0.25">
      <c r="T58121" s="135"/>
      <c r="U58121" s="135"/>
    </row>
    <row r="58122" spans="20:21" ht="15" customHeight="1" x14ac:dyDescent="0.25">
      <c r="T58122" s="135"/>
      <c r="U58122" s="135"/>
    </row>
    <row r="58123" spans="20:21" ht="15" customHeight="1" x14ac:dyDescent="0.25">
      <c r="T58123" s="135"/>
      <c r="U58123" s="135"/>
    </row>
    <row r="58124" spans="20:21" ht="15" customHeight="1" x14ac:dyDescent="0.25">
      <c r="T58124" s="135"/>
      <c r="U58124" s="135"/>
    </row>
    <row r="58125" spans="20:21" ht="15" customHeight="1" x14ac:dyDescent="0.25">
      <c r="T58125" s="135"/>
      <c r="U58125" s="135"/>
    </row>
    <row r="58126" spans="20:21" ht="15" customHeight="1" x14ac:dyDescent="0.25">
      <c r="T58126" s="135"/>
      <c r="U58126" s="135"/>
    </row>
    <row r="58127" spans="20:21" ht="15" customHeight="1" x14ac:dyDescent="0.25">
      <c r="T58127" s="135"/>
      <c r="U58127" s="135"/>
    </row>
    <row r="58128" spans="20:21" ht="15" customHeight="1" x14ac:dyDescent="0.25">
      <c r="T58128" s="135"/>
      <c r="U58128" s="135"/>
    </row>
    <row r="58129" spans="20:21" ht="15" customHeight="1" x14ac:dyDescent="0.25">
      <c r="T58129" s="135"/>
      <c r="U58129" s="135"/>
    </row>
    <row r="58130" spans="20:21" ht="15" customHeight="1" x14ac:dyDescent="0.25">
      <c r="T58130" s="135"/>
      <c r="U58130" s="135"/>
    </row>
    <row r="58131" spans="20:21" ht="15" customHeight="1" x14ac:dyDescent="0.25">
      <c r="T58131" s="135"/>
      <c r="U58131" s="135"/>
    </row>
    <row r="58132" spans="20:21" ht="15" customHeight="1" x14ac:dyDescent="0.25">
      <c r="T58132" s="135"/>
      <c r="U58132" s="135"/>
    </row>
    <row r="58133" spans="20:21" ht="15" customHeight="1" x14ac:dyDescent="0.25">
      <c r="T58133" s="135"/>
      <c r="U58133" s="135"/>
    </row>
    <row r="58134" spans="20:21" ht="15" customHeight="1" x14ac:dyDescent="0.25">
      <c r="T58134" s="135"/>
      <c r="U58134" s="135"/>
    </row>
    <row r="58135" spans="20:21" ht="15" customHeight="1" x14ac:dyDescent="0.25">
      <c r="T58135" s="135"/>
      <c r="U58135" s="135"/>
    </row>
    <row r="58136" spans="20:21" ht="15" customHeight="1" x14ac:dyDescent="0.25">
      <c r="T58136" s="135"/>
      <c r="U58136" s="135"/>
    </row>
    <row r="58137" spans="20:21" ht="15" customHeight="1" x14ac:dyDescent="0.25">
      <c r="T58137" s="135"/>
      <c r="U58137" s="135"/>
    </row>
    <row r="58138" spans="20:21" ht="15" customHeight="1" x14ac:dyDescent="0.25">
      <c r="T58138" s="135"/>
      <c r="U58138" s="135"/>
    </row>
    <row r="58139" spans="20:21" ht="15" customHeight="1" x14ac:dyDescent="0.25">
      <c r="T58139" s="135"/>
      <c r="U58139" s="135"/>
    </row>
    <row r="58140" spans="20:21" ht="15" customHeight="1" x14ac:dyDescent="0.25">
      <c r="T58140" s="135"/>
      <c r="U58140" s="135"/>
    </row>
    <row r="58141" spans="20:21" ht="15" customHeight="1" x14ac:dyDescent="0.25">
      <c r="T58141" s="135"/>
      <c r="U58141" s="135"/>
    </row>
    <row r="58142" spans="20:21" ht="15" customHeight="1" x14ac:dyDescent="0.25">
      <c r="T58142" s="135"/>
      <c r="U58142" s="135"/>
    </row>
    <row r="58143" spans="20:21" ht="15" customHeight="1" x14ac:dyDescent="0.25">
      <c r="T58143" s="135"/>
      <c r="U58143" s="135"/>
    </row>
    <row r="58144" spans="20:21" ht="15" customHeight="1" x14ac:dyDescent="0.25">
      <c r="T58144" s="135"/>
      <c r="U58144" s="135"/>
    </row>
    <row r="58145" spans="20:21" ht="15" customHeight="1" x14ac:dyDescent="0.25">
      <c r="T58145" s="135"/>
      <c r="U58145" s="135"/>
    </row>
    <row r="58146" spans="20:21" ht="15" customHeight="1" x14ac:dyDescent="0.25">
      <c r="T58146" s="135"/>
      <c r="U58146" s="135"/>
    </row>
    <row r="58147" spans="20:21" ht="15" customHeight="1" x14ac:dyDescent="0.25">
      <c r="T58147" s="135"/>
      <c r="U58147" s="135"/>
    </row>
    <row r="58148" spans="20:21" ht="15" customHeight="1" x14ac:dyDescent="0.25">
      <c r="T58148" s="135"/>
      <c r="U58148" s="135"/>
    </row>
    <row r="58149" spans="20:21" ht="15" customHeight="1" x14ac:dyDescent="0.25">
      <c r="T58149" s="135"/>
      <c r="U58149" s="135"/>
    </row>
    <row r="58150" spans="20:21" ht="15" customHeight="1" x14ac:dyDescent="0.25">
      <c r="T58150" s="135"/>
      <c r="U58150" s="135"/>
    </row>
    <row r="58151" spans="20:21" ht="15" customHeight="1" x14ac:dyDescent="0.25">
      <c r="T58151" s="135"/>
      <c r="U58151" s="135"/>
    </row>
    <row r="58152" spans="20:21" ht="15" customHeight="1" x14ac:dyDescent="0.25">
      <c r="T58152" s="135"/>
      <c r="U58152" s="135"/>
    </row>
    <row r="58153" spans="20:21" ht="15" customHeight="1" x14ac:dyDescent="0.25">
      <c r="T58153" s="135"/>
      <c r="U58153" s="135"/>
    </row>
    <row r="58154" spans="20:21" ht="15" customHeight="1" x14ac:dyDescent="0.25">
      <c r="T58154" s="135"/>
      <c r="U58154" s="135"/>
    </row>
    <row r="58155" spans="20:21" ht="15" customHeight="1" x14ac:dyDescent="0.25">
      <c r="T58155" s="135"/>
      <c r="U58155" s="135"/>
    </row>
    <row r="58156" spans="20:21" ht="15" customHeight="1" x14ac:dyDescent="0.25">
      <c r="T58156" s="135"/>
      <c r="U58156" s="135"/>
    </row>
    <row r="58157" spans="20:21" ht="15" customHeight="1" x14ac:dyDescent="0.25">
      <c r="T58157" s="135"/>
      <c r="U58157" s="135"/>
    </row>
    <row r="58158" spans="20:21" ht="15" customHeight="1" x14ac:dyDescent="0.25">
      <c r="T58158" s="135"/>
      <c r="U58158" s="135"/>
    </row>
    <row r="58159" spans="20:21" ht="15" customHeight="1" x14ac:dyDescent="0.25">
      <c r="T58159" s="135"/>
      <c r="U58159" s="135"/>
    </row>
    <row r="58160" spans="20:21" ht="15" customHeight="1" x14ac:dyDescent="0.25">
      <c r="T58160" s="135"/>
      <c r="U58160" s="135"/>
    </row>
    <row r="58161" spans="20:21" ht="15" customHeight="1" x14ac:dyDescent="0.25">
      <c r="T58161" s="135"/>
      <c r="U58161" s="135"/>
    </row>
    <row r="58162" spans="20:21" ht="15" customHeight="1" x14ac:dyDescent="0.25">
      <c r="T58162" s="135"/>
      <c r="U58162" s="135"/>
    </row>
    <row r="58163" spans="20:21" ht="15" customHeight="1" x14ac:dyDescent="0.25">
      <c r="T58163" s="135"/>
      <c r="U58163" s="135"/>
    </row>
    <row r="58164" spans="20:21" ht="15" customHeight="1" x14ac:dyDescent="0.25">
      <c r="T58164" s="135"/>
      <c r="U58164" s="135"/>
    </row>
    <row r="58165" spans="20:21" ht="15" customHeight="1" x14ac:dyDescent="0.25">
      <c r="T58165" s="135"/>
      <c r="U58165" s="135"/>
    </row>
    <row r="58166" spans="20:21" ht="15" customHeight="1" x14ac:dyDescent="0.25">
      <c r="T58166" s="135"/>
      <c r="U58166" s="135"/>
    </row>
    <row r="58167" spans="20:21" ht="15" customHeight="1" x14ac:dyDescent="0.25">
      <c r="T58167" s="135"/>
      <c r="U58167" s="135"/>
    </row>
    <row r="58168" spans="20:21" ht="15" customHeight="1" x14ac:dyDescent="0.25">
      <c r="T58168" s="135"/>
      <c r="U58168" s="135"/>
    </row>
    <row r="58169" spans="20:21" ht="15" customHeight="1" x14ac:dyDescent="0.25">
      <c r="T58169" s="135"/>
      <c r="U58169" s="135"/>
    </row>
    <row r="58170" spans="20:21" ht="15" customHeight="1" x14ac:dyDescent="0.25">
      <c r="T58170" s="135"/>
      <c r="U58170" s="135"/>
    </row>
    <row r="58171" spans="20:21" ht="15" customHeight="1" x14ac:dyDescent="0.25">
      <c r="T58171" s="135"/>
      <c r="U58171" s="135"/>
    </row>
    <row r="58172" spans="20:21" ht="15" customHeight="1" x14ac:dyDescent="0.25">
      <c r="T58172" s="135"/>
      <c r="U58172" s="135"/>
    </row>
    <row r="58173" spans="20:21" ht="15" customHeight="1" x14ac:dyDescent="0.25">
      <c r="T58173" s="135"/>
      <c r="U58173" s="135"/>
    </row>
    <row r="58174" spans="20:21" ht="15" customHeight="1" x14ac:dyDescent="0.25">
      <c r="T58174" s="135"/>
      <c r="U58174" s="135"/>
    </row>
    <row r="58175" spans="20:21" ht="15" customHeight="1" x14ac:dyDescent="0.25">
      <c r="T58175" s="135"/>
      <c r="U58175" s="135"/>
    </row>
    <row r="58176" spans="20:21" ht="15" customHeight="1" x14ac:dyDescent="0.25">
      <c r="T58176" s="135"/>
      <c r="U58176" s="135"/>
    </row>
    <row r="58177" spans="20:21" ht="15" customHeight="1" x14ac:dyDescent="0.25">
      <c r="T58177" s="135"/>
      <c r="U58177" s="135"/>
    </row>
    <row r="58178" spans="20:21" ht="15" customHeight="1" x14ac:dyDescent="0.25">
      <c r="T58178" s="135"/>
      <c r="U58178" s="135"/>
    </row>
    <row r="58179" spans="20:21" ht="15" customHeight="1" x14ac:dyDescent="0.25">
      <c r="T58179" s="135"/>
      <c r="U58179" s="135"/>
    </row>
    <row r="58180" spans="20:21" ht="15" customHeight="1" x14ac:dyDescent="0.25">
      <c r="T58180" s="135"/>
      <c r="U58180" s="135"/>
    </row>
    <row r="58181" spans="20:21" ht="15" customHeight="1" x14ac:dyDescent="0.25">
      <c r="T58181" s="135"/>
      <c r="U58181" s="135"/>
    </row>
    <row r="58182" spans="20:21" ht="15" customHeight="1" x14ac:dyDescent="0.25">
      <c r="T58182" s="135"/>
      <c r="U58182" s="135"/>
    </row>
    <row r="58183" spans="20:21" ht="15" customHeight="1" x14ac:dyDescent="0.25">
      <c r="T58183" s="135"/>
      <c r="U58183" s="135"/>
    </row>
    <row r="58184" spans="20:21" ht="15" customHeight="1" x14ac:dyDescent="0.25">
      <c r="T58184" s="135"/>
      <c r="U58184" s="135"/>
    </row>
    <row r="58185" spans="20:21" ht="15" customHeight="1" x14ac:dyDescent="0.25">
      <c r="T58185" s="135"/>
      <c r="U58185" s="135"/>
    </row>
    <row r="58186" spans="20:21" ht="15" customHeight="1" x14ac:dyDescent="0.25">
      <c r="T58186" s="135"/>
      <c r="U58186" s="135"/>
    </row>
    <row r="58187" spans="20:21" ht="15" customHeight="1" x14ac:dyDescent="0.25">
      <c r="T58187" s="135"/>
      <c r="U58187" s="135"/>
    </row>
    <row r="58188" spans="20:21" ht="15" customHeight="1" x14ac:dyDescent="0.25">
      <c r="T58188" s="135"/>
      <c r="U58188" s="135"/>
    </row>
    <row r="58189" spans="20:21" ht="15" customHeight="1" x14ac:dyDescent="0.25">
      <c r="T58189" s="135"/>
      <c r="U58189" s="135"/>
    </row>
    <row r="58190" spans="20:21" ht="15" customHeight="1" x14ac:dyDescent="0.25">
      <c r="T58190" s="135"/>
      <c r="U58190" s="135"/>
    </row>
    <row r="58191" spans="20:21" ht="15" customHeight="1" x14ac:dyDescent="0.25">
      <c r="T58191" s="135"/>
      <c r="U58191" s="135"/>
    </row>
    <row r="58192" spans="20:21" ht="15" customHeight="1" x14ac:dyDescent="0.25">
      <c r="T58192" s="135"/>
      <c r="U58192" s="135"/>
    </row>
    <row r="58193" spans="20:21" ht="15" customHeight="1" x14ac:dyDescent="0.25">
      <c r="T58193" s="135"/>
      <c r="U58193" s="135"/>
    </row>
    <row r="58194" spans="20:21" ht="15" customHeight="1" x14ac:dyDescent="0.25">
      <c r="T58194" s="135"/>
      <c r="U58194" s="135"/>
    </row>
    <row r="58195" spans="20:21" ht="15" customHeight="1" x14ac:dyDescent="0.25">
      <c r="T58195" s="135"/>
      <c r="U58195" s="135"/>
    </row>
    <row r="58196" spans="20:21" ht="15" customHeight="1" x14ac:dyDescent="0.25">
      <c r="T58196" s="135"/>
      <c r="U58196" s="135"/>
    </row>
    <row r="58197" spans="20:21" ht="15" customHeight="1" x14ac:dyDescent="0.25">
      <c r="T58197" s="135"/>
      <c r="U58197" s="135"/>
    </row>
    <row r="58198" spans="20:21" ht="15" customHeight="1" x14ac:dyDescent="0.25">
      <c r="T58198" s="135"/>
      <c r="U58198" s="135"/>
    </row>
    <row r="58199" spans="20:21" ht="15" customHeight="1" x14ac:dyDescent="0.25">
      <c r="T58199" s="135"/>
      <c r="U58199" s="135"/>
    </row>
    <row r="58200" spans="20:21" ht="15" customHeight="1" x14ac:dyDescent="0.25">
      <c r="T58200" s="135"/>
      <c r="U58200" s="135"/>
    </row>
    <row r="58201" spans="20:21" ht="15" customHeight="1" x14ac:dyDescent="0.25">
      <c r="T58201" s="135"/>
      <c r="U58201" s="135"/>
    </row>
    <row r="58202" spans="20:21" ht="15" customHeight="1" x14ac:dyDescent="0.25">
      <c r="T58202" s="135"/>
      <c r="U58202" s="135"/>
    </row>
    <row r="58203" spans="20:21" ht="15" customHeight="1" x14ac:dyDescent="0.25">
      <c r="T58203" s="135"/>
      <c r="U58203" s="135"/>
    </row>
    <row r="58204" spans="20:21" ht="15" customHeight="1" x14ac:dyDescent="0.25">
      <c r="T58204" s="135"/>
      <c r="U58204" s="135"/>
    </row>
    <row r="58205" spans="20:21" ht="15" customHeight="1" x14ac:dyDescent="0.25">
      <c r="T58205" s="135"/>
      <c r="U58205" s="135"/>
    </row>
    <row r="58206" spans="20:21" ht="15" customHeight="1" x14ac:dyDescent="0.25">
      <c r="T58206" s="135"/>
      <c r="U58206" s="135"/>
    </row>
    <row r="58207" spans="20:21" ht="15" customHeight="1" x14ac:dyDescent="0.25">
      <c r="T58207" s="135"/>
      <c r="U58207" s="135"/>
    </row>
    <row r="58208" spans="20:21" ht="15" customHeight="1" x14ac:dyDescent="0.25">
      <c r="T58208" s="135"/>
      <c r="U58208" s="135"/>
    </row>
    <row r="58209" spans="20:21" ht="15" customHeight="1" x14ac:dyDescent="0.25">
      <c r="T58209" s="135"/>
      <c r="U58209" s="135"/>
    </row>
    <row r="58210" spans="20:21" ht="15" customHeight="1" x14ac:dyDescent="0.25">
      <c r="T58210" s="135"/>
      <c r="U58210" s="135"/>
    </row>
    <row r="58211" spans="20:21" ht="15" customHeight="1" x14ac:dyDescent="0.25">
      <c r="T58211" s="135"/>
      <c r="U58211" s="135"/>
    </row>
    <row r="58212" spans="20:21" ht="15" customHeight="1" x14ac:dyDescent="0.25">
      <c r="T58212" s="135"/>
      <c r="U58212" s="135"/>
    </row>
    <row r="58213" spans="20:21" ht="15" customHeight="1" x14ac:dyDescent="0.25">
      <c r="T58213" s="135"/>
      <c r="U58213" s="135"/>
    </row>
    <row r="58214" spans="20:21" ht="15" customHeight="1" x14ac:dyDescent="0.25">
      <c r="T58214" s="135"/>
      <c r="U58214" s="135"/>
    </row>
    <row r="58215" spans="20:21" ht="15" customHeight="1" x14ac:dyDescent="0.25">
      <c r="T58215" s="135"/>
      <c r="U58215" s="135"/>
    </row>
    <row r="58216" spans="20:21" ht="15" customHeight="1" x14ac:dyDescent="0.25">
      <c r="T58216" s="135"/>
      <c r="U58216" s="135"/>
    </row>
    <row r="58217" spans="20:21" ht="15" customHeight="1" x14ac:dyDescent="0.25">
      <c r="T58217" s="135"/>
      <c r="U58217" s="135"/>
    </row>
    <row r="58218" spans="20:21" ht="15" customHeight="1" x14ac:dyDescent="0.25">
      <c r="T58218" s="135"/>
      <c r="U58218" s="135"/>
    </row>
    <row r="58219" spans="20:21" ht="15" customHeight="1" x14ac:dyDescent="0.25">
      <c r="T58219" s="135"/>
      <c r="U58219" s="135"/>
    </row>
    <row r="58220" spans="20:21" ht="15" customHeight="1" x14ac:dyDescent="0.25">
      <c r="T58220" s="135"/>
      <c r="U58220" s="135"/>
    </row>
    <row r="58221" spans="20:21" ht="15" customHeight="1" x14ac:dyDescent="0.25">
      <c r="T58221" s="135"/>
      <c r="U58221" s="135"/>
    </row>
    <row r="58222" spans="20:21" ht="15" customHeight="1" x14ac:dyDescent="0.25">
      <c r="T58222" s="135"/>
      <c r="U58222" s="135"/>
    </row>
    <row r="58223" spans="20:21" ht="15" customHeight="1" x14ac:dyDescent="0.25">
      <c r="T58223" s="135"/>
      <c r="U58223" s="135"/>
    </row>
    <row r="58224" spans="20:21" ht="15" customHeight="1" x14ac:dyDescent="0.25">
      <c r="T58224" s="135"/>
      <c r="U58224" s="135"/>
    </row>
    <row r="58225" spans="20:21" ht="15" customHeight="1" x14ac:dyDescent="0.25">
      <c r="T58225" s="135"/>
      <c r="U58225" s="135"/>
    </row>
    <row r="58226" spans="20:21" ht="15" customHeight="1" x14ac:dyDescent="0.25">
      <c r="T58226" s="135"/>
      <c r="U58226" s="135"/>
    </row>
    <row r="58227" spans="20:21" ht="15" customHeight="1" x14ac:dyDescent="0.25">
      <c r="T58227" s="135"/>
      <c r="U58227" s="135"/>
    </row>
    <row r="58228" spans="20:21" ht="15" customHeight="1" x14ac:dyDescent="0.25">
      <c r="T58228" s="135"/>
      <c r="U58228" s="135"/>
    </row>
    <row r="58229" spans="20:21" ht="15" customHeight="1" x14ac:dyDescent="0.25">
      <c r="T58229" s="135"/>
      <c r="U58229" s="135"/>
    </row>
    <row r="58230" spans="20:21" ht="15" customHeight="1" x14ac:dyDescent="0.25">
      <c r="T58230" s="135"/>
      <c r="U58230" s="135"/>
    </row>
    <row r="58231" spans="20:21" ht="15" customHeight="1" x14ac:dyDescent="0.25">
      <c r="T58231" s="135"/>
      <c r="U58231" s="135"/>
    </row>
    <row r="58232" spans="20:21" ht="15" customHeight="1" x14ac:dyDescent="0.25">
      <c r="T58232" s="135"/>
      <c r="U58232" s="135"/>
    </row>
    <row r="58233" spans="20:21" ht="15" customHeight="1" x14ac:dyDescent="0.25">
      <c r="T58233" s="135"/>
      <c r="U58233" s="135"/>
    </row>
    <row r="58234" spans="20:21" ht="15" customHeight="1" x14ac:dyDescent="0.25">
      <c r="T58234" s="135"/>
      <c r="U58234" s="135"/>
    </row>
    <row r="58235" spans="20:21" ht="15" customHeight="1" x14ac:dyDescent="0.25">
      <c r="T58235" s="135"/>
      <c r="U58235" s="135"/>
    </row>
    <row r="58236" spans="20:21" ht="15" customHeight="1" x14ac:dyDescent="0.25">
      <c r="T58236" s="135"/>
      <c r="U58236" s="135"/>
    </row>
    <row r="58237" spans="20:21" ht="15" customHeight="1" x14ac:dyDescent="0.25">
      <c r="T58237" s="135"/>
      <c r="U58237" s="135"/>
    </row>
    <row r="58238" spans="20:21" ht="15" customHeight="1" x14ac:dyDescent="0.25">
      <c r="T58238" s="135"/>
      <c r="U58238" s="135"/>
    </row>
    <row r="58239" spans="20:21" ht="15" customHeight="1" x14ac:dyDescent="0.25">
      <c r="T58239" s="135"/>
      <c r="U58239" s="135"/>
    </row>
    <row r="58240" spans="20:21" ht="15" customHeight="1" x14ac:dyDescent="0.25">
      <c r="T58240" s="135"/>
      <c r="U58240" s="135"/>
    </row>
    <row r="58241" spans="20:21" ht="15" customHeight="1" x14ac:dyDescent="0.25">
      <c r="T58241" s="135"/>
      <c r="U58241" s="135"/>
    </row>
    <row r="58242" spans="20:21" ht="15" customHeight="1" x14ac:dyDescent="0.25">
      <c r="T58242" s="135"/>
      <c r="U58242" s="135"/>
    </row>
    <row r="58243" spans="20:21" ht="15" customHeight="1" x14ac:dyDescent="0.25">
      <c r="T58243" s="135"/>
      <c r="U58243" s="135"/>
    </row>
    <row r="58244" spans="20:21" ht="15" customHeight="1" x14ac:dyDescent="0.25">
      <c r="T58244" s="135"/>
      <c r="U58244" s="135"/>
    </row>
    <row r="58245" spans="20:21" ht="15" customHeight="1" x14ac:dyDescent="0.25">
      <c r="T58245" s="135"/>
      <c r="U58245" s="135"/>
    </row>
    <row r="58246" spans="20:21" ht="15" customHeight="1" x14ac:dyDescent="0.25">
      <c r="T58246" s="135"/>
      <c r="U58246" s="135"/>
    </row>
    <row r="58247" spans="20:21" ht="15" customHeight="1" x14ac:dyDescent="0.25">
      <c r="T58247" s="135"/>
      <c r="U58247" s="135"/>
    </row>
    <row r="58248" spans="20:21" ht="15" customHeight="1" x14ac:dyDescent="0.25">
      <c r="T58248" s="135"/>
      <c r="U58248" s="135"/>
    </row>
    <row r="58249" spans="20:21" ht="15" customHeight="1" x14ac:dyDescent="0.25">
      <c r="T58249" s="135"/>
      <c r="U58249" s="135"/>
    </row>
    <row r="58250" spans="20:21" ht="15" customHeight="1" x14ac:dyDescent="0.25">
      <c r="T58250" s="135"/>
      <c r="U58250" s="135"/>
    </row>
    <row r="58251" spans="20:21" ht="15" customHeight="1" x14ac:dyDescent="0.25">
      <c r="T58251" s="135"/>
      <c r="U58251" s="135"/>
    </row>
    <row r="58252" spans="20:21" ht="15" customHeight="1" x14ac:dyDescent="0.25">
      <c r="T58252" s="135"/>
      <c r="U58252" s="135"/>
    </row>
    <row r="58253" spans="20:21" ht="15" customHeight="1" x14ac:dyDescent="0.25">
      <c r="T58253" s="135"/>
      <c r="U58253" s="135"/>
    </row>
    <row r="58254" spans="20:21" ht="15" customHeight="1" x14ac:dyDescent="0.25">
      <c r="T58254" s="135"/>
      <c r="U58254" s="135"/>
    </row>
    <row r="58255" spans="20:21" ht="15" customHeight="1" x14ac:dyDescent="0.25">
      <c r="T58255" s="135"/>
      <c r="U58255" s="135"/>
    </row>
    <row r="58256" spans="20:21" ht="15" customHeight="1" x14ac:dyDescent="0.25">
      <c r="T58256" s="135"/>
      <c r="U58256" s="135"/>
    </row>
    <row r="58257" spans="20:21" ht="15" customHeight="1" x14ac:dyDescent="0.25">
      <c r="T58257" s="135"/>
      <c r="U58257" s="135"/>
    </row>
    <row r="58258" spans="20:21" ht="15" customHeight="1" x14ac:dyDescent="0.25">
      <c r="T58258" s="135"/>
      <c r="U58258" s="135"/>
    </row>
    <row r="58259" spans="20:21" ht="15" customHeight="1" x14ac:dyDescent="0.25">
      <c r="T58259" s="135"/>
      <c r="U58259" s="135"/>
    </row>
    <row r="58260" spans="20:21" ht="15" customHeight="1" x14ac:dyDescent="0.25">
      <c r="T58260" s="135"/>
      <c r="U58260" s="135"/>
    </row>
    <row r="58261" spans="20:21" ht="15" customHeight="1" x14ac:dyDescent="0.25">
      <c r="T58261" s="135"/>
      <c r="U58261" s="135"/>
    </row>
    <row r="58262" spans="20:21" ht="15" customHeight="1" x14ac:dyDescent="0.25">
      <c r="T58262" s="135"/>
      <c r="U58262" s="135"/>
    </row>
    <row r="58263" spans="20:21" ht="15" customHeight="1" x14ac:dyDescent="0.25">
      <c r="T58263" s="135"/>
      <c r="U58263" s="135"/>
    </row>
    <row r="58264" spans="20:21" ht="15" customHeight="1" x14ac:dyDescent="0.25">
      <c r="T58264" s="135"/>
      <c r="U58264" s="135"/>
    </row>
    <row r="58265" spans="20:21" ht="15" customHeight="1" x14ac:dyDescent="0.25">
      <c r="T58265" s="135"/>
      <c r="U58265" s="135"/>
    </row>
    <row r="58266" spans="20:21" ht="15" customHeight="1" x14ac:dyDescent="0.25">
      <c r="T58266" s="135"/>
      <c r="U58266" s="135"/>
    </row>
    <row r="58267" spans="20:21" ht="15" customHeight="1" x14ac:dyDescent="0.25">
      <c r="T58267" s="135"/>
      <c r="U58267" s="135"/>
    </row>
    <row r="58268" spans="20:21" ht="15" customHeight="1" x14ac:dyDescent="0.25">
      <c r="T58268" s="135"/>
      <c r="U58268" s="135"/>
    </row>
    <row r="58269" spans="20:21" ht="15" customHeight="1" x14ac:dyDescent="0.25">
      <c r="T58269" s="135"/>
      <c r="U58269" s="135"/>
    </row>
    <row r="58270" spans="20:21" ht="15" customHeight="1" x14ac:dyDescent="0.25">
      <c r="T58270" s="135"/>
      <c r="U58270" s="135"/>
    </row>
    <row r="58271" spans="20:21" ht="15" customHeight="1" x14ac:dyDescent="0.25">
      <c r="T58271" s="135"/>
      <c r="U58271" s="135"/>
    </row>
    <row r="58272" spans="20:21" ht="15" customHeight="1" x14ac:dyDescent="0.25">
      <c r="T58272" s="135"/>
      <c r="U58272" s="135"/>
    </row>
    <row r="58273" spans="20:21" ht="15" customHeight="1" x14ac:dyDescent="0.25">
      <c r="T58273" s="135"/>
      <c r="U58273" s="135"/>
    </row>
    <row r="58274" spans="20:21" ht="15" customHeight="1" x14ac:dyDescent="0.25">
      <c r="T58274" s="135"/>
      <c r="U58274" s="135"/>
    </row>
    <row r="58275" spans="20:21" ht="15" customHeight="1" x14ac:dyDescent="0.25">
      <c r="T58275" s="135"/>
      <c r="U58275" s="135"/>
    </row>
    <row r="58276" spans="20:21" ht="15" customHeight="1" x14ac:dyDescent="0.25">
      <c r="T58276" s="135"/>
      <c r="U58276" s="135"/>
    </row>
    <row r="58277" spans="20:21" ht="15" customHeight="1" x14ac:dyDescent="0.25">
      <c r="T58277" s="135"/>
      <c r="U58277" s="135"/>
    </row>
    <row r="58278" spans="20:21" ht="15" customHeight="1" x14ac:dyDescent="0.25">
      <c r="T58278" s="135"/>
      <c r="U58278" s="135"/>
    </row>
    <row r="58279" spans="20:21" ht="15" customHeight="1" x14ac:dyDescent="0.25">
      <c r="T58279" s="135"/>
      <c r="U58279" s="135"/>
    </row>
    <row r="58280" spans="20:21" ht="15" customHeight="1" x14ac:dyDescent="0.25">
      <c r="T58280" s="135"/>
      <c r="U58280" s="135"/>
    </row>
    <row r="58281" spans="20:21" ht="15" customHeight="1" x14ac:dyDescent="0.25">
      <c r="T58281" s="135"/>
      <c r="U58281" s="135"/>
    </row>
    <row r="58282" spans="20:21" ht="15" customHeight="1" x14ac:dyDescent="0.25">
      <c r="T58282" s="135"/>
      <c r="U58282" s="135"/>
    </row>
    <row r="58283" spans="20:21" ht="15" customHeight="1" x14ac:dyDescent="0.25">
      <c r="T58283" s="135"/>
      <c r="U58283" s="135"/>
    </row>
    <row r="58284" spans="20:21" ht="15" customHeight="1" x14ac:dyDescent="0.25">
      <c r="T58284" s="135"/>
      <c r="U58284" s="135"/>
    </row>
    <row r="58285" spans="20:21" ht="15" customHeight="1" x14ac:dyDescent="0.25">
      <c r="T58285" s="135"/>
      <c r="U58285" s="135"/>
    </row>
    <row r="58286" spans="20:21" ht="15" customHeight="1" x14ac:dyDescent="0.25">
      <c r="T58286" s="135"/>
      <c r="U58286" s="135"/>
    </row>
    <row r="58287" spans="20:21" ht="15" customHeight="1" x14ac:dyDescent="0.25">
      <c r="T58287" s="135"/>
      <c r="U58287" s="135"/>
    </row>
    <row r="58288" spans="20:21" ht="15" customHeight="1" x14ac:dyDescent="0.25">
      <c r="T58288" s="135"/>
      <c r="U58288" s="135"/>
    </row>
    <row r="58289" spans="20:21" ht="15" customHeight="1" x14ac:dyDescent="0.25">
      <c r="T58289" s="135"/>
      <c r="U58289" s="135"/>
    </row>
    <row r="58290" spans="20:21" ht="15" customHeight="1" x14ac:dyDescent="0.25">
      <c r="T58290" s="135"/>
      <c r="U58290" s="135"/>
    </row>
    <row r="58291" spans="20:21" ht="15" customHeight="1" x14ac:dyDescent="0.25">
      <c r="T58291" s="135"/>
      <c r="U58291" s="135"/>
    </row>
    <row r="58292" spans="20:21" ht="15" customHeight="1" x14ac:dyDescent="0.25">
      <c r="T58292" s="135"/>
      <c r="U58292" s="135"/>
    </row>
    <row r="58293" spans="20:21" ht="15" customHeight="1" x14ac:dyDescent="0.25">
      <c r="T58293" s="135"/>
      <c r="U58293" s="135"/>
    </row>
    <row r="58294" spans="20:21" ht="15" customHeight="1" x14ac:dyDescent="0.25">
      <c r="T58294" s="135"/>
      <c r="U58294" s="135"/>
    </row>
    <row r="58295" spans="20:21" ht="15" customHeight="1" x14ac:dyDescent="0.25">
      <c r="T58295" s="135"/>
      <c r="U58295" s="135"/>
    </row>
    <row r="58296" spans="20:21" ht="15" customHeight="1" x14ac:dyDescent="0.25">
      <c r="T58296" s="135"/>
      <c r="U58296" s="135"/>
    </row>
    <row r="58297" spans="20:21" ht="15" customHeight="1" x14ac:dyDescent="0.25">
      <c r="T58297" s="135"/>
      <c r="U58297" s="135"/>
    </row>
    <row r="58298" spans="20:21" ht="15" customHeight="1" x14ac:dyDescent="0.25">
      <c r="T58298" s="135"/>
      <c r="U58298" s="135"/>
    </row>
    <row r="58299" spans="20:21" ht="15" customHeight="1" x14ac:dyDescent="0.25">
      <c r="T58299" s="135"/>
      <c r="U58299" s="135"/>
    </row>
    <row r="58300" spans="20:21" ht="15" customHeight="1" x14ac:dyDescent="0.25">
      <c r="T58300" s="135"/>
      <c r="U58300" s="135"/>
    </row>
    <row r="58301" spans="20:21" ht="15" customHeight="1" x14ac:dyDescent="0.25">
      <c r="T58301" s="135"/>
      <c r="U58301" s="135"/>
    </row>
    <row r="58302" spans="20:21" ht="15" customHeight="1" x14ac:dyDescent="0.25">
      <c r="T58302" s="135"/>
      <c r="U58302" s="135"/>
    </row>
    <row r="58303" spans="20:21" ht="15" customHeight="1" x14ac:dyDescent="0.25">
      <c r="T58303" s="135"/>
      <c r="U58303" s="135"/>
    </row>
    <row r="58304" spans="20:21" ht="15" customHeight="1" x14ac:dyDescent="0.25">
      <c r="T58304" s="135"/>
      <c r="U58304" s="135"/>
    </row>
    <row r="58305" spans="20:21" ht="15" customHeight="1" x14ac:dyDescent="0.25">
      <c r="T58305" s="135"/>
      <c r="U58305" s="135"/>
    </row>
    <row r="58306" spans="20:21" ht="15" customHeight="1" x14ac:dyDescent="0.25">
      <c r="T58306" s="135"/>
      <c r="U58306" s="135"/>
    </row>
    <row r="58307" spans="20:21" ht="15" customHeight="1" x14ac:dyDescent="0.25">
      <c r="T58307" s="135"/>
      <c r="U58307" s="135"/>
    </row>
    <row r="58308" spans="20:21" ht="15" customHeight="1" x14ac:dyDescent="0.25">
      <c r="T58308" s="135"/>
      <c r="U58308" s="135"/>
    </row>
    <row r="58309" spans="20:21" ht="15" customHeight="1" x14ac:dyDescent="0.25">
      <c r="T58309" s="135"/>
      <c r="U58309" s="135"/>
    </row>
    <row r="58310" spans="20:21" ht="15" customHeight="1" x14ac:dyDescent="0.25">
      <c r="T58310" s="135"/>
      <c r="U58310" s="135"/>
    </row>
    <row r="58311" spans="20:21" ht="15" customHeight="1" x14ac:dyDescent="0.25">
      <c r="T58311" s="135"/>
      <c r="U58311" s="135"/>
    </row>
    <row r="58312" spans="20:21" ht="15" customHeight="1" x14ac:dyDescent="0.25">
      <c r="T58312" s="135"/>
      <c r="U58312" s="135"/>
    </row>
    <row r="58313" spans="20:21" ht="15" customHeight="1" x14ac:dyDescent="0.25">
      <c r="T58313" s="135"/>
      <c r="U58313" s="135"/>
    </row>
    <row r="58314" spans="20:21" ht="15" customHeight="1" x14ac:dyDescent="0.25">
      <c r="T58314" s="135"/>
      <c r="U58314" s="135"/>
    </row>
    <row r="58315" spans="20:21" ht="15" customHeight="1" x14ac:dyDescent="0.25">
      <c r="T58315" s="135"/>
      <c r="U58315" s="135"/>
    </row>
    <row r="58316" spans="20:21" ht="15" customHeight="1" x14ac:dyDescent="0.25">
      <c r="T58316" s="135"/>
      <c r="U58316" s="135"/>
    </row>
    <row r="58317" spans="20:21" ht="15" customHeight="1" x14ac:dyDescent="0.25">
      <c r="T58317" s="135"/>
      <c r="U58317" s="135"/>
    </row>
    <row r="58318" spans="20:21" ht="15" customHeight="1" x14ac:dyDescent="0.25">
      <c r="T58318" s="135"/>
      <c r="U58318" s="135"/>
    </row>
    <row r="58319" spans="20:21" ht="15" customHeight="1" x14ac:dyDescent="0.25">
      <c r="T58319" s="135"/>
      <c r="U58319" s="135"/>
    </row>
    <row r="58320" spans="20:21" ht="15" customHeight="1" x14ac:dyDescent="0.25">
      <c r="T58320" s="135"/>
      <c r="U58320" s="135"/>
    </row>
    <row r="58321" spans="20:21" ht="15" customHeight="1" x14ac:dyDescent="0.25">
      <c r="T58321" s="135"/>
      <c r="U58321" s="135"/>
    </row>
    <row r="58322" spans="20:21" ht="15" customHeight="1" x14ac:dyDescent="0.25">
      <c r="T58322" s="135"/>
      <c r="U58322" s="135"/>
    </row>
    <row r="58323" spans="20:21" ht="15" customHeight="1" x14ac:dyDescent="0.25">
      <c r="T58323" s="135"/>
      <c r="U58323" s="135"/>
    </row>
    <row r="58324" spans="20:21" ht="15" customHeight="1" x14ac:dyDescent="0.25">
      <c r="T58324" s="135"/>
      <c r="U58324" s="135"/>
    </row>
    <row r="58325" spans="20:21" ht="15" customHeight="1" x14ac:dyDescent="0.25">
      <c r="T58325" s="135"/>
      <c r="U58325" s="135"/>
    </row>
    <row r="58326" spans="20:21" ht="15" customHeight="1" x14ac:dyDescent="0.25">
      <c r="T58326" s="135"/>
      <c r="U58326" s="135"/>
    </row>
    <row r="58327" spans="20:21" ht="15" customHeight="1" x14ac:dyDescent="0.25">
      <c r="T58327" s="135"/>
      <c r="U58327" s="135"/>
    </row>
    <row r="58328" spans="20:21" ht="15" customHeight="1" x14ac:dyDescent="0.25">
      <c r="T58328" s="135"/>
      <c r="U58328" s="135"/>
    </row>
    <row r="58329" spans="20:21" ht="15" customHeight="1" x14ac:dyDescent="0.25">
      <c r="T58329" s="135"/>
      <c r="U58329" s="135"/>
    </row>
    <row r="58330" spans="20:21" ht="15" customHeight="1" x14ac:dyDescent="0.25">
      <c r="T58330" s="135"/>
      <c r="U58330" s="135"/>
    </row>
    <row r="58331" spans="20:21" ht="15" customHeight="1" x14ac:dyDescent="0.25">
      <c r="T58331" s="135"/>
      <c r="U58331" s="135"/>
    </row>
    <row r="58332" spans="20:21" ht="15" customHeight="1" x14ac:dyDescent="0.25">
      <c r="T58332" s="135"/>
      <c r="U58332" s="135"/>
    </row>
    <row r="58333" spans="20:21" ht="15" customHeight="1" x14ac:dyDescent="0.25">
      <c r="T58333" s="135"/>
      <c r="U58333" s="135"/>
    </row>
    <row r="58334" spans="20:21" ht="15" customHeight="1" x14ac:dyDescent="0.25">
      <c r="T58334" s="135"/>
      <c r="U58334" s="135"/>
    </row>
    <row r="58335" spans="20:21" ht="15" customHeight="1" x14ac:dyDescent="0.25">
      <c r="T58335" s="135"/>
      <c r="U58335" s="135"/>
    </row>
    <row r="58336" spans="20:21" ht="15" customHeight="1" x14ac:dyDescent="0.25">
      <c r="T58336" s="135"/>
      <c r="U58336" s="135"/>
    </row>
    <row r="58337" spans="20:21" ht="15" customHeight="1" x14ac:dyDescent="0.25">
      <c r="T58337" s="135"/>
      <c r="U58337" s="135"/>
    </row>
    <row r="58338" spans="20:21" ht="15" customHeight="1" x14ac:dyDescent="0.25">
      <c r="T58338" s="135"/>
      <c r="U58338" s="135"/>
    </row>
    <row r="58339" spans="20:21" ht="15" customHeight="1" x14ac:dyDescent="0.25">
      <c r="T58339" s="135"/>
      <c r="U58339" s="135"/>
    </row>
    <row r="58340" spans="20:21" ht="15" customHeight="1" x14ac:dyDescent="0.25">
      <c r="T58340" s="135"/>
      <c r="U58340" s="135"/>
    </row>
    <row r="58341" spans="20:21" ht="15" customHeight="1" x14ac:dyDescent="0.25">
      <c r="T58341" s="135"/>
      <c r="U58341" s="135"/>
    </row>
    <row r="58342" spans="20:21" ht="15" customHeight="1" x14ac:dyDescent="0.25">
      <c r="T58342" s="135"/>
      <c r="U58342" s="135"/>
    </row>
    <row r="58343" spans="20:21" ht="15" customHeight="1" x14ac:dyDescent="0.25">
      <c r="T58343" s="135"/>
      <c r="U58343" s="135"/>
    </row>
    <row r="58344" spans="20:21" ht="15" customHeight="1" x14ac:dyDescent="0.25">
      <c r="T58344" s="135"/>
      <c r="U58344" s="135"/>
    </row>
    <row r="58345" spans="20:21" ht="15" customHeight="1" x14ac:dyDescent="0.25">
      <c r="T58345" s="135"/>
      <c r="U58345" s="135"/>
    </row>
    <row r="58346" spans="20:21" ht="15" customHeight="1" x14ac:dyDescent="0.25">
      <c r="T58346" s="135"/>
      <c r="U58346" s="135"/>
    </row>
    <row r="58347" spans="20:21" ht="15" customHeight="1" x14ac:dyDescent="0.25">
      <c r="T58347" s="135"/>
      <c r="U58347" s="135"/>
    </row>
    <row r="58348" spans="20:21" ht="15" customHeight="1" x14ac:dyDescent="0.25">
      <c r="T58348" s="135"/>
      <c r="U58348" s="135"/>
    </row>
    <row r="58349" spans="20:21" ht="15" customHeight="1" x14ac:dyDescent="0.25">
      <c r="T58349" s="135"/>
      <c r="U58349" s="135"/>
    </row>
    <row r="58350" spans="20:21" ht="15" customHeight="1" x14ac:dyDescent="0.25">
      <c r="T58350" s="135"/>
      <c r="U58350" s="135"/>
    </row>
    <row r="58351" spans="20:21" ht="15" customHeight="1" x14ac:dyDescent="0.25">
      <c r="T58351" s="135"/>
      <c r="U58351" s="135"/>
    </row>
    <row r="58352" spans="20:21" ht="15" customHeight="1" x14ac:dyDescent="0.25">
      <c r="T58352" s="135"/>
      <c r="U58352" s="135"/>
    </row>
    <row r="58353" spans="20:21" ht="15" customHeight="1" x14ac:dyDescent="0.25">
      <c r="T58353" s="135"/>
      <c r="U58353" s="135"/>
    </row>
    <row r="58354" spans="20:21" ht="15" customHeight="1" x14ac:dyDescent="0.25">
      <c r="T58354" s="135"/>
      <c r="U58354" s="135"/>
    </row>
    <row r="58355" spans="20:21" ht="15" customHeight="1" x14ac:dyDescent="0.25">
      <c r="T58355" s="135"/>
      <c r="U58355" s="135"/>
    </row>
    <row r="58356" spans="20:21" ht="15" customHeight="1" x14ac:dyDescent="0.25">
      <c r="T58356" s="135"/>
      <c r="U58356" s="135"/>
    </row>
    <row r="58357" spans="20:21" ht="15" customHeight="1" x14ac:dyDescent="0.25">
      <c r="T58357" s="135"/>
      <c r="U58357" s="135"/>
    </row>
    <row r="58358" spans="20:21" ht="15" customHeight="1" x14ac:dyDescent="0.25">
      <c r="T58358" s="135"/>
      <c r="U58358" s="135"/>
    </row>
    <row r="58359" spans="20:21" ht="15" customHeight="1" x14ac:dyDescent="0.25">
      <c r="T58359" s="135"/>
      <c r="U58359" s="135"/>
    </row>
    <row r="58360" spans="20:21" ht="15" customHeight="1" x14ac:dyDescent="0.25">
      <c r="T58360" s="135"/>
      <c r="U58360" s="135"/>
    </row>
    <row r="58361" spans="20:21" ht="15" customHeight="1" x14ac:dyDescent="0.25">
      <c r="T58361" s="135"/>
      <c r="U58361" s="135"/>
    </row>
    <row r="58362" spans="20:21" ht="15" customHeight="1" x14ac:dyDescent="0.25">
      <c r="T58362" s="135"/>
      <c r="U58362" s="135"/>
    </row>
    <row r="58363" spans="20:21" ht="15" customHeight="1" x14ac:dyDescent="0.25">
      <c r="T58363" s="135"/>
      <c r="U58363" s="135"/>
    </row>
    <row r="58364" spans="20:21" ht="15" customHeight="1" x14ac:dyDescent="0.25">
      <c r="T58364" s="135"/>
      <c r="U58364" s="135"/>
    </row>
    <row r="58365" spans="20:21" ht="15" customHeight="1" x14ac:dyDescent="0.25">
      <c r="T58365" s="135"/>
      <c r="U58365" s="135"/>
    </row>
    <row r="58366" spans="20:21" ht="15" customHeight="1" x14ac:dyDescent="0.25">
      <c r="T58366" s="135"/>
      <c r="U58366" s="135"/>
    </row>
    <row r="58367" spans="20:21" ht="15" customHeight="1" x14ac:dyDescent="0.25">
      <c r="T58367" s="135"/>
      <c r="U58367" s="135"/>
    </row>
    <row r="58368" spans="20:21" ht="15" customHeight="1" x14ac:dyDescent="0.25">
      <c r="T58368" s="135"/>
      <c r="U58368" s="135"/>
    </row>
    <row r="58369" spans="20:21" ht="15" customHeight="1" x14ac:dyDescent="0.25">
      <c r="T58369" s="135"/>
      <c r="U58369" s="135"/>
    </row>
    <row r="58370" spans="20:21" ht="15" customHeight="1" x14ac:dyDescent="0.25">
      <c r="T58370" s="135"/>
      <c r="U58370" s="135"/>
    </row>
    <row r="58371" spans="20:21" ht="15" customHeight="1" x14ac:dyDescent="0.25">
      <c r="T58371" s="135"/>
      <c r="U58371" s="135"/>
    </row>
    <row r="58372" spans="20:21" ht="15" customHeight="1" x14ac:dyDescent="0.25">
      <c r="T58372" s="135"/>
      <c r="U58372" s="135"/>
    </row>
    <row r="58373" spans="20:21" ht="15" customHeight="1" x14ac:dyDescent="0.25">
      <c r="T58373" s="135"/>
      <c r="U58373" s="135"/>
    </row>
    <row r="58374" spans="20:21" ht="15" customHeight="1" x14ac:dyDescent="0.25">
      <c r="T58374" s="135"/>
      <c r="U58374" s="135"/>
    </row>
    <row r="58375" spans="20:21" ht="15" customHeight="1" x14ac:dyDescent="0.25">
      <c r="T58375" s="135"/>
      <c r="U58375" s="135"/>
    </row>
    <row r="58376" spans="20:21" ht="15" customHeight="1" x14ac:dyDescent="0.25">
      <c r="T58376" s="135"/>
      <c r="U58376" s="135"/>
    </row>
    <row r="58377" spans="20:21" ht="15" customHeight="1" x14ac:dyDescent="0.25">
      <c r="T58377" s="135"/>
      <c r="U58377" s="135"/>
    </row>
    <row r="58378" spans="20:21" ht="15" customHeight="1" x14ac:dyDescent="0.25">
      <c r="T58378" s="135"/>
      <c r="U58378" s="135"/>
    </row>
    <row r="58379" spans="20:21" ht="15" customHeight="1" x14ac:dyDescent="0.25">
      <c r="T58379" s="135"/>
      <c r="U58379" s="135"/>
    </row>
    <row r="58380" spans="20:21" ht="15" customHeight="1" x14ac:dyDescent="0.25">
      <c r="T58380" s="135"/>
      <c r="U58380" s="135"/>
    </row>
    <row r="58381" spans="20:21" ht="15" customHeight="1" x14ac:dyDescent="0.25">
      <c r="T58381" s="135"/>
      <c r="U58381" s="135"/>
    </row>
    <row r="58382" spans="20:21" ht="15" customHeight="1" x14ac:dyDescent="0.25">
      <c r="T58382" s="135"/>
      <c r="U58382" s="135"/>
    </row>
    <row r="58383" spans="20:21" ht="15" customHeight="1" x14ac:dyDescent="0.25">
      <c r="T58383" s="135"/>
      <c r="U58383" s="135"/>
    </row>
    <row r="58384" spans="20:21" ht="15" customHeight="1" x14ac:dyDescent="0.25">
      <c r="T58384" s="135"/>
      <c r="U58384" s="135"/>
    </row>
    <row r="58385" spans="20:21" ht="15" customHeight="1" x14ac:dyDescent="0.25">
      <c r="T58385" s="135"/>
      <c r="U58385" s="135"/>
    </row>
    <row r="58386" spans="20:21" ht="15" customHeight="1" x14ac:dyDescent="0.25">
      <c r="T58386" s="135"/>
      <c r="U58386" s="135"/>
    </row>
    <row r="58387" spans="20:21" ht="15" customHeight="1" x14ac:dyDescent="0.25">
      <c r="T58387" s="135"/>
      <c r="U58387" s="135"/>
    </row>
    <row r="58388" spans="20:21" ht="15" customHeight="1" x14ac:dyDescent="0.25">
      <c r="T58388" s="135"/>
      <c r="U58388" s="135"/>
    </row>
    <row r="58389" spans="20:21" ht="15" customHeight="1" x14ac:dyDescent="0.25">
      <c r="T58389" s="135"/>
      <c r="U58389" s="135"/>
    </row>
    <row r="58390" spans="20:21" ht="15" customHeight="1" x14ac:dyDescent="0.25">
      <c r="T58390" s="135"/>
      <c r="U58390" s="135"/>
    </row>
    <row r="58391" spans="20:21" ht="15" customHeight="1" x14ac:dyDescent="0.25">
      <c r="T58391" s="135"/>
      <c r="U58391" s="135"/>
    </row>
    <row r="58392" spans="20:21" ht="15" customHeight="1" x14ac:dyDescent="0.25">
      <c r="T58392" s="135"/>
      <c r="U58392" s="135"/>
    </row>
    <row r="58393" spans="20:21" ht="15" customHeight="1" x14ac:dyDescent="0.25">
      <c r="T58393" s="135"/>
      <c r="U58393" s="135"/>
    </row>
    <row r="58394" spans="20:21" ht="15" customHeight="1" x14ac:dyDescent="0.25">
      <c r="T58394" s="135"/>
      <c r="U58394" s="135"/>
    </row>
    <row r="58395" spans="20:21" ht="15" customHeight="1" x14ac:dyDescent="0.25">
      <c r="T58395" s="135"/>
      <c r="U58395" s="135"/>
    </row>
    <row r="58396" spans="20:21" ht="15" customHeight="1" x14ac:dyDescent="0.25">
      <c r="T58396" s="135"/>
      <c r="U58396" s="135"/>
    </row>
    <row r="58397" spans="20:21" ht="15" customHeight="1" x14ac:dyDescent="0.25">
      <c r="T58397" s="135"/>
      <c r="U58397" s="135"/>
    </row>
    <row r="58398" spans="20:21" ht="15" customHeight="1" x14ac:dyDescent="0.25">
      <c r="T58398" s="135"/>
      <c r="U58398" s="135"/>
    </row>
    <row r="58399" spans="20:21" ht="15" customHeight="1" x14ac:dyDescent="0.25">
      <c r="T58399" s="135"/>
      <c r="U58399" s="135"/>
    </row>
    <row r="58400" spans="20:21" ht="15" customHeight="1" x14ac:dyDescent="0.25">
      <c r="T58400" s="135"/>
      <c r="U58400" s="135"/>
    </row>
    <row r="58401" spans="20:21" ht="15" customHeight="1" x14ac:dyDescent="0.25">
      <c r="T58401" s="135"/>
      <c r="U58401" s="135"/>
    </row>
    <row r="58402" spans="20:21" ht="15" customHeight="1" x14ac:dyDescent="0.25">
      <c r="T58402" s="135"/>
      <c r="U58402" s="135"/>
    </row>
    <row r="58403" spans="20:21" ht="15" customHeight="1" x14ac:dyDescent="0.25">
      <c r="T58403" s="135"/>
      <c r="U58403" s="135"/>
    </row>
    <row r="58404" spans="20:21" ht="15" customHeight="1" x14ac:dyDescent="0.25">
      <c r="T58404" s="135"/>
      <c r="U58404" s="135"/>
    </row>
    <row r="58405" spans="20:21" ht="15" customHeight="1" x14ac:dyDescent="0.25">
      <c r="T58405" s="135"/>
      <c r="U58405" s="135"/>
    </row>
    <row r="58406" spans="20:21" ht="15" customHeight="1" x14ac:dyDescent="0.25">
      <c r="T58406" s="135"/>
      <c r="U58406" s="135"/>
    </row>
    <row r="58407" spans="20:21" ht="15" customHeight="1" x14ac:dyDescent="0.25">
      <c r="T58407" s="135"/>
      <c r="U58407" s="135"/>
    </row>
    <row r="58408" spans="20:21" ht="15" customHeight="1" x14ac:dyDescent="0.25">
      <c r="T58408" s="135"/>
      <c r="U58408" s="135"/>
    </row>
    <row r="58409" spans="20:21" ht="15" customHeight="1" x14ac:dyDescent="0.25">
      <c r="T58409" s="135"/>
      <c r="U58409" s="135"/>
    </row>
    <row r="58410" spans="20:21" ht="15" customHeight="1" x14ac:dyDescent="0.25">
      <c r="T58410" s="135"/>
      <c r="U58410" s="135"/>
    </row>
    <row r="58411" spans="20:21" ht="15" customHeight="1" x14ac:dyDescent="0.25">
      <c r="T58411" s="135"/>
      <c r="U58411" s="135"/>
    </row>
    <row r="58412" spans="20:21" ht="15" customHeight="1" x14ac:dyDescent="0.25">
      <c r="T58412" s="135"/>
      <c r="U58412" s="135"/>
    </row>
    <row r="58413" spans="20:21" ht="15" customHeight="1" x14ac:dyDescent="0.25">
      <c r="T58413" s="135"/>
      <c r="U58413" s="135"/>
    </row>
    <row r="58414" spans="20:21" ht="15" customHeight="1" x14ac:dyDescent="0.25">
      <c r="T58414" s="135"/>
      <c r="U58414" s="135"/>
    </row>
    <row r="58415" spans="20:21" ht="15" customHeight="1" x14ac:dyDescent="0.25">
      <c r="T58415" s="135"/>
      <c r="U58415" s="135"/>
    </row>
    <row r="58416" spans="20:21" ht="15" customHeight="1" x14ac:dyDescent="0.25">
      <c r="T58416" s="135"/>
      <c r="U58416" s="135"/>
    </row>
    <row r="58417" spans="20:21" ht="15" customHeight="1" x14ac:dyDescent="0.25">
      <c r="T58417" s="135"/>
      <c r="U58417" s="135"/>
    </row>
    <row r="58418" spans="20:21" ht="15" customHeight="1" x14ac:dyDescent="0.25">
      <c r="T58418" s="135"/>
      <c r="U58418" s="135"/>
    </row>
    <row r="58419" spans="20:21" ht="15" customHeight="1" x14ac:dyDescent="0.25">
      <c r="T58419" s="135"/>
      <c r="U58419" s="135"/>
    </row>
    <row r="58420" spans="20:21" ht="15" customHeight="1" x14ac:dyDescent="0.25">
      <c r="T58420" s="135"/>
      <c r="U58420" s="135"/>
    </row>
    <row r="58421" spans="20:21" ht="15" customHeight="1" x14ac:dyDescent="0.25">
      <c r="T58421" s="135"/>
      <c r="U58421" s="135"/>
    </row>
    <row r="58422" spans="20:21" ht="15" customHeight="1" x14ac:dyDescent="0.25">
      <c r="T58422" s="135"/>
      <c r="U58422" s="135"/>
    </row>
    <row r="58423" spans="20:21" ht="15" customHeight="1" x14ac:dyDescent="0.25">
      <c r="T58423" s="135"/>
      <c r="U58423" s="135"/>
    </row>
    <row r="58424" spans="20:21" ht="15" customHeight="1" x14ac:dyDescent="0.25">
      <c r="T58424" s="135"/>
      <c r="U58424" s="135"/>
    </row>
    <row r="58425" spans="20:21" ht="15" customHeight="1" x14ac:dyDescent="0.25">
      <c r="T58425" s="135"/>
      <c r="U58425" s="135"/>
    </row>
    <row r="58426" spans="20:21" ht="15" customHeight="1" x14ac:dyDescent="0.25">
      <c r="T58426" s="135"/>
      <c r="U58426" s="135"/>
    </row>
    <row r="58427" spans="20:21" ht="15" customHeight="1" x14ac:dyDescent="0.25">
      <c r="T58427" s="135"/>
      <c r="U58427" s="135"/>
    </row>
    <row r="58428" spans="20:21" ht="15" customHeight="1" x14ac:dyDescent="0.25">
      <c r="T58428" s="135"/>
      <c r="U58428" s="135"/>
    </row>
    <row r="58429" spans="20:21" ht="15" customHeight="1" x14ac:dyDescent="0.25">
      <c r="T58429" s="135"/>
      <c r="U58429" s="135"/>
    </row>
    <row r="58430" spans="20:21" ht="15" customHeight="1" x14ac:dyDescent="0.25">
      <c r="T58430" s="135"/>
      <c r="U58430" s="135"/>
    </row>
    <row r="58431" spans="20:21" ht="15" customHeight="1" x14ac:dyDescent="0.25">
      <c r="T58431" s="135"/>
      <c r="U58431" s="135"/>
    </row>
    <row r="58432" spans="20:21" ht="15" customHeight="1" x14ac:dyDescent="0.25">
      <c r="T58432" s="135"/>
      <c r="U58432" s="135"/>
    </row>
    <row r="58433" spans="20:21" ht="15" customHeight="1" x14ac:dyDescent="0.25">
      <c r="T58433" s="135"/>
      <c r="U58433" s="135"/>
    </row>
    <row r="58434" spans="20:21" ht="15" customHeight="1" x14ac:dyDescent="0.25">
      <c r="T58434" s="135"/>
      <c r="U58434" s="135"/>
    </row>
    <row r="58435" spans="20:21" ht="15" customHeight="1" x14ac:dyDescent="0.25">
      <c r="T58435" s="135"/>
      <c r="U58435" s="135"/>
    </row>
    <row r="58436" spans="20:21" ht="15" customHeight="1" x14ac:dyDescent="0.25">
      <c r="T58436" s="135"/>
      <c r="U58436" s="135"/>
    </row>
    <row r="58437" spans="20:21" ht="15" customHeight="1" x14ac:dyDescent="0.25">
      <c r="T58437" s="135"/>
      <c r="U58437" s="135"/>
    </row>
    <row r="58438" spans="20:21" ht="15" customHeight="1" x14ac:dyDescent="0.25">
      <c r="T58438" s="135"/>
      <c r="U58438" s="135"/>
    </row>
    <row r="58439" spans="20:21" ht="15" customHeight="1" x14ac:dyDescent="0.25">
      <c r="T58439" s="135"/>
      <c r="U58439" s="135"/>
    </row>
    <row r="58440" spans="20:21" ht="15" customHeight="1" x14ac:dyDescent="0.25">
      <c r="T58440" s="135"/>
      <c r="U58440" s="135"/>
    </row>
    <row r="58441" spans="20:21" ht="15" customHeight="1" x14ac:dyDescent="0.25">
      <c r="T58441" s="135"/>
      <c r="U58441" s="135"/>
    </row>
    <row r="58442" spans="20:21" ht="15" customHeight="1" x14ac:dyDescent="0.25">
      <c r="T58442" s="135"/>
      <c r="U58442" s="135"/>
    </row>
    <row r="58443" spans="20:21" ht="15" customHeight="1" x14ac:dyDescent="0.25">
      <c r="T58443" s="135"/>
      <c r="U58443" s="135"/>
    </row>
    <row r="58444" spans="20:21" ht="15" customHeight="1" x14ac:dyDescent="0.25">
      <c r="T58444" s="135"/>
      <c r="U58444" s="135"/>
    </row>
    <row r="58445" spans="20:21" ht="15" customHeight="1" x14ac:dyDescent="0.25">
      <c r="T58445" s="135"/>
      <c r="U58445" s="135"/>
    </row>
    <row r="58446" spans="20:21" ht="15" customHeight="1" x14ac:dyDescent="0.25">
      <c r="T58446" s="135"/>
      <c r="U58446" s="135"/>
    </row>
    <row r="58447" spans="20:21" ht="15" customHeight="1" x14ac:dyDescent="0.25">
      <c r="T58447" s="135"/>
      <c r="U58447" s="135"/>
    </row>
    <row r="58448" spans="20:21" ht="15" customHeight="1" x14ac:dyDescent="0.25">
      <c r="T58448" s="135"/>
      <c r="U58448" s="135"/>
    </row>
    <row r="58449" spans="20:21" ht="15" customHeight="1" x14ac:dyDescent="0.25">
      <c r="T58449" s="135"/>
      <c r="U58449" s="135"/>
    </row>
    <row r="58450" spans="20:21" ht="15" customHeight="1" x14ac:dyDescent="0.25">
      <c r="T58450" s="135"/>
      <c r="U58450" s="135"/>
    </row>
    <row r="58451" spans="20:21" ht="15" customHeight="1" x14ac:dyDescent="0.25">
      <c r="T58451" s="135"/>
      <c r="U58451" s="135"/>
    </row>
    <row r="58452" spans="20:21" ht="15" customHeight="1" x14ac:dyDescent="0.25">
      <c r="T58452" s="135"/>
      <c r="U58452" s="135"/>
    </row>
    <row r="58453" spans="20:21" ht="15" customHeight="1" x14ac:dyDescent="0.25">
      <c r="T58453" s="135"/>
      <c r="U58453" s="135"/>
    </row>
    <row r="58454" spans="20:21" ht="15" customHeight="1" x14ac:dyDescent="0.25">
      <c r="T58454" s="135"/>
      <c r="U58454" s="135"/>
    </row>
    <row r="58455" spans="20:21" ht="15" customHeight="1" x14ac:dyDescent="0.25">
      <c r="T58455" s="135"/>
      <c r="U58455" s="135"/>
    </row>
    <row r="58456" spans="20:21" ht="15" customHeight="1" x14ac:dyDescent="0.25">
      <c r="T58456" s="135"/>
      <c r="U58456" s="135"/>
    </row>
    <row r="58457" spans="20:21" ht="15" customHeight="1" x14ac:dyDescent="0.25">
      <c r="T58457" s="135"/>
      <c r="U58457" s="135"/>
    </row>
    <row r="58458" spans="20:21" ht="15" customHeight="1" x14ac:dyDescent="0.25">
      <c r="T58458" s="135"/>
      <c r="U58458" s="135"/>
    </row>
    <row r="58459" spans="20:21" ht="15" customHeight="1" x14ac:dyDescent="0.25">
      <c r="T58459" s="135"/>
      <c r="U58459" s="135"/>
    </row>
    <row r="58460" spans="20:21" ht="15" customHeight="1" x14ac:dyDescent="0.25">
      <c r="T58460" s="135"/>
      <c r="U58460" s="135"/>
    </row>
    <row r="58461" spans="20:21" ht="15" customHeight="1" x14ac:dyDescent="0.25">
      <c r="T58461" s="135"/>
      <c r="U58461" s="135"/>
    </row>
    <row r="58462" spans="20:21" ht="15" customHeight="1" x14ac:dyDescent="0.25">
      <c r="T58462" s="135"/>
      <c r="U58462" s="135"/>
    </row>
    <row r="58463" spans="20:21" ht="15" customHeight="1" x14ac:dyDescent="0.25">
      <c r="T58463" s="135"/>
      <c r="U58463" s="135"/>
    </row>
    <row r="58464" spans="20:21" ht="15" customHeight="1" x14ac:dyDescent="0.25">
      <c r="T58464" s="135"/>
      <c r="U58464" s="135"/>
    </row>
    <row r="58465" spans="20:21" ht="15" customHeight="1" x14ac:dyDescent="0.25">
      <c r="T58465" s="135"/>
      <c r="U58465" s="135"/>
    </row>
    <row r="58466" spans="20:21" ht="15" customHeight="1" x14ac:dyDescent="0.25">
      <c r="T58466" s="135"/>
      <c r="U58466" s="135"/>
    </row>
    <row r="58467" spans="20:21" ht="15" customHeight="1" x14ac:dyDescent="0.25">
      <c r="T58467" s="135"/>
      <c r="U58467" s="135"/>
    </row>
    <row r="58468" spans="20:21" ht="15" customHeight="1" x14ac:dyDescent="0.25">
      <c r="T58468" s="135"/>
      <c r="U58468" s="135"/>
    </row>
    <row r="58469" spans="20:21" ht="15" customHeight="1" x14ac:dyDescent="0.25">
      <c r="T58469" s="135"/>
      <c r="U58469" s="135"/>
    </row>
    <row r="58470" spans="20:21" ht="15" customHeight="1" x14ac:dyDescent="0.25">
      <c r="T58470" s="135"/>
      <c r="U58470" s="135"/>
    </row>
    <row r="58471" spans="20:21" ht="15" customHeight="1" x14ac:dyDescent="0.25">
      <c r="T58471" s="135"/>
      <c r="U58471" s="135"/>
    </row>
    <row r="58472" spans="20:21" ht="15" customHeight="1" x14ac:dyDescent="0.25">
      <c r="T58472" s="135"/>
      <c r="U58472" s="135"/>
    </row>
    <row r="58473" spans="20:21" ht="15" customHeight="1" x14ac:dyDescent="0.25">
      <c r="T58473" s="135"/>
      <c r="U58473" s="135"/>
    </row>
    <row r="58474" spans="20:21" ht="15" customHeight="1" x14ac:dyDescent="0.25">
      <c r="T58474" s="135"/>
      <c r="U58474" s="135"/>
    </row>
    <row r="58475" spans="20:21" ht="15" customHeight="1" x14ac:dyDescent="0.25">
      <c r="T58475" s="135"/>
      <c r="U58475" s="135"/>
    </row>
    <row r="58476" spans="20:21" ht="15" customHeight="1" x14ac:dyDescent="0.25">
      <c r="T58476" s="135"/>
      <c r="U58476" s="135"/>
    </row>
    <row r="58477" spans="20:21" ht="15" customHeight="1" x14ac:dyDescent="0.25">
      <c r="T58477" s="135"/>
      <c r="U58477" s="135"/>
    </row>
    <row r="58478" spans="20:21" ht="15" customHeight="1" x14ac:dyDescent="0.25">
      <c r="T58478" s="135"/>
      <c r="U58478" s="135"/>
    </row>
    <row r="58479" spans="20:21" ht="15" customHeight="1" x14ac:dyDescent="0.25">
      <c r="T58479" s="135"/>
      <c r="U58479" s="135"/>
    </row>
    <row r="58480" spans="20:21" ht="15" customHeight="1" x14ac:dyDescent="0.25">
      <c r="T58480" s="135"/>
      <c r="U58480" s="135"/>
    </row>
    <row r="58481" spans="20:21" ht="15" customHeight="1" x14ac:dyDescent="0.25">
      <c r="T58481" s="135"/>
      <c r="U58481" s="135"/>
    </row>
    <row r="58482" spans="20:21" ht="15" customHeight="1" x14ac:dyDescent="0.25">
      <c r="T58482" s="135"/>
      <c r="U58482" s="135"/>
    </row>
    <row r="58483" spans="20:21" ht="15" customHeight="1" x14ac:dyDescent="0.25">
      <c r="T58483" s="135"/>
      <c r="U58483" s="135"/>
    </row>
    <row r="58484" spans="20:21" ht="15" customHeight="1" x14ac:dyDescent="0.25">
      <c r="T58484" s="135"/>
      <c r="U58484" s="135"/>
    </row>
    <row r="58485" spans="20:21" ht="15" customHeight="1" x14ac:dyDescent="0.25">
      <c r="T58485" s="135"/>
      <c r="U58485" s="135"/>
    </row>
    <row r="58486" spans="20:21" ht="15" customHeight="1" x14ac:dyDescent="0.25">
      <c r="T58486" s="135"/>
      <c r="U58486" s="135"/>
    </row>
    <row r="58487" spans="20:21" ht="15" customHeight="1" x14ac:dyDescent="0.25">
      <c r="T58487" s="135"/>
      <c r="U58487" s="135"/>
    </row>
    <row r="58488" spans="20:21" ht="15" customHeight="1" x14ac:dyDescent="0.25">
      <c r="T58488" s="135"/>
      <c r="U58488" s="135"/>
    </row>
    <row r="58489" spans="20:21" ht="15" customHeight="1" x14ac:dyDescent="0.25">
      <c r="T58489" s="135"/>
      <c r="U58489" s="135"/>
    </row>
    <row r="58490" spans="20:21" ht="15" customHeight="1" x14ac:dyDescent="0.25">
      <c r="T58490" s="135"/>
      <c r="U58490" s="135"/>
    </row>
    <row r="58491" spans="20:21" ht="15" customHeight="1" x14ac:dyDescent="0.25">
      <c r="T58491" s="135"/>
      <c r="U58491" s="135"/>
    </row>
    <row r="58492" spans="20:21" ht="15" customHeight="1" x14ac:dyDescent="0.25">
      <c r="T58492" s="135"/>
      <c r="U58492" s="135"/>
    </row>
    <row r="58493" spans="20:21" ht="15" customHeight="1" x14ac:dyDescent="0.25">
      <c r="T58493" s="135"/>
      <c r="U58493" s="135"/>
    </row>
    <row r="58494" spans="20:21" ht="15" customHeight="1" x14ac:dyDescent="0.25">
      <c r="T58494" s="135"/>
      <c r="U58494" s="135"/>
    </row>
    <row r="58495" spans="20:21" ht="15" customHeight="1" x14ac:dyDescent="0.25">
      <c r="T58495" s="135"/>
      <c r="U58495" s="135"/>
    </row>
    <row r="58496" spans="20:21" ht="15" customHeight="1" x14ac:dyDescent="0.25">
      <c r="T58496" s="135"/>
      <c r="U58496" s="135"/>
    </row>
    <row r="58497" spans="20:21" ht="15" customHeight="1" x14ac:dyDescent="0.25">
      <c r="T58497" s="135"/>
      <c r="U58497" s="135"/>
    </row>
    <row r="58498" spans="20:21" ht="15" customHeight="1" x14ac:dyDescent="0.25">
      <c r="T58498" s="135"/>
      <c r="U58498" s="135"/>
    </row>
    <row r="58499" spans="20:21" ht="15" customHeight="1" x14ac:dyDescent="0.25">
      <c r="T58499" s="135"/>
      <c r="U58499" s="135"/>
    </row>
    <row r="58500" spans="20:21" ht="15" customHeight="1" x14ac:dyDescent="0.25">
      <c r="T58500" s="135"/>
      <c r="U58500" s="135"/>
    </row>
    <row r="58501" spans="20:21" ht="15" customHeight="1" x14ac:dyDescent="0.25">
      <c r="T58501" s="135"/>
      <c r="U58501" s="135"/>
    </row>
    <row r="58502" spans="20:21" ht="15" customHeight="1" x14ac:dyDescent="0.25">
      <c r="T58502" s="135"/>
      <c r="U58502" s="135"/>
    </row>
    <row r="58503" spans="20:21" ht="15" customHeight="1" x14ac:dyDescent="0.25">
      <c r="T58503" s="135"/>
      <c r="U58503" s="135"/>
    </row>
    <row r="58504" spans="20:21" ht="15" customHeight="1" x14ac:dyDescent="0.25">
      <c r="T58504" s="135"/>
      <c r="U58504" s="135"/>
    </row>
    <row r="58505" spans="20:21" ht="15" customHeight="1" x14ac:dyDescent="0.25">
      <c r="T58505" s="135"/>
      <c r="U58505" s="135"/>
    </row>
    <row r="58506" spans="20:21" ht="15" customHeight="1" x14ac:dyDescent="0.25">
      <c r="T58506" s="135"/>
      <c r="U58506" s="135"/>
    </row>
    <row r="58507" spans="20:21" ht="15" customHeight="1" x14ac:dyDescent="0.25">
      <c r="T58507" s="135"/>
      <c r="U58507" s="135"/>
    </row>
    <row r="58508" spans="20:21" ht="15" customHeight="1" x14ac:dyDescent="0.25">
      <c r="T58508" s="135"/>
      <c r="U58508" s="135"/>
    </row>
    <row r="58509" spans="20:21" ht="15" customHeight="1" x14ac:dyDescent="0.25">
      <c r="T58509" s="135"/>
      <c r="U58509" s="135"/>
    </row>
    <row r="58510" spans="20:21" ht="15" customHeight="1" x14ac:dyDescent="0.25">
      <c r="T58510" s="135"/>
      <c r="U58510" s="135"/>
    </row>
    <row r="58511" spans="20:21" ht="15" customHeight="1" x14ac:dyDescent="0.25">
      <c r="T58511" s="135"/>
      <c r="U58511" s="135"/>
    </row>
    <row r="58512" spans="20:21" ht="15" customHeight="1" x14ac:dyDescent="0.25">
      <c r="T58512" s="135"/>
      <c r="U58512" s="135"/>
    </row>
    <row r="58513" spans="20:21" ht="15" customHeight="1" x14ac:dyDescent="0.25">
      <c r="T58513" s="135"/>
      <c r="U58513" s="135"/>
    </row>
    <row r="58514" spans="20:21" ht="15" customHeight="1" x14ac:dyDescent="0.25">
      <c r="T58514" s="135"/>
      <c r="U58514" s="135"/>
    </row>
    <row r="58515" spans="20:21" ht="15" customHeight="1" x14ac:dyDescent="0.25">
      <c r="T58515" s="135"/>
      <c r="U58515" s="135"/>
    </row>
    <row r="58516" spans="20:21" ht="15" customHeight="1" x14ac:dyDescent="0.25">
      <c r="T58516" s="135"/>
      <c r="U58516" s="135"/>
    </row>
    <row r="58517" spans="20:21" ht="15" customHeight="1" x14ac:dyDescent="0.25">
      <c r="T58517" s="135"/>
      <c r="U58517" s="135"/>
    </row>
    <row r="58518" spans="20:21" ht="15" customHeight="1" x14ac:dyDescent="0.25">
      <c r="T58518" s="135"/>
      <c r="U58518" s="135"/>
    </row>
    <row r="58519" spans="20:21" ht="15" customHeight="1" x14ac:dyDescent="0.25">
      <c r="T58519" s="135"/>
      <c r="U58519" s="135"/>
    </row>
    <row r="58520" spans="20:21" ht="15" customHeight="1" x14ac:dyDescent="0.25">
      <c r="T58520" s="135"/>
      <c r="U58520" s="135"/>
    </row>
    <row r="58521" spans="20:21" ht="15" customHeight="1" x14ac:dyDescent="0.25">
      <c r="T58521" s="135"/>
      <c r="U58521" s="135"/>
    </row>
    <row r="58522" spans="20:21" ht="15" customHeight="1" x14ac:dyDescent="0.25">
      <c r="T58522" s="135"/>
      <c r="U58522" s="135"/>
    </row>
    <row r="58523" spans="20:21" ht="15" customHeight="1" x14ac:dyDescent="0.25">
      <c r="T58523" s="135"/>
      <c r="U58523" s="135"/>
    </row>
    <row r="58524" spans="20:21" ht="15" customHeight="1" x14ac:dyDescent="0.25">
      <c r="T58524" s="135"/>
      <c r="U58524" s="135"/>
    </row>
    <row r="58525" spans="20:21" ht="15" customHeight="1" x14ac:dyDescent="0.25">
      <c r="T58525" s="135"/>
      <c r="U58525" s="135"/>
    </row>
    <row r="58526" spans="20:21" ht="15" customHeight="1" x14ac:dyDescent="0.25">
      <c r="T58526" s="135"/>
      <c r="U58526" s="135"/>
    </row>
    <row r="58527" spans="20:21" ht="15" customHeight="1" x14ac:dyDescent="0.25">
      <c r="T58527" s="135"/>
      <c r="U58527" s="135"/>
    </row>
    <row r="58528" spans="20:21" ht="15" customHeight="1" x14ac:dyDescent="0.25">
      <c r="T58528" s="135"/>
      <c r="U58528" s="135"/>
    </row>
    <row r="58529" spans="20:21" ht="15" customHeight="1" x14ac:dyDescent="0.25">
      <c r="T58529" s="135"/>
      <c r="U58529" s="135"/>
    </row>
    <row r="58530" spans="20:21" ht="15" customHeight="1" x14ac:dyDescent="0.25">
      <c r="T58530" s="135"/>
      <c r="U58530" s="135"/>
    </row>
    <row r="58531" spans="20:21" ht="15" customHeight="1" x14ac:dyDescent="0.25">
      <c r="T58531" s="135"/>
      <c r="U58531" s="135"/>
    </row>
    <row r="58532" spans="20:21" ht="15" customHeight="1" x14ac:dyDescent="0.25">
      <c r="T58532" s="135"/>
      <c r="U58532" s="135"/>
    </row>
    <row r="58533" spans="20:21" ht="15" customHeight="1" x14ac:dyDescent="0.25">
      <c r="T58533" s="135"/>
      <c r="U58533" s="135"/>
    </row>
    <row r="58534" spans="20:21" ht="15" customHeight="1" x14ac:dyDescent="0.25">
      <c r="T58534" s="135"/>
      <c r="U58534" s="135"/>
    </row>
    <row r="58535" spans="20:21" ht="15" customHeight="1" x14ac:dyDescent="0.25">
      <c r="T58535" s="135"/>
      <c r="U58535" s="135"/>
    </row>
    <row r="58536" spans="20:21" ht="15" customHeight="1" x14ac:dyDescent="0.25">
      <c r="T58536" s="135"/>
      <c r="U58536" s="135"/>
    </row>
    <row r="58537" spans="20:21" ht="15" customHeight="1" x14ac:dyDescent="0.25">
      <c r="T58537" s="135"/>
      <c r="U58537" s="135"/>
    </row>
    <row r="58538" spans="20:21" ht="15" customHeight="1" x14ac:dyDescent="0.25">
      <c r="T58538" s="135"/>
      <c r="U58538" s="135"/>
    </row>
    <row r="58539" spans="20:21" ht="15" customHeight="1" x14ac:dyDescent="0.25">
      <c r="T58539" s="135"/>
      <c r="U58539" s="135"/>
    </row>
    <row r="58540" spans="20:21" ht="15" customHeight="1" x14ac:dyDescent="0.25">
      <c r="T58540" s="135"/>
      <c r="U58540" s="135"/>
    </row>
    <row r="58541" spans="20:21" ht="15" customHeight="1" x14ac:dyDescent="0.25">
      <c r="T58541" s="135"/>
      <c r="U58541" s="135"/>
    </row>
    <row r="58542" spans="20:21" ht="15" customHeight="1" x14ac:dyDescent="0.25">
      <c r="T58542" s="135"/>
      <c r="U58542" s="135"/>
    </row>
    <row r="58543" spans="20:21" ht="15" customHeight="1" x14ac:dyDescent="0.25">
      <c r="T58543" s="135"/>
      <c r="U58543" s="135"/>
    </row>
    <row r="58544" spans="20:21" ht="15" customHeight="1" x14ac:dyDescent="0.25">
      <c r="T58544" s="135"/>
      <c r="U58544" s="135"/>
    </row>
    <row r="58545" spans="20:21" ht="15" customHeight="1" x14ac:dyDescent="0.25">
      <c r="T58545" s="135"/>
      <c r="U58545" s="135"/>
    </row>
    <row r="58546" spans="20:21" ht="15" customHeight="1" x14ac:dyDescent="0.25">
      <c r="T58546" s="135"/>
      <c r="U58546" s="135"/>
    </row>
    <row r="58547" spans="20:21" ht="15" customHeight="1" x14ac:dyDescent="0.25">
      <c r="T58547" s="135"/>
      <c r="U58547" s="135"/>
    </row>
    <row r="58548" spans="20:21" ht="15" customHeight="1" x14ac:dyDescent="0.25">
      <c r="T58548" s="135"/>
      <c r="U58548" s="135"/>
    </row>
    <row r="58549" spans="20:21" ht="15" customHeight="1" x14ac:dyDescent="0.25">
      <c r="T58549" s="135"/>
      <c r="U58549" s="135"/>
    </row>
    <row r="58550" spans="20:21" ht="15" customHeight="1" x14ac:dyDescent="0.25">
      <c r="T58550" s="135"/>
      <c r="U58550" s="135"/>
    </row>
    <row r="58551" spans="20:21" ht="15" customHeight="1" x14ac:dyDescent="0.25">
      <c r="T58551" s="135"/>
      <c r="U58551" s="135"/>
    </row>
    <row r="58552" spans="20:21" ht="15" customHeight="1" x14ac:dyDescent="0.25">
      <c r="T58552" s="135"/>
      <c r="U58552" s="135"/>
    </row>
    <row r="58553" spans="20:21" ht="15" customHeight="1" x14ac:dyDescent="0.25">
      <c r="T58553" s="135"/>
      <c r="U58553" s="135"/>
    </row>
    <row r="58554" spans="20:21" ht="15" customHeight="1" x14ac:dyDescent="0.25">
      <c r="T58554" s="135"/>
      <c r="U58554" s="135"/>
    </row>
    <row r="58555" spans="20:21" ht="15" customHeight="1" x14ac:dyDescent="0.25">
      <c r="T58555" s="135"/>
      <c r="U58555" s="135"/>
    </row>
    <row r="58556" spans="20:21" ht="15" customHeight="1" x14ac:dyDescent="0.25">
      <c r="T58556" s="135"/>
      <c r="U58556" s="135"/>
    </row>
    <row r="58557" spans="20:21" ht="15" customHeight="1" x14ac:dyDescent="0.25">
      <c r="T58557" s="135"/>
      <c r="U58557" s="135"/>
    </row>
    <row r="58558" spans="20:21" ht="15" customHeight="1" x14ac:dyDescent="0.25">
      <c r="T58558" s="135"/>
      <c r="U58558" s="135"/>
    </row>
    <row r="58559" spans="20:21" ht="15" customHeight="1" x14ac:dyDescent="0.25">
      <c r="T58559" s="135"/>
      <c r="U58559" s="135"/>
    </row>
    <row r="58560" spans="20:21" ht="15" customHeight="1" x14ac:dyDescent="0.25">
      <c r="T58560" s="135"/>
      <c r="U58560" s="135"/>
    </row>
    <row r="58561" spans="20:21" ht="15" customHeight="1" x14ac:dyDescent="0.25">
      <c r="T58561" s="135"/>
      <c r="U58561" s="135"/>
    </row>
    <row r="58562" spans="20:21" ht="15" customHeight="1" x14ac:dyDescent="0.25">
      <c r="T58562" s="135"/>
      <c r="U58562" s="135"/>
    </row>
    <row r="58563" spans="20:21" ht="15" customHeight="1" x14ac:dyDescent="0.25">
      <c r="T58563" s="135"/>
      <c r="U58563" s="135"/>
    </row>
    <row r="58564" spans="20:21" ht="15" customHeight="1" x14ac:dyDescent="0.25">
      <c r="T58564" s="135"/>
      <c r="U58564" s="135"/>
    </row>
    <row r="58565" spans="20:21" ht="15" customHeight="1" x14ac:dyDescent="0.25">
      <c r="T58565" s="135"/>
      <c r="U58565" s="135"/>
    </row>
    <row r="58566" spans="20:21" ht="15" customHeight="1" x14ac:dyDescent="0.25">
      <c r="T58566" s="135"/>
      <c r="U58566" s="135"/>
    </row>
    <row r="58567" spans="20:21" ht="15" customHeight="1" x14ac:dyDescent="0.25">
      <c r="T58567" s="135"/>
      <c r="U58567" s="135"/>
    </row>
    <row r="58568" spans="20:21" ht="15" customHeight="1" x14ac:dyDescent="0.25">
      <c r="T58568" s="135"/>
      <c r="U58568" s="135"/>
    </row>
    <row r="58569" spans="20:21" ht="15" customHeight="1" x14ac:dyDescent="0.25">
      <c r="T58569" s="135"/>
      <c r="U58569" s="135"/>
    </row>
    <row r="58570" spans="20:21" ht="15" customHeight="1" x14ac:dyDescent="0.25">
      <c r="T58570" s="135"/>
      <c r="U58570" s="135"/>
    </row>
    <row r="58571" spans="20:21" ht="15" customHeight="1" x14ac:dyDescent="0.25">
      <c r="T58571" s="135"/>
      <c r="U58571" s="135"/>
    </row>
    <row r="58572" spans="20:21" ht="15" customHeight="1" x14ac:dyDescent="0.25">
      <c r="T58572" s="135"/>
      <c r="U58572" s="135"/>
    </row>
    <row r="58573" spans="20:21" ht="15" customHeight="1" x14ac:dyDescent="0.25">
      <c r="T58573" s="135"/>
      <c r="U58573" s="135"/>
    </row>
    <row r="58574" spans="20:21" ht="15" customHeight="1" x14ac:dyDescent="0.25">
      <c r="T58574" s="135"/>
      <c r="U58574" s="135"/>
    </row>
    <row r="58575" spans="20:21" ht="15" customHeight="1" x14ac:dyDescent="0.25">
      <c r="T58575" s="135"/>
      <c r="U58575" s="135"/>
    </row>
    <row r="58576" spans="20:21" ht="15" customHeight="1" x14ac:dyDescent="0.25">
      <c r="T58576" s="135"/>
      <c r="U58576" s="135"/>
    </row>
    <row r="58577" spans="20:21" ht="15" customHeight="1" x14ac:dyDescent="0.25">
      <c r="T58577" s="135"/>
      <c r="U58577" s="135"/>
    </row>
    <row r="58578" spans="20:21" ht="15" customHeight="1" x14ac:dyDescent="0.25">
      <c r="T58578" s="135"/>
      <c r="U58578" s="135"/>
    </row>
    <row r="58579" spans="20:21" ht="15" customHeight="1" x14ac:dyDescent="0.25">
      <c r="T58579" s="135"/>
      <c r="U58579" s="135"/>
    </row>
    <row r="58580" spans="20:21" ht="15" customHeight="1" x14ac:dyDescent="0.25">
      <c r="T58580" s="135"/>
      <c r="U58580" s="135"/>
    </row>
    <row r="58581" spans="20:21" ht="15" customHeight="1" x14ac:dyDescent="0.25">
      <c r="T58581" s="135"/>
      <c r="U58581" s="135"/>
    </row>
    <row r="58582" spans="20:21" ht="15" customHeight="1" x14ac:dyDescent="0.25">
      <c r="T58582" s="135"/>
      <c r="U58582" s="135"/>
    </row>
    <row r="58583" spans="20:21" ht="15" customHeight="1" x14ac:dyDescent="0.25">
      <c r="T58583" s="135"/>
      <c r="U58583" s="135"/>
    </row>
    <row r="58584" spans="20:21" ht="15" customHeight="1" x14ac:dyDescent="0.25">
      <c r="T58584" s="135"/>
      <c r="U58584" s="135"/>
    </row>
    <row r="58585" spans="20:21" ht="15" customHeight="1" x14ac:dyDescent="0.25">
      <c r="T58585" s="135"/>
      <c r="U58585" s="135"/>
    </row>
    <row r="58586" spans="20:21" ht="15" customHeight="1" x14ac:dyDescent="0.25">
      <c r="T58586" s="135"/>
      <c r="U58586" s="135"/>
    </row>
    <row r="58587" spans="20:21" ht="15" customHeight="1" x14ac:dyDescent="0.25">
      <c r="T58587" s="135"/>
      <c r="U58587" s="135"/>
    </row>
    <row r="58588" spans="20:21" ht="15" customHeight="1" x14ac:dyDescent="0.25">
      <c r="T58588" s="135"/>
      <c r="U58588" s="135"/>
    </row>
    <row r="58589" spans="20:21" ht="15" customHeight="1" x14ac:dyDescent="0.25">
      <c r="T58589" s="135"/>
      <c r="U58589" s="135"/>
    </row>
    <row r="58590" spans="20:21" ht="15" customHeight="1" x14ac:dyDescent="0.25">
      <c r="T58590" s="135"/>
      <c r="U58590" s="135"/>
    </row>
    <row r="58591" spans="20:21" ht="15" customHeight="1" x14ac:dyDescent="0.25">
      <c r="T58591" s="135"/>
      <c r="U58591" s="135"/>
    </row>
    <row r="58592" spans="20:21" ht="15" customHeight="1" x14ac:dyDescent="0.25">
      <c r="T58592" s="135"/>
      <c r="U58592" s="135"/>
    </row>
    <row r="58593" spans="20:21" ht="15" customHeight="1" x14ac:dyDescent="0.25">
      <c r="T58593" s="135"/>
      <c r="U58593" s="135"/>
    </row>
    <row r="58594" spans="20:21" ht="15" customHeight="1" x14ac:dyDescent="0.25">
      <c r="T58594" s="135"/>
      <c r="U58594" s="135"/>
    </row>
    <row r="58595" spans="20:21" ht="15" customHeight="1" x14ac:dyDescent="0.25">
      <c r="T58595" s="135"/>
      <c r="U58595" s="135"/>
    </row>
    <row r="58596" spans="20:21" ht="15" customHeight="1" x14ac:dyDescent="0.25">
      <c r="T58596" s="135"/>
      <c r="U58596" s="135"/>
    </row>
    <row r="58597" spans="20:21" ht="15" customHeight="1" x14ac:dyDescent="0.25">
      <c r="T58597" s="135"/>
      <c r="U58597" s="135"/>
    </row>
    <row r="58598" spans="20:21" ht="15" customHeight="1" x14ac:dyDescent="0.25">
      <c r="T58598" s="135"/>
      <c r="U58598" s="135"/>
    </row>
    <row r="58599" spans="20:21" ht="15" customHeight="1" x14ac:dyDescent="0.25">
      <c r="T58599" s="135"/>
      <c r="U58599" s="135"/>
    </row>
    <row r="58600" spans="20:21" ht="15" customHeight="1" x14ac:dyDescent="0.25">
      <c r="T58600" s="135"/>
      <c r="U58600" s="135"/>
    </row>
    <row r="58601" spans="20:21" ht="15" customHeight="1" x14ac:dyDescent="0.25">
      <c r="T58601" s="135"/>
      <c r="U58601" s="135"/>
    </row>
    <row r="58602" spans="20:21" ht="15" customHeight="1" x14ac:dyDescent="0.25">
      <c r="T58602" s="135"/>
      <c r="U58602" s="135"/>
    </row>
    <row r="58603" spans="20:21" ht="15" customHeight="1" x14ac:dyDescent="0.25">
      <c r="T58603" s="135"/>
      <c r="U58603" s="135"/>
    </row>
    <row r="58604" spans="20:21" ht="15" customHeight="1" x14ac:dyDescent="0.25">
      <c r="T58604" s="135"/>
      <c r="U58604" s="135"/>
    </row>
    <row r="58605" spans="20:21" ht="15" customHeight="1" x14ac:dyDescent="0.25">
      <c r="T58605" s="135"/>
      <c r="U58605" s="135"/>
    </row>
    <row r="58606" spans="20:21" ht="15" customHeight="1" x14ac:dyDescent="0.25">
      <c r="T58606" s="135"/>
      <c r="U58606" s="135"/>
    </row>
    <row r="58607" spans="20:21" ht="15" customHeight="1" x14ac:dyDescent="0.25">
      <c r="T58607" s="135"/>
      <c r="U58607" s="135"/>
    </row>
    <row r="58608" spans="20:21" ht="15" customHeight="1" x14ac:dyDescent="0.25">
      <c r="T58608" s="135"/>
      <c r="U58608" s="135"/>
    </row>
    <row r="58609" spans="20:21" ht="15" customHeight="1" x14ac:dyDescent="0.25">
      <c r="T58609" s="135"/>
      <c r="U58609" s="135"/>
    </row>
    <row r="58610" spans="20:21" ht="15" customHeight="1" x14ac:dyDescent="0.25">
      <c r="T58610" s="135"/>
      <c r="U58610" s="135"/>
    </row>
    <row r="58611" spans="20:21" ht="15" customHeight="1" x14ac:dyDescent="0.25">
      <c r="T58611" s="135"/>
      <c r="U58611" s="135"/>
    </row>
    <row r="58612" spans="20:21" ht="15" customHeight="1" x14ac:dyDescent="0.25">
      <c r="T58612" s="135"/>
      <c r="U58612" s="135"/>
    </row>
    <row r="58613" spans="20:21" ht="15" customHeight="1" x14ac:dyDescent="0.25">
      <c r="T58613" s="135"/>
      <c r="U58613" s="135"/>
    </row>
    <row r="58614" spans="20:21" ht="15" customHeight="1" x14ac:dyDescent="0.25">
      <c r="T58614" s="135"/>
      <c r="U58614" s="135"/>
    </row>
    <row r="58615" spans="20:21" ht="15" customHeight="1" x14ac:dyDescent="0.25">
      <c r="T58615" s="135"/>
      <c r="U58615" s="135"/>
    </row>
    <row r="58616" spans="20:21" ht="15" customHeight="1" x14ac:dyDescent="0.25">
      <c r="T58616" s="135"/>
      <c r="U58616" s="135"/>
    </row>
    <row r="58617" spans="20:21" ht="15" customHeight="1" x14ac:dyDescent="0.25">
      <c r="T58617" s="135"/>
      <c r="U58617" s="135"/>
    </row>
    <row r="58618" spans="20:21" ht="15" customHeight="1" x14ac:dyDescent="0.25">
      <c r="T58618" s="135"/>
      <c r="U58618" s="135"/>
    </row>
    <row r="58619" spans="20:21" ht="15" customHeight="1" x14ac:dyDescent="0.25">
      <c r="T58619" s="135"/>
      <c r="U58619" s="135"/>
    </row>
    <row r="58620" spans="20:21" ht="15" customHeight="1" x14ac:dyDescent="0.25">
      <c r="T58620" s="135"/>
      <c r="U58620" s="135"/>
    </row>
    <row r="58621" spans="20:21" ht="15" customHeight="1" x14ac:dyDescent="0.25">
      <c r="T58621" s="135"/>
      <c r="U58621" s="135"/>
    </row>
    <row r="58622" spans="20:21" ht="15" customHeight="1" x14ac:dyDescent="0.25">
      <c r="T58622" s="135"/>
      <c r="U58622" s="135"/>
    </row>
    <row r="58623" spans="20:21" ht="15" customHeight="1" x14ac:dyDescent="0.25">
      <c r="T58623" s="135"/>
      <c r="U58623" s="135"/>
    </row>
    <row r="58624" spans="20:21" ht="15" customHeight="1" x14ac:dyDescent="0.25">
      <c r="T58624" s="135"/>
      <c r="U58624" s="135"/>
    </row>
    <row r="58625" spans="20:21" ht="15" customHeight="1" x14ac:dyDescent="0.25">
      <c r="T58625" s="135"/>
      <c r="U58625" s="135"/>
    </row>
    <row r="58626" spans="20:21" ht="15" customHeight="1" x14ac:dyDescent="0.25">
      <c r="T58626" s="135"/>
      <c r="U58626" s="135"/>
    </row>
    <row r="58627" spans="20:21" ht="15" customHeight="1" x14ac:dyDescent="0.25">
      <c r="T58627" s="135"/>
      <c r="U58627" s="135"/>
    </row>
    <row r="58628" spans="20:21" ht="15" customHeight="1" x14ac:dyDescent="0.25">
      <c r="T58628" s="135"/>
      <c r="U58628" s="135"/>
    </row>
    <row r="58629" spans="20:21" ht="15" customHeight="1" x14ac:dyDescent="0.25">
      <c r="T58629" s="135"/>
      <c r="U58629" s="135"/>
    </row>
    <row r="58630" spans="20:21" ht="15" customHeight="1" x14ac:dyDescent="0.25">
      <c r="T58630" s="135"/>
      <c r="U58630" s="135"/>
    </row>
    <row r="58631" spans="20:21" ht="15" customHeight="1" x14ac:dyDescent="0.25">
      <c r="T58631" s="135"/>
      <c r="U58631" s="135"/>
    </row>
    <row r="58632" spans="20:21" ht="15" customHeight="1" x14ac:dyDescent="0.25">
      <c r="T58632" s="135"/>
      <c r="U58632" s="135"/>
    </row>
    <row r="58633" spans="20:21" ht="15" customHeight="1" x14ac:dyDescent="0.25">
      <c r="T58633" s="135"/>
      <c r="U58633" s="135"/>
    </row>
    <row r="58634" spans="20:21" ht="15" customHeight="1" x14ac:dyDescent="0.25">
      <c r="T58634" s="135"/>
      <c r="U58634" s="135"/>
    </row>
    <row r="58635" spans="20:21" ht="15" customHeight="1" x14ac:dyDescent="0.25">
      <c r="T58635" s="135"/>
      <c r="U58635" s="135"/>
    </row>
    <row r="58636" spans="20:21" ht="15" customHeight="1" x14ac:dyDescent="0.25">
      <c r="T58636" s="135"/>
      <c r="U58636" s="135"/>
    </row>
    <row r="58637" spans="20:21" ht="15" customHeight="1" x14ac:dyDescent="0.25">
      <c r="T58637" s="135"/>
      <c r="U58637" s="135"/>
    </row>
    <row r="58638" spans="20:21" ht="15" customHeight="1" x14ac:dyDescent="0.25">
      <c r="T58638" s="135"/>
      <c r="U58638" s="135"/>
    </row>
    <row r="58639" spans="20:21" ht="15" customHeight="1" x14ac:dyDescent="0.25">
      <c r="T58639" s="135"/>
      <c r="U58639" s="135"/>
    </row>
    <row r="58640" spans="20:21" ht="15" customHeight="1" x14ac:dyDescent="0.25">
      <c r="T58640" s="135"/>
      <c r="U58640" s="135"/>
    </row>
    <row r="58641" spans="20:21" ht="15" customHeight="1" x14ac:dyDescent="0.25">
      <c r="T58641" s="135"/>
      <c r="U58641" s="135"/>
    </row>
    <row r="58642" spans="20:21" ht="15" customHeight="1" x14ac:dyDescent="0.25">
      <c r="T58642" s="135"/>
      <c r="U58642" s="135"/>
    </row>
    <row r="58643" spans="20:21" ht="15" customHeight="1" x14ac:dyDescent="0.25">
      <c r="T58643" s="135"/>
      <c r="U58643" s="135"/>
    </row>
    <row r="58644" spans="20:21" ht="15" customHeight="1" x14ac:dyDescent="0.25">
      <c r="T58644" s="135"/>
      <c r="U58644" s="135"/>
    </row>
    <row r="58645" spans="20:21" ht="15" customHeight="1" x14ac:dyDescent="0.25">
      <c r="T58645" s="135"/>
      <c r="U58645" s="135"/>
    </row>
    <row r="58646" spans="20:21" ht="15" customHeight="1" x14ac:dyDescent="0.25">
      <c r="T58646" s="135"/>
      <c r="U58646" s="135"/>
    </row>
    <row r="58647" spans="20:21" ht="15" customHeight="1" x14ac:dyDescent="0.25">
      <c r="T58647" s="135"/>
      <c r="U58647" s="135"/>
    </row>
    <row r="58648" spans="20:21" ht="15" customHeight="1" x14ac:dyDescent="0.25">
      <c r="T58648" s="135"/>
      <c r="U58648" s="135"/>
    </row>
    <row r="58649" spans="20:21" ht="15" customHeight="1" x14ac:dyDescent="0.25">
      <c r="T58649" s="135"/>
      <c r="U58649" s="135"/>
    </row>
    <row r="58650" spans="20:21" ht="15" customHeight="1" x14ac:dyDescent="0.25">
      <c r="T58650" s="135"/>
      <c r="U58650" s="135"/>
    </row>
    <row r="58651" spans="20:21" ht="15" customHeight="1" x14ac:dyDescent="0.25">
      <c r="T58651" s="135"/>
      <c r="U58651" s="135"/>
    </row>
    <row r="58652" spans="20:21" ht="15" customHeight="1" x14ac:dyDescent="0.25">
      <c r="T58652" s="135"/>
      <c r="U58652" s="135"/>
    </row>
    <row r="58653" spans="20:21" ht="15" customHeight="1" x14ac:dyDescent="0.25">
      <c r="T58653" s="135"/>
      <c r="U58653" s="135"/>
    </row>
    <row r="58654" spans="20:21" ht="15" customHeight="1" x14ac:dyDescent="0.25">
      <c r="T58654" s="135"/>
      <c r="U58654" s="135"/>
    </row>
    <row r="58655" spans="20:21" ht="15" customHeight="1" x14ac:dyDescent="0.25">
      <c r="T58655" s="135"/>
      <c r="U58655" s="135"/>
    </row>
    <row r="58656" spans="20:21" ht="15" customHeight="1" x14ac:dyDescent="0.25">
      <c r="T58656" s="135"/>
      <c r="U58656" s="135"/>
    </row>
    <row r="58657" spans="20:21" ht="15" customHeight="1" x14ac:dyDescent="0.25">
      <c r="T58657" s="135"/>
      <c r="U58657" s="135"/>
    </row>
    <row r="58658" spans="20:21" ht="15" customHeight="1" x14ac:dyDescent="0.25">
      <c r="T58658" s="135"/>
      <c r="U58658" s="135"/>
    </row>
    <row r="58659" spans="20:21" ht="15" customHeight="1" x14ac:dyDescent="0.25">
      <c r="T58659" s="135"/>
      <c r="U58659" s="135"/>
    </row>
    <row r="58660" spans="20:21" ht="15" customHeight="1" x14ac:dyDescent="0.25">
      <c r="T58660" s="135"/>
      <c r="U58660" s="135"/>
    </row>
    <row r="58661" spans="20:21" ht="15" customHeight="1" x14ac:dyDescent="0.25">
      <c r="T58661" s="135"/>
      <c r="U58661" s="135"/>
    </row>
    <row r="58662" spans="20:21" ht="15" customHeight="1" x14ac:dyDescent="0.25">
      <c r="T58662" s="135"/>
      <c r="U58662" s="135"/>
    </row>
    <row r="58663" spans="20:21" ht="15" customHeight="1" x14ac:dyDescent="0.25">
      <c r="T58663" s="135"/>
      <c r="U58663" s="135"/>
    </row>
    <row r="58664" spans="20:21" ht="15" customHeight="1" x14ac:dyDescent="0.25">
      <c r="T58664" s="135"/>
      <c r="U58664" s="135"/>
    </row>
    <row r="58665" spans="20:21" ht="15" customHeight="1" x14ac:dyDescent="0.25">
      <c r="T58665" s="135"/>
      <c r="U58665" s="135"/>
    </row>
    <row r="58666" spans="20:21" ht="15" customHeight="1" x14ac:dyDescent="0.25">
      <c r="T58666" s="135"/>
      <c r="U58666" s="135"/>
    </row>
    <row r="58667" spans="20:21" ht="15" customHeight="1" x14ac:dyDescent="0.25">
      <c r="T58667" s="135"/>
      <c r="U58667" s="135"/>
    </row>
    <row r="58668" spans="20:21" ht="15" customHeight="1" x14ac:dyDescent="0.25">
      <c r="T58668" s="135"/>
      <c r="U58668" s="135"/>
    </row>
    <row r="58669" spans="20:21" ht="15" customHeight="1" x14ac:dyDescent="0.25">
      <c r="T58669" s="135"/>
      <c r="U58669" s="135"/>
    </row>
    <row r="58670" spans="20:21" ht="15" customHeight="1" x14ac:dyDescent="0.25">
      <c r="T58670" s="135"/>
      <c r="U58670" s="135"/>
    </row>
    <row r="58671" spans="20:21" ht="15" customHeight="1" x14ac:dyDescent="0.25">
      <c r="T58671" s="135"/>
      <c r="U58671" s="135"/>
    </row>
    <row r="58672" spans="20:21" ht="15" customHeight="1" x14ac:dyDescent="0.25">
      <c r="T58672" s="135"/>
      <c r="U58672" s="135"/>
    </row>
    <row r="58673" spans="20:21" ht="15" customHeight="1" x14ac:dyDescent="0.25">
      <c r="T58673" s="135"/>
      <c r="U58673" s="135"/>
    </row>
    <row r="58674" spans="20:21" ht="15" customHeight="1" x14ac:dyDescent="0.25">
      <c r="T58674" s="135"/>
      <c r="U58674" s="135"/>
    </row>
    <row r="58675" spans="20:21" ht="15" customHeight="1" x14ac:dyDescent="0.25">
      <c r="T58675" s="135"/>
      <c r="U58675" s="135"/>
    </row>
    <row r="58676" spans="20:21" ht="15" customHeight="1" x14ac:dyDescent="0.25">
      <c r="T58676" s="135"/>
      <c r="U58676" s="135"/>
    </row>
    <row r="58677" spans="20:21" ht="15" customHeight="1" x14ac:dyDescent="0.25">
      <c r="T58677" s="135"/>
      <c r="U58677" s="135"/>
    </row>
    <row r="58678" spans="20:21" ht="15" customHeight="1" x14ac:dyDescent="0.25">
      <c r="T58678" s="135"/>
      <c r="U58678" s="135"/>
    </row>
    <row r="58679" spans="20:21" ht="15" customHeight="1" x14ac:dyDescent="0.25">
      <c r="T58679" s="135"/>
      <c r="U58679" s="135"/>
    </row>
    <row r="58680" spans="20:21" ht="15" customHeight="1" x14ac:dyDescent="0.25">
      <c r="T58680" s="135"/>
      <c r="U58680" s="135"/>
    </row>
    <row r="58681" spans="20:21" ht="15" customHeight="1" x14ac:dyDescent="0.25">
      <c r="T58681" s="135"/>
      <c r="U58681" s="135"/>
    </row>
    <row r="58682" spans="20:21" ht="15" customHeight="1" x14ac:dyDescent="0.25">
      <c r="T58682" s="135"/>
      <c r="U58682" s="135"/>
    </row>
    <row r="58683" spans="20:21" ht="15" customHeight="1" x14ac:dyDescent="0.25">
      <c r="T58683" s="135"/>
      <c r="U58683" s="135"/>
    </row>
    <row r="58684" spans="20:21" ht="15" customHeight="1" x14ac:dyDescent="0.25">
      <c r="T58684" s="135"/>
      <c r="U58684" s="135"/>
    </row>
    <row r="58685" spans="20:21" ht="15" customHeight="1" x14ac:dyDescent="0.25">
      <c r="T58685" s="135"/>
      <c r="U58685" s="135"/>
    </row>
    <row r="58686" spans="20:21" ht="15" customHeight="1" x14ac:dyDescent="0.25">
      <c r="T58686" s="135"/>
      <c r="U58686" s="135"/>
    </row>
    <row r="58687" spans="20:21" ht="15" customHeight="1" x14ac:dyDescent="0.25">
      <c r="T58687" s="135"/>
      <c r="U58687" s="135"/>
    </row>
    <row r="58688" spans="20:21" ht="15" customHeight="1" x14ac:dyDescent="0.25">
      <c r="T58688" s="135"/>
      <c r="U58688" s="135"/>
    </row>
    <row r="58689" spans="20:21" ht="15" customHeight="1" x14ac:dyDescent="0.25">
      <c r="T58689" s="135"/>
      <c r="U58689" s="135"/>
    </row>
    <row r="58690" spans="20:21" ht="15" customHeight="1" x14ac:dyDescent="0.25">
      <c r="T58690" s="135"/>
      <c r="U58690" s="135"/>
    </row>
    <row r="58691" spans="20:21" ht="15" customHeight="1" x14ac:dyDescent="0.25">
      <c r="T58691" s="135"/>
      <c r="U58691" s="135"/>
    </row>
    <row r="58692" spans="20:21" ht="15" customHeight="1" x14ac:dyDescent="0.25">
      <c r="T58692" s="135"/>
      <c r="U58692" s="135"/>
    </row>
    <row r="58693" spans="20:21" ht="15" customHeight="1" x14ac:dyDescent="0.25">
      <c r="T58693" s="135"/>
      <c r="U58693" s="135"/>
    </row>
    <row r="58694" spans="20:21" ht="15" customHeight="1" x14ac:dyDescent="0.25">
      <c r="T58694" s="135"/>
      <c r="U58694" s="135"/>
    </row>
    <row r="58695" spans="20:21" ht="15" customHeight="1" x14ac:dyDescent="0.25">
      <c r="T58695" s="135"/>
      <c r="U58695" s="135"/>
    </row>
    <row r="58696" spans="20:21" ht="15" customHeight="1" x14ac:dyDescent="0.25">
      <c r="T58696" s="135"/>
      <c r="U58696" s="135"/>
    </row>
    <row r="58697" spans="20:21" ht="15" customHeight="1" x14ac:dyDescent="0.25">
      <c r="T58697" s="135"/>
      <c r="U58697" s="135"/>
    </row>
    <row r="58698" spans="20:21" ht="15" customHeight="1" x14ac:dyDescent="0.25">
      <c r="T58698" s="135"/>
      <c r="U58698" s="135"/>
    </row>
    <row r="58699" spans="20:21" ht="15" customHeight="1" x14ac:dyDescent="0.25">
      <c r="T58699" s="135"/>
      <c r="U58699" s="135"/>
    </row>
    <row r="58700" spans="20:21" ht="15" customHeight="1" x14ac:dyDescent="0.25">
      <c r="T58700" s="135"/>
      <c r="U58700" s="135"/>
    </row>
    <row r="58701" spans="20:21" ht="15" customHeight="1" x14ac:dyDescent="0.25">
      <c r="T58701" s="135"/>
      <c r="U58701" s="135"/>
    </row>
    <row r="58702" spans="20:21" ht="15" customHeight="1" x14ac:dyDescent="0.25">
      <c r="T58702" s="135"/>
      <c r="U58702" s="135"/>
    </row>
    <row r="58703" spans="20:21" ht="15" customHeight="1" x14ac:dyDescent="0.25">
      <c r="T58703" s="135"/>
      <c r="U58703" s="135"/>
    </row>
    <row r="58704" spans="20:21" ht="15" customHeight="1" x14ac:dyDescent="0.25">
      <c r="T58704" s="135"/>
      <c r="U58704" s="135"/>
    </row>
    <row r="58705" spans="20:21" ht="15" customHeight="1" x14ac:dyDescent="0.25">
      <c r="T58705" s="135"/>
      <c r="U58705" s="135"/>
    </row>
    <row r="58706" spans="20:21" ht="15" customHeight="1" x14ac:dyDescent="0.25">
      <c r="T58706" s="135"/>
      <c r="U58706" s="135"/>
    </row>
    <row r="58707" spans="20:21" ht="15" customHeight="1" x14ac:dyDescent="0.25">
      <c r="T58707" s="135"/>
      <c r="U58707" s="135"/>
    </row>
    <row r="58708" spans="20:21" ht="15" customHeight="1" x14ac:dyDescent="0.25">
      <c r="T58708" s="135"/>
      <c r="U58708" s="135"/>
    </row>
    <row r="58709" spans="20:21" ht="15" customHeight="1" x14ac:dyDescent="0.25">
      <c r="T58709" s="135"/>
      <c r="U58709" s="135"/>
    </row>
    <row r="58710" spans="20:21" ht="15" customHeight="1" x14ac:dyDescent="0.25">
      <c r="T58710" s="135"/>
      <c r="U58710" s="135"/>
    </row>
    <row r="58711" spans="20:21" ht="15" customHeight="1" x14ac:dyDescent="0.25">
      <c r="T58711" s="135"/>
      <c r="U58711" s="135"/>
    </row>
    <row r="58712" spans="20:21" ht="15" customHeight="1" x14ac:dyDescent="0.25">
      <c r="T58712" s="135"/>
      <c r="U58712" s="135"/>
    </row>
    <row r="58713" spans="20:21" ht="15" customHeight="1" x14ac:dyDescent="0.25">
      <c r="T58713" s="135"/>
      <c r="U58713" s="135"/>
    </row>
    <row r="58714" spans="20:21" ht="15" customHeight="1" x14ac:dyDescent="0.25">
      <c r="T58714" s="135"/>
      <c r="U58714" s="135"/>
    </row>
    <row r="58715" spans="20:21" ht="15" customHeight="1" x14ac:dyDescent="0.25">
      <c r="T58715" s="135"/>
      <c r="U58715" s="135"/>
    </row>
    <row r="58716" spans="20:21" ht="15" customHeight="1" x14ac:dyDescent="0.25">
      <c r="T58716" s="135"/>
      <c r="U58716" s="135"/>
    </row>
    <row r="58717" spans="20:21" ht="15" customHeight="1" x14ac:dyDescent="0.25">
      <c r="T58717" s="135"/>
      <c r="U58717" s="135"/>
    </row>
    <row r="58718" spans="20:21" ht="15" customHeight="1" x14ac:dyDescent="0.25">
      <c r="T58718" s="135"/>
      <c r="U58718" s="135"/>
    </row>
    <row r="58719" spans="20:21" ht="15" customHeight="1" x14ac:dyDescent="0.25">
      <c r="T58719" s="135"/>
      <c r="U58719" s="135"/>
    </row>
    <row r="58720" spans="20:21" ht="15" customHeight="1" x14ac:dyDescent="0.25">
      <c r="T58720" s="135"/>
      <c r="U58720" s="135"/>
    </row>
    <row r="58721" spans="20:21" ht="15" customHeight="1" x14ac:dyDescent="0.25">
      <c r="T58721" s="135"/>
      <c r="U58721" s="135"/>
    </row>
    <row r="58722" spans="20:21" ht="15" customHeight="1" x14ac:dyDescent="0.25">
      <c r="T58722" s="135"/>
      <c r="U58722" s="135"/>
    </row>
    <row r="58723" spans="20:21" ht="15" customHeight="1" x14ac:dyDescent="0.25">
      <c r="T58723" s="135"/>
      <c r="U58723" s="135"/>
    </row>
    <row r="58724" spans="20:21" ht="15" customHeight="1" x14ac:dyDescent="0.25">
      <c r="T58724" s="135"/>
      <c r="U58724" s="135"/>
    </row>
    <row r="58725" spans="20:21" ht="15" customHeight="1" x14ac:dyDescent="0.25">
      <c r="T58725" s="135"/>
      <c r="U58725" s="135"/>
    </row>
    <row r="58726" spans="20:21" ht="15" customHeight="1" x14ac:dyDescent="0.25">
      <c r="T58726" s="135"/>
      <c r="U58726" s="135"/>
    </row>
    <row r="58727" spans="20:21" ht="15" customHeight="1" x14ac:dyDescent="0.25">
      <c r="T58727" s="135"/>
      <c r="U58727" s="135"/>
    </row>
    <row r="58728" spans="20:21" ht="15" customHeight="1" x14ac:dyDescent="0.25">
      <c r="T58728" s="135"/>
      <c r="U58728" s="135"/>
    </row>
    <row r="58729" spans="20:21" ht="15" customHeight="1" x14ac:dyDescent="0.25">
      <c r="T58729" s="135"/>
      <c r="U58729" s="135"/>
    </row>
    <row r="58730" spans="20:21" ht="15" customHeight="1" x14ac:dyDescent="0.25">
      <c r="T58730" s="135"/>
      <c r="U58730" s="135"/>
    </row>
    <row r="58731" spans="20:21" ht="15" customHeight="1" x14ac:dyDescent="0.25">
      <c r="T58731" s="135"/>
      <c r="U58731" s="135"/>
    </row>
    <row r="58732" spans="20:21" ht="15" customHeight="1" x14ac:dyDescent="0.25">
      <c r="T58732" s="135"/>
      <c r="U58732" s="135"/>
    </row>
    <row r="58733" spans="20:21" ht="15" customHeight="1" x14ac:dyDescent="0.25">
      <c r="T58733" s="135"/>
      <c r="U58733" s="135"/>
    </row>
    <row r="58734" spans="20:21" ht="15" customHeight="1" x14ac:dyDescent="0.25">
      <c r="T58734" s="135"/>
      <c r="U58734" s="135"/>
    </row>
    <row r="58735" spans="20:21" ht="15" customHeight="1" x14ac:dyDescent="0.25">
      <c r="T58735" s="135"/>
      <c r="U58735" s="135"/>
    </row>
    <row r="58736" spans="20:21" ht="15" customHeight="1" x14ac:dyDescent="0.25">
      <c r="T58736" s="135"/>
      <c r="U58736" s="135"/>
    </row>
    <row r="58737" spans="20:21" ht="15" customHeight="1" x14ac:dyDescent="0.25">
      <c r="T58737" s="135"/>
      <c r="U58737" s="135"/>
    </row>
    <row r="58738" spans="20:21" ht="15" customHeight="1" x14ac:dyDescent="0.25">
      <c r="T58738" s="135"/>
      <c r="U58738" s="135"/>
    </row>
    <row r="58739" spans="20:21" ht="15" customHeight="1" x14ac:dyDescent="0.25">
      <c r="T58739" s="135"/>
      <c r="U58739" s="135"/>
    </row>
    <row r="58740" spans="20:21" ht="15" customHeight="1" x14ac:dyDescent="0.25">
      <c r="T58740" s="135"/>
      <c r="U58740" s="135"/>
    </row>
    <row r="58741" spans="20:21" ht="15" customHeight="1" x14ac:dyDescent="0.25">
      <c r="T58741" s="135"/>
      <c r="U58741" s="135"/>
    </row>
    <row r="58742" spans="20:21" ht="15" customHeight="1" x14ac:dyDescent="0.25">
      <c r="T58742" s="135"/>
      <c r="U58742" s="135"/>
    </row>
    <row r="58743" spans="20:21" ht="15" customHeight="1" x14ac:dyDescent="0.25">
      <c r="T58743" s="135"/>
      <c r="U58743" s="135"/>
    </row>
    <row r="58744" spans="20:21" ht="15" customHeight="1" x14ac:dyDescent="0.25">
      <c r="T58744" s="135"/>
      <c r="U58744" s="135"/>
    </row>
    <row r="58745" spans="20:21" ht="15" customHeight="1" x14ac:dyDescent="0.25">
      <c r="T58745" s="135"/>
      <c r="U58745" s="135"/>
    </row>
    <row r="58746" spans="20:21" ht="15" customHeight="1" x14ac:dyDescent="0.25">
      <c r="T58746" s="135"/>
      <c r="U58746" s="135"/>
    </row>
    <row r="58747" spans="20:21" ht="15" customHeight="1" x14ac:dyDescent="0.25">
      <c r="T58747" s="135"/>
      <c r="U58747" s="135"/>
    </row>
    <row r="58748" spans="20:21" ht="15" customHeight="1" x14ac:dyDescent="0.25">
      <c r="T58748" s="135"/>
      <c r="U58748" s="135"/>
    </row>
    <row r="58749" spans="20:21" ht="15" customHeight="1" x14ac:dyDescent="0.25">
      <c r="T58749" s="135"/>
      <c r="U58749" s="135"/>
    </row>
    <row r="58750" spans="20:21" ht="15" customHeight="1" x14ac:dyDescent="0.25">
      <c r="T58750" s="135"/>
      <c r="U58750" s="135"/>
    </row>
    <row r="58751" spans="20:21" ht="15" customHeight="1" x14ac:dyDescent="0.25">
      <c r="T58751" s="135"/>
      <c r="U58751" s="135"/>
    </row>
    <row r="58752" spans="20:21" ht="15" customHeight="1" x14ac:dyDescent="0.25">
      <c r="T58752" s="135"/>
      <c r="U58752" s="135"/>
    </row>
    <row r="58753" spans="20:21" ht="15" customHeight="1" x14ac:dyDescent="0.25">
      <c r="T58753" s="135"/>
      <c r="U58753" s="135"/>
    </row>
    <row r="58754" spans="20:21" ht="15" customHeight="1" x14ac:dyDescent="0.25">
      <c r="T58754" s="135"/>
      <c r="U58754" s="135"/>
    </row>
    <row r="58755" spans="20:21" ht="15" customHeight="1" x14ac:dyDescent="0.25">
      <c r="T58755" s="135"/>
      <c r="U58755" s="135"/>
    </row>
    <row r="58756" spans="20:21" ht="15" customHeight="1" x14ac:dyDescent="0.25">
      <c r="T58756" s="135"/>
      <c r="U58756" s="135"/>
    </row>
    <row r="58757" spans="20:21" ht="15" customHeight="1" x14ac:dyDescent="0.25">
      <c r="T58757" s="135"/>
      <c r="U58757" s="135"/>
    </row>
    <row r="58758" spans="20:21" ht="15" customHeight="1" x14ac:dyDescent="0.25">
      <c r="T58758" s="135"/>
      <c r="U58758" s="135"/>
    </row>
    <row r="58759" spans="20:21" ht="15" customHeight="1" x14ac:dyDescent="0.25">
      <c r="T58759" s="135"/>
      <c r="U58759" s="135"/>
    </row>
    <row r="58760" spans="20:21" ht="15" customHeight="1" x14ac:dyDescent="0.25">
      <c r="T58760" s="135"/>
      <c r="U58760" s="135"/>
    </row>
    <row r="58761" spans="20:21" ht="15" customHeight="1" x14ac:dyDescent="0.25">
      <c r="T58761" s="135"/>
      <c r="U58761" s="135"/>
    </row>
    <row r="58762" spans="20:21" ht="15" customHeight="1" x14ac:dyDescent="0.25">
      <c r="T58762" s="135"/>
      <c r="U58762" s="135"/>
    </row>
    <row r="58763" spans="20:21" ht="15" customHeight="1" x14ac:dyDescent="0.25">
      <c r="T58763" s="135"/>
      <c r="U58763" s="135"/>
    </row>
    <row r="58764" spans="20:21" ht="15" customHeight="1" x14ac:dyDescent="0.25">
      <c r="T58764" s="135"/>
      <c r="U58764" s="135"/>
    </row>
    <row r="58765" spans="20:21" ht="15" customHeight="1" x14ac:dyDescent="0.25">
      <c r="T58765" s="135"/>
      <c r="U58765" s="135"/>
    </row>
    <row r="58766" spans="20:21" ht="15" customHeight="1" x14ac:dyDescent="0.25">
      <c r="T58766" s="135"/>
      <c r="U58766" s="135"/>
    </row>
    <row r="58767" spans="20:21" ht="15" customHeight="1" x14ac:dyDescent="0.25">
      <c r="T58767" s="135"/>
      <c r="U58767" s="135"/>
    </row>
    <row r="58768" spans="20:21" ht="15" customHeight="1" x14ac:dyDescent="0.25">
      <c r="T58768" s="135"/>
      <c r="U58768" s="135"/>
    </row>
    <row r="58769" spans="20:21" ht="15" customHeight="1" x14ac:dyDescent="0.25">
      <c r="T58769" s="135"/>
      <c r="U58769" s="135"/>
    </row>
    <row r="58770" spans="20:21" ht="15" customHeight="1" x14ac:dyDescent="0.25">
      <c r="T58770" s="135"/>
      <c r="U58770" s="135"/>
    </row>
    <row r="58771" spans="20:21" ht="15" customHeight="1" x14ac:dyDescent="0.25">
      <c r="T58771" s="135"/>
      <c r="U58771" s="135"/>
    </row>
    <row r="58772" spans="20:21" ht="15" customHeight="1" x14ac:dyDescent="0.25">
      <c r="T58772" s="135"/>
      <c r="U58772" s="135"/>
    </row>
    <row r="58773" spans="20:21" ht="15" customHeight="1" x14ac:dyDescent="0.25">
      <c r="T58773" s="135"/>
      <c r="U58773" s="135"/>
    </row>
    <row r="58774" spans="20:21" ht="15" customHeight="1" x14ac:dyDescent="0.25">
      <c r="T58774" s="135"/>
      <c r="U58774" s="135"/>
    </row>
    <row r="58775" spans="20:21" ht="15" customHeight="1" x14ac:dyDescent="0.25">
      <c r="T58775" s="135"/>
      <c r="U58775" s="135"/>
    </row>
    <row r="58776" spans="20:21" ht="15" customHeight="1" x14ac:dyDescent="0.25">
      <c r="T58776" s="135"/>
      <c r="U58776" s="135"/>
    </row>
    <row r="58777" spans="20:21" ht="15" customHeight="1" x14ac:dyDescent="0.25">
      <c r="T58777" s="135"/>
      <c r="U58777" s="135"/>
    </row>
    <row r="58778" spans="20:21" ht="15" customHeight="1" x14ac:dyDescent="0.25">
      <c r="T58778" s="135"/>
      <c r="U58778" s="135"/>
    </row>
    <row r="58779" spans="20:21" ht="15" customHeight="1" x14ac:dyDescent="0.25">
      <c r="T58779" s="135"/>
      <c r="U58779" s="135"/>
    </row>
    <row r="58780" spans="20:21" ht="15" customHeight="1" x14ac:dyDescent="0.25">
      <c r="T58780" s="135"/>
      <c r="U58780" s="135"/>
    </row>
    <row r="58781" spans="20:21" ht="15" customHeight="1" x14ac:dyDescent="0.25">
      <c r="T58781" s="135"/>
      <c r="U58781" s="135"/>
    </row>
    <row r="58782" spans="20:21" ht="15" customHeight="1" x14ac:dyDescent="0.25">
      <c r="T58782" s="135"/>
      <c r="U58782" s="135"/>
    </row>
    <row r="58783" spans="20:21" ht="15" customHeight="1" x14ac:dyDescent="0.25">
      <c r="T58783" s="135"/>
      <c r="U58783" s="135"/>
    </row>
    <row r="58784" spans="20:21" ht="15" customHeight="1" x14ac:dyDescent="0.25">
      <c r="T58784" s="135"/>
      <c r="U58784" s="135"/>
    </row>
    <row r="58785" spans="20:21" ht="15" customHeight="1" x14ac:dyDescent="0.25">
      <c r="T58785" s="135"/>
      <c r="U58785" s="135"/>
    </row>
    <row r="58786" spans="20:21" ht="15" customHeight="1" x14ac:dyDescent="0.25">
      <c r="T58786" s="135"/>
      <c r="U58786" s="135"/>
    </row>
    <row r="58787" spans="20:21" ht="15" customHeight="1" x14ac:dyDescent="0.25">
      <c r="T58787" s="135"/>
      <c r="U58787" s="135"/>
    </row>
    <row r="58788" spans="20:21" ht="15" customHeight="1" x14ac:dyDescent="0.25">
      <c r="T58788" s="135"/>
      <c r="U58788" s="135"/>
    </row>
    <row r="58789" spans="20:21" ht="15" customHeight="1" x14ac:dyDescent="0.25">
      <c r="T58789" s="135"/>
      <c r="U58789" s="135"/>
    </row>
    <row r="58790" spans="20:21" ht="15" customHeight="1" x14ac:dyDescent="0.25">
      <c r="T58790" s="135"/>
      <c r="U58790" s="135"/>
    </row>
    <row r="58791" spans="20:21" ht="15" customHeight="1" x14ac:dyDescent="0.25">
      <c r="T58791" s="135"/>
      <c r="U58791" s="135"/>
    </row>
    <row r="58792" spans="20:21" ht="15" customHeight="1" x14ac:dyDescent="0.25">
      <c r="T58792" s="135"/>
      <c r="U58792" s="135"/>
    </row>
    <row r="58793" spans="20:21" ht="15" customHeight="1" x14ac:dyDescent="0.25">
      <c r="T58793" s="135"/>
      <c r="U58793" s="135"/>
    </row>
    <row r="58794" spans="20:21" ht="15" customHeight="1" x14ac:dyDescent="0.25">
      <c r="T58794" s="135"/>
      <c r="U58794" s="135"/>
    </row>
    <row r="58795" spans="20:21" ht="15" customHeight="1" x14ac:dyDescent="0.25">
      <c r="T58795" s="135"/>
      <c r="U58795" s="135"/>
    </row>
    <row r="58796" spans="20:21" ht="15" customHeight="1" x14ac:dyDescent="0.25">
      <c r="T58796" s="135"/>
      <c r="U58796" s="135"/>
    </row>
    <row r="58797" spans="20:21" ht="15" customHeight="1" x14ac:dyDescent="0.25">
      <c r="T58797" s="135"/>
      <c r="U58797" s="135"/>
    </row>
    <row r="58798" spans="20:21" ht="15" customHeight="1" x14ac:dyDescent="0.25">
      <c r="T58798" s="135"/>
      <c r="U58798" s="135"/>
    </row>
    <row r="58799" spans="20:21" ht="15" customHeight="1" x14ac:dyDescent="0.25">
      <c r="T58799" s="135"/>
      <c r="U58799" s="135"/>
    </row>
    <row r="58800" spans="20:21" ht="15" customHeight="1" x14ac:dyDescent="0.25">
      <c r="T58800" s="135"/>
      <c r="U58800" s="135"/>
    </row>
    <row r="58801" spans="20:21" ht="15" customHeight="1" x14ac:dyDescent="0.25">
      <c r="T58801" s="135"/>
      <c r="U58801" s="135"/>
    </row>
    <row r="58802" spans="20:21" ht="15" customHeight="1" x14ac:dyDescent="0.25">
      <c r="T58802" s="135"/>
      <c r="U58802" s="135"/>
    </row>
    <row r="58803" spans="20:21" ht="15" customHeight="1" x14ac:dyDescent="0.25">
      <c r="T58803" s="135"/>
      <c r="U58803" s="135"/>
    </row>
    <row r="58804" spans="20:21" ht="15" customHeight="1" x14ac:dyDescent="0.25">
      <c r="T58804" s="135"/>
      <c r="U58804" s="135"/>
    </row>
    <row r="58805" spans="20:21" ht="15" customHeight="1" x14ac:dyDescent="0.25">
      <c r="T58805" s="135"/>
      <c r="U58805" s="135"/>
    </row>
    <row r="58806" spans="20:21" ht="15" customHeight="1" x14ac:dyDescent="0.25">
      <c r="T58806" s="135"/>
      <c r="U58806" s="135"/>
    </row>
    <row r="58807" spans="20:21" ht="15" customHeight="1" x14ac:dyDescent="0.25">
      <c r="T58807" s="135"/>
      <c r="U58807" s="135"/>
    </row>
    <row r="58808" spans="20:21" ht="15" customHeight="1" x14ac:dyDescent="0.25">
      <c r="T58808" s="135"/>
      <c r="U58808" s="135"/>
    </row>
    <row r="58809" spans="20:21" ht="15" customHeight="1" x14ac:dyDescent="0.25">
      <c r="T58809" s="135"/>
      <c r="U58809" s="135"/>
    </row>
    <row r="58810" spans="20:21" ht="15" customHeight="1" x14ac:dyDescent="0.25">
      <c r="T58810" s="135"/>
      <c r="U58810" s="135"/>
    </row>
    <row r="58811" spans="20:21" ht="15" customHeight="1" x14ac:dyDescent="0.25">
      <c r="T58811" s="135"/>
      <c r="U58811" s="135"/>
    </row>
    <row r="58812" spans="20:21" ht="15" customHeight="1" x14ac:dyDescent="0.25">
      <c r="T58812" s="135"/>
      <c r="U58812" s="135"/>
    </row>
    <row r="58813" spans="20:21" ht="15" customHeight="1" x14ac:dyDescent="0.25">
      <c r="T58813" s="135"/>
      <c r="U58813" s="135"/>
    </row>
    <row r="58814" spans="20:21" ht="15" customHeight="1" x14ac:dyDescent="0.25">
      <c r="T58814" s="135"/>
      <c r="U58814" s="135"/>
    </row>
    <row r="58815" spans="20:21" ht="15" customHeight="1" x14ac:dyDescent="0.25">
      <c r="T58815" s="135"/>
      <c r="U58815" s="135"/>
    </row>
    <row r="58816" spans="20:21" ht="15" customHeight="1" x14ac:dyDescent="0.25">
      <c r="T58816" s="135"/>
      <c r="U58816" s="135"/>
    </row>
    <row r="58817" spans="20:21" ht="15" customHeight="1" x14ac:dyDescent="0.25">
      <c r="T58817" s="135"/>
      <c r="U58817" s="135"/>
    </row>
    <row r="58818" spans="20:21" ht="15" customHeight="1" x14ac:dyDescent="0.25">
      <c r="T58818" s="135"/>
      <c r="U58818" s="135"/>
    </row>
    <row r="58819" spans="20:21" ht="15" customHeight="1" x14ac:dyDescent="0.25">
      <c r="T58819" s="135"/>
      <c r="U58819" s="135"/>
    </row>
    <row r="58820" spans="20:21" ht="15" customHeight="1" x14ac:dyDescent="0.25">
      <c r="T58820" s="135"/>
      <c r="U58820" s="135"/>
    </row>
    <row r="58821" spans="20:21" ht="15" customHeight="1" x14ac:dyDescent="0.25">
      <c r="T58821" s="135"/>
      <c r="U58821" s="135"/>
    </row>
    <row r="58822" spans="20:21" ht="15" customHeight="1" x14ac:dyDescent="0.25">
      <c r="T58822" s="135"/>
      <c r="U58822" s="135"/>
    </row>
    <row r="58823" spans="20:21" ht="15" customHeight="1" x14ac:dyDescent="0.25">
      <c r="T58823" s="135"/>
      <c r="U58823" s="135"/>
    </row>
    <row r="58824" spans="20:21" ht="15" customHeight="1" x14ac:dyDescent="0.25">
      <c r="T58824" s="135"/>
      <c r="U58824" s="135"/>
    </row>
    <row r="58825" spans="20:21" ht="15" customHeight="1" x14ac:dyDescent="0.25">
      <c r="T58825" s="135"/>
      <c r="U58825" s="135"/>
    </row>
    <row r="58826" spans="20:21" ht="15" customHeight="1" x14ac:dyDescent="0.25">
      <c r="T58826" s="135"/>
      <c r="U58826" s="135"/>
    </row>
    <row r="58827" spans="20:21" ht="15" customHeight="1" x14ac:dyDescent="0.25">
      <c r="T58827" s="135"/>
      <c r="U58827" s="135"/>
    </row>
    <row r="58828" spans="20:21" ht="15" customHeight="1" x14ac:dyDescent="0.25">
      <c r="T58828" s="135"/>
      <c r="U58828" s="135"/>
    </row>
    <row r="58829" spans="20:21" ht="15" customHeight="1" x14ac:dyDescent="0.25">
      <c r="T58829" s="135"/>
      <c r="U58829" s="135"/>
    </row>
    <row r="58830" spans="20:21" ht="15" customHeight="1" x14ac:dyDescent="0.25">
      <c r="T58830" s="135"/>
      <c r="U58830" s="135"/>
    </row>
    <row r="58831" spans="20:21" ht="15" customHeight="1" x14ac:dyDescent="0.25">
      <c r="T58831" s="135"/>
      <c r="U58831" s="135"/>
    </row>
    <row r="58832" spans="20:21" ht="15" customHeight="1" x14ac:dyDescent="0.25">
      <c r="T58832" s="135"/>
      <c r="U58832" s="135"/>
    </row>
    <row r="58833" spans="20:21" ht="15" customHeight="1" x14ac:dyDescent="0.25">
      <c r="T58833" s="135"/>
      <c r="U58833" s="135"/>
    </row>
    <row r="58834" spans="20:21" ht="15" customHeight="1" x14ac:dyDescent="0.25">
      <c r="T58834" s="135"/>
      <c r="U58834" s="135"/>
    </row>
    <row r="58835" spans="20:21" ht="15" customHeight="1" x14ac:dyDescent="0.25">
      <c r="T58835" s="135"/>
      <c r="U58835" s="135"/>
    </row>
    <row r="58836" spans="20:21" ht="15" customHeight="1" x14ac:dyDescent="0.25">
      <c r="T58836" s="135"/>
      <c r="U58836" s="135"/>
    </row>
    <row r="58837" spans="20:21" ht="15" customHeight="1" x14ac:dyDescent="0.25">
      <c r="T58837" s="135"/>
      <c r="U58837" s="135"/>
    </row>
    <row r="58838" spans="20:21" ht="15" customHeight="1" x14ac:dyDescent="0.25">
      <c r="T58838" s="135"/>
      <c r="U58838" s="135"/>
    </row>
    <row r="58839" spans="20:21" ht="15" customHeight="1" x14ac:dyDescent="0.25">
      <c r="T58839" s="135"/>
      <c r="U58839" s="135"/>
    </row>
    <row r="58840" spans="20:21" ht="15" customHeight="1" x14ac:dyDescent="0.25">
      <c r="T58840" s="135"/>
      <c r="U58840" s="135"/>
    </row>
    <row r="58841" spans="20:21" ht="15" customHeight="1" x14ac:dyDescent="0.25">
      <c r="T58841" s="135"/>
      <c r="U58841" s="135"/>
    </row>
    <row r="58842" spans="20:21" ht="15" customHeight="1" x14ac:dyDescent="0.25">
      <c r="T58842" s="135"/>
      <c r="U58842" s="135"/>
    </row>
    <row r="58843" spans="20:21" ht="15" customHeight="1" x14ac:dyDescent="0.25">
      <c r="T58843" s="135"/>
      <c r="U58843" s="135"/>
    </row>
    <row r="58844" spans="20:21" ht="15" customHeight="1" x14ac:dyDescent="0.25">
      <c r="T58844" s="135"/>
      <c r="U58844" s="135"/>
    </row>
    <row r="58845" spans="20:21" ht="15" customHeight="1" x14ac:dyDescent="0.25">
      <c r="T58845" s="135"/>
      <c r="U58845" s="135"/>
    </row>
    <row r="58846" spans="20:21" ht="15" customHeight="1" x14ac:dyDescent="0.25">
      <c r="T58846" s="135"/>
      <c r="U58846" s="135"/>
    </row>
    <row r="58847" spans="20:21" ht="15" customHeight="1" x14ac:dyDescent="0.25">
      <c r="T58847" s="135"/>
      <c r="U58847" s="135"/>
    </row>
    <row r="58848" spans="20:21" ht="15" customHeight="1" x14ac:dyDescent="0.25">
      <c r="T58848" s="135"/>
      <c r="U58848" s="135"/>
    </row>
    <row r="58849" spans="20:21" ht="15" customHeight="1" x14ac:dyDescent="0.25">
      <c r="T58849" s="135"/>
      <c r="U58849" s="135"/>
    </row>
    <row r="58850" spans="20:21" ht="15" customHeight="1" x14ac:dyDescent="0.25">
      <c r="T58850" s="135"/>
      <c r="U58850" s="135"/>
    </row>
    <row r="58851" spans="20:21" ht="15" customHeight="1" x14ac:dyDescent="0.25">
      <c r="T58851" s="135"/>
      <c r="U58851" s="135"/>
    </row>
    <row r="58852" spans="20:21" ht="15" customHeight="1" x14ac:dyDescent="0.25">
      <c r="T58852" s="135"/>
      <c r="U58852" s="135"/>
    </row>
    <row r="58853" spans="20:21" ht="15" customHeight="1" x14ac:dyDescent="0.25">
      <c r="T58853" s="135"/>
      <c r="U58853" s="135"/>
    </row>
    <row r="58854" spans="20:21" ht="15" customHeight="1" x14ac:dyDescent="0.25">
      <c r="T58854" s="135"/>
      <c r="U58854" s="135"/>
    </row>
    <row r="58855" spans="20:21" ht="15" customHeight="1" x14ac:dyDescent="0.25">
      <c r="T58855" s="135"/>
      <c r="U58855" s="135"/>
    </row>
    <row r="58856" spans="20:21" ht="15" customHeight="1" x14ac:dyDescent="0.25">
      <c r="T58856" s="135"/>
      <c r="U58856" s="135"/>
    </row>
    <row r="58857" spans="20:21" ht="15" customHeight="1" x14ac:dyDescent="0.25">
      <c r="T58857" s="135"/>
      <c r="U58857" s="135"/>
    </row>
    <row r="58858" spans="20:21" ht="15" customHeight="1" x14ac:dyDescent="0.25">
      <c r="T58858" s="135"/>
      <c r="U58858" s="135"/>
    </row>
    <row r="58859" spans="20:21" ht="15" customHeight="1" x14ac:dyDescent="0.25">
      <c r="T58859" s="135"/>
      <c r="U58859" s="135"/>
    </row>
    <row r="58860" spans="20:21" ht="15" customHeight="1" x14ac:dyDescent="0.25">
      <c r="T58860" s="135"/>
      <c r="U58860" s="135"/>
    </row>
    <row r="58861" spans="20:21" ht="15" customHeight="1" x14ac:dyDescent="0.25">
      <c r="T58861" s="135"/>
      <c r="U58861" s="135"/>
    </row>
    <row r="58862" spans="20:21" ht="15" customHeight="1" x14ac:dyDescent="0.25">
      <c r="T58862" s="135"/>
      <c r="U58862" s="135"/>
    </row>
    <row r="58863" spans="20:21" ht="15" customHeight="1" x14ac:dyDescent="0.25">
      <c r="T58863" s="135"/>
      <c r="U58863" s="135"/>
    </row>
    <row r="58864" spans="20:21" ht="15" customHeight="1" x14ac:dyDescent="0.25">
      <c r="T58864" s="135"/>
      <c r="U58864" s="135"/>
    </row>
    <row r="58865" spans="20:21" ht="15" customHeight="1" x14ac:dyDescent="0.25">
      <c r="T58865" s="135"/>
      <c r="U58865" s="135"/>
    </row>
    <row r="58866" spans="20:21" ht="15" customHeight="1" x14ac:dyDescent="0.25">
      <c r="T58866" s="135"/>
      <c r="U58866" s="135"/>
    </row>
    <row r="58867" spans="20:21" ht="15" customHeight="1" x14ac:dyDescent="0.25">
      <c r="T58867" s="135"/>
      <c r="U58867" s="135"/>
    </row>
    <row r="58868" spans="20:21" ht="15" customHeight="1" x14ac:dyDescent="0.25">
      <c r="T58868" s="135"/>
      <c r="U58868" s="135"/>
    </row>
    <row r="58869" spans="20:21" ht="15" customHeight="1" x14ac:dyDescent="0.25">
      <c r="T58869" s="135"/>
      <c r="U58869" s="135"/>
    </row>
    <row r="58870" spans="20:21" ht="15" customHeight="1" x14ac:dyDescent="0.25">
      <c r="T58870" s="135"/>
      <c r="U58870" s="135"/>
    </row>
    <row r="58871" spans="20:21" ht="15" customHeight="1" x14ac:dyDescent="0.25">
      <c r="T58871" s="135"/>
      <c r="U58871" s="135"/>
    </row>
    <row r="58872" spans="20:21" ht="15" customHeight="1" x14ac:dyDescent="0.25">
      <c r="T58872" s="135"/>
      <c r="U58872" s="135"/>
    </row>
    <row r="58873" spans="20:21" ht="15" customHeight="1" x14ac:dyDescent="0.25">
      <c r="T58873" s="135"/>
      <c r="U58873" s="135"/>
    </row>
    <row r="58874" spans="20:21" ht="15" customHeight="1" x14ac:dyDescent="0.25">
      <c r="T58874" s="135"/>
      <c r="U58874" s="135"/>
    </row>
    <row r="58875" spans="20:21" ht="15" customHeight="1" x14ac:dyDescent="0.25">
      <c r="T58875" s="135"/>
      <c r="U58875" s="135"/>
    </row>
    <row r="58876" spans="20:21" ht="15" customHeight="1" x14ac:dyDescent="0.25">
      <c r="T58876" s="135"/>
      <c r="U58876" s="135"/>
    </row>
    <row r="58877" spans="20:21" ht="15" customHeight="1" x14ac:dyDescent="0.25">
      <c r="T58877" s="135"/>
      <c r="U58877" s="135"/>
    </row>
    <row r="58878" spans="20:21" ht="15" customHeight="1" x14ac:dyDescent="0.25">
      <c r="T58878" s="135"/>
      <c r="U58878" s="135"/>
    </row>
    <row r="58879" spans="20:21" ht="15" customHeight="1" x14ac:dyDescent="0.25">
      <c r="T58879" s="135"/>
      <c r="U58879" s="135"/>
    </row>
    <row r="58880" spans="20:21" ht="15" customHeight="1" x14ac:dyDescent="0.25">
      <c r="T58880" s="135"/>
      <c r="U58880" s="135"/>
    </row>
    <row r="58881" spans="20:21" ht="15" customHeight="1" x14ac:dyDescent="0.25">
      <c r="T58881" s="135"/>
      <c r="U58881" s="135"/>
    </row>
    <row r="58882" spans="20:21" ht="15" customHeight="1" x14ac:dyDescent="0.25">
      <c r="T58882" s="135"/>
      <c r="U58882" s="135"/>
    </row>
    <row r="58883" spans="20:21" ht="15" customHeight="1" x14ac:dyDescent="0.25">
      <c r="T58883" s="135"/>
      <c r="U58883" s="135"/>
    </row>
    <row r="58884" spans="20:21" ht="15" customHeight="1" x14ac:dyDescent="0.25">
      <c r="T58884" s="135"/>
      <c r="U58884" s="135"/>
    </row>
    <row r="58885" spans="20:21" ht="15" customHeight="1" x14ac:dyDescent="0.25">
      <c r="T58885" s="135"/>
      <c r="U58885" s="135"/>
    </row>
    <row r="58886" spans="20:21" ht="15" customHeight="1" x14ac:dyDescent="0.25">
      <c r="T58886" s="135"/>
      <c r="U58886" s="135"/>
    </row>
    <row r="58887" spans="20:21" ht="15" customHeight="1" x14ac:dyDescent="0.25">
      <c r="T58887" s="135"/>
      <c r="U58887" s="135"/>
    </row>
    <row r="58888" spans="20:21" ht="15" customHeight="1" x14ac:dyDescent="0.25">
      <c r="T58888" s="135"/>
      <c r="U58888" s="135"/>
    </row>
    <row r="58889" spans="20:21" ht="15" customHeight="1" x14ac:dyDescent="0.25">
      <c r="T58889" s="135"/>
      <c r="U58889" s="135"/>
    </row>
    <row r="58890" spans="20:21" ht="15" customHeight="1" x14ac:dyDescent="0.25">
      <c r="T58890" s="135"/>
      <c r="U58890" s="135"/>
    </row>
    <row r="58891" spans="20:21" ht="15" customHeight="1" x14ac:dyDescent="0.25">
      <c r="T58891" s="135"/>
      <c r="U58891" s="135"/>
    </row>
    <row r="58892" spans="20:21" ht="15" customHeight="1" x14ac:dyDescent="0.25">
      <c r="T58892" s="135"/>
      <c r="U58892" s="135"/>
    </row>
    <row r="58893" spans="20:21" ht="15" customHeight="1" x14ac:dyDescent="0.25">
      <c r="T58893" s="135"/>
      <c r="U58893" s="135"/>
    </row>
    <row r="58894" spans="20:21" ht="15" customHeight="1" x14ac:dyDescent="0.25">
      <c r="T58894" s="135"/>
      <c r="U58894" s="135"/>
    </row>
    <row r="58895" spans="20:21" ht="15" customHeight="1" x14ac:dyDescent="0.25">
      <c r="T58895" s="135"/>
      <c r="U58895" s="135"/>
    </row>
    <row r="58896" spans="20:21" ht="15" customHeight="1" x14ac:dyDescent="0.25">
      <c r="T58896" s="135"/>
      <c r="U58896" s="135"/>
    </row>
    <row r="58897" spans="20:21" ht="15" customHeight="1" x14ac:dyDescent="0.25">
      <c r="T58897" s="135"/>
      <c r="U58897" s="135"/>
    </row>
    <row r="58898" spans="20:21" ht="15" customHeight="1" x14ac:dyDescent="0.25">
      <c r="T58898" s="135"/>
      <c r="U58898" s="135"/>
    </row>
    <row r="58899" spans="20:21" ht="15" customHeight="1" x14ac:dyDescent="0.25">
      <c r="T58899" s="135"/>
      <c r="U58899" s="135"/>
    </row>
    <row r="58900" spans="20:21" ht="15" customHeight="1" x14ac:dyDescent="0.25">
      <c r="T58900" s="135"/>
      <c r="U58900" s="135"/>
    </row>
    <row r="58901" spans="20:21" ht="15" customHeight="1" x14ac:dyDescent="0.25">
      <c r="T58901" s="135"/>
      <c r="U58901" s="135"/>
    </row>
    <row r="58902" spans="20:21" ht="15" customHeight="1" x14ac:dyDescent="0.25">
      <c r="T58902" s="135"/>
      <c r="U58902" s="135"/>
    </row>
    <row r="58903" spans="20:21" ht="15" customHeight="1" x14ac:dyDescent="0.25">
      <c r="T58903" s="135"/>
      <c r="U58903" s="135"/>
    </row>
    <row r="58904" spans="20:21" ht="15" customHeight="1" x14ac:dyDescent="0.25">
      <c r="T58904" s="135"/>
      <c r="U58904" s="135"/>
    </row>
    <row r="58905" spans="20:21" ht="15" customHeight="1" x14ac:dyDescent="0.25">
      <c r="T58905" s="135"/>
      <c r="U58905" s="135"/>
    </row>
    <row r="58906" spans="20:21" ht="15" customHeight="1" x14ac:dyDescent="0.25">
      <c r="T58906" s="135"/>
      <c r="U58906" s="135"/>
    </row>
    <row r="58907" spans="20:21" ht="15" customHeight="1" x14ac:dyDescent="0.25">
      <c r="T58907" s="135"/>
      <c r="U58907" s="135"/>
    </row>
    <row r="58908" spans="20:21" ht="15" customHeight="1" x14ac:dyDescent="0.25">
      <c r="T58908" s="135"/>
      <c r="U58908" s="135"/>
    </row>
    <row r="58909" spans="20:21" ht="15" customHeight="1" x14ac:dyDescent="0.25">
      <c r="T58909" s="135"/>
      <c r="U58909" s="135"/>
    </row>
    <row r="58910" spans="20:21" ht="15" customHeight="1" x14ac:dyDescent="0.25">
      <c r="T58910" s="135"/>
      <c r="U58910" s="135"/>
    </row>
    <row r="58911" spans="20:21" ht="15" customHeight="1" x14ac:dyDescent="0.25">
      <c r="T58911" s="135"/>
      <c r="U58911" s="135"/>
    </row>
    <row r="58912" spans="20:21" ht="15" customHeight="1" x14ac:dyDescent="0.25">
      <c r="T58912" s="135"/>
      <c r="U58912" s="135"/>
    </row>
    <row r="58913" spans="20:21" ht="15" customHeight="1" x14ac:dyDescent="0.25">
      <c r="T58913" s="135"/>
      <c r="U58913" s="135"/>
    </row>
    <row r="58914" spans="20:21" ht="15" customHeight="1" x14ac:dyDescent="0.25">
      <c r="T58914" s="135"/>
      <c r="U58914" s="135"/>
    </row>
    <row r="58915" spans="20:21" ht="15" customHeight="1" x14ac:dyDescent="0.25">
      <c r="T58915" s="135"/>
      <c r="U58915" s="135"/>
    </row>
    <row r="58916" spans="20:21" ht="15" customHeight="1" x14ac:dyDescent="0.25">
      <c r="T58916" s="135"/>
      <c r="U58916" s="135"/>
    </row>
    <row r="58917" spans="20:21" ht="15" customHeight="1" x14ac:dyDescent="0.25">
      <c r="T58917" s="135"/>
      <c r="U58917" s="135"/>
    </row>
    <row r="58918" spans="20:21" ht="15" customHeight="1" x14ac:dyDescent="0.25">
      <c r="T58918" s="135"/>
      <c r="U58918" s="135"/>
    </row>
    <row r="58919" spans="20:21" ht="15" customHeight="1" x14ac:dyDescent="0.25">
      <c r="T58919" s="135"/>
      <c r="U58919" s="135"/>
    </row>
    <row r="58920" spans="20:21" ht="15" customHeight="1" x14ac:dyDescent="0.25">
      <c r="T58920" s="135"/>
      <c r="U58920" s="135"/>
    </row>
    <row r="58921" spans="20:21" ht="15" customHeight="1" x14ac:dyDescent="0.25">
      <c r="T58921" s="135"/>
      <c r="U58921" s="135"/>
    </row>
    <row r="58922" spans="20:21" ht="15" customHeight="1" x14ac:dyDescent="0.25">
      <c r="T58922" s="135"/>
      <c r="U58922" s="135"/>
    </row>
    <row r="58923" spans="20:21" ht="15" customHeight="1" x14ac:dyDescent="0.25">
      <c r="T58923" s="135"/>
      <c r="U58923" s="135"/>
    </row>
    <row r="58924" spans="20:21" ht="15" customHeight="1" x14ac:dyDescent="0.25">
      <c r="T58924" s="135"/>
      <c r="U58924" s="135"/>
    </row>
    <row r="58925" spans="20:21" ht="15" customHeight="1" x14ac:dyDescent="0.25">
      <c r="T58925" s="135"/>
      <c r="U58925" s="135"/>
    </row>
    <row r="58926" spans="20:21" ht="15" customHeight="1" x14ac:dyDescent="0.25">
      <c r="T58926" s="135"/>
      <c r="U58926" s="135"/>
    </row>
    <row r="58927" spans="20:21" ht="15" customHeight="1" x14ac:dyDescent="0.25">
      <c r="T58927" s="135"/>
      <c r="U58927" s="135"/>
    </row>
    <row r="58928" spans="20:21" ht="15" customHeight="1" x14ac:dyDescent="0.25">
      <c r="T58928" s="135"/>
      <c r="U58928" s="135"/>
    </row>
    <row r="58929" spans="20:21" ht="15" customHeight="1" x14ac:dyDescent="0.25">
      <c r="T58929" s="135"/>
      <c r="U58929" s="135"/>
    </row>
    <row r="58930" spans="20:21" ht="15" customHeight="1" x14ac:dyDescent="0.25">
      <c r="T58930" s="135"/>
      <c r="U58930" s="135"/>
    </row>
    <row r="58931" spans="20:21" ht="15" customHeight="1" x14ac:dyDescent="0.25">
      <c r="T58931" s="135"/>
      <c r="U58931" s="135"/>
    </row>
    <row r="58932" spans="20:21" ht="15" customHeight="1" x14ac:dyDescent="0.25">
      <c r="T58932" s="135"/>
      <c r="U58932" s="135"/>
    </row>
    <row r="58933" spans="20:21" ht="15" customHeight="1" x14ac:dyDescent="0.25">
      <c r="T58933" s="135"/>
      <c r="U58933" s="135"/>
    </row>
    <row r="58934" spans="20:21" ht="15" customHeight="1" x14ac:dyDescent="0.25">
      <c r="T58934" s="135"/>
      <c r="U58934" s="135"/>
    </row>
    <row r="58935" spans="20:21" ht="15" customHeight="1" x14ac:dyDescent="0.25">
      <c r="T58935" s="135"/>
      <c r="U58935" s="135"/>
    </row>
    <row r="58936" spans="20:21" ht="15" customHeight="1" x14ac:dyDescent="0.25">
      <c r="T58936" s="135"/>
      <c r="U58936" s="135"/>
    </row>
    <row r="58937" spans="20:21" ht="15" customHeight="1" x14ac:dyDescent="0.25">
      <c r="T58937" s="135"/>
      <c r="U58937" s="135"/>
    </row>
    <row r="58938" spans="20:21" ht="15" customHeight="1" x14ac:dyDescent="0.25">
      <c r="T58938" s="135"/>
      <c r="U58938" s="135"/>
    </row>
    <row r="58939" spans="20:21" ht="15" customHeight="1" x14ac:dyDescent="0.25">
      <c r="T58939" s="135"/>
      <c r="U58939" s="135"/>
    </row>
    <row r="58940" spans="20:21" ht="15" customHeight="1" x14ac:dyDescent="0.25">
      <c r="T58940" s="135"/>
      <c r="U58940" s="135"/>
    </row>
    <row r="58941" spans="20:21" ht="15" customHeight="1" x14ac:dyDescent="0.25">
      <c r="T58941" s="135"/>
      <c r="U58941" s="135"/>
    </row>
    <row r="58942" spans="20:21" ht="15" customHeight="1" x14ac:dyDescent="0.25">
      <c r="T58942" s="135"/>
      <c r="U58942" s="135"/>
    </row>
    <row r="58943" spans="20:21" ht="15" customHeight="1" x14ac:dyDescent="0.25">
      <c r="T58943" s="135"/>
      <c r="U58943" s="135"/>
    </row>
    <row r="58944" spans="20:21" ht="15" customHeight="1" x14ac:dyDescent="0.25">
      <c r="T58944" s="135"/>
      <c r="U58944" s="135"/>
    </row>
    <row r="58945" spans="20:21" ht="15" customHeight="1" x14ac:dyDescent="0.25">
      <c r="T58945" s="135"/>
      <c r="U58945" s="135"/>
    </row>
    <row r="58946" spans="20:21" ht="15" customHeight="1" x14ac:dyDescent="0.25">
      <c r="T58946" s="135"/>
      <c r="U58946" s="135"/>
    </row>
    <row r="58947" spans="20:21" ht="15" customHeight="1" x14ac:dyDescent="0.25">
      <c r="T58947" s="135"/>
      <c r="U58947" s="135"/>
    </row>
    <row r="58948" spans="20:21" ht="15" customHeight="1" x14ac:dyDescent="0.25">
      <c r="T58948" s="135"/>
      <c r="U58948" s="135"/>
    </row>
    <row r="58949" spans="20:21" ht="15" customHeight="1" x14ac:dyDescent="0.25">
      <c r="T58949" s="135"/>
      <c r="U58949" s="135"/>
    </row>
    <row r="58950" spans="20:21" ht="15" customHeight="1" x14ac:dyDescent="0.25">
      <c r="T58950" s="135"/>
      <c r="U58950" s="135"/>
    </row>
    <row r="58951" spans="20:21" ht="15" customHeight="1" x14ac:dyDescent="0.25">
      <c r="T58951" s="135"/>
      <c r="U58951" s="135"/>
    </row>
    <row r="58952" spans="20:21" ht="15" customHeight="1" x14ac:dyDescent="0.25">
      <c r="T58952" s="135"/>
      <c r="U58952" s="135"/>
    </row>
    <row r="58953" spans="20:21" ht="15" customHeight="1" x14ac:dyDescent="0.25">
      <c r="T58953" s="135"/>
      <c r="U58953" s="135"/>
    </row>
    <row r="58954" spans="20:21" ht="15" customHeight="1" x14ac:dyDescent="0.25">
      <c r="T58954" s="135"/>
      <c r="U58954" s="135"/>
    </row>
    <row r="58955" spans="20:21" ht="15" customHeight="1" x14ac:dyDescent="0.25">
      <c r="T58955" s="135"/>
      <c r="U58955" s="135"/>
    </row>
    <row r="58956" spans="20:21" ht="15" customHeight="1" x14ac:dyDescent="0.25">
      <c r="T58956" s="135"/>
      <c r="U58956" s="135"/>
    </row>
    <row r="58957" spans="20:21" ht="15" customHeight="1" x14ac:dyDescent="0.25">
      <c r="T58957" s="135"/>
      <c r="U58957" s="135"/>
    </row>
    <row r="58958" spans="20:21" ht="15" customHeight="1" x14ac:dyDescent="0.25">
      <c r="T58958" s="135"/>
      <c r="U58958" s="135"/>
    </row>
    <row r="58959" spans="20:21" ht="15" customHeight="1" x14ac:dyDescent="0.25">
      <c r="T58959" s="135"/>
      <c r="U58959" s="135"/>
    </row>
    <row r="58960" spans="20:21" ht="15" customHeight="1" x14ac:dyDescent="0.25">
      <c r="T58960" s="135"/>
      <c r="U58960" s="135"/>
    </row>
    <row r="58961" spans="20:21" ht="15" customHeight="1" x14ac:dyDescent="0.25">
      <c r="T58961" s="135"/>
      <c r="U58961" s="135"/>
    </row>
    <row r="58962" spans="20:21" ht="15" customHeight="1" x14ac:dyDescent="0.25">
      <c r="T58962" s="135"/>
      <c r="U58962" s="135"/>
    </row>
    <row r="58963" spans="20:21" ht="15" customHeight="1" x14ac:dyDescent="0.25">
      <c r="T58963" s="135"/>
      <c r="U58963" s="135"/>
    </row>
    <row r="58964" spans="20:21" ht="15" customHeight="1" x14ac:dyDescent="0.25">
      <c r="T58964" s="135"/>
      <c r="U58964" s="135"/>
    </row>
    <row r="58965" spans="20:21" ht="15" customHeight="1" x14ac:dyDescent="0.25">
      <c r="T58965" s="135"/>
      <c r="U58965" s="135"/>
    </row>
    <row r="58966" spans="20:21" ht="15" customHeight="1" x14ac:dyDescent="0.25">
      <c r="T58966" s="135"/>
      <c r="U58966" s="135"/>
    </row>
    <row r="58967" spans="20:21" ht="15" customHeight="1" x14ac:dyDescent="0.25">
      <c r="T58967" s="135"/>
      <c r="U58967" s="135"/>
    </row>
    <row r="58968" spans="20:21" ht="15" customHeight="1" x14ac:dyDescent="0.25">
      <c r="T58968" s="135"/>
      <c r="U58968" s="135"/>
    </row>
    <row r="58969" spans="20:21" ht="15" customHeight="1" x14ac:dyDescent="0.25">
      <c r="T58969" s="135"/>
      <c r="U58969" s="135"/>
    </row>
    <row r="58970" spans="20:21" ht="15" customHeight="1" x14ac:dyDescent="0.25">
      <c r="T58970" s="135"/>
      <c r="U58970" s="135"/>
    </row>
    <row r="58971" spans="20:21" ht="15" customHeight="1" x14ac:dyDescent="0.25">
      <c r="T58971" s="135"/>
      <c r="U58971" s="135"/>
    </row>
    <row r="58972" spans="20:21" ht="15" customHeight="1" x14ac:dyDescent="0.25">
      <c r="T58972" s="135"/>
      <c r="U58972" s="135"/>
    </row>
    <row r="58973" spans="20:21" ht="15" customHeight="1" x14ac:dyDescent="0.25">
      <c r="T58973" s="135"/>
      <c r="U58973" s="135"/>
    </row>
    <row r="58974" spans="20:21" ht="15" customHeight="1" x14ac:dyDescent="0.25">
      <c r="T58974" s="135"/>
      <c r="U58974" s="135"/>
    </row>
    <row r="58975" spans="20:21" ht="15" customHeight="1" x14ac:dyDescent="0.25">
      <c r="T58975" s="135"/>
      <c r="U58975" s="135"/>
    </row>
    <row r="58976" spans="20:21" ht="15" customHeight="1" x14ac:dyDescent="0.25">
      <c r="T58976" s="135"/>
      <c r="U58976" s="135"/>
    </row>
    <row r="58977" spans="20:21" ht="15" customHeight="1" x14ac:dyDescent="0.25">
      <c r="T58977" s="135"/>
      <c r="U58977" s="135"/>
    </row>
    <row r="58978" spans="20:21" ht="15" customHeight="1" x14ac:dyDescent="0.25">
      <c r="T58978" s="135"/>
      <c r="U58978" s="135"/>
    </row>
    <row r="58979" spans="20:21" ht="15" customHeight="1" x14ac:dyDescent="0.25">
      <c r="T58979" s="135"/>
      <c r="U58979" s="135"/>
    </row>
    <row r="58980" spans="20:21" ht="15" customHeight="1" x14ac:dyDescent="0.25">
      <c r="T58980" s="135"/>
      <c r="U58980" s="135"/>
    </row>
    <row r="58981" spans="20:21" ht="15" customHeight="1" x14ac:dyDescent="0.25">
      <c r="T58981" s="135"/>
      <c r="U58981" s="135"/>
    </row>
    <row r="58982" spans="20:21" ht="15" customHeight="1" x14ac:dyDescent="0.25">
      <c r="T58982" s="135"/>
      <c r="U58982" s="135"/>
    </row>
    <row r="58983" spans="20:21" ht="15" customHeight="1" x14ac:dyDescent="0.25">
      <c r="T58983" s="135"/>
      <c r="U58983" s="135"/>
    </row>
    <row r="58984" spans="20:21" ht="15" customHeight="1" x14ac:dyDescent="0.25">
      <c r="T58984" s="135"/>
      <c r="U58984" s="135"/>
    </row>
    <row r="58985" spans="20:21" ht="15" customHeight="1" x14ac:dyDescent="0.25">
      <c r="T58985" s="135"/>
      <c r="U58985" s="135"/>
    </row>
    <row r="58986" spans="20:21" ht="15" customHeight="1" x14ac:dyDescent="0.25">
      <c r="T58986" s="135"/>
      <c r="U58986" s="135"/>
    </row>
    <row r="58987" spans="20:21" ht="15" customHeight="1" x14ac:dyDescent="0.25">
      <c r="T58987" s="135"/>
      <c r="U58987" s="135"/>
    </row>
    <row r="58988" spans="20:21" ht="15" customHeight="1" x14ac:dyDescent="0.25">
      <c r="T58988" s="135"/>
      <c r="U58988" s="135"/>
    </row>
    <row r="58989" spans="20:21" ht="15" customHeight="1" x14ac:dyDescent="0.25">
      <c r="T58989" s="135"/>
      <c r="U58989" s="135"/>
    </row>
    <row r="58990" spans="20:21" ht="15" customHeight="1" x14ac:dyDescent="0.25">
      <c r="T58990" s="135"/>
      <c r="U58990" s="135"/>
    </row>
    <row r="58991" spans="20:21" ht="15" customHeight="1" x14ac:dyDescent="0.25">
      <c r="T58991" s="135"/>
      <c r="U58991" s="135"/>
    </row>
    <row r="58992" spans="20:21" ht="15" customHeight="1" x14ac:dyDescent="0.25">
      <c r="T58992" s="135"/>
      <c r="U58992" s="135"/>
    </row>
    <row r="58993" spans="20:21" ht="15" customHeight="1" x14ac:dyDescent="0.25">
      <c r="T58993" s="135"/>
      <c r="U58993" s="135"/>
    </row>
    <row r="58994" spans="20:21" ht="15" customHeight="1" x14ac:dyDescent="0.25">
      <c r="T58994" s="135"/>
      <c r="U58994" s="135"/>
    </row>
    <row r="58995" spans="20:21" ht="15" customHeight="1" x14ac:dyDescent="0.25">
      <c r="T58995" s="135"/>
      <c r="U58995" s="135"/>
    </row>
    <row r="58996" spans="20:21" ht="15" customHeight="1" x14ac:dyDescent="0.25">
      <c r="T58996" s="135"/>
      <c r="U58996" s="135"/>
    </row>
    <row r="58997" spans="20:21" ht="15" customHeight="1" x14ac:dyDescent="0.25">
      <c r="T58997" s="135"/>
      <c r="U58997" s="135"/>
    </row>
    <row r="58998" spans="20:21" ht="15" customHeight="1" x14ac:dyDescent="0.25">
      <c r="T58998" s="135"/>
      <c r="U58998" s="135"/>
    </row>
    <row r="58999" spans="20:21" ht="15" customHeight="1" x14ac:dyDescent="0.25">
      <c r="T58999" s="135"/>
      <c r="U58999" s="135"/>
    </row>
    <row r="59000" spans="20:21" ht="15" customHeight="1" x14ac:dyDescent="0.25">
      <c r="T59000" s="135"/>
      <c r="U59000" s="135"/>
    </row>
    <row r="59001" spans="20:21" ht="15" customHeight="1" x14ac:dyDescent="0.25">
      <c r="T59001" s="135"/>
      <c r="U59001" s="135"/>
    </row>
    <row r="59002" spans="20:21" ht="15" customHeight="1" x14ac:dyDescent="0.25">
      <c r="T59002" s="135"/>
      <c r="U59002" s="135"/>
    </row>
    <row r="59003" spans="20:21" ht="15" customHeight="1" x14ac:dyDescent="0.25">
      <c r="T59003" s="135"/>
      <c r="U59003" s="135"/>
    </row>
    <row r="59004" spans="20:21" ht="15" customHeight="1" x14ac:dyDescent="0.25">
      <c r="T59004" s="135"/>
      <c r="U59004" s="135"/>
    </row>
    <row r="59005" spans="20:21" ht="15" customHeight="1" x14ac:dyDescent="0.25">
      <c r="T59005" s="135"/>
      <c r="U59005" s="135"/>
    </row>
    <row r="59006" spans="20:21" ht="15" customHeight="1" x14ac:dyDescent="0.25">
      <c r="T59006" s="135"/>
      <c r="U59006" s="135"/>
    </row>
    <row r="59007" spans="20:21" ht="15" customHeight="1" x14ac:dyDescent="0.25">
      <c r="T59007" s="135"/>
      <c r="U59007" s="135"/>
    </row>
    <row r="59008" spans="20:21" ht="15" customHeight="1" x14ac:dyDescent="0.25">
      <c r="T59008" s="135"/>
      <c r="U59008" s="135"/>
    </row>
    <row r="59009" spans="20:21" ht="15" customHeight="1" x14ac:dyDescent="0.25">
      <c r="T59009" s="135"/>
      <c r="U59009" s="135"/>
    </row>
    <row r="59010" spans="20:21" ht="15" customHeight="1" x14ac:dyDescent="0.25">
      <c r="T59010" s="135"/>
      <c r="U59010" s="135"/>
    </row>
    <row r="59011" spans="20:21" ht="15" customHeight="1" x14ac:dyDescent="0.25">
      <c r="T59011" s="135"/>
      <c r="U59011" s="135"/>
    </row>
    <row r="59012" spans="20:21" ht="15" customHeight="1" x14ac:dyDescent="0.25">
      <c r="T59012" s="135"/>
      <c r="U59012" s="135"/>
    </row>
    <row r="59013" spans="20:21" ht="15" customHeight="1" x14ac:dyDescent="0.25">
      <c r="T59013" s="135"/>
      <c r="U59013" s="135"/>
    </row>
    <row r="59014" spans="20:21" ht="15" customHeight="1" x14ac:dyDescent="0.25">
      <c r="T59014" s="135"/>
      <c r="U59014" s="135"/>
    </row>
    <row r="59015" spans="20:21" ht="15" customHeight="1" x14ac:dyDescent="0.25">
      <c r="T59015" s="135"/>
      <c r="U59015" s="135"/>
    </row>
    <row r="59016" spans="20:21" ht="15" customHeight="1" x14ac:dyDescent="0.25">
      <c r="T59016" s="135"/>
      <c r="U59016" s="135"/>
    </row>
    <row r="59017" spans="20:21" ht="15" customHeight="1" x14ac:dyDescent="0.25">
      <c r="T59017" s="135"/>
      <c r="U59017" s="135"/>
    </row>
    <row r="59018" spans="20:21" ht="15" customHeight="1" x14ac:dyDescent="0.25">
      <c r="T59018" s="135"/>
      <c r="U59018" s="135"/>
    </row>
    <row r="59019" spans="20:21" ht="15" customHeight="1" x14ac:dyDescent="0.25">
      <c r="T59019" s="135"/>
      <c r="U59019" s="135"/>
    </row>
    <row r="59020" spans="20:21" ht="15" customHeight="1" x14ac:dyDescent="0.25">
      <c r="T59020" s="135"/>
      <c r="U59020" s="135"/>
    </row>
    <row r="59021" spans="20:21" ht="15" customHeight="1" x14ac:dyDescent="0.25">
      <c r="T59021" s="135"/>
      <c r="U59021" s="135"/>
    </row>
    <row r="59022" spans="20:21" ht="15" customHeight="1" x14ac:dyDescent="0.25">
      <c r="T59022" s="135"/>
      <c r="U59022" s="135"/>
    </row>
    <row r="59023" spans="20:21" ht="15" customHeight="1" x14ac:dyDescent="0.25">
      <c r="T59023" s="135"/>
      <c r="U59023" s="135"/>
    </row>
    <row r="59024" spans="20:21" ht="15" customHeight="1" x14ac:dyDescent="0.25">
      <c r="T59024" s="135"/>
      <c r="U59024" s="135"/>
    </row>
    <row r="59025" spans="20:21" ht="15" customHeight="1" x14ac:dyDescent="0.25">
      <c r="T59025" s="135"/>
      <c r="U59025" s="135"/>
    </row>
    <row r="59026" spans="20:21" ht="15" customHeight="1" x14ac:dyDescent="0.25">
      <c r="T59026" s="135"/>
      <c r="U59026" s="135"/>
    </row>
    <row r="59027" spans="20:21" ht="15" customHeight="1" x14ac:dyDescent="0.25">
      <c r="T59027" s="135"/>
      <c r="U59027" s="135"/>
    </row>
    <row r="59028" spans="20:21" ht="15" customHeight="1" x14ac:dyDescent="0.25">
      <c r="T59028" s="135"/>
      <c r="U59028" s="135"/>
    </row>
    <row r="59029" spans="20:21" ht="15" customHeight="1" x14ac:dyDescent="0.25">
      <c r="T59029" s="135"/>
      <c r="U59029" s="135"/>
    </row>
    <row r="59030" spans="20:21" ht="15" customHeight="1" x14ac:dyDescent="0.25">
      <c r="T59030" s="135"/>
      <c r="U59030" s="135"/>
    </row>
    <row r="59031" spans="20:21" ht="15" customHeight="1" x14ac:dyDescent="0.25">
      <c r="T59031" s="135"/>
      <c r="U59031" s="135"/>
    </row>
    <row r="59032" spans="20:21" ht="15" customHeight="1" x14ac:dyDescent="0.25">
      <c r="T59032" s="135"/>
      <c r="U59032" s="135"/>
    </row>
    <row r="59033" spans="20:21" ht="15" customHeight="1" x14ac:dyDescent="0.25">
      <c r="T59033" s="135"/>
      <c r="U59033" s="135"/>
    </row>
    <row r="59034" spans="20:21" ht="15" customHeight="1" x14ac:dyDescent="0.25">
      <c r="T59034" s="135"/>
      <c r="U59034" s="135"/>
    </row>
    <row r="59035" spans="20:21" ht="15" customHeight="1" x14ac:dyDescent="0.25">
      <c r="T59035" s="135"/>
      <c r="U59035" s="135"/>
    </row>
    <row r="59036" spans="20:21" ht="15" customHeight="1" x14ac:dyDescent="0.25">
      <c r="T59036" s="135"/>
      <c r="U59036" s="135"/>
    </row>
    <row r="59037" spans="20:21" ht="15" customHeight="1" x14ac:dyDescent="0.25">
      <c r="T59037" s="135"/>
      <c r="U59037" s="135"/>
    </row>
    <row r="59038" spans="20:21" ht="15" customHeight="1" x14ac:dyDescent="0.25">
      <c r="T59038" s="135"/>
      <c r="U59038" s="135"/>
    </row>
    <row r="59039" spans="20:21" ht="15" customHeight="1" x14ac:dyDescent="0.25">
      <c r="T59039" s="135"/>
      <c r="U59039" s="135"/>
    </row>
    <row r="59040" spans="20:21" ht="15" customHeight="1" x14ac:dyDescent="0.25">
      <c r="T59040" s="135"/>
      <c r="U59040" s="135"/>
    </row>
    <row r="59041" spans="20:21" ht="15" customHeight="1" x14ac:dyDescent="0.25">
      <c r="T59041" s="135"/>
      <c r="U59041" s="135"/>
    </row>
    <row r="59042" spans="20:21" ht="15" customHeight="1" x14ac:dyDescent="0.25">
      <c r="T59042" s="135"/>
      <c r="U59042" s="135"/>
    </row>
    <row r="59043" spans="20:21" ht="15" customHeight="1" x14ac:dyDescent="0.25">
      <c r="T59043" s="135"/>
      <c r="U59043" s="135"/>
    </row>
    <row r="59044" spans="20:21" ht="15" customHeight="1" x14ac:dyDescent="0.25">
      <c r="T59044" s="135"/>
      <c r="U59044" s="135"/>
    </row>
    <row r="59045" spans="20:21" ht="15" customHeight="1" x14ac:dyDescent="0.25">
      <c r="T59045" s="135"/>
      <c r="U59045" s="135"/>
    </row>
    <row r="59046" spans="20:21" ht="15" customHeight="1" x14ac:dyDescent="0.25">
      <c r="T59046" s="135"/>
      <c r="U59046" s="135"/>
    </row>
    <row r="59047" spans="20:21" ht="15" customHeight="1" x14ac:dyDescent="0.25">
      <c r="T59047" s="135"/>
      <c r="U59047" s="135"/>
    </row>
    <row r="59048" spans="20:21" ht="15" customHeight="1" x14ac:dyDescent="0.25">
      <c r="T59048" s="135"/>
      <c r="U59048" s="135"/>
    </row>
    <row r="59049" spans="20:21" ht="15" customHeight="1" x14ac:dyDescent="0.25">
      <c r="T59049" s="135"/>
      <c r="U59049" s="135"/>
    </row>
    <row r="59050" spans="20:21" ht="15" customHeight="1" x14ac:dyDescent="0.25">
      <c r="T59050" s="135"/>
      <c r="U59050" s="135"/>
    </row>
    <row r="59051" spans="20:21" ht="15" customHeight="1" x14ac:dyDescent="0.25">
      <c r="T59051" s="135"/>
      <c r="U59051" s="135"/>
    </row>
    <row r="59052" spans="20:21" ht="15" customHeight="1" x14ac:dyDescent="0.25">
      <c r="T59052" s="135"/>
      <c r="U59052" s="135"/>
    </row>
    <row r="59053" spans="20:21" ht="15" customHeight="1" x14ac:dyDescent="0.25">
      <c r="T59053" s="135"/>
      <c r="U59053" s="135"/>
    </row>
    <row r="59054" spans="20:21" ht="15" customHeight="1" x14ac:dyDescent="0.25">
      <c r="T59054" s="135"/>
      <c r="U59054" s="135"/>
    </row>
    <row r="59055" spans="20:21" ht="15" customHeight="1" x14ac:dyDescent="0.25">
      <c r="T59055" s="135"/>
      <c r="U59055" s="135"/>
    </row>
    <row r="59056" spans="20:21" ht="15" customHeight="1" x14ac:dyDescent="0.25">
      <c r="T59056" s="135"/>
      <c r="U59056" s="135"/>
    </row>
    <row r="59057" spans="20:21" ht="15" customHeight="1" x14ac:dyDescent="0.25">
      <c r="T59057" s="135"/>
      <c r="U59057" s="135"/>
    </row>
    <row r="59058" spans="20:21" ht="15" customHeight="1" x14ac:dyDescent="0.25">
      <c r="T59058" s="135"/>
      <c r="U59058" s="135"/>
    </row>
    <row r="59059" spans="20:21" ht="15" customHeight="1" x14ac:dyDescent="0.25">
      <c r="T59059" s="135"/>
      <c r="U59059" s="135"/>
    </row>
    <row r="59060" spans="20:21" ht="15" customHeight="1" x14ac:dyDescent="0.25">
      <c r="T59060" s="135"/>
      <c r="U59060" s="135"/>
    </row>
    <row r="59061" spans="20:21" ht="15" customHeight="1" x14ac:dyDescent="0.25">
      <c r="T59061" s="135"/>
      <c r="U59061" s="135"/>
    </row>
    <row r="59062" spans="20:21" ht="15" customHeight="1" x14ac:dyDescent="0.25">
      <c r="T59062" s="135"/>
      <c r="U59062" s="135"/>
    </row>
    <row r="59063" spans="20:21" ht="15" customHeight="1" x14ac:dyDescent="0.25">
      <c r="T59063" s="135"/>
      <c r="U59063" s="135"/>
    </row>
    <row r="59064" spans="20:21" ht="15" customHeight="1" x14ac:dyDescent="0.25">
      <c r="T59064" s="135"/>
      <c r="U59064" s="135"/>
    </row>
    <row r="59065" spans="20:21" ht="15" customHeight="1" x14ac:dyDescent="0.25">
      <c r="T59065" s="135"/>
      <c r="U59065" s="135"/>
    </row>
    <row r="59066" spans="20:21" ht="15" customHeight="1" x14ac:dyDescent="0.25">
      <c r="T59066" s="135"/>
      <c r="U59066" s="135"/>
    </row>
    <row r="59067" spans="20:21" ht="15" customHeight="1" x14ac:dyDescent="0.25">
      <c r="T59067" s="135"/>
      <c r="U59067" s="135"/>
    </row>
    <row r="59068" spans="20:21" ht="15" customHeight="1" x14ac:dyDescent="0.25">
      <c r="T59068" s="135"/>
      <c r="U59068" s="135"/>
    </row>
    <row r="59069" spans="20:21" ht="15" customHeight="1" x14ac:dyDescent="0.25">
      <c r="T59069" s="135"/>
      <c r="U59069" s="135"/>
    </row>
    <row r="59070" spans="20:21" ht="15" customHeight="1" x14ac:dyDescent="0.25">
      <c r="T59070" s="135"/>
      <c r="U59070" s="135"/>
    </row>
    <row r="59071" spans="20:21" ht="15" customHeight="1" x14ac:dyDescent="0.25">
      <c r="T59071" s="135"/>
      <c r="U59071" s="135"/>
    </row>
    <row r="59072" spans="20:21" ht="15" customHeight="1" x14ac:dyDescent="0.25">
      <c r="T59072" s="135"/>
      <c r="U59072" s="135"/>
    </row>
    <row r="59073" spans="20:21" ht="15" customHeight="1" x14ac:dyDescent="0.25">
      <c r="T59073" s="135"/>
      <c r="U59073" s="135"/>
    </row>
    <row r="59074" spans="20:21" ht="15" customHeight="1" x14ac:dyDescent="0.25">
      <c r="T59074" s="135"/>
      <c r="U59074" s="135"/>
    </row>
    <row r="59075" spans="20:21" ht="15" customHeight="1" x14ac:dyDescent="0.25">
      <c r="T59075" s="135"/>
      <c r="U59075" s="135"/>
    </row>
    <row r="59076" spans="20:21" ht="15" customHeight="1" x14ac:dyDescent="0.25">
      <c r="T59076" s="135"/>
      <c r="U59076" s="135"/>
    </row>
    <row r="59077" spans="20:21" ht="15" customHeight="1" x14ac:dyDescent="0.25">
      <c r="T59077" s="135"/>
      <c r="U59077" s="135"/>
    </row>
    <row r="59078" spans="20:21" ht="15" customHeight="1" x14ac:dyDescent="0.25">
      <c r="T59078" s="135"/>
      <c r="U59078" s="135"/>
    </row>
    <row r="59079" spans="20:21" ht="15" customHeight="1" x14ac:dyDescent="0.25">
      <c r="T59079" s="135"/>
      <c r="U59079" s="135"/>
    </row>
    <row r="59080" spans="20:21" ht="15" customHeight="1" x14ac:dyDescent="0.25">
      <c r="T59080" s="135"/>
      <c r="U59080" s="135"/>
    </row>
    <row r="59081" spans="20:21" ht="15" customHeight="1" x14ac:dyDescent="0.25">
      <c r="T59081" s="135"/>
      <c r="U59081" s="135"/>
    </row>
    <row r="59082" spans="20:21" ht="15" customHeight="1" x14ac:dyDescent="0.25">
      <c r="T59082" s="135"/>
      <c r="U59082" s="135"/>
    </row>
    <row r="59083" spans="20:21" ht="15" customHeight="1" x14ac:dyDescent="0.25">
      <c r="T59083" s="135"/>
      <c r="U59083" s="135"/>
    </row>
    <row r="59084" spans="20:21" ht="15" customHeight="1" x14ac:dyDescent="0.25">
      <c r="T59084" s="135"/>
      <c r="U59084" s="135"/>
    </row>
    <row r="59085" spans="20:21" ht="15" customHeight="1" x14ac:dyDescent="0.25">
      <c r="T59085" s="135"/>
      <c r="U59085" s="135"/>
    </row>
    <row r="59086" spans="20:21" ht="15" customHeight="1" x14ac:dyDescent="0.25">
      <c r="T59086" s="135"/>
      <c r="U59086" s="135"/>
    </row>
    <row r="59087" spans="20:21" ht="15" customHeight="1" x14ac:dyDescent="0.25">
      <c r="T59087" s="135"/>
      <c r="U59087" s="135"/>
    </row>
    <row r="59088" spans="20:21" ht="15" customHeight="1" x14ac:dyDescent="0.25">
      <c r="T59088" s="135"/>
      <c r="U59088" s="135"/>
    </row>
    <row r="59089" spans="20:21" ht="15" customHeight="1" x14ac:dyDescent="0.25">
      <c r="T59089" s="135"/>
      <c r="U59089" s="135"/>
    </row>
    <row r="59090" spans="20:21" ht="15" customHeight="1" x14ac:dyDescent="0.25">
      <c r="T59090" s="135"/>
      <c r="U59090" s="135"/>
    </row>
    <row r="59091" spans="20:21" ht="15" customHeight="1" x14ac:dyDescent="0.25">
      <c r="T59091" s="135"/>
      <c r="U59091" s="135"/>
    </row>
    <row r="59092" spans="20:21" ht="15" customHeight="1" x14ac:dyDescent="0.25">
      <c r="T59092" s="135"/>
      <c r="U59092" s="135"/>
    </row>
    <row r="59093" spans="20:21" ht="15" customHeight="1" x14ac:dyDescent="0.25">
      <c r="T59093" s="135"/>
      <c r="U59093" s="135"/>
    </row>
    <row r="59094" spans="20:21" ht="15" customHeight="1" x14ac:dyDescent="0.25">
      <c r="T59094" s="135"/>
      <c r="U59094" s="135"/>
    </row>
    <row r="59095" spans="20:21" ht="15" customHeight="1" x14ac:dyDescent="0.25">
      <c r="T59095" s="135"/>
      <c r="U59095" s="135"/>
    </row>
    <row r="59096" spans="20:21" ht="15" customHeight="1" x14ac:dyDescent="0.25">
      <c r="T59096" s="135"/>
      <c r="U59096" s="135"/>
    </row>
    <row r="59097" spans="20:21" ht="15" customHeight="1" x14ac:dyDescent="0.25">
      <c r="T59097" s="135"/>
      <c r="U59097" s="135"/>
    </row>
    <row r="59098" spans="20:21" ht="15" customHeight="1" x14ac:dyDescent="0.25">
      <c r="T59098" s="135"/>
      <c r="U59098" s="135"/>
    </row>
    <row r="59099" spans="20:21" ht="15" customHeight="1" x14ac:dyDescent="0.25">
      <c r="T59099" s="135"/>
      <c r="U59099" s="135"/>
    </row>
    <row r="59100" spans="20:21" ht="15" customHeight="1" x14ac:dyDescent="0.25">
      <c r="T59100" s="135"/>
      <c r="U59100" s="135"/>
    </row>
    <row r="59101" spans="20:21" ht="15" customHeight="1" x14ac:dyDescent="0.25">
      <c r="T59101" s="135"/>
      <c r="U59101" s="135"/>
    </row>
    <row r="59102" spans="20:21" ht="15" customHeight="1" x14ac:dyDescent="0.25">
      <c r="T59102" s="135"/>
      <c r="U59102" s="135"/>
    </row>
    <row r="59103" spans="20:21" ht="15" customHeight="1" x14ac:dyDescent="0.25">
      <c r="T59103" s="135"/>
      <c r="U59103" s="135"/>
    </row>
    <row r="59104" spans="20:21" ht="15" customHeight="1" x14ac:dyDescent="0.25">
      <c r="T59104" s="135"/>
      <c r="U59104" s="135"/>
    </row>
    <row r="59105" spans="20:21" ht="15" customHeight="1" x14ac:dyDescent="0.25">
      <c r="T59105" s="135"/>
      <c r="U59105" s="135"/>
    </row>
    <row r="59106" spans="20:21" ht="15" customHeight="1" x14ac:dyDescent="0.25">
      <c r="T59106" s="135"/>
      <c r="U59106" s="135"/>
    </row>
    <row r="59107" spans="20:21" ht="15" customHeight="1" x14ac:dyDescent="0.25">
      <c r="T59107" s="135"/>
      <c r="U59107" s="135"/>
    </row>
    <row r="59108" spans="20:21" ht="15" customHeight="1" x14ac:dyDescent="0.25">
      <c r="T59108" s="135"/>
      <c r="U59108" s="135"/>
    </row>
    <row r="59109" spans="20:21" ht="15" customHeight="1" x14ac:dyDescent="0.25">
      <c r="T59109" s="135"/>
      <c r="U59109" s="135"/>
    </row>
    <row r="59110" spans="20:21" ht="15" customHeight="1" x14ac:dyDescent="0.25">
      <c r="T59110" s="135"/>
      <c r="U59110" s="135"/>
    </row>
    <row r="59111" spans="20:21" ht="15" customHeight="1" x14ac:dyDescent="0.25">
      <c r="T59111" s="135"/>
      <c r="U59111" s="135"/>
    </row>
    <row r="59112" spans="20:21" ht="15" customHeight="1" x14ac:dyDescent="0.25">
      <c r="T59112" s="135"/>
      <c r="U59112" s="135"/>
    </row>
    <row r="59113" spans="20:21" ht="15" customHeight="1" x14ac:dyDescent="0.25">
      <c r="T59113" s="135"/>
      <c r="U59113" s="135"/>
    </row>
    <row r="59114" spans="20:21" ht="15" customHeight="1" x14ac:dyDescent="0.25">
      <c r="T59114" s="135"/>
      <c r="U59114" s="135"/>
    </row>
    <row r="59115" spans="20:21" ht="15" customHeight="1" x14ac:dyDescent="0.25">
      <c r="T59115" s="135"/>
      <c r="U59115" s="135"/>
    </row>
    <row r="59116" spans="20:21" ht="15" customHeight="1" x14ac:dyDescent="0.25">
      <c r="T59116" s="135"/>
      <c r="U59116" s="135"/>
    </row>
    <row r="59117" spans="20:21" ht="15" customHeight="1" x14ac:dyDescent="0.25">
      <c r="T59117" s="135"/>
      <c r="U59117" s="135"/>
    </row>
    <row r="59118" spans="20:21" ht="15" customHeight="1" x14ac:dyDescent="0.25">
      <c r="T59118" s="135"/>
      <c r="U59118" s="135"/>
    </row>
    <row r="59119" spans="20:21" ht="15" customHeight="1" x14ac:dyDescent="0.25">
      <c r="T59119" s="135"/>
      <c r="U59119" s="135"/>
    </row>
    <row r="59120" spans="20:21" ht="15" customHeight="1" x14ac:dyDescent="0.25">
      <c r="T59120" s="135"/>
      <c r="U59120" s="135"/>
    </row>
    <row r="59121" spans="20:21" ht="15" customHeight="1" x14ac:dyDescent="0.25">
      <c r="T59121" s="135"/>
      <c r="U59121" s="135"/>
    </row>
    <row r="59122" spans="20:21" ht="15" customHeight="1" x14ac:dyDescent="0.25">
      <c r="T59122" s="135"/>
      <c r="U59122" s="135"/>
    </row>
    <row r="59123" spans="20:21" ht="15" customHeight="1" x14ac:dyDescent="0.25">
      <c r="T59123" s="135"/>
      <c r="U59123" s="135"/>
    </row>
    <row r="59124" spans="20:21" ht="15" customHeight="1" x14ac:dyDescent="0.25">
      <c r="T59124" s="135"/>
      <c r="U59124" s="135"/>
    </row>
    <row r="59125" spans="20:21" ht="15" customHeight="1" x14ac:dyDescent="0.25">
      <c r="T59125" s="135"/>
      <c r="U59125" s="135"/>
    </row>
    <row r="59126" spans="20:21" ht="15" customHeight="1" x14ac:dyDescent="0.25">
      <c r="T59126" s="135"/>
      <c r="U59126" s="135"/>
    </row>
    <row r="59127" spans="20:21" ht="15" customHeight="1" x14ac:dyDescent="0.25">
      <c r="T59127" s="135"/>
      <c r="U59127" s="135"/>
    </row>
    <row r="59128" spans="20:21" ht="15" customHeight="1" x14ac:dyDescent="0.25">
      <c r="T59128" s="135"/>
      <c r="U59128" s="135"/>
    </row>
    <row r="59129" spans="20:21" ht="15" customHeight="1" x14ac:dyDescent="0.25">
      <c r="T59129" s="135"/>
      <c r="U59129" s="135"/>
    </row>
    <row r="59130" spans="20:21" ht="15" customHeight="1" x14ac:dyDescent="0.25">
      <c r="T59130" s="135"/>
      <c r="U59130" s="135"/>
    </row>
    <row r="59131" spans="20:21" ht="15" customHeight="1" x14ac:dyDescent="0.25">
      <c r="T59131" s="135"/>
      <c r="U59131" s="135"/>
    </row>
    <row r="59132" spans="20:21" ht="15" customHeight="1" x14ac:dyDescent="0.25">
      <c r="T59132" s="135"/>
      <c r="U59132" s="135"/>
    </row>
    <row r="59133" spans="20:21" ht="15" customHeight="1" x14ac:dyDescent="0.25">
      <c r="T59133" s="135"/>
      <c r="U59133" s="135"/>
    </row>
    <row r="59134" spans="20:21" ht="15" customHeight="1" x14ac:dyDescent="0.25">
      <c r="T59134" s="135"/>
      <c r="U59134" s="135"/>
    </row>
    <row r="59135" spans="20:21" ht="15" customHeight="1" x14ac:dyDescent="0.25">
      <c r="T59135" s="135"/>
      <c r="U59135" s="135"/>
    </row>
    <row r="59136" spans="20:21" ht="15" customHeight="1" x14ac:dyDescent="0.25">
      <c r="T59136" s="135"/>
      <c r="U59136" s="135"/>
    </row>
    <row r="59137" spans="20:21" ht="15" customHeight="1" x14ac:dyDescent="0.25">
      <c r="T59137" s="135"/>
      <c r="U59137" s="135"/>
    </row>
    <row r="59138" spans="20:21" ht="15" customHeight="1" x14ac:dyDescent="0.25">
      <c r="T59138" s="135"/>
      <c r="U59138" s="135"/>
    </row>
    <row r="59139" spans="20:21" ht="15" customHeight="1" x14ac:dyDescent="0.25">
      <c r="T59139" s="135"/>
      <c r="U59139" s="135"/>
    </row>
    <row r="59140" spans="20:21" ht="15" customHeight="1" x14ac:dyDescent="0.25">
      <c r="T59140" s="135"/>
      <c r="U59140" s="135"/>
    </row>
    <row r="59141" spans="20:21" ht="15" customHeight="1" x14ac:dyDescent="0.25">
      <c r="T59141" s="135"/>
      <c r="U59141" s="135"/>
    </row>
    <row r="59142" spans="20:21" ht="15" customHeight="1" x14ac:dyDescent="0.25">
      <c r="T59142" s="135"/>
      <c r="U59142" s="135"/>
    </row>
    <row r="59143" spans="20:21" ht="15" customHeight="1" x14ac:dyDescent="0.25">
      <c r="T59143" s="135"/>
      <c r="U59143" s="135"/>
    </row>
    <row r="59144" spans="20:21" ht="15" customHeight="1" x14ac:dyDescent="0.25">
      <c r="T59144" s="135"/>
      <c r="U59144" s="135"/>
    </row>
    <row r="59145" spans="20:21" ht="15" customHeight="1" x14ac:dyDescent="0.25">
      <c r="T59145" s="135"/>
      <c r="U59145" s="135"/>
    </row>
    <row r="59146" spans="20:21" ht="15" customHeight="1" x14ac:dyDescent="0.25">
      <c r="T59146" s="135"/>
      <c r="U59146" s="135"/>
    </row>
    <row r="59147" spans="20:21" ht="15" customHeight="1" x14ac:dyDescent="0.25">
      <c r="T59147" s="135"/>
      <c r="U59147" s="135"/>
    </row>
    <row r="59148" spans="20:21" ht="15" customHeight="1" x14ac:dyDescent="0.25">
      <c r="T59148" s="135"/>
      <c r="U59148" s="135"/>
    </row>
    <row r="59149" spans="20:21" ht="15" customHeight="1" x14ac:dyDescent="0.25">
      <c r="T59149" s="135"/>
      <c r="U59149" s="135"/>
    </row>
    <row r="59150" spans="20:21" ht="15" customHeight="1" x14ac:dyDescent="0.25">
      <c r="T59150" s="135"/>
      <c r="U59150" s="135"/>
    </row>
    <row r="59151" spans="20:21" ht="15" customHeight="1" x14ac:dyDescent="0.25">
      <c r="T59151" s="135"/>
      <c r="U59151" s="135"/>
    </row>
    <row r="59152" spans="20:21" ht="15" customHeight="1" x14ac:dyDescent="0.25">
      <c r="T59152" s="135"/>
      <c r="U59152" s="135"/>
    </row>
    <row r="59153" spans="20:21" ht="15" customHeight="1" x14ac:dyDescent="0.25">
      <c r="T59153" s="135"/>
      <c r="U59153" s="135"/>
    </row>
    <row r="59154" spans="20:21" ht="15" customHeight="1" x14ac:dyDescent="0.25">
      <c r="T59154" s="135"/>
      <c r="U59154" s="135"/>
    </row>
    <row r="59155" spans="20:21" ht="15" customHeight="1" x14ac:dyDescent="0.25">
      <c r="T59155" s="135"/>
      <c r="U59155" s="135"/>
    </row>
    <row r="59156" spans="20:21" ht="15" customHeight="1" x14ac:dyDescent="0.25">
      <c r="T59156" s="135"/>
      <c r="U59156" s="135"/>
    </row>
    <row r="59157" spans="20:21" ht="15" customHeight="1" x14ac:dyDescent="0.25">
      <c r="T59157" s="135"/>
      <c r="U59157" s="135"/>
    </row>
    <row r="59158" spans="20:21" ht="15" customHeight="1" x14ac:dyDescent="0.25">
      <c r="T59158" s="135"/>
      <c r="U59158" s="135"/>
    </row>
    <row r="59159" spans="20:21" ht="15" customHeight="1" x14ac:dyDescent="0.25">
      <c r="T59159" s="135"/>
      <c r="U59159" s="135"/>
    </row>
    <row r="59160" spans="20:21" ht="15" customHeight="1" x14ac:dyDescent="0.25">
      <c r="T59160" s="135"/>
      <c r="U59160" s="135"/>
    </row>
    <row r="59161" spans="20:21" ht="15" customHeight="1" x14ac:dyDescent="0.25">
      <c r="T59161" s="135"/>
      <c r="U59161" s="135"/>
    </row>
    <row r="59162" spans="20:21" ht="15" customHeight="1" x14ac:dyDescent="0.25">
      <c r="T59162" s="135"/>
      <c r="U59162" s="135"/>
    </row>
    <row r="59163" spans="20:21" ht="15" customHeight="1" x14ac:dyDescent="0.25">
      <c r="T59163" s="135"/>
      <c r="U59163" s="135"/>
    </row>
    <row r="59164" spans="20:21" ht="15" customHeight="1" x14ac:dyDescent="0.25">
      <c r="T59164" s="135"/>
      <c r="U59164" s="135"/>
    </row>
    <row r="59165" spans="20:21" ht="15" customHeight="1" x14ac:dyDescent="0.25">
      <c r="T59165" s="135"/>
      <c r="U59165" s="135"/>
    </row>
    <row r="59166" spans="20:21" ht="15" customHeight="1" x14ac:dyDescent="0.25">
      <c r="T59166" s="135"/>
      <c r="U59166" s="135"/>
    </row>
    <row r="59167" spans="20:21" ht="15" customHeight="1" x14ac:dyDescent="0.25">
      <c r="T59167" s="135"/>
      <c r="U59167" s="135"/>
    </row>
    <row r="59168" spans="20:21" ht="15" customHeight="1" x14ac:dyDescent="0.25">
      <c r="T59168" s="135"/>
      <c r="U59168" s="135"/>
    </row>
    <row r="59169" spans="20:21" ht="15" customHeight="1" x14ac:dyDescent="0.25">
      <c r="T59169" s="135"/>
      <c r="U59169" s="135"/>
    </row>
    <row r="59170" spans="20:21" ht="15" customHeight="1" x14ac:dyDescent="0.25">
      <c r="T59170" s="135"/>
      <c r="U59170" s="135"/>
    </row>
    <row r="59171" spans="20:21" ht="15" customHeight="1" x14ac:dyDescent="0.25">
      <c r="T59171" s="135"/>
      <c r="U59171" s="135"/>
    </row>
    <row r="59172" spans="20:21" ht="15" customHeight="1" x14ac:dyDescent="0.25">
      <c r="T59172" s="135"/>
      <c r="U59172" s="135"/>
    </row>
    <row r="59173" spans="20:21" ht="15" customHeight="1" x14ac:dyDescent="0.25">
      <c r="T59173" s="135"/>
      <c r="U59173" s="135"/>
    </row>
    <row r="59174" spans="20:21" ht="15" customHeight="1" x14ac:dyDescent="0.25">
      <c r="T59174" s="135"/>
      <c r="U59174" s="135"/>
    </row>
    <row r="59175" spans="20:21" ht="15" customHeight="1" x14ac:dyDescent="0.25">
      <c r="T59175" s="135"/>
      <c r="U59175" s="135"/>
    </row>
    <row r="59176" spans="20:21" ht="15" customHeight="1" x14ac:dyDescent="0.25">
      <c r="T59176" s="135"/>
      <c r="U59176" s="135"/>
    </row>
    <row r="59177" spans="20:21" ht="15" customHeight="1" x14ac:dyDescent="0.25">
      <c r="T59177" s="135"/>
      <c r="U59177" s="135"/>
    </row>
    <row r="59178" spans="20:21" ht="15" customHeight="1" x14ac:dyDescent="0.25">
      <c r="T59178" s="135"/>
      <c r="U59178" s="135"/>
    </row>
    <row r="59179" spans="20:21" ht="15" customHeight="1" x14ac:dyDescent="0.25">
      <c r="T59179" s="135"/>
      <c r="U59179" s="135"/>
    </row>
    <row r="59180" spans="20:21" ht="15" customHeight="1" x14ac:dyDescent="0.25">
      <c r="T59180" s="135"/>
      <c r="U59180" s="135"/>
    </row>
    <row r="59181" spans="20:21" ht="15" customHeight="1" x14ac:dyDescent="0.25">
      <c r="T59181" s="135"/>
      <c r="U59181" s="135"/>
    </row>
    <row r="59182" spans="20:21" ht="15" customHeight="1" x14ac:dyDescent="0.25">
      <c r="T59182" s="135"/>
      <c r="U59182" s="135"/>
    </row>
    <row r="59183" spans="20:21" ht="15" customHeight="1" x14ac:dyDescent="0.25">
      <c r="T59183" s="135"/>
      <c r="U59183" s="135"/>
    </row>
    <row r="59184" spans="20:21" ht="15" customHeight="1" x14ac:dyDescent="0.25">
      <c r="T59184" s="135"/>
      <c r="U59184" s="135"/>
    </row>
    <row r="59185" spans="20:21" ht="15" customHeight="1" x14ac:dyDescent="0.25">
      <c r="T59185" s="135"/>
      <c r="U59185" s="135"/>
    </row>
    <row r="59186" spans="20:21" ht="15" customHeight="1" x14ac:dyDescent="0.25">
      <c r="T59186" s="135"/>
      <c r="U59186" s="135"/>
    </row>
    <row r="59187" spans="20:21" ht="15" customHeight="1" x14ac:dyDescent="0.25">
      <c r="T59187" s="135"/>
      <c r="U59187" s="135"/>
    </row>
    <row r="59188" spans="20:21" ht="15" customHeight="1" x14ac:dyDescent="0.25">
      <c r="T59188" s="135"/>
      <c r="U59188" s="135"/>
    </row>
    <row r="59189" spans="20:21" ht="15" customHeight="1" x14ac:dyDescent="0.25">
      <c r="T59189" s="135"/>
      <c r="U59189" s="135"/>
    </row>
    <row r="59190" spans="20:21" ht="15" customHeight="1" x14ac:dyDescent="0.25">
      <c r="T59190" s="135"/>
      <c r="U59190" s="135"/>
    </row>
    <row r="59191" spans="20:21" ht="15" customHeight="1" x14ac:dyDescent="0.25">
      <c r="T59191" s="135"/>
      <c r="U59191" s="135"/>
    </row>
    <row r="59192" spans="20:21" ht="15" customHeight="1" x14ac:dyDescent="0.25">
      <c r="T59192" s="135"/>
      <c r="U59192" s="135"/>
    </row>
    <row r="59193" spans="20:21" ht="15" customHeight="1" x14ac:dyDescent="0.25">
      <c r="T59193" s="135"/>
      <c r="U59193" s="135"/>
    </row>
    <row r="59194" spans="20:21" ht="15" customHeight="1" x14ac:dyDescent="0.25">
      <c r="T59194" s="135"/>
      <c r="U59194" s="135"/>
    </row>
    <row r="59195" spans="20:21" ht="15" customHeight="1" x14ac:dyDescent="0.25">
      <c r="T59195" s="135"/>
      <c r="U59195" s="135"/>
    </row>
    <row r="59196" spans="20:21" ht="15" customHeight="1" x14ac:dyDescent="0.25">
      <c r="T59196" s="135"/>
      <c r="U59196" s="135"/>
    </row>
    <row r="59197" spans="20:21" ht="15" customHeight="1" x14ac:dyDescent="0.25">
      <c r="T59197" s="135"/>
      <c r="U59197" s="135"/>
    </row>
    <row r="59198" spans="20:21" ht="15" customHeight="1" x14ac:dyDescent="0.25">
      <c r="T59198" s="135"/>
      <c r="U59198" s="135"/>
    </row>
    <row r="59199" spans="20:21" ht="15" customHeight="1" x14ac:dyDescent="0.25">
      <c r="T59199" s="135"/>
      <c r="U59199" s="135"/>
    </row>
    <row r="59200" spans="20:21" ht="15" customHeight="1" x14ac:dyDescent="0.25">
      <c r="T59200" s="135"/>
      <c r="U59200" s="135"/>
    </row>
    <row r="59201" spans="20:21" ht="15" customHeight="1" x14ac:dyDescent="0.25">
      <c r="T59201" s="135"/>
      <c r="U59201" s="135"/>
    </row>
    <row r="59202" spans="20:21" ht="15" customHeight="1" x14ac:dyDescent="0.25">
      <c r="T59202" s="135"/>
      <c r="U59202" s="135"/>
    </row>
    <row r="59203" spans="20:21" ht="15" customHeight="1" x14ac:dyDescent="0.25">
      <c r="T59203" s="135"/>
      <c r="U59203" s="135"/>
    </row>
    <row r="59204" spans="20:21" ht="15" customHeight="1" x14ac:dyDescent="0.25">
      <c r="T59204" s="135"/>
      <c r="U59204" s="135"/>
    </row>
    <row r="59205" spans="20:21" ht="15" customHeight="1" x14ac:dyDescent="0.25">
      <c r="T59205" s="135"/>
      <c r="U59205" s="135"/>
    </row>
    <row r="59206" spans="20:21" ht="15" customHeight="1" x14ac:dyDescent="0.25">
      <c r="T59206" s="135"/>
      <c r="U59206" s="135"/>
    </row>
    <row r="59207" spans="20:21" ht="15" customHeight="1" x14ac:dyDescent="0.25">
      <c r="T59207" s="135"/>
      <c r="U59207" s="135"/>
    </row>
    <row r="59208" spans="20:21" ht="15" customHeight="1" x14ac:dyDescent="0.25">
      <c r="T59208" s="135"/>
      <c r="U59208" s="135"/>
    </row>
    <row r="59209" spans="20:21" ht="15" customHeight="1" x14ac:dyDescent="0.25">
      <c r="T59209" s="135"/>
      <c r="U59209" s="135"/>
    </row>
    <row r="59210" spans="20:21" ht="15" customHeight="1" x14ac:dyDescent="0.25">
      <c r="T59210" s="135"/>
      <c r="U59210" s="135"/>
    </row>
    <row r="59211" spans="20:21" ht="15" customHeight="1" x14ac:dyDescent="0.25">
      <c r="T59211" s="135"/>
      <c r="U59211" s="135"/>
    </row>
    <row r="59212" spans="20:21" ht="15" customHeight="1" x14ac:dyDescent="0.25">
      <c r="T59212" s="135"/>
      <c r="U59212" s="135"/>
    </row>
    <row r="59213" spans="20:21" ht="15" customHeight="1" x14ac:dyDescent="0.25">
      <c r="T59213" s="135"/>
      <c r="U59213" s="135"/>
    </row>
    <row r="59214" spans="20:21" ht="15" customHeight="1" x14ac:dyDescent="0.25">
      <c r="T59214" s="135"/>
      <c r="U59214" s="135"/>
    </row>
    <row r="59215" spans="20:21" ht="15" customHeight="1" x14ac:dyDescent="0.25">
      <c r="T59215" s="135"/>
      <c r="U59215" s="135"/>
    </row>
    <row r="59216" spans="20:21" ht="15" customHeight="1" x14ac:dyDescent="0.25">
      <c r="T59216" s="135"/>
      <c r="U59216" s="135"/>
    </row>
    <row r="59217" spans="20:21" ht="15" customHeight="1" x14ac:dyDescent="0.25">
      <c r="T59217" s="135"/>
      <c r="U59217" s="135"/>
    </row>
    <row r="59218" spans="20:21" ht="15" customHeight="1" x14ac:dyDescent="0.25">
      <c r="T59218" s="135"/>
      <c r="U59218" s="135"/>
    </row>
    <row r="59219" spans="20:21" ht="15" customHeight="1" x14ac:dyDescent="0.25">
      <c r="T59219" s="135"/>
      <c r="U59219" s="135"/>
    </row>
    <row r="59220" spans="20:21" ht="15" customHeight="1" x14ac:dyDescent="0.25">
      <c r="T59220" s="135"/>
      <c r="U59220" s="135"/>
    </row>
    <row r="59221" spans="20:21" ht="15" customHeight="1" x14ac:dyDescent="0.25">
      <c r="T59221" s="135"/>
      <c r="U59221" s="135"/>
    </row>
    <row r="59222" spans="20:21" ht="15" customHeight="1" x14ac:dyDescent="0.25">
      <c r="T59222" s="135"/>
      <c r="U59222" s="135"/>
    </row>
    <row r="59223" spans="20:21" ht="15" customHeight="1" x14ac:dyDescent="0.25">
      <c r="T59223" s="135"/>
      <c r="U59223" s="135"/>
    </row>
    <row r="59224" spans="20:21" ht="15" customHeight="1" x14ac:dyDescent="0.25">
      <c r="T59224" s="135"/>
      <c r="U59224" s="135"/>
    </row>
    <row r="59225" spans="20:21" ht="15" customHeight="1" x14ac:dyDescent="0.25">
      <c r="T59225" s="135"/>
      <c r="U59225" s="135"/>
    </row>
    <row r="59226" spans="20:21" ht="15" customHeight="1" x14ac:dyDescent="0.25">
      <c r="T59226" s="135"/>
      <c r="U59226" s="135"/>
    </row>
    <row r="59227" spans="20:21" ht="15" customHeight="1" x14ac:dyDescent="0.25">
      <c r="T59227" s="135"/>
      <c r="U59227" s="135"/>
    </row>
    <row r="59228" spans="20:21" ht="15" customHeight="1" x14ac:dyDescent="0.25">
      <c r="T59228" s="135"/>
      <c r="U59228" s="135"/>
    </row>
    <row r="59229" spans="20:21" ht="15" customHeight="1" x14ac:dyDescent="0.25">
      <c r="T59229" s="135"/>
      <c r="U59229" s="135"/>
    </row>
    <row r="59230" spans="20:21" ht="15" customHeight="1" x14ac:dyDescent="0.25">
      <c r="T59230" s="135"/>
      <c r="U59230" s="135"/>
    </row>
    <row r="59231" spans="20:21" ht="15" customHeight="1" x14ac:dyDescent="0.25">
      <c r="T59231" s="135"/>
      <c r="U59231" s="135"/>
    </row>
    <row r="59232" spans="20:21" ht="15" customHeight="1" x14ac:dyDescent="0.25">
      <c r="T59232" s="135"/>
      <c r="U59232" s="135"/>
    </row>
    <row r="59233" spans="20:21" ht="15" customHeight="1" x14ac:dyDescent="0.25">
      <c r="T59233" s="135"/>
      <c r="U59233" s="135"/>
    </row>
    <row r="59234" spans="20:21" ht="15" customHeight="1" x14ac:dyDescent="0.25">
      <c r="T59234" s="135"/>
      <c r="U59234" s="135"/>
    </row>
    <row r="59235" spans="20:21" ht="15" customHeight="1" x14ac:dyDescent="0.25">
      <c r="T59235" s="135"/>
      <c r="U59235" s="135"/>
    </row>
    <row r="59236" spans="20:21" ht="15" customHeight="1" x14ac:dyDescent="0.25">
      <c r="T59236" s="135"/>
      <c r="U59236" s="135"/>
    </row>
    <row r="59237" spans="20:21" ht="15" customHeight="1" x14ac:dyDescent="0.25">
      <c r="T59237" s="135"/>
      <c r="U59237" s="135"/>
    </row>
    <row r="59238" spans="20:21" ht="15" customHeight="1" x14ac:dyDescent="0.25">
      <c r="T59238" s="135"/>
      <c r="U59238" s="135"/>
    </row>
    <row r="59239" spans="20:21" ht="15" customHeight="1" x14ac:dyDescent="0.25">
      <c r="T59239" s="135"/>
      <c r="U59239" s="135"/>
    </row>
    <row r="59240" spans="20:21" ht="15" customHeight="1" x14ac:dyDescent="0.25">
      <c r="T59240" s="135"/>
      <c r="U59240" s="135"/>
    </row>
    <row r="59241" spans="20:21" ht="15" customHeight="1" x14ac:dyDescent="0.25">
      <c r="T59241" s="135"/>
      <c r="U59241" s="135"/>
    </row>
    <row r="59242" spans="20:21" ht="15" customHeight="1" x14ac:dyDescent="0.25">
      <c r="T59242" s="135"/>
      <c r="U59242" s="135"/>
    </row>
    <row r="59243" spans="20:21" ht="15" customHeight="1" x14ac:dyDescent="0.25">
      <c r="T59243" s="135"/>
      <c r="U59243" s="135"/>
    </row>
    <row r="59244" spans="20:21" ht="15" customHeight="1" x14ac:dyDescent="0.25">
      <c r="T59244" s="135"/>
      <c r="U59244" s="135"/>
    </row>
    <row r="59245" spans="20:21" ht="15" customHeight="1" x14ac:dyDescent="0.25">
      <c r="T59245" s="135"/>
      <c r="U59245" s="135"/>
    </row>
    <row r="59246" spans="20:21" ht="15" customHeight="1" x14ac:dyDescent="0.25">
      <c r="T59246" s="135"/>
      <c r="U59246" s="135"/>
    </row>
    <row r="59247" spans="20:21" ht="15" customHeight="1" x14ac:dyDescent="0.25">
      <c r="T59247" s="135"/>
      <c r="U59247" s="135"/>
    </row>
    <row r="59248" spans="20:21" ht="15" customHeight="1" x14ac:dyDescent="0.25">
      <c r="T59248" s="135"/>
      <c r="U59248" s="135"/>
    </row>
    <row r="59249" spans="20:21" ht="15" customHeight="1" x14ac:dyDescent="0.25">
      <c r="T59249" s="135"/>
      <c r="U59249" s="135"/>
    </row>
    <row r="59250" spans="20:21" ht="15" customHeight="1" x14ac:dyDescent="0.25">
      <c r="T59250" s="135"/>
      <c r="U59250" s="135"/>
    </row>
    <row r="59251" spans="20:21" ht="15" customHeight="1" x14ac:dyDescent="0.25">
      <c r="T59251" s="135"/>
      <c r="U59251" s="135"/>
    </row>
    <row r="59252" spans="20:21" ht="15" customHeight="1" x14ac:dyDescent="0.25">
      <c r="T59252" s="135"/>
      <c r="U59252" s="135"/>
    </row>
    <row r="59253" spans="20:21" ht="15" customHeight="1" x14ac:dyDescent="0.25">
      <c r="T59253" s="135"/>
      <c r="U59253" s="135"/>
    </row>
    <row r="59254" spans="20:21" ht="15" customHeight="1" x14ac:dyDescent="0.25">
      <c r="T59254" s="135"/>
      <c r="U59254" s="135"/>
    </row>
    <row r="59255" spans="20:21" ht="15" customHeight="1" x14ac:dyDescent="0.25">
      <c r="T59255" s="135"/>
      <c r="U59255" s="135"/>
    </row>
    <row r="59256" spans="20:21" ht="15" customHeight="1" x14ac:dyDescent="0.25">
      <c r="T59256" s="135"/>
      <c r="U59256" s="135"/>
    </row>
    <row r="59257" spans="20:21" ht="15" customHeight="1" x14ac:dyDescent="0.25">
      <c r="T59257" s="135"/>
      <c r="U59257" s="135"/>
    </row>
    <row r="59258" spans="20:21" ht="15" customHeight="1" x14ac:dyDescent="0.25">
      <c r="T59258" s="135"/>
      <c r="U59258" s="135"/>
    </row>
    <row r="59259" spans="20:21" ht="15" customHeight="1" x14ac:dyDescent="0.25">
      <c r="T59259" s="135"/>
      <c r="U59259" s="135"/>
    </row>
    <row r="59260" spans="20:21" ht="15" customHeight="1" x14ac:dyDescent="0.25">
      <c r="T59260" s="135"/>
      <c r="U59260" s="135"/>
    </row>
    <row r="59261" spans="20:21" ht="15" customHeight="1" x14ac:dyDescent="0.25">
      <c r="T59261" s="135"/>
      <c r="U59261" s="135"/>
    </row>
    <row r="59262" spans="20:21" ht="15" customHeight="1" x14ac:dyDescent="0.25">
      <c r="T59262" s="135"/>
      <c r="U59262" s="135"/>
    </row>
    <row r="59263" spans="20:21" ht="15" customHeight="1" x14ac:dyDescent="0.25">
      <c r="T59263" s="135"/>
      <c r="U59263" s="135"/>
    </row>
    <row r="59264" spans="20:21" ht="15" customHeight="1" x14ac:dyDescent="0.25">
      <c r="T59264" s="135"/>
      <c r="U59264" s="135"/>
    </row>
    <row r="59265" spans="20:21" ht="15" customHeight="1" x14ac:dyDescent="0.25">
      <c r="T59265" s="135"/>
      <c r="U59265" s="135"/>
    </row>
    <row r="59266" spans="20:21" ht="15" customHeight="1" x14ac:dyDescent="0.25">
      <c r="T59266" s="135"/>
      <c r="U59266" s="135"/>
    </row>
    <row r="59267" spans="20:21" ht="15" customHeight="1" x14ac:dyDescent="0.25">
      <c r="T59267" s="135"/>
      <c r="U59267" s="135"/>
    </row>
    <row r="59268" spans="20:21" ht="15" customHeight="1" x14ac:dyDescent="0.25">
      <c r="T59268" s="135"/>
      <c r="U59268" s="135"/>
    </row>
    <row r="59269" spans="20:21" ht="15" customHeight="1" x14ac:dyDescent="0.25">
      <c r="T59269" s="135"/>
      <c r="U59269" s="135"/>
    </row>
    <row r="59270" spans="20:21" ht="15" customHeight="1" x14ac:dyDescent="0.25">
      <c r="T59270" s="135"/>
      <c r="U59270" s="135"/>
    </row>
    <row r="59271" spans="20:21" ht="15" customHeight="1" x14ac:dyDescent="0.25">
      <c r="T59271" s="135"/>
      <c r="U59271" s="135"/>
    </row>
    <row r="59272" spans="20:21" ht="15" customHeight="1" x14ac:dyDescent="0.25">
      <c r="T59272" s="135"/>
      <c r="U59272" s="135"/>
    </row>
    <row r="59273" spans="20:21" ht="15" customHeight="1" x14ac:dyDescent="0.25">
      <c r="T59273" s="135"/>
      <c r="U59273" s="135"/>
    </row>
    <row r="59274" spans="20:21" ht="15" customHeight="1" x14ac:dyDescent="0.25">
      <c r="T59274" s="135"/>
      <c r="U59274" s="135"/>
    </row>
    <row r="59275" spans="20:21" ht="15" customHeight="1" x14ac:dyDescent="0.25">
      <c r="T59275" s="135"/>
      <c r="U59275" s="135"/>
    </row>
    <row r="59276" spans="20:21" ht="15" customHeight="1" x14ac:dyDescent="0.25">
      <c r="T59276" s="135"/>
      <c r="U59276" s="135"/>
    </row>
    <row r="59277" spans="20:21" ht="15" customHeight="1" x14ac:dyDescent="0.25">
      <c r="T59277" s="135"/>
      <c r="U59277" s="135"/>
    </row>
    <row r="59278" spans="20:21" ht="15" customHeight="1" x14ac:dyDescent="0.25">
      <c r="T59278" s="135"/>
      <c r="U59278" s="135"/>
    </row>
    <row r="59279" spans="20:21" ht="15" customHeight="1" x14ac:dyDescent="0.25">
      <c r="T59279" s="135"/>
      <c r="U59279" s="135"/>
    </row>
    <row r="59280" spans="20:21" ht="15" customHeight="1" x14ac:dyDescent="0.25">
      <c r="T59280" s="135"/>
      <c r="U59280" s="135"/>
    </row>
    <row r="59281" spans="20:21" ht="15" customHeight="1" x14ac:dyDescent="0.25">
      <c r="T59281" s="135"/>
      <c r="U59281" s="135"/>
    </row>
    <row r="59282" spans="20:21" ht="15" customHeight="1" x14ac:dyDescent="0.25">
      <c r="T59282" s="135"/>
      <c r="U59282" s="135"/>
    </row>
    <row r="59283" spans="20:21" ht="15" customHeight="1" x14ac:dyDescent="0.25">
      <c r="T59283" s="135"/>
      <c r="U59283" s="135"/>
    </row>
    <row r="59284" spans="20:21" ht="15" customHeight="1" x14ac:dyDescent="0.25">
      <c r="T59284" s="135"/>
      <c r="U59284" s="135"/>
    </row>
    <row r="59285" spans="20:21" ht="15" customHeight="1" x14ac:dyDescent="0.25">
      <c r="T59285" s="135"/>
      <c r="U59285" s="135"/>
    </row>
    <row r="59286" spans="20:21" ht="15" customHeight="1" x14ac:dyDescent="0.25">
      <c r="T59286" s="135"/>
      <c r="U59286" s="135"/>
    </row>
    <row r="59287" spans="20:21" ht="15" customHeight="1" x14ac:dyDescent="0.25">
      <c r="T59287" s="135"/>
      <c r="U59287" s="135"/>
    </row>
    <row r="59288" spans="20:21" ht="15" customHeight="1" x14ac:dyDescent="0.25">
      <c r="T59288" s="135"/>
      <c r="U59288" s="135"/>
    </row>
    <row r="59289" spans="20:21" ht="15" customHeight="1" x14ac:dyDescent="0.25">
      <c r="T59289" s="135"/>
      <c r="U59289" s="135"/>
    </row>
    <row r="59290" spans="20:21" ht="15" customHeight="1" x14ac:dyDescent="0.25">
      <c r="T59290" s="135"/>
      <c r="U59290" s="135"/>
    </row>
    <row r="59291" spans="20:21" ht="15" customHeight="1" x14ac:dyDescent="0.25">
      <c r="T59291" s="135"/>
      <c r="U59291" s="135"/>
    </row>
    <row r="59292" spans="20:21" ht="15" customHeight="1" x14ac:dyDescent="0.25">
      <c r="T59292" s="135"/>
      <c r="U59292" s="135"/>
    </row>
    <row r="59293" spans="20:21" ht="15" customHeight="1" x14ac:dyDescent="0.25">
      <c r="T59293" s="135"/>
      <c r="U59293" s="135"/>
    </row>
    <row r="59294" spans="20:21" ht="15" customHeight="1" x14ac:dyDescent="0.25">
      <c r="T59294" s="135"/>
      <c r="U59294" s="135"/>
    </row>
    <row r="59295" spans="20:21" ht="15" customHeight="1" x14ac:dyDescent="0.25">
      <c r="T59295" s="135"/>
      <c r="U59295" s="135"/>
    </row>
    <row r="59296" spans="20:21" ht="15" customHeight="1" x14ac:dyDescent="0.25">
      <c r="T59296" s="135"/>
      <c r="U59296" s="135"/>
    </row>
    <row r="59297" spans="20:21" ht="15" customHeight="1" x14ac:dyDescent="0.25">
      <c r="T59297" s="135"/>
      <c r="U59297" s="135"/>
    </row>
    <row r="59298" spans="20:21" ht="15" customHeight="1" x14ac:dyDescent="0.25">
      <c r="T59298" s="135"/>
      <c r="U59298" s="135"/>
    </row>
    <row r="59299" spans="20:21" ht="15" customHeight="1" x14ac:dyDescent="0.25">
      <c r="T59299" s="135"/>
      <c r="U59299" s="135"/>
    </row>
    <row r="59300" spans="20:21" ht="15" customHeight="1" x14ac:dyDescent="0.25">
      <c r="T59300" s="135"/>
      <c r="U59300" s="135"/>
    </row>
    <row r="59301" spans="20:21" ht="15" customHeight="1" x14ac:dyDescent="0.25">
      <c r="T59301" s="135"/>
      <c r="U59301" s="135"/>
    </row>
    <row r="59302" spans="20:21" ht="15" customHeight="1" x14ac:dyDescent="0.25">
      <c r="T59302" s="135"/>
      <c r="U59302" s="135"/>
    </row>
    <row r="59303" spans="20:21" ht="15" customHeight="1" x14ac:dyDescent="0.25">
      <c r="T59303" s="135"/>
      <c r="U59303" s="135"/>
    </row>
    <row r="59304" spans="20:21" ht="15" customHeight="1" x14ac:dyDescent="0.25">
      <c r="T59304" s="135"/>
      <c r="U59304" s="135"/>
    </row>
    <row r="59305" spans="20:21" ht="15" customHeight="1" x14ac:dyDescent="0.25">
      <c r="T59305" s="135"/>
      <c r="U59305" s="135"/>
    </row>
    <row r="59306" spans="20:21" ht="15" customHeight="1" x14ac:dyDescent="0.25">
      <c r="T59306" s="135"/>
      <c r="U59306" s="135"/>
    </row>
    <row r="59307" spans="20:21" ht="15" customHeight="1" x14ac:dyDescent="0.25">
      <c r="T59307" s="135"/>
      <c r="U59307" s="135"/>
    </row>
    <row r="59308" spans="20:21" ht="15" customHeight="1" x14ac:dyDescent="0.25">
      <c r="T59308" s="135"/>
      <c r="U59308" s="135"/>
    </row>
    <row r="59309" spans="20:21" ht="15" customHeight="1" x14ac:dyDescent="0.25">
      <c r="T59309" s="135"/>
      <c r="U59309" s="135"/>
    </row>
    <row r="59310" spans="20:21" ht="15" customHeight="1" x14ac:dyDescent="0.25">
      <c r="T59310" s="135"/>
      <c r="U59310" s="135"/>
    </row>
    <row r="59311" spans="20:21" ht="15" customHeight="1" x14ac:dyDescent="0.25">
      <c r="T59311" s="135"/>
      <c r="U59311" s="135"/>
    </row>
    <row r="59312" spans="20:21" ht="15" customHeight="1" x14ac:dyDescent="0.25">
      <c r="T59312" s="135"/>
      <c r="U59312" s="135"/>
    </row>
    <row r="59313" spans="20:21" ht="15" customHeight="1" x14ac:dyDescent="0.25">
      <c r="T59313" s="135"/>
      <c r="U59313" s="135"/>
    </row>
    <row r="59314" spans="20:21" ht="15" customHeight="1" x14ac:dyDescent="0.25">
      <c r="T59314" s="135"/>
      <c r="U59314" s="135"/>
    </row>
    <row r="59315" spans="20:21" ht="15" customHeight="1" x14ac:dyDescent="0.25">
      <c r="T59315" s="135"/>
      <c r="U59315" s="135"/>
    </row>
    <row r="59316" spans="20:21" ht="15" customHeight="1" x14ac:dyDescent="0.25">
      <c r="T59316" s="135"/>
      <c r="U59316" s="135"/>
    </row>
    <row r="59317" spans="20:21" ht="15" customHeight="1" x14ac:dyDescent="0.25">
      <c r="T59317" s="135"/>
      <c r="U59317" s="135"/>
    </row>
    <row r="59318" spans="20:21" ht="15" customHeight="1" x14ac:dyDescent="0.25">
      <c r="T59318" s="135"/>
      <c r="U59318" s="135"/>
    </row>
    <row r="59319" spans="20:21" ht="15" customHeight="1" x14ac:dyDescent="0.25">
      <c r="T59319" s="135"/>
      <c r="U59319" s="135"/>
    </row>
    <row r="59320" spans="20:21" ht="15" customHeight="1" x14ac:dyDescent="0.25">
      <c r="T59320" s="135"/>
      <c r="U59320" s="135"/>
    </row>
    <row r="59321" spans="20:21" ht="15" customHeight="1" x14ac:dyDescent="0.25">
      <c r="T59321" s="135"/>
      <c r="U59321" s="135"/>
    </row>
    <row r="59322" spans="20:21" ht="15" customHeight="1" x14ac:dyDescent="0.25">
      <c r="T59322" s="135"/>
      <c r="U59322" s="135"/>
    </row>
    <row r="59323" spans="20:21" ht="15" customHeight="1" x14ac:dyDescent="0.25">
      <c r="T59323" s="135"/>
      <c r="U59323" s="135"/>
    </row>
    <row r="59324" spans="20:21" ht="15" customHeight="1" x14ac:dyDescent="0.25">
      <c r="T59324" s="135"/>
      <c r="U59324" s="135"/>
    </row>
    <row r="59325" spans="20:21" ht="15" customHeight="1" x14ac:dyDescent="0.25">
      <c r="T59325" s="135"/>
      <c r="U59325" s="135"/>
    </row>
    <row r="59326" spans="20:21" ht="15" customHeight="1" x14ac:dyDescent="0.25">
      <c r="T59326" s="135"/>
      <c r="U59326" s="135"/>
    </row>
    <row r="59327" spans="20:21" ht="15" customHeight="1" x14ac:dyDescent="0.25">
      <c r="T59327" s="135"/>
      <c r="U59327" s="135"/>
    </row>
    <row r="59328" spans="20:21" ht="15" customHeight="1" x14ac:dyDescent="0.25">
      <c r="T59328" s="135"/>
      <c r="U59328" s="135"/>
    </row>
    <row r="59329" spans="20:21" ht="15" customHeight="1" x14ac:dyDescent="0.25">
      <c r="T59329" s="135"/>
      <c r="U59329" s="135"/>
    </row>
    <row r="59330" spans="20:21" ht="15" customHeight="1" x14ac:dyDescent="0.25">
      <c r="T59330" s="135"/>
      <c r="U59330" s="135"/>
    </row>
    <row r="59331" spans="20:21" ht="15" customHeight="1" x14ac:dyDescent="0.25">
      <c r="T59331" s="135"/>
      <c r="U59331" s="135"/>
    </row>
    <row r="59332" spans="20:21" ht="15" customHeight="1" x14ac:dyDescent="0.25">
      <c r="T59332" s="135"/>
      <c r="U59332" s="135"/>
    </row>
    <row r="59333" spans="20:21" ht="15" customHeight="1" x14ac:dyDescent="0.25">
      <c r="T59333" s="135"/>
      <c r="U59333" s="135"/>
    </row>
    <row r="59334" spans="20:21" ht="15" customHeight="1" x14ac:dyDescent="0.25">
      <c r="T59334" s="135"/>
      <c r="U59334" s="135"/>
    </row>
    <row r="59335" spans="20:21" ht="15" customHeight="1" x14ac:dyDescent="0.25">
      <c r="T59335" s="135"/>
      <c r="U59335" s="135"/>
    </row>
    <row r="59336" spans="20:21" ht="15" customHeight="1" x14ac:dyDescent="0.25">
      <c r="T59336" s="135"/>
      <c r="U59336" s="135"/>
    </row>
    <row r="59337" spans="20:21" ht="15" customHeight="1" x14ac:dyDescent="0.25">
      <c r="T59337" s="135"/>
      <c r="U59337" s="135"/>
    </row>
    <row r="59338" spans="20:21" ht="15" customHeight="1" x14ac:dyDescent="0.25">
      <c r="T59338" s="135"/>
      <c r="U59338" s="135"/>
    </row>
    <row r="59339" spans="20:21" ht="15" customHeight="1" x14ac:dyDescent="0.25">
      <c r="T59339" s="135"/>
      <c r="U59339" s="135"/>
    </row>
    <row r="59340" spans="20:21" ht="15" customHeight="1" x14ac:dyDescent="0.25">
      <c r="T59340" s="135"/>
      <c r="U59340" s="135"/>
    </row>
    <row r="59341" spans="20:21" ht="15" customHeight="1" x14ac:dyDescent="0.25">
      <c r="T59341" s="135"/>
      <c r="U59341" s="135"/>
    </row>
    <row r="59342" spans="20:21" ht="15" customHeight="1" x14ac:dyDescent="0.25">
      <c r="T59342" s="135"/>
      <c r="U59342" s="135"/>
    </row>
    <row r="59343" spans="20:21" ht="15" customHeight="1" x14ac:dyDescent="0.25">
      <c r="T59343" s="135"/>
      <c r="U59343" s="135"/>
    </row>
    <row r="59344" spans="20:21" ht="15" customHeight="1" x14ac:dyDescent="0.25">
      <c r="T59344" s="135"/>
      <c r="U59344" s="135"/>
    </row>
    <row r="59345" spans="20:21" ht="15" customHeight="1" x14ac:dyDescent="0.25">
      <c r="T59345" s="135"/>
      <c r="U59345" s="135"/>
    </row>
    <row r="59346" spans="20:21" ht="15" customHeight="1" x14ac:dyDescent="0.25">
      <c r="T59346" s="135"/>
      <c r="U59346" s="135"/>
    </row>
    <row r="59347" spans="20:21" ht="15" customHeight="1" x14ac:dyDescent="0.25">
      <c r="T59347" s="135"/>
      <c r="U59347" s="135"/>
    </row>
    <row r="59348" spans="20:21" ht="15" customHeight="1" x14ac:dyDescent="0.25">
      <c r="T59348" s="135"/>
      <c r="U59348" s="135"/>
    </row>
    <row r="59349" spans="20:21" ht="15" customHeight="1" x14ac:dyDescent="0.25">
      <c r="T59349" s="135"/>
      <c r="U59349" s="135"/>
    </row>
    <row r="59350" spans="20:21" ht="15" customHeight="1" x14ac:dyDescent="0.25">
      <c r="T59350" s="135"/>
      <c r="U59350" s="135"/>
    </row>
    <row r="59351" spans="20:21" ht="15" customHeight="1" x14ac:dyDescent="0.25">
      <c r="T59351" s="135"/>
      <c r="U59351" s="135"/>
    </row>
    <row r="59352" spans="20:21" ht="15" customHeight="1" x14ac:dyDescent="0.25">
      <c r="T59352" s="135"/>
      <c r="U59352" s="135"/>
    </row>
    <row r="59353" spans="20:21" ht="15" customHeight="1" x14ac:dyDescent="0.25">
      <c r="T59353" s="135"/>
      <c r="U59353" s="135"/>
    </row>
    <row r="59354" spans="20:21" ht="15" customHeight="1" x14ac:dyDescent="0.25">
      <c r="T59354" s="135"/>
      <c r="U59354" s="135"/>
    </row>
    <row r="59355" spans="20:21" ht="15" customHeight="1" x14ac:dyDescent="0.25">
      <c r="T59355" s="135"/>
      <c r="U59355" s="135"/>
    </row>
    <row r="59356" spans="20:21" ht="15" customHeight="1" x14ac:dyDescent="0.25">
      <c r="T59356" s="135"/>
      <c r="U59356" s="135"/>
    </row>
    <row r="59357" spans="20:21" ht="15" customHeight="1" x14ac:dyDescent="0.25">
      <c r="T59357" s="135"/>
      <c r="U59357" s="135"/>
    </row>
    <row r="59358" spans="20:21" ht="15" customHeight="1" x14ac:dyDescent="0.25">
      <c r="T59358" s="135"/>
      <c r="U59358" s="135"/>
    </row>
    <row r="59359" spans="20:21" ht="15" customHeight="1" x14ac:dyDescent="0.25">
      <c r="T59359" s="135"/>
      <c r="U59359" s="135"/>
    </row>
    <row r="59360" spans="20:21" ht="15" customHeight="1" x14ac:dyDescent="0.25">
      <c r="T59360" s="135"/>
      <c r="U59360" s="135"/>
    </row>
    <row r="59361" spans="20:21" ht="15" customHeight="1" x14ac:dyDescent="0.25">
      <c r="T59361" s="135"/>
      <c r="U59361" s="135"/>
    </row>
    <row r="59362" spans="20:21" ht="15" customHeight="1" x14ac:dyDescent="0.25">
      <c r="T59362" s="135"/>
      <c r="U59362" s="135"/>
    </row>
    <row r="59363" spans="20:21" ht="15" customHeight="1" x14ac:dyDescent="0.25">
      <c r="T59363" s="135"/>
      <c r="U59363" s="135"/>
    </row>
    <row r="59364" spans="20:21" ht="15" customHeight="1" x14ac:dyDescent="0.25">
      <c r="T59364" s="135"/>
      <c r="U59364" s="135"/>
    </row>
    <row r="59365" spans="20:21" ht="15" customHeight="1" x14ac:dyDescent="0.25">
      <c r="T59365" s="135"/>
      <c r="U59365" s="135"/>
    </row>
    <row r="59366" spans="20:21" ht="15" customHeight="1" x14ac:dyDescent="0.25">
      <c r="T59366" s="135"/>
      <c r="U59366" s="135"/>
    </row>
    <row r="59367" spans="20:21" ht="15" customHeight="1" x14ac:dyDescent="0.25">
      <c r="T59367" s="135"/>
      <c r="U59367" s="135"/>
    </row>
    <row r="59368" spans="20:21" ht="15" customHeight="1" x14ac:dyDescent="0.25">
      <c r="T59368" s="135"/>
      <c r="U59368" s="135"/>
    </row>
    <row r="59369" spans="20:21" ht="15" customHeight="1" x14ac:dyDescent="0.25">
      <c r="T59369" s="135"/>
      <c r="U59369" s="135"/>
    </row>
    <row r="59370" spans="20:21" ht="15" customHeight="1" x14ac:dyDescent="0.25">
      <c r="T59370" s="135"/>
      <c r="U59370" s="135"/>
    </row>
    <row r="59371" spans="20:21" ht="15" customHeight="1" x14ac:dyDescent="0.25">
      <c r="T59371" s="135"/>
      <c r="U59371" s="135"/>
    </row>
    <row r="59372" spans="20:21" ht="15" customHeight="1" x14ac:dyDescent="0.25">
      <c r="T59372" s="135"/>
      <c r="U59372" s="135"/>
    </row>
    <row r="59373" spans="20:21" ht="15" customHeight="1" x14ac:dyDescent="0.25">
      <c r="T59373" s="135"/>
      <c r="U59373" s="135"/>
    </row>
    <row r="59374" spans="20:21" ht="15" customHeight="1" x14ac:dyDescent="0.25">
      <c r="T59374" s="135"/>
      <c r="U59374" s="135"/>
    </row>
    <row r="59375" spans="20:21" ht="15" customHeight="1" x14ac:dyDescent="0.25">
      <c r="T59375" s="135"/>
      <c r="U59375" s="135"/>
    </row>
    <row r="59376" spans="20:21" ht="15" customHeight="1" x14ac:dyDescent="0.25">
      <c r="T59376" s="135"/>
      <c r="U59376" s="135"/>
    </row>
    <row r="59377" spans="20:21" ht="15" customHeight="1" x14ac:dyDescent="0.25">
      <c r="T59377" s="135"/>
      <c r="U59377" s="135"/>
    </row>
    <row r="59378" spans="20:21" ht="15" customHeight="1" x14ac:dyDescent="0.25">
      <c r="T59378" s="135"/>
      <c r="U59378" s="135"/>
    </row>
    <row r="59379" spans="20:21" ht="15" customHeight="1" x14ac:dyDescent="0.25">
      <c r="T59379" s="135"/>
      <c r="U59379" s="135"/>
    </row>
    <row r="59380" spans="20:21" ht="15" customHeight="1" x14ac:dyDescent="0.25">
      <c r="T59380" s="135"/>
      <c r="U59380" s="135"/>
    </row>
    <row r="59381" spans="20:21" ht="15" customHeight="1" x14ac:dyDescent="0.25">
      <c r="T59381" s="135"/>
      <c r="U59381" s="135"/>
    </row>
    <row r="59382" spans="20:21" ht="15" customHeight="1" x14ac:dyDescent="0.25">
      <c r="T59382" s="135"/>
      <c r="U59382" s="135"/>
    </row>
    <row r="59383" spans="20:21" ht="15" customHeight="1" x14ac:dyDescent="0.25">
      <c r="T59383" s="135"/>
      <c r="U59383" s="135"/>
    </row>
    <row r="59384" spans="20:21" ht="15" customHeight="1" x14ac:dyDescent="0.25">
      <c r="T59384" s="135"/>
      <c r="U59384" s="135"/>
    </row>
    <row r="59385" spans="20:21" ht="15" customHeight="1" x14ac:dyDescent="0.25">
      <c r="T59385" s="135"/>
      <c r="U59385" s="135"/>
    </row>
    <row r="59386" spans="20:21" ht="15" customHeight="1" x14ac:dyDescent="0.25">
      <c r="T59386" s="135"/>
      <c r="U59386" s="135"/>
    </row>
    <row r="59387" spans="20:21" ht="15" customHeight="1" x14ac:dyDescent="0.25">
      <c r="T59387" s="135"/>
      <c r="U59387" s="135"/>
    </row>
    <row r="59388" spans="20:21" ht="15" customHeight="1" x14ac:dyDescent="0.25">
      <c r="T59388" s="135"/>
      <c r="U59388" s="135"/>
    </row>
    <row r="59389" spans="20:21" ht="15" customHeight="1" x14ac:dyDescent="0.25">
      <c r="T59389" s="135"/>
      <c r="U59389" s="135"/>
    </row>
    <row r="59390" spans="20:21" ht="15" customHeight="1" x14ac:dyDescent="0.25">
      <c r="T59390" s="135"/>
      <c r="U59390" s="135"/>
    </row>
    <row r="59391" spans="20:21" ht="15" customHeight="1" x14ac:dyDescent="0.25">
      <c r="T59391" s="135"/>
      <c r="U59391" s="135"/>
    </row>
    <row r="59392" spans="20:21" ht="15" customHeight="1" x14ac:dyDescent="0.25">
      <c r="T59392" s="135"/>
      <c r="U59392" s="135"/>
    </row>
    <row r="59393" spans="20:21" ht="15" customHeight="1" x14ac:dyDescent="0.25">
      <c r="T59393" s="135"/>
      <c r="U59393" s="135"/>
    </row>
    <row r="59394" spans="20:21" ht="15" customHeight="1" x14ac:dyDescent="0.25">
      <c r="T59394" s="135"/>
      <c r="U59394" s="135"/>
    </row>
    <row r="59395" spans="20:21" ht="15" customHeight="1" x14ac:dyDescent="0.25">
      <c r="T59395" s="135"/>
      <c r="U59395" s="135"/>
    </row>
    <row r="59396" spans="20:21" ht="15" customHeight="1" x14ac:dyDescent="0.25">
      <c r="T59396" s="135"/>
      <c r="U59396" s="135"/>
    </row>
    <row r="59397" spans="20:21" ht="15" customHeight="1" x14ac:dyDescent="0.25">
      <c r="T59397" s="135"/>
      <c r="U59397" s="135"/>
    </row>
    <row r="59398" spans="20:21" ht="15" customHeight="1" x14ac:dyDescent="0.25">
      <c r="T59398" s="135"/>
      <c r="U59398" s="135"/>
    </row>
    <row r="59399" spans="20:21" ht="15" customHeight="1" x14ac:dyDescent="0.25">
      <c r="T59399" s="135"/>
      <c r="U59399" s="135"/>
    </row>
    <row r="59400" spans="20:21" ht="15" customHeight="1" x14ac:dyDescent="0.25">
      <c r="T59400" s="135"/>
      <c r="U59400" s="135"/>
    </row>
    <row r="59401" spans="20:21" ht="15" customHeight="1" x14ac:dyDescent="0.25">
      <c r="T59401" s="135"/>
      <c r="U59401" s="135"/>
    </row>
    <row r="59402" spans="20:21" ht="15" customHeight="1" x14ac:dyDescent="0.25">
      <c r="T59402" s="135"/>
      <c r="U59402" s="135"/>
    </row>
    <row r="59403" spans="20:21" ht="15" customHeight="1" x14ac:dyDescent="0.25">
      <c r="T59403" s="135"/>
      <c r="U59403" s="135"/>
    </row>
    <row r="59404" spans="20:21" ht="15" customHeight="1" x14ac:dyDescent="0.25">
      <c r="T59404" s="135"/>
      <c r="U59404" s="135"/>
    </row>
    <row r="59405" spans="20:21" ht="15" customHeight="1" x14ac:dyDescent="0.25">
      <c r="T59405" s="135"/>
      <c r="U59405" s="135"/>
    </row>
    <row r="59406" spans="20:21" ht="15" customHeight="1" x14ac:dyDescent="0.25">
      <c r="T59406" s="135"/>
      <c r="U59406" s="135"/>
    </row>
    <row r="59407" spans="20:21" ht="15" customHeight="1" x14ac:dyDescent="0.25">
      <c r="T59407" s="135"/>
      <c r="U59407" s="135"/>
    </row>
    <row r="59408" spans="20:21" ht="15" customHeight="1" x14ac:dyDescent="0.25">
      <c r="T59408" s="135"/>
      <c r="U59408" s="135"/>
    </row>
    <row r="59409" spans="20:21" ht="15" customHeight="1" x14ac:dyDescent="0.25">
      <c r="T59409" s="135"/>
      <c r="U59409" s="135"/>
    </row>
    <row r="59410" spans="20:21" ht="15" customHeight="1" x14ac:dyDescent="0.25">
      <c r="T59410" s="135"/>
      <c r="U59410" s="135"/>
    </row>
    <row r="59411" spans="20:21" ht="15" customHeight="1" x14ac:dyDescent="0.25">
      <c r="T59411" s="135"/>
      <c r="U59411" s="135"/>
    </row>
    <row r="59412" spans="20:21" ht="15" customHeight="1" x14ac:dyDescent="0.25">
      <c r="T59412" s="135"/>
      <c r="U59412" s="135"/>
    </row>
    <row r="59413" spans="20:21" ht="15" customHeight="1" x14ac:dyDescent="0.25">
      <c r="T59413" s="135"/>
      <c r="U59413" s="135"/>
    </row>
    <row r="59414" spans="20:21" ht="15" customHeight="1" x14ac:dyDescent="0.25">
      <c r="T59414" s="135"/>
      <c r="U59414" s="135"/>
    </row>
    <row r="59415" spans="20:21" ht="15" customHeight="1" x14ac:dyDescent="0.25">
      <c r="T59415" s="135"/>
      <c r="U59415" s="135"/>
    </row>
    <row r="59416" spans="20:21" ht="15" customHeight="1" x14ac:dyDescent="0.25">
      <c r="T59416" s="135"/>
      <c r="U59416" s="135"/>
    </row>
    <row r="59417" spans="20:21" ht="15" customHeight="1" x14ac:dyDescent="0.25">
      <c r="T59417" s="135"/>
      <c r="U59417" s="135"/>
    </row>
    <row r="59418" spans="20:21" ht="15" customHeight="1" x14ac:dyDescent="0.25">
      <c r="T59418" s="135"/>
      <c r="U59418" s="135"/>
    </row>
    <row r="59419" spans="20:21" ht="15" customHeight="1" x14ac:dyDescent="0.25">
      <c r="T59419" s="135"/>
      <c r="U59419" s="135"/>
    </row>
    <row r="59420" spans="20:21" ht="15" customHeight="1" x14ac:dyDescent="0.25">
      <c r="T59420" s="135"/>
      <c r="U59420" s="135"/>
    </row>
    <row r="59421" spans="20:21" ht="15" customHeight="1" x14ac:dyDescent="0.25">
      <c r="T59421" s="135"/>
      <c r="U59421" s="135"/>
    </row>
    <row r="59422" spans="20:21" ht="15" customHeight="1" x14ac:dyDescent="0.25">
      <c r="T59422" s="135"/>
      <c r="U59422" s="135"/>
    </row>
    <row r="59423" spans="20:21" ht="15" customHeight="1" x14ac:dyDescent="0.25">
      <c r="T59423" s="135"/>
      <c r="U59423" s="135"/>
    </row>
    <row r="59424" spans="20:21" ht="15" customHeight="1" x14ac:dyDescent="0.25">
      <c r="T59424" s="135"/>
      <c r="U59424" s="135"/>
    </row>
    <row r="59425" spans="20:21" ht="15" customHeight="1" x14ac:dyDescent="0.25">
      <c r="T59425" s="135"/>
      <c r="U59425" s="135"/>
    </row>
    <row r="59426" spans="20:21" ht="15" customHeight="1" x14ac:dyDescent="0.25">
      <c r="T59426" s="135"/>
      <c r="U59426" s="135"/>
    </row>
    <row r="59427" spans="20:21" ht="15" customHeight="1" x14ac:dyDescent="0.25">
      <c r="T59427" s="135"/>
      <c r="U59427" s="135"/>
    </row>
    <row r="59428" spans="20:21" ht="15" customHeight="1" x14ac:dyDescent="0.25">
      <c r="T59428" s="135"/>
      <c r="U59428" s="135"/>
    </row>
    <row r="59429" spans="20:21" ht="15" customHeight="1" x14ac:dyDescent="0.25">
      <c r="T59429" s="135"/>
      <c r="U59429" s="135"/>
    </row>
    <row r="59430" spans="20:21" ht="15" customHeight="1" x14ac:dyDescent="0.25">
      <c r="T59430" s="135"/>
      <c r="U59430" s="135"/>
    </row>
    <row r="59431" spans="20:21" ht="15" customHeight="1" x14ac:dyDescent="0.25">
      <c r="T59431" s="135"/>
      <c r="U59431" s="135"/>
    </row>
    <row r="59432" spans="20:21" ht="15" customHeight="1" x14ac:dyDescent="0.25">
      <c r="T59432" s="135"/>
      <c r="U59432" s="135"/>
    </row>
    <row r="59433" spans="20:21" ht="15" customHeight="1" x14ac:dyDescent="0.25">
      <c r="T59433" s="135"/>
      <c r="U59433" s="135"/>
    </row>
    <row r="59434" spans="20:21" ht="15" customHeight="1" x14ac:dyDescent="0.25">
      <c r="T59434" s="135"/>
      <c r="U59434" s="135"/>
    </row>
    <row r="59435" spans="20:21" ht="15" customHeight="1" x14ac:dyDescent="0.25">
      <c r="T59435" s="135"/>
      <c r="U59435" s="135"/>
    </row>
    <row r="59436" spans="20:21" ht="15" customHeight="1" x14ac:dyDescent="0.25">
      <c r="T59436" s="135"/>
      <c r="U59436" s="135"/>
    </row>
    <row r="59437" spans="20:21" ht="15" customHeight="1" x14ac:dyDescent="0.25">
      <c r="T59437" s="135"/>
      <c r="U59437" s="135"/>
    </row>
    <row r="59438" spans="20:21" ht="15" customHeight="1" x14ac:dyDescent="0.25">
      <c r="T59438" s="135"/>
      <c r="U59438" s="135"/>
    </row>
    <row r="59439" spans="20:21" ht="15" customHeight="1" x14ac:dyDescent="0.25">
      <c r="T59439" s="135"/>
      <c r="U59439" s="135"/>
    </row>
    <row r="59440" spans="20:21" ht="15" customHeight="1" x14ac:dyDescent="0.25">
      <c r="T59440" s="135"/>
      <c r="U59440" s="135"/>
    </row>
    <row r="59441" spans="20:21" ht="15" customHeight="1" x14ac:dyDescent="0.25">
      <c r="T59441" s="135"/>
      <c r="U59441" s="135"/>
    </row>
    <row r="59442" spans="20:21" ht="15" customHeight="1" x14ac:dyDescent="0.25">
      <c r="T59442" s="135"/>
      <c r="U59442" s="135"/>
    </row>
    <row r="59443" spans="20:21" ht="15" customHeight="1" x14ac:dyDescent="0.25">
      <c r="T59443" s="135"/>
      <c r="U59443" s="135"/>
    </row>
    <row r="59444" spans="20:21" ht="15" customHeight="1" x14ac:dyDescent="0.25">
      <c r="T59444" s="135"/>
      <c r="U59444" s="135"/>
    </row>
    <row r="59445" spans="20:21" ht="15" customHeight="1" x14ac:dyDescent="0.25">
      <c r="T59445" s="135"/>
      <c r="U59445" s="135"/>
    </row>
    <row r="59446" spans="20:21" ht="15" customHeight="1" x14ac:dyDescent="0.25">
      <c r="T59446" s="135"/>
      <c r="U59446" s="135"/>
    </row>
    <row r="59447" spans="20:21" ht="15" customHeight="1" x14ac:dyDescent="0.25">
      <c r="T59447" s="135"/>
      <c r="U59447" s="135"/>
    </row>
    <row r="59448" spans="20:21" ht="15" customHeight="1" x14ac:dyDescent="0.25">
      <c r="T59448" s="135"/>
      <c r="U59448" s="135"/>
    </row>
    <row r="59449" spans="20:21" ht="15" customHeight="1" x14ac:dyDescent="0.25">
      <c r="T59449" s="135"/>
      <c r="U59449" s="135"/>
    </row>
    <row r="59450" spans="20:21" ht="15" customHeight="1" x14ac:dyDescent="0.25">
      <c r="T59450" s="135"/>
      <c r="U59450" s="135"/>
    </row>
    <row r="59451" spans="20:21" ht="15" customHeight="1" x14ac:dyDescent="0.25">
      <c r="T59451" s="135"/>
      <c r="U59451" s="135"/>
    </row>
    <row r="59452" spans="20:21" ht="15" customHeight="1" x14ac:dyDescent="0.25">
      <c r="T59452" s="135"/>
      <c r="U59452" s="135"/>
    </row>
    <row r="59453" spans="20:21" ht="15" customHeight="1" x14ac:dyDescent="0.25">
      <c r="T59453" s="135"/>
      <c r="U59453" s="135"/>
    </row>
    <row r="59454" spans="20:21" ht="15" customHeight="1" x14ac:dyDescent="0.25">
      <c r="T59454" s="135"/>
      <c r="U59454" s="135"/>
    </row>
    <row r="59455" spans="20:21" ht="15" customHeight="1" x14ac:dyDescent="0.25">
      <c r="T59455" s="135"/>
      <c r="U59455" s="135"/>
    </row>
    <row r="59456" spans="20:21" ht="15" customHeight="1" x14ac:dyDescent="0.25">
      <c r="T59456" s="135"/>
      <c r="U59456" s="135"/>
    </row>
    <row r="59457" spans="20:21" ht="15" customHeight="1" x14ac:dyDescent="0.25">
      <c r="T59457" s="135"/>
      <c r="U59457" s="135"/>
    </row>
    <row r="59458" spans="20:21" ht="15" customHeight="1" x14ac:dyDescent="0.25">
      <c r="T59458" s="135"/>
      <c r="U59458" s="135"/>
    </row>
    <row r="59459" spans="20:21" ht="15" customHeight="1" x14ac:dyDescent="0.25">
      <c r="T59459" s="135"/>
      <c r="U59459" s="135"/>
    </row>
    <row r="59460" spans="20:21" ht="15" customHeight="1" x14ac:dyDescent="0.25">
      <c r="T59460" s="135"/>
      <c r="U59460" s="135"/>
    </row>
    <row r="59461" spans="20:21" ht="15" customHeight="1" x14ac:dyDescent="0.25">
      <c r="T59461" s="135"/>
      <c r="U59461" s="135"/>
    </row>
    <row r="59462" spans="20:21" ht="15" customHeight="1" x14ac:dyDescent="0.25">
      <c r="T59462" s="135"/>
      <c r="U59462" s="135"/>
    </row>
    <row r="59463" spans="20:21" ht="15" customHeight="1" x14ac:dyDescent="0.25">
      <c r="T59463" s="135"/>
      <c r="U59463" s="135"/>
    </row>
    <row r="59464" spans="20:21" ht="15" customHeight="1" x14ac:dyDescent="0.25">
      <c r="T59464" s="135"/>
      <c r="U59464" s="135"/>
    </row>
    <row r="59465" spans="20:21" ht="15" customHeight="1" x14ac:dyDescent="0.25">
      <c r="T59465" s="135"/>
      <c r="U59465" s="135"/>
    </row>
    <row r="59466" spans="20:21" ht="15" customHeight="1" x14ac:dyDescent="0.25">
      <c r="T59466" s="135"/>
      <c r="U59466" s="135"/>
    </row>
    <row r="59467" spans="20:21" ht="15" customHeight="1" x14ac:dyDescent="0.25">
      <c r="T59467" s="135"/>
      <c r="U59467" s="135"/>
    </row>
    <row r="59468" spans="20:21" ht="15" customHeight="1" x14ac:dyDescent="0.25">
      <c r="T59468" s="135"/>
      <c r="U59468" s="135"/>
    </row>
    <row r="59469" spans="20:21" ht="15" customHeight="1" x14ac:dyDescent="0.25">
      <c r="T59469" s="135"/>
      <c r="U59469" s="135"/>
    </row>
    <row r="59470" spans="20:21" ht="15" customHeight="1" x14ac:dyDescent="0.25">
      <c r="T59470" s="135"/>
      <c r="U59470" s="135"/>
    </row>
    <row r="59471" spans="20:21" ht="15" customHeight="1" x14ac:dyDescent="0.25">
      <c r="T59471" s="135"/>
      <c r="U59471" s="135"/>
    </row>
    <row r="59472" spans="20:21" ht="15" customHeight="1" x14ac:dyDescent="0.25">
      <c r="T59472" s="135"/>
      <c r="U59472" s="135"/>
    </row>
    <row r="59473" spans="20:21" ht="15" customHeight="1" x14ac:dyDescent="0.25">
      <c r="T59473" s="135"/>
      <c r="U59473" s="135"/>
    </row>
    <row r="59474" spans="20:21" ht="15" customHeight="1" x14ac:dyDescent="0.25">
      <c r="T59474" s="135"/>
      <c r="U59474" s="135"/>
    </row>
    <row r="59475" spans="20:21" ht="15" customHeight="1" x14ac:dyDescent="0.25">
      <c r="T59475" s="135"/>
      <c r="U59475" s="135"/>
    </row>
    <row r="59476" spans="20:21" ht="15" customHeight="1" x14ac:dyDescent="0.25">
      <c r="T59476" s="135"/>
      <c r="U59476" s="135"/>
    </row>
    <row r="59477" spans="20:21" ht="15" customHeight="1" x14ac:dyDescent="0.25">
      <c r="T59477" s="135"/>
      <c r="U59477" s="135"/>
    </row>
    <row r="59478" spans="20:21" ht="15" customHeight="1" x14ac:dyDescent="0.25">
      <c r="T59478" s="135"/>
      <c r="U59478" s="135"/>
    </row>
    <row r="59479" spans="20:21" ht="15" customHeight="1" x14ac:dyDescent="0.25">
      <c r="T59479" s="135"/>
      <c r="U59479" s="135"/>
    </row>
    <row r="59480" spans="20:21" ht="15" customHeight="1" x14ac:dyDescent="0.25">
      <c r="T59480" s="135"/>
      <c r="U59480" s="135"/>
    </row>
    <row r="59481" spans="20:21" ht="15" customHeight="1" x14ac:dyDescent="0.25">
      <c r="T59481" s="135"/>
      <c r="U59481" s="135"/>
    </row>
    <row r="59482" spans="20:21" ht="15" customHeight="1" x14ac:dyDescent="0.25">
      <c r="T59482" s="135"/>
      <c r="U59482" s="135"/>
    </row>
    <row r="59483" spans="20:21" ht="15" customHeight="1" x14ac:dyDescent="0.25">
      <c r="T59483" s="135"/>
      <c r="U59483" s="135"/>
    </row>
    <row r="59484" spans="20:21" ht="15" customHeight="1" x14ac:dyDescent="0.25">
      <c r="T59484" s="135"/>
      <c r="U59484" s="135"/>
    </row>
    <row r="59485" spans="20:21" ht="15" customHeight="1" x14ac:dyDescent="0.25">
      <c r="T59485" s="135"/>
      <c r="U59485" s="135"/>
    </row>
    <row r="59486" spans="20:21" ht="15" customHeight="1" x14ac:dyDescent="0.25">
      <c r="T59486" s="135"/>
      <c r="U59486" s="135"/>
    </row>
    <row r="59487" spans="20:21" ht="15" customHeight="1" x14ac:dyDescent="0.25">
      <c r="T59487" s="135"/>
      <c r="U59487" s="135"/>
    </row>
    <row r="59488" spans="20:21" ht="15" customHeight="1" x14ac:dyDescent="0.25">
      <c r="T59488" s="135"/>
      <c r="U59488" s="135"/>
    </row>
    <row r="59489" spans="20:21" ht="15" customHeight="1" x14ac:dyDescent="0.25">
      <c r="T59489" s="135"/>
      <c r="U59489" s="135"/>
    </row>
    <row r="59490" spans="20:21" ht="15" customHeight="1" x14ac:dyDescent="0.25">
      <c r="T59490" s="135"/>
      <c r="U59490" s="135"/>
    </row>
    <row r="59491" spans="20:21" ht="15" customHeight="1" x14ac:dyDescent="0.25">
      <c r="T59491" s="135"/>
      <c r="U59491" s="135"/>
    </row>
    <row r="59492" spans="20:21" ht="15" customHeight="1" x14ac:dyDescent="0.25">
      <c r="T59492" s="135"/>
      <c r="U59492" s="135"/>
    </row>
    <row r="59493" spans="20:21" ht="15" customHeight="1" x14ac:dyDescent="0.25">
      <c r="T59493" s="135"/>
      <c r="U59493" s="135"/>
    </row>
    <row r="59494" spans="20:21" ht="15" customHeight="1" x14ac:dyDescent="0.25">
      <c r="T59494" s="135"/>
      <c r="U59494" s="135"/>
    </row>
    <row r="59495" spans="20:21" ht="15" customHeight="1" x14ac:dyDescent="0.25">
      <c r="T59495" s="135"/>
      <c r="U59495" s="135"/>
    </row>
    <row r="59496" spans="20:21" ht="15" customHeight="1" x14ac:dyDescent="0.25">
      <c r="T59496" s="135"/>
      <c r="U59496" s="135"/>
    </row>
    <row r="59497" spans="20:21" ht="15" customHeight="1" x14ac:dyDescent="0.25">
      <c r="T59497" s="135"/>
      <c r="U59497" s="135"/>
    </row>
    <row r="59498" spans="20:21" ht="15" customHeight="1" x14ac:dyDescent="0.25">
      <c r="T59498" s="135"/>
      <c r="U59498" s="135"/>
    </row>
    <row r="59499" spans="20:21" ht="15" customHeight="1" x14ac:dyDescent="0.25">
      <c r="T59499" s="135"/>
      <c r="U59499" s="135"/>
    </row>
    <row r="59500" spans="20:21" ht="15" customHeight="1" x14ac:dyDescent="0.25">
      <c r="T59500" s="135"/>
      <c r="U59500" s="135"/>
    </row>
    <row r="59501" spans="20:21" ht="15" customHeight="1" x14ac:dyDescent="0.25">
      <c r="T59501" s="135"/>
      <c r="U59501" s="135"/>
    </row>
    <row r="59502" spans="20:21" ht="15" customHeight="1" x14ac:dyDescent="0.25">
      <c r="T59502" s="135"/>
      <c r="U59502" s="135"/>
    </row>
    <row r="59503" spans="20:21" ht="15" customHeight="1" x14ac:dyDescent="0.25">
      <c r="T59503" s="135"/>
      <c r="U59503" s="135"/>
    </row>
    <row r="59504" spans="20:21" ht="15" customHeight="1" x14ac:dyDescent="0.25">
      <c r="T59504" s="135"/>
      <c r="U59504" s="135"/>
    </row>
    <row r="59505" spans="20:21" ht="15" customHeight="1" x14ac:dyDescent="0.25">
      <c r="T59505" s="135"/>
      <c r="U59505" s="135"/>
    </row>
    <row r="59506" spans="20:21" ht="15" customHeight="1" x14ac:dyDescent="0.25">
      <c r="T59506" s="135"/>
      <c r="U59506" s="135"/>
    </row>
    <row r="59507" spans="20:21" ht="15" customHeight="1" x14ac:dyDescent="0.25">
      <c r="T59507" s="135"/>
      <c r="U59507" s="135"/>
    </row>
    <row r="59508" spans="20:21" ht="15" customHeight="1" x14ac:dyDescent="0.25">
      <c r="T59508" s="135"/>
      <c r="U59508" s="135"/>
    </row>
    <row r="59509" spans="20:21" ht="15" customHeight="1" x14ac:dyDescent="0.25">
      <c r="T59509" s="135"/>
      <c r="U59509" s="135"/>
    </row>
    <row r="59510" spans="20:21" ht="15" customHeight="1" x14ac:dyDescent="0.25">
      <c r="T59510" s="135"/>
      <c r="U59510" s="135"/>
    </row>
    <row r="59511" spans="20:21" ht="15" customHeight="1" x14ac:dyDescent="0.25">
      <c r="T59511" s="135"/>
      <c r="U59511" s="135"/>
    </row>
    <row r="59512" spans="20:21" ht="15" customHeight="1" x14ac:dyDescent="0.25">
      <c r="T59512" s="135"/>
      <c r="U59512" s="135"/>
    </row>
    <row r="59513" spans="20:21" ht="15" customHeight="1" x14ac:dyDescent="0.25">
      <c r="T59513" s="135"/>
      <c r="U59513" s="135"/>
    </row>
    <row r="59514" spans="20:21" ht="15" customHeight="1" x14ac:dyDescent="0.25">
      <c r="T59514" s="135"/>
      <c r="U59514" s="135"/>
    </row>
    <row r="59515" spans="20:21" ht="15" customHeight="1" x14ac:dyDescent="0.25">
      <c r="T59515" s="135"/>
      <c r="U59515" s="135"/>
    </row>
    <row r="59516" spans="20:21" ht="15" customHeight="1" x14ac:dyDescent="0.25">
      <c r="T59516" s="135"/>
      <c r="U59516" s="135"/>
    </row>
    <row r="59517" spans="20:21" ht="15" customHeight="1" x14ac:dyDescent="0.25">
      <c r="T59517" s="135"/>
      <c r="U59517" s="135"/>
    </row>
    <row r="59518" spans="20:21" ht="15" customHeight="1" x14ac:dyDescent="0.25">
      <c r="T59518" s="135"/>
      <c r="U59518" s="135"/>
    </row>
    <row r="59519" spans="20:21" ht="15" customHeight="1" x14ac:dyDescent="0.25">
      <c r="T59519" s="135"/>
      <c r="U59519" s="135"/>
    </row>
    <row r="59520" spans="20:21" ht="15" customHeight="1" x14ac:dyDescent="0.25">
      <c r="T59520" s="135"/>
      <c r="U59520" s="135"/>
    </row>
    <row r="59521" spans="20:21" ht="15" customHeight="1" x14ac:dyDescent="0.25">
      <c r="T59521" s="135"/>
      <c r="U59521" s="135"/>
    </row>
    <row r="59522" spans="20:21" ht="15" customHeight="1" x14ac:dyDescent="0.25">
      <c r="T59522" s="135"/>
      <c r="U59522" s="135"/>
    </row>
    <row r="59523" spans="20:21" ht="15" customHeight="1" x14ac:dyDescent="0.25">
      <c r="T59523" s="135"/>
      <c r="U59523" s="135"/>
    </row>
    <row r="59524" spans="20:21" ht="15" customHeight="1" x14ac:dyDescent="0.25">
      <c r="T59524" s="135"/>
      <c r="U59524" s="135"/>
    </row>
    <row r="59525" spans="20:21" ht="15" customHeight="1" x14ac:dyDescent="0.25">
      <c r="T59525" s="135"/>
      <c r="U59525" s="135"/>
    </row>
    <row r="59526" spans="20:21" ht="15" customHeight="1" x14ac:dyDescent="0.25">
      <c r="T59526" s="135"/>
      <c r="U59526" s="135"/>
    </row>
    <row r="59527" spans="20:21" ht="15" customHeight="1" x14ac:dyDescent="0.25">
      <c r="T59527" s="135"/>
      <c r="U59527" s="135"/>
    </row>
    <row r="59528" spans="20:21" ht="15" customHeight="1" x14ac:dyDescent="0.25">
      <c r="T59528" s="135"/>
      <c r="U59528" s="135"/>
    </row>
    <row r="59529" spans="20:21" ht="15" customHeight="1" x14ac:dyDescent="0.25">
      <c r="T59529" s="135"/>
      <c r="U59529" s="135"/>
    </row>
    <row r="59530" spans="20:21" ht="15" customHeight="1" x14ac:dyDescent="0.25">
      <c r="T59530" s="135"/>
      <c r="U59530" s="135"/>
    </row>
    <row r="59531" spans="20:21" ht="15" customHeight="1" x14ac:dyDescent="0.25">
      <c r="T59531" s="135"/>
      <c r="U59531" s="135"/>
    </row>
    <row r="59532" spans="20:21" ht="15" customHeight="1" x14ac:dyDescent="0.25">
      <c r="T59532" s="135"/>
      <c r="U59532" s="135"/>
    </row>
    <row r="59533" spans="20:21" ht="15" customHeight="1" x14ac:dyDescent="0.25">
      <c r="T59533" s="135"/>
      <c r="U59533" s="135"/>
    </row>
    <row r="59534" spans="20:21" ht="15" customHeight="1" x14ac:dyDescent="0.25">
      <c r="T59534" s="135"/>
      <c r="U59534" s="135"/>
    </row>
    <row r="59535" spans="20:21" ht="15" customHeight="1" x14ac:dyDescent="0.25">
      <c r="T59535" s="135"/>
      <c r="U59535" s="135"/>
    </row>
    <row r="59536" spans="20:21" ht="15" customHeight="1" x14ac:dyDescent="0.25">
      <c r="T59536" s="135"/>
      <c r="U59536" s="135"/>
    </row>
    <row r="59537" spans="20:21" ht="15" customHeight="1" x14ac:dyDescent="0.25">
      <c r="T59537" s="135"/>
      <c r="U59537" s="135"/>
    </row>
    <row r="59538" spans="20:21" ht="15" customHeight="1" x14ac:dyDescent="0.25">
      <c r="T59538" s="135"/>
      <c r="U59538" s="135"/>
    </row>
    <row r="59539" spans="20:21" ht="15" customHeight="1" x14ac:dyDescent="0.25">
      <c r="T59539" s="135"/>
      <c r="U59539" s="135"/>
    </row>
    <row r="59540" spans="20:21" ht="15" customHeight="1" x14ac:dyDescent="0.25">
      <c r="T59540" s="135"/>
      <c r="U59540" s="135"/>
    </row>
    <row r="59541" spans="20:21" ht="15" customHeight="1" x14ac:dyDescent="0.25">
      <c r="T59541" s="135"/>
      <c r="U59541" s="135"/>
    </row>
    <row r="59542" spans="20:21" ht="15" customHeight="1" x14ac:dyDescent="0.25">
      <c r="T59542" s="135"/>
      <c r="U59542" s="135"/>
    </row>
    <row r="59543" spans="20:21" ht="15" customHeight="1" x14ac:dyDescent="0.25">
      <c r="T59543" s="135"/>
      <c r="U59543" s="135"/>
    </row>
    <row r="59544" spans="20:21" ht="15" customHeight="1" x14ac:dyDescent="0.25">
      <c r="T59544" s="135"/>
      <c r="U59544" s="135"/>
    </row>
    <row r="59545" spans="20:21" ht="15" customHeight="1" x14ac:dyDescent="0.25">
      <c r="T59545" s="135"/>
      <c r="U59545" s="135"/>
    </row>
    <row r="59546" spans="20:21" ht="15" customHeight="1" x14ac:dyDescent="0.25">
      <c r="T59546" s="135"/>
      <c r="U59546" s="135"/>
    </row>
    <row r="59547" spans="20:21" ht="15" customHeight="1" x14ac:dyDescent="0.25">
      <c r="T59547" s="135"/>
      <c r="U59547" s="135"/>
    </row>
    <row r="59548" spans="20:21" ht="15" customHeight="1" x14ac:dyDescent="0.25">
      <c r="T59548" s="135"/>
      <c r="U59548" s="135"/>
    </row>
    <row r="59549" spans="20:21" ht="15" customHeight="1" x14ac:dyDescent="0.25">
      <c r="T59549" s="135"/>
      <c r="U59549" s="135"/>
    </row>
    <row r="59550" spans="20:21" ht="15" customHeight="1" x14ac:dyDescent="0.25">
      <c r="T59550" s="135"/>
      <c r="U59550" s="135"/>
    </row>
    <row r="59551" spans="20:21" ht="15" customHeight="1" x14ac:dyDescent="0.25">
      <c r="T59551" s="135"/>
      <c r="U59551" s="135"/>
    </row>
    <row r="59552" spans="20:21" ht="15" customHeight="1" x14ac:dyDescent="0.25">
      <c r="T59552" s="135"/>
      <c r="U59552" s="135"/>
    </row>
    <row r="59553" spans="20:21" ht="15" customHeight="1" x14ac:dyDescent="0.25">
      <c r="T59553" s="135"/>
      <c r="U59553" s="135"/>
    </row>
    <row r="59554" spans="20:21" ht="15" customHeight="1" x14ac:dyDescent="0.25">
      <c r="T59554" s="135"/>
      <c r="U59554" s="135"/>
    </row>
    <row r="59555" spans="20:21" ht="15" customHeight="1" x14ac:dyDescent="0.25">
      <c r="T59555" s="135"/>
      <c r="U59555" s="135"/>
    </row>
    <row r="59556" spans="20:21" ht="15" customHeight="1" x14ac:dyDescent="0.25">
      <c r="T59556" s="135"/>
      <c r="U59556" s="135"/>
    </row>
    <row r="59557" spans="20:21" ht="15" customHeight="1" x14ac:dyDescent="0.25">
      <c r="T59557" s="135"/>
      <c r="U59557" s="135"/>
    </row>
    <row r="59558" spans="20:21" ht="15" customHeight="1" x14ac:dyDescent="0.25">
      <c r="T59558" s="135"/>
      <c r="U59558" s="135"/>
    </row>
    <row r="59559" spans="20:21" ht="15" customHeight="1" x14ac:dyDescent="0.25">
      <c r="T59559" s="135"/>
      <c r="U59559" s="135"/>
    </row>
    <row r="59560" spans="20:21" ht="15" customHeight="1" x14ac:dyDescent="0.25">
      <c r="T59560" s="135"/>
      <c r="U59560" s="135"/>
    </row>
    <row r="59561" spans="20:21" ht="15" customHeight="1" x14ac:dyDescent="0.25">
      <c r="T59561" s="135"/>
      <c r="U59561" s="135"/>
    </row>
    <row r="59562" spans="20:21" ht="15" customHeight="1" x14ac:dyDescent="0.25">
      <c r="T59562" s="135"/>
      <c r="U59562" s="135"/>
    </row>
    <row r="59563" spans="20:21" ht="15" customHeight="1" x14ac:dyDescent="0.25">
      <c r="T59563" s="135"/>
      <c r="U59563" s="135"/>
    </row>
    <row r="59564" spans="20:21" ht="15" customHeight="1" x14ac:dyDescent="0.25">
      <c r="T59564" s="135"/>
      <c r="U59564" s="135"/>
    </row>
    <row r="59565" spans="20:21" ht="15" customHeight="1" x14ac:dyDescent="0.25">
      <c r="T59565" s="135"/>
      <c r="U59565" s="135"/>
    </row>
    <row r="59566" spans="20:21" ht="15" customHeight="1" x14ac:dyDescent="0.25">
      <c r="T59566" s="135"/>
      <c r="U59566" s="135"/>
    </row>
    <row r="59567" spans="20:21" ht="15" customHeight="1" x14ac:dyDescent="0.25">
      <c r="T59567" s="135"/>
      <c r="U59567" s="135"/>
    </row>
    <row r="59568" spans="20:21" ht="15" customHeight="1" x14ac:dyDescent="0.25">
      <c r="T59568" s="135"/>
      <c r="U59568" s="135"/>
    </row>
    <row r="59569" spans="20:21" ht="15" customHeight="1" x14ac:dyDescent="0.25">
      <c r="T59569" s="135"/>
      <c r="U59569" s="135"/>
    </row>
    <row r="59570" spans="20:21" ht="15" customHeight="1" x14ac:dyDescent="0.25">
      <c r="T59570" s="135"/>
      <c r="U59570" s="135"/>
    </row>
    <row r="59571" spans="20:21" ht="15" customHeight="1" x14ac:dyDescent="0.25">
      <c r="T59571" s="135"/>
      <c r="U59571" s="135"/>
    </row>
    <row r="59572" spans="20:21" ht="15" customHeight="1" x14ac:dyDescent="0.25">
      <c r="T59572" s="135"/>
      <c r="U59572" s="135"/>
    </row>
    <row r="59573" spans="20:21" ht="15" customHeight="1" x14ac:dyDescent="0.25">
      <c r="T59573" s="135"/>
      <c r="U59573" s="135"/>
    </row>
    <row r="59574" spans="20:21" ht="15" customHeight="1" x14ac:dyDescent="0.25">
      <c r="T59574" s="135"/>
      <c r="U59574" s="135"/>
    </row>
    <row r="59575" spans="20:21" ht="15" customHeight="1" x14ac:dyDescent="0.25">
      <c r="T59575" s="135"/>
      <c r="U59575" s="135"/>
    </row>
    <row r="59576" spans="20:21" ht="15" customHeight="1" x14ac:dyDescent="0.25">
      <c r="T59576" s="135"/>
      <c r="U59576" s="135"/>
    </row>
    <row r="59577" spans="20:21" ht="15" customHeight="1" x14ac:dyDescent="0.25">
      <c r="T59577" s="135"/>
      <c r="U59577" s="135"/>
    </row>
    <row r="59578" spans="20:21" ht="15" customHeight="1" x14ac:dyDescent="0.25">
      <c r="T59578" s="135"/>
      <c r="U59578" s="135"/>
    </row>
    <row r="59579" spans="20:21" ht="15" customHeight="1" x14ac:dyDescent="0.25">
      <c r="T59579" s="135"/>
      <c r="U59579" s="135"/>
    </row>
    <row r="59580" spans="20:21" ht="15" customHeight="1" x14ac:dyDescent="0.25">
      <c r="T59580" s="135"/>
      <c r="U59580" s="135"/>
    </row>
    <row r="59581" spans="20:21" ht="15" customHeight="1" x14ac:dyDescent="0.25">
      <c r="T59581" s="135"/>
      <c r="U59581" s="135"/>
    </row>
    <row r="59582" spans="20:21" ht="15" customHeight="1" x14ac:dyDescent="0.25">
      <c r="T59582" s="135"/>
      <c r="U59582" s="135"/>
    </row>
    <row r="59583" spans="20:21" ht="15" customHeight="1" x14ac:dyDescent="0.25">
      <c r="T59583" s="135"/>
      <c r="U59583" s="135"/>
    </row>
    <row r="59584" spans="20:21" ht="15" customHeight="1" x14ac:dyDescent="0.25">
      <c r="T59584" s="135"/>
      <c r="U59584" s="135"/>
    </row>
    <row r="59585" spans="20:21" ht="15" customHeight="1" x14ac:dyDescent="0.25">
      <c r="T59585" s="135"/>
      <c r="U59585" s="135"/>
    </row>
    <row r="59586" spans="20:21" ht="15" customHeight="1" x14ac:dyDescent="0.25">
      <c r="T59586" s="135"/>
      <c r="U59586" s="135"/>
    </row>
    <row r="59587" spans="20:21" ht="15" customHeight="1" x14ac:dyDescent="0.25">
      <c r="T59587" s="135"/>
      <c r="U59587" s="135"/>
    </row>
    <row r="59588" spans="20:21" ht="15" customHeight="1" x14ac:dyDescent="0.25">
      <c r="T59588" s="135"/>
      <c r="U59588" s="135"/>
    </row>
    <row r="59589" spans="20:21" ht="15" customHeight="1" x14ac:dyDescent="0.25">
      <c r="T59589" s="135"/>
      <c r="U59589" s="135"/>
    </row>
    <row r="59590" spans="20:21" ht="15" customHeight="1" x14ac:dyDescent="0.25">
      <c r="T59590" s="135"/>
      <c r="U59590" s="135"/>
    </row>
    <row r="59591" spans="20:21" ht="15" customHeight="1" x14ac:dyDescent="0.25">
      <c r="T59591" s="135"/>
      <c r="U59591" s="135"/>
    </row>
    <row r="59592" spans="20:21" ht="15" customHeight="1" x14ac:dyDescent="0.25">
      <c r="T59592" s="135"/>
      <c r="U59592" s="135"/>
    </row>
    <row r="59593" spans="20:21" ht="15" customHeight="1" x14ac:dyDescent="0.25">
      <c r="T59593" s="135"/>
      <c r="U59593" s="135"/>
    </row>
    <row r="59594" spans="20:21" ht="15" customHeight="1" x14ac:dyDescent="0.25">
      <c r="T59594" s="135"/>
      <c r="U59594" s="135"/>
    </row>
    <row r="59595" spans="20:21" ht="15" customHeight="1" x14ac:dyDescent="0.25">
      <c r="T59595" s="135"/>
      <c r="U59595" s="135"/>
    </row>
    <row r="59596" spans="20:21" ht="15" customHeight="1" x14ac:dyDescent="0.25">
      <c r="T59596" s="135"/>
      <c r="U59596" s="135"/>
    </row>
    <row r="59597" spans="20:21" ht="15" customHeight="1" x14ac:dyDescent="0.25">
      <c r="T59597" s="135"/>
      <c r="U59597" s="135"/>
    </row>
    <row r="59598" spans="20:21" ht="15" customHeight="1" x14ac:dyDescent="0.25">
      <c r="T59598" s="135"/>
      <c r="U59598" s="135"/>
    </row>
    <row r="59599" spans="20:21" ht="15" customHeight="1" x14ac:dyDescent="0.25">
      <c r="T59599" s="135"/>
      <c r="U59599" s="135"/>
    </row>
    <row r="59600" spans="20:21" ht="15" customHeight="1" x14ac:dyDescent="0.25">
      <c r="T59600" s="135"/>
      <c r="U59600" s="135"/>
    </row>
    <row r="59601" spans="20:21" ht="15" customHeight="1" x14ac:dyDescent="0.25">
      <c r="T59601" s="135"/>
      <c r="U59601" s="135"/>
    </row>
    <row r="59602" spans="20:21" ht="15" customHeight="1" x14ac:dyDescent="0.25">
      <c r="T59602" s="135"/>
      <c r="U59602" s="135"/>
    </row>
    <row r="59603" spans="20:21" ht="15" customHeight="1" x14ac:dyDescent="0.25">
      <c r="T59603" s="135"/>
      <c r="U59603" s="135"/>
    </row>
    <row r="59604" spans="20:21" ht="15" customHeight="1" x14ac:dyDescent="0.25">
      <c r="T59604" s="135"/>
      <c r="U59604" s="135"/>
    </row>
    <row r="59605" spans="20:21" ht="15" customHeight="1" x14ac:dyDescent="0.25">
      <c r="T59605" s="135"/>
      <c r="U59605" s="135"/>
    </row>
    <row r="59606" spans="20:21" ht="15" customHeight="1" x14ac:dyDescent="0.25">
      <c r="T59606" s="135"/>
      <c r="U59606" s="135"/>
    </row>
    <row r="59607" spans="20:21" ht="15" customHeight="1" x14ac:dyDescent="0.25">
      <c r="T59607" s="135"/>
      <c r="U59607" s="135"/>
    </row>
    <row r="59608" spans="20:21" ht="15" customHeight="1" x14ac:dyDescent="0.25">
      <c r="T59608" s="135"/>
      <c r="U59608" s="135"/>
    </row>
    <row r="59609" spans="20:21" ht="15" customHeight="1" x14ac:dyDescent="0.25">
      <c r="T59609" s="135"/>
      <c r="U59609" s="135"/>
    </row>
    <row r="59610" spans="20:21" ht="15" customHeight="1" x14ac:dyDescent="0.25">
      <c r="T59610" s="135"/>
      <c r="U59610" s="135"/>
    </row>
    <row r="59611" spans="20:21" ht="15" customHeight="1" x14ac:dyDescent="0.25">
      <c r="T59611" s="135"/>
      <c r="U59611" s="135"/>
    </row>
    <row r="59612" spans="20:21" ht="15" customHeight="1" x14ac:dyDescent="0.25">
      <c r="T59612" s="135"/>
      <c r="U59612" s="135"/>
    </row>
    <row r="59613" spans="20:21" ht="15" customHeight="1" x14ac:dyDescent="0.25">
      <c r="T59613" s="135"/>
      <c r="U59613" s="135"/>
    </row>
    <row r="59614" spans="20:21" ht="15" customHeight="1" x14ac:dyDescent="0.25">
      <c r="T59614" s="135"/>
      <c r="U59614" s="135"/>
    </row>
    <row r="59615" spans="20:21" ht="15" customHeight="1" x14ac:dyDescent="0.25">
      <c r="T59615" s="135"/>
      <c r="U59615" s="135"/>
    </row>
    <row r="59616" spans="20:21" ht="15" customHeight="1" x14ac:dyDescent="0.25">
      <c r="T59616" s="135"/>
      <c r="U59616" s="135"/>
    </row>
    <row r="59617" spans="20:21" ht="15" customHeight="1" x14ac:dyDescent="0.25">
      <c r="T59617" s="135"/>
      <c r="U59617" s="135"/>
    </row>
    <row r="59618" spans="20:21" ht="15" customHeight="1" x14ac:dyDescent="0.25">
      <c r="T59618" s="135"/>
      <c r="U59618" s="135"/>
    </row>
    <row r="59619" spans="20:21" ht="15" customHeight="1" x14ac:dyDescent="0.25">
      <c r="T59619" s="135"/>
      <c r="U59619" s="135"/>
    </row>
    <row r="59620" spans="20:21" ht="15" customHeight="1" x14ac:dyDescent="0.25">
      <c r="T59620" s="135"/>
      <c r="U59620" s="135"/>
    </row>
    <row r="59621" spans="20:21" ht="15" customHeight="1" x14ac:dyDescent="0.25">
      <c r="T59621" s="135"/>
      <c r="U59621" s="135"/>
    </row>
    <row r="59622" spans="20:21" ht="15" customHeight="1" x14ac:dyDescent="0.25">
      <c r="T59622" s="135"/>
      <c r="U59622" s="135"/>
    </row>
    <row r="59623" spans="20:21" ht="15" customHeight="1" x14ac:dyDescent="0.25">
      <c r="T59623" s="135"/>
      <c r="U59623" s="135"/>
    </row>
    <row r="59624" spans="20:21" ht="15" customHeight="1" x14ac:dyDescent="0.25">
      <c r="T59624" s="135"/>
      <c r="U59624" s="135"/>
    </row>
    <row r="59625" spans="20:21" ht="15" customHeight="1" x14ac:dyDescent="0.25">
      <c r="T59625" s="135"/>
      <c r="U59625" s="135"/>
    </row>
    <row r="59626" spans="20:21" ht="15" customHeight="1" x14ac:dyDescent="0.25">
      <c r="T59626" s="135"/>
      <c r="U59626" s="135"/>
    </row>
    <row r="59627" spans="20:21" ht="15" customHeight="1" x14ac:dyDescent="0.25">
      <c r="T59627" s="135"/>
      <c r="U59627" s="135"/>
    </row>
    <row r="59628" spans="20:21" ht="15" customHeight="1" x14ac:dyDescent="0.25">
      <c r="T59628" s="135"/>
      <c r="U59628" s="135"/>
    </row>
    <row r="59629" spans="20:21" ht="15" customHeight="1" x14ac:dyDescent="0.25">
      <c r="T59629" s="135"/>
      <c r="U59629" s="135"/>
    </row>
    <row r="59630" spans="20:21" ht="15" customHeight="1" x14ac:dyDescent="0.25">
      <c r="T59630" s="135"/>
      <c r="U59630" s="135"/>
    </row>
    <row r="59631" spans="20:21" ht="15" customHeight="1" x14ac:dyDescent="0.25">
      <c r="T59631" s="135"/>
      <c r="U59631" s="135"/>
    </row>
    <row r="59632" spans="20:21" ht="15" customHeight="1" x14ac:dyDescent="0.25">
      <c r="T59632" s="135"/>
      <c r="U59632" s="135"/>
    </row>
    <row r="59633" spans="20:21" ht="15" customHeight="1" x14ac:dyDescent="0.25">
      <c r="T59633" s="135"/>
      <c r="U59633" s="135"/>
    </row>
    <row r="59634" spans="20:21" ht="15" customHeight="1" x14ac:dyDescent="0.25">
      <c r="T59634" s="135"/>
      <c r="U59634" s="135"/>
    </row>
    <row r="59635" spans="20:21" ht="15" customHeight="1" x14ac:dyDescent="0.25">
      <c r="T59635" s="135"/>
      <c r="U59635" s="135"/>
    </row>
    <row r="59636" spans="20:21" ht="15" customHeight="1" x14ac:dyDescent="0.25">
      <c r="T59636" s="135"/>
      <c r="U59636" s="135"/>
    </row>
    <row r="59637" spans="20:21" ht="15" customHeight="1" x14ac:dyDescent="0.25">
      <c r="T59637" s="135"/>
      <c r="U59637" s="135"/>
    </row>
    <row r="59638" spans="20:21" ht="15" customHeight="1" x14ac:dyDescent="0.25">
      <c r="T59638" s="135"/>
      <c r="U59638" s="135"/>
    </row>
    <row r="59639" spans="20:21" ht="15" customHeight="1" x14ac:dyDescent="0.25">
      <c r="T59639" s="135"/>
      <c r="U59639" s="135"/>
    </row>
    <row r="59640" spans="20:21" ht="15" customHeight="1" x14ac:dyDescent="0.25">
      <c r="T59640" s="135"/>
      <c r="U59640" s="135"/>
    </row>
    <row r="59641" spans="20:21" ht="15" customHeight="1" x14ac:dyDescent="0.25">
      <c r="T59641" s="135"/>
      <c r="U59641" s="135"/>
    </row>
    <row r="59642" spans="20:21" ht="15" customHeight="1" x14ac:dyDescent="0.25">
      <c r="T59642" s="135"/>
      <c r="U59642" s="135"/>
    </row>
    <row r="59643" spans="20:21" ht="15" customHeight="1" x14ac:dyDescent="0.25">
      <c r="T59643" s="135"/>
      <c r="U59643" s="135"/>
    </row>
    <row r="59644" spans="20:21" ht="15" customHeight="1" x14ac:dyDescent="0.25">
      <c r="T59644" s="135"/>
      <c r="U59644" s="135"/>
    </row>
    <row r="59645" spans="20:21" ht="15" customHeight="1" x14ac:dyDescent="0.25">
      <c r="T59645" s="135"/>
      <c r="U59645" s="135"/>
    </row>
    <row r="59646" spans="20:21" ht="15" customHeight="1" x14ac:dyDescent="0.25">
      <c r="T59646" s="135"/>
      <c r="U59646" s="135"/>
    </row>
    <row r="59647" spans="20:21" ht="15" customHeight="1" x14ac:dyDescent="0.25">
      <c r="T59647" s="135"/>
      <c r="U59647" s="135"/>
    </row>
    <row r="59648" spans="20:21" ht="15" customHeight="1" x14ac:dyDescent="0.25">
      <c r="T59648" s="135"/>
      <c r="U59648" s="135"/>
    </row>
    <row r="59649" spans="20:21" ht="15" customHeight="1" x14ac:dyDescent="0.25">
      <c r="T59649" s="135"/>
      <c r="U59649" s="135"/>
    </row>
    <row r="59650" spans="20:21" ht="15" customHeight="1" x14ac:dyDescent="0.25">
      <c r="T59650" s="135"/>
      <c r="U59650" s="135"/>
    </row>
    <row r="59651" spans="20:21" ht="15" customHeight="1" x14ac:dyDescent="0.25">
      <c r="T59651" s="135"/>
      <c r="U59651" s="135"/>
    </row>
    <row r="59652" spans="20:21" ht="15" customHeight="1" x14ac:dyDescent="0.25">
      <c r="T59652" s="135"/>
      <c r="U59652" s="135"/>
    </row>
    <row r="59653" spans="20:21" ht="15" customHeight="1" x14ac:dyDescent="0.25">
      <c r="T59653" s="135"/>
      <c r="U59653" s="135"/>
    </row>
    <row r="59654" spans="20:21" ht="15" customHeight="1" x14ac:dyDescent="0.25">
      <c r="T59654" s="135"/>
      <c r="U59654" s="135"/>
    </row>
    <row r="59655" spans="20:21" ht="15" customHeight="1" x14ac:dyDescent="0.25">
      <c r="T59655" s="135"/>
      <c r="U59655" s="135"/>
    </row>
    <row r="59656" spans="20:21" ht="15" customHeight="1" x14ac:dyDescent="0.25">
      <c r="T59656" s="135"/>
      <c r="U59656" s="135"/>
    </row>
    <row r="59657" spans="20:21" ht="15" customHeight="1" x14ac:dyDescent="0.25">
      <c r="T59657" s="135"/>
      <c r="U59657" s="135"/>
    </row>
    <row r="59658" spans="20:21" ht="15" customHeight="1" x14ac:dyDescent="0.25">
      <c r="T59658" s="135"/>
      <c r="U59658" s="135"/>
    </row>
    <row r="59659" spans="20:21" ht="15" customHeight="1" x14ac:dyDescent="0.25">
      <c r="T59659" s="135"/>
      <c r="U59659" s="135"/>
    </row>
    <row r="59660" spans="20:21" ht="15" customHeight="1" x14ac:dyDescent="0.25">
      <c r="T59660" s="135"/>
      <c r="U59660" s="135"/>
    </row>
    <row r="59661" spans="20:21" ht="15" customHeight="1" x14ac:dyDescent="0.25">
      <c r="T59661" s="135"/>
      <c r="U59661" s="135"/>
    </row>
    <row r="59662" spans="20:21" ht="15" customHeight="1" x14ac:dyDescent="0.25">
      <c r="T59662" s="135"/>
      <c r="U59662" s="135"/>
    </row>
    <row r="59663" spans="20:21" ht="15" customHeight="1" x14ac:dyDescent="0.25">
      <c r="T59663" s="135"/>
      <c r="U59663" s="135"/>
    </row>
    <row r="59664" spans="20:21" ht="15" customHeight="1" x14ac:dyDescent="0.25">
      <c r="T59664" s="135"/>
      <c r="U59664" s="135"/>
    </row>
    <row r="59665" spans="20:21" ht="15" customHeight="1" x14ac:dyDescent="0.25">
      <c r="T59665" s="135"/>
      <c r="U59665" s="135"/>
    </row>
    <row r="59666" spans="20:21" ht="15" customHeight="1" x14ac:dyDescent="0.25">
      <c r="T59666" s="135"/>
      <c r="U59666" s="135"/>
    </row>
    <row r="59667" spans="20:21" ht="15" customHeight="1" x14ac:dyDescent="0.25">
      <c r="T59667" s="135"/>
      <c r="U59667" s="135"/>
    </row>
    <row r="59668" spans="20:21" ht="15" customHeight="1" x14ac:dyDescent="0.25">
      <c r="T59668" s="135"/>
      <c r="U59668" s="135"/>
    </row>
    <row r="59669" spans="20:21" ht="15" customHeight="1" x14ac:dyDescent="0.25">
      <c r="T59669" s="135"/>
      <c r="U59669" s="135"/>
    </row>
    <row r="59670" spans="20:21" ht="15" customHeight="1" x14ac:dyDescent="0.25">
      <c r="T59670" s="135"/>
      <c r="U59670" s="135"/>
    </row>
    <row r="59671" spans="20:21" ht="15" customHeight="1" x14ac:dyDescent="0.25">
      <c r="T59671" s="135"/>
      <c r="U59671" s="135"/>
    </row>
    <row r="59672" spans="20:21" ht="15" customHeight="1" x14ac:dyDescent="0.25">
      <c r="T59672" s="135"/>
      <c r="U59672" s="135"/>
    </row>
    <row r="59673" spans="20:21" ht="15" customHeight="1" x14ac:dyDescent="0.25">
      <c r="T59673" s="135"/>
      <c r="U59673" s="135"/>
    </row>
    <row r="59674" spans="20:21" ht="15" customHeight="1" x14ac:dyDescent="0.25">
      <c r="T59674" s="135"/>
      <c r="U59674" s="135"/>
    </row>
    <row r="59675" spans="20:21" ht="15" customHeight="1" x14ac:dyDescent="0.25">
      <c r="T59675" s="135"/>
      <c r="U59675" s="135"/>
    </row>
    <row r="59676" spans="20:21" ht="15" customHeight="1" x14ac:dyDescent="0.25">
      <c r="T59676" s="135"/>
      <c r="U59676" s="135"/>
    </row>
    <row r="59677" spans="20:21" ht="15" customHeight="1" x14ac:dyDescent="0.25">
      <c r="T59677" s="135"/>
      <c r="U59677" s="135"/>
    </row>
    <row r="59678" spans="20:21" ht="15" customHeight="1" x14ac:dyDescent="0.25">
      <c r="T59678" s="135"/>
      <c r="U59678" s="135"/>
    </row>
    <row r="59679" spans="20:21" ht="15" customHeight="1" x14ac:dyDescent="0.25">
      <c r="T59679" s="135"/>
      <c r="U59679" s="135"/>
    </row>
    <row r="59680" spans="20:21" ht="15" customHeight="1" x14ac:dyDescent="0.25">
      <c r="T59680" s="135"/>
      <c r="U59680" s="135"/>
    </row>
    <row r="59681" spans="20:21" ht="15" customHeight="1" x14ac:dyDescent="0.25">
      <c r="T59681" s="135"/>
      <c r="U59681" s="135"/>
    </row>
    <row r="59682" spans="20:21" ht="15" customHeight="1" x14ac:dyDescent="0.25">
      <c r="T59682" s="135"/>
      <c r="U59682" s="135"/>
    </row>
    <row r="59683" spans="20:21" ht="15" customHeight="1" x14ac:dyDescent="0.25">
      <c r="T59683" s="135"/>
      <c r="U59683" s="135"/>
    </row>
    <row r="59684" spans="20:21" ht="15" customHeight="1" x14ac:dyDescent="0.25">
      <c r="T59684" s="135"/>
      <c r="U59684" s="135"/>
    </row>
    <row r="59685" spans="20:21" ht="15" customHeight="1" x14ac:dyDescent="0.25">
      <c r="T59685" s="135"/>
      <c r="U59685" s="135"/>
    </row>
    <row r="59686" spans="20:21" ht="15" customHeight="1" x14ac:dyDescent="0.25">
      <c r="T59686" s="135"/>
      <c r="U59686" s="135"/>
    </row>
    <row r="59687" spans="20:21" ht="15" customHeight="1" x14ac:dyDescent="0.25">
      <c r="T59687" s="135"/>
      <c r="U59687" s="135"/>
    </row>
    <row r="59688" spans="20:21" ht="15" customHeight="1" x14ac:dyDescent="0.25">
      <c r="T59688" s="135"/>
      <c r="U59688" s="135"/>
    </row>
    <row r="59689" spans="20:21" ht="15" customHeight="1" x14ac:dyDescent="0.25">
      <c r="T59689" s="135"/>
      <c r="U59689" s="135"/>
    </row>
    <row r="59690" spans="20:21" ht="15" customHeight="1" x14ac:dyDescent="0.25">
      <c r="T59690" s="135"/>
      <c r="U59690" s="135"/>
    </row>
    <row r="59691" spans="20:21" ht="15" customHeight="1" x14ac:dyDescent="0.25">
      <c r="T59691" s="135"/>
      <c r="U59691" s="135"/>
    </row>
    <row r="59692" spans="20:21" ht="15" customHeight="1" x14ac:dyDescent="0.25">
      <c r="T59692" s="135"/>
      <c r="U59692" s="135"/>
    </row>
    <row r="59693" spans="20:21" ht="15" customHeight="1" x14ac:dyDescent="0.25">
      <c r="T59693" s="135"/>
      <c r="U59693" s="135"/>
    </row>
    <row r="59694" spans="20:21" ht="15" customHeight="1" x14ac:dyDescent="0.25">
      <c r="T59694" s="135"/>
      <c r="U59694" s="135"/>
    </row>
    <row r="59695" spans="20:21" ht="15" customHeight="1" x14ac:dyDescent="0.25">
      <c r="T59695" s="135"/>
      <c r="U59695" s="135"/>
    </row>
    <row r="59696" spans="20:21" ht="15" customHeight="1" x14ac:dyDescent="0.25">
      <c r="T59696" s="135"/>
      <c r="U59696" s="135"/>
    </row>
    <row r="59697" spans="20:21" ht="15" customHeight="1" x14ac:dyDescent="0.25">
      <c r="T59697" s="135"/>
      <c r="U59697" s="135"/>
    </row>
    <row r="59698" spans="20:21" ht="15" customHeight="1" x14ac:dyDescent="0.25">
      <c r="T59698" s="135"/>
      <c r="U59698" s="135"/>
    </row>
    <row r="59699" spans="20:21" ht="15" customHeight="1" x14ac:dyDescent="0.25">
      <c r="T59699" s="135"/>
      <c r="U59699" s="135"/>
    </row>
    <row r="59700" spans="20:21" ht="15" customHeight="1" x14ac:dyDescent="0.25">
      <c r="T59700" s="135"/>
      <c r="U59700" s="135"/>
    </row>
    <row r="59701" spans="20:21" ht="15" customHeight="1" x14ac:dyDescent="0.25">
      <c r="T59701" s="135"/>
      <c r="U59701" s="135"/>
    </row>
    <row r="59702" spans="20:21" ht="15" customHeight="1" x14ac:dyDescent="0.25">
      <c r="T59702" s="135"/>
      <c r="U59702" s="135"/>
    </row>
    <row r="59703" spans="20:21" ht="15" customHeight="1" x14ac:dyDescent="0.25">
      <c r="T59703" s="135"/>
      <c r="U59703" s="135"/>
    </row>
    <row r="59704" spans="20:21" ht="15" customHeight="1" x14ac:dyDescent="0.25">
      <c r="T59704" s="135"/>
      <c r="U59704" s="135"/>
    </row>
    <row r="59705" spans="20:21" ht="15" customHeight="1" x14ac:dyDescent="0.25">
      <c r="T59705" s="135"/>
      <c r="U59705" s="135"/>
    </row>
    <row r="59706" spans="20:21" ht="15" customHeight="1" x14ac:dyDescent="0.25">
      <c r="T59706" s="135"/>
      <c r="U59706" s="135"/>
    </row>
    <row r="59707" spans="20:21" ht="15" customHeight="1" x14ac:dyDescent="0.25">
      <c r="T59707" s="135"/>
      <c r="U59707" s="135"/>
    </row>
    <row r="59708" spans="20:21" ht="15" customHeight="1" x14ac:dyDescent="0.25">
      <c r="T59708" s="135"/>
      <c r="U59708" s="135"/>
    </row>
    <row r="59709" spans="20:21" ht="15" customHeight="1" x14ac:dyDescent="0.25">
      <c r="T59709" s="135"/>
      <c r="U59709" s="135"/>
    </row>
    <row r="59710" spans="20:21" ht="15" customHeight="1" x14ac:dyDescent="0.25">
      <c r="T59710" s="135"/>
      <c r="U59710" s="135"/>
    </row>
    <row r="59711" spans="20:21" ht="15" customHeight="1" x14ac:dyDescent="0.25">
      <c r="T59711" s="135"/>
      <c r="U59711" s="135"/>
    </row>
    <row r="59712" spans="20:21" ht="15" customHeight="1" x14ac:dyDescent="0.25">
      <c r="T59712" s="135"/>
      <c r="U59712" s="135"/>
    </row>
    <row r="59713" spans="20:21" ht="15" customHeight="1" x14ac:dyDescent="0.25">
      <c r="T59713" s="135"/>
      <c r="U59713" s="135"/>
    </row>
    <row r="59714" spans="20:21" ht="15" customHeight="1" x14ac:dyDescent="0.25">
      <c r="T59714" s="135"/>
      <c r="U59714" s="135"/>
    </row>
    <row r="59715" spans="20:21" ht="15" customHeight="1" x14ac:dyDescent="0.25">
      <c r="T59715" s="135"/>
      <c r="U59715" s="135"/>
    </row>
    <row r="59716" spans="20:21" ht="15" customHeight="1" x14ac:dyDescent="0.25">
      <c r="T59716" s="135"/>
      <c r="U59716" s="135"/>
    </row>
    <row r="59717" spans="20:21" ht="15" customHeight="1" x14ac:dyDescent="0.25">
      <c r="T59717" s="135"/>
      <c r="U59717" s="135"/>
    </row>
    <row r="59718" spans="20:21" ht="15" customHeight="1" x14ac:dyDescent="0.25">
      <c r="T59718" s="135"/>
      <c r="U59718" s="135"/>
    </row>
    <row r="59719" spans="20:21" ht="15" customHeight="1" x14ac:dyDescent="0.25">
      <c r="T59719" s="135"/>
      <c r="U59719" s="135"/>
    </row>
    <row r="59720" spans="20:21" ht="15" customHeight="1" x14ac:dyDescent="0.25">
      <c r="T59720" s="135"/>
      <c r="U59720" s="135"/>
    </row>
    <row r="59721" spans="20:21" ht="15" customHeight="1" x14ac:dyDescent="0.25">
      <c r="T59721" s="135"/>
      <c r="U59721" s="135"/>
    </row>
    <row r="59722" spans="20:21" ht="15" customHeight="1" x14ac:dyDescent="0.25">
      <c r="T59722" s="135"/>
      <c r="U59722" s="135"/>
    </row>
    <row r="59723" spans="20:21" ht="15" customHeight="1" x14ac:dyDescent="0.25">
      <c r="T59723" s="135"/>
      <c r="U59723" s="135"/>
    </row>
    <row r="59724" spans="20:21" ht="15" customHeight="1" x14ac:dyDescent="0.25">
      <c r="T59724" s="135"/>
      <c r="U59724" s="135"/>
    </row>
    <row r="59725" spans="20:21" ht="15" customHeight="1" x14ac:dyDescent="0.25">
      <c r="T59725" s="135"/>
      <c r="U59725" s="135"/>
    </row>
    <row r="59726" spans="20:21" ht="15" customHeight="1" x14ac:dyDescent="0.25">
      <c r="T59726" s="135"/>
      <c r="U59726" s="135"/>
    </row>
    <row r="59727" spans="20:21" ht="15" customHeight="1" x14ac:dyDescent="0.25">
      <c r="T59727" s="135"/>
      <c r="U59727" s="135"/>
    </row>
    <row r="59728" spans="20:21" ht="15" customHeight="1" x14ac:dyDescent="0.25">
      <c r="T59728" s="135"/>
      <c r="U59728" s="135"/>
    </row>
    <row r="59729" spans="20:21" ht="15" customHeight="1" x14ac:dyDescent="0.25">
      <c r="T59729" s="135"/>
      <c r="U59729" s="135"/>
    </row>
    <row r="59730" spans="20:21" ht="15" customHeight="1" x14ac:dyDescent="0.25">
      <c r="T59730" s="135"/>
      <c r="U59730" s="135"/>
    </row>
    <row r="59731" spans="20:21" ht="15" customHeight="1" x14ac:dyDescent="0.25">
      <c r="T59731" s="135"/>
      <c r="U59731" s="135"/>
    </row>
    <row r="59732" spans="20:21" ht="15" customHeight="1" x14ac:dyDescent="0.25">
      <c r="T59732" s="135"/>
      <c r="U59732" s="135"/>
    </row>
    <row r="59733" spans="20:21" ht="15" customHeight="1" x14ac:dyDescent="0.25">
      <c r="T59733" s="135"/>
      <c r="U59733" s="135"/>
    </row>
    <row r="59734" spans="20:21" ht="15" customHeight="1" x14ac:dyDescent="0.25">
      <c r="T59734" s="135"/>
      <c r="U59734" s="135"/>
    </row>
    <row r="59735" spans="20:21" ht="15" customHeight="1" x14ac:dyDescent="0.25">
      <c r="T59735" s="135"/>
      <c r="U59735" s="135"/>
    </row>
    <row r="59736" spans="20:21" ht="15" customHeight="1" x14ac:dyDescent="0.25">
      <c r="T59736" s="135"/>
      <c r="U59736" s="135"/>
    </row>
    <row r="59737" spans="20:21" ht="15" customHeight="1" x14ac:dyDescent="0.25">
      <c r="T59737" s="135"/>
      <c r="U59737" s="135"/>
    </row>
    <row r="59738" spans="20:21" ht="15" customHeight="1" x14ac:dyDescent="0.25">
      <c r="T59738" s="135"/>
      <c r="U59738" s="135"/>
    </row>
    <row r="59739" spans="20:21" ht="15" customHeight="1" x14ac:dyDescent="0.25">
      <c r="T59739" s="135"/>
      <c r="U59739" s="135"/>
    </row>
    <row r="59740" spans="20:21" ht="15" customHeight="1" x14ac:dyDescent="0.25">
      <c r="T59740" s="135"/>
      <c r="U59740" s="135"/>
    </row>
    <row r="59741" spans="20:21" ht="15" customHeight="1" x14ac:dyDescent="0.25">
      <c r="T59741" s="135"/>
      <c r="U59741" s="135"/>
    </row>
    <row r="59742" spans="20:21" ht="15" customHeight="1" x14ac:dyDescent="0.25">
      <c r="T59742" s="135"/>
      <c r="U59742" s="135"/>
    </row>
    <row r="59743" spans="20:21" ht="15" customHeight="1" x14ac:dyDescent="0.25">
      <c r="T59743" s="135"/>
      <c r="U59743" s="135"/>
    </row>
    <row r="59744" spans="20:21" ht="15" customHeight="1" x14ac:dyDescent="0.25">
      <c r="T59744" s="135"/>
      <c r="U59744" s="135"/>
    </row>
    <row r="59745" spans="20:21" ht="15" customHeight="1" x14ac:dyDescent="0.25">
      <c r="T59745" s="135"/>
      <c r="U59745" s="135"/>
    </row>
    <row r="59746" spans="20:21" ht="15" customHeight="1" x14ac:dyDescent="0.25">
      <c r="T59746" s="135"/>
      <c r="U59746" s="135"/>
    </row>
    <row r="59747" spans="20:21" ht="15" customHeight="1" x14ac:dyDescent="0.25">
      <c r="T59747" s="135"/>
      <c r="U59747" s="135"/>
    </row>
    <row r="59748" spans="20:21" ht="15" customHeight="1" x14ac:dyDescent="0.25">
      <c r="T59748" s="135"/>
      <c r="U59748" s="135"/>
    </row>
    <row r="59749" spans="20:21" ht="15" customHeight="1" x14ac:dyDescent="0.25">
      <c r="T59749" s="135"/>
      <c r="U59749" s="135"/>
    </row>
    <row r="59750" spans="20:21" ht="15" customHeight="1" x14ac:dyDescent="0.25">
      <c r="T59750" s="135"/>
      <c r="U59750" s="135"/>
    </row>
    <row r="59751" spans="20:21" ht="15" customHeight="1" x14ac:dyDescent="0.25">
      <c r="T59751" s="135"/>
      <c r="U59751" s="135"/>
    </row>
    <row r="59752" spans="20:21" ht="15" customHeight="1" x14ac:dyDescent="0.25">
      <c r="T59752" s="135"/>
      <c r="U59752" s="135"/>
    </row>
    <row r="59753" spans="20:21" ht="15" customHeight="1" x14ac:dyDescent="0.25">
      <c r="T59753" s="135"/>
      <c r="U59753" s="135"/>
    </row>
    <row r="59754" spans="20:21" ht="15" customHeight="1" x14ac:dyDescent="0.25">
      <c r="T59754" s="135"/>
      <c r="U59754" s="135"/>
    </row>
    <row r="59755" spans="20:21" ht="15" customHeight="1" x14ac:dyDescent="0.25">
      <c r="T59755" s="135"/>
      <c r="U59755" s="135"/>
    </row>
    <row r="59756" spans="20:21" ht="15" customHeight="1" x14ac:dyDescent="0.25">
      <c r="T59756" s="135"/>
      <c r="U59756" s="135"/>
    </row>
    <row r="59757" spans="20:21" ht="15" customHeight="1" x14ac:dyDescent="0.25">
      <c r="T59757" s="135"/>
      <c r="U59757" s="135"/>
    </row>
    <row r="59758" spans="20:21" ht="15" customHeight="1" x14ac:dyDescent="0.25">
      <c r="T59758" s="135"/>
      <c r="U59758" s="135"/>
    </row>
    <row r="59759" spans="20:21" ht="15" customHeight="1" x14ac:dyDescent="0.25">
      <c r="T59759" s="135"/>
      <c r="U59759" s="135"/>
    </row>
    <row r="59760" spans="20:21" ht="15" customHeight="1" x14ac:dyDescent="0.25">
      <c r="T59760" s="135"/>
      <c r="U59760" s="135"/>
    </row>
    <row r="59761" spans="20:21" ht="15" customHeight="1" x14ac:dyDescent="0.25">
      <c r="T59761" s="135"/>
      <c r="U59761" s="135"/>
    </row>
    <row r="59762" spans="20:21" ht="15" customHeight="1" x14ac:dyDescent="0.25">
      <c r="T59762" s="135"/>
      <c r="U59762" s="135"/>
    </row>
    <row r="59763" spans="20:21" ht="15" customHeight="1" x14ac:dyDescent="0.25">
      <c r="T59763" s="135"/>
      <c r="U59763" s="135"/>
    </row>
    <row r="59764" spans="20:21" ht="15" customHeight="1" x14ac:dyDescent="0.25">
      <c r="T59764" s="135"/>
      <c r="U59764" s="135"/>
    </row>
    <row r="59765" spans="20:21" ht="15" customHeight="1" x14ac:dyDescent="0.25">
      <c r="T59765" s="135"/>
      <c r="U59765" s="135"/>
    </row>
    <row r="59766" spans="20:21" ht="15" customHeight="1" x14ac:dyDescent="0.25">
      <c r="T59766" s="135"/>
      <c r="U59766" s="135"/>
    </row>
    <row r="59767" spans="20:21" ht="15" customHeight="1" x14ac:dyDescent="0.25">
      <c r="T59767" s="135"/>
      <c r="U59767" s="135"/>
    </row>
    <row r="59768" spans="20:21" ht="15" customHeight="1" x14ac:dyDescent="0.25">
      <c r="T59768" s="135"/>
      <c r="U59768" s="135"/>
    </row>
    <row r="59769" spans="20:21" ht="15" customHeight="1" x14ac:dyDescent="0.25">
      <c r="T59769" s="135"/>
      <c r="U59769" s="135"/>
    </row>
    <row r="59770" spans="20:21" ht="15" customHeight="1" x14ac:dyDescent="0.25">
      <c r="T59770" s="135"/>
      <c r="U59770" s="135"/>
    </row>
    <row r="59771" spans="20:21" ht="15" customHeight="1" x14ac:dyDescent="0.25">
      <c r="T59771" s="135"/>
      <c r="U59771" s="135"/>
    </row>
    <row r="59772" spans="20:21" ht="15" customHeight="1" x14ac:dyDescent="0.25">
      <c r="T59772" s="135"/>
      <c r="U59772" s="135"/>
    </row>
    <row r="59773" spans="20:21" ht="15" customHeight="1" x14ac:dyDescent="0.25">
      <c r="T59773" s="135"/>
      <c r="U59773" s="135"/>
    </row>
    <row r="59774" spans="20:21" ht="15" customHeight="1" x14ac:dyDescent="0.25">
      <c r="T59774" s="135"/>
      <c r="U59774" s="135"/>
    </row>
    <row r="59775" spans="20:21" ht="15" customHeight="1" x14ac:dyDescent="0.25">
      <c r="T59775" s="135"/>
      <c r="U59775" s="135"/>
    </row>
    <row r="59776" spans="20:21" ht="15" customHeight="1" x14ac:dyDescent="0.25">
      <c r="T59776" s="135"/>
      <c r="U59776" s="135"/>
    </row>
    <row r="59777" spans="20:21" ht="15" customHeight="1" x14ac:dyDescent="0.25">
      <c r="T59777" s="135"/>
      <c r="U59777" s="135"/>
    </row>
    <row r="59778" spans="20:21" ht="15" customHeight="1" x14ac:dyDescent="0.25">
      <c r="T59778" s="135"/>
      <c r="U59778" s="135"/>
    </row>
    <row r="59779" spans="20:21" ht="15" customHeight="1" x14ac:dyDescent="0.25">
      <c r="T59779" s="135"/>
      <c r="U59779" s="135"/>
    </row>
    <row r="59780" spans="20:21" ht="15" customHeight="1" x14ac:dyDescent="0.25">
      <c r="T59780" s="135"/>
      <c r="U59780" s="135"/>
    </row>
    <row r="59781" spans="20:21" ht="15" customHeight="1" x14ac:dyDescent="0.25">
      <c r="T59781" s="135"/>
      <c r="U59781" s="135"/>
    </row>
    <row r="59782" spans="20:21" ht="15" customHeight="1" x14ac:dyDescent="0.25">
      <c r="T59782" s="135"/>
      <c r="U59782" s="135"/>
    </row>
    <row r="59783" spans="20:21" ht="15" customHeight="1" x14ac:dyDescent="0.25">
      <c r="T59783" s="135"/>
      <c r="U59783" s="135"/>
    </row>
    <row r="59784" spans="20:21" ht="15" customHeight="1" x14ac:dyDescent="0.25">
      <c r="T59784" s="135"/>
      <c r="U59784" s="135"/>
    </row>
    <row r="59785" spans="20:21" ht="15" customHeight="1" x14ac:dyDescent="0.25">
      <c r="T59785" s="135"/>
      <c r="U59785" s="135"/>
    </row>
    <row r="59786" spans="20:21" ht="15" customHeight="1" x14ac:dyDescent="0.25">
      <c r="T59786" s="135"/>
      <c r="U59786" s="135"/>
    </row>
    <row r="59787" spans="20:21" ht="15" customHeight="1" x14ac:dyDescent="0.25">
      <c r="T59787" s="135"/>
      <c r="U59787" s="135"/>
    </row>
    <row r="59788" spans="20:21" ht="15" customHeight="1" x14ac:dyDescent="0.25">
      <c r="T59788" s="135"/>
      <c r="U59788" s="135"/>
    </row>
    <row r="59789" spans="20:21" ht="15" customHeight="1" x14ac:dyDescent="0.25">
      <c r="T59789" s="135"/>
      <c r="U59789" s="135"/>
    </row>
    <row r="59790" spans="20:21" ht="15" customHeight="1" x14ac:dyDescent="0.25">
      <c r="T59790" s="135"/>
      <c r="U59790" s="135"/>
    </row>
    <row r="59791" spans="20:21" ht="15" customHeight="1" x14ac:dyDescent="0.25">
      <c r="T59791" s="135"/>
      <c r="U59791" s="135"/>
    </row>
    <row r="59792" spans="20:21" ht="15" customHeight="1" x14ac:dyDescent="0.25">
      <c r="T59792" s="135"/>
      <c r="U59792" s="135"/>
    </row>
    <row r="59793" spans="20:21" ht="15" customHeight="1" x14ac:dyDescent="0.25">
      <c r="T59793" s="135"/>
      <c r="U59793" s="135"/>
    </row>
    <row r="59794" spans="20:21" ht="15" customHeight="1" x14ac:dyDescent="0.25">
      <c r="T59794" s="135"/>
      <c r="U59794" s="135"/>
    </row>
    <row r="59795" spans="20:21" ht="15" customHeight="1" x14ac:dyDescent="0.25">
      <c r="T59795" s="135"/>
      <c r="U59795" s="135"/>
    </row>
    <row r="59796" spans="20:21" ht="15" customHeight="1" x14ac:dyDescent="0.25">
      <c r="T59796" s="135"/>
      <c r="U59796" s="135"/>
    </row>
    <row r="59797" spans="20:21" ht="15" customHeight="1" x14ac:dyDescent="0.25">
      <c r="T59797" s="135"/>
      <c r="U59797" s="135"/>
    </row>
    <row r="59798" spans="20:21" ht="15" customHeight="1" x14ac:dyDescent="0.25">
      <c r="T59798" s="135"/>
      <c r="U59798" s="135"/>
    </row>
    <row r="59799" spans="20:21" ht="15" customHeight="1" x14ac:dyDescent="0.25">
      <c r="T59799" s="135"/>
      <c r="U59799" s="135"/>
    </row>
    <row r="59800" spans="20:21" ht="15" customHeight="1" x14ac:dyDescent="0.25">
      <c r="T59800" s="135"/>
      <c r="U59800" s="135"/>
    </row>
    <row r="59801" spans="20:21" ht="15" customHeight="1" x14ac:dyDescent="0.25">
      <c r="T59801" s="135"/>
      <c r="U59801" s="135"/>
    </row>
    <row r="59802" spans="20:21" ht="15" customHeight="1" x14ac:dyDescent="0.25">
      <c r="T59802" s="135"/>
      <c r="U59802" s="135"/>
    </row>
    <row r="59803" spans="20:21" ht="15" customHeight="1" x14ac:dyDescent="0.25">
      <c r="T59803" s="135"/>
      <c r="U59803" s="135"/>
    </row>
    <row r="59804" spans="20:21" ht="15" customHeight="1" x14ac:dyDescent="0.25">
      <c r="T59804" s="135"/>
      <c r="U59804" s="135"/>
    </row>
    <row r="59805" spans="20:21" ht="15" customHeight="1" x14ac:dyDescent="0.25">
      <c r="T59805" s="135"/>
      <c r="U59805" s="135"/>
    </row>
    <row r="59806" spans="20:21" ht="15" customHeight="1" x14ac:dyDescent="0.25">
      <c r="T59806" s="135"/>
      <c r="U59806" s="135"/>
    </row>
    <row r="59807" spans="20:21" ht="15" customHeight="1" x14ac:dyDescent="0.25">
      <c r="T59807" s="135"/>
      <c r="U59807" s="135"/>
    </row>
    <row r="59808" spans="20:21" ht="15" customHeight="1" x14ac:dyDescent="0.25">
      <c r="T59808" s="135"/>
      <c r="U59808" s="135"/>
    </row>
    <row r="59809" spans="20:21" ht="15" customHeight="1" x14ac:dyDescent="0.25">
      <c r="T59809" s="135"/>
      <c r="U59809" s="135"/>
    </row>
    <row r="59810" spans="20:21" ht="15" customHeight="1" x14ac:dyDescent="0.25">
      <c r="T59810" s="135"/>
      <c r="U59810" s="135"/>
    </row>
    <row r="59811" spans="20:21" ht="15" customHeight="1" x14ac:dyDescent="0.25">
      <c r="T59811" s="135"/>
      <c r="U59811" s="135"/>
    </row>
    <row r="59812" spans="20:21" ht="15" customHeight="1" x14ac:dyDescent="0.25">
      <c r="T59812" s="135"/>
      <c r="U59812" s="135"/>
    </row>
    <row r="59813" spans="20:21" ht="15" customHeight="1" x14ac:dyDescent="0.25">
      <c r="T59813" s="135"/>
      <c r="U59813" s="135"/>
    </row>
    <row r="59814" spans="20:21" ht="15" customHeight="1" x14ac:dyDescent="0.25">
      <c r="T59814" s="135"/>
      <c r="U59814" s="135"/>
    </row>
    <row r="59815" spans="20:21" ht="15" customHeight="1" x14ac:dyDescent="0.25">
      <c r="T59815" s="135"/>
      <c r="U59815" s="135"/>
    </row>
    <row r="59816" spans="20:21" ht="15" customHeight="1" x14ac:dyDescent="0.25">
      <c r="T59816" s="135"/>
      <c r="U59816" s="135"/>
    </row>
    <row r="59817" spans="20:21" ht="15" customHeight="1" x14ac:dyDescent="0.25">
      <c r="T59817" s="135"/>
      <c r="U59817" s="135"/>
    </row>
    <row r="59818" spans="20:21" ht="15" customHeight="1" x14ac:dyDescent="0.25">
      <c r="T59818" s="135"/>
      <c r="U59818" s="135"/>
    </row>
    <row r="59819" spans="20:21" ht="15" customHeight="1" x14ac:dyDescent="0.25">
      <c r="T59819" s="135"/>
      <c r="U59819" s="135"/>
    </row>
    <row r="59820" spans="20:21" ht="15" customHeight="1" x14ac:dyDescent="0.25">
      <c r="T59820" s="135"/>
      <c r="U59820" s="135"/>
    </row>
    <row r="59821" spans="20:21" ht="15" customHeight="1" x14ac:dyDescent="0.25">
      <c r="T59821" s="135"/>
      <c r="U59821" s="135"/>
    </row>
    <row r="59822" spans="20:21" ht="15" customHeight="1" x14ac:dyDescent="0.25">
      <c r="T59822" s="135"/>
      <c r="U59822" s="135"/>
    </row>
    <row r="59823" spans="20:21" ht="15" customHeight="1" x14ac:dyDescent="0.25">
      <c r="T59823" s="135"/>
      <c r="U59823" s="135"/>
    </row>
    <row r="59824" spans="20:21" ht="15" customHeight="1" x14ac:dyDescent="0.25">
      <c r="T59824" s="135"/>
      <c r="U59824" s="135"/>
    </row>
    <row r="59825" spans="20:21" ht="15" customHeight="1" x14ac:dyDescent="0.25">
      <c r="T59825" s="135"/>
      <c r="U59825" s="135"/>
    </row>
    <row r="59826" spans="20:21" ht="15" customHeight="1" x14ac:dyDescent="0.25">
      <c r="T59826" s="135"/>
      <c r="U59826" s="135"/>
    </row>
    <row r="59827" spans="20:21" ht="15" customHeight="1" x14ac:dyDescent="0.25">
      <c r="T59827" s="135"/>
      <c r="U59827" s="135"/>
    </row>
    <row r="59828" spans="20:21" ht="15" customHeight="1" x14ac:dyDescent="0.25">
      <c r="T59828" s="135"/>
      <c r="U59828" s="135"/>
    </row>
    <row r="59829" spans="20:21" ht="15" customHeight="1" x14ac:dyDescent="0.25">
      <c r="T59829" s="135"/>
      <c r="U59829" s="135"/>
    </row>
    <row r="59830" spans="20:21" ht="15" customHeight="1" x14ac:dyDescent="0.25">
      <c r="T59830" s="135"/>
      <c r="U59830" s="135"/>
    </row>
    <row r="59831" spans="20:21" ht="15" customHeight="1" x14ac:dyDescent="0.25">
      <c r="T59831" s="135"/>
      <c r="U59831" s="135"/>
    </row>
    <row r="59832" spans="20:21" ht="15" customHeight="1" x14ac:dyDescent="0.25">
      <c r="T59832" s="135"/>
      <c r="U59832" s="135"/>
    </row>
    <row r="59833" spans="20:21" ht="15" customHeight="1" x14ac:dyDescent="0.25">
      <c r="T59833" s="135"/>
      <c r="U59833" s="135"/>
    </row>
    <row r="59834" spans="20:21" ht="15" customHeight="1" x14ac:dyDescent="0.25">
      <c r="T59834" s="135"/>
      <c r="U59834" s="135"/>
    </row>
    <row r="59835" spans="20:21" ht="15" customHeight="1" x14ac:dyDescent="0.25">
      <c r="T59835" s="135"/>
      <c r="U59835" s="135"/>
    </row>
    <row r="59836" spans="20:21" ht="15" customHeight="1" x14ac:dyDescent="0.25">
      <c r="T59836" s="135"/>
      <c r="U59836" s="135"/>
    </row>
    <row r="59837" spans="20:21" ht="15" customHeight="1" x14ac:dyDescent="0.25">
      <c r="T59837" s="135"/>
      <c r="U59837" s="135"/>
    </row>
    <row r="59838" spans="20:21" ht="15" customHeight="1" x14ac:dyDescent="0.25">
      <c r="T59838" s="135"/>
      <c r="U59838" s="135"/>
    </row>
    <row r="59839" spans="20:21" ht="15" customHeight="1" x14ac:dyDescent="0.25">
      <c r="T59839" s="135"/>
      <c r="U59839" s="135"/>
    </row>
    <row r="59840" spans="20:21" ht="15" customHeight="1" x14ac:dyDescent="0.25">
      <c r="T59840" s="135"/>
      <c r="U59840" s="135"/>
    </row>
    <row r="59841" spans="20:21" ht="15" customHeight="1" x14ac:dyDescent="0.25">
      <c r="T59841" s="135"/>
      <c r="U59841" s="135"/>
    </row>
    <row r="59842" spans="20:21" ht="15" customHeight="1" x14ac:dyDescent="0.25">
      <c r="T59842" s="135"/>
      <c r="U59842" s="135"/>
    </row>
    <row r="59843" spans="20:21" ht="15" customHeight="1" x14ac:dyDescent="0.25">
      <c r="T59843" s="135"/>
      <c r="U59843" s="135"/>
    </row>
    <row r="59844" spans="20:21" ht="15" customHeight="1" x14ac:dyDescent="0.25">
      <c r="T59844" s="135"/>
      <c r="U59844" s="135"/>
    </row>
    <row r="59845" spans="20:21" ht="15" customHeight="1" x14ac:dyDescent="0.25">
      <c r="T59845" s="135"/>
      <c r="U59845" s="135"/>
    </row>
    <row r="59846" spans="20:21" ht="15" customHeight="1" x14ac:dyDescent="0.25">
      <c r="T59846" s="135"/>
      <c r="U59846" s="135"/>
    </row>
    <row r="59847" spans="20:21" ht="15" customHeight="1" x14ac:dyDescent="0.25">
      <c r="T59847" s="135"/>
      <c r="U59847" s="135"/>
    </row>
    <row r="59848" spans="20:21" ht="15" customHeight="1" x14ac:dyDescent="0.25">
      <c r="T59848" s="135"/>
      <c r="U59848" s="135"/>
    </row>
    <row r="59849" spans="20:21" ht="15" customHeight="1" x14ac:dyDescent="0.25">
      <c r="T59849" s="135"/>
      <c r="U59849" s="135"/>
    </row>
    <row r="59850" spans="20:21" ht="15" customHeight="1" x14ac:dyDescent="0.25">
      <c r="T59850" s="135"/>
      <c r="U59850" s="135"/>
    </row>
    <row r="59851" spans="20:21" ht="15" customHeight="1" x14ac:dyDescent="0.25">
      <c r="T59851" s="135"/>
      <c r="U59851" s="135"/>
    </row>
    <row r="59852" spans="20:21" ht="15" customHeight="1" x14ac:dyDescent="0.25">
      <c r="T59852" s="135"/>
      <c r="U59852" s="135"/>
    </row>
    <row r="59853" spans="20:21" ht="15" customHeight="1" x14ac:dyDescent="0.25">
      <c r="T59853" s="135"/>
      <c r="U59853" s="135"/>
    </row>
    <row r="59854" spans="20:21" ht="15" customHeight="1" x14ac:dyDescent="0.25">
      <c r="T59854" s="135"/>
      <c r="U59854" s="135"/>
    </row>
    <row r="59855" spans="20:21" ht="15" customHeight="1" x14ac:dyDescent="0.25">
      <c r="T59855" s="135"/>
      <c r="U59855" s="135"/>
    </row>
    <row r="59856" spans="20:21" ht="15" customHeight="1" x14ac:dyDescent="0.25">
      <c r="T59856" s="135"/>
      <c r="U59856" s="135"/>
    </row>
    <row r="59857" spans="20:21" ht="15" customHeight="1" x14ac:dyDescent="0.25">
      <c r="T59857" s="135"/>
      <c r="U59857" s="135"/>
    </row>
    <row r="59858" spans="20:21" ht="15" customHeight="1" x14ac:dyDescent="0.25">
      <c r="T59858" s="135"/>
      <c r="U59858" s="135"/>
    </row>
    <row r="59859" spans="20:21" ht="15" customHeight="1" x14ac:dyDescent="0.25">
      <c r="T59859" s="135"/>
      <c r="U59859" s="135"/>
    </row>
    <row r="59860" spans="20:21" ht="15" customHeight="1" x14ac:dyDescent="0.25">
      <c r="T59860" s="135"/>
      <c r="U59860" s="135"/>
    </row>
    <row r="59861" spans="20:21" ht="15" customHeight="1" x14ac:dyDescent="0.25">
      <c r="T59861" s="135"/>
      <c r="U59861" s="135"/>
    </row>
    <row r="59862" spans="20:21" ht="15" customHeight="1" x14ac:dyDescent="0.25">
      <c r="T59862" s="135"/>
      <c r="U59862" s="135"/>
    </row>
    <row r="59863" spans="20:21" ht="15" customHeight="1" x14ac:dyDescent="0.25">
      <c r="T59863" s="135"/>
      <c r="U59863" s="135"/>
    </row>
    <row r="59864" spans="20:21" ht="15" customHeight="1" x14ac:dyDescent="0.25">
      <c r="T59864" s="135"/>
      <c r="U59864" s="135"/>
    </row>
    <row r="59865" spans="20:21" ht="15" customHeight="1" x14ac:dyDescent="0.25">
      <c r="T59865" s="135"/>
      <c r="U59865" s="135"/>
    </row>
    <row r="59866" spans="20:21" ht="15" customHeight="1" x14ac:dyDescent="0.25">
      <c r="T59866" s="135"/>
      <c r="U59866" s="135"/>
    </row>
    <row r="59867" spans="20:21" ht="15" customHeight="1" x14ac:dyDescent="0.25">
      <c r="T59867" s="135"/>
      <c r="U59867" s="135"/>
    </row>
    <row r="59868" spans="20:21" ht="15" customHeight="1" x14ac:dyDescent="0.25">
      <c r="T59868" s="135"/>
      <c r="U59868" s="135"/>
    </row>
    <row r="59869" spans="20:21" ht="15" customHeight="1" x14ac:dyDescent="0.25">
      <c r="T59869" s="135"/>
      <c r="U59869" s="135"/>
    </row>
    <row r="59870" spans="20:21" ht="15" customHeight="1" x14ac:dyDescent="0.25">
      <c r="T59870" s="135"/>
      <c r="U59870" s="135"/>
    </row>
    <row r="59871" spans="20:21" ht="15" customHeight="1" x14ac:dyDescent="0.25">
      <c r="T59871" s="135"/>
      <c r="U59871" s="135"/>
    </row>
    <row r="59872" spans="20:21" ht="15" customHeight="1" x14ac:dyDescent="0.25">
      <c r="T59872" s="135"/>
      <c r="U59872" s="135"/>
    </row>
    <row r="59873" spans="20:21" ht="15" customHeight="1" x14ac:dyDescent="0.25">
      <c r="T59873" s="135"/>
      <c r="U59873" s="135"/>
    </row>
    <row r="59874" spans="20:21" ht="15" customHeight="1" x14ac:dyDescent="0.25">
      <c r="T59874" s="135"/>
      <c r="U59874" s="135"/>
    </row>
    <row r="59875" spans="20:21" ht="15" customHeight="1" x14ac:dyDescent="0.25">
      <c r="T59875" s="135"/>
      <c r="U59875" s="135"/>
    </row>
    <row r="59876" spans="20:21" ht="15" customHeight="1" x14ac:dyDescent="0.25">
      <c r="T59876" s="135"/>
      <c r="U59876" s="135"/>
    </row>
    <row r="59877" spans="20:21" ht="15" customHeight="1" x14ac:dyDescent="0.25">
      <c r="T59877" s="135"/>
      <c r="U59877" s="135"/>
    </row>
    <row r="59878" spans="20:21" ht="15" customHeight="1" x14ac:dyDescent="0.25">
      <c r="T59878" s="135"/>
      <c r="U59878" s="135"/>
    </row>
    <row r="59879" spans="20:21" ht="15" customHeight="1" x14ac:dyDescent="0.25">
      <c r="T59879" s="135"/>
      <c r="U59879" s="135"/>
    </row>
    <row r="59880" spans="20:21" ht="15" customHeight="1" x14ac:dyDescent="0.25">
      <c r="T59880" s="135"/>
      <c r="U59880" s="135"/>
    </row>
    <row r="59881" spans="20:21" ht="15" customHeight="1" x14ac:dyDescent="0.25">
      <c r="T59881" s="135"/>
      <c r="U59881" s="135"/>
    </row>
    <row r="59882" spans="20:21" ht="15" customHeight="1" x14ac:dyDescent="0.25">
      <c r="T59882" s="135"/>
      <c r="U59882" s="135"/>
    </row>
    <row r="59883" spans="20:21" ht="15" customHeight="1" x14ac:dyDescent="0.25">
      <c r="T59883" s="135"/>
      <c r="U59883" s="135"/>
    </row>
    <row r="59884" spans="20:21" ht="15" customHeight="1" x14ac:dyDescent="0.25">
      <c r="T59884" s="135"/>
      <c r="U59884" s="135"/>
    </row>
    <row r="59885" spans="20:21" ht="15" customHeight="1" x14ac:dyDescent="0.25">
      <c r="T59885" s="135"/>
      <c r="U59885" s="135"/>
    </row>
    <row r="59886" spans="20:21" ht="15" customHeight="1" x14ac:dyDescent="0.25">
      <c r="T59886" s="135"/>
      <c r="U59886" s="135"/>
    </row>
    <row r="59887" spans="20:21" ht="15" customHeight="1" x14ac:dyDescent="0.25">
      <c r="T59887" s="135"/>
      <c r="U59887" s="135"/>
    </row>
    <row r="59888" spans="20:21" ht="15" customHeight="1" x14ac:dyDescent="0.25">
      <c r="T59888" s="135"/>
      <c r="U59888" s="135"/>
    </row>
    <row r="59889" spans="20:21" ht="15" customHeight="1" x14ac:dyDescent="0.25">
      <c r="T59889" s="135"/>
      <c r="U59889" s="135"/>
    </row>
    <row r="59890" spans="20:21" ht="15" customHeight="1" x14ac:dyDescent="0.25">
      <c r="T59890" s="135"/>
      <c r="U59890" s="135"/>
    </row>
    <row r="59891" spans="20:21" ht="15" customHeight="1" x14ac:dyDescent="0.25">
      <c r="T59891" s="135"/>
      <c r="U59891" s="135"/>
    </row>
    <row r="59892" spans="20:21" ht="15" customHeight="1" x14ac:dyDescent="0.25">
      <c r="T59892" s="135"/>
      <c r="U59892" s="135"/>
    </row>
    <row r="59893" spans="20:21" ht="15" customHeight="1" x14ac:dyDescent="0.25">
      <c r="T59893" s="135"/>
      <c r="U59893" s="135"/>
    </row>
    <row r="59894" spans="20:21" ht="15" customHeight="1" x14ac:dyDescent="0.25">
      <c r="T59894" s="135"/>
      <c r="U59894" s="135"/>
    </row>
    <row r="59895" spans="20:21" ht="15" customHeight="1" x14ac:dyDescent="0.25">
      <c r="T59895" s="135"/>
      <c r="U59895" s="135"/>
    </row>
    <row r="59896" spans="20:21" ht="15" customHeight="1" x14ac:dyDescent="0.25">
      <c r="T59896" s="135"/>
      <c r="U59896" s="135"/>
    </row>
    <row r="59897" spans="20:21" ht="15" customHeight="1" x14ac:dyDescent="0.25">
      <c r="T59897" s="135"/>
      <c r="U59897" s="135"/>
    </row>
    <row r="59898" spans="20:21" ht="15" customHeight="1" x14ac:dyDescent="0.25">
      <c r="T59898" s="135"/>
      <c r="U59898" s="135"/>
    </row>
    <row r="59899" spans="20:21" ht="15" customHeight="1" x14ac:dyDescent="0.25">
      <c r="T59899" s="135"/>
      <c r="U59899" s="135"/>
    </row>
    <row r="59900" spans="20:21" ht="15" customHeight="1" x14ac:dyDescent="0.25">
      <c r="T59900" s="135"/>
      <c r="U59900" s="135"/>
    </row>
    <row r="59901" spans="20:21" ht="15" customHeight="1" x14ac:dyDescent="0.25">
      <c r="T59901" s="135"/>
      <c r="U59901" s="135"/>
    </row>
    <row r="59902" spans="20:21" ht="15" customHeight="1" x14ac:dyDescent="0.25">
      <c r="T59902" s="135"/>
      <c r="U59902" s="135"/>
    </row>
    <row r="59903" spans="20:21" ht="15" customHeight="1" x14ac:dyDescent="0.25">
      <c r="T59903" s="135"/>
      <c r="U59903" s="135"/>
    </row>
    <row r="59904" spans="20:21" ht="15" customHeight="1" x14ac:dyDescent="0.25">
      <c r="T59904" s="135"/>
      <c r="U59904" s="135"/>
    </row>
    <row r="59905" spans="20:21" ht="15" customHeight="1" x14ac:dyDescent="0.25">
      <c r="T59905" s="135"/>
      <c r="U59905" s="135"/>
    </row>
    <row r="59906" spans="20:21" ht="15" customHeight="1" x14ac:dyDescent="0.25">
      <c r="T59906" s="135"/>
      <c r="U59906" s="135"/>
    </row>
    <row r="59907" spans="20:21" ht="15" customHeight="1" x14ac:dyDescent="0.25">
      <c r="T59907" s="135"/>
      <c r="U59907" s="135"/>
    </row>
    <row r="59908" spans="20:21" ht="15" customHeight="1" x14ac:dyDescent="0.25">
      <c r="T59908" s="135"/>
      <c r="U59908" s="135"/>
    </row>
    <row r="59909" spans="20:21" ht="15" customHeight="1" x14ac:dyDescent="0.25">
      <c r="T59909" s="135"/>
      <c r="U59909" s="135"/>
    </row>
    <row r="59910" spans="20:21" ht="15" customHeight="1" x14ac:dyDescent="0.25">
      <c r="T59910" s="135"/>
      <c r="U59910" s="135"/>
    </row>
    <row r="59911" spans="20:21" ht="15" customHeight="1" x14ac:dyDescent="0.25">
      <c r="T59911" s="135"/>
      <c r="U59911" s="135"/>
    </row>
    <row r="59912" spans="20:21" ht="15" customHeight="1" x14ac:dyDescent="0.25">
      <c r="T59912" s="135"/>
      <c r="U59912" s="135"/>
    </row>
    <row r="59913" spans="20:21" ht="15" customHeight="1" x14ac:dyDescent="0.25">
      <c r="T59913" s="135"/>
      <c r="U59913" s="135"/>
    </row>
    <row r="59914" spans="20:21" ht="15" customHeight="1" x14ac:dyDescent="0.25">
      <c r="T59914" s="135"/>
      <c r="U59914" s="135"/>
    </row>
    <row r="59915" spans="20:21" ht="15" customHeight="1" x14ac:dyDescent="0.25">
      <c r="T59915" s="135"/>
      <c r="U59915" s="135"/>
    </row>
    <row r="59916" spans="20:21" ht="15" customHeight="1" x14ac:dyDescent="0.25">
      <c r="T59916" s="135"/>
      <c r="U59916" s="135"/>
    </row>
    <row r="59917" spans="20:21" ht="15" customHeight="1" x14ac:dyDescent="0.25">
      <c r="T59917" s="135"/>
      <c r="U59917" s="135"/>
    </row>
    <row r="59918" spans="20:21" ht="15" customHeight="1" x14ac:dyDescent="0.25">
      <c r="T59918" s="135"/>
      <c r="U59918" s="135"/>
    </row>
    <row r="59919" spans="20:21" ht="15" customHeight="1" x14ac:dyDescent="0.25">
      <c r="T59919" s="135"/>
      <c r="U59919" s="135"/>
    </row>
    <row r="59920" spans="20:21" ht="15" customHeight="1" x14ac:dyDescent="0.25">
      <c r="T59920" s="135"/>
      <c r="U59920" s="135"/>
    </row>
    <row r="59921" spans="20:21" ht="15" customHeight="1" x14ac:dyDescent="0.25">
      <c r="T59921" s="135"/>
      <c r="U59921" s="135"/>
    </row>
    <row r="59922" spans="20:21" ht="15" customHeight="1" x14ac:dyDescent="0.25">
      <c r="T59922" s="135"/>
      <c r="U59922" s="135"/>
    </row>
    <row r="59923" spans="20:21" ht="15" customHeight="1" x14ac:dyDescent="0.25">
      <c r="T59923" s="135"/>
      <c r="U59923" s="135"/>
    </row>
    <row r="59924" spans="20:21" ht="15" customHeight="1" x14ac:dyDescent="0.25">
      <c r="T59924" s="135"/>
      <c r="U59924" s="135"/>
    </row>
    <row r="59925" spans="20:21" ht="15" customHeight="1" x14ac:dyDescent="0.25">
      <c r="T59925" s="135"/>
      <c r="U59925" s="135"/>
    </row>
    <row r="59926" spans="20:21" ht="15" customHeight="1" x14ac:dyDescent="0.25">
      <c r="T59926" s="135"/>
      <c r="U59926" s="135"/>
    </row>
    <row r="59927" spans="20:21" ht="15" customHeight="1" x14ac:dyDescent="0.25">
      <c r="T59927" s="135"/>
      <c r="U59927" s="135"/>
    </row>
    <row r="59928" spans="20:21" ht="15" customHeight="1" x14ac:dyDescent="0.25">
      <c r="T59928" s="135"/>
      <c r="U59928" s="135"/>
    </row>
    <row r="59929" spans="20:21" ht="15" customHeight="1" x14ac:dyDescent="0.25">
      <c r="T59929" s="135"/>
      <c r="U59929" s="135"/>
    </row>
    <row r="59930" spans="20:21" ht="15" customHeight="1" x14ac:dyDescent="0.25">
      <c r="T59930" s="135"/>
      <c r="U59930" s="135"/>
    </row>
    <row r="59931" spans="20:21" ht="15" customHeight="1" x14ac:dyDescent="0.25">
      <c r="T59931" s="135"/>
      <c r="U59931" s="135"/>
    </row>
    <row r="59932" spans="20:21" ht="15" customHeight="1" x14ac:dyDescent="0.25">
      <c r="T59932" s="135"/>
      <c r="U59932" s="135"/>
    </row>
    <row r="59933" spans="20:21" ht="15" customHeight="1" x14ac:dyDescent="0.25">
      <c r="T59933" s="135"/>
      <c r="U59933" s="135"/>
    </row>
    <row r="59934" spans="20:21" ht="15" customHeight="1" x14ac:dyDescent="0.25">
      <c r="T59934" s="135"/>
      <c r="U59934" s="135"/>
    </row>
    <row r="59935" spans="20:21" ht="15" customHeight="1" x14ac:dyDescent="0.25">
      <c r="T59935" s="135"/>
      <c r="U59935" s="135"/>
    </row>
    <row r="59936" spans="20:21" ht="15" customHeight="1" x14ac:dyDescent="0.25">
      <c r="T59936" s="135"/>
      <c r="U59936" s="135"/>
    </row>
    <row r="59937" spans="20:21" ht="15" customHeight="1" x14ac:dyDescent="0.25">
      <c r="T59937" s="135"/>
      <c r="U59937" s="135"/>
    </row>
    <row r="59938" spans="20:21" ht="15" customHeight="1" x14ac:dyDescent="0.25">
      <c r="T59938" s="135"/>
      <c r="U59938" s="135"/>
    </row>
    <row r="59939" spans="20:21" ht="15" customHeight="1" x14ac:dyDescent="0.25">
      <c r="T59939" s="135"/>
      <c r="U59939" s="135"/>
    </row>
    <row r="59940" spans="20:21" ht="15" customHeight="1" x14ac:dyDescent="0.25">
      <c r="T59940" s="135"/>
      <c r="U59940" s="135"/>
    </row>
    <row r="59941" spans="20:21" ht="15" customHeight="1" x14ac:dyDescent="0.25">
      <c r="T59941" s="135"/>
      <c r="U59941" s="135"/>
    </row>
    <row r="59942" spans="20:21" ht="15" customHeight="1" x14ac:dyDescent="0.25">
      <c r="T59942" s="135"/>
      <c r="U59942" s="135"/>
    </row>
    <row r="59943" spans="20:21" ht="15" customHeight="1" x14ac:dyDescent="0.25">
      <c r="T59943" s="135"/>
      <c r="U59943" s="135"/>
    </row>
    <row r="59944" spans="20:21" ht="15" customHeight="1" x14ac:dyDescent="0.25">
      <c r="T59944" s="135"/>
      <c r="U59944" s="135"/>
    </row>
    <row r="59945" spans="20:21" ht="15" customHeight="1" x14ac:dyDescent="0.25">
      <c r="T59945" s="135"/>
      <c r="U59945" s="135"/>
    </row>
    <row r="59946" spans="20:21" ht="15" customHeight="1" x14ac:dyDescent="0.25">
      <c r="T59946" s="135"/>
      <c r="U59946" s="135"/>
    </row>
    <row r="59947" spans="20:21" ht="15" customHeight="1" x14ac:dyDescent="0.25">
      <c r="T59947" s="135"/>
      <c r="U59947" s="135"/>
    </row>
    <row r="59948" spans="20:21" ht="15" customHeight="1" x14ac:dyDescent="0.25">
      <c r="T59948" s="135"/>
      <c r="U59948" s="135"/>
    </row>
    <row r="59949" spans="20:21" ht="15" customHeight="1" x14ac:dyDescent="0.25">
      <c r="T59949" s="135"/>
      <c r="U59949" s="135"/>
    </row>
    <row r="59950" spans="20:21" ht="15" customHeight="1" x14ac:dyDescent="0.25">
      <c r="T59950" s="135"/>
      <c r="U59950" s="135"/>
    </row>
    <row r="59951" spans="20:21" ht="15" customHeight="1" x14ac:dyDescent="0.25">
      <c r="T59951" s="135"/>
      <c r="U59951" s="135"/>
    </row>
    <row r="59952" spans="20:21" ht="15" customHeight="1" x14ac:dyDescent="0.25">
      <c r="T59952" s="135"/>
      <c r="U59952" s="135"/>
    </row>
    <row r="59953" spans="20:21" ht="15" customHeight="1" x14ac:dyDescent="0.25">
      <c r="T59953" s="135"/>
      <c r="U59953" s="135"/>
    </row>
    <row r="59954" spans="20:21" ht="15" customHeight="1" x14ac:dyDescent="0.25">
      <c r="T59954" s="135"/>
      <c r="U59954" s="135"/>
    </row>
    <row r="59955" spans="20:21" ht="15" customHeight="1" x14ac:dyDescent="0.25">
      <c r="T59955" s="135"/>
      <c r="U59955" s="135"/>
    </row>
    <row r="59956" spans="20:21" ht="15" customHeight="1" x14ac:dyDescent="0.25">
      <c r="T59956" s="135"/>
      <c r="U59956" s="135"/>
    </row>
    <row r="59957" spans="20:21" ht="15" customHeight="1" x14ac:dyDescent="0.25">
      <c r="T59957" s="135"/>
      <c r="U59957" s="135"/>
    </row>
    <row r="59958" spans="20:21" ht="15" customHeight="1" x14ac:dyDescent="0.25">
      <c r="T59958" s="135"/>
      <c r="U59958" s="135"/>
    </row>
    <row r="59959" spans="20:21" ht="15" customHeight="1" x14ac:dyDescent="0.25">
      <c r="T59959" s="135"/>
      <c r="U59959" s="135"/>
    </row>
    <row r="59960" spans="20:21" ht="15" customHeight="1" x14ac:dyDescent="0.25">
      <c r="T59960" s="135"/>
      <c r="U59960" s="135"/>
    </row>
    <row r="59961" spans="20:21" ht="15" customHeight="1" x14ac:dyDescent="0.25">
      <c r="T59961" s="135"/>
      <c r="U59961" s="135"/>
    </row>
    <row r="59962" spans="20:21" ht="15" customHeight="1" x14ac:dyDescent="0.25">
      <c r="T59962" s="135"/>
      <c r="U59962" s="135"/>
    </row>
    <row r="59963" spans="20:21" ht="15" customHeight="1" x14ac:dyDescent="0.25">
      <c r="T59963" s="135"/>
      <c r="U59963" s="135"/>
    </row>
    <row r="59964" spans="20:21" ht="15" customHeight="1" x14ac:dyDescent="0.25">
      <c r="T59964" s="135"/>
      <c r="U59964" s="135"/>
    </row>
    <row r="59965" spans="20:21" ht="15" customHeight="1" x14ac:dyDescent="0.25">
      <c r="T59965" s="135"/>
      <c r="U59965" s="135"/>
    </row>
    <row r="59966" spans="20:21" ht="15" customHeight="1" x14ac:dyDescent="0.25">
      <c r="T59966" s="135"/>
      <c r="U59966" s="135"/>
    </row>
    <row r="59967" spans="20:21" ht="15" customHeight="1" x14ac:dyDescent="0.25">
      <c r="T59967" s="135"/>
      <c r="U59967" s="135"/>
    </row>
    <row r="59968" spans="20:21" ht="15" customHeight="1" x14ac:dyDescent="0.25">
      <c r="T59968" s="135"/>
      <c r="U59968" s="135"/>
    </row>
    <row r="59969" spans="20:21" ht="15" customHeight="1" x14ac:dyDescent="0.25">
      <c r="T59969" s="135"/>
      <c r="U59969" s="135"/>
    </row>
    <row r="59970" spans="20:21" ht="15" customHeight="1" x14ac:dyDescent="0.25">
      <c r="T59970" s="135"/>
      <c r="U59970" s="135"/>
    </row>
    <row r="59971" spans="20:21" ht="15" customHeight="1" x14ac:dyDescent="0.25">
      <c r="T59971" s="135"/>
      <c r="U59971" s="135"/>
    </row>
    <row r="59972" spans="20:21" ht="15" customHeight="1" x14ac:dyDescent="0.25">
      <c r="T59972" s="135"/>
      <c r="U59972" s="135"/>
    </row>
    <row r="59973" spans="20:21" ht="15" customHeight="1" x14ac:dyDescent="0.25">
      <c r="T59973" s="135"/>
      <c r="U59973" s="135"/>
    </row>
    <row r="59974" spans="20:21" ht="15" customHeight="1" x14ac:dyDescent="0.25">
      <c r="T59974" s="135"/>
      <c r="U59974" s="135"/>
    </row>
    <row r="59975" spans="20:21" ht="15" customHeight="1" x14ac:dyDescent="0.25">
      <c r="T59975" s="135"/>
      <c r="U59975" s="135"/>
    </row>
    <row r="59976" spans="20:21" ht="15" customHeight="1" x14ac:dyDescent="0.25">
      <c r="T59976" s="135"/>
      <c r="U59976" s="135"/>
    </row>
    <row r="59977" spans="20:21" ht="15" customHeight="1" x14ac:dyDescent="0.25">
      <c r="T59977" s="135"/>
      <c r="U59977" s="135"/>
    </row>
    <row r="59978" spans="20:21" ht="15" customHeight="1" x14ac:dyDescent="0.25">
      <c r="T59978" s="135"/>
      <c r="U59978" s="135"/>
    </row>
    <row r="59979" spans="20:21" ht="15" customHeight="1" x14ac:dyDescent="0.25">
      <c r="T59979" s="135"/>
      <c r="U59979" s="135"/>
    </row>
    <row r="59980" spans="20:21" ht="15" customHeight="1" x14ac:dyDescent="0.25">
      <c r="T59980" s="135"/>
      <c r="U59980" s="135"/>
    </row>
    <row r="59981" spans="20:21" ht="15" customHeight="1" x14ac:dyDescent="0.25">
      <c r="T59981" s="135"/>
      <c r="U59981" s="135"/>
    </row>
    <row r="59982" spans="20:21" ht="15" customHeight="1" x14ac:dyDescent="0.25">
      <c r="T59982" s="135"/>
      <c r="U59982" s="135"/>
    </row>
    <row r="59983" spans="20:21" ht="15" customHeight="1" x14ac:dyDescent="0.25">
      <c r="T59983" s="135"/>
      <c r="U59983" s="135"/>
    </row>
    <row r="59984" spans="20:21" ht="15" customHeight="1" x14ac:dyDescent="0.25">
      <c r="T59984" s="135"/>
      <c r="U59984" s="135"/>
    </row>
    <row r="59985" spans="20:21" ht="15" customHeight="1" x14ac:dyDescent="0.25">
      <c r="T59985" s="135"/>
      <c r="U59985" s="135"/>
    </row>
    <row r="59986" spans="20:21" ht="15" customHeight="1" x14ac:dyDescent="0.25">
      <c r="T59986" s="135"/>
      <c r="U59986" s="135"/>
    </row>
    <row r="59987" spans="20:21" ht="15" customHeight="1" x14ac:dyDescent="0.25">
      <c r="T59987" s="135"/>
      <c r="U59987" s="135"/>
    </row>
    <row r="59988" spans="20:21" ht="15" customHeight="1" x14ac:dyDescent="0.25">
      <c r="T59988" s="135"/>
      <c r="U59988" s="135"/>
    </row>
    <row r="59989" spans="20:21" ht="15" customHeight="1" x14ac:dyDescent="0.25">
      <c r="T59989" s="135"/>
      <c r="U59989" s="135"/>
    </row>
    <row r="59990" spans="20:21" ht="15" customHeight="1" x14ac:dyDescent="0.25">
      <c r="T59990" s="135"/>
      <c r="U59990" s="135"/>
    </row>
    <row r="59991" spans="20:21" ht="15" customHeight="1" x14ac:dyDescent="0.25">
      <c r="T59991" s="135"/>
      <c r="U59991" s="135"/>
    </row>
    <row r="59992" spans="20:21" ht="15" customHeight="1" x14ac:dyDescent="0.25">
      <c r="T59992" s="135"/>
      <c r="U59992" s="135"/>
    </row>
    <row r="59993" spans="20:21" ht="15" customHeight="1" x14ac:dyDescent="0.25">
      <c r="T59993" s="135"/>
      <c r="U59993" s="135"/>
    </row>
    <row r="59994" spans="20:21" ht="15" customHeight="1" x14ac:dyDescent="0.25">
      <c r="T59994" s="135"/>
      <c r="U59994" s="135"/>
    </row>
    <row r="59995" spans="20:21" ht="15" customHeight="1" x14ac:dyDescent="0.25">
      <c r="T59995" s="135"/>
      <c r="U59995" s="135"/>
    </row>
    <row r="59996" spans="20:21" ht="15" customHeight="1" x14ac:dyDescent="0.25">
      <c r="T59996" s="135"/>
      <c r="U59996" s="135"/>
    </row>
    <row r="59997" spans="20:21" ht="15" customHeight="1" x14ac:dyDescent="0.25">
      <c r="T59997" s="135"/>
      <c r="U59997" s="135"/>
    </row>
    <row r="59998" spans="20:21" ht="15" customHeight="1" x14ac:dyDescent="0.25">
      <c r="T59998" s="135"/>
      <c r="U59998" s="135"/>
    </row>
    <row r="59999" spans="20:21" ht="15" customHeight="1" x14ac:dyDescent="0.25">
      <c r="T59999" s="135"/>
      <c r="U59999" s="135"/>
    </row>
    <row r="60000" spans="20:21" ht="15" customHeight="1" x14ac:dyDescent="0.25">
      <c r="T60000" s="135"/>
      <c r="U60000" s="135"/>
    </row>
    <row r="60001" spans="20:21" ht="15" customHeight="1" x14ac:dyDescent="0.25">
      <c r="T60001" s="135"/>
      <c r="U60001" s="135"/>
    </row>
    <row r="60002" spans="20:21" ht="15" customHeight="1" x14ac:dyDescent="0.25">
      <c r="T60002" s="135"/>
      <c r="U60002" s="135"/>
    </row>
    <row r="60003" spans="20:21" ht="15" customHeight="1" x14ac:dyDescent="0.25">
      <c r="T60003" s="135"/>
      <c r="U60003" s="135"/>
    </row>
    <row r="60004" spans="20:21" ht="15" customHeight="1" x14ac:dyDescent="0.25">
      <c r="T60004" s="135"/>
      <c r="U60004" s="135"/>
    </row>
    <row r="60005" spans="20:21" ht="15" customHeight="1" x14ac:dyDescent="0.25">
      <c r="T60005" s="135"/>
      <c r="U60005" s="135"/>
    </row>
    <row r="60006" spans="20:21" ht="15" customHeight="1" x14ac:dyDescent="0.25">
      <c r="T60006" s="135"/>
      <c r="U60006" s="135"/>
    </row>
    <row r="60007" spans="20:21" ht="15" customHeight="1" x14ac:dyDescent="0.25">
      <c r="T60007" s="135"/>
      <c r="U60007" s="135"/>
    </row>
    <row r="60008" spans="20:21" ht="15" customHeight="1" x14ac:dyDescent="0.25">
      <c r="T60008" s="135"/>
      <c r="U60008" s="135"/>
    </row>
    <row r="60009" spans="20:21" ht="15" customHeight="1" x14ac:dyDescent="0.25">
      <c r="T60009" s="135"/>
      <c r="U60009" s="135"/>
    </row>
    <row r="60010" spans="20:21" ht="15" customHeight="1" x14ac:dyDescent="0.25">
      <c r="T60010" s="135"/>
      <c r="U60010" s="135"/>
    </row>
    <row r="60011" spans="20:21" ht="15" customHeight="1" x14ac:dyDescent="0.25">
      <c r="T60011" s="135"/>
      <c r="U60011" s="135"/>
    </row>
    <row r="60012" spans="20:21" ht="15" customHeight="1" x14ac:dyDescent="0.25">
      <c r="T60012" s="135"/>
      <c r="U60012" s="135"/>
    </row>
    <row r="60013" spans="20:21" ht="15" customHeight="1" x14ac:dyDescent="0.25">
      <c r="T60013" s="135"/>
      <c r="U60013" s="135"/>
    </row>
    <row r="60014" spans="20:21" ht="15" customHeight="1" x14ac:dyDescent="0.25">
      <c r="T60014" s="135"/>
      <c r="U60014" s="135"/>
    </row>
    <row r="60015" spans="20:21" ht="15" customHeight="1" x14ac:dyDescent="0.25">
      <c r="T60015" s="135"/>
      <c r="U60015" s="135"/>
    </row>
    <row r="60016" spans="20:21" ht="15" customHeight="1" x14ac:dyDescent="0.25">
      <c r="T60016" s="135"/>
      <c r="U60016" s="135"/>
    </row>
    <row r="60017" spans="20:21" ht="15" customHeight="1" x14ac:dyDescent="0.25">
      <c r="T60017" s="135"/>
      <c r="U60017" s="135"/>
    </row>
    <row r="60018" spans="20:21" ht="15" customHeight="1" x14ac:dyDescent="0.25">
      <c r="T60018" s="135"/>
      <c r="U60018" s="135"/>
    </row>
    <row r="60019" spans="20:21" ht="15" customHeight="1" x14ac:dyDescent="0.25">
      <c r="T60019" s="135"/>
      <c r="U60019" s="135"/>
    </row>
    <row r="60020" spans="20:21" ht="15" customHeight="1" x14ac:dyDescent="0.25">
      <c r="T60020" s="135"/>
      <c r="U60020" s="135"/>
    </row>
    <row r="60021" spans="20:21" ht="15" customHeight="1" x14ac:dyDescent="0.25">
      <c r="T60021" s="135"/>
      <c r="U60021" s="135"/>
    </row>
    <row r="60022" spans="20:21" ht="15" customHeight="1" x14ac:dyDescent="0.25">
      <c r="T60022" s="135"/>
      <c r="U60022" s="135"/>
    </row>
    <row r="60023" spans="20:21" ht="15" customHeight="1" x14ac:dyDescent="0.25">
      <c r="T60023" s="135"/>
      <c r="U60023" s="135"/>
    </row>
    <row r="60024" spans="20:21" ht="15" customHeight="1" x14ac:dyDescent="0.25">
      <c r="T60024" s="135"/>
      <c r="U60024" s="135"/>
    </row>
    <row r="60025" spans="20:21" ht="15" customHeight="1" x14ac:dyDescent="0.25">
      <c r="T60025" s="135"/>
      <c r="U60025" s="135"/>
    </row>
    <row r="60026" spans="20:21" ht="15" customHeight="1" x14ac:dyDescent="0.25">
      <c r="T60026" s="135"/>
      <c r="U60026" s="135"/>
    </row>
    <row r="60027" spans="20:21" ht="15" customHeight="1" x14ac:dyDescent="0.25">
      <c r="T60027" s="135"/>
      <c r="U60027" s="135"/>
    </row>
    <row r="60028" spans="20:21" ht="15" customHeight="1" x14ac:dyDescent="0.25">
      <c r="T60028" s="135"/>
      <c r="U60028" s="135"/>
    </row>
    <row r="60029" spans="20:21" ht="15" customHeight="1" x14ac:dyDescent="0.25">
      <c r="T60029" s="135"/>
      <c r="U60029" s="135"/>
    </row>
    <row r="60030" spans="20:21" ht="15" customHeight="1" x14ac:dyDescent="0.25">
      <c r="T60030" s="135"/>
      <c r="U60030" s="135"/>
    </row>
    <row r="60031" spans="20:21" ht="15" customHeight="1" x14ac:dyDescent="0.25">
      <c r="T60031" s="135"/>
      <c r="U60031" s="135"/>
    </row>
    <row r="60032" spans="20:21" ht="15" customHeight="1" x14ac:dyDescent="0.25">
      <c r="T60032" s="135"/>
      <c r="U60032" s="135"/>
    </row>
    <row r="60033" spans="20:21" ht="15" customHeight="1" x14ac:dyDescent="0.25">
      <c r="T60033" s="135"/>
      <c r="U60033" s="135"/>
    </row>
    <row r="60034" spans="20:21" ht="15" customHeight="1" x14ac:dyDescent="0.25">
      <c r="T60034" s="135"/>
      <c r="U60034" s="135"/>
    </row>
    <row r="60035" spans="20:21" ht="15" customHeight="1" x14ac:dyDescent="0.25">
      <c r="T60035" s="135"/>
      <c r="U60035" s="135"/>
    </row>
    <row r="60036" spans="20:21" ht="15" customHeight="1" x14ac:dyDescent="0.25">
      <c r="T60036" s="135"/>
      <c r="U60036" s="135"/>
    </row>
    <row r="60037" spans="20:21" ht="15" customHeight="1" x14ac:dyDescent="0.25">
      <c r="T60037" s="135"/>
      <c r="U60037" s="135"/>
    </row>
    <row r="60038" spans="20:21" ht="15" customHeight="1" x14ac:dyDescent="0.25">
      <c r="T60038" s="135"/>
      <c r="U60038" s="135"/>
    </row>
    <row r="60039" spans="20:21" ht="15" customHeight="1" x14ac:dyDescent="0.25">
      <c r="T60039" s="135"/>
      <c r="U60039" s="135"/>
    </row>
    <row r="60040" spans="20:21" ht="15" customHeight="1" x14ac:dyDescent="0.25">
      <c r="T60040" s="135"/>
      <c r="U60040" s="135"/>
    </row>
    <row r="60041" spans="20:21" ht="15" customHeight="1" x14ac:dyDescent="0.25">
      <c r="T60041" s="135"/>
      <c r="U60041" s="135"/>
    </row>
    <row r="60042" spans="20:21" ht="15" customHeight="1" x14ac:dyDescent="0.25">
      <c r="T60042" s="135"/>
      <c r="U60042" s="135"/>
    </row>
    <row r="60043" spans="20:21" ht="15" customHeight="1" x14ac:dyDescent="0.25">
      <c r="T60043" s="135"/>
      <c r="U60043" s="135"/>
    </row>
    <row r="60044" spans="20:21" ht="15" customHeight="1" x14ac:dyDescent="0.25">
      <c r="T60044" s="135"/>
      <c r="U60044" s="135"/>
    </row>
    <row r="60045" spans="20:21" ht="15" customHeight="1" x14ac:dyDescent="0.25">
      <c r="T60045" s="135"/>
      <c r="U60045" s="135"/>
    </row>
    <row r="60046" spans="20:21" ht="15" customHeight="1" x14ac:dyDescent="0.25">
      <c r="T60046" s="135"/>
      <c r="U60046" s="135"/>
    </row>
    <row r="60047" spans="20:21" ht="15" customHeight="1" x14ac:dyDescent="0.25">
      <c r="T60047" s="135"/>
      <c r="U60047" s="135"/>
    </row>
    <row r="60048" spans="20:21" ht="15" customHeight="1" x14ac:dyDescent="0.25">
      <c r="T60048" s="135"/>
      <c r="U60048" s="135"/>
    </row>
    <row r="60049" spans="20:21" ht="15" customHeight="1" x14ac:dyDescent="0.25">
      <c r="T60049" s="135"/>
      <c r="U60049" s="135"/>
    </row>
    <row r="60050" spans="20:21" ht="15" customHeight="1" x14ac:dyDescent="0.25">
      <c r="T60050" s="135"/>
      <c r="U60050" s="135"/>
    </row>
    <row r="60051" spans="20:21" ht="15" customHeight="1" x14ac:dyDescent="0.25">
      <c r="T60051" s="135"/>
      <c r="U60051" s="135"/>
    </row>
    <row r="60052" spans="20:21" ht="15" customHeight="1" x14ac:dyDescent="0.25">
      <c r="T60052" s="135"/>
      <c r="U60052" s="135"/>
    </row>
    <row r="60053" spans="20:21" ht="15" customHeight="1" x14ac:dyDescent="0.25">
      <c r="T60053" s="135"/>
      <c r="U60053" s="135"/>
    </row>
    <row r="60054" spans="20:21" ht="15" customHeight="1" x14ac:dyDescent="0.25">
      <c r="T60054" s="135"/>
      <c r="U60054" s="135"/>
    </row>
    <row r="60055" spans="20:21" ht="15" customHeight="1" x14ac:dyDescent="0.25">
      <c r="T60055" s="135"/>
      <c r="U60055" s="135"/>
    </row>
    <row r="60056" spans="20:21" ht="15" customHeight="1" x14ac:dyDescent="0.25">
      <c r="T60056" s="135"/>
      <c r="U60056" s="135"/>
    </row>
    <row r="60057" spans="20:21" ht="15" customHeight="1" x14ac:dyDescent="0.25">
      <c r="T60057" s="135"/>
      <c r="U60057" s="135"/>
    </row>
    <row r="60058" spans="20:21" ht="15" customHeight="1" x14ac:dyDescent="0.25">
      <c r="T60058" s="135"/>
      <c r="U60058" s="135"/>
    </row>
    <row r="60059" spans="20:21" ht="15" customHeight="1" x14ac:dyDescent="0.25">
      <c r="T60059" s="135"/>
      <c r="U60059" s="135"/>
    </row>
    <row r="60060" spans="20:21" ht="15" customHeight="1" x14ac:dyDescent="0.25">
      <c r="T60060" s="135"/>
      <c r="U60060" s="135"/>
    </row>
    <row r="60061" spans="20:21" ht="15" customHeight="1" x14ac:dyDescent="0.25">
      <c r="T60061" s="135"/>
      <c r="U60061" s="135"/>
    </row>
    <row r="60062" spans="20:21" ht="15" customHeight="1" x14ac:dyDescent="0.25">
      <c r="T60062" s="135"/>
      <c r="U60062" s="135"/>
    </row>
    <row r="60063" spans="20:21" ht="15" customHeight="1" x14ac:dyDescent="0.25">
      <c r="T60063" s="135"/>
      <c r="U60063" s="135"/>
    </row>
    <row r="60064" spans="20:21" ht="15" customHeight="1" x14ac:dyDescent="0.25">
      <c r="T60064" s="135"/>
      <c r="U60064" s="135"/>
    </row>
    <row r="60065" spans="20:21" ht="15" customHeight="1" x14ac:dyDescent="0.25">
      <c r="T60065" s="135"/>
      <c r="U60065" s="135"/>
    </row>
    <row r="60066" spans="20:21" ht="15" customHeight="1" x14ac:dyDescent="0.25">
      <c r="T60066" s="135"/>
      <c r="U60066" s="135"/>
    </row>
    <row r="60067" spans="20:21" ht="15" customHeight="1" x14ac:dyDescent="0.25">
      <c r="T60067" s="135"/>
      <c r="U60067" s="135"/>
    </row>
    <row r="60068" spans="20:21" ht="15" customHeight="1" x14ac:dyDescent="0.25">
      <c r="T60068" s="135"/>
      <c r="U60068" s="135"/>
    </row>
    <row r="60069" spans="20:21" ht="15" customHeight="1" x14ac:dyDescent="0.25">
      <c r="T60069" s="135"/>
      <c r="U60069" s="135"/>
    </row>
    <row r="60070" spans="20:21" ht="15" customHeight="1" x14ac:dyDescent="0.25">
      <c r="T60070" s="135"/>
      <c r="U60070" s="135"/>
    </row>
    <row r="60071" spans="20:21" ht="15" customHeight="1" x14ac:dyDescent="0.25">
      <c r="T60071" s="135"/>
      <c r="U60071" s="135"/>
    </row>
    <row r="60072" spans="20:21" ht="15" customHeight="1" x14ac:dyDescent="0.25">
      <c r="T60072" s="135"/>
      <c r="U60072" s="135"/>
    </row>
    <row r="60073" spans="20:21" ht="15" customHeight="1" x14ac:dyDescent="0.25">
      <c r="T60073" s="135"/>
      <c r="U60073" s="135"/>
    </row>
    <row r="60074" spans="20:21" ht="15" customHeight="1" x14ac:dyDescent="0.25">
      <c r="T60074" s="135"/>
      <c r="U60074" s="135"/>
    </row>
    <row r="60075" spans="20:21" ht="15" customHeight="1" x14ac:dyDescent="0.25">
      <c r="T60075" s="135"/>
      <c r="U60075" s="135"/>
    </row>
    <row r="60076" spans="20:21" ht="15" customHeight="1" x14ac:dyDescent="0.25">
      <c r="T60076" s="135"/>
      <c r="U60076" s="135"/>
    </row>
    <row r="60077" spans="20:21" ht="15" customHeight="1" x14ac:dyDescent="0.25">
      <c r="T60077" s="135"/>
      <c r="U60077" s="135"/>
    </row>
    <row r="60078" spans="20:21" ht="15" customHeight="1" x14ac:dyDescent="0.25">
      <c r="T60078" s="135"/>
      <c r="U60078" s="135"/>
    </row>
    <row r="60079" spans="20:21" ht="15" customHeight="1" x14ac:dyDescent="0.25">
      <c r="T60079" s="135"/>
      <c r="U60079" s="135"/>
    </row>
    <row r="60080" spans="20:21" ht="15" customHeight="1" x14ac:dyDescent="0.25">
      <c r="T60080" s="135"/>
      <c r="U60080" s="135"/>
    </row>
    <row r="60081" spans="20:21" ht="15" customHeight="1" x14ac:dyDescent="0.25">
      <c r="T60081" s="135"/>
      <c r="U60081" s="135"/>
    </row>
    <row r="60082" spans="20:21" ht="15" customHeight="1" x14ac:dyDescent="0.25">
      <c r="T60082" s="135"/>
      <c r="U60082" s="135"/>
    </row>
    <row r="60083" spans="20:21" ht="15" customHeight="1" x14ac:dyDescent="0.25">
      <c r="T60083" s="135"/>
      <c r="U60083" s="135"/>
    </row>
    <row r="60084" spans="20:21" ht="15" customHeight="1" x14ac:dyDescent="0.25">
      <c r="T60084" s="135"/>
      <c r="U60084" s="135"/>
    </row>
    <row r="60085" spans="20:21" ht="15" customHeight="1" x14ac:dyDescent="0.25">
      <c r="T60085" s="135"/>
      <c r="U60085" s="135"/>
    </row>
    <row r="60086" spans="20:21" ht="15" customHeight="1" x14ac:dyDescent="0.25">
      <c r="T60086" s="135"/>
      <c r="U60086" s="135"/>
    </row>
    <row r="60087" spans="20:21" ht="15" customHeight="1" x14ac:dyDescent="0.25">
      <c r="T60087" s="135"/>
      <c r="U60087" s="135"/>
    </row>
    <row r="60088" spans="20:21" ht="15" customHeight="1" x14ac:dyDescent="0.25">
      <c r="T60088" s="135"/>
      <c r="U60088" s="135"/>
    </row>
    <row r="60089" spans="20:21" ht="15" customHeight="1" x14ac:dyDescent="0.25">
      <c r="T60089" s="135"/>
      <c r="U60089" s="135"/>
    </row>
    <row r="60090" spans="20:21" ht="15" customHeight="1" x14ac:dyDescent="0.25">
      <c r="T60090" s="135"/>
      <c r="U60090" s="135"/>
    </row>
    <row r="60091" spans="20:21" ht="15" customHeight="1" x14ac:dyDescent="0.25">
      <c r="T60091" s="135"/>
      <c r="U60091" s="135"/>
    </row>
    <row r="60092" spans="20:21" ht="15" customHeight="1" x14ac:dyDescent="0.25">
      <c r="T60092" s="135"/>
      <c r="U60092" s="135"/>
    </row>
    <row r="60093" spans="20:21" ht="15" customHeight="1" x14ac:dyDescent="0.25">
      <c r="T60093" s="135"/>
      <c r="U60093" s="135"/>
    </row>
    <row r="60094" spans="20:21" ht="15" customHeight="1" x14ac:dyDescent="0.25">
      <c r="T60094" s="135"/>
      <c r="U60094" s="135"/>
    </row>
    <row r="60095" spans="20:21" ht="15" customHeight="1" x14ac:dyDescent="0.25">
      <c r="T60095" s="135"/>
      <c r="U60095" s="135"/>
    </row>
    <row r="60096" spans="20:21" ht="15" customHeight="1" x14ac:dyDescent="0.25">
      <c r="T60096" s="135"/>
      <c r="U60096" s="135"/>
    </row>
    <row r="60097" spans="20:21" ht="15" customHeight="1" x14ac:dyDescent="0.25">
      <c r="T60097" s="135"/>
      <c r="U60097" s="135"/>
    </row>
    <row r="60098" spans="20:21" ht="15" customHeight="1" x14ac:dyDescent="0.25">
      <c r="T60098" s="135"/>
      <c r="U60098" s="135"/>
    </row>
    <row r="60099" spans="20:21" ht="15" customHeight="1" x14ac:dyDescent="0.25">
      <c r="T60099" s="135"/>
      <c r="U60099" s="135"/>
    </row>
    <row r="60100" spans="20:21" ht="15" customHeight="1" x14ac:dyDescent="0.25">
      <c r="T60100" s="135"/>
      <c r="U60100" s="135"/>
    </row>
    <row r="60101" spans="20:21" ht="15" customHeight="1" x14ac:dyDescent="0.25">
      <c r="T60101" s="135"/>
      <c r="U60101" s="135"/>
    </row>
    <row r="60102" spans="20:21" ht="15" customHeight="1" x14ac:dyDescent="0.25">
      <c r="T60102" s="135"/>
      <c r="U60102" s="135"/>
    </row>
    <row r="60103" spans="20:21" ht="15" customHeight="1" x14ac:dyDescent="0.25">
      <c r="T60103" s="135"/>
      <c r="U60103" s="135"/>
    </row>
    <row r="60104" spans="20:21" ht="15" customHeight="1" x14ac:dyDescent="0.25">
      <c r="T60104" s="135"/>
      <c r="U60104" s="135"/>
    </row>
    <row r="60105" spans="20:21" ht="15" customHeight="1" x14ac:dyDescent="0.25">
      <c r="T60105" s="135"/>
      <c r="U60105" s="135"/>
    </row>
    <row r="60106" spans="20:21" ht="15" customHeight="1" x14ac:dyDescent="0.25">
      <c r="T60106" s="135"/>
      <c r="U60106" s="135"/>
    </row>
    <row r="60107" spans="20:21" ht="15" customHeight="1" x14ac:dyDescent="0.25">
      <c r="T60107" s="135"/>
      <c r="U60107" s="135"/>
    </row>
    <row r="60108" spans="20:21" ht="15" customHeight="1" x14ac:dyDescent="0.25">
      <c r="T60108" s="135"/>
      <c r="U60108" s="135"/>
    </row>
    <row r="60109" spans="20:21" ht="15" customHeight="1" x14ac:dyDescent="0.25">
      <c r="T60109" s="135"/>
      <c r="U60109" s="135"/>
    </row>
    <row r="60110" spans="20:21" ht="15" customHeight="1" x14ac:dyDescent="0.25">
      <c r="T60110" s="135"/>
      <c r="U60110" s="135"/>
    </row>
    <row r="60111" spans="20:21" ht="15" customHeight="1" x14ac:dyDescent="0.25">
      <c r="T60111" s="135"/>
      <c r="U60111" s="135"/>
    </row>
    <row r="60112" spans="20:21" ht="15" customHeight="1" x14ac:dyDescent="0.25">
      <c r="T60112" s="135"/>
      <c r="U60112" s="135"/>
    </row>
    <row r="60113" spans="20:21" ht="15" customHeight="1" x14ac:dyDescent="0.25">
      <c r="T60113" s="135"/>
      <c r="U60113" s="135"/>
    </row>
    <row r="60114" spans="20:21" ht="15" customHeight="1" x14ac:dyDescent="0.25">
      <c r="T60114" s="135"/>
      <c r="U60114" s="135"/>
    </row>
    <row r="60115" spans="20:21" ht="15" customHeight="1" x14ac:dyDescent="0.25">
      <c r="T60115" s="135"/>
      <c r="U60115" s="135"/>
    </row>
    <row r="60116" spans="20:21" ht="15" customHeight="1" x14ac:dyDescent="0.25">
      <c r="T60116" s="135"/>
      <c r="U60116" s="135"/>
    </row>
    <row r="60117" spans="20:21" ht="15" customHeight="1" x14ac:dyDescent="0.25">
      <c r="T60117" s="135"/>
      <c r="U60117" s="135"/>
    </row>
    <row r="60118" spans="20:21" ht="15" customHeight="1" x14ac:dyDescent="0.25">
      <c r="T60118" s="135"/>
      <c r="U60118" s="135"/>
    </row>
    <row r="60119" spans="20:21" ht="15" customHeight="1" x14ac:dyDescent="0.25">
      <c r="T60119" s="135"/>
      <c r="U60119" s="135"/>
    </row>
    <row r="60120" spans="20:21" ht="15" customHeight="1" x14ac:dyDescent="0.25">
      <c r="T60120" s="135"/>
      <c r="U60120" s="135"/>
    </row>
    <row r="60121" spans="20:21" ht="15" customHeight="1" x14ac:dyDescent="0.25">
      <c r="T60121" s="135"/>
      <c r="U60121" s="135"/>
    </row>
    <row r="60122" spans="20:21" ht="15" customHeight="1" x14ac:dyDescent="0.25">
      <c r="T60122" s="135"/>
      <c r="U60122" s="135"/>
    </row>
    <row r="60123" spans="20:21" ht="15" customHeight="1" x14ac:dyDescent="0.25">
      <c r="T60123" s="135"/>
      <c r="U60123" s="135"/>
    </row>
    <row r="60124" spans="20:21" ht="15" customHeight="1" x14ac:dyDescent="0.25">
      <c r="T60124" s="135"/>
      <c r="U60124" s="135"/>
    </row>
    <row r="60125" spans="20:21" ht="15" customHeight="1" x14ac:dyDescent="0.25">
      <c r="T60125" s="135"/>
      <c r="U60125" s="135"/>
    </row>
    <row r="60126" spans="20:21" ht="15" customHeight="1" x14ac:dyDescent="0.25">
      <c r="T60126" s="135"/>
      <c r="U60126" s="135"/>
    </row>
    <row r="60127" spans="20:21" ht="15" customHeight="1" x14ac:dyDescent="0.25">
      <c r="T60127" s="135"/>
      <c r="U60127" s="135"/>
    </row>
    <row r="60128" spans="20:21" ht="15" customHeight="1" x14ac:dyDescent="0.25">
      <c r="T60128" s="135"/>
      <c r="U60128" s="135"/>
    </row>
    <row r="60129" spans="20:21" ht="15" customHeight="1" x14ac:dyDescent="0.25">
      <c r="T60129" s="135"/>
      <c r="U60129" s="135"/>
    </row>
    <row r="60130" spans="20:21" ht="15" customHeight="1" x14ac:dyDescent="0.25">
      <c r="T60130" s="135"/>
      <c r="U60130" s="135"/>
    </row>
    <row r="60131" spans="20:21" ht="15" customHeight="1" x14ac:dyDescent="0.25">
      <c r="T60131" s="135"/>
      <c r="U60131" s="135"/>
    </row>
    <row r="60132" spans="20:21" ht="15" customHeight="1" x14ac:dyDescent="0.25">
      <c r="T60132" s="135"/>
      <c r="U60132" s="135"/>
    </row>
    <row r="60133" spans="20:21" ht="15" customHeight="1" x14ac:dyDescent="0.25">
      <c r="T60133" s="135"/>
      <c r="U60133" s="135"/>
    </row>
    <row r="60134" spans="20:21" ht="15" customHeight="1" x14ac:dyDescent="0.25">
      <c r="T60134" s="135"/>
      <c r="U60134" s="135"/>
    </row>
    <row r="60135" spans="20:21" ht="15" customHeight="1" x14ac:dyDescent="0.25">
      <c r="T60135" s="135"/>
      <c r="U60135" s="135"/>
    </row>
    <row r="60136" spans="20:21" ht="15" customHeight="1" x14ac:dyDescent="0.25">
      <c r="T60136" s="135"/>
      <c r="U60136" s="135"/>
    </row>
    <row r="60137" spans="20:21" ht="15" customHeight="1" x14ac:dyDescent="0.25">
      <c r="T60137" s="135"/>
      <c r="U60137" s="135"/>
    </row>
    <row r="60138" spans="20:21" ht="15" customHeight="1" x14ac:dyDescent="0.25">
      <c r="T60138" s="135"/>
      <c r="U60138" s="135"/>
    </row>
    <row r="60139" spans="20:21" ht="15" customHeight="1" x14ac:dyDescent="0.25">
      <c r="T60139" s="135"/>
      <c r="U60139" s="135"/>
    </row>
    <row r="60140" spans="20:21" ht="15" customHeight="1" x14ac:dyDescent="0.25">
      <c r="T60140" s="135"/>
      <c r="U60140" s="135"/>
    </row>
    <row r="60141" spans="20:21" ht="15" customHeight="1" x14ac:dyDescent="0.25">
      <c r="T60141" s="135"/>
      <c r="U60141" s="135"/>
    </row>
    <row r="60142" spans="20:21" ht="15" customHeight="1" x14ac:dyDescent="0.25">
      <c r="T60142" s="135"/>
      <c r="U60142" s="135"/>
    </row>
    <row r="60143" spans="20:21" ht="15" customHeight="1" x14ac:dyDescent="0.25">
      <c r="T60143" s="135"/>
      <c r="U60143" s="135"/>
    </row>
    <row r="60144" spans="20:21" ht="15" customHeight="1" x14ac:dyDescent="0.25">
      <c r="T60144" s="135"/>
      <c r="U60144" s="135"/>
    </row>
    <row r="60145" spans="20:21" ht="15" customHeight="1" x14ac:dyDescent="0.25">
      <c r="T60145" s="135"/>
      <c r="U60145" s="135"/>
    </row>
    <row r="60146" spans="20:21" ht="15" customHeight="1" x14ac:dyDescent="0.25">
      <c r="T60146" s="135"/>
      <c r="U60146" s="135"/>
    </row>
    <row r="60147" spans="20:21" ht="15" customHeight="1" x14ac:dyDescent="0.25">
      <c r="T60147" s="135"/>
      <c r="U60147" s="135"/>
    </row>
    <row r="60148" spans="20:21" ht="15" customHeight="1" x14ac:dyDescent="0.25">
      <c r="T60148" s="135"/>
      <c r="U60148" s="135"/>
    </row>
    <row r="60149" spans="20:21" ht="15" customHeight="1" x14ac:dyDescent="0.25">
      <c r="T60149" s="135"/>
      <c r="U60149" s="135"/>
    </row>
    <row r="60150" spans="20:21" ht="15" customHeight="1" x14ac:dyDescent="0.25">
      <c r="T60150" s="135"/>
      <c r="U60150" s="135"/>
    </row>
    <row r="60151" spans="20:21" ht="15" customHeight="1" x14ac:dyDescent="0.25">
      <c r="T60151" s="135"/>
      <c r="U60151" s="135"/>
    </row>
    <row r="60152" spans="20:21" ht="15" customHeight="1" x14ac:dyDescent="0.25">
      <c r="T60152" s="135"/>
      <c r="U60152" s="135"/>
    </row>
    <row r="60153" spans="20:21" ht="15" customHeight="1" x14ac:dyDescent="0.25">
      <c r="T60153" s="135"/>
      <c r="U60153" s="135"/>
    </row>
    <row r="60154" spans="20:21" ht="15" customHeight="1" x14ac:dyDescent="0.25">
      <c r="T60154" s="135"/>
      <c r="U60154" s="135"/>
    </row>
    <row r="60155" spans="20:21" ht="15" customHeight="1" x14ac:dyDescent="0.25">
      <c r="T60155" s="135"/>
      <c r="U60155" s="135"/>
    </row>
    <row r="60156" spans="20:21" ht="15" customHeight="1" x14ac:dyDescent="0.25">
      <c r="T60156" s="135"/>
      <c r="U60156" s="135"/>
    </row>
    <row r="60157" spans="20:21" ht="15" customHeight="1" x14ac:dyDescent="0.25">
      <c r="T60157" s="135"/>
      <c r="U60157" s="135"/>
    </row>
    <row r="60158" spans="20:21" ht="15" customHeight="1" x14ac:dyDescent="0.25">
      <c r="T60158" s="135"/>
      <c r="U60158" s="135"/>
    </row>
    <row r="60159" spans="20:21" ht="15" customHeight="1" x14ac:dyDescent="0.25">
      <c r="T60159" s="135"/>
      <c r="U60159" s="135"/>
    </row>
    <row r="60160" spans="20:21" ht="15" customHeight="1" x14ac:dyDescent="0.25">
      <c r="T60160" s="135"/>
      <c r="U60160" s="135"/>
    </row>
    <row r="60161" spans="20:21" ht="15" customHeight="1" x14ac:dyDescent="0.25">
      <c r="T60161" s="135"/>
      <c r="U60161" s="135"/>
    </row>
    <row r="60162" spans="20:21" ht="15" customHeight="1" x14ac:dyDescent="0.25">
      <c r="T60162" s="135"/>
      <c r="U60162" s="135"/>
    </row>
    <row r="60163" spans="20:21" ht="15" customHeight="1" x14ac:dyDescent="0.25">
      <c r="T60163" s="135"/>
      <c r="U60163" s="135"/>
    </row>
    <row r="60164" spans="20:21" ht="15" customHeight="1" x14ac:dyDescent="0.25">
      <c r="T60164" s="135"/>
      <c r="U60164" s="135"/>
    </row>
    <row r="60165" spans="20:21" ht="15" customHeight="1" x14ac:dyDescent="0.25">
      <c r="T60165" s="135"/>
      <c r="U60165" s="135"/>
    </row>
    <row r="60166" spans="20:21" ht="15" customHeight="1" x14ac:dyDescent="0.25">
      <c r="T60166" s="135"/>
      <c r="U60166" s="135"/>
    </row>
    <row r="60167" spans="20:21" ht="15" customHeight="1" x14ac:dyDescent="0.25">
      <c r="T60167" s="135"/>
      <c r="U60167" s="135"/>
    </row>
    <row r="60168" spans="20:21" ht="15" customHeight="1" x14ac:dyDescent="0.25">
      <c r="T60168" s="135"/>
      <c r="U60168" s="135"/>
    </row>
    <row r="60169" spans="20:21" ht="15" customHeight="1" x14ac:dyDescent="0.25">
      <c r="T60169" s="135"/>
      <c r="U60169" s="135"/>
    </row>
    <row r="60170" spans="20:21" ht="15" customHeight="1" x14ac:dyDescent="0.25">
      <c r="T60170" s="135"/>
      <c r="U60170" s="135"/>
    </row>
    <row r="60171" spans="20:21" ht="15" customHeight="1" x14ac:dyDescent="0.25">
      <c r="T60171" s="135"/>
      <c r="U60171" s="135"/>
    </row>
    <row r="60172" spans="20:21" ht="15" customHeight="1" x14ac:dyDescent="0.25">
      <c r="T60172" s="135"/>
      <c r="U60172" s="135"/>
    </row>
    <row r="60173" spans="20:21" ht="15" customHeight="1" x14ac:dyDescent="0.25">
      <c r="T60173" s="135"/>
      <c r="U60173" s="135"/>
    </row>
    <row r="60174" spans="20:21" ht="15" customHeight="1" x14ac:dyDescent="0.25">
      <c r="T60174" s="135"/>
      <c r="U60174" s="135"/>
    </row>
    <row r="60175" spans="20:21" ht="15" customHeight="1" x14ac:dyDescent="0.25">
      <c r="T60175" s="135"/>
      <c r="U60175" s="135"/>
    </row>
    <row r="60176" spans="20:21" ht="15" customHeight="1" x14ac:dyDescent="0.25">
      <c r="T60176" s="135"/>
      <c r="U60176" s="135"/>
    </row>
    <row r="60177" spans="20:21" ht="15" customHeight="1" x14ac:dyDescent="0.25">
      <c r="T60177" s="135"/>
      <c r="U60177" s="135"/>
    </row>
    <row r="60178" spans="20:21" ht="15" customHeight="1" x14ac:dyDescent="0.25">
      <c r="T60178" s="135"/>
      <c r="U60178" s="135"/>
    </row>
    <row r="60179" spans="20:21" ht="15" customHeight="1" x14ac:dyDescent="0.25">
      <c r="T60179" s="135"/>
      <c r="U60179" s="135"/>
    </row>
    <row r="60180" spans="20:21" ht="15" customHeight="1" x14ac:dyDescent="0.25">
      <c r="T60180" s="135"/>
      <c r="U60180" s="135"/>
    </row>
    <row r="60181" spans="20:21" ht="15" customHeight="1" x14ac:dyDescent="0.25">
      <c r="T60181" s="135"/>
      <c r="U60181" s="135"/>
    </row>
    <row r="60182" spans="20:21" ht="15" customHeight="1" x14ac:dyDescent="0.25">
      <c r="T60182" s="135"/>
      <c r="U60182" s="135"/>
    </row>
    <row r="60183" spans="20:21" ht="15" customHeight="1" x14ac:dyDescent="0.25">
      <c r="T60183" s="135"/>
      <c r="U60183" s="135"/>
    </row>
    <row r="60184" spans="20:21" ht="15" customHeight="1" x14ac:dyDescent="0.25">
      <c r="T60184" s="135"/>
      <c r="U60184" s="135"/>
    </row>
    <row r="60185" spans="20:21" ht="15" customHeight="1" x14ac:dyDescent="0.25">
      <c r="T60185" s="135"/>
      <c r="U60185" s="135"/>
    </row>
    <row r="60186" spans="20:21" ht="15" customHeight="1" x14ac:dyDescent="0.25">
      <c r="T60186" s="135"/>
      <c r="U60186" s="135"/>
    </row>
    <row r="60187" spans="20:21" ht="15" customHeight="1" x14ac:dyDescent="0.25">
      <c r="T60187" s="135"/>
      <c r="U60187" s="135"/>
    </row>
    <row r="60188" spans="20:21" ht="15" customHeight="1" x14ac:dyDescent="0.25">
      <c r="T60188" s="135"/>
      <c r="U60188" s="135"/>
    </row>
    <row r="60189" spans="20:21" ht="15" customHeight="1" x14ac:dyDescent="0.25">
      <c r="T60189" s="135"/>
      <c r="U60189" s="135"/>
    </row>
    <row r="60190" spans="20:21" ht="15" customHeight="1" x14ac:dyDescent="0.25">
      <c r="T60190" s="135"/>
      <c r="U60190" s="135"/>
    </row>
    <row r="60191" spans="20:21" ht="15" customHeight="1" x14ac:dyDescent="0.25">
      <c r="T60191" s="135"/>
      <c r="U60191" s="135"/>
    </row>
    <row r="60192" spans="20:21" ht="15" customHeight="1" x14ac:dyDescent="0.25">
      <c r="T60192" s="135"/>
      <c r="U60192" s="135"/>
    </row>
    <row r="60193" spans="20:21" ht="15" customHeight="1" x14ac:dyDescent="0.25">
      <c r="T60193" s="135"/>
      <c r="U60193" s="135"/>
    </row>
    <row r="60194" spans="20:21" ht="15" customHeight="1" x14ac:dyDescent="0.25">
      <c r="T60194" s="135"/>
      <c r="U60194" s="135"/>
    </row>
    <row r="60195" spans="20:21" ht="15" customHeight="1" x14ac:dyDescent="0.25">
      <c r="T60195" s="135"/>
      <c r="U60195" s="135"/>
    </row>
    <row r="60196" spans="20:21" ht="15" customHeight="1" x14ac:dyDescent="0.25">
      <c r="T60196" s="135"/>
      <c r="U60196" s="135"/>
    </row>
    <row r="60197" spans="20:21" ht="15" customHeight="1" x14ac:dyDescent="0.25">
      <c r="T60197" s="135"/>
      <c r="U60197" s="135"/>
    </row>
    <row r="60198" spans="20:21" ht="15" customHeight="1" x14ac:dyDescent="0.25">
      <c r="T60198" s="135"/>
      <c r="U60198" s="135"/>
    </row>
    <row r="60199" spans="20:21" ht="15" customHeight="1" x14ac:dyDescent="0.25">
      <c r="T60199" s="135"/>
      <c r="U60199" s="135"/>
    </row>
    <row r="60200" spans="20:21" ht="15" customHeight="1" x14ac:dyDescent="0.25">
      <c r="T60200" s="135"/>
      <c r="U60200" s="135"/>
    </row>
    <row r="60201" spans="20:21" ht="15" customHeight="1" x14ac:dyDescent="0.25">
      <c r="T60201" s="135"/>
      <c r="U60201" s="135"/>
    </row>
    <row r="60202" spans="20:21" ht="15" customHeight="1" x14ac:dyDescent="0.25">
      <c r="T60202" s="135"/>
      <c r="U60202" s="135"/>
    </row>
    <row r="60203" spans="20:21" ht="15" customHeight="1" x14ac:dyDescent="0.25">
      <c r="T60203" s="135"/>
      <c r="U60203" s="135"/>
    </row>
    <row r="60204" spans="20:21" ht="15" customHeight="1" x14ac:dyDescent="0.25">
      <c r="T60204" s="135"/>
      <c r="U60204" s="135"/>
    </row>
    <row r="60205" spans="20:21" ht="15" customHeight="1" x14ac:dyDescent="0.25">
      <c r="T60205" s="135"/>
      <c r="U60205" s="135"/>
    </row>
    <row r="60206" spans="20:21" ht="15" customHeight="1" x14ac:dyDescent="0.25">
      <c r="T60206" s="135"/>
      <c r="U60206" s="135"/>
    </row>
    <row r="60207" spans="20:21" ht="15" customHeight="1" x14ac:dyDescent="0.25">
      <c r="T60207" s="135"/>
      <c r="U60207" s="135"/>
    </row>
    <row r="60208" spans="20:21" ht="15" customHeight="1" x14ac:dyDescent="0.25">
      <c r="T60208" s="135"/>
      <c r="U60208" s="135"/>
    </row>
    <row r="60209" spans="20:21" ht="15" customHeight="1" x14ac:dyDescent="0.25">
      <c r="T60209" s="135"/>
      <c r="U60209" s="135"/>
    </row>
    <row r="60210" spans="20:21" ht="15" customHeight="1" x14ac:dyDescent="0.25">
      <c r="T60210" s="135"/>
      <c r="U60210" s="135"/>
    </row>
    <row r="60211" spans="20:21" ht="15" customHeight="1" x14ac:dyDescent="0.25">
      <c r="T60211" s="135"/>
      <c r="U60211" s="135"/>
    </row>
    <row r="60212" spans="20:21" ht="15" customHeight="1" x14ac:dyDescent="0.25">
      <c r="T60212" s="135"/>
      <c r="U60212" s="135"/>
    </row>
    <row r="60213" spans="20:21" ht="15" customHeight="1" x14ac:dyDescent="0.25">
      <c r="T60213" s="135"/>
      <c r="U60213" s="135"/>
    </row>
    <row r="60214" spans="20:21" ht="15" customHeight="1" x14ac:dyDescent="0.25">
      <c r="T60214" s="135"/>
      <c r="U60214" s="135"/>
    </row>
    <row r="60215" spans="20:21" ht="15" customHeight="1" x14ac:dyDescent="0.25">
      <c r="T60215" s="135"/>
      <c r="U60215" s="135"/>
    </row>
    <row r="60216" spans="20:21" ht="15" customHeight="1" x14ac:dyDescent="0.25">
      <c r="T60216" s="135"/>
      <c r="U60216" s="135"/>
    </row>
    <row r="60217" spans="20:21" ht="15" customHeight="1" x14ac:dyDescent="0.25">
      <c r="T60217" s="135"/>
      <c r="U60217" s="135"/>
    </row>
    <row r="60218" spans="20:21" ht="15" customHeight="1" x14ac:dyDescent="0.25">
      <c r="T60218" s="135"/>
      <c r="U60218" s="135"/>
    </row>
    <row r="60219" spans="20:21" ht="15" customHeight="1" x14ac:dyDescent="0.25">
      <c r="T60219" s="135"/>
      <c r="U60219" s="135"/>
    </row>
    <row r="60220" spans="20:21" ht="15" customHeight="1" x14ac:dyDescent="0.25">
      <c r="T60220" s="135"/>
      <c r="U60220" s="135"/>
    </row>
    <row r="60221" spans="20:21" ht="15" customHeight="1" x14ac:dyDescent="0.25">
      <c r="T60221" s="135"/>
      <c r="U60221" s="135"/>
    </row>
    <row r="60222" spans="20:21" ht="15" customHeight="1" x14ac:dyDescent="0.25">
      <c r="T60222" s="135"/>
      <c r="U60222" s="135"/>
    </row>
    <row r="60223" spans="20:21" ht="15" customHeight="1" x14ac:dyDescent="0.25">
      <c r="T60223" s="135"/>
      <c r="U60223" s="135"/>
    </row>
    <row r="60224" spans="20:21" ht="15" customHeight="1" x14ac:dyDescent="0.25">
      <c r="T60224" s="135"/>
      <c r="U60224" s="135"/>
    </row>
    <row r="60225" spans="20:21" ht="15" customHeight="1" x14ac:dyDescent="0.25">
      <c r="T60225" s="135"/>
      <c r="U60225" s="135"/>
    </row>
    <row r="60226" spans="20:21" ht="15" customHeight="1" x14ac:dyDescent="0.25">
      <c r="T60226" s="135"/>
      <c r="U60226" s="135"/>
    </row>
    <row r="60227" spans="20:21" ht="15" customHeight="1" x14ac:dyDescent="0.25">
      <c r="T60227" s="135"/>
      <c r="U60227" s="135"/>
    </row>
    <row r="60228" spans="20:21" ht="15" customHeight="1" x14ac:dyDescent="0.25">
      <c r="T60228" s="135"/>
      <c r="U60228" s="135"/>
    </row>
    <row r="60229" spans="20:21" ht="15" customHeight="1" x14ac:dyDescent="0.25">
      <c r="T60229" s="135"/>
      <c r="U60229" s="135"/>
    </row>
    <row r="60230" spans="20:21" ht="15" customHeight="1" x14ac:dyDescent="0.25">
      <c r="T60230" s="135"/>
      <c r="U60230" s="135"/>
    </row>
    <row r="60231" spans="20:21" ht="15" customHeight="1" x14ac:dyDescent="0.25">
      <c r="T60231" s="135"/>
      <c r="U60231" s="135"/>
    </row>
    <row r="60232" spans="20:21" ht="15" customHeight="1" x14ac:dyDescent="0.25">
      <c r="T60232" s="135"/>
      <c r="U60232" s="135"/>
    </row>
    <row r="60233" spans="20:21" ht="15" customHeight="1" x14ac:dyDescent="0.25">
      <c r="T60233" s="135"/>
      <c r="U60233" s="135"/>
    </row>
    <row r="60234" spans="20:21" ht="15" customHeight="1" x14ac:dyDescent="0.25">
      <c r="T60234" s="135"/>
      <c r="U60234" s="135"/>
    </row>
    <row r="60235" spans="20:21" ht="15" customHeight="1" x14ac:dyDescent="0.25">
      <c r="T60235" s="135"/>
      <c r="U60235" s="135"/>
    </row>
    <row r="60236" spans="20:21" ht="15" customHeight="1" x14ac:dyDescent="0.25">
      <c r="T60236" s="135"/>
      <c r="U60236" s="135"/>
    </row>
    <row r="60237" spans="20:21" ht="15" customHeight="1" x14ac:dyDescent="0.25">
      <c r="T60237" s="135"/>
      <c r="U60237" s="135"/>
    </row>
    <row r="60238" spans="20:21" ht="15" customHeight="1" x14ac:dyDescent="0.25">
      <c r="T60238" s="135"/>
      <c r="U60238" s="135"/>
    </row>
    <row r="60239" spans="20:21" ht="15" customHeight="1" x14ac:dyDescent="0.25">
      <c r="T60239" s="135"/>
      <c r="U60239" s="135"/>
    </row>
    <row r="60240" spans="20:21" ht="15" customHeight="1" x14ac:dyDescent="0.25">
      <c r="T60240" s="135"/>
      <c r="U60240" s="135"/>
    </row>
    <row r="60241" spans="20:21" ht="15" customHeight="1" x14ac:dyDescent="0.25">
      <c r="T60241" s="135"/>
      <c r="U60241" s="135"/>
    </row>
    <row r="60242" spans="20:21" ht="15" customHeight="1" x14ac:dyDescent="0.25">
      <c r="T60242" s="135"/>
      <c r="U60242" s="135"/>
    </row>
    <row r="60243" spans="20:21" ht="15" customHeight="1" x14ac:dyDescent="0.25">
      <c r="T60243" s="135"/>
      <c r="U60243" s="135"/>
    </row>
    <row r="60244" spans="20:21" ht="15" customHeight="1" x14ac:dyDescent="0.25">
      <c r="T60244" s="135"/>
      <c r="U60244" s="135"/>
    </row>
    <row r="60245" spans="20:21" ht="15" customHeight="1" x14ac:dyDescent="0.25">
      <c r="T60245" s="135"/>
      <c r="U60245" s="135"/>
    </row>
    <row r="60246" spans="20:21" ht="15" customHeight="1" x14ac:dyDescent="0.25">
      <c r="T60246" s="135"/>
      <c r="U60246" s="135"/>
    </row>
    <row r="60247" spans="20:21" ht="15" customHeight="1" x14ac:dyDescent="0.25">
      <c r="T60247" s="135"/>
      <c r="U60247" s="135"/>
    </row>
    <row r="60248" spans="20:21" ht="15" customHeight="1" x14ac:dyDescent="0.25">
      <c r="T60248" s="135"/>
      <c r="U60248" s="135"/>
    </row>
    <row r="60249" spans="20:21" ht="15" customHeight="1" x14ac:dyDescent="0.25">
      <c r="T60249" s="135"/>
      <c r="U60249" s="135"/>
    </row>
    <row r="60250" spans="20:21" ht="15" customHeight="1" x14ac:dyDescent="0.25">
      <c r="T60250" s="135"/>
      <c r="U60250" s="135"/>
    </row>
    <row r="60251" spans="20:21" ht="15" customHeight="1" x14ac:dyDescent="0.25">
      <c r="T60251" s="135"/>
      <c r="U60251" s="135"/>
    </row>
    <row r="60252" spans="20:21" ht="15" customHeight="1" x14ac:dyDescent="0.25">
      <c r="T60252" s="135"/>
      <c r="U60252" s="135"/>
    </row>
    <row r="60253" spans="20:21" ht="15" customHeight="1" x14ac:dyDescent="0.25">
      <c r="T60253" s="135"/>
      <c r="U60253" s="135"/>
    </row>
    <row r="60254" spans="20:21" ht="15" customHeight="1" x14ac:dyDescent="0.25">
      <c r="T60254" s="135"/>
      <c r="U60254" s="135"/>
    </row>
    <row r="60255" spans="20:21" ht="15" customHeight="1" x14ac:dyDescent="0.25">
      <c r="T60255" s="135"/>
      <c r="U60255" s="135"/>
    </row>
    <row r="60256" spans="20:21" ht="15" customHeight="1" x14ac:dyDescent="0.25">
      <c r="T60256" s="135"/>
      <c r="U60256" s="135"/>
    </row>
    <row r="60257" spans="20:21" ht="15" customHeight="1" x14ac:dyDescent="0.25">
      <c r="T60257" s="135"/>
      <c r="U60257" s="135"/>
    </row>
    <row r="60258" spans="20:21" ht="15" customHeight="1" x14ac:dyDescent="0.25">
      <c r="T60258" s="135"/>
      <c r="U60258" s="135"/>
    </row>
    <row r="60259" spans="20:21" ht="15" customHeight="1" x14ac:dyDescent="0.25">
      <c r="T60259" s="135"/>
      <c r="U60259" s="135"/>
    </row>
    <row r="60260" spans="20:21" ht="15" customHeight="1" x14ac:dyDescent="0.25">
      <c r="T60260" s="135"/>
      <c r="U60260" s="135"/>
    </row>
    <row r="60261" spans="20:21" ht="15" customHeight="1" x14ac:dyDescent="0.25">
      <c r="T60261" s="135"/>
      <c r="U60261" s="135"/>
    </row>
    <row r="60262" spans="20:21" ht="15" customHeight="1" x14ac:dyDescent="0.25">
      <c r="T60262" s="135"/>
      <c r="U60262" s="135"/>
    </row>
    <row r="60263" spans="20:21" ht="15" customHeight="1" x14ac:dyDescent="0.25">
      <c r="T60263" s="135"/>
      <c r="U60263" s="135"/>
    </row>
    <row r="60264" spans="20:21" ht="15" customHeight="1" x14ac:dyDescent="0.25">
      <c r="T60264" s="135"/>
      <c r="U60264" s="135"/>
    </row>
    <row r="60265" spans="20:21" ht="15" customHeight="1" x14ac:dyDescent="0.25">
      <c r="T60265" s="135"/>
      <c r="U60265" s="135"/>
    </row>
    <row r="60266" spans="20:21" ht="15" customHeight="1" x14ac:dyDescent="0.25">
      <c r="T60266" s="135"/>
      <c r="U60266" s="135"/>
    </row>
    <row r="60267" spans="20:21" ht="15" customHeight="1" x14ac:dyDescent="0.25">
      <c r="T60267" s="135"/>
      <c r="U60267" s="135"/>
    </row>
    <row r="60268" spans="20:21" ht="15" customHeight="1" x14ac:dyDescent="0.25">
      <c r="T60268" s="135"/>
      <c r="U60268" s="135"/>
    </row>
    <row r="60269" spans="20:21" ht="15" customHeight="1" x14ac:dyDescent="0.25">
      <c r="T60269" s="135"/>
      <c r="U60269" s="135"/>
    </row>
    <row r="60270" spans="20:21" ht="15" customHeight="1" x14ac:dyDescent="0.25">
      <c r="T60270" s="135"/>
      <c r="U60270" s="135"/>
    </row>
    <row r="60271" spans="20:21" ht="15" customHeight="1" x14ac:dyDescent="0.25">
      <c r="T60271" s="135"/>
      <c r="U60271" s="135"/>
    </row>
    <row r="60272" spans="20:21" ht="15" customHeight="1" x14ac:dyDescent="0.25">
      <c r="T60272" s="135"/>
      <c r="U60272" s="135"/>
    </row>
    <row r="60273" spans="20:21" ht="15" customHeight="1" x14ac:dyDescent="0.25">
      <c r="T60273" s="135"/>
      <c r="U60273" s="135"/>
    </row>
    <row r="60274" spans="20:21" ht="15" customHeight="1" x14ac:dyDescent="0.25">
      <c r="T60274" s="135"/>
      <c r="U60274" s="135"/>
    </row>
    <row r="60275" spans="20:21" ht="15" customHeight="1" x14ac:dyDescent="0.25">
      <c r="T60275" s="135"/>
      <c r="U60275" s="135"/>
    </row>
    <row r="60276" spans="20:21" ht="15" customHeight="1" x14ac:dyDescent="0.25">
      <c r="T60276" s="135"/>
      <c r="U60276" s="135"/>
    </row>
    <row r="60277" spans="20:21" ht="15" customHeight="1" x14ac:dyDescent="0.25">
      <c r="T60277" s="135"/>
      <c r="U60277" s="135"/>
    </row>
    <row r="60278" spans="20:21" ht="15" customHeight="1" x14ac:dyDescent="0.25">
      <c r="T60278" s="135"/>
      <c r="U60278" s="135"/>
    </row>
    <row r="60279" spans="20:21" ht="15" customHeight="1" x14ac:dyDescent="0.25">
      <c r="T60279" s="135"/>
      <c r="U60279" s="135"/>
    </row>
    <row r="60280" spans="20:21" ht="15" customHeight="1" x14ac:dyDescent="0.25">
      <c r="T60280" s="135"/>
      <c r="U60280" s="135"/>
    </row>
    <row r="60281" spans="20:21" ht="15" customHeight="1" x14ac:dyDescent="0.25">
      <c r="T60281" s="135"/>
      <c r="U60281" s="135"/>
    </row>
    <row r="60282" spans="20:21" ht="15" customHeight="1" x14ac:dyDescent="0.25">
      <c r="T60282" s="135"/>
      <c r="U60282" s="135"/>
    </row>
    <row r="60283" spans="20:21" ht="15" customHeight="1" x14ac:dyDescent="0.25">
      <c r="T60283" s="135"/>
      <c r="U60283" s="135"/>
    </row>
    <row r="60284" spans="20:21" ht="15" customHeight="1" x14ac:dyDescent="0.25">
      <c r="T60284" s="135"/>
      <c r="U60284" s="135"/>
    </row>
    <row r="60285" spans="20:21" ht="15" customHeight="1" x14ac:dyDescent="0.25">
      <c r="T60285" s="135"/>
      <c r="U60285" s="135"/>
    </row>
    <row r="60286" spans="20:21" ht="15" customHeight="1" x14ac:dyDescent="0.25">
      <c r="T60286" s="135"/>
      <c r="U60286" s="135"/>
    </row>
    <row r="60287" spans="20:21" ht="15" customHeight="1" x14ac:dyDescent="0.25">
      <c r="T60287" s="135"/>
      <c r="U60287" s="135"/>
    </row>
    <row r="60288" spans="20:21" ht="15" customHeight="1" x14ac:dyDescent="0.25">
      <c r="T60288" s="135"/>
      <c r="U60288" s="135"/>
    </row>
    <row r="60289" spans="20:21" ht="15" customHeight="1" x14ac:dyDescent="0.25">
      <c r="T60289" s="135"/>
      <c r="U60289" s="135"/>
    </row>
    <row r="60290" spans="20:21" ht="15" customHeight="1" x14ac:dyDescent="0.25">
      <c r="T60290" s="135"/>
      <c r="U60290" s="135"/>
    </row>
    <row r="60291" spans="20:21" ht="15" customHeight="1" x14ac:dyDescent="0.25">
      <c r="T60291" s="135"/>
      <c r="U60291" s="135"/>
    </row>
    <row r="60292" spans="20:21" ht="15" customHeight="1" x14ac:dyDescent="0.25">
      <c r="T60292" s="135"/>
      <c r="U60292" s="135"/>
    </row>
    <row r="60293" spans="20:21" ht="15" customHeight="1" x14ac:dyDescent="0.25">
      <c r="T60293" s="135"/>
      <c r="U60293" s="135"/>
    </row>
    <row r="60294" spans="20:21" ht="15" customHeight="1" x14ac:dyDescent="0.25">
      <c r="T60294" s="135"/>
      <c r="U60294" s="135"/>
    </row>
    <row r="60295" spans="20:21" ht="15" customHeight="1" x14ac:dyDescent="0.25">
      <c r="T60295" s="135"/>
      <c r="U60295" s="135"/>
    </row>
    <row r="60296" spans="20:21" ht="15" customHeight="1" x14ac:dyDescent="0.25">
      <c r="T60296" s="135"/>
      <c r="U60296" s="135"/>
    </row>
    <row r="60297" spans="20:21" ht="15" customHeight="1" x14ac:dyDescent="0.25">
      <c r="T60297" s="135"/>
      <c r="U60297" s="135"/>
    </row>
    <row r="60298" spans="20:21" ht="15" customHeight="1" x14ac:dyDescent="0.25">
      <c r="T60298" s="135"/>
      <c r="U60298" s="135"/>
    </row>
    <row r="60299" spans="20:21" ht="15" customHeight="1" x14ac:dyDescent="0.25">
      <c r="T60299" s="135"/>
      <c r="U60299" s="135"/>
    </row>
    <row r="60300" spans="20:21" ht="15" customHeight="1" x14ac:dyDescent="0.25">
      <c r="T60300" s="135"/>
      <c r="U60300" s="135"/>
    </row>
    <row r="60301" spans="20:21" ht="15" customHeight="1" x14ac:dyDescent="0.25">
      <c r="T60301" s="135"/>
      <c r="U60301" s="135"/>
    </row>
    <row r="60302" spans="20:21" ht="15" customHeight="1" x14ac:dyDescent="0.25">
      <c r="T60302" s="135"/>
      <c r="U60302" s="135"/>
    </row>
    <row r="60303" spans="20:21" ht="15" customHeight="1" x14ac:dyDescent="0.25">
      <c r="T60303" s="135"/>
      <c r="U60303" s="135"/>
    </row>
    <row r="60304" spans="20:21" ht="15" customHeight="1" x14ac:dyDescent="0.25">
      <c r="T60304" s="135"/>
      <c r="U60304" s="135"/>
    </row>
    <row r="60305" spans="20:21" ht="15" customHeight="1" x14ac:dyDescent="0.25">
      <c r="T60305" s="135"/>
      <c r="U60305" s="135"/>
    </row>
    <row r="60306" spans="20:21" ht="15" customHeight="1" x14ac:dyDescent="0.25">
      <c r="T60306" s="135"/>
      <c r="U60306" s="135"/>
    </row>
    <row r="60307" spans="20:21" ht="15" customHeight="1" x14ac:dyDescent="0.25">
      <c r="T60307" s="135"/>
      <c r="U60307" s="135"/>
    </row>
    <row r="60308" spans="20:21" ht="15" customHeight="1" x14ac:dyDescent="0.25">
      <c r="T60308" s="135"/>
      <c r="U60308" s="135"/>
    </row>
    <row r="60309" spans="20:21" ht="15" customHeight="1" x14ac:dyDescent="0.25">
      <c r="T60309" s="135"/>
      <c r="U60309" s="135"/>
    </row>
    <row r="60310" spans="20:21" ht="15" customHeight="1" x14ac:dyDescent="0.25">
      <c r="T60310" s="135"/>
      <c r="U60310" s="135"/>
    </row>
    <row r="60311" spans="20:21" ht="15" customHeight="1" x14ac:dyDescent="0.25">
      <c r="T60311" s="135"/>
      <c r="U60311" s="135"/>
    </row>
    <row r="60312" spans="20:21" ht="15" customHeight="1" x14ac:dyDescent="0.25">
      <c r="T60312" s="135"/>
      <c r="U60312" s="135"/>
    </row>
    <row r="60313" spans="20:21" ht="15" customHeight="1" x14ac:dyDescent="0.25">
      <c r="T60313" s="135"/>
      <c r="U60313" s="135"/>
    </row>
    <row r="60314" spans="20:21" ht="15" customHeight="1" x14ac:dyDescent="0.25">
      <c r="T60314" s="135"/>
      <c r="U60314" s="135"/>
    </row>
    <row r="60315" spans="20:21" ht="15" customHeight="1" x14ac:dyDescent="0.25">
      <c r="T60315" s="135"/>
      <c r="U60315" s="135"/>
    </row>
    <row r="60316" spans="20:21" ht="15" customHeight="1" x14ac:dyDescent="0.25">
      <c r="T60316" s="135"/>
      <c r="U60316" s="135"/>
    </row>
    <row r="60317" spans="20:21" ht="15" customHeight="1" x14ac:dyDescent="0.25">
      <c r="T60317" s="135"/>
      <c r="U60317" s="135"/>
    </row>
    <row r="60318" spans="20:21" ht="15" customHeight="1" x14ac:dyDescent="0.25">
      <c r="T60318" s="135"/>
      <c r="U60318" s="135"/>
    </row>
    <row r="60319" spans="20:21" ht="15" customHeight="1" x14ac:dyDescent="0.25">
      <c r="T60319" s="135"/>
      <c r="U60319" s="135"/>
    </row>
    <row r="60320" spans="20:21" ht="15" customHeight="1" x14ac:dyDescent="0.25">
      <c r="T60320" s="135"/>
      <c r="U60320" s="135"/>
    </row>
    <row r="60321" spans="20:21" ht="15" customHeight="1" x14ac:dyDescent="0.25">
      <c r="T60321" s="135"/>
      <c r="U60321" s="135"/>
    </row>
    <row r="60322" spans="20:21" ht="15" customHeight="1" x14ac:dyDescent="0.25">
      <c r="T60322" s="135"/>
      <c r="U60322" s="135"/>
    </row>
    <row r="60323" spans="20:21" ht="15" customHeight="1" x14ac:dyDescent="0.25">
      <c r="T60323" s="135"/>
      <c r="U60323" s="135"/>
    </row>
    <row r="60324" spans="20:21" ht="15" customHeight="1" x14ac:dyDescent="0.25">
      <c r="T60324" s="135"/>
      <c r="U60324" s="135"/>
    </row>
    <row r="60325" spans="20:21" ht="15" customHeight="1" x14ac:dyDescent="0.25">
      <c r="T60325" s="135"/>
      <c r="U60325" s="135"/>
    </row>
    <row r="60326" spans="20:21" ht="15" customHeight="1" x14ac:dyDescent="0.25">
      <c r="T60326" s="135"/>
      <c r="U60326" s="135"/>
    </row>
    <row r="60327" spans="20:21" ht="15" customHeight="1" x14ac:dyDescent="0.25">
      <c r="T60327" s="135"/>
      <c r="U60327" s="135"/>
    </row>
    <row r="60328" spans="20:21" ht="15" customHeight="1" x14ac:dyDescent="0.25">
      <c r="T60328" s="135"/>
      <c r="U60328" s="135"/>
    </row>
    <row r="60329" spans="20:21" ht="15" customHeight="1" x14ac:dyDescent="0.25">
      <c r="T60329" s="135"/>
      <c r="U60329" s="135"/>
    </row>
    <row r="60330" spans="20:21" ht="15" customHeight="1" x14ac:dyDescent="0.25">
      <c r="T60330" s="135"/>
      <c r="U60330" s="135"/>
    </row>
    <row r="60331" spans="20:21" ht="15" customHeight="1" x14ac:dyDescent="0.25">
      <c r="T60331" s="135"/>
      <c r="U60331" s="135"/>
    </row>
    <row r="60332" spans="20:21" ht="15" customHeight="1" x14ac:dyDescent="0.25">
      <c r="T60332" s="135"/>
      <c r="U60332" s="135"/>
    </row>
    <row r="60333" spans="20:21" ht="15" customHeight="1" x14ac:dyDescent="0.25">
      <c r="T60333" s="135"/>
      <c r="U60333" s="135"/>
    </row>
    <row r="60334" spans="20:21" ht="15" customHeight="1" x14ac:dyDescent="0.25">
      <c r="T60334" s="135"/>
      <c r="U60334" s="135"/>
    </row>
    <row r="60335" spans="20:21" ht="15" customHeight="1" x14ac:dyDescent="0.25">
      <c r="T60335" s="135"/>
      <c r="U60335" s="135"/>
    </row>
    <row r="60336" spans="20:21" ht="15" customHeight="1" x14ac:dyDescent="0.25">
      <c r="T60336" s="135"/>
      <c r="U60336" s="135"/>
    </row>
    <row r="60337" spans="20:21" ht="15" customHeight="1" x14ac:dyDescent="0.25">
      <c r="T60337" s="135"/>
      <c r="U60337" s="135"/>
    </row>
    <row r="60338" spans="20:21" ht="15" customHeight="1" x14ac:dyDescent="0.25">
      <c r="T60338" s="135"/>
      <c r="U60338" s="135"/>
    </row>
    <row r="60339" spans="20:21" ht="15" customHeight="1" x14ac:dyDescent="0.25">
      <c r="T60339" s="135"/>
      <c r="U60339" s="135"/>
    </row>
    <row r="60340" spans="20:21" ht="15" customHeight="1" x14ac:dyDescent="0.25">
      <c r="T60340" s="135"/>
      <c r="U60340" s="135"/>
    </row>
    <row r="60341" spans="20:21" ht="15" customHeight="1" x14ac:dyDescent="0.25">
      <c r="T60341" s="135"/>
      <c r="U60341" s="135"/>
    </row>
    <row r="60342" spans="20:21" ht="15" customHeight="1" x14ac:dyDescent="0.25">
      <c r="T60342" s="135"/>
      <c r="U60342" s="135"/>
    </row>
    <row r="60343" spans="20:21" ht="15" customHeight="1" x14ac:dyDescent="0.25">
      <c r="T60343" s="135"/>
      <c r="U60343" s="135"/>
    </row>
    <row r="60344" spans="20:21" ht="15" customHeight="1" x14ac:dyDescent="0.25">
      <c r="T60344" s="135"/>
      <c r="U60344" s="135"/>
    </row>
    <row r="60345" spans="20:21" ht="15" customHeight="1" x14ac:dyDescent="0.25">
      <c r="T60345" s="135"/>
      <c r="U60345" s="135"/>
    </row>
    <row r="60346" spans="20:21" ht="15" customHeight="1" x14ac:dyDescent="0.25">
      <c r="T60346" s="135"/>
      <c r="U60346" s="135"/>
    </row>
    <row r="60347" spans="20:21" ht="15" customHeight="1" x14ac:dyDescent="0.25">
      <c r="T60347" s="135"/>
      <c r="U60347" s="135"/>
    </row>
    <row r="60348" spans="20:21" ht="15" customHeight="1" x14ac:dyDescent="0.25">
      <c r="T60348" s="135"/>
      <c r="U60348" s="135"/>
    </row>
    <row r="60349" spans="20:21" ht="15" customHeight="1" x14ac:dyDescent="0.25">
      <c r="T60349" s="135"/>
      <c r="U60349" s="135"/>
    </row>
    <row r="60350" spans="20:21" ht="15" customHeight="1" x14ac:dyDescent="0.25">
      <c r="T60350" s="135"/>
      <c r="U60350" s="135"/>
    </row>
    <row r="60351" spans="20:21" ht="15" customHeight="1" x14ac:dyDescent="0.25">
      <c r="T60351" s="135"/>
      <c r="U60351" s="135"/>
    </row>
    <row r="60352" spans="20:21" ht="15" customHeight="1" x14ac:dyDescent="0.25">
      <c r="T60352" s="135"/>
      <c r="U60352" s="135"/>
    </row>
    <row r="60353" spans="20:21" ht="15" customHeight="1" x14ac:dyDescent="0.25">
      <c r="T60353" s="135"/>
      <c r="U60353" s="135"/>
    </row>
    <row r="60354" spans="20:21" ht="15" customHeight="1" x14ac:dyDescent="0.25">
      <c r="T60354" s="135"/>
      <c r="U60354" s="135"/>
    </row>
    <row r="60355" spans="20:21" ht="15" customHeight="1" x14ac:dyDescent="0.25">
      <c r="T60355" s="135"/>
      <c r="U60355" s="135"/>
    </row>
    <row r="60356" spans="20:21" ht="15" customHeight="1" x14ac:dyDescent="0.25">
      <c r="T60356" s="135"/>
      <c r="U60356" s="135"/>
    </row>
    <row r="60357" spans="20:21" ht="15" customHeight="1" x14ac:dyDescent="0.25">
      <c r="T60357" s="135"/>
      <c r="U60357" s="135"/>
    </row>
    <row r="60358" spans="20:21" ht="15" customHeight="1" x14ac:dyDescent="0.25">
      <c r="T60358" s="135"/>
      <c r="U60358" s="135"/>
    </row>
    <row r="60359" spans="20:21" ht="15" customHeight="1" x14ac:dyDescent="0.25">
      <c r="T60359" s="135"/>
      <c r="U60359" s="135"/>
    </row>
    <row r="60360" spans="20:21" ht="15" customHeight="1" x14ac:dyDescent="0.25">
      <c r="T60360" s="135"/>
      <c r="U60360" s="135"/>
    </row>
    <row r="60361" spans="20:21" ht="15" customHeight="1" x14ac:dyDescent="0.25">
      <c r="T60361" s="135"/>
      <c r="U60361" s="135"/>
    </row>
    <row r="60362" spans="20:21" ht="15" customHeight="1" x14ac:dyDescent="0.25">
      <c r="T60362" s="135"/>
      <c r="U60362" s="135"/>
    </row>
    <row r="60363" spans="20:21" ht="15" customHeight="1" x14ac:dyDescent="0.25">
      <c r="T60363" s="135"/>
      <c r="U60363" s="135"/>
    </row>
    <row r="60364" spans="20:21" ht="15" customHeight="1" x14ac:dyDescent="0.25">
      <c r="T60364" s="135"/>
      <c r="U60364" s="135"/>
    </row>
    <row r="60365" spans="20:21" ht="15" customHeight="1" x14ac:dyDescent="0.25">
      <c r="T60365" s="135"/>
      <c r="U60365" s="135"/>
    </row>
    <row r="60366" spans="20:21" ht="15" customHeight="1" x14ac:dyDescent="0.25">
      <c r="T60366" s="135"/>
      <c r="U60366" s="135"/>
    </row>
    <row r="60367" spans="20:21" ht="15" customHeight="1" x14ac:dyDescent="0.25">
      <c r="T60367" s="135"/>
      <c r="U60367" s="135"/>
    </row>
    <row r="60368" spans="20:21" ht="15" customHeight="1" x14ac:dyDescent="0.25">
      <c r="T60368" s="135"/>
      <c r="U60368" s="135"/>
    </row>
    <row r="60369" spans="20:21" ht="15" customHeight="1" x14ac:dyDescent="0.25">
      <c r="T60369" s="135"/>
      <c r="U60369" s="135"/>
    </row>
    <row r="60370" spans="20:21" ht="15" customHeight="1" x14ac:dyDescent="0.25">
      <c r="T60370" s="135"/>
      <c r="U60370" s="135"/>
    </row>
    <row r="60371" spans="20:21" ht="15" customHeight="1" x14ac:dyDescent="0.25">
      <c r="T60371" s="135"/>
      <c r="U60371" s="135"/>
    </row>
    <row r="60372" spans="20:21" ht="15" customHeight="1" x14ac:dyDescent="0.25">
      <c r="T60372" s="135"/>
      <c r="U60372" s="135"/>
    </row>
    <row r="60373" spans="20:21" ht="15" customHeight="1" x14ac:dyDescent="0.25">
      <c r="T60373" s="135"/>
      <c r="U60373" s="135"/>
    </row>
    <row r="60374" spans="20:21" ht="15" customHeight="1" x14ac:dyDescent="0.25">
      <c r="T60374" s="135"/>
      <c r="U60374" s="135"/>
    </row>
    <row r="60375" spans="20:21" ht="15" customHeight="1" x14ac:dyDescent="0.25">
      <c r="T60375" s="135"/>
      <c r="U60375" s="135"/>
    </row>
    <row r="60376" spans="20:21" ht="15" customHeight="1" x14ac:dyDescent="0.25">
      <c r="T60376" s="135"/>
      <c r="U60376" s="135"/>
    </row>
    <row r="60377" spans="20:21" ht="15" customHeight="1" x14ac:dyDescent="0.25">
      <c r="T60377" s="135"/>
      <c r="U60377" s="135"/>
    </row>
    <row r="60378" spans="20:21" ht="15" customHeight="1" x14ac:dyDescent="0.25">
      <c r="T60378" s="135"/>
      <c r="U60378" s="135"/>
    </row>
    <row r="60379" spans="20:21" ht="15" customHeight="1" x14ac:dyDescent="0.25">
      <c r="T60379" s="135"/>
      <c r="U60379" s="135"/>
    </row>
    <row r="60380" spans="20:21" ht="15" customHeight="1" x14ac:dyDescent="0.25">
      <c r="T60380" s="135"/>
      <c r="U60380" s="135"/>
    </row>
    <row r="60381" spans="20:21" ht="15" customHeight="1" x14ac:dyDescent="0.25">
      <c r="T60381" s="135"/>
      <c r="U60381" s="135"/>
    </row>
    <row r="60382" spans="20:21" ht="15" customHeight="1" x14ac:dyDescent="0.25">
      <c r="T60382" s="135"/>
      <c r="U60382" s="135"/>
    </row>
    <row r="60383" spans="20:21" ht="15" customHeight="1" x14ac:dyDescent="0.25">
      <c r="T60383" s="135"/>
      <c r="U60383" s="135"/>
    </row>
    <row r="60384" spans="20:21" ht="15" customHeight="1" x14ac:dyDescent="0.25">
      <c r="T60384" s="135"/>
      <c r="U60384" s="135"/>
    </row>
    <row r="60385" spans="20:21" ht="15" customHeight="1" x14ac:dyDescent="0.25">
      <c r="T60385" s="135"/>
      <c r="U60385" s="135"/>
    </row>
    <row r="60386" spans="20:21" ht="15" customHeight="1" x14ac:dyDescent="0.25">
      <c r="T60386" s="135"/>
      <c r="U60386" s="135"/>
    </row>
    <row r="60387" spans="20:21" ht="15" customHeight="1" x14ac:dyDescent="0.25">
      <c r="T60387" s="135"/>
      <c r="U60387" s="135"/>
    </row>
    <row r="60388" spans="20:21" ht="15" customHeight="1" x14ac:dyDescent="0.25">
      <c r="T60388" s="135"/>
      <c r="U60388" s="135"/>
    </row>
    <row r="60389" spans="20:21" ht="15" customHeight="1" x14ac:dyDescent="0.25">
      <c r="T60389" s="135"/>
      <c r="U60389" s="135"/>
    </row>
    <row r="60390" spans="20:21" ht="15" customHeight="1" x14ac:dyDescent="0.25">
      <c r="T60390" s="135"/>
      <c r="U60390" s="135"/>
    </row>
    <row r="60391" spans="20:21" ht="15" customHeight="1" x14ac:dyDescent="0.25">
      <c r="T60391" s="135"/>
      <c r="U60391" s="135"/>
    </row>
    <row r="60392" spans="20:21" ht="15" customHeight="1" x14ac:dyDescent="0.25">
      <c r="T60392" s="135"/>
      <c r="U60392" s="135"/>
    </row>
    <row r="60393" spans="20:21" ht="15" customHeight="1" x14ac:dyDescent="0.25">
      <c r="T60393" s="135"/>
      <c r="U60393" s="135"/>
    </row>
    <row r="60394" spans="20:21" ht="15" customHeight="1" x14ac:dyDescent="0.25">
      <c r="T60394" s="135"/>
      <c r="U60394" s="135"/>
    </row>
    <row r="60395" spans="20:21" ht="15" customHeight="1" x14ac:dyDescent="0.25">
      <c r="T60395" s="135"/>
      <c r="U60395" s="135"/>
    </row>
    <row r="60396" spans="20:21" ht="15" customHeight="1" x14ac:dyDescent="0.25">
      <c r="T60396" s="135"/>
      <c r="U60396" s="135"/>
    </row>
    <row r="60397" spans="20:21" ht="15" customHeight="1" x14ac:dyDescent="0.25">
      <c r="T60397" s="135"/>
      <c r="U60397" s="135"/>
    </row>
    <row r="60398" spans="20:21" ht="15" customHeight="1" x14ac:dyDescent="0.25">
      <c r="T60398" s="135"/>
      <c r="U60398" s="135"/>
    </row>
    <row r="60399" spans="20:21" ht="15" customHeight="1" x14ac:dyDescent="0.25">
      <c r="T60399" s="135"/>
      <c r="U60399" s="135"/>
    </row>
    <row r="60400" spans="20:21" ht="15" customHeight="1" x14ac:dyDescent="0.25">
      <c r="T60400" s="135"/>
      <c r="U60400" s="135"/>
    </row>
    <row r="60401" spans="20:21" ht="15" customHeight="1" x14ac:dyDescent="0.25">
      <c r="T60401" s="135"/>
      <c r="U60401" s="135"/>
    </row>
    <row r="60402" spans="20:21" ht="15" customHeight="1" x14ac:dyDescent="0.25">
      <c r="T60402" s="135"/>
      <c r="U60402" s="135"/>
    </row>
    <row r="60403" spans="20:21" ht="15" customHeight="1" x14ac:dyDescent="0.25">
      <c r="T60403" s="135"/>
      <c r="U60403" s="135"/>
    </row>
    <row r="60404" spans="20:21" ht="15" customHeight="1" x14ac:dyDescent="0.25">
      <c r="T60404" s="135"/>
      <c r="U60404" s="135"/>
    </row>
    <row r="60405" spans="20:21" ht="15" customHeight="1" x14ac:dyDescent="0.25">
      <c r="T60405" s="135"/>
      <c r="U60405" s="135"/>
    </row>
    <row r="60406" spans="20:21" ht="15" customHeight="1" x14ac:dyDescent="0.25">
      <c r="T60406" s="135"/>
      <c r="U60406" s="135"/>
    </row>
    <row r="60407" spans="20:21" ht="15" customHeight="1" x14ac:dyDescent="0.25">
      <c r="T60407" s="135"/>
      <c r="U60407" s="135"/>
    </row>
    <row r="60408" spans="20:21" ht="15" customHeight="1" x14ac:dyDescent="0.25">
      <c r="T60408" s="135"/>
      <c r="U60408" s="135"/>
    </row>
    <row r="60409" spans="20:21" ht="15" customHeight="1" x14ac:dyDescent="0.25">
      <c r="T60409" s="135"/>
      <c r="U60409" s="135"/>
    </row>
    <row r="60410" spans="20:21" ht="15" customHeight="1" x14ac:dyDescent="0.25">
      <c r="T60410" s="135"/>
      <c r="U60410" s="135"/>
    </row>
    <row r="60411" spans="20:21" ht="15" customHeight="1" x14ac:dyDescent="0.25">
      <c r="T60411" s="135"/>
      <c r="U60411" s="135"/>
    </row>
    <row r="60412" spans="20:21" ht="15" customHeight="1" x14ac:dyDescent="0.25">
      <c r="T60412" s="135"/>
      <c r="U60412" s="135"/>
    </row>
    <row r="60413" spans="20:21" ht="15" customHeight="1" x14ac:dyDescent="0.25">
      <c r="T60413" s="135"/>
      <c r="U60413" s="135"/>
    </row>
    <row r="60414" spans="20:21" ht="15" customHeight="1" x14ac:dyDescent="0.25">
      <c r="T60414" s="135"/>
      <c r="U60414" s="135"/>
    </row>
    <row r="60415" spans="20:21" ht="15" customHeight="1" x14ac:dyDescent="0.25">
      <c r="T60415" s="135"/>
      <c r="U60415" s="135"/>
    </row>
    <row r="60416" spans="20:21" ht="15" customHeight="1" x14ac:dyDescent="0.25">
      <c r="T60416" s="135"/>
      <c r="U60416" s="135"/>
    </row>
    <row r="60417" spans="20:21" ht="15" customHeight="1" x14ac:dyDescent="0.25">
      <c r="T60417" s="135"/>
      <c r="U60417" s="135"/>
    </row>
    <row r="60418" spans="20:21" ht="15" customHeight="1" x14ac:dyDescent="0.25">
      <c r="T60418" s="135"/>
      <c r="U60418" s="135"/>
    </row>
    <row r="60419" spans="20:21" ht="15" customHeight="1" x14ac:dyDescent="0.25">
      <c r="T60419" s="135"/>
      <c r="U60419" s="135"/>
    </row>
    <row r="60420" spans="20:21" ht="15" customHeight="1" x14ac:dyDescent="0.25">
      <c r="T60420" s="135"/>
      <c r="U60420" s="135"/>
    </row>
    <row r="60421" spans="20:21" ht="15" customHeight="1" x14ac:dyDescent="0.25">
      <c r="T60421" s="135"/>
      <c r="U60421" s="135"/>
    </row>
    <row r="60422" spans="20:21" ht="15" customHeight="1" x14ac:dyDescent="0.25">
      <c r="T60422" s="135"/>
      <c r="U60422" s="135"/>
    </row>
    <row r="60423" spans="20:21" ht="15" customHeight="1" x14ac:dyDescent="0.25">
      <c r="T60423" s="135"/>
      <c r="U60423" s="135"/>
    </row>
    <row r="60424" spans="20:21" ht="15" customHeight="1" x14ac:dyDescent="0.25">
      <c r="T60424" s="135"/>
      <c r="U60424" s="135"/>
    </row>
    <row r="60425" spans="20:21" ht="15" customHeight="1" x14ac:dyDescent="0.25">
      <c r="T60425" s="135"/>
      <c r="U60425" s="135"/>
    </row>
    <row r="60426" spans="20:21" ht="15" customHeight="1" x14ac:dyDescent="0.25">
      <c r="T60426" s="135"/>
      <c r="U60426" s="135"/>
    </row>
    <row r="60427" spans="20:21" ht="15" customHeight="1" x14ac:dyDescent="0.25">
      <c r="T60427" s="135"/>
      <c r="U60427" s="135"/>
    </row>
    <row r="60428" spans="20:21" ht="15" customHeight="1" x14ac:dyDescent="0.25">
      <c r="T60428" s="135"/>
      <c r="U60428" s="135"/>
    </row>
    <row r="60429" spans="20:21" ht="15" customHeight="1" x14ac:dyDescent="0.25">
      <c r="T60429" s="135"/>
      <c r="U60429" s="135"/>
    </row>
    <row r="60430" spans="20:21" ht="15" customHeight="1" x14ac:dyDescent="0.25">
      <c r="T60430" s="135"/>
      <c r="U60430" s="135"/>
    </row>
    <row r="60431" spans="20:21" ht="15" customHeight="1" x14ac:dyDescent="0.25">
      <c r="T60431" s="135"/>
      <c r="U60431" s="135"/>
    </row>
    <row r="60432" spans="20:21" ht="15" customHeight="1" x14ac:dyDescent="0.25">
      <c r="T60432" s="135"/>
      <c r="U60432" s="135"/>
    </row>
    <row r="60433" spans="20:21" ht="15" customHeight="1" x14ac:dyDescent="0.25">
      <c r="T60433" s="135"/>
      <c r="U60433" s="135"/>
    </row>
    <row r="60434" spans="20:21" ht="15" customHeight="1" x14ac:dyDescent="0.25">
      <c r="T60434" s="135"/>
      <c r="U60434" s="135"/>
    </row>
    <row r="60435" spans="20:21" ht="15" customHeight="1" x14ac:dyDescent="0.25">
      <c r="T60435" s="135"/>
      <c r="U60435" s="135"/>
    </row>
    <row r="60436" spans="20:21" ht="15" customHeight="1" x14ac:dyDescent="0.25">
      <c r="T60436" s="135"/>
      <c r="U60436" s="135"/>
    </row>
    <row r="60437" spans="20:21" ht="15" customHeight="1" x14ac:dyDescent="0.25">
      <c r="T60437" s="135"/>
      <c r="U60437" s="135"/>
    </row>
    <row r="60438" spans="20:21" ht="15" customHeight="1" x14ac:dyDescent="0.25">
      <c r="T60438" s="135"/>
      <c r="U60438" s="135"/>
    </row>
    <row r="60439" spans="20:21" ht="15" customHeight="1" x14ac:dyDescent="0.25">
      <c r="T60439" s="135"/>
      <c r="U60439" s="135"/>
    </row>
    <row r="60440" spans="20:21" ht="15" customHeight="1" x14ac:dyDescent="0.25">
      <c r="T60440" s="135"/>
      <c r="U60440" s="135"/>
    </row>
    <row r="60441" spans="20:21" ht="15" customHeight="1" x14ac:dyDescent="0.25">
      <c r="T60441" s="135"/>
      <c r="U60441" s="135"/>
    </row>
    <row r="60442" spans="20:21" ht="15" customHeight="1" x14ac:dyDescent="0.25">
      <c r="T60442" s="135"/>
      <c r="U60442" s="135"/>
    </row>
    <row r="60443" spans="20:21" ht="15" customHeight="1" x14ac:dyDescent="0.25">
      <c r="T60443" s="135"/>
      <c r="U60443" s="135"/>
    </row>
    <row r="60444" spans="20:21" ht="15" customHeight="1" x14ac:dyDescent="0.25">
      <c r="T60444" s="135"/>
      <c r="U60444" s="135"/>
    </row>
    <row r="60445" spans="20:21" ht="15" customHeight="1" x14ac:dyDescent="0.25">
      <c r="T60445" s="135"/>
      <c r="U60445" s="135"/>
    </row>
    <row r="60446" spans="20:21" ht="15" customHeight="1" x14ac:dyDescent="0.25">
      <c r="T60446" s="135"/>
      <c r="U60446" s="135"/>
    </row>
    <row r="60447" spans="20:21" ht="15" customHeight="1" x14ac:dyDescent="0.25">
      <c r="T60447" s="135"/>
      <c r="U60447" s="135"/>
    </row>
    <row r="60448" spans="20:21" ht="15" customHeight="1" x14ac:dyDescent="0.25">
      <c r="T60448" s="135"/>
      <c r="U60448" s="135"/>
    </row>
    <row r="60449" spans="20:21" ht="15" customHeight="1" x14ac:dyDescent="0.25">
      <c r="T60449" s="135"/>
      <c r="U60449" s="135"/>
    </row>
    <row r="60450" spans="20:21" ht="15" customHeight="1" x14ac:dyDescent="0.25">
      <c r="T60450" s="135"/>
      <c r="U60450" s="135"/>
    </row>
    <row r="60451" spans="20:21" ht="15" customHeight="1" x14ac:dyDescent="0.25">
      <c r="T60451" s="135"/>
      <c r="U60451" s="135"/>
    </row>
    <row r="60452" spans="20:21" ht="15" customHeight="1" x14ac:dyDescent="0.25">
      <c r="T60452" s="135"/>
      <c r="U60452" s="135"/>
    </row>
    <row r="60453" spans="20:21" ht="15" customHeight="1" x14ac:dyDescent="0.25">
      <c r="T60453" s="135"/>
      <c r="U60453" s="135"/>
    </row>
    <row r="60454" spans="20:21" ht="15" customHeight="1" x14ac:dyDescent="0.25">
      <c r="T60454" s="135"/>
      <c r="U60454" s="135"/>
    </row>
    <row r="60455" spans="20:21" ht="15" customHeight="1" x14ac:dyDescent="0.25">
      <c r="T60455" s="135"/>
      <c r="U60455" s="135"/>
    </row>
    <row r="60456" spans="20:21" ht="15" customHeight="1" x14ac:dyDescent="0.25">
      <c r="T60456" s="135"/>
      <c r="U60456" s="135"/>
    </row>
    <row r="60457" spans="20:21" ht="15" customHeight="1" x14ac:dyDescent="0.25">
      <c r="T60457" s="135"/>
      <c r="U60457" s="135"/>
    </row>
    <row r="60458" spans="20:21" ht="15" customHeight="1" x14ac:dyDescent="0.25">
      <c r="T60458" s="135"/>
      <c r="U60458" s="135"/>
    </row>
    <row r="60459" spans="20:21" ht="15" customHeight="1" x14ac:dyDescent="0.25">
      <c r="T60459" s="135"/>
      <c r="U60459" s="135"/>
    </row>
    <row r="60460" spans="20:21" ht="15" customHeight="1" x14ac:dyDescent="0.25">
      <c r="T60460" s="135"/>
      <c r="U60460" s="135"/>
    </row>
    <row r="60461" spans="20:21" ht="15" customHeight="1" x14ac:dyDescent="0.25">
      <c r="T60461" s="135"/>
      <c r="U60461" s="135"/>
    </row>
    <row r="60462" spans="20:21" ht="15" customHeight="1" x14ac:dyDescent="0.25">
      <c r="T60462" s="135"/>
      <c r="U60462" s="135"/>
    </row>
    <row r="60463" spans="20:21" ht="15" customHeight="1" x14ac:dyDescent="0.25">
      <c r="T60463" s="135"/>
      <c r="U60463" s="135"/>
    </row>
    <row r="60464" spans="20:21" ht="15" customHeight="1" x14ac:dyDescent="0.25">
      <c r="T60464" s="135"/>
      <c r="U60464" s="135"/>
    </row>
    <row r="60465" spans="20:21" ht="15" customHeight="1" x14ac:dyDescent="0.25">
      <c r="T60465" s="135"/>
      <c r="U60465" s="135"/>
    </row>
    <row r="60466" spans="20:21" ht="15" customHeight="1" x14ac:dyDescent="0.25">
      <c r="T60466" s="135"/>
      <c r="U60466" s="135"/>
    </row>
    <row r="60467" spans="20:21" ht="15" customHeight="1" x14ac:dyDescent="0.25">
      <c r="T60467" s="135"/>
      <c r="U60467" s="135"/>
    </row>
    <row r="60468" spans="20:21" ht="15" customHeight="1" x14ac:dyDescent="0.25">
      <c r="T60468" s="135"/>
      <c r="U60468" s="135"/>
    </row>
    <row r="60469" spans="20:21" ht="15" customHeight="1" x14ac:dyDescent="0.25">
      <c r="T60469" s="135"/>
      <c r="U60469" s="135"/>
    </row>
    <row r="60470" spans="20:21" ht="15" customHeight="1" x14ac:dyDescent="0.25">
      <c r="T60470" s="135"/>
      <c r="U60470" s="135"/>
    </row>
    <row r="60471" spans="20:21" ht="15" customHeight="1" x14ac:dyDescent="0.25">
      <c r="T60471" s="135"/>
      <c r="U60471" s="135"/>
    </row>
    <row r="60472" spans="20:21" ht="15" customHeight="1" x14ac:dyDescent="0.25">
      <c r="T60472" s="135"/>
      <c r="U60472" s="135"/>
    </row>
    <row r="60473" spans="20:21" ht="15" customHeight="1" x14ac:dyDescent="0.25">
      <c r="T60473" s="135"/>
      <c r="U60473" s="135"/>
    </row>
    <row r="60474" spans="20:21" ht="15" customHeight="1" x14ac:dyDescent="0.25">
      <c r="T60474" s="135"/>
      <c r="U60474" s="135"/>
    </row>
    <row r="60475" spans="20:21" ht="15" customHeight="1" x14ac:dyDescent="0.25">
      <c r="T60475" s="135"/>
      <c r="U60475" s="135"/>
    </row>
    <row r="60476" spans="20:21" ht="15" customHeight="1" x14ac:dyDescent="0.25">
      <c r="T60476" s="135"/>
      <c r="U60476" s="135"/>
    </row>
    <row r="60477" spans="20:21" ht="15" customHeight="1" x14ac:dyDescent="0.25">
      <c r="T60477" s="135"/>
      <c r="U60477" s="135"/>
    </row>
    <row r="60478" spans="20:21" ht="15" customHeight="1" x14ac:dyDescent="0.25">
      <c r="T60478" s="135"/>
      <c r="U60478" s="135"/>
    </row>
    <row r="60479" spans="20:21" ht="15" customHeight="1" x14ac:dyDescent="0.25">
      <c r="T60479" s="135"/>
      <c r="U60479" s="135"/>
    </row>
    <row r="60480" spans="20:21" ht="15" customHeight="1" x14ac:dyDescent="0.25">
      <c r="T60480" s="135"/>
      <c r="U60480" s="135"/>
    </row>
    <row r="60481" spans="20:21" ht="15" customHeight="1" x14ac:dyDescent="0.25">
      <c r="T60481" s="135"/>
      <c r="U60481" s="135"/>
    </row>
    <row r="60482" spans="20:21" ht="15" customHeight="1" x14ac:dyDescent="0.25">
      <c r="T60482" s="135"/>
      <c r="U60482" s="135"/>
    </row>
    <row r="60483" spans="20:21" ht="15" customHeight="1" x14ac:dyDescent="0.25">
      <c r="T60483" s="135"/>
      <c r="U60483" s="135"/>
    </row>
    <row r="60484" spans="20:21" ht="15" customHeight="1" x14ac:dyDescent="0.25">
      <c r="T60484" s="135"/>
      <c r="U60484" s="135"/>
    </row>
    <row r="60485" spans="20:21" ht="15" customHeight="1" x14ac:dyDescent="0.25">
      <c r="T60485" s="135"/>
      <c r="U60485" s="135"/>
    </row>
    <row r="60486" spans="20:21" ht="15" customHeight="1" x14ac:dyDescent="0.25">
      <c r="T60486" s="135"/>
      <c r="U60486" s="135"/>
    </row>
    <row r="60487" spans="20:21" ht="15" customHeight="1" x14ac:dyDescent="0.25">
      <c r="T60487" s="135"/>
      <c r="U60487" s="135"/>
    </row>
    <row r="60488" spans="20:21" ht="15" customHeight="1" x14ac:dyDescent="0.25">
      <c r="T60488" s="135"/>
      <c r="U60488" s="135"/>
    </row>
    <row r="60489" spans="20:21" ht="15" customHeight="1" x14ac:dyDescent="0.25">
      <c r="T60489" s="135"/>
      <c r="U60489" s="135"/>
    </row>
    <row r="60490" spans="20:21" ht="15" customHeight="1" x14ac:dyDescent="0.25">
      <c r="T60490" s="135"/>
      <c r="U60490" s="135"/>
    </row>
    <row r="60491" spans="20:21" ht="15" customHeight="1" x14ac:dyDescent="0.25">
      <c r="T60491" s="135"/>
      <c r="U60491" s="135"/>
    </row>
    <row r="60492" spans="20:21" ht="15" customHeight="1" x14ac:dyDescent="0.25">
      <c r="T60492" s="135"/>
      <c r="U60492" s="135"/>
    </row>
    <row r="60493" spans="20:21" ht="15" customHeight="1" x14ac:dyDescent="0.25">
      <c r="T60493" s="135"/>
      <c r="U60493" s="135"/>
    </row>
    <row r="60494" spans="20:21" ht="15" customHeight="1" x14ac:dyDescent="0.25">
      <c r="T60494" s="135"/>
      <c r="U60494" s="135"/>
    </row>
    <row r="60495" spans="20:21" ht="15" customHeight="1" x14ac:dyDescent="0.25">
      <c r="T60495" s="135"/>
      <c r="U60495" s="135"/>
    </row>
    <row r="60496" spans="20:21" ht="15" customHeight="1" x14ac:dyDescent="0.25">
      <c r="T60496" s="135"/>
      <c r="U60496" s="135"/>
    </row>
    <row r="60497" spans="20:21" ht="15" customHeight="1" x14ac:dyDescent="0.25">
      <c r="T60497" s="135"/>
      <c r="U60497" s="135"/>
    </row>
    <row r="60498" spans="20:21" ht="15" customHeight="1" x14ac:dyDescent="0.25">
      <c r="T60498" s="135"/>
      <c r="U60498" s="135"/>
    </row>
    <row r="60499" spans="20:21" ht="15" customHeight="1" x14ac:dyDescent="0.25">
      <c r="T60499" s="135"/>
      <c r="U60499" s="135"/>
    </row>
    <row r="60500" spans="20:21" ht="15" customHeight="1" x14ac:dyDescent="0.25">
      <c r="T60500" s="135"/>
      <c r="U60500" s="135"/>
    </row>
    <row r="60501" spans="20:21" ht="15" customHeight="1" x14ac:dyDescent="0.25">
      <c r="T60501" s="135"/>
      <c r="U60501" s="135"/>
    </row>
    <row r="60502" spans="20:21" ht="15" customHeight="1" x14ac:dyDescent="0.25">
      <c r="T60502" s="135"/>
      <c r="U60502" s="135"/>
    </row>
    <row r="60503" spans="20:21" ht="15" customHeight="1" x14ac:dyDescent="0.25">
      <c r="T60503" s="135"/>
      <c r="U60503" s="135"/>
    </row>
    <row r="60504" spans="20:21" ht="15" customHeight="1" x14ac:dyDescent="0.25">
      <c r="T60504" s="135"/>
      <c r="U60504" s="135"/>
    </row>
    <row r="60505" spans="20:21" ht="15" customHeight="1" x14ac:dyDescent="0.25">
      <c r="T60505" s="135"/>
      <c r="U60505" s="135"/>
    </row>
    <row r="60506" spans="20:21" ht="15" customHeight="1" x14ac:dyDescent="0.25">
      <c r="T60506" s="135"/>
      <c r="U60506" s="135"/>
    </row>
    <row r="60507" spans="20:21" ht="15" customHeight="1" x14ac:dyDescent="0.25">
      <c r="T60507" s="135"/>
      <c r="U60507" s="135"/>
    </row>
    <row r="60508" spans="20:21" ht="15" customHeight="1" x14ac:dyDescent="0.25">
      <c r="T60508" s="135"/>
      <c r="U60508" s="135"/>
    </row>
    <row r="60509" spans="20:21" ht="15" customHeight="1" x14ac:dyDescent="0.25">
      <c r="T60509" s="135"/>
      <c r="U60509" s="135"/>
    </row>
    <row r="60510" spans="20:21" ht="15" customHeight="1" x14ac:dyDescent="0.25">
      <c r="T60510" s="135"/>
      <c r="U60510" s="135"/>
    </row>
    <row r="60511" spans="20:21" ht="15" customHeight="1" x14ac:dyDescent="0.25">
      <c r="T60511" s="135"/>
      <c r="U60511" s="135"/>
    </row>
    <row r="60512" spans="20:21" ht="15" customHeight="1" x14ac:dyDescent="0.25">
      <c r="T60512" s="135"/>
      <c r="U60512" s="135"/>
    </row>
    <row r="60513" spans="20:21" ht="15" customHeight="1" x14ac:dyDescent="0.25">
      <c r="T60513" s="135"/>
      <c r="U60513" s="135"/>
    </row>
    <row r="60514" spans="20:21" ht="15" customHeight="1" x14ac:dyDescent="0.25">
      <c r="T60514" s="135"/>
      <c r="U60514" s="135"/>
    </row>
    <row r="60515" spans="20:21" ht="15" customHeight="1" x14ac:dyDescent="0.25">
      <c r="T60515" s="135"/>
      <c r="U60515" s="135"/>
    </row>
    <row r="60516" spans="20:21" ht="15" customHeight="1" x14ac:dyDescent="0.25">
      <c r="T60516" s="135"/>
      <c r="U60516" s="135"/>
    </row>
    <row r="60517" spans="20:21" ht="15" customHeight="1" x14ac:dyDescent="0.25">
      <c r="T60517" s="135"/>
      <c r="U60517" s="135"/>
    </row>
    <row r="60518" spans="20:21" ht="15" customHeight="1" x14ac:dyDescent="0.25">
      <c r="T60518" s="135"/>
      <c r="U60518" s="135"/>
    </row>
    <row r="60519" spans="20:21" ht="15" customHeight="1" x14ac:dyDescent="0.25">
      <c r="T60519" s="135"/>
      <c r="U60519" s="135"/>
    </row>
    <row r="60520" spans="20:21" ht="15" customHeight="1" x14ac:dyDescent="0.25">
      <c r="T60520" s="135"/>
      <c r="U60520" s="135"/>
    </row>
    <row r="60521" spans="20:21" ht="15" customHeight="1" x14ac:dyDescent="0.25">
      <c r="T60521" s="135"/>
      <c r="U60521" s="135"/>
    </row>
    <row r="60522" spans="20:21" ht="15" customHeight="1" x14ac:dyDescent="0.25">
      <c r="T60522" s="135"/>
      <c r="U60522" s="135"/>
    </row>
    <row r="60523" spans="20:21" ht="15" customHeight="1" x14ac:dyDescent="0.25">
      <c r="T60523" s="135"/>
      <c r="U60523" s="135"/>
    </row>
    <row r="60524" spans="20:21" ht="15" customHeight="1" x14ac:dyDescent="0.25">
      <c r="T60524" s="135"/>
      <c r="U60524" s="135"/>
    </row>
    <row r="60525" spans="20:21" ht="15" customHeight="1" x14ac:dyDescent="0.25">
      <c r="T60525" s="135"/>
      <c r="U60525" s="135"/>
    </row>
    <row r="60526" spans="20:21" ht="15" customHeight="1" x14ac:dyDescent="0.25">
      <c r="T60526" s="135"/>
      <c r="U60526" s="135"/>
    </row>
    <row r="60527" spans="20:21" ht="15" customHeight="1" x14ac:dyDescent="0.25">
      <c r="T60527" s="135"/>
      <c r="U60527" s="135"/>
    </row>
    <row r="60528" spans="20:21" ht="15" customHeight="1" x14ac:dyDescent="0.25">
      <c r="T60528" s="135"/>
      <c r="U60528" s="135"/>
    </row>
    <row r="60529" spans="20:21" ht="15" customHeight="1" x14ac:dyDescent="0.25">
      <c r="T60529" s="135"/>
      <c r="U60529" s="135"/>
    </row>
    <row r="60530" spans="20:21" ht="15" customHeight="1" x14ac:dyDescent="0.25">
      <c r="T60530" s="135"/>
      <c r="U60530" s="135"/>
    </row>
    <row r="60531" spans="20:21" ht="15" customHeight="1" x14ac:dyDescent="0.25">
      <c r="T60531" s="135"/>
      <c r="U60531" s="135"/>
    </row>
    <row r="60532" spans="20:21" ht="15" customHeight="1" x14ac:dyDescent="0.25">
      <c r="T60532" s="135"/>
      <c r="U60532" s="135"/>
    </row>
    <row r="60533" spans="20:21" ht="15" customHeight="1" x14ac:dyDescent="0.25">
      <c r="T60533" s="135"/>
      <c r="U60533" s="135"/>
    </row>
    <row r="60534" spans="20:21" ht="15" customHeight="1" x14ac:dyDescent="0.25">
      <c r="T60534" s="135"/>
      <c r="U60534" s="135"/>
    </row>
    <row r="60535" spans="20:21" ht="15" customHeight="1" x14ac:dyDescent="0.25">
      <c r="T60535" s="135"/>
      <c r="U60535" s="135"/>
    </row>
    <row r="60536" spans="20:21" ht="15" customHeight="1" x14ac:dyDescent="0.25">
      <c r="T60536" s="135"/>
      <c r="U60536" s="135"/>
    </row>
    <row r="60537" spans="20:21" ht="15" customHeight="1" x14ac:dyDescent="0.25">
      <c r="T60537" s="135"/>
      <c r="U60537" s="135"/>
    </row>
    <row r="60538" spans="20:21" ht="15" customHeight="1" x14ac:dyDescent="0.25">
      <c r="T60538" s="135"/>
      <c r="U60538" s="135"/>
    </row>
    <row r="60539" spans="20:21" ht="15" customHeight="1" x14ac:dyDescent="0.25">
      <c r="T60539" s="135"/>
      <c r="U60539" s="135"/>
    </row>
    <row r="60540" spans="20:21" ht="15" customHeight="1" x14ac:dyDescent="0.25">
      <c r="T60540" s="135"/>
      <c r="U60540" s="135"/>
    </row>
    <row r="60541" spans="20:21" ht="15" customHeight="1" x14ac:dyDescent="0.25">
      <c r="T60541" s="135"/>
      <c r="U60541" s="135"/>
    </row>
    <row r="60542" spans="20:21" ht="15" customHeight="1" x14ac:dyDescent="0.25">
      <c r="T60542" s="135"/>
      <c r="U60542" s="135"/>
    </row>
    <row r="60543" spans="20:21" ht="15" customHeight="1" x14ac:dyDescent="0.25">
      <c r="T60543" s="135"/>
      <c r="U60543" s="135"/>
    </row>
    <row r="60544" spans="20:21" ht="15" customHeight="1" x14ac:dyDescent="0.25">
      <c r="T60544" s="135"/>
      <c r="U60544" s="135"/>
    </row>
    <row r="60545" spans="20:21" ht="15" customHeight="1" x14ac:dyDescent="0.25">
      <c r="T60545" s="135"/>
      <c r="U60545" s="135"/>
    </row>
    <row r="60546" spans="20:21" ht="15" customHeight="1" x14ac:dyDescent="0.25">
      <c r="T60546" s="135"/>
      <c r="U60546" s="135"/>
    </row>
    <row r="60547" spans="20:21" ht="15" customHeight="1" x14ac:dyDescent="0.25">
      <c r="T60547" s="135"/>
      <c r="U60547" s="135"/>
    </row>
    <row r="60548" spans="20:21" ht="15" customHeight="1" x14ac:dyDescent="0.25">
      <c r="T60548" s="135"/>
      <c r="U60548" s="135"/>
    </row>
    <row r="60549" spans="20:21" ht="15" customHeight="1" x14ac:dyDescent="0.25">
      <c r="T60549" s="135"/>
      <c r="U60549" s="135"/>
    </row>
    <row r="60550" spans="20:21" ht="15" customHeight="1" x14ac:dyDescent="0.25">
      <c r="T60550" s="135"/>
      <c r="U60550" s="135"/>
    </row>
    <row r="60551" spans="20:21" ht="15" customHeight="1" x14ac:dyDescent="0.25">
      <c r="T60551" s="135"/>
      <c r="U60551" s="135"/>
    </row>
    <row r="60552" spans="20:21" ht="15" customHeight="1" x14ac:dyDescent="0.25">
      <c r="T60552" s="135"/>
      <c r="U60552" s="135"/>
    </row>
    <row r="60553" spans="20:21" ht="15" customHeight="1" x14ac:dyDescent="0.25">
      <c r="T60553" s="135"/>
      <c r="U60553" s="135"/>
    </row>
    <row r="60554" spans="20:21" ht="15" customHeight="1" x14ac:dyDescent="0.25">
      <c r="T60554" s="135"/>
      <c r="U60554" s="135"/>
    </row>
    <row r="60555" spans="20:21" ht="15" customHeight="1" x14ac:dyDescent="0.25">
      <c r="T60555" s="135"/>
      <c r="U60555" s="135"/>
    </row>
    <row r="60556" spans="20:21" ht="15" customHeight="1" x14ac:dyDescent="0.25">
      <c r="T60556" s="135"/>
      <c r="U60556" s="135"/>
    </row>
    <row r="60557" spans="20:21" ht="15" customHeight="1" x14ac:dyDescent="0.25">
      <c r="T60557" s="135"/>
      <c r="U60557" s="135"/>
    </row>
    <row r="60558" spans="20:21" ht="15" customHeight="1" x14ac:dyDescent="0.25">
      <c r="T60558" s="135"/>
      <c r="U60558" s="135"/>
    </row>
    <row r="60559" spans="20:21" ht="15" customHeight="1" x14ac:dyDescent="0.25">
      <c r="T60559" s="135"/>
      <c r="U60559" s="135"/>
    </row>
    <row r="60560" spans="20:21" ht="15" customHeight="1" x14ac:dyDescent="0.25">
      <c r="T60560" s="135"/>
      <c r="U60560" s="135"/>
    </row>
    <row r="60561" spans="20:21" ht="15" customHeight="1" x14ac:dyDescent="0.25">
      <c r="T60561" s="135"/>
      <c r="U60561" s="135"/>
    </row>
    <row r="60562" spans="20:21" ht="15" customHeight="1" x14ac:dyDescent="0.25">
      <c r="T60562" s="135"/>
      <c r="U60562" s="135"/>
    </row>
    <row r="60563" spans="20:21" ht="15" customHeight="1" x14ac:dyDescent="0.25">
      <c r="T60563" s="135"/>
      <c r="U60563" s="135"/>
    </row>
    <row r="60564" spans="20:21" ht="15" customHeight="1" x14ac:dyDescent="0.25">
      <c r="T60564" s="135"/>
      <c r="U60564" s="135"/>
    </row>
    <row r="60565" spans="20:21" ht="15" customHeight="1" x14ac:dyDescent="0.25">
      <c r="T60565" s="135"/>
      <c r="U60565" s="135"/>
    </row>
    <row r="60566" spans="20:21" ht="15" customHeight="1" x14ac:dyDescent="0.25">
      <c r="T60566" s="135"/>
      <c r="U60566" s="135"/>
    </row>
    <row r="60567" spans="20:21" ht="15" customHeight="1" x14ac:dyDescent="0.25">
      <c r="T60567" s="135"/>
      <c r="U60567" s="135"/>
    </row>
    <row r="60568" spans="20:21" ht="15" customHeight="1" x14ac:dyDescent="0.25">
      <c r="T60568" s="135"/>
      <c r="U60568" s="135"/>
    </row>
    <row r="60569" spans="20:21" ht="15" customHeight="1" x14ac:dyDescent="0.25">
      <c r="T60569" s="135"/>
      <c r="U60569" s="135"/>
    </row>
    <row r="60570" spans="20:21" ht="15" customHeight="1" x14ac:dyDescent="0.25">
      <c r="T60570" s="135"/>
      <c r="U60570" s="135"/>
    </row>
    <row r="60571" spans="20:21" ht="15" customHeight="1" x14ac:dyDescent="0.25">
      <c r="T60571" s="135"/>
      <c r="U60571" s="135"/>
    </row>
    <row r="60572" spans="20:21" ht="15" customHeight="1" x14ac:dyDescent="0.25">
      <c r="T60572" s="135"/>
      <c r="U60572" s="135"/>
    </row>
    <row r="60573" spans="20:21" ht="15" customHeight="1" x14ac:dyDescent="0.25">
      <c r="T60573" s="135"/>
      <c r="U60573" s="135"/>
    </row>
    <row r="60574" spans="20:21" ht="15" customHeight="1" x14ac:dyDescent="0.25">
      <c r="T60574" s="135"/>
      <c r="U60574" s="135"/>
    </row>
    <row r="60575" spans="20:21" ht="15" customHeight="1" x14ac:dyDescent="0.25">
      <c r="T60575" s="135"/>
      <c r="U60575" s="135"/>
    </row>
    <row r="60576" spans="20:21" ht="15" customHeight="1" x14ac:dyDescent="0.25">
      <c r="T60576" s="135"/>
      <c r="U60576" s="135"/>
    </row>
    <row r="60577" spans="20:21" ht="15" customHeight="1" x14ac:dyDescent="0.25">
      <c r="T60577" s="135"/>
      <c r="U60577" s="135"/>
    </row>
    <row r="60578" spans="20:21" ht="15" customHeight="1" x14ac:dyDescent="0.25">
      <c r="T60578" s="135"/>
      <c r="U60578" s="135"/>
    </row>
    <row r="60579" spans="20:21" ht="15" customHeight="1" x14ac:dyDescent="0.25">
      <c r="T60579" s="135"/>
      <c r="U60579" s="135"/>
    </row>
    <row r="60580" spans="20:21" ht="15" customHeight="1" x14ac:dyDescent="0.25">
      <c r="T60580" s="135"/>
      <c r="U60580" s="135"/>
    </row>
    <row r="60581" spans="20:21" ht="15" customHeight="1" x14ac:dyDescent="0.25">
      <c r="T60581" s="135"/>
      <c r="U60581" s="135"/>
    </row>
    <row r="60582" spans="20:21" ht="15" customHeight="1" x14ac:dyDescent="0.25">
      <c r="T60582" s="135"/>
      <c r="U60582" s="135"/>
    </row>
    <row r="60583" spans="20:21" ht="15" customHeight="1" x14ac:dyDescent="0.25">
      <c r="T60583" s="135"/>
      <c r="U60583" s="135"/>
    </row>
    <row r="60584" spans="20:21" ht="15" customHeight="1" x14ac:dyDescent="0.25">
      <c r="T60584" s="135"/>
      <c r="U60584" s="135"/>
    </row>
    <row r="60585" spans="20:21" ht="15" customHeight="1" x14ac:dyDescent="0.25">
      <c r="T60585" s="135"/>
      <c r="U60585" s="135"/>
    </row>
    <row r="60586" spans="20:21" ht="15" customHeight="1" x14ac:dyDescent="0.25">
      <c r="T60586" s="135"/>
      <c r="U60586" s="135"/>
    </row>
    <row r="60587" spans="20:21" ht="15" customHeight="1" x14ac:dyDescent="0.25">
      <c r="T60587" s="135"/>
      <c r="U60587" s="135"/>
    </row>
    <row r="60588" spans="20:21" ht="15" customHeight="1" x14ac:dyDescent="0.25">
      <c r="T60588" s="135"/>
      <c r="U60588" s="135"/>
    </row>
    <row r="60589" spans="20:21" ht="15" customHeight="1" x14ac:dyDescent="0.25">
      <c r="T60589" s="135"/>
      <c r="U60589" s="135"/>
    </row>
    <row r="60590" spans="20:21" ht="15" customHeight="1" x14ac:dyDescent="0.25">
      <c r="T60590" s="135"/>
      <c r="U60590" s="135"/>
    </row>
    <row r="60591" spans="20:21" ht="15" customHeight="1" x14ac:dyDescent="0.25">
      <c r="T60591" s="135"/>
      <c r="U60591" s="135"/>
    </row>
    <row r="60592" spans="20:21" ht="15" customHeight="1" x14ac:dyDescent="0.25">
      <c r="T60592" s="135"/>
      <c r="U60592" s="135"/>
    </row>
    <row r="60593" spans="20:21" ht="15" customHeight="1" x14ac:dyDescent="0.25">
      <c r="T60593" s="135"/>
      <c r="U60593" s="135"/>
    </row>
    <row r="60594" spans="20:21" ht="15" customHeight="1" x14ac:dyDescent="0.25">
      <c r="T60594" s="135"/>
      <c r="U60594" s="135"/>
    </row>
    <row r="60595" spans="20:21" ht="15" customHeight="1" x14ac:dyDescent="0.25">
      <c r="T60595" s="135"/>
      <c r="U60595" s="135"/>
    </row>
    <row r="60596" spans="20:21" ht="15" customHeight="1" x14ac:dyDescent="0.25">
      <c r="T60596" s="135"/>
      <c r="U60596" s="135"/>
    </row>
    <row r="60597" spans="20:21" ht="15" customHeight="1" x14ac:dyDescent="0.25">
      <c r="T60597" s="135"/>
      <c r="U60597" s="135"/>
    </row>
    <row r="60598" spans="20:21" ht="15" customHeight="1" x14ac:dyDescent="0.25">
      <c r="T60598" s="135"/>
      <c r="U60598" s="135"/>
    </row>
    <row r="60599" spans="20:21" ht="15" customHeight="1" x14ac:dyDescent="0.25">
      <c r="T60599" s="135"/>
      <c r="U60599" s="135"/>
    </row>
    <row r="60600" spans="20:21" ht="15" customHeight="1" x14ac:dyDescent="0.25">
      <c r="T60600" s="135"/>
      <c r="U60600" s="135"/>
    </row>
    <row r="60601" spans="20:21" ht="15" customHeight="1" x14ac:dyDescent="0.25">
      <c r="T60601" s="135"/>
      <c r="U60601" s="135"/>
    </row>
    <row r="60602" spans="20:21" ht="15" customHeight="1" x14ac:dyDescent="0.25">
      <c r="T60602" s="135"/>
      <c r="U60602" s="135"/>
    </row>
    <row r="60603" spans="20:21" ht="15" customHeight="1" x14ac:dyDescent="0.25">
      <c r="T60603" s="135"/>
      <c r="U60603" s="135"/>
    </row>
    <row r="60604" spans="20:21" ht="15" customHeight="1" x14ac:dyDescent="0.25">
      <c r="T60604" s="135"/>
      <c r="U60604" s="135"/>
    </row>
    <row r="60605" spans="20:21" ht="15" customHeight="1" x14ac:dyDescent="0.25">
      <c r="T60605" s="135"/>
      <c r="U60605" s="135"/>
    </row>
    <row r="60606" spans="20:21" ht="15" customHeight="1" x14ac:dyDescent="0.25">
      <c r="T60606" s="135"/>
      <c r="U60606" s="135"/>
    </row>
    <row r="60607" spans="20:21" ht="15" customHeight="1" x14ac:dyDescent="0.25">
      <c r="T60607" s="135"/>
      <c r="U60607" s="135"/>
    </row>
    <row r="60608" spans="20:21" ht="15" customHeight="1" x14ac:dyDescent="0.25">
      <c r="T60608" s="135"/>
      <c r="U60608" s="135"/>
    </row>
    <row r="60609" spans="20:21" ht="15" customHeight="1" x14ac:dyDescent="0.25">
      <c r="T60609" s="135"/>
      <c r="U60609" s="135"/>
    </row>
    <row r="60610" spans="20:21" ht="15" customHeight="1" x14ac:dyDescent="0.25">
      <c r="T60610" s="135"/>
      <c r="U60610" s="135"/>
    </row>
    <row r="60611" spans="20:21" ht="15" customHeight="1" x14ac:dyDescent="0.25">
      <c r="T60611" s="135"/>
      <c r="U60611" s="135"/>
    </row>
    <row r="60612" spans="20:21" ht="15" customHeight="1" x14ac:dyDescent="0.25">
      <c r="T60612" s="135"/>
      <c r="U60612" s="135"/>
    </row>
    <row r="60613" spans="20:21" ht="15" customHeight="1" x14ac:dyDescent="0.25">
      <c r="T60613" s="135"/>
      <c r="U60613" s="135"/>
    </row>
    <row r="60614" spans="20:21" ht="15" customHeight="1" x14ac:dyDescent="0.25">
      <c r="T60614" s="135"/>
      <c r="U60614" s="135"/>
    </row>
    <row r="60615" spans="20:21" ht="15" customHeight="1" x14ac:dyDescent="0.25">
      <c r="T60615" s="135"/>
      <c r="U60615" s="135"/>
    </row>
    <row r="60616" spans="20:21" ht="15" customHeight="1" x14ac:dyDescent="0.25">
      <c r="T60616" s="135"/>
      <c r="U60616" s="135"/>
    </row>
    <row r="60617" spans="20:21" ht="15" customHeight="1" x14ac:dyDescent="0.25">
      <c r="T60617" s="135"/>
      <c r="U60617" s="135"/>
    </row>
    <row r="60618" spans="20:21" ht="15" customHeight="1" x14ac:dyDescent="0.25">
      <c r="T60618" s="135"/>
      <c r="U60618" s="135"/>
    </row>
    <row r="60619" spans="20:21" ht="15" customHeight="1" x14ac:dyDescent="0.25">
      <c r="T60619" s="135"/>
      <c r="U60619" s="135"/>
    </row>
    <row r="60620" spans="20:21" ht="15" customHeight="1" x14ac:dyDescent="0.25">
      <c r="T60620" s="135"/>
      <c r="U60620" s="135"/>
    </row>
    <row r="60621" spans="20:21" ht="15" customHeight="1" x14ac:dyDescent="0.25">
      <c r="T60621" s="135"/>
      <c r="U60621" s="135"/>
    </row>
    <row r="60622" spans="20:21" ht="15" customHeight="1" x14ac:dyDescent="0.25">
      <c r="T60622" s="135"/>
      <c r="U60622" s="135"/>
    </row>
    <row r="60623" spans="20:21" ht="15" customHeight="1" x14ac:dyDescent="0.25">
      <c r="T60623" s="135"/>
      <c r="U60623" s="135"/>
    </row>
    <row r="60624" spans="20:21" ht="15" customHeight="1" x14ac:dyDescent="0.25">
      <c r="T60624" s="135"/>
      <c r="U60624" s="135"/>
    </row>
    <row r="60625" spans="20:21" ht="15" customHeight="1" x14ac:dyDescent="0.25">
      <c r="T60625" s="135"/>
      <c r="U60625" s="135"/>
    </row>
    <row r="60626" spans="20:21" ht="15" customHeight="1" x14ac:dyDescent="0.25">
      <c r="T60626" s="135"/>
      <c r="U60626" s="135"/>
    </row>
    <row r="60627" spans="20:21" ht="15" customHeight="1" x14ac:dyDescent="0.25">
      <c r="T60627" s="135"/>
      <c r="U60627" s="135"/>
    </row>
    <row r="60628" spans="20:21" ht="15" customHeight="1" x14ac:dyDescent="0.25">
      <c r="T60628" s="135"/>
      <c r="U60628" s="135"/>
    </row>
    <row r="60629" spans="20:21" ht="15" customHeight="1" x14ac:dyDescent="0.25">
      <c r="T60629" s="135"/>
      <c r="U60629" s="135"/>
    </row>
    <row r="60630" spans="20:21" ht="15" customHeight="1" x14ac:dyDescent="0.25">
      <c r="T60630" s="135"/>
      <c r="U60630" s="135"/>
    </row>
    <row r="60631" spans="20:21" ht="15" customHeight="1" x14ac:dyDescent="0.25">
      <c r="T60631" s="135"/>
      <c r="U60631" s="135"/>
    </row>
    <row r="60632" spans="20:21" ht="15" customHeight="1" x14ac:dyDescent="0.25">
      <c r="T60632" s="135"/>
      <c r="U60632" s="135"/>
    </row>
    <row r="60633" spans="20:21" ht="15" customHeight="1" x14ac:dyDescent="0.25">
      <c r="T60633" s="135"/>
      <c r="U60633" s="135"/>
    </row>
    <row r="60634" spans="20:21" ht="15" customHeight="1" x14ac:dyDescent="0.25">
      <c r="T60634" s="135"/>
      <c r="U60634" s="135"/>
    </row>
    <row r="60635" spans="20:21" ht="15" customHeight="1" x14ac:dyDescent="0.25">
      <c r="T60635" s="135"/>
      <c r="U60635" s="135"/>
    </row>
    <row r="60636" spans="20:21" ht="15" customHeight="1" x14ac:dyDescent="0.25">
      <c r="T60636" s="135"/>
      <c r="U60636" s="135"/>
    </row>
    <row r="60637" spans="20:21" ht="15" customHeight="1" x14ac:dyDescent="0.25">
      <c r="T60637" s="135"/>
      <c r="U60637" s="135"/>
    </row>
    <row r="60638" spans="20:21" ht="15" customHeight="1" x14ac:dyDescent="0.25">
      <c r="T60638" s="135"/>
      <c r="U60638" s="135"/>
    </row>
    <row r="60639" spans="20:21" ht="15" customHeight="1" x14ac:dyDescent="0.25">
      <c r="T60639" s="135"/>
      <c r="U60639" s="135"/>
    </row>
    <row r="60640" spans="20:21" ht="15" customHeight="1" x14ac:dyDescent="0.25">
      <c r="T60640" s="135"/>
      <c r="U60640" s="135"/>
    </row>
    <row r="60641" spans="20:21" ht="15" customHeight="1" x14ac:dyDescent="0.25">
      <c r="T60641" s="135"/>
      <c r="U60641" s="135"/>
    </row>
    <row r="60642" spans="20:21" ht="15" customHeight="1" x14ac:dyDescent="0.25">
      <c r="T60642" s="135"/>
      <c r="U60642" s="135"/>
    </row>
    <row r="60643" spans="20:21" ht="15" customHeight="1" x14ac:dyDescent="0.25">
      <c r="T60643" s="135"/>
      <c r="U60643" s="135"/>
    </row>
    <row r="60644" spans="20:21" ht="15" customHeight="1" x14ac:dyDescent="0.25">
      <c r="T60644" s="135"/>
      <c r="U60644" s="135"/>
    </row>
    <row r="60645" spans="20:21" ht="15" customHeight="1" x14ac:dyDescent="0.25">
      <c r="T60645" s="135"/>
      <c r="U60645" s="135"/>
    </row>
    <row r="60646" spans="20:21" ht="15" customHeight="1" x14ac:dyDescent="0.25">
      <c r="T60646" s="135"/>
      <c r="U60646" s="135"/>
    </row>
    <row r="60647" spans="20:21" ht="15" customHeight="1" x14ac:dyDescent="0.25">
      <c r="T60647" s="135"/>
      <c r="U60647" s="135"/>
    </row>
    <row r="60648" spans="20:21" ht="15" customHeight="1" x14ac:dyDescent="0.25">
      <c r="T60648" s="135"/>
      <c r="U60648" s="135"/>
    </row>
    <row r="60649" spans="20:21" ht="15" customHeight="1" x14ac:dyDescent="0.25">
      <c r="T60649" s="135"/>
      <c r="U60649" s="135"/>
    </row>
    <row r="60650" spans="20:21" ht="15" customHeight="1" x14ac:dyDescent="0.25">
      <c r="T60650" s="135"/>
      <c r="U60650" s="135"/>
    </row>
    <row r="60651" spans="20:21" ht="15" customHeight="1" x14ac:dyDescent="0.25">
      <c r="T60651" s="135"/>
      <c r="U60651" s="135"/>
    </row>
    <row r="60652" spans="20:21" ht="15" customHeight="1" x14ac:dyDescent="0.25">
      <c r="T60652" s="135"/>
      <c r="U60652" s="135"/>
    </row>
    <row r="60653" spans="20:21" ht="15" customHeight="1" x14ac:dyDescent="0.25">
      <c r="T60653" s="135"/>
      <c r="U60653" s="135"/>
    </row>
    <row r="60654" spans="20:21" ht="15" customHeight="1" x14ac:dyDescent="0.25">
      <c r="T60654" s="135"/>
      <c r="U60654" s="135"/>
    </row>
    <row r="60655" spans="20:21" ht="15" customHeight="1" x14ac:dyDescent="0.25">
      <c r="T60655" s="135"/>
      <c r="U60655" s="135"/>
    </row>
    <row r="60656" spans="20:21" ht="15" customHeight="1" x14ac:dyDescent="0.25">
      <c r="T60656" s="135"/>
      <c r="U60656" s="135"/>
    </row>
    <row r="60657" spans="20:21" ht="15" customHeight="1" x14ac:dyDescent="0.25">
      <c r="T60657" s="135"/>
      <c r="U60657" s="135"/>
    </row>
    <row r="60658" spans="20:21" ht="15" customHeight="1" x14ac:dyDescent="0.25">
      <c r="T60658" s="135"/>
      <c r="U60658" s="135"/>
    </row>
    <row r="60659" spans="20:21" ht="15" customHeight="1" x14ac:dyDescent="0.25">
      <c r="T60659" s="135"/>
      <c r="U60659" s="135"/>
    </row>
    <row r="60660" spans="20:21" ht="15" customHeight="1" x14ac:dyDescent="0.25">
      <c r="T60660" s="135"/>
      <c r="U60660" s="135"/>
    </row>
    <row r="60661" spans="20:21" ht="15" customHeight="1" x14ac:dyDescent="0.25">
      <c r="T60661" s="135"/>
      <c r="U60661" s="135"/>
    </row>
    <row r="60662" spans="20:21" ht="15" customHeight="1" x14ac:dyDescent="0.25">
      <c r="T60662" s="135"/>
      <c r="U60662" s="135"/>
    </row>
    <row r="60663" spans="20:21" ht="15" customHeight="1" x14ac:dyDescent="0.25">
      <c r="T60663" s="135"/>
      <c r="U60663" s="135"/>
    </row>
    <row r="60664" spans="20:21" ht="15" customHeight="1" x14ac:dyDescent="0.25">
      <c r="T60664" s="135"/>
      <c r="U60664" s="135"/>
    </row>
    <row r="60665" spans="20:21" ht="15" customHeight="1" x14ac:dyDescent="0.25">
      <c r="T60665" s="135"/>
      <c r="U60665" s="135"/>
    </row>
    <row r="60666" spans="20:21" ht="15" customHeight="1" x14ac:dyDescent="0.25">
      <c r="T60666" s="135"/>
      <c r="U60666" s="135"/>
    </row>
    <row r="60667" spans="20:21" ht="15" customHeight="1" x14ac:dyDescent="0.25">
      <c r="T60667" s="135"/>
      <c r="U60667" s="135"/>
    </row>
    <row r="60668" spans="20:21" ht="15" customHeight="1" x14ac:dyDescent="0.25">
      <c r="T60668" s="135"/>
      <c r="U60668" s="135"/>
    </row>
    <row r="60669" spans="20:21" ht="15" customHeight="1" x14ac:dyDescent="0.25">
      <c r="T60669" s="135"/>
      <c r="U60669" s="135"/>
    </row>
    <row r="60670" spans="20:21" ht="15" customHeight="1" x14ac:dyDescent="0.25">
      <c r="T60670" s="135"/>
      <c r="U60670" s="135"/>
    </row>
    <row r="60671" spans="20:21" ht="15" customHeight="1" x14ac:dyDescent="0.25">
      <c r="T60671" s="135"/>
      <c r="U60671" s="135"/>
    </row>
    <row r="60672" spans="20:21" ht="15" customHeight="1" x14ac:dyDescent="0.25">
      <c r="T60672" s="135"/>
      <c r="U60672" s="135"/>
    </row>
    <row r="60673" spans="20:21" ht="15" customHeight="1" x14ac:dyDescent="0.25">
      <c r="T60673" s="135"/>
      <c r="U60673" s="135"/>
    </row>
    <row r="60674" spans="20:21" ht="15" customHeight="1" x14ac:dyDescent="0.25">
      <c r="T60674" s="135"/>
      <c r="U60674" s="135"/>
    </row>
    <row r="60675" spans="20:21" ht="15" customHeight="1" x14ac:dyDescent="0.25">
      <c r="T60675" s="135"/>
      <c r="U60675" s="135"/>
    </row>
    <row r="60676" spans="20:21" ht="15" customHeight="1" x14ac:dyDescent="0.25">
      <c r="T60676" s="135"/>
      <c r="U60676" s="135"/>
    </row>
    <row r="60677" spans="20:21" ht="15" customHeight="1" x14ac:dyDescent="0.25">
      <c r="T60677" s="135"/>
      <c r="U60677" s="135"/>
    </row>
    <row r="60678" spans="20:21" ht="15" customHeight="1" x14ac:dyDescent="0.25">
      <c r="T60678" s="135"/>
      <c r="U60678" s="135"/>
    </row>
    <row r="60679" spans="20:21" ht="15" customHeight="1" x14ac:dyDescent="0.25">
      <c r="T60679" s="135"/>
      <c r="U60679" s="135"/>
    </row>
    <row r="60680" spans="20:21" ht="15" customHeight="1" x14ac:dyDescent="0.25">
      <c r="T60680" s="135"/>
      <c r="U60680" s="135"/>
    </row>
    <row r="60681" spans="20:21" ht="15" customHeight="1" x14ac:dyDescent="0.25">
      <c r="T60681" s="135"/>
      <c r="U60681" s="135"/>
    </row>
    <row r="60682" spans="20:21" ht="15" customHeight="1" x14ac:dyDescent="0.25">
      <c r="T60682" s="135"/>
      <c r="U60682" s="135"/>
    </row>
    <row r="60683" spans="20:21" ht="15" customHeight="1" x14ac:dyDescent="0.25">
      <c r="T60683" s="135"/>
      <c r="U60683" s="135"/>
    </row>
    <row r="60684" spans="20:21" ht="15" customHeight="1" x14ac:dyDescent="0.25">
      <c r="T60684" s="135"/>
      <c r="U60684" s="135"/>
    </row>
    <row r="60685" spans="20:21" ht="15" customHeight="1" x14ac:dyDescent="0.25">
      <c r="T60685" s="135"/>
      <c r="U60685" s="135"/>
    </row>
    <row r="60686" spans="20:21" ht="15" customHeight="1" x14ac:dyDescent="0.25">
      <c r="T60686" s="135"/>
      <c r="U60686" s="135"/>
    </row>
    <row r="60687" spans="20:21" ht="15" customHeight="1" x14ac:dyDescent="0.25">
      <c r="T60687" s="135"/>
      <c r="U60687" s="135"/>
    </row>
    <row r="60688" spans="20:21" ht="15" customHeight="1" x14ac:dyDescent="0.25">
      <c r="T60688" s="135"/>
      <c r="U60688" s="135"/>
    </row>
    <row r="60689" spans="20:21" ht="15" customHeight="1" x14ac:dyDescent="0.25">
      <c r="T60689" s="135"/>
      <c r="U60689" s="135"/>
    </row>
    <row r="60690" spans="20:21" ht="15" customHeight="1" x14ac:dyDescent="0.25">
      <c r="T60690" s="135"/>
      <c r="U60690" s="135"/>
    </row>
    <row r="60691" spans="20:21" ht="15" customHeight="1" x14ac:dyDescent="0.25">
      <c r="T60691" s="135"/>
      <c r="U60691" s="135"/>
    </row>
    <row r="60692" spans="20:21" ht="15" customHeight="1" x14ac:dyDescent="0.25">
      <c r="T60692" s="135"/>
      <c r="U60692" s="135"/>
    </row>
    <row r="60693" spans="20:21" ht="15" customHeight="1" x14ac:dyDescent="0.25">
      <c r="T60693" s="135"/>
      <c r="U60693" s="135"/>
    </row>
    <row r="60694" spans="20:21" ht="15" customHeight="1" x14ac:dyDescent="0.25">
      <c r="T60694" s="135"/>
      <c r="U60694" s="135"/>
    </row>
    <row r="60695" spans="20:21" ht="15" customHeight="1" x14ac:dyDescent="0.25">
      <c r="T60695" s="135"/>
      <c r="U60695" s="135"/>
    </row>
    <row r="60696" spans="20:21" ht="15" customHeight="1" x14ac:dyDescent="0.25">
      <c r="T60696" s="135"/>
      <c r="U60696" s="135"/>
    </row>
    <row r="60697" spans="20:21" ht="15" customHeight="1" x14ac:dyDescent="0.25">
      <c r="T60697" s="135"/>
      <c r="U60697" s="135"/>
    </row>
    <row r="60698" spans="20:21" ht="15" customHeight="1" x14ac:dyDescent="0.25">
      <c r="T60698" s="135"/>
      <c r="U60698" s="135"/>
    </row>
    <row r="60699" spans="20:21" ht="15" customHeight="1" x14ac:dyDescent="0.25">
      <c r="T60699" s="135"/>
      <c r="U60699" s="135"/>
    </row>
    <row r="60700" spans="20:21" ht="15" customHeight="1" x14ac:dyDescent="0.25">
      <c r="T60700" s="135"/>
      <c r="U60700" s="135"/>
    </row>
    <row r="60701" spans="20:21" ht="15" customHeight="1" x14ac:dyDescent="0.25">
      <c r="T60701" s="135"/>
      <c r="U60701" s="135"/>
    </row>
    <row r="60702" spans="20:21" ht="15" customHeight="1" x14ac:dyDescent="0.25">
      <c r="T60702" s="135"/>
      <c r="U60702" s="135"/>
    </row>
    <row r="60703" spans="20:21" ht="15" customHeight="1" x14ac:dyDescent="0.25">
      <c r="T60703" s="135"/>
      <c r="U60703" s="135"/>
    </row>
    <row r="60704" spans="20:21" ht="15" customHeight="1" x14ac:dyDescent="0.25">
      <c r="T60704" s="135"/>
      <c r="U60704" s="135"/>
    </row>
    <row r="60705" spans="20:21" ht="15" customHeight="1" x14ac:dyDescent="0.25">
      <c r="T60705" s="135"/>
      <c r="U60705" s="135"/>
    </row>
    <row r="60706" spans="20:21" ht="15" customHeight="1" x14ac:dyDescent="0.25">
      <c r="T60706" s="135"/>
      <c r="U60706" s="135"/>
    </row>
    <row r="60707" spans="20:21" ht="15" customHeight="1" x14ac:dyDescent="0.25">
      <c r="T60707" s="135"/>
      <c r="U60707" s="135"/>
    </row>
    <row r="60708" spans="20:21" ht="15" customHeight="1" x14ac:dyDescent="0.25">
      <c r="T60708" s="135"/>
      <c r="U60708" s="135"/>
    </row>
    <row r="60709" spans="20:21" ht="15" customHeight="1" x14ac:dyDescent="0.25">
      <c r="T60709" s="135"/>
      <c r="U60709" s="135"/>
    </row>
    <row r="60710" spans="20:21" ht="15" customHeight="1" x14ac:dyDescent="0.25">
      <c r="T60710" s="135"/>
      <c r="U60710" s="135"/>
    </row>
    <row r="60711" spans="20:21" ht="15" customHeight="1" x14ac:dyDescent="0.25">
      <c r="T60711" s="135"/>
      <c r="U60711" s="135"/>
    </row>
    <row r="60712" spans="20:21" ht="15" customHeight="1" x14ac:dyDescent="0.25">
      <c r="T60712" s="135"/>
      <c r="U60712" s="135"/>
    </row>
    <row r="60713" spans="20:21" ht="15" customHeight="1" x14ac:dyDescent="0.25">
      <c r="T60713" s="135"/>
      <c r="U60713" s="135"/>
    </row>
    <row r="60714" spans="20:21" ht="15" customHeight="1" x14ac:dyDescent="0.25">
      <c r="T60714" s="135"/>
      <c r="U60714" s="135"/>
    </row>
    <row r="60715" spans="20:21" ht="15" customHeight="1" x14ac:dyDescent="0.25">
      <c r="T60715" s="135"/>
      <c r="U60715" s="135"/>
    </row>
    <row r="60716" spans="20:21" ht="15" customHeight="1" x14ac:dyDescent="0.25">
      <c r="T60716" s="135"/>
      <c r="U60716" s="135"/>
    </row>
    <row r="60717" spans="20:21" ht="15" customHeight="1" x14ac:dyDescent="0.25">
      <c r="T60717" s="135"/>
      <c r="U60717" s="135"/>
    </row>
    <row r="60718" spans="20:21" ht="15" customHeight="1" x14ac:dyDescent="0.25">
      <c r="T60718" s="135"/>
      <c r="U60718" s="135"/>
    </row>
    <row r="60719" spans="20:21" ht="15" customHeight="1" x14ac:dyDescent="0.25">
      <c r="T60719" s="135"/>
      <c r="U60719" s="135"/>
    </row>
    <row r="60720" spans="20:21" ht="15" customHeight="1" x14ac:dyDescent="0.25">
      <c r="T60720" s="135"/>
      <c r="U60720" s="135"/>
    </row>
    <row r="60721" spans="20:21" ht="15" customHeight="1" x14ac:dyDescent="0.25">
      <c r="T60721" s="135"/>
      <c r="U60721" s="135"/>
    </row>
    <row r="60722" spans="20:21" ht="15" customHeight="1" x14ac:dyDescent="0.25">
      <c r="T60722" s="135"/>
      <c r="U60722" s="135"/>
    </row>
    <row r="60723" spans="20:21" ht="15" customHeight="1" x14ac:dyDescent="0.25">
      <c r="T60723" s="135"/>
      <c r="U60723" s="135"/>
    </row>
    <row r="60724" spans="20:21" ht="15" customHeight="1" x14ac:dyDescent="0.25">
      <c r="T60724" s="135"/>
      <c r="U60724" s="135"/>
    </row>
    <row r="60725" spans="20:21" ht="15" customHeight="1" x14ac:dyDescent="0.25">
      <c r="T60725" s="135"/>
      <c r="U60725" s="135"/>
    </row>
    <row r="60726" spans="20:21" ht="15" customHeight="1" x14ac:dyDescent="0.25">
      <c r="T60726" s="135"/>
      <c r="U60726" s="135"/>
    </row>
    <row r="60727" spans="20:21" ht="15" customHeight="1" x14ac:dyDescent="0.25">
      <c r="T60727" s="135"/>
      <c r="U60727" s="135"/>
    </row>
    <row r="60728" spans="20:21" ht="15" customHeight="1" x14ac:dyDescent="0.25">
      <c r="T60728" s="135"/>
      <c r="U60728" s="135"/>
    </row>
    <row r="60729" spans="20:21" ht="15" customHeight="1" x14ac:dyDescent="0.25">
      <c r="T60729" s="135"/>
      <c r="U60729" s="135"/>
    </row>
    <row r="60730" spans="20:21" ht="15" customHeight="1" x14ac:dyDescent="0.25">
      <c r="T60730" s="135"/>
      <c r="U60730" s="135"/>
    </row>
    <row r="60731" spans="20:21" ht="15" customHeight="1" x14ac:dyDescent="0.25">
      <c r="T60731" s="135"/>
      <c r="U60731" s="135"/>
    </row>
    <row r="60732" spans="20:21" ht="15" customHeight="1" x14ac:dyDescent="0.25">
      <c r="T60732" s="135"/>
      <c r="U60732" s="135"/>
    </row>
    <row r="60733" spans="20:21" ht="15" customHeight="1" x14ac:dyDescent="0.25">
      <c r="T60733" s="135"/>
      <c r="U60733" s="135"/>
    </row>
    <row r="60734" spans="20:21" ht="15" customHeight="1" x14ac:dyDescent="0.25">
      <c r="T60734" s="135"/>
      <c r="U60734" s="135"/>
    </row>
    <row r="60735" spans="20:21" ht="15" customHeight="1" x14ac:dyDescent="0.25">
      <c r="T60735" s="135"/>
      <c r="U60735" s="135"/>
    </row>
    <row r="60736" spans="20:21" ht="15" customHeight="1" x14ac:dyDescent="0.25">
      <c r="T60736" s="135"/>
      <c r="U60736" s="135"/>
    </row>
    <row r="60737" spans="20:21" ht="15" customHeight="1" x14ac:dyDescent="0.25">
      <c r="T60737" s="135"/>
      <c r="U60737" s="135"/>
    </row>
    <row r="60738" spans="20:21" ht="15" customHeight="1" x14ac:dyDescent="0.25">
      <c r="T60738" s="135"/>
      <c r="U60738" s="135"/>
    </row>
    <row r="60739" spans="20:21" ht="15" customHeight="1" x14ac:dyDescent="0.25">
      <c r="T60739" s="135"/>
      <c r="U60739" s="135"/>
    </row>
    <row r="60740" spans="20:21" ht="15" customHeight="1" x14ac:dyDescent="0.25">
      <c r="T60740" s="135"/>
      <c r="U60740" s="135"/>
    </row>
    <row r="60741" spans="20:21" ht="15" customHeight="1" x14ac:dyDescent="0.25">
      <c r="T60741" s="135"/>
      <c r="U60741" s="135"/>
    </row>
    <row r="60742" spans="20:21" ht="15" customHeight="1" x14ac:dyDescent="0.25">
      <c r="T60742" s="135"/>
      <c r="U60742" s="135"/>
    </row>
    <row r="60743" spans="20:21" ht="15" customHeight="1" x14ac:dyDescent="0.25">
      <c r="T60743" s="135"/>
      <c r="U60743" s="135"/>
    </row>
    <row r="60744" spans="20:21" ht="15" customHeight="1" x14ac:dyDescent="0.25">
      <c r="T60744" s="135"/>
      <c r="U60744" s="135"/>
    </row>
    <row r="60745" spans="20:21" ht="15" customHeight="1" x14ac:dyDescent="0.25">
      <c r="T60745" s="135"/>
      <c r="U60745" s="135"/>
    </row>
    <row r="60746" spans="20:21" ht="15" customHeight="1" x14ac:dyDescent="0.25">
      <c r="T60746" s="135"/>
      <c r="U60746" s="135"/>
    </row>
    <row r="60747" spans="20:21" ht="15" customHeight="1" x14ac:dyDescent="0.25">
      <c r="T60747" s="135"/>
      <c r="U60747" s="135"/>
    </row>
    <row r="60748" spans="20:21" ht="15" customHeight="1" x14ac:dyDescent="0.25">
      <c r="T60748" s="135"/>
      <c r="U60748" s="135"/>
    </row>
    <row r="60749" spans="20:21" ht="15" customHeight="1" x14ac:dyDescent="0.25">
      <c r="T60749" s="135"/>
      <c r="U60749" s="135"/>
    </row>
    <row r="60750" spans="20:21" ht="15" customHeight="1" x14ac:dyDescent="0.25">
      <c r="T60750" s="135"/>
      <c r="U60750" s="135"/>
    </row>
    <row r="60751" spans="20:21" ht="15" customHeight="1" x14ac:dyDescent="0.25">
      <c r="T60751" s="135"/>
      <c r="U60751" s="135"/>
    </row>
    <row r="60752" spans="20:21" ht="15" customHeight="1" x14ac:dyDescent="0.25">
      <c r="T60752" s="135"/>
      <c r="U60752" s="135"/>
    </row>
    <row r="60753" spans="20:21" ht="15" customHeight="1" x14ac:dyDescent="0.25">
      <c r="T60753" s="135"/>
      <c r="U60753" s="135"/>
    </row>
    <row r="60754" spans="20:21" ht="15" customHeight="1" x14ac:dyDescent="0.25">
      <c r="T60754" s="135"/>
      <c r="U60754" s="135"/>
    </row>
    <row r="60755" spans="20:21" ht="15" customHeight="1" x14ac:dyDescent="0.25">
      <c r="T60755" s="135"/>
      <c r="U60755" s="135"/>
    </row>
    <row r="60756" spans="20:21" ht="15" customHeight="1" x14ac:dyDescent="0.25">
      <c r="T60756" s="135"/>
      <c r="U60756" s="135"/>
    </row>
    <row r="60757" spans="20:21" ht="15" customHeight="1" x14ac:dyDescent="0.25">
      <c r="T60757" s="135"/>
      <c r="U60757" s="135"/>
    </row>
    <row r="60758" spans="20:21" ht="15" customHeight="1" x14ac:dyDescent="0.25">
      <c r="T60758" s="135"/>
      <c r="U60758" s="135"/>
    </row>
    <row r="60759" spans="20:21" ht="15" customHeight="1" x14ac:dyDescent="0.25">
      <c r="T60759" s="135"/>
      <c r="U60759" s="135"/>
    </row>
    <row r="60760" spans="20:21" ht="15" customHeight="1" x14ac:dyDescent="0.25">
      <c r="T60760" s="135"/>
      <c r="U60760" s="135"/>
    </row>
    <row r="60761" spans="20:21" ht="15" customHeight="1" x14ac:dyDescent="0.25">
      <c r="T60761" s="135"/>
      <c r="U60761" s="135"/>
    </row>
    <row r="60762" spans="20:21" ht="15" customHeight="1" x14ac:dyDescent="0.25">
      <c r="T60762" s="135"/>
      <c r="U60762" s="135"/>
    </row>
    <row r="60763" spans="20:21" ht="15" customHeight="1" x14ac:dyDescent="0.25">
      <c r="T60763" s="135"/>
      <c r="U60763" s="135"/>
    </row>
    <row r="60764" spans="20:21" ht="15" customHeight="1" x14ac:dyDescent="0.25">
      <c r="T60764" s="135"/>
      <c r="U60764" s="135"/>
    </row>
    <row r="60765" spans="20:21" ht="15" customHeight="1" x14ac:dyDescent="0.25">
      <c r="T60765" s="135"/>
      <c r="U60765" s="135"/>
    </row>
    <row r="60766" spans="20:21" ht="15" customHeight="1" x14ac:dyDescent="0.25">
      <c r="T60766" s="135"/>
      <c r="U60766" s="135"/>
    </row>
    <row r="60767" spans="20:21" ht="15" customHeight="1" x14ac:dyDescent="0.25">
      <c r="T60767" s="135"/>
      <c r="U60767" s="135"/>
    </row>
    <row r="60768" spans="20:21" ht="15" customHeight="1" x14ac:dyDescent="0.25">
      <c r="T60768" s="135"/>
      <c r="U60768" s="135"/>
    </row>
    <row r="60769" spans="20:21" ht="15" customHeight="1" x14ac:dyDescent="0.25">
      <c r="T60769" s="135"/>
      <c r="U60769" s="135"/>
    </row>
    <row r="60770" spans="20:21" ht="15" customHeight="1" x14ac:dyDescent="0.25">
      <c r="T60770" s="135"/>
      <c r="U60770" s="135"/>
    </row>
    <row r="60771" spans="20:21" ht="15" customHeight="1" x14ac:dyDescent="0.25">
      <c r="T60771" s="135"/>
      <c r="U60771" s="135"/>
    </row>
    <row r="60772" spans="20:21" ht="15" customHeight="1" x14ac:dyDescent="0.25">
      <c r="T60772" s="135"/>
      <c r="U60772" s="135"/>
    </row>
    <row r="60773" spans="20:21" ht="15" customHeight="1" x14ac:dyDescent="0.25">
      <c r="T60773" s="135"/>
      <c r="U60773" s="135"/>
    </row>
    <row r="60774" spans="20:21" ht="15" customHeight="1" x14ac:dyDescent="0.25">
      <c r="T60774" s="135"/>
      <c r="U60774" s="135"/>
    </row>
    <row r="60775" spans="20:21" ht="15" customHeight="1" x14ac:dyDescent="0.25">
      <c r="T60775" s="135"/>
      <c r="U60775" s="135"/>
    </row>
    <row r="60776" spans="20:21" ht="15" customHeight="1" x14ac:dyDescent="0.25">
      <c r="T60776" s="135"/>
      <c r="U60776" s="135"/>
    </row>
    <row r="60777" spans="20:21" ht="15" customHeight="1" x14ac:dyDescent="0.25">
      <c r="T60777" s="135"/>
      <c r="U60777" s="135"/>
    </row>
    <row r="60778" spans="20:21" ht="15" customHeight="1" x14ac:dyDescent="0.25">
      <c r="T60778" s="135"/>
      <c r="U60778" s="135"/>
    </row>
    <row r="60779" spans="20:21" ht="15" customHeight="1" x14ac:dyDescent="0.25">
      <c r="T60779" s="135"/>
      <c r="U60779" s="135"/>
    </row>
    <row r="60780" spans="20:21" ht="15" customHeight="1" x14ac:dyDescent="0.25">
      <c r="T60780" s="135"/>
      <c r="U60780" s="135"/>
    </row>
    <row r="60781" spans="20:21" ht="15" customHeight="1" x14ac:dyDescent="0.25">
      <c r="T60781" s="135"/>
      <c r="U60781" s="135"/>
    </row>
    <row r="60782" spans="20:21" ht="15" customHeight="1" x14ac:dyDescent="0.25">
      <c r="T60782" s="135"/>
      <c r="U60782" s="135"/>
    </row>
    <row r="60783" spans="20:21" ht="15" customHeight="1" x14ac:dyDescent="0.25">
      <c r="T60783" s="135"/>
      <c r="U60783" s="135"/>
    </row>
    <row r="60784" spans="20:21" ht="15" customHeight="1" x14ac:dyDescent="0.25">
      <c r="T60784" s="135"/>
      <c r="U60784" s="135"/>
    </row>
    <row r="60785" spans="20:21" ht="15" customHeight="1" x14ac:dyDescent="0.25">
      <c r="T60785" s="135"/>
      <c r="U60785" s="135"/>
    </row>
    <row r="60786" spans="20:21" ht="15" customHeight="1" x14ac:dyDescent="0.25">
      <c r="T60786" s="135"/>
      <c r="U60786" s="135"/>
    </row>
    <row r="60787" spans="20:21" ht="15" customHeight="1" x14ac:dyDescent="0.25">
      <c r="T60787" s="135"/>
      <c r="U60787" s="135"/>
    </row>
    <row r="60788" spans="20:21" ht="15" customHeight="1" x14ac:dyDescent="0.25">
      <c r="T60788" s="135"/>
      <c r="U60788" s="135"/>
    </row>
    <row r="60789" spans="20:21" ht="15" customHeight="1" x14ac:dyDescent="0.25">
      <c r="T60789" s="135"/>
      <c r="U60789" s="135"/>
    </row>
    <row r="60790" spans="20:21" ht="15" customHeight="1" x14ac:dyDescent="0.25">
      <c r="T60790" s="135"/>
      <c r="U60790" s="135"/>
    </row>
    <row r="60791" spans="20:21" ht="15" customHeight="1" x14ac:dyDescent="0.25">
      <c r="T60791" s="135"/>
      <c r="U60791" s="135"/>
    </row>
    <row r="60792" spans="20:21" ht="15" customHeight="1" x14ac:dyDescent="0.25">
      <c r="T60792" s="135"/>
      <c r="U60792" s="135"/>
    </row>
    <row r="60793" spans="20:21" ht="15" customHeight="1" x14ac:dyDescent="0.25">
      <c r="T60793" s="135"/>
      <c r="U60793" s="135"/>
    </row>
    <row r="60794" spans="20:21" ht="15" customHeight="1" x14ac:dyDescent="0.25">
      <c r="T60794" s="135"/>
      <c r="U60794" s="135"/>
    </row>
    <row r="60795" spans="20:21" ht="15" customHeight="1" x14ac:dyDescent="0.25">
      <c r="T60795" s="135"/>
      <c r="U60795" s="135"/>
    </row>
    <row r="60796" spans="20:21" ht="15" customHeight="1" x14ac:dyDescent="0.25">
      <c r="T60796" s="135"/>
      <c r="U60796" s="135"/>
    </row>
    <row r="60797" spans="20:21" ht="15" customHeight="1" x14ac:dyDescent="0.25">
      <c r="T60797" s="135"/>
      <c r="U60797" s="135"/>
    </row>
    <row r="60798" spans="20:21" ht="15" customHeight="1" x14ac:dyDescent="0.25">
      <c r="T60798" s="135"/>
      <c r="U60798" s="135"/>
    </row>
    <row r="60799" spans="20:21" ht="15" customHeight="1" x14ac:dyDescent="0.25">
      <c r="T60799" s="135"/>
      <c r="U60799" s="135"/>
    </row>
    <row r="60800" spans="20:21" ht="15" customHeight="1" x14ac:dyDescent="0.25">
      <c r="T60800" s="135"/>
      <c r="U60800" s="135"/>
    </row>
    <row r="60801" spans="20:21" ht="15" customHeight="1" x14ac:dyDescent="0.25">
      <c r="T60801" s="135"/>
      <c r="U60801" s="135"/>
    </row>
    <row r="60802" spans="20:21" ht="15" customHeight="1" x14ac:dyDescent="0.25">
      <c r="T60802" s="135"/>
      <c r="U60802" s="135"/>
    </row>
    <row r="60803" spans="20:21" ht="15" customHeight="1" x14ac:dyDescent="0.25">
      <c r="T60803" s="135"/>
      <c r="U60803" s="135"/>
    </row>
    <row r="60804" spans="20:21" ht="15" customHeight="1" x14ac:dyDescent="0.25">
      <c r="T60804" s="135"/>
      <c r="U60804" s="135"/>
    </row>
    <row r="60805" spans="20:21" ht="15" customHeight="1" x14ac:dyDescent="0.25">
      <c r="T60805" s="135"/>
      <c r="U60805" s="135"/>
    </row>
    <row r="60806" spans="20:21" ht="15" customHeight="1" x14ac:dyDescent="0.25">
      <c r="T60806" s="135"/>
      <c r="U60806" s="135"/>
    </row>
    <row r="60807" spans="20:21" ht="15" customHeight="1" x14ac:dyDescent="0.25">
      <c r="T60807" s="135"/>
      <c r="U60807" s="135"/>
    </row>
    <row r="60808" spans="20:21" ht="15" customHeight="1" x14ac:dyDescent="0.25">
      <c r="T60808" s="135"/>
      <c r="U60808" s="135"/>
    </row>
    <row r="60809" spans="20:21" ht="15" customHeight="1" x14ac:dyDescent="0.25">
      <c r="T60809" s="135"/>
      <c r="U60809" s="135"/>
    </row>
    <row r="60810" spans="20:21" ht="15" customHeight="1" x14ac:dyDescent="0.25">
      <c r="T60810" s="135"/>
      <c r="U60810" s="135"/>
    </row>
    <row r="60811" spans="20:21" ht="15" customHeight="1" x14ac:dyDescent="0.25">
      <c r="T60811" s="135"/>
      <c r="U60811" s="135"/>
    </row>
    <row r="60812" spans="20:21" ht="15" customHeight="1" x14ac:dyDescent="0.25">
      <c r="T60812" s="135"/>
      <c r="U60812" s="135"/>
    </row>
    <row r="60813" spans="20:21" ht="15" customHeight="1" x14ac:dyDescent="0.25">
      <c r="T60813" s="135"/>
      <c r="U60813" s="135"/>
    </row>
    <row r="60814" spans="20:21" ht="15" customHeight="1" x14ac:dyDescent="0.25">
      <c r="T60814" s="135"/>
      <c r="U60814" s="135"/>
    </row>
    <row r="60815" spans="20:21" ht="15" customHeight="1" x14ac:dyDescent="0.25">
      <c r="T60815" s="135"/>
      <c r="U60815" s="135"/>
    </row>
    <row r="60816" spans="20:21" ht="15" customHeight="1" x14ac:dyDescent="0.25">
      <c r="T60816" s="135"/>
      <c r="U60816" s="135"/>
    </row>
    <row r="60817" spans="20:21" ht="15" customHeight="1" x14ac:dyDescent="0.25">
      <c r="T60817" s="135"/>
      <c r="U60817" s="135"/>
    </row>
    <row r="60818" spans="20:21" ht="15" customHeight="1" x14ac:dyDescent="0.25">
      <c r="T60818" s="135"/>
      <c r="U60818" s="135"/>
    </row>
    <row r="60819" spans="20:21" ht="15" customHeight="1" x14ac:dyDescent="0.25">
      <c r="T60819" s="135"/>
      <c r="U60819" s="135"/>
    </row>
    <row r="60820" spans="20:21" ht="15" customHeight="1" x14ac:dyDescent="0.25">
      <c r="T60820" s="135"/>
      <c r="U60820" s="135"/>
    </row>
    <row r="60821" spans="20:21" ht="15" customHeight="1" x14ac:dyDescent="0.25">
      <c r="T60821" s="135"/>
      <c r="U60821" s="135"/>
    </row>
    <row r="60822" spans="20:21" ht="15" customHeight="1" x14ac:dyDescent="0.25">
      <c r="T60822" s="135"/>
      <c r="U60822" s="135"/>
    </row>
    <row r="60823" spans="20:21" ht="15" customHeight="1" x14ac:dyDescent="0.25">
      <c r="T60823" s="135"/>
      <c r="U60823" s="135"/>
    </row>
    <row r="60824" spans="20:21" ht="15" customHeight="1" x14ac:dyDescent="0.25">
      <c r="T60824" s="135"/>
      <c r="U60824" s="135"/>
    </row>
    <row r="60825" spans="20:21" ht="15" customHeight="1" x14ac:dyDescent="0.25">
      <c r="T60825" s="135"/>
      <c r="U60825" s="135"/>
    </row>
    <row r="60826" spans="20:21" ht="15" customHeight="1" x14ac:dyDescent="0.25">
      <c r="T60826" s="135"/>
      <c r="U60826" s="135"/>
    </row>
    <row r="60827" spans="20:21" ht="15" customHeight="1" x14ac:dyDescent="0.25">
      <c r="T60827" s="135"/>
      <c r="U60827" s="135"/>
    </row>
    <row r="60828" spans="20:21" ht="15" customHeight="1" x14ac:dyDescent="0.25">
      <c r="T60828" s="135"/>
      <c r="U60828" s="135"/>
    </row>
    <row r="60829" spans="20:21" ht="15" customHeight="1" x14ac:dyDescent="0.25">
      <c r="T60829" s="135"/>
      <c r="U60829" s="135"/>
    </row>
    <row r="60830" spans="20:21" ht="15" customHeight="1" x14ac:dyDescent="0.25">
      <c r="T60830" s="135"/>
      <c r="U60830" s="135"/>
    </row>
    <row r="60831" spans="20:21" ht="15" customHeight="1" x14ac:dyDescent="0.25">
      <c r="T60831" s="135"/>
      <c r="U60831" s="135"/>
    </row>
    <row r="60832" spans="20:21" ht="15" customHeight="1" x14ac:dyDescent="0.25">
      <c r="T60832" s="135"/>
      <c r="U60832" s="135"/>
    </row>
    <row r="60833" spans="20:21" ht="15" customHeight="1" x14ac:dyDescent="0.25">
      <c r="T60833" s="135"/>
      <c r="U60833" s="135"/>
    </row>
    <row r="60834" spans="20:21" ht="15" customHeight="1" x14ac:dyDescent="0.25">
      <c r="T60834" s="135"/>
      <c r="U60834" s="135"/>
    </row>
    <row r="60835" spans="20:21" ht="15" customHeight="1" x14ac:dyDescent="0.25">
      <c r="T60835" s="135"/>
      <c r="U60835" s="135"/>
    </row>
    <row r="60836" spans="20:21" ht="15" customHeight="1" x14ac:dyDescent="0.25">
      <c r="T60836" s="135"/>
      <c r="U60836" s="135"/>
    </row>
    <row r="60837" spans="20:21" ht="15" customHeight="1" x14ac:dyDescent="0.25">
      <c r="T60837" s="135"/>
      <c r="U60837" s="135"/>
    </row>
    <row r="60838" spans="20:21" ht="15" customHeight="1" x14ac:dyDescent="0.25">
      <c r="T60838" s="135"/>
      <c r="U60838" s="135"/>
    </row>
    <row r="60839" spans="20:21" ht="15" customHeight="1" x14ac:dyDescent="0.25">
      <c r="T60839" s="135"/>
      <c r="U60839" s="135"/>
    </row>
    <row r="60840" spans="20:21" ht="15" customHeight="1" x14ac:dyDescent="0.25">
      <c r="T60840" s="135"/>
      <c r="U60840" s="135"/>
    </row>
    <row r="60841" spans="20:21" ht="15" customHeight="1" x14ac:dyDescent="0.25">
      <c r="T60841" s="135"/>
      <c r="U60841" s="135"/>
    </row>
    <row r="60842" spans="20:21" ht="15" customHeight="1" x14ac:dyDescent="0.25">
      <c r="T60842" s="135"/>
      <c r="U60842" s="135"/>
    </row>
    <row r="60843" spans="20:21" ht="15" customHeight="1" x14ac:dyDescent="0.25">
      <c r="T60843" s="135"/>
      <c r="U60843" s="135"/>
    </row>
    <row r="60844" spans="20:21" ht="15" customHeight="1" x14ac:dyDescent="0.25">
      <c r="T60844" s="135"/>
      <c r="U60844" s="135"/>
    </row>
    <row r="60845" spans="20:21" ht="15" customHeight="1" x14ac:dyDescent="0.25">
      <c r="T60845" s="135"/>
      <c r="U60845" s="135"/>
    </row>
    <row r="60846" spans="20:21" ht="15" customHeight="1" x14ac:dyDescent="0.25">
      <c r="T60846" s="135"/>
      <c r="U60846" s="135"/>
    </row>
    <row r="60847" spans="20:21" ht="15" customHeight="1" x14ac:dyDescent="0.25">
      <c r="T60847" s="135"/>
      <c r="U60847" s="135"/>
    </row>
    <row r="60848" spans="20:21" ht="15" customHeight="1" x14ac:dyDescent="0.25">
      <c r="T60848" s="135"/>
      <c r="U60848" s="135"/>
    </row>
    <row r="60849" spans="20:21" ht="15" customHeight="1" x14ac:dyDescent="0.25">
      <c r="T60849" s="135"/>
      <c r="U60849" s="135"/>
    </row>
    <row r="60850" spans="20:21" ht="15" customHeight="1" x14ac:dyDescent="0.25">
      <c r="T60850" s="135"/>
      <c r="U60850" s="135"/>
    </row>
    <row r="60851" spans="20:21" ht="15" customHeight="1" x14ac:dyDescent="0.25">
      <c r="T60851" s="135"/>
      <c r="U60851" s="135"/>
    </row>
    <row r="60852" spans="20:21" ht="15" customHeight="1" x14ac:dyDescent="0.25">
      <c r="T60852" s="135"/>
      <c r="U60852" s="135"/>
    </row>
    <row r="60853" spans="20:21" ht="15" customHeight="1" x14ac:dyDescent="0.25">
      <c r="T60853" s="135"/>
      <c r="U60853" s="135"/>
    </row>
    <row r="60854" spans="20:21" ht="15" customHeight="1" x14ac:dyDescent="0.25">
      <c r="T60854" s="135"/>
      <c r="U60854" s="135"/>
    </row>
    <row r="60855" spans="20:21" ht="15" customHeight="1" x14ac:dyDescent="0.25">
      <c r="T60855" s="135"/>
      <c r="U60855" s="135"/>
    </row>
    <row r="60856" spans="20:21" ht="15" customHeight="1" x14ac:dyDescent="0.25">
      <c r="T60856" s="135"/>
      <c r="U60856" s="135"/>
    </row>
    <row r="60857" spans="20:21" ht="15" customHeight="1" x14ac:dyDescent="0.25">
      <c r="T60857" s="135"/>
      <c r="U60857" s="135"/>
    </row>
    <row r="60858" spans="20:21" ht="15" customHeight="1" x14ac:dyDescent="0.25">
      <c r="T60858" s="135"/>
      <c r="U60858" s="135"/>
    </row>
    <row r="60859" spans="20:21" ht="15" customHeight="1" x14ac:dyDescent="0.25">
      <c r="T60859" s="135"/>
      <c r="U60859" s="135"/>
    </row>
    <row r="60860" spans="20:21" ht="15" customHeight="1" x14ac:dyDescent="0.25">
      <c r="T60860" s="135"/>
      <c r="U60860" s="135"/>
    </row>
    <row r="60861" spans="20:21" ht="15" customHeight="1" x14ac:dyDescent="0.25">
      <c r="T60861" s="135"/>
      <c r="U60861" s="135"/>
    </row>
    <row r="60862" spans="20:21" ht="15" customHeight="1" x14ac:dyDescent="0.25">
      <c r="T60862" s="135"/>
      <c r="U60862" s="135"/>
    </row>
    <row r="60863" spans="20:21" ht="15" customHeight="1" x14ac:dyDescent="0.25">
      <c r="T60863" s="135"/>
      <c r="U60863" s="135"/>
    </row>
    <row r="60864" spans="20:21" ht="15" customHeight="1" x14ac:dyDescent="0.25">
      <c r="T60864" s="135"/>
      <c r="U60864" s="135"/>
    </row>
    <row r="60865" spans="20:21" ht="15" customHeight="1" x14ac:dyDescent="0.25">
      <c r="T60865" s="135"/>
      <c r="U60865" s="135"/>
    </row>
    <row r="60866" spans="20:21" ht="15" customHeight="1" x14ac:dyDescent="0.25">
      <c r="T60866" s="135"/>
      <c r="U60866" s="135"/>
    </row>
    <row r="60867" spans="20:21" ht="15" customHeight="1" x14ac:dyDescent="0.25">
      <c r="T60867" s="135"/>
      <c r="U60867" s="135"/>
    </row>
    <row r="60868" spans="20:21" ht="15" customHeight="1" x14ac:dyDescent="0.25">
      <c r="T60868" s="135"/>
      <c r="U60868" s="135"/>
    </row>
    <row r="60869" spans="20:21" ht="15" customHeight="1" x14ac:dyDescent="0.25">
      <c r="T60869" s="135"/>
      <c r="U60869" s="135"/>
    </row>
    <row r="60870" spans="20:21" ht="15" customHeight="1" x14ac:dyDescent="0.25">
      <c r="T60870" s="135"/>
      <c r="U60870" s="135"/>
    </row>
    <row r="60871" spans="20:21" ht="15" customHeight="1" x14ac:dyDescent="0.25">
      <c r="T60871" s="135"/>
      <c r="U60871" s="135"/>
    </row>
    <row r="60872" spans="20:21" ht="15" customHeight="1" x14ac:dyDescent="0.25">
      <c r="T60872" s="135"/>
      <c r="U60872" s="135"/>
    </row>
    <row r="60873" spans="20:21" ht="15" customHeight="1" x14ac:dyDescent="0.25">
      <c r="T60873" s="135"/>
      <c r="U60873" s="135"/>
    </row>
    <row r="60874" spans="20:21" ht="15" customHeight="1" x14ac:dyDescent="0.25">
      <c r="T60874" s="135"/>
      <c r="U60874" s="135"/>
    </row>
    <row r="60875" spans="20:21" ht="15" customHeight="1" x14ac:dyDescent="0.25">
      <c r="T60875" s="135"/>
      <c r="U60875" s="135"/>
    </row>
    <row r="60876" spans="20:21" ht="15" customHeight="1" x14ac:dyDescent="0.25">
      <c r="T60876" s="135"/>
      <c r="U60876" s="135"/>
    </row>
    <row r="60877" spans="20:21" ht="15" customHeight="1" x14ac:dyDescent="0.25">
      <c r="T60877" s="135"/>
      <c r="U60877" s="135"/>
    </row>
    <row r="60878" spans="20:21" ht="15" customHeight="1" x14ac:dyDescent="0.25">
      <c r="T60878" s="135"/>
      <c r="U60878" s="135"/>
    </row>
    <row r="60879" spans="20:21" ht="15" customHeight="1" x14ac:dyDescent="0.25">
      <c r="T60879" s="135"/>
      <c r="U60879" s="135"/>
    </row>
    <row r="60880" spans="20:21" ht="15" customHeight="1" x14ac:dyDescent="0.25">
      <c r="T60880" s="135"/>
      <c r="U60880" s="135"/>
    </row>
    <row r="60881" spans="20:21" ht="15" customHeight="1" x14ac:dyDescent="0.25">
      <c r="T60881" s="135"/>
      <c r="U60881" s="135"/>
    </row>
    <row r="60882" spans="20:21" ht="15" customHeight="1" x14ac:dyDescent="0.25">
      <c r="T60882" s="135"/>
      <c r="U60882" s="135"/>
    </row>
    <row r="60883" spans="20:21" ht="15" customHeight="1" x14ac:dyDescent="0.25">
      <c r="T60883" s="135"/>
      <c r="U60883" s="135"/>
    </row>
    <row r="60884" spans="20:21" ht="15" customHeight="1" x14ac:dyDescent="0.25">
      <c r="T60884" s="135"/>
      <c r="U60884" s="135"/>
    </row>
    <row r="60885" spans="20:21" ht="15" customHeight="1" x14ac:dyDescent="0.25">
      <c r="T60885" s="135"/>
      <c r="U60885" s="135"/>
    </row>
    <row r="60886" spans="20:21" ht="15" customHeight="1" x14ac:dyDescent="0.25">
      <c r="T60886" s="135"/>
      <c r="U60886" s="135"/>
    </row>
    <row r="60887" spans="20:21" ht="15" customHeight="1" x14ac:dyDescent="0.25">
      <c r="T60887" s="135"/>
      <c r="U60887" s="135"/>
    </row>
    <row r="60888" spans="20:21" ht="15" customHeight="1" x14ac:dyDescent="0.25">
      <c r="T60888" s="135"/>
      <c r="U60888" s="135"/>
    </row>
    <row r="60889" spans="20:21" ht="15" customHeight="1" x14ac:dyDescent="0.25">
      <c r="T60889" s="135"/>
      <c r="U60889" s="135"/>
    </row>
    <row r="60890" spans="20:21" ht="15" customHeight="1" x14ac:dyDescent="0.25">
      <c r="T60890" s="135"/>
      <c r="U60890" s="135"/>
    </row>
    <row r="60891" spans="20:21" ht="15" customHeight="1" x14ac:dyDescent="0.25">
      <c r="T60891" s="135"/>
      <c r="U60891" s="135"/>
    </row>
    <row r="60892" spans="20:21" ht="15" customHeight="1" x14ac:dyDescent="0.25">
      <c r="T60892" s="135"/>
      <c r="U60892" s="135"/>
    </row>
    <row r="60893" spans="20:21" ht="15" customHeight="1" x14ac:dyDescent="0.25">
      <c r="T60893" s="135"/>
      <c r="U60893" s="135"/>
    </row>
    <row r="60894" spans="20:21" ht="15" customHeight="1" x14ac:dyDescent="0.25">
      <c r="T60894" s="135"/>
      <c r="U60894" s="135"/>
    </row>
    <row r="60895" spans="20:21" ht="15" customHeight="1" x14ac:dyDescent="0.25">
      <c r="T60895" s="135"/>
      <c r="U60895" s="135"/>
    </row>
    <row r="60896" spans="20:21" ht="15" customHeight="1" x14ac:dyDescent="0.25">
      <c r="T60896" s="135"/>
      <c r="U60896" s="135"/>
    </row>
    <row r="60897" spans="20:21" ht="15" customHeight="1" x14ac:dyDescent="0.25">
      <c r="T60897" s="135"/>
      <c r="U60897" s="135"/>
    </row>
    <row r="60898" spans="20:21" ht="15" customHeight="1" x14ac:dyDescent="0.25">
      <c r="T60898" s="135"/>
      <c r="U60898" s="135"/>
    </row>
    <row r="60899" spans="20:21" ht="15" customHeight="1" x14ac:dyDescent="0.25">
      <c r="T60899" s="135"/>
      <c r="U60899" s="135"/>
    </row>
    <row r="60900" spans="20:21" ht="15" customHeight="1" x14ac:dyDescent="0.25">
      <c r="T60900" s="135"/>
      <c r="U60900" s="135"/>
    </row>
    <row r="60901" spans="20:21" ht="15" customHeight="1" x14ac:dyDescent="0.25">
      <c r="T60901" s="135"/>
      <c r="U60901" s="135"/>
    </row>
    <row r="60902" spans="20:21" ht="15" customHeight="1" x14ac:dyDescent="0.25">
      <c r="T60902" s="135"/>
      <c r="U60902" s="135"/>
    </row>
    <row r="60903" spans="20:21" ht="15" customHeight="1" x14ac:dyDescent="0.25">
      <c r="T60903" s="135"/>
      <c r="U60903" s="135"/>
    </row>
    <row r="60904" spans="20:21" ht="15" customHeight="1" x14ac:dyDescent="0.25">
      <c r="T60904" s="135"/>
      <c r="U60904" s="135"/>
    </row>
    <row r="60905" spans="20:21" ht="15" customHeight="1" x14ac:dyDescent="0.25">
      <c r="T60905" s="135"/>
      <c r="U60905" s="135"/>
    </row>
    <row r="60906" spans="20:21" ht="15" customHeight="1" x14ac:dyDescent="0.25">
      <c r="T60906" s="135"/>
      <c r="U60906" s="135"/>
    </row>
    <row r="60907" spans="20:21" ht="15" customHeight="1" x14ac:dyDescent="0.25">
      <c r="T60907" s="135"/>
      <c r="U60907" s="135"/>
    </row>
    <row r="60908" spans="20:21" ht="15" customHeight="1" x14ac:dyDescent="0.25">
      <c r="T60908" s="135"/>
      <c r="U60908" s="135"/>
    </row>
    <row r="60909" spans="20:21" ht="15" customHeight="1" x14ac:dyDescent="0.25">
      <c r="T60909" s="135"/>
      <c r="U60909" s="135"/>
    </row>
    <row r="60910" spans="20:21" ht="15" customHeight="1" x14ac:dyDescent="0.25">
      <c r="T60910" s="135"/>
      <c r="U60910" s="135"/>
    </row>
    <row r="60911" spans="20:21" ht="15" customHeight="1" x14ac:dyDescent="0.25">
      <c r="T60911" s="135"/>
      <c r="U60911" s="135"/>
    </row>
    <row r="60912" spans="20:21" ht="15" customHeight="1" x14ac:dyDescent="0.25">
      <c r="T60912" s="135"/>
      <c r="U60912" s="135"/>
    </row>
    <row r="60913" spans="20:21" ht="15" customHeight="1" x14ac:dyDescent="0.25">
      <c r="T60913" s="135"/>
      <c r="U60913" s="135"/>
    </row>
    <row r="60914" spans="20:21" ht="15" customHeight="1" x14ac:dyDescent="0.25">
      <c r="T60914" s="135"/>
      <c r="U60914" s="135"/>
    </row>
    <row r="60915" spans="20:21" ht="15" customHeight="1" x14ac:dyDescent="0.25">
      <c r="T60915" s="135"/>
      <c r="U60915" s="135"/>
    </row>
    <row r="60916" spans="20:21" ht="15" customHeight="1" x14ac:dyDescent="0.25">
      <c r="T60916" s="135"/>
      <c r="U60916" s="135"/>
    </row>
    <row r="60917" spans="20:21" ht="15" customHeight="1" x14ac:dyDescent="0.25">
      <c r="T60917" s="135"/>
      <c r="U60917" s="135"/>
    </row>
    <row r="60918" spans="20:21" ht="15" customHeight="1" x14ac:dyDescent="0.25">
      <c r="T60918" s="135"/>
      <c r="U60918" s="135"/>
    </row>
    <row r="60919" spans="20:21" ht="15" customHeight="1" x14ac:dyDescent="0.25">
      <c r="T60919" s="135"/>
      <c r="U60919" s="135"/>
    </row>
    <row r="60920" spans="20:21" ht="15" customHeight="1" x14ac:dyDescent="0.25">
      <c r="T60920" s="135"/>
      <c r="U60920" s="135"/>
    </row>
    <row r="60921" spans="20:21" ht="15" customHeight="1" x14ac:dyDescent="0.25">
      <c r="T60921" s="135"/>
      <c r="U60921" s="135"/>
    </row>
    <row r="60922" spans="20:21" ht="15" customHeight="1" x14ac:dyDescent="0.25">
      <c r="T60922" s="135"/>
      <c r="U60922" s="135"/>
    </row>
    <row r="60923" spans="20:21" ht="15" customHeight="1" x14ac:dyDescent="0.25">
      <c r="T60923" s="135"/>
      <c r="U60923" s="135"/>
    </row>
    <row r="60924" spans="20:21" ht="15" customHeight="1" x14ac:dyDescent="0.25">
      <c r="T60924" s="135"/>
      <c r="U60924" s="135"/>
    </row>
    <row r="60925" spans="20:21" ht="15" customHeight="1" x14ac:dyDescent="0.25">
      <c r="T60925" s="135"/>
      <c r="U60925" s="135"/>
    </row>
    <row r="60926" spans="20:21" ht="15" customHeight="1" x14ac:dyDescent="0.25">
      <c r="T60926" s="135"/>
      <c r="U60926" s="135"/>
    </row>
    <row r="60927" spans="20:21" ht="15" customHeight="1" x14ac:dyDescent="0.25">
      <c r="T60927" s="135"/>
      <c r="U60927" s="135"/>
    </row>
    <row r="60928" spans="20:21" ht="15" customHeight="1" x14ac:dyDescent="0.25">
      <c r="T60928" s="135"/>
      <c r="U60928" s="135"/>
    </row>
    <row r="60929" spans="20:21" ht="15" customHeight="1" x14ac:dyDescent="0.25">
      <c r="T60929" s="135"/>
      <c r="U60929" s="135"/>
    </row>
    <row r="60930" spans="20:21" ht="15" customHeight="1" x14ac:dyDescent="0.25">
      <c r="T60930" s="135"/>
      <c r="U60930" s="135"/>
    </row>
    <row r="60931" spans="20:21" ht="15" customHeight="1" x14ac:dyDescent="0.25">
      <c r="T60931" s="135"/>
      <c r="U60931" s="135"/>
    </row>
    <row r="60932" spans="20:21" ht="15" customHeight="1" x14ac:dyDescent="0.25">
      <c r="T60932" s="135"/>
      <c r="U60932" s="135"/>
    </row>
    <row r="60933" spans="20:21" ht="15" customHeight="1" x14ac:dyDescent="0.25">
      <c r="T60933" s="135"/>
      <c r="U60933" s="135"/>
    </row>
    <row r="60934" spans="20:21" ht="15" customHeight="1" x14ac:dyDescent="0.25">
      <c r="T60934" s="135"/>
      <c r="U60934" s="135"/>
    </row>
    <row r="60935" spans="20:21" ht="15" customHeight="1" x14ac:dyDescent="0.25">
      <c r="T60935" s="135"/>
      <c r="U60935" s="135"/>
    </row>
    <row r="60936" spans="20:21" ht="15" customHeight="1" x14ac:dyDescent="0.25">
      <c r="T60936" s="135"/>
      <c r="U60936" s="135"/>
    </row>
    <row r="60937" spans="20:21" ht="15" customHeight="1" x14ac:dyDescent="0.25">
      <c r="T60937" s="135"/>
      <c r="U60937" s="135"/>
    </row>
    <row r="60938" spans="20:21" ht="15" customHeight="1" x14ac:dyDescent="0.25">
      <c r="T60938" s="135"/>
      <c r="U60938" s="135"/>
    </row>
    <row r="60939" spans="20:21" ht="15" customHeight="1" x14ac:dyDescent="0.25">
      <c r="T60939" s="135"/>
      <c r="U60939" s="135"/>
    </row>
    <row r="60940" spans="20:21" ht="15" customHeight="1" x14ac:dyDescent="0.25">
      <c r="T60940" s="135"/>
      <c r="U60940" s="135"/>
    </row>
    <row r="60941" spans="20:21" ht="15" customHeight="1" x14ac:dyDescent="0.25">
      <c r="T60941" s="135"/>
      <c r="U60941" s="135"/>
    </row>
    <row r="60942" spans="20:21" ht="15" customHeight="1" x14ac:dyDescent="0.25">
      <c r="T60942" s="135"/>
      <c r="U60942" s="135"/>
    </row>
    <row r="60943" spans="20:21" ht="15" customHeight="1" x14ac:dyDescent="0.25">
      <c r="T60943" s="135"/>
      <c r="U60943" s="135"/>
    </row>
    <row r="60944" spans="20:21" ht="15" customHeight="1" x14ac:dyDescent="0.25">
      <c r="T60944" s="135"/>
      <c r="U60944" s="135"/>
    </row>
    <row r="60945" spans="20:21" ht="15" customHeight="1" x14ac:dyDescent="0.25">
      <c r="T60945" s="135"/>
      <c r="U60945" s="135"/>
    </row>
    <row r="60946" spans="20:21" ht="15" customHeight="1" x14ac:dyDescent="0.25">
      <c r="T60946" s="135"/>
      <c r="U60946" s="135"/>
    </row>
    <row r="60947" spans="20:21" ht="15" customHeight="1" x14ac:dyDescent="0.25">
      <c r="T60947" s="135"/>
      <c r="U60947" s="135"/>
    </row>
    <row r="60948" spans="20:21" ht="15" customHeight="1" x14ac:dyDescent="0.25">
      <c r="T60948" s="135"/>
      <c r="U60948" s="135"/>
    </row>
    <row r="60949" spans="20:21" ht="15" customHeight="1" x14ac:dyDescent="0.25">
      <c r="T60949" s="135"/>
      <c r="U60949" s="135"/>
    </row>
    <row r="60950" spans="20:21" ht="15" customHeight="1" x14ac:dyDescent="0.25">
      <c r="T60950" s="135"/>
      <c r="U60950" s="135"/>
    </row>
    <row r="60951" spans="20:21" ht="15" customHeight="1" x14ac:dyDescent="0.25">
      <c r="T60951" s="135"/>
      <c r="U60951" s="135"/>
    </row>
    <row r="60952" spans="20:21" ht="15" customHeight="1" x14ac:dyDescent="0.25">
      <c r="T60952" s="135"/>
      <c r="U60952" s="135"/>
    </row>
    <row r="60953" spans="20:21" ht="15" customHeight="1" x14ac:dyDescent="0.25">
      <c r="T60953" s="135"/>
      <c r="U60953" s="135"/>
    </row>
    <row r="60954" spans="20:21" ht="15" customHeight="1" x14ac:dyDescent="0.25">
      <c r="T60954" s="135"/>
      <c r="U60954" s="135"/>
    </row>
    <row r="60955" spans="20:21" ht="15" customHeight="1" x14ac:dyDescent="0.25">
      <c r="T60955" s="135"/>
      <c r="U60955" s="135"/>
    </row>
    <row r="60956" spans="20:21" ht="15" customHeight="1" x14ac:dyDescent="0.25">
      <c r="T60956" s="135"/>
      <c r="U60956" s="135"/>
    </row>
    <row r="60957" spans="20:21" ht="15" customHeight="1" x14ac:dyDescent="0.25">
      <c r="T60957" s="135"/>
      <c r="U60957" s="135"/>
    </row>
    <row r="60958" spans="20:21" ht="15" customHeight="1" x14ac:dyDescent="0.25">
      <c r="T60958" s="135"/>
      <c r="U60958" s="135"/>
    </row>
    <row r="60959" spans="20:21" ht="15" customHeight="1" x14ac:dyDescent="0.25">
      <c r="T60959" s="135"/>
      <c r="U60959" s="135"/>
    </row>
    <row r="60960" spans="20:21" ht="15" customHeight="1" x14ac:dyDescent="0.25">
      <c r="T60960" s="135"/>
      <c r="U60960" s="135"/>
    </row>
    <row r="60961" spans="20:21" ht="15" customHeight="1" x14ac:dyDescent="0.25">
      <c r="T60961" s="135"/>
      <c r="U60961" s="135"/>
    </row>
    <row r="60962" spans="20:21" ht="15" customHeight="1" x14ac:dyDescent="0.25">
      <c r="T60962" s="135"/>
      <c r="U60962" s="135"/>
    </row>
    <row r="60963" spans="20:21" ht="15" customHeight="1" x14ac:dyDescent="0.25">
      <c r="T60963" s="135"/>
      <c r="U60963" s="135"/>
    </row>
    <row r="60964" spans="20:21" ht="15" customHeight="1" x14ac:dyDescent="0.25">
      <c r="T60964" s="135"/>
      <c r="U60964" s="135"/>
    </row>
    <row r="60965" spans="20:21" ht="15" customHeight="1" x14ac:dyDescent="0.25">
      <c r="T60965" s="135"/>
      <c r="U60965" s="135"/>
    </row>
    <row r="60966" spans="20:21" ht="15" customHeight="1" x14ac:dyDescent="0.25">
      <c r="T60966" s="135"/>
      <c r="U60966" s="135"/>
    </row>
    <row r="60967" spans="20:21" ht="15" customHeight="1" x14ac:dyDescent="0.25">
      <c r="T60967" s="135"/>
      <c r="U60967" s="135"/>
    </row>
    <row r="60968" spans="20:21" ht="15" customHeight="1" x14ac:dyDescent="0.25">
      <c r="T60968" s="135"/>
      <c r="U60968" s="135"/>
    </row>
    <row r="60969" spans="20:21" ht="15" customHeight="1" x14ac:dyDescent="0.25">
      <c r="T60969" s="135"/>
      <c r="U60969" s="135"/>
    </row>
    <row r="60970" spans="20:21" ht="15" customHeight="1" x14ac:dyDescent="0.25">
      <c r="T60970" s="135"/>
      <c r="U60970" s="135"/>
    </row>
    <row r="60971" spans="20:21" ht="15" customHeight="1" x14ac:dyDescent="0.25">
      <c r="T60971" s="135"/>
      <c r="U60971" s="135"/>
    </row>
    <row r="60972" spans="20:21" ht="15" customHeight="1" x14ac:dyDescent="0.25">
      <c r="T60972" s="135"/>
      <c r="U60972" s="135"/>
    </row>
    <row r="60973" spans="20:21" ht="15" customHeight="1" x14ac:dyDescent="0.25">
      <c r="T60973" s="135"/>
      <c r="U60973" s="135"/>
    </row>
    <row r="60974" spans="20:21" ht="15" customHeight="1" x14ac:dyDescent="0.25">
      <c r="T60974" s="135"/>
      <c r="U60974" s="135"/>
    </row>
    <row r="60975" spans="20:21" ht="15" customHeight="1" x14ac:dyDescent="0.25">
      <c r="T60975" s="135"/>
      <c r="U60975" s="135"/>
    </row>
    <row r="60976" spans="20:21" ht="15" customHeight="1" x14ac:dyDescent="0.25">
      <c r="T60976" s="135"/>
      <c r="U60976" s="135"/>
    </row>
    <row r="60977" spans="20:21" ht="15" customHeight="1" x14ac:dyDescent="0.25">
      <c r="T60977" s="135"/>
      <c r="U60977" s="135"/>
    </row>
    <row r="60978" spans="20:21" ht="15" customHeight="1" x14ac:dyDescent="0.25">
      <c r="T60978" s="135"/>
      <c r="U60978" s="135"/>
    </row>
    <row r="60979" spans="20:21" ht="15" customHeight="1" x14ac:dyDescent="0.25">
      <c r="T60979" s="135"/>
      <c r="U60979" s="135"/>
    </row>
    <row r="60980" spans="20:21" ht="15" customHeight="1" x14ac:dyDescent="0.25">
      <c r="T60980" s="135"/>
      <c r="U60980" s="135"/>
    </row>
    <row r="60981" spans="20:21" ht="15" customHeight="1" x14ac:dyDescent="0.25">
      <c r="T60981" s="135"/>
      <c r="U60981" s="135"/>
    </row>
    <row r="60982" spans="20:21" ht="15" customHeight="1" x14ac:dyDescent="0.25">
      <c r="T60982" s="135"/>
      <c r="U60982" s="135"/>
    </row>
    <row r="60983" spans="20:21" ht="15" customHeight="1" x14ac:dyDescent="0.25">
      <c r="T60983" s="135"/>
      <c r="U60983" s="135"/>
    </row>
    <row r="60984" spans="20:21" ht="15" customHeight="1" x14ac:dyDescent="0.25">
      <c r="T60984" s="135"/>
      <c r="U60984" s="135"/>
    </row>
    <row r="60985" spans="20:21" ht="15" customHeight="1" x14ac:dyDescent="0.25">
      <c r="T60985" s="135"/>
      <c r="U60985" s="135"/>
    </row>
    <row r="60986" spans="20:21" ht="15" customHeight="1" x14ac:dyDescent="0.25">
      <c r="T60986" s="135"/>
      <c r="U60986" s="135"/>
    </row>
    <row r="60987" spans="20:21" ht="15" customHeight="1" x14ac:dyDescent="0.25">
      <c r="T60987" s="135"/>
      <c r="U60987" s="135"/>
    </row>
    <row r="60988" spans="20:21" ht="15" customHeight="1" x14ac:dyDescent="0.25">
      <c r="T60988" s="135"/>
      <c r="U60988" s="135"/>
    </row>
    <row r="60989" spans="20:21" ht="15" customHeight="1" x14ac:dyDescent="0.25">
      <c r="T60989" s="135"/>
      <c r="U60989" s="135"/>
    </row>
    <row r="60990" spans="20:21" ht="15" customHeight="1" x14ac:dyDescent="0.25">
      <c r="T60990" s="135"/>
      <c r="U60990" s="135"/>
    </row>
    <row r="60991" spans="20:21" ht="15" customHeight="1" x14ac:dyDescent="0.25">
      <c r="T60991" s="135"/>
      <c r="U60991" s="135"/>
    </row>
    <row r="60992" spans="20:21" ht="15" customHeight="1" x14ac:dyDescent="0.25">
      <c r="T60992" s="135"/>
      <c r="U60992" s="135"/>
    </row>
    <row r="60993" spans="20:21" ht="15" customHeight="1" x14ac:dyDescent="0.25">
      <c r="T60993" s="135"/>
      <c r="U60993" s="135"/>
    </row>
    <row r="60994" spans="20:21" ht="15" customHeight="1" x14ac:dyDescent="0.25">
      <c r="T60994" s="135"/>
      <c r="U60994" s="135"/>
    </row>
    <row r="60995" spans="20:21" ht="15" customHeight="1" x14ac:dyDescent="0.25">
      <c r="T60995" s="135"/>
      <c r="U60995" s="135"/>
    </row>
    <row r="60996" spans="20:21" ht="15" customHeight="1" x14ac:dyDescent="0.25">
      <c r="T60996" s="135"/>
      <c r="U60996" s="135"/>
    </row>
    <row r="60997" spans="20:21" ht="15" customHeight="1" x14ac:dyDescent="0.25">
      <c r="T60997" s="135"/>
      <c r="U60997" s="135"/>
    </row>
    <row r="60998" spans="20:21" ht="15" customHeight="1" x14ac:dyDescent="0.25">
      <c r="T60998" s="135"/>
      <c r="U60998" s="135"/>
    </row>
    <row r="60999" spans="20:21" ht="15" customHeight="1" x14ac:dyDescent="0.25">
      <c r="T60999" s="135"/>
      <c r="U60999" s="135"/>
    </row>
    <row r="61000" spans="20:21" ht="15" customHeight="1" x14ac:dyDescent="0.25">
      <c r="T61000" s="135"/>
      <c r="U61000" s="135"/>
    </row>
    <row r="61001" spans="20:21" ht="15" customHeight="1" x14ac:dyDescent="0.25">
      <c r="T61001" s="135"/>
      <c r="U61001" s="135"/>
    </row>
    <row r="61002" spans="20:21" ht="15" customHeight="1" x14ac:dyDescent="0.25">
      <c r="T61002" s="135"/>
      <c r="U61002" s="135"/>
    </row>
    <row r="61003" spans="20:21" ht="15" customHeight="1" x14ac:dyDescent="0.25">
      <c r="T61003" s="135"/>
      <c r="U61003" s="135"/>
    </row>
    <row r="61004" spans="20:21" ht="15" customHeight="1" x14ac:dyDescent="0.25">
      <c r="T61004" s="135"/>
      <c r="U61004" s="135"/>
    </row>
    <row r="61005" spans="20:21" ht="15" customHeight="1" x14ac:dyDescent="0.25">
      <c r="T61005" s="135"/>
      <c r="U61005" s="135"/>
    </row>
    <row r="61006" spans="20:21" ht="15" customHeight="1" x14ac:dyDescent="0.25">
      <c r="T61006" s="135"/>
      <c r="U61006" s="135"/>
    </row>
    <row r="61007" spans="20:21" ht="15" customHeight="1" x14ac:dyDescent="0.25">
      <c r="T61007" s="135"/>
      <c r="U61007" s="135"/>
    </row>
    <row r="61008" spans="20:21" ht="15" customHeight="1" x14ac:dyDescent="0.25">
      <c r="T61008" s="135"/>
      <c r="U61008" s="135"/>
    </row>
    <row r="61009" spans="20:21" ht="15" customHeight="1" x14ac:dyDescent="0.25">
      <c r="T61009" s="135"/>
      <c r="U61009" s="135"/>
    </row>
    <row r="61010" spans="20:21" ht="15" customHeight="1" x14ac:dyDescent="0.25">
      <c r="T61010" s="135"/>
      <c r="U61010" s="135"/>
    </row>
    <row r="61011" spans="20:21" ht="15" customHeight="1" x14ac:dyDescent="0.25">
      <c r="T61011" s="135"/>
      <c r="U61011" s="135"/>
    </row>
    <row r="61012" spans="20:21" ht="15" customHeight="1" x14ac:dyDescent="0.25">
      <c r="T61012" s="135"/>
      <c r="U61012" s="135"/>
    </row>
    <row r="61013" spans="20:21" ht="15" customHeight="1" x14ac:dyDescent="0.25">
      <c r="T61013" s="135"/>
      <c r="U61013" s="135"/>
    </row>
    <row r="61014" spans="20:21" ht="15" customHeight="1" x14ac:dyDescent="0.25">
      <c r="T61014" s="135"/>
      <c r="U61014" s="135"/>
    </row>
    <row r="61015" spans="20:21" ht="15" customHeight="1" x14ac:dyDescent="0.25">
      <c r="T61015" s="135"/>
      <c r="U61015" s="135"/>
    </row>
    <row r="61016" spans="20:21" ht="15" customHeight="1" x14ac:dyDescent="0.25">
      <c r="T61016" s="135"/>
      <c r="U61016" s="135"/>
    </row>
    <row r="61017" spans="20:21" ht="15" customHeight="1" x14ac:dyDescent="0.25">
      <c r="T61017" s="135"/>
      <c r="U61017" s="135"/>
    </row>
    <row r="61018" spans="20:21" ht="15" customHeight="1" x14ac:dyDescent="0.25">
      <c r="T61018" s="135"/>
      <c r="U61018" s="135"/>
    </row>
    <row r="61019" spans="20:21" ht="15" customHeight="1" x14ac:dyDescent="0.25">
      <c r="T61019" s="135"/>
      <c r="U61019" s="135"/>
    </row>
    <row r="61020" spans="20:21" ht="15" customHeight="1" x14ac:dyDescent="0.25">
      <c r="T61020" s="135"/>
      <c r="U61020" s="135"/>
    </row>
    <row r="61021" spans="20:21" ht="15" customHeight="1" x14ac:dyDescent="0.25">
      <c r="T61021" s="135"/>
      <c r="U61021" s="135"/>
    </row>
    <row r="61022" spans="20:21" ht="15" customHeight="1" x14ac:dyDescent="0.25">
      <c r="T61022" s="135"/>
      <c r="U61022" s="135"/>
    </row>
    <row r="61023" spans="20:21" ht="15" customHeight="1" x14ac:dyDescent="0.25">
      <c r="T61023" s="135"/>
      <c r="U61023" s="135"/>
    </row>
    <row r="61024" spans="20:21" ht="15" customHeight="1" x14ac:dyDescent="0.25">
      <c r="T61024" s="135"/>
      <c r="U61024" s="135"/>
    </row>
    <row r="61025" spans="20:21" ht="15" customHeight="1" x14ac:dyDescent="0.25">
      <c r="T61025" s="135"/>
      <c r="U61025" s="135"/>
    </row>
    <row r="61026" spans="20:21" ht="15" customHeight="1" x14ac:dyDescent="0.25">
      <c r="T61026" s="135"/>
      <c r="U61026" s="135"/>
    </row>
    <row r="61027" spans="20:21" ht="15" customHeight="1" x14ac:dyDescent="0.25">
      <c r="T61027" s="135"/>
      <c r="U61027" s="135"/>
    </row>
    <row r="61028" spans="20:21" ht="15" customHeight="1" x14ac:dyDescent="0.25">
      <c r="T61028" s="135"/>
      <c r="U61028" s="135"/>
    </row>
    <row r="61029" spans="20:21" ht="15" customHeight="1" x14ac:dyDescent="0.25">
      <c r="T61029" s="135"/>
      <c r="U61029" s="135"/>
    </row>
    <row r="61030" spans="20:21" ht="15" customHeight="1" x14ac:dyDescent="0.25">
      <c r="T61030" s="135"/>
      <c r="U61030" s="135"/>
    </row>
    <row r="61031" spans="20:21" ht="15" customHeight="1" x14ac:dyDescent="0.25">
      <c r="T61031" s="135"/>
      <c r="U61031" s="135"/>
    </row>
    <row r="61032" spans="20:21" ht="15" customHeight="1" x14ac:dyDescent="0.25">
      <c r="T61032" s="135"/>
      <c r="U61032" s="135"/>
    </row>
    <row r="61033" spans="20:21" ht="15" customHeight="1" x14ac:dyDescent="0.25">
      <c r="T61033" s="135"/>
      <c r="U61033" s="135"/>
    </row>
    <row r="61034" spans="20:21" ht="15" customHeight="1" x14ac:dyDescent="0.25">
      <c r="T61034" s="135"/>
      <c r="U61034" s="135"/>
    </row>
    <row r="61035" spans="20:21" ht="15" customHeight="1" x14ac:dyDescent="0.25">
      <c r="T61035" s="135"/>
      <c r="U61035" s="135"/>
    </row>
    <row r="61036" spans="20:21" ht="15" customHeight="1" x14ac:dyDescent="0.25">
      <c r="T61036" s="135"/>
      <c r="U61036" s="135"/>
    </row>
    <row r="61037" spans="20:21" ht="15" customHeight="1" x14ac:dyDescent="0.25">
      <c r="T61037" s="135"/>
      <c r="U61037" s="135"/>
    </row>
    <row r="61038" spans="20:21" ht="15" customHeight="1" x14ac:dyDescent="0.25">
      <c r="T61038" s="135"/>
      <c r="U61038" s="135"/>
    </row>
    <row r="61039" spans="20:21" ht="15" customHeight="1" x14ac:dyDescent="0.25">
      <c r="T61039" s="135"/>
      <c r="U61039" s="135"/>
    </row>
    <row r="61040" spans="20:21" ht="15" customHeight="1" x14ac:dyDescent="0.25">
      <c r="T61040" s="135"/>
      <c r="U61040" s="135"/>
    </row>
    <row r="61041" spans="20:21" ht="15" customHeight="1" x14ac:dyDescent="0.25">
      <c r="T61041" s="135"/>
      <c r="U61041" s="135"/>
    </row>
    <row r="61042" spans="20:21" ht="15" customHeight="1" x14ac:dyDescent="0.25">
      <c r="T61042" s="135"/>
      <c r="U61042" s="135"/>
    </row>
    <row r="61043" spans="20:21" ht="15" customHeight="1" x14ac:dyDescent="0.25">
      <c r="T61043" s="135"/>
      <c r="U61043" s="135"/>
    </row>
    <row r="61044" spans="20:21" ht="15" customHeight="1" x14ac:dyDescent="0.25">
      <c r="T61044" s="135"/>
      <c r="U61044" s="135"/>
    </row>
    <row r="61045" spans="20:21" ht="15" customHeight="1" x14ac:dyDescent="0.25">
      <c r="T61045" s="135"/>
      <c r="U61045" s="135"/>
    </row>
    <row r="61046" spans="20:21" ht="15" customHeight="1" x14ac:dyDescent="0.25">
      <c r="T61046" s="135"/>
      <c r="U61046" s="135"/>
    </row>
    <row r="61047" spans="20:21" ht="15" customHeight="1" x14ac:dyDescent="0.25">
      <c r="T61047" s="135"/>
      <c r="U61047" s="135"/>
    </row>
    <row r="61048" spans="20:21" ht="15" customHeight="1" x14ac:dyDescent="0.25">
      <c r="T61048" s="135"/>
      <c r="U61048" s="135"/>
    </row>
    <row r="61049" spans="20:21" ht="15" customHeight="1" x14ac:dyDescent="0.25">
      <c r="T61049" s="135"/>
      <c r="U61049" s="135"/>
    </row>
    <row r="61050" spans="20:21" ht="15" customHeight="1" x14ac:dyDescent="0.25">
      <c r="T61050" s="135"/>
      <c r="U61050" s="135"/>
    </row>
    <row r="61051" spans="20:21" ht="15" customHeight="1" x14ac:dyDescent="0.25">
      <c r="T61051" s="135"/>
      <c r="U61051" s="135"/>
    </row>
    <row r="61052" spans="20:21" ht="15" customHeight="1" x14ac:dyDescent="0.25">
      <c r="T61052" s="135"/>
      <c r="U61052" s="135"/>
    </row>
    <row r="61053" spans="20:21" ht="15" customHeight="1" x14ac:dyDescent="0.25">
      <c r="T61053" s="135"/>
      <c r="U61053" s="135"/>
    </row>
    <row r="61054" spans="20:21" ht="15" customHeight="1" x14ac:dyDescent="0.25">
      <c r="T61054" s="135"/>
      <c r="U61054" s="135"/>
    </row>
    <row r="61055" spans="20:21" ht="15" customHeight="1" x14ac:dyDescent="0.25">
      <c r="T61055" s="135"/>
      <c r="U61055" s="135"/>
    </row>
    <row r="61056" spans="20:21" ht="15" customHeight="1" x14ac:dyDescent="0.25">
      <c r="T61056" s="135"/>
      <c r="U61056" s="135"/>
    </row>
    <row r="61057" spans="20:21" ht="15" customHeight="1" x14ac:dyDescent="0.25">
      <c r="T61057" s="135"/>
      <c r="U61057" s="135"/>
    </row>
    <row r="61058" spans="20:21" ht="15" customHeight="1" x14ac:dyDescent="0.25">
      <c r="T61058" s="135"/>
      <c r="U61058" s="135"/>
    </row>
    <row r="61059" spans="20:21" ht="15" customHeight="1" x14ac:dyDescent="0.25">
      <c r="T61059" s="135"/>
      <c r="U61059" s="135"/>
    </row>
    <row r="61060" spans="20:21" ht="15" customHeight="1" x14ac:dyDescent="0.25">
      <c r="T61060" s="135"/>
      <c r="U61060" s="135"/>
    </row>
    <row r="61061" spans="20:21" ht="15" customHeight="1" x14ac:dyDescent="0.25">
      <c r="T61061" s="135"/>
      <c r="U61061" s="135"/>
    </row>
    <row r="61062" spans="20:21" ht="15" customHeight="1" x14ac:dyDescent="0.25">
      <c r="T61062" s="135"/>
      <c r="U61062" s="135"/>
    </row>
    <row r="61063" spans="20:21" ht="15" customHeight="1" x14ac:dyDescent="0.25">
      <c r="T61063" s="135"/>
      <c r="U61063" s="135"/>
    </row>
    <row r="61064" spans="20:21" ht="15" customHeight="1" x14ac:dyDescent="0.25">
      <c r="T61064" s="135"/>
      <c r="U61064" s="135"/>
    </row>
    <row r="61065" spans="20:21" ht="15" customHeight="1" x14ac:dyDescent="0.25">
      <c r="T61065" s="135"/>
      <c r="U61065" s="135"/>
    </row>
    <row r="61066" spans="20:21" ht="15" customHeight="1" x14ac:dyDescent="0.25">
      <c r="T61066" s="135"/>
      <c r="U61066" s="135"/>
    </row>
    <row r="61067" spans="20:21" ht="15" customHeight="1" x14ac:dyDescent="0.25">
      <c r="T61067" s="135"/>
      <c r="U61067" s="135"/>
    </row>
    <row r="61068" spans="20:21" ht="15" customHeight="1" x14ac:dyDescent="0.25">
      <c r="T61068" s="135"/>
      <c r="U61068" s="135"/>
    </row>
    <row r="61069" spans="20:21" ht="15" customHeight="1" x14ac:dyDescent="0.25">
      <c r="T61069" s="135"/>
      <c r="U61069" s="135"/>
    </row>
    <row r="61070" spans="20:21" ht="15" customHeight="1" x14ac:dyDescent="0.25">
      <c r="T61070" s="135"/>
      <c r="U61070" s="135"/>
    </row>
    <row r="61071" spans="20:21" ht="15" customHeight="1" x14ac:dyDescent="0.25">
      <c r="T61071" s="135"/>
      <c r="U61071" s="135"/>
    </row>
    <row r="61072" spans="20:21" ht="15" customHeight="1" x14ac:dyDescent="0.25">
      <c r="T61072" s="135"/>
      <c r="U61072" s="135"/>
    </row>
    <row r="61073" spans="20:21" ht="15" customHeight="1" x14ac:dyDescent="0.25">
      <c r="T61073" s="135"/>
      <c r="U61073" s="135"/>
    </row>
    <row r="61074" spans="20:21" ht="15" customHeight="1" x14ac:dyDescent="0.25">
      <c r="T61074" s="135"/>
      <c r="U61074" s="135"/>
    </row>
    <row r="61075" spans="20:21" ht="15" customHeight="1" x14ac:dyDescent="0.25">
      <c r="T61075" s="135"/>
      <c r="U61075" s="135"/>
    </row>
    <row r="61076" spans="20:21" ht="15" customHeight="1" x14ac:dyDescent="0.25">
      <c r="T61076" s="135"/>
      <c r="U61076" s="135"/>
    </row>
    <row r="61077" spans="20:21" ht="15" customHeight="1" x14ac:dyDescent="0.25">
      <c r="T61077" s="135"/>
      <c r="U61077" s="135"/>
    </row>
    <row r="61078" spans="20:21" ht="15" customHeight="1" x14ac:dyDescent="0.25">
      <c r="T61078" s="135"/>
      <c r="U61078" s="135"/>
    </row>
    <row r="61079" spans="20:21" ht="15" customHeight="1" x14ac:dyDescent="0.25">
      <c r="T61079" s="135"/>
      <c r="U61079" s="135"/>
    </row>
    <row r="61080" spans="20:21" ht="15" customHeight="1" x14ac:dyDescent="0.25">
      <c r="T61080" s="135"/>
      <c r="U61080" s="135"/>
    </row>
    <row r="61081" spans="20:21" ht="15" customHeight="1" x14ac:dyDescent="0.25">
      <c r="T61081" s="135"/>
      <c r="U61081" s="135"/>
    </row>
    <row r="61082" spans="20:21" ht="15" customHeight="1" x14ac:dyDescent="0.25">
      <c r="T61082" s="135"/>
      <c r="U61082" s="135"/>
    </row>
    <row r="61083" spans="20:21" ht="15" customHeight="1" x14ac:dyDescent="0.25">
      <c r="T61083" s="135"/>
      <c r="U61083" s="135"/>
    </row>
    <row r="61084" spans="20:21" ht="15" customHeight="1" x14ac:dyDescent="0.25">
      <c r="T61084" s="135"/>
      <c r="U61084" s="135"/>
    </row>
    <row r="61085" spans="20:21" ht="15" customHeight="1" x14ac:dyDescent="0.25">
      <c r="T61085" s="135"/>
      <c r="U61085" s="135"/>
    </row>
    <row r="61086" spans="20:21" ht="15" customHeight="1" x14ac:dyDescent="0.25">
      <c r="T61086" s="135"/>
      <c r="U61086" s="135"/>
    </row>
    <row r="61087" spans="20:21" ht="15" customHeight="1" x14ac:dyDescent="0.25">
      <c r="T61087" s="135"/>
      <c r="U61087" s="135"/>
    </row>
    <row r="61088" spans="20:21" ht="15" customHeight="1" x14ac:dyDescent="0.25">
      <c r="T61088" s="135"/>
      <c r="U61088" s="135"/>
    </row>
    <row r="61089" spans="20:21" ht="15" customHeight="1" x14ac:dyDescent="0.25">
      <c r="T61089" s="135"/>
      <c r="U61089" s="135"/>
    </row>
    <row r="61090" spans="20:21" ht="15" customHeight="1" x14ac:dyDescent="0.25">
      <c r="T61090" s="135"/>
      <c r="U61090" s="135"/>
    </row>
    <row r="61091" spans="20:21" ht="15" customHeight="1" x14ac:dyDescent="0.25">
      <c r="T61091" s="135"/>
      <c r="U61091" s="135"/>
    </row>
    <row r="61092" spans="20:21" ht="15" customHeight="1" x14ac:dyDescent="0.25">
      <c r="T61092" s="135"/>
      <c r="U61092" s="135"/>
    </row>
    <row r="61093" spans="20:21" ht="15" customHeight="1" x14ac:dyDescent="0.25">
      <c r="T61093" s="135"/>
      <c r="U61093" s="135"/>
    </row>
    <row r="61094" spans="20:21" ht="15" customHeight="1" x14ac:dyDescent="0.25">
      <c r="T61094" s="135"/>
      <c r="U61094" s="135"/>
    </row>
    <row r="61095" spans="20:21" ht="15" customHeight="1" x14ac:dyDescent="0.25">
      <c r="T61095" s="135"/>
      <c r="U61095" s="135"/>
    </row>
    <row r="61096" spans="20:21" ht="15" customHeight="1" x14ac:dyDescent="0.25">
      <c r="T61096" s="135"/>
      <c r="U61096" s="135"/>
    </row>
    <row r="61097" spans="20:21" ht="15" customHeight="1" x14ac:dyDescent="0.25">
      <c r="T61097" s="135"/>
      <c r="U61097" s="135"/>
    </row>
    <row r="61098" spans="20:21" ht="15" customHeight="1" x14ac:dyDescent="0.25">
      <c r="T61098" s="135"/>
      <c r="U61098" s="135"/>
    </row>
    <row r="61099" spans="20:21" ht="15" customHeight="1" x14ac:dyDescent="0.25">
      <c r="T61099" s="135"/>
      <c r="U61099" s="135"/>
    </row>
    <row r="61100" spans="20:21" ht="15" customHeight="1" x14ac:dyDescent="0.25">
      <c r="T61100" s="135"/>
      <c r="U61100" s="135"/>
    </row>
    <row r="61101" spans="20:21" ht="15" customHeight="1" x14ac:dyDescent="0.25">
      <c r="T61101" s="135"/>
      <c r="U61101" s="135"/>
    </row>
    <row r="61102" spans="20:21" ht="15" customHeight="1" x14ac:dyDescent="0.25">
      <c r="T61102" s="135"/>
      <c r="U61102" s="135"/>
    </row>
    <row r="61103" spans="20:21" ht="15" customHeight="1" x14ac:dyDescent="0.25">
      <c r="T61103" s="135"/>
      <c r="U61103" s="135"/>
    </row>
    <row r="61104" spans="20:21" ht="15" customHeight="1" x14ac:dyDescent="0.25">
      <c r="T61104" s="135"/>
      <c r="U61104" s="135"/>
    </row>
    <row r="61105" spans="20:21" ht="15" customHeight="1" x14ac:dyDescent="0.25">
      <c r="T61105" s="135"/>
      <c r="U61105" s="135"/>
    </row>
    <row r="61106" spans="20:21" ht="15" customHeight="1" x14ac:dyDescent="0.25">
      <c r="T61106" s="135"/>
      <c r="U61106" s="135"/>
    </row>
    <row r="61107" spans="20:21" ht="15" customHeight="1" x14ac:dyDescent="0.25">
      <c r="T61107" s="135"/>
      <c r="U61107" s="135"/>
    </row>
    <row r="61108" spans="20:21" ht="15" customHeight="1" x14ac:dyDescent="0.25">
      <c r="T61108" s="135"/>
      <c r="U61108" s="135"/>
    </row>
    <row r="61109" spans="20:21" ht="15" customHeight="1" x14ac:dyDescent="0.25">
      <c r="T61109" s="135"/>
      <c r="U61109" s="135"/>
    </row>
    <row r="61110" spans="20:21" ht="15" customHeight="1" x14ac:dyDescent="0.25">
      <c r="T61110" s="135"/>
      <c r="U61110" s="135"/>
    </row>
    <row r="61111" spans="20:21" ht="15" customHeight="1" x14ac:dyDescent="0.25">
      <c r="T61111" s="135"/>
      <c r="U61111" s="135"/>
    </row>
    <row r="61112" spans="20:21" ht="15" customHeight="1" x14ac:dyDescent="0.25">
      <c r="T61112" s="135"/>
      <c r="U61112" s="135"/>
    </row>
    <row r="61113" spans="20:21" ht="15" customHeight="1" x14ac:dyDescent="0.25">
      <c r="T61113" s="135"/>
      <c r="U61113" s="135"/>
    </row>
    <row r="61114" spans="20:21" ht="15" customHeight="1" x14ac:dyDescent="0.25">
      <c r="T61114" s="135"/>
      <c r="U61114" s="135"/>
    </row>
    <row r="61115" spans="20:21" ht="15" customHeight="1" x14ac:dyDescent="0.25">
      <c r="T61115" s="135"/>
      <c r="U61115" s="135"/>
    </row>
    <row r="61116" spans="20:21" ht="15" customHeight="1" x14ac:dyDescent="0.25">
      <c r="T61116" s="135"/>
      <c r="U61116" s="135"/>
    </row>
    <row r="61117" spans="20:21" ht="15" customHeight="1" x14ac:dyDescent="0.25">
      <c r="T61117" s="135"/>
      <c r="U61117" s="135"/>
    </row>
    <row r="61118" spans="20:21" ht="15" customHeight="1" x14ac:dyDescent="0.25">
      <c r="T61118" s="135"/>
      <c r="U61118" s="135"/>
    </row>
    <row r="61119" spans="20:21" ht="15" customHeight="1" x14ac:dyDescent="0.25">
      <c r="T61119" s="135"/>
      <c r="U61119" s="135"/>
    </row>
    <row r="61120" spans="20:21" ht="15" customHeight="1" x14ac:dyDescent="0.25">
      <c r="T61120" s="135"/>
      <c r="U61120" s="135"/>
    </row>
    <row r="61121" spans="20:21" ht="15" customHeight="1" x14ac:dyDescent="0.25">
      <c r="T61121" s="135"/>
      <c r="U61121" s="135"/>
    </row>
    <row r="61122" spans="20:21" ht="15" customHeight="1" x14ac:dyDescent="0.25">
      <c r="T61122" s="135"/>
      <c r="U61122" s="135"/>
    </row>
    <row r="61123" spans="20:21" ht="15" customHeight="1" x14ac:dyDescent="0.25">
      <c r="T61123" s="135"/>
      <c r="U61123" s="135"/>
    </row>
    <row r="61124" spans="20:21" ht="15" customHeight="1" x14ac:dyDescent="0.25">
      <c r="T61124" s="135"/>
      <c r="U61124" s="135"/>
    </row>
    <row r="61125" spans="20:21" ht="15" customHeight="1" x14ac:dyDescent="0.25">
      <c r="T61125" s="135"/>
      <c r="U61125" s="135"/>
    </row>
    <row r="61126" spans="20:21" ht="15" customHeight="1" x14ac:dyDescent="0.25">
      <c r="T61126" s="135"/>
      <c r="U61126" s="135"/>
    </row>
    <row r="61127" spans="20:21" ht="15" customHeight="1" x14ac:dyDescent="0.25">
      <c r="T61127" s="135"/>
      <c r="U61127" s="135"/>
    </row>
    <row r="61128" spans="20:21" ht="15" customHeight="1" x14ac:dyDescent="0.25">
      <c r="T61128" s="135"/>
      <c r="U61128" s="135"/>
    </row>
    <row r="61129" spans="20:21" ht="15" customHeight="1" x14ac:dyDescent="0.25">
      <c r="T61129" s="135"/>
      <c r="U61129" s="135"/>
    </row>
    <row r="61130" spans="20:21" ht="15" customHeight="1" x14ac:dyDescent="0.25">
      <c r="T61130" s="135"/>
      <c r="U61130" s="135"/>
    </row>
    <row r="61131" spans="20:21" ht="15" customHeight="1" x14ac:dyDescent="0.25">
      <c r="T61131" s="135"/>
      <c r="U61131" s="135"/>
    </row>
    <row r="61132" spans="20:21" ht="15" customHeight="1" x14ac:dyDescent="0.25">
      <c r="T61132" s="135"/>
      <c r="U61132" s="135"/>
    </row>
    <row r="61133" spans="20:21" ht="15" customHeight="1" x14ac:dyDescent="0.25">
      <c r="T61133" s="135"/>
      <c r="U61133" s="135"/>
    </row>
    <row r="61134" spans="20:21" ht="15" customHeight="1" x14ac:dyDescent="0.25">
      <c r="T61134" s="135"/>
      <c r="U61134" s="135"/>
    </row>
    <row r="61135" spans="20:21" ht="15" customHeight="1" x14ac:dyDescent="0.25">
      <c r="T61135" s="135"/>
      <c r="U61135" s="135"/>
    </row>
    <row r="61136" spans="20:21" ht="15" customHeight="1" x14ac:dyDescent="0.25">
      <c r="T61136" s="135"/>
      <c r="U61136" s="135"/>
    </row>
    <row r="61137" spans="20:21" ht="15" customHeight="1" x14ac:dyDescent="0.25">
      <c r="T61137" s="135"/>
      <c r="U61137" s="135"/>
    </row>
    <row r="61138" spans="20:21" ht="15" customHeight="1" x14ac:dyDescent="0.25">
      <c r="T61138" s="135"/>
      <c r="U61138" s="135"/>
    </row>
    <row r="61139" spans="20:21" ht="15" customHeight="1" x14ac:dyDescent="0.25">
      <c r="T61139" s="135"/>
      <c r="U61139" s="135"/>
    </row>
    <row r="61140" spans="20:21" ht="15" customHeight="1" x14ac:dyDescent="0.25">
      <c r="T61140" s="135"/>
      <c r="U61140" s="135"/>
    </row>
    <row r="61141" spans="20:21" ht="15" customHeight="1" x14ac:dyDescent="0.25">
      <c r="T61141" s="135"/>
      <c r="U61141" s="135"/>
    </row>
    <row r="61142" spans="20:21" ht="15" customHeight="1" x14ac:dyDescent="0.25">
      <c r="T61142" s="135"/>
      <c r="U61142" s="135"/>
    </row>
    <row r="61143" spans="20:21" ht="15" customHeight="1" x14ac:dyDescent="0.25">
      <c r="T61143" s="135"/>
      <c r="U61143" s="135"/>
    </row>
    <row r="61144" spans="20:21" ht="15" customHeight="1" x14ac:dyDescent="0.25">
      <c r="T61144" s="135"/>
      <c r="U61144" s="135"/>
    </row>
    <row r="61145" spans="20:21" ht="15" customHeight="1" x14ac:dyDescent="0.25">
      <c r="T61145" s="135"/>
      <c r="U61145" s="135"/>
    </row>
    <row r="61146" spans="20:21" ht="15" customHeight="1" x14ac:dyDescent="0.25">
      <c r="T61146" s="135"/>
      <c r="U61146" s="135"/>
    </row>
    <row r="61147" spans="20:21" ht="15" customHeight="1" x14ac:dyDescent="0.25">
      <c r="T61147" s="135"/>
      <c r="U61147" s="135"/>
    </row>
    <row r="61148" spans="20:21" ht="15" customHeight="1" x14ac:dyDescent="0.25">
      <c r="T61148" s="135"/>
      <c r="U61148" s="135"/>
    </row>
    <row r="61149" spans="20:21" ht="15" customHeight="1" x14ac:dyDescent="0.25">
      <c r="T61149" s="135"/>
      <c r="U61149" s="135"/>
    </row>
    <row r="61150" spans="20:21" ht="15" customHeight="1" x14ac:dyDescent="0.25">
      <c r="T61150" s="135"/>
      <c r="U61150" s="135"/>
    </row>
    <row r="61151" spans="20:21" ht="15" customHeight="1" x14ac:dyDescent="0.25">
      <c r="T61151" s="135"/>
      <c r="U61151" s="135"/>
    </row>
    <row r="61152" spans="20:21" ht="15" customHeight="1" x14ac:dyDescent="0.25">
      <c r="T61152" s="135"/>
      <c r="U61152" s="135"/>
    </row>
    <row r="61153" spans="20:21" ht="15" customHeight="1" x14ac:dyDescent="0.25">
      <c r="T61153" s="135"/>
      <c r="U61153" s="135"/>
    </row>
    <row r="61154" spans="20:21" ht="15" customHeight="1" x14ac:dyDescent="0.25">
      <c r="T61154" s="135"/>
      <c r="U61154" s="135"/>
    </row>
    <row r="61155" spans="20:21" ht="15" customHeight="1" x14ac:dyDescent="0.25">
      <c r="T61155" s="135"/>
      <c r="U61155" s="135"/>
    </row>
    <row r="61156" spans="20:21" ht="15" customHeight="1" x14ac:dyDescent="0.25">
      <c r="T61156" s="135"/>
      <c r="U61156" s="135"/>
    </row>
    <row r="61157" spans="20:21" ht="15" customHeight="1" x14ac:dyDescent="0.25">
      <c r="T61157" s="135"/>
      <c r="U61157" s="135"/>
    </row>
    <row r="61158" spans="20:21" ht="15" customHeight="1" x14ac:dyDescent="0.25">
      <c r="T61158" s="135"/>
      <c r="U61158" s="135"/>
    </row>
    <row r="61159" spans="20:21" ht="15" customHeight="1" x14ac:dyDescent="0.25">
      <c r="T61159" s="135"/>
      <c r="U61159" s="135"/>
    </row>
    <row r="61160" spans="20:21" ht="15" customHeight="1" x14ac:dyDescent="0.25">
      <c r="T61160" s="135"/>
      <c r="U61160" s="135"/>
    </row>
    <row r="61161" spans="20:21" ht="15" customHeight="1" x14ac:dyDescent="0.25">
      <c r="T61161" s="135"/>
      <c r="U61161" s="135"/>
    </row>
    <row r="61162" spans="20:21" ht="15" customHeight="1" x14ac:dyDescent="0.25">
      <c r="T61162" s="135"/>
      <c r="U61162" s="135"/>
    </row>
    <row r="61163" spans="20:21" ht="15" customHeight="1" x14ac:dyDescent="0.25">
      <c r="T61163" s="135"/>
      <c r="U61163" s="135"/>
    </row>
    <row r="61164" spans="20:21" ht="15" customHeight="1" x14ac:dyDescent="0.25">
      <c r="T61164" s="135"/>
      <c r="U61164" s="135"/>
    </row>
    <row r="61165" spans="20:21" ht="15" customHeight="1" x14ac:dyDescent="0.25">
      <c r="T61165" s="135"/>
      <c r="U61165" s="135"/>
    </row>
    <row r="61166" spans="20:21" ht="15" customHeight="1" x14ac:dyDescent="0.25">
      <c r="T61166" s="135"/>
      <c r="U61166" s="135"/>
    </row>
    <row r="61167" spans="20:21" ht="15" customHeight="1" x14ac:dyDescent="0.25">
      <c r="T61167" s="135"/>
      <c r="U61167" s="135"/>
    </row>
    <row r="61168" spans="20:21" ht="15" customHeight="1" x14ac:dyDescent="0.25">
      <c r="T61168" s="135"/>
      <c r="U61168" s="135"/>
    </row>
    <row r="61169" spans="20:21" ht="15" customHeight="1" x14ac:dyDescent="0.25">
      <c r="T61169" s="135"/>
      <c r="U61169" s="135"/>
    </row>
    <row r="61170" spans="20:21" ht="15" customHeight="1" x14ac:dyDescent="0.25">
      <c r="T61170" s="135"/>
      <c r="U61170" s="135"/>
    </row>
    <row r="61171" spans="20:21" ht="15" customHeight="1" x14ac:dyDescent="0.25">
      <c r="T61171" s="135"/>
      <c r="U61171" s="135"/>
    </row>
    <row r="61172" spans="20:21" ht="15" customHeight="1" x14ac:dyDescent="0.25">
      <c r="T61172" s="135"/>
      <c r="U61172" s="135"/>
    </row>
    <row r="61173" spans="20:21" ht="15" customHeight="1" x14ac:dyDescent="0.25">
      <c r="T61173" s="135"/>
      <c r="U61173" s="135"/>
    </row>
    <row r="61174" spans="20:21" ht="15" customHeight="1" x14ac:dyDescent="0.25">
      <c r="T61174" s="135"/>
      <c r="U61174" s="135"/>
    </row>
    <row r="61175" spans="20:21" ht="15" customHeight="1" x14ac:dyDescent="0.25">
      <c r="T61175" s="135"/>
      <c r="U61175" s="135"/>
    </row>
    <row r="61176" spans="20:21" ht="15" customHeight="1" x14ac:dyDescent="0.25">
      <c r="T61176" s="135"/>
      <c r="U61176" s="135"/>
    </row>
    <row r="61177" spans="20:21" ht="15" customHeight="1" x14ac:dyDescent="0.25">
      <c r="T61177" s="135"/>
      <c r="U61177" s="135"/>
    </row>
    <row r="61178" spans="20:21" ht="15" customHeight="1" x14ac:dyDescent="0.25">
      <c r="T61178" s="135"/>
      <c r="U61178" s="135"/>
    </row>
    <row r="61179" spans="20:21" ht="15" customHeight="1" x14ac:dyDescent="0.25">
      <c r="T61179" s="135"/>
      <c r="U61179" s="135"/>
    </row>
    <row r="61180" spans="20:21" ht="15" customHeight="1" x14ac:dyDescent="0.25">
      <c r="T61180" s="135"/>
      <c r="U61180" s="135"/>
    </row>
    <row r="61181" spans="20:21" ht="15" customHeight="1" x14ac:dyDescent="0.25">
      <c r="T61181" s="135"/>
      <c r="U61181" s="135"/>
    </row>
    <row r="61182" spans="20:21" ht="15" customHeight="1" x14ac:dyDescent="0.25">
      <c r="T61182" s="135"/>
      <c r="U61182" s="135"/>
    </row>
    <row r="61183" spans="20:21" ht="15" customHeight="1" x14ac:dyDescent="0.25">
      <c r="T61183" s="135"/>
      <c r="U61183" s="135"/>
    </row>
    <row r="61184" spans="20:21" ht="15" customHeight="1" x14ac:dyDescent="0.25">
      <c r="T61184" s="135"/>
      <c r="U61184" s="135"/>
    </row>
    <row r="61185" spans="20:21" ht="15" customHeight="1" x14ac:dyDescent="0.25">
      <c r="T61185" s="135"/>
      <c r="U61185" s="135"/>
    </row>
    <row r="61186" spans="20:21" ht="15" customHeight="1" x14ac:dyDescent="0.25">
      <c r="T61186" s="135"/>
      <c r="U61186" s="135"/>
    </row>
    <row r="61187" spans="20:21" ht="15" customHeight="1" x14ac:dyDescent="0.25">
      <c r="T61187" s="135"/>
      <c r="U61187" s="135"/>
    </row>
    <row r="61188" spans="20:21" ht="15" customHeight="1" x14ac:dyDescent="0.25">
      <c r="T61188" s="135"/>
      <c r="U61188" s="135"/>
    </row>
    <row r="61189" spans="20:21" ht="15" customHeight="1" x14ac:dyDescent="0.25">
      <c r="T61189" s="135"/>
      <c r="U61189" s="135"/>
    </row>
    <row r="61190" spans="20:21" ht="15" customHeight="1" x14ac:dyDescent="0.25">
      <c r="T61190" s="135"/>
      <c r="U61190" s="135"/>
    </row>
    <row r="61191" spans="20:21" ht="15" customHeight="1" x14ac:dyDescent="0.25">
      <c r="T61191" s="135"/>
      <c r="U61191" s="135"/>
    </row>
    <row r="61192" spans="20:21" ht="15" customHeight="1" x14ac:dyDescent="0.25">
      <c r="T61192" s="135"/>
      <c r="U61192" s="135"/>
    </row>
    <row r="61193" spans="20:21" ht="15" customHeight="1" x14ac:dyDescent="0.25">
      <c r="T61193" s="135"/>
      <c r="U61193" s="135"/>
    </row>
    <row r="61194" spans="20:21" ht="15" customHeight="1" x14ac:dyDescent="0.25">
      <c r="T61194" s="135"/>
      <c r="U61194" s="135"/>
    </row>
    <row r="61195" spans="20:21" ht="15" customHeight="1" x14ac:dyDescent="0.25">
      <c r="T61195" s="135"/>
      <c r="U61195" s="135"/>
    </row>
    <row r="61196" spans="20:21" ht="15" customHeight="1" x14ac:dyDescent="0.25">
      <c r="T61196" s="135"/>
      <c r="U61196" s="135"/>
    </row>
    <row r="61197" spans="20:21" ht="15" customHeight="1" x14ac:dyDescent="0.25">
      <c r="T61197" s="135"/>
      <c r="U61197" s="135"/>
    </row>
    <row r="61198" spans="20:21" ht="15" customHeight="1" x14ac:dyDescent="0.25">
      <c r="T61198" s="135"/>
      <c r="U61198" s="135"/>
    </row>
    <row r="61199" spans="20:21" ht="15" customHeight="1" x14ac:dyDescent="0.25">
      <c r="T61199" s="135"/>
      <c r="U61199" s="135"/>
    </row>
    <row r="61200" spans="20:21" ht="15" customHeight="1" x14ac:dyDescent="0.25">
      <c r="T61200" s="135"/>
      <c r="U61200" s="135"/>
    </row>
    <row r="61201" spans="20:21" ht="15" customHeight="1" x14ac:dyDescent="0.25">
      <c r="T61201" s="135"/>
      <c r="U61201" s="135"/>
    </row>
    <row r="61202" spans="20:21" ht="15" customHeight="1" x14ac:dyDescent="0.25">
      <c r="T61202" s="135"/>
      <c r="U61202" s="135"/>
    </row>
    <row r="61203" spans="20:21" ht="15" customHeight="1" x14ac:dyDescent="0.25">
      <c r="T61203" s="135"/>
      <c r="U61203" s="135"/>
    </row>
    <row r="61204" spans="20:21" ht="15" customHeight="1" x14ac:dyDescent="0.25">
      <c r="T61204" s="135"/>
      <c r="U61204" s="135"/>
    </row>
    <row r="61205" spans="20:21" ht="15" customHeight="1" x14ac:dyDescent="0.25">
      <c r="T61205" s="135"/>
      <c r="U61205" s="135"/>
    </row>
    <row r="61206" spans="20:21" ht="15" customHeight="1" x14ac:dyDescent="0.25">
      <c r="T61206" s="135"/>
      <c r="U61206" s="135"/>
    </row>
    <row r="61207" spans="20:21" ht="15" customHeight="1" x14ac:dyDescent="0.25">
      <c r="T61207" s="135"/>
      <c r="U61207" s="135"/>
    </row>
    <row r="61208" spans="20:21" ht="15" customHeight="1" x14ac:dyDescent="0.25">
      <c r="T61208" s="135"/>
      <c r="U61208" s="135"/>
    </row>
    <row r="61209" spans="20:21" ht="15" customHeight="1" x14ac:dyDescent="0.25">
      <c r="T61209" s="135"/>
      <c r="U61209" s="135"/>
    </row>
    <row r="61210" spans="20:21" ht="15" customHeight="1" x14ac:dyDescent="0.25">
      <c r="T61210" s="135"/>
      <c r="U61210" s="135"/>
    </row>
    <row r="61211" spans="20:21" ht="15" customHeight="1" x14ac:dyDescent="0.25">
      <c r="T61211" s="135"/>
      <c r="U61211" s="135"/>
    </row>
    <row r="61212" spans="20:21" ht="15" customHeight="1" x14ac:dyDescent="0.25">
      <c r="T61212" s="135"/>
      <c r="U61212" s="135"/>
    </row>
    <row r="61213" spans="20:21" ht="15" customHeight="1" x14ac:dyDescent="0.25">
      <c r="T61213" s="135"/>
      <c r="U61213" s="135"/>
    </row>
    <row r="61214" spans="20:21" ht="15" customHeight="1" x14ac:dyDescent="0.25">
      <c r="T61214" s="135"/>
      <c r="U61214" s="135"/>
    </row>
    <row r="61215" spans="20:21" ht="15" customHeight="1" x14ac:dyDescent="0.25">
      <c r="T61215" s="135"/>
      <c r="U61215" s="135"/>
    </row>
    <row r="61216" spans="20:21" ht="15" customHeight="1" x14ac:dyDescent="0.25">
      <c r="T61216" s="135"/>
      <c r="U61216" s="135"/>
    </row>
    <row r="61217" spans="20:21" ht="15" customHeight="1" x14ac:dyDescent="0.25">
      <c r="T61217" s="135"/>
      <c r="U61217" s="135"/>
    </row>
    <row r="61218" spans="20:21" ht="15" customHeight="1" x14ac:dyDescent="0.25">
      <c r="T61218" s="135"/>
      <c r="U61218" s="135"/>
    </row>
    <row r="61219" spans="20:21" ht="15" customHeight="1" x14ac:dyDescent="0.25">
      <c r="T61219" s="135"/>
      <c r="U61219" s="135"/>
    </row>
    <row r="61220" spans="20:21" ht="15" customHeight="1" x14ac:dyDescent="0.25">
      <c r="T61220" s="135"/>
      <c r="U61220" s="135"/>
    </row>
    <row r="61221" spans="20:21" ht="15" customHeight="1" x14ac:dyDescent="0.25">
      <c r="T61221" s="135"/>
      <c r="U61221" s="135"/>
    </row>
    <row r="61222" spans="20:21" ht="15" customHeight="1" x14ac:dyDescent="0.25">
      <c r="T61222" s="135"/>
      <c r="U61222" s="135"/>
    </row>
    <row r="61223" spans="20:21" ht="15" customHeight="1" x14ac:dyDescent="0.25">
      <c r="T61223" s="135"/>
      <c r="U61223" s="135"/>
    </row>
    <row r="61224" spans="20:21" ht="15" customHeight="1" x14ac:dyDescent="0.25">
      <c r="T61224" s="135"/>
      <c r="U61224" s="135"/>
    </row>
    <row r="61225" spans="20:21" ht="15" customHeight="1" x14ac:dyDescent="0.25">
      <c r="T61225" s="135"/>
      <c r="U61225" s="135"/>
    </row>
    <row r="61226" spans="20:21" ht="15" customHeight="1" x14ac:dyDescent="0.25">
      <c r="T61226" s="135"/>
      <c r="U61226" s="135"/>
    </row>
    <row r="61227" spans="20:21" ht="15" customHeight="1" x14ac:dyDescent="0.25">
      <c r="T61227" s="135"/>
      <c r="U61227" s="135"/>
    </row>
    <row r="61228" spans="20:21" ht="15" customHeight="1" x14ac:dyDescent="0.25">
      <c r="T61228" s="135"/>
      <c r="U61228" s="135"/>
    </row>
    <row r="61229" spans="20:21" ht="15" customHeight="1" x14ac:dyDescent="0.25">
      <c r="T61229" s="135"/>
      <c r="U61229" s="135"/>
    </row>
    <row r="61230" spans="20:21" ht="15" customHeight="1" x14ac:dyDescent="0.25">
      <c r="T61230" s="135"/>
      <c r="U61230" s="135"/>
    </row>
    <row r="61231" spans="20:21" ht="15" customHeight="1" x14ac:dyDescent="0.25">
      <c r="T61231" s="135"/>
      <c r="U61231" s="135"/>
    </row>
    <row r="61232" spans="20:21" ht="15" customHeight="1" x14ac:dyDescent="0.25">
      <c r="T61232" s="135"/>
      <c r="U61232" s="135"/>
    </row>
    <row r="61233" spans="20:21" ht="15" customHeight="1" x14ac:dyDescent="0.25">
      <c r="T61233" s="135"/>
      <c r="U61233" s="135"/>
    </row>
    <row r="61234" spans="20:21" ht="15" customHeight="1" x14ac:dyDescent="0.25">
      <c r="T61234" s="135"/>
      <c r="U61234" s="135"/>
    </row>
    <row r="61235" spans="20:21" ht="15" customHeight="1" x14ac:dyDescent="0.25">
      <c r="T61235" s="135"/>
      <c r="U61235" s="135"/>
    </row>
    <row r="61236" spans="20:21" ht="15" customHeight="1" x14ac:dyDescent="0.25">
      <c r="T61236" s="135"/>
      <c r="U61236" s="135"/>
    </row>
    <row r="61237" spans="20:21" ht="15" customHeight="1" x14ac:dyDescent="0.25">
      <c r="T61237" s="135"/>
      <c r="U61237" s="135"/>
    </row>
    <row r="61238" spans="20:21" ht="15" customHeight="1" x14ac:dyDescent="0.25">
      <c r="T61238" s="135"/>
      <c r="U61238" s="135"/>
    </row>
    <row r="61239" spans="20:21" ht="15" customHeight="1" x14ac:dyDescent="0.25">
      <c r="T61239" s="135"/>
      <c r="U61239" s="135"/>
    </row>
    <row r="61240" spans="20:21" ht="15" customHeight="1" x14ac:dyDescent="0.25">
      <c r="T61240" s="135"/>
      <c r="U61240" s="135"/>
    </row>
    <row r="61241" spans="20:21" ht="15" customHeight="1" x14ac:dyDescent="0.25">
      <c r="T61241" s="135"/>
      <c r="U61241" s="135"/>
    </row>
    <row r="61242" spans="20:21" ht="15" customHeight="1" x14ac:dyDescent="0.25">
      <c r="T61242" s="135"/>
      <c r="U61242" s="135"/>
    </row>
    <row r="61243" spans="20:21" ht="15" customHeight="1" x14ac:dyDescent="0.25">
      <c r="T61243" s="135"/>
      <c r="U61243" s="135"/>
    </row>
    <row r="61244" spans="20:21" ht="15" customHeight="1" x14ac:dyDescent="0.25">
      <c r="T61244" s="135"/>
      <c r="U61244" s="135"/>
    </row>
    <row r="61245" spans="20:21" ht="15" customHeight="1" x14ac:dyDescent="0.25">
      <c r="T61245" s="135"/>
      <c r="U61245" s="135"/>
    </row>
    <row r="61246" spans="20:21" ht="15" customHeight="1" x14ac:dyDescent="0.25">
      <c r="T61246" s="135"/>
      <c r="U61246" s="135"/>
    </row>
    <row r="61247" spans="20:21" ht="15" customHeight="1" x14ac:dyDescent="0.25">
      <c r="T61247" s="135"/>
      <c r="U61247" s="135"/>
    </row>
    <row r="61248" spans="20:21" ht="15" customHeight="1" x14ac:dyDescent="0.25">
      <c r="T61248" s="135"/>
      <c r="U61248" s="135"/>
    </row>
    <row r="61249" spans="20:21" ht="15" customHeight="1" x14ac:dyDescent="0.25">
      <c r="T61249" s="135"/>
      <c r="U61249" s="135"/>
    </row>
    <row r="61250" spans="20:21" ht="15" customHeight="1" x14ac:dyDescent="0.25">
      <c r="T61250" s="135"/>
      <c r="U61250" s="135"/>
    </row>
    <row r="61251" spans="20:21" ht="15" customHeight="1" x14ac:dyDescent="0.25">
      <c r="T61251" s="135"/>
      <c r="U61251" s="135"/>
    </row>
    <row r="61252" spans="20:21" ht="15" customHeight="1" x14ac:dyDescent="0.25">
      <c r="T61252" s="135"/>
      <c r="U61252" s="135"/>
    </row>
    <row r="61253" spans="20:21" ht="15" customHeight="1" x14ac:dyDescent="0.25">
      <c r="T61253" s="135"/>
      <c r="U61253" s="135"/>
    </row>
    <row r="61254" spans="20:21" ht="15" customHeight="1" x14ac:dyDescent="0.25">
      <c r="T61254" s="135"/>
      <c r="U61254" s="135"/>
    </row>
    <row r="61255" spans="20:21" ht="15" customHeight="1" x14ac:dyDescent="0.25">
      <c r="T61255" s="135"/>
      <c r="U61255" s="135"/>
    </row>
    <row r="61256" spans="20:21" ht="15" customHeight="1" x14ac:dyDescent="0.25">
      <c r="T61256" s="135"/>
      <c r="U61256" s="135"/>
    </row>
    <row r="61257" spans="20:21" ht="15" customHeight="1" x14ac:dyDescent="0.25">
      <c r="T61257" s="135"/>
      <c r="U61257" s="135"/>
    </row>
    <row r="61258" spans="20:21" ht="15" customHeight="1" x14ac:dyDescent="0.25">
      <c r="T61258" s="135"/>
      <c r="U61258" s="135"/>
    </row>
    <row r="61259" spans="20:21" ht="15" customHeight="1" x14ac:dyDescent="0.25">
      <c r="T61259" s="135"/>
      <c r="U61259" s="135"/>
    </row>
    <row r="61260" spans="20:21" ht="15" customHeight="1" x14ac:dyDescent="0.25">
      <c r="T61260" s="135"/>
      <c r="U61260" s="135"/>
    </row>
    <row r="61261" spans="20:21" ht="15" customHeight="1" x14ac:dyDescent="0.25">
      <c r="T61261" s="135"/>
      <c r="U61261" s="135"/>
    </row>
    <row r="61262" spans="20:21" ht="15" customHeight="1" x14ac:dyDescent="0.25">
      <c r="T61262" s="135"/>
      <c r="U61262" s="135"/>
    </row>
    <row r="61263" spans="20:21" ht="15" customHeight="1" x14ac:dyDescent="0.25">
      <c r="T61263" s="135"/>
      <c r="U61263" s="135"/>
    </row>
    <row r="61264" spans="20:21" ht="15" customHeight="1" x14ac:dyDescent="0.25">
      <c r="T61264" s="135"/>
      <c r="U61264" s="135"/>
    </row>
    <row r="61265" spans="20:21" ht="15" customHeight="1" x14ac:dyDescent="0.25">
      <c r="T61265" s="135"/>
      <c r="U61265" s="135"/>
    </row>
    <row r="61266" spans="20:21" ht="15" customHeight="1" x14ac:dyDescent="0.25">
      <c r="T61266" s="135"/>
      <c r="U61266" s="135"/>
    </row>
    <row r="61267" spans="20:21" ht="15" customHeight="1" x14ac:dyDescent="0.25">
      <c r="T61267" s="135"/>
      <c r="U61267" s="135"/>
    </row>
    <row r="61268" spans="20:21" ht="15" customHeight="1" x14ac:dyDescent="0.25">
      <c r="T61268" s="135"/>
      <c r="U61268" s="135"/>
    </row>
    <row r="61269" spans="20:21" ht="15" customHeight="1" x14ac:dyDescent="0.25">
      <c r="T61269" s="135"/>
      <c r="U61269" s="135"/>
    </row>
    <row r="61270" spans="20:21" ht="15" customHeight="1" x14ac:dyDescent="0.25">
      <c r="T61270" s="135"/>
      <c r="U61270" s="135"/>
    </row>
    <row r="61271" spans="20:21" ht="15" customHeight="1" x14ac:dyDescent="0.25">
      <c r="T61271" s="135"/>
      <c r="U61271" s="135"/>
    </row>
    <row r="61272" spans="20:21" ht="15" customHeight="1" x14ac:dyDescent="0.25">
      <c r="T61272" s="135"/>
      <c r="U61272" s="135"/>
    </row>
    <row r="61273" spans="20:21" ht="15" customHeight="1" x14ac:dyDescent="0.25">
      <c r="T61273" s="135"/>
      <c r="U61273" s="135"/>
    </row>
    <row r="61274" spans="20:21" ht="15" customHeight="1" x14ac:dyDescent="0.25">
      <c r="T61274" s="135"/>
      <c r="U61274" s="135"/>
    </row>
    <row r="61275" spans="20:21" ht="15" customHeight="1" x14ac:dyDescent="0.25">
      <c r="T61275" s="135"/>
      <c r="U61275" s="135"/>
    </row>
    <row r="61276" spans="20:21" ht="15" customHeight="1" x14ac:dyDescent="0.25">
      <c r="T61276" s="135"/>
      <c r="U61276" s="135"/>
    </row>
    <row r="61277" spans="20:21" ht="15" customHeight="1" x14ac:dyDescent="0.25">
      <c r="T61277" s="135"/>
      <c r="U61277" s="135"/>
    </row>
    <row r="61278" spans="20:21" ht="15" customHeight="1" x14ac:dyDescent="0.25">
      <c r="T61278" s="135"/>
      <c r="U61278" s="135"/>
    </row>
    <row r="61279" spans="20:21" ht="15" customHeight="1" x14ac:dyDescent="0.25">
      <c r="T61279" s="135"/>
      <c r="U61279" s="135"/>
    </row>
    <row r="61280" spans="20:21" ht="15" customHeight="1" x14ac:dyDescent="0.25">
      <c r="T61280" s="135"/>
      <c r="U61280" s="135"/>
    </row>
    <row r="61281" spans="20:21" ht="15" customHeight="1" x14ac:dyDescent="0.25">
      <c r="T61281" s="135"/>
      <c r="U61281" s="135"/>
    </row>
    <row r="61282" spans="20:21" ht="15" customHeight="1" x14ac:dyDescent="0.25">
      <c r="T61282" s="135"/>
      <c r="U61282" s="135"/>
    </row>
    <row r="61283" spans="20:21" ht="15" customHeight="1" x14ac:dyDescent="0.25">
      <c r="T61283" s="135"/>
      <c r="U61283" s="135"/>
    </row>
    <row r="61284" spans="20:21" ht="15" customHeight="1" x14ac:dyDescent="0.25">
      <c r="T61284" s="135"/>
      <c r="U61284" s="135"/>
    </row>
    <row r="61285" spans="20:21" ht="15" customHeight="1" x14ac:dyDescent="0.25">
      <c r="T61285" s="135"/>
      <c r="U61285" s="135"/>
    </row>
    <row r="61286" spans="20:21" ht="15" customHeight="1" x14ac:dyDescent="0.25">
      <c r="T61286" s="135"/>
      <c r="U61286" s="135"/>
    </row>
    <row r="61287" spans="20:21" ht="15" customHeight="1" x14ac:dyDescent="0.25">
      <c r="T61287" s="135"/>
      <c r="U61287" s="135"/>
    </row>
    <row r="61288" spans="20:21" ht="15" customHeight="1" x14ac:dyDescent="0.25">
      <c r="T61288" s="135"/>
      <c r="U61288" s="135"/>
    </row>
    <row r="61289" spans="20:21" ht="15" customHeight="1" x14ac:dyDescent="0.25">
      <c r="T61289" s="135"/>
      <c r="U61289" s="135"/>
    </row>
    <row r="61290" spans="20:21" ht="15" customHeight="1" x14ac:dyDescent="0.25">
      <c r="T61290" s="135"/>
      <c r="U61290" s="135"/>
    </row>
    <row r="61291" spans="20:21" ht="15" customHeight="1" x14ac:dyDescent="0.25">
      <c r="T61291" s="135"/>
      <c r="U61291" s="135"/>
    </row>
    <row r="61292" spans="20:21" ht="15" customHeight="1" x14ac:dyDescent="0.25">
      <c r="T61292" s="135"/>
      <c r="U61292" s="135"/>
    </row>
    <row r="61293" spans="20:21" ht="15" customHeight="1" x14ac:dyDescent="0.25">
      <c r="T61293" s="135"/>
      <c r="U61293" s="135"/>
    </row>
    <row r="61294" spans="20:21" ht="15" customHeight="1" x14ac:dyDescent="0.25">
      <c r="T61294" s="135"/>
      <c r="U61294" s="135"/>
    </row>
    <row r="61295" spans="20:21" ht="15" customHeight="1" x14ac:dyDescent="0.25">
      <c r="T61295" s="135"/>
      <c r="U61295" s="135"/>
    </row>
    <row r="61296" spans="20:21" ht="15" customHeight="1" x14ac:dyDescent="0.25">
      <c r="T61296" s="135"/>
      <c r="U61296" s="135"/>
    </row>
    <row r="61297" spans="20:21" ht="15" customHeight="1" x14ac:dyDescent="0.25">
      <c r="T61297" s="135"/>
      <c r="U61297" s="135"/>
    </row>
    <row r="61298" spans="20:21" ht="15" customHeight="1" x14ac:dyDescent="0.25">
      <c r="T61298" s="135"/>
      <c r="U61298" s="135"/>
    </row>
    <row r="61299" spans="20:21" ht="15" customHeight="1" x14ac:dyDescent="0.25">
      <c r="T61299" s="135"/>
      <c r="U61299" s="135"/>
    </row>
    <row r="61300" spans="20:21" ht="15" customHeight="1" x14ac:dyDescent="0.25">
      <c r="T61300" s="135"/>
      <c r="U61300" s="135"/>
    </row>
    <row r="61301" spans="20:21" ht="15" customHeight="1" x14ac:dyDescent="0.25">
      <c r="T61301" s="135"/>
      <c r="U61301" s="135"/>
    </row>
    <row r="61302" spans="20:21" ht="15" customHeight="1" x14ac:dyDescent="0.25">
      <c r="T61302" s="135"/>
      <c r="U61302" s="135"/>
    </row>
    <row r="61303" spans="20:21" ht="15" customHeight="1" x14ac:dyDescent="0.25">
      <c r="T61303" s="135"/>
      <c r="U61303" s="135"/>
    </row>
    <row r="61304" spans="20:21" ht="15" customHeight="1" x14ac:dyDescent="0.25">
      <c r="T61304" s="135"/>
      <c r="U61304" s="135"/>
    </row>
    <row r="61305" spans="20:21" ht="15" customHeight="1" x14ac:dyDescent="0.25">
      <c r="T61305" s="135"/>
      <c r="U61305" s="135"/>
    </row>
    <row r="61306" spans="20:21" ht="15" customHeight="1" x14ac:dyDescent="0.25">
      <c r="T61306" s="135"/>
      <c r="U61306" s="135"/>
    </row>
    <row r="61307" spans="20:21" ht="15" customHeight="1" x14ac:dyDescent="0.25">
      <c r="T61307" s="135"/>
      <c r="U61307" s="135"/>
    </row>
    <row r="61308" spans="20:21" ht="15" customHeight="1" x14ac:dyDescent="0.25">
      <c r="T61308" s="135"/>
      <c r="U61308" s="135"/>
    </row>
    <row r="61309" spans="20:21" ht="15" customHeight="1" x14ac:dyDescent="0.25">
      <c r="T61309" s="135"/>
      <c r="U61309" s="135"/>
    </row>
    <row r="61310" spans="20:21" ht="15" customHeight="1" x14ac:dyDescent="0.25">
      <c r="T61310" s="135"/>
      <c r="U61310" s="135"/>
    </row>
    <row r="61311" spans="20:21" ht="15" customHeight="1" x14ac:dyDescent="0.25">
      <c r="T61311" s="135"/>
      <c r="U61311" s="135"/>
    </row>
    <row r="61312" spans="20:21" ht="15" customHeight="1" x14ac:dyDescent="0.25">
      <c r="T61312" s="135"/>
      <c r="U61312" s="135"/>
    </row>
    <row r="61313" spans="20:21" ht="15" customHeight="1" x14ac:dyDescent="0.25">
      <c r="T61313" s="135"/>
      <c r="U61313" s="135"/>
    </row>
    <row r="61314" spans="20:21" ht="15" customHeight="1" x14ac:dyDescent="0.25">
      <c r="T61314" s="135"/>
      <c r="U61314" s="135"/>
    </row>
    <row r="61315" spans="20:21" ht="15" customHeight="1" x14ac:dyDescent="0.25">
      <c r="T61315" s="135"/>
      <c r="U61315" s="135"/>
    </row>
    <row r="61316" spans="20:21" ht="15" customHeight="1" x14ac:dyDescent="0.25">
      <c r="T61316" s="135"/>
      <c r="U61316" s="135"/>
    </row>
    <row r="61317" spans="20:21" ht="15" customHeight="1" x14ac:dyDescent="0.25">
      <c r="T61317" s="135"/>
      <c r="U61317" s="135"/>
    </row>
    <row r="61318" spans="20:21" ht="15" customHeight="1" x14ac:dyDescent="0.25">
      <c r="T61318" s="135"/>
      <c r="U61318" s="135"/>
    </row>
    <row r="61319" spans="20:21" ht="15" customHeight="1" x14ac:dyDescent="0.25">
      <c r="T61319" s="135"/>
      <c r="U61319" s="135"/>
    </row>
    <row r="61320" spans="20:21" ht="15" customHeight="1" x14ac:dyDescent="0.25">
      <c r="T61320" s="135"/>
      <c r="U61320" s="135"/>
    </row>
    <row r="61321" spans="20:21" ht="15" customHeight="1" x14ac:dyDescent="0.25">
      <c r="T61321" s="135"/>
      <c r="U61321" s="135"/>
    </row>
    <row r="61322" spans="20:21" ht="15" customHeight="1" x14ac:dyDescent="0.25">
      <c r="T61322" s="135"/>
      <c r="U61322" s="135"/>
    </row>
    <row r="61323" spans="20:21" ht="15" customHeight="1" x14ac:dyDescent="0.25">
      <c r="T61323" s="135"/>
      <c r="U61323" s="135"/>
    </row>
    <row r="61324" spans="20:21" ht="15" customHeight="1" x14ac:dyDescent="0.25">
      <c r="T61324" s="135"/>
      <c r="U61324" s="135"/>
    </row>
    <row r="61325" spans="20:21" ht="15" customHeight="1" x14ac:dyDescent="0.25">
      <c r="T61325" s="135"/>
      <c r="U61325" s="135"/>
    </row>
    <row r="61326" spans="20:21" ht="15" customHeight="1" x14ac:dyDescent="0.25">
      <c r="T61326" s="135"/>
      <c r="U61326" s="135"/>
    </row>
    <row r="61327" spans="20:21" ht="15" customHeight="1" x14ac:dyDescent="0.25">
      <c r="T61327" s="135"/>
      <c r="U61327" s="135"/>
    </row>
    <row r="61328" spans="20:21" ht="15" customHeight="1" x14ac:dyDescent="0.25">
      <c r="T61328" s="135"/>
      <c r="U61328" s="135"/>
    </row>
    <row r="61329" spans="20:21" ht="15" customHeight="1" x14ac:dyDescent="0.25">
      <c r="T61329" s="135"/>
      <c r="U61329" s="135"/>
    </row>
    <row r="61330" spans="20:21" ht="15" customHeight="1" x14ac:dyDescent="0.25">
      <c r="T61330" s="135"/>
      <c r="U61330" s="135"/>
    </row>
    <row r="61331" spans="20:21" ht="15" customHeight="1" x14ac:dyDescent="0.25">
      <c r="T61331" s="135"/>
      <c r="U61331" s="135"/>
    </row>
    <row r="61332" spans="20:21" ht="15" customHeight="1" x14ac:dyDescent="0.25">
      <c r="T61332" s="135"/>
      <c r="U61332" s="135"/>
    </row>
    <row r="61333" spans="20:21" ht="15" customHeight="1" x14ac:dyDescent="0.25">
      <c r="T61333" s="135"/>
      <c r="U61333" s="135"/>
    </row>
    <row r="61334" spans="20:21" ht="15" customHeight="1" x14ac:dyDescent="0.25">
      <c r="T61334" s="135"/>
      <c r="U61334" s="135"/>
    </row>
    <row r="61335" spans="20:21" ht="15" customHeight="1" x14ac:dyDescent="0.25">
      <c r="T61335" s="135"/>
      <c r="U61335" s="135"/>
    </row>
    <row r="61336" spans="20:21" ht="15" customHeight="1" x14ac:dyDescent="0.25">
      <c r="T61336" s="135"/>
      <c r="U61336" s="135"/>
    </row>
    <row r="61337" spans="20:21" ht="15" customHeight="1" x14ac:dyDescent="0.25">
      <c r="T61337" s="135"/>
      <c r="U61337" s="135"/>
    </row>
    <row r="61338" spans="20:21" ht="15" customHeight="1" x14ac:dyDescent="0.25">
      <c r="T61338" s="135"/>
      <c r="U61338" s="135"/>
    </row>
    <row r="61339" spans="20:21" ht="15" customHeight="1" x14ac:dyDescent="0.25">
      <c r="T61339" s="135"/>
      <c r="U61339" s="135"/>
    </row>
    <row r="61340" spans="20:21" ht="15" customHeight="1" x14ac:dyDescent="0.25">
      <c r="T61340" s="135"/>
      <c r="U61340" s="135"/>
    </row>
    <row r="61341" spans="20:21" ht="15" customHeight="1" x14ac:dyDescent="0.25">
      <c r="T61341" s="135"/>
      <c r="U61341" s="135"/>
    </row>
    <row r="61342" spans="20:21" ht="15" customHeight="1" x14ac:dyDescent="0.25">
      <c r="T61342" s="135"/>
      <c r="U61342" s="135"/>
    </row>
    <row r="61343" spans="20:21" ht="15" customHeight="1" x14ac:dyDescent="0.25">
      <c r="T61343" s="135"/>
      <c r="U61343" s="135"/>
    </row>
    <row r="61344" spans="20:21" ht="15" customHeight="1" x14ac:dyDescent="0.25">
      <c r="T61344" s="135"/>
      <c r="U61344" s="135"/>
    </row>
    <row r="61345" spans="20:21" ht="15" customHeight="1" x14ac:dyDescent="0.25">
      <c r="T61345" s="135"/>
      <c r="U61345" s="135"/>
    </row>
    <row r="61346" spans="20:21" ht="15" customHeight="1" x14ac:dyDescent="0.25">
      <c r="T61346" s="135"/>
      <c r="U61346" s="135"/>
    </row>
    <row r="61347" spans="20:21" ht="15" customHeight="1" x14ac:dyDescent="0.25">
      <c r="T61347" s="135"/>
      <c r="U61347" s="135"/>
    </row>
    <row r="61348" spans="20:21" ht="15" customHeight="1" x14ac:dyDescent="0.25">
      <c r="T61348" s="135"/>
      <c r="U61348" s="135"/>
    </row>
    <row r="61349" spans="20:21" ht="15" customHeight="1" x14ac:dyDescent="0.25">
      <c r="T61349" s="135"/>
      <c r="U61349" s="135"/>
    </row>
    <row r="61350" spans="20:21" ht="15" customHeight="1" x14ac:dyDescent="0.25">
      <c r="T61350" s="135"/>
      <c r="U61350" s="135"/>
    </row>
    <row r="61351" spans="20:21" ht="15" customHeight="1" x14ac:dyDescent="0.25">
      <c r="T61351" s="135"/>
      <c r="U61351" s="135"/>
    </row>
    <row r="61352" spans="20:21" ht="15" customHeight="1" x14ac:dyDescent="0.25">
      <c r="T61352" s="135"/>
      <c r="U61352" s="135"/>
    </row>
    <row r="61353" spans="20:21" ht="15" customHeight="1" x14ac:dyDescent="0.25">
      <c r="T61353" s="135"/>
      <c r="U61353" s="135"/>
    </row>
    <row r="61354" spans="20:21" ht="15" customHeight="1" x14ac:dyDescent="0.25">
      <c r="T61354" s="135"/>
      <c r="U61354" s="135"/>
    </row>
    <row r="61355" spans="20:21" ht="15" customHeight="1" x14ac:dyDescent="0.25">
      <c r="T61355" s="135"/>
      <c r="U61355" s="135"/>
    </row>
    <row r="61356" spans="20:21" ht="15" customHeight="1" x14ac:dyDescent="0.25">
      <c r="T61356" s="135"/>
      <c r="U61356" s="135"/>
    </row>
    <row r="61357" spans="20:21" ht="15" customHeight="1" x14ac:dyDescent="0.25">
      <c r="T61357" s="135"/>
      <c r="U61357" s="135"/>
    </row>
    <row r="61358" spans="20:21" ht="15" customHeight="1" x14ac:dyDescent="0.25">
      <c r="T61358" s="135"/>
      <c r="U61358" s="135"/>
    </row>
    <row r="61359" spans="20:21" ht="15" customHeight="1" x14ac:dyDescent="0.25">
      <c r="T61359" s="135"/>
      <c r="U61359" s="135"/>
    </row>
    <row r="61360" spans="20:21" ht="15" customHeight="1" x14ac:dyDescent="0.25">
      <c r="T61360" s="135"/>
      <c r="U61360" s="135"/>
    </row>
    <row r="61361" spans="20:21" ht="15" customHeight="1" x14ac:dyDescent="0.25">
      <c r="T61361" s="135"/>
      <c r="U61361" s="135"/>
    </row>
    <row r="61362" spans="20:21" ht="15" customHeight="1" x14ac:dyDescent="0.25">
      <c r="T61362" s="135"/>
      <c r="U61362" s="135"/>
    </row>
    <row r="61363" spans="20:21" ht="15" customHeight="1" x14ac:dyDescent="0.25">
      <c r="T61363" s="135"/>
      <c r="U61363" s="135"/>
    </row>
    <row r="61364" spans="20:21" ht="15" customHeight="1" x14ac:dyDescent="0.25">
      <c r="T61364" s="135"/>
      <c r="U61364" s="135"/>
    </row>
    <row r="61365" spans="20:21" ht="15" customHeight="1" x14ac:dyDescent="0.25">
      <c r="T61365" s="135"/>
      <c r="U61365" s="135"/>
    </row>
    <row r="61366" spans="20:21" ht="15" customHeight="1" x14ac:dyDescent="0.25">
      <c r="T61366" s="135"/>
      <c r="U61366" s="135"/>
    </row>
    <row r="61367" spans="20:21" ht="15" customHeight="1" x14ac:dyDescent="0.25">
      <c r="T61367" s="135"/>
      <c r="U61367" s="135"/>
    </row>
    <row r="61368" spans="20:21" ht="15" customHeight="1" x14ac:dyDescent="0.25">
      <c r="T61368" s="135"/>
      <c r="U61368" s="135"/>
    </row>
    <row r="61369" spans="20:21" ht="15" customHeight="1" x14ac:dyDescent="0.25">
      <c r="T61369" s="135"/>
      <c r="U61369" s="135"/>
    </row>
    <row r="61370" spans="20:21" ht="15" customHeight="1" x14ac:dyDescent="0.25">
      <c r="T61370" s="135"/>
      <c r="U61370" s="135"/>
    </row>
    <row r="61371" spans="20:21" ht="15" customHeight="1" x14ac:dyDescent="0.25">
      <c r="T61371" s="135"/>
      <c r="U61371" s="135"/>
    </row>
    <row r="61372" spans="20:21" ht="15" customHeight="1" x14ac:dyDescent="0.25">
      <c r="T61372" s="135"/>
      <c r="U61372" s="135"/>
    </row>
    <row r="61373" spans="20:21" ht="15" customHeight="1" x14ac:dyDescent="0.25">
      <c r="T61373" s="135"/>
      <c r="U61373" s="135"/>
    </row>
    <row r="61374" spans="20:21" ht="15" customHeight="1" x14ac:dyDescent="0.25">
      <c r="T61374" s="135"/>
      <c r="U61374" s="135"/>
    </row>
    <row r="61375" spans="20:21" ht="15" customHeight="1" x14ac:dyDescent="0.25">
      <c r="T61375" s="135"/>
      <c r="U61375" s="135"/>
    </row>
    <row r="61376" spans="20:21" ht="15" customHeight="1" x14ac:dyDescent="0.25">
      <c r="T61376" s="135"/>
      <c r="U61376" s="135"/>
    </row>
    <row r="61377" spans="20:21" ht="15" customHeight="1" x14ac:dyDescent="0.25">
      <c r="T61377" s="135"/>
      <c r="U61377" s="135"/>
    </row>
    <row r="61378" spans="20:21" ht="15" customHeight="1" x14ac:dyDescent="0.25">
      <c r="T61378" s="135"/>
      <c r="U61378" s="135"/>
    </row>
    <row r="61379" spans="20:21" ht="15" customHeight="1" x14ac:dyDescent="0.25">
      <c r="T61379" s="135"/>
      <c r="U61379" s="135"/>
    </row>
    <row r="61380" spans="20:21" ht="15" customHeight="1" x14ac:dyDescent="0.25">
      <c r="T61380" s="135"/>
      <c r="U61380" s="135"/>
    </row>
    <row r="61381" spans="20:21" ht="15" customHeight="1" x14ac:dyDescent="0.25">
      <c r="T61381" s="135"/>
      <c r="U61381" s="135"/>
    </row>
    <row r="61382" spans="20:21" ht="15" customHeight="1" x14ac:dyDescent="0.25">
      <c r="T61382" s="135"/>
      <c r="U61382" s="135"/>
    </row>
    <row r="61383" spans="20:21" ht="15" customHeight="1" x14ac:dyDescent="0.25">
      <c r="T61383" s="135"/>
      <c r="U61383" s="135"/>
    </row>
    <row r="61384" spans="20:21" ht="15" customHeight="1" x14ac:dyDescent="0.25">
      <c r="T61384" s="135"/>
      <c r="U61384" s="135"/>
    </row>
    <row r="61385" spans="20:21" ht="15" customHeight="1" x14ac:dyDescent="0.25">
      <c r="T61385" s="135"/>
      <c r="U61385" s="135"/>
    </row>
    <row r="61386" spans="20:21" ht="15" customHeight="1" x14ac:dyDescent="0.25">
      <c r="T61386" s="135"/>
      <c r="U61386" s="135"/>
    </row>
    <row r="61387" spans="20:21" ht="15" customHeight="1" x14ac:dyDescent="0.25">
      <c r="T61387" s="135"/>
      <c r="U61387" s="135"/>
    </row>
    <row r="61388" spans="20:21" ht="15" customHeight="1" x14ac:dyDescent="0.25">
      <c r="T61388" s="135"/>
      <c r="U61388" s="135"/>
    </row>
    <row r="61389" spans="20:21" ht="15" customHeight="1" x14ac:dyDescent="0.25">
      <c r="T61389" s="135"/>
      <c r="U61389" s="135"/>
    </row>
    <row r="61390" spans="20:21" ht="15" customHeight="1" x14ac:dyDescent="0.25">
      <c r="T61390" s="135"/>
      <c r="U61390" s="135"/>
    </row>
    <row r="61391" spans="20:21" ht="15" customHeight="1" x14ac:dyDescent="0.25">
      <c r="T61391" s="135"/>
      <c r="U61391" s="135"/>
    </row>
    <row r="61392" spans="20:21" ht="15" customHeight="1" x14ac:dyDescent="0.25">
      <c r="T61392" s="135"/>
      <c r="U61392" s="135"/>
    </row>
    <row r="61393" spans="20:21" ht="15" customHeight="1" x14ac:dyDescent="0.25">
      <c r="T61393" s="135"/>
      <c r="U61393" s="135"/>
    </row>
    <row r="61394" spans="20:21" ht="15" customHeight="1" x14ac:dyDescent="0.25">
      <c r="T61394" s="135"/>
      <c r="U61394" s="135"/>
    </row>
    <row r="61395" spans="20:21" ht="15" customHeight="1" x14ac:dyDescent="0.25">
      <c r="T61395" s="135"/>
      <c r="U61395" s="135"/>
    </row>
    <row r="61396" spans="20:21" ht="15" customHeight="1" x14ac:dyDescent="0.25">
      <c r="T61396" s="135"/>
      <c r="U61396" s="135"/>
    </row>
    <row r="61397" spans="20:21" ht="15" customHeight="1" x14ac:dyDescent="0.25">
      <c r="T61397" s="135"/>
      <c r="U61397" s="135"/>
    </row>
    <row r="61398" spans="20:21" ht="15" customHeight="1" x14ac:dyDescent="0.25">
      <c r="T61398" s="135"/>
      <c r="U61398" s="135"/>
    </row>
    <row r="61399" spans="20:21" ht="15" customHeight="1" x14ac:dyDescent="0.25">
      <c r="T61399" s="135"/>
      <c r="U61399" s="135"/>
    </row>
    <row r="61400" spans="20:21" ht="15" customHeight="1" x14ac:dyDescent="0.25">
      <c r="T61400" s="135"/>
      <c r="U61400" s="135"/>
    </row>
    <row r="61401" spans="20:21" ht="15" customHeight="1" x14ac:dyDescent="0.25">
      <c r="T61401" s="135"/>
      <c r="U61401" s="135"/>
    </row>
    <row r="61402" spans="20:21" ht="15" customHeight="1" x14ac:dyDescent="0.25">
      <c r="T61402" s="135"/>
      <c r="U61402" s="135"/>
    </row>
    <row r="61403" spans="20:21" ht="15" customHeight="1" x14ac:dyDescent="0.25">
      <c r="T61403" s="135"/>
      <c r="U61403" s="135"/>
    </row>
    <row r="61404" spans="20:21" ht="15" customHeight="1" x14ac:dyDescent="0.25">
      <c r="T61404" s="135"/>
      <c r="U61404" s="135"/>
    </row>
    <row r="61405" spans="20:21" ht="15" customHeight="1" x14ac:dyDescent="0.25">
      <c r="T61405" s="135"/>
      <c r="U61405" s="135"/>
    </row>
    <row r="61406" spans="20:21" ht="15" customHeight="1" x14ac:dyDescent="0.25">
      <c r="T61406" s="135"/>
      <c r="U61406" s="135"/>
    </row>
    <row r="61407" spans="20:21" ht="15" customHeight="1" x14ac:dyDescent="0.25">
      <c r="T61407" s="135"/>
      <c r="U61407" s="135"/>
    </row>
    <row r="61408" spans="20:21" ht="15" customHeight="1" x14ac:dyDescent="0.25">
      <c r="T61408" s="135"/>
      <c r="U61408" s="135"/>
    </row>
    <row r="61409" spans="20:21" ht="15" customHeight="1" x14ac:dyDescent="0.25">
      <c r="T61409" s="135"/>
      <c r="U61409" s="135"/>
    </row>
    <row r="61410" spans="20:21" ht="15" customHeight="1" x14ac:dyDescent="0.25">
      <c r="T61410" s="135"/>
      <c r="U61410" s="135"/>
    </row>
    <row r="61411" spans="20:21" ht="15" customHeight="1" x14ac:dyDescent="0.25">
      <c r="T61411" s="135"/>
      <c r="U61411" s="135"/>
    </row>
    <row r="61412" spans="20:21" ht="15" customHeight="1" x14ac:dyDescent="0.25">
      <c r="T61412" s="135"/>
      <c r="U61412" s="135"/>
    </row>
    <row r="61413" spans="20:21" ht="15" customHeight="1" x14ac:dyDescent="0.25">
      <c r="T61413" s="135"/>
      <c r="U61413" s="135"/>
    </row>
    <row r="61414" spans="20:21" ht="15" customHeight="1" x14ac:dyDescent="0.25">
      <c r="T61414" s="135"/>
      <c r="U61414" s="135"/>
    </row>
    <row r="61415" spans="20:21" ht="15" customHeight="1" x14ac:dyDescent="0.25">
      <c r="T61415" s="135"/>
      <c r="U61415" s="135"/>
    </row>
    <row r="61416" spans="20:21" ht="15" customHeight="1" x14ac:dyDescent="0.25">
      <c r="T61416" s="135"/>
      <c r="U61416" s="135"/>
    </row>
    <row r="61417" spans="20:21" ht="15" customHeight="1" x14ac:dyDescent="0.25">
      <c r="T61417" s="135"/>
      <c r="U61417" s="135"/>
    </row>
    <row r="61418" spans="20:21" ht="15" customHeight="1" x14ac:dyDescent="0.25">
      <c r="T61418" s="135"/>
      <c r="U61418" s="135"/>
    </row>
    <row r="61419" spans="20:21" ht="15" customHeight="1" x14ac:dyDescent="0.25">
      <c r="T61419" s="135"/>
      <c r="U61419" s="135"/>
    </row>
    <row r="61420" spans="20:21" ht="15" customHeight="1" x14ac:dyDescent="0.25">
      <c r="T61420" s="135"/>
      <c r="U61420" s="135"/>
    </row>
    <row r="61421" spans="20:21" ht="15" customHeight="1" x14ac:dyDescent="0.25">
      <c r="T61421" s="135"/>
      <c r="U61421" s="135"/>
    </row>
    <row r="61422" spans="20:21" ht="15" customHeight="1" x14ac:dyDescent="0.25">
      <c r="T61422" s="135"/>
      <c r="U61422" s="135"/>
    </row>
    <row r="61423" spans="20:21" ht="15" customHeight="1" x14ac:dyDescent="0.25">
      <c r="T61423" s="135"/>
      <c r="U61423" s="135"/>
    </row>
    <row r="61424" spans="20:21" ht="15" customHeight="1" x14ac:dyDescent="0.25">
      <c r="T61424" s="135"/>
      <c r="U61424" s="135"/>
    </row>
    <row r="61425" spans="20:21" ht="15" customHeight="1" x14ac:dyDescent="0.25">
      <c r="T61425" s="135"/>
      <c r="U61425" s="135"/>
    </row>
    <row r="61426" spans="20:21" ht="15" customHeight="1" x14ac:dyDescent="0.25">
      <c r="T61426" s="135"/>
      <c r="U61426" s="135"/>
    </row>
    <row r="61427" spans="20:21" ht="15" customHeight="1" x14ac:dyDescent="0.25">
      <c r="T61427" s="135"/>
      <c r="U61427" s="135"/>
    </row>
    <row r="61428" spans="20:21" ht="15" customHeight="1" x14ac:dyDescent="0.25">
      <c r="T61428" s="135"/>
      <c r="U61428" s="135"/>
    </row>
    <row r="61429" spans="20:21" ht="15" customHeight="1" x14ac:dyDescent="0.25">
      <c r="T61429" s="135"/>
      <c r="U61429" s="135"/>
    </row>
    <row r="61430" spans="20:21" ht="15" customHeight="1" x14ac:dyDescent="0.25">
      <c r="T61430" s="135"/>
      <c r="U61430" s="135"/>
    </row>
    <row r="61431" spans="20:21" ht="15" customHeight="1" x14ac:dyDescent="0.25">
      <c r="T61431" s="135"/>
      <c r="U61431" s="135"/>
    </row>
    <row r="61432" spans="20:21" ht="15" customHeight="1" x14ac:dyDescent="0.25">
      <c r="T61432" s="135"/>
      <c r="U61432" s="135"/>
    </row>
    <row r="61433" spans="20:21" ht="15" customHeight="1" x14ac:dyDescent="0.25">
      <c r="T61433" s="135"/>
      <c r="U61433" s="135"/>
    </row>
    <row r="61434" spans="20:21" ht="15" customHeight="1" x14ac:dyDescent="0.25">
      <c r="T61434" s="135"/>
      <c r="U61434" s="135"/>
    </row>
    <row r="61435" spans="20:21" ht="15" customHeight="1" x14ac:dyDescent="0.25">
      <c r="T61435" s="135"/>
      <c r="U61435" s="135"/>
    </row>
    <row r="61436" spans="20:21" ht="15" customHeight="1" x14ac:dyDescent="0.25">
      <c r="T61436" s="135"/>
      <c r="U61436" s="135"/>
    </row>
    <row r="61437" spans="20:21" ht="15" customHeight="1" x14ac:dyDescent="0.25">
      <c r="T61437" s="135"/>
      <c r="U61437" s="135"/>
    </row>
    <row r="61438" spans="20:21" ht="15" customHeight="1" x14ac:dyDescent="0.25">
      <c r="T61438" s="135"/>
      <c r="U61438" s="135"/>
    </row>
    <row r="61439" spans="20:21" ht="15" customHeight="1" x14ac:dyDescent="0.25">
      <c r="T61439" s="135"/>
      <c r="U61439" s="135"/>
    </row>
    <row r="61440" spans="20:21" ht="15" customHeight="1" x14ac:dyDescent="0.25">
      <c r="T61440" s="135"/>
      <c r="U61440" s="135"/>
    </row>
    <row r="61441" spans="20:21" ht="15" customHeight="1" x14ac:dyDescent="0.25">
      <c r="T61441" s="135"/>
      <c r="U61441" s="135"/>
    </row>
    <row r="61442" spans="20:21" ht="15" customHeight="1" x14ac:dyDescent="0.25">
      <c r="T61442" s="135"/>
      <c r="U61442" s="135"/>
    </row>
    <row r="61443" spans="20:21" ht="15" customHeight="1" x14ac:dyDescent="0.25">
      <c r="T61443" s="135"/>
      <c r="U61443" s="135"/>
    </row>
    <row r="61444" spans="20:21" ht="15" customHeight="1" x14ac:dyDescent="0.25">
      <c r="T61444" s="135"/>
      <c r="U61444" s="135"/>
    </row>
    <row r="61445" spans="20:21" ht="15" customHeight="1" x14ac:dyDescent="0.25">
      <c r="T61445" s="135"/>
      <c r="U61445" s="135"/>
    </row>
    <row r="61446" spans="20:21" ht="15" customHeight="1" x14ac:dyDescent="0.25">
      <c r="T61446" s="135"/>
      <c r="U61446" s="135"/>
    </row>
    <row r="61447" spans="20:21" ht="15" customHeight="1" x14ac:dyDescent="0.25">
      <c r="T61447" s="135"/>
      <c r="U61447" s="135"/>
    </row>
    <row r="61448" spans="20:21" ht="15" customHeight="1" x14ac:dyDescent="0.25">
      <c r="T61448" s="135"/>
      <c r="U61448" s="135"/>
    </row>
    <row r="61449" spans="20:21" ht="15" customHeight="1" x14ac:dyDescent="0.25">
      <c r="T61449" s="135"/>
      <c r="U61449" s="135"/>
    </row>
    <row r="61450" spans="20:21" ht="15" customHeight="1" x14ac:dyDescent="0.25">
      <c r="T61450" s="135"/>
      <c r="U61450" s="135"/>
    </row>
    <row r="61451" spans="20:21" ht="15" customHeight="1" x14ac:dyDescent="0.25">
      <c r="T61451" s="135"/>
      <c r="U61451" s="135"/>
    </row>
    <row r="61452" spans="20:21" ht="15" customHeight="1" x14ac:dyDescent="0.25">
      <c r="T61452" s="135"/>
      <c r="U61452" s="135"/>
    </row>
    <row r="61453" spans="20:21" ht="15" customHeight="1" x14ac:dyDescent="0.25">
      <c r="T61453" s="135"/>
      <c r="U61453" s="135"/>
    </row>
    <row r="61454" spans="20:21" ht="15" customHeight="1" x14ac:dyDescent="0.25">
      <c r="T61454" s="135"/>
      <c r="U61454" s="135"/>
    </row>
    <row r="61455" spans="20:21" ht="15" customHeight="1" x14ac:dyDescent="0.25">
      <c r="T61455" s="135"/>
      <c r="U61455" s="135"/>
    </row>
    <row r="61456" spans="20:21" ht="15" customHeight="1" x14ac:dyDescent="0.25">
      <c r="T61456" s="135"/>
      <c r="U61456" s="135"/>
    </row>
    <row r="61457" spans="20:21" ht="15" customHeight="1" x14ac:dyDescent="0.25">
      <c r="T61457" s="135"/>
      <c r="U61457" s="135"/>
    </row>
    <row r="61458" spans="20:21" ht="15" customHeight="1" x14ac:dyDescent="0.25">
      <c r="T61458" s="135"/>
      <c r="U61458" s="135"/>
    </row>
    <row r="61459" spans="20:21" ht="15" customHeight="1" x14ac:dyDescent="0.25">
      <c r="T61459" s="135"/>
      <c r="U61459" s="135"/>
    </row>
    <row r="61460" spans="20:21" ht="15" customHeight="1" x14ac:dyDescent="0.25">
      <c r="T61460" s="135"/>
      <c r="U61460" s="135"/>
    </row>
    <row r="61461" spans="20:21" ht="15" customHeight="1" x14ac:dyDescent="0.25">
      <c r="T61461" s="135"/>
      <c r="U61461" s="135"/>
    </row>
    <row r="61462" spans="20:21" ht="15" customHeight="1" x14ac:dyDescent="0.25">
      <c r="T61462" s="135"/>
      <c r="U61462" s="135"/>
    </row>
    <row r="61463" spans="20:21" ht="15" customHeight="1" x14ac:dyDescent="0.25">
      <c r="T61463" s="135"/>
      <c r="U61463" s="135"/>
    </row>
    <row r="61464" spans="20:21" ht="15" customHeight="1" x14ac:dyDescent="0.25">
      <c r="T61464" s="135"/>
      <c r="U61464" s="135"/>
    </row>
    <row r="61465" spans="20:21" ht="15" customHeight="1" x14ac:dyDescent="0.25">
      <c r="T61465" s="135"/>
      <c r="U61465" s="135"/>
    </row>
    <row r="61466" spans="20:21" ht="15" customHeight="1" x14ac:dyDescent="0.25">
      <c r="T61466" s="135"/>
      <c r="U61466" s="135"/>
    </row>
    <row r="61467" spans="20:21" ht="15" customHeight="1" x14ac:dyDescent="0.25">
      <c r="T61467" s="135"/>
      <c r="U61467" s="135"/>
    </row>
    <row r="61468" spans="20:21" ht="15" customHeight="1" x14ac:dyDescent="0.25">
      <c r="T61468" s="135"/>
      <c r="U61468" s="135"/>
    </row>
    <row r="61469" spans="20:21" ht="15" customHeight="1" x14ac:dyDescent="0.25">
      <c r="T61469" s="135"/>
      <c r="U61469" s="135"/>
    </row>
    <row r="61470" spans="20:21" ht="15" customHeight="1" x14ac:dyDescent="0.25">
      <c r="T61470" s="135"/>
      <c r="U61470" s="135"/>
    </row>
    <row r="61471" spans="20:21" ht="15" customHeight="1" x14ac:dyDescent="0.25">
      <c r="T61471" s="135"/>
      <c r="U61471" s="135"/>
    </row>
    <row r="61472" spans="20:21" ht="15" customHeight="1" x14ac:dyDescent="0.25">
      <c r="T61472" s="135"/>
      <c r="U61472" s="135"/>
    </row>
    <row r="61473" spans="20:21" ht="15" customHeight="1" x14ac:dyDescent="0.25">
      <c r="T61473" s="135"/>
      <c r="U61473" s="135"/>
    </row>
    <row r="61474" spans="20:21" ht="15" customHeight="1" x14ac:dyDescent="0.25">
      <c r="T61474" s="135"/>
      <c r="U61474" s="135"/>
    </row>
    <row r="61475" spans="20:21" ht="15" customHeight="1" x14ac:dyDescent="0.25">
      <c r="T61475" s="135"/>
      <c r="U61475" s="135"/>
    </row>
    <row r="61476" spans="20:21" ht="15" customHeight="1" x14ac:dyDescent="0.25">
      <c r="T61476" s="135"/>
      <c r="U61476" s="135"/>
    </row>
    <row r="61477" spans="20:21" ht="15" customHeight="1" x14ac:dyDescent="0.25">
      <c r="T61477" s="135"/>
      <c r="U61477" s="135"/>
    </row>
    <row r="61478" spans="20:21" ht="15" customHeight="1" x14ac:dyDescent="0.25">
      <c r="T61478" s="135"/>
      <c r="U61478" s="135"/>
    </row>
    <row r="61479" spans="20:21" ht="15" customHeight="1" x14ac:dyDescent="0.25">
      <c r="T61479" s="135"/>
      <c r="U61479" s="135"/>
    </row>
    <row r="61480" spans="20:21" ht="15" customHeight="1" x14ac:dyDescent="0.25">
      <c r="T61480" s="135"/>
      <c r="U61480" s="135"/>
    </row>
    <row r="61481" spans="20:21" ht="15" customHeight="1" x14ac:dyDescent="0.25">
      <c r="T61481" s="135"/>
      <c r="U61481" s="135"/>
    </row>
    <row r="61482" spans="20:21" ht="15" customHeight="1" x14ac:dyDescent="0.25">
      <c r="T61482" s="135"/>
      <c r="U61482" s="135"/>
    </row>
    <row r="61483" spans="20:21" ht="15" customHeight="1" x14ac:dyDescent="0.25">
      <c r="T61483" s="135"/>
      <c r="U61483" s="135"/>
    </row>
    <row r="61484" spans="20:21" ht="15" customHeight="1" x14ac:dyDescent="0.25">
      <c r="T61484" s="135"/>
      <c r="U61484" s="135"/>
    </row>
    <row r="61485" spans="20:21" ht="15" customHeight="1" x14ac:dyDescent="0.25">
      <c r="T61485" s="135"/>
      <c r="U61485" s="135"/>
    </row>
    <row r="61486" spans="20:21" ht="15" customHeight="1" x14ac:dyDescent="0.25">
      <c r="T61486" s="135"/>
      <c r="U61486" s="135"/>
    </row>
    <row r="61487" spans="20:21" ht="15" customHeight="1" x14ac:dyDescent="0.25">
      <c r="T61487" s="135"/>
      <c r="U61487" s="135"/>
    </row>
    <row r="61488" spans="20:21" ht="15" customHeight="1" x14ac:dyDescent="0.25">
      <c r="T61488" s="135"/>
      <c r="U61488" s="135"/>
    </row>
    <row r="61489" spans="20:21" ht="15" customHeight="1" x14ac:dyDescent="0.25">
      <c r="T61489" s="135"/>
      <c r="U61489" s="135"/>
    </row>
    <row r="61490" spans="20:21" ht="15" customHeight="1" x14ac:dyDescent="0.25">
      <c r="T61490" s="135"/>
      <c r="U61490" s="135"/>
    </row>
    <row r="61491" spans="20:21" ht="15" customHeight="1" x14ac:dyDescent="0.25">
      <c r="T61491" s="135"/>
      <c r="U61491" s="135"/>
    </row>
    <row r="61492" spans="20:21" ht="15" customHeight="1" x14ac:dyDescent="0.25">
      <c r="T61492" s="135"/>
      <c r="U61492" s="135"/>
    </row>
    <row r="61493" spans="20:21" ht="15" customHeight="1" x14ac:dyDescent="0.25">
      <c r="T61493" s="135"/>
      <c r="U61493" s="135"/>
    </row>
    <row r="61494" spans="20:21" ht="15" customHeight="1" x14ac:dyDescent="0.25">
      <c r="T61494" s="135"/>
      <c r="U61494" s="135"/>
    </row>
    <row r="61495" spans="20:21" ht="15" customHeight="1" x14ac:dyDescent="0.25">
      <c r="T61495" s="135"/>
      <c r="U61495" s="135"/>
    </row>
    <row r="61496" spans="20:21" ht="15" customHeight="1" x14ac:dyDescent="0.25">
      <c r="T61496" s="135"/>
      <c r="U61496" s="135"/>
    </row>
    <row r="61497" spans="20:21" ht="15" customHeight="1" x14ac:dyDescent="0.25">
      <c r="T61497" s="135"/>
      <c r="U61497" s="135"/>
    </row>
    <row r="61498" spans="20:21" ht="15" customHeight="1" x14ac:dyDescent="0.25">
      <c r="T61498" s="135"/>
      <c r="U61498" s="135"/>
    </row>
    <row r="61499" spans="20:21" ht="15" customHeight="1" x14ac:dyDescent="0.25">
      <c r="T61499" s="135"/>
      <c r="U61499" s="135"/>
    </row>
    <row r="61500" spans="20:21" ht="15" customHeight="1" x14ac:dyDescent="0.25">
      <c r="T61500" s="135"/>
      <c r="U61500" s="135"/>
    </row>
    <row r="61501" spans="20:21" ht="15" customHeight="1" x14ac:dyDescent="0.25">
      <c r="T61501" s="135"/>
      <c r="U61501" s="135"/>
    </row>
    <row r="61502" spans="20:21" ht="15" customHeight="1" x14ac:dyDescent="0.25">
      <c r="T61502" s="135"/>
      <c r="U61502" s="135"/>
    </row>
    <row r="61503" spans="20:21" ht="15" customHeight="1" x14ac:dyDescent="0.25">
      <c r="T61503" s="135"/>
      <c r="U61503" s="135"/>
    </row>
    <row r="61504" spans="20:21" ht="15" customHeight="1" x14ac:dyDescent="0.25">
      <c r="T61504" s="135"/>
      <c r="U61504" s="135"/>
    </row>
    <row r="61505" spans="20:21" ht="15" customHeight="1" x14ac:dyDescent="0.25">
      <c r="T61505" s="135"/>
      <c r="U61505" s="135"/>
    </row>
    <row r="61506" spans="20:21" ht="15" customHeight="1" x14ac:dyDescent="0.25">
      <c r="T61506" s="135"/>
      <c r="U61506" s="135"/>
    </row>
    <row r="61507" spans="20:21" ht="15" customHeight="1" x14ac:dyDescent="0.25">
      <c r="T61507" s="135"/>
      <c r="U61507" s="135"/>
    </row>
    <row r="61508" spans="20:21" ht="15" customHeight="1" x14ac:dyDescent="0.25">
      <c r="T61508" s="135"/>
      <c r="U61508" s="135"/>
    </row>
    <row r="61509" spans="20:21" ht="15" customHeight="1" x14ac:dyDescent="0.25">
      <c r="T61509" s="135"/>
      <c r="U61509" s="135"/>
    </row>
    <row r="61510" spans="20:21" ht="15" customHeight="1" x14ac:dyDescent="0.25">
      <c r="T61510" s="135"/>
      <c r="U61510" s="135"/>
    </row>
    <row r="61511" spans="20:21" ht="15" customHeight="1" x14ac:dyDescent="0.25">
      <c r="T61511" s="135"/>
      <c r="U61511" s="135"/>
    </row>
    <row r="61512" spans="20:21" ht="15" customHeight="1" x14ac:dyDescent="0.25">
      <c r="T61512" s="135"/>
      <c r="U61512" s="135"/>
    </row>
    <row r="61513" spans="20:21" ht="15" customHeight="1" x14ac:dyDescent="0.25">
      <c r="T61513" s="135"/>
      <c r="U61513" s="135"/>
    </row>
    <row r="61514" spans="20:21" ht="15" customHeight="1" x14ac:dyDescent="0.25">
      <c r="T61514" s="135"/>
      <c r="U61514" s="135"/>
    </row>
    <row r="61515" spans="20:21" ht="15" customHeight="1" x14ac:dyDescent="0.25">
      <c r="T61515" s="135"/>
      <c r="U61515" s="135"/>
    </row>
    <row r="61516" spans="20:21" ht="15" customHeight="1" x14ac:dyDescent="0.25">
      <c r="T61516" s="135"/>
      <c r="U61516" s="135"/>
    </row>
    <row r="61517" spans="20:21" ht="15" customHeight="1" x14ac:dyDescent="0.25">
      <c r="T61517" s="135"/>
      <c r="U61517" s="135"/>
    </row>
    <row r="61518" spans="20:21" ht="15" customHeight="1" x14ac:dyDescent="0.25">
      <c r="T61518" s="135"/>
      <c r="U61518" s="135"/>
    </row>
    <row r="61519" spans="20:21" ht="15" customHeight="1" x14ac:dyDescent="0.25">
      <c r="T61519" s="135"/>
      <c r="U61519" s="135"/>
    </row>
    <row r="61520" spans="20:21" ht="15" customHeight="1" x14ac:dyDescent="0.25">
      <c r="T61520" s="135"/>
      <c r="U61520" s="135"/>
    </row>
    <row r="61521" spans="20:21" ht="15" customHeight="1" x14ac:dyDescent="0.25">
      <c r="T61521" s="135"/>
      <c r="U61521" s="135"/>
    </row>
    <row r="61522" spans="20:21" ht="15" customHeight="1" x14ac:dyDescent="0.25">
      <c r="T61522" s="135"/>
      <c r="U61522" s="135"/>
    </row>
    <row r="61523" spans="20:21" ht="15" customHeight="1" x14ac:dyDescent="0.25">
      <c r="T61523" s="135"/>
      <c r="U61523" s="135"/>
    </row>
    <row r="61524" spans="20:21" ht="15" customHeight="1" x14ac:dyDescent="0.25">
      <c r="T61524" s="135"/>
      <c r="U61524" s="135"/>
    </row>
    <row r="61525" spans="20:21" ht="15" customHeight="1" x14ac:dyDescent="0.25">
      <c r="T61525" s="135"/>
      <c r="U61525" s="135"/>
    </row>
    <row r="61526" spans="20:21" ht="15" customHeight="1" x14ac:dyDescent="0.25">
      <c r="T61526" s="135"/>
      <c r="U61526" s="135"/>
    </row>
    <row r="61527" spans="20:21" ht="15" customHeight="1" x14ac:dyDescent="0.25">
      <c r="T61527" s="135"/>
      <c r="U61527" s="135"/>
    </row>
    <row r="61528" spans="20:21" ht="15" customHeight="1" x14ac:dyDescent="0.25">
      <c r="T61528" s="135"/>
      <c r="U61528" s="135"/>
    </row>
    <row r="61529" spans="20:21" ht="15" customHeight="1" x14ac:dyDescent="0.25">
      <c r="T61529" s="135"/>
      <c r="U61529" s="135"/>
    </row>
    <row r="61530" spans="20:21" ht="15" customHeight="1" x14ac:dyDescent="0.25">
      <c r="T61530" s="135"/>
      <c r="U61530" s="135"/>
    </row>
    <row r="61531" spans="20:21" ht="15" customHeight="1" x14ac:dyDescent="0.25">
      <c r="T61531" s="135"/>
      <c r="U61531" s="135"/>
    </row>
    <row r="61532" spans="20:21" ht="15" customHeight="1" x14ac:dyDescent="0.25">
      <c r="T61532" s="135"/>
      <c r="U61532" s="135"/>
    </row>
    <row r="61533" spans="20:21" ht="15" customHeight="1" x14ac:dyDescent="0.25">
      <c r="T61533" s="135"/>
      <c r="U61533" s="135"/>
    </row>
    <row r="61534" spans="20:21" ht="15" customHeight="1" x14ac:dyDescent="0.25">
      <c r="T61534" s="135"/>
      <c r="U61534" s="135"/>
    </row>
    <row r="61535" spans="20:21" ht="15" customHeight="1" x14ac:dyDescent="0.25">
      <c r="T61535" s="135"/>
      <c r="U61535" s="135"/>
    </row>
    <row r="61536" spans="20:21" ht="15" customHeight="1" x14ac:dyDescent="0.25">
      <c r="T61536" s="135"/>
      <c r="U61536" s="135"/>
    </row>
    <row r="61537" spans="20:21" ht="15" customHeight="1" x14ac:dyDescent="0.25">
      <c r="T61537" s="135"/>
      <c r="U61537" s="135"/>
    </row>
    <row r="61538" spans="20:21" ht="15" customHeight="1" x14ac:dyDescent="0.25">
      <c r="T61538" s="135"/>
      <c r="U61538" s="135"/>
    </row>
    <row r="61539" spans="20:21" ht="15" customHeight="1" x14ac:dyDescent="0.25">
      <c r="T61539" s="135"/>
      <c r="U61539" s="135"/>
    </row>
    <row r="61540" spans="20:21" ht="15" customHeight="1" x14ac:dyDescent="0.25">
      <c r="T61540" s="135"/>
      <c r="U61540" s="135"/>
    </row>
    <row r="61541" spans="20:21" ht="15" customHeight="1" x14ac:dyDescent="0.25">
      <c r="T61541" s="135"/>
      <c r="U61541" s="135"/>
    </row>
    <row r="61542" spans="20:21" ht="15" customHeight="1" x14ac:dyDescent="0.25">
      <c r="T61542" s="135"/>
      <c r="U61542" s="135"/>
    </row>
    <row r="61543" spans="20:21" ht="15" customHeight="1" x14ac:dyDescent="0.25">
      <c r="T61543" s="135"/>
      <c r="U61543" s="135"/>
    </row>
    <row r="61544" spans="20:21" ht="15" customHeight="1" x14ac:dyDescent="0.25">
      <c r="T61544" s="135"/>
      <c r="U61544" s="135"/>
    </row>
    <row r="61545" spans="20:21" ht="15" customHeight="1" x14ac:dyDescent="0.25">
      <c r="T61545" s="135"/>
      <c r="U61545" s="135"/>
    </row>
    <row r="61546" spans="20:21" ht="15" customHeight="1" x14ac:dyDescent="0.25">
      <c r="T61546" s="135"/>
      <c r="U61546" s="135"/>
    </row>
    <row r="61547" spans="20:21" ht="15" customHeight="1" x14ac:dyDescent="0.25">
      <c r="T61547" s="135"/>
      <c r="U61547" s="135"/>
    </row>
    <row r="61548" spans="20:21" ht="15" customHeight="1" x14ac:dyDescent="0.25">
      <c r="T61548" s="135"/>
      <c r="U61548" s="135"/>
    </row>
    <row r="61549" spans="20:21" ht="15" customHeight="1" x14ac:dyDescent="0.25">
      <c r="T61549" s="135"/>
      <c r="U61549" s="135"/>
    </row>
    <row r="61550" spans="20:21" ht="15" customHeight="1" x14ac:dyDescent="0.25">
      <c r="T61550" s="135"/>
      <c r="U61550" s="135"/>
    </row>
    <row r="61551" spans="20:21" ht="15" customHeight="1" x14ac:dyDescent="0.25">
      <c r="T61551" s="135"/>
      <c r="U61551" s="135"/>
    </row>
    <row r="61552" spans="20:21" ht="15" customHeight="1" x14ac:dyDescent="0.25">
      <c r="T61552" s="135"/>
      <c r="U61552" s="135"/>
    </row>
    <row r="61553" spans="20:21" ht="15" customHeight="1" x14ac:dyDescent="0.25">
      <c r="T61553" s="135"/>
      <c r="U61553" s="135"/>
    </row>
    <row r="61554" spans="20:21" ht="15" customHeight="1" x14ac:dyDescent="0.25">
      <c r="T61554" s="135"/>
      <c r="U61554" s="135"/>
    </row>
    <row r="61555" spans="20:21" ht="15" customHeight="1" x14ac:dyDescent="0.25">
      <c r="T61555" s="135"/>
      <c r="U61555" s="135"/>
    </row>
    <row r="61556" spans="20:21" ht="15" customHeight="1" x14ac:dyDescent="0.25">
      <c r="T61556" s="135"/>
      <c r="U61556" s="135"/>
    </row>
    <row r="61557" spans="20:21" ht="15" customHeight="1" x14ac:dyDescent="0.25">
      <c r="T61557" s="135"/>
      <c r="U61557" s="135"/>
    </row>
    <row r="61558" spans="20:21" ht="15" customHeight="1" x14ac:dyDescent="0.25">
      <c r="T61558" s="135"/>
      <c r="U61558" s="135"/>
    </row>
    <row r="61559" spans="20:21" ht="15" customHeight="1" x14ac:dyDescent="0.25">
      <c r="T61559" s="135"/>
      <c r="U61559" s="135"/>
    </row>
    <row r="61560" spans="20:21" ht="15" customHeight="1" x14ac:dyDescent="0.25">
      <c r="T61560" s="135"/>
      <c r="U61560" s="135"/>
    </row>
    <row r="61561" spans="20:21" ht="15" customHeight="1" x14ac:dyDescent="0.25">
      <c r="T61561" s="135"/>
      <c r="U61561" s="135"/>
    </row>
    <row r="61562" spans="20:21" ht="15" customHeight="1" x14ac:dyDescent="0.25">
      <c r="T61562" s="135"/>
      <c r="U61562" s="135"/>
    </row>
    <row r="61563" spans="20:21" ht="15" customHeight="1" x14ac:dyDescent="0.25">
      <c r="T61563" s="135"/>
      <c r="U61563" s="135"/>
    </row>
    <row r="61564" spans="20:21" ht="15" customHeight="1" x14ac:dyDescent="0.25">
      <c r="T61564" s="135"/>
      <c r="U61564" s="135"/>
    </row>
    <row r="61565" spans="20:21" ht="15" customHeight="1" x14ac:dyDescent="0.25">
      <c r="T61565" s="135"/>
      <c r="U61565" s="135"/>
    </row>
    <row r="61566" spans="20:21" ht="15" customHeight="1" x14ac:dyDescent="0.25">
      <c r="T61566" s="135"/>
      <c r="U61566" s="135"/>
    </row>
    <row r="61567" spans="20:21" ht="15" customHeight="1" x14ac:dyDescent="0.25">
      <c r="T61567" s="135"/>
      <c r="U61567" s="135"/>
    </row>
    <row r="61568" spans="20:21" ht="15" customHeight="1" x14ac:dyDescent="0.25">
      <c r="T61568" s="135"/>
      <c r="U61568" s="135"/>
    </row>
    <row r="61569" spans="20:21" ht="15" customHeight="1" x14ac:dyDescent="0.25">
      <c r="T61569" s="135"/>
      <c r="U61569" s="135"/>
    </row>
    <row r="61570" spans="20:21" ht="15" customHeight="1" x14ac:dyDescent="0.25">
      <c r="T61570" s="135"/>
      <c r="U61570" s="135"/>
    </row>
    <row r="61571" spans="20:21" ht="15" customHeight="1" x14ac:dyDescent="0.25">
      <c r="T61571" s="135"/>
      <c r="U61571" s="135"/>
    </row>
    <row r="61572" spans="20:21" ht="15" customHeight="1" x14ac:dyDescent="0.25">
      <c r="T61572" s="135"/>
      <c r="U61572" s="135"/>
    </row>
    <row r="61573" spans="20:21" ht="15" customHeight="1" x14ac:dyDescent="0.25">
      <c r="T61573" s="135"/>
      <c r="U61573" s="135"/>
    </row>
    <row r="61574" spans="20:21" ht="15" customHeight="1" x14ac:dyDescent="0.25">
      <c r="T61574" s="135"/>
      <c r="U61574" s="135"/>
    </row>
    <row r="61575" spans="20:21" ht="15" customHeight="1" x14ac:dyDescent="0.25">
      <c r="T61575" s="135"/>
      <c r="U61575" s="135"/>
    </row>
    <row r="61576" spans="20:21" ht="15" customHeight="1" x14ac:dyDescent="0.25">
      <c r="T61576" s="135"/>
      <c r="U61576" s="135"/>
    </row>
    <row r="61577" spans="20:21" ht="15" customHeight="1" x14ac:dyDescent="0.25">
      <c r="T61577" s="135"/>
      <c r="U61577" s="135"/>
    </row>
    <row r="61578" spans="20:21" ht="15" customHeight="1" x14ac:dyDescent="0.25">
      <c r="T61578" s="135"/>
      <c r="U61578" s="135"/>
    </row>
    <row r="61579" spans="20:21" ht="15" customHeight="1" x14ac:dyDescent="0.25">
      <c r="T61579" s="135"/>
      <c r="U61579" s="135"/>
    </row>
    <row r="61580" spans="20:21" ht="15" customHeight="1" x14ac:dyDescent="0.25">
      <c r="T61580" s="135"/>
      <c r="U61580" s="135"/>
    </row>
    <row r="61581" spans="20:21" ht="15" customHeight="1" x14ac:dyDescent="0.25">
      <c r="T61581" s="135"/>
      <c r="U61581" s="135"/>
    </row>
    <row r="61582" spans="20:21" ht="15" customHeight="1" x14ac:dyDescent="0.25">
      <c r="T61582" s="135"/>
      <c r="U61582" s="135"/>
    </row>
    <row r="61583" spans="20:21" ht="15" customHeight="1" x14ac:dyDescent="0.25">
      <c r="T61583" s="135"/>
      <c r="U61583" s="135"/>
    </row>
    <row r="61584" spans="20:21" ht="15" customHeight="1" x14ac:dyDescent="0.25">
      <c r="T61584" s="135"/>
      <c r="U61584" s="135"/>
    </row>
    <row r="61585" spans="20:21" ht="15" customHeight="1" x14ac:dyDescent="0.25">
      <c r="T61585" s="135"/>
      <c r="U61585" s="135"/>
    </row>
    <row r="61586" spans="20:21" ht="15" customHeight="1" x14ac:dyDescent="0.25">
      <c r="T61586" s="135"/>
      <c r="U61586" s="135"/>
    </row>
    <row r="61587" spans="20:21" ht="15" customHeight="1" x14ac:dyDescent="0.25">
      <c r="T61587" s="135"/>
      <c r="U61587" s="135"/>
    </row>
    <row r="61588" spans="20:21" ht="15" customHeight="1" x14ac:dyDescent="0.25">
      <c r="T61588" s="135"/>
      <c r="U61588" s="135"/>
    </row>
    <row r="61589" spans="20:21" ht="15" customHeight="1" x14ac:dyDescent="0.25">
      <c r="T61589" s="135"/>
      <c r="U61589" s="135"/>
    </row>
    <row r="61590" spans="20:21" ht="15" customHeight="1" x14ac:dyDescent="0.25">
      <c r="T61590" s="135"/>
      <c r="U61590" s="135"/>
    </row>
    <row r="61591" spans="20:21" ht="15" customHeight="1" x14ac:dyDescent="0.25">
      <c r="T61591" s="135"/>
      <c r="U61591" s="135"/>
    </row>
    <row r="61592" spans="20:21" ht="15" customHeight="1" x14ac:dyDescent="0.25">
      <c r="T61592" s="135"/>
      <c r="U61592" s="135"/>
    </row>
    <row r="61593" spans="20:21" ht="15" customHeight="1" x14ac:dyDescent="0.25">
      <c r="T61593" s="135"/>
      <c r="U61593" s="135"/>
    </row>
    <row r="61594" spans="20:21" ht="15" customHeight="1" x14ac:dyDescent="0.25">
      <c r="T61594" s="135"/>
      <c r="U61594" s="135"/>
    </row>
    <row r="61595" spans="20:21" ht="15" customHeight="1" x14ac:dyDescent="0.25">
      <c r="T61595" s="135"/>
      <c r="U61595" s="135"/>
    </row>
    <row r="61596" spans="20:21" ht="15" customHeight="1" x14ac:dyDescent="0.25">
      <c r="T61596" s="135"/>
      <c r="U61596" s="135"/>
    </row>
    <row r="61597" spans="20:21" ht="15" customHeight="1" x14ac:dyDescent="0.25">
      <c r="T61597" s="135"/>
      <c r="U61597" s="135"/>
    </row>
    <row r="61598" spans="20:21" ht="15" customHeight="1" x14ac:dyDescent="0.25">
      <c r="T61598" s="135"/>
      <c r="U61598" s="135"/>
    </row>
    <row r="61599" spans="20:21" ht="15" customHeight="1" x14ac:dyDescent="0.25">
      <c r="T61599" s="135"/>
      <c r="U61599" s="135"/>
    </row>
    <row r="61600" spans="20:21" ht="15" customHeight="1" x14ac:dyDescent="0.25">
      <c r="T61600" s="135"/>
      <c r="U61600" s="135"/>
    </row>
    <row r="61601" spans="20:21" ht="15" customHeight="1" x14ac:dyDescent="0.25">
      <c r="T61601" s="135"/>
      <c r="U61601" s="135"/>
    </row>
    <row r="61602" spans="20:21" ht="15" customHeight="1" x14ac:dyDescent="0.25">
      <c r="T61602" s="135"/>
      <c r="U61602" s="135"/>
    </row>
    <row r="61603" spans="20:21" ht="15" customHeight="1" x14ac:dyDescent="0.25">
      <c r="T61603" s="135"/>
      <c r="U61603" s="135"/>
    </row>
    <row r="61604" spans="20:21" ht="15" customHeight="1" x14ac:dyDescent="0.25">
      <c r="T61604" s="135"/>
      <c r="U61604" s="135"/>
    </row>
    <row r="61605" spans="20:21" ht="15" customHeight="1" x14ac:dyDescent="0.25">
      <c r="T61605" s="135"/>
      <c r="U61605" s="135"/>
    </row>
    <row r="61606" spans="20:21" ht="15" customHeight="1" x14ac:dyDescent="0.25">
      <c r="T61606" s="135"/>
      <c r="U61606" s="135"/>
    </row>
    <row r="61607" spans="20:21" ht="15" customHeight="1" x14ac:dyDescent="0.25">
      <c r="T61607" s="135"/>
      <c r="U61607" s="135"/>
    </row>
    <row r="61608" spans="20:21" ht="15" customHeight="1" x14ac:dyDescent="0.25">
      <c r="T61608" s="135"/>
      <c r="U61608" s="135"/>
    </row>
    <row r="61609" spans="20:21" ht="15" customHeight="1" x14ac:dyDescent="0.25">
      <c r="T61609" s="135"/>
      <c r="U61609" s="135"/>
    </row>
    <row r="61610" spans="20:21" ht="15" customHeight="1" x14ac:dyDescent="0.25">
      <c r="T61610" s="135"/>
      <c r="U61610" s="135"/>
    </row>
    <row r="61611" spans="20:21" ht="15" customHeight="1" x14ac:dyDescent="0.25">
      <c r="T61611" s="135"/>
      <c r="U61611" s="135"/>
    </row>
    <row r="61612" spans="20:21" ht="15" customHeight="1" x14ac:dyDescent="0.25">
      <c r="T61612" s="135"/>
      <c r="U61612" s="135"/>
    </row>
    <row r="61613" spans="20:21" ht="15" customHeight="1" x14ac:dyDescent="0.25">
      <c r="T61613" s="135"/>
      <c r="U61613" s="135"/>
    </row>
    <row r="61614" spans="20:21" ht="15" customHeight="1" x14ac:dyDescent="0.25">
      <c r="T61614" s="135"/>
      <c r="U61614" s="135"/>
    </row>
    <row r="61615" spans="20:21" ht="15" customHeight="1" x14ac:dyDescent="0.25">
      <c r="T61615" s="135"/>
      <c r="U61615" s="135"/>
    </row>
    <row r="61616" spans="20:21" ht="15" customHeight="1" x14ac:dyDescent="0.25">
      <c r="T61616" s="135"/>
      <c r="U61616" s="135"/>
    </row>
    <row r="61617" spans="20:21" ht="15" customHeight="1" x14ac:dyDescent="0.25">
      <c r="T61617" s="135"/>
      <c r="U61617" s="135"/>
    </row>
    <row r="61618" spans="20:21" ht="15" customHeight="1" x14ac:dyDescent="0.25">
      <c r="T61618" s="135"/>
      <c r="U61618" s="135"/>
    </row>
    <row r="61619" spans="20:21" ht="15" customHeight="1" x14ac:dyDescent="0.25">
      <c r="T61619" s="135"/>
      <c r="U61619" s="135"/>
    </row>
    <row r="61620" spans="20:21" ht="15" customHeight="1" x14ac:dyDescent="0.25">
      <c r="T61620" s="135"/>
      <c r="U61620" s="135"/>
    </row>
    <row r="61621" spans="20:21" ht="15" customHeight="1" x14ac:dyDescent="0.25">
      <c r="T61621" s="135"/>
      <c r="U61621" s="135"/>
    </row>
    <row r="61622" spans="20:21" ht="15" customHeight="1" x14ac:dyDescent="0.25">
      <c r="T61622" s="135"/>
      <c r="U61622" s="135"/>
    </row>
    <row r="61623" spans="20:21" ht="15" customHeight="1" x14ac:dyDescent="0.25">
      <c r="T61623" s="135"/>
      <c r="U61623" s="135"/>
    </row>
    <row r="61624" spans="20:21" ht="15" customHeight="1" x14ac:dyDescent="0.25">
      <c r="T61624" s="135"/>
      <c r="U61624" s="135"/>
    </row>
    <row r="61625" spans="20:21" ht="15" customHeight="1" x14ac:dyDescent="0.25">
      <c r="T61625" s="135"/>
      <c r="U61625" s="135"/>
    </row>
    <row r="61626" spans="20:21" ht="15" customHeight="1" x14ac:dyDescent="0.25">
      <c r="T61626" s="135"/>
      <c r="U61626" s="135"/>
    </row>
    <row r="61627" spans="20:21" ht="15" customHeight="1" x14ac:dyDescent="0.25">
      <c r="T61627" s="135"/>
      <c r="U61627" s="135"/>
    </row>
    <row r="61628" spans="20:21" ht="15" customHeight="1" x14ac:dyDescent="0.25">
      <c r="T61628" s="135"/>
      <c r="U61628" s="135"/>
    </row>
    <row r="61629" spans="20:21" ht="15" customHeight="1" x14ac:dyDescent="0.25">
      <c r="T61629" s="135"/>
      <c r="U61629" s="135"/>
    </row>
    <row r="61630" spans="20:21" ht="15" customHeight="1" x14ac:dyDescent="0.25">
      <c r="T61630" s="135"/>
      <c r="U61630" s="135"/>
    </row>
    <row r="61631" spans="20:21" ht="15" customHeight="1" x14ac:dyDescent="0.25">
      <c r="T61631" s="135"/>
      <c r="U61631" s="135"/>
    </row>
    <row r="61632" spans="20:21" ht="15" customHeight="1" x14ac:dyDescent="0.25">
      <c r="T61632" s="135"/>
      <c r="U61632" s="135"/>
    </row>
    <row r="61633" spans="20:21" ht="15" customHeight="1" x14ac:dyDescent="0.25">
      <c r="T61633" s="135"/>
      <c r="U61633" s="135"/>
    </row>
    <row r="61634" spans="20:21" ht="15" customHeight="1" x14ac:dyDescent="0.25">
      <c r="T61634" s="135"/>
      <c r="U61634" s="135"/>
    </row>
    <row r="61635" spans="20:21" ht="15" customHeight="1" x14ac:dyDescent="0.25">
      <c r="T61635" s="135"/>
      <c r="U61635" s="135"/>
    </row>
    <row r="61636" spans="20:21" ht="15" customHeight="1" x14ac:dyDescent="0.25">
      <c r="T61636" s="135"/>
      <c r="U61636" s="135"/>
    </row>
    <row r="61637" spans="20:21" ht="15" customHeight="1" x14ac:dyDescent="0.25">
      <c r="T61637" s="135"/>
      <c r="U61637" s="135"/>
    </row>
    <row r="61638" spans="20:21" ht="15" customHeight="1" x14ac:dyDescent="0.25">
      <c r="T61638" s="135"/>
      <c r="U61638" s="135"/>
    </row>
    <row r="61639" spans="20:21" ht="15" customHeight="1" x14ac:dyDescent="0.25">
      <c r="T61639" s="135"/>
      <c r="U61639" s="135"/>
    </row>
    <row r="61640" spans="20:21" ht="15" customHeight="1" x14ac:dyDescent="0.25">
      <c r="T61640" s="135"/>
      <c r="U61640" s="135"/>
    </row>
    <row r="61641" spans="20:21" ht="15" customHeight="1" x14ac:dyDescent="0.25">
      <c r="T61641" s="135"/>
      <c r="U61641" s="135"/>
    </row>
    <row r="61642" spans="20:21" ht="15" customHeight="1" x14ac:dyDescent="0.25">
      <c r="T61642" s="135"/>
      <c r="U61642" s="135"/>
    </row>
    <row r="61643" spans="20:21" ht="15" customHeight="1" x14ac:dyDescent="0.25">
      <c r="T61643" s="135"/>
      <c r="U61643" s="135"/>
    </row>
    <row r="61644" spans="20:21" ht="15" customHeight="1" x14ac:dyDescent="0.25">
      <c r="T61644" s="135"/>
      <c r="U61644" s="135"/>
    </row>
    <row r="61645" spans="20:21" ht="15" customHeight="1" x14ac:dyDescent="0.25">
      <c r="T61645" s="135"/>
      <c r="U61645" s="135"/>
    </row>
    <row r="61646" spans="20:21" ht="15" customHeight="1" x14ac:dyDescent="0.25">
      <c r="T61646" s="135"/>
      <c r="U61646" s="135"/>
    </row>
    <row r="61647" spans="20:21" ht="15" customHeight="1" x14ac:dyDescent="0.25">
      <c r="T61647" s="135"/>
      <c r="U61647" s="135"/>
    </row>
    <row r="61648" spans="20:21" ht="15" customHeight="1" x14ac:dyDescent="0.25">
      <c r="T61648" s="135"/>
      <c r="U61648" s="135"/>
    </row>
    <row r="61649" spans="20:21" ht="15" customHeight="1" x14ac:dyDescent="0.25">
      <c r="T61649" s="135"/>
      <c r="U61649" s="135"/>
    </row>
    <row r="61650" spans="20:21" ht="15" customHeight="1" x14ac:dyDescent="0.25">
      <c r="T61650" s="135"/>
      <c r="U61650" s="135"/>
    </row>
    <row r="61651" spans="20:21" ht="15" customHeight="1" x14ac:dyDescent="0.25">
      <c r="T61651" s="135"/>
      <c r="U61651" s="135"/>
    </row>
    <row r="61652" spans="20:21" ht="15" customHeight="1" x14ac:dyDescent="0.25">
      <c r="T61652" s="135"/>
      <c r="U61652" s="135"/>
    </row>
    <row r="61653" spans="20:21" ht="15" customHeight="1" x14ac:dyDescent="0.25">
      <c r="T61653" s="135"/>
      <c r="U61653" s="135"/>
    </row>
    <row r="61654" spans="20:21" ht="15" customHeight="1" x14ac:dyDescent="0.25">
      <c r="T61654" s="135"/>
      <c r="U61654" s="135"/>
    </row>
    <row r="61655" spans="20:21" ht="15" customHeight="1" x14ac:dyDescent="0.25">
      <c r="T61655" s="135"/>
      <c r="U61655" s="135"/>
    </row>
    <row r="61656" spans="20:21" ht="15" customHeight="1" x14ac:dyDescent="0.25">
      <c r="T61656" s="135"/>
      <c r="U61656" s="135"/>
    </row>
    <row r="61657" spans="20:21" ht="15" customHeight="1" x14ac:dyDescent="0.25">
      <c r="T61657" s="135"/>
      <c r="U61657" s="135"/>
    </row>
    <row r="61658" spans="20:21" ht="15" customHeight="1" x14ac:dyDescent="0.25">
      <c r="T61658" s="135"/>
      <c r="U61658" s="135"/>
    </row>
    <row r="61659" spans="20:21" ht="15" customHeight="1" x14ac:dyDescent="0.25">
      <c r="T61659" s="135"/>
      <c r="U61659" s="135"/>
    </row>
    <row r="61660" spans="20:21" ht="15" customHeight="1" x14ac:dyDescent="0.25">
      <c r="T61660" s="135"/>
      <c r="U61660" s="135"/>
    </row>
    <row r="61661" spans="20:21" ht="15" customHeight="1" x14ac:dyDescent="0.25">
      <c r="T61661" s="135"/>
      <c r="U61661" s="135"/>
    </row>
    <row r="61662" spans="20:21" ht="15" customHeight="1" x14ac:dyDescent="0.25">
      <c r="T61662" s="135"/>
      <c r="U61662" s="135"/>
    </row>
    <row r="61663" spans="20:21" ht="15" customHeight="1" x14ac:dyDescent="0.25">
      <c r="T61663" s="135"/>
      <c r="U61663" s="135"/>
    </row>
    <row r="61664" spans="20:21" ht="15" customHeight="1" x14ac:dyDescent="0.25">
      <c r="T61664" s="135"/>
      <c r="U61664" s="135"/>
    </row>
    <row r="61665" spans="20:21" ht="15" customHeight="1" x14ac:dyDescent="0.25">
      <c r="T61665" s="135"/>
      <c r="U61665" s="135"/>
    </row>
    <row r="61666" spans="20:21" ht="15" customHeight="1" x14ac:dyDescent="0.25">
      <c r="T61666" s="135"/>
      <c r="U61666" s="135"/>
    </row>
    <row r="61667" spans="20:21" ht="15" customHeight="1" x14ac:dyDescent="0.25">
      <c r="T61667" s="135"/>
      <c r="U61667" s="135"/>
    </row>
    <row r="61668" spans="20:21" ht="15" customHeight="1" x14ac:dyDescent="0.25">
      <c r="T61668" s="135"/>
      <c r="U61668" s="135"/>
    </row>
    <row r="61669" spans="20:21" ht="15" customHeight="1" x14ac:dyDescent="0.25">
      <c r="T61669" s="135"/>
      <c r="U61669" s="135"/>
    </row>
    <row r="61670" spans="20:21" ht="15" customHeight="1" x14ac:dyDescent="0.25">
      <c r="T61670" s="135"/>
      <c r="U61670" s="135"/>
    </row>
    <row r="61671" spans="20:21" ht="15" customHeight="1" x14ac:dyDescent="0.25">
      <c r="T61671" s="135"/>
      <c r="U61671" s="135"/>
    </row>
    <row r="61672" spans="20:21" ht="15" customHeight="1" x14ac:dyDescent="0.25">
      <c r="T61672" s="135"/>
      <c r="U61672" s="135"/>
    </row>
    <row r="61673" spans="20:21" ht="15" customHeight="1" x14ac:dyDescent="0.25">
      <c r="T61673" s="135"/>
      <c r="U61673" s="135"/>
    </row>
    <row r="61674" spans="20:21" ht="15" customHeight="1" x14ac:dyDescent="0.25">
      <c r="T61674" s="135"/>
      <c r="U61674" s="135"/>
    </row>
    <row r="61675" spans="20:21" ht="15" customHeight="1" x14ac:dyDescent="0.25">
      <c r="T61675" s="135"/>
      <c r="U61675" s="135"/>
    </row>
    <row r="61676" spans="20:21" ht="15" customHeight="1" x14ac:dyDescent="0.25">
      <c r="T61676" s="135"/>
      <c r="U61676" s="135"/>
    </row>
    <row r="61677" spans="20:21" ht="15" customHeight="1" x14ac:dyDescent="0.25">
      <c r="T61677" s="135"/>
      <c r="U61677" s="135"/>
    </row>
    <row r="61678" spans="20:21" ht="15" customHeight="1" x14ac:dyDescent="0.25">
      <c r="T61678" s="135"/>
      <c r="U61678" s="135"/>
    </row>
    <row r="61679" spans="20:21" ht="15" customHeight="1" x14ac:dyDescent="0.25">
      <c r="T61679" s="135"/>
      <c r="U61679" s="135"/>
    </row>
    <row r="61680" spans="20:21" ht="15" customHeight="1" x14ac:dyDescent="0.25">
      <c r="T61680" s="135"/>
      <c r="U61680" s="135"/>
    </row>
    <row r="61681" spans="20:21" ht="15" customHeight="1" x14ac:dyDescent="0.25">
      <c r="T61681" s="135"/>
      <c r="U61681" s="135"/>
    </row>
    <row r="61682" spans="20:21" ht="15" customHeight="1" x14ac:dyDescent="0.25">
      <c r="T61682" s="135"/>
      <c r="U61682" s="135"/>
    </row>
    <row r="61683" spans="20:21" ht="15" customHeight="1" x14ac:dyDescent="0.25">
      <c r="T61683" s="135"/>
      <c r="U61683" s="135"/>
    </row>
    <row r="61684" spans="20:21" ht="15" customHeight="1" x14ac:dyDescent="0.25">
      <c r="T61684" s="135"/>
      <c r="U61684" s="135"/>
    </row>
    <row r="61685" spans="20:21" ht="15" customHeight="1" x14ac:dyDescent="0.25">
      <c r="T61685" s="135"/>
      <c r="U61685" s="135"/>
    </row>
    <row r="61686" spans="20:21" ht="15" customHeight="1" x14ac:dyDescent="0.25">
      <c r="T61686" s="135"/>
      <c r="U61686" s="135"/>
    </row>
    <row r="61687" spans="20:21" ht="15" customHeight="1" x14ac:dyDescent="0.25">
      <c r="T61687" s="135"/>
      <c r="U61687" s="135"/>
    </row>
    <row r="61688" spans="20:21" ht="15" customHeight="1" x14ac:dyDescent="0.25">
      <c r="T61688" s="135"/>
      <c r="U61688" s="135"/>
    </row>
    <row r="61689" spans="20:21" ht="15" customHeight="1" x14ac:dyDescent="0.25">
      <c r="T61689" s="135"/>
      <c r="U61689" s="135"/>
    </row>
    <row r="61690" spans="20:21" ht="15" customHeight="1" x14ac:dyDescent="0.25">
      <c r="T61690" s="135"/>
      <c r="U61690" s="135"/>
    </row>
    <row r="61691" spans="20:21" ht="15" customHeight="1" x14ac:dyDescent="0.25">
      <c r="T61691" s="135"/>
      <c r="U61691" s="135"/>
    </row>
    <row r="61692" spans="20:21" ht="15" customHeight="1" x14ac:dyDescent="0.25">
      <c r="T61692" s="135"/>
      <c r="U61692" s="135"/>
    </row>
    <row r="61693" spans="20:21" ht="15" customHeight="1" x14ac:dyDescent="0.25">
      <c r="T61693" s="135"/>
      <c r="U61693" s="135"/>
    </row>
    <row r="61694" spans="20:21" ht="15" customHeight="1" x14ac:dyDescent="0.25">
      <c r="T61694" s="135"/>
      <c r="U61694" s="135"/>
    </row>
    <row r="61695" spans="20:21" ht="15" customHeight="1" x14ac:dyDescent="0.25">
      <c r="T61695" s="135"/>
      <c r="U61695" s="135"/>
    </row>
    <row r="61696" spans="20:21" ht="15" customHeight="1" x14ac:dyDescent="0.25">
      <c r="T61696" s="135"/>
      <c r="U61696" s="135"/>
    </row>
    <row r="61697" spans="20:21" ht="15" customHeight="1" x14ac:dyDescent="0.25">
      <c r="T61697" s="135"/>
      <c r="U61697" s="135"/>
    </row>
    <row r="61698" spans="20:21" ht="15" customHeight="1" x14ac:dyDescent="0.25">
      <c r="T61698" s="135"/>
      <c r="U61698" s="135"/>
    </row>
    <row r="61699" spans="20:21" ht="15" customHeight="1" x14ac:dyDescent="0.25">
      <c r="T61699" s="135"/>
      <c r="U61699" s="135"/>
    </row>
    <row r="61700" spans="20:21" ht="15" customHeight="1" x14ac:dyDescent="0.25">
      <c r="T61700" s="135"/>
      <c r="U61700" s="135"/>
    </row>
    <row r="61701" spans="20:21" ht="15" customHeight="1" x14ac:dyDescent="0.25">
      <c r="T61701" s="135"/>
      <c r="U61701" s="135"/>
    </row>
    <row r="61702" spans="20:21" ht="15" customHeight="1" x14ac:dyDescent="0.25">
      <c r="T61702" s="135"/>
      <c r="U61702" s="135"/>
    </row>
    <row r="61703" spans="20:21" ht="15" customHeight="1" x14ac:dyDescent="0.25">
      <c r="T61703" s="135"/>
      <c r="U61703" s="135"/>
    </row>
    <row r="61704" spans="20:21" ht="15" customHeight="1" x14ac:dyDescent="0.25">
      <c r="T61704" s="135"/>
      <c r="U61704" s="135"/>
    </row>
    <row r="61705" spans="20:21" ht="15" customHeight="1" x14ac:dyDescent="0.25">
      <c r="T61705" s="135"/>
      <c r="U61705" s="135"/>
    </row>
    <row r="61706" spans="20:21" ht="15" customHeight="1" x14ac:dyDescent="0.25">
      <c r="T61706" s="135"/>
      <c r="U61706" s="135"/>
    </row>
    <row r="61707" spans="20:21" ht="15" customHeight="1" x14ac:dyDescent="0.25">
      <c r="T61707" s="135"/>
      <c r="U61707" s="135"/>
    </row>
    <row r="61708" spans="20:21" ht="15" customHeight="1" x14ac:dyDescent="0.25">
      <c r="T61708" s="135"/>
      <c r="U61708" s="135"/>
    </row>
    <row r="61709" spans="20:21" ht="15" customHeight="1" x14ac:dyDescent="0.25">
      <c r="T61709" s="135"/>
      <c r="U61709" s="135"/>
    </row>
    <row r="61710" spans="20:21" ht="15" customHeight="1" x14ac:dyDescent="0.25">
      <c r="T61710" s="135"/>
      <c r="U61710" s="135"/>
    </row>
    <row r="61711" spans="20:21" ht="15" customHeight="1" x14ac:dyDescent="0.25">
      <c r="T61711" s="135"/>
      <c r="U61711" s="135"/>
    </row>
    <row r="61712" spans="20:21" ht="15" customHeight="1" x14ac:dyDescent="0.25">
      <c r="T61712" s="135"/>
      <c r="U61712" s="135"/>
    </row>
    <row r="61713" spans="20:21" ht="15" customHeight="1" x14ac:dyDescent="0.25">
      <c r="T61713" s="135"/>
      <c r="U61713" s="135"/>
    </row>
    <row r="61714" spans="20:21" ht="15" customHeight="1" x14ac:dyDescent="0.25">
      <c r="T61714" s="135"/>
      <c r="U61714" s="135"/>
    </row>
    <row r="61715" spans="20:21" ht="15" customHeight="1" x14ac:dyDescent="0.25">
      <c r="T61715" s="135"/>
      <c r="U61715" s="135"/>
    </row>
    <row r="61716" spans="20:21" ht="15" customHeight="1" x14ac:dyDescent="0.25">
      <c r="T61716" s="135"/>
      <c r="U61716" s="135"/>
    </row>
    <row r="61717" spans="20:21" ht="15" customHeight="1" x14ac:dyDescent="0.25">
      <c r="T61717" s="135"/>
      <c r="U61717" s="135"/>
    </row>
    <row r="61718" spans="20:21" ht="15" customHeight="1" x14ac:dyDescent="0.25">
      <c r="T61718" s="135"/>
      <c r="U61718" s="135"/>
    </row>
    <row r="61719" spans="20:21" ht="15" customHeight="1" x14ac:dyDescent="0.25">
      <c r="T61719" s="135"/>
      <c r="U61719" s="135"/>
    </row>
    <row r="61720" spans="20:21" ht="15" customHeight="1" x14ac:dyDescent="0.25">
      <c r="T61720" s="135"/>
      <c r="U61720" s="135"/>
    </row>
    <row r="61721" spans="20:21" ht="15" customHeight="1" x14ac:dyDescent="0.25">
      <c r="T61721" s="135"/>
      <c r="U61721" s="135"/>
    </row>
    <row r="61722" spans="20:21" ht="15" customHeight="1" x14ac:dyDescent="0.25">
      <c r="T61722" s="135"/>
      <c r="U61722" s="135"/>
    </row>
    <row r="61723" spans="20:21" ht="15" customHeight="1" x14ac:dyDescent="0.25">
      <c r="T61723" s="135"/>
      <c r="U61723" s="135"/>
    </row>
    <row r="61724" spans="20:21" ht="15" customHeight="1" x14ac:dyDescent="0.25">
      <c r="T61724" s="135"/>
      <c r="U61724" s="135"/>
    </row>
    <row r="61725" spans="20:21" ht="15" customHeight="1" x14ac:dyDescent="0.25">
      <c r="T61725" s="135"/>
      <c r="U61725" s="135"/>
    </row>
    <row r="61726" spans="20:21" ht="15" customHeight="1" x14ac:dyDescent="0.25">
      <c r="T61726" s="135"/>
      <c r="U61726" s="135"/>
    </row>
    <row r="61727" spans="20:21" ht="15" customHeight="1" x14ac:dyDescent="0.25">
      <c r="T61727" s="135"/>
      <c r="U61727" s="135"/>
    </row>
    <row r="61728" spans="20:21" ht="15" customHeight="1" x14ac:dyDescent="0.25">
      <c r="T61728" s="135"/>
      <c r="U61728" s="135"/>
    </row>
    <row r="61729" spans="20:21" ht="15" customHeight="1" x14ac:dyDescent="0.25">
      <c r="T61729" s="135"/>
      <c r="U61729" s="135"/>
    </row>
    <row r="61730" spans="20:21" ht="15" customHeight="1" x14ac:dyDescent="0.25">
      <c r="T61730" s="135"/>
      <c r="U61730" s="135"/>
    </row>
    <row r="61731" spans="20:21" ht="15" customHeight="1" x14ac:dyDescent="0.25">
      <c r="T61731" s="135"/>
      <c r="U61731" s="135"/>
    </row>
    <row r="61732" spans="20:21" ht="15" customHeight="1" x14ac:dyDescent="0.25">
      <c r="T61732" s="135"/>
      <c r="U61732" s="135"/>
    </row>
    <row r="61733" spans="20:21" ht="15" customHeight="1" x14ac:dyDescent="0.25">
      <c r="T61733" s="135"/>
      <c r="U61733" s="135"/>
    </row>
    <row r="61734" spans="20:21" ht="15" customHeight="1" x14ac:dyDescent="0.25">
      <c r="T61734" s="135"/>
      <c r="U61734" s="135"/>
    </row>
    <row r="61735" spans="20:21" ht="15" customHeight="1" x14ac:dyDescent="0.25">
      <c r="T61735" s="135"/>
      <c r="U61735" s="135"/>
    </row>
    <row r="61736" spans="20:21" ht="15" customHeight="1" x14ac:dyDescent="0.25">
      <c r="T61736" s="135"/>
      <c r="U61736" s="135"/>
    </row>
    <row r="61737" spans="20:21" ht="15" customHeight="1" x14ac:dyDescent="0.25">
      <c r="T61737" s="135"/>
      <c r="U61737" s="135"/>
    </row>
    <row r="61738" spans="20:21" ht="15" customHeight="1" x14ac:dyDescent="0.25">
      <c r="T61738" s="135"/>
      <c r="U61738" s="135"/>
    </row>
    <row r="61739" spans="20:21" ht="15" customHeight="1" x14ac:dyDescent="0.25">
      <c r="T61739" s="135"/>
      <c r="U61739" s="135"/>
    </row>
    <row r="61740" spans="20:21" ht="15" customHeight="1" x14ac:dyDescent="0.25">
      <c r="T61740" s="135"/>
      <c r="U61740" s="135"/>
    </row>
    <row r="61741" spans="20:21" ht="15" customHeight="1" x14ac:dyDescent="0.25">
      <c r="T61741" s="135"/>
      <c r="U61741" s="135"/>
    </row>
    <row r="61742" spans="20:21" ht="15" customHeight="1" x14ac:dyDescent="0.25">
      <c r="T61742" s="135"/>
      <c r="U61742" s="135"/>
    </row>
    <row r="61743" spans="20:21" ht="15" customHeight="1" x14ac:dyDescent="0.25">
      <c r="T61743" s="135"/>
      <c r="U61743" s="135"/>
    </row>
    <row r="61744" spans="20:21" ht="15" customHeight="1" x14ac:dyDescent="0.25">
      <c r="T61744" s="135"/>
      <c r="U61744" s="135"/>
    </row>
    <row r="61745" spans="20:21" ht="15" customHeight="1" x14ac:dyDescent="0.25">
      <c r="T61745" s="135"/>
      <c r="U61745" s="135"/>
    </row>
    <row r="61746" spans="20:21" ht="15" customHeight="1" x14ac:dyDescent="0.25">
      <c r="T61746" s="135"/>
      <c r="U61746" s="135"/>
    </row>
    <row r="61747" spans="20:21" ht="15" customHeight="1" x14ac:dyDescent="0.25">
      <c r="T61747" s="135"/>
      <c r="U61747" s="135"/>
    </row>
    <row r="61748" spans="20:21" ht="15" customHeight="1" x14ac:dyDescent="0.25">
      <c r="T61748" s="135"/>
      <c r="U61748" s="135"/>
    </row>
    <row r="61749" spans="20:21" ht="15" customHeight="1" x14ac:dyDescent="0.25">
      <c r="T61749" s="135"/>
      <c r="U61749" s="135"/>
    </row>
    <row r="61750" spans="20:21" ht="15" customHeight="1" x14ac:dyDescent="0.25">
      <c r="T61750" s="135"/>
      <c r="U61750" s="135"/>
    </row>
    <row r="61751" spans="20:21" ht="15" customHeight="1" x14ac:dyDescent="0.25">
      <c r="T61751" s="135"/>
      <c r="U61751" s="135"/>
    </row>
    <row r="61752" spans="20:21" ht="15" customHeight="1" x14ac:dyDescent="0.25">
      <c r="T61752" s="135"/>
      <c r="U61752" s="135"/>
    </row>
    <row r="61753" spans="20:21" ht="15" customHeight="1" x14ac:dyDescent="0.25">
      <c r="T61753" s="135"/>
      <c r="U61753" s="135"/>
    </row>
    <row r="61754" spans="20:21" ht="15" customHeight="1" x14ac:dyDescent="0.25">
      <c r="T61754" s="135"/>
      <c r="U61754" s="135"/>
    </row>
    <row r="61755" spans="20:21" ht="15" customHeight="1" x14ac:dyDescent="0.25">
      <c r="T61755" s="135"/>
      <c r="U61755" s="135"/>
    </row>
    <row r="61756" spans="20:21" ht="15" customHeight="1" x14ac:dyDescent="0.25">
      <c r="T61756" s="135"/>
      <c r="U61756" s="135"/>
    </row>
    <row r="61757" spans="20:21" ht="15" customHeight="1" x14ac:dyDescent="0.25">
      <c r="T61757" s="135"/>
      <c r="U61757" s="135"/>
    </row>
    <row r="61758" spans="20:21" ht="15" customHeight="1" x14ac:dyDescent="0.25">
      <c r="T61758" s="135"/>
      <c r="U61758" s="135"/>
    </row>
    <row r="61759" spans="20:21" ht="15" customHeight="1" x14ac:dyDescent="0.25">
      <c r="T61759" s="135"/>
      <c r="U61759" s="135"/>
    </row>
    <row r="61760" spans="20:21" ht="15" customHeight="1" x14ac:dyDescent="0.25">
      <c r="T61760" s="135"/>
      <c r="U61760" s="135"/>
    </row>
    <row r="61761" spans="20:21" ht="15" customHeight="1" x14ac:dyDescent="0.25">
      <c r="T61761" s="135"/>
      <c r="U61761" s="135"/>
    </row>
    <row r="61762" spans="20:21" ht="15" customHeight="1" x14ac:dyDescent="0.25">
      <c r="T61762" s="135"/>
      <c r="U61762" s="135"/>
    </row>
    <row r="61763" spans="20:21" ht="15" customHeight="1" x14ac:dyDescent="0.25">
      <c r="T61763" s="135"/>
      <c r="U61763" s="135"/>
    </row>
    <row r="61764" spans="20:21" ht="15" customHeight="1" x14ac:dyDescent="0.25">
      <c r="T61764" s="135"/>
      <c r="U61764" s="135"/>
    </row>
    <row r="61765" spans="20:21" ht="15" customHeight="1" x14ac:dyDescent="0.25">
      <c r="T61765" s="135"/>
      <c r="U61765" s="135"/>
    </row>
    <row r="61766" spans="20:21" ht="15" customHeight="1" x14ac:dyDescent="0.25">
      <c r="T61766" s="135"/>
      <c r="U61766" s="135"/>
    </row>
    <row r="61767" spans="20:21" ht="15" customHeight="1" x14ac:dyDescent="0.25">
      <c r="T61767" s="135"/>
      <c r="U61767" s="135"/>
    </row>
    <row r="61768" spans="20:21" ht="15" customHeight="1" x14ac:dyDescent="0.25">
      <c r="T61768" s="135"/>
      <c r="U61768" s="135"/>
    </row>
    <row r="61769" spans="20:21" ht="15" customHeight="1" x14ac:dyDescent="0.25">
      <c r="T61769" s="135"/>
      <c r="U61769" s="135"/>
    </row>
    <row r="61770" spans="20:21" ht="15" customHeight="1" x14ac:dyDescent="0.25">
      <c r="T61770" s="135"/>
      <c r="U61770" s="135"/>
    </row>
    <row r="61771" spans="20:21" ht="15" customHeight="1" x14ac:dyDescent="0.25">
      <c r="T61771" s="135"/>
      <c r="U61771" s="135"/>
    </row>
    <row r="61772" spans="20:21" ht="15" customHeight="1" x14ac:dyDescent="0.25">
      <c r="T61772" s="135"/>
      <c r="U61772" s="135"/>
    </row>
    <row r="61773" spans="20:21" ht="15" customHeight="1" x14ac:dyDescent="0.25">
      <c r="T61773" s="135"/>
      <c r="U61773" s="135"/>
    </row>
    <row r="61774" spans="20:21" ht="15" customHeight="1" x14ac:dyDescent="0.25">
      <c r="T61774" s="135"/>
      <c r="U61774" s="135"/>
    </row>
    <row r="61775" spans="20:21" ht="15" customHeight="1" x14ac:dyDescent="0.25">
      <c r="T61775" s="135"/>
      <c r="U61775" s="135"/>
    </row>
    <row r="61776" spans="20:21" ht="15" customHeight="1" x14ac:dyDescent="0.25">
      <c r="T61776" s="135"/>
      <c r="U61776" s="135"/>
    </row>
    <row r="61777" spans="20:21" ht="15" customHeight="1" x14ac:dyDescent="0.25">
      <c r="T61777" s="135"/>
      <c r="U61777" s="135"/>
    </row>
    <row r="61778" spans="20:21" ht="15" customHeight="1" x14ac:dyDescent="0.25">
      <c r="T61778" s="135"/>
      <c r="U61778" s="135"/>
    </row>
    <row r="61779" spans="20:21" ht="15" customHeight="1" x14ac:dyDescent="0.25">
      <c r="T61779" s="135"/>
      <c r="U61779" s="135"/>
    </row>
    <row r="61780" spans="20:21" ht="15" customHeight="1" x14ac:dyDescent="0.25">
      <c r="T61780" s="135"/>
      <c r="U61780" s="135"/>
    </row>
    <row r="61781" spans="20:21" ht="15" customHeight="1" x14ac:dyDescent="0.25">
      <c r="T61781" s="135"/>
      <c r="U61781" s="135"/>
    </row>
    <row r="61782" spans="20:21" ht="15" customHeight="1" x14ac:dyDescent="0.25">
      <c r="T61782" s="135"/>
      <c r="U61782" s="135"/>
    </row>
    <row r="61783" spans="20:21" ht="15" customHeight="1" x14ac:dyDescent="0.25">
      <c r="T61783" s="135"/>
      <c r="U61783" s="135"/>
    </row>
    <row r="61784" spans="20:21" ht="15" customHeight="1" x14ac:dyDescent="0.25">
      <c r="T61784" s="135"/>
      <c r="U61784" s="135"/>
    </row>
    <row r="61785" spans="20:21" ht="15" customHeight="1" x14ac:dyDescent="0.25">
      <c r="T61785" s="135"/>
      <c r="U61785" s="135"/>
    </row>
    <row r="61786" spans="20:21" ht="15" customHeight="1" x14ac:dyDescent="0.25">
      <c r="T61786" s="135"/>
      <c r="U61786" s="135"/>
    </row>
    <row r="61787" spans="20:21" ht="15" customHeight="1" x14ac:dyDescent="0.25">
      <c r="T61787" s="135"/>
      <c r="U61787" s="135"/>
    </row>
    <row r="61788" spans="20:21" ht="15" customHeight="1" x14ac:dyDescent="0.25">
      <c r="T61788" s="135"/>
      <c r="U61788" s="135"/>
    </row>
    <row r="61789" spans="20:21" ht="15" customHeight="1" x14ac:dyDescent="0.25">
      <c r="T61789" s="135"/>
      <c r="U61789" s="135"/>
    </row>
    <row r="61790" spans="20:21" ht="15" customHeight="1" x14ac:dyDescent="0.25">
      <c r="T61790" s="135"/>
      <c r="U61790" s="135"/>
    </row>
    <row r="61791" spans="20:21" ht="15" customHeight="1" x14ac:dyDescent="0.25">
      <c r="T61791" s="135"/>
      <c r="U61791" s="135"/>
    </row>
    <row r="61792" spans="20:21" ht="15" customHeight="1" x14ac:dyDescent="0.25">
      <c r="T61792" s="135"/>
      <c r="U61792" s="135"/>
    </row>
    <row r="61793" spans="20:21" ht="15" customHeight="1" x14ac:dyDescent="0.25">
      <c r="T61793" s="135"/>
      <c r="U61793" s="135"/>
    </row>
    <row r="61794" spans="20:21" ht="15" customHeight="1" x14ac:dyDescent="0.25">
      <c r="T61794" s="135"/>
      <c r="U61794" s="135"/>
    </row>
    <row r="61795" spans="20:21" ht="15" customHeight="1" x14ac:dyDescent="0.25">
      <c r="T61795" s="135"/>
      <c r="U61795" s="135"/>
    </row>
    <row r="61796" spans="20:21" ht="15" customHeight="1" x14ac:dyDescent="0.25">
      <c r="T61796" s="135"/>
      <c r="U61796" s="135"/>
    </row>
    <row r="61797" spans="20:21" ht="15" customHeight="1" x14ac:dyDescent="0.25">
      <c r="T61797" s="135"/>
      <c r="U61797" s="135"/>
    </row>
    <row r="61798" spans="20:21" ht="15" customHeight="1" x14ac:dyDescent="0.25">
      <c r="T61798" s="135"/>
      <c r="U61798" s="135"/>
    </row>
    <row r="61799" spans="20:21" ht="15" customHeight="1" x14ac:dyDescent="0.25">
      <c r="T61799" s="135"/>
      <c r="U61799" s="135"/>
    </row>
    <row r="61800" spans="20:21" ht="15" customHeight="1" x14ac:dyDescent="0.25">
      <c r="T61800" s="135"/>
      <c r="U61800" s="135"/>
    </row>
    <row r="61801" spans="20:21" ht="15" customHeight="1" x14ac:dyDescent="0.25">
      <c r="T61801" s="135"/>
      <c r="U61801" s="135"/>
    </row>
    <row r="61802" spans="20:21" ht="15" customHeight="1" x14ac:dyDescent="0.25">
      <c r="T61802" s="135"/>
      <c r="U61802" s="135"/>
    </row>
    <row r="61803" spans="20:21" ht="15" customHeight="1" x14ac:dyDescent="0.25">
      <c r="T61803" s="135"/>
      <c r="U61803" s="135"/>
    </row>
    <row r="61804" spans="20:21" ht="15" customHeight="1" x14ac:dyDescent="0.25">
      <c r="T61804" s="135"/>
      <c r="U61804" s="135"/>
    </row>
    <row r="61805" spans="20:21" ht="15" customHeight="1" x14ac:dyDescent="0.25">
      <c r="T61805" s="135"/>
      <c r="U61805" s="135"/>
    </row>
    <row r="61806" spans="20:21" ht="15" customHeight="1" x14ac:dyDescent="0.25">
      <c r="T61806" s="135"/>
      <c r="U61806" s="135"/>
    </row>
    <row r="61807" spans="20:21" ht="15" customHeight="1" x14ac:dyDescent="0.25">
      <c r="T61807" s="135"/>
      <c r="U61807" s="135"/>
    </row>
    <row r="61808" spans="20:21" ht="15" customHeight="1" x14ac:dyDescent="0.25">
      <c r="T61808" s="135"/>
      <c r="U61808" s="135"/>
    </row>
    <row r="61809" spans="20:21" ht="15" customHeight="1" x14ac:dyDescent="0.25">
      <c r="T61809" s="135"/>
      <c r="U61809" s="135"/>
    </row>
    <row r="61810" spans="20:21" ht="15" customHeight="1" x14ac:dyDescent="0.25">
      <c r="T61810" s="135"/>
      <c r="U61810" s="135"/>
    </row>
    <row r="61811" spans="20:21" ht="15" customHeight="1" x14ac:dyDescent="0.25">
      <c r="T61811" s="135"/>
      <c r="U61811" s="135"/>
    </row>
    <row r="61812" spans="20:21" ht="15" customHeight="1" x14ac:dyDescent="0.25">
      <c r="T61812" s="135"/>
      <c r="U61812" s="135"/>
    </row>
    <row r="61813" spans="20:21" ht="15" customHeight="1" x14ac:dyDescent="0.25">
      <c r="T61813" s="135"/>
      <c r="U61813" s="135"/>
    </row>
    <row r="61814" spans="20:21" ht="15" customHeight="1" x14ac:dyDescent="0.25">
      <c r="T61814" s="135"/>
      <c r="U61814" s="135"/>
    </row>
    <row r="61815" spans="20:21" ht="15" customHeight="1" x14ac:dyDescent="0.25">
      <c r="T61815" s="135"/>
      <c r="U61815" s="135"/>
    </row>
    <row r="61816" spans="20:21" ht="15" customHeight="1" x14ac:dyDescent="0.25">
      <c r="T61816" s="135"/>
      <c r="U61816" s="135"/>
    </row>
    <row r="61817" spans="20:21" ht="15" customHeight="1" x14ac:dyDescent="0.25">
      <c r="T61817" s="135"/>
      <c r="U61817" s="135"/>
    </row>
    <row r="61818" spans="20:21" ht="15" customHeight="1" x14ac:dyDescent="0.25">
      <c r="T61818" s="135"/>
      <c r="U61818" s="135"/>
    </row>
    <row r="61819" spans="20:21" ht="15" customHeight="1" x14ac:dyDescent="0.25">
      <c r="T61819" s="135"/>
      <c r="U61819" s="135"/>
    </row>
    <row r="61820" spans="20:21" ht="15" customHeight="1" x14ac:dyDescent="0.25">
      <c r="T61820" s="135"/>
      <c r="U61820" s="135"/>
    </row>
    <row r="61821" spans="20:21" ht="15" customHeight="1" x14ac:dyDescent="0.25">
      <c r="T61821" s="135"/>
      <c r="U61821" s="135"/>
    </row>
    <row r="61822" spans="20:21" ht="15" customHeight="1" x14ac:dyDescent="0.25">
      <c r="T61822" s="135"/>
      <c r="U61822" s="135"/>
    </row>
    <row r="61823" spans="20:21" ht="15" customHeight="1" x14ac:dyDescent="0.25">
      <c r="T61823" s="135"/>
      <c r="U61823" s="135"/>
    </row>
    <row r="61824" spans="20:21" ht="15" customHeight="1" x14ac:dyDescent="0.25">
      <c r="T61824" s="135"/>
      <c r="U61824" s="135"/>
    </row>
    <row r="61825" spans="20:21" ht="15" customHeight="1" x14ac:dyDescent="0.25">
      <c r="T61825" s="135"/>
      <c r="U61825" s="135"/>
    </row>
    <row r="61826" spans="20:21" ht="15" customHeight="1" x14ac:dyDescent="0.25">
      <c r="T61826" s="135"/>
      <c r="U61826" s="135"/>
    </row>
    <row r="61827" spans="20:21" ht="15" customHeight="1" x14ac:dyDescent="0.25">
      <c r="T61827" s="135"/>
      <c r="U61827" s="135"/>
    </row>
    <row r="61828" spans="20:21" ht="15" customHeight="1" x14ac:dyDescent="0.25">
      <c r="T61828" s="135"/>
      <c r="U61828" s="135"/>
    </row>
    <row r="61829" spans="20:21" ht="15" customHeight="1" x14ac:dyDescent="0.25">
      <c r="T61829" s="135"/>
      <c r="U61829" s="135"/>
    </row>
    <row r="61830" spans="20:21" ht="15" customHeight="1" x14ac:dyDescent="0.25">
      <c r="T61830" s="135"/>
      <c r="U61830" s="135"/>
    </row>
    <row r="61831" spans="20:21" ht="15" customHeight="1" x14ac:dyDescent="0.25">
      <c r="T61831" s="135"/>
      <c r="U61831" s="135"/>
    </row>
    <row r="61832" spans="20:21" ht="15" customHeight="1" x14ac:dyDescent="0.25">
      <c r="T61832" s="135"/>
      <c r="U61832" s="135"/>
    </row>
    <row r="61833" spans="20:21" ht="15" customHeight="1" x14ac:dyDescent="0.25">
      <c r="T61833" s="135"/>
      <c r="U61833" s="135"/>
    </row>
    <row r="61834" spans="20:21" ht="15" customHeight="1" x14ac:dyDescent="0.25">
      <c r="T61834" s="135"/>
      <c r="U61834" s="135"/>
    </row>
    <row r="61835" spans="20:21" ht="15" customHeight="1" x14ac:dyDescent="0.25">
      <c r="T61835" s="135"/>
      <c r="U61835" s="135"/>
    </row>
    <row r="61836" spans="20:21" ht="15" customHeight="1" x14ac:dyDescent="0.25">
      <c r="T61836" s="135"/>
      <c r="U61836" s="135"/>
    </row>
    <row r="61837" spans="20:21" ht="15" customHeight="1" x14ac:dyDescent="0.25">
      <c r="T61837" s="135"/>
      <c r="U61837" s="135"/>
    </row>
    <row r="61838" spans="20:21" ht="15" customHeight="1" x14ac:dyDescent="0.25">
      <c r="T61838" s="135"/>
      <c r="U61838" s="135"/>
    </row>
    <row r="61839" spans="20:21" ht="15" customHeight="1" x14ac:dyDescent="0.25">
      <c r="T61839" s="135"/>
      <c r="U61839" s="135"/>
    </row>
    <row r="61840" spans="20:21" ht="15" customHeight="1" x14ac:dyDescent="0.25">
      <c r="T61840" s="135"/>
      <c r="U61840" s="135"/>
    </row>
    <row r="61841" spans="20:21" ht="15" customHeight="1" x14ac:dyDescent="0.25">
      <c r="T61841" s="135"/>
      <c r="U61841" s="135"/>
    </row>
    <row r="61842" spans="20:21" ht="15" customHeight="1" x14ac:dyDescent="0.25">
      <c r="T61842" s="135"/>
      <c r="U61842" s="135"/>
    </row>
    <row r="61843" spans="20:21" ht="15" customHeight="1" x14ac:dyDescent="0.25">
      <c r="T61843" s="135"/>
      <c r="U61843" s="135"/>
    </row>
    <row r="61844" spans="20:21" ht="15" customHeight="1" x14ac:dyDescent="0.25">
      <c r="T61844" s="135"/>
      <c r="U61844" s="135"/>
    </row>
    <row r="61845" spans="20:21" ht="15" customHeight="1" x14ac:dyDescent="0.25">
      <c r="T61845" s="135"/>
      <c r="U61845" s="135"/>
    </row>
    <row r="61846" spans="20:21" ht="15" customHeight="1" x14ac:dyDescent="0.25">
      <c r="T61846" s="135"/>
      <c r="U61846" s="135"/>
    </row>
    <row r="61847" spans="20:21" ht="15" customHeight="1" x14ac:dyDescent="0.25">
      <c r="T61847" s="135"/>
      <c r="U61847" s="135"/>
    </row>
    <row r="61848" spans="20:21" ht="15" customHeight="1" x14ac:dyDescent="0.25">
      <c r="T61848" s="135"/>
      <c r="U61848" s="135"/>
    </row>
    <row r="61849" spans="20:21" ht="15" customHeight="1" x14ac:dyDescent="0.25">
      <c r="T61849" s="135"/>
      <c r="U61849" s="135"/>
    </row>
    <row r="61850" spans="20:21" ht="15" customHeight="1" x14ac:dyDescent="0.25">
      <c r="T61850" s="135"/>
      <c r="U61850" s="135"/>
    </row>
    <row r="61851" spans="20:21" ht="15" customHeight="1" x14ac:dyDescent="0.25">
      <c r="T61851" s="135"/>
      <c r="U61851" s="135"/>
    </row>
    <row r="61852" spans="20:21" ht="15" customHeight="1" x14ac:dyDescent="0.25">
      <c r="T61852" s="135"/>
      <c r="U61852" s="135"/>
    </row>
    <row r="61853" spans="20:21" ht="15" customHeight="1" x14ac:dyDescent="0.25">
      <c r="T61853" s="135"/>
      <c r="U61853" s="135"/>
    </row>
    <row r="61854" spans="20:21" ht="15" customHeight="1" x14ac:dyDescent="0.25">
      <c r="T61854" s="135"/>
      <c r="U61854" s="135"/>
    </row>
    <row r="61855" spans="20:21" ht="15" customHeight="1" x14ac:dyDescent="0.25">
      <c r="T61855" s="135"/>
      <c r="U61855" s="135"/>
    </row>
    <row r="61856" spans="20:21" ht="15" customHeight="1" x14ac:dyDescent="0.25">
      <c r="T61856" s="135"/>
      <c r="U61856" s="135"/>
    </row>
    <row r="61857" spans="20:21" ht="15" customHeight="1" x14ac:dyDescent="0.25">
      <c r="T61857" s="135"/>
      <c r="U61857" s="135"/>
    </row>
    <row r="61858" spans="20:21" ht="15" customHeight="1" x14ac:dyDescent="0.25">
      <c r="T61858" s="135"/>
      <c r="U61858" s="135"/>
    </row>
    <row r="61859" spans="20:21" ht="15" customHeight="1" x14ac:dyDescent="0.25">
      <c r="T61859" s="135"/>
      <c r="U61859" s="135"/>
    </row>
    <row r="61860" spans="20:21" ht="15" customHeight="1" x14ac:dyDescent="0.25">
      <c r="T61860" s="135"/>
      <c r="U61860" s="135"/>
    </row>
    <row r="61861" spans="20:21" ht="15" customHeight="1" x14ac:dyDescent="0.25">
      <c r="T61861" s="135"/>
      <c r="U61861" s="135"/>
    </row>
    <row r="61862" spans="20:21" ht="15" customHeight="1" x14ac:dyDescent="0.25">
      <c r="T61862" s="135"/>
      <c r="U61862" s="135"/>
    </row>
    <row r="61863" spans="20:21" ht="15" customHeight="1" x14ac:dyDescent="0.25">
      <c r="T61863" s="135"/>
      <c r="U61863" s="135"/>
    </row>
    <row r="61864" spans="20:21" ht="15" customHeight="1" x14ac:dyDescent="0.25">
      <c r="T61864" s="135"/>
      <c r="U61864" s="135"/>
    </row>
    <row r="61865" spans="20:21" ht="15" customHeight="1" x14ac:dyDescent="0.25">
      <c r="T61865" s="135"/>
      <c r="U61865" s="135"/>
    </row>
    <row r="61866" spans="20:21" ht="15" customHeight="1" x14ac:dyDescent="0.25">
      <c r="T61866" s="135"/>
      <c r="U61866" s="135"/>
    </row>
    <row r="61867" spans="20:21" ht="15" customHeight="1" x14ac:dyDescent="0.25">
      <c r="T61867" s="135"/>
      <c r="U61867" s="135"/>
    </row>
    <row r="61868" spans="20:21" ht="15" customHeight="1" x14ac:dyDescent="0.25">
      <c r="T61868" s="135"/>
      <c r="U61868" s="135"/>
    </row>
    <row r="61869" spans="20:21" ht="15" customHeight="1" x14ac:dyDescent="0.25">
      <c r="T61869" s="135"/>
      <c r="U61869" s="135"/>
    </row>
    <row r="61870" spans="20:21" ht="15" customHeight="1" x14ac:dyDescent="0.25">
      <c r="T61870" s="135"/>
      <c r="U61870" s="135"/>
    </row>
    <row r="61871" spans="20:21" ht="15" customHeight="1" x14ac:dyDescent="0.25">
      <c r="T61871" s="135"/>
      <c r="U61871" s="135"/>
    </row>
    <row r="61872" spans="20:21" ht="15" customHeight="1" x14ac:dyDescent="0.25">
      <c r="T61872" s="135"/>
      <c r="U61872" s="135"/>
    </row>
    <row r="61873" spans="20:21" ht="15" customHeight="1" x14ac:dyDescent="0.25">
      <c r="T61873" s="135"/>
      <c r="U61873" s="135"/>
    </row>
    <row r="61874" spans="20:21" ht="15" customHeight="1" x14ac:dyDescent="0.25">
      <c r="T61874" s="135"/>
      <c r="U61874" s="135"/>
    </row>
    <row r="61875" spans="20:21" ht="15" customHeight="1" x14ac:dyDescent="0.25">
      <c r="T61875" s="135"/>
      <c r="U61875" s="135"/>
    </row>
    <row r="61876" spans="20:21" ht="15" customHeight="1" x14ac:dyDescent="0.25">
      <c r="T61876" s="135"/>
      <c r="U61876" s="135"/>
    </row>
    <row r="61877" spans="20:21" ht="15" customHeight="1" x14ac:dyDescent="0.25">
      <c r="T61877" s="135"/>
      <c r="U61877" s="135"/>
    </row>
    <row r="61878" spans="20:21" ht="15" customHeight="1" x14ac:dyDescent="0.25">
      <c r="T61878" s="135"/>
      <c r="U61878" s="135"/>
    </row>
    <row r="61879" spans="20:21" ht="15" customHeight="1" x14ac:dyDescent="0.25">
      <c r="T61879" s="135"/>
      <c r="U61879" s="135"/>
    </row>
    <row r="61880" spans="20:21" ht="15" customHeight="1" x14ac:dyDescent="0.25">
      <c r="T61880" s="135"/>
      <c r="U61880" s="135"/>
    </row>
    <row r="61881" spans="20:21" ht="15" customHeight="1" x14ac:dyDescent="0.25">
      <c r="T61881" s="135"/>
      <c r="U61881" s="135"/>
    </row>
    <row r="61882" spans="20:21" ht="15" customHeight="1" x14ac:dyDescent="0.25">
      <c r="T61882" s="135"/>
      <c r="U61882" s="135"/>
    </row>
    <row r="61883" spans="20:21" ht="15" customHeight="1" x14ac:dyDescent="0.25">
      <c r="T61883" s="135"/>
      <c r="U61883" s="135"/>
    </row>
    <row r="61884" spans="20:21" ht="15" customHeight="1" x14ac:dyDescent="0.25">
      <c r="T61884" s="135"/>
      <c r="U61884" s="135"/>
    </row>
    <row r="61885" spans="20:21" ht="15" customHeight="1" x14ac:dyDescent="0.25">
      <c r="T61885" s="135"/>
      <c r="U61885" s="135"/>
    </row>
    <row r="61886" spans="20:21" ht="15" customHeight="1" x14ac:dyDescent="0.25">
      <c r="T61886" s="135"/>
      <c r="U61886" s="135"/>
    </row>
    <row r="61887" spans="20:21" ht="15" customHeight="1" x14ac:dyDescent="0.25">
      <c r="T61887" s="135"/>
      <c r="U61887" s="135"/>
    </row>
    <row r="61888" spans="20:21" ht="15" customHeight="1" x14ac:dyDescent="0.25">
      <c r="T61888" s="135"/>
      <c r="U61888" s="135"/>
    </row>
    <row r="61889" spans="20:21" ht="15" customHeight="1" x14ac:dyDescent="0.25">
      <c r="T61889" s="135"/>
      <c r="U61889" s="135"/>
    </row>
    <row r="61890" spans="20:21" ht="15" customHeight="1" x14ac:dyDescent="0.25">
      <c r="T61890" s="135"/>
      <c r="U61890" s="135"/>
    </row>
    <row r="61891" spans="20:21" ht="15" customHeight="1" x14ac:dyDescent="0.25">
      <c r="T61891" s="135"/>
      <c r="U61891" s="135"/>
    </row>
    <row r="61892" spans="20:21" ht="15" customHeight="1" x14ac:dyDescent="0.25">
      <c r="T61892" s="135"/>
      <c r="U61892" s="135"/>
    </row>
    <row r="61893" spans="20:21" ht="15" customHeight="1" x14ac:dyDescent="0.25">
      <c r="T61893" s="135"/>
      <c r="U61893" s="135"/>
    </row>
    <row r="61894" spans="20:21" ht="15" customHeight="1" x14ac:dyDescent="0.25">
      <c r="T61894" s="135"/>
      <c r="U61894" s="135"/>
    </row>
    <row r="61895" spans="20:21" ht="15" customHeight="1" x14ac:dyDescent="0.25">
      <c r="T61895" s="135"/>
      <c r="U61895" s="135"/>
    </row>
    <row r="61896" spans="20:21" ht="15" customHeight="1" x14ac:dyDescent="0.25">
      <c r="T61896" s="135"/>
      <c r="U61896" s="135"/>
    </row>
    <row r="61897" spans="20:21" ht="15" customHeight="1" x14ac:dyDescent="0.25">
      <c r="T61897" s="135"/>
      <c r="U61897" s="135"/>
    </row>
    <row r="61898" spans="20:21" ht="15" customHeight="1" x14ac:dyDescent="0.25">
      <c r="T61898" s="135"/>
      <c r="U61898" s="135"/>
    </row>
    <row r="61899" spans="20:21" ht="15" customHeight="1" x14ac:dyDescent="0.25">
      <c r="T61899" s="135"/>
      <c r="U61899" s="135"/>
    </row>
    <row r="61900" spans="20:21" ht="15" customHeight="1" x14ac:dyDescent="0.25">
      <c r="T61900" s="135"/>
      <c r="U61900" s="135"/>
    </row>
    <row r="61901" spans="20:21" ht="15" customHeight="1" x14ac:dyDescent="0.25">
      <c r="T61901" s="135"/>
      <c r="U61901" s="135"/>
    </row>
    <row r="61902" spans="20:21" ht="15" customHeight="1" x14ac:dyDescent="0.25">
      <c r="T61902" s="135"/>
      <c r="U61902" s="135"/>
    </row>
    <row r="61903" spans="20:21" ht="15" customHeight="1" x14ac:dyDescent="0.25">
      <c r="T61903" s="135"/>
      <c r="U61903" s="135"/>
    </row>
    <row r="61904" spans="20:21" ht="15" customHeight="1" x14ac:dyDescent="0.25">
      <c r="T61904" s="135"/>
      <c r="U61904" s="135"/>
    </row>
    <row r="61905" spans="20:21" ht="15" customHeight="1" x14ac:dyDescent="0.25">
      <c r="T61905" s="135"/>
      <c r="U61905" s="135"/>
    </row>
    <row r="61906" spans="20:21" ht="15" customHeight="1" x14ac:dyDescent="0.25">
      <c r="T61906" s="135"/>
      <c r="U61906" s="135"/>
    </row>
    <row r="61907" spans="20:21" ht="15" customHeight="1" x14ac:dyDescent="0.25">
      <c r="T61907" s="135"/>
      <c r="U61907" s="135"/>
    </row>
    <row r="61908" spans="20:21" ht="15" customHeight="1" x14ac:dyDescent="0.25">
      <c r="T61908" s="135"/>
      <c r="U61908" s="135"/>
    </row>
    <row r="61909" spans="20:21" ht="15" customHeight="1" x14ac:dyDescent="0.25">
      <c r="T61909" s="135"/>
      <c r="U61909" s="135"/>
    </row>
    <row r="61910" spans="20:21" ht="15" customHeight="1" x14ac:dyDescent="0.25">
      <c r="T61910" s="135"/>
      <c r="U61910" s="135"/>
    </row>
    <row r="61911" spans="20:21" ht="15" customHeight="1" x14ac:dyDescent="0.25">
      <c r="T61911" s="135"/>
      <c r="U61911" s="135"/>
    </row>
    <row r="61912" spans="20:21" ht="15" customHeight="1" x14ac:dyDescent="0.25">
      <c r="T61912" s="135"/>
      <c r="U61912" s="135"/>
    </row>
    <row r="61913" spans="20:21" ht="15" customHeight="1" x14ac:dyDescent="0.25">
      <c r="T61913" s="135"/>
      <c r="U61913" s="135"/>
    </row>
    <row r="61914" spans="20:21" ht="15" customHeight="1" x14ac:dyDescent="0.25">
      <c r="T61914" s="135"/>
      <c r="U61914" s="135"/>
    </row>
    <row r="61915" spans="20:21" ht="15" customHeight="1" x14ac:dyDescent="0.25">
      <c r="T61915" s="135"/>
      <c r="U61915" s="135"/>
    </row>
    <row r="61916" spans="20:21" ht="15" customHeight="1" x14ac:dyDescent="0.25">
      <c r="T61916" s="135"/>
      <c r="U61916" s="135"/>
    </row>
    <row r="61917" spans="20:21" ht="15" customHeight="1" x14ac:dyDescent="0.25">
      <c r="T61917" s="135"/>
      <c r="U61917" s="135"/>
    </row>
    <row r="61918" spans="20:21" ht="15" customHeight="1" x14ac:dyDescent="0.25">
      <c r="T61918" s="135"/>
      <c r="U61918" s="135"/>
    </row>
    <row r="61919" spans="20:21" ht="15" customHeight="1" x14ac:dyDescent="0.25">
      <c r="T61919" s="135"/>
      <c r="U61919" s="135"/>
    </row>
    <row r="61920" spans="20:21" ht="15" customHeight="1" x14ac:dyDescent="0.25">
      <c r="T61920" s="135"/>
      <c r="U61920" s="135"/>
    </row>
    <row r="61921" spans="20:21" ht="15" customHeight="1" x14ac:dyDescent="0.25">
      <c r="T61921" s="135"/>
      <c r="U61921" s="135"/>
    </row>
    <row r="61922" spans="20:21" ht="15" customHeight="1" x14ac:dyDescent="0.25">
      <c r="T61922" s="135"/>
      <c r="U61922" s="135"/>
    </row>
    <row r="61923" spans="20:21" ht="15" customHeight="1" x14ac:dyDescent="0.25">
      <c r="T61923" s="135"/>
      <c r="U61923" s="135"/>
    </row>
    <row r="61924" spans="20:21" ht="15" customHeight="1" x14ac:dyDescent="0.25">
      <c r="T61924" s="135"/>
      <c r="U61924" s="135"/>
    </row>
    <row r="61925" spans="20:21" ht="15" customHeight="1" x14ac:dyDescent="0.25">
      <c r="T61925" s="135"/>
      <c r="U61925" s="135"/>
    </row>
    <row r="61926" spans="20:21" ht="15" customHeight="1" x14ac:dyDescent="0.25">
      <c r="T61926" s="135"/>
      <c r="U61926" s="135"/>
    </row>
    <row r="61927" spans="20:21" ht="15" customHeight="1" x14ac:dyDescent="0.25">
      <c r="T61927" s="135"/>
      <c r="U61927" s="135"/>
    </row>
    <row r="61928" spans="20:21" ht="15" customHeight="1" x14ac:dyDescent="0.25">
      <c r="T61928" s="135"/>
      <c r="U61928" s="135"/>
    </row>
    <row r="61929" spans="20:21" ht="15" customHeight="1" x14ac:dyDescent="0.25">
      <c r="T61929" s="135"/>
      <c r="U61929" s="135"/>
    </row>
    <row r="61930" spans="20:21" ht="15" customHeight="1" x14ac:dyDescent="0.25">
      <c r="T61930" s="135"/>
      <c r="U61930" s="135"/>
    </row>
    <row r="61931" spans="20:21" ht="15" customHeight="1" x14ac:dyDescent="0.25">
      <c r="T61931" s="135"/>
      <c r="U61931" s="135"/>
    </row>
    <row r="61932" spans="20:21" ht="15" customHeight="1" x14ac:dyDescent="0.25">
      <c r="T61932" s="135"/>
      <c r="U61932" s="135"/>
    </row>
    <row r="61933" spans="20:21" ht="15" customHeight="1" x14ac:dyDescent="0.25">
      <c r="T61933" s="135"/>
      <c r="U61933" s="135"/>
    </row>
    <row r="61934" spans="20:21" ht="15" customHeight="1" x14ac:dyDescent="0.25">
      <c r="T61934" s="135"/>
      <c r="U61934" s="135"/>
    </row>
    <row r="61935" spans="20:21" ht="15" customHeight="1" x14ac:dyDescent="0.25">
      <c r="T61935" s="135"/>
      <c r="U61935" s="135"/>
    </row>
    <row r="61936" spans="20:21" ht="15" customHeight="1" x14ac:dyDescent="0.25">
      <c r="T61936" s="135"/>
      <c r="U61936" s="135"/>
    </row>
    <row r="61937" spans="20:21" ht="15" customHeight="1" x14ac:dyDescent="0.25">
      <c r="T61937" s="135"/>
      <c r="U61937" s="135"/>
    </row>
    <row r="61938" spans="20:21" ht="15" customHeight="1" x14ac:dyDescent="0.25">
      <c r="T61938" s="135"/>
      <c r="U61938" s="135"/>
    </row>
    <row r="61939" spans="20:21" ht="15" customHeight="1" x14ac:dyDescent="0.25">
      <c r="T61939" s="135"/>
      <c r="U61939" s="135"/>
    </row>
    <row r="61940" spans="20:21" ht="15" customHeight="1" x14ac:dyDescent="0.25">
      <c r="T61940" s="135"/>
      <c r="U61940" s="135"/>
    </row>
    <row r="61941" spans="20:21" ht="15" customHeight="1" x14ac:dyDescent="0.25">
      <c r="T61941" s="135"/>
      <c r="U61941" s="135"/>
    </row>
    <row r="61942" spans="20:21" ht="15" customHeight="1" x14ac:dyDescent="0.25">
      <c r="T61942" s="135"/>
      <c r="U61942" s="135"/>
    </row>
    <row r="61943" spans="20:21" ht="15" customHeight="1" x14ac:dyDescent="0.25">
      <c r="T61943" s="135"/>
      <c r="U61943" s="135"/>
    </row>
    <row r="61944" spans="20:21" ht="15" customHeight="1" x14ac:dyDescent="0.25">
      <c r="T61944" s="135"/>
      <c r="U61944" s="135"/>
    </row>
    <row r="61945" spans="20:21" ht="15" customHeight="1" x14ac:dyDescent="0.25">
      <c r="T61945" s="135"/>
      <c r="U61945" s="135"/>
    </row>
    <row r="61946" spans="20:21" ht="15" customHeight="1" x14ac:dyDescent="0.25">
      <c r="T61946" s="135"/>
      <c r="U61946" s="135"/>
    </row>
    <row r="61947" spans="20:21" ht="15" customHeight="1" x14ac:dyDescent="0.25">
      <c r="T61947" s="135"/>
      <c r="U61947" s="135"/>
    </row>
    <row r="61948" spans="20:21" ht="15" customHeight="1" x14ac:dyDescent="0.25">
      <c r="T61948" s="135"/>
      <c r="U61948" s="135"/>
    </row>
    <row r="61949" spans="20:21" ht="15" customHeight="1" x14ac:dyDescent="0.25">
      <c r="T61949" s="135"/>
      <c r="U61949" s="135"/>
    </row>
    <row r="61950" spans="20:21" ht="15" customHeight="1" x14ac:dyDescent="0.25">
      <c r="T61950" s="135"/>
      <c r="U61950" s="135"/>
    </row>
    <row r="61951" spans="20:21" ht="15" customHeight="1" x14ac:dyDescent="0.25">
      <c r="T61951" s="135"/>
      <c r="U61951" s="135"/>
    </row>
    <row r="61952" spans="20:21" ht="15" customHeight="1" x14ac:dyDescent="0.25">
      <c r="T61952" s="135"/>
      <c r="U61952" s="135"/>
    </row>
    <row r="61953" spans="20:21" ht="15" customHeight="1" x14ac:dyDescent="0.25">
      <c r="T61953" s="135"/>
      <c r="U61953" s="135"/>
    </row>
    <row r="61954" spans="20:21" ht="15" customHeight="1" x14ac:dyDescent="0.25">
      <c r="T61954" s="135"/>
      <c r="U61954" s="135"/>
    </row>
    <row r="61955" spans="20:21" ht="15" customHeight="1" x14ac:dyDescent="0.25">
      <c r="T61955" s="135"/>
      <c r="U61955" s="135"/>
    </row>
    <row r="61956" spans="20:21" ht="15" customHeight="1" x14ac:dyDescent="0.25">
      <c r="T61956" s="135"/>
      <c r="U61956" s="135"/>
    </row>
    <row r="61957" spans="20:21" ht="15" customHeight="1" x14ac:dyDescent="0.25">
      <c r="T61957" s="135"/>
      <c r="U61957" s="135"/>
    </row>
    <row r="61958" spans="20:21" ht="15" customHeight="1" x14ac:dyDescent="0.25">
      <c r="T61958" s="135"/>
      <c r="U61958" s="135"/>
    </row>
    <row r="61959" spans="20:21" ht="15" customHeight="1" x14ac:dyDescent="0.25">
      <c r="T61959" s="135"/>
      <c r="U61959" s="135"/>
    </row>
    <row r="61960" spans="20:21" ht="15" customHeight="1" x14ac:dyDescent="0.25">
      <c r="T61960" s="135"/>
      <c r="U61960" s="135"/>
    </row>
    <row r="61961" spans="20:21" ht="15" customHeight="1" x14ac:dyDescent="0.25">
      <c r="T61961" s="135"/>
      <c r="U61961" s="135"/>
    </row>
    <row r="61962" spans="20:21" ht="15" customHeight="1" x14ac:dyDescent="0.25">
      <c r="T61962" s="135"/>
      <c r="U61962" s="135"/>
    </row>
    <row r="61963" spans="20:21" ht="15" customHeight="1" x14ac:dyDescent="0.25">
      <c r="T61963" s="135"/>
      <c r="U61963" s="135"/>
    </row>
    <row r="61964" spans="20:21" ht="15" customHeight="1" x14ac:dyDescent="0.25">
      <c r="T61964" s="135"/>
      <c r="U61964" s="135"/>
    </row>
    <row r="61965" spans="20:21" ht="15" customHeight="1" x14ac:dyDescent="0.25">
      <c r="T61965" s="135"/>
      <c r="U61965" s="135"/>
    </row>
    <row r="61966" spans="20:21" ht="15" customHeight="1" x14ac:dyDescent="0.25">
      <c r="T61966" s="135"/>
      <c r="U61966" s="135"/>
    </row>
    <row r="61967" spans="20:21" ht="15" customHeight="1" x14ac:dyDescent="0.25">
      <c r="T61967" s="135"/>
      <c r="U61967" s="135"/>
    </row>
    <row r="61968" spans="20:21" ht="15" customHeight="1" x14ac:dyDescent="0.25">
      <c r="T61968" s="135"/>
      <c r="U61968" s="135"/>
    </row>
    <row r="61969" spans="20:21" ht="15" customHeight="1" x14ac:dyDescent="0.25">
      <c r="T61969" s="135"/>
      <c r="U61969" s="135"/>
    </row>
    <row r="61970" spans="20:21" ht="15" customHeight="1" x14ac:dyDescent="0.25">
      <c r="T61970" s="135"/>
      <c r="U61970" s="135"/>
    </row>
    <row r="61971" spans="20:21" ht="15" customHeight="1" x14ac:dyDescent="0.25">
      <c r="T61971" s="135"/>
      <c r="U61971" s="135"/>
    </row>
    <row r="61972" spans="20:21" ht="15" customHeight="1" x14ac:dyDescent="0.25">
      <c r="T61972" s="135"/>
      <c r="U61972" s="135"/>
    </row>
    <row r="61973" spans="20:21" ht="15" customHeight="1" x14ac:dyDescent="0.25">
      <c r="T61973" s="135"/>
      <c r="U61973" s="135"/>
    </row>
    <row r="61974" spans="20:21" ht="15" customHeight="1" x14ac:dyDescent="0.25">
      <c r="T61974" s="135"/>
      <c r="U61974" s="135"/>
    </row>
    <row r="61975" spans="20:21" ht="15" customHeight="1" x14ac:dyDescent="0.25">
      <c r="T61975" s="135"/>
      <c r="U61975" s="135"/>
    </row>
    <row r="61976" spans="20:21" ht="15" customHeight="1" x14ac:dyDescent="0.25">
      <c r="T61976" s="135"/>
      <c r="U61976" s="135"/>
    </row>
    <row r="61977" spans="20:21" ht="15" customHeight="1" x14ac:dyDescent="0.25">
      <c r="T61977" s="135"/>
      <c r="U61977" s="135"/>
    </row>
    <row r="61978" spans="20:21" ht="15" customHeight="1" x14ac:dyDescent="0.25">
      <c r="T61978" s="135"/>
      <c r="U61978" s="135"/>
    </row>
    <row r="61979" spans="20:21" ht="15" customHeight="1" x14ac:dyDescent="0.25">
      <c r="T61979" s="135"/>
      <c r="U61979" s="135"/>
    </row>
    <row r="61980" spans="20:21" ht="15" customHeight="1" x14ac:dyDescent="0.25">
      <c r="T61980" s="135"/>
      <c r="U61980" s="135"/>
    </row>
    <row r="61981" spans="20:21" ht="15" customHeight="1" x14ac:dyDescent="0.25">
      <c r="T61981" s="135"/>
      <c r="U61981" s="135"/>
    </row>
    <row r="61982" spans="20:21" ht="15" customHeight="1" x14ac:dyDescent="0.25">
      <c r="T61982" s="135"/>
      <c r="U61982" s="135"/>
    </row>
    <row r="61983" spans="20:21" ht="15" customHeight="1" x14ac:dyDescent="0.25">
      <c r="T61983" s="135"/>
      <c r="U61983" s="135"/>
    </row>
    <row r="61984" spans="20:21" ht="15" customHeight="1" x14ac:dyDescent="0.25">
      <c r="T61984" s="135"/>
      <c r="U61984" s="135"/>
    </row>
    <row r="61985" spans="20:21" ht="15" customHeight="1" x14ac:dyDescent="0.25">
      <c r="T61985" s="135"/>
      <c r="U61985" s="135"/>
    </row>
    <row r="61986" spans="20:21" ht="15" customHeight="1" x14ac:dyDescent="0.25">
      <c r="T61986" s="135"/>
      <c r="U61986" s="135"/>
    </row>
    <row r="61987" spans="20:21" ht="15" customHeight="1" x14ac:dyDescent="0.25">
      <c r="T61987" s="135"/>
      <c r="U61987" s="135"/>
    </row>
    <row r="61988" spans="20:21" ht="15" customHeight="1" x14ac:dyDescent="0.25">
      <c r="T61988" s="135"/>
      <c r="U61988" s="135"/>
    </row>
    <row r="61989" spans="20:21" ht="15" customHeight="1" x14ac:dyDescent="0.25">
      <c r="T61989" s="135"/>
      <c r="U61989" s="135"/>
    </row>
    <row r="61990" spans="20:21" ht="15" customHeight="1" x14ac:dyDescent="0.25">
      <c r="T61990" s="135"/>
      <c r="U61990" s="135"/>
    </row>
    <row r="61991" spans="20:21" ht="15" customHeight="1" x14ac:dyDescent="0.25">
      <c r="T61991" s="135"/>
      <c r="U61991" s="135"/>
    </row>
    <row r="61992" spans="20:21" ht="15" customHeight="1" x14ac:dyDescent="0.25">
      <c r="T61992" s="135"/>
      <c r="U61992" s="135"/>
    </row>
    <row r="61993" spans="20:21" ht="15" customHeight="1" x14ac:dyDescent="0.25">
      <c r="T61993" s="135"/>
      <c r="U61993" s="135"/>
    </row>
    <row r="61994" spans="20:21" ht="15" customHeight="1" x14ac:dyDescent="0.25">
      <c r="T61994" s="135"/>
      <c r="U61994" s="135"/>
    </row>
    <row r="61995" spans="20:21" ht="15" customHeight="1" x14ac:dyDescent="0.25">
      <c r="T61995" s="135"/>
      <c r="U61995" s="135"/>
    </row>
    <row r="61996" spans="20:21" ht="15" customHeight="1" x14ac:dyDescent="0.25">
      <c r="T61996" s="135"/>
      <c r="U61996" s="135"/>
    </row>
    <row r="61997" spans="20:21" ht="15" customHeight="1" x14ac:dyDescent="0.25">
      <c r="T61997" s="135"/>
      <c r="U61997" s="135"/>
    </row>
    <row r="61998" spans="20:21" ht="15" customHeight="1" x14ac:dyDescent="0.25">
      <c r="T61998" s="135"/>
      <c r="U61998" s="135"/>
    </row>
    <row r="61999" spans="20:21" ht="15" customHeight="1" x14ac:dyDescent="0.25">
      <c r="T61999" s="135"/>
      <c r="U61999" s="135"/>
    </row>
    <row r="62000" spans="20:21" ht="15" customHeight="1" x14ac:dyDescent="0.25">
      <c r="T62000" s="135"/>
      <c r="U62000" s="135"/>
    </row>
    <row r="62001" spans="20:21" ht="15" customHeight="1" x14ac:dyDescent="0.25">
      <c r="T62001" s="135"/>
      <c r="U62001" s="135"/>
    </row>
    <row r="62002" spans="20:21" ht="15" customHeight="1" x14ac:dyDescent="0.25">
      <c r="T62002" s="135"/>
      <c r="U62002" s="135"/>
    </row>
    <row r="62003" spans="20:21" ht="15" customHeight="1" x14ac:dyDescent="0.25">
      <c r="T62003" s="135"/>
      <c r="U62003" s="135"/>
    </row>
    <row r="62004" spans="20:21" ht="15" customHeight="1" x14ac:dyDescent="0.25">
      <c r="T62004" s="135"/>
      <c r="U62004" s="135"/>
    </row>
    <row r="62005" spans="20:21" ht="15" customHeight="1" x14ac:dyDescent="0.25">
      <c r="T62005" s="135"/>
      <c r="U62005" s="135"/>
    </row>
    <row r="62006" spans="20:21" ht="15" customHeight="1" x14ac:dyDescent="0.25">
      <c r="T62006" s="135"/>
      <c r="U62006" s="135"/>
    </row>
    <row r="62007" spans="20:21" ht="15" customHeight="1" x14ac:dyDescent="0.25">
      <c r="T62007" s="135"/>
      <c r="U62007" s="135"/>
    </row>
    <row r="62008" spans="20:21" ht="15" customHeight="1" x14ac:dyDescent="0.25">
      <c r="T62008" s="135"/>
      <c r="U62008" s="135"/>
    </row>
    <row r="62009" spans="20:21" ht="15" customHeight="1" x14ac:dyDescent="0.25">
      <c r="T62009" s="135"/>
      <c r="U62009" s="135"/>
    </row>
    <row r="62010" spans="20:21" ht="15" customHeight="1" x14ac:dyDescent="0.25">
      <c r="T62010" s="135"/>
      <c r="U62010" s="135"/>
    </row>
    <row r="62011" spans="20:21" ht="15" customHeight="1" x14ac:dyDescent="0.25">
      <c r="T62011" s="135"/>
      <c r="U62011" s="135"/>
    </row>
    <row r="62012" spans="20:21" ht="15" customHeight="1" x14ac:dyDescent="0.25">
      <c r="T62012" s="135"/>
      <c r="U62012" s="135"/>
    </row>
    <row r="62013" spans="20:21" ht="15" customHeight="1" x14ac:dyDescent="0.25">
      <c r="T62013" s="135"/>
      <c r="U62013" s="135"/>
    </row>
    <row r="62014" spans="20:21" ht="15" customHeight="1" x14ac:dyDescent="0.25">
      <c r="T62014" s="135"/>
      <c r="U62014" s="135"/>
    </row>
    <row r="62015" spans="20:21" ht="15" customHeight="1" x14ac:dyDescent="0.25">
      <c r="T62015" s="135"/>
      <c r="U62015" s="135"/>
    </row>
    <row r="62016" spans="20:21" ht="15" customHeight="1" x14ac:dyDescent="0.25">
      <c r="T62016" s="135"/>
      <c r="U62016" s="135"/>
    </row>
    <row r="62017" spans="20:21" ht="15" customHeight="1" x14ac:dyDescent="0.25">
      <c r="T62017" s="135"/>
      <c r="U62017" s="135"/>
    </row>
    <row r="62018" spans="20:21" ht="15" customHeight="1" x14ac:dyDescent="0.25">
      <c r="T62018" s="135"/>
      <c r="U62018" s="135"/>
    </row>
    <row r="62019" spans="20:21" ht="15" customHeight="1" x14ac:dyDescent="0.25">
      <c r="T62019" s="135"/>
      <c r="U62019" s="135"/>
    </row>
    <row r="62020" spans="20:21" ht="15" customHeight="1" x14ac:dyDescent="0.25">
      <c r="T62020" s="135"/>
      <c r="U62020" s="135"/>
    </row>
    <row r="62021" spans="20:21" ht="15" customHeight="1" x14ac:dyDescent="0.25">
      <c r="T62021" s="135"/>
      <c r="U62021" s="135"/>
    </row>
    <row r="62022" spans="20:21" ht="15" customHeight="1" x14ac:dyDescent="0.25">
      <c r="T62022" s="135"/>
      <c r="U62022" s="135"/>
    </row>
    <row r="62023" spans="20:21" ht="15" customHeight="1" x14ac:dyDescent="0.25">
      <c r="T62023" s="135"/>
      <c r="U62023" s="135"/>
    </row>
    <row r="62024" spans="20:21" ht="15" customHeight="1" x14ac:dyDescent="0.25">
      <c r="T62024" s="135"/>
      <c r="U62024" s="135"/>
    </row>
    <row r="62025" spans="20:21" ht="15" customHeight="1" x14ac:dyDescent="0.25">
      <c r="T62025" s="135"/>
      <c r="U62025" s="135"/>
    </row>
    <row r="62026" spans="20:21" ht="15" customHeight="1" x14ac:dyDescent="0.25">
      <c r="T62026" s="135"/>
      <c r="U62026" s="135"/>
    </row>
    <row r="62027" spans="20:21" ht="15" customHeight="1" x14ac:dyDescent="0.25">
      <c r="T62027" s="135"/>
      <c r="U62027" s="135"/>
    </row>
    <row r="62028" spans="20:21" ht="15" customHeight="1" x14ac:dyDescent="0.25">
      <c r="T62028" s="135"/>
      <c r="U62028" s="135"/>
    </row>
    <row r="62029" spans="20:21" ht="15" customHeight="1" x14ac:dyDescent="0.25">
      <c r="T62029" s="135"/>
      <c r="U62029" s="135"/>
    </row>
    <row r="62030" spans="20:21" ht="15" customHeight="1" x14ac:dyDescent="0.25">
      <c r="T62030" s="135"/>
      <c r="U62030" s="135"/>
    </row>
    <row r="62031" spans="20:21" ht="15" customHeight="1" x14ac:dyDescent="0.25">
      <c r="T62031" s="135"/>
      <c r="U62031" s="135"/>
    </row>
    <row r="62032" spans="20:21" ht="15" customHeight="1" x14ac:dyDescent="0.25">
      <c r="T62032" s="135"/>
      <c r="U62032" s="135"/>
    </row>
    <row r="62033" spans="20:21" ht="15" customHeight="1" x14ac:dyDescent="0.25">
      <c r="T62033" s="135"/>
      <c r="U62033" s="135"/>
    </row>
    <row r="62034" spans="20:21" ht="15" customHeight="1" x14ac:dyDescent="0.25">
      <c r="T62034" s="135"/>
      <c r="U62034" s="135"/>
    </row>
    <row r="62035" spans="20:21" ht="15" customHeight="1" x14ac:dyDescent="0.25">
      <c r="T62035" s="135"/>
      <c r="U62035" s="135"/>
    </row>
    <row r="62036" spans="20:21" ht="15" customHeight="1" x14ac:dyDescent="0.25">
      <c r="T62036" s="135"/>
      <c r="U62036" s="135"/>
    </row>
    <row r="62037" spans="20:21" ht="15" customHeight="1" x14ac:dyDescent="0.25">
      <c r="T62037" s="135"/>
      <c r="U62037" s="135"/>
    </row>
    <row r="62038" spans="20:21" ht="15" customHeight="1" x14ac:dyDescent="0.25">
      <c r="T62038" s="135"/>
      <c r="U62038" s="135"/>
    </row>
    <row r="62039" spans="20:21" ht="15" customHeight="1" x14ac:dyDescent="0.25">
      <c r="T62039" s="135"/>
      <c r="U62039" s="135"/>
    </row>
    <row r="62040" spans="20:21" ht="15" customHeight="1" x14ac:dyDescent="0.25">
      <c r="T62040" s="135"/>
      <c r="U62040" s="135"/>
    </row>
    <row r="62041" spans="20:21" ht="15" customHeight="1" x14ac:dyDescent="0.25">
      <c r="T62041" s="135"/>
      <c r="U62041" s="135"/>
    </row>
    <row r="62042" spans="20:21" ht="15" customHeight="1" x14ac:dyDescent="0.25">
      <c r="T62042" s="135"/>
      <c r="U62042" s="135"/>
    </row>
    <row r="62043" spans="20:21" ht="15" customHeight="1" x14ac:dyDescent="0.25">
      <c r="T62043" s="135"/>
      <c r="U62043" s="135"/>
    </row>
    <row r="62044" spans="20:21" ht="15" customHeight="1" x14ac:dyDescent="0.25">
      <c r="T62044" s="135"/>
      <c r="U62044" s="135"/>
    </row>
    <row r="62045" spans="20:21" ht="15" customHeight="1" x14ac:dyDescent="0.25">
      <c r="T62045" s="135"/>
      <c r="U62045" s="135"/>
    </row>
    <row r="62046" spans="20:21" ht="15" customHeight="1" x14ac:dyDescent="0.25">
      <c r="T62046" s="135"/>
      <c r="U62046" s="135"/>
    </row>
    <row r="62047" spans="20:21" ht="15" customHeight="1" x14ac:dyDescent="0.25">
      <c r="T62047" s="135"/>
      <c r="U62047" s="135"/>
    </row>
    <row r="62048" spans="20:21" ht="15" customHeight="1" x14ac:dyDescent="0.25">
      <c r="T62048" s="135"/>
      <c r="U62048" s="135"/>
    </row>
    <row r="62049" spans="20:21" ht="15" customHeight="1" x14ac:dyDescent="0.25">
      <c r="T62049" s="135"/>
      <c r="U62049" s="135"/>
    </row>
    <row r="62050" spans="20:21" ht="15" customHeight="1" x14ac:dyDescent="0.25">
      <c r="T62050" s="135"/>
      <c r="U62050" s="135"/>
    </row>
    <row r="62051" spans="20:21" ht="15" customHeight="1" x14ac:dyDescent="0.25">
      <c r="T62051" s="135"/>
      <c r="U62051" s="135"/>
    </row>
    <row r="62052" spans="20:21" ht="15" customHeight="1" x14ac:dyDescent="0.25">
      <c r="T62052" s="135"/>
      <c r="U62052" s="135"/>
    </row>
    <row r="62053" spans="20:21" ht="15" customHeight="1" x14ac:dyDescent="0.25">
      <c r="T62053" s="135"/>
      <c r="U62053" s="135"/>
    </row>
    <row r="62054" spans="20:21" ht="15" customHeight="1" x14ac:dyDescent="0.25">
      <c r="T62054" s="135"/>
      <c r="U62054" s="135"/>
    </row>
    <row r="62055" spans="20:21" ht="15" customHeight="1" x14ac:dyDescent="0.25">
      <c r="T62055" s="135"/>
      <c r="U62055" s="135"/>
    </row>
    <row r="62056" spans="20:21" ht="15" customHeight="1" x14ac:dyDescent="0.25">
      <c r="T62056" s="135"/>
      <c r="U62056" s="135"/>
    </row>
    <row r="62057" spans="20:21" ht="15" customHeight="1" x14ac:dyDescent="0.25">
      <c r="T62057" s="135"/>
      <c r="U62057" s="135"/>
    </row>
    <row r="62058" spans="20:21" ht="15" customHeight="1" x14ac:dyDescent="0.25">
      <c r="T62058" s="135"/>
      <c r="U62058" s="135"/>
    </row>
    <row r="62059" spans="20:21" ht="15" customHeight="1" x14ac:dyDescent="0.25">
      <c r="T62059" s="135"/>
      <c r="U62059" s="135"/>
    </row>
    <row r="62060" spans="20:21" ht="15" customHeight="1" x14ac:dyDescent="0.25">
      <c r="T62060" s="135"/>
      <c r="U62060" s="135"/>
    </row>
    <row r="62061" spans="20:21" ht="15" customHeight="1" x14ac:dyDescent="0.25">
      <c r="T62061" s="135"/>
      <c r="U62061" s="135"/>
    </row>
    <row r="62062" spans="20:21" ht="15" customHeight="1" x14ac:dyDescent="0.25">
      <c r="T62062" s="135"/>
      <c r="U62062" s="135"/>
    </row>
    <row r="62063" spans="20:21" ht="15" customHeight="1" x14ac:dyDescent="0.25">
      <c r="T62063" s="135"/>
      <c r="U62063" s="135"/>
    </row>
    <row r="62064" spans="20:21" ht="15" customHeight="1" x14ac:dyDescent="0.25">
      <c r="T62064" s="135"/>
      <c r="U62064" s="135"/>
    </row>
    <row r="62065" spans="20:21" ht="15" customHeight="1" x14ac:dyDescent="0.25">
      <c r="T62065" s="135"/>
      <c r="U62065" s="135"/>
    </row>
    <row r="62066" spans="20:21" ht="15" customHeight="1" x14ac:dyDescent="0.25">
      <c r="T62066" s="135"/>
      <c r="U62066" s="135"/>
    </row>
    <row r="62067" spans="20:21" ht="15" customHeight="1" x14ac:dyDescent="0.25">
      <c r="T62067" s="135"/>
      <c r="U62067" s="135"/>
    </row>
    <row r="62068" spans="20:21" ht="15" customHeight="1" x14ac:dyDescent="0.25">
      <c r="T62068" s="135"/>
      <c r="U62068" s="135"/>
    </row>
    <row r="62069" spans="20:21" ht="15" customHeight="1" x14ac:dyDescent="0.25">
      <c r="T62069" s="135"/>
      <c r="U62069" s="135"/>
    </row>
    <row r="62070" spans="20:21" ht="15" customHeight="1" x14ac:dyDescent="0.25">
      <c r="T62070" s="135"/>
      <c r="U62070" s="135"/>
    </row>
    <row r="62071" spans="20:21" ht="15" customHeight="1" x14ac:dyDescent="0.25">
      <c r="T62071" s="135"/>
      <c r="U62071" s="135"/>
    </row>
    <row r="62072" spans="20:21" ht="15" customHeight="1" x14ac:dyDescent="0.25">
      <c r="T62072" s="135"/>
      <c r="U62072" s="135"/>
    </row>
    <row r="62073" spans="20:21" ht="15" customHeight="1" x14ac:dyDescent="0.25">
      <c r="T62073" s="135"/>
      <c r="U62073" s="135"/>
    </row>
    <row r="62074" spans="20:21" ht="15" customHeight="1" x14ac:dyDescent="0.25">
      <c r="T62074" s="135"/>
      <c r="U62074" s="135"/>
    </row>
    <row r="62075" spans="20:21" ht="15" customHeight="1" x14ac:dyDescent="0.25">
      <c r="T62075" s="135"/>
      <c r="U62075" s="135"/>
    </row>
    <row r="62076" spans="20:21" ht="15" customHeight="1" x14ac:dyDescent="0.25">
      <c r="T62076" s="135"/>
      <c r="U62076" s="135"/>
    </row>
    <row r="62077" spans="20:21" ht="15" customHeight="1" x14ac:dyDescent="0.25">
      <c r="T62077" s="135"/>
      <c r="U62077" s="135"/>
    </row>
    <row r="62078" spans="20:21" ht="15" customHeight="1" x14ac:dyDescent="0.25">
      <c r="T62078" s="135"/>
      <c r="U62078" s="135"/>
    </row>
    <row r="62079" spans="20:21" ht="15" customHeight="1" x14ac:dyDescent="0.25">
      <c r="T62079" s="135"/>
      <c r="U62079" s="135"/>
    </row>
    <row r="62080" spans="20:21" ht="15" customHeight="1" x14ac:dyDescent="0.25">
      <c r="T62080" s="135"/>
      <c r="U62080" s="135"/>
    </row>
    <row r="62081" spans="20:21" ht="15" customHeight="1" x14ac:dyDescent="0.25">
      <c r="T62081" s="135"/>
      <c r="U62081" s="135"/>
    </row>
    <row r="62082" spans="20:21" ht="15" customHeight="1" x14ac:dyDescent="0.25">
      <c r="T62082" s="135"/>
      <c r="U62082" s="135"/>
    </row>
    <row r="62083" spans="20:21" ht="15" customHeight="1" x14ac:dyDescent="0.25">
      <c r="T62083" s="135"/>
      <c r="U62083" s="135"/>
    </row>
    <row r="62084" spans="20:21" ht="15" customHeight="1" x14ac:dyDescent="0.25">
      <c r="T62084" s="135"/>
      <c r="U62084" s="135"/>
    </row>
    <row r="62085" spans="20:21" ht="15" customHeight="1" x14ac:dyDescent="0.25">
      <c r="T62085" s="135"/>
      <c r="U62085" s="135"/>
    </row>
    <row r="62086" spans="20:21" ht="15" customHeight="1" x14ac:dyDescent="0.25">
      <c r="T62086" s="135"/>
      <c r="U62086" s="135"/>
    </row>
    <row r="62087" spans="20:21" ht="15" customHeight="1" x14ac:dyDescent="0.25">
      <c r="T62087" s="135"/>
      <c r="U62087" s="135"/>
    </row>
    <row r="62088" spans="20:21" ht="15" customHeight="1" x14ac:dyDescent="0.25">
      <c r="T62088" s="135"/>
      <c r="U62088" s="135"/>
    </row>
    <row r="62089" spans="20:21" ht="15" customHeight="1" x14ac:dyDescent="0.25">
      <c r="T62089" s="135"/>
      <c r="U62089" s="135"/>
    </row>
    <row r="62090" spans="20:21" ht="15" customHeight="1" x14ac:dyDescent="0.25">
      <c r="T62090" s="135"/>
      <c r="U62090" s="135"/>
    </row>
    <row r="62091" spans="20:21" ht="15" customHeight="1" x14ac:dyDescent="0.25">
      <c r="T62091" s="135"/>
      <c r="U62091" s="135"/>
    </row>
    <row r="62092" spans="20:21" ht="15" customHeight="1" x14ac:dyDescent="0.25">
      <c r="T62092" s="135"/>
      <c r="U62092" s="135"/>
    </row>
    <row r="62093" spans="20:21" ht="15" customHeight="1" x14ac:dyDescent="0.25">
      <c r="T62093" s="135"/>
      <c r="U62093" s="135"/>
    </row>
    <row r="62094" spans="20:21" ht="15" customHeight="1" x14ac:dyDescent="0.25">
      <c r="T62094" s="135"/>
      <c r="U62094" s="135"/>
    </row>
    <row r="62095" spans="20:21" ht="15" customHeight="1" x14ac:dyDescent="0.25">
      <c r="T62095" s="135"/>
      <c r="U62095" s="135"/>
    </row>
    <row r="62096" spans="20:21" ht="15" customHeight="1" x14ac:dyDescent="0.25">
      <c r="T62096" s="135"/>
      <c r="U62096" s="135"/>
    </row>
    <row r="62097" spans="20:21" ht="15" customHeight="1" x14ac:dyDescent="0.25">
      <c r="T62097" s="135"/>
      <c r="U62097" s="135"/>
    </row>
    <row r="62098" spans="20:21" ht="15" customHeight="1" x14ac:dyDescent="0.25">
      <c r="T62098" s="135"/>
      <c r="U62098" s="135"/>
    </row>
    <row r="62099" spans="20:21" ht="15" customHeight="1" x14ac:dyDescent="0.25">
      <c r="T62099" s="135"/>
      <c r="U62099" s="135"/>
    </row>
    <row r="62100" spans="20:21" ht="15" customHeight="1" x14ac:dyDescent="0.25">
      <c r="T62100" s="135"/>
      <c r="U62100" s="135"/>
    </row>
    <row r="62101" spans="20:21" ht="15" customHeight="1" x14ac:dyDescent="0.25">
      <c r="T62101" s="135"/>
      <c r="U62101" s="135"/>
    </row>
    <row r="62102" spans="20:21" ht="15" customHeight="1" x14ac:dyDescent="0.25">
      <c r="T62102" s="135"/>
      <c r="U62102" s="135"/>
    </row>
    <row r="62103" spans="20:21" ht="15" customHeight="1" x14ac:dyDescent="0.25">
      <c r="T62103" s="135"/>
      <c r="U62103" s="135"/>
    </row>
    <row r="62104" spans="20:21" ht="15" customHeight="1" x14ac:dyDescent="0.25">
      <c r="T62104" s="135"/>
      <c r="U62104" s="135"/>
    </row>
    <row r="62105" spans="20:21" ht="15" customHeight="1" x14ac:dyDescent="0.25">
      <c r="T62105" s="135"/>
      <c r="U62105" s="135"/>
    </row>
    <row r="62106" spans="20:21" ht="15" customHeight="1" x14ac:dyDescent="0.25">
      <c r="T62106" s="135"/>
      <c r="U62106" s="135"/>
    </row>
    <row r="62107" spans="20:21" ht="15" customHeight="1" x14ac:dyDescent="0.25">
      <c r="T62107" s="135"/>
      <c r="U62107" s="135"/>
    </row>
    <row r="62108" spans="20:21" ht="15" customHeight="1" x14ac:dyDescent="0.25">
      <c r="T62108" s="135"/>
      <c r="U62108" s="135"/>
    </row>
    <row r="62109" spans="20:21" ht="15" customHeight="1" x14ac:dyDescent="0.25">
      <c r="T62109" s="135"/>
      <c r="U62109" s="135"/>
    </row>
    <row r="62110" spans="20:21" ht="15" customHeight="1" x14ac:dyDescent="0.25">
      <c r="T62110" s="135"/>
      <c r="U62110" s="135"/>
    </row>
    <row r="62111" spans="20:21" ht="15" customHeight="1" x14ac:dyDescent="0.25">
      <c r="T62111" s="135"/>
      <c r="U62111" s="135"/>
    </row>
    <row r="62112" spans="20:21" ht="15" customHeight="1" x14ac:dyDescent="0.25">
      <c r="T62112" s="135"/>
      <c r="U62112" s="135"/>
    </row>
    <row r="62113" spans="20:21" ht="15" customHeight="1" x14ac:dyDescent="0.25">
      <c r="T62113" s="135"/>
      <c r="U62113" s="135"/>
    </row>
    <row r="62114" spans="20:21" ht="15" customHeight="1" x14ac:dyDescent="0.25">
      <c r="T62114" s="135"/>
      <c r="U62114" s="135"/>
    </row>
    <row r="62115" spans="20:21" ht="15" customHeight="1" x14ac:dyDescent="0.25">
      <c r="T62115" s="135"/>
      <c r="U62115" s="135"/>
    </row>
    <row r="62116" spans="20:21" ht="15" customHeight="1" x14ac:dyDescent="0.25">
      <c r="T62116" s="135"/>
      <c r="U62116" s="135"/>
    </row>
    <row r="62117" spans="20:21" ht="15" customHeight="1" x14ac:dyDescent="0.25">
      <c r="T62117" s="135"/>
      <c r="U62117" s="135"/>
    </row>
    <row r="62118" spans="20:21" ht="15" customHeight="1" x14ac:dyDescent="0.25">
      <c r="T62118" s="135"/>
      <c r="U62118" s="135"/>
    </row>
    <row r="62119" spans="20:21" ht="15" customHeight="1" x14ac:dyDescent="0.25">
      <c r="T62119" s="135"/>
      <c r="U62119" s="135"/>
    </row>
    <row r="62120" spans="20:21" ht="15" customHeight="1" x14ac:dyDescent="0.25">
      <c r="T62120" s="135"/>
      <c r="U62120" s="135"/>
    </row>
    <row r="62121" spans="20:21" ht="15" customHeight="1" x14ac:dyDescent="0.25">
      <c r="T62121" s="135"/>
      <c r="U62121" s="135"/>
    </row>
    <row r="62122" spans="20:21" ht="15" customHeight="1" x14ac:dyDescent="0.25">
      <c r="T62122" s="135"/>
      <c r="U62122" s="135"/>
    </row>
    <row r="62123" spans="20:21" ht="15" customHeight="1" x14ac:dyDescent="0.25">
      <c r="T62123" s="135"/>
      <c r="U62123" s="135"/>
    </row>
    <row r="62124" spans="20:21" ht="15" customHeight="1" x14ac:dyDescent="0.25">
      <c r="T62124" s="135"/>
      <c r="U62124" s="135"/>
    </row>
    <row r="62125" spans="20:21" ht="15" customHeight="1" x14ac:dyDescent="0.25">
      <c r="T62125" s="135"/>
      <c r="U62125" s="135"/>
    </row>
    <row r="62126" spans="20:21" ht="15" customHeight="1" x14ac:dyDescent="0.25">
      <c r="T62126" s="135"/>
      <c r="U62126" s="135"/>
    </row>
    <row r="62127" spans="20:21" ht="15" customHeight="1" x14ac:dyDescent="0.25">
      <c r="T62127" s="135"/>
      <c r="U62127" s="135"/>
    </row>
    <row r="62128" spans="20:21" ht="15" customHeight="1" x14ac:dyDescent="0.25">
      <c r="T62128" s="135"/>
      <c r="U62128" s="135"/>
    </row>
    <row r="62129" spans="20:21" ht="15" customHeight="1" x14ac:dyDescent="0.25">
      <c r="T62129" s="135"/>
      <c r="U62129" s="135"/>
    </row>
    <row r="62130" spans="20:21" ht="15" customHeight="1" x14ac:dyDescent="0.25">
      <c r="T62130" s="135"/>
      <c r="U62130" s="135"/>
    </row>
    <row r="62131" spans="20:21" ht="15" customHeight="1" x14ac:dyDescent="0.25">
      <c r="T62131" s="135"/>
      <c r="U62131" s="135"/>
    </row>
    <row r="62132" spans="20:21" ht="15" customHeight="1" x14ac:dyDescent="0.25">
      <c r="T62132" s="135"/>
      <c r="U62132" s="135"/>
    </row>
    <row r="62133" spans="20:21" ht="15" customHeight="1" x14ac:dyDescent="0.25">
      <c r="T62133" s="135"/>
      <c r="U62133" s="135"/>
    </row>
    <row r="62134" spans="20:21" ht="15" customHeight="1" x14ac:dyDescent="0.25">
      <c r="T62134" s="135"/>
      <c r="U62134" s="135"/>
    </row>
    <row r="62135" spans="20:21" ht="15" customHeight="1" x14ac:dyDescent="0.25">
      <c r="T62135" s="135"/>
      <c r="U62135" s="135"/>
    </row>
    <row r="62136" spans="20:21" ht="15" customHeight="1" x14ac:dyDescent="0.25">
      <c r="T62136" s="135"/>
      <c r="U62136" s="135"/>
    </row>
    <row r="62137" spans="20:21" ht="15" customHeight="1" x14ac:dyDescent="0.25">
      <c r="T62137" s="135"/>
      <c r="U62137" s="135"/>
    </row>
    <row r="62138" spans="20:21" ht="15" customHeight="1" x14ac:dyDescent="0.25">
      <c r="T62138" s="135"/>
      <c r="U62138" s="135"/>
    </row>
    <row r="62139" spans="20:21" ht="15" customHeight="1" x14ac:dyDescent="0.25">
      <c r="T62139" s="135"/>
      <c r="U62139" s="135"/>
    </row>
    <row r="62140" spans="20:21" ht="15" customHeight="1" x14ac:dyDescent="0.25">
      <c r="T62140" s="135"/>
      <c r="U62140" s="135"/>
    </row>
    <row r="62141" spans="20:21" ht="15" customHeight="1" x14ac:dyDescent="0.25">
      <c r="T62141" s="135"/>
      <c r="U62141" s="135"/>
    </row>
    <row r="62142" spans="20:21" ht="15" customHeight="1" x14ac:dyDescent="0.25">
      <c r="T62142" s="135"/>
      <c r="U62142" s="135"/>
    </row>
    <row r="62143" spans="20:21" ht="15" customHeight="1" x14ac:dyDescent="0.25">
      <c r="T62143" s="135"/>
      <c r="U62143" s="135"/>
    </row>
    <row r="62144" spans="20:21" ht="15" customHeight="1" x14ac:dyDescent="0.25">
      <c r="T62144" s="135"/>
      <c r="U62144" s="135"/>
    </row>
    <row r="62145" spans="20:21" ht="15" customHeight="1" x14ac:dyDescent="0.25">
      <c r="T62145" s="135"/>
      <c r="U62145" s="135"/>
    </row>
    <row r="62146" spans="20:21" ht="15" customHeight="1" x14ac:dyDescent="0.25">
      <c r="T62146" s="135"/>
      <c r="U62146" s="135"/>
    </row>
    <row r="62147" spans="20:21" ht="15" customHeight="1" x14ac:dyDescent="0.25">
      <c r="T62147" s="135"/>
      <c r="U62147" s="135"/>
    </row>
    <row r="62148" spans="20:21" ht="15" customHeight="1" x14ac:dyDescent="0.25">
      <c r="T62148" s="135"/>
      <c r="U62148" s="135"/>
    </row>
    <row r="62149" spans="20:21" ht="15" customHeight="1" x14ac:dyDescent="0.25">
      <c r="T62149" s="135"/>
      <c r="U62149" s="135"/>
    </row>
    <row r="62150" spans="20:21" ht="15" customHeight="1" x14ac:dyDescent="0.25">
      <c r="T62150" s="135"/>
      <c r="U62150" s="135"/>
    </row>
    <row r="62151" spans="20:21" ht="15" customHeight="1" x14ac:dyDescent="0.25">
      <c r="T62151" s="135"/>
      <c r="U62151" s="135"/>
    </row>
    <row r="62152" spans="20:21" ht="15" customHeight="1" x14ac:dyDescent="0.25">
      <c r="T62152" s="135"/>
      <c r="U62152" s="135"/>
    </row>
    <row r="62153" spans="20:21" ht="15" customHeight="1" x14ac:dyDescent="0.25">
      <c r="T62153" s="135"/>
      <c r="U62153" s="135"/>
    </row>
    <row r="62154" spans="20:21" ht="15" customHeight="1" x14ac:dyDescent="0.25">
      <c r="T62154" s="135"/>
      <c r="U62154" s="135"/>
    </row>
    <row r="62155" spans="20:21" ht="15" customHeight="1" x14ac:dyDescent="0.25">
      <c r="T62155" s="135"/>
      <c r="U62155" s="135"/>
    </row>
    <row r="62156" spans="20:21" ht="15" customHeight="1" x14ac:dyDescent="0.25">
      <c r="T62156" s="135"/>
      <c r="U62156" s="135"/>
    </row>
    <row r="62157" spans="20:21" ht="15" customHeight="1" x14ac:dyDescent="0.25">
      <c r="T62157" s="135"/>
      <c r="U62157" s="135"/>
    </row>
    <row r="62158" spans="20:21" ht="15" customHeight="1" x14ac:dyDescent="0.25">
      <c r="T62158" s="135"/>
      <c r="U62158" s="135"/>
    </row>
    <row r="62159" spans="20:21" ht="15" customHeight="1" x14ac:dyDescent="0.25">
      <c r="T62159" s="135"/>
      <c r="U62159" s="135"/>
    </row>
    <row r="62160" spans="20:21" ht="15" customHeight="1" x14ac:dyDescent="0.25">
      <c r="T62160" s="135"/>
      <c r="U62160" s="135"/>
    </row>
    <row r="62161" spans="20:21" ht="15" customHeight="1" x14ac:dyDescent="0.25">
      <c r="T62161" s="135"/>
      <c r="U62161" s="135"/>
    </row>
    <row r="62162" spans="20:21" ht="15" customHeight="1" x14ac:dyDescent="0.25">
      <c r="T62162" s="135"/>
      <c r="U62162" s="135"/>
    </row>
    <row r="62163" spans="20:21" ht="15" customHeight="1" x14ac:dyDescent="0.25">
      <c r="T62163" s="135"/>
      <c r="U62163" s="135"/>
    </row>
    <row r="62164" spans="20:21" ht="15" customHeight="1" x14ac:dyDescent="0.25">
      <c r="T62164" s="135"/>
      <c r="U62164" s="135"/>
    </row>
    <row r="62165" spans="20:21" ht="15" customHeight="1" x14ac:dyDescent="0.25">
      <c r="T62165" s="135"/>
      <c r="U62165" s="135"/>
    </row>
    <row r="62166" spans="20:21" ht="15" customHeight="1" x14ac:dyDescent="0.25">
      <c r="T62166" s="135"/>
      <c r="U62166" s="135"/>
    </row>
    <row r="62167" spans="20:21" ht="15" customHeight="1" x14ac:dyDescent="0.25">
      <c r="T62167" s="135"/>
      <c r="U62167" s="135"/>
    </row>
    <row r="62168" spans="20:21" ht="15" customHeight="1" x14ac:dyDescent="0.25">
      <c r="T62168" s="135"/>
      <c r="U62168" s="135"/>
    </row>
    <row r="62169" spans="20:21" ht="15" customHeight="1" x14ac:dyDescent="0.25">
      <c r="T62169" s="135"/>
      <c r="U62169" s="135"/>
    </row>
    <row r="62170" spans="20:21" ht="15" customHeight="1" x14ac:dyDescent="0.25">
      <c r="T62170" s="135"/>
      <c r="U62170" s="135"/>
    </row>
    <row r="62171" spans="20:21" ht="15" customHeight="1" x14ac:dyDescent="0.25">
      <c r="T62171" s="135"/>
      <c r="U62171" s="135"/>
    </row>
    <row r="62172" spans="20:21" ht="15" customHeight="1" x14ac:dyDescent="0.25">
      <c r="T62172" s="135"/>
      <c r="U62172" s="135"/>
    </row>
    <row r="62173" spans="20:21" ht="15" customHeight="1" x14ac:dyDescent="0.25">
      <c r="T62173" s="135"/>
      <c r="U62173" s="135"/>
    </row>
    <row r="62174" spans="20:21" ht="15" customHeight="1" x14ac:dyDescent="0.25">
      <c r="T62174" s="135"/>
      <c r="U62174" s="135"/>
    </row>
    <row r="62175" spans="20:21" ht="15" customHeight="1" x14ac:dyDescent="0.25">
      <c r="T62175" s="135"/>
      <c r="U62175" s="135"/>
    </row>
    <row r="62176" spans="20:21" ht="15" customHeight="1" x14ac:dyDescent="0.25">
      <c r="T62176" s="135"/>
      <c r="U62176" s="135"/>
    </row>
    <row r="62177" spans="20:21" ht="15" customHeight="1" x14ac:dyDescent="0.25">
      <c r="T62177" s="135"/>
      <c r="U62177" s="135"/>
    </row>
    <row r="62178" spans="20:21" ht="15" customHeight="1" x14ac:dyDescent="0.25">
      <c r="T62178" s="135"/>
      <c r="U62178" s="135"/>
    </row>
    <row r="62179" spans="20:21" ht="15" customHeight="1" x14ac:dyDescent="0.25">
      <c r="T62179" s="135"/>
      <c r="U62179" s="135"/>
    </row>
    <row r="62180" spans="20:21" ht="15" customHeight="1" x14ac:dyDescent="0.25">
      <c r="T62180" s="135"/>
      <c r="U62180" s="135"/>
    </row>
    <row r="62181" spans="20:21" ht="15" customHeight="1" x14ac:dyDescent="0.25">
      <c r="T62181" s="135"/>
      <c r="U62181" s="135"/>
    </row>
    <row r="62182" spans="20:21" ht="15" customHeight="1" x14ac:dyDescent="0.25">
      <c r="T62182" s="135"/>
      <c r="U62182" s="135"/>
    </row>
    <row r="62183" spans="20:21" ht="15" customHeight="1" x14ac:dyDescent="0.25">
      <c r="T62183" s="135"/>
      <c r="U62183" s="135"/>
    </row>
    <row r="62184" spans="20:21" ht="15" customHeight="1" x14ac:dyDescent="0.25">
      <c r="T62184" s="135"/>
      <c r="U62184" s="135"/>
    </row>
    <row r="62185" spans="20:21" ht="15" customHeight="1" x14ac:dyDescent="0.25">
      <c r="T62185" s="135"/>
      <c r="U62185" s="135"/>
    </row>
    <row r="62186" spans="20:21" ht="15" customHeight="1" x14ac:dyDescent="0.25">
      <c r="T62186" s="135"/>
      <c r="U62186" s="135"/>
    </row>
    <row r="62187" spans="20:21" ht="15" customHeight="1" x14ac:dyDescent="0.25">
      <c r="T62187" s="135"/>
      <c r="U62187" s="135"/>
    </row>
    <row r="62188" spans="20:21" ht="15" customHeight="1" x14ac:dyDescent="0.25">
      <c r="T62188" s="135"/>
      <c r="U62188" s="135"/>
    </row>
    <row r="62189" spans="20:21" ht="15" customHeight="1" x14ac:dyDescent="0.25">
      <c r="T62189" s="135"/>
      <c r="U62189" s="135"/>
    </row>
    <row r="62190" spans="20:21" ht="15" customHeight="1" x14ac:dyDescent="0.25">
      <c r="T62190" s="135"/>
      <c r="U62190" s="135"/>
    </row>
    <row r="62191" spans="20:21" ht="15" customHeight="1" x14ac:dyDescent="0.25">
      <c r="T62191" s="135"/>
      <c r="U62191" s="135"/>
    </row>
    <row r="62192" spans="20:21" ht="15" customHeight="1" x14ac:dyDescent="0.25">
      <c r="T62192" s="135"/>
      <c r="U62192" s="135"/>
    </row>
    <row r="62193" spans="20:21" ht="15" customHeight="1" x14ac:dyDescent="0.25">
      <c r="T62193" s="135"/>
      <c r="U62193" s="135"/>
    </row>
    <row r="62194" spans="20:21" ht="15" customHeight="1" x14ac:dyDescent="0.25">
      <c r="T62194" s="135"/>
      <c r="U62194" s="135"/>
    </row>
    <row r="62195" spans="20:21" ht="15" customHeight="1" x14ac:dyDescent="0.25">
      <c r="T62195" s="135"/>
      <c r="U62195" s="135"/>
    </row>
    <row r="62196" spans="20:21" ht="15" customHeight="1" x14ac:dyDescent="0.25">
      <c r="T62196" s="135"/>
      <c r="U62196" s="135"/>
    </row>
    <row r="62197" spans="20:21" ht="15" customHeight="1" x14ac:dyDescent="0.25">
      <c r="T62197" s="135"/>
      <c r="U62197" s="135"/>
    </row>
    <row r="62198" spans="20:21" ht="15" customHeight="1" x14ac:dyDescent="0.25">
      <c r="T62198" s="135"/>
      <c r="U62198" s="135"/>
    </row>
    <row r="62199" spans="20:21" ht="15" customHeight="1" x14ac:dyDescent="0.25">
      <c r="T62199" s="135"/>
      <c r="U62199" s="135"/>
    </row>
    <row r="62200" spans="20:21" ht="15" customHeight="1" x14ac:dyDescent="0.25">
      <c r="T62200" s="135"/>
      <c r="U62200" s="135"/>
    </row>
    <row r="62201" spans="20:21" ht="15" customHeight="1" x14ac:dyDescent="0.25">
      <c r="T62201" s="135"/>
      <c r="U62201" s="135"/>
    </row>
    <row r="62202" spans="20:21" ht="15" customHeight="1" x14ac:dyDescent="0.25">
      <c r="T62202" s="135"/>
      <c r="U62202" s="135"/>
    </row>
    <row r="62203" spans="20:21" ht="15" customHeight="1" x14ac:dyDescent="0.25">
      <c r="T62203" s="135"/>
      <c r="U62203" s="135"/>
    </row>
    <row r="62204" spans="20:21" ht="15" customHeight="1" x14ac:dyDescent="0.25">
      <c r="T62204" s="135"/>
      <c r="U62204" s="135"/>
    </row>
    <row r="62205" spans="20:21" ht="15" customHeight="1" x14ac:dyDescent="0.25">
      <c r="T62205" s="135"/>
      <c r="U62205" s="135"/>
    </row>
    <row r="62206" spans="20:21" ht="15" customHeight="1" x14ac:dyDescent="0.25">
      <c r="T62206" s="135"/>
      <c r="U62206" s="135"/>
    </row>
    <row r="62207" spans="20:21" ht="15" customHeight="1" x14ac:dyDescent="0.25">
      <c r="T62207" s="135"/>
      <c r="U62207" s="135"/>
    </row>
    <row r="62208" spans="20:21" ht="15" customHeight="1" x14ac:dyDescent="0.25">
      <c r="T62208" s="135"/>
      <c r="U62208" s="135"/>
    </row>
    <row r="62209" spans="20:21" ht="15" customHeight="1" x14ac:dyDescent="0.25">
      <c r="T62209" s="135"/>
      <c r="U62209" s="135"/>
    </row>
    <row r="62210" spans="20:21" ht="15" customHeight="1" x14ac:dyDescent="0.25">
      <c r="T62210" s="135"/>
      <c r="U62210" s="135"/>
    </row>
    <row r="62211" spans="20:21" ht="15" customHeight="1" x14ac:dyDescent="0.25">
      <c r="T62211" s="135"/>
      <c r="U62211" s="135"/>
    </row>
    <row r="62212" spans="20:21" ht="15" customHeight="1" x14ac:dyDescent="0.25">
      <c r="T62212" s="135"/>
      <c r="U62212" s="135"/>
    </row>
    <row r="62213" spans="20:21" ht="15" customHeight="1" x14ac:dyDescent="0.25">
      <c r="T62213" s="135"/>
      <c r="U62213" s="135"/>
    </row>
    <row r="62214" spans="20:21" ht="15" customHeight="1" x14ac:dyDescent="0.25">
      <c r="T62214" s="135"/>
      <c r="U62214" s="135"/>
    </row>
    <row r="62215" spans="20:21" ht="15" customHeight="1" x14ac:dyDescent="0.25">
      <c r="T62215" s="135"/>
      <c r="U62215" s="135"/>
    </row>
    <row r="62216" spans="20:21" ht="15" customHeight="1" x14ac:dyDescent="0.25">
      <c r="T62216" s="135"/>
      <c r="U62216" s="135"/>
    </row>
    <row r="62217" spans="20:21" ht="15" customHeight="1" x14ac:dyDescent="0.25">
      <c r="T62217" s="135"/>
      <c r="U62217" s="135"/>
    </row>
    <row r="62218" spans="20:21" ht="15" customHeight="1" x14ac:dyDescent="0.25">
      <c r="T62218" s="135"/>
      <c r="U62218" s="135"/>
    </row>
    <row r="62219" spans="20:21" ht="15" customHeight="1" x14ac:dyDescent="0.25">
      <c r="T62219" s="135"/>
      <c r="U62219" s="135"/>
    </row>
    <row r="62220" spans="20:21" ht="15" customHeight="1" x14ac:dyDescent="0.25">
      <c r="T62220" s="135"/>
      <c r="U62220" s="135"/>
    </row>
    <row r="62221" spans="20:21" ht="15" customHeight="1" x14ac:dyDescent="0.25">
      <c r="T62221" s="135"/>
      <c r="U62221" s="135"/>
    </row>
    <row r="62222" spans="20:21" ht="15" customHeight="1" x14ac:dyDescent="0.25">
      <c r="T62222" s="135"/>
      <c r="U62222" s="135"/>
    </row>
    <row r="62223" spans="20:21" ht="15" customHeight="1" x14ac:dyDescent="0.25">
      <c r="T62223" s="135"/>
      <c r="U62223" s="135"/>
    </row>
    <row r="62224" spans="20:21" ht="15" customHeight="1" x14ac:dyDescent="0.25">
      <c r="T62224" s="135"/>
      <c r="U62224" s="135"/>
    </row>
    <row r="62225" spans="20:21" ht="15" customHeight="1" x14ac:dyDescent="0.25">
      <c r="T62225" s="135"/>
      <c r="U62225" s="135"/>
    </row>
    <row r="62226" spans="20:21" ht="15" customHeight="1" x14ac:dyDescent="0.25">
      <c r="T62226" s="135"/>
      <c r="U62226" s="135"/>
    </row>
    <row r="62227" spans="20:21" ht="15" customHeight="1" x14ac:dyDescent="0.25">
      <c r="T62227" s="135"/>
      <c r="U62227" s="135"/>
    </row>
    <row r="62228" spans="20:21" ht="15" customHeight="1" x14ac:dyDescent="0.25">
      <c r="T62228" s="135"/>
      <c r="U62228" s="135"/>
    </row>
    <row r="62229" spans="20:21" ht="15" customHeight="1" x14ac:dyDescent="0.25">
      <c r="T62229" s="135"/>
      <c r="U62229" s="135"/>
    </row>
    <row r="62230" spans="20:21" ht="15" customHeight="1" x14ac:dyDescent="0.25">
      <c r="T62230" s="135"/>
      <c r="U62230" s="135"/>
    </row>
    <row r="62231" spans="20:21" ht="15" customHeight="1" x14ac:dyDescent="0.25">
      <c r="T62231" s="135"/>
      <c r="U62231" s="135"/>
    </row>
    <row r="62232" spans="20:21" ht="15" customHeight="1" x14ac:dyDescent="0.25">
      <c r="T62232" s="135"/>
      <c r="U62232" s="135"/>
    </row>
    <row r="62233" spans="20:21" ht="15" customHeight="1" x14ac:dyDescent="0.25">
      <c r="T62233" s="135"/>
      <c r="U62233" s="135"/>
    </row>
    <row r="62234" spans="20:21" ht="15" customHeight="1" x14ac:dyDescent="0.25">
      <c r="T62234" s="135"/>
      <c r="U62234" s="135"/>
    </row>
    <row r="62235" spans="20:21" ht="15" customHeight="1" x14ac:dyDescent="0.25">
      <c r="T62235" s="135"/>
      <c r="U62235" s="135"/>
    </row>
    <row r="62236" spans="20:21" ht="15" customHeight="1" x14ac:dyDescent="0.25">
      <c r="T62236" s="135"/>
      <c r="U62236" s="135"/>
    </row>
    <row r="62237" spans="20:21" ht="15" customHeight="1" x14ac:dyDescent="0.25">
      <c r="T62237" s="135"/>
      <c r="U62237" s="135"/>
    </row>
    <row r="62238" spans="20:21" ht="15" customHeight="1" x14ac:dyDescent="0.25">
      <c r="T62238" s="135"/>
      <c r="U62238" s="135"/>
    </row>
    <row r="62239" spans="20:21" ht="15" customHeight="1" x14ac:dyDescent="0.25">
      <c r="T62239" s="135"/>
      <c r="U62239" s="135"/>
    </row>
    <row r="62240" spans="20:21" ht="15" customHeight="1" x14ac:dyDescent="0.25">
      <c r="T62240" s="135"/>
      <c r="U62240" s="135"/>
    </row>
    <row r="62241" spans="20:21" ht="15" customHeight="1" x14ac:dyDescent="0.25">
      <c r="T62241" s="135"/>
      <c r="U62241" s="135"/>
    </row>
    <row r="62242" spans="20:21" ht="15" customHeight="1" x14ac:dyDescent="0.25">
      <c r="T62242" s="135"/>
      <c r="U62242" s="135"/>
    </row>
    <row r="62243" spans="20:21" ht="15" customHeight="1" x14ac:dyDescent="0.25">
      <c r="T62243" s="135"/>
      <c r="U62243" s="135"/>
    </row>
    <row r="62244" spans="20:21" ht="15" customHeight="1" x14ac:dyDescent="0.25">
      <c r="T62244" s="135"/>
      <c r="U62244" s="135"/>
    </row>
    <row r="62245" spans="20:21" ht="15" customHeight="1" x14ac:dyDescent="0.25">
      <c r="T62245" s="135"/>
      <c r="U62245" s="135"/>
    </row>
    <row r="62246" spans="20:21" ht="15" customHeight="1" x14ac:dyDescent="0.25">
      <c r="T62246" s="135"/>
      <c r="U62246" s="135"/>
    </row>
    <row r="62247" spans="20:21" ht="15" customHeight="1" x14ac:dyDescent="0.25">
      <c r="T62247" s="135"/>
      <c r="U62247" s="135"/>
    </row>
    <row r="62248" spans="20:21" ht="15" customHeight="1" x14ac:dyDescent="0.25">
      <c r="T62248" s="135"/>
      <c r="U62248" s="135"/>
    </row>
    <row r="62249" spans="20:21" ht="15" customHeight="1" x14ac:dyDescent="0.25">
      <c r="T62249" s="135"/>
      <c r="U62249" s="135"/>
    </row>
    <row r="62250" spans="20:21" ht="15" customHeight="1" x14ac:dyDescent="0.25">
      <c r="T62250" s="135"/>
      <c r="U62250" s="135"/>
    </row>
    <row r="62251" spans="20:21" ht="15" customHeight="1" x14ac:dyDescent="0.25">
      <c r="T62251" s="135"/>
      <c r="U62251" s="135"/>
    </row>
    <row r="62252" spans="20:21" ht="15" customHeight="1" x14ac:dyDescent="0.25">
      <c r="T62252" s="135"/>
      <c r="U62252" s="135"/>
    </row>
    <row r="62253" spans="20:21" ht="15" customHeight="1" x14ac:dyDescent="0.25">
      <c r="T62253" s="135"/>
      <c r="U62253" s="135"/>
    </row>
    <row r="62254" spans="20:21" ht="15" customHeight="1" x14ac:dyDescent="0.25">
      <c r="T62254" s="135"/>
      <c r="U62254" s="135"/>
    </row>
    <row r="62255" spans="20:21" ht="15" customHeight="1" x14ac:dyDescent="0.25">
      <c r="T62255" s="135"/>
      <c r="U62255" s="135"/>
    </row>
    <row r="62256" spans="20:21" ht="15" customHeight="1" x14ac:dyDescent="0.25">
      <c r="T62256" s="135"/>
      <c r="U62256" s="135"/>
    </row>
    <row r="62257" spans="20:21" ht="15" customHeight="1" x14ac:dyDescent="0.25">
      <c r="T62257" s="135"/>
      <c r="U62257" s="135"/>
    </row>
    <row r="62258" spans="20:21" ht="15" customHeight="1" x14ac:dyDescent="0.25">
      <c r="T62258" s="135"/>
      <c r="U62258" s="135"/>
    </row>
    <row r="62259" spans="20:21" ht="15" customHeight="1" x14ac:dyDescent="0.25">
      <c r="T62259" s="135"/>
      <c r="U62259" s="135"/>
    </row>
    <row r="62260" spans="20:21" ht="15" customHeight="1" x14ac:dyDescent="0.25">
      <c r="T62260" s="135"/>
      <c r="U62260" s="135"/>
    </row>
    <row r="62261" spans="20:21" ht="15" customHeight="1" x14ac:dyDescent="0.25">
      <c r="T62261" s="135"/>
      <c r="U62261" s="135"/>
    </row>
    <row r="62262" spans="20:21" ht="15" customHeight="1" x14ac:dyDescent="0.25">
      <c r="T62262" s="135"/>
      <c r="U62262" s="135"/>
    </row>
    <row r="62263" spans="20:21" ht="15" customHeight="1" x14ac:dyDescent="0.25">
      <c r="T62263" s="135"/>
      <c r="U62263" s="135"/>
    </row>
    <row r="62264" spans="20:21" ht="15" customHeight="1" x14ac:dyDescent="0.25">
      <c r="T62264" s="135"/>
      <c r="U62264" s="135"/>
    </row>
    <row r="62265" spans="20:21" ht="15" customHeight="1" x14ac:dyDescent="0.25">
      <c r="T62265" s="135"/>
      <c r="U62265" s="135"/>
    </row>
    <row r="62266" spans="20:21" ht="15" customHeight="1" x14ac:dyDescent="0.25">
      <c r="T62266" s="135"/>
      <c r="U62266" s="135"/>
    </row>
    <row r="62267" spans="20:21" ht="15" customHeight="1" x14ac:dyDescent="0.25">
      <c r="T62267" s="135"/>
      <c r="U62267" s="135"/>
    </row>
    <row r="62268" spans="20:21" ht="15" customHeight="1" x14ac:dyDescent="0.25">
      <c r="T62268" s="135"/>
      <c r="U62268" s="135"/>
    </row>
    <row r="62269" spans="20:21" ht="15" customHeight="1" x14ac:dyDescent="0.25">
      <c r="T62269" s="135"/>
      <c r="U62269" s="135"/>
    </row>
    <row r="62270" spans="20:21" ht="15" customHeight="1" x14ac:dyDescent="0.25">
      <c r="T62270" s="135"/>
      <c r="U62270" s="135"/>
    </row>
    <row r="62271" spans="20:21" ht="15" customHeight="1" x14ac:dyDescent="0.25">
      <c r="T62271" s="135"/>
      <c r="U62271" s="135"/>
    </row>
    <row r="62272" spans="20:21" ht="15" customHeight="1" x14ac:dyDescent="0.25">
      <c r="T62272" s="135"/>
      <c r="U62272" s="135"/>
    </row>
    <row r="62273" spans="20:21" ht="15" customHeight="1" x14ac:dyDescent="0.25">
      <c r="T62273" s="135"/>
      <c r="U62273" s="135"/>
    </row>
    <row r="62274" spans="20:21" ht="15" customHeight="1" x14ac:dyDescent="0.25">
      <c r="T62274" s="135"/>
      <c r="U62274" s="135"/>
    </row>
    <row r="62275" spans="20:21" ht="15" customHeight="1" x14ac:dyDescent="0.25">
      <c r="T62275" s="135"/>
      <c r="U62275" s="135"/>
    </row>
    <row r="62276" spans="20:21" ht="15" customHeight="1" x14ac:dyDescent="0.25">
      <c r="T62276" s="135"/>
      <c r="U62276" s="135"/>
    </row>
    <row r="62277" spans="20:21" ht="15" customHeight="1" x14ac:dyDescent="0.25">
      <c r="T62277" s="135"/>
      <c r="U62277" s="135"/>
    </row>
    <row r="62278" spans="20:21" ht="15" customHeight="1" x14ac:dyDescent="0.25">
      <c r="T62278" s="135"/>
      <c r="U62278" s="135"/>
    </row>
    <row r="62279" spans="20:21" ht="15" customHeight="1" x14ac:dyDescent="0.25">
      <c r="T62279" s="135"/>
      <c r="U62279" s="135"/>
    </row>
    <row r="62280" spans="20:21" ht="15" customHeight="1" x14ac:dyDescent="0.25">
      <c r="T62280" s="135"/>
      <c r="U62280" s="135"/>
    </row>
    <row r="62281" spans="20:21" ht="15" customHeight="1" x14ac:dyDescent="0.25">
      <c r="T62281" s="135"/>
      <c r="U62281" s="135"/>
    </row>
    <row r="62282" spans="20:21" ht="15" customHeight="1" x14ac:dyDescent="0.25">
      <c r="T62282" s="135"/>
      <c r="U62282" s="135"/>
    </row>
    <row r="62283" spans="20:21" ht="15" customHeight="1" x14ac:dyDescent="0.25">
      <c r="T62283" s="135"/>
      <c r="U62283" s="135"/>
    </row>
    <row r="62284" spans="20:21" ht="15" customHeight="1" x14ac:dyDescent="0.25">
      <c r="T62284" s="135"/>
      <c r="U62284" s="135"/>
    </row>
    <row r="62285" spans="20:21" ht="15" customHeight="1" x14ac:dyDescent="0.25">
      <c r="T62285" s="135"/>
      <c r="U62285" s="135"/>
    </row>
    <row r="62286" spans="20:21" ht="15" customHeight="1" x14ac:dyDescent="0.25">
      <c r="T62286" s="135"/>
      <c r="U62286" s="135"/>
    </row>
    <row r="62287" spans="20:21" ht="15" customHeight="1" x14ac:dyDescent="0.25">
      <c r="T62287" s="135"/>
      <c r="U62287" s="135"/>
    </row>
    <row r="62288" spans="20:21" ht="15" customHeight="1" x14ac:dyDescent="0.25">
      <c r="T62288" s="135"/>
      <c r="U62288" s="135"/>
    </row>
    <row r="62289" spans="20:21" ht="15" customHeight="1" x14ac:dyDescent="0.25">
      <c r="T62289" s="135"/>
      <c r="U62289" s="135"/>
    </row>
    <row r="62290" spans="20:21" ht="15" customHeight="1" x14ac:dyDescent="0.25">
      <c r="T62290" s="135"/>
      <c r="U62290" s="135"/>
    </row>
    <row r="62291" spans="20:21" ht="15" customHeight="1" x14ac:dyDescent="0.25">
      <c r="T62291" s="135"/>
      <c r="U62291" s="135"/>
    </row>
    <row r="62292" spans="20:21" ht="15" customHeight="1" x14ac:dyDescent="0.25">
      <c r="T62292" s="135"/>
      <c r="U62292" s="135"/>
    </row>
    <row r="62293" spans="20:21" ht="15" customHeight="1" x14ac:dyDescent="0.25">
      <c r="T62293" s="135"/>
      <c r="U62293" s="135"/>
    </row>
    <row r="62294" spans="20:21" ht="15" customHeight="1" x14ac:dyDescent="0.25">
      <c r="T62294" s="135"/>
      <c r="U62294" s="135"/>
    </row>
    <row r="62295" spans="20:21" ht="15" customHeight="1" x14ac:dyDescent="0.25">
      <c r="T62295" s="135"/>
      <c r="U62295" s="135"/>
    </row>
    <row r="62296" spans="20:21" ht="15" customHeight="1" x14ac:dyDescent="0.25">
      <c r="T62296" s="135"/>
      <c r="U62296" s="135"/>
    </row>
    <row r="62297" spans="20:21" ht="15" customHeight="1" x14ac:dyDescent="0.25">
      <c r="T62297" s="135"/>
      <c r="U62297" s="135"/>
    </row>
    <row r="62298" spans="20:21" ht="15" customHeight="1" x14ac:dyDescent="0.25">
      <c r="T62298" s="135"/>
      <c r="U62298" s="135"/>
    </row>
    <row r="62299" spans="20:21" ht="15" customHeight="1" x14ac:dyDescent="0.25">
      <c r="T62299" s="135"/>
      <c r="U62299" s="135"/>
    </row>
    <row r="62300" spans="20:21" ht="15" customHeight="1" x14ac:dyDescent="0.25">
      <c r="T62300" s="135"/>
      <c r="U62300" s="135"/>
    </row>
    <row r="62301" spans="20:21" ht="15" customHeight="1" x14ac:dyDescent="0.25">
      <c r="T62301" s="135"/>
      <c r="U62301" s="135"/>
    </row>
    <row r="62302" spans="20:21" ht="15" customHeight="1" x14ac:dyDescent="0.25">
      <c r="T62302" s="135"/>
      <c r="U62302" s="135"/>
    </row>
    <row r="62303" spans="20:21" ht="15" customHeight="1" x14ac:dyDescent="0.25">
      <c r="T62303" s="135"/>
      <c r="U62303" s="135"/>
    </row>
    <row r="62304" spans="20:21" ht="15" customHeight="1" x14ac:dyDescent="0.25">
      <c r="T62304" s="135"/>
      <c r="U62304" s="135"/>
    </row>
    <row r="62305" spans="20:21" ht="15" customHeight="1" x14ac:dyDescent="0.25">
      <c r="T62305" s="135"/>
      <c r="U62305" s="135"/>
    </row>
    <row r="62306" spans="20:21" ht="15" customHeight="1" x14ac:dyDescent="0.25">
      <c r="T62306" s="135"/>
      <c r="U62306" s="135"/>
    </row>
    <row r="62307" spans="20:21" ht="15" customHeight="1" x14ac:dyDescent="0.25">
      <c r="T62307" s="135"/>
      <c r="U62307" s="135"/>
    </row>
    <row r="62308" spans="20:21" ht="15" customHeight="1" x14ac:dyDescent="0.25">
      <c r="T62308" s="135"/>
      <c r="U62308" s="135"/>
    </row>
    <row r="62309" spans="20:21" ht="15" customHeight="1" x14ac:dyDescent="0.25">
      <c r="T62309" s="135"/>
      <c r="U62309" s="135"/>
    </row>
    <row r="62310" spans="20:21" ht="15" customHeight="1" x14ac:dyDescent="0.25">
      <c r="T62310" s="135"/>
      <c r="U62310" s="135"/>
    </row>
    <row r="62311" spans="20:21" ht="15" customHeight="1" x14ac:dyDescent="0.25">
      <c r="T62311" s="135"/>
      <c r="U62311" s="135"/>
    </row>
    <row r="62312" spans="20:21" ht="15" customHeight="1" x14ac:dyDescent="0.25">
      <c r="T62312" s="135"/>
      <c r="U62312" s="135"/>
    </row>
    <row r="62313" spans="20:21" ht="15" customHeight="1" x14ac:dyDescent="0.25">
      <c r="T62313" s="135"/>
      <c r="U62313" s="135"/>
    </row>
    <row r="62314" spans="20:21" ht="15" customHeight="1" x14ac:dyDescent="0.25">
      <c r="T62314" s="135"/>
      <c r="U62314" s="135"/>
    </row>
    <row r="62315" spans="20:21" ht="15" customHeight="1" x14ac:dyDescent="0.25">
      <c r="T62315" s="135"/>
      <c r="U62315" s="135"/>
    </row>
    <row r="62316" spans="20:21" ht="15" customHeight="1" x14ac:dyDescent="0.25">
      <c r="T62316" s="135"/>
      <c r="U62316" s="135"/>
    </row>
    <row r="62317" spans="20:21" ht="15" customHeight="1" x14ac:dyDescent="0.25">
      <c r="T62317" s="135"/>
      <c r="U62317" s="135"/>
    </row>
    <row r="62318" spans="20:21" ht="15" customHeight="1" x14ac:dyDescent="0.25">
      <c r="T62318" s="135"/>
      <c r="U62318" s="135"/>
    </row>
    <row r="62319" spans="20:21" ht="15" customHeight="1" x14ac:dyDescent="0.25">
      <c r="T62319" s="135"/>
      <c r="U62319" s="135"/>
    </row>
    <row r="62320" spans="20:21" ht="15" customHeight="1" x14ac:dyDescent="0.25">
      <c r="T62320" s="135"/>
      <c r="U62320" s="135"/>
    </row>
    <row r="62321" spans="20:21" ht="15" customHeight="1" x14ac:dyDescent="0.25">
      <c r="T62321" s="135"/>
      <c r="U62321" s="135"/>
    </row>
    <row r="62322" spans="20:21" ht="15" customHeight="1" x14ac:dyDescent="0.25">
      <c r="T62322" s="135"/>
      <c r="U62322" s="135"/>
    </row>
    <row r="62323" spans="20:21" ht="15" customHeight="1" x14ac:dyDescent="0.25">
      <c r="T62323" s="135"/>
      <c r="U62323" s="135"/>
    </row>
    <row r="62324" spans="20:21" ht="15" customHeight="1" x14ac:dyDescent="0.25">
      <c r="T62324" s="135"/>
      <c r="U62324" s="135"/>
    </row>
    <row r="62325" spans="20:21" ht="15" customHeight="1" x14ac:dyDescent="0.25">
      <c r="T62325" s="135"/>
      <c r="U62325" s="135"/>
    </row>
    <row r="62326" spans="20:21" ht="15" customHeight="1" x14ac:dyDescent="0.25">
      <c r="T62326" s="135"/>
      <c r="U62326" s="135"/>
    </row>
    <row r="62327" spans="20:21" ht="15" customHeight="1" x14ac:dyDescent="0.25">
      <c r="T62327" s="135"/>
      <c r="U62327" s="135"/>
    </row>
    <row r="62328" spans="20:21" ht="15" customHeight="1" x14ac:dyDescent="0.25">
      <c r="T62328" s="135"/>
      <c r="U62328" s="135"/>
    </row>
    <row r="62329" spans="20:21" ht="15" customHeight="1" x14ac:dyDescent="0.25">
      <c r="T62329" s="135"/>
      <c r="U62329" s="135"/>
    </row>
    <row r="62330" spans="20:21" ht="15" customHeight="1" x14ac:dyDescent="0.25">
      <c r="T62330" s="135"/>
      <c r="U62330" s="135"/>
    </row>
    <row r="62331" spans="20:21" ht="15" customHeight="1" x14ac:dyDescent="0.25">
      <c r="T62331" s="135"/>
      <c r="U62331" s="135"/>
    </row>
    <row r="62332" spans="20:21" ht="15" customHeight="1" x14ac:dyDescent="0.25">
      <c r="T62332" s="135"/>
      <c r="U62332" s="135"/>
    </row>
    <row r="62333" spans="20:21" ht="15" customHeight="1" x14ac:dyDescent="0.25">
      <c r="T62333" s="135"/>
      <c r="U62333" s="135"/>
    </row>
    <row r="62334" spans="20:21" ht="15" customHeight="1" x14ac:dyDescent="0.25">
      <c r="T62334" s="135"/>
      <c r="U62334" s="135"/>
    </row>
    <row r="62335" spans="20:21" ht="15" customHeight="1" x14ac:dyDescent="0.25">
      <c r="T62335" s="135"/>
      <c r="U62335" s="135"/>
    </row>
    <row r="62336" spans="20:21" ht="15" customHeight="1" x14ac:dyDescent="0.25">
      <c r="T62336" s="135"/>
      <c r="U62336" s="135"/>
    </row>
    <row r="62337" spans="20:21" ht="15" customHeight="1" x14ac:dyDescent="0.25">
      <c r="T62337" s="135"/>
      <c r="U62337" s="135"/>
    </row>
    <row r="62338" spans="20:21" ht="15" customHeight="1" x14ac:dyDescent="0.25">
      <c r="T62338" s="135"/>
      <c r="U62338" s="135"/>
    </row>
    <row r="62339" spans="20:21" ht="15" customHeight="1" x14ac:dyDescent="0.25">
      <c r="T62339" s="135"/>
      <c r="U62339" s="135"/>
    </row>
    <row r="62340" spans="20:21" ht="15" customHeight="1" x14ac:dyDescent="0.25">
      <c r="T62340" s="135"/>
      <c r="U62340" s="135"/>
    </row>
    <row r="62341" spans="20:21" ht="15" customHeight="1" x14ac:dyDescent="0.25">
      <c r="T62341" s="135"/>
      <c r="U62341" s="135"/>
    </row>
    <row r="62342" spans="20:21" ht="15" customHeight="1" x14ac:dyDescent="0.25">
      <c r="T62342" s="135"/>
      <c r="U62342" s="135"/>
    </row>
    <row r="62343" spans="20:21" ht="15" customHeight="1" x14ac:dyDescent="0.25">
      <c r="T62343" s="135"/>
      <c r="U62343" s="135"/>
    </row>
    <row r="62344" spans="20:21" ht="15" customHeight="1" x14ac:dyDescent="0.25">
      <c r="T62344" s="135"/>
      <c r="U62344" s="135"/>
    </row>
    <row r="62345" spans="20:21" ht="15" customHeight="1" x14ac:dyDescent="0.25">
      <c r="T62345" s="135"/>
      <c r="U62345" s="135"/>
    </row>
    <row r="62346" spans="20:21" ht="15" customHeight="1" x14ac:dyDescent="0.25">
      <c r="T62346" s="135"/>
      <c r="U62346" s="135"/>
    </row>
    <row r="62347" spans="20:21" ht="15" customHeight="1" x14ac:dyDescent="0.25">
      <c r="T62347" s="135"/>
      <c r="U62347" s="135"/>
    </row>
    <row r="62348" spans="20:21" ht="15" customHeight="1" x14ac:dyDescent="0.25">
      <c r="T62348" s="135"/>
      <c r="U62348" s="135"/>
    </row>
    <row r="62349" spans="20:21" ht="15" customHeight="1" x14ac:dyDescent="0.25">
      <c r="T62349" s="135"/>
      <c r="U62349" s="135"/>
    </row>
    <row r="62350" spans="20:21" ht="15" customHeight="1" x14ac:dyDescent="0.25">
      <c r="T62350" s="135"/>
      <c r="U62350" s="135"/>
    </row>
    <row r="62351" spans="20:21" ht="15" customHeight="1" x14ac:dyDescent="0.25">
      <c r="T62351" s="135"/>
      <c r="U62351" s="135"/>
    </row>
    <row r="62352" spans="20:21" ht="15" customHeight="1" x14ac:dyDescent="0.25">
      <c r="T62352" s="135"/>
      <c r="U62352" s="135"/>
    </row>
    <row r="62353" spans="20:21" ht="15" customHeight="1" x14ac:dyDescent="0.25">
      <c r="T62353" s="135"/>
      <c r="U62353" s="135"/>
    </row>
    <row r="62354" spans="20:21" ht="15" customHeight="1" x14ac:dyDescent="0.25">
      <c r="T62354" s="135"/>
      <c r="U62354" s="135"/>
    </row>
    <row r="62355" spans="20:21" ht="15" customHeight="1" x14ac:dyDescent="0.25">
      <c r="T62355" s="135"/>
      <c r="U62355" s="135"/>
    </row>
    <row r="62356" spans="20:21" ht="15" customHeight="1" x14ac:dyDescent="0.25">
      <c r="T62356" s="135"/>
      <c r="U62356" s="135"/>
    </row>
    <row r="62357" spans="20:21" ht="15" customHeight="1" x14ac:dyDescent="0.25">
      <c r="T62357" s="135"/>
      <c r="U62357" s="135"/>
    </row>
    <row r="62358" spans="20:21" ht="15" customHeight="1" x14ac:dyDescent="0.25">
      <c r="T62358" s="135"/>
      <c r="U62358" s="135"/>
    </row>
    <row r="62359" spans="20:21" ht="15" customHeight="1" x14ac:dyDescent="0.25">
      <c r="T62359" s="135"/>
      <c r="U62359" s="135"/>
    </row>
    <row r="62360" spans="20:21" ht="15" customHeight="1" x14ac:dyDescent="0.25">
      <c r="T62360" s="135"/>
      <c r="U62360" s="135"/>
    </row>
    <row r="62361" spans="20:21" ht="15" customHeight="1" x14ac:dyDescent="0.25">
      <c r="T62361" s="135"/>
      <c r="U62361" s="135"/>
    </row>
    <row r="62362" spans="20:21" ht="15" customHeight="1" x14ac:dyDescent="0.25">
      <c r="T62362" s="135"/>
      <c r="U62362" s="135"/>
    </row>
    <row r="62363" spans="20:21" ht="15" customHeight="1" x14ac:dyDescent="0.25">
      <c r="T62363" s="135"/>
      <c r="U62363" s="135"/>
    </row>
    <row r="62364" spans="20:21" ht="15" customHeight="1" x14ac:dyDescent="0.25">
      <c r="T62364" s="135"/>
      <c r="U62364" s="135"/>
    </row>
    <row r="62365" spans="20:21" ht="15" customHeight="1" x14ac:dyDescent="0.25">
      <c r="T62365" s="135"/>
      <c r="U62365" s="135"/>
    </row>
    <row r="62366" spans="20:21" ht="15" customHeight="1" x14ac:dyDescent="0.25">
      <c r="T62366" s="135"/>
      <c r="U62366" s="135"/>
    </row>
    <row r="62367" spans="20:21" ht="15" customHeight="1" x14ac:dyDescent="0.25">
      <c r="T62367" s="135"/>
      <c r="U62367" s="135"/>
    </row>
    <row r="62368" spans="20:21" ht="15" customHeight="1" x14ac:dyDescent="0.25">
      <c r="T62368" s="135"/>
      <c r="U62368" s="135"/>
    </row>
    <row r="62369" spans="20:21" ht="15" customHeight="1" x14ac:dyDescent="0.25">
      <c r="T62369" s="135"/>
      <c r="U62369" s="135"/>
    </row>
    <row r="62370" spans="20:21" ht="15" customHeight="1" x14ac:dyDescent="0.25">
      <c r="T62370" s="135"/>
      <c r="U62370" s="135"/>
    </row>
    <row r="62371" spans="20:21" ht="15" customHeight="1" x14ac:dyDescent="0.25">
      <c r="T62371" s="135"/>
      <c r="U62371" s="135"/>
    </row>
    <row r="62372" spans="20:21" ht="15" customHeight="1" x14ac:dyDescent="0.25">
      <c r="T62372" s="135"/>
      <c r="U62372" s="135"/>
    </row>
    <row r="62373" spans="20:21" ht="15" customHeight="1" x14ac:dyDescent="0.25">
      <c r="T62373" s="135"/>
      <c r="U62373" s="135"/>
    </row>
    <row r="62374" spans="20:21" ht="15" customHeight="1" x14ac:dyDescent="0.25">
      <c r="T62374" s="135"/>
      <c r="U62374" s="135"/>
    </row>
    <row r="62375" spans="20:21" ht="15" customHeight="1" x14ac:dyDescent="0.25">
      <c r="T62375" s="135"/>
      <c r="U62375" s="135"/>
    </row>
    <row r="62376" spans="20:21" ht="15" customHeight="1" x14ac:dyDescent="0.25">
      <c r="T62376" s="135"/>
      <c r="U62376" s="135"/>
    </row>
    <row r="62377" spans="20:21" ht="15" customHeight="1" x14ac:dyDescent="0.25">
      <c r="T62377" s="135"/>
      <c r="U62377" s="135"/>
    </row>
    <row r="62378" spans="20:21" ht="15" customHeight="1" x14ac:dyDescent="0.25">
      <c r="T62378" s="135"/>
      <c r="U62378" s="135"/>
    </row>
    <row r="62379" spans="20:21" ht="15" customHeight="1" x14ac:dyDescent="0.25">
      <c r="T62379" s="135"/>
      <c r="U62379" s="135"/>
    </row>
    <row r="62380" spans="20:21" ht="15" customHeight="1" x14ac:dyDescent="0.25">
      <c r="T62380" s="135"/>
      <c r="U62380" s="135"/>
    </row>
    <row r="62381" spans="20:21" ht="15" customHeight="1" x14ac:dyDescent="0.25">
      <c r="T62381" s="135"/>
      <c r="U62381" s="135"/>
    </row>
    <row r="62382" spans="20:21" ht="15" customHeight="1" x14ac:dyDescent="0.25">
      <c r="T62382" s="135"/>
      <c r="U62382" s="135"/>
    </row>
    <row r="62383" spans="20:21" ht="15" customHeight="1" x14ac:dyDescent="0.25">
      <c r="T62383" s="135"/>
      <c r="U62383" s="135"/>
    </row>
    <row r="62384" spans="20:21" ht="15" customHeight="1" x14ac:dyDescent="0.25">
      <c r="T62384" s="135"/>
      <c r="U62384" s="135"/>
    </row>
    <row r="62385" spans="20:21" ht="15" customHeight="1" x14ac:dyDescent="0.25">
      <c r="T62385" s="135"/>
      <c r="U62385" s="135"/>
    </row>
    <row r="62386" spans="20:21" ht="15" customHeight="1" x14ac:dyDescent="0.25">
      <c r="T62386" s="135"/>
      <c r="U62386" s="135"/>
    </row>
    <row r="62387" spans="20:21" ht="15" customHeight="1" x14ac:dyDescent="0.25">
      <c r="T62387" s="135"/>
      <c r="U62387" s="135"/>
    </row>
    <row r="62388" spans="20:21" ht="15" customHeight="1" x14ac:dyDescent="0.25">
      <c r="T62388" s="135"/>
      <c r="U62388" s="135"/>
    </row>
    <row r="62389" spans="20:21" ht="15" customHeight="1" x14ac:dyDescent="0.25">
      <c r="T62389" s="135"/>
      <c r="U62389" s="135"/>
    </row>
    <row r="62390" spans="20:21" ht="15" customHeight="1" x14ac:dyDescent="0.25">
      <c r="T62390" s="135"/>
      <c r="U62390" s="135"/>
    </row>
    <row r="62391" spans="20:21" ht="15" customHeight="1" x14ac:dyDescent="0.25">
      <c r="T62391" s="135"/>
      <c r="U62391" s="135"/>
    </row>
    <row r="62392" spans="20:21" ht="15" customHeight="1" x14ac:dyDescent="0.25">
      <c r="T62392" s="135"/>
      <c r="U62392" s="135"/>
    </row>
    <row r="62393" spans="20:21" ht="15" customHeight="1" x14ac:dyDescent="0.25">
      <c r="T62393" s="135"/>
      <c r="U62393" s="135"/>
    </row>
    <row r="62394" spans="20:21" ht="15" customHeight="1" x14ac:dyDescent="0.25">
      <c r="T62394" s="135"/>
      <c r="U62394" s="135"/>
    </row>
    <row r="62395" spans="20:21" ht="15" customHeight="1" x14ac:dyDescent="0.25">
      <c r="T62395" s="135"/>
      <c r="U62395" s="135"/>
    </row>
    <row r="62396" spans="20:21" ht="15" customHeight="1" x14ac:dyDescent="0.25">
      <c r="T62396" s="135"/>
      <c r="U62396" s="135"/>
    </row>
    <row r="62397" spans="20:21" ht="15" customHeight="1" x14ac:dyDescent="0.25">
      <c r="T62397" s="135"/>
      <c r="U62397" s="135"/>
    </row>
    <row r="62398" spans="20:21" ht="15" customHeight="1" x14ac:dyDescent="0.25">
      <c r="T62398" s="135"/>
      <c r="U62398" s="135"/>
    </row>
    <row r="62399" spans="20:21" ht="15" customHeight="1" x14ac:dyDescent="0.25">
      <c r="T62399" s="135"/>
      <c r="U62399" s="135"/>
    </row>
    <row r="62400" spans="20:21" ht="15" customHeight="1" x14ac:dyDescent="0.25">
      <c r="T62400" s="135"/>
      <c r="U62400" s="135"/>
    </row>
    <row r="62401" spans="20:21" ht="15" customHeight="1" x14ac:dyDescent="0.25">
      <c r="T62401" s="135"/>
      <c r="U62401" s="135"/>
    </row>
    <row r="62402" spans="20:21" ht="15" customHeight="1" x14ac:dyDescent="0.25">
      <c r="T62402" s="135"/>
      <c r="U62402" s="135"/>
    </row>
    <row r="62403" spans="20:21" ht="15" customHeight="1" x14ac:dyDescent="0.25">
      <c r="T62403" s="135"/>
      <c r="U62403" s="135"/>
    </row>
    <row r="62404" spans="20:21" ht="15" customHeight="1" x14ac:dyDescent="0.25">
      <c r="T62404" s="135"/>
      <c r="U62404" s="135"/>
    </row>
    <row r="62405" spans="20:21" ht="15" customHeight="1" x14ac:dyDescent="0.25">
      <c r="T62405" s="135"/>
      <c r="U62405" s="135"/>
    </row>
    <row r="62406" spans="20:21" ht="15" customHeight="1" x14ac:dyDescent="0.25">
      <c r="T62406" s="135"/>
      <c r="U62406" s="135"/>
    </row>
    <row r="62407" spans="20:21" ht="15" customHeight="1" x14ac:dyDescent="0.25">
      <c r="T62407" s="135"/>
      <c r="U62407" s="135"/>
    </row>
    <row r="62408" spans="20:21" ht="15" customHeight="1" x14ac:dyDescent="0.25">
      <c r="T62408" s="135"/>
      <c r="U62408" s="135"/>
    </row>
    <row r="62409" spans="20:21" ht="15" customHeight="1" x14ac:dyDescent="0.25">
      <c r="T62409" s="135"/>
      <c r="U62409" s="135"/>
    </row>
    <row r="62410" spans="20:21" ht="15" customHeight="1" x14ac:dyDescent="0.25">
      <c r="T62410" s="135"/>
      <c r="U62410" s="135"/>
    </row>
    <row r="62411" spans="20:21" ht="15" customHeight="1" x14ac:dyDescent="0.25">
      <c r="T62411" s="135"/>
      <c r="U62411" s="135"/>
    </row>
    <row r="62412" spans="20:21" ht="15" customHeight="1" x14ac:dyDescent="0.25">
      <c r="T62412" s="135"/>
      <c r="U62412" s="135"/>
    </row>
    <row r="62413" spans="20:21" ht="15" customHeight="1" x14ac:dyDescent="0.25">
      <c r="T62413" s="135"/>
      <c r="U62413" s="135"/>
    </row>
    <row r="62414" spans="20:21" ht="15" customHeight="1" x14ac:dyDescent="0.25">
      <c r="T62414" s="135"/>
      <c r="U62414" s="135"/>
    </row>
    <row r="62415" spans="20:21" ht="15" customHeight="1" x14ac:dyDescent="0.25">
      <c r="T62415" s="135"/>
      <c r="U62415" s="135"/>
    </row>
    <row r="62416" spans="20:21" ht="15" customHeight="1" x14ac:dyDescent="0.25">
      <c r="T62416" s="135"/>
      <c r="U62416" s="135"/>
    </row>
    <row r="62417" spans="20:21" ht="15" customHeight="1" x14ac:dyDescent="0.25">
      <c r="T62417" s="135"/>
      <c r="U62417" s="135"/>
    </row>
    <row r="62418" spans="20:21" ht="15" customHeight="1" x14ac:dyDescent="0.25">
      <c r="T62418" s="135"/>
      <c r="U62418" s="135"/>
    </row>
    <row r="62419" spans="20:21" ht="15" customHeight="1" x14ac:dyDescent="0.25">
      <c r="T62419" s="135"/>
      <c r="U62419" s="135"/>
    </row>
    <row r="62420" spans="20:21" ht="15" customHeight="1" x14ac:dyDescent="0.25">
      <c r="T62420" s="135"/>
      <c r="U62420" s="135"/>
    </row>
    <row r="62421" spans="20:21" ht="15" customHeight="1" x14ac:dyDescent="0.25">
      <c r="T62421" s="135"/>
      <c r="U62421" s="135"/>
    </row>
    <row r="62422" spans="20:21" ht="15" customHeight="1" x14ac:dyDescent="0.25">
      <c r="T62422" s="135"/>
      <c r="U62422" s="135"/>
    </row>
    <row r="62423" spans="20:21" ht="15" customHeight="1" x14ac:dyDescent="0.25">
      <c r="T62423" s="135"/>
      <c r="U62423" s="135"/>
    </row>
    <row r="62424" spans="20:21" ht="15" customHeight="1" x14ac:dyDescent="0.25">
      <c r="T62424" s="135"/>
      <c r="U62424" s="135"/>
    </row>
    <row r="62425" spans="20:21" ht="15" customHeight="1" x14ac:dyDescent="0.25">
      <c r="T62425" s="135"/>
      <c r="U62425" s="135"/>
    </row>
    <row r="62426" spans="20:21" ht="15" customHeight="1" x14ac:dyDescent="0.25">
      <c r="T62426" s="135"/>
      <c r="U62426" s="135"/>
    </row>
    <row r="62427" spans="20:21" ht="15" customHeight="1" x14ac:dyDescent="0.25">
      <c r="T62427" s="135"/>
      <c r="U62427" s="135"/>
    </row>
    <row r="62428" spans="20:21" ht="15" customHeight="1" x14ac:dyDescent="0.25">
      <c r="T62428" s="135"/>
      <c r="U62428" s="135"/>
    </row>
    <row r="62429" spans="20:21" ht="15" customHeight="1" x14ac:dyDescent="0.25">
      <c r="T62429" s="135"/>
      <c r="U62429" s="135"/>
    </row>
    <row r="62430" spans="20:21" ht="15" customHeight="1" x14ac:dyDescent="0.25">
      <c r="T62430" s="135"/>
      <c r="U62430" s="135"/>
    </row>
    <row r="62431" spans="20:21" ht="15" customHeight="1" x14ac:dyDescent="0.25">
      <c r="T62431" s="135"/>
      <c r="U62431" s="135"/>
    </row>
    <row r="62432" spans="20:21" ht="15" customHeight="1" x14ac:dyDescent="0.25">
      <c r="T62432" s="135"/>
      <c r="U62432" s="135"/>
    </row>
    <row r="62433" spans="20:21" ht="15" customHeight="1" x14ac:dyDescent="0.25">
      <c r="T62433" s="135"/>
      <c r="U62433" s="135"/>
    </row>
    <row r="62434" spans="20:21" ht="15" customHeight="1" x14ac:dyDescent="0.25">
      <c r="T62434" s="135"/>
      <c r="U62434" s="135"/>
    </row>
    <row r="62435" spans="20:21" ht="15" customHeight="1" x14ac:dyDescent="0.25">
      <c r="T62435" s="135"/>
      <c r="U62435" s="135"/>
    </row>
    <row r="62436" spans="20:21" ht="15" customHeight="1" x14ac:dyDescent="0.25">
      <c r="T62436" s="135"/>
      <c r="U62436" s="135"/>
    </row>
    <row r="62437" spans="20:21" ht="15" customHeight="1" x14ac:dyDescent="0.25">
      <c r="T62437" s="135"/>
      <c r="U62437" s="135"/>
    </row>
    <row r="62438" spans="20:21" ht="15" customHeight="1" x14ac:dyDescent="0.25">
      <c r="T62438" s="135"/>
      <c r="U62438" s="135"/>
    </row>
    <row r="62439" spans="20:21" ht="15" customHeight="1" x14ac:dyDescent="0.25">
      <c r="T62439" s="135"/>
      <c r="U62439" s="135"/>
    </row>
    <row r="62440" spans="20:21" ht="15" customHeight="1" x14ac:dyDescent="0.25">
      <c r="T62440" s="135"/>
      <c r="U62440" s="135"/>
    </row>
    <row r="62441" spans="20:21" ht="15" customHeight="1" x14ac:dyDescent="0.25">
      <c r="T62441" s="135"/>
      <c r="U62441" s="135"/>
    </row>
    <row r="62442" spans="20:21" ht="15" customHeight="1" x14ac:dyDescent="0.25">
      <c r="T62442" s="135"/>
      <c r="U62442" s="135"/>
    </row>
    <row r="62443" spans="20:21" ht="15" customHeight="1" x14ac:dyDescent="0.25">
      <c r="T62443" s="135"/>
      <c r="U62443" s="135"/>
    </row>
    <row r="62444" spans="20:21" ht="15" customHeight="1" x14ac:dyDescent="0.25">
      <c r="T62444" s="135"/>
      <c r="U62444" s="135"/>
    </row>
    <row r="62445" spans="20:21" ht="15" customHeight="1" x14ac:dyDescent="0.25">
      <c r="T62445" s="135"/>
      <c r="U62445" s="135"/>
    </row>
    <row r="62446" spans="20:21" ht="15" customHeight="1" x14ac:dyDescent="0.25">
      <c r="T62446" s="135"/>
      <c r="U62446" s="135"/>
    </row>
    <row r="62447" spans="20:21" ht="15" customHeight="1" x14ac:dyDescent="0.25">
      <c r="T62447" s="135"/>
      <c r="U62447" s="135"/>
    </row>
    <row r="62448" spans="20:21" ht="15" customHeight="1" x14ac:dyDescent="0.25">
      <c r="T62448" s="135"/>
      <c r="U62448" s="135"/>
    </row>
    <row r="62449" spans="20:21" ht="15" customHeight="1" x14ac:dyDescent="0.25">
      <c r="T62449" s="135"/>
      <c r="U62449" s="135"/>
    </row>
    <row r="62450" spans="20:21" ht="15" customHeight="1" x14ac:dyDescent="0.25">
      <c r="T62450" s="135"/>
      <c r="U62450" s="135"/>
    </row>
    <row r="62451" spans="20:21" ht="15" customHeight="1" x14ac:dyDescent="0.25">
      <c r="T62451" s="135"/>
      <c r="U62451" s="135"/>
    </row>
    <row r="62452" spans="20:21" ht="15" customHeight="1" x14ac:dyDescent="0.25">
      <c r="T62452" s="135"/>
      <c r="U62452" s="135"/>
    </row>
    <row r="62453" spans="20:21" ht="15" customHeight="1" x14ac:dyDescent="0.25">
      <c r="T62453" s="135"/>
      <c r="U62453" s="135"/>
    </row>
    <row r="62454" spans="20:21" ht="15" customHeight="1" x14ac:dyDescent="0.25">
      <c r="T62454" s="135"/>
      <c r="U62454" s="135"/>
    </row>
    <row r="62455" spans="20:21" ht="15" customHeight="1" x14ac:dyDescent="0.25">
      <c r="T62455" s="135"/>
      <c r="U62455" s="135"/>
    </row>
    <row r="62456" spans="20:21" ht="15" customHeight="1" x14ac:dyDescent="0.25">
      <c r="T62456" s="135"/>
      <c r="U62456" s="135"/>
    </row>
    <row r="62457" spans="20:21" ht="15" customHeight="1" x14ac:dyDescent="0.25">
      <c r="T62457" s="135"/>
      <c r="U62457" s="135"/>
    </row>
    <row r="62458" spans="20:21" ht="15" customHeight="1" x14ac:dyDescent="0.25">
      <c r="T62458" s="135"/>
      <c r="U62458" s="135"/>
    </row>
    <row r="62459" spans="20:21" ht="15" customHeight="1" x14ac:dyDescent="0.25">
      <c r="T62459" s="135"/>
      <c r="U62459" s="135"/>
    </row>
    <row r="62460" spans="20:21" ht="15" customHeight="1" x14ac:dyDescent="0.25">
      <c r="T62460" s="135"/>
      <c r="U62460" s="135"/>
    </row>
    <row r="62461" spans="20:21" ht="15" customHeight="1" x14ac:dyDescent="0.25">
      <c r="T62461" s="135"/>
      <c r="U62461" s="135"/>
    </row>
    <row r="62462" spans="20:21" ht="15" customHeight="1" x14ac:dyDescent="0.25">
      <c r="T62462" s="135"/>
      <c r="U62462" s="135"/>
    </row>
    <row r="62463" spans="20:21" ht="15" customHeight="1" x14ac:dyDescent="0.25">
      <c r="T62463" s="135"/>
      <c r="U62463" s="135"/>
    </row>
    <row r="62464" spans="20:21" ht="15" customHeight="1" x14ac:dyDescent="0.25">
      <c r="T62464" s="135"/>
      <c r="U62464" s="135"/>
    </row>
    <row r="62465" spans="20:21" ht="15" customHeight="1" x14ac:dyDescent="0.25">
      <c r="T62465" s="135"/>
      <c r="U62465" s="135"/>
    </row>
    <row r="62466" spans="20:21" ht="15" customHeight="1" x14ac:dyDescent="0.25">
      <c r="T62466" s="135"/>
      <c r="U62466" s="135"/>
    </row>
    <row r="62467" spans="20:21" ht="15" customHeight="1" x14ac:dyDescent="0.25">
      <c r="T62467" s="135"/>
      <c r="U62467" s="135"/>
    </row>
    <row r="62468" spans="20:21" ht="15" customHeight="1" x14ac:dyDescent="0.25">
      <c r="T62468" s="135"/>
      <c r="U62468" s="135"/>
    </row>
    <row r="62469" spans="20:21" ht="15" customHeight="1" x14ac:dyDescent="0.25">
      <c r="T62469" s="135"/>
      <c r="U62469" s="135"/>
    </row>
    <row r="62470" spans="20:21" ht="15" customHeight="1" x14ac:dyDescent="0.25">
      <c r="T62470" s="135"/>
      <c r="U62470" s="135"/>
    </row>
    <row r="62471" spans="20:21" ht="15" customHeight="1" x14ac:dyDescent="0.25">
      <c r="T62471" s="135"/>
      <c r="U62471" s="135"/>
    </row>
    <row r="62472" spans="20:21" ht="15" customHeight="1" x14ac:dyDescent="0.25">
      <c r="T62472" s="135"/>
      <c r="U62472" s="135"/>
    </row>
    <row r="62473" spans="20:21" ht="15" customHeight="1" x14ac:dyDescent="0.25">
      <c r="T62473" s="135"/>
      <c r="U62473" s="135"/>
    </row>
    <row r="62474" spans="20:21" ht="15" customHeight="1" x14ac:dyDescent="0.25">
      <c r="T62474" s="135"/>
      <c r="U62474" s="135"/>
    </row>
    <row r="62475" spans="20:21" ht="15" customHeight="1" x14ac:dyDescent="0.25">
      <c r="T62475" s="135"/>
      <c r="U62475" s="135"/>
    </row>
    <row r="62476" spans="20:21" ht="15" customHeight="1" x14ac:dyDescent="0.25">
      <c r="T62476" s="135"/>
      <c r="U62476" s="135"/>
    </row>
    <row r="62477" spans="20:21" ht="15" customHeight="1" x14ac:dyDescent="0.25">
      <c r="T62477" s="135"/>
      <c r="U62477" s="135"/>
    </row>
    <row r="62478" spans="20:21" ht="15" customHeight="1" x14ac:dyDescent="0.25">
      <c r="T62478" s="135"/>
      <c r="U62478" s="135"/>
    </row>
    <row r="62479" spans="20:21" ht="15" customHeight="1" x14ac:dyDescent="0.25">
      <c r="T62479" s="135"/>
      <c r="U62479" s="135"/>
    </row>
    <row r="62480" spans="20:21" ht="15" customHeight="1" x14ac:dyDescent="0.25">
      <c r="T62480" s="135"/>
      <c r="U62480" s="135"/>
    </row>
    <row r="62481" spans="20:21" ht="15" customHeight="1" x14ac:dyDescent="0.25">
      <c r="T62481" s="135"/>
      <c r="U62481" s="135"/>
    </row>
    <row r="62482" spans="20:21" ht="15" customHeight="1" x14ac:dyDescent="0.25">
      <c r="T62482" s="135"/>
      <c r="U62482" s="135"/>
    </row>
    <row r="62483" spans="20:21" ht="15" customHeight="1" x14ac:dyDescent="0.25">
      <c r="T62483" s="135"/>
      <c r="U62483" s="135"/>
    </row>
    <row r="62484" spans="20:21" ht="15" customHeight="1" x14ac:dyDescent="0.25">
      <c r="T62484" s="135"/>
      <c r="U62484" s="135"/>
    </row>
    <row r="62485" spans="20:21" ht="15" customHeight="1" x14ac:dyDescent="0.25">
      <c r="T62485" s="135"/>
      <c r="U62485" s="135"/>
    </row>
    <row r="62486" spans="20:21" ht="15" customHeight="1" x14ac:dyDescent="0.25">
      <c r="T62486" s="135"/>
      <c r="U62486" s="135"/>
    </row>
    <row r="62487" spans="20:21" ht="15" customHeight="1" x14ac:dyDescent="0.25">
      <c r="T62487" s="135"/>
      <c r="U62487" s="135"/>
    </row>
    <row r="62488" spans="20:21" ht="15" customHeight="1" x14ac:dyDescent="0.25">
      <c r="T62488" s="135"/>
      <c r="U62488" s="135"/>
    </row>
    <row r="62489" spans="20:21" ht="15" customHeight="1" x14ac:dyDescent="0.25">
      <c r="T62489" s="135"/>
      <c r="U62489" s="135"/>
    </row>
    <row r="62490" spans="20:21" ht="15" customHeight="1" x14ac:dyDescent="0.25">
      <c r="T62490" s="135"/>
      <c r="U62490" s="135"/>
    </row>
    <row r="62491" spans="20:21" ht="15" customHeight="1" x14ac:dyDescent="0.25">
      <c r="T62491" s="135"/>
      <c r="U62491" s="135"/>
    </row>
    <row r="62492" spans="20:21" ht="15" customHeight="1" x14ac:dyDescent="0.25">
      <c r="T62492" s="135"/>
      <c r="U62492" s="135"/>
    </row>
    <row r="62493" spans="20:21" ht="15" customHeight="1" x14ac:dyDescent="0.25">
      <c r="T62493" s="135"/>
      <c r="U62493" s="135"/>
    </row>
    <row r="62494" spans="20:21" ht="15" customHeight="1" x14ac:dyDescent="0.25">
      <c r="T62494" s="135"/>
      <c r="U62494" s="135"/>
    </row>
    <row r="62495" spans="20:21" ht="15" customHeight="1" x14ac:dyDescent="0.25">
      <c r="T62495" s="135"/>
      <c r="U62495" s="135"/>
    </row>
    <row r="62496" spans="20:21" ht="15" customHeight="1" x14ac:dyDescent="0.25">
      <c r="T62496" s="135"/>
      <c r="U62496" s="135"/>
    </row>
    <row r="62497" spans="20:21" ht="15" customHeight="1" x14ac:dyDescent="0.25">
      <c r="T62497" s="135"/>
      <c r="U62497" s="135"/>
    </row>
    <row r="62498" spans="20:21" ht="15" customHeight="1" x14ac:dyDescent="0.25">
      <c r="T62498" s="135"/>
      <c r="U62498" s="135"/>
    </row>
    <row r="62499" spans="20:21" ht="15" customHeight="1" x14ac:dyDescent="0.25">
      <c r="T62499" s="135"/>
      <c r="U62499" s="135"/>
    </row>
    <row r="62500" spans="20:21" ht="15" customHeight="1" x14ac:dyDescent="0.25">
      <c r="T62500" s="135"/>
      <c r="U62500" s="135"/>
    </row>
    <row r="62501" spans="20:21" ht="15" customHeight="1" x14ac:dyDescent="0.25">
      <c r="T62501" s="135"/>
      <c r="U62501" s="135"/>
    </row>
    <row r="62502" spans="20:21" ht="15" customHeight="1" x14ac:dyDescent="0.25">
      <c r="T62502" s="135"/>
      <c r="U62502" s="135"/>
    </row>
    <row r="62503" spans="20:21" ht="15" customHeight="1" x14ac:dyDescent="0.25">
      <c r="T62503" s="135"/>
      <c r="U62503" s="135"/>
    </row>
    <row r="62504" spans="20:21" ht="15" customHeight="1" x14ac:dyDescent="0.25">
      <c r="T62504" s="135"/>
      <c r="U62504" s="135"/>
    </row>
    <row r="62505" spans="20:21" ht="15" customHeight="1" x14ac:dyDescent="0.25">
      <c r="T62505" s="135"/>
      <c r="U62505" s="135"/>
    </row>
    <row r="62506" spans="20:21" ht="15" customHeight="1" x14ac:dyDescent="0.25">
      <c r="T62506" s="135"/>
      <c r="U62506" s="135"/>
    </row>
    <row r="62507" spans="20:21" ht="15" customHeight="1" x14ac:dyDescent="0.25">
      <c r="T62507" s="135"/>
      <c r="U62507" s="135"/>
    </row>
    <row r="62508" spans="20:21" ht="15" customHeight="1" x14ac:dyDescent="0.25">
      <c r="T62508" s="135"/>
      <c r="U62508" s="135"/>
    </row>
    <row r="62509" spans="20:21" ht="15" customHeight="1" x14ac:dyDescent="0.25">
      <c r="T62509" s="135"/>
      <c r="U62509" s="135"/>
    </row>
    <row r="62510" spans="20:21" ht="15" customHeight="1" x14ac:dyDescent="0.25">
      <c r="T62510" s="135"/>
      <c r="U62510" s="135"/>
    </row>
    <row r="62511" spans="20:21" ht="15" customHeight="1" x14ac:dyDescent="0.25">
      <c r="T62511" s="135"/>
      <c r="U62511" s="135"/>
    </row>
    <row r="62512" spans="20:21" ht="15" customHeight="1" x14ac:dyDescent="0.25">
      <c r="T62512" s="135"/>
      <c r="U62512" s="135"/>
    </row>
    <row r="62513" spans="20:21" ht="15" customHeight="1" x14ac:dyDescent="0.25">
      <c r="T62513" s="135"/>
      <c r="U62513" s="135"/>
    </row>
    <row r="62514" spans="20:21" ht="15" customHeight="1" x14ac:dyDescent="0.25">
      <c r="T62514" s="135"/>
      <c r="U62514" s="135"/>
    </row>
    <row r="62515" spans="20:21" ht="15" customHeight="1" x14ac:dyDescent="0.25">
      <c r="T62515" s="135"/>
      <c r="U62515" s="135"/>
    </row>
    <row r="62516" spans="20:21" ht="15" customHeight="1" x14ac:dyDescent="0.25">
      <c r="T62516" s="135"/>
      <c r="U62516" s="135"/>
    </row>
    <row r="62517" spans="20:21" ht="15" customHeight="1" x14ac:dyDescent="0.25">
      <c r="T62517" s="135"/>
      <c r="U62517" s="135"/>
    </row>
    <row r="62518" spans="20:21" ht="15" customHeight="1" x14ac:dyDescent="0.25">
      <c r="T62518" s="135"/>
      <c r="U62518" s="135"/>
    </row>
    <row r="62519" spans="20:21" ht="15" customHeight="1" x14ac:dyDescent="0.25">
      <c r="T62519" s="135"/>
      <c r="U62519" s="135"/>
    </row>
    <row r="62520" spans="20:21" ht="15" customHeight="1" x14ac:dyDescent="0.25">
      <c r="T62520" s="135"/>
      <c r="U62520" s="135"/>
    </row>
    <row r="62521" spans="20:21" ht="15" customHeight="1" x14ac:dyDescent="0.25">
      <c r="T62521" s="135"/>
      <c r="U62521" s="135"/>
    </row>
    <row r="62522" spans="20:21" ht="15" customHeight="1" x14ac:dyDescent="0.25">
      <c r="T62522" s="135"/>
      <c r="U62522" s="135"/>
    </row>
    <row r="62523" spans="20:21" ht="15" customHeight="1" x14ac:dyDescent="0.25">
      <c r="T62523" s="135"/>
      <c r="U62523" s="135"/>
    </row>
    <row r="62524" spans="20:21" ht="15" customHeight="1" x14ac:dyDescent="0.25">
      <c r="T62524" s="135"/>
      <c r="U62524" s="135"/>
    </row>
    <row r="62525" spans="20:21" ht="15" customHeight="1" x14ac:dyDescent="0.25">
      <c r="T62525" s="135"/>
      <c r="U62525" s="135"/>
    </row>
    <row r="62526" spans="20:21" ht="15" customHeight="1" x14ac:dyDescent="0.25">
      <c r="T62526" s="135"/>
      <c r="U62526" s="135"/>
    </row>
    <row r="62527" spans="20:21" ht="15" customHeight="1" x14ac:dyDescent="0.25">
      <c r="T62527" s="135"/>
      <c r="U62527" s="135"/>
    </row>
    <row r="62528" spans="20:21" ht="15" customHeight="1" x14ac:dyDescent="0.25">
      <c r="T62528" s="135"/>
      <c r="U62528" s="135"/>
    </row>
    <row r="62529" spans="20:21" ht="15" customHeight="1" x14ac:dyDescent="0.25">
      <c r="T62529" s="135"/>
      <c r="U62529" s="135"/>
    </row>
    <row r="62530" spans="20:21" ht="15" customHeight="1" x14ac:dyDescent="0.25">
      <c r="T62530" s="135"/>
      <c r="U62530" s="135"/>
    </row>
    <row r="62531" spans="20:21" ht="15" customHeight="1" x14ac:dyDescent="0.25">
      <c r="T62531" s="135"/>
      <c r="U62531" s="135"/>
    </row>
    <row r="62532" spans="20:21" ht="15" customHeight="1" x14ac:dyDescent="0.25">
      <c r="T62532" s="135"/>
      <c r="U62532" s="135"/>
    </row>
    <row r="62533" spans="20:21" ht="15" customHeight="1" x14ac:dyDescent="0.25">
      <c r="T62533" s="135"/>
      <c r="U62533" s="135"/>
    </row>
    <row r="62534" spans="20:21" ht="15" customHeight="1" x14ac:dyDescent="0.25">
      <c r="T62534" s="135"/>
      <c r="U62534" s="135"/>
    </row>
    <row r="62535" spans="20:21" ht="15" customHeight="1" x14ac:dyDescent="0.25">
      <c r="T62535" s="135"/>
      <c r="U62535" s="135"/>
    </row>
    <row r="62536" spans="20:21" ht="15" customHeight="1" x14ac:dyDescent="0.25">
      <c r="T62536" s="135"/>
      <c r="U62536" s="135"/>
    </row>
    <row r="62537" spans="20:21" ht="15" customHeight="1" x14ac:dyDescent="0.25">
      <c r="T62537" s="135"/>
      <c r="U62537" s="135"/>
    </row>
    <row r="62538" spans="20:21" ht="15" customHeight="1" x14ac:dyDescent="0.25">
      <c r="T62538" s="135"/>
      <c r="U62538" s="135"/>
    </row>
    <row r="62539" spans="20:21" ht="15" customHeight="1" x14ac:dyDescent="0.25">
      <c r="T62539" s="135"/>
      <c r="U62539" s="135"/>
    </row>
    <row r="62540" spans="20:21" ht="15" customHeight="1" x14ac:dyDescent="0.25">
      <c r="T62540" s="135"/>
      <c r="U62540" s="135"/>
    </row>
    <row r="62541" spans="20:21" ht="15" customHeight="1" x14ac:dyDescent="0.25">
      <c r="T62541" s="135"/>
      <c r="U62541" s="135"/>
    </row>
    <row r="62542" spans="20:21" ht="15" customHeight="1" x14ac:dyDescent="0.25">
      <c r="T62542" s="135"/>
      <c r="U62542" s="135"/>
    </row>
    <row r="62543" spans="20:21" ht="15" customHeight="1" x14ac:dyDescent="0.25">
      <c r="T62543" s="135"/>
      <c r="U62543" s="135"/>
    </row>
    <row r="62544" spans="20:21" ht="15" customHeight="1" x14ac:dyDescent="0.25">
      <c r="T62544" s="135"/>
      <c r="U62544" s="135"/>
    </row>
    <row r="62545" spans="20:21" ht="15" customHeight="1" x14ac:dyDescent="0.25">
      <c r="T62545" s="135"/>
      <c r="U62545" s="135"/>
    </row>
    <row r="62546" spans="20:21" ht="15" customHeight="1" x14ac:dyDescent="0.25">
      <c r="T62546" s="135"/>
      <c r="U62546" s="135"/>
    </row>
    <row r="62547" spans="20:21" ht="15" customHeight="1" x14ac:dyDescent="0.25">
      <c r="T62547" s="135"/>
      <c r="U62547" s="135"/>
    </row>
    <row r="62548" spans="20:21" ht="15" customHeight="1" x14ac:dyDescent="0.25">
      <c r="T62548" s="135"/>
      <c r="U62548" s="135"/>
    </row>
    <row r="62549" spans="20:21" ht="15" customHeight="1" x14ac:dyDescent="0.25">
      <c r="T62549" s="135"/>
      <c r="U62549" s="135"/>
    </row>
    <row r="62550" spans="20:21" ht="15" customHeight="1" x14ac:dyDescent="0.25">
      <c r="T62550" s="135"/>
      <c r="U62550" s="135"/>
    </row>
    <row r="62551" spans="20:21" ht="15" customHeight="1" x14ac:dyDescent="0.25">
      <c r="T62551" s="135"/>
      <c r="U62551" s="135"/>
    </row>
    <row r="62552" spans="20:21" ht="15" customHeight="1" x14ac:dyDescent="0.25">
      <c r="T62552" s="135"/>
      <c r="U62552" s="135"/>
    </row>
    <row r="62553" spans="20:21" ht="15" customHeight="1" x14ac:dyDescent="0.25">
      <c r="T62553" s="135"/>
      <c r="U62553" s="135"/>
    </row>
    <row r="62554" spans="20:21" ht="15" customHeight="1" x14ac:dyDescent="0.25">
      <c r="T62554" s="135"/>
      <c r="U62554" s="135"/>
    </row>
    <row r="62555" spans="20:21" ht="15" customHeight="1" x14ac:dyDescent="0.25">
      <c r="T62555" s="135"/>
      <c r="U62555" s="135"/>
    </row>
    <row r="62556" spans="20:21" ht="15" customHeight="1" x14ac:dyDescent="0.25">
      <c r="T62556" s="135"/>
      <c r="U62556" s="135"/>
    </row>
    <row r="62557" spans="20:21" ht="15" customHeight="1" x14ac:dyDescent="0.25">
      <c r="T62557" s="135"/>
      <c r="U62557" s="135"/>
    </row>
    <row r="62558" spans="20:21" ht="15" customHeight="1" x14ac:dyDescent="0.25">
      <c r="T62558" s="135"/>
      <c r="U62558" s="135"/>
    </row>
    <row r="62559" spans="20:21" ht="15" customHeight="1" x14ac:dyDescent="0.25">
      <c r="T62559" s="135"/>
      <c r="U62559" s="135"/>
    </row>
    <row r="62560" spans="20:21" ht="15" customHeight="1" x14ac:dyDescent="0.25">
      <c r="T62560" s="135"/>
      <c r="U62560" s="135"/>
    </row>
    <row r="62561" spans="20:21" ht="15" customHeight="1" x14ac:dyDescent="0.25">
      <c r="T62561" s="135"/>
      <c r="U62561" s="135"/>
    </row>
    <row r="62562" spans="20:21" ht="15" customHeight="1" x14ac:dyDescent="0.25">
      <c r="T62562" s="135"/>
      <c r="U62562" s="135"/>
    </row>
    <row r="62563" spans="20:21" ht="15" customHeight="1" x14ac:dyDescent="0.25">
      <c r="T62563" s="135"/>
      <c r="U62563" s="135"/>
    </row>
    <row r="62564" spans="20:21" ht="15" customHeight="1" x14ac:dyDescent="0.25">
      <c r="T62564" s="135"/>
      <c r="U62564" s="135"/>
    </row>
    <row r="62565" spans="20:21" ht="15" customHeight="1" x14ac:dyDescent="0.25">
      <c r="T62565" s="135"/>
      <c r="U62565" s="135"/>
    </row>
    <row r="62566" spans="20:21" ht="15" customHeight="1" x14ac:dyDescent="0.25">
      <c r="T62566" s="135"/>
      <c r="U62566" s="135"/>
    </row>
    <row r="62567" spans="20:21" ht="15" customHeight="1" x14ac:dyDescent="0.25">
      <c r="T62567" s="135"/>
      <c r="U62567" s="135"/>
    </row>
    <row r="62568" spans="20:21" ht="15" customHeight="1" x14ac:dyDescent="0.25">
      <c r="T62568" s="135"/>
      <c r="U62568" s="135"/>
    </row>
    <row r="62569" spans="20:21" ht="15" customHeight="1" x14ac:dyDescent="0.25">
      <c r="T62569" s="135"/>
      <c r="U62569" s="135"/>
    </row>
    <row r="62570" spans="20:21" ht="15" customHeight="1" x14ac:dyDescent="0.25">
      <c r="T62570" s="135"/>
      <c r="U62570" s="135"/>
    </row>
    <row r="62571" spans="20:21" ht="15" customHeight="1" x14ac:dyDescent="0.25">
      <c r="T62571" s="135"/>
      <c r="U62571" s="135"/>
    </row>
    <row r="62572" spans="20:21" ht="15" customHeight="1" x14ac:dyDescent="0.25">
      <c r="T62572" s="135"/>
      <c r="U62572" s="135"/>
    </row>
    <row r="62573" spans="20:21" ht="15" customHeight="1" x14ac:dyDescent="0.25">
      <c r="T62573" s="135"/>
      <c r="U62573" s="135"/>
    </row>
    <row r="62574" spans="20:21" ht="15" customHeight="1" x14ac:dyDescent="0.25">
      <c r="T62574" s="135"/>
      <c r="U62574" s="135"/>
    </row>
    <row r="62575" spans="20:21" ht="15" customHeight="1" x14ac:dyDescent="0.25">
      <c r="T62575" s="135"/>
      <c r="U62575" s="135"/>
    </row>
    <row r="62576" spans="20:21" ht="15" customHeight="1" x14ac:dyDescent="0.25">
      <c r="T62576" s="135"/>
      <c r="U62576" s="135"/>
    </row>
    <row r="62577" spans="20:21" ht="15" customHeight="1" x14ac:dyDescent="0.25">
      <c r="T62577" s="135"/>
      <c r="U62577" s="135"/>
    </row>
    <row r="62578" spans="20:21" ht="15" customHeight="1" x14ac:dyDescent="0.25">
      <c r="T62578" s="135"/>
      <c r="U62578" s="135"/>
    </row>
    <row r="62579" spans="20:21" ht="15" customHeight="1" x14ac:dyDescent="0.25">
      <c r="T62579" s="135"/>
      <c r="U62579" s="135"/>
    </row>
    <row r="62580" spans="20:21" ht="15" customHeight="1" x14ac:dyDescent="0.25">
      <c r="T62580" s="135"/>
      <c r="U62580" s="135"/>
    </row>
    <row r="62581" spans="20:21" ht="15" customHeight="1" x14ac:dyDescent="0.25">
      <c r="T62581" s="135"/>
      <c r="U62581" s="135"/>
    </row>
    <row r="62582" spans="20:21" ht="15" customHeight="1" x14ac:dyDescent="0.25">
      <c r="T62582" s="135"/>
      <c r="U62582" s="135"/>
    </row>
    <row r="62583" spans="20:21" ht="15" customHeight="1" x14ac:dyDescent="0.25">
      <c r="T62583" s="135"/>
      <c r="U62583" s="135"/>
    </row>
    <row r="62584" spans="20:21" ht="15" customHeight="1" x14ac:dyDescent="0.25">
      <c r="T62584" s="135"/>
      <c r="U62584" s="135"/>
    </row>
    <row r="62585" spans="20:21" ht="15" customHeight="1" x14ac:dyDescent="0.25">
      <c r="T62585" s="135"/>
      <c r="U62585" s="135"/>
    </row>
    <row r="62586" spans="20:21" ht="15" customHeight="1" x14ac:dyDescent="0.25">
      <c r="T62586" s="135"/>
      <c r="U62586" s="135"/>
    </row>
    <row r="62587" spans="20:21" ht="15" customHeight="1" x14ac:dyDescent="0.25">
      <c r="T62587" s="135"/>
      <c r="U62587" s="135"/>
    </row>
    <row r="62588" spans="20:21" ht="15" customHeight="1" x14ac:dyDescent="0.25">
      <c r="T62588" s="135"/>
      <c r="U62588" s="135"/>
    </row>
    <row r="62589" spans="20:21" ht="15" customHeight="1" x14ac:dyDescent="0.25">
      <c r="T62589" s="135"/>
      <c r="U62589" s="135"/>
    </row>
    <row r="62590" spans="20:21" ht="15" customHeight="1" x14ac:dyDescent="0.25">
      <c r="T62590" s="135"/>
      <c r="U62590" s="135"/>
    </row>
    <row r="62591" spans="20:21" ht="15" customHeight="1" x14ac:dyDescent="0.25">
      <c r="T62591" s="135"/>
      <c r="U62591" s="135"/>
    </row>
    <row r="62592" spans="20:21" ht="15" customHeight="1" x14ac:dyDescent="0.25">
      <c r="T62592" s="135"/>
      <c r="U62592" s="135"/>
    </row>
    <row r="62593" spans="20:21" ht="15" customHeight="1" x14ac:dyDescent="0.25">
      <c r="T62593" s="135"/>
      <c r="U62593" s="135"/>
    </row>
    <row r="62594" spans="20:21" ht="15" customHeight="1" x14ac:dyDescent="0.25">
      <c r="T62594" s="135"/>
      <c r="U62594" s="135"/>
    </row>
    <row r="62595" spans="20:21" ht="15" customHeight="1" x14ac:dyDescent="0.25">
      <c r="T62595" s="135"/>
      <c r="U62595" s="135"/>
    </row>
    <row r="62596" spans="20:21" ht="15" customHeight="1" x14ac:dyDescent="0.25">
      <c r="T62596" s="135"/>
      <c r="U62596" s="135"/>
    </row>
    <row r="62597" spans="20:21" ht="15" customHeight="1" x14ac:dyDescent="0.25">
      <c r="T62597" s="135"/>
      <c r="U62597" s="135"/>
    </row>
    <row r="62598" spans="20:21" ht="15" customHeight="1" x14ac:dyDescent="0.25">
      <c r="T62598" s="135"/>
      <c r="U62598" s="135"/>
    </row>
    <row r="62599" spans="20:21" ht="15" customHeight="1" x14ac:dyDescent="0.25">
      <c r="T62599" s="135"/>
      <c r="U62599" s="135"/>
    </row>
    <row r="62600" spans="20:21" ht="15" customHeight="1" x14ac:dyDescent="0.25">
      <c r="T62600" s="135"/>
      <c r="U62600" s="135"/>
    </row>
    <row r="62601" spans="20:21" ht="15" customHeight="1" x14ac:dyDescent="0.25">
      <c r="T62601" s="135"/>
      <c r="U62601" s="135"/>
    </row>
    <row r="62602" spans="20:21" ht="15" customHeight="1" x14ac:dyDescent="0.25">
      <c r="T62602" s="135"/>
      <c r="U62602" s="135"/>
    </row>
    <row r="62603" spans="20:21" ht="15" customHeight="1" x14ac:dyDescent="0.25">
      <c r="T62603" s="135"/>
      <c r="U62603" s="135"/>
    </row>
    <row r="62604" spans="20:21" ht="15" customHeight="1" x14ac:dyDescent="0.25">
      <c r="T62604" s="135"/>
      <c r="U62604" s="135"/>
    </row>
    <row r="62605" spans="20:21" ht="15" customHeight="1" x14ac:dyDescent="0.25">
      <c r="T62605" s="135"/>
      <c r="U62605" s="135"/>
    </row>
    <row r="62606" spans="20:21" ht="15" customHeight="1" x14ac:dyDescent="0.25">
      <c r="T62606" s="135"/>
      <c r="U62606" s="135"/>
    </row>
    <row r="62607" spans="20:21" ht="15" customHeight="1" x14ac:dyDescent="0.25">
      <c r="T62607" s="135"/>
      <c r="U62607" s="135"/>
    </row>
    <row r="62608" spans="20:21" ht="15" customHeight="1" x14ac:dyDescent="0.25">
      <c r="T62608" s="135"/>
      <c r="U62608" s="135"/>
    </row>
    <row r="62609" spans="20:21" ht="15" customHeight="1" x14ac:dyDescent="0.25">
      <c r="T62609" s="135"/>
      <c r="U62609" s="135"/>
    </row>
    <row r="62610" spans="20:21" ht="15" customHeight="1" x14ac:dyDescent="0.25">
      <c r="T62610" s="135"/>
      <c r="U62610" s="135"/>
    </row>
    <row r="62611" spans="20:21" ht="15" customHeight="1" x14ac:dyDescent="0.25">
      <c r="T62611" s="135"/>
      <c r="U62611" s="135"/>
    </row>
    <row r="62612" spans="20:21" ht="15" customHeight="1" x14ac:dyDescent="0.25">
      <c r="T62612" s="135"/>
      <c r="U62612" s="135"/>
    </row>
    <row r="62613" spans="20:21" ht="15" customHeight="1" x14ac:dyDescent="0.25">
      <c r="T62613" s="135"/>
      <c r="U62613" s="135"/>
    </row>
    <row r="62614" spans="20:21" ht="15" customHeight="1" x14ac:dyDescent="0.25">
      <c r="T62614" s="135"/>
      <c r="U62614" s="135"/>
    </row>
    <row r="62615" spans="20:21" ht="15" customHeight="1" x14ac:dyDescent="0.25">
      <c r="T62615" s="135"/>
      <c r="U62615" s="135"/>
    </row>
    <row r="62616" spans="20:21" ht="15" customHeight="1" x14ac:dyDescent="0.25">
      <c r="T62616" s="135"/>
      <c r="U62616" s="135"/>
    </row>
    <row r="62617" spans="20:21" ht="15" customHeight="1" x14ac:dyDescent="0.25">
      <c r="T62617" s="135"/>
      <c r="U62617" s="135"/>
    </row>
    <row r="62618" spans="20:21" ht="15" customHeight="1" x14ac:dyDescent="0.25">
      <c r="T62618" s="135"/>
      <c r="U62618" s="135"/>
    </row>
    <row r="62619" spans="20:21" ht="15" customHeight="1" x14ac:dyDescent="0.25">
      <c r="T62619" s="135"/>
      <c r="U62619" s="135"/>
    </row>
    <row r="62620" spans="20:21" ht="15" customHeight="1" x14ac:dyDescent="0.25">
      <c r="T62620" s="135"/>
      <c r="U62620" s="135"/>
    </row>
    <row r="62621" spans="20:21" ht="15" customHeight="1" x14ac:dyDescent="0.25">
      <c r="T62621" s="135"/>
      <c r="U62621" s="135"/>
    </row>
    <row r="62622" spans="20:21" ht="15" customHeight="1" x14ac:dyDescent="0.25">
      <c r="T62622" s="135"/>
      <c r="U62622" s="135"/>
    </row>
    <row r="62623" spans="20:21" ht="15" customHeight="1" x14ac:dyDescent="0.25">
      <c r="T62623" s="135"/>
      <c r="U62623" s="135"/>
    </row>
    <row r="62624" spans="20:21" ht="15" customHeight="1" x14ac:dyDescent="0.25">
      <c r="T62624" s="135"/>
      <c r="U62624" s="135"/>
    </row>
    <row r="62625" spans="20:21" ht="15" customHeight="1" x14ac:dyDescent="0.25">
      <c r="T62625" s="135"/>
      <c r="U62625" s="135"/>
    </row>
    <row r="62626" spans="20:21" ht="15" customHeight="1" x14ac:dyDescent="0.25">
      <c r="T62626" s="135"/>
      <c r="U62626" s="135"/>
    </row>
    <row r="62627" spans="20:21" ht="15" customHeight="1" x14ac:dyDescent="0.25">
      <c r="T62627" s="135"/>
      <c r="U62627" s="135"/>
    </row>
    <row r="62628" spans="20:21" ht="15" customHeight="1" x14ac:dyDescent="0.25">
      <c r="T62628" s="135"/>
      <c r="U62628" s="135"/>
    </row>
    <row r="62629" spans="20:21" ht="15" customHeight="1" x14ac:dyDescent="0.25">
      <c r="T62629" s="135"/>
      <c r="U62629" s="135"/>
    </row>
    <row r="62630" spans="20:21" ht="15" customHeight="1" x14ac:dyDescent="0.25">
      <c r="T62630" s="135"/>
      <c r="U62630" s="135"/>
    </row>
    <row r="62631" spans="20:21" ht="15" customHeight="1" x14ac:dyDescent="0.25">
      <c r="T62631" s="135"/>
      <c r="U62631" s="135"/>
    </row>
    <row r="62632" spans="20:21" ht="15" customHeight="1" x14ac:dyDescent="0.25">
      <c r="T62632" s="135"/>
      <c r="U62632" s="135"/>
    </row>
    <row r="62633" spans="20:21" ht="15" customHeight="1" x14ac:dyDescent="0.25">
      <c r="T62633" s="135"/>
      <c r="U62633" s="135"/>
    </row>
    <row r="62634" spans="20:21" ht="15" customHeight="1" x14ac:dyDescent="0.25">
      <c r="T62634" s="135"/>
      <c r="U62634" s="135"/>
    </row>
    <row r="62635" spans="20:21" ht="15" customHeight="1" x14ac:dyDescent="0.25">
      <c r="T62635" s="135"/>
      <c r="U62635" s="135"/>
    </row>
    <row r="62636" spans="20:21" ht="15" customHeight="1" x14ac:dyDescent="0.25">
      <c r="T62636" s="135"/>
      <c r="U62636" s="135"/>
    </row>
    <row r="62637" spans="20:21" ht="15" customHeight="1" x14ac:dyDescent="0.25">
      <c r="T62637" s="135"/>
      <c r="U62637" s="135"/>
    </row>
    <row r="62638" spans="20:21" ht="15" customHeight="1" x14ac:dyDescent="0.25">
      <c r="T62638" s="135"/>
      <c r="U62638" s="135"/>
    </row>
    <row r="62639" spans="20:21" ht="15" customHeight="1" x14ac:dyDescent="0.25">
      <c r="T62639" s="135"/>
      <c r="U62639" s="135"/>
    </row>
    <row r="62640" spans="20:21" ht="15" customHeight="1" x14ac:dyDescent="0.25">
      <c r="T62640" s="135"/>
      <c r="U62640" s="135"/>
    </row>
    <row r="62641" spans="20:21" ht="15" customHeight="1" x14ac:dyDescent="0.25">
      <c r="T62641" s="135"/>
      <c r="U62641" s="135"/>
    </row>
    <row r="62642" spans="20:21" ht="15" customHeight="1" x14ac:dyDescent="0.25">
      <c r="T62642" s="135"/>
      <c r="U62642" s="135"/>
    </row>
    <row r="62643" spans="20:21" ht="15" customHeight="1" x14ac:dyDescent="0.25">
      <c r="T62643" s="135"/>
      <c r="U62643" s="135"/>
    </row>
    <row r="62644" spans="20:21" ht="15" customHeight="1" x14ac:dyDescent="0.25">
      <c r="T62644" s="135"/>
      <c r="U62644" s="135"/>
    </row>
    <row r="62645" spans="20:21" ht="15" customHeight="1" x14ac:dyDescent="0.25">
      <c r="T62645" s="135"/>
      <c r="U62645" s="135"/>
    </row>
    <row r="62646" spans="20:21" ht="15" customHeight="1" x14ac:dyDescent="0.25">
      <c r="T62646" s="135"/>
      <c r="U62646" s="135"/>
    </row>
    <row r="62647" spans="20:21" ht="15" customHeight="1" x14ac:dyDescent="0.25">
      <c r="T62647" s="135"/>
      <c r="U62647" s="135"/>
    </row>
    <row r="62648" spans="20:21" ht="15" customHeight="1" x14ac:dyDescent="0.25">
      <c r="T62648" s="135"/>
      <c r="U62648" s="135"/>
    </row>
    <row r="62649" spans="20:21" ht="15" customHeight="1" x14ac:dyDescent="0.25">
      <c r="T62649" s="135"/>
      <c r="U62649" s="135"/>
    </row>
    <row r="62650" spans="20:21" ht="15" customHeight="1" x14ac:dyDescent="0.25">
      <c r="T62650" s="135"/>
      <c r="U62650" s="135"/>
    </row>
    <row r="62651" spans="20:21" ht="15" customHeight="1" x14ac:dyDescent="0.25">
      <c r="T62651" s="135"/>
      <c r="U62651" s="135"/>
    </row>
    <row r="62652" spans="20:21" ht="15" customHeight="1" x14ac:dyDescent="0.25">
      <c r="T62652" s="135"/>
      <c r="U62652" s="135"/>
    </row>
    <row r="62653" spans="20:21" ht="15" customHeight="1" x14ac:dyDescent="0.25">
      <c r="T62653" s="135"/>
      <c r="U62653" s="135"/>
    </row>
    <row r="62654" spans="20:21" ht="15" customHeight="1" x14ac:dyDescent="0.25">
      <c r="T62654" s="135"/>
      <c r="U62654" s="135"/>
    </row>
    <row r="62655" spans="20:21" ht="15" customHeight="1" x14ac:dyDescent="0.25">
      <c r="T62655" s="135"/>
      <c r="U62655" s="135"/>
    </row>
    <row r="62656" spans="20:21" ht="15" customHeight="1" x14ac:dyDescent="0.25">
      <c r="T62656" s="135"/>
      <c r="U62656" s="135"/>
    </row>
    <row r="62657" spans="20:21" ht="15" customHeight="1" x14ac:dyDescent="0.25">
      <c r="T62657" s="135"/>
      <c r="U62657" s="135"/>
    </row>
    <row r="62658" spans="20:21" ht="15" customHeight="1" x14ac:dyDescent="0.25">
      <c r="T62658" s="135"/>
      <c r="U62658" s="135"/>
    </row>
    <row r="62659" spans="20:21" ht="15" customHeight="1" x14ac:dyDescent="0.25">
      <c r="T62659" s="135"/>
      <c r="U62659" s="135"/>
    </row>
    <row r="62660" spans="20:21" ht="15" customHeight="1" x14ac:dyDescent="0.25">
      <c r="T62660" s="135"/>
      <c r="U62660" s="135"/>
    </row>
    <row r="62661" spans="20:21" ht="15" customHeight="1" x14ac:dyDescent="0.25">
      <c r="T62661" s="135"/>
      <c r="U62661" s="135"/>
    </row>
    <row r="62662" spans="20:21" ht="15" customHeight="1" x14ac:dyDescent="0.25">
      <c r="T62662" s="135"/>
      <c r="U62662" s="135"/>
    </row>
    <row r="62663" spans="20:21" ht="15" customHeight="1" x14ac:dyDescent="0.25">
      <c r="T62663" s="135"/>
      <c r="U62663" s="135"/>
    </row>
    <row r="62664" spans="20:21" ht="15" customHeight="1" x14ac:dyDescent="0.25">
      <c r="T62664" s="135"/>
      <c r="U62664" s="135"/>
    </row>
    <row r="62665" spans="20:21" ht="15" customHeight="1" x14ac:dyDescent="0.25">
      <c r="T62665" s="135"/>
      <c r="U62665" s="135"/>
    </row>
    <row r="62666" spans="20:21" ht="15" customHeight="1" x14ac:dyDescent="0.25">
      <c r="T62666" s="135"/>
      <c r="U62666" s="135"/>
    </row>
    <row r="62667" spans="20:21" ht="15" customHeight="1" x14ac:dyDescent="0.25">
      <c r="T62667" s="135"/>
      <c r="U62667" s="135"/>
    </row>
    <row r="62668" spans="20:21" ht="15" customHeight="1" x14ac:dyDescent="0.25">
      <c r="T62668" s="135"/>
      <c r="U62668" s="135"/>
    </row>
    <row r="62669" spans="20:21" ht="15" customHeight="1" x14ac:dyDescent="0.25">
      <c r="T62669" s="135"/>
      <c r="U62669" s="135"/>
    </row>
    <row r="62670" spans="20:21" ht="15" customHeight="1" x14ac:dyDescent="0.25">
      <c r="T62670" s="135"/>
      <c r="U62670" s="135"/>
    </row>
    <row r="62671" spans="20:21" ht="15" customHeight="1" x14ac:dyDescent="0.25">
      <c r="T62671" s="135"/>
      <c r="U62671" s="135"/>
    </row>
    <row r="62672" spans="20:21" ht="15" customHeight="1" x14ac:dyDescent="0.25">
      <c r="T62672" s="135"/>
      <c r="U62672" s="135"/>
    </row>
    <row r="62673" spans="20:21" ht="15" customHeight="1" x14ac:dyDescent="0.25">
      <c r="T62673" s="135"/>
      <c r="U62673" s="135"/>
    </row>
    <row r="62674" spans="20:21" ht="15" customHeight="1" x14ac:dyDescent="0.25">
      <c r="T62674" s="135"/>
      <c r="U62674" s="135"/>
    </row>
    <row r="62675" spans="20:21" ht="15" customHeight="1" x14ac:dyDescent="0.25">
      <c r="T62675" s="135"/>
      <c r="U62675" s="135"/>
    </row>
    <row r="62676" spans="20:21" ht="15" customHeight="1" x14ac:dyDescent="0.25">
      <c r="T62676" s="135"/>
      <c r="U62676" s="135"/>
    </row>
    <row r="62677" spans="20:21" ht="15" customHeight="1" x14ac:dyDescent="0.25">
      <c r="T62677" s="135"/>
      <c r="U62677" s="135"/>
    </row>
    <row r="62678" spans="20:21" ht="15" customHeight="1" x14ac:dyDescent="0.25">
      <c r="T62678" s="135"/>
      <c r="U62678" s="135"/>
    </row>
    <row r="62679" spans="20:21" ht="15" customHeight="1" x14ac:dyDescent="0.25">
      <c r="T62679" s="135"/>
      <c r="U62679" s="135"/>
    </row>
    <row r="62680" spans="20:21" ht="15" customHeight="1" x14ac:dyDescent="0.25">
      <c r="T62680" s="135"/>
      <c r="U62680" s="135"/>
    </row>
    <row r="62681" spans="20:21" ht="15" customHeight="1" x14ac:dyDescent="0.25">
      <c r="T62681" s="135"/>
      <c r="U62681" s="135"/>
    </row>
    <row r="62682" spans="20:21" ht="15" customHeight="1" x14ac:dyDescent="0.25">
      <c r="T62682" s="135"/>
      <c r="U62682" s="135"/>
    </row>
    <row r="62683" spans="20:21" ht="15" customHeight="1" x14ac:dyDescent="0.25">
      <c r="T62683" s="135"/>
      <c r="U62683" s="135"/>
    </row>
    <row r="62684" spans="20:21" ht="15" customHeight="1" x14ac:dyDescent="0.25">
      <c r="T62684" s="135"/>
      <c r="U62684" s="135"/>
    </row>
    <row r="62685" spans="20:21" ht="15" customHeight="1" x14ac:dyDescent="0.25">
      <c r="T62685" s="135"/>
      <c r="U62685" s="135"/>
    </row>
    <row r="62686" spans="20:21" ht="15" customHeight="1" x14ac:dyDescent="0.25">
      <c r="T62686" s="135"/>
      <c r="U62686" s="135"/>
    </row>
    <row r="62687" spans="20:21" ht="15" customHeight="1" x14ac:dyDescent="0.25">
      <c r="T62687" s="135"/>
      <c r="U62687" s="135"/>
    </row>
    <row r="62688" spans="20:21" ht="15" customHeight="1" x14ac:dyDescent="0.25">
      <c r="T62688" s="135"/>
      <c r="U62688" s="135"/>
    </row>
    <row r="62689" spans="20:21" ht="15" customHeight="1" x14ac:dyDescent="0.25">
      <c r="T62689" s="135"/>
      <c r="U62689" s="135"/>
    </row>
    <row r="62690" spans="20:21" ht="15" customHeight="1" x14ac:dyDescent="0.25">
      <c r="T62690" s="135"/>
      <c r="U62690" s="135"/>
    </row>
    <row r="62691" spans="20:21" ht="15" customHeight="1" x14ac:dyDescent="0.25">
      <c r="T62691" s="135"/>
      <c r="U62691" s="135"/>
    </row>
    <row r="62692" spans="20:21" ht="15" customHeight="1" x14ac:dyDescent="0.25">
      <c r="T62692" s="135"/>
      <c r="U62692" s="135"/>
    </row>
    <row r="62693" spans="20:21" ht="15" customHeight="1" x14ac:dyDescent="0.25">
      <c r="T62693" s="135"/>
      <c r="U62693" s="135"/>
    </row>
    <row r="62694" spans="20:21" ht="15" customHeight="1" x14ac:dyDescent="0.25">
      <c r="T62694" s="135"/>
      <c r="U62694" s="135"/>
    </row>
    <row r="62695" spans="20:21" ht="15" customHeight="1" x14ac:dyDescent="0.25">
      <c r="T62695" s="135"/>
      <c r="U62695" s="135"/>
    </row>
    <row r="62696" spans="20:21" ht="15" customHeight="1" x14ac:dyDescent="0.25">
      <c r="T62696" s="135"/>
      <c r="U62696" s="135"/>
    </row>
    <row r="62697" spans="20:21" ht="15" customHeight="1" x14ac:dyDescent="0.25">
      <c r="T62697" s="135"/>
      <c r="U62697" s="135"/>
    </row>
    <row r="62698" spans="20:21" ht="15" customHeight="1" x14ac:dyDescent="0.25">
      <c r="T62698" s="135"/>
      <c r="U62698" s="135"/>
    </row>
    <row r="62699" spans="20:21" ht="15" customHeight="1" x14ac:dyDescent="0.25">
      <c r="T62699" s="135"/>
      <c r="U62699" s="135"/>
    </row>
    <row r="62700" spans="20:21" ht="15" customHeight="1" x14ac:dyDescent="0.25">
      <c r="T62700" s="135"/>
      <c r="U62700" s="135"/>
    </row>
    <row r="62701" spans="20:21" ht="15" customHeight="1" x14ac:dyDescent="0.25">
      <c r="T62701" s="135"/>
      <c r="U62701" s="135"/>
    </row>
    <row r="62702" spans="20:21" ht="15" customHeight="1" x14ac:dyDescent="0.25">
      <c r="T62702" s="135"/>
      <c r="U62702" s="135"/>
    </row>
    <row r="62703" spans="20:21" ht="15" customHeight="1" x14ac:dyDescent="0.25">
      <c r="T62703" s="135"/>
      <c r="U62703" s="135"/>
    </row>
    <row r="62704" spans="20:21" ht="15" customHeight="1" x14ac:dyDescent="0.25">
      <c r="T62704" s="135"/>
      <c r="U62704" s="135"/>
    </row>
    <row r="62705" spans="20:21" ht="15" customHeight="1" x14ac:dyDescent="0.25">
      <c r="T62705" s="135"/>
      <c r="U62705" s="135"/>
    </row>
    <row r="62706" spans="20:21" ht="15" customHeight="1" x14ac:dyDescent="0.25">
      <c r="T62706" s="135"/>
      <c r="U62706" s="135"/>
    </row>
    <row r="62707" spans="20:21" ht="15" customHeight="1" x14ac:dyDescent="0.25">
      <c r="T62707" s="135"/>
      <c r="U62707" s="135"/>
    </row>
    <row r="62708" spans="20:21" ht="15" customHeight="1" x14ac:dyDescent="0.25">
      <c r="T62708" s="135"/>
      <c r="U62708" s="135"/>
    </row>
    <row r="62709" spans="20:21" ht="15" customHeight="1" x14ac:dyDescent="0.25">
      <c r="T62709" s="135"/>
      <c r="U62709" s="135"/>
    </row>
    <row r="62710" spans="20:21" ht="15" customHeight="1" x14ac:dyDescent="0.25">
      <c r="T62710" s="135"/>
      <c r="U62710" s="135"/>
    </row>
    <row r="62711" spans="20:21" ht="15" customHeight="1" x14ac:dyDescent="0.25">
      <c r="T62711" s="135"/>
      <c r="U62711" s="135"/>
    </row>
    <row r="62712" spans="20:21" ht="15" customHeight="1" x14ac:dyDescent="0.25">
      <c r="T62712" s="135"/>
      <c r="U62712" s="135"/>
    </row>
    <row r="62713" spans="20:21" ht="15" customHeight="1" x14ac:dyDescent="0.25">
      <c r="T62713" s="135"/>
      <c r="U62713" s="135"/>
    </row>
    <row r="62714" spans="20:21" ht="15" customHeight="1" x14ac:dyDescent="0.25">
      <c r="T62714" s="135"/>
      <c r="U62714" s="135"/>
    </row>
    <row r="62715" spans="20:21" ht="15" customHeight="1" x14ac:dyDescent="0.25">
      <c r="T62715" s="135"/>
      <c r="U62715" s="135"/>
    </row>
    <row r="62716" spans="20:21" ht="15" customHeight="1" x14ac:dyDescent="0.25">
      <c r="T62716" s="135"/>
      <c r="U62716" s="135"/>
    </row>
    <row r="62717" spans="20:21" ht="15" customHeight="1" x14ac:dyDescent="0.25">
      <c r="T62717" s="135"/>
      <c r="U62717" s="135"/>
    </row>
    <row r="62718" spans="20:21" ht="15" customHeight="1" x14ac:dyDescent="0.25">
      <c r="T62718" s="135"/>
      <c r="U62718" s="135"/>
    </row>
    <row r="62719" spans="20:21" ht="15" customHeight="1" x14ac:dyDescent="0.25">
      <c r="T62719" s="135"/>
      <c r="U62719" s="135"/>
    </row>
    <row r="62720" spans="20:21" ht="15" customHeight="1" x14ac:dyDescent="0.25">
      <c r="T62720" s="135"/>
      <c r="U62720" s="135"/>
    </row>
    <row r="62721" spans="20:21" ht="15" customHeight="1" x14ac:dyDescent="0.25">
      <c r="T62721" s="135"/>
      <c r="U62721" s="135"/>
    </row>
    <row r="62722" spans="20:21" ht="15" customHeight="1" x14ac:dyDescent="0.25">
      <c r="T62722" s="135"/>
      <c r="U62722" s="135"/>
    </row>
    <row r="62723" spans="20:21" ht="15" customHeight="1" x14ac:dyDescent="0.25">
      <c r="T62723" s="135"/>
      <c r="U62723" s="135"/>
    </row>
    <row r="62724" spans="20:21" ht="15" customHeight="1" x14ac:dyDescent="0.25">
      <c r="T62724" s="135"/>
      <c r="U62724" s="135"/>
    </row>
    <row r="62725" spans="20:21" ht="15" customHeight="1" x14ac:dyDescent="0.25">
      <c r="T62725" s="135"/>
      <c r="U62725" s="135"/>
    </row>
    <row r="62726" spans="20:21" ht="15" customHeight="1" x14ac:dyDescent="0.25">
      <c r="T62726" s="135"/>
      <c r="U62726" s="135"/>
    </row>
    <row r="62727" spans="20:21" ht="15" customHeight="1" x14ac:dyDescent="0.25">
      <c r="T62727" s="135"/>
      <c r="U62727" s="135"/>
    </row>
    <row r="62728" spans="20:21" ht="15" customHeight="1" x14ac:dyDescent="0.25">
      <c r="T62728" s="135"/>
      <c r="U62728" s="135"/>
    </row>
    <row r="62729" spans="20:21" ht="15" customHeight="1" x14ac:dyDescent="0.25">
      <c r="T62729" s="135"/>
      <c r="U62729" s="135"/>
    </row>
    <row r="62730" spans="20:21" ht="15" customHeight="1" x14ac:dyDescent="0.25">
      <c r="T62730" s="135"/>
      <c r="U62730" s="135"/>
    </row>
    <row r="62731" spans="20:21" ht="15" customHeight="1" x14ac:dyDescent="0.25">
      <c r="T62731" s="135"/>
      <c r="U62731" s="135"/>
    </row>
    <row r="62732" spans="20:21" ht="15" customHeight="1" x14ac:dyDescent="0.25">
      <c r="T62732" s="135"/>
      <c r="U62732" s="135"/>
    </row>
    <row r="62733" spans="20:21" ht="15" customHeight="1" x14ac:dyDescent="0.25">
      <c r="T62733" s="135"/>
      <c r="U62733" s="135"/>
    </row>
    <row r="62734" spans="20:21" ht="15" customHeight="1" x14ac:dyDescent="0.25">
      <c r="T62734" s="135"/>
      <c r="U62734" s="135"/>
    </row>
    <row r="62735" spans="20:21" ht="15" customHeight="1" x14ac:dyDescent="0.25">
      <c r="T62735" s="135"/>
      <c r="U62735" s="135"/>
    </row>
    <row r="62736" spans="20:21" ht="15" customHeight="1" x14ac:dyDescent="0.25">
      <c r="T62736" s="135"/>
      <c r="U62736" s="135"/>
    </row>
    <row r="62737" spans="20:21" ht="15" customHeight="1" x14ac:dyDescent="0.25">
      <c r="T62737" s="135"/>
      <c r="U62737" s="135"/>
    </row>
    <row r="62738" spans="20:21" ht="15" customHeight="1" x14ac:dyDescent="0.25">
      <c r="T62738" s="135"/>
      <c r="U62738" s="135"/>
    </row>
    <row r="62739" spans="20:21" ht="15" customHeight="1" x14ac:dyDescent="0.25">
      <c r="T62739" s="135"/>
      <c r="U62739" s="135"/>
    </row>
    <row r="62740" spans="20:21" ht="15" customHeight="1" x14ac:dyDescent="0.25">
      <c r="T62740" s="135"/>
      <c r="U62740" s="135"/>
    </row>
    <row r="62741" spans="20:21" ht="15" customHeight="1" x14ac:dyDescent="0.25">
      <c r="T62741" s="135"/>
      <c r="U62741" s="135"/>
    </row>
    <row r="62742" spans="20:21" ht="15" customHeight="1" x14ac:dyDescent="0.25">
      <c r="T62742" s="135"/>
      <c r="U62742" s="135"/>
    </row>
    <row r="62743" spans="20:21" ht="15" customHeight="1" x14ac:dyDescent="0.25">
      <c r="T62743" s="135"/>
      <c r="U62743" s="135"/>
    </row>
    <row r="62744" spans="20:21" ht="15" customHeight="1" x14ac:dyDescent="0.25">
      <c r="T62744" s="135"/>
      <c r="U62744" s="135"/>
    </row>
    <row r="62745" spans="20:21" ht="15" customHeight="1" x14ac:dyDescent="0.25">
      <c r="T62745" s="135"/>
      <c r="U62745" s="135"/>
    </row>
    <row r="62746" spans="20:21" ht="15" customHeight="1" x14ac:dyDescent="0.25">
      <c r="T62746" s="135"/>
      <c r="U62746" s="135"/>
    </row>
    <row r="62747" spans="20:21" ht="15" customHeight="1" x14ac:dyDescent="0.25">
      <c r="T62747" s="135"/>
      <c r="U62747" s="135"/>
    </row>
    <row r="62748" spans="20:21" ht="15" customHeight="1" x14ac:dyDescent="0.25">
      <c r="T62748" s="135"/>
      <c r="U62748" s="135"/>
    </row>
    <row r="62749" spans="20:21" ht="15" customHeight="1" x14ac:dyDescent="0.25">
      <c r="T62749" s="135"/>
      <c r="U62749" s="135"/>
    </row>
    <row r="62750" spans="20:21" ht="15" customHeight="1" x14ac:dyDescent="0.25">
      <c r="T62750" s="135"/>
      <c r="U62750" s="135"/>
    </row>
    <row r="62751" spans="20:21" ht="15" customHeight="1" x14ac:dyDescent="0.25">
      <c r="T62751" s="135"/>
      <c r="U62751" s="135"/>
    </row>
    <row r="62752" spans="20:21" ht="15" customHeight="1" x14ac:dyDescent="0.25">
      <c r="T62752" s="135"/>
      <c r="U62752" s="135"/>
    </row>
    <row r="62753" spans="20:21" ht="15" customHeight="1" x14ac:dyDescent="0.25">
      <c r="T62753" s="135"/>
      <c r="U62753" s="135"/>
    </row>
    <row r="62754" spans="20:21" ht="15" customHeight="1" x14ac:dyDescent="0.25">
      <c r="T62754" s="135"/>
      <c r="U62754" s="135"/>
    </row>
    <row r="62755" spans="20:21" ht="15" customHeight="1" x14ac:dyDescent="0.25">
      <c r="T62755" s="135"/>
      <c r="U62755" s="135"/>
    </row>
    <row r="62756" spans="20:21" ht="15" customHeight="1" x14ac:dyDescent="0.25">
      <c r="T62756" s="135"/>
      <c r="U62756" s="135"/>
    </row>
    <row r="62757" spans="20:21" ht="15" customHeight="1" x14ac:dyDescent="0.25">
      <c r="T62757" s="135"/>
      <c r="U62757" s="135"/>
    </row>
    <row r="62758" spans="20:21" ht="15" customHeight="1" x14ac:dyDescent="0.25">
      <c r="T62758" s="135"/>
      <c r="U62758" s="135"/>
    </row>
    <row r="62759" spans="20:21" ht="15" customHeight="1" x14ac:dyDescent="0.25">
      <c r="T62759" s="135"/>
      <c r="U62759" s="135"/>
    </row>
    <row r="62760" spans="20:21" ht="15" customHeight="1" x14ac:dyDescent="0.25">
      <c r="T62760" s="135"/>
      <c r="U62760" s="135"/>
    </row>
    <row r="62761" spans="20:21" ht="15" customHeight="1" x14ac:dyDescent="0.25">
      <c r="T62761" s="135"/>
      <c r="U62761" s="135"/>
    </row>
    <row r="62762" spans="20:21" ht="15" customHeight="1" x14ac:dyDescent="0.25">
      <c r="T62762" s="135"/>
      <c r="U62762" s="135"/>
    </row>
    <row r="62763" spans="20:21" ht="15" customHeight="1" x14ac:dyDescent="0.25">
      <c r="T62763" s="135"/>
      <c r="U62763" s="135"/>
    </row>
    <row r="62764" spans="20:21" ht="15" customHeight="1" x14ac:dyDescent="0.25">
      <c r="T62764" s="135"/>
      <c r="U62764" s="135"/>
    </row>
    <row r="62765" spans="20:21" ht="15" customHeight="1" x14ac:dyDescent="0.25">
      <c r="T62765" s="135"/>
      <c r="U62765" s="135"/>
    </row>
    <row r="62766" spans="20:21" ht="15" customHeight="1" x14ac:dyDescent="0.25">
      <c r="T62766" s="135"/>
      <c r="U62766" s="135"/>
    </row>
    <row r="62767" spans="20:21" ht="15" customHeight="1" x14ac:dyDescent="0.25">
      <c r="T62767" s="135"/>
      <c r="U62767" s="135"/>
    </row>
    <row r="62768" spans="20:21" ht="15" customHeight="1" x14ac:dyDescent="0.25">
      <c r="T62768" s="135"/>
      <c r="U62768" s="135"/>
    </row>
    <row r="62769" spans="20:21" ht="15" customHeight="1" x14ac:dyDescent="0.25">
      <c r="T62769" s="135"/>
      <c r="U62769" s="135"/>
    </row>
    <row r="62770" spans="20:21" ht="15" customHeight="1" x14ac:dyDescent="0.25">
      <c r="T62770" s="135"/>
      <c r="U62770" s="135"/>
    </row>
    <row r="62771" spans="20:21" ht="15" customHeight="1" x14ac:dyDescent="0.25">
      <c r="T62771" s="135"/>
      <c r="U62771" s="135"/>
    </row>
    <row r="62772" spans="20:21" ht="15" customHeight="1" x14ac:dyDescent="0.25">
      <c r="T62772" s="135"/>
      <c r="U62772" s="135"/>
    </row>
    <row r="62773" spans="20:21" ht="15" customHeight="1" x14ac:dyDescent="0.25">
      <c r="T62773" s="135"/>
      <c r="U62773" s="135"/>
    </row>
    <row r="62774" spans="20:21" ht="15" customHeight="1" x14ac:dyDescent="0.25">
      <c r="T62774" s="135"/>
      <c r="U62774" s="135"/>
    </row>
    <row r="62775" spans="20:21" ht="15" customHeight="1" x14ac:dyDescent="0.25">
      <c r="T62775" s="135"/>
      <c r="U62775" s="135"/>
    </row>
    <row r="62776" spans="20:21" ht="15" customHeight="1" x14ac:dyDescent="0.25">
      <c r="T62776" s="135"/>
      <c r="U62776" s="135"/>
    </row>
    <row r="62777" spans="20:21" ht="15" customHeight="1" x14ac:dyDescent="0.25">
      <c r="T62777" s="135"/>
      <c r="U62777" s="135"/>
    </row>
    <row r="62778" spans="20:21" ht="15" customHeight="1" x14ac:dyDescent="0.25">
      <c r="T62778" s="135"/>
      <c r="U62778" s="135"/>
    </row>
    <row r="62779" spans="20:21" ht="15" customHeight="1" x14ac:dyDescent="0.25">
      <c r="T62779" s="135"/>
      <c r="U62779" s="135"/>
    </row>
    <row r="62780" spans="20:21" ht="15" customHeight="1" x14ac:dyDescent="0.25">
      <c r="T62780" s="135"/>
      <c r="U62780" s="135"/>
    </row>
    <row r="62781" spans="20:21" ht="15" customHeight="1" x14ac:dyDescent="0.25">
      <c r="T62781" s="135"/>
      <c r="U62781" s="135"/>
    </row>
    <row r="62782" spans="20:21" ht="15" customHeight="1" x14ac:dyDescent="0.25">
      <c r="T62782" s="135"/>
      <c r="U62782" s="135"/>
    </row>
    <row r="62783" spans="20:21" ht="15" customHeight="1" x14ac:dyDescent="0.25">
      <c r="T62783" s="135"/>
      <c r="U62783" s="135"/>
    </row>
    <row r="62784" spans="20:21" ht="15" customHeight="1" x14ac:dyDescent="0.25">
      <c r="T62784" s="135"/>
      <c r="U62784" s="135"/>
    </row>
    <row r="62785" spans="20:21" ht="15" customHeight="1" x14ac:dyDescent="0.25">
      <c r="T62785" s="135"/>
      <c r="U62785" s="135"/>
    </row>
    <row r="62786" spans="20:21" ht="15" customHeight="1" x14ac:dyDescent="0.25">
      <c r="T62786" s="135"/>
      <c r="U62786" s="135"/>
    </row>
    <row r="62787" spans="20:21" ht="15" customHeight="1" x14ac:dyDescent="0.25">
      <c r="T62787" s="135"/>
      <c r="U62787" s="135"/>
    </row>
    <row r="62788" spans="20:21" ht="15" customHeight="1" x14ac:dyDescent="0.25">
      <c r="T62788" s="135"/>
      <c r="U62788" s="135"/>
    </row>
    <row r="62789" spans="20:21" ht="15" customHeight="1" x14ac:dyDescent="0.25">
      <c r="T62789" s="135"/>
      <c r="U62789" s="135"/>
    </row>
    <row r="62790" spans="20:21" ht="15" customHeight="1" x14ac:dyDescent="0.25">
      <c r="T62790" s="135"/>
      <c r="U62790" s="135"/>
    </row>
    <row r="62791" spans="20:21" ht="15" customHeight="1" x14ac:dyDescent="0.25">
      <c r="T62791" s="135"/>
      <c r="U62791" s="135"/>
    </row>
    <row r="62792" spans="20:21" ht="15" customHeight="1" x14ac:dyDescent="0.25">
      <c r="T62792" s="135"/>
      <c r="U62792" s="135"/>
    </row>
    <row r="62793" spans="20:21" ht="15" customHeight="1" x14ac:dyDescent="0.25">
      <c r="T62793" s="135"/>
      <c r="U62793" s="135"/>
    </row>
    <row r="62794" spans="20:21" ht="15" customHeight="1" x14ac:dyDescent="0.25">
      <c r="T62794" s="135"/>
      <c r="U62794" s="135"/>
    </row>
    <row r="62795" spans="20:21" ht="15" customHeight="1" x14ac:dyDescent="0.25">
      <c r="T62795" s="135"/>
      <c r="U62795" s="135"/>
    </row>
    <row r="62796" spans="20:21" ht="15" customHeight="1" x14ac:dyDescent="0.25">
      <c r="T62796" s="135"/>
      <c r="U62796" s="135"/>
    </row>
    <row r="62797" spans="20:21" ht="15" customHeight="1" x14ac:dyDescent="0.25">
      <c r="T62797" s="135"/>
      <c r="U62797" s="135"/>
    </row>
    <row r="62798" spans="20:21" ht="15" customHeight="1" x14ac:dyDescent="0.25">
      <c r="T62798" s="135"/>
      <c r="U62798" s="135"/>
    </row>
    <row r="62799" spans="20:21" ht="15" customHeight="1" x14ac:dyDescent="0.25">
      <c r="T62799" s="135"/>
      <c r="U62799" s="135"/>
    </row>
    <row r="62800" spans="20:21" ht="15" customHeight="1" x14ac:dyDescent="0.25">
      <c r="T62800" s="135"/>
      <c r="U62800" s="135"/>
    </row>
    <row r="62801" spans="20:21" ht="15" customHeight="1" x14ac:dyDescent="0.25">
      <c r="T62801" s="135"/>
      <c r="U62801" s="135"/>
    </row>
    <row r="62802" spans="20:21" ht="15" customHeight="1" x14ac:dyDescent="0.25">
      <c r="T62802" s="135"/>
      <c r="U62802" s="135"/>
    </row>
    <row r="62803" spans="20:21" ht="15" customHeight="1" x14ac:dyDescent="0.25">
      <c r="T62803" s="135"/>
      <c r="U62803" s="135"/>
    </row>
    <row r="62804" spans="20:21" ht="15" customHeight="1" x14ac:dyDescent="0.25">
      <c r="T62804" s="135"/>
      <c r="U62804" s="135"/>
    </row>
    <row r="62805" spans="20:21" ht="15" customHeight="1" x14ac:dyDescent="0.25">
      <c r="T62805" s="135"/>
      <c r="U62805" s="135"/>
    </row>
    <row r="62806" spans="20:21" ht="15" customHeight="1" x14ac:dyDescent="0.25">
      <c r="T62806" s="135"/>
      <c r="U62806" s="135"/>
    </row>
    <row r="62807" spans="20:21" ht="15" customHeight="1" x14ac:dyDescent="0.25">
      <c r="T62807" s="135"/>
      <c r="U62807" s="135"/>
    </row>
    <row r="62808" spans="20:21" ht="15" customHeight="1" x14ac:dyDescent="0.25">
      <c r="T62808" s="135"/>
      <c r="U62808" s="135"/>
    </row>
    <row r="62809" spans="20:21" ht="15" customHeight="1" x14ac:dyDescent="0.25">
      <c r="T62809" s="135"/>
      <c r="U62809" s="135"/>
    </row>
    <row r="62810" spans="20:21" ht="15" customHeight="1" x14ac:dyDescent="0.25">
      <c r="T62810" s="135"/>
      <c r="U62810" s="135"/>
    </row>
    <row r="62811" spans="20:21" ht="15" customHeight="1" x14ac:dyDescent="0.25">
      <c r="T62811" s="135"/>
      <c r="U62811" s="135"/>
    </row>
    <row r="62812" spans="20:21" ht="15" customHeight="1" x14ac:dyDescent="0.25">
      <c r="T62812" s="135"/>
      <c r="U62812" s="135"/>
    </row>
    <row r="62813" spans="20:21" ht="15" customHeight="1" x14ac:dyDescent="0.25">
      <c r="T62813" s="135"/>
      <c r="U62813" s="135"/>
    </row>
    <row r="62814" spans="20:21" ht="15" customHeight="1" x14ac:dyDescent="0.25">
      <c r="T62814" s="135"/>
      <c r="U62814" s="135"/>
    </row>
    <row r="62815" spans="20:21" ht="15" customHeight="1" x14ac:dyDescent="0.25">
      <c r="T62815" s="135"/>
      <c r="U62815" s="135"/>
    </row>
    <row r="62816" spans="20:21" ht="15" customHeight="1" x14ac:dyDescent="0.25">
      <c r="T62816" s="135"/>
      <c r="U62816" s="135"/>
    </row>
    <row r="62817" spans="20:21" ht="15" customHeight="1" x14ac:dyDescent="0.25">
      <c r="T62817" s="135"/>
      <c r="U62817" s="135"/>
    </row>
    <row r="62818" spans="20:21" ht="15" customHeight="1" x14ac:dyDescent="0.25">
      <c r="T62818" s="135"/>
      <c r="U62818" s="135"/>
    </row>
    <row r="62819" spans="20:21" ht="15" customHeight="1" x14ac:dyDescent="0.25">
      <c r="T62819" s="135"/>
      <c r="U62819" s="135"/>
    </row>
    <row r="62820" spans="20:21" ht="15" customHeight="1" x14ac:dyDescent="0.25">
      <c r="T62820" s="135"/>
      <c r="U62820" s="135"/>
    </row>
    <row r="62821" spans="20:21" ht="15" customHeight="1" x14ac:dyDescent="0.25">
      <c r="T62821" s="135"/>
      <c r="U62821" s="135"/>
    </row>
    <row r="62822" spans="20:21" ht="15" customHeight="1" x14ac:dyDescent="0.25">
      <c r="T62822" s="135"/>
      <c r="U62822" s="135"/>
    </row>
    <row r="62823" spans="20:21" ht="15" customHeight="1" x14ac:dyDescent="0.25">
      <c r="T62823" s="135"/>
      <c r="U62823" s="135"/>
    </row>
    <row r="62824" spans="20:21" ht="15" customHeight="1" x14ac:dyDescent="0.25">
      <c r="T62824" s="135"/>
      <c r="U62824" s="135"/>
    </row>
    <row r="62825" spans="20:21" ht="15" customHeight="1" x14ac:dyDescent="0.25">
      <c r="T62825" s="135"/>
      <c r="U62825" s="135"/>
    </row>
    <row r="62826" spans="20:21" ht="15" customHeight="1" x14ac:dyDescent="0.25">
      <c r="T62826" s="135"/>
      <c r="U62826" s="135"/>
    </row>
    <row r="62827" spans="20:21" ht="15" customHeight="1" x14ac:dyDescent="0.25">
      <c r="T62827" s="135"/>
      <c r="U62827" s="135"/>
    </row>
    <row r="62828" spans="20:21" ht="15" customHeight="1" x14ac:dyDescent="0.25">
      <c r="T62828" s="135"/>
      <c r="U62828" s="135"/>
    </row>
    <row r="62829" spans="20:21" ht="15" customHeight="1" x14ac:dyDescent="0.25">
      <c r="T62829" s="135"/>
      <c r="U62829" s="135"/>
    </row>
    <row r="62830" spans="20:21" ht="15" customHeight="1" x14ac:dyDescent="0.25">
      <c r="T62830" s="135"/>
      <c r="U62830" s="135"/>
    </row>
    <row r="62831" spans="20:21" ht="15" customHeight="1" x14ac:dyDescent="0.25">
      <c r="T62831" s="135"/>
      <c r="U62831" s="135"/>
    </row>
    <row r="62832" spans="20:21" ht="15" customHeight="1" x14ac:dyDescent="0.25">
      <c r="T62832" s="135"/>
      <c r="U62832" s="135"/>
    </row>
    <row r="62833" spans="20:21" ht="15" customHeight="1" x14ac:dyDescent="0.25">
      <c r="T62833" s="135"/>
      <c r="U62833" s="135"/>
    </row>
    <row r="62834" spans="20:21" ht="15" customHeight="1" x14ac:dyDescent="0.25">
      <c r="T62834" s="135"/>
      <c r="U62834" s="135"/>
    </row>
    <row r="62835" spans="20:21" ht="15" customHeight="1" x14ac:dyDescent="0.25">
      <c r="T62835" s="135"/>
      <c r="U62835" s="135"/>
    </row>
    <row r="62836" spans="20:21" ht="15" customHeight="1" x14ac:dyDescent="0.25">
      <c r="T62836" s="135"/>
      <c r="U62836" s="135"/>
    </row>
    <row r="62837" spans="20:21" ht="15" customHeight="1" x14ac:dyDescent="0.25">
      <c r="T62837" s="135"/>
      <c r="U62837" s="135"/>
    </row>
    <row r="62838" spans="20:21" ht="15" customHeight="1" x14ac:dyDescent="0.25">
      <c r="T62838" s="135"/>
      <c r="U62838" s="135"/>
    </row>
    <row r="62839" spans="20:21" ht="15" customHeight="1" x14ac:dyDescent="0.25">
      <c r="T62839" s="135"/>
      <c r="U62839" s="135"/>
    </row>
    <row r="62840" spans="20:21" ht="15" customHeight="1" x14ac:dyDescent="0.25">
      <c r="T62840" s="135"/>
      <c r="U62840" s="135"/>
    </row>
    <row r="62841" spans="20:21" ht="15" customHeight="1" x14ac:dyDescent="0.25">
      <c r="T62841" s="135"/>
      <c r="U62841" s="135"/>
    </row>
    <row r="62842" spans="20:21" ht="15" customHeight="1" x14ac:dyDescent="0.25">
      <c r="T62842" s="135"/>
      <c r="U62842" s="135"/>
    </row>
    <row r="62843" spans="20:21" ht="15" customHeight="1" x14ac:dyDescent="0.25">
      <c r="T62843" s="135"/>
      <c r="U62843" s="135"/>
    </row>
    <row r="62844" spans="20:21" ht="15" customHeight="1" x14ac:dyDescent="0.25">
      <c r="T62844" s="135"/>
      <c r="U62844" s="135"/>
    </row>
    <row r="62845" spans="20:21" ht="15" customHeight="1" x14ac:dyDescent="0.25">
      <c r="T62845" s="135"/>
      <c r="U62845" s="135"/>
    </row>
    <row r="62846" spans="20:21" ht="15" customHeight="1" x14ac:dyDescent="0.25">
      <c r="T62846" s="135"/>
      <c r="U62846" s="135"/>
    </row>
    <row r="62847" spans="20:21" ht="15" customHeight="1" x14ac:dyDescent="0.25">
      <c r="T62847" s="135"/>
      <c r="U62847" s="135"/>
    </row>
    <row r="62848" spans="20:21" ht="15" customHeight="1" x14ac:dyDescent="0.25">
      <c r="T62848" s="135"/>
      <c r="U62848" s="135"/>
    </row>
    <row r="62849" spans="20:21" ht="15" customHeight="1" x14ac:dyDescent="0.25">
      <c r="T62849" s="135"/>
      <c r="U62849" s="135"/>
    </row>
    <row r="62850" spans="20:21" ht="15" customHeight="1" x14ac:dyDescent="0.25">
      <c r="T62850" s="135"/>
      <c r="U62850" s="135"/>
    </row>
    <row r="62851" spans="20:21" ht="15" customHeight="1" x14ac:dyDescent="0.25">
      <c r="T62851" s="135"/>
      <c r="U62851" s="135"/>
    </row>
    <row r="62852" spans="20:21" ht="15" customHeight="1" x14ac:dyDescent="0.25">
      <c r="T62852" s="135"/>
      <c r="U62852" s="135"/>
    </row>
    <row r="62853" spans="20:21" ht="15" customHeight="1" x14ac:dyDescent="0.25">
      <c r="T62853" s="135"/>
      <c r="U62853" s="135"/>
    </row>
    <row r="62854" spans="20:21" ht="15" customHeight="1" x14ac:dyDescent="0.25">
      <c r="T62854" s="135"/>
      <c r="U62854" s="135"/>
    </row>
    <row r="62855" spans="20:21" ht="15" customHeight="1" x14ac:dyDescent="0.25">
      <c r="T62855" s="135"/>
      <c r="U62855" s="135"/>
    </row>
    <row r="62856" spans="20:21" ht="15" customHeight="1" x14ac:dyDescent="0.25">
      <c r="T62856" s="135"/>
      <c r="U62856" s="135"/>
    </row>
    <row r="62857" spans="20:21" ht="15" customHeight="1" x14ac:dyDescent="0.25">
      <c r="T62857" s="135"/>
      <c r="U62857" s="135"/>
    </row>
    <row r="62858" spans="20:21" ht="15" customHeight="1" x14ac:dyDescent="0.25">
      <c r="T62858" s="135"/>
      <c r="U62858" s="135"/>
    </row>
    <row r="62859" spans="20:21" ht="15" customHeight="1" x14ac:dyDescent="0.25">
      <c r="T62859" s="135"/>
      <c r="U62859" s="135"/>
    </row>
    <row r="62860" spans="20:21" ht="15" customHeight="1" x14ac:dyDescent="0.25">
      <c r="T62860" s="135"/>
      <c r="U62860" s="135"/>
    </row>
    <row r="62861" spans="20:21" ht="15" customHeight="1" x14ac:dyDescent="0.25">
      <c r="T62861" s="135"/>
      <c r="U62861" s="135"/>
    </row>
    <row r="62862" spans="20:21" ht="15" customHeight="1" x14ac:dyDescent="0.25">
      <c r="T62862" s="135"/>
      <c r="U62862" s="135"/>
    </row>
    <row r="62863" spans="20:21" ht="15" customHeight="1" x14ac:dyDescent="0.25">
      <c r="T62863" s="135"/>
      <c r="U62863" s="135"/>
    </row>
    <row r="62864" spans="20:21" ht="15" customHeight="1" x14ac:dyDescent="0.25">
      <c r="T62864" s="135"/>
      <c r="U62864" s="135"/>
    </row>
    <row r="62865" spans="20:21" ht="15" customHeight="1" x14ac:dyDescent="0.25">
      <c r="T62865" s="135"/>
      <c r="U62865" s="135"/>
    </row>
    <row r="62866" spans="20:21" ht="15" customHeight="1" x14ac:dyDescent="0.25">
      <c r="T62866" s="135"/>
      <c r="U62866" s="135"/>
    </row>
    <row r="62867" spans="20:21" ht="15" customHeight="1" x14ac:dyDescent="0.25">
      <c r="T62867" s="135"/>
      <c r="U62867" s="135"/>
    </row>
    <row r="62868" spans="20:21" ht="15" customHeight="1" x14ac:dyDescent="0.25">
      <c r="T62868" s="135"/>
      <c r="U62868" s="135"/>
    </row>
    <row r="62869" spans="20:21" ht="15" customHeight="1" x14ac:dyDescent="0.25">
      <c r="T62869" s="135"/>
      <c r="U62869" s="135"/>
    </row>
    <row r="62870" spans="20:21" ht="15" customHeight="1" x14ac:dyDescent="0.25">
      <c r="T62870" s="135"/>
      <c r="U62870" s="135"/>
    </row>
    <row r="62871" spans="20:21" ht="15" customHeight="1" x14ac:dyDescent="0.25">
      <c r="T62871" s="135"/>
      <c r="U62871" s="135"/>
    </row>
    <row r="62872" spans="20:21" ht="15" customHeight="1" x14ac:dyDescent="0.25">
      <c r="T62872" s="135"/>
      <c r="U62872" s="135"/>
    </row>
    <row r="62873" spans="20:21" ht="15" customHeight="1" x14ac:dyDescent="0.25">
      <c r="T62873" s="135"/>
      <c r="U62873" s="135"/>
    </row>
    <row r="62874" spans="20:21" ht="15" customHeight="1" x14ac:dyDescent="0.25">
      <c r="T62874" s="135"/>
      <c r="U62874" s="135"/>
    </row>
    <row r="62875" spans="20:21" ht="15" customHeight="1" x14ac:dyDescent="0.25">
      <c r="T62875" s="135"/>
      <c r="U62875" s="135"/>
    </row>
    <row r="62876" spans="20:21" ht="15" customHeight="1" x14ac:dyDescent="0.25">
      <c r="T62876" s="135"/>
      <c r="U62876" s="135"/>
    </row>
    <row r="62877" spans="20:21" ht="15" customHeight="1" x14ac:dyDescent="0.25">
      <c r="T62877" s="135"/>
      <c r="U62877" s="135"/>
    </row>
    <row r="62878" spans="20:21" ht="15" customHeight="1" x14ac:dyDescent="0.25">
      <c r="T62878" s="135"/>
      <c r="U62878" s="135"/>
    </row>
    <row r="62879" spans="20:21" ht="15" customHeight="1" x14ac:dyDescent="0.25">
      <c r="T62879" s="135"/>
      <c r="U62879" s="135"/>
    </row>
    <row r="62880" spans="20:21" ht="15" customHeight="1" x14ac:dyDescent="0.25">
      <c r="T62880" s="135"/>
      <c r="U62880" s="135"/>
    </row>
    <row r="62881" spans="20:21" ht="15" customHeight="1" x14ac:dyDescent="0.25">
      <c r="T62881" s="135"/>
      <c r="U62881" s="135"/>
    </row>
    <row r="62882" spans="20:21" ht="15" customHeight="1" x14ac:dyDescent="0.25">
      <c r="T62882" s="135"/>
      <c r="U62882" s="135"/>
    </row>
    <row r="62883" spans="20:21" ht="15" customHeight="1" x14ac:dyDescent="0.25">
      <c r="T62883" s="135"/>
      <c r="U62883" s="135"/>
    </row>
    <row r="62884" spans="20:21" ht="15" customHeight="1" x14ac:dyDescent="0.25">
      <c r="T62884" s="135"/>
      <c r="U62884" s="135"/>
    </row>
    <row r="62885" spans="20:21" ht="15" customHeight="1" x14ac:dyDescent="0.25">
      <c r="T62885" s="135"/>
      <c r="U62885" s="135"/>
    </row>
    <row r="62886" spans="20:21" ht="15" customHeight="1" x14ac:dyDescent="0.25">
      <c r="T62886" s="135"/>
      <c r="U62886" s="135"/>
    </row>
    <row r="62887" spans="20:21" ht="15" customHeight="1" x14ac:dyDescent="0.25">
      <c r="T62887" s="135"/>
      <c r="U62887" s="135"/>
    </row>
    <row r="62888" spans="20:21" ht="15" customHeight="1" x14ac:dyDescent="0.25">
      <c r="T62888" s="135"/>
      <c r="U62888" s="135"/>
    </row>
    <row r="62889" spans="20:21" ht="15" customHeight="1" x14ac:dyDescent="0.25">
      <c r="T62889" s="135"/>
      <c r="U62889" s="135"/>
    </row>
    <row r="62890" spans="20:21" ht="15" customHeight="1" x14ac:dyDescent="0.25">
      <c r="T62890" s="135"/>
      <c r="U62890" s="135"/>
    </row>
    <row r="62891" spans="20:21" ht="15" customHeight="1" x14ac:dyDescent="0.25">
      <c r="T62891" s="135"/>
      <c r="U62891" s="135"/>
    </row>
    <row r="62892" spans="20:21" ht="15" customHeight="1" x14ac:dyDescent="0.25">
      <c r="T62892" s="135"/>
      <c r="U62892" s="135"/>
    </row>
    <row r="62893" spans="20:21" ht="15" customHeight="1" x14ac:dyDescent="0.25">
      <c r="T62893" s="135"/>
      <c r="U62893" s="135"/>
    </row>
    <row r="62894" spans="20:21" ht="15" customHeight="1" x14ac:dyDescent="0.25">
      <c r="T62894" s="135"/>
      <c r="U62894" s="135"/>
    </row>
    <row r="62895" spans="20:21" ht="15" customHeight="1" x14ac:dyDescent="0.25">
      <c r="T62895" s="135"/>
      <c r="U62895" s="135"/>
    </row>
    <row r="62896" spans="20:21" ht="15" customHeight="1" x14ac:dyDescent="0.25">
      <c r="T62896" s="135"/>
      <c r="U62896" s="135"/>
    </row>
    <row r="62897" spans="20:21" ht="15" customHeight="1" x14ac:dyDescent="0.25">
      <c r="T62897" s="135"/>
      <c r="U62897" s="135"/>
    </row>
    <row r="62898" spans="20:21" ht="15" customHeight="1" x14ac:dyDescent="0.25">
      <c r="T62898" s="135"/>
      <c r="U62898" s="135"/>
    </row>
    <row r="62899" spans="20:21" ht="15" customHeight="1" x14ac:dyDescent="0.25">
      <c r="T62899" s="135"/>
      <c r="U62899" s="135"/>
    </row>
    <row r="62900" spans="20:21" ht="15" customHeight="1" x14ac:dyDescent="0.25">
      <c r="T62900" s="135"/>
      <c r="U62900" s="135"/>
    </row>
    <row r="62901" spans="20:21" ht="15" customHeight="1" x14ac:dyDescent="0.25">
      <c r="T62901" s="135"/>
      <c r="U62901" s="135"/>
    </row>
    <row r="62902" spans="20:21" ht="15" customHeight="1" x14ac:dyDescent="0.25">
      <c r="T62902" s="135"/>
      <c r="U62902" s="135"/>
    </row>
    <row r="62903" spans="20:21" ht="15" customHeight="1" x14ac:dyDescent="0.25">
      <c r="T62903" s="135"/>
      <c r="U62903" s="135"/>
    </row>
    <row r="62904" spans="20:21" ht="15" customHeight="1" x14ac:dyDescent="0.25">
      <c r="T62904" s="135"/>
      <c r="U62904" s="135"/>
    </row>
    <row r="62905" spans="20:21" ht="15" customHeight="1" x14ac:dyDescent="0.25">
      <c r="T62905" s="135"/>
      <c r="U62905" s="135"/>
    </row>
    <row r="62906" spans="20:21" ht="15" customHeight="1" x14ac:dyDescent="0.25">
      <c r="T62906" s="135"/>
      <c r="U62906" s="135"/>
    </row>
    <row r="62907" spans="20:21" ht="15" customHeight="1" x14ac:dyDescent="0.25">
      <c r="T62907" s="135"/>
      <c r="U62907" s="135"/>
    </row>
    <row r="62908" spans="20:21" ht="15" customHeight="1" x14ac:dyDescent="0.25">
      <c r="T62908" s="135"/>
      <c r="U62908" s="135"/>
    </row>
    <row r="62909" spans="20:21" ht="15" customHeight="1" x14ac:dyDescent="0.25">
      <c r="T62909" s="135"/>
      <c r="U62909" s="135"/>
    </row>
    <row r="62910" spans="20:21" ht="15" customHeight="1" x14ac:dyDescent="0.25">
      <c r="T62910" s="135"/>
      <c r="U62910" s="135"/>
    </row>
    <row r="62911" spans="20:21" ht="15" customHeight="1" x14ac:dyDescent="0.25">
      <c r="T62911" s="135"/>
      <c r="U62911" s="135"/>
    </row>
    <row r="62912" spans="20:21" ht="15" customHeight="1" x14ac:dyDescent="0.25">
      <c r="T62912" s="135"/>
      <c r="U62912" s="135"/>
    </row>
    <row r="62913" spans="20:21" ht="15" customHeight="1" x14ac:dyDescent="0.25">
      <c r="T62913" s="135"/>
      <c r="U62913" s="135"/>
    </row>
    <row r="62914" spans="20:21" ht="15" customHeight="1" x14ac:dyDescent="0.25">
      <c r="T62914" s="135"/>
      <c r="U62914" s="135"/>
    </row>
    <row r="62915" spans="20:21" ht="15" customHeight="1" x14ac:dyDescent="0.25">
      <c r="T62915" s="135"/>
      <c r="U62915" s="135"/>
    </row>
    <row r="62916" spans="20:21" ht="15" customHeight="1" x14ac:dyDescent="0.25">
      <c r="T62916" s="135"/>
      <c r="U62916" s="135"/>
    </row>
    <row r="62917" spans="20:21" ht="15" customHeight="1" x14ac:dyDescent="0.25">
      <c r="T62917" s="135"/>
      <c r="U62917" s="135"/>
    </row>
    <row r="62918" spans="20:21" ht="15" customHeight="1" x14ac:dyDescent="0.25">
      <c r="T62918" s="135"/>
      <c r="U62918" s="135"/>
    </row>
    <row r="62919" spans="20:21" ht="15" customHeight="1" x14ac:dyDescent="0.25">
      <c r="T62919" s="135"/>
      <c r="U62919" s="135"/>
    </row>
    <row r="62920" spans="20:21" ht="15" customHeight="1" x14ac:dyDescent="0.25">
      <c r="T62920" s="135"/>
      <c r="U62920" s="135"/>
    </row>
    <row r="62921" spans="20:21" ht="15" customHeight="1" x14ac:dyDescent="0.25">
      <c r="T62921" s="135"/>
      <c r="U62921" s="135"/>
    </row>
    <row r="62922" spans="20:21" ht="15" customHeight="1" x14ac:dyDescent="0.25">
      <c r="T62922" s="135"/>
      <c r="U62922" s="135"/>
    </row>
    <row r="62923" spans="20:21" ht="15" customHeight="1" x14ac:dyDescent="0.25">
      <c r="T62923" s="135"/>
      <c r="U62923" s="135"/>
    </row>
    <row r="62924" spans="20:21" ht="15" customHeight="1" x14ac:dyDescent="0.25">
      <c r="T62924" s="135"/>
      <c r="U62924" s="135"/>
    </row>
    <row r="62925" spans="20:21" ht="15" customHeight="1" x14ac:dyDescent="0.25">
      <c r="T62925" s="135"/>
      <c r="U62925" s="135"/>
    </row>
    <row r="62926" spans="20:21" ht="15" customHeight="1" x14ac:dyDescent="0.25">
      <c r="T62926" s="135"/>
      <c r="U62926" s="135"/>
    </row>
    <row r="62927" spans="20:21" ht="15" customHeight="1" x14ac:dyDescent="0.25">
      <c r="T62927" s="135"/>
      <c r="U62927" s="135"/>
    </row>
    <row r="62928" spans="20:21" ht="15" customHeight="1" x14ac:dyDescent="0.25">
      <c r="T62928" s="135"/>
      <c r="U62928" s="135"/>
    </row>
    <row r="62929" spans="20:21" ht="15" customHeight="1" x14ac:dyDescent="0.25">
      <c r="T62929" s="135"/>
      <c r="U62929" s="135"/>
    </row>
    <row r="62930" spans="20:21" ht="15" customHeight="1" x14ac:dyDescent="0.25">
      <c r="T62930" s="135"/>
      <c r="U62930" s="135"/>
    </row>
    <row r="62931" spans="20:21" ht="15" customHeight="1" x14ac:dyDescent="0.25">
      <c r="T62931" s="135"/>
      <c r="U62931" s="135"/>
    </row>
    <row r="62932" spans="20:21" ht="15" customHeight="1" x14ac:dyDescent="0.25">
      <c r="T62932" s="135"/>
      <c r="U62932" s="135"/>
    </row>
    <row r="62933" spans="20:21" ht="15" customHeight="1" x14ac:dyDescent="0.25">
      <c r="T62933" s="135"/>
      <c r="U62933" s="135"/>
    </row>
    <row r="62934" spans="20:21" ht="15" customHeight="1" x14ac:dyDescent="0.25">
      <c r="T62934" s="135"/>
      <c r="U62934" s="135"/>
    </row>
    <row r="62935" spans="20:21" ht="15" customHeight="1" x14ac:dyDescent="0.25">
      <c r="T62935" s="135"/>
      <c r="U62935" s="135"/>
    </row>
    <row r="62936" spans="20:21" ht="15" customHeight="1" x14ac:dyDescent="0.25">
      <c r="T62936" s="135"/>
      <c r="U62936" s="135"/>
    </row>
    <row r="62937" spans="20:21" ht="15" customHeight="1" x14ac:dyDescent="0.25">
      <c r="T62937" s="135"/>
      <c r="U62937" s="135"/>
    </row>
    <row r="62938" spans="20:21" ht="15" customHeight="1" x14ac:dyDescent="0.25">
      <c r="T62938" s="135"/>
      <c r="U62938" s="135"/>
    </row>
    <row r="62939" spans="20:21" ht="15" customHeight="1" x14ac:dyDescent="0.25">
      <c r="T62939" s="135"/>
      <c r="U62939" s="135"/>
    </row>
    <row r="62940" spans="20:21" ht="15" customHeight="1" x14ac:dyDescent="0.25">
      <c r="T62940" s="135"/>
      <c r="U62940" s="135"/>
    </row>
    <row r="62941" spans="20:21" ht="15" customHeight="1" x14ac:dyDescent="0.25">
      <c r="T62941" s="135"/>
      <c r="U62941" s="135"/>
    </row>
    <row r="62942" spans="20:21" ht="15" customHeight="1" x14ac:dyDescent="0.25">
      <c r="T62942" s="135"/>
      <c r="U62942" s="135"/>
    </row>
    <row r="62943" spans="20:21" ht="15" customHeight="1" x14ac:dyDescent="0.25">
      <c r="T62943" s="135"/>
      <c r="U62943" s="135"/>
    </row>
    <row r="62944" spans="20:21" ht="15" customHeight="1" x14ac:dyDescent="0.25">
      <c r="T62944" s="135"/>
      <c r="U62944" s="135"/>
    </row>
    <row r="62945" spans="20:21" ht="15" customHeight="1" x14ac:dyDescent="0.25">
      <c r="T62945" s="135"/>
      <c r="U62945" s="135"/>
    </row>
    <row r="62946" spans="20:21" ht="15" customHeight="1" x14ac:dyDescent="0.25">
      <c r="T62946" s="135"/>
      <c r="U62946" s="135"/>
    </row>
    <row r="62947" spans="20:21" ht="15" customHeight="1" x14ac:dyDescent="0.25">
      <c r="T62947" s="135"/>
      <c r="U62947" s="135"/>
    </row>
    <row r="62948" spans="20:21" ht="15" customHeight="1" x14ac:dyDescent="0.25">
      <c r="T62948" s="135"/>
      <c r="U62948" s="135"/>
    </row>
    <row r="62949" spans="20:21" ht="15" customHeight="1" x14ac:dyDescent="0.25">
      <c r="T62949" s="135"/>
      <c r="U62949" s="135"/>
    </row>
    <row r="62950" spans="20:21" ht="15" customHeight="1" x14ac:dyDescent="0.25">
      <c r="T62950" s="135"/>
      <c r="U62950" s="135"/>
    </row>
    <row r="62951" spans="20:21" ht="15" customHeight="1" x14ac:dyDescent="0.25">
      <c r="T62951" s="135"/>
      <c r="U62951" s="135"/>
    </row>
    <row r="62952" spans="20:21" ht="15" customHeight="1" x14ac:dyDescent="0.25">
      <c r="T62952" s="135"/>
      <c r="U62952" s="135"/>
    </row>
    <row r="62953" spans="20:21" ht="15" customHeight="1" x14ac:dyDescent="0.25">
      <c r="T62953" s="135"/>
      <c r="U62953" s="135"/>
    </row>
    <row r="62954" spans="20:21" ht="15" customHeight="1" x14ac:dyDescent="0.25">
      <c r="T62954" s="135"/>
      <c r="U62954" s="135"/>
    </row>
    <row r="62955" spans="20:21" ht="15" customHeight="1" x14ac:dyDescent="0.25">
      <c r="T62955" s="135"/>
      <c r="U62955" s="135"/>
    </row>
    <row r="62956" spans="20:21" ht="15" customHeight="1" x14ac:dyDescent="0.25">
      <c r="T62956" s="135"/>
      <c r="U62956" s="135"/>
    </row>
    <row r="62957" spans="20:21" ht="15" customHeight="1" x14ac:dyDescent="0.25">
      <c r="T62957" s="135"/>
      <c r="U62957" s="135"/>
    </row>
    <row r="62958" spans="20:21" ht="15" customHeight="1" x14ac:dyDescent="0.25">
      <c r="T62958" s="135"/>
      <c r="U62958" s="135"/>
    </row>
    <row r="62959" spans="20:21" ht="15" customHeight="1" x14ac:dyDescent="0.25">
      <c r="T62959" s="135"/>
      <c r="U62959" s="135"/>
    </row>
    <row r="62960" spans="20:21" ht="15" customHeight="1" x14ac:dyDescent="0.25">
      <c r="T62960" s="135"/>
      <c r="U62960" s="135"/>
    </row>
    <row r="62961" spans="20:21" ht="15" customHeight="1" x14ac:dyDescent="0.25">
      <c r="T62961" s="135"/>
      <c r="U62961" s="135"/>
    </row>
    <row r="62962" spans="20:21" ht="15" customHeight="1" x14ac:dyDescent="0.25">
      <c r="T62962" s="135"/>
      <c r="U62962" s="135"/>
    </row>
    <row r="62963" spans="20:21" ht="15" customHeight="1" x14ac:dyDescent="0.25">
      <c r="T62963" s="135"/>
      <c r="U62963" s="135"/>
    </row>
    <row r="62964" spans="20:21" ht="15" customHeight="1" x14ac:dyDescent="0.25">
      <c r="T62964" s="135"/>
      <c r="U62964" s="135"/>
    </row>
    <row r="62965" spans="20:21" ht="15" customHeight="1" x14ac:dyDescent="0.25">
      <c r="T62965" s="135"/>
      <c r="U62965" s="135"/>
    </row>
    <row r="62966" spans="20:21" ht="15" customHeight="1" x14ac:dyDescent="0.25">
      <c r="T62966" s="135"/>
      <c r="U62966" s="135"/>
    </row>
    <row r="62967" spans="20:21" ht="15" customHeight="1" x14ac:dyDescent="0.25">
      <c r="T62967" s="135"/>
      <c r="U62967" s="135"/>
    </row>
    <row r="62968" spans="20:21" ht="15" customHeight="1" x14ac:dyDescent="0.25">
      <c r="T62968" s="135"/>
      <c r="U62968" s="135"/>
    </row>
    <row r="62969" spans="20:21" ht="15" customHeight="1" x14ac:dyDescent="0.25">
      <c r="T62969" s="135"/>
      <c r="U62969" s="135"/>
    </row>
    <row r="62970" spans="20:21" ht="15" customHeight="1" x14ac:dyDescent="0.25">
      <c r="T62970" s="135"/>
      <c r="U62970" s="135"/>
    </row>
    <row r="62971" spans="20:21" ht="15" customHeight="1" x14ac:dyDescent="0.25">
      <c r="T62971" s="135"/>
      <c r="U62971" s="135"/>
    </row>
    <row r="62972" spans="20:21" ht="15" customHeight="1" x14ac:dyDescent="0.25">
      <c r="T62972" s="135"/>
      <c r="U62972" s="135"/>
    </row>
    <row r="62973" spans="20:21" ht="15" customHeight="1" x14ac:dyDescent="0.25">
      <c r="T62973" s="135"/>
      <c r="U62973" s="135"/>
    </row>
    <row r="62974" spans="20:21" ht="15" customHeight="1" x14ac:dyDescent="0.25">
      <c r="T62974" s="135"/>
      <c r="U62974" s="135"/>
    </row>
    <row r="62975" spans="20:21" ht="15" customHeight="1" x14ac:dyDescent="0.25">
      <c r="T62975" s="135"/>
      <c r="U62975" s="135"/>
    </row>
    <row r="62976" spans="20:21" ht="15" customHeight="1" x14ac:dyDescent="0.25">
      <c r="T62976" s="135"/>
      <c r="U62976" s="135"/>
    </row>
    <row r="62977" spans="20:21" ht="15" customHeight="1" x14ac:dyDescent="0.25">
      <c r="T62977" s="135"/>
      <c r="U62977" s="135"/>
    </row>
    <row r="62978" spans="20:21" ht="15" customHeight="1" x14ac:dyDescent="0.25">
      <c r="T62978" s="135"/>
      <c r="U62978" s="135"/>
    </row>
    <row r="62979" spans="20:21" ht="15" customHeight="1" x14ac:dyDescent="0.25">
      <c r="T62979" s="135"/>
      <c r="U62979" s="135"/>
    </row>
    <row r="62980" spans="20:21" ht="15" customHeight="1" x14ac:dyDescent="0.25">
      <c r="T62980" s="135"/>
      <c r="U62980" s="135"/>
    </row>
    <row r="62981" spans="20:21" ht="15" customHeight="1" x14ac:dyDescent="0.25">
      <c r="T62981" s="135"/>
      <c r="U62981" s="135"/>
    </row>
    <row r="62982" spans="20:21" ht="15" customHeight="1" x14ac:dyDescent="0.25">
      <c r="T62982" s="135"/>
      <c r="U62982" s="135"/>
    </row>
    <row r="62983" spans="20:21" ht="15" customHeight="1" x14ac:dyDescent="0.25">
      <c r="T62983" s="135"/>
      <c r="U62983" s="135"/>
    </row>
    <row r="62984" spans="20:21" ht="15" customHeight="1" x14ac:dyDescent="0.25">
      <c r="T62984" s="135"/>
      <c r="U62984" s="135"/>
    </row>
    <row r="62985" spans="20:21" ht="15" customHeight="1" x14ac:dyDescent="0.25">
      <c r="T62985" s="135"/>
      <c r="U62985" s="135"/>
    </row>
    <row r="62986" spans="20:21" ht="15" customHeight="1" x14ac:dyDescent="0.25">
      <c r="T62986" s="135"/>
      <c r="U62986" s="135"/>
    </row>
    <row r="62987" spans="20:21" ht="15" customHeight="1" x14ac:dyDescent="0.25">
      <c r="T62987" s="135"/>
      <c r="U62987" s="135"/>
    </row>
    <row r="62988" spans="20:21" ht="15" customHeight="1" x14ac:dyDescent="0.25">
      <c r="T62988" s="135"/>
      <c r="U62988" s="135"/>
    </row>
    <row r="62989" spans="20:21" ht="15" customHeight="1" x14ac:dyDescent="0.25">
      <c r="T62989" s="135"/>
      <c r="U62989" s="135"/>
    </row>
    <row r="62990" spans="20:21" ht="15" customHeight="1" x14ac:dyDescent="0.25">
      <c r="T62990" s="135"/>
      <c r="U62990" s="135"/>
    </row>
    <row r="62991" spans="20:21" ht="15" customHeight="1" x14ac:dyDescent="0.25">
      <c r="T62991" s="135"/>
      <c r="U62991" s="135"/>
    </row>
    <row r="62992" spans="20:21" ht="15" customHeight="1" x14ac:dyDescent="0.25">
      <c r="T62992" s="135"/>
      <c r="U62992" s="135"/>
    </row>
    <row r="62993" spans="20:21" ht="15" customHeight="1" x14ac:dyDescent="0.25">
      <c r="T62993" s="135"/>
      <c r="U62993" s="135"/>
    </row>
    <row r="62994" spans="20:21" ht="15" customHeight="1" x14ac:dyDescent="0.25">
      <c r="T62994" s="135"/>
      <c r="U62994" s="135"/>
    </row>
    <row r="62995" spans="20:21" ht="15" customHeight="1" x14ac:dyDescent="0.25">
      <c r="T62995" s="135"/>
      <c r="U62995" s="135"/>
    </row>
    <row r="62996" spans="20:21" ht="15" customHeight="1" x14ac:dyDescent="0.25">
      <c r="T62996" s="135"/>
      <c r="U62996" s="135"/>
    </row>
    <row r="62997" spans="20:21" ht="15" customHeight="1" x14ac:dyDescent="0.25">
      <c r="T62997" s="135"/>
      <c r="U62997" s="135"/>
    </row>
    <row r="62998" spans="20:21" ht="15" customHeight="1" x14ac:dyDescent="0.25">
      <c r="T62998" s="135"/>
      <c r="U62998" s="135"/>
    </row>
    <row r="62999" spans="20:21" ht="15" customHeight="1" x14ac:dyDescent="0.25">
      <c r="T62999" s="135"/>
      <c r="U62999" s="135"/>
    </row>
    <row r="63000" spans="20:21" ht="15" customHeight="1" x14ac:dyDescent="0.25">
      <c r="T63000" s="135"/>
      <c r="U63000" s="135"/>
    </row>
    <row r="63001" spans="20:21" ht="15" customHeight="1" x14ac:dyDescent="0.25">
      <c r="T63001" s="135"/>
      <c r="U63001" s="135"/>
    </row>
    <row r="63002" spans="20:21" ht="15" customHeight="1" x14ac:dyDescent="0.25">
      <c r="T63002" s="135"/>
      <c r="U63002" s="135"/>
    </row>
    <row r="63003" spans="20:21" ht="15" customHeight="1" x14ac:dyDescent="0.25">
      <c r="T63003" s="135"/>
      <c r="U63003" s="135"/>
    </row>
    <row r="63004" spans="20:21" ht="15" customHeight="1" x14ac:dyDescent="0.25">
      <c r="T63004" s="135"/>
      <c r="U63004" s="135"/>
    </row>
    <row r="63005" spans="20:21" ht="15" customHeight="1" x14ac:dyDescent="0.25">
      <c r="T63005" s="135"/>
      <c r="U63005" s="135"/>
    </row>
    <row r="63006" spans="20:21" ht="15" customHeight="1" x14ac:dyDescent="0.25">
      <c r="T63006" s="135"/>
      <c r="U63006" s="135"/>
    </row>
    <row r="63007" spans="20:21" ht="15" customHeight="1" x14ac:dyDescent="0.25">
      <c r="T63007" s="135"/>
      <c r="U63007" s="135"/>
    </row>
    <row r="63008" spans="20:21" ht="15" customHeight="1" x14ac:dyDescent="0.25">
      <c r="T63008" s="135"/>
      <c r="U63008" s="135"/>
    </row>
    <row r="63009" spans="20:21" ht="15" customHeight="1" x14ac:dyDescent="0.25">
      <c r="T63009" s="135"/>
      <c r="U63009" s="135"/>
    </row>
    <row r="63010" spans="20:21" ht="15" customHeight="1" x14ac:dyDescent="0.25">
      <c r="T63010" s="135"/>
      <c r="U63010" s="135"/>
    </row>
    <row r="63011" spans="20:21" ht="15" customHeight="1" x14ac:dyDescent="0.25">
      <c r="T63011" s="135"/>
      <c r="U63011" s="135"/>
    </row>
    <row r="63012" spans="20:21" ht="15" customHeight="1" x14ac:dyDescent="0.25">
      <c r="T63012" s="135"/>
      <c r="U63012" s="135"/>
    </row>
    <row r="63013" spans="20:21" ht="15" customHeight="1" x14ac:dyDescent="0.25">
      <c r="T63013" s="135"/>
      <c r="U63013" s="135"/>
    </row>
    <row r="63014" spans="20:21" ht="15" customHeight="1" x14ac:dyDescent="0.25">
      <c r="T63014" s="135"/>
      <c r="U63014" s="135"/>
    </row>
    <row r="63015" spans="20:21" ht="15" customHeight="1" x14ac:dyDescent="0.25">
      <c r="T63015" s="135"/>
      <c r="U63015" s="135"/>
    </row>
    <row r="63016" spans="20:21" ht="15" customHeight="1" x14ac:dyDescent="0.25">
      <c r="T63016" s="135"/>
      <c r="U63016" s="135"/>
    </row>
    <row r="63017" spans="20:21" ht="15" customHeight="1" x14ac:dyDescent="0.25">
      <c r="T63017" s="135"/>
      <c r="U63017" s="135"/>
    </row>
    <row r="63018" spans="20:21" ht="15" customHeight="1" x14ac:dyDescent="0.25">
      <c r="T63018" s="135"/>
      <c r="U63018" s="135"/>
    </row>
    <row r="63019" spans="20:21" ht="15" customHeight="1" x14ac:dyDescent="0.25">
      <c r="T63019" s="135"/>
      <c r="U63019" s="135"/>
    </row>
    <row r="63020" spans="20:21" ht="15" customHeight="1" x14ac:dyDescent="0.25">
      <c r="T63020" s="135"/>
      <c r="U63020" s="135"/>
    </row>
    <row r="63021" spans="20:21" ht="15" customHeight="1" x14ac:dyDescent="0.25">
      <c r="T63021" s="135"/>
      <c r="U63021" s="135"/>
    </row>
    <row r="63022" spans="20:21" ht="15" customHeight="1" x14ac:dyDescent="0.25">
      <c r="T63022" s="135"/>
      <c r="U63022" s="135"/>
    </row>
    <row r="63023" spans="20:21" ht="15" customHeight="1" x14ac:dyDescent="0.25">
      <c r="T63023" s="135"/>
      <c r="U63023" s="135"/>
    </row>
    <row r="63024" spans="20:21" ht="15" customHeight="1" x14ac:dyDescent="0.25">
      <c r="T63024" s="135"/>
      <c r="U63024" s="135"/>
    </row>
    <row r="63025" spans="20:21" ht="15" customHeight="1" x14ac:dyDescent="0.25">
      <c r="T63025" s="135"/>
      <c r="U63025" s="135"/>
    </row>
    <row r="63026" spans="20:21" ht="15" customHeight="1" x14ac:dyDescent="0.25">
      <c r="T63026" s="135"/>
      <c r="U63026" s="135"/>
    </row>
    <row r="63027" spans="20:21" ht="15" customHeight="1" x14ac:dyDescent="0.25">
      <c r="T63027" s="135"/>
      <c r="U63027" s="135"/>
    </row>
    <row r="63028" spans="20:21" ht="15" customHeight="1" x14ac:dyDescent="0.25">
      <c r="T63028" s="135"/>
      <c r="U63028" s="135"/>
    </row>
    <row r="63029" spans="20:21" ht="15" customHeight="1" x14ac:dyDescent="0.25">
      <c r="T63029" s="135"/>
      <c r="U63029" s="135"/>
    </row>
    <row r="63030" spans="20:21" ht="15" customHeight="1" x14ac:dyDescent="0.25">
      <c r="T63030" s="135"/>
      <c r="U63030" s="135"/>
    </row>
    <row r="63031" spans="20:21" ht="15" customHeight="1" x14ac:dyDescent="0.25">
      <c r="T63031" s="135"/>
      <c r="U63031" s="135"/>
    </row>
    <row r="63032" spans="20:21" ht="15" customHeight="1" x14ac:dyDescent="0.25">
      <c r="T63032" s="135"/>
      <c r="U63032" s="135"/>
    </row>
    <row r="63033" spans="20:21" ht="15" customHeight="1" x14ac:dyDescent="0.25">
      <c r="T63033" s="135"/>
      <c r="U63033" s="135"/>
    </row>
    <row r="63034" spans="20:21" ht="15" customHeight="1" x14ac:dyDescent="0.25">
      <c r="T63034" s="135"/>
      <c r="U63034" s="135"/>
    </row>
    <row r="63035" spans="20:21" ht="15" customHeight="1" x14ac:dyDescent="0.25">
      <c r="T63035" s="135"/>
      <c r="U63035" s="135"/>
    </row>
    <row r="63036" spans="20:21" ht="15" customHeight="1" x14ac:dyDescent="0.25">
      <c r="T63036" s="135"/>
      <c r="U63036" s="135"/>
    </row>
    <row r="63037" spans="20:21" ht="15" customHeight="1" x14ac:dyDescent="0.25">
      <c r="T63037" s="135"/>
      <c r="U63037" s="135"/>
    </row>
    <row r="63038" spans="20:21" ht="15" customHeight="1" x14ac:dyDescent="0.25">
      <c r="T63038" s="135"/>
      <c r="U63038" s="135"/>
    </row>
    <row r="63039" spans="20:21" ht="15" customHeight="1" x14ac:dyDescent="0.25">
      <c r="T63039" s="135"/>
      <c r="U63039" s="135"/>
    </row>
    <row r="63040" spans="20:21" ht="15" customHeight="1" x14ac:dyDescent="0.25">
      <c r="T63040" s="135"/>
      <c r="U63040" s="135"/>
    </row>
    <row r="63041" spans="20:21" ht="15" customHeight="1" x14ac:dyDescent="0.25">
      <c r="T63041" s="135"/>
      <c r="U63041" s="135"/>
    </row>
    <row r="63042" spans="20:21" ht="15" customHeight="1" x14ac:dyDescent="0.25">
      <c r="T63042" s="135"/>
      <c r="U63042" s="135"/>
    </row>
    <row r="63043" spans="20:21" ht="15" customHeight="1" x14ac:dyDescent="0.25">
      <c r="T63043" s="135"/>
      <c r="U63043" s="135"/>
    </row>
    <row r="63044" spans="20:21" ht="15" customHeight="1" x14ac:dyDescent="0.25">
      <c r="T63044" s="135"/>
      <c r="U63044" s="135"/>
    </row>
    <row r="63045" spans="20:21" ht="15" customHeight="1" x14ac:dyDescent="0.25">
      <c r="T63045" s="135"/>
      <c r="U63045" s="135"/>
    </row>
    <row r="63046" spans="20:21" ht="15" customHeight="1" x14ac:dyDescent="0.25">
      <c r="T63046" s="135"/>
      <c r="U63046" s="135"/>
    </row>
    <row r="63047" spans="20:21" ht="15" customHeight="1" x14ac:dyDescent="0.25">
      <c r="T63047" s="135"/>
      <c r="U63047" s="135"/>
    </row>
    <row r="63048" spans="20:21" ht="15" customHeight="1" x14ac:dyDescent="0.25">
      <c r="T63048" s="135"/>
      <c r="U63048" s="135"/>
    </row>
    <row r="63049" spans="20:21" ht="15" customHeight="1" x14ac:dyDescent="0.25">
      <c r="T63049" s="135"/>
      <c r="U63049" s="135"/>
    </row>
    <row r="63050" spans="20:21" ht="15" customHeight="1" x14ac:dyDescent="0.25">
      <c r="T63050" s="135"/>
      <c r="U63050" s="135"/>
    </row>
    <row r="63051" spans="20:21" ht="15" customHeight="1" x14ac:dyDescent="0.25">
      <c r="T63051" s="135"/>
      <c r="U63051" s="135"/>
    </row>
    <row r="63052" spans="20:21" ht="15" customHeight="1" x14ac:dyDescent="0.25">
      <c r="T63052" s="135"/>
      <c r="U63052" s="135"/>
    </row>
    <row r="63053" spans="20:21" ht="15" customHeight="1" x14ac:dyDescent="0.25">
      <c r="T63053" s="135"/>
      <c r="U63053" s="135"/>
    </row>
    <row r="63054" spans="20:21" ht="15" customHeight="1" x14ac:dyDescent="0.25">
      <c r="T63054" s="135"/>
      <c r="U63054" s="135"/>
    </row>
    <row r="63055" spans="20:21" ht="15" customHeight="1" x14ac:dyDescent="0.25">
      <c r="T63055" s="135"/>
      <c r="U63055" s="135"/>
    </row>
    <row r="63056" spans="20:21" ht="15" customHeight="1" x14ac:dyDescent="0.25">
      <c r="T63056" s="135"/>
      <c r="U63056" s="135"/>
    </row>
    <row r="63057" spans="20:21" ht="15" customHeight="1" x14ac:dyDescent="0.25">
      <c r="T63057" s="135"/>
      <c r="U63057" s="135"/>
    </row>
    <row r="63058" spans="20:21" ht="15" customHeight="1" x14ac:dyDescent="0.25">
      <c r="T63058" s="135"/>
      <c r="U63058" s="135"/>
    </row>
    <row r="63059" spans="20:21" ht="15" customHeight="1" x14ac:dyDescent="0.25">
      <c r="T63059" s="135"/>
      <c r="U63059" s="135"/>
    </row>
    <row r="63060" spans="20:21" ht="15" customHeight="1" x14ac:dyDescent="0.25">
      <c r="T63060" s="135"/>
      <c r="U63060" s="135"/>
    </row>
    <row r="63061" spans="20:21" ht="15" customHeight="1" x14ac:dyDescent="0.25">
      <c r="T63061" s="135"/>
      <c r="U63061" s="135"/>
    </row>
    <row r="63062" spans="20:21" ht="15" customHeight="1" x14ac:dyDescent="0.25">
      <c r="T63062" s="135"/>
      <c r="U63062" s="135"/>
    </row>
    <row r="63063" spans="20:21" ht="15" customHeight="1" x14ac:dyDescent="0.25">
      <c r="T63063" s="135"/>
      <c r="U63063" s="135"/>
    </row>
    <row r="63064" spans="20:21" ht="15" customHeight="1" x14ac:dyDescent="0.25">
      <c r="T63064" s="135"/>
      <c r="U63064" s="135"/>
    </row>
    <row r="63065" spans="20:21" ht="15" customHeight="1" x14ac:dyDescent="0.25">
      <c r="T63065" s="135"/>
      <c r="U63065" s="135"/>
    </row>
    <row r="63066" spans="20:21" ht="15" customHeight="1" x14ac:dyDescent="0.25">
      <c r="T63066" s="135"/>
      <c r="U63066" s="135"/>
    </row>
    <row r="63067" spans="20:21" ht="15" customHeight="1" x14ac:dyDescent="0.25">
      <c r="T63067" s="135"/>
      <c r="U63067" s="135"/>
    </row>
    <row r="63068" spans="20:21" ht="15" customHeight="1" x14ac:dyDescent="0.25">
      <c r="T63068" s="135"/>
      <c r="U63068" s="135"/>
    </row>
    <row r="63069" spans="20:21" ht="15" customHeight="1" x14ac:dyDescent="0.25">
      <c r="T63069" s="135"/>
      <c r="U63069" s="135"/>
    </row>
    <row r="63070" spans="20:21" ht="15" customHeight="1" x14ac:dyDescent="0.25">
      <c r="T63070" s="135"/>
      <c r="U63070" s="135"/>
    </row>
    <row r="63071" spans="20:21" ht="15" customHeight="1" x14ac:dyDescent="0.25">
      <c r="T63071" s="135"/>
      <c r="U63071" s="135"/>
    </row>
    <row r="63072" spans="20:21" ht="15" customHeight="1" x14ac:dyDescent="0.25">
      <c r="T63072" s="135"/>
      <c r="U63072" s="135"/>
    </row>
    <row r="63073" spans="20:21" ht="15" customHeight="1" x14ac:dyDescent="0.25">
      <c r="T63073" s="135"/>
      <c r="U63073" s="135"/>
    </row>
    <row r="63074" spans="20:21" ht="15" customHeight="1" x14ac:dyDescent="0.25">
      <c r="T63074" s="135"/>
      <c r="U63074" s="135"/>
    </row>
    <row r="63075" spans="20:21" ht="15" customHeight="1" x14ac:dyDescent="0.25">
      <c r="T63075" s="135"/>
      <c r="U63075" s="135"/>
    </row>
    <row r="63076" spans="20:21" ht="15" customHeight="1" x14ac:dyDescent="0.25">
      <c r="T63076" s="135"/>
      <c r="U63076" s="135"/>
    </row>
    <row r="63077" spans="20:21" ht="15" customHeight="1" x14ac:dyDescent="0.25">
      <c r="T63077" s="135"/>
      <c r="U63077" s="135"/>
    </row>
    <row r="63078" spans="20:21" ht="15" customHeight="1" x14ac:dyDescent="0.25">
      <c r="T63078" s="135"/>
      <c r="U63078" s="135"/>
    </row>
    <row r="63079" spans="20:21" ht="15" customHeight="1" x14ac:dyDescent="0.25">
      <c r="T63079" s="135"/>
      <c r="U63079" s="135"/>
    </row>
    <row r="63080" spans="20:21" ht="15" customHeight="1" x14ac:dyDescent="0.25">
      <c r="T63080" s="135"/>
      <c r="U63080" s="135"/>
    </row>
    <row r="63081" spans="20:21" ht="15" customHeight="1" x14ac:dyDescent="0.25">
      <c r="T63081" s="135"/>
      <c r="U63081" s="135"/>
    </row>
    <row r="63082" spans="20:21" ht="15" customHeight="1" x14ac:dyDescent="0.25">
      <c r="T63082" s="135"/>
      <c r="U63082" s="135"/>
    </row>
    <row r="63083" spans="20:21" ht="15" customHeight="1" x14ac:dyDescent="0.25">
      <c r="T63083" s="135"/>
      <c r="U63083" s="135"/>
    </row>
    <row r="63084" spans="20:21" ht="15" customHeight="1" x14ac:dyDescent="0.25">
      <c r="T63084" s="135"/>
      <c r="U63084" s="135"/>
    </row>
    <row r="63085" spans="20:21" ht="15" customHeight="1" x14ac:dyDescent="0.25">
      <c r="T63085" s="135"/>
      <c r="U63085" s="135"/>
    </row>
    <row r="63086" spans="20:21" ht="15" customHeight="1" x14ac:dyDescent="0.25">
      <c r="T63086" s="135"/>
      <c r="U63086" s="135"/>
    </row>
    <row r="63087" spans="20:21" ht="15" customHeight="1" x14ac:dyDescent="0.25">
      <c r="T63087" s="135"/>
      <c r="U63087" s="135"/>
    </row>
    <row r="63088" spans="20:21" ht="15" customHeight="1" x14ac:dyDescent="0.25">
      <c r="T63088" s="135"/>
      <c r="U63088" s="135"/>
    </row>
    <row r="63089" spans="20:21" ht="15" customHeight="1" x14ac:dyDescent="0.25">
      <c r="T63089" s="135"/>
      <c r="U63089" s="135"/>
    </row>
    <row r="63090" spans="20:21" ht="15" customHeight="1" x14ac:dyDescent="0.25">
      <c r="T63090" s="135"/>
      <c r="U63090" s="135"/>
    </row>
    <row r="63091" spans="20:21" ht="15" customHeight="1" x14ac:dyDescent="0.25">
      <c r="T63091" s="135"/>
      <c r="U63091" s="135"/>
    </row>
    <row r="63092" spans="20:21" ht="15" customHeight="1" x14ac:dyDescent="0.25">
      <c r="T63092" s="135"/>
      <c r="U63092" s="135"/>
    </row>
    <row r="63093" spans="20:21" ht="15" customHeight="1" x14ac:dyDescent="0.25">
      <c r="T63093" s="135"/>
      <c r="U63093" s="135"/>
    </row>
    <row r="63094" spans="20:21" ht="15" customHeight="1" x14ac:dyDescent="0.25">
      <c r="T63094" s="135"/>
      <c r="U63094" s="135"/>
    </row>
    <row r="63095" spans="20:21" ht="15" customHeight="1" x14ac:dyDescent="0.25">
      <c r="T63095" s="135"/>
      <c r="U63095" s="135"/>
    </row>
    <row r="63096" spans="20:21" ht="15" customHeight="1" x14ac:dyDescent="0.25">
      <c r="T63096" s="135"/>
      <c r="U63096" s="135"/>
    </row>
    <row r="63097" spans="20:21" ht="15" customHeight="1" x14ac:dyDescent="0.25">
      <c r="T63097" s="135"/>
      <c r="U63097" s="135"/>
    </row>
    <row r="63098" spans="20:21" ht="15" customHeight="1" x14ac:dyDescent="0.25">
      <c r="T63098" s="135"/>
      <c r="U63098" s="135"/>
    </row>
    <row r="63099" spans="20:21" ht="15" customHeight="1" x14ac:dyDescent="0.25">
      <c r="T63099" s="135"/>
      <c r="U63099" s="135"/>
    </row>
    <row r="63100" spans="20:21" ht="15" customHeight="1" x14ac:dyDescent="0.25">
      <c r="T63100" s="135"/>
      <c r="U63100" s="135"/>
    </row>
    <row r="63101" spans="20:21" ht="15" customHeight="1" x14ac:dyDescent="0.25">
      <c r="T63101" s="135"/>
      <c r="U63101" s="135"/>
    </row>
    <row r="63102" spans="20:21" ht="15" customHeight="1" x14ac:dyDescent="0.25">
      <c r="T63102" s="135"/>
      <c r="U63102" s="135"/>
    </row>
    <row r="63103" spans="20:21" ht="15" customHeight="1" x14ac:dyDescent="0.25">
      <c r="T63103" s="135"/>
      <c r="U63103" s="135"/>
    </row>
    <row r="63104" spans="20:21" ht="15" customHeight="1" x14ac:dyDescent="0.25">
      <c r="T63104" s="135"/>
      <c r="U63104" s="135"/>
    </row>
    <row r="63105" spans="20:21" ht="15" customHeight="1" x14ac:dyDescent="0.25">
      <c r="T63105" s="135"/>
      <c r="U63105" s="135"/>
    </row>
    <row r="63106" spans="20:21" ht="15" customHeight="1" x14ac:dyDescent="0.25">
      <c r="T63106" s="135"/>
      <c r="U63106" s="135"/>
    </row>
    <row r="63107" spans="20:21" ht="15" customHeight="1" x14ac:dyDescent="0.25">
      <c r="T63107" s="135"/>
      <c r="U63107" s="135"/>
    </row>
    <row r="63108" spans="20:21" ht="15" customHeight="1" x14ac:dyDescent="0.25">
      <c r="T63108" s="135"/>
      <c r="U63108" s="135"/>
    </row>
    <row r="63109" spans="20:21" ht="15" customHeight="1" x14ac:dyDescent="0.25">
      <c r="T63109" s="135"/>
      <c r="U63109" s="135"/>
    </row>
    <row r="63110" spans="20:21" ht="15" customHeight="1" x14ac:dyDescent="0.25">
      <c r="T63110" s="135"/>
      <c r="U63110" s="135"/>
    </row>
    <row r="63111" spans="20:21" ht="15" customHeight="1" x14ac:dyDescent="0.25">
      <c r="T63111" s="135"/>
      <c r="U63111" s="135"/>
    </row>
    <row r="63112" spans="20:21" ht="15" customHeight="1" x14ac:dyDescent="0.25">
      <c r="T63112" s="135"/>
      <c r="U63112" s="135"/>
    </row>
    <row r="63113" spans="20:21" ht="15" customHeight="1" x14ac:dyDescent="0.25">
      <c r="T63113" s="135"/>
      <c r="U63113" s="135"/>
    </row>
    <row r="63114" spans="20:21" ht="15" customHeight="1" x14ac:dyDescent="0.25">
      <c r="T63114" s="135"/>
      <c r="U63114" s="135"/>
    </row>
    <row r="63115" spans="20:21" ht="15" customHeight="1" x14ac:dyDescent="0.25">
      <c r="T63115" s="135"/>
      <c r="U63115" s="135"/>
    </row>
    <row r="63116" spans="20:21" ht="15" customHeight="1" x14ac:dyDescent="0.25">
      <c r="T63116" s="135"/>
      <c r="U63116" s="135"/>
    </row>
    <row r="63117" spans="20:21" ht="15" customHeight="1" x14ac:dyDescent="0.25">
      <c r="T63117" s="135"/>
      <c r="U63117" s="135"/>
    </row>
    <row r="63118" spans="20:21" ht="15" customHeight="1" x14ac:dyDescent="0.25">
      <c r="T63118" s="135"/>
      <c r="U63118" s="135"/>
    </row>
    <row r="63119" spans="20:21" ht="15" customHeight="1" x14ac:dyDescent="0.25">
      <c r="T63119" s="135"/>
      <c r="U63119" s="135"/>
    </row>
    <row r="63120" spans="20:21" ht="15" customHeight="1" x14ac:dyDescent="0.25">
      <c r="T63120" s="135"/>
      <c r="U63120" s="135"/>
    </row>
    <row r="63121" spans="20:21" ht="15" customHeight="1" x14ac:dyDescent="0.25">
      <c r="T63121" s="135"/>
      <c r="U63121" s="135"/>
    </row>
    <row r="63122" spans="20:21" ht="15" customHeight="1" x14ac:dyDescent="0.25">
      <c r="T63122" s="135"/>
      <c r="U63122" s="135"/>
    </row>
    <row r="63123" spans="20:21" ht="15" customHeight="1" x14ac:dyDescent="0.25">
      <c r="T63123" s="135"/>
      <c r="U63123" s="135"/>
    </row>
    <row r="63124" spans="20:21" ht="15" customHeight="1" x14ac:dyDescent="0.25">
      <c r="T63124" s="135"/>
      <c r="U63124" s="135"/>
    </row>
    <row r="63125" spans="20:21" ht="15" customHeight="1" x14ac:dyDescent="0.25">
      <c r="T63125" s="135"/>
      <c r="U63125" s="135"/>
    </row>
    <row r="63126" spans="20:21" ht="15" customHeight="1" x14ac:dyDescent="0.25">
      <c r="T63126" s="135"/>
      <c r="U63126" s="135"/>
    </row>
    <row r="63127" spans="20:21" ht="15" customHeight="1" x14ac:dyDescent="0.25">
      <c r="T63127" s="135"/>
      <c r="U63127" s="135"/>
    </row>
    <row r="63128" spans="20:21" ht="15" customHeight="1" x14ac:dyDescent="0.25">
      <c r="T63128" s="135"/>
      <c r="U63128" s="135"/>
    </row>
    <row r="63129" spans="20:21" ht="15" customHeight="1" x14ac:dyDescent="0.25">
      <c r="T63129" s="135"/>
      <c r="U63129" s="135"/>
    </row>
    <row r="63130" spans="20:21" ht="15" customHeight="1" x14ac:dyDescent="0.25">
      <c r="T63130" s="135"/>
      <c r="U63130" s="135"/>
    </row>
    <row r="63131" spans="20:21" ht="15" customHeight="1" x14ac:dyDescent="0.25">
      <c r="T63131" s="135"/>
      <c r="U63131" s="135"/>
    </row>
    <row r="63132" spans="20:21" ht="15" customHeight="1" x14ac:dyDescent="0.25">
      <c r="T63132" s="135"/>
      <c r="U63132" s="135"/>
    </row>
    <row r="63133" spans="20:21" ht="15" customHeight="1" x14ac:dyDescent="0.25">
      <c r="T63133" s="135"/>
      <c r="U63133" s="135"/>
    </row>
    <row r="63134" spans="20:21" ht="15" customHeight="1" x14ac:dyDescent="0.25">
      <c r="T63134" s="135"/>
      <c r="U63134" s="135"/>
    </row>
    <row r="63135" spans="20:21" ht="15" customHeight="1" x14ac:dyDescent="0.25">
      <c r="T63135" s="135"/>
      <c r="U63135" s="135"/>
    </row>
    <row r="63136" spans="20:21" ht="15" customHeight="1" x14ac:dyDescent="0.25">
      <c r="T63136" s="135"/>
      <c r="U63136" s="135"/>
    </row>
    <row r="63137" spans="20:21" ht="15" customHeight="1" x14ac:dyDescent="0.25">
      <c r="T63137" s="135"/>
      <c r="U63137" s="135"/>
    </row>
    <row r="63138" spans="20:21" ht="15" customHeight="1" x14ac:dyDescent="0.25">
      <c r="T63138" s="135"/>
      <c r="U63138" s="135"/>
    </row>
    <row r="63139" spans="20:21" ht="15" customHeight="1" x14ac:dyDescent="0.25">
      <c r="T63139" s="135"/>
      <c r="U63139" s="135"/>
    </row>
    <row r="63140" spans="20:21" ht="15" customHeight="1" x14ac:dyDescent="0.25">
      <c r="T63140" s="135"/>
      <c r="U63140" s="135"/>
    </row>
    <row r="63141" spans="20:21" ht="15" customHeight="1" x14ac:dyDescent="0.25">
      <c r="T63141" s="135"/>
      <c r="U63141" s="135"/>
    </row>
    <row r="63142" spans="20:21" ht="15" customHeight="1" x14ac:dyDescent="0.25">
      <c r="T63142" s="135"/>
      <c r="U63142" s="135"/>
    </row>
    <row r="63143" spans="20:21" ht="15" customHeight="1" x14ac:dyDescent="0.25">
      <c r="T63143" s="135"/>
      <c r="U63143" s="135"/>
    </row>
    <row r="63144" spans="20:21" ht="15" customHeight="1" x14ac:dyDescent="0.25">
      <c r="T63144" s="135"/>
      <c r="U63144" s="135"/>
    </row>
    <row r="63145" spans="20:21" ht="15" customHeight="1" x14ac:dyDescent="0.25">
      <c r="T63145" s="135"/>
      <c r="U63145" s="135"/>
    </row>
    <row r="63146" spans="20:21" ht="15" customHeight="1" x14ac:dyDescent="0.25">
      <c r="T63146" s="135"/>
      <c r="U63146" s="135"/>
    </row>
    <row r="63147" spans="20:21" ht="15" customHeight="1" x14ac:dyDescent="0.25">
      <c r="T63147" s="135"/>
      <c r="U63147" s="135"/>
    </row>
    <row r="63148" spans="20:21" ht="15" customHeight="1" x14ac:dyDescent="0.25">
      <c r="T63148" s="135"/>
      <c r="U63148" s="135"/>
    </row>
    <row r="63149" spans="20:21" ht="15" customHeight="1" x14ac:dyDescent="0.25">
      <c r="T63149" s="135"/>
      <c r="U63149" s="135"/>
    </row>
    <row r="63150" spans="20:21" ht="15" customHeight="1" x14ac:dyDescent="0.25">
      <c r="T63150" s="135"/>
      <c r="U63150" s="135"/>
    </row>
    <row r="63151" spans="20:21" ht="15" customHeight="1" x14ac:dyDescent="0.25">
      <c r="T63151" s="135"/>
      <c r="U63151" s="135"/>
    </row>
    <row r="63152" spans="20:21" ht="15" customHeight="1" x14ac:dyDescent="0.25">
      <c r="T63152" s="135"/>
      <c r="U63152" s="135"/>
    </row>
    <row r="63153" spans="20:21" ht="15" customHeight="1" x14ac:dyDescent="0.25">
      <c r="T63153" s="135"/>
      <c r="U63153" s="135"/>
    </row>
    <row r="63154" spans="20:21" ht="15" customHeight="1" x14ac:dyDescent="0.25">
      <c r="T63154" s="135"/>
      <c r="U63154" s="135"/>
    </row>
    <row r="63155" spans="20:21" ht="15" customHeight="1" x14ac:dyDescent="0.25">
      <c r="T63155" s="135"/>
      <c r="U63155" s="135"/>
    </row>
    <row r="63156" spans="20:21" ht="15" customHeight="1" x14ac:dyDescent="0.25">
      <c r="T63156" s="135"/>
      <c r="U63156" s="135"/>
    </row>
    <row r="63157" spans="20:21" ht="15" customHeight="1" x14ac:dyDescent="0.25">
      <c r="T63157" s="135"/>
      <c r="U63157" s="135"/>
    </row>
    <row r="63158" spans="20:21" ht="15" customHeight="1" x14ac:dyDescent="0.25">
      <c r="T63158" s="135"/>
      <c r="U63158" s="135"/>
    </row>
    <row r="63159" spans="20:21" ht="15" customHeight="1" x14ac:dyDescent="0.25">
      <c r="T63159" s="135"/>
      <c r="U63159" s="135"/>
    </row>
    <row r="63160" spans="20:21" ht="15" customHeight="1" x14ac:dyDescent="0.25">
      <c r="T63160" s="135"/>
      <c r="U63160" s="135"/>
    </row>
    <row r="63161" spans="20:21" ht="15" customHeight="1" x14ac:dyDescent="0.25">
      <c r="T63161" s="135"/>
      <c r="U63161" s="135"/>
    </row>
    <row r="63162" spans="20:21" ht="15" customHeight="1" x14ac:dyDescent="0.25">
      <c r="T63162" s="135"/>
      <c r="U63162" s="135"/>
    </row>
    <row r="63163" spans="20:21" ht="15" customHeight="1" x14ac:dyDescent="0.25">
      <c r="T63163" s="135"/>
      <c r="U63163" s="135"/>
    </row>
    <row r="63164" spans="20:21" ht="15" customHeight="1" x14ac:dyDescent="0.25">
      <c r="T63164" s="135"/>
      <c r="U63164" s="135"/>
    </row>
    <row r="63165" spans="20:21" ht="15" customHeight="1" x14ac:dyDescent="0.25">
      <c r="T63165" s="135"/>
      <c r="U63165" s="135"/>
    </row>
    <row r="63166" spans="20:21" ht="15" customHeight="1" x14ac:dyDescent="0.25">
      <c r="T63166" s="135"/>
      <c r="U63166" s="135"/>
    </row>
    <row r="63167" spans="20:21" ht="15" customHeight="1" x14ac:dyDescent="0.25">
      <c r="T63167" s="135"/>
      <c r="U63167" s="135"/>
    </row>
    <row r="63168" spans="20:21" ht="15" customHeight="1" x14ac:dyDescent="0.25">
      <c r="T63168" s="135"/>
      <c r="U63168" s="135"/>
    </row>
    <row r="63169" spans="20:21" ht="15" customHeight="1" x14ac:dyDescent="0.25">
      <c r="T63169" s="135"/>
      <c r="U63169" s="135"/>
    </row>
    <row r="63170" spans="20:21" ht="15" customHeight="1" x14ac:dyDescent="0.25">
      <c r="T63170" s="135"/>
      <c r="U63170" s="135"/>
    </row>
    <row r="63171" spans="20:21" ht="15" customHeight="1" x14ac:dyDescent="0.25">
      <c r="T63171" s="135"/>
      <c r="U63171" s="135"/>
    </row>
    <row r="63172" spans="20:21" ht="15" customHeight="1" x14ac:dyDescent="0.25">
      <c r="T63172" s="135"/>
      <c r="U63172" s="135"/>
    </row>
    <row r="63173" spans="20:21" ht="15" customHeight="1" x14ac:dyDescent="0.25">
      <c r="T63173" s="135"/>
      <c r="U63173" s="135"/>
    </row>
    <row r="63174" spans="20:21" ht="15" customHeight="1" x14ac:dyDescent="0.25">
      <c r="T63174" s="135"/>
      <c r="U63174" s="135"/>
    </row>
    <row r="63175" spans="20:21" ht="15" customHeight="1" x14ac:dyDescent="0.25">
      <c r="T63175" s="135"/>
      <c r="U63175" s="135"/>
    </row>
    <row r="63176" spans="20:21" ht="15" customHeight="1" x14ac:dyDescent="0.25">
      <c r="T63176" s="135"/>
      <c r="U63176" s="135"/>
    </row>
    <row r="63177" spans="20:21" ht="15" customHeight="1" x14ac:dyDescent="0.25">
      <c r="T63177" s="135"/>
      <c r="U63177" s="135"/>
    </row>
    <row r="63178" spans="20:21" ht="15" customHeight="1" x14ac:dyDescent="0.25">
      <c r="T63178" s="135"/>
      <c r="U63178" s="135"/>
    </row>
    <row r="63179" spans="20:21" ht="15" customHeight="1" x14ac:dyDescent="0.25">
      <c r="T63179" s="135"/>
      <c r="U63179" s="135"/>
    </row>
    <row r="63180" spans="20:21" ht="15" customHeight="1" x14ac:dyDescent="0.25">
      <c r="T63180" s="135"/>
      <c r="U63180" s="135"/>
    </row>
    <row r="63181" spans="20:21" ht="15" customHeight="1" x14ac:dyDescent="0.25">
      <c r="T63181" s="135"/>
      <c r="U63181" s="135"/>
    </row>
    <row r="63182" spans="20:21" ht="15" customHeight="1" x14ac:dyDescent="0.25">
      <c r="T63182" s="135"/>
      <c r="U63182" s="135"/>
    </row>
    <row r="63183" spans="20:21" ht="15" customHeight="1" x14ac:dyDescent="0.25">
      <c r="T63183" s="135"/>
      <c r="U63183" s="135"/>
    </row>
    <row r="63184" spans="20:21" ht="15" customHeight="1" x14ac:dyDescent="0.25">
      <c r="T63184" s="135"/>
      <c r="U63184" s="135"/>
    </row>
    <row r="63185" spans="20:21" ht="15" customHeight="1" x14ac:dyDescent="0.25">
      <c r="T63185" s="135"/>
      <c r="U63185" s="135"/>
    </row>
    <row r="63186" spans="20:21" ht="15" customHeight="1" x14ac:dyDescent="0.25">
      <c r="T63186" s="135"/>
      <c r="U63186" s="135"/>
    </row>
    <row r="63187" spans="20:21" ht="15" customHeight="1" x14ac:dyDescent="0.25">
      <c r="T63187" s="135"/>
      <c r="U63187" s="135"/>
    </row>
    <row r="63188" spans="20:21" ht="15" customHeight="1" x14ac:dyDescent="0.25">
      <c r="T63188" s="135"/>
      <c r="U63188" s="135"/>
    </row>
    <row r="63189" spans="20:21" ht="15" customHeight="1" x14ac:dyDescent="0.25">
      <c r="T63189" s="135"/>
      <c r="U63189" s="135"/>
    </row>
    <row r="63190" spans="20:21" ht="15" customHeight="1" x14ac:dyDescent="0.25">
      <c r="T63190" s="135"/>
      <c r="U63190" s="135"/>
    </row>
    <row r="63191" spans="20:21" ht="15" customHeight="1" x14ac:dyDescent="0.25">
      <c r="T63191" s="135"/>
      <c r="U63191" s="135"/>
    </row>
    <row r="63192" spans="20:21" ht="15" customHeight="1" x14ac:dyDescent="0.25">
      <c r="T63192" s="135"/>
      <c r="U63192" s="135"/>
    </row>
    <row r="63193" spans="20:21" ht="15" customHeight="1" x14ac:dyDescent="0.25">
      <c r="T63193" s="135"/>
      <c r="U63193" s="135"/>
    </row>
    <row r="63194" spans="20:21" ht="15" customHeight="1" x14ac:dyDescent="0.25">
      <c r="T63194" s="135"/>
      <c r="U63194" s="135"/>
    </row>
    <row r="63195" spans="20:21" ht="15" customHeight="1" x14ac:dyDescent="0.25">
      <c r="T63195" s="135"/>
      <c r="U63195" s="135"/>
    </row>
    <row r="63196" spans="20:21" ht="15" customHeight="1" x14ac:dyDescent="0.25">
      <c r="T63196" s="135"/>
      <c r="U63196" s="135"/>
    </row>
    <row r="63197" spans="20:21" ht="15" customHeight="1" x14ac:dyDescent="0.25">
      <c r="T63197" s="135"/>
      <c r="U63197" s="135"/>
    </row>
    <row r="63198" spans="20:21" ht="15" customHeight="1" x14ac:dyDescent="0.25">
      <c r="T63198" s="135"/>
      <c r="U63198" s="135"/>
    </row>
    <row r="63199" spans="20:21" ht="15" customHeight="1" x14ac:dyDescent="0.25">
      <c r="T63199" s="135"/>
      <c r="U63199" s="135"/>
    </row>
    <row r="63200" spans="20:21" ht="15" customHeight="1" x14ac:dyDescent="0.25">
      <c r="T63200" s="135"/>
      <c r="U63200" s="135"/>
    </row>
    <row r="63201" spans="20:21" ht="15" customHeight="1" x14ac:dyDescent="0.25">
      <c r="T63201" s="135"/>
      <c r="U63201" s="135"/>
    </row>
    <row r="63202" spans="20:21" ht="15" customHeight="1" x14ac:dyDescent="0.25">
      <c r="T63202" s="135"/>
      <c r="U63202" s="135"/>
    </row>
    <row r="63203" spans="20:21" ht="15" customHeight="1" x14ac:dyDescent="0.25">
      <c r="T63203" s="135"/>
      <c r="U63203" s="135"/>
    </row>
    <row r="63204" spans="20:21" ht="15" customHeight="1" x14ac:dyDescent="0.25">
      <c r="T63204" s="135"/>
      <c r="U63204" s="135"/>
    </row>
    <row r="63205" spans="20:21" ht="15" customHeight="1" x14ac:dyDescent="0.25">
      <c r="T63205" s="135"/>
      <c r="U63205" s="135"/>
    </row>
    <row r="63206" spans="20:21" ht="15" customHeight="1" x14ac:dyDescent="0.25">
      <c r="T63206" s="135"/>
      <c r="U63206" s="135"/>
    </row>
    <row r="63207" spans="20:21" ht="15" customHeight="1" x14ac:dyDescent="0.25">
      <c r="T63207" s="135"/>
      <c r="U63207" s="135"/>
    </row>
    <row r="63208" spans="20:21" ht="15" customHeight="1" x14ac:dyDescent="0.25">
      <c r="T63208" s="135"/>
      <c r="U63208" s="135"/>
    </row>
    <row r="63209" spans="20:21" ht="15" customHeight="1" x14ac:dyDescent="0.25">
      <c r="T63209" s="135"/>
      <c r="U63209" s="135"/>
    </row>
    <row r="63210" spans="20:21" ht="15" customHeight="1" x14ac:dyDescent="0.25">
      <c r="T63210" s="135"/>
      <c r="U63210" s="135"/>
    </row>
    <row r="63211" spans="20:21" ht="15" customHeight="1" x14ac:dyDescent="0.25">
      <c r="T63211" s="135"/>
      <c r="U63211" s="135"/>
    </row>
    <row r="63212" spans="20:21" ht="15" customHeight="1" x14ac:dyDescent="0.25">
      <c r="T63212" s="135"/>
      <c r="U63212" s="135"/>
    </row>
    <row r="63213" spans="20:21" ht="15" customHeight="1" x14ac:dyDescent="0.25">
      <c r="T63213" s="135"/>
      <c r="U63213" s="135"/>
    </row>
    <row r="63214" spans="20:21" ht="15" customHeight="1" x14ac:dyDescent="0.25">
      <c r="T63214" s="135"/>
      <c r="U63214" s="135"/>
    </row>
    <row r="63215" spans="20:21" ht="15" customHeight="1" x14ac:dyDescent="0.25">
      <c r="T63215" s="135"/>
      <c r="U63215" s="135"/>
    </row>
    <row r="63216" spans="20:21" ht="15" customHeight="1" x14ac:dyDescent="0.25">
      <c r="T63216" s="135"/>
      <c r="U63216" s="135"/>
    </row>
    <row r="63217" spans="20:21" ht="15" customHeight="1" x14ac:dyDescent="0.25">
      <c r="T63217" s="135"/>
      <c r="U63217" s="135"/>
    </row>
    <row r="63218" spans="20:21" ht="15" customHeight="1" x14ac:dyDescent="0.25">
      <c r="T63218" s="135"/>
      <c r="U63218" s="135"/>
    </row>
    <row r="63219" spans="20:21" ht="15" customHeight="1" x14ac:dyDescent="0.25">
      <c r="T63219" s="135"/>
      <c r="U63219" s="135"/>
    </row>
    <row r="63220" spans="20:21" ht="15" customHeight="1" x14ac:dyDescent="0.25">
      <c r="T63220" s="135"/>
      <c r="U63220" s="135"/>
    </row>
    <row r="63221" spans="20:21" ht="15" customHeight="1" x14ac:dyDescent="0.25">
      <c r="T63221" s="135"/>
      <c r="U63221" s="135"/>
    </row>
    <row r="63222" spans="20:21" ht="15" customHeight="1" x14ac:dyDescent="0.25">
      <c r="T63222" s="135"/>
      <c r="U63222" s="135"/>
    </row>
    <row r="63223" spans="20:21" ht="15" customHeight="1" x14ac:dyDescent="0.25">
      <c r="T63223" s="135"/>
      <c r="U63223" s="135"/>
    </row>
    <row r="63224" spans="20:21" ht="15" customHeight="1" x14ac:dyDescent="0.25">
      <c r="T63224" s="135"/>
      <c r="U63224" s="135"/>
    </row>
    <row r="63225" spans="20:21" ht="15" customHeight="1" x14ac:dyDescent="0.25">
      <c r="T63225" s="135"/>
      <c r="U63225" s="135"/>
    </row>
    <row r="63226" spans="20:21" ht="15" customHeight="1" x14ac:dyDescent="0.25">
      <c r="T63226" s="135"/>
      <c r="U63226" s="135"/>
    </row>
    <row r="63227" spans="20:21" ht="15" customHeight="1" x14ac:dyDescent="0.25">
      <c r="T63227" s="135"/>
      <c r="U63227" s="135"/>
    </row>
    <row r="63228" spans="20:21" ht="15" customHeight="1" x14ac:dyDescent="0.25">
      <c r="T63228" s="135"/>
      <c r="U63228" s="135"/>
    </row>
    <row r="63229" spans="20:21" ht="15" customHeight="1" x14ac:dyDescent="0.25">
      <c r="T63229" s="135"/>
      <c r="U63229" s="135"/>
    </row>
    <row r="63230" spans="20:21" ht="15" customHeight="1" x14ac:dyDescent="0.25">
      <c r="T63230" s="135"/>
      <c r="U63230" s="135"/>
    </row>
    <row r="63231" spans="20:21" ht="15" customHeight="1" x14ac:dyDescent="0.25">
      <c r="T63231" s="135"/>
      <c r="U63231" s="135"/>
    </row>
    <row r="63232" spans="20:21" ht="15" customHeight="1" x14ac:dyDescent="0.25">
      <c r="T63232" s="135"/>
      <c r="U63232" s="135"/>
    </row>
    <row r="63233" spans="20:21" ht="15" customHeight="1" x14ac:dyDescent="0.25">
      <c r="T63233" s="135"/>
      <c r="U63233" s="135"/>
    </row>
    <row r="63234" spans="20:21" ht="15" customHeight="1" x14ac:dyDescent="0.25">
      <c r="T63234" s="135"/>
      <c r="U63234" s="135"/>
    </row>
    <row r="63235" spans="20:21" ht="15" customHeight="1" x14ac:dyDescent="0.25">
      <c r="T63235" s="135"/>
      <c r="U63235" s="135"/>
    </row>
    <row r="63236" spans="20:21" ht="15" customHeight="1" x14ac:dyDescent="0.25">
      <c r="T63236" s="135"/>
      <c r="U63236" s="135"/>
    </row>
    <row r="63237" spans="20:21" ht="15" customHeight="1" x14ac:dyDescent="0.25">
      <c r="T63237" s="135"/>
      <c r="U63237" s="135"/>
    </row>
    <row r="63238" spans="20:21" ht="15" customHeight="1" x14ac:dyDescent="0.25">
      <c r="T63238" s="135"/>
      <c r="U63238" s="135"/>
    </row>
    <row r="63239" spans="20:21" ht="15" customHeight="1" x14ac:dyDescent="0.25">
      <c r="T63239" s="135"/>
      <c r="U63239" s="135"/>
    </row>
    <row r="63240" spans="20:21" ht="15" customHeight="1" x14ac:dyDescent="0.25">
      <c r="T63240" s="135"/>
      <c r="U63240" s="135"/>
    </row>
    <row r="63241" spans="20:21" ht="15" customHeight="1" x14ac:dyDescent="0.25">
      <c r="T63241" s="135"/>
      <c r="U63241" s="135"/>
    </row>
    <row r="63242" spans="20:21" ht="15" customHeight="1" x14ac:dyDescent="0.25">
      <c r="T63242" s="135"/>
      <c r="U63242" s="135"/>
    </row>
    <row r="63243" spans="20:21" ht="15" customHeight="1" x14ac:dyDescent="0.25">
      <c r="T63243" s="135"/>
      <c r="U63243" s="135"/>
    </row>
    <row r="63244" spans="20:21" ht="15" customHeight="1" x14ac:dyDescent="0.25">
      <c r="T63244" s="135"/>
      <c r="U63244" s="135"/>
    </row>
    <row r="63245" spans="20:21" ht="15" customHeight="1" x14ac:dyDescent="0.25">
      <c r="T63245" s="135"/>
      <c r="U63245" s="135"/>
    </row>
    <row r="63246" spans="20:21" ht="15" customHeight="1" x14ac:dyDescent="0.25">
      <c r="T63246" s="135"/>
      <c r="U63246" s="135"/>
    </row>
    <row r="63247" spans="20:21" ht="15" customHeight="1" x14ac:dyDescent="0.25">
      <c r="T63247" s="135"/>
      <c r="U63247" s="135"/>
    </row>
    <row r="63248" spans="20:21" ht="15" customHeight="1" x14ac:dyDescent="0.25">
      <c r="T63248" s="135"/>
      <c r="U63248" s="135"/>
    </row>
    <row r="63249" spans="20:21" ht="15" customHeight="1" x14ac:dyDescent="0.25">
      <c r="T63249" s="135"/>
      <c r="U63249" s="135"/>
    </row>
    <row r="63250" spans="20:21" ht="15" customHeight="1" x14ac:dyDescent="0.25">
      <c r="T63250" s="135"/>
      <c r="U63250" s="135"/>
    </row>
    <row r="63251" spans="20:21" ht="15" customHeight="1" x14ac:dyDescent="0.25">
      <c r="T63251" s="135"/>
      <c r="U63251" s="135"/>
    </row>
    <row r="63252" spans="20:21" ht="15" customHeight="1" x14ac:dyDescent="0.25">
      <c r="T63252" s="135"/>
      <c r="U63252" s="135"/>
    </row>
    <row r="63253" spans="20:21" ht="15" customHeight="1" x14ac:dyDescent="0.25">
      <c r="T63253" s="135"/>
      <c r="U63253" s="135"/>
    </row>
    <row r="63254" spans="20:21" ht="15" customHeight="1" x14ac:dyDescent="0.25">
      <c r="T63254" s="135"/>
      <c r="U63254" s="135"/>
    </row>
    <row r="63255" spans="20:21" ht="15" customHeight="1" x14ac:dyDescent="0.25">
      <c r="T63255" s="135"/>
      <c r="U63255" s="135"/>
    </row>
    <row r="63256" spans="20:21" ht="15" customHeight="1" x14ac:dyDescent="0.25">
      <c r="T63256" s="135"/>
      <c r="U63256" s="135"/>
    </row>
    <row r="63257" spans="20:21" ht="15" customHeight="1" x14ac:dyDescent="0.25">
      <c r="T63257" s="135"/>
      <c r="U63257" s="135"/>
    </row>
    <row r="63258" spans="20:21" ht="15" customHeight="1" x14ac:dyDescent="0.25">
      <c r="T63258" s="135"/>
      <c r="U63258" s="135"/>
    </row>
    <row r="63259" spans="20:21" ht="15" customHeight="1" x14ac:dyDescent="0.25">
      <c r="T63259" s="135"/>
      <c r="U63259" s="135"/>
    </row>
    <row r="63260" spans="20:21" ht="15" customHeight="1" x14ac:dyDescent="0.25">
      <c r="T63260" s="135"/>
      <c r="U63260" s="135"/>
    </row>
    <row r="63261" spans="20:21" ht="15" customHeight="1" x14ac:dyDescent="0.25">
      <c r="T63261" s="135"/>
      <c r="U63261" s="135"/>
    </row>
    <row r="63262" spans="20:21" ht="15" customHeight="1" x14ac:dyDescent="0.25">
      <c r="T63262" s="135"/>
      <c r="U63262" s="135"/>
    </row>
    <row r="63263" spans="20:21" ht="15" customHeight="1" x14ac:dyDescent="0.25">
      <c r="T63263" s="135"/>
      <c r="U63263" s="135"/>
    </row>
    <row r="63264" spans="20:21" ht="15" customHeight="1" x14ac:dyDescent="0.25">
      <c r="T63264" s="135"/>
      <c r="U63264" s="135"/>
    </row>
    <row r="63265" spans="20:21" ht="15" customHeight="1" x14ac:dyDescent="0.25">
      <c r="T63265" s="135"/>
      <c r="U63265" s="135"/>
    </row>
    <row r="63266" spans="20:21" ht="15" customHeight="1" x14ac:dyDescent="0.25">
      <c r="T63266" s="135"/>
      <c r="U63266" s="135"/>
    </row>
    <row r="63267" spans="20:21" ht="15" customHeight="1" x14ac:dyDescent="0.25">
      <c r="T63267" s="135"/>
      <c r="U63267" s="135"/>
    </row>
    <row r="63268" spans="20:21" ht="15" customHeight="1" x14ac:dyDescent="0.25">
      <c r="T63268" s="135"/>
      <c r="U63268" s="135"/>
    </row>
    <row r="63269" spans="20:21" ht="15" customHeight="1" x14ac:dyDescent="0.25">
      <c r="T63269" s="135"/>
      <c r="U63269" s="135"/>
    </row>
    <row r="63270" spans="20:21" ht="15" customHeight="1" x14ac:dyDescent="0.25">
      <c r="T63270" s="135"/>
      <c r="U63270" s="135"/>
    </row>
    <row r="63271" spans="20:21" ht="15" customHeight="1" x14ac:dyDescent="0.25">
      <c r="T63271" s="135"/>
      <c r="U63271" s="135"/>
    </row>
    <row r="63272" spans="20:21" ht="15" customHeight="1" x14ac:dyDescent="0.25">
      <c r="T63272" s="135"/>
      <c r="U63272" s="135"/>
    </row>
    <row r="63273" spans="20:21" ht="15" customHeight="1" x14ac:dyDescent="0.25">
      <c r="T63273" s="135"/>
      <c r="U63273" s="135"/>
    </row>
    <row r="63274" spans="20:21" ht="15" customHeight="1" x14ac:dyDescent="0.25">
      <c r="T63274" s="135"/>
      <c r="U63274" s="135"/>
    </row>
    <row r="63275" spans="20:21" ht="15" customHeight="1" x14ac:dyDescent="0.25">
      <c r="T63275" s="135"/>
      <c r="U63275" s="135"/>
    </row>
    <row r="63276" spans="20:21" ht="15" customHeight="1" x14ac:dyDescent="0.25">
      <c r="T63276" s="135"/>
      <c r="U63276" s="135"/>
    </row>
    <row r="63277" spans="20:21" ht="15" customHeight="1" x14ac:dyDescent="0.25">
      <c r="T63277" s="135"/>
      <c r="U63277" s="135"/>
    </row>
    <row r="63278" spans="20:21" ht="15" customHeight="1" x14ac:dyDescent="0.25">
      <c r="T63278" s="135"/>
      <c r="U63278" s="135"/>
    </row>
    <row r="63279" spans="20:21" ht="15" customHeight="1" x14ac:dyDescent="0.25">
      <c r="T63279" s="135"/>
      <c r="U63279" s="135"/>
    </row>
    <row r="63280" spans="20:21" ht="15" customHeight="1" x14ac:dyDescent="0.25">
      <c r="T63280" s="135"/>
      <c r="U63280" s="135"/>
    </row>
    <row r="63281" spans="20:21" ht="15" customHeight="1" x14ac:dyDescent="0.25">
      <c r="T63281" s="135"/>
      <c r="U63281" s="135"/>
    </row>
    <row r="63282" spans="20:21" ht="15" customHeight="1" x14ac:dyDescent="0.25">
      <c r="T63282" s="135"/>
      <c r="U63282" s="135"/>
    </row>
    <row r="63283" spans="20:21" ht="15" customHeight="1" x14ac:dyDescent="0.25">
      <c r="T63283" s="135"/>
      <c r="U63283" s="135"/>
    </row>
    <row r="63284" spans="20:21" ht="15" customHeight="1" x14ac:dyDescent="0.25">
      <c r="T63284" s="135"/>
      <c r="U63284" s="135"/>
    </row>
    <row r="63285" spans="20:21" ht="15" customHeight="1" x14ac:dyDescent="0.25">
      <c r="T63285" s="135"/>
      <c r="U63285" s="135"/>
    </row>
    <row r="63286" spans="20:21" ht="15" customHeight="1" x14ac:dyDescent="0.25">
      <c r="T63286" s="135"/>
      <c r="U63286" s="135"/>
    </row>
    <row r="63287" spans="20:21" ht="15" customHeight="1" x14ac:dyDescent="0.25">
      <c r="T63287" s="135"/>
      <c r="U63287" s="135"/>
    </row>
    <row r="63288" spans="20:21" ht="15" customHeight="1" x14ac:dyDescent="0.25">
      <c r="T63288" s="135"/>
      <c r="U63288" s="135"/>
    </row>
    <row r="63289" spans="20:21" ht="15" customHeight="1" x14ac:dyDescent="0.25">
      <c r="T63289" s="135"/>
      <c r="U63289" s="135"/>
    </row>
    <row r="63290" spans="20:21" ht="15" customHeight="1" x14ac:dyDescent="0.25">
      <c r="T63290" s="135"/>
      <c r="U63290" s="135"/>
    </row>
    <row r="63291" spans="20:21" ht="15" customHeight="1" x14ac:dyDescent="0.25">
      <c r="T63291" s="135"/>
      <c r="U63291" s="135"/>
    </row>
    <row r="63292" spans="20:21" ht="15" customHeight="1" x14ac:dyDescent="0.25">
      <c r="T63292" s="135"/>
      <c r="U63292" s="135"/>
    </row>
    <row r="63293" spans="20:21" ht="15" customHeight="1" x14ac:dyDescent="0.25">
      <c r="T63293" s="135"/>
      <c r="U63293" s="135"/>
    </row>
    <row r="63294" spans="20:21" ht="15" customHeight="1" x14ac:dyDescent="0.25">
      <c r="T63294" s="135"/>
      <c r="U63294" s="135"/>
    </row>
    <row r="63295" spans="20:21" ht="15" customHeight="1" x14ac:dyDescent="0.25">
      <c r="T63295" s="135"/>
      <c r="U63295" s="135"/>
    </row>
    <row r="63296" spans="20:21" ht="15" customHeight="1" x14ac:dyDescent="0.25">
      <c r="T63296" s="135"/>
      <c r="U63296" s="135"/>
    </row>
    <row r="63297" spans="20:21" ht="15" customHeight="1" x14ac:dyDescent="0.25">
      <c r="T63297" s="135"/>
      <c r="U63297" s="135"/>
    </row>
    <row r="63298" spans="20:21" ht="15" customHeight="1" x14ac:dyDescent="0.25">
      <c r="T63298" s="135"/>
      <c r="U63298" s="135"/>
    </row>
    <row r="63299" spans="20:21" ht="15" customHeight="1" x14ac:dyDescent="0.25">
      <c r="T63299" s="135"/>
      <c r="U63299" s="135"/>
    </row>
    <row r="63300" spans="20:21" ht="15" customHeight="1" x14ac:dyDescent="0.25">
      <c r="T63300" s="135"/>
      <c r="U63300" s="135"/>
    </row>
    <row r="63301" spans="20:21" ht="15" customHeight="1" x14ac:dyDescent="0.25">
      <c r="T63301" s="135"/>
      <c r="U63301" s="135"/>
    </row>
    <row r="63302" spans="20:21" ht="15" customHeight="1" x14ac:dyDescent="0.25">
      <c r="T63302" s="135"/>
      <c r="U63302" s="135"/>
    </row>
    <row r="63303" spans="20:21" ht="15" customHeight="1" x14ac:dyDescent="0.25">
      <c r="T63303" s="135"/>
      <c r="U63303" s="135"/>
    </row>
    <row r="63304" spans="20:21" ht="15" customHeight="1" x14ac:dyDescent="0.25">
      <c r="T63304" s="135"/>
      <c r="U63304" s="135"/>
    </row>
    <row r="63305" spans="20:21" ht="15" customHeight="1" x14ac:dyDescent="0.25">
      <c r="T63305" s="135"/>
      <c r="U63305" s="135"/>
    </row>
    <row r="63306" spans="20:21" ht="15" customHeight="1" x14ac:dyDescent="0.25">
      <c r="T63306" s="135"/>
      <c r="U63306" s="135"/>
    </row>
    <row r="63307" spans="20:21" ht="15" customHeight="1" x14ac:dyDescent="0.25">
      <c r="T63307" s="135"/>
      <c r="U63307" s="135"/>
    </row>
    <row r="63308" spans="20:21" ht="15" customHeight="1" x14ac:dyDescent="0.25">
      <c r="T63308" s="135"/>
      <c r="U63308" s="135"/>
    </row>
    <row r="63309" spans="20:21" ht="15" customHeight="1" x14ac:dyDescent="0.25">
      <c r="T63309" s="135"/>
      <c r="U63309" s="135"/>
    </row>
    <row r="63310" spans="20:21" ht="15" customHeight="1" x14ac:dyDescent="0.25">
      <c r="T63310" s="135"/>
      <c r="U63310" s="135"/>
    </row>
    <row r="63311" spans="20:21" ht="15" customHeight="1" x14ac:dyDescent="0.25">
      <c r="T63311" s="135"/>
      <c r="U63311" s="135"/>
    </row>
    <row r="63312" spans="20:21" ht="15" customHeight="1" x14ac:dyDescent="0.25">
      <c r="T63312" s="135"/>
      <c r="U63312" s="135"/>
    </row>
    <row r="63313" spans="20:21" ht="15" customHeight="1" x14ac:dyDescent="0.25">
      <c r="T63313" s="135"/>
      <c r="U63313" s="135"/>
    </row>
    <row r="63314" spans="20:21" ht="15" customHeight="1" x14ac:dyDescent="0.25">
      <c r="T63314" s="135"/>
      <c r="U63314" s="135"/>
    </row>
    <row r="63315" spans="20:21" ht="15" customHeight="1" x14ac:dyDescent="0.25">
      <c r="T63315" s="135"/>
      <c r="U63315" s="135"/>
    </row>
    <row r="63316" spans="20:21" ht="15" customHeight="1" x14ac:dyDescent="0.25">
      <c r="T63316" s="135"/>
      <c r="U63316" s="135"/>
    </row>
    <row r="63317" spans="20:21" ht="15" customHeight="1" x14ac:dyDescent="0.25">
      <c r="T63317" s="135"/>
      <c r="U63317" s="135"/>
    </row>
    <row r="63318" spans="20:21" ht="15" customHeight="1" x14ac:dyDescent="0.25">
      <c r="T63318" s="135"/>
      <c r="U63318" s="135"/>
    </row>
    <row r="63319" spans="20:21" ht="15" customHeight="1" x14ac:dyDescent="0.25">
      <c r="T63319" s="135"/>
      <c r="U63319" s="135"/>
    </row>
    <row r="63320" spans="20:21" ht="15" customHeight="1" x14ac:dyDescent="0.25">
      <c r="T63320" s="135"/>
      <c r="U63320" s="135"/>
    </row>
    <row r="63321" spans="20:21" ht="15" customHeight="1" x14ac:dyDescent="0.25">
      <c r="T63321" s="135"/>
      <c r="U63321" s="135"/>
    </row>
    <row r="63322" spans="20:21" ht="15" customHeight="1" x14ac:dyDescent="0.25">
      <c r="T63322" s="135"/>
      <c r="U63322" s="135"/>
    </row>
    <row r="63323" spans="20:21" ht="15" customHeight="1" x14ac:dyDescent="0.25">
      <c r="T63323" s="135"/>
      <c r="U63323" s="135"/>
    </row>
    <row r="63324" spans="20:21" ht="15" customHeight="1" x14ac:dyDescent="0.25">
      <c r="T63324" s="135"/>
      <c r="U63324" s="135"/>
    </row>
    <row r="63325" spans="20:21" ht="15" customHeight="1" x14ac:dyDescent="0.25">
      <c r="T63325" s="135"/>
      <c r="U63325" s="135"/>
    </row>
    <row r="63326" spans="20:21" ht="15" customHeight="1" x14ac:dyDescent="0.25">
      <c r="T63326" s="135"/>
      <c r="U63326" s="135"/>
    </row>
    <row r="63327" spans="20:21" ht="15" customHeight="1" x14ac:dyDescent="0.25">
      <c r="T63327" s="135"/>
      <c r="U63327" s="135"/>
    </row>
    <row r="63328" spans="20:21" ht="15" customHeight="1" x14ac:dyDescent="0.25">
      <c r="T63328" s="135"/>
      <c r="U63328" s="135"/>
    </row>
    <row r="63329" spans="20:21" ht="15" customHeight="1" x14ac:dyDescent="0.25">
      <c r="T63329" s="135"/>
      <c r="U63329" s="135"/>
    </row>
    <row r="63330" spans="20:21" ht="15" customHeight="1" x14ac:dyDescent="0.25">
      <c r="T63330" s="135"/>
      <c r="U63330" s="135"/>
    </row>
    <row r="63331" spans="20:21" ht="15" customHeight="1" x14ac:dyDescent="0.25">
      <c r="T63331" s="135"/>
      <c r="U63331" s="135"/>
    </row>
    <row r="63332" spans="20:21" ht="15" customHeight="1" x14ac:dyDescent="0.25">
      <c r="T63332" s="135"/>
      <c r="U63332" s="135"/>
    </row>
    <row r="63333" spans="20:21" ht="15" customHeight="1" x14ac:dyDescent="0.25">
      <c r="T63333" s="135"/>
      <c r="U63333" s="135"/>
    </row>
    <row r="63334" spans="20:21" ht="15" customHeight="1" x14ac:dyDescent="0.25">
      <c r="T63334" s="135"/>
      <c r="U63334" s="135"/>
    </row>
    <row r="63335" spans="20:21" ht="15" customHeight="1" x14ac:dyDescent="0.25">
      <c r="T63335" s="135"/>
      <c r="U63335" s="135"/>
    </row>
    <row r="63336" spans="20:21" ht="15" customHeight="1" x14ac:dyDescent="0.25">
      <c r="T63336" s="135"/>
      <c r="U63336" s="135"/>
    </row>
    <row r="63337" spans="20:21" ht="15" customHeight="1" x14ac:dyDescent="0.25">
      <c r="T63337" s="135"/>
      <c r="U63337" s="135"/>
    </row>
    <row r="63338" spans="20:21" ht="15" customHeight="1" x14ac:dyDescent="0.25">
      <c r="T63338" s="135"/>
      <c r="U63338" s="135"/>
    </row>
    <row r="63339" spans="20:21" ht="15" customHeight="1" x14ac:dyDescent="0.25">
      <c r="T63339" s="135"/>
      <c r="U63339" s="135"/>
    </row>
    <row r="63340" spans="20:21" ht="15" customHeight="1" x14ac:dyDescent="0.25">
      <c r="T63340" s="135"/>
      <c r="U63340" s="135"/>
    </row>
    <row r="63341" spans="20:21" ht="15" customHeight="1" x14ac:dyDescent="0.25">
      <c r="T63341" s="135"/>
      <c r="U63341" s="135"/>
    </row>
    <row r="63342" spans="20:21" ht="15" customHeight="1" x14ac:dyDescent="0.25">
      <c r="T63342" s="135"/>
      <c r="U63342" s="135"/>
    </row>
    <row r="63343" spans="20:21" ht="15" customHeight="1" x14ac:dyDescent="0.25">
      <c r="T63343" s="135"/>
      <c r="U63343" s="135"/>
    </row>
    <row r="63344" spans="20:21" ht="15" customHeight="1" x14ac:dyDescent="0.25">
      <c r="T63344" s="135"/>
      <c r="U63344" s="135"/>
    </row>
    <row r="63345" spans="20:21" ht="15" customHeight="1" x14ac:dyDescent="0.25">
      <c r="T63345" s="135"/>
      <c r="U63345" s="135"/>
    </row>
    <row r="63346" spans="20:21" ht="15" customHeight="1" x14ac:dyDescent="0.25">
      <c r="T63346" s="135"/>
      <c r="U63346" s="135"/>
    </row>
    <row r="63347" spans="20:21" ht="15" customHeight="1" x14ac:dyDescent="0.25">
      <c r="T63347" s="135"/>
      <c r="U63347" s="135"/>
    </row>
    <row r="63348" spans="20:21" ht="15" customHeight="1" x14ac:dyDescent="0.25">
      <c r="T63348" s="135"/>
      <c r="U63348" s="135"/>
    </row>
    <row r="63349" spans="20:21" ht="15" customHeight="1" x14ac:dyDescent="0.25">
      <c r="T63349" s="135"/>
      <c r="U63349" s="135"/>
    </row>
    <row r="63350" spans="20:21" ht="15" customHeight="1" x14ac:dyDescent="0.25">
      <c r="T63350" s="135"/>
      <c r="U63350" s="135"/>
    </row>
    <row r="63351" spans="20:21" ht="15" customHeight="1" x14ac:dyDescent="0.25">
      <c r="T63351" s="135"/>
      <c r="U63351" s="135"/>
    </row>
    <row r="63352" spans="20:21" ht="15" customHeight="1" x14ac:dyDescent="0.25">
      <c r="T63352" s="135"/>
      <c r="U63352" s="135"/>
    </row>
    <row r="63353" spans="20:21" ht="15" customHeight="1" x14ac:dyDescent="0.25">
      <c r="T63353" s="135"/>
      <c r="U63353" s="135"/>
    </row>
    <row r="63354" spans="20:21" ht="15" customHeight="1" x14ac:dyDescent="0.25">
      <c r="T63354" s="135"/>
      <c r="U63354" s="135"/>
    </row>
    <row r="63355" spans="20:21" ht="15" customHeight="1" x14ac:dyDescent="0.25">
      <c r="T63355" s="135"/>
      <c r="U63355" s="135"/>
    </row>
    <row r="63356" spans="20:21" ht="15" customHeight="1" x14ac:dyDescent="0.25">
      <c r="T63356" s="135"/>
      <c r="U63356" s="135"/>
    </row>
    <row r="63357" spans="20:21" ht="15" customHeight="1" x14ac:dyDescent="0.25">
      <c r="T63357" s="135"/>
      <c r="U63357" s="135"/>
    </row>
    <row r="63358" spans="20:21" ht="15" customHeight="1" x14ac:dyDescent="0.25">
      <c r="T63358" s="135"/>
      <c r="U63358" s="135"/>
    </row>
    <row r="63359" spans="20:21" ht="15" customHeight="1" x14ac:dyDescent="0.25">
      <c r="T63359" s="135"/>
      <c r="U63359" s="135"/>
    </row>
    <row r="63360" spans="20:21" ht="15" customHeight="1" x14ac:dyDescent="0.25">
      <c r="T63360" s="135"/>
      <c r="U63360" s="135"/>
    </row>
    <row r="63361" spans="20:21" ht="15" customHeight="1" x14ac:dyDescent="0.25">
      <c r="T63361" s="135"/>
      <c r="U63361" s="135"/>
    </row>
    <row r="63362" spans="20:21" ht="15" customHeight="1" x14ac:dyDescent="0.25">
      <c r="T63362" s="135"/>
      <c r="U63362" s="135"/>
    </row>
    <row r="63363" spans="20:21" ht="15" customHeight="1" x14ac:dyDescent="0.25">
      <c r="T63363" s="135"/>
      <c r="U63363" s="135"/>
    </row>
    <row r="63364" spans="20:21" ht="15" customHeight="1" x14ac:dyDescent="0.25">
      <c r="T63364" s="135"/>
      <c r="U63364" s="135"/>
    </row>
    <row r="63365" spans="20:21" ht="15" customHeight="1" x14ac:dyDescent="0.25">
      <c r="T63365" s="135"/>
      <c r="U63365" s="135"/>
    </row>
    <row r="63366" spans="20:21" ht="15" customHeight="1" x14ac:dyDescent="0.25">
      <c r="T63366" s="135"/>
      <c r="U63366" s="135"/>
    </row>
    <row r="63367" spans="20:21" ht="15" customHeight="1" x14ac:dyDescent="0.25">
      <c r="T63367" s="135"/>
      <c r="U63367" s="135"/>
    </row>
    <row r="63368" spans="20:21" ht="15" customHeight="1" x14ac:dyDescent="0.25">
      <c r="T63368" s="135"/>
      <c r="U63368" s="135"/>
    </row>
    <row r="63369" spans="20:21" ht="15" customHeight="1" x14ac:dyDescent="0.25">
      <c r="T63369" s="135"/>
      <c r="U63369" s="135"/>
    </row>
    <row r="63370" spans="20:21" ht="15" customHeight="1" x14ac:dyDescent="0.25">
      <c r="T63370" s="135"/>
      <c r="U63370" s="135"/>
    </row>
    <row r="63371" spans="20:21" ht="15" customHeight="1" x14ac:dyDescent="0.25">
      <c r="T63371" s="135"/>
      <c r="U63371" s="135"/>
    </row>
    <row r="63372" spans="20:21" ht="15" customHeight="1" x14ac:dyDescent="0.25">
      <c r="T63372" s="135"/>
      <c r="U63372" s="135"/>
    </row>
    <row r="63373" spans="20:21" ht="15" customHeight="1" x14ac:dyDescent="0.25">
      <c r="T63373" s="135"/>
      <c r="U63373" s="135"/>
    </row>
    <row r="63374" spans="20:21" ht="15" customHeight="1" x14ac:dyDescent="0.25">
      <c r="T63374" s="135"/>
      <c r="U63374" s="135"/>
    </row>
    <row r="63375" spans="20:21" ht="15" customHeight="1" x14ac:dyDescent="0.25">
      <c r="T63375" s="135"/>
      <c r="U63375" s="135"/>
    </row>
    <row r="63376" spans="20:21" ht="15" customHeight="1" x14ac:dyDescent="0.25">
      <c r="T63376" s="135"/>
      <c r="U63376" s="135"/>
    </row>
    <row r="63377" spans="20:21" ht="15" customHeight="1" x14ac:dyDescent="0.25">
      <c r="T63377" s="135"/>
      <c r="U63377" s="135"/>
    </row>
    <row r="63378" spans="20:21" ht="15" customHeight="1" x14ac:dyDescent="0.25">
      <c r="T63378" s="135"/>
      <c r="U63378" s="135"/>
    </row>
    <row r="63379" spans="20:21" ht="15" customHeight="1" x14ac:dyDescent="0.25">
      <c r="T63379" s="135"/>
      <c r="U63379" s="135"/>
    </row>
    <row r="63380" spans="20:21" ht="15" customHeight="1" x14ac:dyDescent="0.25">
      <c r="T63380" s="135"/>
      <c r="U63380" s="135"/>
    </row>
    <row r="63381" spans="20:21" ht="15" customHeight="1" x14ac:dyDescent="0.25">
      <c r="T63381" s="135"/>
      <c r="U63381" s="135"/>
    </row>
    <row r="63382" spans="20:21" ht="15" customHeight="1" x14ac:dyDescent="0.25">
      <c r="T63382" s="135"/>
      <c r="U63382" s="135"/>
    </row>
    <row r="63383" spans="20:21" ht="15" customHeight="1" x14ac:dyDescent="0.25">
      <c r="T63383" s="135"/>
      <c r="U63383" s="135"/>
    </row>
    <row r="63384" spans="20:21" ht="15" customHeight="1" x14ac:dyDescent="0.25">
      <c r="T63384" s="135"/>
      <c r="U63384" s="135"/>
    </row>
    <row r="63385" spans="20:21" ht="15" customHeight="1" x14ac:dyDescent="0.25">
      <c r="T63385" s="135"/>
      <c r="U63385" s="135"/>
    </row>
    <row r="63386" spans="20:21" ht="15" customHeight="1" x14ac:dyDescent="0.25">
      <c r="T63386" s="135"/>
      <c r="U63386" s="135"/>
    </row>
    <row r="63387" spans="20:21" ht="15" customHeight="1" x14ac:dyDescent="0.25">
      <c r="T63387" s="135"/>
      <c r="U63387" s="135"/>
    </row>
    <row r="63388" spans="20:21" ht="15" customHeight="1" x14ac:dyDescent="0.25">
      <c r="T63388" s="135"/>
      <c r="U63388" s="135"/>
    </row>
    <row r="63389" spans="20:21" ht="15" customHeight="1" x14ac:dyDescent="0.25">
      <c r="T63389" s="135"/>
      <c r="U63389" s="135"/>
    </row>
    <row r="63390" spans="20:21" ht="15" customHeight="1" x14ac:dyDescent="0.25">
      <c r="T63390" s="135"/>
      <c r="U63390" s="135"/>
    </row>
    <row r="63391" spans="20:21" ht="15" customHeight="1" x14ac:dyDescent="0.25">
      <c r="T63391" s="135"/>
      <c r="U63391" s="135"/>
    </row>
    <row r="63392" spans="20:21" ht="15" customHeight="1" x14ac:dyDescent="0.25">
      <c r="T63392" s="135"/>
      <c r="U63392" s="135"/>
    </row>
    <row r="63393" spans="20:21" ht="15" customHeight="1" x14ac:dyDescent="0.25">
      <c r="T63393" s="135"/>
      <c r="U63393" s="135"/>
    </row>
    <row r="63394" spans="20:21" ht="15" customHeight="1" x14ac:dyDescent="0.25">
      <c r="T63394" s="135"/>
      <c r="U63394" s="135"/>
    </row>
    <row r="63395" spans="20:21" ht="15" customHeight="1" x14ac:dyDescent="0.25">
      <c r="T63395" s="135"/>
      <c r="U63395" s="135"/>
    </row>
    <row r="63396" spans="20:21" ht="15" customHeight="1" x14ac:dyDescent="0.25">
      <c r="T63396" s="135"/>
      <c r="U63396" s="135"/>
    </row>
    <row r="63397" spans="20:21" ht="15" customHeight="1" x14ac:dyDescent="0.25">
      <c r="T63397" s="135"/>
      <c r="U63397" s="135"/>
    </row>
    <row r="63398" spans="20:21" ht="15" customHeight="1" x14ac:dyDescent="0.25">
      <c r="T63398" s="135"/>
      <c r="U63398" s="135"/>
    </row>
    <row r="63399" spans="20:21" ht="15" customHeight="1" x14ac:dyDescent="0.25">
      <c r="T63399" s="135"/>
      <c r="U63399" s="135"/>
    </row>
    <row r="63400" spans="20:21" ht="15" customHeight="1" x14ac:dyDescent="0.25">
      <c r="T63400" s="135"/>
      <c r="U63400" s="135"/>
    </row>
    <row r="63401" spans="20:21" ht="15" customHeight="1" x14ac:dyDescent="0.25">
      <c r="T63401" s="135"/>
      <c r="U63401" s="135"/>
    </row>
    <row r="63402" spans="20:21" ht="15" customHeight="1" x14ac:dyDescent="0.25">
      <c r="T63402" s="135"/>
      <c r="U63402" s="135"/>
    </row>
    <row r="63403" spans="20:21" ht="15" customHeight="1" x14ac:dyDescent="0.25">
      <c r="T63403" s="135"/>
      <c r="U63403" s="135"/>
    </row>
    <row r="63404" spans="20:21" ht="15" customHeight="1" x14ac:dyDescent="0.25">
      <c r="T63404" s="135"/>
      <c r="U63404" s="135"/>
    </row>
    <row r="63405" spans="20:21" ht="15" customHeight="1" x14ac:dyDescent="0.25">
      <c r="T63405" s="135"/>
      <c r="U63405" s="135"/>
    </row>
    <row r="63406" spans="20:21" ht="15" customHeight="1" x14ac:dyDescent="0.25">
      <c r="T63406" s="135"/>
      <c r="U63406" s="135"/>
    </row>
    <row r="63407" spans="20:21" ht="15" customHeight="1" x14ac:dyDescent="0.25">
      <c r="T63407" s="135"/>
      <c r="U63407" s="135"/>
    </row>
    <row r="63408" spans="20:21" ht="15" customHeight="1" x14ac:dyDescent="0.25">
      <c r="T63408" s="135"/>
      <c r="U63408" s="135"/>
    </row>
    <row r="63409" spans="20:21" ht="15" customHeight="1" x14ac:dyDescent="0.25">
      <c r="T63409" s="135"/>
      <c r="U63409" s="135"/>
    </row>
    <row r="63410" spans="20:21" ht="15" customHeight="1" x14ac:dyDescent="0.25">
      <c r="T63410" s="135"/>
      <c r="U63410" s="135"/>
    </row>
    <row r="63411" spans="20:21" ht="15" customHeight="1" x14ac:dyDescent="0.25">
      <c r="T63411" s="135"/>
      <c r="U63411" s="135"/>
    </row>
    <row r="63412" spans="20:21" ht="15" customHeight="1" x14ac:dyDescent="0.25">
      <c r="T63412" s="135"/>
      <c r="U63412" s="135"/>
    </row>
    <row r="63413" spans="20:21" ht="15" customHeight="1" x14ac:dyDescent="0.25">
      <c r="T63413" s="135"/>
      <c r="U63413" s="135"/>
    </row>
    <row r="63414" spans="20:21" ht="15" customHeight="1" x14ac:dyDescent="0.25">
      <c r="T63414" s="135"/>
      <c r="U63414" s="135"/>
    </row>
    <row r="63415" spans="20:21" ht="15" customHeight="1" x14ac:dyDescent="0.25">
      <c r="T63415" s="135"/>
      <c r="U63415" s="135"/>
    </row>
    <row r="63416" spans="20:21" ht="15" customHeight="1" x14ac:dyDescent="0.25">
      <c r="T63416" s="135"/>
      <c r="U63416" s="135"/>
    </row>
    <row r="63417" spans="20:21" ht="15" customHeight="1" x14ac:dyDescent="0.25">
      <c r="T63417" s="135"/>
      <c r="U63417" s="135"/>
    </row>
    <row r="63418" spans="20:21" ht="15" customHeight="1" x14ac:dyDescent="0.25">
      <c r="T63418" s="135"/>
      <c r="U63418" s="135"/>
    </row>
    <row r="63419" spans="20:21" ht="15" customHeight="1" x14ac:dyDescent="0.25">
      <c r="T63419" s="135"/>
      <c r="U63419" s="135"/>
    </row>
    <row r="63420" spans="20:21" ht="15" customHeight="1" x14ac:dyDescent="0.25">
      <c r="T63420" s="135"/>
      <c r="U63420" s="135"/>
    </row>
    <row r="63421" spans="20:21" ht="15" customHeight="1" x14ac:dyDescent="0.25">
      <c r="T63421" s="135"/>
      <c r="U63421" s="135"/>
    </row>
    <row r="63422" spans="20:21" ht="15" customHeight="1" x14ac:dyDescent="0.25">
      <c r="T63422" s="135"/>
      <c r="U63422" s="135"/>
    </row>
    <row r="63423" spans="20:21" ht="15" customHeight="1" x14ac:dyDescent="0.25">
      <c r="T63423" s="135"/>
      <c r="U63423" s="135"/>
    </row>
    <row r="63424" spans="20:21" ht="15" customHeight="1" x14ac:dyDescent="0.25">
      <c r="T63424" s="135"/>
      <c r="U63424" s="135"/>
    </row>
    <row r="63425" spans="20:21" ht="15" customHeight="1" x14ac:dyDescent="0.25">
      <c r="T63425" s="135"/>
      <c r="U63425" s="135"/>
    </row>
    <row r="63426" spans="20:21" ht="15" customHeight="1" x14ac:dyDescent="0.25">
      <c r="T63426" s="135"/>
      <c r="U63426" s="135"/>
    </row>
    <row r="63427" spans="20:21" ht="15" customHeight="1" x14ac:dyDescent="0.25">
      <c r="T63427" s="135"/>
      <c r="U63427" s="135"/>
    </row>
    <row r="63428" spans="20:21" ht="15" customHeight="1" x14ac:dyDescent="0.25">
      <c r="T63428" s="135"/>
      <c r="U63428" s="135"/>
    </row>
    <row r="63429" spans="20:21" ht="15" customHeight="1" x14ac:dyDescent="0.25">
      <c r="T63429" s="135"/>
      <c r="U63429" s="135"/>
    </row>
    <row r="63430" spans="20:21" ht="15" customHeight="1" x14ac:dyDescent="0.25">
      <c r="T63430" s="135"/>
      <c r="U63430" s="135"/>
    </row>
    <row r="63431" spans="20:21" ht="15" customHeight="1" x14ac:dyDescent="0.25">
      <c r="T63431" s="135"/>
      <c r="U63431" s="135"/>
    </row>
    <row r="63432" spans="20:21" ht="15" customHeight="1" x14ac:dyDescent="0.25">
      <c r="T63432" s="135"/>
      <c r="U63432" s="135"/>
    </row>
    <row r="63433" spans="20:21" ht="15" customHeight="1" x14ac:dyDescent="0.25">
      <c r="T63433" s="135"/>
      <c r="U63433" s="135"/>
    </row>
    <row r="63434" spans="20:21" ht="15" customHeight="1" x14ac:dyDescent="0.25">
      <c r="T63434" s="135"/>
      <c r="U63434" s="135"/>
    </row>
    <row r="63435" spans="20:21" ht="15" customHeight="1" x14ac:dyDescent="0.25">
      <c r="T63435" s="135"/>
      <c r="U63435" s="135"/>
    </row>
    <row r="63436" spans="20:21" ht="15" customHeight="1" x14ac:dyDescent="0.25">
      <c r="T63436" s="135"/>
      <c r="U63436" s="135"/>
    </row>
    <row r="63437" spans="20:21" ht="15" customHeight="1" x14ac:dyDescent="0.25">
      <c r="T63437" s="135"/>
      <c r="U63437" s="135"/>
    </row>
    <row r="63438" spans="20:21" ht="15" customHeight="1" x14ac:dyDescent="0.25">
      <c r="T63438" s="135"/>
      <c r="U63438" s="135"/>
    </row>
    <row r="63439" spans="20:21" ht="15" customHeight="1" x14ac:dyDescent="0.25">
      <c r="T63439" s="135"/>
      <c r="U63439" s="135"/>
    </row>
    <row r="63440" spans="20:21" ht="15" customHeight="1" x14ac:dyDescent="0.25">
      <c r="T63440" s="135"/>
      <c r="U63440" s="135"/>
    </row>
    <row r="63441" spans="20:21" ht="15" customHeight="1" x14ac:dyDescent="0.25">
      <c r="T63441" s="135"/>
      <c r="U63441" s="135"/>
    </row>
    <row r="63442" spans="20:21" ht="15" customHeight="1" x14ac:dyDescent="0.25">
      <c r="T63442" s="135"/>
      <c r="U63442" s="135"/>
    </row>
    <row r="63443" spans="20:21" ht="15" customHeight="1" x14ac:dyDescent="0.25">
      <c r="T63443" s="135"/>
      <c r="U63443" s="135"/>
    </row>
    <row r="63444" spans="20:21" ht="15" customHeight="1" x14ac:dyDescent="0.25">
      <c r="T63444" s="135"/>
      <c r="U63444" s="135"/>
    </row>
    <row r="63445" spans="20:21" ht="15" customHeight="1" x14ac:dyDescent="0.25">
      <c r="T63445" s="135"/>
      <c r="U63445" s="135"/>
    </row>
    <row r="63446" spans="20:21" ht="15" customHeight="1" x14ac:dyDescent="0.25">
      <c r="T63446" s="135"/>
      <c r="U63446" s="135"/>
    </row>
    <row r="63447" spans="20:21" ht="15" customHeight="1" x14ac:dyDescent="0.25">
      <c r="T63447" s="135"/>
      <c r="U63447" s="135"/>
    </row>
    <row r="63448" spans="20:21" ht="15" customHeight="1" x14ac:dyDescent="0.25">
      <c r="T63448" s="135"/>
      <c r="U63448" s="135"/>
    </row>
    <row r="63449" spans="20:21" ht="15" customHeight="1" x14ac:dyDescent="0.25">
      <c r="T63449" s="135"/>
      <c r="U63449" s="135"/>
    </row>
    <row r="63450" spans="20:21" ht="15" customHeight="1" x14ac:dyDescent="0.25">
      <c r="T63450" s="135"/>
      <c r="U63450" s="135"/>
    </row>
    <row r="63451" spans="20:21" ht="15" customHeight="1" x14ac:dyDescent="0.25">
      <c r="T63451" s="135"/>
      <c r="U63451" s="135"/>
    </row>
    <row r="63452" spans="20:21" ht="15" customHeight="1" x14ac:dyDescent="0.25">
      <c r="T63452" s="135"/>
      <c r="U63452" s="135"/>
    </row>
    <row r="63453" spans="20:21" ht="15" customHeight="1" x14ac:dyDescent="0.25">
      <c r="T63453" s="135"/>
      <c r="U63453" s="135"/>
    </row>
    <row r="63454" spans="20:21" ht="15" customHeight="1" x14ac:dyDescent="0.25">
      <c r="T63454" s="135"/>
      <c r="U63454" s="135"/>
    </row>
    <row r="63455" spans="20:21" ht="15" customHeight="1" x14ac:dyDescent="0.25">
      <c r="T63455" s="135"/>
      <c r="U63455" s="135"/>
    </row>
    <row r="63456" spans="20:21" ht="15" customHeight="1" x14ac:dyDescent="0.25">
      <c r="T63456" s="135"/>
      <c r="U63456" s="135"/>
    </row>
    <row r="63457" spans="20:21" ht="15" customHeight="1" x14ac:dyDescent="0.25">
      <c r="T63457" s="135"/>
      <c r="U63457" s="135"/>
    </row>
    <row r="63458" spans="20:21" ht="15" customHeight="1" x14ac:dyDescent="0.25">
      <c r="T63458" s="135"/>
      <c r="U63458" s="135"/>
    </row>
    <row r="63459" spans="20:21" ht="15" customHeight="1" x14ac:dyDescent="0.25">
      <c r="T63459" s="135"/>
      <c r="U63459" s="135"/>
    </row>
    <row r="63460" spans="20:21" ht="15" customHeight="1" x14ac:dyDescent="0.25">
      <c r="T63460" s="135"/>
      <c r="U63460" s="135"/>
    </row>
    <row r="63461" spans="20:21" ht="15" customHeight="1" x14ac:dyDescent="0.25">
      <c r="T63461" s="135"/>
      <c r="U63461" s="135"/>
    </row>
    <row r="63462" spans="20:21" ht="15" customHeight="1" x14ac:dyDescent="0.25">
      <c r="T63462" s="135"/>
      <c r="U63462" s="135"/>
    </row>
    <row r="63463" spans="20:21" ht="15" customHeight="1" x14ac:dyDescent="0.25">
      <c r="T63463" s="135"/>
      <c r="U63463" s="135"/>
    </row>
    <row r="63464" spans="20:21" ht="15" customHeight="1" x14ac:dyDescent="0.25">
      <c r="T63464" s="135"/>
      <c r="U63464" s="135"/>
    </row>
    <row r="63465" spans="20:21" ht="15" customHeight="1" x14ac:dyDescent="0.25">
      <c r="T63465" s="135"/>
      <c r="U63465" s="135"/>
    </row>
    <row r="63466" spans="20:21" ht="15" customHeight="1" x14ac:dyDescent="0.25">
      <c r="T63466" s="135"/>
      <c r="U63466" s="135"/>
    </row>
    <row r="63467" spans="20:21" ht="15" customHeight="1" x14ac:dyDescent="0.25">
      <c r="T63467" s="135"/>
      <c r="U63467" s="135"/>
    </row>
    <row r="63468" spans="20:21" ht="15" customHeight="1" x14ac:dyDescent="0.25">
      <c r="T63468" s="135"/>
      <c r="U63468" s="135"/>
    </row>
    <row r="63469" spans="20:21" ht="15" customHeight="1" x14ac:dyDescent="0.25">
      <c r="T63469" s="135"/>
      <c r="U63469" s="135"/>
    </row>
    <row r="63470" spans="20:21" ht="15" customHeight="1" x14ac:dyDescent="0.25">
      <c r="T63470" s="135"/>
      <c r="U63470" s="135"/>
    </row>
    <row r="63471" spans="20:21" ht="15" customHeight="1" x14ac:dyDescent="0.25">
      <c r="T63471" s="135"/>
      <c r="U63471" s="135"/>
    </row>
    <row r="63472" spans="20:21" ht="15" customHeight="1" x14ac:dyDescent="0.25">
      <c r="T63472" s="135"/>
      <c r="U63472" s="135"/>
    </row>
    <row r="63473" spans="20:21" ht="15" customHeight="1" x14ac:dyDescent="0.25">
      <c r="T63473" s="135"/>
      <c r="U63473" s="135"/>
    </row>
    <row r="63474" spans="20:21" ht="15" customHeight="1" x14ac:dyDescent="0.25">
      <c r="T63474" s="135"/>
      <c r="U63474" s="135"/>
    </row>
    <row r="63475" spans="20:21" ht="15" customHeight="1" x14ac:dyDescent="0.25">
      <c r="T63475" s="135"/>
      <c r="U63475" s="135"/>
    </row>
    <row r="63476" spans="20:21" ht="15" customHeight="1" x14ac:dyDescent="0.25">
      <c r="T63476" s="135"/>
      <c r="U63476" s="135"/>
    </row>
    <row r="63477" spans="20:21" ht="15" customHeight="1" x14ac:dyDescent="0.25">
      <c r="T63477" s="135"/>
      <c r="U63477" s="135"/>
    </row>
    <row r="63478" spans="20:21" ht="15" customHeight="1" x14ac:dyDescent="0.25">
      <c r="T63478" s="135"/>
      <c r="U63478" s="135"/>
    </row>
    <row r="63479" spans="20:21" ht="15" customHeight="1" x14ac:dyDescent="0.25">
      <c r="T63479" s="135"/>
      <c r="U63479" s="135"/>
    </row>
    <row r="63480" spans="20:21" ht="15" customHeight="1" x14ac:dyDescent="0.25">
      <c r="T63480" s="135"/>
      <c r="U63480" s="135"/>
    </row>
    <row r="63481" spans="20:21" ht="15" customHeight="1" x14ac:dyDescent="0.25">
      <c r="T63481" s="135"/>
      <c r="U63481" s="135"/>
    </row>
    <row r="63482" spans="20:21" ht="15" customHeight="1" x14ac:dyDescent="0.25">
      <c r="T63482" s="135"/>
      <c r="U63482" s="135"/>
    </row>
    <row r="63483" spans="20:21" ht="15" customHeight="1" x14ac:dyDescent="0.25">
      <c r="T63483" s="135"/>
      <c r="U63483" s="135"/>
    </row>
    <row r="63484" spans="20:21" ht="15" customHeight="1" x14ac:dyDescent="0.25">
      <c r="T63484" s="135"/>
      <c r="U63484" s="135"/>
    </row>
    <row r="63485" spans="20:21" ht="15" customHeight="1" x14ac:dyDescent="0.25">
      <c r="T63485" s="135"/>
      <c r="U63485" s="135"/>
    </row>
    <row r="63486" spans="20:21" ht="15" customHeight="1" x14ac:dyDescent="0.25">
      <c r="T63486" s="135"/>
      <c r="U63486" s="135"/>
    </row>
    <row r="63487" spans="20:21" ht="15" customHeight="1" x14ac:dyDescent="0.25">
      <c r="T63487" s="135"/>
      <c r="U63487" s="135"/>
    </row>
    <row r="63488" spans="20:21" ht="15" customHeight="1" x14ac:dyDescent="0.25">
      <c r="T63488" s="135"/>
      <c r="U63488" s="135"/>
    </row>
    <row r="63489" spans="20:21" ht="15" customHeight="1" x14ac:dyDescent="0.25">
      <c r="T63489" s="135"/>
      <c r="U63489" s="135"/>
    </row>
    <row r="63490" spans="20:21" ht="15" customHeight="1" x14ac:dyDescent="0.25">
      <c r="T63490" s="135"/>
      <c r="U63490" s="135"/>
    </row>
    <row r="63491" spans="20:21" ht="15" customHeight="1" x14ac:dyDescent="0.25">
      <c r="T63491" s="135"/>
      <c r="U63491" s="135"/>
    </row>
    <row r="63492" spans="20:21" ht="15" customHeight="1" x14ac:dyDescent="0.25">
      <c r="T63492" s="135"/>
      <c r="U63492" s="135"/>
    </row>
    <row r="63493" spans="20:21" ht="15" customHeight="1" x14ac:dyDescent="0.25">
      <c r="T63493" s="135"/>
      <c r="U63493" s="135"/>
    </row>
    <row r="63494" spans="20:21" ht="15" customHeight="1" x14ac:dyDescent="0.25">
      <c r="T63494" s="135"/>
      <c r="U63494" s="135"/>
    </row>
    <row r="63495" spans="20:21" ht="15" customHeight="1" x14ac:dyDescent="0.25">
      <c r="T63495" s="135"/>
      <c r="U63495" s="135"/>
    </row>
    <row r="63496" spans="20:21" ht="15" customHeight="1" x14ac:dyDescent="0.25">
      <c r="T63496" s="135"/>
      <c r="U63496" s="135"/>
    </row>
    <row r="63497" spans="20:21" ht="15" customHeight="1" x14ac:dyDescent="0.25">
      <c r="T63497" s="135"/>
      <c r="U63497" s="135"/>
    </row>
    <row r="63498" spans="20:21" ht="15" customHeight="1" x14ac:dyDescent="0.25">
      <c r="T63498" s="135"/>
      <c r="U63498" s="135"/>
    </row>
    <row r="63499" spans="20:21" ht="15" customHeight="1" x14ac:dyDescent="0.25">
      <c r="T63499" s="135"/>
      <c r="U63499" s="135"/>
    </row>
    <row r="63500" spans="20:21" ht="15" customHeight="1" x14ac:dyDescent="0.25">
      <c r="T63500" s="135"/>
      <c r="U63500" s="135"/>
    </row>
    <row r="63501" spans="20:21" ht="15" customHeight="1" x14ac:dyDescent="0.25">
      <c r="T63501" s="135"/>
      <c r="U63501" s="135"/>
    </row>
    <row r="63502" spans="20:21" ht="15" customHeight="1" x14ac:dyDescent="0.25">
      <c r="T63502" s="135"/>
      <c r="U63502" s="135"/>
    </row>
    <row r="63503" spans="20:21" ht="15" customHeight="1" x14ac:dyDescent="0.25">
      <c r="T63503" s="135"/>
      <c r="U63503" s="135"/>
    </row>
    <row r="63504" spans="20:21" ht="15" customHeight="1" x14ac:dyDescent="0.25">
      <c r="T63504" s="135"/>
      <c r="U63504" s="135"/>
    </row>
    <row r="63505" spans="20:21" ht="15" customHeight="1" x14ac:dyDescent="0.25">
      <c r="T63505" s="135"/>
      <c r="U63505" s="135"/>
    </row>
    <row r="63506" spans="20:21" ht="15" customHeight="1" x14ac:dyDescent="0.25">
      <c r="T63506" s="135"/>
      <c r="U63506" s="135"/>
    </row>
    <row r="63507" spans="20:21" ht="15" customHeight="1" x14ac:dyDescent="0.25">
      <c r="T63507" s="135"/>
      <c r="U63507" s="135"/>
    </row>
    <row r="63508" spans="20:21" ht="15" customHeight="1" x14ac:dyDescent="0.25">
      <c r="T63508" s="135"/>
      <c r="U63508" s="135"/>
    </row>
    <row r="63509" spans="20:21" ht="15" customHeight="1" x14ac:dyDescent="0.25">
      <c r="T63509" s="135"/>
      <c r="U63509" s="135"/>
    </row>
    <row r="63510" spans="20:21" ht="15" customHeight="1" x14ac:dyDescent="0.25">
      <c r="T63510" s="135"/>
      <c r="U63510" s="135"/>
    </row>
    <row r="63511" spans="20:21" ht="15" customHeight="1" x14ac:dyDescent="0.25">
      <c r="T63511" s="135"/>
      <c r="U63511" s="135"/>
    </row>
    <row r="63512" spans="20:21" ht="15" customHeight="1" x14ac:dyDescent="0.25">
      <c r="T63512" s="135"/>
      <c r="U63512" s="135"/>
    </row>
    <row r="63513" spans="20:21" ht="15" customHeight="1" x14ac:dyDescent="0.25">
      <c r="T63513" s="135"/>
      <c r="U63513" s="135"/>
    </row>
    <row r="63514" spans="20:21" ht="15" customHeight="1" x14ac:dyDescent="0.25">
      <c r="T63514" s="135"/>
      <c r="U63514" s="135"/>
    </row>
    <row r="63515" spans="20:21" ht="15" customHeight="1" x14ac:dyDescent="0.25">
      <c r="T63515" s="135"/>
      <c r="U63515" s="135"/>
    </row>
    <row r="63516" spans="20:21" ht="15" customHeight="1" x14ac:dyDescent="0.25">
      <c r="T63516" s="135"/>
      <c r="U63516" s="135"/>
    </row>
    <row r="63517" spans="20:21" ht="15" customHeight="1" x14ac:dyDescent="0.25">
      <c r="T63517" s="135"/>
      <c r="U63517" s="135"/>
    </row>
    <row r="63518" spans="20:21" ht="15" customHeight="1" x14ac:dyDescent="0.25">
      <c r="T63518" s="135"/>
      <c r="U63518" s="135"/>
    </row>
    <row r="63519" spans="20:21" ht="15" customHeight="1" x14ac:dyDescent="0.25">
      <c r="T63519" s="135"/>
      <c r="U63519" s="135"/>
    </row>
    <row r="63520" spans="20:21" ht="15" customHeight="1" x14ac:dyDescent="0.25">
      <c r="T63520" s="135"/>
      <c r="U63520" s="135"/>
    </row>
    <row r="63521" spans="20:21" ht="15" customHeight="1" x14ac:dyDescent="0.25">
      <c r="T63521" s="135"/>
      <c r="U63521" s="135"/>
    </row>
    <row r="63522" spans="20:21" ht="15" customHeight="1" x14ac:dyDescent="0.25">
      <c r="T63522" s="135"/>
      <c r="U63522" s="135"/>
    </row>
    <row r="63523" spans="20:21" ht="15" customHeight="1" x14ac:dyDescent="0.25">
      <c r="T63523" s="135"/>
      <c r="U63523" s="135"/>
    </row>
    <row r="63524" spans="20:21" ht="15" customHeight="1" x14ac:dyDescent="0.25">
      <c r="T63524" s="135"/>
      <c r="U63524" s="135"/>
    </row>
    <row r="63525" spans="20:21" ht="15" customHeight="1" x14ac:dyDescent="0.25">
      <c r="T63525" s="135"/>
      <c r="U63525" s="135"/>
    </row>
    <row r="63526" spans="20:21" ht="15" customHeight="1" x14ac:dyDescent="0.25">
      <c r="T63526" s="135"/>
      <c r="U63526" s="135"/>
    </row>
    <row r="63527" spans="20:21" ht="15" customHeight="1" x14ac:dyDescent="0.25">
      <c r="T63527" s="135"/>
      <c r="U63527" s="135"/>
    </row>
    <row r="63528" spans="20:21" ht="15" customHeight="1" x14ac:dyDescent="0.25">
      <c r="T63528" s="135"/>
      <c r="U63528" s="135"/>
    </row>
    <row r="63529" spans="20:21" ht="15" customHeight="1" x14ac:dyDescent="0.25">
      <c r="T63529" s="135"/>
      <c r="U63529" s="135"/>
    </row>
    <row r="63530" spans="20:21" ht="15" customHeight="1" x14ac:dyDescent="0.25">
      <c r="T63530" s="135"/>
      <c r="U63530" s="135"/>
    </row>
    <row r="63531" spans="20:21" ht="15" customHeight="1" x14ac:dyDescent="0.25">
      <c r="T63531" s="135"/>
      <c r="U63531" s="135"/>
    </row>
    <row r="63532" spans="20:21" ht="15" customHeight="1" x14ac:dyDescent="0.25">
      <c r="T63532" s="135"/>
      <c r="U63532" s="135"/>
    </row>
    <row r="63533" spans="20:21" ht="15" customHeight="1" x14ac:dyDescent="0.25">
      <c r="T63533" s="135"/>
      <c r="U63533" s="135"/>
    </row>
    <row r="63534" spans="20:21" ht="15" customHeight="1" x14ac:dyDescent="0.25">
      <c r="T63534" s="135"/>
      <c r="U63534" s="135"/>
    </row>
    <row r="63535" spans="20:21" ht="15" customHeight="1" x14ac:dyDescent="0.25">
      <c r="T63535" s="135"/>
      <c r="U63535" s="135"/>
    </row>
    <row r="63536" spans="20:21" ht="15" customHeight="1" x14ac:dyDescent="0.25">
      <c r="T63536" s="135"/>
      <c r="U63536" s="135"/>
    </row>
    <row r="63537" spans="20:21" ht="15" customHeight="1" x14ac:dyDescent="0.25">
      <c r="T63537" s="135"/>
      <c r="U63537" s="135"/>
    </row>
    <row r="63538" spans="20:21" ht="15" customHeight="1" x14ac:dyDescent="0.25">
      <c r="T63538" s="135"/>
      <c r="U63538" s="135"/>
    </row>
    <row r="63539" spans="20:21" ht="15" customHeight="1" x14ac:dyDescent="0.25">
      <c r="T63539" s="135"/>
      <c r="U63539" s="135"/>
    </row>
    <row r="63540" spans="20:21" ht="15" customHeight="1" x14ac:dyDescent="0.25">
      <c r="T63540" s="135"/>
      <c r="U63540" s="135"/>
    </row>
    <row r="63541" spans="20:21" ht="15" customHeight="1" x14ac:dyDescent="0.25">
      <c r="T63541" s="135"/>
      <c r="U63541" s="135"/>
    </row>
    <row r="63542" spans="20:21" ht="15" customHeight="1" x14ac:dyDescent="0.25">
      <c r="T63542" s="135"/>
      <c r="U63542" s="135"/>
    </row>
    <row r="63543" spans="20:21" ht="15" customHeight="1" x14ac:dyDescent="0.25">
      <c r="T63543" s="135"/>
      <c r="U63543" s="135"/>
    </row>
    <row r="63544" spans="20:21" ht="15" customHeight="1" x14ac:dyDescent="0.25">
      <c r="T63544" s="135"/>
      <c r="U63544" s="135"/>
    </row>
    <row r="63545" spans="20:21" ht="15" customHeight="1" x14ac:dyDescent="0.25">
      <c r="T63545" s="135"/>
      <c r="U63545" s="135"/>
    </row>
    <row r="63546" spans="20:21" ht="15" customHeight="1" x14ac:dyDescent="0.25">
      <c r="T63546" s="135"/>
      <c r="U63546" s="135"/>
    </row>
    <row r="63547" spans="20:21" ht="15" customHeight="1" x14ac:dyDescent="0.25">
      <c r="T63547" s="135"/>
      <c r="U63547" s="135"/>
    </row>
    <row r="63548" spans="20:21" ht="15" customHeight="1" x14ac:dyDescent="0.25">
      <c r="T63548" s="135"/>
      <c r="U63548" s="135"/>
    </row>
    <row r="63549" spans="20:21" ht="15" customHeight="1" x14ac:dyDescent="0.25">
      <c r="T63549" s="135"/>
      <c r="U63549" s="135"/>
    </row>
    <row r="63550" spans="20:21" ht="15" customHeight="1" x14ac:dyDescent="0.25">
      <c r="T63550" s="135"/>
      <c r="U63550" s="135"/>
    </row>
    <row r="63551" spans="20:21" ht="15" customHeight="1" x14ac:dyDescent="0.25">
      <c r="T63551" s="135"/>
      <c r="U63551" s="135"/>
    </row>
    <row r="63552" spans="20:21" ht="15" customHeight="1" x14ac:dyDescent="0.25">
      <c r="T63552" s="135"/>
      <c r="U63552" s="135"/>
    </row>
    <row r="63553" spans="20:21" ht="15" customHeight="1" x14ac:dyDescent="0.25">
      <c r="T63553" s="135"/>
      <c r="U63553" s="135"/>
    </row>
    <row r="63554" spans="20:21" ht="15" customHeight="1" x14ac:dyDescent="0.25">
      <c r="T63554" s="135"/>
      <c r="U63554" s="135"/>
    </row>
    <row r="63555" spans="20:21" ht="15" customHeight="1" x14ac:dyDescent="0.25">
      <c r="T63555" s="135"/>
      <c r="U63555" s="135"/>
    </row>
    <row r="63556" spans="20:21" ht="15" customHeight="1" x14ac:dyDescent="0.25">
      <c r="T63556" s="135"/>
      <c r="U63556" s="135"/>
    </row>
    <row r="63557" spans="20:21" ht="15" customHeight="1" x14ac:dyDescent="0.25">
      <c r="T63557" s="135"/>
      <c r="U63557" s="135"/>
    </row>
    <row r="63558" spans="20:21" ht="15" customHeight="1" x14ac:dyDescent="0.25">
      <c r="T63558" s="135"/>
      <c r="U63558" s="135"/>
    </row>
    <row r="63559" spans="20:21" ht="15" customHeight="1" x14ac:dyDescent="0.25">
      <c r="T63559" s="135"/>
      <c r="U63559" s="135"/>
    </row>
    <row r="63560" spans="20:21" ht="15" customHeight="1" x14ac:dyDescent="0.25">
      <c r="T63560" s="135"/>
      <c r="U63560" s="135"/>
    </row>
    <row r="63561" spans="20:21" ht="15" customHeight="1" x14ac:dyDescent="0.25">
      <c r="T63561" s="135"/>
      <c r="U63561" s="135"/>
    </row>
    <row r="63562" spans="20:21" ht="15" customHeight="1" x14ac:dyDescent="0.25">
      <c r="T63562" s="135"/>
      <c r="U63562" s="135"/>
    </row>
    <row r="63563" spans="20:21" ht="15" customHeight="1" x14ac:dyDescent="0.25">
      <c r="T63563" s="135"/>
      <c r="U63563" s="135"/>
    </row>
    <row r="63564" spans="20:21" ht="15" customHeight="1" x14ac:dyDescent="0.25">
      <c r="T63564" s="135"/>
      <c r="U63564" s="135"/>
    </row>
    <row r="63565" spans="20:21" ht="15" customHeight="1" x14ac:dyDescent="0.25">
      <c r="T63565" s="135"/>
      <c r="U63565" s="135"/>
    </row>
    <row r="63566" spans="20:21" ht="15" customHeight="1" x14ac:dyDescent="0.25">
      <c r="T63566" s="135"/>
      <c r="U63566" s="135"/>
    </row>
    <row r="63567" spans="20:21" ht="15" customHeight="1" x14ac:dyDescent="0.25">
      <c r="T63567" s="135"/>
      <c r="U63567" s="135"/>
    </row>
    <row r="63568" spans="20:21" ht="15" customHeight="1" x14ac:dyDescent="0.25">
      <c r="T63568" s="135"/>
      <c r="U63568" s="135"/>
    </row>
    <row r="63569" spans="20:21" ht="15" customHeight="1" x14ac:dyDescent="0.25">
      <c r="T63569" s="135"/>
      <c r="U63569" s="135"/>
    </row>
    <row r="63570" spans="20:21" ht="15" customHeight="1" x14ac:dyDescent="0.25">
      <c r="T63570" s="135"/>
      <c r="U63570" s="135"/>
    </row>
    <row r="63571" spans="20:21" ht="15" customHeight="1" x14ac:dyDescent="0.25">
      <c r="T63571" s="135"/>
      <c r="U63571" s="135"/>
    </row>
    <row r="63572" spans="20:21" ht="15" customHeight="1" x14ac:dyDescent="0.25">
      <c r="T63572" s="135"/>
      <c r="U63572" s="135"/>
    </row>
    <row r="63573" spans="20:21" ht="15" customHeight="1" x14ac:dyDescent="0.25">
      <c r="T63573" s="135"/>
      <c r="U63573" s="135"/>
    </row>
    <row r="63574" spans="20:21" ht="15" customHeight="1" x14ac:dyDescent="0.25">
      <c r="T63574" s="135"/>
      <c r="U63574" s="135"/>
    </row>
    <row r="63575" spans="20:21" ht="15" customHeight="1" x14ac:dyDescent="0.25">
      <c r="T63575" s="135"/>
      <c r="U63575" s="135"/>
    </row>
    <row r="63576" spans="20:21" ht="15" customHeight="1" x14ac:dyDescent="0.25">
      <c r="T63576" s="135"/>
      <c r="U63576" s="135"/>
    </row>
    <row r="63577" spans="20:21" ht="15" customHeight="1" x14ac:dyDescent="0.25">
      <c r="T63577" s="135"/>
      <c r="U63577" s="135"/>
    </row>
    <row r="63578" spans="20:21" ht="15" customHeight="1" x14ac:dyDescent="0.25">
      <c r="T63578" s="135"/>
      <c r="U63578" s="135"/>
    </row>
    <row r="63579" spans="20:21" ht="15" customHeight="1" x14ac:dyDescent="0.25">
      <c r="T63579" s="135"/>
      <c r="U63579" s="135"/>
    </row>
    <row r="63580" spans="20:21" ht="15" customHeight="1" x14ac:dyDescent="0.25">
      <c r="T63580" s="135"/>
      <c r="U63580" s="135"/>
    </row>
    <row r="63581" spans="20:21" ht="15" customHeight="1" x14ac:dyDescent="0.25">
      <c r="T63581" s="135"/>
      <c r="U63581" s="135"/>
    </row>
    <row r="63582" spans="20:21" ht="15" customHeight="1" x14ac:dyDescent="0.25">
      <c r="T63582" s="135"/>
      <c r="U63582" s="135"/>
    </row>
    <row r="63583" spans="20:21" ht="15" customHeight="1" x14ac:dyDescent="0.25">
      <c r="T63583" s="135"/>
      <c r="U63583" s="135"/>
    </row>
    <row r="63584" spans="20:21" ht="15" customHeight="1" x14ac:dyDescent="0.25">
      <c r="T63584" s="135"/>
      <c r="U63584" s="135"/>
    </row>
    <row r="63585" spans="20:21" ht="15" customHeight="1" x14ac:dyDescent="0.25">
      <c r="T63585" s="135"/>
      <c r="U63585" s="135"/>
    </row>
    <row r="63586" spans="20:21" ht="15" customHeight="1" x14ac:dyDescent="0.25">
      <c r="T63586" s="135"/>
      <c r="U63586" s="135"/>
    </row>
    <row r="63587" spans="20:21" ht="15" customHeight="1" x14ac:dyDescent="0.25">
      <c r="T63587" s="135"/>
      <c r="U63587" s="135"/>
    </row>
    <row r="63588" spans="20:21" ht="15" customHeight="1" x14ac:dyDescent="0.25">
      <c r="T63588" s="135"/>
      <c r="U63588" s="135"/>
    </row>
    <row r="63589" spans="20:21" ht="15" customHeight="1" x14ac:dyDescent="0.25">
      <c r="T63589" s="135"/>
      <c r="U63589" s="135"/>
    </row>
    <row r="63590" spans="20:21" ht="15" customHeight="1" x14ac:dyDescent="0.25">
      <c r="T63590" s="135"/>
      <c r="U63590" s="135"/>
    </row>
    <row r="63591" spans="20:21" ht="15" customHeight="1" x14ac:dyDescent="0.25">
      <c r="T63591" s="135"/>
      <c r="U63591" s="135"/>
    </row>
    <row r="63592" spans="20:21" ht="15" customHeight="1" x14ac:dyDescent="0.25">
      <c r="T63592" s="135"/>
      <c r="U63592" s="135"/>
    </row>
    <row r="63593" spans="20:21" ht="15" customHeight="1" x14ac:dyDescent="0.25">
      <c r="T63593" s="135"/>
      <c r="U63593" s="135"/>
    </row>
    <row r="63594" spans="20:21" ht="15" customHeight="1" x14ac:dyDescent="0.25">
      <c r="T63594" s="135"/>
      <c r="U63594" s="135"/>
    </row>
    <row r="63595" spans="20:21" ht="15" customHeight="1" x14ac:dyDescent="0.25">
      <c r="T63595" s="135"/>
      <c r="U63595" s="135"/>
    </row>
    <row r="63596" spans="20:21" ht="15" customHeight="1" x14ac:dyDescent="0.25">
      <c r="T63596" s="135"/>
      <c r="U63596" s="135"/>
    </row>
    <row r="63597" spans="20:21" ht="15" customHeight="1" x14ac:dyDescent="0.25">
      <c r="T63597" s="135"/>
      <c r="U63597" s="135"/>
    </row>
    <row r="63598" spans="20:21" ht="15" customHeight="1" x14ac:dyDescent="0.25">
      <c r="T63598" s="135"/>
      <c r="U63598" s="135"/>
    </row>
    <row r="63599" spans="20:21" ht="15" customHeight="1" x14ac:dyDescent="0.25">
      <c r="T63599" s="135"/>
      <c r="U63599" s="135"/>
    </row>
    <row r="63600" spans="20:21" ht="15" customHeight="1" x14ac:dyDescent="0.25">
      <c r="T63600" s="135"/>
      <c r="U63600" s="135"/>
    </row>
    <row r="63601" spans="20:21" ht="15" customHeight="1" x14ac:dyDescent="0.25">
      <c r="T63601" s="135"/>
      <c r="U63601" s="135"/>
    </row>
    <row r="63602" spans="20:21" ht="15" customHeight="1" x14ac:dyDescent="0.25">
      <c r="T63602" s="135"/>
      <c r="U63602" s="135"/>
    </row>
    <row r="63603" spans="20:21" ht="15" customHeight="1" x14ac:dyDescent="0.25">
      <c r="T63603" s="135"/>
      <c r="U63603" s="135"/>
    </row>
    <row r="63604" spans="20:21" ht="15" customHeight="1" x14ac:dyDescent="0.25">
      <c r="T63604" s="135"/>
      <c r="U63604" s="135"/>
    </row>
    <row r="63605" spans="20:21" ht="15" customHeight="1" x14ac:dyDescent="0.25">
      <c r="T63605" s="135"/>
      <c r="U63605" s="135"/>
    </row>
    <row r="63606" spans="20:21" ht="15" customHeight="1" x14ac:dyDescent="0.25">
      <c r="T63606" s="135"/>
      <c r="U63606" s="135"/>
    </row>
    <row r="63607" spans="20:21" ht="15" customHeight="1" x14ac:dyDescent="0.25">
      <c r="T63607" s="135"/>
      <c r="U63607" s="135"/>
    </row>
    <row r="63608" spans="20:21" ht="15" customHeight="1" x14ac:dyDescent="0.25">
      <c r="T63608" s="135"/>
      <c r="U63608" s="135"/>
    </row>
    <row r="63609" spans="20:21" ht="15" customHeight="1" x14ac:dyDescent="0.25">
      <c r="T63609" s="135"/>
      <c r="U63609" s="135"/>
    </row>
    <row r="63610" spans="20:21" ht="15" customHeight="1" x14ac:dyDescent="0.25">
      <c r="T63610" s="135"/>
      <c r="U63610" s="135"/>
    </row>
    <row r="63611" spans="20:21" ht="15" customHeight="1" x14ac:dyDescent="0.25">
      <c r="T63611" s="135"/>
      <c r="U63611" s="135"/>
    </row>
    <row r="63612" spans="20:21" ht="15" customHeight="1" x14ac:dyDescent="0.25">
      <c r="T63612" s="135"/>
      <c r="U63612" s="135"/>
    </row>
    <row r="63613" spans="20:21" ht="15" customHeight="1" x14ac:dyDescent="0.25">
      <c r="T63613" s="135"/>
      <c r="U63613" s="135"/>
    </row>
    <row r="63614" spans="20:21" ht="15" customHeight="1" x14ac:dyDescent="0.25">
      <c r="T63614" s="135"/>
      <c r="U63614" s="135"/>
    </row>
    <row r="63615" spans="20:21" ht="15" customHeight="1" x14ac:dyDescent="0.25">
      <c r="T63615" s="135"/>
      <c r="U63615" s="135"/>
    </row>
    <row r="63616" spans="20:21" ht="15" customHeight="1" x14ac:dyDescent="0.25">
      <c r="T63616" s="135"/>
      <c r="U63616" s="135"/>
    </row>
    <row r="63617" spans="20:21" ht="15" customHeight="1" x14ac:dyDescent="0.25">
      <c r="T63617" s="135"/>
      <c r="U63617" s="135"/>
    </row>
    <row r="63618" spans="20:21" ht="15" customHeight="1" x14ac:dyDescent="0.25">
      <c r="T63618" s="135"/>
      <c r="U63618" s="135"/>
    </row>
    <row r="63619" spans="20:21" ht="15" customHeight="1" x14ac:dyDescent="0.25">
      <c r="T63619" s="135"/>
      <c r="U63619" s="135"/>
    </row>
    <row r="63620" spans="20:21" ht="15" customHeight="1" x14ac:dyDescent="0.25">
      <c r="T63620" s="135"/>
      <c r="U63620" s="135"/>
    </row>
    <row r="63621" spans="20:21" ht="15" customHeight="1" x14ac:dyDescent="0.25">
      <c r="T63621" s="135"/>
      <c r="U63621" s="135"/>
    </row>
    <row r="63622" spans="20:21" ht="15" customHeight="1" x14ac:dyDescent="0.25">
      <c r="T63622" s="135"/>
      <c r="U63622" s="135"/>
    </row>
    <row r="63623" spans="20:21" ht="15" customHeight="1" x14ac:dyDescent="0.25">
      <c r="T63623" s="135"/>
      <c r="U63623" s="135"/>
    </row>
    <row r="63624" spans="20:21" ht="15" customHeight="1" x14ac:dyDescent="0.25">
      <c r="T63624" s="135"/>
      <c r="U63624" s="135"/>
    </row>
    <row r="63625" spans="20:21" ht="15" customHeight="1" x14ac:dyDescent="0.25">
      <c r="T63625" s="135"/>
      <c r="U63625" s="135"/>
    </row>
    <row r="63626" spans="20:21" ht="15" customHeight="1" x14ac:dyDescent="0.25">
      <c r="T63626" s="135"/>
      <c r="U63626" s="135"/>
    </row>
    <row r="63627" spans="20:21" ht="15" customHeight="1" x14ac:dyDescent="0.25">
      <c r="T63627" s="135"/>
      <c r="U63627" s="135"/>
    </row>
    <row r="63628" spans="20:21" ht="15" customHeight="1" x14ac:dyDescent="0.25">
      <c r="T63628" s="135"/>
      <c r="U63628" s="135"/>
    </row>
    <row r="63629" spans="20:21" ht="15" customHeight="1" x14ac:dyDescent="0.25">
      <c r="T63629" s="135"/>
      <c r="U63629" s="135"/>
    </row>
    <row r="63630" spans="20:21" ht="15" customHeight="1" x14ac:dyDescent="0.25">
      <c r="T63630" s="135"/>
      <c r="U63630" s="135"/>
    </row>
    <row r="63631" spans="20:21" ht="15" customHeight="1" x14ac:dyDescent="0.25">
      <c r="T63631" s="135"/>
      <c r="U63631" s="135"/>
    </row>
    <row r="63632" spans="20:21" ht="15" customHeight="1" x14ac:dyDescent="0.25">
      <c r="T63632" s="135"/>
      <c r="U63632" s="135"/>
    </row>
    <row r="63633" spans="20:21" ht="15" customHeight="1" x14ac:dyDescent="0.25">
      <c r="T63633" s="135"/>
      <c r="U63633" s="135"/>
    </row>
    <row r="63634" spans="20:21" ht="15" customHeight="1" x14ac:dyDescent="0.25">
      <c r="T63634" s="135"/>
      <c r="U63634" s="135"/>
    </row>
    <row r="63635" spans="20:21" ht="15" customHeight="1" x14ac:dyDescent="0.25">
      <c r="T63635" s="135"/>
      <c r="U63635" s="135"/>
    </row>
    <row r="63636" spans="20:21" ht="15" customHeight="1" x14ac:dyDescent="0.25">
      <c r="T63636" s="135"/>
      <c r="U63636" s="135"/>
    </row>
    <row r="63637" spans="20:21" ht="15" customHeight="1" x14ac:dyDescent="0.25">
      <c r="T63637" s="135"/>
      <c r="U63637" s="135"/>
    </row>
    <row r="63638" spans="20:21" ht="15" customHeight="1" x14ac:dyDescent="0.25">
      <c r="T63638" s="135"/>
      <c r="U63638" s="135"/>
    </row>
    <row r="63639" spans="20:21" ht="15" customHeight="1" x14ac:dyDescent="0.25">
      <c r="T63639" s="135"/>
      <c r="U63639" s="135"/>
    </row>
    <row r="63640" spans="20:21" ht="15" customHeight="1" x14ac:dyDescent="0.25">
      <c r="T63640" s="135"/>
      <c r="U63640" s="135"/>
    </row>
    <row r="63641" spans="20:21" ht="15" customHeight="1" x14ac:dyDescent="0.25">
      <c r="T63641" s="135"/>
      <c r="U63641" s="135"/>
    </row>
    <row r="63642" spans="20:21" ht="15" customHeight="1" x14ac:dyDescent="0.25">
      <c r="T63642" s="135"/>
      <c r="U63642" s="135"/>
    </row>
    <row r="63643" spans="20:21" ht="15" customHeight="1" x14ac:dyDescent="0.25">
      <c r="T63643" s="135"/>
      <c r="U63643" s="135"/>
    </row>
    <row r="63644" spans="20:21" ht="15" customHeight="1" x14ac:dyDescent="0.25">
      <c r="T63644" s="135"/>
      <c r="U63644" s="135"/>
    </row>
    <row r="63645" spans="20:21" ht="15" customHeight="1" x14ac:dyDescent="0.25">
      <c r="T63645" s="135"/>
      <c r="U63645" s="135"/>
    </row>
    <row r="63646" spans="20:21" ht="15" customHeight="1" x14ac:dyDescent="0.25">
      <c r="T63646" s="135"/>
      <c r="U63646" s="135"/>
    </row>
    <row r="63647" spans="20:21" ht="15" customHeight="1" x14ac:dyDescent="0.25">
      <c r="T63647" s="135"/>
      <c r="U63647" s="135"/>
    </row>
    <row r="63648" spans="20:21" ht="15" customHeight="1" x14ac:dyDescent="0.25">
      <c r="T63648" s="135"/>
      <c r="U63648" s="135"/>
    </row>
    <row r="63649" spans="20:21" ht="15" customHeight="1" x14ac:dyDescent="0.25">
      <c r="T63649" s="135"/>
      <c r="U63649" s="135"/>
    </row>
    <row r="63650" spans="20:21" ht="15" customHeight="1" x14ac:dyDescent="0.25">
      <c r="T63650" s="135"/>
      <c r="U63650" s="135"/>
    </row>
    <row r="63651" spans="20:21" ht="15" customHeight="1" x14ac:dyDescent="0.25">
      <c r="T63651" s="135"/>
      <c r="U63651" s="135"/>
    </row>
    <row r="63652" spans="20:21" ht="15" customHeight="1" x14ac:dyDescent="0.25">
      <c r="T63652" s="135"/>
      <c r="U63652" s="135"/>
    </row>
    <row r="63653" spans="20:21" ht="15" customHeight="1" x14ac:dyDescent="0.25">
      <c r="T63653" s="135"/>
      <c r="U63653" s="135"/>
    </row>
    <row r="63654" spans="20:21" ht="15" customHeight="1" x14ac:dyDescent="0.25">
      <c r="T63654" s="135"/>
      <c r="U63654" s="135"/>
    </row>
    <row r="63655" spans="20:21" ht="15" customHeight="1" x14ac:dyDescent="0.25">
      <c r="T63655" s="135"/>
      <c r="U63655" s="135"/>
    </row>
    <row r="63656" spans="20:21" ht="15" customHeight="1" x14ac:dyDescent="0.25">
      <c r="T63656" s="135"/>
      <c r="U63656" s="135"/>
    </row>
    <row r="63657" spans="20:21" ht="15" customHeight="1" x14ac:dyDescent="0.25">
      <c r="T63657" s="135"/>
      <c r="U63657" s="135"/>
    </row>
    <row r="63658" spans="20:21" ht="15" customHeight="1" x14ac:dyDescent="0.25">
      <c r="T63658" s="135"/>
      <c r="U63658" s="135"/>
    </row>
    <row r="63659" spans="20:21" ht="15" customHeight="1" x14ac:dyDescent="0.25">
      <c r="T63659" s="135"/>
      <c r="U63659" s="135"/>
    </row>
    <row r="63660" spans="20:21" ht="15" customHeight="1" x14ac:dyDescent="0.25">
      <c r="T63660" s="135"/>
      <c r="U63660" s="135"/>
    </row>
    <row r="63661" spans="20:21" ht="15" customHeight="1" x14ac:dyDescent="0.25">
      <c r="T63661" s="135"/>
      <c r="U63661" s="135"/>
    </row>
    <row r="63662" spans="20:21" ht="15" customHeight="1" x14ac:dyDescent="0.25">
      <c r="T63662" s="135"/>
      <c r="U63662" s="135"/>
    </row>
    <row r="63663" spans="20:21" ht="15" customHeight="1" x14ac:dyDescent="0.25">
      <c r="T63663" s="135"/>
      <c r="U63663" s="135"/>
    </row>
    <row r="63664" spans="20:21" ht="15" customHeight="1" x14ac:dyDescent="0.25">
      <c r="T63664" s="135"/>
      <c r="U63664" s="135"/>
    </row>
    <row r="63665" spans="20:21" ht="15" customHeight="1" x14ac:dyDescent="0.25">
      <c r="T63665" s="135"/>
      <c r="U63665" s="135"/>
    </row>
    <row r="63666" spans="20:21" ht="15" customHeight="1" x14ac:dyDescent="0.25">
      <c r="T63666" s="135"/>
      <c r="U63666" s="135"/>
    </row>
    <row r="63667" spans="20:21" ht="15" customHeight="1" x14ac:dyDescent="0.25">
      <c r="T63667" s="135"/>
      <c r="U63667" s="135"/>
    </row>
    <row r="63668" spans="20:21" ht="15" customHeight="1" x14ac:dyDescent="0.25">
      <c r="T63668" s="135"/>
      <c r="U63668" s="135"/>
    </row>
    <row r="63669" spans="20:21" ht="15" customHeight="1" x14ac:dyDescent="0.25">
      <c r="T63669" s="135"/>
      <c r="U63669" s="135"/>
    </row>
    <row r="63670" spans="20:21" ht="15" customHeight="1" x14ac:dyDescent="0.25">
      <c r="T63670" s="135"/>
      <c r="U63670" s="135"/>
    </row>
    <row r="63671" spans="20:21" ht="15" customHeight="1" x14ac:dyDescent="0.25">
      <c r="T63671" s="135"/>
      <c r="U63671" s="135"/>
    </row>
    <row r="63672" spans="20:21" ht="15" customHeight="1" x14ac:dyDescent="0.25">
      <c r="T63672" s="135"/>
      <c r="U63672" s="135"/>
    </row>
    <row r="63673" spans="20:21" ht="15" customHeight="1" x14ac:dyDescent="0.25">
      <c r="T63673" s="135"/>
      <c r="U63673" s="135"/>
    </row>
    <row r="63674" spans="20:21" ht="15" customHeight="1" x14ac:dyDescent="0.25">
      <c r="T63674" s="135"/>
      <c r="U63674" s="135"/>
    </row>
    <row r="63675" spans="20:21" ht="15" customHeight="1" x14ac:dyDescent="0.25">
      <c r="T63675" s="135"/>
      <c r="U63675" s="135"/>
    </row>
    <row r="63676" spans="20:21" ht="15" customHeight="1" x14ac:dyDescent="0.25">
      <c r="T63676" s="135"/>
      <c r="U63676" s="135"/>
    </row>
    <row r="63677" spans="20:21" ht="15" customHeight="1" x14ac:dyDescent="0.25">
      <c r="T63677" s="135"/>
      <c r="U63677" s="135"/>
    </row>
    <row r="63678" spans="20:21" ht="15" customHeight="1" x14ac:dyDescent="0.25">
      <c r="T63678" s="135"/>
      <c r="U63678" s="135"/>
    </row>
    <row r="63679" spans="20:21" ht="15" customHeight="1" x14ac:dyDescent="0.25">
      <c r="T63679" s="135"/>
      <c r="U63679" s="135"/>
    </row>
    <row r="63680" spans="20:21" ht="15" customHeight="1" x14ac:dyDescent="0.25">
      <c r="T63680" s="135"/>
      <c r="U63680" s="135"/>
    </row>
    <row r="63681" spans="20:21" ht="15" customHeight="1" x14ac:dyDescent="0.25">
      <c r="T63681" s="135"/>
      <c r="U63681" s="135"/>
    </row>
    <row r="63682" spans="20:21" ht="15" customHeight="1" x14ac:dyDescent="0.25">
      <c r="T63682" s="135"/>
      <c r="U63682" s="135"/>
    </row>
    <row r="63683" spans="20:21" ht="15" customHeight="1" x14ac:dyDescent="0.25">
      <c r="T63683" s="135"/>
      <c r="U63683" s="135"/>
    </row>
    <row r="63684" spans="20:21" ht="15" customHeight="1" x14ac:dyDescent="0.25">
      <c r="T63684" s="135"/>
      <c r="U63684" s="135"/>
    </row>
    <row r="63685" spans="20:21" ht="15" customHeight="1" x14ac:dyDescent="0.25">
      <c r="T63685" s="135"/>
      <c r="U63685" s="135"/>
    </row>
    <row r="63686" spans="20:21" ht="15" customHeight="1" x14ac:dyDescent="0.25">
      <c r="T63686" s="135"/>
      <c r="U63686" s="135"/>
    </row>
    <row r="63687" spans="20:21" ht="15" customHeight="1" x14ac:dyDescent="0.25">
      <c r="T63687" s="135"/>
      <c r="U63687" s="135"/>
    </row>
    <row r="63688" spans="20:21" ht="15" customHeight="1" x14ac:dyDescent="0.25">
      <c r="T63688" s="135"/>
      <c r="U63688" s="135"/>
    </row>
    <row r="63689" spans="20:21" ht="15" customHeight="1" x14ac:dyDescent="0.25">
      <c r="T63689" s="135"/>
      <c r="U63689" s="135"/>
    </row>
    <row r="63690" spans="20:21" ht="15" customHeight="1" x14ac:dyDescent="0.25">
      <c r="T63690" s="135"/>
      <c r="U63690" s="135"/>
    </row>
    <row r="63691" spans="20:21" ht="15" customHeight="1" x14ac:dyDescent="0.25">
      <c r="T63691" s="135"/>
      <c r="U63691" s="135"/>
    </row>
    <row r="63692" spans="20:21" ht="15" customHeight="1" x14ac:dyDescent="0.25">
      <c r="T63692" s="135"/>
      <c r="U63692" s="135"/>
    </row>
    <row r="63693" spans="20:21" ht="15" customHeight="1" x14ac:dyDescent="0.25">
      <c r="T63693" s="135"/>
      <c r="U63693" s="135"/>
    </row>
    <row r="63694" spans="20:21" ht="15" customHeight="1" x14ac:dyDescent="0.25">
      <c r="T63694" s="135"/>
      <c r="U63694" s="135"/>
    </row>
    <row r="63695" spans="20:21" ht="15" customHeight="1" x14ac:dyDescent="0.25">
      <c r="T63695" s="135"/>
      <c r="U63695" s="135"/>
    </row>
    <row r="63696" spans="20:21" ht="15" customHeight="1" x14ac:dyDescent="0.25">
      <c r="T63696" s="135"/>
      <c r="U63696" s="135"/>
    </row>
    <row r="63697" spans="20:21" ht="15" customHeight="1" x14ac:dyDescent="0.25">
      <c r="T63697" s="135"/>
      <c r="U63697" s="135"/>
    </row>
    <row r="63698" spans="20:21" ht="15" customHeight="1" x14ac:dyDescent="0.25">
      <c r="T63698" s="135"/>
      <c r="U63698" s="135"/>
    </row>
    <row r="63699" spans="20:21" ht="15" customHeight="1" x14ac:dyDescent="0.25">
      <c r="T63699" s="135"/>
      <c r="U63699" s="135"/>
    </row>
    <row r="63700" spans="20:21" ht="15" customHeight="1" x14ac:dyDescent="0.25">
      <c r="T63700" s="135"/>
      <c r="U63700" s="135"/>
    </row>
    <row r="63701" spans="20:21" ht="15" customHeight="1" x14ac:dyDescent="0.25">
      <c r="T63701" s="135"/>
      <c r="U63701" s="135"/>
    </row>
    <row r="63702" spans="20:21" ht="15" customHeight="1" x14ac:dyDescent="0.25">
      <c r="T63702" s="135"/>
      <c r="U63702" s="135"/>
    </row>
    <row r="63703" spans="20:21" ht="15" customHeight="1" x14ac:dyDescent="0.25">
      <c r="T63703" s="135"/>
      <c r="U63703" s="135"/>
    </row>
    <row r="63704" spans="20:21" ht="15" customHeight="1" x14ac:dyDescent="0.25">
      <c r="T63704" s="135"/>
      <c r="U63704" s="135"/>
    </row>
    <row r="63705" spans="20:21" ht="15" customHeight="1" x14ac:dyDescent="0.25">
      <c r="T63705" s="135"/>
      <c r="U63705" s="135"/>
    </row>
    <row r="63706" spans="20:21" ht="15" customHeight="1" x14ac:dyDescent="0.25">
      <c r="T63706" s="135"/>
      <c r="U63706" s="135"/>
    </row>
    <row r="63707" spans="20:21" ht="15" customHeight="1" x14ac:dyDescent="0.25">
      <c r="T63707" s="135"/>
      <c r="U63707" s="135"/>
    </row>
    <row r="63708" spans="20:21" ht="15" customHeight="1" x14ac:dyDescent="0.25">
      <c r="T63708" s="135"/>
      <c r="U63708" s="135"/>
    </row>
    <row r="63709" spans="20:21" ht="15" customHeight="1" x14ac:dyDescent="0.25">
      <c r="T63709" s="135"/>
      <c r="U63709" s="135"/>
    </row>
    <row r="63710" spans="20:21" ht="15" customHeight="1" x14ac:dyDescent="0.25">
      <c r="T63710" s="135"/>
      <c r="U63710" s="135"/>
    </row>
    <row r="63711" spans="20:21" ht="15" customHeight="1" x14ac:dyDescent="0.25">
      <c r="T63711" s="135"/>
      <c r="U63711" s="135"/>
    </row>
    <row r="63712" spans="20:21" ht="15" customHeight="1" x14ac:dyDescent="0.25">
      <c r="T63712" s="135"/>
      <c r="U63712" s="135"/>
    </row>
    <row r="63713" spans="20:21" ht="15" customHeight="1" x14ac:dyDescent="0.25">
      <c r="T63713" s="135"/>
      <c r="U63713" s="135"/>
    </row>
    <row r="63714" spans="20:21" ht="15" customHeight="1" x14ac:dyDescent="0.25">
      <c r="T63714" s="135"/>
      <c r="U63714" s="135"/>
    </row>
    <row r="63715" spans="20:21" ht="15" customHeight="1" x14ac:dyDescent="0.25">
      <c r="T63715" s="135"/>
      <c r="U63715" s="135"/>
    </row>
    <row r="63716" spans="20:21" ht="15" customHeight="1" x14ac:dyDescent="0.25">
      <c r="T63716" s="135"/>
      <c r="U63716" s="135"/>
    </row>
    <row r="63717" spans="20:21" ht="15" customHeight="1" x14ac:dyDescent="0.25">
      <c r="T63717" s="135"/>
      <c r="U63717" s="135"/>
    </row>
    <row r="63718" spans="20:21" ht="15" customHeight="1" x14ac:dyDescent="0.25">
      <c r="T63718" s="135"/>
      <c r="U63718" s="135"/>
    </row>
    <row r="63719" spans="20:21" ht="15" customHeight="1" x14ac:dyDescent="0.25">
      <c r="T63719" s="135"/>
      <c r="U63719" s="135"/>
    </row>
    <row r="63720" spans="20:21" ht="15" customHeight="1" x14ac:dyDescent="0.25">
      <c r="T63720" s="135"/>
      <c r="U63720" s="135"/>
    </row>
    <row r="63721" spans="20:21" ht="15" customHeight="1" x14ac:dyDescent="0.25">
      <c r="T63721" s="135"/>
      <c r="U63721" s="135"/>
    </row>
    <row r="63722" spans="20:21" ht="15" customHeight="1" x14ac:dyDescent="0.25">
      <c r="T63722" s="135"/>
      <c r="U63722" s="135"/>
    </row>
    <row r="63723" spans="20:21" ht="15" customHeight="1" x14ac:dyDescent="0.25">
      <c r="T63723" s="135"/>
      <c r="U63723" s="135"/>
    </row>
    <row r="63724" spans="20:21" ht="15" customHeight="1" x14ac:dyDescent="0.25">
      <c r="T63724" s="135"/>
      <c r="U63724" s="135"/>
    </row>
    <row r="63725" spans="20:21" ht="15" customHeight="1" x14ac:dyDescent="0.25">
      <c r="T63725" s="135"/>
      <c r="U63725" s="135"/>
    </row>
    <row r="63726" spans="20:21" ht="15" customHeight="1" x14ac:dyDescent="0.25">
      <c r="T63726" s="135"/>
      <c r="U63726" s="135"/>
    </row>
    <row r="63727" spans="20:21" ht="15" customHeight="1" x14ac:dyDescent="0.25">
      <c r="T63727" s="135"/>
      <c r="U63727" s="135"/>
    </row>
    <row r="63728" spans="20:21" ht="15" customHeight="1" x14ac:dyDescent="0.25">
      <c r="T63728" s="135"/>
      <c r="U63728" s="135"/>
    </row>
    <row r="63729" spans="20:21" ht="15" customHeight="1" x14ac:dyDescent="0.25">
      <c r="T63729" s="135"/>
      <c r="U63729" s="135"/>
    </row>
    <row r="63730" spans="20:21" ht="15" customHeight="1" x14ac:dyDescent="0.25">
      <c r="T63730" s="135"/>
      <c r="U63730" s="135"/>
    </row>
    <row r="63731" spans="20:21" ht="15" customHeight="1" x14ac:dyDescent="0.25">
      <c r="T63731" s="135"/>
      <c r="U63731" s="135"/>
    </row>
    <row r="63732" spans="20:21" ht="15" customHeight="1" x14ac:dyDescent="0.25">
      <c r="T63732" s="135"/>
      <c r="U63732" s="135"/>
    </row>
    <row r="63733" spans="20:21" ht="15" customHeight="1" x14ac:dyDescent="0.25">
      <c r="T63733" s="135"/>
      <c r="U63733" s="135"/>
    </row>
    <row r="63734" spans="20:21" ht="15" customHeight="1" x14ac:dyDescent="0.25">
      <c r="T63734" s="135"/>
      <c r="U63734" s="135"/>
    </row>
    <row r="63735" spans="20:21" ht="15" customHeight="1" x14ac:dyDescent="0.25">
      <c r="T63735" s="135"/>
      <c r="U63735" s="135"/>
    </row>
    <row r="63736" spans="20:21" ht="15" customHeight="1" x14ac:dyDescent="0.25">
      <c r="T63736" s="135"/>
      <c r="U63736" s="135"/>
    </row>
    <row r="63737" spans="20:21" ht="15" customHeight="1" x14ac:dyDescent="0.25">
      <c r="T63737" s="135"/>
      <c r="U63737" s="135"/>
    </row>
    <row r="63738" spans="20:21" ht="15" customHeight="1" x14ac:dyDescent="0.25">
      <c r="T63738" s="135"/>
      <c r="U63738" s="135"/>
    </row>
    <row r="63739" spans="20:21" ht="15" customHeight="1" x14ac:dyDescent="0.25">
      <c r="T63739" s="135"/>
      <c r="U63739" s="135"/>
    </row>
    <row r="63740" spans="20:21" ht="15" customHeight="1" x14ac:dyDescent="0.25">
      <c r="T63740" s="135"/>
      <c r="U63740" s="135"/>
    </row>
    <row r="63741" spans="20:21" ht="15" customHeight="1" x14ac:dyDescent="0.25">
      <c r="T63741" s="135"/>
      <c r="U63741" s="135"/>
    </row>
    <row r="63742" spans="20:21" ht="15" customHeight="1" x14ac:dyDescent="0.25">
      <c r="T63742" s="135"/>
      <c r="U63742" s="135"/>
    </row>
    <row r="63743" spans="20:21" ht="15" customHeight="1" x14ac:dyDescent="0.25">
      <c r="T63743" s="135"/>
      <c r="U63743" s="135"/>
    </row>
    <row r="63744" spans="20:21" ht="15" customHeight="1" x14ac:dyDescent="0.25">
      <c r="T63744" s="135"/>
      <c r="U63744" s="135"/>
    </row>
    <row r="63745" spans="20:21" ht="15" customHeight="1" x14ac:dyDescent="0.25">
      <c r="T63745" s="135"/>
      <c r="U63745" s="135"/>
    </row>
    <row r="63746" spans="20:21" ht="15" customHeight="1" x14ac:dyDescent="0.25">
      <c r="T63746" s="135"/>
      <c r="U63746" s="135"/>
    </row>
    <row r="63747" spans="20:21" ht="15" customHeight="1" x14ac:dyDescent="0.25">
      <c r="T63747" s="135"/>
      <c r="U63747" s="135"/>
    </row>
    <row r="63748" spans="20:21" ht="15" customHeight="1" x14ac:dyDescent="0.25">
      <c r="T63748" s="135"/>
      <c r="U63748" s="135"/>
    </row>
    <row r="63749" spans="20:21" ht="15" customHeight="1" x14ac:dyDescent="0.25">
      <c r="T63749" s="135"/>
      <c r="U63749" s="135"/>
    </row>
    <row r="63750" spans="20:21" ht="15" customHeight="1" x14ac:dyDescent="0.25">
      <c r="T63750" s="135"/>
      <c r="U63750" s="135"/>
    </row>
    <row r="63751" spans="20:21" ht="15" customHeight="1" x14ac:dyDescent="0.25">
      <c r="T63751" s="135"/>
      <c r="U63751" s="135"/>
    </row>
    <row r="63752" spans="20:21" ht="15" customHeight="1" x14ac:dyDescent="0.25">
      <c r="T63752" s="135"/>
      <c r="U63752" s="135"/>
    </row>
    <row r="63753" spans="20:21" ht="15" customHeight="1" x14ac:dyDescent="0.25">
      <c r="T63753" s="135"/>
      <c r="U63753" s="135"/>
    </row>
    <row r="63754" spans="20:21" ht="15" customHeight="1" x14ac:dyDescent="0.25">
      <c r="T63754" s="135"/>
      <c r="U63754" s="135"/>
    </row>
    <row r="63755" spans="20:21" ht="15" customHeight="1" x14ac:dyDescent="0.25">
      <c r="T63755" s="135"/>
      <c r="U63755" s="135"/>
    </row>
    <row r="63756" spans="20:21" ht="15" customHeight="1" x14ac:dyDescent="0.25">
      <c r="T63756" s="135"/>
      <c r="U63756" s="135"/>
    </row>
    <row r="63757" spans="20:21" ht="15" customHeight="1" x14ac:dyDescent="0.25">
      <c r="T63757" s="135"/>
      <c r="U63757" s="135"/>
    </row>
    <row r="63758" spans="20:21" ht="15" customHeight="1" x14ac:dyDescent="0.25">
      <c r="T63758" s="135"/>
      <c r="U63758" s="135"/>
    </row>
    <row r="63759" spans="20:21" ht="15" customHeight="1" x14ac:dyDescent="0.25">
      <c r="T63759" s="135"/>
      <c r="U63759" s="135"/>
    </row>
    <row r="63760" spans="20:21" ht="15" customHeight="1" x14ac:dyDescent="0.25">
      <c r="T63760" s="135"/>
      <c r="U63760" s="135"/>
    </row>
    <row r="63761" spans="20:21" ht="15" customHeight="1" x14ac:dyDescent="0.25">
      <c r="T63761" s="135"/>
      <c r="U63761" s="135"/>
    </row>
    <row r="63762" spans="20:21" ht="15" customHeight="1" x14ac:dyDescent="0.25">
      <c r="T63762" s="135"/>
      <c r="U63762" s="135"/>
    </row>
    <row r="63763" spans="20:21" ht="15" customHeight="1" x14ac:dyDescent="0.25">
      <c r="T63763" s="135"/>
      <c r="U63763" s="135"/>
    </row>
    <row r="63764" spans="20:21" ht="15" customHeight="1" x14ac:dyDescent="0.25">
      <c r="T63764" s="135"/>
      <c r="U63764" s="135"/>
    </row>
    <row r="63765" spans="20:21" ht="15" customHeight="1" x14ac:dyDescent="0.25">
      <c r="T63765" s="135"/>
      <c r="U63765" s="135"/>
    </row>
    <row r="63766" spans="20:21" ht="15" customHeight="1" x14ac:dyDescent="0.25">
      <c r="T63766" s="135"/>
      <c r="U63766" s="135"/>
    </row>
    <row r="63767" spans="20:21" ht="15" customHeight="1" x14ac:dyDescent="0.25">
      <c r="T63767" s="135"/>
      <c r="U63767" s="135"/>
    </row>
    <row r="63768" spans="20:21" ht="15" customHeight="1" x14ac:dyDescent="0.25">
      <c r="T63768" s="135"/>
      <c r="U63768" s="135"/>
    </row>
    <row r="63769" spans="20:21" ht="15" customHeight="1" x14ac:dyDescent="0.25">
      <c r="T63769" s="135"/>
      <c r="U63769" s="135"/>
    </row>
    <row r="63770" spans="20:21" ht="15" customHeight="1" x14ac:dyDescent="0.25">
      <c r="T63770" s="135"/>
      <c r="U63770" s="135"/>
    </row>
    <row r="63771" spans="20:21" ht="15" customHeight="1" x14ac:dyDescent="0.25">
      <c r="T63771" s="135"/>
      <c r="U63771" s="135"/>
    </row>
    <row r="63772" spans="20:21" ht="15" customHeight="1" x14ac:dyDescent="0.25">
      <c r="T63772" s="135"/>
      <c r="U63772" s="135"/>
    </row>
    <row r="63773" spans="20:21" ht="15" customHeight="1" x14ac:dyDescent="0.25">
      <c r="T63773" s="135"/>
      <c r="U63773" s="135"/>
    </row>
    <row r="63774" spans="20:21" ht="15" customHeight="1" x14ac:dyDescent="0.25">
      <c r="T63774" s="135"/>
      <c r="U63774" s="135"/>
    </row>
    <row r="63775" spans="20:21" ht="15" customHeight="1" x14ac:dyDescent="0.25">
      <c r="T63775" s="135"/>
      <c r="U63775" s="135"/>
    </row>
    <row r="63776" spans="20:21" ht="15" customHeight="1" x14ac:dyDescent="0.25">
      <c r="T63776" s="135"/>
      <c r="U63776" s="135"/>
    </row>
    <row r="63777" spans="20:21" ht="15" customHeight="1" x14ac:dyDescent="0.25">
      <c r="T63777" s="135"/>
      <c r="U63777" s="135"/>
    </row>
    <row r="63778" spans="20:21" ht="15" customHeight="1" x14ac:dyDescent="0.25">
      <c r="T63778" s="135"/>
      <c r="U63778" s="135"/>
    </row>
    <row r="63779" spans="20:21" ht="15" customHeight="1" x14ac:dyDescent="0.25">
      <c r="T63779" s="135"/>
      <c r="U63779" s="135"/>
    </row>
    <row r="63780" spans="20:21" ht="15" customHeight="1" x14ac:dyDescent="0.25">
      <c r="T63780" s="135"/>
      <c r="U63780" s="135"/>
    </row>
    <row r="63781" spans="20:21" ht="15" customHeight="1" x14ac:dyDescent="0.25">
      <c r="T63781" s="135"/>
      <c r="U63781" s="135"/>
    </row>
    <row r="63782" spans="20:21" ht="15" customHeight="1" x14ac:dyDescent="0.25">
      <c r="T63782" s="135"/>
      <c r="U63782" s="135"/>
    </row>
    <row r="63783" spans="20:21" ht="15" customHeight="1" x14ac:dyDescent="0.25">
      <c r="T63783" s="135"/>
      <c r="U63783" s="135"/>
    </row>
    <row r="63784" spans="20:21" ht="15" customHeight="1" x14ac:dyDescent="0.25">
      <c r="T63784" s="135"/>
      <c r="U63784" s="135"/>
    </row>
    <row r="63785" spans="20:21" ht="15" customHeight="1" x14ac:dyDescent="0.25">
      <c r="T63785" s="135"/>
      <c r="U63785" s="135"/>
    </row>
    <row r="63786" spans="20:21" ht="15" customHeight="1" x14ac:dyDescent="0.25">
      <c r="T63786" s="135"/>
      <c r="U63786" s="135"/>
    </row>
    <row r="63787" spans="20:21" ht="15" customHeight="1" x14ac:dyDescent="0.25">
      <c r="T63787" s="135"/>
      <c r="U63787" s="135"/>
    </row>
    <row r="63788" spans="20:21" ht="15" customHeight="1" x14ac:dyDescent="0.25">
      <c r="T63788" s="135"/>
      <c r="U63788" s="135"/>
    </row>
    <row r="63789" spans="20:21" ht="15" customHeight="1" x14ac:dyDescent="0.25">
      <c r="T63789" s="135"/>
      <c r="U63789" s="135"/>
    </row>
    <row r="63790" spans="20:21" ht="15" customHeight="1" x14ac:dyDescent="0.25">
      <c r="T63790" s="135"/>
      <c r="U63790" s="135"/>
    </row>
    <row r="63791" spans="20:21" ht="15" customHeight="1" x14ac:dyDescent="0.25">
      <c r="T63791" s="135"/>
      <c r="U63791" s="135"/>
    </row>
    <row r="63792" spans="20:21" ht="15" customHeight="1" x14ac:dyDescent="0.25">
      <c r="T63792" s="135"/>
      <c r="U63792" s="135"/>
    </row>
    <row r="63793" spans="20:21" ht="15" customHeight="1" x14ac:dyDescent="0.25">
      <c r="T63793" s="135"/>
      <c r="U63793" s="135"/>
    </row>
    <row r="63794" spans="20:21" ht="15" customHeight="1" x14ac:dyDescent="0.25">
      <c r="T63794" s="135"/>
      <c r="U63794" s="135"/>
    </row>
    <row r="63795" spans="20:21" ht="15" customHeight="1" x14ac:dyDescent="0.25">
      <c r="T63795" s="135"/>
      <c r="U63795" s="135"/>
    </row>
    <row r="63796" spans="20:21" ht="15" customHeight="1" x14ac:dyDescent="0.25">
      <c r="T63796" s="135"/>
      <c r="U63796" s="135"/>
    </row>
    <row r="63797" spans="20:21" ht="15" customHeight="1" x14ac:dyDescent="0.25">
      <c r="T63797" s="135"/>
      <c r="U63797" s="135"/>
    </row>
    <row r="63798" spans="20:21" ht="15" customHeight="1" x14ac:dyDescent="0.25">
      <c r="T63798" s="135"/>
      <c r="U63798" s="135"/>
    </row>
    <row r="63799" spans="20:21" ht="15" customHeight="1" x14ac:dyDescent="0.25">
      <c r="T63799" s="135"/>
      <c r="U63799" s="135"/>
    </row>
    <row r="63800" spans="20:21" ht="15" customHeight="1" x14ac:dyDescent="0.25">
      <c r="T63800" s="135"/>
      <c r="U63800" s="135"/>
    </row>
    <row r="63801" spans="20:21" ht="15" customHeight="1" x14ac:dyDescent="0.25">
      <c r="T63801" s="135"/>
      <c r="U63801" s="135"/>
    </row>
    <row r="63802" spans="20:21" ht="15" customHeight="1" x14ac:dyDescent="0.25">
      <c r="T63802" s="135"/>
      <c r="U63802" s="135"/>
    </row>
    <row r="63803" spans="20:21" ht="15" customHeight="1" x14ac:dyDescent="0.25">
      <c r="T63803" s="135"/>
      <c r="U63803" s="135"/>
    </row>
    <row r="63804" spans="20:21" ht="15" customHeight="1" x14ac:dyDescent="0.25">
      <c r="T63804" s="135"/>
      <c r="U63804" s="135"/>
    </row>
    <row r="63805" spans="20:21" ht="15" customHeight="1" x14ac:dyDescent="0.25">
      <c r="T63805" s="135"/>
      <c r="U63805" s="135"/>
    </row>
    <row r="63806" spans="20:21" ht="15" customHeight="1" x14ac:dyDescent="0.25">
      <c r="T63806" s="135"/>
      <c r="U63806" s="135"/>
    </row>
    <row r="63807" spans="20:21" ht="15" customHeight="1" x14ac:dyDescent="0.25">
      <c r="T63807" s="135"/>
      <c r="U63807" s="135"/>
    </row>
    <row r="63808" spans="20:21" ht="15" customHeight="1" x14ac:dyDescent="0.25">
      <c r="T63808" s="135"/>
      <c r="U63808" s="135"/>
    </row>
    <row r="63809" spans="20:21" ht="15" customHeight="1" x14ac:dyDescent="0.25">
      <c r="T63809" s="135"/>
      <c r="U63809" s="135"/>
    </row>
    <row r="63810" spans="20:21" ht="15" customHeight="1" x14ac:dyDescent="0.25">
      <c r="T63810" s="135"/>
      <c r="U63810" s="135"/>
    </row>
    <row r="63811" spans="20:21" ht="15" customHeight="1" x14ac:dyDescent="0.25">
      <c r="T63811" s="135"/>
      <c r="U63811" s="135"/>
    </row>
    <row r="63812" spans="20:21" ht="15" customHeight="1" x14ac:dyDescent="0.25">
      <c r="T63812" s="135"/>
      <c r="U63812" s="135"/>
    </row>
    <row r="63813" spans="20:21" ht="15" customHeight="1" x14ac:dyDescent="0.25">
      <c r="T63813" s="135"/>
      <c r="U63813" s="135"/>
    </row>
    <row r="63814" spans="20:21" ht="15" customHeight="1" x14ac:dyDescent="0.25">
      <c r="T63814" s="135"/>
      <c r="U63814" s="135"/>
    </row>
    <row r="63815" spans="20:21" ht="15" customHeight="1" x14ac:dyDescent="0.25">
      <c r="T63815" s="135"/>
      <c r="U63815" s="135"/>
    </row>
    <row r="63816" spans="20:21" ht="15" customHeight="1" x14ac:dyDescent="0.25">
      <c r="T63816" s="135"/>
      <c r="U63816" s="135"/>
    </row>
    <row r="63817" spans="20:21" ht="15" customHeight="1" x14ac:dyDescent="0.25">
      <c r="T63817" s="135"/>
      <c r="U63817" s="135"/>
    </row>
    <row r="63818" spans="20:21" ht="15" customHeight="1" x14ac:dyDescent="0.25">
      <c r="T63818" s="135"/>
      <c r="U63818" s="135"/>
    </row>
    <row r="63819" spans="20:21" ht="15" customHeight="1" x14ac:dyDescent="0.25">
      <c r="T63819" s="135"/>
      <c r="U63819" s="135"/>
    </row>
    <row r="63820" spans="20:21" ht="15" customHeight="1" x14ac:dyDescent="0.25">
      <c r="T63820" s="135"/>
      <c r="U63820" s="135"/>
    </row>
    <row r="63821" spans="20:21" ht="15" customHeight="1" x14ac:dyDescent="0.25">
      <c r="T63821" s="135"/>
      <c r="U63821" s="135"/>
    </row>
    <row r="63822" spans="20:21" ht="15" customHeight="1" x14ac:dyDescent="0.25">
      <c r="T63822" s="135"/>
      <c r="U63822" s="135"/>
    </row>
    <row r="63823" spans="20:21" ht="15" customHeight="1" x14ac:dyDescent="0.25">
      <c r="T63823" s="135"/>
      <c r="U63823" s="135"/>
    </row>
    <row r="63824" spans="20:21" ht="15" customHeight="1" x14ac:dyDescent="0.25">
      <c r="T63824" s="135"/>
      <c r="U63824" s="135"/>
    </row>
    <row r="63825" spans="20:21" ht="15" customHeight="1" x14ac:dyDescent="0.25">
      <c r="T63825" s="135"/>
      <c r="U63825" s="135"/>
    </row>
    <row r="63826" spans="20:21" ht="15" customHeight="1" x14ac:dyDescent="0.25">
      <c r="T63826" s="135"/>
      <c r="U63826" s="135"/>
    </row>
    <row r="63827" spans="20:21" ht="15" customHeight="1" x14ac:dyDescent="0.25">
      <c r="T63827" s="135"/>
      <c r="U63827" s="135"/>
    </row>
    <row r="63828" spans="20:21" ht="15" customHeight="1" x14ac:dyDescent="0.25">
      <c r="T63828" s="135"/>
      <c r="U63828" s="135"/>
    </row>
    <row r="63829" spans="20:21" ht="15" customHeight="1" x14ac:dyDescent="0.25">
      <c r="T63829" s="135"/>
      <c r="U63829" s="135"/>
    </row>
    <row r="63830" spans="20:21" ht="15" customHeight="1" x14ac:dyDescent="0.25">
      <c r="T63830" s="135"/>
      <c r="U63830" s="135"/>
    </row>
    <row r="63831" spans="20:21" ht="15" customHeight="1" x14ac:dyDescent="0.25">
      <c r="T63831" s="135"/>
      <c r="U63831" s="135"/>
    </row>
    <row r="63832" spans="20:21" ht="15" customHeight="1" x14ac:dyDescent="0.25">
      <c r="T63832" s="135"/>
      <c r="U63832" s="135"/>
    </row>
    <row r="63833" spans="20:21" ht="15" customHeight="1" x14ac:dyDescent="0.25">
      <c r="T63833" s="135"/>
      <c r="U63833" s="135"/>
    </row>
    <row r="63834" spans="20:21" ht="15" customHeight="1" x14ac:dyDescent="0.25">
      <c r="T63834" s="135"/>
      <c r="U63834" s="135"/>
    </row>
    <row r="63835" spans="20:21" ht="15" customHeight="1" x14ac:dyDescent="0.25">
      <c r="T63835" s="135"/>
      <c r="U63835" s="135"/>
    </row>
    <row r="63836" spans="20:21" ht="15" customHeight="1" x14ac:dyDescent="0.25">
      <c r="T63836" s="135"/>
      <c r="U63836" s="135"/>
    </row>
    <row r="63837" spans="20:21" ht="15" customHeight="1" x14ac:dyDescent="0.25">
      <c r="T63837" s="135"/>
      <c r="U63837" s="135"/>
    </row>
    <row r="63838" spans="20:21" ht="15" customHeight="1" x14ac:dyDescent="0.25">
      <c r="T63838" s="135"/>
      <c r="U63838" s="135"/>
    </row>
    <row r="63839" spans="20:21" ht="15" customHeight="1" x14ac:dyDescent="0.25">
      <c r="T63839" s="135"/>
      <c r="U63839" s="135"/>
    </row>
    <row r="63840" spans="20:21" ht="15" customHeight="1" x14ac:dyDescent="0.25">
      <c r="T63840" s="135"/>
      <c r="U63840" s="135"/>
    </row>
    <row r="63841" spans="20:21" ht="15" customHeight="1" x14ac:dyDescent="0.25">
      <c r="T63841" s="135"/>
      <c r="U63841" s="135"/>
    </row>
    <row r="63842" spans="20:21" ht="15" customHeight="1" x14ac:dyDescent="0.25">
      <c r="T63842" s="135"/>
      <c r="U63842" s="135"/>
    </row>
    <row r="63843" spans="20:21" ht="15" customHeight="1" x14ac:dyDescent="0.25">
      <c r="T63843" s="135"/>
      <c r="U63843" s="135"/>
    </row>
    <row r="63844" spans="20:21" ht="15" customHeight="1" x14ac:dyDescent="0.25">
      <c r="T63844" s="135"/>
      <c r="U63844" s="135"/>
    </row>
    <row r="63845" spans="20:21" ht="15" customHeight="1" x14ac:dyDescent="0.25">
      <c r="T63845" s="135"/>
      <c r="U63845" s="135"/>
    </row>
    <row r="63846" spans="20:21" ht="15" customHeight="1" x14ac:dyDescent="0.25">
      <c r="T63846" s="135"/>
      <c r="U63846" s="135"/>
    </row>
    <row r="63847" spans="20:21" ht="15" customHeight="1" x14ac:dyDescent="0.25">
      <c r="T63847" s="135"/>
      <c r="U63847" s="135"/>
    </row>
    <row r="63848" spans="20:21" ht="15" customHeight="1" x14ac:dyDescent="0.25">
      <c r="T63848" s="135"/>
      <c r="U63848" s="135"/>
    </row>
    <row r="63849" spans="20:21" ht="15" customHeight="1" x14ac:dyDescent="0.25">
      <c r="T63849" s="135"/>
      <c r="U63849" s="135"/>
    </row>
    <row r="63850" spans="20:21" ht="15" customHeight="1" x14ac:dyDescent="0.25">
      <c r="T63850" s="135"/>
      <c r="U63850" s="135"/>
    </row>
    <row r="63851" spans="20:21" ht="15" customHeight="1" x14ac:dyDescent="0.25">
      <c r="T63851" s="135"/>
      <c r="U63851" s="135"/>
    </row>
    <row r="63852" spans="20:21" ht="15" customHeight="1" x14ac:dyDescent="0.25">
      <c r="T63852" s="135"/>
      <c r="U63852" s="135"/>
    </row>
    <row r="63853" spans="20:21" ht="15" customHeight="1" x14ac:dyDescent="0.25">
      <c r="T63853" s="135"/>
      <c r="U63853" s="135"/>
    </row>
    <row r="63854" spans="20:21" ht="15" customHeight="1" x14ac:dyDescent="0.25">
      <c r="T63854" s="135"/>
      <c r="U63854" s="135"/>
    </row>
    <row r="63855" spans="20:21" ht="15" customHeight="1" x14ac:dyDescent="0.25">
      <c r="T63855" s="135"/>
      <c r="U63855" s="135"/>
    </row>
    <row r="63856" spans="20:21" ht="15" customHeight="1" x14ac:dyDescent="0.25">
      <c r="T63856" s="135"/>
      <c r="U63856" s="135"/>
    </row>
    <row r="63857" spans="20:21" ht="15" customHeight="1" x14ac:dyDescent="0.25">
      <c r="T63857" s="135"/>
      <c r="U63857" s="135"/>
    </row>
    <row r="63858" spans="20:21" ht="15" customHeight="1" x14ac:dyDescent="0.25">
      <c r="T63858" s="135"/>
      <c r="U63858" s="135"/>
    </row>
    <row r="63859" spans="20:21" ht="15" customHeight="1" x14ac:dyDescent="0.25">
      <c r="T63859" s="135"/>
      <c r="U63859" s="135"/>
    </row>
    <row r="63860" spans="20:21" ht="15" customHeight="1" x14ac:dyDescent="0.25">
      <c r="T63860" s="135"/>
      <c r="U63860" s="135"/>
    </row>
    <row r="63861" spans="20:21" ht="15" customHeight="1" x14ac:dyDescent="0.25">
      <c r="T63861" s="135"/>
      <c r="U63861" s="135"/>
    </row>
    <row r="63862" spans="20:21" ht="15" customHeight="1" x14ac:dyDescent="0.25">
      <c r="T63862" s="135"/>
      <c r="U63862" s="135"/>
    </row>
    <row r="63863" spans="20:21" ht="15" customHeight="1" x14ac:dyDescent="0.25">
      <c r="T63863" s="135"/>
      <c r="U63863" s="135"/>
    </row>
    <row r="63864" spans="20:21" ht="15" customHeight="1" x14ac:dyDescent="0.25">
      <c r="T63864" s="135"/>
      <c r="U63864" s="135"/>
    </row>
    <row r="63865" spans="20:21" ht="15" customHeight="1" x14ac:dyDescent="0.25">
      <c r="T63865" s="135"/>
      <c r="U63865" s="135"/>
    </row>
    <row r="63866" spans="20:21" ht="15" customHeight="1" x14ac:dyDescent="0.25">
      <c r="T63866" s="135"/>
      <c r="U63866" s="135"/>
    </row>
    <row r="63867" spans="20:21" ht="15" customHeight="1" x14ac:dyDescent="0.25">
      <c r="T63867" s="135"/>
      <c r="U63867" s="135"/>
    </row>
    <row r="63868" spans="20:21" ht="15" customHeight="1" x14ac:dyDescent="0.25">
      <c r="T63868" s="135"/>
      <c r="U63868" s="135"/>
    </row>
    <row r="63869" spans="20:21" ht="15" customHeight="1" x14ac:dyDescent="0.25">
      <c r="T63869" s="135"/>
      <c r="U63869" s="135"/>
    </row>
    <row r="63870" spans="20:21" ht="15" customHeight="1" x14ac:dyDescent="0.25">
      <c r="T63870" s="135"/>
      <c r="U63870" s="135"/>
    </row>
    <row r="63871" spans="20:21" ht="15" customHeight="1" x14ac:dyDescent="0.25">
      <c r="T63871" s="135"/>
      <c r="U63871" s="135"/>
    </row>
    <row r="63872" spans="20:21" ht="15" customHeight="1" x14ac:dyDescent="0.25">
      <c r="T63872" s="135"/>
      <c r="U63872" s="135"/>
    </row>
    <row r="63873" spans="20:21" ht="15" customHeight="1" x14ac:dyDescent="0.25">
      <c r="T63873" s="135"/>
      <c r="U63873" s="135"/>
    </row>
    <row r="63874" spans="20:21" ht="15" customHeight="1" x14ac:dyDescent="0.25">
      <c r="T63874" s="135"/>
      <c r="U63874" s="135"/>
    </row>
    <row r="63875" spans="20:21" ht="15" customHeight="1" x14ac:dyDescent="0.25">
      <c r="T63875" s="135"/>
      <c r="U63875" s="135"/>
    </row>
    <row r="63876" spans="20:21" ht="15" customHeight="1" x14ac:dyDescent="0.25">
      <c r="T63876" s="135"/>
      <c r="U63876" s="135"/>
    </row>
    <row r="63877" spans="20:21" ht="15" customHeight="1" x14ac:dyDescent="0.25">
      <c r="T63877" s="135"/>
      <c r="U63877" s="135"/>
    </row>
    <row r="63878" spans="20:21" ht="15" customHeight="1" x14ac:dyDescent="0.25">
      <c r="T63878" s="135"/>
      <c r="U63878" s="135"/>
    </row>
    <row r="63879" spans="20:21" ht="15" customHeight="1" x14ac:dyDescent="0.25">
      <c r="T63879" s="135"/>
      <c r="U63879" s="135"/>
    </row>
    <row r="63880" spans="20:21" ht="15" customHeight="1" x14ac:dyDescent="0.25">
      <c r="T63880" s="135"/>
      <c r="U63880" s="135"/>
    </row>
    <row r="63881" spans="20:21" ht="15" customHeight="1" x14ac:dyDescent="0.25">
      <c r="T63881" s="135"/>
      <c r="U63881" s="135"/>
    </row>
    <row r="63882" spans="20:21" ht="15" customHeight="1" x14ac:dyDescent="0.25">
      <c r="T63882" s="135"/>
      <c r="U63882" s="135"/>
    </row>
    <row r="63883" spans="20:21" ht="15" customHeight="1" x14ac:dyDescent="0.25">
      <c r="T63883" s="135"/>
      <c r="U63883" s="135"/>
    </row>
    <row r="63884" spans="20:21" ht="15" customHeight="1" x14ac:dyDescent="0.25">
      <c r="T63884" s="135"/>
      <c r="U63884" s="135"/>
    </row>
    <row r="63885" spans="20:21" ht="15" customHeight="1" x14ac:dyDescent="0.25">
      <c r="T63885" s="135"/>
      <c r="U63885" s="135"/>
    </row>
    <row r="63886" spans="20:21" ht="15" customHeight="1" x14ac:dyDescent="0.25">
      <c r="T63886" s="135"/>
      <c r="U63886" s="135"/>
    </row>
    <row r="63887" spans="20:21" ht="15" customHeight="1" x14ac:dyDescent="0.25">
      <c r="T63887" s="135"/>
      <c r="U63887" s="135"/>
    </row>
    <row r="63888" spans="20:21" ht="15" customHeight="1" x14ac:dyDescent="0.25">
      <c r="T63888" s="135"/>
      <c r="U63888" s="135"/>
    </row>
    <row r="63889" spans="20:21" ht="15" customHeight="1" x14ac:dyDescent="0.25">
      <c r="T63889" s="135"/>
      <c r="U63889" s="135"/>
    </row>
    <row r="63890" spans="20:21" ht="15" customHeight="1" x14ac:dyDescent="0.25">
      <c r="T63890" s="135"/>
      <c r="U63890" s="135"/>
    </row>
    <row r="63891" spans="20:21" ht="15" customHeight="1" x14ac:dyDescent="0.25">
      <c r="T63891" s="135"/>
      <c r="U63891" s="135"/>
    </row>
    <row r="63892" spans="20:21" ht="15" customHeight="1" x14ac:dyDescent="0.25">
      <c r="T63892" s="135"/>
      <c r="U63892" s="135"/>
    </row>
    <row r="63893" spans="20:21" ht="15" customHeight="1" x14ac:dyDescent="0.25">
      <c r="T63893" s="135"/>
      <c r="U63893" s="135"/>
    </row>
    <row r="63894" spans="20:21" ht="15" customHeight="1" x14ac:dyDescent="0.25">
      <c r="T63894" s="135"/>
      <c r="U63894" s="135"/>
    </row>
    <row r="63895" spans="20:21" ht="15" customHeight="1" x14ac:dyDescent="0.25">
      <c r="T63895" s="135"/>
      <c r="U63895" s="135"/>
    </row>
    <row r="63896" spans="20:21" ht="15" customHeight="1" x14ac:dyDescent="0.25">
      <c r="T63896" s="135"/>
      <c r="U63896" s="135"/>
    </row>
    <row r="63897" spans="20:21" ht="15" customHeight="1" x14ac:dyDescent="0.25">
      <c r="T63897" s="135"/>
      <c r="U63897" s="135"/>
    </row>
    <row r="63898" spans="20:21" ht="15" customHeight="1" x14ac:dyDescent="0.25">
      <c r="T63898" s="135"/>
      <c r="U63898" s="135"/>
    </row>
    <row r="63899" spans="20:21" ht="15" customHeight="1" x14ac:dyDescent="0.25">
      <c r="T63899" s="135"/>
      <c r="U63899" s="135"/>
    </row>
    <row r="63900" spans="20:21" ht="15" customHeight="1" x14ac:dyDescent="0.25">
      <c r="T63900" s="135"/>
      <c r="U63900" s="135"/>
    </row>
    <row r="63901" spans="20:21" ht="15" customHeight="1" x14ac:dyDescent="0.25">
      <c r="T63901" s="135"/>
      <c r="U63901" s="135"/>
    </row>
    <row r="63902" spans="20:21" ht="15" customHeight="1" x14ac:dyDescent="0.25">
      <c r="T63902" s="135"/>
      <c r="U63902" s="135"/>
    </row>
    <row r="63903" spans="20:21" ht="15" customHeight="1" x14ac:dyDescent="0.25">
      <c r="T63903" s="135"/>
      <c r="U63903" s="135"/>
    </row>
    <row r="63904" spans="20:21" ht="15" customHeight="1" x14ac:dyDescent="0.25">
      <c r="T63904" s="135"/>
      <c r="U63904" s="135"/>
    </row>
    <row r="63905" spans="20:21" ht="15" customHeight="1" x14ac:dyDescent="0.25">
      <c r="T63905" s="135"/>
      <c r="U63905" s="135"/>
    </row>
    <row r="63906" spans="20:21" ht="15" customHeight="1" x14ac:dyDescent="0.25">
      <c r="T63906" s="135"/>
      <c r="U63906" s="135"/>
    </row>
    <row r="63907" spans="20:21" ht="15" customHeight="1" x14ac:dyDescent="0.25">
      <c r="T63907" s="135"/>
      <c r="U63907" s="135"/>
    </row>
    <row r="63908" spans="20:21" ht="15" customHeight="1" x14ac:dyDescent="0.25">
      <c r="T63908" s="135"/>
      <c r="U63908" s="135"/>
    </row>
    <row r="63909" spans="20:21" ht="15" customHeight="1" x14ac:dyDescent="0.25">
      <c r="T63909" s="135"/>
      <c r="U63909" s="135"/>
    </row>
    <row r="63910" spans="20:21" ht="15" customHeight="1" x14ac:dyDescent="0.25">
      <c r="T63910" s="135"/>
      <c r="U63910" s="135"/>
    </row>
    <row r="63911" spans="20:21" ht="15" customHeight="1" x14ac:dyDescent="0.25">
      <c r="T63911" s="135"/>
      <c r="U63911" s="135"/>
    </row>
    <row r="63912" spans="20:21" ht="15" customHeight="1" x14ac:dyDescent="0.25">
      <c r="T63912" s="135"/>
      <c r="U63912" s="135"/>
    </row>
    <row r="63913" spans="20:21" ht="15" customHeight="1" x14ac:dyDescent="0.25">
      <c r="T63913" s="135"/>
      <c r="U63913" s="135"/>
    </row>
    <row r="63914" spans="20:21" ht="15" customHeight="1" x14ac:dyDescent="0.25">
      <c r="T63914" s="135"/>
      <c r="U63914" s="135"/>
    </row>
    <row r="63915" spans="20:21" ht="15" customHeight="1" x14ac:dyDescent="0.25">
      <c r="T63915" s="135"/>
      <c r="U63915" s="135"/>
    </row>
    <row r="63916" spans="20:21" ht="15" customHeight="1" x14ac:dyDescent="0.25">
      <c r="T63916" s="135"/>
      <c r="U63916" s="135"/>
    </row>
    <row r="63917" spans="20:21" ht="15" customHeight="1" x14ac:dyDescent="0.25">
      <c r="T63917" s="135"/>
      <c r="U63917" s="135"/>
    </row>
    <row r="63918" spans="20:21" ht="15" customHeight="1" x14ac:dyDescent="0.25">
      <c r="T63918" s="135"/>
      <c r="U63918" s="135"/>
    </row>
    <row r="63919" spans="20:21" ht="15" customHeight="1" x14ac:dyDescent="0.25">
      <c r="T63919" s="135"/>
      <c r="U63919" s="135"/>
    </row>
    <row r="63920" spans="20:21" ht="15" customHeight="1" x14ac:dyDescent="0.25">
      <c r="T63920" s="135"/>
      <c r="U63920" s="135"/>
    </row>
    <row r="63921" spans="20:21" ht="15" customHeight="1" x14ac:dyDescent="0.25">
      <c r="T63921" s="135"/>
      <c r="U63921" s="135"/>
    </row>
    <row r="63922" spans="20:21" ht="15" customHeight="1" x14ac:dyDescent="0.25">
      <c r="T63922" s="135"/>
      <c r="U63922" s="135"/>
    </row>
    <row r="63923" spans="20:21" ht="15" customHeight="1" x14ac:dyDescent="0.25">
      <c r="T63923" s="135"/>
      <c r="U63923" s="135"/>
    </row>
    <row r="63924" spans="20:21" ht="15" customHeight="1" x14ac:dyDescent="0.25">
      <c r="T63924" s="135"/>
      <c r="U63924" s="135"/>
    </row>
    <row r="63925" spans="20:21" ht="15" customHeight="1" x14ac:dyDescent="0.25">
      <c r="T63925" s="135"/>
      <c r="U63925" s="135"/>
    </row>
    <row r="63926" spans="20:21" ht="15" customHeight="1" x14ac:dyDescent="0.25">
      <c r="T63926" s="135"/>
      <c r="U63926" s="135"/>
    </row>
    <row r="63927" spans="20:21" ht="15" customHeight="1" x14ac:dyDescent="0.25">
      <c r="T63927" s="135"/>
      <c r="U63927" s="135"/>
    </row>
    <row r="63928" spans="20:21" ht="15" customHeight="1" x14ac:dyDescent="0.25">
      <c r="T63928" s="135"/>
      <c r="U63928" s="135"/>
    </row>
    <row r="63929" spans="20:21" ht="15" customHeight="1" x14ac:dyDescent="0.25">
      <c r="T63929" s="135"/>
      <c r="U63929" s="135"/>
    </row>
    <row r="63930" spans="20:21" ht="15" customHeight="1" x14ac:dyDescent="0.25">
      <c r="T63930" s="135"/>
      <c r="U63930" s="135"/>
    </row>
    <row r="63931" spans="20:21" ht="15" customHeight="1" x14ac:dyDescent="0.25">
      <c r="T63931" s="135"/>
      <c r="U63931" s="135"/>
    </row>
    <row r="63932" spans="20:21" ht="15" customHeight="1" x14ac:dyDescent="0.25">
      <c r="T63932" s="135"/>
      <c r="U63932" s="135"/>
    </row>
    <row r="63933" spans="20:21" ht="15" customHeight="1" x14ac:dyDescent="0.25">
      <c r="T63933" s="135"/>
      <c r="U63933" s="135"/>
    </row>
    <row r="63934" spans="20:21" ht="15" customHeight="1" x14ac:dyDescent="0.25">
      <c r="T63934" s="135"/>
      <c r="U63934" s="135"/>
    </row>
    <row r="63935" spans="20:21" ht="15" customHeight="1" x14ac:dyDescent="0.25">
      <c r="T63935" s="135"/>
      <c r="U63935" s="135"/>
    </row>
    <row r="63936" spans="20:21" ht="15" customHeight="1" x14ac:dyDescent="0.25">
      <c r="T63936" s="135"/>
      <c r="U63936" s="135"/>
    </row>
    <row r="63937" spans="20:21" ht="15" customHeight="1" x14ac:dyDescent="0.25">
      <c r="T63937" s="135"/>
      <c r="U63937" s="135"/>
    </row>
    <row r="63938" spans="20:21" ht="15" customHeight="1" x14ac:dyDescent="0.25">
      <c r="T63938" s="135"/>
      <c r="U63938" s="135"/>
    </row>
    <row r="63939" spans="20:21" ht="15" customHeight="1" x14ac:dyDescent="0.25">
      <c r="T63939" s="135"/>
      <c r="U63939" s="135"/>
    </row>
    <row r="63940" spans="20:21" ht="15" customHeight="1" x14ac:dyDescent="0.25">
      <c r="T63940" s="135"/>
      <c r="U63940" s="135"/>
    </row>
    <row r="63941" spans="20:21" ht="15" customHeight="1" x14ac:dyDescent="0.25">
      <c r="T63941" s="135"/>
      <c r="U63941" s="135"/>
    </row>
    <row r="63942" spans="20:21" ht="15" customHeight="1" x14ac:dyDescent="0.25">
      <c r="T63942" s="135"/>
      <c r="U63942" s="135"/>
    </row>
    <row r="63943" spans="20:21" ht="15" customHeight="1" x14ac:dyDescent="0.25">
      <c r="T63943" s="135"/>
      <c r="U63943" s="135"/>
    </row>
    <row r="63944" spans="20:21" ht="15" customHeight="1" x14ac:dyDescent="0.25">
      <c r="T63944" s="135"/>
      <c r="U63944" s="135"/>
    </row>
    <row r="63945" spans="20:21" ht="15" customHeight="1" x14ac:dyDescent="0.25">
      <c r="T63945" s="135"/>
      <c r="U63945" s="135"/>
    </row>
    <row r="63946" spans="20:21" ht="15" customHeight="1" x14ac:dyDescent="0.25">
      <c r="T63946" s="135"/>
      <c r="U63946" s="135"/>
    </row>
    <row r="63947" spans="20:21" ht="15" customHeight="1" x14ac:dyDescent="0.25">
      <c r="T63947" s="135"/>
      <c r="U63947" s="135"/>
    </row>
    <row r="63948" spans="20:21" ht="15" customHeight="1" x14ac:dyDescent="0.25">
      <c r="T63948" s="135"/>
      <c r="U63948" s="135"/>
    </row>
    <row r="63949" spans="20:21" ht="15" customHeight="1" x14ac:dyDescent="0.25">
      <c r="T63949" s="135"/>
      <c r="U63949" s="135"/>
    </row>
    <row r="63950" spans="20:21" ht="15" customHeight="1" x14ac:dyDescent="0.25">
      <c r="T63950" s="135"/>
      <c r="U63950" s="135"/>
    </row>
    <row r="63951" spans="20:21" ht="15" customHeight="1" x14ac:dyDescent="0.25">
      <c r="T63951" s="135"/>
      <c r="U63951" s="135"/>
    </row>
    <row r="63952" spans="20:21" ht="15" customHeight="1" x14ac:dyDescent="0.25">
      <c r="T63952" s="135"/>
      <c r="U63952" s="135"/>
    </row>
    <row r="63953" spans="20:21" ht="15" customHeight="1" x14ac:dyDescent="0.25">
      <c r="T63953" s="135"/>
      <c r="U63953" s="135"/>
    </row>
    <row r="63954" spans="20:21" ht="15" customHeight="1" x14ac:dyDescent="0.25">
      <c r="T63954" s="135"/>
      <c r="U63954" s="135"/>
    </row>
    <row r="63955" spans="20:21" ht="15" customHeight="1" x14ac:dyDescent="0.25">
      <c r="T63955" s="135"/>
      <c r="U63955" s="135"/>
    </row>
    <row r="63956" spans="20:21" ht="15" customHeight="1" x14ac:dyDescent="0.25">
      <c r="T63956" s="135"/>
      <c r="U63956" s="135"/>
    </row>
    <row r="63957" spans="20:21" ht="15" customHeight="1" x14ac:dyDescent="0.25">
      <c r="T63957" s="135"/>
      <c r="U63957" s="135"/>
    </row>
    <row r="63958" spans="20:21" ht="15" customHeight="1" x14ac:dyDescent="0.25">
      <c r="T63958" s="135"/>
      <c r="U63958" s="135"/>
    </row>
    <row r="63959" spans="20:21" ht="15" customHeight="1" x14ac:dyDescent="0.25">
      <c r="T63959" s="135"/>
      <c r="U63959" s="135"/>
    </row>
    <row r="63960" spans="20:21" ht="15" customHeight="1" x14ac:dyDescent="0.25">
      <c r="T63960" s="135"/>
      <c r="U63960" s="135"/>
    </row>
    <row r="63961" spans="20:21" ht="15" customHeight="1" x14ac:dyDescent="0.25">
      <c r="T63961" s="135"/>
      <c r="U63961" s="135"/>
    </row>
    <row r="63962" spans="20:21" ht="15" customHeight="1" x14ac:dyDescent="0.25">
      <c r="T63962" s="135"/>
      <c r="U63962" s="135"/>
    </row>
    <row r="63963" spans="20:21" ht="15" customHeight="1" x14ac:dyDescent="0.25">
      <c r="T63963" s="135"/>
      <c r="U63963" s="135"/>
    </row>
    <row r="63964" spans="20:21" ht="15" customHeight="1" x14ac:dyDescent="0.25">
      <c r="T63964" s="135"/>
      <c r="U63964" s="135"/>
    </row>
    <row r="63965" spans="20:21" ht="15" customHeight="1" x14ac:dyDescent="0.25">
      <c r="T63965" s="135"/>
      <c r="U63965" s="135"/>
    </row>
    <row r="63966" spans="20:21" ht="15" customHeight="1" x14ac:dyDescent="0.25">
      <c r="T63966" s="135"/>
      <c r="U63966" s="135"/>
    </row>
    <row r="63967" spans="20:21" ht="15" customHeight="1" x14ac:dyDescent="0.25">
      <c r="T63967" s="135"/>
      <c r="U63967" s="135"/>
    </row>
    <row r="63968" spans="20:21" ht="15" customHeight="1" x14ac:dyDescent="0.25">
      <c r="T63968" s="135"/>
      <c r="U63968" s="135"/>
    </row>
    <row r="63969" spans="20:21" ht="15" customHeight="1" x14ac:dyDescent="0.25">
      <c r="T63969" s="135"/>
      <c r="U63969" s="135"/>
    </row>
    <row r="63970" spans="20:21" ht="15" customHeight="1" x14ac:dyDescent="0.25">
      <c r="T63970" s="135"/>
      <c r="U63970" s="135"/>
    </row>
    <row r="63971" spans="20:21" ht="15" customHeight="1" x14ac:dyDescent="0.25">
      <c r="T63971" s="135"/>
      <c r="U63971" s="135"/>
    </row>
    <row r="63972" spans="20:21" ht="15" customHeight="1" x14ac:dyDescent="0.25">
      <c r="T63972" s="135"/>
      <c r="U63972" s="135"/>
    </row>
    <row r="63973" spans="20:21" ht="15" customHeight="1" x14ac:dyDescent="0.25">
      <c r="T63973" s="135"/>
      <c r="U63973" s="135"/>
    </row>
    <row r="63974" spans="20:21" ht="15" customHeight="1" x14ac:dyDescent="0.25">
      <c r="T63974" s="135"/>
      <c r="U63974" s="135"/>
    </row>
    <row r="63975" spans="20:21" ht="15" customHeight="1" x14ac:dyDescent="0.25">
      <c r="T63975" s="135"/>
      <c r="U63975" s="135"/>
    </row>
    <row r="63976" spans="20:21" ht="15" customHeight="1" x14ac:dyDescent="0.25">
      <c r="T63976" s="135"/>
      <c r="U63976" s="135"/>
    </row>
    <row r="63977" spans="20:21" ht="15" customHeight="1" x14ac:dyDescent="0.25">
      <c r="T63977" s="135"/>
      <c r="U63977" s="135"/>
    </row>
    <row r="63978" spans="20:21" ht="15" customHeight="1" x14ac:dyDescent="0.25">
      <c r="T63978" s="135"/>
      <c r="U63978" s="135"/>
    </row>
    <row r="63979" spans="20:21" ht="15" customHeight="1" x14ac:dyDescent="0.25">
      <c r="T63979" s="135"/>
      <c r="U63979" s="135"/>
    </row>
    <row r="63980" spans="20:21" ht="15" customHeight="1" x14ac:dyDescent="0.25">
      <c r="T63980" s="135"/>
      <c r="U63980" s="135"/>
    </row>
    <row r="63981" spans="20:21" ht="15" customHeight="1" x14ac:dyDescent="0.25">
      <c r="T63981" s="135"/>
      <c r="U63981" s="135"/>
    </row>
    <row r="63982" spans="20:21" ht="15" customHeight="1" x14ac:dyDescent="0.25">
      <c r="T63982" s="135"/>
      <c r="U63982" s="135"/>
    </row>
    <row r="63983" spans="20:21" ht="15" customHeight="1" x14ac:dyDescent="0.25">
      <c r="T63983" s="135"/>
      <c r="U63983" s="135"/>
    </row>
    <row r="63984" spans="20:21" ht="15" customHeight="1" x14ac:dyDescent="0.25">
      <c r="T63984" s="135"/>
      <c r="U63984" s="135"/>
    </row>
    <row r="63985" spans="20:21" ht="15" customHeight="1" x14ac:dyDescent="0.25">
      <c r="T63985" s="135"/>
      <c r="U63985" s="135"/>
    </row>
    <row r="63986" spans="20:21" ht="15" customHeight="1" x14ac:dyDescent="0.25">
      <c r="T63986" s="135"/>
      <c r="U63986" s="135"/>
    </row>
    <row r="63987" spans="20:21" ht="15" customHeight="1" x14ac:dyDescent="0.25">
      <c r="T63987" s="135"/>
      <c r="U63987" s="135"/>
    </row>
    <row r="63988" spans="20:21" ht="15" customHeight="1" x14ac:dyDescent="0.25">
      <c r="T63988" s="135"/>
      <c r="U63988" s="135"/>
    </row>
    <row r="63989" spans="20:21" ht="15" customHeight="1" x14ac:dyDescent="0.25">
      <c r="T63989" s="135"/>
      <c r="U63989" s="135"/>
    </row>
    <row r="63990" spans="20:21" ht="15" customHeight="1" x14ac:dyDescent="0.25">
      <c r="T63990" s="135"/>
      <c r="U63990" s="135"/>
    </row>
    <row r="63991" spans="20:21" ht="15" customHeight="1" x14ac:dyDescent="0.25">
      <c r="T63991" s="135"/>
      <c r="U63991" s="135"/>
    </row>
    <row r="63992" spans="20:21" ht="15" customHeight="1" x14ac:dyDescent="0.25">
      <c r="T63992" s="135"/>
      <c r="U63992" s="135"/>
    </row>
    <row r="63993" spans="20:21" ht="15" customHeight="1" x14ac:dyDescent="0.25">
      <c r="T63993" s="135"/>
      <c r="U63993" s="135"/>
    </row>
    <row r="63994" spans="20:21" ht="15" customHeight="1" x14ac:dyDescent="0.25">
      <c r="T63994" s="135"/>
      <c r="U63994" s="135"/>
    </row>
    <row r="63995" spans="20:21" ht="15" customHeight="1" x14ac:dyDescent="0.25">
      <c r="T63995" s="135"/>
      <c r="U63995" s="135"/>
    </row>
    <row r="63996" spans="20:21" ht="15" customHeight="1" x14ac:dyDescent="0.25">
      <c r="T63996" s="135"/>
      <c r="U63996" s="135"/>
    </row>
    <row r="63997" spans="20:21" ht="15" customHeight="1" x14ac:dyDescent="0.25">
      <c r="T63997" s="135"/>
      <c r="U63997" s="135"/>
    </row>
    <row r="63998" spans="20:21" ht="15" customHeight="1" x14ac:dyDescent="0.25">
      <c r="T63998" s="135"/>
      <c r="U63998" s="135"/>
    </row>
    <row r="63999" spans="20:21" ht="15" customHeight="1" x14ac:dyDescent="0.25">
      <c r="T63999" s="135"/>
      <c r="U63999" s="135"/>
    </row>
    <row r="64000" spans="20:21" ht="15" customHeight="1" x14ac:dyDescent="0.25">
      <c r="T64000" s="135"/>
      <c r="U64000" s="135"/>
    </row>
    <row r="64001" spans="20:21" ht="15" customHeight="1" x14ac:dyDescent="0.25">
      <c r="T64001" s="135"/>
      <c r="U64001" s="135"/>
    </row>
    <row r="64002" spans="20:21" ht="15" customHeight="1" x14ac:dyDescent="0.25">
      <c r="T64002" s="135"/>
      <c r="U64002" s="135"/>
    </row>
    <row r="64003" spans="20:21" ht="15" customHeight="1" x14ac:dyDescent="0.25">
      <c r="T64003" s="135"/>
      <c r="U64003" s="135"/>
    </row>
    <row r="64004" spans="20:21" ht="15" customHeight="1" x14ac:dyDescent="0.25">
      <c r="T64004" s="135"/>
      <c r="U64004" s="135"/>
    </row>
    <row r="64005" spans="20:21" ht="15" customHeight="1" x14ac:dyDescent="0.25">
      <c r="T64005" s="135"/>
      <c r="U64005" s="135"/>
    </row>
    <row r="64006" spans="20:21" ht="15" customHeight="1" x14ac:dyDescent="0.25">
      <c r="T64006" s="135"/>
      <c r="U64006" s="135"/>
    </row>
    <row r="64007" spans="20:21" ht="15" customHeight="1" x14ac:dyDescent="0.25">
      <c r="T64007" s="135"/>
      <c r="U64007" s="135"/>
    </row>
    <row r="64008" spans="20:21" ht="15" customHeight="1" x14ac:dyDescent="0.25">
      <c r="T64008" s="135"/>
      <c r="U64008" s="135"/>
    </row>
    <row r="64009" spans="20:21" ht="15" customHeight="1" x14ac:dyDescent="0.25">
      <c r="T64009" s="135"/>
      <c r="U64009" s="135"/>
    </row>
    <row r="64010" spans="20:21" ht="15" customHeight="1" x14ac:dyDescent="0.25">
      <c r="T64010" s="135"/>
      <c r="U64010" s="135"/>
    </row>
    <row r="64011" spans="20:21" ht="15" customHeight="1" x14ac:dyDescent="0.25">
      <c r="T64011" s="135"/>
      <c r="U64011" s="135"/>
    </row>
    <row r="64012" spans="20:21" ht="15" customHeight="1" x14ac:dyDescent="0.25">
      <c r="T64012" s="135"/>
      <c r="U64012" s="135"/>
    </row>
    <row r="64013" spans="20:21" ht="15" customHeight="1" x14ac:dyDescent="0.25">
      <c r="T64013" s="135"/>
      <c r="U64013" s="135"/>
    </row>
    <row r="64014" spans="20:21" ht="15" customHeight="1" x14ac:dyDescent="0.25">
      <c r="T64014" s="135"/>
      <c r="U64014" s="135"/>
    </row>
    <row r="64015" spans="20:21" ht="15" customHeight="1" x14ac:dyDescent="0.25">
      <c r="T64015" s="135"/>
      <c r="U64015" s="135"/>
    </row>
    <row r="64016" spans="20:21" ht="15" customHeight="1" x14ac:dyDescent="0.25">
      <c r="T64016" s="135"/>
      <c r="U64016" s="135"/>
    </row>
    <row r="64017" spans="20:21" ht="15" customHeight="1" x14ac:dyDescent="0.25">
      <c r="T64017" s="135"/>
      <c r="U64017" s="135"/>
    </row>
    <row r="64018" spans="20:21" ht="15" customHeight="1" x14ac:dyDescent="0.25">
      <c r="T64018" s="135"/>
      <c r="U64018" s="135"/>
    </row>
    <row r="64019" spans="20:21" ht="15" customHeight="1" x14ac:dyDescent="0.25">
      <c r="T64019" s="135"/>
      <c r="U64019" s="135"/>
    </row>
    <row r="64020" spans="20:21" ht="15" customHeight="1" x14ac:dyDescent="0.25">
      <c r="T64020" s="135"/>
      <c r="U64020" s="135"/>
    </row>
    <row r="64021" spans="20:21" ht="15" customHeight="1" x14ac:dyDescent="0.25">
      <c r="T64021" s="135"/>
      <c r="U64021" s="135"/>
    </row>
    <row r="64022" spans="20:21" ht="15" customHeight="1" x14ac:dyDescent="0.25">
      <c r="T64022" s="135"/>
      <c r="U64022" s="135"/>
    </row>
    <row r="64023" spans="20:21" ht="15" customHeight="1" x14ac:dyDescent="0.25">
      <c r="T64023" s="135"/>
      <c r="U64023" s="135"/>
    </row>
    <row r="64024" spans="20:21" ht="15" customHeight="1" x14ac:dyDescent="0.25">
      <c r="T64024" s="135"/>
      <c r="U64024" s="135"/>
    </row>
    <row r="64025" spans="20:21" ht="15" customHeight="1" x14ac:dyDescent="0.25">
      <c r="T64025" s="135"/>
      <c r="U64025" s="135"/>
    </row>
    <row r="64026" spans="20:21" ht="15" customHeight="1" x14ac:dyDescent="0.25">
      <c r="T64026" s="135"/>
      <c r="U64026" s="135"/>
    </row>
    <row r="64027" spans="20:21" ht="15" customHeight="1" x14ac:dyDescent="0.25">
      <c r="T64027" s="135"/>
      <c r="U64027" s="135"/>
    </row>
    <row r="64028" spans="20:21" ht="15" customHeight="1" x14ac:dyDescent="0.25">
      <c r="T64028" s="135"/>
      <c r="U64028" s="135"/>
    </row>
    <row r="64029" spans="20:21" ht="15" customHeight="1" x14ac:dyDescent="0.25">
      <c r="T64029" s="135"/>
      <c r="U64029" s="135"/>
    </row>
    <row r="64030" spans="20:21" ht="15" customHeight="1" x14ac:dyDescent="0.25">
      <c r="T64030" s="135"/>
      <c r="U64030" s="135"/>
    </row>
    <row r="64031" spans="20:21" ht="15" customHeight="1" x14ac:dyDescent="0.25">
      <c r="T64031" s="135"/>
      <c r="U64031" s="135"/>
    </row>
    <row r="64032" spans="20:21" ht="15" customHeight="1" x14ac:dyDescent="0.25">
      <c r="T64032" s="135"/>
      <c r="U64032" s="135"/>
    </row>
    <row r="64033" spans="20:21" ht="15" customHeight="1" x14ac:dyDescent="0.25">
      <c r="T64033" s="135"/>
      <c r="U64033" s="135"/>
    </row>
    <row r="64034" spans="20:21" ht="15" customHeight="1" x14ac:dyDescent="0.25">
      <c r="T64034" s="135"/>
      <c r="U64034" s="135"/>
    </row>
    <row r="64035" spans="20:21" ht="15" customHeight="1" x14ac:dyDescent="0.25">
      <c r="T64035" s="135"/>
      <c r="U64035" s="135"/>
    </row>
    <row r="64036" spans="20:21" ht="15" customHeight="1" x14ac:dyDescent="0.25">
      <c r="T64036" s="135"/>
      <c r="U64036" s="135"/>
    </row>
    <row r="64037" spans="20:21" ht="15" customHeight="1" x14ac:dyDescent="0.25">
      <c r="T64037" s="135"/>
      <c r="U64037" s="135"/>
    </row>
    <row r="64038" spans="20:21" ht="15" customHeight="1" x14ac:dyDescent="0.25">
      <c r="T64038" s="135"/>
      <c r="U64038" s="135"/>
    </row>
    <row r="64039" spans="20:21" ht="15" customHeight="1" x14ac:dyDescent="0.25">
      <c r="T64039" s="135"/>
      <c r="U64039" s="135"/>
    </row>
    <row r="64040" spans="20:21" ht="15" customHeight="1" x14ac:dyDescent="0.25">
      <c r="T64040" s="135"/>
      <c r="U64040" s="135"/>
    </row>
    <row r="64041" spans="20:21" ht="15" customHeight="1" x14ac:dyDescent="0.25">
      <c r="T64041" s="135"/>
      <c r="U64041" s="135"/>
    </row>
    <row r="64042" spans="20:21" ht="15" customHeight="1" x14ac:dyDescent="0.25">
      <c r="T64042" s="135"/>
      <c r="U64042" s="135"/>
    </row>
    <row r="64043" spans="20:21" ht="15" customHeight="1" x14ac:dyDescent="0.25">
      <c r="T64043" s="135"/>
      <c r="U64043" s="135"/>
    </row>
    <row r="64044" spans="20:21" ht="15" customHeight="1" x14ac:dyDescent="0.25">
      <c r="T64044" s="135"/>
      <c r="U64044" s="135"/>
    </row>
    <row r="64045" spans="20:21" ht="15" customHeight="1" x14ac:dyDescent="0.25">
      <c r="T64045" s="135"/>
      <c r="U64045" s="135"/>
    </row>
    <row r="64046" spans="20:21" ht="15" customHeight="1" x14ac:dyDescent="0.25">
      <c r="T64046" s="135"/>
      <c r="U64046" s="135"/>
    </row>
    <row r="64047" spans="20:21" ht="15" customHeight="1" x14ac:dyDescent="0.25">
      <c r="T64047" s="135"/>
      <c r="U64047" s="135"/>
    </row>
    <row r="64048" spans="20:21" ht="15" customHeight="1" x14ac:dyDescent="0.25">
      <c r="T64048" s="135"/>
      <c r="U64048" s="135"/>
    </row>
    <row r="64049" spans="20:21" ht="15" customHeight="1" x14ac:dyDescent="0.25">
      <c r="T64049" s="135"/>
      <c r="U64049" s="135"/>
    </row>
    <row r="64050" spans="20:21" ht="15" customHeight="1" x14ac:dyDescent="0.25">
      <c r="T64050" s="135"/>
      <c r="U64050" s="135"/>
    </row>
    <row r="64051" spans="20:21" ht="15" customHeight="1" x14ac:dyDescent="0.25">
      <c r="T64051" s="135"/>
      <c r="U64051" s="135"/>
    </row>
    <row r="64052" spans="20:21" ht="15" customHeight="1" x14ac:dyDescent="0.25">
      <c r="T64052" s="135"/>
      <c r="U64052" s="135"/>
    </row>
    <row r="64053" spans="20:21" ht="15" customHeight="1" x14ac:dyDescent="0.25">
      <c r="T64053" s="135"/>
      <c r="U64053" s="135"/>
    </row>
    <row r="64054" spans="20:21" ht="15" customHeight="1" x14ac:dyDescent="0.25">
      <c r="T64054" s="135"/>
      <c r="U64054" s="135"/>
    </row>
    <row r="64055" spans="20:21" ht="15" customHeight="1" x14ac:dyDescent="0.25">
      <c r="T64055" s="135"/>
      <c r="U64055" s="135"/>
    </row>
    <row r="64056" spans="20:21" ht="15" customHeight="1" x14ac:dyDescent="0.25">
      <c r="T64056" s="135"/>
      <c r="U64056" s="135"/>
    </row>
    <row r="64057" spans="20:21" ht="15" customHeight="1" x14ac:dyDescent="0.25">
      <c r="T64057" s="135"/>
      <c r="U64057" s="135"/>
    </row>
    <row r="64058" spans="20:21" ht="15" customHeight="1" x14ac:dyDescent="0.25">
      <c r="T64058" s="135"/>
      <c r="U64058" s="135"/>
    </row>
    <row r="64059" spans="20:21" ht="15" customHeight="1" x14ac:dyDescent="0.25">
      <c r="T64059" s="135"/>
      <c r="U64059" s="135"/>
    </row>
    <row r="64060" spans="20:21" ht="15" customHeight="1" x14ac:dyDescent="0.25">
      <c r="T64060" s="135"/>
      <c r="U64060" s="135"/>
    </row>
    <row r="64061" spans="20:21" ht="15" customHeight="1" x14ac:dyDescent="0.25">
      <c r="T64061" s="135"/>
      <c r="U64061" s="135"/>
    </row>
    <row r="64062" spans="20:21" ht="15" customHeight="1" x14ac:dyDescent="0.25">
      <c r="T64062" s="135"/>
      <c r="U64062" s="135"/>
    </row>
    <row r="64063" spans="20:21" ht="15" customHeight="1" x14ac:dyDescent="0.25">
      <c r="T64063" s="135"/>
      <c r="U64063" s="135"/>
    </row>
    <row r="64064" spans="20:21" ht="15" customHeight="1" x14ac:dyDescent="0.25">
      <c r="T64064" s="135"/>
      <c r="U64064" s="135"/>
    </row>
    <row r="64065" spans="20:21" ht="15" customHeight="1" x14ac:dyDescent="0.25">
      <c r="T64065" s="135"/>
      <c r="U64065" s="135"/>
    </row>
    <row r="64066" spans="20:21" ht="15" customHeight="1" x14ac:dyDescent="0.25">
      <c r="T64066" s="135"/>
      <c r="U64066" s="135"/>
    </row>
    <row r="64067" spans="20:21" ht="15" customHeight="1" x14ac:dyDescent="0.25">
      <c r="T64067" s="135"/>
      <c r="U64067" s="135"/>
    </row>
    <row r="64068" spans="20:21" ht="15" customHeight="1" x14ac:dyDescent="0.25">
      <c r="T64068" s="135"/>
      <c r="U64068" s="135"/>
    </row>
    <row r="64069" spans="20:21" ht="15" customHeight="1" x14ac:dyDescent="0.25">
      <c r="T64069" s="135"/>
      <c r="U64069" s="135"/>
    </row>
    <row r="64070" spans="20:21" ht="15" customHeight="1" x14ac:dyDescent="0.25">
      <c r="T64070" s="135"/>
      <c r="U64070" s="135"/>
    </row>
    <row r="64071" spans="20:21" ht="15" customHeight="1" x14ac:dyDescent="0.25">
      <c r="T64071" s="135"/>
      <c r="U64071" s="135"/>
    </row>
    <row r="64072" spans="20:21" ht="15" customHeight="1" x14ac:dyDescent="0.25">
      <c r="T64072" s="135"/>
      <c r="U64072" s="135"/>
    </row>
    <row r="64073" spans="20:21" ht="15" customHeight="1" x14ac:dyDescent="0.25">
      <c r="T64073" s="135"/>
      <c r="U64073" s="135"/>
    </row>
    <row r="64074" spans="20:21" ht="15" customHeight="1" x14ac:dyDescent="0.25">
      <c r="T64074" s="135"/>
      <c r="U64074" s="135"/>
    </row>
    <row r="64075" spans="20:21" ht="15" customHeight="1" x14ac:dyDescent="0.25">
      <c r="T64075" s="135"/>
      <c r="U64075" s="135"/>
    </row>
    <row r="64076" spans="20:21" ht="15" customHeight="1" x14ac:dyDescent="0.25">
      <c r="T64076" s="135"/>
      <c r="U64076" s="135"/>
    </row>
    <row r="64077" spans="20:21" ht="15" customHeight="1" x14ac:dyDescent="0.25">
      <c r="T64077" s="135"/>
      <c r="U64077" s="135"/>
    </row>
    <row r="64078" spans="20:21" ht="15" customHeight="1" x14ac:dyDescent="0.25">
      <c r="T64078" s="135"/>
      <c r="U64078" s="135"/>
    </row>
    <row r="64079" spans="20:21" ht="15" customHeight="1" x14ac:dyDescent="0.25">
      <c r="T64079" s="135"/>
      <c r="U64079" s="135"/>
    </row>
    <row r="64080" spans="20:21" ht="15" customHeight="1" x14ac:dyDescent="0.25">
      <c r="T64080" s="135"/>
      <c r="U64080" s="135"/>
    </row>
    <row r="64081" spans="20:21" ht="15" customHeight="1" x14ac:dyDescent="0.25">
      <c r="T64081" s="135"/>
      <c r="U64081" s="135"/>
    </row>
    <row r="64082" spans="20:21" ht="15" customHeight="1" x14ac:dyDescent="0.25">
      <c r="T64082" s="135"/>
      <c r="U64082" s="135"/>
    </row>
    <row r="64083" spans="20:21" ht="15" customHeight="1" x14ac:dyDescent="0.25">
      <c r="T64083" s="135"/>
      <c r="U64083" s="135"/>
    </row>
    <row r="64084" spans="20:21" ht="15" customHeight="1" x14ac:dyDescent="0.25">
      <c r="T64084" s="135"/>
      <c r="U64084" s="135"/>
    </row>
    <row r="64085" spans="20:21" ht="15" customHeight="1" x14ac:dyDescent="0.25">
      <c r="T64085" s="135"/>
      <c r="U64085" s="135"/>
    </row>
    <row r="64086" spans="20:21" ht="15" customHeight="1" x14ac:dyDescent="0.25">
      <c r="T64086" s="135"/>
      <c r="U64086" s="135"/>
    </row>
    <row r="64087" spans="20:21" ht="15" customHeight="1" x14ac:dyDescent="0.25">
      <c r="T64087" s="135"/>
      <c r="U64087" s="135"/>
    </row>
    <row r="64088" spans="20:21" ht="15" customHeight="1" x14ac:dyDescent="0.25">
      <c r="T64088" s="135"/>
      <c r="U64088" s="135"/>
    </row>
    <row r="64089" spans="20:21" ht="15" customHeight="1" x14ac:dyDescent="0.25">
      <c r="T64089" s="135"/>
      <c r="U64089" s="135"/>
    </row>
    <row r="64090" spans="20:21" ht="15" customHeight="1" x14ac:dyDescent="0.25">
      <c r="T64090" s="135"/>
      <c r="U64090" s="135"/>
    </row>
    <row r="64091" spans="20:21" ht="15" customHeight="1" x14ac:dyDescent="0.25">
      <c r="T64091" s="135"/>
      <c r="U64091" s="135"/>
    </row>
    <row r="64092" spans="20:21" ht="15" customHeight="1" x14ac:dyDescent="0.25">
      <c r="T64092" s="135"/>
      <c r="U64092" s="135"/>
    </row>
    <row r="64093" spans="20:21" ht="15" customHeight="1" x14ac:dyDescent="0.25">
      <c r="T64093" s="135"/>
      <c r="U64093" s="135"/>
    </row>
    <row r="64094" spans="20:21" ht="15" customHeight="1" x14ac:dyDescent="0.25">
      <c r="T64094" s="135"/>
      <c r="U64094" s="135"/>
    </row>
    <row r="64095" spans="20:21" ht="15" customHeight="1" x14ac:dyDescent="0.25">
      <c r="T64095" s="135"/>
      <c r="U64095" s="135"/>
    </row>
    <row r="64096" spans="20:21" ht="15" customHeight="1" x14ac:dyDescent="0.25">
      <c r="T64096" s="135"/>
      <c r="U64096" s="135"/>
    </row>
    <row r="64097" spans="20:21" ht="15" customHeight="1" x14ac:dyDescent="0.25">
      <c r="T64097" s="135"/>
      <c r="U64097" s="135"/>
    </row>
    <row r="64098" spans="20:21" ht="15" customHeight="1" x14ac:dyDescent="0.25">
      <c r="T64098" s="135"/>
      <c r="U64098" s="135"/>
    </row>
    <row r="64099" spans="20:21" ht="15" customHeight="1" x14ac:dyDescent="0.25">
      <c r="T64099" s="135"/>
      <c r="U64099" s="135"/>
    </row>
    <row r="64100" spans="20:21" ht="15" customHeight="1" x14ac:dyDescent="0.25">
      <c r="T64100" s="135"/>
      <c r="U64100" s="135"/>
    </row>
    <row r="64101" spans="20:21" ht="15" customHeight="1" x14ac:dyDescent="0.25">
      <c r="T64101" s="135"/>
      <c r="U64101" s="135"/>
    </row>
    <row r="64102" spans="20:21" ht="15" customHeight="1" x14ac:dyDescent="0.25">
      <c r="T64102" s="135"/>
      <c r="U64102" s="135"/>
    </row>
    <row r="64103" spans="20:21" ht="15" customHeight="1" x14ac:dyDescent="0.25">
      <c r="T64103" s="135"/>
      <c r="U64103" s="135"/>
    </row>
    <row r="64104" spans="20:21" ht="15" customHeight="1" x14ac:dyDescent="0.25">
      <c r="T64104" s="135"/>
      <c r="U64104" s="135"/>
    </row>
    <row r="64105" spans="20:21" ht="15" customHeight="1" x14ac:dyDescent="0.25">
      <c r="T64105" s="135"/>
      <c r="U64105" s="135"/>
    </row>
    <row r="64106" spans="20:21" ht="15" customHeight="1" x14ac:dyDescent="0.25">
      <c r="T64106" s="135"/>
      <c r="U64106" s="135"/>
    </row>
    <row r="64107" spans="20:21" ht="15" customHeight="1" x14ac:dyDescent="0.25">
      <c r="T64107" s="135"/>
      <c r="U64107" s="135"/>
    </row>
    <row r="64108" spans="20:21" ht="15" customHeight="1" x14ac:dyDescent="0.25">
      <c r="T64108" s="135"/>
      <c r="U64108" s="135"/>
    </row>
    <row r="64109" spans="20:21" ht="15" customHeight="1" x14ac:dyDescent="0.25">
      <c r="T64109" s="135"/>
      <c r="U64109" s="135"/>
    </row>
    <row r="64110" spans="20:21" ht="15" customHeight="1" x14ac:dyDescent="0.25">
      <c r="T64110" s="135"/>
      <c r="U64110" s="135"/>
    </row>
    <row r="64111" spans="20:21" ht="15" customHeight="1" x14ac:dyDescent="0.25">
      <c r="T64111" s="135"/>
      <c r="U64111" s="135"/>
    </row>
    <row r="64112" spans="20:21" ht="15" customHeight="1" x14ac:dyDescent="0.25">
      <c r="T64112" s="135"/>
      <c r="U64112" s="135"/>
    </row>
    <row r="64113" spans="20:21" ht="15" customHeight="1" x14ac:dyDescent="0.25">
      <c r="T64113" s="135"/>
      <c r="U64113" s="135"/>
    </row>
    <row r="64114" spans="20:21" ht="15" customHeight="1" x14ac:dyDescent="0.25">
      <c r="T64114" s="135"/>
      <c r="U64114" s="135"/>
    </row>
    <row r="64115" spans="20:21" ht="15" customHeight="1" x14ac:dyDescent="0.25">
      <c r="T64115" s="135"/>
      <c r="U64115" s="135"/>
    </row>
    <row r="64116" spans="20:21" ht="15" customHeight="1" x14ac:dyDescent="0.25">
      <c r="T64116" s="135"/>
      <c r="U64116" s="135"/>
    </row>
    <row r="64117" spans="20:21" ht="15" customHeight="1" x14ac:dyDescent="0.25">
      <c r="T64117" s="135"/>
      <c r="U64117" s="135"/>
    </row>
    <row r="64118" spans="20:21" ht="15" customHeight="1" x14ac:dyDescent="0.25">
      <c r="T64118" s="135"/>
      <c r="U64118" s="135"/>
    </row>
    <row r="64119" spans="20:21" ht="15" customHeight="1" x14ac:dyDescent="0.25">
      <c r="T64119" s="135"/>
      <c r="U64119" s="135"/>
    </row>
    <row r="64120" spans="20:21" ht="15" customHeight="1" x14ac:dyDescent="0.25">
      <c r="T64120" s="135"/>
      <c r="U64120" s="135"/>
    </row>
    <row r="64121" spans="20:21" ht="15" customHeight="1" x14ac:dyDescent="0.25">
      <c r="T64121" s="135"/>
      <c r="U64121" s="135"/>
    </row>
    <row r="64122" spans="20:21" ht="15" customHeight="1" x14ac:dyDescent="0.25">
      <c r="T64122" s="135"/>
      <c r="U64122" s="135"/>
    </row>
    <row r="64123" spans="20:21" ht="15" customHeight="1" x14ac:dyDescent="0.25">
      <c r="T64123" s="135"/>
      <c r="U64123" s="135"/>
    </row>
    <row r="64124" spans="20:21" ht="15" customHeight="1" x14ac:dyDescent="0.25">
      <c r="T64124" s="135"/>
      <c r="U64124" s="135"/>
    </row>
    <row r="64125" spans="20:21" ht="15" customHeight="1" x14ac:dyDescent="0.25">
      <c r="T64125" s="135"/>
      <c r="U64125" s="135"/>
    </row>
    <row r="64126" spans="20:21" ht="15" customHeight="1" x14ac:dyDescent="0.25">
      <c r="T64126" s="135"/>
      <c r="U64126" s="135"/>
    </row>
    <row r="64127" spans="20:21" ht="15" customHeight="1" x14ac:dyDescent="0.25">
      <c r="T64127" s="135"/>
      <c r="U64127" s="135"/>
    </row>
    <row r="64128" spans="20:21" ht="15" customHeight="1" x14ac:dyDescent="0.25">
      <c r="T64128" s="135"/>
      <c r="U64128" s="135"/>
    </row>
    <row r="64129" spans="20:21" ht="15" customHeight="1" x14ac:dyDescent="0.25">
      <c r="T64129" s="135"/>
      <c r="U64129" s="135"/>
    </row>
    <row r="64130" spans="20:21" ht="15" customHeight="1" x14ac:dyDescent="0.25">
      <c r="T64130" s="135"/>
      <c r="U64130" s="135"/>
    </row>
    <row r="64131" spans="20:21" ht="15" customHeight="1" x14ac:dyDescent="0.25">
      <c r="T64131" s="135"/>
      <c r="U64131" s="135"/>
    </row>
    <row r="64132" spans="20:21" ht="15" customHeight="1" x14ac:dyDescent="0.25">
      <c r="T64132" s="135"/>
      <c r="U64132" s="135"/>
    </row>
    <row r="64133" spans="20:21" ht="15" customHeight="1" x14ac:dyDescent="0.25">
      <c r="T64133" s="135"/>
      <c r="U64133" s="135"/>
    </row>
    <row r="64134" spans="20:21" ht="15" customHeight="1" x14ac:dyDescent="0.25">
      <c r="T64134" s="135"/>
      <c r="U64134" s="135"/>
    </row>
    <row r="64135" spans="20:21" ht="15" customHeight="1" x14ac:dyDescent="0.25">
      <c r="T64135" s="135"/>
      <c r="U64135" s="135"/>
    </row>
    <row r="64136" spans="20:21" ht="15" customHeight="1" x14ac:dyDescent="0.25">
      <c r="T64136" s="135"/>
      <c r="U64136" s="135"/>
    </row>
    <row r="64137" spans="20:21" ht="15" customHeight="1" x14ac:dyDescent="0.25">
      <c r="T64137" s="135"/>
      <c r="U64137" s="135"/>
    </row>
    <row r="64138" spans="20:21" ht="15" customHeight="1" x14ac:dyDescent="0.25">
      <c r="T64138" s="135"/>
      <c r="U64138" s="135"/>
    </row>
    <row r="64139" spans="20:21" ht="15" customHeight="1" x14ac:dyDescent="0.25">
      <c r="T64139" s="135"/>
      <c r="U64139" s="135"/>
    </row>
    <row r="64140" spans="20:21" ht="15" customHeight="1" x14ac:dyDescent="0.25">
      <c r="T64140" s="135"/>
      <c r="U64140" s="135"/>
    </row>
    <row r="64141" spans="20:21" ht="15" customHeight="1" x14ac:dyDescent="0.25">
      <c r="T64141" s="135"/>
      <c r="U64141" s="135"/>
    </row>
    <row r="64142" spans="20:21" ht="15" customHeight="1" x14ac:dyDescent="0.25">
      <c r="T64142" s="135"/>
      <c r="U64142" s="135"/>
    </row>
    <row r="64143" spans="20:21" ht="15" customHeight="1" x14ac:dyDescent="0.25">
      <c r="T64143" s="135"/>
      <c r="U64143" s="135"/>
    </row>
    <row r="64144" spans="20:21" ht="15" customHeight="1" x14ac:dyDescent="0.25">
      <c r="T64144" s="135"/>
      <c r="U64144" s="135"/>
    </row>
    <row r="64145" spans="20:21" ht="15" customHeight="1" x14ac:dyDescent="0.25">
      <c r="T64145" s="135"/>
      <c r="U64145" s="135"/>
    </row>
    <row r="64146" spans="20:21" ht="15" customHeight="1" x14ac:dyDescent="0.25">
      <c r="T64146" s="135"/>
      <c r="U64146" s="135"/>
    </row>
    <row r="64147" spans="20:21" ht="15" customHeight="1" x14ac:dyDescent="0.25">
      <c r="T64147" s="135"/>
      <c r="U64147" s="135"/>
    </row>
    <row r="64148" spans="20:21" ht="15" customHeight="1" x14ac:dyDescent="0.25">
      <c r="T64148" s="135"/>
      <c r="U64148" s="135"/>
    </row>
    <row r="64149" spans="20:21" ht="15" customHeight="1" x14ac:dyDescent="0.25">
      <c r="T64149" s="135"/>
      <c r="U64149" s="135"/>
    </row>
    <row r="64150" spans="20:21" ht="15" customHeight="1" x14ac:dyDescent="0.25">
      <c r="T64150" s="135"/>
      <c r="U64150" s="135"/>
    </row>
    <row r="64151" spans="20:21" ht="15" customHeight="1" x14ac:dyDescent="0.25">
      <c r="T64151" s="135"/>
      <c r="U64151" s="135"/>
    </row>
    <row r="64152" spans="20:21" ht="15" customHeight="1" x14ac:dyDescent="0.25">
      <c r="T64152" s="135"/>
      <c r="U64152" s="135"/>
    </row>
    <row r="64153" spans="20:21" ht="15" customHeight="1" x14ac:dyDescent="0.25">
      <c r="T64153" s="135"/>
      <c r="U64153" s="135"/>
    </row>
    <row r="64154" spans="20:21" ht="15" customHeight="1" x14ac:dyDescent="0.25">
      <c r="T64154" s="135"/>
      <c r="U64154" s="135"/>
    </row>
    <row r="64155" spans="20:21" ht="15" customHeight="1" x14ac:dyDescent="0.25">
      <c r="T64155" s="135"/>
      <c r="U64155" s="135"/>
    </row>
    <row r="64156" spans="20:21" ht="15" customHeight="1" x14ac:dyDescent="0.25">
      <c r="T64156" s="135"/>
      <c r="U64156" s="135"/>
    </row>
    <row r="64157" spans="20:21" ht="15" customHeight="1" x14ac:dyDescent="0.25">
      <c r="T64157" s="135"/>
      <c r="U64157" s="135"/>
    </row>
    <row r="64158" spans="20:21" ht="15" customHeight="1" x14ac:dyDescent="0.25">
      <c r="T64158" s="135"/>
      <c r="U64158" s="135"/>
    </row>
    <row r="64159" spans="20:21" ht="15" customHeight="1" x14ac:dyDescent="0.25">
      <c r="T64159" s="135"/>
      <c r="U64159" s="135"/>
    </row>
    <row r="64160" spans="20:21" ht="15" customHeight="1" x14ac:dyDescent="0.25">
      <c r="T64160" s="135"/>
      <c r="U64160" s="135"/>
    </row>
    <row r="64161" spans="20:21" ht="15" customHeight="1" x14ac:dyDescent="0.25">
      <c r="T64161" s="135"/>
      <c r="U64161" s="135"/>
    </row>
    <row r="64162" spans="20:21" ht="15" customHeight="1" x14ac:dyDescent="0.25">
      <c r="T64162" s="135"/>
      <c r="U64162" s="135"/>
    </row>
    <row r="64163" spans="20:21" ht="15" customHeight="1" x14ac:dyDescent="0.25">
      <c r="T64163" s="135"/>
      <c r="U64163" s="135"/>
    </row>
    <row r="64164" spans="20:21" ht="15" customHeight="1" x14ac:dyDescent="0.25">
      <c r="T64164" s="135"/>
      <c r="U64164" s="135"/>
    </row>
    <row r="64165" spans="20:21" ht="15" customHeight="1" x14ac:dyDescent="0.25">
      <c r="T64165" s="135"/>
      <c r="U64165" s="135"/>
    </row>
    <row r="64166" spans="20:21" ht="15" customHeight="1" x14ac:dyDescent="0.25">
      <c r="T64166" s="135"/>
      <c r="U64166" s="135"/>
    </row>
    <row r="64167" spans="20:21" ht="15" customHeight="1" x14ac:dyDescent="0.25">
      <c r="T64167" s="135"/>
      <c r="U64167" s="135"/>
    </row>
    <row r="64168" spans="20:21" ht="15" customHeight="1" x14ac:dyDescent="0.25">
      <c r="T64168" s="135"/>
      <c r="U64168" s="135"/>
    </row>
    <row r="64169" spans="20:21" ht="15" customHeight="1" x14ac:dyDescent="0.25">
      <c r="T64169" s="135"/>
      <c r="U64169" s="135"/>
    </row>
    <row r="64170" spans="20:21" ht="15" customHeight="1" x14ac:dyDescent="0.25">
      <c r="T64170" s="135"/>
      <c r="U64170" s="135"/>
    </row>
    <row r="64171" spans="20:21" ht="15" customHeight="1" x14ac:dyDescent="0.25">
      <c r="T64171" s="135"/>
      <c r="U64171" s="135"/>
    </row>
    <row r="64172" spans="20:21" ht="15" customHeight="1" x14ac:dyDescent="0.25">
      <c r="T64172" s="135"/>
      <c r="U64172" s="135"/>
    </row>
    <row r="64173" spans="20:21" ht="15" customHeight="1" x14ac:dyDescent="0.25">
      <c r="T64173" s="135"/>
      <c r="U64173" s="135"/>
    </row>
    <row r="64174" spans="20:21" ht="15" customHeight="1" x14ac:dyDescent="0.25">
      <c r="T64174" s="135"/>
      <c r="U64174" s="135"/>
    </row>
    <row r="64175" spans="20:21" ht="15" customHeight="1" x14ac:dyDescent="0.25">
      <c r="T64175" s="135"/>
      <c r="U64175" s="135"/>
    </row>
    <row r="64176" spans="20:21" ht="15" customHeight="1" x14ac:dyDescent="0.25">
      <c r="T64176" s="135"/>
      <c r="U64176" s="135"/>
    </row>
    <row r="64177" spans="20:21" ht="15" customHeight="1" x14ac:dyDescent="0.25">
      <c r="T64177" s="135"/>
      <c r="U64177" s="135"/>
    </row>
    <row r="64178" spans="20:21" ht="15" customHeight="1" x14ac:dyDescent="0.25">
      <c r="T64178" s="135"/>
      <c r="U64178" s="135"/>
    </row>
    <row r="64179" spans="20:21" ht="15" customHeight="1" x14ac:dyDescent="0.25">
      <c r="T64179" s="135"/>
      <c r="U64179" s="135"/>
    </row>
    <row r="64180" spans="20:21" ht="15" customHeight="1" x14ac:dyDescent="0.25">
      <c r="T64180" s="135"/>
      <c r="U64180" s="135"/>
    </row>
    <row r="64181" spans="20:21" ht="15" customHeight="1" x14ac:dyDescent="0.25">
      <c r="T64181" s="135"/>
      <c r="U64181" s="135"/>
    </row>
    <row r="64182" spans="20:21" ht="15" customHeight="1" x14ac:dyDescent="0.25">
      <c r="T64182" s="135"/>
      <c r="U64182" s="135"/>
    </row>
    <row r="64183" spans="20:21" ht="15" customHeight="1" x14ac:dyDescent="0.25">
      <c r="T64183" s="135"/>
      <c r="U64183" s="135"/>
    </row>
    <row r="64184" spans="20:21" ht="15" customHeight="1" x14ac:dyDescent="0.25">
      <c r="T64184" s="135"/>
      <c r="U64184" s="135"/>
    </row>
    <row r="64185" spans="20:21" ht="15" customHeight="1" x14ac:dyDescent="0.25">
      <c r="T64185" s="135"/>
      <c r="U64185" s="135"/>
    </row>
    <row r="64186" spans="20:21" ht="15" customHeight="1" x14ac:dyDescent="0.25">
      <c r="T64186" s="135"/>
      <c r="U64186" s="135"/>
    </row>
    <row r="64187" spans="20:21" ht="15" customHeight="1" x14ac:dyDescent="0.25">
      <c r="T64187" s="135"/>
      <c r="U64187" s="135"/>
    </row>
    <row r="64188" spans="20:21" ht="15" customHeight="1" x14ac:dyDescent="0.25">
      <c r="T64188" s="135"/>
      <c r="U64188" s="135"/>
    </row>
    <row r="64189" spans="20:21" ht="15" customHeight="1" x14ac:dyDescent="0.25">
      <c r="T64189" s="135"/>
      <c r="U64189" s="135"/>
    </row>
    <row r="64190" spans="20:21" ht="15" customHeight="1" x14ac:dyDescent="0.25">
      <c r="T64190" s="135"/>
      <c r="U64190" s="135"/>
    </row>
    <row r="64191" spans="20:21" ht="15" customHeight="1" x14ac:dyDescent="0.25">
      <c r="T64191" s="135"/>
      <c r="U64191" s="135"/>
    </row>
    <row r="64192" spans="20:21" ht="15" customHeight="1" x14ac:dyDescent="0.25">
      <c r="T64192" s="135"/>
      <c r="U64192" s="135"/>
    </row>
    <row r="64193" spans="20:21" ht="15" customHeight="1" x14ac:dyDescent="0.25">
      <c r="T64193" s="135"/>
      <c r="U64193" s="135"/>
    </row>
    <row r="64194" spans="20:21" ht="15" customHeight="1" x14ac:dyDescent="0.25">
      <c r="T64194" s="135"/>
      <c r="U64194" s="135"/>
    </row>
    <row r="64195" spans="20:21" ht="15" customHeight="1" x14ac:dyDescent="0.25">
      <c r="T64195" s="135"/>
      <c r="U64195" s="135"/>
    </row>
    <row r="64196" spans="20:21" ht="15" customHeight="1" x14ac:dyDescent="0.25">
      <c r="T64196" s="135"/>
      <c r="U64196" s="135"/>
    </row>
    <row r="64197" spans="20:21" ht="15" customHeight="1" x14ac:dyDescent="0.25">
      <c r="T64197" s="135"/>
      <c r="U64197" s="135"/>
    </row>
    <row r="64198" spans="20:21" ht="15" customHeight="1" x14ac:dyDescent="0.25">
      <c r="T64198" s="135"/>
      <c r="U64198" s="135"/>
    </row>
    <row r="64199" spans="20:21" ht="15" customHeight="1" x14ac:dyDescent="0.25">
      <c r="T64199" s="135"/>
      <c r="U64199" s="135"/>
    </row>
    <row r="64200" spans="20:21" ht="15" customHeight="1" x14ac:dyDescent="0.25">
      <c r="T64200" s="135"/>
      <c r="U64200" s="135"/>
    </row>
    <row r="64201" spans="20:21" ht="15" customHeight="1" x14ac:dyDescent="0.25">
      <c r="T64201" s="135"/>
      <c r="U64201" s="135"/>
    </row>
    <row r="64202" spans="20:21" ht="15" customHeight="1" x14ac:dyDescent="0.25">
      <c r="T64202" s="135"/>
      <c r="U64202" s="135"/>
    </row>
    <row r="64203" spans="20:21" ht="15" customHeight="1" x14ac:dyDescent="0.25">
      <c r="T64203" s="135"/>
      <c r="U64203" s="135"/>
    </row>
    <row r="64204" spans="20:21" ht="15" customHeight="1" x14ac:dyDescent="0.25">
      <c r="T64204" s="135"/>
      <c r="U64204" s="135"/>
    </row>
    <row r="64205" spans="20:21" ht="15" customHeight="1" x14ac:dyDescent="0.25">
      <c r="T64205" s="135"/>
      <c r="U64205" s="135"/>
    </row>
    <row r="64206" spans="20:21" ht="15" customHeight="1" x14ac:dyDescent="0.25">
      <c r="T64206" s="135"/>
      <c r="U64206" s="135"/>
    </row>
    <row r="64207" spans="20:21" ht="15" customHeight="1" x14ac:dyDescent="0.25">
      <c r="T64207" s="135"/>
      <c r="U64207" s="135"/>
    </row>
    <row r="64208" spans="20:21" ht="15" customHeight="1" x14ac:dyDescent="0.25">
      <c r="T64208" s="135"/>
      <c r="U64208" s="135"/>
    </row>
    <row r="64209" spans="20:21" ht="15" customHeight="1" x14ac:dyDescent="0.25">
      <c r="T64209" s="135"/>
      <c r="U64209" s="135"/>
    </row>
    <row r="64210" spans="20:21" ht="15" customHeight="1" x14ac:dyDescent="0.25">
      <c r="T64210" s="135"/>
      <c r="U64210" s="135"/>
    </row>
    <row r="64211" spans="20:21" ht="15" customHeight="1" x14ac:dyDescent="0.25">
      <c r="T64211" s="135"/>
      <c r="U64211" s="135"/>
    </row>
    <row r="64212" spans="20:21" ht="15" customHeight="1" x14ac:dyDescent="0.25">
      <c r="T64212" s="135"/>
      <c r="U64212" s="135"/>
    </row>
    <row r="64213" spans="20:21" ht="15" customHeight="1" x14ac:dyDescent="0.25">
      <c r="T64213" s="135"/>
      <c r="U64213" s="135"/>
    </row>
    <row r="64214" spans="20:21" ht="15" customHeight="1" x14ac:dyDescent="0.25">
      <c r="T64214" s="135"/>
      <c r="U64214" s="135"/>
    </row>
    <row r="64215" spans="20:21" ht="15" customHeight="1" x14ac:dyDescent="0.25">
      <c r="T64215" s="135"/>
      <c r="U64215" s="135"/>
    </row>
    <row r="64216" spans="20:21" ht="15" customHeight="1" x14ac:dyDescent="0.25">
      <c r="T64216" s="135"/>
      <c r="U64216" s="135"/>
    </row>
    <row r="64217" spans="20:21" ht="15" customHeight="1" x14ac:dyDescent="0.25">
      <c r="T64217" s="135"/>
      <c r="U64217" s="135"/>
    </row>
    <row r="64218" spans="20:21" ht="15" customHeight="1" x14ac:dyDescent="0.25">
      <c r="T64218" s="135"/>
      <c r="U64218" s="135"/>
    </row>
    <row r="64219" spans="20:21" ht="15" customHeight="1" x14ac:dyDescent="0.25">
      <c r="T64219" s="135"/>
      <c r="U64219" s="135"/>
    </row>
    <row r="64220" spans="20:21" ht="15" customHeight="1" x14ac:dyDescent="0.25">
      <c r="T64220" s="135"/>
      <c r="U64220" s="135"/>
    </row>
    <row r="64221" spans="20:21" ht="15" customHeight="1" x14ac:dyDescent="0.25">
      <c r="T64221" s="135"/>
      <c r="U64221" s="135"/>
    </row>
    <row r="64222" spans="20:21" ht="15" customHeight="1" x14ac:dyDescent="0.25">
      <c r="T64222" s="135"/>
      <c r="U64222" s="135"/>
    </row>
    <row r="64223" spans="20:21" ht="15" customHeight="1" x14ac:dyDescent="0.25">
      <c r="T64223" s="135"/>
      <c r="U64223" s="135"/>
    </row>
    <row r="64224" spans="20:21" ht="15" customHeight="1" x14ac:dyDescent="0.25">
      <c r="T64224" s="135"/>
      <c r="U64224" s="135"/>
    </row>
    <row r="64225" spans="20:21" ht="15" customHeight="1" x14ac:dyDescent="0.25">
      <c r="T64225" s="135"/>
      <c r="U64225" s="135"/>
    </row>
    <row r="64226" spans="20:21" ht="15" customHeight="1" x14ac:dyDescent="0.25">
      <c r="T64226" s="135"/>
      <c r="U64226" s="135"/>
    </row>
    <row r="64227" spans="20:21" ht="15" customHeight="1" x14ac:dyDescent="0.25">
      <c r="T64227" s="135"/>
      <c r="U64227" s="135"/>
    </row>
    <row r="64228" spans="20:21" ht="15" customHeight="1" x14ac:dyDescent="0.25">
      <c r="T64228" s="135"/>
      <c r="U64228" s="135"/>
    </row>
    <row r="64229" spans="20:21" ht="15" customHeight="1" x14ac:dyDescent="0.25">
      <c r="T64229" s="135"/>
      <c r="U64229" s="135"/>
    </row>
    <row r="64230" spans="20:21" ht="15" customHeight="1" x14ac:dyDescent="0.25">
      <c r="T64230" s="135"/>
      <c r="U64230" s="135"/>
    </row>
    <row r="64231" spans="20:21" ht="15" customHeight="1" x14ac:dyDescent="0.25">
      <c r="T64231" s="135"/>
      <c r="U64231" s="135"/>
    </row>
    <row r="64232" spans="20:21" ht="15" customHeight="1" x14ac:dyDescent="0.25">
      <c r="T64232" s="135"/>
      <c r="U64232" s="135"/>
    </row>
    <row r="64233" spans="20:21" ht="15" customHeight="1" x14ac:dyDescent="0.25">
      <c r="T64233" s="135"/>
      <c r="U64233" s="135"/>
    </row>
    <row r="64234" spans="20:21" ht="15" customHeight="1" x14ac:dyDescent="0.25">
      <c r="T64234" s="135"/>
      <c r="U64234" s="135"/>
    </row>
    <row r="64235" spans="20:21" ht="15" customHeight="1" x14ac:dyDescent="0.25">
      <c r="T64235" s="135"/>
      <c r="U64235" s="135"/>
    </row>
    <row r="64236" spans="20:21" ht="15" customHeight="1" x14ac:dyDescent="0.25">
      <c r="T64236" s="135"/>
      <c r="U64236" s="135"/>
    </row>
    <row r="64237" spans="20:21" ht="15" customHeight="1" x14ac:dyDescent="0.25">
      <c r="T64237" s="135"/>
      <c r="U64237" s="135"/>
    </row>
    <row r="64238" spans="20:21" ht="15" customHeight="1" x14ac:dyDescent="0.25">
      <c r="T64238" s="135"/>
      <c r="U64238" s="135"/>
    </row>
    <row r="64239" spans="20:21" ht="15" customHeight="1" x14ac:dyDescent="0.25">
      <c r="T64239" s="135"/>
      <c r="U64239" s="135"/>
    </row>
    <row r="64240" spans="20:21" ht="15" customHeight="1" x14ac:dyDescent="0.25">
      <c r="T64240" s="135"/>
      <c r="U64240" s="135"/>
    </row>
    <row r="64241" spans="20:21" ht="15" customHeight="1" x14ac:dyDescent="0.25">
      <c r="T64241" s="135"/>
      <c r="U64241" s="135"/>
    </row>
    <row r="64242" spans="20:21" ht="15" customHeight="1" x14ac:dyDescent="0.25">
      <c r="T64242" s="135"/>
      <c r="U64242" s="135"/>
    </row>
    <row r="64243" spans="20:21" ht="15" customHeight="1" x14ac:dyDescent="0.25">
      <c r="T64243" s="135"/>
      <c r="U64243" s="135"/>
    </row>
    <row r="64244" spans="20:21" ht="15" customHeight="1" x14ac:dyDescent="0.25">
      <c r="T64244" s="135"/>
      <c r="U64244" s="135"/>
    </row>
    <row r="64245" spans="20:21" ht="15" customHeight="1" x14ac:dyDescent="0.25">
      <c r="T64245" s="135"/>
      <c r="U64245" s="135"/>
    </row>
    <row r="64246" spans="20:21" ht="15" customHeight="1" x14ac:dyDescent="0.25">
      <c r="T64246" s="135"/>
      <c r="U64246" s="135"/>
    </row>
    <row r="64247" spans="20:21" ht="15" customHeight="1" x14ac:dyDescent="0.25">
      <c r="T64247" s="135"/>
      <c r="U64247" s="135"/>
    </row>
    <row r="64248" spans="20:21" ht="15" customHeight="1" x14ac:dyDescent="0.25">
      <c r="T64248" s="135"/>
      <c r="U64248" s="135"/>
    </row>
    <row r="64249" spans="20:21" ht="15" customHeight="1" x14ac:dyDescent="0.25">
      <c r="T64249" s="135"/>
      <c r="U64249" s="135"/>
    </row>
    <row r="64250" spans="20:21" ht="15" customHeight="1" x14ac:dyDescent="0.25">
      <c r="T64250" s="135"/>
      <c r="U64250" s="135"/>
    </row>
    <row r="64251" spans="20:21" ht="15" customHeight="1" x14ac:dyDescent="0.25">
      <c r="T64251" s="135"/>
      <c r="U64251" s="135"/>
    </row>
    <row r="64252" spans="20:21" ht="15" customHeight="1" x14ac:dyDescent="0.25">
      <c r="T64252" s="135"/>
      <c r="U64252" s="135"/>
    </row>
    <row r="64253" spans="20:21" ht="15" customHeight="1" x14ac:dyDescent="0.25">
      <c r="T64253" s="135"/>
      <c r="U64253" s="135"/>
    </row>
    <row r="64254" spans="20:21" ht="15" customHeight="1" x14ac:dyDescent="0.25">
      <c r="T64254" s="135"/>
      <c r="U64254" s="135"/>
    </row>
    <row r="64255" spans="20:21" ht="15" customHeight="1" x14ac:dyDescent="0.25">
      <c r="T64255" s="135"/>
      <c r="U64255" s="135"/>
    </row>
    <row r="64256" spans="20:21" ht="15" customHeight="1" x14ac:dyDescent="0.25">
      <c r="T64256" s="135"/>
      <c r="U64256" s="135"/>
    </row>
    <row r="64257" spans="20:21" ht="15" customHeight="1" x14ac:dyDescent="0.25">
      <c r="T64257" s="135"/>
      <c r="U64257" s="135"/>
    </row>
    <row r="64258" spans="20:21" ht="15" customHeight="1" x14ac:dyDescent="0.25">
      <c r="T64258" s="135"/>
      <c r="U64258" s="135"/>
    </row>
    <row r="64259" spans="20:21" ht="15" customHeight="1" x14ac:dyDescent="0.25">
      <c r="T64259" s="135"/>
      <c r="U64259" s="135"/>
    </row>
    <row r="64260" spans="20:21" ht="15" customHeight="1" x14ac:dyDescent="0.25">
      <c r="T64260" s="135"/>
      <c r="U64260" s="135"/>
    </row>
    <row r="64261" spans="20:21" ht="15" customHeight="1" x14ac:dyDescent="0.25">
      <c r="T64261" s="135"/>
      <c r="U64261" s="135"/>
    </row>
    <row r="64262" spans="20:21" ht="15" customHeight="1" x14ac:dyDescent="0.25">
      <c r="T64262" s="135"/>
      <c r="U64262" s="135"/>
    </row>
    <row r="64263" spans="20:21" ht="15" customHeight="1" x14ac:dyDescent="0.25">
      <c r="T64263" s="135"/>
      <c r="U64263" s="135"/>
    </row>
    <row r="64264" spans="20:21" ht="15" customHeight="1" x14ac:dyDescent="0.25">
      <c r="T64264" s="135"/>
      <c r="U64264" s="135"/>
    </row>
    <row r="64265" spans="20:21" ht="15" customHeight="1" x14ac:dyDescent="0.25">
      <c r="T64265" s="135"/>
      <c r="U64265" s="135"/>
    </row>
    <row r="64266" spans="20:21" ht="15" customHeight="1" x14ac:dyDescent="0.25">
      <c r="T64266" s="135"/>
      <c r="U64266" s="135"/>
    </row>
    <row r="64267" spans="20:21" ht="15" customHeight="1" x14ac:dyDescent="0.25">
      <c r="T64267" s="135"/>
      <c r="U64267" s="135"/>
    </row>
    <row r="64268" spans="20:21" ht="15" customHeight="1" x14ac:dyDescent="0.25">
      <c r="T64268" s="135"/>
      <c r="U64268" s="135"/>
    </row>
    <row r="64269" spans="20:21" ht="15" customHeight="1" x14ac:dyDescent="0.25">
      <c r="T64269" s="135"/>
      <c r="U64269" s="135"/>
    </row>
    <row r="64270" spans="20:21" ht="15" customHeight="1" x14ac:dyDescent="0.25">
      <c r="T64270" s="135"/>
      <c r="U64270" s="135"/>
    </row>
    <row r="64271" spans="20:21" ht="15" customHeight="1" x14ac:dyDescent="0.25">
      <c r="T64271" s="135"/>
      <c r="U64271" s="135"/>
    </row>
    <row r="64272" spans="20:21" ht="15" customHeight="1" x14ac:dyDescent="0.25">
      <c r="T64272" s="135"/>
      <c r="U64272" s="135"/>
    </row>
    <row r="64273" spans="20:21" ht="15" customHeight="1" x14ac:dyDescent="0.25">
      <c r="T64273" s="135"/>
      <c r="U64273" s="135"/>
    </row>
    <row r="64274" spans="20:21" ht="15" customHeight="1" x14ac:dyDescent="0.25">
      <c r="T64274" s="135"/>
      <c r="U64274" s="135"/>
    </row>
    <row r="64275" spans="20:21" ht="15" customHeight="1" x14ac:dyDescent="0.25">
      <c r="T64275" s="135"/>
      <c r="U64275" s="135"/>
    </row>
    <row r="64276" spans="20:21" ht="15" customHeight="1" x14ac:dyDescent="0.25">
      <c r="T64276" s="135"/>
      <c r="U64276" s="135"/>
    </row>
    <row r="64277" spans="20:21" ht="15" customHeight="1" x14ac:dyDescent="0.25">
      <c r="T64277" s="135"/>
      <c r="U64277" s="135"/>
    </row>
    <row r="64278" spans="20:21" ht="15" customHeight="1" x14ac:dyDescent="0.25">
      <c r="T64278" s="135"/>
      <c r="U64278" s="135"/>
    </row>
    <row r="64279" spans="20:21" ht="15" customHeight="1" x14ac:dyDescent="0.25">
      <c r="T64279" s="135"/>
      <c r="U64279" s="135"/>
    </row>
    <row r="64280" spans="20:21" ht="15" customHeight="1" x14ac:dyDescent="0.25">
      <c r="T64280" s="135"/>
      <c r="U64280" s="135"/>
    </row>
    <row r="64281" spans="20:21" ht="15" customHeight="1" x14ac:dyDescent="0.25">
      <c r="T64281" s="135"/>
      <c r="U64281" s="135"/>
    </row>
    <row r="64282" spans="20:21" ht="15" customHeight="1" x14ac:dyDescent="0.25">
      <c r="T64282" s="135"/>
      <c r="U64282" s="135"/>
    </row>
    <row r="64283" spans="20:21" ht="15" customHeight="1" x14ac:dyDescent="0.25">
      <c r="T64283" s="135"/>
      <c r="U64283" s="135"/>
    </row>
    <row r="64284" spans="20:21" ht="15" customHeight="1" x14ac:dyDescent="0.25">
      <c r="T64284" s="135"/>
      <c r="U64284" s="135"/>
    </row>
    <row r="64285" spans="20:21" ht="15" customHeight="1" x14ac:dyDescent="0.25">
      <c r="T64285" s="135"/>
      <c r="U64285" s="135"/>
    </row>
    <row r="64286" spans="20:21" ht="15" customHeight="1" x14ac:dyDescent="0.25">
      <c r="T64286" s="135"/>
      <c r="U64286" s="135"/>
    </row>
    <row r="64287" spans="20:21" ht="15" customHeight="1" x14ac:dyDescent="0.25">
      <c r="T64287" s="135"/>
      <c r="U64287" s="135"/>
    </row>
    <row r="64288" spans="20:21" ht="15" customHeight="1" x14ac:dyDescent="0.25">
      <c r="T64288" s="135"/>
      <c r="U64288" s="135"/>
    </row>
    <row r="64289" spans="20:21" ht="15" customHeight="1" x14ac:dyDescent="0.25">
      <c r="T64289" s="135"/>
      <c r="U64289" s="135"/>
    </row>
    <row r="64290" spans="20:21" ht="15" customHeight="1" x14ac:dyDescent="0.25">
      <c r="T64290" s="135"/>
      <c r="U64290" s="135"/>
    </row>
    <row r="64291" spans="20:21" ht="15" customHeight="1" x14ac:dyDescent="0.25">
      <c r="T64291" s="135"/>
      <c r="U64291" s="135"/>
    </row>
    <row r="64292" spans="20:21" ht="15" customHeight="1" x14ac:dyDescent="0.25">
      <c r="T64292" s="135"/>
      <c r="U64292" s="135"/>
    </row>
    <row r="64293" spans="20:21" ht="15" customHeight="1" x14ac:dyDescent="0.25">
      <c r="T64293" s="135"/>
      <c r="U64293" s="135"/>
    </row>
    <row r="64294" spans="20:21" ht="15" customHeight="1" x14ac:dyDescent="0.25">
      <c r="T64294" s="135"/>
      <c r="U64294" s="135"/>
    </row>
    <row r="64295" spans="20:21" ht="15" customHeight="1" x14ac:dyDescent="0.25">
      <c r="T64295" s="135"/>
      <c r="U64295" s="135"/>
    </row>
    <row r="64296" spans="20:21" ht="15" customHeight="1" x14ac:dyDescent="0.25">
      <c r="T64296" s="135"/>
      <c r="U64296" s="135"/>
    </row>
    <row r="64297" spans="20:21" ht="15" customHeight="1" x14ac:dyDescent="0.25">
      <c r="T64297" s="135"/>
      <c r="U64297" s="135"/>
    </row>
    <row r="64298" spans="20:21" ht="15" customHeight="1" x14ac:dyDescent="0.25">
      <c r="T64298" s="135"/>
      <c r="U64298" s="135"/>
    </row>
    <row r="64299" spans="20:21" ht="15" customHeight="1" x14ac:dyDescent="0.25">
      <c r="T64299" s="135"/>
      <c r="U64299" s="135"/>
    </row>
    <row r="64300" spans="20:21" ht="15" customHeight="1" x14ac:dyDescent="0.25">
      <c r="T64300" s="135"/>
      <c r="U64300" s="135"/>
    </row>
    <row r="64301" spans="20:21" ht="15" customHeight="1" x14ac:dyDescent="0.25">
      <c r="T64301" s="135"/>
      <c r="U64301" s="135"/>
    </row>
    <row r="64302" spans="20:21" ht="15" customHeight="1" x14ac:dyDescent="0.25">
      <c r="T64302" s="135"/>
      <c r="U64302" s="135"/>
    </row>
    <row r="64303" spans="20:21" ht="15" customHeight="1" x14ac:dyDescent="0.25">
      <c r="T64303" s="135"/>
      <c r="U64303" s="135"/>
    </row>
    <row r="64304" spans="20:21" ht="15" customHeight="1" x14ac:dyDescent="0.25">
      <c r="T64304" s="135"/>
      <c r="U64304" s="135"/>
    </row>
    <row r="64305" spans="20:21" ht="15" customHeight="1" x14ac:dyDescent="0.25">
      <c r="T64305" s="135"/>
      <c r="U64305" s="135"/>
    </row>
    <row r="64306" spans="20:21" ht="15" customHeight="1" x14ac:dyDescent="0.25">
      <c r="T64306" s="135"/>
      <c r="U64306" s="135"/>
    </row>
    <row r="64307" spans="20:21" ht="15" customHeight="1" x14ac:dyDescent="0.25">
      <c r="T64307" s="135"/>
      <c r="U64307" s="135"/>
    </row>
    <row r="64308" spans="20:21" ht="15" customHeight="1" x14ac:dyDescent="0.25">
      <c r="T64308" s="135"/>
      <c r="U64308" s="135"/>
    </row>
    <row r="64309" spans="20:21" ht="15" customHeight="1" x14ac:dyDescent="0.25">
      <c r="T64309" s="135"/>
      <c r="U64309" s="135"/>
    </row>
    <row r="64310" spans="20:21" ht="15" customHeight="1" x14ac:dyDescent="0.25">
      <c r="T64310" s="135"/>
      <c r="U64310" s="135"/>
    </row>
    <row r="64311" spans="20:21" ht="15" customHeight="1" x14ac:dyDescent="0.25">
      <c r="T64311" s="135"/>
      <c r="U64311" s="135"/>
    </row>
    <row r="64312" spans="20:21" ht="15" customHeight="1" x14ac:dyDescent="0.25">
      <c r="T64312" s="135"/>
      <c r="U64312" s="135"/>
    </row>
    <row r="64313" spans="20:21" ht="15" customHeight="1" x14ac:dyDescent="0.25">
      <c r="T64313" s="135"/>
      <c r="U64313" s="135"/>
    </row>
    <row r="64314" spans="20:21" ht="15" customHeight="1" x14ac:dyDescent="0.25">
      <c r="T64314" s="135"/>
      <c r="U64314" s="135"/>
    </row>
    <row r="64315" spans="20:21" ht="15" customHeight="1" x14ac:dyDescent="0.25">
      <c r="T64315" s="135"/>
      <c r="U64315" s="135"/>
    </row>
    <row r="64316" spans="20:21" ht="15" customHeight="1" x14ac:dyDescent="0.25">
      <c r="T64316" s="135"/>
      <c r="U64316" s="135"/>
    </row>
    <row r="64317" spans="20:21" ht="15" customHeight="1" x14ac:dyDescent="0.25">
      <c r="T64317" s="135"/>
      <c r="U64317" s="135"/>
    </row>
    <row r="64318" spans="20:21" ht="15" customHeight="1" x14ac:dyDescent="0.25">
      <c r="T64318" s="135"/>
      <c r="U64318" s="135"/>
    </row>
    <row r="64319" spans="20:21" ht="15" customHeight="1" x14ac:dyDescent="0.25">
      <c r="T64319" s="135"/>
      <c r="U64319" s="135"/>
    </row>
    <row r="64320" spans="20:21" ht="15" customHeight="1" x14ac:dyDescent="0.25">
      <c r="T64320" s="135"/>
      <c r="U64320" s="135"/>
    </row>
    <row r="64321" spans="20:21" ht="15" customHeight="1" x14ac:dyDescent="0.25">
      <c r="T64321" s="135"/>
      <c r="U64321" s="135"/>
    </row>
    <row r="64322" spans="20:21" ht="15" customHeight="1" x14ac:dyDescent="0.25">
      <c r="T64322" s="135"/>
      <c r="U64322" s="135"/>
    </row>
    <row r="64323" spans="20:21" ht="15" customHeight="1" x14ac:dyDescent="0.25">
      <c r="T64323" s="135"/>
      <c r="U64323" s="135"/>
    </row>
    <row r="64324" spans="20:21" ht="15" customHeight="1" x14ac:dyDescent="0.25">
      <c r="T64324" s="135"/>
      <c r="U64324" s="135"/>
    </row>
    <row r="64325" spans="20:21" ht="15" customHeight="1" x14ac:dyDescent="0.25">
      <c r="T64325" s="135"/>
      <c r="U64325" s="135"/>
    </row>
    <row r="64326" spans="20:21" ht="15" customHeight="1" x14ac:dyDescent="0.25">
      <c r="T64326" s="135"/>
      <c r="U64326" s="135"/>
    </row>
    <row r="64327" spans="20:21" ht="15" customHeight="1" x14ac:dyDescent="0.25">
      <c r="T64327" s="135"/>
      <c r="U64327" s="135"/>
    </row>
    <row r="64328" spans="20:21" ht="15" customHeight="1" x14ac:dyDescent="0.25">
      <c r="T64328" s="135"/>
      <c r="U64328" s="135"/>
    </row>
    <row r="64329" spans="20:21" ht="15" customHeight="1" x14ac:dyDescent="0.25">
      <c r="T64329" s="135"/>
      <c r="U64329" s="135"/>
    </row>
    <row r="64330" spans="20:21" ht="15" customHeight="1" x14ac:dyDescent="0.25">
      <c r="T64330" s="135"/>
      <c r="U64330" s="135"/>
    </row>
    <row r="64331" spans="20:21" ht="15" customHeight="1" x14ac:dyDescent="0.25">
      <c r="T64331" s="135"/>
      <c r="U64331" s="135"/>
    </row>
    <row r="64332" spans="20:21" ht="15" customHeight="1" x14ac:dyDescent="0.25">
      <c r="T64332" s="135"/>
      <c r="U64332" s="135"/>
    </row>
    <row r="64333" spans="20:21" ht="15" customHeight="1" x14ac:dyDescent="0.25">
      <c r="T64333" s="135"/>
      <c r="U64333" s="135"/>
    </row>
    <row r="64334" spans="20:21" ht="15" customHeight="1" x14ac:dyDescent="0.25">
      <c r="T64334" s="135"/>
      <c r="U64334" s="135"/>
    </row>
    <row r="64335" spans="20:21" ht="15" customHeight="1" x14ac:dyDescent="0.25">
      <c r="T64335" s="135"/>
      <c r="U64335" s="135"/>
    </row>
    <row r="64336" spans="20:21" ht="15" customHeight="1" x14ac:dyDescent="0.25">
      <c r="T64336" s="135"/>
      <c r="U64336" s="135"/>
    </row>
    <row r="64337" spans="20:21" ht="15" customHeight="1" x14ac:dyDescent="0.25">
      <c r="T64337" s="135"/>
      <c r="U64337" s="135"/>
    </row>
    <row r="64338" spans="20:21" ht="15" customHeight="1" x14ac:dyDescent="0.25">
      <c r="T64338" s="135"/>
      <c r="U64338" s="135"/>
    </row>
    <row r="64339" spans="20:21" ht="15" customHeight="1" x14ac:dyDescent="0.25">
      <c r="T64339" s="135"/>
      <c r="U64339" s="135"/>
    </row>
    <row r="64340" spans="20:21" ht="15" customHeight="1" x14ac:dyDescent="0.25">
      <c r="T64340" s="135"/>
      <c r="U64340" s="135"/>
    </row>
    <row r="64341" spans="20:21" ht="15" customHeight="1" x14ac:dyDescent="0.25">
      <c r="T64341" s="135"/>
      <c r="U64341" s="135"/>
    </row>
    <row r="64342" spans="20:21" ht="15" customHeight="1" x14ac:dyDescent="0.25">
      <c r="T64342" s="135"/>
      <c r="U64342" s="135"/>
    </row>
    <row r="64343" spans="20:21" ht="15" customHeight="1" x14ac:dyDescent="0.25">
      <c r="T64343" s="135"/>
      <c r="U64343" s="135"/>
    </row>
    <row r="64344" spans="20:21" ht="15" customHeight="1" x14ac:dyDescent="0.25">
      <c r="T64344" s="135"/>
      <c r="U64344" s="135"/>
    </row>
    <row r="64345" spans="20:21" ht="15" customHeight="1" x14ac:dyDescent="0.25">
      <c r="T64345" s="135"/>
      <c r="U64345" s="135"/>
    </row>
    <row r="64346" spans="20:21" ht="15" customHeight="1" x14ac:dyDescent="0.25">
      <c r="T64346" s="135"/>
      <c r="U64346" s="135"/>
    </row>
    <row r="64347" spans="20:21" ht="15" customHeight="1" x14ac:dyDescent="0.25">
      <c r="T64347" s="135"/>
      <c r="U64347" s="135"/>
    </row>
    <row r="64348" spans="20:21" ht="15" customHeight="1" x14ac:dyDescent="0.25">
      <c r="T64348" s="135"/>
      <c r="U64348" s="135"/>
    </row>
    <row r="64349" spans="20:21" ht="15" customHeight="1" x14ac:dyDescent="0.25">
      <c r="T64349" s="135"/>
      <c r="U64349" s="135"/>
    </row>
    <row r="64350" spans="20:21" ht="15" customHeight="1" x14ac:dyDescent="0.25">
      <c r="T64350" s="135"/>
      <c r="U64350" s="135"/>
    </row>
    <row r="64351" spans="20:21" ht="15" customHeight="1" x14ac:dyDescent="0.25">
      <c r="T64351" s="135"/>
      <c r="U64351" s="135"/>
    </row>
    <row r="64352" spans="20:21" ht="15" customHeight="1" x14ac:dyDescent="0.25">
      <c r="T64352" s="135"/>
      <c r="U64352" s="135"/>
    </row>
    <row r="64353" spans="20:21" ht="15" customHeight="1" x14ac:dyDescent="0.25">
      <c r="T64353" s="135"/>
      <c r="U64353" s="135"/>
    </row>
    <row r="64354" spans="20:21" ht="15" customHeight="1" x14ac:dyDescent="0.25">
      <c r="T64354" s="135"/>
      <c r="U64354" s="135"/>
    </row>
    <row r="64355" spans="20:21" ht="15" customHeight="1" x14ac:dyDescent="0.25">
      <c r="T64355" s="135"/>
      <c r="U64355" s="135"/>
    </row>
    <row r="64356" spans="20:21" ht="15" customHeight="1" x14ac:dyDescent="0.25">
      <c r="T64356" s="135"/>
      <c r="U64356" s="135"/>
    </row>
    <row r="64357" spans="20:21" ht="15" customHeight="1" x14ac:dyDescent="0.25">
      <c r="T64357" s="135"/>
      <c r="U64357" s="135"/>
    </row>
    <row r="64358" spans="20:21" ht="15" customHeight="1" x14ac:dyDescent="0.25">
      <c r="T64358" s="135"/>
      <c r="U64358" s="135"/>
    </row>
    <row r="64359" spans="20:21" ht="15" customHeight="1" x14ac:dyDescent="0.25">
      <c r="T64359" s="135"/>
      <c r="U64359" s="135"/>
    </row>
    <row r="64360" spans="20:21" ht="15" customHeight="1" x14ac:dyDescent="0.25">
      <c r="T64360" s="135"/>
      <c r="U64360" s="135"/>
    </row>
    <row r="64361" spans="20:21" ht="15" customHeight="1" x14ac:dyDescent="0.25">
      <c r="T64361" s="135"/>
      <c r="U64361" s="135"/>
    </row>
    <row r="64362" spans="20:21" ht="15" customHeight="1" x14ac:dyDescent="0.25">
      <c r="T64362" s="135"/>
      <c r="U64362" s="135"/>
    </row>
    <row r="64363" spans="20:21" ht="15" customHeight="1" x14ac:dyDescent="0.25">
      <c r="T64363" s="135"/>
      <c r="U64363" s="135"/>
    </row>
    <row r="64364" spans="20:21" ht="15" customHeight="1" x14ac:dyDescent="0.25">
      <c r="T64364" s="135"/>
      <c r="U64364" s="135"/>
    </row>
    <row r="64365" spans="20:21" ht="15" customHeight="1" x14ac:dyDescent="0.25">
      <c r="T64365" s="135"/>
      <c r="U64365" s="135"/>
    </row>
    <row r="64366" spans="20:21" ht="15" customHeight="1" x14ac:dyDescent="0.25">
      <c r="T64366" s="135"/>
      <c r="U64366" s="135"/>
    </row>
    <row r="64367" spans="20:21" ht="15" customHeight="1" x14ac:dyDescent="0.25">
      <c r="T64367" s="135"/>
      <c r="U64367" s="135"/>
    </row>
    <row r="64368" spans="20:21" ht="15" customHeight="1" x14ac:dyDescent="0.25">
      <c r="T64368" s="135"/>
      <c r="U64368" s="135"/>
    </row>
    <row r="64369" spans="20:21" ht="15" customHeight="1" x14ac:dyDescent="0.25">
      <c r="T64369" s="135"/>
      <c r="U64369" s="135"/>
    </row>
    <row r="64370" spans="20:21" ht="15" customHeight="1" x14ac:dyDescent="0.25">
      <c r="T64370" s="135"/>
      <c r="U64370" s="135"/>
    </row>
    <row r="64371" spans="20:21" ht="15" customHeight="1" x14ac:dyDescent="0.25">
      <c r="T64371" s="135"/>
      <c r="U64371" s="135"/>
    </row>
    <row r="64372" spans="20:21" ht="15" customHeight="1" x14ac:dyDescent="0.25">
      <c r="T64372" s="135"/>
      <c r="U64372" s="135"/>
    </row>
    <row r="64373" spans="20:21" ht="15" customHeight="1" x14ac:dyDescent="0.25">
      <c r="T64373" s="135"/>
      <c r="U64373" s="135"/>
    </row>
    <row r="64374" spans="20:21" ht="15" customHeight="1" x14ac:dyDescent="0.25">
      <c r="T64374" s="135"/>
      <c r="U64374" s="135"/>
    </row>
    <row r="64375" spans="20:21" ht="15" customHeight="1" x14ac:dyDescent="0.25">
      <c r="T64375" s="135"/>
      <c r="U64375" s="135"/>
    </row>
    <row r="64376" spans="20:21" ht="15" customHeight="1" x14ac:dyDescent="0.25">
      <c r="T64376" s="135"/>
      <c r="U64376" s="135"/>
    </row>
    <row r="64377" spans="20:21" ht="15" customHeight="1" x14ac:dyDescent="0.25">
      <c r="T64377" s="135"/>
      <c r="U64377" s="135"/>
    </row>
    <row r="64378" spans="20:21" ht="15" customHeight="1" x14ac:dyDescent="0.25">
      <c r="T64378" s="135"/>
      <c r="U64378" s="135"/>
    </row>
    <row r="64379" spans="20:21" ht="15" customHeight="1" x14ac:dyDescent="0.25">
      <c r="T64379" s="135"/>
      <c r="U64379" s="135"/>
    </row>
    <row r="64380" spans="20:21" ht="15" customHeight="1" x14ac:dyDescent="0.25">
      <c r="T64380" s="135"/>
      <c r="U64380" s="135"/>
    </row>
    <row r="64381" spans="20:21" ht="15" customHeight="1" x14ac:dyDescent="0.25">
      <c r="T64381" s="135"/>
      <c r="U64381" s="135"/>
    </row>
    <row r="64382" spans="20:21" ht="15" customHeight="1" x14ac:dyDescent="0.25">
      <c r="T64382" s="135"/>
      <c r="U64382" s="135"/>
    </row>
    <row r="64383" spans="20:21" ht="15" customHeight="1" x14ac:dyDescent="0.25">
      <c r="T64383" s="135"/>
      <c r="U64383" s="135"/>
    </row>
    <row r="64384" spans="20:21" ht="15" customHeight="1" x14ac:dyDescent="0.25">
      <c r="T64384" s="135"/>
      <c r="U64384" s="135"/>
    </row>
    <row r="64385" spans="20:21" ht="15" customHeight="1" x14ac:dyDescent="0.25">
      <c r="T64385" s="135"/>
      <c r="U64385" s="135"/>
    </row>
    <row r="64386" spans="20:21" ht="15" customHeight="1" x14ac:dyDescent="0.25">
      <c r="T64386" s="135"/>
      <c r="U64386" s="135"/>
    </row>
    <row r="64387" spans="20:21" ht="15" customHeight="1" x14ac:dyDescent="0.25">
      <c r="T64387" s="135"/>
      <c r="U64387" s="135"/>
    </row>
    <row r="64388" spans="20:21" ht="15" customHeight="1" x14ac:dyDescent="0.25">
      <c r="T64388" s="135"/>
      <c r="U64388" s="135"/>
    </row>
    <row r="64389" spans="20:21" ht="15" customHeight="1" x14ac:dyDescent="0.25">
      <c r="T64389" s="135"/>
      <c r="U64389" s="135"/>
    </row>
    <row r="64390" spans="20:21" ht="15" customHeight="1" x14ac:dyDescent="0.25">
      <c r="T64390" s="135"/>
      <c r="U64390" s="135"/>
    </row>
    <row r="64391" spans="20:21" ht="15" customHeight="1" x14ac:dyDescent="0.25">
      <c r="T64391" s="135"/>
      <c r="U64391" s="135"/>
    </row>
    <row r="64392" spans="20:21" ht="15" customHeight="1" x14ac:dyDescent="0.25">
      <c r="T64392" s="135"/>
      <c r="U64392" s="135"/>
    </row>
    <row r="64393" spans="20:21" ht="15" customHeight="1" x14ac:dyDescent="0.25">
      <c r="T64393" s="135"/>
      <c r="U64393" s="135"/>
    </row>
    <row r="64394" spans="20:21" ht="15" customHeight="1" x14ac:dyDescent="0.25">
      <c r="T64394" s="135"/>
      <c r="U64394" s="135"/>
    </row>
    <row r="64395" spans="20:21" ht="15" customHeight="1" x14ac:dyDescent="0.25">
      <c r="T64395" s="135"/>
      <c r="U64395" s="135"/>
    </row>
    <row r="64396" spans="20:21" ht="15" customHeight="1" x14ac:dyDescent="0.25">
      <c r="T64396" s="135"/>
      <c r="U64396" s="135"/>
    </row>
    <row r="64397" spans="20:21" ht="15" customHeight="1" x14ac:dyDescent="0.25">
      <c r="T64397" s="135"/>
      <c r="U64397" s="135"/>
    </row>
    <row r="64398" spans="20:21" ht="15" customHeight="1" x14ac:dyDescent="0.25">
      <c r="T64398" s="135"/>
      <c r="U64398" s="135"/>
    </row>
    <row r="64399" spans="20:21" ht="15" customHeight="1" x14ac:dyDescent="0.25">
      <c r="T64399" s="135"/>
      <c r="U64399" s="135"/>
    </row>
    <row r="64400" spans="20:21" ht="15" customHeight="1" x14ac:dyDescent="0.25">
      <c r="T64400" s="135"/>
      <c r="U64400" s="135"/>
    </row>
    <row r="64401" spans="20:21" ht="15" customHeight="1" x14ac:dyDescent="0.25">
      <c r="T64401" s="135"/>
      <c r="U64401" s="135"/>
    </row>
    <row r="64402" spans="20:21" ht="15" customHeight="1" x14ac:dyDescent="0.25">
      <c r="T64402" s="135"/>
      <c r="U64402" s="135"/>
    </row>
    <row r="64403" spans="20:21" ht="15" customHeight="1" x14ac:dyDescent="0.25">
      <c r="T64403" s="135"/>
      <c r="U64403" s="135"/>
    </row>
    <row r="64404" spans="20:21" ht="15" customHeight="1" x14ac:dyDescent="0.25">
      <c r="T64404" s="135"/>
      <c r="U64404" s="135"/>
    </row>
    <row r="64405" spans="20:21" ht="15" customHeight="1" x14ac:dyDescent="0.25">
      <c r="T64405" s="135"/>
      <c r="U64405" s="135"/>
    </row>
    <row r="64406" spans="20:21" ht="15" customHeight="1" x14ac:dyDescent="0.25">
      <c r="T64406" s="135"/>
      <c r="U64406" s="135"/>
    </row>
    <row r="64407" spans="20:21" ht="15" customHeight="1" x14ac:dyDescent="0.25">
      <c r="T64407" s="135"/>
      <c r="U64407" s="135"/>
    </row>
    <row r="64408" spans="20:21" ht="15" customHeight="1" x14ac:dyDescent="0.25">
      <c r="T64408" s="135"/>
      <c r="U64408" s="135"/>
    </row>
    <row r="64409" spans="20:21" ht="15" customHeight="1" x14ac:dyDescent="0.25">
      <c r="T64409" s="135"/>
      <c r="U64409" s="135"/>
    </row>
    <row r="64410" spans="20:21" ht="15" customHeight="1" x14ac:dyDescent="0.25">
      <c r="T64410" s="135"/>
      <c r="U64410" s="135"/>
    </row>
    <row r="64411" spans="20:21" ht="15" customHeight="1" x14ac:dyDescent="0.25">
      <c r="T64411" s="135"/>
      <c r="U64411" s="135"/>
    </row>
    <row r="64412" spans="20:21" ht="15" customHeight="1" x14ac:dyDescent="0.25">
      <c r="T64412" s="135"/>
      <c r="U64412" s="135"/>
    </row>
    <row r="64413" spans="20:21" ht="15" customHeight="1" x14ac:dyDescent="0.25">
      <c r="T64413" s="135"/>
      <c r="U64413" s="135"/>
    </row>
    <row r="64414" spans="20:21" ht="15" customHeight="1" x14ac:dyDescent="0.25">
      <c r="T64414" s="135"/>
      <c r="U64414" s="135"/>
    </row>
    <row r="64415" spans="20:21" ht="15" customHeight="1" x14ac:dyDescent="0.25">
      <c r="T64415" s="135"/>
      <c r="U64415" s="135"/>
    </row>
    <row r="64416" spans="20:21" ht="15" customHeight="1" x14ac:dyDescent="0.25">
      <c r="T64416" s="135"/>
      <c r="U64416" s="135"/>
    </row>
    <row r="64417" spans="20:21" ht="15" customHeight="1" x14ac:dyDescent="0.25">
      <c r="T64417" s="135"/>
      <c r="U64417" s="135"/>
    </row>
    <row r="64418" spans="20:21" ht="15" customHeight="1" x14ac:dyDescent="0.25">
      <c r="T64418" s="135"/>
      <c r="U64418" s="135"/>
    </row>
    <row r="64419" spans="20:21" ht="15" customHeight="1" x14ac:dyDescent="0.25">
      <c r="T64419" s="135"/>
      <c r="U64419" s="135"/>
    </row>
    <row r="64420" spans="20:21" ht="15" customHeight="1" x14ac:dyDescent="0.25">
      <c r="T64420" s="135"/>
      <c r="U64420" s="135"/>
    </row>
    <row r="64421" spans="20:21" ht="15" customHeight="1" x14ac:dyDescent="0.25">
      <c r="T64421" s="135"/>
      <c r="U64421" s="135"/>
    </row>
    <row r="64422" spans="20:21" ht="15" customHeight="1" x14ac:dyDescent="0.25">
      <c r="T64422" s="135"/>
      <c r="U64422" s="135"/>
    </row>
    <row r="64423" spans="20:21" ht="15" customHeight="1" x14ac:dyDescent="0.25">
      <c r="T64423" s="135"/>
      <c r="U64423" s="135"/>
    </row>
    <row r="64424" spans="20:21" ht="15" customHeight="1" x14ac:dyDescent="0.25">
      <c r="T64424" s="135"/>
      <c r="U64424" s="135"/>
    </row>
    <row r="64425" spans="20:21" ht="15" customHeight="1" x14ac:dyDescent="0.25">
      <c r="T64425" s="135"/>
      <c r="U64425" s="135"/>
    </row>
    <row r="64426" spans="20:21" ht="15" customHeight="1" x14ac:dyDescent="0.25">
      <c r="T64426" s="135"/>
      <c r="U64426" s="135"/>
    </row>
    <row r="64427" spans="20:21" ht="15" customHeight="1" x14ac:dyDescent="0.25">
      <c r="T64427" s="135"/>
      <c r="U64427" s="135"/>
    </row>
    <row r="64428" spans="20:21" ht="15" customHeight="1" x14ac:dyDescent="0.25">
      <c r="T64428" s="135"/>
      <c r="U64428" s="135"/>
    </row>
    <row r="64429" spans="20:21" ht="15" customHeight="1" x14ac:dyDescent="0.25">
      <c r="T64429" s="135"/>
      <c r="U64429" s="135"/>
    </row>
    <row r="64430" spans="20:21" ht="15" customHeight="1" x14ac:dyDescent="0.25">
      <c r="T64430" s="135"/>
      <c r="U64430" s="135"/>
    </row>
    <row r="64431" spans="20:21" ht="15" customHeight="1" x14ac:dyDescent="0.25">
      <c r="T64431" s="135"/>
      <c r="U64431" s="135"/>
    </row>
    <row r="64432" spans="20:21" ht="15" customHeight="1" x14ac:dyDescent="0.25">
      <c r="T64432" s="135"/>
      <c r="U64432" s="135"/>
    </row>
    <row r="64433" spans="20:21" ht="15" customHeight="1" x14ac:dyDescent="0.25">
      <c r="T64433" s="135"/>
      <c r="U64433" s="135"/>
    </row>
    <row r="64434" spans="20:21" ht="15" customHeight="1" x14ac:dyDescent="0.25">
      <c r="T64434" s="135"/>
      <c r="U64434" s="135"/>
    </row>
    <row r="64435" spans="20:21" ht="15" customHeight="1" x14ac:dyDescent="0.25">
      <c r="T64435" s="135"/>
      <c r="U64435" s="135"/>
    </row>
    <row r="64436" spans="20:21" ht="15" customHeight="1" x14ac:dyDescent="0.25">
      <c r="T64436" s="135"/>
      <c r="U64436" s="135"/>
    </row>
    <row r="64437" spans="20:21" ht="15" customHeight="1" x14ac:dyDescent="0.25">
      <c r="T64437" s="135"/>
      <c r="U64437" s="135"/>
    </row>
    <row r="64438" spans="20:21" ht="15" customHeight="1" x14ac:dyDescent="0.25">
      <c r="T64438" s="135"/>
      <c r="U64438" s="135"/>
    </row>
    <row r="64439" spans="20:21" ht="15" customHeight="1" x14ac:dyDescent="0.25">
      <c r="T64439" s="135"/>
      <c r="U64439" s="135"/>
    </row>
    <row r="64440" spans="20:21" ht="15" customHeight="1" x14ac:dyDescent="0.25">
      <c r="T64440" s="135"/>
      <c r="U64440" s="135"/>
    </row>
    <row r="64441" spans="20:21" ht="15" customHeight="1" x14ac:dyDescent="0.25">
      <c r="T64441" s="135"/>
      <c r="U64441" s="135"/>
    </row>
    <row r="64442" spans="20:21" ht="15" customHeight="1" x14ac:dyDescent="0.25">
      <c r="T64442" s="135"/>
      <c r="U64442" s="135"/>
    </row>
    <row r="64443" spans="20:21" ht="15" customHeight="1" x14ac:dyDescent="0.25">
      <c r="T64443" s="135"/>
      <c r="U64443" s="135"/>
    </row>
    <row r="64444" spans="20:21" ht="15" customHeight="1" x14ac:dyDescent="0.25">
      <c r="T64444" s="135"/>
      <c r="U64444" s="135"/>
    </row>
    <row r="64445" spans="20:21" ht="15" customHeight="1" x14ac:dyDescent="0.25">
      <c r="T64445" s="135"/>
      <c r="U64445" s="135"/>
    </row>
    <row r="64446" spans="20:21" ht="15" customHeight="1" x14ac:dyDescent="0.25">
      <c r="T64446" s="135"/>
      <c r="U64446" s="135"/>
    </row>
    <row r="64447" spans="20:21" ht="15" customHeight="1" x14ac:dyDescent="0.25">
      <c r="T64447" s="135"/>
      <c r="U64447" s="135"/>
    </row>
    <row r="64448" spans="20:21" ht="15" customHeight="1" x14ac:dyDescent="0.25">
      <c r="T64448" s="135"/>
      <c r="U64448" s="135"/>
    </row>
    <row r="64449" spans="20:21" ht="15" customHeight="1" x14ac:dyDescent="0.25">
      <c r="T64449" s="135"/>
      <c r="U64449" s="135"/>
    </row>
    <row r="64450" spans="20:21" ht="15" customHeight="1" x14ac:dyDescent="0.25">
      <c r="T64450" s="135"/>
      <c r="U64450" s="135"/>
    </row>
    <row r="64451" spans="20:21" ht="15" customHeight="1" x14ac:dyDescent="0.25">
      <c r="T64451" s="135"/>
      <c r="U64451" s="135"/>
    </row>
    <row r="64452" spans="20:21" ht="15" customHeight="1" x14ac:dyDescent="0.25">
      <c r="T64452" s="135"/>
      <c r="U64452" s="135"/>
    </row>
    <row r="64453" spans="20:21" ht="15" customHeight="1" x14ac:dyDescent="0.25">
      <c r="T64453" s="135"/>
      <c r="U64453" s="135"/>
    </row>
    <row r="64454" spans="20:21" ht="15" customHeight="1" x14ac:dyDescent="0.25">
      <c r="T64454" s="135"/>
      <c r="U64454" s="135"/>
    </row>
    <row r="64455" spans="20:21" ht="15" customHeight="1" x14ac:dyDescent="0.25">
      <c r="T64455" s="135"/>
      <c r="U64455" s="135"/>
    </row>
    <row r="64456" spans="20:21" ht="15" customHeight="1" x14ac:dyDescent="0.25">
      <c r="T64456" s="135"/>
      <c r="U64456" s="135"/>
    </row>
    <row r="64457" spans="20:21" ht="15" customHeight="1" x14ac:dyDescent="0.25">
      <c r="T64457" s="135"/>
      <c r="U64457" s="135"/>
    </row>
    <row r="64458" spans="20:21" ht="15" customHeight="1" x14ac:dyDescent="0.25">
      <c r="T64458" s="135"/>
      <c r="U64458" s="135"/>
    </row>
    <row r="64459" spans="20:21" ht="15" customHeight="1" x14ac:dyDescent="0.25">
      <c r="T64459" s="135"/>
      <c r="U64459" s="135"/>
    </row>
    <row r="64460" spans="20:21" ht="15" customHeight="1" x14ac:dyDescent="0.25">
      <c r="T64460" s="135"/>
      <c r="U64460" s="135"/>
    </row>
    <row r="64461" spans="20:21" ht="15" customHeight="1" x14ac:dyDescent="0.25">
      <c r="T64461" s="135"/>
      <c r="U64461" s="135"/>
    </row>
    <row r="64462" spans="20:21" ht="15" customHeight="1" x14ac:dyDescent="0.25">
      <c r="T64462" s="135"/>
      <c r="U64462" s="135"/>
    </row>
    <row r="64463" spans="20:21" ht="15" customHeight="1" x14ac:dyDescent="0.25">
      <c r="T64463" s="135"/>
      <c r="U64463" s="135"/>
    </row>
    <row r="64464" spans="20:21" ht="15" customHeight="1" x14ac:dyDescent="0.25">
      <c r="T64464" s="135"/>
      <c r="U64464" s="135"/>
    </row>
    <row r="64465" spans="20:21" ht="15" customHeight="1" x14ac:dyDescent="0.25">
      <c r="T64465" s="135"/>
      <c r="U64465" s="135"/>
    </row>
    <row r="64466" spans="20:21" ht="15" customHeight="1" x14ac:dyDescent="0.25">
      <c r="T64466" s="135"/>
      <c r="U64466" s="135"/>
    </row>
    <row r="64467" spans="20:21" ht="15" customHeight="1" x14ac:dyDescent="0.25">
      <c r="T64467" s="135"/>
      <c r="U64467" s="135"/>
    </row>
    <row r="64468" spans="20:21" ht="15" customHeight="1" x14ac:dyDescent="0.25">
      <c r="T64468" s="135"/>
      <c r="U64468" s="135"/>
    </row>
    <row r="64469" spans="20:21" ht="15" customHeight="1" x14ac:dyDescent="0.25">
      <c r="T64469" s="135"/>
      <c r="U64469" s="135"/>
    </row>
    <row r="64470" spans="20:21" ht="15" customHeight="1" x14ac:dyDescent="0.25">
      <c r="T64470" s="135"/>
      <c r="U64470" s="135"/>
    </row>
    <row r="64471" spans="20:21" ht="15" customHeight="1" x14ac:dyDescent="0.25">
      <c r="T64471" s="135"/>
      <c r="U64471" s="135"/>
    </row>
    <row r="64472" spans="20:21" ht="15" customHeight="1" x14ac:dyDescent="0.25">
      <c r="T64472" s="135"/>
      <c r="U64472" s="135"/>
    </row>
    <row r="64473" spans="20:21" ht="15" customHeight="1" x14ac:dyDescent="0.25">
      <c r="T64473" s="135"/>
      <c r="U64473" s="135"/>
    </row>
    <row r="64474" spans="20:21" ht="15" customHeight="1" x14ac:dyDescent="0.25">
      <c r="T64474" s="135"/>
      <c r="U64474" s="135"/>
    </row>
    <row r="64475" spans="20:21" ht="15" customHeight="1" x14ac:dyDescent="0.25">
      <c r="T64475" s="135"/>
      <c r="U64475" s="135"/>
    </row>
    <row r="64476" spans="20:21" ht="15" customHeight="1" x14ac:dyDescent="0.25">
      <c r="T64476" s="135"/>
      <c r="U64476" s="135"/>
    </row>
    <row r="64477" spans="20:21" ht="15" customHeight="1" x14ac:dyDescent="0.25">
      <c r="T64477" s="135"/>
      <c r="U64477" s="135"/>
    </row>
    <row r="64478" spans="20:21" ht="15" customHeight="1" x14ac:dyDescent="0.25">
      <c r="T64478" s="135"/>
      <c r="U64478" s="135"/>
    </row>
    <row r="64479" spans="20:21" ht="15" customHeight="1" x14ac:dyDescent="0.25">
      <c r="T64479" s="135"/>
      <c r="U64479" s="135"/>
    </row>
    <row r="64480" spans="20:21" ht="15" customHeight="1" x14ac:dyDescent="0.25">
      <c r="T64480" s="135"/>
      <c r="U64480" s="135"/>
    </row>
    <row r="64481" spans="20:21" ht="15" customHeight="1" x14ac:dyDescent="0.25">
      <c r="T64481" s="135"/>
      <c r="U64481" s="135"/>
    </row>
    <row r="64482" spans="20:21" ht="15" customHeight="1" x14ac:dyDescent="0.25">
      <c r="T64482" s="135"/>
      <c r="U64482" s="135"/>
    </row>
    <row r="64483" spans="20:21" ht="15" customHeight="1" x14ac:dyDescent="0.25">
      <c r="T64483" s="135"/>
      <c r="U64483" s="135"/>
    </row>
    <row r="64484" spans="20:21" ht="15" customHeight="1" x14ac:dyDescent="0.25">
      <c r="T64484" s="135"/>
      <c r="U64484" s="135"/>
    </row>
    <row r="64485" spans="20:21" ht="15" customHeight="1" x14ac:dyDescent="0.25">
      <c r="T64485" s="135"/>
      <c r="U64485" s="135"/>
    </row>
    <row r="64486" spans="20:21" ht="15" customHeight="1" x14ac:dyDescent="0.25">
      <c r="T64486" s="135"/>
      <c r="U64486" s="135"/>
    </row>
    <row r="64487" spans="20:21" ht="15" customHeight="1" x14ac:dyDescent="0.25">
      <c r="T64487" s="135"/>
      <c r="U64487" s="135"/>
    </row>
    <row r="64488" spans="20:21" ht="15" customHeight="1" x14ac:dyDescent="0.25">
      <c r="T64488" s="135"/>
      <c r="U64488" s="135"/>
    </row>
    <row r="64489" spans="20:21" ht="15" customHeight="1" x14ac:dyDescent="0.25">
      <c r="T64489" s="135"/>
      <c r="U64489" s="135"/>
    </row>
    <row r="64490" spans="20:21" ht="15" customHeight="1" x14ac:dyDescent="0.25">
      <c r="T64490" s="135"/>
      <c r="U64490" s="135"/>
    </row>
    <row r="64491" spans="20:21" ht="15" customHeight="1" x14ac:dyDescent="0.25">
      <c r="T64491" s="135"/>
      <c r="U64491" s="135"/>
    </row>
    <row r="64492" spans="20:21" ht="15" customHeight="1" x14ac:dyDescent="0.25">
      <c r="T64492" s="135"/>
      <c r="U64492" s="135"/>
    </row>
    <row r="64493" spans="20:21" ht="15" customHeight="1" x14ac:dyDescent="0.25">
      <c r="T64493" s="135"/>
      <c r="U64493" s="135"/>
    </row>
    <row r="64494" spans="20:21" ht="15" customHeight="1" x14ac:dyDescent="0.25">
      <c r="T64494" s="135"/>
      <c r="U64494" s="135"/>
    </row>
    <row r="64495" spans="20:21" ht="15" customHeight="1" x14ac:dyDescent="0.25">
      <c r="T64495" s="135"/>
      <c r="U64495" s="135"/>
    </row>
    <row r="64496" spans="20:21" ht="15" customHeight="1" x14ac:dyDescent="0.25">
      <c r="T64496" s="135"/>
      <c r="U64496" s="135"/>
    </row>
    <row r="64497" spans="20:21" ht="15" customHeight="1" x14ac:dyDescent="0.25">
      <c r="T64497" s="135"/>
      <c r="U64497" s="135"/>
    </row>
    <row r="64498" spans="20:21" ht="15" customHeight="1" x14ac:dyDescent="0.25">
      <c r="T64498" s="135"/>
      <c r="U64498" s="135"/>
    </row>
    <row r="64499" spans="20:21" ht="15" customHeight="1" x14ac:dyDescent="0.25">
      <c r="T64499" s="135"/>
      <c r="U64499" s="135"/>
    </row>
    <row r="64500" spans="20:21" ht="15" customHeight="1" x14ac:dyDescent="0.25">
      <c r="T64500" s="135"/>
      <c r="U64500" s="135"/>
    </row>
    <row r="64501" spans="20:21" ht="15" customHeight="1" x14ac:dyDescent="0.25">
      <c r="T64501" s="135"/>
      <c r="U64501" s="135"/>
    </row>
    <row r="64502" spans="20:21" ht="15" customHeight="1" x14ac:dyDescent="0.25">
      <c r="T64502" s="135"/>
      <c r="U64502" s="135"/>
    </row>
    <row r="64503" spans="20:21" ht="15" customHeight="1" x14ac:dyDescent="0.25">
      <c r="T64503" s="135"/>
      <c r="U64503" s="135"/>
    </row>
    <row r="64504" spans="20:21" ht="15" customHeight="1" x14ac:dyDescent="0.25">
      <c r="T64504" s="135"/>
      <c r="U64504" s="135"/>
    </row>
    <row r="64505" spans="20:21" ht="15" customHeight="1" x14ac:dyDescent="0.25">
      <c r="T64505" s="135"/>
      <c r="U64505" s="135"/>
    </row>
    <row r="64506" spans="20:21" ht="15" customHeight="1" x14ac:dyDescent="0.25">
      <c r="T64506" s="135"/>
      <c r="U64506" s="135"/>
    </row>
    <row r="64507" spans="20:21" ht="15" customHeight="1" x14ac:dyDescent="0.25">
      <c r="T64507" s="135"/>
      <c r="U64507" s="135"/>
    </row>
    <row r="64508" spans="20:21" ht="15" customHeight="1" x14ac:dyDescent="0.25">
      <c r="T64508" s="135"/>
      <c r="U64508" s="135"/>
    </row>
    <row r="64509" spans="20:21" ht="15" customHeight="1" x14ac:dyDescent="0.25">
      <c r="T64509" s="135"/>
      <c r="U64509" s="135"/>
    </row>
    <row r="64510" spans="20:21" ht="15" customHeight="1" x14ac:dyDescent="0.25">
      <c r="T64510" s="135"/>
      <c r="U64510" s="135"/>
    </row>
    <row r="64511" spans="20:21" ht="15" customHeight="1" x14ac:dyDescent="0.25">
      <c r="T64511" s="135"/>
      <c r="U64511" s="135"/>
    </row>
    <row r="64512" spans="20:21" ht="15" customHeight="1" x14ac:dyDescent="0.25">
      <c r="T64512" s="135"/>
      <c r="U64512" s="135"/>
    </row>
    <row r="64513" spans="20:21" ht="15" customHeight="1" x14ac:dyDescent="0.25">
      <c r="T64513" s="135"/>
      <c r="U64513" s="135"/>
    </row>
    <row r="64514" spans="20:21" ht="15" customHeight="1" x14ac:dyDescent="0.25">
      <c r="T64514" s="135"/>
      <c r="U64514" s="135"/>
    </row>
    <row r="64515" spans="20:21" ht="15" customHeight="1" x14ac:dyDescent="0.25">
      <c r="T64515" s="135"/>
      <c r="U64515" s="135"/>
    </row>
    <row r="64516" spans="20:21" ht="15" customHeight="1" x14ac:dyDescent="0.25">
      <c r="T64516" s="135"/>
      <c r="U64516" s="135"/>
    </row>
    <row r="64517" spans="20:21" ht="15" customHeight="1" x14ac:dyDescent="0.25">
      <c r="T64517" s="135"/>
      <c r="U64517" s="135"/>
    </row>
    <row r="64518" spans="20:21" ht="15" customHeight="1" x14ac:dyDescent="0.25">
      <c r="T64518" s="135"/>
      <c r="U64518" s="135"/>
    </row>
    <row r="64519" spans="20:21" ht="15" customHeight="1" x14ac:dyDescent="0.25">
      <c r="T64519" s="135"/>
      <c r="U64519" s="135"/>
    </row>
    <row r="64520" spans="20:21" ht="15" customHeight="1" x14ac:dyDescent="0.25">
      <c r="T64520" s="135"/>
      <c r="U64520" s="135"/>
    </row>
    <row r="64521" spans="20:21" ht="15" customHeight="1" x14ac:dyDescent="0.25">
      <c r="T64521" s="135"/>
      <c r="U64521" s="135"/>
    </row>
    <row r="64522" spans="20:21" ht="15" customHeight="1" x14ac:dyDescent="0.25">
      <c r="T64522" s="135"/>
      <c r="U64522" s="135"/>
    </row>
    <row r="64523" spans="20:21" ht="15" customHeight="1" x14ac:dyDescent="0.25">
      <c r="T64523" s="135"/>
      <c r="U64523" s="135"/>
    </row>
    <row r="64524" spans="20:21" ht="15" customHeight="1" x14ac:dyDescent="0.25">
      <c r="T64524" s="135"/>
      <c r="U64524" s="135"/>
    </row>
    <row r="64525" spans="20:21" ht="15" customHeight="1" x14ac:dyDescent="0.25">
      <c r="T64525" s="135"/>
      <c r="U64525" s="135"/>
    </row>
    <row r="64526" spans="20:21" ht="15" customHeight="1" x14ac:dyDescent="0.25">
      <c r="T64526" s="135"/>
      <c r="U64526" s="135"/>
    </row>
    <row r="64527" spans="20:21" ht="15" customHeight="1" x14ac:dyDescent="0.25">
      <c r="T64527" s="135"/>
      <c r="U64527" s="135"/>
    </row>
    <row r="64528" spans="20:21" ht="15" customHeight="1" x14ac:dyDescent="0.25">
      <c r="T64528" s="135"/>
      <c r="U64528" s="135"/>
    </row>
    <row r="64529" spans="20:21" ht="15" customHeight="1" x14ac:dyDescent="0.25">
      <c r="T64529" s="135"/>
      <c r="U64529" s="135"/>
    </row>
    <row r="64530" spans="20:21" ht="15" customHeight="1" x14ac:dyDescent="0.25">
      <c r="T64530" s="135"/>
      <c r="U64530" s="135"/>
    </row>
    <row r="64531" spans="20:21" ht="15" customHeight="1" x14ac:dyDescent="0.25">
      <c r="T64531" s="135"/>
      <c r="U64531" s="135"/>
    </row>
    <row r="64532" spans="20:21" ht="15" customHeight="1" x14ac:dyDescent="0.25">
      <c r="T64532" s="135"/>
      <c r="U64532" s="135"/>
    </row>
    <row r="64533" spans="20:21" ht="15" customHeight="1" x14ac:dyDescent="0.25">
      <c r="T64533" s="135"/>
      <c r="U64533" s="135"/>
    </row>
    <row r="64534" spans="20:21" ht="15" customHeight="1" x14ac:dyDescent="0.25">
      <c r="T64534" s="135"/>
      <c r="U64534" s="135"/>
    </row>
    <row r="64535" spans="20:21" ht="15" customHeight="1" x14ac:dyDescent="0.25">
      <c r="T64535" s="135"/>
      <c r="U64535" s="135"/>
    </row>
    <row r="64536" spans="20:21" ht="15" customHeight="1" x14ac:dyDescent="0.25">
      <c r="T64536" s="135"/>
      <c r="U64536" s="135"/>
    </row>
    <row r="64537" spans="20:21" ht="15" customHeight="1" x14ac:dyDescent="0.25">
      <c r="T64537" s="135"/>
      <c r="U64537" s="135"/>
    </row>
    <row r="64538" spans="20:21" ht="15" customHeight="1" x14ac:dyDescent="0.25">
      <c r="T64538" s="135"/>
      <c r="U64538" s="135"/>
    </row>
    <row r="64539" spans="20:21" ht="15" customHeight="1" x14ac:dyDescent="0.25">
      <c r="T64539" s="135"/>
      <c r="U64539" s="135"/>
    </row>
    <row r="64540" spans="20:21" ht="15" customHeight="1" x14ac:dyDescent="0.25">
      <c r="T64540" s="135"/>
      <c r="U64540" s="135"/>
    </row>
    <row r="64541" spans="20:21" ht="15" customHeight="1" x14ac:dyDescent="0.25">
      <c r="T64541" s="135"/>
      <c r="U64541" s="135"/>
    </row>
    <row r="64542" spans="20:21" ht="15" customHeight="1" x14ac:dyDescent="0.25">
      <c r="T64542" s="135"/>
      <c r="U64542" s="135"/>
    </row>
    <row r="64543" spans="20:21" ht="15" customHeight="1" x14ac:dyDescent="0.25">
      <c r="T64543" s="135"/>
      <c r="U64543" s="135"/>
    </row>
    <row r="64544" spans="20:21" ht="15" customHeight="1" x14ac:dyDescent="0.25">
      <c r="T64544" s="135"/>
      <c r="U64544" s="135"/>
    </row>
    <row r="64545" spans="20:21" ht="15" customHeight="1" x14ac:dyDescent="0.25">
      <c r="T64545" s="135"/>
      <c r="U64545" s="135"/>
    </row>
    <row r="64546" spans="20:21" ht="15" customHeight="1" x14ac:dyDescent="0.25">
      <c r="T64546" s="135"/>
      <c r="U64546" s="135"/>
    </row>
    <row r="64547" spans="20:21" ht="15" customHeight="1" x14ac:dyDescent="0.25">
      <c r="T64547" s="135"/>
      <c r="U64547" s="135"/>
    </row>
    <row r="64548" spans="20:21" ht="15" customHeight="1" x14ac:dyDescent="0.25">
      <c r="T64548" s="135"/>
      <c r="U64548" s="135"/>
    </row>
    <row r="64549" spans="20:21" ht="15" customHeight="1" x14ac:dyDescent="0.25">
      <c r="T64549" s="135"/>
      <c r="U64549" s="135"/>
    </row>
    <row r="64550" spans="20:21" ht="15" customHeight="1" x14ac:dyDescent="0.25">
      <c r="T64550" s="135"/>
      <c r="U64550" s="135"/>
    </row>
    <row r="64551" spans="20:21" ht="15" customHeight="1" x14ac:dyDescent="0.25">
      <c r="T64551" s="135"/>
      <c r="U64551" s="135"/>
    </row>
    <row r="64552" spans="20:21" ht="15" customHeight="1" x14ac:dyDescent="0.25">
      <c r="T64552" s="135"/>
      <c r="U64552" s="135"/>
    </row>
    <row r="64553" spans="20:21" ht="15" customHeight="1" x14ac:dyDescent="0.25">
      <c r="T64553" s="135"/>
      <c r="U64553" s="135"/>
    </row>
    <row r="64554" spans="20:21" ht="15" customHeight="1" x14ac:dyDescent="0.25">
      <c r="T64554" s="135"/>
      <c r="U64554" s="135"/>
    </row>
    <row r="64555" spans="20:21" ht="15" customHeight="1" x14ac:dyDescent="0.25">
      <c r="T64555" s="135"/>
      <c r="U64555" s="135"/>
    </row>
    <row r="64556" spans="20:21" ht="15" customHeight="1" x14ac:dyDescent="0.25">
      <c r="T64556" s="135"/>
      <c r="U64556" s="135"/>
    </row>
    <row r="64557" spans="20:21" ht="15" customHeight="1" x14ac:dyDescent="0.25">
      <c r="T64557" s="135"/>
      <c r="U64557" s="135"/>
    </row>
    <row r="64558" spans="20:21" ht="15" customHeight="1" x14ac:dyDescent="0.25">
      <c r="T64558" s="135"/>
      <c r="U64558" s="135"/>
    </row>
    <row r="64559" spans="20:21" ht="15" customHeight="1" x14ac:dyDescent="0.25">
      <c r="T64559" s="135"/>
      <c r="U64559" s="135"/>
    </row>
    <row r="64560" spans="20:21" ht="15" customHeight="1" x14ac:dyDescent="0.25">
      <c r="T64560" s="135"/>
      <c r="U64560" s="135"/>
    </row>
    <row r="64561" spans="20:21" ht="15" customHeight="1" x14ac:dyDescent="0.25">
      <c r="T64561" s="135"/>
      <c r="U64561" s="135"/>
    </row>
    <row r="64562" spans="20:21" ht="15" customHeight="1" x14ac:dyDescent="0.25">
      <c r="T64562" s="135"/>
      <c r="U64562" s="135"/>
    </row>
    <row r="64563" spans="20:21" ht="15" customHeight="1" x14ac:dyDescent="0.25">
      <c r="T64563" s="135"/>
      <c r="U64563" s="135"/>
    </row>
    <row r="64564" spans="20:21" ht="15" customHeight="1" x14ac:dyDescent="0.25">
      <c r="T64564" s="135"/>
      <c r="U64564" s="135"/>
    </row>
    <row r="64565" spans="20:21" ht="15" customHeight="1" x14ac:dyDescent="0.25">
      <c r="T64565" s="135"/>
      <c r="U64565" s="135"/>
    </row>
    <row r="64566" spans="20:21" ht="15" customHeight="1" x14ac:dyDescent="0.25">
      <c r="T64566" s="135"/>
      <c r="U64566" s="135"/>
    </row>
    <row r="64567" spans="20:21" ht="15" customHeight="1" x14ac:dyDescent="0.25">
      <c r="T64567" s="135"/>
      <c r="U64567" s="135"/>
    </row>
    <row r="64568" spans="20:21" ht="15" customHeight="1" x14ac:dyDescent="0.25">
      <c r="T64568" s="135"/>
      <c r="U64568" s="135"/>
    </row>
    <row r="64569" spans="20:21" ht="15" customHeight="1" x14ac:dyDescent="0.25">
      <c r="T64569" s="135"/>
      <c r="U64569" s="135"/>
    </row>
    <row r="64570" spans="20:21" ht="15" customHeight="1" x14ac:dyDescent="0.25">
      <c r="T64570" s="135"/>
      <c r="U64570" s="135"/>
    </row>
    <row r="64571" spans="20:21" ht="15" customHeight="1" x14ac:dyDescent="0.25">
      <c r="T64571" s="135"/>
      <c r="U64571" s="135"/>
    </row>
    <row r="64572" spans="20:21" ht="15" customHeight="1" x14ac:dyDescent="0.25">
      <c r="T64572" s="135"/>
      <c r="U64572" s="135"/>
    </row>
    <row r="64573" spans="20:21" ht="15" customHeight="1" x14ac:dyDescent="0.25">
      <c r="T64573" s="135"/>
      <c r="U64573" s="135"/>
    </row>
    <row r="64574" spans="20:21" ht="15" customHeight="1" x14ac:dyDescent="0.25">
      <c r="T64574" s="135"/>
      <c r="U64574" s="135"/>
    </row>
    <row r="64575" spans="20:21" ht="15" customHeight="1" x14ac:dyDescent="0.25">
      <c r="T64575" s="135"/>
      <c r="U64575" s="135"/>
    </row>
    <row r="64576" spans="20:21" ht="15" customHeight="1" x14ac:dyDescent="0.25">
      <c r="T64576" s="135"/>
      <c r="U64576" s="135"/>
    </row>
    <row r="64577" spans="20:21" ht="15" customHeight="1" x14ac:dyDescent="0.25">
      <c r="T64577" s="135"/>
      <c r="U64577" s="135"/>
    </row>
    <row r="64578" spans="20:21" ht="15" customHeight="1" x14ac:dyDescent="0.25">
      <c r="T64578" s="135"/>
      <c r="U64578" s="135"/>
    </row>
    <row r="64579" spans="20:21" ht="15" customHeight="1" x14ac:dyDescent="0.25">
      <c r="T64579" s="135"/>
      <c r="U64579" s="135"/>
    </row>
    <row r="64580" spans="20:21" ht="15" customHeight="1" x14ac:dyDescent="0.25">
      <c r="T64580" s="135"/>
      <c r="U64580" s="135"/>
    </row>
    <row r="64581" spans="20:21" ht="15" customHeight="1" x14ac:dyDescent="0.25">
      <c r="T64581" s="135"/>
      <c r="U64581" s="135"/>
    </row>
    <row r="64582" spans="20:21" ht="15" customHeight="1" x14ac:dyDescent="0.25">
      <c r="T64582" s="135"/>
      <c r="U64582" s="135"/>
    </row>
    <row r="64583" spans="20:21" ht="15" customHeight="1" x14ac:dyDescent="0.25">
      <c r="T64583" s="135"/>
      <c r="U64583" s="135"/>
    </row>
    <row r="64584" spans="20:21" ht="15" customHeight="1" x14ac:dyDescent="0.25">
      <c r="T64584" s="135"/>
      <c r="U64584" s="135"/>
    </row>
    <row r="64585" spans="20:21" ht="15" customHeight="1" x14ac:dyDescent="0.25">
      <c r="T64585" s="135"/>
      <c r="U64585" s="135"/>
    </row>
    <row r="64586" spans="20:21" ht="15" customHeight="1" x14ac:dyDescent="0.25">
      <c r="T64586" s="135"/>
      <c r="U64586" s="135"/>
    </row>
    <row r="64587" spans="20:21" ht="15" customHeight="1" x14ac:dyDescent="0.25">
      <c r="T64587" s="135"/>
      <c r="U64587" s="135"/>
    </row>
    <row r="64588" spans="20:21" ht="15" customHeight="1" x14ac:dyDescent="0.25">
      <c r="T64588" s="135"/>
      <c r="U64588" s="135"/>
    </row>
    <row r="64589" spans="20:21" ht="15" customHeight="1" x14ac:dyDescent="0.25">
      <c r="T64589" s="135"/>
      <c r="U64589" s="135"/>
    </row>
    <row r="64590" spans="20:21" ht="15" customHeight="1" x14ac:dyDescent="0.25">
      <c r="T64590" s="135"/>
      <c r="U64590" s="135"/>
    </row>
    <row r="64591" spans="20:21" ht="15" customHeight="1" x14ac:dyDescent="0.25">
      <c r="T64591" s="135"/>
      <c r="U64591" s="135"/>
    </row>
    <row r="64592" spans="20:21" ht="15" customHeight="1" x14ac:dyDescent="0.25">
      <c r="T64592" s="135"/>
      <c r="U64592" s="135"/>
    </row>
    <row r="64593" spans="20:21" ht="15" customHeight="1" x14ac:dyDescent="0.25">
      <c r="T64593" s="135"/>
      <c r="U64593" s="135"/>
    </row>
    <row r="64594" spans="20:21" ht="15" customHeight="1" x14ac:dyDescent="0.25">
      <c r="T64594" s="135"/>
      <c r="U64594" s="135"/>
    </row>
    <row r="64595" spans="20:21" ht="15" customHeight="1" x14ac:dyDescent="0.25">
      <c r="T64595" s="135"/>
      <c r="U64595" s="135"/>
    </row>
    <row r="64596" spans="20:21" ht="15" customHeight="1" x14ac:dyDescent="0.25">
      <c r="T64596" s="135"/>
      <c r="U64596" s="135"/>
    </row>
    <row r="64597" spans="20:21" ht="15" customHeight="1" x14ac:dyDescent="0.25">
      <c r="T64597" s="135"/>
      <c r="U64597" s="135"/>
    </row>
    <row r="64598" spans="20:21" ht="15" customHeight="1" x14ac:dyDescent="0.25">
      <c r="T64598" s="135"/>
      <c r="U64598" s="135"/>
    </row>
    <row r="64599" spans="20:21" ht="15" customHeight="1" x14ac:dyDescent="0.25">
      <c r="T64599" s="135"/>
      <c r="U64599" s="135"/>
    </row>
    <row r="64600" spans="20:21" ht="15" customHeight="1" x14ac:dyDescent="0.25">
      <c r="T64600" s="135"/>
      <c r="U64600" s="135"/>
    </row>
    <row r="64601" spans="20:21" ht="15" customHeight="1" x14ac:dyDescent="0.25">
      <c r="T64601" s="135"/>
      <c r="U64601" s="135"/>
    </row>
    <row r="64602" spans="20:21" ht="15" customHeight="1" x14ac:dyDescent="0.25">
      <c r="T64602" s="135"/>
      <c r="U64602" s="135"/>
    </row>
    <row r="64603" spans="20:21" ht="15" customHeight="1" x14ac:dyDescent="0.25">
      <c r="T64603" s="135"/>
      <c r="U64603" s="135"/>
    </row>
    <row r="64604" spans="20:21" ht="15" customHeight="1" x14ac:dyDescent="0.25">
      <c r="T64604" s="135"/>
      <c r="U64604" s="135"/>
    </row>
    <row r="64605" spans="20:21" ht="15" customHeight="1" x14ac:dyDescent="0.25">
      <c r="T64605" s="135"/>
      <c r="U64605" s="135"/>
    </row>
    <row r="64606" spans="20:21" ht="15" customHeight="1" x14ac:dyDescent="0.25">
      <c r="T64606" s="135"/>
      <c r="U64606" s="135"/>
    </row>
    <row r="64607" spans="20:21" ht="15" customHeight="1" x14ac:dyDescent="0.25">
      <c r="T64607" s="135"/>
      <c r="U64607" s="135"/>
    </row>
    <row r="64608" spans="20:21" ht="15" customHeight="1" x14ac:dyDescent="0.25">
      <c r="T64608" s="135"/>
      <c r="U64608" s="135"/>
    </row>
    <row r="64609" spans="20:21" ht="15" customHeight="1" x14ac:dyDescent="0.25">
      <c r="T64609" s="135"/>
      <c r="U64609" s="135"/>
    </row>
    <row r="64610" spans="20:21" ht="15" customHeight="1" x14ac:dyDescent="0.25">
      <c r="T64610" s="135"/>
      <c r="U64610" s="135"/>
    </row>
    <row r="64611" spans="20:21" ht="15" customHeight="1" x14ac:dyDescent="0.25">
      <c r="T64611" s="135"/>
      <c r="U64611" s="135"/>
    </row>
    <row r="64612" spans="20:21" ht="15" customHeight="1" x14ac:dyDescent="0.25">
      <c r="T64612" s="135"/>
      <c r="U64612" s="135"/>
    </row>
    <row r="64613" spans="20:21" ht="15" customHeight="1" x14ac:dyDescent="0.25">
      <c r="T64613" s="135"/>
      <c r="U64613" s="135"/>
    </row>
    <row r="64614" spans="20:21" ht="15" customHeight="1" x14ac:dyDescent="0.25">
      <c r="T64614" s="135"/>
      <c r="U64614" s="135"/>
    </row>
    <row r="64615" spans="20:21" ht="15" customHeight="1" x14ac:dyDescent="0.25">
      <c r="T64615" s="135"/>
      <c r="U64615" s="135"/>
    </row>
    <row r="64616" spans="20:21" ht="15" customHeight="1" x14ac:dyDescent="0.25">
      <c r="T64616" s="135"/>
      <c r="U64616" s="135"/>
    </row>
    <row r="64617" spans="20:21" ht="15" customHeight="1" x14ac:dyDescent="0.25">
      <c r="T64617" s="135"/>
      <c r="U64617" s="135"/>
    </row>
    <row r="64618" spans="20:21" ht="15" customHeight="1" x14ac:dyDescent="0.25">
      <c r="T64618" s="135"/>
      <c r="U64618" s="135"/>
    </row>
    <row r="64619" spans="20:21" ht="15" customHeight="1" x14ac:dyDescent="0.25">
      <c r="T64619" s="135"/>
      <c r="U64619" s="135"/>
    </row>
    <row r="64620" spans="20:21" ht="15" customHeight="1" x14ac:dyDescent="0.25">
      <c r="T64620" s="135"/>
      <c r="U64620" s="135"/>
    </row>
    <row r="64621" spans="20:21" ht="15" customHeight="1" x14ac:dyDescent="0.25">
      <c r="T64621" s="135"/>
      <c r="U64621" s="135"/>
    </row>
    <row r="64622" spans="20:21" ht="15" customHeight="1" x14ac:dyDescent="0.25">
      <c r="T64622" s="135"/>
      <c r="U64622" s="135"/>
    </row>
    <row r="64623" spans="20:21" ht="15" customHeight="1" x14ac:dyDescent="0.25">
      <c r="T64623" s="135"/>
      <c r="U64623" s="135"/>
    </row>
    <row r="64624" spans="20:21" ht="15" customHeight="1" x14ac:dyDescent="0.25">
      <c r="T64624" s="135"/>
      <c r="U64624" s="135"/>
    </row>
    <row r="64625" spans="20:21" ht="15" customHeight="1" x14ac:dyDescent="0.25">
      <c r="T64625" s="135"/>
      <c r="U64625" s="135"/>
    </row>
    <row r="64626" spans="20:21" ht="15" customHeight="1" x14ac:dyDescent="0.25">
      <c r="T64626" s="135"/>
      <c r="U64626" s="135"/>
    </row>
    <row r="64627" spans="20:21" ht="15" customHeight="1" x14ac:dyDescent="0.25">
      <c r="T64627" s="135"/>
      <c r="U64627" s="135"/>
    </row>
    <row r="64628" spans="20:21" ht="15" customHeight="1" x14ac:dyDescent="0.25">
      <c r="T64628" s="135"/>
      <c r="U64628" s="135"/>
    </row>
    <row r="64629" spans="20:21" ht="15" customHeight="1" x14ac:dyDescent="0.25">
      <c r="T64629" s="135"/>
      <c r="U64629" s="135"/>
    </row>
    <row r="64630" spans="20:21" ht="15" customHeight="1" x14ac:dyDescent="0.25">
      <c r="T64630" s="135"/>
      <c r="U64630" s="135"/>
    </row>
    <row r="64631" spans="20:21" ht="15" customHeight="1" x14ac:dyDescent="0.25">
      <c r="T64631" s="135"/>
      <c r="U64631" s="135"/>
    </row>
    <row r="64632" spans="20:21" ht="15" customHeight="1" x14ac:dyDescent="0.25">
      <c r="T64632" s="135"/>
      <c r="U64632" s="135"/>
    </row>
    <row r="64633" spans="20:21" ht="15" customHeight="1" x14ac:dyDescent="0.25">
      <c r="T64633" s="135"/>
      <c r="U64633" s="135"/>
    </row>
    <row r="64634" spans="20:21" ht="15" customHeight="1" x14ac:dyDescent="0.25">
      <c r="T64634" s="135"/>
      <c r="U64634" s="135"/>
    </row>
    <row r="64635" spans="20:21" ht="15" customHeight="1" x14ac:dyDescent="0.25">
      <c r="T64635" s="135"/>
      <c r="U64635" s="135"/>
    </row>
    <row r="64636" spans="20:21" ht="15" customHeight="1" x14ac:dyDescent="0.25">
      <c r="T64636" s="135"/>
      <c r="U64636" s="135"/>
    </row>
    <row r="64637" spans="20:21" ht="15" customHeight="1" x14ac:dyDescent="0.25">
      <c r="T64637" s="135"/>
      <c r="U64637" s="135"/>
    </row>
    <row r="64638" spans="20:21" ht="15" customHeight="1" x14ac:dyDescent="0.25">
      <c r="T64638" s="135"/>
      <c r="U64638" s="135"/>
    </row>
    <row r="64639" spans="20:21" ht="15" customHeight="1" x14ac:dyDescent="0.25">
      <c r="T64639" s="135"/>
      <c r="U64639" s="135"/>
    </row>
    <row r="64640" spans="20:21" ht="15" customHeight="1" x14ac:dyDescent="0.25">
      <c r="T64640" s="135"/>
      <c r="U64640" s="135"/>
    </row>
    <row r="64641" spans="20:21" ht="15" customHeight="1" x14ac:dyDescent="0.25">
      <c r="T64641" s="135"/>
      <c r="U64641" s="135"/>
    </row>
    <row r="64642" spans="20:21" ht="15" customHeight="1" x14ac:dyDescent="0.25">
      <c r="T64642" s="135"/>
      <c r="U64642" s="135"/>
    </row>
    <row r="64643" spans="20:21" ht="15" customHeight="1" x14ac:dyDescent="0.25">
      <c r="T64643" s="135"/>
      <c r="U64643" s="135"/>
    </row>
    <row r="64644" spans="20:21" ht="15" customHeight="1" x14ac:dyDescent="0.25">
      <c r="T64644" s="135"/>
      <c r="U64644" s="135"/>
    </row>
    <row r="64645" spans="20:21" ht="15" customHeight="1" x14ac:dyDescent="0.25">
      <c r="T64645" s="135"/>
      <c r="U64645" s="135"/>
    </row>
    <row r="64646" spans="20:21" ht="15" customHeight="1" x14ac:dyDescent="0.25">
      <c r="T64646" s="135"/>
      <c r="U64646" s="135"/>
    </row>
    <row r="64647" spans="20:21" ht="15" customHeight="1" x14ac:dyDescent="0.25">
      <c r="T64647" s="135"/>
      <c r="U64647" s="135"/>
    </row>
    <row r="64648" spans="20:21" ht="15" customHeight="1" x14ac:dyDescent="0.25">
      <c r="T64648" s="135"/>
      <c r="U64648" s="135"/>
    </row>
    <row r="64649" spans="20:21" ht="15" customHeight="1" x14ac:dyDescent="0.25">
      <c r="T64649" s="135"/>
      <c r="U64649" s="135"/>
    </row>
    <row r="64650" spans="20:21" ht="15" customHeight="1" x14ac:dyDescent="0.25">
      <c r="T64650" s="135"/>
      <c r="U64650" s="135"/>
    </row>
    <row r="64651" spans="20:21" ht="15" customHeight="1" x14ac:dyDescent="0.25">
      <c r="T64651" s="135"/>
      <c r="U64651" s="135"/>
    </row>
    <row r="64652" spans="20:21" ht="15" customHeight="1" x14ac:dyDescent="0.25">
      <c r="T64652" s="135"/>
      <c r="U64652" s="135"/>
    </row>
    <row r="64653" spans="20:21" ht="15" customHeight="1" x14ac:dyDescent="0.25">
      <c r="T64653" s="135"/>
      <c r="U64653" s="135"/>
    </row>
    <row r="64654" spans="20:21" ht="15" customHeight="1" x14ac:dyDescent="0.25">
      <c r="T64654" s="135"/>
      <c r="U64654" s="135"/>
    </row>
    <row r="64655" spans="20:21" ht="15" customHeight="1" x14ac:dyDescent="0.25">
      <c r="T64655" s="135"/>
      <c r="U64655" s="135"/>
    </row>
    <row r="64656" spans="20:21" ht="15" customHeight="1" x14ac:dyDescent="0.25">
      <c r="T64656" s="135"/>
      <c r="U64656" s="135"/>
    </row>
    <row r="64657" spans="20:21" ht="15" customHeight="1" x14ac:dyDescent="0.25">
      <c r="T64657" s="135"/>
      <c r="U64657" s="135"/>
    </row>
    <row r="64658" spans="20:21" ht="15" customHeight="1" x14ac:dyDescent="0.25">
      <c r="T64658" s="135"/>
      <c r="U64658" s="135"/>
    </row>
    <row r="64659" spans="20:21" ht="15" customHeight="1" x14ac:dyDescent="0.25">
      <c r="T64659" s="135"/>
      <c r="U64659" s="135"/>
    </row>
    <row r="64660" spans="20:21" ht="15" customHeight="1" x14ac:dyDescent="0.25">
      <c r="T64660" s="135"/>
      <c r="U64660" s="135"/>
    </row>
    <row r="64661" spans="20:21" ht="15" customHeight="1" x14ac:dyDescent="0.25">
      <c r="T64661" s="135"/>
      <c r="U64661" s="135"/>
    </row>
    <row r="64662" spans="20:21" ht="15" customHeight="1" x14ac:dyDescent="0.25">
      <c r="T64662" s="135"/>
      <c r="U64662" s="135"/>
    </row>
    <row r="64663" spans="20:21" ht="15" customHeight="1" x14ac:dyDescent="0.25">
      <c r="T64663" s="135"/>
      <c r="U64663" s="135"/>
    </row>
    <row r="64664" spans="20:21" ht="15" customHeight="1" x14ac:dyDescent="0.25">
      <c r="T64664" s="135"/>
      <c r="U64664" s="135"/>
    </row>
    <row r="64665" spans="20:21" ht="15" customHeight="1" x14ac:dyDescent="0.25">
      <c r="T64665" s="135"/>
      <c r="U64665" s="135"/>
    </row>
    <row r="64666" spans="20:21" ht="15" customHeight="1" x14ac:dyDescent="0.25">
      <c r="T64666" s="135"/>
      <c r="U64666" s="135"/>
    </row>
    <row r="64667" spans="20:21" ht="15" customHeight="1" x14ac:dyDescent="0.25">
      <c r="T64667" s="135"/>
      <c r="U64667" s="135"/>
    </row>
    <row r="64668" spans="20:21" ht="15" customHeight="1" x14ac:dyDescent="0.25">
      <c r="T64668" s="135"/>
      <c r="U64668" s="135"/>
    </row>
    <row r="64669" spans="20:21" ht="15" customHeight="1" x14ac:dyDescent="0.25">
      <c r="T64669" s="135"/>
      <c r="U64669" s="135"/>
    </row>
    <row r="64670" spans="20:21" ht="15" customHeight="1" x14ac:dyDescent="0.25">
      <c r="T64670" s="135"/>
      <c r="U64670" s="135"/>
    </row>
    <row r="64671" spans="20:21" ht="15" customHeight="1" x14ac:dyDescent="0.25">
      <c r="T64671" s="135"/>
      <c r="U64671" s="135"/>
    </row>
    <row r="64672" spans="20:21" ht="15" customHeight="1" x14ac:dyDescent="0.25">
      <c r="T64672" s="135"/>
      <c r="U64672" s="135"/>
    </row>
    <row r="64673" spans="20:21" ht="15" customHeight="1" x14ac:dyDescent="0.25">
      <c r="T64673" s="135"/>
      <c r="U64673" s="135"/>
    </row>
    <row r="64674" spans="20:21" ht="15" customHeight="1" x14ac:dyDescent="0.25">
      <c r="T64674" s="135"/>
      <c r="U64674" s="135"/>
    </row>
    <row r="64675" spans="20:21" ht="15" customHeight="1" x14ac:dyDescent="0.25">
      <c r="T64675" s="135"/>
      <c r="U64675" s="135"/>
    </row>
    <row r="64676" spans="20:21" ht="15" customHeight="1" x14ac:dyDescent="0.25">
      <c r="T64676" s="135"/>
      <c r="U64676" s="135"/>
    </row>
    <row r="64677" spans="20:21" ht="15" customHeight="1" x14ac:dyDescent="0.25">
      <c r="T64677" s="135"/>
      <c r="U64677" s="135"/>
    </row>
    <row r="64678" spans="20:21" ht="15" customHeight="1" x14ac:dyDescent="0.25">
      <c r="T64678" s="135"/>
      <c r="U64678" s="135"/>
    </row>
    <row r="64679" spans="20:21" ht="15" customHeight="1" x14ac:dyDescent="0.25">
      <c r="T64679" s="135"/>
      <c r="U64679" s="135"/>
    </row>
    <row r="64680" spans="20:21" ht="15" customHeight="1" x14ac:dyDescent="0.25">
      <c r="T64680" s="135"/>
      <c r="U64680" s="135"/>
    </row>
    <row r="64681" spans="20:21" ht="15" customHeight="1" x14ac:dyDescent="0.25">
      <c r="T64681" s="135"/>
      <c r="U64681" s="135"/>
    </row>
    <row r="64682" spans="20:21" ht="15" customHeight="1" x14ac:dyDescent="0.25">
      <c r="T64682" s="135"/>
      <c r="U64682" s="135"/>
    </row>
    <row r="64683" spans="20:21" ht="15" customHeight="1" x14ac:dyDescent="0.25">
      <c r="T64683" s="135"/>
      <c r="U64683" s="135"/>
    </row>
    <row r="64684" spans="20:21" ht="15" customHeight="1" x14ac:dyDescent="0.25">
      <c r="T64684" s="135"/>
      <c r="U64684" s="135"/>
    </row>
    <row r="64685" spans="20:21" ht="15" customHeight="1" x14ac:dyDescent="0.25">
      <c r="T64685" s="135"/>
      <c r="U64685" s="135"/>
    </row>
    <row r="64686" spans="20:21" ht="15" customHeight="1" x14ac:dyDescent="0.25">
      <c r="T64686" s="135"/>
      <c r="U64686" s="135"/>
    </row>
    <row r="64687" spans="20:21" ht="15" customHeight="1" x14ac:dyDescent="0.25">
      <c r="T64687" s="135"/>
      <c r="U64687" s="135"/>
    </row>
    <row r="64688" spans="20:21" ht="15" customHeight="1" x14ac:dyDescent="0.25">
      <c r="T64688" s="135"/>
      <c r="U64688" s="135"/>
    </row>
    <row r="64689" spans="20:21" ht="15" customHeight="1" x14ac:dyDescent="0.25">
      <c r="T64689" s="135"/>
      <c r="U64689" s="135"/>
    </row>
    <row r="64690" spans="20:21" ht="15" customHeight="1" x14ac:dyDescent="0.25">
      <c r="T64690" s="135"/>
      <c r="U64690" s="135"/>
    </row>
    <row r="64691" spans="20:21" ht="15" customHeight="1" x14ac:dyDescent="0.25">
      <c r="T64691" s="135"/>
      <c r="U64691" s="135"/>
    </row>
    <row r="64692" spans="20:21" ht="15" customHeight="1" x14ac:dyDescent="0.25">
      <c r="T64692" s="135"/>
      <c r="U64692" s="135"/>
    </row>
    <row r="64693" spans="20:21" ht="15" customHeight="1" x14ac:dyDescent="0.25">
      <c r="T64693" s="135"/>
      <c r="U64693" s="135"/>
    </row>
    <row r="64694" spans="20:21" ht="15" customHeight="1" x14ac:dyDescent="0.25">
      <c r="T64694" s="135"/>
      <c r="U64694" s="135"/>
    </row>
    <row r="64695" spans="20:21" ht="15" customHeight="1" x14ac:dyDescent="0.25">
      <c r="T64695" s="135"/>
      <c r="U64695" s="135"/>
    </row>
    <row r="64696" spans="20:21" ht="15" customHeight="1" x14ac:dyDescent="0.25">
      <c r="T64696" s="135"/>
      <c r="U64696" s="135"/>
    </row>
    <row r="64697" spans="20:21" ht="15" customHeight="1" x14ac:dyDescent="0.25">
      <c r="T64697" s="135"/>
      <c r="U64697" s="135"/>
    </row>
    <row r="64698" spans="20:21" ht="15" customHeight="1" x14ac:dyDescent="0.25">
      <c r="T64698" s="135"/>
      <c r="U64698" s="135"/>
    </row>
    <row r="64699" spans="20:21" ht="15" customHeight="1" x14ac:dyDescent="0.25">
      <c r="T64699" s="135"/>
      <c r="U64699" s="135"/>
    </row>
    <row r="64700" spans="20:21" ht="15" customHeight="1" x14ac:dyDescent="0.25">
      <c r="T64700" s="135"/>
      <c r="U64700" s="135"/>
    </row>
    <row r="64701" spans="20:21" ht="15" customHeight="1" x14ac:dyDescent="0.25">
      <c r="T64701" s="135"/>
      <c r="U64701" s="135"/>
    </row>
    <row r="64702" spans="20:21" ht="15" customHeight="1" x14ac:dyDescent="0.25">
      <c r="T64702" s="135"/>
      <c r="U64702" s="135"/>
    </row>
    <row r="64703" spans="20:21" ht="15" customHeight="1" x14ac:dyDescent="0.25">
      <c r="T64703" s="135"/>
      <c r="U64703" s="135"/>
    </row>
    <row r="64704" spans="20:21" ht="15" customHeight="1" x14ac:dyDescent="0.25">
      <c r="T64704" s="135"/>
      <c r="U64704" s="135"/>
    </row>
    <row r="64705" spans="20:21" ht="15" customHeight="1" x14ac:dyDescent="0.25">
      <c r="T64705" s="135"/>
      <c r="U64705" s="135"/>
    </row>
    <row r="64706" spans="20:21" ht="15" customHeight="1" x14ac:dyDescent="0.25">
      <c r="T64706" s="135"/>
      <c r="U64706" s="135"/>
    </row>
    <row r="64707" spans="20:21" ht="15" customHeight="1" x14ac:dyDescent="0.25">
      <c r="T64707" s="135"/>
      <c r="U64707" s="135"/>
    </row>
    <row r="64708" spans="20:21" ht="15" customHeight="1" x14ac:dyDescent="0.25">
      <c r="T64708" s="135"/>
      <c r="U64708" s="135"/>
    </row>
    <row r="64709" spans="20:21" ht="15" customHeight="1" x14ac:dyDescent="0.25">
      <c r="T64709" s="135"/>
      <c r="U64709" s="135"/>
    </row>
    <row r="64710" spans="20:21" ht="15" customHeight="1" x14ac:dyDescent="0.25">
      <c r="T64710" s="135"/>
      <c r="U64710" s="135"/>
    </row>
    <row r="64711" spans="20:21" ht="15" customHeight="1" x14ac:dyDescent="0.25">
      <c r="T64711" s="135"/>
      <c r="U64711" s="135"/>
    </row>
    <row r="64712" spans="20:21" ht="15" customHeight="1" x14ac:dyDescent="0.25">
      <c r="T64712" s="135"/>
      <c r="U64712" s="135"/>
    </row>
    <row r="64713" spans="20:21" ht="15" customHeight="1" x14ac:dyDescent="0.25">
      <c r="T64713" s="135"/>
      <c r="U64713" s="135"/>
    </row>
    <row r="64714" spans="20:21" ht="15" customHeight="1" x14ac:dyDescent="0.25">
      <c r="T64714" s="135"/>
      <c r="U64714" s="135"/>
    </row>
    <row r="64715" spans="20:21" ht="15" customHeight="1" x14ac:dyDescent="0.25">
      <c r="T64715" s="135"/>
      <c r="U64715" s="135"/>
    </row>
    <row r="64716" spans="20:21" ht="15" customHeight="1" x14ac:dyDescent="0.25">
      <c r="T64716" s="135"/>
      <c r="U64716" s="135"/>
    </row>
    <row r="64717" spans="20:21" ht="15" customHeight="1" x14ac:dyDescent="0.25">
      <c r="T64717" s="135"/>
      <c r="U64717" s="135"/>
    </row>
    <row r="64718" spans="20:21" ht="15" customHeight="1" x14ac:dyDescent="0.25">
      <c r="T64718" s="135"/>
      <c r="U64718" s="135"/>
    </row>
    <row r="64719" spans="20:21" ht="15" customHeight="1" x14ac:dyDescent="0.25">
      <c r="T64719" s="135"/>
      <c r="U64719" s="135"/>
    </row>
    <row r="64720" spans="20:21" ht="15" customHeight="1" x14ac:dyDescent="0.25">
      <c r="T64720" s="135"/>
      <c r="U64720" s="135"/>
    </row>
    <row r="64721" spans="20:21" ht="15" customHeight="1" x14ac:dyDescent="0.25">
      <c r="T64721" s="135"/>
      <c r="U64721" s="135"/>
    </row>
    <row r="64722" spans="20:21" ht="15" customHeight="1" x14ac:dyDescent="0.25">
      <c r="T64722" s="135"/>
      <c r="U64722" s="135"/>
    </row>
    <row r="64723" spans="20:21" ht="15" customHeight="1" x14ac:dyDescent="0.25">
      <c r="T64723" s="135"/>
      <c r="U64723" s="135"/>
    </row>
    <row r="64724" spans="20:21" ht="15" customHeight="1" x14ac:dyDescent="0.25">
      <c r="T64724" s="135"/>
      <c r="U64724" s="135"/>
    </row>
    <row r="64725" spans="20:21" ht="15" customHeight="1" x14ac:dyDescent="0.25">
      <c r="T64725" s="135"/>
      <c r="U64725" s="135"/>
    </row>
    <row r="64726" spans="20:21" ht="15" customHeight="1" x14ac:dyDescent="0.25">
      <c r="T64726" s="135"/>
      <c r="U64726" s="135"/>
    </row>
    <row r="64727" spans="20:21" ht="15" customHeight="1" x14ac:dyDescent="0.25">
      <c r="T64727" s="135"/>
      <c r="U64727" s="135"/>
    </row>
    <row r="64728" spans="20:21" ht="15" customHeight="1" x14ac:dyDescent="0.25">
      <c r="T64728" s="135"/>
      <c r="U64728" s="135"/>
    </row>
    <row r="64729" spans="20:21" ht="15" customHeight="1" x14ac:dyDescent="0.25">
      <c r="T64729" s="135"/>
      <c r="U64729" s="135"/>
    </row>
    <row r="64730" spans="20:21" ht="15" customHeight="1" x14ac:dyDescent="0.25">
      <c r="T64730" s="135"/>
      <c r="U64730" s="135"/>
    </row>
    <row r="64731" spans="20:21" ht="15" customHeight="1" x14ac:dyDescent="0.25">
      <c r="T64731" s="135"/>
      <c r="U64731" s="135"/>
    </row>
    <row r="64732" spans="20:21" ht="15" customHeight="1" x14ac:dyDescent="0.25">
      <c r="T64732" s="135"/>
      <c r="U64732" s="135"/>
    </row>
    <row r="64733" spans="20:21" ht="15" customHeight="1" x14ac:dyDescent="0.25">
      <c r="T64733" s="135"/>
      <c r="U64733" s="135"/>
    </row>
    <row r="64734" spans="20:21" ht="15" customHeight="1" x14ac:dyDescent="0.25">
      <c r="T64734" s="135"/>
      <c r="U64734" s="135"/>
    </row>
    <row r="64735" spans="20:21" ht="15" customHeight="1" x14ac:dyDescent="0.25">
      <c r="T64735" s="135"/>
      <c r="U64735" s="135"/>
    </row>
    <row r="64736" spans="20:21" ht="15" customHeight="1" x14ac:dyDescent="0.25">
      <c r="T64736" s="135"/>
      <c r="U64736" s="135"/>
    </row>
    <row r="64737" spans="20:21" ht="15" customHeight="1" x14ac:dyDescent="0.25">
      <c r="T64737" s="135"/>
      <c r="U64737" s="135"/>
    </row>
    <row r="64738" spans="20:21" ht="15" customHeight="1" x14ac:dyDescent="0.25">
      <c r="T64738" s="135"/>
      <c r="U64738" s="135"/>
    </row>
    <row r="64739" spans="20:21" ht="15" customHeight="1" x14ac:dyDescent="0.25">
      <c r="T64739" s="135"/>
      <c r="U64739" s="135"/>
    </row>
    <row r="64740" spans="20:21" ht="15" customHeight="1" x14ac:dyDescent="0.25">
      <c r="T64740" s="135"/>
      <c r="U64740" s="135"/>
    </row>
    <row r="64741" spans="20:21" ht="15" customHeight="1" x14ac:dyDescent="0.25">
      <c r="T64741" s="135"/>
      <c r="U64741" s="135"/>
    </row>
    <row r="64742" spans="20:21" ht="15" customHeight="1" x14ac:dyDescent="0.25">
      <c r="T64742" s="135"/>
      <c r="U64742" s="135"/>
    </row>
    <row r="64743" spans="20:21" ht="15" customHeight="1" x14ac:dyDescent="0.25">
      <c r="T64743" s="135"/>
      <c r="U64743" s="135"/>
    </row>
    <row r="64744" spans="20:21" ht="15" customHeight="1" x14ac:dyDescent="0.25">
      <c r="T64744" s="135"/>
      <c r="U64744" s="135"/>
    </row>
    <row r="64745" spans="20:21" ht="15" customHeight="1" x14ac:dyDescent="0.25">
      <c r="T64745" s="135"/>
      <c r="U64745" s="135"/>
    </row>
    <row r="64746" spans="20:21" ht="15" customHeight="1" x14ac:dyDescent="0.25">
      <c r="T64746" s="135"/>
      <c r="U64746" s="135"/>
    </row>
    <row r="64747" spans="20:21" ht="15" customHeight="1" x14ac:dyDescent="0.25">
      <c r="T64747" s="135"/>
      <c r="U64747" s="135"/>
    </row>
    <row r="64748" spans="20:21" ht="15" customHeight="1" x14ac:dyDescent="0.25">
      <c r="T64748" s="135"/>
      <c r="U64748" s="135"/>
    </row>
    <row r="64749" spans="20:21" ht="15" customHeight="1" x14ac:dyDescent="0.25">
      <c r="T64749" s="135"/>
      <c r="U64749" s="135"/>
    </row>
    <row r="64750" spans="20:21" ht="15" customHeight="1" x14ac:dyDescent="0.25">
      <c r="T64750" s="135"/>
      <c r="U64750" s="135"/>
    </row>
    <row r="64751" spans="20:21" ht="15" customHeight="1" x14ac:dyDescent="0.25">
      <c r="T64751" s="135"/>
      <c r="U64751" s="135"/>
    </row>
    <row r="64752" spans="20:21" ht="15" customHeight="1" x14ac:dyDescent="0.25">
      <c r="T64752" s="135"/>
      <c r="U64752" s="135"/>
    </row>
    <row r="64753" spans="20:21" ht="15" customHeight="1" x14ac:dyDescent="0.25">
      <c r="T64753" s="135"/>
      <c r="U64753" s="135"/>
    </row>
    <row r="64754" spans="20:21" ht="15" customHeight="1" x14ac:dyDescent="0.25">
      <c r="T64754" s="135"/>
      <c r="U64754" s="135"/>
    </row>
    <row r="64755" spans="20:21" ht="15" customHeight="1" x14ac:dyDescent="0.25">
      <c r="T64755" s="135"/>
      <c r="U64755" s="135"/>
    </row>
    <row r="64756" spans="20:21" ht="15" customHeight="1" x14ac:dyDescent="0.25">
      <c r="T64756" s="135"/>
      <c r="U64756" s="135"/>
    </row>
    <row r="64757" spans="20:21" ht="15" customHeight="1" x14ac:dyDescent="0.25">
      <c r="T64757" s="135"/>
      <c r="U64757" s="135"/>
    </row>
    <row r="64758" spans="20:21" ht="15" customHeight="1" x14ac:dyDescent="0.25">
      <c r="T64758" s="135"/>
      <c r="U64758" s="135"/>
    </row>
    <row r="64759" spans="20:21" ht="15" customHeight="1" x14ac:dyDescent="0.25">
      <c r="T64759" s="135"/>
      <c r="U64759" s="135"/>
    </row>
    <row r="64760" spans="20:21" ht="15" customHeight="1" x14ac:dyDescent="0.25">
      <c r="T64760" s="135"/>
      <c r="U64760" s="135"/>
    </row>
    <row r="64761" spans="20:21" ht="15" customHeight="1" x14ac:dyDescent="0.25">
      <c r="T64761" s="135"/>
      <c r="U64761" s="135"/>
    </row>
    <row r="64762" spans="20:21" ht="15" customHeight="1" x14ac:dyDescent="0.25">
      <c r="T64762" s="135"/>
      <c r="U64762" s="135"/>
    </row>
    <row r="64763" spans="20:21" ht="15" customHeight="1" x14ac:dyDescent="0.25">
      <c r="T64763" s="135"/>
      <c r="U64763" s="135"/>
    </row>
    <row r="64764" spans="20:21" ht="15" customHeight="1" x14ac:dyDescent="0.25">
      <c r="T64764" s="135"/>
      <c r="U64764" s="135"/>
    </row>
    <row r="64765" spans="20:21" ht="15" customHeight="1" x14ac:dyDescent="0.25">
      <c r="T64765" s="135"/>
      <c r="U64765" s="135"/>
    </row>
    <row r="64766" spans="20:21" ht="15" customHeight="1" x14ac:dyDescent="0.25">
      <c r="T64766" s="135"/>
      <c r="U64766" s="135"/>
    </row>
    <row r="64767" spans="20:21" ht="15" customHeight="1" x14ac:dyDescent="0.25">
      <c r="T64767" s="135"/>
      <c r="U64767" s="135"/>
    </row>
    <row r="64768" spans="20:21" ht="15" customHeight="1" x14ac:dyDescent="0.25">
      <c r="T64768" s="135"/>
      <c r="U64768" s="135"/>
    </row>
    <row r="64769" spans="20:21" ht="15" customHeight="1" x14ac:dyDescent="0.25">
      <c r="T64769" s="135"/>
      <c r="U64769" s="135"/>
    </row>
    <row r="64770" spans="20:21" ht="15" customHeight="1" x14ac:dyDescent="0.25">
      <c r="T64770" s="135"/>
      <c r="U64770" s="135"/>
    </row>
    <row r="64771" spans="20:21" ht="15" customHeight="1" x14ac:dyDescent="0.25">
      <c r="T64771" s="135"/>
      <c r="U64771" s="135"/>
    </row>
    <row r="64772" spans="20:21" ht="15" customHeight="1" x14ac:dyDescent="0.25">
      <c r="T64772" s="135"/>
      <c r="U64772" s="135"/>
    </row>
    <row r="64773" spans="20:21" ht="15" customHeight="1" x14ac:dyDescent="0.25">
      <c r="T64773" s="135"/>
      <c r="U64773" s="135"/>
    </row>
    <row r="64774" spans="20:21" ht="15" customHeight="1" x14ac:dyDescent="0.25">
      <c r="T64774" s="135"/>
      <c r="U64774" s="135"/>
    </row>
    <row r="64775" spans="20:21" ht="15" customHeight="1" x14ac:dyDescent="0.25">
      <c r="T64775" s="135"/>
      <c r="U64775" s="135"/>
    </row>
    <row r="64776" spans="20:21" ht="15" customHeight="1" x14ac:dyDescent="0.25">
      <c r="T64776" s="135"/>
      <c r="U64776" s="135"/>
    </row>
    <row r="64777" spans="20:21" ht="15" customHeight="1" x14ac:dyDescent="0.25">
      <c r="T64777" s="135"/>
      <c r="U64777" s="135"/>
    </row>
    <row r="64778" spans="20:21" ht="15" customHeight="1" x14ac:dyDescent="0.25">
      <c r="T64778" s="135"/>
      <c r="U64778" s="135"/>
    </row>
    <row r="64779" spans="20:21" ht="15" customHeight="1" x14ac:dyDescent="0.25">
      <c r="T64779" s="135"/>
      <c r="U64779" s="135"/>
    </row>
    <row r="64780" spans="20:21" ht="15" customHeight="1" x14ac:dyDescent="0.25">
      <c r="T64780" s="135"/>
      <c r="U64780" s="135"/>
    </row>
    <row r="64781" spans="20:21" ht="15" customHeight="1" x14ac:dyDescent="0.25">
      <c r="T64781" s="135"/>
      <c r="U64781" s="135"/>
    </row>
    <row r="64782" spans="20:21" ht="15" customHeight="1" x14ac:dyDescent="0.25">
      <c r="T64782" s="135"/>
      <c r="U64782" s="135"/>
    </row>
    <row r="64783" spans="20:21" ht="15" customHeight="1" x14ac:dyDescent="0.25">
      <c r="T64783" s="135"/>
      <c r="U64783" s="135"/>
    </row>
    <row r="64784" spans="20:21" ht="15" customHeight="1" x14ac:dyDescent="0.25">
      <c r="T64784" s="135"/>
      <c r="U64784" s="135"/>
    </row>
    <row r="64785" spans="20:21" ht="15" customHeight="1" x14ac:dyDescent="0.25">
      <c r="T64785" s="135"/>
      <c r="U64785" s="135"/>
    </row>
    <row r="64786" spans="20:21" ht="15" customHeight="1" x14ac:dyDescent="0.25">
      <c r="T64786" s="135"/>
      <c r="U64786" s="135"/>
    </row>
    <row r="64787" spans="20:21" ht="15" customHeight="1" x14ac:dyDescent="0.25">
      <c r="T64787" s="135"/>
      <c r="U64787" s="135"/>
    </row>
    <row r="64788" spans="20:21" ht="15" customHeight="1" x14ac:dyDescent="0.25">
      <c r="T64788" s="135"/>
      <c r="U64788" s="135"/>
    </row>
    <row r="64789" spans="20:21" ht="15" customHeight="1" x14ac:dyDescent="0.25">
      <c r="T64789" s="135"/>
      <c r="U64789" s="135"/>
    </row>
    <row r="64790" spans="20:21" ht="15" customHeight="1" x14ac:dyDescent="0.25">
      <c r="T64790" s="135"/>
      <c r="U64790" s="135"/>
    </row>
    <row r="64791" spans="20:21" ht="15" customHeight="1" x14ac:dyDescent="0.25">
      <c r="T64791" s="135"/>
      <c r="U64791" s="135"/>
    </row>
    <row r="64792" spans="20:21" ht="15" customHeight="1" x14ac:dyDescent="0.25">
      <c r="T64792" s="135"/>
      <c r="U64792" s="135"/>
    </row>
    <row r="64793" spans="20:21" ht="15" customHeight="1" x14ac:dyDescent="0.25">
      <c r="T64793" s="135"/>
      <c r="U64793" s="135"/>
    </row>
    <row r="64794" spans="20:21" ht="15" customHeight="1" x14ac:dyDescent="0.25">
      <c r="T64794" s="135"/>
      <c r="U64794" s="135"/>
    </row>
    <row r="64795" spans="20:21" ht="15" customHeight="1" x14ac:dyDescent="0.25">
      <c r="T64795" s="135"/>
      <c r="U64795" s="135"/>
    </row>
    <row r="64796" spans="20:21" ht="15" customHeight="1" x14ac:dyDescent="0.25">
      <c r="T64796" s="135"/>
      <c r="U64796" s="135"/>
    </row>
    <row r="64797" spans="20:21" ht="15" customHeight="1" x14ac:dyDescent="0.25">
      <c r="T64797" s="135"/>
      <c r="U64797" s="135"/>
    </row>
    <row r="64798" spans="20:21" ht="15" customHeight="1" x14ac:dyDescent="0.25">
      <c r="T64798" s="135"/>
      <c r="U64798" s="135"/>
    </row>
    <row r="64799" spans="20:21" ht="15" customHeight="1" x14ac:dyDescent="0.25">
      <c r="T64799" s="135"/>
      <c r="U64799" s="135"/>
    </row>
    <row r="64800" spans="20:21" ht="15" customHeight="1" x14ac:dyDescent="0.25">
      <c r="T64800" s="135"/>
      <c r="U64800" s="135"/>
    </row>
    <row r="64801" spans="20:21" ht="15" customHeight="1" x14ac:dyDescent="0.25">
      <c r="T64801" s="135"/>
      <c r="U64801" s="135"/>
    </row>
    <row r="64802" spans="20:21" ht="15" customHeight="1" x14ac:dyDescent="0.25">
      <c r="T64802" s="135"/>
      <c r="U64802" s="135"/>
    </row>
    <row r="64803" spans="20:21" ht="15" customHeight="1" x14ac:dyDescent="0.25">
      <c r="T64803" s="135"/>
      <c r="U64803" s="135"/>
    </row>
    <row r="64804" spans="20:21" ht="15" customHeight="1" x14ac:dyDescent="0.25">
      <c r="T64804" s="135"/>
      <c r="U64804" s="135"/>
    </row>
    <row r="64805" spans="20:21" ht="15" customHeight="1" x14ac:dyDescent="0.25">
      <c r="T64805" s="135"/>
      <c r="U64805" s="135"/>
    </row>
    <row r="64806" spans="20:21" ht="15" customHeight="1" x14ac:dyDescent="0.25">
      <c r="T64806" s="135"/>
      <c r="U64806" s="135"/>
    </row>
    <row r="64807" spans="20:21" ht="15" customHeight="1" x14ac:dyDescent="0.25">
      <c r="T64807" s="135"/>
      <c r="U64807" s="135"/>
    </row>
    <row r="64808" spans="20:21" ht="15" customHeight="1" x14ac:dyDescent="0.25">
      <c r="T64808" s="135"/>
      <c r="U64808" s="135"/>
    </row>
    <row r="64809" spans="20:21" ht="15" customHeight="1" x14ac:dyDescent="0.25">
      <c r="T64809" s="135"/>
      <c r="U64809" s="135"/>
    </row>
    <row r="64810" spans="20:21" ht="15" customHeight="1" x14ac:dyDescent="0.25">
      <c r="T64810" s="135"/>
      <c r="U64810" s="135"/>
    </row>
    <row r="64811" spans="20:21" ht="15" customHeight="1" x14ac:dyDescent="0.25">
      <c r="T64811" s="135"/>
      <c r="U64811" s="135"/>
    </row>
    <row r="64812" spans="20:21" ht="15" customHeight="1" x14ac:dyDescent="0.25">
      <c r="T64812" s="135"/>
      <c r="U64812" s="135"/>
    </row>
    <row r="64813" spans="20:21" ht="15" customHeight="1" x14ac:dyDescent="0.25">
      <c r="T64813" s="135"/>
      <c r="U64813" s="135"/>
    </row>
    <row r="64814" spans="20:21" ht="15" customHeight="1" x14ac:dyDescent="0.25">
      <c r="T64814" s="135"/>
      <c r="U64814" s="135"/>
    </row>
    <row r="64815" spans="20:21" ht="15" customHeight="1" x14ac:dyDescent="0.25">
      <c r="T64815" s="135"/>
      <c r="U64815" s="135"/>
    </row>
    <row r="64816" spans="20:21" ht="15" customHeight="1" x14ac:dyDescent="0.25">
      <c r="T64816" s="135"/>
      <c r="U64816" s="135"/>
    </row>
    <row r="64817" spans="20:21" ht="15" customHeight="1" x14ac:dyDescent="0.25">
      <c r="T64817" s="135"/>
      <c r="U64817" s="135"/>
    </row>
    <row r="64818" spans="20:21" ht="15" customHeight="1" x14ac:dyDescent="0.25">
      <c r="T64818" s="135"/>
      <c r="U64818" s="135"/>
    </row>
    <row r="64819" spans="20:21" ht="15" customHeight="1" x14ac:dyDescent="0.25">
      <c r="T64819" s="135"/>
      <c r="U64819" s="135"/>
    </row>
    <row r="64820" spans="20:21" ht="15" customHeight="1" x14ac:dyDescent="0.25">
      <c r="T64820" s="135"/>
      <c r="U64820" s="135"/>
    </row>
    <row r="64821" spans="20:21" ht="15" customHeight="1" x14ac:dyDescent="0.25">
      <c r="T64821" s="135"/>
      <c r="U64821" s="135"/>
    </row>
    <row r="64822" spans="20:21" ht="15" customHeight="1" x14ac:dyDescent="0.25">
      <c r="T64822" s="135"/>
      <c r="U64822" s="135"/>
    </row>
    <row r="64823" spans="20:21" ht="15" customHeight="1" x14ac:dyDescent="0.25">
      <c r="T64823" s="135"/>
      <c r="U64823" s="135"/>
    </row>
    <row r="64824" spans="20:21" ht="15" customHeight="1" x14ac:dyDescent="0.25">
      <c r="T64824" s="135"/>
      <c r="U64824" s="135"/>
    </row>
    <row r="64825" spans="20:21" ht="15" customHeight="1" x14ac:dyDescent="0.25">
      <c r="T64825" s="135"/>
      <c r="U64825" s="135"/>
    </row>
    <row r="64826" spans="20:21" ht="15" customHeight="1" x14ac:dyDescent="0.25">
      <c r="T64826" s="135"/>
      <c r="U64826" s="135"/>
    </row>
    <row r="64827" spans="20:21" ht="15" customHeight="1" x14ac:dyDescent="0.25">
      <c r="T64827" s="135"/>
      <c r="U64827" s="135"/>
    </row>
    <row r="64828" spans="20:21" ht="15" customHeight="1" x14ac:dyDescent="0.25">
      <c r="T64828" s="135"/>
      <c r="U64828" s="135"/>
    </row>
    <row r="64829" spans="20:21" ht="15" customHeight="1" x14ac:dyDescent="0.25">
      <c r="T64829" s="135"/>
      <c r="U64829" s="135"/>
    </row>
    <row r="64830" spans="20:21" ht="15" customHeight="1" x14ac:dyDescent="0.25">
      <c r="T64830" s="135"/>
      <c r="U64830" s="135"/>
    </row>
    <row r="64831" spans="20:21" ht="15" customHeight="1" x14ac:dyDescent="0.25">
      <c r="T64831" s="135"/>
      <c r="U64831" s="135"/>
    </row>
    <row r="64832" spans="20:21" ht="15" customHeight="1" x14ac:dyDescent="0.25">
      <c r="T64832" s="135"/>
      <c r="U64832" s="135"/>
    </row>
    <row r="64833" spans="20:21" ht="15" customHeight="1" x14ac:dyDescent="0.25">
      <c r="T64833" s="135"/>
      <c r="U64833" s="135"/>
    </row>
    <row r="64834" spans="20:21" ht="15" customHeight="1" x14ac:dyDescent="0.25">
      <c r="T64834" s="135"/>
      <c r="U64834" s="135"/>
    </row>
    <row r="64835" spans="20:21" ht="15" customHeight="1" x14ac:dyDescent="0.25">
      <c r="T64835" s="135"/>
      <c r="U64835" s="135"/>
    </row>
    <row r="64836" spans="20:21" ht="15" customHeight="1" x14ac:dyDescent="0.25">
      <c r="T64836" s="135"/>
      <c r="U64836" s="135"/>
    </row>
    <row r="64837" spans="20:21" ht="15" customHeight="1" x14ac:dyDescent="0.25">
      <c r="T64837" s="135"/>
      <c r="U64837" s="135"/>
    </row>
    <row r="64838" spans="20:21" ht="15" customHeight="1" x14ac:dyDescent="0.25">
      <c r="T64838" s="135"/>
      <c r="U64838" s="135"/>
    </row>
    <row r="64839" spans="20:21" ht="15" customHeight="1" x14ac:dyDescent="0.25">
      <c r="T64839" s="135"/>
      <c r="U64839" s="135"/>
    </row>
    <row r="64840" spans="20:21" ht="15" customHeight="1" x14ac:dyDescent="0.25">
      <c r="T64840" s="135"/>
      <c r="U64840" s="135"/>
    </row>
    <row r="64841" spans="20:21" ht="15" customHeight="1" x14ac:dyDescent="0.25">
      <c r="T64841" s="135"/>
      <c r="U64841" s="135"/>
    </row>
    <row r="64842" spans="20:21" ht="15" customHeight="1" x14ac:dyDescent="0.25">
      <c r="T64842" s="135"/>
      <c r="U64842" s="135"/>
    </row>
    <row r="64843" spans="20:21" ht="15" customHeight="1" x14ac:dyDescent="0.25">
      <c r="T64843" s="135"/>
      <c r="U64843" s="135"/>
    </row>
    <row r="64844" spans="20:21" ht="15" customHeight="1" x14ac:dyDescent="0.25">
      <c r="T64844" s="135"/>
      <c r="U64844" s="135"/>
    </row>
    <row r="64845" spans="20:21" ht="15" customHeight="1" x14ac:dyDescent="0.25">
      <c r="T64845" s="135"/>
      <c r="U64845" s="135"/>
    </row>
    <row r="64846" spans="20:21" ht="15" customHeight="1" x14ac:dyDescent="0.25">
      <c r="T64846" s="135"/>
      <c r="U64846" s="135"/>
    </row>
    <row r="64847" spans="20:21" ht="15" customHeight="1" x14ac:dyDescent="0.25">
      <c r="T64847" s="135"/>
      <c r="U64847" s="135"/>
    </row>
    <row r="64848" spans="20:21" ht="15" customHeight="1" x14ac:dyDescent="0.25">
      <c r="T64848" s="135"/>
      <c r="U64848" s="135"/>
    </row>
    <row r="64849" spans="20:21" ht="15" customHeight="1" x14ac:dyDescent="0.25">
      <c r="T64849" s="135"/>
      <c r="U64849" s="135"/>
    </row>
    <row r="64850" spans="20:21" ht="15" customHeight="1" x14ac:dyDescent="0.25">
      <c r="T64850" s="135"/>
      <c r="U64850" s="135"/>
    </row>
    <row r="64851" spans="20:21" ht="15" customHeight="1" x14ac:dyDescent="0.25">
      <c r="T64851" s="135"/>
      <c r="U64851" s="135"/>
    </row>
    <row r="64852" spans="20:21" ht="15" customHeight="1" x14ac:dyDescent="0.25">
      <c r="T64852" s="135"/>
      <c r="U64852" s="135"/>
    </row>
    <row r="64853" spans="20:21" ht="15" customHeight="1" x14ac:dyDescent="0.25">
      <c r="T64853" s="135"/>
      <c r="U64853" s="135"/>
    </row>
    <row r="64854" spans="20:21" ht="15" customHeight="1" x14ac:dyDescent="0.25">
      <c r="T64854" s="135"/>
      <c r="U64854" s="135"/>
    </row>
    <row r="64855" spans="20:21" ht="15" customHeight="1" x14ac:dyDescent="0.25">
      <c r="T64855" s="135"/>
      <c r="U64855" s="135"/>
    </row>
    <row r="64856" spans="20:21" ht="15" customHeight="1" x14ac:dyDescent="0.25">
      <c r="T64856" s="135"/>
      <c r="U64856" s="135"/>
    </row>
    <row r="64857" spans="20:21" ht="15" customHeight="1" x14ac:dyDescent="0.25">
      <c r="T64857" s="135"/>
      <c r="U64857" s="135"/>
    </row>
    <row r="64858" spans="20:21" ht="15" customHeight="1" x14ac:dyDescent="0.25">
      <c r="T64858" s="135"/>
      <c r="U64858" s="135"/>
    </row>
    <row r="64859" spans="20:21" ht="15" customHeight="1" x14ac:dyDescent="0.25">
      <c r="T64859" s="135"/>
      <c r="U64859" s="135"/>
    </row>
    <row r="64860" spans="20:21" ht="15" customHeight="1" x14ac:dyDescent="0.25">
      <c r="T64860" s="135"/>
      <c r="U64860" s="135"/>
    </row>
    <row r="64861" spans="20:21" ht="15" customHeight="1" x14ac:dyDescent="0.25">
      <c r="T64861" s="135"/>
      <c r="U64861" s="135"/>
    </row>
    <row r="64862" spans="20:21" ht="15" customHeight="1" x14ac:dyDescent="0.25">
      <c r="T64862" s="135"/>
      <c r="U64862" s="135"/>
    </row>
    <row r="64863" spans="20:21" ht="15" customHeight="1" x14ac:dyDescent="0.25">
      <c r="T64863" s="135"/>
      <c r="U64863" s="135"/>
    </row>
    <row r="64864" spans="20:21" ht="15" customHeight="1" x14ac:dyDescent="0.25">
      <c r="T64864" s="135"/>
      <c r="U64864" s="135"/>
    </row>
    <row r="64865" spans="20:21" ht="15" customHeight="1" x14ac:dyDescent="0.25">
      <c r="T64865" s="135"/>
      <c r="U64865" s="135"/>
    </row>
    <row r="64866" spans="20:21" ht="15" customHeight="1" x14ac:dyDescent="0.25">
      <c r="T64866" s="135"/>
      <c r="U64866" s="135"/>
    </row>
    <row r="64867" spans="20:21" ht="15" customHeight="1" x14ac:dyDescent="0.25">
      <c r="T64867" s="135"/>
      <c r="U64867" s="135"/>
    </row>
    <row r="64868" spans="20:21" ht="15" customHeight="1" x14ac:dyDescent="0.25">
      <c r="T64868" s="135"/>
      <c r="U64868" s="135"/>
    </row>
    <row r="64869" spans="20:21" ht="15" customHeight="1" x14ac:dyDescent="0.25">
      <c r="T64869" s="135"/>
      <c r="U64869" s="135"/>
    </row>
    <row r="64870" spans="20:21" ht="15" customHeight="1" x14ac:dyDescent="0.25">
      <c r="T64870" s="135"/>
      <c r="U64870" s="135"/>
    </row>
    <row r="64871" spans="20:21" ht="15" customHeight="1" x14ac:dyDescent="0.25">
      <c r="T64871" s="135"/>
      <c r="U64871" s="135"/>
    </row>
    <row r="64872" spans="20:21" ht="15" customHeight="1" x14ac:dyDescent="0.25">
      <c r="T64872" s="135"/>
      <c r="U64872" s="135"/>
    </row>
    <row r="64873" spans="20:21" ht="15" customHeight="1" x14ac:dyDescent="0.25">
      <c r="T64873" s="135"/>
      <c r="U64873" s="135"/>
    </row>
    <row r="64874" spans="20:21" ht="15" customHeight="1" x14ac:dyDescent="0.25">
      <c r="T64874" s="135"/>
      <c r="U64874" s="135"/>
    </row>
    <row r="64875" spans="20:21" ht="15" customHeight="1" x14ac:dyDescent="0.25">
      <c r="T64875" s="135"/>
      <c r="U64875" s="135"/>
    </row>
    <row r="64876" spans="20:21" ht="15" customHeight="1" x14ac:dyDescent="0.25">
      <c r="T64876" s="135"/>
      <c r="U64876" s="135"/>
    </row>
    <row r="64877" spans="20:21" ht="15" customHeight="1" x14ac:dyDescent="0.25">
      <c r="T64877" s="135"/>
      <c r="U64877" s="135"/>
    </row>
    <row r="64878" spans="20:21" ht="15" customHeight="1" x14ac:dyDescent="0.25">
      <c r="T64878" s="135"/>
      <c r="U64878" s="135"/>
    </row>
    <row r="64879" spans="20:21" ht="15" customHeight="1" x14ac:dyDescent="0.25">
      <c r="T64879" s="135"/>
      <c r="U64879" s="135"/>
    </row>
    <row r="64880" spans="20:21" ht="15" customHeight="1" x14ac:dyDescent="0.25">
      <c r="T64880" s="135"/>
      <c r="U64880" s="135"/>
    </row>
    <row r="64881" spans="20:21" ht="15" customHeight="1" x14ac:dyDescent="0.25">
      <c r="T64881" s="135"/>
      <c r="U64881" s="135"/>
    </row>
    <row r="64882" spans="20:21" ht="15" customHeight="1" x14ac:dyDescent="0.25">
      <c r="T64882" s="135"/>
      <c r="U64882" s="135"/>
    </row>
    <row r="64883" spans="20:21" ht="15" customHeight="1" x14ac:dyDescent="0.25">
      <c r="T64883" s="135"/>
      <c r="U64883" s="135"/>
    </row>
    <row r="64884" spans="20:21" ht="15" customHeight="1" x14ac:dyDescent="0.25">
      <c r="T64884" s="135"/>
      <c r="U64884" s="135"/>
    </row>
    <row r="64885" spans="20:21" ht="15" customHeight="1" x14ac:dyDescent="0.25">
      <c r="T64885" s="135"/>
      <c r="U64885" s="135"/>
    </row>
    <row r="64886" spans="20:21" ht="15" customHeight="1" x14ac:dyDescent="0.25">
      <c r="T64886" s="135"/>
      <c r="U64886" s="135"/>
    </row>
    <row r="64887" spans="20:21" ht="15" customHeight="1" x14ac:dyDescent="0.25">
      <c r="T64887" s="135"/>
      <c r="U64887" s="135"/>
    </row>
    <row r="64888" spans="20:21" ht="15" customHeight="1" x14ac:dyDescent="0.25">
      <c r="T64888" s="135"/>
      <c r="U64888" s="135"/>
    </row>
    <row r="64889" spans="20:21" ht="15" customHeight="1" x14ac:dyDescent="0.25">
      <c r="T64889" s="135"/>
      <c r="U64889" s="135"/>
    </row>
    <row r="64890" spans="20:21" ht="15" customHeight="1" x14ac:dyDescent="0.25">
      <c r="T64890" s="135"/>
      <c r="U64890" s="135"/>
    </row>
    <row r="64891" spans="20:21" ht="15" customHeight="1" x14ac:dyDescent="0.25">
      <c r="T64891" s="135"/>
      <c r="U64891" s="135"/>
    </row>
    <row r="64892" spans="20:21" ht="15" customHeight="1" x14ac:dyDescent="0.25">
      <c r="T64892" s="135"/>
      <c r="U64892" s="135"/>
    </row>
    <row r="64893" spans="20:21" ht="15" customHeight="1" x14ac:dyDescent="0.25">
      <c r="T64893" s="135"/>
      <c r="U64893" s="135"/>
    </row>
    <row r="64894" spans="20:21" ht="15" customHeight="1" x14ac:dyDescent="0.25">
      <c r="T64894" s="135"/>
      <c r="U64894" s="135"/>
    </row>
    <row r="64895" spans="20:21" ht="15" customHeight="1" x14ac:dyDescent="0.25">
      <c r="T64895" s="135"/>
      <c r="U64895" s="135"/>
    </row>
    <row r="64896" spans="20:21" ht="15" customHeight="1" x14ac:dyDescent="0.25">
      <c r="T64896" s="135"/>
      <c r="U64896" s="135"/>
    </row>
    <row r="64897" spans="20:21" ht="15" customHeight="1" x14ac:dyDescent="0.25">
      <c r="T64897" s="135"/>
      <c r="U64897" s="135"/>
    </row>
    <row r="64898" spans="20:21" ht="15" customHeight="1" x14ac:dyDescent="0.25">
      <c r="T64898" s="135"/>
      <c r="U64898" s="135"/>
    </row>
    <row r="64899" spans="20:21" ht="15" customHeight="1" x14ac:dyDescent="0.25">
      <c r="T64899" s="135"/>
      <c r="U64899" s="135"/>
    </row>
    <row r="64900" spans="20:21" ht="15" customHeight="1" x14ac:dyDescent="0.25">
      <c r="T64900" s="135"/>
      <c r="U64900" s="135"/>
    </row>
    <row r="64901" spans="20:21" ht="15" customHeight="1" x14ac:dyDescent="0.25">
      <c r="T64901" s="135"/>
      <c r="U64901" s="135"/>
    </row>
    <row r="64902" spans="20:21" ht="15" customHeight="1" x14ac:dyDescent="0.25">
      <c r="T64902" s="135"/>
      <c r="U64902" s="135"/>
    </row>
    <row r="64903" spans="20:21" ht="15" customHeight="1" x14ac:dyDescent="0.25">
      <c r="T64903" s="135"/>
      <c r="U64903" s="135"/>
    </row>
    <row r="64904" spans="20:21" ht="15" customHeight="1" x14ac:dyDescent="0.25">
      <c r="T64904" s="135"/>
      <c r="U64904" s="135"/>
    </row>
    <row r="64905" spans="20:21" ht="15" customHeight="1" x14ac:dyDescent="0.25">
      <c r="T64905" s="135"/>
      <c r="U64905" s="135"/>
    </row>
    <row r="64906" spans="20:21" ht="15" customHeight="1" x14ac:dyDescent="0.25">
      <c r="T64906" s="135"/>
      <c r="U64906" s="135"/>
    </row>
    <row r="64907" spans="20:21" ht="15" customHeight="1" x14ac:dyDescent="0.25">
      <c r="T64907" s="135"/>
      <c r="U64907" s="135"/>
    </row>
    <row r="64908" spans="20:21" ht="15" customHeight="1" x14ac:dyDescent="0.25">
      <c r="T64908" s="135"/>
      <c r="U64908" s="135"/>
    </row>
    <row r="64909" spans="20:21" ht="15" customHeight="1" x14ac:dyDescent="0.25">
      <c r="T64909" s="135"/>
      <c r="U64909" s="135"/>
    </row>
    <row r="64910" spans="20:21" ht="15" customHeight="1" x14ac:dyDescent="0.25">
      <c r="T64910" s="135"/>
      <c r="U64910" s="135"/>
    </row>
    <row r="64911" spans="20:21" ht="15" customHeight="1" x14ac:dyDescent="0.25">
      <c r="T64911" s="135"/>
      <c r="U64911" s="135"/>
    </row>
    <row r="64912" spans="20:21" ht="15" customHeight="1" x14ac:dyDescent="0.25">
      <c r="T64912" s="135"/>
      <c r="U64912" s="135"/>
    </row>
    <row r="64913" spans="20:21" ht="15" customHeight="1" x14ac:dyDescent="0.25">
      <c r="T64913" s="135"/>
      <c r="U64913" s="135"/>
    </row>
    <row r="64914" spans="20:21" ht="15" customHeight="1" x14ac:dyDescent="0.25">
      <c r="T64914" s="135"/>
      <c r="U64914" s="135"/>
    </row>
    <row r="64915" spans="20:21" ht="15" customHeight="1" x14ac:dyDescent="0.25">
      <c r="T64915" s="135"/>
      <c r="U64915" s="135"/>
    </row>
    <row r="64916" spans="20:21" ht="15" customHeight="1" x14ac:dyDescent="0.25">
      <c r="T64916" s="135"/>
      <c r="U64916" s="135"/>
    </row>
    <row r="64917" spans="20:21" ht="15" customHeight="1" x14ac:dyDescent="0.25">
      <c r="T64917" s="135"/>
      <c r="U64917" s="135"/>
    </row>
    <row r="64918" spans="20:21" ht="15" customHeight="1" x14ac:dyDescent="0.25">
      <c r="T64918" s="135"/>
      <c r="U64918" s="135"/>
    </row>
    <row r="64919" spans="20:21" ht="15" customHeight="1" x14ac:dyDescent="0.25">
      <c r="T64919" s="135"/>
      <c r="U64919" s="135"/>
    </row>
    <row r="64920" spans="20:21" ht="15" customHeight="1" x14ac:dyDescent="0.25">
      <c r="T64920" s="135"/>
      <c r="U64920" s="135"/>
    </row>
    <row r="64921" spans="20:21" ht="15" customHeight="1" x14ac:dyDescent="0.25">
      <c r="T64921" s="135"/>
      <c r="U64921" s="135"/>
    </row>
    <row r="64922" spans="20:21" ht="15" customHeight="1" x14ac:dyDescent="0.25">
      <c r="T64922" s="135"/>
      <c r="U64922" s="135"/>
    </row>
    <row r="64923" spans="20:21" ht="15" customHeight="1" x14ac:dyDescent="0.25">
      <c r="T64923" s="135"/>
      <c r="U64923" s="135"/>
    </row>
    <row r="64924" spans="20:21" ht="15" customHeight="1" x14ac:dyDescent="0.25">
      <c r="T64924" s="135"/>
      <c r="U64924" s="135"/>
    </row>
    <row r="64925" spans="20:21" ht="15" customHeight="1" x14ac:dyDescent="0.25">
      <c r="T64925" s="135"/>
      <c r="U64925" s="135"/>
    </row>
    <row r="64926" spans="20:21" ht="15" customHeight="1" x14ac:dyDescent="0.25">
      <c r="T64926" s="135"/>
      <c r="U64926" s="135"/>
    </row>
    <row r="64927" spans="20:21" ht="15" customHeight="1" x14ac:dyDescent="0.25">
      <c r="T64927" s="135"/>
      <c r="U64927" s="135"/>
    </row>
    <row r="64928" spans="20:21" ht="15" customHeight="1" x14ac:dyDescent="0.25">
      <c r="T64928" s="135"/>
      <c r="U64928" s="135"/>
    </row>
    <row r="64929" spans="20:21" ht="15" customHeight="1" x14ac:dyDescent="0.25">
      <c r="T64929" s="135"/>
      <c r="U64929" s="135"/>
    </row>
    <row r="64930" spans="20:21" ht="15" customHeight="1" x14ac:dyDescent="0.25">
      <c r="T64930" s="135"/>
      <c r="U64930" s="135"/>
    </row>
    <row r="64931" spans="20:21" ht="15" customHeight="1" x14ac:dyDescent="0.25">
      <c r="T64931" s="135"/>
      <c r="U64931" s="135"/>
    </row>
    <row r="64932" spans="20:21" ht="15" customHeight="1" x14ac:dyDescent="0.25">
      <c r="T64932" s="135"/>
      <c r="U64932" s="135"/>
    </row>
    <row r="64933" spans="20:21" ht="15" customHeight="1" x14ac:dyDescent="0.25">
      <c r="T64933" s="135"/>
      <c r="U64933" s="135"/>
    </row>
    <row r="64934" spans="20:21" ht="15" customHeight="1" x14ac:dyDescent="0.25">
      <c r="T64934" s="135"/>
      <c r="U64934" s="135"/>
    </row>
    <row r="64935" spans="20:21" ht="15" customHeight="1" x14ac:dyDescent="0.25">
      <c r="T64935" s="135"/>
      <c r="U64935" s="135"/>
    </row>
    <row r="64936" spans="20:21" ht="15" customHeight="1" x14ac:dyDescent="0.25">
      <c r="T64936" s="135"/>
      <c r="U64936" s="135"/>
    </row>
    <row r="64937" spans="20:21" ht="15" customHeight="1" x14ac:dyDescent="0.25">
      <c r="T64937" s="135"/>
      <c r="U64937" s="135"/>
    </row>
    <row r="64938" spans="20:21" ht="15" customHeight="1" x14ac:dyDescent="0.25">
      <c r="T64938" s="135"/>
      <c r="U64938" s="135"/>
    </row>
    <row r="64939" spans="20:21" ht="15" customHeight="1" x14ac:dyDescent="0.25">
      <c r="T64939" s="135"/>
      <c r="U64939" s="135"/>
    </row>
    <row r="64940" spans="20:21" ht="15" customHeight="1" x14ac:dyDescent="0.25">
      <c r="T64940" s="135"/>
      <c r="U64940" s="135"/>
    </row>
    <row r="64941" spans="20:21" ht="15" customHeight="1" x14ac:dyDescent="0.25">
      <c r="T64941" s="135"/>
      <c r="U64941" s="135"/>
    </row>
    <row r="64942" spans="20:21" ht="15" customHeight="1" x14ac:dyDescent="0.25">
      <c r="T64942" s="135"/>
      <c r="U64942" s="135"/>
    </row>
    <row r="64943" spans="20:21" ht="15" customHeight="1" x14ac:dyDescent="0.25">
      <c r="T64943" s="135"/>
      <c r="U64943" s="135"/>
    </row>
    <row r="64944" spans="20:21" ht="15" customHeight="1" x14ac:dyDescent="0.25">
      <c r="T64944" s="135"/>
      <c r="U64944" s="135"/>
    </row>
    <row r="64945" spans="20:21" ht="15" customHeight="1" x14ac:dyDescent="0.25">
      <c r="T64945" s="135"/>
      <c r="U64945" s="135"/>
    </row>
    <row r="64946" spans="20:21" ht="15" customHeight="1" x14ac:dyDescent="0.25">
      <c r="T64946" s="135"/>
      <c r="U64946" s="135"/>
    </row>
    <row r="64947" spans="20:21" ht="15" customHeight="1" x14ac:dyDescent="0.25">
      <c r="T64947" s="135"/>
      <c r="U64947" s="135"/>
    </row>
    <row r="64948" spans="20:21" ht="15" customHeight="1" x14ac:dyDescent="0.25">
      <c r="T64948" s="135"/>
      <c r="U64948" s="135"/>
    </row>
    <row r="64949" spans="20:21" ht="15" customHeight="1" x14ac:dyDescent="0.25">
      <c r="T64949" s="135"/>
      <c r="U64949" s="135"/>
    </row>
    <row r="64950" spans="20:21" ht="15" customHeight="1" x14ac:dyDescent="0.25">
      <c r="T64950" s="135"/>
      <c r="U64950" s="135"/>
    </row>
    <row r="64951" spans="20:21" ht="15" customHeight="1" x14ac:dyDescent="0.25">
      <c r="T64951" s="135"/>
      <c r="U64951" s="135"/>
    </row>
    <row r="64952" spans="20:21" ht="15" customHeight="1" x14ac:dyDescent="0.25">
      <c r="T64952" s="135"/>
      <c r="U64952" s="135"/>
    </row>
    <row r="64953" spans="20:21" ht="15" customHeight="1" x14ac:dyDescent="0.25">
      <c r="T64953" s="135"/>
      <c r="U64953" s="135"/>
    </row>
    <row r="64954" spans="20:21" ht="15" customHeight="1" x14ac:dyDescent="0.25">
      <c r="T64954" s="135"/>
      <c r="U64954" s="135"/>
    </row>
    <row r="64955" spans="20:21" ht="15" customHeight="1" x14ac:dyDescent="0.25">
      <c r="T64955" s="135"/>
      <c r="U64955" s="135"/>
    </row>
    <row r="64956" spans="20:21" ht="15" customHeight="1" x14ac:dyDescent="0.25">
      <c r="T64956" s="135"/>
      <c r="U64956" s="135"/>
    </row>
    <row r="64957" spans="20:21" ht="15" customHeight="1" x14ac:dyDescent="0.25">
      <c r="T64957" s="135"/>
      <c r="U64957" s="135"/>
    </row>
    <row r="64958" spans="20:21" ht="15" customHeight="1" x14ac:dyDescent="0.25">
      <c r="T64958" s="135"/>
      <c r="U64958" s="135"/>
    </row>
    <row r="64959" spans="20:21" ht="15" customHeight="1" x14ac:dyDescent="0.25">
      <c r="T64959" s="135"/>
      <c r="U64959" s="135"/>
    </row>
    <row r="64960" spans="20:21" ht="15" customHeight="1" x14ac:dyDescent="0.25">
      <c r="T64960" s="135"/>
      <c r="U64960" s="135"/>
    </row>
    <row r="64961" spans="20:21" ht="15" customHeight="1" x14ac:dyDescent="0.25">
      <c r="T64961" s="135"/>
      <c r="U64961" s="135"/>
    </row>
    <row r="64962" spans="20:21" ht="15" customHeight="1" x14ac:dyDescent="0.25">
      <c r="T64962" s="135"/>
      <c r="U64962" s="135"/>
    </row>
    <row r="64963" spans="20:21" ht="15" customHeight="1" x14ac:dyDescent="0.25">
      <c r="T64963" s="135"/>
      <c r="U64963" s="135"/>
    </row>
    <row r="64964" spans="20:21" ht="15" customHeight="1" x14ac:dyDescent="0.25">
      <c r="T64964" s="135"/>
      <c r="U64964" s="135"/>
    </row>
    <row r="64965" spans="20:21" ht="15" customHeight="1" x14ac:dyDescent="0.25">
      <c r="T64965" s="135"/>
      <c r="U64965" s="135"/>
    </row>
    <row r="64966" spans="20:21" ht="15" customHeight="1" x14ac:dyDescent="0.25">
      <c r="T64966" s="135"/>
      <c r="U64966" s="135"/>
    </row>
    <row r="64967" spans="20:21" ht="15" customHeight="1" x14ac:dyDescent="0.25">
      <c r="T64967" s="135"/>
      <c r="U64967" s="135"/>
    </row>
    <row r="64968" spans="20:21" ht="15" customHeight="1" x14ac:dyDescent="0.25">
      <c r="T64968" s="135"/>
      <c r="U64968" s="135"/>
    </row>
    <row r="64969" spans="20:21" ht="15" customHeight="1" x14ac:dyDescent="0.25">
      <c r="T64969" s="135"/>
      <c r="U64969" s="135"/>
    </row>
    <row r="64970" spans="20:21" ht="15" customHeight="1" x14ac:dyDescent="0.25">
      <c r="T64970" s="135"/>
      <c r="U64970" s="135"/>
    </row>
    <row r="64971" spans="20:21" ht="15" customHeight="1" x14ac:dyDescent="0.25">
      <c r="T64971" s="135"/>
      <c r="U64971" s="135"/>
    </row>
    <row r="64972" spans="20:21" ht="15" customHeight="1" x14ac:dyDescent="0.25">
      <c r="T64972" s="135"/>
      <c r="U64972" s="135"/>
    </row>
    <row r="64973" spans="20:21" ht="15" customHeight="1" x14ac:dyDescent="0.25">
      <c r="T64973" s="135"/>
      <c r="U64973" s="135"/>
    </row>
    <row r="64974" spans="20:21" ht="15" customHeight="1" x14ac:dyDescent="0.25">
      <c r="T64974" s="135"/>
      <c r="U64974" s="135"/>
    </row>
    <row r="64975" spans="20:21" ht="15" customHeight="1" x14ac:dyDescent="0.25">
      <c r="T64975" s="135"/>
      <c r="U64975" s="135"/>
    </row>
    <row r="64976" spans="20:21" ht="15" customHeight="1" x14ac:dyDescent="0.25">
      <c r="T64976" s="135"/>
      <c r="U64976" s="135"/>
    </row>
    <row r="64977" spans="20:21" ht="15" customHeight="1" x14ac:dyDescent="0.25">
      <c r="T64977" s="135"/>
      <c r="U64977" s="135"/>
    </row>
    <row r="64978" spans="20:21" ht="15" customHeight="1" x14ac:dyDescent="0.25">
      <c r="T64978" s="135"/>
      <c r="U64978" s="135"/>
    </row>
    <row r="64979" spans="20:21" ht="15" customHeight="1" x14ac:dyDescent="0.25">
      <c r="T64979" s="135"/>
      <c r="U64979" s="135"/>
    </row>
    <row r="64980" spans="20:21" ht="15" customHeight="1" x14ac:dyDescent="0.25">
      <c r="T64980" s="135"/>
      <c r="U64980" s="135"/>
    </row>
    <row r="64981" spans="20:21" ht="15" customHeight="1" x14ac:dyDescent="0.25">
      <c r="T64981" s="135"/>
      <c r="U64981" s="135"/>
    </row>
    <row r="64982" spans="20:21" ht="15" customHeight="1" x14ac:dyDescent="0.25">
      <c r="T64982" s="135"/>
      <c r="U64982" s="135"/>
    </row>
    <row r="64983" spans="20:21" ht="15" customHeight="1" x14ac:dyDescent="0.25">
      <c r="T64983" s="135"/>
      <c r="U64983" s="135"/>
    </row>
    <row r="64984" spans="20:21" ht="15" customHeight="1" x14ac:dyDescent="0.25">
      <c r="T64984" s="135"/>
      <c r="U64984" s="135"/>
    </row>
    <row r="64985" spans="20:21" ht="15" customHeight="1" x14ac:dyDescent="0.25">
      <c r="T64985" s="135"/>
      <c r="U64985" s="135"/>
    </row>
    <row r="64986" spans="20:21" ht="15" customHeight="1" x14ac:dyDescent="0.25">
      <c r="T64986" s="135"/>
      <c r="U64986" s="135"/>
    </row>
    <row r="64987" spans="20:21" ht="15" customHeight="1" x14ac:dyDescent="0.25">
      <c r="T64987" s="135"/>
      <c r="U64987" s="135"/>
    </row>
    <row r="64988" spans="20:21" ht="15" customHeight="1" x14ac:dyDescent="0.25">
      <c r="T64988" s="135"/>
      <c r="U64988" s="135"/>
    </row>
    <row r="64989" spans="20:21" ht="15" customHeight="1" x14ac:dyDescent="0.25">
      <c r="T64989" s="135"/>
      <c r="U64989" s="135"/>
    </row>
    <row r="64990" spans="20:21" ht="15" customHeight="1" x14ac:dyDescent="0.25">
      <c r="T64990" s="135"/>
      <c r="U64990" s="135"/>
    </row>
    <row r="64991" spans="20:21" ht="15" customHeight="1" x14ac:dyDescent="0.25">
      <c r="T64991" s="135"/>
      <c r="U64991" s="135"/>
    </row>
    <row r="64992" spans="20:21" ht="15" customHeight="1" x14ac:dyDescent="0.25">
      <c r="T64992" s="135"/>
      <c r="U64992" s="135"/>
    </row>
    <row r="64993" spans="20:21" ht="15" customHeight="1" x14ac:dyDescent="0.25">
      <c r="T64993" s="135"/>
      <c r="U64993" s="135"/>
    </row>
    <row r="64994" spans="20:21" ht="15" customHeight="1" x14ac:dyDescent="0.25">
      <c r="T64994" s="135"/>
      <c r="U64994" s="135"/>
    </row>
    <row r="64995" spans="20:21" ht="15" customHeight="1" x14ac:dyDescent="0.25">
      <c r="T64995" s="135"/>
      <c r="U64995" s="135"/>
    </row>
    <row r="64996" spans="20:21" ht="15" customHeight="1" x14ac:dyDescent="0.25">
      <c r="T64996" s="135"/>
      <c r="U64996" s="135"/>
    </row>
    <row r="64997" spans="20:21" ht="15" customHeight="1" x14ac:dyDescent="0.25">
      <c r="T64997" s="135"/>
      <c r="U64997" s="135"/>
    </row>
    <row r="64998" spans="20:21" ht="15" customHeight="1" x14ac:dyDescent="0.25">
      <c r="T64998" s="135"/>
      <c r="U64998" s="135"/>
    </row>
    <row r="64999" spans="20:21" ht="15" customHeight="1" x14ac:dyDescent="0.25">
      <c r="T64999" s="135"/>
      <c r="U64999" s="135"/>
    </row>
    <row r="65000" spans="20:21" ht="15" customHeight="1" x14ac:dyDescent="0.25">
      <c r="T65000" s="135"/>
      <c r="U65000" s="135"/>
    </row>
    <row r="65001" spans="20:21" ht="15" customHeight="1" x14ac:dyDescent="0.25">
      <c r="T65001" s="135"/>
      <c r="U65001" s="135"/>
    </row>
    <row r="65002" spans="20:21" ht="15" customHeight="1" x14ac:dyDescent="0.25">
      <c r="T65002" s="135"/>
      <c r="U65002" s="135"/>
    </row>
    <row r="65003" spans="20:21" ht="15" customHeight="1" x14ac:dyDescent="0.25">
      <c r="T65003" s="135"/>
      <c r="U65003" s="135"/>
    </row>
    <row r="65004" spans="20:21" ht="15" customHeight="1" x14ac:dyDescent="0.25">
      <c r="T65004" s="135"/>
      <c r="U65004" s="135"/>
    </row>
    <row r="65005" spans="20:21" ht="15" customHeight="1" x14ac:dyDescent="0.25">
      <c r="T65005" s="135"/>
      <c r="U65005" s="135"/>
    </row>
    <row r="65006" spans="20:21" ht="15" customHeight="1" x14ac:dyDescent="0.25">
      <c r="T65006" s="135"/>
      <c r="U65006" s="135"/>
    </row>
    <row r="65007" spans="20:21" ht="15" customHeight="1" x14ac:dyDescent="0.25">
      <c r="T65007" s="135"/>
      <c r="U65007" s="135"/>
    </row>
    <row r="65008" spans="20:21" ht="15" customHeight="1" x14ac:dyDescent="0.25">
      <c r="T65008" s="135"/>
      <c r="U65008" s="135"/>
    </row>
    <row r="65009" spans="20:21" ht="15" customHeight="1" x14ac:dyDescent="0.25">
      <c r="T65009" s="135"/>
      <c r="U65009" s="135"/>
    </row>
    <row r="65010" spans="20:21" ht="15" customHeight="1" x14ac:dyDescent="0.25">
      <c r="T65010" s="135"/>
      <c r="U65010" s="135"/>
    </row>
    <row r="65011" spans="20:21" ht="15" customHeight="1" x14ac:dyDescent="0.25">
      <c r="T65011" s="135"/>
      <c r="U65011" s="135"/>
    </row>
    <row r="65012" spans="20:21" ht="15" customHeight="1" x14ac:dyDescent="0.25">
      <c r="T65012" s="135"/>
      <c r="U65012" s="135"/>
    </row>
    <row r="65013" spans="20:21" ht="15" customHeight="1" x14ac:dyDescent="0.25">
      <c r="T65013" s="135"/>
      <c r="U65013" s="135"/>
    </row>
    <row r="65014" spans="20:21" ht="15" customHeight="1" x14ac:dyDescent="0.25">
      <c r="T65014" s="135"/>
      <c r="U65014" s="135"/>
    </row>
    <row r="65015" spans="20:21" ht="15" customHeight="1" x14ac:dyDescent="0.25">
      <c r="T65015" s="135"/>
      <c r="U65015" s="135"/>
    </row>
    <row r="65016" spans="20:21" ht="15" customHeight="1" x14ac:dyDescent="0.25">
      <c r="T65016" s="135"/>
      <c r="U65016" s="135"/>
    </row>
    <row r="65017" spans="20:21" ht="15" customHeight="1" x14ac:dyDescent="0.25">
      <c r="T65017" s="135"/>
      <c r="U65017" s="135"/>
    </row>
    <row r="65018" spans="20:21" ht="15" customHeight="1" x14ac:dyDescent="0.25">
      <c r="T65018" s="135"/>
      <c r="U65018" s="135"/>
    </row>
    <row r="65019" spans="20:21" ht="15" customHeight="1" x14ac:dyDescent="0.25">
      <c r="T65019" s="135"/>
      <c r="U65019" s="135"/>
    </row>
    <row r="65020" spans="20:21" ht="15" customHeight="1" x14ac:dyDescent="0.25">
      <c r="T65020" s="135"/>
      <c r="U65020" s="135"/>
    </row>
    <row r="65021" spans="20:21" ht="15" customHeight="1" x14ac:dyDescent="0.25">
      <c r="T65021" s="135"/>
      <c r="U65021" s="135"/>
    </row>
    <row r="65022" spans="20:21" ht="15" customHeight="1" x14ac:dyDescent="0.25">
      <c r="T65022" s="135"/>
      <c r="U65022" s="135"/>
    </row>
    <row r="65023" spans="20:21" ht="15" customHeight="1" x14ac:dyDescent="0.25">
      <c r="T65023" s="135"/>
      <c r="U65023" s="135"/>
    </row>
    <row r="65024" spans="20:21" ht="15" customHeight="1" x14ac:dyDescent="0.25">
      <c r="T65024" s="135"/>
      <c r="U65024" s="135"/>
    </row>
    <row r="65025" spans="20:21" ht="15" customHeight="1" x14ac:dyDescent="0.25">
      <c r="T65025" s="135"/>
      <c r="U65025" s="135"/>
    </row>
    <row r="65026" spans="20:21" ht="15" customHeight="1" x14ac:dyDescent="0.25">
      <c r="T65026" s="135"/>
      <c r="U65026" s="135"/>
    </row>
    <row r="65027" spans="20:21" ht="15" customHeight="1" x14ac:dyDescent="0.25">
      <c r="T65027" s="135"/>
      <c r="U65027" s="135"/>
    </row>
    <row r="65028" spans="20:21" ht="15" customHeight="1" x14ac:dyDescent="0.25">
      <c r="T65028" s="135"/>
      <c r="U65028" s="135"/>
    </row>
    <row r="65029" spans="20:21" ht="15" customHeight="1" x14ac:dyDescent="0.25">
      <c r="T65029" s="135"/>
      <c r="U65029" s="135"/>
    </row>
    <row r="65030" spans="20:21" ht="15" customHeight="1" x14ac:dyDescent="0.25">
      <c r="T65030" s="135"/>
      <c r="U65030" s="135"/>
    </row>
    <row r="65031" spans="20:21" ht="15" customHeight="1" x14ac:dyDescent="0.25">
      <c r="T65031" s="135"/>
      <c r="U65031" s="135"/>
    </row>
    <row r="65032" spans="20:21" ht="15" customHeight="1" x14ac:dyDescent="0.25">
      <c r="T65032" s="135"/>
      <c r="U65032" s="135"/>
    </row>
    <row r="65033" spans="20:21" ht="15" customHeight="1" x14ac:dyDescent="0.25">
      <c r="T65033" s="135"/>
      <c r="U65033" s="135"/>
    </row>
    <row r="65034" spans="20:21" ht="15" customHeight="1" x14ac:dyDescent="0.25">
      <c r="T65034" s="135"/>
      <c r="U65034" s="135"/>
    </row>
    <row r="65035" spans="20:21" ht="15" customHeight="1" x14ac:dyDescent="0.25">
      <c r="T65035" s="135"/>
      <c r="U65035" s="135"/>
    </row>
    <row r="65036" spans="20:21" ht="15" customHeight="1" x14ac:dyDescent="0.25">
      <c r="T65036" s="135"/>
      <c r="U65036" s="135"/>
    </row>
    <row r="65037" spans="20:21" ht="15" customHeight="1" x14ac:dyDescent="0.25">
      <c r="T65037" s="135"/>
      <c r="U65037" s="135"/>
    </row>
    <row r="65038" spans="20:21" ht="15" customHeight="1" x14ac:dyDescent="0.25">
      <c r="T65038" s="135"/>
      <c r="U65038" s="135"/>
    </row>
    <row r="65039" spans="20:21" ht="15" customHeight="1" x14ac:dyDescent="0.25">
      <c r="T65039" s="135"/>
      <c r="U65039" s="135"/>
    </row>
    <row r="65040" spans="20:21" ht="15" customHeight="1" x14ac:dyDescent="0.25">
      <c r="T65040" s="135"/>
      <c r="U65040" s="135"/>
    </row>
    <row r="65041" spans="20:21" ht="15" customHeight="1" x14ac:dyDescent="0.25">
      <c r="T65041" s="135"/>
      <c r="U65041" s="135"/>
    </row>
    <row r="65042" spans="20:21" ht="15" customHeight="1" x14ac:dyDescent="0.25">
      <c r="T65042" s="135"/>
      <c r="U65042" s="135"/>
    </row>
    <row r="65043" spans="20:21" ht="15" customHeight="1" x14ac:dyDescent="0.25">
      <c r="T65043" s="135"/>
      <c r="U65043" s="135"/>
    </row>
    <row r="65044" spans="20:21" ht="15" customHeight="1" x14ac:dyDescent="0.25">
      <c r="T65044" s="135"/>
      <c r="U65044" s="135"/>
    </row>
    <row r="65045" spans="20:21" ht="15" customHeight="1" x14ac:dyDescent="0.25">
      <c r="T65045" s="135"/>
      <c r="U65045" s="135"/>
    </row>
    <row r="65046" spans="20:21" ht="15" customHeight="1" x14ac:dyDescent="0.25">
      <c r="T65046" s="135"/>
      <c r="U65046" s="135"/>
    </row>
    <row r="65047" spans="20:21" ht="15" customHeight="1" x14ac:dyDescent="0.25">
      <c r="T65047" s="135"/>
      <c r="U65047" s="135"/>
    </row>
    <row r="65048" spans="20:21" ht="15" customHeight="1" x14ac:dyDescent="0.25">
      <c r="T65048" s="135"/>
      <c r="U65048" s="135"/>
    </row>
    <row r="65049" spans="20:21" ht="15" customHeight="1" x14ac:dyDescent="0.25">
      <c r="T65049" s="135"/>
      <c r="U65049" s="135"/>
    </row>
    <row r="65050" spans="20:21" ht="15" customHeight="1" x14ac:dyDescent="0.25">
      <c r="T65050" s="135"/>
      <c r="U65050" s="135"/>
    </row>
    <row r="65051" spans="20:21" ht="15" customHeight="1" x14ac:dyDescent="0.25">
      <c r="T65051" s="135"/>
      <c r="U65051" s="135"/>
    </row>
    <row r="65052" spans="20:21" ht="15" customHeight="1" x14ac:dyDescent="0.25">
      <c r="T65052" s="135"/>
      <c r="U65052" s="135"/>
    </row>
    <row r="65053" spans="20:21" ht="15" customHeight="1" x14ac:dyDescent="0.25">
      <c r="T65053" s="135"/>
      <c r="U65053" s="135"/>
    </row>
    <row r="65054" spans="20:21" ht="15" customHeight="1" x14ac:dyDescent="0.25">
      <c r="T65054" s="135"/>
      <c r="U65054" s="135"/>
    </row>
    <row r="65055" spans="20:21" ht="15" customHeight="1" x14ac:dyDescent="0.25">
      <c r="T65055" s="135"/>
      <c r="U65055" s="135"/>
    </row>
    <row r="65056" spans="20:21" ht="15" customHeight="1" x14ac:dyDescent="0.25">
      <c r="T65056" s="135"/>
      <c r="U65056" s="135"/>
    </row>
    <row r="65057" spans="20:21" ht="15" customHeight="1" x14ac:dyDescent="0.25">
      <c r="T65057" s="135"/>
      <c r="U65057" s="135"/>
    </row>
    <row r="65058" spans="20:21" ht="15" customHeight="1" x14ac:dyDescent="0.25">
      <c r="T65058" s="135"/>
      <c r="U65058" s="135"/>
    </row>
    <row r="65059" spans="20:21" ht="15" customHeight="1" x14ac:dyDescent="0.25">
      <c r="T65059" s="135"/>
      <c r="U65059" s="135"/>
    </row>
    <row r="65060" spans="20:21" ht="15" customHeight="1" x14ac:dyDescent="0.25">
      <c r="T65060" s="135"/>
      <c r="U65060" s="135"/>
    </row>
    <row r="65061" spans="20:21" ht="15" customHeight="1" x14ac:dyDescent="0.25">
      <c r="T65061" s="135"/>
      <c r="U65061" s="135"/>
    </row>
    <row r="65062" spans="20:21" ht="15" customHeight="1" x14ac:dyDescent="0.25">
      <c r="T65062" s="135"/>
      <c r="U65062" s="135"/>
    </row>
    <row r="65063" spans="20:21" ht="15" customHeight="1" x14ac:dyDescent="0.25">
      <c r="T65063" s="135"/>
      <c r="U65063" s="135"/>
    </row>
    <row r="65064" spans="20:21" ht="15" customHeight="1" x14ac:dyDescent="0.25">
      <c r="T65064" s="135"/>
      <c r="U65064" s="135"/>
    </row>
    <row r="65065" spans="20:21" ht="15" customHeight="1" x14ac:dyDescent="0.25">
      <c r="T65065" s="135"/>
      <c r="U65065" s="135"/>
    </row>
    <row r="65066" spans="20:21" ht="15" customHeight="1" x14ac:dyDescent="0.25">
      <c r="T65066" s="135"/>
      <c r="U65066" s="135"/>
    </row>
    <row r="65067" spans="20:21" ht="15" customHeight="1" x14ac:dyDescent="0.25">
      <c r="T65067" s="135"/>
      <c r="U65067" s="135"/>
    </row>
    <row r="65068" spans="20:21" ht="15" customHeight="1" x14ac:dyDescent="0.25">
      <c r="T65068" s="135"/>
      <c r="U65068" s="135"/>
    </row>
    <row r="65069" spans="20:21" ht="15" customHeight="1" x14ac:dyDescent="0.25">
      <c r="T65069" s="135"/>
      <c r="U65069" s="135"/>
    </row>
    <row r="65070" spans="20:21" ht="15" customHeight="1" x14ac:dyDescent="0.25">
      <c r="T65070" s="135"/>
      <c r="U65070" s="135"/>
    </row>
    <row r="65071" spans="20:21" ht="15" customHeight="1" x14ac:dyDescent="0.25">
      <c r="T65071" s="135"/>
      <c r="U65071" s="135"/>
    </row>
    <row r="65072" spans="20:21" ht="15" customHeight="1" x14ac:dyDescent="0.25">
      <c r="T65072" s="135"/>
      <c r="U65072" s="135"/>
    </row>
    <row r="65073" spans="20:21" ht="15" customHeight="1" x14ac:dyDescent="0.25">
      <c r="T65073" s="135"/>
      <c r="U65073" s="135"/>
    </row>
    <row r="65074" spans="20:21" ht="15" customHeight="1" x14ac:dyDescent="0.25">
      <c r="T65074" s="135"/>
      <c r="U65074" s="135"/>
    </row>
    <row r="65075" spans="20:21" ht="15" customHeight="1" x14ac:dyDescent="0.25">
      <c r="T65075" s="135"/>
      <c r="U65075" s="135"/>
    </row>
    <row r="65076" spans="20:21" ht="15" customHeight="1" x14ac:dyDescent="0.25">
      <c r="T65076" s="135"/>
      <c r="U65076" s="135"/>
    </row>
    <row r="65077" spans="20:21" ht="15" customHeight="1" x14ac:dyDescent="0.25">
      <c r="T65077" s="135"/>
      <c r="U65077" s="135"/>
    </row>
    <row r="65078" spans="20:21" ht="15" customHeight="1" x14ac:dyDescent="0.25">
      <c r="T65078" s="135"/>
      <c r="U65078" s="135"/>
    </row>
    <row r="65079" spans="20:21" ht="15" customHeight="1" x14ac:dyDescent="0.25">
      <c r="T65079" s="135"/>
      <c r="U65079" s="135"/>
    </row>
    <row r="65080" spans="20:21" ht="15" customHeight="1" x14ac:dyDescent="0.25">
      <c r="T65080" s="135"/>
      <c r="U65080" s="135"/>
    </row>
    <row r="65081" spans="20:21" ht="15" customHeight="1" x14ac:dyDescent="0.25">
      <c r="T65081" s="135"/>
      <c r="U65081" s="135"/>
    </row>
    <row r="65082" spans="20:21" ht="15" customHeight="1" x14ac:dyDescent="0.25">
      <c r="T65082" s="135"/>
      <c r="U65082" s="135"/>
    </row>
    <row r="65083" spans="20:21" ht="15" customHeight="1" x14ac:dyDescent="0.25">
      <c r="T65083" s="135"/>
      <c r="U65083" s="135"/>
    </row>
    <row r="65084" spans="20:21" ht="15" customHeight="1" x14ac:dyDescent="0.25">
      <c r="T65084" s="135"/>
      <c r="U65084" s="135"/>
    </row>
    <row r="65085" spans="20:21" ht="15" customHeight="1" x14ac:dyDescent="0.25">
      <c r="T65085" s="135"/>
      <c r="U65085" s="135"/>
    </row>
    <row r="65086" spans="20:21" ht="15" customHeight="1" x14ac:dyDescent="0.25">
      <c r="T65086" s="135"/>
      <c r="U65086" s="135"/>
    </row>
    <row r="65087" spans="20:21" ht="15" customHeight="1" x14ac:dyDescent="0.25">
      <c r="T65087" s="135"/>
      <c r="U65087" s="135"/>
    </row>
    <row r="65088" spans="20:21" ht="15" customHeight="1" x14ac:dyDescent="0.25">
      <c r="T65088" s="135"/>
      <c r="U65088" s="135"/>
    </row>
    <row r="65089" spans="20:21" ht="15" customHeight="1" x14ac:dyDescent="0.25">
      <c r="T65089" s="135"/>
      <c r="U65089" s="135"/>
    </row>
    <row r="65090" spans="20:21" ht="15" customHeight="1" x14ac:dyDescent="0.25">
      <c r="T65090" s="135"/>
      <c r="U65090" s="135"/>
    </row>
    <row r="65091" spans="20:21" ht="15" customHeight="1" x14ac:dyDescent="0.25">
      <c r="T65091" s="135"/>
      <c r="U65091" s="135"/>
    </row>
    <row r="65092" spans="20:21" ht="15" customHeight="1" x14ac:dyDescent="0.25">
      <c r="T65092" s="135"/>
      <c r="U65092" s="135"/>
    </row>
    <row r="65093" spans="20:21" ht="15" customHeight="1" x14ac:dyDescent="0.25">
      <c r="T65093" s="135"/>
      <c r="U65093" s="135"/>
    </row>
    <row r="65094" spans="20:21" ht="15" customHeight="1" x14ac:dyDescent="0.25">
      <c r="T65094" s="135"/>
      <c r="U65094" s="135"/>
    </row>
    <row r="65095" spans="20:21" ht="15" customHeight="1" x14ac:dyDescent="0.25">
      <c r="T65095" s="135"/>
      <c r="U65095" s="135"/>
    </row>
    <row r="65096" spans="20:21" ht="15" customHeight="1" x14ac:dyDescent="0.25">
      <c r="T65096" s="135"/>
      <c r="U65096" s="135"/>
    </row>
    <row r="65097" spans="20:21" ht="15" customHeight="1" x14ac:dyDescent="0.25">
      <c r="T65097" s="135"/>
      <c r="U65097" s="135"/>
    </row>
    <row r="65098" spans="20:21" ht="15" customHeight="1" x14ac:dyDescent="0.25">
      <c r="T65098" s="135"/>
      <c r="U65098" s="135"/>
    </row>
    <row r="65099" spans="20:21" ht="15" customHeight="1" x14ac:dyDescent="0.25">
      <c r="T65099" s="135"/>
      <c r="U65099" s="135"/>
    </row>
    <row r="65100" spans="20:21" ht="15" customHeight="1" x14ac:dyDescent="0.25">
      <c r="T65100" s="135"/>
      <c r="U65100" s="135"/>
    </row>
    <row r="65101" spans="20:21" ht="15" customHeight="1" x14ac:dyDescent="0.25">
      <c r="T65101" s="135"/>
      <c r="U65101" s="135"/>
    </row>
    <row r="65102" spans="20:21" ht="15" customHeight="1" x14ac:dyDescent="0.25">
      <c r="T65102" s="135"/>
      <c r="U65102" s="135"/>
    </row>
    <row r="65103" spans="20:21" ht="15" customHeight="1" x14ac:dyDescent="0.25">
      <c r="T65103" s="135"/>
      <c r="U65103" s="135"/>
    </row>
    <row r="65104" spans="20:21" ht="15" customHeight="1" x14ac:dyDescent="0.25">
      <c r="T65104" s="135"/>
      <c r="U65104" s="135"/>
    </row>
    <row r="65105" spans="20:21" ht="15" customHeight="1" x14ac:dyDescent="0.25">
      <c r="T65105" s="135"/>
      <c r="U65105" s="135"/>
    </row>
    <row r="65106" spans="20:21" ht="15" customHeight="1" x14ac:dyDescent="0.25">
      <c r="T65106" s="135"/>
      <c r="U65106" s="135"/>
    </row>
    <row r="65107" spans="20:21" ht="15" customHeight="1" x14ac:dyDescent="0.25">
      <c r="T65107" s="135"/>
      <c r="U65107" s="135"/>
    </row>
    <row r="65108" spans="20:21" ht="15" customHeight="1" x14ac:dyDescent="0.25">
      <c r="T65108" s="135"/>
      <c r="U65108" s="135"/>
    </row>
    <row r="65109" spans="20:21" ht="15" customHeight="1" x14ac:dyDescent="0.25">
      <c r="T65109" s="135"/>
      <c r="U65109" s="135"/>
    </row>
    <row r="65110" spans="20:21" ht="15" customHeight="1" x14ac:dyDescent="0.25">
      <c r="T65110" s="135"/>
      <c r="U65110" s="135"/>
    </row>
    <row r="65111" spans="20:21" ht="15" customHeight="1" x14ac:dyDescent="0.25">
      <c r="T65111" s="135"/>
      <c r="U65111" s="135"/>
    </row>
    <row r="65112" spans="20:21" ht="15" customHeight="1" x14ac:dyDescent="0.25">
      <c r="T65112" s="135"/>
      <c r="U65112" s="135"/>
    </row>
    <row r="65113" spans="20:21" ht="15" customHeight="1" x14ac:dyDescent="0.25">
      <c r="T65113" s="135"/>
      <c r="U65113" s="135"/>
    </row>
    <row r="65114" spans="20:21" ht="15" customHeight="1" x14ac:dyDescent="0.25">
      <c r="T65114" s="135"/>
      <c r="U65114" s="135"/>
    </row>
    <row r="65115" spans="20:21" ht="15" customHeight="1" x14ac:dyDescent="0.25">
      <c r="T65115" s="135"/>
      <c r="U65115" s="135"/>
    </row>
    <row r="65116" spans="20:21" ht="15" customHeight="1" x14ac:dyDescent="0.25">
      <c r="T65116" s="135"/>
      <c r="U65116" s="135"/>
    </row>
    <row r="65117" spans="20:21" ht="15" customHeight="1" x14ac:dyDescent="0.25">
      <c r="T65117" s="135"/>
      <c r="U65117" s="135"/>
    </row>
    <row r="65118" spans="20:21" ht="15" customHeight="1" x14ac:dyDescent="0.25">
      <c r="T65118" s="135"/>
      <c r="U65118" s="135"/>
    </row>
    <row r="65119" spans="20:21" ht="15" customHeight="1" x14ac:dyDescent="0.25">
      <c r="T65119" s="135"/>
      <c r="U65119" s="135"/>
    </row>
    <row r="65120" spans="20:21" ht="15" customHeight="1" x14ac:dyDescent="0.25">
      <c r="T65120" s="135"/>
      <c r="U65120" s="135"/>
    </row>
    <row r="65121" spans="20:21" ht="15" customHeight="1" x14ac:dyDescent="0.25">
      <c r="T65121" s="135"/>
      <c r="U65121" s="135"/>
    </row>
    <row r="65122" spans="20:21" ht="15" customHeight="1" x14ac:dyDescent="0.25">
      <c r="T65122" s="135"/>
      <c r="U65122" s="135"/>
    </row>
    <row r="65123" spans="20:21" ht="15" customHeight="1" x14ac:dyDescent="0.25">
      <c r="T65123" s="135"/>
      <c r="U65123" s="135"/>
    </row>
    <row r="65124" spans="20:21" ht="15" customHeight="1" x14ac:dyDescent="0.25">
      <c r="T65124" s="135"/>
      <c r="U65124" s="135"/>
    </row>
    <row r="65125" spans="20:21" ht="15" customHeight="1" x14ac:dyDescent="0.25">
      <c r="T65125" s="135"/>
      <c r="U65125" s="135"/>
    </row>
    <row r="65126" spans="20:21" ht="15" customHeight="1" x14ac:dyDescent="0.25">
      <c r="T65126" s="135"/>
      <c r="U65126" s="135"/>
    </row>
    <row r="65127" spans="20:21" ht="15" customHeight="1" x14ac:dyDescent="0.25">
      <c r="T65127" s="135"/>
      <c r="U65127" s="135"/>
    </row>
    <row r="65128" spans="20:21" ht="15" customHeight="1" x14ac:dyDescent="0.25">
      <c r="T65128" s="135"/>
      <c r="U65128" s="135"/>
    </row>
    <row r="65129" spans="20:21" ht="15" customHeight="1" x14ac:dyDescent="0.25">
      <c r="T65129" s="135"/>
      <c r="U65129" s="135"/>
    </row>
    <row r="65130" spans="20:21" ht="15" customHeight="1" x14ac:dyDescent="0.25">
      <c r="T65130" s="135"/>
      <c r="U65130" s="135"/>
    </row>
    <row r="65131" spans="20:21" ht="15" customHeight="1" x14ac:dyDescent="0.25">
      <c r="T65131" s="135"/>
      <c r="U65131" s="135"/>
    </row>
    <row r="65132" spans="20:21" ht="15" customHeight="1" x14ac:dyDescent="0.25">
      <c r="T65132" s="135"/>
      <c r="U65132" s="135"/>
    </row>
    <row r="65133" spans="20:21" ht="15" customHeight="1" x14ac:dyDescent="0.25">
      <c r="T65133" s="135"/>
      <c r="U65133" s="135"/>
    </row>
    <row r="65134" spans="20:21" ht="15" customHeight="1" x14ac:dyDescent="0.25">
      <c r="T65134" s="135"/>
      <c r="U65134" s="135"/>
    </row>
    <row r="65135" spans="20:21" ht="15" customHeight="1" x14ac:dyDescent="0.25">
      <c r="T65135" s="135"/>
      <c r="U65135" s="135"/>
    </row>
    <row r="65136" spans="20:21" ht="15" customHeight="1" x14ac:dyDescent="0.25">
      <c r="T65136" s="135"/>
      <c r="U65136" s="135"/>
    </row>
    <row r="65137" spans="20:21" ht="15" customHeight="1" x14ac:dyDescent="0.25">
      <c r="T65137" s="135"/>
      <c r="U65137" s="135"/>
    </row>
    <row r="65138" spans="20:21" ht="15" customHeight="1" x14ac:dyDescent="0.25">
      <c r="T65138" s="135"/>
      <c r="U65138" s="135"/>
    </row>
    <row r="65139" spans="20:21" ht="15" customHeight="1" x14ac:dyDescent="0.25">
      <c r="T65139" s="135"/>
      <c r="U65139" s="135"/>
    </row>
    <row r="65140" spans="20:21" ht="15" customHeight="1" x14ac:dyDescent="0.25">
      <c r="T65140" s="135"/>
      <c r="U65140" s="135"/>
    </row>
    <row r="65141" spans="20:21" ht="15" customHeight="1" x14ac:dyDescent="0.25">
      <c r="T65141" s="135"/>
      <c r="U65141" s="135"/>
    </row>
    <row r="65142" spans="20:21" ht="15" customHeight="1" x14ac:dyDescent="0.25">
      <c r="T65142" s="135"/>
      <c r="U65142" s="135"/>
    </row>
    <row r="65143" spans="20:21" ht="15" customHeight="1" x14ac:dyDescent="0.25">
      <c r="T65143" s="135"/>
      <c r="U65143" s="135"/>
    </row>
    <row r="65144" spans="20:21" ht="15" customHeight="1" x14ac:dyDescent="0.25">
      <c r="T65144" s="135"/>
      <c r="U65144" s="135"/>
    </row>
    <row r="65145" spans="20:21" ht="15" customHeight="1" x14ac:dyDescent="0.25">
      <c r="T65145" s="135"/>
      <c r="U65145" s="135"/>
    </row>
    <row r="65146" spans="20:21" ht="15" customHeight="1" x14ac:dyDescent="0.25">
      <c r="T65146" s="135"/>
      <c r="U65146" s="135"/>
    </row>
    <row r="65147" spans="20:21" ht="15" customHeight="1" x14ac:dyDescent="0.25">
      <c r="T65147" s="135"/>
      <c r="U65147" s="135"/>
    </row>
    <row r="65148" spans="20:21" ht="15" customHeight="1" x14ac:dyDescent="0.25">
      <c r="T65148" s="135"/>
      <c r="U65148" s="135"/>
    </row>
    <row r="65149" spans="20:21" ht="15" customHeight="1" x14ac:dyDescent="0.25">
      <c r="T65149" s="135"/>
      <c r="U65149" s="135"/>
    </row>
    <row r="65150" spans="20:21" ht="15" customHeight="1" x14ac:dyDescent="0.25">
      <c r="T65150" s="135"/>
      <c r="U65150" s="135"/>
    </row>
    <row r="65151" spans="20:21" ht="15" customHeight="1" x14ac:dyDescent="0.25">
      <c r="T65151" s="135"/>
      <c r="U65151" s="135"/>
    </row>
    <row r="65152" spans="20:21" ht="15" customHeight="1" x14ac:dyDescent="0.25">
      <c r="T65152" s="135"/>
      <c r="U65152" s="135"/>
    </row>
    <row r="65153" spans="20:21" ht="15" customHeight="1" x14ac:dyDescent="0.25">
      <c r="T65153" s="135"/>
      <c r="U65153" s="135"/>
    </row>
    <row r="65154" spans="20:21" ht="15" customHeight="1" x14ac:dyDescent="0.25">
      <c r="T65154" s="135"/>
      <c r="U65154" s="135"/>
    </row>
    <row r="65155" spans="20:21" ht="15" customHeight="1" x14ac:dyDescent="0.25">
      <c r="T65155" s="135"/>
      <c r="U65155" s="135"/>
    </row>
    <row r="65156" spans="20:21" ht="15" customHeight="1" x14ac:dyDescent="0.25">
      <c r="T65156" s="135"/>
      <c r="U65156" s="135"/>
    </row>
    <row r="65157" spans="20:21" ht="15" customHeight="1" x14ac:dyDescent="0.25">
      <c r="T65157" s="135"/>
      <c r="U65157" s="135"/>
    </row>
    <row r="65158" spans="20:21" ht="15" customHeight="1" x14ac:dyDescent="0.25">
      <c r="T65158" s="135"/>
      <c r="U65158" s="135"/>
    </row>
    <row r="65159" spans="20:21" ht="15" customHeight="1" x14ac:dyDescent="0.25">
      <c r="T65159" s="135"/>
      <c r="U65159" s="135"/>
    </row>
    <row r="65160" spans="20:21" ht="15" customHeight="1" x14ac:dyDescent="0.25">
      <c r="T65160" s="135"/>
      <c r="U65160" s="135"/>
    </row>
    <row r="65161" spans="20:21" ht="15" customHeight="1" x14ac:dyDescent="0.25">
      <c r="T65161" s="135"/>
      <c r="U65161" s="135"/>
    </row>
    <row r="65162" spans="20:21" ht="15" customHeight="1" x14ac:dyDescent="0.25">
      <c r="T65162" s="135"/>
      <c r="U65162" s="135"/>
    </row>
    <row r="65163" spans="20:21" ht="15" customHeight="1" x14ac:dyDescent="0.25">
      <c r="T65163" s="135"/>
      <c r="U65163" s="135"/>
    </row>
    <row r="65164" spans="20:21" ht="15" customHeight="1" x14ac:dyDescent="0.25">
      <c r="T65164" s="135"/>
      <c r="U65164" s="135"/>
    </row>
    <row r="65165" spans="20:21" ht="15" customHeight="1" x14ac:dyDescent="0.25">
      <c r="T65165" s="135"/>
      <c r="U65165" s="135"/>
    </row>
    <row r="65166" spans="20:21" ht="15" customHeight="1" x14ac:dyDescent="0.25">
      <c r="T65166" s="135"/>
      <c r="U65166" s="135"/>
    </row>
    <row r="65167" spans="20:21" ht="15" customHeight="1" x14ac:dyDescent="0.25">
      <c r="T65167" s="135"/>
      <c r="U65167" s="135"/>
    </row>
    <row r="65168" spans="20:21" ht="15" customHeight="1" x14ac:dyDescent="0.25">
      <c r="T65168" s="135"/>
      <c r="U65168" s="135"/>
    </row>
    <row r="65169" spans="20:21" ht="15" customHeight="1" x14ac:dyDescent="0.25">
      <c r="T65169" s="135"/>
      <c r="U65169" s="135"/>
    </row>
    <row r="65170" spans="20:21" ht="15" customHeight="1" x14ac:dyDescent="0.25">
      <c r="T65170" s="135"/>
      <c r="U65170" s="135"/>
    </row>
    <row r="65171" spans="20:21" ht="15" customHeight="1" x14ac:dyDescent="0.25">
      <c r="T65171" s="135"/>
      <c r="U65171" s="135"/>
    </row>
    <row r="65172" spans="20:21" ht="15" customHeight="1" x14ac:dyDescent="0.25">
      <c r="T65172" s="135"/>
      <c r="U65172" s="135"/>
    </row>
    <row r="65173" spans="20:21" ht="15" customHeight="1" x14ac:dyDescent="0.25">
      <c r="T65173" s="135"/>
      <c r="U65173" s="135"/>
    </row>
    <row r="65174" spans="20:21" ht="15" customHeight="1" x14ac:dyDescent="0.25">
      <c r="T65174" s="135"/>
      <c r="U65174" s="135"/>
    </row>
    <row r="65175" spans="20:21" ht="15" customHeight="1" x14ac:dyDescent="0.25">
      <c r="T65175" s="135"/>
      <c r="U65175" s="135"/>
    </row>
    <row r="65176" spans="20:21" ht="15" customHeight="1" x14ac:dyDescent="0.25">
      <c r="T65176" s="135"/>
      <c r="U65176" s="135"/>
    </row>
    <row r="65177" spans="20:21" ht="15" customHeight="1" x14ac:dyDescent="0.25">
      <c r="T65177" s="135"/>
      <c r="U65177" s="135"/>
    </row>
    <row r="65178" spans="20:21" ht="15" customHeight="1" x14ac:dyDescent="0.25">
      <c r="T65178" s="135"/>
      <c r="U65178" s="135"/>
    </row>
    <row r="65179" spans="20:21" ht="15" customHeight="1" x14ac:dyDescent="0.25">
      <c r="T65179" s="135"/>
      <c r="U65179" s="135"/>
    </row>
    <row r="65180" spans="20:21" ht="15" customHeight="1" x14ac:dyDescent="0.25">
      <c r="T65180" s="135"/>
      <c r="U65180" s="135"/>
    </row>
    <row r="65181" spans="20:21" ht="15" customHeight="1" x14ac:dyDescent="0.25">
      <c r="T65181" s="135"/>
      <c r="U65181" s="135"/>
    </row>
    <row r="65182" spans="20:21" ht="15" customHeight="1" x14ac:dyDescent="0.25">
      <c r="T65182" s="135"/>
      <c r="U65182" s="135"/>
    </row>
    <row r="65183" spans="20:21" ht="15" customHeight="1" x14ac:dyDescent="0.25">
      <c r="T65183" s="135"/>
      <c r="U65183" s="135"/>
    </row>
    <row r="65184" spans="20:21" ht="15" customHeight="1" x14ac:dyDescent="0.25">
      <c r="T65184" s="135"/>
      <c r="U65184" s="135"/>
    </row>
    <row r="65185" spans="20:21" ht="15" customHeight="1" x14ac:dyDescent="0.25">
      <c r="T65185" s="135"/>
      <c r="U65185" s="135"/>
    </row>
    <row r="65186" spans="20:21" ht="15" customHeight="1" x14ac:dyDescent="0.25">
      <c r="T65186" s="135"/>
      <c r="U65186" s="135"/>
    </row>
    <row r="65187" spans="20:21" ht="15" customHeight="1" x14ac:dyDescent="0.25">
      <c r="T65187" s="135"/>
      <c r="U65187" s="135"/>
    </row>
    <row r="65188" spans="20:21" ht="15" customHeight="1" x14ac:dyDescent="0.25">
      <c r="T65188" s="135"/>
      <c r="U65188" s="135"/>
    </row>
    <row r="65189" spans="20:21" ht="15" customHeight="1" x14ac:dyDescent="0.25">
      <c r="T65189" s="135"/>
      <c r="U65189" s="135"/>
    </row>
    <row r="65190" spans="20:21" ht="15" customHeight="1" x14ac:dyDescent="0.25">
      <c r="T65190" s="135"/>
      <c r="U65190" s="135"/>
    </row>
    <row r="65191" spans="20:21" ht="15" customHeight="1" x14ac:dyDescent="0.25">
      <c r="T65191" s="135"/>
      <c r="U65191" s="135"/>
    </row>
    <row r="65192" spans="20:21" ht="15" customHeight="1" x14ac:dyDescent="0.25">
      <c r="T65192" s="135"/>
      <c r="U65192" s="135"/>
    </row>
    <row r="65193" spans="20:21" ht="15" customHeight="1" x14ac:dyDescent="0.25">
      <c r="T65193" s="135"/>
      <c r="U65193" s="135"/>
    </row>
    <row r="65194" spans="20:21" ht="15" customHeight="1" x14ac:dyDescent="0.25">
      <c r="T65194" s="135"/>
      <c r="U65194" s="135"/>
    </row>
    <row r="65195" spans="20:21" ht="15" customHeight="1" x14ac:dyDescent="0.25">
      <c r="T65195" s="135"/>
      <c r="U65195" s="135"/>
    </row>
    <row r="65196" spans="20:21" ht="15" customHeight="1" x14ac:dyDescent="0.25">
      <c r="T65196" s="135"/>
      <c r="U65196" s="135"/>
    </row>
    <row r="65197" spans="20:21" ht="15" customHeight="1" x14ac:dyDescent="0.25">
      <c r="T65197" s="135"/>
      <c r="U65197" s="135"/>
    </row>
    <row r="65198" spans="20:21" ht="15" customHeight="1" x14ac:dyDescent="0.25">
      <c r="T65198" s="135"/>
      <c r="U65198" s="135"/>
    </row>
    <row r="65199" spans="20:21" ht="15" customHeight="1" x14ac:dyDescent="0.25">
      <c r="T65199" s="135"/>
      <c r="U65199" s="135"/>
    </row>
    <row r="65200" spans="20:21" ht="15" customHeight="1" x14ac:dyDescent="0.25">
      <c r="T65200" s="135"/>
      <c r="U65200" s="135"/>
    </row>
    <row r="65201" spans="20:21" ht="15" customHeight="1" x14ac:dyDescent="0.25">
      <c r="T65201" s="135"/>
      <c r="U65201" s="135"/>
    </row>
    <row r="65202" spans="20:21" ht="15" customHeight="1" x14ac:dyDescent="0.25">
      <c r="T65202" s="135"/>
      <c r="U65202" s="135"/>
    </row>
    <row r="65203" spans="20:21" ht="15" customHeight="1" x14ac:dyDescent="0.25">
      <c r="T65203" s="135"/>
      <c r="U65203" s="135"/>
    </row>
    <row r="65204" spans="20:21" ht="15" customHeight="1" x14ac:dyDescent="0.25">
      <c r="T65204" s="135"/>
      <c r="U65204" s="135"/>
    </row>
    <row r="65205" spans="20:21" ht="15" customHeight="1" x14ac:dyDescent="0.25">
      <c r="T65205" s="135"/>
      <c r="U65205" s="135"/>
    </row>
    <row r="65206" spans="20:21" ht="15" customHeight="1" x14ac:dyDescent="0.25">
      <c r="T65206" s="135"/>
      <c r="U65206" s="135"/>
    </row>
    <row r="65207" spans="20:21" ht="15" customHeight="1" x14ac:dyDescent="0.25">
      <c r="T65207" s="135"/>
      <c r="U65207" s="135"/>
    </row>
    <row r="65208" spans="20:21" ht="15" customHeight="1" x14ac:dyDescent="0.25">
      <c r="T65208" s="135"/>
      <c r="U65208" s="135"/>
    </row>
    <row r="65209" spans="20:21" ht="15" customHeight="1" x14ac:dyDescent="0.25">
      <c r="T65209" s="135"/>
      <c r="U65209" s="135"/>
    </row>
    <row r="65210" spans="20:21" ht="15" customHeight="1" x14ac:dyDescent="0.25">
      <c r="T65210" s="135"/>
      <c r="U65210" s="135"/>
    </row>
    <row r="65211" spans="20:21" ht="15" customHeight="1" x14ac:dyDescent="0.25">
      <c r="T65211" s="135"/>
      <c r="U65211" s="135"/>
    </row>
    <row r="65212" spans="20:21" ht="15" customHeight="1" x14ac:dyDescent="0.25">
      <c r="T65212" s="135"/>
      <c r="U65212" s="135"/>
    </row>
    <row r="65213" spans="20:21" ht="15" customHeight="1" x14ac:dyDescent="0.25">
      <c r="T65213" s="135"/>
      <c r="U65213" s="135"/>
    </row>
    <row r="65214" spans="20:21" ht="15" customHeight="1" x14ac:dyDescent="0.25">
      <c r="T65214" s="135"/>
      <c r="U65214" s="135"/>
    </row>
    <row r="65215" spans="20:21" ht="15" customHeight="1" x14ac:dyDescent="0.25">
      <c r="T65215" s="135"/>
      <c r="U65215" s="135"/>
    </row>
    <row r="65216" spans="20:21" ht="15" customHeight="1" x14ac:dyDescent="0.25">
      <c r="T65216" s="135"/>
      <c r="U65216" s="135"/>
    </row>
    <row r="65217" spans="20:21" ht="15" customHeight="1" x14ac:dyDescent="0.25">
      <c r="T65217" s="135"/>
      <c r="U65217" s="135"/>
    </row>
    <row r="65218" spans="20:21" ht="15" customHeight="1" x14ac:dyDescent="0.25">
      <c r="T65218" s="135"/>
      <c r="U65218" s="135"/>
    </row>
    <row r="65219" spans="20:21" ht="15" customHeight="1" x14ac:dyDescent="0.25">
      <c r="T65219" s="135"/>
      <c r="U65219" s="135"/>
    </row>
    <row r="65220" spans="20:21" ht="15" customHeight="1" x14ac:dyDescent="0.25">
      <c r="T65220" s="135"/>
      <c r="U65220" s="135"/>
    </row>
    <row r="65221" spans="20:21" ht="15" customHeight="1" x14ac:dyDescent="0.25">
      <c r="T65221" s="135"/>
      <c r="U65221" s="135"/>
    </row>
    <row r="65222" spans="20:21" ht="15" customHeight="1" x14ac:dyDescent="0.25">
      <c r="T65222" s="135"/>
      <c r="U65222" s="135"/>
    </row>
    <row r="65223" spans="20:21" ht="15" customHeight="1" x14ac:dyDescent="0.25">
      <c r="T65223" s="135"/>
      <c r="U65223" s="135"/>
    </row>
    <row r="65224" spans="20:21" ht="15" customHeight="1" x14ac:dyDescent="0.25">
      <c r="T65224" s="135"/>
      <c r="U65224" s="135"/>
    </row>
    <row r="65225" spans="20:21" ht="15" customHeight="1" x14ac:dyDescent="0.25">
      <c r="T65225" s="135"/>
      <c r="U65225" s="135"/>
    </row>
    <row r="65226" spans="20:21" ht="15" customHeight="1" x14ac:dyDescent="0.25">
      <c r="T65226" s="135"/>
      <c r="U65226" s="135"/>
    </row>
    <row r="65227" spans="20:21" ht="15" customHeight="1" x14ac:dyDescent="0.25">
      <c r="T65227" s="135"/>
      <c r="U65227" s="135"/>
    </row>
    <row r="65228" spans="20:21" ht="15" customHeight="1" x14ac:dyDescent="0.25">
      <c r="T65228" s="135"/>
      <c r="U65228" s="135"/>
    </row>
    <row r="65229" spans="20:21" ht="15" customHeight="1" x14ac:dyDescent="0.25">
      <c r="T65229" s="135"/>
      <c r="U65229" s="135"/>
    </row>
    <row r="65230" spans="20:21" ht="15" customHeight="1" x14ac:dyDescent="0.25">
      <c r="T65230" s="135"/>
      <c r="U65230" s="135"/>
    </row>
    <row r="65231" spans="20:21" ht="15" customHeight="1" x14ac:dyDescent="0.25">
      <c r="T65231" s="135"/>
      <c r="U65231" s="135"/>
    </row>
    <row r="65232" spans="20:21" ht="15" customHeight="1" x14ac:dyDescent="0.25">
      <c r="T65232" s="135"/>
      <c r="U65232" s="135"/>
    </row>
    <row r="65233" spans="20:21" ht="15" customHeight="1" x14ac:dyDescent="0.25">
      <c r="T65233" s="135"/>
      <c r="U65233" s="135"/>
    </row>
    <row r="65234" spans="20:21" ht="15" customHeight="1" x14ac:dyDescent="0.25">
      <c r="T65234" s="135"/>
      <c r="U65234" s="135"/>
    </row>
    <row r="65235" spans="20:21" ht="15" customHeight="1" x14ac:dyDescent="0.25">
      <c r="T65235" s="135"/>
      <c r="U65235" s="135"/>
    </row>
    <row r="65236" spans="20:21" ht="15" customHeight="1" x14ac:dyDescent="0.25">
      <c r="T65236" s="135"/>
      <c r="U65236" s="135"/>
    </row>
    <row r="65237" spans="20:21" ht="15" customHeight="1" x14ac:dyDescent="0.25">
      <c r="T65237" s="135"/>
      <c r="U65237" s="135"/>
    </row>
    <row r="65238" spans="20:21" ht="15" customHeight="1" x14ac:dyDescent="0.25">
      <c r="T65238" s="135"/>
      <c r="U65238" s="135"/>
    </row>
    <row r="65239" spans="20:21" ht="15" customHeight="1" x14ac:dyDescent="0.25">
      <c r="T65239" s="135"/>
      <c r="U65239" s="135"/>
    </row>
    <row r="65240" spans="20:21" ht="15" customHeight="1" x14ac:dyDescent="0.25">
      <c r="T65240" s="135"/>
      <c r="U65240" s="135"/>
    </row>
    <row r="65241" spans="20:21" ht="15" customHeight="1" x14ac:dyDescent="0.25">
      <c r="T65241" s="135"/>
      <c r="U65241" s="135"/>
    </row>
    <row r="65242" spans="20:21" ht="15" customHeight="1" x14ac:dyDescent="0.25">
      <c r="T65242" s="135"/>
      <c r="U65242" s="135"/>
    </row>
    <row r="65243" spans="20:21" ht="15" customHeight="1" x14ac:dyDescent="0.25">
      <c r="T65243" s="135"/>
      <c r="U65243" s="135"/>
    </row>
    <row r="65244" spans="20:21" ht="15" customHeight="1" x14ac:dyDescent="0.25">
      <c r="T65244" s="135"/>
      <c r="U65244" s="135"/>
    </row>
    <row r="65245" spans="20:21" ht="15" customHeight="1" x14ac:dyDescent="0.25">
      <c r="T65245" s="135"/>
      <c r="U65245" s="135"/>
    </row>
    <row r="65246" spans="20:21" ht="15" customHeight="1" x14ac:dyDescent="0.25">
      <c r="T65246" s="135"/>
      <c r="U65246" s="135"/>
    </row>
    <row r="65247" spans="20:21" ht="15" customHeight="1" x14ac:dyDescent="0.25">
      <c r="T65247" s="135"/>
      <c r="U65247" s="135"/>
    </row>
    <row r="65248" spans="20:21" ht="15" customHeight="1" x14ac:dyDescent="0.25">
      <c r="T65248" s="135"/>
      <c r="U65248" s="135"/>
    </row>
    <row r="65249" spans="20:21" ht="15" customHeight="1" x14ac:dyDescent="0.25">
      <c r="T65249" s="135"/>
      <c r="U65249" s="135"/>
    </row>
    <row r="65250" spans="20:21" ht="15" customHeight="1" x14ac:dyDescent="0.25">
      <c r="T65250" s="135"/>
      <c r="U65250" s="135"/>
    </row>
    <row r="65251" spans="20:21" ht="15" customHeight="1" x14ac:dyDescent="0.25">
      <c r="T65251" s="135"/>
      <c r="U65251" s="135"/>
    </row>
    <row r="65252" spans="20:21" ht="15" customHeight="1" x14ac:dyDescent="0.25">
      <c r="T65252" s="135"/>
      <c r="U65252" s="135"/>
    </row>
    <row r="65253" spans="20:21" ht="15" customHeight="1" x14ac:dyDescent="0.25">
      <c r="T65253" s="135"/>
      <c r="U65253" s="135"/>
    </row>
    <row r="65254" spans="20:21" ht="15" customHeight="1" x14ac:dyDescent="0.25">
      <c r="T65254" s="135"/>
      <c r="U65254" s="135"/>
    </row>
    <row r="65255" spans="20:21" ht="15" customHeight="1" x14ac:dyDescent="0.25">
      <c r="T65255" s="135"/>
      <c r="U65255" s="135"/>
    </row>
    <row r="65256" spans="20:21" ht="15" customHeight="1" x14ac:dyDescent="0.25">
      <c r="T65256" s="135"/>
      <c r="U65256" s="135"/>
    </row>
    <row r="65257" spans="20:21" ht="15" customHeight="1" x14ac:dyDescent="0.25">
      <c r="T65257" s="135"/>
      <c r="U65257" s="135"/>
    </row>
    <row r="65258" spans="20:21" ht="15" customHeight="1" x14ac:dyDescent="0.25">
      <c r="T65258" s="135"/>
      <c r="U65258" s="135"/>
    </row>
    <row r="65259" spans="20:21" ht="15" customHeight="1" x14ac:dyDescent="0.25">
      <c r="T65259" s="135"/>
      <c r="U65259" s="135"/>
    </row>
    <row r="65260" spans="20:21" ht="15" customHeight="1" x14ac:dyDescent="0.25">
      <c r="T65260" s="135"/>
      <c r="U65260" s="135"/>
    </row>
    <row r="65261" spans="20:21" ht="15" customHeight="1" x14ac:dyDescent="0.25">
      <c r="T65261" s="135"/>
      <c r="U65261" s="135"/>
    </row>
    <row r="65262" spans="20:21" ht="15" customHeight="1" x14ac:dyDescent="0.25">
      <c r="T65262" s="135"/>
      <c r="U65262" s="135"/>
    </row>
    <row r="65263" spans="20:21" ht="15" customHeight="1" x14ac:dyDescent="0.25">
      <c r="T65263" s="135"/>
      <c r="U65263" s="135"/>
    </row>
    <row r="65264" spans="20:21" ht="15" customHeight="1" x14ac:dyDescent="0.25">
      <c r="T65264" s="135"/>
      <c r="U65264" s="135"/>
    </row>
    <row r="65265" spans="20:21" ht="15" customHeight="1" x14ac:dyDescent="0.25">
      <c r="T65265" s="135"/>
      <c r="U65265" s="135"/>
    </row>
    <row r="65266" spans="20:21" ht="15" customHeight="1" x14ac:dyDescent="0.25">
      <c r="T65266" s="135"/>
      <c r="U65266" s="135"/>
    </row>
    <row r="65267" spans="20:21" ht="15" customHeight="1" x14ac:dyDescent="0.25">
      <c r="T65267" s="135"/>
      <c r="U65267" s="135"/>
    </row>
    <row r="65268" spans="20:21" ht="15" customHeight="1" x14ac:dyDescent="0.25">
      <c r="T65268" s="135"/>
      <c r="U65268" s="135"/>
    </row>
    <row r="65269" spans="20:21" ht="15" customHeight="1" x14ac:dyDescent="0.25">
      <c r="T65269" s="135"/>
      <c r="U65269" s="135"/>
    </row>
    <row r="65270" spans="20:21" ht="15" customHeight="1" x14ac:dyDescent="0.25">
      <c r="T65270" s="135"/>
      <c r="U65270" s="135"/>
    </row>
    <row r="65271" spans="20:21" ht="15" customHeight="1" x14ac:dyDescent="0.25">
      <c r="T65271" s="135"/>
      <c r="U65271" s="135"/>
    </row>
    <row r="65272" spans="20:21" ht="15" customHeight="1" x14ac:dyDescent="0.25">
      <c r="T65272" s="135"/>
      <c r="U65272" s="135"/>
    </row>
    <row r="65273" spans="20:21" ht="15" customHeight="1" x14ac:dyDescent="0.25">
      <c r="T65273" s="135"/>
      <c r="U65273" s="135"/>
    </row>
    <row r="65274" spans="20:21" ht="15" customHeight="1" x14ac:dyDescent="0.25">
      <c r="T65274" s="135"/>
      <c r="U65274" s="135"/>
    </row>
    <row r="65275" spans="20:21" ht="15" customHeight="1" x14ac:dyDescent="0.25">
      <c r="T65275" s="135"/>
      <c r="U65275" s="135"/>
    </row>
    <row r="65276" spans="20:21" ht="15" customHeight="1" x14ac:dyDescent="0.25">
      <c r="T65276" s="135"/>
      <c r="U65276" s="135"/>
    </row>
    <row r="65277" spans="20:21" ht="15" customHeight="1" x14ac:dyDescent="0.25">
      <c r="T65277" s="135"/>
      <c r="U65277" s="135"/>
    </row>
    <row r="65278" spans="20:21" ht="15" customHeight="1" x14ac:dyDescent="0.25">
      <c r="T65278" s="135"/>
      <c r="U65278" s="135"/>
    </row>
    <row r="65279" spans="20:21" ht="15" customHeight="1" x14ac:dyDescent="0.25">
      <c r="T65279" s="135"/>
      <c r="U65279" s="135"/>
    </row>
    <row r="65280" spans="20:21" ht="15" customHeight="1" x14ac:dyDescent="0.25">
      <c r="T65280" s="135"/>
      <c r="U65280" s="135"/>
    </row>
    <row r="65281" spans="20:21" ht="15" customHeight="1" x14ac:dyDescent="0.25">
      <c r="T65281" s="135"/>
      <c r="U65281" s="135"/>
    </row>
    <row r="65282" spans="20:21" ht="15" customHeight="1" x14ac:dyDescent="0.25">
      <c r="T65282" s="135"/>
      <c r="U65282" s="135"/>
    </row>
    <row r="65283" spans="20:21" ht="15" customHeight="1" x14ac:dyDescent="0.25">
      <c r="T65283" s="135"/>
      <c r="U65283" s="135"/>
    </row>
    <row r="65284" spans="20:21" ht="15" customHeight="1" x14ac:dyDescent="0.25">
      <c r="T65284" s="135"/>
      <c r="U65284" s="135"/>
    </row>
    <row r="65285" spans="20:21" ht="15" customHeight="1" x14ac:dyDescent="0.25">
      <c r="T65285" s="135"/>
      <c r="U65285" s="135"/>
    </row>
    <row r="65286" spans="20:21" ht="15" customHeight="1" x14ac:dyDescent="0.25">
      <c r="T65286" s="135"/>
      <c r="U65286" s="135"/>
    </row>
    <row r="65287" spans="20:21" ht="15" customHeight="1" x14ac:dyDescent="0.25">
      <c r="T65287" s="135"/>
      <c r="U65287" s="135"/>
    </row>
    <row r="65288" spans="20:21" ht="15" customHeight="1" x14ac:dyDescent="0.25">
      <c r="T65288" s="135"/>
      <c r="U65288" s="135"/>
    </row>
    <row r="65289" spans="20:21" ht="15" customHeight="1" x14ac:dyDescent="0.25">
      <c r="T65289" s="135"/>
      <c r="U65289" s="135"/>
    </row>
    <row r="65290" spans="20:21" ht="15" customHeight="1" x14ac:dyDescent="0.25">
      <c r="T65290" s="135"/>
      <c r="U65290" s="135"/>
    </row>
    <row r="65291" spans="20:21" ht="15" customHeight="1" x14ac:dyDescent="0.25">
      <c r="T65291" s="135"/>
      <c r="U65291" s="135"/>
    </row>
    <row r="65292" spans="20:21" ht="15" customHeight="1" x14ac:dyDescent="0.25">
      <c r="T65292" s="135"/>
      <c r="U65292" s="135"/>
    </row>
    <row r="65293" spans="20:21" ht="15" customHeight="1" x14ac:dyDescent="0.25">
      <c r="T65293" s="135"/>
      <c r="U65293" s="135"/>
    </row>
    <row r="65294" spans="20:21" ht="15" customHeight="1" x14ac:dyDescent="0.25">
      <c r="T65294" s="135"/>
      <c r="U65294" s="135"/>
    </row>
    <row r="65295" spans="20:21" ht="15" customHeight="1" x14ac:dyDescent="0.25">
      <c r="T65295" s="135"/>
      <c r="U65295" s="135"/>
    </row>
    <row r="65296" spans="20:21" ht="15" customHeight="1" x14ac:dyDescent="0.25">
      <c r="T65296" s="135"/>
      <c r="U65296" s="135"/>
    </row>
    <row r="65297" spans="20:21" ht="15" customHeight="1" x14ac:dyDescent="0.25">
      <c r="T65297" s="135"/>
      <c r="U65297" s="135"/>
    </row>
    <row r="65298" spans="20:21" ht="15" customHeight="1" x14ac:dyDescent="0.25">
      <c r="T65298" s="135"/>
      <c r="U65298" s="135"/>
    </row>
    <row r="65299" spans="20:21" ht="15" customHeight="1" x14ac:dyDescent="0.25">
      <c r="T65299" s="135"/>
      <c r="U65299" s="135"/>
    </row>
    <row r="65300" spans="20:21" ht="15" customHeight="1" x14ac:dyDescent="0.25">
      <c r="T65300" s="135"/>
      <c r="U65300" s="135"/>
    </row>
    <row r="65301" spans="20:21" ht="15" customHeight="1" x14ac:dyDescent="0.25">
      <c r="T65301" s="135"/>
      <c r="U65301" s="135"/>
    </row>
    <row r="65302" spans="20:21" ht="15" customHeight="1" x14ac:dyDescent="0.25">
      <c r="T65302" s="135"/>
      <c r="U65302" s="135"/>
    </row>
    <row r="65303" spans="20:21" ht="15" customHeight="1" x14ac:dyDescent="0.25">
      <c r="T65303" s="135"/>
      <c r="U65303" s="135"/>
    </row>
    <row r="65304" spans="20:21" ht="15" customHeight="1" x14ac:dyDescent="0.25">
      <c r="T65304" s="135"/>
      <c r="U65304" s="135"/>
    </row>
    <row r="65305" spans="20:21" ht="15" customHeight="1" x14ac:dyDescent="0.25">
      <c r="T65305" s="135"/>
      <c r="U65305" s="135"/>
    </row>
    <row r="65306" spans="20:21" ht="15" customHeight="1" x14ac:dyDescent="0.25">
      <c r="T65306" s="135"/>
      <c r="U65306" s="135"/>
    </row>
    <row r="65307" spans="20:21" ht="15" customHeight="1" x14ac:dyDescent="0.25">
      <c r="T65307" s="135"/>
      <c r="U65307" s="135"/>
    </row>
    <row r="65308" spans="20:21" ht="15" customHeight="1" x14ac:dyDescent="0.25">
      <c r="T65308" s="135"/>
      <c r="U65308" s="135"/>
    </row>
    <row r="65309" spans="20:21" ht="15" customHeight="1" x14ac:dyDescent="0.25">
      <c r="T65309" s="135"/>
      <c r="U65309" s="135"/>
    </row>
    <row r="65310" spans="20:21" ht="15" customHeight="1" x14ac:dyDescent="0.25">
      <c r="T65310" s="135"/>
      <c r="U65310" s="135"/>
    </row>
    <row r="65311" spans="20:21" ht="15" customHeight="1" x14ac:dyDescent="0.25">
      <c r="T65311" s="135"/>
      <c r="U65311" s="135"/>
    </row>
    <row r="65312" spans="20:21" ht="15" customHeight="1" x14ac:dyDescent="0.25">
      <c r="T65312" s="135"/>
      <c r="U65312" s="135"/>
    </row>
    <row r="65313" spans="20:21" ht="15" customHeight="1" x14ac:dyDescent="0.25">
      <c r="T65313" s="135"/>
      <c r="U65313" s="135"/>
    </row>
    <row r="65314" spans="20:21" ht="15" customHeight="1" x14ac:dyDescent="0.25">
      <c r="T65314" s="135"/>
      <c r="U65314" s="135"/>
    </row>
    <row r="65315" spans="20:21" ht="15" customHeight="1" x14ac:dyDescent="0.25">
      <c r="T65315" s="135"/>
      <c r="U65315" s="135"/>
    </row>
    <row r="65316" spans="20:21" ht="15" customHeight="1" x14ac:dyDescent="0.25">
      <c r="T65316" s="135"/>
      <c r="U65316" s="135"/>
    </row>
    <row r="65317" spans="20:21" ht="15" customHeight="1" x14ac:dyDescent="0.25">
      <c r="T65317" s="135"/>
      <c r="U65317" s="135"/>
    </row>
    <row r="65318" spans="20:21" ht="15" customHeight="1" x14ac:dyDescent="0.25">
      <c r="T65318" s="135"/>
      <c r="U65318" s="135"/>
    </row>
    <row r="65319" spans="20:21" ht="15" customHeight="1" x14ac:dyDescent="0.25">
      <c r="T65319" s="135"/>
      <c r="U65319" s="135"/>
    </row>
    <row r="65320" spans="20:21" ht="15" customHeight="1" x14ac:dyDescent="0.25">
      <c r="T65320" s="135"/>
      <c r="U65320" s="135"/>
    </row>
    <row r="65321" spans="20:21" ht="15" customHeight="1" x14ac:dyDescent="0.25">
      <c r="T65321" s="135"/>
      <c r="U65321" s="135"/>
    </row>
    <row r="65322" spans="20:21" ht="15" customHeight="1" x14ac:dyDescent="0.25">
      <c r="T65322" s="135"/>
      <c r="U65322" s="135"/>
    </row>
    <row r="65323" spans="20:21" ht="15" customHeight="1" x14ac:dyDescent="0.25">
      <c r="T65323" s="135"/>
      <c r="U65323" s="135"/>
    </row>
    <row r="65324" spans="20:21" ht="15" customHeight="1" x14ac:dyDescent="0.25">
      <c r="T65324" s="135"/>
      <c r="U65324" s="135"/>
    </row>
    <row r="65325" spans="20:21" ht="15" customHeight="1" x14ac:dyDescent="0.25">
      <c r="T65325" s="135"/>
      <c r="U65325" s="135"/>
    </row>
    <row r="65326" spans="20:21" ht="15" customHeight="1" x14ac:dyDescent="0.25">
      <c r="T65326" s="135"/>
      <c r="U65326" s="135"/>
    </row>
    <row r="65327" spans="20:21" ht="15" customHeight="1" x14ac:dyDescent="0.25">
      <c r="T65327" s="135"/>
      <c r="U65327" s="135"/>
    </row>
    <row r="65328" spans="20:21" ht="15" customHeight="1" x14ac:dyDescent="0.25">
      <c r="T65328" s="135"/>
      <c r="U65328" s="135"/>
    </row>
    <row r="65329" spans="20:21" ht="15" customHeight="1" x14ac:dyDescent="0.25">
      <c r="T65329" s="135"/>
      <c r="U65329" s="135"/>
    </row>
    <row r="65330" spans="20:21" ht="15" customHeight="1" x14ac:dyDescent="0.25">
      <c r="T65330" s="135"/>
      <c r="U65330" s="135"/>
    </row>
    <row r="65331" spans="20:21" ht="15" customHeight="1" x14ac:dyDescent="0.25">
      <c r="T65331" s="135"/>
      <c r="U65331" s="135"/>
    </row>
    <row r="65332" spans="20:21" ht="15" customHeight="1" x14ac:dyDescent="0.25">
      <c r="T65332" s="135"/>
      <c r="U65332" s="135"/>
    </row>
    <row r="65333" spans="20:21" ht="15" customHeight="1" x14ac:dyDescent="0.25">
      <c r="T65333" s="135"/>
      <c r="U65333" s="135"/>
    </row>
    <row r="65334" spans="20:21" ht="15" customHeight="1" x14ac:dyDescent="0.25">
      <c r="T65334" s="135"/>
      <c r="U65334" s="135"/>
    </row>
    <row r="65335" spans="20:21" ht="15" customHeight="1" x14ac:dyDescent="0.25">
      <c r="T65335" s="135"/>
      <c r="U65335" s="135"/>
    </row>
    <row r="65336" spans="20:21" ht="15" customHeight="1" x14ac:dyDescent="0.25">
      <c r="T65336" s="135"/>
      <c r="U65336" s="135"/>
    </row>
    <row r="65337" spans="20:21" ht="15" customHeight="1" x14ac:dyDescent="0.25">
      <c r="T65337" s="135"/>
      <c r="U65337" s="135"/>
    </row>
    <row r="65338" spans="20:21" ht="15" customHeight="1" x14ac:dyDescent="0.25">
      <c r="T65338" s="135"/>
      <c r="U65338" s="135"/>
    </row>
    <row r="65339" spans="20:21" ht="15" customHeight="1" x14ac:dyDescent="0.25">
      <c r="T65339" s="135"/>
      <c r="U65339" s="135"/>
    </row>
    <row r="65340" spans="20:21" ht="15" customHeight="1" x14ac:dyDescent="0.25">
      <c r="T65340" s="135"/>
      <c r="U65340" s="135"/>
    </row>
    <row r="65341" spans="20:21" ht="15" customHeight="1" x14ac:dyDescent="0.25">
      <c r="T65341" s="135"/>
      <c r="U65341" s="135"/>
    </row>
    <row r="65342" spans="20:21" ht="15" customHeight="1" x14ac:dyDescent="0.25">
      <c r="T65342" s="135"/>
      <c r="U65342" s="135"/>
    </row>
    <row r="65343" spans="20:21" ht="15" customHeight="1" x14ac:dyDescent="0.25">
      <c r="T65343" s="135"/>
      <c r="U65343" s="135"/>
    </row>
    <row r="65344" spans="20:21" ht="15" customHeight="1" x14ac:dyDescent="0.25">
      <c r="T65344" s="135"/>
      <c r="U65344" s="135"/>
    </row>
    <row r="65345" spans="20:21" ht="15" customHeight="1" x14ac:dyDescent="0.25">
      <c r="T65345" s="135"/>
      <c r="U65345" s="135"/>
    </row>
    <row r="65346" spans="20:21" ht="15" customHeight="1" x14ac:dyDescent="0.25">
      <c r="T65346" s="135"/>
      <c r="U65346" s="135"/>
    </row>
    <row r="65347" spans="20:21" ht="15" customHeight="1" x14ac:dyDescent="0.25">
      <c r="T65347" s="135"/>
      <c r="U65347" s="135"/>
    </row>
    <row r="65348" spans="20:21" ht="15" customHeight="1" x14ac:dyDescent="0.25">
      <c r="T65348" s="135"/>
      <c r="U65348" s="135"/>
    </row>
    <row r="65349" spans="20:21" ht="15" customHeight="1" x14ac:dyDescent="0.25">
      <c r="T65349" s="135"/>
      <c r="U65349" s="135"/>
    </row>
    <row r="65350" spans="20:21" ht="15" customHeight="1" x14ac:dyDescent="0.25">
      <c r="T65350" s="135"/>
      <c r="U65350" s="135"/>
    </row>
    <row r="65351" spans="20:21" ht="15" customHeight="1" x14ac:dyDescent="0.25">
      <c r="T65351" s="135"/>
      <c r="U65351" s="135"/>
    </row>
    <row r="65352" spans="20:21" ht="15" customHeight="1" x14ac:dyDescent="0.25">
      <c r="T65352" s="135"/>
      <c r="U65352" s="135"/>
    </row>
    <row r="65353" spans="20:21" ht="15" customHeight="1" x14ac:dyDescent="0.25">
      <c r="T65353" s="135"/>
      <c r="U65353" s="135"/>
    </row>
    <row r="65354" spans="20:21" ht="15" customHeight="1" x14ac:dyDescent="0.25">
      <c r="T65354" s="135"/>
      <c r="U65354" s="135"/>
    </row>
    <row r="65355" spans="20:21" ht="15" customHeight="1" x14ac:dyDescent="0.25">
      <c r="T65355" s="135"/>
      <c r="U65355" s="135"/>
    </row>
    <row r="65356" spans="20:21" ht="15" customHeight="1" x14ac:dyDescent="0.25">
      <c r="T65356" s="135"/>
      <c r="U65356" s="135"/>
    </row>
    <row r="65357" spans="20:21" ht="15" customHeight="1" x14ac:dyDescent="0.25">
      <c r="T65357" s="135"/>
      <c r="U65357" s="135"/>
    </row>
    <row r="65358" spans="20:21" ht="15" customHeight="1" x14ac:dyDescent="0.25">
      <c r="T65358" s="135"/>
      <c r="U65358" s="135"/>
    </row>
    <row r="65359" spans="20:21" ht="15" customHeight="1" x14ac:dyDescent="0.25">
      <c r="T65359" s="135"/>
      <c r="U65359" s="135"/>
    </row>
    <row r="65360" spans="20:21" ht="15" customHeight="1" x14ac:dyDescent="0.25">
      <c r="T65360" s="135"/>
      <c r="U65360" s="135"/>
    </row>
    <row r="65361" spans="20:21" ht="15" customHeight="1" x14ac:dyDescent="0.25">
      <c r="T65361" s="135"/>
      <c r="U65361" s="135"/>
    </row>
    <row r="65362" spans="20:21" ht="15" customHeight="1" x14ac:dyDescent="0.25">
      <c r="T65362" s="135"/>
      <c r="U65362" s="135"/>
    </row>
    <row r="65363" spans="20:21" ht="15" customHeight="1" x14ac:dyDescent="0.25">
      <c r="T65363" s="135"/>
      <c r="U65363" s="135"/>
    </row>
    <row r="65364" spans="20:21" ht="15" customHeight="1" x14ac:dyDescent="0.25">
      <c r="T65364" s="135"/>
      <c r="U65364" s="135"/>
    </row>
    <row r="65365" spans="20:21" ht="15" customHeight="1" x14ac:dyDescent="0.25">
      <c r="T65365" s="135"/>
      <c r="U65365" s="135"/>
    </row>
    <row r="65366" spans="20:21" ht="15" customHeight="1" x14ac:dyDescent="0.25">
      <c r="T65366" s="135"/>
      <c r="U65366" s="135"/>
    </row>
    <row r="65367" spans="20:21" ht="15" customHeight="1" x14ac:dyDescent="0.25">
      <c r="T65367" s="135"/>
      <c r="U65367" s="135"/>
    </row>
    <row r="65368" spans="20:21" ht="15" customHeight="1" x14ac:dyDescent="0.25">
      <c r="T65368" s="135"/>
      <c r="U65368" s="135"/>
    </row>
    <row r="65369" spans="20:21" ht="15" customHeight="1" x14ac:dyDescent="0.25">
      <c r="T65369" s="135"/>
      <c r="U65369" s="135"/>
    </row>
    <row r="65370" spans="20:21" ht="15" customHeight="1" x14ac:dyDescent="0.25">
      <c r="T65370" s="135"/>
      <c r="U65370" s="135"/>
    </row>
    <row r="65371" spans="20:21" ht="15" customHeight="1" x14ac:dyDescent="0.25">
      <c r="T65371" s="135"/>
      <c r="U65371" s="135"/>
    </row>
    <row r="65372" spans="20:21" ht="15" customHeight="1" x14ac:dyDescent="0.25">
      <c r="T65372" s="135"/>
      <c r="U65372" s="135"/>
    </row>
    <row r="65373" spans="20:21" ht="15" customHeight="1" x14ac:dyDescent="0.25">
      <c r="T65373" s="135"/>
      <c r="U65373" s="135"/>
    </row>
    <row r="65374" spans="20:21" ht="15" customHeight="1" x14ac:dyDescent="0.25">
      <c r="T65374" s="135"/>
      <c r="U65374" s="135"/>
    </row>
    <row r="65375" spans="20:21" ht="15" customHeight="1" x14ac:dyDescent="0.25">
      <c r="T65375" s="135"/>
      <c r="U65375" s="135"/>
    </row>
    <row r="65376" spans="20:21" ht="15" customHeight="1" x14ac:dyDescent="0.25">
      <c r="T65376" s="135"/>
      <c r="U65376" s="135"/>
    </row>
    <row r="65377" spans="20:21" ht="15" customHeight="1" x14ac:dyDescent="0.25">
      <c r="T65377" s="135"/>
      <c r="U65377" s="135"/>
    </row>
    <row r="65378" spans="20:21" ht="15" customHeight="1" x14ac:dyDescent="0.25">
      <c r="T65378" s="135"/>
      <c r="U65378" s="135"/>
    </row>
    <row r="65379" spans="20:21" ht="15" customHeight="1" x14ac:dyDescent="0.25">
      <c r="T65379" s="135"/>
      <c r="U65379" s="135"/>
    </row>
    <row r="65380" spans="20:21" ht="15" customHeight="1" x14ac:dyDescent="0.25">
      <c r="T65380" s="135"/>
      <c r="U65380" s="135"/>
    </row>
    <row r="65381" spans="20:21" ht="15" customHeight="1" x14ac:dyDescent="0.25">
      <c r="T65381" s="135"/>
      <c r="U65381" s="135"/>
    </row>
    <row r="65382" spans="20:21" ht="15" customHeight="1" x14ac:dyDescent="0.25">
      <c r="T65382" s="135"/>
      <c r="U65382" s="135"/>
    </row>
    <row r="65383" spans="20:21" ht="15" customHeight="1" x14ac:dyDescent="0.25">
      <c r="T65383" s="135"/>
      <c r="U65383" s="135"/>
    </row>
    <row r="65384" spans="20:21" ht="15" customHeight="1" x14ac:dyDescent="0.25">
      <c r="T65384" s="135"/>
      <c r="U65384" s="135"/>
    </row>
    <row r="65385" spans="20:21" ht="15" customHeight="1" x14ac:dyDescent="0.25">
      <c r="T65385" s="135"/>
      <c r="U65385" s="135"/>
    </row>
    <row r="65386" spans="20:21" ht="15" customHeight="1" x14ac:dyDescent="0.25">
      <c r="T65386" s="135"/>
      <c r="U65386" s="135"/>
    </row>
    <row r="65387" spans="20:21" ht="15" customHeight="1" x14ac:dyDescent="0.25">
      <c r="T65387" s="135"/>
      <c r="U65387" s="135"/>
    </row>
    <row r="65388" spans="20:21" ht="15" customHeight="1" x14ac:dyDescent="0.25">
      <c r="T65388" s="135"/>
      <c r="U65388" s="135"/>
    </row>
    <row r="65389" spans="20:21" ht="15" customHeight="1" x14ac:dyDescent="0.25">
      <c r="T65389" s="135"/>
      <c r="U65389" s="135"/>
    </row>
    <row r="65390" spans="20:21" ht="15" customHeight="1" x14ac:dyDescent="0.25">
      <c r="T65390" s="135"/>
      <c r="U65390" s="135"/>
    </row>
    <row r="65391" spans="20:21" ht="15" customHeight="1" x14ac:dyDescent="0.25">
      <c r="T65391" s="135"/>
      <c r="U65391" s="135"/>
    </row>
    <row r="65392" spans="20:21" ht="15" customHeight="1" x14ac:dyDescent="0.25">
      <c r="T65392" s="135"/>
      <c r="U65392" s="135"/>
    </row>
    <row r="65393" spans="20:21" ht="15" customHeight="1" x14ac:dyDescent="0.25">
      <c r="T65393" s="135"/>
      <c r="U65393" s="135"/>
    </row>
    <row r="65394" spans="20:21" ht="15" customHeight="1" x14ac:dyDescent="0.25">
      <c r="T65394" s="135"/>
      <c r="U65394" s="135"/>
    </row>
    <row r="65395" spans="20:21" ht="15" customHeight="1" x14ac:dyDescent="0.25">
      <c r="T65395" s="135"/>
      <c r="U65395" s="135"/>
    </row>
    <row r="65396" spans="20:21" ht="15" customHeight="1" x14ac:dyDescent="0.25">
      <c r="T65396" s="135"/>
      <c r="U65396" s="135"/>
    </row>
    <row r="65397" spans="20:21" ht="15" customHeight="1" x14ac:dyDescent="0.25">
      <c r="T65397" s="135"/>
      <c r="U65397" s="135"/>
    </row>
    <row r="65398" spans="20:21" ht="15" customHeight="1" x14ac:dyDescent="0.25">
      <c r="T65398" s="135"/>
      <c r="U65398" s="135"/>
    </row>
    <row r="65399" spans="20:21" ht="15" customHeight="1" x14ac:dyDescent="0.25">
      <c r="T65399" s="135"/>
      <c r="U65399" s="135"/>
    </row>
    <row r="65423" spans="24:51" ht="15" customHeight="1" x14ac:dyDescent="0.25">
      <c r="X65423" s="139"/>
      <c r="AY65423" s="2" t="s">
        <v>168</v>
      </c>
    </row>
  </sheetData>
  <autoFilter ref="A8:CC138" xr:uid="{CE862405-4FA8-4B14-AD70-F1B1EC670742}"/>
  <mergeCells count="75">
    <mergeCell ref="BY8:BY9"/>
    <mergeCell ref="BZ8:BZ9"/>
    <mergeCell ref="CA8:CA9"/>
    <mergeCell ref="CB8:CB9"/>
    <mergeCell ref="CC8:CC9"/>
    <mergeCell ref="BS8:BS9"/>
    <mergeCell ref="BT8:BT9"/>
    <mergeCell ref="BU8:BU9"/>
    <mergeCell ref="BV8:BV9"/>
    <mergeCell ref="BW8:BW9"/>
    <mergeCell ref="BX8:BX9"/>
    <mergeCell ref="BM8:BM9"/>
    <mergeCell ref="BN8:BN9"/>
    <mergeCell ref="BO8:BO9"/>
    <mergeCell ref="BP8:BP9"/>
    <mergeCell ref="BQ8:BQ9"/>
    <mergeCell ref="BR8:BR9"/>
    <mergeCell ref="BG8:BG9"/>
    <mergeCell ref="BH8:BH9"/>
    <mergeCell ref="BI8:BI9"/>
    <mergeCell ref="BJ8:BJ9"/>
    <mergeCell ref="BK8:BK9"/>
    <mergeCell ref="BL8:BL9"/>
    <mergeCell ref="AZ8:AZ9"/>
    <mergeCell ref="BA8:BA9"/>
    <mergeCell ref="BB8:BB9"/>
    <mergeCell ref="BC8:BC9"/>
    <mergeCell ref="BE8:BE9"/>
    <mergeCell ref="BF8:BF9"/>
    <mergeCell ref="AS8:AS9"/>
    <mergeCell ref="AT8:AT9"/>
    <mergeCell ref="AU8:AU9"/>
    <mergeCell ref="AV8:AV9"/>
    <mergeCell ref="AW8:AW9"/>
    <mergeCell ref="AX8:AX9"/>
    <mergeCell ref="AM8:AM9"/>
    <mergeCell ref="AN8:AN9"/>
    <mergeCell ref="AO8:AO9"/>
    <mergeCell ref="AP8:AP9"/>
    <mergeCell ref="AQ8:AQ9"/>
    <mergeCell ref="AR8:AR9"/>
    <mergeCell ref="AB8:AB9"/>
    <mergeCell ref="AC8:AC9"/>
    <mergeCell ref="AG8:AG9"/>
    <mergeCell ref="AI8:AI9"/>
    <mergeCell ref="AK8:AK9"/>
    <mergeCell ref="AL8:AL9"/>
    <mergeCell ref="V8:V9"/>
    <mergeCell ref="W8:W9"/>
    <mergeCell ref="X8:X9"/>
    <mergeCell ref="Y8:Y9"/>
    <mergeCell ref="Z8:Z9"/>
    <mergeCell ref="AA8:AA9"/>
    <mergeCell ref="P8:P9"/>
    <mergeCell ref="Q8:Q9"/>
    <mergeCell ref="R8:R9"/>
    <mergeCell ref="S8:S9"/>
    <mergeCell ref="T8:T9"/>
    <mergeCell ref="U8:U9"/>
    <mergeCell ref="J8:J9"/>
    <mergeCell ref="K8:K9"/>
    <mergeCell ref="L8:L9"/>
    <mergeCell ref="M8:M9"/>
    <mergeCell ref="N8:N9"/>
    <mergeCell ref="O8:O9"/>
    <mergeCell ref="S1:V1"/>
    <mergeCell ref="A8:A9"/>
    <mergeCell ref="B8:B9"/>
    <mergeCell ref="C8:C9"/>
    <mergeCell ref="D8:D9"/>
    <mergeCell ref="E8:E9"/>
    <mergeCell ref="F8:F9"/>
    <mergeCell ref="G8:G9"/>
    <mergeCell ref="H8:H9"/>
    <mergeCell ref="I8:I9"/>
  </mergeCells>
  <hyperlinks>
    <hyperlink ref="CB14" r:id="rId1" xr:uid="{A03DFF0F-B9F8-4E43-8B27-0E7D0DD4136E}"/>
    <hyperlink ref="CC11" r:id="rId2" xr:uid="{2359D66E-1588-472A-B505-D5BB825E5242}"/>
    <hyperlink ref="CC12" r:id="rId3" xr:uid="{9FAE97B3-CF2F-4B52-96FD-8416F0A50F94}"/>
    <hyperlink ref="CC14" r:id="rId4" xr:uid="{A4720D9F-3AF5-4A58-B491-2D606453543D}"/>
    <hyperlink ref="CC16" r:id="rId5" xr:uid="{C9F15368-CB68-401F-95F4-C21632C74CE8}"/>
    <hyperlink ref="CB16" r:id="rId6" xr:uid="{408F2893-EE23-44D8-91C1-B3094C1B27EA}"/>
    <hyperlink ref="CB17" r:id="rId7" xr:uid="{7C2F5E2C-E1AC-445E-BE5E-D78720D9221E}"/>
    <hyperlink ref="CC17" r:id="rId8" xr:uid="{6A4FABB6-72CA-4E18-8CB2-1AF753AA0ADD}"/>
    <hyperlink ref="CB19" r:id="rId9" xr:uid="{3558BC90-48B2-4AA2-BB28-6E4901A60B73}"/>
    <hyperlink ref="CB20" r:id="rId10" xr:uid="{8ADBE6D1-F155-420A-B9D7-1FF2B34CC724}"/>
    <hyperlink ref="CB18" r:id="rId11" xr:uid="{A3C89401-3059-44C9-91DE-9A0FF329B6D0}"/>
    <hyperlink ref="CC18" r:id="rId12" xr:uid="{30C33CDC-B627-4E98-A78E-ABA4E6C75509}"/>
    <hyperlink ref="CC15" r:id="rId13" xr:uid="{03EC3145-1D65-41C8-9275-EE566CECA28C}"/>
    <hyperlink ref="CC22" r:id="rId14" xr:uid="{E80EF262-D32E-4E78-9F25-116B6B14ABE0}"/>
    <hyperlink ref="CB23" r:id="rId15" xr:uid="{845DF329-29A5-4D22-A6BC-2420F52A9918}"/>
    <hyperlink ref="CB25" r:id="rId16" xr:uid="{E7819F34-31E1-49C2-A9FD-970A8C08F4A1}"/>
    <hyperlink ref="CB26" r:id="rId17" xr:uid="{56E317EA-B424-4C7C-BFDE-93C6D9E06F42}"/>
    <hyperlink ref="CB27" r:id="rId18" xr:uid="{A85265FC-3C63-433D-94D6-78F398C14BCE}"/>
    <hyperlink ref="CB29" r:id="rId19" xr:uid="{5F5D1007-6371-418F-A5F6-85BCBA26C5AA}"/>
    <hyperlink ref="CB28" r:id="rId20" xr:uid="{57653572-2627-4F07-BE48-6AC56B6E44F3}"/>
    <hyperlink ref="CC27" r:id="rId21" xr:uid="{3451A75B-1572-4312-A13F-2573A8CF93E1}"/>
    <hyperlink ref="CC28" r:id="rId22" xr:uid="{5BE08CFC-D770-4820-A3A9-A9D8CB2C3811}"/>
    <hyperlink ref="CC29" r:id="rId23" xr:uid="{8800A1F3-F694-4035-8430-A8C2D4FA5759}"/>
    <hyperlink ref="CB30" r:id="rId24" xr:uid="{CE29A7D6-C81F-4AE4-AAF6-CF76820929B6}"/>
    <hyperlink ref="CC33" r:id="rId25" xr:uid="{8505BCE5-6093-4997-A3C5-916CD621FCD1}"/>
    <hyperlink ref="CB32" r:id="rId26" xr:uid="{51718179-D569-47A3-9DA5-E538115FF696}"/>
    <hyperlink ref="CC32" r:id="rId27" xr:uid="{F5F60617-FC6B-4A88-83DB-F32067A08872}"/>
    <hyperlink ref="CC30" r:id="rId28" xr:uid="{0F2763C6-0934-474A-8181-B80BFF8E6523}"/>
    <hyperlink ref="CB33" r:id="rId29" xr:uid="{82542024-8C85-4997-9CBB-841E959D3D64}"/>
    <hyperlink ref="CB34" r:id="rId30" xr:uid="{FAE53384-0968-4A81-B9BE-58A19914B11D}"/>
    <hyperlink ref="CC26" r:id="rId31" xr:uid="{F112FF22-14E1-4B5F-A7B0-7ED6A68E3AE8}"/>
    <hyperlink ref="CC35" r:id="rId32" xr:uid="{A5F9D7CF-2B1E-4D06-9F20-505B7528193C}"/>
    <hyperlink ref="CB39" r:id="rId33" xr:uid="{8F5636D9-C3AC-4A70-9DAD-3F209A1EF587}"/>
    <hyperlink ref="CC39" r:id="rId34" xr:uid="{340B9A93-8AC2-4CA1-ADE3-52964EF812BD}"/>
    <hyperlink ref="CB40" r:id="rId35" xr:uid="{184382A9-3C12-4EE7-B77B-E08037271A6B}"/>
    <hyperlink ref="CC40" r:id="rId36" xr:uid="{1F186E30-5E4F-4743-9568-40B150A41A9B}"/>
    <hyperlink ref="CC37" r:id="rId37" xr:uid="{00FC52E6-22EA-403F-88F0-940FB3FEC5A4}"/>
    <hyperlink ref="CC36" r:id="rId38" xr:uid="{5E1E1150-75ED-46EF-8139-4A38EFEEA280}"/>
    <hyperlink ref="CC43" r:id="rId39" xr:uid="{12220394-4F62-46A5-817B-39E51233AAA7}"/>
    <hyperlink ref="CB43" r:id="rId40" xr:uid="{7B874D69-257F-4ED6-8C2F-A5C014899864}"/>
    <hyperlink ref="CB44" r:id="rId41" xr:uid="{AF8FA0FD-7E11-4D3D-8C5E-39434C7E25DE}"/>
    <hyperlink ref="CC44" r:id="rId42" xr:uid="{5898E915-433A-4057-A2CB-DBA53E982527}"/>
    <hyperlink ref="CB45" r:id="rId43" xr:uid="{1BFA6B7C-C23E-4B94-BFAC-4F0269C77827}"/>
    <hyperlink ref="CC45" r:id="rId44" xr:uid="{3B838BEE-E5F2-458C-B342-FD096AA64300}"/>
    <hyperlink ref="CC47" r:id="rId45" xr:uid="{09EB3495-302E-4CBC-87D6-4B0AB7F8BCC4}"/>
    <hyperlink ref="CC46" r:id="rId46" xr:uid="{B7D87385-F864-4DA2-828F-8F95406869CE}"/>
    <hyperlink ref="CB46" r:id="rId47" xr:uid="{4901E463-17BB-4537-A231-4017764BA774}"/>
    <hyperlink ref="CB47" r:id="rId48" xr:uid="{7C265FA2-3870-47AE-9289-AE1BD5EB592D}"/>
    <hyperlink ref="CB48" r:id="rId49" xr:uid="{D0EBD642-631C-418E-873F-296C4B258C15}"/>
    <hyperlink ref="CC48" r:id="rId50" xr:uid="{3AFCDD08-AFE6-4FE8-AB11-F2BBCDFAE095}"/>
    <hyperlink ref="CC49" r:id="rId51" xr:uid="{CE461333-1F30-43C7-BE2A-2EF4FC8A3CCD}"/>
    <hyperlink ref="CB50" r:id="rId52" xr:uid="{15AC769B-8B52-4566-888F-BA0CEC536BA1}"/>
    <hyperlink ref="CC50" r:id="rId53" xr:uid="{D797747E-329E-43E4-8629-9A0BD5BDB40E}"/>
    <hyperlink ref="CB51" r:id="rId54" xr:uid="{BB967FD4-4B03-4037-92C0-07D55CED3786}"/>
    <hyperlink ref="CC51" r:id="rId55" xr:uid="{ED88B934-8769-4429-9F2C-7F31C40913F5}"/>
    <hyperlink ref="CB52" r:id="rId56" xr:uid="{0DAF390B-7F99-4741-A5EC-8300F68F9F32}"/>
    <hyperlink ref="CC52" r:id="rId57" xr:uid="{707ACE90-58DA-4A98-9F4D-9D1D6DCB1D7A}"/>
    <hyperlink ref="CB53" r:id="rId58" xr:uid="{60B2862D-6E37-498B-9100-3757CF8CFB48}"/>
    <hyperlink ref="CC53" r:id="rId59" xr:uid="{D443F50D-28C7-46BB-86CF-8CD056E544DC}"/>
    <hyperlink ref="CB54" r:id="rId60" xr:uid="{BA2B9F34-ED9F-4ED7-8FD3-B9771D1A9AC0}"/>
    <hyperlink ref="CC54" r:id="rId61" xr:uid="{B3F49D53-5E97-42CA-8C1D-89DEBBFCB812}"/>
    <hyperlink ref="CB55" r:id="rId62" xr:uid="{E01F2E9C-0738-4D7E-B01B-E7C316948717}"/>
    <hyperlink ref="CC55" r:id="rId63" xr:uid="{CC40D894-431E-4A90-B82C-5F5428B36C66}"/>
    <hyperlink ref="CB56" r:id="rId64" xr:uid="{84D8D1A7-5337-4E21-81B7-06D89EE97B66}"/>
    <hyperlink ref="CC56" r:id="rId65" xr:uid="{99B9C11A-1244-4298-B29A-C0000D90EF78}"/>
    <hyperlink ref="CB57" r:id="rId66" xr:uid="{BBAB8BA4-948B-4682-8F84-DD49B9D8D57E}"/>
    <hyperlink ref="CC57" r:id="rId67" xr:uid="{A3661598-1359-407D-BE25-A49B4A6D3C6A}"/>
    <hyperlink ref="CB59" r:id="rId68" xr:uid="{7868C64C-DD3A-4339-B268-3A87A2243B34}"/>
    <hyperlink ref="CC59" r:id="rId69" xr:uid="{DDAB661C-F8D3-4D85-8E21-AD373E8036EA}"/>
    <hyperlink ref="CB60" r:id="rId70" xr:uid="{BB9472A2-BDCB-4756-B89E-37ECC2214257}"/>
    <hyperlink ref="CC60" r:id="rId71" xr:uid="{0064A109-DA3D-487B-84EE-C5024EAFBF78}"/>
    <hyperlink ref="CC62" r:id="rId72" xr:uid="{EE7697F3-C372-4B3D-8E83-A2042C04F829}"/>
    <hyperlink ref="CB62" r:id="rId73" xr:uid="{E2BAF8CF-92E5-4272-9809-673F8609C123}"/>
    <hyperlink ref="CB61" r:id="rId74" xr:uid="{C50E114A-0AE1-43FF-96B5-FE742EEF7FF8}"/>
    <hyperlink ref="CB63" r:id="rId75" xr:uid="{E04753D1-8101-41F2-A779-90EA615D0D78}"/>
    <hyperlink ref="CC63" r:id="rId76" xr:uid="{A2DA993A-46E4-422F-96C3-4173F8C8F598}"/>
    <hyperlink ref="CB64" r:id="rId77" xr:uid="{49BCC610-8810-40F2-9EB8-7C58402DF935}"/>
    <hyperlink ref="CC64" r:id="rId78" xr:uid="{786F5304-AC1F-42BF-A2C6-6C27362E5667}"/>
    <hyperlink ref="CC65" r:id="rId79" xr:uid="{9010AB74-39DF-42D1-AD5D-580145DCAC95}"/>
    <hyperlink ref="CB65" r:id="rId80" xr:uid="{480F961C-349D-4523-AFA8-A82988F5D417}"/>
    <hyperlink ref="CC66" r:id="rId81" xr:uid="{EF803CEB-314C-41CF-B56F-AB396BD3D8AB}"/>
    <hyperlink ref="CB66" r:id="rId82" xr:uid="{565D3E12-8E0C-48D2-A9A1-C60370C3EF18}"/>
    <hyperlink ref="CB67" r:id="rId83" xr:uid="{64E81363-1268-43A7-AB30-6118D75F1A29}"/>
    <hyperlink ref="CC67" r:id="rId84" xr:uid="{C09F67F9-6E4A-4015-B7E3-584CE47E886A}"/>
    <hyperlink ref="CB68" r:id="rId85" xr:uid="{5F0B9D3B-0E82-47C4-8D67-C1AFE2A041AD}"/>
    <hyperlink ref="CC68" r:id="rId86" xr:uid="{7C73263D-E74D-4442-AA97-02B113F24EE4}"/>
    <hyperlink ref="CC69" r:id="rId87" xr:uid="{DB956C17-7D05-417D-839B-4D4E86D69DCB}"/>
    <hyperlink ref="CC70" r:id="rId88" xr:uid="{EBBB8039-479A-47D0-867C-2D9C488A1441}"/>
    <hyperlink ref="CC71" r:id="rId89" xr:uid="{E71AB77D-D233-405A-98BA-3E8884FC9B41}"/>
    <hyperlink ref="CB69" r:id="rId90" xr:uid="{4915F8D6-1E14-43BF-B455-BA177166451C}"/>
    <hyperlink ref="CB70" r:id="rId91" xr:uid="{EB140FA8-48AB-4A83-936D-714C1DB64A8F}"/>
    <hyperlink ref="CB71" r:id="rId92" xr:uid="{0F22D1C7-3A20-4FB6-A707-6C4BC771B2BD}"/>
    <hyperlink ref="CB72" r:id="rId93" xr:uid="{DE70391D-BE76-4EDB-835B-6AF1A8B21F9A}"/>
    <hyperlink ref="CC72" r:id="rId94" xr:uid="{2D7792FC-6EAC-4EB1-B2D3-B1E25B5E0F38}"/>
    <hyperlink ref="CC73" r:id="rId95" xr:uid="{B11C82F8-DE89-4199-B5DC-646F4BF31444}"/>
    <hyperlink ref="CB73" r:id="rId96" xr:uid="{331592F5-E25C-47BA-B80A-C4DDA3E5342B}"/>
    <hyperlink ref="CC74" r:id="rId97" xr:uid="{B248BBA5-4EC6-4724-8A2A-2E9C8D1A5A37}"/>
    <hyperlink ref="CB74" r:id="rId98" xr:uid="{17B5845C-06B7-4087-82F1-124964A23AC2}"/>
    <hyperlink ref="CB76" r:id="rId99" xr:uid="{2524FC0D-44A8-47FC-8635-2F3C6A13FB2C}"/>
    <hyperlink ref="CB77" r:id="rId100" xr:uid="{9BEFB34D-3368-4836-B5BF-DE69B9A48E9C}"/>
    <hyperlink ref="CC77" r:id="rId101" xr:uid="{2ABDC30A-4F10-4C48-8BCE-4F061C7071E2}"/>
    <hyperlink ref="CC78" r:id="rId102" xr:uid="{51A9FEBE-A930-493C-A2E8-07124BAF6727}"/>
    <hyperlink ref="CB78" r:id="rId103" xr:uid="{EE3A84E9-EB67-4E9E-9900-C612D46DEF09}"/>
    <hyperlink ref="CB79" r:id="rId104" xr:uid="{60AC934F-D61E-4C0A-846E-50F9DD5C7CC0}"/>
    <hyperlink ref="CC10" r:id="rId105" xr:uid="{B27AD8FB-3E84-408D-A546-DA8F7F4184EE}"/>
    <hyperlink ref="CB80" r:id="rId106" xr:uid="{4A0CD36C-4C9D-4715-804A-AED9AB9C66E0}"/>
    <hyperlink ref="CC80" r:id="rId107" xr:uid="{1E641AFF-1995-45D5-A415-BD04A70EA0A8}"/>
    <hyperlink ref="CB81" r:id="rId108" xr:uid="{09341B1E-1357-43BA-B9BB-E751B56E7941}"/>
    <hyperlink ref="CB82" r:id="rId109" xr:uid="{1718105C-2244-49F5-9403-1E8056D569D5}"/>
    <hyperlink ref="CC82" r:id="rId110" xr:uid="{6F6F4B72-0450-4BAF-8569-72179F33571B}"/>
    <hyperlink ref="CB84" r:id="rId111" xr:uid="{EF61152A-B827-41A6-8E0F-142DE9E07A70}"/>
    <hyperlink ref="CC84" r:id="rId112" xr:uid="{0C62498F-A1B5-4C02-B071-1B82F99FA5E5}"/>
    <hyperlink ref="CC83" r:id="rId113" xr:uid="{8710030D-E6FC-4A7A-9B51-D86F2E041056}"/>
    <hyperlink ref="CB83" r:id="rId114" xr:uid="{1289EA4F-5043-4A80-8F7B-4D26A8BF4755}"/>
    <hyperlink ref="CC85" r:id="rId115" xr:uid="{982D209D-7D8C-4EF3-B4D3-A1349F3E62C1}"/>
    <hyperlink ref="CB86" r:id="rId116" xr:uid="{6BF87B68-8562-4392-8356-8DB99F0EE931}"/>
    <hyperlink ref="CB87" r:id="rId117" xr:uid="{910C1E14-3A4B-4BD9-937B-4E2E6CFAE01D}"/>
    <hyperlink ref="CC87" r:id="rId118" xr:uid="{824DE25E-2895-43D9-AD34-947113F9F710}"/>
    <hyperlink ref="CB88" r:id="rId119" xr:uid="{945D7832-0DDC-4EB4-AE18-84144BEE3B56}"/>
    <hyperlink ref="CC88" r:id="rId120" xr:uid="{C929DB26-185A-47FE-A442-821FFBA1FD41}"/>
    <hyperlink ref="CC89" r:id="rId121" xr:uid="{B1FA910A-8353-44F0-8E7D-CDEEC110BC68}"/>
    <hyperlink ref="CC90" r:id="rId122" xr:uid="{132BAD25-6219-46AC-AC2B-7352927ED624}"/>
    <hyperlink ref="CB93" r:id="rId123" xr:uid="{00D2F2FD-3990-4C10-A163-4FA8DFDCFB0B}"/>
    <hyperlink ref="CB94" r:id="rId124" xr:uid="{EEBEB93B-A4AA-42E4-A1AD-A4EDFA8530D7}"/>
    <hyperlink ref="CC95" r:id="rId125" xr:uid="{DC79EBDE-10DE-4322-A595-2B4A3FC5A264}"/>
    <hyperlink ref="CC101" r:id="rId126" xr:uid="{F29B0A66-61C8-47FD-A2ED-08E9ECB46F75}"/>
    <hyperlink ref="CC102" r:id="rId127" xr:uid="{98BDB1B5-B8BB-4ADB-8EFE-F799F0CA860B}"/>
    <hyperlink ref="CC103" r:id="rId128" xr:uid="{4D5E5366-E0F0-4A46-B144-57C7A9A3DDAE}"/>
    <hyperlink ref="CC104" r:id="rId129" xr:uid="{371CBDC9-1ACB-4B5B-9898-F7139A4001D0}"/>
    <hyperlink ref="CC105" r:id="rId130" xr:uid="{AF4CC557-AC3E-48F4-B437-089E413317EF}"/>
    <hyperlink ref="CC106" r:id="rId131" xr:uid="{5558D7C8-1188-4082-9AAC-5BD566488E08}"/>
    <hyperlink ref="CB110" r:id="rId132" xr:uid="{7E90FE28-92A0-4D7B-8E69-CCCF193F3D52}"/>
    <hyperlink ref="CC110" r:id="rId133" xr:uid="{2813DF3E-DE1D-46D3-AAF7-7CD60108FC46}"/>
    <hyperlink ref="CC113" r:id="rId134" xr:uid="{E1FA799E-2BC0-4240-B9F0-F049D6F629C6}"/>
    <hyperlink ref="CC114" r:id="rId135" xr:uid="{829604D3-C00E-40D9-B86A-CF959DE73BCD}"/>
    <hyperlink ref="CB115" r:id="rId136" xr:uid="{3F6D37B1-10EC-4A68-83FF-DC08E86D512A}"/>
    <hyperlink ref="CC115" r:id="rId137" xr:uid="{123B5429-4D67-47BC-A5CB-5FACF2E1C5B6}"/>
    <hyperlink ref="CB116" r:id="rId138" xr:uid="{19336CA3-E4DB-4C5C-9558-5DE4BFB47F69}"/>
    <hyperlink ref="CC116" r:id="rId139" xr:uid="{2D227CE4-420C-4C1D-9A2F-3327189966CB}"/>
    <hyperlink ref="CB117" r:id="rId140" xr:uid="{A7116257-3E2E-4923-B771-19E322BBF565}"/>
    <hyperlink ref="CC118" r:id="rId141" xr:uid="{CD551796-276A-4683-9A1E-51D76AA76DF1}"/>
    <hyperlink ref="CC120" r:id="rId142" xr:uid="{68CB6AE5-7E06-43CA-BDFC-937549F60D57}"/>
    <hyperlink ref="CB121" r:id="rId143" xr:uid="{E44510A7-B682-4DD4-9142-566C818FB26B}"/>
    <hyperlink ref="CC122" r:id="rId144" xr:uid="{DA07A670-8929-47AD-B9EF-9E49A6019ADB}"/>
    <hyperlink ref="CC124" r:id="rId145" xr:uid="{F5385A5D-5D38-4934-85DE-AC41E502D244}"/>
    <hyperlink ref="CC125" r:id="rId146" xr:uid="{E71B9E5A-34AD-4976-B5BE-52E253BA231D}"/>
    <hyperlink ref="CB125" r:id="rId147" xr:uid="{B7F1D045-B153-43FA-A196-A0F25631B77F}"/>
    <hyperlink ref="CC126" r:id="rId148" xr:uid="{5E4F5ACD-1E39-4096-B933-A7C1F17F9692}"/>
    <hyperlink ref="CC128" r:id="rId149" xr:uid="{B6050D8A-3723-43DD-9729-F5F1B37A9E81}"/>
    <hyperlink ref="CC129" r:id="rId150" xr:uid="{98A4C675-05C9-4ABF-9952-FE2B6E738B92}"/>
    <hyperlink ref="CC130" r:id="rId151" xr:uid="{6735B4EA-A16B-49FA-AC0F-0B1FF7AC084A}"/>
    <hyperlink ref="CB133" r:id="rId152" xr:uid="{1A30835B-DC2A-4BAF-B186-67F656A9A4A5}"/>
    <hyperlink ref="CB134" r:id="rId153" xr:uid="{5F282CE0-6162-4D0F-8C11-D2294C6E4113}"/>
    <hyperlink ref="CB136" r:id="rId154" xr:uid="{CF697321-99A2-4627-94C6-02A67126D7B4}"/>
    <hyperlink ref="CB137" r:id="rId155" xr:uid="{988EDA0A-E61A-4B09-B803-925041068157}"/>
    <hyperlink ref="CB138" r:id="rId156" xr:uid="{665E76B1-9066-4BE5-A416-9D35395A0271}"/>
    <hyperlink ref="CC138" r:id="rId157" xr:uid="{BEE5A666-BA57-45D2-9ADE-095AB426EF6C}"/>
  </hyperlinks>
  <pageMargins left="0.23622047244094491" right="0.23622047244094491" top="0.74803149606299213" bottom="0.74803149606299213" header="0.31496062992125984" footer="0.31496062992125984"/>
  <pageSetup paperSize="9" scale="10" orientation="landscape" r:id="rId158"/>
  <drawing r:id="rId159"/>
  <legacyDrawing r:id="rId16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Employee Data</vt:lpstr>
      <vt:lpstr>'Employee Data'!Print_Area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Mashudi Zaini</dc:creator>
  <cp:lastModifiedBy>Mashudi Zaini</cp:lastModifiedBy>
  <dcterms:created xsi:type="dcterms:W3CDTF">2026-04-22T10:04:27Z</dcterms:created>
  <dcterms:modified xsi:type="dcterms:W3CDTF">2026-04-22T10:05:13Z</dcterms:modified>
</cp:coreProperties>
</file>